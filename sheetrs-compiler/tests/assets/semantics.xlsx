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<sst xmlns="http://schemas.openxmlformats.org/spreadsheetml/2006/main" count="28537" uniqueCount="28292">
  <si>
    <t xml:space="preserve">apple</t>
  </si>
  <si>
    <t xml:space="preserve">x</t>
  </si>
  <si>
    <t xml:space="preserve">y</t>
  </si>
  <si>
    <t xml:space="preserve">z</t>
  </si>
  <si>
    <t xml:space="preserve">Name</t>
  </si>
  <si>
    <t xml:space="preserve">Age</t>
  </si>
  <si>
    <t xml:space="preserve">Height</t>
  </si>
  <si>
    <t xml:space="preserve">Score</t>
  </si>
  <si>
    <t xml:space="preserve">Nope</t>
  </si>
  <si>
    <t xml:space="preserve">banana</t>
  </si>
  <si>
    <t xml:space="preserve">Ann</t>
  </si>
  <si>
    <t xml:space="preserve">&gt;25</t>
  </si>
  <si>
    <t xml:space="preserve">B*</t>
  </si>
  <si>
    <t xml:space="preserve">&gt;30</t>
  </si>
  <si>
    <t xml:space="preserve">&gt;=80</t>
  </si>
  <si>
    <t xml:space="preserve">&lt;=90</t>
  </si>
  <si>
    <t xml:space="preserve">=</t>
  </si>
  <si>
    <t xml:space="preserve">bob</t>
  </si>
  <si>
    <t xml:space="preserve">*e</t>
  </si>
  <si>
    <t xml:space="preserve">&lt;&gt;Bob</t>
  </si>
  <si>
    <t xml:space="preserve">&gt;0</t>
  </si>
  <si>
    <t xml:space="preserve">&gt;26</t>
  </si>
  <si>
    <t xml:space="preserve">Gus</t>
  </si>
  <si>
    <t xml:space="preserve">Eve</t>
  </si>
  <si>
    <t xml:space="preserve">cherry</t>
  </si>
  <si>
    <t xml:space="preserve">Bob</t>
  </si>
  <si>
    <t xml:space="preserve">&lt;26</t>
  </si>
  <si>
    <t xml:space="preserve">&lt;80</t>
  </si>
  <si>
    <t xml:space="preserve">a</t>
  </si>
  <si>
    <t xml:space="preserve">Cid</t>
  </si>
  <si>
    <t xml:space="preserve">date</t>
  </si>
  <si>
    <t xml:space="preserve">Dee</t>
  </si>
  <si>
    <t xml:space="preserve">Fay</t>
  </si>
  <si>
    <t xml:space="preserve">fig</t>
  </si>
  <si>
    <t xml:space="preserve">n/a</t>
  </si>
  <si>
    <t xml:space="preserve">SUM(Data!A1:A8)</t>
  </si>
  <si>
    <t xml:space="preserve">AVERAGE(Data!A1:A8)</t>
  </si>
  <si>
    <t xml:space="preserve">MIN(Data!A1:A8)</t>
  </si>
  <si>
    <t xml:space="preserve">MAX(Data!A1:A8)</t>
  </si>
  <si>
    <t xml:space="preserve">COUNT(Data!A1:A8)</t>
  </si>
  <si>
    <t xml:space="preserve">COUNTA(Data!B1:B9)</t>
  </si>
  <si>
    <t xml:space="preserve">MEDIAN(Data!A1:A8)</t>
  </si>
  <si>
    <t xml:space="preserve">LARGE(Data!A1:A8,2)</t>
  </si>
  <si>
    <t xml:space="preserve">SMALL(Data!A1:A8,3)</t>
  </si>
  <si>
    <t xml:space="preserve">PRODUCT(Data!A1:A3)</t>
  </si>
  <si>
    <t xml:space="preserve">SUMIF(Data!B1:B8,"apple",Data!A1:A8)</t>
  </si>
  <si>
    <t xml:space="preserve">COUNTIF(Data!B1:B8,"a*")</t>
  </si>
  <si>
    <t xml:space="preserve">COUNTIF(Data!A1:A8,"&gt;4")</t>
  </si>
  <si>
    <t xml:space="preserve">COUNTIF(Data!A1:A8,"&lt;&gt;5")</t>
  </si>
  <si>
    <t xml:space="preserve">SUMIFS(Data!A1:A8,Data!B1:B8,"apple",Data!A1:A8,"&gt;=5")</t>
  </si>
  <si>
    <t xml:space="preserve">AVERAGEIF(Data!B1:B8,"banana",Data!A1:A8)</t>
  </si>
  <si>
    <t xml:space="preserve">COUNTIFS(Data!B1:B8,"apple",Data!A1:A8,"&lt;6")</t>
  </si>
  <si>
    <t xml:space="preserve">_xlfn.MAXIFS(Data!A1:A8,Data!B1:B8,"apple")</t>
  </si>
  <si>
    <t xml:space="preserve">_xlfn.MINIFS(Data!A1:A8,Data!B1:B8,"apple")</t>
  </si>
  <si>
    <t xml:space="preserve">SUMPRODUCT(Data!A1:A8,Data!A1:A8)</t>
  </si>
  <si>
    <t xml:space="preserve">SUMPRODUCT((Data!B1:B8="apple")*(Data!A1:A8))</t>
  </si>
  <si>
    <t xml:space="preserve">COUNTBLANK(Data!B1:B9)</t>
  </si>
  <si>
    <t xml:space="preserve">SUM(Data!A:A)</t>
  </si>
  <si>
    <t xml:space="preserve">SUMSQ(Data!A1:A3)</t>
  </si>
  <si>
    <t xml:space="preserve">STDEV(Data!A1:A8)</t>
  </si>
  <si>
    <t xml:space="preserve">VAR(Data!A1:A8)</t>
  </si>
  <si>
    <t xml:space="preserve">ROUND(Data!A1/3,2)</t>
  </si>
  <si>
    <t xml:space="preserve">ROUND(2.5,0)</t>
  </si>
  <si>
    <t xml:space="preserve">ROUND(-2.5,0)</t>
  </si>
  <si>
    <t xml:space="preserve">ROUND(1.005,2)</t>
  </si>
  <si>
    <t xml:space="preserve">ROUND(1234.567,-2)</t>
  </si>
  <si>
    <t xml:space="preserve">ROUNDUP(2.341,2)</t>
  </si>
  <si>
    <t xml:space="preserve">ROUNDDOWN(-2.349,2)</t>
  </si>
  <si>
    <t xml:space="preserve">TRUNC(8.97)</t>
  </si>
  <si>
    <t xml:space="preserve">TRUNC(8.97,1)</t>
  </si>
  <si>
    <t xml:space="preserve">INT(-3.2)</t>
  </si>
  <si>
    <t xml:space="preserve">MOD(-7,3)</t>
  </si>
  <si>
    <t xml:space="preserve">MOD(7,-3)</t>
  </si>
  <si>
    <t xml:space="preserve">POWER(2,10)</t>
  </si>
  <si>
    <t xml:space="preserve">SQRT(16)</t>
  </si>
  <si>
    <t xml:space="preserve">ABS(-4)</t>
  </si>
  <si>
    <t xml:space="preserve">SIGN(-3)</t>
  </si>
  <si>
    <t xml:space="preserve">EXP(1)</t>
  </si>
  <si>
    <t xml:space="preserve">LN(10)</t>
  </si>
  <si>
    <t xml:space="preserve">LOG(100,10)</t>
  </si>
  <si>
    <t xml:space="preserve">LOG(8,2)</t>
  </si>
  <si>
    <t xml:space="preserve">LOG10(1000)</t>
  </si>
  <si>
    <t xml:space="preserve">CEILING(4.3,0.5)</t>
  </si>
  <si>
    <t xml:space="preserve">FLOOR(4.3,0.5)</t>
  </si>
  <si>
    <t xml:space="preserve">PI()</t>
  </si>
  <si>
    <t xml:space="preserve">EVEN(3)</t>
  </si>
  <si>
    <t xml:space="preserve">ODD(2)</t>
  </si>
  <si>
    <t xml:space="preserve">EVEN(-3)</t>
  </si>
  <si>
    <t xml:space="preserve">FACT(5)</t>
  </si>
  <si>
    <t xml:space="preserve">DEGREES(PI())</t>
  </si>
  <si>
    <t xml:space="preserve">SIN(PI()/2)</t>
  </si>
  <si>
    <t xml:space="preserve">ATAN2(1,1)</t>
  </si>
  <si>
    <t xml:space="preserve">IF(Data!A1&gt;3,"big","small")</t>
  </si>
  <si>
    <t xml:space="preserve">IF(Data!A2&gt;3,"big","small")</t>
  </si>
  <si>
    <t xml:space="preserve">IFERROR(1/0,"err")</t>
  </si>
  <si>
    <t xml:space="preserve">_xlfn.IFNA(NA(),"na")</t>
  </si>
  <si>
    <t xml:space="preserve">AND(TRUE,1,Data!A1&gt;1)</t>
  </si>
  <si>
    <t xml:space="preserve">OR(FALSE,0,Data!A1&lt;1)</t>
  </si>
  <si>
    <t xml:space="preserve">NOT(Data!A1&gt;1)</t>
  </si>
  <si>
    <t xml:space="preserve">_xlfn.XOR(TRUE,TRUE)</t>
  </si>
  <si>
    <t xml:space="preserve">CHOOSE(2,"a","b","c")</t>
  </si>
  <si>
    <t xml:space="preserve">_xlfn.IFS(Data!A1&lt;1,"x",Data!A1&gt;1,"y")</t>
  </si>
  <si>
    <t xml:space="preserve">_xlfn.SWITCH(Data!A1,5,"five",3,"three","other")</t>
  </si>
  <si>
    <t xml:space="preserve">ISNUMBER(Data!A1)</t>
  </si>
  <si>
    <t xml:space="preserve">ISTEXT(Data!B1)</t>
  </si>
  <si>
    <t xml:space="preserve">ISBLANK(Data!B9)</t>
  </si>
  <si>
    <t xml:space="preserve">ISERROR(1/0)</t>
  </si>
  <si>
    <t xml:space="preserve">ISNA(NA())</t>
  </si>
  <si>
    <t xml:space="preserve">ISEVEN(4)</t>
  </si>
  <si>
    <t xml:space="preserve">ISODD(4)</t>
  </si>
  <si>
    <t xml:space="preserve">ISLOGICAL(TRUE)</t>
  </si>
  <si>
    <t xml:space="preserve">N(TRUE)</t>
  </si>
  <si>
    <t xml:space="preserve">_xlfn.TEXTJOIN(",",TRUE,_xlfn.UNIQUE(Data!B1:B8))</t>
  </si>
  <si>
    <t xml:space="preserve">COUNTA(_xlfn.UNIQUE(Data!B1:B8))</t>
  </si>
  <si>
    <t xml:space="preserve">SUM(_xlfn.UNIQUE(Data!A1:A8))</t>
  </si>
  <si>
    <t xml:space="preserve">_xlfn.TEXTJOIN(",",TRUE,_xlfn.UNIQUE(Data!B1:B8,FALSE,TRUE))</t>
  </si>
  <si>
    <t xml:space="preserve">_xlfn.LET(_xlpm.x,2,_xlpm.y,_xlpm.x*3,_xlpm.x+_xlpm.y)</t>
  </si>
  <si>
    <t xml:space="preserve">_xlfn.LET(_xlpm.x,Data!A1,_xlpm.x*2)</t>
  </si>
  <si>
    <t xml:space="preserve">_xlfn.LET(_xlpm.x,1,_xlfn.LET(_xlpm.x,_xlpm.x+10,_xlpm.x*2))</t>
  </si>
  <si>
    <t xml:space="preserve">DOLLAR(1234.567,2)</t>
  </si>
  <si>
    <t xml:space="preserve">DOLLAR(-1234.567,2)</t>
  </si>
  <si>
    <t xml:space="preserve">DOLLAR(1234.567)</t>
  </si>
  <si>
    <t xml:space="preserve">DOLLAR(1234.567,0)</t>
  </si>
  <si>
    <t xml:space="preserve">DOLLAR(1234.567,-2)</t>
  </si>
  <si>
    <t xml:space="preserve">DOLLAR(0.5,1)</t>
  </si>
  <si>
    <t xml:space="preserve">DOLLAR(0,2)</t>
  </si>
  <si>
    <t xml:space="preserve">DOLLAR(1E6,0)</t>
  </si>
  <si>
    <t xml:space="preserve">DOLLAR("12",1)</t>
  </si>
  <si>
    <t xml:space="preserve">DOLLAR(TRUE)</t>
  </si>
  <si>
    <t xml:space="preserve">DOLLAR(-0.004,2)</t>
  </si>
  <si>
    <t xml:space="preserve">DOLLAR(99.995,2)</t>
  </si>
  <si>
    <t xml:space="preserve">DOLLAR(1234.5678,3)</t>
  </si>
  <si>
    <t xml:space="preserve">_xlfn.ISFORMULA(A1)</t>
  </si>
  <si>
    <t xml:space="preserve">_xlfn.ISFORMULA(Z999)</t>
  </si>
  <si>
    <t xml:space="preserve">_xlfn.FORMULATEXT(A1)</t>
  </si>
  <si>
    <t xml:space="preserve">_xlfn.FORMULATEXT(A2)</t>
  </si>
  <si>
    <t xml:space="preserve">_xlfn.FORMULATEXT(A12)</t>
  </si>
  <si>
    <t xml:space="preserve">LEN(Data!B2)</t>
  </si>
  <si>
    <t xml:space="preserve">UPPER(Data!B2)</t>
  </si>
  <si>
    <t xml:space="preserve">LOWER("ABC")</t>
  </si>
  <si>
    <t xml:space="preserve">PROPER("hELLO wORLD")</t>
  </si>
  <si>
    <t xml:space="preserve">TRIM("  a   b  ")</t>
  </si>
  <si>
    <t xml:space="preserve">LEFT(Data!B2,3)</t>
  </si>
  <si>
    <t xml:space="preserve">RIGHT(Data!B2,2)</t>
  </si>
  <si>
    <t xml:space="preserve">MID(Data!B2,2,3)</t>
  </si>
  <si>
    <t xml:space="preserve">FIND("n",Data!B2)</t>
  </si>
  <si>
    <t xml:space="preserve">SEARCH("AN",Data!B2)</t>
  </si>
  <si>
    <t xml:space="preserve">SEARCH("b*a",Data!B2)</t>
  </si>
  <si>
    <t xml:space="preserve">SUBSTITUTE("a-b-c","-","+")</t>
  </si>
  <si>
    <t xml:space="preserve">SUBSTITUTE("a-b-c","-","+",2)</t>
  </si>
  <si>
    <t xml:space="preserve">REPLACE("abcdef",2,3,"X")</t>
  </si>
  <si>
    <t xml:space="preserve">REPT("ab",3)</t>
  </si>
  <si>
    <t xml:space="preserve">EXACT("a","A")</t>
  </si>
  <si>
    <t xml:space="preserve">CONCATENATE("a",1,"b")</t>
  </si>
  <si>
    <t xml:space="preserve">_xlfn.CONCAT("a",Data!A1)</t>
  </si>
  <si>
    <t xml:space="preserve">_xlfn.TEXTJOIN("-",TRUE,"a","","b")</t>
  </si>
  <si>
    <t xml:space="preserve">VALUE("12.5")</t>
  </si>
  <si>
    <t xml:space="preserve">VALUE("50%")</t>
  </si>
  <si>
    <t xml:space="preserve">TEXT(1234.567,"#,##0.00")</t>
  </si>
  <si>
    <t xml:space="preserve">TEXT(0.256,"0.0%")</t>
  </si>
  <si>
    <t xml:space="preserve">"["&amp;TEXT(5,"000")&amp;"]"</t>
  </si>
  <si>
    <t xml:space="preserve">TEXT(Data!C1,"yyyy-mm-dd")</t>
  </si>
  <si>
    <t xml:space="preserve">TEXT(Data!C1,"dddd")</t>
  </si>
  <si>
    <t xml:space="preserve">TEXT(Data!C1,"mmm d, yyyy")</t>
  </si>
  <si>
    <t xml:space="preserve">TEXT(-3.5,"0.0;(0.0)")</t>
  </si>
  <si>
    <t xml:space="preserve">CHAR(65)</t>
  </si>
  <si>
    <t xml:space="preserve">CODE("A")</t>
  </si>
  <si>
    <t xml:space="preserve">FIXED(1234.567,1)</t>
  </si>
  <si>
    <t xml:space="preserve">"["&amp;(0.1+0.2)&amp;"]"</t>
  </si>
  <si>
    <t xml:space="preserve">"["&amp;(1/3)&amp;"]"</t>
  </si>
  <si>
    <t xml:space="preserve">"["&amp;100000000000000000000&amp;"]"</t>
  </si>
  <si>
    <t xml:space="preserve">"["&amp;0.00001&amp;"]"</t>
  </si>
  <si>
    <t xml:space="preserve">"["&amp;1234567.891&amp;"]"</t>
  </si>
  <si>
    <t xml:space="preserve">"["&amp;-0.5&amp;"]"</t>
  </si>
  <si>
    <t xml:space="preserve">VLOOKUP("cherry",Data!B1:C8,2,FALSE)</t>
  </si>
  <si>
    <t xml:space="preserve">VLOOKUP("zzz",Data!B1:C8,2,FALSE)</t>
  </si>
  <si>
    <t xml:space="preserve">VLOOKUP(4,Data!A1:C8,3,TRUE)</t>
  </si>
  <si>
    <t xml:space="preserve">HLOOKUP("y",Data!E1:G2,2,FALSE)</t>
  </si>
  <si>
    <t xml:space="preserve">VLOOKUP(Data!B9,Data!A1:C8,2,FALSE)</t>
  </si>
  <si>
    <t xml:space="preserve">MATCH(Data!B9,Data!A1:A8,0)</t>
  </si>
  <si>
    <t xml:space="preserve">MATCH(Data!B9,Data!A1:A8,1)</t>
  </si>
  <si>
    <t xml:space="preserve">HLOOKUP(Data!B9,Data!E1:G2,2,FALSE)</t>
  </si>
  <si>
    <t xml:space="preserve">LOOKUP(Data!B9,Data!A1:A8,Data!A1:A8)</t>
  </si>
  <si>
    <t xml:space="preserve">COUNTIF(Data!A1:A8,Data!B9)</t>
  </si>
  <si>
    <t xml:space="preserve">MATCH("",Data!B1:B9,0)</t>
  </si>
  <si>
    <t xml:space="preserve">SEARCH("","abc")</t>
  </si>
  <si>
    <t xml:space="preserve">FIND("","abc")</t>
  </si>
  <si>
    <t xml:space="preserve">SEARCH(Data!B9,"abc")</t>
  </si>
  <si>
    <t xml:space="preserve">MATCH("cherry",Data!B1:B8,0)</t>
  </si>
  <si>
    <t xml:space="preserve">MATCH("ch*",Data!B1:B8,0)</t>
  </si>
  <si>
    <t xml:space="preserve">MATCH(6,Data!H1:H5,1)</t>
  </si>
  <si>
    <t xml:space="preserve">MATCH(6,Data!I1:I5,-1)</t>
  </si>
  <si>
    <t xml:space="preserve">INDEX(Data!A1:A8,3)</t>
  </si>
  <si>
    <t xml:space="preserve">INDEX(Data!A1:C8,2,1)</t>
  </si>
  <si>
    <t xml:space="preserve">SUM(INDEX(Data!A1:C8,0,1))</t>
  </si>
  <si>
    <t xml:space="preserve">SUM(INDEX(Data!A1:C8,2,0))</t>
  </si>
  <si>
    <t xml:space="preserve">_xlfn.XLOOKUP("cherry",Data!B1:B8,Data!A1:A8)</t>
  </si>
  <si>
    <t xml:space="preserve">_xlfn.XLOOKUP("q",Data!B1:B8,Data!A1:A8,"none")</t>
  </si>
  <si>
    <t xml:space="preserve">ROW(Data!A5)</t>
  </si>
  <si>
    <t xml:space="preserve">COLUMN(Data!C1)</t>
  </si>
  <si>
    <t xml:space="preserve">ROWS(Data!A1:C8)</t>
  </si>
  <si>
    <t xml:space="preserve">COLUMNS(Data!A1:C8)</t>
  </si>
  <si>
    <t xml:space="preserve">ADDRESS(2,3)</t>
  </si>
  <si>
    <t xml:space="preserve">ADDRESS(2,3,4)</t>
  </si>
  <si>
    <t xml:space="preserve">OFFSET(Data!A1,2,0)</t>
  </si>
  <si>
    <t xml:space="preserve">SUM(OFFSET(Data!A1,0,0,3,1))</t>
  </si>
  <si>
    <t xml:space="preserve">INDIRECT("Data!A3")</t>
  </si>
  <si>
    <t xml:space="preserve">SUM(INDIRECT("Data!A1:A3"))</t>
  </si>
  <si>
    <t xml:space="preserve">INDIRECT("Data!B"&amp;2)</t>
  </si>
  <si>
    <t xml:space="preserve">DATE(2024,1,31)</t>
  </si>
  <si>
    <t xml:space="preserve">DATE(2024,14,1)</t>
  </si>
  <si>
    <t xml:space="preserve">DATE(2024,3,0)</t>
  </si>
  <si>
    <t xml:space="preserve">DATE(1900,3,1)</t>
  </si>
  <si>
    <t xml:space="preserve">DATE(2024,2,29)+1</t>
  </si>
  <si>
    <t xml:space="preserve">YEAR(Data!C1)</t>
  </si>
  <si>
    <t xml:space="preserve">MONTH(Data!C1)</t>
  </si>
  <si>
    <t xml:space="preserve">DAY(Data!C1)</t>
  </si>
  <si>
    <t xml:space="preserve">WEEKDAY(Data!C1)</t>
  </si>
  <si>
    <t xml:space="preserve">WEEKDAY(Data!C1,2)</t>
  </si>
  <si>
    <t xml:space="preserve">EDATE(DATE(2024,1,31),1)</t>
  </si>
  <si>
    <t xml:space="preserve">EDATE(DATE(2024,3,31),-1)</t>
  </si>
  <si>
    <t xml:space="preserve">EOMONTH(Data!C1,0)</t>
  </si>
  <si>
    <t xml:space="preserve">EOMONTH(Data!C1,2)</t>
  </si>
  <si>
    <t xml:space="preserve">_xlfn.DAYS(Data!C2,Data!C1)</t>
  </si>
  <si>
    <t xml:space="preserve">DATEDIF(Data!C1,Data!C2,"M")</t>
  </si>
  <si>
    <t xml:space="preserve">DATEDIF(Data!C1,Data!C2,"D")</t>
  </si>
  <si>
    <t xml:space="preserve">DATEDIF(DATE(2020,1,15),DATE(2024,1,14),"Y")</t>
  </si>
  <si>
    <t xml:space="preserve">HOUR(0.75)</t>
  </si>
  <si>
    <t xml:space="preserve">MINUTE(0.7512)</t>
  </si>
  <si>
    <t xml:space="preserve">SECOND(0.7512)</t>
  </si>
  <si>
    <t xml:space="preserve">TIME(13,30,0)</t>
  </si>
  <si>
    <t xml:space="preserve">DATEVALUE("2024-03-01")</t>
  </si>
  <si>
    <t xml:space="preserve">PMT(0.01,12,-1000)</t>
  </si>
  <si>
    <t xml:space="preserve">PMT(0.05/12,360,200000)</t>
  </si>
  <si>
    <t xml:space="preserve">FV(0.05,10,-100)</t>
  </si>
  <si>
    <t xml:space="preserve">PV(0.05,10,-100)</t>
  </si>
  <si>
    <t xml:space="preserve">NPV(0.1,100,200,300)</t>
  </si>
  <si>
    <t xml:space="preserve">IRR(Data!J1:J5)</t>
  </si>
  <si>
    <t xml:space="preserve">-2^2</t>
  </si>
  <si>
    <t xml:space="preserve">2^-1</t>
  </si>
  <si>
    <t xml:space="preserve">2^3^2</t>
  </si>
  <si>
    <t xml:space="preserve">10%*3</t>
  </si>
  <si>
    <t xml:space="preserve">"3"+1</t>
  </si>
  <si>
    <t xml:space="preserve">TRUE+1</t>
  </si>
  <si>
    <t xml:space="preserve">"a"&amp;"b"</t>
  </si>
  <si>
    <t xml:space="preserve">1="1"</t>
  </si>
  <si>
    <t xml:space="preserve">"a"&lt;"B"</t>
  </si>
  <si>
    <t xml:space="preserve">"abc"="ABC"</t>
  </si>
  <si>
    <t xml:space="preserve">1&lt;"a"</t>
  </si>
  <si>
    <t xml:space="preserve">(1+2)*3</t>
  </si>
  <si>
    <t xml:space="preserve">7/2</t>
  </si>
  <si>
    <t xml:space="preserve">-(-3)</t>
  </si>
  <si>
    <t xml:space="preserve">Data!A1:A3*2</t>
  </si>
  <si>
    <t xml:space="preserve">SUM(Data!A1:A3*2)</t>
  </si>
  <si>
    <t xml:space="preserve">SUM(Data!A1:A3&gt;3)</t>
  </si>
  <si>
    <t xml:space="preserve">1/0</t>
  </si>
  <si>
    <t xml:space="preserve">SQRT(-1)</t>
  </si>
  <si>
    <t xml:space="preserve">NA()</t>
  </si>
  <si>
    <t xml:space="preserve">"a"+1</t>
  </si>
  <si>
    <t xml:space="preserve">0^0</t>
  </si>
  <si>
    <t xml:space="preserve">LN(0)</t>
  </si>
  <si>
    <t xml:space="preserve">VALUE("abc")</t>
  </si>
  <si>
    <t xml:space="preserve">MATCH(99,Data!A1:A8,0)</t>
  </si>
  <si>
    <t xml:space="preserve">INDEX(Data!A1:A8,99)</t>
  </si>
  <si>
    <t xml:space="preserve">SUMPRODUCT(LEN(Data!B1:B3))</t>
  </si>
  <si>
    <t xml:space="preserve">SUMPRODUCT(--(Data!A1:A8&gt;4))</t>
  </si>
  <si>
    <t xml:space="preserve">Data!A1+Data!B1</t>
  </si>
  <si>
    <t xml:space="preserve">#REF!+1</t>
  </si>
  <si>
    <t xml:space="preserve">ISERROR(Data!A1/0)</t>
  </si>
  <si>
    <t xml:space="preserve">Data!Z99</t>
  </si>
  <si>
    <t xml:space="preserve">ISBLANK(A235)</t>
  </si>
  <si>
    <t xml:space="preserve">A235=""</t>
  </si>
  <si>
    <t xml:space="preserve">A235=0</t>
  </si>
  <si>
    <t xml:space="preserve">Data!Z99&amp;"x"</t>
  </si>
  <si>
    <t xml:space="preserve">IF(TRUE,Data!Z99)</t>
  </si>
  <si>
    <t xml:space="preserve">ISBLANK(Data!Z99)</t>
  </si>
  <si>
    <t xml:space="preserve">Data!Z99=0</t>
  </si>
  <si>
    <t xml:space="preserve">Data!Z99=""</t>
  </si>
  <si>
    <t xml:space="preserve">SUM(Data!Z99,1)</t>
  </si>
  <si>
    <t xml:space="preserve">LEN(Data!Z99)</t>
  </si>
  <si>
    <t xml:space="preserve">ISNUMBER(A235)</t>
  </si>
  <si>
    <t xml:space="preserve">ASIN(0.5)</t>
  </si>
  <si>
    <t xml:space="preserve">ACOS(0.5)</t>
  </si>
  <si>
    <t xml:space="preserve">SINH(1)</t>
  </si>
  <si>
    <t xml:space="preserve">COSH(1)</t>
  </si>
  <si>
    <t xml:space="preserve">TANH(0.5)</t>
  </si>
  <si>
    <t xml:space="preserve">ASINH(1)</t>
  </si>
  <si>
    <t xml:space="preserve">ACOSH(2)</t>
  </si>
  <si>
    <t xml:space="preserve">ATANH(0.5)</t>
  </si>
  <si>
    <t xml:space="preserve">_xlfn.COT(1)</t>
  </si>
  <si>
    <t xml:space="preserve">_xlfn.COTH(1)</t>
  </si>
  <si>
    <t xml:space="preserve">_xlfn.ACOT(2)</t>
  </si>
  <si>
    <t xml:space="preserve">_xlfn.ACOTH(2)</t>
  </si>
  <si>
    <t xml:space="preserve">_xlfn.SEC(1)</t>
  </si>
  <si>
    <t xml:space="preserve">_xlfn.CSC(1)</t>
  </si>
  <si>
    <t xml:space="preserve">_xlfn.SECH(1)</t>
  </si>
  <si>
    <t xml:space="preserve">_xlfn.CSCH(1)</t>
  </si>
  <si>
    <t xml:space="preserve">SQRTPI(2)</t>
  </si>
  <si>
    <t xml:space="preserve">ASIN(2)</t>
  </si>
  <si>
    <t xml:space="preserve">ACOSH(0.5)</t>
  </si>
  <si>
    <t xml:space="preserve">GCD(12,18)</t>
  </si>
  <si>
    <t xml:space="preserve">GCD(Data!A1:A3)</t>
  </si>
  <si>
    <t xml:space="preserve">LCM(4,6)</t>
  </si>
  <si>
    <t xml:space="preserve">LCM(Data!A1:A3)</t>
  </si>
  <si>
    <t xml:space="preserve">GCD(-1,2)</t>
  </si>
  <si>
    <t xml:space="preserve">QUOTIENT(7,2)</t>
  </si>
  <si>
    <t xml:space="preserve">QUOTIENT(-7,2)</t>
  </si>
  <si>
    <t xml:space="preserve">QUOTIENT(1,0)</t>
  </si>
  <si>
    <t xml:space="preserve">MROUND(10,3)</t>
  </si>
  <si>
    <t xml:space="preserve">MROUND(-10,-3)</t>
  </si>
  <si>
    <t xml:space="preserve">MROUND(5,-2)</t>
  </si>
  <si>
    <t xml:space="preserve">MROUND(1.3,0.2)</t>
  </si>
  <si>
    <t xml:space="preserve">_xlfn.CEILING.MATH(4.3)</t>
  </si>
  <si>
    <t xml:space="preserve">_xlfn.CEILING.MATH(-4.3)</t>
  </si>
  <si>
    <t xml:space="preserve">_xlfn.CEILING.MATH(-4.3,1,1)</t>
  </si>
  <si>
    <t xml:space="preserve">_xlfn.CEILING.MATH(4.3,0.5)</t>
  </si>
  <si>
    <t xml:space="preserve">_xlfn.FLOOR.MATH(4.3)</t>
  </si>
  <si>
    <t xml:space="preserve">_xlfn.FLOOR.MATH(-4.3)</t>
  </si>
  <si>
    <t xml:space="preserve">_xlfn.FLOOR.MATH(-4.3,1,1)</t>
  </si>
  <si>
    <t xml:space="preserve">_xlfn.FLOOR.MATH(4.3,0.5)</t>
  </si>
  <si>
    <t xml:space="preserve">_xlfn.CEILING.PRECISE(4.3,-2)</t>
  </si>
  <si>
    <t xml:space="preserve">_xlfn.FLOOR.PRECISE(-4.3,2)</t>
  </si>
  <si>
    <t xml:space="preserve">ISO.CEILING(4.3,2)</t>
  </si>
  <si>
    <t xml:space="preserve">COMBIN(5,2)</t>
  </si>
  <si>
    <t xml:space="preserve">COMBIN(5,6)</t>
  </si>
  <si>
    <t xml:space="preserve">_xlfn.COMBINA(3,2)</t>
  </si>
  <si>
    <t xml:space="preserve">PERMUT(5,2)</t>
  </si>
  <si>
    <t xml:space="preserve">_xlfn.PERMUTATIONA(3,2)</t>
  </si>
  <si>
    <t xml:space="preserve">FACTDOUBLE(7)</t>
  </si>
  <si>
    <t xml:space="preserve">FACTDOUBLE(8)</t>
  </si>
  <si>
    <t xml:space="preserve">MULTINOMIAL(2,3,4)</t>
  </si>
  <si>
    <t xml:space="preserve">_xlfn.BITAND(12,10)</t>
  </si>
  <si>
    <t xml:space="preserve">_xlfn.BITOR(12,10)</t>
  </si>
  <si>
    <t xml:space="preserve">_xlfn.BITXOR(12,10)</t>
  </si>
  <si>
    <t xml:space="preserve">_xlfn.BITLSHIFT(4,2)</t>
  </si>
  <si>
    <t xml:space="preserve">_xlfn.BITRSHIFT(16,2)</t>
  </si>
  <si>
    <t xml:space="preserve">ERF(1)</t>
  </si>
  <si>
    <t xml:space="preserve">ERF(0.5,1)</t>
  </si>
  <si>
    <t xml:space="preserve">_xlfn.ERF.PRECISE(1)</t>
  </si>
  <si>
    <t xml:space="preserve">ERFC(1)</t>
  </si>
  <si>
    <t xml:space="preserve">_xlfn.ERFC.PRECISE(1)</t>
  </si>
  <si>
    <t xml:space="preserve">ERFC(3)</t>
  </si>
  <si>
    <t xml:space="preserve">ERF(-0.5)</t>
  </si>
  <si>
    <t xml:space="preserve">_xlfn.STDEV.S(Data!A1:A8)</t>
  </si>
  <si>
    <t xml:space="preserve">_xlfn.STDEV.P(Data!A1:A8)</t>
  </si>
  <si>
    <t xml:space="preserve">STDEVP(Data!A1:A8)</t>
  </si>
  <si>
    <t xml:space="preserve">_xlfn.VAR.S(Data!A1:A8)</t>
  </si>
  <si>
    <t xml:space="preserve">_xlfn.VAR.P(Data!A1:A8)</t>
  </si>
  <si>
    <t xml:space="preserve">VARP(Data!A1:A8)</t>
  </si>
  <si>
    <t xml:space="preserve">STDEVA(Data!A1:B3)</t>
  </si>
  <si>
    <t xml:space="preserve">STDEVPA(Data!A1:B3)</t>
  </si>
  <si>
    <t xml:space="preserve">VARA(Data!A1:B3)</t>
  </si>
  <si>
    <t xml:space="preserve">VARPA(Data!A1:B3)</t>
  </si>
  <si>
    <t xml:space="preserve">AVERAGEA(Data!A1:B3)</t>
  </si>
  <si>
    <t xml:space="preserve">MAXA(Data!A1:B3)</t>
  </si>
  <si>
    <t xml:space="preserve">MINA(Data!A1:B3)</t>
  </si>
  <si>
    <t xml:space="preserve">DEVSQ(Data!A1:A8)</t>
  </si>
  <si>
    <t xml:space="preserve">AVEDEV(Data!A1:A8)</t>
  </si>
  <si>
    <t xml:space="preserve">GEOMEAN(Data!A1:A8)</t>
  </si>
  <si>
    <t xml:space="preserve">HARMEAN(Data!A1:A8)</t>
  </si>
  <si>
    <t xml:space="preserve">SKEW(Data!A1:A8)</t>
  </si>
  <si>
    <t xml:space="preserve">_xlfn.SKEW.P(Data!A1:A8)</t>
  </si>
  <si>
    <t xml:space="preserve">KURT(Data!A1:A8)</t>
  </si>
  <si>
    <t xml:space="preserve">TRIMMEAN(Data!A1:A8,0.25)</t>
  </si>
  <si>
    <t xml:space="preserve">MODE(Data!K1:K8)</t>
  </si>
  <si>
    <t xml:space="preserve">_xlfn.MODE.SNGL(Data!K1:K8)</t>
  </si>
  <si>
    <t xml:space="preserve">MODE(Data!A1:A8)</t>
  </si>
  <si>
    <t xml:space="preserve">RANK(8,Data!A1:A8)</t>
  </si>
  <si>
    <t xml:space="preserve">RANK(8,Data!A1:A8,1)</t>
  </si>
  <si>
    <t xml:space="preserve">_xlfn.RANK.EQ(4,Data!K1:K8)</t>
  </si>
  <si>
    <t xml:space="preserve">_xlfn.RANK.AVG(4,Data!K1:K8)</t>
  </si>
  <si>
    <t xml:space="preserve">_xlfn.RANK.AVG(5,Data!K1:K8,1)</t>
  </si>
  <si>
    <t xml:space="preserve">RANK(6,Data!A1:A8)</t>
  </si>
  <si>
    <t xml:space="preserve">PERCENTILE(Data!A1:A8,0.3)</t>
  </si>
  <si>
    <t xml:space="preserve">_xlfn.PERCENTILE.INC(Data!A1:A8,0.9)</t>
  </si>
  <si>
    <t xml:space="preserve">_xlfn.PERCENTILE.EXC(Data!A1:A8,0.3)</t>
  </si>
  <si>
    <t xml:space="preserve">_xlfn.PERCENTILE.EXC(Data!A1:A8,0.05)</t>
  </si>
  <si>
    <t xml:space="preserve">QUARTILE(Data!A1:A8,1)</t>
  </si>
  <si>
    <t xml:space="preserve">_xlfn.QUARTILE.INC(Data!A1:A8,3)</t>
  </si>
  <si>
    <t xml:space="preserve">_xlfn.QUARTILE.EXC(Data!A1:A8,1)</t>
  </si>
  <si>
    <t xml:space="preserve">QUARTILE(Data!A1:A8,5)</t>
  </si>
  <si>
    <t xml:space="preserve">PERCENTRANK(Data!A1:A8,5)</t>
  </si>
  <si>
    <t xml:space="preserve">_xlfn.PERCENTRANK.INC(Data!A1:A8,4.5)</t>
  </si>
  <si>
    <t xml:space="preserve">_xlfn.PERCENTRANK.EXC(Data!A1:A8,5)</t>
  </si>
  <si>
    <t xml:space="preserve">PERCENTRANK(Data!A1:A8,5,5)</t>
  </si>
  <si>
    <t xml:space="preserve">PERCENTRANK(Data!A1:A8,10)</t>
  </si>
  <si>
    <t xml:space="preserve">CORREL(Data!A1:A8,Data!K1:K8)</t>
  </si>
  <si>
    <t xml:space="preserve">PEARSON(Data!A1:A8,Data!K1:K8)</t>
  </si>
  <si>
    <t xml:space="preserve">RSQ(Data!K1:K8,Data!A1:A8)</t>
  </si>
  <si>
    <t xml:space="preserve">SLOPE(Data!K1:K8,Data!A1:A8)</t>
  </si>
  <si>
    <t xml:space="preserve">INTERCEPT(Data!K1:K8,Data!A1:A8)</t>
  </si>
  <si>
    <t xml:space="preserve">FORECAST(10,Data!K1:K8,Data!A1:A8)</t>
  </si>
  <si>
    <t xml:space="preserve">_xlfn.FORECAST.LINEAR(10,Data!K1:K8,Data!A1:A8)</t>
  </si>
  <si>
    <t xml:space="preserve">STEYX(Data!K1:K8,Data!A1:A8)</t>
  </si>
  <si>
    <t xml:space="preserve">COVAR(Data!A1:A8,Data!K1:K8)</t>
  </si>
  <si>
    <t xml:space="preserve">_xlfn.COVARIANCE.P(Data!A1:A8,Data!K1:K8)</t>
  </si>
  <si>
    <t xml:space="preserve">_xlfn.COVARIANCE.S(Data!A1:A8,Data!K1:K8)</t>
  </si>
  <si>
    <t xml:space="preserve">NORMSDIST(1)</t>
  </si>
  <si>
    <t xml:space="preserve">_xlfn.NORM.S.DIST(1,TRUE)</t>
  </si>
  <si>
    <t xml:space="preserve">_xlfn.NORM.S.DIST(1,FALSE)</t>
  </si>
  <si>
    <t xml:space="preserve">NORMDIST(110,100,15,TRUE)</t>
  </si>
  <si>
    <t xml:space="preserve">_xlfn.NORM.DIST(110,100,15,FALSE)</t>
  </si>
  <si>
    <t xml:space="preserve">NORMSINV(0.975)</t>
  </si>
  <si>
    <t xml:space="preserve">_xlfn.NORM.S.INV(0.3)</t>
  </si>
  <si>
    <t xml:space="preserve">NORMINV(0.9,100,15)</t>
  </si>
  <si>
    <t xml:space="preserve">_xlfn.NORM.INV(0.001,0,1)</t>
  </si>
  <si>
    <t xml:space="preserve">NORMSINV(0)</t>
  </si>
  <si>
    <t xml:space="preserve">STANDARDIZE(5,3,2)</t>
  </si>
  <si>
    <t xml:space="preserve">_xlfn.GAUSS(1)</t>
  </si>
  <si>
    <t xml:space="preserve">_xlfn.PHI(1)</t>
  </si>
  <si>
    <t xml:space="preserve">BINOMDIST(3,10,0.4,FALSE)</t>
  </si>
  <si>
    <t xml:space="preserve">_xlfn.BINOM.DIST(3,10,0.4,TRUE)</t>
  </si>
  <si>
    <t xml:space="preserve">POISSON(3,2.5,FALSE)</t>
  </si>
  <si>
    <t xml:space="preserve">_xlfn.POISSON.DIST(3,2.5,TRUE)</t>
  </si>
  <si>
    <t xml:space="preserve">EXPONDIST(1,2,TRUE)</t>
  </si>
  <si>
    <t xml:space="preserve">_xlfn.EXPON.DIST(1,2,FALSE)</t>
  </si>
  <si>
    <t xml:space="preserve">ACOS(2)</t>
  </si>
  <si>
    <t xml:space="preserve">ATANH(1)</t>
  </si>
  <si>
    <t xml:space="preserve">_xlfn.ACOTH(0.5)</t>
  </si>
  <si>
    <t xml:space="preserve">SQRTPI(-1)</t>
  </si>
  <si>
    <t xml:space="preserve">FACT(-1)</t>
  </si>
  <si>
    <t xml:space="preserve">FACT(171)</t>
  </si>
  <si>
    <t xml:space="preserve">COMBIN(-1,1)</t>
  </si>
  <si>
    <t xml:space="preserve">PERMUT(2,3)</t>
  </si>
  <si>
    <t xml:space="preserve">FACTDOUBLE(-2)</t>
  </si>
  <si>
    <t xml:space="preserve">MULTINOMIAL(-1,2)</t>
  </si>
  <si>
    <t xml:space="preserve">LCM(-1)</t>
  </si>
  <si>
    <t xml:space="preserve">_xlfn.BITAND(-1,1)</t>
  </si>
  <si>
    <t xml:space="preserve">_xlfn.BITLSHIFT(1,100)</t>
  </si>
  <si>
    <t xml:space="preserve">EXP(1000)</t>
  </si>
  <si>
    <t xml:space="preserve">POWER(10,400)</t>
  </si>
  <si>
    <t xml:space="preserve">SINH(1000)</t>
  </si>
  <si>
    <t xml:space="preserve">COSH(1000)</t>
  </si>
  <si>
    <t xml:space="preserve">LN(-1)</t>
  </si>
  <si>
    <t xml:space="preserve">LOG(-1)</t>
  </si>
  <si>
    <t xml:space="preserve">LOG(10,1)</t>
  </si>
  <si>
    <t xml:space="preserve">TRIMMEAN(Data!A1:A8,1)</t>
  </si>
  <si>
    <t xml:space="preserve">GEOMEAN(Data!H1:H5,Data!J1:J5)</t>
  </si>
  <si>
    <t xml:space="preserve">HARMEAN(0,1)</t>
  </si>
  <si>
    <t xml:space="preserve">CORREL(Data!A1,Data!K1)</t>
  </si>
  <si>
    <t xml:space="preserve">_xlfn.STDEV.S(Data!A1)</t>
  </si>
  <si>
    <t xml:space="preserve">_xlfn.PERCENTILE.INC(Data!A1:A8,1.5)</t>
  </si>
  <si>
    <t xml:space="preserve">_xlfn.QUARTILE.EXC(Data!A1:A8,0)</t>
  </si>
  <si>
    <t xml:space="preserve">_xlfn.PERCENTILE.EXC(Data!A1:A8,0.99)</t>
  </si>
  <si>
    <t xml:space="preserve">NORMDIST(1,0,0,TRUE)</t>
  </si>
  <si>
    <t xml:space="preserve">NORMINV(1.5,0,1)</t>
  </si>
  <si>
    <t xml:space="preserve">STANDARDIZE(1,0,0)</t>
  </si>
  <si>
    <t xml:space="preserve">BINOMDIST(11,10,0.5,TRUE)</t>
  </si>
  <si>
    <t xml:space="preserve">POISSON(-1,2,TRUE)</t>
  </si>
  <si>
    <t xml:space="preserve">EXPONDIST(-1,2,TRUE)</t>
  </si>
  <si>
    <t xml:space="preserve">SLOPE(Data!A1,Data!K1)</t>
  </si>
  <si>
    <t xml:space="preserve">SKEW(Data!A1:A2)</t>
  </si>
  <si>
    <t xml:space="preserve">KURT(Data!A1:A3)</t>
  </si>
  <si>
    <t xml:space="preserve">RANK(1,Data!B1:B8)</t>
  </si>
  <si>
    <t xml:space="preserve">_xlfn.CEILING.MATH(1,-0.5)</t>
  </si>
  <si>
    <t xml:space="preserve">MROUND(-5,2)</t>
  </si>
  <si>
    <t xml:space="preserve">DAYS360(DATE(2024,1,30),DATE(2024,3,31))</t>
  </si>
  <si>
    <t xml:space="preserve">DAYS360(DATE(2024,2,29),DATE(2024,3,31))</t>
  </si>
  <si>
    <t xml:space="preserve">DAYS360(DATE(2024,1,31),DATE(2024,2,29),TRUE)</t>
  </si>
  <si>
    <t xml:space="preserve">DAYS360(Data!C1,Data!C8)</t>
  </si>
  <si>
    <t xml:space="preserve">DAYS360(DATE(2023,2,28),DATE(2023,3,31))</t>
  </si>
  <si>
    <t xml:space="preserve">DAYS360(DATE(2024,3,31),DATE(2024,1,15))</t>
  </si>
  <si>
    <t xml:space="preserve">WORKDAY(DATE(2024,1,15),10)</t>
  </si>
  <si>
    <t xml:space="preserve">WORKDAY(DATE(2024,1,15),-5)</t>
  </si>
  <si>
    <t xml:space="preserve">WORKDAY(DATE(2024,1,15),10,Data!C2:C3)</t>
  </si>
  <si>
    <t xml:space="preserve">WORKDAY(DATE(2024,1,13),1)</t>
  </si>
  <si>
    <t xml:space="preserve">WORKDAY(DATE(2024,1,15),0)</t>
  </si>
  <si>
    <t xml:space="preserve">WORKDAY.INTL(DATE(2024,1,15),10,11)</t>
  </si>
  <si>
    <t xml:space="preserve">WORKDAY.INTL(DATE(2024,1,15),10,"0000011")</t>
  </si>
  <si>
    <t xml:space="preserve">WORKDAY.INTL(DATE(2024,1,15),10,"1111111")</t>
  </si>
  <si>
    <t xml:space="preserve">NETWORKDAYS(DATE(2024,1,15),DATE(2024,2,16))</t>
  </si>
  <si>
    <t xml:space="preserve">NETWORKDAYS(DATE(2024,2,16),DATE(2024,1,15))</t>
  </si>
  <si>
    <t xml:space="preserve">NETWORKDAYS(DATE(2024,1,15),DATE(2024,3,31),Data!C2:C3)</t>
  </si>
  <si>
    <t xml:space="preserve">NETWORKDAYS.INTL(DATE(2024,1,15),DATE(2024,2,16),7)</t>
  </si>
  <si>
    <t xml:space="preserve">NETWORKDAYS.INTL(DATE(2024,1,15),DATE(2024,2,16),"0010001")</t>
  </si>
  <si>
    <t xml:space="preserve">YEARFRAC(DATE(2024,1,15),DATE(2024,8,22))</t>
  </si>
  <si>
    <t xml:space="preserve">YEARFRAC(DATE(2023,1,31),DATE(2024,3,1),0)</t>
  </si>
  <si>
    <t xml:space="preserve">YEARFRAC(DATE(2023,1,31),DATE(2024,3,1),1)</t>
  </si>
  <si>
    <t xml:space="preserve">YEARFRAC(DATE(2023,1,31),DATE(2024,3,1),2)</t>
  </si>
  <si>
    <t xml:space="preserve">YEARFRAC(DATE(2023,1,31),DATE(2024,3,1),3)</t>
  </si>
  <si>
    <t xml:space="preserve">YEARFRAC(DATE(2023,1,31),DATE(2024,3,1),4)</t>
  </si>
  <si>
    <t xml:space="preserve">YEARFRAC(DATE(2020,2,29),DATE(2024,2,28),1)</t>
  </si>
  <si>
    <t xml:space="preserve">YEARFRAC(DATE(2024,1,1),DATE(2024,12,31),1)</t>
  </si>
  <si>
    <t xml:space="preserve">YEARFRAC(DATE(2023,3,1),DATE(2024,2,29),1)</t>
  </si>
  <si>
    <t xml:space="preserve">YEARFRAC(DATE(2023,3,1),DATE(2024,2,29),5)</t>
  </si>
  <si>
    <t xml:space="preserve">WEEKNUM(DATE(2024,1,1))</t>
  </si>
  <si>
    <t xml:space="preserve">WEEKNUM(DATE(2024,12,31))</t>
  </si>
  <si>
    <t xml:space="preserve">WEEKNUM(DATE(2024,1,1),2)</t>
  </si>
  <si>
    <t xml:space="preserve">WEEKNUM(DATE(2021,1,3),11)</t>
  </si>
  <si>
    <t xml:space="preserve">WEEKNUM(DATE(2021,1,3),21)</t>
  </si>
  <si>
    <t xml:space="preserve">WEEKNUM(DATE(2024,1,1),17)</t>
  </si>
  <si>
    <t xml:space="preserve">WEEKNUM(DATE(2024,1,1),21)</t>
  </si>
  <si>
    <t xml:space="preserve">WEEKNUM(DATE(2024,1,1),5)</t>
  </si>
  <si>
    <t xml:space="preserve">_xlfn.ISOWEEKNUM(DATE(2021,1,3))</t>
  </si>
  <si>
    <t xml:space="preserve">_xlfn.ISOWEEKNUM(DATE(2020,12,31))</t>
  </si>
  <si>
    <t xml:space="preserve">_xlfn.ISOWEEKNUM(DATE(2024,12,30))</t>
  </si>
  <si>
    <t xml:space="preserve">TIMEVALUE("13:30")</t>
  </si>
  <si>
    <t xml:space="preserve">TIMEVALUE("1:30 PM")</t>
  </si>
  <si>
    <t xml:space="preserve">TIMEVALUE("2024-01-15 06:00")</t>
  </si>
  <si>
    <t xml:space="preserve">TIMEVALUE("abc")</t>
  </si>
  <si>
    <t xml:space="preserve">NPER(0.01,-100,1000)</t>
  </si>
  <si>
    <t xml:space="preserve">NPER(0,-100,1000)</t>
  </si>
  <si>
    <t xml:space="preserve">NPER(0.05/12,-200,5000,0,1)</t>
  </si>
  <si>
    <t xml:space="preserve">NPER(0.01,-100,1000,500)</t>
  </si>
  <si>
    <t xml:space="preserve">RATE(60,-200,10000)</t>
  </si>
  <si>
    <t xml:space="preserve">RATE(60,-200,10000,0,1)</t>
  </si>
  <si>
    <t xml:space="preserve">RATE(10,0,-1000,2000)</t>
  </si>
  <si>
    <t xml:space="preserve">RATE(12,-100,1000,0,0,0.05)</t>
  </si>
  <si>
    <t xml:space="preserve">IPMT(0.01,1,12,1000)</t>
  </si>
  <si>
    <t xml:space="preserve">IPMT(0.01,5,12,1000)</t>
  </si>
  <si>
    <t xml:space="preserve">IPMT(0.01,5,12,1000,0,1)</t>
  </si>
  <si>
    <t xml:space="preserve">IPMT(0.01,1,12,1000,0,1)</t>
  </si>
  <si>
    <t xml:space="preserve">PPMT(0.01,5,12,1000)</t>
  </si>
  <si>
    <t xml:space="preserve">PPMT(0.01,1,12,1000,500,1)</t>
  </si>
  <si>
    <t xml:space="preserve">IPMT(0.01,13,12,1000)</t>
  </si>
  <si>
    <t xml:space="preserve">ISPMT(0.01,3,12,1000)</t>
  </si>
  <si>
    <t xml:space="preserve">CUMIPMT(0.01,12,1000,1,6,0)</t>
  </si>
  <si>
    <t xml:space="preserve">CUMPRINC(0.01,12,1000,1,6,0)</t>
  </si>
  <si>
    <t xml:space="preserve">CUMIPMT(0.01,12,1000,3,12,1)</t>
  </si>
  <si>
    <t xml:space="preserve">CUMPRINC(0.01,12,1000,1,12,1)</t>
  </si>
  <si>
    <t xml:space="preserve">CUMIPMT(0.01,12,1000,0,6,0)</t>
  </si>
  <si>
    <t xml:space="preserve">SLN(10000,1000,5)</t>
  </si>
  <si>
    <t xml:space="preserve">SYD(10000,1000,5,2)</t>
  </si>
  <si>
    <t xml:space="preserve">DDB(10000,1000,5,2)</t>
  </si>
  <si>
    <t xml:space="preserve">DDB(10000,1000,5,5)</t>
  </si>
  <si>
    <t xml:space="preserve">DDB(10000,1000,5,3,1.5)</t>
  </si>
  <si>
    <t xml:space="preserve">DB(10000,1000,5,1)</t>
  </si>
  <si>
    <t xml:space="preserve">DB(10000,1000,5,3)</t>
  </si>
  <si>
    <t xml:space="preserve">DB(10000,1000,5,6,6)</t>
  </si>
  <si>
    <t xml:space="preserve">DB(10000,1000,5,1,6)</t>
  </si>
  <si>
    <t xml:space="preserve">MIRR(Data!J1:J5,0.1,0.12)</t>
  </si>
  <si>
    <t xml:space="preserve">XNPV(0.1,Data!J1:J5,Data!C1:C5)</t>
  </si>
  <si>
    <t xml:space="preserve">XIRR(Data!J1:J5,Data!C1:C5)</t>
  </si>
  <si>
    <t xml:space="preserve">XIRR(Data!J1:J5,Data!C1:C5,0.5)</t>
  </si>
  <si>
    <t xml:space="preserve">EFFECT(0.1,4)</t>
  </si>
  <si>
    <t xml:space="preserve">NOMINAL(0.1,4)</t>
  </si>
  <si>
    <t xml:space="preserve">_xlfn.PDURATION(0.05,100,200)</t>
  </si>
  <si>
    <t xml:space="preserve">_xlfn.RRI(10,100,200)</t>
  </si>
  <si>
    <t xml:space="preserve">FVSCHEDULE(1000,{0.1,0.2})</t>
  </si>
  <si>
    <t xml:space="preserve">DOLLARDE(1.02,16)</t>
  </si>
  <si>
    <t xml:space="preserve">DOLLARFR(1.125,16)</t>
  </si>
  <si>
    <t xml:space="preserve">DOLLARDE(1.5,8)</t>
  </si>
  <si>
    <t xml:space="preserve">SUMPRODUCT(TRANSPOSE(Data!A1:A3)*{1,2,3})</t>
  </si>
  <si>
    <t xml:space="preserve">SUMPRODUCT(MMULT(TRANSPOSE(Data!H1:I5),Data!H1:I5))</t>
  </si>
  <si>
    <t xml:space="preserve">MDETERM(Data!H1:I2)</t>
  </si>
  <si>
    <t xml:space="preserve">SUMPRODUCT(MINVERSE(Data!H1:I2)*{1,2;3,4})</t>
  </si>
  <si>
    <t xml:space="preserve">SUMPRODUCT(_xlfn.MUNIT(3)*{1,2,3;4,5,6;7,8,9})</t>
  </si>
  <si>
    <t xml:space="preserve">SUMXMY2(Data!A1:A8,Data!K1:K8)</t>
  </si>
  <si>
    <t xml:space="preserve">SUMX2MY2(Data!A1:A8,Data!K1:K8)</t>
  </si>
  <si>
    <t xml:space="preserve">SUMX2PY2(Data!A1:A8,Data!K1:K8)</t>
  </si>
  <si>
    <t xml:space="preserve">MDETERM(Data!A1:B2)</t>
  </si>
  <si>
    <t xml:space="preserve">SUMPRODUCT(MINVERSE({1,2;2,4}))</t>
  </si>
  <si>
    <t xml:space="preserve">LOOKUP(6,Data!H1:H5)</t>
  </si>
  <si>
    <t xml:space="preserve">LOOKUP(6,Data!H1:H5,Data!I1:I5)</t>
  </si>
  <si>
    <t xml:space="preserve">LOOKUP(0,Data!H1:H5)</t>
  </si>
  <si>
    <t xml:space="preserve">LOOKUP(4,Data!H1:J5)</t>
  </si>
  <si>
    <t xml:space="preserve">TYPE(Data!A1)</t>
  </si>
  <si>
    <t xml:space="preserve">TYPE(Data!B1)</t>
  </si>
  <si>
    <t xml:space="preserve">TYPE(TRUE)</t>
  </si>
  <si>
    <t xml:space="preserve">TYPE(1/0)</t>
  </si>
  <si>
    <t xml:space="preserve">TYPE(Data!A1:A3)</t>
  </si>
  <si>
    <t xml:space="preserve">CLEAN("a"&amp;CHAR(10)&amp;"b"&amp;CHAR(7))</t>
  </si>
  <si>
    <t xml:space="preserve">_xlfn.UNICODE("é")</t>
  </si>
  <si>
    <t xml:space="preserve">_xlfn.UNICHAR(233)</t>
  </si>
  <si>
    <t xml:space="preserve">_xlfn.UNICODE("")</t>
  </si>
  <si>
    <t xml:space="preserve">ROMAN(1994)</t>
  </si>
  <si>
    <t xml:space="preserve">ROMAN(499,1)</t>
  </si>
  <si>
    <t xml:space="preserve">ROMAN(499,2)</t>
  </si>
  <si>
    <t xml:space="preserve">ROMAN(499,3)</t>
  </si>
  <si>
    <t xml:space="preserve">ROMAN(499,4)</t>
  </si>
  <si>
    <t xml:space="preserve">ROMAN(3999)</t>
  </si>
  <si>
    <t xml:space="preserve">ROMAN(0)</t>
  </si>
  <si>
    <t xml:space="preserve">ROMAN(4000)</t>
  </si>
  <si>
    <t xml:space="preserve">ROMAN(45,TRUE)</t>
  </si>
  <si>
    <t xml:space="preserve">_xlfn.ARABIC("MCMXCIV")</t>
  </si>
  <si>
    <t xml:space="preserve">_xlfn.ARABIC("-IV")</t>
  </si>
  <si>
    <t xml:space="preserve">_xlfn.ARABIC("")</t>
  </si>
  <si>
    <t xml:space="preserve">_xlfn.ARABIC("ABC")</t>
  </si>
  <si>
    <t xml:space="preserve">_xlfn.BASE(255,16)</t>
  </si>
  <si>
    <t xml:space="preserve">_xlfn.BASE(7,2,8)</t>
  </si>
  <si>
    <t xml:space="preserve">_xlfn.BASE(-1,2)</t>
  </si>
  <si>
    <t xml:space="preserve">_xlfn.DECIMAL("FF",16)</t>
  </si>
  <si>
    <t xml:space="preserve">_xlfn.DECIMAL("102",2)</t>
  </si>
  <si>
    <t xml:space="preserve">DEC2BIN(10)</t>
  </si>
  <si>
    <t xml:space="preserve">DEC2BIN(-1)</t>
  </si>
  <si>
    <t xml:space="preserve">DEC2BIN(10,8)</t>
  </si>
  <si>
    <t xml:space="preserve">DEC2BIN(600)</t>
  </si>
  <si>
    <t xml:space="preserve">DEC2OCT(64)</t>
  </si>
  <si>
    <t xml:space="preserve">DEC2HEX(255)</t>
  </si>
  <si>
    <t xml:space="preserve">DEC2HEX(-1)</t>
  </si>
  <si>
    <t xml:space="preserve">DEC2HEX(255,6)</t>
  </si>
  <si>
    <t xml:space="preserve">BIN2DEC("1010")</t>
  </si>
  <si>
    <t xml:space="preserve">BIN2DEC("1111111111")</t>
  </si>
  <si>
    <t xml:space="preserve">BIN2OCT("1111111111")</t>
  </si>
  <si>
    <t xml:space="preserve">BIN2HEX("11111111")</t>
  </si>
  <si>
    <t xml:space="preserve">OCT2DEC("777")</t>
  </si>
  <si>
    <t xml:space="preserve">OCT2BIN("7")</t>
  </si>
  <si>
    <t xml:space="preserve">OCT2HEX("777")</t>
  </si>
  <si>
    <t xml:space="preserve">HEX2DEC("FF")</t>
  </si>
  <si>
    <t xml:space="preserve">HEX2DEC("FFFFFFFFFF")</t>
  </si>
  <si>
    <t xml:space="preserve">HEX2BIN("1F")</t>
  </si>
  <si>
    <t xml:space="preserve">HEX2OCT("FF")</t>
  </si>
  <si>
    <t xml:space="preserve">DELTA(2,2)</t>
  </si>
  <si>
    <t xml:space="preserve">DELTA(1,2)</t>
  </si>
  <si>
    <t xml:space="preserve">GESTEP(3,2)</t>
  </si>
  <si>
    <t xml:space="preserve">GESTEP(1)</t>
  </si>
  <si>
    <t xml:space="preserve">HEX2DEC("GG")</t>
  </si>
  <si>
    <t xml:space="preserve">SUBTOTAL(9,Data!A1:A8)</t>
  </si>
  <si>
    <t xml:space="preserve">SUBTOTAL(109,Data!A1:A8)</t>
  </si>
  <si>
    <t xml:space="preserve">SUBTOTAL(1,Data!A1:A8)</t>
  </si>
  <si>
    <t xml:space="preserve">SUBTOTAL(101,Data!A1:A8)</t>
  </si>
  <si>
    <t xml:space="preserve">SUBTOTAL(2,Data!A1:A8)</t>
  </si>
  <si>
    <t xml:space="preserve">SUBTOTAL(102,Data!A1:A8)</t>
  </si>
  <si>
    <t xml:space="preserve">SUBTOTAL(3,Data!B1:B8)</t>
  </si>
  <si>
    <t xml:space="preserve">SUBTOTAL(103,Data!B1:B8)</t>
  </si>
  <si>
    <t xml:space="preserve">SUBTOTAL(4,Data!A1:A8)</t>
  </si>
  <si>
    <t xml:space="preserve">SUBTOTAL(105,Data!A1:A8)</t>
  </si>
  <si>
    <t xml:space="preserve">SUBTOTAL(5,Data!A1:A8)</t>
  </si>
  <si>
    <t xml:space="preserve">SUBTOTAL(6,Data!A1:A3)</t>
  </si>
  <si>
    <t xml:space="preserve">SUBTOTAL(7,Data!A1:A8)</t>
  </si>
  <si>
    <t xml:space="preserve">SUBTOTAL(107,Data!A1:A8)</t>
  </si>
  <si>
    <t xml:space="preserve">SUBTOTAL(8,Data!A1:A8)</t>
  </si>
  <si>
    <t xml:space="preserve">SUBTOTAL(10,Data!A1:A8)</t>
  </si>
  <si>
    <t xml:space="preserve">SUBTOTAL(11,Data!A1:A8)</t>
  </si>
  <si>
    <t xml:space="preserve">SUBTOTAL(9,Data!L1:L6)</t>
  </si>
  <si>
    <t xml:space="preserve">SUBTOTAL(12,Data!A1:A3)</t>
  </si>
  <si>
    <t xml:space="preserve">SUBTOTAL(9,Data!A1:A2,Data!A4:A5)</t>
  </si>
  <si>
    <t xml:space="preserve">_xlfn.AGGREGATE(9,6,Data!A1:A8)</t>
  </si>
  <si>
    <t xml:space="preserve">_xlfn.AGGREGATE(9,5,Data!A1:A8)</t>
  </si>
  <si>
    <t xml:space="preserve">_xlfn.AGGREGATE(9,4,Data!A1:A8)</t>
  </si>
  <si>
    <t xml:space="preserve">_xlfn.AGGREGATE(4,6,Data!A1:A8)</t>
  </si>
  <si>
    <t xml:space="preserve">_xlfn.AGGREGATE(12,5,Data!A1:A8)</t>
  </si>
  <si>
    <t xml:space="preserve">_xlfn.AGGREGATE(14,5,Data!A1:A8,2)</t>
  </si>
  <si>
    <t xml:space="preserve">_xlfn.AGGREGATE(15,6,Data!A1:A8,2)</t>
  </si>
  <si>
    <t xml:space="preserve">_xlfn.AGGREGATE(16,6,Data!A1:A8,0.5)</t>
  </si>
  <si>
    <t xml:space="preserve">_xlfn.AGGREGATE(17,6,Data!A1:A8,1)</t>
  </si>
  <si>
    <t xml:space="preserve">_xlfn.AGGREGATE(9,6,Data!L1:L6)</t>
  </si>
  <si>
    <t xml:space="preserve">_xlfn.AGGREGATE(9,0,Data!L1:L6)</t>
  </si>
  <si>
    <t xml:space="preserve">_xlfn.AGGREGATE(1,6,Data!A1:A8)</t>
  </si>
  <si>
    <t xml:space="preserve">_xlfn.AGGREGATE(2,5,Data!A1:A8)</t>
  </si>
  <si>
    <t xml:space="preserve">_xlfn.AGGREGATE(22,6,Data!A1:A8)</t>
  </si>
  <si>
    <t xml:space="preserve">COUNTBLANK(A235:A235)</t>
  </si>
  <si>
    <t xml:space="preserve">COUNTA(A235:A235)</t>
  </si>
  <si>
    <t xml:space="preserve">COUNT(A235:A235)</t>
  </si>
  <si>
    <t xml:space="preserve">SUM(A235:A235)</t>
  </si>
  <si>
    <t xml:space="preserve">A235&amp;"x"</t>
  </si>
  <si>
    <t xml:space="preserve">LEN(A235)</t>
  </si>
  <si>
    <t xml:space="preserve">ISTEXT(A235)</t>
  </si>
  <si>
    <t xml:space="preserve">IF(A235="","empty","not")</t>
  </si>
  <si>
    <t xml:space="preserve">COUNTIF(A235:A235,"")</t>
  </si>
  <si>
    <t xml:space="preserve">COUNTIF(A235:A235,0)</t>
  </si>
  <si>
    <t xml:space="preserve">N(A235)</t>
  </si>
  <si>
    <t xml:space="preserve">T(A235)</t>
  </si>
  <si>
    <t xml:space="preserve">MAX(A235:A235)</t>
  </si>
  <si>
    <t xml:space="preserve">AVERAGE(A235,1)</t>
  </si>
  <si>
    <t xml:space="preserve">A235+1</t>
  </si>
  <si>
    <t xml:space="preserve">MATCH("",A235:A235,0)</t>
  </si>
  <si>
    <t xml:space="preserve">ISERROR(A235)</t>
  </si>
  <si>
    <t xml:space="preserve">ISNA(A235)</t>
  </si>
  <si>
    <t xml:space="preserve">A235&lt;1</t>
  </si>
  <si>
    <t xml:space="preserve">A235&lt;"a"</t>
  </si>
  <si>
    <t xml:space="preserve">GAMMALN(5)</t>
  </si>
  <si>
    <t xml:space="preserve">GAMMALN(0.5)</t>
  </si>
  <si>
    <t xml:space="preserve">GAMMALN(100.3)</t>
  </si>
  <si>
    <t xml:space="preserve">GAMMALN(0)</t>
  </si>
  <si>
    <t xml:space="preserve">GAMMALN(-1)</t>
  </si>
  <si>
    <t xml:space="preserve">_xlfn.GAMMALN.PRECISE(10.5)</t>
  </si>
  <si>
    <t xml:space="preserve">_xlfn.GAMMALN.PRECISE(-2)</t>
  </si>
  <si>
    <t xml:space="preserve">_xlfn.GAMMA(5)</t>
  </si>
  <si>
    <t xml:space="preserve">_xlfn.GAMMA(0.5)</t>
  </si>
  <si>
    <t xml:space="preserve">_xlfn.GAMMA(-1.5)</t>
  </si>
  <si>
    <t xml:space="preserve">_xlfn.GAMMA(0)</t>
  </si>
  <si>
    <t xml:space="preserve">_xlfn.GAMMA(-2)</t>
  </si>
  <si>
    <t xml:space="preserve">_xlfn.GAMMA(171)</t>
  </si>
  <si>
    <t xml:space="preserve">_xlfn.GAMMA(172)</t>
  </si>
  <si>
    <t xml:space="preserve">_xlfn.GAMMA(1E-300)</t>
  </si>
  <si>
    <t xml:space="preserve">FISHER(0.75)</t>
  </si>
  <si>
    <t xml:space="preserve">FISHER(-0.3)</t>
  </si>
  <si>
    <t xml:space="preserve">FISHER(0)</t>
  </si>
  <si>
    <t xml:space="preserve">FISHER(1)</t>
  </si>
  <si>
    <t xml:space="preserve">FISHER(2)</t>
  </si>
  <si>
    <t xml:space="preserve">FISHERINV(1)</t>
  </si>
  <si>
    <t xml:space="preserve">FISHERINV(-0.5)</t>
  </si>
  <si>
    <t xml:space="preserve">FISHERINV(30)</t>
  </si>
  <si>
    <t xml:space="preserve">FISHERINV(0)</t>
  </si>
  <si>
    <t xml:space="preserve">_xlfn.GAMMA.DIST(2,3,2,TRUE)</t>
  </si>
  <si>
    <t xml:space="preserve">_xlfn.GAMMA.DIST(2,3,2,FALSE)</t>
  </si>
  <si>
    <t xml:space="preserve">GAMMADIST(0.5,0.5,1,TRUE)</t>
  </si>
  <si>
    <t xml:space="preserve">GAMMADIST(10,2,3,FALSE)</t>
  </si>
  <si>
    <t xml:space="preserve">_xlfn.GAMMA.DIST(0,3,2,TRUE)</t>
  </si>
  <si>
    <t xml:space="preserve">_xlfn.GAMMA.DIST(0,1,2,FALSE)</t>
  </si>
  <si>
    <t xml:space="preserve">_xlfn.GAMMA.DIST(0,0.5,2,FALSE)</t>
  </si>
  <si>
    <t xml:space="preserve">_xlfn.GAMMA.DIST(-1,3,2,TRUE)</t>
  </si>
  <si>
    <t xml:space="preserve">_xlfn.GAMMA.DIST(2,0,2,TRUE)</t>
  </si>
  <si>
    <t xml:space="preserve">_xlfn.GAMMA.DIST(2,3,0,TRUE)</t>
  </si>
  <si>
    <t xml:space="preserve">_xlfn.GAMMA.DIST(500,3,2,TRUE)</t>
  </si>
  <si>
    <t xml:space="preserve">_xlfn.GAMMA.INV(0.5,3,2)</t>
  </si>
  <si>
    <t xml:space="preserve">GAMMAINV(0.9,0.5,1)</t>
  </si>
  <si>
    <t xml:space="preserve">_xlfn.GAMMA.INV(0.001,10,2)</t>
  </si>
  <si>
    <t xml:space="preserve">_xlfn.GAMMA.INV(0,3,2)</t>
  </si>
  <si>
    <t xml:space="preserve">_xlfn.GAMMA.INV(1,3,2)</t>
  </si>
  <si>
    <t xml:space="preserve">_xlfn.GAMMA.INV(1.5,3,2)</t>
  </si>
  <si>
    <t xml:space="preserve">_xlfn.GAMMA.INV(0.5,-1,2)</t>
  </si>
  <si>
    <t xml:space="preserve">_xlfn.GAMMA.INV(0.5,3,0)</t>
  </si>
  <si>
    <t xml:space="preserve">_xlfn.CHISQ.DIST(3,4,TRUE)</t>
  </si>
  <si>
    <t xml:space="preserve">_xlfn.CHISQ.DIST(3,4,FALSE)</t>
  </si>
  <si>
    <t xml:space="preserve">_xlfn.CHISQ.DIST.RT(3,4)</t>
  </si>
  <si>
    <t xml:space="preserve">CHIDIST(3,4)</t>
  </si>
  <si>
    <t xml:space="preserve">CHIDIST(0,4)</t>
  </si>
  <si>
    <t xml:space="preserve">_xlfn.CHISQ.DIST(-1,4,TRUE)</t>
  </si>
  <si>
    <t xml:space="preserve">_xlfn.CHISQ.DIST(3,0,TRUE)</t>
  </si>
  <si>
    <t xml:space="preserve">_xlfn.CHISQ.DIST(3,1E10,TRUE)</t>
  </si>
  <si>
    <t xml:space="preserve">_xlfn.CHISQ.DIST(3,4.9,TRUE)</t>
  </si>
  <si>
    <t xml:space="preserve">_xlfn.CHISQ.DIST(0,2,FALSE)</t>
  </si>
  <si>
    <t xml:space="preserve">_xlfn.CHISQ.DIST(0,1,FALSE)</t>
  </si>
  <si>
    <t xml:space="preserve">_xlfn.CHISQ.INV(0.5,4)</t>
  </si>
  <si>
    <t xml:space="preserve">_xlfn.CHISQ.INV.RT(0.05,4)</t>
  </si>
  <si>
    <t xml:space="preserve">CHIINV(0.05,4)</t>
  </si>
  <si>
    <t xml:space="preserve">CHIINV(0.5,1)</t>
  </si>
  <si>
    <t xml:space="preserve">_xlfn.CHISQ.INV(0,4)</t>
  </si>
  <si>
    <t xml:space="preserve">_xlfn.CHISQ.INV(1,4)</t>
  </si>
  <si>
    <t xml:space="preserve">CHIINV(1.5,4)</t>
  </si>
  <si>
    <t xml:space="preserve">CHIINV(0.5,0)</t>
  </si>
  <si>
    <t xml:space="preserve">_xlfn.CHISQ.INV(0.99,30)</t>
  </si>
  <si>
    <t xml:space="preserve">_xlfn.CHISQ.TEST(Data!H1:H5,Data!I1:I5)</t>
  </si>
  <si>
    <t xml:space="preserve">CHITEST(Data!H1:H5,Data!K1:K5)</t>
  </si>
  <si>
    <t xml:space="preserve">CHITEST(Data!A1:A2,Data!A1:A3)</t>
  </si>
  <si>
    <t xml:space="preserve">_xlfn.T.DIST(1.5,10,TRUE)</t>
  </si>
  <si>
    <t xml:space="preserve">_xlfn.T.DIST(1.5,10,FALSE)</t>
  </si>
  <si>
    <t xml:space="preserve">_xlfn.T.DIST(-1.5,10,TRUE)</t>
  </si>
  <si>
    <t xml:space="preserve">_xlfn.T.DIST(0.3,1,TRUE)</t>
  </si>
  <si>
    <t xml:space="preserve">_xlfn.T.DIST(2,0,TRUE)</t>
  </si>
  <si>
    <t xml:space="preserve">_xlfn.T.DIST(2,3.7,TRUE)</t>
  </si>
  <si>
    <t xml:space="preserve">_xlfn.T.DIST.RT(1.5,10)</t>
  </si>
  <si>
    <t xml:space="preserve">_xlfn.T.DIST.RT(-1.5,10)</t>
  </si>
  <si>
    <t xml:space="preserve">_xlfn.T.DIST.2T(1.5,10)</t>
  </si>
  <si>
    <t xml:space="preserve">_xlfn.T.DIST.2T(-1.5,10)</t>
  </si>
  <si>
    <t xml:space="preserve">_xlfn.T.DIST.2T(0,10)</t>
  </si>
  <si>
    <t xml:space="preserve">TDIST(1.5,10,1)</t>
  </si>
  <si>
    <t xml:space="preserve">TDIST(1.5,10,2)</t>
  </si>
  <si>
    <t xml:space="preserve">TDIST(-1.5,10,2)</t>
  </si>
  <si>
    <t xml:space="preserve">TDIST(1.5,10,3)</t>
  </si>
  <si>
    <t xml:space="preserve">TDIST(1.5,0,1)</t>
  </si>
  <si>
    <t xml:space="preserve">TDIST(1.5,10.9,2)</t>
  </si>
  <si>
    <t xml:space="preserve">_xlfn.T.INV(0.9,10)</t>
  </si>
  <si>
    <t xml:space="preserve">_xlfn.T.INV(0.1,10)</t>
  </si>
  <si>
    <t xml:space="preserve">_xlfn.T.INV(0.5,10)</t>
  </si>
  <si>
    <t xml:space="preserve">_xlfn.T.INV.2T(0.1,10)</t>
  </si>
  <si>
    <t xml:space="preserve">TINV(0.05,10)</t>
  </si>
  <si>
    <t xml:space="preserve">TINV(0.05,1)</t>
  </si>
  <si>
    <t xml:space="preserve">_xlfn.T.INV(0,10)</t>
  </si>
  <si>
    <t xml:space="preserve">_xlfn.T.INV(1,10)</t>
  </si>
  <si>
    <t xml:space="preserve">TINV(0,10)</t>
  </si>
  <si>
    <t xml:space="preserve">TINV(1.5,10)</t>
  </si>
  <si>
    <t xml:space="preserve">TINV(0.05,0)</t>
  </si>
  <si>
    <t xml:space="preserve">_xlfn.T.INV(0.975,2.9)</t>
  </si>
  <si>
    <t xml:space="preserve">_xlfn.T.TEST(Data!A1:A8,Data!K1:K8,2,1)</t>
  </si>
  <si>
    <t xml:space="preserve">_xlfn.T.TEST(Data!A1:A8,Data!K1:K8,1,2)</t>
  </si>
  <si>
    <t xml:space="preserve">TTEST(Data!A1:A8,Data!K1:K8,2,3)</t>
  </si>
  <si>
    <t xml:space="preserve">TTEST(Data!A1:A5,Data!K1:K8,2,2)</t>
  </si>
  <si>
    <t xml:space="preserve">TTEST(Data!A1:A5,Data!K1:K8,2,3)</t>
  </si>
  <si>
    <t xml:space="preserve">TTEST(Data!A1:A5,Data!K1:K8,2,1)</t>
  </si>
  <si>
    <t xml:space="preserve">TTEST(Data!A1:A8,Data!K1:K8,3,2)</t>
  </si>
  <si>
    <t xml:space="preserve">TTEST(Data!A1:A8,Data!K1:K8,2,4)</t>
  </si>
  <si>
    <t xml:space="preserve">_xlfn.F.DIST(2,5,8,TRUE)</t>
  </si>
  <si>
    <t xml:space="preserve">_xlfn.F.DIST(2,5,8,FALSE)</t>
  </si>
  <si>
    <t xml:space="preserve">_xlfn.F.DIST.RT(2,5,8)</t>
  </si>
  <si>
    <t xml:space="preserve">FDIST(2,5,8)</t>
  </si>
  <si>
    <t xml:space="preserve">_xlfn.F.DIST(0,5,8,TRUE)</t>
  </si>
  <si>
    <t xml:space="preserve">_xlfn.F.DIST(0,2,8,FALSE)</t>
  </si>
  <si>
    <t xml:space="preserve">_xlfn.F.DIST(-1,5,8,TRUE)</t>
  </si>
  <si>
    <t xml:space="preserve">_xlfn.F.DIST(2,0,8,TRUE)</t>
  </si>
  <si>
    <t xml:space="preserve">_xlfn.F.DIST(2,5,1E11,TRUE)</t>
  </si>
  <si>
    <t xml:space="preserve">_xlfn.F.DIST(2,5.9,8.9,TRUE)</t>
  </si>
  <si>
    <t xml:space="preserve">FDIST(0,5,8)</t>
  </si>
  <si>
    <t xml:space="preserve">_xlfn.F.INV(0.9,5,8)</t>
  </si>
  <si>
    <t xml:space="preserve">_xlfn.F.INV.RT(0.05,5,8)</t>
  </si>
  <si>
    <t xml:space="preserve">FINV(0.05,5,8)</t>
  </si>
  <si>
    <t xml:space="preserve">_xlfn.F.INV(0,5,8)</t>
  </si>
  <si>
    <t xml:space="preserve">_xlfn.F.INV(1,5,8)</t>
  </si>
  <si>
    <t xml:space="preserve">FINV(1.5,5,8)</t>
  </si>
  <si>
    <t xml:space="preserve">FINV(0.05,0,8)</t>
  </si>
  <si>
    <t xml:space="preserve">_xlfn.F.TEST(Data!A1:A8,Data!K1:K8)</t>
  </si>
  <si>
    <t xml:space="preserve">FTEST(Data!A1:A5,Data!K1:K8)</t>
  </si>
  <si>
    <t xml:space="preserve">FTEST(Data!A1,Data!K1:K8)</t>
  </si>
  <si>
    <t xml:space="preserve">_xlfn.BETA.DIST(0.4,2,3,TRUE)</t>
  </si>
  <si>
    <t xml:space="preserve">_xlfn.BETA.DIST(0.4,2,3,FALSE)</t>
  </si>
  <si>
    <t xml:space="preserve">_xlfn.BETA.DIST(5,2,3,TRUE,1,10)</t>
  </si>
  <si>
    <t xml:space="preserve">_xlfn.BETA.DIST(5,2,3,FALSE,1,10)</t>
  </si>
  <si>
    <t xml:space="preserve">BETADIST(0.4,2,3)</t>
  </si>
  <si>
    <t xml:space="preserve">BETADIST(5,2,3,1,10)</t>
  </si>
  <si>
    <t xml:space="preserve">_xlfn.BETA.DIST(0,2,3,TRUE)</t>
  </si>
  <si>
    <t xml:space="preserve">_xlfn.BETA.DIST(1,2,3,TRUE)</t>
  </si>
  <si>
    <t xml:space="preserve">_xlfn.BETA.DIST(0,1,3,FALSE)</t>
  </si>
  <si>
    <t xml:space="preserve">_xlfn.BETA.DIST(1.5,2,3,TRUE)</t>
  </si>
  <si>
    <t xml:space="preserve">_xlfn.BETA.DIST(0.4,0,3,TRUE)</t>
  </si>
  <si>
    <t xml:space="preserve">_xlfn.BETA.DIST(0.4,2,3,TRUE,1,1)</t>
  </si>
  <si>
    <t xml:space="preserve">BETADIST(0.4,2,3,0.5,0.3)</t>
  </si>
  <si>
    <t xml:space="preserve">_xlfn.BETA.INV(0.5,2,3)</t>
  </si>
  <si>
    <t xml:space="preserve">BETAINV(0.9,2,3,1,10)</t>
  </si>
  <si>
    <t xml:space="preserve">_xlfn.BETA.INV(0,2,3)</t>
  </si>
  <si>
    <t xml:space="preserve">_xlfn.BETA.INV(1,2,3)</t>
  </si>
  <si>
    <t xml:space="preserve">BETAINV(1.5,2,3)</t>
  </si>
  <si>
    <t xml:space="preserve">BETAINV(0.5,0,3)</t>
  </si>
  <si>
    <t xml:space="preserve">BETAINV(0.5,2,3,1,1)</t>
  </si>
  <si>
    <t xml:space="preserve">_xlfn.LOGNORM.DIST(4,1.3,0.7,TRUE)</t>
  </si>
  <si>
    <t xml:space="preserve">_xlfn.LOGNORM.DIST(4,1.3,0.7,FALSE)</t>
  </si>
  <si>
    <t xml:space="preserve">LOGNORMDIST(4,1.3,0.7)</t>
  </si>
  <si>
    <t xml:space="preserve">_xlfn.LOGNORM.DIST(0,1.3,0.7,TRUE)</t>
  </si>
  <si>
    <t xml:space="preserve">_xlfn.LOGNORM.DIST(-1,1.3,0.7,TRUE)</t>
  </si>
  <si>
    <t xml:space="preserve">_xlfn.LOGNORM.DIST(4,1.3,0,TRUE)</t>
  </si>
  <si>
    <t xml:space="preserve">_xlfn.LOGNORM.INV(0.5,1.3,0.7)</t>
  </si>
  <si>
    <t xml:space="preserve">LOGINV(0.9,0,1)</t>
  </si>
  <si>
    <t xml:space="preserve">LOGINV(0,0,1)</t>
  </si>
  <si>
    <t xml:space="preserve">LOGINV(1,0,1)</t>
  </si>
  <si>
    <t xml:space="preserve">LOGINV(0.5,0,0)</t>
  </si>
  <si>
    <t xml:space="preserve">_xlfn.WEIBULL.DIST(2,1.5,3,TRUE)</t>
  </si>
  <si>
    <t xml:space="preserve">_xlfn.WEIBULL.DIST(2,1.5,3,FALSE)</t>
  </si>
  <si>
    <t xml:space="preserve">WEIBULL(2,1.5,3,TRUE)</t>
  </si>
  <si>
    <t xml:space="preserve">WEIBULL(0,1.5,3,TRUE)</t>
  </si>
  <si>
    <t xml:space="preserve">WEIBULL(0,1,3,FALSE)</t>
  </si>
  <si>
    <t xml:space="preserve">WEIBULL(-1,1.5,3,TRUE)</t>
  </si>
  <si>
    <t xml:space="preserve">WEIBULL(2,0,3,TRUE)</t>
  </si>
  <si>
    <t xml:space="preserve">WEIBULL(2,1.5,0,TRUE)</t>
  </si>
  <si>
    <t xml:space="preserve">_xlfn.HYPGEOM.DIST(2,5,4,12,TRUE)</t>
  </si>
  <si>
    <t xml:space="preserve">_xlfn.HYPGEOM.DIST(2,5,4,12,FALSE)</t>
  </si>
  <si>
    <t xml:space="preserve">HYPGEOMDIST(2,5,4,12)</t>
  </si>
  <si>
    <t xml:space="preserve">HYPGEOMDIST(0,5,4,12)</t>
  </si>
  <si>
    <t xml:space="preserve">HYPGEOMDIST(6,5,4,12)</t>
  </si>
  <si>
    <t xml:space="preserve">HYPGEOMDIST(2,5,4,3)</t>
  </si>
  <si>
    <t xml:space="preserve">HYPGEOMDIST(2,5,4,2)</t>
  </si>
  <si>
    <t xml:space="preserve">HYPGEOMDIST(2.9,5.9,4.9,12.9)</t>
  </si>
  <si>
    <t xml:space="preserve">_xlfn.NEGBINOM.DIST(3,2,0.4,TRUE)</t>
  </si>
  <si>
    <t xml:space="preserve">_xlfn.NEGBINOM.DIST(3,2,0.4,FALSE)</t>
  </si>
  <si>
    <t xml:space="preserve">NEGBINOMDIST(3,2,0.4)</t>
  </si>
  <si>
    <t xml:space="preserve">NEGBINOMDIST(0,1,0.4)</t>
  </si>
  <si>
    <t xml:space="preserve">NEGBINOMDIST(-1,2,0.4)</t>
  </si>
  <si>
    <t xml:space="preserve">NEGBINOMDIST(3,0,0.4)</t>
  </si>
  <si>
    <t xml:space="preserve">NEGBINOMDIST(3,2,0)</t>
  </si>
  <si>
    <t xml:space="preserve">NEGBINOMDIST(3,2,1)</t>
  </si>
  <si>
    <t xml:space="preserve">_xlfn.BINOM.INV(10,0.4,0.5)</t>
  </si>
  <si>
    <t xml:space="preserve">CRITBINOM(10,0.4,0.9)</t>
  </si>
  <si>
    <t xml:space="preserve">CRITBINOM(10,0.4,0)</t>
  </si>
  <si>
    <t xml:space="preserve">CRITBINOM(10,0.4,1)</t>
  </si>
  <si>
    <t xml:space="preserve">CRITBINOM(10,0.4,1.5)</t>
  </si>
  <si>
    <t xml:space="preserve">CRITBINOM(-1,0.4,0.5)</t>
  </si>
  <si>
    <t xml:space="preserve">CRITBINOM(10,1.5,0.5)</t>
  </si>
  <si>
    <t xml:space="preserve">CRITBINOM(10.9,0.4,0.5)</t>
  </si>
  <si>
    <t xml:space="preserve">CRITBINOM(1000,0.5,0.999)</t>
  </si>
  <si>
    <t xml:space="preserve">_xlfn.CONFIDENCE.NORM(0.05,2.5,50)</t>
  </si>
  <si>
    <t xml:space="preserve">CONFIDENCE(0.05,2.5,50)</t>
  </si>
  <si>
    <t xml:space="preserve">_xlfn.CONFIDENCE.T(0.05,2.5,50)</t>
  </si>
  <si>
    <t xml:space="preserve">_xlfn.CONFIDENCE.T(0.05,2.5,1)</t>
  </si>
  <si>
    <t xml:space="preserve">_xlfn.CONFIDENCE.T(0.05,2.5,2)</t>
  </si>
  <si>
    <t xml:space="preserve">CONFIDENCE(0,2.5,50)</t>
  </si>
  <si>
    <t xml:space="preserve">CONFIDENCE(1,2.5,50)</t>
  </si>
  <si>
    <t xml:space="preserve">CONFIDENCE(0.05,0,50)</t>
  </si>
  <si>
    <t xml:space="preserve">CONFIDENCE(0.05,2.5,0.5)</t>
  </si>
  <si>
    <t xml:space="preserve">CONFIDENCE(0.05,2.5,50.9)</t>
  </si>
  <si>
    <t xml:space="preserve">_xlfn.Z.TEST(Data!A1:A8,4)</t>
  </si>
  <si>
    <t xml:space="preserve">ZTEST(Data!A1:A8,6,2)</t>
  </si>
  <si>
    <t xml:space="preserve">ZTEST(Data!A1:A8,6,0)</t>
  </si>
  <si>
    <t xml:space="preserve">ZTEST(Data!A1,6)</t>
  </si>
  <si>
    <t xml:space="preserve">ZTEST(Data!H1:H5,2)</t>
  </si>
  <si>
    <t xml:space="preserve">PROB(Data!H1:H5,Data!I1:I5,3,7)</t>
  </si>
  <si>
    <t xml:space="preserve">PROB(Data!H1:H5,Data!I1:I5,3)</t>
  </si>
  <si>
    <t xml:space="preserve">PROB(Data!H1:H5,Data!I1:I5,10)</t>
  </si>
  <si>
    <t xml:space="preserve">PROB(Data!H1:H5,Data!A1:A5,3)</t>
  </si>
  <si>
    <t xml:space="preserve">PROB(Data!H1:H5,Data!A1:A5,3,7)</t>
  </si>
  <si>
    <t xml:space="preserve">PROB(Data!H1:H3,Data!I1:I5,3)</t>
  </si>
  <si>
    <t xml:space="preserve">PROB(Data!H1:H5,Data!I1:I5,7,3)</t>
  </si>
  <si>
    <t xml:space="preserve">PROB(Data!H1:H5,Data!K1:K5,3,7)</t>
  </si>
  <si>
    <t xml:space="preserve">B(10,0.4,3)</t>
  </si>
  <si>
    <t xml:space="preserve">B(10,0.4,3,5)</t>
  </si>
  <si>
    <t xml:space="preserve">B(10,0.4,5,3)</t>
  </si>
  <si>
    <t xml:space="preserve">B(10,0.4,11)</t>
  </si>
  <si>
    <t xml:space="preserve">B(10,1.5,3)</t>
  </si>
  <si>
    <t xml:space="preserve">B(10,0.4,3,11)</t>
  </si>
  <si>
    <t xml:space="preserve">B(10,0.4,-1)</t>
  </si>
  <si>
    <t xml:space="preserve">_xlfn.T.DIST(2,100,TRUE)</t>
  </si>
  <si>
    <t xml:space="preserve">_xlfn.T.DIST(2,1000,TRUE)</t>
  </si>
  <si>
    <t xml:space="preserve">_xlfn.T.DIST(2,1E4,TRUE)</t>
  </si>
  <si>
    <t xml:space="preserve">_xlfn.T.DIST(2,1E5,TRUE)</t>
  </si>
  <si>
    <t xml:space="preserve">_xlfn.T.DIST(2,1E6,TRUE)</t>
  </si>
  <si>
    <t xml:space="preserve">_xlfn.T.DIST(2,1E7,TRUE)</t>
  </si>
  <si>
    <t xml:space="preserve">_xlfn.CHISQ.DIST(1000,1000,TRUE)</t>
  </si>
  <si>
    <t xml:space="preserve">_xlfn.CHISQ.DIST(1E5,1E5,TRUE)</t>
  </si>
  <si>
    <t xml:space="preserve">_xlfn.CHISQ.DIST(1E7,1E7,TRUE)</t>
  </si>
  <si>
    <t xml:space="preserve">_xlfn.CHISQ.DIST(1E9,1E9,TRUE)</t>
  </si>
  <si>
    <t xml:space="preserve">_xlfn.CHISQ.DIST(1E10,1E10,TRUE)</t>
  </si>
  <si>
    <t xml:space="preserve">_xlfn.F.DIST(2,1000,1000,TRUE)</t>
  </si>
  <si>
    <t xml:space="preserve">_xlfn.F.DIST(2,1E5,1E5,TRUE)</t>
  </si>
  <si>
    <t xml:space="preserve">_xlfn.F.DIST(2,1E7,1E7,TRUE)</t>
  </si>
  <si>
    <t xml:space="preserve">_xlfn.F.DIST(2,5,1E10,TRUE)</t>
  </si>
  <si>
    <t xml:space="preserve">_xlfn.CHISQ.DIST(3,10000000001,TRUE)</t>
  </si>
  <si>
    <t xml:space="preserve">CHIDIST(3,1E10)</t>
  </si>
  <si>
    <t xml:space="preserve">CHIDIST(3,10000000001)</t>
  </si>
  <si>
    <t xml:space="preserve">_xlfn.CHISQ.DIST.RT(3,10000000001)</t>
  </si>
  <si>
    <t xml:space="preserve">_xlfn.CHISQ.INV(0.5,10000000001)</t>
  </si>
  <si>
    <t xml:space="preserve">CHIINV(0.5,10000000001)</t>
  </si>
  <si>
    <t xml:space="preserve">_xlfn.CHISQ.INV(0.5,1E10)</t>
  </si>
  <si>
    <t xml:space="preserve">_xlfn.CHISQ.INV.RT(0.5,1E10)</t>
  </si>
  <si>
    <t xml:space="preserve">_xlfn.GAMMA.DIST(1000,1000,1,TRUE)</t>
  </si>
  <si>
    <t xml:space="preserve">_xlfn.GAMMA.DIST(1E5,1E5,1,TRUE)</t>
  </si>
  <si>
    <t xml:space="preserve">_xlfn.GAMMA.DIST(1E7,1E7,1,TRUE)</t>
  </si>
  <si>
    <t xml:space="preserve">_xlfn.GAMMA.DIST(1E9,1E9,1,TRUE)</t>
  </si>
  <si>
    <t xml:space="preserve">_xlfn.BETA.DIST(0.5,1000,1000,TRUE)</t>
  </si>
  <si>
    <t xml:space="preserve">_xlfn.BETA.DIST(0.5,1E6,1E6,TRUE)</t>
  </si>
  <si>
    <t xml:space="preserve">_xlfn.BETA.DIST(0.5,1E7,1E7,TRUE)</t>
  </si>
  <si>
    <t xml:space="preserve">CHIINV(1,4)</t>
  </si>
  <si>
    <t xml:space="preserve">CHIINV(0,4)</t>
  </si>
  <si>
    <t xml:space="preserve">TINV(1,10)</t>
  </si>
  <si>
    <t xml:space="preserve">TINV(0.5,10)</t>
  </si>
  <si>
    <t xml:space="preserve">FINV(1,5,8)</t>
  </si>
  <si>
    <t xml:space="preserve">_xlfn.F.INV.RT(1,5,8)</t>
  </si>
  <si>
    <t xml:space="preserve">_xlfn.F.INV.RT(0,5,8)</t>
  </si>
  <si>
    <t xml:space="preserve">_xlfn.BETA.DIST(0,0.5,3,FALSE)</t>
  </si>
  <si>
    <t xml:space="preserve">_xlfn.BETA.DIST(1,2,1,FALSE)</t>
  </si>
  <si>
    <t xml:space="preserve">_xlfn.LOGNORM.DIST(0,1.3,0.7,FALSE)</t>
  </si>
  <si>
    <t xml:space="preserve">_xlfn.LOGNORM.DIST(-1,1.3,0.7,FALSE)</t>
  </si>
  <si>
    <t xml:space="preserve">WEIBULL(0,0.5,3,FALSE)</t>
  </si>
  <si>
    <t xml:space="preserve">WEIBULL(0,2,3,FALSE)</t>
  </si>
  <si>
    <t xml:space="preserve">_xlfn.NEGBINOM.DIST(3,0,0.4,TRUE)</t>
  </si>
  <si>
    <t xml:space="preserve">_xlfn.NEGBINOM.DIST(0,2,0.4,TRUE)</t>
  </si>
  <si>
    <t xml:space="preserve">_xlfn.NEGBINOM.DIST(3.9,2.9,0.4,FALSE)</t>
  </si>
  <si>
    <t xml:space="preserve">_xlfn.NEGBINOM.DIST(0,2,0.4,FALSE)</t>
  </si>
  <si>
    <t xml:space="preserve">_xlfn.NEGBINOM.DIST(0,2,1,FALSE)</t>
  </si>
  <si>
    <t xml:space="preserve">_xlfn.HYPGEOM.DIST(0,0,4,12,FALSE)</t>
  </si>
  <si>
    <t xml:space="preserve">_xlfn.HYPGEOM.DIST(0,0,0,12,TRUE)</t>
  </si>
  <si>
    <t xml:space="preserve">_xlfn.HYPGEOM.DIST(4,5,4,12,TRUE)</t>
  </si>
  <si>
    <t xml:space="preserve">_xlfn.HYPGEOM.DIST(1,5,4,12,TRUE)</t>
  </si>
  <si>
    <t xml:space="preserve">_xlfn.HYPGEOM.DIST(5,5,5,5,FALSE)</t>
  </si>
  <si>
    <t xml:space="preserve">B(0,0.4,0)</t>
  </si>
  <si>
    <t xml:space="preserve">B(10,0,0)</t>
  </si>
  <si>
    <t xml:space="preserve">B(10,1,10)</t>
  </si>
  <si>
    <t xml:space="preserve">B(10,0.4,0,10)</t>
  </si>
  <si>
    <t xml:space="preserve">B(10.9,0.4,3.9)</t>
  </si>
  <si>
    <t xml:space="preserve">_xlfn.CONFIDENCE.T(0.05,2.5,3.9)</t>
  </si>
  <si>
    <t xml:space="preserve">_xlfn.CONFIDENCE.NORM(0.05,2.5,1)</t>
  </si>
  <si>
    <t xml:space="preserve">_xlfn.CONFIDENCE.T(0.05,2.5,0.9)</t>
  </si>
  <si>
    <t xml:space="preserve">TTEST({1;1;1},{1;1;1},2,2)</t>
  </si>
  <si>
    <t xml:space="preserve">TTEST({1;2;3},{1;2;3},2,1)</t>
  </si>
  <si>
    <t xml:space="preserve">TTEST({1;2;3},{2;3;5},2,1)</t>
  </si>
  <si>
    <t xml:space="preserve">TTEST({1;2},{1;2;3},1,3)</t>
  </si>
  <si>
    <t xml:space="preserve">TTEST({1},{1;2;3},1,2)</t>
  </si>
  <si>
    <t xml:space="preserve">FTEST({1;1;1},{1;2;3})</t>
  </si>
  <si>
    <t xml:space="preserve">FTEST({1;2;3},{1;1;1})</t>
  </si>
  <si>
    <t xml:space="preserve">FTEST({1;2;3},{1;2;3.5})</t>
  </si>
  <si>
    <t xml:space="preserve">ZTEST({1;2;3},2)</t>
  </si>
  <si>
    <t xml:space="preserve">ZTEST({1;2;3},2,1)</t>
  </si>
  <si>
    <t xml:space="preserve">ZTEST({1;1;1},2)</t>
  </si>
  <si>
    <t xml:space="preserve">ZTEST({1},2,3)</t>
  </si>
  <si>
    <t xml:space="preserve">PROB({1;2;3;4},{0.1;0.2;0.3;0.4},2,3)</t>
  </si>
  <si>
    <t xml:space="preserve">PROB({1;2;3;4},{0.1;0.2;0.3;0.4},2)</t>
  </si>
  <si>
    <t xml:space="preserve">PROB({1;2;3;4},{0.1;0.2;0.3;0.4},2.5)</t>
  </si>
  <si>
    <t xml:space="preserve">PROB({1;2;3;4},{0.1;0.2;0.3;0.4},0,10)</t>
  </si>
  <si>
    <t xml:space="preserve">PROB({1;2;3;4},{0.1;0.2;0.3;0.4},3,2)</t>
  </si>
  <si>
    <t xml:space="preserve">PROB({1;2;3;4},{0.1;0.2;0.3;0.5},2,3)</t>
  </si>
  <si>
    <t xml:space="preserve">PROB({1;2;3;4},{0.1;0.2;0.3;0.3},2,3)</t>
  </si>
  <si>
    <t xml:space="preserve">PROB({1;2;3;4},{-0.1;0.4;0.3;0.4},2,3)</t>
  </si>
  <si>
    <t xml:space="preserve">PROB({1;2;3;4},{0.1;0.2;0.3},2,3)</t>
  </si>
  <si>
    <t xml:space="preserve">PROB({1;2},{0.5;0.5},1.5,2.5)</t>
  </si>
  <si>
    <t xml:space="preserve">PROB({1;2;3;4},{0.1;0.2;0.3;0.4},4,4)</t>
  </si>
  <si>
    <t xml:space="preserve">PROB({1;2;3;4},{0.1;0.2;0.3;0.4},1)</t>
  </si>
  <si>
    <t xml:space="preserve">CHITEST({1;2;3},{1;2;3})</t>
  </si>
  <si>
    <t xml:space="preserve">CHITEST({1,2;3,4},{2,2;2,3})</t>
  </si>
  <si>
    <t xml:space="preserve">CHITEST({1,2;3,4},{1,0;3,4})</t>
  </si>
  <si>
    <t xml:space="preserve">CHITEST({5},{5})</t>
  </si>
  <si>
    <t xml:space="preserve">_xlfn.GAMMALN.PRECISE(0.1)</t>
  </si>
  <si>
    <t xml:space="preserve">GAMMALN(1E10)</t>
  </si>
  <si>
    <t xml:space="preserve">_xlfn.GAMMA(1E-5)</t>
  </si>
  <si>
    <t xml:space="preserve">_xlfn.GAMMA(-0.5)</t>
  </si>
  <si>
    <t xml:space="preserve">_xlfn.GAMMA(-170.5)</t>
  </si>
  <si>
    <t xml:space="preserve">_xlfn.GAMMA(100.5)</t>
  </si>
  <si>
    <t xml:space="preserve">_xlfn.GAMMA(170.5)</t>
  </si>
  <si>
    <t xml:space="preserve">_xlfn.GAMMA(171.5)</t>
  </si>
  <si>
    <t xml:space="preserve">FISHER(0.999999)</t>
  </si>
  <si>
    <t xml:space="preserve">FISHERINV(-30)</t>
  </si>
  <si>
    <t xml:space="preserve">_xlfn.GAMMA.INV(0.5,0.01,1)</t>
  </si>
  <si>
    <t xml:space="preserve">_xlfn.GAMMA.INV(0.999999,50,2)</t>
  </si>
  <si>
    <t xml:space="preserve">_xlfn.CHISQ.INV(0.000001,3)</t>
  </si>
  <si>
    <t xml:space="preserve">_xlfn.CHISQ.INV.RT(0.000001,3)</t>
  </si>
  <si>
    <t xml:space="preserve">_xlfn.T.INV(0.000001,3)</t>
  </si>
  <si>
    <t xml:space="preserve">_xlfn.T.INV(0.999999,3)</t>
  </si>
  <si>
    <t xml:space="preserve">_xlfn.T.INV.2T(0.000001,3)</t>
  </si>
  <si>
    <t xml:space="preserve">_xlfn.F.INV(0.000001,3,4)</t>
  </si>
  <si>
    <t xml:space="preserve">_xlfn.F.INV.RT(0.000001,3,4)</t>
  </si>
  <si>
    <t xml:space="preserve">_xlfn.BETA.INV(0.000001,2,3)</t>
  </si>
  <si>
    <t xml:space="preserve">_xlfn.BETA.INV(0.999999,0.5,0.5)</t>
  </si>
  <si>
    <t xml:space="preserve">_xlfn.TEXTJOIN(",",TRUE,_xlfn.SEQUENCE(5))</t>
  </si>
  <si>
    <t xml:space="preserve">_xlfn.TEXTJOIN(",",TRUE,_xlfn.SEQUENCE(2,3))</t>
  </si>
  <si>
    <t xml:space="preserve">_xlfn.TEXTJOIN(",",TRUE,_xlfn.SEQUENCE(3,1,10,-2))</t>
  </si>
  <si>
    <t xml:space="preserve">_xlfn.TEXTJOIN(",",TRUE,_xlfn.SEQUENCE(2,2,0.5,0.25))</t>
  </si>
  <si>
    <t xml:space="preserve">_xlfn.TEXTJOIN(",",TRUE,_xlfn.SEQUENCE(2.9,1.9))</t>
  </si>
  <si>
    <t xml:space="preserve">_xlfn.SEQUENCE(0)</t>
  </si>
  <si>
    <t xml:space="preserve">_xlfn.SEQUENCE(1,0)</t>
  </si>
  <si>
    <t xml:space="preserve">_xlfn.SEQUENCE(-1)</t>
  </si>
  <si>
    <t xml:space="preserve">_xlfn.SEQUENCE("a")</t>
  </si>
  <si>
    <t xml:space="preserve">ROWS(_xlfn.SEQUENCE(4,3))</t>
  </si>
  <si>
    <t xml:space="preserve">COLUMNS(_xlfn.SEQUENCE(4,3))</t>
  </si>
  <si>
    <t xml:space="preserve">SUM(_xlfn.SEQUENCE(100))</t>
  </si>
  <si>
    <t xml:space="preserve">_xlfn.TEXTJOIN(",",TRUE,_xlfn.SEQUENCE(3,2,5,0))</t>
  </si>
  <si>
    <t xml:space="preserve">_xlfn.TEXTJOIN(",",TRUE,_xlfn.SEQUENCE(1,3,TRUE))</t>
  </si>
  <si>
    <t xml:space="preserve">_xlfn.TEXTJOIN(",",TRUE,_xlfn.SEQUENCE(2,,3))</t>
  </si>
  <si>
    <t xml:space="preserve">_xlfn.XMATCH(5,Data!A1:A8)</t>
  </si>
  <si>
    <t xml:space="preserve">_xlfn.XMATCH(6,Data!A1:A8)</t>
  </si>
  <si>
    <t xml:space="preserve">_xlfn.XMATCH(6,Data!A1:A8,-1)</t>
  </si>
  <si>
    <t xml:space="preserve">_xlfn.XMATCH(6,Data!A1:A8,1)</t>
  </si>
  <si>
    <t xml:space="preserve">_xlfn.XMATCH(0,Data!A1:A8,-1)</t>
  </si>
  <si>
    <t xml:space="preserve">_xlfn.XMATCH(100,Data!A1:A8,1)</t>
  </si>
  <si>
    <t xml:space="preserve">_xlfn.XMATCH("a*",Data!B1:B8,2)</t>
  </si>
  <si>
    <t xml:space="preserve">_xlfn.XMATCH("*e",Data!B1:B8,2)</t>
  </si>
  <si>
    <t xml:space="preserve">_xlfn.XMATCH("apple",Data!B1:B8,0,-1)</t>
  </si>
  <si>
    <t xml:space="preserve">_xlfn.XMATCH("APPLE",Data!B1:B8)</t>
  </si>
  <si>
    <t xml:space="preserve">_xlfn.XMATCH("fig",Data!B1:B8,0,1)</t>
  </si>
  <si>
    <t xml:space="preserve">_xlfn.XMATCH(3,{1;2;3;4},0,2)</t>
  </si>
  <si>
    <t xml:space="preserve">_xlfn.XMATCH(3,{4;3;2;1},0,-2)</t>
  </si>
  <si>
    <t xml:space="preserve">_xlfn.XMATCH(2.5,{1;2;3;4},1,2)</t>
  </si>
  <si>
    <t xml:space="preserve">_xlfn.XMATCH(2.5,{1;2;3;4},-1,2)</t>
  </si>
  <si>
    <t xml:space="preserve">_xlfn.XMATCH(3,{1,2,3,4})</t>
  </si>
  <si>
    <t xml:space="preserve">_xlfn.XMATCH(3,{1,2;3,4})</t>
  </si>
  <si>
    <t xml:space="preserve">_xlfn.XMATCH(5,Data!A1:A8,3)</t>
  </si>
  <si>
    <t xml:space="preserve">_xlfn.XMATCH(5,Data!A1:A8,0,0)</t>
  </si>
  <si>
    <t xml:space="preserve">_xlfn.XMATCH(5,Data!A1:A8,0,3)</t>
  </si>
  <si>
    <t xml:space="preserve">_xlfn.XMATCH(5,Data!A1)</t>
  </si>
  <si>
    <t xml:space="preserve">_xlfn.XMATCH(TRUE,{1;TRUE;3})</t>
  </si>
  <si>
    <t xml:space="preserve">_xlfn.XMATCH("5",Data!A1:A8)</t>
  </si>
  <si>
    <t xml:space="preserve">_xlfn.XMATCH("?e*",Data!B1:B8,2)</t>
  </si>
  <si>
    <t xml:space="preserve">_xlfn.XMATCH("a~*",{"a*";"ab"},2)</t>
  </si>
  <si>
    <t xml:space="preserve">_xlfn.XMATCH(5,{"a";5})</t>
  </si>
  <si>
    <t xml:space="preserve">_xlfn.TEXTJOIN(",",TRUE,_xlfn._xlws.FILTER(Data!A1:A8,Data!A1:A8&gt;4))</t>
  </si>
  <si>
    <t xml:space="preserve">_xlfn.TEXTJOIN(",",TRUE,_xlfn._xlws.FILTER(Data!B1:B8,Data!A1:A8&gt;4))</t>
  </si>
  <si>
    <t xml:space="preserve">_xlfn.TEXTJOIN(",",TRUE,_xlfn._xlws.FILTER(Data!A1:B8,Data!A1:A8&gt;4))</t>
  </si>
  <si>
    <t xml:space="preserve">_xlfn._xlws.FILTER(Data!A1:A8,Data!A1:A8&gt;100,"none")</t>
  </si>
  <si>
    <t xml:space="preserve">_xlfn._xlws.FILTER(Data!A1:A8,Data!A1:A8&gt;100)</t>
  </si>
  <si>
    <t xml:space="preserve">_xlfn.TEXTJOIN(",",TRUE,_xlfn._xlws.FILTER(Data!A1:A8,Data!K1:K8))</t>
  </si>
  <si>
    <t xml:space="preserve">_xlfn.TEXTJOIN(",",TRUE,_xlfn._xlws.FILTER(Data!A1:A8,{1;0;1}))</t>
  </si>
  <si>
    <t xml:space="preserve">_xlfn.TEXTJOIN(",",TRUE,_xlfn._xlws.FILTER(Data!E2:G2,Data!E2:G2&gt;15))</t>
  </si>
  <si>
    <t xml:space="preserve">COUNTA(_xlfn._xlws.FILTER(Data!A1:A8,Data!B1:B8="apple"))</t>
  </si>
  <si>
    <t xml:space="preserve">_xlfn.TEXTJOIN(",",TRUE,_xlfn._xlws.FILTER(Data!A1:A8,(Data!B1:B8="apple")+(Data!A1:A8&gt;8)))</t>
  </si>
  <si>
    <t xml:space="preserve">_xlfn.TEXTJOIN(",",TRUE,_xlfn._xlws.FILTER(Data!A1:A8,(Data!B1:B8="apple")*(Data!A1:A8&gt;4)))</t>
  </si>
  <si>
    <t xml:space="preserve">_xlfn.TEXTJOIN(",",TRUE,_xlfn._xlws.FILTER(Data!A1:A8,Data!B1:B8))</t>
  </si>
  <si>
    <t xml:space="preserve">_xlfn.TEXTJOIN(",",TRUE,_xlfn._xlws.FILTER(Data!A1:A8,{TRUE;FALSE;TRUE;FALSE;TRUE;FALSE;TRUE;FALSE}))</t>
  </si>
  <si>
    <t xml:space="preserve">_xlfn.TEXTJOIN(",",TRUE,_xlfn._xlws.FILTER(Data!A1:B3,{TRUE;FALSE;TRUE}))</t>
  </si>
  <si>
    <t xml:space="preserve">_xlfn._xlws.FILTER(Data!A1:A8,{1;0})</t>
  </si>
  <si>
    <t xml:space="preserve">_xlfn.TEXTJOIN(",",TRUE,_xlfn._xlws.FILTER(Data!A1:A8,Data!A1:A8&gt;4,"x"))</t>
  </si>
  <si>
    <t xml:space="preserve">_xlfn.TEXTJOIN(",",TRUE,_xlfn._xlws.FILTER(Data!A1:A3,{1;1;1},0))</t>
  </si>
  <si>
    <t xml:space="preserve">_xlfn._xlws.FILTER(Data!A1:A8,Data!A1:A8&gt;100,)</t>
  </si>
  <si>
    <t xml:space="preserve">_xlfn.TEXTJOIN(",",TRUE,_xlfn._xlws.SORT(Data!A1:A8))</t>
  </si>
  <si>
    <t xml:space="preserve">_xlfn.TEXTJOIN(",",TRUE,_xlfn._xlws.SORT(Data!A1:A8,1,-1))</t>
  </si>
  <si>
    <t xml:space="preserve">_xlfn.TEXTJOIN(",",TRUE,_xlfn._xlws.SORT(Data!B1:B8))</t>
  </si>
  <si>
    <t xml:space="preserve">_xlfn.TEXTJOIN(",",TRUE,_xlfn._xlws.SORT(Data!A1:B8,2))</t>
  </si>
  <si>
    <t xml:space="preserve">_xlfn.TEXTJOIN(",",TRUE,_xlfn._xlws.SORT(Data!A1:B8,2,-1))</t>
  </si>
  <si>
    <t xml:space="preserve">_xlfn.TEXTJOIN(",",TRUE,_xlfn._xlws.SORT(Data!A1:B8,1,1,FALSE))</t>
  </si>
  <si>
    <t xml:space="preserve">_xlfn.TEXTJOIN(",",TRUE,_xlfn._xlws.SORT(Data!E2:G2,1,-1,TRUE))</t>
  </si>
  <si>
    <t xml:space="preserve">_xlfn._xlws.SORT(Data!A1:B8,3)</t>
  </si>
  <si>
    <t xml:space="preserve">_xlfn._xlws.SORT(Data!A1:A8,1,0)</t>
  </si>
  <si>
    <t xml:space="preserve">_xlfn._xlws.SORT(Data!A1:A8,0)</t>
  </si>
  <si>
    <t xml:space="preserve">_xlfn._xlws.SORT(Data!A1:A8,1,2)</t>
  </si>
  <si>
    <t xml:space="preserve">_xlfn.TEXTJOIN(",",TRUE,_xlfn._xlws.SORT({3;"a";TRUE;2;"B";1}))</t>
  </si>
  <si>
    <t xml:space="preserve">_xlfn.TEXTJOIN(",",TRUE,_xlfn._xlws.SORT({3;"b";"A";"a";"B"}))</t>
  </si>
  <si>
    <t xml:space="preserve">_xlfn.TEXTJOIN(",",TRUE,_xlfn._xlws.SORT({3;1;2},1,-1))</t>
  </si>
  <si>
    <t xml:space="preserve">_xlfn.TEXTJOIN(",",TRUE,_xlfn._xlws.SORT(Data!A1:K3,11))</t>
  </si>
  <si>
    <t xml:space="preserve">_xlfn.TEXTJOIN(",",TRUE,_xlfn._xlws.SORT({1;5;3},1,1,TRUE))</t>
  </si>
  <si>
    <t xml:space="preserve">_xlfn.TEXTJOIN(",",TRUE,_xlfn._xlws.SORT(Data!A1:A8,1,-1,FALSE))</t>
  </si>
  <si>
    <t xml:space="preserve">_xlfn.TEXTJOIN(",",TRUE,_xlfn._xlws.SORT(Data!B1:B8,1,-1))</t>
  </si>
  <si>
    <t xml:space="preserve">_xlfn.TEXTJOIN(",",TRUE,_xlfn._xlws.SORT({"é";"e";"f";"E";"z";"Z"}))</t>
  </si>
  <si>
    <t xml:space="preserve">_xlfn.TEXTJOIN(",",TRUE,_xlfn._xlws.SORT({10;9;"10";"9"}))</t>
  </si>
  <si>
    <t xml:space="preserve">_xlfn.TEXTJOIN(",",TRUE,_xlfn.SORTBY(Data!B1:B8,Data!A1:A8))</t>
  </si>
  <si>
    <t xml:space="preserve">_xlfn.TEXTJOIN(",",TRUE,_xlfn.SORTBY(Data!A1:A8,Data!B1:B8,1,Data!A1:A8,-1))</t>
  </si>
  <si>
    <t xml:space="preserve">_xlfn.TEXTJOIN(",",TRUE,_xlfn.SORTBY(Data!A1:A8,Data!B1:B8,-1))</t>
  </si>
  <si>
    <t xml:space="preserve">_xlfn.SORTBY(Data!A1:A8,Data!B1:B7)</t>
  </si>
  <si>
    <t xml:space="preserve">_xlfn.TEXTJOIN(",",TRUE,_xlfn.SORTBY(Data!A1:B8,Data!A1:A8,-1))</t>
  </si>
  <si>
    <t xml:space="preserve">_xlfn.TEXTJOIN(",",TRUE,_xlfn.SORTBY(Data!A1:A8,Data!A1:A8))</t>
  </si>
  <si>
    <t xml:space="preserve">_xlfn.SORTBY(Data!A1:A8,Data!B1:B8,0)</t>
  </si>
  <si>
    <t xml:space="preserve">_xlfn.TEXTJOIN(",",TRUE,_xlfn.SORTBY(Data!E1:G2,{3,1,2}))</t>
  </si>
  <si>
    <t xml:space="preserve">_xlfn.TEXTJOIN(",",TRUE,_xlfn.SORTBY(Data!A1:A8,Data!B1:B8,1,Data!K1:K8))</t>
  </si>
  <si>
    <t xml:space="preserve">_xlfn.TEXTJOIN(",",TRUE,_xlfn.TAKE(Data!A1:A8,3))</t>
  </si>
  <si>
    <t xml:space="preserve">_xlfn.TEXTJOIN(",",TRUE,_xlfn.TAKE(Data!A1:A8,-3))</t>
  </si>
  <si>
    <t xml:space="preserve">_xlfn.TEXTJOIN(",",TRUE,_xlfn.TAKE(Data!A1:B8,2,1))</t>
  </si>
  <si>
    <t xml:space="preserve">_xlfn.TEXTJOIN(",",TRUE,_xlfn.TAKE(Data!A1:B8,,1))</t>
  </si>
  <si>
    <t xml:space="preserve">_xlfn.TAKE(Data!A1:A8,0)</t>
  </si>
  <si>
    <t xml:space="preserve">_xlfn.TEXTJOIN(",",TRUE,_xlfn.TAKE(Data!A1:A8,100))</t>
  </si>
  <si>
    <t xml:space="preserve">_xlfn.TEXTJOIN(",",TRUE,_xlfn.TAKE(Data!A1:B8,2,-1))</t>
  </si>
  <si>
    <t xml:space="preserve">_xlfn.TEXTJOIN(",",TRUE,_xlfn.TAKE(Data!A1:B3,-2,-1))</t>
  </si>
  <si>
    <t xml:space="preserve">_xlfn.TAKE(Data!A1:A8,2,0)</t>
  </si>
  <si>
    <t xml:space="preserve">_xlfn.TEXTJOIN(",",TRUE,_xlfn.TAKE(Data!A1:A8,2,5))</t>
  </si>
  <si>
    <t xml:space="preserve">_xlfn.TEXTJOIN(",",TRUE,_xlfn.TAKE(Data!E1:G2,1))</t>
  </si>
  <si>
    <t xml:space="preserve">_xlfn.TEXTJOIN(",",TRUE,_xlfn.DROP(Data!A1:A8,5))</t>
  </si>
  <si>
    <t xml:space="preserve">_xlfn.TEXTJOIN(",",TRUE,_xlfn.DROP(Data!A1:A8,-5))</t>
  </si>
  <si>
    <t xml:space="preserve">_xlfn.TEXTJOIN(",",TRUE,_xlfn.DROP(Data!A1:B8,1,1))</t>
  </si>
  <si>
    <t xml:space="preserve">_xlfn.DROP(Data!A1:A8,8)</t>
  </si>
  <si>
    <t xml:space="preserve">_xlfn.TEXTJOIN(",",TRUE,_xlfn.DROP(Data!A1:A8,0))</t>
  </si>
  <si>
    <t xml:space="preserve">_xlfn.DROP(Data!A1:A8,100)</t>
  </si>
  <si>
    <t xml:space="preserve">_xlfn.TEXTJOIN(",",TRUE,_xlfn.DROP(Data!A1:B3,,1))</t>
  </si>
  <si>
    <t xml:space="preserve">_xlfn.TEXTJOIN(",",TRUE,_xlfn.DROP(Data!A1:B3,-1,-1))</t>
  </si>
  <si>
    <t xml:space="preserve">_xlfn.TEXTJOIN(",",TRUE,_xlfn.CHOOSECOLS(Data!A1:B3,2))</t>
  </si>
  <si>
    <t xml:space="preserve">_xlfn.TEXTJOIN(",",TRUE,_xlfn.CHOOSECOLS(Data!A1:B3,2,1))</t>
  </si>
  <si>
    <t xml:space="preserve">_xlfn.TEXTJOIN(",",TRUE,_xlfn.CHOOSECOLS(Data!A1:B3,-1))</t>
  </si>
  <si>
    <t xml:space="preserve">_xlfn.CHOOSECOLS(Data!A1:B3,3)</t>
  </si>
  <si>
    <t xml:space="preserve">_xlfn.CHOOSECOLS(Data!A1:B3,0)</t>
  </si>
  <si>
    <t xml:space="preserve">_xlfn.TEXTJOIN(",",TRUE,_xlfn.CHOOSECOLS(Data!A1:B3,1,1,2.9))</t>
  </si>
  <si>
    <t xml:space="preserve">_xlfn.TEXTJOIN(",",TRUE,_xlfn.CHOOSEROWS(Data!A1:B8,1,-1))</t>
  </si>
  <si>
    <t xml:space="preserve">_xlfn.CHOOSEROWS(Data!A1:B8,9)</t>
  </si>
  <si>
    <t xml:space="preserve">_xlfn.CHOOSEROWS(Data!A1:B8,0)</t>
  </si>
  <si>
    <t xml:space="preserve">_xlfn.TEXTJOIN(",",TRUE,_xlfn.CHOOSEROWS(Data!A1:B3,{1,3}))</t>
  </si>
  <si>
    <t xml:space="preserve">_xlfn.TEXTJOIN(",",TRUE,_xlfn.CHOOSEROWS(Data!A1:A8,-8,8))</t>
  </si>
  <si>
    <t xml:space="preserve">_xlfn.CHOOSEROWS(Data!A1:A8,"a")</t>
  </si>
  <si>
    <t xml:space="preserve">_xlfn.TEXTJOIN(",",TRUE,_xlfn.CHOOSECOLS(Data!A1:G1,{7,1}))</t>
  </si>
  <si>
    <t xml:space="preserve">_xlfn.TEXTJOIN(",",TRUE,_xlfn.HSTACK(Data!A1:A3,Data!B1:B3))</t>
  </si>
  <si>
    <t xml:space="preserve">_xlfn.TEXTJOIN(",",TRUE,_xlfn.VSTACK(Data!A1:A2,Data!B1:B3))</t>
  </si>
  <si>
    <t xml:space="preserve">SUMPRODUCT(--ISNA(_xlfn.HSTACK(Data!A1:A3,{1;2})))</t>
  </si>
  <si>
    <t xml:space="preserve">SUMPRODUCT(--ISNA(_xlfn.VSTACK(Data!A1:B2,{1;2;3})))</t>
  </si>
  <si>
    <t xml:space="preserve">ROWS(_xlfn.VSTACK(Data!A1:A2,Data!B1:B3))</t>
  </si>
  <si>
    <t xml:space="preserve">COLUMNS(_xlfn.HSTACK(Data!A1:A3,Data!B1:B3,Data!A1))</t>
  </si>
  <si>
    <t xml:space="preserve">_xlfn.TEXTJOIN(",",TRUE,_xlfn.VSTACK(1,2,3))</t>
  </si>
  <si>
    <t xml:space="preserve">_xlfn.TEXTJOIN(",",TRUE,_xlfn.HSTACK(1,2,3))</t>
  </si>
  <si>
    <t xml:space="preserve">_xlfn.TEXTJOIN(",",TRUE,_xlfn.HSTACK({1;2},"a"))</t>
  </si>
  <si>
    <t xml:space="preserve">ROWS(_xlfn.HSTACK(Data!A1:A3,Data!A1:A8))</t>
  </si>
  <si>
    <t xml:space="preserve">SUMPRODUCT(--ISNA(_xlfn.EXPAND(Data!A1:A3,5)))</t>
  </si>
  <si>
    <t xml:space="preserve">_xlfn.TEXTJOIN(",",TRUE,_xlfn.EXPAND(Data!A1:A3,5,2,0))</t>
  </si>
  <si>
    <t xml:space="preserve">_xlfn.EXPAND(Data!A1:A3,2)</t>
  </si>
  <si>
    <t xml:space="preserve">_xlfn.TEXTJOIN(",",TRUE,_xlfn.EXPAND(Data!A1:A3,4,,"x"))</t>
  </si>
  <si>
    <t xml:space="preserve">_xlfn.EXPAND(Data!A1:A3,5,0)</t>
  </si>
  <si>
    <t xml:space="preserve">ROWS(_xlfn.EXPAND(Data!A1:B2,3,3))</t>
  </si>
  <si>
    <t xml:space="preserve">COLUMNS(_xlfn.EXPAND(Data!A1:B2,3,3))</t>
  </si>
  <si>
    <t xml:space="preserve">_xlfn.EXPAND(Data!A1:A3,3,1.9)</t>
  </si>
  <si>
    <t xml:space="preserve">_xlfn.TEXTJOIN(",",TRUE,_xlfn.TOCOL(Data!A1:B3))</t>
  </si>
  <si>
    <t xml:space="preserve">_xlfn.TEXTJOIN(",",TRUE,_xlfn.TOCOL(Data!A1:B3,0,TRUE))</t>
  </si>
  <si>
    <t xml:space="preserve">_xlfn.TEXTJOIN(",",TRUE,_xlfn.TOROW(Data!A1:B3))</t>
  </si>
  <si>
    <t xml:space="preserve">_xlfn.TEXTJOIN(",",TRUE,_xlfn.TOROW(Data!A1:B3,0,TRUE))</t>
  </si>
  <si>
    <t xml:space="preserve">ROWS(_xlfn.TOCOL(Data!A1:B3))</t>
  </si>
  <si>
    <t xml:space="preserve">COLUMNS(_xlfn.TOROW(Data!A1:B3))</t>
  </si>
  <si>
    <t xml:space="preserve">_xlfn.TEXTJOIN(",",TRUE,_xlfn.TOCOL({1,"";2,3},1))</t>
  </si>
  <si>
    <t xml:space="preserve">_xlfn.TOCOL(Data!A1:B3,4)</t>
  </si>
  <si>
    <t xml:space="preserve">_xlfn.TEXTJOIN(",",TRUE,_xlfn.TOCOL(5))</t>
  </si>
  <si>
    <t xml:space="preserve">_xlfn.TEXTJOIN(",",TRUE,_xlfn.WRAPCOLS(Data!A1:A8,3))</t>
  </si>
  <si>
    <t xml:space="preserve">_xlfn.TEXTJOIN(",",TRUE,_xlfn.WRAPROWS(Data!A1:A8,3))</t>
  </si>
  <si>
    <t xml:space="preserve">_xlfn.TEXTJOIN(",",TRUE,_xlfn.WRAPROWS(Data!A1:A8,3,0))</t>
  </si>
  <si>
    <t xml:space="preserve">_xlfn.TEXTJOIN(",",TRUE,_xlfn.WRAPCOLS(Data!A1:A8,3,0))</t>
  </si>
  <si>
    <t xml:space="preserve">ROWS(_xlfn.WRAPCOLS(Data!A1:A8,3))</t>
  </si>
  <si>
    <t xml:space="preserve">COLUMNS(_xlfn.WRAPCOLS(Data!A1:A8,3))</t>
  </si>
  <si>
    <t xml:space="preserve">ROWS(_xlfn.WRAPROWS(Data!A1:A8,3))</t>
  </si>
  <si>
    <t xml:space="preserve">COLUMNS(_xlfn.WRAPROWS(Data!A1:A8,3))</t>
  </si>
  <si>
    <t xml:space="preserve">_xlfn.WRAPROWS(Data!A1:A8,0)</t>
  </si>
  <si>
    <t xml:space="preserve">_xlfn.WRAPROWS(Data!A1:B3,2)</t>
  </si>
  <si>
    <t xml:space="preserve">_xlfn.TEXTJOIN(",",TRUE,_xlfn.WRAPROWS(Data!A1:A8,100))</t>
  </si>
  <si>
    <t xml:space="preserve">_xlfn.TEXTJOIN(",",TRUE,_xlfn.WRAPROWS(Data!A1:C1,2))</t>
  </si>
  <si>
    <t xml:space="preserve">SUMPRODUCT(--ISNA(_xlfn.WRAPROWS(Data!A1:A8,3)))</t>
  </si>
  <si>
    <t xml:space="preserve">_xlfn.TEXTJOIN(",",TRUE,_xlfn.TEXTSPLIT("a,b,c",","))</t>
  </si>
  <si>
    <t xml:space="preserve">_xlfn.TEXTJOIN(",",TRUE,_xlfn.TEXTSPLIT("a,b;c,d",",",";"))</t>
  </si>
  <si>
    <t xml:space="preserve">_xlfn.TEXTJOIN(",",TRUE,_xlfn.TEXTSPLIT("a,,b",",",,TRUE))</t>
  </si>
  <si>
    <t xml:space="preserve">_xlfn.TEXTJOIN(",",TRUE,_xlfn.TEXTSPLIT("a,,b",","))</t>
  </si>
  <si>
    <t xml:space="preserve">_xlfn.TEXTJOIN(",",TRUE,_xlfn.TEXTSPLIT("aXbxc","x",,FALSE,1))</t>
  </si>
  <si>
    <t xml:space="preserve">_xlfn.TEXTJOIN(",",TRUE,_xlfn.TEXTSPLIT("aXbxc","x"))</t>
  </si>
  <si>
    <t xml:space="preserve">_xlfn.TEXTJOIN(",",TRUE,_xlfn.TEXTSPLIT("a,b;c",",",";",FALSE,0,"-"))</t>
  </si>
  <si>
    <t xml:space="preserve">ROWS(_xlfn.TEXTSPLIT("a,b;c,d",",",";"))</t>
  </si>
  <si>
    <t xml:space="preserve">COLUMNS(_xlfn.TEXTSPLIT("a,b;c,d",",",";"))</t>
  </si>
  <si>
    <t xml:space="preserve">SUMPRODUCT(--ISNA(_xlfn.TEXTSPLIT("a,b;c",",",";")))</t>
  </si>
  <si>
    <t xml:space="preserve">_xlfn.TEXTJOIN(",",TRUE,_xlfn.TEXTSPLIT("a1b2c",{"1","2"}))</t>
  </si>
  <si>
    <t xml:space="preserve">_xlfn.TEXTJOIN(",",TRUE,_xlfn.TEXTSPLIT("a,b|c",{",","|"}))</t>
  </si>
  <si>
    <t xml:space="preserve">_xlfn.TEXTSPLIT("abc","")</t>
  </si>
  <si>
    <t xml:space="preserve">_xlfn.TEXTJOIN(",",TRUE,_xlfn.TEXTSPLIT("abc","x"))</t>
  </si>
  <si>
    <t xml:space="preserve">_xlfn.TEXTJOIN(",",TRUE,_xlfn.TEXTSPLIT("",","))</t>
  </si>
  <si>
    <t xml:space="preserve">_xlfn.TEXTJOIN(",",TRUE,_xlfn.TEXTSPLIT("a,b",,","))</t>
  </si>
  <si>
    <t xml:space="preserve">_xlfn.TEXTJOIN(",",TRUE,_xlfn.TEXTSPLIT("a,b",",",,FALSE,2))</t>
  </si>
  <si>
    <t xml:space="preserve">_xlfn.TEXTJOIN(",",TRUE,_xlfn.TEXTSPLIT(123,2))</t>
  </si>
  <si>
    <t xml:space="preserve">_xlfn.TEXTJOIN(",",TRUE,_xlfn.TEXTSPLIT(",a,",",",,TRUE))</t>
  </si>
  <si>
    <t xml:space="preserve">_xlfn.TEXTJOIN(",",TRUE,_xlfn.TEXTSPLIT("a  b"," "))</t>
  </si>
  <si>
    <t xml:space="preserve">_xlfn.TEXTJOIN(",",TRUE,_xlfn.TEXTSPLIT("a;;b,c",",",";",TRUE))</t>
  </si>
  <si>
    <t xml:space="preserve">_xlfn.TEXTBEFORE("a-b-c","-")</t>
  </si>
  <si>
    <t xml:space="preserve">_xlfn.TEXTBEFORE("a-b-c","-",2)</t>
  </si>
  <si>
    <t xml:space="preserve">_xlfn.TEXTBEFORE("a-b-c","-",-1)</t>
  </si>
  <si>
    <t xml:space="preserve">_xlfn.TEXTBEFORE("a-b-c","-",-2)</t>
  </si>
  <si>
    <t xml:space="preserve">_xlfn.TEXTBEFORE("a-b-c","-",4)</t>
  </si>
  <si>
    <t xml:space="preserve">_xlfn.TEXTBEFORE("a-b-c","x",1,0,0,"none")</t>
  </si>
  <si>
    <t xml:space="preserve">_xlfn.TEXTBEFORE("A-b","a",1,1)</t>
  </si>
  <si>
    <t xml:space="preserve">_xlfn.TEXTBEFORE("A-b","a")</t>
  </si>
  <si>
    <t xml:space="preserve">_xlfn.TEXTBEFORE("abc","c",1,0,1)</t>
  </si>
  <si>
    <t xml:space="preserve">_xlfn.TEXTBEFORE("abc","d",1,0,1)</t>
  </si>
  <si>
    <t xml:space="preserve">_xlfn.TEXTBEFORE("a-b-c","-",0)</t>
  </si>
  <si>
    <t xml:space="preserve">_xlfn.TEXTBEFORE("a-b-c","")</t>
  </si>
  <si>
    <t xml:space="preserve">_xlfn.TEXTBEFORE("abc","",-1)</t>
  </si>
  <si>
    <t xml:space="preserve">_xlfn.TEXTBEFORE("a-b-c","-",5,0,1)</t>
  </si>
  <si>
    <t xml:space="preserve">_xlfn.TEXTBEFORE("a-b-c",{"-","b"})</t>
  </si>
  <si>
    <t xml:space="preserve">_xlfn.TEXTBEFORE("a-b-c","-",-3)</t>
  </si>
  <si>
    <t xml:space="preserve">_xlfn.TEXTBEFORE("a--b","--")</t>
  </si>
  <si>
    <t xml:space="preserve">_xlfn.TEXTBEFORE(12345,3)</t>
  </si>
  <si>
    <t xml:space="preserve">_xlfn.TEXTBEFORE("","a")</t>
  </si>
  <si>
    <t xml:space="preserve">_xlfn.TEXTBEFORE("aaa","aa",2)</t>
  </si>
  <si>
    <t xml:space="preserve">_xlfn.TEXTAFTER("a-b-c","-")</t>
  </si>
  <si>
    <t xml:space="preserve">_xlfn.TEXTAFTER("a-b-c","-",2)</t>
  </si>
  <si>
    <t xml:space="preserve">_xlfn.TEXTAFTER("a-b-c","-",-1)</t>
  </si>
  <si>
    <t xml:space="preserve">_xlfn.TEXTAFTER("a-b-c","-",-2)</t>
  </si>
  <si>
    <t xml:space="preserve">_xlfn.TEXTAFTER("a-b-c","-",4)</t>
  </si>
  <si>
    <t xml:space="preserve">_xlfn.TEXTAFTER("a-b-c","x",1,0,0,"none")</t>
  </si>
  <si>
    <t xml:space="preserve">_xlfn.TEXTAFTER("A-b","a",1,1)</t>
  </si>
  <si>
    <t xml:space="preserve">_xlfn.TEXTAFTER("abc","c",1,0,1)</t>
  </si>
  <si>
    <t xml:space="preserve">_xlfn.TEXTAFTER("abc","d",1,0,1)</t>
  </si>
  <si>
    <t xml:space="preserve">_xlfn.TEXTAFTER("a-b-c","-",0)</t>
  </si>
  <si>
    <t xml:space="preserve">_xlfn.TEXTAFTER("a-b-c","")</t>
  </si>
  <si>
    <t xml:space="preserve">_xlfn.TEXTAFTER("abc","",-1)</t>
  </si>
  <si>
    <t xml:space="preserve">_xlfn.TEXTAFTER("a-b-c","-",5,0,1)</t>
  </si>
  <si>
    <t xml:space="preserve">_xlfn.TEXTAFTER("a-b-c",{"-","b"})</t>
  </si>
  <si>
    <t xml:space="preserve">_xlfn.TEXTAFTER("a--b","--")</t>
  </si>
  <si>
    <t xml:space="preserve">_xlfn.TEXTAFTER("aaa","aa",2)</t>
  </si>
  <si>
    <t xml:space="preserve">ROWS(_xlfn.RANDARRAY(3))</t>
  </si>
  <si>
    <t xml:space="preserve">COLUMNS(_xlfn.RANDARRAY(2,4))</t>
  </si>
  <si>
    <t xml:space="preserve">SUMPRODUCT(--(_xlfn.RANDARRAY(5,5,10,20)&gt;=10))</t>
  </si>
  <si>
    <t xml:space="preserve">MAX(_xlfn.RANDARRAY(100,1,5,5,TRUE))</t>
  </si>
  <si>
    <t xml:space="preserve">SUMPRODUCT(--(_xlfn.RANDARRAY(20,5,1,3,TRUE)&lt;&gt;INT(_xlfn.RANDARRAY(20,5,1,3,TRUE)*0)))</t>
  </si>
  <si>
    <t xml:space="preserve">_xlfn.RANDARRAY(0)</t>
  </si>
  <si>
    <t xml:space="preserve">_xlfn.RANDARRAY(2,2,5,1)</t>
  </si>
  <si>
    <t xml:space="preserve">SUMPRODUCT(--(_xlfn.RANDARRAY(10,10,1,2,TRUE)&gt;2))</t>
  </si>
  <si>
    <t xml:space="preserve">_xlfn.ENCODEURL("a b&amp;c/ñ")</t>
  </si>
  <si>
    <t xml:space="preserve">_xlfn.ENCODEURL("-._~")</t>
  </si>
  <si>
    <t xml:space="preserve">_xlfn.ENCODEURL("€")</t>
  </si>
  <si>
    <t xml:space="preserve">_xlfn.ENCODEURL("")</t>
  </si>
  <si>
    <t xml:space="preserve">_xlfn.ENCODEURL("100%")</t>
  </si>
  <si>
    <t xml:space="preserve">_xlfn.ENCODEURL("a+b=c?d#e")</t>
  </si>
  <si>
    <t xml:space="preserve">_xlfn.ENCODEURL(123.5)</t>
  </si>
  <si>
    <r>
      <rPr>
        <sz val="11"/>
        <color theme="1"/>
        <rFont val="Calibri"/>
        <family val="2"/>
        <charset val="1"/>
      </rPr>
      <t xml:space="preserve">_xlfn.ENCODEURL("</t>
    </r>
    <r>
      <rPr>
        <sz val="11"/>
        <color theme="1"/>
        <rFont val="WenQuanYi Zen Hei"/>
        <family val="2"/>
      </rPr>
      <t xml:space="preserve">日本</t>
    </r>
    <r>
      <rPr>
        <sz val="11"/>
        <color theme="1"/>
        <rFont val="Calibri"/>
        <family val="2"/>
        <charset val="1"/>
      </rPr>
      <t xml:space="preserve">")</t>
    </r>
  </si>
  <si>
    <t xml:space="preserve">_xlfn.ENCODEURL("a,b;c:d@e!f*g(h)i'j")</t>
  </si>
  <si>
    <t xml:space="preserve">_xlfn.ENCODEURL("😀")</t>
  </si>
  <si>
    <t xml:space="preserve">_xlfn.ENCODEURL("\\[]{}|&lt;&gt;^`")</t>
  </si>
  <si>
    <t xml:space="preserve">_xlfn.ENCODEURL(CHAR(10))</t>
  </si>
  <si>
    <t xml:space="preserve">ROT13("Hello, World!")</t>
  </si>
  <si>
    <t xml:space="preserve">ROT13("abcxyzABCXYZ123")</t>
  </si>
  <si>
    <t xml:space="preserve">ROT13("ñ")</t>
  </si>
  <si>
    <t xml:space="preserve">ROT13("")</t>
  </si>
  <si>
    <t xml:space="preserve">ROT13(123)</t>
  </si>
  <si>
    <t xml:space="preserve">INDEX(_xlfn._xlws.SORT(Data!E1:E3),1)</t>
  </si>
  <si>
    <t xml:space="preserve">INDEX(_xlfn._xlws.SORT(Data!E1:E3),2)</t>
  </si>
  <si>
    <t xml:space="preserve">INDEX(_xlfn._xlws.SORT(Data!E1:E3),3)</t>
  </si>
  <si>
    <t xml:space="preserve">INDEX(_xlfn._xlws.SORT(Data!E1:E3,1,-1),1)</t>
  </si>
  <si>
    <t xml:space="preserve">INDEX(_xlfn._xlws.SORT(Data!E1:E3,1,-1),2)</t>
  </si>
  <si>
    <t xml:space="preserve">INDEX(_xlfn._xlws.SORT(Data!E1:E3,1,-1),3)</t>
  </si>
  <si>
    <t xml:space="preserve">ISBLANK(INDEX(_xlfn._xlws.SORT(Data!E1:E3),3))</t>
  </si>
  <si>
    <t xml:space="preserve">_xlfn.TOCOL(Data!D1:D2,1)</t>
  </si>
  <si>
    <t xml:space="preserve">_xlfn.TOCOL(Data!D1:D2)</t>
  </si>
  <si>
    <t xml:space="preserve">ROWS(_xlfn.TOCOL(Data!D1:D2))</t>
  </si>
  <si>
    <t xml:space="preserve">_xlfn.TEXTJOIN(",",FALSE,_xlfn.TOCOL(Data!E1:E3))</t>
  </si>
  <si>
    <t xml:space="preserve">ROWS(_xlfn.TOCOL(Data!E1:E3,1))</t>
  </si>
  <si>
    <t xml:space="preserve">_xlfn.TOROW(Data!D1:D2,3)</t>
  </si>
  <si>
    <t xml:space="preserve">COUNTA(_xlfn._xlws.FILTER(Data!E1:E3,Data!E1:E3&lt;&gt;""))</t>
  </si>
  <si>
    <t xml:space="preserve">_xlfn.TEXTJOIN(",",TRUE,_xlfn._xlws.FILTER(Data!E1:E3,Data!E1:E3=""))</t>
  </si>
  <si>
    <t xml:space="preserve">_xlfn.TEXTJOIN(",",TRUE,_xlfn._xlws.FILTER(Data!A1:A3,Data!D1:D3))</t>
  </si>
  <si>
    <t xml:space="preserve">ROWS(_xlfn._xlws.FILTER(Data!A1:A3,Data!D1:D3,"x"))</t>
  </si>
  <si>
    <t xml:space="preserve">_xlfn.TEXTJOIN(",",TRUE,_xlfn._xlws.FILTER(Data!A1:A3,{1;"a";1}))</t>
  </si>
  <si>
    <t xml:space="preserve">_xlfn.SEQUENCE(2,2,"a")</t>
  </si>
  <si>
    <t xml:space="preserve">_xlfn.TEXTJOIN(",",TRUE,_xlfn.SEQUENCE(2,2,5.5,-1.5))</t>
  </si>
  <si>
    <t xml:space="preserve">SUM(_xlfn.SEQUENCE(3,3))</t>
  </si>
  <si>
    <t xml:space="preserve">_xlfn.TEXTJOIN(",",TRUE,_xlfn.TAKE(_xlfn._xlws.SORT(Data!A1:A8),3))</t>
  </si>
  <si>
    <t xml:space="preserve">_xlfn.TEXTJOIN(",",TRUE,_xlfn.DROP(_xlfn.TAKE(Data!A1:A8,5),2))</t>
  </si>
  <si>
    <t xml:space="preserve">_xlfn.XMATCH("b*",Data!B1:B8,2,-1)</t>
  </si>
  <si>
    <t xml:space="preserve">_xlfn.XMATCH(5,Data!A1:A8,0,-1)</t>
  </si>
  <si>
    <t xml:space="preserve">_xlfn.XMATCH("~",{"a";"~"},2)</t>
  </si>
  <si>
    <t xml:space="preserve">_xlfn.XMATCH(4,{5;4;3;2;1},-1,-2)</t>
  </si>
  <si>
    <t xml:space="preserve">_xlfn.XMATCH(4,{5;4;3;2;1},1,-2)</t>
  </si>
  <si>
    <t xml:space="preserve">_xlfn.XMATCH(4,{1;2;3;4;5},0,2)</t>
  </si>
  <si>
    <t xml:space="preserve">_xlfn.XMATCH("x",{"a";"b";"x"},0,2)</t>
  </si>
  <si>
    <t xml:space="preserve">_xlfn.XMATCH("b",{"a";"b";"c"},0,2)</t>
  </si>
  <si>
    <t xml:space="preserve">_xlfn.XMATCH("B",{"a";"b";"c"},-1)</t>
  </si>
  <si>
    <t xml:space="preserve">_xlfn.XMATCH("bb",{"a";"b";"c"},1)</t>
  </si>
  <si>
    <t xml:space="preserve">_xlfn.XLOOKUP("5",Data!A1:A8,Data!B1:B8)</t>
  </si>
  <si>
    <t xml:space="preserve">_xlfn.XMATCH("5.0",Data!A1:A8)</t>
  </si>
  <si>
    <t xml:space="preserve">_xlfn.XMATCH(" 5",Data!A1:A8)</t>
  </si>
  <si>
    <t xml:space="preserve">_xlfn.XMATCH("5",Data!A1:A8,1)</t>
  </si>
  <si>
    <t xml:space="preserve">_xlfn.XMATCH("5",Data!A1:A8,-1)</t>
  </si>
  <si>
    <t xml:space="preserve">_xlfn.XMATCH("5",Data!A1:A8,2)</t>
  </si>
  <si>
    <t xml:space="preserve">_xlfn.XMATCH("5",Data!A1:A8,3)</t>
  </si>
  <si>
    <t xml:space="preserve">_xlfn.XMATCH(5,{"5";"a"})</t>
  </si>
  <si>
    <t xml:space="preserve">_xlfn.XMATCH("5",{5;6})</t>
  </si>
  <si>
    <t xml:space="preserve">_xlfn.XMATCH("5",{"a";5},0,-1)</t>
  </si>
  <si>
    <t xml:space="preserve">_xlfn.XMATCH("a",Data!A1:A8)</t>
  </si>
  <si>
    <t xml:space="preserve">_xlfn.XMATCH("1e0",{1;2})</t>
  </si>
  <si>
    <t xml:space="preserve">_xlfn.XMATCH(TRUE,Data!A1:A8)</t>
  </si>
  <si>
    <t xml:space="preserve">MATCH("5",Data!A1:A8,0)</t>
  </si>
  <si>
    <t xml:space="preserve">MATCH("5",{5;6},0)</t>
  </si>
  <si>
    <t xml:space="preserve">_xlfn.XLOOKUP("5",{5;6},{"a";"b"})</t>
  </si>
  <si>
    <t xml:space="preserve">_xlfn.XMATCH("5",Data!B1:B8)</t>
  </si>
  <si>
    <t xml:space="preserve">_xlfn.XMATCH("apple",Data!A1:B8)</t>
  </si>
  <si>
    <t xml:space="preserve">_xlfn.TEXTJOIN(",",TRUE,_xlfn.TEXTSPLIT("aXb","x",,FALSE,2))</t>
  </si>
  <si>
    <t xml:space="preserve">_xlfn.TEXTJOIN(",",TRUE,_xlfn.TEXTSPLIT("aXb","x",,FALSE,-1))</t>
  </si>
  <si>
    <t xml:space="preserve">_xlfn.TEXTJOIN(",",TRUE,_xlfn.TEXTSPLIT("aXb","x",,FALSE,5))</t>
  </si>
  <si>
    <t xml:space="preserve">_xlfn.TEXTBEFORE("A-b","a",1,2)</t>
  </si>
  <si>
    <t xml:space="preserve">_xlfn.TEXTBEFORE("A-b","a",1,-1)</t>
  </si>
  <si>
    <t xml:space="preserve">_xlfn.TEXTBEFORE("A-b","a",1,5)</t>
  </si>
  <si>
    <t xml:space="preserve">_xlfn.TEXTAFTER("A-b","a",1,2)</t>
  </si>
  <si>
    <t xml:space="preserve">_xlfn.TEXTBEFORE("a-b","-",1,0,2)</t>
  </si>
  <si>
    <t xml:space="preserve">_xlfn.TEXTBEFORE("a-b","-",1,0,-1)</t>
  </si>
  <si>
    <t xml:space="preserve">_xlfn.TEXTAFTER("a-b","-",1,0,2)</t>
  </si>
  <si>
    <t xml:space="preserve">_xlfn.TEXTBEFORE("a-b","-",1.9)</t>
  </si>
  <si>
    <t xml:space="preserve">_xlfn.TEXTBEFORE("a-b","-","x")</t>
  </si>
  <si>
    <t xml:space="preserve">_xlfn.TEXTJOIN(",",TRUE,_xlfn.TOCOL(_xlfn.HSTACK(Data!E1:E3,Data!D1:D3),1))</t>
  </si>
  <si>
    <t xml:space="preserve">_xlfn.TEXTJOIN(",",FALSE,_xlfn.TOROW(_xlfn.HSTACK(Data!E1:E3,Data!D1:D3),1))</t>
  </si>
  <si>
    <t xml:space="preserve">_xlfn.TEXTJOIN(",",TRUE,_xlfn.TOCOL(_xlfn.HSTACK(Data!E1:E3,Data!D1:D3),1,TRUE))</t>
  </si>
  <si>
    <t xml:space="preserve">ROWS(_xlfn._xlws.SORT(Data!E1:E3))</t>
  </si>
  <si>
    <t xml:space="preserve">_xlfn.TEXTJOIN(",",FALSE,_xlfn._xlws.SORT(_xlfn.HSTACK(Data!E1:E3,Data!A1:A3)))</t>
  </si>
  <si>
    <t xml:space="preserve">_xlfn._xlws.FILTER(Data!A1:A3,Data!E1:E3=10)</t>
  </si>
  <si>
    <t xml:space="preserve">_xlfn.TEXTJOIN(",",TRUE,_xlfn._xlws.FILTER(Data!A1:A3,Data!E1:E3&lt;&gt;10))</t>
  </si>
  <si>
    <t xml:space="preserve">INDEX(_xlfn._xlws.SORT(Data!M1:M4),1)</t>
  </si>
  <si>
    <t xml:space="preserve">INDEX(_xlfn._xlws.SORT(Data!M1:M4),4)</t>
  </si>
  <si>
    <t xml:space="preserve">INDEX(_xlfn._xlws.SORT(Data!M1:M3),1)</t>
  </si>
  <si>
    <t xml:space="preserve">INDEX(_xlfn._xlws.SORT(_xlfn.HSTACK(Data!A1:A4,Data!M1:M4),1),1,1)</t>
  </si>
  <si>
    <t xml:space="preserve">ISERROR(INDEX(_xlfn._xlws.SORT(_xlfn.HSTACK(Data!A1:A4,Data!M1:M4),1),1,2))</t>
  </si>
  <si>
    <t xml:space="preserve">INDEX(_xlfn._xlws.SORT(_xlfn.HSTACK(Data!A1:A4,Data!M1:M4),1,-1),1,1)</t>
  </si>
  <si>
    <t xml:space="preserve">_xlfn._xlws.FILTER(Data!A1:A4,Data!M1:M4)</t>
  </si>
  <si>
    <t xml:space="preserve">_xlfn.TEXTJOIN(",",TRUE,_xlfn._xlws.FILTER(Data!M1:M4,Data!A1:A4&gt;3))</t>
  </si>
  <si>
    <t xml:space="preserve">_xlfn.TEXTJOIN(",",TRUE,_xlfn._xlws.FILTER(Data!A1:A4,Data!A1:A4&gt;3))</t>
  </si>
  <si>
    <t xml:space="preserve">_xlfn.TEXTJOIN(",",TRUE,_xlfn.TOCOL(Data!M1:M4,2))</t>
  </si>
  <si>
    <t xml:space="preserve">_xlfn.TEXTJOIN(",",TRUE,_xlfn.TOCOL(Data!M1:M4,3))</t>
  </si>
  <si>
    <t xml:space="preserve">_xlfn.TEXTJOIN(",",TRUE,_xlfn.TOROW(Data!M1:M4,0))</t>
  </si>
  <si>
    <t xml:space="preserve">_xlfn.TEXTJOIN(",",TRUE,_xlfn.TOROW(Data!M1:M4,1))</t>
  </si>
  <si>
    <t xml:space="preserve">COUNT(_xlfn.TOCOL(Data!M1:M4,2))</t>
  </si>
  <si>
    <t xml:space="preserve">ROWS(_xlfn.TOCOL(Data!M1:M4,2))</t>
  </si>
  <si>
    <t xml:space="preserve">ROWS(_xlfn.TOCOL(Data!M1:M4,0))</t>
  </si>
  <si>
    <t xml:space="preserve">_xlfn.TEXTJOIN(",",TRUE,_xlfn.TAKE(Data!M1:M4,1))</t>
  </si>
  <si>
    <t xml:space="preserve">_xlfn.TEXTJOIN(",",TRUE,_xlfn.TAKE(Data!M1:M4,2))</t>
  </si>
  <si>
    <t xml:space="preserve">ISERROR(INDEX(_xlfn.TAKE(Data!M1:M4,2),2))</t>
  </si>
  <si>
    <t xml:space="preserve">_xlfn.TEXTJOIN(",",TRUE,_xlfn.DROP(Data!M1:M4,2))</t>
  </si>
  <si>
    <t xml:space="preserve">ISERROR(INDEX(_xlfn.VSTACK(Data!M1:M4,Data!A1:A2),2))</t>
  </si>
  <si>
    <t xml:space="preserve">INDEX(_xlfn.VSTACK(Data!M1:M4,Data!D1),2)</t>
  </si>
  <si>
    <t xml:space="preserve">ISERROR(INDEX(_xlfn.HSTACK(Data!M1:M4,Data!A1:A4),2,1))</t>
  </si>
  <si>
    <t xml:space="preserve">ISNUMBER(INDEX(_xlfn.VSTACK(Data!M1:M4,Data!D1),5))</t>
  </si>
  <si>
    <t xml:space="preserve">INDEX(_xlfn.VSTACK(Data!M1:M4,Data!D1),5)&amp;"|"</t>
  </si>
  <si>
    <t xml:space="preserve">ISBLANK(INDEX(_xlfn.VSTACK(Data!M1:M4,Data!D1),5))</t>
  </si>
  <si>
    <t xml:space="preserve">_xlfn.XMATCH(3,Data!M1:M4)</t>
  </si>
  <si>
    <t xml:space="preserve">_xlfn.XMATCH("a",Data!M1:M4)</t>
  </si>
  <si>
    <t xml:space="preserve">_xlfn.XMATCH(NA(),Data!M1:M4)</t>
  </si>
  <si>
    <t xml:space="preserve">_xlfn.XMATCH("A",Data!M1:M4)</t>
  </si>
  <si>
    <t xml:space="preserve">ISERROR(INDEX(_xlfn._xlws.SORT(Data!M1:M4),4))</t>
  </si>
  <si>
    <t xml:space="preserve">ISBLANK(INDEX(_xlfn._xlws.SORT(Data!M1:M4),4))</t>
  </si>
  <si>
    <t xml:space="preserve">ISNA(INDEX(_xlfn._xlws.SORT(Data!M1:M4),4))</t>
  </si>
  <si>
    <t xml:space="preserve">_xlfn.TEXTJOIN(",",FALSE,_xlfn._xlws.SORT(Data!M1:M4))</t>
  </si>
  <si>
    <t xml:space="preserve">ROWS(_xlfn._xlws.SORT(Data!M1:M4))</t>
  </si>
  <si>
    <t xml:space="preserve">COUNT(_xlfn._xlws.SORT(Data!M1:M4))</t>
  </si>
  <si>
    <t xml:space="preserve">ISERROR(INDEX(_xlfn._xlws.SORT(Data!M1:M4,1,-1),1))</t>
  </si>
  <si>
    <t xml:space="preserve">ISERROR(INDEX(_xlfn._xlws.SORT(Data!M1:M4,1,-1),4))</t>
  </si>
  <si>
    <t xml:space="preserve">INDEX(_xlfn._xlws.SORT(Data!M1:M4,1,-1),1)</t>
  </si>
  <si>
    <t xml:space="preserve">INDEX(_xlfn._xlws.SORT(Data!M1:M4,1,-1),2)</t>
  </si>
  <si>
    <t xml:space="preserve">INDEX(_xlfn._xlws.SORT(Data!E1:E3),3)+1</t>
  </si>
  <si>
    <t xml:space="preserve">INDEX(_xlfn._xlws.SORT(Data!E1:E3),3)&amp;"x"</t>
  </si>
  <si>
    <t xml:space="preserve">ISTEXT(INDEX(_xlfn._xlws.SORT(Data!E1:E3),3))</t>
  </si>
  <si>
    <t xml:space="preserve">ISNUMBER(INDEX(_xlfn._xlws.SORT(Data!E1:E3),3))</t>
  </si>
  <si>
    <t xml:space="preserve">LEN(INDEX(_xlfn._xlws.SORT(Data!E1:E3),3))</t>
  </si>
  <si>
    <t xml:space="preserve">COUNTA(_xlfn._xlws.SORT(Data!E1:E3))</t>
  </si>
  <si>
    <t xml:space="preserve">COUNTBLANK(_xlfn._xlws.SORT(Data!E1:E3))</t>
  </si>
  <si>
    <t xml:space="preserve">INDEX(_xlfn._xlws.SORT(Data!E1:E3),3)=0</t>
  </si>
  <si>
    <t xml:space="preserve">INDEX(_xlfn._xlws.SORT(Data!E1:E3),3)=""</t>
  </si>
  <si>
    <t xml:space="preserve">INDEX(_xlfn.TAKE(Data!E1:E3,3),3)+1</t>
  </si>
  <si>
    <t xml:space="preserve">INDEX(_xlfn.TAKE(Data!E1:E3,3),3)&amp;"x"</t>
  </si>
  <si>
    <t xml:space="preserve">ISBLANK(INDEX(_xlfn.TAKE(Data!E1:E3,3),3))</t>
  </si>
  <si>
    <t xml:space="preserve">INDEX(_xlfn.TAKE(Data!E1:E3,3),3)</t>
  </si>
  <si>
    <t xml:space="preserve">COUNTA(_xlfn.TAKE(Data!E1:E3,3))</t>
  </si>
  <si>
    <t xml:space="preserve">ISTEXT(INDEX(_xlfn.TAKE(Data!E1:E3,3),3))</t>
  </si>
  <si>
    <t xml:space="preserve">INDEX(_xlfn.VSTACK(Data!E1:E3),3)</t>
  </si>
  <si>
    <t xml:space="preserve">ISBLANK(INDEX(_xlfn.VSTACK(Data!E1:E3),3))</t>
  </si>
  <si>
    <t xml:space="preserve">INDEX(_xlfn.TOCOL(Data!E1:E3),3)</t>
  </si>
  <si>
    <t xml:space="preserve">ISBLANK(INDEX(_xlfn.TOCOL(Data!E1:E3),3))</t>
  </si>
  <si>
    <t xml:space="preserve">INDEX(_xlfn.CHOOSEROWS(Data!E1:E3,3),1)</t>
  </si>
  <si>
    <t xml:space="preserve">INDEX(_xlfn._xlws.FILTER(Data!E1:E3,Data!A1:A3&gt;0),3)</t>
  </si>
  <si>
    <t xml:space="preserve">ISBLANK(INDEX(_xlfn._xlws.FILTER(Data!E1:E3,Data!A1:A3&gt;0),3))</t>
  </si>
  <si>
    <t xml:space="preserve">INDEX(_xlfn._xlws.SORT(_xlfn.HSTACK(Data!A1:A4,Data!M1:M4),1),2,2)</t>
  </si>
  <si>
    <t xml:space="preserve">ISERROR(INDEX(_xlfn._xlws.SORT(_xlfn.HSTACK(Data!A1:A4,Data!M1:M4),1),2,2))</t>
  </si>
  <si>
    <t xml:space="preserve">ISNA(INDEX(_xlfn._xlws.SORT(_xlfn.HSTACK(Data!A1:A4,Data!M1:M4),1),2,2))</t>
  </si>
  <si>
    <t xml:space="preserve">INDEX(_xlfn.SORTBY(Data!M1:M4,Data!A1:A4),2)</t>
  </si>
  <si>
    <t xml:space="preserve">ISERROR(INDEX(_xlfn.SORTBY(Data!M1:M4,Data!A1:A4),2))</t>
  </si>
  <si>
    <t xml:space="preserve">MATCH("5",Data!A1:A8,1)</t>
  </si>
  <si>
    <t xml:space="preserve">MATCH("5",Data!A1:A8,-1)</t>
  </si>
  <si>
    <t xml:space="preserve">MATCH("5",Data!A1:A8)</t>
  </si>
  <si>
    <t xml:space="preserve">VLOOKUP("5",Data!A1:B8,2,FALSE)</t>
  </si>
  <si>
    <t xml:space="preserve">VLOOKUP("5",Data!A1:B8,2,TRUE)</t>
  </si>
  <si>
    <t xml:space="preserve">HLOOKUP("20",Data!E2:G2,1,FALSE)</t>
  </si>
  <si>
    <t xml:space="preserve">LOOKUP("5",Data!A1:A8)</t>
  </si>
  <si>
    <t xml:space="preserve">COUNTIF(Data!A1:A8,"5")</t>
  </si>
  <si>
    <t xml:space="preserve">_xlfn.XLOOKUP("5",Data!A1:A8,Data!B1:B8,"nf",1)</t>
  </si>
  <si>
    <t xml:space="preserve">_xlfn.XLOOKUP("5",Data!A1:A8,Data!B1:B8,"nf",2)</t>
  </si>
  <si>
    <t xml:space="preserve">_xlfn.XLOOKUP("5.0",Data!A1:A8,Data!B1:B8,"nf")</t>
  </si>
  <si>
    <t xml:space="preserve">MATCH("5.0",Data!A1:A8,0)</t>
  </si>
  <si>
    <t xml:space="preserve">MATCH("*",Data!A1:A8,0)</t>
  </si>
  <si>
    <t xml:space="preserve">MATCH("?",Data!A1:A8,0)</t>
  </si>
  <si>
    <t xml:space="preserve">VLOOKUP("*",Data!A1:B8,2,FALSE)</t>
  </si>
  <si>
    <t xml:space="preserve">MATCH("5",Data!K1:K8,0)</t>
  </si>
  <si>
    <t xml:space="preserve">CHAR(127)</t>
  </si>
  <si>
    <t xml:space="preserve">CHAR(128)</t>
  </si>
  <si>
    <t xml:space="preserve">CHAR(200)</t>
  </si>
  <si>
    <t xml:space="preserve">CHAR(255)</t>
  </si>
  <si>
    <t xml:space="preserve">CHAR(256)</t>
  </si>
  <si>
    <t xml:space="preserve">CHAR(65.9)</t>
  </si>
  <si>
    <t xml:space="preserve">CHAR(-1)</t>
  </si>
  <si>
    <t xml:space="preserve">CODE("€")</t>
  </si>
  <si>
    <t xml:space="preserve">CODE("ñ")</t>
  </si>
  <si>
    <r>
      <rPr>
        <sz val="11"/>
        <color theme="1"/>
        <rFont val="Calibri"/>
        <family val="2"/>
        <charset val="1"/>
      </rPr>
      <t xml:space="preserve">CODE("</t>
    </r>
    <r>
      <rPr>
        <sz val="11"/>
        <color theme="1"/>
        <rFont val="WenQuanYi Zen Hei"/>
        <family val="2"/>
      </rPr>
      <t xml:space="preserve">漢</t>
    </r>
    <r>
      <rPr>
        <sz val="11"/>
        <color theme="1"/>
        <rFont val="Calibri"/>
        <family val="2"/>
        <charset val="1"/>
      </rPr>
      <t xml:space="preserve">")</t>
    </r>
  </si>
  <si>
    <t xml:space="preserve">CODE("😀")</t>
  </si>
  <si>
    <t xml:space="preserve">CODE("")</t>
  </si>
  <si>
    <t xml:space="preserve">CODE("ab")</t>
  </si>
  <si>
    <t xml:space="preserve">CODE(CHAR(200))</t>
  </si>
  <si>
    <t xml:space="preserve">CODE(1)</t>
  </si>
  <si>
    <t xml:space="preserve">CODE(TRUE)</t>
  </si>
  <si>
    <t xml:space="preserve">LEN(CHAR(0))</t>
  </si>
  <si>
    <t xml:space="preserve">_xlfn.UNICODE("€")</t>
  </si>
  <si>
    <t xml:space="preserve">_xlfn.UNICHAR(8364)</t>
  </si>
  <si>
    <t xml:space="preserve">DATE(10000,1,1)</t>
  </si>
  <si>
    <t xml:space="preserve">DATE(12345,1,1)</t>
  </si>
  <si>
    <t xml:space="preserve">DATE(32767,12,31)</t>
  </si>
  <si>
    <t xml:space="preserve">DATE(32768,1,1)</t>
  </si>
  <si>
    <t xml:space="preserve">YEAR(3815019)</t>
  </si>
  <si>
    <t xml:space="preserve">YEAR(2958466)</t>
  </si>
  <si>
    <t xml:space="preserve">TEXT(3815019,"yyyy-mm-dd")</t>
  </si>
  <si>
    <t xml:space="preserve">DATEVALUE("3/1/12345")</t>
  </si>
  <si>
    <t xml:space="preserve">DATEVALUE("3/1/32767")</t>
  </si>
  <si>
    <t xml:space="preserve">DATEVALUE("3/1/32768")</t>
  </si>
  <si>
    <t xml:space="preserve">DATEVALUE("12345-3-1")</t>
  </si>
  <si>
    <t xml:space="preserve">TEXT(45367,"[$-en-US]dddd")</t>
  </si>
  <si>
    <t xml:space="preserve">TEXT(45367,"[$-ZZZ]dddd")</t>
  </si>
  <si>
    <t xml:space="preserve">TEXT(45367,"[$-]dddd")</t>
  </si>
  <si>
    <t xml:space="preserve">TEXT(45367,"[$-409]dddd")</t>
  </si>
  <si>
    <t xml:space="preserve">TEXT(45367,"[$-0409]dddd")</t>
  </si>
  <si>
    <t xml:space="preserve">TEXT(45367,"[$$-en-US]#,##0")</t>
  </si>
  <si>
    <t xml:space="preserve">TEXT(45367,"[$-en-US]#,##0")</t>
  </si>
  <si>
    <t xml:space="preserve">TEXT(1234.5678,"0")</t>
  </si>
  <si>
    <t xml:space="preserve">TEXT(-1234.5678,"0")</t>
  </si>
  <si>
    <t xml:space="preserve">TEXT(0,"0")</t>
  </si>
  <si>
    <t xml:space="preserve">TEXT(0.5,"0")</t>
  </si>
  <si>
    <t xml:space="preserve">TEXT(1000000,"0")</t>
  </si>
  <si>
    <t xml:space="preserve">TEXT(12345678.9,"0")</t>
  </si>
  <si>
    <t xml:space="preserve">TEXT(0.000123,"0")</t>
  </si>
  <si>
    <t xml:space="preserve">TEXT(1234.5678,"0.00")</t>
  </si>
  <si>
    <t xml:space="preserve">TEXT(-1234.5678,"0.00")</t>
  </si>
  <si>
    <t xml:space="preserve">TEXT(0,"0.00")</t>
  </si>
  <si>
    <t xml:space="preserve">TEXT(0.5,"0.00")</t>
  </si>
  <si>
    <t xml:space="preserve">TEXT(1000000,"0.00")</t>
  </si>
  <si>
    <t xml:space="preserve">TEXT(12345678.9,"0.00")</t>
  </si>
  <si>
    <t xml:space="preserve">TEXT(0.000123,"0.00")</t>
  </si>
  <si>
    <t xml:space="preserve">TEXT(1234.5678,"#,##0")</t>
  </si>
  <si>
    <t xml:space="preserve">TEXT(-1234.5678,"#,##0")</t>
  </si>
  <si>
    <t xml:space="preserve">TEXT(0,"#,##0")</t>
  </si>
  <si>
    <t xml:space="preserve">TEXT(0.5,"#,##0")</t>
  </si>
  <si>
    <t xml:space="preserve">TEXT(1000000,"#,##0")</t>
  </si>
  <si>
    <t xml:space="preserve">TEXT(12345678.9,"#,##0")</t>
  </si>
  <si>
    <t xml:space="preserve">TEXT(0.000123,"#,##0")</t>
  </si>
  <si>
    <t xml:space="preserve">TEXT(1234.5678,"#,##0.00")</t>
  </si>
  <si>
    <t xml:space="preserve">TEXT(-1234.5678,"#,##0.00")</t>
  </si>
  <si>
    <t xml:space="preserve">TEXT(0,"#,##0.00")</t>
  </si>
  <si>
    <t xml:space="preserve">TEXT(0.5,"#,##0.00")</t>
  </si>
  <si>
    <t xml:space="preserve">TEXT(1000000,"#,##0.00")</t>
  </si>
  <si>
    <t xml:space="preserve">TEXT(12345678.9,"#,##0.00")</t>
  </si>
  <si>
    <t xml:space="preserve">TEXT(0.000123,"#,##0.00")</t>
  </si>
  <si>
    <t xml:space="preserve">TEXT(1234.5678,"#.##")</t>
  </si>
  <si>
    <t xml:space="preserve">TEXT(-1234.5678,"#.##")</t>
  </si>
  <si>
    <t xml:space="preserve">TEXT(0,"#.##")</t>
  </si>
  <si>
    <t xml:space="preserve">TEXT(0.5,"#.##")</t>
  </si>
  <si>
    <t xml:space="preserve">TEXT(1000000,"#.##")</t>
  </si>
  <si>
    <t xml:space="preserve">TEXT(12345678.9,"#.##")</t>
  </si>
  <si>
    <t xml:space="preserve">TEXT(0.000123,"#.##")</t>
  </si>
  <si>
    <t xml:space="preserve">TEXT(1234.5678,"0.0%")</t>
  </si>
  <si>
    <t xml:space="preserve">TEXT(-1234.5678,"0.0%")</t>
  </si>
  <si>
    <t xml:space="preserve">TEXT(0,"0.0%")</t>
  </si>
  <si>
    <t xml:space="preserve">TEXT(0.5,"0.0%")</t>
  </si>
  <si>
    <t xml:space="preserve">TEXT(1000000,"0.0%")</t>
  </si>
  <si>
    <t xml:space="preserve">TEXT(12345678.9,"0.0%")</t>
  </si>
  <si>
    <t xml:space="preserve">TEXT(0.000123,"0.0%")</t>
  </si>
  <si>
    <t xml:space="preserve">TEXT(1234.5678,"0.00E+00")</t>
  </si>
  <si>
    <t xml:space="preserve">TEXT(-1234.5678,"0.00E+00")</t>
  </si>
  <si>
    <t xml:space="preserve">TEXT(0,"0.00E+00")</t>
  </si>
  <si>
    <t xml:space="preserve">TEXT(0.5,"0.00E+00")</t>
  </si>
  <si>
    <t xml:space="preserve">TEXT(1000000,"0.00E+00")</t>
  </si>
  <si>
    <t xml:space="preserve">TEXT(12345678.9,"0.00E+00")</t>
  </si>
  <si>
    <t xml:space="preserve">TEXT(0.000123,"0.00E+00")</t>
  </si>
  <si>
    <t xml:space="preserve">TEXT(1234.5678,"# ?/?")</t>
  </si>
  <si>
    <t xml:space="preserve">TEXT(-1234.5678,"# ?/?")</t>
  </si>
  <si>
    <t xml:space="preserve">TEXT(0,"# ?/?")</t>
  </si>
  <si>
    <t xml:space="preserve">TEXT(0.5,"# ?/?")</t>
  </si>
  <si>
    <t xml:space="preserve">TEXT(1000000,"# ?/?")</t>
  </si>
  <si>
    <t xml:space="preserve">TEXT(12345678.9,"# ?/?")</t>
  </si>
  <si>
    <t xml:space="preserve">TEXT(0.000123,"# ?/?")</t>
  </si>
  <si>
    <t xml:space="preserve">TEXT(1234.5678,"# ??/??")</t>
  </si>
  <si>
    <t xml:space="preserve">TEXT(-1234.5678,"# ??/??")</t>
  </si>
  <si>
    <t xml:space="preserve">TEXT(0,"# ??/??")</t>
  </si>
  <si>
    <t xml:space="preserve">TEXT(0.5,"# ??/??")</t>
  </si>
  <si>
    <t xml:space="preserve">TEXT(1000000,"# ??/??")</t>
  </si>
  <si>
    <t xml:space="preserve">TEXT(12345678.9,"# ??/??")</t>
  </si>
  <si>
    <t xml:space="preserve">TEXT(0.000123,"# ??/??")</t>
  </si>
  <si>
    <t xml:space="preserve">TEXT(1234.5678,"General")</t>
  </si>
  <si>
    <t xml:space="preserve">TEXT(-1234.5678,"General")</t>
  </si>
  <si>
    <t xml:space="preserve">TEXT(0,"General")</t>
  </si>
  <si>
    <t xml:space="preserve">TEXT(0.5,"General")</t>
  </si>
  <si>
    <t xml:space="preserve">TEXT(1000000,"General")</t>
  </si>
  <si>
    <t xml:space="preserve">TEXT(12345678.9,"General")</t>
  </si>
  <si>
    <t xml:space="preserve">TEXT(0.000123,"General")</t>
  </si>
  <si>
    <t xml:space="preserve">TEXT(1234.5678,"[$$-409]#,##0.00")</t>
  </si>
  <si>
    <t xml:space="preserve">TEXT(-1234.5678,"[$$-409]#,##0.00")</t>
  </si>
  <si>
    <t xml:space="preserve">TEXT(0,"[$$-409]#,##0.00")</t>
  </si>
  <si>
    <t xml:space="preserve">TEXT(0.5,"[$$-409]#,##0.00")</t>
  </si>
  <si>
    <t xml:space="preserve">TEXT(1000000,"[$$-409]#,##0.00")</t>
  </si>
  <si>
    <t xml:space="preserve">TEXT(12345678.9,"[$$-409]#,##0.00")</t>
  </si>
  <si>
    <t xml:space="preserve">TEXT(0.000123,"[$$-409]#,##0.00")</t>
  </si>
  <si>
    <t xml:space="preserve">TEXT(1234.5678,"[$€-407]#,##0.00")</t>
  </si>
  <si>
    <t xml:space="preserve">TEXT(-1234.5678,"[$€-407]#,##0.00")</t>
  </si>
  <si>
    <t xml:space="preserve">TEXT(0,"[$€-407]#,##0.00")</t>
  </si>
  <si>
    <t xml:space="preserve">TEXT(0.5,"[$€-407]#,##0.00")</t>
  </si>
  <si>
    <t xml:space="preserve">TEXT(1000000,"[$€-407]#,##0.00")</t>
  </si>
  <si>
    <t xml:space="preserve">TEXT(12345678.9,"[$€-407]#,##0.00")</t>
  </si>
  <si>
    <t xml:space="preserve">TEXT(0.000123,"[$€-407]#,##0.00")</t>
  </si>
  <si>
    <t xml:space="preserve">TEXT(1234.5678,"[$$-en-US]#,##0")</t>
  </si>
  <si>
    <t xml:space="preserve">TEXT(-1234.5678,"[$$-en-US]#,##0")</t>
  </si>
  <si>
    <t xml:space="preserve">TEXT(0,"[$$-en-US]#,##0")</t>
  </si>
  <si>
    <t xml:space="preserve">TEXT(0.5,"[$$-en-US]#,##0")</t>
  </si>
  <si>
    <t xml:space="preserve">TEXT(1000000,"[$$-en-US]#,##0")</t>
  </si>
  <si>
    <t xml:space="preserve">TEXT(12345678.9,"[$$-en-US]#,##0")</t>
  </si>
  <si>
    <t xml:space="preserve">TEXT(0.000123,"[$$-en-US]#,##0")</t>
  </si>
  <si>
    <t xml:space="preserve">TEXT(1234.5678,"$#,##0")</t>
  </si>
  <si>
    <t xml:space="preserve">TEXT(-1234.5678,"$#,##0")</t>
  </si>
  <si>
    <t xml:space="preserve">TEXT(0,"$#,##0")</t>
  </si>
  <si>
    <t xml:space="preserve">TEXT(0.5,"$#,##0")</t>
  </si>
  <si>
    <t xml:space="preserve">TEXT(1000000,"$#,##0")</t>
  </si>
  <si>
    <t xml:space="preserve">TEXT(12345678.9,"$#,##0")</t>
  </si>
  <si>
    <t xml:space="preserve">TEXT(0.000123,"$#,##0")</t>
  </si>
  <si>
    <t xml:space="preserve">TEXT(1234.5678,"#,##0;(#,##0)")</t>
  </si>
  <si>
    <t xml:space="preserve">TEXT(-1234.5678,"#,##0;(#,##0)")</t>
  </si>
  <si>
    <t xml:space="preserve">TEXT(0,"#,##0;(#,##0)")</t>
  </si>
  <si>
    <t xml:space="preserve">TEXT(0.5,"#,##0;(#,##0)")</t>
  </si>
  <si>
    <t xml:space="preserve">TEXT(1000000,"#,##0;(#,##0)")</t>
  </si>
  <si>
    <t xml:space="preserve">TEXT(12345678.9,"#,##0;(#,##0)")</t>
  </si>
  <si>
    <t xml:space="preserve">TEXT(0.000123,"#,##0;(#,##0)")</t>
  </si>
  <si>
    <t xml:space="preserve">TEXT(1234.5678,"#,##0;[Red]-#,##0")</t>
  </si>
  <si>
    <t xml:space="preserve">TEXT(-1234.5678,"#,##0;[Red]-#,##0")</t>
  </si>
  <si>
    <t xml:space="preserve">TEXT(0,"#,##0;[Red]-#,##0")</t>
  </si>
  <si>
    <t xml:space="preserve">TEXT(0.5,"#,##0;[Red]-#,##0")</t>
  </si>
  <si>
    <t xml:space="preserve">TEXT(1000000,"#,##0;[Red]-#,##0")</t>
  </si>
  <si>
    <t xml:space="preserve">TEXT(12345678.9,"#,##0;[Red]-#,##0")</t>
  </si>
  <si>
    <t xml:space="preserve">TEXT(0.000123,"#,##0;[Red]-#,##0")</t>
  </si>
  <si>
    <t xml:space="preserve">TEXT(1234.5678,"[&gt;100]0.0;0")</t>
  </si>
  <si>
    <t xml:space="preserve">TEXT(-1234.5678,"[&gt;100]0.0;0")</t>
  </si>
  <si>
    <t xml:space="preserve">TEXT(0,"[&gt;100]0.0;0")</t>
  </si>
  <si>
    <t xml:space="preserve">TEXT(0.5,"[&gt;100]0.0;0")</t>
  </si>
  <si>
    <t xml:space="preserve">TEXT(1000000,"[&gt;100]0.0;0")</t>
  </si>
  <si>
    <t xml:space="preserve">TEXT(12345678.9,"[&gt;100]0.0;0")</t>
  </si>
  <si>
    <t xml:space="preserve">TEXT(0.000123,"[&gt;100]0.0;0")</t>
  </si>
  <si>
    <t xml:space="preserve">TEXT(1234.5678,"0,")</t>
  </si>
  <si>
    <t xml:space="preserve">TEXT(-1234.5678,"0,")</t>
  </si>
  <si>
    <t xml:space="preserve">TEXT(0,"0,")</t>
  </si>
  <si>
    <t xml:space="preserve">TEXT(0.5,"0,")</t>
  </si>
  <si>
    <t xml:space="preserve">TEXT(1000000,"0,")</t>
  </si>
  <si>
    <t xml:space="preserve">TEXT(12345678.9,"0,")</t>
  </si>
  <si>
    <t xml:space="preserve">TEXT(0.000123,"0,")</t>
  </si>
  <si>
    <t xml:space="preserve">TEXT(1234.5678,"0.0,,")</t>
  </si>
  <si>
    <t xml:space="preserve">TEXT(-1234.5678,"0.0,,")</t>
  </si>
  <si>
    <t xml:space="preserve">TEXT(0,"0.0,,")</t>
  </si>
  <si>
    <t xml:space="preserve">TEXT(0.5,"0.0,,")</t>
  </si>
  <si>
    <t xml:space="preserve">TEXT(1000000,"0.0,,")</t>
  </si>
  <si>
    <t xml:space="preserve">TEXT(12345678.9,"0.0,,")</t>
  </si>
  <si>
    <t xml:space="preserve">TEXT(0.000123,"0.0,,")</t>
  </si>
  <si>
    <t xml:space="preserve">TEXT(1234.5678,"00000")</t>
  </si>
  <si>
    <t xml:space="preserve">TEXT(-1234.5678,"00000")</t>
  </si>
  <si>
    <t xml:space="preserve">TEXT(0,"00000")</t>
  </si>
  <si>
    <t xml:space="preserve">TEXT(0.5,"00000")</t>
  </si>
  <si>
    <t xml:space="preserve">TEXT(1000000,"00000")</t>
  </si>
  <si>
    <t xml:space="preserve">TEXT(12345678.9,"00000")</t>
  </si>
  <si>
    <t xml:space="preserve">TEXT(0.000123,"00000")</t>
  </si>
  <si>
    <t xml:space="preserve">TEXT(1234.5678,"""abc""0")</t>
  </si>
  <si>
    <t xml:space="preserve">TEXT(-1234.5678,"""abc""0")</t>
  </si>
  <si>
    <t xml:space="preserve">TEXT(0,"""abc""0")</t>
  </si>
  <si>
    <t xml:space="preserve">TEXT(0.5,"""abc""0")</t>
  </si>
  <si>
    <t xml:space="preserve">TEXT(1000000,"""abc""0")</t>
  </si>
  <si>
    <t xml:space="preserve">TEXT(12345678.9,"""abc""0")</t>
  </si>
  <si>
    <t xml:space="preserve">TEXT(0.000123,"""abc""0")</t>
  </si>
  <si>
    <t xml:space="preserve">TEXT(1234.5678,"0"" units""")</t>
  </si>
  <si>
    <t xml:space="preserve">TEXT(-1234.5678,"0"" units""")</t>
  </si>
  <si>
    <t xml:space="preserve">TEXT(0,"0"" units""")</t>
  </si>
  <si>
    <t xml:space="preserve">TEXT(0.5,"0"" units""")</t>
  </si>
  <si>
    <t xml:space="preserve">TEXT(1000000,"0"" units""")</t>
  </si>
  <si>
    <t xml:space="preserve">TEXT(12345678.9,"0"" units""")</t>
  </si>
  <si>
    <t xml:space="preserve">TEXT(0.000123,"0"" units""")</t>
  </si>
  <si>
    <t xml:space="preserve">TEXT(1234.5678,"#,##0_);(#,##0)")</t>
  </si>
  <si>
    <t xml:space="preserve">TEXT(-1234.5678,"#,##0_);(#,##0)")</t>
  </si>
  <si>
    <t xml:space="preserve">TEXT(0,"#,##0_);(#,##0)")</t>
  </si>
  <si>
    <t xml:space="preserve">TEXT(0.5,"#,##0_);(#,##0)")</t>
  </si>
  <si>
    <t xml:space="preserve">TEXT(1000000,"#,##0_);(#,##0)")</t>
  </si>
  <si>
    <t xml:space="preserve">TEXT(12345678.9,"#,##0_);(#,##0)")</t>
  </si>
  <si>
    <t xml:space="preserve">TEXT(0.000123,"#,##0_);(#,##0)")</t>
  </si>
  <si>
    <t xml:space="preserve">TEXT(1234.5678,"#.##0")</t>
  </si>
  <si>
    <t xml:space="preserve">TEXT(-1234.5678,"#.##0")</t>
  </si>
  <si>
    <t xml:space="preserve">TEXT(0,"#.##0")</t>
  </si>
  <si>
    <t xml:space="preserve">TEXT(0.5,"#.##0")</t>
  </si>
  <si>
    <t xml:space="preserve">TEXT(1000000,"#.##0")</t>
  </si>
  <si>
    <t xml:space="preserve">TEXT(12345678.9,"#.##0")</t>
  </si>
  <si>
    <t xml:space="preserve">TEXT(0.000123,"#.##0")</t>
  </si>
  <si>
    <t xml:space="preserve">TEXT(1234.5678,"#.###.##0")</t>
  </si>
  <si>
    <t xml:space="preserve">TEXT(-1234.5678,"#.###.##0")</t>
  </si>
  <si>
    <t xml:space="preserve">TEXT(0,"#.###.##0")</t>
  </si>
  <si>
    <t xml:space="preserve">TEXT(0.5,"#.###.##0")</t>
  </si>
  <si>
    <t xml:space="preserve">TEXT(1000000,"#.###.##0")</t>
  </si>
  <si>
    <t xml:space="preserve">TEXT(12345678.9,"#.###.##0")</t>
  </si>
  <si>
    <t xml:space="preserve">TEXT(0.000123,"#.###.##0")</t>
  </si>
  <si>
    <t xml:space="preserve">TEXT(1234.5678,"0,00")</t>
  </si>
  <si>
    <t xml:space="preserve">TEXT(-1234.5678,"0,00")</t>
  </si>
  <si>
    <t xml:space="preserve">TEXT(0,"0,00")</t>
  </si>
  <si>
    <t xml:space="preserve">TEXT(0.5,"0,00")</t>
  </si>
  <si>
    <t xml:space="preserve">TEXT(1000000,"0,00")</t>
  </si>
  <si>
    <t xml:space="preserve">TEXT(12345678.9,"0,00")</t>
  </si>
  <si>
    <t xml:space="preserve">TEXT(0.000123,"0,00")</t>
  </si>
  <si>
    <t xml:space="preserve">TEXT(1234.5678,"#.##0,00")</t>
  </si>
  <si>
    <t xml:space="preserve">TEXT(-1234.5678,"#.##0,00")</t>
  </si>
  <si>
    <t xml:space="preserve">TEXT(0,"#.##0,00")</t>
  </si>
  <si>
    <t xml:space="preserve">TEXT(0.5,"#.##0,00")</t>
  </si>
  <si>
    <t xml:space="preserve">TEXT(1000000,"#.##0,00")</t>
  </si>
  <si>
    <t xml:space="preserve">TEXT(12345678.9,"#.##0,00")</t>
  </si>
  <si>
    <t xml:space="preserve">TEXT(0.000123,"#.##0,00")</t>
  </si>
  <si>
    <t xml:space="preserve">TEXT(1234.5678,"@")</t>
  </si>
  <si>
    <t xml:space="preserve">TEXT(-1234.5678,"@")</t>
  </si>
  <si>
    <t xml:space="preserve">TEXT(0,"@")</t>
  </si>
  <si>
    <t xml:space="preserve">TEXT(0.5,"@")</t>
  </si>
  <si>
    <t xml:space="preserve">TEXT(1000000,"@")</t>
  </si>
  <si>
    <t xml:space="preserve">TEXT(12345678.9,"@")</t>
  </si>
  <si>
    <t xml:space="preserve">TEXT(0.000123,"@")</t>
  </si>
  <si>
    <t xml:space="preserve">TEXT(1234.5678,"0.0E+0")</t>
  </si>
  <si>
    <t xml:space="preserve">TEXT(-1234.5678,"0.0E+0")</t>
  </si>
  <si>
    <t xml:space="preserve">TEXT(0,"0.0E+0")</t>
  </si>
  <si>
    <t xml:space="preserve">TEXT(0.5,"0.0E+0")</t>
  </si>
  <si>
    <t xml:space="preserve">TEXT(1000000,"0.0E+0")</t>
  </si>
  <si>
    <t xml:space="preserve">TEXT(12345678.9,"0.0E+0")</t>
  </si>
  <si>
    <t xml:space="preserve">TEXT(0.000123,"0.0E+0")</t>
  </si>
  <si>
    <t xml:space="preserve">TEXT(1234.5678,"##0.0E+0")</t>
  </si>
  <si>
    <t xml:space="preserve">TEXT(-1234.5678,"##0.0E+0")</t>
  </si>
  <si>
    <t xml:space="preserve">TEXT(0,"##0.0E+0")</t>
  </si>
  <si>
    <t xml:space="preserve">TEXT(0.5,"##0.0E+0")</t>
  </si>
  <si>
    <t xml:space="preserve">TEXT(1000000,"##0.0E+0")</t>
  </si>
  <si>
    <t xml:space="preserve">TEXT(12345678.9,"##0.0E+0")</t>
  </si>
  <si>
    <t xml:space="preserve">TEXT(0.000123,"##0.0E+0")</t>
  </si>
  <si>
    <t xml:space="preserve">TEXT(1234.5678,"\$0")</t>
  </si>
  <si>
    <t xml:space="preserve">TEXT(-1234.5678,"\$0")</t>
  </si>
  <si>
    <t xml:space="preserve">TEXT(0,"\$0")</t>
  </si>
  <si>
    <t xml:space="preserve">TEXT(0.5,"\$0")</t>
  </si>
  <si>
    <t xml:space="preserve">TEXT(1000000,"\$0")</t>
  </si>
  <si>
    <t xml:space="preserve">TEXT(12345678.9,"\$0")</t>
  </si>
  <si>
    <t xml:space="preserve">TEXT(0.000123,"\$0")</t>
  </si>
  <si>
    <t xml:space="preserve">TEXT(1234.5678,"000-00")</t>
  </si>
  <si>
    <t xml:space="preserve">TEXT(-1234.5678,"000-00")</t>
  </si>
  <si>
    <t xml:space="preserve">TEXT(0,"000-00")</t>
  </si>
  <si>
    <t xml:space="preserve">TEXT(0.5,"000-00")</t>
  </si>
  <si>
    <t xml:space="preserve">TEXT(1000000,"000-00")</t>
  </si>
  <si>
    <t xml:space="preserve">TEXT(12345678.9,"000-00")</t>
  </si>
  <si>
    <t xml:space="preserve">TEXT(0.000123,"000-00")</t>
  </si>
  <si>
    <t xml:space="preserve">TEXT(1234.5678,"#,###")</t>
  </si>
  <si>
    <t xml:space="preserve">TEXT(-1234.5678,"#,###")</t>
  </si>
  <si>
    <t xml:space="preserve">TEXT(0,"#,###")</t>
  </si>
  <si>
    <t xml:space="preserve">TEXT(0.5,"#,###")</t>
  </si>
  <si>
    <t xml:space="preserve">TEXT(1000000,"#,###")</t>
  </si>
  <si>
    <t xml:space="preserve">TEXT(12345678.9,"#,###")</t>
  </si>
  <si>
    <t xml:space="preserve">TEXT(0.000123,"#,###")</t>
  </si>
  <si>
    <t xml:space="preserve">TEXT(1234.5678,"0.0")</t>
  </si>
  <si>
    <t xml:space="preserve">TEXT(-1234.5678,"0.0")</t>
  </si>
  <si>
    <t xml:space="preserve">TEXT(0,"0.0")</t>
  </si>
  <si>
    <t xml:space="preserve">TEXT(0.5,"0.0")</t>
  </si>
  <si>
    <t xml:space="preserve">TEXT(1000000,"0.0")</t>
  </si>
  <si>
    <t xml:space="preserve">TEXT(12345678.9,"0.0")</t>
  </si>
  <si>
    <t xml:space="preserve">TEXT(0.000123,"0.0")</t>
  </si>
  <si>
    <t xml:space="preserve">TEXT(1234.5678,"0.000")</t>
  </si>
  <si>
    <t xml:space="preserve">TEXT(-1234.5678,"0.000")</t>
  </si>
  <si>
    <t xml:space="preserve">TEXT(0,"0.000")</t>
  </si>
  <si>
    <t xml:space="preserve">TEXT(0.5,"0.000")</t>
  </si>
  <si>
    <t xml:space="preserve">TEXT(1000000,"0.000")</t>
  </si>
  <si>
    <t xml:space="preserve">TEXT(12345678.9,"0.000")</t>
  </si>
  <si>
    <t xml:space="preserve">TEXT(0.000123,"0.000")</t>
  </si>
  <si>
    <t xml:space="preserve">TEXT(1234.5678,"#.#")</t>
  </si>
  <si>
    <t xml:space="preserve">TEXT(-1234.5678,"#.#")</t>
  </si>
  <si>
    <t xml:space="preserve">TEXT(0,"#.#")</t>
  </si>
  <si>
    <t xml:space="preserve">TEXT(0.5,"#.#")</t>
  </si>
  <si>
    <t xml:space="preserve">TEXT(1000000,"#.#")</t>
  </si>
  <si>
    <t xml:space="preserve">TEXT(12345678.9,"#.#")</t>
  </si>
  <si>
    <t xml:space="preserve">TEXT(0.000123,"#.#")</t>
  </si>
  <si>
    <t xml:space="preserve">TEXT(1234.5678,"00.00")</t>
  </si>
  <si>
    <t xml:space="preserve">TEXT(-1234.5678,"00.00")</t>
  </si>
  <si>
    <t xml:space="preserve">TEXT(0,"00.00")</t>
  </si>
  <si>
    <t xml:space="preserve">TEXT(0.5,"00.00")</t>
  </si>
  <si>
    <t xml:space="preserve">TEXT(1000000,"00.00")</t>
  </si>
  <si>
    <t xml:space="preserve">TEXT(12345678.9,"00.00")</t>
  </si>
  <si>
    <t xml:space="preserve">TEXT(0.000123,"00.00")</t>
  </si>
  <si>
    <t xml:space="preserve">TEXT(1234.5678,"0.#")</t>
  </si>
  <si>
    <t xml:space="preserve">TEXT(-1234.5678,"0.#")</t>
  </si>
  <si>
    <t xml:space="preserve">TEXT(0,"0.#")</t>
  </si>
  <si>
    <t xml:space="preserve">TEXT(0.5,"0.#")</t>
  </si>
  <si>
    <t xml:space="preserve">TEXT(1000000,"0.#")</t>
  </si>
  <si>
    <t xml:space="preserve">TEXT(12345678.9,"0.#")</t>
  </si>
  <si>
    <t xml:space="preserve">TEXT(0.000123,"0.#")</t>
  </si>
  <si>
    <t xml:space="preserve">TEXT(1234.5678,"#,#")</t>
  </si>
  <si>
    <t xml:space="preserve">TEXT(-1234.5678,"#,#")</t>
  </si>
  <si>
    <t xml:space="preserve">TEXT(0,"#,#")</t>
  </si>
  <si>
    <t xml:space="preserve">TEXT(0.5,"#,#")</t>
  </si>
  <si>
    <t xml:space="preserve">TEXT(1000000,"#,#")</t>
  </si>
  <si>
    <t xml:space="preserve">TEXT(12345678.9,"#,#")</t>
  </si>
  <si>
    <t xml:space="preserve">TEXT(0.000123,"#,#")</t>
  </si>
  <si>
    <t xml:space="preserve">TEXT(1234.5678,"#,##")</t>
  </si>
  <si>
    <t xml:space="preserve">TEXT(-1234.5678,"#,##")</t>
  </si>
  <si>
    <t xml:space="preserve">TEXT(0,"#,##")</t>
  </si>
  <si>
    <t xml:space="preserve">TEXT(0.5,"#,##")</t>
  </si>
  <si>
    <t xml:space="preserve">TEXT(1000000,"#,##")</t>
  </si>
  <si>
    <t xml:space="preserve">TEXT(12345678.9,"#,##")</t>
  </si>
  <si>
    <t xml:space="preserve">TEXT(0.000123,"#,##")</t>
  </si>
  <si>
    <t xml:space="preserve">TEXT(1234.5678,"0,0")</t>
  </si>
  <si>
    <t xml:space="preserve">TEXT(-1234.5678,"0,0")</t>
  </si>
  <si>
    <t xml:space="preserve">TEXT(0,"0,0")</t>
  </si>
  <si>
    <t xml:space="preserve">TEXT(0.5,"0,0")</t>
  </si>
  <si>
    <t xml:space="preserve">TEXT(1000000,"0,0")</t>
  </si>
  <si>
    <t xml:space="preserve">TEXT(12345678.9,"0,0")</t>
  </si>
  <si>
    <t xml:space="preserve">TEXT(0.000123,"0,0")</t>
  </si>
  <si>
    <t xml:space="preserve">TEXT(1234.5678,"0,000")</t>
  </si>
  <si>
    <t xml:space="preserve">TEXT(-1234.5678,"0,000")</t>
  </si>
  <si>
    <t xml:space="preserve">TEXT(0,"0,000")</t>
  </si>
  <si>
    <t xml:space="preserve">TEXT(0.5,"0,000")</t>
  </si>
  <si>
    <t xml:space="preserve">TEXT(1000000,"0,000")</t>
  </si>
  <si>
    <t xml:space="preserve">TEXT(12345678.9,"0,000")</t>
  </si>
  <si>
    <t xml:space="preserve">TEXT(0.000123,"0,000")</t>
  </si>
  <si>
    <t xml:space="preserve">TEXT(1234.5678,"#,##0.0")</t>
  </si>
  <si>
    <t xml:space="preserve">TEXT(-1234.5678,"#,##0.0")</t>
  </si>
  <si>
    <t xml:space="preserve">TEXT(0,"#,##0.0")</t>
  </si>
  <si>
    <t xml:space="preserve">TEXT(0.5,"#,##0.0")</t>
  </si>
  <si>
    <t xml:space="preserve">TEXT(1000000,"#,##0.0")</t>
  </si>
  <si>
    <t xml:space="preserve">TEXT(12345678.9,"#,##0.0")</t>
  </si>
  <si>
    <t xml:space="preserve">TEXT(0.000123,"#,##0.0")</t>
  </si>
  <si>
    <t xml:space="preserve">TEXT(1234.5678,"0.0.0")</t>
  </si>
  <si>
    <t xml:space="preserve">TEXT(-1234.5678,"0.0.0")</t>
  </si>
  <si>
    <t xml:space="preserve">TEXT(0,"0.0.0")</t>
  </si>
  <si>
    <t xml:space="preserve">TEXT(0.5,"0.0.0")</t>
  </si>
  <si>
    <t xml:space="preserve">TEXT(1000000,"0.0.0")</t>
  </si>
  <si>
    <t xml:space="preserve">TEXT(12345678.9,"0.0.0")</t>
  </si>
  <si>
    <t xml:space="preserve">TEXT(0.000123,"0.0.0")</t>
  </si>
  <si>
    <t xml:space="preserve">TEXT(1234.5678,"0,0,0")</t>
  </si>
  <si>
    <t xml:space="preserve">TEXT(-1234.5678,"0,0,0")</t>
  </si>
  <si>
    <t xml:space="preserve">TEXT(0,"0,0,0")</t>
  </si>
  <si>
    <t xml:space="preserve">TEXT(0.5,"0,0,0")</t>
  </si>
  <si>
    <t xml:space="preserve">TEXT(1000000,"0,0,0")</t>
  </si>
  <si>
    <t xml:space="preserve">TEXT(12345678.9,"0,0,0")</t>
  </si>
  <si>
    <t xml:space="preserve">TEXT(0.000123,"0,0,0")</t>
  </si>
  <si>
    <t xml:space="preserve">TEXT(1234.5678,"0.00%")</t>
  </si>
  <si>
    <t xml:space="preserve">TEXT(-1234.5678,"0.00%")</t>
  </si>
  <si>
    <t xml:space="preserve">TEXT(0,"0.00%")</t>
  </si>
  <si>
    <t xml:space="preserve">TEXT(0.5,"0.00%")</t>
  </si>
  <si>
    <t xml:space="preserve">TEXT(1000000,"0.00%")</t>
  </si>
  <si>
    <t xml:space="preserve">TEXT(12345678.9,"0.00%")</t>
  </si>
  <si>
    <t xml:space="preserve">TEXT(0.000123,"0.00%")</t>
  </si>
  <si>
    <t xml:space="preserve">TEXT(1234.5678,"#,##0.00_);(#,##0.00)")</t>
  </si>
  <si>
    <t xml:space="preserve">TEXT(-1234.5678,"#,##0.00_);(#,##0.00)")</t>
  </si>
  <si>
    <t xml:space="preserve">TEXT(0,"#,##0.00_);(#,##0.00)")</t>
  </si>
  <si>
    <t xml:space="preserve">TEXT(0.5,"#,##0.00_);(#,##0.00)")</t>
  </si>
  <si>
    <t xml:space="preserve">TEXT(1000000,"#,##0.00_);(#,##0.00)")</t>
  </si>
  <si>
    <t xml:space="preserve">TEXT(12345678.9,"#,##0.00_);(#,##0.00)")</t>
  </si>
  <si>
    <t xml:space="preserve">TEXT(0.000123,"#,##0.00_);(#,##0.00)")</t>
  </si>
  <si>
    <t xml:space="preserve">TEXT(1234.5678,"$#,##0.00")</t>
  </si>
  <si>
    <t xml:space="preserve">TEXT(-1234.5678,"$#,##0.00")</t>
  </si>
  <si>
    <t xml:space="preserve">TEXT(0,"$#,##0.00")</t>
  </si>
  <si>
    <t xml:space="preserve">TEXT(0.5,"$#,##0.00")</t>
  </si>
  <si>
    <t xml:space="preserve">TEXT(1000000,"$#,##0.00")</t>
  </si>
  <si>
    <t xml:space="preserve">TEXT(12345678.9,"$#,##0.00")</t>
  </si>
  <si>
    <t xml:space="preserve">TEXT(0.000123,"$#,##0.00")</t>
  </si>
  <si>
    <t xml:space="preserve">TEXT(1234.5678,"#,##0.00;-#,##0.00")</t>
  </si>
  <si>
    <t xml:space="preserve">TEXT(-1234.5678,"#,##0.00;-#,##0.00")</t>
  </si>
  <si>
    <t xml:space="preserve">TEXT(0,"#,##0.00;-#,##0.00")</t>
  </si>
  <si>
    <t xml:space="preserve">TEXT(0.5,"#,##0.00;-#,##0.00")</t>
  </si>
  <si>
    <t xml:space="preserve">TEXT(1000000,"#,##0.00;-#,##0.00")</t>
  </si>
  <si>
    <t xml:space="preserve">TEXT(12345678.9,"#,##0.00;-#,##0.00")</t>
  </si>
  <si>
    <t xml:space="preserve">TEXT(0.000123,"#,##0.00;-#,##0.00")</t>
  </si>
  <si>
    <t xml:space="preserve">TEXT(1234.5678,"#,##0.000")</t>
  </si>
  <si>
    <t xml:space="preserve">TEXT(-1234.5678,"#,##0.000")</t>
  </si>
  <si>
    <t xml:space="preserve">TEXT(0,"#,##0.000")</t>
  </si>
  <si>
    <t xml:space="preserve">TEXT(0.5,"#,##0.000")</t>
  </si>
  <si>
    <t xml:space="preserve">TEXT(1000000,"#,##0.000")</t>
  </si>
  <si>
    <t xml:space="preserve">TEXT(12345678.9,"#,##0.000")</t>
  </si>
  <si>
    <t xml:space="preserve">TEXT(0.000123,"#,##0.000")</t>
  </si>
  <si>
    <t xml:space="preserve">TEXT(1234.5678,"0.00 ""x""")</t>
  </si>
  <si>
    <t xml:space="preserve">TEXT(-1234.5678,"0.00 ""x""")</t>
  </si>
  <si>
    <t xml:space="preserve">TEXT(0,"0.00 ""x""")</t>
  </si>
  <si>
    <t xml:space="preserve">TEXT(0.5,"0.00 ""x""")</t>
  </si>
  <si>
    <t xml:space="preserve">TEXT(1000000,"0.00 ""x""")</t>
  </si>
  <si>
    <t xml:space="preserve">TEXT(12345678.9,"0.00 ""x""")</t>
  </si>
  <si>
    <t xml:space="preserve">TEXT(0.000123,"0.00 ""x""")</t>
  </si>
  <si>
    <t xml:space="preserve">TEXT(1234.5678,"0.000%")</t>
  </si>
  <si>
    <t xml:space="preserve">TEXT(-1234.5678,"0.000%")</t>
  </si>
  <si>
    <t xml:space="preserve">TEXT(0,"0.000%")</t>
  </si>
  <si>
    <t xml:space="preserve">TEXT(0.5,"0.000%")</t>
  </si>
  <si>
    <t xml:space="preserve">TEXT(1000000,"0.000%")</t>
  </si>
  <si>
    <t xml:space="preserve">TEXT(12345678.9,"0.000%")</t>
  </si>
  <si>
    <t xml:space="preserve">TEXT(0.000123,"0.000%")</t>
  </si>
  <si>
    <t xml:space="preserve">TEXT(1234.5678,"0.0000")</t>
  </si>
  <si>
    <t xml:space="preserve">TEXT(-1234.5678,"0.0000")</t>
  </si>
  <si>
    <t xml:space="preserve">TEXT(0,"0.0000")</t>
  </si>
  <si>
    <t xml:space="preserve">TEXT(0.5,"0.0000")</t>
  </si>
  <si>
    <t xml:space="preserve">TEXT(1000000,"0.0000")</t>
  </si>
  <si>
    <t xml:space="preserve">TEXT(12345678.9,"0.0000")</t>
  </si>
  <si>
    <t xml:space="preserve">TEXT(0.000123,"0.0000")</t>
  </si>
  <si>
    <t xml:space="preserve">TEXT(1234.5678,"0.00;0.00")</t>
  </si>
  <si>
    <t xml:space="preserve">TEXT(-1234.5678,"0.00;0.00")</t>
  </si>
  <si>
    <t xml:space="preserve">TEXT(0,"0.00;0.00")</t>
  </si>
  <si>
    <t xml:space="preserve">TEXT(0.5,"0.00;0.00")</t>
  </si>
  <si>
    <t xml:space="preserve">TEXT(1000000,"0.00;0.00")</t>
  </si>
  <si>
    <t xml:space="preserve">TEXT(12345678.9,"0.00;0.00")</t>
  </si>
  <si>
    <t xml:space="preserve">TEXT(0.000123,"0.00;0.00")</t>
  </si>
  <si>
    <t xml:space="preserve">TEXT(1234.5678,"#,##0.00;[Red](#,##0.00)")</t>
  </si>
  <si>
    <t xml:space="preserve">TEXT(-1234.5678,"#,##0.00;[Red](#,##0.00)")</t>
  </si>
  <si>
    <t xml:space="preserve">TEXT(0,"#,##0.00;[Red](#,##0.00)")</t>
  </si>
  <si>
    <t xml:space="preserve">TEXT(0.5,"#,##0.00;[Red](#,##0.00)")</t>
  </si>
  <si>
    <t xml:space="preserve">TEXT(1000000,"#,##0.00;[Red](#,##0.00)")</t>
  </si>
  <si>
    <t xml:space="preserve">TEXT(12345678.9,"#,##0.00;[Red](#,##0.00)")</t>
  </si>
  <si>
    <t xml:space="preserve">TEXT(0.000123,"#,##0.00;[Red](#,##0.00)")</t>
  </si>
  <si>
    <t xml:space="preserve">TEXT(1234.5678,"0.00E+000")</t>
  </si>
  <si>
    <t xml:space="preserve">TEXT(-1234.5678,"0.00E+000")</t>
  </si>
  <si>
    <t xml:space="preserve">TEXT(0,"0.00E+000")</t>
  </si>
  <si>
    <t xml:space="preserve">TEXT(0.5,"0.00E+000")</t>
  </si>
  <si>
    <t xml:space="preserve">TEXT(1000000,"0.00E+000")</t>
  </si>
  <si>
    <t xml:space="preserve">TEXT(12345678.9,"0.00E+000")</t>
  </si>
  <si>
    <t xml:space="preserve">TEXT(0.000123,"0.00E+000")</t>
  </si>
  <si>
    <t xml:space="preserve">TEXT(1234.5678,"0.000E+00")</t>
  </si>
  <si>
    <t xml:space="preserve">TEXT(-1234.5678,"0.000E+00")</t>
  </si>
  <si>
    <t xml:space="preserve">TEXT(0,"0.000E+00")</t>
  </si>
  <si>
    <t xml:space="preserve">TEXT(0.5,"0.000E+00")</t>
  </si>
  <si>
    <t xml:space="preserve">TEXT(1000000,"0.000E+00")</t>
  </si>
  <si>
    <t xml:space="preserve">TEXT(12345678.9,"0.000E+00")</t>
  </si>
  <si>
    <t xml:space="preserve">TEXT(0.000123,"0.000E+00")</t>
  </si>
  <si>
    <t xml:space="preserve">TEXT(1234.5678,"#,##0.00E+00")</t>
  </si>
  <si>
    <t xml:space="preserve">TEXT(-1234.5678,"#,##0.00E+00")</t>
  </si>
  <si>
    <t xml:space="preserve">TEXT(0,"#,##0.00E+00")</t>
  </si>
  <si>
    <t xml:space="preserve">TEXT(0.5,"#,##0.00E+00")</t>
  </si>
  <si>
    <t xml:space="preserve">TEXT(1000000,"#,##0.00E+00")</t>
  </si>
  <si>
    <t xml:space="preserve">TEXT(12345678.9,"#,##0.00E+00")</t>
  </si>
  <si>
    <t xml:space="preserve">TEXT(0.000123,"#,##0.00E+00")</t>
  </si>
  <si>
    <t xml:space="preserve">TEXT(45292.5,"yyyy-mm-dd")</t>
  </si>
  <si>
    <t xml:space="preserve">TEXT(45658.75123,"yyyy-mm-dd")</t>
  </si>
  <si>
    <t xml:space="preserve">TEXT(0.5,"yyyy-mm-dd")</t>
  </si>
  <si>
    <t xml:space="preserve">TEXT(1.999,"yyyy-mm-dd")</t>
  </si>
  <si>
    <t xml:space="preserve">TEXT(61,"yyyy-mm-dd")</t>
  </si>
  <si>
    <t xml:space="preserve">TEXT(36526.12345,"yyyy-mm-dd")</t>
  </si>
  <si>
    <t xml:space="preserve">TEXT(0.999999,"yyyy-mm-dd")</t>
  </si>
  <si>
    <t xml:space="preserve">TEXT(-1.5,"yyyy-mm-dd")</t>
  </si>
  <si>
    <t xml:space="preserve">TEXT(45292.5,"dd/mm/yyyy")</t>
  </si>
  <si>
    <t xml:space="preserve">TEXT(45658.75123,"dd/mm/yyyy")</t>
  </si>
  <si>
    <t xml:space="preserve">TEXT(0.5,"dd/mm/yyyy")</t>
  </si>
  <si>
    <t xml:space="preserve">TEXT(1.999,"dd/mm/yyyy")</t>
  </si>
  <si>
    <t xml:space="preserve">TEXT(61,"dd/mm/yyyy")</t>
  </si>
  <si>
    <t xml:space="preserve">TEXT(36526.12345,"dd/mm/yyyy")</t>
  </si>
  <si>
    <t xml:space="preserve">TEXT(0.999999,"dd/mm/yyyy")</t>
  </si>
  <si>
    <t xml:space="preserve">TEXT(-1.5,"dd/mm/yyyy")</t>
  </si>
  <si>
    <t xml:space="preserve">TEXT(45292.5,"d-mmm-yy")</t>
  </si>
  <si>
    <t xml:space="preserve">TEXT(45658.75123,"d-mmm-yy")</t>
  </si>
  <si>
    <t xml:space="preserve">TEXT(0.5,"d-mmm-yy")</t>
  </si>
  <si>
    <t xml:space="preserve">TEXT(1.999,"d-mmm-yy")</t>
  </si>
  <si>
    <t xml:space="preserve">TEXT(61,"d-mmm-yy")</t>
  </si>
  <si>
    <t xml:space="preserve">TEXT(36526.12345,"d-mmm-yy")</t>
  </si>
  <si>
    <t xml:space="preserve">TEXT(0.999999,"d-mmm-yy")</t>
  </si>
  <si>
    <t xml:space="preserve">TEXT(-1.5,"d-mmm-yy")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</si>
  <si>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</si>
  <si>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</si>
  <si>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</si>
  <si>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</si>
  <si>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</si>
  <si>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</si>
  <si>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</si>
  <si>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</si>
  <si>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TEXT(45292.5,"mmm")</t>
  </si>
  <si>
    <t xml:space="preserve">TEXT(45658.75123,"mmm")</t>
  </si>
  <si>
    <t xml:space="preserve">TEXT(0.5,"mmm")</t>
  </si>
  <si>
    <t xml:space="preserve">TEXT(1.999,"mmm")</t>
  </si>
  <si>
    <t xml:space="preserve">TEXT(61,"mmm")</t>
  </si>
  <si>
    <t xml:space="preserve">TEXT(36526.12345,"mmm")</t>
  </si>
  <si>
    <t xml:space="preserve">TEXT(0.999999,"mmm")</t>
  </si>
  <si>
    <t xml:space="preserve">TEXT(-1.5,"mmm")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</si>
  <si>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</si>
  <si>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</si>
  <si>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</si>
  <si>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</si>
  <si>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</si>
  <si>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</si>
  <si>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</si>
  <si>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</si>
  <si>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TEXT(45292.5,"ddd")</t>
  </si>
  <si>
    <t xml:space="preserve">TEXT(45658.75123,"ddd")</t>
  </si>
  <si>
    <t xml:space="preserve">TEXT(0.5,"ddd")</t>
  </si>
  <si>
    <t xml:space="preserve">TEXT(1.999,"ddd")</t>
  </si>
  <si>
    <t xml:space="preserve">TEXT(61,"ddd")</t>
  </si>
  <si>
    <t xml:space="preserve">TEXT(36526.12345,"ddd")</t>
  </si>
  <si>
    <t xml:space="preserve">TEXT(0.999999,"ddd")</t>
  </si>
  <si>
    <t xml:space="preserve">TEXT(-1.5,"ddd")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</si>
  <si>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</si>
  <si>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</si>
  <si>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</si>
  <si>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</si>
  <si>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</si>
  <si>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</si>
  <si>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</si>
  <si>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</si>
  <si>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TEXT(45292.5,"hh:mm:ss")</t>
  </si>
  <si>
    <t xml:space="preserve">TEXT(45658.75123,"hh:mm:ss")</t>
  </si>
  <si>
    <t xml:space="preserve">TEXT(0.5,"hh:mm:ss")</t>
  </si>
  <si>
    <t xml:space="preserve">TEXT(1.999,"hh:mm:ss")</t>
  </si>
  <si>
    <t xml:space="preserve">TEXT(61,"hh:mm:ss")</t>
  </si>
  <si>
    <t xml:space="preserve">TEXT(36526.12345,"hh:mm:ss")</t>
  </si>
  <si>
    <t xml:space="preserve">TEXT(0.999999,"hh:mm:ss")</t>
  </si>
  <si>
    <t xml:space="preserve">TEXT(-1.5,"hh:mm:ss")</t>
  </si>
  <si>
    <t xml:space="preserve">TEXT(45292.5,"h:mm AM/PM")</t>
  </si>
  <si>
    <t xml:space="preserve">TEXT(45658.75123,"h:mm AM/PM")</t>
  </si>
  <si>
    <t xml:space="preserve">TEXT(0.5,"h:mm AM/PM")</t>
  </si>
  <si>
    <t xml:space="preserve">TEXT(1.999,"h:mm AM/PM")</t>
  </si>
  <si>
    <t xml:space="preserve">TEXT(61,"h:mm AM/PM")</t>
  </si>
  <si>
    <t xml:space="preserve">TEXT(36526.12345,"h:mm AM/PM")</t>
  </si>
  <si>
    <t xml:space="preserve">TEXT(0.999999,"h:mm AM/PM")</t>
  </si>
  <si>
    <t xml:space="preserve">TEXT(-1.5,"h:mm AM/PM")</t>
  </si>
  <si>
    <t xml:space="preserve">TEXT(45292.5,"hh:mm:ss.000")</t>
  </si>
  <si>
    <t xml:space="preserve">TEXT(45658.75123,"hh:mm:ss.000")</t>
  </si>
  <si>
    <t xml:space="preserve">TEXT(0.5,"hh:mm:ss.000")</t>
  </si>
  <si>
    <t xml:space="preserve">TEXT(1.999,"hh:mm:ss.000")</t>
  </si>
  <si>
    <t xml:space="preserve">TEXT(61,"hh:mm:ss.000")</t>
  </si>
  <si>
    <t xml:space="preserve">TEXT(36526.12345,"hh:mm:ss.000")</t>
  </si>
  <si>
    <t xml:space="preserve">TEXT(0.999999,"hh:mm:ss.000")</t>
  </si>
  <si>
    <t xml:space="preserve">TEXT(-1.5,"hh:mm:ss.000")</t>
  </si>
  <si>
    <t xml:space="preserve">TEXT(45292.5,"hh:mm:ss.0")</t>
  </si>
  <si>
    <t xml:space="preserve">TEXT(45658.75123,"hh:mm:ss.0")</t>
  </si>
  <si>
    <t xml:space="preserve">TEXT(0.5,"hh:mm:ss.0")</t>
  </si>
  <si>
    <t xml:space="preserve">TEXT(1.999,"hh:mm:ss.0")</t>
  </si>
  <si>
    <t xml:space="preserve">TEXT(61,"hh:mm:ss.0")</t>
  </si>
  <si>
    <t xml:space="preserve">TEXT(36526.12345,"hh:mm:ss.0")</t>
  </si>
  <si>
    <t xml:space="preserve">TEXT(0.999999,"hh:mm:ss.0")</t>
  </si>
  <si>
    <t xml:space="preserve">TEXT(-1.5,"hh:mm:ss.0")</t>
  </si>
  <si>
    <t xml:space="preserve">TEXT(45292.5,"[h]:mm")</t>
  </si>
  <si>
    <t xml:space="preserve">TEXT(45658.75123,"[h]:mm")</t>
  </si>
  <si>
    <t xml:space="preserve">TEXT(0.5,"[h]:mm")</t>
  </si>
  <si>
    <t xml:space="preserve">TEXT(1.999,"[h]:mm")</t>
  </si>
  <si>
    <t xml:space="preserve">TEXT(61,"[h]:mm")</t>
  </si>
  <si>
    <t xml:space="preserve">TEXT(36526.12345,"[h]:mm")</t>
  </si>
  <si>
    <t xml:space="preserve">TEXT(0.999999,"[h]:mm")</t>
  </si>
  <si>
    <t xml:space="preserve">TEXT(-1.5,"[h]:mm")</t>
  </si>
  <si>
    <t xml:space="preserve">TEXT(45292.5,"[m]")</t>
  </si>
  <si>
    <t xml:space="preserve">TEXT(45658.75123,"[m]")</t>
  </si>
  <si>
    <t xml:space="preserve">TEXT(0.5,"[m]")</t>
  </si>
  <si>
    <t xml:space="preserve">TEXT(1.999,"[m]")</t>
  </si>
  <si>
    <t xml:space="preserve">TEXT(61,"[m]")</t>
  </si>
  <si>
    <t xml:space="preserve">TEXT(36526.12345,"[m]")</t>
  </si>
  <si>
    <t xml:space="preserve">TEXT(0.999999,"[m]")</t>
  </si>
  <si>
    <t xml:space="preserve">TEXT(-1.5,"[m]")</t>
  </si>
  <si>
    <t xml:space="preserve">TEXT(45292.5,"[s]")</t>
  </si>
  <si>
    <t xml:space="preserve">TEXT(45658.75123,"[s]")</t>
  </si>
  <si>
    <t xml:space="preserve">TEXT(0.5,"[s]")</t>
  </si>
  <si>
    <t xml:space="preserve">TEXT(1.999,"[s]")</t>
  </si>
  <si>
    <t xml:space="preserve">TEXT(61,"[s]")</t>
  </si>
  <si>
    <t xml:space="preserve">TEXT(36526.12345,"[s]")</t>
  </si>
  <si>
    <t xml:space="preserve">TEXT(0.999999,"[s]")</t>
  </si>
  <si>
    <t xml:space="preserve">TEXT(-1.5,"[s]")</t>
  </si>
  <si>
    <t xml:space="preserve">TEXT(45292.5,"mm:ss")</t>
  </si>
  <si>
    <t xml:space="preserve">TEXT(45658.75123,"mm:ss")</t>
  </si>
  <si>
    <t xml:space="preserve">TEXT(0.5,"mm:ss")</t>
  </si>
  <si>
    <t xml:space="preserve">TEXT(1.999,"mm:ss")</t>
  </si>
  <si>
    <t xml:space="preserve">TEXT(61,"mm:ss")</t>
  </si>
  <si>
    <t xml:space="preserve">TEXT(36526.12345,"mm:ss")</t>
  </si>
  <si>
    <t xml:space="preserve">TEXT(0.999999,"mm:ss")</t>
  </si>
  <si>
    <t xml:space="preserve">TEXT(-1.5,"mm:ss")</t>
  </si>
  <si>
    <t xml:space="preserve">TEXT(45292.5,"yy")</t>
  </si>
  <si>
    <t xml:space="preserve">TEXT(45658.75123,"yy")</t>
  </si>
  <si>
    <t xml:space="preserve">TEXT(0.5,"yy")</t>
  </si>
  <si>
    <t xml:space="preserve">TEXT(1.999,"yy")</t>
  </si>
  <si>
    <t xml:space="preserve">TEXT(61,"yy")</t>
  </si>
  <si>
    <t xml:space="preserve">TEXT(36526.12345,"yy")</t>
  </si>
  <si>
    <t xml:space="preserve">TEXT(0.999999,"yy")</t>
  </si>
  <si>
    <t xml:space="preserve">TEXT(-1.5,"yy")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</si>
  <si>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</si>
  <si>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</si>
  <si>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</si>
  <si>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</si>
  <si>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</si>
  <si>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</si>
  <si>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</si>
  <si>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</si>
  <si>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TEXT(45292.5,"m/d/yy")</t>
  </si>
  <si>
    <t xml:space="preserve">TEXT(45658.75123,"m/d/yy")</t>
  </si>
  <si>
    <t xml:space="preserve">TEXT(0.5,"m/d/yy")</t>
  </si>
  <si>
    <t xml:space="preserve">TEXT(1.999,"m/d/yy")</t>
  </si>
  <si>
    <t xml:space="preserve">TEXT(61,"m/d/yy")</t>
  </si>
  <si>
    <t xml:space="preserve">TEXT(36526.12345,"m/d/yy")</t>
  </si>
  <si>
    <t xml:space="preserve">TEXT(0.999999,"m/d/yy")</t>
  </si>
  <si>
    <t xml:space="preserve">TEXT(-1.5,"m/d/yy")</t>
  </si>
  <si>
    <t xml:space="preserve">TEXT(45292.5,"d")</t>
  </si>
  <si>
    <t xml:space="preserve">TEXT(45658.75123,"d")</t>
  </si>
  <si>
    <t xml:space="preserve">TEXT(0.5,"d")</t>
  </si>
  <si>
    <t xml:space="preserve">TEXT(1.999,"d")</t>
  </si>
  <si>
    <t xml:space="preserve">TEXT(61,"d")</t>
  </si>
  <si>
    <t xml:space="preserve">TEXT(36526.12345,"d")</t>
  </si>
  <si>
    <t xml:space="preserve">TEXT(0.999999,"d")</t>
  </si>
  <si>
    <t xml:space="preserve">TEXT(-1.5,"d")</t>
  </si>
  <si>
    <t xml:space="preserve">TEXT(45292.5,"dd")</t>
  </si>
  <si>
    <t xml:space="preserve">TEXT(45658.75123,"dd")</t>
  </si>
  <si>
    <t xml:space="preserve">TEXT(0.5,"dd")</t>
  </si>
  <si>
    <t xml:space="preserve">TEXT(1.999,"dd")</t>
  </si>
  <si>
    <t xml:space="preserve">TEXT(61,"dd")</t>
  </si>
  <si>
    <t xml:space="preserve">TEXT(36526.12345,"dd")</t>
  </si>
  <si>
    <t xml:space="preserve">TEXT(0.999999,"dd")</t>
  </si>
  <si>
    <t xml:space="preserve">TEXT(-1.5,"dd")</t>
  </si>
  <si>
    <t xml:space="preserve">TEXT(45292.5,"mmmmm")</t>
  </si>
  <si>
    <t xml:space="preserve">TEXT(45658.75123,"mmmmm")</t>
  </si>
  <si>
    <t xml:space="preserve">TEXT(0.5,"mmmmm")</t>
  </si>
  <si>
    <t xml:space="preserve">TEXT(1.999,"mmmmm")</t>
  </si>
  <si>
    <t xml:space="preserve">TEXT(61,"mmmmm")</t>
  </si>
  <si>
    <t xml:space="preserve">TEXT(36526.12345,"mmmmm")</t>
  </si>
  <si>
    <t xml:space="preserve">TEXT(0.999999,"mmmmm")</t>
  </si>
  <si>
    <t xml:space="preserve">TEXT(-1.5,"mmmmm")</t>
  </si>
  <si>
    <t xml:space="preserve">TEXT(45292.5,"yyyy-mm-dd hh:mm")</t>
  </si>
  <si>
    <t xml:space="preserve">TEXT(45658.75123,"yyyy-mm-dd hh:mm")</t>
  </si>
  <si>
    <t xml:space="preserve">TEXT(0.5,"yyyy-mm-dd hh:mm")</t>
  </si>
  <si>
    <t xml:space="preserve">TEXT(1.999,"yyyy-mm-dd hh:mm")</t>
  </si>
  <si>
    <t xml:space="preserve">TEXT(61,"yyyy-mm-dd hh:mm")</t>
  </si>
  <si>
    <t xml:space="preserve">TEXT(36526.12345,"yyyy-mm-dd hh:mm")</t>
  </si>
  <si>
    <t xml:space="preserve">TEXT(0.999999,"yyyy-mm-dd hh:mm")</t>
  </si>
  <si>
    <t xml:space="preserve">TEXT(-1.5,"yyyy-mm-dd hh:mm")</t>
  </si>
  <si>
    <t xml:space="preserve">TEXT(45292.5,"AM/PM")</t>
  </si>
  <si>
    <t xml:space="preserve">TEXT(45658.75123,"AM/PM")</t>
  </si>
  <si>
    <t xml:space="preserve">TEXT(0.5,"AM/PM")</t>
  </si>
  <si>
    <t xml:space="preserve">TEXT(1.999,"AM/PM")</t>
  </si>
  <si>
    <t xml:space="preserve">TEXT(61,"AM/PM")</t>
  </si>
  <si>
    <t xml:space="preserve">TEXT(36526.12345,"AM/PM")</t>
  </si>
  <si>
    <t xml:space="preserve">TEXT(0.999999,"AM/PM")</t>
  </si>
  <si>
    <t xml:space="preserve">TEXT(-1.5,"AM/PM")</t>
  </si>
  <si>
    <t xml:space="preserve">TEXT(45292.5,"h A/P")</t>
  </si>
  <si>
    <t xml:space="preserve">TEXT(45658.75123,"h A/P")</t>
  </si>
  <si>
    <t xml:space="preserve">TEXT(0.5,"h A/P")</t>
  </si>
  <si>
    <t xml:space="preserve">TEXT(1.999,"h A/P")</t>
  </si>
  <si>
    <t xml:space="preserve">TEXT(61,"h A/P")</t>
  </si>
  <si>
    <t xml:space="preserve">TEXT(36526.12345,"h A/P")</t>
  </si>
  <si>
    <t xml:space="preserve">TEXT(0.999999,"h A/P")</t>
  </si>
  <si>
    <t xml:space="preserve">TEXT(-1.5,"h A/P")</t>
  </si>
  <si>
    <t xml:space="preserve">TEXT(45292.5,"mm")</t>
  </si>
  <si>
    <t xml:space="preserve">TEXT(45658.75123,"mm")</t>
  </si>
  <si>
    <t xml:space="preserve">TEXT(0.5,"mm")</t>
  </si>
  <si>
    <t xml:space="preserve">TEXT(1.999,"mm")</t>
  </si>
  <si>
    <t xml:space="preserve">TEXT(61,"mm")</t>
  </si>
  <si>
    <t xml:space="preserve">TEXT(36526.12345,"mm")</t>
  </si>
  <si>
    <t xml:space="preserve">TEXT(0.999999,"mm")</t>
  </si>
  <si>
    <t xml:space="preserve">TEXT(-1.5,"mm")</t>
  </si>
  <si>
    <t xml:space="preserve">TEXT(45292.5,"m")</t>
  </si>
  <si>
    <t xml:space="preserve">TEXT(45658.75123,"m")</t>
  </si>
  <si>
    <t xml:space="preserve">TEXT(0.5,"m")</t>
  </si>
  <si>
    <t xml:space="preserve">TEXT(1.999,"m")</t>
  </si>
  <si>
    <t xml:space="preserve">TEXT(61,"m")</t>
  </si>
  <si>
    <t xml:space="preserve">TEXT(36526.12345,"m")</t>
  </si>
  <si>
    <t xml:space="preserve">TEXT(0.999999,"m")</t>
  </si>
  <si>
    <t xml:space="preserve">TEXT(-1.5,"m")</t>
  </si>
  <si>
    <t xml:space="preserve">TEXT(45292.5,"mm-dd")</t>
  </si>
  <si>
    <t xml:space="preserve">TEXT(45658.75123,"mm-dd")</t>
  </si>
  <si>
    <t xml:space="preserve">TEXT(0.5,"mm-dd")</t>
  </si>
  <si>
    <t xml:space="preserve">TEXT(1.999,"mm-dd")</t>
  </si>
  <si>
    <t xml:space="preserve">TEXT(61,"mm-dd")</t>
  </si>
  <si>
    <t xml:space="preserve">TEXT(36526.12345,"mm-dd")</t>
  </si>
  <si>
    <t xml:space="preserve">TEXT(0.999999,"mm-dd")</t>
  </si>
  <si>
    <t xml:space="preserve">TEXT(-1.5,"mm-dd")</t>
  </si>
  <si>
    <t xml:space="preserve">TEXT(45292.5,"dd/mm/yyyy hh:mm:ss")</t>
  </si>
  <si>
    <t xml:space="preserve">TEXT(45658.75123,"dd/mm/yyyy hh:mm:ss")</t>
  </si>
  <si>
    <t xml:space="preserve">TEXT(0.5,"dd/mm/yyyy hh:mm:ss")</t>
  </si>
  <si>
    <t xml:space="preserve">TEXT(1.999,"dd/mm/yyyy hh:mm:ss")</t>
  </si>
  <si>
    <t xml:space="preserve">TEXT(61,"dd/mm/yyyy hh:mm:ss")</t>
  </si>
  <si>
    <t xml:space="preserve">TEXT(36526.12345,"dd/mm/yyyy hh:mm:ss")</t>
  </si>
  <si>
    <t xml:space="preserve">TEXT(0.999999,"dd/mm/yyyy hh:mm:ss")</t>
  </si>
  <si>
    <t xml:space="preserve">TEXT(-1.5,"dd/mm/yyyy hh:mm:ss")</t>
  </si>
  <si>
    <t xml:space="preserve">TEXT(45292.5,"[hh]:mm:ss")</t>
  </si>
  <si>
    <t xml:space="preserve">TEXT(45658.75123,"[hh]:mm:ss")</t>
  </si>
  <si>
    <t xml:space="preserve">TEXT(0.5,"[hh]:mm:ss")</t>
  </si>
  <si>
    <t xml:space="preserve">TEXT(1.999,"[hh]:mm:ss")</t>
  </si>
  <si>
    <t xml:space="preserve">TEXT(61,"[hh]:mm:ss")</t>
  </si>
  <si>
    <t xml:space="preserve">TEXT(36526.12345,"[hh]:mm:ss")</t>
  </si>
  <si>
    <t xml:space="preserve">TEXT(0.999999,"[hh]:mm:ss")</t>
  </si>
  <si>
    <t xml:space="preserve">TEXT(-1.5,"[hh]:mm:ss")</t>
  </si>
  <si>
    <t xml:space="preserve">TEXT(45292.5,"yyyy""/""mm")</t>
  </si>
  <si>
    <t xml:space="preserve">TEXT(45658.75123,"yyyy""/""mm")</t>
  </si>
  <si>
    <t xml:space="preserve">TEXT(0.5,"yyyy""/""mm")</t>
  </si>
  <si>
    <t xml:space="preserve">TEXT(1.999,"yyyy""/""mm")</t>
  </si>
  <si>
    <t xml:space="preserve">TEXT(61,"yyyy""/""mm")</t>
  </si>
  <si>
    <t xml:space="preserve">TEXT(36526.12345,"yyyy""/""mm")</t>
  </si>
  <si>
    <t xml:space="preserve">TEXT(0.999999,"yyyy""/""mm")</t>
  </si>
  <si>
    <t xml:space="preserve">TEXT(-1.5,"yyyy""/""mm")</t>
  </si>
  <si>
    <t xml:space="preserve">TEXT(45292.5,"ddd, d mmm yyyy")</t>
  </si>
  <si>
    <t xml:space="preserve">TEXT(45658.75123,"ddd, d mmm yyyy")</t>
  </si>
  <si>
    <t xml:space="preserve">TEXT(0.5,"ddd, d mmm yyyy")</t>
  </si>
  <si>
    <t xml:space="preserve">TEXT(1.999,"ddd, d mmm yyyy")</t>
  </si>
  <si>
    <t xml:space="preserve">TEXT(61,"ddd, d mmm yyyy")</t>
  </si>
  <si>
    <t xml:space="preserve">TEXT(36526.12345,"ddd, d mmm yyyy")</t>
  </si>
  <si>
    <t xml:space="preserve">TEXT(0.999999,"ddd, d mmm yyyy")</t>
  </si>
  <si>
    <t xml:space="preserve">TEXT(-1.5,"ddd, d mmm yyyy")</t>
  </si>
  <si>
    <t xml:space="preserve">TEXT(45292.5,"mm/dd/yy;@")</t>
  </si>
  <si>
    <t xml:space="preserve">TEXT(45658.75123,"mm/dd/yy;@")</t>
  </si>
  <si>
    <t xml:space="preserve">TEXT(0.5,"mm/dd/yy;@")</t>
  </si>
  <si>
    <t xml:space="preserve">TEXT(1.999,"mm/dd/yy;@")</t>
  </si>
  <si>
    <t xml:space="preserve">TEXT(61,"mm/dd/yy;@")</t>
  </si>
  <si>
    <t xml:space="preserve">TEXT(36526.12345,"mm/dd/yy;@")</t>
  </si>
  <si>
    <t xml:space="preserve">TEXT(0.999999,"mm/dd/yy;@")</t>
  </si>
  <si>
    <t xml:space="preserve">TEXT(-1.5,"mm/dd/yy;@")</t>
  </si>
  <si>
    <t xml:space="preserve">TEXT(45292.5,"[$-409]dddd")</t>
  </si>
  <si>
    <t xml:space="preserve">TEXT(45658.75123,"[$-409]dddd")</t>
  </si>
  <si>
    <t xml:space="preserve">TEXT(0.5,"[$-409]dddd")</t>
  </si>
  <si>
    <t xml:space="preserve">TEXT(1.999,"[$-409]dddd")</t>
  </si>
  <si>
    <t xml:space="preserve">TEXT(61,"[$-409]dddd")</t>
  </si>
  <si>
    <t xml:space="preserve">TEXT(36526.12345,"[$-409]dddd")</t>
  </si>
  <si>
    <t xml:space="preserve">TEXT(0.999999,"[$-409]dddd")</t>
  </si>
  <si>
    <t xml:space="preserve">TEXT(-1.5,"[$-409]dddd")</t>
  </si>
  <si>
    <t xml:space="preserve">TEXT(45292.5,"[$-40A]dddd")</t>
  </si>
  <si>
    <t xml:space="preserve">TEXT(45658.75123,"[$-40A]dddd")</t>
  </si>
  <si>
    <t xml:space="preserve">TEXT(0.5,"[$-40A]dddd")</t>
  </si>
  <si>
    <t xml:space="preserve">TEXT(1.999,"[$-40A]dddd")</t>
  </si>
  <si>
    <t xml:space="preserve">TEXT(61,"[$-40A]dddd")</t>
  </si>
  <si>
    <t xml:space="preserve">TEXT(36526.12345,"[$-40A]dddd")</t>
  </si>
  <si>
    <t xml:space="preserve">TEXT(0.999999,"[$-40A]dddd")</t>
  </si>
  <si>
    <t xml:space="preserve">TEXT(-1.5,"[$-40A]dddd")</t>
  </si>
  <si>
    <t xml:space="preserve">TEXT(45292.5,"h:mm:ss;@")</t>
  </si>
  <si>
    <t xml:space="preserve">TEXT(45658.75123,"h:mm:ss;@")</t>
  </si>
  <si>
    <t xml:space="preserve">TEXT(0.5,"h:mm:ss;@")</t>
  </si>
  <si>
    <t xml:space="preserve">TEXT(1.999,"h:mm:ss;@")</t>
  </si>
  <si>
    <t xml:space="preserve">TEXT(61,"h:mm:ss;@")</t>
  </si>
  <si>
    <t xml:space="preserve">TEXT(36526.12345,"h:mm:ss;@")</t>
  </si>
  <si>
    <t xml:space="preserve">TEXT(0.999999,"h:mm:ss;@")</t>
  </si>
  <si>
    <t xml:space="preserve">TEXT(-1.5,"h:mm:ss;@")</t>
  </si>
  <si>
    <t xml:space="preserve">TEXT(45292.5,"[Red]yyyy")</t>
  </si>
  <si>
    <t xml:space="preserve">TEXT(45658.75123,"[Red]yyyy")</t>
  </si>
  <si>
    <t xml:space="preserve">TEXT(0.5,"[Red]yyyy")</t>
  </si>
  <si>
    <t xml:space="preserve">TEXT(1.999,"[Red]yyyy")</t>
  </si>
  <si>
    <t xml:space="preserve">TEXT(61,"[Red]yyyy")</t>
  </si>
  <si>
    <t xml:space="preserve">TEXT(36526.12345,"[Red]yyyy")</t>
  </si>
  <si>
    <t xml:space="preserve">TEXT(0.999999,"[Red]yyyy")</t>
  </si>
  <si>
    <t xml:space="preserve">TEXT(-1.5,"[Red]yyyy")</t>
  </si>
  <si>
    <t xml:space="preserve">TEXT(45292.5,"yyyy [Blue]")</t>
  </si>
  <si>
    <t xml:space="preserve">TEXT(45658.75123,"yyyy [Blue]")</t>
  </si>
  <si>
    <t xml:space="preserve">TEXT(0.5,"yyyy [Blue]")</t>
  </si>
  <si>
    <t xml:space="preserve">TEXT(1.999,"yyyy [Blue]")</t>
  </si>
  <si>
    <t xml:space="preserve">TEXT(61,"yyyy [Blue]")</t>
  </si>
  <si>
    <t xml:space="preserve">TEXT(36526.12345,"yyyy [Blue]")</t>
  </si>
  <si>
    <t xml:space="preserve">TEXT(0.999999,"yyyy [Blue]")</t>
  </si>
  <si>
    <t xml:space="preserve">TEXT(-1.5,"yyyy [Blue]")</t>
  </si>
  <si>
    <t xml:space="preserve">TEXT(45292.5,"0.0 ""h""")</t>
  </si>
  <si>
    <t xml:space="preserve">TEXT(45658.75123,"0.0 ""h""")</t>
  </si>
  <si>
    <t xml:space="preserve">TEXT(0.5,"0.0 ""h""")</t>
  </si>
  <si>
    <t xml:space="preserve">TEXT(1.999,"0.0 ""h""")</t>
  </si>
  <si>
    <t xml:space="preserve">TEXT(61,"0.0 ""h""")</t>
  </si>
  <si>
    <t xml:space="preserve">TEXT(36526.12345,"0.0 ""h""")</t>
  </si>
  <si>
    <t xml:space="preserve">TEXT(0.999999,"0.0 ""h""")</t>
  </si>
  <si>
    <t xml:space="preserve">TEXT(-1.5,"0.0 ""h""")</t>
  </si>
  <si>
    <t xml:space="preserve">TEXT(45292.5,"d ""de"" mmmm ""de"" yyyy")</t>
  </si>
  <si>
    <t xml:space="preserve">TEXT(45658.75123,"d ""de"" mmmm ""de"" yyyy")</t>
  </si>
  <si>
    <t xml:space="preserve">TEXT(0.5,"d ""de"" mmmm ""de"" yyyy")</t>
  </si>
  <si>
    <t xml:space="preserve">TEXT(1.999,"d ""de"" mmmm ""de"" yyyy")</t>
  </si>
  <si>
    <t xml:space="preserve">TEXT(61,"d ""de"" mmmm ""de"" yyyy")</t>
  </si>
  <si>
    <t xml:space="preserve">TEXT(36526.12345,"d ""de"" mmmm ""de"" yyyy")</t>
  </si>
  <si>
    <t xml:space="preserve">TEXT(0.999999,"d ""de"" mmmm ""de"" yyyy")</t>
  </si>
  <si>
    <t xml:space="preserve">TEXT(-1.5,"d ""de"" mmmm ""de"" yyyy")</t>
  </si>
  <si>
    <t xml:space="preserve">TEXT(45292.5,"hh""h""mm")</t>
  </si>
  <si>
    <t xml:space="preserve">TEXT(45658.75123,"hh""h""mm")</t>
  </si>
  <si>
    <t xml:space="preserve">TEXT(0.5,"hh""h""mm")</t>
  </si>
  <si>
    <t xml:space="preserve">TEXT(1.999,"hh""h""mm")</t>
  </si>
  <si>
    <t xml:space="preserve">TEXT(61,"hh""h""mm")</t>
  </si>
  <si>
    <t xml:space="preserve">TEXT(36526.12345,"hh""h""mm")</t>
  </si>
  <si>
    <t xml:space="preserve">TEXT(0.999999,"hh""h""mm")</t>
  </si>
  <si>
    <t xml:space="preserve">TEXT(-1.5,"hh""h""mm")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</si>
  <si>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</si>
  <si>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</si>
  <si>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</si>
  <si>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</si>
  <si>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</si>
  <si>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</si>
  <si>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</si>
  <si>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</si>
  <si>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</si>
  <si>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</si>
  <si>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</si>
  <si>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</si>
  <si>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</si>
  <si>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</si>
  <si>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</si>
  <si>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</si>
  <si>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</si>
  <si>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</si>
  <si>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</si>
  <si>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</si>
  <si>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</si>
  <si>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</si>
  <si>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</si>
  <si>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</si>
  <si>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</si>
  <si>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</si>
  <si>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</si>
  <si>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</si>
  <si>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</si>
  <si>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</si>
  <si>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</si>
  <si>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</si>
  <si>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</si>
  <si>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</si>
  <si>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</si>
  <si>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</si>
  <si>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</si>
  <si>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</si>
  <si>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</si>
  <si>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</si>
  <si>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</si>
  <si>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</si>
  <si>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</si>
  <si>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</si>
  <si>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</si>
  <si>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</si>
  <si>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</si>
  <si>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</si>
  <si>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TEXT(45292.5,"ss")</t>
  </si>
  <si>
    <t xml:space="preserve">TEXT(45658.75123,"ss")</t>
  </si>
  <si>
    <t xml:space="preserve">TEXT(0.5,"ss")</t>
  </si>
  <si>
    <t xml:space="preserve">TEXT(1.999,"ss")</t>
  </si>
  <si>
    <t xml:space="preserve">TEXT(61,"ss")</t>
  </si>
  <si>
    <t xml:space="preserve">TEXT(36526.12345,"ss")</t>
  </si>
  <si>
    <t xml:space="preserve">TEXT(0.999999,"ss")</t>
  </si>
  <si>
    <t xml:space="preserve">TEXT(-1.5,"ss")</t>
  </si>
  <si>
    <t xml:space="preserve">TEXT(45292.5,"s.00")</t>
  </si>
  <si>
    <t xml:space="preserve">TEXT(45658.75123,"s.00")</t>
  </si>
  <si>
    <t xml:space="preserve">TEXT(0.5,"s.00")</t>
  </si>
  <si>
    <t xml:space="preserve">TEXT(1.999,"s.00")</t>
  </si>
  <si>
    <t xml:space="preserve">TEXT(61,"s.00")</t>
  </si>
  <si>
    <t xml:space="preserve">TEXT(36526.12345,"s.00")</t>
  </si>
  <si>
    <t xml:space="preserve">TEXT(0.999999,"s.00")</t>
  </si>
  <si>
    <t xml:space="preserve">TEXT(-1.5,"s.00")</t>
  </si>
  <si>
    <t xml:space="preserve">TEXT(45292.5,"[h]")</t>
  </si>
  <si>
    <t xml:space="preserve">TEXT(45658.75123,"[h]")</t>
  </si>
  <si>
    <t xml:space="preserve">TEXT(0.5,"[h]")</t>
  </si>
  <si>
    <t xml:space="preserve">TEXT(1.999,"[h]")</t>
  </si>
  <si>
    <t xml:space="preserve">TEXT(61,"[h]")</t>
  </si>
  <si>
    <t xml:space="preserve">TEXT(36526.12345,"[h]")</t>
  </si>
  <si>
    <t xml:space="preserve">TEXT(0.999999,"[h]")</t>
  </si>
  <si>
    <t xml:space="preserve">TEXT(-1.5,"[h]")</t>
  </si>
  <si>
    <t xml:space="preserve">TEXT(45292.5,"m:ss")</t>
  </si>
  <si>
    <t xml:space="preserve">TEXT(45658.75123,"m:ss")</t>
  </si>
  <si>
    <t xml:space="preserve">TEXT(0.5,"m:ss")</t>
  </si>
  <si>
    <t xml:space="preserve">TEXT(1.999,"m:ss")</t>
  </si>
  <si>
    <t xml:space="preserve">TEXT(61,"m:ss")</t>
  </si>
  <si>
    <t xml:space="preserve">TEXT(36526.12345,"m:ss")</t>
  </si>
  <si>
    <t xml:space="preserve">TEXT(0.999999,"m:ss")</t>
  </si>
  <si>
    <t xml:space="preserve">TEXT(-1.5,"m:ss")</t>
  </si>
  <si>
    <t xml:space="preserve">TEXT(45292.5,"mm:ss.0")</t>
  </si>
  <si>
    <t xml:space="preserve">TEXT(45658.75123,"mm:ss.0")</t>
  </si>
  <si>
    <t xml:space="preserve">TEXT(0.5,"mm:ss.0")</t>
  </si>
  <si>
    <t xml:space="preserve">TEXT(1.999,"mm:ss.0")</t>
  </si>
  <si>
    <t xml:space="preserve">TEXT(61,"mm:ss.0")</t>
  </si>
  <si>
    <t xml:space="preserve">TEXT(36526.12345,"mm:ss.0")</t>
  </si>
  <si>
    <t xml:space="preserve">TEXT(0.999999,"mm:ss.0")</t>
  </si>
  <si>
    <t xml:space="preserve">TEXT(-1.5,"mm:ss.0")</t>
  </si>
  <si>
    <t xml:space="preserve">TEXT(45292.5,"yyyy-mm-dd""T""hh:mm:ss")</t>
  </si>
  <si>
    <t xml:space="preserve">TEXT(45658.75123,"yyyy-mm-dd""T""hh:mm:ss")</t>
  </si>
  <si>
    <t xml:space="preserve">TEXT(0.5,"yyyy-mm-dd""T""hh:mm:ss")</t>
  </si>
  <si>
    <t xml:space="preserve">TEXT(1.999,"yyyy-mm-dd""T""hh:mm:ss")</t>
  </si>
  <si>
    <t xml:space="preserve">TEXT(61,"yyyy-mm-dd""T""hh:mm:ss")</t>
  </si>
  <si>
    <t xml:space="preserve">TEXT(36526.12345,"yyyy-mm-dd""T""hh:mm:ss")</t>
  </si>
  <si>
    <t xml:space="preserve">TEXT(0.999999,"yyyy-mm-dd""T""hh:mm:ss")</t>
  </si>
  <si>
    <t xml:space="preserve">TEXT(-1.5,"yyyy-mm-dd""T""hh:mm:ss")</t>
  </si>
  <si>
    <t xml:space="preserve">TEXT("abc","0;0;0;""t:""@")</t>
  </si>
  <si>
    <t xml:space="preserve">TEXT("abc","@@")</t>
  </si>
  <si>
    <t xml:space="preserve">TEXT("abc","0.00")</t>
  </si>
  <si>
    <t xml:space="preserve">DATEVALUE("Mar 1 2024")</t>
  </si>
  <si>
    <t xml:space="preserve">DATEVALUE("Mar 1, 2024")</t>
  </si>
  <si>
    <t xml:space="preserve">DATEVALUE("March 1, 2024")</t>
  </si>
  <si>
    <t xml:space="preserve">DATEVALUE("March 1 2024")</t>
  </si>
  <si>
    <t xml:space="preserve">DATEVALUE("Mar. 1, 2024")</t>
  </si>
  <si>
    <t xml:space="preserve">DATEVALUE("Mar. 1 2024")</t>
  </si>
  <si>
    <t xml:space="preserve">DATEVALUE("1-Mar-2024")</t>
  </si>
  <si>
    <t xml:space="preserve">DATEVALUE("1-Mar-24")</t>
  </si>
  <si>
    <t xml:space="preserve">DATEVALUE("2024-Mar-1")</t>
  </si>
  <si>
    <t xml:space="preserve">DATEVALUE("Mar 2024")</t>
  </si>
  <si>
    <t xml:space="preserve">DATEVALUE("March 2024")</t>
  </si>
  <si>
    <t xml:space="preserve">DATEVALUE("Mar-2024")</t>
  </si>
  <si>
    <t xml:space="preserve">DATEVALUE("MAR 1 2024")</t>
  </si>
  <si>
    <t xml:space="preserve">DATEVALUE("mar 1 2024")</t>
  </si>
  <si>
    <t xml:space="preserve">DATEVALUE("  Mar 1 2024  ")</t>
  </si>
  <si>
    <t xml:space="preserve">DATEVALUE("Mar  1  2024")</t>
  </si>
  <si>
    <t xml:space="preserve">DATEVALUE("Mar 1 2024 Monday")</t>
  </si>
  <si>
    <t xml:space="preserve">DATEVALUE("Monday Mar 1 2024")</t>
  </si>
  <si>
    <t xml:space="preserve">DATEVALUE("Mar 31 2024")</t>
  </si>
  <si>
    <t xml:space="preserve">DATEVALUE("Mar 12 12")</t>
  </si>
  <si>
    <t xml:space="preserve">DATEVALUE("Mar 1 24")</t>
  </si>
  <si>
    <t xml:space="preserve">DATEVALUE("Mar/1/2024")</t>
  </si>
  <si>
    <t xml:space="preserve">DATEVALUE("Mar 1 2024 10:30")</t>
  </si>
  <si>
    <t xml:space="preserve">DATEVALUE("Mar 1, 2024 10:30")</t>
  </si>
  <si>
    <t xml:space="preserve">DATEVALUE("1 Mar 2024")</t>
  </si>
  <si>
    <t xml:space="preserve">DATEVALUE("1 March 2024")</t>
  </si>
  <si>
    <t xml:space="preserve">DATEVALUE("1/Mar/2024")</t>
  </si>
  <si>
    <t xml:space="preserve">DATEVALUE("2024 Mar")</t>
  </si>
  <si>
    <t xml:space="preserve">DATEVALUE("2024 Mar 1")</t>
  </si>
  <si>
    <t xml:space="preserve">DATEVALUE("Mar-1-2024")</t>
  </si>
  <si>
    <t xml:space="preserve">DATEVALUE("1 Mar, 2024")</t>
  </si>
  <si>
    <t xml:space="preserve">DATEVALUE("Mar 32 2024")</t>
  </si>
  <si>
    <t xml:space="preserve">DATEVALUE("Feb 30 2024")</t>
  </si>
  <si>
    <t xml:space="preserve">DATEVALUE("29 Feb 2023")</t>
  </si>
  <si>
    <t xml:space="preserve">DATEVALUE("1st Mar 2024")</t>
  </si>
  <si>
    <t xml:space="preserve">DATEVALUE("1 Mar 2024 x")</t>
  </si>
  <si>
    <t xml:space="preserve">DATEVALUE("1 de marzo de 2024")</t>
  </si>
  <si>
    <t xml:space="preserve">DATEVALUE("1 Mar 24")</t>
  </si>
  <si>
    <t xml:space="preserve">WEEKS(45292,45299,0)</t>
  </si>
  <si>
    <t xml:space="preserve">WEEKS(45292,45299,1)</t>
  </si>
  <si>
    <t xml:space="preserve">WEEKS(45292,45298,0)</t>
  </si>
  <si>
    <t xml:space="preserve">WEEKS(45299,45292,0)</t>
  </si>
  <si>
    <t xml:space="preserve">WEEKS(45299,45292,1)</t>
  </si>
  <si>
    <t xml:space="preserve">WEEKS(45292,45292,0)</t>
  </si>
  <si>
    <t xml:space="preserve">WEEKS(45292,45292,1)</t>
  </si>
  <si>
    <t xml:space="preserve">WEEKS(45293,45300,1)</t>
  </si>
  <si>
    <t xml:space="preserve">WEEKS(45292.9,45299.1,0)</t>
  </si>
  <si>
    <t xml:space="preserve">WEEKS(45292,45499,1)</t>
  </si>
  <si>
    <t xml:space="preserve">WEEKS(45292,45299,2)</t>
  </si>
  <si>
    <t xml:space="preserve">WEEKS(45292,45299,-1)</t>
  </si>
  <si>
    <t xml:space="preserve">WEEKS(45292,45299)</t>
  </si>
  <si>
    <t xml:space="preserve">WEEKS("2024-01-01","2024-01-15",0)</t>
  </si>
  <si>
    <t xml:space="preserve">WEEKS(45292,45299,TRUE)</t>
  </si>
  <si>
    <t xml:space="preserve">WEEKS(0,7,0)</t>
  </si>
  <si>
    <t xml:space="preserve">WEEKS(-1,7,0)</t>
  </si>
  <si>
    <t xml:space="preserve">WEEKS(45292,45299,"x")</t>
  </si>
  <si>
    <t xml:space="preserve">WEEKS(45290,45299,1)</t>
  </si>
  <si>
    <t xml:space="preserve">WEEKS(45291,45298,1)</t>
  </si>
  <si>
    <t xml:space="preserve">WEEKS(45297,45298,1)</t>
  </si>
  <si>
    <t xml:space="preserve">MONTHS(45292,45323,0)</t>
  </si>
  <si>
    <t xml:space="preserve">MONTHS(45292,45322,0)</t>
  </si>
  <si>
    <t xml:space="preserve">MONTHS(45292,45323,1)</t>
  </si>
  <si>
    <t xml:space="preserve">MONTHS(45323,45292,0)</t>
  </si>
  <si>
    <t xml:space="preserve">MONTHS(45323,45292,1)</t>
  </si>
  <si>
    <t xml:space="preserve">MONTHS(45306,45337,0)</t>
  </si>
  <si>
    <t xml:space="preserve">MONTHS(45306,45337,1)</t>
  </si>
  <si>
    <t xml:space="preserve">MONTHS(45322,45323,1)</t>
  </si>
  <si>
    <t xml:space="preserve">MONTHS(45322,45351,0)</t>
  </si>
  <si>
    <t xml:space="preserve">MONTHS(45322,45352,0)</t>
  </si>
  <si>
    <t xml:space="preserve">MONTHS(45322,45351,1)</t>
  </si>
  <si>
    <t xml:space="preserve">MONTHS(45292,45292,0)</t>
  </si>
  <si>
    <t xml:space="preserve">MONTHS(45292,45292,1)</t>
  </si>
  <si>
    <t xml:space="preserve">MONTHS(45292.5,45323.5,0)</t>
  </si>
  <si>
    <t xml:space="preserve">MONTHS(45291,45292,1)</t>
  </si>
  <si>
    <t xml:space="preserve">MONTHS(45292,45657,0)</t>
  </si>
  <si>
    <t xml:space="preserve">MONTHS(45292,45657,1)</t>
  </si>
  <si>
    <t xml:space="preserve">MONTHS(45292,45323,2)</t>
  </si>
  <si>
    <t xml:space="preserve">MONTHS(45292,45323)</t>
  </si>
  <si>
    <t xml:space="preserve">MONTHS(DATE(2024,1,31),DATE(2024,2,29),0)</t>
  </si>
  <si>
    <t xml:space="preserve">MONTHS(DATE(2024,1,31),DATE(2024,3,1),0)</t>
  </si>
  <si>
    <t xml:space="preserve">MONTHS(DATE(2024,2,29),DATE(2025,2,28),0)</t>
  </si>
  <si>
    <t xml:space="preserve">MONTHS(DATE(2024,2,29),DATE(2025,2,28),1)</t>
  </si>
  <si>
    <t xml:space="preserve">MONTHS(DATE(2024,2,29),DATE(2025,3,1),0)</t>
  </si>
  <si>
    <t xml:space="preserve">YEARS(45292,45658,0)</t>
  </si>
  <si>
    <t xml:space="preserve">YEARS(45292,45657,0)</t>
  </si>
  <si>
    <t xml:space="preserve">YEARS(45292,45658,1)</t>
  </si>
  <si>
    <t xml:space="preserve">YEARS(45658,45292,0)</t>
  </si>
  <si>
    <t xml:space="preserve">YEARS(45658,45292,1)</t>
  </si>
  <si>
    <t xml:space="preserve">YEARS(DATE(2024,2,29),DATE(2025,2,28),0)</t>
  </si>
  <si>
    <t xml:space="preserve">YEARS(DATE(2024,2,29),DATE(2025,3,1),0)</t>
  </si>
  <si>
    <t xml:space="preserve">YEARS(DATE(2024,2,29),DATE(2028,2,29),0)</t>
  </si>
  <si>
    <t xml:space="preserve">YEARS(DATE(2024,2,29),DATE(2025,2,28),1)</t>
  </si>
  <si>
    <t xml:space="preserve">YEARS(DATE(2024,12,31),DATE(2025,1,1),1)</t>
  </si>
  <si>
    <t xml:space="preserve">YEARS(45292,45292,0)</t>
  </si>
  <si>
    <t xml:space="preserve">YEARS(45292,45292,1)</t>
  </si>
  <si>
    <t xml:space="preserve">YEARS(45292,46388,0)</t>
  </si>
  <si>
    <t xml:space="preserve">YEARS(45292,46752,1)</t>
  </si>
  <si>
    <t xml:space="preserve">YEARS(45292,45658,2)</t>
  </si>
  <si>
    <t xml:space="preserve">YEARS(45292,45658)</t>
  </si>
  <si>
    <t xml:space="preserve">YEARS(45292.5,45658.5,0)</t>
  </si>
  <si>
    <t xml:space="preserve">ISLEAPYEAR(45292)</t>
  </si>
  <si>
    <t xml:space="preserve">ISLEAPYEAR(45658)</t>
  </si>
  <si>
    <t xml:space="preserve">ISLEAPYEAR(DATE(1900,1,1))</t>
  </si>
  <si>
    <t xml:space="preserve">ISLEAPYEAR(DATE(2000,6,1))</t>
  </si>
  <si>
    <t xml:space="preserve">ISLEAPYEAR(DATE(2100,6,1))</t>
  </si>
  <si>
    <t xml:space="preserve">ISLEAPYEAR(0)</t>
  </si>
  <si>
    <t xml:space="preserve">ISLEAPYEAR(1)</t>
  </si>
  <si>
    <t xml:space="preserve">ISLEAPYEAR(-1)</t>
  </si>
  <si>
    <t xml:space="preserve">ISLEAPYEAR(60)</t>
  </si>
  <si>
    <t xml:space="preserve">ISLEAPYEAR("2024-03-01")</t>
  </si>
  <si>
    <t xml:space="preserve">ISLEAPYEAR(TRUE)</t>
  </si>
  <si>
    <t xml:space="preserve">ISLEAPYEAR("x")</t>
  </si>
  <si>
    <t xml:space="preserve">ISLEAPYEAR(2958465)</t>
  </si>
  <si>
    <t xml:space="preserve">ISLEAPYEAR(2958466)</t>
  </si>
  <si>
    <t xml:space="preserve">ISLEAPYEAR(45292.9)</t>
  </si>
  <si>
    <t xml:space="preserve">DAYSINMONTH(45292)</t>
  </si>
  <si>
    <t xml:space="preserve">DAYSINMONTH(DATE(2024,2,10))</t>
  </si>
  <si>
    <t xml:space="preserve">DAYSINMONTH(DATE(2023,2,10))</t>
  </si>
  <si>
    <t xml:space="preserve">DAYSINMONTH(DATE(1900,2,10))</t>
  </si>
  <si>
    <t xml:space="preserve">DAYSINMONTH(DATE(2024,4,30))</t>
  </si>
  <si>
    <t xml:space="preserve">DAYSINMONTH(0)</t>
  </si>
  <si>
    <t xml:space="preserve">DAYSINMONTH(-1)</t>
  </si>
  <si>
    <t xml:space="preserve">DAYSINMONTH("2024-02-01")</t>
  </si>
  <si>
    <t xml:space="preserve">DAYSINMONTH("x")</t>
  </si>
  <si>
    <t xml:space="preserve">DAYSINMONTH(2958465)</t>
  </si>
  <si>
    <t xml:space="preserve">DAYSINMONTH(45292.9)</t>
  </si>
  <si>
    <t xml:space="preserve">DAYSINMONTH(TRUE)</t>
  </si>
  <si>
    <t xml:space="preserve">DAYSINYEAR(45292)</t>
  </si>
  <si>
    <t xml:space="preserve">DAYSINYEAR(45658)</t>
  </si>
  <si>
    <t xml:space="preserve">DAYSINYEAR(DATE(1900,3,1))</t>
  </si>
  <si>
    <t xml:space="preserve">DAYSINYEAR(0)</t>
  </si>
  <si>
    <t xml:space="preserve">DAYSINYEAR(-1)</t>
  </si>
  <si>
    <t xml:space="preserve">DAYSINYEAR("2024-02-01")</t>
  </si>
  <si>
    <t xml:space="preserve">WEEKSINYEAR(45292)</t>
  </si>
  <si>
    <t xml:space="preserve">WEEKSINYEAR(DATE(2020,6,1))</t>
  </si>
  <si>
    <t xml:space="preserve">WEEKSINYEAR(DATE(2015,6,1))</t>
  </si>
  <si>
    <t xml:space="preserve">WEEKSINYEAR(DATE(2026,6,1))</t>
  </si>
  <si>
    <t xml:space="preserve">WEEKSINYEAR(DATE(2021,6,1))</t>
  </si>
  <si>
    <t xml:space="preserve">WEEKSINYEAR(DATE(2004,6,1))</t>
  </si>
  <si>
    <t xml:space="preserve">WEEKSINYEAR(DATE(1900,6,1))</t>
  </si>
  <si>
    <t xml:space="preserve">WEEKSINYEAR(DATE(2099,6,1))</t>
  </si>
  <si>
    <t xml:space="preserve">WEEKSINYEAR(0)</t>
  </si>
  <si>
    <t xml:space="preserve">WEEKSINYEAR("2020-06-01")</t>
  </si>
  <si>
    <t xml:space="preserve">WEEKSINYEAR(-5)</t>
  </si>
  <si>
    <t xml:space="preserve">_xlfn.ORG.LIBREOFFICE.ROUNDSIG(1234.5678,2)</t>
  </si>
  <si>
    <t xml:space="preserve">_xlfn.ORG.LIBREOFFICE.ROUNDSIG(1234.5678,6)</t>
  </si>
  <si>
    <t xml:space="preserve">_xlfn.ORG.LIBREOFFICE.ROUNDSIG(0.00123456,3)</t>
  </si>
  <si>
    <t xml:space="preserve">_xlfn.ORG.LIBREOFFICE.ROUNDSIG(-1234.5678,2)</t>
  </si>
  <si>
    <t xml:space="preserve">_xlfn.ORG.LIBREOFFICE.ROUNDSIG(1234.5678,0)</t>
  </si>
  <si>
    <t xml:space="preserve">_xlfn.ORG.LIBREOFFICE.ROUNDSIG(1234.5678,-1)</t>
  </si>
  <si>
    <t xml:space="preserve">_xlfn.ORG.LIBREOFFICE.ROUNDSIG(0,3)</t>
  </si>
  <si>
    <t xml:space="preserve">_xlfn.ORG.LIBREOFFICE.ROUNDSIG(1234.5678,1)</t>
  </si>
  <si>
    <t xml:space="preserve">_xlfn.ORG.LIBREOFFICE.ROUNDSIG(1234.5678,15)</t>
  </si>
  <si>
    <t xml:space="preserve">_xlfn.ORG.LIBREOFFICE.ROUNDSIG(1234.5678,20)</t>
  </si>
  <si>
    <t xml:space="preserve">_xlfn.ORG.LIBREOFFICE.ROUNDSIG(2.5,1)</t>
  </si>
  <si>
    <t xml:space="preserve">_xlfn.ORG.LIBREOFFICE.ROUNDSIG(0.15,1)</t>
  </si>
  <si>
    <t xml:space="preserve">_xlfn.ORG.LIBREOFFICE.ROUNDSIG(1E300,2)</t>
  </si>
  <si>
    <t xml:space="preserve">_xlfn.ORG.LIBREOFFICE.ROUNDSIG(1E-300,2)</t>
  </si>
  <si>
    <t xml:space="preserve">_xlfn.ORG.LIBREOFFICE.ROUNDSIG(9.99,2)</t>
  </si>
  <si>
    <t xml:space="preserve">_xlfn.ORG.LIBREOFFICE.ROUNDSIG(1234.5678,2.9)</t>
  </si>
  <si>
    <t xml:space="preserve">_xlfn.ORG.LIBREOFFICE.ROUNDSIG("x",2)</t>
  </si>
  <si>
    <t xml:space="preserve">_xlfn.ORG.LIBREOFFICE.ROUNDSIG(5,"2")</t>
  </si>
  <si>
    <t xml:space="preserve">_xlfn.ORG.LIBREOFFICE.ROUNDSIG(1.005,3)</t>
  </si>
  <si>
    <t xml:space="preserve">_xlfn.ORG.LIBREOFFICE.ROUNDSIG(123456789,3)</t>
  </si>
  <si>
    <t xml:space="preserve">SERIESSUM(2,0,1,{1,2,3})</t>
  </si>
  <si>
    <t xml:space="preserve">SERIESSUM(2,1,1,{1,2,3})</t>
  </si>
  <si>
    <t xml:space="preserve">SERIESSUM(2,0,2,{1,2,3})</t>
  </si>
  <si>
    <t xml:space="preserve">SERIESSUM(0,0,1,{1,2,3})</t>
  </si>
  <si>
    <t xml:space="preserve">SERIESSUM(0,-1,1,{1,2,3})</t>
  </si>
  <si>
    <t xml:space="preserve">SERIESSUM(2,0.5,1,{1,2})</t>
  </si>
  <si>
    <t xml:space="preserve">SERIESSUM(2,0,1,5)</t>
  </si>
  <si>
    <t xml:space="preserve">SERIESSUM(2,0,1,Data!A1:A3)</t>
  </si>
  <si>
    <t xml:space="preserve">SERIESSUM(2,0,1,Data!B1:B3)</t>
  </si>
  <si>
    <t xml:space="preserve">SERIESSUM("x",0,1,{1})</t>
  </si>
  <si>
    <t xml:space="preserve">SERIESSUM(2,0,1,{1;2;3})</t>
  </si>
  <si>
    <t xml:space="preserve">SERIESSUM(2,0,1,{1,"a",3})</t>
  </si>
  <si>
    <t xml:space="preserve">SERIESSUM(2,0,1,{1,TRUE,3})</t>
  </si>
  <si>
    <t xml:space="preserve">SERIESSUM(2,0,1,Data!D1:D3)</t>
  </si>
  <si>
    <t xml:space="preserve">SERIESSUM(2,0,1,{1,2;3,4})</t>
  </si>
  <si>
    <t xml:space="preserve">SERIESSUM(-2,0,0.5,{1,2,3})</t>
  </si>
  <si>
    <t xml:space="preserve">SERIESSUM(2,-1,-1,{1,2,3})</t>
  </si>
  <si>
    <t xml:space="preserve">SERIESSUM(1,1,0,{1,2,3})</t>
  </si>
  <si>
    <t xml:space="preserve">SERIESSUM(2,0,1,Data!M1:M4)</t>
  </si>
  <si>
    <t xml:space="preserve">SERIESSUM(0,0,0,{1,2})</t>
  </si>
  <si>
    <t xml:space="preserve">_xlfn.ORG.LIBREOFFICE.RAWSUBTRACT(5,3)</t>
  </si>
  <si>
    <t xml:space="preserve">_xlfn.ORG.LIBREOFFICE.RAWSUBTRACT(5,3,1)</t>
  </si>
  <si>
    <t xml:space="preserve">_xlfn.ORG.LIBREOFFICE.RAWSUBTRACT(0.3,0.1,0.2)</t>
  </si>
  <si>
    <t xml:space="preserve">_xlfn.ORG.LIBREOFFICE.RAWSUBTRACT(1,0.9)</t>
  </si>
  <si>
    <t xml:space="preserve">_xlfn.ORG.LIBREOFFICE.RAWSUBTRACT(5)</t>
  </si>
  <si>
    <t xml:space="preserve">_xlfn.ORG.LIBREOFFICE.RAWSUBTRACT("x",1)</t>
  </si>
  <si>
    <t xml:space="preserve">_xlfn.ORG.LIBREOFFICE.RAWSUBTRACT(Data!A1:A3,1)</t>
  </si>
  <si>
    <t xml:space="preserve">_xlfn.ORG.LIBREOFFICE.RAWSUBTRACT(1E16,1)</t>
  </si>
  <si>
    <t xml:space="preserve">1-0.9</t>
  </si>
  <si>
    <t xml:space="preserve">_xlfn.ORG.LIBREOFFICE.RAWSUBTRACT(0.1+0.2,0.3)</t>
  </si>
  <si>
    <t xml:space="preserve">(0.1+0.2)-0.3</t>
  </si>
  <si>
    <t xml:space="preserve">_xlfn.ORG.LIBREOFFICE.RAWSUBTRACT(1E-20,1E-21)</t>
  </si>
  <si>
    <t xml:space="preserve">_xlfn.ORG.LIBREOFFICE.RAWSUBTRACT(TRUE,1)</t>
  </si>
  <si>
    <t xml:space="preserve">ERRORTYPE(NA())</t>
  </si>
  <si>
    <t xml:space="preserve">ERRORTYPE(1/0)</t>
  </si>
  <si>
    <t xml:space="preserve">ERRORTYPE(Data!A1)</t>
  </si>
  <si>
    <t xml:space="preserve">ERRORTYPE(5)</t>
  </si>
  <si>
    <t xml:space="preserve">ERRORTYPE("x")</t>
  </si>
  <si>
    <t xml:space="preserve">ERRORTYPE(Data!M2)</t>
  </si>
  <si>
    <t xml:space="preserve">ERRORTYPE(#NULL!)</t>
  </si>
  <si>
    <t xml:space="preserve">ERRORTYPE(#NUM!)</t>
  </si>
  <si>
    <t xml:space="preserve">ERRORTYPE(#DIV/0!)</t>
  </si>
  <si>
    <t xml:space="preserve">ERRORTYPE(#N/A)</t>
  </si>
  <si>
    <t xml:space="preserve">ERRORTYPE(ACOS(2))</t>
  </si>
  <si>
    <t xml:space="preserve">ERRORTYPE(1E308*10)</t>
  </si>
  <si>
    <t xml:space="preserve">ERRORTYPE(INDEX(Data!A1:A3,9))</t>
  </si>
  <si>
    <t xml:space="preserve">ERRORTYPE(MATCH(99,Data!A1:A3,0))</t>
  </si>
  <si>
    <t xml:space="preserve">ERRORTYPE("")</t>
  </si>
  <si>
    <t xml:space="preserve">ERRORTYPE(TRUE)</t>
  </si>
  <si>
    <t xml:space="preserve">ERRORTYPE(DATE(2024,13,1))</t>
  </si>
  <si>
    <t xml:space="preserve">ERRORTYPE(INDIRECT("zz"))</t>
  </si>
  <si>
    <t xml:space="preserve">ERRORTYPE(IFERROR(1/0,2))</t>
  </si>
  <si>
    <t xml:space="preserve">ERRORTYPE(ISNA(1))</t>
  </si>
  <si>
    <t xml:space="preserve">AREAS(Data!A1:B2)</t>
  </si>
  <si>
    <t xml:space="preserve">AREAS(Data!A1)</t>
  </si>
  <si>
    <t xml:space="preserve">AREAS(Data!A:A)</t>
  </si>
  <si>
    <t xml:space="preserve">AREAS(5)</t>
  </si>
  <si>
    <t xml:space="preserve">AREAS(Data!A1:A3)+AREAS(Data!A1:A2)</t>
  </si>
  <si>
    <t xml:space="preserve">AREAS(OFFSET(Data!A1,0,0,2,2))</t>
  </si>
  <si>
    <t xml:space="preserve">AREAS(INDEX(Data!A1:B4,1,1))</t>
  </si>
  <si>
    <t xml:space="preserve">AREAS(INDEX(Data!A1:B4,0,1))</t>
  </si>
  <si>
    <t xml:space="preserve">AREAS("x")</t>
  </si>
  <si>
    <t xml:space="preserve">AREAS(Data!1:1)</t>
  </si>
  <si>
    <t xml:space="preserve">AREAS(NA())</t>
  </si>
  <si>
    <t xml:space="preserve">AREAS(INDIRECT("Data!A1:A3"))</t>
  </si>
  <si>
    <t xml:space="preserve">AREAS(Data!A1:A3,Data!B1)</t>
  </si>
  <si>
    <t xml:space="preserve">_xlfn.SHEET()</t>
  </si>
  <si>
    <t xml:space="preserve">_xlfn.SHEET(Data!A1)</t>
  </si>
  <si>
    <t xml:space="preserve">_xlfn.SHEET("Data")</t>
  </si>
  <si>
    <t xml:space="preserve">_xlfn.SHEET("nope")</t>
  </si>
  <si>
    <t xml:space="preserve">_xlfn.SHEET(Data!A1:B2)</t>
  </si>
  <si>
    <t xml:space="preserve">_xlfn.SHEET(1)</t>
  </si>
  <si>
    <t xml:space="preserve">_xlfn.SHEET("data")</t>
  </si>
  <si>
    <t xml:space="preserve">_xlfn.SHEET("Data!A1")</t>
  </si>
  <si>
    <t xml:space="preserve">_xlfn.SHEET(NA())</t>
  </si>
  <si>
    <t xml:space="preserve">_xlfn.SHEET("")</t>
  </si>
  <si>
    <t xml:space="preserve">_xlfn.SHEETS()</t>
  </si>
  <si>
    <t xml:space="preserve">_xlfn.SHEETS(Data!A1)</t>
  </si>
  <si>
    <t xml:space="preserve">_xlfn.SHEETS(Data!A1:B2)</t>
  </si>
  <si>
    <t xml:space="preserve">_xlfn.SHEETS("Data")</t>
  </si>
  <si>
    <t xml:space="preserve">_xlfn.SHEETS(1)</t>
  </si>
  <si>
    <t xml:space="preserve">_xlfn.SHEETS(Data!A1:A3)+_xlfn.SHEETS()</t>
  </si>
  <si>
    <t xml:space="preserve">_xlfn.SHEETS("nope")</t>
  </si>
  <si>
    <t xml:space="preserve">_xlfn.SHEETS(NA())</t>
  </si>
  <si>
    <t xml:space="preserve">_xlfn.SHEET(Data!A1:A3)+_xlfn.SHEET("Data")</t>
  </si>
  <si>
    <t xml:space="preserve">_xlfn.SHEET(Data!M2)</t>
  </si>
  <si>
    <t xml:space="preserve">_xlfn.SHEET(INDIRECT("Data!A1"))</t>
  </si>
  <si>
    <t xml:space="preserve">_xlfn.SHEET(OFFSET(Data!A1,0,0))</t>
  </si>
  <si>
    <t xml:space="preserve">_xlfn.SHEETS(INDIRECT("Data!A1"))</t>
  </si>
  <si>
    <t xml:space="preserve">_xlfn.SHEET("Data!A1:B2")</t>
  </si>
  <si>
    <t xml:space="preserve">_xlfn.SHEET(TRUE)</t>
  </si>
  <si>
    <t xml:space="preserve">SERIESSUM(0,1,1,{1,2,3})</t>
  </si>
  <si>
    <t xml:space="preserve">SERIESSUM(0,2,1,{1,2,3})</t>
  </si>
  <si>
    <t xml:space="preserve">SERIESSUM(0,0.5,1,{1,2})</t>
  </si>
  <si>
    <t xml:space="preserve">SERIESSUM(0,-2,1,{1,2,3})</t>
  </si>
  <si>
    <t xml:space="preserve">SERIESSUM(0,1,-1,{1,2,3})</t>
  </si>
  <si>
    <t xml:space="preserve">SERIESSUM(0,0,-1,{1,2,3})</t>
  </si>
  <si>
    <t xml:space="preserve">SERIESSUM(0,-1,1,{5})</t>
  </si>
  <si>
    <t xml:space="preserve">SERIESSUM(0,-1,-1,{1,2})</t>
  </si>
  <si>
    <t xml:space="preserve">SERIESSUM(0,0,1,{0})</t>
  </si>
  <si>
    <t xml:space="preserve">SERIESSUM(0,0,1,5)</t>
  </si>
  <si>
    <t xml:space="preserve">SERIESSUM(0,1,1,{0,0,5})</t>
  </si>
  <si>
    <t xml:space="preserve">SERIESSUM(0,0,0,{0})</t>
  </si>
  <si>
    <t xml:space="preserve">SERIESSUM(0,-1,0,{1,2})</t>
  </si>
  <si>
    <t xml:space="preserve">SERIESSUM(0,3,0,{1,2})</t>
  </si>
  <si>
    <t xml:space="preserve">SERIESSUM(0,-1,1,Data!D1:D3)</t>
  </si>
  <si>
    <t xml:space="preserve">SERIESSUM(0,0,1,Data!D1:D3)</t>
  </si>
  <si>
    <t xml:space="preserve">SERIESSUM(2,0,1,Data!A1:B3)</t>
  </si>
  <si>
    <t xml:space="preserve">SERIESSUM(2,0,1,"3")</t>
  </si>
  <si>
    <t xml:space="preserve">SERIESSUM(2,0,1,"x")</t>
  </si>
  <si>
    <t xml:space="preserve">SERIESSUM(2,0,1,TRUE)</t>
  </si>
  <si>
    <t xml:space="preserve">SERIESSUM(2,0,1,Data!H1)</t>
  </si>
  <si>
    <t xml:space="preserve">SERIESSUM(2,0,1,NA())</t>
  </si>
  <si>
    <t xml:space="preserve">SERIESSUM(Data!A1:A2,0,1,{1})</t>
  </si>
  <si>
    <t xml:space="preserve">SERIESSUM(2,Data!A1:A2,1,{1})</t>
  </si>
  <si>
    <t xml:space="preserve">SERIESSUM(2,0.5,0.5,{1,2,3})</t>
  </si>
  <si>
    <t xml:space="preserve">SERIESSUM(10,0,1,{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})</t>
  </si>
  <si>
    <t xml:space="preserve">MONTHS(DATE(2024,3,1),DATE(2024,1,31),0)</t>
  </si>
  <si>
    <t xml:space="preserve">MONTHS(DATE(2025,2,28),DATE(2024,2,29),0)</t>
  </si>
  <si>
    <t xml:space="preserve">YEARS(DATE(2025,2,28),DATE(2024,2,29),0)</t>
  </si>
  <si>
    <t xml:space="preserve">YEARS(DATE(2025,3,1),DATE(2024,2,29),1)</t>
  </si>
  <si>
    <t xml:space="preserve">MONTHS(DATE(2024,3,31),DATE(2024,2,29),0)</t>
  </si>
  <si>
    <t xml:space="preserve">MONTHS(DATE(2024,2,29),DATE(2024,3,31),0)</t>
  </si>
  <si>
    <t xml:space="preserve">WEEKS(45298,45292,0)</t>
  </si>
  <si>
    <t xml:space="preserve">WEEKS(45292,45298,1)</t>
  </si>
  <si>
    <t xml:space="preserve">WEEKS(45298,45292,1)</t>
  </si>
  <si>
    <t xml:space="preserve">WEEKS(45290,45298,1)</t>
  </si>
  <si>
    <t xml:space="preserve">WEEKS(45298,45290,1)</t>
  </si>
  <si>
    <t xml:space="preserve">MONTHS(DATE(2024,2,29),DATE(2024,3,29),0)</t>
  </si>
  <si>
    <t xml:space="preserve">MONTHS(DATE(2024,3,30),DATE(2024,2,29),0)</t>
  </si>
  <si>
    <t xml:space="preserve">MONTHS(DATE(2024,1,31),DATE(2024,2,28),0)</t>
  </si>
  <si>
    <t xml:space="preserve">MONTHS(DATE(2023,12,31),DATE(2024,2,29),0)</t>
  </si>
  <si>
    <t xml:space="preserve">YEARS(DATE(2024,3,1),DATE(2024,2,29),0)</t>
  </si>
  <si>
    <t xml:space="preserve">YEARS(DATE(2020,2,29),DATE(2024,2,28),0)</t>
  </si>
  <si>
    <t xml:space="preserve">WEEKS(45292,45299,0.5)</t>
  </si>
  <si>
    <t xml:space="preserve">WEEKS(45292,45299,1.9)</t>
  </si>
  <si>
    <t xml:space="preserve">MONTHS(45292,45323,0.5)</t>
  </si>
  <si>
    <t xml:space="preserve">YEARS(45292,45658,1.5)</t>
  </si>
  <si>
    <t xml:space="preserve">WEEKS(45292,45299,"1")</t>
  </si>
  <si>
    <t xml:space="preserve">WEEKS("x",45299,0)</t>
  </si>
  <si>
    <t xml:space="preserve">WEEKS(45292,45299,NA())</t>
  </si>
  <si>
    <t xml:space="preserve">WEEKS(2958465,2958465,1)</t>
  </si>
  <si>
    <t xml:space="preserve">WEEKS(45292,2958466,0)</t>
  </si>
  <si>
    <t xml:space="preserve">WEEKS(-1000000,45292,0)</t>
  </si>
  <si>
    <t xml:space="preserve">MONTHS(0,45292,1)</t>
  </si>
  <si>
    <t xml:space="preserve">MONTHS(-1,1,1)</t>
  </si>
  <si>
    <t xml:space="preserve">WEEKS(-5,5,1)</t>
  </si>
  <si>
    <t xml:space="preserve">YEARS(-1,1,1)</t>
  </si>
  <si>
    <t xml:space="preserve">WEEKS("",5,1)</t>
  </si>
  <si>
    <t xml:space="preserve">WEEKS(Data!D1,7,0)</t>
  </si>
  <si>
    <t xml:space="preserve">ISLEAPYEAR(10000000)</t>
  </si>
  <si>
    <t xml:space="preserve">ISLEAPYEAR(Data!D1)</t>
  </si>
  <si>
    <t xml:space="preserve">DAYSINMONTH(Data!D1)</t>
  </si>
  <si>
    <t xml:space="preserve">DAYSINYEAR(2958466)</t>
  </si>
  <si>
    <t xml:space="preserve">WEEKSINYEAR(2958466)</t>
  </si>
  <si>
    <t xml:space="preserve">ISLEAPYEAR(Data!A1:A3)</t>
  </si>
  <si>
    <t xml:space="preserve">ISLEAPYEAR(NA())</t>
  </si>
  <si>
    <t xml:space="preserve">WEEKSINYEAR(1)</t>
  </si>
  <si>
    <t xml:space="preserve">WEEKSINYEAR(60)</t>
  </si>
  <si>
    <t xml:space="preserve">WEEKSINYEAR(DATE(2009,6,1))</t>
  </si>
  <si>
    <t xml:space="preserve">WEEKSINYEAR(DATE(2010,6,1))</t>
  </si>
  <si>
    <t xml:space="preserve">WEEKSINYEAR(DATE(2016,6,1))</t>
  </si>
  <si>
    <t xml:space="preserve">WEEKSINYEAR(DATE(2032,6,1))</t>
  </si>
  <si>
    <t xml:space="preserve">WEEKSINYEAR(DATE(2037,6,1))</t>
  </si>
  <si>
    <t xml:space="preserve">WEEKSINYEAR(DATE(1976,6,1))</t>
  </si>
  <si>
    <t xml:space="preserve">HYPERLINK("http://x","label")</t>
  </si>
  <si>
    <t xml:space="preserve">HYPERLINK("http://x")</t>
  </si>
  <si>
    <t xml:space="preserve">HYPERLINK("http://x",5)</t>
  </si>
  <si>
    <t xml:space="preserve">HYPERLINK("http://x",Data!A1)</t>
  </si>
  <si>
    <t xml:space="preserve">HYPERLINK(5,6)</t>
  </si>
  <si>
    <t xml:space="preserve">HYPERLINK("","")</t>
  </si>
  <si>
    <t xml:space="preserve">HYPERLINK(Data!B1)</t>
  </si>
  <si>
    <t xml:space="preserve">HYPERLINK("u",NA())</t>
  </si>
  <si>
    <t xml:space="preserve">HYPERLINK(NA(),"x")</t>
  </si>
  <si>
    <t xml:space="preserve">HYPERLINK("a",TRUE)</t>
  </si>
  <si>
    <t xml:space="preserve">HYPERLINK(Data!A1:A3,"t")</t>
  </si>
  <si>
    <t xml:space="preserve">HYPERLINK("u",Data!D1)</t>
  </si>
  <si>
    <t xml:space="preserve">HYPERLINK("u","")</t>
  </si>
  <si>
    <t xml:space="preserve">LEN(HYPERLINK("u"))</t>
  </si>
  <si>
    <t xml:space="preserve">DSUM(Data!$O$1:$R$9,"Age",Data!$T$1:$T$2)</t>
  </si>
  <si>
    <t xml:space="preserve">DSUM(Data!$O$1:$R$9,"Age",Data!$V$1:$W$2)</t>
  </si>
  <si>
    <t xml:space="preserve">DSUM(Data!$O$1:$R$9,"Age",Data!$Y$1:$Y$3)</t>
  </si>
  <si>
    <t xml:space="preserve">DSUM(Data!$O$1:$R$9,"Age",Data!$AA$1:$AB$3)</t>
  </si>
  <si>
    <t xml:space="preserve">DSUM(Data!$O$1:$R$9,"Age",Data!$AD$1:$AD$2)</t>
  </si>
  <si>
    <t xml:space="preserve">DSUM(Data!$O$1:$R$9,"Age",Data!$AF$1:$AF$2)</t>
  </si>
  <si>
    <t xml:space="preserve">DSUM(Data!$O$1:$R$9,"Age",Data!$AH$1:$AI$2)</t>
  </si>
  <si>
    <t xml:space="preserve">DSUM(Data!$O$1:$R$9,"Age",Data!$AK$1:$AK$2)</t>
  </si>
  <si>
    <t xml:space="preserve">DSUM(Data!$O$1:$R$9,"Age",Data!$AM$1:$AM$2)</t>
  </si>
  <si>
    <t xml:space="preserve">DSUM(Data!$O$1:$R$9,"Age",Data!$AO$1:$AO$2)</t>
  </si>
  <si>
    <t xml:space="preserve">DSUM(Data!$O$1:$R$9,"Age",Data!$AQ$1:$AQ$2)</t>
  </si>
  <si>
    <t xml:space="preserve">DSUM(Data!$O$1:$R$9,"Age",Data!$AS$1:$AS$2)</t>
  </si>
  <si>
    <t xml:space="preserve">DSUM(Data!$O$1:$R$9,"Age",Data!$AU$1:$AU$3)</t>
  </si>
  <si>
    <t xml:space="preserve">DSUM(Data!$O$1:$R$9,"Age",Data!$AW$1:$AW$2)</t>
  </si>
  <si>
    <t xml:space="preserve">DSUM(Data!$O$1:$R$9,"Age",Data!$AY$1:$BA$3)</t>
  </si>
  <si>
    <t xml:space="preserve">DSUM(Data!$O$1:$R$9,"Age",Data!$BC$1:$BC$2)</t>
  </si>
  <si>
    <t xml:space="preserve">DSUM(Data!$O$1:$R$9,"Age",Data!$BE$1:$BE$2)</t>
  </si>
  <si>
    <t xml:space="preserve">DSUM(Data!$O$1:$R$9,3,Data!$T$1:$T$2)</t>
  </si>
  <si>
    <t xml:space="preserve">DSUM(Data!$O$1:$R$9,3,Data!$V$1:$W$2)</t>
  </si>
  <si>
    <t xml:space="preserve">DSUM(Data!$O$1:$R$9,3,Data!$Y$1:$Y$3)</t>
  </si>
  <si>
    <t xml:space="preserve">DSUM(Data!$O$1:$R$9,3,Data!$AA$1:$AB$3)</t>
  </si>
  <si>
    <t xml:space="preserve">DSUM(Data!$O$1:$R$9,3,Data!$AD$1:$AD$2)</t>
  </si>
  <si>
    <t xml:space="preserve">DSUM(Data!$O$1:$R$9,3,Data!$AF$1:$AF$2)</t>
  </si>
  <si>
    <t xml:space="preserve">DSUM(Data!$O$1:$R$9,3,Data!$AH$1:$AI$2)</t>
  </si>
  <si>
    <t xml:space="preserve">DSUM(Data!$O$1:$R$9,3,Data!$AK$1:$AK$2)</t>
  </si>
  <si>
    <t xml:space="preserve">DSUM(Data!$O$1:$R$9,3,Data!$AM$1:$AM$2)</t>
  </si>
  <si>
    <t xml:space="preserve">DSUM(Data!$O$1:$R$9,3,Data!$AO$1:$AO$2)</t>
  </si>
  <si>
    <t xml:space="preserve">DSUM(Data!$O$1:$R$9,3,Data!$AQ$1:$AQ$2)</t>
  </si>
  <si>
    <t xml:space="preserve">DSUM(Data!$O$1:$R$9,3,Data!$AS$1:$AS$2)</t>
  </si>
  <si>
    <t xml:space="preserve">DSUM(Data!$O$1:$R$9,3,Data!$AU$1:$AU$3)</t>
  </si>
  <si>
    <t xml:space="preserve">DSUM(Data!$O$1:$R$9,3,Data!$AW$1:$AW$2)</t>
  </si>
  <si>
    <t xml:space="preserve">DSUM(Data!$O$1:$R$9,3,Data!$AY$1:$BA$3)</t>
  </si>
  <si>
    <t xml:space="preserve">DSUM(Data!$O$1:$R$9,3,Data!$BC$1:$BC$2)</t>
  </si>
  <si>
    <t xml:space="preserve">DSUM(Data!$O$1:$R$9,3,Data!$BE$1:$BE$2)</t>
  </si>
  <si>
    <t xml:space="preserve">DSUM(Data!$O$1:$R$9,"Score",Data!$T$1:$T$2)</t>
  </si>
  <si>
    <t xml:space="preserve">DSUM(Data!$O$1:$R$9,"Score",Data!$V$1:$W$2)</t>
  </si>
  <si>
    <t xml:space="preserve">DSUM(Data!$O$1:$R$9,"Score",Data!$Y$1:$Y$3)</t>
  </si>
  <si>
    <t xml:space="preserve">DSUM(Data!$O$1:$R$9,"Score",Data!$AA$1:$AB$3)</t>
  </si>
  <si>
    <t xml:space="preserve">DSUM(Data!$O$1:$R$9,"Score",Data!$AD$1:$AD$2)</t>
  </si>
  <si>
    <t xml:space="preserve">DSUM(Data!$O$1:$R$9,"Score",Data!$AF$1:$AF$2)</t>
  </si>
  <si>
    <t xml:space="preserve">DSUM(Data!$O$1:$R$9,"Score",Data!$AH$1:$AI$2)</t>
  </si>
  <si>
    <t xml:space="preserve">DSUM(Data!$O$1:$R$9,"Score",Data!$AK$1:$AK$2)</t>
  </si>
  <si>
    <t xml:space="preserve">DSUM(Data!$O$1:$R$9,"Score",Data!$AM$1:$AM$2)</t>
  </si>
  <si>
    <t xml:space="preserve">DSUM(Data!$O$1:$R$9,"Score",Data!$AO$1:$AO$2)</t>
  </si>
  <si>
    <t xml:space="preserve">DSUM(Data!$O$1:$R$9,"Score",Data!$AQ$1:$AQ$2)</t>
  </si>
  <si>
    <t xml:space="preserve">DSUM(Data!$O$1:$R$9,"Score",Data!$AS$1:$AS$2)</t>
  </si>
  <si>
    <t xml:space="preserve">DSUM(Data!$O$1:$R$9,"Score",Data!$AU$1:$AU$3)</t>
  </si>
  <si>
    <t xml:space="preserve">DSUM(Data!$O$1:$R$9,"Score",Data!$AW$1:$AW$2)</t>
  </si>
  <si>
    <t xml:space="preserve">DSUM(Data!$O$1:$R$9,"Score",Data!$AY$1:$BA$3)</t>
  </si>
  <si>
    <t xml:space="preserve">DSUM(Data!$O$1:$R$9,"Score",Data!$BC$1:$BC$2)</t>
  </si>
  <si>
    <t xml:space="preserve">DSUM(Data!$O$1:$R$9,"Score",Data!$BE$1:$BE$2)</t>
  </si>
  <si>
    <t xml:space="preserve">DSUM(Data!$O$1:$R$9,"age",Data!$T$1:$T$2)</t>
  </si>
  <si>
    <t xml:space="preserve">DSUM(Data!$O$1:$R$9,"age",Data!$AD$1:$AD$2)</t>
  </si>
  <si>
    <t xml:space="preserve">DSUM(Data!$O$1:$R$9,0,Data!$T$1:$T$2)</t>
  </si>
  <si>
    <t xml:space="preserve">DSUM(Data!$O$1:$R$9,0,Data!$AD$1:$AD$2)</t>
  </si>
  <si>
    <t xml:space="preserve">DSUM(Data!$O$1:$R$9,5,Data!$T$1:$T$2)</t>
  </si>
  <si>
    <t xml:space="preserve">DSUM(Data!$O$1:$R$9,5,Data!$AD$1:$AD$2)</t>
  </si>
  <si>
    <t xml:space="preserve">DSUM(Data!$O$1:$R$9,"Nope",Data!$T$1:$T$2)</t>
  </si>
  <si>
    <t xml:space="preserve">DSUM(Data!$O$1:$R$9,"Nope",Data!$AD$1:$AD$2)</t>
  </si>
  <si>
    <t xml:space="preserve">DSUM(Data!$O$1:$R$9,-1,Data!$T$1:$T$2)</t>
  </si>
  <si>
    <t xml:space="preserve">DSUM(Data!$O$1:$R$9,-1,Data!$AD$1:$AD$2)</t>
  </si>
  <si>
    <t xml:space="preserve">DSUM(Data!$O$1:$R$9,2.9,Data!$T$1:$T$2)</t>
  </si>
  <si>
    <t xml:space="preserve">DSUM(Data!$O$1:$R$9,2.9,Data!$AD$1:$AD$2)</t>
  </si>
  <si>
    <t xml:space="preserve">DSUM(Data!$O$1:$R$9,"2",Data!$T$1:$T$2)</t>
  </si>
  <si>
    <t xml:space="preserve">DSUM(Data!$O$1:$R$9,"2",Data!$AD$1:$AD$2)</t>
  </si>
  <si>
    <t xml:space="preserve">DSUM(Data!$O$1:$R$9,TRUE,Data!$T$1:$T$2)</t>
  </si>
  <si>
    <t xml:space="preserve">DSUM(Data!$O$1:$R$9,TRUE,Data!$AD$1:$AD$2)</t>
  </si>
  <si>
    <t xml:space="preserve">DSUM(Data!$O$1:$R$9,Data!$P$1,Data!$T$1:$T$2)</t>
  </si>
  <si>
    <t xml:space="preserve">DSUM(Data!$O$1:$R$9,Data!$P$1,Data!$AD$1:$AD$2)</t>
  </si>
  <si>
    <t xml:space="preserve">DSUM(Data!$O$1:$R$9,"Name",Data!$T$1:$T$2)</t>
  </si>
  <si>
    <t xml:space="preserve">DSUM(Data!$O$1:$R$9,"Name",Data!$AD$1:$AD$2)</t>
  </si>
  <si>
    <t xml:space="preserve">DSUM(Data!$O$1:$R$9,Data!$O$2,Data!$T$1:$T$2)</t>
  </si>
  <si>
    <t xml:space="preserve">DSUM(Data!$O$1:$R$9,Data!$O$2,Data!$AD$1:$AD$2)</t>
  </si>
  <si>
    <t xml:space="preserve">DSUM(Data!$O$1:$R$9,"",Data!$T$1:$T$2)</t>
  </si>
  <si>
    <t xml:space="preserve">DSUM(Data!$O$1:$R$9,"",Data!$AD$1:$AD$2)</t>
  </si>
  <si>
    <t xml:space="preserve">DSUM(Data!$O$1:$R$9,NA(),Data!$T$1:$T$2)</t>
  </si>
  <si>
    <t xml:space="preserve">DSUM(Data!$O$1:$R$9,NA(),Data!$AD$1:$AD$2)</t>
  </si>
  <si>
    <t xml:space="preserve">DSUM(Data!$O$1:$R$9,3,Data!$T$2:$T$3)</t>
  </si>
  <si>
    <t xml:space="preserve">DSUM(Data!$O$1:$R$9,3,Data!$T$1)</t>
  </si>
  <si>
    <t xml:space="preserve">DSUM(Data!$O$2:$R$9,3,Data!$T$1:$T$2)</t>
  </si>
  <si>
    <t xml:space="preserve">DSUM(Data!$O$1:$R$9,3,5)</t>
  </si>
  <si>
    <t xml:space="preserve">DSUM(5,3,Data!$T$1:$T$2)</t>
  </si>
  <si>
    <t xml:space="preserve">DSUM(Data!$O$1:$R$9,3,Data!$T$1:$T$2,1)</t>
  </si>
  <si>
    <t xml:space="preserve">DSUM(Data!$O$1:$R$9,3)</t>
  </si>
  <si>
    <t xml:space="preserve">DSUM(Data!$O$1:$O$9,1,Data!$T$1:$T$2)</t>
  </si>
  <si>
    <t xml:space="preserve">DSUM(Data!$O$1:$R$9,3,Data!$AU$1:$AU$2)</t>
  </si>
  <si>
    <t xml:space="preserve">DSUM(Data!$O$1:$R$9,3,Data!$T$1:$U$1)</t>
  </si>
  <si>
    <t xml:space="preserve">DCOUNT(Data!$O$1:$R$9,"Age",Data!$T$1:$T$2)</t>
  </si>
  <si>
    <t xml:space="preserve">DCOUNT(Data!$O$1:$R$9,"Age",Data!$V$1:$W$2)</t>
  </si>
  <si>
    <t xml:space="preserve">DCOUNT(Data!$O$1:$R$9,"Age",Data!$Y$1:$Y$3)</t>
  </si>
  <si>
    <t xml:space="preserve">DCOUNT(Data!$O$1:$R$9,"Age",Data!$AA$1:$AB$3)</t>
  </si>
  <si>
    <t xml:space="preserve">DCOUNT(Data!$O$1:$R$9,"Age",Data!$AD$1:$AD$2)</t>
  </si>
  <si>
    <t xml:space="preserve">DCOUNT(Data!$O$1:$R$9,"Age",Data!$AF$1:$AF$2)</t>
  </si>
  <si>
    <t xml:space="preserve">DCOUNT(Data!$O$1:$R$9,"Age",Data!$AH$1:$AI$2)</t>
  </si>
  <si>
    <t xml:space="preserve">DCOUNT(Data!$O$1:$R$9,"Age",Data!$AK$1:$AK$2)</t>
  </si>
  <si>
    <t xml:space="preserve">DCOUNT(Data!$O$1:$R$9,"Age",Data!$AM$1:$AM$2)</t>
  </si>
  <si>
    <t xml:space="preserve">DCOUNT(Data!$O$1:$R$9,"Age",Data!$AO$1:$AO$2)</t>
  </si>
  <si>
    <t xml:space="preserve">DCOUNT(Data!$O$1:$R$9,"Age",Data!$AQ$1:$AQ$2)</t>
  </si>
  <si>
    <t xml:space="preserve">DCOUNT(Data!$O$1:$R$9,"Age",Data!$AS$1:$AS$2)</t>
  </si>
  <si>
    <t xml:space="preserve">DCOUNT(Data!$O$1:$R$9,"Age",Data!$AU$1:$AU$3)</t>
  </si>
  <si>
    <t xml:space="preserve">DCOUNT(Data!$O$1:$R$9,"Age",Data!$AW$1:$AW$2)</t>
  </si>
  <si>
    <t xml:space="preserve">DCOUNT(Data!$O$1:$R$9,"Age",Data!$AY$1:$BA$3)</t>
  </si>
  <si>
    <t xml:space="preserve">DCOUNT(Data!$O$1:$R$9,"Age",Data!$BC$1:$BC$2)</t>
  </si>
  <si>
    <t xml:space="preserve">DCOUNT(Data!$O$1:$R$9,"Age",Data!$BE$1:$BE$2)</t>
  </si>
  <si>
    <t xml:space="preserve">DCOUNT(Data!$O$1:$R$9,3,Data!$T$1:$T$2)</t>
  </si>
  <si>
    <t xml:space="preserve">DCOUNT(Data!$O$1:$R$9,3,Data!$V$1:$W$2)</t>
  </si>
  <si>
    <t xml:space="preserve">DCOUNT(Data!$O$1:$R$9,3,Data!$Y$1:$Y$3)</t>
  </si>
  <si>
    <t xml:space="preserve">DCOUNT(Data!$O$1:$R$9,3,Data!$AA$1:$AB$3)</t>
  </si>
  <si>
    <t xml:space="preserve">DCOUNT(Data!$O$1:$R$9,3,Data!$AD$1:$AD$2)</t>
  </si>
  <si>
    <t xml:space="preserve">DCOUNT(Data!$O$1:$R$9,3,Data!$AF$1:$AF$2)</t>
  </si>
  <si>
    <t xml:space="preserve">DCOUNT(Data!$O$1:$R$9,3,Data!$AH$1:$AI$2)</t>
  </si>
  <si>
    <t xml:space="preserve">DCOUNT(Data!$O$1:$R$9,3,Data!$AK$1:$AK$2)</t>
  </si>
  <si>
    <t xml:space="preserve">DCOUNT(Data!$O$1:$R$9,3,Data!$AM$1:$AM$2)</t>
  </si>
  <si>
    <t xml:space="preserve">DCOUNT(Data!$O$1:$R$9,3,Data!$AO$1:$AO$2)</t>
  </si>
  <si>
    <t xml:space="preserve">DCOUNT(Data!$O$1:$R$9,3,Data!$AQ$1:$AQ$2)</t>
  </si>
  <si>
    <t xml:space="preserve">DCOUNT(Data!$O$1:$R$9,3,Data!$AS$1:$AS$2)</t>
  </si>
  <si>
    <t xml:space="preserve">DCOUNT(Data!$O$1:$R$9,3,Data!$AU$1:$AU$3)</t>
  </si>
  <si>
    <t xml:space="preserve">DCOUNT(Data!$O$1:$R$9,3,Data!$AW$1:$AW$2)</t>
  </si>
  <si>
    <t xml:space="preserve">DCOUNT(Data!$O$1:$R$9,3,Data!$AY$1:$BA$3)</t>
  </si>
  <si>
    <t xml:space="preserve">DCOUNT(Data!$O$1:$R$9,3,Data!$BC$1:$BC$2)</t>
  </si>
  <si>
    <t xml:space="preserve">DCOUNT(Data!$O$1:$R$9,3,Data!$BE$1:$BE$2)</t>
  </si>
  <si>
    <t xml:space="preserve">DCOUNT(Data!$O$1:$R$9,"Score",Data!$T$1:$T$2)</t>
  </si>
  <si>
    <t xml:space="preserve">DCOUNT(Data!$O$1:$R$9,"Score",Data!$V$1:$W$2)</t>
  </si>
  <si>
    <t xml:space="preserve">DCOUNT(Data!$O$1:$R$9,"Score",Data!$Y$1:$Y$3)</t>
  </si>
  <si>
    <t xml:space="preserve">DCOUNT(Data!$O$1:$R$9,"Score",Data!$AA$1:$AB$3)</t>
  </si>
  <si>
    <t xml:space="preserve">DCOUNT(Data!$O$1:$R$9,"Score",Data!$AD$1:$AD$2)</t>
  </si>
  <si>
    <t xml:space="preserve">DCOUNT(Data!$O$1:$R$9,"Score",Data!$AF$1:$AF$2)</t>
  </si>
  <si>
    <t xml:space="preserve">DCOUNT(Data!$O$1:$R$9,"Score",Data!$AH$1:$AI$2)</t>
  </si>
  <si>
    <t xml:space="preserve">DCOUNT(Data!$O$1:$R$9,"Score",Data!$AK$1:$AK$2)</t>
  </si>
  <si>
    <t xml:space="preserve">DCOUNT(Data!$O$1:$R$9,"Score",Data!$AM$1:$AM$2)</t>
  </si>
  <si>
    <t xml:space="preserve">DCOUNT(Data!$O$1:$R$9,"Score",Data!$AO$1:$AO$2)</t>
  </si>
  <si>
    <t xml:space="preserve">DCOUNT(Data!$O$1:$R$9,"Score",Data!$AQ$1:$AQ$2)</t>
  </si>
  <si>
    <t xml:space="preserve">DCOUNT(Data!$O$1:$R$9,"Score",Data!$AS$1:$AS$2)</t>
  </si>
  <si>
    <t xml:space="preserve">DCOUNT(Data!$O$1:$R$9,"Score",Data!$AU$1:$AU$3)</t>
  </si>
  <si>
    <t xml:space="preserve">DCOUNT(Data!$O$1:$R$9,"Score",Data!$AW$1:$AW$2)</t>
  </si>
  <si>
    <t xml:space="preserve">DCOUNT(Data!$O$1:$R$9,"Score",Data!$AY$1:$BA$3)</t>
  </si>
  <si>
    <t xml:space="preserve">DCOUNT(Data!$O$1:$R$9,"Score",Data!$BC$1:$BC$2)</t>
  </si>
  <si>
    <t xml:space="preserve">DCOUNT(Data!$O$1:$R$9,"Score",Data!$BE$1:$BE$2)</t>
  </si>
  <si>
    <t xml:space="preserve">DCOUNT(Data!$O$1:$R$9,"age",Data!$T$1:$T$2)</t>
  </si>
  <si>
    <t xml:space="preserve">DCOUNT(Data!$O$1:$R$9,"age",Data!$AD$1:$AD$2)</t>
  </si>
  <si>
    <t xml:space="preserve">DCOUNT(Data!$O$1:$R$9,5,Data!$T$1:$T$2)</t>
  </si>
  <si>
    <t xml:space="preserve">DCOUNT(Data!$O$1:$R$9,5,Data!$AD$1:$AD$2)</t>
  </si>
  <si>
    <t xml:space="preserve">DCOUNT(Data!$O$1:$R$9,"Nope",Data!$T$1:$T$2)</t>
  </si>
  <si>
    <t xml:space="preserve">DCOUNT(Data!$O$1:$R$9,"Nope",Data!$AD$1:$AD$2)</t>
  </si>
  <si>
    <t xml:space="preserve">DCOUNT(Data!$O$1:$R$9,-1,Data!$T$1:$T$2)</t>
  </si>
  <si>
    <t xml:space="preserve">DCOUNT(Data!$O$1:$R$9,-1,Data!$AD$1:$AD$2)</t>
  </si>
  <si>
    <t xml:space="preserve">DCOUNT(Data!$O$1:$R$9,2.9,Data!$T$1:$T$2)</t>
  </si>
  <si>
    <t xml:space="preserve">DCOUNT(Data!$O$1:$R$9,2.9,Data!$AD$1:$AD$2)</t>
  </si>
  <si>
    <t xml:space="preserve">DCOUNT(Data!$O$1:$R$9,"2",Data!$T$1:$T$2)</t>
  </si>
  <si>
    <t xml:space="preserve">DCOUNT(Data!$O$1:$R$9,"2",Data!$AD$1:$AD$2)</t>
  </si>
  <si>
    <t xml:space="preserve">DCOUNT(Data!$O$1:$R$9,TRUE,Data!$T$1:$T$2)</t>
  </si>
  <si>
    <t xml:space="preserve">DCOUNT(Data!$O$1:$R$9,TRUE,Data!$AD$1:$AD$2)</t>
  </si>
  <si>
    <t xml:space="preserve">DCOUNT(Data!$O$1:$R$9,Data!$P$1,Data!$T$1:$T$2)</t>
  </si>
  <si>
    <t xml:space="preserve">DCOUNT(Data!$O$1:$R$9,Data!$P$1,Data!$AD$1:$AD$2)</t>
  </si>
  <si>
    <t xml:space="preserve">DCOUNT(Data!$O$1:$R$9,"Name",Data!$T$1:$T$2)</t>
  </si>
  <si>
    <t xml:space="preserve">DCOUNT(Data!$O$1:$R$9,"Name",Data!$AD$1:$AD$2)</t>
  </si>
  <si>
    <t xml:space="preserve">DCOUNT(Data!$O$1:$R$9,Data!$O$2,Data!$T$1:$T$2)</t>
  </si>
  <si>
    <t xml:space="preserve">DCOUNT(Data!$O$1:$R$9,Data!$O$2,Data!$AD$1:$AD$2)</t>
  </si>
  <si>
    <t xml:space="preserve">DCOUNT(Data!$O$1:$R$9,"",Data!$T$1:$T$2)</t>
  </si>
  <si>
    <t xml:space="preserve">DCOUNT(Data!$O$1:$R$9,"",Data!$AD$1:$AD$2)</t>
  </si>
  <si>
    <t xml:space="preserve">DCOUNT(Data!$O$1:$R$9,NA(),Data!$T$1:$T$2)</t>
  </si>
  <si>
    <t xml:space="preserve">DCOUNT(Data!$O$1:$R$9,NA(),Data!$AD$1:$AD$2)</t>
  </si>
  <si>
    <t xml:space="preserve">DCOUNT(Data!$O$1:$R$9,3,Data!$T$2:$T$3)</t>
  </si>
  <si>
    <t xml:space="preserve">DCOUNT(Data!$O$1:$R$9,3,Data!$T$1)</t>
  </si>
  <si>
    <t xml:space="preserve">DCOUNT(Data!$O$2:$R$9,3,Data!$T$1:$T$2)</t>
  </si>
  <si>
    <t xml:space="preserve">DCOUNT(Data!$O$1:$R$9,3,5)</t>
  </si>
  <si>
    <t xml:space="preserve">DCOUNT(5,3,Data!$T$1:$T$2)</t>
  </si>
  <si>
    <t xml:space="preserve">DCOUNT(Data!$O$1:$R$9,3,Data!$T$1:$T$2,1)</t>
  </si>
  <si>
    <t xml:space="preserve">DCOUNT(Data!$O$1:$R$9,3)</t>
  </si>
  <si>
    <t xml:space="preserve">DCOUNT(Data!$O$1:$O$9,1,Data!$T$1:$T$2)</t>
  </si>
  <si>
    <t xml:space="preserve">DCOUNT(Data!$O$1:$R$9,3,Data!$AU$1:$AU$2)</t>
  </si>
  <si>
    <t xml:space="preserve">DCOUNT(Data!$O$1:$R$9,3,Data!$T$1:$U$1)</t>
  </si>
  <si>
    <t xml:space="preserve">DCOUNTA(Data!$O$1:$R$9,"Age",Data!$T$1:$T$2)</t>
  </si>
  <si>
    <t xml:space="preserve">DCOUNTA(Data!$O$1:$R$9,"Age",Data!$V$1:$W$2)</t>
  </si>
  <si>
    <t xml:space="preserve">DCOUNTA(Data!$O$1:$R$9,"Age",Data!$Y$1:$Y$3)</t>
  </si>
  <si>
    <t xml:space="preserve">DCOUNTA(Data!$O$1:$R$9,"Age",Data!$AA$1:$AB$3)</t>
  </si>
  <si>
    <t xml:space="preserve">DCOUNTA(Data!$O$1:$R$9,"Age",Data!$AD$1:$AD$2)</t>
  </si>
  <si>
    <t xml:space="preserve">DCOUNTA(Data!$O$1:$R$9,"Age",Data!$AF$1:$AF$2)</t>
  </si>
  <si>
    <t xml:space="preserve">DCOUNTA(Data!$O$1:$R$9,"Age",Data!$AH$1:$AI$2)</t>
  </si>
  <si>
    <t xml:space="preserve">DCOUNTA(Data!$O$1:$R$9,"Age",Data!$AK$1:$AK$2)</t>
  </si>
  <si>
    <t xml:space="preserve">DCOUNTA(Data!$O$1:$R$9,"Age",Data!$AM$1:$AM$2)</t>
  </si>
  <si>
    <t xml:space="preserve">DCOUNTA(Data!$O$1:$R$9,"Age",Data!$AO$1:$AO$2)</t>
  </si>
  <si>
    <t xml:space="preserve">DCOUNTA(Data!$O$1:$R$9,"Age",Data!$AQ$1:$AQ$2)</t>
  </si>
  <si>
    <t xml:space="preserve">DCOUNTA(Data!$O$1:$R$9,"Age",Data!$AS$1:$AS$2)</t>
  </si>
  <si>
    <t xml:space="preserve">DCOUNTA(Data!$O$1:$R$9,"Age",Data!$AU$1:$AU$3)</t>
  </si>
  <si>
    <t xml:space="preserve">DCOUNTA(Data!$O$1:$R$9,"Age",Data!$AW$1:$AW$2)</t>
  </si>
  <si>
    <t xml:space="preserve">DCOUNTA(Data!$O$1:$R$9,"Age",Data!$AY$1:$BA$3)</t>
  </si>
  <si>
    <t xml:space="preserve">DCOUNTA(Data!$O$1:$R$9,"Age",Data!$BC$1:$BC$2)</t>
  </si>
  <si>
    <t xml:space="preserve">DCOUNTA(Data!$O$1:$R$9,"Age",Data!$BE$1:$BE$2)</t>
  </si>
  <si>
    <t xml:space="preserve">DCOUNTA(Data!$O$1:$R$9,3,Data!$T$1:$T$2)</t>
  </si>
  <si>
    <t xml:space="preserve">DCOUNTA(Data!$O$1:$R$9,3,Data!$V$1:$W$2)</t>
  </si>
  <si>
    <t xml:space="preserve">DCOUNTA(Data!$O$1:$R$9,3,Data!$Y$1:$Y$3)</t>
  </si>
  <si>
    <t xml:space="preserve">DCOUNTA(Data!$O$1:$R$9,3,Data!$AA$1:$AB$3)</t>
  </si>
  <si>
    <t xml:space="preserve">DCOUNTA(Data!$O$1:$R$9,3,Data!$AD$1:$AD$2)</t>
  </si>
  <si>
    <t xml:space="preserve">DCOUNTA(Data!$O$1:$R$9,3,Data!$AF$1:$AF$2)</t>
  </si>
  <si>
    <t xml:space="preserve">DCOUNTA(Data!$O$1:$R$9,3,Data!$AH$1:$AI$2)</t>
  </si>
  <si>
    <t xml:space="preserve">DCOUNTA(Data!$O$1:$R$9,3,Data!$AK$1:$AK$2)</t>
  </si>
  <si>
    <t xml:space="preserve">DCOUNTA(Data!$O$1:$R$9,3,Data!$AM$1:$AM$2)</t>
  </si>
  <si>
    <t xml:space="preserve">DCOUNTA(Data!$O$1:$R$9,3,Data!$AO$1:$AO$2)</t>
  </si>
  <si>
    <t xml:space="preserve">DCOUNTA(Data!$O$1:$R$9,3,Data!$AQ$1:$AQ$2)</t>
  </si>
  <si>
    <t xml:space="preserve">DCOUNTA(Data!$O$1:$R$9,3,Data!$AS$1:$AS$2)</t>
  </si>
  <si>
    <t xml:space="preserve">DCOUNTA(Data!$O$1:$R$9,3,Data!$AU$1:$AU$3)</t>
  </si>
  <si>
    <t xml:space="preserve">DCOUNTA(Data!$O$1:$R$9,3,Data!$AW$1:$AW$2)</t>
  </si>
  <si>
    <t xml:space="preserve">DCOUNTA(Data!$O$1:$R$9,3,Data!$AY$1:$BA$3)</t>
  </si>
  <si>
    <t xml:space="preserve">DCOUNTA(Data!$O$1:$R$9,3,Data!$BC$1:$BC$2)</t>
  </si>
  <si>
    <t xml:space="preserve">DCOUNTA(Data!$O$1:$R$9,3,Data!$BE$1:$BE$2)</t>
  </si>
  <si>
    <t xml:space="preserve">DCOUNTA(Data!$O$1:$R$9,"Score",Data!$T$1:$T$2)</t>
  </si>
  <si>
    <t xml:space="preserve">DCOUNTA(Data!$O$1:$R$9,"Score",Data!$V$1:$W$2)</t>
  </si>
  <si>
    <t xml:space="preserve">DCOUNTA(Data!$O$1:$R$9,"Score",Data!$Y$1:$Y$3)</t>
  </si>
  <si>
    <t xml:space="preserve">DCOUNTA(Data!$O$1:$R$9,"Score",Data!$AA$1:$AB$3)</t>
  </si>
  <si>
    <t xml:space="preserve">DCOUNTA(Data!$O$1:$R$9,"Score",Data!$AD$1:$AD$2)</t>
  </si>
  <si>
    <t xml:space="preserve">DCOUNTA(Data!$O$1:$R$9,"Score",Data!$AF$1:$AF$2)</t>
  </si>
  <si>
    <t xml:space="preserve">DCOUNTA(Data!$O$1:$R$9,"Score",Data!$AH$1:$AI$2)</t>
  </si>
  <si>
    <t xml:space="preserve">DCOUNTA(Data!$O$1:$R$9,"Score",Data!$AK$1:$AK$2)</t>
  </si>
  <si>
    <t xml:space="preserve">DCOUNTA(Data!$O$1:$R$9,"Score",Data!$AM$1:$AM$2)</t>
  </si>
  <si>
    <t xml:space="preserve">DCOUNTA(Data!$O$1:$R$9,"Score",Data!$AO$1:$AO$2)</t>
  </si>
  <si>
    <t xml:space="preserve">DCOUNTA(Data!$O$1:$R$9,"Score",Data!$AQ$1:$AQ$2)</t>
  </si>
  <si>
    <t xml:space="preserve">DCOUNTA(Data!$O$1:$R$9,"Score",Data!$AS$1:$AS$2)</t>
  </si>
  <si>
    <t xml:space="preserve">DCOUNTA(Data!$O$1:$R$9,"Score",Data!$AU$1:$AU$3)</t>
  </si>
  <si>
    <t xml:space="preserve">DCOUNTA(Data!$O$1:$R$9,"Score",Data!$AW$1:$AW$2)</t>
  </si>
  <si>
    <t xml:space="preserve">DCOUNTA(Data!$O$1:$R$9,"Score",Data!$AY$1:$BA$3)</t>
  </si>
  <si>
    <t xml:space="preserve">DCOUNTA(Data!$O$1:$R$9,"Score",Data!$BC$1:$BC$2)</t>
  </si>
  <si>
    <t xml:space="preserve">DCOUNTA(Data!$O$1:$R$9,"Score",Data!$BE$1:$BE$2)</t>
  </si>
  <si>
    <t xml:space="preserve">DCOUNTA(Data!$O$1:$R$9,"age",Data!$T$1:$T$2)</t>
  </si>
  <si>
    <t xml:space="preserve">DCOUNTA(Data!$O$1:$R$9,"age",Data!$AD$1:$AD$2)</t>
  </si>
  <si>
    <t xml:space="preserve">DCOUNTA(Data!$O$1:$R$9,5,Data!$T$1:$T$2)</t>
  </si>
  <si>
    <t xml:space="preserve">DCOUNTA(Data!$O$1:$R$9,5,Data!$AD$1:$AD$2)</t>
  </si>
  <si>
    <t xml:space="preserve">DCOUNTA(Data!$O$1:$R$9,"Nope",Data!$T$1:$T$2)</t>
  </si>
  <si>
    <t xml:space="preserve">DCOUNTA(Data!$O$1:$R$9,"Nope",Data!$AD$1:$AD$2)</t>
  </si>
  <si>
    <t xml:space="preserve">DCOUNTA(Data!$O$1:$R$9,-1,Data!$T$1:$T$2)</t>
  </si>
  <si>
    <t xml:space="preserve">DCOUNTA(Data!$O$1:$R$9,-1,Data!$AD$1:$AD$2)</t>
  </si>
  <si>
    <t xml:space="preserve">DCOUNTA(Data!$O$1:$R$9,2.9,Data!$T$1:$T$2)</t>
  </si>
  <si>
    <t xml:space="preserve">DCOUNTA(Data!$O$1:$R$9,2.9,Data!$AD$1:$AD$2)</t>
  </si>
  <si>
    <t xml:space="preserve">DCOUNTA(Data!$O$1:$R$9,"2",Data!$T$1:$T$2)</t>
  </si>
  <si>
    <t xml:space="preserve">DCOUNTA(Data!$O$1:$R$9,"2",Data!$AD$1:$AD$2)</t>
  </si>
  <si>
    <t xml:space="preserve">DCOUNTA(Data!$O$1:$R$9,TRUE,Data!$T$1:$T$2)</t>
  </si>
  <si>
    <t xml:space="preserve">DCOUNTA(Data!$O$1:$R$9,TRUE,Data!$AD$1:$AD$2)</t>
  </si>
  <si>
    <t xml:space="preserve">DCOUNTA(Data!$O$1:$R$9,Data!$P$1,Data!$T$1:$T$2)</t>
  </si>
  <si>
    <t xml:space="preserve">DCOUNTA(Data!$O$1:$R$9,Data!$P$1,Data!$AD$1:$AD$2)</t>
  </si>
  <si>
    <t xml:space="preserve">DCOUNTA(Data!$O$1:$R$9,"Name",Data!$T$1:$T$2)</t>
  </si>
  <si>
    <t xml:space="preserve">DCOUNTA(Data!$O$1:$R$9,"Name",Data!$AD$1:$AD$2)</t>
  </si>
  <si>
    <t xml:space="preserve">DCOUNTA(Data!$O$1:$R$9,Data!$O$2,Data!$T$1:$T$2)</t>
  </si>
  <si>
    <t xml:space="preserve">DCOUNTA(Data!$O$1:$R$9,Data!$O$2,Data!$AD$1:$AD$2)</t>
  </si>
  <si>
    <t xml:space="preserve">DCOUNTA(Data!$O$1:$R$9,"",Data!$T$1:$T$2)</t>
  </si>
  <si>
    <t xml:space="preserve">DCOUNTA(Data!$O$1:$R$9,"",Data!$AD$1:$AD$2)</t>
  </si>
  <si>
    <t xml:space="preserve">DCOUNTA(Data!$O$1:$R$9,NA(),Data!$T$1:$T$2)</t>
  </si>
  <si>
    <t xml:space="preserve">DCOUNTA(Data!$O$1:$R$9,NA(),Data!$AD$1:$AD$2)</t>
  </si>
  <si>
    <t xml:space="preserve">DCOUNTA(Data!$O$1:$R$9,3,Data!$T$2:$T$3)</t>
  </si>
  <si>
    <t xml:space="preserve">DCOUNTA(Data!$O$1:$R$9,3,Data!$T$1)</t>
  </si>
  <si>
    <t xml:space="preserve">DCOUNTA(Data!$O$2:$R$9,3,Data!$T$1:$T$2)</t>
  </si>
  <si>
    <t xml:space="preserve">DCOUNTA(Data!$O$1:$R$9,3,5)</t>
  </si>
  <si>
    <t xml:space="preserve">DCOUNTA(5,3,Data!$T$1:$T$2)</t>
  </si>
  <si>
    <t xml:space="preserve">DCOUNTA(Data!$O$1:$R$9,3,Data!$T$1:$T$2,1)</t>
  </si>
  <si>
    <t xml:space="preserve">DCOUNTA(Data!$O$1:$R$9,3)</t>
  </si>
  <si>
    <t xml:space="preserve">DCOUNTA(Data!$O$1:$O$9,1,Data!$T$1:$T$2)</t>
  </si>
  <si>
    <t xml:space="preserve">DCOUNTA(Data!$O$1:$R$9,3,Data!$AU$1:$AU$2)</t>
  </si>
  <si>
    <t xml:space="preserve">DCOUNTA(Data!$O$1:$R$9,3,Data!$T$1:$U$1)</t>
  </si>
  <si>
    <t xml:space="preserve">DAVERAGE(Data!$O$1:$R$9,"Age",Data!$T$1:$T$2)</t>
  </si>
  <si>
    <t xml:space="preserve">DAVERAGE(Data!$O$1:$R$9,"Age",Data!$V$1:$W$2)</t>
  </si>
  <si>
    <t xml:space="preserve">DAVERAGE(Data!$O$1:$R$9,"Age",Data!$Y$1:$Y$3)</t>
  </si>
  <si>
    <t xml:space="preserve">DAVERAGE(Data!$O$1:$R$9,"Age",Data!$AA$1:$AB$3)</t>
  </si>
  <si>
    <t xml:space="preserve">DAVERAGE(Data!$O$1:$R$9,"Age",Data!$AD$1:$AD$2)</t>
  </si>
  <si>
    <t xml:space="preserve">DAVERAGE(Data!$O$1:$R$9,"Age",Data!$AF$1:$AF$2)</t>
  </si>
  <si>
    <t xml:space="preserve">DAVERAGE(Data!$O$1:$R$9,"Age",Data!$AH$1:$AI$2)</t>
  </si>
  <si>
    <t xml:space="preserve">DAVERAGE(Data!$O$1:$R$9,"Age",Data!$AK$1:$AK$2)</t>
  </si>
  <si>
    <t xml:space="preserve">DAVERAGE(Data!$O$1:$R$9,"Age",Data!$AM$1:$AM$2)</t>
  </si>
  <si>
    <t xml:space="preserve">DAVERAGE(Data!$O$1:$R$9,"Age",Data!$AO$1:$AO$2)</t>
  </si>
  <si>
    <t xml:space="preserve">DAVERAGE(Data!$O$1:$R$9,"Age",Data!$AQ$1:$AQ$2)</t>
  </si>
  <si>
    <t xml:space="preserve">DAVERAGE(Data!$O$1:$R$9,"Age",Data!$AS$1:$AS$2)</t>
  </si>
  <si>
    <t xml:space="preserve">DAVERAGE(Data!$O$1:$R$9,"Age",Data!$AU$1:$AU$3)</t>
  </si>
  <si>
    <t xml:space="preserve">DAVERAGE(Data!$O$1:$R$9,"Age",Data!$AW$1:$AW$2)</t>
  </si>
  <si>
    <t xml:space="preserve">DAVERAGE(Data!$O$1:$R$9,"Age",Data!$AY$1:$BA$3)</t>
  </si>
  <si>
    <t xml:space="preserve">DAVERAGE(Data!$O$1:$R$9,"Age",Data!$BC$1:$BC$2)</t>
  </si>
  <si>
    <t xml:space="preserve">DAVERAGE(Data!$O$1:$R$9,"Age",Data!$BE$1:$BE$2)</t>
  </si>
  <si>
    <t xml:space="preserve">DAVERAGE(Data!$O$1:$R$9,3,Data!$T$1:$T$2)</t>
  </si>
  <si>
    <t xml:space="preserve">DAVERAGE(Data!$O$1:$R$9,3,Data!$V$1:$W$2)</t>
  </si>
  <si>
    <t xml:space="preserve">DAVERAGE(Data!$O$1:$R$9,3,Data!$Y$1:$Y$3)</t>
  </si>
  <si>
    <t xml:space="preserve">DAVERAGE(Data!$O$1:$R$9,3,Data!$AA$1:$AB$3)</t>
  </si>
  <si>
    <t xml:space="preserve">DAVERAGE(Data!$O$1:$R$9,3,Data!$AD$1:$AD$2)</t>
  </si>
  <si>
    <t xml:space="preserve">DAVERAGE(Data!$O$1:$R$9,3,Data!$AF$1:$AF$2)</t>
  </si>
  <si>
    <t xml:space="preserve">DAVERAGE(Data!$O$1:$R$9,3,Data!$AH$1:$AI$2)</t>
  </si>
  <si>
    <t xml:space="preserve">DAVERAGE(Data!$O$1:$R$9,3,Data!$AK$1:$AK$2)</t>
  </si>
  <si>
    <t xml:space="preserve">DAVERAGE(Data!$O$1:$R$9,3,Data!$AM$1:$AM$2)</t>
  </si>
  <si>
    <t xml:space="preserve">DAVERAGE(Data!$O$1:$R$9,3,Data!$AO$1:$AO$2)</t>
  </si>
  <si>
    <t xml:space="preserve">DAVERAGE(Data!$O$1:$R$9,3,Data!$AQ$1:$AQ$2)</t>
  </si>
  <si>
    <t xml:space="preserve">DAVERAGE(Data!$O$1:$R$9,3,Data!$AS$1:$AS$2)</t>
  </si>
  <si>
    <t xml:space="preserve">DAVERAGE(Data!$O$1:$R$9,3,Data!$AU$1:$AU$3)</t>
  </si>
  <si>
    <t xml:space="preserve">DAVERAGE(Data!$O$1:$R$9,3,Data!$AW$1:$AW$2)</t>
  </si>
  <si>
    <t xml:space="preserve">DAVERAGE(Data!$O$1:$R$9,3,Data!$AY$1:$BA$3)</t>
  </si>
  <si>
    <t xml:space="preserve">DAVERAGE(Data!$O$1:$R$9,3,Data!$BC$1:$BC$2)</t>
  </si>
  <si>
    <t xml:space="preserve">DAVERAGE(Data!$O$1:$R$9,3,Data!$BE$1:$BE$2)</t>
  </si>
  <si>
    <t xml:space="preserve">DAVERAGE(Data!$O$1:$R$9,"Score",Data!$T$1:$T$2)</t>
  </si>
  <si>
    <t xml:space="preserve">DAVERAGE(Data!$O$1:$R$9,"Score",Data!$V$1:$W$2)</t>
  </si>
  <si>
    <t xml:space="preserve">DAVERAGE(Data!$O$1:$R$9,"Score",Data!$Y$1:$Y$3)</t>
  </si>
  <si>
    <t xml:space="preserve">DAVERAGE(Data!$O$1:$R$9,"Score",Data!$AA$1:$AB$3)</t>
  </si>
  <si>
    <t xml:space="preserve">DAVERAGE(Data!$O$1:$R$9,"Score",Data!$AD$1:$AD$2)</t>
  </si>
  <si>
    <t xml:space="preserve">DAVERAGE(Data!$O$1:$R$9,"Score",Data!$AF$1:$AF$2)</t>
  </si>
  <si>
    <t xml:space="preserve">DAVERAGE(Data!$O$1:$R$9,"Score",Data!$AH$1:$AI$2)</t>
  </si>
  <si>
    <t xml:space="preserve">DAVERAGE(Data!$O$1:$R$9,"Score",Data!$AK$1:$AK$2)</t>
  </si>
  <si>
    <t xml:space="preserve">DAVERAGE(Data!$O$1:$R$9,"Score",Data!$AM$1:$AM$2)</t>
  </si>
  <si>
    <t xml:space="preserve">DAVERAGE(Data!$O$1:$R$9,"Score",Data!$AO$1:$AO$2)</t>
  </si>
  <si>
    <t xml:space="preserve">DAVERAGE(Data!$O$1:$R$9,"Score",Data!$AQ$1:$AQ$2)</t>
  </si>
  <si>
    <t xml:space="preserve">DAVERAGE(Data!$O$1:$R$9,"Score",Data!$AS$1:$AS$2)</t>
  </si>
  <si>
    <t xml:space="preserve">DAVERAGE(Data!$O$1:$R$9,"Score",Data!$AU$1:$AU$3)</t>
  </si>
  <si>
    <t xml:space="preserve">DAVERAGE(Data!$O$1:$R$9,"Score",Data!$AW$1:$AW$2)</t>
  </si>
  <si>
    <t xml:space="preserve">DAVERAGE(Data!$O$1:$R$9,"Score",Data!$AY$1:$BA$3)</t>
  </si>
  <si>
    <t xml:space="preserve">DAVERAGE(Data!$O$1:$R$9,"Score",Data!$BC$1:$BC$2)</t>
  </si>
  <si>
    <t xml:space="preserve">DAVERAGE(Data!$O$1:$R$9,"Score",Data!$BE$1:$BE$2)</t>
  </si>
  <si>
    <t xml:space="preserve">DAVERAGE(Data!$O$1:$R$9,"age",Data!$T$1:$T$2)</t>
  </si>
  <si>
    <t xml:space="preserve">DAVERAGE(Data!$O$1:$R$9,"age",Data!$AD$1:$AD$2)</t>
  </si>
  <si>
    <t xml:space="preserve">DAVERAGE(Data!$O$1:$R$9,0,Data!$T$1:$T$2)</t>
  </si>
  <si>
    <t xml:space="preserve">DAVERAGE(Data!$O$1:$R$9,0,Data!$AD$1:$AD$2)</t>
  </si>
  <si>
    <t xml:space="preserve">DAVERAGE(Data!$O$1:$R$9,5,Data!$T$1:$T$2)</t>
  </si>
  <si>
    <t xml:space="preserve">DAVERAGE(Data!$O$1:$R$9,5,Data!$AD$1:$AD$2)</t>
  </si>
  <si>
    <t xml:space="preserve">DAVERAGE(Data!$O$1:$R$9,"Nope",Data!$T$1:$T$2)</t>
  </si>
  <si>
    <t xml:space="preserve">DAVERAGE(Data!$O$1:$R$9,"Nope",Data!$AD$1:$AD$2)</t>
  </si>
  <si>
    <t xml:space="preserve">DAVERAGE(Data!$O$1:$R$9,-1,Data!$T$1:$T$2)</t>
  </si>
  <si>
    <t xml:space="preserve">DAVERAGE(Data!$O$1:$R$9,-1,Data!$AD$1:$AD$2)</t>
  </si>
  <si>
    <t xml:space="preserve">DAVERAGE(Data!$O$1:$R$9,2.9,Data!$T$1:$T$2)</t>
  </si>
  <si>
    <t xml:space="preserve">DAVERAGE(Data!$O$1:$R$9,2.9,Data!$AD$1:$AD$2)</t>
  </si>
  <si>
    <t xml:space="preserve">DAVERAGE(Data!$O$1:$R$9,"2",Data!$T$1:$T$2)</t>
  </si>
  <si>
    <t xml:space="preserve">DAVERAGE(Data!$O$1:$R$9,"2",Data!$AD$1:$AD$2)</t>
  </si>
  <si>
    <t xml:space="preserve">DAVERAGE(Data!$O$1:$R$9,TRUE,Data!$T$1:$T$2)</t>
  </si>
  <si>
    <t xml:space="preserve">DAVERAGE(Data!$O$1:$R$9,TRUE,Data!$AD$1:$AD$2)</t>
  </si>
  <si>
    <t xml:space="preserve">DAVERAGE(Data!$O$1:$R$9,Data!$P$1,Data!$T$1:$T$2)</t>
  </si>
  <si>
    <t xml:space="preserve">DAVERAGE(Data!$O$1:$R$9,Data!$P$1,Data!$AD$1:$AD$2)</t>
  </si>
  <si>
    <t xml:space="preserve">DAVERAGE(Data!$O$1:$R$9,"Name",Data!$T$1:$T$2)</t>
  </si>
  <si>
    <t xml:space="preserve">DAVERAGE(Data!$O$1:$R$9,"Name",Data!$AD$1:$AD$2)</t>
  </si>
  <si>
    <t xml:space="preserve">DAVERAGE(Data!$O$1:$R$9,Data!$O$2,Data!$T$1:$T$2)</t>
  </si>
  <si>
    <t xml:space="preserve">DAVERAGE(Data!$O$1:$R$9,Data!$O$2,Data!$AD$1:$AD$2)</t>
  </si>
  <si>
    <t xml:space="preserve">DAVERAGE(Data!$O$1:$R$9,"",Data!$T$1:$T$2)</t>
  </si>
  <si>
    <t xml:space="preserve">DAVERAGE(Data!$O$1:$R$9,"",Data!$AD$1:$AD$2)</t>
  </si>
  <si>
    <t xml:space="preserve">DAVERAGE(Data!$O$1:$R$9,NA(),Data!$T$1:$T$2)</t>
  </si>
  <si>
    <t xml:space="preserve">DAVERAGE(Data!$O$1:$R$9,NA(),Data!$AD$1:$AD$2)</t>
  </si>
  <si>
    <t xml:space="preserve">DAVERAGE(Data!$O$1:$R$9,3,Data!$T$2:$T$3)</t>
  </si>
  <si>
    <t xml:space="preserve">DAVERAGE(Data!$O$1:$R$9,3,Data!$T$1)</t>
  </si>
  <si>
    <t xml:space="preserve">DAVERAGE(Data!$O$2:$R$9,3,Data!$T$1:$T$2)</t>
  </si>
  <si>
    <t xml:space="preserve">DAVERAGE(Data!$O$1:$R$9,3,5)</t>
  </si>
  <si>
    <t xml:space="preserve">DAVERAGE(5,3,Data!$T$1:$T$2)</t>
  </si>
  <si>
    <t xml:space="preserve">DAVERAGE(Data!$O$1:$R$9,3,Data!$T$1:$T$2,1)</t>
  </si>
  <si>
    <t xml:space="preserve">DAVERAGE(Data!$O$1:$R$9,3)</t>
  </si>
  <si>
    <t xml:space="preserve">DAVERAGE(Data!$O$1:$O$9,1,Data!$T$1:$T$2)</t>
  </si>
  <si>
    <t xml:space="preserve">DAVERAGE(Data!$O$1:$R$9,3,Data!$AU$1:$AU$2)</t>
  </si>
  <si>
    <t xml:space="preserve">DAVERAGE(Data!$O$1:$R$9,3,Data!$T$1:$U$1)</t>
  </si>
  <si>
    <t xml:space="preserve">DGET(Data!$O$1:$R$9,"Age",Data!$T$1:$T$2)</t>
  </si>
  <si>
    <t xml:space="preserve">DGET(Data!$O$1:$R$9,"Age",Data!$V$1:$W$2)</t>
  </si>
  <si>
    <t xml:space="preserve">DGET(Data!$O$1:$R$9,"Age",Data!$Y$1:$Y$3)</t>
  </si>
  <si>
    <t xml:space="preserve">DGET(Data!$O$1:$R$9,"Age",Data!$AA$1:$AB$3)</t>
  </si>
  <si>
    <t xml:space="preserve">DGET(Data!$O$1:$R$9,"Age",Data!$AD$1:$AD$2)</t>
  </si>
  <si>
    <t xml:space="preserve">DGET(Data!$O$1:$R$9,"Age",Data!$AF$1:$AF$2)</t>
  </si>
  <si>
    <t xml:space="preserve">DGET(Data!$O$1:$R$9,"Age",Data!$AH$1:$AI$2)</t>
  </si>
  <si>
    <t xml:space="preserve">DGET(Data!$O$1:$R$9,"Age",Data!$AK$1:$AK$2)</t>
  </si>
  <si>
    <t xml:space="preserve">DGET(Data!$O$1:$R$9,"Age",Data!$AM$1:$AM$2)</t>
  </si>
  <si>
    <t xml:space="preserve">DGET(Data!$O$1:$R$9,"Age",Data!$AO$1:$AO$2)</t>
  </si>
  <si>
    <t xml:space="preserve">DGET(Data!$O$1:$R$9,"Age",Data!$AQ$1:$AQ$2)</t>
  </si>
  <si>
    <t xml:space="preserve">DGET(Data!$O$1:$R$9,"Age",Data!$AS$1:$AS$2)</t>
  </si>
  <si>
    <t xml:space="preserve">DGET(Data!$O$1:$R$9,"Age",Data!$AU$1:$AU$3)</t>
  </si>
  <si>
    <t xml:space="preserve">DGET(Data!$O$1:$R$9,"Age",Data!$AW$1:$AW$2)</t>
  </si>
  <si>
    <t xml:space="preserve">DGET(Data!$O$1:$R$9,"Age",Data!$AY$1:$BA$3)</t>
  </si>
  <si>
    <t xml:space="preserve">DGET(Data!$O$1:$R$9,"Age",Data!$BC$1:$BC$2)</t>
  </si>
  <si>
    <t xml:space="preserve">DGET(Data!$O$1:$R$9,"Age",Data!$BE$1:$BE$2)</t>
  </si>
  <si>
    <t xml:space="preserve">DGET(Data!$O$1:$R$9,3,Data!$T$1:$T$2)</t>
  </si>
  <si>
    <t xml:space="preserve">DGET(Data!$O$1:$R$9,3,Data!$V$1:$W$2)</t>
  </si>
  <si>
    <t xml:space="preserve">DGET(Data!$O$1:$R$9,3,Data!$Y$1:$Y$3)</t>
  </si>
  <si>
    <t xml:space="preserve">DGET(Data!$O$1:$R$9,3,Data!$AA$1:$AB$3)</t>
  </si>
  <si>
    <t xml:space="preserve">DGET(Data!$O$1:$R$9,3,Data!$AD$1:$AD$2)</t>
  </si>
  <si>
    <t xml:space="preserve">DGET(Data!$O$1:$R$9,3,Data!$AF$1:$AF$2)</t>
  </si>
  <si>
    <t xml:space="preserve">DGET(Data!$O$1:$R$9,3,Data!$AH$1:$AI$2)</t>
  </si>
  <si>
    <t xml:space="preserve">DGET(Data!$O$1:$R$9,3,Data!$AK$1:$AK$2)</t>
  </si>
  <si>
    <t xml:space="preserve">DGET(Data!$O$1:$R$9,3,Data!$AM$1:$AM$2)</t>
  </si>
  <si>
    <t xml:space="preserve">DGET(Data!$O$1:$R$9,3,Data!$AO$1:$AO$2)</t>
  </si>
  <si>
    <t xml:space="preserve">DGET(Data!$O$1:$R$9,3,Data!$AQ$1:$AQ$2)</t>
  </si>
  <si>
    <t xml:space="preserve">DGET(Data!$O$1:$R$9,3,Data!$AS$1:$AS$2)</t>
  </si>
  <si>
    <t xml:space="preserve">DGET(Data!$O$1:$R$9,3,Data!$AU$1:$AU$3)</t>
  </si>
  <si>
    <t xml:space="preserve">DGET(Data!$O$1:$R$9,3,Data!$AW$1:$AW$2)</t>
  </si>
  <si>
    <t xml:space="preserve">DGET(Data!$O$1:$R$9,3,Data!$AY$1:$BA$3)</t>
  </si>
  <si>
    <t xml:space="preserve">DGET(Data!$O$1:$R$9,3,Data!$BC$1:$BC$2)</t>
  </si>
  <si>
    <t xml:space="preserve">DGET(Data!$O$1:$R$9,3,Data!$BE$1:$BE$2)</t>
  </si>
  <si>
    <t xml:space="preserve">DGET(Data!$O$1:$R$9,"Score",Data!$T$1:$T$2)</t>
  </si>
  <si>
    <t xml:space="preserve">DGET(Data!$O$1:$R$9,"Score",Data!$V$1:$W$2)</t>
  </si>
  <si>
    <t xml:space="preserve">DGET(Data!$O$1:$R$9,"Score",Data!$Y$1:$Y$3)</t>
  </si>
  <si>
    <t xml:space="preserve">DGET(Data!$O$1:$R$9,"Score",Data!$AA$1:$AB$3)</t>
  </si>
  <si>
    <t xml:space="preserve">DGET(Data!$O$1:$R$9,"Score",Data!$AD$1:$AD$2)</t>
  </si>
  <si>
    <t xml:space="preserve">DGET(Data!$O$1:$R$9,"Score",Data!$AF$1:$AF$2)</t>
  </si>
  <si>
    <t xml:space="preserve">DGET(Data!$O$1:$R$9,"Score",Data!$AH$1:$AI$2)</t>
  </si>
  <si>
    <t xml:space="preserve">DGET(Data!$O$1:$R$9,"Score",Data!$AK$1:$AK$2)</t>
  </si>
  <si>
    <t xml:space="preserve">DGET(Data!$O$1:$R$9,"Score",Data!$AM$1:$AM$2)</t>
  </si>
  <si>
    <t xml:space="preserve">DGET(Data!$O$1:$R$9,"Score",Data!$AO$1:$AO$2)</t>
  </si>
  <si>
    <t xml:space="preserve">DGET(Data!$O$1:$R$9,"Score",Data!$AQ$1:$AQ$2)</t>
  </si>
  <si>
    <t xml:space="preserve">DGET(Data!$O$1:$R$9,"Score",Data!$AS$1:$AS$2)</t>
  </si>
  <si>
    <t xml:space="preserve">DGET(Data!$O$1:$R$9,"Score",Data!$AU$1:$AU$3)</t>
  </si>
  <si>
    <t xml:space="preserve">DGET(Data!$O$1:$R$9,"Score",Data!$AW$1:$AW$2)</t>
  </si>
  <si>
    <t xml:space="preserve">DGET(Data!$O$1:$R$9,"Score",Data!$AY$1:$BA$3)</t>
  </si>
  <si>
    <t xml:space="preserve">DGET(Data!$O$1:$R$9,"Score",Data!$BC$1:$BC$2)</t>
  </si>
  <si>
    <t xml:space="preserve">DGET(Data!$O$1:$R$9,"Score",Data!$BE$1:$BE$2)</t>
  </si>
  <si>
    <t xml:space="preserve">DGET(Data!$O$1:$R$9,"age",Data!$T$1:$T$2)</t>
  </si>
  <si>
    <t xml:space="preserve">DGET(Data!$O$1:$R$9,"age",Data!$AD$1:$AD$2)</t>
  </si>
  <si>
    <t xml:space="preserve">DGET(Data!$O$1:$R$9,0,Data!$T$1:$T$2)</t>
  </si>
  <si>
    <t xml:space="preserve">DGET(Data!$O$1:$R$9,0,Data!$AD$1:$AD$2)</t>
  </si>
  <si>
    <t xml:space="preserve">DGET(Data!$O$1:$R$9,5,Data!$T$1:$T$2)</t>
  </si>
  <si>
    <t xml:space="preserve">DGET(Data!$O$1:$R$9,5,Data!$AD$1:$AD$2)</t>
  </si>
  <si>
    <t xml:space="preserve">DGET(Data!$O$1:$R$9,"Nope",Data!$T$1:$T$2)</t>
  </si>
  <si>
    <t xml:space="preserve">DGET(Data!$O$1:$R$9,"Nope",Data!$AD$1:$AD$2)</t>
  </si>
  <si>
    <t xml:space="preserve">DGET(Data!$O$1:$R$9,-1,Data!$T$1:$T$2)</t>
  </si>
  <si>
    <t xml:space="preserve">DGET(Data!$O$1:$R$9,-1,Data!$AD$1:$AD$2)</t>
  </si>
  <si>
    <t xml:space="preserve">DGET(Data!$O$1:$R$9,2.9,Data!$T$1:$T$2)</t>
  </si>
  <si>
    <t xml:space="preserve">DGET(Data!$O$1:$R$9,2.9,Data!$AD$1:$AD$2)</t>
  </si>
  <si>
    <t xml:space="preserve">DGET(Data!$O$1:$R$9,"2",Data!$T$1:$T$2)</t>
  </si>
  <si>
    <t xml:space="preserve">DGET(Data!$O$1:$R$9,"2",Data!$AD$1:$AD$2)</t>
  </si>
  <si>
    <t xml:space="preserve">DGET(Data!$O$1:$R$9,TRUE,Data!$T$1:$T$2)</t>
  </si>
  <si>
    <t xml:space="preserve">DGET(Data!$O$1:$R$9,TRUE,Data!$AD$1:$AD$2)</t>
  </si>
  <si>
    <t xml:space="preserve">DGET(Data!$O$1:$R$9,Data!$P$1,Data!$T$1:$T$2)</t>
  </si>
  <si>
    <t xml:space="preserve">DGET(Data!$O$1:$R$9,Data!$P$1,Data!$AD$1:$AD$2)</t>
  </si>
  <si>
    <t xml:space="preserve">DGET(Data!$O$1:$R$9,"Name",Data!$T$1:$T$2)</t>
  </si>
  <si>
    <t xml:space="preserve">DGET(Data!$O$1:$R$9,"Name",Data!$AD$1:$AD$2)</t>
  </si>
  <si>
    <t xml:space="preserve">DGET(Data!$O$1:$R$9,Data!$O$2,Data!$T$1:$T$2)</t>
  </si>
  <si>
    <t xml:space="preserve">DGET(Data!$O$1:$R$9,Data!$O$2,Data!$AD$1:$AD$2)</t>
  </si>
  <si>
    <t xml:space="preserve">DGET(Data!$O$1:$R$9,"",Data!$T$1:$T$2)</t>
  </si>
  <si>
    <t xml:space="preserve">DGET(Data!$O$1:$R$9,"",Data!$AD$1:$AD$2)</t>
  </si>
  <si>
    <t xml:space="preserve">DGET(Data!$O$1:$R$9,NA(),Data!$T$1:$T$2)</t>
  </si>
  <si>
    <t xml:space="preserve">DGET(Data!$O$1:$R$9,NA(),Data!$AD$1:$AD$2)</t>
  </si>
  <si>
    <t xml:space="preserve">DGET(Data!$O$1:$R$9,3,Data!$T$2:$T$3)</t>
  </si>
  <si>
    <t xml:space="preserve">DGET(Data!$O$1:$R$9,3,Data!$T$1)</t>
  </si>
  <si>
    <t xml:space="preserve">DGET(Data!$O$2:$R$9,3,Data!$T$1:$T$2)</t>
  </si>
  <si>
    <t xml:space="preserve">DGET(Data!$O$1:$R$9,3,5)</t>
  </si>
  <si>
    <t xml:space="preserve">DGET(5,3,Data!$T$1:$T$2)</t>
  </si>
  <si>
    <t xml:space="preserve">DGET(Data!$O$1:$R$9,3,Data!$T$1:$T$2,1)</t>
  </si>
  <si>
    <t xml:space="preserve">DGET(Data!$O$1:$R$9,3)</t>
  </si>
  <si>
    <t xml:space="preserve">DGET(Data!$O$1:$O$9,1,Data!$T$1:$T$2)</t>
  </si>
  <si>
    <t xml:space="preserve">DGET(Data!$O$1:$R$9,3,Data!$AU$1:$AU$2)</t>
  </si>
  <si>
    <t xml:space="preserve">DGET(Data!$O$1:$R$9,3,Data!$T$1:$U$1)</t>
  </si>
  <si>
    <t xml:space="preserve">DMAX(Data!$O$1:$R$9,"Age",Data!$T$1:$T$2)</t>
  </si>
  <si>
    <t xml:space="preserve">DMAX(Data!$O$1:$R$9,"Age",Data!$V$1:$W$2)</t>
  </si>
  <si>
    <t xml:space="preserve">DMAX(Data!$O$1:$R$9,"Age",Data!$Y$1:$Y$3)</t>
  </si>
  <si>
    <t xml:space="preserve">DMAX(Data!$O$1:$R$9,"Age",Data!$AA$1:$AB$3)</t>
  </si>
  <si>
    <t xml:space="preserve">DMAX(Data!$O$1:$R$9,"Age",Data!$AD$1:$AD$2)</t>
  </si>
  <si>
    <t xml:space="preserve">DMAX(Data!$O$1:$R$9,"Age",Data!$AF$1:$AF$2)</t>
  </si>
  <si>
    <t xml:space="preserve">DMAX(Data!$O$1:$R$9,"Age",Data!$AH$1:$AI$2)</t>
  </si>
  <si>
    <t xml:space="preserve">DMAX(Data!$O$1:$R$9,"Age",Data!$AK$1:$AK$2)</t>
  </si>
  <si>
    <t xml:space="preserve">DMAX(Data!$O$1:$R$9,"Age",Data!$AM$1:$AM$2)</t>
  </si>
  <si>
    <t xml:space="preserve">DMAX(Data!$O$1:$R$9,"Age",Data!$AO$1:$AO$2)</t>
  </si>
  <si>
    <t xml:space="preserve">DMAX(Data!$O$1:$R$9,"Age",Data!$AQ$1:$AQ$2)</t>
  </si>
  <si>
    <t xml:space="preserve">DMAX(Data!$O$1:$R$9,"Age",Data!$AS$1:$AS$2)</t>
  </si>
  <si>
    <t xml:space="preserve">DMAX(Data!$O$1:$R$9,"Age",Data!$AU$1:$AU$3)</t>
  </si>
  <si>
    <t xml:space="preserve">DMAX(Data!$O$1:$R$9,"Age",Data!$AW$1:$AW$2)</t>
  </si>
  <si>
    <t xml:space="preserve">DMAX(Data!$O$1:$R$9,"Age",Data!$AY$1:$BA$3)</t>
  </si>
  <si>
    <t xml:space="preserve">DMAX(Data!$O$1:$R$9,"Age",Data!$BC$1:$BC$2)</t>
  </si>
  <si>
    <t xml:space="preserve">DMAX(Data!$O$1:$R$9,"Age",Data!$BE$1:$BE$2)</t>
  </si>
  <si>
    <t xml:space="preserve">DMAX(Data!$O$1:$R$9,3,Data!$T$1:$T$2)</t>
  </si>
  <si>
    <t xml:space="preserve">DMAX(Data!$O$1:$R$9,3,Data!$V$1:$W$2)</t>
  </si>
  <si>
    <t xml:space="preserve">DMAX(Data!$O$1:$R$9,3,Data!$Y$1:$Y$3)</t>
  </si>
  <si>
    <t xml:space="preserve">DMAX(Data!$O$1:$R$9,3,Data!$AA$1:$AB$3)</t>
  </si>
  <si>
    <t xml:space="preserve">DMAX(Data!$O$1:$R$9,3,Data!$AD$1:$AD$2)</t>
  </si>
  <si>
    <t xml:space="preserve">DMAX(Data!$O$1:$R$9,3,Data!$AF$1:$AF$2)</t>
  </si>
  <si>
    <t xml:space="preserve">DMAX(Data!$O$1:$R$9,3,Data!$AH$1:$AI$2)</t>
  </si>
  <si>
    <t xml:space="preserve">DMAX(Data!$O$1:$R$9,3,Data!$AK$1:$AK$2)</t>
  </si>
  <si>
    <t xml:space="preserve">DMAX(Data!$O$1:$R$9,3,Data!$AM$1:$AM$2)</t>
  </si>
  <si>
    <t xml:space="preserve">DMAX(Data!$O$1:$R$9,3,Data!$AO$1:$AO$2)</t>
  </si>
  <si>
    <t xml:space="preserve">DMAX(Data!$O$1:$R$9,3,Data!$AQ$1:$AQ$2)</t>
  </si>
  <si>
    <t xml:space="preserve">DMAX(Data!$O$1:$R$9,3,Data!$AS$1:$AS$2)</t>
  </si>
  <si>
    <t xml:space="preserve">DMAX(Data!$O$1:$R$9,3,Data!$AU$1:$AU$3)</t>
  </si>
  <si>
    <t xml:space="preserve">DMAX(Data!$O$1:$R$9,3,Data!$AW$1:$AW$2)</t>
  </si>
  <si>
    <t xml:space="preserve">DMAX(Data!$O$1:$R$9,3,Data!$AY$1:$BA$3)</t>
  </si>
  <si>
    <t xml:space="preserve">DMAX(Data!$O$1:$R$9,3,Data!$BC$1:$BC$2)</t>
  </si>
  <si>
    <t xml:space="preserve">DMAX(Data!$O$1:$R$9,3,Data!$BE$1:$BE$2)</t>
  </si>
  <si>
    <t xml:space="preserve">DMAX(Data!$O$1:$R$9,"Score",Data!$T$1:$T$2)</t>
  </si>
  <si>
    <t xml:space="preserve">DMAX(Data!$O$1:$R$9,"Score",Data!$V$1:$W$2)</t>
  </si>
  <si>
    <t xml:space="preserve">DMAX(Data!$O$1:$R$9,"Score",Data!$Y$1:$Y$3)</t>
  </si>
  <si>
    <t xml:space="preserve">DMAX(Data!$O$1:$R$9,"Score",Data!$AA$1:$AB$3)</t>
  </si>
  <si>
    <t xml:space="preserve">DMAX(Data!$O$1:$R$9,"Score",Data!$AD$1:$AD$2)</t>
  </si>
  <si>
    <t xml:space="preserve">DMAX(Data!$O$1:$R$9,"Score",Data!$AF$1:$AF$2)</t>
  </si>
  <si>
    <t xml:space="preserve">DMAX(Data!$O$1:$R$9,"Score",Data!$AH$1:$AI$2)</t>
  </si>
  <si>
    <t xml:space="preserve">DMAX(Data!$O$1:$R$9,"Score",Data!$AK$1:$AK$2)</t>
  </si>
  <si>
    <t xml:space="preserve">DMAX(Data!$O$1:$R$9,"Score",Data!$AM$1:$AM$2)</t>
  </si>
  <si>
    <t xml:space="preserve">DMAX(Data!$O$1:$R$9,"Score",Data!$AO$1:$AO$2)</t>
  </si>
  <si>
    <t xml:space="preserve">DMAX(Data!$O$1:$R$9,"Score",Data!$AQ$1:$AQ$2)</t>
  </si>
  <si>
    <t xml:space="preserve">DMAX(Data!$O$1:$R$9,"Score",Data!$AS$1:$AS$2)</t>
  </si>
  <si>
    <t xml:space="preserve">DMAX(Data!$O$1:$R$9,"Score",Data!$AU$1:$AU$3)</t>
  </si>
  <si>
    <t xml:space="preserve">DMAX(Data!$O$1:$R$9,"Score",Data!$AW$1:$AW$2)</t>
  </si>
  <si>
    <t xml:space="preserve">DMAX(Data!$O$1:$R$9,"Score",Data!$AY$1:$BA$3)</t>
  </si>
  <si>
    <t xml:space="preserve">DMAX(Data!$O$1:$R$9,"Score",Data!$BC$1:$BC$2)</t>
  </si>
  <si>
    <t xml:space="preserve">DMAX(Data!$O$1:$R$9,"Score",Data!$BE$1:$BE$2)</t>
  </si>
  <si>
    <t xml:space="preserve">DMAX(Data!$O$1:$R$9,"age",Data!$T$1:$T$2)</t>
  </si>
  <si>
    <t xml:space="preserve">DMAX(Data!$O$1:$R$9,"age",Data!$AD$1:$AD$2)</t>
  </si>
  <si>
    <t xml:space="preserve">DMAX(Data!$O$1:$R$9,0,Data!$T$1:$T$2)</t>
  </si>
  <si>
    <t xml:space="preserve">DMAX(Data!$O$1:$R$9,0,Data!$AD$1:$AD$2)</t>
  </si>
  <si>
    <t xml:space="preserve">DMAX(Data!$O$1:$R$9,5,Data!$T$1:$T$2)</t>
  </si>
  <si>
    <t xml:space="preserve">DMAX(Data!$O$1:$R$9,5,Data!$AD$1:$AD$2)</t>
  </si>
  <si>
    <t xml:space="preserve">DMAX(Data!$O$1:$R$9,"Nope",Data!$T$1:$T$2)</t>
  </si>
  <si>
    <t xml:space="preserve">DMAX(Data!$O$1:$R$9,"Nope",Data!$AD$1:$AD$2)</t>
  </si>
  <si>
    <t xml:space="preserve">DMAX(Data!$O$1:$R$9,-1,Data!$T$1:$T$2)</t>
  </si>
  <si>
    <t xml:space="preserve">DMAX(Data!$O$1:$R$9,-1,Data!$AD$1:$AD$2)</t>
  </si>
  <si>
    <t xml:space="preserve">DMAX(Data!$O$1:$R$9,2.9,Data!$T$1:$T$2)</t>
  </si>
  <si>
    <t xml:space="preserve">DMAX(Data!$O$1:$R$9,2.9,Data!$AD$1:$AD$2)</t>
  </si>
  <si>
    <t xml:space="preserve">DMAX(Data!$O$1:$R$9,"2",Data!$T$1:$T$2)</t>
  </si>
  <si>
    <t xml:space="preserve">DMAX(Data!$O$1:$R$9,"2",Data!$AD$1:$AD$2)</t>
  </si>
  <si>
    <t xml:space="preserve">DMAX(Data!$O$1:$R$9,TRUE,Data!$T$1:$T$2)</t>
  </si>
  <si>
    <t xml:space="preserve">DMAX(Data!$O$1:$R$9,TRUE,Data!$AD$1:$AD$2)</t>
  </si>
  <si>
    <t xml:space="preserve">DMAX(Data!$O$1:$R$9,Data!$P$1,Data!$T$1:$T$2)</t>
  </si>
  <si>
    <t xml:space="preserve">DMAX(Data!$O$1:$R$9,Data!$P$1,Data!$AD$1:$AD$2)</t>
  </si>
  <si>
    <t xml:space="preserve">DMAX(Data!$O$1:$R$9,"Name",Data!$T$1:$T$2)</t>
  </si>
  <si>
    <t xml:space="preserve">DMAX(Data!$O$1:$R$9,"Name",Data!$AD$1:$AD$2)</t>
  </si>
  <si>
    <t xml:space="preserve">DMAX(Data!$O$1:$R$9,Data!$O$2,Data!$T$1:$T$2)</t>
  </si>
  <si>
    <t xml:space="preserve">DMAX(Data!$O$1:$R$9,Data!$O$2,Data!$AD$1:$AD$2)</t>
  </si>
  <si>
    <t xml:space="preserve">DMAX(Data!$O$1:$R$9,"",Data!$T$1:$T$2)</t>
  </si>
  <si>
    <t xml:space="preserve">DMAX(Data!$O$1:$R$9,"",Data!$AD$1:$AD$2)</t>
  </si>
  <si>
    <t xml:space="preserve">DMAX(Data!$O$1:$R$9,NA(),Data!$T$1:$T$2)</t>
  </si>
  <si>
    <t xml:space="preserve">DMAX(Data!$O$1:$R$9,NA(),Data!$AD$1:$AD$2)</t>
  </si>
  <si>
    <t xml:space="preserve">DMAX(Data!$O$1:$R$9,3,Data!$T$2:$T$3)</t>
  </si>
  <si>
    <t xml:space="preserve">DMAX(Data!$O$1:$R$9,3,Data!$T$1)</t>
  </si>
  <si>
    <t xml:space="preserve">DMAX(Data!$O$2:$R$9,3,Data!$T$1:$T$2)</t>
  </si>
  <si>
    <t xml:space="preserve">DMAX(Data!$O$1:$R$9,3,5)</t>
  </si>
  <si>
    <t xml:space="preserve">DMAX(5,3,Data!$T$1:$T$2)</t>
  </si>
  <si>
    <t xml:space="preserve">DMAX(Data!$O$1:$R$9,3,Data!$T$1:$T$2,1)</t>
  </si>
  <si>
    <t xml:space="preserve">DMAX(Data!$O$1:$R$9,3)</t>
  </si>
  <si>
    <t xml:space="preserve">DMAX(Data!$O$1:$O$9,1,Data!$T$1:$T$2)</t>
  </si>
  <si>
    <t xml:space="preserve">DMAX(Data!$O$1:$R$9,3,Data!$AU$1:$AU$2)</t>
  </si>
  <si>
    <t xml:space="preserve">DMAX(Data!$O$1:$R$9,3,Data!$T$1:$U$1)</t>
  </si>
  <si>
    <t xml:space="preserve">DMIN(Data!$O$1:$R$9,"Age",Data!$T$1:$T$2)</t>
  </si>
  <si>
    <t xml:space="preserve">DMIN(Data!$O$1:$R$9,"Age",Data!$V$1:$W$2)</t>
  </si>
  <si>
    <t xml:space="preserve">DMIN(Data!$O$1:$R$9,"Age",Data!$Y$1:$Y$3)</t>
  </si>
  <si>
    <t xml:space="preserve">DMIN(Data!$O$1:$R$9,"Age",Data!$AA$1:$AB$3)</t>
  </si>
  <si>
    <t xml:space="preserve">DMIN(Data!$O$1:$R$9,"Age",Data!$AD$1:$AD$2)</t>
  </si>
  <si>
    <t xml:space="preserve">DMIN(Data!$O$1:$R$9,"Age",Data!$AF$1:$AF$2)</t>
  </si>
  <si>
    <t xml:space="preserve">DMIN(Data!$O$1:$R$9,"Age",Data!$AH$1:$AI$2)</t>
  </si>
  <si>
    <t xml:space="preserve">DMIN(Data!$O$1:$R$9,"Age",Data!$AK$1:$AK$2)</t>
  </si>
  <si>
    <t xml:space="preserve">DMIN(Data!$O$1:$R$9,"Age",Data!$AM$1:$AM$2)</t>
  </si>
  <si>
    <t xml:space="preserve">DMIN(Data!$O$1:$R$9,"Age",Data!$AO$1:$AO$2)</t>
  </si>
  <si>
    <t xml:space="preserve">DMIN(Data!$O$1:$R$9,"Age",Data!$AQ$1:$AQ$2)</t>
  </si>
  <si>
    <t xml:space="preserve">DMIN(Data!$O$1:$R$9,"Age",Data!$AS$1:$AS$2)</t>
  </si>
  <si>
    <t xml:space="preserve">DMIN(Data!$O$1:$R$9,"Age",Data!$AU$1:$AU$3)</t>
  </si>
  <si>
    <t xml:space="preserve">DMIN(Data!$O$1:$R$9,"Age",Data!$AW$1:$AW$2)</t>
  </si>
  <si>
    <t xml:space="preserve">DMIN(Data!$O$1:$R$9,"Age",Data!$AY$1:$BA$3)</t>
  </si>
  <si>
    <t xml:space="preserve">DMIN(Data!$O$1:$R$9,"Age",Data!$BC$1:$BC$2)</t>
  </si>
  <si>
    <t xml:space="preserve">DMIN(Data!$O$1:$R$9,"Age",Data!$BE$1:$BE$2)</t>
  </si>
  <si>
    <t xml:space="preserve">DMIN(Data!$O$1:$R$9,3,Data!$T$1:$T$2)</t>
  </si>
  <si>
    <t xml:space="preserve">DMIN(Data!$O$1:$R$9,3,Data!$V$1:$W$2)</t>
  </si>
  <si>
    <t xml:space="preserve">DMIN(Data!$O$1:$R$9,3,Data!$Y$1:$Y$3)</t>
  </si>
  <si>
    <t xml:space="preserve">DMIN(Data!$O$1:$R$9,3,Data!$AA$1:$AB$3)</t>
  </si>
  <si>
    <t xml:space="preserve">DMIN(Data!$O$1:$R$9,3,Data!$AD$1:$AD$2)</t>
  </si>
  <si>
    <t xml:space="preserve">DMIN(Data!$O$1:$R$9,3,Data!$AF$1:$AF$2)</t>
  </si>
  <si>
    <t xml:space="preserve">DMIN(Data!$O$1:$R$9,3,Data!$AH$1:$AI$2)</t>
  </si>
  <si>
    <t xml:space="preserve">DMIN(Data!$O$1:$R$9,3,Data!$AK$1:$AK$2)</t>
  </si>
  <si>
    <t xml:space="preserve">DMIN(Data!$O$1:$R$9,3,Data!$AM$1:$AM$2)</t>
  </si>
  <si>
    <t xml:space="preserve">DMIN(Data!$O$1:$R$9,3,Data!$AO$1:$AO$2)</t>
  </si>
  <si>
    <t xml:space="preserve">DMIN(Data!$O$1:$R$9,3,Data!$AQ$1:$AQ$2)</t>
  </si>
  <si>
    <t xml:space="preserve">DMIN(Data!$O$1:$R$9,3,Data!$AS$1:$AS$2)</t>
  </si>
  <si>
    <t xml:space="preserve">DMIN(Data!$O$1:$R$9,3,Data!$AU$1:$AU$3)</t>
  </si>
  <si>
    <t xml:space="preserve">DMIN(Data!$O$1:$R$9,3,Data!$AW$1:$AW$2)</t>
  </si>
  <si>
    <t xml:space="preserve">DMIN(Data!$O$1:$R$9,3,Data!$AY$1:$BA$3)</t>
  </si>
  <si>
    <t xml:space="preserve">DMIN(Data!$O$1:$R$9,3,Data!$BC$1:$BC$2)</t>
  </si>
  <si>
    <t xml:space="preserve">DMIN(Data!$O$1:$R$9,3,Data!$BE$1:$BE$2)</t>
  </si>
  <si>
    <t xml:space="preserve">DMIN(Data!$O$1:$R$9,"Score",Data!$T$1:$T$2)</t>
  </si>
  <si>
    <t xml:space="preserve">DMIN(Data!$O$1:$R$9,"Score",Data!$V$1:$W$2)</t>
  </si>
  <si>
    <t xml:space="preserve">DMIN(Data!$O$1:$R$9,"Score",Data!$Y$1:$Y$3)</t>
  </si>
  <si>
    <t xml:space="preserve">DMIN(Data!$O$1:$R$9,"Score",Data!$AA$1:$AB$3)</t>
  </si>
  <si>
    <t xml:space="preserve">DMIN(Data!$O$1:$R$9,"Score",Data!$AD$1:$AD$2)</t>
  </si>
  <si>
    <t xml:space="preserve">DMIN(Data!$O$1:$R$9,"Score",Data!$AF$1:$AF$2)</t>
  </si>
  <si>
    <t xml:space="preserve">DMIN(Data!$O$1:$R$9,"Score",Data!$AH$1:$AI$2)</t>
  </si>
  <si>
    <t xml:space="preserve">DMIN(Data!$O$1:$R$9,"Score",Data!$AK$1:$AK$2)</t>
  </si>
  <si>
    <t xml:space="preserve">DMIN(Data!$O$1:$R$9,"Score",Data!$AM$1:$AM$2)</t>
  </si>
  <si>
    <t xml:space="preserve">DMIN(Data!$O$1:$R$9,"Score",Data!$AO$1:$AO$2)</t>
  </si>
  <si>
    <t xml:space="preserve">DMIN(Data!$O$1:$R$9,"Score",Data!$AQ$1:$AQ$2)</t>
  </si>
  <si>
    <t xml:space="preserve">DMIN(Data!$O$1:$R$9,"Score",Data!$AS$1:$AS$2)</t>
  </si>
  <si>
    <t xml:space="preserve">DMIN(Data!$O$1:$R$9,"Score",Data!$AU$1:$AU$3)</t>
  </si>
  <si>
    <t xml:space="preserve">DMIN(Data!$O$1:$R$9,"Score",Data!$AW$1:$AW$2)</t>
  </si>
  <si>
    <t xml:space="preserve">DMIN(Data!$O$1:$R$9,"Score",Data!$AY$1:$BA$3)</t>
  </si>
  <si>
    <t xml:space="preserve">DMIN(Data!$O$1:$R$9,"Score",Data!$BC$1:$BC$2)</t>
  </si>
  <si>
    <t xml:space="preserve">DMIN(Data!$O$1:$R$9,"Score",Data!$BE$1:$BE$2)</t>
  </si>
  <si>
    <t xml:space="preserve">DMIN(Data!$O$1:$R$9,"age",Data!$T$1:$T$2)</t>
  </si>
  <si>
    <t xml:space="preserve">DMIN(Data!$O$1:$R$9,"age",Data!$AD$1:$AD$2)</t>
  </si>
  <si>
    <t xml:space="preserve">DMIN(Data!$O$1:$R$9,0,Data!$T$1:$T$2)</t>
  </si>
  <si>
    <t xml:space="preserve">DMIN(Data!$O$1:$R$9,0,Data!$AD$1:$AD$2)</t>
  </si>
  <si>
    <t xml:space="preserve">DMIN(Data!$O$1:$R$9,5,Data!$T$1:$T$2)</t>
  </si>
  <si>
    <t xml:space="preserve">DMIN(Data!$O$1:$R$9,5,Data!$AD$1:$AD$2)</t>
  </si>
  <si>
    <t xml:space="preserve">DMIN(Data!$O$1:$R$9,"Nope",Data!$T$1:$T$2)</t>
  </si>
  <si>
    <t xml:space="preserve">DMIN(Data!$O$1:$R$9,"Nope",Data!$AD$1:$AD$2)</t>
  </si>
  <si>
    <t xml:space="preserve">DMIN(Data!$O$1:$R$9,-1,Data!$T$1:$T$2)</t>
  </si>
  <si>
    <t xml:space="preserve">DMIN(Data!$O$1:$R$9,-1,Data!$AD$1:$AD$2)</t>
  </si>
  <si>
    <t xml:space="preserve">DMIN(Data!$O$1:$R$9,2.9,Data!$T$1:$T$2)</t>
  </si>
  <si>
    <t xml:space="preserve">DMIN(Data!$O$1:$R$9,2.9,Data!$AD$1:$AD$2)</t>
  </si>
  <si>
    <t xml:space="preserve">DMIN(Data!$O$1:$R$9,"2",Data!$T$1:$T$2)</t>
  </si>
  <si>
    <t xml:space="preserve">DMIN(Data!$O$1:$R$9,"2",Data!$AD$1:$AD$2)</t>
  </si>
  <si>
    <t xml:space="preserve">DMIN(Data!$O$1:$R$9,TRUE,Data!$T$1:$T$2)</t>
  </si>
  <si>
    <t xml:space="preserve">DMIN(Data!$O$1:$R$9,TRUE,Data!$AD$1:$AD$2)</t>
  </si>
  <si>
    <t xml:space="preserve">DMIN(Data!$O$1:$R$9,Data!$P$1,Data!$T$1:$T$2)</t>
  </si>
  <si>
    <t xml:space="preserve">DMIN(Data!$O$1:$R$9,Data!$P$1,Data!$AD$1:$AD$2)</t>
  </si>
  <si>
    <t xml:space="preserve">DMIN(Data!$O$1:$R$9,"Name",Data!$T$1:$T$2)</t>
  </si>
  <si>
    <t xml:space="preserve">DMIN(Data!$O$1:$R$9,"Name",Data!$AD$1:$AD$2)</t>
  </si>
  <si>
    <t xml:space="preserve">DMIN(Data!$O$1:$R$9,Data!$O$2,Data!$T$1:$T$2)</t>
  </si>
  <si>
    <t xml:space="preserve">DMIN(Data!$O$1:$R$9,Data!$O$2,Data!$AD$1:$AD$2)</t>
  </si>
  <si>
    <t xml:space="preserve">DMIN(Data!$O$1:$R$9,"",Data!$T$1:$T$2)</t>
  </si>
  <si>
    <t xml:space="preserve">DMIN(Data!$O$1:$R$9,"",Data!$AD$1:$AD$2)</t>
  </si>
  <si>
    <t xml:space="preserve">DMIN(Data!$O$1:$R$9,NA(),Data!$T$1:$T$2)</t>
  </si>
  <si>
    <t xml:space="preserve">DMIN(Data!$O$1:$R$9,NA(),Data!$AD$1:$AD$2)</t>
  </si>
  <si>
    <t xml:space="preserve">DMIN(Data!$O$1:$R$9,3,Data!$T$2:$T$3)</t>
  </si>
  <si>
    <t xml:space="preserve">DMIN(Data!$O$1:$R$9,3,Data!$T$1)</t>
  </si>
  <si>
    <t xml:space="preserve">DMIN(Data!$O$2:$R$9,3,Data!$T$1:$T$2)</t>
  </si>
  <si>
    <t xml:space="preserve">DMIN(Data!$O$1:$R$9,3,5)</t>
  </si>
  <si>
    <t xml:space="preserve">DMIN(5,3,Data!$T$1:$T$2)</t>
  </si>
  <si>
    <t xml:space="preserve">DMIN(Data!$O$1:$R$9,3,Data!$T$1:$T$2,1)</t>
  </si>
  <si>
    <t xml:space="preserve">DMIN(Data!$O$1:$R$9,3)</t>
  </si>
  <si>
    <t xml:space="preserve">DMIN(Data!$O$1:$O$9,1,Data!$T$1:$T$2)</t>
  </si>
  <si>
    <t xml:space="preserve">DMIN(Data!$O$1:$R$9,3,Data!$AU$1:$AU$2)</t>
  </si>
  <si>
    <t xml:space="preserve">DMIN(Data!$O$1:$R$9,3,Data!$T$1:$U$1)</t>
  </si>
  <si>
    <t xml:space="preserve">DPRODUCT(Data!$O$1:$R$9,"Age",Data!$T$1:$T$2)</t>
  </si>
  <si>
    <t xml:space="preserve">DPRODUCT(Data!$O$1:$R$9,"Age",Data!$V$1:$W$2)</t>
  </si>
  <si>
    <t xml:space="preserve">DPRODUCT(Data!$O$1:$R$9,"Age",Data!$Y$1:$Y$3)</t>
  </si>
  <si>
    <t xml:space="preserve">DPRODUCT(Data!$O$1:$R$9,"Age",Data!$AA$1:$AB$3)</t>
  </si>
  <si>
    <t xml:space="preserve">DPRODUCT(Data!$O$1:$R$9,"Age",Data!$AD$1:$AD$2)</t>
  </si>
  <si>
    <t xml:space="preserve">DPRODUCT(Data!$O$1:$R$9,"Age",Data!$AF$1:$AF$2)</t>
  </si>
  <si>
    <t xml:space="preserve">DPRODUCT(Data!$O$1:$R$9,"Age",Data!$AH$1:$AI$2)</t>
  </si>
  <si>
    <t xml:space="preserve">DPRODUCT(Data!$O$1:$R$9,"Age",Data!$AK$1:$AK$2)</t>
  </si>
  <si>
    <t xml:space="preserve">DPRODUCT(Data!$O$1:$R$9,"Age",Data!$AM$1:$AM$2)</t>
  </si>
  <si>
    <t xml:space="preserve">DPRODUCT(Data!$O$1:$R$9,"Age",Data!$AO$1:$AO$2)</t>
  </si>
  <si>
    <t xml:space="preserve">DPRODUCT(Data!$O$1:$R$9,"Age",Data!$AQ$1:$AQ$2)</t>
  </si>
  <si>
    <t xml:space="preserve">DPRODUCT(Data!$O$1:$R$9,"Age",Data!$AS$1:$AS$2)</t>
  </si>
  <si>
    <t xml:space="preserve">DPRODUCT(Data!$O$1:$R$9,"Age",Data!$AU$1:$AU$3)</t>
  </si>
  <si>
    <t xml:space="preserve">DPRODUCT(Data!$O$1:$R$9,"Age",Data!$AW$1:$AW$2)</t>
  </si>
  <si>
    <t xml:space="preserve">DPRODUCT(Data!$O$1:$R$9,"Age",Data!$AY$1:$BA$3)</t>
  </si>
  <si>
    <t xml:space="preserve">DPRODUCT(Data!$O$1:$R$9,"Age",Data!$BC$1:$BC$2)</t>
  </si>
  <si>
    <t xml:space="preserve">DPRODUCT(Data!$O$1:$R$9,"Age",Data!$BE$1:$BE$2)</t>
  </si>
  <si>
    <t xml:space="preserve">DPRODUCT(Data!$O$1:$R$9,3,Data!$T$1:$T$2)</t>
  </si>
  <si>
    <t xml:space="preserve">DPRODUCT(Data!$O$1:$R$9,3,Data!$V$1:$W$2)</t>
  </si>
  <si>
    <t xml:space="preserve">DPRODUCT(Data!$O$1:$R$9,3,Data!$Y$1:$Y$3)</t>
  </si>
  <si>
    <t xml:space="preserve">DPRODUCT(Data!$O$1:$R$9,3,Data!$AA$1:$AB$3)</t>
  </si>
  <si>
    <t xml:space="preserve">DPRODUCT(Data!$O$1:$R$9,3,Data!$AD$1:$AD$2)</t>
  </si>
  <si>
    <t xml:space="preserve">DPRODUCT(Data!$O$1:$R$9,3,Data!$AF$1:$AF$2)</t>
  </si>
  <si>
    <t xml:space="preserve">DPRODUCT(Data!$O$1:$R$9,3,Data!$AH$1:$AI$2)</t>
  </si>
  <si>
    <t xml:space="preserve">DPRODUCT(Data!$O$1:$R$9,3,Data!$AK$1:$AK$2)</t>
  </si>
  <si>
    <t xml:space="preserve">DPRODUCT(Data!$O$1:$R$9,3,Data!$AM$1:$AM$2)</t>
  </si>
  <si>
    <t xml:space="preserve">DPRODUCT(Data!$O$1:$R$9,3,Data!$AO$1:$AO$2)</t>
  </si>
  <si>
    <t xml:space="preserve">DPRODUCT(Data!$O$1:$R$9,3,Data!$AQ$1:$AQ$2)</t>
  </si>
  <si>
    <t xml:space="preserve">DPRODUCT(Data!$O$1:$R$9,3,Data!$AS$1:$AS$2)</t>
  </si>
  <si>
    <t xml:space="preserve">DPRODUCT(Data!$O$1:$R$9,3,Data!$AU$1:$AU$3)</t>
  </si>
  <si>
    <t xml:space="preserve">DPRODUCT(Data!$O$1:$R$9,3,Data!$AW$1:$AW$2)</t>
  </si>
  <si>
    <t xml:space="preserve">DPRODUCT(Data!$O$1:$R$9,3,Data!$AY$1:$BA$3)</t>
  </si>
  <si>
    <t xml:space="preserve">DPRODUCT(Data!$O$1:$R$9,3,Data!$BC$1:$BC$2)</t>
  </si>
  <si>
    <t xml:space="preserve">DPRODUCT(Data!$O$1:$R$9,3,Data!$BE$1:$BE$2)</t>
  </si>
  <si>
    <t xml:space="preserve">DPRODUCT(Data!$O$1:$R$9,"Score",Data!$T$1:$T$2)</t>
  </si>
  <si>
    <t xml:space="preserve">DPRODUCT(Data!$O$1:$R$9,"Score",Data!$V$1:$W$2)</t>
  </si>
  <si>
    <t xml:space="preserve">DPRODUCT(Data!$O$1:$R$9,"Score",Data!$Y$1:$Y$3)</t>
  </si>
  <si>
    <t xml:space="preserve">DPRODUCT(Data!$O$1:$R$9,"Score",Data!$AA$1:$AB$3)</t>
  </si>
  <si>
    <t xml:space="preserve">DPRODUCT(Data!$O$1:$R$9,"Score",Data!$AD$1:$AD$2)</t>
  </si>
  <si>
    <t xml:space="preserve">DPRODUCT(Data!$O$1:$R$9,"Score",Data!$AF$1:$AF$2)</t>
  </si>
  <si>
    <t xml:space="preserve">DPRODUCT(Data!$O$1:$R$9,"Score",Data!$AH$1:$AI$2)</t>
  </si>
  <si>
    <t xml:space="preserve">DPRODUCT(Data!$O$1:$R$9,"Score",Data!$AK$1:$AK$2)</t>
  </si>
  <si>
    <t xml:space="preserve">DPRODUCT(Data!$O$1:$R$9,"Score",Data!$AM$1:$AM$2)</t>
  </si>
  <si>
    <t xml:space="preserve">DPRODUCT(Data!$O$1:$R$9,"Score",Data!$AO$1:$AO$2)</t>
  </si>
  <si>
    <t xml:space="preserve">DPRODUCT(Data!$O$1:$R$9,"Score",Data!$AQ$1:$AQ$2)</t>
  </si>
  <si>
    <t xml:space="preserve">DPRODUCT(Data!$O$1:$R$9,"Score",Data!$AS$1:$AS$2)</t>
  </si>
  <si>
    <t xml:space="preserve">DPRODUCT(Data!$O$1:$R$9,"Score",Data!$AU$1:$AU$3)</t>
  </si>
  <si>
    <t xml:space="preserve">DPRODUCT(Data!$O$1:$R$9,"Score",Data!$AW$1:$AW$2)</t>
  </si>
  <si>
    <t xml:space="preserve">DPRODUCT(Data!$O$1:$R$9,"Score",Data!$AY$1:$BA$3)</t>
  </si>
  <si>
    <t xml:space="preserve">DPRODUCT(Data!$O$1:$R$9,"Score",Data!$BC$1:$BC$2)</t>
  </si>
  <si>
    <t xml:space="preserve">DPRODUCT(Data!$O$1:$R$9,"Score",Data!$BE$1:$BE$2)</t>
  </si>
  <si>
    <t xml:space="preserve">DPRODUCT(Data!$O$1:$R$9,"age",Data!$T$1:$T$2)</t>
  </si>
  <si>
    <t xml:space="preserve">DPRODUCT(Data!$O$1:$R$9,"age",Data!$AD$1:$AD$2)</t>
  </si>
  <si>
    <t xml:space="preserve">DPRODUCT(Data!$O$1:$R$9,0,Data!$T$1:$T$2)</t>
  </si>
  <si>
    <t xml:space="preserve">DPRODUCT(Data!$O$1:$R$9,0,Data!$AD$1:$AD$2)</t>
  </si>
  <si>
    <t xml:space="preserve">DPRODUCT(Data!$O$1:$R$9,5,Data!$T$1:$T$2)</t>
  </si>
  <si>
    <t xml:space="preserve">DPRODUCT(Data!$O$1:$R$9,5,Data!$AD$1:$AD$2)</t>
  </si>
  <si>
    <t xml:space="preserve">DPRODUCT(Data!$O$1:$R$9,"Nope",Data!$T$1:$T$2)</t>
  </si>
  <si>
    <t xml:space="preserve">DPRODUCT(Data!$O$1:$R$9,"Nope",Data!$AD$1:$AD$2)</t>
  </si>
  <si>
    <t xml:space="preserve">DPRODUCT(Data!$O$1:$R$9,-1,Data!$T$1:$T$2)</t>
  </si>
  <si>
    <t xml:space="preserve">DPRODUCT(Data!$O$1:$R$9,-1,Data!$AD$1:$AD$2)</t>
  </si>
  <si>
    <t xml:space="preserve">DPRODUCT(Data!$O$1:$R$9,2.9,Data!$T$1:$T$2)</t>
  </si>
  <si>
    <t xml:space="preserve">DPRODUCT(Data!$O$1:$R$9,2.9,Data!$AD$1:$AD$2)</t>
  </si>
  <si>
    <t xml:space="preserve">DPRODUCT(Data!$O$1:$R$9,"2",Data!$T$1:$T$2)</t>
  </si>
  <si>
    <t xml:space="preserve">DPRODUCT(Data!$O$1:$R$9,"2",Data!$AD$1:$AD$2)</t>
  </si>
  <si>
    <t xml:space="preserve">DPRODUCT(Data!$O$1:$R$9,TRUE,Data!$T$1:$T$2)</t>
  </si>
  <si>
    <t xml:space="preserve">DPRODUCT(Data!$O$1:$R$9,TRUE,Data!$AD$1:$AD$2)</t>
  </si>
  <si>
    <t xml:space="preserve">DPRODUCT(Data!$O$1:$R$9,Data!$P$1,Data!$T$1:$T$2)</t>
  </si>
  <si>
    <t xml:space="preserve">DPRODUCT(Data!$O$1:$R$9,Data!$P$1,Data!$AD$1:$AD$2)</t>
  </si>
  <si>
    <t xml:space="preserve">DPRODUCT(Data!$O$1:$R$9,"Name",Data!$T$1:$T$2)</t>
  </si>
  <si>
    <t xml:space="preserve">DPRODUCT(Data!$O$1:$R$9,"Name",Data!$AD$1:$AD$2)</t>
  </si>
  <si>
    <t xml:space="preserve">DPRODUCT(Data!$O$1:$R$9,Data!$O$2,Data!$T$1:$T$2)</t>
  </si>
  <si>
    <t xml:space="preserve">DPRODUCT(Data!$O$1:$R$9,Data!$O$2,Data!$AD$1:$AD$2)</t>
  </si>
  <si>
    <t xml:space="preserve">DPRODUCT(Data!$O$1:$R$9,"",Data!$T$1:$T$2)</t>
  </si>
  <si>
    <t xml:space="preserve">DPRODUCT(Data!$O$1:$R$9,"",Data!$AD$1:$AD$2)</t>
  </si>
  <si>
    <t xml:space="preserve">DPRODUCT(Data!$O$1:$R$9,NA(),Data!$T$1:$T$2)</t>
  </si>
  <si>
    <t xml:space="preserve">DPRODUCT(Data!$O$1:$R$9,NA(),Data!$AD$1:$AD$2)</t>
  </si>
  <si>
    <t xml:space="preserve">DPRODUCT(Data!$O$1:$R$9,3,Data!$T$2:$T$3)</t>
  </si>
  <si>
    <t xml:space="preserve">DPRODUCT(Data!$O$1:$R$9,3,Data!$T$1)</t>
  </si>
  <si>
    <t xml:space="preserve">DPRODUCT(Data!$O$2:$R$9,3,Data!$T$1:$T$2)</t>
  </si>
  <si>
    <t xml:space="preserve">DPRODUCT(Data!$O$1:$R$9,3,5)</t>
  </si>
  <si>
    <t xml:space="preserve">DPRODUCT(5,3,Data!$T$1:$T$2)</t>
  </si>
  <si>
    <t xml:space="preserve">DPRODUCT(Data!$O$1:$R$9,3,Data!$T$1:$T$2,1)</t>
  </si>
  <si>
    <t xml:space="preserve">DPRODUCT(Data!$O$1:$R$9,3)</t>
  </si>
  <si>
    <t xml:space="preserve">DPRODUCT(Data!$O$1:$O$9,1,Data!$T$1:$T$2)</t>
  </si>
  <si>
    <t xml:space="preserve">DPRODUCT(Data!$O$1:$R$9,3,Data!$AU$1:$AU$2)</t>
  </si>
  <si>
    <t xml:space="preserve">DPRODUCT(Data!$O$1:$R$9,3,Data!$T$1:$U$1)</t>
  </si>
  <si>
    <t xml:space="preserve">DSTDEV(Data!$O$1:$R$9,"Age",Data!$T$1:$T$2)</t>
  </si>
  <si>
    <t xml:space="preserve">DSTDEV(Data!$O$1:$R$9,"Age",Data!$V$1:$W$2)</t>
  </si>
  <si>
    <t xml:space="preserve">DSTDEV(Data!$O$1:$R$9,"Age",Data!$Y$1:$Y$3)</t>
  </si>
  <si>
    <t xml:space="preserve">DSTDEV(Data!$O$1:$R$9,"Age",Data!$AA$1:$AB$3)</t>
  </si>
  <si>
    <t xml:space="preserve">DSTDEV(Data!$O$1:$R$9,"Age",Data!$AD$1:$AD$2)</t>
  </si>
  <si>
    <t xml:space="preserve">DSTDEV(Data!$O$1:$R$9,"Age",Data!$AF$1:$AF$2)</t>
  </si>
  <si>
    <t xml:space="preserve">DSTDEV(Data!$O$1:$R$9,"Age",Data!$AH$1:$AI$2)</t>
  </si>
  <si>
    <t xml:space="preserve">DSTDEV(Data!$O$1:$R$9,"Age",Data!$AK$1:$AK$2)</t>
  </si>
  <si>
    <t xml:space="preserve">DSTDEV(Data!$O$1:$R$9,"Age",Data!$AM$1:$AM$2)</t>
  </si>
  <si>
    <t xml:space="preserve">DSTDEV(Data!$O$1:$R$9,"Age",Data!$AO$1:$AO$2)</t>
  </si>
  <si>
    <t xml:space="preserve">DSTDEV(Data!$O$1:$R$9,"Age",Data!$AQ$1:$AQ$2)</t>
  </si>
  <si>
    <t xml:space="preserve">DSTDEV(Data!$O$1:$R$9,"Age",Data!$AS$1:$AS$2)</t>
  </si>
  <si>
    <t xml:space="preserve">DSTDEV(Data!$O$1:$R$9,"Age",Data!$AU$1:$AU$3)</t>
  </si>
  <si>
    <t xml:space="preserve">DSTDEV(Data!$O$1:$R$9,"Age",Data!$AW$1:$AW$2)</t>
  </si>
  <si>
    <t xml:space="preserve">DSTDEV(Data!$O$1:$R$9,"Age",Data!$AY$1:$BA$3)</t>
  </si>
  <si>
    <t xml:space="preserve">DSTDEV(Data!$O$1:$R$9,"Age",Data!$BC$1:$BC$2)</t>
  </si>
  <si>
    <t xml:space="preserve">DSTDEV(Data!$O$1:$R$9,"Age",Data!$BE$1:$BE$2)</t>
  </si>
  <si>
    <t xml:space="preserve">DSTDEV(Data!$O$1:$R$9,3,Data!$T$1:$T$2)</t>
  </si>
  <si>
    <t xml:space="preserve">DSTDEV(Data!$O$1:$R$9,3,Data!$V$1:$W$2)</t>
  </si>
  <si>
    <t xml:space="preserve">DSTDEV(Data!$O$1:$R$9,3,Data!$Y$1:$Y$3)</t>
  </si>
  <si>
    <t xml:space="preserve">DSTDEV(Data!$O$1:$R$9,3,Data!$AA$1:$AB$3)</t>
  </si>
  <si>
    <t xml:space="preserve">DSTDEV(Data!$O$1:$R$9,3,Data!$AD$1:$AD$2)</t>
  </si>
  <si>
    <t xml:space="preserve">DSTDEV(Data!$O$1:$R$9,3,Data!$AF$1:$AF$2)</t>
  </si>
  <si>
    <t xml:space="preserve">DSTDEV(Data!$O$1:$R$9,3,Data!$AH$1:$AI$2)</t>
  </si>
  <si>
    <t xml:space="preserve">DSTDEV(Data!$O$1:$R$9,3,Data!$AK$1:$AK$2)</t>
  </si>
  <si>
    <t xml:space="preserve">DSTDEV(Data!$O$1:$R$9,3,Data!$AM$1:$AM$2)</t>
  </si>
  <si>
    <t xml:space="preserve">DSTDEV(Data!$O$1:$R$9,3,Data!$AO$1:$AO$2)</t>
  </si>
  <si>
    <t xml:space="preserve">DSTDEV(Data!$O$1:$R$9,3,Data!$AQ$1:$AQ$2)</t>
  </si>
  <si>
    <t xml:space="preserve">DSTDEV(Data!$O$1:$R$9,3,Data!$AS$1:$AS$2)</t>
  </si>
  <si>
    <t xml:space="preserve">DSTDEV(Data!$O$1:$R$9,3,Data!$AU$1:$AU$3)</t>
  </si>
  <si>
    <t xml:space="preserve">DSTDEV(Data!$O$1:$R$9,3,Data!$AW$1:$AW$2)</t>
  </si>
  <si>
    <t xml:space="preserve">DSTDEV(Data!$O$1:$R$9,3,Data!$AY$1:$BA$3)</t>
  </si>
  <si>
    <t xml:space="preserve">DSTDEV(Data!$O$1:$R$9,3,Data!$BC$1:$BC$2)</t>
  </si>
  <si>
    <t xml:space="preserve">DSTDEV(Data!$O$1:$R$9,3,Data!$BE$1:$BE$2)</t>
  </si>
  <si>
    <t xml:space="preserve">DSTDEV(Data!$O$1:$R$9,"Score",Data!$T$1:$T$2)</t>
  </si>
  <si>
    <t xml:space="preserve">DSTDEV(Data!$O$1:$R$9,"Score",Data!$V$1:$W$2)</t>
  </si>
  <si>
    <t xml:space="preserve">DSTDEV(Data!$O$1:$R$9,"Score",Data!$Y$1:$Y$3)</t>
  </si>
  <si>
    <t xml:space="preserve">DSTDEV(Data!$O$1:$R$9,"Score",Data!$AA$1:$AB$3)</t>
  </si>
  <si>
    <t xml:space="preserve">DSTDEV(Data!$O$1:$R$9,"Score",Data!$AD$1:$AD$2)</t>
  </si>
  <si>
    <t xml:space="preserve">DSTDEV(Data!$O$1:$R$9,"Score",Data!$AF$1:$AF$2)</t>
  </si>
  <si>
    <t xml:space="preserve">DSTDEV(Data!$O$1:$R$9,"Score",Data!$AH$1:$AI$2)</t>
  </si>
  <si>
    <t xml:space="preserve">DSTDEV(Data!$O$1:$R$9,"Score",Data!$AK$1:$AK$2)</t>
  </si>
  <si>
    <t xml:space="preserve">DSTDEV(Data!$O$1:$R$9,"Score",Data!$AM$1:$AM$2)</t>
  </si>
  <si>
    <t xml:space="preserve">DSTDEV(Data!$O$1:$R$9,"Score",Data!$AO$1:$AO$2)</t>
  </si>
  <si>
    <t xml:space="preserve">DSTDEV(Data!$O$1:$R$9,"Score",Data!$AQ$1:$AQ$2)</t>
  </si>
  <si>
    <t xml:space="preserve">DSTDEV(Data!$O$1:$R$9,"Score",Data!$AS$1:$AS$2)</t>
  </si>
  <si>
    <t xml:space="preserve">DSTDEV(Data!$O$1:$R$9,"Score",Data!$AU$1:$AU$3)</t>
  </si>
  <si>
    <t xml:space="preserve">DSTDEV(Data!$O$1:$R$9,"Score",Data!$AW$1:$AW$2)</t>
  </si>
  <si>
    <t xml:space="preserve">DSTDEV(Data!$O$1:$R$9,"Score",Data!$AY$1:$BA$3)</t>
  </si>
  <si>
    <t xml:space="preserve">DSTDEV(Data!$O$1:$R$9,"Score",Data!$BC$1:$BC$2)</t>
  </si>
  <si>
    <t xml:space="preserve">DSTDEV(Data!$O$1:$R$9,"Score",Data!$BE$1:$BE$2)</t>
  </si>
  <si>
    <t xml:space="preserve">DSTDEV(Data!$O$1:$R$9,"age",Data!$T$1:$T$2)</t>
  </si>
  <si>
    <t xml:space="preserve">DSTDEV(Data!$O$1:$R$9,"age",Data!$AD$1:$AD$2)</t>
  </si>
  <si>
    <t xml:space="preserve">DSTDEV(Data!$O$1:$R$9,0,Data!$T$1:$T$2)</t>
  </si>
  <si>
    <t xml:space="preserve">DSTDEV(Data!$O$1:$R$9,0,Data!$AD$1:$AD$2)</t>
  </si>
  <si>
    <t xml:space="preserve">DSTDEV(Data!$O$1:$R$9,5,Data!$T$1:$T$2)</t>
  </si>
  <si>
    <t xml:space="preserve">DSTDEV(Data!$O$1:$R$9,5,Data!$AD$1:$AD$2)</t>
  </si>
  <si>
    <t xml:space="preserve">DSTDEV(Data!$O$1:$R$9,"Nope",Data!$T$1:$T$2)</t>
  </si>
  <si>
    <t xml:space="preserve">DSTDEV(Data!$O$1:$R$9,"Nope",Data!$AD$1:$AD$2)</t>
  </si>
  <si>
    <t xml:space="preserve">DSTDEV(Data!$O$1:$R$9,-1,Data!$T$1:$T$2)</t>
  </si>
  <si>
    <t xml:space="preserve">DSTDEV(Data!$O$1:$R$9,-1,Data!$AD$1:$AD$2)</t>
  </si>
  <si>
    <t xml:space="preserve">DSTDEV(Data!$O$1:$R$9,2.9,Data!$T$1:$T$2)</t>
  </si>
  <si>
    <t xml:space="preserve">DSTDEV(Data!$O$1:$R$9,2.9,Data!$AD$1:$AD$2)</t>
  </si>
  <si>
    <t xml:space="preserve">DSTDEV(Data!$O$1:$R$9,"2",Data!$T$1:$T$2)</t>
  </si>
  <si>
    <t xml:space="preserve">DSTDEV(Data!$O$1:$R$9,"2",Data!$AD$1:$AD$2)</t>
  </si>
  <si>
    <t xml:space="preserve">DSTDEV(Data!$O$1:$R$9,TRUE,Data!$T$1:$T$2)</t>
  </si>
  <si>
    <t xml:space="preserve">DSTDEV(Data!$O$1:$R$9,TRUE,Data!$AD$1:$AD$2)</t>
  </si>
  <si>
    <t xml:space="preserve">DSTDEV(Data!$O$1:$R$9,Data!$P$1,Data!$T$1:$T$2)</t>
  </si>
  <si>
    <t xml:space="preserve">DSTDEV(Data!$O$1:$R$9,Data!$P$1,Data!$AD$1:$AD$2)</t>
  </si>
  <si>
    <t xml:space="preserve">DSTDEV(Data!$O$1:$R$9,"Name",Data!$T$1:$T$2)</t>
  </si>
  <si>
    <t xml:space="preserve">DSTDEV(Data!$O$1:$R$9,"Name",Data!$AD$1:$AD$2)</t>
  </si>
  <si>
    <t xml:space="preserve">DSTDEV(Data!$O$1:$R$9,Data!$O$2,Data!$T$1:$T$2)</t>
  </si>
  <si>
    <t xml:space="preserve">DSTDEV(Data!$O$1:$R$9,Data!$O$2,Data!$AD$1:$AD$2)</t>
  </si>
  <si>
    <t xml:space="preserve">DSTDEV(Data!$O$1:$R$9,"",Data!$T$1:$T$2)</t>
  </si>
  <si>
    <t xml:space="preserve">DSTDEV(Data!$O$1:$R$9,"",Data!$AD$1:$AD$2)</t>
  </si>
  <si>
    <t xml:space="preserve">DSTDEV(Data!$O$1:$R$9,NA(),Data!$T$1:$T$2)</t>
  </si>
  <si>
    <t xml:space="preserve">DSTDEV(Data!$O$1:$R$9,NA(),Data!$AD$1:$AD$2)</t>
  </si>
  <si>
    <t xml:space="preserve">DSTDEV(Data!$O$1:$R$9,3,Data!$T$2:$T$3)</t>
  </si>
  <si>
    <t xml:space="preserve">DSTDEV(Data!$O$1:$R$9,3,Data!$T$1)</t>
  </si>
  <si>
    <t xml:space="preserve">DSTDEV(Data!$O$2:$R$9,3,Data!$T$1:$T$2)</t>
  </si>
  <si>
    <t xml:space="preserve">DSTDEV(Data!$O$1:$R$9,3,5)</t>
  </si>
  <si>
    <t xml:space="preserve">DSTDEV(5,3,Data!$T$1:$T$2)</t>
  </si>
  <si>
    <t xml:space="preserve">DSTDEV(Data!$O$1:$R$9,3,Data!$T$1:$T$2,1)</t>
  </si>
  <si>
    <t xml:space="preserve">DSTDEV(Data!$O$1:$R$9,3)</t>
  </si>
  <si>
    <t xml:space="preserve">DSTDEV(Data!$O$1:$O$9,1,Data!$T$1:$T$2)</t>
  </si>
  <si>
    <t xml:space="preserve">DSTDEV(Data!$O$1:$R$9,3,Data!$AU$1:$AU$2)</t>
  </si>
  <si>
    <t xml:space="preserve">DSTDEV(Data!$O$1:$R$9,3,Data!$T$1:$U$1)</t>
  </si>
  <si>
    <t xml:space="preserve">DSTDEVP(Data!$O$1:$R$9,"Age",Data!$T$1:$T$2)</t>
  </si>
  <si>
    <t xml:space="preserve">DSTDEVP(Data!$O$1:$R$9,"Age",Data!$V$1:$W$2)</t>
  </si>
  <si>
    <t xml:space="preserve">DSTDEVP(Data!$O$1:$R$9,"Age",Data!$Y$1:$Y$3)</t>
  </si>
  <si>
    <t xml:space="preserve">DSTDEVP(Data!$O$1:$R$9,"Age",Data!$AA$1:$AB$3)</t>
  </si>
  <si>
    <t xml:space="preserve">DSTDEVP(Data!$O$1:$R$9,"Age",Data!$AD$1:$AD$2)</t>
  </si>
  <si>
    <t xml:space="preserve">DSTDEVP(Data!$O$1:$R$9,"Age",Data!$AF$1:$AF$2)</t>
  </si>
  <si>
    <t xml:space="preserve">DSTDEVP(Data!$O$1:$R$9,"Age",Data!$AH$1:$AI$2)</t>
  </si>
  <si>
    <t xml:space="preserve">DSTDEVP(Data!$O$1:$R$9,"Age",Data!$AK$1:$AK$2)</t>
  </si>
  <si>
    <t xml:space="preserve">DSTDEVP(Data!$O$1:$R$9,"Age",Data!$AM$1:$AM$2)</t>
  </si>
  <si>
    <t xml:space="preserve">DSTDEVP(Data!$O$1:$R$9,"Age",Data!$AO$1:$AO$2)</t>
  </si>
  <si>
    <t xml:space="preserve">DSTDEVP(Data!$O$1:$R$9,"Age",Data!$AQ$1:$AQ$2)</t>
  </si>
  <si>
    <t xml:space="preserve">DSTDEVP(Data!$O$1:$R$9,"Age",Data!$AS$1:$AS$2)</t>
  </si>
  <si>
    <t xml:space="preserve">DSTDEVP(Data!$O$1:$R$9,"Age",Data!$AU$1:$AU$3)</t>
  </si>
  <si>
    <t xml:space="preserve">DSTDEVP(Data!$O$1:$R$9,"Age",Data!$AW$1:$AW$2)</t>
  </si>
  <si>
    <t xml:space="preserve">DSTDEVP(Data!$O$1:$R$9,"Age",Data!$AY$1:$BA$3)</t>
  </si>
  <si>
    <t xml:space="preserve">DSTDEVP(Data!$O$1:$R$9,"Age",Data!$BC$1:$BC$2)</t>
  </si>
  <si>
    <t xml:space="preserve">DSTDEVP(Data!$O$1:$R$9,"Age",Data!$BE$1:$BE$2)</t>
  </si>
  <si>
    <t xml:space="preserve">DSTDEVP(Data!$O$1:$R$9,3,Data!$T$1:$T$2)</t>
  </si>
  <si>
    <t xml:space="preserve">DSTDEVP(Data!$O$1:$R$9,3,Data!$V$1:$W$2)</t>
  </si>
  <si>
    <t xml:space="preserve">DSTDEVP(Data!$O$1:$R$9,3,Data!$Y$1:$Y$3)</t>
  </si>
  <si>
    <t xml:space="preserve">DSTDEVP(Data!$O$1:$R$9,3,Data!$AA$1:$AB$3)</t>
  </si>
  <si>
    <t xml:space="preserve">DSTDEVP(Data!$O$1:$R$9,3,Data!$AD$1:$AD$2)</t>
  </si>
  <si>
    <t xml:space="preserve">DSTDEVP(Data!$O$1:$R$9,3,Data!$AF$1:$AF$2)</t>
  </si>
  <si>
    <t xml:space="preserve">DSTDEVP(Data!$O$1:$R$9,3,Data!$AH$1:$AI$2)</t>
  </si>
  <si>
    <t xml:space="preserve">DSTDEVP(Data!$O$1:$R$9,3,Data!$AK$1:$AK$2)</t>
  </si>
  <si>
    <t xml:space="preserve">DSTDEVP(Data!$O$1:$R$9,3,Data!$AM$1:$AM$2)</t>
  </si>
  <si>
    <t xml:space="preserve">DSTDEVP(Data!$O$1:$R$9,3,Data!$AO$1:$AO$2)</t>
  </si>
  <si>
    <t xml:space="preserve">DSTDEVP(Data!$O$1:$R$9,3,Data!$AQ$1:$AQ$2)</t>
  </si>
  <si>
    <t xml:space="preserve">DSTDEVP(Data!$O$1:$R$9,3,Data!$AS$1:$AS$2)</t>
  </si>
  <si>
    <t xml:space="preserve">DSTDEVP(Data!$O$1:$R$9,3,Data!$AU$1:$AU$3)</t>
  </si>
  <si>
    <t xml:space="preserve">DSTDEVP(Data!$O$1:$R$9,3,Data!$AW$1:$AW$2)</t>
  </si>
  <si>
    <t xml:space="preserve">DSTDEVP(Data!$O$1:$R$9,3,Data!$AY$1:$BA$3)</t>
  </si>
  <si>
    <t xml:space="preserve">DSTDEVP(Data!$O$1:$R$9,3,Data!$BC$1:$BC$2)</t>
  </si>
  <si>
    <t xml:space="preserve">DSTDEVP(Data!$O$1:$R$9,3,Data!$BE$1:$BE$2)</t>
  </si>
  <si>
    <t xml:space="preserve">DSTDEVP(Data!$O$1:$R$9,"Score",Data!$T$1:$T$2)</t>
  </si>
  <si>
    <t xml:space="preserve">DSTDEVP(Data!$O$1:$R$9,"Score",Data!$V$1:$W$2)</t>
  </si>
  <si>
    <t xml:space="preserve">DSTDEVP(Data!$O$1:$R$9,"Score",Data!$Y$1:$Y$3)</t>
  </si>
  <si>
    <t xml:space="preserve">DSTDEVP(Data!$O$1:$R$9,"Score",Data!$AA$1:$AB$3)</t>
  </si>
  <si>
    <t xml:space="preserve">DSTDEVP(Data!$O$1:$R$9,"Score",Data!$AD$1:$AD$2)</t>
  </si>
  <si>
    <t xml:space="preserve">DSTDEVP(Data!$O$1:$R$9,"Score",Data!$AF$1:$AF$2)</t>
  </si>
  <si>
    <t xml:space="preserve">DSTDEVP(Data!$O$1:$R$9,"Score",Data!$AH$1:$AI$2)</t>
  </si>
  <si>
    <t xml:space="preserve">DSTDEVP(Data!$O$1:$R$9,"Score",Data!$AK$1:$AK$2)</t>
  </si>
  <si>
    <t xml:space="preserve">DSTDEVP(Data!$O$1:$R$9,"Score",Data!$AM$1:$AM$2)</t>
  </si>
  <si>
    <t xml:space="preserve">DSTDEVP(Data!$O$1:$R$9,"Score",Data!$AO$1:$AO$2)</t>
  </si>
  <si>
    <t xml:space="preserve">DSTDEVP(Data!$O$1:$R$9,"Score",Data!$AQ$1:$AQ$2)</t>
  </si>
  <si>
    <t xml:space="preserve">DSTDEVP(Data!$O$1:$R$9,"Score",Data!$AS$1:$AS$2)</t>
  </si>
  <si>
    <t xml:space="preserve">DSTDEVP(Data!$O$1:$R$9,"Score",Data!$AU$1:$AU$3)</t>
  </si>
  <si>
    <t xml:space="preserve">DSTDEVP(Data!$O$1:$R$9,"Score",Data!$AW$1:$AW$2)</t>
  </si>
  <si>
    <t xml:space="preserve">DSTDEVP(Data!$O$1:$R$9,"Score",Data!$AY$1:$BA$3)</t>
  </si>
  <si>
    <t xml:space="preserve">DSTDEVP(Data!$O$1:$R$9,"Score",Data!$BC$1:$BC$2)</t>
  </si>
  <si>
    <t xml:space="preserve">DSTDEVP(Data!$O$1:$R$9,"Score",Data!$BE$1:$BE$2)</t>
  </si>
  <si>
    <t xml:space="preserve">DSTDEVP(Data!$O$1:$R$9,"age",Data!$T$1:$T$2)</t>
  </si>
  <si>
    <t xml:space="preserve">DSTDEVP(Data!$O$1:$R$9,"age",Data!$AD$1:$AD$2)</t>
  </si>
  <si>
    <t xml:space="preserve">DSTDEVP(Data!$O$1:$R$9,0,Data!$T$1:$T$2)</t>
  </si>
  <si>
    <t xml:space="preserve">DSTDEVP(Data!$O$1:$R$9,0,Data!$AD$1:$AD$2)</t>
  </si>
  <si>
    <t xml:space="preserve">DSTDEVP(Data!$O$1:$R$9,5,Data!$T$1:$T$2)</t>
  </si>
  <si>
    <t xml:space="preserve">DSTDEVP(Data!$O$1:$R$9,5,Data!$AD$1:$AD$2)</t>
  </si>
  <si>
    <t xml:space="preserve">DSTDEVP(Data!$O$1:$R$9,"Nope",Data!$T$1:$T$2)</t>
  </si>
  <si>
    <t xml:space="preserve">DSTDEVP(Data!$O$1:$R$9,"Nope",Data!$AD$1:$AD$2)</t>
  </si>
  <si>
    <t xml:space="preserve">DSTDEVP(Data!$O$1:$R$9,-1,Data!$T$1:$T$2)</t>
  </si>
  <si>
    <t xml:space="preserve">DSTDEVP(Data!$O$1:$R$9,-1,Data!$AD$1:$AD$2)</t>
  </si>
  <si>
    <t xml:space="preserve">DSTDEVP(Data!$O$1:$R$9,2.9,Data!$T$1:$T$2)</t>
  </si>
  <si>
    <t xml:space="preserve">DSTDEVP(Data!$O$1:$R$9,2.9,Data!$AD$1:$AD$2)</t>
  </si>
  <si>
    <t xml:space="preserve">DSTDEVP(Data!$O$1:$R$9,"2",Data!$T$1:$T$2)</t>
  </si>
  <si>
    <t xml:space="preserve">DSTDEVP(Data!$O$1:$R$9,"2",Data!$AD$1:$AD$2)</t>
  </si>
  <si>
    <t xml:space="preserve">DSTDEVP(Data!$O$1:$R$9,TRUE,Data!$T$1:$T$2)</t>
  </si>
  <si>
    <t xml:space="preserve">DSTDEVP(Data!$O$1:$R$9,TRUE,Data!$AD$1:$AD$2)</t>
  </si>
  <si>
    <t xml:space="preserve">DSTDEVP(Data!$O$1:$R$9,Data!$P$1,Data!$T$1:$T$2)</t>
  </si>
  <si>
    <t xml:space="preserve">DSTDEVP(Data!$O$1:$R$9,Data!$P$1,Data!$AD$1:$AD$2)</t>
  </si>
  <si>
    <t xml:space="preserve">DSTDEVP(Data!$O$1:$R$9,"Name",Data!$T$1:$T$2)</t>
  </si>
  <si>
    <t xml:space="preserve">DSTDEVP(Data!$O$1:$R$9,"Name",Data!$AD$1:$AD$2)</t>
  </si>
  <si>
    <t xml:space="preserve">DSTDEVP(Data!$O$1:$R$9,Data!$O$2,Data!$T$1:$T$2)</t>
  </si>
  <si>
    <t xml:space="preserve">DSTDEVP(Data!$O$1:$R$9,Data!$O$2,Data!$AD$1:$AD$2)</t>
  </si>
  <si>
    <t xml:space="preserve">DSTDEVP(Data!$O$1:$R$9,"",Data!$T$1:$T$2)</t>
  </si>
  <si>
    <t xml:space="preserve">DSTDEVP(Data!$O$1:$R$9,"",Data!$AD$1:$AD$2)</t>
  </si>
  <si>
    <t xml:space="preserve">DSTDEVP(Data!$O$1:$R$9,NA(),Data!$T$1:$T$2)</t>
  </si>
  <si>
    <t xml:space="preserve">DSTDEVP(Data!$O$1:$R$9,NA(),Data!$AD$1:$AD$2)</t>
  </si>
  <si>
    <t xml:space="preserve">DSTDEVP(Data!$O$1:$R$9,3,Data!$T$2:$T$3)</t>
  </si>
  <si>
    <t xml:space="preserve">DSTDEVP(Data!$O$1:$R$9,3,Data!$T$1)</t>
  </si>
  <si>
    <t xml:space="preserve">DSTDEVP(Data!$O$2:$R$9,3,Data!$T$1:$T$2)</t>
  </si>
  <si>
    <t xml:space="preserve">DSTDEVP(Data!$O$1:$R$9,3,5)</t>
  </si>
  <si>
    <t xml:space="preserve">DSTDEVP(5,3,Data!$T$1:$T$2)</t>
  </si>
  <si>
    <t xml:space="preserve">DSTDEVP(Data!$O$1:$R$9,3,Data!$T$1:$T$2,1)</t>
  </si>
  <si>
    <t xml:space="preserve">DSTDEVP(Data!$O$1:$R$9,3)</t>
  </si>
  <si>
    <t xml:space="preserve">DSTDEVP(Data!$O$1:$O$9,1,Data!$T$1:$T$2)</t>
  </si>
  <si>
    <t xml:space="preserve">DSTDEVP(Data!$O$1:$R$9,3,Data!$AU$1:$AU$2)</t>
  </si>
  <si>
    <t xml:space="preserve">DSTDEVP(Data!$O$1:$R$9,3,Data!$T$1:$U$1)</t>
  </si>
  <si>
    <t xml:space="preserve">DVAR(Data!$O$1:$R$9,"Age",Data!$T$1:$T$2)</t>
  </si>
  <si>
    <t xml:space="preserve">DVAR(Data!$O$1:$R$9,"Age",Data!$V$1:$W$2)</t>
  </si>
  <si>
    <t xml:space="preserve">DVAR(Data!$O$1:$R$9,"Age",Data!$Y$1:$Y$3)</t>
  </si>
  <si>
    <t xml:space="preserve">DVAR(Data!$O$1:$R$9,"Age",Data!$AA$1:$AB$3)</t>
  </si>
  <si>
    <t xml:space="preserve">DVAR(Data!$O$1:$R$9,"Age",Data!$AD$1:$AD$2)</t>
  </si>
  <si>
    <t xml:space="preserve">DVAR(Data!$O$1:$R$9,"Age",Data!$AF$1:$AF$2)</t>
  </si>
  <si>
    <t xml:space="preserve">DVAR(Data!$O$1:$R$9,"Age",Data!$AH$1:$AI$2)</t>
  </si>
  <si>
    <t xml:space="preserve">DVAR(Data!$O$1:$R$9,"Age",Data!$AK$1:$AK$2)</t>
  </si>
  <si>
    <t xml:space="preserve">DVAR(Data!$O$1:$R$9,"Age",Data!$AM$1:$AM$2)</t>
  </si>
  <si>
    <t xml:space="preserve">DVAR(Data!$O$1:$R$9,"Age",Data!$AO$1:$AO$2)</t>
  </si>
  <si>
    <t xml:space="preserve">DVAR(Data!$O$1:$R$9,"Age",Data!$AQ$1:$AQ$2)</t>
  </si>
  <si>
    <t xml:space="preserve">DVAR(Data!$O$1:$R$9,"Age",Data!$AS$1:$AS$2)</t>
  </si>
  <si>
    <t xml:space="preserve">DVAR(Data!$O$1:$R$9,"Age",Data!$AU$1:$AU$3)</t>
  </si>
  <si>
    <t xml:space="preserve">DVAR(Data!$O$1:$R$9,"Age",Data!$AW$1:$AW$2)</t>
  </si>
  <si>
    <t xml:space="preserve">DVAR(Data!$O$1:$R$9,"Age",Data!$AY$1:$BA$3)</t>
  </si>
  <si>
    <t xml:space="preserve">DVAR(Data!$O$1:$R$9,"Age",Data!$BC$1:$BC$2)</t>
  </si>
  <si>
    <t xml:space="preserve">DVAR(Data!$O$1:$R$9,"Age",Data!$BE$1:$BE$2)</t>
  </si>
  <si>
    <t xml:space="preserve">DVAR(Data!$O$1:$R$9,3,Data!$T$1:$T$2)</t>
  </si>
  <si>
    <t xml:space="preserve">DVAR(Data!$O$1:$R$9,3,Data!$V$1:$W$2)</t>
  </si>
  <si>
    <t xml:space="preserve">DVAR(Data!$O$1:$R$9,3,Data!$Y$1:$Y$3)</t>
  </si>
  <si>
    <t xml:space="preserve">DVAR(Data!$O$1:$R$9,3,Data!$AA$1:$AB$3)</t>
  </si>
  <si>
    <t xml:space="preserve">DVAR(Data!$O$1:$R$9,3,Data!$AD$1:$AD$2)</t>
  </si>
  <si>
    <t xml:space="preserve">DVAR(Data!$O$1:$R$9,3,Data!$AF$1:$AF$2)</t>
  </si>
  <si>
    <t xml:space="preserve">DVAR(Data!$O$1:$R$9,3,Data!$AH$1:$AI$2)</t>
  </si>
  <si>
    <t xml:space="preserve">DVAR(Data!$O$1:$R$9,3,Data!$AK$1:$AK$2)</t>
  </si>
  <si>
    <t xml:space="preserve">DVAR(Data!$O$1:$R$9,3,Data!$AM$1:$AM$2)</t>
  </si>
  <si>
    <t xml:space="preserve">DVAR(Data!$O$1:$R$9,3,Data!$AO$1:$AO$2)</t>
  </si>
  <si>
    <t xml:space="preserve">DVAR(Data!$O$1:$R$9,3,Data!$AQ$1:$AQ$2)</t>
  </si>
  <si>
    <t xml:space="preserve">DVAR(Data!$O$1:$R$9,3,Data!$AS$1:$AS$2)</t>
  </si>
  <si>
    <t xml:space="preserve">DVAR(Data!$O$1:$R$9,3,Data!$AU$1:$AU$3)</t>
  </si>
  <si>
    <t xml:space="preserve">DVAR(Data!$O$1:$R$9,3,Data!$AW$1:$AW$2)</t>
  </si>
  <si>
    <t xml:space="preserve">DVAR(Data!$O$1:$R$9,3,Data!$AY$1:$BA$3)</t>
  </si>
  <si>
    <t xml:space="preserve">DVAR(Data!$O$1:$R$9,3,Data!$BC$1:$BC$2)</t>
  </si>
  <si>
    <t xml:space="preserve">DVAR(Data!$O$1:$R$9,3,Data!$BE$1:$BE$2)</t>
  </si>
  <si>
    <t xml:space="preserve">DVAR(Data!$O$1:$R$9,"Score",Data!$T$1:$T$2)</t>
  </si>
  <si>
    <t xml:space="preserve">DVAR(Data!$O$1:$R$9,"Score",Data!$V$1:$W$2)</t>
  </si>
  <si>
    <t xml:space="preserve">DVAR(Data!$O$1:$R$9,"Score",Data!$Y$1:$Y$3)</t>
  </si>
  <si>
    <t xml:space="preserve">DVAR(Data!$O$1:$R$9,"Score",Data!$AA$1:$AB$3)</t>
  </si>
  <si>
    <t xml:space="preserve">DVAR(Data!$O$1:$R$9,"Score",Data!$AD$1:$AD$2)</t>
  </si>
  <si>
    <t xml:space="preserve">DVAR(Data!$O$1:$R$9,"Score",Data!$AF$1:$AF$2)</t>
  </si>
  <si>
    <t xml:space="preserve">DVAR(Data!$O$1:$R$9,"Score",Data!$AH$1:$AI$2)</t>
  </si>
  <si>
    <t xml:space="preserve">DVAR(Data!$O$1:$R$9,"Score",Data!$AK$1:$AK$2)</t>
  </si>
  <si>
    <t xml:space="preserve">DVAR(Data!$O$1:$R$9,"Score",Data!$AM$1:$AM$2)</t>
  </si>
  <si>
    <t xml:space="preserve">DVAR(Data!$O$1:$R$9,"Score",Data!$AO$1:$AO$2)</t>
  </si>
  <si>
    <t xml:space="preserve">DVAR(Data!$O$1:$R$9,"Score",Data!$AQ$1:$AQ$2)</t>
  </si>
  <si>
    <t xml:space="preserve">DVAR(Data!$O$1:$R$9,"Score",Data!$AS$1:$AS$2)</t>
  </si>
  <si>
    <t xml:space="preserve">DVAR(Data!$O$1:$R$9,"Score",Data!$AU$1:$AU$3)</t>
  </si>
  <si>
    <t xml:space="preserve">DVAR(Data!$O$1:$R$9,"Score",Data!$AW$1:$AW$2)</t>
  </si>
  <si>
    <t xml:space="preserve">DVAR(Data!$O$1:$R$9,"Score",Data!$AY$1:$BA$3)</t>
  </si>
  <si>
    <t xml:space="preserve">DVAR(Data!$O$1:$R$9,"Score",Data!$BC$1:$BC$2)</t>
  </si>
  <si>
    <t xml:space="preserve">DVAR(Data!$O$1:$R$9,"Score",Data!$BE$1:$BE$2)</t>
  </si>
  <si>
    <t xml:space="preserve">DVAR(Data!$O$1:$R$9,"age",Data!$T$1:$T$2)</t>
  </si>
  <si>
    <t xml:space="preserve">DVAR(Data!$O$1:$R$9,"age",Data!$AD$1:$AD$2)</t>
  </si>
  <si>
    <t xml:space="preserve">DVAR(Data!$O$1:$R$9,0,Data!$T$1:$T$2)</t>
  </si>
  <si>
    <t xml:space="preserve">DVAR(Data!$O$1:$R$9,0,Data!$AD$1:$AD$2)</t>
  </si>
  <si>
    <t xml:space="preserve">DVAR(Data!$O$1:$R$9,5,Data!$T$1:$T$2)</t>
  </si>
  <si>
    <t xml:space="preserve">DVAR(Data!$O$1:$R$9,5,Data!$AD$1:$AD$2)</t>
  </si>
  <si>
    <t xml:space="preserve">DVAR(Data!$O$1:$R$9,"Nope",Data!$T$1:$T$2)</t>
  </si>
  <si>
    <t xml:space="preserve">DVAR(Data!$O$1:$R$9,"Nope",Data!$AD$1:$AD$2)</t>
  </si>
  <si>
    <t xml:space="preserve">DVAR(Data!$O$1:$R$9,-1,Data!$T$1:$T$2)</t>
  </si>
  <si>
    <t xml:space="preserve">DVAR(Data!$O$1:$R$9,-1,Data!$AD$1:$AD$2)</t>
  </si>
  <si>
    <t xml:space="preserve">DVAR(Data!$O$1:$R$9,2.9,Data!$T$1:$T$2)</t>
  </si>
  <si>
    <t xml:space="preserve">DVAR(Data!$O$1:$R$9,2.9,Data!$AD$1:$AD$2)</t>
  </si>
  <si>
    <t xml:space="preserve">DVAR(Data!$O$1:$R$9,"2",Data!$T$1:$T$2)</t>
  </si>
  <si>
    <t xml:space="preserve">DVAR(Data!$O$1:$R$9,"2",Data!$AD$1:$AD$2)</t>
  </si>
  <si>
    <t xml:space="preserve">DVAR(Data!$O$1:$R$9,TRUE,Data!$T$1:$T$2)</t>
  </si>
  <si>
    <t xml:space="preserve">DVAR(Data!$O$1:$R$9,TRUE,Data!$AD$1:$AD$2)</t>
  </si>
  <si>
    <t xml:space="preserve">DVAR(Data!$O$1:$R$9,Data!$P$1,Data!$T$1:$T$2)</t>
  </si>
  <si>
    <t xml:space="preserve">DVAR(Data!$O$1:$R$9,Data!$P$1,Data!$AD$1:$AD$2)</t>
  </si>
  <si>
    <t xml:space="preserve">DVAR(Data!$O$1:$R$9,"Name",Data!$T$1:$T$2)</t>
  </si>
  <si>
    <t xml:space="preserve">DVAR(Data!$O$1:$R$9,"Name",Data!$AD$1:$AD$2)</t>
  </si>
  <si>
    <t xml:space="preserve">DVAR(Data!$O$1:$R$9,Data!$O$2,Data!$T$1:$T$2)</t>
  </si>
  <si>
    <t xml:space="preserve">DVAR(Data!$O$1:$R$9,Data!$O$2,Data!$AD$1:$AD$2)</t>
  </si>
  <si>
    <t xml:space="preserve">DVAR(Data!$O$1:$R$9,"",Data!$T$1:$T$2)</t>
  </si>
  <si>
    <t xml:space="preserve">DVAR(Data!$O$1:$R$9,"",Data!$AD$1:$AD$2)</t>
  </si>
  <si>
    <t xml:space="preserve">DVAR(Data!$O$1:$R$9,NA(),Data!$T$1:$T$2)</t>
  </si>
  <si>
    <t xml:space="preserve">DVAR(Data!$O$1:$R$9,NA(),Data!$AD$1:$AD$2)</t>
  </si>
  <si>
    <t xml:space="preserve">DVAR(Data!$O$1:$R$9,3,Data!$T$2:$T$3)</t>
  </si>
  <si>
    <t xml:space="preserve">DVAR(Data!$O$1:$R$9,3,Data!$T$1)</t>
  </si>
  <si>
    <t xml:space="preserve">DVAR(Data!$O$2:$R$9,3,Data!$T$1:$T$2)</t>
  </si>
  <si>
    <t xml:space="preserve">DVAR(Data!$O$1:$R$9,3,5)</t>
  </si>
  <si>
    <t xml:space="preserve">DVAR(5,3,Data!$T$1:$T$2)</t>
  </si>
  <si>
    <t xml:space="preserve">DVAR(Data!$O$1:$R$9,3,Data!$T$1:$T$2,1)</t>
  </si>
  <si>
    <t xml:space="preserve">DVAR(Data!$O$1:$R$9,3)</t>
  </si>
  <si>
    <t xml:space="preserve">DVAR(Data!$O$1:$O$9,1,Data!$T$1:$T$2)</t>
  </si>
  <si>
    <t xml:space="preserve">DVAR(Data!$O$1:$R$9,3,Data!$AU$1:$AU$2)</t>
  </si>
  <si>
    <t xml:space="preserve">DVAR(Data!$O$1:$R$9,3,Data!$T$1:$U$1)</t>
  </si>
  <si>
    <t xml:space="preserve">DVARP(Data!$O$1:$R$9,"Age",Data!$T$1:$T$2)</t>
  </si>
  <si>
    <t xml:space="preserve">DVARP(Data!$O$1:$R$9,"Age",Data!$V$1:$W$2)</t>
  </si>
  <si>
    <t xml:space="preserve">DVARP(Data!$O$1:$R$9,"Age",Data!$Y$1:$Y$3)</t>
  </si>
  <si>
    <t xml:space="preserve">DVARP(Data!$O$1:$R$9,"Age",Data!$AA$1:$AB$3)</t>
  </si>
  <si>
    <t xml:space="preserve">DVARP(Data!$O$1:$R$9,"Age",Data!$AD$1:$AD$2)</t>
  </si>
  <si>
    <t xml:space="preserve">DVARP(Data!$O$1:$R$9,"Age",Data!$AF$1:$AF$2)</t>
  </si>
  <si>
    <t xml:space="preserve">DVARP(Data!$O$1:$R$9,"Age",Data!$AH$1:$AI$2)</t>
  </si>
  <si>
    <t xml:space="preserve">DVARP(Data!$O$1:$R$9,"Age",Data!$AK$1:$AK$2)</t>
  </si>
  <si>
    <t xml:space="preserve">DVARP(Data!$O$1:$R$9,"Age",Data!$AM$1:$AM$2)</t>
  </si>
  <si>
    <t xml:space="preserve">DVARP(Data!$O$1:$R$9,"Age",Data!$AO$1:$AO$2)</t>
  </si>
  <si>
    <t xml:space="preserve">DVARP(Data!$O$1:$R$9,"Age",Data!$AQ$1:$AQ$2)</t>
  </si>
  <si>
    <t xml:space="preserve">DVARP(Data!$O$1:$R$9,"Age",Data!$AS$1:$AS$2)</t>
  </si>
  <si>
    <t xml:space="preserve">DVARP(Data!$O$1:$R$9,"Age",Data!$AU$1:$AU$3)</t>
  </si>
  <si>
    <t xml:space="preserve">DVARP(Data!$O$1:$R$9,"Age",Data!$AW$1:$AW$2)</t>
  </si>
  <si>
    <t xml:space="preserve">DVARP(Data!$O$1:$R$9,"Age",Data!$AY$1:$BA$3)</t>
  </si>
  <si>
    <t xml:space="preserve">DVARP(Data!$O$1:$R$9,"Age",Data!$BC$1:$BC$2)</t>
  </si>
  <si>
    <t xml:space="preserve">DVARP(Data!$O$1:$R$9,"Age",Data!$BE$1:$BE$2)</t>
  </si>
  <si>
    <t xml:space="preserve">DVARP(Data!$O$1:$R$9,3,Data!$T$1:$T$2)</t>
  </si>
  <si>
    <t xml:space="preserve">DVARP(Data!$O$1:$R$9,3,Data!$V$1:$W$2)</t>
  </si>
  <si>
    <t xml:space="preserve">DVARP(Data!$O$1:$R$9,3,Data!$Y$1:$Y$3)</t>
  </si>
  <si>
    <t xml:space="preserve">DVARP(Data!$O$1:$R$9,3,Data!$AA$1:$AB$3)</t>
  </si>
  <si>
    <t xml:space="preserve">DVARP(Data!$O$1:$R$9,3,Data!$AD$1:$AD$2)</t>
  </si>
  <si>
    <t xml:space="preserve">DVARP(Data!$O$1:$R$9,3,Data!$AF$1:$AF$2)</t>
  </si>
  <si>
    <t xml:space="preserve">DVARP(Data!$O$1:$R$9,3,Data!$AH$1:$AI$2)</t>
  </si>
  <si>
    <t xml:space="preserve">DVARP(Data!$O$1:$R$9,3,Data!$AK$1:$AK$2)</t>
  </si>
  <si>
    <t xml:space="preserve">DVARP(Data!$O$1:$R$9,3,Data!$AM$1:$AM$2)</t>
  </si>
  <si>
    <t xml:space="preserve">DVARP(Data!$O$1:$R$9,3,Data!$AO$1:$AO$2)</t>
  </si>
  <si>
    <t xml:space="preserve">DVARP(Data!$O$1:$R$9,3,Data!$AQ$1:$AQ$2)</t>
  </si>
  <si>
    <t xml:space="preserve">DVARP(Data!$O$1:$R$9,3,Data!$AS$1:$AS$2)</t>
  </si>
  <si>
    <t xml:space="preserve">DVARP(Data!$O$1:$R$9,3,Data!$AU$1:$AU$3)</t>
  </si>
  <si>
    <t xml:space="preserve">DVARP(Data!$O$1:$R$9,3,Data!$AW$1:$AW$2)</t>
  </si>
  <si>
    <t xml:space="preserve">DVARP(Data!$O$1:$R$9,3,Data!$AY$1:$BA$3)</t>
  </si>
  <si>
    <t xml:space="preserve">DVARP(Data!$O$1:$R$9,3,Data!$BC$1:$BC$2)</t>
  </si>
  <si>
    <t xml:space="preserve">DVARP(Data!$O$1:$R$9,3,Data!$BE$1:$BE$2)</t>
  </si>
  <si>
    <t xml:space="preserve">DVARP(Data!$O$1:$R$9,"Score",Data!$T$1:$T$2)</t>
  </si>
  <si>
    <t xml:space="preserve">DVARP(Data!$O$1:$R$9,"Score",Data!$V$1:$W$2)</t>
  </si>
  <si>
    <t xml:space="preserve">DVARP(Data!$O$1:$R$9,"Score",Data!$Y$1:$Y$3)</t>
  </si>
  <si>
    <t xml:space="preserve">DVARP(Data!$O$1:$R$9,"Score",Data!$AA$1:$AB$3)</t>
  </si>
  <si>
    <t xml:space="preserve">DVARP(Data!$O$1:$R$9,"Score",Data!$AD$1:$AD$2)</t>
  </si>
  <si>
    <t xml:space="preserve">DVARP(Data!$O$1:$R$9,"Score",Data!$AF$1:$AF$2)</t>
  </si>
  <si>
    <t xml:space="preserve">DVARP(Data!$O$1:$R$9,"Score",Data!$AH$1:$AI$2)</t>
  </si>
  <si>
    <t xml:space="preserve">DVARP(Data!$O$1:$R$9,"Score",Data!$AK$1:$AK$2)</t>
  </si>
  <si>
    <t xml:space="preserve">DVARP(Data!$O$1:$R$9,"Score",Data!$AM$1:$AM$2)</t>
  </si>
  <si>
    <t xml:space="preserve">DVARP(Data!$O$1:$R$9,"Score",Data!$AO$1:$AO$2)</t>
  </si>
  <si>
    <t xml:space="preserve">DVARP(Data!$O$1:$R$9,"Score",Data!$AQ$1:$AQ$2)</t>
  </si>
  <si>
    <t xml:space="preserve">DVARP(Data!$O$1:$R$9,"Score",Data!$AS$1:$AS$2)</t>
  </si>
  <si>
    <t xml:space="preserve">DVARP(Data!$O$1:$R$9,"Score",Data!$AU$1:$AU$3)</t>
  </si>
  <si>
    <t xml:space="preserve">DVARP(Data!$O$1:$R$9,"Score",Data!$AW$1:$AW$2)</t>
  </si>
  <si>
    <t xml:space="preserve">DVARP(Data!$O$1:$R$9,"Score",Data!$AY$1:$BA$3)</t>
  </si>
  <si>
    <t xml:space="preserve">DVARP(Data!$O$1:$R$9,"Score",Data!$BC$1:$BC$2)</t>
  </si>
  <si>
    <t xml:space="preserve">DVARP(Data!$O$1:$R$9,"Score",Data!$BE$1:$BE$2)</t>
  </si>
  <si>
    <t xml:space="preserve">DVARP(Data!$O$1:$R$9,"age",Data!$T$1:$T$2)</t>
  </si>
  <si>
    <t xml:space="preserve">DVARP(Data!$O$1:$R$9,"age",Data!$AD$1:$AD$2)</t>
  </si>
  <si>
    <t xml:space="preserve">DVARP(Data!$O$1:$R$9,0,Data!$T$1:$T$2)</t>
  </si>
  <si>
    <t xml:space="preserve">DVARP(Data!$O$1:$R$9,0,Data!$AD$1:$AD$2)</t>
  </si>
  <si>
    <t xml:space="preserve">DVARP(Data!$O$1:$R$9,5,Data!$T$1:$T$2)</t>
  </si>
  <si>
    <t xml:space="preserve">DVARP(Data!$O$1:$R$9,5,Data!$AD$1:$AD$2)</t>
  </si>
  <si>
    <t xml:space="preserve">DVARP(Data!$O$1:$R$9,"Nope",Data!$T$1:$T$2)</t>
  </si>
  <si>
    <t xml:space="preserve">DVARP(Data!$O$1:$R$9,"Nope",Data!$AD$1:$AD$2)</t>
  </si>
  <si>
    <t xml:space="preserve">DVARP(Data!$O$1:$R$9,-1,Data!$T$1:$T$2)</t>
  </si>
  <si>
    <t xml:space="preserve">DVARP(Data!$O$1:$R$9,-1,Data!$AD$1:$AD$2)</t>
  </si>
  <si>
    <t xml:space="preserve">DVARP(Data!$O$1:$R$9,2.9,Data!$T$1:$T$2)</t>
  </si>
  <si>
    <t xml:space="preserve">DVARP(Data!$O$1:$R$9,2.9,Data!$AD$1:$AD$2)</t>
  </si>
  <si>
    <t xml:space="preserve">DVARP(Data!$O$1:$R$9,"2",Data!$T$1:$T$2)</t>
  </si>
  <si>
    <t xml:space="preserve">DVARP(Data!$O$1:$R$9,"2",Data!$AD$1:$AD$2)</t>
  </si>
  <si>
    <t xml:space="preserve">DVARP(Data!$O$1:$R$9,TRUE,Data!$T$1:$T$2)</t>
  </si>
  <si>
    <t xml:space="preserve">DVARP(Data!$O$1:$R$9,TRUE,Data!$AD$1:$AD$2)</t>
  </si>
  <si>
    <t xml:space="preserve">DVARP(Data!$O$1:$R$9,Data!$P$1,Data!$T$1:$T$2)</t>
  </si>
  <si>
    <t xml:space="preserve">DVARP(Data!$O$1:$R$9,Data!$P$1,Data!$AD$1:$AD$2)</t>
  </si>
  <si>
    <t xml:space="preserve">DVARP(Data!$O$1:$R$9,"Name",Data!$T$1:$T$2)</t>
  </si>
  <si>
    <t xml:space="preserve">DVARP(Data!$O$1:$R$9,"Name",Data!$AD$1:$AD$2)</t>
  </si>
  <si>
    <t xml:space="preserve">DVARP(Data!$O$1:$R$9,Data!$O$2,Data!$T$1:$T$2)</t>
  </si>
  <si>
    <t xml:space="preserve">DVARP(Data!$O$1:$R$9,Data!$O$2,Data!$AD$1:$AD$2)</t>
  </si>
  <si>
    <t xml:space="preserve">DVARP(Data!$O$1:$R$9,"",Data!$T$1:$T$2)</t>
  </si>
  <si>
    <t xml:space="preserve">DVARP(Data!$O$1:$R$9,"",Data!$AD$1:$AD$2)</t>
  </si>
  <si>
    <t xml:space="preserve">DVARP(Data!$O$1:$R$9,NA(),Data!$T$1:$T$2)</t>
  </si>
  <si>
    <t xml:space="preserve">DVARP(Data!$O$1:$R$9,NA(),Data!$AD$1:$AD$2)</t>
  </si>
  <si>
    <t xml:space="preserve">DVARP(Data!$O$1:$R$9,3,Data!$T$2:$T$3)</t>
  </si>
  <si>
    <t xml:space="preserve">DVARP(Data!$O$1:$R$9,3,Data!$T$1)</t>
  </si>
  <si>
    <t xml:space="preserve">DVARP(Data!$O$2:$R$9,3,Data!$T$1:$T$2)</t>
  </si>
  <si>
    <t xml:space="preserve">DVARP(Data!$O$1:$R$9,3,5)</t>
  </si>
  <si>
    <t xml:space="preserve">DVARP(5,3,Data!$T$1:$T$2)</t>
  </si>
  <si>
    <t xml:space="preserve">DVARP(Data!$O$1:$R$9,3,Data!$T$1:$T$2,1)</t>
  </si>
  <si>
    <t xml:space="preserve">DVARP(Data!$O$1:$R$9,3)</t>
  </si>
  <si>
    <t xml:space="preserve">DVARP(Data!$O$1:$O$9,1,Data!$T$1:$T$2)</t>
  </si>
  <si>
    <t xml:space="preserve">DVARP(Data!$O$1:$R$9,3,Data!$AU$1:$AU$2)</t>
  </si>
  <si>
    <t xml:space="preserve">DVARP(Data!$O$1:$R$9,3,Data!$T$1:$U$1)</t>
  </si>
  <si>
    <t xml:space="preserve">INDEX(LINEST(Data!K1:K8,Data!A1:A8),1,1)</t>
  </si>
  <si>
    <t xml:space="preserve">INDEX(LINEST(Data!K1:K8,Data!A1:A8),1,2)</t>
  </si>
  <si>
    <t xml:space="preserve">ROWS(LINEST(Data!K1:K8,Data!A1:A8))</t>
  </si>
  <si>
    <t xml:space="preserve">COLUMNS(LINEST(Data!K1:K8,Data!A1:A8))</t>
  </si>
  <si>
    <t xml:space="preserve">INDEX(LINEST(Data!K1:K8,Data!A1:A8,TRUE,TRUE),1,1)</t>
  </si>
  <si>
    <t xml:space="preserve">INDEX(LINEST(Data!K1:K8,Data!A1:A8,TRUE,TRUE),1,2)</t>
  </si>
  <si>
    <t xml:space="preserve">INDEX(LINEST(Data!K1:K8,Data!A1:A8,TRUE,TRUE),2,1)</t>
  </si>
  <si>
    <t xml:space="preserve">INDEX(LINEST(Data!K1:K8,Data!A1:A8,TRUE,TRUE),2,2)</t>
  </si>
  <si>
    <t xml:space="preserve">INDEX(LINEST(Data!K1:K8,Data!A1:A8,TRUE,TRUE),3,1)</t>
  </si>
  <si>
    <t xml:space="preserve">INDEX(LINEST(Data!K1:K8,Data!A1:A8,TRUE,TRUE),3,2)</t>
  </si>
  <si>
    <t xml:space="preserve">INDEX(LINEST(Data!K1:K8,Data!A1:A8,TRUE,TRUE),4,1)</t>
  </si>
  <si>
    <t xml:space="preserve">INDEX(LINEST(Data!K1:K8,Data!A1:A8,TRUE,TRUE),4,2)</t>
  </si>
  <si>
    <t xml:space="preserve">INDEX(LINEST(Data!K1:K8,Data!A1:A8,TRUE,TRUE),5,1)</t>
  </si>
  <si>
    <t xml:space="preserve">INDEX(LINEST(Data!K1:K8,Data!A1:A8,TRUE,TRUE),5,2)</t>
  </si>
  <si>
    <t xml:space="preserve">ROWS(LINEST(Data!K1:K8,Data!A1:A8,TRUE,TRUE))</t>
  </si>
  <si>
    <t xml:space="preserve">COLUMNS(LINEST(Data!K1:K8,Data!A1:A8,TRUE,TRUE))</t>
  </si>
  <si>
    <t xml:space="preserve">INDEX(LINEST(Data!K1:K8,Data!A1:A8,FALSE,TRUE),1,1)</t>
  </si>
  <si>
    <t xml:space="preserve">INDEX(LINEST(Data!K1:K8,Data!A1:A8,FALSE,TRUE),1,2)</t>
  </si>
  <si>
    <t xml:space="preserve">INDEX(LINEST(Data!K1:K8,Data!A1:A8,FALSE,TRUE),2,1)</t>
  </si>
  <si>
    <t xml:space="preserve">INDEX(LINEST(Data!K1:K8,Data!A1:A8,FALSE,TRUE),2,2)</t>
  </si>
  <si>
    <t xml:space="preserve">INDEX(LINEST(Data!K1:K8,Data!A1:A8,FALSE,TRUE),3,1)</t>
  </si>
  <si>
    <t xml:space="preserve">INDEX(LINEST(Data!K1:K8,Data!A1:A8,FALSE,TRUE),3,2)</t>
  </si>
  <si>
    <t xml:space="preserve">INDEX(LINEST(Data!K1:K8,Data!A1:A8,FALSE,TRUE),4,1)</t>
  </si>
  <si>
    <t xml:space="preserve">INDEX(LINEST(Data!K1:K8,Data!A1:A8,FALSE,TRUE),4,2)</t>
  </si>
  <si>
    <t xml:space="preserve">INDEX(LINEST(Data!K1:K8,Data!A1:A8,FALSE,TRUE),5,1)</t>
  </si>
  <si>
    <t xml:space="preserve">INDEX(LINEST(Data!K1:K8,Data!A1:A8,FALSE,TRUE),5,2)</t>
  </si>
  <si>
    <t xml:space="preserve">ROWS(LINEST(Data!K1:K8,Data!A1:A8,FALSE,TRUE))</t>
  </si>
  <si>
    <t xml:space="preserve">COLUMNS(LINEST(Data!K1:K8,Data!A1:A8,FALSE,TRUE))</t>
  </si>
  <si>
    <t xml:space="preserve">INDEX(LINEST(Data!K1:K8,Data!A1:A8,FALSE),1,1)</t>
  </si>
  <si>
    <t xml:space="preserve">INDEX(LINEST(Data!K1:K8,Data!A1:A8,FALSE),1,2)</t>
  </si>
  <si>
    <t xml:space="preserve">ROWS(LINEST(Data!K1:K8,Data!A1:A8,FALSE))</t>
  </si>
  <si>
    <t xml:space="preserve">COLUMNS(LINEST(Data!K1:K8,Data!A1:A8,FALSE))</t>
  </si>
  <si>
    <t xml:space="preserve">INDEX(LINEST(Data!K1:K8),1,1)</t>
  </si>
  <si>
    <t xml:space="preserve">INDEX(LINEST(Data!K1:K8),1,2)</t>
  </si>
  <si>
    <t xml:space="preserve">ROWS(LINEST(Data!K1:K8))</t>
  </si>
  <si>
    <t xml:space="preserve">COLUMNS(LINEST(Data!K1:K8))</t>
  </si>
  <si>
    <t xml:space="preserve">INDEX(LINEST(Data!K1:K8,,TRUE,TRUE),1,1)</t>
  </si>
  <si>
    <t xml:space="preserve">INDEX(LINEST(Data!K1:K8,,TRUE,TRUE),1,2)</t>
  </si>
  <si>
    <t xml:space="preserve">INDEX(LINEST(Data!K1:K8,,TRUE,TRUE),2,1)</t>
  </si>
  <si>
    <t xml:space="preserve">INDEX(LINEST(Data!K1:K8,,TRUE,TRUE),2,2)</t>
  </si>
  <si>
    <t xml:space="preserve">INDEX(LINEST(Data!K1:K8,,TRUE,TRUE),3,1)</t>
  </si>
  <si>
    <t xml:space="preserve">INDEX(LINEST(Data!K1:K8,,TRUE,TRUE),3,2)</t>
  </si>
  <si>
    <t xml:space="preserve">INDEX(LINEST(Data!K1:K8,,TRUE,TRUE),4,1)</t>
  </si>
  <si>
    <t xml:space="preserve">INDEX(LINEST(Data!K1:K8,,TRUE,TRUE),4,2)</t>
  </si>
  <si>
    <t xml:space="preserve">INDEX(LINEST(Data!K1:K8,,TRUE,TRUE),5,1)</t>
  </si>
  <si>
    <t xml:space="preserve">INDEX(LINEST(Data!K1:K8,,TRUE,TRUE),5,2)</t>
  </si>
  <si>
    <t xml:space="preserve">ROWS(LINEST(Data!K1:K8,,TRUE,TRUE))</t>
  </si>
  <si>
    <t xml:space="preserve">COLUMNS(LINEST(Data!K1:K8,,TRUE,TRUE))</t>
  </si>
  <si>
    <t xml:space="preserve">INDEX(LINEST(Data!K1:K8,Data!A1:A8,TRUE,FALSE),1,1)</t>
  </si>
  <si>
    <t xml:space="preserve">INDEX(LINEST(Data!K1:K8,Data!A1:A8,TRUE,FALSE),1,2)</t>
  </si>
  <si>
    <t xml:space="preserve">ROWS(LINEST(Data!K1:K8,Data!A1:A8,TRUE,FALSE))</t>
  </si>
  <si>
    <t xml:space="preserve">COLUMNS(LINEST(Data!K1:K8,Data!A1:A8,TRUE,FALSE))</t>
  </si>
  <si>
    <t xml:space="preserve">INDEX(LINEST(Data!K1:K8,Data!A1:A8,0,1),1,1)</t>
  </si>
  <si>
    <t xml:space="preserve">INDEX(LINEST(Data!K1:K8,Data!A1:A8,0,1),1,2)</t>
  </si>
  <si>
    <t xml:space="preserve">INDEX(LINEST(Data!K1:K8,Data!A1:A8,0,1),2,1)</t>
  </si>
  <si>
    <t xml:space="preserve">INDEX(LINEST(Data!K1:K8,Data!A1:A8,0,1),2,2)</t>
  </si>
  <si>
    <t xml:space="preserve">INDEX(LINEST(Data!K1:K8,Data!A1:A8,0,1),3,1)</t>
  </si>
  <si>
    <t xml:space="preserve">INDEX(LINEST(Data!K1:K8,Data!A1:A8,0,1),3,2)</t>
  </si>
  <si>
    <t xml:space="preserve">INDEX(LINEST(Data!K1:K8,Data!A1:A8,0,1),4,1)</t>
  </si>
  <si>
    <t xml:space="preserve">INDEX(LINEST(Data!K1:K8,Data!A1:A8,0,1),4,2)</t>
  </si>
  <si>
    <t xml:space="preserve">INDEX(LINEST(Data!K1:K8,Data!A1:A8,0,1),5,1)</t>
  </si>
  <si>
    <t xml:space="preserve">INDEX(LINEST(Data!K1:K8,Data!A1:A8,0,1),5,2)</t>
  </si>
  <si>
    <t xml:space="preserve">ROWS(LINEST(Data!K1:K8,Data!A1:A8,0,1))</t>
  </si>
  <si>
    <t xml:space="preserve">COLUMNS(LINEST(Data!K1:K8,Data!A1:A8,0,1))</t>
  </si>
  <si>
    <t xml:space="preserve">INDEX(LINEST(Data!K1:K8,Data!BG1:BG8),1,1)</t>
  </si>
  <si>
    <t xml:space="preserve">INDEX(LINEST(Data!K1:K8,Data!BG1:BG8),1,2)</t>
  </si>
  <si>
    <t xml:space="preserve">ROWS(LINEST(Data!K1:K8,Data!BG1:BG8))</t>
  </si>
  <si>
    <t xml:space="preserve">COLUMNS(LINEST(Data!K1:K8,Data!BG1:BG8))</t>
  </si>
  <si>
    <t xml:space="preserve">INDEX(LINEST(Data!K1:K8,Data!BF1:BG8,TRUE,TRUE),1,1)</t>
  </si>
  <si>
    <t xml:space="preserve">INDEX(LINEST(Data!K1:K8,Data!BF1:BG8,TRUE,TRUE),1,2)</t>
  </si>
  <si>
    <t xml:space="preserve">INDEX(LINEST(Data!K1:K8,Data!BF1:BG8,TRUE,TRUE),1,3)</t>
  </si>
  <si>
    <t xml:space="preserve">INDEX(LINEST(Data!K1:K8,Data!BF1:BG8,TRUE,TRUE),2,1)</t>
  </si>
  <si>
    <t xml:space="preserve">INDEX(LINEST(Data!K1:K8,Data!BF1:BG8,TRUE,TRUE),2,2)</t>
  </si>
  <si>
    <t xml:space="preserve">INDEX(LINEST(Data!K1:K8,Data!BF1:BG8,TRUE,TRUE),2,3)</t>
  </si>
  <si>
    <t xml:space="preserve">INDEX(LINEST(Data!K1:K8,Data!BF1:BG8,TRUE,TRUE),3,1)</t>
  </si>
  <si>
    <t xml:space="preserve">INDEX(LINEST(Data!K1:K8,Data!BF1:BG8,TRUE,TRUE),3,2)</t>
  </si>
  <si>
    <t xml:space="preserve">INDEX(LINEST(Data!K1:K8,Data!BF1:BG8,TRUE,TRUE),3,3)</t>
  </si>
  <si>
    <t xml:space="preserve">INDEX(LINEST(Data!K1:K8,Data!BF1:BG8,TRUE,TRUE),4,1)</t>
  </si>
  <si>
    <t xml:space="preserve">INDEX(LINEST(Data!K1:K8,Data!BF1:BG8,TRUE,TRUE),4,2)</t>
  </si>
  <si>
    <t xml:space="preserve">INDEX(LINEST(Data!K1:K8,Data!BF1:BG8,TRUE,TRUE),4,3)</t>
  </si>
  <si>
    <t xml:space="preserve">INDEX(LINEST(Data!K1:K8,Data!BF1:BG8,TRUE,TRUE),5,1)</t>
  </si>
  <si>
    <t xml:space="preserve">INDEX(LINEST(Data!K1:K8,Data!BF1:BG8,TRUE,TRUE),5,2)</t>
  </si>
  <si>
    <t xml:space="preserve">INDEX(LINEST(Data!K1:K8,Data!BF1:BG8,TRUE,TRUE),5,3)</t>
  </si>
  <si>
    <t xml:space="preserve">ROWS(LINEST(Data!K1:K8,Data!BF1:BG8,TRUE,TRUE))</t>
  </si>
  <si>
    <t xml:space="preserve">COLUMNS(LINEST(Data!K1:K8,Data!BF1:BG8,TRUE,TRUE))</t>
  </si>
  <si>
    <t xml:space="preserve">INDEX(LINEST(Data!K1:K8,Data!BF1:BG8),1,1)</t>
  </si>
  <si>
    <t xml:space="preserve">INDEX(LINEST(Data!K1:K8,Data!BF1:BG8),1,2)</t>
  </si>
  <si>
    <t xml:space="preserve">INDEX(LINEST(Data!K1:K8,Data!BF1:BG8),1,3)</t>
  </si>
  <si>
    <t xml:space="preserve">ROWS(LINEST(Data!K1:K8,Data!BF1:BG8))</t>
  </si>
  <si>
    <t xml:space="preserve">COLUMNS(LINEST(Data!K1:K8,Data!BF1:BG8))</t>
  </si>
  <si>
    <t xml:space="preserve">INDEX(LINEST(Data!K1:K8,Data!BF1:BG8,FALSE,TRUE),1,1)</t>
  </si>
  <si>
    <t xml:space="preserve">INDEX(LINEST(Data!K1:K8,Data!BF1:BG8,FALSE,TRUE),1,2)</t>
  </si>
  <si>
    <t xml:space="preserve">INDEX(LINEST(Data!K1:K8,Data!BF1:BG8,FALSE,TRUE),1,3)</t>
  </si>
  <si>
    <t xml:space="preserve">INDEX(LINEST(Data!K1:K8,Data!BF1:BG8,FALSE,TRUE),2,1)</t>
  </si>
  <si>
    <t xml:space="preserve">INDEX(LINEST(Data!K1:K8,Data!BF1:BG8,FALSE,TRUE),2,2)</t>
  </si>
  <si>
    <t xml:space="preserve">INDEX(LINEST(Data!K1:K8,Data!BF1:BG8,FALSE,TRUE),2,3)</t>
  </si>
  <si>
    <t xml:space="preserve">INDEX(LINEST(Data!K1:K8,Data!BF1:BG8,FALSE,TRUE),3,1)</t>
  </si>
  <si>
    <t xml:space="preserve">INDEX(LINEST(Data!K1:K8,Data!BF1:BG8,FALSE,TRUE),3,2)</t>
  </si>
  <si>
    <t xml:space="preserve">INDEX(LINEST(Data!K1:K8,Data!BF1:BG8,FALSE,TRUE),3,3)</t>
  </si>
  <si>
    <t xml:space="preserve">INDEX(LINEST(Data!K1:K8,Data!BF1:BG8,FALSE,TRUE),4,1)</t>
  </si>
  <si>
    <t xml:space="preserve">INDEX(LINEST(Data!K1:K8,Data!BF1:BG8,FALSE,TRUE),4,2)</t>
  </si>
  <si>
    <t xml:space="preserve">INDEX(LINEST(Data!K1:K8,Data!BF1:BG8,FALSE,TRUE),4,3)</t>
  </si>
  <si>
    <t xml:space="preserve">INDEX(LINEST(Data!K1:K8,Data!BF1:BG8,FALSE,TRUE),5,1)</t>
  </si>
  <si>
    <t xml:space="preserve">INDEX(LINEST(Data!K1:K8,Data!BF1:BG8,FALSE,TRUE),5,2)</t>
  </si>
  <si>
    <t xml:space="preserve">INDEX(LINEST(Data!K1:K8,Data!BF1:BG8,FALSE,TRUE),5,3)</t>
  </si>
  <si>
    <t xml:space="preserve">ROWS(LINEST(Data!K1:K8,Data!BF1:BG8,FALSE,TRUE))</t>
  </si>
  <si>
    <t xml:space="preserve">COLUMNS(LINEST(Data!K1:K8,Data!BF1:BG8,FALSE,TRUE))</t>
  </si>
  <si>
    <t xml:space="preserve">INDEX(LINEST(Data!K1:K8,Data!BF1:BH8,TRUE,TRUE),1,1)</t>
  </si>
  <si>
    <t xml:space="preserve">INDEX(LINEST(Data!K1:K8,Data!BF1:BH8,TRUE,TRUE),1,2)</t>
  </si>
  <si>
    <t xml:space="preserve">INDEX(LINEST(Data!K1:K8,Data!BF1:BH8,TRUE,TRUE),1,3)</t>
  </si>
  <si>
    <t xml:space="preserve">INDEX(LINEST(Data!K1:K8,Data!BF1:BH8,TRUE,TRUE),1,4)</t>
  </si>
  <si>
    <t xml:space="preserve">INDEX(LINEST(Data!K1:K8,Data!BF1:BH8,TRUE,TRUE),2,1)</t>
  </si>
  <si>
    <t xml:space="preserve">INDEX(LINEST(Data!K1:K8,Data!BF1:BH8,TRUE,TRUE),2,2)</t>
  </si>
  <si>
    <t xml:space="preserve">INDEX(LINEST(Data!K1:K8,Data!BF1:BH8,TRUE,TRUE),2,3)</t>
  </si>
  <si>
    <t xml:space="preserve">INDEX(LINEST(Data!K1:K8,Data!BF1:BH8,TRUE,TRUE),2,4)</t>
  </si>
  <si>
    <t xml:space="preserve">INDEX(LINEST(Data!K1:K8,Data!BF1:BH8,TRUE,TRUE),3,1)</t>
  </si>
  <si>
    <t xml:space="preserve">INDEX(LINEST(Data!K1:K8,Data!BF1:BH8,TRUE,TRUE),3,2)</t>
  </si>
  <si>
    <t xml:space="preserve">INDEX(LINEST(Data!K1:K8,Data!BF1:BH8,TRUE,TRUE),3,3)</t>
  </si>
  <si>
    <t xml:space="preserve">INDEX(LINEST(Data!K1:K8,Data!BF1:BH8,TRUE,TRUE),3,4)</t>
  </si>
  <si>
    <t xml:space="preserve">INDEX(LINEST(Data!K1:K8,Data!BF1:BH8,TRUE,TRUE),4,1)</t>
  </si>
  <si>
    <t xml:space="preserve">INDEX(LINEST(Data!K1:K8,Data!BF1:BH8,TRUE,TRUE),4,2)</t>
  </si>
  <si>
    <t xml:space="preserve">INDEX(LINEST(Data!K1:K8,Data!BF1:BH8,TRUE,TRUE),4,3)</t>
  </si>
  <si>
    <t xml:space="preserve">INDEX(LINEST(Data!K1:K8,Data!BF1:BH8,TRUE,TRUE),4,4)</t>
  </si>
  <si>
    <t xml:space="preserve">INDEX(LINEST(Data!K1:K8,Data!BF1:BH8,TRUE,TRUE),5,1)</t>
  </si>
  <si>
    <t xml:space="preserve">INDEX(LINEST(Data!K1:K8,Data!BF1:BH8,TRUE,TRUE),5,2)</t>
  </si>
  <si>
    <t xml:space="preserve">INDEX(LINEST(Data!K1:K8,Data!BF1:BH8,TRUE,TRUE),5,3)</t>
  </si>
  <si>
    <t xml:space="preserve">INDEX(LINEST(Data!K1:K8,Data!BF1:BH8,TRUE,TRUE),5,4)</t>
  </si>
  <si>
    <t xml:space="preserve">ROWS(LINEST(Data!K1:K8,Data!BF1:BH8,TRUE,TRUE))</t>
  </si>
  <si>
    <t xml:space="preserve">COLUMNS(LINEST(Data!K1:K8,Data!BF1:BH8,TRUE,TRUE))</t>
  </si>
  <si>
    <t xml:space="preserve">INDEX(LINEST(Data!K1:K8,Data!BG1:BH8,TRUE,TRUE),1,1)</t>
  </si>
  <si>
    <t xml:space="preserve">INDEX(LINEST(Data!K1:K8,Data!BG1:BH8,TRUE,TRUE),1,2)</t>
  </si>
  <si>
    <t xml:space="preserve">INDEX(LINEST(Data!K1:K8,Data!BG1:BH8,TRUE,TRUE),1,3)</t>
  </si>
  <si>
    <t xml:space="preserve">INDEX(LINEST(Data!K1:K8,Data!BG1:BH8,TRUE,TRUE),2,1)</t>
  </si>
  <si>
    <t xml:space="preserve">INDEX(LINEST(Data!K1:K8,Data!BG1:BH8,TRUE,TRUE),2,2)</t>
  </si>
  <si>
    <t xml:space="preserve">INDEX(LINEST(Data!K1:K8,Data!BG1:BH8,TRUE,TRUE),2,3)</t>
  </si>
  <si>
    <t xml:space="preserve">INDEX(LINEST(Data!K1:K8,Data!BG1:BH8,TRUE,TRUE),3,1)</t>
  </si>
  <si>
    <t xml:space="preserve">INDEX(LINEST(Data!K1:K8,Data!BG1:BH8,TRUE,TRUE),3,2)</t>
  </si>
  <si>
    <t xml:space="preserve">INDEX(LINEST(Data!K1:K8,Data!BG1:BH8,TRUE,TRUE),3,3)</t>
  </si>
  <si>
    <t xml:space="preserve">INDEX(LINEST(Data!K1:K8,Data!BG1:BH8,TRUE,TRUE),4,1)</t>
  </si>
  <si>
    <t xml:space="preserve">INDEX(LINEST(Data!K1:K8,Data!BG1:BH8,TRUE,TRUE),4,2)</t>
  </si>
  <si>
    <t xml:space="preserve">INDEX(LINEST(Data!K1:K8,Data!BG1:BH8,TRUE,TRUE),4,3)</t>
  </si>
  <si>
    <t xml:space="preserve">INDEX(LINEST(Data!K1:K8,Data!BG1:BH8,TRUE,TRUE),5,1)</t>
  </si>
  <si>
    <t xml:space="preserve">INDEX(LINEST(Data!K1:K8,Data!BG1:BH8,TRUE,TRUE),5,2)</t>
  </si>
  <si>
    <t xml:space="preserve">INDEX(LINEST(Data!K1:K8,Data!BG1:BH8,TRUE,TRUE),5,3)</t>
  </si>
  <si>
    <t xml:space="preserve">ROWS(LINEST(Data!K1:K8,Data!BG1:BH8,TRUE,TRUE))</t>
  </si>
  <si>
    <t xml:space="preserve">COLUMNS(LINEST(Data!K1:K8,Data!BG1:BH8,TRUE,TRUE))</t>
  </si>
  <si>
    <t xml:space="preserve">INDEX(LINEST(TRANSPOSE(Data!K1:K8),TRANSPOSE(Data!A1:A8),TRUE,TRUE),1,1)</t>
  </si>
  <si>
    <t xml:space="preserve">INDEX(LINEST(TRANSPOSE(Data!K1:K8),TRANSPOSE(Data!A1:A8),TRUE,TRUE),1,2)</t>
  </si>
  <si>
    <t xml:space="preserve">INDEX(LINEST(TRANSPOSE(Data!K1:K8),TRANSPOSE(Data!A1:A8),TRUE,TRUE),2,1)</t>
  </si>
  <si>
    <t xml:space="preserve">INDEX(LINEST(TRANSPOSE(Data!K1:K8),TRANSPOSE(Data!A1:A8),TRUE,TRUE),2,2)</t>
  </si>
  <si>
    <t xml:space="preserve">INDEX(LINEST(TRANSPOSE(Data!K1:K8),TRANSPOSE(Data!A1:A8),TRUE,TRUE),3,1)</t>
  </si>
  <si>
    <t xml:space="preserve">INDEX(LINEST(TRANSPOSE(Data!K1:K8),TRANSPOSE(Data!A1:A8),TRUE,TRUE),3,2)</t>
  </si>
  <si>
    <t xml:space="preserve">INDEX(LINEST(TRANSPOSE(Data!K1:K8),TRANSPOSE(Data!A1:A8),TRUE,TRUE),4,1)</t>
  </si>
  <si>
    <t xml:space="preserve">INDEX(LINEST(TRANSPOSE(Data!K1:K8),TRANSPOSE(Data!A1:A8),TRUE,TRUE),4,2)</t>
  </si>
  <si>
    <t xml:space="preserve">INDEX(LINEST(TRANSPOSE(Data!K1:K8),TRANSPOSE(Data!A1:A8),TRUE,TRUE),5,1)</t>
  </si>
  <si>
    <t xml:space="preserve">INDEX(LINEST(TRANSPOSE(Data!K1:K8),TRANSPOSE(Data!A1:A8),TRUE,TRUE),5,2)</t>
  </si>
  <si>
    <t xml:space="preserve">ROWS(LINEST(TRANSPOSE(Data!K1:K8),TRANSPOSE(Data!A1:A8),TRUE,TRUE))</t>
  </si>
  <si>
    <t xml:space="preserve">COLUMNS(LINEST(TRANSPOSE(Data!K1:K8),TRANSPOSE(Data!A1:A8),TRUE,TRUE))</t>
  </si>
  <si>
    <t xml:space="preserve">INDEX(LINEST(TRANSPOSE(Data!K1:K8),Data!BF1:BG8),1,1)</t>
  </si>
  <si>
    <t xml:space="preserve">INDEX(LINEST(TRANSPOSE(Data!K1:K8),Data!BF1:BG8),1,2)</t>
  </si>
  <si>
    <t xml:space="preserve">INDEX(LINEST(TRANSPOSE(Data!K1:K8),Data!BF1:BG8),1,3)</t>
  </si>
  <si>
    <t xml:space="preserve">ROWS(LINEST(TRANSPOSE(Data!K1:K8),Data!BF1:BG8))</t>
  </si>
  <si>
    <t xml:space="preserve">COLUMNS(LINEST(TRANSPOSE(Data!K1:K8),Data!BF1:BG8))</t>
  </si>
  <si>
    <t xml:space="preserve">INDEX(LINEST(Data!K1:K4,Data!A1:A4,TRUE,TRUE),1,1)</t>
  </si>
  <si>
    <t xml:space="preserve">INDEX(LINEST(Data!K1:K4,Data!A1:A4,TRUE,TRUE),1,2)</t>
  </si>
  <si>
    <t xml:space="preserve">INDEX(LINEST(Data!K1:K4,Data!A1:A4,TRUE,TRUE),2,1)</t>
  </si>
  <si>
    <t xml:space="preserve">INDEX(LINEST(Data!K1:K4,Data!A1:A4,TRUE,TRUE),2,2)</t>
  </si>
  <si>
    <t xml:space="preserve">INDEX(LINEST(Data!K1:K4,Data!A1:A4,TRUE,TRUE),3,1)</t>
  </si>
  <si>
    <t xml:space="preserve">INDEX(LINEST(Data!K1:K4,Data!A1:A4,TRUE,TRUE),3,2)</t>
  </si>
  <si>
    <t xml:space="preserve">INDEX(LINEST(Data!K1:K4,Data!A1:A4,TRUE,TRUE),4,1)</t>
  </si>
  <si>
    <t xml:space="preserve">INDEX(LINEST(Data!K1:K4,Data!A1:A4,TRUE,TRUE),4,2)</t>
  </si>
  <si>
    <t xml:space="preserve">INDEX(LINEST(Data!K1:K4,Data!A1:A4,TRUE,TRUE),5,1)</t>
  </si>
  <si>
    <t xml:space="preserve">INDEX(LINEST(Data!K1:K4,Data!A1:A4,TRUE,TRUE),5,2)</t>
  </si>
  <si>
    <t xml:space="preserve">ROWS(LINEST(Data!K1:K4,Data!A1:A4,TRUE,TRUE))</t>
  </si>
  <si>
    <t xml:space="preserve">COLUMNS(LINEST(Data!K1:K4,Data!A1:A4,TRUE,TRUE))</t>
  </si>
  <si>
    <t xml:space="preserve">INDEX(LINEST(Data!K1:K2,Data!A1:A2,TRUE,TRUE),1,1)</t>
  </si>
  <si>
    <t xml:space="preserve">INDEX(LINEST(Data!K1:K2,Data!A1:A2,TRUE,TRUE),1,2)</t>
  </si>
  <si>
    <t xml:space="preserve">INDEX(LINEST(Data!K1:K2,Data!A1:A2,TRUE,TRUE),2,1)</t>
  </si>
  <si>
    <t xml:space="preserve">INDEX(LINEST(Data!K1:K2,Data!A1:A2,TRUE,TRUE),2,2)</t>
  </si>
  <si>
    <t xml:space="preserve">INDEX(LINEST(Data!K1:K2,Data!A1:A2,TRUE,TRUE),3,1)</t>
  </si>
  <si>
    <t xml:space="preserve">INDEX(LINEST(Data!K1:K2,Data!A1:A2,TRUE,TRUE),3,2)</t>
  </si>
  <si>
    <t xml:space="preserve">INDEX(LINEST(Data!K1:K2,Data!A1:A2,TRUE,TRUE),4,1)</t>
  </si>
  <si>
    <t xml:space="preserve">INDEX(LINEST(Data!K1:K2,Data!A1:A2,TRUE,TRUE),4,2)</t>
  </si>
  <si>
    <t xml:space="preserve">INDEX(LINEST(Data!K1:K2,Data!A1:A2,TRUE,TRUE),5,1)</t>
  </si>
  <si>
    <t xml:space="preserve">INDEX(LINEST(Data!K1:K2,Data!A1:A2,TRUE,TRUE),5,2)</t>
  </si>
  <si>
    <t xml:space="preserve">ROWS(LINEST(Data!K1:K2,Data!A1:A2,TRUE,TRUE))</t>
  </si>
  <si>
    <t xml:space="preserve">COLUMNS(LINEST(Data!K1:K2,Data!A1:A2,TRUE,TRUE))</t>
  </si>
  <si>
    <t xml:space="preserve">INDEX(LINEST(Data!K1:K3,Data!A1:A3,TRUE,TRUE),1,1)</t>
  </si>
  <si>
    <t xml:space="preserve">INDEX(LINEST(Data!K1:K3,Data!A1:A3,TRUE,TRUE),1,2)</t>
  </si>
  <si>
    <t xml:space="preserve">INDEX(LINEST(Data!K1:K3,Data!A1:A3,TRUE,TRUE),2,1)</t>
  </si>
  <si>
    <t xml:space="preserve">INDEX(LINEST(Data!K1:K3,Data!A1:A3,TRUE,TRUE),2,2)</t>
  </si>
  <si>
    <t xml:space="preserve">INDEX(LINEST(Data!K1:K3,Data!A1:A3,TRUE,TRUE),3,1)</t>
  </si>
  <si>
    <t xml:space="preserve">INDEX(LINEST(Data!K1:K3,Data!A1:A3,TRUE,TRUE),3,2)</t>
  </si>
  <si>
    <t xml:space="preserve">INDEX(LINEST(Data!K1:K3,Data!A1:A3,TRUE,TRUE),4,1)</t>
  </si>
  <si>
    <t xml:space="preserve">INDEX(LINEST(Data!K1:K3,Data!A1:A3,TRUE,TRUE),4,2)</t>
  </si>
  <si>
    <t xml:space="preserve">INDEX(LINEST(Data!K1:K3,Data!A1:A3,TRUE,TRUE),5,1)</t>
  </si>
  <si>
    <t xml:space="preserve">INDEX(LINEST(Data!K1:K3,Data!A1:A3,TRUE,TRUE),5,2)</t>
  </si>
  <si>
    <t xml:space="preserve">ROWS(LINEST(Data!K1:K3,Data!A1:A3,TRUE,TRUE))</t>
  </si>
  <si>
    <t xml:space="preserve">COLUMNS(LINEST(Data!K1:K3,Data!A1:A3,TRUE,TRUE))</t>
  </si>
  <si>
    <t xml:space="preserve">INDEX(LINEST(Data!K1:K1,Data!A1:A1,TRUE,TRUE),1,1)</t>
  </si>
  <si>
    <t xml:space="preserve">INDEX(LINEST(Data!K1:K1,Data!A1:A1,TRUE,TRUE),1,2)</t>
  </si>
  <si>
    <t xml:space="preserve">INDEX(LINEST(Data!K1:K1,Data!A1:A1,TRUE,TRUE),2,1)</t>
  </si>
  <si>
    <t xml:space="preserve">INDEX(LINEST(Data!K1:K1,Data!A1:A1,TRUE,TRUE),2,2)</t>
  </si>
  <si>
    <t xml:space="preserve">INDEX(LINEST(Data!K1:K1,Data!A1:A1,TRUE,TRUE),3,1)</t>
  </si>
  <si>
    <t xml:space="preserve">INDEX(LINEST(Data!K1:K1,Data!A1:A1,TRUE,TRUE),3,2)</t>
  </si>
  <si>
    <t xml:space="preserve">INDEX(LINEST(Data!K1:K1,Data!A1:A1,TRUE,TRUE),4,1)</t>
  </si>
  <si>
    <t xml:space="preserve">INDEX(LINEST(Data!K1:K1,Data!A1:A1,TRUE,TRUE),4,2)</t>
  </si>
  <si>
    <t xml:space="preserve">INDEX(LINEST(Data!K1:K1,Data!A1:A1,TRUE,TRUE),5,1)</t>
  </si>
  <si>
    <t xml:space="preserve">INDEX(LINEST(Data!K1:K1,Data!A1:A1,TRUE,TRUE),5,2)</t>
  </si>
  <si>
    <t xml:space="preserve">ROWS(LINEST(Data!K1:K1,Data!A1:A1,TRUE,TRUE))</t>
  </si>
  <si>
    <t xml:space="preserve">COLUMNS(LINEST(Data!K1:K1,Data!A1:A1,TRUE,TRUE))</t>
  </si>
  <si>
    <t xml:space="preserve">INDEX(LINEST(Data!K1:K8,Data!A1:A7),1,1)</t>
  </si>
  <si>
    <t xml:space="preserve">INDEX(LINEST(Data!K1:K8,Data!A1:A7),1,2)</t>
  </si>
  <si>
    <t xml:space="preserve">ROWS(LINEST(Data!K1:K8,Data!A1:A7))</t>
  </si>
  <si>
    <t xml:space="preserve">COLUMNS(LINEST(Data!K1:K8,Data!A1:A7))</t>
  </si>
  <si>
    <t xml:space="preserve">INDEX(LINEST(Data!K1:K8,Data!A1:A9),1,1)</t>
  </si>
  <si>
    <t xml:space="preserve">INDEX(LINEST(Data!K1:K8,Data!A1:A9),1,2)</t>
  </si>
  <si>
    <t xml:space="preserve">ROWS(LINEST(Data!K1:K8,Data!A1:A9))</t>
  </si>
  <si>
    <t xml:space="preserve">COLUMNS(LINEST(Data!K1:K8,Data!A1:A9))</t>
  </si>
  <si>
    <t xml:space="preserve">INDEX(LINEST(Data!K1:K8,Data!A1:A8,TRUE,"x"),1,1)</t>
  </si>
  <si>
    <t xml:space="preserve">INDEX(LINEST(Data!K1:K8,Data!A1:A8,TRUE,"x"),1,2)</t>
  </si>
  <si>
    <t xml:space="preserve">INDEX(LINEST(Data!K1:K8,Data!A1:A8,TRUE,"x"),2,1)</t>
  </si>
  <si>
    <t xml:space="preserve">INDEX(LINEST(Data!K1:K8,Data!A1:A8,TRUE,"x"),2,2)</t>
  </si>
  <si>
    <t xml:space="preserve">INDEX(LINEST(Data!K1:K8,Data!A1:A8,TRUE,"x"),3,1)</t>
  </si>
  <si>
    <t xml:space="preserve">INDEX(LINEST(Data!K1:K8,Data!A1:A8,TRUE,"x"),3,2)</t>
  </si>
  <si>
    <t xml:space="preserve">INDEX(LINEST(Data!K1:K8,Data!A1:A8,TRUE,"x"),4,1)</t>
  </si>
  <si>
    <t xml:space="preserve">INDEX(LINEST(Data!K1:K8,Data!A1:A8,TRUE,"x"),4,2)</t>
  </si>
  <si>
    <t xml:space="preserve">INDEX(LINEST(Data!K1:K8,Data!A1:A8,TRUE,"x"),5,1)</t>
  </si>
  <si>
    <t xml:space="preserve">INDEX(LINEST(Data!K1:K8,Data!A1:A8,TRUE,"x"),5,2)</t>
  </si>
  <si>
    <t xml:space="preserve">ROWS(LINEST(Data!K1:K8,Data!A1:A8,TRUE,"x"))</t>
  </si>
  <si>
    <t xml:space="preserve">COLUMNS(LINEST(Data!K1:K8,Data!A1:A8,TRUE,"x"))</t>
  </si>
  <si>
    <t xml:space="preserve">INDEX(LINEST(Data!K1:K8,Data!A1:A8,"x"),1,1)</t>
  </si>
  <si>
    <t xml:space="preserve">INDEX(LINEST(Data!K1:K8,Data!A1:A8,"x"),1,2)</t>
  </si>
  <si>
    <t xml:space="preserve">ROWS(LINEST(Data!K1:K8,Data!A1:A8,"x"))</t>
  </si>
  <si>
    <t xml:space="preserve">COLUMNS(LINEST(Data!K1:K8,Data!A1:A8,"x"))</t>
  </si>
  <si>
    <t xml:space="preserve">INDEX(LINEST(Data!K1:K8,Data!A1:A8,NA()),1,1)</t>
  </si>
  <si>
    <t xml:space="preserve">INDEX(LINEST(Data!K1:K8,Data!A1:A8,NA()),1,2)</t>
  </si>
  <si>
    <t xml:space="preserve">ROWS(LINEST(Data!K1:K8,Data!A1:A8,NA()))</t>
  </si>
  <si>
    <t xml:space="preserve">COLUMNS(LINEST(Data!K1:K8,Data!A1:A8,NA()))</t>
  </si>
  <si>
    <t xml:space="preserve">INDEX(LINEST(Data!B1:B8,Data!A1:A8),1,1)</t>
  </si>
  <si>
    <t xml:space="preserve">INDEX(LINEST(Data!B1:B8,Data!A1:A8),1,2)</t>
  </si>
  <si>
    <t xml:space="preserve">ROWS(LINEST(Data!B1:B8,Data!A1:A8))</t>
  </si>
  <si>
    <t xml:space="preserve">COLUMNS(LINEST(Data!B1:B8,Data!A1:A8))</t>
  </si>
  <si>
    <t xml:space="preserve">INDEX(LINEST(Data!K1:K8,Data!B1:B8),1,1)</t>
  </si>
  <si>
    <t xml:space="preserve">INDEX(LINEST(Data!K1:K8,Data!B1:B8),1,2)</t>
  </si>
  <si>
    <t xml:space="preserve">ROWS(LINEST(Data!K1:K8,Data!B1:B8))</t>
  </si>
  <si>
    <t xml:space="preserve">COLUMNS(LINEST(Data!K1:K8,Data!B1:B8))</t>
  </si>
  <si>
    <t xml:space="preserve">INDEX(LINEST(Data!K1:K8,Data!M1:M4),1,1)</t>
  </si>
  <si>
    <t xml:space="preserve">INDEX(LINEST(Data!K1:K8,Data!M1:M4),1,2)</t>
  </si>
  <si>
    <t xml:space="preserve">ROWS(LINEST(Data!K1:K8,Data!M1:M4))</t>
  </si>
  <si>
    <t xml:space="preserve">COLUMNS(LINEST(Data!K1:K8,Data!M1:M4))</t>
  </si>
  <si>
    <t xml:space="preserve">INDEX(LINEST(Data!M1:M4,Data!K1:K4),1,1)</t>
  </si>
  <si>
    <t xml:space="preserve">INDEX(LINEST(Data!M1:M4,Data!K1:K4),1,2)</t>
  </si>
  <si>
    <t xml:space="preserve">ROWS(LINEST(Data!M1:M4,Data!K1:K4))</t>
  </si>
  <si>
    <t xml:space="preserve">COLUMNS(LINEST(Data!M1:M4,Data!K1:K4))</t>
  </si>
  <si>
    <t xml:space="preserve">INDEX(LINEST(Data!K1:K8,Data!D1:D8),1,1)</t>
  </si>
  <si>
    <t xml:space="preserve">INDEX(LINEST(Data!K1:K8,Data!D1:D8),1,2)</t>
  </si>
  <si>
    <t xml:space="preserve">ROWS(LINEST(Data!K1:K8,Data!D1:D8))</t>
  </si>
  <si>
    <t xml:space="preserve">COLUMNS(LINEST(Data!K1:K8,Data!D1:D8))</t>
  </si>
  <si>
    <t xml:space="preserve">INDEX(LINEST(Data!D1:D8,Data!A1:A8),1,1)</t>
  </si>
  <si>
    <t xml:space="preserve">INDEX(LINEST(Data!D1:D8,Data!A1:A8),1,2)</t>
  </si>
  <si>
    <t xml:space="preserve">ROWS(LINEST(Data!D1:D8,Data!A1:A8))</t>
  </si>
  <si>
    <t xml:space="preserve">COLUMNS(LINEST(Data!D1:D8,Data!A1:A8))</t>
  </si>
  <si>
    <t xml:space="preserve">INDEX(LINEST({1,2,3,4},{2,4,5,9}),1,1)</t>
  </si>
  <si>
    <t xml:space="preserve">INDEX(LINEST({1,2,3,4},{2,4,5,9}),1,2)</t>
  </si>
  <si>
    <t xml:space="preserve">ROWS(LINEST({1,2,3,4},{2,4,5,9}))</t>
  </si>
  <si>
    <t xml:space="preserve">COLUMNS(LINEST({1,2,3,4},{2,4,5,9}))</t>
  </si>
  <si>
    <t xml:space="preserve">INDEX(LINEST({1;2;3;4},{2;4;5;9},TRUE,TRUE),1,1)</t>
  </si>
  <si>
    <t xml:space="preserve">INDEX(LINEST({1;2;3;4},{2;4;5;9},TRUE,TRUE),1,2)</t>
  </si>
  <si>
    <t xml:space="preserve">INDEX(LINEST({1;2;3;4},{2;4;5;9},TRUE,TRUE),2,1)</t>
  </si>
  <si>
    <t xml:space="preserve">INDEX(LINEST({1;2;3;4},{2;4;5;9},TRUE,TRUE),2,2)</t>
  </si>
  <si>
    <t xml:space="preserve">INDEX(LINEST({1;2;3;4},{2;4;5;9},TRUE,TRUE),3,1)</t>
  </si>
  <si>
    <t xml:space="preserve">INDEX(LINEST({1;2;3;4},{2;4;5;9},TRUE,TRUE),3,2)</t>
  </si>
  <si>
    <t xml:space="preserve">INDEX(LINEST({1;2;3;4},{2;4;5;9},TRUE,TRUE),4,1)</t>
  </si>
  <si>
    <t xml:space="preserve">INDEX(LINEST({1;2;3;4},{2;4;5;9},TRUE,TRUE),4,2)</t>
  </si>
  <si>
    <t xml:space="preserve">INDEX(LINEST({1;2;3;4},{2;4;5;9},TRUE,TRUE),5,1)</t>
  </si>
  <si>
    <t xml:space="preserve">INDEX(LINEST({1;2;3;4},{2;4;5;9},TRUE,TRUE),5,2)</t>
  </si>
  <si>
    <t xml:space="preserve">ROWS(LINEST({1;2;3;4},{2;4;5;9},TRUE,TRUE))</t>
  </si>
  <si>
    <t xml:space="preserve">COLUMNS(LINEST({1;2;3;4},{2;4;5;9},TRUE,TRUE))</t>
  </si>
  <si>
    <t xml:space="preserve">INDEX(LINEST({3;3;3;3},{2;4;5;9},TRUE,TRUE),1,1)</t>
  </si>
  <si>
    <t xml:space="preserve">INDEX(LINEST({3;3;3;3},{2;4;5;9},TRUE,TRUE),1,2)</t>
  </si>
  <si>
    <t xml:space="preserve">INDEX(LINEST({3;3;3;3},{2;4;5;9},TRUE,TRUE),2,1)</t>
  </si>
  <si>
    <t xml:space="preserve">INDEX(LINEST({3;3;3;3},{2;4;5;9},TRUE,TRUE),2,2)</t>
  </si>
  <si>
    <t xml:space="preserve">INDEX(LINEST({3;3;3;3},{2;4;5;9},TRUE,TRUE),3,1)</t>
  </si>
  <si>
    <t xml:space="preserve">INDEX(LINEST({3;3;3;3},{2;4;5;9},TRUE,TRUE),3,2)</t>
  </si>
  <si>
    <t xml:space="preserve">INDEX(LINEST({3;3;3;3},{2;4;5;9},TRUE,TRUE),4,1)</t>
  </si>
  <si>
    <t xml:space="preserve">INDEX(LINEST({3;3;3;3},{2;4;5;9},TRUE,TRUE),4,2)</t>
  </si>
  <si>
    <t xml:space="preserve">INDEX(LINEST({3;3;3;3},{2;4;5;9},TRUE,TRUE),5,1)</t>
  </si>
  <si>
    <t xml:space="preserve">INDEX(LINEST({3;3;3;3},{2;4;5;9},TRUE,TRUE),5,2)</t>
  </si>
  <si>
    <t xml:space="preserve">ROWS(LINEST({3;3;3;3},{2;4;5;9},TRUE,TRUE))</t>
  </si>
  <si>
    <t xml:space="preserve">COLUMNS(LINEST({3;3;3;3},{2;4;5;9},TRUE,TRUE))</t>
  </si>
  <si>
    <t xml:space="preserve">INDEX(LINEST(Data!K1:K8,{1;1;1;1;1;1;1;1},TRUE,TRUE),1,1)</t>
  </si>
  <si>
    <t xml:space="preserve">INDEX(LINEST(Data!K1:K8,{1;1;1;1;1;1;1;1},TRUE,TRUE),1,2)</t>
  </si>
  <si>
    <t xml:space="preserve">INDEX(LINEST(Data!K1:K8,{1;1;1;1;1;1;1;1},TRUE,TRUE),2,1)</t>
  </si>
  <si>
    <t xml:space="preserve">INDEX(LINEST(Data!K1:K8,{1;1;1;1;1;1;1;1},TRUE,TRUE),2,2)</t>
  </si>
  <si>
    <t xml:space="preserve">INDEX(LINEST(Data!K1:K8,{1;1;1;1;1;1;1;1},TRUE,TRUE),3,1)</t>
  </si>
  <si>
    <t xml:space="preserve">INDEX(LINEST(Data!K1:K8,{1;1;1;1;1;1;1;1},TRUE,TRUE),3,2)</t>
  </si>
  <si>
    <t xml:space="preserve">INDEX(LINEST(Data!K1:K8,{1;1;1;1;1;1;1;1},TRUE,TRUE),4,1)</t>
  </si>
  <si>
    <t xml:space="preserve">INDEX(LINEST(Data!K1:K8,{1;1;1;1;1;1;1;1},TRUE,TRUE),4,2)</t>
  </si>
  <si>
    <t xml:space="preserve">INDEX(LINEST(Data!K1:K8,{1;1;1;1;1;1;1;1},TRUE,TRUE),5,1)</t>
  </si>
  <si>
    <t xml:space="preserve">INDEX(LINEST(Data!K1:K8,{1;1;1;1;1;1;1;1},TRUE,TRUE),5,2)</t>
  </si>
  <si>
    <t xml:space="preserve">ROWS(LINEST(Data!K1:K8,{1;1;1;1;1;1;1;1},TRUE,TRUE))</t>
  </si>
  <si>
    <t xml:space="preserve">COLUMNS(LINEST(Data!K1:K8,{1;1;1;1;1;1;1;1},TRUE,TRUE))</t>
  </si>
  <si>
    <t xml:space="preserve">INDEX(LINEST({2;4;5;9},{3;3;3;3}),1,1)</t>
  </si>
  <si>
    <t xml:space="preserve">INDEX(LINEST({2;4;5;9},{3;3;3;3}),1,2)</t>
  </si>
  <si>
    <t xml:space="preserve">ROWS(LINEST({2;4;5;9},{3;3;3;3}))</t>
  </si>
  <si>
    <t xml:space="preserve">COLUMNS(LINEST({2;4;5;9},{3;3;3;3}))</t>
  </si>
  <si>
    <t xml:space="preserve">INDEX(LINEST({1;2;4;8},{1;2;3;4},TRUE,TRUE),1,1)</t>
  </si>
  <si>
    <t xml:space="preserve">INDEX(LINEST({1;2;4;8},{1;2;3;4},TRUE,TRUE),1,2)</t>
  </si>
  <si>
    <t xml:space="preserve">INDEX(LINEST({1;2;4;8},{1;2;3;4},TRUE,TRUE),2,1)</t>
  </si>
  <si>
    <t xml:space="preserve">INDEX(LINEST({1;2;4;8},{1;2;3;4},TRUE,TRUE),2,2)</t>
  </si>
  <si>
    <t xml:space="preserve">INDEX(LINEST({1;2;4;8},{1;2;3;4},TRUE,TRUE),3,1)</t>
  </si>
  <si>
    <t xml:space="preserve">INDEX(LINEST({1;2;4;8},{1;2;3;4},TRUE,TRUE),3,2)</t>
  </si>
  <si>
    <t xml:space="preserve">INDEX(LINEST({1;2;4;8},{1;2;3;4},TRUE,TRUE),4,1)</t>
  </si>
  <si>
    <t xml:space="preserve">INDEX(LINEST({1;2;4;8},{1;2;3;4},TRUE,TRUE),4,2)</t>
  </si>
  <si>
    <t xml:space="preserve">INDEX(LINEST({1;2;4;8},{1;2;3;4},TRUE,TRUE),5,1)</t>
  </si>
  <si>
    <t xml:space="preserve">INDEX(LINEST({1;2;4;8},{1;2;3;4},TRUE,TRUE),5,2)</t>
  </si>
  <si>
    <t xml:space="preserve">ROWS(LINEST({1;2;4;8},{1;2;3;4},TRUE,TRUE))</t>
  </si>
  <si>
    <t xml:space="preserve">COLUMNS(LINEST({1;2;4;8},{1;2;3;4},TRUE,TRUE))</t>
  </si>
  <si>
    <t xml:space="preserve">INDEX(LINEST({0;1;2;3},{1;2;3;4}),1,1)</t>
  </si>
  <si>
    <t xml:space="preserve">INDEX(LINEST({0;1;2;3},{1;2;3;4}),1,2)</t>
  </si>
  <si>
    <t xml:space="preserve">ROWS(LINEST({0;1;2;3},{1;2;3;4}))</t>
  </si>
  <si>
    <t xml:space="preserve">COLUMNS(LINEST({0;1;2;3},{1;2;3;4}))</t>
  </si>
  <si>
    <t xml:space="preserve">INDEX(LINEST({-1;2;4;8},{1;2;3;4}),1,1)</t>
  </si>
  <si>
    <t xml:space="preserve">INDEX(LINEST({-1;2;4;8},{1;2;3;4}),1,2)</t>
  </si>
  <si>
    <t xml:space="preserve">ROWS(LINEST({-1;2;4;8},{1;2;3;4}))</t>
  </si>
  <si>
    <t xml:space="preserve">COLUMNS(LINEST({-1;2;4;8},{1;2;3;4}))</t>
  </si>
  <si>
    <t xml:space="preserve">INDEX(LINEST(Data!K1:K8,Data!A1:B8),1,1)</t>
  </si>
  <si>
    <t xml:space="preserve">INDEX(LINEST(Data!K1:K8,Data!A1:B8),1,2)</t>
  </si>
  <si>
    <t xml:space="preserve">INDEX(LINEST(Data!K1:K8,Data!A1:B8),1,3)</t>
  </si>
  <si>
    <t xml:space="preserve">ROWS(LINEST(Data!K1:K8,Data!A1:B8))</t>
  </si>
  <si>
    <t xml:space="preserve">COLUMNS(LINEST(Data!K1:K8,Data!A1:B8))</t>
  </si>
  <si>
    <t xml:space="preserve">INDEX(LINEST(Data!A1:B8,Data!K1:K8),1,1)</t>
  </si>
  <si>
    <t xml:space="preserve">INDEX(LINEST(Data!A1:B8,Data!K1:K8),1,2)</t>
  </si>
  <si>
    <t xml:space="preserve">ROWS(LINEST(Data!A1:B8,Data!K1:K8))</t>
  </si>
  <si>
    <t xml:space="preserve">COLUMNS(LINEST(Data!A1:B8,Data!K1:K8))</t>
  </si>
  <si>
    <t xml:space="preserve">INDEX(LINEST(Data!K1:K3,Data!BF1:BG3,TRUE,TRUE),1,1)</t>
  </si>
  <si>
    <t xml:space="preserve">INDEX(LINEST(Data!K1:K3,Data!BF1:BG3,TRUE,TRUE),1,2)</t>
  </si>
  <si>
    <t xml:space="preserve">INDEX(LINEST(Data!K1:K3,Data!BF1:BG3,TRUE,TRUE),1,3)</t>
  </si>
  <si>
    <t xml:space="preserve">INDEX(LINEST(Data!K1:K3,Data!BF1:BG3,TRUE,TRUE),2,1)</t>
  </si>
  <si>
    <t xml:space="preserve">INDEX(LINEST(Data!K1:K3,Data!BF1:BG3,TRUE,TRUE),2,2)</t>
  </si>
  <si>
    <t xml:space="preserve">INDEX(LINEST(Data!K1:K3,Data!BF1:BG3,TRUE,TRUE),2,3)</t>
  </si>
  <si>
    <t xml:space="preserve">INDEX(LINEST(Data!K1:K3,Data!BF1:BG3,TRUE,TRUE),3,1)</t>
  </si>
  <si>
    <t xml:space="preserve">INDEX(LINEST(Data!K1:K3,Data!BF1:BG3,TRUE,TRUE),3,2)</t>
  </si>
  <si>
    <t xml:space="preserve">INDEX(LINEST(Data!K1:K3,Data!BF1:BG3,TRUE,TRUE),3,3)</t>
  </si>
  <si>
    <t xml:space="preserve">INDEX(LINEST(Data!K1:K3,Data!BF1:BG3,TRUE,TRUE),4,1)</t>
  </si>
  <si>
    <t xml:space="preserve">INDEX(LINEST(Data!K1:K3,Data!BF1:BG3,TRUE,TRUE),4,2)</t>
  </si>
  <si>
    <t xml:space="preserve">INDEX(LINEST(Data!K1:K3,Data!BF1:BG3,TRUE,TRUE),4,3)</t>
  </si>
  <si>
    <t xml:space="preserve">INDEX(LINEST(Data!K1:K3,Data!BF1:BG3,TRUE,TRUE),5,1)</t>
  </si>
  <si>
    <t xml:space="preserve">INDEX(LINEST(Data!K1:K3,Data!BF1:BG3,TRUE,TRUE),5,2)</t>
  </si>
  <si>
    <t xml:space="preserve">INDEX(LINEST(Data!K1:K3,Data!BF1:BG3,TRUE,TRUE),5,3)</t>
  </si>
  <si>
    <t xml:space="preserve">ROWS(LINEST(Data!K1:K3,Data!BF1:BG3,TRUE,TRUE))</t>
  </si>
  <si>
    <t xml:space="preserve">COLUMNS(LINEST(Data!K1:K3,Data!BF1:BG3,TRUE,TRUE))</t>
  </si>
  <si>
    <t xml:space="preserve">INDEX(LINEST(Data!K1:K2,Data!BF1:BG2,TRUE,TRUE),1,1)</t>
  </si>
  <si>
    <t xml:space="preserve">INDEX(LINEST(Data!K1:K2,Data!BF1:BG2,TRUE,TRUE),1,2)</t>
  </si>
  <si>
    <t xml:space="preserve">INDEX(LINEST(Data!K1:K2,Data!BF1:BG2,TRUE,TRUE),1,3)</t>
  </si>
  <si>
    <t xml:space="preserve">INDEX(LINEST(Data!K1:K2,Data!BF1:BG2,TRUE,TRUE),2,1)</t>
  </si>
  <si>
    <t xml:space="preserve">INDEX(LINEST(Data!K1:K2,Data!BF1:BG2,TRUE,TRUE),2,2)</t>
  </si>
  <si>
    <t xml:space="preserve">INDEX(LINEST(Data!K1:K2,Data!BF1:BG2,TRUE,TRUE),2,3)</t>
  </si>
  <si>
    <t xml:space="preserve">INDEX(LINEST(Data!K1:K2,Data!BF1:BG2,TRUE,TRUE),3,1)</t>
  </si>
  <si>
    <t xml:space="preserve">INDEX(LINEST(Data!K1:K2,Data!BF1:BG2,TRUE,TRUE),3,2)</t>
  </si>
  <si>
    <t xml:space="preserve">INDEX(LINEST(Data!K1:K2,Data!BF1:BG2,TRUE,TRUE),3,3)</t>
  </si>
  <si>
    <t xml:space="preserve">INDEX(LINEST(Data!K1:K2,Data!BF1:BG2,TRUE,TRUE),4,1)</t>
  </si>
  <si>
    <t xml:space="preserve">INDEX(LINEST(Data!K1:K2,Data!BF1:BG2,TRUE,TRUE),4,2)</t>
  </si>
  <si>
    <t xml:space="preserve">INDEX(LINEST(Data!K1:K2,Data!BF1:BG2,TRUE,TRUE),4,3)</t>
  </si>
  <si>
    <t xml:space="preserve">INDEX(LINEST(Data!K1:K2,Data!BF1:BG2,TRUE,TRUE),5,1)</t>
  </si>
  <si>
    <t xml:space="preserve">INDEX(LINEST(Data!K1:K2,Data!BF1:BG2,TRUE,TRUE),5,2)</t>
  </si>
  <si>
    <t xml:space="preserve">INDEX(LINEST(Data!K1:K2,Data!BF1:BG2,TRUE,TRUE),5,3)</t>
  </si>
  <si>
    <t xml:space="preserve">ROWS(LINEST(Data!K1:K2,Data!BF1:BG2,TRUE,TRUE))</t>
  </si>
  <si>
    <t xml:space="preserve">COLUMNS(LINEST(Data!K1:K2,Data!BF1:BG2,TRUE,TRUE))</t>
  </si>
  <si>
    <t xml:space="preserve">INDEX(LINEST(Data!K1:K3,Data!BF1:BG3),1,1)</t>
  </si>
  <si>
    <t xml:space="preserve">INDEX(LINEST(Data!K1:K3,Data!BF1:BG3),1,2)</t>
  </si>
  <si>
    <t xml:space="preserve">INDEX(LINEST(Data!K1:K3,Data!BF1:BG3),1,3)</t>
  </si>
  <si>
    <t xml:space="preserve">ROWS(LINEST(Data!K1:K3,Data!BF1:BG3))</t>
  </si>
  <si>
    <t xml:space="preserve">COLUMNS(LINEST(Data!K1:K3,Data!BF1:BG3))</t>
  </si>
  <si>
    <t xml:space="preserve">INDEX(LINEST(Data!K1:K2,Data!BF1:BG2,FALSE,TRUE),1,1)</t>
  </si>
  <si>
    <t xml:space="preserve">INDEX(LINEST(Data!K1:K2,Data!BF1:BG2,FALSE,TRUE),1,2)</t>
  </si>
  <si>
    <t xml:space="preserve">INDEX(LINEST(Data!K1:K2,Data!BF1:BG2,FALSE,TRUE),1,3)</t>
  </si>
  <si>
    <t xml:space="preserve">INDEX(LINEST(Data!K1:K2,Data!BF1:BG2,FALSE,TRUE),2,1)</t>
  </si>
  <si>
    <t xml:space="preserve">INDEX(LINEST(Data!K1:K2,Data!BF1:BG2,FALSE,TRUE),2,2)</t>
  </si>
  <si>
    <t xml:space="preserve">INDEX(LINEST(Data!K1:K2,Data!BF1:BG2,FALSE,TRUE),2,3)</t>
  </si>
  <si>
    <t xml:space="preserve">INDEX(LINEST(Data!K1:K2,Data!BF1:BG2,FALSE,TRUE),3,1)</t>
  </si>
  <si>
    <t xml:space="preserve">INDEX(LINEST(Data!K1:K2,Data!BF1:BG2,FALSE,TRUE),3,2)</t>
  </si>
  <si>
    <t xml:space="preserve">INDEX(LINEST(Data!K1:K2,Data!BF1:BG2,FALSE,TRUE),3,3)</t>
  </si>
  <si>
    <t xml:space="preserve">INDEX(LINEST(Data!K1:K2,Data!BF1:BG2,FALSE,TRUE),4,1)</t>
  </si>
  <si>
    <t xml:space="preserve">INDEX(LINEST(Data!K1:K2,Data!BF1:BG2,FALSE,TRUE),4,2)</t>
  </si>
  <si>
    <t xml:space="preserve">INDEX(LINEST(Data!K1:K2,Data!BF1:BG2,FALSE,TRUE),4,3)</t>
  </si>
  <si>
    <t xml:space="preserve">INDEX(LINEST(Data!K1:K2,Data!BF1:BG2,FALSE,TRUE),5,1)</t>
  </si>
  <si>
    <t xml:space="preserve">INDEX(LINEST(Data!K1:K2,Data!BF1:BG2,FALSE,TRUE),5,2)</t>
  </si>
  <si>
    <t xml:space="preserve">INDEX(LINEST(Data!K1:K2,Data!BF1:BG2,FALSE,TRUE),5,3)</t>
  </si>
  <si>
    <t xml:space="preserve">ROWS(LINEST(Data!K1:K2,Data!BF1:BG2,FALSE,TRUE))</t>
  </si>
  <si>
    <t xml:space="preserve">COLUMNS(LINEST(Data!K1:K2,Data!BF1:BG2,FALSE,TRUE))</t>
  </si>
  <si>
    <t xml:space="preserve">INDEX(LINEST({0;1;2;3},{1;2;3;4},TRUE,TRUE),1,1)</t>
  </si>
  <si>
    <t xml:space="preserve">INDEX(LINEST({0;1;2;3},{1;2;3;4},TRUE,TRUE),1,2)</t>
  </si>
  <si>
    <t xml:space="preserve">INDEX(LINEST({0;1;2;3},{1;2;3;4},TRUE,TRUE),2,1)</t>
  </si>
  <si>
    <t xml:space="preserve">INDEX(LINEST({0;1;2;3},{1;2;3;4},TRUE,TRUE),2,2)</t>
  </si>
  <si>
    <t xml:space="preserve">INDEX(LINEST({0;1;2;3},{1;2;3;4},TRUE,TRUE),3,1)</t>
  </si>
  <si>
    <t xml:space="preserve">INDEX(LINEST({0;1;2;3},{1;2;3;4},TRUE,TRUE),3,2)</t>
  </si>
  <si>
    <t xml:space="preserve">INDEX(LINEST({0;1;2;3},{1;2;3;4},TRUE,TRUE),4,1)</t>
  </si>
  <si>
    <t xml:space="preserve">INDEX(LINEST({0;1;2;3},{1;2;3;4},TRUE,TRUE),4,2)</t>
  </si>
  <si>
    <t xml:space="preserve">INDEX(LINEST({0;1;2;3},{1;2;3;4},TRUE,TRUE),5,1)</t>
  </si>
  <si>
    <t xml:space="preserve">INDEX(LINEST({0;1;2;3},{1;2;3;4},TRUE,TRUE),5,2)</t>
  </si>
  <si>
    <t xml:space="preserve">ROWS(LINEST({0;1;2;3},{1;2;3;4},TRUE,TRUE))</t>
  </si>
  <si>
    <t xml:space="preserve">COLUMNS(LINEST({0;1;2;3},{1;2;3;4},TRUE,TRUE))</t>
  </si>
  <si>
    <t xml:space="preserve">INDEX(LINEST({1;2;3},{1;2;3},TRUE,TRUE),1,1)</t>
  </si>
  <si>
    <t xml:space="preserve">INDEX(LINEST({1;2;3},{1;2;3},TRUE,TRUE),1,2)</t>
  </si>
  <si>
    <t xml:space="preserve">INDEX(LINEST({1;2;3},{1;2;3},TRUE,TRUE),2,1)</t>
  </si>
  <si>
    <t xml:space="preserve">INDEX(LINEST({1;2;3},{1;2;3},TRUE,TRUE),2,2)</t>
  </si>
  <si>
    <t xml:space="preserve">INDEX(LINEST({1;2;3},{1;2;3},TRUE,TRUE),3,1)</t>
  </si>
  <si>
    <t xml:space="preserve">INDEX(LINEST({1;2;3},{1;2;3},TRUE,TRUE),3,2)</t>
  </si>
  <si>
    <t xml:space="preserve">INDEX(LINEST({1;2;3},{1;2;3},TRUE,TRUE),4,1)</t>
  </si>
  <si>
    <t xml:space="preserve">INDEX(LINEST({1;2;3},{1;2;3},TRUE,TRUE),4,2)</t>
  </si>
  <si>
    <t xml:space="preserve">INDEX(LINEST({1;2;3},{1;2;3},TRUE,TRUE),5,1)</t>
  </si>
  <si>
    <t xml:space="preserve">INDEX(LINEST({1;2;3},{1;2;3},TRUE,TRUE),5,2)</t>
  </si>
  <si>
    <t xml:space="preserve">ROWS(LINEST({1;2;3},{1;2;3},TRUE,TRUE))</t>
  </si>
  <si>
    <t xml:space="preserve">COLUMNS(LINEST({1;2;3},{1;2;3},TRUE,TRUE))</t>
  </si>
  <si>
    <t xml:space="preserve">INDEX(LINEST(Data!K1:K8,TRANSPOSE(Data!A1:A8),TRUE,TRUE),1,1)</t>
  </si>
  <si>
    <t xml:space="preserve">INDEX(LINEST(Data!K1:K8,TRANSPOSE(Data!A1:A8),TRUE,TRUE),1,2)</t>
  </si>
  <si>
    <t xml:space="preserve">INDEX(LINEST(Data!K1:K8,TRANSPOSE(Data!A1:A8),TRUE,TRUE),2,1)</t>
  </si>
  <si>
    <t xml:space="preserve">INDEX(LINEST(Data!K1:K8,TRANSPOSE(Data!A1:A8),TRUE,TRUE),2,2)</t>
  </si>
  <si>
    <t xml:space="preserve">INDEX(LINEST(Data!K1:K8,TRANSPOSE(Data!A1:A8),TRUE,TRUE),3,1)</t>
  </si>
  <si>
    <t xml:space="preserve">INDEX(LINEST(Data!K1:K8,TRANSPOSE(Data!A1:A8),TRUE,TRUE),3,2)</t>
  </si>
  <si>
    <t xml:space="preserve">INDEX(LINEST(Data!K1:K8,TRANSPOSE(Data!A1:A8),TRUE,TRUE),4,1)</t>
  </si>
  <si>
    <t xml:space="preserve">INDEX(LINEST(Data!K1:K8,TRANSPOSE(Data!A1:A8),TRUE,TRUE),4,2)</t>
  </si>
  <si>
    <t xml:space="preserve">INDEX(LINEST(Data!K1:K8,TRANSPOSE(Data!A1:A8),TRUE,TRUE),5,1)</t>
  </si>
  <si>
    <t xml:space="preserve">INDEX(LINEST(Data!K1:K8,TRANSPOSE(Data!A1:A8),TRUE,TRUE),5,2)</t>
  </si>
  <si>
    <t xml:space="preserve">ROWS(LINEST(Data!K1:K8,TRANSPOSE(Data!A1:A8),TRUE,TRUE))</t>
  </si>
  <si>
    <t xml:space="preserve">COLUMNS(LINEST(Data!K1:K8,TRANSPOSE(Data!A1:A8),TRUE,TRUE))</t>
  </si>
  <si>
    <t xml:space="preserve">INDEX(LINEST(TRANSPOSE(Data!K1:K8),Data!A1:A8,TRUE,TRUE),1,1)</t>
  </si>
  <si>
    <t xml:space="preserve">INDEX(LINEST(TRANSPOSE(Data!K1:K8),Data!A1:A8,TRUE,TRUE),1,2)</t>
  </si>
  <si>
    <t xml:space="preserve">INDEX(LINEST(TRANSPOSE(Data!K1:K8),Data!A1:A8,TRUE,TRUE),2,1)</t>
  </si>
  <si>
    <t xml:space="preserve">INDEX(LINEST(TRANSPOSE(Data!K1:K8),Data!A1:A8,TRUE,TRUE),2,2)</t>
  </si>
  <si>
    <t xml:space="preserve">INDEX(LINEST(TRANSPOSE(Data!K1:K8),Data!A1:A8,TRUE,TRUE),3,1)</t>
  </si>
  <si>
    <t xml:space="preserve">INDEX(LINEST(TRANSPOSE(Data!K1:K8),Data!A1:A8,TRUE,TRUE),3,2)</t>
  </si>
  <si>
    <t xml:space="preserve">INDEX(LINEST(TRANSPOSE(Data!K1:K8),Data!A1:A8,TRUE,TRUE),4,1)</t>
  </si>
  <si>
    <t xml:space="preserve">INDEX(LINEST(TRANSPOSE(Data!K1:K8),Data!A1:A8,TRUE,TRUE),4,2)</t>
  </si>
  <si>
    <t xml:space="preserve">INDEX(LINEST(TRANSPOSE(Data!K1:K8),Data!A1:A8,TRUE,TRUE),5,1)</t>
  </si>
  <si>
    <t xml:space="preserve">INDEX(LINEST(TRANSPOSE(Data!K1:K8),Data!A1:A8,TRUE,TRUE),5,2)</t>
  </si>
  <si>
    <t xml:space="preserve">ROWS(LINEST(TRANSPOSE(Data!K1:K8),Data!A1:A8,TRUE,TRUE))</t>
  </si>
  <si>
    <t xml:space="preserve">COLUMNS(LINEST(TRANSPOSE(Data!K1:K8),Data!A1:A8,TRUE,TRUE))</t>
  </si>
  <si>
    <t xml:space="preserve">INDEX(LINEST(TRANSPOSE(Data!K1:K8),TRANSPOSE(Data!BF1:BG8),TRUE,TRUE),1,1)</t>
  </si>
  <si>
    <t xml:space="preserve">INDEX(LINEST(TRANSPOSE(Data!K1:K8),TRANSPOSE(Data!BF1:BG8),TRUE,TRUE),1,2)</t>
  </si>
  <si>
    <t xml:space="preserve">INDEX(LINEST(TRANSPOSE(Data!K1:K8),TRANSPOSE(Data!BF1:BG8),TRUE,TRUE),1,3)</t>
  </si>
  <si>
    <t xml:space="preserve">INDEX(LINEST(TRANSPOSE(Data!K1:K8),TRANSPOSE(Data!BF1:BG8),TRUE,TRUE),2,1)</t>
  </si>
  <si>
    <t xml:space="preserve">INDEX(LINEST(TRANSPOSE(Data!K1:K8),TRANSPOSE(Data!BF1:BG8),TRUE,TRUE),2,2)</t>
  </si>
  <si>
    <t xml:space="preserve">INDEX(LINEST(TRANSPOSE(Data!K1:K8),TRANSPOSE(Data!BF1:BG8),TRUE,TRUE),2,3)</t>
  </si>
  <si>
    <t xml:space="preserve">INDEX(LINEST(TRANSPOSE(Data!K1:K8),TRANSPOSE(Data!BF1:BG8),TRUE,TRUE),3,1)</t>
  </si>
  <si>
    <t xml:space="preserve">INDEX(LINEST(TRANSPOSE(Data!K1:K8),TRANSPOSE(Data!BF1:BG8),TRUE,TRUE),3,2)</t>
  </si>
  <si>
    <t xml:space="preserve">INDEX(LINEST(TRANSPOSE(Data!K1:K8),TRANSPOSE(Data!BF1:BG8),TRUE,TRUE),3,3)</t>
  </si>
  <si>
    <t xml:space="preserve">INDEX(LINEST(TRANSPOSE(Data!K1:K8),TRANSPOSE(Data!BF1:BG8),TRUE,TRUE),4,1)</t>
  </si>
  <si>
    <t xml:space="preserve">INDEX(LINEST(TRANSPOSE(Data!K1:K8),TRANSPOSE(Data!BF1:BG8),TRUE,TRUE),4,2)</t>
  </si>
  <si>
    <t xml:space="preserve">INDEX(LINEST(TRANSPOSE(Data!K1:K8),TRANSPOSE(Data!BF1:BG8),TRUE,TRUE),4,3)</t>
  </si>
  <si>
    <t xml:space="preserve">INDEX(LINEST(TRANSPOSE(Data!K1:K8),TRANSPOSE(Data!BF1:BG8),TRUE,TRUE),5,1)</t>
  </si>
  <si>
    <t xml:space="preserve">INDEX(LINEST(TRANSPOSE(Data!K1:K8),TRANSPOSE(Data!BF1:BG8),TRUE,TRUE),5,2)</t>
  </si>
  <si>
    <t xml:space="preserve">INDEX(LINEST(TRANSPOSE(Data!K1:K8),TRANSPOSE(Data!BF1:BG8),TRUE,TRUE),5,3)</t>
  </si>
  <si>
    <t xml:space="preserve">ROWS(LINEST(TRANSPOSE(Data!K1:K8),TRANSPOSE(Data!BF1:BG8),TRUE,TRUE))</t>
  </si>
  <si>
    <t xml:space="preserve">COLUMNS(LINEST(TRANSPOSE(Data!K1:K8),TRANSPOSE(Data!BF1:BG8),TRUE,TRUE))</t>
  </si>
  <si>
    <t xml:space="preserve">INDEX(LINEST(TRANSPOSE(Data!K1:K8),TRANSPOSE(Data!BF1:BG8),FALSE),1,1)</t>
  </si>
  <si>
    <t xml:space="preserve">INDEX(LINEST(TRANSPOSE(Data!K1:K8),TRANSPOSE(Data!BF1:BG8),FALSE),1,2)</t>
  </si>
  <si>
    <t xml:space="preserve">INDEX(LINEST(TRANSPOSE(Data!K1:K8),TRANSPOSE(Data!BF1:BG8),FALSE),1,3)</t>
  </si>
  <si>
    <t xml:space="preserve">ROWS(LINEST(TRANSPOSE(Data!K1:K8),TRANSPOSE(Data!BF1:BG8),FALSE))</t>
  </si>
  <si>
    <t xml:space="preserve">COLUMNS(LINEST(TRANSPOSE(Data!K1:K8),TRANSPOSE(Data!BF1:BG8),FALSE))</t>
  </si>
  <si>
    <t xml:space="preserve">INDEX(LINEST(TRANSPOSE(Data!K1:K8)),1,1)</t>
  </si>
  <si>
    <t xml:space="preserve">INDEX(LINEST(TRANSPOSE(Data!K1:K8)),1,2)</t>
  </si>
  <si>
    <t xml:space="preserve">ROWS(LINEST(TRANSPOSE(Data!K1:K8)))</t>
  </si>
  <si>
    <t xml:space="preserve">COLUMNS(LINEST(TRANSPOSE(Data!K1:K8)))</t>
  </si>
  <si>
    <t xml:space="preserve">INDEX(LINEST(Data!K1:K8,Data!A1:A8,TRUE,2),1,1)</t>
  </si>
  <si>
    <t xml:space="preserve">INDEX(LINEST(Data!K1:K8,Data!A1:A8,TRUE,2),1,2)</t>
  </si>
  <si>
    <t xml:space="preserve">INDEX(LINEST(Data!K1:K8,Data!A1:A8,TRUE,2),2,1)</t>
  </si>
  <si>
    <t xml:space="preserve">INDEX(LINEST(Data!K1:K8,Data!A1:A8,TRUE,2),2,2)</t>
  </si>
  <si>
    <t xml:space="preserve">INDEX(LINEST(Data!K1:K8,Data!A1:A8,TRUE,2),3,1)</t>
  </si>
  <si>
    <t xml:space="preserve">INDEX(LINEST(Data!K1:K8,Data!A1:A8,TRUE,2),3,2)</t>
  </si>
  <si>
    <t xml:space="preserve">INDEX(LINEST(Data!K1:K8,Data!A1:A8,TRUE,2),4,1)</t>
  </si>
  <si>
    <t xml:space="preserve">INDEX(LINEST(Data!K1:K8,Data!A1:A8,TRUE,2),4,2)</t>
  </si>
  <si>
    <t xml:space="preserve">INDEX(LINEST(Data!K1:K8,Data!A1:A8,TRUE,2),5,1)</t>
  </si>
  <si>
    <t xml:space="preserve">INDEX(LINEST(Data!K1:K8,Data!A1:A8,TRUE,2),5,2)</t>
  </si>
  <si>
    <t xml:space="preserve">ROWS(LINEST(Data!K1:K8,Data!A1:A8,TRUE,2))</t>
  </si>
  <si>
    <t xml:space="preserve">COLUMNS(LINEST(Data!K1:K8,Data!A1:A8,TRUE,2))</t>
  </si>
  <si>
    <t xml:space="preserve">INDEX(LINEST(Data!K1:K8,Data!A1:A8,2,TRUE),1,1)</t>
  </si>
  <si>
    <t xml:space="preserve">INDEX(LINEST(Data!K1:K8,Data!A1:A8,2,TRUE),1,2)</t>
  </si>
  <si>
    <t xml:space="preserve">INDEX(LINEST(Data!K1:K8,Data!A1:A8,2,TRUE),2,1)</t>
  </si>
  <si>
    <t xml:space="preserve">INDEX(LINEST(Data!K1:K8,Data!A1:A8,2,TRUE),2,2)</t>
  </si>
  <si>
    <t xml:space="preserve">INDEX(LINEST(Data!K1:K8,Data!A1:A8,2,TRUE),3,1)</t>
  </si>
  <si>
    <t xml:space="preserve">INDEX(LINEST(Data!K1:K8,Data!A1:A8,2,TRUE),3,2)</t>
  </si>
  <si>
    <t xml:space="preserve">INDEX(LINEST(Data!K1:K8,Data!A1:A8,2,TRUE),4,1)</t>
  </si>
  <si>
    <t xml:space="preserve">INDEX(LINEST(Data!K1:K8,Data!A1:A8,2,TRUE),4,2)</t>
  </si>
  <si>
    <t xml:space="preserve">INDEX(LINEST(Data!K1:K8,Data!A1:A8,2,TRUE),5,1)</t>
  </si>
  <si>
    <t xml:space="preserve">INDEX(LINEST(Data!K1:K8,Data!A1:A8,2,TRUE),5,2)</t>
  </si>
  <si>
    <t xml:space="preserve">ROWS(LINEST(Data!K1:K8,Data!A1:A8,2,TRUE))</t>
  </si>
  <si>
    <t xml:space="preserve">COLUMNS(LINEST(Data!K1:K8,Data!A1:A8,2,TRUE))</t>
  </si>
  <si>
    <t xml:space="preserve">INDEX(LINEST(Data!K1:K8,Data!A1:A8,-1,-1),1,1)</t>
  </si>
  <si>
    <t xml:space="preserve">INDEX(LINEST(Data!K1:K8,Data!A1:A8,-1,-1),1,2)</t>
  </si>
  <si>
    <t xml:space="preserve">INDEX(LINEST(Data!K1:K8,Data!A1:A8,-1,-1),2,1)</t>
  </si>
  <si>
    <t xml:space="preserve">INDEX(LINEST(Data!K1:K8,Data!A1:A8,-1,-1),2,2)</t>
  </si>
  <si>
    <t xml:space="preserve">INDEX(LINEST(Data!K1:K8,Data!A1:A8,-1,-1),3,1)</t>
  </si>
  <si>
    <t xml:space="preserve">INDEX(LINEST(Data!K1:K8,Data!A1:A8,-1,-1),3,2)</t>
  </si>
  <si>
    <t xml:space="preserve">INDEX(LINEST(Data!K1:K8,Data!A1:A8,-1,-1),4,1)</t>
  </si>
  <si>
    <t xml:space="preserve">INDEX(LINEST(Data!K1:K8,Data!A1:A8,-1,-1),4,2)</t>
  </si>
  <si>
    <t xml:space="preserve">INDEX(LINEST(Data!K1:K8,Data!A1:A8,-1,-1),5,1)</t>
  </si>
  <si>
    <t xml:space="preserve">INDEX(LINEST(Data!K1:K8,Data!A1:A8,-1,-1),5,2)</t>
  </si>
  <si>
    <t xml:space="preserve">ROWS(LINEST(Data!K1:K8,Data!A1:A8,-1,-1))</t>
  </si>
  <si>
    <t xml:space="preserve">COLUMNS(LINEST(Data!K1:K8,Data!A1:A8,-1,-1))</t>
  </si>
  <si>
    <t xml:space="preserve">INDEX(LINEST(Data!K1:K8,Data!A1:A8,,TRUE),1,1)</t>
  </si>
  <si>
    <t xml:space="preserve">INDEX(LINEST(Data!K1:K8,Data!A1:A8,,TRUE),1,2)</t>
  </si>
  <si>
    <t xml:space="preserve">INDEX(LINEST(Data!K1:K8,Data!A1:A8,,TRUE),2,1)</t>
  </si>
  <si>
    <t xml:space="preserve">INDEX(LINEST(Data!K1:K8,Data!A1:A8,,TRUE),2,2)</t>
  </si>
  <si>
    <t xml:space="preserve">INDEX(LINEST(Data!K1:K8,Data!A1:A8,,TRUE),3,1)</t>
  </si>
  <si>
    <t xml:space="preserve">INDEX(LINEST(Data!K1:K8,Data!A1:A8,,TRUE),3,2)</t>
  </si>
  <si>
    <t xml:space="preserve">INDEX(LINEST(Data!K1:K8,Data!A1:A8,,TRUE),4,1)</t>
  </si>
  <si>
    <t xml:space="preserve">INDEX(LINEST(Data!K1:K8,Data!A1:A8,,TRUE),4,2)</t>
  </si>
  <si>
    <t xml:space="preserve">INDEX(LINEST(Data!K1:K8,Data!A1:A8,,TRUE),5,1)</t>
  </si>
  <si>
    <t xml:space="preserve">INDEX(LINEST(Data!K1:K8,Data!A1:A8,,TRUE),5,2)</t>
  </si>
  <si>
    <t xml:space="preserve">ROWS(LINEST(Data!K1:K8,Data!A1:A8,,TRUE))</t>
  </si>
  <si>
    <t xml:space="preserve">COLUMNS(LINEST(Data!K1:K8,Data!A1:A8,,TRUE))</t>
  </si>
  <si>
    <t xml:space="preserve">INDEX(LINEST(Data!K1:K8,Data!A1:A8,TRUE,),1,1)</t>
  </si>
  <si>
    <t xml:space="preserve">INDEX(LINEST(Data!K1:K8,Data!A1:A8,TRUE,),1,2)</t>
  </si>
  <si>
    <t xml:space="preserve">ROWS(LINEST(Data!K1:K8,Data!A1:A8,TRUE,))</t>
  </si>
  <si>
    <t xml:space="preserve">COLUMNS(LINEST(Data!K1:K8,Data!A1:A8,TRUE,))</t>
  </si>
  <si>
    <t xml:space="preserve">INDEX(LINEST(Data!K1:K8,Data!A1:A8,TRUE,TRUE,1),1,1)</t>
  </si>
  <si>
    <t xml:space="preserve">INDEX(LINEST(Data!K1:K8,Data!A1:A8,TRUE,TRUE,1),1,2)</t>
  </si>
  <si>
    <t xml:space="preserve">INDEX(LINEST(Data!K1:K8,Data!A1:A8,TRUE,TRUE,1),2,1)</t>
  </si>
  <si>
    <t xml:space="preserve">INDEX(LINEST(Data!K1:K8,Data!A1:A8,TRUE,TRUE,1),2,2)</t>
  </si>
  <si>
    <t xml:space="preserve">INDEX(LINEST(Data!K1:K8,Data!A1:A8,TRUE,TRUE,1),3,1)</t>
  </si>
  <si>
    <t xml:space="preserve">INDEX(LINEST(Data!K1:K8,Data!A1:A8,TRUE,TRUE,1),3,2)</t>
  </si>
  <si>
    <t xml:space="preserve">INDEX(LINEST(Data!K1:K8,Data!A1:A8,TRUE,TRUE,1),4,1)</t>
  </si>
  <si>
    <t xml:space="preserve">INDEX(LINEST(Data!K1:K8,Data!A1:A8,TRUE,TRUE,1),4,2)</t>
  </si>
  <si>
    <t xml:space="preserve">INDEX(LINEST(Data!K1:K8,Data!A1:A8,TRUE,TRUE,1),5,1)</t>
  </si>
  <si>
    <t xml:space="preserve">INDEX(LINEST(Data!K1:K8,Data!A1:A8,TRUE,TRUE,1),5,2)</t>
  </si>
  <si>
    <t xml:space="preserve">ROWS(LINEST(Data!K1:K8,Data!A1:A8,TRUE,TRUE,1))</t>
  </si>
  <si>
    <t xml:space="preserve">COLUMNS(LINEST(Data!K1:K8,Data!A1:A8,TRUE,TRUE,1))</t>
  </si>
  <si>
    <t xml:space="preserve">INDEX(LINEST(Data!K1:K8,Data!A1:A8,Data!D1,TRUE),1,1)</t>
  </si>
  <si>
    <t xml:space="preserve">INDEX(LINEST(Data!K1:K8,Data!A1:A8,Data!D1,TRUE),1,2)</t>
  </si>
  <si>
    <t xml:space="preserve">INDEX(LINEST(Data!K1:K8,Data!A1:A8,Data!D1,TRUE),2,1)</t>
  </si>
  <si>
    <t xml:space="preserve">INDEX(LINEST(Data!K1:K8,Data!A1:A8,Data!D1,TRUE),2,2)</t>
  </si>
  <si>
    <t xml:space="preserve">INDEX(LINEST(Data!K1:K8,Data!A1:A8,Data!D1,TRUE),3,1)</t>
  </si>
  <si>
    <t xml:space="preserve">INDEX(LINEST(Data!K1:K8,Data!A1:A8,Data!D1,TRUE),3,2)</t>
  </si>
  <si>
    <t xml:space="preserve">INDEX(LINEST(Data!K1:K8,Data!A1:A8,Data!D1,TRUE),4,1)</t>
  </si>
  <si>
    <t xml:space="preserve">INDEX(LINEST(Data!K1:K8,Data!A1:A8,Data!D1,TRUE),4,2)</t>
  </si>
  <si>
    <t xml:space="preserve">INDEX(LINEST(Data!K1:K8,Data!A1:A8,Data!D1,TRUE),5,1)</t>
  </si>
  <si>
    <t xml:space="preserve">INDEX(LINEST(Data!K1:K8,Data!A1:A8,Data!D1,TRUE),5,2)</t>
  </si>
  <si>
    <t xml:space="preserve">ROWS(LINEST(Data!K1:K8,Data!A1:A8,Data!D1,TRUE))</t>
  </si>
  <si>
    <t xml:space="preserve">COLUMNS(LINEST(Data!K1:K8,Data!A1:A8,Data!D1,TRUE))</t>
  </si>
  <si>
    <t xml:space="preserve">INDEX(LINEST(Data!K1:K8,Data!A1:A8,TRUE,Data!D1),1,1)</t>
  </si>
  <si>
    <t xml:space="preserve">INDEX(LINEST(Data!K1:K8,Data!A1:A8,TRUE,Data!D1),1,2)</t>
  </si>
  <si>
    <t xml:space="preserve">INDEX(LINEST(Data!K1:K8,Data!A1:A8,TRUE,Data!D1),2,1)</t>
  </si>
  <si>
    <t xml:space="preserve">INDEX(LINEST(Data!K1:K8,Data!A1:A8,TRUE,Data!D1),2,2)</t>
  </si>
  <si>
    <t xml:space="preserve">INDEX(LINEST(Data!K1:K8,Data!A1:A8,TRUE,Data!D1),3,1)</t>
  </si>
  <si>
    <t xml:space="preserve">INDEX(LINEST(Data!K1:K8,Data!A1:A8,TRUE,Data!D1),3,2)</t>
  </si>
  <si>
    <t xml:space="preserve">INDEX(LINEST(Data!K1:K8,Data!A1:A8,TRUE,Data!D1),4,1)</t>
  </si>
  <si>
    <t xml:space="preserve">INDEX(LINEST(Data!K1:K8,Data!A1:A8,TRUE,Data!D1),4,2)</t>
  </si>
  <si>
    <t xml:space="preserve">INDEX(LINEST(Data!K1:K8,Data!A1:A8,TRUE,Data!D1),5,1)</t>
  </si>
  <si>
    <t xml:space="preserve">INDEX(LINEST(Data!K1:K8,Data!A1:A8,TRUE,Data!D1),5,2)</t>
  </si>
  <si>
    <t xml:space="preserve">ROWS(LINEST(Data!K1:K8,Data!A1:A8,TRUE,Data!D1))</t>
  </si>
  <si>
    <t xml:space="preserve">COLUMNS(LINEST(Data!K1:K8,Data!A1:A8,TRUE,Data!D1))</t>
  </si>
  <si>
    <t xml:space="preserve">INDEX(LINEST(Data!K1:K8,Data!BF1:BG8,FALSE),1,1)</t>
  </si>
  <si>
    <t xml:space="preserve">INDEX(LINEST(Data!K1:K8,Data!BF1:BG8,FALSE),1,2)</t>
  </si>
  <si>
    <t xml:space="preserve">INDEX(LINEST(Data!K1:K8,Data!BF1:BG8,FALSE),1,3)</t>
  </si>
  <si>
    <t xml:space="preserve">ROWS(LINEST(Data!K1:K8,Data!BF1:BG8,FALSE))</t>
  </si>
  <si>
    <t xml:space="preserve">COLUMNS(LINEST(Data!K1:K8,Data!BF1:BG8,FALSE))</t>
  </si>
  <si>
    <t xml:space="preserve">INDEX(LINEST(Data!K1:K8,Data!BF1:BG8,FALSE,FALSE),1,1)</t>
  </si>
  <si>
    <t xml:space="preserve">INDEX(LINEST(Data!K1:K8,Data!BF1:BG8,FALSE,FALSE),1,2)</t>
  </si>
  <si>
    <t xml:space="preserve">INDEX(LINEST(Data!K1:K8,Data!BF1:BG8,FALSE,FALSE),1,3)</t>
  </si>
  <si>
    <t xml:space="preserve">ROWS(LINEST(Data!K1:K8,Data!BF1:BG8,FALSE,FALSE))</t>
  </si>
  <si>
    <t xml:space="preserve">COLUMNS(LINEST(Data!K1:K8,Data!BF1:BG8,FALSE,FALSE))</t>
  </si>
  <si>
    <t xml:space="preserve">INDEX(LOGEST(Data!K1:K8,Data!A1:A8),1,1)</t>
  </si>
  <si>
    <t xml:space="preserve">INDEX(LOGEST(Data!K1:K8,Data!A1:A8),1,2)</t>
  </si>
  <si>
    <t xml:space="preserve">ROWS(LOGEST(Data!K1:K8,Data!A1:A8))</t>
  </si>
  <si>
    <t xml:space="preserve">COLUMNS(LOGEST(Data!K1:K8,Data!A1:A8))</t>
  </si>
  <si>
    <t xml:space="preserve">INDEX(LOGEST(Data!K1:K8,Data!A1:A8,TRUE,TRUE),1,1)</t>
  </si>
  <si>
    <t xml:space="preserve">INDEX(LOGEST(Data!K1:K8,Data!A1:A8,TRUE,TRUE),1,2)</t>
  </si>
  <si>
    <t xml:space="preserve">INDEX(LOGEST(Data!K1:K8,Data!A1:A8,TRUE,TRUE),2,1)</t>
  </si>
  <si>
    <t xml:space="preserve">INDEX(LOGEST(Data!K1:K8,Data!A1:A8,TRUE,TRUE),2,2)</t>
  </si>
  <si>
    <t xml:space="preserve">INDEX(LOGEST(Data!K1:K8,Data!A1:A8,TRUE,TRUE),3,1)</t>
  </si>
  <si>
    <t xml:space="preserve">INDEX(LOGEST(Data!K1:K8,Data!A1:A8,TRUE,TRUE),3,2)</t>
  </si>
  <si>
    <t xml:space="preserve">INDEX(LOGEST(Data!K1:K8,Data!A1:A8,TRUE,TRUE),4,1)</t>
  </si>
  <si>
    <t xml:space="preserve">INDEX(LOGEST(Data!K1:K8,Data!A1:A8,TRUE,TRUE),4,2)</t>
  </si>
  <si>
    <t xml:space="preserve">INDEX(LOGEST(Data!K1:K8,Data!A1:A8,TRUE,TRUE),5,1)</t>
  </si>
  <si>
    <t xml:space="preserve">INDEX(LOGEST(Data!K1:K8,Data!A1:A8,TRUE,TRUE),5,2)</t>
  </si>
  <si>
    <t xml:space="preserve">ROWS(LOGEST(Data!K1:K8,Data!A1:A8,TRUE,TRUE))</t>
  </si>
  <si>
    <t xml:space="preserve">COLUMNS(LOGEST(Data!K1:K8,Data!A1:A8,TRUE,TRUE))</t>
  </si>
  <si>
    <t xml:space="preserve">INDEX(LOGEST(Data!K1:K8,Data!A1:A8,FALSE,TRUE),1,1)</t>
  </si>
  <si>
    <t xml:space="preserve">INDEX(LOGEST(Data!K1:K8,Data!A1:A8,FALSE,TRUE),1,2)</t>
  </si>
  <si>
    <t xml:space="preserve">INDEX(LOGEST(Data!K1:K8,Data!A1:A8,FALSE,TRUE),2,1)</t>
  </si>
  <si>
    <t xml:space="preserve">INDEX(LOGEST(Data!K1:K8,Data!A1:A8,FALSE,TRUE),2,2)</t>
  </si>
  <si>
    <t xml:space="preserve">INDEX(LOGEST(Data!K1:K8,Data!A1:A8,FALSE,TRUE),3,1)</t>
  </si>
  <si>
    <t xml:space="preserve">INDEX(LOGEST(Data!K1:K8,Data!A1:A8,FALSE,TRUE),3,2)</t>
  </si>
  <si>
    <t xml:space="preserve">INDEX(LOGEST(Data!K1:K8,Data!A1:A8,FALSE,TRUE),4,1)</t>
  </si>
  <si>
    <t xml:space="preserve">INDEX(LOGEST(Data!K1:K8,Data!A1:A8,FALSE,TRUE),4,2)</t>
  </si>
  <si>
    <t xml:space="preserve">INDEX(LOGEST(Data!K1:K8,Data!A1:A8,FALSE,TRUE),5,1)</t>
  </si>
  <si>
    <t xml:space="preserve">INDEX(LOGEST(Data!K1:K8,Data!A1:A8,FALSE,TRUE),5,2)</t>
  </si>
  <si>
    <t xml:space="preserve">ROWS(LOGEST(Data!K1:K8,Data!A1:A8,FALSE,TRUE))</t>
  </si>
  <si>
    <t xml:space="preserve">COLUMNS(LOGEST(Data!K1:K8,Data!A1:A8,FALSE,TRUE))</t>
  </si>
  <si>
    <t xml:space="preserve">INDEX(LOGEST(Data!K1:K8,Data!A1:A8,FALSE),1,1)</t>
  </si>
  <si>
    <t xml:space="preserve">INDEX(LOGEST(Data!K1:K8,Data!A1:A8,FALSE),1,2)</t>
  </si>
  <si>
    <t xml:space="preserve">ROWS(LOGEST(Data!K1:K8,Data!A1:A8,FALSE))</t>
  </si>
  <si>
    <t xml:space="preserve">COLUMNS(LOGEST(Data!K1:K8,Data!A1:A8,FALSE))</t>
  </si>
  <si>
    <t xml:space="preserve">INDEX(LOGEST(Data!K1:K8),1,1)</t>
  </si>
  <si>
    <t xml:space="preserve">INDEX(LOGEST(Data!K1:K8),1,2)</t>
  </si>
  <si>
    <t xml:space="preserve">ROWS(LOGEST(Data!K1:K8))</t>
  </si>
  <si>
    <t xml:space="preserve">COLUMNS(LOGEST(Data!K1:K8))</t>
  </si>
  <si>
    <t xml:space="preserve">INDEX(LOGEST(Data!K1:K8,,TRUE,TRUE),1,1)</t>
  </si>
  <si>
    <t xml:space="preserve">INDEX(LOGEST(Data!K1:K8,,TRUE,TRUE),1,2)</t>
  </si>
  <si>
    <t xml:space="preserve">INDEX(LOGEST(Data!K1:K8,,TRUE,TRUE),2,1)</t>
  </si>
  <si>
    <t xml:space="preserve">INDEX(LOGEST(Data!K1:K8,,TRUE,TRUE),2,2)</t>
  </si>
  <si>
    <t xml:space="preserve">INDEX(LOGEST(Data!K1:K8,,TRUE,TRUE),3,1)</t>
  </si>
  <si>
    <t xml:space="preserve">INDEX(LOGEST(Data!K1:K8,,TRUE,TRUE),3,2)</t>
  </si>
  <si>
    <t xml:space="preserve">INDEX(LOGEST(Data!K1:K8,,TRUE,TRUE),4,1)</t>
  </si>
  <si>
    <t xml:space="preserve">INDEX(LOGEST(Data!K1:K8,,TRUE,TRUE),4,2)</t>
  </si>
  <si>
    <t xml:space="preserve">INDEX(LOGEST(Data!K1:K8,,TRUE,TRUE),5,1)</t>
  </si>
  <si>
    <t xml:space="preserve">INDEX(LOGEST(Data!K1:K8,,TRUE,TRUE),5,2)</t>
  </si>
  <si>
    <t xml:space="preserve">ROWS(LOGEST(Data!K1:K8,,TRUE,TRUE))</t>
  </si>
  <si>
    <t xml:space="preserve">COLUMNS(LOGEST(Data!K1:K8,,TRUE,TRUE))</t>
  </si>
  <si>
    <t xml:space="preserve">INDEX(LOGEST(Data!K1:K8,Data!A1:A8,TRUE,FALSE),1,1)</t>
  </si>
  <si>
    <t xml:space="preserve">INDEX(LOGEST(Data!K1:K8,Data!A1:A8,TRUE,FALSE),1,2)</t>
  </si>
  <si>
    <t xml:space="preserve">ROWS(LOGEST(Data!K1:K8,Data!A1:A8,TRUE,FALSE))</t>
  </si>
  <si>
    <t xml:space="preserve">COLUMNS(LOGEST(Data!K1:K8,Data!A1:A8,TRUE,FALSE))</t>
  </si>
  <si>
    <t xml:space="preserve">INDEX(LOGEST(Data!K1:K8,Data!A1:A8,0,1),1,1)</t>
  </si>
  <si>
    <t xml:space="preserve">INDEX(LOGEST(Data!K1:K8,Data!A1:A8,0,1),1,2)</t>
  </si>
  <si>
    <t xml:space="preserve">INDEX(LOGEST(Data!K1:K8,Data!A1:A8,0,1),2,1)</t>
  </si>
  <si>
    <t xml:space="preserve">INDEX(LOGEST(Data!K1:K8,Data!A1:A8,0,1),2,2)</t>
  </si>
  <si>
    <t xml:space="preserve">INDEX(LOGEST(Data!K1:K8,Data!A1:A8,0,1),3,1)</t>
  </si>
  <si>
    <t xml:space="preserve">INDEX(LOGEST(Data!K1:K8,Data!A1:A8,0,1),3,2)</t>
  </si>
  <si>
    <t xml:space="preserve">INDEX(LOGEST(Data!K1:K8,Data!A1:A8,0,1),4,1)</t>
  </si>
  <si>
    <t xml:space="preserve">INDEX(LOGEST(Data!K1:K8,Data!A1:A8,0,1),4,2)</t>
  </si>
  <si>
    <t xml:space="preserve">INDEX(LOGEST(Data!K1:K8,Data!A1:A8,0,1),5,1)</t>
  </si>
  <si>
    <t xml:space="preserve">INDEX(LOGEST(Data!K1:K8,Data!A1:A8,0,1),5,2)</t>
  </si>
  <si>
    <t xml:space="preserve">ROWS(LOGEST(Data!K1:K8,Data!A1:A8,0,1))</t>
  </si>
  <si>
    <t xml:space="preserve">COLUMNS(LOGEST(Data!K1:K8,Data!A1:A8,0,1))</t>
  </si>
  <si>
    <t xml:space="preserve">INDEX(LOGEST(Data!K1:K8,Data!BG1:BG8),1,1)</t>
  </si>
  <si>
    <t xml:space="preserve">INDEX(LOGEST(Data!K1:K8,Data!BG1:BG8),1,2)</t>
  </si>
  <si>
    <t xml:space="preserve">ROWS(LOGEST(Data!K1:K8,Data!BG1:BG8))</t>
  </si>
  <si>
    <t xml:space="preserve">COLUMNS(LOGEST(Data!K1:K8,Data!BG1:BG8))</t>
  </si>
  <si>
    <t xml:space="preserve">INDEX(LOGEST(Data!K1:K8,Data!BF1:BG8,TRUE,TRUE),1,1)</t>
  </si>
  <si>
    <t xml:space="preserve">INDEX(LOGEST(Data!K1:K8,Data!BF1:BG8,TRUE,TRUE),1,2)</t>
  </si>
  <si>
    <t xml:space="preserve">INDEX(LOGEST(Data!K1:K8,Data!BF1:BG8,TRUE,TRUE),1,3)</t>
  </si>
  <si>
    <t xml:space="preserve">INDEX(LOGEST(Data!K1:K8,Data!BF1:BG8,TRUE,TRUE),2,1)</t>
  </si>
  <si>
    <t xml:space="preserve">INDEX(LOGEST(Data!K1:K8,Data!BF1:BG8,TRUE,TRUE),2,2)</t>
  </si>
  <si>
    <t xml:space="preserve">INDEX(LOGEST(Data!K1:K8,Data!BF1:BG8,TRUE,TRUE),2,3)</t>
  </si>
  <si>
    <t xml:space="preserve">INDEX(LOGEST(Data!K1:K8,Data!BF1:BG8,TRUE,TRUE),3,1)</t>
  </si>
  <si>
    <t xml:space="preserve">INDEX(LOGEST(Data!K1:K8,Data!BF1:BG8,TRUE,TRUE),3,2)</t>
  </si>
  <si>
    <t xml:space="preserve">INDEX(LOGEST(Data!K1:K8,Data!BF1:BG8,TRUE,TRUE),3,3)</t>
  </si>
  <si>
    <t xml:space="preserve">INDEX(LOGEST(Data!K1:K8,Data!BF1:BG8,TRUE,TRUE),4,1)</t>
  </si>
  <si>
    <t xml:space="preserve">INDEX(LOGEST(Data!K1:K8,Data!BF1:BG8,TRUE,TRUE),4,2)</t>
  </si>
  <si>
    <t xml:space="preserve">INDEX(LOGEST(Data!K1:K8,Data!BF1:BG8,TRUE,TRUE),4,3)</t>
  </si>
  <si>
    <t xml:space="preserve">INDEX(LOGEST(Data!K1:K8,Data!BF1:BG8,TRUE,TRUE),5,1)</t>
  </si>
  <si>
    <t xml:space="preserve">INDEX(LOGEST(Data!K1:K8,Data!BF1:BG8,TRUE,TRUE),5,2)</t>
  </si>
  <si>
    <t xml:space="preserve">INDEX(LOGEST(Data!K1:K8,Data!BF1:BG8,TRUE,TRUE),5,3)</t>
  </si>
  <si>
    <t xml:space="preserve">ROWS(LOGEST(Data!K1:K8,Data!BF1:BG8,TRUE,TRUE))</t>
  </si>
  <si>
    <t xml:space="preserve">COLUMNS(LOGEST(Data!K1:K8,Data!BF1:BG8,TRUE,TRUE))</t>
  </si>
  <si>
    <t xml:space="preserve">INDEX(LOGEST(Data!K1:K8,Data!BF1:BG8),1,1)</t>
  </si>
  <si>
    <t xml:space="preserve">INDEX(LOGEST(Data!K1:K8,Data!BF1:BG8),1,2)</t>
  </si>
  <si>
    <t xml:space="preserve">INDEX(LOGEST(Data!K1:K8,Data!BF1:BG8),1,3)</t>
  </si>
  <si>
    <t xml:space="preserve">ROWS(LOGEST(Data!K1:K8,Data!BF1:BG8))</t>
  </si>
  <si>
    <t xml:space="preserve">COLUMNS(LOGEST(Data!K1:K8,Data!BF1:BG8))</t>
  </si>
  <si>
    <t xml:space="preserve">INDEX(LOGEST(Data!K1:K8,Data!BF1:BG8,FALSE,TRUE),1,1)</t>
  </si>
  <si>
    <t xml:space="preserve">INDEX(LOGEST(Data!K1:K8,Data!BF1:BG8,FALSE,TRUE),1,2)</t>
  </si>
  <si>
    <t xml:space="preserve">INDEX(LOGEST(Data!K1:K8,Data!BF1:BG8,FALSE,TRUE),1,3)</t>
  </si>
  <si>
    <t xml:space="preserve">INDEX(LOGEST(Data!K1:K8,Data!BF1:BG8,FALSE,TRUE),2,1)</t>
  </si>
  <si>
    <t xml:space="preserve">INDEX(LOGEST(Data!K1:K8,Data!BF1:BG8,FALSE,TRUE),2,2)</t>
  </si>
  <si>
    <t xml:space="preserve">INDEX(LOGEST(Data!K1:K8,Data!BF1:BG8,FALSE,TRUE),2,3)</t>
  </si>
  <si>
    <t xml:space="preserve">INDEX(LOGEST(Data!K1:K8,Data!BF1:BG8,FALSE,TRUE),3,1)</t>
  </si>
  <si>
    <t xml:space="preserve">INDEX(LOGEST(Data!K1:K8,Data!BF1:BG8,FALSE,TRUE),3,2)</t>
  </si>
  <si>
    <t xml:space="preserve">INDEX(LOGEST(Data!K1:K8,Data!BF1:BG8,FALSE,TRUE),3,3)</t>
  </si>
  <si>
    <t xml:space="preserve">INDEX(LOGEST(Data!K1:K8,Data!BF1:BG8,FALSE,TRUE),4,1)</t>
  </si>
  <si>
    <t xml:space="preserve">INDEX(LOGEST(Data!K1:K8,Data!BF1:BG8,FALSE,TRUE),4,2)</t>
  </si>
  <si>
    <t xml:space="preserve">INDEX(LOGEST(Data!K1:K8,Data!BF1:BG8,FALSE,TRUE),4,3)</t>
  </si>
  <si>
    <t xml:space="preserve">INDEX(LOGEST(Data!K1:K8,Data!BF1:BG8,FALSE,TRUE),5,1)</t>
  </si>
  <si>
    <t xml:space="preserve">INDEX(LOGEST(Data!K1:K8,Data!BF1:BG8,FALSE,TRUE),5,2)</t>
  </si>
  <si>
    <t xml:space="preserve">INDEX(LOGEST(Data!K1:K8,Data!BF1:BG8,FALSE,TRUE),5,3)</t>
  </si>
  <si>
    <t xml:space="preserve">ROWS(LOGEST(Data!K1:K8,Data!BF1:BG8,FALSE,TRUE))</t>
  </si>
  <si>
    <t xml:space="preserve">COLUMNS(LOGEST(Data!K1:K8,Data!BF1:BG8,FALSE,TRUE))</t>
  </si>
  <si>
    <t xml:space="preserve">INDEX(LOGEST(Data!K1:K8,Data!BF1:BH8,TRUE,TRUE),1,1)</t>
  </si>
  <si>
    <t xml:space="preserve">INDEX(LOGEST(Data!K1:K8,Data!BF1:BH8,TRUE,TRUE),1,2)</t>
  </si>
  <si>
    <t xml:space="preserve">INDEX(LOGEST(Data!K1:K8,Data!BF1:BH8,TRUE,TRUE),1,3)</t>
  </si>
  <si>
    <t xml:space="preserve">INDEX(LOGEST(Data!K1:K8,Data!BF1:BH8,TRUE,TRUE),1,4)</t>
  </si>
  <si>
    <t xml:space="preserve">INDEX(LOGEST(Data!K1:K8,Data!BF1:BH8,TRUE,TRUE),2,1)</t>
  </si>
  <si>
    <t xml:space="preserve">INDEX(LOGEST(Data!K1:K8,Data!BF1:BH8,TRUE,TRUE),2,2)</t>
  </si>
  <si>
    <t xml:space="preserve">INDEX(LOGEST(Data!K1:K8,Data!BF1:BH8,TRUE,TRUE),2,3)</t>
  </si>
  <si>
    <t xml:space="preserve">INDEX(LOGEST(Data!K1:K8,Data!BF1:BH8,TRUE,TRUE),2,4)</t>
  </si>
  <si>
    <t xml:space="preserve">INDEX(LOGEST(Data!K1:K8,Data!BF1:BH8,TRUE,TRUE),3,1)</t>
  </si>
  <si>
    <t xml:space="preserve">INDEX(LOGEST(Data!K1:K8,Data!BF1:BH8,TRUE,TRUE),3,2)</t>
  </si>
  <si>
    <t xml:space="preserve">INDEX(LOGEST(Data!K1:K8,Data!BF1:BH8,TRUE,TRUE),3,3)</t>
  </si>
  <si>
    <t xml:space="preserve">INDEX(LOGEST(Data!K1:K8,Data!BF1:BH8,TRUE,TRUE),3,4)</t>
  </si>
  <si>
    <t xml:space="preserve">INDEX(LOGEST(Data!K1:K8,Data!BF1:BH8,TRUE,TRUE),4,1)</t>
  </si>
  <si>
    <t xml:space="preserve">INDEX(LOGEST(Data!K1:K8,Data!BF1:BH8,TRUE,TRUE),4,2)</t>
  </si>
  <si>
    <t xml:space="preserve">INDEX(LOGEST(Data!K1:K8,Data!BF1:BH8,TRUE,TRUE),4,3)</t>
  </si>
  <si>
    <t xml:space="preserve">INDEX(LOGEST(Data!K1:K8,Data!BF1:BH8,TRUE,TRUE),4,4)</t>
  </si>
  <si>
    <t xml:space="preserve">INDEX(LOGEST(Data!K1:K8,Data!BF1:BH8,TRUE,TRUE),5,1)</t>
  </si>
  <si>
    <t xml:space="preserve">INDEX(LOGEST(Data!K1:K8,Data!BF1:BH8,TRUE,TRUE),5,2)</t>
  </si>
  <si>
    <t xml:space="preserve">INDEX(LOGEST(Data!K1:K8,Data!BF1:BH8,TRUE,TRUE),5,3)</t>
  </si>
  <si>
    <t xml:space="preserve">INDEX(LOGEST(Data!K1:K8,Data!BF1:BH8,TRUE,TRUE),5,4)</t>
  </si>
  <si>
    <t xml:space="preserve">ROWS(LOGEST(Data!K1:K8,Data!BF1:BH8,TRUE,TRUE))</t>
  </si>
  <si>
    <t xml:space="preserve">COLUMNS(LOGEST(Data!K1:K8,Data!BF1:BH8,TRUE,TRUE))</t>
  </si>
  <si>
    <t xml:space="preserve">INDEX(LOGEST(Data!K1:K8,Data!BG1:BH8,TRUE,TRUE),1,1)</t>
  </si>
  <si>
    <t xml:space="preserve">INDEX(LOGEST(Data!K1:K8,Data!BG1:BH8,TRUE,TRUE),1,2)</t>
  </si>
  <si>
    <t xml:space="preserve">INDEX(LOGEST(Data!K1:K8,Data!BG1:BH8,TRUE,TRUE),1,3)</t>
  </si>
  <si>
    <t xml:space="preserve">INDEX(LOGEST(Data!K1:K8,Data!BG1:BH8,TRUE,TRUE),2,1)</t>
  </si>
  <si>
    <t xml:space="preserve">INDEX(LOGEST(Data!K1:K8,Data!BG1:BH8,TRUE,TRUE),2,2)</t>
  </si>
  <si>
    <t xml:space="preserve">INDEX(LOGEST(Data!K1:K8,Data!BG1:BH8,TRUE,TRUE),2,3)</t>
  </si>
  <si>
    <t xml:space="preserve">INDEX(LOGEST(Data!K1:K8,Data!BG1:BH8,TRUE,TRUE),3,1)</t>
  </si>
  <si>
    <t xml:space="preserve">INDEX(LOGEST(Data!K1:K8,Data!BG1:BH8,TRUE,TRUE),3,2)</t>
  </si>
  <si>
    <t xml:space="preserve">INDEX(LOGEST(Data!K1:K8,Data!BG1:BH8,TRUE,TRUE),3,3)</t>
  </si>
  <si>
    <t xml:space="preserve">INDEX(LOGEST(Data!K1:K8,Data!BG1:BH8,TRUE,TRUE),4,1)</t>
  </si>
  <si>
    <t xml:space="preserve">INDEX(LOGEST(Data!K1:K8,Data!BG1:BH8,TRUE,TRUE),4,2)</t>
  </si>
  <si>
    <t xml:space="preserve">INDEX(LOGEST(Data!K1:K8,Data!BG1:BH8,TRUE,TRUE),4,3)</t>
  </si>
  <si>
    <t xml:space="preserve">INDEX(LOGEST(Data!K1:K8,Data!BG1:BH8,TRUE,TRUE),5,1)</t>
  </si>
  <si>
    <t xml:space="preserve">INDEX(LOGEST(Data!K1:K8,Data!BG1:BH8,TRUE,TRUE),5,2)</t>
  </si>
  <si>
    <t xml:space="preserve">INDEX(LOGEST(Data!K1:K8,Data!BG1:BH8,TRUE,TRUE),5,3)</t>
  </si>
  <si>
    <t xml:space="preserve">ROWS(LOGEST(Data!K1:K8,Data!BG1:BH8,TRUE,TRUE))</t>
  </si>
  <si>
    <t xml:space="preserve">COLUMNS(LOGEST(Data!K1:K8,Data!BG1:BH8,TRUE,TRUE))</t>
  </si>
  <si>
    <t xml:space="preserve">INDEX(LOGEST(TRANSPOSE(Data!K1:K8),TRANSPOSE(Data!A1:A8),TRUE,TRUE),1,1)</t>
  </si>
  <si>
    <t xml:space="preserve">INDEX(LOGEST(TRANSPOSE(Data!K1:K8),TRANSPOSE(Data!A1:A8),TRUE,TRUE),1,2)</t>
  </si>
  <si>
    <t xml:space="preserve">INDEX(LOGEST(TRANSPOSE(Data!K1:K8),TRANSPOSE(Data!A1:A8),TRUE,TRUE),2,1)</t>
  </si>
  <si>
    <t xml:space="preserve">INDEX(LOGEST(TRANSPOSE(Data!K1:K8),TRANSPOSE(Data!A1:A8),TRUE,TRUE),2,2)</t>
  </si>
  <si>
    <t xml:space="preserve">INDEX(LOGEST(TRANSPOSE(Data!K1:K8),TRANSPOSE(Data!A1:A8),TRUE,TRUE),3,1)</t>
  </si>
  <si>
    <t xml:space="preserve">INDEX(LOGEST(TRANSPOSE(Data!K1:K8),TRANSPOSE(Data!A1:A8),TRUE,TRUE),3,2)</t>
  </si>
  <si>
    <t xml:space="preserve">INDEX(LOGEST(TRANSPOSE(Data!K1:K8),TRANSPOSE(Data!A1:A8),TRUE,TRUE),4,1)</t>
  </si>
  <si>
    <t xml:space="preserve">INDEX(LOGEST(TRANSPOSE(Data!K1:K8),TRANSPOSE(Data!A1:A8),TRUE,TRUE),4,2)</t>
  </si>
  <si>
    <t xml:space="preserve">INDEX(LOGEST(TRANSPOSE(Data!K1:K8),TRANSPOSE(Data!A1:A8),TRUE,TRUE),5,1)</t>
  </si>
  <si>
    <t xml:space="preserve">INDEX(LOGEST(TRANSPOSE(Data!K1:K8),TRANSPOSE(Data!A1:A8),TRUE,TRUE),5,2)</t>
  </si>
  <si>
    <t xml:space="preserve">ROWS(LOGEST(TRANSPOSE(Data!K1:K8),TRANSPOSE(Data!A1:A8),TRUE,TRUE))</t>
  </si>
  <si>
    <t xml:space="preserve">COLUMNS(LOGEST(TRANSPOSE(Data!K1:K8),TRANSPOSE(Data!A1:A8),TRUE,TRUE))</t>
  </si>
  <si>
    <t xml:space="preserve">INDEX(LOGEST(TRANSPOSE(Data!K1:K8),Data!BF1:BG8),1,1)</t>
  </si>
  <si>
    <t xml:space="preserve">INDEX(LOGEST(TRANSPOSE(Data!K1:K8),Data!BF1:BG8),1,2)</t>
  </si>
  <si>
    <t xml:space="preserve">INDEX(LOGEST(TRANSPOSE(Data!K1:K8),Data!BF1:BG8),1,3)</t>
  </si>
  <si>
    <t xml:space="preserve">ROWS(LOGEST(TRANSPOSE(Data!K1:K8),Data!BF1:BG8))</t>
  </si>
  <si>
    <t xml:space="preserve">COLUMNS(LOGEST(TRANSPOSE(Data!K1:K8),Data!BF1:BG8))</t>
  </si>
  <si>
    <t xml:space="preserve">INDEX(LOGEST(Data!K1:K4,Data!A1:A4,TRUE,TRUE),1,1)</t>
  </si>
  <si>
    <t xml:space="preserve">INDEX(LOGEST(Data!K1:K4,Data!A1:A4,TRUE,TRUE),1,2)</t>
  </si>
  <si>
    <t xml:space="preserve">INDEX(LOGEST(Data!K1:K4,Data!A1:A4,TRUE,TRUE),2,1)</t>
  </si>
  <si>
    <t xml:space="preserve">INDEX(LOGEST(Data!K1:K4,Data!A1:A4,TRUE,TRUE),2,2)</t>
  </si>
  <si>
    <t xml:space="preserve">INDEX(LOGEST(Data!K1:K4,Data!A1:A4,TRUE,TRUE),3,1)</t>
  </si>
  <si>
    <t xml:space="preserve">INDEX(LOGEST(Data!K1:K4,Data!A1:A4,TRUE,TRUE),3,2)</t>
  </si>
  <si>
    <t xml:space="preserve">INDEX(LOGEST(Data!K1:K4,Data!A1:A4,TRUE,TRUE),4,1)</t>
  </si>
  <si>
    <t xml:space="preserve">INDEX(LOGEST(Data!K1:K4,Data!A1:A4,TRUE,TRUE),4,2)</t>
  </si>
  <si>
    <t xml:space="preserve">INDEX(LOGEST(Data!K1:K4,Data!A1:A4,TRUE,TRUE),5,1)</t>
  </si>
  <si>
    <t xml:space="preserve">INDEX(LOGEST(Data!K1:K4,Data!A1:A4,TRUE,TRUE),5,2)</t>
  </si>
  <si>
    <t xml:space="preserve">ROWS(LOGEST(Data!K1:K4,Data!A1:A4,TRUE,TRUE))</t>
  </si>
  <si>
    <t xml:space="preserve">COLUMNS(LOGEST(Data!K1:K4,Data!A1:A4,TRUE,TRUE))</t>
  </si>
  <si>
    <t xml:space="preserve">INDEX(LOGEST(Data!K1:K2,Data!A1:A2,TRUE,TRUE),1,1)</t>
  </si>
  <si>
    <t xml:space="preserve">INDEX(LOGEST(Data!K1:K2,Data!A1:A2,TRUE,TRUE),1,2)</t>
  </si>
  <si>
    <t xml:space="preserve">INDEX(LOGEST(Data!K1:K2,Data!A1:A2,TRUE,TRUE),2,1)</t>
  </si>
  <si>
    <t xml:space="preserve">INDEX(LOGEST(Data!K1:K2,Data!A1:A2,TRUE,TRUE),2,2)</t>
  </si>
  <si>
    <t xml:space="preserve">INDEX(LOGEST(Data!K1:K2,Data!A1:A2,TRUE,TRUE),3,1)</t>
  </si>
  <si>
    <t xml:space="preserve">INDEX(LOGEST(Data!K1:K2,Data!A1:A2,TRUE,TRUE),3,2)</t>
  </si>
  <si>
    <t xml:space="preserve">INDEX(LOGEST(Data!K1:K2,Data!A1:A2,TRUE,TRUE),4,1)</t>
  </si>
  <si>
    <t xml:space="preserve">INDEX(LOGEST(Data!K1:K2,Data!A1:A2,TRUE,TRUE),4,2)</t>
  </si>
  <si>
    <t xml:space="preserve">INDEX(LOGEST(Data!K1:K2,Data!A1:A2,TRUE,TRUE),5,1)</t>
  </si>
  <si>
    <t xml:space="preserve">INDEX(LOGEST(Data!K1:K2,Data!A1:A2,TRUE,TRUE),5,2)</t>
  </si>
  <si>
    <t xml:space="preserve">ROWS(LOGEST(Data!K1:K2,Data!A1:A2,TRUE,TRUE))</t>
  </si>
  <si>
    <t xml:space="preserve">COLUMNS(LOGEST(Data!K1:K2,Data!A1:A2,TRUE,TRUE))</t>
  </si>
  <si>
    <t xml:space="preserve">INDEX(LOGEST(Data!K1:K3,Data!A1:A3,TRUE,TRUE),1,1)</t>
  </si>
  <si>
    <t xml:space="preserve">INDEX(LOGEST(Data!K1:K3,Data!A1:A3,TRUE,TRUE),1,2)</t>
  </si>
  <si>
    <t xml:space="preserve">INDEX(LOGEST(Data!K1:K3,Data!A1:A3,TRUE,TRUE),2,1)</t>
  </si>
  <si>
    <t xml:space="preserve">INDEX(LOGEST(Data!K1:K3,Data!A1:A3,TRUE,TRUE),2,2)</t>
  </si>
  <si>
    <t xml:space="preserve">INDEX(LOGEST(Data!K1:K3,Data!A1:A3,TRUE,TRUE),3,1)</t>
  </si>
  <si>
    <t xml:space="preserve">INDEX(LOGEST(Data!K1:K3,Data!A1:A3,TRUE,TRUE),3,2)</t>
  </si>
  <si>
    <t xml:space="preserve">INDEX(LOGEST(Data!K1:K3,Data!A1:A3,TRUE,TRUE),4,1)</t>
  </si>
  <si>
    <t xml:space="preserve">INDEX(LOGEST(Data!K1:K3,Data!A1:A3,TRUE,TRUE),4,2)</t>
  </si>
  <si>
    <t xml:space="preserve">INDEX(LOGEST(Data!K1:K3,Data!A1:A3,TRUE,TRUE),5,1)</t>
  </si>
  <si>
    <t xml:space="preserve">INDEX(LOGEST(Data!K1:K3,Data!A1:A3,TRUE,TRUE),5,2)</t>
  </si>
  <si>
    <t xml:space="preserve">ROWS(LOGEST(Data!K1:K3,Data!A1:A3,TRUE,TRUE))</t>
  </si>
  <si>
    <t xml:space="preserve">COLUMNS(LOGEST(Data!K1:K3,Data!A1:A3,TRUE,TRUE))</t>
  </si>
  <si>
    <t xml:space="preserve">INDEX(LOGEST(Data!K1:K1,Data!A1:A1,TRUE,TRUE),1,1)</t>
  </si>
  <si>
    <t xml:space="preserve">INDEX(LOGEST(Data!K1:K1,Data!A1:A1,TRUE,TRUE),1,2)</t>
  </si>
  <si>
    <t xml:space="preserve">INDEX(LOGEST(Data!K1:K1,Data!A1:A1,TRUE,TRUE),2,1)</t>
  </si>
  <si>
    <t xml:space="preserve">INDEX(LOGEST(Data!K1:K1,Data!A1:A1,TRUE,TRUE),2,2)</t>
  </si>
  <si>
    <t xml:space="preserve">INDEX(LOGEST(Data!K1:K1,Data!A1:A1,TRUE,TRUE),3,1)</t>
  </si>
  <si>
    <t xml:space="preserve">INDEX(LOGEST(Data!K1:K1,Data!A1:A1,TRUE,TRUE),3,2)</t>
  </si>
  <si>
    <t xml:space="preserve">INDEX(LOGEST(Data!K1:K1,Data!A1:A1,TRUE,TRUE),4,1)</t>
  </si>
  <si>
    <t xml:space="preserve">INDEX(LOGEST(Data!K1:K1,Data!A1:A1,TRUE,TRUE),4,2)</t>
  </si>
  <si>
    <t xml:space="preserve">INDEX(LOGEST(Data!K1:K1,Data!A1:A1,TRUE,TRUE),5,1)</t>
  </si>
  <si>
    <t xml:space="preserve">INDEX(LOGEST(Data!K1:K1,Data!A1:A1,TRUE,TRUE),5,2)</t>
  </si>
  <si>
    <t xml:space="preserve">ROWS(LOGEST(Data!K1:K1,Data!A1:A1,TRUE,TRUE))</t>
  </si>
  <si>
    <t xml:space="preserve">COLUMNS(LOGEST(Data!K1:K1,Data!A1:A1,TRUE,TRUE))</t>
  </si>
  <si>
    <t xml:space="preserve">INDEX(LOGEST(Data!K1:K8,Data!A1:A7),1,1)</t>
  </si>
  <si>
    <t xml:space="preserve">INDEX(LOGEST(Data!K1:K8,Data!A1:A7),1,2)</t>
  </si>
  <si>
    <t xml:space="preserve">ROWS(LOGEST(Data!K1:K8,Data!A1:A7))</t>
  </si>
  <si>
    <t xml:space="preserve">COLUMNS(LOGEST(Data!K1:K8,Data!A1:A7))</t>
  </si>
  <si>
    <t xml:space="preserve">INDEX(LOGEST(Data!K1:K8,Data!A1:A9),1,1)</t>
  </si>
  <si>
    <t xml:space="preserve">INDEX(LOGEST(Data!K1:K8,Data!A1:A9),1,2)</t>
  </si>
  <si>
    <t xml:space="preserve">ROWS(LOGEST(Data!K1:K8,Data!A1:A9))</t>
  </si>
  <si>
    <t xml:space="preserve">COLUMNS(LOGEST(Data!K1:K8,Data!A1:A9))</t>
  </si>
  <si>
    <t xml:space="preserve">INDEX(LOGEST(Data!K1:K8,Data!A1:A8,TRUE,"x"),1,1)</t>
  </si>
  <si>
    <t xml:space="preserve">INDEX(LOGEST(Data!K1:K8,Data!A1:A8,TRUE,"x"),1,2)</t>
  </si>
  <si>
    <t xml:space="preserve">INDEX(LOGEST(Data!K1:K8,Data!A1:A8,TRUE,"x"),2,1)</t>
  </si>
  <si>
    <t xml:space="preserve">INDEX(LOGEST(Data!K1:K8,Data!A1:A8,TRUE,"x"),2,2)</t>
  </si>
  <si>
    <t xml:space="preserve">INDEX(LOGEST(Data!K1:K8,Data!A1:A8,TRUE,"x"),3,1)</t>
  </si>
  <si>
    <t xml:space="preserve">INDEX(LOGEST(Data!K1:K8,Data!A1:A8,TRUE,"x"),3,2)</t>
  </si>
  <si>
    <t xml:space="preserve">INDEX(LOGEST(Data!K1:K8,Data!A1:A8,TRUE,"x"),4,1)</t>
  </si>
  <si>
    <t xml:space="preserve">INDEX(LOGEST(Data!K1:K8,Data!A1:A8,TRUE,"x"),4,2)</t>
  </si>
  <si>
    <t xml:space="preserve">INDEX(LOGEST(Data!K1:K8,Data!A1:A8,TRUE,"x"),5,1)</t>
  </si>
  <si>
    <t xml:space="preserve">INDEX(LOGEST(Data!K1:K8,Data!A1:A8,TRUE,"x"),5,2)</t>
  </si>
  <si>
    <t xml:space="preserve">ROWS(LOGEST(Data!K1:K8,Data!A1:A8,TRUE,"x"))</t>
  </si>
  <si>
    <t xml:space="preserve">COLUMNS(LOGEST(Data!K1:K8,Data!A1:A8,TRUE,"x"))</t>
  </si>
  <si>
    <t xml:space="preserve">INDEX(LOGEST(Data!K1:K8,Data!A1:A8,"x"),1,1)</t>
  </si>
  <si>
    <t xml:space="preserve">INDEX(LOGEST(Data!K1:K8,Data!A1:A8,"x"),1,2)</t>
  </si>
  <si>
    <t xml:space="preserve">ROWS(LOGEST(Data!K1:K8,Data!A1:A8,"x"))</t>
  </si>
  <si>
    <t xml:space="preserve">COLUMNS(LOGEST(Data!K1:K8,Data!A1:A8,"x"))</t>
  </si>
  <si>
    <t xml:space="preserve">INDEX(LOGEST(Data!K1:K8,Data!A1:A8,NA()),1,1)</t>
  </si>
  <si>
    <t xml:space="preserve">INDEX(LOGEST(Data!K1:K8,Data!A1:A8,NA()),1,2)</t>
  </si>
  <si>
    <t xml:space="preserve">ROWS(LOGEST(Data!K1:K8,Data!A1:A8,NA()))</t>
  </si>
  <si>
    <t xml:space="preserve">COLUMNS(LOGEST(Data!K1:K8,Data!A1:A8,NA()))</t>
  </si>
  <si>
    <t xml:space="preserve">INDEX(LOGEST(Data!B1:B8,Data!A1:A8),1,1)</t>
  </si>
  <si>
    <t xml:space="preserve">INDEX(LOGEST(Data!B1:B8,Data!A1:A8),1,2)</t>
  </si>
  <si>
    <t xml:space="preserve">ROWS(LOGEST(Data!B1:B8,Data!A1:A8))</t>
  </si>
  <si>
    <t xml:space="preserve">COLUMNS(LOGEST(Data!B1:B8,Data!A1:A8))</t>
  </si>
  <si>
    <t xml:space="preserve">INDEX(LOGEST(Data!K1:K8,Data!B1:B8),1,1)</t>
  </si>
  <si>
    <t xml:space="preserve">INDEX(LOGEST(Data!K1:K8,Data!B1:B8),1,2)</t>
  </si>
  <si>
    <t xml:space="preserve">ROWS(LOGEST(Data!K1:K8,Data!B1:B8))</t>
  </si>
  <si>
    <t xml:space="preserve">COLUMNS(LOGEST(Data!K1:K8,Data!B1:B8))</t>
  </si>
  <si>
    <t xml:space="preserve">INDEX(LOGEST(Data!K1:K8,Data!M1:M4),1,1)</t>
  </si>
  <si>
    <t xml:space="preserve">INDEX(LOGEST(Data!K1:K8,Data!M1:M4),1,2)</t>
  </si>
  <si>
    <t xml:space="preserve">ROWS(LOGEST(Data!K1:K8,Data!M1:M4))</t>
  </si>
  <si>
    <t xml:space="preserve">COLUMNS(LOGEST(Data!K1:K8,Data!M1:M4))</t>
  </si>
  <si>
    <t xml:space="preserve">INDEX(LOGEST(Data!M1:M4,Data!K1:K4),1,1)</t>
  </si>
  <si>
    <t xml:space="preserve">INDEX(LOGEST(Data!M1:M4,Data!K1:K4),1,2)</t>
  </si>
  <si>
    <t xml:space="preserve">ROWS(LOGEST(Data!M1:M4,Data!K1:K4))</t>
  </si>
  <si>
    <t xml:space="preserve">COLUMNS(LOGEST(Data!M1:M4,Data!K1:K4))</t>
  </si>
  <si>
    <t xml:space="preserve">INDEX(LOGEST(Data!K1:K8,Data!D1:D8),1,1)</t>
  </si>
  <si>
    <t xml:space="preserve">INDEX(LOGEST(Data!K1:K8,Data!D1:D8),1,2)</t>
  </si>
  <si>
    <t xml:space="preserve">ROWS(LOGEST(Data!K1:K8,Data!D1:D8))</t>
  </si>
  <si>
    <t xml:space="preserve">COLUMNS(LOGEST(Data!K1:K8,Data!D1:D8))</t>
  </si>
  <si>
    <t xml:space="preserve">INDEX(LOGEST(Data!D1:D8,Data!A1:A8),1,1)</t>
  </si>
  <si>
    <t xml:space="preserve">INDEX(LOGEST(Data!D1:D8,Data!A1:A8),1,2)</t>
  </si>
  <si>
    <t xml:space="preserve">ROWS(LOGEST(Data!D1:D8,Data!A1:A8))</t>
  </si>
  <si>
    <t xml:space="preserve">COLUMNS(LOGEST(Data!D1:D8,Data!A1:A8))</t>
  </si>
  <si>
    <t xml:space="preserve">INDEX(LOGEST({1,2,3,4},{2,4,5,9}),1,1)</t>
  </si>
  <si>
    <t xml:space="preserve">INDEX(LOGEST({1,2,3,4},{2,4,5,9}),1,2)</t>
  </si>
  <si>
    <t xml:space="preserve">ROWS(LOGEST({1,2,3,4},{2,4,5,9}))</t>
  </si>
  <si>
    <t xml:space="preserve">COLUMNS(LOGEST({1,2,3,4},{2,4,5,9}))</t>
  </si>
  <si>
    <t xml:space="preserve">INDEX(LOGEST({1;2;3;4},{2;4;5;9},TRUE,TRUE),1,1)</t>
  </si>
  <si>
    <t xml:space="preserve">INDEX(LOGEST({1;2;3;4},{2;4;5;9},TRUE,TRUE),1,2)</t>
  </si>
  <si>
    <t xml:space="preserve">INDEX(LOGEST({1;2;3;4},{2;4;5;9},TRUE,TRUE),2,1)</t>
  </si>
  <si>
    <t xml:space="preserve">INDEX(LOGEST({1;2;3;4},{2;4;5;9},TRUE,TRUE),2,2)</t>
  </si>
  <si>
    <t xml:space="preserve">INDEX(LOGEST({1;2;3;4},{2;4;5;9},TRUE,TRUE),3,1)</t>
  </si>
  <si>
    <t xml:space="preserve">INDEX(LOGEST({1;2;3;4},{2;4;5;9},TRUE,TRUE),3,2)</t>
  </si>
  <si>
    <t xml:space="preserve">INDEX(LOGEST({1;2;3;4},{2;4;5;9},TRUE,TRUE),4,1)</t>
  </si>
  <si>
    <t xml:space="preserve">INDEX(LOGEST({1;2;3;4},{2;4;5;9},TRUE,TRUE),4,2)</t>
  </si>
  <si>
    <t xml:space="preserve">INDEX(LOGEST({1;2;3;4},{2;4;5;9},TRUE,TRUE),5,1)</t>
  </si>
  <si>
    <t xml:space="preserve">INDEX(LOGEST({1;2;3;4},{2;4;5;9},TRUE,TRUE),5,2)</t>
  </si>
  <si>
    <t xml:space="preserve">ROWS(LOGEST({1;2;3;4},{2;4;5;9},TRUE,TRUE))</t>
  </si>
  <si>
    <t xml:space="preserve">COLUMNS(LOGEST({1;2;3;4},{2;4;5;9},TRUE,TRUE))</t>
  </si>
  <si>
    <t xml:space="preserve">INDEX(LOGEST({3;3;3;3},{2;4;5;9},TRUE,TRUE),1,1)</t>
  </si>
  <si>
    <t xml:space="preserve">INDEX(LOGEST({3;3;3;3},{2;4;5;9},TRUE,TRUE),1,2)</t>
  </si>
  <si>
    <t xml:space="preserve">INDEX(LOGEST({3;3;3;3},{2;4;5;9},TRUE,TRUE),2,1)</t>
  </si>
  <si>
    <t xml:space="preserve">INDEX(LOGEST({3;3;3;3},{2;4;5;9},TRUE,TRUE),2,2)</t>
  </si>
  <si>
    <t xml:space="preserve">INDEX(LOGEST({3;3;3;3},{2;4;5;9},TRUE,TRUE),3,1)</t>
  </si>
  <si>
    <t xml:space="preserve">INDEX(LOGEST({3;3;3;3},{2;4;5;9},TRUE,TRUE),3,2)</t>
  </si>
  <si>
    <t xml:space="preserve">INDEX(LOGEST({3;3;3;3},{2;4;5;9},TRUE,TRUE),4,1)</t>
  </si>
  <si>
    <t xml:space="preserve">INDEX(LOGEST({3;3;3;3},{2;4;5;9},TRUE,TRUE),4,2)</t>
  </si>
  <si>
    <t xml:space="preserve">INDEX(LOGEST({3;3;3;3},{2;4;5;9},TRUE,TRUE),5,1)</t>
  </si>
  <si>
    <t xml:space="preserve">INDEX(LOGEST({3;3;3;3},{2;4;5;9},TRUE,TRUE),5,2)</t>
  </si>
  <si>
    <t xml:space="preserve">ROWS(LOGEST({3;3;3;3},{2;4;5;9},TRUE,TRUE))</t>
  </si>
  <si>
    <t xml:space="preserve">COLUMNS(LOGEST({3;3;3;3},{2;4;5;9},TRUE,TRUE))</t>
  </si>
  <si>
    <t xml:space="preserve">INDEX(LOGEST(Data!K1:K8,{1;1;1;1;1;1;1;1},TRUE,TRUE),1,1)</t>
  </si>
  <si>
    <t xml:space="preserve">INDEX(LOGEST(Data!K1:K8,{1;1;1;1;1;1;1;1},TRUE,TRUE),1,2)</t>
  </si>
  <si>
    <t xml:space="preserve">INDEX(LOGEST(Data!K1:K8,{1;1;1;1;1;1;1;1},TRUE,TRUE),2,1)</t>
  </si>
  <si>
    <t xml:space="preserve">INDEX(LOGEST(Data!K1:K8,{1;1;1;1;1;1;1;1},TRUE,TRUE),2,2)</t>
  </si>
  <si>
    <t xml:space="preserve">INDEX(LOGEST(Data!K1:K8,{1;1;1;1;1;1;1;1},TRUE,TRUE),3,1)</t>
  </si>
  <si>
    <t xml:space="preserve">INDEX(LOGEST(Data!K1:K8,{1;1;1;1;1;1;1;1},TRUE,TRUE),3,2)</t>
  </si>
  <si>
    <t xml:space="preserve">INDEX(LOGEST(Data!K1:K8,{1;1;1;1;1;1;1;1},TRUE,TRUE),4,1)</t>
  </si>
  <si>
    <t xml:space="preserve">INDEX(LOGEST(Data!K1:K8,{1;1;1;1;1;1;1;1},TRUE,TRUE),4,2)</t>
  </si>
  <si>
    <t xml:space="preserve">INDEX(LOGEST(Data!K1:K8,{1;1;1;1;1;1;1;1},TRUE,TRUE),5,1)</t>
  </si>
  <si>
    <t xml:space="preserve">INDEX(LOGEST(Data!K1:K8,{1;1;1;1;1;1;1;1},TRUE,TRUE),5,2)</t>
  </si>
  <si>
    <t xml:space="preserve">ROWS(LOGEST(Data!K1:K8,{1;1;1;1;1;1;1;1},TRUE,TRUE))</t>
  </si>
  <si>
    <t xml:space="preserve">COLUMNS(LOGEST(Data!K1:K8,{1;1;1;1;1;1;1;1},TRUE,TRUE))</t>
  </si>
  <si>
    <t xml:space="preserve">INDEX(LOGEST({2;4;5;9},{3;3;3;3}),1,1)</t>
  </si>
  <si>
    <t xml:space="preserve">INDEX(LOGEST({2;4;5;9},{3;3;3;3}),1,2)</t>
  </si>
  <si>
    <t xml:space="preserve">ROWS(LOGEST({2;4;5;9},{3;3;3;3}))</t>
  </si>
  <si>
    <t xml:space="preserve">COLUMNS(LOGEST({2;4;5;9},{3;3;3;3}))</t>
  </si>
  <si>
    <t xml:space="preserve">INDEX(LOGEST({0;1;2;3},{1;2;3;4}),1,1)</t>
  </si>
  <si>
    <t xml:space="preserve">INDEX(LOGEST({0;1;2;3},{1;2;3;4}),1,2)</t>
  </si>
  <si>
    <t xml:space="preserve">ROWS(LOGEST({0;1;2;3},{1;2;3;4}))</t>
  </si>
  <si>
    <t xml:space="preserve">COLUMNS(LOGEST({0;1;2;3},{1;2;3;4}))</t>
  </si>
  <si>
    <t xml:space="preserve">INDEX(LOGEST({-1;2;4;8},{1;2;3;4}),1,1)</t>
  </si>
  <si>
    <t xml:space="preserve">INDEX(LOGEST({-1;2;4;8},{1;2;3;4}),1,2)</t>
  </si>
  <si>
    <t xml:space="preserve">ROWS(LOGEST({-1;2;4;8},{1;2;3;4}))</t>
  </si>
  <si>
    <t xml:space="preserve">COLUMNS(LOGEST({-1;2;4;8},{1;2;3;4}))</t>
  </si>
  <si>
    <t xml:space="preserve">INDEX(LOGEST(Data!K1:K8,Data!A1:B8),1,1)</t>
  </si>
  <si>
    <t xml:space="preserve">INDEX(LOGEST(Data!K1:K8,Data!A1:B8),1,2)</t>
  </si>
  <si>
    <t xml:space="preserve">INDEX(LOGEST(Data!K1:K8,Data!A1:B8),1,3)</t>
  </si>
  <si>
    <t xml:space="preserve">ROWS(LOGEST(Data!K1:K8,Data!A1:B8))</t>
  </si>
  <si>
    <t xml:space="preserve">COLUMNS(LOGEST(Data!K1:K8,Data!A1:B8))</t>
  </si>
  <si>
    <t xml:space="preserve">INDEX(LOGEST(Data!A1:B8,Data!K1:K8),1,1)</t>
  </si>
  <si>
    <t xml:space="preserve">INDEX(LOGEST(Data!A1:B8,Data!K1:K8),1,2)</t>
  </si>
  <si>
    <t xml:space="preserve">ROWS(LOGEST(Data!A1:B8,Data!K1:K8))</t>
  </si>
  <si>
    <t xml:space="preserve">COLUMNS(LOGEST(Data!A1:B8,Data!K1:K8))</t>
  </si>
  <si>
    <t xml:space="preserve">INDEX(LOGEST(Data!K1:K3,Data!BF1:BG3,TRUE,TRUE),1,1)</t>
  </si>
  <si>
    <t xml:space="preserve">INDEX(LOGEST(Data!K1:K3,Data!BF1:BG3,TRUE,TRUE),1,2)</t>
  </si>
  <si>
    <t xml:space="preserve">INDEX(LOGEST(Data!K1:K3,Data!BF1:BG3,TRUE,TRUE),1,3)</t>
  </si>
  <si>
    <t xml:space="preserve">INDEX(LOGEST(Data!K1:K3,Data!BF1:BG3,TRUE,TRUE),2,1)</t>
  </si>
  <si>
    <t xml:space="preserve">INDEX(LOGEST(Data!K1:K3,Data!BF1:BG3,TRUE,TRUE),2,2)</t>
  </si>
  <si>
    <t xml:space="preserve">INDEX(LOGEST(Data!K1:K3,Data!BF1:BG3,TRUE,TRUE),2,3)</t>
  </si>
  <si>
    <t xml:space="preserve">INDEX(LOGEST(Data!K1:K3,Data!BF1:BG3,TRUE,TRUE),3,1)</t>
  </si>
  <si>
    <t xml:space="preserve">INDEX(LOGEST(Data!K1:K3,Data!BF1:BG3,TRUE,TRUE),3,2)</t>
  </si>
  <si>
    <t xml:space="preserve">INDEX(LOGEST(Data!K1:K3,Data!BF1:BG3,TRUE,TRUE),3,3)</t>
  </si>
  <si>
    <t xml:space="preserve">INDEX(LOGEST(Data!K1:K3,Data!BF1:BG3,TRUE,TRUE),4,1)</t>
  </si>
  <si>
    <t xml:space="preserve">INDEX(LOGEST(Data!K1:K3,Data!BF1:BG3,TRUE,TRUE),4,2)</t>
  </si>
  <si>
    <t xml:space="preserve">INDEX(LOGEST(Data!K1:K3,Data!BF1:BG3,TRUE,TRUE),4,3)</t>
  </si>
  <si>
    <t xml:space="preserve">INDEX(LOGEST(Data!K1:K3,Data!BF1:BG3,TRUE,TRUE),5,1)</t>
  </si>
  <si>
    <t xml:space="preserve">INDEX(LOGEST(Data!K1:K3,Data!BF1:BG3,TRUE,TRUE),5,2)</t>
  </si>
  <si>
    <t xml:space="preserve">INDEX(LOGEST(Data!K1:K3,Data!BF1:BG3,TRUE,TRUE),5,3)</t>
  </si>
  <si>
    <t xml:space="preserve">ROWS(LOGEST(Data!K1:K3,Data!BF1:BG3,TRUE,TRUE))</t>
  </si>
  <si>
    <t xml:space="preserve">COLUMNS(LOGEST(Data!K1:K3,Data!BF1:BG3,TRUE,TRUE))</t>
  </si>
  <si>
    <t xml:space="preserve">INDEX(LOGEST(Data!K1:K2,Data!BF1:BG2,TRUE,TRUE),1,1)</t>
  </si>
  <si>
    <t xml:space="preserve">INDEX(LOGEST(Data!K1:K2,Data!BF1:BG2,TRUE,TRUE),1,2)</t>
  </si>
  <si>
    <t xml:space="preserve">INDEX(LOGEST(Data!K1:K2,Data!BF1:BG2,TRUE,TRUE),1,3)</t>
  </si>
  <si>
    <t xml:space="preserve">INDEX(LOGEST(Data!K1:K2,Data!BF1:BG2,TRUE,TRUE),2,1)</t>
  </si>
  <si>
    <t xml:space="preserve">INDEX(LOGEST(Data!K1:K2,Data!BF1:BG2,TRUE,TRUE),2,2)</t>
  </si>
  <si>
    <t xml:space="preserve">INDEX(LOGEST(Data!K1:K2,Data!BF1:BG2,TRUE,TRUE),2,3)</t>
  </si>
  <si>
    <t xml:space="preserve">INDEX(LOGEST(Data!K1:K2,Data!BF1:BG2,TRUE,TRUE),3,1)</t>
  </si>
  <si>
    <t xml:space="preserve">INDEX(LOGEST(Data!K1:K2,Data!BF1:BG2,TRUE,TRUE),3,2)</t>
  </si>
  <si>
    <t xml:space="preserve">INDEX(LOGEST(Data!K1:K2,Data!BF1:BG2,TRUE,TRUE),3,3)</t>
  </si>
  <si>
    <t xml:space="preserve">INDEX(LOGEST(Data!K1:K2,Data!BF1:BG2,TRUE,TRUE),4,1)</t>
  </si>
  <si>
    <t xml:space="preserve">INDEX(LOGEST(Data!K1:K2,Data!BF1:BG2,TRUE,TRUE),4,2)</t>
  </si>
  <si>
    <t xml:space="preserve">INDEX(LOGEST(Data!K1:K2,Data!BF1:BG2,TRUE,TRUE),4,3)</t>
  </si>
  <si>
    <t xml:space="preserve">INDEX(LOGEST(Data!K1:K2,Data!BF1:BG2,TRUE,TRUE),5,1)</t>
  </si>
  <si>
    <t xml:space="preserve">INDEX(LOGEST(Data!K1:K2,Data!BF1:BG2,TRUE,TRUE),5,2)</t>
  </si>
  <si>
    <t xml:space="preserve">INDEX(LOGEST(Data!K1:K2,Data!BF1:BG2,TRUE,TRUE),5,3)</t>
  </si>
  <si>
    <t xml:space="preserve">ROWS(LOGEST(Data!K1:K2,Data!BF1:BG2,TRUE,TRUE))</t>
  </si>
  <si>
    <t xml:space="preserve">COLUMNS(LOGEST(Data!K1:K2,Data!BF1:BG2,TRUE,TRUE))</t>
  </si>
  <si>
    <t xml:space="preserve">INDEX(LOGEST(Data!K1:K3,Data!BF1:BG3),1,1)</t>
  </si>
  <si>
    <t xml:space="preserve">INDEX(LOGEST(Data!K1:K3,Data!BF1:BG3),1,2)</t>
  </si>
  <si>
    <t xml:space="preserve">INDEX(LOGEST(Data!K1:K3,Data!BF1:BG3),1,3)</t>
  </si>
  <si>
    <t xml:space="preserve">ROWS(LOGEST(Data!K1:K3,Data!BF1:BG3))</t>
  </si>
  <si>
    <t xml:space="preserve">COLUMNS(LOGEST(Data!K1:K3,Data!BF1:BG3))</t>
  </si>
  <si>
    <t xml:space="preserve">INDEX(LOGEST(Data!K1:K2,Data!BF1:BG2,FALSE,TRUE),1,1)</t>
  </si>
  <si>
    <t xml:space="preserve">INDEX(LOGEST(Data!K1:K2,Data!BF1:BG2,FALSE,TRUE),1,2)</t>
  </si>
  <si>
    <t xml:space="preserve">INDEX(LOGEST(Data!K1:K2,Data!BF1:BG2,FALSE,TRUE),1,3)</t>
  </si>
  <si>
    <t xml:space="preserve">INDEX(LOGEST(Data!K1:K2,Data!BF1:BG2,FALSE,TRUE),2,1)</t>
  </si>
  <si>
    <t xml:space="preserve">INDEX(LOGEST(Data!K1:K2,Data!BF1:BG2,FALSE,TRUE),2,2)</t>
  </si>
  <si>
    <t xml:space="preserve">INDEX(LOGEST(Data!K1:K2,Data!BF1:BG2,FALSE,TRUE),2,3)</t>
  </si>
  <si>
    <t xml:space="preserve">INDEX(LOGEST(Data!K1:K2,Data!BF1:BG2,FALSE,TRUE),3,1)</t>
  </si>
  <si>
    <t xml:space="preserve">INDEX(LOGEST(Data!K1:K2,Data!BF1:BG2,FALSE,TRUE),3,2)</t>
  </si>
  <si>
    <t xml:space="preserve">INDEX(LOGEST(Data!K1:K2,Data!BF1:BG2,FALSE,TRUE),3,3)</t>
  </si>
  <si>
    <t xml:space="preserve">INDEX(LOGEST(Data!K1:K2,Data!BF1:BG2,FALSE,TRUE),4,1)</t>
  </si>
  <si>
    <t xml:space="preserve">INDEX(LOGEST(Data!K1:K2,Data!BF1:BG2,FALSE,TRUE),4,2)</t>
  </si>
  <si>
    <t xml:space="preserve">INDEX(LOGEST(Data!K1:K2,Data!BF1:BG2,FALSE,TRUE),4,3)</t>
  </si>
  <si>
    <t xml:space="preserve">INDEX(LOGEST(Data!K1:K2,Data!BF1:BG2,FALSE,TRUE),5,1)</t>
  </si>
  <si>
    <t xml:space="preserve">INDEX(LOGEST(Data!K1:K2,Data!BF1:BG2,FALSE,TRUE),5,2)</t>
  </si>
  <si>
    <t xml:space="preserve">INDEX(LOGEST(Data!K1:K2,Data!BF1:BG2,FALSE,TRUE),5,3)</t>
  </si>
  <si>
    <t xml:space="preserve">ROWS(LOGEST(Data!K1:K2,Data!BF1:BG2,FALSE,TRUE))</t>
  </si>
  <si>
    <t xml:space="preserve">COLUMNS(LOGEST(Data!K1:K2,Data!BF1:BG2,FALSE,TRUE))</t>
  </si>
  <si>
    <t xml:space="preserve">INDEX(LOGEST({0;1;2;3},{1;2;3;4},TRUE,TRUE),1,1)</t>
  </si>
  <si>
    <t xml:space="preserve">INDEX(LOGEST({0;1;2;3},{1;2;3;4},TRUE,TRUE),1,2)</t>
  </si>
  <si>
    <t xml:space="preserve">INDEX(LOGEST({0;1;2;3},{1;2;3;4},TRUE,TRUE),2,1)</t>
  </si>
  <si>
    <t xml:space="preserve">INDEX(LOGEST({0;1;2;3},{1;2;3;4},TRUE,TRUE),2,2)</t>
  </si>
  <si>
    <t xml:space="preserve">INDEX(LOGEST({0;1;2;3},{1;2;3;4},TRUE,TRUE),3,1)</t>
  </si>
  <si>
    <t xml:space="preserve">INDEX(LOGEST({0;1;2;3},{1;2;3;4},TRUE,TRUE),3,2)</t>
  </si>
  <si>
    <t xml:space="preserve">INDEX(LOGEST({0;1;2;3},{1;2;3;4},TRUE,TRUE),4,1)</t>
  </si>
  <si>
    <t xml:space="preserve">INDEX(LOGEST({0;1;2;3},{1;2;3;4},TRUE,TRUE),4,2)</t>
  </si>
  <si>
    <t xml:space="preserve">INDEX(LOGEST({0;1;2;3},{1;2;3;4},TRUE,TRUE),5,1)</t>
  </si>
  <si>
    <t xml:space="preserve">INDEX(LOGEST({0;1;2;3},{1;2;3;4},TRUE,TRUE),5,2)</t>
  </si>
  <si>
    <t xml:space="preserve">ROWS(LOGEST({0;1;2;3},{1;2;3;4},TRUE,TRUE))</t>
  </si>
  <si>
    <t xml:space="preserve">COLUMNS(LOGEST({0;1;2;3},{1;2;3;4},TRUE,TRUE))</t>
  </si>
  <si>
    <t xml:space="preserve">INDEX(LOGEST({1;2;3},{1;2;3},TRUE,TRUE),1,1)</t>
  </si>
  <si>
    <t xml:space="preserve">INDEX(LOGEST({1;2;3},{1;2;3},TRUE,TRUE),1,2)</t>
  </si>
  <si>
    <t xml:space="preserve">INDEX(LOGEST({1;2;3},{1;2;3},TRUE,TRUE),2,1)</t>
  </si>
  <si>
    <t xml:space="preserve">INDEX(LOGEST({1;2;3},{1;2;3},TRUE,TRUE),2,2)</t>
  </si>
  <si>
    <t xml:space="preserve">INDEX(LOGEST({1;2;3},{1;2;3},TRUE,TRUE),3,1)</t>
  </si>
  <si>
    <t xml:space="preserve">INDEX(LOGEST({1;2;3},{1;2;3},TRUE,TRUE),3,2)</t>
  </si>
  <si>
    <t xml:space="preserve">INDEX(LOGEST({1;2;3},{1;2;3},TRUE,TRUE),4,1)</t>
  </si>
  <si>
    <t xml:space="preserve">INDEX(LOGEST({1;2;3},{1;2;3},TRUE,TRUE),4,2)</t>
  </si>
  <si>
    <t xml:space="preserve">INDEX(LOGEST({1;2;3},{1;2;3},TRUE,TRUE),5,1)</t>
  </si>
  <si>
    <t xml:space="preserve">INDEX(LOGEST({1;2;3},{1;2;3},TRUE,TRUE),5,2)</t>
  </si>
  <si>
    <t xml:space="preserve">ROWS(LOGEST({1;2;3},{1;2;3},TRUE,TRUE))</t>
  </si>
  <si>
    <t xml:space="preserve">COLUMNS(LOGEST({1;2;3},{1;2;3},TRUE,TRUE))</t>
  </si>
  <si>
    <t xml:space="preserve">INDEX(LOGEST(Data!K1:K8,TRANSPOSE(Data!A1:A8),TRUE,TRUE),1,1)</t>
  </si>
  <si>
    <t xml:space="preserve">INDEX(LOGEST(Data!K1:K8,TRANSPOSE(Data!A1:A8),TRUE,TRUE),1,2)</t>
  </si>
  <si>
    <t xml:space="preserve">INDEX(LOGEST(Data!K1:K8,TRANSPOSE(Data!A1:A8),TRUE,TRUE),2,1)</t>
  </si>
  <si>
    <t xml:space="preserve">INDEX(LOGEST(Data!K1:K8,TRANSPOSE(Data!A1:A8),TRUE,TRUE),2,2)</t>
  </si>
  <si>
    <t xml:space="preserve">INDEX(LOGEST(Data!K1:K8,TRANSPOSE(Data!A1:A8),TRUE,TRUE),3,1)</t>
  </si>
  <si>
    <t xml:space="preserve">INDEX(LOGEST(Data!K1:K8,TRANSPOSE(Data!A1:A8),TRUE,TRUE),3,2)</t>
  </si>
  <si>
    <t xml:space="preserve">INDEX(LOGEST(Data!K1:K8,TRANSPOSE(Data!A1:A8),TRUE,TRUE),4,1)</t>
  </si>
  <si>
    <t xml:space="preserve">INDEX(LOGEST(Data!K1:K8,TRANSPOSE(Data!A1:A8),TRUE,TRUE),4,2)</t>
  </si>
  <si>
    <t xml:space="preserve">INDEX(LOGEST(Data!K1:K8,TRANSPOSE(Data!A1:A8),TRUE,TRUE),5,1)</t>
  </si>
  <si>
    <t xml:space="preserve">INDEX(LOGEST(Data!K1:K8,TRANSPOSE(Data!A1:A8),TRUE,TRUE),5,2)</t>
  </si>
  <si>
    <t xml:space="preserve">ROWS(LOGEST(Data!K1:K8,TRANSPOSE(Data!A1:A8),TRUE,TRUE))</t>
  </si>
  <si>
    <t xml:space="preserve">COLUMNS(LOGEST(Data!K1:K8,TRANSPOSE(Data!A1:A8),TRUE,TRUE))</t>
  </si>
  <si>
    <t xml:space="preserve">INDEX(LOGEST(TRANSPOSE(Data!K1:K8),Data!A1:A8,TRUE,TRUE),1,1)</t>
  </si>
  <si>
    <t xml:space="preserve">INDEX(LOGEST(TRANSPOSE(Data!K1:K8),Data!A1:A8,TRUE,TRUE),1,2)</t>
  </si>
  <si>
    <t xml:space="preserve">INDEX(LOGEST(TRANSPOSE(Data!K1:K8),Data!A1:A8,TRUE,TRUE),2,1)</t>
  </si>
  <si>
    <t xml:space="preserve">INDEX(LOGEST(TRANSPOSE(Data!K1:K8),Data!A1:A8,TRUE,TRUE),2,2)</t>
  </si>
  <si>
    <t xml:space="preserve">INDEX(LOGEST(TRANSPOSE(Data!K1:K8),Data!A1:A8,TRUE,TRUE),3,1)</t>
  </si>
  <si>
    <t xml:space="preserve">INDEX(LOGEST(TRANSPOSE(Data!K1:K8),Data!A1:A8,TRUE,TRUE),3,2)</t>
  </si>
  <si>
    <t xml:space="preserve">INDEX(LOGEST(TRANSPOSE(Data!K1:K8),Data!A1:A8,TRUE,TRUE),4,1)</t>
  </si>
  <si>
    <t xml:space="preserve">INDEX(LOGEST(TRANSPOSE(Data!K1:K8),Data!A1:A8,TRUE,TRUE),4,2)</t>
  </si>
  <si>
    <t xml:space="preserve">INDEX(LOGEST(TRANSPOSE(Data!K1:K8),Data!A1:A8,TRUE,TRUE),5,1)</t>
  </si>
  <si>
    <t xml:space="preserve">INDEX(LOGEST(TRANSPOSE(Data!K1:K8),Data!A1:A8,TRUE,TRUE),5,2)</t>
  </si>
  <si>
    <t xml:space="preserve">ROWS(LOGEST(TRANSPOSE(Data!K1:K8),Data!A1:A8,TRUE,TRUE))</t>
  </si>
  <si>
    <t xml:space="preserve">COLUMNS(LOGEST(TRANSPOSE(Data!K1:K8),Data!A1:A8,TRUE,TRUE))</t>
  </si>
  <si>
    <t xml:space="preserve">INDEX(LOGEST(TRANSPOSE(Data!K1:K8),TRANSPOSE(Data!BF1:BG8),TRUE,TRUE),1,1)</t>
  </si>
  <si>
    <t xml:space="preserve">INDEX(LOGEST(TRANSPOSE(Data!K1:K8),TRANSPOSE(Data!BF1:BG8),TRUE,TRUE),1,2)</t>
  </si>
  <si>
    <t xml:space="preserve">INDEX(LOGEST(TRANSPOSE(Data!K1:K8),TRANSPOSE(Data!BF1:BG8),TRUE,TRUE),1,3)</t>
  </si>
  <si>
    <t xml:space="preserve">INDEX(LOGEST(TRANSPOSE(Data!K1:K8),TRANSPOSE(Data!BF1:BG8),TRUE,TRUE),2,1)</t>
  </si>
  <si>
    <t xml:space="preserve">INDEX(LOGEST(TRANSPOSE(Data!K1:K8),TRANSPOSE(Data!BF1:BG8),TRUE,TRUE),2,2)</t>
  </si>
  <si>
    <t xml:space="preserve">INDEX(LOGEST(TRANSPOSE(Data!K1:K8),TRANSPOSE(Data!BF1:BG8),TRUE,TRUE),2,3)</t>
  </si>
  <si>
    <t xml:space="preserve">INDEX(LOGEST(TRANSPOSE(Data!K1:K8),TRANSPOSE(Data!BF1:BG8),TRUE,TRUE),3,1)</t>
  </si>
  <si>
    <t xml:space="preserve">INDEX(LOGEST(TRANSPOSE(Data!K1:K8),TRANSPOSE(Data!BF1:BG8),TRUE,TRUE),3,2)</t>
  </si>
  <si>
    <t xml:space="preserve">INDEX(LOGEST(TRANSPOSE(Data!K1:K8),TRANSPOSE(Data!BF1:BG8),TRUE,TRUE),3,3)</t>
  </si>
  <si>
    <t xml:space="preserve">INDEX(LOGEST(TRANSPOSE(Data!K1:K8),TRANSPOSE(Data!BF1:BG8),TRUE,TRUE),4,1)</t>
  </si>
  <si>
    <t xml:space="preserve">INDEX(LOGEST(TRANSPOSE(Data!K1:K8),TRANSPOSE(Data!BF1:BG8),TRUE,TRUE),4,2)</t>
  </si>
  <si>
    <t xml:space="preserve">INDEX(LOGEST(TRANSPOSE(Data!K1:K8),TRANSPOSE(Data!BF1:BG8),TRUE,TRUE),4,3)</t>
  </si>
  <si>
    <t xml:space="preserve">INDEX(LOGEST(TRANSPOSE(Data!K1:K8),TRANSPOSE(Data!BF1:BG8),TRUE,TRUE),5,1)</t>
  </si>
  <si>
    <t xml:space="preserve">INDEX(LOGEST(TRANSPOSE(Data!K1:K8),TRANSPOSE(Data!BF1:BG8),TRUE,TRUE),5,2)</t>
  </si>
  <si>
    <t xml:space="preserve">INDEX(LOGEST(TRANSPOSE(Data!K1:K8),TRANSPOSE(Data!BF1:BG8),TRUE,TRUE),5,3)</t>
  </si>
  <si>
    <t xml:space="preserve">ROWS(LOGEST(TRANSPOSE(Data!K1:K8),TRANSPOSE(Data!BF1:BG8),TRUE,TRUE))</t>
  </si>
  <si>
    <t xml:space="preserve">COLUMNS(LOGEST(TRANSPOSE(Data!K1:K8),TRANSPOSE(Data!BF1:BG8),TRUE,TRUE))</t>
  </si>
  <si>
    <t xml:space="preserve">INDEX(LOGEST(TRANSPOSE(Data!K1:K8),TRANSPOSE(Data!BF1:BG8),FALSE),1,1)</t>
  </si>
  <si>
    <t xml:space="preserve">INDEX(LOGEST(TRANSPOSE(Data!K1:K8),TRANSPOSE(Data!BF1:BG8),FALSE),1,2)</t>
  </si>
  <si>
    <t xml:space="preserve">INDEX(LOGEST(TRANSPOSE(Data!K1:K8),TRANSPOSE(Data!BF1:BG8),FALSE),1,3)</t>
  </si>
  <si>
    <t xml:space="preserve">ROWS(LOGEST(TRANSPOSE(Data!K1:K8),TRANSPOSE(Data!BF1:BG8),FALSE))</t>
  </si>
  <si>
    <t xml:space="preserve">COLUMNS(LOGEST(TRANSPOSE(Data!K1:K8),TRANSPOSE(Data!BF1:BG8),FALSE))</t>
  </si>
  <si>
    <t xml:space="preserve">INDEX(LOGEST(TRANSPOSE(Data!K1:K8)),1,1)</t>
  </si>
  <si>
    <t xml:space="preserve">INDEX(LOGEST(TRANSPOSE(Data!K1:K8)),1,2)</t>
  </si>
  <si>
    <t xml:space="preserve">ROWS(LOGEST(TRANSPOSE(Data!K1:K8)))</t>
  </si>
  <si>
    <t xml:space="preserve">COLUMNS(LOGEST(TRANSPOSE(Data!K1:K8)))</t>
  </si>
  <si>
    <t xml:space="preserve">INDEX(LOGEST(Data!K1:K8,Data!A1:A8,TRUE,2),1,1)</t>
  </si>
  <si>
    <t xml:space="preserve">INDEX(LOGEST(Data!K1:K8,Data!A1:A8,TRUE,2),1,2)</t>
  </si>
  <si>
    <t xml:space="preserve">INDEX(LOGEST(Data!K1:K8,Data!A1:A8,TRUE,2),2,1)</t>
  </si>
  <si>
    <t xml:space="preserve">INDEX(LOGEST(Data!K1:K8,Data!A1:A8,TRUE,2),2,2)</t>
  </si>
  <si>
    <t xml:space="preserve">INDEX(LOGEST(Data!K1:K8,Data!A1:A8,TRUE,2),3,1)</t>
  </si>
  <si>
    <t xml:space="preserve">INDEX(LOGEST(Data!K1:K8,Data!A1:A8,TRUE,2),3,2)</t>
  </si>
  <si>
    <t xml:space="preserve">INDEX(LOGEST(Data!K1:K8,Data!A1:A8,TRUE,2),4,1)</t>
  </si>
  <si>
    <t xml:space="preserve">INDEX(LOGEST(Data!K1:K8,Data!A1:A8,TRUE,2),4,2)</t>
  </si>
  <si>
    <t xml:space="preserve">INDEX(LOGEST(Data!K1:K8,Data!A1:A8,TRUE,2),5,1)</t>
  </si>
  <si>
    <t xml:space="preserve">INDEX(LOGEST(Data!K1:K8,Data!A1:A8,TRUE,2),5,2)</t>
  </si>
  <si>
    <t xml:space="preserve">ROWS(LOGEST(Data!K1:K8,Data!A1:A8,TRUE,2))</t>
  </si>
  <si>
    <t xml:space="preserve">COLUMNS(LOGEST(Data!K1:K8,Data!A1:A8,TRUE,2))</t>
  </si>
  <si>
    <t xml:space="preserve">INDEX(LOGEST(Data!K1:K8,Data!A1:A8,2,TRUE),1,1)</t>
  </si>
  <si>
    <t xml:space="preserve">INDEX(LOGEST(Data!K1:K8,Data!A1:A8,2,TRUE),1,2)</t>
  </si>
  <si>
    <t xml:space="preserve">INDEX(LOGEST(Data!K1:K8,Data!A1:A8,2,TRUE),2,1)</t>
  </si>
  <si>
    <t xml:space="preserve">INDEX(LOGEST(Data!K1:K8,Data!A1:A8,2,TRUE),2,2)</t>
  </si>
  <si>
    <t xml:space="preserve">INDEX(LOGEST(Data!K1:K8,Data!A1:A8,2,TRUE),3,1)</t>
  </si>
  <si>
    <t xml:space="preserve">INDEX(LOGEST(Data!K1:K8,Data!A1:A8,2,TRUE),3,2)</t>
  </si>
  <si>
    <t xml:space="preserve">INDEX(LOGEST(Data!K1:K8,Data!A1:A8,2,TRUE),4,1)</t>
  </si>
  <si>
    <t xml:space="preserve">INDEX(LOGEST(Data!K1:K8,Data!A1:A8,2,TRUE),4,2)</t>
  </si>
  <si>
    <t xml:space="preserve">INDEX(LOGEST(Data!K1:K8,Data!A1:A8,2,TRUE),5,1)</t>
  </si>
  <si>
    <t xml:space="preserve">INDEX(LOGEST(Data!K1:K8,Data!A1:A8,2,TRUE),5,2)</t>
  </si>
  <si>
    <t xml:space="preserve">ROWS(LOGEST(Data!K1:K8,Data!A1:A8,2,TRUE))</t>
  </si>
  <si>
    <t xml:space="preserve">COLUMNS(LOGEST(Data!K1:K8,Data!A1:A8,2,TRUE))</t>
  </si>
  <si>
    <t xml:space="preserve">INDEX(LOGEST(Data!K1:K8,Data!A1:A8,-1,-1),1,1)</t>
  </si>
  <si>
    <t xml:space="preserve">INDEX(LOGEST(Data!K1:K8,Data!A1:A8,-1,-1),1,2)</t>
  </si>
  <si>
    <t xml:space="preserve">INDEX(LOGEST(Data!K1:K8,Data!A1:A8,-1,-1),2,1)</t>
  </si>
  <si>
    <t xml:space="preserve">INDEX(LOGEST(Data!K1:K8,Data!A1:A8,-1,-1),2,2)</t>
  </si>
  <si>
    <t xml:space="preserve">INDEX(LOGEST(Data!K1:K8,Data!A1:A8,-1,-1),3,1)</t>
  </si>
  <si>
    <t xml:space="preserve">INDEX(LOGEST(Data!K1:K8,Data!A1:A8,-1,-1),3,2)</t>
  </si>
  <si>
    <t xml:space="preserve">INDEX(LOGEST(Data!K1:K8,Data!A1:A8,-1,-1),4,1)</t>
  </si>
  <si>
    <t xml:space="preserve">INDEX(LOGEST(Data!K1:K8,Data!A1:A8,-1,-1),4,2)</t>
  </si>
  <si>
    <t xml:space="preserve">INDEX(LOGEST(Data!K1:K8,Data!A1:A8,-1,-1),5,1)</t>
  </si>
  <si>
    <t xml:space="preserve">INDEX(LOGEST(Data!K1:K8,Data!A1:A8,-1,-1),5,2)</t>
  </si>
  <si>
    <t xml:space="preserve">ROWS(LOGEST(Data!K1:K8,Data!A1:A8,-1,-1))</t>
  </si>
  <si>
    <t xml:space="preserve">COLUMNS(LOGEST(Data!K1:K8,Data!A1:A8,-1,-1))</t>
  </si>
  <si>
    <t xml:space="preserve">INDEX(LOGEST(Data!K1:K8,Data!A1:A8,,TRUE),1,1)</t>
  </si>
  <si>
    <t xml:space="preserve">INDEX(LOGEST(Data!K1:K8,Data!A1:A8,,TRUE),1,2)</t>
  </si>
  <si>
    <t xml:space="preserve">INDEX(LOGEST(Data!K1:K8,Data!A1:A8,,TRUE),2,1)</t>
  </si>
  <si>
    <t xml:space="preserve">INDEX(LOGEST(Data!K1:K8,Data!A1:A8,,TRUE),2,2)</t>
  </si>
  <si>
    <t xml:space="preserve">INDEX(LOGEST(Data!K1:K8,Data!A1:A8,,TRUE),3,1)</t>
  </si>
  <si>
    <t xml:space="preserve">INDEX(LOGEST(Data!K1:K8,Data!A1:A8,,TRUE),3,2)</t>
  </si>
  <si>
    <t xml:space="preserve">INDEX(LOGEST(Data!K1:K8,Data!A1:A8,,TRUE),4,1)</t>
  </si>
  <si>
    <t xml:space="preserve">INDEX(LOGEST(Data!K1:K8,Data!A1:A8,,TRUE),4,2)</t>
  </si>
  <si>
    <t xml:space="preserve">INDEX(LOGEST(Data!K1:K8,Data!A1:A8,,TRUE),5,1)</t>
  </si>
  <si>
    <t xml:space="preserve">INDEX(LOGEST(Data!K1:K8,Data!A1:A8,,TRUE),5,2)</t>
  </si>
  <si>
    <t xml:space="preserve">ROWS(LOGEST(Data!K1:K8,Data!A1:A8,,TRUE))</t>
  </si>
  <si>
    <t xml:space="preserve">COLUMNS(LOGEST(Data!K1:K8,Data!A1:A8,,TRUE))</t>
  </si>
  <si>
    <t xml:space="preserve">INDEX(LOGEST(Data!K1:K8,Data!A1:A8,TRUE,),1,1)</t>
  </si>
  <si>
    <t xml:space="preserve">INDEX(LOGEST(Data!K1:K8,Data!A1:A8,TRUE,),1,2)</t>
  </si>
  <si>
    <t xml:space="preserve">ROWS(LOGEST(Data!K1:K8,Data!A1:A8,TRUE,))</t>
  </si>
  <si>
    <t xml:space="preserve">COLUMNS(LOGEST(Data!K1:K8,Data!A1:A8,TRUE,))</t>
  </si>
  <si>
    <t xml:space="preserve">INDEX(LOGEST(Data!K1:K8,Data!A1:A8,TRUE,TRUE,1),1,1)</t>
  </si>
  <si>
    <t xml:space="preserve">INDEX(LOGEST(Data!K1:K8,Data!A1:A8,TRUE,TRUE,1),1,2)</t>
  </si>
  <si>
    <t xml:space="preserve">INDEX(LOGEST(Data!K1:K8,Data!A1:A8,TRUE,TRUE,1),2,1)</t>
  </si>
  <si>
    <t xml:space="preserve">INDEX(LOGEST(Data!K1:K8,Data!A1:A8,TRUE,TRUE,1),2,2)</t>
  </si>
  <si>
    <t xml:space="preserve">INDEX(LOGEST(Data!K1:K8,Data!A1:A8,TRUE,TRUE,1),3,1)</t>
  </si>
  <si>
    <t xml:space="preserve">INDEX(LOGEST(Data!K1:K8,Data!A1:A8,TRUE,TRUE,1),3,2)</t>
  </si>
  <si>
    <t xml:space="preserve">INDEX(LOGEST(Data!K1:K8,Data!A1:A8,TRUE,TRUE,1),4,1)</t>
  </si>
  <si>
    <t xml:space="preserve">INDEX(LOGEST(Data!K1:K8,Data!A1:A8,TRUE,TRUE,1),4,2)</t>
  </si>
  <si>
    <t xml:space="preserve">INDEX(LOGEST(Data!K1:K8,Data!A1:A8,TRUE,TRUE,1),5,1)</t>
  </si>
  <si>
    <t xml:space="preserve">INDEX(LOGEST(Data!K1:K8,Data!A1:A8,TRUE,TRUE,1),5,2)</t>
  </si>
  <si>
    <t xml:space="preserve">ROWS(LOGEST(Data!K1:K8,Data!A1:A8,TRUE,TRUE,1))</t>
  </si>
  <si>
    <t xml:space="preserve">COLUMNS(LOGEST(Data!K1:K8,Data!A1:A8,TRUE,TRUE,1))</t>
  </si>
  <si>
    <t xml:space="preserve">INDEX(LOGEST(Data!K1:K8,Data!A1:A8,Data!D1,TRUE),1,1)</t>
  </si>
  <si>
    <t xml:space="preserve">INDEX(LOGEST(Data!K1:K8,Data!A1:A8,Data!D1,TRUE),1,2)</t>
  </si>
  <si>
    <t xml:space="preserve">INDEX(LOGEST(Data!K1:K8,Data!A1:A8,Data!D1,TRUE),2,1)</t>
  </si>
  <si>
    <t xml:space="preserve">INDEX(LOGEST(Data!K1:K8,Data!A1:A8,Data!D1,TRUE),2,2)</t>
  </si>
  <si>
    <t xml:space="preserve">INDEX(LOGEST(Data!K1:K8,Data!A1:A8,Data!D1,TRUE),3,1)</t>
  </si>
  <si>
    <t xml:space="preserve">INDEX(LOGEST(Data!K1:K8,Data!A1:A8,Data!D1,TRUE),3,2)</t>
  </si>
  <si>
    <t xml:space="preserve">INDEX(LOGEST(Data!K1:K8,Data!A1:A8,Data!D1,TRUE),4,1)</t>
  </si>
  <si>
    <t xml:space="preserve">INDEX(LOGEST(Data!K1:K8,Data!A1:A8,Data!D1,TRUE),4,2)</t>
  </si>
  <si>
    <t xml:space="preserve">INDEX(LOGEST(Data!K1:K8,Data!A1:A8,Data!D1,TRUE),5,1)</t>
  </si>
  <si>
    <t xml:space="preserve">INDEX(LOGEST(Data!K1:K8,Data!A1:A8,Data!D1,TRUE),5,2)</t>
  </si>
  <si>
    <t xml:space="preserve">ROWS(LOGEST(Data!K1:K8,Data!A1:A8,Data!D1,TRUE))</t>
  </si>
  <si>
    <t xml:space="preserve">COLUMNS(LOGEST(Data!K1:K8,Data!A1:A8,Data!D1,TRUE))</t>
  </si>
  <si>
    <t xml:space="preserve">INDEX(LOGEST(Data!K1:K8,Data!A1:A8,TRUE,Data!D1),1,1)</t>
  </si>
  <si>
    <t xml:space="preserve">INDEX(LOGEST(Data!K1:K8,Data!A1:A8,TRUE,Data!D1),1,2)</t>
  </si>
  <si>
    <t xml:space="preserve">INDEX(LOGEST(Data!K1:K8,Data!A1:A8,TRUE,Data!D1),2,1)</t>
  </si>
  <si>
    <t xml:space="preserve">INDEX(LOGEST(Data!K1:K8,Data!A1:A8,TRUE,Data!D1),2,2)</t>
  </si>
  <si>
    <t xml:space="preserve">INDEX(LOGEST(Data!K1:K8,Data!A1:A8,TRUE,Data!D1),3,1)</t>
  </si>
  <si>
    <t xml:space="preserve">INDEX(LOGEST(Data!K1:K8,Data!A1:A8,TRUE,Data!D1),3,2)</t>
  </si>
  <si>
    <t xml:space="preserve">INDEX(LOGEST(Data!K1:K8,Data!A1:A8,TRUE,Data!D1),4,1)</t>
  </si>
  <si>
    <t xml:space="preserve">INDEX(LOGEST(Data!K1:K8,Data!A1:A8,TRUE,Data!D1),4,2)</t>
  </si>
  <si>
    <t xml:space="preserve">INDEX(LOGEST(Data!K1:K8,Data!A1:A8,TRUE,Data!D1),5,1)</t>
  </si>
  <si>
    <t xml:space="preserve">INDEX(LOGEST(Data!K1:K8,Data!A1:A8,TRUE,Data!D1),5,2)</t>
  </si>
  <si>
    <t xml:space="preserve">ROWS(LOGEST(Data!K1:K8,Data!A1:A8,TRUE,Data!D1))</t>
  </si>
  <si>
    <t xml:space="preserve">COLUMNS(LOGEST(Data!K1:K8,Data!A1:A8,TRUE,Data!D1))</t>
  </si>
  <si>
    <t xml:space="preserve">INDEX(LOGEST(Data!K1:K8,Data!BF1:BG8,FALSE),1,1)</t>
  </si>
  <si>
    <t xml:space="preserve">INDEX(LOGEST(Data!K1:K8,Data!BF1:BG8,FALSE),1,2)</t>
  </si>
  <si>
    <t xml:space="preserve">INDEX(LOGEST(Data!K1:K8,Data!BF1:BG8,FALSE),1,3)</t>
  </si>
  <si>
    <t xml:space="preserve">ROWS(LOGEST(Data!K1:K8,Data!BF1:BG8,FALSE))</t>
  </si>
  <si>
    <t xml:space="preserve">COLUMNS(LOGEST(Data!K1:K8,Data!BF1:BG8,FALSE))</t>
  </si>
  <si>
    <t xml:space="preserve">INDEX(LOGEST(Data!K1:K8,Data!BF1:BG8,FALSE,FALSE),1,1)</t>
  </si>
  <si>
    <t xml:space="preserve">INDEX(LOGEST(Data!K1:K8,Data!BF1:BG8,FALSE,FALSE),1,2)</t>
  </si>
  <si>
    <t xml:space="preserve">INDEX(LOGEST(Data!K1:K8,Data!BF1:BG8,FALSE,FALSE),1,3)</t>
  </si>
  <si>
    <t xml:space="preserve">ROWS(LOGEST(Data!K1:K8,Data!BF1:BG8,FALSE,FALSE))</t>
  </si>
  <si>
    <t xml:space="preserve">COLUMNS(LOGEST(Data!K1:K8,Data!BF1:BG8,FALSE,FALSE))</t>
  </si>
  <si>
    <t xml:space="preserve">ROWS(TREND(Data!K1:K8,Data!A1:A8,{10;11;0}))</t>
  </si>
  <si>
    <t xml:space="preserve">COLUMNS(TREND(Data!K1:K8,Data!A1:A8,{10;11;0}))</t>
  </si>
  <si>
    <t xml:space="preserve">INDEX(TREND(Data!K1:K8,Data!A1:A8,{10;11;0}),1,1)</t>
  </si>
  <si>
    <t xml:space="preserve">INDEX(TREND(Data!K1:K8,Data!A1:A8,{10;11;0}),1,2)</t>
  </si>
  <si>
    <t xml:space="preserve">INDEX(TREND(Data!K1:K8,Data!A1:A8,{10;11;0}),2,1)</t>
  </si>
  <si>
    <t xml:space="preserve">INDEX(TREND(Data!K1:K8,Data!A1:A8,{10;11;0}),2,2)</t>
  </si>
  <si>
    <t xml:space="preserve">INDEX(TREND(Data!K1:K8,Data!A1:A8,{10;11;0}),3,1)</t>
  </si>
  <si>
    <t xml:space="preserve">INDEX(TREND(Data!K1:K8,Data!A1:A8,{10;11;0}),3,2)</t>
  </si>
  <si>
    <t xml:space="preserve">ROWS(TREND(Data!K1:K8,Data!A1:A8))</t>
  </si>
  <si>
    <t xml:space="preserve">COLUMNS(TREND(Data!K1:K8,Data!A1:A8))</t>
  </si>
  <si>
    <t xml:space="preserve">INDEX(TREND(Data!K1:K8,Data!A1:A8),1,1)</t>
  </si>
  <si>
    <t xml:space="preserve">INDEX(TREND(Data!K1:K8,Data!A1:A8),1,2)</t>
  </si>
  <si>
    <t xml:space="preserve">INDEX(TREND(Data!K1:K8,Data!A1:A8),2,1)</t>
  </si>
  <si>
    <t xml:space="preserve">INDEX(TREND(Data!K1:K8,Data!A1:A8),2,2)</t>
  </si>
  <si>
    <t xml:space="preserve">INDEX(TREND(Data!K1:K8,Data!A1:A8),3,1)</t>
  </si>
  <si>
    <t xml:space="preserve">INDEX(TREND(Data!K1:K8,Data!A1:A8),3,2)</t>
  </si>
  <si>
    <t xml:space="preserve">ROWS(TREND(Data!K1:K8,Data!A1:A8,3))</t>
  </si>
  <si>
    <t xml:space="preserve">COLUMNS(TREND(Data!K1:K8,Data!A1:A8,3))</t>
  </si>
  <si>
    <t xml:space="preserve">INDEX(TREND(Data!K1:K8,Data!A1:A8,3),1,1)</t>
  </si>
  <si>
    <t xml:space="preserve">INDEX(TREND(Data!K1:K8,Data!A1:A8,3),1,2)</t>
  </si>
  <si>
    <t xml:space="preserve">INDEX(TREND(Data!K1:K8,Data!A1:A8,3),2,1)</t>
  </si>
  <si>
    <t xml:space="preserve">INDEX(TREND(Data!K1:K8,Data!A1:A8,3),2,2)</t>
  </si>
  <si>
    <t xml:space="preserve">INDEX(TREND(Data!K1:K8,Data!A1:A8,3),3,1)</t>
  </si>
  <si>
    <t xml:space="preserve">INDEX(TREND(Data!K1:K8,Data!A1:A8,3),3,2)</t>
  </si>
  <si>
    <t xml:space="preserve">ROWS(TREND(Data!K1:K8,Data!A1:A8,3,FALSE))</t>
  </si>
  <si>
    <t xml:space="preserve">COLUMNS(TREND(Data!K1:K8,Data!A1:A8,3,FALSE))</t>
  </si>
  <si>
    <t xml:space="preserve">INDEX(TREND(Data!K1:K8,Data!A1:A8,3,FALSE),1,1)</t>
  </si>
  <si>
    <t xml:space="preserve">INDEX(TREND(Data!K1:K8,Data!A1:A8,3,FALSE),1,2)</t>
  </si>
  <si>
    <t xml:space="preserve">INDEX(TREND(Data!K1:K8,Data!A1:A8,3,FALSE),2,1)</t>
  </si>
  <si>
    <t xml:space="preserve">INDEX(TREND(Data!K1:K8,Data!A1:A8,3,FALSE),2,2)</t>
  </si>
  <si>
    <t xml:space="preserve">INDEX(TREND(Data!K1:K8,Data!A1:A8,3,FALSE),3,1)</t>
  </si>
  <si>
    <t xml:space="preserve">INDEX(TREND(Data!K1:K8,Data!A1:A8,3,FALSE),3,2)</t>
  </si>
  <si>
    <t xml:space="preserve">ROWS(TREND(Data!K1:K8))</t>
  </si>
  <si>
    <t xml:space="preserve">COLUMNS(TREND(Data!K1:K8))</t>
  </si>
  <si>
    <t xml:space="preserve">INDEX(TREND(Data!K1:K8),1,1)</t>
  </si>
  <si>
    <t xml:space="preserve">INDEX(TREND(Data!K1:K8),1,2)</t>
  </si>
  <si>
    <t xml:space="preserve">INDEX(TREND(Data!K1:K8),2,1)</t>
  </si>
  <si>
    <t xml:space="preserve">INDEX(TREND(Data!K1:K8),2,2)</t>
  </si>
  <si>
    <t xml:space="preserve">INDEX(TREND(Data!K1:K8),3,1)</t>
  </si>
  <si>
    <t xml:space="preserve">INDEX(TREND(Data!K1:K8),3,2)</t>
  </si>
  <si>
    <t xml:space="preserve">ROWS(TREND(Data!K1:K8,,{9;10}))</t>
  </si>
  <si>
    <t xml:space="preserve">COLUMNS(TREND(Data!K1:K8,,{9;10}))</t>
  </si>
  <si>
    <t xml:space="preserve">INDEX(TREND(Data!K1:K8,,{9;10}),1,1)</t>
  </si>
  <si>
    <t xml:space="preserve">INDEX(TREND(Data!K1:K8,,{9;10}),1,2)</t>
  </si>
  <si>
    <t xml:space="preserve">INDEX(TREND(Data!K1:K8,,{9;10}),2,1)</t>
  </si>
  <si>
    <t xml:space="preserve">INDEX(TREND(Data!K1:K8,,{9;10}),2,2)</t>
  </si>
  <si>
    <t xml:space="preserve">INDEX(TREND(Data!K1:K8,,{9;10}),3,1)</t>
  </si>
  <si>
    <t xml:space="preserve">INDEX(TREND(Data!K1:K8,,{9;10}),3,2)</t>
  </si>
  <si>
    <t xml:space="preserve">ROWS(TREND(Data!K1:K8,Data!A1:A8,Data!A1:A3))</t>
  </si>
  <si>
    <t xml:space="preserve">COLUMNS(TREND(Data!K1:K8,Data!A1:A8,Data!A1:A3))</t>
  </si>
  <si>
    <t xml:space="preserve">INDEX(TREND(Data!K1:K8,Data!A1:A8,Data!A1:A3),1,1)</t>
  </si>
  <si>
    <t xml:space="preserve">INDEX(TREND(Data!K1:K8,Data!A1:A8,Data!A1:A3),1,2)</t>
  </si>
  <si>
    <t xml:space="preserve">INDEX(TREND(Data!K1:K8,Data!A1:A8,Data!A1:A3),2,1)</t>
  </si>
  <si>
    <t xml:space="preserve">INDEX(TREND(Data!K1:K8,Data!A1:A8,Data!A1:A3),2,2)</t>
  </si>
  <si>
    <t xml:space="preserve">INDEX(TREND(Data!K1:K8,Data!A1:A8,Data!A1:A3),3,1)</t>
  </si>
  <si>
    <t xml:space="preserve">INDEX(TREND(Data!K1:K8,Data!A1:A8,Data!A1:A3),3,2)</t>
  </si>
  <si>
    <t xml:space="preserve">ROWS(TREND(Data!K1:K8,Data!BF1:BG8,Data!BF1:BG2))</t>
  </si>
  <si>
    <t xml:space="preserve">COLUMNS(TREND(Data!K1:K8,Data!BF1:BG8,Data!BF1:BG2))</t>
  </si>
  <si>
    <t xml:space="preserve">INDEX(TREND(Data!K1:K8,Data!BF1:BG8,Data!BF1:BG2),1,1)</t>
  </si>
  <si>
    <t xml:space="preserve">INDEX(TREND(Data!K1:K8,Data!BF1:BG8,Data!BF1:BG2),1,2)</t>
  </si>
  <si>
    <t xml:space="preserve">INDEX(TREND(Data!K1:K8,Data!BF1:BG8,Data!BF1:BG2),2,1)</t>
  </si>
  <si>
    <t xml:space="preserve">INDEX(TREND(Data!K1:K8,Data!BF1:BG8,Data!BF1:BG2),2,2)</t>
  </si>
  <si>
    <t xml:space="preserve">INDEX(TREND(Data!K1:K8,Data!BF1:BG8,Data!BF1:BG2),3,1)</t>
  </si>
  <si>
    <t xml:space="preserve">INDEX(TREND(Data!K1:K8,Data!BF1:BG8,Data!BF1:BG2),3,2)</t>
  </si>
  <si>
    <t xml:space="preserve">ROWS(TREND(Data!K1:K8,Data!BF1:BG8))</t>
  </si>
  <si>
    <t xml:space="preserve">COLUMNS(TREND(Data!K1:K8,Data!BF1:BG8))</t>
  </si>
  <si>
    <t xml:space="preserve">INDEX(TREND(Data!K1:K8,Data!BF1:BG8),1,1)</t>
  </si>
  <si>
    <t xml:space="preserve">INDEX(TREND(Data!K1:K8,Data!BF1:BG8),1,2)</t>
  </si>
  <si>
    <t xml:space="preserve">INDEX(TREND(Data!K1:K8,Data!BF1:BG8),2,1)</t>
  </si>
  <si>
    <t xml:space="preserve">INDEX(TREND(Data!K1:K8,Data!BF1:BG8),2,2)</t>
  </si>
  <si>
    <t xml:space="preserve">INDEX(TREND(Data!K1:K8,Data!BF1:BG8),3,1)</t>
  </si>
  <si>
    <t xml:space="preserve">INDEX(TREND(Data!K1:K8,Data!BF1:BG8),3,2)</t>
  </si>
  <si>
    <t xml:space="preserve">ROWS(TREND(Data!K1:K8,Data!BF1:BG8,{1,2}))</t>
  </si>
  <si>
    <t xml:space="preserve">COLUMNS(TREND(Data!K1:K8,Data!BF1:BG8,{1,2}))</t>
  </si>
  <si>
    <t xml:space="preserve">INDEX(TREND(Data!K1:K8,Data!BF1:BG8,{1,2}),1,1)</t>
  </si>
  <si>
    <t xml:space="preserve">INDEX(TREND(Data!K1:K8,Data!BF1:BG8,{1,2}),1,2)</t>
  </si>
  <si>
    <t xml:space="preserve">INDEX(TREND(Data!K1:K8,Data!BF1:BG8,{1,2}),2,1)</t>
  </si>
  <si>
    <t xml:space="preserve">INDEX(TREND(Data!K1:K8,Data!BF1:BG8,{1,2}),2,2)</t>
  </si>
  <si>
    <t xml:space="preserve">INDEX(TREND(Data!K1:K8,Data!BF1:BG8,{1,2}),3,1)</t>
  </si>
  <si>
    <t xml:space="preserve">INDEX(TREND(Data!K1:K8,Data!BF1:BG8,{1,2}),3,2)</t>
  </si>
  <si>
    <t xml:space="preserve">ROWS(TREND(Data!K1:K8,Data!BF1:BG8,{1,2;3,4}))</t>
  </si>
  <si>
    <t xml:space="preserve">COLUMNS(TREND(Data!K1:K8,Data!BF1:BG8,{1,2;3,4}))</t>
  </si>
  <si>
    <t xml:space="preserve">INDEX(TREND(Data!K1:K8,Data!BF1:BG8,{1,2;3,4}),1,1)</t>
  </si>
  <si>
    <t xml:space="preserve">INDEX(TREND(Data!K1:K8,Data!BF1:BG8,{1,2;3,4}),1,2)</t>
  </si>
  <si>
    <t xml:space="preserve">INDEX(TREND(Data!K1:K8,Data!BF1:BG8,{1,2;3,4}),2,1)</t>
  </si>
  <si>
    <t xml:space="preserve">INDEX(TREND(Data!K1:K8,Data!BF1:BG8,{1,2;3,4}),2,2)</t>
  </si>
  <si>
    <t xml:space="preserve">INDEX(TREND(Data!K1:K8,Data!BF1:BG8,{1,2;3,4}),3,1)</t>
  </si>
  <si>
    <t xml:space="preserve">INDEX(TREND(Data!K1:K8,Data!BF1:BG8,{1,2;3,4}),3,2)</t>
  </si>
  <si>
    <t xml:space="preserve">ROWS(TREND(Data!K1:K8,Data!BF1:BG8,{1;2}))</t>
  </si>
  <si>
    <t xml:space="preserve">COLUMNS(TREND(Data!K1:K8,Data!BF1:BG8,{1;2}))</t>
  </si>
  <si>
    <t xml:space="preserve">INDEX(TREND(Data!K1:K8,Data!BF1:BG8,{1;2}),1,1)</t>
  </si>
  <si>
    <t xml:space="preserve">INDEX(TREND(Data!K1:K8,Data!BF1:BG8,{1;2}),1,2)</t>
  </si>
  <si>
    <t xml:space="preserve">INDEX(TREND(Data!K1:K8,Data!BF1:BG8,{1;2}),2,1)</t>
  </si>
  <si>
    <t xml:space="preserve">INDEX(TREND(Data!K1:K8,Data!BF1:BG8,{1;2}),2,2)</t>
  </si>
  <si>
    <t xml:space="preserve">INDEX(TREND(Data!K1:K8,Data!BF1:BG8,{1;2}),3,1)</t>
  </si>
  <si>
    <t xml:space="preserve">INDEX(TREND(Data!K1:K8,Data!BF1:BG8,{1;2}),3,2)</t>
  </si>
  <si>
    <t xml:space="preserve">ROWS(TREND(TRANSPOSE(Data!K1:K8),TRANSPOSE(Data!A1:A8),{1,2,3}))</t>
  </si>
  <si>
    <t xml:space="preserve">COLUMNS(TREND(TRANSPOSE(Data!K1:K8),TRANSPOSE(Data!A1:A8),{1,2,3}))</t>
  </si>
  <si>
    <t xml:space="preserve">INDEX(TREND(TRANSPOSE(Data!K1:K8),TRANSPOSE(Data!A1:A8),{1,2,3}),1,1)</t>
  </si>
  <si>
    <t xml:space="preserve">INDEX(TREND(TRANSPOSE(Data!K1:K8),TRANSPOSE(Data!A1:A8),{1,2,3}),1,2)</t>
  </si>
  <si>
    <t xml:space="preserve">INDEX(TREND(TRANSPOSE(Data!K1:K8),TRANSPOSE(Data!A1:A8),{1,2,3}),2,1)</t>
  </si>
  <si>
    <t xml:space="preserve">INDEX(TREND(TRANSPOSE(Data!K1:K8),TRANSPOSE(Data!A1:A8),{1,2,3}),2,2)</t>
  </si>
  <si>
    <t xml:space="preserve">INDEX(TREND(TRANSPOSE(Data!K1:K8),TRANSPOSE(Data!A1:A8),{1,2,3}),3,1)</t>
  </si>
  <si>
    <t xml:space="preserve">INDEX(TREND(TRANSPOSE(Data!K1:K8),TRANSPOSE(Data!A1:A8),{1,2,3}),3,2)</t>
  </si>
  <si>
    <t xml:space="preserve">ROWS(TREND(TRANSPOSE(Data!K1:K8),TRANSPOSE(Data!A1:A8),{1;2;3}))</t>
  </si>
  <si>
    <t xml:space="preserve">COLUMNS(TREND(TRANSPOSE(Data!K1:K8),TRANSPOSE(Data!A1:A8),{1;2;3}))</t>
  </si>
  <si>
    <t xml:space="preserve">INDEX(TREND(TRANSPOSE(Data!K1:K8),TRANSPOSE(Data!A1:A8),{1;2;3}),1,1)</t>
  </si>
  <si>
    <t xml:space="preserve">INDEX(TREND(TRANSPOSE(Data!K1:K8),TRANSPOSE(Data!A1:A8),{1;2;3}),1,2)</t>
  </si>
  <si>
    <t xml:space="preserve">INDEX(TREND(TRANSPOSE(Data!K1:K8),TRANSPOSE(Data!A1:A8),{1;2;3}),2,1)</t>
  </si>
  <si>
    <t xml:space="preserve">INDEX(TREND(TRANSPOSE(Data!K1:K8),TRANSPOSE(Data!A1:A8),{1;2;3}),2,2)</t>
  </si>
  <si>
    <t xml:space="preserve">INDEX(TREND(TRANSPOSE(Data!K1:K8),TRANSPOSE(Data!A1:A8),{1;2;3}),3,1)</t>
  </si>
  <si>
    <t xml:space="preserve">INDEX(TREND(TRANSPOSE(Data!K1:K8),TRANSPOSE(Data!A1:A8),{1;2;3}),3,2)</t>
  </si>
  <si>
    <t xml:space="preserve">ROWS(TREND(TRANSPOSE(Data!K1:K8),TRANSPOSE(Data!A1:A8)))</t>
  </si>
  <si>
    <t xml:space="preserve">COLUMNS(TREND(TRANSPOSE(Data!K1:K8),TRANSPOSE(Data!A1:A8)))</t>
  </si>
  <si>
    <t xml:space="preserve">INDEX(TREND(TRANSPOSE(Data!K1:K8),TRANSPOSE(Data!A1:A8)),1,1)</t>
  </si>
  <si>
    <t xml:space="preserve">INDEX(TREND(TRANSPOSE(Data!K1:K8),TRANSPOSE(Data!A1:A8)),1,2)</t>
  </si>
  <si>
    <t xml:space="preserve">INDEX(TREND(TRANSPOSE(Data!K1:K8),TRANSPOSE(Data!A1:A8)),2,1)</t>
  </si>
  <si>
    <t xml:space="preserve">INDEX(TREND(TRANSPOSE(Data!K1:K8),TRANSPOSE(Data!A1:A8)),2,2)</t>
  </si>
  <si>
    <t xml:space="preserve">INDEX(TREND(TRANSPOSE(Data!K1:K8),TRANSPOSE(Data!A1:A8)),3,1)</t>
  </si>
  <si>
    <t xml:space="preserve">INDEX(TREND(TRANSPOSE(Data!K1:K8),TRANSPOSE(Data!A1:A8)),3,2)</t>
  </si>
  <si>
    <t xml:space="preserve">ROWS(TREND(Data!K1:K8,Data!A1:A7,3))</t>
  </si>
  <si>
    <t xml:space="preserve">COLUMNS(TREND(Data!K1:K8,Data!A1:A7,3))</t>
  </si>
  <si>
    <t xml:space="preserve">INDEX(TREND(Data!K1:K8,Data!A1:A7,3),1,1)</t>
  </si>
  <si>
    <t xml:space="preserve">INDEX(TREND(Data!K1:K8,Data!A1:A7,3),1,2)</t>
  </si>
  <si>
    <t xml:space="preserve">INDEX(TREND(Data!K1:K8,Data!A1:A7,3),2,1)</t>
  </si>
  <si>
    <t xml:space="preserve">INDEX(TREND(Data!K1:K8,Data!A1:A7,3),2,2)</t>
  </si>
  <si>
    <t xml:space="preserve">INDEX(TREND(Data!K1:K8,Data!A1:A7,3),3,1)</t>
  </si>
  <si>
    <t xml:space="preserve">INDEX(TREND(Data!K1:K8,Data!A1:A7,3),3,2)</t>
  </si>
  <si>
    <t xml:space="preserve">ROWS(TREND(Data!K1:K8,Data!A1:A8,Data!B1:B3))</t>
  </si>
  <si>
    <t xml:space="preserve">COLUMNS(TREND(Data!K1:K8,Data!A1:A8,Data!B1:B3))</t>
  </si>
  <si>
    <t xml:space="preserve">INDEX(TREND(Data!K1:K8,Data!A1:A8,Data!B1:B3),1,1)</t>
  </si>
  <si>
    <t xml:space="preserve">INDEX(TREND(Data!K1:K8,Data!A1:A8,Data!B1:B3),1,2)</t>
  </si>
  <si>
    <t xml:space="preserve">INDEX(TREND(Data!K1:K8,Data!A1:A8,Data!B1:B3),2,1)</t>
  </si>
  <si>
    <t xml:space="preserve">INDEX(TREND(Data!K1:K8,Data!A1:A8,Data!B1:B3),2,2)</t>
  </si>
  <si>
    <t xml:space="preserve">INDEX(TREND(Data!K1:K8,Data!A1:A8,Data!B1:B3),3,1)</t>
  </si>
  <si>
    <t xml:space="preserve">INDEX(TREND(Data!K1:K8,Data!A1:A8,Data!B1:B3),3,2)</t>
  </si>
  <si>
    <t xml:space="preserve">ROWS(TREND(Data!K1:K8,Data!A1:A8,"x"))</t>
  </si>
  <si>
    <t xml:space="preserve">COLUMNS(TREND(Data!K1:K8,Data!A1:A8,"x"))</t>
  </si>
  <si>
    <t xml:space="preserve">INDEX(TREND(Data!K1:K8,Data!A1:A8,"x"),1,1)</t>
  </si>
  <si>
    <t xml:space="preserve">INDEX(TREND(Data!K1:K8,Data!A1:A8,"x"),1,2)</t>
  </si>
  <si>
    <t xml:space="preserve">INDEX(TREND(Data!K1:K8,Data!A1:A8,"x"),2,1)</t>
  </si>
  <si>
    <t xml:space="preserve">INDEX(TREND(Data!K1:K8,Data!A1:A8,"x"),2,2)</t>
  </si>
  <si>
    <t xml:space="preserve">INDEX(TREND(Data!K1:K8,Data!A1:A8,"x"),3,1)</t>
  </si>
  <si>
    <t xml:space="preserve">INDEX(TREND(Data!K1:K8,Data!A1:A8,"x"),3,2)</t>
  </si>
  <si>
    <t xml:space="preserve">ROWS(TREND(Data!K1:K8,Data!A1:A8,3,"x"))</t>
  </si>
  <si>
    <t xml:space="preserve">COLUMNS(TREND(Data!K1:K8,Data!A1:A8,3,"x"))</t>
  </si>
  <si>
    <t xml:space="preserve">INDEX(TREND(Data!K1:K8,Data!A1:A8,3,"x"),1,1)</t>
  </si>
  <si>
    <t xml:space="preserve">INDEX(TREND(Data!K1:K8,Data!A1:A8,3,"x"),1,2)</t>
  </si>
  <si>
    <t xml:space="preserve">INDEX(TREND(Data!K1:K8,Data!A1:A8,3,"x"),2,1)</t>
  </si>
  <si>
    <t xml:space="preserve">INDEX(TREND(Data!K1:K8,Data!A1:A8,3,"x"),2,2)</t>
  </si>
  <si>
    <t xml:space="preserve">INDEX(TREND(Data!K1:K8,Data!A1:A8,3,"x"),3,1)</t>
  </si>
  <si>
    <t xml:space="preserve">INDEX(TREND(Data!K1:K8,Data!A1:A8,3,"x"),3,2)</t>
  </si>
  <si>
    <t xml:space="preserve">ROWS(TREND(Data!K1:K8,Data!A1:A8,NA()))</t>
  </si>
  <si>
    <t xml:space="preserve">COLUMNS(TREND(Data!K1:K8,Data!A1:A8,NA()))</t>
  </si>
  <si>
    <t xml:space="preserve">INDEX(TREND(Data!K1:K8,Data!A1:A8,NA()),1,1)</t>
  </si>
  <si>
    <t xml:space="preserve">INDEX(TREND(Data!K1:K8,Data!A1:A8,NA()),1,2)</t>
  </si>
  <si>
    <t xml:space="preserve">INDEX(TREND(Data!K1:K8,Data!A1:A8,NA()),2,1)</t>
  </si>
  <si>
    <t xml:space="preserve">INDEX(TREND(Data!K1:K8,Data!A1:A8,NA()),2,2)</t>
  </si>
  <si>
    <t xml:space="preserve">INDEX(TREND(Data!K1:K8,Data!A1:A8,NA()),3,1)</t>
  </si>
  <si>
    <t xml:space="preserve">INDEX(TREND(Data!K1:K8,Data!A1:A8,NA()),3,2)</t>
  </si>
  <si>
    <t xml:space="preserve">ROWS(TREND(Data!M1:M4,Data!K1:K4,3))</t>
  </si>
  <si>
    <t xml:space="preserve">COLUMNS(TREND(Data!M1:M4,Data!K1:K4,3))</t>
  </si>
  <si>
    <t xml:space="preserve">INDEX(TREND(Data!M1:M4,Data!K1:K4,3),1,1)</t>
  </si>
  <si>
    <t xml:space="preserve">INDEX(TREND(Data!M1:M4,Data!K1:K4,3),1,2)</t>
  </si>
  <si>
    <t xml:space="preserve">INDEX(TREND(Data!M1:M4,Data!K1:K4,3),2,1)</t>
  </si>
  <si>
    <t xml:space="preserve">INDEX(TREND(Data!M1:M4,Data!K1:K4,3),2,2)</t>
  </si>
  <si>
    <t xml:space="preserve">INDEX(TREND(Data!M1:M4,Data!K1:K4,3),3,1)</t>
  </si>
  <si>
    <t xml:space="preserve">INDEX(TREND(Data!M1:M4,Data!K1:K4,3),3,2)</t>
  </si>
  <si>
    <t xml:space="preserve">ROWS(TREND(Data!K1:K4,Data!M1:M4,3))</t>
  </si>
  <si>
    <t xml:space="preserve">COLUMNS(TREND(Data!K1:K4,Data!M1:M4,3))</t>
  </si>
  <si>
    <t xml:space="preserve">INDEX(TREND(Data!K1:K4,Data!M1:M4,3),1,1)</t>
  </si>
  <si>
    <t xml:space="preserve">INDEX(TREND(Data!K1:K4,Data!M1:M4,3),1,2)</t>
  </si>
  <si>
    <t xml:space="preserve">INDEX(TREND(Data!K1:K4,Data!M1:M4,3),2,1)</t>
  </si>
  <si>
    <t xml:space="preserve">INDEX(TREND(Data!K1:K4,Data!M1:M4,3),2,2)</t>
  </si>
  <si>
    <t xml:space="preserve">INDEX(TREND(Data!K1:K4,Data!M1:M4,3),3,1)</t>
  </si>
  <si>
    <t xml:space="preserve">INDEX(TREND(Data!K1:K4,Data!M1:M4,3),3,2)</t>
  </si>
  <si>
    <t xml:space="preserve">ROWS(TREND(Data!K1:K8,Data!A1:A8,Data!D1:D3))</t>
  </si>
  <si>
    <t xml:space="preserve">COLUMNS(TREND(Data!K1:K8,Data!A1:A8,Data!D1:D3))</t>
  </si>
  <si>
    <t xml:space="preserve">INDEX(TREND(Data!K1:K8,Data!A1:A8,Data!D1:D3),1,1)</t>
  </si>
  <si>
    <t xml:space="preserve">INDEX(TREND(Data!K1:K8,Data!A1:A8,Data!D1:D3),1,2)</t>
  </si>
  <si>
    <t xml:space="preserve">INDEX(TREND(Data!K1:K8,Data!A1:A8,Data!D1:D3),2,1)</t>
  </si>
  <si>
    <t xml:space="preserve">INDEX(TREND(Data!K1:K8,Data!A1:A8,Data!D1:D3),2,2)</t>
  </si>
  <si>
    <t xml:space="preserve">INDEX(TREND(Data!K1:K8,Data!A1:A8,Data!D1:D3),3,1)</t>
  </si>
  <si>
    <t xml:space="preserve">INDEX(TREND(Data!K1:K8,Data!A1:A8,Data!D1:D3),3,2)</t>
  </si>
  <si>
    <t xml:space="preserve">ROWS(TREND({1;2;4;8},{1;2;3;4},{5;6}))</t>
  </si>
  <si>
    <t xml:space="preserve">COLUMNS(TREND({1;2;4;8},{1;2;3;4},{5;6}))</t>
  </si>
  <si>
    <t xml:space="preserve">INDEX(TREND({1;2;4;8},{1;2;3;4},{5;6}),1,1)</t>
  </si>
  <si>
    <t xml:space="preserve">INDEX(TREND({1;2;4;8},{1;2;3;4},{5;6}),1,2)</t>
  </si>
  <si>
    <t xml:space="preserve">INDEX(TREND({1;2;4;8},{1;2;3;4},{5;6}),2,1)</t>
  </si>
  <si>
    <t xml:space="preserve">INDEX(TREND({1;2;4;8},{1;2;3;4},{5;6}),2,2)</t>
  </si>
  <si>
    <t xml:space="preserve">INDEX(TREND({1;2;4;8},{1;2;3;4},{5;6}),3,1)</t>
  </si>
  <si>
    <t xml:space="preserve">INDEX(TREND({1;2;4;8},{1;2;3;4},{5;6}),3,2)</t>
  </si>
  <si>
    <t xml:space="preserve">ROWS(TREND({-1;2;4;8},{1;2;3;4},{5;6}))</t>
  </si>
  <si>
    <t xml:space="preserve">COLUMNS(TREND({-1;2;4;8},{1;2;3;4},{5;6}))</t>
  </si>
  <si>
    <t xml:space="preserve">INDEX(TREND({-1;2;4;8},{1;2;3;4},{5;6}),1,1)</t>
  </si>
  <si>
    <t xml:space="preserve">INDEX(TREND({-1;2;4;8},{1;2;3;4},{5;6}),1,2)</t>
  </si>
  <si>
    <t xml:space="preserve">INDEX(TREND({-1;2;4;8},{1;2;3;4},{5;6}),2,1)</t>
  </si>
  <si>
    <t xml:space="preserve">INDEX(TREND({-1;2;4;8},{1;2;3;4},{5;6}),2,2)</t>
  </si>
  <si>
    <t xml:space="preserve">INDEX(TREND({-1;2;4;8},{1;2;3;4},{5;6}),3,1)</t>
  </si>
  <si>
    <t xml:space="preserve">INDEX(TREND({-1;2;4;8},{1;2;3;4},{5;6}),3,2)</t>
  </si>
  <si>
    <t xml:space="preserve">ROWS(TREND({3;3;3},{1;2;3},{4}))</t>
  </si>
  <si>
    <t xml:space="preserve">COLUMNS(TREND({3;3;3},{1;2;3},{4}))</t>
  </si>
  <si>
    <t xml:space="preserve">INDEX(TREND({3;3;3},{1;2;3},{4}),1,1)</t>
  </si>
  <si>
    <t xml:space="preserve">INDEX(TREND({3;3;3},{1;2;3},{4}),1,2)</t>
  </si>
  <si>
    <t xml:space="preserve">INDEX(TREND({3;3;3},{1;2;3},{4}),2,1)</t>
  </si>
  <si>
    <t xml:space="preserve">INDEX(TREND({3;3;3},{1;2;3},{4}),2,2)</t>
  </si>
  <si>
    <t xml:space="preserve">INDEX(TREND({3;3;3},{1;2;3},{4}),3,1)</t>
  </si>
  <si>
    <t xml:space="preserve">INDEX(TREND({3;3;3},{1;2;3},{4}),3,2)</t>
  </si>
  <si>
    <t xml:space="preserve">ROWS(TREND(Data!K1:K8,Data!BG1:BH8,Data!BG1:BH2))</t>
  </si>
  <si>
    <t xml:space="preserve">COLUMNS(TREND(Data!K1:K8,Data!BG1:BH8,Data!BG1:BH2))</t>
  </si>
  <si>
    <t xml:space="preserve">INDEX(TREND(Data!K1:K8,Data!BG1:BH8,Data!BG1:BH2),1,1)</t>
  </si>
  <si>
    <t xml:space="preserve">INDEX(TREND(Data!K1:K8,Data!BG1:BH8,Data!BG1:BH2),1,2)</t>
  </si>
  <si>
    <t xml:space="preserve">INDEX(TREND(Data!K1:K8,Data!BG1:BH8,Data!BG1:BH2),2,1)</t>
  </si>
  <si>
    <t xml:space="preserve">INDEX(TREND(Data!K1:K8,Data!BG1:BH8,Data!BG1:BH2),2,2)</t>
  </si>
  <si>
    <t xml:space="preserve">INDEX(TREND(Data!K1:K8,Data!BG1:BH8,Data!BG1:BH2),3,1)</t>
  </si>
  <si>
    <t xml:space="preserve">INDEX(TREND(Data!K1:K8,Data!BG1:BH8,Data!BG1:BH2),3,2)</t>
  </si>
  <si>
    <t xml:space="preserve">ROWS(TREND(Data!K1:K8,Data!BG1:BH8,Data!BG1:BG2))</t>
  </si>
  <si>
    <t xml:space="preserve">COLUMNS(TREND(Data!K1:K8,Data!BG1:BH8,Data!BG1:BG2))</t>
  </si>
  <si>
    <t xml:space="preserve">INDEX(TREND(Data!K1:K8,Data!BG1:BH8,Data!BG1:BG2),1,1)</t>
  </si>
  <si>
    <t xml:space="preserve">INDEX(TREND(Data!K1:K8,Data!BG1:BH8,Data!BG1:BG2),1,2)</t>
  </si>
  <si>
    <t xml:space="preserve">INDEX(TREND(Data!K1:K8,Data!BG1:BH8,Data!BG1:BG2),2,1)</t>
  </si>
  <si>
    <t xml:space="preserve">INDEX(TREND(Data!K1:K8,Data!BG1:BH8,Data!BG1:BG2),2,2)</t>
  </si>
  <si>
    <t xml:space="preserve">INDEX(TREND(Data!K1:K8,Data!BG1:BH8,Data!BG1:BG2),3,1)</t>
  </si>
  <si>
    <t xml:space="preserve">INDEX(TREND(Data!K1:K8,Data!BG1:BH8,Data!BG1:BG2),3,2)</t>
  </si>
  <si>
    <t xml:space="preserve">ROWS(TREND(Data!K1:K8,Data!A1:A8,{10,11;12,13}))</t>
  </si>
  <si>
    <t xml:space="preserve">COLUMNS(TREND(Data!K1:K8,Data!A1:A8,{10,11;12,13}))</t>
  </si>
  <si>
    <t xml:space="preserve">INDEX(TREND(Data!K1:K8,Data!A1:A8,{10,11;12,13}),1,1)</t>
  </si>
  <si>
    <t xml:space="preserve">INDEX(TREND(Data!K1:K8,Data!A1:A8,{10,11;12,13}),1,2)</t>
  </si>
  <si>
    <t xml:space="preserve">INDEX(TREND(Data!K1:K8,Data!A1:A8,{10,11;12,13}),2,1)</t>
  </si>
  <si>
    <t xml:space="preserve">INDEX(TREND(Data!K1:K8,Data!A1:A8,{10,11;12,13}),2,2)</t>
  </si>
  <si>
    <t xml:space="preserve">INDEX(TREND(Data!K1:K8,Data!A1:A8,{10,11;12,13}),3,1)</t>
  </si>
  <si>
    <t xml:space="preserve">INDEX(TREND(Data!K1:K8,Data!A1:A8,{10,11;12,13}),3,2)</t>
  </si>
  <si>
    <t xml:space="preserve">ROWS(TREND(Data!K1:K8,Data!A1:A8,TRUE))</t>
  </si>
  <si>
    <t xml:space="preserve">COLUMNS(TREND(Data!K1:K8,Data!A1:A8,TRUE))</t>
  </si>
  <si>
    <t xml:space="preserve">INDEX(TREND(Data!K1:K8,Data!A1:A8,TRUE),1,1)</t>
  </si>
  <si>
    <t xml:space="preserve">INDEX(TREND(Data!K1:K8,Data!A1:A8,TRUE),1,2)</t>
  </si>
  <si>
    <t xml:space="preserve">INDEX(TREND(Data!K1:K8,Data!A1:A8,TRUE),2,1)</t>
  </si>
  <si>
    <t xml:space="preserve">INDEX(TREND(Data!K1:K8,Data!A1:A8,TRUE),2,2)</t>
  </si>
  <si>
    <t xml:space="preserve">INDEX(TREND(Data!K1:K8,Data!A1:A8,TRUE),3,1)</t>
  </si>
  <si>
    <t xml:space="preserve">INDEX(TREND(Data!K1:K8,Data!A1:A8,TRUE),3,2)</t>
  </si>
  <si>
    <t xml:space="preserve">ROWS(TREND(Data!K1:K8,Data!A1:A8,{10;11},TRUE))</t>
  </si>
  <si>
    <t xml:space="preserve">COLUMNS(TREND(Data!K1:K8,Data!A1:A8,{10;11},TRUE))</t>
  </si>
  <si>
    <t xml:space="preserve">INDEX(TREND(Data!K1:K8,Data!A1:A8,{10;11},TRUE),1,1)</t>
  </si>
  <si>
    <t xml:space="preserve">INDEX(TREND(Data!K1:K8,Data!A1:A8,{10;11},TRUE),1,2)</t>
  </si>
  <si>
    <t xml:space="preserve">INDEX(TREND(Data!K1:K8,Data!A1:A8,{10;11},TRUE),2,1)</t>
  </si>
  <si>
    <t xml:space="preserve">INDEX(TREND(Data!K1:K8,Data!A1:A8,{10;11},TRUE),2,2)</t>
  </si>
  <si>
    <t xml:space="preserve">INDEX(TREND(Data!K1:K8,Data!A1:A8,{10;11},TRUE),3,1)</t>
  </si>
  <si>
    <t xml:space="preserve">INDEX(TREND(Data!K1:K8,Data!A1:A8,{10;11},TRUE),3,2)</t>
  </si>
  <si>
    <t xml:space="preserve">ROWS(TREND(Data!K1:K8,Data!A1:A8,{10;11},FALSE))</t>
  </si>
  <si>
    <t xml:space="preserve">COLUMNS(TREND(Data!K1:K8,Data!A1:A8,{10;11},FALSE))</t>
  </si>
  <si>
    <t xml:space="preserve">INDEX(TREND(Data!K1:K8,Data!A1:A8,{10;11},FALSE),1,1)</t>
  </si>
  <si>
    <t xml:space="preserve">INDEX(TREND(Data!K1:K8,Data!A1:A8,{10;11},FALSE),1,2)</t>
  </si>
  <si>
    <t xml:space="preserve">INDEX(TREND(Data!K1:K8,Data!A1:A8,{10;11},FALSE),2,1)</t>
  </si>
  <si>
    <t xml:space="preserve">INDEX(TREND(Data!K1:K8,Data!A1:A8,{10;11},FALSE),2,2)</t>
  </si>
  <si>
    <t xml:space="preserve">INDEX(TREND(Data!K1:K8,Data!A1:A8,{10;11},FALSE),3,1)</t>
  </si>
  <si>
    <t xml:space="preserve">INDEX(TREND(Data!K1:K8,Data!A1:A8,{10;11},FALSE),3,2)</t>
  </si>
  <si>
    <t xml:space="preserve">ROWS(TREND(Data!K1:K8,Data!A1:A8,{10;11},0))</t>
  </si>
  <si>
    <t xml:space="preserve">COLUMNS(TREND(Data!K1:K8,Data!A1:A8,{10;11},0))</t>
  </si>
  <si>
    <t xml:space="preserve">INDEX(TREND(Data!K1:K8,Data!A1:A8,{10;11},0),1,1)</t>
  </si>
  <si>
    <t xml:space="preserve">INDEX(TREND(Data!K1:K8,Data!A1:A8,{10;11},0),1,2)</t>
  </si>
  <si>
    <t xml:space="preserve">INDEX(TREND(Data!K1:K8,Data!A1:A8,{10;11},0),2,1)</t>
  </si>
  <si>
    <t xml:space="preserve">INDEX(TREND(Data!K1:K8,Data!A1:A8,{10;11},0),2,2)</t>
  </si>
  <si>
    <t xml:space="preserve">INDEX(TREND(Data!K1:K8,Data!A1:A8,{10;11},0),3,1)</t>
  </si>
  <si>
    <t xml:space="preserve">INDEX(TREND(Data!K1:K8,Data!A1:A8,{10;11},0),3,2)</t>
  </si>
  <si>
    <t xml:space="preserve">ROWS(TREND(Data!K1:K8,Data!A1:A8,{10;11},,))</t>
  </si>
  <si>
    <t xml:space="preserve">COLUMNS(TREND(Data!K1:K8,Data!A1:A8,{10;11},,))</t>
  </si>
  <si>
    <t xml:space="preserve">INDEX(TREND(Data!K1:K8,Data!A1:A8,{10;11},,),1,1)</t>
  </si>
  <si>
    <t xml:space="preserve">INDEX(TREND(Data!K1:K8,Data!A1:A8,{10;11},,),1,2)</t>
  </si>
  <si>
    <t xml:space="preserve">INDEX(TREND(Data!K1:K8,Data!A1:A8,{10;11},,),2,1)</t>
  </si>
  <si>
    <t xml:space="preserve">INDEX(TREND(Data!K1:K8,Data!A1:A8,{10;11},,),2,2)</t>
  </si>
  <si>
    <t xml:space="preserve">INDEX(TREND(Data!K1:K8,Data!A1:A8,{10;11},,),3,1)</t>
  </si>
  <si>
    <t xml:space="preserve">INDEX(TREND(Data!K1:K8,Data!A1:A8,{10;11},,),3,2)</t>
  </si>
  <si>
    <t xml:space="preserve">ROWS(GROWTH(Data!K1:K8,Data!A1:A8,{10;11;0}))</t>
  </si>
  <si>
    <t xml:space="preserve">COLUMNS(GROWTH(Data!K1:K8,Data!A1:A8,{10;11;0}))</t>
  </si>
  <si>
    <t xml:space="preserve">INDEX(GROWTH(Data!K1:K8,Data!A1:A8,{10;11;0}),1,1)</t>
  </si>
  <si>
    <t xml:space="preserve">INDEX(GROWTH(Data!K1:K8,Data!A1:A8,{10;11;0}),1,2)</t>
  </si>
  <si>
    <t xml:space="preserve">INDEX(GROWTH(Data!K1:K8,Data!A1:A8,{10;11;0}),2,1)</t>
  </si>
  <si>
    <t xml:space="preserve">INDEX(GROWTH(Data!K1:K8,Data!A1:A8,{10;11;0}),2,2)</t>
  </si>
  <si>
    <t xml:space="preserve">INDEX(GROWTH(Data!K1:K8,Data!A1:A8,{10;11;0}),3,1)</t>
  </si>
  <si>
    <t xml:space="preserve">INDEX(GROWTH(Data!K1:K8,Data!A1:A8,{10;11;0}),3,2)</t>
  </si>
  <si>
    <t xml:space="preserve">ROWS(GROWTH(Data!K1:K8,Data!A1:A8))</t>
  </si>
  <si>
    <t xml:space="preserve">COLUMNS(GROWTH(Data!K1:K8,Data!A1:A8))</t>
  </si>
  <si>
    <t xml:space="preserve">INDEX(GROWTH(Data!K1:K8,Data!A1:A8),1,1)</t>
  </si>
  <si>
    <t xml:space="preserve">INDEX(GROWTH(Data!K1:K8,Data!A1:A8),1,2)</t>
  </si>
  <si>
    <t xml:space="preserve">INDEX(GROWTH(Data!K1:K8,Data!A1:A8),2,1)</t>
  </si>
  <si>
    <t xml:space="preserve">INDEX(GROWTH(Data!K1:K8,Data!A1:A8),2,2)</t>
  </si>
  <si>
    <t xml:space="preserve">INDEX(GROWTH(Data!K1:K8,Data!A1:A8),3,1)</t>
  </si>
  <si>
    <t xml:space="preserve">INDEX(GROWTH(Data!K1:K8,Data!A1:A8),3,2)</t>
  </si>
  <si>
    <t xml:space="preserve">ROWS(GROWTH(Data!K1:K8,Data!A1:A8,3))</t>
  </si>
  <si>
    <t xml:space="preserve">COLUMNS(GROWTH(Data!K1:K8,Data!A1:A8,3))</t>
  </si>
  <si>
    <t xml:space="preserve">INDEX(GROWTH(Data!K1:K8,Data!A1:A8,3),1,1)</t>
  </si>
  <si>
    <t xml:space="preserve">INDEX(GROWTH(Data!K1:K8,Data!A1:A8,3),1,2)</t>
  </si>
  <si>
    <t xml:space="preserve">INDEX(GROWTH(Data!K1:K8,Data!A1:A8,3),2,1)</t>
  </si>
  <si>
    <t xml:space="preserve">INDEX(GROWTH(Data!K1:K8,Data!A1:A8,3),2,2)</t>
  </si>
  <si>
    <t xml:space="preserve">INDEX(GROWTH(Data!K1:K8,Data!A1:A8,3),3,1)</t>
  </si>
  <si>
    <t xml:space="preserve">INDEX(GROWTH(Data!K1:K8,Data!A1:A8,3),3,2)</t>
  </si>
  <si>
    <t xml:space="preserve">ROWS(GROWTH(Data!K1:K8,Data!A1:A8,3,FALSE))</t>
  </si>
  <si>
    <t xml:space="preserve">COLUMNS(GROWTH(Data!K1:K8,Data!A1:A8,3,FALSE))</t>
  </si>
  <si>
    <t xml:space="preserve">INDEX(GROWTH(Data!K1:K8,Data!A1:A8,3,FALSE),1,1)</t>
  </si>
  <si>
    <t xml:space="preserve">INDEX(GROWTH(Data!K1:K8,Data!A1:A8,3,FALSE),1,2)</t>
  </si>
  <si>
    <t xml:space="preserve">INDEX(GROWTH(Data!K1:K8,Data!A1:A8,3,FALSE),2,1)</t>
  </si>
  <si>
    <t xml:space="preserve">INDEX(GROWTH(Data!K1:K8,Data!A1:A8,3,FALSE),2,2)</t>
  </si>
  <si>
    <t xml:space="preserve">INDEX(GROWTH(Data!K1:K8,Data!A1:A8,3,FALSE),3,1)</t>
  </si>
  <si>
    <t xml:space="preserve">INDEX(GROWTH(Data!K1:K8,Data!A1:A8,3,FALSE),3,2)</t>
  </si>
  <si>
    <t xml:space="preserve">ROWS(GROWTH(Data!K1:K8))</t>
  </si>
  <si>
    <t xml:space="preserve">COLUMNS(GROWTH(Data!K1:K8))</t>
  </si>
  <si>
    <t xml:space="preserve">INDEX(GROWTH(Data!K1:K8),1,1)</t>
  </si>
  <si>
    <t xml:space="preserve">INDEX(GROWTH(Data!K1:K8),1,2)</t>
  </si>
  <si>
    <t xml:space="preserve">INDEX(GROWTH(Data!K1:K8),2,1)</t>
  </si>
  <si>
    <t xml:space="preserve">INDEX(GROWTH(Data!K1:K8),2,2)</t>
  </si>
  <si>
    <t xml:space="preserve">INDEX(GROWTH(Data!K1:K8),3,1)</t>
  </si>
  <si>
    <t xml:space="preserve">INDEX(GROWTH(Data!K1:K8),3,2)</t>
  </si>
  <si>
    <t xml:space="preserve">ROWS(GROWTH(Data!K1:K8,,{9;10}))</t>
  </si>
  <si>
    <t xml:space="preserve">COLUMNS(GROWTH(Data!K1:K8,,{9;10}))</t>
  </si>
  <si>
    <t xml:space="preserve">INDEX(GROWTH(Data!K1:K8,,{9;10}),1,1)</t>
  </si>
  <si>
    <t xml:space="preserve">INDEX(GROWTH(Data!K1:K8,,{9;10}),1,2)</t>
  </si>
  <si>
    <t xml:space="preserve">INDEX(GROWTH(Data!K1:K8,,{9;10}),2,1)</t>
  </si>
  <si>
    <t xml:space="preserve">INDEX(GROWTH(Data!K1:K8,,{9;10}),2,2)</t>
  </si>
  <si>
    <t xml:space="preserve">INDEX(GROWTH(Data!K1:K8,,{9;10}),3,1)</t>
  </si>
  <si>
    <t xml:space="preserve">INDEX(GROWTH(Data!K1:K8,,{9;10}),3,2)</t>
  </si>
  <si>
    <t xml:space="preserve">ROWS(GROWTH(Data!K1:K8,Data!A1:A8,Data!A1:A3))</t>
  </si>
  <si>
    <t xml:space="preserve">COLUMNS(GROWTH(Data!K1:K8,Data!A1:A8,Data!A1:A3))</t>
  </si>
  <si>
    <t xml:space="preserve">INDEX(GROWTH(Data!K1:K8,Data!A1:A8,Data!A1:A3),1,1)</t>
  </si>
  <si>
    <t xml:space="preserve">INDEX(GROWTH(Data!K1:K8,Data!A1:A8,Data!A1:A3),1,2)</t>
  </si>
  <si>
    <t xml:space="preserve">INDEX(GROWTH(Data!K1:K8,Data!A1:A8,Data!A1:A3),2,1)</t>
  </si>
  <si>
    <t xml:space="preserve">INDEX(GROWTH(Data!K1:K8,Data!A1:A8,Data!A1:A3),2,2)</t>
  </si>
  <si>
    <t xml:space="preserve">INDEX(GROWTH(Data!K1:K8,Data!A1:A8,Data!A1:A3),3,1)</t>
  </si>
  <si>
    <t xml:space="preserve">INDEX(GROWTH(Data!K1:K8,Data!A1:A8,Data!A1:A3),3,2)</t>
  </si>
  <si>
    <t xml:space="preserve">ROWS(GROWTH(Data!K1:K8,Data!BF1:BG8,Data!BF1:BG2))</t>
  </si>
  <si>
    <t xml:space="preserve">COLUMNS(GROWTH(Data!K1:K8,Data!BF1:BG8,Data!BF1:BG2))</t>
  </si>
  <si>
    <t xml:space="preserve">INDEX(GROWTH(Data!K1:K8,Data!BF1:BG8,Data!BF1:BG2),1,1)</t>
  </si>
  <si>
    <t xml:space="preserve">INDEX(GROWTH(Data!K1:K8,Data!BF1:BG8,Data!BF1:BG2),1,2)</t>
  </si>
  <si>
    <t xml:space="preserve">INDEX(GROWTH(Data!K1:K8,Data!BF1:BG8,Data!BF1:BG2),2,1)</t>
  </si>
  <si>
    <t xml:space="preserve">INDEX(GROWTH(Data!K1:K8,Data!BF1:BG8,Data!BF1:BG2),2,2)</t>
  </si>
  <si>
    <t xml:space="preserve">INDEX(GROWTH(Data!K1:K8,Data!BF1:BG8,Data!BF1:BG2),3,1)</t>
  </si>
  <si>
    <t xml:space="preserve">INDEX(GROWTH(Data!K1:K8,Data!BF1:BG8,Data!BF1:BG2),3,2)</t>
  </si>
  <si>
    <t xml:space="preserve">ROWS(GROWTH(Data!K1:K8,Data!BF1:BG8))</t>
  </si>
  <si>
    <t xml:space="preserve">COLUMNS(GROWTH(Data!K1:K8,Data!BF1:BG8))</t>
  </si>
  <si>
    <t xml:space="preserve">INDEX(GROWTH(Data!K1:K8,Data!BF1:BG8),1,1)</t>
  </si>
  <si>
    <t xml:space="preserve">INDEX(GROWTH(Data!K1:K8,Data!BF1:BG8),1,2)</t>
  </si>
  <si>
    <t xml:space="preserve">INDEX(GROWTH(Data!K1:K8,Data!BF1:BG8),2,1)</t>
  </si>
  <si>
    <t xml:space="preserve">INDEX(GROWTH(Data!K1:K8,Data!BF1:BG8),2,2)</t>
  </si>
  <si>
    <t xml:space="preserve">INDEX(GROWTH(Data!K1:K8,Data!BF1:BG8),3,1)</t>
  </si>
  <si>
    <t xml:space="preserve">INDEX(GROWTH(Data!K1:K8,Data!BF1:BG8),3,2)</t>
  </si>
  <si>
    <t xml:space="preserve">ROWS(GROWTH(Data!K1:K8,Data!BF1:BG8,{1,2}))</t>
  </si>
  <si>
    <t xml:space="preserve">COLUMNS(GROWTH(Data!K1:K8,Data!BF1:BG8,{1,2}))</t>
  </si>
  <si>
    <t xml:space="preserve">INDEX(GROWTH(Data!K1:K8,Data!BF1:BG8,{1,2}),1,1)</t>
  </si>
  <si>
    <t xml:space="preserve">INDEX(GROWTH(Data!K1:K8,Data!BF1:BG8,{1,2}),1,2)</t>
  </si>
  <si>
    <t xml:space="preserve">INDEX(GROWTH(Data!K1:K8,Data!BF1:BG8,{1,2}),2,1)</t>
  </si>
  <si>
    <t xml:space="preserve">INDEX(GROWTH(Data!K1:K8,Data!BF1:BG8,{1,2}),2,2)</t>
  </si>
  <si>
    <t xml:space="preserve">INDEX(GROWTH(Data!K1:K8,Data!BF1:BG8,{1,2}),3,1)</t>
  </si>
  <si>
    <t xml:space="preserve">INDEX(GROWTH(Data!K1:K8,Data!BF1:BG8,{1,2}),3,2)</t>
  </si>
  <si>
    <t xml:space="preserve">ROWS(GROWTH(Data!K1:K8,Data!BF1:BG8,{1,2;3,4}))</t>
  </si>
  <si>
    <t xml:space="preserve">COLUMNS(GROWTH(Data!K1:K8,Data!BF1:BG8,{1,2;3,4}))</t>
  </si>
  <si>
    <t xml:space="preserve">INDEX(GROWTH(Data!K1:K8,Data!BF1:BG8,{1,2;3,4}),1,1)</t>
  </si>
  <si>
    <t xml:space="preserve">INDEX(GROWTH(Data!K1:K8,Data!BF1:BG8,{1,2;3,4}),1,2)</t>
  </si>
  <si>
    <t xml:space="preserve">INDEX(GROWTH(Data!K1:K8,Data!BF1:BG8,{1,2;3,4}),2,1)</t>
  </si>
  <si>
    <t xml:space="preserve">INDEX(GROWTH(Data!K1:K8,Data!BF1:BG8,{1,2;3,4}),2,2)</t>
  </si>
  <si>
    <t xml:space="preserve">INDEX(GROWTH(Data!K1:K8,Data!BF1:BG8,{1,2;3,4}),3,1)</t>
  </si>
  <si>
    <t xml:space="preserve">INDEX(GROWTH(Data!K1:K8,Data!BF1:BG8,{1,2;3,4}),3,2)</t>
  </si>
  <si>
    <t xml:space="preserve">ROWS(GROWTH(Data!K1:K8,Data!BF1:BG8,{1;2}))</t>
  </si>
  <si>
    <t xml:space="preserve">COLUMNS(GROWTH(Data!K1:K8,Data!BF1:BG8,{1;2}))</t>
  </si>
  <si>
    <t xml:space="preserve">INDEX(GROWTH(Data!K1:K8,Data!BF1:BG8,{1;2}),1,1)</t>
  </si>
  <si>
    <t xml:space="preserve">INDEX(GROWTH(Data!K1:K8,Data!BF1:BG8,{1;2}),1,2)</t>
  </si>
  <si>
    <t xml:space="preserve">INDEX(GROWTH(Data!K1:K8,Data!BF1:BG8,{1;2}),2,1)</t>
  </si>
  <si>
    <t xml:space="preserve">INDEX(GROWTH(Data!K1:K8,Data!BF1:BG8,{1;2}),2,2)</t>
  </si>
  <si>
    <t xml:space="preserve">INDEX(GROWTH(Data!K1:K8,Data!BF1:BG8,{1;2}),3,1)</t>
  </si>
  <si>
    <t xml:space="preserve">INDEX(GROWTH(Data!K1:K8,Data!BF1:BG8,{1;2}),3,2)</t>
  </si>
  <si>
    <t xml:space="preserve">ROWS(GROWTH(TRANSPOSE(Data!K1:K8),TRANSPOSE(Data!A1:A8),{1,2,3}))</t>
  </si>
  <si>
    <t xml:space="preserve">COLUMNS(GROWTH(TRANSPOSE(Data!K1:K8),TRANSPOSE(Data!A1:A8),{1,2,3}))</t>
  </si>
  <si>
    <t xml:space="preserve">INDEX(GROWTH(TRANSPOSE(Data!K1:K8),TRANSPOSE(Data!A1:A8),{1,2,3}),1,1)</t>
  </si>
  <si>
    <t xml:space="preserve">INDEX(GROWTH(TRANSPOSE(Data!K1:K8),TRANSPOSE(Data!A1:A8),{1,2,3}),1,2)</t>
  </si>
  <si>
    <t xml:space="preserve">INDEX(GROWTH(TRANSPOSE(Data!K1:K8),TRANSPOSE(Data!A1:A8),{1,2,3}),2,1)</t>
  </si>
  <si>
    <t xml:space="preserve">INDEX(GROWTH(TRANSPOSE(Data!K1:K8),TRANSPOSE(Data!A1:A8),{1,2,3}),2,2)</t>
  </si>
  <si>
    <t xml:space="preserve">INDEX(GROWTH(TRANSPOSE(Data!K1:K8),TRANSPOSE(Data!A1:A8),{1,2,3}),3,1)</t>
  </si>
  <si>
    <t xml:space="preserve">INDEX(GROWTH(TRANSPOSE(Data!K1:K8),TRANSPOSE(Data!A1:A8),{1,2,3}),3,2)</t>
  </si>
  <si>
    <t xml:space="preserve">ROWS(GROWTH(TRANSPOSE(Data!K1:K8),TRANSPOSE(Data!A1:A8),{1;2;3}))</t>
  </si>
  <si>
    <t xml:space="preserve">COLUMNS(GROWTH(TRANSPOSE(Data!K1:K8),TRANSPOSE(Data!A1:A8),{1;2;3}))</t>
  </si>
  <si>
    <t xml:space="preserve">INDEX(GROWTH(TRANSPOSE(Data!K1:K8),TRANSPOSE(Data!A1:A8),{1;2;3}),1,1)</t>
  </si>
  <si>
    <t xml:space="preserve">INDEX(GROWTH(TRANSPOSE(Data!K1:K8),TRANSPOSE(Data!A1:A8),{1;2;3}),1,2)</t>
  </si>
  <si>
    <t xml:space="preserve">INDEX(GROWTH(TRANSPOSE(Data!K1:K8),TRANSPOSE(Data!A1:A8),{1;2;3}),2,1)</t>
  </si>
  <si>
    <t xml:space="preserve">INDEX(GROWTH(TRANSPOSE(Data!K1:K8),TRANSPOSE(Data!A1:A8),{1;2;3}),2,2)</t>
  </si>
  <si>
    <t xml:space="preserve">INDEX(GROWTH(TRANSPOSE(Data!K1:K8),TRANSPOSE(Data!A1:A8),{1;2;3}),3,1)</t>
  </si>
  <si>
    <t xml:space="preserve">INDEX(GROWTH(TRANSPOSE(Data!K1:K8),TRANSPOSE(Data!A1:A8),{1;2;3}),3,2)</t>
  </si>
  <si>
    <t xml:space="preserve">ROWS(GROWTH(TRANSPOSE(Data!K1:K8),TRANSPOSE(Data!A1:A8)))</t>
  </si>
  <si>
    <t xml:space="preserve">COLUMNS(GROWTH(TRANSPOSE(Data!K1:K8),TRANSPOSE(Data!A1:A8)))</t>
  </si>
  <si>
    <t xml:space="preserve">INDEX(GROWTH(TRANSPOSE(Data!K1:K8),TRANSPOSE(Data!A1:A8)),1,1)</t>
  </si>
  <si>
    <t xml:space="preserve">INDEX(GROWTH(TRANSPOSE(Data!K1:K8),TRANSPOSE(Data!A1:A8)),1,2)</t>
  </si>
  <si>
    <t xml:space="preserve">INDEX(GROWTH(TRANSPOSE(Data!K1:K8),TRANSPOSE(Data!A1:A8)),2,1)</t>
  </si>
  <si>
    <t xml:space="preserve">INDEX(GROWTH(TRANSPOSE(Data!K1:K8),TRANSPOSE(Data!A1:A8)),2,2)</t>
  </si>
  <si>
    <t xml:space="preserve">INDEX(GROWTH(TRANSPOSE(Data!K1:K8),TRANSPOSE(Data!A1:A8)),3,1)</t>
  </si>
  <si>
    <t xml:space="preserve">INDEX(GROWTH(TRANSPOSE(Data!K1:K8),TRANSPOSE(Data!A1:A8)),3,2)</t>
  </si>
  <si>
    <t xml:space="preserve">ROWS(GROWTH(Data!K1:K8,Data!A1:A7,3))</t>
  </si>
  <si>
    <t xml:space="preserve">COLUMNS(GROWTH(Data!K1:K8,Data!A1:A7,3))</t>
  </si>
  <si>
    <t xml:space="preserve">INDEX(GROWTH(Data!K1:K8,Data!A1:A7,3),1,1)</t>
  </si>
  <si>
    <t xml:space="preserve">INDEX(GROWTH(Data!K1:K8,Data!A1:A7,3),1,2)</t>
  </si>
  <si>
    <t xml:space="preserve">INDEX(GROWTH(Data!K1:K8,Data!A1:A7,3),2,1)</t>
  </si>
  <si>
    <t xml:space="preserve">INDEX(GROWTH(Data!K1:K8,Data!A1:A7,3),2,2)</t>
  </si>
  <si>
    <t xml:space="preserve">INDEX(GROWTH(Data!K1:K8,Data!A1:A7,3),3,1)</t>
  </si>
  <si>
    <t xml:space="preserve">INDEX(GROWTH(Data!K1:K8,Data!A1:A7,3),3,2)</t>
  </si>
  <si>
    <t xml:space="preserve">ROWS(GROWTH(Data!K1:K8,Data!A1:A8,Data!B1:B3))</t>
  </si>
  <si>
    <t xml:space="preserve">COLUMNS(GROWTH(Data!K1:K8,Data!A1:A8,Data!B1:B3))</t>
  </si>
  <si>
    <t xml:space="preserve">INDEX(GROWTH(Data!K1:K8,Data!A1:A8,Data!B1:B3),1,1)</t>
  </si>
  <si>
    <t xml:space="preserve">INDEX(GROWTH(Data!K1:K8,Data!A1:A8,Data!B1:B3),1,2)</t>
  </si>
  <si>
    <t xml:space="preserve">INDEX(GROWTH(Data!K1:K8,Data!A1:A8,Data!B1:B3),2,1)</t>
  </si>
  <si>
    <t xml:space="preserve">INDEX(GROWTH(Data!K1:K8,Data!A1:A8,Data!B1:B3),2,2)</t>
  </si>
  <si>
    <t xml:space="preserve">INDEX(GROWTH(Data!K1:K8,Data!A1:A8,Data!B1:B3),3,1)</t>
  </si>
  <si>
    <t xml:space="preserve">INDEX(GROWTH(Data!K1:K8,Data!A1:A8,Data!B1:B3),3,2)</t>
  </si>
  <si>
    <t xml:space="preserve">ROWS(GROWTH(Data!K1:K8,Data!A1:A8,"x"))</t>
  </si>
  <si>
    <t xml:space="preserve">COLUMNS(GROWTH(Data!K1:K8,Data!A1:A8,"x"))</t>
  </si>
  <si>
    <t xml:space="preserve">INDEX(GROWTH(Data!K1:K8,Data!A1:A8,"x"),1,1)</t>
  </si>
  <si>
    <t xml:space="preserve">INDEX(GROWTH(Data!K1:K8,Data!A1:A8,"x"),1,2)</t>
  </si>
  <si>
    <t xml:space="preserve">INDEX(GROWTH(Data!K1:K8,Data!A1:A8,"x"),2,1)</t>
  </si>
  <si>
    <t xml:space="preserve">INDEX(GROWTH(Data!K1:K8,Data!A1:A8,"x"),2,2)</t>
  </si>
  <si>
    <t xml:space="preserve">INDEX(GROWTH(Data!K1:K8,Data!A1:A8,"x"),3,1)</t>
  </si>
  <si>
    <t xml:space="preserve">INDEX(GROWTH(Data!K1:K8,Data!A1:A8,"x"),3,2)</t>
  </si>
  <si>
    <t xml:space="preserve">ROWS(GROWTH(Data!K1:K8,Data!A1:A8,3,"x"))</t>
  </si>
  <si>
    <t xml:space="preserve">COLUMNS(GROWTH(Data!K1:K8,Data!A1:A8,3,"x"))</t>
  </si>
  <si>
    <t xml:space="preserve">INDEX(GROWTH(Data!K1:K8,Data!A1:A8,3,"x"),1,1)</t>
  </si>
  <si>
    <t xml:space="preserve">INDEX(GROWTH(Data!K1:K8,Data!A1:A8,3,"x"),1,2)</t>
  </si>
  <si>
    <t xml:space="preserve">INDEX(GROWTH(Data!K1:K8,Data!A1:A8,3,"x"),2,1)</t>
  </si>
  <si>
    <t xml:space="preserve">INDEX(GROWTH(Data!K1:K8,Data!A1:A8,3,"x"),2,2)</t>
  </si>
  <si>
    <t xml:space="preserve">INDEX(GROWTH(Data!K1:K8,Data!A1:A8,3,"x"),3,1)</t>
  </si>
  <si>
    <t xml:space="preserve">INDEX(GROWTH(Data!K1:K8,Data!A1:A8,3,"x"),3,2)</t>
  </si>
  <si>
    <t xml:space="preserve">ROWS(GROWTH(Data!K1:K8,Data!A1:A8,NA()))</t>
  </si>
  <si>
    <t xml:space="preserve">COLUMNS(GROWTH(Data!K1:K8,Data!A1:A8,NA()))</t>
  </si>
  <si>
    <t xml:space="preserve">INDEX(GROWTH(Data!K1:K8,Data!A1:A8,NA()),1,1)</t>
  </si>
  <si>
    <t xml:space="preserve">INDEX(GROWTH(Data!K1:K8,Data!A1:A8,NA()),1,2)</t>
  </si>
  <si>
    <t xml:space="preserve">INDEX(GROWTH(Data!K1:K8,Data!A1:A8,NA()),2,1)</t>
  </si>
  <si>
    <t xml:space="preserve">INDEX(GROWTH(Data!K1:K8,Data!A1:A8,NA()),2,2)</t>
  </si>
  <si>
    <t xml:space="preserve">INDEX(GROWTH(Data!K1:K8,Data!A1:A8,NA()),3,1)</t>
  </si>
  <si>
    <t xml:space="preserve">INDEX(GROWTH(Data!K1:K8,Data!A1:A8,NA()),3,2)</t>
  </si>
  <si>
    <t xml:space="preserve">ROWS(GROWTH(Data!M1:M4,Data!K1:K4,3))</t>
  </si>
  <si>
    <t xml:space="preserve">COLUMNS(GROWTH(Data!M1:M4,Data!K1:K4,3))</t>
  </si>
  <si>
    <t xml:space="preserve">INDEX(GROWTH(Data!M1:M4,Data!K1:K4,3),1,1)</t>
  </si>
  <si>
    <t xml:space="preserve">INDEX(GROWTH(Data!M1:M4,Data!K1:K4,3),1,2)</t>
  </si>
  <si>
    <t xml:space="preserve">INDEX(GROWTH(Data!M1:M4,Data!K1:K4,3),2,1)</t>
  </si>
  <si>
    <t xml:space="preserve">INDEX(GROWTH(Data!M1:M4,Data!K1:K4,3),2,2)</t>
  </si>
  <si>
    <t xml:space="preserve">INDEX(GROWTH(Data!M1:M4,Data!K1:K4,3),3,1)</t>
  </si>
  <si>
    <t xml:space="preserve">INDEX(GROWTH(Data!M1:M4,Data!K1:K4,3),3,2)</t>
  </si>
  <si>
    <t xml:space="preserve">ROWS(GROWTH(Data!K1:K4,Data!M1:M4,3))</t>
  </si>
  <si>
    <t xml:space="preserve">COLUMNS(GROWTH(Data!K1:K4,Data!M1:M4,3))</t>
  </si>
  <si>
    <t xml:space="preserve">INDEX(GROWTH(Data!K1:K4,Data!M1:M4,3),1,1)</t>
  </si>
  <si>
    <t xml:space="preserve">INDEX(GROWTH(Data!K1:K4,Data!M1:M4,3),1,2)</t>
  </si>
  <si>
    <t xml:space="preserve">INDEX(GROWTH(Data!K1:K4,Data!M1:M4,3),2,1)</t>
  </si>
  <si>
    <t xml:space="preserve">INDEX(GROWTH(Data!K1:K4,Data!M1:M4,3),2,2)</t>
  </si>
  <si>
    <t xml:space="preserve">INDEX(GROWTH(Data!K1:K4,Data!M1:M4,3),3,1)</t>
  </si>
  <si>
    <t xml:space="preserve">INDEX(GROWTH(Data!K1:K4,Data!M1:M4,3),3,2)</t>
  </si>
  <si>
    <t xml:space="preserve">ROWS(GROWTH(Data!K1:K8,Data!A1:A8,Data!D1:D3))</t>
  </si>
  <si>
    <t xml:space="preserve">COLUMNS(GROWTH(Data!K1:K8,Data!A1:A8,Data!D1:D3))</t>
  </si>
  <si>
    <t xml:space="preserve">INDEX(GROWTH(Data!K1:K8,Data!A1:A8,Data!D1:D3),1,1)</t>
  </si>
  <si>
    <t xml:space="preserve">INDEX(GROWTH(Data!K1:K8,Data!A1:A8,Data!D1:D3),1,2)</t>
  </si>
  <si>
    <t xml:space="preserve">INDEX(GROWTH(Data!K1:K8,Data!A1:A8,Data!D1:D3),2,1)</t>
  </si>
  <si>
    <t xml:space="preserve">INDEX(GROWTH(Data!K1:K8,Data!A1:A8,Data!D1:D3),2,2)</t>
  </si>
  <si>
    <t xml:space="preserve">INDEX(GROWTH(Data!K1:K8,Data!A1:A8,Data!D1:D3),3,1)</t>
  </si>
  <si>
    <t xml:space="preserve">INDEX(GROWTH(Data!K1:K8,Data!A1:A8,Data!D1:D3),3,2)</t>
  </si>
  <si>
    <t xml:space="preserve">ROWS(GROWTH({1;2;4;8},{1;2;3;4},{5;6}))</t>
  </si>
  <si>
    <t xml:space="preserve">COLUMNS(GROWTH({1;2;4;8},{1;2;3;4},{5;6}))</t>
  </si>
  <si>
    <t xml:space="preserve">INDEX(GROWTH({1;2;4;8},{1;2;3;4},{5;6}),1,1)</t>
  </si>
  <si>
    <t xml:space="preserve">INDEX(GROWTH({1;2;4;8},{1;2;3;4},{5;6}),1,2)</t>
  </si>
  <si>
    <t xml:space="preserve">INDEX(GROWTH({1;2;4;8},{1;2;3;4},{5;6}),2,1)</t>
  </si>
  <si>
    <t xml:space="preserve">INDEX(GROWTH({1;2;4;8},{1;2;3;4},{5;6}),2,2)</t>
  </si>
  <si>
    <t xml:space="preserve">INDEX(GROWTH({1;2;4;8},{1;2;3;4},{5;6}),3,1)</t>
  </si>
  <si>
    <t xml:space="preserve">INDEX(GROWTH({1;2;4;8},{1;2;3;4},{5;6}),3,2)</t>
  </si>
  <si>
    <t xml:space="preserve">ROWS(GROWTH({-1;2;4;8},{1;2;3;4},{5;6}))</t>
  </si>
  <si>
    <t xml:space="preserve">COLUMNS(GROWTH({-1;2;4;8},{1;2;3;4},{5;6}))</t>
  </si>
  <si>
    <t xml:space="preserve">INDEX(GROWTH({-1;2;4;8},{1;2;3;4},{5;6}),1,1)</t>
  </si>
  <si>
    <t xml:space="preserve">INDEX(GROWTH({-1;2;4;8},{1;2;3;4},{5;6}),1,2)</t>
  </si>
  <si>
    <t xml:space="preserve">INDEX(GROWTH({-1;2;4;8},{1;2;3;4},{5;6}),2,1)</t>
  </si>
  <si>
    <t xml:space="preserve">INDEX(GROWTH({-1;2;4;8},{1;2;3;4},{5;6}),2,2)</t>
  </si>
  <si>
    <t xml:space="preserve">INDEX(GROWTH({-1;2;4;8},{1;2;3;4},{5;6}),3,1)</t>
  </si>
  <si>
    <t xml:space="preserve">INDEX(GROWTH({-1;2;4;8},{1;2;3;4},{5;6}),3,2)</t>
  </si>
  <si>
    <t xml:space="preserve">ROWS(GROWTH({3;3;3},{1;2;3},{4}))</t>
  </si>
  <si>
    <t xml:space="preserve">COLUMNS(GROWTH({3;3;3},{1;2;3},{4}))</t>
  </si>
  <si>
    <t xml:space="preserve">INDEX(GROWTH({3;3;3},{1;2;3},{4}),1,1)</t>
  </si>
  <si>
    <t xml:space="preserve">INDEX(GROWTH({3;3;3},{1;2;3},{4}),1,2)</t>
  </si>
  <si>
    <t xml:space="preserve">INDEX(GROWTH({3;3;3},{1;2;3},{4}),2,1)</t>
  </si>
  <si>
    <t xml:space="preserve">INDEX(GROWTH({3;3;3},{1;2;3},{4}),2,2)</t>
  </si>
  <si>
    <t xml:space="preserve">INDEX(GROWTH({3;3;3},{1;2;3},{4}),3,1)</t>
  </si>
  <si>
    <t xml:space="preserve">INDEX(GROWTH({3;3;3},{1;2;3},{4}),3,2)</t>
  </si>
  <si>
    <t xml:space="preserve">ROWS(GROWTH(Data!K1:K8,Data!BG1:BH8,Data!BG1:BH2))</t>
  </si>
  <si>
    <t xml:space="preserve">COLUMNS(GROWTH(Data!K1:K8,Data!BG1:BH8,Data!BG1:BH2))</t>
  </si>
  <si>
    <t xml:space="preserve">INDEX(GROWTH(Data!K1:K8,Data!BG1:BH8,Data!BG1:BH2),1,1)</t>
  </si>
  <si>
    <t xml:space="preserve">INDEX(GROWTH(Data!K1:K8,Data!BG1:BH8,Data!BG1:BH2),1,2)</t>
  </si>
  <si>
    <t xml:space="preserve">INDEX(GROWTH(Data!K1:K8,Data!BG1:BH8,Data!BG1:BH2),2,1)</t>
  </si>
  <si>
    <t xml:space="preserve">INDEX(GROWTH(Data!K1:K8,Data!BG1:BH8,Data!BG1:BH2),2,2)</t>
  </si>
  <si>
    <t xml:space="preserve">INDEX(GROWTH(Data!K1:K8,Data!BG1:BH8,Data!BG1:BH2),3,1)</t>
  </si>
  <si>
    <t xml:space="preserve">INDEX(GROWTH(Data!K1:K8,Data!BG1:BH8,Data!BG1:BH2),3,2)</t>
  </si>
  <si>
    <t xml:space="preserve">ROWS(GROWTH(Data!K1:K8,Data!BG1:BH8,Data!BG1:BG2))</t>
  </si>
  <si>
    <t xml:space="preserve">COLUMNS(GROWTH(Data!K1:K8,Data!BG1:BH8,Data!BG1:BG2))</t>
  </si>
  <si>
    <t xml:space="preserve">INDEX(GROWTH(Data!K1:K8,Data!BG1:BH8,Data!BG1:BG2),1,1)</t>
  </si>
  <si>
    <t xml:space="preserve">INDEX(GROWTH(Data!K1:K8,Data!BG1:BH8,Data!BG1:BG2),1,2)</t>
  </si>
  <si>
    <t xml:space="preserve">INDEX(GROWTH(Data!K1:K8,Data!BG1:BH8,Data!BG1:BG2),2,1)</t>
  </si>
  <si>
    <t xml:space="preserve">INDEX(GROWTH(Data!K1:K8,Data!BG1:BH8,Data!BG1:BG2),2,2)</t>
  </si>
  <si>
    <t xml:space="preserve">INDEX(GROWTH(Data!K1:K8,Data!BG1:BH8,Data!BG1:BG2),3,1)</t>
  </si>
  <si>
    <t xml:space="preserve">INDEX(GROWTH(Data!K1:K8,Data!BG1:BH8,Data!BG1:BG2),3,2)</t>
  </si>
  <si>
    <t xml:space="preserve">ROWS(GROWTH(Data!K1:K8,Data!A1:A8,{10,11;12,13}))</t>
  </si>
  <si>
    <t xml:space="preserve">COLUMNS(GROWTH(Data!K1:K8,Data!A1:A8,{10,11;12,13}))</t>
  </si>
  <si>
    <t xml:space="preserve">INDEX(GROWTH(Data!K1:K8,Data!A1:A8,{10,11;12,13}),1,1)</t>
  </si>
  <si>
    <t xml:space="preserve">INDEX(GROWTH(Data!K1:K8,Data!A1:A8,{10,11;12,13}),1,2)</t>
  </si>
  <si>
    <t xml:space="preserve">INDEX(GROWTH(Data!K1:K8,Data!A1:A8,{10,11;12,13}),2,1)</t>
  </si>
  <si>
    <t xml:space="preserve">INDEX(GROWTH(Data!K1:K8,Data!A1:A8,{10,11;12,13}),2,2)</t>
  </si>
  <si>
    <t xml:space="preserve">INDEX(GROWTH(Data!K1:K8,Data!A1:A8,{10,11;12,13}),3,1)</t>
  </si>
  <si>
    <t xml:space="preserve">INDEX(GROWTH(Data!K1:K8,Data!A1:A8,{10,11;12,13}),3,2)</t>
  </si>
  <si>
    <t xml:space="preserve">ROWS(GROWTH(Data!K1:K8,Data!A1:A8,TRUE))</t>
  </si>
  <si>
    <t xml:space="preserve">COLUMNS(GROWTH(Data!K1:K8,Data!A1:A8,TRUE))</t>
  </si>
  <si>
    <t xml:space="preserve">INDEX(GROWTH(Data!K1:K8,Data!A1:A8,TRUE),1,1)</t>
  </si>
  <si>
    <t xml:space="preserve">INDEX(GROWTH(Data!K1:K8,Data!A1:A8,TRUE),1,2)</t>
  </si>
  <si>
    <t xml:space="preserve">INDEX(GROWTH(Data!K1:K8,Data!A1:A8,TRUE),2,1)</t>
  </si>
  <si>
    <t xml:space="preserve">INDEX(GROWTH(Data!K1:K8,Data!A1:A8,TRUE),2,2)</t>
  </si>
  <si>
    <t xml:space="preserve">INDEX(GROWTH(Data!K1:K8,Data!A1:A8,TRUE),3,1)</t>
  </si>
  <si>
    <t xml:space="preserve">INDEX(GROWTH(Data!K1:K8,Data!A1:A8,TRUE),3,2)</t>
  </si>
  <si>
    <t xml:space="preserve">ROWS(GROWTH(Data!K1:K8,Data!A1:A8,{10;11},TRUE))</t>
  </si>
  <si>
    <t xml:space="preserve">COLUMNS(GROWTH(Data!K1:K8,Data!A1:A8,{10;11},TRUE))</t>
  </si>
  <si>
    <t xml:space="preserve">INDEX(GROWTH(Data!K1:K8,Data!A1:A8,{10;11},TRUE),1,1)</t>
  </si>
  <si>
    <t xml:space="preserve">INDEX(GROWTH(Data!K1:K8,Data!A1:A8,{10;11},TRUE),1,2)</t>
  </si>
  <si>
    <t xml:space="preserve">INDEX(GROWTH(Data!K1:K8,Data!A1:A8,{10;11},TRUE),2,1)</t>
  </si>
  <si>
    <t xml:space="preserve">INDEX(GROWTH(Data!K1:K8,Data!A1:A8,{10;11},TRUE),2,2)</t>
  </si>
  <si>
    <t xml:space="preserve">INDEX(GROWTH(Data!K1:K8,Data!A1:A8,{10;11},TRUE),3,1)</t>
  </si>
  <si>
    <t xml:space="preserve">INDEX(GROWTH(Data!K1:K8,Data!A1:A8,{10;11},TRUE),3,2)</t>
  </si>
  <si>
    <t xml:space="preserve">ROWS(GROWTH(Data!K1:K8,Data!A1:A8,{10;11},FALSE))</t>
  </si>
  <si>
    <t xml:space="preserve">COLUMNS(GROWTH(Data!K1:K8,Data!A1:A8,{10;11},FALSE))</t>
  </si>
  <si>
    <t xml:space="preserve">INDEX(GROWTH(Data!K1:K8,Data!A1:A8,{10;11},FALSE),1,1)</t>
  </si>
  <si>
    <t xml:space="preserve">INDEX(GROWTH(Data!K1:K8,Data!A1:A8,{10;11},FALSE),1,2)</t>
  </si>
  <si>
    <t xml:space="preserve">INDEX(GROWTH(Data!K1:K8,Data!A1:A8,{10;11},FALSE),2,1)</t>
  </si>
  <si>
    <t xml:space="preserve">INDEX(GROWTH(Data!K1:K8,Data!A1:A8,{10;11},FALSE),2,2)</t>
  </si>
  <si>
    <t xml:space="preserve">INDEX(GROWTH(Data!K1:K8,Data!A1:A8,{10;11},FALSE),3,1)</t>
  </si>
  <si>
    <t xml:space="preserve">INDEX(GROWTH(Data!K1:K8,Data!A1:A8,{10;11},FALSE),3,2)</t>
  </si>
  <si>
    <t xml:space="preserve">ROWS(GROWTH(Data!K1:K8,Data!A1:A8,{10;11},0))</t>
  </si>
  <si>
    <t xml:space="preserve">COLUMNS(GROWTH(Data!K1:K8,Data!A1:A8,{10;11},0))</t>
  </si>
  <si>
    <t xml:space="preserve">INDEX(GROWTH(Data!K1:K8,Data!A1:A8,{10;11},0),1,1)</t>
  </si>
  <si>
    <t xml:space="preserve">INDEX(GROWTH(Data!K1:K8,Data!A1:A8,{10;11},0),1,2)</t>
  </si>
  <si>
    <t xml:space="preserve">INDEX(GROWTH(Data!K1:K8,Data!A1:A8,{10;11},0),2,1)</t>
  </si>
  <si>
    <t xml:space="preserve">INDEX(GROWTH(Data!K1:K8,Data!A1:A8,{10;11},0),2,2)</t>
  </si>
  <si>
    <t xml:space="preserve">INDEX(GROWTH(Data!K1:K8,Data!A1:A8,{10;11},0),3,1)</t>
  </si>
  <si>
    <t xml:space="preserve">INDEX(GROWTH(Data!K1:K8,Data!A1:A8,{10;11},0),3,2)</t>
  </si>
  <si>
    <t xml:space="preserve">ROWS(GROWTH(Data!K1:K8,Data!A1:A8,{10;11},,))</t>
  </si>
  <si>
    <t xml:space="preserve">COLUMNS(GROWTH(Data!K1:K8,Data!A1:A8,{10;11},,))</t>
  </si>
  <si>
    <t xml:space="preserve">INDEX(GROWTH(Data!K1:K8,Data!A1:A8,{10;11},,),1,1)</t>
  </si>
  <si>
    <t xml:space="preserve">INDEX(GROWTH(Data!K1:K8,Data!A1:A8,{10;11},,),1,2)</t>
  </si>
  <si>
    <t xml:space="preserve">INDEX(GROWTH(Data!K1:K8,Data!A1:A8,{10;11},,),2,1)</t>
  </si>
  <si>
    <t xml:space="preserve">INDEX(GROWTH(Data!K1:K8,Data!A1:A8,{10;11},,),2,2)</t>
  </si>
  <si>
    <t xml:space="preserve">INDEX(GROWTH(Data!K1:K8,Data!A1:A8,{10;11},,),3,1)</t>
  </si>
  <si>
    <t xml:space="preserve">INDEX(GROWTH(Data!K1:K8,Data!A1:A8,{10;11},,),3,2)</t>
  </si>
  <si>
    <t xml:space="preserve">ROWS(FREQUENCY(Data!A1:A8,{3;6}))</t>
  </si>
  <si>
    <t xml:space="preserve">COLUMNS(FREQUENCY(Data!A1:A8,{3;6}))</t>
  </si>
  <si>
    <t xml:space="preserve">ROWS(FREQUENCY(Data!A1:A8,{3,6}))</t>
  </si>
  <si>
    <t xml:space="preserve">COLUMNS(FREQUENCY(Data!A1:A8,{3,6}))</t>
  </si>
  <si>
    <t xml:space="preserve">INDEX(FREQUENCY(Data!A1:A8,{3;6}),1,1)</t>
  </si>
  <si>
    <t xml:space="preserve">INDEX(FREQUENCY(Data!A1:A8,{3;6}),2,1)</t>
  </si>
  <si>
    <t xml:space="preserve">INDEX(FREQUENCY(Data!A1:A8,{3;6}),3,1)</t>
  </si>
  <si>
    <t xml:space="preserve">INDEX(FREQUENCY(Data!A1:A8,{3;6}),4,1)</t>
  </si>
  <si>
    <t xml:space="preserve">ROWS(FREQUENCY(Data!A1:A8,{6;3}))</t>
  </si>
  <si>
    <t xml:space="preserve">COLUMNS(FREQUENCY(Data!A1:A8,{6;3}))</t>
  </si>
  <si>
    <t xml:space="preserve">INDEX(FREQUENCY(Data!A1:A8,{6;3}),1,1)</t>
  </si>
  <si>
    <t xml:space="preserve">INDEX(FREQUENCY(Data!A1:A8,{6;3}),2,1)</t>
  </si>
  <si>
    <t xml:space="preserve">INDEX(FREQUENCY(Data!A1:A8,{6;3}),3,1)</t>
  </si>
  <si>
    <t xml:space="preserve">INDEX(FREQUENCY(Data!A1:A8,{6;3}),4,1)</t>
  </si>
  <si>
    <t xml:space="preserve">ROWS(FREQUENCY(Data!A1:A8,{0;100}))</t>
  </si>
  <si>
    <t xml:space="preserve">COLUMNS(FREQUENCY(Data!A1:A8,{0;100}))</t>
  </si>
  <si>
    <t xml:space="preserve">INDEX(FREQUENCY(Data!A1:A8,{0;100}),1,1)</t>
  </si>
  <si>
    <t xml:space="preserve">INDEX(FREQUENCY(Data!A1:A8,{0;100}),2,1)</t>
  </si>
  <si>
    <t xml:space="preserve">INDEX(FREQUENCY(Data!A1:A8,{0;100}),3,1)</t>
  </si>
  <si>
    <t xml:space="preserve">INDEX(FREQUENCY(Data!A1:A8,{0;100}),4,1)</t>
  </si>
  <si>
    <t xml:space="preserve">ROWS(FREQUENCY(Data!A1:A8,{5}))</t>
  </si>
  <si>
    <t xml:space="preserve">COLUMNS(FREQUENCY(Data!A1:A8,{5}))</t>
  </si>
  <si>
    <t xml:space="preserve">INDEX(FREQUENCY(Data!A1:A8,{5}),1,1)</t>
  </si>
  <si>
    <t xml:space="preserve">INDEX(FREQUENCY(Data!A1:A8,{5}),2,1)</t>
  </si>
  <si>
    <t xml:space="preserve">INDEX(FREQUENCY(Data!A1:A8,{5}),3,1)</t>
  </si>
  <si>
    <t xml:space="preserve">INDEX(FREQUENCY(Data!A1:A8,{5}),4,1)</t>
  </si>
  <si>
    <t xml:space="preserve">ROWS(FREQUENCY(Data!A1:A8,Data!A1:A3))</t>
  </si>
  <si>
    <t xml:space="preserve">COLUMNS(FREQUENCY(Data!A1:A8,Data!A1:A3))</t>
  </si>
  <si>
    <t xml:space="preserve">INDEX(FREQUENCY(Data!A1:A8,Data!A1:A3),1,1)</t>
  </si>
  <si>
    <t xml:space="preserve">INDEX(FREQUENCY(Data!A1:A8,Data!A1:A3),2,1)</t>
  </si>
  <si>
    <t xml:space="preserve">INDEX(FREQUENCY(Data!A1:A8,Data!A1:A3),3,1)</t>
  </si>
  <si>
    <t xml:space="preserve">INDEX(FREQUENCY(Data!A1:A8,Data!A1:A3),4,1)</t>
  </si>
  <si>
    <t xml:space="preserve">ROWS(FREQUENCY(Data!A1:B8,{3;6}))</t>
  </si>
  <si>
    <t xml:space="preserve">COLUMNS(FREQUENCY(Data!A1:B8,{3;6}))</t>
  </si>
  <si>
    <t xml:space="preserve">INDEX(FREQUENCY(Data!A1:B8,{3;6}),1,1)</t>
  </si>
  <si>
    <t xml:space="preserve">INDEX(FREQUENCY(Data!A1:B8,{3;6}),2,1)</t>
  </si>
  <si>
    <t xml:space="preserve">INDEX(FREQUENCY(Data!A1:B8,{3;6}),3,1)</t>
  </si>
  <si>
    <t xml:space="preserve">INDEX(FREQUENCY(Data!A1:B8,{3;6}),4,1)</t>
  </si>
  <si>
    <t xml:space="preserve">ROWS(FREQUENCY(Data!K1:K8,{4;5;9}))</t>
  </si>
  <si>
    <t xml:space="preserve">COLUMNS(FREQUENCY(Data!K1:K8,{4;5;9}))</t>
  </si>
  <si>
    <t xml:space="preserve">INDEX(FREQUENCY(Data!K1:K8,{4;5;9}),1,1)</t>
  </si>
  <si>
    <t xml:space="preserve">INDEX(FREQUENCY(Data!K1:K8,{4;5;9}),2,1)</t>
  </si>
  <si>
    <t xml:space="preserve">INDEX(FREQUENCY(Data!K1:K8,{4;5;9}),3,1)</t>
  </si>
  <si>
    <t xml:space="preserve">INDEX(FREQUENCY(Data!K1:K8,{4;5;9}),4,1)</t>
  </si>
  <si>
    <t xml:space="preserve">ROWS(FREQUENCY(Data!K1:K8,Data!H1:H5))</t>
  </si>
  <si>
    <t xml:space="preserve">COLUMNS(FREQUENCY(Data!K1:K8,Data!H1:H5))</t>
  </si>
  <si>
    <t xml:space="preserve">INDEX(FREQUENCY(Data!K1:K8,Data!H1:H5),1,1)</t>
  </si>
  <si>
    <t xml:space="preserve">INDEX(FREQUENCY(Data!K1:K8,Data!H1:H5),2,1)</t>
  </si>
  <si>
    <t xml:space="preserve">INDEX(FREQUENCY(Data!K1:K8,Data!H1:H5),3,1)</t>
  </si>
  <si>
    <t xml:space="preserve">INDEX(FREQUENCY(Data!K1:K8,Data!H1:H5),4,1)</t>
  </si>
  <si>
    <t xml:space="preserve">ROWS(FREQUENCY(Data!M1:M4,{2}))</t>
  </si>
  <si>
    <t xml:space="preserve">COLUMNS(FREQUENCY(Data!M1:M4,{2}))</t>
  </si>
  <si>
    <t xml:space="preserve">INDEX(FREQUENCY(Data!M1:M4,{2}),1,1)</t>
  </si>
  <si>
    <t xml:space="preserve">INDEX(FREQUENCY(Data!M1:M4,{2}),2,1)</t>
  </si>
  <si>
    <t xml:space="preserve">INDEX(FREQUENCY(Data!M1:M4,{2}),3,1)</t>
  </si>
  <si>
    <t xml:space="preserve">INDEX(FREQUENCY(Data!M1:M4,{2}),4,1)</t>
  </si>
  <si>
    <t xml:space="preserve">ROWS(FREQUENCY(Data!A1:A8,{"a"}))</t>
  </si>
  <si>
    <t xml:space="preserve">COLUMNS(FREQUENCY(Data!A1:A8,{"a"}))</t>
  </si>
  <si>
    <t xml:space="preserve">INDEX(FREQUENCY(Data!A1:A8,{"a"}),1,1)</t>
  </si>
  <si>
    <t xml:space="preserve">INDEX(FREQUENCY(Data!A1:A8,{"a"}),2,1)</t>
  </si>
  <si>
    <t xml:space="preserve">INDEX(FREQUENCY(Data!A1:A8,{"a"}),3,1)</t>
  </si>
  <si>
    <t xml:space="preserve">INDEX(FREQUENCY(Data!A1:A8,{"a"}),4,1)</t>
  </si>
  <si>
    <t xml:space="preserve">ROWS(FREQUENCY(Data!D1:D8,{1}))</t>
  </si>
  <si>
    <t xml:space="preserve">COLUMNS(FREQUENCY(Data!D1:D8,{1}))</t>
  </si>
  <si>
    <t xml:space="preserve">INDEX(FREQUENCY(Data!D1:D8,{1}),1,1)</t>
  </si>
  <si>
    <t xml:space="preserve">INDEX(FREQUENCY(Data!D1:D8,{1}),2,1)</t>
  </si>
  <si>
    <t xml:space="preserve">INDEX(FREQUENCY(Data!D1:D8,{1}),3,1)</t>
  </si>
  <si>
    <t xml:space="preserve">INDEX(FREQUENCY(Data!D1:D8,{1}),4,1)</t>
  </si>
  <si>
    <t xml:space="preserve">ROWS(FREQUENCY(Data!A1:A8,Data!D1:D3))</t>
  </si>
  <si>
    <t xml:space="preserve">COLUMNS(FREQUENCY(Data!A1:A8,Data!D1:D3))</t>
  </si>
  <si>
    <t xml:space="preserve">INDEX(FREQUENCY(Data!A1:A8,Data!D1:D3),1,1)</t>
  </si>
  <si>
    <t xml:space="preserve">INDEX(FREQUENCY(Data!A1:A8,Data!D1:D3),2,1)</t>
  </si>
  <si>
    <t xml:space="preserve">INDEX(FREQUENCY(Data!A1:A8,Data!D1:D3),3,1)</t>
  </si>
  <si>
    <t xml:space="preserve">INDEX(FREQUENCY(Data!A1:A8,Data!D1:D3),4,1)</t>
  </si>
  <si>
    <t xml:space="preserve">ROWS(FREQUENCY(Data!A1:A8,Data!M1:M4))</t>
  </si>
  <si>
    <t xml:space="preserve">COLUMNS(FREQUENCY(Data!A1:A8,Data!M1:M4))</t>
  </si>
  <si>
    <t xml:space="preserve">INDEX(FREQUENCY(Data!A1:A8,Data!M1:M4),1,1)</t>
  </si>
  <si>
    <t xml:space="preserve">INDEX(FREQUENCY(Data!A1:A8,Data!M1:M4),2,1)</t>
  </si>
  <si>
    <t xml:space="preserve">INDEX(FREQUENCY(Data!A1:A8,Data!M1:M4),3,1)</t>
  </si>
  <si>
    <t xml:space="preserve">INDEX(FREQUENCY(Data!A1:A8,Data!M1:M4),4,1)</t>
  </si>
  <si>
    <t xml:space="preserve">ROWS(FREQUENCY({1,2,3,4,5},{2;4}))</t>
  </si>
  <si>
    <t xml:space="preserve">COLUMNS(FREQUENCY({1,2,3,4,5},{2;4}))</t>
  </si>
  <si>
    <t xml:space="preserve">INDEX(FREQUENCY({1,2,3,4,5},{2;4}),1,1)</t>
  </si>
  <si>
    <t xml:space="preserve">INDEX(FREQUENCY({1,2,3,4,5},{2;4}),2,1)</t>
  </si>
  <si>
    <t xml:space="preserve">INDEX(FREQUENCY({1,2,3,4,5},{2;4}),3,1)</t>
  </si>
  <si>
    <t xml:space="preserve">INDEX(FREQUENCY({1,2,3,4,5},{2;4}),4,1)</t>
  </si>
  <si>
    <t xml:space="preserve">ROWS(FREQUENCY(5,{3}))</t>
  </si>
  <si>
    <t xml:space="preserve">COLUMNS(FREQUENCY(5,{3}))</t>
  </si>
  <si>
    <t xml:space="preserve">INDEX(FREQUENCY(5,{3}),1,1)</t>
  </si>
  <si>
    <t xml:space="preserve">INDEX(FREQUENCY(5,{3}),2,1)</t>
  </si>
  <si>
    <t xml:space="preserve">INDEX(FREQUENCY(5,{3}),3,1)</t>
  </si>
  <si>
    <t xml:space="preserve">INDEX(FREQUENCY(5,{3}),4,1)</t>
  </si>
  <si>
    <t xml:space="preserve">ROWS(FREQUENCY(Data!A1:A8,5))</t>
  </si>
  <si>
    <t xml:space="preserve">COLUMNS(FREQUENCY(Data!A1:A8,5))</t>
  </si>
  <si>
    <t xml:space="preserve">INDEX(FREQUENCY(Data!A1:A8,5),1,1)</t>
  </si>
  <si>
    <t xml:space="preserve">INDEX(FREQUENCY(Data!A1:A8,5),2,1)</t>
  </si>
  <si>
    <t xml:space="preserve">INDEX(FREQUENCY(Data!A1:A8,5),3,1)</t>
  </si>
  <si>
    <t xml:space="preserve">INDEX(FREQUENCY(Data!A1:A8,5),4,1)</t>
  </si>
  <si>
    <t xml:space="preserve">INDEX(FREQUENCY(Data!A1:A8,{3,6}),1,1)</t>
  </si>
  <si>
    <t xml:space="preserve">INDEX(FREQUENCY(Data!A1:A8,{3,6}),2,1)</t>
  </si>
  <si>
    <t xml:space="preserve">INDEX(FREQUENCY(Data!A1:A8,{3,6}),3,1)</t>
  </si>
  <si>
    <t xml:space="preserve">INDEX(FREQUENCY(Data!A1:A8,{3,6}),4,1)</t>
  </si>
  <si>
    <t xml:space="preserve">ROWS(FREQUENCY(Data!A1:A8,{3.5;6.5}))</t>
  </si>
  <si>
    <t xml:space="preserve">COLUMNS(FREQUENCY(Data!A1:A8,{3.5;6.5}))</t>
  </si>
  <si>
    <t xml:space="preserve">INDEX(FREQUENCY(Data!A1:A8,{3.5;6.5}),1,1)</t>
  </si>
  <si>
    <t xml:space="preserve">INDEX(FREQUENCY(Data!A1:A8,{3.5;6.5}),2,1)</t>
  </si>
  <si>
    <t xml:space="preserve">INDEX(FREQUENCY(Data!A1:A8,{3.5;6.5}),3,1)</t>
  </si>
  <si>
    <t xml:space="preserve">INDEX(FREQUENCY(Data!A1:A8,{3.5;6.5}),4,1)</t>
  </si>
  <si>
    <t xml:space="preserve">ROWS(FREQUENCY(Data!A1:A8,{-1;100}))</t>
  </si>
  <si>
    <t xml:space="preserve">COLUMNS(FREQUENCY(Data!A1:A8,{-1;100}))</t>
  </si>
  <si>
    <t xml:space="preserve">INDEX(FREQUENCY(Data!A1:A8,{-1;100}),1,1)</t>
  </si>
  <si>
    <t xml:space="preserve">INDEX(FREQUENCY(Data!A1:A8,{-1;100}),2,1)</t>
  </si>
  <si>
    <t xml:space="preserve">INDEX(FREQUENCY(Data!A1:A8,{-1;100}),3,1)</t>
  </si>
  <si>
    <t xml:space="preserve">INDEX(FREQUENCY(Data!A1:A8,{-1;100}),4,1)</t>
  </si>
  <si>
    <t xml:space="preserve">ROWS(FREQUENCY(Data!A1:A8,{TRUE;6}))</t>
  </si>
  <si>
    <t xml:space="preserve">COLUMNS(FREQUENCY(Data!A1:A8,{TRUE;6}))</t>
  </si>
  <si>
    <t xml:space="preserve">INDEX(FREQUENCY(Data!A1:A8,{TRUE;6}),1,1)</t>
  </si>
  <si>
    <t xml:space="preserve">INDEX(FREQUENCY(Data!A1:A8,{TRUE;6}),2,1)</t>
  </si>
  <si>
    <t xml:space="preserve">INDEX(FREQUENCY(Data!A1:A8,{TRUE;6}),3,1)</t>
  </si>
  <si>
    <t xml:space="preserve">INDEX(FREQUENCY(Data!A1:A8,{TRUE;6}),4,1)</t>
  </si>
  <si>
    <t xml:space="preserve">ROWS(FREQUENCY(Data!A1:A8,{"3";6}))</t>
  </si>
  <si>
    <t xml:space="preserve">COLUMNS(FREQUENCY(Data!A1:A8,{"3";6}))</t>
  </si>
  <si>
    <t xml:space="preserve">INDEX(FREQUENCY(Data!A1:A8,{"3";6}),1,1)</t>
  </si>
  <si>
    <t xml:space="preserve">INDEX(FREQUENCY(Data!A1:A8,{"3";6}),2,1)</t>
  </si>
  <si>
    <t xml:space="preserve">INDEX(FREQUENCY(Data!A1:A8,{"3";6}),3,1)</t>
  </si>
  <si>
    <t xml:space="preserve">INDEX(FREQUENCY(Data!A1:A8,{"3";6}),4,1)</t>
  </si>
  <si>
    <t xml:space="preserve">ROWS(FREQUENCY({1,"a",2},{1}))</t>
  </si>
  <si>
    <t xml:space="preserve">COLUMNS(FREQUENCY({1,"a",2},{1}))</t>
  </si>
  <si>
    <t xml:space="preserve">INDEX(FREQUENCY({1,"a",2},{1}),1,1)</t>
  </si>
  <si>
    <t xml:space="preserve">INDEX(FREQUENCY({1,"a",2},{1}),2,1)</t>
  </si>
  <si>
    <t xml:space="preserve">INDEX(FREQUENCY({1,"a",2},{1}),3,1)</t>
  </si>
  <si>
    <t xml:space="preserve">INDEX(FREQUENCY({1,"a",2},{1}),4,1)</t>
  </si>
  <si>
    <t xml:space="preserve">ROWS(FREQUENCY(Data!B1:B8,{1}))</t>
  </si>
  <si>
    <t xml:space="preserve">COLUMNS(FREQUENCY(Data!B1:B8,{1}))</t>
  </si>
  <si>
    <t xml:space="preserve">INDEX(FREQUENCY(Data!B1:B8,{1}),1,1)</t>
  </si>
  <si>
    <t xml:space="preserve">INDEX(FREQUENCY(Data!B1:B8,{1}),2,1)</t>
  </si>
  <si>
    <t xml:space="preserve">INDEX(FREQUENCY(Data!B1:B8,{1}),3,1)</t>
  </si>
  <si>
    <t xml:space="preserve">INDEX(FREQUENCY(Data!B1:B8,{1}),4,1)</t>
  </si>
  <si>
    <t xml:space="preserve">ROWS(FREQUENCY(Data!A1:A8,{1;"b";5}))</t>
  </si>
  <si>
    <t xml:space="preserve">COLUMNS(FREQUENCY(Data!A1:A8,{1;"b";5}))</t>
  </si>
  <si>
    <t xml:space="preserve">INDEX(FREQUENCY(Data!A1:A8,{1;"b";5}),1,1)</t>
  </si>
  <si>
    <t xml:space="preserve">INDEX(FREQUENCY(Data!A1:A8,{1;"b";5}),2,1)</t>
  </si>
  <si>
    <t xml:space="preserve">INDEX(FREQUENCY(Data!A1:A8,{1;"b";5}),3,1)</t>
  </si>
  <si>
    <t xml:space="preserve">INDEX(FREQUENCY(Data!A1:A8,{1;"b";5}),4,1)</t>
  </si>
  <si>
    <t xml:space="preserve">ROWS(FREQUENCY(Data!A1:A8,{3;6;1}))</t>
  </si>
  <si>
    <t xml:space="preserve">COLUMNS(FREQUENCY(Data!A1:A8,{3;6;1}))</t>
  </si>
  <si>
    <t xml:space="preserve">INDEX(FREQUENCY(Data!A1:A8,{3;6;1}),1,1)</t>
  </si>
  <si>
    <t xml:space="preserve">INDEX(FREQUENCY(Data!A1:A8,{3;6;1}),2,1)</t>
  </si>
  <si>
    <t xml:space="preserve">INDEX(FREQUENCY(Data!A1:A8,{3;6;1}),3,1)</t>
  </si>
  <si>
    <t xml:space="preserve">INDEX(FREQUENCY(Data!A1:A8,{3;6;1}),4,1)</t>
  </si>
  <si>
    <t xml:space="preserve">_xlfn.TEXTJOIN(",",TRUE,_xlfn.MODE.MULT(Data!K1:K8))</t>
  </si>
  <si>
    <t xml:space="preserve">ROWS(_xlfn.MODE.MULT(Data!K1:K8))</t>
  </si>
  <si>
    <t xml:space="preserve">COLUMNS(_xlfn.MODE.MULT(Data!K1:K8))</t>
  </si>
  <si>
    <t xml:space="preserve">_xlfn.MODE.MULT(Data!A1:A8)</t>
  </si>
  <si>
    <t xml:space="preserve">INDEX(_xlfn.MODE.MULT(Data!A1:A8),1)</t>
  </si>
  <si>
    <t xml:space="preserve">_xlfn.TEXTJOIN(",",TRUE,_xlfn.MODE.MULT({1,1,2,2,3}))</t>
  </si>
  <si>
    <t xml:space="preserve">_xlfn.TEXTJOIN(",",TRUE,_xlfn.MODE.MULT({1;1;2;2;3}))</t>
  </si>
  <si>
    <t xml:space="preserve">ROWS(_xlfn.MODE.MULT({1,1,2,2,3}))</t>
  </si>
  <si>
    <t xml:space="preserve">COLUMNS(_xlfn.MODE.MULT({1,1,2,2,3}))</t>
  </si>
  <si>
    <t xml:space="preserve">ROWS(_xlfn.MODE.MULT({1;1;2;2;3}))</t>
  </si>
  <si>
    <t xml:space="preserve">_xlfn.TEXTJOIN(",",TRUE,_xlfn.MODE.MULT(Data!A1:B8))</t>
  </si>
  <si>
    <t xml:space="preserve">_xlfn.TEXTJOIN(",",TRUE,_xlfn.MODE.MULT(Data!K1:K8,Data!A1:A3))</t>
  </si>
  <si>
    <t xml:space="preserve">_xlfn.TEXTJOIN(",",TRUE,_xlfn.MODE.MULT(3,3,4))</t>
  </si>
  <si>
    <t xml:space="preserve">_xlfn.TEXTJOIN(",",TRUE,_xlfn.MODE.MULT(Data!M1:M4))</t>
  </si>
  <si>
    <t xml:space="preserve">_xlfn.TEXTJOIN(",",TRUE,_xlfn.MODE.MULT(Data!B1:B8))</t>
  </si>
  <si>
    <t xml:space="preserve">_xlfn.TEXTJOIN(",",TRUE,_xlfn.MODE.MULT({3,1,3,1,2}))</t>
  </si>
  <si>
    <t xml:space="preserve">_xlfn.TEXTJOIN(",",TRUE,_xlfn.MODE.MULT({1,"a",1}))</t>
  </si>
  <si>
    <t xml:space="preserve">_xlfn.TEXTJOIN(",",TRUE,_xlfn.MODE.MULT(Data!K1:K8,3,3))</t>
  </si>
  <si>
    <t xml:space="preserve">_xlfn.TEXTJOIN(",",TRUE,_xlfn.MODE.MULT({5}))</t>
  </si>
  <si>
    <t xml:space="preserve">_xlfn.TEXTJOIN(",",TRUE,_xlfn.MODE.MULT(Data!D1:D3))</t>
  </si>
  <si>
    <t xml:space="preserve">_xlfn.MODE.MULT(NA())</t>
  </si>
  <si>
    <t xml:space="preserve">COUPPCD(DATE(2024,1,15),DATE(2029,6,30),1,0)</t>
  </si>
  <si>
    <t xml:space="preserve">COUPNCD(DATE(2024,1,15),DATE(2029,6,30),1,0)</t>
  </si>
  <si>
    <t xml:space="preserve">COUPNUM(DATE(2024,1,15),DATE(2029,6,30),1,0)</t>
  </si>
  <si>
    <t xml:space="preserve">COUPDAYBS(DATE(2024,1,15),DATE(2029,6,30),1,0)</t>
  </si>
  <si>
    <t xml:space="preserve">COUPDAYS(DATE(2024,1,15),DATE(2029,6,30),1,0)</t>
  </si>
  <si>
    <t xml:space="preserve">COUPDAYSNC(DATE(2024,1,15),DATE(2029,6,30),1,0)</t>
  </si>
  <si>
    <t xml:space="preserve">COUPPCD(DATE(2024,1,15),DATE(2029,6,30),1,1)</t>
  </si>
  <si>
    <t xml:space="preserve">COUPNCD(DATE(2024,1,15),DATE(2029,6,30),1,1)</t>
  </si>
  <si>
    <t xml:space="preserve">COUPNUM(DATE(2024,1,15),DATE(2029,6,30),1,1)</t>
  </si>
  <si>
    <t xml:space="preserve">COUPDAYBS(DATE(2024,1,15),DATE(2029,6,30),1,1)</t>
  </si>
  <si>
    <t xml:space="preserve">COUPDAYS(DATE(2024,1,15),DATE(2029,6,30),1,1)</t>
  </si>
  <si>
    <t xml:space="preserve">COUPDAYSNC(DATE(2024,1,15),DATE(2029,6,30),1,1)</t>
  </si>
  <si>
    <t xml:space="preserve">COUPPCD(DATE(2024,1,15),DATE(2029,6,30),1,2)</t>
  </si>
  <si>
    <t xml:space="preserve">COUPNCD(DATE(2024,1,15),DATE(2029,6,30),1,2)</t>
  </si>
  <si>
    <t xml:space="preserve">COUPNUM(DATE(2024,1,15),DATE(2029,6,30),1,2)</t>
  </si>
  <si>
    <t xml:space="preserve">COUPDAYBS(DATE(2024,1,15),DATE(2029,6,30),1,2)</t>
  </si>
  <si>
    <t xml:space="preserve">COUPDAYS(DATE(2024,1,15),DATE(2029,6,30),1,2)</t>
  </si>
  <si>
    <t xml:space="preserve">COUPDAYSNC(DATE(2024,1,15),DATE(2029,6,30),1,2)</t>
  </si>
  <si>
    <t xml:space="preserve">COUPPCD(DATE(2024,1,15),DATE(2029,6,30),1,3)</t>
  </si>
  <si>
    <t xml:space="preserve">COUPNCD(DATE(2024,1,15),DATE(2029,6,30),1,3)</t>
  </si>
  <si>
    <t xml:space="preserve">COUPNUM(DATE(2024,1,15),DATE(2029,6,30),1,3)</t>
  </si>
  <si>
    <t xml:space="preserve">COUPDAYBS(DATE(2024,1,15),DATE(2029,6,30),1,3)</t>
  </si>
  <si>
    <t xml:space="preserve">COUPDAYS(DATE(2024,1,15),DATE(2029,6,30),1,3)</t>
  </si>
  <si>
    <t xml:space="preserve">COUPDAYSNC(DATE(2024,1,15),DATE(2029,6,30),1,3)</t>
  </si>
  <si>
    <t xml:space="preserve">COUPPCD(DATE(2024,1,15),DATE(2029,6,30),1,4)</t>
  </si>
  <si>
    <t xml:space="preserve">COUPNCD(DATE(2024,1,15),DATE(2029,6,30),1,4)</t>
  </si>
  <si>
    <t xml:space="preserve">COUPNUM(DATE(2024,1,15),DATE(2029,6,30),1,4)</t>
  </si>
  <si>
    <t xml:space="preserve">COUPDAYBS(DATE(2024,1,15),DATE(2029,6,30),1,4)</t>
  </si>
  <si>
    <t xml:space="preserve">COUPDAYS(DATE(2024,1,15),DATE(2029,6,30),1,4)</t>
  </si>
  <si>
    <t xml:space="preserve">COUPDAYSNC(DATE(2024,1,15),DATE(2029,6,30),1,4)</t>
  </si>
  <si>
    <t xml:space="preserve">COUPPCD(DATE(2024,1,15),DATE(2029,6,30),2,0)</t>
  </si>
  <si>
    <t xml:space="preserve">COUPNCD(DATE(2024,1,15),DATE(2029,6,30),2,0)</t>
  </si>
  <si>
    <t xml:space="preserve">COUPNUM(DATE(2024,1,15),DATE(2029,6,30),2,0)</t>
  </si>
  <si>
    <t xml:space="preserve">COUPDAYBS(DATE(2024,1,15),DATE(2029,6,30),2,0)</t>
  </si>
  <si>
    <t xml:space="preserve">COUPDAYS(DATE(2024,1,15),DATE(2029,6,30),2,0)</t>
  </si>
  <si>
    <t xml:space="preserve">COUPDAYSNC(DATE(2024,1,15),DATE(2029,6,30),2,0)</t>
  </si>
  <si>
    <t xml:space="preserve">COUPPCD(DATE(2024,1,15),DATE(2029,6,30),2,1)</t>
  </si>
  <si>
    <t xml:space="preserve">COUPNCD(DATE(2024,1,15),DATE(2029,6,30),2,1)</t>
  </si>
  <si>
    <t xml:space="preserve">COUPNUM(DATE(2024,1,15),DATE(2029,6,30),2,1)</t>
  </si>
  <si>
    <t xml:space="preserve">COUPDAYBS(DATE(2024,1,15),DATE(2029,6,30),2,1)</t>
  </si>
  <si>
    <t xml:space="preserve">COUPDAYS(DATE(2024,1,15),DATE(2029,6,30),2,1)</t>
  </si>
  <si>
    <t xml:space="preserve">COUPDAYSNC(DATE(2024,1,15),DATE(2029,6,30),2,1)</t>
  </si>
  <si>
    <t xml:space="preserve">COUPPCD(DATE(2024,1,15),DATE(2029,6,30),2,2)</t>
  </si>
  <si>
    <t xml:space="preserve">COUPNCD(DATE(2024,1,15),DATE(2029,6,30),2,2)</t>
  </si>
  <si>
    <t xml:space="preserve">COUPNUM(DATE(2024,1,15),DATE(2029,6,30),2,2)</t>
  </si>
  <si>
    <t xml:space="preserve">COUPDAYBS(DATE(2024,1,15),DATE(2029,6,30),2,2)</t>
  </si>
  <si>
    <t xml:space="preserve">COUPDAYS(DATE(2024,1,15),DATE(2029,6,30),2,2)</t>
  </si>
  <si>
    <t xml:space="preserve">COUPDAYSNC(DATE(2024,1,15),DATE(2029,6,30),2,2)</t>
  </si>
  <si>
    <t xml:space="preserve">COUPPCD(DATE(2024,1,15),DATE(2029,6,30),2,3)</t>
  </si>
  <si>
    <t xml:space="preserve">COUPNCD(DATE(2024,1,15),DATE(2029,6,30),2,3)</t>
  </si>
  <si>
    <t xml:space="preserve">COUPNUM(DATE(2024,1,15),DATE(2029,6,30),2,3)</t>
  </si>
  <si>
    <t xml:space="preserve">COUPDAYBS(DATE(2024,1,15),DATE(2029,6,30),2,3)</t>
  </si>
  <si>
    <t xml:space="preserve">COUPDAYS(DATE(2024,1,15),DATE(2029,6,30),2,3)</t>
  </si>
  <si>
    <t xml:space="preserve">COUPDAYSNC(DATE(2024,1,15),DATE(2029,6,30),2,3)</t>
  </si>
  <si>
    <t xml:space="preserve">COUPPCD(DATE(2024,1,15),DATE(2029,6,30),2,4)</t>
  </si>
  <si>
    <t xml:space="preserve">COUPNCD(DATE(2024,1,15),DATE(2029,6,30),2,4)</t>
  </si>
  <si>
    <t xml:space="preserve">COUPNUM(DATE(2024,1,15),DATE(2029,6,30),2,4)</t>
  </si>
  <si>
    <t xml:space="preserve">COUPDAYBS(DATE(2024,1,15),DATE(2029,6,30),2,4)</t>
  </si>
  <si>
    <t xml:space="preserve">COUPDAYS(DATE(2024,1,15),DATE(2029,6,30),2,4)</t>
  </si>
  <si>
    <t xml:space="preserve">COUPDAYSNC(DATE(2024,1,15),DATE(2029,6,30),2,4)</t>
  </si>
  <si>
    <t xml:space="preserve">COUPPCD(DATE(2024,1,15),DATE(2029,6,30),4,0)</t>
  </si>
  <si>
    <t xml:space="preserve">COUPNCD(DATE(2024,1,15),DATE(2029,6,30),4,0)</t>
  </si>
  <si>
    <t xml:space="preserve">COUPNUM(DATE(2024,1,15),DATE(2029,6,30),4,0)</t>
  </si>
  <si>
    <t xml:space="preserve">COUPDAYBS(DATE(2024,1,15),DATE(2029,6,30),4,0)</t>
  </si>
  <si>
    <t xml:space="preserve">COUPDAYS(DATE(2024,1,15),DATE(2029,6,30),4,0)</t>
  </si>
  <si>
    <t xml:space="preserve">COUPDAYSNC(DATE(2024,1,15),DATE(2029,6,30),4,0)</t>
  </si>
  <si>
    <t xml:space="preserve">COUPPCD(DATE(2024,1,15),DATE(2029,6,30),4,1)</t>
  </si>
  <si>
    <t xml:space="preserve">COUPNCD(DATE(2024,1,15),DATE(2029,6,30),4,1)</t>
  </si>
  <si>
    <t xml:space="preserve">COUPNUM(DATE(2024,1,15),DATE(2029,6,30),4,1)</t>
  </si>
  <si>
    <t xml:space="preserve">COUPDAYBS(DATE(2024,1,15),DATE(2029,6,30),4,1)</t>
  </si>
  <si>
    <t xml:space="preserve">COUPDAYS(DATE(2024,1,15),DATE(2029,6,30),4,1)</t>
  </si>
  <si>
    <t xml:space="preserve">COUPDAYSNC(DATE(2024,1,15),DATE(2029,6,30),4,1)</t>
  </si>
  <si>
    <t xml:space="preserve">COUPPCD(DATE(2024,1,15),DATE(2029,6,30),4,2)</t>
  </si>
  <si>
    <t xml:space="preserve">COUPNCD(DATE(2024,1,15),DATE(2029,6,30),4,2)</t>
  </si>
  <si>
    <t xml:space="preserve">COUPNUM(DATE(2024,1,15),DATE(2029,6,30),4,2)</t>
  </si>
  <si>
    <t xml:space="preserve">COUPDAYBS(DATE(2024,1,15),DATE(2029,6,30),4,2)</t>
  </si>
  <si>
    <t xml:space="preserve">COUPDAYS(DATE(2024,1,15),DATE(2029,6,30),4,2)</t>
  </si>
  <si>
    <t xml:space="preserve">COUPDAYSNC(DATE(2024,1,15),DATE(2029,6,30),4,2)</t>
  </si>
  <si>
    <t xml:space="preserve">COUPPCD(DATE(2024,1,15),DATE(2029,6,30),4,3)</t>
  </si>
  <si>
    <t xml:space="preserve">COUPNCD(DATE(2024,1,15),DATE(2029,6,30),4,3)</t>
  </si>
  <si>
    <t xml:space="preserve">COUPNUM(DATE(2024,1,15),DATE(2029,6,30),4,3)</t>
  </si>
  <si>
    <t xml:space="preserve">COUPDAYBS(DATE(2024,1,15),DATE(2029,6,30),4,3)</t>
  </si>
  <si>
    <t xml:space="preserve">COUPDAYS(DATE(2024,1,15),DATE(2029,6,30),4,3)</t>
  </si>
  <si>
    <t xml:space="preserve">COUPDAYSNC(DATE(2024,1,15),DATE(2029,6,30),4,3)</t>
  </si>
  <si>
    <t xml:space="preserve">COUPPCD(DATE(2024,1,15),DATE(2029,6,30),4,4)</t>
  </si>
  <si>
    <t xml:space="preserve">COUPNCD(DATE(2024,1,15),DATE(2029,6,30),4,4)</t>
  </si>
  <si>
    <t xml:space="preserve">COUPNUM(DATE(2024,1,15),DATE(2029,6,30),4,4)</t>
  </si>
  <si>
    <t xml:space="preserve">COUPDAYBS(DATE(2024,1,15),DATE(2029,6,30),4,4)</t>
  </si>
  <si>
    <t xml:space="preserve">COUPDAYS(DATE(2024,1,15),DATE(2029,6,30),4,4)</t>
  </si>
  <si>
    <t xml:space="preserve">COUPDAYSNC(DATE(2024,1,15),DATE(2029,6,30),4,4)</t>
  </si>
  <si>
    <t xml:space="preserve">COUPNUM(DATE(2024,1,15),DATE(2029,6,30),2)</t>
  </si>
  <si>
    <t xml:space="preserve">COUPDAYS(DATE(2024,1,15),DATE(2029,6,30),2)</t>
  </si>
  <si>
    <t xml:space="preserve">COUPPCD(DATE(2024,3,31),DATE(2025,3,31),1,0)</t>
  </si>
  <si>
    <t xml:space="preserve">COUPNCD(DATE(2024,3,31),DATE(2025,3,31),1,0)</t>
  </si>
  <si>
    <t xml:space="preserve">COUPNUM(DATE(2024,3,31),DATE(2025,3,31),1,0)</t>
  </si>
  <si>
    <t xml:space="preserve">COUPDAYBS(DATE(2024,3,31),DATE(2025,3,31),1,0)</t>
  </si>
  <si>
    <t xml:space="preserve">COUPDAYS(DATE(2024,3,31),DATE(2025,3,31),1,0)</t>
  </si>
  <si>
    <t xml:space="preserve">COUPDAYSNC(DATE(2024,3,31),DATE(2025,3,31),1,0)</t>
  </si>
  <si>
    <t xml:space="preserve">COUPPCD(DATE(2024,3,31),DATE(2025,3,31),1,1)</t>
  </si>
  <si>
    <t xml:space="preserve">COUPNCD(DATE(2024,3,31),DATE(2025,3,31),1,1)</t>
  </si>
  <si>
    <t xml:space="preserve">COUPNUM(DATE(2024,3,31),DATE(2025,3,31),1,1)</t>
  </si>
  <si>
    <t xml:space="preserve">COUPDAYBS(DATE(2024,3,31),DATE(2025,3,31),1,1)</t>
  </si>
  <si>
    <t xml:space="preserve">COUPDAYS(DATE(2024,3,31),DATE(2025,3,31),1,1)</t>
  </si>
  <si>
    <t xml:space="preserve">COUPDAYSNC(DATE(2024,3,31),DATE(2025,3,31),1,1)</t>
  </si>
  <si>
    <t xml:space="preserve">COUPPCD(DATE(2024,3,31),DATE(2025,3,31),1,2)</t>
  </si>
  <si>
    <t xml:space="preserve">COUPNCD(DATE(2024,3,31),DATE(2025,3,31),1,2)</t>
  </si>
  <si>
    <t xml:space="preserve">COUPNUM(DATE(2024,3,31),DATE(2025,3,31),1,2)</t>
  </si>
  <si>
    <t xml:space="preserve">COUPDAYBS(DATE(2024,3,31),DATE(2025,3,31),1,2)</t>
  </si>
  <si>
    <t xml:space="preserve">COUPDAYS(DATE(2024,3,31),DATE(2025,3,31),1,2)</t>
  </si>
  <si>
    <t xml:space="preserve">COUPDAYSNC(DATE(2024,3,31),DATE(2025,3,31),1,2)</t>
  </si>
  <si>
    <t xml:space="preserve">COUPPCD(DATE(2024,3,31),DATE(2025,3,31),1,3)</t>
  </si>
  <si>
    <t xml:space="preserve">COUPNCD(DATE(2024,3,31),DATE(2025,3,31),1,3)</t>
  </si>
  <si>
    <t xml:space="preserve">COUPNUM(DATE(2024,3,31),DATE(2025,3,31),1,3)</t>
  </si>
  <si>
    <t xml:space="preserve">COUPDAYBS(DATE(2024,3,31),DATE(2025,3,31),1,3)</t>
  </si>
  <si>
    <t xml:space="preserve">COUPDAYS(DATE(2024,3,31),DATE(2025,3,31),1,3)</t>
  </si>
  <si>
    <t xml:space="preserve">COUPDAYSNC(DATE(2024,3,31),DATE(2025,3,31),1,3)</t>
  </si>
  <si>
    <t xml:space="preserve">COUPPCD(DATE(2024,3,31),DATE(2025,3,31),1,4)</t>
  </si>
  <si>
    <t xml:space="preserve">COUPNCD(DATE(2024,3,31),DATE(2025,3,31),1,4)</t>
  </si>
  <si>
    <t xml:space="preserve">COUPNUM(DATE(2024,3,31),DATE(2025,3,31),1,4)</t>
  </si>
  <si>
    <t xml:space="preserve">COUPDAYBS(DATE(2024,3,31),DATE(2025,3,31),1,4)</t>
  </si>
  <si>
    <t xml:space="preserve">COUPDAYS(DATE(2024,3,31),DATE(2025,3,31),1,4)</t>
  </si>
  <si>
    <t xml:space="preserve">COUPDAYSNC(DATE(2024,3,31),DATE(2025,3,31),1,4)</t>
  </si>
  <si>
    <t xml:space="preserve">COUPPCD(DATE(2024,3,31),DATE(2025,3,31),2,0)</t>
  </si>
  <si>
    <t xml:space="preserve">COUPNCD(DATE(2024,3,31),DATE(2025,3,31),2,0)</t>
  </si>
  <si>
    <t xml:space="preserve">COUPNUM(DATE(2024,3,31),DATE(2025,3,31),2,0)</t>
  </si>
  <si>
    <t xml:space="preserve">COUPDAYBS(DATE(2024,3,31),DATE(2025,3,31),2,0)</t>
  </si>
  <si>
    <t xml:space="preserve">COUPDAYS(DATE(2024,3,31),DATE(2025,3,31),2,0)</t>
  </si>
  <si>
    <t xml:space="preserve">COUPDAYSNC(DATE(2024,3,31),DATE(2025,3,31),2,0)</t>
  </si>
  <si>
    <t xml:space="preserve">COUPPCD(DATE(2024,3,31),DATE(2025,3,31),2,1)</t>
  </si>
  <si>
    <t xml:space="preserve">COUPNCD(DATE(2024,3,31),DATE(2025,3,31),2,1)</t>
  </si>
  <si>
    <t xml:space="preserve">COUPNUM(DATE(2024,3,31),DATE(2025,3,31),2,1)</t>
  </si>
  <si>
    <t xml:space="preserve">COUPDAYBS(DATE(2024,3,31),DATE(2025,3,31),2,1)</t>
  </si>
  <si>
    <t xml:space="preserve">COUPDAYS(DATE(2024,3,31),DATE(2025,3,31),2,1)</t>
  </si>
  <si>
    <t xml:space="preserve">COUPDAYSNC(DATE(2024,3,31),DATE(2025,3,31),2,1)</t>
  </si>
  <si>
    <t xml:space="preserve">COUPPCD(DATE(2024,3,31),DATE(2025,3,31),2,2)</t>
  </si>
  <si>
    <t xml:space="preserve">COUPNCD(DATE(2024,3,31),DATE(2025,3,31),2,2)</t>
  </si>
  <si>
    <t xml:space="preserve">COUPNUM(DATE(2024,3,31),DATE(2025,3,31),2,2)</t>
  </si>
  <si>
    <t xml:space="preserve">COUPDAYBS(DATE(2024,3,31),DATE(2025,3,31),2,2)</t>
  </si>
  <si>
    <t xml:space="preserve">COUPDAYS(DATE(2024,3,31),DATE(2025,3,31),2,2)</t>
  </si>
  <si>
    <t xml:space="preserve">COUPDAYSNC(DATE(2024,3,31),DATE(2025,3,31),2,2)</t>
  </si>
  <si>
    <t xml:space="preserve">COUPPCD(DATE(2024,3,31),DATE(2025,3,31),2,3)</t>
  </si>
  <si>
    <t xml:space="preserve">COUPNCD(DATE(2024,3,31),DATE(2025,3,31),2,3)</t>
  </si>
  <si>
    <t xml:space="preserve">COUPNUM(DATE(2024,3,31),DATE(2025,3,31),2,3)</t>
  </si>
  <si>
    <t xml:space="preserve">COUPDAYBS(DATE(2024,3,31),DATE(2025,3,31),2,3)</t>
  </si>
  <si>
    <t xml:space="preserve">COUPDAYS(DATE(2024,3,31),DATE(2025,3,31),2,3)</t>
  </si>
  <si>
    <t xml:space="preserve">COUPDAYSNC(DATE(2024,3,31),DATE(2025,3,31),2,3)</t>
  </si>
  <si>
    <t xml:space="preserve">COUPPCD(DATE(2024,3,31),DATE(2025,3,31),2,4)</t>
  </si>
  <si>
    <t xml:space="preserve">COUPNCD(DATE(2024,3,31),DATE(2025,3,31),2,4)</t>
  </si>
  <si>
    <t xml:space="preserve">COUPNUM(DATE(2024,3,31),DATE(2025,3,31),2,4)</t>
  </si>
  <si>
    <t xml:space="preserve">COUPDAYBS(DATE(2024,3,31),DATE(2025,3,31),2,4)</t>
  </si>
  <si>
    <t xml:space="preserve">COUPDAYS(DATE(2024,3,31),DATE(2025,3,31),2,4)</t>
  </si>
  <si>
    <t xml:space="preserve">COUPDAYSNC(DATE(2024,3,31),DATE(2025,3,31),2,4)</t>
  </si>
  <si>
    <t xml:space="preserve">COUPPCD(DATE(2024,3,31),DATE(2025,3,31),4,0)</t>
  </si>
  <si>
    <t xml:space="preserve">COUPNCD(DATE(2024,3,31),DATE(2025,3,31),4,0)</t>
  </si>
  <si>
    <t xml:space="preserve">COUPNUM(DATE(2024,3,31),DATE(2025,3,31),4,0)</t>
  </si>
  <si>
    <t xml:space="preserve">COUPDAYBS(DATE(2024,3,31),DATE(2025,3,31),4,0)</t>
  </si>
  <si>
    <t xml:space="preserve">COUPDAYS(DATE(2024,3,31),DATE(2025,3,31),4,0)</t>
  </si>
  <si>
    <t xml:space="preserve">COUPDAYSNC(DATE(2024,3,31),DATE(2025,3,31),4,0)</t>
  </si>
  <si>
    <t xml:space="preserve">COUPPCD(DATE(2024,3,31),DATE(2025,3,31),4,1)</t>
  </si>
  <si>
    <t xml:space="preserve">COUPNCD(DATE(2024,3,31),DATE(2025,3,31),4,1)</t>
  </si>
  <si>
    <t xml:space="preserve">COUPNUM(DATE(2024,3,31),DATE(2025,3,31),4,1)</t>
  </si>
  <si>
    <t xml:space="preserve">COUPDAYBS(DATE(2024,3,31),DATE(2025,3,31),4,1)</t>
  </si>
  <si>
    <t xml:space="preserve">COUPDAYS(DATE(2024,3,31),DATE(2025,3,31),4,1)</t>
  </si>
  <si>
    <t xml:space="preserve">COUPDAYSNC(DATE(2024,3,31),DATE(2025,3,31),4,1)</t>
  </si>
  <si>
    <t xml:space="preserve">COUPPCD(DATE(2024,3,31),DATE(2025,3,31),4,2)</t>
  </si>
  <si>
    <t xml:space="preserve">COUPNCD(DATE(2024,3,31),DATE(2025,3,31),4,2)</t>
  </si>
  <si>
    <t xml:space="preserve">COUPNUM(DATE(2024,3,31),DATE(2025,3,31),4,2)</t>
  </si>
  <si>
    <t xml:space="preserve">COUPDAYBS(DATE(2024,3,31),DATE(2025,3,31),4,2)</t>
  </si>
  <si>
    <t xml:space="preserve">COUPDAYS(DATE(2024,3,31),DATE(2025,3,31),4,2)</t>
  </si>
  <si>
    <t xml:space="preserve">COUPDAYSNC(DATE(2024,3,31),DATE(2025,3,31),4,2)</t>
  </si>
  <si>
    <t xml:space="preserve">COUPPCD(DATE(2024,3,31),DATE(2025,3,31),4,3)</t>
  </si>
  <si>
    <t xml:space="preserve">COUPNCD(DATE(2024,3,31),DATE(2025,3,31),4,3)</t>
  </si>
  <si>
    <t xml:space="preserve">COUPNUM(DATE(2024,3,31),DATE(2025,3,31),4,3)</t>
  </si>
  <si>
    <t xml:space="preserve">COUPDAYBS(DATE(2024,3,31),DATE(2025,3,31),4,3)</t>
  </si>
  <si>
    <t xml:space="preserve">COUPDAYS(DATE(2024,3,31),DATE(2025,3,31),4,3)</t>
  </si>
  <si>
    <t xml:space="preserve">COUPDAYSNC(DATE(2024,3,31),DATE(2025,3,31),4,3)</t>
  </si>
  <si>
    <t xml:space="preserve">COUPPCD(DATE(2024,3,31),DATE(2025,3,31),4,4)</t>
  </si>
  <si>
    <t xml:space="preserve">COUPNCD(DATE(2024,3,31),DATE(2025,3,31),4,4)</t>
  </si>
  <si>
    <t xml:space="preserve">COUPNUM(DATE(2024,3,31),DATE(2025,3,31),4,4)</t>
  </si>
  <si>
    <t xml:space="preserve">COUPDAYBS(DATE(2024,3,31),DATE(2025,3,31),4,4)</t>
  </si>
  <si>
    <t xml:space="preserve">COUPDAYS(DATE(2024,3,31),DATE(2025,3,31),4,4)</t>
  </si>
  <si>
    <t xml:space="preserve">COUPDAYSNC(DATE(2024,3,31),DATE(2025,3,31),4,4)</t>
  </si>
  <si>
    <t xml:space="preserve">COUPNUM(DATE(2024,3,31),DATE(2025,3,31),2)</t>
  </si>
  <si>
    <t xml:space="preserve">COUPDAYS(DATE(2024,3,31),DATE(2025,3,31),2)</t>
  </si>
  <si>
    <t xml:space="preserve">COUPPCD(DATE(2024,2,29),DATE(2026,8,31),1,0)</t>
  </si>
  <si>
    <t xml:space="preserve">COUPNCD(DATE(2024,2,29),DATE(2026,8,31),1,0)</t>
  </si>
  <si>
    <t xml:space="preserve">COUPNUM(DATE(2024,2,29),DATE(2026,8,31),1,0)</t>
  </si>
  <si>
    <t xml:space="preserve">COUPDAYBS(DATE(2024,2,29),DATE(2026,8,31),1,0)</t>
  </si>
  <si>
    <t xml:space="preserve">COUPDAYS(DATE(2024,2,29),DATE(2026,8,31),1,0)</t>
  </si>
  <si>
    <t xml:space="preserve">COUPDAYSNC(DATE(2024,2,29),DATE(2026,8,31),1,0)</t>
  </si>
  <si>
    <t xml:space="preserve">COUPPCD(DATE(2024,2,29),DATE(2026,8,31),1,1)</t>
  </si>
  <si>
    <t xml:space="preserve">COUPNCD(DATE(2024,2,29),DATE(2026,8,31),1,1)</t>
  </si>
  <si>
    <t xml:space="preserve">COUPNUM(DATE(2024,2,29),DATE(2026,8,31),1,1)</t>
  </si>
  <si>
    <t xml:space="preserve">COUPDAYBS(DATE(2024,2,29),DATE(2026,8,31),1,1)</t>
  </si>
  <si>
    <t xml:space="preserve">COUPDAYS(DATE(2024,2,29),DATE(2026,8,31),1,1)</t>
  </si>
  <si>
    <t xml:space="preserve">COUPDAYSNC(DATE(2024,2,29),DATE(2026,8,31),1,1)</t>
  </si>
  <si>
    <t xml:space="preserve">COUPPCD(DATE(2024,2,29),DATE(2026,8,31),1,2)</t>
  </si>
  <si>
    <t xml:space="preserve">COUPNCD(DATE(2024,2,29),DATE(2026,8,31),1,2)</t>
  </si>
  <si>
    <t xml:space="preserve">COUPNUM(DATE(2024,2,29),DATE(2026,8,31),1,2)</t>
  </si>
  <si>
    <t xml:space="preserve">COUPDAYBS(DATE(2024,2,29),DATE(2026,8,31),1,2)</t>
  </si>
  <si>
    <t xml:space="preserve">COUPDAYS(DATE(2024,2,29),DATE(2026,8,31),1,2)</t>
  </si>
  <si>
    <t xml:space="preserve">COUPDAYSNC(DATE(2024,2,29),DATE(2026,8,31),1,2)</t>
  </si>
  <si>
    <t xml:space="preserve">COUPPCD(DATE(2024,2,29),DATE(2026,8,31),1,3)</t>
  </si>
  <si>
    <t xml:space="preserve">COUPNCD(DATE(2024,2,29),DATE(2026,8,31),1,3)</t>
  </si>
  <si>
    <t xml:space="preserve">COUPNUM(DATE(2024,2,29),DATE(2026,8,31),1,3)</t>
  </si>
  <si>
    <t xml:space="preserve">COUPDAYBS(DATE(2024,2,29),DATE(2026,8,31),1,3)</t>
  </si>
  <si>
    <t xml:space="preserve">COUPDAYS(DATE(2024,2,29),DATE(2026,8,31),1,3)</t>
  </si>
  <si>
    <t xml:space="preserve">COUPDAYSNC(DATE(2024,2,29),DATE(2026,8,31),1,3)</t>
  </si>
  <si>
    <t xml:space="preserve">COUPPCD(DATE(2024,2,29),DATE(2026,8,31),1,4)</t>
  </si>
  <si>
    <t xml:space="preserve">COUPNCD(DATE(2024,2,29),DATE(2026,8,31),1,4)</t>
  </si>
  <si>
    <t xml:space="preserve">COUPNUM(DATE(2024,2,29),DATE(2026,8,31),1,4)</t>
  </si>
  <si>
    <t xml:space="preserve">COUPDAYBS(DATE(2024,2,29),DATE(2026,8,31),1,4)</t>
  </si>
  <si>
    <t xml:space="preserve">COUPDAYS(DATE(2024,2,29),DATE(2026,8,31),1,4)</t>
  </si>
  <si>
    <t xml:space="preserve">COUPDAYSNC(DATE(2024,2,29),DATE(2026,8,31),1,4)</t>
  </si>
  <si>
    <t xml:space="preserve">COUPPCD(DATE(2024,2,29),DATE(2026,8,31),2,0)</t>
  </si>
  <si>
    <t xml:space="preserve">COUPNCD(DATE(2024,2,29),DATE(2026,8,31),2,0)</t>
  </si>
  <si>
    <t xml:space="preserve">COUPNUM(DATE(2024,2,29),DATE(2026,8,31),2,0)</t>
  </si>
  <si>
    <t xml:space="preserve">COUPDAYBS(DATE(2024,2,29),DATE(2026,8,31),2,0)</t>
  </si>
  <si>
    <t xml:space="preserve">COUPDAYS(DATE(2024,2,29),DATE(2026,8,31),2,0)</t>
  </si>
  <si>
    <t xml:space="preserve">COUPDAYSNC(DATE(2024,2,29),DATE(2026,8,31),2,0)</t>
  </si>
  <si>
    <t xml:space="preserve">COUPPCD(DATE(2024,2,29),DATE(2026,8,31),2,1)</t>
  </si>
  <si>
    <t xml:space="preserve">COUPNCD(DATE(2024,2,29),DATE(2026,8,31),2,1)</t>
  </si>
  <si>
    <t xml:space="preserve">COUPNUM(DATE(2024,2,29),DATE(2026,8,31),2,1)</t>
  </si>
  <si>
    <t xml:space="preserve">COUPDAYBS(DATE(2024,2,29),DATE(2026,8,31),2,1)</t>
  </si>
  <si>
    <t xml:space="preserve">COUPDAYS(DATE(2024,2,29),DATE(2026,8,31),2,1)</t>
  </si>
  <si>
    <t xml:space="preserve">COUPDAYSNC(DATE(2024,2,29),DATE(2026,8,31),2,1)</t>
  </si>
  <si>
    <t xml:space="preserve">COUPPCD(DATE(2024,2,29),DATE(2026,8,31),2,2)</t>
  </si>
  <si>
    <t xml:space="preserve">COUPNCD(DATE(2024,2,29),DATE(2026,8,31),2,2)</t>
  </si>
  <si>
    <t xml:space="preserve">COUPNUM(DATE(2024,2,29),DATE(2026,8,31),2,2)</t>
  </si>
  <si>
    <t xml:space="preserve">COUPDAYBS(DATE(2024,2,29),DATE(2026,8,31),2,2)</t>
  </si>
  <si>
    <t xml:space="preserve">COUPDAYS(DATE(2024,2,29),DATE(2026,8,31),2,2)</t>
  </si>
  <si>
    <t xml:space="preserve">COUPDAYSNC(DATE(2024,2,29),DATE(2026,8,31),2,2)</t>
  </si>
  <si>
    <t xml:space="preserve">COUPPCD(DATE(2024,2,29),DATE(2026,8,31),2,3)</t>
  </si>
  <si>
    <t xml:space="preserve">COUPNCD(DATE(2024,2,29),DATE(2026,8,31),2,3)</t>
  </si>
  <si>
    <t xml:space="preserve">COUPNUM(DATE(2024,2,29),DATE(2026,8,31),2,3)</t>
  </si>
  <si>
    <t xml:space="preserve">COUPDAYBS(DATE(2024,2,29),DATE(2026,8,31),2,3)</t>
  </si>
  <si>
    <t xml:space="preserve">COUPDAYS(DATE(2024,2,29),DATE(2026,8,31),2,3)</t>
  </si>
  <si>
    <t xml:space="preserve">COUPDAYSNC(DATE(2024,2,29),DATE(2026,8,31),2,3)</t>
  </si>
  <si>
    <t xml:space="preserve">COUPPCD(DATE(2024,2,29),DATE(2026,8,31),2,4)</t>
  </si>
  <si>
    <t xml:space="preserve">COUPNCD(DATE(2024,2,29),DATE(2026,8,31),2,4)</t>
  </si>
  <si>
    <t xml:space="preserve">COUPNUM(DATE(2024,2,29),DATE(2026,8,31),2,4)</t>
  </si>
  <si>
    <t xml:space="preserve">COUPDAYBS(DATE(2024,2,29),DATE(2026,8,31),2,4)</t>
  </si>
  <si>
    <t xml:space="preserve">COUPDAYS(DATE(2024,2,29),DATE(2026,8,31),2,4)</t>
  </si>
  <si>
    <t xml:space="preserve">COUPDAYSNC(DATE(2024,2,29),DATE(2026,8,31),2,4)</t>
  </si>
  <si>
    <t xml:space="preserve">COUPPCD(DATE(2024,2,29),DATE(2026,8,31),4,0)</t>
  </si>
  <si>
    <t xml:space="preserve">COUPNCD(DATE(2024,2,29),DATE(2026,8,31),4,0)</t>
  </si>
  <si>
    <t xml:space="preserve">COUPNUM(DATE(2024,2,29),DATE(2026,8,31),4,0)</t>
  </si>
  <si>
    <t xml:space="preserve">COUPDAYBS(DATE(2024,2,29),DATE(2026,8,31),4,0)</t>
  </si>
  <si>
    <t xml:space="preserve">COUPDAYS(DATE(2024,2,29),DATE(2026,8,31),4,0)</t>
  </si>
  <si>
    <t xml:space="preserve">COUPDAYSNC(DATE(2024,2,29),DATE(2026,8,31),4,0)</t>
  </si>
  <si>
    <t xml:space="preserve">COUPPCD(DATE(2024,2,29),DATE(2026,8,31),4,1)</t>
  </si>
  <si>
    <t xml:space="preserve">COUPNCD(DATE(2024,2,29),DATE(2026,8,31),4,1)</t>
  </si>
  <si>
    <t xml:space="preserve">COUPNUM(DATE(2024,2,29),DATE(2026,8,31),4,1)</t>
  </si>
  <si>
    <t xml:space="preserve">COUPDAYBS(DATE(2024,2,29),DATE(2026,8,31),4,1)</t>
  </si>
  <si>
    <t xml:space="preserve">COUPDAYS(DATE(2024,2,29),DATE(2026,8,31),4,1)</t>
  </si>
  <si>
    <t xml:space="preserve">COUPDAYSNC(DATE(2024,2,29),DATE(2026,8,31),4,1)</t>
  </si>
  <si>
    <t xml:space="preserve">COUPPCD(DATE(2024,2,29),DATE(2026,8,31),4,2)</t>
  </si>
  <si>
    <t xml:space="preserve">COUPNCD(DATE(2024,2,29),DATE(2026,8,31),4,2)</t>
  </si>
  <si>
    <t xml:space="preserve">COUPNUM(DATE(2024,2,29),DATE(2026,8,31),4,2)</t>
  </si>
  <si>
    <t xml:space="preserve">COUPDAYBS(DATE(2024,2,29),DATE(2026,8,31),4,2)</t>
  </si>
  <si>
    <t xml:space="preserve">COUPDAYS(DATE(2024,2,29),DATE(2026,8,31),4,2)</t>
  </si>
  <si>
    <t xml:space="preserve">COUPDAYSNC(DATE(2024,2,29),DATE(2026,8,31),4,2)</t>
  </si>
  <si>
    <t xml:space="preserve">COUPPCD(DATE(2024,2,29),DATE(2026,8,31),4,3)</t>
  </si>
  <si>
    <t xml:space="preserve">COUPNCD(DATE(2024,2,29),DATE(2026,8,31),4,3)</t>
  </si>
  <si>
    <t xml:space="preserve">COUPNUM(DATE(2024,2,29),DATE(2026,8,31),4,3)</t>
  </si>
  <si>
    <t xml:space="preserve">COUPDAYBS(DATE(2024,2,29),DATE(2026,8,31),4,3)</t>
  </si>
  <si>
    <t xml:space="preserve">COUPDAYS(DATE(2024,2,29),DATE(2026,8,31),4,3)</t>
  </si>
  <si>
    <t xml:space="preserve">COUPDAYSNC(DATE(2024,2,29),DATE(2026,8,31),4,3)</t>
  </si>
  <si>
    <t xml:space="preserve">COUPPCD(DATE(2024,2,29),DATE(2026,8,31),4,4)</t>
  </si>
  <si>
    <t xml:space="preserve">COUPNCD(DATE(2024,2,29),DATE(2026,8,31),4,4)</t>
  </si>
  <si>
    <t xml:space="preserve">COUPNUM(DATE(2024,2,29),DATE(2026,8,31),4,4)</t>
  </si>
  <si>
    <t xml:space="preserve">COUPDAYBS(DATE(2024,2,29),DATE(2026,8,31),4,4)</t>
  </si>
  <si>
    <t xml:space="preserve">COUPDAYS(DATE(2024,2,29),DATE(2026,8,31),4,4)</t>
  </si>
  <si>
    <t xml:space="preserve">COUPDAYSNC(DATE(2024,2,29),DATE(2026,8,31),4,4)</t>
  </si>
  <si>
    <t xml:space="preserve">COUPNUM(DATE(2024,2,29),DATE(2026,8,31),2)</t>
  </si>
  <si>
    <t xml:space="preserve">COUPDAYS(DATE(2024,2,29),DATE(2026,8,31),2)</t>
  </si>
  <si>
    <t xml:space="preserve">COUPPCD(DATE(2023,12,31),DATE(2024,6,30),1,0)</t>
  </si>
  <si>
    <t xml:space="preserve">COUPNCD(DATE(2023,12,31),DATE(2024,6,30),1,0)</t>
  </si>
  <si>
    <t xml:space="preserve">COUPNUM(DATE(2023,12,31),DATE(2024,6,30),1,0)</t>
  </si>
  <si>
    <t xml:space="preserve">COUPDAYBS(DATE(2023,12,31),DATE(2024,6,30),1,0)</t>
  </si>
  <si>
    <t xml:space="preserve">COUPDAYS(DATE(2023,12,31),DATE(2024,6,30),1,0)</t>
  </si>
  <si>
    <t xml:space="preserve">COUPDAYSNC(DATE(2023,12,31),DATE(2024,6,30),1,0)</t>
  </si>
  <si>
    <t xml:space="preserve">COUPPCD(DATE(2023,12,31),DATE(2024,6,30),1,1)</t>
  </si>
  <si>
    <t xml:space="preserve">COUPNCD(DATE(2023,12,31),DATE(2024,6,30),1,1)</t>
  </si>
  <si>
    <t xml:space="preserve">COUPNUM(DATE(2023,12,31),DATE(2024,6,30),1,1)</t>
  </si>
  <si>
    <t xml:space="preserve">COUPDAYBS(DATE(2023,12,31),DATE(2024,6,30),1,1)</t>
  </si>
  <si>
    <t xml:space="preserve">COUPDAYS(DATE(2023,12,31),DATE(2024,6,30),1,1)</t>
  </si>
  <si>
    <t xml:space="preserve">COUPDAYSNC(DATE(2023,12,31),DATE(2024,6,30),1,1)</t>
  </si>
  <si>
    <t xml:space="preserve">COUPPCD(DATE(2023,12,31),DATE(2024,6,30),1,2)</t>
  </si>
  <si>
    <t xml:space="preserve">COUPNCD(DATE(2023,12,31),DATE(2024,6,30),1,2)</t>
  </si>
  <si>
    <t xml:space="preserve">COUPNUM(DATE(2023,12,31),DATE(2024,6,30),1,2)</t>
  </si>
  <si>
    <t xml:space="preserve">COUPDAYBS(DATE(2023,12,31),DATE(2024,6,30),1,2)</t>
  </si>
  <si>
    <t xml:space="preserve">COUPDAYS(DATE(2023,12,31),DATE(2024,6,30),1,2)</t>
  </si>
  <si>
    <t xml:space="preserve">COUPDAYSNC(DATE(2023,12,31),DATE(2024,6,30),1,2)</t>
  </si>
  <si>
    <t xml:space="preserve">COUPPCD(DATE(2023,12,31),DATE(2024,6,30),1,3)</t>
  </si>
  <si>
    <t xml:space="preserve">COUPNCD(DATE(2023,12,31),DATE(2024,6,30),1,3)</t>
  </si>
  <si>
    <t xml:space="preserve">COUPNUM(DATE(2023,12,31),DATE(2024,6,30),1,3)</t>
  </si>
  <si>
    <t xml:space="preserve">COUPDAYBS(DATE(2023,12,31),DATE(2024,6,30),1,3)</t>
  </si>
  <si>
    <t xml:space="preserve">COUPDAYS(DATE(2023,12,31),DATE(2024,6,30),1,3)</t>
  </si>
  <si>
    <t xml:space="preserve">COUPDAYSNC(DATE(2023,12,31),DATE(2024,6,30),1,3)</t>
  </si>
  <si>
    <t xml:space="preserve">COUPPCD(DATE(2023,12,31),DATE(2024,6,30),1,4)</t>
  </si>
  <si>
    <t xml:space="preserve">COUPNCD(DATE(2023,12,31),DATE(2024,6,30),1,4)</t>
  </si>
  <si>
    <t xml:space="preserve">COUPNUM(DATE(2023,12,31),DATE(2024,6,30),1,4)</t>
  </si>
  <si>
    <t xml:space="preserve">COUPDAYBS(DATE(2023,12,31),DATE(2024,6,30),1,4)</t>
  </si>
  <si>
    <t xml:space="preserve">COUPDAYS(DATE(2023,12,31),DATE(2024,6,30),1,4)</t>
  </si>
  <si>
    <t xml:space="preserve">COUPDAYSNC(DATE(2023,12,31),DATE(2024,6,30),1,4)</t>
  </si>
  <si>
    <t xml:space="preserve">COUPPCD(DATE(2023,12,31),DATE(2024,6,30),2,0)</t>
  </si>
  <si>
    <t xml:space="preserve">COUPNCD(DATE(2023,12,31),DATE(2024,6,30),2,0)</t>
  </si>
  <si>
    <t xml:space="preserve">COUPNUM(DATE(2023,12,31),DATE(2024,6,30),2,0)</t>
  </si>
  <si>
    <t xml:space="preserve">COUPDAYBS(DATE(2023,12,31),DATE(2024,6,30),2,0)</t>
  </si>
  <si>
    <t xml:space="preserve">COUPDAYS(DATE(2023,12,31),DATE(2024,6,30),2,0)</t>
  </si>
  <si>
    <t xml:space="preserve">COUPDAYSNC(DATE(2023,12,31),DATE(2024,6,30),2,0)</t>
  </si>
  <si>
    <t xml:space="preserve">COUPPCD(DATE(2023,12,31),DATE(2024,6,30),2,1)</t>
  </si>
  <si>
    <t xml:space="preserve">COUPNCD(DATE(2023,12,31),DATE(2024,6,30),2,1)</t>
  </si>
  <si>
    <t xml:space="preserve">COUPNUM(DATE(2023,12,31),DATE(2024,6,30),2,1)</t>
  </si>
  <si>
    <t xml:space="preserve">COUPDAYBS(DATE(2023,12,31),DATE(2024,6,30),2,1)</t>
  </si>
  <si>
    <t xml:space="preserve">COUPDAYS(DATE(2023,12,31),DATE(2024,6,30),2,1)</t>
  </si>
  <si>
    <t xml:space="preserve">COUPDAYSNC(DATE(2023,12,31),DATE(2024,6,30),2,1)</t>
  </si>
  <si>
    <t xml:space="preserve">COUPPCD(DATE(2023,12,31),DATE(2024,6,30),2,2)</t>
  </si>
  <si>
    <t xml:space="preserve">COUPNCD(DATE(2023,12,31),DATE(2024,6,30),2,2)</t>
  </si>
  <si>
    <t xml:space="preserve">COUPNUM(DATE(2023,12,31),DATE(2024,6,30),2,2)</t>
  </si>
  <si>
    <t xml:space="preserve">COUPDAYBS(DATE(2023,12,31),DATE(2024,6,30),2,2)</t>
  </si>
  <si>
    <t xml:space="preserve">COUPDAYS(DATE(2023,12,31),DATE(2024,6,30),2,2)</t>
  </si>
  <si>
    <t xml:space="preserve">COUPDAYSNC(DATE(2023,12,31),DATE(2024,6,30),2,2)</t>
  </si>
  <si>
    <t xml:space="preserve">COUPPCD(DATE(2023,12,31),DATE(2024,6,30),2,3)</t>
  </si>
  <si>
    <t xml:space="preserve">COUPNCD(DATE(2023,12,31),DATE(2024,6,30),2,3)</t>
  </si>
  <si>
    <t xml:space="preserve">COUPNUM(DATE(2023,12,31),DATE(2024,6,30),2,3)</t>
  </si>
  <si>
    <t xml:space="preserve">COUPDAYBS(DATE(2023,12,31),DATE(2024,6,30),2,3)</t>
  </si>
  <si>
    <t xml:space="preserve">COUPDAYS(DATE(2023,12,31),DATE(2024,6,30),2,3)</t>
  </si>
  <si>
    <t xml:space="preserve">COUPDAYSNC(DATE(2023,12,31),DATE(2024,6,30),2,3)</t>
  </si>
  <si>
    <t xml:space="preserve">COUPPCD(DATE(2023,12,31),DATE(2024,6,30),2,4)</t>
  </si>
  <si>
    <t xml:space="preserve">COUPNCD(DATE(2023,12,31),DATE(2024,6,30),2,4)</t>
  </si>
  <si>
    <t xml:space="preserve">COUPNUM(DATE(2023,12,31),DATE(2024,6,30),2,4)</t>
  </si>
  <si>
    <t xml:space="preserve">COUPDAYBS(DATE(2023,12,31),DATE(2024,6,30),2,4)</t>
  </si>
  <si>
    <t xml:space="preserve">COUPDAYS(DATE(2023,12,31),DATE(2024,6,30),2,4)</t>
  </si>
  <si>
    <t xml:space="preserve">COUPDAYSNC(DATE(2023,12,31),DATE(2024,6,30),2,4)</t>
  </si>
  <si>
    <t xml:space="preserve">COUPPCD(DATE(2023,12,31),DATE(2024,6,30),4,0)</t>
  </si>
  <si>
    <t xml:space="preserve">COUPNCD(DATE(2023,12,31),DATE(2024,6,30),4,0)</t>
  </si>
  <si>
    <t xml:space="preserve">COUPNUM(DATE(2023,12,31),DATE(2024,6,30),4,0)</t>
  </si>
  <si>
    <t xml:space="preserve">COUPDAYBS(DATE(2023,12,31),DATE(2024,6,30),4,0)</t>
  </si>
  <si>
    <t xml:space="preserve">COUPDAYS(DATE(2023,12,31),DATE(2024,6,30),4,0)</t>
  </si>
  <si>
    <t xml:space="preserve">COUPDAYSNC(DATE(2023,12,31),DATE(2024,6,30),4,0)</t>
  </si>
  <si>
    <t xml:space="preserve">COUPPCD(DATE(2023,12,31),DATE(2024,6,30),4,1)</t>
  </si>
  <si>
    <t xml:space="preserve">COUPNCD(DATE(2023,12,31),DATE(2024,6,30),4,1)</t>
  </si>
  <si>
    <t xml:space="preserve">COUPNUM(DATE(2023,12,31),DATE(2024,6,30),4,1)</t>
  </si>
  <si>
    <t xml:space="preserve">COUPDAYBS(DATE(2023,12,31),DATE(2024,6,30),4,1)</t>
  </si>
  <si>
    <t xml:space="preserve">COUPDAYS(DATE(2023,12,31),DATE(2024,6,30),4,1)</t>
  </si>
  <si>
    <t xml:space="preserve">COUPDAYSNC(DATE(2023,12,31),DATE(2024,6,30),4,1)</t>
  </si>
  <si>
    <t xml:space="preserve">COUPPCD(DATE(2023,12,31),DATE(2024,6,30),4,2)</t>
  </si>
  <si>
    <t xml:space="preserve">COUPNCD(DATE(2023,12,31),DATE(2024,6,30),4,2)</t>
  </si>
  <si>
    <t xml:space="preserve">COUPNUM(DATE(2023,12,31),DATE(2024,6,30),4,2)</t>
  </si>
  <si>
    <t xml:space="preserve">COUPDAYBS(DATE(2023,12,31),DATE(2024,6,30),4,2)</t>
  </si>
  <si>
    <t xml:space="preserve">COUPDAYS(DATE(2023,12,31),DATE(2024,6,30),4,2)</t>
  </si>
  <si>
    <t xml:space="preserve">COUPDAYSNC(DATE(2023,12,31),DATE(2024,6,30),4,2)</t>
  </si>
  <si>
    <t xml:space="preserve">COUPPCD(DATE(2023,12,31),DATE(2024,6,30),4,3)</t>
  </si>
  <si>
    <t xml:space="preserve">COUPNCD(DATE(2023,12,31),DATE(2024,6,30),4,3)</t>
  </si>
  <si>
    <t xml:space="preserve">COUPNUM(DATE(2023,12,31),DATE(2024,6,30),4,3)</t>
  </si>
  <si>
    <t xml:space="preserve">COUPDAYBS(DATE(2023,12,31),DATE(2024,6,30),4,3)</t>
  </si>
  <si>
    <t xml:space="preserve">COUPDAYS(DATE(2023,12,31),DATE(2024,6,30),4,3)</t>
  </si>
  <si>
    <t xml:space="preserve">COUPDAYSNC(DATE(2023,12,31),DATE(2024,6,30),4,3)</t>
  </si>
  <si>
    <t xml:space="preserve">COUPPCD(DATE(2023,12,31),DATE(2024,6,30),4,4)</t>
  </si>
  <si>
    <t xml:space="preserve">COUPNCD(DATE(2023,12,31),DATE(2024,6,30),4,4)</t>
  </si>
  <si>
    <t xml:space="preserve">COUPNUM(DATE(2023,12,31),DATE(2024,6,30),4,4)</t>
  </si>
  <si>
    <t xml:space="preserve">COUPDAYBS(DATE(2023,12,31),DATE(2024,6,30),4,4)</t>
  </si>
  <si>
    <t xml:space="preserve">COUPDAYS(DATE(2023,12,31),DATE(2024,6,30),4,4)</t>
  </si>
  <si>
    <t xml:space="preserve">COUPDAYSNC(DATE(2023,12,31),DATE(2024,6,30),4,4)</t>
  </si>
  <si>
    <t xml:space="preserve">COUPNUM(DATE(2023,12,31),DATE(2024,6,30),2)</t>
  </si>
  <si>
    <t xml:space="preserve">COUPDAYS(DATE(2023,12,31),DATE(2024,6,30),2)</t>
  </si>
  <si>
    <t xml:space="preserve">COUPPCD(DATE(2024,5,15),DATE(2024,11,15),1,0)</t>
  </si>
  <si>
    <t xml:space="preserve">COUPNCD(DATE(2024,5,15),DATE(2024,11,15),1,0)</t>
  </si>
  <si>
    <t xml:space="preserve">COUPNUM(DATE(2024,5,15),DATE(2024,11,15),1,0)</t>
  </si>
  <si>
    <t xml:space="preserve">COUPDAYBS(DATE(2024,5,15),DATE(2024,11,15),1,0)</t>
  </si>
  <si>
    <t xml:space="preserve">COUPDAYS(DATE(2024,5,15),DATE(2024,11,15),1,0)</t>
  </si>
  <si>
    <t xml:space="preserve">COUPDAYSNC(DATE(2024,5,15),DATE(2024,11,15),1,0)</t>
  </si>
  <si>
    <t xml:space="preserve">COUPPCD(DATE(2024,5,15),DATE(2024,11,15),1,1)</t>
  </si>
  <si>
    <t xml:space="preserve">COUPNCD(DATE(2024,5,15),DATE(2024,11,15),1,1)</t>
  </si>
  <si>
    <t xml:space="preserve">COUPNUM(DATE(2024,5,15),DATE(2024,11,15),1,1)</t>
  </si>
  <si>
    <t xml:space="preserve">COUPDAYBS(DATE(2024,5,15),DATE(2024,11,15),1,1)</t>
  </si>
  <si>
    <t xml:space="preserve">COUPDAYS(DATE(2024,5,15),DATE(2024,11,15),1,1)</t>
  </si>
  <si>
    <t xml:space="preserve">COUPDAYSNC(DATE(2024,5,15),DATE(2024,11,15),1,1)</t>
  </si>
  <si>
    <t xml:space="preserve">COUPPCD(DATE(2024,5,15),DATE(2024,11,15),1,2)</t>
  </si>
  <si>
    <t xml:space="preserve">COUPNCD(DATE(2024,5,15),DATE(2024,11,15),1,2)</t>
  </si>
  <si>
    <t xml:space="preserve">COUPNUM(DATE(2024,5,15),DATE(2024,11,15),1,2)</t>
  </si>
  <si>
    <t xml:space="preserve">COUPDAYBS(DATE(2024,5,15),DATE(2024,11,15),1,2)</t>
  </si>
  <si>
    <t xml:space="preserve">COUPDAYS(DATE(2024,5,15),DATE(2024,11,15),1,2)</t>
  </si>
  <si>
    <t xml:space="preserve">COUPDAYSNC(DATE(2024,5,15),DATE(2024,11,15),1,2)</t>
  </si>
  <si>
    <t xml:space="preserve">COUPPCD(DATE(2024,5,15),DATE(2024,11,15),1,3)</t>
  </si>
  <si>
    <t xml:space="preserve">COUPNCD(DATE(2024,5,15),DATE(2024,11,15),1,3)</t>
  </si>
  <si>
    <t xml:space="preserve">COUPNUM(DATE(2024,5,15),DATE(2024,11,15),1,3)</t>
  </si>
  <si>
    <t xml:space="preserve">COUPDAYBS(DATE(2024,5,15),DATE(2024,11,15),1,3)</t>
  </si>
  <si>
    <t xml:space="preserve">COUPDAYS(DATE(2024,5,15),DATE(2024,11,15),1,3)</t>
  </si>
  <si>
    <t xml:space="preserve">COUPDAYSNC(DATE(2024,5,15),DATE(2024,11,15),1,3)</t>
  </si>
  <si>
    <t xml:space="preserve">COUPPCD(DATE(2024,5,15),DATE(2024,11,15),1,4)</t>
  </si>
  <si>
    <t xml:space="preserve">COUPNCD(DATE(2024,5,15),DATE(2024,11,15),1,4)</t>
  </si>
  <si>
    <t xml:space="preserve">COUPNUM(DATE(2024,5,15),DATE(2024,11,15),1,4)</t>
  </si>
  <si>
    <t xml:space="preserve">COUPDAYBS(DATE(2024,5,15),DATE(2024,11,15),1,4)</t>
  </si>
  <si>
    <t xml:space="preserve">COUPDAYS(DATE(2024,5,15),DATE(2024,11,15),1,4)</t>
  </si>
  <si>
    <t xml:space="preserve">COUPDAYSNC(DATE(2024,5,15),DATE(2024,11,15),1,4)</t>
  </si>
  <si>
    <t xml:space="preserve">COUPPCD(DATE(2024,5,15),DATE(2024,11,15),2,0)</t>
  </si>
  <si>
    <t xml:space="preserve">COUPNCD(DATE(2024,5,15),DATE(2024,11,15),2,0)</t>
  </si>
  <si>
    <t xml:space="preserve">COUPNUM(DATE(2024,5,15),DATE(2024,11,15),2,0)</t>
  </si>
  <si>
    <t xml:space="preserve">COUPDAYBS(DATE(2024,5,15),DATE(2024,11,15),2,0)</t>
  </si>
  <si>
    <t xml:space="preserve">COUPDAYS(DATE(2024,5,15),DATE(2024,11,15),2,0)</t>
  </si>
  <si>
    <t xml:space="preserve">COUPDAYSNC(DATE(2024,5,15),DATE(2024,11,15),2,0)</t>
  </si>
  <si>
    <t xml:space="preserve">COUPPCD(DATE(2024,5,15),DATE(2024,11,15),2,1)</t>
  </si>
  <si>
    <t xml:space="preserve">COUPNCD(DATE(2024,5,15),DATE(2024,11,15),2,1)</t>
  </si>
  <si>
    <t xml:space="preserve">COUPNUM(DATE(2024,5,15),DATE(2024,11,15),2,1)</t>
  </si>
  <si>
    <t xml:space="preserve">COUPDAYBS(DATE(2024,5,15),DATE(2024,11,15),2,1)</t>
  </si>
  <si>
    <t xml:space="preserve">COUPDAYS(DATE(2024,5,15),DATE(2024,11,15),2,1)</t>
  </si>
  <si>
    <t xml:space="preserve">COUPDAYSNC(DATE(2024,5,15),DATE(2024,11,15),2,1)</t>
  </si>
  <si>
    <t xml:space="preserve">COUPPCD(DATE(2024,5,15),DATE(2024,11,15),2,2)</t>
  </si>
  <si>
    <t xml:space="preserve">COUPNCD(DATE(2024,5,15),DATE(2024,11,15),2,2)</t>
  </si>
  <si>
    <t xml:space="preserve">COUPNUM(DATE(2024,5,15),DATE(2024,11,15),2,2)</t>
  </si>
  <si>
    <t xml:space="preserve">COUPDAYBS(DATE(2024,5,15),DATE(2024,11,15),2,2)</t>
  </si>
  <si>
    <t xml:space="preserve">COUPDAYS(DATE(2024,5,15),DATE(2024,11,15),2,2)</t>
  </si>
  <si>
    <t xml:space="preserve">COUPDAYSNC(DATE(2024,5,15),DATE(2024,11,15),2,2)</t>
  </si>
  <si>
    <t xml:space="preserve">COUPPCD(DATE(2024,5,15),DATE(2024,11,15),2,3)</t>
  </si>
  <si>
    <t xml:space="preserve">COUPNCD(DATE(2024,5,15),DATE(2024,11,15),2,3)</t>
  </si>
  <si>
    <t xml:space="preserve">COUPNUM(DATE(2024,5,15),DATE(2024,11,15),2,3)</t>
  </si>
  <si>
    <t xml:space="preserve">COUPDAYBS(DATE(2024,5,15),DATE(2024,11,15),2,3)</t>
  </si>
  <si>
    <t xml:space="preserve">COUPDAYS(DATE(2024,5,15),DATE(2024,11,15),2,3)</t>
  </si>
  <si>
    <t xml:space="preserve">COUPDAYSNC(DATE(2024,5,15),DATE(2024,11,15),2,3)</t>
  </si>
  <si>
    <t xml:space="preserve">COUPPCD(DATE(2024,5,15),DATE(2024,11,15),2,4)</t>
  </si>
  <si>
    <t xml:space="preserve">COUPNCD(DATE(2024,5,15),DATE(2024,11,15),2,4)</t>
  </si>
  <si>
    <t xml:space="preserve">COUPNUM(DATE(2024,5,15),DATE(2024,11,15),2,4)</t>
  </si>
  <si>
    <t xml:space="preserve">COUPDAYBS(DATE(2024,5,15),DATE(2024,11,15),2,4)</t>
  </si>
  <si>
    <t xml:space="preserve">COUPDAYS(DATE(2024,5,15),DATE(2024,11,15),2,4)</t>
  </si>
  <si>
    <t xml:space="preserve">COUPDAYSNC(DATE(2024,5,15),DATE(2024,11,15),2,4)</t>
  </si>
  <si>
    <t xml:space="preserve">COUPPCD(DATE(2024,5,15),DATE(2024,11,15),4,0)</t>
  </si>
  <si>
    <t xml:space="preserve">COUPNCD(DATE(2024,5,15),DATE(2024,11,15),4,0)</t>
  </si>
  <si>
    <t xml:space="preserve">COUPNUM(DATE(2024,5,15),DATE(2024,11,15),4,0)</t>
  </si>
  <si>
    <t xml:space="preserve">COUPDAYBS(DATE(2024,5,15),DATE(2024,11,15),4,0)</t>
  </si>
  <si>
    <t xml:space="preserve">COUPDAYS(DATE(2024,5,15),DATE(2024,11,15),4,0)</t>
  </si>
  <si>
    <t xml:space="preserve">COUPDAYSNC(DATE(2024,5,15),DATE(2024,11,15),4,0)</t>
  </si>
  <si>
    <t xml:space="preserve">COUPPCD(DATE(2024,5,15),DATE(2024,11,15),4,1)</t>
  </si>
  <si>
    <t xml:space="preserve">COUPNCD(DATE(2024,5,15),DATE(2024,11,15),4,1)</t>
  </si>
  <si>
    <t xml:space="preserve">COUPNUM(DATE(2024,5,15),DATE(2024,11,15),4,1)</t>
  </si>
  <si>
    <t xml:space="preserve">COUPDAYBS(DATE(2024,5,15),DATE(2024,11,15),4,1)</t>
  </si>
  <si>
    <t xml:space="preserve">COUPDAYS(DATE(2024,5,15),DATE(2024,11,15),4,1)</t>
  </si>
  <si>
    <t xml:space="preserve">COUPDAYSNC(DATE(2024,5,15),DATE(2024,11,15),4,1)</t>
  </si>
  <si>
    <t xml:space="preserve">COUPPCD(DATE(2024,5,15),DATE(2024,11,15),4,2)</t>
  </si>
  <si>
    <t xml:space="preserve">COUPNCD(DATE(2024,5,15),DATE(2024,11,15),4,2)</t>
  </si>
  <si>
    <t xml:space="preserve">COUPNUM(DATE(2024,5,15),DATE(2024,11,15),4,2)</t>
  </si>
  <si>
    <t xml:space="preserve">COUPDAYBS(DATE(2024,5,15),DATE(2024,11,15),4,2)</t>
  </si>
  <si>
    <t xml:space="preserve">COUPDAYS(DATE(2024,5,15),DATE(2024,11,15),4,2)</t>
  </si>
  <si>
    <t xml:space="preserve">COUPDAYSNC(DATE(2024,5,15),DATE(2024,11,15),4,2)</t>
  </si>
  <si>
    <t xml:space="preserve">COUPPCD(DATE(2024,5,15),DATE(2024,11,15),4,3)</t>
  </si>
  <si>
    <t xml:space="preserve">COUPNCD(DATE(2024,5,15),DATE(2024,11,15),4,3)</t>
  </si>
  <si>
    <t xml:space="preserve">COUPNUM(DATE(2024,5,15),DATE(2024,11,15),4,3)</t>
  </si>
  <si>
    <t xml:space="preserve">COUPDAYBS(DATE(2024,5,15),DATE(2024,11,15),4,3)</t>
  </si>
  <si>
    <t xml:space="preserve">COUPDAYS(DATE(2024,5,15),DATE(2024,11,15),4,3)</t>
  </si>
  <si>
    <t xml:space="preserve">COUPDAYSNC(DATE(2024,5,15),DATE(2024,11,15),4,3)</t>
  </si>
  <si>
    <t xml:space="preserve">COUPPCD(DATE(2024,5,15),DATE(2024,11,15),4,4)</t>
  </si>
  <si>
    <t xml:space="preserve">COUPNCD(DATE(2024,5,15),DATE(2024,11,15),4,4)</t>
  </si>
  <si>
    <t xml:space="preserve">COUPNUM(DATE(2024,5,15),DATE(2024,11,15),4,4)</t>
  </si>
  <si>
    <t xml:space="preserve">COUPDAYBS(DATE(2024,5,15),DATE(2024,11,15),4,4)</t>
  </si>
  <si>
    <t xml:space="preserve">COUPDAYS(DATE(2024,5,15),DATE(2024,11,15),4,4)</t>
  </si>
  <si>
    <t xml:space="preserve">COUPDAYSNC(DATE(2024,5,15),DATE(2024,11,15),4,4)</t>
  </si>
  <si>
    <t xml:space="preserve">COUPNUM(DATE(2024,5,15),DATE(2024,11,15),2)</t>
  </si>
  <si>
    <t xml:space="preserve">COUPDAYS(DATE(2024,5,15),DATE(2024,11,15),2)</t>
  </si>
  <si>
    <t xml:space="preserve">COUPPCD(DATE(2024,2,15),DATE(2024,2,29),1,0)</t>
  </si>
  <si>
    <t xml:space="preserve">COUPNCD(DATE(2024,2,15),DATE(2024,2,29),1,0)</t>
  </si>
  <si>
    <t xml:space="preserve">COUPNUM(DATE(2024,2,15),DATE(2024,2,29),1,0)</t>
  </si>
  <si>
    <t xml:space="preserve">COUPDAYBS(DATE(2024,2,15),DATE(2024,2,29),1,0)</t>
  </si>
  <si>
    <t xml:space="preserve">COUPDAYS(DATE(2024,2,15),DATE(2024,2,29),1,0)</t>
  </si>
  <si>
    <t xml:space="preserve">COUPDAYSNC(DATE(2024,2,15),DATE(2024,2,29),1,0)</t>
  </si>
  <si>
    <t xml:space="preserve">COUPPCD(DATE(2024,2,15),DATE(2024,2,29),1,1)</t>
  </si>
  <si>
    <t xml:space="preserve">COUPNCD(DATE(2024,2,15),DATE(2024,2,29),1,1)</t>
  </si>
  <si>
    <t xml:space="preserve">COUPNUM(DATE(2024,2,15),DATE(2024,2,29),1,1)</t>
  </si>
  <si>
    <t xml:space="preserve">COUPDAYBS(DATE(2024,2,15),DATE(2024,2,29),1,1)</t>
  </si>
  <si>
    <t xml:space="preserve">COUPDAYS(DATE(2024,2,15),DATE(2024,2,29),1,1)</t>
  </si>
  <si>
    <t xml:space="preserve">COUPDAYSNC(DATE(2024,2,15),DATE(2024,2,29),1,1)</t>
  </si>
  <si>
    <t xml:space="preserve">COUPPCD(DATE(2024,2,15),DATE(2024,2,29),1,2)</t>
  </si>
  <si>
    <t xml:space="preserve">COUPNCD(DATE(2024,2,15),DATE(2024,2,29),1,2)</t>
  </si>
  <si>
    <t xml:space="preserve">COUPNUM(DATE(2024,2,15),DATE(2024,2,29),1,2)</t>
  </si>
  <si>
    <t xml:space="preserve">COUPDAYBS(DATE(2024,2,15),DATE(2024,2,29),1,2)</t>
  </si>
  <si>
    <t xml:space="preserve">COUPDAYS(DATE(2024,2,15),DATE(2024,2,29),1,2)</t>
  </si>
  <si>
    <t xml:space="preserve">COUPDAYSNC(DATE(2024,2,15),DATE(2024,2,29),1,2)</t>
  </si>
  <si>
    <t xml:space="preserve">COUPPCD(DATE(2024,2,15),DATE(2024,2,29),1,3)</t>
  </si>
  <si>
    <t xml:space="preserve">COUPNCD(DATE(2024,2,15),DATE(2024,2,29),1,3)</t>
  </si>
  <si>
    <t xml:space="preserve">COUPNUM(DATE(2024,2,15),DATE(2024,2,29),1,3)</t>
  </si>
  <si>
    <t xml:space="preserve">COUPDAYBS(DATE(2024,2,15),DATE(2024,2,29),1,3)</t>
  </si>
  <si>
    <t xml:space="preserve">COUPDAYS(DATE(2024,2,15),DATE(2024,2,29),1,3)</t>
  </si>
  <si>
    <t xml:space="preserve">COUPDAYSNC(DATE(2024,2,15),DATE(2024,2,29),1,3)</t>
  </si>
  <si>
    <t xml:space="preserve">COUPPCD(DATE(2024,2,15),DATE(2024,2,29),1,4)</t>
  </si>
  <si>
    <t xml:space="preserve">COUPNCD(DATE(2024,2,15),DATE(2024,2,29),1,4)</t>
  </si>
  <si>
    <t xml:space="preserve">COUPNUM(DATE(2024,2,15),DATE(2024,2,29),1,4)</t>
  </si>
  <si>
    <t xml:space="preserve">COUPDAYBS(DATE(2024,2,15),DATE(2024,2,29),1,4)</t>
  </si>
  <si>
    <t xml:space="preserve">COUPDAYS(DATE(2024,2,15),DATE(2024,2,29),1,4)</t>
  </si>
  <si>
    <t xml:space="preserve">COUPDAYSNC(DATE(2024,2,15),DATE(2024,2,29),1,4)</t>
  </si>
  <si>
    <t xml:space="preserve">COUPPCD(DATE(2024,2,15),DATE(2024,2,29),2,0)</t>
  </si>
  <si>
    <t xml:space="preserve">COUPNCD(DATE(2024,2,15),DATE(2024,2,29),2,0)</t>
  </si>
  <si>
    <t xml:space="preserve">COUPNUM(DATE(2024,2,15),DATE(2024,2,29),2,0)</t>
  </si>
  <si>
    <t xml:space="preserve">COUPDAYBS(DATE(2024,2,15),DATE(2024,2,29),2,0)</t>
  </si>
  <si>
    <t xml:space="preserve">COUPDAYS(DATE(2024,2,15),DATE(2024,2,29),2,0)</t>
  </si>
  <si>
    <t xml:space="preserve">COUPDAYSNC(DATE(2024,2,15),DATE(2024,2,29),2,0)</t>
  </si>
  <si>
    <t xml:space="preserve">COUPPCD(DATE(2024,2,15),DATE(2024,2,29),2,1)</t>
  </si>
  <si>
    <t xml:space="preserve">COUPNCD(DATE(2024,2,15),DATE(2024,2,29),2,1)</t>
  </si>
  <si>
    <t xml:space="preserve">COUPNUM(DATE(2024,2,15),DATE(2024,2,29),2,1)</t>
  </si>
  <si>
    <t xml:space="preserve">COUPDAYBS(DATE(2024,2,15),DATE(2024,2,29),2,1)</t>
  </si>
  <si>
    <t xml:space="preserve">COUPDAYS(DATE(2024,2,15),DATE(2024,2,29),2,1)</t>
  </si>
  <si>
    <t xml:space="preserve">COUPDAYSNC(DATE(2024,2,15),DATE(2024,2,29),2,1)</t>
  </si>
  <si>
    <t xml:space="preserve">COUPPCD(DATE(2024,2,15),DATE(2024,2,29),2,2)</t>
  </si>
  <si>
    <t xml:space="preserve">COUPNCD(DATE(2024,2,15),DATE(2024,2,29),2,2)</t>
  </si>
  <si>
    <t xml:space="preserve">COUPNUM(DATE(2024,2,15),DATE(2024,2,29),2,2)</t>
  </si>
  <si>
    <t xml:space="preserve">COUPDAYBS(DATE(2024,2,15),DATE(2024,2,29),2,2)</t>
  </si>
  <si>
    <t xml:space="preserve">COUPDAYS(DATE(2024,2,15),DATE(2024,2,29),2,2)</t>
  </si>
  <si>
    <t xml:space="preserve">COUPDAYSNC(DATE(2024,2,15),DATE(2024,2,29),2,2)</t>
  </si>
  <si>
    <t xml:space="preserve">COUPPCD(DATE(2024,2,15),DATE(2024,2,29),2,3)</t>
  </si>
  <si>
    <t xml:space="preserve">COUPNCD(DATE(2024,2,15),DATE(2024,2,29),2,3)</t>
  </si>
  <si>
    <t xml:space="preserve">COUPNUM(DATE(2024,2,15),DATE(2024,2,29),2,3)</t>
  </si>
  <si>
    <t xml:space="preserve">COUPDAYBS(DATE(2024,2,15),DATE(2024,2,29),2,3)</t>
  </si>
  <si>
    <t xml:space="preserve">COUPDAYS(DATE(2024,2,15),DATE(2024,2,29),2,3)</t>
  </si>
  <si>
    <t xml:space="preserve">COUPDAYSNC(DATE(2024,2,15),DATE(2024,2,29),2,3)</t>
  </si>
  <si>
    <t xml:space="preserve">COUPPCD(DATE(2024,2,15),DATE(2024,2,29),2,4)</t>
  </si>
  <si>
    <t xml:space="preserve">COUPNCD(DATE(2024,2,15),DATE(2024,2,29),2,4)</t>
  </si>
  <si>
    <t xml:space="preserve">COUPNUM(DATE(2024,2,15),DATE(2024,2,29),2,4)</t>
  </si>
  <si>
    <t xml:space="preserve">COUPDAYBS(DATE(2024,2,15),DATE(2024,2,29),2,4)</t>
  </si>
  <si>
    <t xml:space="preserve">COUPDAYS(DATE(2024,2,15),DATE(2024,2,29),2,4)</t>
  </si>
  <si>
    <t xml:space="preserve">COUPDAYSNC(DATE(2024,2,15),DATE(2024,2,29),2,4)</t>
  </si>
  <si>
    <t xml:space="preserve">COUPPCD(DATE(2024,2,15),DATE(2024,2,29),4,0)</t>
  </si>
  <si>
    <t xml:space="preserve">COUPNCD(DATE(2024,2,15),DATE(2024,2,29),4,0)</t>
  </si>
  <si>
    <t xml:space="preserve">COUPNUM(DATE(2024,2,15),DATE(2024,2,29),4,0)</t>
  </si>
  <si>
    <t xml:space="preserve">COUPDAYBS(DATE(2024,2,15),DATE(2024,2,29),4,0)</t>
  </si>
  <si>
    <t xml:space="preserve">COUPDAYS(DATE(2024,2,15),DATE(2024,2,29),4,0)</t>
  </si>
  <si>
    <t xml:space="preserve">COUPDAYSNC(DATE(2024,2,15),DATE(2024,2,29),4,0)</t>
  </si>
  <si>
    <t xml:space="preserve">COUPPCD(DATE(2024,2,15),DATE(2024,2,29),4,1)</t>
  </si>
  <si>
    <t xml:space="preserve">COUPNCD(DATE(2024,2,15),DATE(2024,2,29),4,1)</t>
  </si>
  <si>
    <t xml:space="preserve">COUPNUM(DATE(2024,2,15),DATE(2024,2,29),4,1)</t>
  </si>
  <si>
    <t xml:space="preserve">COUPDAYBS(DATE(2024,2,15),DATE(2024,2,29),4,1)</t>
  </si>
  <si>
    <t xml:space="preserve">COUPDAYS(DATE(2024,2,15),DATE(2024,2,29),4,1)</t>
  </si>
  <si>
    <t xml:space="preserve">COUPDAYSNC(DATE(2024,2,15),DATE(2024,2,29),4,1)</t>
  </si>
  <si>
    <t xml:space="preserve">COUPPCD(DATE(2024,2,15),DATE(2024,2,29),4,2)</t>
  </si>
  <si>
    <t xml:space="preserve">COUPNCD(DATE(2024,2,15),DATE(2024,2,29),4,2)</t>
  </si>
  <si>
    <t xml:space="preserve">COUPNUM(DATE(2024,2,15),DATE(2024,2,29),4,2)</t>
  </si>
  <si>
    <t xml:space="preserve">COUPDAYBS(DATE(2024,2,15),DATE(2024,2,29),4,2)</t>
  </si>
  <si>
    <t xml:space="preserve">COUPDAYS(DATE(2024,2,15),DATE(2024,2,29),4,2)</t>
  </si>
  <si>
    <t xml:space="preserve">COUPDAYSNC(DATE(2024,2,15),DATE(2024,2,29),4,2)</t>
  </si>
  <si>
    <t xml:space="preserve">COUPPCD(DATE(2024,2,15),DATE(2024,2,29),4,3)</t>
  </si>
  <si>
    <t xml:space="preserve">COUPNCD(DATE(2024,2,15),DATE(2024,2,29),4,3)</t>
  </si>
  <si>
    <t xml:space="preserve">COUPNUM(DATE(2024,2,15),DATE(2024,2,29),4,3)</t>
  </si>
  <si>
    <t xml:space="preserve">COUPDAYBS(DATE(2024,2,15),DATE(2024,2,29),4,3)</t>
  </si>
  <si>
    <t xml:space="preserve">COUPDAYS(DATE(2024,2,15),DATE(2024,2,29),4,3)</t>
  </si>
  <si>
    <t xml:space="preserve">COUPDAYSNC(DATE(2024,2,15),DATE(2024,2,29),4,3)</t>
  </si>
  <si>
    <t xml:space="preserve">COUPPCD(DATE(2024,2,15),DATE(2024,2,29),4,4)</t>
  </si>
  <si>
    <t xml:space="preserve">COUPNCD(DATE(2024,2,15),DATE(2024,2,29),4,4)</t>
  </si>
  <si>
    <t xml:space="preserve">COUPNUM(DATE(2024,2,15),DATE(2024,2,29),4,4)</t>
  </si>
  <si>
    <t xml:space="preserve">COUPDAYBS(DATE(2024,2,15),DATE(2024,2,29),4,4)</t>
  </si>
  <si>
    <t xml:space="preserve">COUPDAYS(DATE(2024,2,15),DATE(2024,2,29),4,4)</t>
  </si>
  <si>
    <t xml:space="preserve">COUPDAYSNC(DATE(2024,2,15),DATE(2024,2,29),4,4)</t>
  </si>
  <si>
    <t xml:space="preserve">COUPNUM(DATE(2024,2,15),DATE(2024,2,29),2)</t>
  </si>
  <si>
    <t xml:space="preserve">COUPDAYS(DATE(2024,2,15),DATE(2024,2,29),2)</t>
  </si>
  <si>
    <t xml:space="preserve">COUPPCD(DATE(2025,1,31),DATE(2030,1,31),1,0)</t>
  </si>
  <si>
    <t xml:space="preserve">COUPNCD(DATE(2025,1,31),DATE(2030,1,31),1,0)</t>
  </si>
  <si>
    <t xml:space="preserve">COUPNUM(DATE(2025,1,31),DATE(2030,1,31),1,0)</t>
  </si>
  <si>
    <t xml:space="preserve">COUPDAYBS(DATE(2025,1,31),DATE(2030,1,31),1,0)</t>
  </si>
  <si>
    <t xml:space="preserve">COUPDAYS(DATE(2025,1,31),DATE(2030,1,31),1,0)</t>
  </si>
  <si>
    <t xml:space="preserve">COUPDAYSNC(DATE(2025,1,31),DATE(2030,1,31),1,0)</t>
  </si>
  <si>
    <t xml:space="preserve">COUPPCD(DATE(2025,1,31),DATE(2030,1,31),1,1)</t>
  </si>
  <si>
    <t xml:space="preserve">COUPNCD(DATE(2025,1,31),DATE(2030,1,31),1,1)</t>
  </si>
  <si>
    <t xml:space="preserve">COUPNUM(DATE(2025,1,31),DATE(2030,1,31),1,1)</t>
  </si>
  <si>
    <t xml:space="preserve">COUPDAYBS(DATE(2025,1,31),DATE(2030,1,31),1,1)</t>
  </si>
  <si>
    <t xml:space="preserve">COUPDAYS(DATE(2025,1,31),DATE(2030,1,31),1,1)</t>
  </si>
  <si>
    <t xml:space="preserve">COUPDAYSNC(DATE(2025,1,31),DATE(2030,1,31),1,1)</t>
  </si>
  <si>
    <t xml:space="preserve">COUPPCD(DATE(2025,1,31),DATE(2030,1,31),1,2)</t>
  </si>
  <si>
    <t xml:space="preserve">COUPNCD(DATE(2025,1,31),DATE(2030,1,31),1,2)</t>
  </si>
  <si>
    <t xml:space="preserve">COUPNUM(DATE(2025,1,31),DATE(2030,1,31),1,2)</t>
  </si>
  <si>
    <t xml:space="preserve">COUPDAYBS(DATE(2025,1,31),DATE(2030,1,31),1,2)</t>
  </si>
  <si>
    <t xml:space="preserve">COUPDAYS(DATE(2025,1,31),DATE(2030,1,31),1,2)</t>
  </si>
  <si>
    <t xml:space="preserve">COUPDAYSNC(DATE(2025,1,31),DATE(2030,1,31),1,2)</t>
  </si>
  <si>
    <t xml:space="preserve">COUPPCD(DATE(2025,1,31),DATE(2030,1,31),1,3)</t>
  </si>
  <si>
    <t xml:space="preserve">COUPNCD(DATE(2025,1,31),DATE(2030,1,31),1,3)</t>
  </si>
  <si>
    <t xml:space="preserve">COUPNUM(DATE(2025,1,31),DATE(2030,1,31),1,3)</t>
  </si>
  <si>
    <t xml:space="preserve">COUPDAYBS(DATE(2025,1,31),DATE(2030,1,31),1,3)</t>
  </si>
  <si>
    <t xml:space="preserve">COUPDAYS(DATE(2025,1,31),DATE(2030,1,31),1,3)</t>
  </si>
  <si>
    <t xml:space="preserve">COUPDAYSNC(DATE(2025,1,31),DATE(2030,1,31),1,3)</t>
  </si>
  <si>
    <t xml:space="preserve">COUPPCD(DATE(2025,1,31),DATE(2030,1,31),1,4)</t>
  </si>
  <si>
    <t xml:space="preserve">COUPNCD(DATE(2025,1,31),DATE(2030,1,31),1,4)</t>
  </si>
  <si>
    <t xml:space="preserve">COUPNUM(DATE(2025,1,31),DATE(2030,1,31),1,4)</t>
  </si>
  <si>
    <t xml:space="preserve">COUPDAYBS(DATE(2025,1,31),DATE(2030,1,31),1,4)</t>
  </si>
  <si>
    <t xml:space="preserve">COUPDAYS(DATE(2025,1,31),DATE(2030,1,31),1,4)</t>
  </si>
  <si>
    <t xml:space="preserve">COUPDAYSNC(DATE(2025,1,31),DATE(2030,1,31),1,4)</t>
  </si>
  <si>
    <t xml:space="preserve">COUPPCD(DATE(2025,1,31),DATE(2030,1,31),2,0)</t>
  </si>
  <si>
    <t xml:space="preserve">COUPNCD(DATE(2025,1,31),DATE(2030,1,31),2,0)</t>
  </si>
  <si>
    <t xml:space="preserve">COUPNUM(DATE(2025,1,31),DATE(2030,1,31),2,0)</t>
  </si>
  <si>
    <t xml:space="preserve">COUPDAYBS(DATE(2025,1,31),DATE(2030,1,31),2,0)</t>
  </si>
  <si>
    <t xml:space="preserve">COUPDAYS(DATE(2025,1,31),DATE(2030,1,31),2,0)</t>
  </si>
  <si>
    <t xml:space="preserve">COUPDAYSNC(DATE(2025,1,31),DATE(2030,1,31),2,0)</t>
  </si>
  <si>
    <t xml:space="preserve">COUPPCD(DATE(2025,1,31),DATE(2030,1,31),2,1)</t>
  </si>
  <si>
    <t xml:space="preserve">COUPNCD(DATE(2025,1,31),DATE(2030,1,31),2,1)</t>
  </si>
  <si>
    <t xml:space="preserve">COUPNUM(DATE(2025,1,31),DATE(2030,1,31),2,1)</t>
  </si>
  <si>
    <t xml:space="preserve">COUPDAYBS(DATE(2025,1,31),DATE(2030,1,31),2,1)</t>
  </si>
  <si>
    <t xml:space="preserve">COUPDAYS(DATE(2025,1,31),DATE(2030,1,31),2,1)</t>
  </si>
  <si>
    <t xml:space="preserve">COUPDAYSNC(DATE(2025,1,31),DATE(2030,1,31),2,1)</t>
  </si>
  <si>
    <t xml:space="preserve">COUPPCD(DATE(2025,1,31),DATE(2030,1,31),2,2)</t>
  </si>
  <si>
    <t xml:space="preserve">COUPNCD(DATE(2025,1,31),DATE(2030,1,31),2,2)</t>
  </si>
  <si>
    <t xml:space="preserve">COUPNUM(DATE(2025,1,31),DATE(2030,1,31),2,2)</t>
  </si>
  <si>
    <t xml:space="preserve">COUPDAYBS(DATE(2025,1,31),DATE(2030,1,31),2,2)</t>
  </si>
  <si>
    <t xml:space="preserve">COUPDAYS(DATE(2025,1,31),DATE(2030,1,31),2,2)</t>
  </si>
  <si>
    <t xml:space="preserve">COUPDAYSNC(DATE(2025,1,31),DATE(2030,1,31),2,2)</t>
  </si>
  <si>
    <t xml:space="preserve">COUPPCD(DATE(2025,1,31),DATE(2030,1,31),2,3)</t>
  </si>
  <si>
    <t xml:space="preserve">COUPNCD(DATE(2025,1,31),DATE(2030,1,31),2,3)</t>
  </si>
  <si>
    <t xml:space="preserve">COUPNUM(DATE(2025,1,31),DATE(2030,1,31),2,3)</t>
  </si>
  <si>
    <t xml:space="preserve">COUPDAYBS(DATE(2025,1,31),DATE(2030,1,31),2,3)</t>
  </si>
  <si>
    <t xml:space="preserve">COUPDAYS(DATE(2025,1,31),DATE(2030,1,31),2,3)</t>
  </si>
  <si>
    <t xml:space="preserve">COUPDAYSNC(DATE(2025,1,31),DATE(2030,1,31),2,3)</t>
  </si>
  <si>
    <t xml:space="preserve">COUPPCD(DATE(2025,1,31),DATE(2030,1,31),2,4)</t>
  </si>
  <si>
    <t xml:space="preserve">COUPNCD(DATE(2025,1,31),DATE(2030,1,31),2,4)</t>
  </si>
  <si>
    <t xml:space="preserve">COUPNUM(DATE(2025,1,31),DATE(2030,1,31),2,4)</t>
  </si>
  <si>
    <t xml:space="preserve">COUPDAYBS(DATE(2025,1,31),DATE(2030,1,31),2,4)</t>
  </si>
  <si>
    <t xml:space="preserve">COUPDAYS(DATE(2025,1,31),DATE(2030,1,31),2,4)</t>
  </si>
  <si>
    <t xml:space="preserve">COUPDAYSNC(DATE(2025,1,31),DATE(2030,1,31),2,4)</t>
  </si>
  <si>
    <t xml:space="preserve">COUPPCD(DATE(2025,1,31),DATE(2030,1,31),4,0)</t>
  </si>
  <si>
    <t xml:space="preserve">COUPNCD(DATE(2025,1,31),DATE(2030,1,31),4,0)</t>
  </si>
  <si>
    <t xml:space="preserve">COUPNUM(DATE(2025,1,31),DATE(2030,1,31),4,0)</t>
  </si>
  <si>
    <t xml:space="preserve">COUPDAYBS(DATE(2025,1,31),DATE(2030,1,31),4,0)</t>
  </si>
  <si>
    <t xml:space="preserve">COUPDAYS(DATE(2025,1,31),DATE(2030,1,31),4,0)</t>
  </si>
  <si>
    <t xml:space="preserve">COUPDAYSNC(DATE(2025,1,31),DATE(2030,1,31),4,0)</t>
  </si>
  <si>
    <t xml:space="preserve">COUPPCD(DATE(2025,1,31),DATE(2030,1,31),4,1)</t>
  </si>
  <si>
    <t xml:space="preserve">COUPNCD(DATE(2025,1,31),DATE(2030,1,31),4,1)</t>
  </si>
  <si>
    <t xml:space="preserve">COUPNUM(DATE(2025,1,31),DATE(2030,1,31),4,1)</t>
  </si>
  <si>
    <t xml:space="preserve">COUPDAYBS(DATE(2025,1,31),DATE(2030,1,31),4,1)</t>
  </si>
  <si>
    <t xml:space="preserve">COUPDAYS(DATE(2025,1,31),DATE(2030,1,31),4,1)</t>
  </si>
  <si>
    <t xml:space="preserve">COUPDAYSNC(DATE(2025,1,31),DATE(2030,1,31),4,1)</t>
  </si>
  <si>
    <t xml:space="preserve">COUPPCD(DATE(2025,1,31),DATE(2030,1,31),4,2)</t>
  </si>
  <si>
    <t xml:space="preserve">COUPNCD(DATE(2025,1,31),DATE(2030,1,31),4,2)</t>
  </si>
  <si>
    <t xml:space="preserve">COUPNUM(DATE(2025,1,31),DATE(2030,1,31),4,2)</t>
  </si>
  <si>
    <t xml:space="preserve">COUPDAYBS(DATE(2025,1,31),DATE(2030,1,31),4,2)</t>
  </si>
  <si>
    <t xml:space="preserve">COUPDAYS(DATE(2025,1,31),DATE(2030,1,31),4,2)</t>
  </si>
  <si>
    <t xml:space="preserve">COUPDAYSNC(DATE(2025,1,31),DATE(2030,1,31),4,2)</t>
  </si>
  <si>
    <t xml:space="preserve">COUPPCD(DATE(2025,1,31),DATE(2030,1,31),4,3)</t>
  </si>
  <si>
    <t xml:space="preserve">COUPNCD(DATE(2025,1,31),DATE(2030,1,31),4,3)</t>
  </si>
  <si>
    <t xml:space="preserve">COUPNUM(DATE(2025,1,31),DATE(2030,1,31),4,3)</t>
  </si>
  <si>
    <t xml:space="preserve">COUPDAYBS(DATE(2025,1,31),DATE(2030,1,31),4,3)</t>
  </si>
  <si>
    <t xml:space="preserve">COUPDAYS(DATE(2025,1,31),DATE(2030,1,31),4,3)</t>
  </si>
  <si>
    <t xml:space="preserve">COUPDAYSNC(DATE(2025,1,31),DATE(2030,1,31),4,3)</t>
  </si>
  <si>
    <t xml:space="preserve">COUPPCD(DATE(2025,1,31),DATE(2030,1,31),4,4)</t>
  </si>
  <si>
    <t xml:space="preserve">COUPNCD(DATE(2025,1,31),DATE(2030,1,31),4,4)</t>
  </si>
  <si>
    <t xml:space="preserve">COUPNUM(DATE(2025,1,31),DATE(2030,1,31),4,4)</t>
  </si>
  <si>
    <t xml:space="preserve">COUPDAYBS(DATE(2025,1,31),DATE(2030,1,31),4,4)</t>
  </si>
  <si>
    <t xml:space="preserve">COUPDAYS(DATE(2025,1,31),DATE(2030,1,31),4,4)</t>
  </si>
  <si>
    <t xml:space="preserve">COUPDAYSNC(DATE(2025,1,31),DATE(2030,1,31),4,4)</t>
  </si>
  <si>
    <t xml:space="preserve">COUPNUM(DATE(2025,1,31),DATE(2030,1,31),2)</t>
  </si>
  <si>
    <t xml:space="preserve">COUPDAYS(DATE(2025,1,31),DATE(2030,1,31),2)</t>
  </si>
  <si>
    <t xml:space="preserve">COUPPCD(DATE(2024,7,1),DATE(2024,7,1),1,0)</t>
  </si>
  <si>
    <t xml:space="preserve">COUPNCD(DATE(2024,7,1),DATE(2024,7,1),1,0)</t>
  </si>
  <si>
    <t xml:space="preserve">COUPNUM(DATE(2024,7,1),DATE(2024,7,1),1,0)</t>
  </si>
  <si>
    <t xml:space="preserve">COUPDAYBS(DATE(2024,7,1),DATE(2024,7,1),1,0)</t>
  </si>
  <si>
    <t xml:space="preserve">COUPDAYS(DATE(2024,7,1),DATE(2024,7,1),1,0)</t>
  </si>
  <si>
    <t xml:space="preserve">COUPDAYSNC(DATE(2024,7,1),DATE(2024,7,1),1,0)</t>
  </si>
  <si>
    <t xml:space="preserve">COUPPCD(DATE(2024,7,1),DATE(2024,7,1),1,1)</t>
  </si>
  <si>
    <t xml:space="preserve">COUPNCD(DATE(2024,7,1),DATE(2024,7,1),1,1)</t>
  </si>
  <si>
    <t xml:space="preserve">COUPNUM(DATE(2024,7,1),DATE(2024,7,1),1,1)</t>
  </si>
  <si>
    <t xml:space="preserve">COUPDAYBS(DATE(2024,7,1),DATE(2024,7,1),1,1)</t>
  </si>
  <si>
    <t xml:space="preserve">COUPDAYS(DATE(2024,7,1),DATE(2024,7,1),1,1)</t>
  </si>
  <si>
    <t xml:space="preserve">COUPDAYSNC(DATE(2024,7,1),DATE(2024,7,1),1,1)</t>
  </si>
  <si>
    <t xml:space="preserve">COUPPCD(DATE(2024,7,1),DATE(2024,7,1),1,2)</t>
  </si>
  <si>
    <t xml:space="preserve">COUPNCD(DATE(2024,7,1),DATE(2024,7,1),1,2)</t>
  </si>
  <si>
    <t xml:space="preserve">COUPNUM(DATE(2024,7,1),DATE(2024,7,1),1,2)</t>
  </si>
  <si>
    <t xml:space="preserve">COUPDAYBS(DATE(2024,7,1),DATE(2024,7,1),1,2)</t>
  </si>
  <si>
    <t xml:space="preserve">COUPDAYS(DATE(2024,7,1),DATE(2024,7,1),1,2)</t>
  </si>
  <si>
    <t xml:space="preserve">COUPDAYSNC(DATE(2024,7,1),DATE(2024,7,1),1,2)</t>
  </si>
  <si>
    <t xml:space="preserve">COUPPCD(DATE(2024,7,1),DATE(2024,7,1),1,3)</t>
  </si>
  <si>
    <t xml:space="preserve">COUPNCD(DATE(2024,7,1),DATE(2024,7,1),1,3)</t>
  </si>
  <si>
    <t xml:space="preserve">COUPNUM(DATE(2024,7,1),DATE(2024,7,1),1,3)</t>
  </si>
  <si>
    <t xml:space="preserve">COUPDAYBS(DATE(2024,7,1),DATE(2024,7,1),1,3)</t>
  </si>
  <si>
    <t xml:space="preserve">COUPDAYS(DATE(2024,7,1),DATE(2024,7,1),1,3)</t>
  </si>
  <si>
    <t xml:space="preserve">COUPDAYSNC(DATE(2024,7,1),DATE(2024,7,1),1,3)</t>
  </si>
  <si>
    <t xml:space="preserve">COUPPCD(DATE(2024,7,1),DATE(2024,7,1),1,4)</t>
  </si>
  <si>
    <t xml:space="preserve">COUPNCD(DATE(2024,7,1),DATE(2024,7,1),1,4)</t>
  </si>
  <si>
    <t xml:space="preserve">COUPNUM(DATE(2024,7,1),DATE(2024,7,1),1,4)</t>
  </si>
  <si>
    <t xml:space="preserve">COUPDAYBS(DATE(2024,7,1),DATE(2024,7,1),1,4)</t>
  </si>
  <si>
    <t xml:space="preserve">COUPDAYS(DATE(2024,7,1),DATE(2024,7,1),1,4)</t>
  </si>
  <si>
    <t xml:space="preserve">COUPDAYSNC(DATE(2024,7,1),DATE(2024,7,1),1,4)</t>
  </si>
  <si>
    <t xml:space="preserve">COUPPCD(DATE(2024,7,1),DATE(2024,7,1),2,0)</t>
  </si>
  <si>
    <t xml:space="preserve">COUPNCD(DATE(2024,7,1),DATE(2024,7,1),2,0)</t>
  </si>
  <si>
    <t xml:space="preserve">COUPNUM(DATE(2024,7,1),DATE(2024,7,1),2,0)</t>
  </si>
  <si>
    <t xml:space="preserve">COUPDAYBS(DATE(2024,7,1),DATE(2024,7,1),2,0)</t>
  </si>
  <si>
    <t xml:space="preserve">COUPDAYS(DATE(2024,7,1),DATE(2024,7,1),2,0)</t>
  </si>
  <si>
    <t xml:space="preserve">COUPDAYSNC(DATE(2024,7,1),DATE(2024,7,1),2,0)</t>
  </si>
  <si>
    <t xml:space="preserve">COUPPCD(DATE(2024,7,1),DATE(2024,7,1),2,1)</t>
  </si>
  <si>
    <t xml:space="preserve">COUPNCD(DATE(2024,7,1),DATE(2024,7,1),2,1)</t>
  </si>
  <si>
    <t xml:space="preserve">COUPNUM(DATE(2024,7,1),DATE(2024,7,1),2,1)</t>
  </si>
  <si>
    <t xml:space="preserve">COUPDAYBS(DATE(2024,7,1),DATE(2024,7,1),2,1)</t>
  </si>
  <si>
    <t xml:space="preserve">COUPDAYS(DATE(2024,7,1),DATE(2024,7,1),2,1)</t>
  </si>
  <si>
    <t xml:space="preserve">COUPDAYSNC(DATE(2024,7,1),DATE(2024,7,1),2,1)</t>
  </si>
  <si>
    <t xml:space="preserve">COUPPCD(DATE(2024,7,1),DATE(2024,7,1),2,2)</t>
  </si>
  <si>
    <t xml:space="preserve">COUPNCD(DATE(2024,7,1),DATE(2024,7,1),2,2)</t>
  </si>
  <si>
    <t xml:space="preserve">COUPNUM(DATE(2024,7,1),DATE(2024,7,1),2,2)</t>
  </si>
  <si>
    <t xml:space="preserve">COUPDAYBS(DATE(2024,7,1),DATE(2024,7,1),2,2)</t>
  </si>
  <si>
    <t xml:space="preserve">COUPDAYS(DATE(2024,7,1),DATE(2024,7,1),2,2)</t>
  </si>
  <si>
    <t xml:space="preserve">COUPDAYSNC(DATE(2024,7,1),DATE(2024,7,1),2,2)</t>
  </si>
  <si>
    <t xml:space="preserve">COUPPCD(DATE(2024,7,1),DATE(2024,7,1),2,3)</t>
  </si>
  <si>
    <t xml:space="preserve">COUPNCD(DATE(2024,7,1),DATE(2024,7,1),2,3)</t>
  </si>
  <si>
    <t xml:space="preserve">COUPNUM(DATE(2024,7,1),DATE(2024,7,1),2,3)</t>
  </si>
  <si>
    <t xml:space="preserve">COUPDAYBS(DATE(2024,7,1),DATE(2024,7,1),2,3)</t>
  </si>
  <si>
    <t xml:space="preserve">COUPDAYS(DATE(2024,7,1),DATE(2024,7,1),2,3)</t>
  </si>
  <si>
    <t xml:space="preserve">COUPDAYSNC(DATE(2024,7,1),DATE(2024,7,1),2,3)</t>
  </si>
  <si>
    <t xml:space="preserve">COUPPCD(DATE(2024,7,1),DATE(2024,7,1),2,4)</t>
  </si>
  <si>
    <t xml:space="preserve">COUPNCD(DATE(2024,7,1),DATE(2024,7,1),2,4)</t>
  </si>
  <si>
    <t xml:space="preserve">COUPNUM(DATE(2024,7,1),DATE(2024,7,1),2,4)</t>
  </si>
  <si>
    <t xml:space="preserve">COUPDAYBS(DATE(2024,7,1),DATE(2024,7,1),2,4)</t>
  </si>
  <si>
    <t xml:space="preserve">COUPDAYS(DATE(2024,7,1),DATE(2024,7,1),2,4)</t>
  </si>
  <si>
    <t xml:space="preserve">COUPDAYSNC(DATE(2024,7,1),DATE(2024,7,1),2,4)</t>
  </si>
  <si>
    <t xml:space="preserve">COUPPCD(DATE(2024,7,1),DATE(2024,7,1),4,0)</t>
  </si>
  <si>
    <t xml:space="preserve">COUPNCD(DATE(2024,7,1),DATE(2024,7,1),4,0)</t>
  </si>
  <si>
    <t xml:space="preserve">COUPNUM(DATE(2024,7,1),DATE(2024,7,1),4,0)</t>
  </si>
  <si>
    <t xml:space="preserve">COUPDAYBS(DATE(2024,7,1),DATE(2024,7,1),4,0)</t>
  </si>
  <si>
    <t xml:space="preserve">COUPDAYS(DATE(2024,7,1),DATE(2024,7,1),4,0)</t>
  </si>
  <si>
    <t xml:space="preserve">COUPDAYSNC(DATE(2024,7,1),DATE(2024,7,1),4,0)</t>
  </si>
  <si>
    <t xml:space="preserve">COUPPCD(DATE(2024,7,1),DATE(2024,7,1),4,1)</t>
  </si>
  <si>
    <t xml:space="preserve">COUPNCD(DATE(2024,7,1),DATE(2024,7,1),4,1)</t>
  </si>
  <si>
    <t xml:space="preserve">COUPNUM(DATE(2024,7,1),DATE(2024,7,1),4,1)</t>
  </si>
  <si>
    <t xml:space="preserve">COUPDAYBS(DATE(2024,7,1),DATE(2024,7,1),4,1)</t>
  </si>
  <si>
    <t xml:space="preserve">COUPDAYS(DATE(2024,7,1),DATE(2024,7,1),4,1)</t>
  </si>
  <si>
    <t xml:space="preserve">COUPDAYSNC(DATE(2024,7,1),DATE(2024,7,1),4,1)</t>
  </si>
  <si>
    <t xml:space="preserve">COUPPCD(DATE(2024,7,1),DATE(2024,7,1),4,2)</t>
  </si>
  <si>
    <t xml:space="preserve">COUPNCD(DATE(2024,7,1),DATE(2024,7,1),4,2)</t>
  </si>
  <si>
    <t xml:space="preserve">COUPNUM(DATE(2024,7,1),DATE(2024,7,1),4,2)</t>
  </si>
  <si>
    <t xml:space="preserve">COUPDAYBS(DATE(2024,7,1),DATE(2024,7,1),4,2)</t>
  </si>
  <si>
    <t xml:space="preserve">COUPDAYS(DATE(2024,7,1),DATE(2024,7,1),4,2)</t>
  </si>
  <si>
    <t xml:space="preserve">COUPDAYSNC(DATE(2024,7,1),DATE(2024,7,1),4,2)</t>
  </si>
  <si>
    <t xml:space="preserve">COUPPCD(DATE(2024,7,1),DATE(2024,7,1),4,3)</t>
  </si>
  <si>
    <t xml:space="preserve">COUPNCD(DATE(2024,7,1),DATE(2024,7,1),4,3)</t>
  </si>
  <si>
    <t xml:space="preserve">COUPNUM(DATE(2024,7,1),DATE(2024,7,1),4,3)</t>
  </si>
  <si>
    <t xml:space="preserve">COUPDAYBS(DATE(2024,7,1),DATE(2024,7,1),4,3)</t>
  </si>
  <si>
    <t xml:space="preserve">COUPDAYS(DATE(2024,7,1),DATE(2024,7,1),4,3)</t>
  </si>
  <si>
    <t xml:space="preserve">COUPDAYSNC(DATE(2024,7,1),DATE(2024,7,1),4,3)</t>
  </si>
  <si>
    <t xml:space="preserve">COUPPCD(DATE(2024,7,1),DATE(2024,7,1),4,4)</t>
  </si>
  <si>
    <t xml:space="preserve">COUPNCD(DATE(2024,7,1),DATE(2024,7,1),4,4)</t>
  </si>
  <si>
    <t xml:space="preserve">COUPNUM(DATE(2024,7,1),DATE(2024,7,1),4,4)</t>
  </si>
  <si>
    <t xml:space="preserve">COUPDAYBS(DATE(2024,7,1),DATE(2024,7,1),4,4)</t>
  </si>
  <si>
    <t xml:space="preserve">COUPDAYS(DATE(2024,7,1),DATE(2024,7,1),4,4)</t>
  </si>
  <si>
    <t xml:space="preserve">COUPDAYSNC(DATE(2024,7,1),DATE(2024,7,1),4,4)</t>
  </si>
  <si>
    <t xml:space="preserve">COUPNUM(DATE(2024,7,1),DATE(2024,7,1),2)</t>
  </si>
  <si>
    <t xml:space="preserve">COUPDAYS(DATE(2024,7,1),DATE(2024,7,1),2)</t>
  </si>
  <si>
    <t xml:space="preserve">COUPPCD(DATE(2024,8,1),DATE(2024,7,1),1,0)</t>
  </si>
  <si>
    <t xml:space="preserve">COUPNCD(DATE(2024,8,1),DATE(2024,7,1),1,0)</t>
  </si>
  <si>
    <t xml:space="preserve">COUPNUM(DATE(2024,8,1),DATE(2024,7,1),1,0)</t>
  </si>
  <si>
    <t xml:space="preserve">COUPDAYBS(DATE(2024,8,1),DATE(2024,7,1),1,0)</t>
  </si>
  <si>
    <t xml:space="preserve">COUPDAYS(DATE(2024,8,1),DATE(2024,7,1),1,0)</t>
  </si>
  <si>
    <t xml:space="preserve">COUPDAYSNC(DATE(2024,8,1),DATE(2024,7,1),1,0)</t>
  </si>
  <si>
    <t xml:space="preserve">COUPPCD(DATE(2024,8,1),DATE(2024,7,1),1,1)</t>
  </si>
  <si>
    <t xml:space="preserve">COUPNCD(DATE(2024,8,1),DATE(2024,7,1),1,1)</t>
  </si>
  <si>
    <t xml:space="preserve">COUPNUM(DATE(2024,8,1),DATE(2024,7,1),1,1)</t>
  </si>
  <si>
    <t xml:space="preserve">COUPDAYBS(DATE(2024,8,1),DATE(2024,7,1),1,1)</t>
  </si>
  <si>
    <t xml:space="preserve">COUPDAYS(DATE(2024,8,1),DATE(2024,7,1),1,1)</t>
  </si>
  <si>
    <t xml:space="preserve">COUPDAYSNC(DATE(2024,8,1),DATE(2024,7,1),1,1)</t>
  </si>
  <si>
    <t xml:space="preserve">COUPPCD(DATE(2024,8,1),DATE(2024,7,1),1,2)</t>
  </si>
  <si>
    <t xml:space="preserve">COUPNCD(DATE(2024,8,1),DATE(2024,7,1),1,2)</t>
  </si>
  <si>
    <t xml:space="preserve">COUPNUM(DATE(2024,8,1),DATE(2024,7,1),1,2)</t>
  </si>
  <si>
    <t xml:space="preserve">COUPDAYBS(DATE(2024,8,1),DATE(2024,7,1),1,2)</t>
  </si>
  <si>
    <t xml:space="preserve">COUPDAYS(DATE(2024,8,1),DATE(2024,7,1),1,2)</t>
  </si>
  <si>
    <t xml:space="preserve">COUPDAYSNC(DATE(2024,8,1),DATE(2024,7,1),1,2)</t>
  </si>
  <si>
    <t xml:space="preserve">COUPPCD(DATE(2024,8,1),DATE(2024,7,1),1,3)</t>
  </si>
  <si>
    <t xml:space="preserve">COUPNCD(DATE(2024,8,1),DATE(2024,7,1),1,3)</t>
  </si>
  <si>
    <t xml:space="preserve">COUPNUM(DATE(2024,8,1),DATE(2024,7,1),1,3)</t>
  </si>
  <si>
    <t xml:space="preserve">COUPDAYBS(DATE(2024,8,1),DATE(2024,7,1),1,3)</t>
  </si>
  <si>
    <t xml:space="preserve">COUPDAYS(DATE(2024,8,1),DATE(2024,7,1),1,3)</t>
  </si>
  <si>
    <t xml:space="preserve">COUPDAYSNC(DATE(2024,8,1),DATE(2024,7,1),1,3)</t>
  </si>
  <si>
    <t xml:space="preserve">COUPPCD(DATE(2024,8,1),DATE(2024,7,1),1,4)</t>
  </si>
  <si>
    <t xml:space="preserve">COUPNCD(DATE(2024,8,1),DATE(2024,7,1),1,4)</t>
  </si>
  <si>
    <t xml:space="preserve">COUPNUM(DATE(2024,8,1),DATE(2024,7,1),1,4)</t>
  </si>
  <si>
    <t xml:space="preserve">COUPDAYBS(DATE(2024,8,1),DATE(2024,7,1),1,4)</t>
  </si>
  <si>
    <t xml:space="preserve">COUPDAYS(DATE(2024,8,1),DATE(2024,7,1),1,4)</t>
  </si>
  <si>
    <t xml:space="preserve">COUPDAYSNC(DATE(2024,8,1),DATE(2024,7,1),1,4)</t>
  </si>
  <si>
    <t xml:space="preserve">COUPPCD(DATE(2024,8,1),DATE(2024,7,1),2,0)</t>
  </si>
  <si>
    <t xml:space="preserve">COUPNCD(DATE(2024,8,1),DATE(2024,7,1),2,0)</t>
  </si>
  <si>
    <t xml:space="preserve">COUPNUM(DATE(2024,8,1),DATE(2024,7,1),2,0)</t>
  </si>
  <si>
    <t xml:space="preserve">COUPDAYBS(DATE(2024,8,1),DATE(2024,7,1),2,0)</t>
  </si>
  <si>
    <t xml:space="preserve">COUPDAYS(DATE(2024,8,1),DATE(2024,7,1),2,0)</t>
  </si>
  <si>
    <t xml:space="preserve">COUPDAYSNC(DATE(2024,8,1),DATE(2024,7,1),2,0)</t>
  </si>
  <si>
    <t xml:space="preserve">COUPPCD(DATE(2024,8,1),DATE(2024,7,1),2,1)</t>
  </si>
  <si>
    <t xml:space="preserve">COUPNCD(DATE(2024,8,1),DATE(2024,7,1),2,1)</t>
  </si>
  <si>
    <t xml:space="preserve">COUPNUM(DATE(2024,8,1),DATE(2024,7,1),2,1)</t>
  </si>
  <si>
    <t xml:space="preserve">COUPDAYBS(DATE(2024,8,1),DATE(2024,7,1),2,1)</t>
  </si>
  <si>
    <t xml:space="preserve">COUPDAYS(DATE(2024,8,1),DATE(2024,7,1),2,1)</t>
  </si>
  <si>
    <t xml:space="preserve">COUPDAYSNC(DATE(2024,8,1),DATE(2024,7,1),2,1)</t>
  </si>
  <si>
    <t xml:space="preserve">COUPPCD(DATE(2024,8,1),DATE(2024,7,1),2,2)</t>
  </si>
  <si>
    <t xml:space="preserve">COUPNCD(DATE(2024,8,1),DATE(2024,7,1),2,2)</t>
  </si>
  <si>
    <t xml:space="preserve">COUPNUM(DATE(2024,8,1),DATE(2024,7,1),2,2)</t>
  </si>
  <si>
    <t xml:space="preserve">COUPDAYBS(DATE(2024,8,1),DATE(2024,7,1),2,2)</t>
  </si>
  <si>
    <t xml:space="preserve">COUPDAYS(DATE(2024,8,1),DATE(2024,7,1),2,2)</t>
  </si>
  <si>
    <t xml:space="preserve">COUPDAYSNC(DATE(2024,8,1),DATE(2024,7,1),2,2)</t>
  </si>
  <si>
    <t xml:space="preserve">COUPPCD(DATE(2024,8,1),DATE(2024,7,1),2,3)</t>
  </si>
  <si>
    <t xml:space="preserve">COUPNCD(DATE(2024,8,1),DATE(2024,7,1),2,3)</t>
  </si>
  <si>
    <t xml:space="preserve">COUPNUM(DATE(2024,8,1),DATE(2024,7,1),2,3)</t>
  </si>
  <si>
    <t xml:space="preserve">COUPDAYBS(DATE(2024,8,1),DATE(2024,7,1),2,3)</t>
  </si>
  <si>
    <t xml:space="preserve">COUPDAYS(DATE(2024,8,1),DATE(2024,7,1),2,3)</t>
  </si>
  <si>
    <t xml:space="preserve">COUPDAYSNC(DATE(2024,8,1),DATE(2024,7,1),2,3)</t>
  </si>
  <si>
    <t xml:space="preserve">COUPPCD(DATE(2024,8,1),DATE(2024,7,1),2,4)</t>
  </si>
  <si>
    <t xml:space="preserve">COUPNCD(DATE(2024,8,1),DATE(2024,7,1),2,4)</t>
  </si>
  <si>
    <t xml:space="preserve">COUPNUM(DATE(2024,8,1),DATE(2024,7,1),2,4)</t>
  </si>
  <si>
    <t xml:space="preserve">COUPDAYBS(DATE(2024,8,1),DATE(2024,7,1),2,4)</t>
  </si>
  <si>
    <t xml:space="preserve">COUPDAYS(DATE(2024,8,1),DATE(2024,7,1),2,4)</t>
  </si>
  <si>
    <t xml:space="preserve">COUPDAYSNC(DATE(2024,8,1),DATE(2024,7,1),2,4)</t>
  </si>
  <si>
    <t xml:space="preserve">COUPPCD(DATE(2024,8,1),DATE(2024,7,1),4,0)</t>
  </si>
  <si>
    <t xml:space="preserve">COUPNCD(DATE(2024,8,1),DATE(2024,7,1),4,0)</t>
  </si>
  <si>
    <t xml:space="preserve">COUPNUM(DATE(2024,8,1),DATE(2024,7,1),4,0)</t>
  </si>
  <si>
    <t xml:space="preserve">COUPDAYBS(DATE(2024,8,1),DATE(2024,7,1),4,0)</t>
  </si>
  <si>
    <t xml:space="preserve">COUPDAYS(DATE(2024,8,1),DATE(2024,7,1),4,0)</t>
  </si>
  <si>
    <t xml:space="preserve">COUPDAYSNC(DATE(2024,8,1),DATE(2024,7,1),4,0)</t>
  </si>
  <si>
    <t xml:space="preserve">COUPPCD(DATE(2024,8,1),DATE(2024,7,1),4,1)</t>
  </si>
  <si>
    <t xml:space="preserve">COUPNCD(DATE(2024,8,1),DATE(2024,7,1),4,1)</t>
  </si>
  <si>
    <t xml:space="preserve">COUPNUM(DATE(2024,8,1),DATE(2024,7,1),4,1)</t>
  </si>
  <si>
    <t xml:space="preserve">COUPDAYBS(DATE(2024,8,1),DATE(2024,7,1),4,1)</t>
  </si>
  <si>
    <t xml:space="preserve">COUPDAYS(DATE(2024,8,1),DATE(2024,7,1),4,1)</t>
  </si>
  <si>
    <t xml:space="preserve">COUPDAYSNC(DATE(2024,8,1),DATE(2024,7,1),4,1)</t>
  </si>
  <si>
    <t xml:space="preserve">COUPPCD(DATE(2024,8,1),DATE(2024,7,1),4,2)</t>
  </si>
  <si>
    <t xml:space="preserve">COUPNCD(DATE(2024,8,1),DATE(2024,7,1),4,2)</t>
  </si>
  <si>
    <t xml:space="preserve">COUPNUM(DATE(2024,8,1),DATE(2024,7,1),4,2)</t>
  </si>
  <si>
    <t xml:space="preserve">COUPDAYBS(DATE(2024,8,1),DATE(2024,7,1),4,2)</t>
  </si>
  <si>
    <t xml:space="preserve">COUPDAYS(DATE(2024,8,1),DATE(2024,7,1),4,2)</t>
  </si>
  <si>
    <t xml:space="preserve">COUPDAYSNC(DATE(2024,8,1),DATE(2024,7,1),4,2)</t>
  </si>
  <si>
    <t xml:space="preserve">COUPPCD(DATE(2024,8,1),DATE(2024,7,1),4,3)</t>
  </si>
  <si>
    <t xml:space="preserve">COUPNCD(DATE(2024,8,1),DATE(2024,7,1),4,3)</t>
  </si>
  <si>
    <t xml:space="preserve">COUPNUM(DATE(2024,8,1),DATE(2024,7,1),4,3)</t>
  </si>
  <si>
    <t xml:space="preserve">COUPDAYBS(DATE(2024,8,1),DATE(2024,7,1),4,3)</t>
  </si>
  <si>
    <t xml:space="preserve">COUPDAYS(DATE(2024,8,1),DATE(2024,7,1),4,3)</t>
  </si>
  <si>
    <t xml:space="preserve">COUPDAYSNC(DATE(2024,8,1),DATE(2024,7,1),4,3)</t>
  </si>
  <si>
    <t xml:space="preserve">COUPPCD(DATE(2024,8,1),DATE(2024,7,1),4,4)</t>
  </si>
  <si>
    <t xml:space="preserve">COUPNCD(DATE(2024,8,1),DATE(2024,7,1),4,4)</t>
  </si>
  <si>
    <t xml:space="preserve">COUPNUM(DATE(2024,8,1),DATE(2024,7,1),4,4)</t>
  </si>
  <si>
    <t xml:space="preserve">COUPDAYBS(DATE(2024,8,1),DATE(2024,7,1),4,4)</t>
  </si>
  <si>
    <t xml:space="preserve">COUPDAYS(DATE(2024,8,1),DATE(2024,7,1),4,4)</t>
  </si>
  <si>
    <t xml:space="preserve">COUPDAYSNC(DATE(2024,8,1),DATE(2024,7,1),4,4)</t>
  </si>
  <si>
    <t xml:space="preserve">COUPNUM(DATE(2024,8,1),DATE(2024,7,1),2)</t>
  </si>
  <si>
    <t xml:space="preserve">COUPDAYS(DATE(2024,8,1),DATE(2024,7,1),2)</t>
  </si>
  <si>
    <t xml:space="preserve">COUPPCD(DATE(2024,6,30),DATE(2025,2,28),1,0)</t>
  </si>
  <si>
    <t xml:space="preserve">COUPNCD(DATE(2024,6,30),DATE(2025,2,28),1,0)</t>
  </si>
  <si>
    <t xml:space="preserve">COUPNUM(DATE(2024,6,30),DATE(2025,2,28),1,0)</t>
  </si>
  <si>
    <t xml:space="preserve">COUPDAYBS(DATE(2024,6,30),DATE(2025,2,28),1,0)</t>
  </si>
  <si>
    <t xml:space="preserve">COUPDAYS(DATE(2024,6,30),DATE(2025,2,28),1,0)</t>
  </si>
  <si>
    <t xml:space="preserve">COUPDAYSNC(DATE(2024,6,30),DATE(2025,2,28),1,0)</t>
  </si>
  <si>
    <t xml:space="preserve">COUPPCD(DATE(2024,6,30),DATE(2025,2,28),1,1)</t>
  </si>
  <si>
    <t xml:space="preserve">COUPNCD(DATE(2024,6,30),DATE(2025,2,28),1,1)</t>
  </si>
  <si>
    <t xml:space="preserve">COUPNUM(DATE(2024,6,30),DATE(2025,2,28),1,1)</t>
  </si>
  <si>
    <t xml:space="preserve">COUPDAYBS(DATE(2024,6,30),DATE(2025,2,28),1,1)</t>
  </si>
  <si>
    <t xml:space="preserve">COUPDAYS(DATE(2024,6,30),DATE(2025,2,28),1,1)</t>
  </si>
  <si>
    <t xml:space="preserve">COUPDAYSNC(DATE(2024,6,30),DATE(2025,2,28),1,1)</t>
  </si>
  <si>
    <t xml:space="preserve">COUPPCD(DATE(2024,6,30),DATE(2025,2,28),1,2)</t>
  </si>
  <si>
    <t xml:space="preserve">COUPNCD(DATE(2024,6,30),DATE(2025,2,28),1,2)</t>
  </si>
  <si>
    <t xml:space="preserve">COUPNUM(DATE(2024,6,30),DATE(2025,2,28),1,2)</t>
  </si>
  <si>
    <t xml:space="preserve">COUPDAYBS(DATE(2024,6,30),DATE(2025,2,28),1,2)</t>
  </si>
  <si>
    <t xml:space="preserve">COUPDAYS(DATE(2024,6,30),DATE(2025,2,28),1,2)</t>
  </si>
  <si>
    <t xml:space="preserve">COUPDAYSNC(DATE(2024,6,30),DATE(2025,2,28),1,2)</t>
  </si>
  <si>
    <t xml:space="preserve">COUPPCD(DATE(2024,6,30),DATE(2025,2,28),1,3)</t>
  </si>
  <si>
    <t xml:space="preserve">COUPNCD(DATE(2024,6,30),DATE(2025,2,28),1,3)</t>
  </si>
  <si>
    <t xml:space="preserve">COUPNUM(DATE(2024,6,30),DATE(2025,2,28),1,3)</t>
  </si>
  <si>
    <t xml:space="preserve">COUPDAYBS(DATE(2024,6,30),DATE(2025,2,28),1,3)</t>
  </si>
  <si>
    <t xml:space="preserve">COUPDAYS(DATE(2024,6,30),DATE(2025,2,28),1,3)</t>
  </si>
  <si>
    <t xml:space="preserve">COUPDAYSNC(DATE(2024,6,30),DATE(2025,2,28),1,3)</t>
  </si>
  <si>
    <t xml:space="preserve">COUPPCD(DATE(2024,6,30),DATE(2025,2,28),1,4)</t>
  </si>
  <si>
    <t xml:space="preserve">COUPNCD(DATE(2024,6,30),DATE(2025,2,28),1,4)</t>
  </si>
  <si>
    <t xml:space="preserve">COUPNUM(DATE(2024,6,30),DATE(2025,2,28),1,4)</t>
  </si>
  <si>
    <t xml:space="preserve">COUPDAYBS(DATE(2024,6,30),DATE(2025,2,28),1,4)</t>
  </si>
  <si>
    <t xml:space="preserve">COUPDAYS(DATE(2024,6,30),DATE(2025,2,28),1,4)</t>
  </si>
  <si>
    <t xml:space="preserve">COUPDAYSNC(DATE(2024,6,30),DATE(2025,2,28),1,4)</t>
  </si>
  <si>
    <t xml:space="preserve">COUPPCD(DATE(2024,6,30),DATE(2025,2,28),2,0)</t>
  </si>
  <si>
    <t xml:space="preserve">COUPNCD(DATE(2024,6,30),DATE(2025,2,28),2,0)</t>
  </si>
  <si>
    <t xml:space="preserve">COUPNUM(DATE(2024,6,30),DATE(2025,2,28),2,0)</t>
  </si>
  <si>
    <t xml:space="preserve">COUPDAYBS(DATE(2024,6,30),DATE(2025,2,28),2,0)</t>
  </si>
  <si>
    <t xml:space="preserve">COUPDAYS(DATE(2024,6,30),DATE(2025,2,28),2,0)</t>
  </si>
  <si>
    <t xml:space="preserve">COUPDAYSNC(DATE(2024,6,30),DATE(2025,2,28),2,0)</t>
  </si>
  <si>
    <t xml:space="preserve">COUPPCD(DATE(2024,6,30),DATE(2025,2,28),2,1)</t>
  </si>
  <si>
    <t xml:space="preserve">COUPNCD(DATE(2024,6,30),DATE(2025,2,28),2,1)</t>
  </si>
  <si>
    <t xml:space="preserve">COUPNUM(DATE(2024,6,30),DATE(2025,2,28),2,1)</t>
  </si>
  <si>
    <t xml:space="preserve">COUPDAYBS(DATE(2024,6,30),DATE(2025,2,28),2,1)</t>
  </si>
  <si>
    <t xml:space="preserve">COUPDAYS(DATE(2024,6,30),DATE(2025,2,28),2,1)</t>
  </si>
  <si>
    <t xml:space="preserve">COUPDAYSNC(DATE(2024,6,30),DATE(2025,2,28),2,1)</t>
  </si>
  <si>
    <t xml:space="preserve">COUPPCD(DATE(2024,6,30),DATE(2025,2,28),2,2)</t>
  </si>
  <si>
    <t xml:space="preserve">COUPNCD(DATE(2024,6,30),DATE(2025,2,28),2,2)</t>
  </si>
  <si>
    <t xml:space="preserve">COUPNUM(DATE(2024,6,30),DATE(2025,2,28),2,2)</t>
  </si>
  <si>
    <t xml:space="preserve">COUPDAYBS(DATE(2024,6,30),DATE(2025,2,28),2,2)</t>
  </si>
  <si>
    <t xml:space="preserve">COUPDAYS(DATE(2024,6,30),DATE(2025,2,28),2,2)</t>
  </si>
  <si>
    <t xml:space="preserve">COUPDAYSNC(DATE(2024,6,30),DATE(2025,2,28),2,2)</t>
  </si>
  <si>
    <t xml:space="preserve">COUPPCD(DATE(2024,6,30),DATE(2025,2,28),2,3)</t>
  </si>
  <si>
    <t xml:space="preserve">COUPNCD(DATE(2024,6,30),DATE(2025,2,28),2,3)</t>
  </si>
  <si>
    <t xml:space="preserve">COUPNUM(DATE(2024,6,30),DATE(2025,2,28),2,3)</t>
  </si>
  <si>
    <t xml:space="preserve">COUPDAYBS(DATE(2024,6,30),DATE(2025,2,28),2,3)</t>
  </si>
  <si>
    <t xml:space="preserve">COUPDAYS(DATE(2024,6,30),DATE(2025,2,28),2,3)</t>
  </si>
  <si>
    <t xml:space="preserve">COUPDAYSNC(DATE(2024,6,30),DATE(2025,2,28),2,3)</t>
  </si>
  <si>
    <t xml:space="preserve">COUPPCD(DATE(2024,6,30),DATE(2025,2,28),2,4)</t>
  </si>
  <si>
    <t xml:space="preserve">COUPNCD(DATE(2024,6,30),DATE(2025,2,28),2,4)</t>
  </si>
  <si>
    <t xml:space="preserve">COUPNUM(DATE(2024,6,30),DATE(2025,2,28),2,4)</t>
  </si>
  <si>
    <t xml:space="preserve">COUPDAYBS(DATE(2024,6,30),DATE(2025,2,28),2,4)</t>
  </si>
  <si>
    <t xml:space="preserve">COUPDAYS(DATE(2024,6,30),DATE(2025,2,28),2,4)</t>
  </si>
  <si>
    <t xml:space="preserve">COUPDAYSNC(DATE(2024,6,30),DATE(2025,2,28),2,4)</t>
  </si>
  <si>
    <t xml:space="preserve">COUPPCD(DATE(2024,6,30),DATE(2025,2,28),4,0)</t>
  </si>
  <si>
    <t xml:space="preserve">COUPNCD(DATE(2024,6,30),DATE(2025,2,28),4,0)</t>
  </si>
  <si>
    <t xml:space="preserve">COUPNUM(DATE(2024,6,30),DATE(2025,2,28),4,0)</t>
  </si>
  <si>
    <t xml:space="preserve">COUPDAYBS(DATE(2024,6,30),DATE(2025,2,28),4,0)</t>
  </si>
  <si>
    <t xml:space="preserve">COUPDAYS(DATE(2024,6,30),DATE(2025,2,28),4,0)</t>
  </si>
  <si>
    <t xml:space="preserve">COUPDAYSNC(DATE(2024,6,30),DATE(2025,2,28),4,0)</t>
  </si>
  <si>
    <t xml:space="preserve">COUPPCD(DATE(2024,6,30),DATE(2025,2,28),4,1)</t>
  </si>
  <si>
    <t xml:space="preserve">COUPNCD(DATE(2024,6,30),DATE(2025,2,28),4,1)</t>
  </si>
  <si>
    <t xml:space="preserve">COUPNUM(DATE(2024,6,30),DATE(2025,2,28),4,1)</t>
  </si>
  <si>
    <t xml:space="preserve">COUPDAYBS(DATE(2024,6,30),DATE(2025,2,28),4,1)</t>
  </si>
  <si>
    <t xml:space="preserve">COUPDAYS(DATE(2024,6,30),DATE(2025,2,28),4,1)</t>
  </si>
  <si>
    <t xml:space="preserve">COUPDAYSNC(DATE(2024,6,30),DATE(2025,2,28),4,1)</t>
  </si>
  <si>
    <t xml:space="preserve">COUPPCD(DATE(2024,6,30),DATE(2025,2,28),4,2)</t>
  </si>
  <si>
    <t xml:space="preserve">COUPNCD(DATE(2024,6,30),DATE(2025,2,28),4,2)</t>
  </si>
  <si>
    <t xml:space="preserve">COUPNUM(DATE(2024,6,30),DATE(2025,2,28),4,2)</t>
  </si>
  <si>
    <t xml:space="preserve">COUPDAYBS(DATE(2024,6,30),DATE(2025,2,28),4,2)</t>
  </si>
  <si>
    <t xml:space="preserve">COUPDAYS(DATE(2024,6,30),DATE(2025,2,28),4,2)</t>
  </si>
  <si>
    <t xml:space="preserve">COUPDAYSNC(DATE(2024,6,30),DATE(2025,2,28),4,2)</t>
  </si>
  <si>
    <t xml:space="preserve">COUPPCD(DATE(2024,6,30),DATE(2025,2,28),4,3)</t>
  </si>
  <si>
    <t xml:space="preserve">COUPNCD(DATE(2024,6,30),DATE(2025,2,28),4,3)</t>
  </si>
  <si>
    <t xml:space="preserve">COUPNUM(DATE(2024,6,30),DATE(2025,2,28),4,3)</t>
  </si>
  <si>
    <t xml:space="preserve">COUPDAYBS(DATE(2024,6,30),DATE(2025,2,28),4,3)</t>
  </si>
  <si>
    <t xml:space="preserve">COUPDAYS(DATE(2024,6,30),DATE(2025,2,28),4,3)</t>
  </si>
  <si>
    <t xml:space="preserve">COUPDAYSNC(DATE(2024,6,30),DATE(2025,2,28),4,3)</t>
  </si>
  <si>
    <t xml:space="preserve">COUPPCD(DATE(2024,6,30),DATE(2025,2,28),4,4)</t>
  </si>
  <si>
    <t xml:space="preserve">COUPNCD(DATE(2024,6,30),DATE(2025,2,28),4,4)</t>
  </si>
  <si>
    <t xml:space="preserve">COUPNUM(DATE(2024,6,30),DATE(2025,2,28),4,4)</t>
  </si>
  <si>
    <t xml:space="preserve">COUPDAYBS(DATE(2024,6,30),DATE(2025,2,28),4,4)</t>
  </si>
  <si>
    <t xml:space="preserve">COUPDAYS(DATE(2024,6,30),DATE(2025,2,28),4,4)</t>
  </si>
  <si>
    <t xml:space="preserve">COUPDAYSNC(DATE(2024,6,30),DATE(2025,2,28),4,4)</t>
  </si>
  <si>
    <t xml:space="preserve">COUPNUM(DATE(2024,6,30),DATE(2025,2,28),2)</t>
  </si>
  <si>
    <t xml:space="preserve">COUPDAYS(DATE(2024,6,30),DATE(2025,2,28),2)</t>
  </si>
  <si>
    <t xml:space="preserve">COUPPCD(DATE(2024,11,30),DATE(2027,2,28),1,0)</t>
  </si>
  <si>
    <t xml:space="preserve">COUPNCD(DATE(2024,11,30),DATE(2027,2,28),1,0)</t>
  </si>
  <si>
    <t xml:space="preserve">COUPNUM(DATE(2024,11,30),DATE(2027,2,28),1,0)</t>
  </si>
  <si>
    <t xml:space="preserve">COUPDAYBS(DATE(2024,11,30),DATE(2027,2,28),1,0)</t>
  </si>
  <si>
    <t xml:space="preserve">COUPDAYS(DATE(2024,11,30),DATE(2027,2,28),1,0)</t>
  </si>
  <si>
    <t xml:space="preserve">COUPDAYSNC(DATE(2024,11,30),DATE(2027,2,28),1,0)</t>
  </si>
  <si>
    <t xml:space="preserve">COUPPCD(DATE(2024,11,30),DATE(2027,2,28),1,1)</t>
  </si>
  <si>
    <t xml:space="preserve">COUPNCD(DATE(2024,11,30),DATE(2027,2,28),1,1)</t>
  </si>
  <si>
    <t xml:space="preserve">COUPNUM(DATE(2024,11,30),DATE(2027,2,28),1,1)</t>
  </si>
  <si>
    <t xml:space="preserve">COUPDAYBS(DATE(2024,11,30),DATE(2027,2,28),1,1)</t>
  </si>
  <si>
    <t xml:space="preserve">COUPDAYS(DATE(2024,11,30),DATE(2027,2,28),1,1)</t>
  </si>
  <si>
    <t xml:space="preserve">COUPDAYSNC(DATE(2024,11,30),DATE(2027,2,28),1,1)</t>
  </si>
  <si>
    <t xml:space="preserve">COUPPCD(DATE(2024,11,30),DATE(2027,2,28),1,2)</t>
  </si>
  <si>
    <t xml:space="preserve">COUPNCD(DATE(2024,11,30),DATE(2027,2,28),1,2)</t>
  </si>
  <si>
    <t xml:space="preserve">COUPNUM(DATE(2024,11,30),DATE(2027,2,28),1,2)</t>
  </si>
  <si>
    <t xml:space="preserve">COUPDAYBS(DATE(2024,11,30),DATE(2027,2,28),1,2)</t>
  </si>
  <si>
    <t xml:space="preserve">COUPDAYS(DATE(2024,11,30),DATE(2027,2,28),1,2)</t>
  </si>
  <si>
    <t xml:space="preserve">COUPDAYSNC(DATE(2024,11,30),DATE(2027,2,28),1,2)</t>
  </si>
  <si>
    <t xml:space="preserve">COUPPCD(DATE(2024,11,30),DATE(2027,2,28),1,3)</t>
  </si>
  <si>
    <t xml:space="preserve">COUPNCD(DATE(2024,11,30),DATE(2027,2,28),1,3)</t>
  </si>
  <si>
    <t xml:space="preserve">COUPNUM(DATE(2024,11,30),DATE(2027,2,28),1,3)</t>
  </si>
  <si>
    <t xml:space="preserve">COUPDAYBS(DATE(2024,11,30),DATE(2027,2,28),1,3)</t>
  </si>
  <si>
    <t xml:space="preserve">COUPDAYS(DATE(2024,11,30),DATE(2027,2,28),1,3)</t>
  </si>
  <si>
    <t xml:space="preserve">COUPDAYSNC(DATE(2024,11,30),DATE(2027,2,28),1,3)</t>
  </si>
  <si>
    <t xml:space="preserve">COUPPCD(DATE(2024,11,30),DATE(2027,2,28),1,4)</t>
  </si>
  <si>
    <t xml:space="preserve">COUPNCD(DATE(2024,11,30),DATE(2027,2,28),1,4)</t>
  </si>
  <si>
    <t xml:space="preserve">COUPNUM(DATE(2024,11,30),DATE(2027,2,28),1,4)</t>
  </si>
  <si>
    <t xml:space="preserve">COUPDAYBS(DATE(2024,11,30),DATE(2027,2,28),1,4)</t>
  </si>
  <si>
    <t xml:space="preserve">COUPDAYS(DATE(2024,11,30),DATE(2027,2,28),1,4)</t>
  </si>
  <si>
    <t xml:space="preserve">COUPDAYSNC(DATE(2024,11,30),DATE(2027,2,28),1,4)</t>
  </si>
  <si>
    <t xml:space="preserve">COUPPCD(DATE(2024,11,30),DATE(2027,2,28),2,0)</t>
  </si>
  <si>
    <t xml:space="preserve">COUPNCD(DATE(2024,11,30),DATE(2027,2,28),2,0)</t>
  </si>
  <si>
    <t xml:space="preserve">COUPNUM(DATE(2024,11,30),DATE(2027,2,28),2,0)</t>
  </si>
  <si>
    <t xml:space="preserve">COUPDAYBS(DATE(2024,11,30),DATE(2027,2,28),2,0)</t>
  </si>
  <si>
    <t xml:space="preserve">COUPDAYS(DATE(2024,11,30),DATE(2027,2,28),2,0)</t>
  </si>
  <si>
    <t xml:space="preserve">COUPDAYSNC(DATE(2024,11,30),DATE(2027,2,28),2,0)</t>
  </si>
  <si>
    <t xml:space="preserve">COUPPCD(DATE(2024,11,30),DATE(2027,2,28),2,1)</t>
  </si>
  <si>
    <t xml:space="preserve">COUPNCD(DATE(2024,11,30),DATE(2027,2,28),2,1)</t>
  </si>
  <si>
    <t xml:space="preserve">COUPNUM(DATE(2024,11,30),DATE(2027,2,28),2,1)</t>
  </si>
  <si>
    <t xml:space="preserve">COUPDAYBS(DATE(2024,11,30),DATE(2027,2,28),2,1)</t>
  </si>
  <si>
    <t xml:space="preserve">COUPDAYS(DATE(2024,11,30),DATE(2027,2,28),2,1)</t>
  </si>
  <si>
    <t xml:space="preserve">COUPDAYSNC(DATE(2024,11,30),DATE(2027,2,28),2,1)</t>
  </si>
  <si>
    <t xml:space="preserve">COUPPCD(DATE(2024,11,30),DATE(2027,2,28),2,2)</t>
  </si>
  <si>
    <t xml:space="preserve">COUPNCD(DATE(2024,11,30),DATE(2027,2,28),2,2)</t>
  </si>
  <si>
    <t xml:space="preserve">COUPNUM(DATE(2024,11,30),DATE(2027,2,28),2,2)</t>
  </si>
  <si>
    <t xml:space="preserve">COUPDAYBS(DATE(2024,11,30),DATE(2027,2,28),2,2)</t>
  </si>
  <si>
    <t xml:space="preserve">COUPDAYS(DATE(2024,11,30),DATE(2027,2,28),2,2)</t>
  </si>
  <si>
    <t xml:space="preserve">COUPDAYSNC(DATE(2024,11,30),DATE(2027,2,28),2,2)</t>
  </si>
  <si>
    <t xml:space="preserve">COUPPCD(DATE(2024,11,30),DATE(2027,2,28),2,3)</t>
  </si>
  <si>
    <t xml:space="preserve">COUPNCD(DATE(2024,11,30),DATE(2027,2,28),2,3)</t>
  </si>
  <si>
    <t xml:space="preserve">COUPNUM(DATE(2024,11,30),DATE(2027,2,28),2,3)</t>
  </si>
  <si>
    <t xml:space="preserve">COUPDAYBS(DATE(2024,11,30),DATE(2027,2,28),2,3)</t>
  </si>
  <si>
    <t xml:space="preserve">COUPDAYS(DATE(2024,11,30),DATE(2027,2,28),2,3)</t>
  </si>
  <si>
    <t xml:space="preserve">COUPDAYSNC(DATE(2024,11,30),DATE(2027,2,28),2,3)</t>
  </si>
  <si>
    <t xml:space="preserve">COUPPCD(DATE(2024,11,30),DATE(2027,2,28),2,4)</t>
  </si>
  <si>
    <t xml:space="preserve">COUPNCD(DATE(2024,11,30),DATE(2027,2,28),2,4)</t>
  </si>
  <si>
    <t xml:space="preserve">COUPNUM(DATE(2024,11,30),DATE(2027,2,28),2,4)</t>
  </si>
  <si>
    <t xml:space="preserve">COUPDAYBS(DATE(2024,11,30),DATE(2027,2,28),2,4)</t>
  </si>
  <si>
    <t xml:space="preserve">COUPDAYS(DATE(2024,11,30),DATE(2027,2,28),2,4)</t>
  </si>
  <si>
    <t xml:space="preserve">COUPDAYSNC(DATE(2024,11,30),DATE(2027,2,28),2,4)</t>
  </si>
  <si>
    <t xml:space="preserve">COUPPCD(DATE(2024,11,30),DATE(2027,2,28),4,0)</t>
  </si>
  <si>
    <t xml:space="preserve">COUPNCD(DATE(2024,11,30),DATE(2027,2,28),4,0)</t>
  </si>
  <si>
    <t xml:space="preserve">COUPNUM(DATE(2024,11,30),DATE(2027,2,28),4,0)</t>
  </si>
  <si>
    <t xml:space="preserve">COUPDAYBS(DATE(2024,11,30),DATE(2027,2,28),4,0)</t>
  </si>
  <si>
    <t xml:space="preserve">COUPDAYS(DATE(2024,11,30),DATE(2027,2,28),4,0)</t>
  </si>
  <si>
    <t xml:space="preserve">COUPDAYSNC(DATE(2024,11,30),DATE(2027,2,28),4,0)</t>
  </si>
  <si>
    <t xml:space="preserve">COUPPCD(DATE(2024,11,30),DATE(2027,2,28),4,1)</t>
  </si>
  <si>
    <t xml:space="preserve">COUPNCD(DATE(2024,11,30),DATE(2027,2,28),4,1)</t>
  </si>
  <si>
    <t xml:space="preserve">COUPNUM(DATE(2024,11,30),DATE(2027,2,28),4,1)</t>
  </si>
  <si>
    <t xml:space="preserve">COUPDAYBS(DATE(2024,11,30),DATE(2027,2,28),4,1)</t>
  </si>
  <si>
    <t xml:space="preserve">COUPDAYS(DATE(2024,11,30),DATE(2027,2,28),4,1)</t>
  </si>
  <si>
    <t xml:space="preserve">COUPDAYSNC(DATE(2024,11,30),DATE(2027,2,28),4,1)</t>
  </si>
  <si>
    <t xml:space="preserve">COUPPCD(DATE(2024,11,30),DATE(2027,2,28),4,2)</t>
  </si>
  <si>
    <t xml:space="preserve">COUPNCD(DATE(2024,11,30),DATE(2027,2,28),4,2)</t>
  </si>
  <si>
    <t xml:space="preserve">COUPNUM(DATE(2024,11,30),DATE(2027,2,28),4,2)</t>
  </si>
  <si>
    <t xml:space="preserve">COUPDAYBS(DATE(2024,11,30),DATE(2027,2,28),4,2)</t>
  </si>
  <si>
    <t xml:space="preserve">COUPDAYS(DATE(2024,11,30),DATE(2027,2,28),4,2)</t>
  </si>
  <si>
    <t xml:space="preserve">COUPDAYSNC(DATE(2024,11,30),DATE(2027,2,28),4,2)</t>
  </si>
  <si>
    <t xml:space="preserve">COUPPCD(DATE(2024,11,30),DATE(2027,2,28),4,3)</t>
  </si>
  <si>
    <t xml:space="preserve">COUPNCD(DATE(2024,11,30),DATE(2027,2,28),4,3)</t>
  </si>
  <si>
    <t xml:space="preserve">COUPNUM(DATE(2024,11,30),DATE(2027,2,28),4,3)</t>
  </si>
  <si>
    <t xml:space="preserve">COUPDAYBS(DATE(2024,11,30),DATE(2027,2,28),4,3)</t>
  </si>
  <si>
    <t xml:space="preserve">COUPDAYS(DATE(2024,11,30),DATE(2027,2,28),4,3)</t>
  </si>
  <si>
    <t xml:space="preserve">COUPDAYSNC(DATE(2024,11,30),DATE(2027,2,28),4,3)</t>
  </si>
  <si>
    <t xml:space="preserve">COUPPCD(DATE(2024,11,30),DATE(2027,2,28),4,4)</t>
  </si>
  <si>
    <t xml:space="preserve">COUPNCD(DATE(2024,11,30),DATE(2027,2,28),4,4)</t>
  </si>
  <si>
    <t xml:space="preserve">COUPNUM(DATE(2024,11,30),DATE(2027,2,28),4,4)</t>
  </si>
  <si>
    <t xml:space="preserve">COUPDAYBS(DATE(2024,11,30),DATE(2027,2,28),4,4)</t>
  </si>
  <si>
    <t xml:space="preserve">COUPDAYS(DATE(2024,11,30),DATE(2027,2,28),4,4)</t>
  </si>
  <si>
    <t xml:space="preserve">COUPDAYSNC(DATE(2024,11,30),DATE(2027,2,28),4,4)</t>
  </si>
  <si>
    <t xml:space="preserve">COUPNUM(DATE(2024,11,30),DATE(2027,2,28),2)</t>
  </si>
  <si>
    <t xml:space="preserve">COUPDAYS(DATE(2024,11,30),DATE(2027,2,28),2)</t>
  </si>
  <si>
    <t xml:space="preserve">COUPPCD(DATE(2020,2,29),DATE(2024,2,29),1,0)</t>
  </si>
  <si>
    <t xml:space="preserve">COUPNCD(DATE(2020,2,29),DATE(2024,2,29),1,0)</t>
  </si>
  <si>
    <t xml:space="preserve">COUPNUM(DATE(2020,2,29),DATE(2024,2,29),1,0)</t>
  </si>
  <si>
    <t xml:space="preserve">COUPDAYBS(DATE(2020,2,29),DATE(2024,2,29),1,0)</t>
  </si>
  <si>
    <t xml:space="preserve">COUPDAYS(DATE(2020,2,29),DATE(2024,2,29),1,0)</t>
  </si>
  <si>
    <t xml:space="preserve">COUPDAYSNC(DATE(2020,2,29),DATE(2024,2,29),1,0)</t>
  </si>
  <si>
    <t xml:space="preserve">COUPPCD(DATE(2020,2,29),DATE(2024,2,29),1,1)</t>
  </si>
  <si>
    <t xml:space="preserve">COUPNCD(DATE(2020,2,29),DATE(2024,2,29),1,1)</t>
  </si>
  <si>
    <t xml:space="preserve">COUPNUM(DATE(2020,2,29),DATE(2024,2,29),1,1)</t>
  </si>
  <si>
    <t xml:space="preserve">COUPDAYBS(DATE(2020,2,29),DATE(2024,2,29),1,1)</t>
  </si>
  <si>
    <t xml:space="preserve">COUPDAYS(DATE(2020,2,29),DATE(2024,2,29),1,1)</t>
  </si>
  <si>
    <t xml:space="preserve">COUPDAYSNC(DATE(2020,2,29),DATE(2024,2,29),1,1)</t>
  </si>
  <si>
    <t xml:space="preserve">COUPPCD(DATE(2020,2,29),DATE(2024,2,29),1,2)</t>
  </si>
  <si>
    <t xml:space="preserve">COUPNCD(DATE(2020,2,29),DATE(2024,2,29),1,2)</t>
  </si>
  <si>
    <t xml:space="preserve">COUPNUM(DATE(2020,2,29),DATE(2024,2,29),1,2)</t>
  </si>
  <si>
    <t xml:space="preserve">COUPDAYBS(DATE(2020,2,29),DATE(2024,2,29),1,2)</t>
  </si>
  <si>
    <t xml:space="preserve">COUPDAYS(DATE(2020,2,29),DATE(2024,2,29),1,2)</t>
  </si>
  <si>
    <t xml:space="preserve">COUPDAYSNC(DATE(2020,2,29),DATE(2024,2,29),1,2)</t>
  </si>
  <si>
    <t xml:space="preserve">COUPPCD(DATE(2020,2,29),DATE(2024,2,29),1,3)</t>
  </si>
  <si>
    <t xml:space="preserve">COUPNCD(DATE(2020,2,29),DATE(2024,2,29),1,3)</t>
  </si>
  <si>
    <t xml:space="preserve">COUPNUM(DATE(2020,2,29),DATE(2024,2,29),1,3)</t>
  </si>
  <si>
    <t xml:space="preserve">COUPDAYBS(DATE(2020,2,29),DATE(2024,2,29),1,3)</t>
  </si>
  <si>
    <t xml:space="preserve">COUPDAYS(DATE(2020,2,29),DATE(2024,2,29),1,3)</t>
  </si>
  <si>
    <t xml:space="preserve">COUPDAYSNC(DATE(2020,2,29),DATE(2024,2,29),1,3)</t>
  </si>
  <si>
    <t xml:space="preserve">COUPPCD(DATE(2020,2,29),DATE(2024,2,29),1,4)</t>
  </si>
  <si>
    <t xml:space="preserve">COUPNCD(DATE(2020,2,29),DATE(2024,2,29),1,4)</t>
  </si>
  <si>
    <t xml:space="preserve">COUPNUM(DATE(2020,2,29),DATE(2024,2,29),1,4)</t>
  </si>
  <si>
    <t xml:space="preserve">COUPDAYBS(DATE(2020,2,29),DATE(2024,2,29),1,4)</t>
  </si>
  <si>
    <t xml:space="preserve">COUPDAYS(DATE(2020,2,29),DATE(2024,2,29),1,4)</t>
  </si>
  <si>
    <t xml:space="preserve">COUPDAYSNC(DATE(2020,2,29),DATE(2024,2,29),1,4)</t>
  </si>
  <si>
    <t xml:space="preserve">COUPPCD(DATE(2020,2,29),DATE(2024,2,29),2,0)</t>
  </si>
  <si>
    <t xml:space="preserve">COUPNCD(DATE(2020,2,29),DATE(2024,2,29),2,0)</t>
  </si>
  <si>
    <t xml:space="preserve">COUPNUM(DATE(2020,2,29),DATE(2024,2,29),2,0)</t>
  </si>
  <si>
    <t xml:space="preserve">COUPDAYBS(DATE(2020,2,29),DATE(2024,2,29),2,0)</t>
  </si>
  <si>
    <t xml:space="preserve">COUPDAYS(DATE(2020,2,29),DATE(2024,2,29),2,0)</t>
  </si>
  <si>
    <t xml:space="preserve">COUPDAYSNC(DATE(2020,2,29),DATE(2024,2,29),2,0)</t>
  </si>
  <si>
    <t xml:space="preserve">COUPPCD(DATE(2020,2,29),DATE(2024,2,29),2,1)</t>
  </si>
  <si>
    <t xml:space="preserve">COUPNCD(DATE(2020,2,29),DATE(2024,2,29),2,1)</t>
  </si>
  <si>
    <t xml:space="preserve">COUPNUM(DATE(2020,2,29),DATE(2024,2,29),2,1)</t>
  </si>
  <si>
    <t xml:space="preserve">COUPDAYBS(DATE(2020,2,29),DATE(2024,2,29),2,1)</t>
  </si>
  <si>
    <t xml:space="preserve">COUPDAYS(DATE(2020,2,29),DATE(2024,2,29),2,1)</t>
  </si>
  <si>
    <t xml:space="preserve">COUPDAYSNC(DATE(2020,2,29),DATE(2024,2,29),2,1)</t>
  </si>
  <si>
    <t xml:space="preserve">COUPPCD(DATE(2020,2,29),DATE(2024,2,29),2,2)</t>
  </si>
  <si>
    <t xml:space="preserve">COUPNCD(DATE(2020,2,29),DATE(2024,2,29),2,2)</t>
  </si>
  <si>
    <t xml:space="preserve">COUPNUM(DATE(2020,2,29),DATE(2024,2,29),2,2)</t>
  </si>
  <si>
    <t xml:space="preserve">COUPDAYBS(DATE(2020,2,29),DATE(2024,2,29),2,2)</t>
  </si>
  <si>
    <t xml:space="preserve">COUPDAYS(DATE(2020,2,29),DATE(2024,2,29),2,2)</t>
  </si>
  <si>
    <t xml:space="preserve">COUPDAYSNC(DATE(2020,2,29),DATE(2024,2,29),2,2)</t>
  </si>
  <si>
    <t xml:space="preserve">COUPPCD(DATE(2020,2,29),DATE(2024,2,29),2,3)</t>
  </si>
  <si>
    <t xml:space="preserve">COUPNCD(DATE(2020,2,29),DATE(2024,2,29),2,3)</t>
  </si>
  <si>
    <t xml:space="preserve">COUPNUM(DATE(2020,2,29),DATE(2024,2,29),2,3)</t>
  </si>
  <si>
    <t xml:space="preserve">COUPDAYBS(DATE(2020,2,29),DATE(2024,2,29),2,3)</t>
  </si>
  <si>
    <t xml:space="preserve">COUPDAYS(DATE(2020,2,29),DATE(2024,2,29),2,3)</t>
  </si>
  <si>
    <t xml:space="preserve">COUPDAYSNC(DATE(2020,2,29),DATE(2024,2,29),2,3)</t>
  </si>
  <si>
    <t xml:space="preserve">COUPPCD(DATE(2020,2,29),DATE(2024,2,29),2,4)</t>
  </si>
  <si>
    <t xml:space="preserve">COUPNCD(DATE(2020,2,29),DATE(2024,2,29),2,4)</t>
  </si>
  <si>
    <t xml:space="preserve">COUPNUM(DATE(2020,2,29),DATE(2024,2,29),2,4)</t>
  </si>
  <si>
    <t xml:space="preserve">COUPDAYBS(DATE(2020,2,29),DATE(2024,2,29),2,4)</t>
  </si>
  <si>
    <t xml:space="preserve">COUPDAYS(DATE(2020,2,29),DATE(2024,2,29),2,4)</t>
  </si>
  <si>
    <t xml:space="preserve">COUPDAYSNC(DATE(2020,2,29),DATE(2024,2,29),2,4)</t>
  </si>
  <si>
    <t xml:space="preserve">COUPPCD(DATE(2020,2,29),DATE(2024,2,29),4,0)</t>
  </si>
  <si>
    <t xml:space="preserve">COUPNCD(DATE(2020,2,29),DATE(2024,2,29),4,0)</t>
  </si>
  <si>
    <t xml:space="preserve">COUPNUM(DATE(2020,2,29),DATE(2024,2,29),4,0)</t>
  </si>
  <si>
    <t xml:space="preserve">COUPDAYBS(DATE(2020,2,29),DATE(2024,2,29),4,0)</t>
  </si>
  <si>
    <t xml:space="preserve">COUPDAYS(DATE(2020,2,29),DATE(2024,2,29),4,0)</t>
  </si>
  <si>
    <t xml:space="preserve">COUPDAYSNC(DATE(2020,2,29),DATE(2024,2,29),4,0)</t>
  </si>
  <si>
    <t xml:space="preserve">COUPPCD(DATE(2020,2,29),DATE(2024,2,29),4,1)</t>
  </si>
  <si>
    <t xml:space="preserve">COUPNCD(DATE(2020,2,29),DATE(2024,2,29),4,1)</t>
  </si>
  <si>
    <t xml:space="preserve">COUPNUM(DATE(2020,2,29),DATE(2024,2,29),4,1)</t>
  </si>
  <si>
    <t xml:space="preserve">COUPDAYBS(DATE(2020,2,29),DATE(2024,2,29),4,1)</t>
  </si>
  <si>
    <t xml:space="preserve">COUPDAYS(DATE(2020,2,29),DATE(2024,2,29),4,1)</t>
  </si>
  <si>
    <t xml:space="preserve">COUPDAYSNC(DATE(2020,2,29),DATE(2024,2,29),4,1)</t>
  </si>
  <si>
    <t xml:space="preserve">COUPPCD(DATE(2020,2,29),DATE(2024,2,29),4,2)</t>
  </si>
  <si>
    <t xml:space="preserve">COUPNCD(DATE(2020,2,29),DATE(2024,2,29),4,2)</t>
  </si>
  <si>
    <t xml:space="preserve">COUPNUM(DATE(2020,2,29),DATE(2024,2,29),4,2)</t>
  </si>
  <si>
    <t xml:space="preserve">COUPDAYBS(DATE(2020,2,29),DATE(2024,2,29),4,2)</t>
  </si>
  <si>
    <t xml:space="preserve">COUPDAYS(DATE(2020,2,29),DATE(2024,2,29),4,2)</t>
  </si>
  <si>
    <t xml:space="preserve">COUPDAYSNC(DATE(2020,2,29),DATE(2024,2,29),4,2)</t>
  </si>
  <si>
    <t xml:space="preserve">COUPPCD(DATE(2020,2,29),DATE(2024,2,29),4,3)</t>
  </si>
  <si>
    <t xml:space="preserve">COUPNCD(DATE(2020,2,29),DATE(2024,2,29),4,3)</t>
  </si>
  <si>
    <t xml:space="preserve">COUPNUM(DATE(2020,2,29),DATE(2024,2,29),4,3)</t>
  </si>
  <si>
    <t xml:space="preserve">COUPDAYBS(DATE(2020,2,29),DATE(2024,2,29),4,3)</t>
  </si>
  <si>
    <t xml:space="preserve">COUPDAYS(DATE(2020,2,29),DATE(2024,2,29),4,3)</t>
  </si>
  <si>
    <t xml:space="preserve">COUPDAYSNC(DATE(2020,2,29),DATE(2024,2,29),4,3)</t>
  </si>
  <si>
    <t xml:space="preserve">COUPPCD(DATE(2020,2,29),DATE(2024,2,29),4,4)</t>
  </si>
  <si>
    <t xml:space="preserve">COUPNCD(DATE(2020,2,29),DATE(2024,2,29),4,4)</t>
  </si>
  <si>
    <t xml:space="preserve">COUPNUM(DATE(2020,2,29),DATE(2024,2,29),4,4)</t>
  </si>
  <si>
    <t xml:space="preserve">COUPDAYBS(DATE(2020,2,29),DATE(2024,2,29),4,4)</t>
  </si>
  <si>
    <t xml:space="preserve">COUPDAYS(DATE(2020,2,29),DATE(2024,2,29),4,4)</t>
  </si>
  <si>
    <t xml:space="preserve">COUPDAYSNC(DATE(2020,2,29),DATE(2024,2,29),4,4)</t>
  </si>
  <si>
    <t xml:space="preserve">COUPNUM(DATE(2020,2,29),DATE(2024,2,29),2)</t>
  </si>
  <si>
    <t xml:space="preserve">COUPDAYS(DATE(2020,2,29),DATE(2024,2,29),2)</t>
  </si>
  <si>
    <t xml:space="preserve">COUPPCD(DATE(2024,1,1),DATE(2024,1,2),1,0)</t>
  </si>
  <si>
    <t xml:space="preserve">COUPNCD(DATE(2024,1,1),DATE(2024,1,2),1,0)</t>
  </si>
  <si>
    <t xml:space="preserve">COUPNUM(DATE(2024,1,1),DATE(2024,1,2),1,0)</t>
  </si>
  <si>
    <t xml:space="preserve">COUPDAYBS(DATE(2024,1,1),DATE(2024,1,2),1,0)</t>
  </si>
  <si>
    <t xml:space="preserve">COUPDAYS(DATE(2024,1,1),DATE(2024,1,2),1,0)</t>
  </si>
  <si>
    <t xml:space="preserve">COUPDAYSNC(DATE(2024,1,1),DATE(2024,1,2),1,0)</t>
  </si>
  <si>
    <t xml:space="preserve">COUPPCD(DATE(2024,1,1),DATE(2024,1,2),1,1)</t>
  </si>
  <si>
    <t xml:space="preserve">COUPNCD(DATE(2024,1,1),DATE(2024,1,2),1,1)</t>
  </si>
  <si>
    <t xml:space="preserve">COUPNUM(DATE(2024,1,1),DATE(2024,1,2),1,1)</t>
  </si>
  <si>
    <t xml:space="preserve">COUPDAYBS(DATE(2024,1,1),DATE(2024,1,2),1,1)</t>
  </si>
  <si>
    <t xml:space="preserve">COUPDAYS(DATE(2024,1,1),DATE(2024,1,2),1,1)</t>
  </si>
  <si>
    <t xml:space="preserve">COUPDAYSNC(DATE(2024,1,1),DATE(2024,1,2),1,1)</t>
  </si>
  <si>
    <t xml:space="preserve">COUPPCD(DATE(2024,1,1),DATE(2024,1,2),1,2)</t>
  </si>
  <si>
    <t xml:space="preserve">COUPNCD(DATE(2024,1,1),DATE(2024,1,2),1,2)</t>
  </si>
  <si>
    <t xml:space="preserve">COUPNUM(DATE(2024,1,1),DATE(2024,1,2),1,2)</t>
  </si>
  <si>
    <t xml:space="preserve">COUPDAYBS(DATE(2024,1,1),DATE(2024,1,2),1,2)</t>
  </si>
  <si>
    <t xml:space="preserve">COUPDAYS(DATE(2024,1,1),DATE(2024,1,2),1,2)</t>
  </si>
  <si>
    <t xml:space="preserve">COUPDAYSNC(DATE(2024,1,1),DATE(2024,1,2),1,2)</t>
  </si>
  <si>
    <t xml:space="preserve">COUPPCD(DATE(2024,1,1),DATE(2024,1,2),1,3)</t>
  </si>
  <si>
    <t xml:space="preserve">COUPNCD(DATE(2024,1,1),DATE(2024,1,2),1,3)</t>
  </si>
  <si>
    <t xml:space="preserve">COUPNUM(DATE(2024,1,1),DATE(2024,1,2),1,3)</t>
  </si>
  <si>
    <t xml:space="preserve">COUPDAYBS(DATE(2024,1,1),DATE(2024,1,2),1,3)</t>
  </si>
  <si>
    <t xml:space="preserve">COUPDAYS(DATE(2024,1,1),DATE(2024,1,2),1,3)</t>
  </si>
  <si>
    <t xml:space="preserve">COUPDAYSNC(DATE(2024,1,1),DATE(2024,1,2),1,3)</t>
  </si>
  <si>
    <t xml:space="preserve">COUPPCD(DATE(2024,1,1),DATE(2024,1,2),1,4)</t>
  </si>
  <si>
    <t xml:space="preserve">COUPNCD(DATE(2024,1,1),DATE(2024,1,2),1,4)</t>
  </si>
  <si>
    <t xml:space="preserve">COUPNUM(DATE(2024,1,1),DATE(2024,1,2),1,4)</t>
  </si>
  <si>
    <t xml:space="preserve">COUPDAYBS(DATE(2024,1,1),DATE(2024,1,2),1,4)</t>
  </si>
  <si>
    <t xml:space="preserve">COUPDAYS(DATE(2024,1,1),DATE(2024,1,2),1,4)</t>
  </si>
  <si>
    <t xml:space="preserve">COUPDAYSNC(DATE(2024,1,1),DATE(2024,1,2),1,4)</t>
  </si>
  <si>
    <t xml:space="preserve">COUPPCD(DATE(2024,1,1),DATE(2024,1,2),2,0)</t>
  </si>
  <si>
    <t xml:space="preserve">COUPNCD(DATE(2024,1,1),DATE(2024,1,2),2,0)</t>
  </si>
  <si>
    <t xml:space="preserve">COUPNUM(DATE(2024,1,1),DATE(2024,1,2),2,0)</t>
  </si>
  <si>
    <t xml:space="preserve">COUPDAYBS(DATE(2024,1,1),DATE(2024,1,2),2,0)</t>
  </si>
  <si>
    <t xml:space="preserve">COUPDAYS(DATE(2024,1,1),DATE(2024,1,2),2,0)</t>
  </si>
  <si>
    <t xml:space="preserve">COUPDAYSNC(DATE(2024,1,1),DATE(2024,1,2),2,0)</t>
  </si>
  <si>
    <t xml:space="preserve">COUPPCD(DATE(2024,1,1),DATE(2024,1,2),2,1)</t>
  </si>
  <si>
    <t xml:space="preserve">COUPNCD(DATE(2024,1,1),DATE(2024,1,2),2,1)</t>
  </si>
  <si>
    <t xml:space="preserve">COUPNUM(DATE(2024,1,1),DATE(2024,1,2),2,1)</t>
  </si>
  <si>
    <t xml:space="preserve">COUPDAYBS(DATE(2024,1,1),DATE(2024,1,2),2,1)</t>
  </si>
  <si>
    <t xml:space="preserve">COUPDAYS(DATE(2024,1,1),DATE(2024,1,2),2,1)</t>
  </si>
  <si>
    <t xml:space="preserve">COUPDAYSNC(DATE(2024,1,1),DATE(2024,1,2),2,1)</t>
  </si>
  <si>
    <t xml:space="preserve">COUPPCD(DATE(2024,1,1),DATE(2024,1,2),2,2)</t>
  </si>
  <si>
    <t xml:space="preserve">COUPNCD(DATE(2024,1,1),DATE(2024,1,2),2,2)</t>
  </si>
  <si>
    <t xml:space="preserve">COUPNUM(DATE(2024,1,1),DATE(2024,1,2),2,2)</t>
  </si>
  <si>
    <t xml:space="preserve">COUPDAYBS(DATE(2024,1,1),DATE(2024,1,2),2,2)</t>
  </si>
  <si>
    <t xml:space="preserve">COUPDAYS(DATE(2024,1,1),DATE(2024,1,2),2,2)</t>
  </si>
  <si>
    <t xml:space="preserve">COUPDAYSNC(DATE(2024,1,1),DATE(2024,1,2),2,2)</t>
  </si>
  <si>
    <t xml:space="preserve">COUPPCD(DATE(2024,1,1),DATE(2024,1,2),2,3)</t>
  </si>
  <si>
    <t xml:space="preserve">COUPNCD(DATE(2024,1,1),DATE(2024,1,2),2,3)</t>
  </si>
  <si>
    <t xml:space="preserve">COUPNUM(DATE(2024,1,1),DATE(2024,1,2),2,3)</t>
  </si>
  <si>
    <t xml:space="preserve">COUPDAYBS(DATE(2024,1,1),DATE(2024,1,2),2,3)</t>
  </si>
  <si>
    <t xml:space="preserve">COUPDAYS(DATE(2024,1,1),DATE(2024,1,2),2,3)</t>
  </si>
  <si>
    <t xml:space="preserve">COUPDAYSNC(DATE(2024,1,1),DATE(2024,1,2),2,3)</t>
  </si>
  <si>
    <t xml:space="preserve">COUPPCD(DATE(2024,1,1),DATE(2024,1,2),2,4)</t>
  </si>
  <si>
    <t xml:space="preserve">COUPNCD(DATE(2024,1,1),DATE(2024,1,2),2,4)</t>
  </si>
  <si>
    <t xml:space="preserve">COUPNUM(DATE(2024,1,1),DATE(2024,1,2),2,4)</t>
  </si>
  <si>
    <t xml:space="preserve">COUPDAYBS(DATE(2024,1,1),DATE(2024,1,2),2,4)</t>
  </si>
  <si>
    <t xml:space="preserve">COUPDAYS(DATE(2024,1,1),DATE(2024,1,2),2,4)</t>
  </si>
  <si>
    <t xml:space="preserve">COUPDAYSNC(DATE(2024,1,1),DATE(2024,1,2),2,4)</t>
  </si>
  <si>
    <t xml:space="preserve">COUPPCD(DATE(2024,1,1),DATE(2024,1,2),4,0)</t>
  </si>
  <si>
    <t xml:space="preserve">COUPNCD(DATE(2024,1,1),DATE(2024,1,2),4,0)</t>
  </si>
  <si>
    <t xml:space="preserve">COUPNUM(DATE(2024,1,1),DATE(2024,1,2),4,0)</t>
  </si>
  <si>
    <t xml:space="preserve">COUPDAYBS(DATE(2024,1,1),DATE(2024,1,2),4,0)</t>
  </si>
  <si>
    <t xml:space="preserve">COUPDAYS(DATE(2024,1,1),DATE(2024,1,2),4,0)</t>
  </si>
  <si>
    <t xml:space="preserve">COUPDAYSNC(DATE(2024,1,1),DATE(2024,1,2),4,0)</t>
  </si>
  <si>
    <t xml:space="preserve">COUPPCD(DATE(2024,1,1),DATE(2024,1,2),4,1)</t>
  </si>
  <si>
    <t xml:space="preserve">COUPNCD(DATE(2024,1,1),DATE(2024,1,2),4,1)</t>
  </si>
  <si>
    <t xml:space="preserve">COUPNUM(DATE(2024,1,1),DATE(2024,1,2),4,1)</t>
  </si>
  <si>
    <t xml:space="preserve">COUPDAYBS(DATE(2024,1,1),DATE(2024,1,2),4,1)</t>
  </si>
  <si>
    <t xml:space="preserve">COUPDAYS(DATE(2024,1,1),DATE(2024,1,2),4,1)</t>
  </si>
  <si>
    <t xml:space="preserve">COUPDAYSNC(DATE(2024,1,1),DATE(2024,1,2),4,1)</t>
  </si>
  <si>
    <t xml:space="preserve">COUPPCD(DATE(2024,1,1),DATE(2024,1,2),4,2)</t>
  </si>
  <si>
    <t xml:space="preserve">COUPNCD(DATE(2024,1,1),DATE(2024,1,2),4,2)</t>
  </si>
  <si>
    <t xml:space="preserve">COUPNUM(DATE(2024,1,1),DATE(2024,1,2),4,2)</t>
  </si>
  <si>
    <t xml:space="preserve">COUPDAYBS(DATE(2024,1,1),DATE(2024,1,2),4,2)</t>
  </si>
  <si>
    <t xml:space="preserve">COUPDAYS(DATE(2024,1,1),DATE(2024,1,2),4,2)</t>
  </si>
  <si>
    <t xml:space="preserve">COUPDAYSNC(DATE(2024,1,1),DATE(2024,1,2),4,2)</t>
  </si>
  <si>
    <t xml:space="preserve">COUPPCD(DATE(2024,1,1),DATE(2024,1,2),4,3)</t>
  </si>
  <si>
    <t xml:space="preserve">COUPNCD(DATE(2024,1,1),DATE(2024,1,2),4,3)</t>
  </si>
  <si>
    <t xml:space="preserve">COUPNUM(DATE(2024,1,1),DATE(2024,1,2),4,3)</t>
  </si>
  <si>
    <t xml:space="preserve">COUPDAYBS(DATE(2024,1,1),DATE(2024,1,2),4,3)</t>
  </si>
  <si>
    <t xml:space="preserve">COUPDAYS(DATE(2024,1,1),DATE(2024,1,2),4,3)</t>
  </si>
  <si>
    <t xml:space="preserve">COUPDAYSNC(DATE(2024,1,1),DATE(2024,1,2),4,3)</t>
  </si>
  <si>
    <t xml:space="preserve">COUPPCD(DATE(2024,1,1),DATE(2024,1,2),4,4)</t>
  </si>
  <si>
    <t xml:space="preserve">COUPNCD(DATE(2024,1,1),DATE(2024,1,2),4,4)</t>
  </si>
  <si>
    <t xml:space="preserve">COUPNUM(DATE(2024,1,1),DATE(2024,1,2),4,4)</t>
  </si>
  <si>
    <t xml:space="preserve">COUPDAYBS(DATE(2024,1,1),DATE(2024,1,2),4,4)</t>
  </si>
  <si>
    <t xml:space="preserve">COUPDAYS(DATE(2024,1,1),DATE(2024,1,2),4,4)</t>
  </si>
  <si>
    <t xml:space="preserve">COUPDAYSNC(DATE(2024,1,1),DATE(2024,1,2),4,4)</t>
  </si>
  <si>
    <t xml:space="preserve">COUPNUM(DATE(2024,1,1),DATE(2024,1,2),2)</t>
  </si>
  <si>
    <t xml:space="preserve">COUPDAYS(DATE(2024,1,1),DATE(2024,1,2),2)</t>
  </si>
  <si>
    <t xml:space="preserve">COUPPCD(DATE(2024,9,30),DATE(2034,3,31),1,0)</t>
  </si>
  <si>
    <t xml:space="preserve">COUPNCD(DATE(2024,9,30),DATE(2034,3,31),1,0)</t>
  </si>
  <si>
    <t xml:space="preserve">COUPNUM(DATE(2024,9,30),DATE(2034,3,31),1,0)</t>
  </si>
  <si>
    <t xml:space="preserve">COUPDAYBS(DATE(2024,9,30),DATE(2034,3,31),1,0)</t>
  </si>
  <si>
    <t xml:space="preserve">COUPDAYS(DATE(2024,9,30),DATE(2034,3,31),1,0)</t>
  </si>
  <si>
    <t xml:space="preserve">COUPDAYSNC(DATE(2024,9,30),DATE(2034,3,31),1,0)</t>
  </si>
  <si>
    <t xml:space="preserve">COUPPCD(DATE(2024,9,30),DATE(2034,3,31),1,1)</t>
  </si>
  <si>
    <t xml:space="preserve">COUPNCD(DATE(2024,9,30),DATE(2034,3,31),1,1)</t>
  </si>
  <si>
    <t xml:space="preserve">COUPNUM(DATE(2024,9,30),DATE(2034,3,31),1,1)</t>
  </si>
  <si>
    <t xml:space="preserve">COUPDAYBS(DATE(2024,9,30),DATE(2034,3,31),1,1)</t>
  </si>
  <si>
    <t xml:space="preserve">COUPDAYS(DATE(2024,9,30),DATE(2034,3,31),1,1)</t>
  </si>
  <si>
    <t xml:space="preserve">COUPDAYSNC(DATE(2024,9,30),DATE(2034,3,31),1,1)</t>
  </si>
  <si>
    <t xml:space="preserve">COUPPCD(DATE(2024,9,30),DATE(2034,3,31),1,2)</t>
  </si>
  <si>
    <t xml:space="preserve">COUPNCD(DATE(2024,9,30),DATE(2034,3,31),1,2)</t>
  </si>
  <si>
    <t xml:space="preserve">COUPNUM(DATE(2024,9,30),DATE(2034,3,31),1,2)</t>
  </si>
  <si>
    <t xml:space="preserve">COUPDAYBS(DATE(2024,9,30),DATE(2034,3,31),1,2)</t>
  </si>
  <si>
    <t xml:space="preserve">COUPDAYS(DATE(2024,9,30),DATE(2034,3,31),1,2)</t>
  </si>
  <si>
    <t xml:space="preserve">COUPDAYSNC(DATE(2024,9,30),DATE(2034,3,31),1,2)</t>
  </si>
  <si>
    <t xml:space="preserve">COUPPCD(DATE(2024,9,30),DATE(2034,3,31),1,3)</t>
  </si>
  <si>
    <t xml:space="preserve">COUPNCD(DATE(2024,9,30),DATE(2034,3,31),1,3)</t>
  </si>
  <si>
    <t xml:space="preserve">COUPNUM(DATE(2024,9,30),DATE(2034,3,31),1,3)</t>
  </si>
  <si>
    <t xml:space="preserve">COUPDAYBS(DATE(2024,9,30),DATE(2034,3,31),1,3)</t>
  </si>
  <si>
    <t xml:space="preserve">COUPDAYS(DATE(2024,9,30),DATE(2034,3,31),1,3)</t>
  </si>
  <si>
    <t xml:space="preserve">COUPDAYSNC(DATE(2024,9,30),DATE(2034,3,31),1,3)</t>
  </si>
  <si>
    <t xml:space="preserve">COUPPCD(DATE(2024,9,30),DATE(2034,3,31),1,4)</t>
  </si>
  <si>
    <t xml:space="preserve">COUPNCD(DATE(2024,9,30),DATE(2034,3,31),1,4)</t>
  </si>
  <si>
    <t xml:space="preserve">COUPNUM(DATE(2024,9,30),DATE(2034,3,31),1,4)</t>
  </si>
  <si>
    <t xml:space="preserve">COUPDAYBS(DATE(2024,9,30),DATE(2034,3,31),1,4)</t>
  </si>
  <si>
    <t xml:space="preserve">COUPDAYS(DATE(2024,9,30),DATE(2034,3,31),1,4)</t>
  </si>
  <si>
    <t xml:space="preserve">COUPDAYSNC(DATE(2024,9,30),DATE(2034,3,31),1,4)</t>
  </si>
  <si>
    <t xml:space="preserve">COUPPCD(DATE(2024,9,30),DATE(2034,3,31),2,0)</t>
  </si>
  <si>
    <t xml:space="preserve">COUPNCD(DATE(2024,9,30),DATE(2034,3,31),2,0)</t>
  </si>
  <si>
    <t xml:space="preserve">COUPNUM(DATE(2024,9,30),DATE(2034,3,31),2,0)</t>
  </si>
  <si>
    <t xml:space="preserve">COUPDAYBS(DATE(2024,9,30),DATE(2034,3,31),2,0)</t>
  </si>
  <si>
    <t xml:space="preserve">COUPDAYS(DATE(2024,9,30),DATE(2034,3,31),2,0)</t>
  </si>
  <si>
    <t xml:space="preserve">COUPDAYSNC(DATE(2024,9,30),DATE(2034,3,31),2,0)</t>
  </si>
  <si>
    <t xml:space="preserve">COUPPCD(DATE(2024,9,30),DATE(2034,3,31),2,1)</t>
  </si>
  <si>
    <t xml:space="preserve">COUPNCD(DATE(2024,9,30),DATE(2034,3,31),2,1)</t>
  </si>
  <si>
    <t xml:space="preserve">COUPNUM(DATE(2024,9,30),DATE(2034,3,31),2,1)</t>
  </si>
  <si>
    <t xml:space="preserve">COUPDAYBS(DATE(2024,9,30),DATE(2034,3,31),2,1)</t>
  </si>
  <si>
    <t xml:space="preserve">COUPDAYS(DATE(2024,9,30),DATE(2034,3,31),2,1)</t>
  </si>
  <si>
    <t xml:space="preserve">COUPDAYSNC(DATE(2024,9,30),DATE(2034,3,31),2,1)</t>
  </si>
  <si>
    <t xml:space="preserve">COUPPCD(DATE(2024,9,30),DATE(2034,3,31),2,2)</t>
  </si>
  <si>
    <t xml:space="preserve">COUPNCD(DATE(2024,9,30),DATE(2034,3,31),2,2)</t>
  </si>
  <si>
    <t xml:space="preserve">COUPNUM(DATE(2024,9,30),DATE(2034,3,31),2,2)</t>
  </si>
  <si>
    <t xml:space="preserve">COUPDAYBS(DATE(2024,9,30),DATE(2034,3,31),2,2)</t>
  </si>
  <si>
    <t xml:space="preserve">COUPDAYS(DATE(2024,9,30),DATE(2034,3,31),2,2)</t>
  </si>
  <si>
    <t xml:space="preserve">COUPDAYSNC(DATE(2024,9,30),DATE(2034,3,31),2,2)</t>
  </si>
  <si>
    <t xml:space="preserve">COUPPCD(DATE(2024,9,30),DATE(2034,3,31),2,3)</t>
  </si>
  <si>
    <t xml:space="preserve">COUPNCD(DATE(2024,9,30),DATE(2034,3,31),2,3)</t>
  </si>
  <si>
    <t xml:space="preserve">COUPNUM(DATE(2024,9,30),DATE(2034,3,31),2,3)</t>
  </si>
  <si>
    <t xml:space="preserve">COUPDAYBS(DATE(2024,9,30),DATE(2034,3,31),2,3)</t>
  </si>
  <si>
    <t xml:space="preserve">COUPDAYS(DATE(2024,9,30),DATE(2034,3,31),2,3)</t>
  </si>
  <si>
    <t xml:space="preserve">COUPDAYSNC(DATE(2024,9,30),DATE(2034,3,31),2,3)</t>
  </si>
  <si>
    <t xml:space="preserve">COUPPCD(DATE(2024,9,30),DATE(2034,3,31),2,4)</t>
  </si>
  <si>
    <t xml:space="preserve">COUPNCD(DATE(2024,9,30),DATE(2034,3,31),2,4)</t>
  </si>
  <si>
    <t xml:space="preserve">COUPNUM(DATE(2024,9,30),DATE(2034,3,31),2,4)</t>
  </si>
  <si>
    <t xml:space="preserve">COUPDAYBS(DATE(2024,9,30),DATE(2034,3,31),2,4)</t>
  </si>
  <si>
    <t xml:space="preserve">COUPDAYS(DATE(2024,9,30),DATE(2034,3,31),2,4)</t>
  </si>
  <si>
    <t xml:space="preserve">COUPDAYSNC(DATE(2024,9,30),DATE(2034,3,31),2,4)</t>
  </si>
  <si>
    <t xml:space="preserve">COUPPCD(DATE(2024,9,30),DATE(2034,3,31),4,0)</t>
  </si>
  <si>
    <t xml:space="preserve">COUPNCD(DATE(2024,9,30),DATE(2034,3,31),4,0)</t>
  </si>
  <si>
    <t xml:space="preserve">COUPNUM(DATE(2024,9,30),DATE(2034,3,31),4,0)</t>
  </si>
  <si>
    <t xml:space="preserve">COUPDAYBS(DATE(2024,9,30),DATE(2034,3,31),4,0)</t>
  </si>
  <si>
    <t xml:space="preserve">COUPDAYS(DATE(2024,9,30),DATE(2034,3,31),4,0)</t>
  </si>
  <si>
    <t xml:space="preserve">COUPDAYSNC(DATE(2024,9,30),DATE(2034,3,31),4,0)</t>
  </si>
  <si>
    <t xml:space="preserve">COUPPCD(DATE(2024,9,30),DATE(2034,3,31),4,1)</t>
  </si>
  <si>
    <t xml:space="preserve">COUPNCD(DATE(2024,9,30),DATE(2034,3,31),4,1)</t>
  </si>
  <si>
    <t xml:space="preserve">COUPNUM(DATE(2024,9,30),DATE(2034,3,31),4,1)</t>
  </si>
  <si>
    <t xml:space="preserve">COUPDAYBS(DATE(2024,9,30),DATE(2034,3,31),4,1)</t>
  </si>
  <si>
    <t xml:space="preserve">COUPDAYS(DATE(2024,9,30),DATE(2034,3,31),4,1)</t>
  </si>
  <si>
    <t xml:space="preserve">COUPDAYSNC(DATE(2024,9,30),DATE(2034,3,31),4,1)</t>
  </si>
  <si>
    <t xml:space="preserve">COUPPCD(DATE(2024,9,30),DATE(2034,3,31),4,2)</t>
  </si>
  <si>
    <t xml:space="preserve">COUPNCD(DATE(2024,9,30),DATE(2034,3,31),4,2)</t>
  </si>
  <si>
    <t xml:space="preserve">COUPNUM(DATE(2024,9,30),DATE(2034,3,31),4,2)</t>
  </si>
  <si>
    <t xml:space="preserve">COUPDAYBS(DATE(2024,9,30),DATE(2034,3,31),4,2)</t>
  </si>
  <si>
    <t xml:space="preserve">COUPDAYS(DATE(2024,9,30),DATE(2034,3,31),4,2)</t>
  </si>
  <si>
    <t xml:space="preserve">COUPDAYSNC(DATE(2024,9,30),DATE(2034,3,31),4,2)</t>
  </si>
  <si>
    <t xml:space="preserve">COUPPCD(DATE(2024,9,30),DATE(2034,3,31),4,3)</t>
  </si>
  <si>
    <t xml:space="preserve">COUPNCD(DATE(2024,9,30),DATE(2034,3,31),4,3)</t>
  </si>
  <si>
    <t xml:space="preserve">COUPNUM(DATE(2024,9,30),DATE(2034,3,31),4,3)</t>
  </si>
  <si>
    <t xml:space="preserve">COUPDAYBS(DATE(2024,9,30),DATE(2034,3,31),4,3)</t>
  </si>
  <si>
    <t xml:space="preserve">COUPDAYS(DATE(2024,9,30),DATE(2034,3,31),4,3)</t>
  </si>
  <si>
    <t xml:space="preserve">COUPDAYSNC(DATE(2024,9,30),DATE(2034,3,31),4,3)</t>
  </si>
  <si>
    <t xml:space="preserve">COUPPCD(DATE(2024,9,30),DATE(2034,3,31),4,4)</t>
  </si>
  <si>
    <t xml:space="preserve">COUPNCD(DATE(2024,9,30),DATE(2034,3,31),4,4)</t>
  </si>
  <si>
    <t xml:space="preserve">COUPNUM(DATE(2024,9,30),DATE(2034,3,31),4,4)</t>
  </si>
  <si>
    <t xml:space="preserve">COUPDAYBS(DATE(2024,9,30),DATE(2034,3,31),4,4)</t>
  </si>
  <si>
    <t xml:space="preserve">COUPDAYS(DATE(2024,9,30),DATE(2034,3,31),4,4)</t>
  </si>
  <si>
    <t xml:space="preserve">COUPDAYSNC(DATE(2024,9,30),DATE(2034,3,31),4,4)</t>
  </si>
  <si>
    <t xml:space="preserve">COUPNUM(DATE(2024,9,30),DATE(2034,3,31),2)</t>
  </si>
  <si>
    <t xml:space="preserve">COUPDAYS(DATE(2024,9,30),DATE(2034,3,31),2)</t>
  </si>
  <si>
    <t xml:space="preserve">COUPPCD(DATE(2024,4,30),DATE(2024,10,31),1,0)</t>
  </si>
  <si>
    <t xml:space="preserve">COUPNCD(DATE(2024,4,30),DATE(2024,10,31),1,0)</t>
  </si>
  <si>
    <t xml:space="preserve">COUPNUM(DATE(2024,4,30),DATE(2024,10,31),1,0)</t>
  </si>
  <si>
    <t xml:space="preserve">COUPDAYBS(DATE(2024,4,30),DATE(2024,10,31),1,0)</t>
  </si>
  <si>
    <t xml:space="preserve">COUPDAYS(DATE(2024,4,30),DATE(2024,10,31),1,0)</t>
  </si>
  <si>
    <t xml:space="preserve">COUPDAYSNC(DATE(2024,4,30),DATE(2024,10,31),1,0)</t>
  </si>
  <si>
    <t xml:space="preserve">COUPPCD(DATE(2024,4,30),DATE(2024,10,31),1,1)</t>
  </si>
  <si>
    <t xml:space="preserve">COUPNCD(DATE(2024,4,30),DATE(2024,10,31),1,1)</t>
  </si>
  <si>
    <t xml:space="preserve">COUPNUM(DATE(2024,4,30),DATE(2024,10,31),1,1)</t>
  </si>
  <si>
    <t xml:space="preserve">COUPDAYBS(DATE(2024,4,30),DATE(2024,10,31),1,1)</t>
  </si>
  <si>
    <t xml:space="preserve">COUPDAYS(DATE(2024,4,30),DATE(2024,10,31),1,1)</t>
  </si>
  <si>
    <t xml:space="preserve">COUPDAYSNC(DATE(2024,4,30),DATE(2024,10,31),1,1)</t>
  </si>
  <si>
    <t xml:space="preserve">COUPPCD(DATE(2024,4,30),DATE(2024,10,31),1,2)</t>
  </si>
  <si>
    <t xml:space="preserve">COUPNCD(DATE(2024,4,30),DATE(2024,10,31),1,2)</t>
  </si>
  <si>
    <t xml:space="preserve">COUPNUM(DATE(2024,4,30),DATE(2024,10,31),1,2)</t>
  </si>
  <si>
    <t xml:space="preserve">COUPDAYBS(DATE(2024,4,30),DATE(2024,10,31),1,2)</t>
  </si>
  <si>
    <t xml:space="preserve">COUPDAYS(DATE(2024,4,30),DATE(2024,10,31),1,2)</t>
  </si>
  <si>
    <t xml:space="preserve">COUPDAYSNC(DATE(2024,4,30),DATE(2024,10,31),1,2)</t>
  </si>
  <si>
    <t xml:space="preserve">COUPPCD(DATE(2024,4,30),DATE(2024,10,31),1,3)</t>
  </si>
  <si>
    <t xml:space="preserve">COUPNCD(DATE(2024,4,30),DATE(2024,10,31),1,3)</t>
  </si>
  <si>
    <t xml:space="preserve">COUPNUM(DATE(2024,4,30),DATE(2024,10,31),1,3)</t>
  </si>
  <si>
    <t xml:space="preserve">COUPDAYBS(DATE(2024,4,30),DATE(2024,10,31),1,3)</t>
  </si>
  <si>
    <t xml:space="preserve">COUPDAYS(DATE(2024,4,30),DATE(2024,10,31),1,3)</t>
  </si>
  <si>
    <t xml:space="preserve">COUPDAYSNC(DATE(2024,4,30),DATE(2024,10,31),1,3)</t>
  </si>
  <si>
    <t xml:space="preserve">COUPPCD(DATE(2024,4,30),DATE(2024,10,31),1,4)</t>
  </si>
  <si>
    <t xml:space="preserve">COUPNCD(DATE(2024,4,30),DATE(2024,10,31),1,4)</t>
  </si>
  <si>
    <t xml:space="preserve">COUPNUM(DATE(2024,4,30),DATE(2024,10,31),1,4)</t>
  </si>
  <si>
    <t xml:space="preserve">COUPDAYBS(DATE(2024,4,30),DATE(2024,10,31),1,4)</t>
  </si>
  <si>
    <t xml:space="preserve">COUPDAYS(DATE(2024,4,30),DATE(2024,10,31),1,4)</t>
  </si>
  <si>
    <t xml:space="preserve">COUPDAYSNC(DATE(2024,4,30),DATE(2024,10,31),1,4)</t>
  </si>
  <si>
    <t xml:space="preserve">COUPPCD(DATE(2024,4,30),DATE(2024,10,31),2,0)</t>
  </si>
  <si>
    <t xml:space="preserve">COUPNCD(DATE(2024,4,30),DATE(2024,10,31),2,0)</t>
  </si>
  <si>
    <t xml:space="preserve">COUPNUM(DATE(2024,4,30),DATE(2024,10,31),2,0)</t>
  </si>
  <si>
    <t xml:space="preserve">COUPDAYBS(DATE(2024,4,30),DATE(2024,10,31),2,0)</t>
  </si>
  <si>
    <t xml:space="preserve">COUPDAYS(DATE(2024,4,30),DATE(2024,10,31),2,0)</t>
  </si>
  <si>
    <t xml:space="preserve">COUPDAYSNC(DATE(2024,4,30),DATE(2024,10,31),2,0)</t>
  </si>
  <si>
    <t xml:space="preserve">COUPPCD(DATE(2024,4,30),DATE(2024,10,31),2,1)</t>
  </si>
  <si>
    <t xml:space="preserve">COUPNCD(DATE(2024,4,30),DATE(2024,10,31),2,1)</t>
  </si>
  <si>
    <t xml:space="preserve">COUPNUM(DATE(2024,4,30),DATE(2024,10,31),2,1)</t>
  </si>
  <si>
    <t xml:space="preserve">COUPDAYBS(DATE(2024,4,30),DATE(2024,10,31),2,1)</t>
  </si>
  <si>
    <t xml:space="preserve">COUPDAYS(DATE(2024,4,30),DATE(2024,10,31),2,1)</t>
  </si>
  <si>
    <t xml:space="preserve">COUPDAYSNC(DATE(2024,4,30),DATE(2024,10,31),2,1)</t>
  </si>
  <si>
    <t xml:space="preserve">COUPPCD(DATE(2024,4,30),DATE(2024,10,31),2,2)</t>
  </si>
  <si>
    <t xml:space="preserve">COUPNCD(DATE(2024,4,30),DATE(2024,10,31),2,2)</t>
  </si>
  <si>
    <t xml:space="preserve">COUPNUM(DATE(2024,4,30),DATE(2024,10,31),2,2)</t>
  </si>
  <si>
    <t xml:space="preserve">COUPDAYBS(DATE(2024,4,30),DATE(2024,10,31),2,2)</t>
  </si>
  <si>
    <t xml:space="preserve">COUPDAYS(DATE(2024,4,30),DATE(2024,10,31),2,2)</t>
  </si>
  <si>
    <t xml:space="preserve">COUPDAYSNC(DATE(2024,4,30),DATE(2024,10,31),2,2)</t>
  </si>
  <si>
    <t xml:space="preserve">COUPPCD(DATE(2024,4,30),DATE(2024,10,31),2,3)</t>
  </si>
  <si>
    <t xml:space="preserve">COUPNCD(DATE(2024,4,30),DATE(2024,10,31),2,3)</t>
  </si>
  <si>
    <t xml:space="preserve">COUPNUM(DATE(2024,4,30),DATE(2024,10,31),2,3)</t>
  </si>
  <si>
    <t xml:space="preserve">COUPDAYBS(DATE(2024,4,30),DATE(2024,10,31),2,3)</t>
  </si>
  <si>
    <t xml:space="preserve">COUPDAYS(DATE(2024,4,30),DATE(2024,10,31),2,3)</t>
  </si>
  <si>
    <t xml:space="preserve">COUPDAYSNC(DATE(2024,4,30),DATE(2024,10,31),2,3)</t>
  </si>
  <si>
    <t xml:space="preserve">COUPPCD(DATE(2024,4,30),DATE(2024,10,31),2,4)</t>
  </si>
  <si>
    <t xml:space="preserve">COUPNCD(DATE(2024,4,30),DATE(2024,10,31),2,4)</t>
  </si>
  <si>
    <t xml:space="preserve">COUPNUM(DATE(2024,4,30),DATE(2024,10,31),2,4)</t>
  </si>
  <si>
    <t xml:space="preserve">COUPDAYBS(DATE(2024,4,30),DATE(2024,10,31),2,4)</t>
  </si>
  <si>
    <t xml:space="preserve">COUPDAYS(DATE(2024,4,30),DATE(2024,10,31),2,4)</t>
  </si>
  <si>
    <t xml:space="preserve">COUPDAYSNC(DATE(2024,4,30),DATE(2024,10,31),2,4)</t>
  </si>
  <si>
    <t xml:space="preserve">COUPPCD(DATE(2024,4,30),DATE(2024,10,31),4,0)</t>
  </si>
  <si>
    <t xml:space="preserve">COUPNCD(DATE(2024,4,30),DATE(2024,10,31),4,0)</t>
  </si>
  <si>
    <t xml:space="preserve">COUPNUM(DATE(2024,4,30),DATE(2024,10,31),4,0)</t>
  </si>
  <si>
    <t xml:space="preserve">COUPDAYBS(DATE(2024,4,30),DATE(2024,10,31),4,0)</t>
  </si>
  <si>
    <t xml:space="preserve">COUPDAYS(DATE(2024,4,30),DATE(2024,10,31),4,0)</t>
  </si>
  <si>
    <t xml:space="preserve">COUPDAYSNC(DATE(2024,4,30),DATE(2024,10,31),4,0)</t>
  </si>
  <si>
    <t xml:space="preserve">COUPPCD(DATE(2024,4,30),DATE(2024,10,31),4,1)</t>
  </si>
  <si>
    <t xml:space="preserve">COUPNCD(DATE(2024,4,30),DATE(2024,10,31),4,1)</t>
  </si>
  <si>
    <t xml:space="preserve">COUPNUM(DATE(2024,4,30),DATE(2024,10,31),4,1)</t>
  </si>
  <si>
    <t xml:space="preserve">COUPDAYBS(DATE(2024,4,30),DATE(2024,10,31),4,1)</t>
  </si>
  <si>
    <t xml:space="preserve">COUPDAYS(DATE(2024,4,30),DATE(2024,10,31),4,1)</t>
  </si>
  <si>
    <t xml:space="preserve">COUPDAYSNC(DATE(2024,4,30),DATE(2024,10,31),4,1)</t>
  </si>
  <si>
    <t xml:space="preserve">COUPPCD(DATE(2024,4,30),DATE(2024,10,31),4,2)</t>
  </si>
  <si>
    <t xml:space="preserve">COUPNCD(DATE(2024,4,30),DATE(2024,10,31),4,2)</t>
  </si>
  <si>
    <t xml:space="preserve">COUPNUM(DATE(2024,4,30),DATE(2024,10,31),4,2)</t>
  </si>
  <si>
    <t xml:space="preserve">COUPDAYBS(DATE(2024,4,30),DATE(2024,10,31),4,2)</t>
  </si>
  <si>
    <t xml:space="preserve">COUPDAYS(DATE(2024,4,30),DATE(2024,10,31),4,2)</t>
  </si>
  <si>
    <t xml:space="preserve">COUPDAYSNC(DATE(2024,4,30),DATE(2024,10,31),4,2)</t>
  </si>
  <si>
    <t xml:space="preserve">COUPPCD(DATE(2024,4,30),DATE(2024,10,31),4,3)</t>
  </si>
  <si>
    <t xml:space="preserve">COUPNCD(DATE(2024,4,30),DATE(2024,10,31),4,3)</t>
  </si>
  <si>
    <t xml:space="preserve">COUPNUM(DATE(2024,4,30),DATE(2024,10,31),4,3)</t>
  </si>
  <si>
    <t xml:space="preserve">COUPDAYBS(DATE(2024,4,30),DATE(2024,10,31),4,3)</t>
  </si>
  <si>
    <t xml:space="preserve">COUPDAYS(DATE(2024,4,30),DATE(2024,10,31),4,3)</t>
  </si>
  <si>
    <t xml:space="preserve">COUPDAYSNC(DATE(2024,4,30),DATE(2024,10,31),4,3)</t>
  </si>
  <si>
    <t xml:space="preserve">COUPPCD(DATE(2024,4,30),DATE(2024,10,31),4,4)</t>
  </si>
  <si>
    <t xml:space="preserve">COUPNCD(DATE(2024,4,30),DATE(2024,10,31),4,4)</t>
  </si>
  <si>
    <t xml:space="preserve">COUPNUM(DATE(2024,4,30),DATE(2024,10,31),4,4)</t>
  </si>
  <si>
    <t xml:space="preserve">COUPDAYBS(DATE(2024,4,30),DATE(2024,10,31),4,4)</t>
  </si>
  <si>
    <t xml:space="preserve">COUPDAYS(DATE(2024,4,30),DATE(2024,10,31),4,4)</t>
  </si>
  <si>
    <t xml:space="preserve">COUPDAYSNC(DATE(2024,4,30),DATE(2024,10,31),4,4)</t>
  </si>
  <si>
    <t xml:space="preserve">COUPNUM(DATE(2024,4,30),DATE(2024,10,31),2)</t>
  </si>
  <si>
    <t xml:space="preserve">COUPDAYS(DATE(2024,4,30),DATE(2024,10,31),2)</t>
  </si>
  <si>
    <t xml:space="preserve">COUPPCD(DATE(2023,8,31),DATE(2025,2,28),1,0)</t>
  </si>
  <si>
    <t xml:space="preserve">COUPNCD(DATE(2023,8,31),DATE(2025,2,28),1,0)</t>
  </si>
  <si>
    <t xml:space="preserve">COUPNUM(DATE(2023,8,31),DATE(2025,2,28),1,0)</t>
  </si>
  <si>
    <t xml:space="preserve">COUPDAYBS(DATE(2023,8,31),DATE(2025,2,28),1,0)</t>
  </si>
  <si>
    <t xml:space="preserve">COUPDAYS(DATE(2023,8,31),DATE(2025,2,28),1,0)</t>
  </si>
  <si>
    <t xml:space="preserve">COUPDAYSNC(DATE(2023,8,31),DATE(2025,2,28),1,0)</t>
  </si>
  <si>
    <t xml:space="preserve">COUPPCD(DATE(2023,8,31),DATE(2025,2,28),1,1)</t>
  </si>
  <si>
    <t xml:space="preserve">COUPNCD(DATE(2023,8,31),DATE(2025,2,28),1,1)</t>
  </si>
  <si>
    <t xml:space="preserve">COUPNUM(DATE(2023,8,31),DATE(2025,2,28),1,1)</t>
  </si>
  <si>
    <t xml:space="preserve">COUPDAYBS(DATE(2023,8,31),DATE(2025,2,28),1,1)</t>
  </si>
  <si>
    <t xml:space="preserve">COUPDAYS(DATE(2023,8,31),DATE(2025,2,28),1,1)</t>
  </si>
  <si>
    <t xml:space="preserve">COUPDAYSNC(DATE(2023,8,31),DATE(2025,2,28),1,1)</t>
  </si>
  <si>
    <t xml:space="preserve">COUPPCD(DATE(2023,8,31),DATE(2025,2,28),1,2)</t>
  </si>
  <si>
    <t xml:space="preserve">COUPNCD(DATE(2023,8,31),DATE(2025,2,28),1,2)</t>
  </si>
  <si>
    <t xml:space="preserve">COUPNUM(DATE(2023,8,31),DATE(2025,2,28),1,2)</t>
  </si>
  <si>
    <t xml:space="preserve">COUPDAYBS(DATE(2023,8,31),DATE(2025,2,28),1,2)</t>
  </si>
  <si>
    <t xml:space="preserve">COUPDAYS(DATE(2023,8,31),DATE(2025,2,28),1,2)</t>
  </si>
  <si>
    <t xml:space="preserve">COUPDAYSNC(DATE(2023,8,31),DATE(2025,2,28),1,2)</t>
  </si>
  <si>
    <t xml:space="preserve">COUPPCD(DATE(2023,8,31),DATE(2025,2,28),1,3)</t>
  </si>
  <si>
    <t xml:space="preserve">COUPNCD(DATE(2023,8,31),DATE(2025,2,28),1,3)</t>
  </si>
  <si>
    <t xml:space="preserve">COUPNUM(DATE(2023,8,31),DATE(2025,2,28),1,3)</t>
  </si>
  <si>
    <t xml:space="preserve">COUPDAYBS(DATE(2023,8,31),DATE(2025,2,28),1,3)</t>
  </si>
  <si>
    <t xml:space="preserve">COUPDAYS(DATE(2023,8,31),DATE(2025,2,28),1,3)</t>
  </si>
  <si>
    <t xml:space="preserve">COUPDAYSNC(DATE(2023,8,31),DATE(2025,2,28),1,3)</t>
  </si>
  <si>
    <t xml:space="preserve">COUPPCD(DATE(2023,8,31),DATE(2025,2,28),1,4)</t>
  </si>
  <si>
    <t xml:space="preserve">COUPNCD(DATE(2023,8,31),DATE(2025,2,28),1,4)</t>
  </si>
  <si>
    <t xml:space="preserve">COUPNUM(DATE(2023,8,31),DATE(2025,2,28),1,4)</t>
  </si>
  <si>
    <t xml:space="preserve">COUPDAYBS(DATE(2023,8,31),DATE(2025,2,28),1,4)</t>
  </si>
  <si>
    <t xml:space="preserve">COUPDAYS(DATE(2023,8,31),DATE(2025,2,28),1,4)</t>
  </si>
  <si>
    <t xml:space="preserve">COUPDAYSNC(DATE(2023,8,31),DATE(2025,2,28),1,4)</t>
  </si>
  <si>
    <t xml:space="preserve">COUPPCD(DATE(2023,8,31),DATE(2025,2,28),2,0)</t>
  </si>
  <si>
    <t xml:space="preserve">COUPNCD(DATE(2023,8,31),DATE(2025,2,28),2,0)</t>
  </si>
  <si>
    <t xml:space="preserve">COUPNUM(DATE(2023,8,31),DATE(2025,2,28),2,0)</t>
  </si>
  <si>
    <t xml:space="preserve">COUPDAYBS(DATE(2023,8,31),DATE(2025,2,28),2,0)</t>
  </si>
  <si>
    <t xml:space="preserve">COUPDAYS(DATE(2023,8,31),DATE(2025,2,28),2,0)</t>
  </si>
  <si>
    <t xml:space="preserve">COUPDAYSNC(DATE(2023,8,31),DATE(2025,2,28),2,0)</t>
  </si>
  <si>
    <t xml:space="preserve">COUPPCD(DATE(2023,8,31),DATE(2025,2,28),2,1)</t>
  </si>
  <si>
    <t xml:space="preserve">COUPNCD(DATE(2023,8,31),DATE(2025,2,28),2,1)</t>
  </si>
  <si>
    <t xml:space="preserve">COUPNUM(DATE(2023,8,31),DATE(2025,2,28),2,1)</t>
  </si>
  <si>
    <t xml:space="preserve">COUPDAYBS(DATE(2023,8,31),DATE(2025,2,28),2,1)</t>
  </si>
  <si>
    <t xml:space="preserve">COUPDAYS(DATE(2023,8,31),DATE(2025,2,28),2,1)</t>
  </si>
  <si>
    <t xml:space="preserve">COUPDAYSNC(DATE(2023,8,31),DATE(2025,2,28),2,1)</t>
  </si>
  <si>
    <t xml:space="preserve">COUPPCD(DATE(2023,8,31),DATE(2025,2,28),2,2)</t>
  </si>
  <si>
    <t xml:space="preserve">COUPNCD(DATE(2023,8,31),DATE(2025,2,28),2,2)</t>
  </si>
  <si>
    <t xml:space="preserve">COUPNUM(DATE(2023,8,31),DATE(2025,2,28),2,2)</t>
  </si>
  <si>
    <t xml:space="preserve">COUPDAYBS(DATE(2023,8,31),DATE(2025,2,28),2,2)</t>
  </si>
  <si>
    <t xml:space="preserve">COUPDAYS(DATE(2023,8,31),DATE(2025,2,28),2,2)</t>
  </si>
  <si>
    <t xml:space="preserve">COUPDAYSNC(DATE(2023,8,31),DATE(2025,2,28),2,2)</t>
  </si>
  <si>
    <t xml:space="preserve">COUPPCD(DATE(2023,8,31),DATE(2025,2,28),2,3)</t>
  </si>
  <si>
    <t xml:space="preserve">COUPNCD(DATE(2023,8,31),DATE(2025,2,28),2,3)</t>
  </si>
  <si>
    <t xml:space="preserve">COUPNUM(DATE(2023,8,31),DATE(2025,2,28),2,3)</t>
  </si>
  <si>
    <t xml:space="preserve">COUPDAYBS(DATE(2023,8,31),DATE(2025,2,28),2,3)</t>
  </si>
  <si>
    <t xml:space="preserve">COUPDAYS(DATE(2023,8,31),DATE(2025,2,28),2,3)</t>
  </si>
  <si>
    <t xml:space="preserve">COUPDAYSNC(DATE(2023,8,31),DATE(2025,2,28),2,3)</t>
  </si>
  <si>
    <t xml:space="preserve">COUPPCD(DATE(2023,8,31),DATE(2025,2,28),2,4)</t>
  </si>
  <si>
    <t xml:space="preserve">COUPNCD(DATE(2023,8,31),DATE(2025,2,28),2,4)</t>
  </si>
  <si>
    <t xml:space="preserve">COUPNUM(DATE(2023,8,31),DATE(2025,2,28),2,4)</t>
  </si>
  <si>
    <t xml:space="preserve">COUPDAYBS(DATE(2023,8,31),DATE(2025,2,28),2,4)</t>
  </si>
  <si>
    <t xml:space="preserve">COUPDAYS(DATE(2023,8,31),DATE(2025,2,28),2,4)</t>
  </si>
  <si>
    <t xml:space="preserve">COUPDAYSNC(DATE(2023,8,31),DATE(2025,2,28),2,4)</t>
  </si>
  <si>
    <t xml:space="preserve">COUPPCD(DATE(2023,8,31),DATE(2025,2,28),4,0)</t>
  </si>
  <si>
    <t xml:space="preserve">COUPNCD(DATE(2023,8,31),DATE(2025,2,28),4,0)</t>
  </si>
  <si>
    <t xml:space="preserve">COUPNUM(DATE(2023,8,31),DATE(2025,2,28),4,0)</t>
  </si>
  <si>
    <t xml:space="preserve">COUPDAYBS(DATE(2023,8,31),DATE(2025,2,28),4,0)</t>
  </si>
  <si>
    <t xml:space="preserve">COUPDAYS(DATE(2023,8,31),DATE(2025,2,28),4,0)</t>
  </si>
  <si>
    <t xml:space="preserve">COUPDAYSNC(DATE(2023,8,31),DATE(2025,2,28),4,0)</t>
  </si>
  <si>
    <t xml:space="preserve">COUPPCD(DATE(2023,8,31),DATE(2025,2,28),4,1)</t>
  </si>
  <si>
    <t xml:space="preserve">COUPNCD(DATE(2023,8,31),DATE(2025,2,28),4,1)</t>
  </si>
  <si>
    <t xml:space="preserve">COUPNUM(DATE(2023,8,31),DATE(2025,2,28),4,1)</t>
  </si>
  <si>
    <t xml:space="preserve">COUPDAYBS(DATE(2023,8,31),DATE(2025,2,28),4,1)</t>
  </si>
  <si>
    <t xml:space="preserve">COUPDAYS(DATE(2023,8,31),DATE(2025,2,28),4,1)</t>
  </si>
  <si>
    <t xml:space="preserve">COUPDAYSNC(DATE(2023,8,31),DATE(2025,2,28),4,1)</t>
  </si>
  <si>
    <t xml:space="preserve">COUPPCD(DATE(2023,8,31),DATE(2025,2,28),4,2)</t>
  </si>
  <si>
    <t xml:space="preserve">COUPNCD(DATE(2023,8,31),DATE(2025,2,28),4,2)</t>
  </si>
  <si>
    <t xml:space="preserve">COUPNUM(DATE(2023,8,31),DATE(2025,2,28),4,2)</t>
  </si>
  <si>
    <t xml:space="preserve">COUPDAYBS(DATE(2023,8,31),DATE(2025,2,28),4,2)</t>
  </si>
  <si>
    <t xml:space="preserve">COUPDAYS(DATE(2023,8,31),DATE(2025,2,28),4,2)</t>
  </si>
  <si>
    <t xml:space="preserve">COUPDAYSNC(DATE(2023,8,31),DATE(2025,2,28),4,2)</t>
  </si>
  <si>
    <t xml:space="preserve">COUPPCD(DATE(2023,8,31),DATE(2025,2,28),4,3)</t>
  </si>
  <si>
    <t xml:space="preserve">COUPNCD(DATE(2023,8,31),DATE(2025,2,28),4,3)</t>
  </si>
  <si>
    <t xml:space="preserve">COUPNUM(DATE(2023,8,31),DATE(2025,2,28),4,3)</t>
  </si>
  <si>
    <t xml:space="preserve">COUPDAYBS(DATE(2023,8,31),DATE(2025,2,28),4,3)</t>
  </si>
  <si>
    <t xml:space="preserve">COUPDAYS(DATE(2023,8,31),DATE(2025,2,28),4,3)</t>
  </si>
  <si>
    <t xml:space="preserve">COUPDAYSNC(DATE(2023,8,31),DATE(2025,2,28),4,3)</t>
  </si>
  <si>
    <t xml:space="preserve">COUPPCD(DATE(2023,8,31),DATE(2025,2,28),4,4)</t>
  </si>
  <si>
    <t xml:space="preserve">COUPNCD(DATE(2023,8,31),DATE(2025,2,28),4,4)</t>
  </si>
  <si>
    <t xml:space="preserve">COUPNUM(DATE(2023,8,31),DATE(2025,2,28),4,4)</t>
  </si>
  <si>
    <t xml:space="preserve">COUPDAYBS(DATE(2023,8,31),DATE(2025,2,28),4,4)</t>
  </si>
  <si>
    <t xml:space="preserve">COUPDAYS(DATE(2023,8,31),DATE(2025,2,28),4,4)</t>
  </si>
  <si>
    <t xml:space="preserve">COUPDAYSNC(DATE(2023,8,31),DATE(2025,2,28),4,4)</t>
  </si>
  <si>
    <t xml:space="preserve">COUPNUM(DATE(2023,8,31),DATE(2025,2,28),2)</t>
  </si>
  <si>
    <t xml:space="preserve">COUPDAYS(DATE(2023,8,31),DATE(2025,2,28),2)</t>
  </si>
  <si>
    <t xml:space="preserve">COUPPCD(DATE(2024,2,28),DATE(2024,8,31),1,0)</t>
  </si>
  <si>
    <t xml:space="preserve">COUPNCD(DATE(2024,2,28),DATE(2024,8,31),1,0)</t>
  </si>
  <si>
    <t xml:space="preserve">COUPNUM(DATE(2024,2,28),DATE(2024,8,31),1,0)</t>
  </si>
  <si>
    <t xml:space="preserve">COUPDAYBS(DATE(2024,2,28),DATE(2024,8,31),1,0)</t>
  </si>
  <si>
    <t xml:space="preserve">COUPDAYS(DATE(2024,2,28),DATE(2024,8,31),1,0)</t>
  </si>
  <si>
    <t xml:space="preserve">COUPDAYSNC(DATE(2024,2,28),DATE(2024,8,31),1,0)</t>
  </si>
  <si>
    <t xml:space="preserve">COUPPCD(DATE(2024,2,28),DATE(2024,8,31),1,1)</t>
  </si>
  <si>
    <t xml:space="preserve">COUPNCD(DATE(2024,2,28),DATE(2024,8,31),1,1)</t>
  </si>
  <si>
    <t xml:space="preserve">COUPNUM(DATE(2024,2,28),DATE(2024,8,31),1,1)</t>
  </si>
  <si>
    <t xml:space="preserve">COUPDAYBS(DATE(2024,2,28),DATE(2024,8,31),1,1)</t>
  </si>
  <si>
    <t xml:space="preserve">COUPDAYS(DATE(2024,2,28),DATE(2024,8,31),1,1)</t>
  </si>
  <si>
    <t xml:space="preserve">COUPDAYSNC(DATE(2024,2,28),DATE(2024,8,31),1,1)</t>
  </si>
  <si>
    <t xml:space="preserve">COUPPCD(DATE(2024,2,28),DATE(2024,8,31),1,2)</t>
  </si>
  <si>
    <t xml:space="preserve">COUPNCD(DATE(2024,2,28),DATE(2024,8,31),1,2)</t>
  </si>
  <si>
    <t xml:space="preserve">COUPNUM(DATE(2024,2,28),DATE(2024,8,31),1,2)</t>
  </si>
  <si>
    <t xml:space="preserve">COUPDAYBS(DATE(2024,2,28),DATE(2024,8,31),1,2)</t>
  </si>
  <si>
    <t xml:space="preserve">COUPDAYS(DATE(2024,2,28),DATE(2024,8,31),1,2)</t>
  </si>
  <si>
    <t xml:space="preserve">COUPDAYSNC(DATE(2024,2,28),DATE(2024,8,31),1,2)</t>
  </si>
  <si>
    <t xml:space="preserve">COUPPCD(DATE(2024,2,28),DATE(2024,8,31),1,3)</t>
  </si>
  <si>
    <t xml:space="preserve">COUPNCD(DATE(2024,2,28),DATE(2024,8,31),1,3)</t>
  </si>
  <si>
    <t xml:space="preserve">COUPNUM(DATE(2024,2,28),DATE(2024,8,31),1,3)</t>
  </si>
  <si>
    <t xml:space="preserve">COUPDAYBS(DATE(2024,2,28),DATE(2024,8,31),1,3)</t>
  </si>
  <si>
    <t xml:space="preserve">COUPDAYS(DATE(2024,2,28),DATE(2024,8,31),1,3)</t>
  </si>
  <si>
    <t xml:space="preserve">COUPDAYSNC(DATE(2024,2,28),DATE(2024,8,31),1,3)</t>
  </si>
  <si>
    <t xml:space="preserve">COUPPCD(DATE(2024,2,28),DATE(2024,8,31),1,4)</t>
  </si>
  <si>
    <t xml:space="preserve">COUPNCD(DATE(2024,2,28),DATE(2024,8,31),1,4)</t>
  </si>
  <si>
    <t xml:space="preserve">COUPNUM(DATE(2024,2,28),DATE(2024,8,31),1,4)</t>
  </si>
  <si>
    <t xml:space="preserve">COUPDAYBS(DATE(2024,2,28),DATE(2024,8,31),1,4)</t>
  </si>
  <si>
    <t xml:space="preserve">COUPDAYS(DATE(2024,2,28),DATE(2024,8,31),1,4)</t>
  </si>
  <si>
    <t xml:space="preserve">COUPDAYSNC(DATE(2024,2,28),DATE(2024,8,31),1,4)</t>
  </si>
  <si>
    <t xml:space="preserve">COUPPCD(DATE(2024,2,28),DATE(2024,8,31),2,0)</t>
  </si>
  <si>
    <t xml:space="preserve">COUPNCD(DATE(2024,2,28),DATE(2024,8,31),2,0)</t>
  </si>
  <si>
    <t xml:space="preserve">COUPNUM(DATE(2024,2,28),DATE(2024,8,31),2,0)</t>
  </si>
  <si>
    <t xml:space="preserve">COUPDAYBS(DATE(2024,2,28),DATE(2024,8,31),2,0)</t>
  </si>
  <si>
    <t xml:space="preserve">COUPDAYS(DATE(2024,2,28),DATE(2024,8,31),2,0)</t>
  </si>
  <si>
    <t xml:space="preserve">COUPDAYSNC(DATE(2024,2,28),DATE(2024,8,31),2,0)</t>
  </si>
  <si>
    <t xml:space="preserve">COUPPCD(DATE(2024,2,28),DATE(2024,8,31),2,1)</t>
  </si>
  <si>
    <t xml:space="preserve">COUPNCD(DATE(2024,2,28),DATE(2024,8,31),2,1)</t>
  </si>
  <si>
    <t xml:space="preserve">COUPNUM(DATE(2024,2,28),DATE(2024,8,31),2,1)</t>
  </si>
  <si>
    <t xml:space="preserve">COUPDAYBS(DATE(2024,2,28),DATE(2024,8,31),2,1)</t>
  </si>
  <si>
    <t xml:space="preserve">COUPDAYS(DATE(2024,2,28),DATE(2024,8,31),2,1)</t>
  </si>
  <si>
    <t xml:space="preserve">COUPDAYSNC(DATE(2024,2,28),DATE(2024,8,31),2,1)</t>
  </si>
  <si>
    <t xml:space="preserve">COUPPCD(DATE(2024,2,28),DATE(2024,8,31),2,2)</t>
  </si>
  <si>
    <t xml:space="preserve">COUPNCD(DATE(2024,2,28),DATE(2024,8,31),2,2)</t>
  </si>
  <si>
    <t xml:space="preserve">COUPNUM(DATE(2024,2,28),DATE(2024,8,31),2,2)</t>
  </si>
  <si>
    <t xml:space="preserve">COUPDAYBS(DATE(2024,2,28),DATE(2024,8,31),2,2)</t>
  </si>
  <si>
    <t xml:space="preserve">COUPDAYS(DATE(2024,2,28),DATE(2024,8,31),2,2)</t>
  </si>
  <si>
    <t xml:space="preserve">COUPDAYSNC(DATE(2024,2,28),DATE(2024,8,31),2,2)</t>
  </si>
  <si>
    <t xml:space="preserve">COUPPCD(DATE(2024,2,28),DATE(2024,8,31),2,3)</t>
  </si>
  <si>
    <t xml:space="preserve">COUPNCD(DATE(2024,2,28),DATE(2024,8,31),2,3)</t>
  </si>
  <si>
    <t xml:space="preserve">COUPNUM(DATE(2024,2,28),DATE(2024,8,31),2,3)</t>
  </si>
  <si>
    <t xml:space="preserve">COUPDAYBS(DATE(2024,2,28),DATE(2024,8,31),2,3)</t>
  </si>
  <si>
    <t xml:space="preserve">COUPDAYS(DATE(2024,2,28),DATE(2024,8,31),2,3)</t>
  </si>
  <si>
    <t xml:space="preserve">COUPDAYSNC(DATE(2024,2,28),DATE(2024,8,31),2,3)</t>
  </si>
  <si>
    <t xml:space="preserve">COUPPCD(DATE(2024,2,28),DATE(2024,8,31),2,4)</t>
  </si>
  <si>
    <t xml:space="preserve">COUPNCD(DATE(2024,2,28),DATE(2024,8,31),2,4)</t>
  </si>
  <si>
    <t xml:space="preserve">COUPNUM(DATE(2024,2,28),DATE(2024,8,31),2,4)</t>
  </si>
  <si>
    <t xml:space="preserve">COUPDAYBS(DATE(2024,2,28),DATE(2024,8,31),2,4)</t>
  </si>
  <si>
    <t xml:space="preserve">COUPDAYS(DATE(2024,2,28),DATE(2024,8,31),2,4)</t>
  </si>
  <si>
    <t xml:space="preserve">COUPDAYSNC(DATE(2024,2,28),DATE(2024,8,31),2,4)</t>
  </si>
  <si>
    <t xml:space="preserve">COUPPCD(DATE(2024,2,28),DATE(2024,8,31),4,0)</t>
  </si>
  <si>
    <t xml:space="preserve">COUPNCD(DATE(2024,2,28),DATE(2024,8,31),4,0)</t>
  </si>
  <si>
    <t xml:space="preserve">COUPNUM(DATE(2024,2,28),DATE(2024,8,31),4,0)</t>
  </si>
  <si>
    <t xml:space="preserve">COUPDAYBS(DATE(2024,2,28),DATE(2024,8,31),4,0)</t>
  </si>
  <si>
    <t xml:space="preserve">COUPDAYS(DATE(2024,2,28),DATE(2024,8,31),4,0)</t>
  </si>
  <si>
    <t xml:space="preserve">COUPDAYSNC(DATE(2024,2,28),DATE(2024,8,31),4,0)</t>
  </si>
  <si>
    <t xml:space="preserve">COUPPCD(DATE(2024,2,28),DATE(2024,8,31),4,1)</t>
  </si>
  <si>
    <t xml:space="preserve">COUPNCD(DATE(2024,2,28),DATE(2024,8,31),4,1)</t>
  </si>
  <si>
    <t xml:space="preserve">COUPNUM(DATE(2024,2,28),DATE(2024,8,31),4,1)</t>
  </si>
  <si>
    <t xml:space="preserve">COUPDAYBS(DATE(2024,2,28),DATE(2024,8,31),4,1)</t>
  </si>
  <si>
    <t xml:space="preserve">COUPDAYS(DATE(2024,2,28),DATE(2024,8,31),4,1)</t>
  </si>
  <si>
    <t xml:space="preserve">COUPDAYSNC(DATE(2024,2,28),DATE(2024,8,31),4,1)</t>
  </si>
  <si>
    <t xml:space="preserve">COUPPCD(DATE(2024,2,28),DATE(2024,8,31),4,2)</t>
  </si>
  <si>
    <t xml:space="preserve">COUPNCD(DATE(2024,2,28),DATE(2024,8,31),4,2)</t>
  </si>
  <si>
    <t xml:space="preserve">COUPNUM(DATE(2024,2,28),DATE(2024,8,31),4,2)</t>
  </si>
  <si>
    <t xml:space="preserve">COUPDAYBS(DATE(2024,2,28),DATE(2024,8,31),4,2)</t>
  </si>
  <si>
    <t xml:space="preserve">COUPDAYS(DATE(2024,2,28),DATE(2024,8,31),4,2)</t>
  </si>
  <si>
    <t xml:space="preserve">COUPDAYSNC(DATE(2024,2,28),DATE(2024,8,31),4,2)</t>
  </si>
  <si>
    <t xml:space="preserve">COUPPCD(DATE(2024,2,28),DATE(2024,8,31),4,3)</t>
  </si>
  <si>
    <t xml:space="preserve">COUPNCD(DATE(2024,2,28),DATE(2024,8,31),4,3)</t>
  </si>
  <si>
    <t xml:space="preserve">COUPNUM(DATE(2024,2,28),DATE(2024,8,31),4,3)</t>
  </si>
  <si>
    <t xml:space="preserve">COUPDAYBS(DATE(2024,2,28),DATE(2024,8,31),4,3)</t>
  </si>
  <si>
    <t xml:space="preserve">COUPDAYS(DATE(2024,2,28),DATE(2024,8,31),4,3)</t>
  </si>
  <si>
    <t xml:space="preserve">COUPDAYSNC(DATE(2024,2,28),DATE(2024,8,31),4,3)</t>
  </si>
  <si>
    <t xml:space="preserve">COUPPCD(DATE(2024,2,28),DATE(2024,8,31),4,4)</t>
  </si>
  <si>
    <t xml:space="preserve">COUPNCD(DATE(2024,2,28),DATE(2024,8,31),4,4)</t>
  </si>
  <si>
    <t xml:space="preserve">COUPNUM(DATE(2024,2,28),DATE(2024,8,31),4,4)</t>
  </si>
  <si>
    <t xml:space="preserve">COUPDAYBS(DATE(2024,2,28),DATE(2024,8,31),4,4)</t>
  </si>
  <si>
    <t xml:space="preserve">COUPDAYS(DATE(2024,2,28),DATE(2024,8,31),4,4)</t>
  </si>
  <si>
    <t xml:space="preserve">COUPDAYSNC(DATE(2024,2,28),DATE(2024,8,31),4,4)</t>
  </si>
  <si>
    <t xml:space="preserve">COUPNUM(DATE(2024,2,28),DATE(2024,8,31),2)</t>
  </si>
  <si>
    <t xml:space="preserve">COUPDAYS(DATE(2024,2,28),DATE(2024,8,31),2)</t>
  </si>
  <si>
    <t xml:space="preserve">COUPPCD(DATE(2024,3,15),DATE(2024,9,15),1,0)</t>
  </si>
  <si>
    <t xml:space="preserve">COUPNCD(DATE(2024,3,15),DATE(2024,9,15),1,0)</t>
  </si>
  <si>
    <t xml:space="preserve">COUPNUM(DATE(2024,3,15),DATE(2024,9,15),1,0)</t>
  </si>
  <si>
    <t xml:space="preserve">COUPDAYBS(DATE(2024,3,15),DATE(2024,9,15),1,0)</t>
  </si>
  <si>
    <t xml:space="preserve">COUPDAYS(DATE(2024,3,15),DATE(2024,9,15),1,0)</t>
  </si>
  <si>
    <t xml:space="preserve">COUPDAYSNC(DATE(2024,3,15),DATE(2024,9,15),1,0)</t>
  </si>
  <si>
    <t xml:space="preserve">COUPPCD(DATE(2024,3,15),DATE(2024,9,15),1,1)</t>
  </si>
  <si>
    <t xml:space="preserve">COUPNCD(DATE(2024,3,15),DATE(2024,9,15),1,1)</t>
  </si>
  <si>
    <t xml:space="preserve">COUPNUM(DATE(2024,3,15),DATE(2024,9,15),1,1)</t>
  </si>
  <si>
    <t xml:space="preserve">COUPDAYBS(DATE(2024,3,15),DATE(2024,9,15),1,1)</t>
  </si>
  <si>
    <t xml:space="preserve">COUPDAYS(DATE(2024,3,15),DATE(2024,9,15),1,1)</t>
  </si>
  <si>
    <t xml:space="preserve">COUPDAYSNC(DATE(2024,3,15),DATE(2024,9,15),1,1)</t>
  </si>
  <si>
    <t xml:space="preserve">COUPPCD(DATE(2024,3,15),DATE(2024,9,15),1,2)</t>
  </si>
  <si>
    <t xml:space="preserve">COUPNCD(DATE(2024,3,15),DATE(2024,9,15),1,2)</t>
  </si>
  <si>
    <t xml:space="preserve">COUPNUM(DATE(2024,3,15),DATE(2024,9,15),1,2)</t>
  </si>
  <si>
    <t xml:space="preserve">COUPDAYBS(DATE(2024,3,15),DATE(2024,9,15),1,2)</t>
  </si>
  <si>
    <t xml:space="preserve">COUPDAYS(DATE(2024,3,15),DATE(2024,9,15),1,2)</t>
  </si>
  <si>
    <t xml:space="preserve">COUPDAYSNC(DATE(2024,3,15),DATE(2024,9,15),1,2)</t>
  </si>
  <si>
    <t xml:space="preserve">COUPPCD(DATE(2024,3,15),DATE(2024,9,15),1,3)</t>
  </si>
  <si>
    <t xml:space="preserve">COUPNCD(DATE(2024,3,15),DATE(2024,9,15),1,3)</t>
  </si>
  <si>
    <t xml:space="preserve">COUPNUM(DATE(2024,3,15),DATE(2024,9,15),1,3)</t>
  </si>
  <si>
    <t xml:space="preserve">COUPDAYBS(DATE(2024,3,15),DATE(2024,9,15),1,3)</t>
  </si>
  <si>
    <t xml:space="preserve">COUPDAYS(DATE(2024,3,15),DATE(2024,9,15),1,3)</t>
  </si>
  <si>
    <t xml:space="preserve">COUPDAYSNC(DATE(2024,3,15),DATE(2024,9,15),1,3)</t>
  </si>
  <si>
    <t xml:space="preserve">COUPPCD(DATE(2024,3,15),DATE(2024,9,15),1,4)</t>
  </si>
  <si>
    <t xml:space="preserve">COUPNCD(DATE(2024,3,15),DATE(2024,9,15),1,4)</t>
  </si>
  <si>
    <t xml:space="preserve">COUPNUM(DATE(2024,3,15),DATE(2024,9,15),1,4)</t>
  </si>
  <si>
    <t xml:space="preserve">COUPDAYBS(DATE(2024,3,15),DATE(2024,9,15),1,4)</t>
  </si>
  <si>
    <t xml:space="preserve">COUPDAYS(DATE(2024,3,15),DATE(2024,9,15),1,4)</t>
  </si>
  <si>
    <t xml:space="preserve">COUPDAYSNC(DATE(2024,3,15),DATE(2024,9,15),1,4)</t>
  </si>
  <si>
    <t xml:space="preserve">COUPPCD(DATE(2024,3,15),DATE(2024,9,15),2,0)</t>
  </si>
  <si>
    <t xml:space="preserve">COUPNCD(DATE(2024,3,15),DATE(2024,9,15),2,0)</t>
  </si>
  <si>
    <t xml:space="preserve">COUPNUM(DATE(2024,3,15),DATE(2024,9,15),2,0)</t>
  </si>
  <si>
    <t xml:space="preserve">COUPDAYBS(DATE(2024,3,15),DATE(2024,9,15),2,0)</t>
  </si>
  <si>
    <t xml:space="preserve">COUPDAYS(DATE(2024,3,15),DATE(2024,9,15),2,0)</t>
  </si>
  <si>
    <t xml:space="preserve">COUPDAYSNC(DATE(2024,3,15),DATE(2024,9,15),2,0)</t>
  </si>
  <si>
    <t xml:space="preserve">COUPPCD(DATE(2024,3,15),DATE(2024,9,15),2,1)</t>
  </si>
  <si>
    <t xml:space="preserve">COUPNCD(DATE(2024,3,15),DATE(2024,9,15),2,1)</t>
  </si>
  <si>
    <t xml:space="preserve">COUPNUM(DATE(2024,3,15),DATE(2024,9,15),2,1)</t>
  </si>
  <si>
    <t xml:space="preserve">COUPDAYBS(DATE(2024,3,15),DATE(2024,9,15),2,1)</t>
  </si>
  <si>
    <t xml:space="preserve">COUPDAYS(DATE(2024,3,15),DATE(2024,9,15),2,1)</t>
  </si>
  <si>
    <t xml:space="preserve">COUPDAYSNC(DATE(2024,3,15),DATE(2024,9,15),2,1)</t>
  </si>
  <si>
    <t xml:space="preserve">COUPPCD(DATE(2024,3,15),DATE(2024,9,15),2,2)</t>
  </si>
  <si>
    <t xml:space="preserve">COUPNCD(DATE(2024,3,15),DATE(2024,9,15),2,2)</t>
  </si>
  <si>
    <t xml:space="preserve">COUPNUM(DATE(2024,3,15),DATE(2024,9,15),2,2)</t>
  </si>
  <si>
    <t xml:space="preserve">COUPDAYBS(DATE(2024,3,15),DATE(2024,9,15),2,2)</t>
  </si>
  <si>
    <t xml:space="preserve">COUPDAYS(DATE(2024,3,15),DATE(2024,9,15),2,2)</t>
  </si>
  <si>
    <t xml:space="preserve">COUPDAYSNC(DATE(2024,3,15),DATE(2024,9,15),2,2)</t>
  </si>
  <si>
    <t xml:space="preserve">COUPPCD(DATE(2024,3,15),DATE(2024,9,15),2,3)</t>
  </si>
  <si>
    <t xml:space="preserve">COUPNCD(DATE(2024,3,15),DATE(2024,9,15),2,3)</t>
  </si>
  <si>
    <t xml:space="preserve">COUPNUM(DATE(2024,3,15),DATE(2024,9,15),2,3)</t>
  </si>
  <si>
    <t xml:space="preserve">COUPDAYBS(DATE(2024,3,15),DATE(2024,9,15),2,3)</t>
  </si>
  <si>
    <t xml:space="preserve">COUPDAYS(DATE(2024,3,15),DATE(2024,9,15),2,3)</t>
  </si>
  <si>
    <t xml:space="preserve">COUPDAYSNC(DATE(2024,3,15),DATE(2024,9,15),2,3)</t>
  </si>
  <si>
    <t xml:space="preserve">COUPPCD(DATE(2024,3,15),DATE(2024,9,15),2,4)</t>
  </si>
  <si>
    <t xml:space="preserve">COUPNCD(DATE(2024,3,15),DATE(2024,9,15),2,4)</t>
  </si>
  <si>
    <t xml:space="preserve">COUPNUM(DATE(2024,3,15),DATE(2024,9,15),2,4)</t>
  </si>
  <si>
    <t xml:space="preserve">COUPDAYBS(DATE(2024,3,15),DATE(2024,9,15),2,4)</t>
  </si>
  <si>
    <t xml:space="preserve">COUPDAYS(DATE(2024,3,15),DATE(2024,9,15),2,4)</t>
  </si>
  <si>
    <t xml:space="preserve">COUPDAYSNC(DATE(2024,3,15),DATE(2024,9,15),2,4)</t>
  </si>
  <si>
    <t xml:space="preserve">COUPPCD(DATE(2024,3,15),DATE(2024,9,15),4,0)</t>
  </si>
  <si>
    <t xml:space="preserve">COUPNCD(DATE(2024,3,15),DATE(2024,9,15),4,0)</t>
  </si>
  <si>
    <t xml:space="preserve">COUPNUM(DATE(2024,3,15),DATE(2024,9,15),4,0)</t>
  </si>
  <si>
    <t xml:space="preserve">COUPDAYBS(DATE(2024,3,15),DATE(2024,9,15),4,0)</t>
  </si>
  <si>
    <t xml:space="preserve">COUPDAYS(DATE(2024,3,15),DATE(2024,9,15),4,0)</t>
  </si>
  <si>
    <t xml:space="preserve">COUPDAYSNC(DATE(2024,3,15),DATE(2024,9,15),4,0)</t>
  </si>
  <si>
    <t xml:space="preserve">COUPPCD(DATE(2024,3,15),DATE(2024,9,15),4,1)</t>
  </si>
  <si>
    <t xml:space="preserve">COUPNCD(DATE(2024,3,15),DATE(2024,9,15),4,1)</t>
  </si>
  <si>
    <t xml:space="preserve">COUPNUM(DATE(2024,3,15),DATE(2024,9,15),4,1)</t>
  </si>
  <si>
    <t xml:space="preserve">COUPDAYBS(DATE(2024,3,15),DATE(2024,9,15),4,1)</t>
  </si>
  <si>
    <t xml:space="preserve">COUPDAYS(DATE(2024,3,15),DATE(2024,9,15),4,1)</t>
  </si>
  <si>
    <t xml:space="preserve">COUPDAYSNC(DATE(2024,3,15),DATE(2024,9,15),4,1)</t>
  </si>
  <si>
    <t xml:space="preserve">COUPPCD(DATE(2024,3,15),DATE(2024,9,15),4,2)</t>
  </si>
  <si>
    <t xml:space="preserve">COUPNCD(DATE(2024,3,15),DATE(2024,9,15),4,2)</t>
  </si>
  <si>
    <t xml:space="preserve">COUPNUM(DATE(2024,3,15),DATE(2024,9,15),4,2)</t>
  </si>
  <si>
    <t xml:space="preserve">COUPDAYBS(DATE(2024,3,15),DATE(2024,9,15),4,2)</t>
  </si>
  <si>
    <t xml:space="preserve">COUPDAYS(DATE(2024,3,15),DATE(2024,9,15),4,2)</t>
  </si>
  <si>
    <t xml:space="preserve">COUPDAYSNC(DATE(2024,3,15),DATE(2024,9,15),4,2)</t>
  </si>
  <si>
    <t xml:space="preserve">COUPPCD(DATE(2024,3,15),DATE(2024,9,15),4,3)</t>
  </si>
  <si>
    <t xml:space="preserve">COUPNCD(DATE(2024,3,15),DATE(2024,9,15),4,3)</t>
  </si>
  <si>
    <t xml:space="preserve">COUPNUM(DATE(2024,3,15),DATE(2024,9,15),4,3)</t>
  </si>
  <si>
    <t xml:space="preserve">COUPDAYBS(DATE(2024,3,15),DATE(2024,9,15),4,3)</t>
  </si>
  <si>
    <t xml:space="preserve">COUPDAYS(DATE(2024,3,15),DATE(2024,9,15),4,3)</t>
  </si>
  <si>
    <t xml:space="preserve">COUPDAYSNC(DATE(2024,3,15),DATE(2024,9,15),4,3)</t>
  </si>
  <si>
    <t xml:space="preserve">COUPPCD(DATE(2024,3,15),DATE(2024,9,15),4,4)</t>
  </si>
  <si>
    <t xml:space="preserve">COUPNCD(DATE(2024,3,15),DATE(2024,9,15),4,4)</t>
  </si>
  <si>
    <t xml:space="preserve">COUPNUM(DATE(2024,3,15),DATE(2024,9,15),4,4)</t>
  </si>
  <si>
    <t xml:space="preserve">COUPDAYBS(DATE(2024,3,15),DATE(2024,9,15),4,4)</t>
  </si>
  <si>
    <t xml:space="preserve">COUPDAYS(DATE(2024,3,15),DATE(2024,9,15),4,4)</t>
  </si>
  <si>
    <t xml:space="preserve">COUPDAYSNC(DATE(2024,3,15),DATE(2024,9,15),4,4)</t>
  </si>
  <si>
    <t xml:space="preserve">COUPNUM(DATE(2024,3,15),DATE(2024,9,15),2)</t>
  </si>
  <si>
    <t xml:space="preserve">COUPDAYS(DATE(2024,3,15),DATE(2024,9,15),2)</t>
  </si>
  <si>
    <t xml:space="preserve">COUPPCD(DATE(2024,3,1),DATE(2025,9,1),1,0)</t>
  </si>
  <si>
    <t xml:space="preserve">COUPNCD(DATE(2024,3,1),DATE(2025,9,1),1,0)</t>
  </si>
  <si>
    <t xml:space="preserve">COUPNUM(DATE(2024,3,1),DATE(2025,9,1),1,0)</t>
  </si>
  <si>
    <t xml:space="preserve">COUPDAYBS(DATE(2024,3,1),DATE(2025,9,1),1,0)</t>
  </si>
  <si>
    <t xml:space="preserve">COUPDAYS(DATE(2024,3,1),DATE(2025,9,1),1,0)</t>
  </si>
  <si>
    <t xml:space="preserve">COUPDAYSNC(DATE(2024,3,1),DATE(2025,9,1),1,0)</t>
  </si>
  <si>
    <t xml:space="preserve">COUPPCD(DATE(2024,3,1),DATE(2025,9,1),1,1)</t>
  </si>
  <si>
    <t xml:space="preserve">COUPNCD(DATE(2024,3,1),DATE(2025,9,1),1,1)</t>
  </si>
  <si>
    <t xml:space="preserve">COUPNUM(DATE(2024,3,1),DATE(2025,9,1),1,1)</t>
  </si>
  <si>
    <t xml:space="preserve">COUPDAYBS(DATE(2024,3,1),DATE(2025,9,1),1,1)</t>
  </si>
  <si>
    <t xml:space="preserve">COUPDAYS(DATE(2024,3,1),DATE(2025,9,1),1,1)</t>
  </si>
  <si>
    <t xml:space="preserve">COUPDAYSNC(DATE(2024,3,1),DATE(2025,9,1),1,1)</t>
  </si>
  <si>
    <t xml:space="preserve">COUPPCD(DATE(2024,3,1),DATE(2025,9,1),1,2)</t>
  </si>
  <si>
    <t xml:space="preserve">COUPNCD(DATE(2024,3,1),DATE(2025,9,1),1,2)</t>
  </si>
  <si>
    <t xml:space="preserve">COUPNUM(DATE(2024,3,1),DATE(2025,9,1),1,2)</t>
  </si>
  <si>
    <t xml:space="preserve">COUPDAYBS(DATE(2024,3,1),DATE(2025,9,1),1,2)</t>
  </si>
  <si>
    <t xml:space="preserve">COUPDAYS(DATE(2024,3,1),DATE(2025,9,1),1,2)</t>
  </si>
  <si>
    <t xml:space="preserve">COUPDAYSNC(DATE(2024,3,1),DATE(2025,9,1),1,2)</t>
  </si>
  <si>
    <t xml:space="preserve">COUPPCD(DATE(2024,3,1),DATE(2025,9,1),1,3)</t>
  </si>
  <si>
    <t xml:space="preserve">COUPNCD(DATE(2024,3,1),DATE(2025,9,1),1,3)</t>
  </si>
  <si>
    <t xml:space="preserve">COUPNUM(DATE(2024,3,1),DATE(2025,9,1),1,3)</t>
  </si>
  <si>
    <t xml:space="preserve">COUPDAYBS(DATE(2024,3,1),DATE(2025,9,1),1,3)</t>
  </si>
  <si>
    <t xml:space="preserve">COUPDAYS(DATE(2024,3,1),DATE(2025,9,1),1,3)</t>
  </si>
  <si>
    <t xml:space="preserve">COUPDAYSNC(DATE(2024,3,1),DATE(2025,9,1),1,3)</t>
  </si>
  <si>
    <t xml:space="preserve">COUPPCD(DATE(2024,3,1),DATE(2025,9,1),1,4)</t>
  </si>
  <si>
    <t xml:space="preserve">COUPNCD(DATE(2024,3,1),DATE(2025,9,1),1,4)</t>
  </si>
  <si>
    <t xml:space="preserve">COUPNUM(DATE(2024,3,1),DATE(2025,9,1),1,4)</t>
  </si>
  <si>
    <t xml:space="preserve">COUPDAYBS(DATE(2024,3,1),DATE(2025,9,1),1,4)</t>
  </si>
  <si>
    <t xml:space="preserve">COUPDAYS(DATE(2024,3,1),DATE(2025,9,1),1,4)</t>
  </si>
  <si>
    <t xml:space="preserve">COUPDAYSNC(DATE(2024,3,1),DATE(2025,9,1),1,4)</t>
  </si>
  <si>
    <t xml:space="preserve">COUPPCD(DATE(2024,3,1),DATE(2025,9,1),2,0)</t>
  </si>
  <si>
    <t xml:space="preserve">COUPNCD(DATE(2024,3,1),DATE(2025,9,1),2,0)</t>
  </si>
  <si>
    <t xml:space="preserve">COUPNUM(DATE(2024,3,1),DATE(2025,9,1),2,0)</t>
  </si>
  <si>
    <t xml:space="preserve">COUPDAYBS(DATE(2024,3,1),DATE(2025,9,1),2,0)</t>
  </si>
  <si>
    <t xml:space="preserve">COUPDAYS(DATE(2024,3,1),DATE(2025,9,1),2,0)</t>
  </si>
  <si>
    <t xml:space="preserve">COUPDAYSNC(DATE(2024,3,1),DATE(2025,9,1),2,0)</t>
  </si>
  <si>
    <t xml:space="preserve">COUPPCD(DATE(2024,3,1),DATE(2025,9,1),2,1)</t>
  </si>
  <si>
    <t xml:space="preserve">COUPNCD(DATE(2024,3,1),DATE(2025,9,1),2,1)</t>
  </si>
  <si>
    <t xml:space="preserve">COUPNUM(DATE(2024,3,1),DATE(2025,9,1),2,1)</t>
  </si>
  <si>
    <t xml:space="preserve">COUPDAYBS(DATE(2024,3,1),DATE(2025,9,1),2,1)</t>
  </si>
  <si>
    <t xml:space="preserve">COUPDAYS(DATE(2024,3,1),DATE(2025,9,1),2,1)</t>
  </si>
  <si>
    <t xml:space="preserve">COUPDAYSNC(DATE(2024,3,1),DATE(2025,9,1),2,1)</t>
  </si>
  <si>
    <t xml:space="preserve">COUPPCD(DATE(2024,3,1),DATE(2025,9,1),2,2)</t>
  </si>
  <si>
    <t xml:space="preserve">COUPNCD(DATE(2024,3,1),DATE(2025,9,1),2,2)</t>
  </si>
  <si>
    <t xml:space="preserve">COUPNUM(DATE(2024,3,1),DATE(2025,9,1),2,2)</t>
  </si>
  <si>
    <t xml:space="preserve">COUPDAYBS(DATE(2024,3,1),DATE(2025,9,1),2,2)</t>
  </si>
  <si>
    <t xml:space="preserve">COUPDAYS(DATE(2024,3,1),DATE(2025,9,1),2,2)</t>
  </si>
  <si>
    <t xml:space="preserve">COUPDAYSNC(DATE(2024,3,1),DATE(2025,9,1),2,2)</t>
  </si>
  <si>
    <t xml:space="preserve">COUPPCD(DATE(2024,3,1),DATE(2025,9,1),2,3)</t>
  </si>
  <si>
    <t xml:space="preserve">COUPNCD(DATE(2024,3,1),DATE(2025,9,1),2,3)</t>
  </si>
  <si>
    <t xml:space="preserve">COUPNUM(DATE(2024,3,1),DATE(2025,9,1),2,3)</t>
  </si>
  <si>
    <t xml:space="preserve">COUPDAYBS(DATE(2024,3,1),DATE(2025,9,1),2,3)</t>
  </si>
  <si>
    <t xml:space="preserve">COUPDAYS(DATE(2024,3,1),DATE(2025,9,1),2,3)</t>
  </si>
  <si>
    <t xml:space="preserve">COUPDAYSNC(DATE(2024,3,1),DATE(2025,9,1),2,3)</t>
  </si>
  <si>
    <t xml:space="preserve">COUPPCD(DATE(2024,3,1),DATE(2025,9,1),2,4)</t>
  </si>
  <si>
    <t xml:space="preserve">COUPNCD(DATE(2024,3,1),DATE(2025,9,1),2,4)</t>
  </si>
  <si>
    <t xml:space="preserve">COUPNUM(DATE(2024,3,1),DATE(2025,9,1),2,4)</t>
  </si>
  <si>
    <t xml:space="preserve">COUPDAYBS(DATE(2024,3,1),DATE(2025,9,1),2,4)</t>
  </si>
  <si>
    <t xml:space="preserve">COUPDAYS(DATE(2024,3,1),DATE(2025,9,1),2,4)</t>
  </si>
  <si>
    <t xml:space="preserve">COUPDAYSNC(DATE(2024,3,1),DATE(2025,9,1),2,4)</t>
  </si>
  <si>
    <t xml:space="preserve">COUPPCD(DATE(2024,3,1),DATE(2025,9,1),4,0)</t>
  </si>
  <si>
    <t xml:space="preserve">COUPNCD(DATE(2024,3,1),DATE(2025,9,1),4,0)</t>
  </si>
  <si>
    <t xml:space="preserve">COUPNUM(DATE(2024,3,1),DATE(2025,9,1),4,0)</t>
  </si>
  <si>
    <t xml:space="preserve">COUPDAYBS(DATE(2024,3,1),DATE(2025,9,1),4,0)</t>
  </si>
  <si>
    <t xml:space="preserve">COUPDAYS(DATE(2024,3,1),DATE(2025,9,1),4,0)</t>
  </si>
  <si>
    <t xml:space="preserve">COUPDAYSNC(DATE(2024,3,1),DATE(2025,9,1),4,0)</t>
  </si>
  <si>
    <t xml:space="preserve">COUPPCD(DATE(2024,3,1),DATE(2025,9,1),4,1)</t>
  </si>
  <si>
    <t xml:space="preserve">COUPNCD(DATE(2024,3,1),DATE(2025,9,1),4,1)</t>
  </si>
  <si>
    <t xml:space="preserve">COUPNUM(DATE(2024,3,1),DATE(2025,9,1),4,1)</t>
  </si>
  <si>
    <t xml:space="preserve">COUPDAYBS(DATE(2024,3,1),DATE(2025,9,1),4,1)</t>
  </si>
  <si>
    <t xml:space="preserve">COUPDAYS(DATE(2024,3,1),DATE(2025,9,1),4,1)</t>
  </si>
  <si>
    <t xml:space="preserve">COUPDAYSNC(DATE(2024,3,1),DATE(2025,9,1),4,1)</t>
  </si>
  <si>
    <t xml:space="preserve">COUPPCD(DATE(2024,3,1),DATE(2025,9,1),4,2)</t>
  </si>
  <si>
    <t xml:space="preserve">COUPNCD(DATE(2024,3,1),DATE(2025,9,1),4,2)</t>
  </si>
  <si>
    <t xml:space="preserve">COUPNUM(DATE(2024,3,1),DATE(2025,9,1),4,2)</t>
  </si>
  <si>
    <t xml:space="preserve">COUPDAYBS(DATE(2024,3,1),DATE(2025,9,1),4,2)</t>
  </si>
  <si>
    <t xml:space="preserve">COUPDAYS(DATE(2024,3,1),DATE(2025,9,1),4,2)</t>
  </si>
  <si>
    <t xml:space="preserve">COUPDAYSNC(DATE(2024,3,1),DATE(2025,9,1),4,2)</t>
  </si>
  <si>
    <t xml:space="preserve">COUPPCD(DATE(2024,3,1),DATE(2025,9,1),4,3)</t>
  </si>
  <si>
    <t xml:space="preserve">COUPNCD(DATE(2024,3,1),DATE(2025,9,1),4,3)</t>
  </si>
  <si>
    <t xml:space="preserve">COUPNUM(DATE(2024,3,1),DATE(2025,9,1),4,3)</t>
  </si>
  <si>
    <t xml:space="preserve">COUPDAYBS(DATE(2024,3,1),DATE(2025,9,1),4,3)</t>
  </si>
  <si>
    <t xml:space="preserve">COUPDAYS(DATE(2024,3,1),DATE(2025,9,1),4,3)</t>
  </si>
  <si>
    <t xml:space="preserve">COUPDAYSNC(DATE(2024,3,1),DATE(2025,9,1),4,3)</t>
  </si>
  <si>
    <t xml:space="preserve">COUPPCD(DATE(2024,3,1),DATE(2025,9,1),4,4)</t>
  </si>
  <si>
    <t xml:space="preserve">COUPNCD(DATE(2024,3,1),DATE(2025,9,1),4,4)</t>
  </si>
  <si>
    <t xml:space="preserve">COUPNUM(DATE(2024,3,1),DATE(2025,9,1),4,4)</t>
  </si>
  <si>
    <t xml:space="preserve">COUPDAYBS(DATE(2024,3,1),DATE(2025,9,1),4,4)</t>
  </si>
  <si>
    <t xml:space="preserve">COUPDAYS(DATE(2024,3,1),DATE(2025,9,1),4,4)</t>
  </si>
  <si>
    <t xml:space="preserve">COUPDAYSNC(DATE(2024,3,1),DATE(2025,9,1),4,4)</t>
  </si>
  <si>
    <t xml:space="preserve">COUPNUM(DATE(2024,3,1),DATE(2025,9,1),2)</t>
  </si>
  <si>
    <t xml:space="preserve">COUPDAYS(DATE(2024,3,1),DATE(2025,9,1),2)</t>
  </si>
  <si>
    <t xml:space="preserve">COUPNUM(DATE(2024,1,15),DATE(2029,6,30),3,0)</t>
  </si>
  <si>
    <t xml:space="preserve">COUPNUM(DATE(2024,1,15),DATE(2029,6,30),0,0)</t>
  </si>
  <si>
    <t xml:space="preserve">COUPNUM(DATE(2024,1,15),DATE(2029,6,30),2,5)</t>
  </si>
  <si>
    <t xml:space="preserve">COUPNUM(DATE(2024,1,15),DATE(2029,6,30),2,-1)</t>
  </si>
  <si>
    <t xml:space="preserve">COUPNUM(DATE(2024,1,15),DATE(2029,6,30),2.9,0.9)</t>
  </si>
  <si>
    <t xml:space="preserve">COUPNUM("2024-01-15","2029-06-30",2,0)</t>
  </si>
  <si>
    <t xml:space="preserve">COUPNUM(DATE(2024,1,15),DATE(2029,6,30),2,"x")</t>
  </si>
  <si>
    <t xml:space="preserve">COUPNUM(DATE(2024,1,15),DATE(2029,6,30),TRUE,0)</t>
  </si>
  <si>
    <t xml:space="preserve">COUPNUM(DATE(2024,1,15),DATE(2029,6,30),2,Data!D1)</t>
  </si>
  <si>
    <t xml:space="preserve">COUPNUM(45306.9,47300.1,2,0)</t>
  </si>
  <si>
    <t xml:space="preserve">COUPNUM(DATE(2024,1,15),NA(),2,0)</t>
  </si>
  <si>
    <t xml:space="preserve">COUPNUM(DATE(2024,1,15),DATE(2029,6,30),2,0,1)</t>
  </si>
  <si>
    <t xml:space="preserve">COUPNUM(DATE(2024,1,15),DATE(2029,6,30))</t>
  </si>
  <si>
    <t xml:space="preserve">COUPPCD(DATE(2024,1,15),DATE(2029,6,30),2)</t>
  </si>
  <si>
    <t xml:space="preserve">COUPPCD(0,DATE(2029,6,30),2,0)</t>
  </si>
  <si>
    <t xml:space="preserve">COUPPCD(-5,DATE(2029,6,30),2,0)</t>
  </si>
  <si>
    <t xml:space="preserve">COUPNCD(DATE(2024,1,15),DATE(9999,12,31),2,0)</t>
  </si>
  <si>
    <t xml:space="preserve">COUPPCD(DATE(2024,1,15),DATE(2029,6,30),2,Data!D1)</t>
  </si>
  <si>
    <t xml:space="preserve">COUPPCD(Data!D1,DATE(2029,6,30),2,0)</t>
  </si>
  <si>
    <t xml:space="preserve">PRICE(DATE(2024,1,15),DATE(2029,6,30),0.05,0.08,100,1,0)</t>
  </si>
  <si>
    <t xml:space="preserve">PRICE(DATE(2024,1,15),DATE(2029,6,30),0.1,0.03,105,1,0)</t>
  </si>
  <si>
    <t xml:space="preserve">PRICE(DATE(2024,1,15),DATE(2029,6,30),0,0.05,100,1,0)</t>
  </si>
  <si>
    <t xml:space="preserve">YIELD(DATE(2024,1,15),DATE(2029,6,30),0.05,95,100,1,0)</t>
  </si>
  <si>
    <t xml:space="preserve">YIELD(DATE(2024,1,15),DATE(2029,6,30),0.1,101.5,100,1,0)</t>
  </si>
  <si>
    <t xml:space="preserve">YIELD(DATE(2024,1,15),DATE(2029,6,30),0.05,100,100,1,0)</t>
  </si>
  <si>
    <t xml:space="preserve">DURATION(DATE(2024,1,15),DATE(2029,6,30),0.05,0.08,1,0)</t>
  </si>
  <si>
    <t xml:space="preserve">DURATION(DATE(2024,1,15),DATE(2029,6,30),0.1,0.03,1,0)</t>
  </si>
  <si>
    <t xml:space="preserve">DURATION(DATE(2024,1,15),DATE(2029,6,30),0,0.05,1,0)</t>
  </si>
  <si>
    <t xml:space="preserve">MDURATION(DATE(2024,1,15),DATE(2029,6,30),0.05,0.08,1,0)</t>
  </si>
  <si>
    <t xml:space="preserve">MDURATION(DATE(2024,1,15),DATE(2029,6,30),0.1,0.03,1,0)</t>
  </si>
  <si>
    <t xml:space="preserve">PRICE(DATE(2024,1,15),DATE(2029,6,30),0.05,0.08,100,1,1)</t>
  </si>
  <si>
    <t xml:space="preserve">PRICE(DATE(2024,1,15),DATE(2029,6,30),0.1,0.03,105,1,1)</t>
  </si>
  <si>
    <t xml:space="preserve">PRICE(DATE(2024,1,15),DATE(2029,6,30),0,0.05,100,1,1)</t>
  </si>
  <si>
    <t xml:space="preserve">YIELD(DATE(2024,1,15),DATE(2029,6,30),0.05,95,100,1,1)</t>
  </si>
  <si>
    <t xml:space="preserve">YIELD(DATE(2024,1,15),DATE(2029,6,30),0.1,101.5,100,1,1)</t>
  </si>
  <si>
    <t xml:space="preserve">YIELD(DATE(2024,1,15),DATE(2029,6,30),0.05,100,100,1,1)</t>
  </si>
  <si>
    <t xml:space="preserve">DURATION(DATE(2024,1,15),DATE(2029,6,30),0.05,0.08,1,1)</t>
  </si>
  <si>
    <t xml:space="preserve">DURATION(DATE(2024,1,15),DATE(2029,6,30),0.1,0.03,1,1)</t>
  </si>
  <si>
    <t xml:space="preserve">DURATION(DATE(2024,1,15),DATE(2029,6,30),0,0.05,1,1)</t>
  </si>
  <si>
    <t xml:space="preserve">MDURATION(DATE(2024,1,15),DATE(2029,6,30),0.05,0.08,1,1)</t>
  </si>
  <si>
    <t xml:space="preserve">MDURATION(DATE(2024,1,15),DATE(2029,6,30),0.1,0.03,1,1)</t>
  </si>
  <si>
    <t xml:space="preserve">PRICE(DATE(2024,1,15),DATE(2029,6,30),0.05,0.08,100,1,2)</t>
  </si>
  <si>
    <t xml:space="preserve">PRICE(DATE(2024,1,15),DATE(2029,6,30),0.1,0.03,105,1,2)</t>
  </si>
  <si>
    <t xml:space="preserve">PRICE(DATE(2024,1,15),DATE(2029,6,30),0,0.05,100,1,2)</t>
  </si>
  <si>
    <t xml:space="preserve">YIELD(DATE(2024,1,15),DATE(2029,6,30),0.05,95,100,1,2)</t>
  </si>
  <si>
    <t xml:space="preserve">YIELD(DATE(2024,1,15),DATE(2029,6,30),0.1,101.5,100,1,2)</t>
  </si>
  <si>
    <t xml:space="preserve">YIELD(DATE(2024,1,15),DATE(2029,6,30),0.05,100,100,1,2)</t>
  </si>
  <si>
    <t xml:space="preserve">DURATION(DATE(2024,1,15),DATE(2029,6,30),0.05,0.08,1,2)</t>
  </si>
  <si>
    <t xml:space="preserve">DURATION(DATE(2024,1,15),DATE(2029,6,30),0.1,0.03,1,2)</t>
  </si>
  <si>
    <t xml:space="preserve">DURATION(DATE(2024,1,15),DATE(2029,6,30),0,0.05,1,2)</t>
  </si>
  <si>
    <t xml:space="preserve">MDURATION(DATE(2024,1,15),DATE(2029,6,30),0.05,0.08,1,2)</t>
  </si>
  <si>
    <t xml:space="preserve">MDURATION(DATE(2024,1,15),DATE(2029,6,30),0.1,0.03,1,2)</t>
  </si>
  <si>
    <t xml:space="preserve">PRICE(DATE(2024,1,15),DATE(2029,6,30),0.05,0.08,100,1,3)</t>
  </si>
  <si>
    <t xml:space="preserve">PRICE(DATE(2024,1,15),DATE(2029,6,30),0.1,0.03,105,1,3)</t>
  </si>
  <si>
    <t xml:space="preserve">PRICE(DATE(2024,1,15),DATE(2029,6,30),0,0.05,100,1,3)</t>
  </si>
  <si>
    <t xml:space="preserve">YIELD(DATE(2024,1,15),DATE(2029,6,30),0.05,95,100,1,3)</t>
  </si>
  <si>
    <t xml:space="preserve">YIELD(DATE(2024,1,15),DATE(2029,6,30),0.1,101.5,100,1,3)</t>
  </si>
  <si>
    <t xml:space="preserve">YIELD(DATE(2024,1,15),DATE(2029,6,30),0.05,100,100,1,3)</t>
  </si>
  <si>
    <t xml:space="preserve">DURATION(DATE(2024,1,15),DATE(2029,6,30),0.05,0.08,1,3)</t>
  </si>
  <si>
    <t xml:space="preserve">DURATION(DATE(2024,1,15),DATE(2029,6,30),0.1,0.03,1,3)</t>
  </si>
  <si>
    <t xml:space="preserve">DURATION(DATE(2024,1,15),DATE(2029,6,30),0,0.05,1,3)</t>
  </si>
  <si>
    <t xml:space="preserve">MDURATION(DATE(2024,1,15),DATE(2029,6,30),0.05,0.08,1,3)</t>
  </si>
  <si>
    <t xml:space="preserve">MDURATION(DATE(2024,1,15),DATE(2029,6,30),0.1,0.03,1,3)</t>
  </si>
  <si>
    <t xml:space="preserve">PRICE(DATE(2024,1,15),DATE(2029,6,30),0.05,0.08,100,1,4)</t>
  </si>
  <si>
    <t xml:space="preserve">PRICE(DATE(2024,1,15),DATE(2029,6,30),0.1,0.03,105,1,4)</t>
  </si>
  <si>
    <t xml:space="preserve">PRICE(DATE(2024,1,15),DATE(2029,6,30),0,0.05,100,1,4)</t>
  </si>
  <si>
    <t xml:space="preserve">YIELD(DATE(2024,1,15),DATE(2029,6,30),0.05,95,100,1,4)</t>
  </si>
  <si>
    <t xml:space="preserve">YIELD(DATE(2024,1,15),DATE(2029,6,30),0.1,101.5,100,1,4)</t>
  </si>
  <si>
    <t xml:space="preserve">YIELD(DATE(2024,1,15),DATE(2029,6,30),0.05,100,100,1,4)</t>
  </si>
  <si>
    <t xml:space="preserve">DURATION(DATE(2024,1,15),DATE(2029,6,30),0.05,0.08,1,4)</t>
  </si>
  <si>
    <t xml:space="preserve">DURATION(DATE(2024,1,15),DATE(2029,6,30),0.1,0.03,1,4)</t>
  </si>
  <si>
    <t xml:space="preserve">DURATION(DATE(2024,1,15),DATE(2029,6,30),0,0.05,1,4)</t>
  </si>
  <si>
    <t xml:space="preserve">MDURATION(DATE(2024,1,15),DATE(2029,6,30),0.05,0.08,1,4)</t>
  </si>
  <si>
    <t xml:space="preserve">MDURATION(DATE(2024,1,15),DATE(2029,6,30),0.1,0.03,1,4)</t>
  </si>
  <si>
    <t xml:space="preserve">PRICE(DATE(2024,1,15),DATE(2029,6,30),0.05,0.08,100,2,0)</t>
  </si>
  <si>
    <t xml:space="preserve">PRICE(DATE(2024,1,15),DATE(2029,6,30),0.1,0.03,105,2,0)</t>
  </si>
  <si>
    <t xml:space="preserve">PRICE(DATE(2024,1,15),DATE(2029,6,30),0,0.05,100,2,0)</t>
  </si>
  <si>
    <t xml:space="preserve">YIELD(DATE(2024,1,15),DATE(2029,6,30),0.05,95,100,2,0)</t>
  </si>
  <si>
    <t xml:space="preserve">YIELD(DATE(2024,1,15),DATE(2029,6,30),0.1,101.5,100,2,0)</t>
  </si>
  <si>
    <t xml:space="preserve">YIELD(DATE(2024,1,15),DATE(2029,6,30),0.05,100,100,2,0)</t>
  </si>
  <si>
    <t xml:space="preserve">DURATION(DATE(2024,1,15),DATE(2029,6,30),0.05,0.08,2,0)</t>
  </si>
  <si>
    <t xml:space="preserve">DURATION(DATE(2024,1,15),DATE(2029,6,30),0.1,0.03,2,0)</t>
  </si>
  <si>
    <t xml:space="preserve">DURATION(DATE(2024,1,15),DATE(2029,6,30),0,0.05,2,0)</t>
  </si>
  <si>
    <t xml:space="preserve">MDURATION(DATE(2024,1,15),DATE(2029,6,30),0.05,0.08,2,0)</t>
  </si>
  <si>
    <t xml:space="preserve">MDURATION(DATE(2024,1,15),DATE(2029,6,30),0.1,0.03,2,0)</t>
  </si>
  <si>
    <t xml:space="preserve">PRICE(DATE(2024,1,15),DATE(2029,6,30),0.05,0.08,100,2,1)</t>
  </si>
  <si>
    <t xml:space="preserve">PRICE(DATE(2024,1,15),DATE(2029,6,30),0.1,0.03,105,2,1)</t>
  </si>
  <si>
    <t xml:space="preserve">PRICE(DATE(2024,1,15),DATE(2029,6,30),0,0.05,100,2,1)</t>
  </si>
  <si>
    <t xml:space="preserve">YIELD(DATE(2024,1,15),DATE(2029,6,30),0.05,95,100,2,1)</t>
  </si>
  <si>
    <t xml:space="preserve">YIELD(DATE(2024,1,15),DATE(2029,6,30),0.1,101.5,100,2,1)</t>
  </si>
  <si>
    <t xml:space="preserve">YIELD(DATE(2024,1,15),DATE(2029,6,30),0.05,100,100,2,1)</t>
  </si>
  <si>
    <t xml:space="preserve">DURATION(DATE(2024,1,15),DATE(2029,6,30),0.05,0.08,2,1)</t>
  </si>
  <si>
    <t xml:space="preserve">DURATION(DATE(2024,1,15),DATE(2029,6,30),0.1,0.03,2,1)</t>
  </si>
  <si>
    <t xml:space="preserve">DURATION(DATE(2024,1,15),DATE(2029,6,30),0,0.05,2,1)</t>
  </si>
  <si>
    <t xml:space="preserve">MDURATION(DATE(2024,1,15),DATE(2029,6,30),0.05,0.08,2,1)</t>
  </si>
  <si>
    <t xml:space="preserve">MDURATION(DATE(2024,1,15),DATE(2029,6,30),0.1,0.03,2,1)</t>
  </si>
  <si>
    <t xml:space="preserve">PRICE(DATE(2024,1,15),DATE(2029,6,30),0.05,0.08,100,2,2)</t>
  </si>
  <si>
    <t xml:space="preserve">PRICE(DATE(2024,1,15),DATE(2029,6,30),0.1,0.03,105,2,2)</t>
  </si>
  <si>
    <t xml:space="preserve">PRICE(DATE(2024,1,15),DATE(2029,6,30),0,0.05,100,2,2)</t>
  </si>
  <si>
    <t xml:space="preserve">YIELD(DATE(2024,1,15),DATE(2029,6,30),0.05,95,100,2,2)</t>
  </si>
  <si>
    <t xml:space="preserve">YIELD(DATE(2024,1,15),DATE(2029,6,30),0.1,101.5,100,2,2)</t>
  </si>
  <si>
    <t xml:space="preserve">YIELD(DATE(2024,1,15),DATE(2029,6,30),0.05,100,100,2,2)</t>
  </si>
  <si>
    <t xml:space="preserve">DURATION(DATE(2024,1,15),DATE(2029,6,30),0.05,0.08,2,2)</t>
  </si>
  <si>
    <t xml:space="preserve">DURATION(DATE(2024,1,15),DATE(2029,6,30),0.1,0.03,2,2)</t>
  </si>
  <si>
    <t xml:space="preserve">DURATION(DATE(2024,1,15),DATE(2029,6,30),0,0.05,2,2)</t>
  </si>
  <si>
    <t xml:space="preserve">MDURATION(DATE(2024,1,15),DATE(2029,6,30),0.05,0.08,2,2)</t>
  </si>
  <si>
    <t xml:space="preserve">MDURATION(DATE(2024,1,15),DATE(2029,6,30),0.1,0.03,2,2)</t>
  </si>
  <si>
    <t xml:space="preserve">PRICE(DATE(2024,1,15),DATE(2029,6,30),0.05,0.08,100,2,3)</t>
  </si>
  <si>
    <t xml:space="preserve">PRICE(DATE(2024,1,15),DATE(2029,6,30),0.1,0.03,105,2,3)</t>
  </si>
  <si>
    <t xml:space="preserve">PRICE(DATE(2024,1,15),DATE(2029,6,30),0,0.05,100,2,3)</t>
  </si>
  <si>
    <t xml:space="preserve">YIELD(DATE(2024,1,15),DATE(2029,6,30),0.05,95,100,2,3)</t>
  </si>
  <si>
    <t xml:space="preserve">YIELD(DATE(2024,1,15),DATE(2029,6,30),0.1,101.5,100,2,3)</t>
  </si>
  <si>
    <t xml:space="preserve">YIELD(DATE(2024,1,15),DATE(2029,6,30),0.05,100,100,2,3)</t>
  </si>
  <si>
    <t xml:space="preserve">DURATION(DATE(2024,1,15),DATE(2029,6,30),0.05,0.08,2,3)</t>
  </si>
  <si>
    <t xml:space="preserve">DURATION(DATE(2024,1,15),DATE(2029,6,30),0.1,0.03,2,3)</t>
  </si>
  <si>
    <t xml:space="preserve">DURATION(DATE(2024,1,15),DATE(2029,6,30),0,0.05,2,3)</t>
  </si>
  <si>
    <t xml:space="preserve">MDURATION(DATE(2024,1,15),DATE(2029,6,30),0.05,0.08,2,3)</t>
  </si>
  <si>
    <t xml:space="preserve">MDURATION(DATE(2024,1,15),DATE(2029,6,30),0.1,0.03,2,3)</t>
  </si>
  <si>
    <t xml:space="preserve">PRICE(DATE(2024,1,15),DATE(2029,6,30),0.05,0.08,100,2,4)</t>
  </si>
  <si>
    <t xml:space="preserve">PRICE(DATE(2024,1,15),DATE(2029,6,30),0.1,0.03,105,2,4)</t>
  </si>
  <si>
    <t xml:space="preserve">PRICE(DATE(2024,1,15),DATE(2029,6,30),0,0.05,100,2,4)</t>
  </si>
  <si>
    <t xml:space="preserve">YIELD(DATE(2024,1,15),DATE(2029,6,30),0.05,95,100,2,4)</t>
  </si>
  <si>
    <t xml:space="preserve">YIELD(DATE(2024,1,15),DATE(2029,6,30),0.1,101.5,100,2,4)</t>
  </si>
  <si>
    <t xml:space="preserve">YIELD(DATE(2024,1,15),DATE(2029,6,30),0.05,100,100,2,4)</t>
  </si>
  <si>
    <t xml:space="preserve">DURATION(DATE(2024,1,15),DATE(2029,6,30),0.05,0.08,2,4)</t>
  </si>
  <si>
    <t xml:space="preserve">DURATION(DATE(2024,1,15),DATE(2029,6,30),0.1,0.03,2,4)</t>
  </si>
  <si>
    <t xml:space="preserve">DURATION(DATE(2024,1,15),DATE(2029,6,30),0,0.05,2,4)</t>
  </si>
  <si>
    <t xml:space="preserve">MDURATION(DATE(2024,1,15),DATE(2029,6,30),0.05,0.08,2,4)</t>
  </si>
  <si>
    <t xml:space="preserve">MDURATION(DATE(2024,1,15),DATE(2029,6,30),0.1,0.03,2,4)</t>
  </si>
  <si>
    <t xml:space="preserve">PRICE(DATE(2024,1,15),DATE(2029,6,30),0.05,0.08,100,4,0)</t>
  </si>
  <si>
    <t xml:space="preserve">PRICE(DATE(2024,1,15),DATE(2029,6,30),0.1,0.03,105,4,0)</t>
  </si>
  <si>
    <t xml:space="preserve">PRICE(DATE(2024,1,15),DATE(2029,6,30),0,0.05,100,4,0)</t>
  </si>
  <si>
    <t xml:space="preserve">YIELD(DATE(2024,1,15),DATE(2029,6,30),0.05,95,100,4,0)</t>
  </si>
  <si>
    <t xml:space="preserve">YIELD(DATE(2024,1,15),DATE(2029,6,30),0.1,101.5,100,4,0)</t>
  </si>
  <si>
    <t xml:space="preserve">YIELD(DATE(2024,1,15),DATE(2029,6,30),0.05,100,100,4,0)</t>
  </si>
  <si>
    <t xml:space="preserve">DURATION(DATE(2024,1,15),DATE(2029,6,30),0.05,0.08,4,0)</t>
  </si>
  <si>
    <t xml:space="preserve">DURATION(DATE(2024,1,15),DATE(2029,6,30),0.1,0.03,4,0)</t>
  </si>
  <si>
    <t xml:space="preserve">DURATION(DATE(2024,1,15),DATE(2029,6,30),0,0.05,4,0)</t>
  </si>
  <si>
    <t xml:space="preserve">MDURATION(DATE(2024,1,15),DATE(2029,6,30),0.05,0.08,4,0)</t>
  </si>
  <si>
    <t xml:space="preserve">MDURATION(DATE(2024,1,15),DATE(2029,6,30),0.1,0.03,4,0)</t>
  </si>
  <si>
    <t xml:space="preserve">PRICE(DATE(2024,1,15),DATE(2029,6,30),0.05,0.08,100,4,1)</t>
  </si>
  <si>
    <t xml:space="preserve">PRICE(DATE(2024,1,15),DATE(2029,6,30),0.1,0.03,105,4,1)</t>
  </si>
  <si>
    <t xml:space="preserve">PRICE(DATE(2024,1,15),DATE(2029,6,30),0,0.05,100,4,1)</t>
  </si>
  <si>
    <t xml:space="preserve">YIELD(DATE(2024,1,15),DATE(2029,6,30),0.05,95,100,4,1)</t>
  </si>
  <si>
    <t xml:space="preserve">YIELD(DATE(2024,1,15),DATE(2029,6,30),0.1,101.5,100,4,1)</t>
  </si>
  <si>
    <t xml:space="preserve">YIELD(DATE(2024,1,15),DATE(2029,6,30),0.05,100,100,4,1)</t>
  </si>
  <si>
    <t xml:space="preserve">DURATION(DATE(2024,1,15),DATE(2029,6,30),0.05,0.08,4,1)</t>
  </si>
  <si>
    <t xml:space="preserve">DURATION(DATE(2024,1,15),DATE(2029,6,30),0.1,0.03,4,1)</t>
  </si>
  <si>
    <t xml:space="preserve">DURATION(DATE(2024,1,15),DATE(2029,6,30),0,0.05,4,1)</t>
  </si>
  <si>
    <t xml:space="preserve">MDURATION(DATE(2024,1,15),DATE(2029,6,30),0.05,0.08,4,1)</t>
  </si>
  <si>
    <t xml:space="preserve">MDURATION(DATE(2024,1,15),DATE(2029,6,30),0.1,0.03,4,1)</t>
  </si>
  <si>
    <t xml:space="preserve">PRICE(DATE(2024,1,15),DATE(2029,6,30),0.05,0.08,100,4,2)</t>
  </si>
  <si>
    <t xml:space="preserve">PRICE(DATE(2024,1,15),DATE(2029,6,30),0.1,0.03,105,4,2)</t>
  </si>
  <si>
    <t xml:space="preserve">PRICE(DATE(2024,1,15),DATE(2029,6,30),0,0.05,100,4,2)</t>
  </si>
  <si>
    <t xml:space="preserve">YIELD(DATE(2024,1,15),DATE(2029,6,30),0.05,95,100,4,2)</t>
  </si>
  <si>
    <t xml:space="preserve">YIELD(DATE(2024,1,15),DATE(2029,6,30),0.1,101.5,100,4,2)</t>
  </si>
  <si>
    <t xml:space="preserve">YIELD(DATE(2024,1,15),DATE(2029,6,30),0.05,100,100,4,2)</t>
  </si>
  <si>
    <t xml:space="preserve">DURATION(DATE(2024,1,15),DATE(2029,6,30),0.05,0.08,4,2)</t>
  </si>
  <si>
    <t xml:space="preserve">DURATION(DATE(2024,1,15),DATE(2029,6,30),0.1,0.03,4,2)</t>
  </si>
  <si>
    <t xml:space="preserve">DURATION(DATE(2024,1,15),DATE(2029,6,30),0,0.05,4,2)</t>
  </si>
  <si>
    <t xml:space="preserve">MDURATION(DATE(2024,1,15),DATE(2029,6,30),0.05,0.08,4,2)</t>
  </si>
  <si>
    <t xml:space="preserve">MDURATION(DATE(2024,1,15),DATE(2029,6,30),0.1,0.03,4,2)</t>
  </si>
  <si>
    <t xml:space="preserve">PRICE(DATE(2024,1,15),DATE(2029,6,30),0.05,0.08,100,4,3)</t>
  </si>
  <si>
    <t xml:space="preserve">PRICE(DATE(2024,1,15),DATE(2029,6,30),0.1,0.03,105,4,3)</t>
  </si>
  <si>
    <t xml:space="preserve">PRICE(DATE(2024,1,15),DATE(2029,6,30),0,0.05,100,4,3)</t>
  </si>
  <si>
    <t xml:space="preserve">YIELD(DATE(2024,1,15),DATE(2029,6,30),0.05,95,100,4,3)</t>
  </si>
  <si>
    <t xml:space="preserve">YIELD(DATE(2024,1,15),DATE(2029,6,30),0.1,101.5,100,4,3)</t>
  </si>
  <si>
    <t xml:space="preserve">YIELD(DATE(2024,1,15),DATE(2029,6,30),0.05,100,100,4,3)</t>
  </si>
  <si>
    <t xml:space="preserve">DURATION(DATE(2024,1,15),DATE(2029,6,30),0.05,0.08,4,3)</t>
  </si>
  <si>
    <t xml:space="preserve">DURATION(DATE(2024,1,15),DATE(2029,6,30),0.1,0.03,4,3)</t>
  </si>
  <si>
    <t xml:space="preserve">DURATION(DATE(2024,1,15),DATE(2029,6,30),0,0.05,4,3)</t>
  </si>
  <si>
    <t xml:space="preserve">MDURATION(DATE(2024,1,15),DATE(2029,6,30),0.05,0.08,4,3)</t>
  </si>
  <si>
    <t xml:space="preserve">MDURATION(DATE(2024,1,15),DATE(2029,6,30),0.1,0.03,4,3)</t>
  </si>
  <si>
    <t xml:space="preserve">PRICE(DATE(2024,1,15),DATE(2029,6,30),0.05,0.08,100,4,4)</t>
  </si>
  <si>
    <t xml:space="preserve">PRICE(DATE(2024,1,15),DATE(2029,6,30),0.1,0.03,105,4,4)</t>
  </si>
  <si>
    <t xml:space="preserve">PRICE(DATE(2024,1,15),DATE(2029,6,30),0,0.05,100,4,4)</t>
  </si>
  <si>
    <t xml:space="preserve">YIELD(DATE(2024,1,15),DATE(2029,6,30),0.05,95,100,4,4)</t>
  </si>
  <si>
    <t xml:space="preserve">YIELD(DATE(2024,1,15),DATE(2029,6,30),0.1,101.5,100,4,4)</t>
  </si>
  <si>
    <t xml:space="preserve">YIELD(DATE(2024,1,15),DATE(2029,6,30),0.05,100,100,4,4)</t>
  </si>
  <si>
    <t xml:space="preserve">DURATION(DATE(2024,1,15),DATE(2029,6,30),0.05,0.08,4,4)</t>
  </si>
  <si>
    <t xml:space="preserve">DURATION(DATE(2024,1,15),DATE(2029,6,30),0.1,0.03,4,4)</t>
  </si>
  <si>
    <t xml:space="preserve">DURATION(DATE(2024,1,15),DATE(2029,6,30),0,0.05,4,4)</t>
  </si>
  <si>
    <t xml:space="preserve">MDURATION(DATE(2024,1,15),DATE(2029,6,30),0.05,0.08,4,4)</t>
  </si>
  <si>
    <t xml:space="preserve">MDURATION(DATE(2024,1,15),DATE(2029,6,30),0.1,0.03,4,4)</t>
  </si>
  <si>
    <t xml:space="preserve">PRICE(DATE(2024,3,31),DATE(2025,3,31),0.05,0.08,100,1,0)</t>
  </si>
  <si>
    <t xml:space="preserve">PRICE(DATE(2024,3,31),DATE(2025,3,31),0.1,0.03,105,1,0)</t>
  </si>
  <si>
    <t xml:space="preserve">PRICE(DATE(2024,3,31),DATE(2025,3,31),0,0.05,100,1,0)</t>
  </si>
  <si>
    <t xml:space="preserve">YIELD(DATE(2024,3,31),DATE(2025,3,31),0.05,95,100,1,0)</t>
  </si>
  <si>
    <t xml:space="preserve">YIELD(DATE(2024,3,31),DATE(2025,3,31),0.1,101.5,100,1,0)</t>
  </si>
  <si>
    <t xml:space="preserve">YIELD(DATE(2024,3,31),DATE(2025,3,31),0.05,100,100,1,0)</t>
  </si>
  <si>
    <t xml:space="preserve">DURATION(DATE(2024,3,31),DATE(2025,3,31),0.05,0.08,1,0)</t>
  </si>
  <si>
    <t xml:space="preserve">DURATION(DATE(2024,3,31),DATE(2025,3,31),0.1,0.03,1,0)</t>
  </si>
  <si>
    <t xml:space="preserve">DURATION(DATE(2024,3,31),DATE(2025,3,31),0,0.05,1,0)</t>
  </si>
  <si>
    <t xml:space="preserve">MDURATION(DATE(2024,3,31),DATE(2025,3,31),0.05,0.08,1,0)</t>
  </si>
  <si>
    <t xml:space="preserve">MDURATION(DATE(2024,3,31),DATE(2025,3,31),0.1,0.03,1,0)</t>
  </si>
  <si>
    <t xml:space="preserve">PRICE(DATE(2024,3,31),DATE(2025,3,31),0.05,0.08,100,1,1)</t>
  </si>
  <si>
    <t xml:space="preserve">PRICE(DATE(2024,3,31),DATE(2025,3,31),0.1,0.03,105,1,1)</t>
  </si>
  <si>
    <t xml:space="preserve">PRICE(DATE(2024,3,31),DATE(2025,3,31),0,0.05,100,1,1)</t>
  </si>
  <si>
    <t xml:space="preserve">YIELD(DATE(2024,3,31),DATE(2025,3,31),0.05,95,100,1,1)</t>
  </si>
  <si>
    <t xml:space="preserve">YIELD(DATE(2024,3,31),DATE(2025,3,31),0.1,101.5,100,1,1)</t>
  </si>
  <si>
    <t xml:space="preserve">YIELD(DATE(2024,3,31),DATE(2025,3,31),0.05,100,100,1,1)</t>
  </si>
  <si>
    <t xml:space="preserve">DURATION(DATE(2024,3,31),DATE(2025,3,31),0.05,0.08,1,1)</t>
  </si>
  <si>
    <t xml:space="preserve">DURATION(DATE(2024,3,31),DATE(2025,3,31),0.1,0.03,1,1)</t>
  </si>
  <si>
    <t xml:space="preserve">DURATION(DATE(2024,3,31),DATE(2025,3,31),0,0.05,1,1)</t>
  </si>
  <si>
    <t xml:space="preserve">MDURATION(DATE(2024,3,31),DATE(2025,3,31),0.05,0.08,1,1)</t>
  </si>
  <si>
    <t xml:space="preserve">MDURATION(DATE(2024,3,31),DATE(2025,3,31),0.1,0.03,1,1)</t>
  </si>
  <si>
    <t xml:space="preserve">PRICE(DATE(2024,3,31),DATE(2025,3,31),0.05,0.08,100,1,2)</t>
  </si>
  <si>
    <t xml:space="preserve">PRICE(DATE(2024,3,31),DATE(2025,3,31),0.1,0.03,105,1,2)</t>
  </si>
  <si>
    <t xml:space="preserve">PRICE(DATE(2024,3,31),DATE(2025,3,31),0,0.05,100,1,2)</t>
  </si>
  <si>
    <t xml:space="preserve">YIELD(DATE(2024,3,31),DATE(2025,3,31),0.05,95,100,1,2)</t>
  </si>
  <si>
    <t xml:space="preserve">YIELD(DATE(2024,3,31),DATE(2025,3,31),0.1,101.5,100,1,2)</t>
  </si>
  <si>
    <t xml:space="preserve">YIELD(DATE(2024,3,31),DATE(2025,3,31),0.05,100,100,1,2)</t>
  </si>
  <si>
    <t xml:space="preserve">DURATION(DATE(2024,3,31),DATE(2025,3,31),0.05,0.08,1,2)</t>
  </si>
  <si>
    <t xml:space="preserve">DURATION(DATE(2024,3,31),DATE(2025,3,31),0.1,0.03,1,2)</t>
  </si>
  <si>
    <t xml:space="preserve">DURATION(DATE(2024,3,31),DATE(2025,3,31),0,0.05,1,2)</t>
  </si>
  <si>
    <t xml:space="preserve">MDURATION(DATE(2024,3,31),DATE(2025,3,31),0.05,0.08,1,2)</t>
  </si>
  <si>
    <t xml:space="preserve">MDURATION(DATE(2024,3,31),DATE(2025,3,31),0.1,0.03,1,2)</t>
  </si>
  <si>
    <t xml:space="preserve">PRICE(DATE(2024,3,31),DATE(2025,3,31),0.05,0.08,100,1,3)</t>
  </si>
  <si>
    <t xml:space="preserve">PRICE(DATE(2024,3,31),DATE(2025,3,31),0.1,0.03,105,1,3)</t>
  </si>
  <si>
    <t xml:space="preserve">PRICE(DATE(2024,3,31),DATE(2025,3,31),0,0.05,100,1,3)</t>
  </si>
  <si>
    <t xml:space="preserve">YIELD(DATE(2024,3,31),DATE(2025,3,31),0.05,95,100,1,3)</t>
  </si>
  <si>
    <t xml:space="preserve">YIELD(DATE(2024,3,31),DATE(2025,3,31),0.1,101.5,100,1,3)</t>
  </si>
  <si>
    <t xml:space="preserve">YIELD(DATE(2024,3,31),DATE(2025,3,31),0.05,100,100,1,3)</t>
  </si>
  <si>
    <t xml:space="preserve">DURATION(DATE(2024,3,31),DATE(2025,3,31),0.05,0.08,1,3)</t>
  </si>
  <si>
    <t xml:space="preserve">DURATION(DATE(2024,3,31),DATE(2025,3,31),0.1,0.03,1,3)</t>
  </si>
  <si>
    <t xml:space="preserve">DURATION(DATE(2024,3,31),DATE(2025,3,31),0,0.05,1,3)</t>
  </si>
  <si>
    <t xml:space="preserve">MDURATION(DATE(2024,3,31),DATE(2025,3,31),0.05,0.08,1,3)</t>
  </si>
  <si>
    <t xml:space="preserve">MDURATION(DATE(2024,3,31),DATE(2025,3,31),0.1,0.03,1,3)</t>
  </si>
  <si>
    <t xml:space="preserve">PRICE(DATE(2024,3,31),DATE(2025,3,31),0.05,0.08,100,1,4)</t>
  </si>
  <si>
    <t xml:space="preserve">PRICE(DATE(2024,3,31),DATE(2025,3,31),0.1,0.03,105,1,4)</t>
  </si>
  <si>
    <t xml:space="preserve">PRICE(DATE(2024,3,31),DATE(2025,3,31),0,0.05,100,1,4)</t>
  </si>
  <si>
    <t xml:space="preserve">YIELD(DATE(2024,3,31),DATE(2025,3,31),0.05,95,100,1,4)</t>
  </si>
  <si>
    <t xml:space="preserve">YIELD(DATE(2024,3,31),DATE(2025,3,31),0.1,101.5,100,1,4)</t>
  </si>
  <si>
    <t xml:space="preserve">YIELD(DATE(2024,3,31),DATE(2025,3,31),0.05,100,100,1,4)</t>
  </si>
  <si>
    <t xml:space="preserve">DURATION(DATE(2024,3,31),DATE(2025,3,31),0.05,0.08,1,4)</t>
  </si>
  <si>
    <t xml:space="preserve">DURATION(DATE(2024,3,31),DATE(2025,3,31),0.1,0.03,1,4)</t>
  </si>
  <si>
    <t xml:space="preserve">DURATION(DATE(2024,3,31),DATE(2025,3,31),0,0.05,1,4)</t>
  </si>
  <si>
    <t xml:space="preserve">MDURATION(DATE(2024,3,31),DATE(2025,3,31),0.05,0.08,1,4)</t>
  </si>
  <si>
    <t xml:space="preserve">MDURATION(DATE(2024,3,31),DATE(2025,3,31),0.1,0.03,1,4)</t>
  </si>
  <si>
    <t xml:space="preserve">PRICE(DATE(2024,3,31),DATE(2025,3,31),0.05,0.08,100,2,0)</t>
  </si>
  <si>
    <t xml:space="preserve">PRICE(DATE(2024,3,31),DATE(2025,3,31),0.1,0.03,105,2,0)</t>
  </si>
  <si>
    <t xml:space="preserve">PRICE(DATE(2024,3,31),DATE(2025,3,31),0,0.05,100,2,0)</t>
  </si>
  <si>
    <t xml:space="preserve">YIELD(DATE(2024,3,31),DATE(2025,3,31),0.05,95,100,2,0)</t>
  </si>
  <si>
    <t xml:space="preserve">YIELD(DATE(2024,3,31),DATE(2025,3,31),0.1,101.5,100,2,0)</t>
  </si>
  <si>
    <t xml:space="preserve">YIELD(DATE(2024,3,31),DATE(2025,3,31),0.05,100,100,2,0)</t>
  </si>
  <si>
    <t xml:space="preserve">DURATION(DATE(2024,3,31),DATE(2025,3,31),0.05,0.08,2,0)</t>
  </si>
  <si>
    <t xml:space="preserve">DURATION(DATE(2024,3,31),DATE(2025,3,31),0.1,0.03,2,0)</t>
  </si>
  <si>
    <t xml:space="preserve">DURATION(DATE(2024,3,31),DATE(2025,3,31),0,0.05,2,0)</t>
  </si>
  <si>
    <t xml:space="preserve">MDURATION(DATE(2024,3,31),DATE(2025,3,31),0.05,0.08,2,0)</t>
  </si>
  <si>
    <t xml:space="preserve">MDURATION(DATE(2024,3,31),DATE(2025,3,31),0.1,0.03,2,0)</t>
  </si>
  <si>
    <t xml:space="preserve">PRICE(DATE(2024,3,31),DATE(2025,3,31),0.05,0.08,100,2,1)</t>
  </si>
  <si>
    <t xml:space="preserve">PRICE(DATE(2024,3,31),DATE(2025,3,31),0.1,0.03,105,2,1)</t>
  </si>
  <si>
    <t xml:space="preserve">PRICE(DATE(2024,3,31),DATE(2025,3,31),0,0.05,100,2,1)</t>
  </si>
  <si>
    <t xml:space="preserve">YIELD(DATE(2024,3,31),DATE(2025,3,31),0.05,95,100,2,1)</t>
  </si>
  <si>
    <t xml:space="preserve">YIELD(DATE(2024,3,31),DATE(2025,3,31),0.1,101.5,100,2,1)</t>
  </si>
  <si>
    <t xml:space="preserve">YIELD(DATE(2024,3,31),DATE(2025,3,31),0.05,100,100,2,1)</t>
  </si>
  <si>
    <t xml:space="preserve">DURATION(DATE(2024,3,31),DATE(2025,3,31),0.05,0.08,2,1)</t>
  </si>
  <si>
    <t xml:space="preserve">DURATION(DATE(2024,3,31),DATE(2025,3,31),0.1,0.03,2,1)</t>
  </si>
  <si>
    <t xml:space="preserve">DURATION(DATE(2024,3,31),DATE(2025,3,31),0,0.05,2,1)</t>
  </si>
  <si>
    <t xml:space="preserve">MDURATION(DATE(2024,3,31),DATE(2025,3,31),0.05,0.08,2,1)</t>
  </si>
  <si>
    <t xml:space="preserve">MDURATION(DATE(2024,3,31),DATE(2025,3,31),0.1,0.03,2,1)</t>
  </si>
  <si>
    <t xml:space="preserve">PRICE(DATE(2024,3,31),DATE(2025,3,31),0.05,0.08,100,2,2)</t>
  </si>
  <si>
    <t xml:space="preserve">PRICE(DATE(2024,3,31),DATE(2025,3,31),0.1,0.03,105,2,2)</t>
  </si>
  <si>
    <t xml:space="preserve">PRICE(DATE(2024,3,31),DATE(2025,3,31),0,0.05,100,2,2)</t>
  </si>
  <si>
    <t xml:space="preserve">YIELD(DATE(2024,3,31),DATE(2025,3,31),0.05,95,100,2,2)</t>
  </si>
  <si>
    <t xml:space="preserve">YIELD(DATE(2024,3,31),DATE(2025,3,31),0.1,101.5,100,2,2)</t>
  </si>
  <si>
    <t xml:space="preserve">YIELD(DATE(2024,3,31),DATE(2025,3,31),0.05,100,100,2,2)</t>
  </si>
  <si>
    <t xml:space="preserve">DURATION(DATE(2024,3,31),DATE(2025,3,31),0.05,0.08,2,2)</t>
  </si>
  <si>
    <t xml:space="preserve">DURATION(DATE(2024,3,31),DATE(2025,3,31),0.1,0.03,2,2)</t>
  </si>
  <si>
    <t xml:space="preserve">DURATION(DATE(2024,3,31),DATE(2025,3,31),0,0.05,2,2)</t>
  </si>
  <si>
    <t xml:space="preserve">MDURATION(DATE(2024,3,31),DATE(2025,3,31),0.05,0.08,2,2)</t>
  </si>
  <si>
    <t xml:space="preserve">MDURATION(DATE(2024,3,31),DATE(2025,3,31),0.1,0.03,2,2)</t>
  </si>
  <si>
    <t xml:space="preserve">PRICE(DATE(2024,3,31),DATE(2025,3,31),0.05,0.08,100,2,3)</t>
  </si>
  <si>
    <t xml:space="preserve">PRICE(DATE(2024,3,31),DATE(2025,3,31),0.1,0.03,105,2,3)</t>
  </si>
  <si>
    <t xml:space="preserve">PRICE(DATE(2024,3,31),DATE(2025,3,31),0,0.05,100,2,3)</t>
  </si>
  <si>
    <t xml:space="preserve">YIELD(DATE(2024,3,31),DATE(2025,3,31),0.05,95,100,2,3)</t>
  </si>
  <si>
    <t xml:space="preserve">YIELD(DATE(2024,3,31),DATE(2025,3,31),0.1,101.5,100,2,3)</t>
  </si>
  <si>
    <t xml:space="preserve">YIELD(DATE(2024,3,31),DATE(2025,3,31),0.05,100,100,2,3)</t>
  </si>
  <si>
    <t xml:space="preserve">DURATION(DATE(2024,3,31),DATE(2025,3,31),0.05,0.08,2,3)</t>
  </si>
  <si>
    <t xml:space="preserve">DURATION(DATE(2024,3,31),DATE(2025,3,31),0.1,0.03,2,3)</t>
  </si>
  <si>
    <t xml:space="preserve">DURATION(DATE(2024,3,31),DATE(2025,3,31),0,0.05,2,3)</t>
  </si>
  <si>
    <t xml:space="preserve">MDURATION(DATE(2024,3,31),DATE(2025,3,31),0.05,0.08,2,3)</t>
  </si>
  <si>
    <t xml:space="preserve">MDURATION(DATE(2024,3,31),DATE(2025,3,31),0.1,0.03,2,3)</t>
  </si>
  <si>
    <t xml:space="preserve">PRICE(DATE(2024,3,31),DATE(2025,3,31),0.05,0.08,100,2,4)</t>
  </si>
  <si>
    <t xml:space="preserve">PRICE(DATE(2024,3,31),DATE(2025,3,31),0.1,0.03,105,2,4)</t>
  </si>
  <si>
    <t xml:space="preserve">PRICE(DATE(2024,3,31),DATE(2025,3,31),0,0.05,100,2,4)</t>
  </si>
  <si>
    <t xml:space="preserve">YIELD(DATE(2024,3,31),DATE(2025,3,31),0.05,95,100,2,4)</t>
  </si>
  <si>
    <t xml:space="preserve">YIELD(DATE(2024,3,31),DATE(2025,3,31),0.1,101.5,100,2,4)</t>
  </si>
  <si>
    <t xml:space="preserve">YIELD(DATE(2024,3,31),DATE(2025,3,31),0.05,100,100,2,4)</t>
  </si>
  <si>
    <t xml:space="preserve">DURATION(DATE(2024,3,31),DATE(2025,3,31),0.05,0.08,2,4)</t>
  </si>
  <si>
    <t xml:space="preserve">DURATION(DATE(2024,3,31),DATE(2025,3,31),0.1,0.03,2,4)</t>
  </si>
  <si>
    <t xml:space="preserve">DURATION(DATE(2024,3,31),DATE(2025,3,31),0,0.05,2,4)</t>
  </si>
  <si>
    <t xml:space="preserve">MDURATION(DATE(2024,3,31),DATE(2025,3,31),0.05,0.08,2,4)</t>
  </si>
  <si>
    <t xml:space="preserve">MDURATION(DATE(2024,3,31),DATE(2025,3,31),0.1,0.03,2,4)</t>
  </si>
  <si>
    <t xml:space="preserve">PRICE(DATE(2024,3,31),DATE(2025,3,31),0.05,0.08,100,4,0)</t>
  </si>
  <si>
    <t xml:space="preserve">PRICE(DATE(2024,3,31),DATE(2025,3,31),0.1,0.03,105,4,0)</t>
  </si>
  <si>
    <t xml:space="preserve">PRICE(DATE(2024,3,31),DATE(2025,3,31),0,0.05,100,4,0)</t>
  </si>
  <si>
    <t xml:space="preserve">YIELD(DATE(2024,3,31),DATE(2025,3,31),0.05,95,100,4,0)</t>
  </si>
  <si>
    <t xml:space="preserve">YIELD(DATE(2024,3,31),DATE(2025,3,31),0.1,101.5,100,4,0)</t>
  </si>
  <si>
    <t xml:space="preserve">YIELD(DATE(2024,3,31),DATE(2025,3,31),0.05,100,100,4,0)</t>
  </si>
  <si>
    <t xml:space="preserve">DURATION(DATE(2024,3,31),DATE(2025,3,31),0.05,0.08,4,0)</t>
  </si>
  <si>
    <t xml:space="preserve">DURATION(DATE(2024,3,31),DATE(2025,3,31),0.1,0.03,4,0)</t>
  </si>
  <si>
    <t xml:space="preserve">DURATION(DATE(2024,3,31),DATE(2025,3,31),0,0.05,4,0)</t>
  </si>
  <si>
    <t xml:space="preserve">MDURATION(DATE(2024,3,31),DATE(2025,3,31),0.05,0.08,4,0)</t>
  </si>
  <si>
    <t xml:space="preserve">MDURATION(DATE(2024,3,31),DATE(2025,3,31),0.1,0.03,4,0)</t>
  </si>
  <si>
    <t xml:space="preserve">PRICE(DATE(2024,3,31),DATE(2025,3,31),0.05,0.08,100,4,1)</t>
  </si>
  <si>
    <t xml:space="preserve">PRICE(DATE(2024,3,31),DATE(2025,3,31),0.1,0.03,105,4,1)</t>
  </si>
  <si>
    <t xml:space="preserve">PRICE(DATE(2024,3,31),DATE(2025,3,31),0,0.05,100,4,1)</t>
  </si>
  <si>
    <t xml:space="preserve">YIELD(DATE(2024,3,31),DATE(2025,3,31),0.05,95,100,4,1)</t>
  </si>
  <si>
    <t xml:space="preserve">YIELD(DATE(2024,3,31),DATE(2025,3,31),0.1,101.5,100,4,1)</t>
  </si>
  <si>
    <t xml:space="preserve">YIELD(DATE(2024,3,31),DATE(2025,3,31),0.05,100,100,4,1)</t>
  </si>
  <si>
    <t xml:space="preserve">DURATION(DATE(2024,3,31),DATE(2025,3,31),0.05,0.08,4,1)</t>
  </si>
  <si>
    <t xml:space="preserve">DURATION(DATE(2024,3,31),DATE(2025,3,31),0.1,0.03,4,1)</t>
  </si>
  <si>
    <t xml:space="preserve">DURATION(DATE(2024,3,31),DATE(2025,3,31),0,0.05,4,1)</t>
  </si>
  <si>
    <t xml:space="preserve">MDURATION(DATE(2024,3,31),DATE(2025,3,31),0.05,0.08,4,1)</t>
  </si>
  <si>
    <t xml:space="preserve">MDURATION(DATE(2024,3,31),DATE(2025,3,31),0.1,0.03,4,1)</t>
  </si>
  <si>
    <t xml:space="preserve">PRICE(DATE(2024,3,31),DATE(2025,3,31),0.05,0.08,100,4,2)</t>
  </si>
  <si>
    <t xml:space="preserve">PRICE(DATE(2024,3,31),DATE(2025,3,31),0.1,0.03,105,4,2)</t>
  </si>
  <si>
    <t xml:space="preserve">PRICE(DATE(2024,3,31),DATE(2025,3,31),0,0.05,100,4,2)</t>
  </si>
  <si>
    <t xml:space="preserve">YIELD(DATE(2024,3,31),DATE(2025,3,31),0.05,95,100,4,2)</t>
  </si>
  <si>
    <t xml:space="preserve">YIELD(DATE(2024,3,31),DATE(2025,3,31),0.1,101.5,100,4,2)</t>
  </si>
  <si>
    <t xml:space="preserve">YIELD(DATE(2024,3,31),DATE(2025,3,31),0.05,100,100,4,2)</t>
  </si>
  <si>
    <t xml:space="preserve">DURATION(DATE(2024,3,31),DATE(2025,3,31),0.05,0.08,4,2)</t>
  </si>
  <si>
    <t xml:space="preserve">DURATION(DATE(2024,3,31),DATE(2025,3,31),0.1,0.03,4,2)</t>
  </si>
  <si>
    <t xml:space="preserve">DURATION(DATE(2024,3,31),DATE(2025,3,31),0,0.05,4,2)</t>
  </si>
  <si>
    <t xml:space="preserve">MDURATION(DATE(2024,3,31),DATE(2025,3,31),0.05,0.08,4,2)</t>
  </si>
  <si>
    <t xml:space="preserve">MDURATION(DATE(2024,3,31),DATE(2025,3,31),0.1,0.03,4,2)</t>
  </si>
  <si>
    <t xml:space="preserve">PRICE(DATE(2024,3,31),DATE(2025,3,31),0.05,0.08,100,4,3)</t>
  </si>
  <si>
    <t xml:space="preserve">PRICE(DATE(2024,3,31),DATE(2025,3,31),0.1,0.03,105,4,3)</t>
  </si>
  <si>
    <t xml:space="preserve">PRICE(DATE(2024,3,31),DATE(2025,3,31),0,0.05,100,4,3)</t>
  </si>
  <si>
    <t xml:space="preserve">YIELD(DATE(2024,3,31),DATE(2025,3,31),0.05,95,100,4,3)</t>
  </si>
  <si>
    <t xml:space="preserve">YIELD(DATE(2024,3,31),DATE(2025,3,31),0.1,101.5,100,4,3)</t>
  </si>
  <si>
    <t xml:space="preserve">YIELD(DATE(2024,3,31),DATE(2025,3,31),0.05,100,100,4,3)</t>
  </si>
  <si>
    <t xml:space="preserve">DURATION(DATE(2024,3,31),DATE(2025,3,31),0.05,0.08,4,3)</t>
  </si>
  <si>
    <t xml:space="preserve">DURATION(DATE(2024,3,31),DATE(2025,3,31),0.1,0.03,4,3)</t>
  </si>
  <si>
    <t xml:space="preserve">DURATION(DATE(2024,3,31),DATE(2025,3,31),0,0.05,4,3)</t>
  </si>
  <si>
    <t xml:space="preserve">MDURATION(DATE(2024,3,31),DATE(2025,3,31),0.05,0.08,4,3)</t>
  </si>
  <si>
    <t xml:space="preserve">MDURATION(DATE(2024,3,31),DATE(2025,3,31),0.1,0.03,4,3)</t>
  </si>
  <si>
    <t xml:space="preserve">PRICE(DATE(2024,3,31),DATE(2025,3,31),0.05,0.08,100,4,4)</t>
  </si>
  <si>
    <t xml:space="preserve">PRICE(DATE(2024,3,31),DATE(2025,3,31),0.1,0.03,105,4,4)</t>
  </si>
  <si>
    <t xml:space="preserve">PRICE(DATE(2024,3,31),DATE(2025,3,31),0,0.05,100,4,4)</t>
  </si>
  <si>
    <t xml:space="preserve">YIELD(DATE(2024,3,31),DATE(2025,3,31),0.05,95,100,4,4)</t>
  </si>
  <si>
    <t xml:space="preserve">YIELD(DATE(2024,3,31),DATE(2025,3,31),0.1,101.5,100,4,4)</t>
  </si>
  <si>
    <t xml:space="preserve">YIELD(DATE(2024,3,31),DATE(2025,3,31),0.05,100,100,4,4)</t>
  </si>
  <si>
    <t xml:space="preserve">DURATION(DATE(2024,3,31),DATE(2025,3,31),0.05,0.08,4,4)</t>
  </si>
  <si>
    <t xml:space="preserve">DURATION(DATE(2024,3,31),DATE(2025,3,31),0.1,0.03,4,4)</t>
  </si>
  <si>
    <t xml:space="preserve">DURATION(DATE(2024,3,31),DATE(2025,3,31),0,0.05,4,4)</t>
  </si>
  <si>
    <t xml:space="preserve">MDURATION(DATE(2024,3,31),DATE(2025,3,31),0.05,0.08,4,4)</t>
  </si>
  <si>
    <t xml:space="preserve">MDURATION(DATE(2024,3,31),DATE(2025,3,31),0.1,0.03,4,4)</t>
  </si>
  <si>
    <t xml:space="preserve">PRICE(DATE(2024,2,29),DATE(2026,8,31),0.05,0.08,100,1,0)</t>
  </si>
  <si>
    <t xml:space="preserve">PRICE(DATE(2024,2,29),DATE(2026,8,31),0.1,0.03,105,1,0)</t>
  </si>
  <si>
    <t xml:space="preserve">PRICE(DATE(2024,2,29),DATE(2026,8,31),0,0.05,100,1,0)</t>
  </si>
  <si>
    <t xml:space="preserve">YIELD(DATE(2024,2,29),DATE(2026,8,31),0.05,95,100,1,0)</t>
  </si>
  <si>
    <t xml:space="preserve">YIELD(DATE(2024,2,29),DATE(2026,8,31),0.1,101.5,100,1,0)</t>
  </si>
  <si>
    <t xml:space="preserve">YIELD(DATE(2024,2,29),DATE(2026,8,31),0.05,100,100,1,0)</t>
  </si>
  <si>
    <t xml:space="preserve">DURATION(DATE(2024,2,29),DATE(2026,8,31),0.05,0.08,1,0)</t>
  </si>
  <si>
    <t xml:space="preserve">DURATION(DATE(2024,2,29),DATE(2026,8,31),0.1,0.03,1,0)</t>
  </si>
  <si>
    <t xml:space="preserve">DURATION(DATE(2024,2,29),DATE(2026,8,31),0,0.05,1,0)</t>
  </si>
  <si>
    <t xml:space="preserve">MDURATION(DATE(2024,2,29),DATE(2026,8,31),0.05,0.08,1,0)</t>
  </si>
  <si>
    <t xml:space="preserve">MDURATION(DATE(2024,2,29),DATE(2026,8,31),0.1,0.03,1,0)</t>
  </si>
  <si>
    <t xml:space="preserve">PRICE(DATE(2024,2,29),DATE(2026,8,31),0.05,0.08,100,1,1)</t>
  </si>
  <si>
    <t xml:space="preserve">PRICE(DATE(2024,2,29),DATE(2026,8,31),0.1,0.03,105,1,1)</t>
  </si>
  <si>
    <t xml:space="preserve">PRICE(DATE(2024,2,29),DATE(2026,8,31),0,0.05,100,1,1)</t>
  </si>
  <si>
    <t xml:space="preserve">YIELD(DATE(2024,2,29),DATE(2026,8,31),0.05,95,100,1,1)</t>
  </si>
  <si>
    <t xml:space="preserve">YIELD(DATE(2024,2,29),DATE(2026,8,31),0.1,101.5,100,1,1)</t>
  </si>
  <si>
    <t xml:space="preserve">YIELD(DATE(2024,2,29),DATE(2026,8,31),0.05,100,100,1,1)</t>
  </si>
  <si>
    <t xml:space="preserve">DURATION(DATE(2024,2,29),DATE(2026,8,31),0.05,0.08,1,1)</t>
  </si>
  <si>
    <t xml:space="preserve">DURATION(DATE(2024,2,29),DATE(2026,8,31),0.1,0.03,1,1)</t>
  </si>
  <si>
    <t xml:space="preserve">DURATION(DATE(2024,2,29),DATE(2026,8,31),0,0.05,1,1)</t>
  </si>
  <si>
    <t xml:space="preserve">MDURATION(DATE(2024,2,29),DATE(2026,8,31),0.05,0.08,1,1)</t>
  </si>
  <si>
    <t xml:space="preserve">MDURATION(DATE(2024,2,29),DATE(2026,8,31),0.1,0.03,1,1)</t>
  </si>
  <si>
    <t xml:space="preserve">PRICE(DATE(2024,2,29),DATE(2026,8,31),0.05,0.08,100,1,2)</t>
  </si>
  <si>
    <t xml:space="preserve">PRICE(DATE(2024,2,29),DATE(2026,8,31),0.1,0.03,105,1,2)</t>
  </si>
  <si>
    <t xml:space="preserve">PRICE(DATE(2024,2,29),DATE(2026,8,31),0,0.05,100,1,2)</t>
  </si>
  <si>
    <t xml:space="preserve">YIELD(DATE(2024,2,29),DATE(2026,8,31),0.05,95,100,1,2)</t>
  </si>
  <si>
    <t xml:space="preserve">YIELD(DATE(2024,2,29),DATE(2026,8,31),0.1,101.5,100,1,2)</t>
  </si>
  <si>
    <t xml:space="preserve">YIELD(DATE(2024,2,29),DATE(2026,8,31),0.05,100,100,1,2)</t>
  </si>
  <si>
    <t xml:space="preserve">DURATION(DATE(2024,2,29),DATE(2026,8,31),0.05,0.08,1,2)</t>
  </si>
  <si>
    <t xml:space="preserve">DURATION(DATE(2024,2,29),DATE(2026,8,31),0.1,0.03,1,2)</t>
  </si>
  <si>
    <t xml:space="preserve">DURATION(DATE(2024,2,29),DATE(2026,8,31),0,0.05,1,2)</t>
  </si>
  <si>
    <t xml:space="preserve">MDURATION(DATE(2024,2,29),DATE(2026,8,31),0.05,0.08,1,2)</t>
  </si>
  <si>
    <t xml:space="preserve">MDURATION(DATE(2024,2,29),DATE(2026,8,31),0.1,0.03,1,2)</t>
  </si>
  <si>
    <t xml:space="preserve">PRICE(DATE(2024,2,29),DATE(2026,8,31),0.05,0.08,100,1,3)</t>
  </si>
  <si>
    <t xml:space="preserve">PRICE(DATE(2024,2,29),DATE(2026,8,31),0.1,0.03,105,1,3)</t>
  </si>
  <si>
    <t xml:space="preserve">PRICE(DATE(2024,2,29),DATE(2026,8,31),0,0.05,100,1,3)</t>
  </si>
  <si>
    <t xml:space="preserve">YIELD(DATE(2024,2,29),DATE(2026,8,31),0.05,95,100,1,3)</t>
  </si>
  <si>
    <t xml:space="preserve">YIELD(DATE(2024,2,29),DATE(2026,8,31),0.1,101.5,100,1,3)</t>
  </si>
  <si>
    <t xml:space="preserve">YIELD(DATE(2024,2,29),DATE(2026,8,31),0.05,100,100,1,3)</t>
  </si>
  <si>
    <t xml:space="preserve">DURATION(DATE(2024,2,29),DATE(2026,8,31),0.05,0.08,1,3)</t>
  </si>
  <si>
    <t xml:space="preserve">DURATION(DATE(2024,2,29),DATE(2026,8,31),0.1,0.03,1,3)</t>
  </si>
  <si>
    <t xml:space="preserve">DURATION(DATE(2024,2,29),DATE(2026,8,31),0,0.05,1,3)</t>
  </si>
  <si>
    <t xml:space="preserve">MDURATION(DATE(2024,2,29),DATE(2026,8,31),0.05,0.08,1,3)</t>
  </si>
  <si>
    <t xml:space="preserve">MDURATION(DATE(2024,2,29),DATE(2026,8,31),0.1,0.03,1,3)</t>
  </si>
  <si>
    <t xml:space="preserve">PRICE(DATE(2024,2,29),DATE(2026,8,31),0.05,0.08,100,1,4)</t>
  </si>
  <si>
    <t xml:space="preserve">PRICE(DATE(2024,2,29),DATE(2026,8,31),0.1,0.03,105,1,4)</t>
  </si>
  <si>
    <t xml:space="preserve">PRICE(DATE(2024,2,29),DATE(2026,8,31),0,0.05,100,1,4)</t>
  </si>
  <si>
    <t xml:space="preserve">YIELD(DATE(2024,2,29),DATE(2026,8,31),0.05,95,100,1,4)</t>
  </si>
  <si>
    <t xml:space="preserve">YIELD(DATE(2024,2,29),DATE(2026,8,31),0.1,101.5,100,1,4)</t>
  </si>
  <si>
    <t xml:space="preserve">YIELD(DATE(2024,2,29),DATE(2026,8,31),0.05,100,100,1,4)</t>
  </si>
  <si>
    <t xml:space="preserve">DURATION(DATE(2024,2,29),DATE(2026,8,31),0.05,0.08,1,4)</t>
  </si>
  <si>
    <t xml:space="preserve">DURATION(DATE(2024,2,29),DATE(2026,8,31),0.1,0.03,1,4)</t>
  </si>
  <si>
    <t xml:space="preserve">DURATION(DATE(2024,2,29),DATE(2026,8,31),0,0.05,1,4)</t>
  </si>
  <si>
    <t xml:space="preserve">MDURATION(DATE(2024,2,29),DATE(2026,8,31),0.05,0.08,1,4)</t>
  </si>
  <si>
    <t xml:space="preserve">MDURATION(DATE(2024,2,29),DATE(2026,8,31),0.1,0.03,1,4)</t>
  </si>
  <si>
    <t xml:space="preserve">PRICE(DATE(2024,2,29),DATE(2026,8,31),0.05,0.08,100,2,0)</t>
  </si>
  <si>
    <t xml:space="preserve">PRICE(DATE(2024,2,29),DATE(2026,8,31),0.1,0.03,105,2,0)</t>
  </si>
  <si>
    <t xml:space="preserve">PRICE(DATE(2024,2,29),DATE(2026,8,31),0,0.05,100,2,0)</t>
  </si>
  <si>
    <t xml:space="preserve">YIELD(DATE(2024,2,29),DATE(2026,8,31),0.05,95,100,2,0)</t>
  </si>
  <si>
    <t xml:space="preserve">YIELD(DATE(2024,2,29),DATE(2026,8,31),0.1,101.5,100,2,0)</t>
  </si>
  <si>
    <t xml:space="preserve">YIELD(DATE(2024,2,29),DATE(2026,8,31),0.05,100,100,2,0)</t>
  </si>
  <si>
    <t xml:space="preserve">DURATION(DATE(2024,2,29),DATE(2026,8,31),0.05,0.08,2,0)</t>
  </si>
  <si>
    <t xml:space="preserve">DURATION(DATE(2024,2,29),DATE(2026,8,31),0.1,0.03,2,0)</t>
  </si>
  <si>
    <t xml:space="preserve">DURATION(DATE(2024,2,29),DATE(2026,8,31),0,0.05,2,0)</t>
  </si>
  <si>
    <t xml:space="preserve">MDURATION(DATE(2024,2,29),DATE(2026,8,31),0.05,0.08,2,0)</t>
  </si>
  <si>
    <t xml:space="preserve">MDURATION(DATE(2024,2,29),DATE(2026,8,31),0.1,0.03,2,0)</t>
  </si>
  <si>
    <t xml:space="preserve">PRICE(DATE(2024,2,29),DATE(2026,8,31),0.05,0.08,100,2,1)</t>
  </si>
  <si>
    <t xml:space="preserve">PRICE(DATE(2024,2,29),DATE(2026,8,31),0.1,0.03,105,2,1)</t>
  </si>
  <si>
    <t xml:space="preserve">PRICE(DATE(2024,2,29),DATE(2026,8,31),0,0.05,100,2,1)</t>
  </si>
  <si>
    <t xml:space="preserve">YIELD(DATE(2024,2,29),DATE(2026,8,31),0.05,95,100,2,1)</t>
  </si>
  <si>
    <t xml:space="preserve">YIELD(DATE(2024,2,29),DATE(2026,8,31),0.1,101.5,100,2,1)</t>
  </si>
  <si>
    <t xml:space="preserve">YIELD(DATE(2024,2,29),DATE(2026,8,31),0.05,100,100,2,1)</t>
  </si>
  <si>
    <t xml:space="preserve">DURATION(DATE(2024,2,29),DATE(2026,8,31),0.05,0.08,2,1)</t>
  </si>
  <si>
    <t xml:space="preserve">DURATION(DATE(2024,2,29),DATE(2026,8,31),0.1,0.03,2,1)</t>
  </si>
  <si>
    <t xml:space="preserve">DURATION(DATE(2024,2,29),DATE(2026,8,31),0,0.05,2,1)</t>
  </si>
  <si>
    <t xml:space="preserve">MDURATION(DATE(2024,2,29),DATE(2026,8,31),0.05,0.08,2,1)</t>
  </si>
  <si>
    <t xml:space="preserve">MDURATION(DATE(2024,2,29),DATE(2026,8,31),0.1,0.03,2,1)</t>
  </si>
  <si>
    <t xml:space="preserve">PRICE(DATE(2024,2,29),DATE(2026,8,31),0.05,0.08,100,2,2)</t>
  </si>
  <si>
    <t xml:space="preserve">PRICE(DATE(2024,2,29),DATE(2026,8,31),0.1,0.03,105,2,2)</t>
  </si>
  <si>
    <t xml:space="preserve">PRICE(DATE(2024,2,29),DATE(2026,8,31),0,0.05,100,2,2)</t>
  </si>
  <si>
    <t xml:space="preserve">YIELD(DATE(2024,2,29),DATE(2026,8,31),0.05,95,100,2,2)</t>
  </si>
  <si>
    <t xml:space="preserve">YIELD(DATE(2024,2,29),DATE(2026,8,31),0.1,101.5,100,2,2)</t>
  </si>
  <si>
    <t xml:space="preserve">YIELD(DATE(2024,2,29),DATE(2026,8,31),0.05,100,100,2,2)</t>
  </si>
  <si>
    <t xml:space="preserve">DURATION(DATE(2024,2,29),DATE(2026,8,31),0.05,0.08,2,2)</t>
  </si>
  <si>
    <t xml:space="preserve">DURATION(DATE(2024,2,29),DATE(2026,8,31),0.1,0.03,2,2)</t>
  </si>
  <si>
    <t xml:space="preserve">DURATION(DATE(2024,2,29),DATE(2026,8,31),0,0.05,2,2)</t>
  </si>
  <si>
    <t xml:space="preserve">MDURATION(DATE(2024,2,29),DATE(2026,8,31),0.05,0.08,2,2)</t>
  </si>
  <si>
    <t xml:space="preserve">MDURATION(DATE(2024,2,29),DATE(2026,8,31),0.1,0.03,2,2)</t>
  </si>
  <si>
    <t xml:space="preserve">PRICE(DATE(2024,2,29),DATE(2026,8,31),0.05,0.08,100,2,3)</t>
  </si>
  <si>
    <t xml:space="preserve">PRICE(DATE(2024,2,29),DATE(2026,8,31),0.1,0.03,105,2,3)</t>
  </si>
  <si>
    <t xml:space="preserve">PRICE(DATE(2024,2,29),DATE(2026,8,31),0,0.05,100,2,3)</t>
  </si>
  <si>
    <t xml:space="preserve">YIELD(DATE(2024,2,29),DATE(2026,8,31),0.05,95,100,2,3)</t>
  </si>
  <si>
    <t xml:space="preserve">YIELD(DATE(2024,2,29),DATE(2026,8,31),0.1,101.5,100,2,3)</t>
  </si>
  <si>
    <t xml:space="preserve">YIELD(DATE(2024,2,29),DATE(2026,8,31),0.05,100,100,2,3)</t>
  </si>
  <si>
    <t xml:space="preserve">DURATION(DATE(2024,2,29),DATE(2026,8,31),0.05,0.08,2,3)</t>
  </si>
  <si>
    <t xml:space="preserve">DURATION(DATE(2024,2,29),DATE(2026,8,31),0.1,0.03,2,3)</t>
  </si>
  <si>
    <t xml:space="preserve">DURATION(DATE(2024,2,29),DATE(2026,8,31),0,0.05,2,3)</t>
  </si>
  <si>
    <t xml:space="preserve">MDURATION(DATE(2024,2,29),DATE(2026,8,31),0.05,0.08,2,3)</t>
  </si>
  <si>
    <t xml:space="preserve">MDURATION(DATE(2024,2,29),DATE(2026,8,31),0.1,0.03,2,3)</t>
  </si>
  <si>
    <t xml:space="preserve">PRICE(DATE(2024,2,29),DATE(2026,8,31),0.05,0.08,100,2,4)</t>
  </si>
  <si>
    <t xml:space="preserve">PRICE(DATE(2024,2,29),DATE(2026,8,31),0.1,0.03,105,2,4)</t>
  </si>
  <si>
    <t xml:space="preserve">PRICE(DATE(2024,2,29),DATE(2026,8,31),0,0.05,100,2,4)</t>
  </si>
  <si>
    <t xml:space="preserve">YIELD(DATE(2024,2,29),DATE(2026,8,31),0.05,95,100,2,4)</t>
  </si>
  <si>
    <t xml:space="preserve">YIELD(DATE(2024,2,29),DATE(2026,8,31),0.1,101.5,100,2,4)</t>
  </si>
  <si>
    <t xml:space="preserve">YIELD(DATE(2024,2,29),DATE(2026,8,31),0.05,100,100,2,4)</t>
  </si>
  <si>
    <t xml:space="preserve">DURATION(DATE(2024,2,29),DATE(2026,8,31),0.05,0.08,2,4)</t>
  </si>
  <si>
    <t xml:space="preserve">DURATION(DATE(2024,2,29),DATE(2026,8,31),0.1,0.03,2,4)</t>
  </si>
  <si>
    <t xml:space="preserve">DURATION(DATE(2024,2,29),DATE(2026,8,31),0,0.05,2,4)</t>
  </si>
  <si>
    <t xml:space="preserve">MDURATION(DATE(2024,2,29),DATE(2026,8,31),0.05,0.08,2,4)</t>
  </si>
  <si>
    <t xml:space="preserve">MDURATION(DATE(2024,2,29),DATE(2026,8,31),0.1,0.03,2,4)</t>
  </si>
  <si>
    <t xml:space="preserve">PRICE(DATE(2024,2,29),DATE(2026,8,31),0.05,0.08,100,4,0)</t>
  </si>
  <si>
    <t xml:space="preserve">PRICE(DATE(2024,2,29),DATE(2026,8,31),0.1,0.03,105,4,0)</t>
  </si>
  <si>
    <t xml:space="preserve">PRICE(DATE(2024,2,29),DATE(2026,8,31),0,0.05,100,4,0)</t>
  </si>
  <si>
    <t xml:space="preserve">YIELD(DATE(2024,2,29),DATE(2026,8,31),0.05,95,100,4,0)</t>
  </si>
  <si>
    <t xml:space="preserve">YIELD(DATE(2024,2,29),DATE(2026,8,31),0.1,101.5,100,4,0)</t>
  </si>
  <si>
    <t xml:space="preserve">YIELD(DATE(2024,2,29),DATE(2026,8,31),0.05,100,100,4,0)</t>
  </si>
  <si>
    <t xml:space="preserve">DURATION(DATE(2024,2,29),DATE(2026,8,31),0.05,0.08,4,0)</t>
  </si>
  <si>
    <t xml:space="preserve">DURATION(DATE(2024,2,29),DATE(2026,8,31),0.1,0.03,4,0)</t>
  </si>
  <si>
    <t xml:space="preserve">DURATION(DATE(2024,2,29),DATE(2026,8,31),0,0.05,4,0)</t>
  </si>
  <si>
    <t xml:space="preserve">MDURATION(DATE(2024,2,29),DATE(2026,8,31),0.05,0.08,4,0)</t>
  </si>
  <si>
    <t xml:space="preserve">MDURATION(DATE(2024,2,29),DATE(2026,8,31),0.1,0.03,4,0)</t>
  </si>
  <si>
    <t xml:space="preserve">PRICE(DATE(2024,2,29),DATE(2026,8,31),0.05,0.08,100,4,1)</t>
  </si>
  <si>
    <t xml:space="preserve">PRICE(DATE(2024,2,29),DATE(2026,8,31),0.1,0.03,105,4,1)</t>
  </si>
  <si>
    <t xml:space="preserve">PRICE(DATE(2024,2,29),DATE(2026,8,31),0,0.05,100,4,1)</t>
  </si>
  <si>
    <t xml:space="preserve">YIELD(DATE(2024,2,29),DATE(2026,8,31),0.05,95,100,4,1)</t>
  </si>
  <si>
    <t xml:space="preserve">YIELD(DATE(2024,2,29),DATE(2026,8,31),0.1,101.5,100,4,1)</t>
  </si>
  <si>
    <t xml:space="preserve">YIELD(DATE(2024,2,29),DATE(2026,8,31),0.05,100,100,4,1)</t>
  </si>
  <si>
    <t xml:space="preserve">DURATION(DATE(2024,2,29),DATE(2026,8,31),0.05,0.08,4,1)</t>
  </si>
  <si>
    <t xml:space="preserve">DURATION(DATE(2024,2,29),DATE(2026,8,31),0.1,0.03,4,1)</t>
  </si>
  <si>
    <t xml:space="preserve">DURATION(DATE(2024,2,29),DATE(2026,8,31),0,0.05,4,1)</t>
  </si>
  <si>
    <t xml:space="preserve">MDURATION(DATE(2024,2,29),DATE(2026,8,31),0.05,0.08,4,1)</t>
  </si>
  <si>
    <t xml:space="preserve">MDURATION(DATE(2024,2,29),DATE(2026,8,31),0.1,0.03,4,1)</t>
  </si>
  <si>
    <t xml:space="preserve">PRICE(DATE(2024,2,29),DATE(2026,8,31),0.05,0.08,100,4,2)</t>
  </si>
  <si>
    <t xml:space="preserve">PRICE(DATE(2024,2,29),DATE(2026,8,31),0.1,0.03,105,4,2)</t>
  </si>
  <si>
    <t xml:space="preserve">PRICE(DATE(2024,2,29),DATE(2026,8,31),0,0.05,100,4,2)</t>
  </si>
  <si>
    <t xml:space="preserve">YIELD(DATE(2024,2,29),DATE(2026,8,31),0.05,95,100,4,2)</t>
  </si>
  <si>
    <t xml:space="preserve">YIELD(DATE(2024,2,29),DATE(2026,8,31),0.1,101.5,100,4,2)</t>
  </si>
  <si>
    <t xml:space="preserve">YIELD(DATE(2024,2,29),DATE(2026,8,31),0.05,100,100,4,2)</t>
  </si>
  <si>
    <t xml:space="preserve">DURATION(DATE(2024,2,29),DATE(2026,8,31),0.05,0.08,4,2)</t>
  </si>
  <si>
    <t xml:space="preserve">DURATION(DATE(2024,2,29),DATE(2026,8,31),0.1,0.03,4,2)</t>
  </si>
  <si>
    <t xml:space="preserve">DURATION(DATE(2024,2,29),DATE(2026,8,31),0,0.05,4,2)</t>
  </si>
  <si>
    <t xml:space="preserve">MDURATION(DATE(2024,2,29),DATE(2026,8,31),0.05,0.08,4,2)</t>
  </si>
  <si>
    <t xml:space="preserve">MDURATION(DATE(2024,2,29),DATE(2026,8,31),0.1,0.03,4,2)</t>
  </si>
  <si>
    <t xml:space="preserve">PRICE(DATE(2024,2,29),DATE(2026,8,31),0.05,0.08,100,4,3)</t>
  </si>
  <si>
    <t xml:space="preserve">PRICE(DATE(2024,2,29),DATE(2026,8,31),0.1,0.03,105,4,3)</t>
  </si>
  <si>
    <t xml:space="preserve">PRICE(DATE(2024,2,29),DATE(2026,8,31),0,0.05,100,4,3)</t>
  </si>
  <si>
    <t xml:space="preserve">YIELD(DATE(2024,2,29),DATE(2026,8,31),0.05,95,100,4,3)</t>
  </si>
  <si>
    <t xml:space="preserve">YIELD(DATE(2024,2,29),DATE(2026,8,31),0.1,101.5,100,4,3)</t>
  </si>
  <si>
    <t xml:space="preserve">YIELD(DATE(2024,2,29),DATE(2026,8,31),0.05,100,100,4,3)</t>
  </si>
  <si>
    <t xml:space="preserve">DURATION(DATE(2024,2,29),DATE(2026,8,31),0.05,0.08,4,3)</t>
  </si>
  <si>
    <t xml:space="preserve">DURATION(DATE(2024,2,29),DATE(2026,8,31),0.1,0.03,4,3)</t>
  </si>
  <si>
    <t xml:space="preserve">DURATION(DATE(2024,2,29),DATE(2026,8,31),0,0.05,4,3)</t>
  </si>
  <si>
    <t xml:space="preserve">MDURATION(DATE(2024,2,29),DATE(2026,8,31),0.05,0.08,4,3)</t>
  </si>
  <si>
    <t xml:space="preserve">MDURATION(DATE(2024,2,29),DATE(2026,8,31),0.1,0.03,4,3)</t>
  </si>
  <si>
    <t xml:space="preserve">PRICE(DATE(2024,2,29),DATE(2026,8,31),0.05,0.08,100,4,4)</t>
  </si>
  <si>
    <t xml:space="preserve">PRICE(DATE(2024,2,29),DATE(2026,8,31),0.1,0.03,105,4,4)</t>
  </si>
  <si>
    <t xml:space="preserve">PRICE(DATE(2024,2,29),DATE(2026,8,31),0,0.05,100,4,4)</t>
  </si>
  <si>
    <t xml:space="preserve">YIELD(DATE(2024,2,29),DATE(2026,8,31),0.05,95,100,4,4)</t>
  </si>
  <si>
    <t xml:space="preserve">YIELD(DATE(2024,2,29),DATE(2026,8,31),0.1,101.5,100,4,4)</t>
  </si>
  <si>
    <t xml:space="preserve">YIELD(DATE(2024,2,29),DATE(2026,8,31),0.05,100,100,4,4)</t>
  </si>
  <si>
    <t xml:space="preserve">DURATION(DATE(2024,2,29),DATE(2026,8,31),0.05,0.08,4,4)</t>
  </si>
  <si>
    <t xml:space="preserve">DURATION(DATE(2024,2,29),DATE(2026,8,31),0.1,0.03,4,4)</t>
  </si>
  <si>
    <t xml:space="preserve">DURATION(DATE(2024,2,29),DATE(2026,8,31),0,0.05,4,4)</t>
  </si>
  <si>
    <t xml:space="preserve">MDURATION(DATE(2024,2,29),DATE(2026,8,31),0.05,0.08,4,4)</t>
  </si>
  <si>
    <t xml:space="preserve">MDURATION(DATE(2024,2,29),DATE(2026,8,31),0.1,0.03,4,4)</t>
  </si>
  <si>
    <t xml:space="preserve">PRICE(DATE(2024,5,15),DATE(2024,11,15),0.05,0.08,100,1,0)</t>
  </si>
  <si>
    <t xml:space="preserve">PRICE(DATE(2024,5,15),DATE(2024,11,15),0.1,0.03,105,1,0)</t>
  </si>
  <si>
    <t xml:space="preserve">PRICE(DATE(2024,5,15),DATE(2024,11,15),0,0.05,100,1,0)</t>
  </si>
  <si>
    <t xml:space="preserve">YIELD(DATE(2024,5,15),DATE(2024,11,15),0.05,95,100,1,0)</t>
  </si>
  <si>
    <t xml:space="preserve">YIELD(DATE(2024,5,15),DATE(2024,11,15),0.1,101.5,100,1,0)</t>
  </si>
  <si>
    <t xml:space="preserve">YIELD(DATE(2024,5,15),DATE(2024,11,15),0.05,100,100,1,0)</t>
  </si>
  <si>
    <t xml:space="preserve">DURATION(DATE(2024,5,15),DATE(2024,11,15),0.05,0.08,1,0)</t>
  </si>
  <si>
    <t xml:space="preserve">DURATION(DATE(2024,5,15),DATE(2024,11,15),0.1,0.03,1,0)</t>
  </si>
  <si>
    <t xml:space="preserve">DURATION(DATE(2024,5,15),DATE(2024,11,15),0,0.05,1,0)</t>
  </si>
  <si>
    <t xml:space="preserve">MDURATION(DATE(2024,5,15),DATE(2024,11,15),0.05,0.08,1,0)</t>
  </si>
  <si>
    <t xml:space="preserve">MDURATION(DATE(2024,5,15),DATE(2024,11,15),0.1,0.03,1,0)</t>
  </si>
  <si>
    <t xml:space="preserve">PRICE(DATE(2024,5,15),DATE(2024,11,15),0.05,0.08,100,1,1)</t>
  </si>
  <si>
    <t xml:space="preserve">PRICE(DATE(2024,5,15),DATE(2024,11,15),0.1,0.03,105,1,1)</t>
  </si>
  <si>
    <t xml:space="preserve">PRICE(DATE(2024,5,15),DATE(2024,11,15),0,0.05,100,1,1)</t>
  </si>
  <si>
    <t xml:space="preserve">YIELD(DATE(2024,5,15),DATE(2024,11,15),0.05,95,100,1,1)</t>
  </si>
  <si>
    <t xml:space="preserve">YIELD(DATE(2024,5,15),DATE(2024,11,15),0.1,101.5,100,1,1)</t>
  </si>
  <si>
    <t xml:space="preserve">YIELD(DATE(2024,5,15),DATE(2024,11,15),0.05,100,100,1,1)</t>
  </si>
  <si>
    <t xml:space="preserve">DURATION(DATE(2024,5,15),DATE(2024,11,15),0.05,0.08,1,1)</t>
  </si>
  <si>
    <t xml:space="preserve">DURATION(DATE(2024,5,15),DATE(2024,11,15),0.1,0.03,1,1)</t>
  </si>
  <si>
    <t xml:space="preserve">DURATION(DATE(2024,5,15),DATE(2024,11,15),0,0.05,1,1)</t>
  </si>
  <si>
    <t xml:space="preserve">MDURATION(DATE(2024,5,15),DATE(2024,11,15),0.05,0.08,1,1)</t>
  </si>
  <si>
    <t xml:space="preserve">MDURATION(DATE(2024,5,15),DATE(2024,11,15),0.1,0.03,1,1)</t>
  </si>
  <si>
    <t xml:space="preserve">PRICE(DATE(2024,5,15),DATE(2024,11,15),0.05,0.08,100,1,2)</t>
  </si>
  <si>
    <t xml:space="preserve">PRICE(DATE(2024,5,15),DATE(2024,11,15),0.1,0.03,105,1,2)</t>
  </si>
  <si>
    <t xml:space="preserve">PRICE(DATE(2024,5,15),DATE(2024,11,15),0,0.05,100,1,2)</t>
  </si>
  <si>
    <t xml:space="preserve">YIELD(DATE(2024,5,15),DATE(2024,11,15),0.05,95,100,1,2)</t>
  </si>
  <si>
    <t xml:space="preserve">YIELD(DATE(2024,5,15),DATE(2024,11,15),0.1,101.5,100,1,2)</t>
  </si>
  <si>
    <t xml:space="preserve">YIELD(DATE(2024,5,15),DATE(2024,11,15),0.05,100,100,1,2)</t>
  </si>
  <si>
    <t xml:space="preserve">DURATION(DATE(2024,5,15),DATE(2024,11,15),0.05,0.08,1,2)</t>
  </si>
  <si>
    <t xml:space="preserve">DURATION(DATE(2024,5,15),DATE(2024,11,15),0.1,0.03,1,2)</t>
  </si>
  <si>
    <t xml:space="preserve">DURATION(DATE(2024,5,15),DATE(2024,11,15),0,0.05,1,2)</t>
  </si>
  <si>
    <t xml:space="preserve">MDURATION(DATE(2024,5,15),DATE(2024,11,15),0.05,0.08,1,2)</t>
  </si>
  <si>
    <t xml:space="preserve">MDURATION(DATE(2024,5,15),DATE(2024,11,15),0.1,0.03,1,2)</t>
  </si>
  <si>
    <t xml:space="preserve">PRICE(DATE(2024,5,15),DATE(2024,11,15),0.05,0.08,100,1,3)</t>
  </si>
  <si>
    <t xml:space="preserve">PRICE(DATE(2024,5,15),DATE(2024,11,15),0.1,0.03,105,1,3)</t>
  </si>
  <si>
    <t xml:space="preserve">PRICE(DATE(2024,5,15),DATE(2024,11,15),0,0.05,100,1,3)</t>
  </si>
  <si>
    <t xml:space="preserve">YIELD(DATE(2024,5,15),DATE(2024,11,15),0.05,95,100,1,3)</t>
  </si>
  <si>
    <t xml:space="preserve">YIELD(DATE(2024,5,15),DATE(2024,11,15),0.1,101.5,100,1,3)</t>
  </si>
  <si>
    <t xml:space="preserve">YIELD(DATE(2024,5,15),DATE(2024,11,15),0.05,100,100,1,3)</t>
  </si>
  <si>
    <t xml:space="preserve">DURATION(DATE(2024,5,15),DATE(2024,11,15),0.05,0.08,1,3)</t>
  </si>
  <si>
    <t xml:space="preserve">DURATION(DATE(2024,5,15),DATE(2024,11,15),0.1,0.03,1,3)</t>
  </si>
  <si>
    <t xml:space="preserve">DURATION(DATE(2024,5,15),DATE(2024,11,15),0,0.05,1,3)</t>
  </si>
  <si>
    <t xml:space="preserve">MDURATION(DATE(2024,5,15),DATE(2024,11,15),0.05,0.08,1,3)</t>
  </si>
  <si>
    <t xml:space="preserve">MDURATION(DATE(2024,5,15),DATE(2024,11,15),0.1,0.03,1,3)</t>
  </si>
  <si>
    <t xml:space="preserve">PRICE(DATE(2024,5,15),DATE(2024,11,15),0.05,0.08,100,1,4)</t>
  </si>
  <si>
    <t xml:space="preserve">PRICE(DATE(2024,5,15),DATE(2024,11,15),0.1,0.03,105,1,4)</t>
  </si>
  <si>
    <t xml:space="preserve">PRICE(DATE(2024,5,15),DATE(2024,11,15),0,0.05,100,1,4)</t>
  </si>
  <si>
    <t xml:space="preserve">YIELD(DATE(2024,5,15),DATE(2024,11,15),0.05,95,100,1,4)</t>
  </si>
  <si>
    <t xml:space="preserve">YIELD(DATE(2024,5,15),DATE(2024,11,15),0.1,101.5,100,1,4)</t>
  </si>
  <si>
    <t xml:space="preserve">YIELD(DATE(2024,5,15),DATE(2024,11,15),0.05,100,100,1,4)</t>
  </si>
  <si>
    <t xml:space="preserve">DURATION(DATE(2024,5,15),DATE(2024,11,15),0.05,0.08,1,4)</t>
  </si>
  <si>
    <t xml:space="preserve">DURATION(DATE(2024,5,15),DATE(2024,11,15),0.1,0.03,1,4)</t>
  </si>
  <si>
    <t xml:space="preserve">DURATION(DATE(2024,5,15),DATE(2024,11,15),0,0.05,1,4)</t>
  </si>
  <si>
    <t xml:space="preserve">MDURATION(DATE(2024,5,15),DATE(2024,11,15),0.05,0.08,1,4)</t>
  </si>
  <si>
    <t xml:space="preserve">MDURATION(DATE(2024,5,15),DATE(2024,11,15),0.1,0.03,1,4)</t>
  </si>
  <si>
    <t xml:space="preserve">PRICE(DATE(2024,5,15),DATE(2024,11,15),0.05,0.08,100,2,0)</t>
  </si>
  <si>
    <t xml:space="preserve">PRICE(DATE(2024,5,15),DATE(2024,11,15),0.1,0.03,105,2,0)</t>
  </si>
  <si>
    <t xml:space="preserve">PRICE(DATE(2024,5,15),DATE(2024,11,15),0,0.05,100,2,0)</t>
  </si>
  <si>
    <t xml:space="preserve">YIELD(DATE(2024,5,15),DATE(2024,11,15),0.05,95,100,2,0)</t>
  </si>
  <si>
    <t xml:space="preserve">YIELD(DATE(2024,5,15),DATE(2024,11,15),0.1,101.5,100,2,0)</t>
  </si>
  <si>
    <t xml:space="preserve">YIELD(DATE(2024,5,15),DATE(2024,11,15),0.05,100,100,2,0)</t>
  </si>
  <si>
    <t xml:space="preserve">DURATION(DATE(2024,5,15),DATE(2024,11,15),0.05,0.08,2,0)</t>
  </si>
  <si>
    <t xml:space="preserve">DURATION(DATE(2024,5,15),DATE(2024,11,15),0.1,0.03,2,0)</t>
  </si>
  <si>
    <t xml:space="preserve">DURATION(DATE(2024,5,15),DATE(2024,11,15),0,0.05,2,0)</t>
  </si>
  <si>
    <t xml:space="preserve">MDURATION(DATE(2024,5,15),DATE(2024,11,15),0.05,0.08,2,0)</t>
  </si>
  <si>
    <t xml:space="preserve">MDURATION(DATE(2024,5,15),DATE(2024,11,15),0.1,0.03,2,0)</t>
  </si>
  <si>
    <t xml:space="preserve">PRICE(DATE(2024,5,15),DATE(2024,11,15),0.05,0.08,100,2,1)</t>
  </si>
  <si>
    <t xml:space="preserve">PRICE(DATE(2024,5,15),DATE(2024,11,15),0.1,0.03,105,2,1)</t>
  </si>
  <si>
    <t xml:space="preserve">PRICE(DATE(2024,5,15),DATE(2024,11,15),0,0.05,100,2,1)</t>
  </si>
  <si>
    <t xml:space="preserve">YIELD(DATE(2024,5,15),DATE(2024,11,15),0.05,95,100,2,1)</t>
  </si>
  <si>
    <t xml:space="preserve">YIELD(DATE(2024,5,15),DATE(2024,11,15),0.1,101.5,100,2,1)</t>
  </si>
  <si>
    <t xml:space="preserve">YIELD(DATE(2024,5,15),DATE(2024,11,15),0.05,100,100,2,1)</t>
  </si>
  <si>
    <t xml:space="preserve">DURATION(DATE(2024,5,15),DATE(2024,11,15),0.05,0.08,2,1)</t>
  </si>
  <si>
    <t xml:space="preserve">DURATION(DATE(2024,5,15),DATE(2024,11,15),0.1,0.03,2,1)</t>
  </si>
  <si>
    <t xml:space="preserve">DURATION(DATE(2024,5,15),DATE(2024,11,15),0,0.05,2,1)</t>
  </si>
  <si>
    <t xml:space="preserve">MDURATION(DATE(2024,5,15),DATE(2024,11,15),0.05,0.08,2,1)</t>
  </si>
  <si>
    <t xml:space="preserve">MDURATION(DATE(2024,5,15),DATE(2024,11,15),0.1,0.03,2,1)</t>
  </si>
  <si>
    <t xml:space="preserve">PRICE(DATE(2024,5,15),DATE(2024,11,15),0.05,0.08,100,2,2)</t>
  </si>
  <si>
    <t xml:space="preserve">PRICE(DATE(2024,5,15),DATE(2024,11,15),0.1,0.03,105,2,2)</t>
  </si>
  <si>
    <t xml:space="preserve">PRICE(DATE(2024,5,15),DATE(2024,11,15),0,0.05,100,2,2)</t>
  </si>
  <si>
    <t xml:space="preserve">YIELD(DATE(2024,5,15),DATE(2024,11,15),0.05,95,100,2,2)</t>
  </si>
  <si>
    <t xml:space="preserve">YIELD(DATE(2024,5,15),DATE(2024,11,15),0.1,101.5,100,2,2)</t>
  </si>
  <si>
    <t xml:space="preserve">YIELD(DATE(2024,5,15),DATE(2024,11,15),0.05,100,100,2,2)</t>
  </si>
  <si>
    <t xml:space="preserve">DURATION(DATE(2024,5,15),DATE(2024,11,15),0.05,0.08,2,2)</t>
  </si>
  <si>
    <t xml:space="preserve">DURATION(DATE(2024,5,15),DATE(2024,11,15),0.1,0.03,2,2)</t>
  </si>
  <si>
    <t xml:space="preserve">DURATION(DATE(2024,5,15),DATE(2024,11,15),0,0.05,2,2)</t>
  </si>
  <si>
    <t xml:space="preserve">MDURATION(DATE(2024,5,15),DATE(2024,11,15),0.05,0.08,2,2)</t>
  </si>
  <si>
    <t xml:space="preserve">MDURATION(DATE(2024,5,15),DATE(2024,11,15),0.1,0.03,2,2)</t>
  </si>
  <si>
    <t xml:space="preserve">PRICE(DATE(2024,5,15),DATE(2024,11,15),0.05,0.08,100,2,3)</t>
  </si>
  <si>
    <t xml:space="preserve">PRICE(DATE(2024,5,15),DATE(2024,11,15),0.1,0.03,105,2,3)</t>
  </si>
  <si>
    <t xml:space="preserve">PRICE(DATE(2024,5,15),DATE(2024,11,15),0,0.05,100,2,3)</t>
  </si>
  <si>
    <t xml:space="preserve">YIELD(DATE(2024,5,15),DATE(2024,11,15),0.05,95,100,2,3)</t>
  </si>
  <si>
    <t xml:space="preserve">YIELD(DATE(2024,5,15),DATE(2024,11,15),0.1,101.5,100,2,3)</t>
  </si>
  <si>
    <t xml:space="preserve">YIELD(DATE(2024,5,15),DATE(2024,11,15),0.05,100,100,2,3)</t>
  </si>
  <si>
    <t xml:space="preserve">DURATION(DATE(2024,5,15),DATE(2024,11,15),0.05,0.08,2,3)</t>
  </si>
  <si>
    <t xml:space="preserve">DURATION(DATE(2024,5,15),DATE(2024,11,15),0.1,0.03,2,3)</t>
  </si>
  <si>
    <t xml:space="preserve">DURATION(DATE(2024,5,15),DATE(2024,11,15),0,0.05,2,3)</t>
  </si>
  <si>
    <t xml:space="preserve">MDURATION(DATE(2024,5,15),DATE(2024,11,15),0.05,0.08,2,3)</t>
  </si>
  <si>
    <t xml:space="preserve">MDURATION(DATE(2024,5,15),DATE(2024,11,15),0.1,0.03,2,3)</t>
  </si>
  <si>
    <t xml:space="preserve">PRICE(DATE(2024,5,15),DATE(2024,11,15),0.05,0.08,100,2,4)</t>
  </si>
  <si>
    <t xml:space="preserve">PRICE(DATE(2024,5,15),DATE(2024,11,15),0.1,0.03,105,2,4)</t>
  </si>
  <si>
    <t xml:space="preserve">PRICE(DATE(2024,5,15),DATE(2024,11,15),0,0.05,100,2,4)</t>
  </si>
  <si>
    <t xml:space="preserve">YIELD(DATE(2024,5,15),DATE(2024,11,15),0.05,95,100,2,4)</t>
  </si>
  <si>
    <t xml:space="preserve">YIELD(DATE(2024,5,15),DATE(2024,11,15),0.1,101.5,100,2,4)</t>
  </si>
  <si>
    <t xml:space="preserve">YIELD(DATE(2024,5,15),DATE(2024,11,15),0.05,100,100,2,4)</t>
  </si>
  <si>
    <t xml:space="preserve">DURATION(DATE(2024,5,15),DATE(2024,11,15),0.05,0.08,2,4)</t>
  </si>
  <si>
    <t xml:space="preserve">DURATION(DATE(2024,5,15),DATE(2024,11,15),0.1,0.03,2,4)</t>
  </si>
  <si>
    <t xml:space="preserve">DURATION(DATE(2024,5,15),DATE(2024,11,15),0,0.05,2,4)</t>
  </si>
  <si>
    <t xml:space="preserve">MDURATION(DATE(2024,5,15),DATE(2024,11,15),0.05,0.08,2,4)</t>
  </si>
  <si>
    <t xml:space="preserve">MDURATION(DATE(2024,5,15),DATE(2024,11,15),0.1,0.03,2,4)</t>
  </si>
  <si>
    <t xml:space="preserve">PRICE(DATE(2024,5,15),DATE(2024,11,15),0.05,0.08,100,4,0)</t>
  </si>
  <si>
    <t xml:space="preserve">PRICE(DATE(2024,5,15),DATE(2024,11,15),0.1,0.03,105,4,0)</t>
  </si>
  <si>
    <t xml:space="preserve">PRICE(DATE(2024,5,15),DATE(2024,11,15),0,0.05,100,4,0)</t>
  </si>
  <si>
    <t xml:space="preserve">YIELD(DATE(2024,5,15),DATE(2024,11,15),0.05,95,100,4,0)</t>
  </si>
  <si>
    <t xml:space="preserve">YIELD(DATE(2024,5,15),DATE(2024,11,15),0.1,101.5,100,4,0)</t>
  </si>
  <si>
    <t xml:space="preserve">YIELD(DATE(2024,5,15),DATE(2024,11,15),0.05,100,100,4,0)</t>
  </si>
  <si>
    <t xml:space="preserve">DURATION(DATE(2024,5,15),DATE(2024,11,15),0.05,0.08,4,0)</t>
  </si>
  <si>
    <t xml:space="preserve">DURATION(DATE(2024,5,15),DATE(2024,11,15),0.1,0.03,4,0)</t>
  </si>
  <si>
    <t xml:space="preserve">DURATION(DATE(2024,5,15),DATE(2024,11,15),0,0.05,4,0)</t>
  </si>
  <si>
    <t xml:space="preserve">MDURATION(DATE(2024,5,15),DATE(2024,11,15),0.05,0.08,4,0)</t>
  </si>
  <si>
    <t xml:space="preserve">MDURATION(DATE(2024,5,15),DATE(2024,11,15),0.1,0.03,4,0)</t>
  </si>
  <si>
    <t xml:space="preserve">PRICE(DATE(2024,5,15),DATE(2024,11,15),0.05,0.08,100,4,1)</t>
  </si>
  <si>
    <t xml:space="preserve">PRICE(DATE(2024,5,15),DATE(2024,11,15),0.1,0.03,105,4,1)</t>
  </si>
  <si>
    <t xml:space="preserve">PRICE(DATE(2024,5,15),DATE(2024,11,15),0,0.05,100,4,1)</t>
  </si>
  <si>
    <t xml:space="preserve">YIELD(DATE(2024,5,15),DATE(2024,11,15),0.05,95,100,4,1)</t>
  </si>
  <si>
    <t xml:space="preserve">YIELD(DATE(2024,5,15),DATE(2024,11,15),0.1,101.5,100,4,1)</t>
  </si>
  <si>
    <t xml:space="preserve">YIELD(DATE(2024,5,15),DATE(2024,11,15),0.05,100,100,4,1)</t>
  </si>
  <si>
    <t xml:space="preserve">DURATION(DATE(2024,5,15),DATE(2024,11,15),0.05,0.08,4,1)</t>
  </si>
  <si>
    <t xml:space="preserve">DURATION(DATE(2024,5,15),DATE(2024,11,15),0.1,0.03,4,1)</t>
  </si>
  <si>
    <t xml:space="preserve">DURATION(DATE(2024,5,15),DATE(2024,11,15),0,0.05,4,1)</t>
  </si>
  <si>
    <t xml:space="preserve">MDURATION(DATE(2024,5,15),DATE(2024,11,15),0.05,0.08,4,1)</t>
  </si>
  <si>
    <t xml:space="preserve">MDURATION(DATE(2024,5,15),DATE(2024,11,15),0.1,0.03,4,1)</t>
  </si>
  <si>
    <t xml:space="preserve">PRICE(DATE(2024,5,15),DATE(2024,11,15),0.05,0.08,100,4,2)</t>
  </si>
  <si>
    <t xml:space="preserve">PRICE(DATE(2024,5,15),DATE(2024,11,15),0.1,0.03,105,4,2)</t>
  </si>
  <si>
    <t xml:space="preserve">PRICE(DATE(2024,5,15),DATE(2024,11,15),0,0.05,100,4,2)</t>
  </si>
  <si>
    <t xml:space="preserve">YIELD(DATE(2024,5,15),DATE(2024,11,15),0.05,95,100,4,2)</t>
  </si>
  <si>
    <t xml:space="preserve">YIELD(DATE(2024,5,15),DATE(2024,11,15),0.1,101.5,100,4,2)</t>
  </si>
  <si>
    <t xml:space="preserve">YIELD(DATE(2024,5,15),DATE(2024,11,15),0.05,100,100,4,2)</t>
  </si>
  <si>
    <t xml:space="preserve">DURATION(DATE(2024,5,15),DATE(2024,11,15),0.05,0.08,4,2)</t>
  </si>
  <si>
    <t xml:space="preserve">DURATION(DATE(2024,5,15),DATE(2024,11,15),0.1,0.03,4,2)</t>
  </si>
  <si>
    <t xml:space="preserve">DURATION(DATE(2024,5,15),DATE(2024,11,15),0,0.05,4,2)</t>
  </si>
  <si>
    <t xml:space="preserve">MDURATION(DATE(2024,5,15),DATE(2024,11,15),0.05,0.08,4,2)</t>
  </si>
  <si>
    <t xml:space="preserve">MDURATION(DATE(2024,5,15),DATE(2024,11,15),0.1,0.03,4,2)</t>
  </si>
  <si>
    <t xml:space="preserve">PRICE(DATE(2024,5,15),DATE(2024,11,15),0.05,0.08,100,4,3)</t>
  </si>
  <si>
    <t xml:space="preserve">PRICE(DATE(2024,5,15),DATE(2024,11,15),0.1,0.03,105,4,3)</t>
  </si>
  <si>
    <t xml:space="preserve">PRICE(DATE(2024,5,15),DATE(2024,11,15),0,0.05,100,4,3)</t>
  </si>
  <si>
    <t xml:space="preserve">YIELD(DATE(2024,5,15),DATE(2024,11,15),0.05,95,100,4,3)</t>
  </si>
  <si>
    <t xml:space="preserve">YIELD(DATE(2024,5,15),DATE(2024,11,15),0.1,101.5,100,4,3)</t>
  </si>
  <si>
    <t xml:space="preserve">YIELD(DATE(2024,5,15),DATE(2024,11,15),0.05,100,100,4,3)</t>
  </si>
  <si>
    <t xml:space="preserve">DURATION(DATE(2024,5,15),DATE(2024,11,15),0.05,0.08,4,3)</t>
  </si>
  <si>
    <t xml:space="preserve">DURATION(DATE(2024,5,15),DATE(2024,11,15),0.1,0.03,4,3)</t>
  </si>
  <si>
    <t xml:space="preserve">DURATION(DATE(2024,5,15),DATE(2024,11,15),0,0.05,4,3)</t>
  </si>
  <si>
    <t xml:space="preserve">MDURATION(DATE(2024,5,15),DATE(2024,11,15),0.05,0.08,4,3)</t>
  </si>
  <si>
    <t xml:space="preserve">MDURATION(DATE(2024,5,15),DATE(2024,11,15),0.1,0.03,4,3)</t>
  </si>
  <si>
    <t xml:space="preserve">PRICE(DATE(2024,5,15),DATE(2024,11,15),0.05,0.08,100,4,4)</t>
  </si>
  <si>
    <t xml:space="preserve">PRICE(DATE(2024,5,15),DATE(2024,11,15),0.1,0.03,105,4,4)</t>
  </si>
  <si>
    <t xml:space="preserve">PRICE(DATE(2024,5,15),DATE(2024,11,15),0,0.05,100,4,4)</t>
  </si>
  <si>
    <t xml:space="preserve">YIELD(DATE(2024,5,15),DATE(2024,11,15),0.05,95,100,4,4)</t>
  </si>
  <si>
    <t xml:space="preserve">YIELD(DATE(2024,5,15),DATE(2024,11,15),0.1,101.5,100,4,4)</t>
  </si>
  <si>
    <t xml:space="preserve">YIELD(DATE(2024,5,15),DATE(2024,11,15),0.05,100,100,4,4)</t>
  </si>
  <si>
    <t xml:space="preserve">DURATION(DATE(2024,5,15),DATE(2024,11,15),0.05,0.08,4,4)</t>
  </si>
  <si>
    <t xml:space="preserve">DURATION(DATE(2024,5,15),DATE(2024,11,15),0.1,0.03,4,4)</t>
  </si>
  <si>
    <t xml:space="preserve">DURATION(DATE(2024,5,15),DATE(2024,11,15),0,0.05,4,4)</t>
  </si>
  <si>
    <t xml:space="preserve">MDURATION(DATE(2024,5,15),DATE(2024,11,15),0.05,0.08,4,4)</t>
  </si>
  <si>
    <t xml:space="preserve">MDURATION(DATE(2024,5,15),DATE(2024,11,15),0.1,0.03,4,4)</t>
  </si>
  <si>
    <t xml:space="preserve">PRICE(DATE(2024,6,30),DATE(2025,2,28),0.05,0.08,100,1,0)</t>
  </si>
  <si>
    <t xml:space="preserve">PRICE(DATE(2024,6,30),DATE(2025,2,28),0.1,0.03,105,1,0)</t>
  </si>
  <si>
    <t xml:space="preserve">PRICE(DATE(2024,6,30),DATE(2025,2,28),0,0.05,100,1,0)</t>
  </si>
  <si>
    <t xml:space="preserve">YIELD(DATE(2024,6,30),DATE(2025,2,28),0.05,95,100,1,0)</t>
  </si>
  <si>
    <t xml:space="preserve">YIELD(DATE(2024,6,30),DATE(2025,2,28),0.1,101.5,100,1,0)</t>
  </si>
  <si>
    <t xml:space="preserve">YIELD(DATE(2024,6,30),DATE(2025,2,28),0.05,100,100,1,0)</t>
  </si>
  <si>
    <t xml:space="preserve">DURATION(DATE(2024,6,30),DATE(2025,2,28),0.05,0.08,1,0)</t>
  </si>
  <si>
    <t xml:space="preserve">DURATION(DATE(2024,6,30),DATE(2025,2,28),0.1,0.03,1,0)</t>
  </si>
  <si>
    <t xml:space="preserve">DURATION(DATE(2024,6,30),DATE(2025,2,28),0,0.05,1,0)</t>
  </si>
  <si>
    <t xml:space="preserve">MDURATION(DATE(2024,6,30),DATE(2025,2,28),0.05,0.08,1,0)</t>
  </si>
  <si>
    <t xml:space="preserve">MDURATION(DATE(2024,6,30),DATE(2025,2,28),0.1,0.03,1,0)</t>
  </si>
  <si>
    <t xml:space="preserve">PRICE(DATE(2024,6,30),DATE(2025,2,28),0.05,0.08,100,1,1)</t>
  </si>
  <si>
    <t xml:space="preserve">PRICE(DATE(2024,6,30),DATE(2025,2,28),0.1,0.03,105,1,1)</t>
  </si>
  <si>
    <t xml:space="preserve">PRICE(DATE(2024,6,30),DATE(2025,2,28),0,0.05,100,1,1)</t>
  </si>
  <si>
    <t xml:space="preserve">YIELD(DATE(2024,6,30),DATE(2025,2,28),0.05,95,100,1,1)</t>
  </si>
  <si>
    <t xml:space="preserve">YIELD(DATE(2024,6,30),DATE(2025,2,28),0.1,101.5,100,1,1)</t>
  </si>
  <si>
    <t xml:space="preserve">YIELD(DATE(2024,6,30),DATE(2025,2,28),0.05,100,100,1,1)</t>
  </si>
  <si>
    <t xml:space="preserve">DURATION(DATE(2024,6,30),DATE(2025,2,28),0.05,0.08,1,1)</t>
  </si>
  <si>
    <t xml:space="preserve">DURATION(DATE(2024,6,30),DATE(2025,2,28),0.1,0.03,1,1)</t>
  </si>
  <si>
    <t xml:space="preserve">DURATION(DATE(2024,6,30),DATE(2025,2,28),0,0.05,1,1)</t>
  </si>
  <si>
    <t xml:space="preserve">MDURATION(DATE(2024,6,30),DATE(2025,2,28),0.05,0.08,1,1)</t>
  </si>
  <si>
    <t xml:space="preserve">MDURATION(DATE(2024,6,30),DATE(2025,2,28),0.1,0.03,1,1)</t>
  </si>
  <si>
    <t xml:space="preserve">PRICE(DATE(2024,6,30),DATE(2025,2,28),0.05,0.08,100,1,2)</t>
  </si>
  <si>
    <t xml:space="preserve">PRICE(DATE(2024,6,30),DATE(2025,2,28),0.1,0.03,105,1,2)</t>
  </si>
  <si>
    <t xml:space="preserve">PRICE(DATE(2024,6,30),DATE(2025,2,28),0,0.05,100,1,2)</t>
  </si>
  <si>
    <t xml:space="preserve">YIELD(DATE(2024,6,30),DATE(2025,2,28),0.05,95,100,1,2)</t>
  </si>
  <si>
    <t xml:space="preserve">YIELD(DATE(2024,6,30),DATE(2025,2,28),0.1,101.5,100,1,2)</t>
  </si>
  <si>
    <t xml:space="preserve">YIELD(DATE(2024,6,30),DATE(2025,2,28),0.05,100,100,1,2)</t>
  </si>
  <si>
    <t xml:space="preserve">DURATION(DATE(2024,6,30),DATE(2025,2,28),0.05,0.08,1,2)</t>
  </si>
  <si>
    <t xml:space="preserve">DURATION(DATE(2024,6,30),DATE(2025,2,28),0.1,0.03,1,2)</t>
  </si>
  <si>
    <t xml:space="preserve">DURATION(DATE(2024,6,30),DATE(2025,2,28),0,0.05,1,2)</t>
  </si>
  <si>
    <t xml:space="preserve">MDURATION(DATE(2024,6,30),DATE(2025,2,28),0.05,0.08,1,2)</t>
  </si>
  <si>
    <t xml:space="preserve">MDURATION(DATE(2024,6,30),DATE(2025,2,28),0.1,0.03,1,2)</t>
  </si>
  <si>
    <t xml:space="preserve">PRICE(DATE(2024,6,30),DATE(2025,2,28),0.05,0.08,100,1,3)</t>
  </si>
  <si>
    <t xml:space="preserve">PRICE(DATE(2024,6,30),DATE(2025,2,28),0.1,0.03,105,1,3)</t>
  </si>
  <si>
    <t xml:space="preserve">PRICE(DATE(2024,6,30),DATE(2025,2,28),0,0.05,100,1,3)</t>
  </si>
  <si>
    <t xml:space="preserve">YIELD(DATE(2024,6,30),DATE(2025,2,28),0.05,95,100,1,3)</t>
  </si>
  <si>
    <t xml:space="preserve">YIELD(DATE(2024,6,30),DATE(2025,2,28),0.1,101.5,100,1,3)</t>
  </si>
  <si>
    <t xml:space="preserve">YIELD(DATE(2024,6,30),DATE(2025,2,28),0.05,100,100,1,3)</t>
  </si>
  <si>
    <t xml:space="preserve">DURATION(DATE(2024,6,30),DATE(2025,2,28),0.05,0.08,1,3)</t>
  </si>
  <si>
    <t xml:space="preserve">DURATION(DATE(2024,6,30),DATE(2025,2,28),0.1,0.03,1,3)</t>
  </si>
  <si>
    <t xml:space="preserve">DURATION(DATE(2024,6,30),DATE(2025,2,28),0,0.05,1,3)</t>
  </si>
  <si>
    <t xml:space="preserve">MDURATION(DATE(2024,6,30),DATE(2025,2,28),0.05,0.08,1,3)</t>
  </si>
  <si>
    <t xml:space="preserve">MDURATION(DATE(2024,6,30),DATE(2025,2,28),0.1,0.03,1,3)</t>
  </si>
  <si>
    <t xml:space="preserve">PRICE(DATE(2024,6,30),DATE(2025,2,28),0.05,0.08,100,1,4)</t>
  </si>
  <si>
    <t xml:space="preserve">PRICE(DATE(2024,6,30),DATE(2025,2,28),0.1,0.03,105,1,4)</t>
  </si>
  <si>
    <t xml:space="preserve">PRICE(DATE(2024,6,30),DATE(2025,2,28),0,0.05,100,1,4)</t>
  </si>
  <si>
    <t xml:space="preserve">YIELD(DATE(2024,6,30),DATE(2025,2,28),0.05,95,100,1,4)</t>
  </si>
  <si>
    <t xml:space="preserve">YIELD(DATE(2024,6,30),DATE(2025,2,28),0.1,101.5,100,1,4)</t>
  </si>
  <si>
    <t xml:space="preserve">YIELD(DATE(2024,6,30),DATE(2025,2,28),0.05,100,100,1,4)</t>
  </si>
  <si>
    <t xml:space="preserve">DURATION(DATE(2024,6,30),DATE(2025,2,28),0.05,0.08,1,4)</t>
  </si>
  <si>
    <t xml:space="preserve">DURATION(DATE(2024,6,30),DATE(2025,2,28),0.1,0.03,1,4)</t>
  </si>
  <si>
    <t xml:space="preserve">DURATION(DATE(2024,6,30),DATE(2025,2,28),0,0.05,1,4)</t>
  </si>
  <si>
    <t xml:space="preserve">MDURATION(DATE(2024,6,30),DATE(2025,2,28),0.05,0.08,1,4)</t>
  </si>
  <si>
    <t xml:space="preserve">MDURATION(DATE(2024,6,30),DATE(2025,2,28),0.1,0.03,1,4)</t>
  </si>
  <si>
    <t xml:space="preserve">PRICE(DATE(2024,6,30),DATE(2025,2,28),0.05,0.08,100,2,0)</t>
  </si>
  <si>
    <t xml:space="preserve">PRICE(DATE(2024,6,30),DATE(2025,2,28),0.1,0.03,105,2,0)</t>
  </si>
  <si>
    <t xml:space="preserve">PRICE(DATE(2024,6,30),DATE(2025,2,28),0,0.05,100,2,0)</t>
  </si>
  <si>
    <t xml:space="preserve">YIELD(DATE(2024,6,30),DATE(2025,2,28),0.05,95,100,2,0)</t>
  </si>
  <si>
    <t xml:space="preserve">YIELD(DATE(2024,6,30),DATE(2025,2,28),0.1,101.5,100,2,0)</t>
  </si>
  <si>
    <t xml:space="preserve">YIELD(DATE(2024,6,30),DATE(2025,2,28),0.05,100,100,2,0)</t>
  </si>
  <si>
    <t xml:space="preserve">DURATION(DATE(2024,6,30),DATE(2025,2,28),0.05,0.08,2,0)</t>
  </si>
  <si>
    <t xml:space="preserve">DURATION(DATE(2024,6,30),DATE(2025,2,28),0.1,0.03,2,0)</t>
  </si>
  <si>
    <t xml:space="preserve">DURATION(DATE(2024,6,30),DATE(2025,2,28),0,0.05,2,0)</t>
  </si>
  <si>
    <t xml:space="preserve">MDURATION(DATE(2024,6,30),DATE(2025,2,28),0.05,0.08,2,0)</t>
  </si>
  <si>
    <t xml:space="preserve">MDURATION(DATE(2024,6,30),DATE(2025,2,28),0.1,0.03,2,0)</t>
  </si>
  <si>
    <t xml:space="preserve">PRICE(DATE(2024,6,30),DATE(2025,2,28),0.05,0.08,100,2,1)</t>
  </si>
  <si>
    <t xml:space="preserve">PRICE(DATE(2024,6,30),DATE(2025,2,28),0.1,0.03,105,2,1)</t>
  </si>
  <si>
    <t xml:space="preserve">PRICE(DATE(2024,6,30),DATE(2025,2,28),0,0.05,100,2,1)</t>
  </si>
  <si>
    <t xml:space="preserve">YIELD(DATE(2024,6,30),DATE(2025,2,28),0.05,95,100,2,1)</t>
  </si>
  <si>
    <t xml:space="preserve">YIELD(DATE(2024,6,30),DATE(2025,2,28),0.1,101.5,100,2,1)</t>
  </si>
  <si>
    <t xml:space="preserve">YIELD(DATE(2024,6,30),DATE(2025,2,28),0.05,100,100,2,1)</t>
  </si>
  <si>
    <t xml:space="preserve">DURATION(DATE(2024,6,30),DATE(2025,2,28),0.05,0.08,2,1)</t>
  </si>
  <si>
    <t xml:space="preserve">DURATION(DATE(2024,6,30),DATE(2025,2,28),0.1,0.03,2,1)</t>
  </si>
  <si>
    <t xml:space="preserve">DURATION(DATE(2024,6,30),DATE(2025,2,28),0,0.05,2,1)</t>
  </si>
  <si>
    <t xml:space="preserve">MDURATION(DATE(2024,6,30),DATE(2025,2,28),0.05,0.08,2,1)</t>
  </si>
  <si>
    <t xml:space="preserve">MDURATION(DATE(2024,6,30),DATE(2025,2,28),0.1,0.03,2,1)</t>
  </si>
  <si>
    <t xml:space="preserve">PRICE(DATE(2024,6,30),DATE(2025,2,28),0.05,0.08,100,2,2)</t>
  </si>
  <si>
    <t xml:space="preserve">PRICE(DATE(2024,6,30),DATE(2025,2,28),0.1,0.03,105,2,2)</t>
  </si>
  <si>
    <t xml:space="preserve">PRICE(DATE(2024,6,30),DATE(2025,2,28),0,0.05,100,2,2)</t>
  </si>
  <si>
    <t xml:space="preserve">YIELD(DATE(2024,6,30),DATE(2025,2,28),0.05,95,100,2,2)</t>
  </si>
  <si>
    <t xml:space="preserve">YIELD(DATE(2024,6,30),DATE(2025,2,28),0.1,101.5,100,2,2)</t>
  </si>
  <si>
    <t xml:space="preserve">YIELD(DATE(2024,6,30),DATE(2025,2,28),0.05,100,100,2,2)</t>
  </si>
  <si>
    <t xml:space="preserve">DURATION(DATE(2024,6,30),DATE(2025,2,28),0.05,0.08,2,2)</t>
  </si>
  <si>
    <t xml:space="preserve">DURATION(DATE(2024,6,30),DATE(2025,2,28),0.1,0.03,2,2)</t>
  </si>
  <si>
    <t xml:space="preserve">DURATION(DATE(2024,6,30),DATE(2025,2,28),0,0.05,2,2)</t>
  </si>
  <si>
    <t xml:space="preserve">MDURATION(DATE(2024,6,30),DATE(2025,2,28),0.05,0.08,2,2)</t>
  </si>
  <si>
    <t xml:space="preserve">MDURATION(DATE(2024,6,30),DATE(2025,2,28),0.1,0.03,2,2)</t>
  </si>
  <si>
    <t xml:space="preserve">PRICE(DATE(2024,6,30),DATE(2025,2,28),0.05,0.08,100,2,3)</t>
  </si>
  <si>
    <t xml:space="preserve">PRICE(DATE(2024,6,30),DATE(2025,2,28),0.1,0.03,105,2,3)</t>
  </si>
  <si>
    <t xml:space="preserve">PRICE(DATE(2024,6,30),DATE(2025,2,28),0,0.05,100,2,3)</t>
  </si>
  <si>
    <t xml:space="preserve">YIELD(DATE(2024,6,30),DATE(2025,2,28),0.05,95,100,2,3)</t>
  </si>
  <si>
    <t xml:space="preserve">YIELD(DATE(2024,6,30),DATE(2025,2,28),0.1,101.5,100,2,3)</t>
  </si>
  <si>
    <t xml:space="preserve">YIELD(DATE(2024,6,30),DATE(2025,2,28),0.05,100,100,2,3)</t>
  </si>
  <si>
    <t xml:space="preserve">DURATION(DATE(2024,6,30),DATE(2025,2,28),0.05,0.08,2,3)</t>
  </si>
  <si>
    <t xml:space="preserve">DURATION(DATE(2024,6,30),DATE(2025,2,28),0.1,0.03,2,3)</t>
  </si>
  <si>
    <t xml:space="preserve">DURATION(DATE(2024,6,30),DATE(2025,2,28),0,0.05,2,3)</t>
  </si>
  <si>
    <t xml:space="preserve">MDURATION(DATE(2024,6,30),DATE(2025,2,28),0.05,0.08,2,3)</t>
  </si>
  <si>
    <t xml:space="preserve">MDURATION(DATE(2024,6,30),DATE(2025,2,28),0.1,0.03,2,3)</t>
  </si>
  <si>
    <t xml:space="preserve">PRICE(DATE(2024,6,30),DATE(2025,2,28),0.05,0.08,100,2,4)</t>
  </si>
  <si>
    <t xml:space="preserve">PRICE(DATE(2024,6,30),DATE(2025,2,28),0.1,0.03,105,2,4)</t>
  </si>
  <si>
    <t xml:space="preserve">PRICE(DATE(2024,6,30),DATE(2025,2,28),0,0.05,100,2,4)</t>
  </si>
  <si>
    <t xml:space="preserve">YIELD(DATE(2024,6,30),DATE(2025,2,28),0.05,95,100,2,4)</t>
  </si>
  <si>
    <t xml:space="preserve">YIELD(DATE(2024,6,30),DATE(2025,2,28),0.1,101.5,100,2,4)</t>
  </si>
  <si>
    <t xml:space="preserve">YIELD(DATE(2024,6,30),DATE(2025,2,28),0.05,100,100,2,4)</t>
  </si>
  <si>
    <t xml:space="preserve">DURATION(DATE(2024,6,30),DATE(2025,2,28),0.05,0.08,2,4)</t>
  </si>
  <si>
    <t xml:space="preserve">DURATION(DATE(2024,6,30),DATE(2025,2,28),0.1,0.03,2,4)</t>
  </si>
  <si>
    <t xml:space="preserve">DURATION(DATE(2024,6,30),DATE(2025,2,28),0,0.05,2,4)</t>
  </si>
  <si>
    <t xml:space="preserve">MDURATION(DATE(2024,6,30),DATE(2025,2,28),0.05,0.08,2,4)</t>
  </si>
  <si>
    <t xml:space="preserve">MDURATION(DATE(2024,6,30),DATE(2025,2,28),0.1,0.03,2,4)</t>
  </si>
  <si>
    <t xml:space="preserve">PRICE(DATE(2024,6,30),DATE(2025,2,28),0.05,0.08,100,4,0)</t>
  </si>
  <si>
    <t xml:space="preserve">PRICE(DATE(2024,6,30),DATE(2025,2,28),0.1,0.03,105,4,0)</t>
  </si>
  <si>
    <t xml:space="preserve">PRICE(DATE(2024,6,30),DATE(2025,2,28),0,0.05,100,4,0)</t>
  </si>
  <si>
    <t xml:space="preserve">YIELD(DATE(2024,6,30),DATE(2025,2,28),0.05,95,100,4,0)</t>
  </si>
  <si>
    <t xml:space="preserve">YIELD(DATE(2024,6,30),DATE(2025,2,28),0.1,101.5,100,4,0)</t>
  </si>
  <si>
    <t xml:space="preserve">YIELD(DATE(2024,6,30),DATE(2025,2,28),0.05,100,100,4,0)</t>
  </si>
  <si>
    <t xml:space="preserve">DURATION(DATE(2024,6,30),DATE(2025,2,28),0.05,0.08,4,0)</t>
  </si>
  <si>
    <t xml:space="preserve">DURATION(DATE(2024,6,30),DATE(2025,2,28),0.1,0.03,4,0)</t>
  </si>
  <si>
    <t xml:space="preserve">DURATION(DATE(2024,6,30),DATE(2025,2,28),0,0.05,4,0)</t>
  </si>
  <si>
    <t xml:space="preserve">MDURATION(DATE(2024,6,30),DATE(2025,2,28),0.05,0.08,4,0)</t>
  </si>
  <si>
    <t xml:space="preserve">MDURATION(DATE(2024,6,30),DATE(2025,2,28),0.1,0.03,4,0)</t>
  </si>
  <si>
    <t xml:space="preserve">PRICE(DATE(2024,6,30),DATE(2025,2,28),0.05,0.08,100,4,1)</t>
  </si>
  <si>
    <t xml:space="preserve">PRICE(DATE(2024,6,30),DATE(2025,2,28),0.1,0.03,105,4,1)</t>
  </si>
  <si>
    <t xml:space="preserve">PRICE(DATE(2024,6,30),DATE(2025,2,28),0,0.05,100,4,1)</t>
  </si>
  <si>
    <t xml:space="preserve">YIELD(DATE(2024,6,30),DATE(2025,2,28),0.05,95,100,4,1)</t>
  </si>
  <si>
    <t xml:space="preserve">YIELD(DATE(2024,6,30),DATE(2025,2,28),0.1,101.5,100,4,1)</t>
  </si>
  <si>
    <t xml:space="preserve">YIELD(DATE(2024,6,30),DATE(2025,2,28),0.05,100,100,4,1)</t>
  </si>
  <si>
    <t xml:space="preserve">DURATION(DATE(2024,6,30),DATE(2025,2,28),0.05,0.08,4,1)</t>
  </si>
  <si>
    <t xml:space="preserve">DURATION(DATE(2024,6,30),DATE(2025,2,28),0.1,0.03,4,1)</t>
  </si>
  <si>
    <t xml:space="preserve">DURATION(DATE(2024,6,30),DATE(2025,2,28),0,0.05,4,1)</t>
  </si>
  <si>
    <t xml:space="preserve">MDURATION(DATE(2024,6,30),DATE(2025,2,28),0.05,0.08,4,1)</t>
  </si>
  <si>
    <t xml:space="preserve">MDURATION(DATE(2024,6,30),DATE(2025,2,28),0.1,0.03,4,1)</t>
  </si>
  <si>
    <t xml:space="preserve">PRICE(DATE(2024,6,30),DATE(2025,2,28),0.05,0.08,100,4,2)</t>
  </si>
  <si>
    <t xml:space="preserve">PRICE(DATE(2024,6,30),DATE(2025,2,28),0.1,0.03,105,4,2)</t>
  </si>
  <si>
    <t xml:space="preserve">PRICE(DATE(2024,6,30),DATE(2025,2,28),0,0.05,100,4,2)</t>
  </si>
  <si>
    <t xml:space="preserve">YIELD(DATE(2024,6,30),DATE(2025,2,28),0.05,95,100,4,2)</t>
  </si>
  <si>
    <t xml:space="preserve">YIELD(DATE(2024,6,30),DATE(2025,2,28),0.1,101.5,100,4,2)</t>
  </si>
  <si>
    <t xml:space="preserve">YIELD(DATE(2024,6,30),DATE(2025,2,28),0.05,100,100,4,2)</t>
  </si>
  <si>
    <t xml:space="preserve">DURATION(DATE(2024,6,30),DATE(2025,2,28),0.05,0.08,4,2)</t>
  </si>
  <si>
    <t xml:space="preserve">DURATION(DATE(2024,6,30),DATE(2025,2,28),0.1,0.03,4,2)</t>
  </si>
  <si>
    <t xml:space="preserve">DURATION(DATE(2024,6,30),DATE(2025,2,28),0,0.05,4,2)</t>
  </si>
  <si>
    <t xml:space="preserve">MDURATION(DATE(2024,6,30),DATE(2025,2,28),0.05,0.08,4,2)</t>
  </si>
  <si>
    <t xml:space="preserve">MDURATION(DATE(2024,6,30),DATE(2025,2,28),0.1,0.03,4,2)</t>
  </si>
  <si>
    <t xml:space="preserve">PRICE(DATE(2024,6,30),DATE(2025,2,28),0.05,0.08,100,4,3)</t>
  </si>
  <si>
    <t xml:space="preserve">PRICE(DATE(2024,6,30),DATE(2025,2,28),0.1,0.03,105,4,3)</t>
  </si>
  <si>
    <t xml:space="preserve">PRICE(DATE(2024,6,30),DATE(2025,2,28),0,0.05,100,4,3)</t>
  </si>
  <si>
    <t xml:space="preserve">YIELD(DATE(2024,6,30),DATE(2025,2,28),0.05,95,100,4,3)</t>
  </si>
  <si>
    <t xml:space="preserve">YIELD(DATE(2024,6,30),DATE(2025,2,28),0.1,101.5,100,4,3)</t>
  </si>
  <si>
    <t xml:space="preserve">YIELD(DATE(2024,6,30),DATE(2025,2,28),0.05,100,100,4,3)</t>
  </si>
  <si>
    <t xml:space="preserve">DURATION(DATE(2024,6,30),DATE(2025,2,28),0.05,0.08,4,3)</t>
  </si>
  <si>
    <t xml:space="preserve">DURATION(DATE(2024,6,30),DATE(2025,2,28),0.1,0.03,4,3)</t>
  </si>
  <si>
    <t xml:space="preserve">DURATION(DATE(2024,6,30),DATE(2025,2,28),0,0.05,4,3)</t>
  </si>
  <si>
    <t xml:space="preserve">MDURATION(DATE(2024,6,30),DATE(2025,2,28),0.05,0.08,4,3)</t>
  </si>
  <si>
    <t xml:space="preserve">MDURATION(DATE(2024,6,30),DATE(2025,2,28),0.1,0.03,4,3)</t>
  </si>
  <si>
    <t xml:space="preserve">PRICE(DATE(2024,6,30),DATE(2025,2,28),0.05,0.08,100,4,4)</t>
  </si>
  <si>
    <t xml:space="preserve">PRICE(DATE(2024,6,30),DATE(2025,2,28),0.1,0.03,105,4,4)</t>
  </si>
  <si>
    <t xml:space="preserve">PRICE(DATE(2024,6,30),DATE(2025,2,28),0,0.05,100,4,4)</t>
  </si>
  <si>
    <t xml:space="preserve">YIELD(DATE(2024,6,30),DATE(2025,2,28),0.05,95,100,4,4)</t>
  </si>
  <si>
    <t xml:space="preserve">YIELD(DATE(2024,6,30),DATE(2025,2,28),0.1,101.5,100,4,4)</t>
  </si>
  <si>
    <t xml:space="preserve">YIELD(DATE(2024,6,30),DATE(2025,2,28),0.05,100,100,4,4)</t>
  </si>
  <si>
    <t xml:space="preserve">DURATION(DATE(2024,6,30),DATE(2025,2,28),0.05,0.08,4,4)</t>
  </si>
  <si>
    <t xml:space="preserve">DURATION(DATE(2024,6,30),DATE(2025,2,28),0.1,0.03,4,4)</t>
  </si>
  <si>
    <t xml:space="preserve">DURATION(DATE(2024,6,30),DATE(2025,2,28),0,0.05,4,4)</t>
  </si>
  <si>
    <t xml:space="preserve">MDURATION(DATE(2024,6,30),DATE(2025,2,28),0.05,0.08,4,4)</t>
  </si>
  <si>
    <t xml:space="preserve">MDURATION(DATE(2024,6,30),DATE(2025,2,28),0.1,0.03,4,4)</t>
  </si>
  <si>
    <t xml:space="preserve">PRICE(DATE(2023,8,31),DATE(2025,2,28),0.05,0.08,100,1,0)</t>
  </si>
  <si>
    <t xml:space="preserve">PRICE(DATE(2023,8,31),DATE(2025,2,28),0.1,0.03,105,1,0)</t>
  </si>
  <si>
    <t xml:space="preserve">PRICE(DATE(2023,8,31),DATE(2025,2,28),0,0.05,100,1,0)</t>
  </si>
  <si>
    <t xml:space="preserve">YIELD(DATE(2023,8,31),DATE(2025,2,28),0.05,95,100,1,0)</t>
  </si>
  <si>
    <t xml:space="preserve">YIELD(DATE(2023,8,31),DATE(2025,2,28),0.1,101.5,100,1,0)</t>
  </si>
  <si>
    <t xml:space="preserve">YIELD(DATE(2023,8,31),DATE(2025,2,28),0.05,100,100,1,0)</t>
  </si>
  <si>
    <t xml:space="preserve">DURATION(DATE(2023,8,31),DATE(2025,2,28),0.05,0.08,1,0)</t>
  </si>
  <si>
    <t xml:space="preserve">DURATION(DATE(2023,8,31),DATE(2025,2,28),0.1,0.03,1,0)</t>
  </si>
  <si>
    <t xml:space="preserve">DURATION(DATE(2023,8,31),DATE(2025,2,28),0,0.05,1,0)</t>
  </si>
  <si>
    <t xml:space="preserve">MDURATION(DATE(2023,8,31),DATE(2025,2,28),0.05,0.08,1,0)</t>
  </si>
  <si>
    <t xml:space="preserve">MDURATION(DATE(2023,8,31),DATE(2025,2,28),0.1,0.03,1,0)</t>
  </si>
  <si>
    <t xml:space="preserve">PRICE(DATE(2023,8,31),DATE(2025,2,28),0.05,0.08,100,1,1)</t>
  </si>
  <si>
    <t xml:space="preserve">PRICE(DATE(2023,8,31),DATE(2025,2,28),0.1,0.03,105,1,1)</t>
  </si>
  <si>
    <t xml:space="preserve">PRICE(DATE(2023,8,31),DATE(2025,2,28),0,0.05,100,1,1)</t>
  </si>
  <si>
    <t xml:space="preserve">YIELD(DATE(2023,8,31),DATE(2025,2,28),0.05,95,100,1,1)</t>
  </si>
  <si>
    <t xml:space="preserve">YIELD(DATE(2023,8,31),DATE(2025,2,28),0.1,101.5,100,1,1)</t>
  </si>
  <si>
    <t xml:space="preserve">YIELD(DATE(2023,8,31),DATE(2025,2,28),0.05,100,100,1,1)</t>
  </si>
  <si>
    <t xml:space="preserve">DURATION(DATE(2023,8,31),DATE(2025,2,28),0.05,0.08,1,1)</t>
  </si>
  <si>
    <t xml:space="preserve">DURATION(DATE(2023,8,31),DATE(2025,2,28),0.1,0.03,1,1)</t>
  </si>
  <si>
    <t xml:space="preserve">DURATION(DATE(2023,8,31),DATE(2025,2,28),0,0.05,1,1)</t>
  </si>
  <si>
    <t xml:space="preserve">MDURATION(DATE(2023,8,31),DATE(2025,2,28),0.05,0.08,1,1)</t>
  </si>
  <si>
    <t xml:space="preserve">MDURATION(DATE(2023,8,31),DATE(2025,2,28),0.1,0.03,1,1)</t>
  </si>
  <si>
    <t xml:space="preserve">PRICE(DATE(2023,8,31),DATE(2025,2,28),0.05,0.08,100,1,2)</t>
  </si>
  <si>
    <t xml:space="preserve">PRICE(DATE(2023,8,31),DATE(2025,2,28),0.1,0.03,105,1,2)</t>
  </si>
  <si>
    <t xml:space="preserve">PRICE(DATE(2023,8,31),DATE(2025,2,28),0,0.05,100,1,2)</t>
  </si>
  <si>
    <t xml:space="preserve">YIELD(DATE(2023,8,31),DATE(2025,2,28),0.05,95,100,1,2)</t>
  </si>
  <si>
    <t xml:space="preserve">YIELD(DATE(2023,8,31),DATE(2025,2,28),0.1,101.5,100,1,2)</t>
  </si>
  <si>
    <t xml:space="preserve">YIELD(DATE(2023,8,31),DATE(2025,2,28),0.05,100,100,1,2)</t>
  </si>
  <si>
    <t xml:space="preserve">DURATION(DATE(2023,8,31),DATE(2025,2,28),0.05,0.08,1,2)</t>
  </si>
  <si>
    <t xml:space="preserve">DURATION(DATE(2023,8,31),DATE(2025,2,28),0.1,0.03,1,2)</t>
  </si>
  <si>
    <t xml:space="preserve">DURATION(DATE(2023,8,31),DATE(2025,2,28),0,0.05,1,2)</t>
  </si>
  <si>
    <t xml:space="preserve">MDURATION(DATE(2023,8,31),DATE(2025,2,28),0.05,0.08,1,2)</t>
  </si>
  <si>
    <t xml:space="preserve">MDURATION(DATE(2023,8,31),DATE(2025,2,28),0.1,0.03,1,2)</t>
  </si>
  <si>
    <t xml:space="preserve">PRICE(DATE(2023,8,31),DATE(2025,2,28),0.05,0.08,100,1,3)</t>
  </si>
  <si>
    <t xml:space="preserve">PRICE(DATE(2023,8,31),DATE(2025,2,28),0.1,0.03,105,1,3)</t>
  </si>
  <si>
    <t xml:space="preserve">PRICE(DATE(2023,8,31),DATE(2025,2,28),0,0.05,100,1,3)</t>
  </si>
  <si>
    <t xml:space="preserve">YIELD(DATE(2023,8,31),DATE(2025,2,28),0.05,95,100,1,3)</t>
  </si>
  <si>
    <t xml:space="preserve">YIELD(DATE(2023,8,31),DATE(2025,2,28),0.1,101.5,100,1,3)</t>
  </si>
  <si>
    <t xml:space="preserve">YIELD(DATE(2023,8,31),DATE(2025,2,28),0.05,100,100,1,3)</t>
  </si>
  <si>
    <t xml:space="preserve">DURATION(DATE(2023,8,31),DATE(2025,2,28),0.05,0.08,1,3)</t>
  </si>
  <si>
    <t xml:space="preserve">DURATION(DATE(2023,8,31),DATE(2025,2,28),0.1,0.03,1,3)</t>
  </si>
  <si>
    <t xml:space="preserve">DURATION(DATE(2023,8,31),DATE(2025,2,28),0,0.05,1,3)</t>
  </si>
  <si>
    <t xml:space="preserve">MDURATION(DATE(2023,8,31),DATE(2025,2,28),0.05,0.08,1,3)</t>
  </si>
  <si>
    <t xml:space="preserve">MDURATION(DATE(2023,8,31),DATE(2025,2,28),0.1,0.03,1,3)</t>
  </si>
  <si>
    <t xml:space="preserve">PRICE(DATE(2023,8,31),DATE(2025,2,28),0.05,0.08,100,1,4)</t>
  </si>
  <si>
    <t xml:space="preserve">PRICE(DATE(2023,8,31),DATE(2025,2,28),0.1,0.03,105,1,4)</t>
  </si>
  <si>
    <t xml:space="preserve">PRICE(DATE(2023,8,31),DATE(2025,2,28),0,0.05,100,1,4)</t>
  </si>
  <si>
    <t xml:space="preserve">YIELD(DATE(2023,8,31),DATE(2025,2,28),0.05,95,100,1,4)</t>
  </si>
  <si>
    <t xml:space="preserve">YIELD(DATE(2023,8,31),DATE(2025,2,28),0.1,101.5,100,1,4)</t>
  </si>
  <si>
    <t xml:space="preserve">YIELD(DATE(2023,8,31),DATE(2025,2,28),0.05,100,100,1,4)</t>
  </si>
  <si>
    <t xml:space="preserve">DURATION(DATE(2023,8,31),DATE(2025,2,28),0.05,0.08,1,4)</t>
  </si>
  <si>
    <t xml:space="preserve">DURATION(DATE(2023,8,31),DATE(2025,2,28),0.1,0.03,1,4)</t>
  </si>
  <si>
    <t xml:space="preserve">DURATION(DATE(2023,8,31),DATE(2025,2,28),0,0.05,1,4)</t>
  </si>
  <si>
    <t xml:space="preserve">MDURATION(DATE(2023,8,31),DATE(2025,2,28),0.05,0.08,1,4)</t>
  </si>
  <si>
    <t xml:space="preserve">MDURATION(DATE(2023,8,31),DATE(2025,2,28),0.1,0.03,1,4)</t>
  </si>
  <si>
    <t xml:space="preserve">PRICE(DATE(2023,8,31),DATE(2025,2,28),0.05,0.08,100,2,0)</t>
  </si>
  <si>
    <t xml:space="preserve">PRICE(DATE(2023,8,31),DATE(2025,2,28),0.1,0.03,105,2,0)</t>
  </si>
  <si>
    <t xml:space="preserve">PRICE(DATE(2023,8,31),DATE(2025,2,28),0,0.05,100,2,0)</t>
  </si>
  <si>
    <t xml:space="preserve">YIELD(DATE(2023,8,31),DATE(2025,2,28),0.05,95,100,2,0)</t>
  </si>
  <si>
    <t xml:space="preserve">YIELD(DATE(2023,8,31),DATE(2025,2,28),0.1,101.5,100,2,0)</t>
  </si>
  <si>
    <t xml:space="preserve">YIELD(DATE(2023,8,31),DATE(2025,2,28),0.05,100,100,2,0)</t>
  </si>
  <si>
    <t xml:space="preserve">DURATION(DATE(2023,8,31),DATE(2025,2,28),0.05,0.08,2,0)</t>
  </si>
  <si>
    <t xml:space="preserve">DURATION(DATE(2023,8,31),DATE(2025,2,28),0.1,0.03,2,0)</t>
  </si>
  <si>
    <t xml:space="preserve">DURATION(DATE(2023,8,31),DATE(2025,2,28),0,0.05,2,0)</t>
  </si>
  <si>
    <t xml:space="preserve">MDURATION(DATE(2023,8,31),DATE(2025,2,28),0.05,0.08,2,0)</t>
  </si>
  <si>
    <t xml:space="preserve">MDURATION(DATE(2023,8,31),DATE(2025,2,28),0.1,0.03,2,0)</t>
  </si>
  <si>
    <t xml:space="preserve">PRICE(DATE(2023,8,31),DATE(2025,2,28),0.05,0.08,100,2,1)</t>
  </si>
  <si>
    <t xml:space="preserve">PRICE(DATE(2023,8,31),DATE(2025,2,28),0.1,0.03,105,2,1)</t>
  </si>
  <si>
    <t xml:space="preserve">PRICE(DATE(2023,8,31),DATE(2025,2,28),0,0.05,100,2,1)</t>
  </si>
  <si>
    <t xml:space="preserve">YIELD(DATE(2023,8,31),DATE(2025,2,28),0.05,95,100,2,1)</t>
  </si>
  <si>
    <t xml:space="preserve">YIELD(DATE(2023,8,31),DATE(2025,2,28),0.1,101.5,100,2,1)</t>
  </si>
  <si>
    <t xml:space="preserve">YIELD(DATE(2023,8,31),DATE(2025,2,28),0.05,100,100,2,1)</t>
  </si>
  <si>
    <t xml:space="preserve">DURATION(DATE(2023,8,31),DATE(2025,2,28),0.05,0.08,2,1)</t>
  </si>
  <si>
    <t xml:space="preserve">DURATION(DATE(2023,8,31),DATE(2025,2,28),0.1,0.03,2,1)</t>
  </si>
  <si>
    <t xml:space="preserve">DURATION(DATE(2023,8,31),DATE(2025,2,28),0,0.05,2,1)</t>
  </si>
  <si>
    <t xml:space="preserve">MDURATION(DATE(2023,8,31),DATE(2025,2,28),0.05,0.08,2,1)</t>
  </si>
  <si>
    <t xml:space="preserve">MDURATION(DATE(2023,8,31),DATE(2025,2,28),0.1,0.03,2,1)</t>
  </si>
  <si>
    <t xml:space="preserve">PRICE(DATE(2023,8,31),DATE(2025,2,28),0.05,0.08,100,2,2)</t>
  </si>
  <si>
    <t xml:space="preserve">PRICE(DATE(2023,8,31),DATE(2025,2,28),0.1,0.03,105,2,2)</t>
  </si>
  <si>
    <t xml:space="preserve">PRICE(DATE(2023,8,31),DATE(2025,2,28),0,0.05,100,2,2)</t>
  </si>
  <si>
    <t xml:space="preserve">YIELD(DATE(2023,8,31),DATE(2025,2,28),0.05,95,100,2,2)</t>
  </si>
  <si>
    <t xml:space="preserve">YIELD(DATE(2023,8,31),DATE(2025,2,28),0.1,101.5,100,2,2)</t>
  </si>
  <si>
    <t xml:space="preserve">YIELD(DATE(2023,8,31),DATE(2025,2,28),0.05,100,100,2,2)</t>
  </si>
  <si>
    <t xml:space="preserve">DURATION(DATE(2023,8,31),DATE(2025,2,28),0.05,0.08,2,2)</t>
  </si>
  <si>
    <t xml:space="preserve">DURATION(DATE(2023,8,31),DATE(2025,2,28),0.1,0.03,2,2)</t>
  </si>
  <si>
    <t xml:space="preserve">DURATION(DATE(2023,8,31),DATE(2025,2,28),0,0.05,2,2)</t>
  </si>
  <si>
    <t xml:space="preserve">MDURATION(DATE(2023,8,31),DATE(2025,2,28),0.05,0.08,2,2)</t>
  </si>
  <si>
    <t xml:space="preserve">MDURATION(DATE(2023,8,31),DATE(2025,2,28),0.1,0.03,2,2)</t>
  </si>
  <si>
    <t xml:space="preserve">PRICE(DATE(2023,8,31),DATE(2025,2,28),0.05,0.08,100,2,3)</t>
  </si>
  <si>
    <t xml:space="preserve">PRICE(DATE(2023,8,31),DATE(2025,2,28),0.1,0.03,105,2,3)</t>
  </si>
  <si>
    <t xml:space="preserve">PRICE(DATE(2023,8,31),DATE(2025,2,28),0,0.05,100,2,3)</t>
  </si>
  <si>
    <t xml:space="preserve">YIELD(DATE(2023,8,31),DATE(2025,2,28),0.05,95,100,2,3)</t>
  </si>
  <si>
    <t xml:space="preserve">YIELD(DATE(2023,8,31),DATE(2025,2,28),0.1,101.5,100,2,3)</t>
  </si>
  <si>
    <t xml:space="preserve">YIELD(DATE(2023,8,31),DATE(2025,2,28),0.05,100,100,2,3)</t>
  </si>
  <si>
    <t xml:space="preserve">DURATION(DATE(2023,8,31),DATE(2025,2,28),0.05,0.08,2,3)</t>
  </si>
  <si>
    <t xml:space="preserve">DURATION(DATE(2023,8,31),DATE(2025,2,28),0.1,0.03,2,3)</t>
  </si>
  <si>
    <t xml:space="preserve">DURATION(DATE(2023,8,31),DATE(2025,2,28),0,0.05,2,3)</t>
  </si>
  <si>
    <t xml:space="preserve">MDURATION(DATE(2023,8,31),DATE(2025,2,28),0.05,0.08,2,3)</t>
  </si>
  <si>
    <t xml:space="preserve">MDURATION(DATE(2023,8,31),DATE(2025,2,28),0.1,0.03,2,3)</t>
  </si>
  <si>
    <t xml:space="preserve">PRICE(DATE(2023,8,31),DATE(2025,2,28),0.05,0.08,100,2,4)</t>
  </si>
  <si>
    <t xml:space="preserve">PRICE(DATE(2023,8,31),DATE(2025,2,28),0.1,0.03,105,2,4)</t>
  </si>
  <si>
    <t xml:space="preserve">PRICE(DATE(2023,8,31),DATE(2025,2,28),0,0.05,100,2,4)</t>
  </si>
  <si>
    <t xml:space="preserve">YIELD(DATE(2023,8,31),DATE(2025,2,28),0.05,95,100,2,4)</t>
  </si>
  <si>
    <t xml:space="preserve">YIELD(DATE(2023,8,31),DATE(2025,2,28),0.1,101.5,100,2,4)</t>
  </si>
  <si>
    <t xml:space="preserve">YIELD(DATE(2023,8,31),DATE(2025,2,28),0.05,100,100,2,4)</t>
  </si>
  <si>
    <t xml:space="preserve">DURATION(DATE(2023,8,31),DATE(2025,2,28),0.05,0.08,2,4)</t>
  </si>
  <si>
    <t xml:space="preserve">DURATION(DATE(2023,8,31),DATE(2025,2,28),0.1,0.03,2,4)</t>
  </si>
  <si>
    <t xml:space="preserve">DURATION(DATE(2023,8,31),DATE(2025,2,28),0,0.05,2,4)</t>
  </si>
  <si>
    <t xml:space="preserve">MDURATION(DATE(2023,8,31),DATE(2025,2,28),0.05,0.08,2,4)</t>
  </si>
  <si>
    <t xml:space="preserve">MDURATION(DATE(2023,8,31),DATE(2025,2,28),0.1,0.03,2,4)</t>
  </si>
  <si>
    <t xml:space="preserve">PRICE(DATE(2023,8,31),DATE(2025,2,28),0.05,0.08,100,4,0)</t>
  </si>
  <si>
    <t xml:space="preserve">PRICE(DATE(2023,8,31),DATE(2025,2,28),0.1,0.03,105,4,0)</t>
  </si>
  <si>
    <t xml:space="preserve">PRICE(DATE(2023,8,31),DATE(2025,2,28),0,0.05,100,4,0)</t>
  </si>
  <si>
    <t xml:space="preserve">YIELD(DATE(2023,8,31),DATE(2025,2,28),0.05,95,100,4,0)</t>
  </si>
  <si>
    <t xml:space="preserve">YIELD(DATE(2023,8,31),DATE(2025,2,28),0.1,101.5,100,4,0)</t>
  </si>
  <si>
    <t xml:space="preserve">YIELD(DATE(2023,8,31),DATE(2025,2,28),0.05,100,100,4,0)</t>
  </si>
  <si>
    <t xml:space="preserve">DURATION(DATE(2023,8,31),DATE(2025,2,28),0.05,0.08,4,0)</t>
  </si>
  <si>
    <t xml:space="preserve">DURATION(DATE(2023,8,31),DATE(2025,2,28),0.1,0.03,4,0)</t>
  </si>
  <si>
    <t xml:space="preserve">DURATION(DATE(2023,8,31),DATE(2025,2,28),0,0.05,4,0)</t>
  </si>
  <si>
    <t xml:space="preserve">MDURATION(DATE(2023,8,31),DATE(2025,2,28),0.05,0.08,4,0)</t>
  </si>
  <si>
    <t xml:space="preserve">MDURATION(DATE(2023,8,31),DATE(2025,2,28),0.1,0.03,4,0)</t>
  </si>
  <si>
    <t xml:space="preserve">PRICE(DATE(2023,8,31),DATE(2025,2,28),0.05,0.08,100,4,1)</t>
  </si>
  <si>
    <t xml:space="preserve">PRICE(DATE(2023,8,31),DATE(2025,2,28),0.1,0.03,105,4,1)</t>
  </si>
  <si>
    <t xml:space="preserve">PRICE(DATE(2023,8,31),DATE(2025,2,28),0,0.05,100,4,1)</t>
  </si>
  <si>
    <t xml:space="preserve">YIELD(DATE(2023,8,31),DATE(2025,2,28),0.05,95,100,4,1)</t>
  </si>
  <si>
    <t xml:space="preserve">YIELD(DATE(2023,8,31),DATE(2025,2,28),0.1,101.5,100,4,1)</t>
  </si>
  <si>
    <t xml:space="preserve">YIELD(DATE(2023,8,31),DATE(2025,2,28),0.05,100,100,4,1)</t>
  </si>
  <si>
    <t xml:space="preserve">DURATION(DATE(2023,8,31),DATE(2025,2,28),0.05,0.08,4,1)</t>
  </si>
  <si>
    <t xml:space="preserve">DURATION(DATE(2023,8,31),DATE(2025,2,28),0.1,0.03,4,1)</t>
  </si>
  <si>
    <t xml:space="preserve">DURATION(DATE(2023,8,31),DATE(2025,2,28),0,0.05,4,1)</t>
  </si>
  <si>
    <t xml:space="preserve">MDURATION(DATE(2023,8,31),DATE(2025,2,28),0.05,0.08,4,1)</t>
  </si>
  <si>
    <t xml:space="preserve">MDURATION(DATE(2023,8,31),DATE(2025,2,28),0.1,0.03,4,1)</t>
  </si>
  <si>
    <t xml:space="preserve">PRICE(DATE(2023,8,31),DATE(2025,2,28),0.05,0.08,100,4,2)</t>
  </si>
  <si>
    <t xml:space="preserve">PRICE(DATE(2023,8,31),DATE(2025,2,28),0.1,0.03,105,4,2)</t>
  </si>
  <si>
    <t xml:space="preserve">PRICE(DATE(2023,8,31),DATE(2025,2,28),0,0.05,100,4,2)</t>
  </si>
  <si>
    <t xml:space="preserve">YIELD(DATE(2023,8,31),DATE(2025,2,28),0.05,95,100,4,2)</t>
  </si>
  <si>
    <t xml:space="preserve">YIELD(DATE(2023,8,31),DATE(2025,2,28),0.1,101.5,100,4,2)</t>
  </si>
  <si>
    <t xml:space="preserve">YIELD(DATE(2023,8,31),DATE(2025,2,28),0.05,100,100,4,2)</t>
  </si>
  <si>
    <t xml:space="preserve">DURATION(DATE(2023,8,31),DATE(2025,2,28),0.05,0.08,4,2)</t>
  </si>
  <si>
    <t xml:space="preserve">DURATION(DATE(2023,8,31),DATE(2025,2,28),0.1,0.03,4,2)</t>
  </si>
  <si>
    <t xml:space="preserve">DURATION(DATE(2023,8,31),DATE(2025,2,28),0,0.05,4,2)</t>
  </si>
  <si>
    <t xml:space="preserve">MDURATION(DATE(2023,8,31),DATE(2025,2,28),0.05,0.08,4,2)</t>
  </si>
  <si>
    <t xml:space="preserve">MDURATION(DATE(2023,8,31),DATE(2025,2,28),0.1,0.03,4,2)</t>
  </si>
  <si>
    <t xml:space="preserve">PRICE(DATE(2023,8,31),DATE(2025,2,28),0.05,0.08,100,4,3)</t>
  </si>
  <si>
    <t xml:space="preserve">PRICE(DATE(2023,8,31),DATE(2025,2,28),0.1,0.03,105,4,3)</t>
  </si>
  <si>
    <t xml:space="preserve">PRICE(DATE(2023,8,31),DATE(2025,2,28),0,0.05,100,4,3)</t>
  </si>
  <si>
    <t xml:space="preserve">YIELD(DATE(2023,8,31),DATE(2025,2,28),0.05,95,100,4,3)</t>
  </si>
  <si>
    <t xml:space="preserve">YIELD(DATE(2023,8,31),DATE(2025,2,28),0.1,101.5,100,4,3)</t>
  </si>
  <si>
    <t xml:space="preserve">YIELD(DATE(2023,8,31),DATE(2025,2,28),0.05,100,100,4,3)</t>
  </si>
  <si>
    <t xml:space="preserve">DURATION(DATE(2023,8,31),DATE(2025,2,28),0.05,0.08,4,3)</t>
  </si>
  <si>
    <t xml:space="preserve">DURATION(DATE(2023,8,31),DATE(2025,2,28),0.1,0.03,4,3)</t>
  </si>
  <si>
    <t xml:space="preserve">DURATION(DATE(2023,8,31),DATE(2025,2,28),0,0.05,4,3)</t>
  </si>
  <si>
    <t xml:space="preserve">MDURATION(DATE(2023,8,31),DATE(2025,2,28),0.05,0.08,4,3)</t>
  </si>
  <si>
    <t xml:space="preserve">MDURATION(DATE(2023,8,31),DATE(2025,2,28),0.1,0.03,4,3)</t>
  </si>
  <si>
    <t xml:space="preserve">PRICE(DATE(2023,8,31),DATE(2025,2,28),0.05,0.08,100,4,4)</t>
  </si>
  <si>
    <t xml:space="preserve">PRICE(DATE(2023,8,31),DATE(2025,2,28),0.1,0.03,105,4,4)</t>
  </si>
  <si>
    <t xml:space="preserve">PRICE(DATE(2023,8,31),DATE(2025,2,28),0,0.05,100,4,4)</t>
  </si>
  <si>
    <t xml:space="preserve">YIELD(DATE(2023,8,31),DATE(2025,2,28),0.05,95,100,4,4)</t>
  </si>
  <si>
    <t xml:space="preserve">YIELD(DATE(2023,8,31),DATE(2025,2,28),0.1,101.5,100,4,4)</t>
  </si>
  <si>
    <t xml:space="preserve">YIELD(DATE(2023,8,31),DATE(2025,2,28),0.05,100,100,4,4)</t>
  </si>
  <si>
    <t xml:space="preserve">DURATION(DATE(2023,8,31),DATE(2025,2,28),0.05,0.08,4,4)</t>
  </si>
  <si>
    <t xml:space="preserve">DURATION(DATE(2023,8,31),DATE(2025,2,28),0.1,0.03,4,4)</t>
  </si>
  <si>
    <t xml:space="preserve">DURATION(DATE(2023,8,31),DATE(2025,2,28),0,0.05,4,4)</t>
  </si>
  <si>
    <t xml:space="preserve">MDURATION(DATE(2023,8,31),DATE(2025,2,28),0.05,0.08,4,4)</t>
  </si>
  <si>
    <t xml:space="preserve">MDURATION(DATE(2023,8,31),DATE(2025,2,28),0.1,0.03,4,4)</t>
  </si>
  <si>
    <t xml:space="preserve">PRICE(DATE(2024,2,15),DATE(2024,2,29),0.05,0.08,100,1,0)</t>
  </si>
  <si>
    <t xml:space="preserve">PRICE(DATE(2024,2,15),DATE(2024,2,29),0.1,0.03,105,1,0)</t>
  </si>
  <si>
    <t xml:space="preserve">PRICE(DATE(2024,2,15),DATE(2024,2,29),0,0.05,100,1,0)</t>
  </si>
  <si>
    <t xml:space="preserve">YIELD(DATE(2024,2,15),DATE(2024,2,29),0.05,95,100,1,0)</t>
  </si>
  <si>
    <t xml:space="preserve">YIELD(DATE(2024,2,15),DATE(2024,2,29),0.1,101.5,100,1,0)</t>
  </si>
  <si>
    <t xml:space="preserve">YIELD(DATE(2024,2,15),DATE(2024,2,29),0.05,100,100,1,0)</t>
  </si>
  <si>
    <t xml:space="preserve">DURATION(DATE(2024,2,15),DATE(2024,2,29),0.05,0.08,1,0)</t>
  </si>
  <si>
    <t xml:space="preserve">DURATION(DATE(2024,2,15),DATE(2024,2,29),0.1,0.03,1,0)</t>
  </si>
  <si>
    <t xml:space="preserve">DURATION(DATE(2024,2,15),DATE(2024,2,29),0,0.05,1,0)</t>
  </si>
  <si>
    <t xml:space="preserve">MDURATION(DATE(2024,2,15),DATE(2024,2,29),0.05,0.08,1,0)</t>
  </si>
  <si>
    <t xml:space="preserve">MDURATION(DATE(2024,2,15),DATE(2024,2,29),0.1,0.03,1,0)</t>
  </si>
  <si>
    <t xml:space="preserve">PRICE(DATE(2024,2,15),DATE(2024,2,29),0.05,0.08,100,1,1)</t>
  </si>
  <si>
    <t xml:space="preserve">PRICE(DATE(2024,2,15),DATE(2024,2,29),0.1,0.03,105,1,1)</t>
  </si>
  <si>
    <t xml:space="preserve">PRICE(DATE(2024,2,15),DATE(2024,2,29),0,0.05,100,1,1)</t>
  </si>
  <si>
    <t xml:space="preserve">YIELD(DATE(2024,2,15),DATE(2024,2,29),0.05,95,100,1,1)</t>
  </si>
  <si>
    <t xml:space="preserve">YIELD(DATE(2024,2,15),DATE(2024,2,29),0.1,101.5,100,1,1)</t>
  </si>
  <si>
    <t xml:space="preserve">YIELD(DATE(2024,2,15),DATE(2024,2,29),0.05,100,100,1,1)</t>
  </si>
  <si>
    <t xml:space="preserve">DURATION(DATE(2024,2,15),DATE(2024,2,29),0.05,0.08,1,1)</t>
  </si>
  <si>
    <t xml:space="preserve">DURATION(DATE(2024,2,15),DATE(2024,2,29),0.1,0.03,1,1)</t>
  </si>
  <si>
    <t xml:space="preserve">DURATION(DATE(2024,2,15),DATE(2024,2,29),0,0.05,1,1)</t>
  </si>
  <si>
    <t xml:space="preserve">MDURATION(DATE(2024,2,15),DATE(2024,2,29),0.05,0.08,1,1)</t>
  </si>
  <si>
    <t xml:space="preserve">MDURATION(DATE(2024,2,15),DATE(2024,2,29),0.1,0.03,1,1)</t>
  </si>
  <si>
    <t xml:space="preserve">PRICE(DATE(2024,2,15),DATE(2024,2,29),0.05,0.08,100,1,2)</t>
  </si>
  <si>
    <t xml:space="preserve">PRICE(DATE(2024,2,15),DATE(2024,2,29),0.1,0.03,105,1,2)</t>
  </si>
  <si>
    <t xml:space="preserve">PRICE(DATE(2024,2,15),DATE(2024,2,29),0,0.05,100,1,2)</t>
  </si>
  <si>
    <t xml:space="preserve">YIELD(DATE(2024,2,15),DATE(2024,2,29),0.05,95,100,1,2)</t>
  </si>
  <si>
    <t xml:space="preserve">YIELD(DATE(2024,2,15),DATE(2024,2,29),0.1,101.5,100,1,2)</t>
  </si>
  <si>
    <t xml:space="preserve">YIELD(DATE(2024,2,15),DATE(2024,2,29),0.05,100,100,1,2)</t>
  </si>
  <si>
    <t xml:space="preserve">DURATION(DATE(2024,2,15),DATE(2024,2,29),0.05,0.08,1,2)</t>
  </si>
  <si>
    <t xml:space="preserve">DURATION(DATE(2024,2,15),DATE(2024,2,29),0.1,0.03,1,2)</t>
  </si>
  <si>
    <t xml:space="preserve">DURATION(DATE(2024,2,15),DATE(2024,2,29),0,0.05,1,2)</t>
  </si>
  <si>
    <t xml:space="preserve">MDURATION(DATE(2024,2,15),DATE(2024,2,29),0.05,0.08,1,2)</t>
  </si>
  <si>
    <t xml:space="preserve">MDURATION(DATE(2024,2,15),DATE(2024,2,29),0.1,0.03,1,2)</t>
  </si>
  <si>
    <t xml:space="preserve">PRICE(DATE(2024,2,15),DATE(2024,2,29),0.05,0.08,100,1,3)</t>
  </si>
  <si>
    <t xml:space="preserve">PRICE(DATE(2024,2,15),DATE(2024,2,29),0.1,0.03,105,1,3)</t>
  </si>
  <si>
    <t xml:space="preserve">PRICE(DATE(2024,2,15),DATE(2024,2,29),0,0.05,100,1,3)</t>
  </si>
  <si>
    <t xml:space="preserve">YIELD(DATE(2024,2,15),DATE(2024,2,29),0.05,95,100,1,3)</t>
  </si>
  <si>
    <t xml:space="preserve">YIELD(DATE(2024,2,15),DATE(2024,2,29),0.1,101.5,100,1,3)</t>
  </si>
  <si>
    <t xml:space="preserve">YIELD(DATE(2024,2,15),DATE(2024,2,29),0.05,100,100,1,3)</t>
  </si>
  <si>
    <t xml:space="preserve">DURATION(DATE(2024,2,15),DATE(2024,2,29),0.05,0.08,1,3)</t>
  </si>
  <si>
    <t xml:space="preserve">DURATION(DATE(2024,2,15),DATE(2024,2,29),0.1,0.03,1,3)</t>
  </si>
  <si>
    <t xml:space="preserve">DURATION(DATE(2024,2,15),DATE(2024,2,29),0,0.05,1,3)</t>
  </si>
  <si>
    <t xml:space="preserve">MDURATION(DATE(2024,2,15),DATE(2024,2,29),0.05,0.08,1,3)</t>
  </si>
  <si>
    <t xml:space="preserve">MDURATION(DATE(2024,2,15),DATE(2024,2,29),0.1,0.03,1,3)</t>
  </si>
  <si>
    <t xml:space="preserve">PRICE(DATE(2024,2,15),DATE(2024,2,29),0.05,0.08,100,1,4)</t>
  </si>
  <si>
    <t xml:space="preserve">PRICE(DATE(2024,2,15),DATE(2024,2,29),0.1,0.03,105,1,4)</t>
  </si>
  <si>
    <t xml:space="preserve">PRICE(DATE(2024,2,15),DATE(2024,2,29),0,0.05,100,1,4)</t>
  </si>
  <si>
    <t xml:space="preserve">YIELD(DATE(2024,2,15),DATE(2024,2,29),0.05,95,100,1,4)</t>
  </si>
  <si>
    <t xml:space="preserve">YIELD(DATE(2024,2,15),DATE(2024,2,29),0.1,101.5,100,1,4)</t>
  </si>
  <si>
    <t xml:space="preserve">YIELD(DATE(2024,2,15),DATE(2024,2,29),0.05,100,100,1,4)</t>
  </si>
  <si>
    <t xml:space="preserve">DURATION(DATE(2024,2,15),DATE(2024,2,29),0.05,0.08,1,4)</t>
  </si>
  <si>
    <t xml:space="preserve">DURATION(DATE(2024,2,15),DATE(2024,2,29),0.1,0.03,1,4)</t>
  </si>
  <si>
    <t xml:space="preserve">DURATION(DATE(2024,2,15),DATE(2024,2,29),0,0.05,1,4)</t>
  </si>
  <si>
    <t xml:space="preserve">MDURATION(DATE(2024,2,15),DATE(2024,2,29),0.05,0.08,1,4)</t>
  </si>
  <si>
    <t xml:space="preserve">MDURATION(DATE(2024,2,15),DATE(2024,2,29),0.1,0.03,1,4)</t>
  </si>
  <si>
    <t xml:space="preserve">PRICE(DATE(2024,2,15),DATE(2024,2,29),0.05,0.08,100,2,0)</t>
  </si>
  <si>
    <t xml:space="preserve">PRICE(DATE(2024,2,15),DATE(2024,2,29),0.1,0.03,105,2,0)</t>
  </si>
  <si>
    <t xml:space="preserve">PRICE(DATE(2024,2,15),DATE(2024,2,29),0,0.05,100,2,0)</t>
  </si>
  <si>
    <t xml:space="preserve">YIELD(DATE(2024,2,15),DATE(2024,2,29),0.05,95,100,2,0)</t>
  </si>
  <si>
    <t xml:space="preserve">YIELD(DATE(2024,2,15),DATE(2024,2,29),0.1,101.5,100,2,0)</t>
  </si>
  <si>
    <t xml:space="preserve">YIELD(DATE(2024,2,15),DATE(2024,2,29),0.05,100,100,2,0)</t>
  </si>
  <si>
    <t xml:space="preserve">DURATION(DATE(2024,2,15),DATE(2024,2,29),0.05,0.08,2,0)</t>
  </si>
  <si>
    <t xml:space="preserve">DURATION(DATE(2024,2,15),DATE(2024,2,29),0.1,0.03,2,0)</t>
  </si>
  <si>
    <t xml:space="preserve">DURATION(DATE(2024,2,15),DATE(2024,2,29),0,0.05,2,0)</t>
  </si>
  <si>
    <t xml:space="preserve">MDURATION(DATE(2024,2,15),DATE(2024,2,29),0.05,0.08,2,0)</t>
  </si>
  <si>
    <t xml:space="preserve">MDURATION(DATE(2024,2,15),DATE(2024,2,29),0.1,0.03,2,0)</t>
  </si>
  <si>
    <t xml:space="preserve">PRICE(DATE(2024,2,15),DATE(2024,2,29),0.05,0.08,100,2,1)</t>
  </si>
  <si>
    <t xml:space="preserve">PRICE(DATE(2024,2,15),DATE(2024,2,29),0.1,0.03,105,2,1)</t>
  </si>
  <si>
    <t xml:space="preserve">PRICE(DATE(2024,2,15),DATE(2024,2,29),0,0.05,100,2,1)</t>
  </si>
  <si>
    <t xml:space="preserve">YIELD(DATE(2024,2,15),DATE(2024,2,29),0.05,95,100,2,1)</t>
  </si>
  <si>
    <t xml:space="preserve">YIELD(DATE(2024,2,15),DATE(2024,2,29),0.1,101.5,100,2,1)</t>
  </si>
  <si>
    <t xml:space="preserve">YIELD(DATE(2024,2,15),DATE(2024,2,29),0.05,100,100,2,1)</t>
  </si>
  <si>
    <t xml:space="preserve">DURATION(DATE(2024,2,15),DATE(2024,2,29),0.05,0.08,2,1)</t>
  </si>
  <si>
    <t xml:space="preserve">DURATION(DATE(2024,2,15),DATE(2024,2,29),0.1,0.03,2,1)</t>
  </si>
  <si>
    <t xml:space="preserve">DURATION(DATE(2024,2,15),DATE(2024,2,29),0,0.05,2,1)</t>
  </si>
  <si>
    <t xml:space="preserve">MDURATION(DATE(2024,2,15),DATE(2024,2,29),0.05,0.08,2,1)</t>
  </si>
  <si>
    <t xml:space="preserve">MDURATION(DATE(2024,2,15),DATE(2024,2,29),0.1,0.03,2,1)</t>
  </si>
  <si>
    <t xml:space="preserve">PRICE(DATE(2024,2,15),DATE(2024,2,29),0.05,0.08,100,2,2)</t>
  </si>
  <si>
    <t xml:space="preserve">PRICE(DATE(2024,2,15),DATE(2024,2,29),0.1,0.03,105,2,2)</t>
  </si>
  <si>
    <t xml:space="preserve">PRICE(DATE(2024,2,15),DATE(2024,2,29),0,0.05,100,2,2)</t>
  </si>
  <si>
    <t xml:space="preserve">YIELD(DATE(2024,2,15),DATE(2024,2,29),0.05,95,100,2,2)</t>
  </si>
  <si>
    <t xml:space="preserve">YIELD(DATE(2024,2,15),DATE(2024,2,29),0.1,101.5,100,2,2)</t>
  </si>
  <si>
    <t xml:space="preserve">YIELD(DATE(2024,2,15),DATE(2024,2,29),0.05,100,100,2,2)</t>
  </si>
  <si>
    <t xml:space="preserve">DURATION(DATE(2024,2,15),DATE(2024,2,29),0.05,0.08,2,2)</t>
  </si>
  <si>
    <t xml:space="preserve">DURATION(DATE(2024,2,15),DATE(2024,2,29),0.1,0.03,2,2)</t>
  </si>
  <si>
    <t xml:space="preserve">DURATION(DATE(2024,2,15),DATE(2024,2,29),0,0.05,2,2)</t>
  </si>
  <si>
    <t xml:space="preserve">MDURATION(DATE(2024,2,15),DATE(2024,2,29),0.05,0.08,2,2)</t>
  </si>
  <si>
    <t xml:space="preserve">MDURATION(DATE(2024,2,15),DATE(2024,2,29),0.1,0.03,2,2)</t>
  </si>
  <si>
    <t xml:space="preserve">PRICE(DATE(2024,2,15),DATE(2024,2,29),0.05,0.08,100,2,3)</t>
  </si>
  <si>
    <t xml:space="preserve">PRICE(DATE(2024,2,15),DATE(2024,2,29),0.1,0.03,105,2,3)</t>
  </si>
  <si>
    <t xml:space="preserve">PRICE(DATE(2024,2,15),DATE(2024,2,29),0,0.05,100,2,3)</t>
  </si>
  <si>
    <t xml:space="preserve">YIELD(DATE(2024,2,15),DATE(2024,2,29),0.05,95,100,2,3)</t>
  </si>
  <si>
    <t xml:space="preserve">YIELD(DATE(2024,2,15),DATE(2024,2,29),0.1,101.5,100,2,3)</t>
  </si>
  <si>
    <t xml:space="preserve">YIELD(DATE(2024,2,15),DATE(2024,2,29),0.05,100,100,2,3)</t>
  </si>
  <si>
    <t xml:space="preserve">DURATION(DATE(2024,2,15),DATE(2024,2,29),0.05,0.08,2,3)</t>
  </si>
  <si>
    <t xml:space="preserve">DURATION(DATE(2024,2,15),DATE(2024,2,29),0.1,0.03,2,3)</t>
  </si>
  <si>
    <t xml:space="preserve">DURATION(DATE(2024,2,15),DATE(2024,2,29),0,0.05,2,3)</t>
  </si>
  <si>
    <t xml:space="preserve">MDURATION(DATE(2024,2,15),DATE(2024,2,29),0.05,0.08,2,3)</t>
  </si>
  <si>
    <t xml:space="preserve">MDURATION(DATE(2024,2,15),DATE(2024,2,29),0.1,0.03,2,3)</t>
  </si>
  <si>
    <t xml:space="preserve">PRICE(DATE(2024,2,15),DATE(2024,2,29),0.05,0.08,100,2,4)</t>
  </si>
  <si>
    <t xml:space="preserve">PRICE(DATE(2024,2,15),DATE(2024,2,29),0.1,0.03,105,2,4)</t>
  </si>
  <si>
    <t xml:space="preserve">PRICE(DATE(2024,2,15),DATE(2024,2,29),0,0.05,100,2,4)</t>
  </si>
  <si>
    <t xml:space="preserve">YIELD(DATE(2024,2,15),DATE(2024,2,29),0.05,95,100,2,4)</t>
  </si>
  <si>
    <t xml:space="preserve">YIELD(DATE(2024,2,15),DATE(2024,2,29),0.1,101.5,100,2,4)</t>
  </si>
  <si>
    <t xml:space="preserve">YIELD(DATE(2024,2,15),DATE(2024,2,29),0.05,100,100,2,4)</t>
  </si>
  <si>
    <t xml:space="preserve">DURATION(DATE(2024,2,15),DATE(2024,2,29),0.05,0.08,2,4)</t>
  </si>
  <si>
    <t xml:space="preserve">DURATION(DATE(2024,2,15),DATE(2024,2,29),0.1,0.03,2,4)</t>
  </si>
  <si>
    <t xml:space="preserve">DURATION(DATE(2024,2,15),DATE(2024,2,29),0,0.05,2,4)</t>
  </si>
  <si>
    <t xml:space="preserve">MDURATION(DATE(2024,2,15),DATE(2024,2,29),0.05,0.08,2,4)</t>
  </si>
  <si>
    <t xml:space="preserve">MDURATION(DATE(2024,2,15),DATE(2024,2,29),0.1,0.03,2,4)</t>
  </si>
  <si>
    <t xml:space="preserve">PRICE(DATE(2024,2,15),DATE(2024,2,29),0.05,0.08,100,4,0)</t>
  </si>
  <si>
    <t xml:space="preserve">PRICE(DATE(2024,2,15),DATE(2024,2,29),0.1,0.03,105,4,0)</t>
  </si>
  <si>
    <t xml:space="preserve">PRICE(DATE(2024,2,15),DATE(2024,2,29),0,0.05,100,4,0)</t>
  </si>
  <si>
    <t xml:space="preserve">YIELD(DATE(2024,2,15),DATE(2024,2,29),0.05,95,100,4,0)</t>
  </si>
  <si>
    <t xml:space="preserve">YIELD(DATE(2024,2,15),DATE(2024,2,29),0.1,101.5,100,4,0)</t>
  </si>
  <si>
    <t xml:space="preserve">YIELD(DATE(2024,2,15),DATE(2024,2,29),0.05,100,100,4,0)</t>
  </si>
  <si>
    <t xml:space="preserve">DURATION(DATE(2024,2,15),DATE(2024,2,29),0.05,0.08,4,0)</t>
  </si>
  <si>
    <t xml:space="preserve">DURATION(DATE(2024,2,15),DATE(2024,2,29),0.1,0.03,4,0)</t>
  </si>
  <si>
    <t xml:space="preserve">DURATION(DATE(2024,2,15),DATE(2024,2,29),0,0.05,4,0)</t>
  </si>
  <si>
    <t xml:space="preserve">MDURATION(DATE(2024,2,15),DATE(2024,2,29),0.05,0.08,4,0)</t>
  </si>
  <si>
    <t xml:space="preserve">MDURATION(DATE(2024,2,15),DATE(2024,2,29),0.1,0.03,4,0)</t>
  </si>
  <si>
    <t xml:space="preserve">PRICE(DATE(2024,2,15),DATE(2024,2,29),0.05,0.08,100,4,1)</t>
  </si>
  <si>
    <t xml:space="preserve">PRICE(DATE(2024,2,15),DATE(2024,2,29),0.1,0.03,105,4,1)</t>
  </si>
  <si>
    <t xml:space="preserve">PRICE(DATE(2024,2,15),DATE(2024,2,29),0,0.05,100,4,1)</t>
  </si>
  <si>
    <t xml:space="preserve">YIELD(DATE(2024,2,15),DATE(2024,2,29),0.05,95,100,4,1)</t>
  </si>
  <si>
    <t xml:space="preserve">YIELD(DATE(2024,2,15),DATE(2024,2,29),0.1,101.5,100,4,1)</t>
  </si>
  <si>
    <t xml:space="preserve">YIELD(DATE(2024,2,15),DATE(2024,2,29),0.05,100,100,4,1)</t>
  </si>
  <si>
    <t xml:space="preserve">DURATION(DATE(2024,2,15),DATE(2024,2,29),0.05,0.08,4,1)</t>
  </si>
  <si>
    <t xml:space="preserve">DURATION(DATE(2024,2,15),DATE(2024,2,29),0.1,0.03,4,1)</t>
  </si>
  <si>
    <t xml:space="preserve">DURATION(DATE(2024,2,15),DATE(2024,2,29),0,0.05,4,1)</t>
  </si>
  <si>
    <t xml:space="preserve">MDURATION(DATE(2024,2,15),DATE(2024,2,29),0.05,0.08,4,1)</t>
  </si>
  <si>
    <t xml:space="preserve">MDURATION(DATE(2024,2,15),DATE(2024,2,29),0.1,0.03,4,1)</t>
  </si>
  <si>
    <t xml:space="preserve">PRICE(DATE(2024,2,15),DATE(2024,2,29),0.05,0.08,100,4,2)</t>
  </si>
  <si>
    <t xml:space="preserve">PRICE(DATE(2024,2,15),DATE(2024,2,29),0.1,0.03,105,4,2)</t>
  </si>
  <si>
    <t xml:space="preserve">PRICE(DATE(2024,2,15),DATE(2024,2,29),0,0.05,100,4,2)</t>
  </si>
  <si>
    <t xml:space="preserve">YIELD(DATE(2024,2,15),DATE(2024,2,29),0.05,95,100,4,2)</t>
  </si>
  <si>
    <t xml:space="preserve">YIELD(DATE(2024,2,15),DATE(2024,2,29),0.1,101.5,100,4,2)</t>
  </si>
  <si>
    <t xml:space="preserve">YIELD(DATE(2024,2,15),DATE(2024,2,29),0.05,100,100,4,2)</t>
  </si>
  <si>
    <t xml:space="preserve">DURATION(DATE(2024,2,15),DATE(2024,2,29),0.05,0.08,4,2)</t>
  </si>
  <si>
    <t xml:space="preserve">DURATION(DATE(2024,2,15),DATE(2024,2,29),0.1,0.03,4,2)</t>
  </si>
  <si>
    <t xml:space="preserve">DURATION(DATE(2024,2,15),DATE(2024,2,29),0,0.05,4,2)</t>
  </si>
  <si>
    <t xml:space="preserve">MDURATION(DATE(2024,2,15),DATE(2024,2,29),0.05,0.08,4,2)</t>
  </si>
  <si>
    <t xml:space="preserve">MDURATION(DATE(2024,2,15),DATE(2024,2,29),0.1,0.03,4,2)</t>
  </si>
  <si>
    <t xml:space="preserve">PRICE(DATE(2024,2,15),DATE(2024,2,29),0.05,0.08,100,4,3)</t>
  </si>
  <si>
    <t xml:space="preserve">PRICE(DATE(2024,2,15),DATE(2024,2,29),0.1,0.03,105,4,3)</t>
  </si>
  <si>
    <t xml:space="preserve">PRICE(DATE(2024,2,15),DATE(2024,2,29),0,0.05,100,4,3)</t>
  </si>
  <si>
    <t xml:space="preserve">YIELD(DATE(2024,2,15),DATE(2024,2,29),0.05,95,100,4,3)</t>
  </si>
  <si>
    <t xml:space="preserve">YIELD(DATE(2024,2,15),DATE(2024,2,29),0.1,101.5,100,4,3)</t>
  </si>
  <si>
    <t xml:space="preserve">YIELD(DATE(2024,2,15),DATE(2024,2,29),0.05,100,100,4,3)</t>
  </si>
  <si>
    <t xml:space="preserve">DURATION(DATE(2024,2,15),DATE(2024,2,29),0.05,0.08,4,3)</t>
  </si>
  <si>
    <t xml:space="preserve">DURATION(DATE(2024,2,15),DATE(2024,2,29),0.1,0.03,4,3)</t>
  </si>
  <si>
    <t xml:space="preserve">DURATION(DATE(2024,2,15),DATE(2024,2,29),0,0.05,4,3)</t>
  </si>
  <si>
    <t xml:space="preserve">MDURATION(DATE(2024,2,15),DATE(2024,2,29),0.05,0.08,4,3)</t>
  </si>
  <si>
    <t xml:space="preserve">MDURATION(DATE(2024,2,15),DATE(2024,2,29),0.1,0.03,4,3)</t>
  </si>
  <si>
    <t xml:space="preserve">PRICE(DATE(2024,2,15),DATE(2024,2,29),0.05,0.08,100,4,4)</t>
  </si>
  <si>
    <t xml:space="preserve">PRICE(DATE(2024,2,15),DATE(2024,2,29),0.1,0.03,105,4,4)</t>
  </si>
  <si>
    <t xml:space="preserve">PRICE(DATE(2024,2,15),DATE(2024,2,29),0,0.05,100,4,4)</t>
  </si>
  <si>
    <t xml:space="preserve">YIELD(DATE(2024,2,15),DATE(2024,2,29),0.05,95,100,4,4)</t>
  </si>
  <si>
    <t xml:space="preserve">YIELD(DATE(2024,2,15),DATE(2024,2,29),0.1,101.5,100,4,4)</t>
  </si>
  <si>
    <t xml:space="preserve">YIELD(DATE(2024,2,15),DATE(2024,2,29),0.05,100,100,4,4)</t>
  </si>
  <si>
    <t xml:space="preserve">DURATION(DATE(2024,2,15),DATE(2024,2,29),0.05,0.08,4,4)</t>
  </si>
  <si>
    <t xml:space="preserve">DURATION(DATE(2024,2,15),DATE(2024,2,29),0.1,0.03,4,4)</t>
  </si>
  <si>
    <t xml:space="preserve">DURATION(DATE(2024,2,15),DATE(2024,2,29),0,0.05,4,4)</t>
  </si>
  <si>
    <t xml:space="preserve">MDURATION(DATE(2024,2,15),DATE(2024,2,29),0.05,0.08,4,4)</t>
  </si>
  <si>
    <t xml:space="preserve">MDURATION(DATE(2024,2,15),DATE(2024,2,29),0.1,0.03,4,4)</t>
  </si>
  <si>
    <t xml:space="preserve">PRICE(DATE(2024,1,1),DATE(2034,1,1),0.05,0.08,100,1,0)</t>
  </si>
  <si>
    <t xml:space="preserve">PRICE(DATE(2024,1,1),DATE(2034,1,1),0.1,0.03,105,1,0)</t>
  </si>
  <si>
    <t xml:space="preserve">PRICE(DATE(2024,1,1),DATE(2034,1,1),0,0.05,100,1,0)</t>
  </si>
  <si>
    <t xml:space="preserve">YIELD(DATE(2024,1,1),DATE(2034,1,1),0.05,95,100,1,0)</t>
  </si>
  <si>
    <t xml:space="preserve">YIELD(DATE(2024,1,1),DATE(2034,1,1),0.1,101.5,100,1,0)</t>
  </si>
  <si>
    <t xml:space="preserve">YIELD(DATE(2024,1,1),DATE(2034,1,1),0.05,100,100,1,0)</t>
  </si>
  <si>
    <t xml:space="preserve">DURATION(DATE(2024,1,1),DATE(2034,1,1),0.05,0.08,1,0)</t>
  </si>
  <si>
    <t xml:space="preserve">DURATION(DATE(2024,1,1),DATE(2034,1,1),0.1,0.03,1,0)</t>
  </si>
  <si>
    <t xml:space="preserve">DURATION(DATE(2024,1,1),DATE(2034,1,1),0,0.05,1,0)</t>
  </si>
  <si>
    <t xml:space="preserve">MDURATION(DATE(2024,1,1),DATE(2034,1,1),0.05,0.08,1,0)</t>
  </si>
  <si>
    <t xml:space="preserve">MDURATION(DATE(2024,1,1),DATE(2034,1,1),0.1,0.03,1,0)</t>
  </si>
  <si>
    <t xml:space="preserve">PRICE(DATE(2024,1,1),DATE(2034,1,1),0.05,0.08,100,1,1)</t>
  </si>
  <si>
    <t xml:space="preserve">PRICE(DATE(2024,1,1),DATE(2034,1,1),0.1,0.03,105,1,1)</t>
  </si>
  <si>
    <t xml:space="preserve">PRICE(DATE(2024,1,1),DATE(2034,1,1),0,0.05,100,1,1)</t>
  </si>
  <si>
    <t xml:space="preserve">YIELD(DATE(2024,1,1),DATE(2034,1,1),0.05,95,100,1,1)</t>
  </si>
  <si>
    <t xml:space="preserve">YIELD(DATE(2024,1,1),DATE(2034,1,1),0.1,101.5,100,1,1)</t>
  </si>
  <si>
    <t xml:space="preserve">YIELD(DATE(2024,1,1),DATE(2034,1,1),0.05,100,100,1,1)</t>
  </si>
  <si>
    <t xml:space="preserve">DURATION(DATE(2024,1,1),DATE(2034,1,1),0.05,0.08,1,1)</t>
  </si>
  <si>
    <t xml:space="preserve">DURATION(DATE(2024,1,1),DATE(2034,1,1),0.1,0.03,1,1)</t>
  </si>
  <si>
    <t xml:space="preserve">DURATION(DATE(2024,1,1),DATE(2034,1,1),0,0.05,1,1)</t>
  </si>
  <si>
    <t xml:space="preserve">MDURATION(DATE(2024,1,1),DATE(2034,1,1),0.05,0.08,1,1)</t>
  </si>
  <si>
    <t xml:space="preserve">MDURATION(DATE(2024,1,1),DATE(2034,1,1),0.1,0.03,1,1)</t>
  </si>
  <si>
    <t xml:space="preserve">PRICE(DATE(2024,1,1),DATE(2034,1,1),0.05,0.08,100,1,2)</t>
  </si>
  <si>
    <t xml:space="preserve">PRICE(DATE(2024,1,1),DATE(2034,1,1),0.1,0.03,105,1,2)</t>
  </si>
  <si>
    <t xml:space="preserve">PRICE(DATE(2024,1,1),DATE(2034,1,1),0,0.05,100,1,2)</t>
  </si>
  <si>
    <t xml:space="preserve">YIELD(DATE(2024,1,1),DATE(2034,1,1),0.05,95,100,1,2)</t>
  </si>
  <si>
    <t xml:space="preserve">YIELD(DATE(2024,1,1),DATE(2034,1,1),0.1,101.5,100,1,2)</t>
  </si>
  <si>
    <t xml:space="preserve">YIELD(DATE(2024,1,1),DATE(2034,1,1),0.05,100,100,1,2)</t>
  </si>
  <si>
    <t xml:space="preserve">DURATION(DATE(2024,1,1),DATE(2034,1,1),0.05,0.08,1,2)</t>
  </si>
  <si>
    <t xml:space="preserve">DURATION(DATE(2024,1,1),DATE(2034,1,1),0.1,0.03,1,2)</t>
  </si>
  <si>
    <t xml:space="preserve">DURATION(DATE(2024,1,1),DATE(2034,1,1),0,0.05,1,2)</t>
  </si>
  <si>
    <t xml:space="preserve">MDURATION(DATE(2024,1,1),DATE(2034,1,1),0.05,0.08,1,2)</t>
  </si>
  <si>
    <t xml:space="preserve">MDURATION(DATE(2024,1,1),DATE(2034,1,1),0.1,0.03,1,2)</t>
  </si>
  <si>
    <t xml:space="preserve">PRICE(DATE(2024,1,1),DATE(2034,1,1),0.05,0.08,100,1,3)</t>
  </si>
  <si>
    <t xml:space="preserve">PRICE(DATE(2024,1,1),DATE(2034,1,1),0.1,0.03,105,1,3)</t>
  </si>
  <si>
    <t xml:space="preserve">PRICE(DATE(2024,1,1),DATE(2034,1,1),0,0.05,100,1,3)</t>
  </si>
  <si>
    <t xml:space="preserve">YIELD(DATE(2024,1,1),DATE(2034,1,1),0.05,95,100,1,3)</t>
  </si>
  <si>
    <t xml:space="preserve">YIELD(DATE(2024,1,1),DATE(2034,1,1),0.1,101.5,100,1,3)</t>
  </si>
  <si>
    <t xml:space="preserve">YIELD(DATE(2024,1,1),DATE(2034,1,1),0.05,100,100,1,3)</t>
  </si>
  <si>
    <t xml:space="preserve">DURATION(DATE(2024,1,1),DATE(2034,1,1),0.05,0.08,1,3)</t>
  </si>
  <si>
    <t xml:space="preserve">DURATION(DATE(2024,1,1),DATE(2034,1,1),0.1,0.03,1,3)</t>
  </si>
  <si>
    <t xml:space="preserve">DURATION(DATE(2024,1,1),DATE(2034,1,1),0,0.05,1,3)</t>
  </si>
  <si>
    <t xml:space="preserve">MDURATION(DATE(2024,1,1),DATE(2034,1,1),0.05,0.08,1,3)</t>
  </si>
  <si>
    <t xml:space="preserve">MDURATION(DATE(2024,1,1),DATE(2034,1,1),0.1,0.03,1,3)</t>
  </si>
  <si>
    <t xml:space="preserve">PRICE(DATE(2024,1,1),DATE(2034,1,1),0.05,0.08,100,1,4)</t>
  </si>
  <si>
    <t xml:space="preserve">PRICE(DATE(2024,1,1),DATE(2034,1,1),0.1,0.03,105,1,4)</t>
  </si>
  <si>
    <t xml:space="preserve">PRICE(DATE(2024,1,1),DATE(2034,1,1),0,0.05,100,1,4)</t>
  </si>
  <si>
    <t xml:space="preserve">YIELD(DATE(2024,1,1),DATE(2034,1,1),0.05,95,100,1,4)</t>
  </si>
  <si>
    <t xml:space="preserve">YIELD(DATE(2024,1,1),DATE(2034,1,1),0.1,101.5,100,1,4)</t>
  </si>
  <si>
    <t xml:space="preserve">YIELD(DATE(2024,1,1),DATE(2034,1,1),0.05,100,100,1,4)</t>
  </si>
  <si>
    <t xml:space="preserve">DURATION(DATE(2024,1,1),DATE(2034,1,1),0.05,0.08,1,4)</t>
  </si>
  <si>
    <t xml:space="preserve">DURATION(DATE(2024,1,1),DATE(2034,1,1),0.1,0.03,1,4)</t>
  </si>
  <si>
    <t xml:space="preserve">DURATION(DATE(2024,1,1),DATE(2034,1,1),0,0.05,1,4)</t>
  </si>
  <si>
    <t xml:space="preserve">MDURATION(DATE(2024,1,1),DATE(2034,1,1),0.05,0.08,1,4)</t>
  </si>
  <si>
    <t xml:space="preserve">MDURATION(DATE(2024,1,1),DATE(2034,1,1),0.1,0.03,1,4)</t>
  </si>
  <si>
    <t xml:space="preserve">PRICE(DATE(2024,1,1),DATE(2034,1,1),0.05,0.08,100,2,0)</t>
  </si>
  <si>
    <t xml:space="preserve">PRICE(DATE(2024,1,1),DATE(2034,1,1),0.1,0.03,105,2,0)</t>
  </si>
  <si>
    <t xml:space="preserve">PRICE(DATE(2024,1,1),DATE(2034,1,1),0,0.05,100,2,0)</t>
  </si>
  <si>
    <t xml:space="preserve">YIELD(DATE(2024,1,1),DATE(2034,1,1),0.05,95,100,2,0)</t>
  </si>
  <si>
    <t xml:space="preserve">YIELD(DATE(2024,1,1),DATE(2034,1,1),0.1,101.5,100,2,0)</t>
  </si>
  <si>
    <t xml:space="preserve">YIELD(DATE(2024,1,1),DATE(2034,1,1),0.05,100,100,2,0)</t>
  </si>
  <si>
    <t xml:space="preserve">DURATION(DATE(2024,1,1),DATE(2034,1,1),0.05,0.08,2,0)</t>
  </si>
  <si>
    <t xml:space="preserve">DURATION(DATE(2024,1,1),DATE(2034,1,1),0.1,0.03,2,0)</t>
  </si>
  <si>
    <t xml:space="preserve">DURATION(DATE(2024,1,1),DATE(2034,1,1),0,0.05,2,0)</t>
  </si>
  <si>
    <t xml:space="preserve">MDURATION(DATE(2024,1,1),DATE(2034,1,1),0.05,0.08,2,0)</t>
  </si>
  <si>
    <t xml:space="preserve">MDURATION(DATE(2024,1,1),DATE(2034,1,1),0.1,0.03,2,0)</t>
  </si>
  <si>
    <t xml:space="preserve">PRICE(DATE(2024,1,1),DATE(2034,1,1),0.05,0.08,100,2,1)</t>
  </si>
  <si>
    <t xml:space="preserve">PRICE(DATE(2024,1,1),DATE(2034,1,1),0.1,0.03,105,2,1)</t>
  </si>
  <si>
    <t xml:space="preserve">PRICE(DATE(2024,1,1),DATE(2034,1,1),0,0.05,100,2,1)</t>
  </si>
  <si>
    <t xml:space="preserve">YIELD(DATE(2024,1,1),DATE(2034,1,1),0.05,95,100,2,1)</t>
  </si>
  <si>
    <t xml:space="preserve">YIELD(DATE(2024,1,1),DATE(2034,1,1),0.1,101.5,100,2,1)</t>
  </si>
  <si>
    <t xml:space="preserve">YIELD(DATE(2024,1,1),DATE(2034,1,1),0.05,100,100,2,1)</t>
  </si>
  <si>
    <t xml:space="preserve">DURATION(DATE(2024,1,1),DATE(2034,1,1),0.05,0.08,2,1)</t>
  </si>
  <si>
    <t xml:space="preserve">DURATION(DATE(2024,1,1),DATE(2034,1,1),0.1,0.03,2,1)</t>
  </si>
  <si>
    <t xml:space="preserve">DURATION(DATE(2024,1,1),DATE(2034,1,1),0,0.05,2,1)</t>
  </si>
  <si>
    <t xml:space="preserve">MDURATION(DATE(2024,1,1),DATE(2034,1,1),0.05,0.08,2,1)</t>
  </si>
  <si>
    <t xml:space="preserve">MDURATION(DATE(2024,1,1),DATE(2034,1,1),0.1,0.03,2,1)</t>
  </si>
  <si>
    <t xml:space="preserve">PRICE(DATE(2024,1,1),DATE(2034,1,1),0.05,0.08,100,2,2)</t>
  </si>
  <si>
    <t xml:space="preserve">PRICE(DATE(2024,1,1),DATE(2034,1,1),0.1,0.03,105,2,2)</t>
  </si>
  <si>
    <t xml:space="preserve">PRICE(DATE(2024,1,1),DATE(2034,1,1),0,0.05,100,2,2)</t>
  </si>
  <si>
    <t xml:space="preserve">YIELD(DATE(2024,1,1),DATE(2034,1,1),0.05,95,100,2,2)</t>
  </si>
  <si>
    <t xml:space="preserve">YIELD(DATE(2024,1,1),DATE(2034,1,1),0.1,101.5,100,2,2)</t>
  </si>
  <si>
    <t xml:space="preserve">YIELD(DATE(2024,1,1),DATE(2034,1,1),0.05,100,100,2,2)</t>
  </si>
  <si>
    <t xml:space="preserve">DURATION(DATE(2024,1,1),DATE(2034,1,1),0.05,0.08,2,2)</t>
  </si>
  <si>
    <t xml:space="preserve">DURATION(DATE(2024,1,1),DATE(2034,1,1),0.1,0.03,2,2)</t>
  </si>
  <si>
    <t xml:space="preserve">DURATION(DATE(2024,1,1),DATE(2034,1,1),0,0.05,2,2)</t>
  </si>
  <si>
    <t xml:space="preserve">MDURATION(DATE(2024,1,1),DATE(2034,1,1),0.05,0.08,2,2)</t>
  </si>
  <si>
    <t xml:space="preserve">MDURATION(DATE(2024,1,1),DATE(2034,1,1),0.1,0.03,2,2)</t>
  </si>
  <si>
    <t xml:space="preserve">PRICE(DATE(2024,1,1),DATE(2034,1,1),0.05,0.08,100,2,3)</t>
  </si>
  <si>
    <t xml:space="preserve">PRICE(DATE(2024,1,1),DATE(2034,1,1),0.1,0.03,105,2,3)</t>
  </si>
  <si>
    <t xml:space="preserve">PRICE(DATE(2024,1,1),DATE(2034,1,1),0,0.05,100,2,3)</t>
  </si>
  <si>
    <t xml:space="preserve">YIELD(DATE(2024,1,1),DATE(2034,1,1),0.05,95,100,2,3)</t>
  </si>
  <si>
    <t xml:space="preserve">YIELD(DATE(2024,1,1),DATE(2034,1,1),0.1,101.5,100,2,3)</t>
  </si>
  <si>
    <t xml:space="preserve">YIELD(DATE(2024,1,1),DATE(2034,1,1),0.05,100,100,2,3)</t>
  </si>
  <si>
    <t xml:space="preserve">DURATION(DATE(2024,1,1),DATE(2034,1,1),0.05,0.08,2,3)</t>
  </si>
  <si>
    <t xml:space="preserve">DURATION(DATE(2024,1,1),DATE(2034,1,1),0.1,0.03,2,3)</t>
  </si>
  <si>
    <t xml:space="preserve">DURATION(DATE(2024,1,1),DATE(2034,1,1),0,0.05,2,3)</t>
  </si>
  <si>
    <t xml:space="preserve">MDURATION(DATE(2024,1,1),DATE(2034,1,1),0.05,0.08,2,3)</t>
  </si>
  <si>
    <t xml:space="preserve">MDURATION(DATE(2024,1,1),DATE(2034,1,1),0.1,0.03,2,3)</t>
  </si>
  <si>
    <t xml:space="preserve">PRICE(DATE(2024,1,1),DATE(2034,1,1),0.05,0.08,100,2,4)</t>
  </si>
  <si>
    <t xml:space="preserve">PRICE(DATE(2024,1,1),DATE(2034,1,1),0.1,0.03,105,2,4)</t>
  </si>
  <si>
    <t xml:space="preserve">PRICE(DATE(2024,1,1),DATE(2034,1,1),0,0.05,100,2,4)</t>
  </si>
  <si>
    <t xml:space="preserve">YIELD(DATE(2024,1,1),DATE(2034,1,1),0.05,95,100,2,4)</t>
  </si>
  <si>
    <t xml:space="preserve">YIELD(DATE(2024,1,1),DATE(2034,1,1),0.1,101.5,100,2,4)</t>
  </si>
  <si>
    <t xml:space="preserve">YIELD(DATE(2024,1,1),DATE(2034,1,1),0.05,100,100,2,4)</t>
  </si>
  <si>
    <t xml:space="preserve">DURATION(DATE(2024,1,1),DATE(2034,1,1),0.05,0.08,2,4)</t>
  </si>
  <si>
    <t xml:space="preserve">DURATION(DATE(2024,1,1),DATE(2034,1,1),0.1,0.03,2,4)</t>
  </si>
  <si>
    <t xml:space="preserve">DURATION(DATE(2024,1,1),DATE(2034,1,1),0,0.05,2,4)</t>
  </si>
  <si>
    <t xml:space="preserve">MDURATION(DATE(2024,1,1),DATE(2034,1,1),0.05,0.08,2,4)</t>
  </si>
  <si>
    <t xml:space="preserve">MDURATION(DATE(2024,1,1),DATE(2034,1,1),0.1,0.03,2,4)</t>
  </si>
  <si>
    <t xml:space="preserve">PRICE(DATE(2024,1,1),DATE(2034,1,1),0.05,0.08,100,4,0)</t>
  </si>
  <si>
    <t xml:space="preserve">PRICE(DATE(2024,1,1),DATE(2034,1,1),0.1,0.03,105,4,0)</t>
  </si>
  <si>
    <t xml:space="preserve">PRICE(DATE(2024,1,1),DATE(2034,1,1),0,0.05,100,4,0)</t>
  </si>
  <si>
    <t xml:space="preserve">YIELD(DATE(2024,1,1),DATE(2034,1,1),0.05,95,100,4,0)</t>
  </si>
  <si>
    <t xml:space="preserve">YIELD(DATE(2024,1,1),DATE(2034,1,1),0.1,101.5,100,4,0)</t>
  </si>
  <si>
    <t xml:space="preserve">YIELD(DATE(2024,1,1),DATE(2034,1,1),0.05,100,100,4,0)</t>
  </si>
  <si>
    <t xml:space="preserve">DURATION(DATE(2024,1,1),DATE(2034,1,1),0.05,0.08,4,0)</t>
  </si>
  <si>
    <t xml:space="preserve">DURATION(DATE(2024,1,1),DATE(2034,1,1),0.1,0.03,4,0)</t>
  </si>
  <si>
    <t xml:space="preserve">DURATION(DATE(2024,1,1),DATE(2034,1,1),0,0.05,4,0)</t>
  </si>
  <si>
    <t xml:space="preserve">MDURATION(DATE(2024,1,1),DATE(2034,1,1),0.05,0.08,4,0)</t>
  </si>
  <si>
    <t xml:space="preserve">MDURATION(DATE(2024,1,1),DATE(2034,1,1),0.1,0.03,4,0)</t>
  </si>
  <si>
    <t xml:space="preserve">PRICE(DATE(2024,1,1),DATE(2034,1,1),0.05,0.08,100,4,1)</t>
  </si>
  <si>
    <t xml:space="preserve">PRICE(DATE(2024,1,1),DATE(2034,1,1),0.1,0.03,105,4,1)</t>
  </si>
  <si>
    <t xml:space="preserve">PRICE(DATE(2024,1,1),DATE(2034,1,1),0,0.05,100,4,1)</t>
  </si>
  <si>
    <t xml:space="preserve">YIELD(DATE(2024,1,1),DATE(2034,1,1),0.05,95,100,4,1)</t>
  </si>
  <si>
    <t xml:space="preserve">YIELD(DATE(2024,1,1),DATE(2034,1,1),0.1,101.5,100,4,1)</t>
  </si>
  <si>
    <t xml:space="preserve">YIELD(DATE(2024,1,1),DATE(2034,1,1),0.05,100,100,4,1)</t>
  </si>
  <si>
    <t xml:space="preserve">DURATION(DATE(2024,1,1),DATE(2034,1,1),0.05,0.08,4,1)</t>
  </si>
  <si>
    <t xml:space="preserve">DURATION(DATE(2024,1,1),DATE(2034,1,1),0.1,0.03,4,1)</t>
  </si>
  <si>
    <t xml:space="preserve">DURATION(DATE(2024,1,1),DATE(2034,1,1),0,0.05,4,1)</t>
  </si>
  <si>
    <t xml:space="preserve">MDURATION(DATE(2024,1,1),DATE(2034,1,1),0.05,0.08,4,1)</t>
  </si>
  <si>
    <t xml:space="preserve">MDURATION(DATE(2024,1,1),DATE(2034,1,1),0.1,0.03,4,1)</t>
  </si>
  <si>
    <t xml:space="preserve">PRICE(DATE(2024,1,1),DATE(2034,1,1),0.05,0.08,100,4,2)</t>
  </si>
  <si>
    <t xml:space="preserve">PRICE(DATE(2024,1,1),DATE(2034,1,1),0.1,0.03,105,4,2)</t>
  </si>
  <si>
    <t xml:space="preserve">PRICE(DATE(2024,1,1),DATE(2034,1,1),0,0.05,100,4,2)</t>
  </si>
  <si>
    <t xml:space="preserve">YIELD(DATE(2024,1,1),DATE(2034,1,1),0.05,95,100,4,2)</t>
  </si>
  <si>
    <t xml:space="preserve">YIELD(DATE(2024,1,1),DATE(2034,1,1),0.1,101.5,100,4,2)</t>
  </si>
  <si>
    <t xml:space="preserve">YIELD(DATE(2024,1,1),DATE(2034,1,1),0.05,100,100,4,2)</t>
  </si>
  <si>
    <t xml:space="preserve">DURATION(DATE(2024,1,1),DATE(2034,1,1),0.05,0.08,4,2)</t>
  </si>
  <si>
    <t xml:space="preserve">DURATION(DATE(2024,1,1),DATE(2034,1,1),0.1,0.03,4,2)</t>
  </si>
  <si>
    <t xml:space="preserve">DURATION(DATE(2024,1,1),DATE(2034,1,1),0,0.05,4,2)</t>
  </si>
  <si>
    <t xml:space="preserve">MDURATION(DATE(2024,1,1),DATE(2034,1,1),0.05,0.08,4,2)</t>
  </si>
  <si>
    <t xml:space="preserve">MDURATION(DATE(2024,1,1),DATE(2034,1,1),0.1,0.03,4,2)</t>
  </si>
  <si>
    <t xml:space="preserve">PRICE(DATE(2024,1,1),DATE(2034,1,1),0.05,0.08,100,4,3)</t>
  </si>
  <si>
    <t xml:space="preserve">PRICE(DATE(2024,1,1),DATE(2034,1,1),0.1,0.03,105,4,3)</t>
  </si>
  <si>
    <t xml:space="preserve">PRICE(DATE(2024,1,1),DATE(2034,1,1),0,0.05,100,4,3)</t>
  </si>
  <si>
    <t xml:space="preserve">YIELD(DATE(2024,1,1),DATE(2034,1,1),0.05,95,100,4,3)</t>
  </si>
  <si>
    <t xml:space="preserve">YIELD(DATE(2024,1,1),DATE(2034,1,1),0.1,101.5,100,4,3)</t>
  </si>
  <si>
    <t xml:space="preserve">YIELD(DATE(2024,1,1),DATE(2034,1,1),0.05,100,100,4,3)</t>
  </si>
  <si>
    <t xml:space="preserve">DURATION(DATE(2024,1,1),DATE(2034,1,1),0.05,0.08,4,3)</t>
  </si>
  <si>
    <t xml:space="preserve">DURATION(DATE(2024,1,1),DATE(2034,1,1),0.1,0.03,4,3)</t>
  </si>
  <si>
    <t xml:space="preserve">DURATION(DATE(2024,1,1),DATE(2034,1,1),0,0.05,4,3)</t>
  </si>
  <si>
    <t xml:space="preserve">MDURATION(DATE(2024,1,1),DATE(2034,1,1),0.05,0.08,4,3)</t>
  </si>
  <si>
    <t xml:space="preserve">MDURATION(DATE(2024,1,1),DATE(2034,1,1),0.1,0.03,4,3)</t>
  </si>
  <si>
    <t xml:space="preserve">PRICE(DATE(2024,1,1),DATE(2034,1,1),0.05,0.08,100,4,4)</t>
  </si>
  <si>
    <t xml:space="preserve">PRICE(DATE(2024,1,1),DATE(2034,1,1),0.1,0.03,105,4,4)</t>
  </si>
  <si>
    <t xml:space="preserve">PRICE(DATE(2024,1,1),DATE(2034,1,1),0,0.05,100,4,4)</t>
  </si>
  <si>
    <t xml:space="preserve">YIELD(DATE(2024,1,1),DATE(2034,1,1),0.05,95,100,4,4)</t>
  </si>
  <si>
    <t xml:space="preserve">YIELD(DATE(2024,1,1),DATE(2034,1,1),0.1,101.5,100,4,4)</t>
  </si>
  <si>
    <t xml:space="preserve">YIELD(DATE(2024,1,1),DATE(2034,1,1),0.05,100,100,4,4)</t>
  </si>
  <si>
    <t xml:space="preserve">DURATION(DATE(2024,1,1),DATE(2034,1,1),0.05,0.08,4,4)</t>
  </si>
  <si>
    <t xml:space="preserve">DURATION(DATE(2024,1,1),DATE(2034,1,1),0.1,0.03,4,4)</t>
  </si>
  <si>
    <t xml:space="preserve">DURATION(DATE(2024,1,1),DATE(2034,1,1),0,0.05,4,4)</t>
  </si>
  <si>
    <t xml:space="preserve">MDURATION(DATE(2024,1,1),DATE(2034,1,1),0.05,0.08,4,4)</t>
  </si>
  <si>
    <t xml:space="preserve">MDURATION(DATE(2024,1,1),DATE(2034,1,1),0.1,0.03,4,4)</t>
  </si>
  <si>
    <t xml:space="preserve">DISC(DATE(2024,1,15),DATE(2029,6,30),95,100,0)</t>
  </si>
  <si>
    <t xml:space="preserve">DISC(DATE(2024,1,15),DATE(2029,6,30),100,100,0)</t>
  </si>
  <si>
    <t xml:space="preserve">DISC(DATE(2024,1,15),DATE(2029,6,30),99.5,100.5,0)</t>
  </si>
  <si>
    <t xml:space="preserve">PRICEDISC(DATE(2024,1,15),DATE(2029,6,30),0.05,100,0)</t>
  </si>
  <si>
    <t xml:space="preserve">PRICEDISC(DATE(2024,1,15),DATE(2029,6,30),0.1,105,0)</t>
  </si>
  <si>
    <t xml:space="preserve">YIELDDISC(DATE(2024,1,15),DATE(2029,6,30),95,100,0)</t>
  </si>
  <si>
    <t xml:space="preserve">YIELDDISC(DATE(2024,1,15),DATE(2029,6,30),99.5,100.5,0)</t>
  </si>
  <si>
    <t xml:space="preserve">RECEIVED(DATE(2024,1,15),DATE(2029,6,30),1000,0.05,0)</t>
  </si>
  <si>
    <t xml:space="preserve">RECEIVED(DATE(2024,1,15),DATE(2029,6,30),5000,0.12,0)</t>
  </si>
  <si>
    <t xml:space="preserve">INTRATE(DATE(2024,1,15),DATE(2029,6,30),1000,1050,0)</t>
  </si>
  <si>
    <t xml:space="preserve">INTRATE(DATE(2024,1,15),DATE(2029,6,30),950,1000,0)</t>
  </si>
  <si>
    <t xml:space="preserve">PRICEMAT(DATE(2024,1,15),DATE(2029,6,30),DATE(2023,10,1),0.05,0.06,0)</t>
  </si>
  <si>
    <t xml:space="preserve">PRICEMAT(DATE(2024,1,15),DATE(2029,6,30),DATE(2024,1,1),0.1,0.03,0)</t>
  </si>
  <si>
    <t xml:space="preserve">YIELDMAT(DATE(2024,1,15),DATE(2029,6,30),DATE(2023,10,1),0.05,98,0)</t>
  </si>
  <si>
    <t xml:space="preserve">YIELDMAT(DATE(2024,1,15),DATE(2029,6,30),DATE(2024,1,1),0.1,101,0)</t>
  </si>
  <si>
    <t xml:space="preserve">ACCRINTM(DATE(2023,10,1),DATE(2029,6,30),0.05,1000,0)</t>
  </si>
  <si>
    <t xml:space="preserve">ACCRINTM(DATE(2024,1,1),DATE(2024,1,15),0.08,5000,0)</t>
  </si>
  <si>
    <t xml:space="preserve">DISC(DATE(2024,1,15),DATE(2029,6,30),95,100,1)</t>
  </si>
  <si>
    <t xml:space="preserve">DISC(DATE(2024,1,15),DATE(2029,6,30),100,100,1)</t>
  </si>
  <si>
    <t xml:space="preserve">DISC(DATE(2024,1,15),DATE(2029,6,30),99.5,100.5,1)</t>
  </si>
  <si>
    <t xml:space="preserve">PRICEDISC(DATE(2024,1,15),DATE(2029,6,30),0.05,100,1)</t>
  </si>
  <si>
    <t xml:space="preserve">PRICEDISC(DATE(2024,1,15),DATE(2029,6,30),0.1,105,1)</t>
  </si>
  <si>
    <t xml:space="preserve">YIELDDISC(DATE(2024,1,15),DATE(2029,6,30),95,100,1)</t>
  </si>
  <si>
    <t xml:space="preserve">YIELDDISC(DATE(2024,1,15),DATE(2029,6,30),99.5,100.5,1)</t>
  </si>
  <si>
    <t xml:space="preserve">RECEIVED(DATE(2024,1,15),DATE(2029,6,30),1000,0.05,1)</t>
  </si>
  <si>
    <t xml:space="preserve">RECEIVED(DATE(2024,1,15),DATE(2029,6,30),5000,0.12,1)</t>
  </si>
  <si>
    <t xml:space="preserve">INTRATE(DATE(2024,1,15),DATE(2029,6,30),1000,1050,1)</t>
  </si>
  <si>
    <t xml:space="preserve">INTRATE(DATE(2024,1,15),DATE(2029,6,30),950,1000,1)</t>
  </si>
  <si>
    <t xml:space="preserve">PRICEMAT(DATE(2024,1,15),DATE(2029,6,30),DATE(2023,10,1),0.05,0.06,1)</t>
  </si>
  <si>
    <t xml:space="preserve">PRICEMAT(DATE(2024,1,15),DATE(2029,6,30),DATE(2024,1,1),0.1,0.03,1)</t>
  </si>
  <si>
    <t xml:space="preserve">YIELDMAT(DATE(2024,1,15),DATE(2029,6,30),DATE(2023,10,1),0.05,98,1)</t>
  </si>
  <si>
    <t xml:space="preserve">YIELDMAT(DATE(2024,1,15),DATE(2029,6,30),DATE(2024,1,1),0.1,101,1)</t>
  </si>
  <si>
    <t xml:space="preserve">ACCRINTM(DATE(2023,10,1),DATE(2029,6,30),0.05,1000,1)</t>
  </si>
  <si>
    <t xml:space="preserve">ACCRINTM(DATE(2024,1,1),DATE(2024,1,15),0.08,5000,1)</t>
  </si>
  <si>
    <t xml:space="preserve">DISC(DATE(2024,1,15),DATE(2029,6,30),95,100,2)</t>
  </si>
  <si>
    <t xml:space="preserve">DISC(DATE(2024,1,15),DATE(2029,6,30),100,100,2)</t>
  </si>
  <si>
    <t xml:space="preserve">DISC(DATE(2024,1,15),DATE(2029,6,30),99.5,100.5,2)</t>
  </si>
  <si>
    <t xml:space="preserve">PRICEDISC(DATE(2024,1,15),DATE(2029,6,30),0.05,100,2)</t>
  </si>
  <si>
    <t xml:space="preserve">PRICEDISC(DATE(2024,1,15),DATE(2029,6,30),0.1,105,2)</t>
  </si>
  <si>
    <t xml:space="preserve">YIELDDISC(DATE(2024,1,15),DATE(2029,6,30),95,100,2)</t>
  </si>
  <si>
    <t xml:space="preserve">YIELDDISC(DATE(2024,1,15),DATE(2029,6,30),99.5,100.5,2)</t>
  </si>
  <si>
    <t xml:space="preserve">RECEIVED(DATE(2024,1,15),DATE(2029,6,30),1000,0.05,2)</t>
  </si>
  <si>
    <t xml:space="preserve">RECEIVED(DATE(2024,1,15),DATE(2029,6,30),5000,0.12,2)</t>
  </si>
  <si>
    <t xml:space="preserve">INTRATE(DATE(2024,1,15),DATE(2029,6,30),1000,1050,2)</t>
  </si>
  <si>
    <t xml:space="preserve">INTRATE(DATE(2024,1,15),DATE(2029,6,30),950,1000,2)</t>
  </si>
  <si>
    <t xml:space="preserve">PRICEMAT(DATE(2024,1,15),DATE(2029,6,30),DATE(2023,10,1),0.05,0.06,2)</t>
  </si>
  <si>
    <t xml:space="preserve">PRICEMAT(DATE(2024,1,15),DATE(2029,6,30),DATE(2024,1,1),0.1,0.03,2)</t>
  </si>
  <si>
    <t xml:space="preserve">YIELDMAT(DATE(2024,1,15),DATE(2029,6,30),DATE(2023,10,1),0.05,98,2)</t>
  </si>
  <si>
    <t xml:space="preserve">YIELDMAT(DATE(2024,1,15),DATE(2029,6,30),DATE(2024,1,1),0.1,101,2)</t>
  </si>
  <si>
    <t xml:space="preserve">ACCRINTM(DATE(2023,10,1),DATE(2029,6,30),0.05,1000,2)</t>
  </si>
  <si>
    <t xml:space="preserve">ACCRINTM(DATE(2024,1,1),DATE(2024,1,15),0.08,5000,2)</t>
  </si>
  <si>
    <t xml:space="preserve">DISC(DATE(2024,1,15),DATE(2029,6,30),95,100,3)</t>
  </si>
  <si>
    <t xml:space="preserve">DISC(DATE(2024,1,15),DATE(2029,6,30),100,100,3)</t>
  </si>
  <si>
    <t xml:space="preserve">DISC(DATE(2024,1,15),DATE(2029,6,30),99.5,100.5,3)</t>
  </si>
  <si>
    <t xml:space="preserve">PRICEDISC(DATE(2024,1,15),DATE(2029,6,30),0.05,100,3)</t>
  </si>
  <si>
    <t xml:space="preserve">PRICEDISC(DATE(2024,1,15),DATE(2029,6,30),0.1,105,3)</t>
  </si>
  <si>
    <t xml:space="preserve">YIELDDISC(DATE(2024,1,15),DATE(2029,6,30),95,100,3)</t>
  </si>
  <si>
    <t xml:space="preserve">YIELDDISC(DATE(2024,1,15),DATE(2029,6,30),99.5,100.5,3)</t>
  </si>
  <si>
    <t xml:space="preserve">RECEIVED(DATE(2024,1,15),DATE(2029,6,30),1000,0.05,3)</t>
  </si>
  <si>
    <t xml:space="preserve">RECEIVED(DATE(2024,1,15),DATE(2029,6,30),5000,0.12,3)</t>
  </si>
  <si>
    <t xml:space="preserve">INTRATE(DATE(2024,1,15),DATE(2029,6,30),1000,1050,3)</t>
  </si>
  <si>
    <t xml:space="preserve">INTRATE(DATE(2024,1,15),DATE(2029,6,30),950,1000,3)</t>
  </si>
  <si>
    <t xml:space="preserve">PRICEMAT(DATE(2024,1,15),DATE(2029,6,30),DATE(2023,10,1),0.05,0.06,3)</t>
  </si>
  <si>
    <t xml:space="preserve">PRICEMAT(DATE(2024,1,15),DATE(2029,6,30),DATE(2024,1,1),0.1,0.03,3)</t>
  </si>
  <si>
    <t xml:space="preserve">YIELDMAT(DATE(2024,1,15),DATE(2029,6,30),DATE(2023,10,1),0.05,98,3)</t>
  </si>
  <si>
    <t xml:space="preserve">YIELDMAT(DATE(2024,1,15),DATE(2029,6,30),DATE(2024,1,1),0.1,101,3)</t>
  </si>
  <si>
    <t xml:space="preserve">ACCRINTM(DATE(2023,10,1),DATE(2029,6,30),0.05,1000,3)</t>
  </si>
  <si>
    <t xml:space="preserve">ACCRINTM(DATE(2024,1,1),DATE(2024,1,15),0.08,5000,3)</t>
  </si>
  <si>
    <t xml:space="preserve">DISC(DATE(2024,1,15),DATE(2029,6,30),95,100,4)</t>
  </si>
  <si>
    <t xml:space="preserve">DISC(DATE(2024,1,15),DATE(2029,6,30),100,100,4)</t>
  </si>
  <si>
    <t xml:space="preserve">DISC(DATE(2024,1,15),DATE(2029,6,30),99.5,100.5,4)</t>
  </si>
  <si>
    <t xml:space="preserve">PRICEDISC(DATE(2024,1,15),DATE(2029,6,30),0.05,100,4)</t>
  </si>
  <si>
    <t xml:space="preserve">PRICEDISC(DATE(2024,1,15),DATE(2029,6,30),0.1,105,4)</t>
  </si>
  <si>
    <t xml:space="preserve">YIELDDISC(DATE(2024,1,15),DATE(2029,6,30),95,100,4)</t>
  </si>
  <si>
    <t xml:space="preserve">YIELDDISC(DATE(2024,1,15),DATE(2029,6,30),99.5,100.5,4)</t>
  </si>
  <si>
    <t xml:space="preserve">RECEIVED(DATE(2024,1,15),DATE(2029,6,30),1000,0.05,4)</t>
  </si>
  <si>
    <t xml:space="preserve">RECEIVED(DATE(2024,1,15),DATE(2029,6,30),5000,0.12,4)</t>
  </si>
  <si>
    <t xml:space="preserve">INTRATE(DATE(2024,1,15),DATE(2029,6,30),1000,1050,4)</t>
  </si>
  <si>
    <t xml:space="preserve">INTRATE(DATE(2024,1,15),DATE(2029,6,30),950,1000,4)</t>
  </si>
  <si>
    <t xml:space="preserve">PRICEMAT(DATE(2024,1,15),DATE(2029,6,30),DATE(2023,10,1),0.05,0.06,4)</t>
  </si>
  <si>
    <t xml:space="preserve">PRICEMAT(DATE(2024,1,15),DATE(2029,6,30),DATE(2024,1,1),0.1,0.03,4)</t>
  </si>
  <si>
    <t xml:space="preserve">YIELDMAT(DATE(2024,1,15),DATE(2029,6,30),DATE(2023,10,1),0.05,98,4)</t>
  </si>
  <si>
    <t xml:space="preserve">YIELDMAT(DATE(2024,1,15),DATE(2029,6,30),DATE(2024,1,1),0.1,101,4)</t>
  </si>
  <si>
    <t xml:space="preserve">ACCRINTM(DATE(2023,10,1),DATE(2029,6,30),0.05,1000,4)</t>
  </si>
  <si>
    <t xml:space="preserve">ACCRINTM(DATE(2024,1,1),DATE(2024,1,15),0.08,5000,4)</t>
  </si>
  <si>
    <t xml:space="preserve">TBILLPRICE(DATE(2024,1,15),DATE(2029,6,30),0.05)</t>
  </si>
  <si>
    <t xml:space="preserve">TBILLYIELD(DATE(2024,1,15),DATE(2029,6,30),98)</t>
  </si>
  <si>
    <t xml:space="preserve">TBILLEQ(DATE(2024,1,15),DATE(2029,6,30),0.05)</t>
  </si>
  <si>
    <t xml:space="preserve">TBILLEQ(DATE(2024,1,15),DATE(2029,6,30),0.12)</t>
  </si>
  <si>
    <t xml:space="preserve">DISC(DATE(2024,3,31),DATE(2025,3,31),95,100,0)</t>
  </si>
  <si>
    <t xml:space="preserve">DISC(DATE(2024,3,31),DATE(2025,3,31),100,100,0)</t>
  </si>
  <si>
    <t xml:space="preserve">DISC(DATE(2024,3,31),DATE(2025,3,31),99.5,100.5,0)</t>
  </si>
  <si>
    <t xml:space="preserve">PRICEDISC(DATE(2024,3,31),DATE(2025,3,31),0.05,100,0)</t>
  </si>
  <si>
    <t xml:space="preserve">PRICEDISC(DATE(2024,3,31),DATE(2025,3,31),0.1,105,0)</t>
  </si>
  <si>
    <t xml:space="preserve">YIELDDISC(DATE(2024,3,31),DATE(2025,3,31),95,100,0)</t>
  </si>
  <si>
    <t xml:space="preserve">YIELDDISC(DATE(2024,3,31),DATE(2025,3,31),99.5,100.5,0)</t>
  </si>
  <si>
    <t xml:space="preserve">RECEIVED(DATE(2024,3,31),DATE(2025,3,31),1000,0.05,0)</t>
  </si>
  <si>
    <t xml:space="preserve">RECEIVED(DATE(2024,3,31),DATE(2025,3,31),5000,0.12,0)</t>
  </si>
  <si>
    <t xml:space="preserve">INTRATE(DATE(2024,3,31),DATE(2025,3,31),1000,1050,0)</t>
  </si>
  <si>
    <t xml:space="preserve">INTRATE(DATE(2024,3,31),DATE(2025,3,31),950,1000,0)</t>
  </si>
  <si>
    <t xml:space="preserve">PRICEMAT(DATE(2024,3,31),DATE(2025,3,31),DATE(2023,10,1),0.05,0.06,0)</t>
  </si>
  <si>
    <t xml:space="preserve">PRICEMAT(DATE(2024,3,31),DATE(2025,3,31),DATE(2024,1,1),0.1,0.03,0)</t>
  </si>
  <si>
    <t xml:space="preserve">YIELDMAT(DATE(2024,3,31),DATE(2025,3,31),DATE(2023,10,1),0.05,98,0)</t>
  </si>
  <si>
    <t xml:space="preserve">YIELDMAT(DATE(2024,3,31),DATE(2025,3,31),DATE(2024,1,1),0.1,101,0)</t>
  </si>
  <si>
    <t xml:space="preserve">ACCRINTM(DATE(2023,10,1),DATE(2025,3,31),0.05,1000,0)</t>
  </si>
  <si>
    <t xml:space="preserve">ACCRINTM(DATE(2024,1,1),DATE(2024,3,31),0.08,5000,0)</t>
  </si>
  <si>
    <t xml:space="preserve">DISC(DATE(2024,3,31),DATE(2025,3,31),95,100,1)</t>
  </si>
  <si>
    <t xml:space="preserve">DISC(DATE(2024,3,31),DATE(2025,3,31),100,100,1)</t>
  </si>
  <si>
    <t xml:space="preserve">DISC(DATE(2024,3,31),DATE(2025,3,31),99.5,100.5,1)</t>
  </si>
  <si>
    <t xml:space="preserve">PRICEDISC(DATE(2024,3,31),DATE(2025,3,31),0.05,100,1)</t>
  </si>
  <si>
    <t xml:space="preserve">PRICEDISC(DATE(2024,3,31),DATE(2025,3,31),0.1,105,1)</t>
  </si>
  <si>
    <t xml:space="preserve">YIELDDISC(DATE(2024,3,31),DATE(2025,3,31),95,100,1)</t>
  </si>
  <si>
    <t xml:space="preserve">YIELDDISC(DATE(2024,3,31),DATE(2025,3,31),99.5,100.5,1)</t>
  </si>
  <si>
    <t xml:space="preserve">RECEIVED(DATE(2024,3,31),DATE(2025,3,31),1000,0.05,1)</t>
  </si>
  <si>
    <t xml:space="preserve">RECEIVED(DATE(2024,3,31),DATE(2025,3,31),5000,0.12,1)</t>
  </si>
  <si>
    <t xml:space="preserve">INTRATE(DATE(2024,3,31),DATE(2025,3,31),1000,1050,1)</t>
  </si>
  <si>
    <t xml:space="preserve">INTRATE(DATE(2024,3,31),DATE(2025,3,31),950,1000,1)</t>
  </si>
  <si>
    <t xml:space="preserve">PRICEMAT(DATE(2024,3,31),DATE(2025,3,31),DATE(2023,10,1),0.05,0.06,1)</t>
  </si>
  <si>
    <t xml:space="preserve">PRICEMAT(DATE(2024,3,31),DATE(2025,3,31),DATE(2024,1,1),0.1,0.03,1)</t>
  </si>
  <si>
    <t xml:space="preserve">YIELDMAT(DATE(2024,3,31),DATE(2025,3,31),DATE(2023,10,1),0.05,98,1)</t>
  </si>
  <si>
    <t xml:space="preserve">YIELDMAT(DATE(2024,3,31),DATE(2025,3,31),DATE(2024,1,1),0.1,101,1)</t>
  </si>
  <si>
    <t xml:space="preserve">ACCRINTM(DATE(2023,10,1),DATE(2025,3,31),0.05,1000,1)</t>
  </si>
  <si>
    <t xml:space="preserve">ACCRINTM(DATE(2024,1,1),DATE(2024,3,31),0.08,5000,1)</t>
  </si>
  <si>
    <t xml:space="preserve">DISC(DATE(2024,3,31),DATE(2025,3,31),95,100,2)</t>
  </si>
  <si>
    <t xml:space="preserve">DISC(DATE(2024,3,31),DATE(2025,3,31),100,100,2)</t>
  </si>
  <si>
    <t xml:space="preserve">DISC(DATE(2024,3,31),DATE(2025,3,31),99.5,100.5,2)</t>
  </si>
  <si>
    <t xml:space="preserve">PRICEDISC(DATE(2024,3,31),DATE(2025,3,31),0.05,100,2)</t>
  </si>
  <si>
    <t xml:space="preserve">PRICEDISC(DATE(2024,3,31),DATE(2025,3,31),0.1,105,2)</t>
  </si>
  <si>
    <t xml:space="preserve">YIELDDISC(DATE(2024,3,31),DATE(2025,3,31),95,100,2)</t>
  </si>
  <si>
    <t xml:space="preserve">YIELDDISC(DATE(2024,3,31),DATE(2025,3,31),99.5,100.5,2)</t>
  </si>
  <si>
    <t xml:space="preserve">RECEIVED(DATE(2024,3,31),DATE(2025,3,31),1000,0.05,2)</t>
  </si>
  <si>
    <t xml:space="preserve">RECEIVED(DATE(2024,3,31),DATE(2025,3,31),5000,0.12,2)</t>
  </si>
  <si>
    <t xml:space="preserve">INTRATE(DATE(2024,3,31),DATE(2025,3,31),1000,1050,2)</t>
  </si>
  <si>
    <t xml:space="preserve">INTRATE(DATE(2024,3,31),DATE(2025,3,31),950,1000,2)</t>
  </si>
  <si>
    <t xml:space="preserve">PRICEMAT(DATE(2024,3,31),DATE(2025,3,31),DATE(2023,10,1),0.05,0.06,2)</t>
  </si>
  <si>
    <t xml:space="preserve">PRICEMAT(DATE(2024,3,31),DATE(2025,3,31),DATE(2024,1,1),0.1,0.03,2)</t>
  </si>
  <si>
    <t xml:space="preserve">YIELDMAT(DATE(2024,3,31),DATE(2025,3,31),DATE(2023,10,1),0.05,98,2)</t>
  </si>
  <si>
    <t xml:space="preserve">YIELDMAT(DATE(2024,3,31),DATE(2025,3,31),DATE(2024,1,1),0.1,101,2)</t>
  </si>
  <si>
    <t xml:space="preserve">ACCRINTM(DATE(2023,10,1),DATE(2025,3,31),0.05,1000,2)</t>
  </si>
  <si>
    <t xml:space="preserve">ACCRINTM(DATE(2024,1,1),DATE(2024,3,31),0.08,5000,2)</t>
  </si>
  <si>
    <t xml:space="preserve">DISC(DATE(2024,3,31),DATE(2025,3,31),95,100,3)</t>
  </si>
  <si>
    <t xml:space="preserve">DISC(DATE(2024,3,31),DATE(2025,3,31),100,100,3)</t>
  </si>
  <si>
    <t xml:space="preserve">DISC(DATE(2024,3,31),DATE(2025,3,31),99.5,100.5,3)</t>
  </si>
  <si>
    <t xml:space="preserve">PRICEDISC(DATE(2024,3,31),DATE(2025,3,31),0.05,100,3)</t>
  </si>
  <si>
    <t xml:space="preserve">PRICEDISC(DATE(2024,3,31),DATE(2025,3,31),0.1,105,3)</t>
  </si>
  <si>
    <t xml:space="preserve">YIELDDISC(DATE(2024,3,31),DATE(2025,3,31),95,100,3)</t>
  </si>
  <si>
    <t xml:space="preserve">YIELDDISC(DATE(2024,3,31),DATE(2025,3,31),99.5,100.5,3)</t>
  </si>
  <si>
    <t xml:space="preserve">RECEIVED(DATE(2024,3,31),DATE(2025,3,31),1000,0.05,3)</t>
  </si>
  <si>
    <t xml:space="preserve">RECEIVED(DATE(2024,3,31),DATE(2025,3,31),5000,0.12,3)</t>
  </si>
  <si>
    <t xml:space="preserve">INTRATE(DATE(2024,3,31),DATE(2025,3,31),1000,1050,3)</t>
  </si>
  <si>
    <t xml:space="preserve">INTRATE(DATE(2024,3,31),DATE(2025,3,31),950,1000,3)</t>
  </si>
  <si>
    <t xml:space="preserve">PRICEMAT(DATE(2024,3,31),DATE(2025,3,31),DATE(2023,10,1),0.05,0.06,3)</t>
  </si>
  <si>
    <t xml:space="preserve">PRICEMAT(DATE(2024,3,31),DATE(2025,3,31),DATE(2024,1,1),0.1,0.03,3)</t>
  </si>
  <si>
    <t xml:space="preserve">YIELDMAT(DATE(2024,3,31),DATE(2025,3,31),DATE(2023,10,1),0.05,98,3)</t>
  </si>
  <si>
    <t xml:space="preserve">YIELDMAT(DATE(2024,3,31),DATE(2025,3,31),DATE(2024,1,1),0.1,101,3)</t>
  </si>
  <si>
    <t xml:space="preserve">ACCRINTM(DATE(2023,10,1),DATE(2025,3,31),0.05,1000,3)</t>
  </si>
  <si>
    <t xml:space="preserve">ACCRINTM(DATE(2024,1,1),DATE(2024,3,31),0.08,5000,3)</t>
  </si>
  <si>
    <t xml:space="preserve">DISC(DATE(2024,3,31),DATE(2025,3,31),95,100,4)</t>
  </si>
  <si>
    <t xml:space="preserve">DISC(DATE(2024,3,31),DATE(2025,3,31),100,100,4)</t>
  </si>
  <si>
    <t xml:space="preserve">DISC(DATE(2024,3,31),DATE(2025,3,31),99.5,100.5,4)</t>
  </si>
  <si>
    <t xml:space="preserve">PRICEDISC(DATE(2024,3,31),DATE(2025,3,31),0.05,100,4)</t>
  </si>
  <si>
    <t xml:space="preserve">PRICEDISC(DATE(2024,3,31),DATE(2025,3,31),0.1,105,4)</t>
  </si>
  <si>
    <t xml:space="preserve">YIELDDISC(DATE(2024,3,31),DATE(2025,3,31),95,100,4)</t>
  </si>
  <si>
    <t xml:space="preserve">YIELDDISC(DATE(2024,3,31),DATE(2025,3,31),99.5,100.5,4)</t>
  </si>
  <si>
    <t xml:space="preserve">RECEIVED(DATE(2024,3,31),DATE(2025,3,31),1000,0.05,4)</t>
  </si>
  <si>
    <t xml:space="preserve">RECEIVED(DATE(2024,3,31),DATE(2025,3,31),5000,0.12,4)</t>
  </si>
  <si>
    <t xml:space="preserve">INTRATE(DATE(2024,3,31),DATE(2025,3,31),1000,1050,4)</t>
  </si>
  <si>
    <t xml:space="preserve">INTRATE(DATE(2024,3,31),DATE(2025,3,31),950,1000,4)</t>
  </si>
  <si>
    <t xml:space="preserve">PRICEMAT(DATE(2024,3,31),DATE(2025,3,31),DATE(2023,10,1),0.05,0.06,4)</t>
  </si>
  <si>
    <t xml:space="preserve">PRICEMAT(DATE(2024,3,31),DATE(2025,3,31),DATE(2024,1,1),0.1,0.03,4)</t>
  </si>
  <si>
    <t xml:space="preserve">YIELDMAT(DATE(2024,3,31),DATE(2025,3,31),DATE(2023,10,1),0.05,98,4)</t>
  </si>
  <si>
    <t xml:space="preserve">YIELDMAT(DATE(2024,3,31),DATE(2025,3,31),DATE(2024,1,1),0.1,101,4)</t>
  </si>
  <si>
    <t xml:space="preserve">ACCRINTM(DATE(2023,10,1),DATE(2025,3,31),0.05,1000,4)</t>
  </si>
  <si>
    <t xml:space="preserve">ACCRINTM(DATE(2024,1,1),DATE(2024,3,31),0.08,5000,4)</t>
  </si>
  <si>
    <t xml:space="preserve">TBILLPRICE(DATE(2024,3,31),DATE(2025,3,31),0.05)</t>
  </si>
  <si>
    <t xml:space="preserve">TBILLYIELD(DATE(2024,3,31),DATE(2025,3,31),98)</t>
  </si>
  <si>
    <t xml:space="preserve">TBILLEQ(DATE(2024,3,31),DATE(2025,3,31),0.05)</t>
  </si>
  <si>
    <t xml:space="preserve">TBILLEQ(DATE(2024,3,31),DATE(2025,3,31),0.12)</t>
  </si>
  <si>
    <t xml:space="preserve">DISC(DATE(2024,2,29),DATE(2026,8,31),95,100,0)</t>
  </si>
  <si>
    <t xml:space="preserve">DISC(DATE(2024,2,29),DATE(2026,8,31),100,100,0)</t>
  </si>
  <si>
    <t xml:space="preserve">DISC(DATE(2024,2,29),DATE(2026,8,31),99.5,100.5,0)</t>
  </si>
  <si>
    <t xml:space="preserve">PRICEDISC(DATE(2024,2,29),DATE(2026,8,31),0.05,100,0)</t>
  </si>
  <si>
    <t xml:space="preserve">PRICEDISC(DATE(2024,2,29),DATE(2026,8,31),0.1,105,0)</t>
  </si>
  <si>
    <t xml:space="preserve">YIELDDISC(DATE(2024,2,29),DATE(2026,8,31),95,100,0)</t>
  </si>
  <si>
    <t xml:space="preserve">YIELDDISC(DATE(2024,2,29),DATE(2026,8,31),99.5,100.5,0)</t>
  </si>
  <si>
    <t xml:space="preserve">RECEIVED(DATE(2024,2,29),DATE(2026,8,31),1000,0.05,0)</t>
  </si>
  <si>
    <t xml:space="preserve">RECEIVED(DATE(2024,2,29),DATE(2026,8,31),5000,0.12,0)</t>
  </si>
  <si>
    <t xml:space="preserve">INTRATE(DATE(2024,2,29),DATE(2026,8,31),1000,1050,0)</t>
  </si>
  <si>
    <t xml:space="preserve">INTRATE(DATE(2024,2,29),DATE(2026,8,31),950,1000,0)</t>
  </si>
  <si>
    <t xml:space="preserve">PRICEMAT(DATE(2024,2,29),DATE(2026,8,31),DATE(2023,10,1),0.05,0.06,0)</t>
  </si>
  <si>
    <t xml:space="preserve">PRICEMAT(DATE(2024,2,29),DATE(2026,8,31),DATE(2024,1,1),0.1,0.03,0)</t>
  </si>
  <si>
    <t xml:space="preserve">YIELDMAT(DATE(2024,2,29),DATE(2026,8,31),DATE(2023,10,1),0.05,98,0)</t>
  </si>
  <si>
    <t xml:space="preserve">YIELDMAT(DATE(2024,2,29),DATE(2026,8,31),DATE(2024,1,1),0.1,101,0)</t>
  </si>
  <si>
    <t xml:space="preserve">ACCRINTM(DATE(2023,10,1),DATE(2026,8,31),0.05,1000,0)</t>
  </si>
  <si>
    <t xml:space="preserve">ACCRINTM(DATE(2024,1,1),DATE(2024,2,29),0.08,5000,0)</t>
  </si>
  <si>
    <t xml:space="preserve">DISC(DATE(2024,2,29),DATE(2026,8,31),95,100,1)</t>
  </si>
  <si>
    <t xml:space="preserve">DISC(DATE(2024,2,29),DATE(2026,8,31),100,100,1)</t>
  </si>
  <si>
    <t xml:space="preserve">DISC(DATE(2024,2,29),DATE(2026,8,31),99.5,100.5,1)</t>
  </si>
  <si>
    <t xml:space="preserve">PRICEDISC(DATE(2024,2,29),DATE(2026,8,31),0.05,100,1)</t>
  </si>
  <si>
    <t xml:space="preserve">PRICEDISC(DATE(2024,2,29),DATE(2026,8,31),0.1,105,1)</t>
  </si>
  <si>
    <t xml:space="preserve">YIELDDISC(DATE(2024,2,29),DATE(2026,8,31),95,100,1)</t>
  </si>
  <si>
    <t xml:space="preserve">YIELDDISC(DATE(2024,2,29),DATE(2026,8,31),99.5,100.5,1)</t>
  </si>
  <si>
    <t xml:space="preserve">RECEIVED(DATE(2024,2,29),DATE(2026,8,31),1000,0.05,1)</t>
  </si>
  <si>
    <t xml:space="preserve">RECEIVED(DATE(2024,2,29),DATE(2026,8,31),5000,0.12,1)</t>
  </si>
  <si>
    <t xml:space="preserve">INTRATE(DATE(2024,2,29),DATE(2026,8,31),1000,1050,1)</t>
  </si>
  <si>
    <t xml:space="preserve">INTRATE(DATE(2024,2,29),DATE(2026,8,31),950,1000,1)</t>
  </si>
  <si>
    <t xml:space="preserve">PRICEMAT(DATE(2024,2,29),DATE(2026,8,31),DATE(2023,10,1),0.05,0.06,1)</t>
  </si>
  <si>
    <t xml:space="preserve">PRICEMAT(DATE(2024,2,29),DATE(2026,8,31),DATE(2024,1,1),0.1,0.03,1)</t>
  </si>
  <si>
    <t xml:space="preserve">YIELDMAT(DATE(2024,2,29),DATE(2026,8,31),DATE(2023,10,1),0.05,98,1)</t>
  </si>
  <si>
    <t xml:space="preserve">YIELDMAT(DATE(2024,2,29),DATE(2026,8,31),DATE(2024,1,1),0.1,101,1)</t>
  </si>
  <si>
    <t xml:space="preserve">ACCRINTM(DATE(2023,10,1),DATE(2026,8,31),0.05,1000,1)</t>
  </si>
  <si>
    <t xml:space="preserve">ACCRINTM(DATE(2024,1,1),DATE(2024,2,29),0.08,5000,1)</t>
  </si>
  <si>
    <t xml:space="preserve">DISC(DATE(2024,2,29),DATE(2026,8,31),95,100,2)</t>
  </si>
  <si>
    <t xml:space="preserve">DISC(DATE(2024,2,29),DATE(2026,8,31),100,100,2)</t>
  </si>
  <si>
    <t xml:space="preserve">DISC(DATE(2024,2,29),DATE(2026,8,31),99.5,100.5,2)</t>
  </si>
  <si>
    <t xml:space="preserve">PRICEDISC(DATE(2024,2,29),DATE(2026,8,31),0.05,100,2)</t>
  </si>
  <si>
    <t xml:space="preserve">PRICEDISC(DATE(2024,2,29),DATE(2026,8,31),0.1,105,2)</t>
  </si>
  <si>
    <t xml:space="preserve">YIELDDISC(DATE(2024,2,29),DATE(2026,8,31),95,100,2)</t>
  </si>
  <si>
    <t xml:space="preserve">YIELDDISC(DATE(2024,2,29),DATE(2026,8,31),99.5,100.5,2)</t>
  </si>
  <si>
    <t xml:space="preserve">RECEIVED(DATE(2024,2,29),DATE(2026,8,31),1000,0.05,2)</t>
  </si>
  <si>
    <t xml:space="preserve">RECEIVED(DATE(2024,2,29),DATE(2026,8,31),5000,0.12,2)</t>
  </si>
  <si>
    <t xml:space="preserve">INTRATE(DATE(2024,2,29),DATE(2026,8,31),1000,1050,2)</t>
  </si>
  <si>
    <t xml:space="preserve">INTRATE(DATE(2024,2,29),DATE(2026,8,31),950,1000,2)</t>
  </si>
  <si>
    <t xml:space="preserve">PRICEMAT(DATE(2024,2,29),DATE(2026,8,31),DATE(2023,10,1),0.05,0.06,2)</t>
  </si>
  <si>
    <t xml:space="preserve">PRICEMAT(DATE(2024,2,29),DATE(2026,8,31),DATE(2024,1,1),0.1,0.03,2)</t>
  </si>
  <si>
    <t xml:space="preserve">YIELDMAT(DATE(2024,2,29),DATE(2026,8,31),DATE(2023,10,1),0.05,98,2)</t>
  </si>
  <si>
    <t xml:space="preserve">YIELDMAT(DATE(2024,2,29),DATE(2026,8,31),DATE(2024,1,1),0.1,101,2)</t>
  </si>
  <si>
    <t xml:space="preserve">ACCRINTM(DATE(2023,10,1),DATE(2026,8,31),0.05,1000,2)</t>
  </si>
  <si>
    <t xml:space="preserve">ACCRINTM(DATE(2024,1,1),DATE(2024,2,29),0.08,5000,2)</t>
  </si>
  <si>
    <t xml:space="preserve">DISC(DATE(2024,2,29),DATE(2026,8,31),95,100,3)</t>
  </si>
  <si>
    <t xml:space="preserve">DISC(DATE(2024,2,29),DATE(2026,8,31),100,100,3)</t>
  </si>
  <si>
    <t xml:space="preserve">DISC(DATE(2024,2,29),DATE(2026,8,31),99.5,100.5,3)</t>
  </si>
  <si>
    <t xml:space="preserve">PRICEDISC(DATE(2024,2,29),DATE(2026,8,31),0.05,100,3)</t>
  </si>
  <si>
    <t xml:space="preserve">PRICEDISC(DATE(2024,2,29),DATE(2026,8,31),0.1,105,3)</t>
  </si>
  <si>
    <t xml:space="preserve">YIELDDISC(DATE(2024,2,29),DATE(2026,8,31),95,100,3)</t>
  </si>
  <si>
    <t xml:space="preserve">YIELDDISC(DATE(2024,2,29),DATE(2026,8,31),99.5,100.5,3)</t>
  </si>
  <si>
    <t xml:space="preserve">RECEIVED(DATE(2024,2,29),DATE(2026,8,31),1000,0.05,3)</t>
  </si>
  <si>
    <t xml:space="preserve">RECEIVED(DATE(2024,2,29),DATE(2026,8,31),5000,0.12,3)</t>
  </si>
  <si>
    <t xml:space="preserve">INTRATE(DATE(2024,2,29),DATE(2026,8,31),1000,1050,3)</t>
  </si>
  <si>
    <t xml:space="preserve">INTRATE(DATE(2024,2,29),DATE(2026,8,31),950,1000,3)</t>
  </si>
  <si>
    <t xml:space="preserve">PRICEMAT(DATE(2024,2,29),DATE(2026,8,31),DATE(2023,10,1),0.05,0.06,3)</t>
  </si>
  <si>
    <t xml:space="preserve">PRICEMAT(DATE(2024,2,29),DATE(2026,8,31),DATE(2024,1,1),0.1,0.03,3)</t>
  </si>
  <si>
    <t xml:space="preserve">YIELDMAT(DATE(2024,2,29),DATE(2026,8,31),DATE(2023,10,1),0.05,98,3)</t>
  </si>
  <si>
    <t xml:space="preserve">YIELDMAT(DATE(2024,2,29),DATE(2026,8,31),DATE(2024,1,1),0.1,101,3)</t>
  </si>
  <si>
    <t xml:space="preserve">ACCRINTM(DATE(2023,10,1),DATE(2026,8,31),0.05,1000,3)</t>
  </si>
  <si>
    <t xml:space="preserve">ACCRINTM(DATE(2024,1,1),DATE(2024,2,29),0.08,5000,3)</t>
  </si>
  <si>
    <t xml:space="preserve">DISC(DATE(2024,2,29),DATE(2026,8,31),95,100,4)</t>
  </si>
  <si>
    <t xml:space="preserve">DISC(DATE(2024,2,29),DATE(2026,8,31),100,100,4)</t>
  </si>
  <si>
    <t xml:space="preserve">DISC(DATE(2024,2,29),DATE(2026,8,31),99.5,100.5,4)</t>
  </si>
  <si>
    <t xml:space="preserve">PRICEDISC(DATE(2024,2,29),DATE(2026,8,31),0.05,100,4)</t>
  </si>
  <si>
    <t xml:space="preserve">PRICEDISC(DATE(2024,2,29),DATE(2026,8,31),0.1,105,4)</t>
  </si>
  <si>
    <t xml:space="preserve">YIELDDISC(DATE(2024,2,29),DATE(2026,8,31),95,100,4)</t>
  </si>
  <si>
    <t xml:space="preserve">YIELDDISC(DATE(2024,2,29),DATE(2026,8,31),99.5,100.5,4)</t>
  </si>
  <si>
    <t xml:space="preserve">RECEIVED(DATE(2024,2,29),DATE(2026,8,31),1000,0.05,4)</t>
  </si>
  <si>
    <t xml:space="preserve">RECEIVED(DATE(2024,2,29),DATE(2026,8,31),5000,0.12,4)</t>
  </si>
  <si>
    <t xml:space="preserve">INTRATE(DATE(2024,2,29),DATE(2026,8,31),1000,1050,4)</t>
  </si>
  <si>
    <t xml:space="preserve">INTRATE(DATE(2024,2,29),DATE(2026,8,31),950,1000,4)</t>
  </si>
  <si>
    <t xml:space="preserve">PRICEMAT(DATE(2024,2,29),DATE(2026,8,31),DATE(2023,10,1),0.05,0.06,4)</t>
  </si>
  <si>
    <t xml:space="preserve">PRICEMAT(DATE(2024,2,29),DATE(2026,8,31),DATE(2024,1,1),0.1,0.03,4)</t>
  </si>
  <si>
    <t xml:space="preserve">YIELDMAT(DATE(2024,2,29),DATE(2026,8,31),DATE(2023,10,1),0.05,98,4)</t>
  </si>
  <si>
    <t xml:space="preserve">YIELDMAT(DATE(2024,2,29),DATE(2026,8,31),DATE(2024,1,1),0.1,101,4)</t>
  </si>
  <si>
    <t xml:space="preserve">ACCRINTM(DATE(2023,10,1),DATE(2026,8,31),0.05,1000,4)</t>
  </si>
  <si>
    <t xml:space="preserve">ACCRINTM(DATE(2024,1,1),DATE(2024,2,29),0.08,5000,4)</t>
  </si>
  <si>
    <t xml:space="preserve">TBILLPRICE(DATE(2024,2,29),DATE(2026,8,31),0.05)</t>
  </si>
  <si>
    <t xml:space="preserve">TBILLYIELD(DATE(2024,2,29),DATE(2026,8,31),98)</t>
  </si>
  <si>
    <t xml:space="preserve">TBILLEQ(DATE(2024,2,29),DATE(2026,8,31),0.05)</t>
  </si>
  <si>
    <t xml:space="preserve">TBILLEQ(DATE(2024,2,29),DATE(2026,8,31),0.12)</t>
  </si>
  <si>
    <t xml:space="preserve">DISC(DATE(2024,5,15),DATE(2024,11,15),95,100,0)</t>
  </si>
  <si>
    <t xml:space="preserve">DISC(DATE(2024,5,15),DATE(2024,11,15),100,100,0)</t>
  </si>
  <si>
    <t xml:space="preserve">DISC(DATE(2024,5,15),DATE(2024,11,15),99.5,100.5,0)</t>
  </si>
  <si>
    <t xml:space="preserve">PRICEDISC(DATE(2024,5,15),DATE(2024,11,15),0.05,100,0)</t>
  </si>
  <si>
    <t xml:space="preserve">PRICEDISC(DATE(2024,5,15),DATE(2024,11,15),0.1,105,0)</t>
  </si>
  <si>
    <t xml:space="preserve">YIELDDISC(DATE(2024,5,15),DATE(2024,11,15),95,100,0)</t>
  </si>
  <si>
    <t xml:space="preserve">YIELDDISC(DATE(2024,5,15),DATE(2024,11,15),99.5,100.5,0)</t>
  </si>
  <si>
    <t xml:space="preserve">RECEIVED(DATE(2024,5,15),DATE(2024,11,15),1000,0.05,0)</t>
  </si>
  <si>
    <t xml:space="preserve">RECEIVED(DATE(2024,5,15),DATE(2024,11,15),5000,0.12,0)</t>
  </si>
  <si>
    <t xml:space="preserve">INTRATE(DATE(2024,5,15),DATE(2024,11,15),1000,1050,0)</t>
  </si>
  <si>
    <t xml:space="preserve">INTRATE(DATE(2024,5,15),DATE(2024,11,15),950,1000,0)</t>
  </si>
  <si>
    <t xml:space="preserve">PRICEMAT(DATE(2024,5,15),DATE(2024,11,15),DATE(2023,10,1),0.05,0.06,0)</t>
  </si>
  <si>
    <t xml:space="preserve">PRICEMAT(DATE(2024,5,15),DATE(2024,11,15),DATE(2024,1,1),0.1,0.03,0)</t>
  </si>
  <si>
    <t xml:space="preserve">YIELDMAT(DATE(2024,5,15),DATE(2024,11,15),DATE(2023,10,1),0.05,98,0)</t>
  </si>
  <si>
    <t xml:space="preserve">YIELDMAT(DATE(2024,5,15),DATE(2024,11,15),DATE(2024,1,1),0.1,101,0)</t>
  </si>
  <si>
    <t xml:space="preserve">ACCRINTM(DATE(2023,10,1),DATE(2024,11,15),0.05,1000,0)</t>
  </si>
  <si>
    <t xml:space="preserve">ACCRINTM(DATE(2024,1,1),DATE(2024,5,15),0.08,5000,0)</t>
  </si>
  <si>
    <t xml:space="preserve">DISC(DATE(2024,5,15),DATE(2024,11,15),95,100,1)</t>
  </si>
  <si>
    <t xml:space="preserve">DISC(DATE(2024,5,15),DATE(2024,11,15),100,100,1)</t>
  </si>
  <si>
    <t xml:space="preserve">DISC(DATE(2024,5,15),DATE(2024,11,15),99.5,100.5,1)</t>
  </si>
  <si>
    <t xml:space="preserve">PRICEDISC(DATE(2024,5,15),DATE(2024,11,15),0.05,100,1)</t>
  </si>
  <si>
    <t xml:space="preserve">PRICEDISC(DATE(2024,5,15),DATE(2024,11,15),0.1,105,1)</t>
  </si>
  <si>
    <t xml:space="preserve">YIELDDISC(DATE(2024,5,15),DATE(2024,11,15),95,100,1)</t>
  </si>
  <si>
    <t xml:space="preserve">YIELDDISC(DATE(2024,5,15),DATE(2024,11,15),99.5,100.5,1)</t>
  </si>
  <si>
    <t xml:space="preserve">RECEIVED(DATE(2024,5,15),DATE(2024,11,15),1000,0.05,1)</t>
  </si>
  <si>
    <t xml:space="preserve">RECEIVED(DATE(2024,5,15),DATE(2024,11,15),5000,0.12,1)</t>
  </si>
  <si>
    <t xml:space="preserve">INTRATE(DATE(2024,5,15),DATE(2024,11,15),1000,1050,1)</t>
  </si>
  <si>
    <t xml:space="preserve">INTRATE(DATE(2024,5,15),DATE(2024,11,15),950,1000,1)</t>
  </si>
  <si>
    <t xml:space="preserve">PRICEMAT(DATE(2024,5,15),DATE(2024,11,15),DATE(2023,10,1),0.05,0.06,1)</t>
  </si>
  <si>
    <t xml:space="preserve">PRICEMAT(DATE(2024,5,15),DATE(2024,11,15),DATE(2024,1,1),0.1,0.03,1)</t>
  </si>
  <si>
    <t xml:space="preserve">YIELDMAT(DATE(2024,5,15),DATE(2024,11,15),DATE(2023,10,1),0.05,98,1)</t>
  </si>
  <si>
    <t xml:space="preserve">YIELDMAT(DATE(2024,5,15),DATE(2024,11,15),DATE(2024,1,1),0.1,101,1)</t>
  </si>
  <si>
    <t xml:space="preserve">ACCRINTM(DATE(2023,10,1),DATE(2024,11,15),0.05,1000,1)</t>
  </si>
  <si>
    <t xml:space="preserve">ACCRINTM(DATE(2024,1,1),DATE(2024,5,15),0.08,5000,1)</t>
  </si>
  <si>
    <t xml:space="preserve">DISC(DATE(2024,5,15),DATE(2024,11,15),95,100,2)</t>
  </si>
  <si>
    <t xml:space="preserve">DISC(DATE(2024,5,15),DATE(2024,11,15),100,100,2)</t>
  </si>
  <si>
    <t xml:space="preserve">DISC(DATE(2024,5,15),DATE(2024,11,15),99.5,100.5,2)</t>
  </si>
  <si>
    <t xml:space="preserve">PRICEDISC(DATE(2024,5,15),DATE(2024,11,15),0.05,100,2)</t>
  </si>
  <si>
    <t xml:space="preserve">PRICEDISC(DATE(2024,5,15),DATE(2024,11,15),0.1,105,2)</t>
  </si>
  <si>
    <t xml:space="preserve">YIELDDISC(DATE(2024,5,15),DATE(2024,11,15),95,100,2)</t>
  </si>
  <si>
    <t xml:space="preserve">YIELDDISC(DATE(2024,5,15),DATE(2024,11,15),99.5,100.5,2)</t>
  </si>
  <si>
    <t xml:space="preserve">RECEIVED(DATE(2024,5,15),DATE(2024,11,15),1000,0.05,2)</t>
  </si>
  <si>
    <t xml:space="preserve">RECEIVED(DATE(2024,5,15),DATE(2024,11,15),5000,0.12,2)</t>
  </si>
  <si>
    <t xml:space="preserve">INTRATE(DATE(2024,5,15),DATE(2024,11,15),1000,1050,2)</t>
  </si>
  <si>
    <t xml:space="preserve">INTRATE(DATE(2024,5,15),DATE(2024,11,15),950,1000,2)</t>
  </si>
  <si>
    <t xml:space="preserve">PRICEMAT(DATE(2024,5,15),DATE(2024,11,15),DATE(2023,10,1),0.05,0.06,2)</t>
  </si>
  <si>
    <t xml:space="preserve">PRICEMAT(DATE(2024,5,15),DATE(2024,11,15),DATE(2024,1,1),0.1,0.03,2)</t>
  </si>
  <si>
    <t xml:space="preserve">YIELDMAT(DATE(2024,5,15),DATE(2024,11,15),DATE(2023,10,1),0.05,98,2)</t>
  </si>
  <si>
    <t xml:space="preserve">YIELDMAT(DATE(2024,5,15),DATE(2024,11,15),DATE(2024,1,1),0.1,101,2)</t>
  </si>
  <si>
    <t xml:space="preserve">ACCRINTM(DATE(2023,10,1),DATE(2024,11,15),0.05,1000,2)</t>
  </si>
  <si>
    <t xml:space="preserve">ACCRINTM(DATE(2024,1,1),DATE(2024,5,15),0.08,5000,2)</t>
  </si>
  <si>
    <t xml:space="preserve">DISC(DATE(2024,5,15),DATE(2024,11,15),95,100,3)</t>
  </si>
  <si>
    <t xml:space="preserve">DISC(DATE(2024,5,15),DATE(2024,11,15),100,100,3)</t>
  </si>
  <si>
    <t xml:space="preserve">DISC(DATE(2024,5,15),DATE(2024,11,15),99.5,100.5,3)</t>
  </si>
  <si>
    <t xml:space="preserve">PRICEDISC(DATE(2024,5,15),DATE(2024,11,15),0.05,100,3)</t>
  </si>
  <si>
    <t xml:space="preserve">PRICEDISC(DATE(2024,5,15),DATE(2024,11,15),0.1,105,3)</t>
  </si>
  <si>
    <t xml:space="preserve">YIELDDISC(DATE(2024,5,15),DATE(2024,11,15),95,100,3)</t>
  </si>
  <si>
    <t xml:space="preserve">YIELDDISC(DATE(2024,5,15),DATE(2024,11,15),99.5,100.5,3)</t>
  </si>
  <si>
    <t xml:space="preserve">RECEIVED(DATE(2024,5,15),DATE(2024,11,15),1000,0.05,3)</t>
  </si>
  <si>
    <t xml:space="preserve">RECEIVED(DATE(2024,5,15),DATE(2024,11,15),5000,0.12,3)</t>
  </si>
  <si>
    <t xml:space="preserve">INTRATE(DATE(2024,5,15),DATE(2024,11,15),1000,1050,3)</t>
  </si>
  <si>
    <t xml:space="preserve">INTRATE(DATE(2024,5,15),DATE(2024,11,15),950,1000,3)</t>
  </si>
  <si>
    <t xml:space="preserve">PRICEMAT(DATE(2024,5,15),DATE(2024,11,15),DATE(2023,10,1),0.05,0.06,3)</t>
  </si>
  <si>
    <t xml:space="preserve">PRICEMAT(DATE(2024,5,15),DATE(2024,11,15),DATE(2024,1,1),0.1,0.03,3)</t>
  </si>
  <si>
    <t xml:space="preserve">YIELDMAT(DATE(2024,5,15),DATE(2024,11,15),DATE(2023,10,1),0.05,98,3)</t>
  </si>
  <si>
    <t xml:space="preserve">YIELDMAT(DATE(2024,5,15),DATE(2024,11,15),DATE(2024,1,1),0.1,101,3)</t>
  </si>
  <si>
    <t xml:space="preserve">ACCRINTM(DATE(2023,10,1),DATE(2024,11,15),0.05,1000,3)</t>
  </si>
  <si>
    <t xml:space="preserve">ACCRINTM(DATE(2024,1,1),DATE(2024,5,15),0.08,5000,3)</t>
  </si>
  <si>
    <t xml:space="preserve">DISC(DATE(2024,5,15),DATE(2024,11,15),95,100,4)</t>
  </si>
  <si>
    <t xml:space="preserve">DISC(DATE(2024,5,15),DATE(2024,11,15),100,100,4)</t>
  </si>
  <si>
    <t xml:space="preserve">DISC(DATE(2024,5,15),DATE(2024,11,15),99.5,100.5,4)</t>
  </si>
  <si>
    <t xml:space="preserve">PRICEDISC(DATE(2024,5,15),DATE(2024,11,15),0.05,100,4)</t>
  </si>
  <si>
    <t xml:space="preserve">PRICEDISC(DATE(2024,5,15),DATE(2024,11,15),0.1,105,4)</t>
  </si>
  <si>
    <t xml:space="preserve">YIELDDISC(DATE(2024,5,15),DATE(2024,11,15),95,100,4)</t>
  </si>
  <si>
    <t xml:space="preserve">YIELDDISC(DATE(2024,5,15),DATE(2024,11,15),99.5,100.5,4)</t>
  </si>
  <si>
    <t xml:space="preserve">RECEIVED(DATE(2024,5,15),DATE(2024,11,15),1000,0.05,4)</t>
  </si>
  <si>
    <t xml:space="preserve">RECEIVED(DATE(2024,5,15),DATE(2024,11,15),5000,0.12,4)</t>
  </si>
  <si>
    <t xml:space="preserve">INTRATE(DATE(2024,5,15),DATE(2024,11,15),1000,1050,4)</t>
  </si>
  <si>
    <t xml:space="preserve">INTRATE(DATE(2024,5,15),DATE(2024,11,15),950,1000,4)</t>
  </si>
  <si>
    <t xml:space="preserve">PRICEMAT(DATE(2024,5,15),DATE(2024,11,15),DATE(2023,10,1),0.05,0.06,4)</t>
  </si>
  <si>
    <t xml:space="preserve">PRICEMAT(DATE(2024,5,15),DATE(2024,11,15),DATE(2024,1,1),0.1,0.03,4)</t>
  </si>
  <si>
    <t xml:space="preserve">YIELDMAT(DATE(2024,5,15),DATE(2024,11,15),DATE(2023,10,1),0.05,98,4)</t>
  </si>
  <si>
    <t xml:space="preserve">YIELDMAT(DATE(2024,5,15),DATE(2024,11,15),DATE(2024,1,1),0.1,101,4)</t>
  </si>
  <si>
    <t xml:space="preserve">ACCRINTM(DATE(2023,10,1),DATE(2024,11,15),0.05,1000,4)</t>
  </si>
  <si>
    <t xml:space="preserve">ACCRINTM(DATE(2024,1,1),DATE(2024,5,15),0.08,5000,4)</t>
  </si>
  <si>
    <t xml:space="preserve">TBILLPRICE(DATE(2024,5,15),DATE(2024,11,15),0.05)</t>
  </si>
  <si>
    <t xml:space="preserve">TBILLYIELD(DATE(2024,5,15),DATE(2024,11,15),98)</t>
  </si>
  <si>
    <t xml:space="preserve">TBILLEQ(DATE(2024,5,15),DATE(2024,11,15),0.05)</t>
  </si>
  <si>
    <t xml:space="preserve">TBILLEQ(DATE(2024,5,15),DATE(2024,11,15),0.12)</t>
  </si>
  <si>
    <t xml:space="preserve">DISC(DATE(2024,6,30),DATE(2025,2,28),95,100,0)</t>
  </si>
  <si>
    <t xml:space="preserve">DISC(DATE(2024,6,30),DATE(2025,2,28),100,100,0)</t>
  </si>
  <si>
    <t xml:space="preserve">DISC(DATE(2024,6,30),DATE(2025,2,28),99.5,100.5,0)</t>
  </si>
  <si>
    <t xml:space="preserve">PRICEDISC(DATE(2024,6,30),DATE(2025,2,28),0.05,100,0)</t>
  </si>
  <si>
    <t xml:space="preserve">PRICEDISC(DATE(2024,6,30),DATE(2025,2,28),0.1,105,0)</t>
  </si>
  <si>
    <t xml:space="preserve">YIELDDISC(DATE(2024,6,30),DATE(2025,2,28),95,100,0)</t>
  </si>
  <si>
    <t xml:space="preserve">YIELDDISC(DATE(2024,6,30),DATE(2025,2,28),99.5,100.5,0)</t>
  </si>
  <si>
    <t xml:space="preserve">RECEIVED(DATE(2024,6,30),DATE(2025,2,28),1000,0.05,0)</t>
  </si>
  <si>
    <t xml:space="preserve">RECEIVED(DATE(2024,6,30),DATE(2025,2,28),5000,0.12,0)</t>
  </si>
  <si>
    <t xml:space="preserve">INTRATE(DATE(2024,6,30),DATE(2025,2,28),1000,1050,0)</t>
  </si>
  <si>
    <t xml:space="preserve">INTRATE(DATE(2024,6,30),DATE(2025,2,28),950,1000,0)</t>
  </si>
  <si>
    <t xml:space="preserve">PRICEMAT(DATE(2024,6,30),DATE(2025,2,28),DATE(2023,10,1),0.05,0.06,0)</t>
  </si>
  <si>
    <t xml:space="preserve">PRICEMAT(DATE(2024,6,30),DATE(2025,2,28),DATE(2024,1,1),0.1,0.03,0)</t>
  </si>
  <si>
    <t xml:space="preserve">YIELDMAT(DATE(2024,6,30),DATE(2025,2,28),DATE(2023,10,1),0.05,98,0)</t>
  </si>
  <si>
    <t xml:space="preserve">YIELDMAT(DATE(2024,6,30),DATE(2025,2,28),DATE(2024,1,1),0.1,101,0)</t>
  </si>
  <si>
    <t xml:space="preserve">ACCRINTM(DATE(2023,10,1),DATE(2025,2,28),0.05,1000,0)</t>
  </si>
  <si>
    <t xml:space="preserve">ACCRINTM(DATE(2024,1,1),DATE(2024,6,30),0.08,5000,0)</t>
  </si>
  <si>
    <t xml:space="preserve">DISC(DATE(2024,6,30),DATE(2025,2,28),95,100,1)</t>
  </si>
  <si>
    <t xml:space="preserve">DISC(DATE(2024,6,30),DATE(2025,2,28),100,100,1)</t>
  </si>
  <si>
    <t xml:space="preserve">DISC(DATE(2024,6,30),DATE(2025,2,28),99.5,100.5,1)</t>
  </si>
  <si>
    <t xml:space="preserve">PRICEDISC(DATE(2024,6,30),DATE(2025,2,28),0.05,100,1)</t>
  </si>
  <si>
    <t xml:space="preserve">PRICEDISC(DATE(2024,6,30),DATE(2025,2,28),0.1,105,1)</t>
  </si>
  <si>
    <t xml:space="preserve">YIELDDISC(DATE(2024,6,30),DATE(2025,2,28),95,100,1)</t>
  </si>
  <si>
    <t xml:space="preserve">YIELDDISC(DATE(2024,6,30),DATE(2025,2,28),99.5,100.5,1)</t>
  </si>
  <si>
    <t xml:space="preserve">RECEIVED(DATE(2024,6,30),DATE(2025,2,28),1000,0.05,1)</t>
  </si>
  <si>
    <t xml:space="preserve">RECEIVED(DATE(2024,6,30),DATE(2025,2,28),5000,0.12,1)</t>
  </si>
  <si>
    <t xml:space="preserve">INTRATE(DATE(2024,6,30),DATE(2025,2,28),1000,1050,1)</t>
  </si>
  <si>
    <t xml:space="preserve">INTRATE(DATE(2024,6,30),DATE(2025,2,28),950,1000,1)</t>
  </si>
  <si>
    <t xml:space="preserve">PRICEMAT(DATE(2024,6,30),DATE(2025,2,28),DATE(2023,10,1),0.05,0.06,1)</t>
  </si>
  <si>
    <t xml:space="preserve">PRICEMAT(DATE(2024,6,30),DATE(2025,2,28),DATE(2024,1,1),0.1,0.03,1)</t>
  </si>
  <si>
    <t xml:space="preserve">YIELDMAT(DATE(2024,6,30),DATE(2025,2,28),DATE(2023,10,1),0.05,98,1)</t>
  </si>
  <si>
    <t xml:space="preserve">YIELDMAT(DATE(2024,6,30),DATE(2025,2,28),DATE(2024,1,1),0.1,101,1)</t>
  </si>
  <si>
    <t xml:space="preserve">ACCRINTM(DATE(2023,10,1),DATE(2025,2,28),0.05,1000,1)</t>
  </si>
  <si>
    <t xml:space="preserve">ACCRINTM(DATE(2024,1,1),DATE(2024,6,30),0.08,5000,1)</t>
  </si>
  <si>
    <t xml:space="preserve">DISC(DATE(2024,6,30),DATE(2025,2,28),95,100,2)</t>
  </si>
  <si>
    <t xml:space="preserve">DISC(DATE(2024,6,30),DATE(2025,2,28),100,100,2)</t>
  </si>
  <si>
    <t xml:space="preserve">DISC(DATE(2024,6,30),DATE(2025,2,28),99.5,100.5,2)</t>
  </si>
  <si>
    <t xml:space="preserve">PRICEDISC(DATE(2024,6,30),DATE(2025,2,28),0.05,100,2)</t>
  </si>
  <si>
    <t xml:space="preserve">PRICEDISC(DATE(2024,6,30),DATE(2025,2,28),0.1,105,2)</t>
  </si>
  <si>
    <t xml:space="preserve">YIELDDISC(DATE(2024,6,30),DATE(2025,2,28),95,100,2)</t>
  </si>
  <si>
    <t xml:space="preserve">YIELDDISC(DATE(2024,6,30),DATE(2025,2,28),99.5,100.5,2)</t>
  </si>
  <si>
    <t xml:space="preserve">RECEIVED(DATE(2024,6,30),DATE(2025,2,28),1000,0.05,2)</t>
  </si>
  <si>
    <t xml:space="preserve">RECEIVED(DATE(2024,6,30),DATE(2025,2,28),5000,0.12,2)</t>
  </si>
  <si>
    <t xml:space="preserve">INTRATE(DATE(2024,6,30),DATE(2025,2,28),1000,1050,2)</t>
  </si>
  <si>
    <t xml:space="preserve">INTRATE(DATE(2024,6,30),DATE(2025,2,28),950,1000,2)</t>
  </si>
  <si>
    <t xml:space="preserve">PRICEMAT(DATE(2024,6,30),DATE(2025,2,28),DATE(2023,10,1),0.05,0.06,2)</t>
  </si>
  <si>
    <t xml:space="preserve">PRICEMAT(DATE(2024,6,30),DATE(2025,2,28),DATE(2024,1,1),0.1,0.03,2)</t>
  </si>
  <si>
    <t xml:space="preserve">YIELDMAT(DATE(2024,6,30),DATE(2025,2,28),DATE(2023,10,1),0.05,98,2)</t>
  </si>
  <si>
    <t xml:space="preserve">YIELDMAT(DATE(2024,6,30),DATE(2025,2,28),DATE(2024,1,1),0.1,101,2)</t>
  </si>
  <si>
    <t xml:space="preserve">ACCRINTM(DATE(2023,10,1),DATE(2025,2,28),0.05,1000,2)</t>
  </si>
  <si>
    <t xml:space="preserve">ACCRINTM(DATE(2024,1,1),DATE(2024,6,30),0.08,5000,2)</t>
  </si>
  <si>
    <t xml:space="preserve">DISC(DATE(2024,6,30),DATE(2025,2,28),95,100,3)</t>
  </si>
  <si>
    <t xml:space="preserve">DISC(DATE(2024,6,30),DATE(2025,2,28),100,100,3)</t>
  </si>
  <si>
    <t xml:space="preserve">DISC(DATE(2024,6,30),DATE(2025,2,28),99.5,100.5,3)</t>
  </si>
  <si>
    <t xml:space="preserve">PRICEDISC(DATE(2024,6,30),DATE(2025,2,28),0.05,100,3)</t>
  </si>
  <si>
    <t xml:space="preserve">PRICEDISC(DATE(2024,6,30),DATE(2025,2,28),0.1,105,3)</t>
  </si>
  <si>
    <t xml:space="preserve">YIELDDISC(DATE(2024,6,30),DATE(2025,2,28),95,100,3)</t>
  </si>
  <si>
    <t xml:space="preserve">YIELDDISC(DATE(2024,6,30),DATE(2025,2,28),99.5,100.5,3)</t>
  </si>
  <si>
    <t xml:space="preserve">RECEIVED(DATE(2024,6,30),DATE(2025,2,28),1000,0.05,3)</t>
  </si>
  <si>
    <t xml:space="preserve">RECEIVED(DATE(2024,6,30),DATE(2025,2,28),5000,0.12,3)</t>
  </si>
  <si>
    <t xml:space="preserve">INTRATE(DATE(2024,6,30),DATE(2025,2,28),1000,1050,3)</t>
  </si>
  <si>
    <t xml:space="preserve">INTRATE(DATE(2024,6,30),DATE(2025,2,28),950,1000,3)</t>
  </si>
  <si>
    <t xml:space="preserve">PRICEMAT(DATE(2024,6,30),DATE(2025,2,28),DATE(2023,10,1),0.05,0.06,3)</t>
  </si>
  <si>
    <t xml:space="preserve">PRICEMAT(DATE(2024,6,30),DATE(2025,2,28),DATE(2024,1,1),0.1,0.03,3)</t>
  </si>
  <si>
    <t xml:space="preserve">YIELDMAT(DATE(2024,6,30),DATE(2025,2,28),DATE(2023,10,1),0.05,98,3)</t>
  </si>
  <si>
    <t xml:space="preserve">YIELDMAT(DATE(2024,6,30),DATE(2025,2,28),DATE(2024,1,1),0.1,101,3)</t>
  </si>
  <si>
    <t xml:space="preserve">ACCRINTM(DATE(2023,10,1),DATE(2025,2,28),0.05,1000,3)</t>
  </si>
  <si>
    <t xml:space="preserve">ACCRINTM(DATE(2024,1,1),DATE(2024,6,30),0.08,5000,3)</t>
  </si>
  <si>
    <t xml:space="preserve">DISC(DATE(2024,6,30),DATE(2025,2,28),95,100,4)</t>
  </si>
  <si>
    <t xml:space="preserve">DISC(DATE(2024,6,30),DATE(2025,2,28),100,100,4)</t>
  </si>
  <si>
    <t xml:space="preserve">DISC(DATE(2024,6,30),DATE(2025,2,28),99.5,100.5,4)</t>
  </si>
  <si>
    <t xml:space="preserve">PRICEDISC(DATE(2024,6,30),DATE(2025,2,28),0.05,100,4)</t>
  </si>
  <si>
    <t xml:space="preserve">PRICEDISC(DATE(2024,6,30),DATE(2025,2,28),0.1,105,4)</t>
  </si>
  <si>
    <t xml:space="preserve">YIELDDISC(DATE(2024,6,30),DATE(2025,2,28),95,100,4)</t>
  </si>
  <si>
    <t xml:space="preserve">YIELDDISC(DATE(2024,6,30),DATE(2025,2,28),99.5,100.5,4)</t>
  </si>
  <si>
    <t xml:space="preserve">RECEIVED(DATE(2024,6,30),DATE(2025,2,28),1000,0.05,4)</t>
  </si>
  <si>
    <t xml:space="preserve">RECEIVED(DATE(2024,6,30),DATE(2025,2,28),5000,0.12,4)</t>
  </si>
  <si>
    <t xml:space="preserve">INTRATE(DATE(2024,6,30),DATE(2025,2,28),1000,1050,4)</t>
  </si>
  <si>
    <t xml:space="preserve">INTRATE(DATE(2024,6,30),DATE(2025,2,28),950,1000,4)</t>
  </si>
  <si>
    <t xml:space="preserve">PRICEMAT(DATE(2024,6,30),DATE(2025,2,28),DATE(2023,10,1),0.05,0.06,4)</t>
  </si>
  <si>
    <t xml:space="preserve">PRICEMAT(DATE(2024,6,30),DATE(2025,2,28),DATE(2024,1,1),0.1,0.03,4)</t>
  </si>
  <si>
    <t xml:space="preserve">YIELDMAT(DATE(2024,6,30),DATE(2025,2,28),DATE(2023,10,1),0.05,98,4)</t>
  </si>
  <si>
    <t xml:space="preserve">YIELDMAT(DATE(2024,6,30),DATE(2025,2,28),DATE(2024,1,1),0.1,101,4)</t>
  </si>
  <si>
    <t xml:space="preserve">ACCRINTM(DATE(2023,10,1),DATE(2025,2,28),0.05,1000,4)</t>
  </si>
  <si>
    <t xml:space="preserve">ACCRINTM(DATE(2024,1,1),DATE(2024,6,30),0.08,5000,4)</t>
  </si>
  <si>
    <t xml:space="preserve">TBILLPRICE(DATE(2024,6,30),DATE(2025,2,28),0.05)</t>
  </si>
  <si>
    <t xml:space="preserve">TBILLYIELD(DATE(2024,6,30),DATE(2025,2,28),98)</t>
  </si>
  <si>
    <t xml:space="preserve">TBILLEQ(DATE(2024,6,30),DATE(2025,2,28),0.05)</t>
  </si>
  <si>
    <t xml:space="preserve">TBILLEQ(DATE(2024,6,30),DATE(2025,2,28),0.12)</t>
  </si>
  <si>
    <t xml:space="preserve">DISC(DATE(2023,8,31),DATE(2025,2,28),95,100,0)</t>
  </si>
  <si>
    <t xml:space="preserve">DISC(DATE(2023,8,31),DATE(2025,2,28),100,100,0)</t>
  </si>
  <si>
    <t xml:space="preserve">DISC(DATE(2023,8,31),DATE(2025,2,28),99.5,100.5,0)</t>
  </si>
  <si>
    <t xml:space="preserve">PRICEDISC(DATE(2023,8,31),DATE(2025,2,28),0.05,100,0)</t>
  </si>
  <si>
    <t xml:space="preserve">PRICEDISC(DATE(2023,8,31),DATE(2025,2,28),0.1,105,0)</t>
  </si>
  <si>
    <t xml:space="preserve">YIELDDISC(DATE(2023,8,31),DATE(2025,2,28),95,100,0)</t>
  </si>
  <si>
    <t xml:space="preserve">YIELDDISC(DATE(2023,8,31),DATE(2025,2,28),99.5,100.5,0)</t>
  </si>
  <si>
    <t xml:space="preserve">RECEIVED(DATE(2023,8,31),DATE(2025,2,28),1000,0.05,0)</t>
  </si>
  <si>
    <t xml:space="preserve">RECEIVED(DATE(2023,8,31),DATE(2025,2,28),5000,0.12,0)</t>
  </si>
  <si>
    <t xml:space="preserve">INTRATE(DATE(2023,8,31),DATE(2025,2,28),1000,1050,0)</t>
  </si>
  <si>
    <t xml:space="preserve">INTRATE(DATE(2023,8,31),DATE(2025,2,28),950,1000,0)</t>
  </si>
  <si>
    <t xml:space="preserve">PRICEMAT(DATE(2023,8,31),DATE(2025,2,28),DATE(2023,10,1),0.05,0.06,0)</t>
  </si>
  <si>
    <t xml:space="preserve">PRICEMAT(DATE(2023,8,31),DATE(2025,2,28),DATE(2024,1,1),0.1,0.03,0)</t>
  </si>
  <si>
    <t xml:space="preserve">YIELDMAT(DATE(2023,8,31),DATE(2025,2,28),DATE(2023,10,1),0.05,98,0)</t>
  </si>
  <si>
    <t xml:space="preserve">YIELDMAT(DATE(2023,8,31),DATE(2025,2,28),DATE(2024,1,1),0.1,101,0)</t>
  </si>
  <si>
    <t xml:space="preserve">ACCRINTM(DATE(2024,1,1),DATE(2023,8,31),0.08,5000,0)</t>
  </si>
  <si>
    <t xml:space="preserve">DISC(DATE(2023,8,31),DATE(2025,2,28),95,100,1)</t>
  </si>
  <si>
    <t xml:space="preserve">DISC(DATE(2023,8,31),DATE(2025,2,28),100,100,1)</t>
  </si>
  <si>
    <t xml:space="preserve">DISC(DATE(2023,8,31),DATE(2025,2,28),99.5,100.5,1)</t>
  </si>
  <si>
    <t xml:space="preserve">PRICEDISC(DATE(2023,8,31),DATE(2025,2,28),0.05,100,1)</t>
  </si>
  <si>
    <t xml:space="preserve">PRICEDISC(DATE(2023,8,31),DATE(2025,2,28),0.1,105,1)</t>
  </si>
  <si>
    <t xml:space="preserve">YIELDDISC(DATE(2023,8,31),DATE(2025,2,28),95,100,1)</t>
  </si>
  <si>
    <t xml:space="preserve">YIELDDISC(DATE(2023,8,31),DATE(2025,2,28),99.5,100.5,1)</t>
  </si>
  <si>
    <t xml:space="preserve">RECEIVED(DATE(2023,8,31),DATE(2025,2,28),1000,0.05,1)</t>
  </si>
  <si>
    <t xml:space="preserve">RECEIVED(DATE(2023,8,31),DATE(2025,2,28),5000,0.12,1)</t>
  </si>
  <si>
    <t xml:space="preserve">INTRATE(DATE(2023,8,31),DATE(2025,2,28),1000,1050,1)</t>
  </si>
  <si>
    <t xml:space="preserve">INTRATE(DATE(2023,8,31),DATE(2025,2,28),950,1000,1)</t>
  </si>
  <si>
    <t xml:space="preserve">PRICEMAT(DATE(2023,8,31),DATE(2025,2,28),DATE(2023,10,1),0.05,0.06,1)</t>
  </si>
  <si>
    <t xml:space="preserve">PRICEMAT(DATE(2023,8,31),DATE(2025,2,28),DATE(2024,1,1),0.1,0.03,1)</t>
  </si>
  <si>
    <t xml:space="preserve">YIELDMAT(DATE(2023,8,31),DATE(2025,2,28),DATE(2023,10,1),0.05,98,1)</t>
  </si>
  <si>
    <t xml:space="preserve">YIELDMAT(DATE(2023,8,31),DATE(2025,2,28),DATE(2024,1,1),0.1,101,1)</t>
  </si>
  <si>
    <t xml:space="preserve">ACCRINTM(DATE(2024,1,1),DATE(2023,8,31),0.08,5000,1)</t>
  </si>
  <si>
    <t xml:space="preserve">DISC(DATE(2023,8,31),DATE(2025,2,28),95,100,2)</t>
  </si>
  <si>
    <t xml:space="preserve">DISC(DATE(2023,8,31),DATE(2025,2,28),100,100,2)</t>
  </si>
  <si>
    <t xml:space="preserve">DISC(DATE(2023,8,31),DATE(2025,2,28),99.5,100.5,2)</t>
  </si>
  <si>
    <t xml:space="preserve">PRICEDISC(DATE(2023,8,31),DATE(2025,2,28),0.05,100,2)</t>
  </si>
  <si>
    <t xml:space="preserve">PRICEDISC(DATE(2023,8,31),DATE(2025,2,28),0.1,105,2)</t>
  </si>
  <si>
    <t xml:space="preserve">YIELDDISC(DATE(2023,8,31),DATE(2025,2,28),95,100,2)</t>
  </si>
  <si>
    <t xml:space="preserve">YIELDDISC(DATE(2023,8,31),DATE(2025,2,28),99.5,100.5,2)</t>
  </si>
  <si>
    <t xml:space="preserve">RECEIVED(DATE(2023,8,31),DATE(2025,2,28),1000,0.05,2)</t>
  </si>
  <si>
    <t xml:space="preserve">RECEIVED(DATE(2023,8,31),DATE(2025,2,28),5000,0.12,2)</t>
  </si>
  <si>
    <t xml:space="preserve">INTRATE(DATE(2023,8,31),DATE(2025,2,28),1000,1050,2)</t>
  </si>
  <si>
    <t xml:space="preserve">INTRATE(DATE(2023,8,31),DATE(2025,2,28),950,1000,2)</t>
  </si>
  <si>
    <t xml:space="preserve">PRICEMAT(DATE(2023,8,31),DATE(2025,2,28),DATE(2023,10,1),0.05,0.06,2)</t>
  </si>
  <si>
    <t xml:space="preserve">PRICEMAT(DATE(2023,8,31),DATE(2025,2,28),DATE(2024,1,1),0.1,0.03,2)</t>
  </si>
  <si>
    <t xml:space="preserve">YIELDMAT(DATE(2023,8,31),DATE(2025,2,28),DATE(2023,10,1),0.05,98,2)</t>
  </si>
  <si>
    <t xml:space="preserve">YIELDMAT(DATE(2023,8,31),DATE(2025,2,28),DATE(2024,1,1),0.1,101,2)</t>
  </si>
  <si>
    <t xml:space="preserve">ACCRINTM(DATE(2024,1,1),DATE(2023,8,31),0.08,5000,2)</t>
  </si>
  <si>
    <t xml:space="preserve">DISC(DATE(2023,8,31),DATE(2025,2,28),95,100,3)</t>
  </si>
  <si>
    <t xml:space="preserve">DISC(DATE(2023,8,31),DATE(2025,2,28),100,100,3)</t>
  </si>
  <si>
    <t xml:space="preserve">DISC(DATE(2023,8,31),DATE(2025,2,28),99.5,100.5,3)</t>
  </si>
  <si>
    <t xml:space="preserve">PRICEDISC(DATE(2023,8,31),DATE(2025,2,28),0.05,100,3)</t>
  </si>
  <si>
    <t xml:space="preserve">PRICEDISC(DATE(2023,8,31),DATE(2025,2,28),0.1,105,3)</t>
  </si>
  <si>
    <t xml:space="preserve">YIELDDISC(DATE(2023,8,31),DATE(2025,2,28),95,100,3)</t>
  </si>
  <si>
    <t xml:space="preserve">YIELDDISC(DATE(2023,8,31),DATE(2025,2,28),99.5,100.5,3)</t>
  </si>
  <si>
    <t xml:space="preserve">RECEIVED(DATE(2023,8,31),DATE(2025,2,28),1000,0.05,3)</t>
  </si>
  <si>
    <t xml:space="preserve">RECEIVED(DATE(2023,8,31),DATE(2025,2,28),5000,0.12,3)</t>
  </si>
  <si>
    <t xml:space="preserve">INTRATE(DATE(2023,8,31),DATE(2025,2,28),1000,1050,3)</t>
  </si>
  <si>
    <t xml:space="preserve">INTRATE(DATE(2023,8,31),DATE(2025,2,28),950,1000,3)</t>
  </si>
  <si>
    <t xml:space="preserve">PRICEMAT(DATE(2023,8,31),DATE(2025,2,28),DATE(2023,10,1),0.05,0.06,3)</t>
  </si>
  <si>
    <t xml:space="preserve">PRICEMAT(DATE(2023,8,31),DATE(2025,2,28),DATE(2024,1,1),0.1,0.03,3)</t>
  </si>
  <si>
    <t xml:space="preserve">YIELDMAT(DATE(2023,8,31),DATE(2025,2,28),DATE(2023,10,1),0.05,98,3)</t>
  </si>
  <si>
    <t xml:space="preserve">YIELDMAT(DATE(2023,8,31),DATE(2025,2,28),DATE(2024,1,1),0.1,101,3)</t>
  </si>
  <si>
    <t xml:space="preserve">ACCRINTM(DATE(2024,1,1),DATE(2023,8,31),0.08,5000,3)</t>
  </si>
  <si>
    <t xml:space="preserve">DISC(DATE(2023,8,31),DATE(2025,2,28),95,100,4)</t>
  </si>
  <si>
    <t xml:space="preserve">DISC(DATE(2023,8,31),DATE(2025,2,28),100,100,4)</t>
  </si>
  <si>
    <t xml:space="preserve">DISC(DATE(2023,8,31),DATE(2025,2,28),99.5,100.5,4)</t>
  </si>
  <si>
    <t xml:space="preserve">PRICEDISC(DATE(2023,8,31),DATE(2025,2,28),0.05,100,4)</t>
  </si>
  <si>
    <t xml:space="preserve">PRICEDISC(DATE(2023,8,31),DATE(2025,2,28),0.1,105,4)</t>
  </si>
  <si>
    <t xml:space="preserve">YIELDDISC(DATE(2023,8,31),DATE(2025,2,28),95,100,4)</t>
  </si>
  <si>
    <t xml:space="preserve">YIELDDISC(DATE(2023,8,31),DATE(2025,2,28),99.5,100.5,4)</t>
  </si>
  <si>
    <t xml:space="preserve">RECEIVED(DATE(2023,8,31),DATE(2025,2,28),1000,0.05,4)</t>
  </si>
  <si>
    <t xml:space="preserve">RECEIVED(DATE(2023,8,31),DATE(2025,2,28),5000,0.12,4)</t>
  </si>
  <si>
    <t xml:space="preserve">INTRATE(DATE(2023,8,31),DATE(2025,2,28),1000,1050,4)</t>
  </si>
  <si>
    <t xml:space="preserve">INTRATE(DATE(2023,8,31),DATE(2025,2,28),950,1000,4)</t>
  </si>
  <si>
    <t xml:space="preserve">PRICEMAT(DATE(2023,8,31),DATE(2025,2,28),DATE(2023,10,1),0.05,0.06,4)</t>
  </si>
  <si>
    <t xml:space="preserve">PRICEMAT(DATE(2023,8,31),DATE(2025,2,28),DATE(2024,1,1),0.1,0.03,4)</t>
  </si>
  <si>
    <t xml:space="preserve">YIELDMAT(DATE(2023,8,31),DATE(2025,2,28),DATE(2023,10,1),0.05,98,4)</t>
  </si>
  <si>
    <t xml:space="preserve">YIELDMAT(DATE(2023,8,31),DATE(2025,2,28),DATE(2024,1,1),0.1,101,4)</t>
  </si>
  <si>
    <t xml:space="preserve">ACCRINTM(DATE(2024,1,1),DATE(2023,8,31),0.08,5000,4)</t>
  </si>
  <si>
    <t xml:space="preserve">TBILLPRICE(DATE(2023,8,31),DATE(2025,2,28),0.05)</t>
  </si>
  <si>
    <t xml:space="preserve">TBILLYIELD(DATE(2023,8,31),DATE(2025,2,28),98)</t>
  </si>
  <si>
    <t xml:space="preserve">TBILLEQ(DATE(2023,8,31),DATE(2025,2,28),0.05)</t>
  </si>
  <si>
    <t xml:space="preserve">TBILLEQ(DATE(2023,8,31),DATE(2025,2,28),0.12)</t>
  </si>
  <si>
    <t xml:space="preserve">DISC(DATE(2024,2,15),DATE(2024,2,29),95,100,0)</t>
  </si>
  <si>
    <t xml:space="preserve">DISC(DATE(2024,2,15),DATE(2024,2,29),100,100,0)</t>
  </si>
  <si>
    <t xml:space="preserve">DISC(DATE(2024,2,15),DATE(2024,2,29),99.5,100.5,0)</t>
  </si>
  <si>
    <t xml:space="preserve">PRICEDISC(DATE(2024,2,15),DATE(2024,2,29),0.05,100,0)</t>
  </si>
  <si>
    <t xml:space="preserve">PRICEDISC(DATE(2024,2,15),DATE(2024,2,29),0.1,105,0)</t>
  </si>
  <si>
    <t xml:space="preserve">YIELDDISC(DATE(2024,2,15),DATE(2024,2,29),95,100,0)</t>
  </si>
  <si>
    <t xml:space="preserve">YIELDDISC(DATE(2024,2,15),DATE(2024,2,29),99.5,100.5,0)</t>
  </si>
  <si>
    <t xml:space="preserve">RECEIVED(DATE(2024,2,15),DATE(2024,2,29),1000,0.05,0)</t>
  </si>
  <si>
    <t xml:space="preserve">RECEIVED(DATE(2024,2,15),DATE(2024,2,29),5000,0.12,0)</t>
  </si>
  <si>
    <t xml:space="preserve">INTRATE(DATE(2024,2,15),DATE(2024,2,29),1000,1050,0)</t>
  </si>
  <si>
    <t xml:space="preserve">INTRATE(DATE(2024,2,15),DATE(2024,2,29),950,1000,0)</t>
  </si>
  <si>
    <t xml:space="preserve">PRICEMAT(DATE(2024,2,15),DATE(2024,2,29),DATE(2023,10,1),0.05,0.06,0)</t>
  </si>
  <si>
    <t xml:space="preserve">PRICEMAT(DATE(2024,2,15),DATE(2024,2,29),DATE(2024,1,1),0.1,0.03,0)</t>
  </si>
  <si>
    <t xml:space="preserve">YIELDMAT(DATE(2024,2,15),DATE(2024,2,29),DATE(2023,10,1),0.05,98,0)</t>
  </si>
  <si>
    <t xml:space="preserve">YIELDMAT(DATE(2024,2,15),DATE(2024,2,29),DATE(2024,1,1),0.1,101,0)</t>
  </si>
  <si>
    <t xml:space="preserve">ACCRINTM(DATE(2023,10,1),DATE(2024,2,29),0.05,1000,0)</t>
  </si>
  <si>
    <t xml:space="preserve">ACCRINTM(DATE(2024,1,1),DATE(2024,2,15),0.08,5000,0)</t>
  </si>
  <si>
    <t xml:space="preserve">DISC(DATE(2024,2,15),DATE(2024,2,29),95,100,1)</t>
  </si>
  <si>
    <t xml:space="preserve">DISC(DATE(2024,2,15),DATE(2024,2,29),100,100,1)</t>
  </si>
  <si>
    <t xml:space="preserve">DISC(DATE(2024,2,15),DATE(2024,2,29),99.5,100.5,1)</t>
  </si>
  <si>
    <t xml:space="preserve">PRICEDISC(DATE(2024,2,15),DATE(2024,2,29),0.05,100,1)</t>
  </si>
  <si>
    <t xml:space="preserve">PRICEDISC(DATE(2024,2,15),DATE(2024,2,29),0.1,105,1)</t>
  </si>
  <si>
    <t xml:space="preserve">YIELDDISC(DATE(2024,2,15),DATE(2024,2,29),95,100,1)</t>
  </si>
  <si>
    <t xml:space="preserve">YIELDDISC(DATE(2024,2,15),DATE(2024,2,29),99.5,100.5,1)</t>
  </si>
  <si>
    <t xml:space="preserve">RECEIVED(DATE(2024,2,15),DATE(2024,2,29),1000,0.05,1)</t>
  </si>
  <si>
    <t xml:space="preserve">RECEIVED(DATE(2024,2,15),DATE(2024,2,29),5000,0.12,1)</t>
  </si>
  <si>
    <t xml:space="preserve">INTRATE(DATE(2024,2,15),DATE(2024,2,29),1000,1050,1)</t>
  </si>
  <si>
    <t xml:space="preserve">INTRATE(DATE(2024,2,15),DATE(2024,2,29),950,1000,1)</t>
  </si>
  <si>
    <t xml:space="preserve">PRICEMAT(DATE(2024,2,15),DATE(2024,2,29),DATE(2023,10,1),0.05,0.06,1)</t>
  </si>
  <si>
    <t xml:space="preserve">PRICEMAT(DATE(2024,2,15),DATE(2024,2,29),DATE(2024,1,1),0.1,0.03,1)</t>
  </si>
  <si>
    <t xml:space="preserve">YIELDMAT(DATE(2024,2,15),DATE(2024,2,29),DATE(2023,10,1),0.05,98,1)</t>
  </si>
  <si>
    <t xml:space="preserve">YIELDMAT(DATE(2024,2,15),DATE(2024,2,29),DATE(2024,1,1),0.1,101,1)</t>
  </si>
  <si>
    <t xml:space="preserve">ACCRINTM(DATE(2023,10,1),DATE(2024,2,29),0.05,1000,1)</t>
  </si>
  <si>
    <t xml:space="preserve">ACCRINTM(DATE(2024,1,1),DATE(2024,2,15),0.08,5000,1)</t>
  </si>
  <si>
    <t xml:space="preserve">DISC(DATE(2024,2,15),DATE(2024,2,29),95,100,2)</t>
  </si>
  <si>
    <t xml:space="preserve">DISC(DATE(2024,2,15),DATE(2024,2,29),100,100,2)</t>
  </si>
  <si>
    <t xml:space="preserve">DISC(DATE(2024,2,15),DATE(2024,2,29),99.5,100.5,2)</t>
  </si>
  <si>
    <t xml:space="preserve">PRICEDISC(DATE(2024,2,15),DATE(2024,2,29),0.05,100,2)</t>
  </si>
  <si>
    <t xml:space="preserve">PRICEDISC(DATE(2024,2,15),DATE(2024,2,29),0.1,105,2)</t>
  </si>
  <si>
    <t xml:space="preserve">YIELDDISC(DATE(2024,2,15),DATE(2024,2,29),95,100,2)</t>
  </si>
  <si>
    <t xml:space="preserve">YIELDDISC(DATE(2024,2,15),DATE(2024,2,29),99.5,100.5,2)</t>
  </si>
  <si>
    <t xml:space="preserve">RECEIVED(DATE(2024,2,15),DATE(2024,2,29),1000,0.05,2)</t>
  </si>
  <si>
    <t xml:space="preserve">RECEIVED(DATE(2024,2,15),DATE(2024,2,29),5000,0.12,2)</t>
  </si>
  <si>
    <t xml:space="preserve">INTRATE(DATE(2024,2,15),DATE(2024,2,29),1000,1050,2)</t>
  </si>
  <si>
    <t xml:space="preserve">INTRATE(DATE(2024,2,15),DATE(2024,2,29),950,1000,2)</t>
  </si>
  <si>
    <t xml:space="preserve">PRICEMAT(DATE(2024,2,15),DATE(2024,2,29),DATE(2023,10,1),0.05,0.06,2)</t>
  </si>
  <si>
    <t xml:space="preserve">PRICEMAT(DATE(2024,2,15),DATE(2024,2,29),DATE(2024,1,1),0.1,0.03,2)</t>
  </si>
  <si>
    <t xml:space="preserve">YIELDMAT(DATE(2024,2,15),DATE(2024,2,29),DATE(2023,10,1),0.05,98,2)</t>
  </si>
  <si>
    <t xml:space="preserve">YIELDMAT(DATE(2024,2,15),DATE(2024,2,29),DATE(2024,1,1),0.1,101,2)</t>
  </si>
  <si>
    <t xml:space="preserve">ACCRINTM(DATE(2023,10,1),DATE(2024,2,29),0.05,1000,2)</t>
  </si>
  <si>
    <t xml:space="preserve">ACCRINTM(DATE(2024,1,1),DATE(2024,2,15),0.08,5000,2)</t>
  </si>
  <si>
    <t xml:space="preserve">DISC(DATE(2024,2,15),DATE(2024,2,29),95,100,3)</t>
  </si>
  <si>
    <t xml:space="preserve">DISC(DATE(2024,2,15),DATE(2024,2,29),100,100,3)</t>
  </si>
  <si>
    <t xml:space="preserve">DISC(DATE(2024,2,15),DATE(2024,2,29),99.5,100.5,3)</t>
  </si>
  <si>
    <t xml:space="preserve">PRICEDISC(DATE(2024,2,15),DATE(2024,2,29),0.05,100,3)</t>
  </si>
  <si>
    <t xml:space="preserve">PRICEDISC(DATE(2024,2,15),DATE(2024,2,29),0.1,105,3)</t>
  </si>
  <si>
    <t xml:space="preserve">YIELDDISC(DATE(2024,2,15),DATE(2024,2,29),95,100,3)</t>
  </si>
  <si>
    <t xml:space="preserve">YIELDDISC(DATE(2024,2,15),DATE(2024,2,29),99.5,100.5,3)</t>
  </si>
  <si>
    <t xml:space="preserve">RECEIVED(DATE(2024,2,15),DATE(2024,2,29),1000,0.05,3)</t>
  </si>
  <si>
    <t xml:space="preserve">RECEIVED(DATE(2024,2,15),DATE(2024,2,29),5000,0.12,3)</t>
  </si>
  <si>
    <t xml:space="preserve">INTRATE(DATE(2024,2,15),DATE(2024,2,29),1000,1050,3)</t>
  </si>
  <si>
    <t xml:space="preserve">INTRATE(DATE(2024,2,15),DATE(2024,2,29),950,1000,3)</t>
  </si>
  <si>
    <t xml:space="preserve">PRICEMAT(DATE(2024,2,15),DATE(2024,2,29),DATE(2023,10,1),0.05,0.06,3)</t>
  </si>
  <si>
    <t xml:space="preserve">PRICEMAT(DATE(2024,2,15),DATE(2024,2,29),DATE(2024,1,1),0.1,0.03,3)</t>
  </si>
  <si>
    <t xml:space="preserve">YIELDMAT(DATE(2024,2,15),DATE(2024,2,29),DATE(2023,10,1),0.05,98,3)</t>
  </si>
  <si>
    <t xml:space="preserve">YIELDMAT(DATE(2024,2,15),DATE(2024,2,29),DATE(2024,1,1),0.1,101,3)</t>
  </si>
  <si>
    <t xml:space="preserve">ACCRINTM(DATE(2023,10,1),DATE(2024,2,29),0.05,1000,3)</t>
  </si>
  <si>
    <t xml:space="preserve">ACCRINTM(DATE(2024,1,1),DATE(2024,2,15),0.08,5000,3)</t>
  </si>
  <si>
    <t xml:space="preserve">DISC(DATE(2024,2,15),DATE(2024,2,29),95,100,4)</t>
  </si>
  <si>
    <t xml:space="preserve">DISC(DATE(2024,2,15),DATE(2024,2,29),100,100,4)</t>
  </si>
  <si>
    <t xml:space="preserve">DISC(DATE(2024,2,15),DATE(2024,2,29),99.5,100.5,4)</t>
  </si>
  <si>
    <t xml:space="preserve">PRICEDISC(DATE(2024,2,15),DATE(2024,2,29),0.05,100,4)</t>
  </si>
  <si>
    <t xml:space="preserve">PRICEDISC(DATE(2024,2,15),DATE(2024,2,29),0.1,105,4)</t>
  </si>
  <si>
    <t xml:space="preserve">YIELDDISC(DATE(2024,2,15),DATE(2024,2,29),95,100,4)</t>
  </si>
  <si>
    <t xml:space="preserve">YIELDDISC(DATE(2024,2,15),DATE(2024,2,29),99.5,100.5,4)</t>
  </si>
  <si>
    <t xml:space="preserve">RECEIVED(DATE(2024,2,15),DATE(2024,2,29),1000,0.05,4)</t>
  </si>
  <si>
    <t xml:space="preserve">RECEIVED(DATE(2024,2,15),DATE(2024,2,29),5000,0.12,4)</t>
  </si>
  <si>
    <t xml:space="preserve">INTRATE(DATE(2024,2,15),DATE(2024,2,29),1000,1050,4)</t>
  </si>
  <si>
    <t xml:space="preserve">INTRATE(DATE(2024,2,15),DATE(2024,2,29),950,1000,4)</t>
  </si>
  <si>
    <t xml:space="preserve">PRICEMAT(DATE(2024,2,15),DATE(2024,2,29),DATE(2023,10,1),0.05,0.06,4)</t>
  </si>
  <si>
    <t xml:space="preserve">PRICEMAT(DATE(2024,2,15),DATE(2024,2,29),DATE(2024,1,1),0.1,0.03,4)</t>
  </si>
  <si>
    <t xml:space="preserve">YIELDMAT(DATE(2024,2,15),DATE(2024,2,29),DATE(2023,10,1),0.05,98,4)</t>
  </si>
  <si>
    <t xml:space="preserve">YIELDMAT(DATE(2024,2,15),DATE(2024,2,29),DATE(2024,1,1),0.1,101,4)</t>
  </si>
  <si>
    <t xml:space="preserve">ACCRINTM(DATE(2023,10,1),DATE(2024,2,29),0.05,1000,4)</t>
  </si>
  <si>
    <t xml:space="preserve">ACCRINTM(DATE(2024,1,1),DATE(2024,2,15),0.08,5000,4)</t>
  </si>
  <si>
    <t xml:space="preserve">TBILLPRICE(DATE(2024,2,15),DATE(2024,2,29),0.05)</t>
  </si>
  <si>
    <t xml:space="preserve">TBILLYIELD(DATE(2024,2,15),DATE(2024,2,29),98)</t>
  </si>
  <si>
    <t xml:space="preserve">TBILLEQ(DATE(2024,2,15),DATE(2024,2,29),0.05)</t>
  </si>
  <si>
    <t xml:space="preserve">TBILLEQ(DATE(2024,2,15),DATE(2024,2,29),0.12)</t>
  </si>
  <si>
    <t xml:space="preserve">DISC(DATE(2024,1,1),DATE(2034,1,1),95,100,0)</t>
  </si>
  <si>
    <t xml:space="preserve">DISC(DATE(2024,1,1),DATE(2034,1,1),100,100,0)</t>
  </si>
  <si>
    <t xml:space="preserve">DISC(DATE(2024,1,1),DATE(2034,1,1),99.5,100.5,0)</t>
  </si>
  <si>
    <t xml:space="preserve">PRICEDISC(DATE(2024,1,1),DATE(2034,1,1),0.05,100,0)</t>
  </si>
  <si>
    <t xml:space="preserve">PRICEDISC(DATE(2024,1,1),DATE(2034,1,1),0.1,105,0)</t>
  </si>
  <si>
    <t xml:space="preserve">YIELDDISC(DATE(2024,1,1),DATE(2034,1,1),95,100,0)</t>
  </si>
  <si>
    <t xml:space="preserve">YIELDDISC(DATE(2024,1,1),DATE(2034,1,1),99.5,100.5,0)</t>
  </si>
  <si>
    <t xml:space="preserve">RECEIVED(DATE(2024,1,1),DATE(2034,1,1),1000,0.05,0)</t>
  </si>
  <si>
    <t xml:space="preserve">RECEIVED(DATE(2024,1,1),DATE(2034,1,1),5000,0.12,0)</t>
  </si>
  <si>
    <t xml:space="preserve">INTRATE(DATE(2024,1,1),DATE(2034,1,1),1000,1050,0)</t>
  </si>
  <si>
    <t xml:space="preserve">INTRATE(DATE(2024,1,1),DATE(2034,1,1),950,1000,0)</t>
  </si>
  <si>
    <t xml:space="preserve">PRICEMAT(DATE(2024,1,1),DATE(2034,1,1),DATE(2023,10,1),0.05,0.06,0)</t>
  </si>
  <si>
    <t xml:space="preserve">PRICEMAT(DATE(2024,1,1),DATE(2034,1,1),DATE(2024,1,1),0.1,0.03,0)</t>
  </si>
  <si>
    <t xml:space="preserve">YIELDMAT(DATE(2024,1,1),DATE(2034,1,1),DATE(2023,10,1),0.05,98,0)</t>
  </si>
  <si>
    <t xml:space="preserve">YIELDMAT(DATE(2024,1,1),DATE(2034,1,1),DATE(2024,1,1),0.1,101,0)</t>
  </si>
  <si>
    <t xml:space="preserve">ACCRINTM(DATE(2023,10,1),DATE(2034,1,1),0.05,1000,0)</t>
  </si>
  <si>
    <t xml:space="preserve">ACCRINTM(DATE(2024,1,1),DATE(2024,1,1),0.08,5000,0)</t>
  </si>
  <si>
    <t xml:space="preserve">DISC(DATE(2024,1,1),DATE(2034,1,1),95,100,1)</t>
  </si>
  <si>
    <t xml:space="preserve">DISC(DATE(2024,1,1),DATE(2034,1,1),100,100,1)</t>
  </si>
  <si>
    <t xml:space="preserve">DISC(DATE(2024,1,1),DATE(2034,1,1),99.5,100.5,1)</t>
  </si>
  <si>
    <t xml:space="preserve">PRICEDISC(DATE(2024,1,1),DATE(2034,1,1),0.05,100,1)</t>
  </si>
  <si>
    <t xml:space="preserve">PRICEDISC(DATE(2024,1,1),DATE(2034,1,1),0.1,105,1)</t>
  </si>
  <si>
    <t xml:space="preserve">YIELDDISC(DATE(2024,1,1),DATE(2034,1,1),95,100,1)</t>
  </si>
  <si>
    <t xml:space="preserve">YIELDDISC(DATE(2024,1,1),DATE(2034,1,1),99.5,100.5,1)</t>
  </si>
  <si>
    <t xml:space="preserve">RECEIVED(DATE(2024,1,1),DATE(2034,1,1),1000,0.05,1)</t>
  </si>
  <si>
    <t xml:space="preserve">RECEIVED(DATE(2024,1,1),DATE(2034,1,1),5000,0.12,1)</t>
  </si>
  <si>
    <t xml:space="preserve">INTRATE(DATE(2024,1,1),DATE(2034,1,1),1000,1050,1)</t>
  </si>
  <si>
    <t xml:space="preserve">INTRATE(DATE(2024,1,1),DATE(2034,1,1),950,1000,1)</t>
  </si>
  <si>
    <t xml:space="preserve">PRICEMAT(DATE(2024,1,1),DATE(2034,1,1),DATE(2023,10,1),0.05,0.06,1)</t>
  </si>
  <si>
    <t xml:space="preserve">PRICEMAT(DATE(2024,1,1),DATE(2034,1,1),DATE(2024,1,1),0.1,0.03,1)</t>
  </si>
  <si>
    <t xml:space="preserve">YIELDMAT(DATE(2024,1,1),DATE(2034,1,1),DATE(2023,10,1),0.05,98,1)</t>
  </si>
  <si>
    <t xml:space="preserve">YIELDMAT(DATE(2024,1,1),DATE(2034,1,1),DATE(2024,1,1),0.1,101,1)</t>
  </si>
  <si>
    <t xml:space="preserve">ACCRINTM(DATE(2023,10,1),DATE(2034,1,1),0.05,1000,1)</t>
  </si>
  <si>
    <t xml:space="preserve">ACCRINTM(DATE(2024,1,1),DATE(2024,1,1),0.08,5000,1)</t>
  </si>
  <si>
    <t xml:space="preserve">DISC(DATE(2024,1,1),DATE(2034,1,1),95,100,2)</t>
  </si>
  <si>
    <t xml:space="preserve">DISC(DATE(2024,1,1),DATE(2034,1,1),100,100,2)</t>
  </si>
  <si>
    <t xml:space="preserve">DISC(DATE(2024,1,1),DATE(2034,1,1),99.5,100.5,2)</t>
  </si>
  <si>
    <t xml:space="preserve">PRICEDISC(DATE(2024,1,1),DATE(2034,1,1),0.05,100,2)</t>
  </si>
  <si>
    <t xml:space="preserve">PRICEDISC(DATE(2024,1,1),DATE(2034,1,1),0.1,105,2)</t>
  </si>
  <si>
    <t xml:space="preserve">YIELDDISC(DATE(2024,1,1),DATE(2034,1,1),95,100,2)</t>
  </si>
  <si>
    <t xml:space="preserve">YIELDDISC(DATE(2024,1,1),DATE(2034,1,1),99.5,100.5,2)</t>
  </si>
  <si>
    <t xml:space="preserve">RECEIVED(DATE(2024,1,1),DATE(2034,1,1),1000,0.05,2)</t>
  </si>
  <si>
    <t xml:space="preserve">RECEIVED(DATE(2024,1,1),DATE(2034,1,1),5000,0.12,2)</t>
  </si>
  <si>
    <t xml:space="preserve">INTRATE(DATE(2024,1,1),DATE(2034,1,1),1000,1050,2)</t>
  </si>
  <si>
    <t xml:space="preserve">INTRATE(DATE(2024,1,1),DATE(2034,1,1),950,1000,2)</t>
  </si>
  <si>
    <t xml:space="preserve">PRICEMAT(DATE(2024,1,1),DATE(2034,1,1),DATE(2023,10,1),0.05,0.06,2)</t>
  </si>
  <si>
    <t xml:space="preserve">PRICEMAT(DATE(2024,1,1),DATE(2034,1,1),DATE(2024,1,1),0.1,0.03,2)</t>
  </si>
  <si>
    <t xml:space="preserve">YIELDMAT(DATE(2024,1,1),DATE(2034,1,1),DATE(2023,10,1),0.05,98,2)</t>
  </si>
  <si>
    <t xml:space="preserve">YIELDMAT(DATE(2024,1,1),DATE(2034,1,1),DATE(2024,1,1),0.1,101,2)</t>
  </si>
  <si>
    <t xml:space="preserve">ACCRINTM(DATE(2023,10,1),DATE(2034,1,1),0.05,1000,2)</t>
  </si>
  <si>
    <t xml:space="preserve">ACCRINTM(DATE(2024,1,1),DATE(2024,1,1),0.08,5000,2)</t>
  </si>
  <si>
    <t xml:space="preserve">DISC(DATE(2024,1,1),DATE(2034,1,1),95,100,3)</t>
  </si>
  <si>
    <t xml:space="preserve">DISC(DATE(2024,1,1),DATE(2034,1,1),100,100,3)</t>
  </si>
  <si>
    <t xml:space="preserve">DISC(DATE(2024,1,1),DATE(2034,1,1),99.5,100.5,3)</t>
  </si>
  <si>
    <t xml:space="preserve">PRICEDISC(DATE(2024,1,1),DATE(2034,1,1),0.05,100,3)</t>
  </si>
  <si>
    <t xml:space="preserve">PRICEDISC(DATE(2024,1,1),DATE(2034,1,1),0.1,105,3)</t>
  </si>
  <si>
    <t xml:space="preserve">YIELDDISC(DATE(2024,1,1),DATE(2034,1,1),95,100,3)</t>
  </si>
  <si>
    <t xml:space="preserve">YIELDDISC(DATE(2024,1,1),DATE(2034,1,1),99.5,100.5,3)</t>
  </si>
  <si>
    <t xml:space="preserve">RECEIVED(DATE(2024,1,1),DATE(2034,1,1),1000,0.05,3)</t>
  </si>
  <si>
    <t xml:space="preserve">RECEIVED(DATE(2024,1,1),DATE(2034,1,1),5000,0.12,3)</t>
  </si>
  <si>
    <t xml:space="preserve">INTRATE(DATE(2024,1,1),DATE(2034,1,1),1000,1050,3)</t>
  </si>
  <si>
    <t xml:space="preserve">INTRATE(DATE(2024,1,1),DATE(2034,1,1),950,1000,3)</t>
  </si>
  <si>
    <t xml:space="preserve">PRICEMAT(DATE(2024,1,1),DATE(2034,1,1),DATE(2023,10,1),0.05,0.06,3)</t>
  </si>
  <si>
    <t xml:space="preserve">PRICEMAT(DATE(2024,1,1),DATE(2034,1,1),DATE(2024,1,1),0.1,0.03,3)</t>
  </si>
  <si>
    <t xml:space="preserve">YIELDMAT(DATE(2024,1,1),DATE(2034,1,1),DATE(2023,10,1),0.05,98,3)</t>
  </si>
  <si>
    <t xml:space="preserve">YIELDMAT(DATE(2024,1,1),DATE(2034,1,1),DATE(2024,1,1),0.1,101,3)</t>
  </si>
  <si>
    <t xml:space="preserve">ACCRINTM(DATE(2023,10,1),DATE(2034,1,1),0.05,1000,3)</t>
  </si>
  <si>
    <t xml:space="preserve">ACCRINTM(DATE(2024,1,1),DATE(2024,1,1),0.08,5000,3)</t>
  </si>
  <si>
    <t xml:space="preserve">DISC(DATE(2024,1,1),DATE(2034,1,1),95,100,4)</t>
  </si>
  <si>
    <t xml:space="preserve">DISC(DATE(2024,1,1),DATE(2034,1,1),100,100,4)</t>
  </si>
  <si>
    <t xml:space="preserve">DISC(DATE(2024,1,1),DATE(2034,1,1),99.5,100.5,4)</t>
  </si>
  <si>
    <t xml:space="preserve">PRICEDISC(DATE(2024,1,1),DATE(2034,1,1),0.05,100,4)</t>
  </si>
  <si>
    <t xml:space="preserve">PRICEDISC(DATE(2024,1,1),DATE(2034,1,1),0.1,105,4)</t>
  </si>
  <si>
    <t xml:space="preserve">YIELDDISC(DATE(2024,1,1),DATE(2034,1,1),95,100,4)</t>
  </si>
  <si>
    <t xml:space="preserve">YIELDDISC(DATE(2024,1,1),DATE(2034,1,1),99.5,100.5,4)</t>
  </si>
  <si>
    <t xml:space="preserve">RECEIVED(DATE(2024,1,1),DATE(2034,1,1),1000,0.05,4)</t>
  </si>
  <si>
    <t xml:space="preserve">RECEIVED(DATE(2024,1,1),DATE(2034,1,1),5000,0.12,4)</t>
  </si>
  <si>
    <t xml:space="preserve">INTRATE(DATE(2024,1,1),DATE(2034,1,1),1000,1050,4)</t>
  </si>
  <si>
    <t xml:space="preserve">INTRATE(DATE(2024,1,1),DATE(2034,1,1),950,1000,4)</t>
  </si>
  <si>
    <t xml:space="preserve">PRICEMAT(DATE(2024,1,1),DATE(2034,1,1),DATE(2023,10,1),0.05,0.06,4)</t>
  </si>
  <si>
    <t xml:space="preserve">PRICEMAT(DATE(2024,1,1),DATE(2034,1,1),DATE(2024,1,1),0.1,0.03,4)</t>
  </si>
  <si>
    <t xml:space="preserve">YIELDMAT(DATE(2024,1,1),DATE(2034,1,1),DATE(2023,10,1),0.05,98,4)</t>
  </si>
  <si>
    <t xml:space="preserve">YIELDMAT(DATE(2024,1,1),DATE(2034,1,1),DATE(2024,1,1),0.1,101,4)</t>
  </si>
  <si>
    <t xml:space="preserve">ACCRINTM(DATE(2023,10,1),DATE(2034,1,1),0.05,1000,4)</t>
  </si>
  <si>
    <t xml:space="preserve">ACCRINTM(DATE(2024,1,1),DATE(2024,1,1),0.08,5000,4)</t>
  </si>
  <si>
    <t xml:space="preserve">TBILLPRICE(DATE(2024,1,1),DATE(2034,1,1),0.05)</t>
  </si>
  <si>
    <t xml:space="preserve">TBILLYIELD(DATE(2024,1,1),DATE(2034,1,1),98)</t>
  </si>
  <si>
    <t xml:space="preserve">TBILLEQ(DATE(2024,1,1),DATE(2034,1,1),0.05)</t>
  </si>
  <si>
    <t xml:space="preserve">TBILLEQ(DATE(2024,1,1),DATE(2034,1,1),0.12)</t>
  </si>
  <si>
    <t xml:space="preserve">DISC(DATE(2024,7,1),DATE(2024,7,1),95,100,0)</t>
  </si>
  <si>
    <t xml:space="preserve">DISC(DATE(2024,7,1),DATE(2024,7,1),100,100,0)</t>
  </si>
  <si>
    <t xml:space="preserve">DISC(DATE(2024,7,1),DATE(2024,7,1),99.5,100.5,0)</t>
  </si>
  <si>
    <t xml:space="preserve">PRICEDISC(DATE(2024,7,1),DATE(2024,7,1),0.05,100,0)</t>
  </si>
  <si>
    <t xml:space="preserve">PRICEDISC(DATE(2024,7,1),DATE(2024,7,1),0.1,105,0)</t>
  </si>
  <si>
    <t xml:space="preserve">YIELDDISC(DATE(2024,7,1),DATE(2024,7,1),95,100,0)</t>
  </si>
  <si>
    <t xml:space="preserve">YIELDDISC(DATE(2024,7,1),DATE(2024,7,1),99.5,100.5,0)</t>
  </si>
  <si>
    <t xml:space="preserve">RECEIVED(DATE(2024,7,1),DATE(2024,7,1),1000,0.05,0)</t>
  </si>
  <si>
    <t xml:space="preserve">RECEIVED(DATE(2024,7,1),DATE(2024,7,1),5000,0.12,0)</t>
  </si>
  <si>
    <t xml:space="preserve">INTRATE(DATE(2024,7,1),DATE(2024,7,1),1000,1050,0)</t>
  </si>
  <si>
    <t xml:space="preserve">INTRATE(DATE(2024,7,1),DATE(2024,7,1),950,1000,0)</t>
  </si>
  <si>
    <t xml:space="preserve">PRICEMAT(DATE(2024,7,1),DATE(2024,7,1),DATE(2023,10,1),0.05,0.06,0)</t>
  </si>
  <si>
    <t xml:space="preserve">PRICEMAT(DATE(2024,7,1),DATE(2024,7,1),DATE(2024,1,1),0.1,0.03,0)</t>
  </si>
  <si>
    <t xml:space="preserve">YIELDMAT(DATE(2024,7,1),DATE(2024,7,1),DATE(2023,10,1),0.05,98,0)</t>
  </si>
  <si>
    <t xml:space="preserve">YIELDMAT(DATE(2024,7,1),DATE(2024,7,1),DATE(2024,1,1),0.1,101,0)</t>
  </si>
  <si>
    <t xml:space="preserve">ACCRINTM(DATE(2023,10,1),DATE(2024,7,1),0.05,1000,0)</t>
  </si>
  <si>
    <t xml:space="preserve">ACCRINTM(DATE(2024,1,1),DATE(2024,7,1),0.08,5000,0)</t>
  </si>
  <si>
    <t xml:space="preserve">DISC(DATE(2024,7,1),DATE(2024,7,1),95,100,1)</t>
  </si>
  <si>
    <t xml:space="preserve">DISC(DATE(2024,7,1),DATE(2024,7,1),100,100,1)</t>
  </si>
  <si>
    <t xml:space="preserve">DISC(DATE(2024,7,1),DATE(2024,7,1),99.5,100.5,1)</t>
  </si>
  <si>
    <t xml:space="preserve">PRICEDISC(DATE(2024,7,1),DATE(2024,7,1),0.05,100,1)</t>
  </si>
  <si>
    <t xml:space="preserve">PRICEDISC(DATE(2024,7,1),DATE(2024,7,1),0.1,105,1)</t>
  </si>
  <si>
    <t xml:space="preserve">YIELDDISC(DATE(2024,7,1),DATE(2024,7,1),95,100,1)</t>
  </si>
  <si>
    <t xml:space="preserve">YIELDDISC(DATE(2024,7,1),DATE(2024,7,1),99.5,100.5,1)</t>
  </si>
  <si>
    <t xml:space="preserve">RECEIVED(DATE(2024,7,1),DATE(2024,7,1),1000,0.05,1)</t>
  </si>
  <si>
    <t xml:space="preserve">RECEIVED(DATE(2024,7,1),DATE(2024,7,1),5000,0.12,1)</t>
  </si>
  <si>
    <t xml:space="preserve">INTRATE(DATE(2024,7,1),DATE(2024,7,1),1000,1050,1)</t>
  </si>
  <si>
    <t xml:space="preserve">INTRATE(DATE(2024,7,1),DATE(2024,7,1),950,1000,1)</t>
  </si>
  <si>
    <t xml:space="preserve">PRICEMAT(DATE(2024,7,1),DATE(2024,7,1),DATE(2023,10,1),0.05,0.06,1)</t>
  </si>
  <si>
    <t xml:space="preserve">PRICEMAT(DATE(2024,7,1),DATE(2024,7,1),DATE(2024,1,1),0.1,0.03,1)</t>
  </si>
  <si>
    <t xml:space="preserve">YIELDMAT(DATE(2024,7,1),DATE(2024,7,1),DATE(2023,10,1),0.05,98,1)</t>
  </si>
  <si>
    <t xml:space="preserve">YIELDMAT(DATE(2024,7,1),DATE(2024,7,1),DATE(2024,1,1),0.1,101,1)</t>
  </si>
  <si>
    <t xml:space="preserve">ACCRINTM(DATE(2023,10,1),DATE(2024,7,1),0.05,1000,1)</t>
  </si>
  <si>
    <t xml:space="preserve">ACCRINTM(DATE(2024,1,1),DATE(2024,7,1),0.08,5000,1)</t>
  </si>
  <si>
    <t xml:space="preserve">DISC(DATE(2024,7,1),DATE(2024,7,1),95,100,2)</t>
  </si>
  <si>
    <t xml:space="preserve">DISC(DATE(2024,7,1),DATE(2024,7,1),100,100,2)</t>
  </si>
  <si>
    <t xml:space="preserve">DISC(DATE(2024,7,1),DATE(2024,7,1),99.5,100.5,2)</t>
  </si>
  <si>
    <t xml:space="preserve">PRICEDISC(DATE(2024,7,1),DATE(2024,7,1),0.05,100,2)</t>
  </si>
  <si>
    <t xml:space="preserve">PRICEDISC(DATE(2024,7,1),DATE(2024,7,1),0.1,105,2)</t>
  </si>
  <si>
    <t xml:space="preserve">YIELDDISC(DATE(2024,7,1),DATE(2024,7,1),95,100,2)</t>
  </si>
  <si>
    <t xml:space="preserve">YIELDDISC(DATE(2024,7,1),DATE(2024,7,1),99.5,100.5,2)</t>
  </si>
  <si>
    <t xml:space="preserve">RECEIVED(DATE(2024,7,1),DATE(2024,7,1),1000,0.05,2)</t>
  </si>
  <si>
    <t xml:space="preserve">RECEIVED(DATE(2024,7,1),DATE(2024,7,1),5000,0.12,2)</t>
  </si>
  <si>
    <t xml:space="preserve">INTRATE(DATE(2024,7,1),DATE(2024,7,1),1000,1050,2)</t>
  </si>
  <si>
    <t xml:space="preserve">INTRATE(DATE(2024,7,1),DATE(2024,7,1),950,1000,2)</t>
  </si>
  <si>
    <t xml:space="preserve">PRICEMAT(DATE(2024,7,1),DATE(2024,7,1),DATE(2023,10,1),0.05,0.06,2)</t>
  </si>
  <si>
    <t xml:space="preserve">PRICEMAT(DATE(2024,7,1),DATE(2024,7,1),DATE(2024,1,1),0.1,0.03,2)</t>
  </si>
  <si>
    <t xml:space="preserve">YIELDMAT(DATE(2024,7,1),DATE(2024,7,1),DATE(2023,10,1),0.05,98,2)</t>
  </si>
  <si>
    <t xml:space="preserve">YIELDMAT(DATE(2024,7,1),DATE(2024,7,1),DATE(2024,1,1),0.1,101,2)</t>
  </si>
  <si>
    <t xml:space="preserve">ACCRINTM(DATE(2023,10,1),DATE(2024,7,1),0.05,1000,2)</t>
  </si>
  <si>
    <t xml:space="preserve">ACCRINTM(DATE(2024,1,1),DATE(2024,7,1),0.08,5000,2)</t>
  </si>
  <si>
    <t xml:space="preserve">DISC(DATE(2024,7,1),DATE(2024,7,1),95,100,3)</t>
  </si>
  <si>
    <t xml:space="preserve">DISC(DATE(2024,7,1),DATE(2024,7,1),100,100,3)</t>
  </si>
  <si>
    <t xml:space="preserve">DISC(DATE(2024,7,1),DATE(2024,7,1),99.5,100.5,3)</t>
  </si>
  <si>
    <t xml:space="preserve">PRICEDISC(DATE(2024,7,1),DATE(2024,7,1),0.05,100,3)</t>
  </si>
  <si>
    <t xml:space="preserve">PRICEDISC(DATE(2024,7,1),DATE(2024,7,1),0.1,105,3)</t>
  </si>
  <si>
    <t xml:space="preserve">YIELDDISC(DATE(2024,7,1),DATE(2024,7,1),95,100,3)</t>
  </si>
  <si>
    <t xml:space="preserve">YIELDDISC(DATE(2024,7,1),DATE(2024,7,1),99.5,100.5,3)</t>
  </si>
  <si>
    <t xml:space="preserve">RECEIVED(DATE(2024,7,1),DATE(2024,7,1),1000,0.05,3)</t>
  </si>
  <si>
    <t xml:space="preserve">RECEIVED(DATE(2024,7,1),DATE(2024,7,1),5000,0.12,3)</t>
  </si>
  <si>
    <t xml:space="preserve">INTRATE(DATE(2024,7,1),DATE(2024,7,1),1000,1050,3)</t>
  </si>
  <si>
    <t xml:space="preserve">INTRATE(DATE(2024,7,1),DATE(2024,7,1),950,1000,3)</t>
  </si>
  <si>
    <t xml:space="preserve">PRICEMAT(DATE(2024,7,1),DATE(2024,7,1),DATE(2023,10,1),0.05,0.06,3)</t>
  </si>
  <si>
    <t xml:space="preserve">PRICEMAT(DATE(2024,7,1),DATE(2024,7,1),DATE(2024,1,1),0.1,0.03,3)</t>
  </si>
  <si>
    <t xml:space="preserve">YIELDMAT(DATE(2024,7,1),DATE(2024,7,1),DATE(2023,10,1),0.05,98,3)</t>
  </si>
  <si>
    <t xml:space="preserve">YIELDMAT(DATE(2024,7,1),DATE(2024,7,1),DATE(2024,1,1),0.1,101,3)</t>
  </si>
  <si>
    <t xml:space="preserve">ACCRINTM(DATE(2023,10,1),DATE(2024,7,1),0.05,1000,3)</t>
  </si>
  <si>
    <t xml:space="preserve">ACCRINTM(DATE(2024,1,1),DATE(2024,7,1),0.08,5000,3)</t>
  </si>
  <si>
    <t xml:space="preserve">DISC(DATE(2024,7,1),DATE(2024,7,1),95,100,4)</t>
  </si>
  <si>
    <t xml:space="preserve">DISC(DATE(2024,7,1),DATE(2024,7,1),100,100,4)</t>
  </si>
  <si>
    <t xml:space="preserve">DISC(DATE(2024,7,1),DATE(2024,7,1),99.5,100.5,4)</t>
  </si>
  <si>
    <t xml:space="preserve">PRICEDISC(DATE(2024,7,1),DATE(2024,7,1),0.05,100,4)</t>
  </si>
  <si>
    <t xml:space="preserve">PRICEDISC(DATE(2024,7,1),DATE(2024,7,1),0.1,105,4)</t>
  </si>
  <si>
    <t xml:space="preserve">YIELDDISC(DATE(2024,7,1),DATE(2024,7,1),95,100,4)</t>
  </si>
  <si>
    <t xml:space="preserve">YIELDDISC(DATE(2024,7,1),DATE(2024,7,1),99.5,100.5,4)</t>
  </si>
  <si>
    <t xml:space="preserve">RECEIVED(DATE(2024,7,1),DATE(2024,7,1),1000,0.05,4)</t>
  </si>
  <si>
    <t xml:space="preserve">RECEIVED(DATE(2024,7,1),DATE(2024,7,1),5000,0.12,4)</t>
  </si>
  <si>
    <t xml:space="preserve">INTRATE(DATE(2024,7,1),DATE(2024,7,1),1000,1050,4)</t>
  </si>
  <si>
    <t xml:space="preserve">INTRATE(DATE(2024,7,1),DATE(2024,7,1),950,1000,4)</t>
  </si>
  <si>
    <t xml:space="preserve">PRICEMAT(DATE(2024,7,1),DATE(2024,7,1),DATE(2023,10,1),0.05,0.06,4)</t>
  </si>
  <si>
    <t xml:space="preserve">PRICEMAT(DATE(2024,7,1),DATE(2024,7,1),DATE(2024,1,1),0.1,0.03,4)</t>
  </si>
  <si>
    <t xml:space="preserve">YIELDMAT(DATE(2024,7,1),DATE(2024,7,1),DATE(2023,10,1),0.05,98,4)</t>
  </si>
  <si>
    <t xml:space="preserve">YIELDMAT(DATE(2024,7,1),DATE(2024,7,1),DATE(2024,1,1),0.1,101,4)</t>
  </si>
  <si>
    <t xml:space="preserve">ACCRINTM(DATE(2023,10,1),DATE(2024,7,1),0.05,1000,4)</t>
  </si>
  <si>
    <t xml:space="preserve">ACCRINTM(DATE(2024,1,1),DATE(2024,7,1),0.08,5000,4)</t>
  </si>
  <si>
    <t xml:space="preserve">TBILLPRICE(DATE(2024,7,1),DATE(2024,7,1),0.05)</t>
  </si>
  <si>
    <t xml:space="preserve">TBILLYIELD(DATE(2024,7,1),DATE(2024,7,1),98)</t>
  </si>
  <si>
    <t xml:space="preserve">TBILLEQ(DATE(2024,7,1),DATE(2024,7,1),0.05)</t>
  </si>
  <si>
    <t xml:space="preserve">TBILLEQ(DATE(2024,7,1),DATE(2024,7,1),0.12)</t>
  </si>
  <si>
    <t xml:space="preserve">DISC(DATE(2024,8,1),DATE(2024,7,1),95,100,0)</t>
  </si>
  <si>
    <t xml:space="preserve">DISC(DATE(2024,8,1),DATE(2024,7,1),100,100,0)</t>
  </si>
  <si>
    <t xml:space="preserve">DISC(DATE(2024,8,1),DATE(2024,7,1),99.5,100.5,0)</t>
  </si>
  <si>
    <t xml:space="preserve">PRICEDISC(DATE(2024,8,1),DATE(2024,7,1),0.05,100,0)</t>
  </si>
  <si>
    <t xml:space="preserve">PRICEDISC(DATE(2024,8,1),DATE(2024,7,1),0.1,105,0)</t>
  </si>
  <si>
    <t xml:space="preserve">YIELDDISC(DATE(2024,8,1),DATE(2024,7,1),95,100,0)</t>
  </si>
  <si>
    <t xml:space="preserve">YIELDDISC(DATE(2024,8,1),DATE(2024,7,1),99.5,100.5,0)</t>
  </si>
  <si>
    <t xml:space="preserve">RECEIVED(DATE(2024,8,1),DATE(2024,7,1),1000,0.05,0)</t>
  </si>
  <si>
    <t xml:space="preserve">RECEIVED(DATE(2024,8,1),DATE(2024,7,1),5000,0.12,0)</t>
  </si>
  <si>
    <t xml:space="preserve">INTRATE(DATE(2024,8,1),DATE(2024,7,1),1000,1050,0)</t>
  </si>
  <si>
    <t xml:space="preserve">INTRATE(DATE(2024,8,1),DATE(2024,7,1),950,1000,0)</t>
  </si>
  <si>
    <t xml:space="preserve">PRICEMAT(DATE(2024,8,1),DATE(2024,7,1),DATE(2023,10,1),0.05,0.06,0)</t>
  </si>
  <si>
    <t xml:space="preserve">PRICEMAT(DATE(2024,8,1),DATE(2024,7,1),DATE(2024,1,1),0.1,0.03,0)</t>
  </si>
  <si>
    <t xml:space="preserve">YIELDMAT(DATE(2024,8,1),DATE(2024,7,1),DATE(2023,10,1),0.05,98,0)</t>
  </si>
  <si>
    <t xml:space="preserve">YIELDMAT(DATE(2024,8,1),DATE(2024,7,1),DATE(2024,1,1),0.1,101,0)</t>
  </si>
  <si>
    <t xml:space="preserve">ACCRINTM(DATE(2024,1,1),DATE(2024,8,1),0.08,5000,0)</t>
  </si>
  <si>
    <t xml:space="preserve">DISC(DATE(2024,8,1),DATE(2024,7,1),95,100,1)</t>
  </si>
  <si>
    <t xml:space="preserve">DISC(DATE(2024,8,1),DATE(2024,7,1),100,100,1)</t>
  </si>
  <si>
    <t xml:space="preserve">DISC(DATE(2024,8,1),DATE(2024,7,1),99.5,100.5,1)</t>
  </si>
  <si>
    <t xml:space="preserve">PRICEDISC(DATE(2024,8,1),DATE(2024,7,1),0.05,100,1)</t>
  </si>
  <si>
    <t xml:space="preserve">PRICEDISC(DATE(2024,8,1),DATE(2024,7,1),0.1,105,1)</t>
  </si>
  <si>
    <t xml:space="preserve">YIELDDISC(DATE(2024,8,1),DATE(2024,7,1),95,100,1)</t>
  </si>
  <si>
    <t xml:space="preserve">YIELDDISC(DATE(2024,8,1),DATE(2024,7,1),99.5,100.5,1)</t>
  </si>
  <si>
    <t xml:space="preserve">RECEIVED(DATE(2024,8,1),DATE(2024,7,1),1000,0.05,1)</t>
  </si>
  <si>
    <t xml:space="preserve">RECEIVED(DATE(2024,8,1),DATE(2024,7,1),5000,0.12,1)</t>
  </si>
  <si>
    <t xml:space="preserve">INTRATE(DATE(2024,8,1),DATE(2024,7,1),1000,1050,1)</t>
  </si>
  <si>
    <t xml:space="preserve">INTRATE(DATE(2024,8,1),DATE(2024,7,1),950,1000,1)</t>
  </si>
  <si>
    <t xml:space="preserve">PRICEMAT(DATE(2024,8,1),DATE(2024,7,1),DATE(2023,10,1),0.05,0.06,1)</t>
  </si>
  <si>
    <t xml:space="preserve">PRICEMAT(DATE(2024,8,1),DATE(2024,7,1),DATE(2024,1,1),0.1,0.03,1)</t>
  </si>
  <si>
    <t xml:space="preserve">YIELDMAT(DATE(2024,8,1),DATE(2024,7,1),DATE(2023,10,1),0.05,98,1)</t>
  </si>
  <si>
    <t xml:space="preserve">YIELDMAT(DATE(2024,8,1),DATE(2024,7,1),DATE(2024,1,1),0.1,101,1)</t>
  </si>
  <si>
    <t xml:space="preserve">ACCRINTM(DATE(2024,1,1),DATE(2024,8,1),0.08,5000,1)</t>
  </si>
  <si>
    <t xml:space="preserve">DISC(DATE(2024,8,1),DATE(2024,7,1),95,100,2)</t>
  </si>
  <si>
    <t xml:space="preserve">DISC(DATE(2024,8,1),DATE(2024,7,1),100,100,2)</t>
  </si>
  <si>
    <t xml:space="preserve">DISC(DATE(2024,8,1),DATE(2024,7,1),99.5,100.5,2)</t>
  </si>
  <si>
    <t xml:space="preserve">PRICEDISC(DATE(2024,8,1),DATE(2024,7,1),0.05,100,2)</t>
  </si>
  <si>
    <t xml:space="preserve">PRICEDISC(DATE(2024,8,1),DATE(2024,7,1),0.1,105,2)</t>
  </si>
  <si>
    <t xml:space="preserve">YIELDDISC(DATE(2024,8,1),DATE(2024,7,1),95,100,2)</t>
  </si>
  <si>
    <t xml:space="preserve">YIELDDISC(DATE(2024,8,1),DATE(2024,7,1),99.5,100.5,2)</t>
  </si>
  <si>
    <t xml:space="preserve">RECEIVED(DATE(2024,8,1),DATE(2024,7,1),1000,0.05,2)</t>
  </si>
  <si>
    <t xml:space="preserve">RECEIVED(DATE(2024,8,1),DATE(2024,7,1),5000,0.12,2)</t>
  </si>
  <si>
    <t xml:space="preserve">INTRATE(DATE(2024,8,1),DATE(2024,7,1),1000,1050,2)</t>
  </si>
  <si>
    <t xml:space="preserve">INTRATE(DATE(2024,8,1),DATE(2024,7,1),950,1000,2)</t>
  </si>
  <si>
    <t xml:space="preserve">PRICEMAT(DATE(2024,8,1),DATE(2024,7,1),DATE(2023,10,1),0.05,0.06,2)</t>
  </si>
  <si>
    <t xml:space="preserve">PRICEMAT(DATE(2024,8,1),DATE(2024,7,1),DATE(2024,1,1),0.1,0.03,2)</t>
  </si>
  <si>
    <t xml:space="preserve">YIELDMAT(DATE(2024,8,1),DATE(2024,7,1),DATE(2023,10,1),0.05,98,2)</t>
  </si>
  <si>
    <t xml:space="preserve">YIELDMAT(DATE(2024,8,1),DATE(2024,7,1),DATE(2024,1,1),0.1,101,2)</t>
  </si>
  <si>
    <t xml:space="preserve">ACCRINTM(DATE(2024,1,1),DATE(2024,8,1),0.08,5000,2)</t>
  </si>
  <si>
    <t xml:space="preserve">DISC(DATE(2024,8,1),DATE(2024,7,1),95,100,3)</t>
  </si>
  <si>
    <t xml:space="preserve">DISC(DATE(2024,8,1),DATE(2024,7,1),100,100,3)</t>
  </si>
  <si>
    <t xml:space="preserve">DISC(DATE(2024,8,1),DATE(2024,7,1),99.5,100.5,3)</t>
  </si>
  <si>
    <t xml:space="preserve">PRICEDISC(DATE(2024,8,1),DATE(2024,7,1),0.05,100,3)</t>
  </si>
  <si>
    <t xml:space="preserve">PRICEDISC(DATE(2024,8,1),DATE(2024,7,1),0.1,105,3)</t>
  </si>
  <si>
    <t xml:space="preserve">YIELDDISC(DATE(2024,8,1),DATE(2024,7,1),95,100,3)</t>
  </si>
  <si>
    <t xml:space="preserve">YIELDDISC(DATE(2024,8,1),DATE(2024,7,1),99.5,100.5,3)</t>
  </si>
  <si>
    <t xml:space="preserve">RECEIVED(DATE(2024,8,1),DATE(2024,7,1),1000,0.05,3)</t>
  </si>
  <si>
    <t xml:space="preserve">RECEIVED(DATE(2024,8,1),DATE(2024,7,1),5000,0.12,3)</t>
  </si>
  <si>
    <t xml:space="preserve">INTRATE(DATE(2024,8,1),DATE(2024,7,1),1000,1050,3)</t>
  </si>
  <si>
    <t xml:space="preserve">INTRATE(DATE(2024,8,1),DATE(2024,7,1),950,1000,3)</t>
  </si>
  <si>
    <t xml:space="preserve">PRICEMAT(DATE(2024,8,1),DATE(2024,7,1),DATE(2023,10,1),0.05,0.06,3)</t>
  </si>
  <si>
    <t xml:space="preserve">PRICEMAT(DATE(2024,8,1),DATE(2024,7,1),DATE(2024,1,1),0.1,0.03,3)</t>
  </si>
  <si>
    <t xml:space="preserve">YIELDMAT(DATE(2024,8,1),DATE(2024,7,1),DATE(2023,10,1),0.05,98,3)</t>
  </si>
  <si>
    <t xml:space="preserve">YIELDMAT(DATE(2024,8,1),DATE(2024,7,1),DATE(2024,1,1),0.1,101,3)</t>
  </si>
  <si>
    <t xml:space="preserve">ACCRINTM(DATE(2024,1,1),DATE(2024,8,1),0.08,5000,3)</t>
  </si>
  <si>
    <t xml:space="preserve">DISC(DATE(2024,8,1),DATE(2024,7,1),95,100,4)</t>
  </si>
  <si>
    <t xml:space="preserve">DISC(DATE(2024,8,1),DATE(2024,7,1),100,100,4)</t>
  </si>
  <si>
    <t xml:space="preserve">DISC(DATE(2024,8,1),DATE(2024,7,1),99.5,100.5,4)</t>
  </si>
  <si>
    <t xml:space="preserve">PRICEDISC(DATE(2024,8,1),DATE(2024,7,1),0.05,100,4)</t>
  </si>
  <si>
    <t xml:space="preserve">PRICEDISC(DATE(2024,8,1),DATE(2024,7,1),0.1,105,4)</t>
  </si>
  <si>
    <t xml:space="preserve">YIELDDISC(DATE(2024,8,1),DATE(2024,7,1),95,100,4)</t>
  </si>
  <si>
    <t xml:space="preserve">YIELDDISC(DATE(2024,8,1),DATE(2024,7,1),99.5,100.5,4)</t>
  </si>
  <si>
    <t xml:space="preserve">RECEIVED(DATE(2024,8,1),DATE(2024,7,1),1000,0.05,4)</t>
  </si>
  <si>
    <t xml:space="preserve">RECEIVED(DATE(2024,8,1),DATE(2024,7,1),5000,0.12,4)</t>
  </si>
  <si>
    <t xml:space="preserve">INTRATE(DATE(2024,8,1),DATE(2024,7,1),1000,1050,4)</t>
  </si>
  <si>
    <t xml:space="preserve">INTRATE(DATE(2024,8,1),DATE(2024,7,1),950,1000,4)</t>
  </si>
  <si>
    <t xml:space="preserve">PRICEMAT(DATE(2024,8,1),DATE(2024,7,1),DATE(2023,10,1),0.05,0.06,4)</t>
  </si>
  <si>
    <t xml:space="preserve">PRICEMAT(DATE(2024,8,1),DATE(2024,7,1),DATE(2024,1,1),0.1,0.03,4)</t>
  </si>
  <si>
    <t xml:space="preserve">YIELDMAT(DATE(2024,8,1),DATE(2024,7,1),DATE(2023,10,1),0.05,98,4)</t>
  </si>
  <si>
    <t xml:space="preserve">YIELDMAT(DATE(2024,8,1),DATE(2024,7,1),DATE(2024,1,1),0.1,101,4)</t>
  </si>
  <si>
    <t xml:space="preserve">ACCRINTM(DATE(2024,1,1),DATE(2024,8,1),0.08,5000,4)</t>
  </si>
  <si>
    <t xml:space="preserve">TBILLPRICE(DATE(2024,8,1),DATE(2024,7,1),0.05)</t>
  </si>
  <si>
    <t xml:space="preserve">TBILLYIELD(DATE(2024,8,1),DATE(2024,7,1),98)</t>
  </si>
  <si>
    <t xml:space="preserve">TBILLEQ(DATE(2024,8,1),DATE(2024,7,1),0.05)</t>
  </si>
  <si>
    <t xml:space="preserve">TBILLEQ(DATE(2024,8,1),DATE(2024,7,1),0.12)</t>
  </si>
  <si>
    <t xml:space="preserve">DISC(DATE(2023,12,31),DATE(2024,6,30),95,100,0)</t>
  </si>
  <si>
    <t xml:space="preserve">DISC(DATE(2023,12,31),DATE(2024,6,30),100,100,0)</t>
  </si>
  <si>
    <t xml:space="preserve">DISC(DATE(2023,12,31),DATE(2024,6,30),99.5,100.5,0)</t>
  </si>
  <si>
    <t xml:space="preserve">PRICEDISC(DATE(2023,12,31),DATE(2024,6,30),0.05,100,0)</t>
  </si>
  <si>
    <t xml:space="preserve">PRICEDISC(DATE(2023,12,31),DATE(2024,6,30),0.1,105,0)</t>
  </si>
  <si>
    <t xml:space="preserve">YIELDDISC(DATE(2023,12,31),DATE(2024,6,30),95,100,0)</t>
  </si>
  <si>
    <t xml:space="preserve">YIELDDISC(DATE(2023,12,31),DATE(2024,6,30),99.5,100.5,0)</t>
  </si>
  <si>
    <t xml:space="preserve">RECEIVED(DATE(2023,12,31),DATE(2024,6,30),1000,0.05,0)</t>
  </si>
  <si>
    <t xml:space="preserve">RECEIVED(DATE(2023,12,31),DATE(2024,6,30),5000,0.12,0)</t>
  </si>
  <si>
    <t xml:space="preserve">INTRATE(DATE(2023,12,31),DATE(2024,6,30),1000,1050,0)</t>
  </si>
  <si>
    <t xml:space="preserve">INTRATE(DATE(2023,12,31),DATE(2024,6,30),950,1000,0)</t>
  </si>
  <si>
    <t xml:space="preserve">PRICEMAT(DATE(2023,12,31),DATE(2024,6,30),DATE(2023,10,1),0.05,0.06,0)</t>
  </si>
  <si>
    <t xml:space="preserve">PRICEMAT(DATE(2023,12,31),DATE(2024,6,30),DATE(2024,1,1),0.1,0.03,0)</t>
  </si>
  <si>
    <t xml:space="preserve">YIELDMAT(DATE(2023,12,31),DATE(2024,6,30),DATE(2023,10,1),0.05,98,0)</t>
  </si>
  <si>
    <t xml:space="preserve">YIELDMAT(DATE(2023,12,31),DATE(2024,6,30),DATE(2024,1,1),0.1,101,0)</t>
  </si>
  <si>
    <t xml:space="preserve">ACCRINTM(DATE(2023,10,1),DATE(2024,6,30),0.05,1000,0)</t>
  </si>
  <si>
    <t xml:space="preserve">ACCRINTM(DATE(2024,1,1),DATE(2023,12,31),0.08,5000,0)</t>
  </si>
  <si>
    <t xml:space="preserve">DISC(DATE(2023,12,31),DATE(2024,6,30),95,100,1)</t>
  </si>
  <si>
    <t xml:space="preserve">DISC(DATE(2023,12,31),DATE(2024,6,30),100,100,1)</t>
  </si>
  <si>
    <t xml:space="preserve">DISC(DATE(2023,12,31),DATE(2024,6,30),99.5,100.5,1)</t>
  </si>
  <si>
    <t xml:space="preserve">PRICEDISC(DATE(2023,12,31),DATE(2024,6,30),0.05,100,1)</t>
  </si>
  <si>
    <t xml:space="preserve">PRICEDISC(DATE(2023,12,31),DATE(2024,6,30),0.1,105,1)</t>
  </si>
  <si>
    <t xml:space="preserve">YIELDDISC(DATE(2023,12,31),DATE(2024,6,30),95,100,1)</t>
  </si>
  <si>
    <t xml:space="preserve">YIELDDISC(DATE(2023,12,31),DATE(2024,6,30),99.5,100.5,1)</t>
  </si>
  <si>
    <t xml:space="preserve">RECEIVED(DATE(2023,12,31),DATE(2024,6,30),1000,0.05,1)</t>
  </si>
  <si>
    <t xml:space="preserve">RECEIVED(DATE(2023,12,31),DATE(2024,6,30),5000,0.12,1)</t>
  </si>
  <si>
    <t xml:space="preserve">INTRATE(DATE(2023,12,31),DATE(2024,6,30),1000,1050,1)</t>
  </si>
  <si>
    <t xml:space="preserve">INTRATE(DATE(2023,12,31),DATE(2024,6,30),950,1000,1)</t>
  </si>
  <si>
    <t xml:space="preserve">PRICEMAT(DATE(2023,12,31),DATE(2024,6,30),DATE(2023,10,1),0.05,0.06,1)</t>
  </si>
  <si>
    <t xml:space="preserve">PRICEMAT(DATE(2023,12,31),DATE(2024,6,30),DATE(2024,1,1),0.1,0.03,1)</t>
  </si>
  <si>
    <t xml:space="preserve">YIELDMAT(DATE(2023,12,31),DATE(2024,6,30),DATE(2023,10,1),0.05,98,1)</t>
  </si>
  <si>
    <t xml:space="preserve">YIELDMAT(DATE(2023,12,31),DATE(2024,6,30),DATE(2024,1,1),0.1,101,1)</t>
  </si>
  <si>
    <t xml:space="preserve">ACCRINTM(DATE(2023,10,1),DATE(2024,6,30),0.05,1000,1)</t>
  </si>
  <si>
    <t xml:space="preserve">ACCRINTM(DATE(2024,1,1),DATE(2023,12,31),0.08,5000,1)</t>
  </si>
  <si>
    <t xml:space="preserve">DISC(DATE(2023,12,31),DATE(2024,6,30),95,100,2)</t>
  </si>
  <si>
    <t xml:space="preserve">DISC(DATE(2023,12,31),DATE(2024,6,30),100,100,2)</t>
  </si>
  <si>
    <t xml:space="preserve">DISC(DATE(2023,12,31),DATE(2024,6,30),99.5,100.5,2)</t>
  </si>
  <si>
    <t xml:space="preserve">PRICEDISC(DATE(2023,12,31),DATE(2024,6,30),0.05,100,2)</t>
  </si>
  <si>
    <t xml:space="preserve">PRICEDISC(DATE(2023,12,31),DATE(2024,6,30),0.1,105,2)</t>
  </si>
  <si>
    <t xml:space="preserve">YIELDDISC(DATE(2023,12,31),DATE(2024,6,30),95,100,2)</t>
  </si>
  <si>
    <t xml:space="preserve">YIELDDISC(DATE(2023,12,31),DATE(2024,6,30),99.5,100.5,2)</t>
  </si>
  <si>
    <t xml:space="preserve">RECEIVED(DATE(2023,12,31),DATE(2024,6,30),1000,0.05,2)</t>
  </si>
  <si>
    <t xml:space="preserve">RECEIVED(DATE(2023,12,31),DATE(2024,6,30),5000,0.12,2)</t>
  </si>
  <si>
    <t xml:space="preserve">INTRATE(DATE(2023,12,31),DATE(2024,6,30),1000,1050,2)</t>
  </si>
  <si>
    <t xml:space="preserve">INTRATE(DATE(2023,12,31),DATE(2024,6,30),950,1000,2)</t>
  </si>
  <si>
    <t xml:space="preserve">PRICEMAT(DATE(2023,12,31),DATE(2024,6,30),DATE(2023,10,1),0.05,0.06,2)</t>
  </si>
  <si>
    <t xml:space="preserve">PRICEMAT(DATE(2023,12,31),DATE(2024,6,30),DATE(2024,1,1),0.1,0.03,2)</t>
  </si>
  <si>
    <t xml:space="preserve">YIELDMAT(DATE(2023,12,31),DATE(2024,6,30),DATE(2023,10,1),0.05,98,2)</t>
  </si>
  <si>
    <t xml:space="preserve">YIELDMAT(DATE(2023,12,31),DATE(2024,6,30),DATE(2024,1,1),0.1,101,2)</t>
  </si>
  <si>
    <t xml:space="preserve">ACCRINTM(DATE(2023,10,1),DATE(2024,6,30),0.05,1000,2)</t>
  </si>
  <si>
    <t xml:space="preserve">ACCRINTM(DATE(2024,1,1),DATE(2023,12,31),0.08,5000,2)</t>
  </si>
  <si>
    <t xml:space="preserve">DISC(DATE(2023,12,31),DATE(2024,6,30),95,100,3)</t>
  </si>
  <si>
    <t xml:space="preserve">DISC(DATE(2023,12,31),DATE(2024,6,30),100,100,3)</t>
  </si>
  <si>
    <t xml:space="preserve">DISC(DATE(2023,12,31),DATE(2024,6,30),99.5,100.5,3)</t>
  </si>
  <si>
    <t xml:space="preserve">PRICEDISC(DATE(2023,12,31),DATE(2024,6,30),0.05,100,3)</t>
  </si>
  <si>
    <t xml:space="preserve">PRICEDISC(DATE(2023,12,31),DATE(2024,6,30),0.1,105,3)</t>
  </si>
  <si>
    <t xml:space="preserve">YIELDDISC(DATE(2023,12,31),DATE(2024,6,30),95,100,3)</t>
  </si>
  <si>
    <t xml:space="preserve">YIELDDISC(DATE(2023,12,31),DATE(2024,6,30),99.5,100.5,3)</t>
  </si>
  <si>
    <t xml:space="preserve">RECEIVED(DATE(2023,12,31),DATE(2024,6,30),1000,0.05,3)</t>
  </si>
  <si>
    <t xml:space="preserve">RECEIVED(DATE(2023,12,31),DATE(2024,6,30),5000,0.12,3)</t>
  </si>
  <si>
    <t xml:space="preserve">INTRATE(DATE(2023,12,31),DATE(2024,6,30),1000,1050,3)</t>
  </si>
  <si>
    <t xml:space="preserve">INTRATE(DATE(2023,12,31),DATE(2024,6,30),950,1000,3)</t>
  </si>
  <si>
    <t xml:space="preserve">PRICEMAT(DATE(2023,12,31),DATE(2024,6,30),DATE(2023,10,1),0.05,0.06,3)</t>
  </si>
  <si>
    <t xml:space="preserve">PRICEMAT(DATE(2023,12,31),DATE(2024,6,30),DATE(2024,1,1),0.1,0.03,3)</t>
  </si>
  <si>
    <t xml:space="preserve">YIELDMAT(DATE(2023,12,31),DATE(2024,6,30),DATE(2023,10,1),0.05,98,3)</t>
  </si>
  <si>
    <t xml:space="preserve">YIELDMAT(DATE(2023,12,31),DATE(2024,6,30),DATE(2024,1,1),0.1,101,3)</t>
  </si>
  <si>
    <t xml:space="preserve">ACCRINTM(DATE(2023,10,1),DATE(2024,6,30),0.05,1000,3)</t>
  </si>
  <si>
    <t xml:space="preserve">ACCRINTM(DATE(2024,1,1),DATE(2023,12,31),0.08,5000,3)</t>
  </si>
  <si>
    <t xml:space="preserve">DISC(DATE(2023,12,31),DATE(2024,6,30),95,100,4)</t>
  </si>
  <si>
    <t xml:space="preserve">DISC(DATE(2023,12,31),DATE(2024,6,30),100,100,4)</t>
  </si>
  <si>
    <t xml:space="preserve">DISC(DATE(2023,12,31),DATE(2024,6,30),99.5,100.5,4)</t>
  </si>
  <si>
    <t xml:space="preserve">PRICEDISC(DATE(2023,12,31),DATE(2024,6,30),0.05,100,4)</t>
  </si>
  <si>
    <t xml:space="preserve">PRICEDISC(DATE(2023,12,31),DATE(2024,6,30),0.1,105,4)</t>
  </si>
  <si>
    <t xml:space="preserve">YIELDDISC(DATE(2023,12,31),DATE(2024,6,30),95,100,4)</t>
  </si>
  <si>
    <t xml:space="preserve">YIELDDISC(DATE(2023,12,31),DATE(2024,6,30),99.5,100.5,4)</t>
  </si>
  <si>
    <t xml:space="preserve">RECEIVED(DATE(2023,12,31),DATE(2024,6,30),1000,0.05,4)</t>
  </si>
  <si>
    <t xml:space="preserve">RECEIVED(DATE(2023,12,31),DATE(2024,6,30),5000,0.12,4)</t>
  </si>
  <si>
    <t xml:space="preserve">INTRATE(DATE(2023,12,31),DATE(2024,6,30),1000,1050,4)</t>
  </si>
  <si>
    <t xml:space="preserve">INTRATE(DATE(2023,12,31),DATE(2024,6,30),950,1000,4)</t>
  </si>
  <si>
    <t xml:space="preserve">PRICEMAT(DATE(2023,12,31),DATE(2024,6,30),DATE(2023,10,1),0.05,0.06,4)</t>
  </si>
  <si>
    <t xml:space="preserve">PRICEMAT(DATE(2023,12,31),DATE(2024,6,30),DATE(2024,1,1),0.1,0.03,4)</t>
  </si>
  <si>
    <t xml:space="preserve">YIELDMAT(DATE(2023,12,31),DATE(2024,6,30),DATE(2023,10,1),0.05,98,4)</t>
  </si>
  <si>
    <t xml:space="preserve">YIELDMAT(DATE(2023,12,31),DATE(2024,6,30),DATE(2024,1,1),0.1,101,4)</t>
  </si>
  <si>
    <t xml:space="preserve">ACCRINTM(DATE(2023,10,1),DATE(2024,6,30),0.05,1000,4)</t>
  </si>
  <si>
    <t xml:space="preserve">ACCRINTM(DATE(2024,1,1),DATE(2023,12,31),0.08,5000,4)</t>
  </si>
  <si>
    <t xml:space="preserve">TBILLPRICE(DATE(2023,12,31),DATE(2024,6,30),0.05)</t>
  </si>
  <si>
    <t xml:space="preserve">TBILLYIELD(DATE(2023,12,31),DATE(2024,6,30),98)</t>
  </si>
  <si>
    <t xml:space="preserve">TBILLEQ(DATE(2023,12,31),DATE(2024,6,30),0.05)</t>
  </si>
  <si>
    <t xml:space="preserve">TBILLEQ(DATE(2023,12,31),DATE(2024,6,30),0.12)</t>
  </si>
  <si>
    <t xml:space="preserve">DISC(DATE(2024,3,1),DATE(2024,9,1),95,100,0)</t>
  </si>
  <si>
    <t xml:space="preserve">DISC(DATE(2024,3,1),DATE(2024,9,1),100,100,0)</t>
  </si>
  <si>
    <t xml:space="preserve">DISC(DATE(2024,3,1),DATE(2024,9,1),99.5,100.5,0)</t>
  </si>
  <si>
    <t xml:space="preserve">PRICEDISC(DATE(2024,3,1),DATE(2024,9,1),0.05,100,0)</t>
  </si>
  <si>
    <t xml:space="preserve">PRICEDISC(DATE(2024,3,1),DATE(2024,9,1),0.1,105,0)</t>
  </si>
  <si>
    <t xml:space="preserve">YIELDDISC(DATE(2024,3,1),DATE(2024,9,1),95,100,0)</t>
  </si>
  <si>
    <t xml:space="preserve">YIELDDISC(DATE(2024,3,1),DATE(2024,9,1),99.5,100.5,0)</t>
  </si>
  <si>
    <t xml:space="preserve">RECEIVED(DATE(2024,3,1),DATE(2024,9,1),1000,0.05,0)</t>
  </si>
  <si>
    <t xml:space="preserve">RECEIVED(DATE(2024,3,1),DATE(2024,9,1),5000,0.12,0)</t>
  </si>
  <si>
    <t xml:space="preserve">INTRATE(DATE(2024,3,1),DATE(2024,9,1),1000,1050,0)</t>
  </si>
  <si>
    <t xml:space="preserve">INTRATE(DATE(2024,3,1),DATE(2024,9,1),950,1000,0)</t>
  </si>
  <si>
    <t xml:space="preserve">PRICEMAT(DATE(2024,3,1),DATE(2024,9,1),DATE(2023,10,1),0.05,0.06,0)</t>
  </si>
  <si>
    <t xml:space="preserve">PRICEMAT(DATE(2024,3,1),DATE(2024,9,1),DATE(2024,1,1),0.1,0.03,0)</t>
  </si>
  <si>
    <t xml:space="preserve">YIELDMAT(DATE(2024,3,1),DATE(2024,9,1),DATE(2023,10,1),0.05,98,0)</t>
  </si>
  <si>
    <t xml:space="preserve">YIELDMAT(DATE(2024,3,1),DATE(2024,9,1),DATE(2024,1,1),0.1,101,0)</t>
  </si>
  <si>
    <t xml:space="preserve">ACCRINTM(DATE(2023,10,1),DATE(2024,9,1),0.05,1000,0)</t>
  </si>
  <si>
    <t xml:space="preserve">ACCRINTM(DATE(2024,1,1),DATE(2024,3,1),0.08,5000,0)</t>
  </si>
  <si>
    <t xml:space="preserve">DISC(DATE(2024,3,1),DATE(2024,9,1),95,100,1)</t>
  </si>
  <si>
    <t xml:space="preserve">DISC(DATE(2024,3,1),DATE(2024,9,1),100,100,1)</t>
  </si>
  <si>
    <t xml:space="preserve">DISC(DATE(2024,3,1),DATE(2024,9,1),99.5,100.5,1)</t>
  </si>
  <si>
    <t xml:space="preserve">PRICEDISC(DATE(2024,3,1),DATE(2024,9,1),0.05,100,1)</t>
  </si>
  <si>
    <t xml:space="preserve">PRICEDISC(DATE(2024,3,1),DATE(2024,9,1),0.1,105,1)</t>
  </si>
  <si>
    <t xml:space="preserve">YIELDDISC(DATE(2024,3,1),DATE(2024,9,1),95,100,1)</t>
  </si>
  <si>
    <t xml:space="preserve">YIELDDISC(DATE(2024,3,1),DATE(2024,9,1),99.5,100.5,1)</t>
  </si>
  <si>
    <t xml:space="preserve">RECEIVED(DATE(2024,3,1),DATE(2024,9,1),1000,0.05,1)</t>
  </si>
  <si>
    <t xml:space="preserve">RECEIVED(DATE(2024,3,1),DATE(2024,9,1),5000,0.12,1)</t>
  </si>
  <si>
    <t xml:space="preserve">INTRATE(DATE(2024,3,1),DATE(2024,9,1),1000,1050,1)</t>
  </si>
  <si>
    <t xml:space="preserve">INTRATE(DATE(2024,3,1),DATE(2024,9,1),950,1000,1)</t>
  </si>
  <si>
    <t xml:space="preserve">PRICEMAT(DATE(2024,3,1),DATE(2024,9,1),DATE(2023,10,1),0.05,0.06,1)</t>
  </si>
  <si>
    <t xml:space="preserve">PRICEMAT(DATE(2024,3,1),DATE(2024,9,1),DATE(2024,1,1),0.1,0.03,1)</t>
  </si>
  <si>
    <t xml:space="preserve">YIELDMAT(DATE(2024,3,1),DATE(2024,9,1),DATE(2023,10,1),0.05,98,1)</t>
  </si>
  <si>
    <t xml:space="preserve">YIELDMAT(DATE(2024,3,1),DATE(2024,9,1),DATE(2024,1,1),0.1,101,1)</t>
  </si>
  <si>
    <t xml:space="preserve">ACCRINTM(DATE(2023,10,1),DATE(2024,9,1),0.05,1000,1)</t>
  </si>
  <si>
    <t xml:space="preserve">ACCRINTM(DATE(2024,1,1),DATE(2024,3,1),0.08,5000,1)</t>
  </si>
  <si>
    <t xml:space="preserve">DISC(DATE(2024,3,1),DATE(2024,9,1),95,100,2)</t>
  </si>
  <si>
    <t xml:space="preserve">DISC(DATE(2024,3,1),DATE(2024,9,1),100,100,2)</t>
  </si>
  <si>
    <t xml:space="preserve">DISC(DATE(2024,3,1),DATE(2024,9,1),99.5,100.5,2)</t>
  </si>
  <si>
    <t xml:space="preserve">PRICEDISC(DATE(2024,3,1),DATE(2024,9,1),0.05,100,2)</t>
  </si>
  <si>
    <t xml:space="preserve">PRICEDISC(DATE(2024,3,1),DATE(2024,9,1),0.1,105,2)</t>
  </si>
  <si>
    <t xml:space="preserve">YIELDDISC(DATE(2024,3,1),DATE(2024,9,1),95,100,2)</t>
  </si>
  <si>
    <t xml:space="preserve">YIELDDISC(DATE(2024,3,1),DATE(2024,9,1),99.5,100.5,2)</t>
  </si>
  <si>
    <t xml:space="preserve">RECEIVED(DATE(2024,3,1),DATE(2024,9,1),1000,0.05,2)</t>
  </si>
  <si>
    <t xml:space="preserve">RECEIVED(DATE(2024,3,1),DATE(2024,9,1),5000,0.12,2)</t>
  </si>
  <si>
    <t xml:space="preserve">INTRATE(DATE(2024,3,1),DATE(2024,9,1),1000,1050,2)</t>
  </si>
  <si>
    <t xml:space="preserve">INTRATE(DATE(2024,3,1),DATE(2024,9,1),950,1000,2)</t>
  </si>
  <si>
    <t xml:space="preserve">PRICEMAT(DATE(2024,3,1),DATE(2024,9,1),DATE(2023,10,1),0.05,0.06,2)</t>
  </si>
  <si>
    <t xml:space="preserve">PRICEMAT(DATE(2024,3,1),DATE(2024,9,1),DATE(2024,1,1),0.1,0.03,2)</t>
  </si>
  <si>
    <t xml:space="preserve">YIELDMAT(DATE(2024,3,1),DATE(2024,9,1),DATE(2023,10,1),0.05,98,2)</t>
  </si>
  <si>
    <t xml:space="preserve">YIELDMAT(DATE(2024,3,1),DATE(2024,9,1),DATE(2024,1,1),0.1,101,2)</t>
  </si>
  <si>
    <t xml:space="preserve">ACCRINTM(DATE(2023,10,1),DATE(2024,9,1),0.05,1000,2)</t>
  </si>
  <si>
    <t xml:space="preserve">ACCRINTM(DATE(2024,1,1),DATE(2024,3,1),0.08,5000,2)</t>
  </si>
  <si>
    <t xml:space="preserve">DISC(DATE(2024,3,1),DATE(2024,9,1),95,100,3)</t>
  </si>
  <si>
    <t xml:space="preserve">DISC(DATE(2024,3,1),DATE(2024,9,1),100,100,3)</t>
  </si>
  <si>
    <t xml:space="preserve">DISC(DATE(2024,3,1),DATE(2024,9,1),99.5,100.5,3)</t>
  </si>
  <si>
    <t xml:space="preserve">PRICEDISC(DATE(2024,3,1),DATE(2024,9,1),0.05,100,3)</t>
  </si>
  <si>
    <t xml:space="preserve">PRICEDISC(DATE(2024,3,1),DATE(2024,9,1),0.1,105,3)</t>
  </si>
  <si>
    <t xml:space="preserve">YIELDDISC(DATE(2024,3,1),DATE(2024,9,1),95,100,3)</t>
  </si>
  <si>
    <t xml:space="preserve">YIELDDISC(DATE(2024,3,1),DATE(2024,9,1),99.5,100.5,3)</t>
  </si>
  <si>
    <t xml:space="preserve">RECEIVED(DATE(2024,3,1),DATE(2024,9,1),1000,0.05,3)</t>
  </si>
  <si>
    <t xml:space="preserve">RECEIVED(DATE(2024,3,1),DATE(2024,9,1),5000,0.12,3)</t>
  </si>
  <si>
    <t xml:space="preserve">INTRATE(DATE(2024,3,1),DATE(2024,9,1),1000,1050,3)</t>
  </si>
  <si>
    <t xml:space="preserve">INTRATE(DATE(2024,3,1),DATE(2024,9,1),950,1000,3)</t>
  </si>
  <si>
    <t xml:space="preserve">PRICEMAT(DATE(2024,3,1),DATE(2024,9,1),DATE(2023,10,1),0.05,0.06,3)</t>
  </si>
  <si>
    <t xml:space="preserve">PRICEMAT(DATE(2024,3,1),DATE(2024,9,1),DATE(2024,1,1),0.1,0.03,3)</t>
  </si>
  <si>
    <t xml:space="preserve">YIELDMAT(DATE(2024,3,1),DATE(2024,9,1),DATE(2023,10,1),0.05,98,3)</t>
  </si>
  <si>
    <t xml:space="preserve">YIELDMAT(DATE(2024,3,1),DATE(2024,9,1),DATE(2024,1,1),0.1,101,3)</t>
  </si>
  <si>
    <t xml:space="preserve">ACCRINTM(DATE(2023,10,1),DATE(2024,9,1),0.05,1000,3)</t>
  </si>
  <si>
    <t xml:space="preserve">ACCRINTM(DATE(2024,1,1),DATE(2024,3,1),0.08,5000,3)</t>
  </si>
  <si>
    <t xml:space="preserve">DISC(DATE(2024,3,1),DATE(2024,9,1),95,100,4)</t>
  </si>
  <si>
    <t xml:space="preserve">DISC(DATE(2024,3,1),DATE(2024,9,1),100,100,4)</t>
  </si>
  <si>
    <t xml:space="preserve">DISC(DATE(2024,3,1),DATE(2024,9,1),99.5,100.5,4)</t>
  </si>
  <si>
    <t xml:space="preserve">PRICEDISC(DATE(2024,3,1),DATE(2024,9,1),0.05,100,4)</t>
  </si>
  <si>
    <t xml:space="preserve">PRICEDISC(DATE(2024,3,1),DATE(2024,9,1),0.1,105,4)</t>
  </si>
  <si>
    <t xml:space="preserve">YIELDDISC(DATE(2024,3,1),DATE(2024,9,1),95,100,4)</t>
  </si>
  <si>
    <t xml:space="preserve">YIELDDISC(DATE(2024,3,1),DATE(2024,9,1),99.5,100.5,4)</t>
  </si>
  <si>
    <t xml:space="preserve">RECEIVED(DATE(2024,3,1),DATE(2024,9,1),1000,0.05,4)</t>
  </si>
  <si>
    <t xml:space="preserve">RECEIVED(DATE(2024,3,1),DATE(2024,9,1),5000,0.12,4)</t>
  </si>
  <si>
    <t xml:space="preserve">INTRATE(DATE(2024,3,1),DATE(2024,9,1),1000,1050,4)</t>
  </si>
  <si>
    <t xml:space="preserve">INTRATE(DATE(2024,3,1),DATE(2024,9,1),950,1000,4)</t>
  </si>
  <si>
    <t xml:space="preserve">PRICEMAT(DATE(2024,3,1),DATE(2024,9,1),DATE(2023,10,1),0.05,0.06,4)</t>
  </si>
  <si>
    <t xml:space="preserve">PRICEMAT(DATE(2024,3,1),DATE(2024,9,1),DATE(2024,1,1),0.1,0.03,4)</t>
  </si>
  <si>
    <t xml:space="preserve">YIELDMAT(DATE(2024,3,1),DATE(2024,9,1),DATE(2023,10,1),0.05,98,4)</t>
  </si>
  <si>
    <t xml:space="preserve">YIELDMAT(DATE(2024,3,1),DATE(2024,9,1),DATE(2024,1,1),0.1,101,4)</t>
  </si>
  <si>
    <t xml:space="preserve">ACCRINTM(DATE(2023,10,1),DATE(2024,9,1),0.05,1000,4)</t>
  </si>
  <si>
    <t xml:space="preserve">ACCRINTM(DATE(2024,1,1),DATE(2024,3,1),0.08,5000,4)</t>
  </si>
  <si>
    <t xml:space="preserve">TBILLPRICE(DATE(2024,3,1),DATE(2024,9,1),0.05)</t>
  </si>
  <si>
    <t xml:space="preserve">TBILLYIELD(DATE(2024,3,1),DATE(2024,9,1),98)</t>
  </si>
  <si>
    <t xml:space="preserve">TBILLEQ(DATE(2024,3,1),DATE(2024,9,1),0.05)</t>
  </si>
  <si>
    <t xml:space="preserve">TBILLEQ(DATE(2024,3,1),DATE(2024,9,1),0.12)</t>
  </si>
  <si>
    <t xml:space="preserve">DISC(DATE(2020,2,29),DATE(2024,2,29),95,100,0)</t>
  </si>
  <si>
    <t xml:space="preserve">DISC(DATE(2020,2,29),DATE(2024,2,29),100,100,0)</t>
  </si>
  <si>
    <t xml:space="preserve">DISC(DATE(2020,2,29),DATE(2024,2,29),99.5,100.5,0)</t>
  </si>
  <si>
    <t xml:space="preserve">PRICEDISC(DATE(2020,2,29),DATE(2024,2,29),0.05,100,0)</t>
  </si>
  <si>
    <t xml:space="preserve">PRICEDISC(DATE(2020,2,29),DATE(2024,2,29),0.1,105,0)</t>
  </si>
  <si>
    <t xml:space="preserve">YIELDDISC(DATE(2020,2,29),DATE(2024,2,29),95,100,0)</t>
  </si>
  <si>
    <t xml:space="preserve">YIELDDISC(DATE(2020,2,29),DATE(2024,2,29),99.5,100.5,0)</t>
  </si>
  <si>
    <t xml:space="preserve">RECEIVED(DATE(2020,2,29),DATE(2024,2,29),1000,0.05,0)</t>
  </si>
  <si>
    <t xml:space="preserve">RECEIVED(DATE(2020,2,29),DATE(2024,2,29),5000,0.12,0)</t>
  </si>
  <si>
    <t xml:space="preserve">INTRATE(DATE(2020,2,29),DATE(2024,2,29),1000,1050,0)</t>
  </si>
  <si>
    <t xml:space="preserve">INTRATE(DATE(2020,2,29),DATE(2024,2,29),950,1000,0)</t>
  </si>
  <si>
    <t xml:space="preserve">PRICEMAT(DATE(2020,2,29),DATE(2024,2,29),DATE(2023,10,1),0.05,0.06,0)</t>
  </si>
  <si>
    <t xml:space="preserve">PRICEMAT(DATE(2020,2,29),DATE(2024,2,29),DATE(2024,1,1),0.1,0.03,0)</t>
  </si>
  <si>
    <t xml:space="preserve">YIELDMAT(DATE(2020,2,29),DATE(2024,2,29),DATE(2023,10,1),0.05,98,0)</t>
  </si>
  <si>
    <t xml:space="preserve">YIELDMAT(DATE(2020,2,29),DATE(2024,2,29),DATE(2024,1,1),0.1,101,0)</t>
  </si>
  <si>
    <t xml:space="preserve">ACCRINTM(DATE(2024,1,1),DATE(2020,2,29),0.08,5000,0)</t>
  </si>
  <si>
    <t xml:space="preserve">DISC(DATE(2020,2,29),DATE(2024,2,29),95,100,1)</t>
  </si>
  <si>
    <t xml:space="preserve">DISC(DATE(2020,2,29),DATE(2024,2,29),100,100,1)</t>
  </si>
  <si>
    <t xml:space="preserve">DISC(DATE(2020,2,29),DATE(2024,2,29),99.5,100.5,1)</t>
  </si>
  <si>
    <t xml:space="preserve">PRICEDISC(DATE(2020,2,29),DATE(2024,2,29),0.05,100,1)</t>
  </si>
  <si>
    <t xml:space="preserve">PRICEDISC(DATE(2020,2,29),DATE(2024,2,29),0.1,105,1)</t>
  </si>
  <si>
    <t xml:space="preserve">YIELDDISC(DATE(2020,2,29),DATE(2024,2,29),95,100,1)</t>
  </si>
  <si>
    <t xml:space="preserve">YIELDDISC(DATE(2020,2,29),DATE(2024,2,29),99.5,100.5,1)</t>
  </si>
  <si>
    <t xml:space="preserve">RECEIVED(DATE(2020,2,29),DATE(2024,2,29),1000,0.05,1)</t>
  </si>
  <si>
    <t xml:space="preserve">RECEIVED(DATE(2020,2,29),DATE(2024,2,29),5000,0.12,1)</t>
  </si>
  <si>
    <t xml:space="preserve">INTRATE(DATE(2020,2,29),DATE(2024,2,29),1000,1050,1)</t>
  </si>
  <si>
    <t xml:space="preserve">INTRATE(DATE(2020,2,29),DATE(2024,2,29),950,1000,1)</t>
  </si>
  <si>
    <t xml:space="preserve">PRICEMAT(DATE(2020,2,29),DATE(2024,2,29),DATE(2023,10,1),0.05,0.06,1)</t>
  </si>
  <si>
    <t xml:space="preserve">PRICEMAT(DATE(2020,2,29),DATE(2024,2,29),DATE(2024,1,1),0.1,0.03,1)</t>
  </si>
  <si>
    <t xml:space="preserve">YIELDMAT(DATE(2020,2,29),DATE(2024,2,29),DATE(2023,10,1),0.05,98,1)</t>
  </si>
  <si>
    <t xml:space="preserve">YIELDMAT(DATE(2020,2,29),DATE(2024,2,29),DATE(2024,1,1),0.1,101,1)</t>
  </si>
  <si>
    <t xml:space="preserve">ACCRINTM(DATE(2024,1,1),DATE(2020,2,29),0.08,5000,1)</t>
  </si>
  <si>
    <t xml:space="preserve">DISC(DATE(2020,2,29),DATE(2024,2,29),95,100,2)</t>
  </si>
  <si>
    <t xml:space="preserve">DISC(DATE(2020,2,29),DATE(2024,2,29),100,100,2)</t>
  </si>
  <si>
    <t xml:space="preserve">DISC(DATE(2020,2,29),DATE(2024,2,29),99.5,100.5,2)</t>
  </si>
  <si>
    <t xml:space="preserve">PRICEDISC(DATE(2020,2,29),DATE(2024,2,29),0.05,100,2)</t>
  </si>
  <si>
    <t xml:space="preserve">PRICEDISC(DATE(2020,2,29),DATE(2024,2,29),0.1,105,2)</t>
  </si>
  <si>
    <t xml:space="preserve">YIELDDISC(DATE(2020,2,29),DATE(2024,2,29),95,100,2)</t>
  </si>
  <si>
    <t xml:space="preserve">YIELDDISC(DATE(2020,2,29),DATE(2024,2,29),99.5,100.5,2)</t>
  </si>
  <si>
    <t xml:space="preserve">RECEIVED(DATE(2020,2,29),DATE(2024,2,29),1000,0.05,2)</t>
  </si>
  <si>
    <t xml:space="preserve">RECEIVED(DATE(2020,2,29),DATE(2024,2,29),5000,0.12,2)</t>
  </si>
  <si>
    <t xml:space="preserve">INTRATE(DATE(2020,2,29),DATE(2024,2,29),1000,1050,2)</t>
  </si>
  <si>
    <t xml:space="preserve">INTRATE(DATE(2020,2,29),DATE(2024,2,29),950,1000,2)</t>
  </si>
  <si>
    <t xml:space="preserve">PRICEMAT(DATE(2020,2,29),DATE(2024,2,29),DATE(2023,10,1),0.05,0.06,2)</t>
  </si>
  <si>
    <t xml:space="preserve">PRICEMAT(DATE(2020,2,29),DATE(2024,2,29),DATE(2024,1,1),0.1,0.03,2)</t>
  </si>
  <si>
    <t xml:space="preserve">YIELDMAT(DATE(2020,2,29),DATE(2024,2,29),DATE(2023,10,1),0.05,98,2)</t>
  </si>
  <si>
    <t xml:space="preserve">YIELDMAT(DATE(2020,2,29),DATE(2024,2,29),DATE(2024,1,1),0.1,101,2)</t>
  </si>
  <si>
    <t xml:space="preserve">ACCRINTM(DATE(2024,1,1),DATE(2020,2,29),0.08,5000,2)</t>
  </si>
  <si>
    <t xml:space="preserve">DISC(DATE(2020,2,29),DATE(2024,2,29),95,100,3)</t>
  </si>
  <si>
    <t xml:space="preserve">DISC(DATE(2020,2,29),DATE(2024,2,29),100,100,3)</t>
  </si>
  <si>
    <t xml:space="preserve">DISC(DATE(2020,2,29),DATE(2024,2,29),99.5,100.5,3)</t>
  </si>
  <si>
    <t xml:space="preserve">PRICEDISC(DATE(2020,2,29),DATE(2024,2,29),0.05,100,3)</t>
  </si>
  <si>
    <t xml:space="preserve">PRICEDISC(DATE(2020,2,29),DATE(2024,2,29),0.1,105,3)</t>
  </si>
  <si>
    <t xml:space="preserve">YIELDDISC(DATE(2020,2,29),DATE(2024,2,29),95,100,3)</t>
  </si>
  <si>
    <t xml:space="preserve">YIELDDISC(DATE(2020,2,29),DATE(2024,2,29),99.5,100.5,3)</t>
  </si>
  <si>
    <t xml:space="preserve">RECEIVED(DATE(2020,2,29),DATE(2024,2,29),1000,0.05,3)</t>
  </si>
  <si>
    <t xml:space="preserve">RECEIVED(DATE(2020,2,29),DATE(2024,2,29),5000,0.12,3)</t>
  </si>
  <si>
    <t xml:space="preserve">INTRATE(DATE(2020,2,29),DATE(2024,2,29),1000,1050,3)</t>
  </si>
  <si>
    <t xml:space="preserve">INTRATE(DATE(2020,2,29),DATE(2024,2,29),950,1000,3)</t>
  </si>
  <si>
    <t xml:space="preserve">PRICEMAT(DATE(2020,2,29),DATE(2024,2,29),DATE(2023,10,1),0.05,0.06,3)</t>
  </si>
  <si>
    <t xml:space="preserve">PRICEMAT(DATE(2020,2,29),DATE(2024,2,29),DATE(2024,1,1),0.1,0.03,3)</t>
  </si>
  <si>
    <t xml:space="preserve">YIELDMAT(DATE(2020,2,29),DATE(2024,2,29),DATE(2023,10,1),0.05,98,3)</t>
  </si>
  <si>
    <t xml:space="preserve">YIELDMAT(DATE(2020,2,29),DATE(2024,2,29),DATE(2024,1,1),0.1,101,3)</t>
  </si>
  <si>
    <t xml:space="preserve">ACCRINTM(DATE(2024,1,1),DATE(2020,2,29),0.08,5000,3)</t>
  </si>
  <si>
    <t xml:space="preserve">DISC(DATE(2020,2,29),DATE(2024,2,29),95,100,4)</t>
  </si>
  <si>
    <t xml:space="preserve">DISC(DATE(2020,2,29),DATE(2024,2,29),100,100,4)</t>
  </si>
  <si>
    <t xml:space="preserve">DISC(DATE(2020,2,29),DATE(2024,2,29),99.5,100.5,4)</t>
  </si>
  <si>
    <t xml:space="preserve">PRICEDISC(DATE(2020,2,29),DATE(2024,2,29),0.05,100,4)</t>
  </si>
  <si>
    <t xml:space="preserve">PRICEDISC(DATE(2020,2,29),DATE(2024,2,29),0.1,105,4)</t>
  </si>
  <si>
    <t xml:space="preserve">YIELDDISC(DATE(2020,2,29),DATE(2024,2,29),95,100,4)</t>
  </si>
  <si>
    <t xml:space="preserve">YIELDDISC(DATE(2020,2,29),DATE(2024,2,29),99.5,100.5,4)</t>
  </si>
  <si>
    <t xml:space="preserve">RECEIVED(DATE(2020,2,29),DATE(2024,2,29),1000,0.05,4)</t>
  </si>
  <si>
    <t xml:space="preserve">RECEIVED(DATE(2020,2,29),DATE(2024,2,29),5000,0.12,4)</t>
  </si>
  <si>
    <t xml:space="preserve">INTRATE(DATE(2020,2,29),DATE(2024,2,29),1000,1050,4)</t>
  </si>
  <si>
    <t xml:space="preserve">INTRATE(DATE(2020,2,29),DATE(2024,2,29),950,1000,4)</t>
  </si>
  <si>
    <t xml:space="preserve">PRICEMAT(DATE(2020,2,29),DATE(2024,2,29),DATE(2023,10,1),0.05,0.06,4)</t>
  </si>
  <si>
    <t xml:space="preserve">PRICEMAT(DATE(2020,2,29),DATE(2024,2,29),DATE(2024,1,1),0.1,0.03,4)</t>
  </si>
  <si>
    <t xml:space="preserve">YIELDMAT(DATE(2020,2,29),DATE(2024,2,29),DATE(2023,10,1),0.05,98,4)</t>
  </si>
  <si>
    <t xml:space="preserve">YIELDMAT(DATE(2020,2,29),DATE(2024,2,29),DATE(2024,1,1),0.1,101,4)</t>
  </si>
  <si>
    <t xml:space="preserve">ACCRINTM(DATE(2024,1,1),DATE(2020,2,29),0.08,5000,4)</t>
  </si>
  <si>
    <t xml:space="preserve">TBILLPRICE(DATE(2020,2,29),DATE(2024,2,29),0.05)</t>
  </si>
  <si>
    <t xml:space="preserve">TBILLYIELD(DATE(2020,2,29),DATE(2024,2,29),98)</t>
  </si>
  <si>
    <t xml:space="preserve">TBILLEQ(DATE(2020,2,29),DATE(2024,2,29),0.05)</t>
  </si>
  <si>
    <t xml:space="preserve">TBILLEQ(DATE(2020,2,29),DATE(2024,2,29),0.12)</t>
  </si>
  <si>
    <t xml:space="preserve">ACCRINT(DATE(2024,1,1),DATE(2024,7,1),DATE(2024,4,15),0.05,1000,1,0)</t>
  </si>
  <si>
    <t xml:space="preserve">ACCRINT(DATE(2024,1,1),DATE(2024,7,1),DATE(2024,4,15),0.1,100,1,0,TRUE)</t>
  </si>
  <si>
    <t xml:space="preserve">ACCRINT(DATE(2024,1,1),DATE(2024,7,1),DATE(2024,4,15),0.1,100,1,0,FALSE)</t>
  </si>
  <si>
    <t xml:space="preserve">ACCRINT(DATE(2024,1,1),DATE(2024,7,1),DATE(2024,4,15),0.05,1000,1,1)</t>
  </si>
  <si>
    <t xml:space="preserve">ACCRINT(DATE(2024,1,1),DATE(2024,7,1),DATE(2024,4,15),0.1,100,1,1,TRUE)</t>
  </si>
  <si>
    <t xml:space="preserve">ACCRINT(DATE(2024,1,1),DATE(2024,7,1),DATE(2024,4,15),0.1,100,1,1,FALSE)</t>
  </si>
  <si>
    <t xml:space="preserve">ACCRINT(DATE(2024,1,1),DATE(2024,7,1),DATE(2024,4,15),0.05,1000,1,2)</t>
  </si>
  <si>
    <t xml:space="preserve">ACCRINT(DATE(2024,1,1),DATE(2024,7,1),DATE(2024,4,15),0.1,100,1,2,TRUE)</t>
  </si>
  <si>
    <t xml:space="preserve">ACCRINT(DATE(2024,1,1),DATE(2024,7,1),DATE(2024,4,15),0.1,100,1,2,FALSE)</t>
  </si>
  <si>
    <t xml:space="preserve">ACCRINT(DATE(2024,1,1),DATE(2024,7,1),DATE(2024,4,15),0.05,1000,1,3)</t>
  </si>
  <si>
    <t xml:space="preserve">ACCRINT(DATE(2024,1,1),DATE(2024,7,1),DATE(2024,4,15),0.1,100,1,3,TRUE)</t>
  </si>
  <si>
    <t xml:space="preserve">ACCRINT(DATE(2024,1,1),DATE(2024,7,1),DATE(2024,4,15),0.1,100,1,3,FALSE)</t>
  </si>
  <si>
    <t xml:space="preserve">ACCRINT(DATE(2024,1,1),DATE(2024,7,1),DATE(2024,4,15),0.05,1000,1,4)</t>
  </si>
  <si>
    <t xml:space="preserve">ACCRINT(DATE(2024,1,1),DATE(2024,7,1),DATE(2024,4,15),0.1,100,1,4,TRUE)</t>
  </si>
  <si>
    <t xml:space="preserve">ACCRINT(DATE(2024,1,1),DATE(2024,7,1),DATE(2024,4,15),0.1,100,1,4,FALSE)</t>
  </si>
  <si>
    <t xml:space="preserve">ACCRINT(DATE(2024,1,1),DATE(2024,7,1),DATE(2024,4,15),0.05,1000,2,0)</t>
  </si>
  <si>
    <t xml:space="preserve">ACCRINT(DATE(2024,1,1),DATE(2024,7,1),DATE(2024,4,15),0.1,100,2,0,TRUE)</t>
  </si>
  <si>
    <t xml:space="preserve">ACCRINT(DATE(2024,1,1),DATE(2024,7,1),DATE(2024,4,15),0.1,100,2,0,FALSE)</t>
  </si>
  <si>
    <t xml:space="preserve">ACCRINT(DATE(2024,1,1),DATE(2024,7,1),DATE(2024,4,15),0.05,1000,2,1)</t>
  </si>
  <si>
    <t xml:space="preserve">ACCRINT(DATE(2024,1,1),DATE(2024,7,1),DATE(2024,4,15),0.1,100,2,1,TRUE)</t>
  </si>
  <si>
    <t xml:space="preserve">ACCRINT(DATE(2024,1,1),DATE(2024,7,1),DATE(2024,4,15),0.1,100,2,1,FALSE)</t>
  </si>
  <si>
    <t xml:space="preserve">ACCRINT(DATE(2024,1,1),DATE(2024,7,1),DATE(2024,4,15),0.05,1000,2,2)</t>
  </si>
  <si>
    <t xml:space="preserve">ACCRINT(DATE(2024,1,1),DATE(2024,7,1),DATE(2024,4,15),0.1,100,2,2,TRUE)</t>
  </si>
  <si>
    <t xml:space="preserve">ACCRINT(DATE(2024,1,1),DATE(2024,7,1),DATE(2024,4,15),0.1,100,2,2,FALSE)</t>
  </si>
  <si>
    <t xml:space="preserve">ACCRINT(DATE(2024,1,1),DATE(2024,7,1),DATE(2024,4,15),0.05,1000,2,3)</t>
  </si>
  <si>
    <t xml:space="preserve">ACCRINT(DATE(2024,1,1),DATE(2024,7,1),DATE(2024,4,15),0.1,100,2,3,TRUE)</t>
  </si>
  <si>
    <t xml:space="preserve">ACCRINT(DATE(2024,1,1),DATE(2024,7,1),DATE(2024,4,15),0.1,100,2,3,FALSE)</t>
  </si>
  <si>
    <t xml:space="preserve">ACCRINT(DATE(2024,1,1),DATE(2024,7,1),DATE(2024,4,15),0.05,1000,2,4)</t>
  </si>
  <si>
    <t xml:space="preserve">ACCRINT(DATE(2024,1,1),DATE(2024,7,1),DATE(2024,4,15),0.1,100,2,4,TRUE)</t>
  </si>
  <si>
    <t xml:space="preserve">ACCRINT(DATE(2024,1,1),DATE(2024,7,1),DATE(2024,4,15),0.1,100,2,4,FALSE)</t>
  </si>
  <si>
    <t xml:space="preserve">ACCRINT(DATE(2024,1,1),DATE(2024,7,1),DATE(2024,4,15),0.05,1000,4,0)</t>
  </si>
  <si>
    <t xml:space="preserve">ACCRINT(DATE(2024,1,1),DATE(2024,7,1),DATE(2024,4,15),0.1,100,4,0,TRUE)</t>
  </si>
  <si>
    <t xml:space="preserve">ACCRINT(DATE(2024,1,1),DATE(2024,7,1),DATE(2024,4,15),0.1,100,4,0,FALSE)</t>
  </si>
  <si>
    <t xml:space="preserve">ACCRINT(DATE(2024,1,1),DATE(2024,7,1),DATE(2024,4,15),0.05,1000,4,1)</t>
  </si>
  <si>
    <t xml:space="preserve">ACCRINT(DATE(2024,1,1),DATE(2024,7,1),DATE(2024,4,15),0.1,100,4,1,TRUE)</t>
  </si>
  <si>
    <t xml:space="preserve">ACCRINT(DATE(2024,1,1),DATE(2024,7,1),DATE(2024,4,15),0.1,100,4,1,FALSE)</t>
  </si>
  <si>
    <t xml:space="preserve">ACCRINT(DATE(2024,1,1),DATE(2024,7,1),DATE(2024,4,15),0.05,1000,4,2)</t>
  </si>
  <si>
    <t xml:space="preserve">ACCRINT(DATE(2024,1,1),DATE(2024,7,1),DATE(2024,4,15),0.1,100,4,2,TRUE)</t>
  </si>
  <si>
    <t xml:space="preserve">ACCRINT(DATE(2024,1,1),DATE(2024,7,1),DATE(2024,4,15),0.1,100,4,2,FALSE)</t>
  </si>
  <si>
    <t xml:space="preserve">ACCRINT(DATE(2024,1,1),DATE(2024,7,1),DATE(2024,4,15),0.05,1000,4,3)</t>
  </si>
  <si>
    <t xml:space="preserve">ACCRINT(DATE(2024,1,1),DATE(2024,7,1),DATE(2024,4,15),0.1,100,4,3,TRUE)</t>
  </si>
  <si>
    <t xml:space="preserve">ACCRINT(DATE(2024,1,1),DATE(2024,7,1),DATE(2024,4,15),0.1,100,4,3,FALSE)</t>
  </si>
  <si>
    <t xml:space="preserve">ACCRINT(DATE(2024,1,1),DATE(2024,7,1),DATE(2024,4,15),0.05,1000,4,4)</t>
  </si>
  <si>
    <t xml:space="preserve">ACCRINT(DATE(2024,1,1),DATE(2024,7,1),DATE(2024,4,15),0.1,100,4,4,TRUE)</t>
  </si>
  <si>
    <t xml:space="preserve">ACCRINT(DATE(2024,1,1),DATE(2024,7,1),DATE(2024,4,15),0.1,100,4,4,FALSE)</t>
  </si>
  <si>
    <t xml:space="preserve">ACCRINT(DATE(2023,10,31),DATE(2024,4,30),DATE(2024,2,29),0.05,1000,1,0)</t>
  </si>
  <si>
    <t xml:space="preserve">ACCRINT(DATE(2023,10,31),DATE(2024,4,30),DATE(2024,2,29),0.1,100,1,0,TRUE)</t>
  </si>
  <si>
    <t xml:space="preserve">ACCRINT(DATE(2023,10,31),DATE(2024,4,30),DATE(2024,2,29),0.1,100,1,0,FALSE)</t>
  </si>
  <si>
    <t xml:space="preserve">ACCRINT(DATE(2023,10,31),DATE(2024,4,30),DATE(2024,2,29),0.05,1000,1,1)</t>
  </si>
  <si>
    <t xml:space="preserve">ACCRINT(DATE(2023,10,31),DATE(2024,4,30),DATE(2024,2,29),0.1,100,1,1,TRUE)</t>
  </si>
  <si>
    <t xml:space="preserve">ACCRINT(DATE(2023,10,31),DATE(2024,4,30),DATE(2024,2,29),0.1,100,1,1,FALSE)</t>
  </si>
  <si>
    <t xml:space="preserve">ACCRINT(DATE(2023,10,31),DATE(2024,4,30),DATE(2024,2,29),0.05,1000,1,2)</t>
  </si>
  <si>
    <t xml:space="preserve">ACCRINT(DATE(2023,10,31),DATE(2024,4,30),DATE(2024,2,29),0.1,100,1,2,TRUE)</t>
  </si>
  <si>
    <t xml:space="preserve">ACCRINT(DATE(2023,10,31),DATE(2024,4,30),DATE(2024,2,29),0.1,100,1,2,FALSE)</t>
  </si>
  <si>
    <t xml:space="preserve">ACCRINT(DATE(2023,10,31),DATE(2024,4,30),DATE(2024,2,29),0.05,1000,1,3)</t>
  </si>
  <si>
    <t xml:space="preserve">ACCRINT(DATE(2023,10,31),DATE(2024,4,30),DATE(2024,2,29),0.1,100,1,3,TRUE)</t>
  </si>
  <si>
    <t xml:space="preserve">ACCRINT(DATE(2023,10,31),DATE(2024,4,30),DATE(2024,2,29),0.1,100,1,3,FALSE)</t>
  </si>
  <si>
    <t xml:space="preserve">ACCRINT(DATE(2023,10,31),DATE(2024,4,30),DATE(2024,2,29),0.05,1000,1,4)</t>
  </si>
  <si>
    <t xml:space="preserve">ACCRINT(DATE(2023,10,31),DATE(2024,4,30),DATE(2024,2,29),0.1,100,1,4,TRUE)</t>
  </si>
  <si>
    <t xml:space="preserve">ACCRINT(DATE(2023,10,31),DATE(2024,4,30),DATE(2024,2,29),0.1,100,1,4,FALSE)</t>
  </si>
  <si>
    <t xml:space="preserve">ACCRINT(DATE(2023,10,31),DATE(2024,4,30),DATE(2024,2,29),0.05,1000,2,0)</t>
  </si>
  <si>
    <t xml:space="preserve">ACCRINT(DATE(2023,10,31),DATE(2024,4,30),DATE(2024,2,29),0.1,100,2,0,TRUE)</t>
  </si>
  <si>
    <t xml:space="preserve">ACCRINT(DATE(2023,10,31),DATE(2024,4,30),DATE(2024,2,29),0.1,100,2,0,FALSE)</t>
  </si>
  <si>
    <t xml:space="preserve">ACCRINT(DATE(2023,10,31),DATE(2024,4,30),DATE(2024,2,29),0.05,1000,2,1)</t>
  </si>
  <si>
    <t xml:space="preserve">ACCRINT(DATE(2023,10,31),DATE(2024,4,30),DATE(2024,2,29),0.1,100,2,1,TRUE)</t>
  </si>
  <si>
    <t xml:space="preserve">ACCRINT(DATE(2023,10,31),DATE(2024,4,30),DATE(2024,2,29),0.1,100,2,1,FALSE)</t>
  </si>
  <si>
    <t xml:space="preserve">ACCRINT(DATE(2023,10,31),DATE(2024,4,30),DATE(2024,2,29),0.05,1000,2,2)</t>
  </si>
  <si>
    <t xml:space="preserve">ACCRINT(DATE(2023,10,31),DATE(2024,4,30),DATE(2024,2,29),0.1,100,2,2,TRUE)</t>
  </si>
  <si>
    <t xml:space="preserve">ACCRINT(DATE(2023,10,31),DATE(2024,4,30),DATE(2024,2,29),0.1,100,2,2,FALSE)</t>
  </si>
  <si>
    <t xml:space="preserve">ACCRINT(DATE(2023,10,31),DATE(2024,4,30),DATE(2024,2,29),0.05,1000,2,3)</t>
  </si>
  <si>
    <t xml:space="preserve">ACCRINT(DATE(2023,10,31),DATE(2024,4,30),DATE(2024,2,29),0.1,100,2,3,TRUE)</t>
  </si>
  <si>
    <t xml:space="preserve">ACCRINT(DATE(2023,10,31),DATE(2024,4,30),DATE(2024,2,29),0.1,100,2,3,FALSE)</t>
  </si>
  <si>
    <t xml:space="preserve">ACCRINT(DATE(2023,10,31),DATE(2024,4,30),DATE(2024,2,29),0.05,1000,2,4)</t>
  </si>
  <si>
    <t xml:space="preserve">ACCRINT(DATE(2023,10,31),DATE(2024,4,30),DATE(2024,2,29),0.1,100,2,4,TRUE)</t>
  </si>
  <si>
    <t xml:space="preserve">ACCRINT(DATE(2023,10,31),DATE(2024,4,30),DATE(2024,2,29),0.1,100,2,4,FALSE)</t>
  </si>
  <si>
    <t xml:space="preserve">ACCRINT(DATE(2023,10,31),DATE(2024,4,30),DATE(2024,2,29),0.05,1000,4,0)</t>
  </si>
  <si>
    <t xml:space="preserve">ACCRINT(DATE(2023,10,31),DATE(2024,4,30),DATE(2024,2,29),0.1,100,4,0,TRUE)</t>
  </si>
  <si>
    <t xml:space="preserve">ACCRINT(DATE(2023,10,31),DATE(2024,4,30),DATE(2024,2,29),0.1,100,4,0,FALSE)</t>
  </si>
  <si>
    <t xml:space="preserve">ACCRINT(DATE(2023,10,31),DATE(2024,4,30),DATE(2024,2,29),0.05,1000,4,1)</t>
  </si>
  <si>
    <t xml:space="preserve">ACCRINT(DATE(2023,10,31),DATE(2024,4,30),DATE(2024,2,29),0.1,100,4,1,TRUE)</t>
  </si>
  <si>
    <t xml:space="preserve">ACCRINT(DATE(2023,10,31),DATE(2024,4,30),DATE(2024,2,29),0.1,100,4,1,FALSE)</t>
  </si>
  <si>
    <t xml:space="preserve">ACCRINT(DATE(2023,10,31),DATE(2024,4,30),DATE(2024,2,29),0.05,1000,4,2)</t>
  </si>
  <si>
    <t xml:space="preserve">ACCRINT(DATE(2023,10,31),DATE(2024,4,30),DATE(2024,2,29),0.1,100,4,2,TRUE)</t>
  </si>
  <si>
    <t xml:space="preserve">ACCRINT(DATE(2023,10,31),DATE(2024,4,30),DATE(2024,2,29),0.1,100,4,2,FALSE)</t>
  </si>
  <si>
    <t xml:space="preserve">ACCRINT(DATE(2023,10,31),DATE(2024,4,30),DATE(2024,2,29),0.05,1000,4,3)</t>
  </si>
  <si>
    <t xml:space="preserve">ACCRINT(DATE(2023,10,31),DATE(2024,4,30),DATE(2024,2,29),0.1,100,4,3,TRUE)</t>
  </si>
  <si>
    <t xml:space="preserve">ACCRINT(DATE(2023,10,31),DATE(2024,4,30),DATE(2024,2,29),0.1,100,4,3,FALSE)</t>
  </si>
  <si>
    <t xml:space="preserve">ACCRINT(DATE(2023,10,31),DATE(2024,4,30),DATE(2024,2,29),0.05,1000,4,4)</t>
  </si>
  <si>
    <t xml:space="preserve">ACCRINT(DATE(2023,10,31),DATE(2024,4,30),DATE(2024,2,29),0.1,100,4,4,TRUE)</t>
  </si>
  <si>
    <t xml:space="preserve">ACCRINT(DATE(2023,10,31),DATE(2024,4,30),DATE(2024,2,29),0.1,100,4,4,FALSE)</t>
  </si>
  <si>
    <t xml:space="preserve">ACCRINT(DATE(2024,1,31),DATE(2024,7,31),DATE(2024,12,31),0.05,1000,1,0)</t>
  </si>
  <si>
    <t xml:space="preserve">ACCRINT(DATE(2024,1,31),DATE(2024,7,31),DATE(2024,12,31),0.1,100,1,0,TRUE)</t>
  </si>
  <si>
    <t xml:space="preserve">ACCRINT(DATE(2024,1,31),DATE(2024,7,31),DATE(2024,12,31),0.1,100,1,0,FALSE)</t>
  </si>
  <si>
    <t xml:space="preserve">ACCRINT(DATE(2024,1,31),DATE(2024,7,31),DATE(2024,12,31),0.05,1000,1,1)</t>
  </si>
  <si>
    <t xml:space="preserve">ACCRINT(DATE(2024,1,31),DATE(2024,7,31),DATE(2024,12,31),0.1,100,1,1,TRUE)</t>
  </si>
  <si>
    <t xml:space="preserve">ACCRINT(DATE(2024,1,31),DATE(2024,7,31),DATE(2024,12,31),0.1,100,1,1,FALSE)</t>
  </si>
  <si>
    <t xml:space="preserve">ACCRINT(DATE(2024,1,31),DATE(2024,7,31),DATE(2024,12,31),0.05,1000,1,2)</t>
  </si>
  <si>
    <t xml:space="preserve">ACCRINT(DATE(2024,1,31),DATE(2024,7,31),DATE(2024,12,31),0.1,100,1,2,TRUE)</t>
  </si>
  <si>
    <t xml:space="preserve">ACCRINT(DATE(2024,1,31),DATE(2024,7,31),DATE(2024,12,31),0.1,100,1,2,FALSE)</t>
  </si>
  <si>
    <t xml:space="preserve">ACCRINT(DATE(2024,1,31),DATE(2024,7,31),DATE(2024,12,31),0.05,1000,1,3)</t>
  </si>
  <si>
    <t xml:space="preserve">ACCRINT(DATE(2024,1,31),DATE(2024,7,31),DATE(2024,12,31),0.1,100,1,3,TRUE)</t>
  </si>
  <si>
    <t xml:space="preserve">ACCRINT(DATE(2024,1,31),DATE(2024,7,31),DATE(2024,12,31),0.1,100,1,3,FALSE)</t>
  </si>
  <si>
    <t xml:space="preserve">ACCRINT(DATE(2024,1,31),DATE(2024,7,31),DATE(2024,12,31),0.05,1000,1,4)</t>
  </si>
  <si>
    <t xml:space="preserve">ACCRINT(DATE(2024,1,31),DATE(2024,7,31),DATE(2024,12,31),0.1,100,1,4,TRUE)</t>
  </si>
  <si>
    <t xml:space="preserve">ACCRINT(DATE(2024,1,31),DATE(2024,7,31),DATE(2024,12,31),0.1,100,1,4,FALSE)</t>
  </si>
  <si>
    <t xml:space="preserve">ACCRINT(DATE(2024,1,31),DATE(2024,7,31),DATE(2024,12,31),0.05,1000,2,0)</t>
  </si>
  <si>
    <t xml:space="preserve">ACCRINT(DATE(2024,1,31),DATE(2024,7,31),DATE(2024,12,31),0.1,100,2,0,TRUE)</t>
  </si>
  <si>
    <t xml:space="preserve">ACCRINT(DATE(2024,1,31),DATE(2024,7,31),DATE(2024,12,31),0.1,100,2,0,FALSE)</t>
  </si>
  <si>
    <t xml:space="preserve">ACCRINT(DATE(2024,1,31),DATE(2024,7,31),DATE(2024,12,31),0.05,1000,2,1)</t>
  </si>
  <si>
    <t xml:space="preserve">ACCRINT(DATE(2024,1,31),DATE(2024,7,31),DATE(2024,12,31),0.1,100,2,1,TRUE)</t>
  </si>
  <si>
    <t xml:space="preserve">ACCRINT(DATE(2024,1,31),DATE(2024,7,31),DATE(2024,12,31),0.1,100,2,1,FALSE)</t>
  </si>
  <si>
    <t xml:space="preserve">ACCRINT(DATE(2024,1,31),DATE(2024,7,31),DATE(2024,12,31),0.05,1000,2,2)</t>
  </si>
  <si>
    <t xml:space="preserve">ACCRINT(DATE(2024,1,31),DATE(2024,7,31),DATE(2024,12,31),0.1,100,2,2,TRUE)</t>
  </si>
  <si>
    <t xml:space="preserve">ACCRINT(DATE(2024,1,31),DATE(2024,7,31),DATE(2024,12,31),0.1,100,2,2,FALSE)</t>
  </si>
  <si>
    <t xml:space="preserve">ACCRINT(DATE(2024,1,31),DATE(2024,7,31),DATE(2024,12,31),0.05,1000,2,3)</t>
  </si>
  <si>
    <t xml:space="preserve">ACCRINT(DATE(2024,1,31),DATE(2024,7,31),DATE(2024,12,31),0.1,100,2,3,TRUE)</t>
  </si>
  <si>
    <t xml:space="preserve">ACCRINT(DATE(2024,1,31),DATE(2024,7,31),DATE(2024,12,31),0.1,100,2,3,FALSE)</t>
  </si>
  <si>
    <t xml:space="preserve">ACCRINT(DATE(2024,1,31),DATE(2024,7,31),DATE(2024,12,31),0.05,1000,2,4)</t>
  </si>
  <si>
    <t xml:space="preserve">ACCRINT(DATE(2024,1,31),DATE(2024,7,31),DATE(2024,12,31),0.1,100,2,4,TRUE)</t>
  </si>
  <si>
    <t xml:space="preserve">ACCRINT(DATE(2024,1,31),DATE(2024,7,31),DATE(2024,12,31),0.1,100,2,4,FALSE)</t>
  </si>
  <si>
    <t xml:space="preserve">ACCRINT(DATE(2024,1,31),DATE(2024,7,31),DATE(2024,12,31),0.05,1000,4,0)</t>
  </si>
  <si>
    <t xml:space="preserve">ACCRINT(DATE(2024,1,31),DATE(2024,7,31),DATE(2024,12,31),0.1,100,4,0,TRUE)</t>
  </si>
  <si>
    <t xml:space="preserve">ACCRINT(DATE(2024,1,31),DATE(2024,7,31),DATE(2024,12,31),0.1,100,4,0,FALSE)</t>
  </si>
  <si>
    <t xml:space="preserve">ACCRINT(DATE(2024,1,31),DATE(2024,7,31),DATE(2024,12,31),0.05,1000,4,1)</t>
  </si>
  <si>
    <t xml:space="preserve">ACCRINT(DATE(2024,1,31),DATE(2024,7,31),DATE(2024,12,31),0.1,100,4,1,TRUE)</t>
  </si>
  <si>
    <t xml:space="preserve">ACCRINT(DATE(2024,1,31),DATE(2024,7,31),DATE(2024,12,31),0.1,100,4,1,FALSE)</t>
  </si>
  <si>
    <t xml:space="preserve">ACCRINT(DATE(2024,1,31),DATE(2024,7,31),DATE(2024,12,31),0.05,1000,4,2)</t>
  </si>
  <si>
    <t xml:space="preserve">ACCRINT(DATE(2024,1,31),DATE(2024,7,31),DATE(2024,12,31),0.1,100,4,2,TRUE)</t>
  </si>
  <si>
    <t xml:space="preserve">ACCRINT(DATE(2024,1,31),DATE(2024,7,31),DATE(2024,12,31),0.1,100,4,2,FALSE)</t>
  </si>
  <si>
    <t xml:space="preserve">ACCRINT(DATE(2024,1,31),DATE(2024,7,31),DATE(2024,12,31),0.05,1000,4,3)</t>
  </si>
  <si>
    <t xml:space="preserve">ACCRINT(DATE(2024,1,31),DATE(2024,7,31),DATE(2024,12,31),0.1,100,4,3,TRUE)</t>
  </si>
  <si>
    <t xml:space="preserve">ACCRINT(DATE(2024,1,31),DATE(2024,7,31),DATE(2024,12,31),0.1,100,4,3,FALSE)</t>
  </si>
  <si>
    <t xml:space="preserve">ACCRINT(DATE(2024,1,31),DATE(2024,7,31),DATE(2024,12,31),0.05,1000,4,4)</t>
  </si>
  <si>
    <t xml:space="preserve">ACCRINT(DATE(2024,1,31),DATE(2024,7,31),DATE(2024,12,31),0.1,100,4,4,TRUE)</t>
  </si>
  <si>
    <t xml:space="preserve">ACCRINT(DATE(2024,1,31),DATE(2024,7,31),DATE(2024,12,31),0.1,100,4,4,FALSE)</t>
  </si>
  <si>
    <t xml:space="preserve">ACCRINT(DATE(2023,6,30),DATE(2024,6,30),DATE(2025,1,15),0.05,1000,1,0)</t>
  </si>
  <si>
    <t xml:space="preserve">ACCRINT(DATE(2023,6,30),DATE(2024,6,30),DATE(2025,1,15),0.1,100,1,0,TRUE)</t>
  </si>
  <si>
    <t xml:space="preserve">ACCRINT(DATE(2023,6,30),DATE(2024,6,30),DATE(2025,1,15),0.1,100,1,0,FALSE)</t>
  </si>
  <si>
    <t xml:space="preserve">ACCRINT(DATE(2023,6,30),DATE(2024,6,30),DATE(2025,1,15),0.05,1000,1,1)</t>
  </si>
  <si>
    <t xml:space="preserve">ACCRINT(DATE(2023,6,30),DATE(2024,6,30),DATE(2025,1,15),0.1,100,1,1,TRUE)</t>
  </si>
  <si>
    <t xml:space="preserve">ACCRINT(DATE(2023,6,30),DATE(2024,6,30),DATE(2025,1,15),0.1,100,1,1,FALSE)</t>
  </si>
  <si>
    <t xml:space="preserve">ACCRINT(DATE(2023,6,30),DATE(2024,6,30),DATE(2025,1,15),0.05,1000,1,2)</t>
  </si>
  <si>
    <t xml:space="preserve">ACCRINT(DATE(2023,6,30),DATE(2024,6,30),DATE(2025,1,15),0.1,100,1,2,TRUE)</t>
  </si>
  <si>
    <t xml:space="preserve">ACCRINT(DATE(2023,6,30),DATE(2024,6,30),DATE(2025,1,15),0.1,100,1,2,FALSE)</t>
  </si>
  <si>
    <t xml:space="preserve">ACCRINT(DATE(2023,6,30),DATE(2024,6,30),DATE(2025,1,15),0.05,1000,1,3)</t>
  </si>
  <si>
    <t xml:space="preserve">ACCRINT(DATE(2023,6,30),DATE(2024,6,30),DATE(2025,1,15),0.1,100,1,3,TRUE)</t>
  </si>
  <si>
    <t xml:space="preserve">ACCRINT(DATE(2023,6,30),DATE(2024,6,30),DATE(2025,1,15),0.1,100,1,3,FALSE)</t>
  </si>
  <si>
    <t xml:space="preserve">ACCRINT(DATE(2023,6,30),DATE(2024,6,30),DATE(2025,1,15),0.05,1000,1,4)</t>
  </si>
  <si>
    <t xml:space="preserve">ACCRINT(DATE(2023,6,30),DATE(2024,6,30),DATE(2025,1,15),0.1,100,1,4,TRUE)</t>
  </si>
  <si>
    <t xml:space="preserve">ACCRINT(DATE(2023,6,30),DATE(2024,6,30),DATE(2025,1,15),0.1,100,1,4,FALSE)</t>
  </si>
  <si>
    <t xml:space="preserve">ACCRINT(DATE(2023,6,30),DATE(2024,6,30),DATE(2025,1,15),0.05,1000,2,0)</t>
  </si>
  <si>
    <t xml:space="preserve">ACCRINT(DATE(2023,6,30),DATE(2024,6,30),DATE(2025,1,15),0.1,100,2,0,TRUE)</t>
  </si>
  <si>
    <t xml:space="preserve">ACCRINT(DATE(2023,6,30),DATE(2024,6,30),DATE(2025,1,15),0.1,100,2,0,FALSE)</t>
  </si>
  <si>
    <t xml:space="preserve">ACCRINT(DATE(2023,6,30),DATE(2024,6,30),DATE(2025,1,15),0.05,1000,2,1)</t>
  </si>
  <si>
    <t xml:space="preserve">ACCRINT(DATE(2023,6,30),DATE(2024,6,30),DATE(2025,1,15),0.1,100,2,1,TRUE)</t>
  </si>
  <si>
    <t xml:space="preserve">ACCRINT(DATE(2023,6,30),DATE(2024,6,30),DATE(2025,1,15),0.1,100,2,1,FALSE)</t>
  </si>
  <si>
    <t xml:space="preserve">ACCRINT(DATE(2023,6,30),DATE(2024,6,30),DATE(2025,1,15),0.05,1000,2,2)</t>
  </si>
  <si>
    <t xml:space="preserve">ACCRINT(DATE(2023,6,30),DATE(2024,6,30),DATE(2025,1,15),0.1,100,2,2,TRUE)</t>
  </si>
  <si>
    <t xml:space="preserve">ACCRINT(DATE(2023,6,30),DATE(2024,6,30),DATE(2025,1,15),0.1,100,2,2,FALSE)</t>
  </si>
  <si>
    <t xml:space="preserve">ACCRINT(DATE(2023,6,30),DATE(2024,6,30),DATE(2025,1,15),0.05,1000,2,3)</t>
  </si>
  <si>
    <t xml:space="preserve">ACCRINT(DATE(2023,6,30),DATE(2024,6,30),DATE(2025,1,15),0.1,100,2,3,TRUE)</t>
  </si>
  <si>
    <t xml:space="preserve">ACCRINT(DATE(2023,6,30),DATE(2024,6,30),DATE(2025,1,15),0.1,100,2,3,FALSE)</t>
  </si>
  <si>
    <t xml:space="preserve">ACCRINT(DATE(2023,6,30),DATE(2024,6,30),DATE(2025,1,15),0.05,1000,2,4)</t>
  </si>
  <si>
    <t xml:space="preserve">ACCRINT(DATE(2023,6,30),DATE(2024,6,30),DATE(2025,1,15),0.1,100,2,4,TRUE)</t>
  </si>
  <si>
    <t xml:space="preserve">ACCRINT(DATE(2023,6,30),DATE(2024,6,30),DATE(2025,1,15),0.1,100,2,4,FALSE)</t>
  </si>
  <si>
    <t xml:space="preserve">ACCRINT(DATE(2023,6,30),DATE(2024,6,30),DATE(2025,1,15),0.05,1000,4,0)</t>
  </si>
  <si>
    <t xml:space="preserve">ACCRINT(DATE(2023,6,30),DATE(2024,6,30),DATE(2025,1,15),0.1,100,4,0,TRUE)</t>
  </si>
  <si>
    <t xml:space="preserve">ACCRINT(DATE(2023,6,30),DATE(2024,6,30),DATE(2025,1,15),0.1,100,4,0,FALSE)</t>
  </si>
  <si>
    <t xml:space="preserve">ACCRINT(DATE(2023,6,30),DATE(2024,6,30),DATE(2025,1,15),0.05,1000,4,1)</t>
  </si>
  <si>
    <t xml:space="preserve">ACCRINT(DATE(2023,6,30),DATE(2024,6,30),DATE(2025,1,15),0.1,100,4,1,TRUE)</t>
  </si>
  <si>
    <t xml:space="preserve">ACCRINT(DATE(2023,6,30),DATE(2024,6,30),DATE(2025,1,15),0.1,100,4,1,FALSE)</t>
  </si>
  <si>
    <t xml:space="preserve">ACCRINT(DATE(2023,6,30),DATE(2024,6,30),DATE(2025,1,15),0.05,1000,4,2)</t>
  </si>
  <si>
    <t xml:space="preserve">ACCRINT(DATE(2023,6,30),DATE(2024,6,30),DATE(2025,1,15),0.1,100,4,2,TRUE)</t>
  </si>
  <si>
    <t xml:space="preserve">ACCRINT(DATE(2023,6,30),DATE(2024,6,30),DATE(2025,1,15),0.1,100,4,2,FALSE)</t>
  </si>
  <si>
    <t xml:space="preserve">ACCRINT(DATE(2023,6,30),DATE(2024,6,30),DATE(2025,1,15),0.05,1000,4,3)</t>
  </si>
  <si>
    <t xml:space="preserve">ACCRINT(DATE(2023,6,30),DATE(2024,6,30),DATE(2025,1,15),0.1,100,4,3,TRUE)</t>
  </si>
  <si>
    <t xml:space="preserve">ACCRINT(DATE(2023,6,30),DATE(2024,6,30),DATE(2025,1,15),0.1,100,4,3,FALSE)</t>
  </si>
  <si>
    <t xml:space="preserve">ACCRINT(DATE(2023,6,30),DATE(2024,6,30),DATE(2025,1,15),0.05,1000,4,4)</t>
  </si>
  <si>
    <t xml:space="preserve">ACCRINT(DATE(2023,6,30),DATE(2024,6,30),DATE(2025,1,15),0.1,100,4,4,TRUE)</t>
  </si>
  <si>
    <t xml:space="preserve">ACCRINT(DATE(2023,6,30),DATE(2024,6,30),DATE(2025,1,15),0.1,100,4,4,FALSE)</t>
  </si>
  <si>
    <t xml:space="preserve">ACCRINT(DATE(2024,2,29),DATE(2024,8,31),DATE(2024,5,31),0.05,1000,1,0)</t>
  </si>
  <si>
    <t xml:space="preserve">ACCRINT(DATE(2024,2,29),DATE(2024,8,31),DATE(2024,5,31),0.1,100,1,0,TRUE)</t>
  </si>
  <si>
    <t xml:space="preserve">ACCRINT(DATE(2024,2,29),DATE(2024,8,31),DATE(2024,5,31),0.1,100,1,0,FALSE)</t>
  </si>
  <si>
    <t xml:space="preserve">ACCRINT(DATE(2024,2,29),DATE(2024,8,31),DATE(2024,5,31),0.05,1000,1,1)</t>
  </si>
  <si>
    <t xml:space="preserve">ACCRINT(DATE(2024,2,29),DATE(2024,8,31),DATE(2024,5,31),0.1,100,1,1,TRUE)</t>
  </si>
  <si>
    <t xml:space="preserve">ACCRINT(DATE(2024,2,29),DATE(2024,8,31),DATE(2024,5,31),0.1,100,1,1,FALSE)</t>
  </si>
  <si>
    <t xml:space="preserve">ACCRINT(DATE(2024,2,29),DATE(2024,8,31),DATE(2024,5,31),0.05,1000,1,2)</t>
  </si>
  <si>
    <t xml:space="preserve">ACCRINT(DATE(2024,2,29),DATE(2024,8,31),DATE(2024,5,31),0.1,100,1,2,TRUE)</t>
  </si>
  <si>
    <t xml:space="preserve">ACCRINT(DATE(2024,2,29),DATE(2024,8,31),DATE(2024,5,31),0.1,100,1,2,FALSE)</t>
  </si>
  <si>
    <t xml:space="preserve">ACCRINT(DATE(2024,2,29),DATE(2024,8,31),DATE(2024,5,31),0.05,1000,1,3)</t>
  </si>
  <si>
    <t xml:space="preserve">ACCRINT(DATE(2024,2,29),DATE(2024,8,31),DATE(2024,5,31),0.1,100,1,3,TRUE)</t>
  </si>
  <si>
    <t xml:space="preserve">ACCRINT(DATE(2024,2,29),DATE(2024,8,31),DATE(2024,5,31),0.1,100,1,3,FALSE)</t>
  </si>
  <si>
    <t xml:space="preserve">ACCRINT(DATE(2024,2,29),DATE(2024,8,31),DATE(2024,5,31),0.05,1000,1,4)</t>
  </si>
  <si>
    <t xml:space="preserve">ACCRINT(DATE(2024,2,29),DATE(2024,8,31),DATE(2024,5,31),0.1,100,1,4,TRUE)</t>
  </si>
  <si>
    <t xml:space="preserve">ACCRINT(DATE(2024,2,29),DATE(2024,8,31),DATE(2024,5,31),0.1,100,1,4,FALSE)</t>
  </si>
  <si>
    <t xml:space="preserve">ACCRINT(DATE(2024,2,29),DATE(2024,8,31),DATE(2024,5,31),0.05,1000,2,0)</t>
  </si>
  <si>
    <t xml:space="preserve">ACCRINT(DATE(2024,2,29),DATE(2024,8,31),DATE(2024,5,31),0.1,100,2,0,TRUE)</t>
  </si>
  <si>
    <t xml:space="preserve">ACCRINT(DATE(2024,2,29),DATE(2024,8,31),DATE(2024,5,31),0.1,100,2,0,FALSE)</t>
  </si>
  <si>
    <t xml:space="preserve">ACCRINT(DATE(2024,2,29),DATE(2024,8,31),DATE(2024,5,31),0.05,1000,2,1)</t>
  </si>
  <si>
    <t xml:space="preserve">ACCRINT(DATE(2024,2,29),DATE(2024,8,31),DATE(2024,5,31),0.1,100,2,1,TRUE)</t>
  </si>
  <si>
    <t xml:space="preserve">ACCRINT(DATE(2024,2,29),DATE(2024,8,31),DATE(2024,5,31),0.1,100,2,1,FALSE)</t>
  </si>
  <si>
    <t xml:space="preserve">ACCRINT(DATE(2024,2,29),DATE(2024,8,31),DATE(2024,5,31),0.05,1000,2,2)</t>
  </si>
  <si>
    <t xml:space="preserve">ACCRINT(DATE(2024,2,29),DATE(2024,8,31),DATE(2024,5,31),0.1,100,2,2,TRUE)</t>
  </si>
  <si>
    <t xml:space="preserve">ACCRINT(DATE(2024,2,29),DATE(2024,8,31),DATE(2024,5,31),0.1,100,2,2,FALSE)</t>
  </si>
  <si>
    <t xml:space="preserve">ACCRINT(DATE(2024,2,29),DATE(2024,8,31),DATE(2024,5,31),0.05,1000,2,3)</t>
  </si>
  <si>
    <t xml:space="preserve">ACCRINT(DATE(2024,2,29),DATE(2024,8,31),DATE(2024,5,31),0.1,100,2,3,TRUE)</t>
  </si>
  <si>
    <t xml:space="preserve">ACCRINT(DATE(2024,2,29),DATE(2024,8,31),DATE(2024,5,31),0.1,100,2,3,FALSE)</t>
  </si>
  <si>
    <t xml:space="preserve">ACCRINT(DATE(2024,2,29),DATE(2024,8,31),DATE(2024,5,31),0.05,1000,2,4)</t>
  </si>
  <si>
    <t xml:space="preserve">ACCRINT(DATE(2024,2,29),DATE(2024,8,31),DATE(2024,5,31),0.1,100,2,4,TRUE)</t>
  </si>
  <si>
    <t xml:space="preserve">ACCRINT(DATE(2024,2,29),DATE(2024,8,31),DATE(2024,5,31),0.1,100,2,4,FALSE)</t>
  </si>
  <si>
    <t xml:space="preserve">ACCRINT(DATE(2024,2,29),DATE(2024,8,31),DATE(2024,5,31),0.05,1000,4,0)</t>
  </si>
  <si>
    <t xml:space="preserve">ACCRINT(DATE(2024,2,29),DATE(2024,8,31),DATE(2024,5,31),0.1,100,4,0,TRUE)</t>
  </si>
  <si>
    <t xml:space="preserve">ACCRINT(DATE(2024,2,29),DATE(2024,8,31),DATE(2024,5,31),0.1,100,4,0,FALSE)</t>
  </si>
  <si>
    <t xml:space="preserve">ACCRINT(DATE(2024,2,29),DATE(2024,8,31),DATE(2024,5,31),0.05,1000,4,1)</t>
  </si>
  <si>
    <t xml:space="preserve">ACCRINT(DATE(2024,2,29),DATE(2024,8,31),DATE(2024,5,31),0.1,100,4,1,TRUE)</t>
  </si>
  <si>
    <t xml:space="preserve">ACCRINT(DATE(2024,2,29),DATE(2024,8,31),DATE(2024,5,31),0.1,100,4,1,FALSE)</t>
  </si>
  <si>
    <t xml:space="preserve">ACCRINT(DATE(2024,2,29),DATE(2024,8,31),DATE(2024,5,31),0.05,1000,4,2)</t>
  </si>
  <si>
    <t xml:space="preserve">ACCRINT(DATE(2024,2,29),DATE(2024,8,31),DATE(2024,5,31),0.1,100,4,2,TRUE)</t>
  </si>
  <si>
    <t xml:space="preserve">ACCRINT(DATE(2024,2,29),DATE(2024,8,31),DATE(2024,5,31),0.1,100,4,2,FALSE)</t>
  </si>
  <si>
    <t xml:space="preserve">ACCRINT(DATE(2024,2,29),DATE(2024,8,31),DATE(2024,5,31),0.05,1000,4,3)</t>
  </si>
  <si>
    <t xml:space="preserve">ACCRINT(DATE(2024,2,29),DATE(2024,8,31),DATE(2024,5,31),0.1,100,4,3,TRUE)</t>
  </si>
  <si>
    <t xml:space="preserve">ACCRINT(DATE(2024,2,29),DATE(2024,8,31),DATE(2024,5,31),0.1,100,4,3,FALSE)</t>
  </si>
  <si>
    <t xml:space="preserve">ACCRINT(DATE(2024,2,29),DATE(2024,8,31),DATE(2024,5,31),0.05,1000,4,4)</t>
  </si>
  <si>
    <t xml:space="preserve">ACCRINT(DATE(2024,2,29),DATE(2024,8,31),DATE(2024,5,31),0.1,100,4,4,TRUE)</t>
  </si>
  <si>
    <t xml:space="preserve">ACCRINT(DATE(2024,2,29),DATE(2024,8,31),DATE(2024,5,31),0.1,100,4,4,FALSE)</t>
  </si>
  <si>
    <t xml:space="preserve">ACCRINT(DATE(2024,1,1),DATE(2024,7,1),DATE(2024,7,1),0.05,1000,1,0)</t>
  </si>
  <si>
    <t xml:space="preserve">ACCRINT(DATE(2024,1,1),DATE(2024,7,1),DATE(2024,7,1),0.1,100,1,0,TRUE)</t>
  </si>
  <si>
    <t xml:space="preserve">ACCRINT(DATE(2024,1,1),DATE(2024,7,1),DATE(2024,7,1),0.1,100,1,0,FALSE)</t>
  </si>
  <si>
    <t xml:space="preserve">ACCRINT(DATE(2024,1,1),DATE(2024,7,1),DATE(2024,7,1),0.05,1000,1,1)</t>
  </si>
  <si>
    <t xml:space="preserve">ACCRINT(DATE(2024,1,1),DATE(2024,7,1),DATE(2024,7,1),0.1,100,1,1,TRUE)</t>
  </si>
  <si>
    <t xml:space="preserve">ACCRINT(DATE(2024,1,1),DATE(2024,7,1),DATE(2024,7,1),0.1,100,1,1,FALSE)</t>
  </si>
  <si>
    <t xml:space="preserve">ACCRINT(DATE(2024,1,1),DATE(2024,7,1),DATE(2024,7,1),0.05,1000,1,2)</t>
  </si>
  <si>
    <t xml:space="preserve">ACCRINT(DATE(2024,1,1),DATE(2024,7,1),DATE(2024,7,1),0.1,100,1,2,TRUE)</t>
  </si>
  <si>
    <t xml:space="preserve">ACCRINT(DATE(2024,1,1),DATE(2024,7,1),DATE(2024,7,1),0.1,100,1,2,FALSE)</t>
  </si>
  <si>
    <t xml:space="preserve">ACCRINT(DATE(2024,1,1),DATE(2024,7,1),DATE(2024,7,1),0.05,1000,1,3)</t>
  </si>
  <si>
    <t xml:space="preserve">ACCRINT(DATE(2024,1,1),DATE(2024,7,1),DATE(2024,7,1),0.1,100,1,3,TRUE)</t>
  </si>
  <si>
    <t xml:space="preserve">ACCRINT(DATE(2024,1,1),DATE(2024,7,1),DATE(2024,7,1),0.1,100,1,3,FALSE)</t>
  </si>
  <si>
    <t xml:space="preserve">ACCRINT(DATE(2024,1,1),DATE(2024,7,1),DATE(2024,7,1),0.05,1000,1,4)</t>
  </si>
  <si>
    <t xml:space="preserve">ACCRINT(DATE(2024,1,1),DATE(2024,7,1),DATE(2024,7,1),0.1,100,1,4,TRUE)</t>
  </si>
  <si>
    <t xml:space="preserve">ACCRINT(DATE(2024,1,1),DATE(2024,7,1),DATE(2024,7,1),0.1,100,1,4,FALSE)</t>
  </si>
  <si>
    <t xml:space="preserve">ACCRINT(DATE(2024,1,1),DATE(2024,7,1),DATE(2024,7,1),0.05,1000,2,0)</t>
  </si>
  <si>
    <t xml:space="preserve">ACCRINT(DATE(2024,1,1),DATE(2024,7,1),DATE(2024,7,1),0.1,100,2,0,TRUE)</t>
  </si>
  <si>
    <t xml:space="preserve">ACCRINT(DATE(2024,1,1),DATE(2024,7,1),DATE(2024,7,1),0.1,100,2,0,FALSE)</t>
  </si>
  <si>
    <t xml:space="preserve">ACCRINT(DATE(2024,1,1),DATE(2024,7,1),DATE(2024,7,1),0.05,1000,2,1)</t>
  </si>
  <si>
    <t xml:space="preserve">ACCRINT(DATE(2024,1,1),DATE(2024,7,1),DATE(2024,7,1),0.1,100,2,1,TRUE)</t>
  </si>
  <si>
    <t xml:space="preserve">ACCRINT(DATE(2024,1,1),DATE(2024,7,1),DATE(2024,7,1),0.1,100,2,1,FALSE)</t>
  </si>
  <si>
    <t xml:space="preserve">ACCRINT(DATE(2024,1,1),DATE(2024,7,1),DATE(2024,7,1),0.05,1000,2,2)</t>
  </si>
  <si>
    <t xml:space="preserve">ACCRINT(DATE(2024,1,1),DATE(2024,7,1),DATE(2024,7,1),0.1,100,2,2,TRUE)</t>
  </si>
  <si>
    <t xml:space="preserve">ACCRINT(DATE(2024,1,1),DATE(2024,7,1),DATE(2024,7,1),0.1,100,2,2,FALSE)</t>
  </si>
  <si>
    <t xml:space="preserve">ACCRINT(DATE(2024,1,1),DATE(2024,7,1),DATE(2024,7,1),0.05,1000,2,3)</t>
  </si>
  <si>
    <t xml:space="preserve">ACCRINT(DATE(2024,1,1),DATE(2024,7,1),DATE(2024,7,1),0.1,100,2,3,TRUE)</t>
  </si>
  <si>
    <t xml:space="preserve">ACCRINT(DATE(2024,1,1),DATE(2024,7,1),DATE(2024,7,1),0.1,100,2,3,FALSE)</t>
  </si>
  <si>
    <t xml:space="preserve">ACCRINT(DATE(2024,1,1),DATE(2024,7,1),DATE(2024,7,1),0.05,1000,2,4)</t>
  </si>
  <si>
    <t xml:space="preserve">ACCRINT(DATE(2024,1,1),DATE(2024,7,1),DATE(2024,7,1),0.1,100,2,4,TRUE)</t>
  </si>
  <si>
    <t xml:space="preserve">ACCRINT(DATE(2024,1,1),DATE(2024,7,1),DATE(2024,7,1),0.1,100,2,4,FALSE)</t>
  </si>
  <si>
    <t xml:space="preserve">ACCRINT(DATE(2024,1,1),DATE(2024,7,1),DATE(2024,7,1),0.05,1000,4,0)</t>
  </si>
  <si>
    <t xml:space="preserve">ACCRINT(DATE(2024,1,1),DATE(2024,7,1),DATE(2024,7,1),0.1,100,4,0,TRUE)</t>
  </si>
  <si>
    <t xml:space="preserve">ACCRINT(DATE(2024,1,1),DATE(2024,7,1),DATE(2024,7,1),0.1,100,4,0,FALSE)</t>
  </si>
  <si>
    <t xml:space="preserve">ACCRINT(DATE(2024,1,1),DATE(2024,7,1),DATE(2024,7,1),0.05,1000,4,1)</t>
  </si>
  <si>
    <t xml:space="preserve">ACCRINT(DATE(2024,1,1),DATE(2024,7,1),DATE(2024,7,1),0.1,100,4,1,TRUE)</t>
  </si>
  <si>
    <t xml:space="preserve">ACCRINT(DATE(2024,1,1),DATE(2024,7,1),DATE(2024,7,1),0.1,100,4,1,FALSE)</t>
  </si>
  <si>
    <t xml:space="preserve">ACCRINT(DATE(2024,1,1),DATE(2024,7,1),DATE(2024,7,1),0.05,1000,4,2)</t>
  </si>
  <si>
    <t xml:space="preserve">ACCRINT(DATE(2024,1,1),DATE(2024,7,1),DATE(2024,7,1),0.1,100,4,2,TRUE)</t>
  </si>
  <si>
    <t xml:space="preserve">ACCRINT(DATE(2024,1,1),DATE(2024,7,1),DATE(2024,7,1),0.1,100,4,2,FALSE)</t>
  </si>
  <si>
    <t xml:space="preserve">ACCRINT(DATE(2024,1,1),DATE(2024,7,1),DATE(2024,7,1),0.05,1000,4,3)</t>
  </si>
  <si>
    <t xml:space="preserve">ACCRINT(DATE(2024,1,1),DATE(2024,7,1),DATE(2024,7,1),0.1,100,4,3,TRUE)</t>
  </si>
  <si>
    <t xml:space="preserve">ACCRINT(DATE(2024,1,1),DATE(2024,7,1),DATE(2024,7,1),0.1,100,4,3,FALSE)</t>
  </si>
  <si>
    <t xml:space="preserve">ACCRINT(DATE(2024,1,1),DATE(2024,7,1),DATE(2024,7,1),0.05,1000,4,4)</t>
  </si>
  <si>
    <t xml:space="preserve">ACCRINT(DATE(2024,1,1),DATE(2024,7,1),DATE(2024,7,1),0.1,100,4,4,TRUE)</t>
  </si>
  <si>
    <t xml:space="preserve">ACCRINT(DATE(2024,1,1),DATE(2024,7,1),DATE(2024,7,1),0.1,100,4,4,FALSE)</t>
  </si>
  <si>
    <t xml:space="preserve">PRICE(DATE(2024,1,15),DATE(2029,6,30),-0.01,0.08,100,2,0)</t>
  </si>
  <si>
    <t xml:space="preserve">PRICE(DATE(2024,1,15),DATE(2029,6,30),0.05,-0.01,100,2,0)</t>
  </si>
  <si>
    <t xml:space="preserve">PRICE(DATE(2024,1,15),DATE(2029,6,30),0.05,0.08,0,2,0)</t>
  </si>
  <si>
    <t xml:space="preserve">PRICE(DATE(2024,1,15),DATE(2029,6,30),0.05,0.08,-1,2,0)</t>
  </si>
  <si>
    <t xml:space="preserve">PRICE(DATE(2024,1,15),DATE(2029,6,30),0.05,0.08,100,3,0)</t>
  </si>
  <si>
    <t xml:space="preserve">PRICE(DATE(2024,1,15),DATE(2029,6,30),0.05,0.08,100,2,5)</t>
  </si>
  <si>
    <t xml:space="preserve">PRICE(DATE(2024,1,15),DATE(2029,6,30),0.05,0.08,100,2)</t>
  </si>
  <si>
    <t xml:space="preserve">PRICE(DATE(2024,1,15),DATE(2029,6,30),0.05,0.08,100)</t>
  </si>
  <si>
    <t xml:space="preserve">PRICE(DATE(2024,1,15),DATE(2029,6,30),0.05,0,100,2,0)</t>
  </si>
  <si>
    <t xml:space="preserve">PRICE("2024-01-15","2029-06-30",0.05,0.08,100,2,0)</t>
  </si>
  <si>
    <t xml:space="preserve">PRICE(DATE(2024,1,15),DATE(2029,6,30),"x",0.08,100,2,0)</t>
  </si>
  <si>
    <t xml:space="preserve">PRICE(DATE(2024,1,15),DATE(2029,6,30),0.05,0.08,100,2,Data!D1)</t>
  </si>
  <si>
    <t xml:space="preserve">PRICE(DATE(2024,1,15),DATE(2029,6,30),0.05,0.08,100,TRUE,0)</t>
  </si>
  <si>
    <t xml:space="preserve">PRICE(DATE(2024,1,15),DATE(2029,6,30),Data!D1,0.08,100,2,0)</t>
  </si>
  <si>
    <t xml:space="preserve">PRICE(DATE(2024,1,15),DATE(2029,6,30),0.05,NA(),100,2,0)</t>
  </si>
  <si>
    <t xml:space="preserve">YIELD(DATE(2024,1,15),DATE(2029,6,30),0.05,0,100,2,0)</t>
  </si>
  <si>
    <t xml:space="preserve">YIELD(DATE(2024,1,15),DATE(2029,6,30),0.05,-5,100,2,0)</t>
  </si>
  <si>
    <t xml:space="preserve">YIELD(DATE(2024,1,15),DATE(2029,6,30),0.05,95,0,2,0)</t>
  </si>
  <si>
    <t xml:space="preserve">YIELD(DATE(2024,1,15),DATE(2029,6,30),-0.05,95,100,2,0)</t>
  </si>
  <si>
    <t xml:space="preserve">YIELD(DATE(2024,1,15),DATE(2029,6,30),0.05,1000000,100,2,0)</t>
  </si>
  <si>
    <t xml:space="preserve">YIELD(DATE(2024,1,15),DATE(2029,6,30),0.05,1,100,2,0)</t>
  </si>
  <si>
    <t xml:space="preserve">YIELD(DATE(2024,1,15),DATE(2024,3,15),0.05,99,100,2,0)</t>
  </si>
  <si>
    <t xml:space="preserve">YIELD(DATE(2024,1,15),DATE(2024,3,15),0.05,101,100,2,0)</t>
  </si>
  <si>
    <t xml:space="preserve">YIELD(DATE(2024,1,15),DATE(2024,3,15),0.05,99,100,1,2)</t>
  </si>
  <si>
    <t xml:space="preserve">YIELD(DATE(2024,1,15),DATE(2024,2,15),0.05,99.9,100,4,3)</t>
  </si>
  <si>
    <t xml:space="preserve">YIELD(DATE(2024,1,15),DATE(2054,6,30),0.05,60,100,2,0)</t>
  </si>
  <si>
    <t xml:space="preserve">YIELD(DATE(2024,1,15),DATE(2029,6,30),0.5,300,100,2,0)</t>
  </si>
  <si>
    <t xml:space="preserve">DURATION(DATE(2024,1,15),DATE(2029,6,30),-0.05,0.08,2,0)</t>
  </si>
  <si>
    <t xml:space="preserve">DURATION(DATE(2024,1,15),DATE(2029,6,30),0.05,-0.08,2,0)</t>
  </si>
  <si>
    <t xml:space="preserve">DURATION(DATE(2024,1,15),DATE(2029,6,30),0.05,0.08,3,0)</t>
  </si>
  <si>
    <t xml:space="preserve">DURATION(DATE(2024,1,15),DATE(2029,6,30),0.05,0.08,2,6)</t>
  </si>
  <si>
    <t xml:space="preserve">DISC(DATE(2024,1,15),DATE(2024,6,30),0,100,0)</t>
  </si>
  <si>
    <t xml:space="preserve">DISC(DATE(2024,1,15),DATE(2024,6,30),95,0,0)</t>
  </si>
  <si>
    <t xml:space="preserve">DISC(DATE(2024,1,15),DATE(2024,6,30),-95,100,0)</t>
  </si>
  <si>
    <t xml:space="preserve">DISC(DATE(2024,1,15),DATE(2024,6,30),95,100,5)</t>
  </si>
  <si>
    <t xml:space="preserve">DISC(DATE(2024,1,15),DATE(2024,6,30),95,100)</t>
  </si>
  <si>
    <t xml:space="preserve">PRICEDISC(DATE(2024,1,15),DATE(2024,6,30),-0.05,100,0)</t>
  </si>
  <si>
    <t xml:space="preserve">PRICEDISC(DATE(2024,1,15),DATE(2024,6,30),0.05,0,0)</t>
  </si>
  <si>
    <t xml:space="preserve">PRICEDISC(DATE(2024,1,15),DATE(2024,6,30),0,100,0)</t>
  </si>
  <si>
    <t xml:space="preserve">PRICEDISC(DATE(2024,1,15),DATE(2025,6,30),5,100,0)</t>
  </si>
  <si>
    <t xml:space="preserve">YIELDDISC(DATE(2024,1,15),DATE(2024,6,30),0,100,0)</t>
  </si>
  <si>
    <t xml:space="preserve">YIELDDISC(DATE(2024,1,15),DATE(2024,6,30),95,0,0)</t>
  </si>
  <si>
    <t xml:space="preserve">RECEIVED(DATE(2024,1,15),DATE(2024,6,30),0,0.05,0)</t>
  </si>
  <si>
    <t xml:space="preserve">RECEIVED(DATE(2024,1,15),DATE(2024,6,30),1000,0,0)</t>
  </si>
  <si>
    <t xml:space="preserve">RECEIVED(DATE(2024,1,15),DATE(2024,6,30),1000,50,0)</t>
  </si>
  <si>
    <t xml:space="preserve">INTRATE(DATE(2024,1,15),DATE(2024,6,30),0,1000,0)</t>
  </si>
  <si>
    <t xml:space="preserve">INTRATE(DATE(2024,1,15),DATE(2024,6,30),1000,0,0)</t>
  </si>
  <si>
    <t xml:space="preserve">INTRATE(DATE(2024,1,15),DATE(2024,6,30),1000,900,0)</t>
  </si>
  <si>
    <t xml:space="preserve">PRICEMAT(DATE(2024,1,15),DATE(2024,6,30),DATE(2024,2,1),0.05,0.06,0)</t>
  </si>
  <si>
    <t xml:space="preserve">PRICEMAT(DATE(2024,1,15),DATE(2024,6,30),DATE(2024,1,15),0.05,0.06,0)</t>
  </si>
  <si>
    <t xml:space="preserve">PRICEMAT(DATE(2024,1,15),DATE(2024,6,30),DATE(2023,1,15),-0.05,0.06,0)</t>
  </si>
  <si>
    <t xml:space="preserve">PRICEMAT(DATE(2024,1,15),DATE(2024,6,30),DATE(2023,1,15),0.05,-0.06,0)</t>
  </si>
  <si>
    <t xml:space="preserve">YIELDMAT(DATE(2024,1,15),DATE(2024,6,30),DATE(2023,1,15),0.05,0,0)</t>
  </si>
  <si>
    <t xml:space="preserve">YIELDMAT(DATE(2024,1,15),DATE(2024,6,30),DATE(2023,1,15),-0.05,95,0)</t>
  </si>
  <si>
    <t xml:space="preserve">ACCRINTM(DATE(2024,1,15),DATE(2024,6,30),0,1000,0)</t>
  </si>
  <si>
    <t xml:space="preserve">ACCRINTM(DATE(2024,1,15),DATE(2024,6,30),0.05,0,0)</t>
  </si>
  <si>
    <t xml:space="preserve">ACCRINTM(DATE(2024,6,30),DATE(2024,1,15),0.05,1000,0)</t>
  </si>
  <si>
    <t xml:space="preserve">ACCRINTM(DATE(2024,1,15),DATE(2024,6,30),0.05,1000)</t>
  </si>
  <si>
    <t xml:space="preserve">ACCRINTM(DATE(2024,1,15),DATE(2024,6,30),0.05)</t>
  </si>
  <si>
    <t xml:space="preserve">ACCRINTM(DATE(2024,1,15),DATE(2024,1,15),0.05,1000,0)</t>
  </si>
  <si>
    <t xml:space="preserve">TBILLPRICE(DATE(2024,1,15),DATE(2025,1,16),0.05)</t>
  </si>
  <si>
    <t xml:space="preserve">TBILLPRICE(DATE(2024,1,15),DATE(2025,1,15),0.05)</t>
  </si>
  <si>
    <t xml:space="preserve">TBILLPRICE(DATE(2024,1,15),DATE(2024,6,30),0)</t>
  </si>
  <si>
    <t xml:space="preserve">TBILLPRICE(DATE(2024,1,15),DATE(2024,6,30),-0.05)</t>
  </si>
  <si>
    <t xml:space="preserve">TBILLPRICE(DATE(2024,1,15),DATE(2024,6,30),5)</t>
  </si>
  <si>
    <t xml:space="preserve">TBILLPRICE(DATE(2024,6,30),DATE(2024,1,15),0.05)</t>
  </si>
  <si>
    <t xml:space="preserve">TBILLYIELD(DATE(2024,1,15),DATE(2025,1,16),98)</t>
  </si>
  <si>
    <t xml:space="preserve">TBILLYIELD(DATE(2024,1,15),DATE(2024,6,30),0)</t>
  </si>
  <si>
    <t xml:space="preserve">TBILLYIELD(DATE(2024,1,15),DATE(2024,6,30),-5)</t>
  </si>
  <si>
    <t xml:space="preserve">TBILLYIELD(DATE(2024,1,15),DATE(2024,6,30),100)</t>
  </si>
  <si>
    <t xml:space="preserve">TBILLEQ(DATE(2024,1,15),DATE(2025,1,16),0.05)</t>
  </si>
  <si>
    <t xml:space="preserve">TBILLEQ(DATE(2024,1,15),DATE(2024,6,30),0)</t>
  </si>
  <si>
    <t xml:space="preserve">TBILLEQ(DATE(2024,1,15),DATE(2024,6,30),-0.05)</t>
  </si>
  <si>
    <t xml:space="preserve">TBILLEQ(DATE(2024,1,15),DATE(2024,6,30),0.5)</t>
  </si>
  <si>
    <t xml:space="preserve">TBILLEQ(DATE(2024,1,15),DATE(2024,12,30),0.5)</t>
  </si>
  <si>
    <t xml:space="preserve">TBILLEQ(DATE(2024,1,15),DATE(2024,12,30),0.05)</t>
  </si>
  <si>
    <t xml:space="preserve">TBILLEQ(DATE(2024,1,15),DATE(2024,9,30),0.08)</t>
  </si>
  <si>
    <t xml:space="preserve">ACCRINT(DATE(2024,1,1),DATE(2024,7,1),DATE(2024,4,15),-0.05,1000,2,0)</t>
  </si>
  <si>
    <t xml:space="preserve">ACCRINT(DATE(2024,1,1),DATE(2024,7,1),DATE(2024,4,15),0.05,0,2,0)</t>
  </si>
  <si>
    <t xml:space="preserve">ACCRINT(DATE(2024,1,1),DATE(2024,7,1),DATE(2024,4,15),0.05,-1,2,0)</t>
  </si>
  <si>
    <t xml:space="preserve">ACCRINT(DATE(2024,1,1),DATE(2024,7,1),DATE(2024,4,15),0.05,1000,3,0)</t>
  </si>
  <si>
    <t xml:space="preserve">ACCRINT(DATE(2024,1,1),DATE(2024,7,1),DATE(2024,4,15),0.05,1000,2,7)</t>
  </si>
  <si>
    <t xml:space="preserve">ACCRINT(DATE(2024,4,15),DATE(2024,7,1),DATE(2024,1,1),0.05,1000,2,0)</t>
  </si>
  <si>
    <t xml:space="preserve">ACCRINT(DATE(2024,1,1),DATE(2024,7,1),DATE(2024,4,15),0.05,1000,2)</t>
  </si>
  <si>
    <t xml:space="preserve">ACCRINT(DATE(2024,1,1),DATE(2024,7,1),DATE(2024,4,15),0.05,1000)</t>
  </si>
  <si>
    <t xml:space="preserve">ACCRINT(DATE(2024,1,1),DATE(2024,7,1),DATE(2024,4,15),0.05,1000,2,0,TRUE,1)</t>
  </si>
  <si>
    <t xml:space="preserve">ACCRINT(DATE(2024,1,1),DATE(2024,7,1),DATE(2024,4,15),0.05,1000,2,0,2)</t>
  </si>
  <si>
    <t xml:space="preserve">ACCRINT(DATE(2024,1,1),DATE(2024,7,1),DATE(2024,4,15),0.05,1000,2,0,0)</t>
  </si>
  <si>
    <t xml:space="preserve">ACCRINT(DATE(2024,1,1),DATE(2024,7,1),DATE(2024,4,15),0.05,1000,2,0,"x")</t>
  </si>
  <si>
    <t xml:space="preserve">ACCRINT(DATE(2024,1,1),DATE(2024,7,1),DATE(2024,4,15),0.05,1000,2,0,Data!D1)</t>
  </si>
  <si>
    <t xml:space="preserve">ACCRINT(DATE(2024,1,1),DATE(2024,7,1),DATE(2025,4,15),0.05,1000,2,0)</t>
  </si>
  <si>
    <t xml:space="preserve">ACCRINT(DATE(2024,1,1),DATE(2023,7,1),DATE(2024,4,15),0.05,1000,2,0)</t>
  </si>
  <si>
    <t xml:space="preserve">PRICEDISC(DATE(2023,12,31),DATE(2025,2,28),0.05,100,0)</t>
  </si>
  <si>
    <t xml:space="preserve">RECEIVED(DATE(2023,12,31),DATE(2025,2,28),1000,0.05,0)</t>
  </si>
  <si>
    <t xml:space="preserve">INTRATE(DATE(2023,12,31),DATE(2025,2,28),1000,1050,0)</t>
  </si>
  <si>
    <t xml:space="preserve">DISC(DATE(2023,12,31),DATE(2025,2,28),95,100,0)</t>
  </si>
  <si>
    <t xml:space="preserve">YIELDDISC(DATE(2023,12,31),DATE(2025,2,28),95,100,0)</t>
  </si>
  <si>
    <t xml:space="preserve">ACCRINTM(DATE(2023,12,31),DATE(2025,2,28),0.05,1000,0)</t>
  </si>
  <si>
    <t xml:space="preserve">PRICEMAT(DATE(2023,12,31),DATE(2025,2,28),DATE(2023,1,31),0.05,0.06,0)</t>
  </si>
  <si>
    <t xml:space="preserve">YIELDMAT(DATE(2023,12,31),DATE(2025,2,28),DATE(2023,1,31),0.05,98,0)</t>
  </si>
  <si>
    <t xml:space="preserve">ACCRINT(DATE(2023,12,31),DATE(2030,1,1),DATE(2025,2,28),0.05,1000,2,0)</t>
  </si>
  <si>
    <t xml:space="preserve">DURATION(DATE(2023,12,31),DATE(2025,2,28),0.05,0.08,2,0)</t>
  </si>
  <si>
    <t xml:space="preserve">PRICE(DATE(2023,12,31),DATE(2025,2,28),0.05,0.08,100,2,0)</t>
  </si>
  <si>
    <t xml:space="preserve">YIELD(DATE(2023,12,31),DATE(2025,2,28),0.05,95,100,2,0)</t>
  </si>
  <si>
    <t xml:space="preserve">PRICEDISC(DATE(2023,12,31),DATE(2025,2,28),0.05,100,1)</t>
  </si>
  <si>
    <t xml:space="preserve">RECEIVED(DATE(2023,12,31),DATE(2025,2,28),1000,0.05,1)</t>
  </si>
  <si>
    <t xml:space="preserve">INTRATE(DATE(2023,12,31),DATE(2025,2,28),1000,1050,1)</t>
  </si>
  <si>
    <t xml:space="preserve">DISC(DATE(2023,12,31),DATE(2025,2,28),95,100,1)</t>
  </si>
  <si>
    <t xml:space="preserve">YIELDDISC(DATE(2023,12,31),DATE(2025,2,28),95,100,1)</t>
  </si>
  <si>
    <t xml:space="preserve">ACCRINTM(DATE(2023,12,31),DATE(2025,2,28),0.05,1000,1)</t>
  </si>
  <si>
    <t xml:space="preserve">PRICEMAT(DATE(2023,12,31),DATE(2025,2,28),DATE(2023,1,31),0.05,0.06,1)</t>
  </si>
  <si>
    <t xml:space="preserve">YIELDMAT(DATE(2023,12,31),DATE(2025,2,28),DATE(2023,1,31),0.05,98,1)</t>
  </si>
  <si>
    <t xml:space="preserve">ACCRINT(DATE(2023,12,31),DATE(2030,1,1),DATE(2025,2,28),0.05,1000,2,1)</t>
  </si>
  <si>
    <t xml:space="preserve">DURATION(DATE(2023,12,31),DATE(2025,2,28),0.05,0.08,2,1)</t>
  </si>
  <si>
    <t xml:space="preserve">PRICE(DATE(2023,12,31),DATE(2025,2,28),0.05,0.08,100,2,1)</t>
  </si>
  <si>
    <t xml:space="preserve">YIELD(DATE(2023,12,31),DATE(2025,2,28),0.05,95,100,2,1)</t>
  </si>
  <si>
    <t xml:space="preserve">PRICEDISC(DATE(2023,12,31),DATE(2025,2,28),0.05,100,4)</t>
  </si>
  <si>
    <t xml:space="preserve">RECEIVED(DATE(2023,12,31),DATE(2025,2,28),1000,0.05,4)</t>
  </si>
  <si>
    <t xml:space="preserve">INTRATE(DATE(2023,12,31),DATE(2025,2,28),1000,1050,4)</t>
  </si>
  <si>
    <t xml:space="preserve">DISC(DATE(2023,12,31),DATE(2025,2,28),95,100,4)</t>
  </si>
  <si>
    <t xml:space="preserve">YIELDDISC(DATE(2023,12,31),DATE(2025,2,28),95,100,4)</t>
  </si>
  <si>
    <t xml:space="preserve">ACCRINTM(DATE(2023,12,31),DATE(2025,2,28),0.05,1000,4)</t>
  </si>
  <si>
    <t xml:space="preserve">PRICEMAT(DATE(2023,12,31),DATE(2025,2,28),DATE(2023,1,31),0.05,0.06,4)</t>
  </si>
  <si>
    <t xml:space="preserve">YIELDMAT(DATE(2023,12,31),DATE(2025,2,28),DATE(2023,1,31),0.05,98,4)</t>
  </si>
  <si>
    <t xml:space="preserve">ACCRINT(DATE(2023,12,31),DATE(2030,1,1),DATE(2025,2,28),0.05,1000,2,4)</t>
  </si>
  <si>
    <t xml:space="preserve">DURATION(DATE(2023,12,31),DATE(2025,2,28),0.05,0.08,2,4)</t>
  </si>
  <si>
    <t xml:space="preserve">PRICE(DATE(2023,12,31),DATE(2025,2,28),0.05,0.08,100,2,4)</t>
  </si>
  <si>
    <t xml:space="preserve">YIELD(DATE(2023,12,31),DATE(2025,2,28),0.05,95,100,2,4)</t>
  </si>
  <si>
    <t xml:space="preserve">TBILLPRICE(DATE(2023,12,31),DATE(2025,2,28),0.05)</t>
  </si>
  <si>
    <t xml:space="preserve">TBILLEQ(DATE(2023,12,31),DATE(2025,2,28),0.05)</t>
  </si>
  <si>
    <t xml:space="preserve">TBILLYIELD(DATE(2023,12,31),DATE(2025,2,28),98)</t>
  </si>
  <si>
    <t xml:space="preserve">PRICEDISC(DATE(2023,12,31),DATE(2025,3,31),0.05,100,0)</t>
  </si>
  <si>
    <t xml:space="preserve">RECEIVED(DATE(2023,12,31),DATE(2025,3,31),1000,0.05,0)</t>
  </si>
  <si>
    <t xml:space="preserve">INTRATE(DATE(2023,12,31),DATE(2025,3,31),1000,1050,0)</t>
  </si>
  <si>
    <t xml:space="preserve">DISC(DATE(2023,12,31),DATE(2025,3,31),95,100,0)</t>
  </si>
  <si>
    <t xml:space="preserve">YIELDDISC(DATE(2023,12,31),DATE(2025,3,31),95,100,0)</t>
  </si>
  <si>
    <t xml:space="preserve">ACCRINTM(DATE(2023,12,31),DATE(2025,3,31),0.05,1000,0)</t>
  </si>
  <si>
    <t xml:space="preserve">PRICEMAT(DATE(2023,12,31),DATE(2025,3,31),DATE(2023,1,31),0.05,0.06,0)</t>
  </si>
  <si>
    <t xml:space="preserve">YIELDMAT(DATE(2023,12,31),DATE(2025,3,31),DATE(2023,1,31),0.05,98,0)</t>
  </si>
  <si>
    <t xml:space="preserve">ACCRINT(DATE(2023,12,31),DATE(2030,1,1),DATE(2025,3,31),0.05,1000,2,0)</t>
  </si>
  <si>
    <t xml:space="preserve">DURATION(DATE(2023,12,31),DATE(2025,3,31),0.05,0.08,2,0)</t>
  </si>
  <si>
    <t xml:space="preserve">PRICE(DATE(2023,12,31),DATE(2025,3,31),0.05,0.08,100,2,0)</t>
  </si>
  <si>
    <t xml:space="preserve">YIELD(DATE(2023,12,31),DATE(2025,3,31),0.05,95,100,2,0)</t>
  </si>
  <si>
    <t xml:space="preserve">PRICEDISC(DATE(2023,12,31),DATE(2025,3,31),0.05,100,1)</t>
  </si>
  <si>
    <t xml:space="preserve">RECEIVED(DATE(2023,12,31),DATE(2025,3,31),1000,0.05,1)</t>
  </si>
  <si>
    <t xml:space="preserve">INTRATE(DATE(2023,12,31),DATE(2025,3,31),1000,1050,1)</t>
  </si>
  <si>
    <t xml:space="preserve">DISC(DATE(2023,12,31),DATE(2025,3,31),95,100,1)</t>
  </si>
  <si>
    <t xml:space="preserve">YIELDDISC(DATE(2023,12,31),DATE(2025,3,31),95,100,1)</t>
  </si>
  <si>
    <t xml:space="preserve">ACCRINTM(DATE(2023,12,31),DATE(2025,3,31),0.05,1000,1)</t>
  </si>
  <si>
    <t xml:space="preserve">PRICEMAT(DATE(2023,12,31),DATE(2025,3,31),DATE(2023,1,31),0.05,0.06,1)</t>
  </si>
  <si>
    <t xml:space="preserve">YIELDMAT(DATE(2023,12,31),DATE(2025,3,31),DATE(2023,1,31),0.05,98,1)</t>
  </si>
  <si>
    <t xml:space="preserve">ACCRINT(DATE(2023,12,31),DATE(2030,1,1),DATE(2025,3,31),0.05,1000,2,1)</t>
  </si>
  <si>
    <t xml:space="preserve">DURATION(DATE(2023,12,31),DATE(2025,3,31),0.05,0.08,2,1)</t>
  </si>
  <si>
    <t xml:space="preserve">PRICE(DATE(2023,12,31),DATE(2025,3,31),0.05,0.08,100,2,1)</t>
  </si>
  <si>
    <t xml:space="preserve">YIELD(DATE(2023,12,31),DATE(2025,3,31),0.05,95,100,2,1)</t>
  </si>
  <si>
    <t xml:space="preserve">PRICEDISC(DATE(2023,12,31),DATE(2025,3,31),0.05,100,4)</t>
  </si>
  <si>
    <t xml:space="preserve">RECEIVED(DATE(2023,12,31),DATE(2025,3,31),1000,0.05,4)</t>
  </si>
  <si>
    <t xml:space="preserve">INTRATE(DATE(2023,12,31),DATE(2025,3,31),1000,1050,4)</t>
  </si>
  <si>
    <t xml:space="preserve">DISC(DATE(2023,12,31),DATE(2025,3,31),95,100,4)</t>
  </si>
  <si>
    <t xml:space="preserve">YIELDDISC(DATE(2023,12,31),DATE(2025,3,31),95,100,4)</t>
  </si>
  <si>
    <t xml:space="preserve">ACCRINTM(DATE(2023,12,31),DATE(2025,3,31),0.05,1000,4)</t>
  </si>
  <si>
    <t xml:space="preserve">PRICEMAT(DATE(2023,12,31),DATE(2025,3,31),DATE(2023,1,31),0.05,0.06,4)</t>
  </si>
  <si>
    <t xml:space="preserve">YIELDMAT(DATE(2023,12,31),DATE(2025,3,31),DATE(2023,1,31),0.05,98,4)</t>
  </si>
  <si>
    <t xml:space="preserve">ACCRINT(DATE(2023,12,31),DATE(2030,1,1),DATE(2025,3,31),0.05,1000,2,4)</t>
  </si>
  <si>
    <t xml:space="preserve">DURATION(DATE(2023,12,31),DATE(2025,3,31),0.05,0.08,2,4)</t>
  </si>
  <si>
    <t xml:space="preserve">PRICE(DATE(2023,12,31),DATE(2025,3,31),0.05,0.08,100,2,4)</t>
  </si>
  <si>
    <t xml:space="preserve">YIELD(DATE(2023,12,31),DATE(2025,3,31),0.05,95,100,2,4)</t>
  </si>
  <si>
    <t xml:space="preserve">TBILLPRICE(DATE(2023,12,31),DATE(2025,3,31),0.05)</t>
  </si>
  <si>
    <t xml:space="preserve">TBILLEQ(DATE(2023,12,31),DATE(2025,3,31),0.05)</t>
  </si>
  <si>
    <t xml:space="preserve">TBILLYIELD(DATE(2023,12,31),DATE(2025,3,31),98)</t>
  </si>
  <si>
    <t xml:space="preserve">PRICEDISC(DATE(2023,12,31),DATE(2024,8,31),0.05,100,0)</t>
  </si>
  <si>
    <t xml:space="preserve">RECEIVED(DATE(2023,12,31),DATE(2024,8,31),1000,0.05,0)</t>
  </si>
  <si>
    <t xml:space="preserve">INTRATE(DATE(2023,12,31),DATE(2024,8,31),1000,1050,0)</t>
  </si>
  <si>
    <t xml:space="preserve">DISC(DATE(2023,12,31),DATE(2024,8,31),95,100,0)</t>
  </si>
  <si>
    <t xml:space="preserve">YIELDDISC(DATE(2023,12,31),DATE(2024,8,31),95,100,0)</t>
  </si>
  <si>
    <t xml:space="preserve">ACCRINTM(DATE(2023,12,31),DATE(2024,8,31),0.05,1000,0)</t>
  </si>
  <si>
    <t xml:space="preserve">PRICEMAT(DATE(2023,12,31),DATE(2024,8,31),DATE(2023,1,31),0.05,0.06,0)</t>
  </si>
  <si>
    <t xml:space="preserve">YIELDMAT(DATE(2023,12,31),DATE(2024,8,31),DATE(2023,1,31),0.05,98,0)</t>
  </si>
  <si>
    <t xml:space="preserve">ACCRINT(DATE(2023,12,31),DATE(2030,1,1),DATE(2024,8,31),0.05,1000,2,0)</t>
  </si>
  <si>
    <t xml:space="preserve">DURATION(DATE(2023,12,31),DATE(2024,8,31),0.05,0.08,2,0)</t>
  </si>
  <si>
    <t xml:space="preserve">PRICE(DATE(2023,12,31),DATE(2024,8,31),0.05,0.08,100,2,0)</t>
  </si>
  <si>
    <t xml:space="preserve">YIELD(DATE(2023,12,31),DATE(2024,8,31),0.05,95,100,2,0)</t>
  </si>
  <si>
    <t xml:space="preserve">PRICEDISC(DATE(2023,12,31),DATE(2024,8,31),0.05,100,1)</t>
  </si>
  <si>
    <t xml:space="preserve">RECEIVED(DATE(2023,12,31),DATE(2024,8,31),1000,0.05,1)</t>
  </si>
  <si>
    <t xml:space="preserve">INTRATE(DATE(2023,12,31),DATE(2024,8,31),1000,1050,1)</t>
  </si>
  <si>
    <t xml:space="preserve">DISC(DATE(2023,12,31),DATE(2024,8,31),95,100,1)</t>
  </si>
  <si>
    <t xml:space="preserve">YIELDDISC(DATE(2023,12,31),DATE(2024,8,31),95,100,1)</t>
  </si>
  <si>
    <t xml:space="preserve">ACCRINTM(DATE(2023,12,31),DATE(2024,8,31),0.05,1000,1)</t>
  </si>
  <si>
    <t xml:space="preserve">PRICEMAT(DATE(2023,12,31),DATE(2024,8,31),DATE(2023,1,31),0.05,0.06,1)</t>
  </si>
  <si>
    <t xml:space="preserve">YIELDMAT(DATE(2023,12,31),DATE(2024,8,31),DATE(2023,1,31),0.05,98,1)</t>
  </si>
  <si>
    <t xml:space="preserve">ACCRINT(DATE(2023,12,31),DATE(2030,1,1),DATE(2024,8,31),0.05,1000,2,1)</t>
  </si>
  <si>
    <t xml:space="preserve">DURATION(DATE(2023,12,31),DATE(2024,8,31),0.05,0.08,2,1)</t>
  </si>
  <si>
    <t xml:space="preserve">PRICE(DATE(2023,12,31),DATE(2024,8,31),0.05,0.08,100,2,1)</t>
  </si>
  <si>
    <t xml:space="preserve">YIELD(DATE(2023,12,31),DATE(2024,8,31),0.05,95,100,2,1)</t>
  </si>
  <si>
    <t xml:space="preserve">PRICEDISC(DATE(2023,12,31),DATE(2024,8,31),0.05,100,4)</t>
  </si>
  <si>
    <t xml:space="preserve">RECEIVED(DATE(2023,12,31),DATE(2024,8,31),1000,0.05,4)</t>
  </si>
  <si>
    <t xml:space="preserve">INTRATE(DATE(2023,12,31),DATE(2024,8,31),1000,1050,4)</t>
  </si>
  <si>
    <t xml:space="preserve">DISC(DATE(2023,12,31),DATE(2024,8,31),95,100,4)</t>
  </si>
  <si>
    <t xml:space="preserve">YIELDDISC(DATE(2023,12,31),DATE(2024,8,31),95,100,4)</t>
  </si>
  <si>
    <t xml:space="preserve">ACCRINTM(DATE(2023,12,31),DATE(2024,8,31),0.05,1000,4)</t>
  </si>
  <si>
    <t xml:space="preserve">PRICEMAT(DATE(2023,12,31),DATE(2024,8,31),DATE(2023,1,31),0.05,0.06,4)</t>
  </si>
  <si>
    <t xml:space="preserve">YIELDMAT(DATE(2023,12,31),DATE(2024,8,31),DATE(2023,1,31),0.05,98,4)</t>
  </si>
  <si>
    <t xml:space="preserve">ACCRINT(DATE(2023,12,31),DATE(2030,1,1),DATE(2024,8,31),0.05,1000,2,4)</t>
  </si>
  <si>
    <t xml:space="preserve">DURATION(DATE(2023,12,31),DATE(2024,8,31),0.05,0.08,2,4)</t>
  </si>
  <si>
    <t xml:space="preserve">PRICE(DATE(2023,12,31),DATE(2024,8,31),0.05,0.08,100,2,4)</t>
  </si>
  <si>
    <t xml:space="preserve">YIELD(DATE(2023,12,31),DATE(2024,8,31),0.05,95,100,2,4)</t>
  </si>
  <si>
    <t xml:space="preserve">TBILLPRICE(DATE(2023,12,31),DATE(2024,8,31),0.05)</t>
  </si>
  <si>
    <t xml:space="preserve">TBILLEQ(DATE(2023,12,31),DATE(2024,8,31),0.05)</t>
  </si>
  <si>
    <t xml:space="preserve">TBILLYIELD(DATE(2023,12,31),DATE(2024,8,31),98)</t>
  </si>
  <si>
    <t xml:space="preserve">PRICEDISC(DATE(2023,12,31),DATE(2025,6,30),0.05,100,0)</t>
  </si>
  <si>
    <t xml:space="preserve">RECEIVED(DATE(2023,12,31),DATE(2025,6,30),1000,0.05,0)</t>
  </si>
  <si>
    <t xml:space="preserve">INTRATE(DATE(2023,12,31),DATE(2025,6,30),1000,1050,0)</t>
  </si>
  <si>
    <t xml:space="preserve">DISC(DATE(2023,12,31),DATE(2025,6,30),95,100,0)</t>
  </si>
  <si>
    <t xml:space="preserve">YIELDDISC(DATE(2023,12,31),DATE(2025,6,30),95,100,0)</t>
  </si>
  <si>
    <t xml:space="preserve">ACCRINTM(DATE(2023,12,31),DATE(2025,6,30),0.05,1000,0)</t>
  </si>
  <si>
    <t xml:space="preserve">PRICEMAT(DATE(2023,12,31),DATE(2025,6,30),DATE(2023,1,31),0.05,0.06,0)</t>
  </si>
  <si>
    <t xml:space="preserve">YIELDMAT(DATE(2023,12,31),DATE(2025,6,30),DATE(2023,1,31),0.05,98,0)</t>
  </si>
  <si>
    <t xml:space="preserve">ACCRINT(DATE(2023,12,31),DATE(2030,1,1),DATE(2025,6,30),0.05,1000,2,0)</t>
  </si>
  <si>
    <t xml:space="preserve">DURATION(DATE(2023,12,31),DATE(2025,6,30),0.05,0.08,2,0)</t>
  </si>
  <si>
    <t xml:space="preserve">PRICE(DATE(2023,12,31),DATE(2025,6,30),0.05,0.08,100,2,0)</t>
  </si>
  <si>
    <t xml:space="preserve">YIELD(DATE(2023,12,31),DATE(2025,6,30),0.05,95,100,2,0)</t>
  </si>
  <si>
    <t xml:space="preserve">PRICEDISC(DATE(2023,12,31),DATE(2025,6,30),0.05,100,1)</t>
  </si>
  <si>
    <t xml:space="preserve">RECEIVED(DATE(2023,12,31),DATE(2025,6,30),1000,0.05,1)</t>
  </si>
  <si>
    <t xml:space="preserve">INTRATE(DATE(2023,12,31),DATE(2025,6,30),1000,1050,1)</t>
  </si>
  <si>
    <t xml:space="preserve">DISC(DATE(2023,12,31),DATE(2025,6,30),95,100,1)</t>
  </si>
  <si>
    <t xml:space="preserve">YIELDDISC(DATE(2023,12,31),DATE(2025,6,30),95,100,1)</t>
  </si>
  <si>
    <t xml:space="preserve">ACCRINTM(DATE(2023,12,31),DATE(2025,6,30),0.05,1000,1)</t>
  </si>
  <si>
    <t xml:space="preserve">PRICEMAT(DATE(2023,12,31),DATE(2025,6,30),DATE(2023,1,31),0.05,0.06,1)</t>
  </si>
  <si>
    <t xml:space="preserve">YIELDMAT(DATE(2023,12,31),DATE(2025,6,30),DATE(2023,1,31),0.05,98,1)</t>
  </si>
  <si>
    <t xml:space="preserve">ACCRINT(DATE(2023,12,31),DATE(2030,1,1),DATE(2025,6,30),0.05,1000,2,1)</t>
  </si>
  <si>
    <t xml:space="preserve">DURATION(DATE(2023,12,31),DATE(2025,6,30),0.05,0.08,2,1)</t>
  </si>
  <si>
    <t xml:space="preserve">PRICE(DATE(2023,12,31),DATE(2025,6,30),0.05,0.08,100,2,1)</t>
  </si>
  <si>
    <t xml:space="preserve">YIELD(DATE(2023,12,31),DATE(2025,6,30),0.05,95,100,2,1)</t>
  </si>
  <si>
    <t xml:space="preserve">PRICEDISC(DATE(2023,12,31),DATE(2025,6,30),0.05,100,4)</t>
  </si>
  <si>
    <t xml:space="preserve">RECEIVED(DATE(2023,12,31),DATE(2025,6,30),1000,0.05,4)</t>
  </si>
  <si>
    <t xml:space="preserve">INTRATE(DATE(2023,12,31),DATE(2025,6,30),1000,1050,4)</t>
  </si>
  <si>
    <t xml:space="preserve">DISC(DATE(2023,12,31),DATE(2025,6,30),95,100,4)</t>
  </si>
  <si>
    <t xml:space="preserve">YIELDDISC(DATE(2023,12,31),DATE(2025,6,30),95,100,4)</t>
  </si>
  <si>
    <t xml:space="preserve">ACCRINTM(DATE(2023,12,31),DATE(2025,6,30),0.05,1000,4)</t>
  </si>
  <si>
    <t xml:space="preserve">PRICEMAT(DATE(2023,12,31),DATE(2025,6,30),DATE(2023,1,31),0.05,0.06,4)</t>
  </si>
  <si>
    <t xml:space="preserve">YIELDMAT(DATE(2023,12,31),DATE(2025,6,30),DATE(2023,1,31),0.05,98,4)</t>
  </si>
  <si>
    <t xml:space="preserve">ACCRINT(DATE(2023,12,31),DATE(2030,1,1),DATE(2025,6,30),0.05,1000,2,4)</t>
  </si>
  <si>
    <t xml:space="preserve">DURATION(DATE(2023,12,31),DATE(2025,6,30),0.05,0.08,2,4)</t>
  </si>
  <si>
    <t xml:space="preserve">PRICE(DATE(2023,12,31),DATE(2025,6,30),0.05,0.08,100,2,4)</t>
  </si>
  <si>
    <t xml:space="preserve">YIELD(DATE(2023,12,31),DATE(2025,6,30),0.05,95,100,2,4)</t>
  </si>
  <si>
    <t xml:space="preserve">TBILLPRICE(DATE(2023,12,31),DATE(2025,6,30),0.05)</t>
  </si>
  <si>
    <t xml:space="preserve">TBILLEQ(DATE(2023,12,31),DATE(2025,6,30),0.05)</t>
  </si>
  <si>
    <t xml:space="preserve">TBILLYIELD(DATE(2023,12,31),DATE(2025,6,30),98)</t>
  </si>
  <si>
    <t xml:space="preserve">PRICEDISC(DATE(2023,12,31),DATE(2026,12,31),0.05,100,0)</t>
  </si>
  <si>
    <t xml:space="preserve">RECEIVED(DATE(2023,12,31),DATE(2026,12,31),1000,0.05,0)</t>
  </si>
  <si>
    <t xml:space="preserve">INTRATE(DATE(2023,12,31),DATE(2026,12,31),1000,1050,0)</t>
  </si>
  <si>
    <t xml:space="preserve">DISC(DATE(2023,12,31),DATE(2026,12,31),95,100,0)</t>
  </si>
  <si>
    <t xml:space="preserve">YIELDDISC(DATE(2023,12,31),DATE(2026,12,31),95,100,0)</t>
  </si>
  <si>
    <t xml:space="preserve">ACCRINTM(DATE(2023,12,31),DATE(2026,12,31),0.05,1000,0)</t>
  </si>
  <si>
    <t xml:space="preserve">PRICEMAT(DATE(2023,12,31),DATE(2026,12,31),DATE(2023,1,31),0.05,0.06,0)</t>
  </si>
  <si>
    <t xml:space="preserve">YIELDMAT(DATE(2023,12,31),DATE(2026,12,31),DATE(2023,1,31),0.05,98,0)</t>
  </si>
  <si>
    <t xml:space="preserve">ACCRINT(DATE(2023,12,31),DATE(2030,1,1),DATE(2026,12,31),0.05,1000,2,0)</t>
  </si>
  <si>
    <t xml:space="preserve">DURATION(DATE(2023,12,31),DATE(2026,12,31),0.05,0.08,2,0)</t>
  </si>
  <si>
    <t xml:space="preserve">PRICE(DATE(2023,12,31),DATE(2026,12,31),0.05,0.08,100,2,0)</t>
  </si>
  <si>
    <t xml:space="preserve">YIELD(DATE(2023,12,31),DATE(2026,12,31),0.05,95,100,2,0)</t>
  </si>
  <si>
    <t xml:space="preserve">PRICEDISC(DATE(2023,12,31),DATE(2026,12,31),0.05,100,1)</t>
  </si>
  <si>
    <t xml:space="preserve">RECEIVED(DATE(2023,12,31),DATE(2026,12,31),1000,0.05,1)</t>
  </si>
  <si>
    <t xml:space="preserve">INTRATE(DATE(2023,12,31),DATE(2026,12,31),1000,1050,1)</t>
  </si>
  <si>
    <t xml:space="preserve">DISC(DATE(2023,12,31),DATE(2026,12,31),95,100,1)</t>
  </si>
  <si>
    <t xml:space="preserve">YIELDDISC(DATE(2023,12,31),DATE(2026,12,31),95,100,1)</t>
  </si>
  <si>
    <t xml:space="preserve">ACCRINTM(DATE(2023,12,31),DATE(2026,12,31),0.05,1000,1)</t>
  </si>
  <si>
    <t xml:space="preserve">PRICEMAT(DATE(2023,12,31),DATE(2026,12,31),DATE(2023,1,31),0.05,0.06,1)</t>
  </si>
  <si>
    <t xml:space="preserve">YIELDMAT(DATE(2023,12,31),DATE(2026,12,31),DATE(2023,1,31),0.05,98,1)</t>
  </si>
  <si>
    <t xml:space="preserve">ACCRINT(DATE(2023,12,31),DATE(2030,1,1),DATE(2026,12,31),0.05,1000,2,1)</t>
  </si>
  <si>
    <t xml:space="preserve">DURATION(DATE(2023,12,31),DATE(2026,12,31),0.05,0.08,2,1)</t>
  </si>
  <si>
    <t xml:space="preserve">PRICE(DATE(2023,12,31),DATE(2026,12,31),0.05,0.08,100,2,1)</t>
  </si>
  <si>
    <t xml:space="preserve">YIELD(DATE(2023,12,31),DATE(2026,12,31),0.05,95,100,2,1)</t>
  </si>
  <si>
    <t xml:space="preserve">PRICEDISC(DATE(2023,12,31),DATE(2026,12,31),0.05,100,4)</t>
  </si>
  <si>
    <t xml:space="preserve">RECEIVED(DATE(2023,12,31),DATE(2026,12,31),1000,0.05,4)</t>
  </si>
  <si>
    <t xml:space="preserve">INTRATE(DATE(2023,12,31),DATE(2026,12,31),1000,1050,4)</t>
  </si>
  <si>
    <t xml:space="preserve">DISC(DATE(2023,12,31),DATE(2026,12,31),95,100,4)</t>
  </si>
  <si>
    <t xml:space="preserve">YIELDDISC(DATE(2023,12,31),DATE(2026,12,31),95,100,4)</t>
  </si>
  <si>
    <t xml:space="preserve">ACCRINTM(DATE(2023,12,31),DATE(2026,12,31),0.05,1000,4)</t>
  </si>
  <si>
    <t xml:space="preserve">PRICEMAT(DATE(2023,12,31),DATE(2026,12,31),DATE(2023,1,31),0.05,0.06,4)</t>
  </si>
  <si>
    <t xml:space="preserve">YIELDMAT(DATE(2023,12,31),DATE(2026,12,31),DATE(2023,1,31),0.05,98,4)</t>
  </si>
  <si>
    <t xml:space="preserve">ACCRINT(DATE(2023,12,31),DATE(2030,1,1),DATE(2026,12,31),0.05,1000,2,4)</t>
  </si>
  <si>
    <t xml:space="preserve">DURATION(DATE(2023,12,31),DATE(2026,12,31),0.05,0.08,2,4)</t>
  </si>
  <si>
    <t xml:space="preserve">PRICE(DATE(2023,12,31),DATE(2026,12,31),0.05,0.08,100,2,4)</t>
  </si>
  <si>
    <t xml:space="preserve">YIELD(DATE(2023,12,31),DATE(2026,12,31),0.05,95,100,2,4)</t>
  </si>
  <si>
    <t xml:space="preserve">TBILLPRICE(DATE(2023,12,31),DATE(2026,12,31),0.05)</t>
  </si>
  <si>
    <t xml:space="preserve">TBILLEQ(DATE(2023,12,31),DATE(2026,12,31),0.05)</t>
  </si>
  <si>
    <t xml:space="preserve">TBILLYIELD(DATE(2023,12,31),DATE(2026,12,31),98)</t>
  </si>
  <si>
    <t xml:space="preserve">PRICEDISC(DATE(2023,12,31),DATE(2027,2,28),0.05,100,0)</t>
  </si>
  <si>
    <t xml:space="preserve">RECEIVED(DATE(2023,12,31),DATE(2027,2,28),1000,0.05,0)</t>
  </si>
  <si>
    <t xml:space="preserve">INTRATE(DATE(2023,12,31),DATE(2027,2,28),1000,1050,0)</t>
  </si>
  <si>
    <t xml:space="preserve">DISC(DATE(2023,12,31),DATE(2027,2,28),95,100,0)</t>
  </si>
  <si>
    <t xml:space="preserve">YIELDDISC(DATE(2023,12,31),DATE(2027,2,28),95,100,0)</t>
  </si>
  <si>
    <t xml:space="preserve">ACCRINTM(DATE(2023,12,31),DATE(2027,2,28),0.05,1000,0)</t>
  </si>
  <si>
    <t xml:space="preserve">PRICEMAT(DATE(2023,12,31),DATE(2027,2,28),DATE(2023,1,31),0.05,0.06,0)</t>
  </si>
  <si>
    <t xml:space="preserve">YIELDMAT(DATE(2023,12,31),DATE(2027,2,28),DATE(2023,1,31),0.05,98,0)</t>
  </si>
  <si>
    <t xml:space="preserve">ACCRINT(DATE(2023,12,31),DATE(2030,1,1),DATE(2027,2,28),0.05,1000,2,0)</t>
  </si>
  <si>
    <t xml:space="preserve">DURATION(DATE(2023,12,31),DATE(2027,2,28),0.05,0.08,2,0)</t>
  </si>
  <si>
    <t xml:space="preserve">PRICE(DATE(2023,12,31),DATE(2027,2,28),0.05,0.08,100,2,0)</t>
  </si>
  <si>
    <t xml:space="preserve">YIELD(DATE(2023,12,31),DATE(2027,2,28),0.05,95,100,2,0)</t>
  </si>
  <si>
    <t xml:space="preserve">PRICEDISC(DATE(2023,12,31),DATE(2027,2,28),0.05,100,1)</t>
  </si>
  <si>
    <t xml:space="preserve">RECEIVED(DATE(2023,12,31),DATE(2027,2,28),1000,0.05,1)</t>
  </si>
  <si>
    <t xml:space="preserve">INTRATE(DATE(2023,12,31),DATE(2027,2,28),1000,1050,1)</t>
  </si>
  <si>
    <t xml:space="preserve">DISC(DATE(2023,12,31),DATE(2027,2,28),95,100,1)</t>
  </si>
  <si>
    <t xml:space="preserve">YIELDDISC(DATE(2023,12,31),DATE(2027,2,28),95,100,1)</t>
  </si>
  <si>
    <t xml:space="preserve">ACCRINTM(DATE(2023,12,31),DATE(2027,2,28),0.05,1000,1)</t>
  </si>
  <si>
    <t xml:space="preserve">PRICEMAT(DATE(2023,12,31),DATE(2027,2,28),DATE(2023,1,31),0.05,0.06,1)</t>
  </si>
  <si>
    <t xml:space="preserve">YIELDMAT(DATE(2023,12,31),DATE(2027,2,28),DATE(2023,1,31),0.05,98,1)</t>
  </si>
  <si>
    <t xml:space="preserve">ACCRINT(DATE(2023,12,31),DATE(2030,1,1),DATE(2027,2,28),0.05,1000,2,1)</t>
  </si>
  <si>
    <t xml:space="preserve">DURATION(DATE(2023,12,31),DATE(2027,2,28),0.05,0.08,2,1)</t>
  </si>
  <si>
    <t xml:space="preserve">PRICE(DATE(2023,12,31),DATE(2027,2,28),0.05,0.08,100,2,1)</t>
  </si>
  <si>
    <t xml:space="preserve">YIELD(DATE(2023,12,31),DATE(2027,2,28),0.05,95,100,2,1)</t>
  </si>
  <si>
    <t xml:space="preserve">PRICEDISC(DATE(2023,12,31),DATE(2027,2,28),0.05,100,4)</t>
  </si>
  <si>
    <t xml:space="preserve">RECEIVED(DATE(2023,12,31),DATE(2027,2,28),1000,0.05,4)</t>
  </si>
  <si>
    <t xml:space="preserve">INTRATE(DATE(2023,12,31),DATE(2027,2,28),1000,1050,4)</t>
  </si>
  <si>
    <t xml:space="preserve">DISC(DATE(2023,12,31),DATE(2027,2,28),95,100,4)</t>
  </si>
  <si>
    <t xml:space="preserve">YIELDDISC(DATE(2023,12,31),DATE(2027,2,28),95,100,4)</t>
  </si>
  <si>
    <t xml:space="preserve">ACCRINTM(DATE(2023,12,31),DATE(2027,2,28),0.05,1000,4)</t>
  </si>
  <si>
    <t xml:space="preserve">PRICEMAT(DATE(2023,12,31),DATE(2027,2,28),DATE(2023,1,31),0.05,0.06,4)</t>
  </si>
  <si>
    <t xml:space="preserve">YIELDMAT(DATE(2023,12,31),DATE(2027,2,28),DATE(2023,1,31),0.05,98,4)</t>
  </si>
  <si>
    <t xml:space="preserve">ACCRINT(DATE(2023,12,31),DATE(2030,1,1),DATE(2027,2,28),0.05,1000,2,4)</t>
  </si>
  <si>
    <t xml:space="preserve">DURATION(DATE(2023,12,31),DATE(2027,2,28),0.05,0.08,2,4)</t>
  </si>
  <si>
    <t xml:space="preserve">PRICE(DATE(2023,12,31),DATE(2027,2,28),0.05,0.08,100,2,4)</t>
  </si>
  <si>
    <t xml:space="preserve">YIELD(DATE(2023,12,31),DATE(2027,2,28),0.05,95,100,2,4)</t>
  </si>
  <si>
    <t xml:space="preserve">TBILLPRICE(DATE(2023,12,31),DATE(2027,2,28),0.05)</t>
  </si>
  <si>
    <t xml:space="preserve">TBILLEQ(DATE(2023,12,31),DATE(2027,2,28),0.05)</t>
  </si>
  <si>
    <t xml:space="preserve">TBILLYIELD(DATE(2023,12,31),DATE(2027,2,28),98)</t>
  </si>
  <si>
    <t xml:space="preserve">PRICEDISC(DATE(2023,12,31),DATE(2025,1,30),0.05,100,0)</t>
  </si>
  <si>
    <t xml:space="preserve">RECEIVED(DATE(2023,12,31),DATE(2025,1,30),1000,0.05,0)</t>
  </si>
  <si>
    <t xml:space="preserve">INTRATE(DATE(2023,12,31),DATE(2025,1,30),1000,1050,0)</t>
  </si>
  <si>
    <t xml:space="preserve">DISC(DATE(2023,12,31),DATE(2025,1,30),95,100,0)</t>
  </si>
  <si>
    <t xml:space="preserve">YIELDDISC(DATE(2023,12,31),DATE(2025,1,30),95,100,0)</t>
  </si>
  <si>
    <t xml:space="preserve">ACCRINTM(DATE(2023,12,31),DATE(2025,1,30),0.05,1000,0)</t>
  </si>
  <si>
    <t xml:space="preserve">PRICEMAT(DATE(2023,12,31),DATE(2025,1,30),DATE(2023,1,31),0.05,0.06,0)</t>
  </si>
  <si>
    <t xml:space="preserve">YIELDMAT(DATE(2023,12,31),DATE(2025,1,30),DATE(2023,1,31),0.05,98,0)</t>
  </si>
  <si>
    <t xml:space="preserve">ACCRINT(DATE(2023,12,31),DATE(2030,1,1),DATE(2025,1,30),0.05,1000,2,0)</t>
  </si>
  <si>
    <t xml:space="preserve">DURATION(DATE(2023,12,31),DATE(2025,1,30),0.05,0.08,2,0)</t>
  </si>
  <si>
    <t xml:space="preserve">PRICE(DATE(2023,12,31),DATE(2025,1,30),0.05,0.08,100,2,0)</t>
  </si>
  <si>
    <t xml:space="preserve">YIELD(DATE(2023,12,31),DATE(2025,1,30),0.05,95,100,2,0)</t>
  </si>
  <si>
    <t xml:space="preserve">PRICEDISC(DATE(2023,12,31),DATE(2025,1,30),0.05,100,1)</t>
  </si>
  <si>
    <t xml:space="preserve">RECEIVED(DATE(2023,12,31),DATE(2025,1,30),1000,0.05,1)</t>
  </si>
  <si>
    <t xml:space="preserve">INTRATE(DATE(2023,12,31),DATE(2025,1,30),1000,1050,1)</t>
  </si>
  <si>
    <t xml:space="preserve">DISC(DATE(2023,12,31),DATE(2025,1,30),95,100,1)</t>
  </si>
  <si>
    <t xml:space="preserve">YIELDDISC(DATE(2023,12,31),DATE(2025,1,30),95,100,1)</t>
  </si>
  <si>
    <t xml:space="preserve">ACCRINTM(DATE(2023,12,31),DATE(2025,1,30),0.05,1000,1)</t>
  </si>
  <si>
    <t xml:space="preserve">PRICEMAT(DATE(2023,12,31),DATE(2025,1,30),DATE(2023,1,31),0.05,0.06,1)</t>
  </si>
  <si>
    <t xml:space="preserve">YIELDMAT(DATE(2023,12,31),DATE(2025,1,30),DATE(2023,1,31),0.05,98,1)</t>
  </si>
  <si>
    <t xml:space="preserve">ACCRINT(DATE(2023,12,31),DATE(2030,1,1),DATE(2025,1,30),0.05,1000,2,1)</t>
  </si>
  <si>
    <t xml:space="preserve">DURATION(DATE(2023,12,31),DATE(2025,1,30),0.05,0.08,2,1)</t>
  </si>
  <si>
    <t xml:space="preserve">PRICE(DATE(2023,12,31),DATE(2025,1,30),0.05,0.08,100,2,1)</t>
  </si>
  <si>
    <t xml:space="preserve">YIELD(DATE(2023,12,31),DATE(2025,1,30),0.05,95,100,2,1)</t>
  </si>
  <si>
    <t xml:space="preserve">PRICEDISC(DATE(2023,12,31),DATE(2025,1,30),0.05,100,4)</t>
  </si>
  <si>
    <t xml:space="preserve">RECEIVED(DATE(2023,12,31),DATE(2025,1,30),1000,0.05,4)</t>
  </si>
  <si>
    <t xml:space="preserve">INTRATE(DATE(2023,12,31),DATE(2025,1,30),1000,1050,4)</t>
  </si>
  <si>
    <t xml:space="preserve">DISC(DATE(2023,12,31),DATE(2025,1,30),95,100,4)</t>
  </si>
  <si>
    <t xml:space="preserve">YIELDDISC(DATE(2023,12,31),DATE(2025,1,30),95,100,4)</t>
  </si>
  <si>
    <t xml:space="preserve">ACCRINTM(DATE(2023,12,31),DATE(2025,1,30),0.05,1000,4)</t>
  </si>
  <si>
    <t xml:space="preserve">PRICEMAT(DATE(2023,12,31),DATE(2025,1,30),DATE(2023,1,31),0.05,0.06,4)</t>
  </si>
  <si>
    <t xml:space="preserve">YIELDMAT(DATE(2023,12,31),DATE(2025,1,30),DATE(2023,1,31),0.05,98,4)</t>
  </si>
  <si>
    <t xml:space="preserve">ACCRINT(DATE(2023,12,31),DATE(2030,1,1),DATE(2025,1,30),0.05,1000,2,4)</t>
  </si>
  <si>
    <t xml:space="preserve">DURATION(DATE(2023,12,31),DATE(2025,1,30),0.05,0.08,2,4)</t>
  </si>
  <si>
    <t xml:space="preserve">PRICE(DATE(2023,12,31),DATE(2025,1,30),0.05,0.08,100,2,4)</t>
  </si>
  <si>
    <t xml:space="preserve">YIELD(DATE(2023,12,31),DATE(2025,1,30),0.05,95,100,2,4)</t>
  </si>
  <si>
    <t xml:space="preserve">TBILLPRICE(DATE(2023,12,31),DATE(2025,1,30),0.05)</t>
  </si>
  <si>
    <t xml:space="preserve">TBILLEQ(DATE(2023,12,31),DATE(2025,1,30),0.05)</t>
  </si>
  <si>
    <t xml:space="preserve">TBILLYIELD(DATE(2023,12,31),DATE(2025,1,30),98)</t>
  </si>
  <si>
    <t xml:space="preserve">PRICEDISC(DATE(2023,12,31),DATE(2024,12,31),0.05,100,0)</t>
  </si>
  <si>
    <t xml:space="preserve">RECEIVED(DATE(2023,12,31),DATE(2024,12,31),1000,0.05,0)</t>
  </si>
  <si>
    <t xml:space="preserve">INTRATE(DATE(2023,12,31),DATE(2024,12,31),1000,1050,0)</t>
  </si>
  <si>
    <t xml:space="preserve">DISC(DATE(2023,12,31),DATE(2024,12,31),95,100,0)</t>
  </si>
  <si>
    <t xml:space="preserve">YIELDDISC(DATE(2023,12,31),DATE(2024,12,31),95,100,0)</t>
  </si>
  <si>
    <t xml:space="preserve">ACCRINTM(DATE(2023,12,31),DATE(2024,12,31),0.05,1000,0)</t>
  </si>
  <si>
    <t xml:space="preserve">PRICEMAT(DATE(2023,12,31),DATE(2024,12,31),DATE(2023,1,31),0.05,0.06,0)</t>
  </si>
  <si>
    <t xml:space="preserve">YIELDMAT(DATE(2023,12,31),DATE(2024,12,31),DATE(2023,1,31),0.05,98,0)</t>
  </si>
  <si>
    <t xml:space="preserve">ACCRINT(DATE(2023,12,31),DATE(2030,1,1),DATE(2024,12,31),0.05,1000,2,0)</t>
  </si>
  <si>
    <t xml:space="preserve">DURATION(DATE(2023,12,31),DATE(2024,12,31),0.05,0.08,2,0)</t>
  </si>
  <si>
    <t xml:space="preserve">PRICE(DATE(2023,12,31),DATE(2024,12,31),0.05,0.08,100,2,0)</t>
  </si>
  <si>
    <t xml:space="preserve">YIELD(DATE(2023,12,31),DATE(2024,12,31),0.05,95,100,2,0)</t>
  </si>
  <si>
    <t xml:space="preserve">PRICEDISC(DATE(2023,12,31),DATE(2024,12,31),0.05,100,1)</t>
  </si>
  <si>
    <t xml:space="preserve">RECEIVED(DATE(2023,12,31),DATE(2024,12,31),1000,0.05,1)</t>
  </si>
  <si>
    <t xml:space="preserve">INTRATE(DATE(2023,12,31),DATE(2024,12,31),1000,1050,1)</t>
  </si>
  <si>
    <t xml:space="preserve">DISC(DATE(2023,12,31),DATE(2024,12,31),95,100,1)</t>
  </si>
  <si>
    <t xml:space="preserve">YIELDDISC(DATE(2023,12,31),DATE(2024,12,31),95,100,1)</t>
  </si>
  <si>
    <t xml:space="preserve">ACCRINTM(DATE(2023,12,31),DATE(2024,12,31),0.05,1000,1)</t>
  </si>
  <si>
    <t xml:space="preserve">PRICEMAT(DATE(2023,12,31),DATE(2024,12,31),DATE(2023,1,31),0.05,0.06,1)</t>
  </si>
  <si>
    <t xml:space="preserve">YIELDMAT(DATE(2023,12,31),DATE(2024,12,31),DATE(2023,1,31),0.05,98,1)</t>
  </si>
  <si>
    <t xml:space="preserve">ACCRINT(DATE(2023,12,31),DATE(2030,1,1),DATE(2024,12,31),0.05,1000,2,1)</t>
  </si>
  <si>
    <t xml:space="preserve">DURATION(DATE(2023,12,31),DATE(2024,12,31),0.05,0.08,2,1)</t>
  </si>
  <si>
    <t xml:space="preserve">PRICE(DATE(2023,12,31),DATE(2024,12,31),0.05,0.08,100,2,1)</t>
  </si>
  <si>
    <t xml:space="preserve">YIELD(DATE(2023,12,31),DATE(2024,12,31),0.05,95,100,2,1)</t>
  </si>
  <si>
    <t xml:space="preserve">PRICEDISC(DATE(2023,12,31),DATE(2024,12,31),0.05,100,4)</t>
  </si>
  <si>
    <t xml:space="preserve">RECEIVED(DATE(2023,12,31),DATE(2024,12,31),1000,0.05,4)</t>
  </si>
  <si>
    <t xml:space="preserve">INTRATE(DATE(2023,12,31),DATE(2024,12,31),1000,1050,4)</t>
  </si>
  <si>
    <t xml:space="preserve">DISC(DATE(2023,12,31),DATE(2024,12,31),95,100,4)</t>
  </si>
  <si>
    <t xml:space="preserve">YIELDDISC(DATE(2023,12,31),DATE(2024,12,31),95,100,4)</t>
  </si>
  <si>
    <t xml:space="preserve">ACCRINTM(DATE(2023,12,31),DATE(2024,12,31),0.05,1000,4)</t>
  </si>
  <si>
    <t xml:space="preserve">PRICEMAT(DATE(2023,12,31),DATE(2024,12,31),DATE(2023,1,31),0.05,0.06,4)</t>
  </si>
  <si>
    <t xml:space="preserve">YIELDMAT(DATE(2023,12,31),DATE(2024,12,31),DATE(2023,1,31),0.05,98,4)</t>
  </si>
  <si>
    <t xml:space="preserve">ACCRINT(DATE(2023,12,31),DATE(2030,1,1),DATE(2024,12,31),0.05,1000,2,4)</t>
  </si>
  <si>
    <t xml:space="preserve">DURATION(DATE(2023,12,31),DATE(2024,12,31),0.05,0.08,2,4)</t>
  </si>
  <si>
    <t xml:space="preserve">PRICE(DATE(2023,12,31),DATE(2024,12,31),0.05,0.08,100,2,4)</t>
  </si>
  <si>
    <t xml:space="preserve">YIELD(DATE(2023,12,31),DATE(2024,12,31),0.05,95,100,2,4)</t>
  </si>
  <si>
    <t xml:space="preserve">TBILLPRICE(DATE(2023,12,31),DATE(2024,12,31),0.05)</t>
  </si>
  <si>
    <t xml:space="preserve">TBILLEQ(DATE(2023,12,31),DATE(2024,12,31),0.05)</t>
  </si>
  <si>
    <t xml:space="preserve">TBILLYIELD(DATE(2023,12,31),DATE(2024,12,31),98)</t>
  </si>
  <si>
    <t xml:space="preserve">PRICEDISC(DATE(2024,1,30),DATE(2025,2,28),0.05,100,0)</t>
  </si>
  <si>
    <t xml:space="preserve">RECEIVED(DATE(2024,1,30),DATE(2025,2,28),1000,0.05,0)</t>
  </si>
  <si>
    <t xml:space="preserve">INTRATE(DATE(2024,1,30),DATE(2025,2,28),1000,1050,0)</t>
  </si>
  <si>
    <t xml:space="preserve">DISC(DATE(2024,1,30),DATE(2025,2,28),95,100,0)</t>
  </si>
  <si>
    <t xml:space="preserve">YIELDDISC(DATE(2024,1,30),DATE(2025,2,28),95,100,0)</t>
  </si>
  <si>
    <t xml:space="preserve">ACCRINTM(DATE(2024,1,30),DATE(2025,2,28),0.05,1000,0)</t>
  </si>
  <si>
    <t xml:space="preserve">PRICEMAT(DATE(2024,1,30),DATE(2025,2,28),DATE(2023,1,31),0.05,0.06,0)</t>
  </si>
  <si>
    <t xml:space="preserve">YIELDMAT(DATE(2024,1,30),DATE(2025,2,28),DATE(2023,1,31),0.05,98,0)</t>
  </si>
  <si>
    <t xml:space="preserve">ACCRINT(DATE(2024,1,30),DATE(2030,1,1),DATE(2025,2,28),0.05,1000,2,0)</t>
  </si>
  <si>
    <t xml:space="preserve">DURATION(DATE(2024,1,30),DATE(2025,2,28),0.05,0.08,2,0)</t>
  </si>
  <si>
    <t xml:space="preserve">PRICE(DATE(2024,1,30),DATE(2025,2,28),0.05,0.08,100,2,0)</t>
  </si>
  <si>
    <t xml:space="preserve">YIELD(DATE(2024,1,30),DATE(2025,2,28),0.05,95,100,2,0)</t>
  </si>
  <si>
    <t xml:space="preserve">PRICEDISC(DATE(2024,1,30),DATE(2025,2,28),0.05,100,1)</t>
  </si>
  <si>
    <t xml:space="preserve">RECEIVED(DATE(2024,1,30),DATE(2025,2,28),1000,0.05,1)</t>
  </si>
  <si>
    <t xml:space="preserve">INTRATE(DATE(2024,1,30),DATE(2025,2,28),1000,1050,1)</t>
  </si>
  <si>
    <t xml:space="preserve">DISC(DATE(2024,1,30),DATE(2025,2,28),95,100,1)</t>
  </si>
  <si>
    <t xml:space="preserve">YIELDDISC(DATE(2024,1,30),DATE(2025,2,28),95,100,1)</t>
  </si>
  <si>
    <t xml:space="preserve">ACCRINTM(DATE(2024,1,30),DATE(2025,2,28),0.05,1000,1)</t>
  </si>
  <si>
    <t xml:space="preserve">PRICEMAT(DATE(2024,1,30),DATE(2025,2,28),DATE(2023,1,31),0.05,0.06,1)</t>
  </si>
  <si>
    <t xml:space="preserve">YIELDMAT(DATE(2024,1,30),DATE(2025,2,28),DATE(2023,1,31),0.05,98,1)</t>
  </si>
  <si>
    <t xml:space="preserve">ACCRINT(DATE(2024,1,30),DATE(2030,1,1),DATE(2025,2,28),0.05,1000,2,1)</t>
  </si>
  <si>
    <t xml:space="preserve">DURATION(DATE(2024,1,30),DATE(2025,2,28),0.05,0.08,2,1)</t>
  </si>
  <si>
    <t xml:space="preserve">PRICE(DATE(2024,1,30),DATE(2025,2,28),0.05,0.08,100,2,1)</t>
  </si>
  <si>
    <t xml:space="preserve">YIELD(DATE(2024,1,30),DATE(2025,2,28),0.05,95,100,2,1)</t>
  </si>
  <si>
    <t xml:space="preserve">PRICEDISC(DATE(2024,1,30),DATE(2025,2,28),0.05,100,4)</t>
  </si>
  <si>
    <t xml:space="preserve">RECEIVED(DATE(2024,1,30),DATE(2025,2,28),1000,0.05,4)</t>
  </si>
  <si>
    <t xml:space="preserve">INTRATE(DATE(2024,1,30),DATE(2025,2,28),1000,1050,4)</t>
  </si>
  <si>
    <t xml:space="preserve">DISC(DATE(2024,1,30),DATE(2025,2,28),95,100,4)</t>
  </si>
  <si>
    <t xml:space="preserve">YIELDDISC(DATE(2024,1,30),DATE(2025,2,28),95,100,4)</t>
  </si>
  <si>
    <t xml:space="preserve">ACCRINTM(DATE(2024,1,30),DATE(2025,2,28),0.05,1000,4)</t>
  </si>
  <si>
    <t xml:space="preserve">PRICEMAT(DATE(2024,1,30),DATE(2025,2,28),DATE(2023,1,31),0.05,0.06,4)</t>
  </si>
  <si>
    <t xml:space="preserve">YIELDMAT(DATE(2024,1,30),DATE(2025,2,28),DATE(2023,1,31),0.05,98,4)</t>
  </si>
  <si>
    <t xml:space="preserve">ACCRINT(DATE(2024,1,30),DATE(2030,1,1),DATE(2025,2,28),0.05,1000,2,4)</t>
  </si>
  <si>
    <t xml:space="preserve">DURATION(DATE(2024,1,30),DATE(2025,2,28),0.05,0.08,2,4)</t>
  </si>
  <si>
    <t xml:space="preserve">PRICE(DATE(2024,1,30),DATE(2025,2,28),0.05,0.08,100,2,4)</t>
  </si>
  <si>
    <t xml:space="preserve">YIELD(DATE(2024,1,30),DATE(2025,2,28),0.05,95,100,2,4)</t>
  </si>
  <si>
    <t xml:space="preserve">TBILLPRICE(DATE(2024,1,30),DATE(2025,2,28),0.05)</t>
  </si>
  <si>
    <t xml:space="preserve">TBILLEQ(DATE(2024,1,30),DATE(2025,2,28),0.05)</t>
  </si>
  <si>
    <t xml:space="preserve">TBILLYIELD(DATE(2024,1,30),DATE(2025,2,28),98)</t>
  </si>
  <si>
    <t xml:space="preserve">PRICEDISC(DATE(2024,1,30),DATE(2025,3,31),0.05,100,0)</t>
  </si>
  <si>
    <t xml:space="preserve">RECEIVED(DATE(2024,1,30),DATE(2025,3,31),1000,0.05,0)</t>
  </si>
  <si>
    <t xml:space="preserve">INTRATE(DATE(2024,1,30),DATE(2025,3,31),1000,1050,0)</t>
  </si>
  <si>
    <t xml:space="preserve">DISC(DATE(2024,1,30),DATE(2025,3,31),95,100,0)</t>
  </si>
  <si>
    <t xml:space="preserve">YIELDDISC(DATE(2024,1,30),DATE(2025,3,31),95,100,0)</t>
  </si>
  <si>
    <t xml:space="preserve">ACCRINTM(DATE(2024,1,30),DATE(2025,3,31),0.05,1000,0)</t>
  </si>
  <si>
    <t xml:space="preserve">PRICEMAT(DATE(2024,1,30),DATE(2025,3,31),DATE(2023,1,31),0.05,0.06,0)</t>
  </si>
  <si>
    <t xml:space="preserve">YIELDMAT(DATE(2024,1,30),DATE(2025,3,31),DATE(2023,1,31),0.05,98,0)</t>
  </si>
  <si>
    <t xml:space="preserve">ACCRINT(DATE(2024,1,30),DATE(2030,1,1),DATE(2025,3,31),0.05,1000,2,0)</t>
  </si>
  <si>
    <t xml:space="preserve">DURATION(DATE(2024,1,30),DATE(2025,3,31),0.05,0.08,2,0)</t>
  </si>
  <si>
    <t xml:space="preserve">PRICE(DATE(2024,1,30),DATE(2025,3,31),0.05,0.08,100,2,0)</t>
  </si>
  <si>
    <t xml:space="preserve">YIELD(DATE(2024,1,30),DATE(2025,3,31),0.05,95,100,2,0)</t>
  </si>
  <si>
    <t xml:space="preserve">PRICEDISC(DATE(2024,1,30),DATE(2025,3,31),0.05,100,1)</t>
  </si>
  <si>
    <t xml:space="preserve">RECEIVED(DATE(2024,1,30),DATE(2025,3,31),1000,0.05,1)</t>
  </si>
  <si>
    <t xml:space="preserve">INTRATE(DATE(2024,1,30),DATE(2025,3,31),1000,1050,1)</t>
  </si>
  <si>
    <t xml:space="preserve">DISC(DATE(2024,1,30),DATE(2025,3,31),95,100,1)</t>
  </si>
  <si>
    <t xml:space="preserve">YIELDDISC(DATE(2024,1,30),DATE(2025,3,31),95,100,1)</t>
  </si>
  <si>
    <t xml:space="preserve">ACCRINTM(DATE(2024,1,30),DATE(2025,3,31),0.05,1000,1)</t>
  </si>
  <si>
    <t xml:space="preserve">PRICEMAT(DATE(2024,1,30),DATE(2025,3,31),DATE(2023,1,31),0.05,0.06,1)</t>
  </si>
  <si>
    <t xml:space="preserve">YIELDMAT(DATE(2024,1,30),DATE(2025,3,31),DATE(2023,1,31),0.05,98,1)</t>
  </si>
  <si>
    <t xml:space="preserve">ACCRINT(DATE(2024,1,30),DATE(2030,1,1),DATE(2025,3,31),0.05,1000,2,1)</t>
  </si>
  <si>
    <t xml:space="preserve">DURATION(DATE(2024,1,30),DATE(2025,3,31),0.05,0.08,2,1)</t>
  </si>
  <si>
    <t xml:space="preserve">PRICE(DATE(2024,1,30),DATE(2025,3,31),0.05,0.08,100,2,1)</t>
  </si>
  <si>
    <t xml:space="preserve">YIELD(DATE(2024,1,30),DATE(2025,3,31),0.05,95,100,2,1)</t>
  </si>
  <si>
    <t xml:space="preserve">PRICEDISC(DATE(2024,1,30),DATE(2025,3,31),0.05,100,4)</t>
  </si>
  <si>
    <t xml:space="preserve">RECEIVED(DATE(2024,1,30),DATE(2025,3,31),1000,0.05,4)</t>
  </si>
  <si>
    <t xml:space="preserve">INTRATE(DATE(2024,1,30),DATE(2025,3,31),1000,1050,4)</t>
  </si>
  <si>
    <t xml:space="preserve">DISC(DATE(2024,1,30),DATE(2025,3,31),95,100,4)</t>
  </si>
  <si>
    <t xml:space="preserve">YIELDDISC(DATE(2024,1,30),DATE(2025,3,31),95,100,4)</t>
  </si>
  <si>
    <t xml:space="preserve">ACCRINTM(DATE(2024,1,30),DATE(2025,3,31),0.05,1000,4)</t>
  </si>
  <si>
    <t xml:space="preserve">PRICEMAT(DATE(2024,1,30),DATE(2025,3,31),DATE(2023,1,31),0.05,0.06,4)</t>
  </si>
  <si>
    <t xml:space="preserve">YIELDMAT(DATE(2024,1,30),DATE(2025,3,31),DATE(2023,1,31),0.05,98,4)</t>
  </si>
  <si>
    <t xml:space="preserve">ACCRINT(DATE(2024,1,30),DATE(2030,1,1),DATE(2025,3,31),0.05,1000,2,4)</t>
  </si>
  <si>
    <t xml:space="preserve">DURATION(DATE(2024,1,30),DATE(2025,3,31),0.05,0.08,2,4)</t>
  </si>
  <si>
    <t xml:space="preserve">PRICE(DATE(2024,1,30),DATE(2025,3,31),0.05,0.08,100,2,4)</t>
  </si>
  <si>
    <t xml:space="preserve">YIELD(DATE(2024,1,30),DATE(2025,3,31),0.05,95,100,2,4)</t>
  </si>
  <si>
    <t xml:space="preserve">TBILLPRICE(DATE(2024,1,30),DATE(2025,3,31),0.05)</t>
  </si>
  <si>
    <t xml:space="preserve">TBILLEQ(DATE(2024,1,30),DATE(2025,3,31),0.05)</t>
  </si>
  <si>
    <t xml:space="preserve">TBILLYIELD(DATE(2024,1,30),DATE(2025,3,31),98)</t>
  </si>
  <si>
    <t xml:space="preserve">PRICEDISC(DATE(2024,1,30),DATE(2024,8,31),0.05,100,0)</t>
  </si>
  <si>
    <t xml:space="preserve">RECEIVED(DATE(2024,1,30),DATE(2024,8,31),1000,0.05,0)</t>
  </si>
  <si>
    <t xml:space="preserve">INTRATE(DATE(2024,1,30),DATE(2024,8,31),1000,1050,0)</t>
  </si>
  <si>
    <t xml:space="preserve">DISC(DATE(2024,1,30),DATE(2024,8,31),95,100,0)</t>
  </si>
  <si>
    <t xml:space="preserve">YIELDDISC(DATE(2024,1,30),DATE(2024,8,31),95,100,0)</t>
  </si>
  <si>
    <t xml:space="preserve">ACCRINTM(DATE(2024,1,30),DATE(2024,8,31),0.05,1000,0)</t>
  </si>
  <si>
    <t xml:space="preserve">PRICEMAT(DATE(2024,1,30),DATE(2024,8,31),DATE(2023,1,31),0.05,0.06,0)</t>
  </si>
  <si>
    <t xml:space="preserve">YIELDMAT(DATE(2024,1,30),DATE(2024,8,31),DATE(2023,1,31),0.05,98,0)</t>
  </si>
  <si>
    <t xml:space="preserve">ACCRINT(DATE(2024,1,30),DATE(2030,1,1),DATE(2024,8,31),0.05,1000,2,0)</t>
  </si>
  <si>
    <t xml:space="preserve">DURATION(DATE(2024,1,30),DATE(2024,8,31),0.05,0.08,2,0)</t>
  </si>
  <si>
    <t xml:space="preserve">PRICE(DATE(2024,1,30),DATE(2024,8,31),0.05,0.08,100,2,0)</t>
  </si>
  <si>
    <t xml:space="preserve">YIELD(DATE(2024,1,30),DATE(2024,8,31),0.05,95,100,2,0)</t>
  </si>
  <si>
    <t xml:space="preserve">PRICEDISC(DATE(2024,1,30),DATE(2024,8,31),0.05,100,1)</t>
  </si>
  <si>
    <t xml:space="preserve">RECEIVED(DATE(2024,1,30),DATE(2024,8,31),1000,0.05,1)</t>
  </si>
  <si>
    <t xml:space="preserve">INTRATE(DATE(2024,1,30),DATE(2024,8,31),1000,1050,1)</t>
  </si>
  <si>
    <t xml:space="preserve">DISC(DATE(2024,1,30),DATE(2024,8,31),95,100,1)</t>
  </si>
  <si>
    <t xml:space="preserve">YIELDDISC(DATE(2024,1,30),DATE(2024,8,31),95,100,1)</t>
  </si>
  <si>
    <t xml:space="preserve">ACCRINTM(DATE(2024,1,30),DATE(2024,8,31),0.05,1000,1)</t>
  </si>
  <si>
    <t xml:space="preserve">PRICEMAT(DATE(2024,1,30),DATE(2024,8,31),DATE(2023,1,31),0.05,0.06,1)</t>
  </si>
  <si>
    <t xml:space="preserve">YIELDMAT(DATE(2024,1,30),DATE(2024,8,31),DATE(2023,1,31),0.05,98,1)</t>
  </si>
  <si>
    <t xml:space="preserve">ACCRINT(DATE(2024,1,30),DATE(2030,1,1),DATE(2024,8,31),0.05,1000,2,1)</t>
  </si>
  <si>
    <t xml:space="preserve">DURATION(DATE(2024,1,30),DATE(2024,8,31),0.05,0.08,2,1)</t>
  </si>
  <si>
    <t xml:space="preserve">PRICE(DATE(2024,1,30),DATE(2024,8,31),0.05,0.08,100,2,1)</t>
  </si>
  <si>
    <t xml:space="preserve">YIELD(DATE(2024,1,30),DATE(2024,8,31),0.05,95,100,2,1)</t>
  </si>
  <si>
    <t xml:space="preserve">PRICEDISC(DATE(2024,1,30),DATE(2024,8,31),0.05,100,4)</t>
  </si>
  <si>
    <t xml:space="preserve">RECEIVED(DATE(2024,1,30),DATE(2024,8,31),1000,0.05,4)</t>
  </si>
  <si>
    <t xml:space="preserve">INTRATE(DATE(2024,1,30),DATE(2024,8,31),1000,1050,4)</t>
  </si>
  <si>
    <t xml:space="preserve">DISC(DATE(2024,1,30),DATE(2024,8,31),95,100,4)</t>
  </si>
  <si>
    <t xml:space="preserve">YIELDDISC(DATE(2024,1,30),DATE(2024,8,31),95,100,4)</t>
  </si>
  <si>
    <t xml:space="preserve">ACCRINTM(DATE(2024,1,30),DATE(2024,8,31),0.05,1000,4)</t>
  </si>
  <si>
    <t xml:space="preserve">PRICEMAT(DATE(2024,1,30),DATE(2024,8,31),DATE(2023,1,31),0.05,0.06,4)</t>
  </si>
  <si>
    <t xml:space="preserve">YIELDMAT(DATE(2024,1,30),DATE(2024,8,31),DATE(2023,1,31),0.05,98,4)</t>
  </si>
  <si>
    <t xml:space="preserve">ACCRINT(DATE(2024,1,30),DATE(2030,1,1),DATE(2024,8,31),0.05,1000,2,4)</t>
  </si>
  <si>
    <t xml:space="preserve">DURATION(DATE(2024,1,30),DATE(2024,8,31),0.05,0.08,2,4)</t>
  </si>
  <si>
    <t xml:space="preserve">PRICE(DATE(2024,1,30),DATE(2024,8,31),0.05,0.08,100,2,4)</t>
  </si>
  <si>
    <t xml:space="preserve">YIELD(DATE(2024,1,30),DATE(2024,8,31),0.05,95,100,2,4)</t>
  </si>
  <si>
    <t xml:space="preserve">TBILLPRICE(DATE(2024,1,30),DATE(2024,8,31),0.05)</t>
  </si>
  <si>
    <t xml:space="preserve">TBILLEQ(DATE(2024,1,30),DATE(2024,8,31),0.05)</t>
  </si>
  <si>
    <t xml:space="preserve">TBILLYIELD(DATE(2024,1,30),DATE(2024,8,31),98)</t>
  </si>
  <si>
    <t xml:space="preserve">PRICEDISC(DATE(2024,1,30),DATE(2025,6,30),0.05,100,0)</t>
  </si>
  <si>
    <t xml:space="preserve">RECEIVED(DATE(2024,1,30),DATE(2025,6,30),1000,0.05,0)</t>
  </si>
  <si>
    <t xml:space="preserve">INTRATE(DATE(2024,1,30),DATE(2025,6,30),1000,1050,0)</t>
  </si>
  <si>
    <t xml:space="preserve">DISC(DATE(2024,1,30),DATE(2025,6,30),95,100,0)</t>
  </si>
  <si>
    <t xml:space="preserve">YIELDDISC(DATE(2024,1,30),DATE(2025,6,30),95,100,0)</t>
  </si>
  <si>
    <t xml:space="preserve">ACCRINTM(DATE(2024,1,30),DATE(2025,6,30),0.05,1000,0)</t>
  </si>
  <si>
    <t xml:space="preserve">PRICEMAT(DATE(2024,1,30),DATE(2025,6,30),DATE(2023,1,31),0.05,0.06,0)</t>
  </si>
  <si>
    <t xml:space="preserve">YIELDMAT(DATE(2024,1,30),DATE(2025,6,30),DATE(2023,1,31),0.05,98,0)</t>
  </si>
  <si>
    <t xml:space="preserve">ACCRINT(DATE(2024,1,30),DATE(2030,1,1),DATE(2025,6,30),0.05,1000,2,0)</t>
  </si>
  <si>
    <t xml:space="preserve">DURATION(DATE(2024,1,30),DATE(2025,6,30),0.05,0.08,2,0)</t>
  </si>
  <si>
    <t xml:space="preserve">PRICE(DATE(2024,1,30),DATE(2025,6,30),0.05,0.08,100,2,0)</t>
  </si>
  <si>
    <t xml:space="preserve">YIELD(DATE(2024,1,30),DATE(2025,6,30),0.05,95,100,2,0)</t>
  </si>
  <si>
    <t xml:space="preserve">PRICEDISC(DATE(2024,1,30),DATE(2025,6,30),0.05,100,1)</t>
  </si>
  <si>
    <t xml:space="preserve">RECEIVED(DATE(2024,1,30),DATE(2025,6,30),1000,0.05,1)</t>
  </si>
  <si>
    <t xml:space="preserve">INTRATE(DATE(2024,1,30),DATE(2025,6,30),1000,1050,1)</t>
  </si>
  <si>
    <t xml:space="preserve">DISC(DATE(2024,1,30),DATE(2025,6,30),95,100,1)</t>
  </si>
  <si>
    <t xml:space="preserve">YIELDDISC(DATE(2024,1,30),DATE(2025,6,30),95,100,1)</t>
  </si>
  <si>
    <t xml:space="preserve">ACCRINTM(DATE(2024,1,30),DATE(2025,6,30),0.05,1000,1)</t>
  </si>
  <si>
    <t xml:space="preserve">PRICEMAT(DATE(2024,1,30),DATE(2025,6,30),DATE(2023,1,31),0.05,0.06,1)</t>
  </si>
  <si>
    <t xml:space="preserve">YIELDMAT(DATE(2024,1,30),DATE(2025,6,30),DATE(2023,1,31),0.05,98,1)</t>
  </si>
  <si>
    <t xml:space="preserve">ACCRINT(DATE(2024,1,30),DATE(2030,1,1),DATE(2025,6,30),0.05,1000,2,1)</t>
  </si>
  <si>
    <t xml:space="preserve">DURATION(DATE(2024,1,30),DATE(2025,6,30),0.05,0.08,2,1)</t>
  </si>
  <si>
    <t xml:space="preserve">PRICE(DATE(2024,1,30),DATE(2025,6,30),0.05,0.08,100,2,1)</t>
  </si>
  <si>
    <t xml:space="preserve">YIELD(DATE(2024,1,30),DATE(2025,6,30),0.05,95,100,2,1)</t>
  </si>
  <si>
    <t xml:space="preserve">PRICEDISC(DATE(2024,1,30),DATE(2025,6,30),0.05,100,4)</t>
  </si>
  <si>
    <t xml:space="preserve">RECEIVED(DATE(2024,1,30),DATE(2025,6,30),1000,0.05,4)</t>
  </si>
  <si>
    <t xml:space="preserve">INTRATE(DATE(2024,1,30),DATE(2025,6,30),1000,1050,4)</t>
  </si>
  <si>
    <t xml:space="preserve">DISC(DATE(2024,1,30),DATE(2025,6,30),95,100,4)</t>
  </si>
  <si>
    <t xml:space="preserve">YIELDDISC(DATE(2024,1,30),DATE(2025,6,30),95,100,4)</t>
  </si>
  <si>
    <t xml:space="preserve">ACCRINTM(DATE(2024,1,30),DATE(2025,6,30),0.05,1000,4)</t>
  </si>
  <si>
    <t xml:space="preserve">PRICEMAT(DATE(2024,1,30),DATE(2025,6,30),DATE(2023,1,31),0.05,0.06,4)</t>
  </si>
  <si>
    <t xml:space="preserve">YIELDMAT(DATE(2024,1,30),DATE(2025,6,30),DATE(2023,1,31),0.05,98,4)</t>
  </si>
  <si>
    <t xml:space="preserve">ACCRINT(DATE(2024,1,30),DATE(2030,1,1),DATE(2025,6,30),0.05,1000,2,4)</t>
  </si>
  <si>
    <t xml:space="preserve">DURATION(DATE(2024,1,30),DATE(2025,6,30),0.05,0.08,2,4)</t>
  </si>
  <si>
    <t xml:space="preserve">PRICE(DATE(2024,1,30),DATE(2025,6,30),0.05,0.08,100,2,4)</t>
  </si>
  <si>
    <t xml:space="preserve">YIELD(DATE(2024,1,30),DATE(2025,6,30),0.05,95,100,2,4)</t>
  </si>
  <si>
    <t xml:space="preserve">TBILLPRICE(DATE(2024,1,30),DATE(2025,6,30),0.05)</t>
  </si>
  <si>
    <t xml:space="preserve">TBILLEQ(DATE(2024,1,30),DATE(2025,6,30),0.05)</t>
  </si>
  <si>
    <t xml:space="preserve">TBILLYIELD(DATE(2024,1,30),DATE(2025,6,30),98)</t>
  </si>
  <si>
    <t xml:space="preserve">PRICEDISC(DATE(2024,1,30),DATE(2026,12,31),0.05,100,0)</t>
  </si>
  <si>
    <t xml:space="preserve">RECEIVED(DATE(2024,1,30),DATE(2026,12,31),1000,0.05,0)</t>
  </si>
  <si>
    <t xml:space="preserve">INTRATE(DATE(2024,1,30),DATE(2026,12,31),1000,1050,0)</t>
  </si>
  <si>
    <t xml:space="preserve">DISC(DATE(2024,1,30),DATE(2026,12,31),95,100,0)</t>
  </si>
  <si>
    <t xml:space="preserve">YIELDDISC(DATE(2024,1,30),DATE(2026,12,31),95,100,0)</t>
  </si>
  <si>
    <t xml:space="preserve">ACCRINTM(DATE(2024,1,30),DATE(2026,12,31),0.05,1000,0)</t>
  </si>
  <si>
    <t xml:space="preserve">PRICEMAT(DATE(2024,1,30),DATE(2026,12,31),DATE(2023,1,31),0.05,0.06,0)</t>
  </si>
  <si>
    <t xml:space="preserve">YIELDMAT(DATE(2024,1,30),DATE(2026,12,31),DATE(2023,1,31),0.05,98,0)</t>
  </si>
  <si>
    <t xml:space="preserve">ACCRINT(DATE(2024,1,30),DATE(2030,1,1),DATE(2026,12,31),0.05,1000,2,0)</t>
  </si>
  <si>
    <t xml:space="preserve">DURATION(DATE(2024,1,30),DATE(2026,12,31),0.05,0.08,2,0)</t>
  </si>
  <si>
    <t xml:space="preserve">PRICE(DATE(2024,1,30),DATE(2026,12,31),0.05,0.08,100,2,0)</t>
  </si>
  <si>
    <t xml:space="preserve">YIELD(DATE(2024,1,30),DATE(2026,12,31),0.05,95,100,2,0)</t>
  </si>
  <si>
    <t xml:space="preserve">PRICEDISC(DATE(2024,1,30),DATE(2026,12,31),0.05,100,1)</t>
  </si>
  <si>
    <t xml:space="preserve">RECEIVED(DATE(2024,1,30),DATE(2026,12,31),1000,0.05,1)</t>
  </si>
  <si>
    <t xml:space="preserve">INTRATE(DATE(2024,1,30),DATE(2026,12,31),1000,1050,1)</t>
  </si>
  <si>
    <t xml:space="preserve">DISC(DATE(2024,1,30),DATE(2026,12,31),95,100,1)</t>
  </si>
  <si>
    <t xml:space="preserve">YIELDDISC(DATE(2024,1,30),DATE(2026,12,31),95,100,1)</t>
  </si>
  <si>
    <t xml:space="preserve">ACCRINTM(DATE(2024,1,30),DATE(2026,12,31),0.05,1000,1)</t>
  </si>
  <si>
    <t xml:space="preserve">PRICEMAT(DATE(2024,1,30),DATE(2026,12,31),DATE(2023,1,31),0.05,0.06,1)</t>
  </si>
  <si>
    <t xml:space="preserve">YIELDMAT(DATE(2024,1,30),DATE(2026,12,31),DATE(2023,1,31),0.05,98,1)</t>
  </si>
  <si>
    <t xml:space="preserve">ACCRINT(DATE(2024,1,30),DATE(2030,1,1),DATE(2026,12,31),0.05,1000,2,1)</t>
  </si>
  <si>
    <t xml:space="preserve">DURATION(DATE(2024,1,30),DATE(2026,12,31),0.05,0.08,2,1)</t>
  </si>
  <si>
    <t xml:space="preserve">PRICE(DATE(2024,1,30),DATE(2026,12,31),0.05,0.08,100,2,1)</t>
  </si>
  <si>
    <t xml:space="preserve">YIELD(DATE(2024,1,30),DATE(2026,12,31),0.05,95,100,2,1)</t>
  </si>
  <si>
    <t xml:space="preserve">PRICEDISC(DATE(2024,1,30),DATE(2026,12,31),0.05,100,4)</t>
  </si>
  <si>
    <t xml:space="preserve">RECEIVED(DATE(2024,1,30),DATE(2026,12,31),1000,0.05,4)</t>
  </si>
  <si>
    <t xml:space="preserve">INTRATE(DATE(2024,1,30),DATE(2026,12,31),1000,1050,4)</t>
  </si>
  <si>
    <t xml:space="preserve">DISC(DATE(2024,1,30),DATE(2026,12,31),95,100,4)</t>
  </si>
  <si>
    <t xml:space="preserve">YIELDDISC(DATE(2024,1,30),DATE(2026,12,31),95,100,4)</t>
  </si>
  <si>
    <t xml:space="preserve">ACCRINTM(DATE(2024,1,30),DATE(2026,12,31),0.05,1000,4)</t>
  </si>
  <si>
    <t xml:space="preserve">PRICEMAT(DATE(2024,1,30),DATE(2026,12,31),DATE(2023,1,31),0.05,0.06,4)</t>
  </si>
  <si>
    <t xml:space="preserve">YIELDMAT(DATE(2024,1,30),DATE(2026,12,31),DATE(2023,1,31),0.05,98,4)</t>
  </si>
  <si>
    <t xml:space="preserve">ACCRINT(DATE(2024,1,30),DATE(2030,1,1),DATE(2026,12,31),0.05,1000,2,4)</t>
  </si>
  <si>
    <t xml:space="preserve">DURATION(DATE(2024,1,30),DATE(2026,12,31),0.05,0.08,2,4)</t>
  </si>
  <si>
    <t xml:space="preserve">PRICE(DATE(2024,1,30),DATE(2026,12,31),0.05,0.08,100,2,4)</t>
  </si>
  <si>
    <t xml:space="preserve">YIELD(DATE(2024,1,30),DATE(2026,12,31),0.05,95,100,2,4)</t>
  </si>
  <si>
    <t xml:space="preserve">TBILLPRICE(DATE(2024,1,30),DATE(2026,12,31),0.05)</t>
  </si>
  <si>
    <t xml:space="preserve">TBILLEQ(DATE(2024,1,30),DATE(2026,12,31),0.05)</t>
  </si>
  <si>
    <t xml:space="preserve">TBILLYIELD(DATE(2024,1,30),DATE(2026,12,31),98)</t>
  </si>
  <si>
    <t xml:space="preserve">PRICEDISC(DATE(2024,1,30),DATE(2027,2,28),0.05,100,0)</t>
  </si>
  <si>
    <t xml:space="preserve">RECEIVED(DATE(2024,1,30),DATE(2027,2,28),1000,0.05,0)</t>
  </si>
  <si>
    <t xml:space="preserve">INTRATE(DATE(2024,1,30),DATE(2027,2,28),1000,1050,0)</t>
  </si>
  <si>
    <t xml:space="preserve">DISC(DATE(2024,1,30),DATE(2027,2,28),95,100,0)</t>
  </si>
  <si>
    <t xml:space="preserve">YIELDDISC(DATE(2024,1,30),DATE(2027,2,28),95,100,0)</t>
  </si>
  <si>
    <t xml:space="preserve">ACCRINTM(DATE(2024,1,30),DATE(2027,2,28),0.05,1000,0)</t>
  </si>
  <si>
    <t xml:space="preserve">PRICEMAT(DATE(2024,1,30),DATE(2027,2,28),DATE(2023,1,31),0.05,0.06,0)</t>
  </si>
  <si>
    <t xml:space="preserve">YIELDMAT(DATE(2024,1,30),DATE(2027,2,28),DATE(2023,1,31),0.05,98,0)</t>
  </si>
  <si>
    <t xml:space="preserve">ACCRINT(DATE(2024,1,30),DATE(2030,1,1),DATE(2027,2,28),0.05,1000,2,0)</t>
  </si>
  <si>
    <t xml:space="preserve">DURATION(DATE(2024,1,30),DATE(2027,2,28),0.05,0.08,2,0)</t>
  </si>
  <si>
    <t xml:space="preserve">PRICE(DATE(2024,1,30),DATE(2027,2,28),0.05,0.08,100,2,0)</t>
  </si>
  <si>
    <t xml:space="preserve">YIELD(DATE(2024,1,30),DATE(2027,2,28),0.05,95,100,2,0)</t>
  </si>
  <si>
    <t xml:space="preserve">PRICEDISC(DATE(2024,1,30),DATE(2027,2,28),0.05,100,1)</t>
  </si>
  <si>
    <t xml:space="preserve">RECEIVED(DATE(2024,1,30),DATE(2027,2,28),1000,0.05,1)</t>
  </si>
  <si>
    <t xml:space="preserve">INTRATE(DATE(2024,1,30),DATE(2027,2,28),1000,1050,1)</t>
  </si>
  <si>
    <t xml:space="preserve">DISC(DATE(2024,1,30),DATE(2027,2,28),95,100,1)</t>
  </si>
  <si>
    <t xml:space="preserve">YIELDDISC(DATE(2024,1,30),DATE(2027,2,28),95,100,1)</t>
  </si>
  <si>
    <t xml:space="preserve">ACCRINTM(DATE(2024,1,30),DATE(2027,2,28),0.05,1000,1)</t>
  </si>
  <si>
    <t xml:space="preserve">PRICEMAT(DATE(2024,1,30),DATE(2027,2,28),DATE(2023,1,31),0.05,0.06,1)</t>
  </si>
  <si>
    <t xml:space="preserve">YIELDMAT(DATE(2024,1,30),DATE(2027,2,28),DATE(2023,1,31),0.05,98,1)</t>
  </si>
  <si>
    <t xml:space="preserve">ACCRINT(DATE(2024,1,30),DATE(2030,1,1),DATE(2027,2,28),0.05,1000,2,1)</t>
  </si>
  <si>
    <t xml:space="preserve">DURATION(DATE(2024,1,30),DATE(2027,2,28),0.05,0.08,2,1)</t>
  </si>
  <si>
    <t xml:space="preserve">PRICE(DATE(2024,1,30),DATE(2027,2,28),0.05,0.08,100,2,1)</t>
  </si>
  <si>
    <t xml:space="preserve">YIELD(DATE(2024,1,30),DATE(2027,2,28),0.05,95,100,2,1)</t>
  </si>
  <si>
    <t xml:space="preserve">PRICEDISC(DATE(2024,1,30),DATE(2027,2,28),0.05,100,4)</t>
  </si>
  <si>
    <t xml:space="preserve">RECEIVED(DATE(2024,1,30),DATE(2027,2,28),1000,0.05,4)</t>
  </si>
  <si>
    <t xml:space="preserve">INTRATE(DATE(2024,1,30),DATE(2027,2,28),1000,1050,4)</t>
  </si>
  <si>
    <t xml:space="preserve">DISC(DATE(2024,1,30),DATE(2027,2,28),95,100,4)</t>
  </si>
  <si>
    <t xml:space="preserve">YIELDDISC(DATE(2024,1,30),DATE(2027,2,28),95,100,4)</t>
  </si>
  <si>
    <t xml:space="preserve">ACCRINTM(DATE(2024,1,30),DATE(2027,2,28),0.05,1000,4)</t>
  </si>
  <si>
    <t xml:space="preserve">PRICEMAT(DATE(2024,1,30),DATE(2027,2,28),DATE(2023,1,31),0.05,0.06,4)</t>
  </si>
  <si>
    <t xml:space="preserve">YIELDMAT(DATE(2024,1,30),DATE(2027,2,28),DATE(2023,1,31),0.05,98,4)</t>
  </si>
  <si>
    <t xml:space="preserve">ACCRINT(DATE(2024,1,30),DATE(2030,1,1),DATE(2027,2,28),0.05,1000,2,4)</t>
  </si>
  <si>
    <t xml:space="preserve">DURATION(DATE(2024,1,30),DATE(2027,2,28),0.05,0.08,2,4)</t>
  </si>
  <si>
    <t xml:space="preserve">PRICE(DATE(2024,1,30),DATE(2027,2,28),0.05,0.08,100,2,4)</t>
  </si>
  <si>
    <t xml:space="preserve">YIELD(DATE(2024,1,30),DATE(2027,2,28),0.05,95,100,2,4)</t>
  </si>
  <si>
    <t xml:space="preserve">TBILLPRICE(DATE(2024,1,30),DATE(2027,2,28),0.05)</t>
  </si>
  <si>
    <t xml:space="preserve">TBILLEQ(DATE(2024,1,30),DATE(2027,2,28),0.05)</t>
  </si>
  <si>
    <t xml:space="preserve">TBILLYIELD(DATE(2024,1,30),DATE(2027,2,28),98)</t>
  </si>
  <si>
    <t xml:space="preserve">PRICEDISC(DATE(2024,1,30),DATE(2025,1,30),0.05,100,0)</t>
  </si>
  <si>
    <t xml:space="preserve">RECEIVED(DATE(2024,1,30),DATE(2025,1,30),1000,0.05,0)</t>
  </si>
  <si>
    <t xml:space="preserve">INTRATE(DATE(2024,1,30),DATE(2025,1,30),1000,1050,0)</t>
  </si>
  <si>
    <t xml:space="preserve">DISC(DATE(2024,1,30),DATE(2025,1,30),95,100,0)</t>
  </si>
  <si>
    <t xml:space="preserve">YIELDDISC(DATE(2024,1,30),DATE(2025,1,30),95,100,0)</t>
  </si>
  <si>
    <t xml:space="preserve">ACCRINTM(DATE(2024,1,30),DATE(2025,1,30),0.05,1000,0)</t>
  </si>
  <si>
    <t xml:space="preserve">PRICEMAT(DATE(2024,1,30),DATE(2025,1,30),DATE(2023,1,31),0.05,0.06,0)</t>
  </si>
  <si>
    <t xml:space="preserve">YIELDMAT(DATE(2024,1,30),DATE(2025,1,30),DATE(2023,1,31),0.05,98,0)</t>
  </si>
  <si>
    <t xml:space="preserve">ACCRINT(DATE(2024,1,30),DATE(2030,1,1),DATE(2025,1,30),0.05,1000,2,0)</t>
  </si>
  <si>
    <t xml:space="preserve">DURATION(DATE(2024,1,30),DATE(2025,1,30),0.05,0.08,2,0)</t>
  </si>
  <si>
    <t xml:space="preserve">PRICE(DATE(2024,1,30),DATE(2025,1,30),0.05,0.08,100,2,0)</t>
  </si>
  <si>
    <t xml:space="preserve">YIELD(DATE(2024,1,30),DATE(2025,1,30),0.05,95,100,2,0)</t>
  </si>
  <si>
    <t xml:space="preserve">PRICEDISC(DATE(2024,1,30),DATE(2025,1,30),0.05,100,1)</t>
  </si>
  <si>
    <t xml:space="preserve">RECEIVED(DATE(2024,1,30),DATE(2025,1,30),1000,0.05,1)</t>
  </si>
  <si>
    <t xml:space="preserve">INTRATE(DATE(2024,1,30),DATE(2025,1,30),1000,1050,1)</t>
  </si>
  <si>
    <t xml:space="preserve">DISC(DATE(2024,1,30),DATE(2025,1,30),95,100,1)</t>
  </si>
  <si>
    <t xml:space="preserve">YIELDDISC(DATE(2024,1,30),DATE(2025,1,30),95,100,1)</t>
  </si>
  <si>
    <t xml:space="preserve">ACCRINTM(DATE(2024,1,30),DATE(2025,1,30),0.05,1000,1)</t>
  </si>
  <si>
    <t xml:space="preserve">PRICEMAT(DATE(2024,1,30),DATE(2025,1,30),DATE(2023,1,31),0.05,0.06,1)</t>
  </si>
  <si>
    <t xml:space="preserve">YIELDMAT(DATE(2024,1,30),DATE(2025,1,30),DATE(2023,1,31),0.05,98,1)</t>
  </si>
  <si>
    <t xml:space="preserve">ACCRINT(DATE(2024,1,30),DATE(2030,1,1),DATE(2025,1,30),0.05,1000,2,1)</t>
  </si>
  <si>
    <t xml:space="preserve">DURATION(DATE(2024,1,30),DATE(2025,1,30),0.05,0.08,2,1)</t>
  </si>
  <si>
    <t xml:space="preserve">PRICE(DATE(2024,1,30),DATE(2025,1,30),0.05,0.08,100,2,1)</t>
  </si>
  <si>
    <t xml:space="preserve">YIELD(DATE(2024,1,30),DATE(2025,1,30),0.05,95,100,2,1)</t>
  </si>
  <si>
    <t xml:space="preserve">PRICEDISC(DATE(2024,1,30),DATE(2025,1,30),0.05,100,4)</t>
  </si>
  <si>
    <t xml:space="preserve">RECEIVED(DATE(2024,1,30),DATE(2025,1,30),1000,0.05,4)</t>
  </si>
  <si>
    <t xml:space="preserve">INTRATE(DATE(2024,1,30),DATE(2025,1,30),1000,1050,4)</t>
  </si>
  <si>
    <t xml:space="preserve">DISC(DATE(2024,1,30),DATE(2025,1,30),95,100,4)</t>
  </si>
  <si>
    <t xml:space="preserve">YIELDDISC(DATE(2024,1,30),DATE(2025,1,30),95,100,4)</t>
  </si>
  <si>
    <t xml:space="preserve">ACCRINTM(DATE(2024,1,30),DATE(2025,1,30),0.05,1000,4)</t>
  </si>
  <si>
    <t xml:space="preserve">PRICEMAT(DATE(2024,1,30),DATE(2025,1,30),DATE(2023,1,31),0.05,0.06,4)</t>
  </si>
  <si>
    <t xml:space="preserve">YIELDMAT(DATE(2024,1,30),DATE(2025,1,30),DATE(2023,1,31),0.05,98,4)</t>
  </si>
  <si>
    <t xml:space="preserve">ACCRINT(DATE(2024,1,30),DATE(2030,1,1),DATE(2025,1,30),0.05,1000,2,4)</t>
  </si>
  <si>
    <t xml:space="preserve">DURATION(DATE(2024,1,30),DATE(2025,1,30),0.05,0.08,2,4)</t>
  </si>
  <si>
    <t xml:space="preserve">PRICE(DATE(2024,1,30),DATE(2025,1,30),0.05,0.08,100,2,4)</t>
  </si>
  <si>
    <t xml:space="preserve">YIELD(DATE(2024,1,30),DATE(2025,1,30),0.05,95,100,2,4)</t>
  </si>
  <si>
    <t xml:space="preserve">TBILLPRICE(DATE(2024,1,30),DATE(2025,1,30),0.05)</t>
  </si>
  <si>
    <t xml:space="preserve">TBILLEQ(DATE(2024,1,30),DATE(2025,1,30),0.05)</t>
  </si>
  <si>
    <t xml:space="preserve">TBILLYIELD(DATE(2024,1,30),DATE(2025,1,30),98)</t>
  </si>
  <si>
    <t xml:space="preserve">PRICEDISC(DATE(2024,1,30),DATE(2024,12,31),0.05,100,0)</t>
  </si>
  <si>
    <t xml:space="preserve">RECEIVED(DATE(2024,1,30),DATE(2024,12,31),1000,0.05,0)</t>
  </si>
  <si>
    <t xml:space="preserve">INTRATE(DATE(2024,1,30),DATE(2024,12,31),1000,1050,0)</t>
  </si>
  <si>
    <t xml:space="preserve">DISC(DATE(2024,1,30),DATE(2024,12,31),95,100,0)</t>
  </si>
  <si>
    <t xml:space="preserve">YIELDDISC(DATE(2024,1,30),DATE(2024,12,31),95,100,0)</t>
  </si>
  <si>
    <t xml:space="preserve">ACCRINTM(DATE(2024,1,30),DATE(2024,12,31),0.05,1000,0)</t>
  </si>
  <si>
    <t xml:space="preserve">PRICEMAT(DATE(2024,1,30),DATE(2024,12,31),DATE(2023,1,31),0.05,0.06,0)</t>
  </si>
  <si>
    <t xml:space="preserve">YIELDMAT(DATE(2024,1,30),DATE(2024,12,31),DATE(2023,1,31),0.05,98,0)</t>
  </si>
  <si>
    <t xml:space="preserve">ACCRINT(DATE(2024,1,30),DATE(2030,1,1),DATE(2024,12,31),0.05,1000,2,0)</t>
  </si>
  <si>
    <t xml:space="preserve">DURATION(DATE(2024,1,30),DATE(2024,12,31),0.05,0.08,2,0)</t>
  </si>
  <si>
    <t xml:space="preserve">PRICE(DATE(2024,1,30),DATE(2024,12,31),0.05,0.08,100,2,0)</t>
  </si>
  <si>
    <t xml:space="preserve">YIELD(DATE(2024,1,30),DATE(2024,12,31),0.05,95,100,2,0)</t>
  </si>
  <si>
    <t xml:space="preserve">PRICEDISC(DATE(2024,1,30),DATE(2024,12,31),0.05,100,1)</t>
  </si>
  <si>
    <t xml:space="preserve">RECEIVED(DATE(2024,1,30),DATE(2024,12,31),1000,0.05,1)</t>
  </si>
  <si>
    <t xml:space="preserve">INTRATE(DATE(2024,1,30),DATE(2024,12,31),1000,1050,1)</t>
  </si>
  <si>
    <t xml:space="preserve">DISC(DATE(2024,1,30),DATE(2024,12,31),95,100,1)</t>
  </si>
  <si>
    <t xml:space="preserve">YIELDDISC(DATE(2024,1,30),DATE(2024,12,31),95,100,1)</t>
  </si>
  <si>
    <t xml:space="preserve">ACCRINTM(DATE(2024,1,30),DATE(2024,12,31),0.05,1000,1)</t>
  </si>
  <si>
    <t xml:space="preserve">PRICEMAT(DATE(2024,1,30),DATE(2024,12,31),DATE(2023,1,31),0.05,0.06,1)</t>
  </si>
  <si>
    <t xml:space="preserve">YIELDMAT(DATE(2024,1,30),DATE(2024,12,31),DATE(2023,1,31),0.05,98,1)</t>
  </si>
  <si>
    <t xml:space="preserve">ACCRINT(DATE(2024,1,30),DATE(2030,1,1),DATE(2024,12,31),0.05,1000,2,1)</t>
  </si>
  <si>
    <t xml:space="preserve">DURATION(DATE(2024,1,30),DATE(2024,12,31),0.05,0.08,2,1)</t>
  </si>
  <si>
    <t xml:space="preserve">PRICE(DATE(2024,1,30),DATE(2024,12,31),0.05,0.08,100,2,1)</t>
  </si>
  <si>
    <t xml:space="preserve">YIELD(DATE(2024,1,30),DATE(2024,12,31),0.05,95,100,2,1)</t>
  </si>
  <si>
    <t xml:space="preserve">PRICEDISC(DATE(2024,1,30),DATE(2024,12,31),0.05,100,4)</t>
  </si>
  <si>
    <t xml:space="preserve">RECEIVED(DATE(2024,1,30),DATE(2024,12,31),1000,0.05,4)</t>
  </si>
  <si>
    <t xml:space="preserve">INTRATE(DATE(2024,1,30),DATE(2024,12,31),1000,1050,4)</t>
  </si>
  <si>
    <t xml:space="preserve">DISC(DATE(2024,1,30),DATE(2024,12,31),95,100,4)</t>
  </si>
  <si>
    <t xml:space="preserve">YIELDDISC(DATE(2024,1,30),DATE(2024,12,31),95,100,4)</t>
  </si>
  <si>
    <t xml:space="preserve">ACCRINTM(DATE(2024,1,30),DATE(2024,12,31),0.05,1000,4)</t>
  </si>
  <si>
    <t xml:space="preserve">PRICEMAT(DATE(2024,1,30),DATE(2024,12,31),DATE(2023,1,31),0.05,0.06,4)</t>
  </si>
  <si>
    <t xml:space="preserve">YIELDMAT(DATE(2024,1,30),DATE(2024,12,31),DATE(2023,1,31),0.05,98,4)</t>
  </si>
  <si>
    <t xml:space="preserve">ACCRINT(DATE(2024,1,30),DATE(2030,1,1),DATE(2024,12,31),0.05,1000,2,4)</t>
  </si>
  <si>
    <t xml:space="preserve">DURATION(DATE(2024,1,30),DATE(2024,12,31),0.05,0.08,2,4)</t>
  </si>
  <si>
    <t xml:space="preserve">PRICE(DATE(2024,1,30),DATE(2024,12,31),0.05,0.08,100,2,4)</t>
  </si>
  <si>
    <t xml:space="preserve">YIELD(DATE(2024,1,30),DATE(2024,12,31),0.05,95,100,2,4)</t>
  </si>
  <si>
    <t xml:space="preserve">TBILLPRICE(DATE(2024,1,30),DATE(2024,12,31),0.05)</t>
  </si>
  <si>
    <t xml:space="preserve">TBILLEQ(DATE(2024,1,30),DATE(2024,12,31),0.05)</t>
  </si>
  <si>
    <t xml:space="preserve">TBILLYIELD(DATE(2024,1,30),DATE(2024,12,31),98)</t>
  </si>
  <si>
    <t xml:space="preserve">PRICEDISC(DATE(2024,1,31),DATE(2025,2,28),0.05,100,0)</t>
  </si>
  <si>
    <t xml:space="preserve">RECEIVED(DATE(2024,1,31),DATE(2025,2,28),1000,0.05,0)</t>
  </si>
  <si>
    <t xml:space="preserve">INTRATE(DATE(2024,1,31),DATE(2025,2,28),1000,1050,0)</t>
  </si>
  <si>
    <t xml:space="preserve">DISC(DATE(2024,1,31),DATE(2025,2,28),95,100,0)</t>
  </si>
  <si>
    <t xml:space="preserve">YIELDDISC(DATE(2024,1,31),DATE(2025,2,28),95,100,0)</t>
  </si>
  <si>
    <t xml:space="preserve">ACCRINTM(DATE(2024,1,31),DATE(2025,2,28),0.05,1000,0)</t>
  </si>
  <si>
    <t xml:space="preserve">PRICEMAT(DATE(2024,1,31),DATE(2025,2,28),DATE(2023,1,31),0.05,0.06,0)</t>
  </si>
  <si>
    <t xml:space="preserve">YIELDMAT(DATE(2024,1,31),DATE(2025,2,28),DATE(2023,1,31),0.05,98,0)</t>
  </si>
  <si>
    <t xml:space="preserve">ACCRINT(DATE(2024,1,31),DATE(2030,1,1),DATE(2025,2,28),0.05,1000,2,0)</t>
  </si>
  <si>
    <t xml:space="preserve">DURATION(DATE(2024,1,31),DATE(2025,2,28),0.05,0.08,2,0)</t>
  </si>
  <si>
    <t xml:space="preserve">PRICE(DATE(2024,1,31),DATE(2025,2,28),0.05,0.08,100,2,0)</t>
  </si>
  <si>
    <t xml:space="preserve">YIELD(DATE(2024,1,31),DATE(2025,2,28),0.05,95,100,2,0)</t>
  </si>
  <si>
    <t xml:space="preserve">PRICEDISC(DATE(2024,1,31),DATE(2025,2,28),0.05,100,1)</t>
  </si>
  <si>
    <t xml:space="preserve">RECEIVED(DATE(2024,1,31),DATE(2025,2,28),1000,0.05,1)</t>
  </si>
  <si>
    <t xml:space="preserve">INTRATE(DATE(2024,1,31),DATE(2025,2,28),1000,1050,1)</t>
  </si>
  <si>
    <t xml:space="preserve">DISC(DATE(2024,1,31),DATE(2025,2,28),95,100,1)</t>
  </si>
  <si>
    <t xml:space="preserve">YIELDDISC(DATE(2024,1,31),DATE(2025,2,28),95,100,1)</t>
  </si>
  <si>
    <t xml:space="preserve">ACCRINTM(DATE(2024,1,31),DATE(2025,2,28),0.05,1000,1)</t>
  </si>
  <si>
    <t xml:space="preserve">PRICEMAT(DATE(2024,1,31),DATE(2025,2,28),DATE(2023,1,31),0.05,0.06,1)</t>
  </si>
  <si>
    <t xml:space="preserve">YIELDMAT(DATE(2024,1,31),DATE(2025,2,28),DATE(2023,1,31),0.05,98,1)</t>
  </si>
  <si>
    <t xml:space="preserve">ACCRINT(DATE(2024,1,31),DATE(2030,1,1),DATE(2025,2,28),0.05,1000,2,1)</t>
  </si>
  <si>
    <t xml:space="preserve">DURATION(DATE(2024,1,31),DATE(2025,2,28),0.05,0.08,2,1)</t>
  </si>
  <si>
    <t xml:space="preserve">PRICE(DATE(2024,1,31),DATE(2025,2,28),0.05,0.08,100,2,1)</t>
  </si>
  <si>
    <t xml:space="preserve">YIELD(DATE(2024,1,31),DATE(2025,2,28),0.05,95,100,2,1)</t>
  </si>
  <si>
    <t xml:space="preserve">PRICEDISC(DATE(2024,1,31),DATE(2025,2,28),0.05,100,4)</t>
  </si>
  <si>
    <t xml:space="preserve">RECEIVED(DATE(2024,1,31),DATE(2025,2,28),1000,0.05,4)</t>
  </si>
  <si>
    <t xml:space="preserve">INTRATE(DATE(2024,1,31),DATE(2025,2,28),1000,1050,4)</t>
  </si>
  <si>
    <t xml:space="preserve">DISC(DATE(2024,1,31),DATE(2025,2,28),95,100,4)</t>
  </si>
  <si>
    <t xml:space="preserve">YIELDDISC(DATE(2024,1,31),DATE(2025,2,28),95,100,4)</t>
  </si>
  <si>
    <t xml:space="preserve">ACCRINTM(DATE(2024,1,31),DATE(2025,2,28),0.05,1000,4)</t>
  </si>
  <si>
    <t xml:space="preserve">PRICEMAT(DATE(2024,1,31),DATE(2025,2,28),DATE(2023,1,31),0.05,0.06,4)</t>
  </si>
  <si>
    <t xml:space="preserve">YIELDMAT(DATE(2024,1,31),DATE(2025,2,28),DATE(2023,1,31),0.05,98,4)</t>
  </si>
  <si>
    <t xml:space="preserve">ACCRINT(DATE(2024,1,31),DATE(2030,1,1),DATE(2025,2,28),0.05,1000,2,4)</t>
  </si>
  <si>
    <t xml:space="preserve">DURATION(DATE(2024,1,31),DATE(2025,2,28),0.05,0.08,2,4)</t>
  </si>
  <si>
    <t xml:space="preserve">PRICE(DATE(2024,1,31),DATE(2025,2,28),0.05,0.08,100,2,4)</t>
  </si>
  <si>
    <t xml:space="preserve">YIELD(DATE(2024,1,31),DATE(2025,2,28),0.05,95,100,2,4)</t>
  </si>
  <si>
    <t xml:space="preserve">TBILLPRICE(DATE(2024,1,31),DATE(2025,2,28),0.05)</t>
  </si>
  <si>
    <t xml:space="preserve">TBILLEQ(DATE(2024,1,31),DATE(2025,2,28),0.05)</t>
  </si>
  <si>
    <t xml:space="preserve">TBILLYIELD(DATE(2024,1,31),DATE(2025,2,28),98)</t>
  </si>
  <si>
    <t xml:space="preserve">PRICEDISC(DATE(2024,1,31),DATE(2025,3,31),0.05,100,0)</t>
  </si>
  <si>
    <t xml:space="preserve">RECEIVED(DATE(2024,1,31),DATE(2025,3,31),1000,0.05,0)</t>
  </si>
  <si>
    <t xml:space="preserve">INTRATE(DATE(2024,1,31),DATE(2025,3,31),1000,1050,0)</t>
  </si>
  <si>
    <t xml:space="preserve">DISC(DATE(2024,1,31),DATE(2025,3,31),95,100,0)</t>
  </si>
  <si>
    <t xml:space="preserve">YIELDDISC(DATE(2024,1,31),DATE(2025,3,31),95,100,0)</t>
  </si>
  <si>
    <t xml:space="preserve">ACCRINTM(DATE(2024,1,31),DATE(2025,3,31),0.05,1000,0)</t>
  </si>
  <si>
    <t xml:space="preserve">PRICEMAT(DATE(2024,1,31),DATE(2025,3,31),DATE(2023,1,31),0.05,0.06,0)</t>
  </si>
  <si>
    <t xml:space="preserve">YIELDMAT(DATE(2024,1,31),DATE(2025,3,31),DATE(2023,1,31),0.05,98,0)</t>
  </si>
  <si>
    <t xml:space="preserve">ACCRINT(DATE(2024,1,31),DATE(2030,1,1),DATE(2025,3,31),0.05,1000,2,0)</t>
  </si>
  <si>
    <t xml:space="preserve">DURATION(DATE(2024,1,31),DATE(2025,3,31),0.05,0.08,2,0)</t>
  </si>
  <si>
    <t xml:space="preserve">PRICE(DATE(2024,1,31),DATE(2025,3,31),0.05,0.08,100,2,0)</t>
  </si>
  <si>
    <t xml:space="preserve">YIELD(DATE(2024,1,31),DATE(2025,3,31),0.05,95,100,2,0)</t>
  </si>
  <si>
    <t xml:space="preserve">PRICEDISC(DATE(2024,1,31),DATE(2025,3,31),0.05,100,1)</t>
  </si>
  <si>
    <t xml:space="preserve">RECEIVED(DATE(2024,1,31),DATE(2025,3,31),1000,0.05,1)</t>
  </si>
  <si>
    <t xml:space="preserve">INTRATE(DATE(2024,1,31),DATE(2025,3,31),1000,1050,1)</t>
  </si>
  <si>
    <t xml:space="preserve">DISC(DATE(2024,1,31),DATE(2025,3,31),95,100,1)</t>
  </si>
  <si>
    <t xml:space="preserve">YIELDDISC(DATE(2024,1,31),DATE(2025,3,31),95,100,1)</t>
  </si>
  <si>
    <t xml:space="preserve">ACCRINTM(DATE(2024,1,31),DATE(2025,3,31),0.05,1000,1)</t>
  </si>
  <si>
    <t xml:space="preserve">PRICEMAT(DATE(2024,1,31),DATE(2025,3,31),DATE(2023,1,31),0.05,0.06,1)</t>
  </si>
  <si>
    <t xml:space="preserve">YIELDMAT(DATE(2024,1,31),DATE(2025,3,31),DATE(2023,1,31),0.05,98,1)</t>
  </si>
  <si>
    <t xml:space="preserve">ACCRINT(DATE(2024,1,31),DATE(2030,1,1),DATE(2025,3,31),0.05,1000,2,1)</t>
  </si>
  <si>
    <t xml:space="preserve">DURATION(DATE(2024,1,31),DATE(2025,3,31),0.05,0.08,2,1)</t>
  </si>
  <si>
    <t xml:space="preserve">PRICE(DATE(2024,1,31),DATE(2025,3,31),0.05,0.08,100,2,1)</t>
  </si>
  <si>
    <t xml:space="preserve">YIELD(DATE(2024,1,31),DATE(2025,3,31),0.05,95,100,2,1)</t>
  </si>
  <si>
    <t xml:space="preserve">PRICEDISC(DATE(2024,1,31),DATE(2025,3,31),0.05,100,4)</t>
  </si>
  <si>
    <t xml:space="preserve">RECEIVED(DATE(2024,1,31),DATE(2025,3,31),1000,0.05,4)</t>
  </si>
  <si>
    <t xml:space="preserve">INTRATE(DATE(2024,1,31),DATE(2025,3,31),1000,1050,4)</t>
  </si>
  <si>
    <t xml:space="preserve">DISC(DATE(2024,1,31),DATE(2025,3,31),95,100,4)</t>
  </si>
  <si>
    <t xml:space="preserve">YIELDDISC(DATE(2024,1,31),DATE(2025,3,31),95,100,4)</t>
  </si>
  <si>
    <t xml:space="preserve">ACCRINTM(DATE(2024,1,31),DATE(2025,3,31),0.05,1000,4)</t>
  </si>
  <si>
    <t xml:space="preserve">PRICEMAT(DATE(2024,1,31),DATE(2025,3,31),DATE(2023,1,31),0.05,0.06,4)</t>
  </si>
  <si>
    <t xml:space="preserve">YIELDMAT(DATE(2024,1,31),DATE(2025,3,31),DATE(2023,1,31),0.05,98,4)</t>
  </si>
  <si>
    <t xml:space="preserve">ACCRINT(DATE(2024,1,31),DATE(2030,1,1),DATE(2025,3,31),0.05,1000,2,4)</t>
  </si>
  <si>
    <t xml:space="preserve">DURATION(DATE(2024,1,31),DATE(2025,3,31),0.05,0.08,2,4)</t>
  </si>
  <si>
    <t xml:space="preserve">PRICE(DATE(2024,1,31),DATE(2025,3,31),0.05,0.08,100,2,4)</t>
  </si>
  <si>
    <t xml:space="preserve">YIELD(DATE(2024,1,31),DATE(2025,3,31),0.05,95,100,2,4)</t>
  </si>
  <si>
    <t xml:space="preserve">TBILLPRICE(DATE(2024,1,31),DATE(2025,3,31),0.05)</t>
  </si>
  <si>
    <t xml:space="preserve">TBILLEQ(DATE(2024,1,31),DATE(2025,3,31),0.05)</t>
  </si>
  <si>
    <t xml:space="preserve">TBILLYIELD(DATE(2024,1,31),DATE(2025,3,31),98)</t>
  </si>
  <si>
    <t xml:space="preserve">PRICEDISC(DATE(2024,1,31),DATE(2024,8,31),0.05,100,0)</t>
  </si>
  <si>
    <t xml:space="preserve">RECEIVED(DATE(2024,1,31),DATE(2024,8,31),1000,0.05,0)</t>
  </si>
  <si>
    <t xml:space="preserve">INTRATE(DATE(2024,1,31),DATE(2024,8,31),1000,1050,0)</t>
  </si>
  <si>
    <t xml:space="preserve">DISC(DATE(2024,1,31),DATE(2024,8,31),95,100,0)</t>
  </si>
  <si>
    <t xml:space="preserve">YIELDDISC(DATE(2024,1,31),DATE(2024,8,31),95,100,0)</t>
  </si>
  <si>
    <t xml:space="preserve">ACCRINTM(DATE(2024,1,31),DATE(2024,8,31),0.05,1000,0)</t>
  </si>
  <si>
    <t xml:space="preserve">PRICEMAT(DATE(2024,1,31),DATE(2024,8,31),DATE(2023,1,31),0.05,0.06,0)</t>
  </si>
  <si>
    <t xml:space="preserve">YIELDMAT(DATE(2024,1,31),DATE(2024,8,31),DATE(2023,1,31),0.05,98,0)</t>
  </si>
  <si>
    <t xml:space="preserve">ACCRINT(DATE(2024,1,31),DATE(2030,1,1),DATE(2024,8,31),0.05,1000,2,0)</t>
  </si>
  <si>
    <t xml:space="preserve">DURATION(DATE(2024,1,31),DATE(2024,8,31),0.05,0.08,2,0)</t>
  </si>
  <si>
    <t xml:space="preserve">PRICE(DATE(2024,1,31),DATE(2024,8,31),0.05,0.08,100,2,0)</t>
  </si>
  <si>
    <t xml:space="preserve">YIELD(DATE(2024,1,31),DATE(2024,8,31),0.05,95,100,2,0)</t>
  </si>
  <si>
    <t xml:space="preserve">PRICEDISC(DATE(2024,1,31),DATE(2024,8,31),0.05,100,1)</t>
  </si>
  <si>
    <t xml:space="preserve">RECEIVED(DATE(2024,1,31),DATE(2024,8,31),1000,0.05,1)</t>
  </si>
  <si>
    <t xml:space="preserve">INTRATE(DATE(2024,1,31),DATE(2024,8,31),1000,1050,1)</t>
  </si>
  <si>
    <t xml:space="preserve">DISC(DATE(2024,1,31),DATE(2024,8,31),95,100,1)</t>
  </si>
  <si>
    <t xml:space="preserve">YIELDDISC(DATE(2024,1,31),DATE(2024,8,31),95,100,1)</t>
  </si>
  <si>
    <t xml:space="preserve">ACCRINTM(DATE(2024,1,31),DATE(2024,8,31),0.05,1000,1)</t>
  </si>
  <si>
    <t xml:space="preserve">PRICEMAT(DATE(2024,1,31),DATE(2024,8,31),DATE(2023,1,31),0.05,0.06,1)</t>
  </si>
  <si>
    <t xml:space="preserve">YIELDMAT(DATE(2024,1,31),DATE(2024,8,31),DATE(2023,1,31),0.05,98,1)</t>
  </si>
  <si>
    <t xml:space="preserve">ACCRINT(DATE(2024,1,31),DATE(2030,1,1),DATE(2024,8,31),0.05,1000,2,1)</t>
  </si>
  <si>
    <t xml:space="preserve">DURATION(DATE(2024,1,31),DATE(2024,8,31),0.05,0.08,2,1)</t>
  </si>
  <si>
    <t xml:space="preserve">PRICE(DATE(2024,1,31),DATE(2024,8,31),0.05,0.08,100,2,1)</t>
  </si>
  <si>
    <t xml:space="preserve">YIELD(DATE(2024,1,31),DATE(2024,8,31),0.05,95,100,2,1)</t>
  </si>
  <si>
    <t xml:space="preserve">PRICEDISC(DATE(2024,1,31),DATE(2024,8,31),0.05,100,4)</t>
  </si>
  <si>
    <t xml:space="preserve">RECEIVED(DATE(2024,1,31),DATE(2024,8,31),1000,0.05,4)</t>
  </si>
  <si>
    <t xml:space="preserve">INTRATE(DATE(2024,1,31),DATE(2024,8,31),1000,1050,4)</t>
  </si>
  <si>
    <t xml:space="preserve">DISC(DATE(2024,1,31),DATE(2024,8,31),95,100,4)</t>
  </si>
  <si>
    <t xml:space="preserve">YIELDDISC(DATE(2024,1,31),DATE(2024,8,31),95,100,4)</t>
  </si>
  <si>
    <t xml:space="preserve">ACCRINTM(DATE(2024,1,31),DATE(2024,8,31),0.05,1000,4)</t>
  </si>
  <si>
    <t xml:space="preserve">PRICEMAT(DATE(2024,1,31),DATE(2024,8,31),DATE(2023,1,31),0.05,0.06,4)</t>
  </si>
  <si>
    <t xml:space="preserve">YIELDMAT(DATE(2024,1,31),DATE(2024,8,31),DATE(2023,1,31),0.05,98,4)</t>
  </si>
  <si>
    <t xml:space="preserve">ACCRINT(DATE(2024,1,31),DATE(2030,1,1),DATE(2024,8,31),0.05,1000,2,4)</t>
  </si>
  <si>
    <t xml:space="preserve">DURATION(DATE(2024,1,31),DATE(2024,8,31),0.05,0.08,2,4)</t>
  </si>
  <si>
    <t xml:space="preserve">PRICE(DATE(2024,1,31),DATE(2024,8,31),0.05,0.08,100,2,4)</t>
  </si>
  <si>
    <t xml:space="preserve">YIELD(DATE(2024,1,31),DATE(2024,8,31),0.05,95,100,2,4)</t>
  </si>
  <si>
    <t xml:space="preserve">TBILLPRICE(DATE(2024,1,31),DATE(2024,8,31),0.05)</t>
  </si>
  <si>
    <t xml:space="preserve">TBILLEQ(DATE(2024,1,31),DATE(2024,8,31),0.05)</t>
  </si>
  <si>
    <t xml:space="preserve">TBILLYIELD(DATE(2024,1,31),DATE(2024,8,31),98)</t>
  </si>
  <si>
    <t xml:space="preserve">PRICEDISC(DATE(2024,1,31),DATE(2025,6,30),0.05,100,0)</t>
  </si>
  <si>
    <t xml:space="preserve">RECEIVED(DATE(2024,1,31),DATE(2025,6,30),1000,0.05,0)</t>
  </si>
  <si>
    <t xml:space="preserve">INTRATE(DATE(2024,1,31),DATE(2025,6,30),1000,1050,0)</t>
  </si>
  <si>
    <t xml:space="preserve">DISC(DATE(2024,1,31),DATE(2025,6,30),95,100,0)</t>
  </si>
  <si>
    <t xml:space="preserve">YIELDDISC(DATE(2024,1,31),DATE(2025,6,30),95,100,0)</t>
  </si>
  <si>
    <t xml:space="preserve">ACCRINTM(DATE(2024,1,31),DATE(2025,6,30),0.05,1000,0)</t>
  </si>
  <si>
    <t xml:space="preserve">PRICEMAT(DATE(2024,1,31),DATE(2025,6,30),DATE(2023,1,31),0.05,0.06,0)</t>
  </si>
  <si>
    <t xml:space="preserve">YIELDMAT(DATE(2024,1,31),DATE(2025,6,30),DATE(2023,1,31),0.05,98,0)</t>
  </si>
  <si>
    <t xml:space="preserve">ACCRINT(DATE(2024,1,31),DATE(2030,1,1),DATE(2025,6,30),0.05,1000,2,0)</t>
  </si>
  <si>
    <t xml:space="preserve">DURATION(DATE(2024,1,31),DATE(2025,6,30),0.05,0.08,2,0)</t>
  </si>
  <si>
    <t xml:space="preserve">PRICE(DATE(2024,1,31),DATE(2025,6,30),0.05,0.08,100,2,0)</t>
  </si>
  <si>
    <t xml:space="preserve">YIELD(DATE(2024,1,31),DATE(2025,6,30),0.05,95,100,2,0)</t>
  </si>
  <si>
    <t xml:space="preserve">PRICEDISC(DATE(2024,1,31),DATE(2025,6,30),0.05,100,1)</t>
  </si>
  <si>
    <t xml:space="preserve">RECEIVED(DATE(2024,1,31),DATE(2025,6,30),1000,0.05,1)</t>
  </si>
  <si>
    <t xml:space="preserve">INTRATE(DATE(2024,1,31),DATE(2025,6,30),1000,1050,1)</t>
  </si>
  <si>
    <t xml:space="preserve">DISC(DATE(2024,1,31),DATE(2025,6,30),95,100,1)</t>
  </si>
  <si>
    <t xml:space="preserve">YIELDDISC(DATE(2024,1,31),DATE(2025,6,30),95,100,1)</t>
  </si>
  <si>
    <t xml:space="preserve">ACCRINTM(DATE(2024,1,31),DATE(2025,6,30),0.05,1000,1)</t>
  </si>
  <si>
    <t xml:space="preserve">PRICEMAT(DATE(2024,1,31),DATE(2025,6,30),DATE(2023,1,31),0.05,0.06,1)</t>
  </si>
  <si>
    <t xml:space="preserve">YIELDMAT(DATE(2024,1,31),DATE(2025,6,30),DATE(2023,1,31),0.05,98,1)</t>
  </si>
  <si>
    <t xml:space="preserve">ACCRINT(DATE(2024,1,31),DATE(2030,1,1),DATE(2025,6,30),0.05,1000,2,1)</t>
  </si>
  <si>
    <t xml:space="preserve">DURATION(DATE(2024,1,31),DATE(2025,6,30),0.05,0.08,2,1)</t>
  </si>
  <si>
    <t xml:space="preserve">PRICE(DATE(2024,1,31),DATE(2025,6,30),0.05,0.08,100,2,1)</t>
  </si>
  <si>
    <t xml:space="preserve">YIELD(DATE(2024,1,31),DATE(2025,6,30),0.05,95,100,2,1)</t>
  </si>
  <si>
    <t xml:space="preserve">PRICEDISC(DATE(2024,1,31),DATE(2025,6,30),0.05,100,4)</t>
  </si>
  <si>
    <t xml:space="preserve">RECEIVED(DATE(2024,1,31),DATE(2025,6,30),1000,0.05,4)</t>
  </si>
  <si>
    <t xml:space="preserve">INTRATE(DATE(2024,1,31),DATE(2025,6,30),1000,1050,4)</t>
  </si>
  <si>
    <t xml:space="preserve">DISC(DATE(2024,1,31),DATE(2025,6,30),95,100,4)</t>
  </si>
  <si>
    <t xml:space="preserve">YIELDDISC(DATE(2024,1,31),DATE(2025,6,30),95,100,4)</t>
  </si>
  <si>
    <t xml:space="preserve">ACCRINTM(DATE(2024,1,31),DATE(2025,6,30),0.05,1000,4)</t>
  </si>
  <si>
    <t xml:space="preserve">PRICEMAT(DATE(2024,1,31),DATE(2025,6,30),DATE(2023,1,31),0.05,0.06,4)</t>
  </si>
  <si>
    <t xml:space="preserve">YIELDMAT(DATE(2024,1,31),DATE(2025,6,30),DATE(2023,1,31),0.05,98,4)</t>
  </si>
  <si>
    <t xml:space="preserve">ACCRINT(DATE(2024,1,31),DATE(2030,1,1),DATE(2025,6,30),0.05,1000,2,4)</t>
  </si>
  <si>
    <t xml:space="preserve">DURATION(DATE(2024,1,31),DATE(2025,6,30),0.05,0.08,2,4)</t>
  </si>
  <si>
    <t xml:space="preserve">PRICE(DATE(2024,1,31),DATE(2025,6,30),0.05,0.08,100,2,4)</t>
  </si>
  <si>
    <t xml:space="preserve">YIELD(DATE(2024,1,31),DATE(2025,6,30),0.05,95,100,2,4)</t>
  </si>
  <si>
    <t xml:space="preserve">TBILLPRICE(DATE(2024,1,31),DATE(2025,6,30),0.05)</t>
  </si>
  <si>
    <t xml:space="preserve">TBILLEQ(DATE(2024,1,31),DATE(2025,6,30),0.05)</t>
  </si>
  <si>
    <t xml:space="preserve">TBILLYIELD(DATE(2024,1,31),DATE(2025,6,30),98)</t>
  </si>
  <si>
    <t xml:space="preserve">PRICEDISC(DATE(2024,1,31),DATE(2026,12,31),0.05,100,0)</t>
  </si>
  <si>
    <t xml:space="preserve">RECEIVED(DATE(2024,1,31),DATE(2026,12,31),1000,0.05,0)</t>
  </si>
  <si>
    <t xml:space="preserve">INTRATE(DATE(2024,1,31),DATE(2026,12,31),1000,1050,0)</t>
  </si>
  <si>
    <t xml:space="preserve">DISC(DATE(2024,1,31),DATE(2026,12,31),95,100,0)</t>
  </si>
  <si>
    <t xml:space="preserve">YIELDDISC(DATE(2024,1,31),DATE(2026,12,31),95,100,0)</t>
  </si>
  <si>
    <t xml:space="preserve">ACCRINTM(DATE(2024,1,31),DATE(2026,12,31),0.05,1000,0)</t>
  </si>
  <si>
    <t xml:space="preserve">PRICEMAT(DATE(2024,1,31),DATE(2026,12,31),DATE(2023,1,31),0.05,0.06,0)</t>
  </si>
  <si>
    <t xml:space="preserve">YIELDMAT(DATE(2024,1,31),DATE(2026,12,31),DATE(2023,1,31),0.05,98,0)</t>
  </si>
  <si>
    <t xml:space="preserve">ACCRINT(DATE(2024,1,31),DATE(2030,1,1),DATE(2026,12,31),0.05,1000,2,0)</t>
  </si>
  <si>
    <t xml:space="preserve">DURATION(DATE(2024,1,31),DATE(2026,12,31),0.05,0.08,2,0)</t>
  </si>
  <si>
    <t xml:space="preserve">PRICE(DATE(2024,1,31),DATE(2026,12,31),0.05,0.08,100,2,0)</t>
  </si>
  <si>
    <t xml:space="preserve">YIELD(DATE(2024,1,31),DATE(2026,12,31),0.05,95,100,2,0)</t>
  </si>
  <si>
    <t xml:space="preserve">PRICEDISC(DATE(2024,1,31),DATE(2026,12,31),0.05,100,1)</t>
  </si>
  <si>
    <t xml:space="preserve">RECEIVED(DATE(2024,1,31),DATE(2026,12,31),1000,0.05,1)</t>
  </si>
  <si>
    <t xml:space="preserve">INTRATE(DATE(2024,1,31),DATE(2026,12,31),1000,1050,1)</t>
  </si>
  <si>
    <t xml:space="preserve">DISC(DATE(2024,1,31),DATE(2026,12,31),95,100,1)</t>
  </si>
  <si>
    <t xml:space="preserve">YIELDDISC(DATE(2024,1,31),DATE(2026,12,31),95,100,1)</t>
  </si>
  <si>
    <t xml:space="preserve">ACCRINTM(DATE(2024,1,31),DATE(2026,12,31),0.05,1000,1)</t>
  </si>
  <si>
    <t xml:space="preserve">PRICEMAT(DATE(2024,1,31),DATE(2026,12,31),DATE(2023,1,31),0.05,0.06,1)</t>
  </si>
  <si>
    <t xml:space="preserve">YIELDMAT(DATE(2024,1,31),DATE(2026,12,31),DATE(2023,1,31),0.05,98,1)</t>
  </si>
  <si>
    <t xml:space="preserve">ACCRINT(DATE(2024,1,31),DATE(2030,1,1),DATE(2026,12,31),0.05,1000,2,1)</t>
  </si>
  <si>
    <t xml:space="preserve">DURATION(DATE(2024,1,31),DATE(2026,12,31),0.05,0.08,2,1)</t>
  </si>
  <si>
    <t xml:space="preserve">PRICE(DATE(2024,1,31),DATE(2026,12,31),0.05,0.08,100,2,1)</t>
  </si>
  <si>
    <t xml:space="preserve">YIELD(DATE(2024,1,31),DATE(2026,12,31),0.05,95,100,2,1)</t>
  </si>
  <si>
    <t xml:space="preserve">PRICEDISC(DATE(2024,1,31),DATE(2026,12,31),0.05,100,4)</t>
  </si>
  <si>
    <t xml:space="preserve">RECEIVED(DATE(2024,1,31),DATE(2026,12,31),1000,0.05,4)</t>
  </si>
  <si>
    <t xml:space="preserve">INTRATE(DATE(2024,1,31),DATE(2026,12,31),1000,1050,4)</t>
  </si>
  <si>
    <t xml:space="preserve">DISC(DATE(2024,1,31),DATE(2026,12,31),95,100,4)</t>
  </si>
  <si>
    <t xml:space="preserve">YIELDDISC(DATE(2024,1,31),DATE(2026,12,31),95,100,4)</t>
  </si>
  <si>
    <t xml:space="preserve">ACCRINTM(DATE(2024,1,31),DATE(2026,12,31),0.05,1000,4)</t>
  </si>
  <si>
    <t xml:space="preserve">PRICEMAT(DATE(2024,1,31),DATE(2026,12,31),DATE(2023,1,31),0.05,0.06,4)</t>
  </si>
  <si>
    <t xml:space="preserve">YIELDMAT(DATE(2024,1,31),DATE(2026,12,31),DATE(2023,1,31),0.05,98,4)</t>
  </si>
  <si>
    <t xml:space="preserve">ACCRINT(DATE(2024,1,31),DATE(2030,1,1),DATE(2026,12,31),0.05,1000,2,4)</t>
  </si>
  <si>
    <t xml:space="preserve">DURATION(DATE(2024,1,31),DATE(2026,12,31),0.05,0.08,2,4)</t>
  </si>
  <si>
    <t xml:space="preserve">PRICE(DATE(2024,1,31),DATE(2026,12,31),0.05,0.08,100,2,4)</t>
  </si>
  <si>
    <t xml:space="preserve">YIELD(DATE(2024,1,31),DATE(2026,12,31),0.05,95,100,2,4)</t>
  </si>
  <si>
    <t xml:space="preserve">TBILLPRICE(DATE(2024,1,31),DATE(2026,12,31),0.05)</t>
  </si>
  <si>
    <t xml:space="preserve">TBILLEQ(DATE(2024,1,31),DATE(2026,12,31),0.05)</t>
  </si>
  <si>
    <t xml:space="preserve">TBILLYIELD(DATE(2024,1,31),DATE(2026,12,31),98)</t>
  </si>
  <si>
    <t xml:space="preserve">PRICEDISC(DATE(2024,1,31),DATE(2027,2,28),0.05,100,0)</t>
  </si>
  <si>
    <t xml:space="preserve">RECEIVED(DATE(2024,1,31),DATE(2027,2,28),1000,0.05,0)</t>
  </si>
  <si>
    <t xml:space="preserve">INTRATE(DATE(2024,1,31),DATE(2027,2,28),1000,1050,0)</t>
  </si>
  <si>
    <t xml:space="preserve">DISC(DATE(2024,1,31),DATE(2027,2,28),95,100,0)</t>
  </si>
  <si>
    <t xml:space="preserve">YIELDDISC(DATE(2024,1,31),DATE(2027,2,28),95,100,0)</t>
  </si>
  <si>
    <t xml:space="preserve">ACCRINTM(DATE(2024,1,31),DATE(2027,2,28),0.05,1000,0)</t>
  </si>
  <si>
    <t xml:space="preserve">PRICEMAT(DATE(2024,1,31),DATE(2027,2,28),DATE(2023,1,31),0.05,0.06,0)</t>
  </si>
  <si>
    <t xml:space="preserve">YIELDMAT(DATE(2024,1,31),DATE(2027,2,28),DATE(2023,1,31),0.05,98,0)</t>
  </si>
  <si>
    <t xml:space="preserve">ACCRINT(DATE(2024,1,31),DATE(2030,1,1),DATE(2027,2,28),0.05,1000,2,0)</t>
  </si>
  <si>
    <t xml:space="preserve">DURATION(DATE(2024,1,31),DATE(2027,2,28),0.05,0.08,2,0)</t>
  </si>
  <si>
    <t xml:space="preserve">PRICE(DATE(2024,1,31),DATE(2027,2,28),0.05,0.08,100,2,0)</t>
  </si>
  <si>
    <t xml:space="preserve">YIELD(DATE(2024,1,31),DATE(2027,2,28),0.05,95,100,2,0)</t>
  </si>
  <si>
    <t xml:space="preserve">PRICEDISC(DATE(2024,1,31),DATE(2027,2,28),0.05,100,1)</t>
  </si>
  <si>
    <t xml:space="preserve">RECEIVED(DATE(2024,1,31),DATE(2027,2,28),1000,0.05,1)</t>
  </si>
  <si>
    <t xml:space="preserve">INTRATE(DATE(2024,1,31),DATE(2027,2,28),1000,1050,1)</t>
  </si>
  <si>
    <t xml:space="preserve">DISC(DATE(2024,1,31),DATE(2027,2,28),95,100,1)</t>
  </si>
  <si>
    <t xml:space="preserve">YIELDDISC(DATE(2024,1,31),DATE(2027,2,28),95,100,1)</t>
  </si>
  <si>
    <t xml:space="preserve">ACCRINTM(DATE(2024,1,31),DATE(2027,2,28),0.05,1000,1)</t>
  </si>
  <si>
    <t xml:space="preserve">PRICEMAT(DATE(2024,1,31),DATE(2027,2,28),DATE(2023,1,31),0.05,0.06,1)</t>
  </si>
  <si>
    <t xml:space="preserve">YIELDMAT(DATE(2024,1,31),DATE(2027,2,28),DATE(2023,1,31),0.05,98,1)</t>
  </si>
  <si>
    <t xml:space="preserve">ACCRINT(DATE(2024,1,31),DATE(2030,1,1),DATE(2027,2,28),0.05,1000,2,1)</t>
  </si>
  <si>
    <t xml:space="preserve">DURATION(DATE(2024,1,31),DATE(2027,2,28),0.05,0.08,2,1)</t>
  </si>
  <si>
    <t xml:space="preserve">PRICE(DATE(2024,1,31),DATE(2027,2,28),0.05,0.08,100,2,1)</t>
  </si>
  <si>
    <t xml:space="preserve">YIELD(DATE(2024,1,31),DATE(2027,2,28),0.05,95,100,2,1)</t>
  </si>
  <si>
    <t xml:space="preserve">PRICEDISC(DATE(2024,1,31),DATE(2027,2,28),0.05,100,4)</t>
  </si>
  <si>
    <t xml:space="preserve">RECEIVED(DATE(2024,1,31),DATE(2027,2,28),1000,0.05,4)</t>
  </si>
  <si>
    <t xml:space="preserve">INTRATE(DATE(2024,1,31),DATE(2027,2,28),1000,1050,4)</t>
  </si>
  <si>
    <t xml:space="preserve">DISC(DATE(2024,1,31),DATE(2027,2,28),95,100,4)</t>
  </si>
  <si>
    <t xml:space="preserve">YIELDDISC(DATE(2024,1,31),DATE(2027,2,28),95,100,4)</t>
  </si>
  <si>
    <t xml:space="preserve">ACCRINTM(DATE(2024,1,31),DATE(2027,2,28),0.05,1000,4)</t>
  </si>
  <si>
    <t xml:space="preserve">PRICEMAT(DATE(2024,1,31),DATE(2027,2,28),DATE(2023,1,31),0.05,0.06,4)</t>
  </si>
  <si>
    <t xml:space="preserve">YIELDMAT(DATE(2024,1,31),DATE(2027,2,28),DATE(2023,1,31),0.05,98,4)</t>
  </si>
  <si>
    <t xml:space="preserve">ACCRINT(DATE(2024,1,31),DATE(2030,1,1),DATE(2027,2,28),0.05,1000,2,4)</t>
  </si>
  <si>
    <t xml:space="preserve">DURATION(DATE(2024,1,31),DATE(2027,2,28),0.05,0.08,2,4)</t>
  </si>
  <si>
    <t xml:space="preserve">PRICE(DATE(2024,1,31),DATE(2027,2,28),0.05,0.08,100,2,4)</t>
  </si>
  <si>
    <t xml:space="preserve">YIELD(DATE(2024,1,31),DATE(2027,2,28),0.05,95,100,2,4)</t>
  </si>
  <si>
    <t xml:space="preserve">TBILLPRICE(DATE(2024,1,31),DATE(2027,2,28),0.05)</t>
  </si>
  <si>
    <t xml:space="preserve">TBILLEQ(DATE(2024,1,31),DATE(2027,2,28),0.05)</t>
  </si>
  <si>
    <t xml:space="preserve">TBILLYIELD(DATE(2024,1,31),DATE(2027,2,28),98)</t>
  </si>
  <si>
    <t xml:space="preserve">PRICEDISC(DATE(2024,1,31),DATE(2025,1,30),0.05,100,0)</t>
  </si>
  <si>
    <t xml:space="preserve">RECEIVED(DATE(2024,1,31),DATE(2025,1,30),1000,0.05,0)</t>
  </si>
  <si>
    <t xml:space="preserve">INTRATE(DATE(2024,1,31),DATE(2025,1,30),1000,1050,0)</t>
  </si>
  <si>
    <t xml:space="preserve">DISC(DATE(2024,1,31),DATE(2025,1,30),95,100,0)</t>
  </si>
  <si>
    <t xml:space="preserve">YIELDDISC(DATE(2024,1,31),DATE(2025,1,30),95,100,0)</t>
  </si>
  <si>
    <t xml:space="preserve">ACCRINTM(DATE(2024,1,31),DATE(2025,1,30),0.05,1000,0)</t>
  </si>
  <si>
    <t xml:space="preserve">PRICEMAT(DATE(2024,1,31),DATE(2025,1,30),DATE(2023,1,31),0.05,0.06,0)</t>
  </si>
  <si>
    <t xml:space="preserve">YIELDMAT(DATE(2024,1,31),DATE(2025,1,30),DATE(2023,1,31),0.05,98,0)</t>
  </si>
  <si>
    <t xml:space="preserve">ACCRINT(DATE(2024,1,31),DATE(2030,1,1),DATE(2025,1,30),0.05,1000,2,0)</t>
  </si>
  <si>
    <t xml:space="preserve">DURATION(DATE(2024,1,31),DATE(2025,1,30),0.05,0.08,2,0)</t>
  </si>
  <si>
    <t xml:space="preserve">PRICE(DATE(2024,1,31),DATE(2025,1,30),0.05,0.08,100,2,0)</t>
  </si>
  <si>
    <t xml:space="preserve">YIELD(DATE(2024,1,31),DATE(2025,1,30),0.05,95,100,2,0)</t>
  </si>
  <si>
    <t xml:space="preserve">PRICEDISC(DATE(2024,1,31),DATE(2025,1,30),0.05,100,1)</t>
  </si>
  <si>
    <t xml:space="preserve">RECEIVED(DATE(2024,1,31),DATE(2025,1,30),1000,0.05,1)</t>
  </si>
  <si>
    <t xml:space="preserve">INTRATE(DATE(2024,1,31),DATE(2025,1,30),1000,1050,1)</t>
  </si>
  <si>
    <t xml:space="preserve">DISC(DATE(2024,1,31),DATE(2025,1,30),95,100,1)</t>
  </si>
  <si>
    <t xml:space="preserve">YIELDDISC(DATE(2024,1,31),DATE(2025,1,30),95,100,1)</t>
  </si>
  <si>
    <t xml:space="preserve">ACCRINTM(DATE(2024,1,31),DATE(2025,1,30),0.05,1000,1)</t>
  </si>
  <si>
    <t xml:space="preserve">PRICEMAT(DATE(2024,1,31),DATE(2025,1,30),DATE(2023,1,31),0.05,0.06,1)</t>
  </si>
  <si>
    <t xml:space="preserve">YIELDMAT(DATE(2024,1,31),DATE(2025,1,30),DATE(2023,1,31),0.05,98,1)</t>
  </si>
  <si>
    <t xml:space="preserve">ACCRINT(DATE(2024,1,31),DATE(2030,1,1),DATE(2025,1,30),0.05,1000,2,1)</t>
  </si>
  <si>
    <t xml:space="preserve">DURATION(DATE(2024,1,31),DATE(2025,1,30),0.05,0.08,2,1)</t>
  </si>
  <si>
    <t xml:space="preserve">PRICE(DATE(2024,1,31),DATE(2025,1,30),0.05,0.08,100,2,1)</t>
  </si>
  <si>
    <t xml:space="preserve">YIELD(DATE(2024,1,31),DATE(2025,1,30),0.05,95,100,2,1)</t>
  </si>
  <si>
    <t xml:space="preserve">PRICEDISC(DATE(2024,1,31),DATE(2025,1,30),0.05,100,4)</t>
  </si>
  <si>
    <t xml:space="preserve">RECEIVED(DATE(2024,1,31),DATE(2025,1,30),1000,0.05,4)</t>
  </si>
  <si>
    <t xml:space="preserve">INTRATE(DATE(2024,1,31),DATE(2025,1,30),1000,1050,4)</t>
  </si>
  <si>
    <t xml:space="preserve">DISC(DATE(2024,1,31),DATE(2025,1,30),95,100,4)</t>
  </si>
  <si>
    <t xml:space="preserve">YIELDDISC(DATE(2024,1,31),DATE(2025,1,30),95,100,4)</t>
  </si>
  <si>
    <t xml:space="preserve">ACCRINTM(DATE(2024,1,31),DATE(2025,1,30),0.05,1000,4)</t>
  </si>
  <si>
    <t xml:space="preserve">PRICEMAT(DATE(2024,1,31),DATE(2025,1,30),DATE(2023,1,31),0.05,0.06,4)</t>
  </si>
  <si>
    <t xml:space="preserve">YIELDMAT(DATE(2024,1,31),DATE(2025,1,30),DATE(2023,1,31),0.05,98,4)</t>
  </si>
  <si>
    <t xml:space="preserve">ACCRINT(DATE(2024,1,31),DATE(2030,1,1),DATE(2025,1,30),0.05,1000,2,4)</t>
  </si>
  <si>
    <t xml:space="preserve">DURATION(DATE(2024,1,31),DATE(2025,1,30),0.05,0.08,2,4)</t>
  </si>
  <si>
    <t xml:space="preserve">PRICE(DATE(2024,1,31),DATE(2025,1,30),0.05,0.08,100,2,4)</t>
  </si>
  <si>
    <t xml:space="preserve">YIELD(DATE(2024,1,31),DATE(2025,1,30),0.05,95,100,2,4)</t>
  </si>
  <si>
    <t xml:space="preserve">TBILLPRICE(DATE(2024,1,31),DATE(2025,1,30),0.05)</t>
  </si>
  <si>
    <t xml:space="preserve">TBILLEQ(DATE(2024,1,31),DATE(2025,1,30),0.05)</t>
  </si>
  <si>
    <t xml:space="preserve">TBILLYIELD(DATE(2024,1,31),DATE(2025,1,30),98)</t>
  </si>
  <si>
    <t xml:space="preserve">PRICEDISC(DATE(2024,1,31),DATE(2024,12,31),0.05,100,0)</t>
  </si>
  <si>
    <t xml:space="preserve">RECEIVED(DATE(2024,1,31),DATE(2024,12,31),1000,0.05,0)</t>
  </si>
  <si>
    <t xml:space="preserve">INTRATE(DATE(2024,1,31),DATE(2024,12,31),1000,1050,0)</t>
  </si>
  <si>
    <t xml:space="preserve">DISC(DATE(2024,1,31),DATE(2024,12,31),95,100,0)</t>
  </si>
  <si>
    <t xml:space="preserve">YIELDDISC(DATE(2024,1,31),DATE(2024,12,31),95,100,0)</t>
  </si>
  <si>
    <t xml:space="preserve">ACCRINTM(DATE(2024,1,31),DATE(2024,12,31),0.05,1000,0)</t>
  </si>
  <si>
    <t xml:space="preserve">PRICEMAT(DATE(2024,1,31),DATE(2024,12,31),DATE(2023,1,31),0.05,0.06,0)</t>
  </si>
  <si>
    <t xml:space="preserve">YIELDMAT(DATE(2024,1,31),DATE(2024,12,31),DATE(2023,1,31),0.05,98,0)</t>
  </si>
  <si>
    <t xml:space="preserve">ACCRINT(DATE(2024,1,31),DATE(2030,1,1),DATE(2024,12,31),0.05,1000,2,0)</t>
  </si>
  <si>
    <t xml:space="preserve">DURATION(DATE(2024,1,31),DATE(2024,12,31),0.05,0.08,2,0)</t>
  </si>
  <si>
    <t xml:space="preserve">PRICE(DATE(2024,1,31),DATE(2024,12,31),0.05,0.08,100,2,0)</t>
  </si>
  <si>
    <t xml:space="preserve">YIELD(DATE(2024,1,31),DATE(2024,12,31),0.05,95,100,2,0)</t>
  </si>
  <si>
    <t xml:space="preserve">PRICEDISC(DATE(2024,1,31),DATE(2024,12,31),0.05,100,1)</t>
  </si>
  <si>
    <t xml:space="preserve">RECEIVED(DATE(2024,1,31),DATE(2024,12,31),1000,0.05,1)</t>
  </si>
  <si>
    <t xml:space="preserve">INTRATE(DATE(2024,1,31),DATE(2024,12,31),1000,1050,1)</t>
  </si>
  <si>
    <t xml:space="preserve">DISC(DATE(2024,1,31),DATE(2024,12,31),95,100,1)</t>
  </si>
  <si>
    <t xml:space="preserve">YIELDDISC(DATE(2024,1,31),DATE(2024,12,31),95,100,1)</t>
  </si>
  <si>
    <t xml:space="preserve">ACCRINTM(DATE(2024,1,31),DATE(2024,12,31),0.05,1000,1)</t>
  </si>
  <si>
    <t xml:space="preserve">PRICEMAT(DATE(2024,1,31),DATE(2024,12,31),DATE(2023,1,31),0.05,0.06,1)</t>
  </si>
  <si>
    <t xml:space="preserve">YIELDMAT(DATE(2024,1,31),DATE(2024,12,31),DATE(2023,1,31),0.05,98,1)</t>
  </si>
  <si>
    <t xml:space="preserve">ACCRINT(DATE(2024,1,31),DATE(2030,1,1),DATE(2024,12,31),0.05,1000,2,1)</t>
  </si>
  <si>
    <t xml:space="preserve">DURATION(DATE(2024,1,31),DATE(2024,12,31),0.05,0.08,2,1)</t>
  </si>
  <si>
    <t xml:space="preserve">PRICE(DATE(2024,1,31),DATE(2024,12,31),0.05,0.08,100,2,1)</t>
  </si>
  <si>
    <t xml:space="preserve">YIELD(DATE(2024,1,31),DATE(2024,12,31),0.05,95,100,2,1)</t>
  </si>
  <si>
    <t xml:space="preserve">PRICEDISC(DATE(2024,1,31),DATE(2024,12,31),0.05,100,4)</t>
  </si>
  <si>
    <t xml:space="preserve">RECEIVED(DATE(2024,1,31),DATE(2024,12,31),1000,0.05,4)</t>
  </si>
  <si>
    <t xml:space="preserve">INTRATE(DATE(2024,1,31),DATE(2024,12,31),1000,1050,4)</t>
  </si>
  <si>
    <t xml:space="preserve">DISC(DATE(2024,1,31),DATE(2024,12,31),95,100,4)</t>
  </si>
  <si>
    <t xml:space="preserve">YIELDDISC(DATE(2024,1,31),DATE(2024,12,31),95,100,4)</t>
  </si>
  <si>
    <t xml:space="preserve">ACCRINTM(DATE(2024,1,31),DATE(2024,12,31),0.05,1000,4)</t>
  </si>
  <si>
    <t xml:space="preserve">PRICEMAT(DATE(2024,1,31),DATE(2024,12,31),DATE(2023,1,31),0.05,0.06,4)</t>
  </si>
  <si>
    <t xml:space="preserve">YIELDMAT(DATE(2024,1,31),DATE(2024,12,31),DATE(2023,1,31),0.05,98,4)</t>
  </si>
  <si>
    <t xml:space="preserve">ACCRINT(DATE(2024,1,31),DATE(2030,1,1),DATE(2024,12,31),0.05,1000,2,4)</t>
  </si>
  <si>
    <t xml:space="preserve">DURATION(DATE(2024,1,31),DATE(2024,12,31),0.05,0.08,2,4)</t>
  </si>
  <si>
    <t xml:space="preserve">PRICE(DATE(2024,1,31),DATE(2024,12,31),0.05,0.08,100,2,4)</t>
  </si>
  <si>
    <t xml:space="preserve">YIELD(DATE(2024,1,31),DATE(2024,12,31),0.05,95,100,2,4)</t>
  </si>
  <si>
    <t xml:space="preserve">TBILLPRICE(DATE(2024,1,31),DATE(2024,12,31),0.05)</t>
  </si>
  <si>
    <t xml:space="preserve">TBILLEQ(DATE(2024,1,31),DATE(2024,12,31),0.05)</t>
  </si>
  <si>
    <t xml:space="preserve">TBILLYIELD(DATE(2024,1,31),DATE(2024,12,31),98)</t>
  </si>
  <si>
    <t xml:space="preserve">PRICEDISC(DATE(2024,2,28),DATE(2025,2,28),0.05,100,0)</t>
  </si>
  <si>
    <t xml:space="preserve">RECEIVED(DATE(2024,2,28),DATE(2025,2,28),1000,0.05,0)</t>
  </si>
  <si>
    <t xml:space="preserve">INTRATE(DATE(2024,2,28),DATE(2025,2,28),1000,1050,0)</t>
  </si>
  <si>
    <t xml:space="preserve">DISC(DATE(2024,2,28),DATE(2025,2,28),95,100,0)</t>
  </si>
  <si>
    <t xml:space="preserve">YIELDDISC(DATE(2024,2,28),DATE(2025,2,28),95,100,0)</t>
  </si>
  <si>
    <t xml:space="preserve">ACCRINTM(DATE(2024,2,28),DATE(2025,2,28),0.05,1000,0)</t>
  </si>
  <si>
    <t xml:space="preserve">PRICEMAT(DATE(2024,2,28),DATE(2025,2,28),DATE(2023,1,31),0.05,0.06,0)</t>
  </si>
  <si>
    <t xml:space="preserve">YIELDMAT(DATE(2024,2,28),DATE(2025,2,28),DATE(2023,1,31),0.05,98,0)</t>
  </si>
  <si>
    <t xml:space="preserve">ACCRINT(DATE(2024,2,28),DATE(2030,1,1),DATE(2025,2,28),0.05,1000,2,0)</t>
  </si>
  <si>
    <t xml:space="preserve">DURATION(DATE(2024,2,28),DATE(2025,2,28),0.05,0.08,2,0)</t>
  </si>
  <si>
    <t xml:space="preserve">PRICE(DATE(2024,2,28),DATE(2025,2,28),0.05,0.08,100,2,0)</t>
  </si>
  <si>
    <t xml:space="preserve">YIELD(DATE(2024,2,28),DATE(2025,2,28),0.05,95,100,2,0)</t>
  </si>
  <si>
    <t xml:space="preserve">PRICEDISC(DATE(2024,2,28),DATE(2025,2,28),0.05,100,1)</t>
  </si>
  <si>
    <t xml:space="preserve">RECEIVED(DATE(2024,2,28),DATE(2025,2,28),1000,0.05,1)</t>
  </si>
  <si>
    <t xml:space="preserve">INTRATE(DATE(2024,2,28),DATE(2025,2,28),1000,1050,1)</t>
  </si>
  <si>
    <t xml:space="preserve">DISC(DATE(2024,2,28),DATE(2025,2,28),95,100,1)</t>
  </si>
  <si>
    <t xml:space="preserve">YIELDDISC(DATE(2024,2,28),DATE(2025,2,28),95,100,1)</t>
  </si>
  <si>
    <t xml:space="preserve">ACCRINTM(DATE(2024,2,28),DATE(2025,2,28),0.05,1000,1)</t>
  </si>
  <si>
    <t xml:space="preserve">PRICEMAT(DATE(2024,2,28),DATE(2025,2,28),DATE(2023,1,31),0.05,0.06,1)</t>
  </si>
  <si>
    <t xml:space="preserve">YIELDMAT(DATE(2024,2,28),DATE(2025,2,28),DATE(2023,1,31),0.05,98,1)</t>
  </si>
  <si>
    <t xml:space="preserve">ACCRINT(DATE(2024,2,28),DATE(2030,1,1),DATE(2025,2,28),0.05,1000,2,1)</t>
  </si>
  <si>
    <t xml:space="preserve">DURATION(DATE(2024,2,28),DATE(2025,2,28),0.05,0.08,2,1)</t>
  </si>
  <si>
    <t xml:space="preserve">PRICE(DATE(2024,2,28),DATE(2025,2,28),0.05,0.08,100,2,1)</t>
  </si>
  <si>
    <t xml:space="preserve">YIELD(DATE(2024,2,28),DATE(2025,2,28),0.05,95,100,2,1)</t>
  </si>
  <si>
    <t xml:space="preserve">PRICEDISC(DATE(2024,2,28),DATE(2025,2,28),0.05,100,4)</t>
  </si>
  <si>
    <t xml:space="preserve">RECEIVED(DATE(2024,2,28),DATE(2025,2,28),1000,0.05,4)</t>
  </si>
  <si>
    <t xml:space="preserve">INTRATE(DATE(2024,2,28),DATE(2025,2,28),1000,1050,4)</t>
  </si>
  <si>
    <t xml:space="preserve">DISC(DATE(2024,2,28),DATE(2025,2,28),95,100,4)</t>
  </si>
  <si>
    <t xml:space="preserve">YIELDDISC(DATE(2024,2,28),DATE(2025,2,28),95,100,4)</t>
  </si>
  <si>
    <t xml:space="preserve">ACCRINTM(DATE(2024,2,28),DATE(2025,2,28),0.05,1000,4)</t>
  </si>
  <si>
    <t xml:space="preserve">PRICEMAT(DATE(2024,2,28),DATE(2025,2,28),DATE(2023,1,31),0.05,0.06,4)</t>
  </si>
  <si>
    <t xml:space="preserve">YIELDMAT(DATE(2024,2,28),DATE(2025,2,28),DATE(2023,1,31),0.05,98,4)</t>
  </si>
  <si>
    <t xml:space="preserve">ACCRINT(DATE(2024,2,28),DATE(2030,1,1),DATE(2025,2,28),0.05,1000,2,4)</t>
  </si>
  <si>
    <t xml:space="preserve">DURATION(DATE(2024,2,28),DATE(2025,2,28),0.05,0.08,2,4)</t>
  </si>
  <si>
    <t xml:space="preserve">PRICE(DATE(2024,2,28),DATE(2025,2,28),0.05,0.08,100,2,4)</t>
  </si>
  <si>
    <t xml:space="preserve">YIELD(DATE(2024,2,28),DATE(2025,2,28),0.05,95,100,2,4)</t>
  </si>
  <si>
    <t xml:space="preserve">TBILLPRICE(DATE(2024,2,28),DATE(2025,2,28),0.05)</t>
  </si>
  <si>
    <t xml:space="preserve">TBILLEQ(DATE(2024,2,28),DATE(2025,2,28),0.05)</t>
  </si>
  <si>
    <t xml:space="preserve">PRICEDISC(DATE(2024,2,28),DATE(2025,3,31),0.05,100,0)</t>
  </si>
  <si>
    <t xml:space="preserve">RECEIVED(DATE(2024,2,28),DATE(2025,3,31),1000,0.05,0)</t>
  </si>
  <si>
    <t xml:space="preserve">INTRATE(DATE(2024,2,28),DATE(2025,3,31),1000,1050,0)</t>
  </si>
  <si>
    <t xml:space="preserve">DISC(DATE(2024,2,28),DATE(2025,3,31),95,100,0)</t>
  </si>
  <si>
    <t xml:space="preserve">YIELDDISC(DATE(2024,2,28),DATE(2025,3,31),95,100,0)</t>
  </si>
  <si>
    <t xml:space="preserve">ACCRINTM(DATE(2024,2,28),DATE(2025,3,31),0.05,1000,0)</t>
  </si>
  <si>
    <t xml:space="preserve">PRICEMAT(DATE(2024,2,28),DATE(2025,3,31),DATE(2023,1,31),0.05,0.06,0)</t>
  </si>
  <si>
    <t xml:space="preserve">YIELDMAT(DATE(2024,2,28),DATE(2025,3,31),DATE(2023,1,31),0.05,98,0)</t>
  </si>
  <si>
    <t xml:space="preserve">ACCRINT(DATE(2024,2,28),DATE(2030,1,1),DATE(2025,3,31),0.05,1000,2,0)</t>
  </si>
  <si>
    <t xml:space="preserve">DURATION(DATE(2024,2,28),DATE(2025,3,31),0.05,0.08,2,0)</t>
  </si>
  <si>
    <t xml:space="preserve">PRICE(DATE(2024,2,28),DATE(2025,3,31),0.05,0.08,100,2,0)</t>
  </si>
  <si>
    <t xml:space="preserve">YIELD(DATE(2024,2,28),DATE(2025,3,31),0.05,95,100,2,0)</t>
  </si>
  <si>
    <t xml:space="preserve">PRICEDISC(DATE(2024,2,28),DATE(2025,3,31),0.05,100,1)</t>
  </si>
  <si>
    <t xml:space="preserve">RECEIVED(DATE(2024,2,28),DATE(2025,3,31),1000,0.05,1)</t>
  </si>
  <si>
    <t xml:space="preserve">INTRATE(DATE(2024,2,28),DATE(2025,3,31),1000,1050,1)</t>
  </si>
  <si>
    <t xml:space="preserve">DISC(DATE(2024,2,28),DATE(2025,3,31),95,100,1)</t>
  </si>
  <si>
    <t xml:space="preserve">YIELDDISC(DATE(2024,2,28),DATE(2025,3,31),95,100,1)</t>
  </si>
  <si>
    <t xml:space="preserve">ACCRINTM(DATE(2024,2,28),DATE(2025,3,31),0.05,1000,1)</t>
  </si>
  <si>
    <t xml:space="preserve">PRICEMAT(DATE(2024,2,28),DATE(2025,3,31),DATE(2023,1,31),0.05,0.06,1)</t>
  </si>
  <si>
    <t xml:space="preserve">YIELDMAT(DATE(2024,2,28),DATE(2025,3,31),DATE(2023,1,31),0.05,98,1)</t>
  </si>
  <si>
    <t xml:space="preserve">ACCRINT(DATE(2024,2,28),DATE(2030,1,1),DATE(2025,3,31),0.05,1000,2,1)</t>
  </si>
  <si>
    <t xml:space="preserve">DURATION(DATE(2024,2,28),DATE(2025,3,31),0.05,0.08,2,1)</t>
  </si>
  <si>
    <t xml:space="preserve">PRICE(DATE(2024,2,28),DATE(2025,3,31),0.05,0.08,100,2,1)</t>
  </si>
  <si>
    <t xml:space="preserve">YIELD(DATE(2024,2,28),DATE(2025,3,31),0.05,95,100,2,1)</t>
  </si>
  <si>
    <t xml:space="preserve">PRICEDISC(DATE(2024,2,28),DATE(2025,3,31),0.05,100,4)</t>
  </si>
  <si>
    <t xml:space="preserve">RECEIVED(DATE(2024,2,28),DATE(2025,3,31),1000,0.05,4)</t>
  </si>
  <si>
    <t xml:space="preserve">INTRATE(DATE(2024,2,28),DATE(2025,3,31),1000,1050,4)</t>
  </si>
  <si>
    <t xml:space="preserve">DISC(DATE(2024,2,28),DATE(2025,3,31),95,100,4)</t>
  </si>
  <si>
    <t xml:space="preserve">YIELDDISC(DATE(2024,2,28),DATE(2025,3,31),95,100,4)</t>
  </si>
  <si>
    <t xml:space="preserve">ACCRINTM(DATE(2024,2,28),DATE(2025,3,31),0.05,1000,4)</t>
  </si>
  <si>
    <t xml:space="preserve">PRICEMAT(DATE(2024,2,28),DATE(2025,3,31),DATE(2023,1,31),0.05,0.06,4)</t>
  </si>
  <si>
    <t xml:space="preserve">YIELDMAT(DATE(2024,2,28),DATE(2025,3,31),DATE(2023,1,31),0.05,98,4)</t>
  </si>
  <si>
    <t xml:space="preserve">ACCRINT(DATE(2024,2,28),DATE(2030,1,1),DATE(2025,3,31),0.05,1000,2,4)</t>
  </si>
  <si>
    <t xml:space="preserve">DURATION(DATE(2024,2,28),DATE(2025,3,31),0.05,0.08,2,4)</t>
  </si>
  <si>
    <t xml:space="preserve">PRICE(DATE(2024,2,28),DATE(2025,3,31),0.05,0.08,100,2,4)</t>
  </si>
  <si>
    <t xml:space="preserve">YIELD(DATE(2024,2,28),DATE(2025,3,31),0.05,95,100,2,4)</t>
  </si>
  <si>
    <t xml:space="preserve">TBILLPRICE(DATE(2024,2,28),DATE(2025,3,31),0.05)</t>
  </si>
  <si>
    <t xml:space="preserve">TBILLEQ(DATE(2024,2,28),DATE(2025,3,31),0.05)</t>
  </si>
  <si>
    <t xml:space="preserve">TBILLYIELD(DATE(2024,2,28),DATE(2025,3,31),98)</t>
  </si>
  <si>
    <t xml:space="preserve">PRICEDISC(DATE(2024,2,28),DATE(2024,8,31),0.05,100,0)</t>
  </si>
  <si>
    <t xml:space="preserve">RECEIVED(DATE(2024,2,28),DATE(2024,8,31),1000,0.05,0)</t>
  </si>
  <si>
    <t xml:space="preserve">INTRATE(DATE(2024,2,28),DATE(2024,8,31),1000,1050,0)</t>
  </si>
  <si>
    <t xml:space="preserve">DISC(DATE(2024,2,28),DATE(2024,8,31),95,100,0)</t>
  </si>
  <si>
    <t xml:space="preserve">YIELDDISC(DATE(2024,2,28),DATE(2024,8,31),95,100,0)</t>
  </si>
  <si>
    <t xml:space="preserve">ACCRINTM(DATE(2024,2,28),DATE(2024,8,31),0.05,1000,0)</t>
  </si>
  <si>
    <t xml:space="preserve">PRICEMAT(DATE(2024,2,28),DATE(2024,8,31),DATE(2023,1,31),0.05,0.06,0)</t>
  </si>
  <si>
    <t xml:space="preserve">YIELDMAT(DATE(2024,2,28),DATE(2024,8,31),DATE(2023,1,31),0.05,98,0)</t>
  </si>
  <si>
    <t xml:space="preserve">ACCRINT(DATE(2024,2,28),DATE(2030,1,1),DATE(2024,8,31),0.05,1000,2,0)</t>
  </si>
  <si>
    <t xml:space="preserve">DURATION(DATE(2024,2,28),DATE(2024,8,31),0.05,0.08,2,0)</t>
  </si>
  <si>
    <t xml:space="preserve">PRICE(DATE(2024,2,28),DATE(2024,8,31),0.05,0.08,100,2,0)</t>
  </si>
  <si>
    <t xml:space="preserve">YIELD(DATE(2024,2,28),DATE(2024,8,31),0.05,95,100,2,0)</t>
  </si>
  <si>
    <t xml:space="preserve">PRICEDISC(DATE(2024,2,28),DATE(2024,8,31),0.05,100,1)</t>
  </si>
  <si>
    <t xml:space="preserve">RECEIVED(DATE(2024,2,28),DATE(2024,8,31),1000,0.05,1)</t>
  </si>
  <si>
    <t xml:space="preserve">INTRATE(DATE(2024,2,28),DATE(2024,8,31),1000,1050,1)</t>
  </si>
  <si>
    <t xml:space="preserve">DISC(DATE(2024,2,28),DATE(2024,8,31),95,100,1)</t>
  </si>
  <si>
    <t xml:space="preserve">YIELDDISC(DATE(2024,2,28),DATE(2024,8,31),95,100,1)</t>
  </si>
  <si>
    <t xml:space="preserve">ACCRINTM(DATE(2024,2,28),DATE(2024,8,31),0.05,1000,1)</t>
  </si>
  <si>
    <t xml:space="preserve">PRICEMAT(DATE(2024,2,28),DATE(2024,8,31),DATE(2023,1,31),0.05,0.06,1)</t>
  </si>
  <si>
    <t xml:space="preserve">YIELDMAT(DATE(2024,2,28),DATE(2024,8,31),DATE(2023,1,31),0.05,98,1)</t>
  </si>
  <si>
    <t xml:space="preserve">ACCRINT(DATE(2024,2,28),DATE(2030,1,1),DATE(2024,8,31),0.05,1000,2,1)</t>
  </si>
  <si>
    <t xml:space="preserve">DURATION(DATE(2024,2,28),DATE(2024,8,31),0.05,0.08,2,1)</t>
  </si>
  <si>
    <t xml:space="preserve">PRICE(DATE(2024,2,28),DATE(2024,8,31),0.05,0.08,100,2,1)</t>
  </si>
  <si>
    <t xml:space="preserve">YIELD(DATE(2024,2,28),DATE(2024,8,31),0.05,95,100,2,1)</t>
  </si>
  <si>
    <t xml:space="preserve">PRICEDISC(DATE(2024,2,28),DATE(2024,8,31),0.05,100,4)</t>
  </si>
  <si>
    <t xml:space="preserve">RECEIVED(DATE(2024,2,28),DATE(2024,8,31),1000,0.05,4)</t>
  </si>
  <si>
    <t xml:space="preserve">INTRATE(DATE(2024,2,28),DATE(2024,8,31),1000,1050,4)</t>
  </si>
  <si>
    <t xml:space="preserve">DISC(DATE(2024,2,28),DATE(2024,8,31),95,100,4)</t>
  </si>
  <si>
    <t xml:space="preserve">YIELDDISC(DATE(2024,2,28),DATE(2024,8,31),95,100,4)</t>
  </si>
  <si>
    <t xml:space="preserve">ACCRINTM(DATE(2024,2,28),DATE(2024,8,31),0.05,1000,4)</t>
  </si>
  <si>
    <t xml:space="preserve">PRICEMAT(DATE(2024,2,28),DATE(2024,8,31),DATE(2023,1,31),0.05,0.06,4)</t>
  </si>
  <si>
    <t xml:space="preserve">YIELDMAT(DATE(2024,2,28),DATE(2024,8,31),DATE(2023,1,31),0.05,98,4)</t>
  </si>
  <si>
    <t xml:space="preserve">ACCRINT(DATE(2024,2,28),DATE(2030,1,1),DATE(2024,8,31),0.05,1000,2,4)</t>
  </si>
  <si>
    <t xml:space="preserve">DURATION(DATE(2024,2,28),DATE(2024,8,31),0.05,0.08,2,4)</t>
  </si>
  <si>
    <t xml:space="preserve">PRICE(DATE(2024,2,28),DATE(2024,8,31),0.05,0.08,100,2,4)</t>
  </si>
  <si>
    <t xml:space="preserve">YIELD(DATE(2024,2,28),DATE(2024,8,31),0.05,95,100,2,4)</t>
  </si>
  <si>
    <t xml:space="preserve">TBILLPRICE(DATE(2024,2,28),DATE(2024,8,31),0.05)</t>
  </si>
  <si>
    <t xml:space="preserve">TBILLEQ(DATE(2024,2,28),DATE(2024,8,31),0.05)</t>
  </si>
  <si>
    <t xml:space="preserve">TBILLYIELD(DATE(2024,2,28),DATE(2024,8,31),98)</t>
  </si>
  <si>
    <t xml:space="preserve">PRICEDISC(DATE(2024,2,28),DATE(2025,6,30),0.05,100,0)</t>
  </si>
  <si>
    <t xml:space="preserve">RECEIVED(DATE(2024,2,28),DATE(2025,6,30),1000,0.05,0)</t>
  </si>
  <si>
    <t xml:space="preserve">INTRATE(DATE(2024,2,28),DATE(2025,6,30),1000,1050,0)</t>
  </si>
  <si>
    <t xml:space="preserve">DISC(DATE(2024,2,28),DATE(2025,6,30),95,100,0)</t>
  </si>
  <si>
    <t xml:space="preserve">YIELDDISC(DATE(2024,2,28),DATE(2025,6,30),95,100,0)</t>
  </si>
  <si>
    <t xml:space="preserve">ACCRINTM(DATE(2024,2,28),DATE(2025,6,30),0.05,1000,0)</t>
  </si>
  <si>
    <t xml:space="preserve">PRICEMAT(DATE(2024,2,28),DATE(2025,6,30),DATE(2023,1,31),0.05,0.06,0)</t>
  </si>
  <si>
    <t xml:space="preserve">YIELDMAT(DATE(2024,2,28),DATE(2025,6,30),DATE(2023,1,31),0.05,98,0)</t>
  </si>
  <si>
    <t xml:space="preserve">ACCRINT(DATE(2024,2,28),DATE(2030,1,1),DATE(2025,6,30),0.05,1000,2,0)</t>
  </si>
  <si>
    <t xml:space="preserve">DURATION(DATE(2024,2,28),DATE(2025,6,30),0.05,0.08,2,0)</t>
  </si>
  <si>
    <t xml:space="preserve">PRICE(DATE(2024,2,28),DATE(2025,6,30),0.05,0.08,100,2,0)</t>
  </si>
  <si>
    <t xml:space="preserve">YIELD(DATE(2024,2,28),DATE(2025,6,30),0.05,95,100,2,0)</t>
  </si>
  <si>
    <t xml:space="preserve">PRICEDISC(DATE(2024,2,28),DATE(2025,6,30),0.05,100,1)</t>
  </si>
  <si>
    <t xml:space="preserve">RECEIVED(DATE(2024,2,28),DATE(2025,6,30),1000,0.05,1)</t>
  </si>
  <si>
    <t xml:space="preserve">INTRATE(DATE(2024,2,28),DATE(2025,6,30),1000,1050,1)</t>
  </si>
  <si>
    <t xml:space="preserve">DISC(DATE(2024,2,28),DATE(2025,6,30),95,100,1)</t>
  </si>
  <si>
    <t xml:space="preserve">YIELDDISC(DATE(2024,2,28),DATE(2025,6,30),95,100,1)</t>
  </si>
  <si>
    <t xml:space="preserve">ACCRINTM(DATE(2024,2,28),DATE(2025,6,30),0.05,1000,1)</t>
  </si>
  <si>
    <t xml:space="preserve">PRICEMAT(DATE(2024,2,28),DATE(2025,6,30),DATE(2023,1,31),0.05,0.06,1)</t>
  </si>
  <si>
    <t xml:space="preserve">YIELDMAT(DATE(2024,2,28),DATE(2025,6,30),DATE(2023,1,31),0.05,98,1)</t>
  </si>
  <si>
    <t xml:space="preserve">ACCRINT(DATE(2024,2,28),DATE(2030,1,1),DATE(2025,6,30),0.05,1000,2,1)</t>
  </si>
  <si>
    <t xml:space="preserve">DURATION(DATE(2024,2,28),DATE(2025,6,30),0.05,0.08,2,1)</t>
  </si>
  <si>
    <t xml:space="preserve">PRICE(DATE(2024,2,28),DATE(2025,6,30),0.05,0.08,100,2,1)</t>
  </si>
  <si>
    <t xml:space="preserve">YIELD(DATE(2024,2,28),DATE(2025,6,30),0.05,95,100,2,1)</t>
  </si>
  <si>
    <t xml:space="preserve">PRICEDISC(DATE(2024,2,28),DATE(2025,6,30),0.05,100,4)</t>
  </si>
  <si>
    <t xml:space="preserve">RECEIVED(DATE(2024,2,28),DATE(2025,6,30),1000,0.05,4)</t>
  </si>
  <si>
    <t xml:space="preserve">INTRATE(DATE(2024,2,28),DATE(2025,6,30),1000,1050,4)</t>
  </si>
  <si>
    <t xml:space="preserve">DISC(DATE(2024,2,28),DATE(2025,6,30),95,100,4)</t>
  </si>
  <si>
    <t xml:space="preserve">YIELDDISC(DATE(2024,2,28),DATE(2025,6,30),95,100,4)</t>
  </si>
  <si>
    <t xml:space="preserve">ACCRINTM(DATE(2024,2,28),DATE(2025,6,30),0.05,1000,4)</t>
  </si>
  <si>
    <t xml:space="preserve">PRICEMAT(DATE(2024,2,28),DATE(2025,6,30),DATE(2023,1,31),0.05,0.06,4)</t>
  </si>
  <si>
    <t xml:space="preserve">YIELDMAT(DATE(2024,2,28),DATE(2025,6,30),DATE(2023,1,31),0.05,98,4)</t>
  </si>
  <si>
    <t xml:space="preserve">ACCRINT(DATE(2024,2,28),DATE(2030,1,1),DATE(2025,6,30),0.05,1000,2,4)</t>
  </si>
  <si>
    <t xml:space="preserve">DURATION(DATE(2024,2,28),DATE(2025,6,30),0.05,0.08,2,4)</t>
  </si>
  <si>
    <t xml:space="preserve">PRICE(DATE(2024,2,28),DATE(2025,6,30),0.05,0.08,100,2,4)</t>
  </si>
  <si>
    <t xml:space="preserve">YIELD(DATE(2024,2,28),DATE(2025,6,30),0.05,95,100,2,4)</t>
  </si>
  <si>
    <t xml:space="preserve">TBILLPRICE(DATE(2024,2,28),DATE(2025,6,30),0.05)</t>
  </si>
  <si>
    <t xml:space="preserve">TBILLEQ(DATE(2024,2,28),DATE(2025,6,30),0.05)</t>
  </si>
  <si>
    <t xml:space="preserve">TBILLYIELD(DATE(2024,2,28),DATE(2025,6,30),98)</t>
  </si>
  <si>
    <t xml:space="preserve">PRICEDISC(DATE(2024,2,28),DATE(2026,12,31),0.05,100,0)</t>
  </si>
  <si>
    <t xml:space="preserve">RECEIVED(DATE(2024,2,28),DATE(2026,12,31),1000,0.05,0)</t>
  </si>
  <si>
    <t xml:space="preserve">INTRATE(DATE(2024,2,28),DATE(2026,12,31),1000,1050,0)</t>
  </si>
  <si>
    <t xml:space="preserve">DISC(DATE(2024,2,28),DATE(2026,12,31),95,100,0)</t>
  </si>
  <si>
    <t xml:space="preserve">YIELDDISC(DATE(2024,2,28),DATE(2026,12,31),95,100,0)</t>
  </si>
  <si>
    <t xml:space="preserve">ACCRINTM(DATE(2024,2,28),DATE(2026,12,31),0.05,1000,0)</t>
  </si>
  <si>
    <t xml:space="preserve">PRICEMAT(DATE(2024,2,28),DATE(2026,12,31),DATE(2023,1,31),0.05,0.06,0)</t>
  </si>
  <si>
    <t xml:space="preserve">YIELDMAT(DATE(2024,2,28),DATE(2026,12,31),DATE(2023,1,31),0.05,98,0)</t>
  </si>
  <si>
    <t xml:space="preserve">ACCRINT(DATE(2024,2,28),DATE(2030,1,1),DATE(2026,12,31),0.05,1000,2,0)</t>
  </si>
  <si>
    <t xml:space="preserve">DURATION(DATE(2024,2,28),DATE(2026,12,31),0.05,0.08,2,0)</t>
  </si>
  <si>
    <t xml:space="preserve">PRICE(DATE(2024,2,28),DATE(2026,12,31),0.05,0.08,100,2,0)</t>
  </si>
  <si>
    <t xml:space="preserve">YIELD(DATE(2024,2,28),DATE(2026,12,31),0.05,95,100,2,0)</t>
  </si>
  <si>
    <t xml:space="preserve">PRICEDISC(DATE(2024,2,28),DATE(2026,12,31),0.05,100,1)</t>
  </si>
  <si>
    <t xml:space="preserve">RECEIVED(DATE(2024,2,28),DATE(2026,12,31),1000,0.05,1)</t>
  </si>
  <si>
    <t xml:space="preserve">INTRATE(DATE(2024,2,28),DATE(2026,12,31),1000,1050,1)</t>
  </si>
  <si>
    <t xml:space="preserve">DISC(DATE(2024,2,28),DATE(2026,12,31),95,100,1)</t>
  </si>
  <si>
    <t xml:space="preserve">YIELDDISC(DATE(2024,2,28),DATE(2026,12,31),95,100,1)</t>
  </si>
  <si>
    <t xml:space="preserve">ACCRINTM(DATE(2024,2,28),DATE(2026,12,31),0.05,1000,1)</t>
  </si>
  <si>
    <t xml:space="preserve">PRICEMAT(DATE(2024,2,28),DATE(2026,12,31),DATE(2023,1,31),0.05,0.06,1)</t>
  </si>
  <si>
    <t xml:space="preserve">YIELDMAT(DATE(2024,2,28),DATE(2026,12,31),DATE(2023,1,31),0.05,98,1)</t>
  </si>
  <si>
    <t xml:space="preserve">ACCRINT(DATE(2024,2,28),DATE(2030,1,1),DATE(2026,12,31),0.05,1000,2,1)</t>
  </si>
  <si>
    <t xml:space="preserve">DURATION(DATE(2024,2,28),DATE(2026,12,31),0.05,0.08,2,1)</t>
  </si>
  <si>
    <t xml:space="preserve">PRICE(DATE(2024,2,28),DATE(2026,12,31),0.05,0.08,100,2,1)</t>
  </si>
  <si>
    <t xml:space="preserve">YIELD(DATE(2024,2,28),DATE(2026,12,31),0.05,95,100,2,1)</t>
  </si>
  <si>
    <t xml:space="preserve">PRICEDISC(DATE(2024,2,28),DATE(2026,12,31),0.05,100,4)</t>
  </si>
  <si>
    <t xml:space="preserve">RECEIVED(DATE(2024,2,28),DATE(2026,12,31),1000,0.05,4)</t>
  </si>
  <si>
    <t xml:space="preserve">INTRATE(DATE(2024,2,28),DATE(2026,12,31),1000,1050,4)</t>
  </si>
  <si>
    <t xml:space="preserve">DISC(DATE(2024,2,28),DATE(2026,12,31),95,100,4)</t>
  </si>
  <si>
    <t xml:space="preserve">YIELDDISC(DATE(2024,2,28),DATE(2026,12,31),95,100,4)</t>
  </si>
  <si>
    <t xml:space="preserve">ACCRINTM(DATE(2024,2,28),DATE(2026,12,31),0.05,1000,4)</t>
  </si>
  <si>
    <t xml:space="preserve">PRICEMAT(DATE(2024,2,28),DATE(2026,12,31),DATE(2023,1,31),0.05,0.06,4)</t>
  </si>
  <si>
    <t xml:space="preserve">YIELDMAT(DATE(2024,2,28),DATE(2026,12,31),DATE(2023,1,31),0.05,98,4)</t>
  </si>
  <si>
    <t xml:space="preserve">ACCRINT(DATE(2024,2,28),DATE(2030,1,1),DATE(2026,12,31),0.05,1000,2,4)</t>
  </si>
  <si>
    <t xml:space="preserve">DURATION(DATE(2024,2,28),DATE(2026,12,31),0.05,0.08,2,4)</t>
  </si>
  <si>
    <t xml:space="preserve">PRICE(DATE(2024,2,28),DATE(2026,12,31),0.05,0.08,100,2,4)</t>
  </si>
  <si>
    <t xml:space="preserve">YIELD(DATE(2024,2,28),DATE(2026,12,31),0.05,95,100,2,4)</t>
  </si>
  <si>
    <t xml:space="preserve">TBILLPRICE(DATE(2024,2,28),DATE(2026,12,31),0.05)</t>
  </si>
  <si>
    <t xml:space="preserve">TBILLEQ(DATE(2024,2,28),DATE(2026,12,31),0.05)</t>
  </si>
  <si>
    <t xml:space="preserve">TBILLYIELD(DATE(2024,2,28),DATE(2026,12,31),98)</t>
  </si>
  <si>
    <t xml:space="preserve">PRICEDISC(DATE(2024,2,28),DATE(2027,2,28),0.05,100,0)</t>
  </si>
  <si>
    <t xml:space="preserve">RECEIVED(DATE(2024,2,28),DATE(2027,2,28),1000,0.05,0)</t>
  </si>
  <si>
    <t xml:space="preserve">INTRATE(DATE(2024,2,28),DATE(2027,2,28),1000,1050,0)</t>
  </si>
  <si>
    <t xml:space="preserve">DISC(DATE(2024,2,28),DATE(2027,2,28),95,100,0)</t>
  </si>
  <si>
    <t xml:space="preserve">YIELDDISC(DATE(2024,2,28),DATE(2027,2,28),95,100,0)</t>
  </si>
  <si>
    <t xml:space="preserve">ACCRINTM(DATE(2024,2,28),DATE(2027,2,28),0.05,1000,0)</t>
  </si>
  <si>
    <t xml:space="preserve">PRICEMAT(DATE(2024,2,28),DATE(2027,2,28),DATE(2023,1,31),0.05,0.06,0)</t>
  </si>
  <si>
    <t xml:space="preserve">YIELDMAT(DATE(2024,2,28),DATE(2027,2,28),DATE(2023,1,31),0.05,98,0)</t>
  </si>
  <si>
    <t xml:space="preserve">ACCRINT(DATE(2024,2,28),DATE(2030,1,1),DATE(2027,2,28),0.05,1000,2,0)</t>
  </si>
  <si>
    <t xml:space="preserve">DURATION(DATE(2024,2,28),DATE(2027,2,28),0.05,0.08,2,0)</t>
  </si>
  <si>
    <t xml:space="preserve">PRICE(DATE(2024,2,28),DATE(2027,2,28),0.05,0.08,100,2,0)</t>
  </si>
  <si>
    <t xml:space="preserve">YIELD(DATE(2024,2,28),DATE(2027,2,28),0.05,95,100,2,0)</t>
  </si>
  <si>
    <t xml:space="preserve">PRICEDISC(DATE(2024,2,28),DATE(2027,2,28),0.05,100,1)</t>
  </si>
  <si>
    <t xml:space="preserve">RECEIVED(DATE(2024,2,28),DATE(2027,2,28),1000,0.05,1)</t>
  </si>
  <si>
    <t xml:space="preserve">INTRATE(DATE(2024,2,28),DATE(2027,2,28),1000,1050,1)</t>
  </si>
  <si>
    <t xml:space="preserve">DISC(DATE(2024,2,28),DATE(2027,2,28),95,100,1)</t>
  </si>
  <si>
    <t xml:space="preserve">YIELDDISC(DATE(2024,2,28),DATE(2027,2,28),95,100,1)</t>
  </si>
  <si>
    <t xml:space="preserve">ACCRINTM(DATE(2024,2,28),DATE(2027,2,28),0.05,1000,1)</t>
  </si>
  <si>
    <t xml:space="preserve">PRICEMAT(DATE(2024,2,28),DATE(2027,2,28),DATE(2023,1,31),0.05,0.06,1)</t>
  </si>
  <si>
    <t xml:space="preserve">YIELDMAT(DATE(2024,2,28),DATE(2027,2,28),DATE(2023,1,31),0.05,98,1)</t>
  </si>
  <si>
    <t xml:space="preserve">ACCRINT(DATE(2024,2,28),DATE(2030,1,1),DATE(2027,2,28),0.05,1000,2,1)</t>
  </si>
  <si>
    <t xml:space="preserve">DURATION(DATE(2024,2,28),DATE(2027,2,28),0.05,0.08,2,1)</t>
  </si>
  <si>
    <t xml:space="preserve">PRICE(DATE(2024,2,28),DATE(2027,2,28),0.05,0.08,100,2,1)</t>
  </si>
  <si>
    <t xml:space="preserve">YIELD(DATE(2024,2,28),DATE(2027,2,28),0.05,95,100,2,1)</t>
  </si>
  <si>
    <t xml:space="preserve">PRICEDISC(DATE(2024,2,28),DATE(2027,2,28),0.05,100,4)</t>
  </si>
  <si>
    <t xml:space="preserve">RECEIVED(DATE(2024,2,28),DATE(2027,2,28),1000,0.05,4)</t>
  </si>
  <si>
    <t xml:space="preserve">INTRATE(DATE(2024,2,28),DATE(2027,2,28),1000,1050,4)</t>
  </si>
  <si>
    <t xml:space="preserve">DISC(DATE(2024,2,28),DATE(2027,2,28),95,100,4)</t>
  </si>
  <si>
    <t xml:space="preserve">YIELDDISC(DATE(2024,2,28),DATE(2027,2,28),95,100,4)</t>
  </si>
  <si>
    <t xml:space="preserve">ACCRINTM(DATE(2024,2,28),DATE(2027,2,28),0.05,1000,4)</t>
  </si>
  <si>
    <t xml:space="preserve">PRICEMAT(DATE(2024,2,28),DATE(2027,2,28),DATE(2023,1,31),0.05,0.06,4)</t>
  </si>
  <si>
    <t xml:space="preserve">YIELDMAT(DATE(2024,2,28),DATE(2027,2,28),DATE(2023,1,31),0.05,98,4)</t>
  </si>
  <si>
    <t xml:space="preserve">ACCRINT(DATE(2024,2,28),DATE(2030,1,1),DATE(2027,2,28),0.05,1000,2,4)</t>
  </si>
  <si>
    <t xml:space="preserve">DURATION(DATE(2024,2,28),DATE(2027,2,28),0.05,0.08,2,4)</t>
  </si>
  <si>
    <t xml:space="preserve">PRICE(DATE(2024,2,28),DATE(2027,2,28),0.05,0.08,100,2,4)</t>
  </si>
  <si>
    <t xml:space="preserve">YIELD(DATE(2024,2,28),DATE(2027,2,28),0.05,95,100,2,4)</t>
  </si>
  <si>
    <t xml:space="preserve">TBILLPRICE(DATE(2024,2,28),DATE(2027,2,28),0.05)</t>
  </si>
  <si>
    <t xml:space="preserve">TBILLEQ(DATE(2024,2,28),DATE(2027,2,28),0.05)</t>
  </si>
  <si>
    <t xml:space="preserve">PRICEDISC(DATE(2024,2,28),DATE(2025,1,30),0.05,100,0)</t>
  </si>
  <si>
    <t xml:space="preserve">RECEIVED(DATE(2024,2,28),DATE(2025,1,30),1000,0.05,0)</t>
  </si>
  <si>
    <t xml:space="preserve">INTRATE(DATE(2024,2,28),DATE(2025,1,30),1000,1050,0)</t>
  </si>
  <si>
    <t xml:space="preserve">DISC(DATE(2024,2,28),DATE(2025,1,30),95,100,0)</t>
  </si>
  <si>
    <t xml:space="preserve">YIELDDISC(DATE(2024,2,28),DATE(2025,1,30),95,100,0)</t>
  </si>
  <si>
    <t xml:space="preserve">ACCRINTM(DATE(2024,2,28),DATE(2025,1,30),0.05,1000,0)</t>
  </si>
  <si>
    <t xml:space="preserve">PRICEMAT(DATE(2024,2,28),DATE(2025,1,30),DATE(2023,1,31),0.05,0.06,0)</t>
  </si>
  <si>
    <t xml:space="preserve">YIELDMAT(DATE(2024,2,28),DATE(2025,1,30),DATE(2023,1,31),0.05,98,0)</t>
  </si>
  <si>
    <t xml:space="preserve">ACCRINT(DATE(2024,2,28),DATE(2030,1,1),DATE(2025,1,30),0.05,1000,2,0)</t>
  </si>
  <si>
    <t xml:space="preserve">DURATION(DATE(2024,2,28),DATE(2025,1,30),0.05,0.08,2,0)</t>
  </si>
  <si>
    <t xml:space="preserve">PRICE(DATE(2024,2,28),DATE(2025,1,30),0.05,0.08,100,2,0)</t>
  </si>
  <si>
    <t xml:space="preserve">YIELD(DATE(2024,2,28),DATE(2025,1,30),0.05,95,100,2,0)</t>
  </si>
  <si>
    <t xml:space="preserve">PRICEDISC(DATE(2024,2,28),DATE(2025,1,30),0.05,100,1)</t>
  </si>
  <si>
    <t xml:space="preserve">RECEIVED(DATE(2024,2,28),DATE(2025,1,30),1000,0.05,1)</t>
  </si>
  <si>
    <t xml:space="preserve">INTRATE(DATE(2024,2,28),DATE(2025,1,30),1000,1050,1)</t>
  </si>
  <si>
    <t xml:space="preserve">DISC(DATE(2024,2,28),DATE(2025,1,30),95,100,1)</t>
  </si>
  <si>
    <t xml:space="preserve">YIELDDISC(DATE(2024,2,28),DATE(2025,1,30),95,100,1)</t>
  </si>
  <si>
    <t xml:space="preserve">ACCRINTM(DATE(2024,2,28),DATE(2025,1,30),0.05,1000,1)</t>
  </si>
  <si>
    <t xml:space="preserve">PRICEMAT(DATE(2024,2,28),DATE(2025,1,30),DATE(2023,1,31),0.05,0.06,1)</t>
  </si>
  <si>
    <t xml:space="preserve">YIELDMAT(DATE(2024,2,28),DATE(2025,1,30),DATE(2023,1,31),0.05,98,1)</t>
  </si>
  <si>
    <t xml:space="preserve">ACCRINT(DATE(2024,2,28),DATE(2030,1,1),DATE(2025,1,30),0.05,1000,2,1)</t>
  </si>
  <si>
    <t xml:space="preserve">DURATION(DATE(2024,2,28),DATE(2025,1,30),0.05,0.08,2,1)</t>
  </si>
  <si>
    <t xml:space="preserve">PRICE(DATE(2024,2,28),DATE(2025,1,30),0.05,0.08,100,2,1)</t>
  </si>
  <si>
    <t xml:space="preserve">YIELD(DATE(2024,2,28),DATE(2025,1,30),0.05,95,100,2,1)</t>
  </si>
  <si>
    <t xml:space="preserve">PRICEDISC(DATE(2024,2,28),DATE(2025,1,30),0.05,100,4)</t>
  </si>
  <si>
    <t xml:space="preserve">RECEIVED(DATE(2024,2,28),DATE(2025,1,30),1000,0.05,4)</t>
  </si>
  <si>
    <t xml:space="preserve">INTRATE(DATE(2024,2,28),DATE(2025,1,30),1000,1050,4)</t>
  </si>
  <si>
    <t xml:space="preserve">DISC(DATE(2024,2,28),DATE(2025,1,30),95,100,4)</t>
  </si>
  <si>
    <t xml:space="preserve">YIELDDISC(DATE(2024,2,28),DATE(2025,1,30),95,100,4)</t>
  </si>
  <si>
    <t xml:space="preserve">ACCRINTM(DATE(2024,2,28),DATE(2025,1,30),0.05,1000,4)</t>
  </si>
  <si>
    <t xml:space="preserve">PRICEMAT(DATE(2024,2,28),DATE(2025,1,30),DATE(2023,1,31),0.05,0.06,4)</t>
  </si>
  <si>
    <t xml:space="preserve">YIELDMAT(DATE(2024,2,28),DATE(2025,1,30),DATE(2023,1,31),0.05,98,4)</t>
  </si>
  <si>
    <t xml:space="preserve">ACCRINT(DATE(2024,2,28),DATE(2030,1,1),DATE(2025,1,30),0.05,1000,2,4)</t>
  </si>
  <si>
    <t xml:space="preserve">DURATION(DATE(2024,2,28),DATE(2025,1,30),0.05,0.08,2,4)</t>
  </si>
  <si>
    <t xml:space="preserve">PRICE(DATE(2024,2,28),DATE(2025,1,30),0.05,0.08,100,2,4)</t>
  </si>
  <si>
    <t xml:space="preserve">YIELD(DATE(2024,2,28),DATE(2025,1,30),0.05,95,100,2,4)</t>
  </si>
  <si>
    <t xml:space="preserve">TBILLPRICE(DATE(2024,2,28),DATE(2025,1,30),0.05)</t>
  </si>
  <si>
    <t xml:space="preserve">TBILLEQ(DATE(2024,2,28),DATE(2025,1,30),0.05)</t>
  </si>
  <si>
    <t xml:space="preserve">TBILLYIELD(DATE(2024,2,28),DATE(2025,1,30),98)</t>
  </si>
  <si>
    <t xml:space="preserve">PRICEDISC(DATE(2024,2,28),DATE(2024,12,31),0.05,100,0)</t>
  </si>
  <si>
    <t xml:space="preserve">RECEIVED(DATE(2024,2,28),DATE(2024,12,31),1000,0.05,0)</t>
  </si>
  <si>
    <t xml:space="preserve">INTRATE(DATE(2024,2,28),DATE(2024,12,31),1000,1050,0)</t>
  </si>
  <si>
    <t xml:space="preserve">DISC(DATE(2024,2,28),DATE(2024,12,31),95,100,0)</t>
  </si>
  <si>
    <t xml:space="preserve">YIELDDISC(DATE(2024,2,28),DATE(2024,12,31),95,100,0)</t>
  </si>
  <si>
    <t xml:space="preserve">ACCRINTM(DATE(2024,2,28),DATE(2024,12,31),0.05,1000,0)</t>
  </si>
  <si>
    <t xml:space="preserve">PRICEMAT(DATE(2024,2,28),DATE(2024,12,31),DATE(2023,1,31),0.05,0.06,0)</t>
  </si>
  <si>
    <t xml:space="preserve">YIELDMAT(DATE(2024,2,28),DATE(2024,12,31),DATE(2023,1,31),0.05,98,0)</t>
  </si>
  <si>
    <t xml:space="preserve">ACCRINT(DATE(2024,2,28),DATE(2030,1,1),DATE(2024,12,31),0.05,1000,2,0)</t>
  </si>
  <si>
    <t xml:space="preserve">DURATION(DATE(2024,2,28),DATE(2024,12,31),0.05,0.08,2,0)</t>
  </si>
  <si>
    <t xml:space="preserve">PRICE(DATE(2024,2,28),DATE(2024,12,31),0.05,0.08,100,2,0)</t>
  </si>
  <si>
    <t xml:space="preserve">YIELD(DATE(2024,2,28),DATE(2024,12,31),0.05,95,100,2,0)</t>
  </si>
  <si>
    <t xml:space="preserve">PRICEDISC(DATE(2024,2,28),DATE(2024,12,31),0.05,100,1)</t>
  </si>
  <si>
    <t xml:space="preserve">RECEIVED(DATE(2024,2,28),DATE(2024,12,31),1000,0.05,1)</t>
  </si>
  <si>
    <t xml:space="preserve">INTRATE(DATE(2024,2,28),DATE(2024,12,31),1000,1050,1)</t>
  </si>
  <si>
    <t xml:space="preserve">DISC(DATE(2024,2,28),DATE(2024,12,31),95,100,1)</t>
  </si>
  <si>
    <t xml:space="preserve">YIELDDISC(DATE(2024,2,28),DATE(2024,12,31),95,100,1)</t>
  </si>
  <si>
    <t xml:space="preserve">ACCRINTM(DATE(2024,2,28),DATE(2024,12,31),0.05,1000,1)</t>
  </si>
  <si>
    <t xml:space="preserve">PRICEMAT(DATE(2024,2,28),DATE(2024,12,31),DATE(2023,1,31),0.05,0.06,1)</t>
  </si>
  <si>
    <t xml:space="preserve">YIELDMAT(DATE(2024,2,28),DATE(2024,12,31),DATE(2023,1,31),0.05,98,1)</t>
  </si>
  <si>
    <t xml:space="preserve">ACCRINT(DATE(2024,2,28),DATE(2030,1,1),DATE(2024,12,31),0.05,1000,2,1)</t>
  </si>
  <si>
    <t xml:space="preserve">DURATION(DATE(2024,2,28),DATE(2024,12,31),0.05,0.08,2,1)</t>
  </si>
  <si>
    <t xml:space="preserve">PRICE(DATE(2024,2,28),DATE(2024,12,31),0.05,0.08,100,2,1)</t>
  </si>
  <si>
    <t xml:space="preserve">YIELD(DATE(2024,2,28),DATE(2024,12,31),0.05,95,100,2,1)</t>
  </si>
  <si>
    <t xml:space="preserve">PRICEDISC(DATE(2024,2,28),DATE(2024,12,31),0.05,100,4)</t>
  </si>
  <si>
    <t xml:space="preserve">RECEIVED(DATE(2024,2,28),DATE(2024,12,31),1000,0.05,4)</t>
  </si>
  <si>
    <t xml:space="preserve">INTRATE(DATE(2024,2,28),DATE(2024,12,31),1000,1050,4)</t>
  </si>
  <si>
    <t xml:space="preserve">DISC(DATE(2024,2,28),DATE(2024,12,31),95,100,4)</t>
  </si>
  <si>
    <t xml:space="preserve">YIELDDISC(DATE(2024,2,28),DATE(2024,12,31),95,100,4)</t>
  </si>
  <si>
    <t xml:space="preserve">ACCRINTM(DATE(2024,2,28),DATE(2024,12,31),0.05,1000,4)</t>
  </si>
  <si>
    <t xml:space="preserve">PRICEMAT(DATE(2024,2,28),DATE(2024,12,31),DATE(2023,1,31),0.05,0.06,4)</t>
  </si>
  <si>
    <t xml:space="preserve">YIELDMAT(DATE(2024,2,28),DATE(2024,12,31),DATE(2023,1,31),0.05,98,4)</t>
  </si>
  <si>
    <t xml:space="preserve">ACCRINT(DATE(2024,2,28),DATE(2030,1,1),DATE(2024,12,31),0.05,1000,2,4)</t>
  </si>
  <si>
    <t xml:space="preserve">DURATION(DATE(2024,2,28),DATE(2024,12,31),0.05,0.08,2,4)</t>
  </si>
  <si>
    <t xml:space="preserve">PRICE(DATE(2024,2,28),DATE(2024,12,31),0.05,0.08,100,2,4)</t>
  </si>
  <si>
    <t xml:space="preserve">YIELD(DATE(2024,2,28),DATE(2024,12,31),0.05,95,100,2,4)</t>
  </si>
  <si>
    <t xml:space="preserve">TBILLPRICE(DATE(2024,2,28),DATE(2024,12,31),0.05)</t>
  </si>
  <si>
    <t xml:space="preserve">TBILLEQ(DATE(2024,2,28),DATE(2024,12,31),0.05)</t>
  </si>
  <si>
    <t xml:space="preserve">TBILLYIELD(DATE(2024,2,28),DATE(2024,12,31),98)</t>
  </si>
  <si>
    <t xml:space="preserve">PRICEDISC(DATE(2024,2,29),DATE(2025,2,28),0.05,100,0)</t>
  </si>
  <si>
    <t xml:space="preserve">RECEIVED(DATE(2024,2,29),DATE(2025,2,28),1000,0.05,0)</t>
  </si>
  <si>
    <t xml:space="preserve">INTRATE(DATE(2024,2,29),DATE(2025,2,28),1000,1050,0)</t>
  </si>
  <si>
    <t xml:space="preserve">DISC(DATE(2024,2,29),DATE(2025,2,28),95,100,0)</t>
  </si>
  <si>
    <t xml:space="preserve">YIELDDISC(DATE(2024,2,29),DATE(2025,2,28),95,100,0)</t>
  </si>
  <si>
    <t xml:space="preserve">ACCRINTM(DATE(2024,2,29),DATE(2025,2,28),0.05,1000,0)</t>
  </si>
  <si>
    <t xml:space="preserve">PRICEMAT(DATE(2024,2,29),DATE(2025,2,28),DATE(2023,1,31),0.05,0.06,0)</t>
  </si>
  <si>
    <t xml:space="preserve">YIELDMAT(DATE(2024,2,29),DATE(2025,2,28),DATE(2023,1,31),0.05,98,0)</t>
  </si>
  <si>
    <t xml:space="preserve">ACCRINT(DATE(2024,2,29),DATE(2030,1,1),DATE(2025,2,28),0.05,1000,2,0)</t>
  </si>
  <si>
    <t xml:space="preserve">DURATION(DATE(2024,2,29),DATE(2025,2,28),0.05,0.08,2,0)</t>
  </si>
  <si>
    <t xml:space="preserve">PRICE(DATE(2024,2,29),DATE(2025,2,28),0.05,0.08,100,2,0)</t>
  </si>
  <si>
    <t xml:space="preserve">YIELD(DATE(2024,2,29),DATE(2025,2,28),0.05,95,100,2,0)</t>
  </si>
  <si>
    <t xml:space="preserve">PRICEDISC(DATE(2024,2,29),DATE(2025,2,28),0.05,100,1)</t>
  </si>
  <si>
    <t xml:space="preserve">RECEIVED(DATE(2024,2,29),DATE(2025,2,28),1000,0.05,1)</t>
  </si>
  <si>
    <t xml:space="preserve">INTRATE(DATE(2024,2,29),DATE(2025,2,28),1000,1050,1)</t>
  </si>
  <si>
    <t xml:space="preserve">DISC(DATE(2024,2,29),DATE(2025,2,28),95,100,1)</t>
  </si>
  <si>
    <t xml:space="preserve">YIELDDISC(DATE(2024,2,29),DATE(2025,2,28),95,100,1)</t>
  </si>
  <si>
    <t xml:space="preserve">ACCRINTM(DATE(2024,2,29),DATE(2025,2,28),0.05,1000,1)</t>
  </si>
  <si>
    <t xml:space="preserve">PRICEMAT(DATE(2024,2,29),DATE(2025,2,28),DATE(2023,1,31),0.05,0.06,1)</t>
  </si>
  <si>
    <t xml:space="preserve">YIELDMAT(DATE(2024,2,29),DATE(2025,2,28),DATE(2023,1,31),0.05,98,1)</t>
  </si>
  <si>
    <t xml:space="preserve">ACCRINT(DATE(2024,2,29),DATE(2030,1,1),DATE(2025,2,28),0.05,1000,2,1)</t>
  </si>
  <si>
    <t xml:space="preserve">DURATION(DATE(2024,2,29),DATE(2025,2,28),0.05,0.08,2,1)</t>
  </si>
  <si>
    <t xml:space="preserve">PRICE(DATE(2024,2,29),DATE(2025,2,28),0.05,0.08,100,2,1)</t>
  </si>
  <si>
    <t xml:space="preserve">YIELD(DATE(2024,2,29),DATE(2025,2,28),0.05,95,100,2,1)</t>
  </si>
  <si>
    <t xml:space="preserve">PRICEDISC(DATE(2024,2,29),DATE(2025,2,28),0.05,100,4)</t>
  </si>
  <si>
    <t xml:space="preserve">RECEIVED(DATE(2024,2,29),DATE(2025,2,28),1000,0.05,4)</t>
  </si>
  <si>
    <t xml:space="preserve">INTRATE(DATE(2024,2,29),DATE(2025,2,28),1000,1050,4)</t>
  </si>
  <si>
    <t xml:space="preserve">DISC(DATE(2024,2,29),DATE(2025,2,28),95,100,4)</t>
  </si>
  <si>
    <t xml:space="preserve">YIELDDISC(DATE(2024,2,29),DATE(2025,2,28),95,100,4)</t>
  </si>
  <si>
    <t xml:space="preserve">ACCRINTM(DATE(2024,2,29),DATE(2025,2,28),0.05,1000,4)</t>
  </si>
  <si>
    <t xml:space="preserve">PRICEMAT(DATE(2024,2,29),DATE(2025,2,28),DATE(2023,1,31),0.05,0.06,4)</t>
  </si>
  <si>
    <t xml:space="preserve">YIELDMAT(DATE(2024,2,29),DATE(2025,2,28),DATE(2023,1,31),0.05,98,4)</t>
  </si>
  <si>
    <t xml:space="preserve">ACCRINT(DATE(2024,2,29),DATE(2030,1,1),DATE(2025,2,28),0.05,1000,2,4)</t>
  </si>
  <si>
    <t xml:space="preserve">DURATION(DATE(2024,2,29),DATE(2025,2,28),0.05,0.08,2,4)</t>
  </si>
  <si>
    <t xml:space="preserve">PRICE(DATE(2024,2,29),DATE(2025,2,28),0.05,0.08,100,2,4)</t>
  </si>
  <si>
    <t xml:space="preserve">YIELD(DATE(2024,2,29),DATE(2025,2,28),0.05,95,100,2,4)</t>
  </si>
  <si>
    <t xml:space="preserve">TBILLPRICE(DATE(2024,2,29),DATE(2025,2,28),0.05)</t>
  </si>
  <si>
    <t xml:space="preserve">TBILLEQ(DATE(2024,2,29),DATE(2025,2,28),0.05)</t>
  </si>
  <si>
    <t xml:space="preserve">PRICEDISC(DATE(2024,2,29),DATE(2025,3,31),0.05,100,0)</t>
  </si>
  <si>
    <t xml:space="preserve">RECEIVED(DATE(2024,2,29),DATE(2025,3,31),1000,0.05,0)</t>
  </si>
  <si>
    <t xml:space="preserve">INTRATE(DATE(2024,2,29),DATE(2025,3,31),1000,1050,0)</t>
  </si>
  <si>
    <t xml:space="preserve">DISC(DATE(2024,2,29),DATE(2025,3,31),95,100,0)</t>
  </si>
  <si>
    <t xml:space="preserve">YIELDDISC(DATE(2024,2,29),DATE(2025,3,31),95,100,0)</t>
  </si>
  <si>
    <t xml:space="preserve">ACCRINTM(DATE(2024,2,29),DATE(2025,3,31),0.05,1000,0)</t>
  </si>
  <si>
    <t xml:space="preserve">PRICEMAT(DATE(2024,2,29),DATE(2025,3,31),DATE(2023,1,31),0.05,0.06,0)</t>
  </si>
  <si>
    <t xml:space="preserve">YIELDMAT(DATE(2024,2,29),DATE(2025,3,31),DATE(2023,1,31),0.05,98,0)</t>
  </si>
  <si>
    <t xml:space="preserve">ACCRINT(DATE(2024,2,29),DATE(2030,1,1),DATE(2025,3,31),0.05,1000,2,0)</t>
  </si>
  <si>
    <t xml:space="preserve">DURATION(DATE(2024,2,29),DATE(2025,3,31),0.05,0.08,2,0)</t>
  </si>
  <si>
    <t xml:space="preserve">PRICE(DATE(2024,2,29),DATE(2025,3,31),0.05,0.08,100,2,0)</t>
  </si>
  <si>
    <t xml:space="preserve">YIELD(DATE(2024,2,29),DATE(2025,3,31),0.05,95,100,2,0)</t>
  </si>
  <si>
    <t xml:space="preserve">PRICEDISC(DATE(2024,2,29),DATE(2025,3,31),0.05,100,1)</t>
  </si>
  <si>
    <t xml:space="preserve">RECEIVED(DATE(2024,2,29),DATE(2025,3,31),1000,0.05,1)</t>
  </si>
  <si>
    <t xml:space="preserve">INTRATE(DATE(2024,2,29),DATE(2025,3,31),1000,1050,1)</t>
  </si>
  <si>
    <t xml:space="preserve">DISC(DATE(2024,2,29),DATE(2025,3,31),95,100,1)</t>
  </si>
  <si>
    <t xml:space="preserve">YIELDDISC(DATE(2024,2,29),DATE(2025,3,31),95,100,1)</t>
  </si>
  <si>
    <t xml:space="preserve">ACCRINTM(DATE(2024,2,29),DATE(2025,3,31),0.05,1000,1)</t>
  </si>
  <si>
    <t xml:space="preserve">PRICEMAT(DATE(2024,2,29),DATE(2025,3,31),DATE(2023,1,31),0.05,0.06,1)</t>
  </si>
  <si>
    <t xml:space="preserve">YIELDMAT(DATE(2024,2,29),DATE(2025,3,31),DATE(2023,1,31),0.05,98,1)</t>
  </si>
  <si>
    <t xml:space="preserve">ACCRINT(DATE(2024,2,29),DATE(2030,1,1),DATE(2025,3,31),0.05,1000,2,1)</t>
  </si>
  <si>
    <t xml:space="preserve">DURATION(DATE(2024,2,29),DATE(2025,3,31),0.05,0.08,2,1)</t>
  </si>
  <si>
    <t xml:space="preserve">PRICE(DATE(2024,2,29),DATE(2025,3,31),0.05,0.08,100,2,1)</t>
  </si>
  <si>
    <t xml:space="preserve">YIELD(DATE(2024,2,29),DATE(2025,3,31),0.05,95,100,2,1)</t>
  </si>
  <si>
    <t xml:space="preserve">PRICEDISC(DATE(2024,2,29),DATE(2025,3,31),0.05,100,4)</t>
  </si>
  <si>
    <t xml:space="preserve">RECEIVED(DATE(2024,2,29),DATE(2025,3,31),1000,0.05,4)</t>
  </si>
  <si>
    <t xml:space="preserve">INTRATE(DATE(2024,2,29),DATE(2025,3,31),1000,1050,4)</t>
  </si>
  <si>
    <t xml:space="preserve">DISC(DATE(2024,2,29),DATE(2025,3,31),95,100,4)</t>
  </si>
  <si>
    <t xml:space="preserve">YIELDDISC(DATE(2024,2,29),DATE(2025,3,31),95,100,4)</t>
  </si>
  <si>
    <t xml:space="preserve">ACCRINTM(DATE(2024,2,29),DATE(2025,3,31),0.05,1000,4)</t>
  </si>
  <si>
    <t xml:space="preserve">PRICEMAT(DATE(2024,2,29),DATE(2025,3,31),DATE(2023,1,31),0.05,0.06,4)</t>
  </si>
  <si>
    <t xml:space="preserve">YIELDMAT(DATE(2024,2,29),DATE(2025,3,31),DATE(2023,1,31),0.05,98,4)</t>
  </si>
  <si>
    <t xml:space="preserve">ACCRINT(DATE(2024,2,29),DATE(2030,1,1),DATE(2025,3,31),0.05,1000,2,4)</t>
  </si>
  <si>
    <t xml:space="preserve">DURATION(DATE(2024,2,29),DATE(2025,3,31),0.05,0.08,2,4)</t>
  </si>
  <si>
    <t xml:space="preserve">PRICE(DATE(2024,2,29),DATE(2025,3,31),0.05,0.08,100,2,4)</t>
  </si>
  <si>
    <t xml:space="preserve">YIELD(DATE(2024,2,29),DATE(2025,3,31),0.05,95,100,2,4)</t>
  </si>
  <si>
    <t xml:space="preserve">TBILLPRICE(DATE(2024,2,29),DATE(2025,3,31),0.05)</t>
  </si>
  <si>
    <t xml:space="preserve">TBILLEQ(DATE(2024,2,29),DATE(2025,3,31),0.05)</t>
  </si>
  <si>
    <t xml:space="preserve">TBILLYIELD(DATE(2024,2,29),DATE(2025,3,31),98)</t>
  </si>
  <si>
    <t xml:space="preserve">PRICEDISC(DATE(2024,2,29),DATE(2024,8,31),0.05,100,0)</t>
  </si>
  <si>
    <t xml:space="preserve">RECEIVED(DATE(2024,2,29),DATE(2024,8,31),1000,0.05,0)</t>
  </si>
  <si>
    <t xml:space="preserve">INTRATE(DATE(2024,2,29),DATE(2024,8,31),1000,1050,0)</t>
  </si>
  <si>
    <t xml:space="preserve">DISC(DATE(2024,2,29),DATE(2024,8,31),95,100,0)</t>
  </si>
  <si>
    <t xml:space="preserve">YIELDDISC(DATE(2024,2,29),DATE(2024,8,31),95,100,0)</t>
  </si>
  <si>
    <t xml:space="preserve">ACCRINTM(DATE(2024,2,29),DATE(2024,8,31),0.05,1000,0)</t>
  </si>
  <si>
    <t xml:space="preserve">PRICEMAT(DATE(2024,2,29),DATE(2024,8,31),DATE(2023,1,31),0.05,0.06,0)</t>
  </si>
  <si>
    <t xml:space="preserve">YIELDMAT(DATE(2024,2,29),DATE(2024,8,31),DATE(2023,1,31),0.05,98,0)</t>
  </si>
  <si>
    <t xml:space="preserve">ACCRINT(DATE(2024,2,29),DATE(2030,1,1),DATE(2024,8,31),0.05,1000,2,0)</t>
  </si>
  <si>
    <t xml:space="preserve">DURATION(DATE(2024,2,29),DATE(2024,8,31),0.05,0.08,2,0)</t>
  </si>
  <si>
    <t xml:space="preserve">PRICE(DATE(2024,2,29),DATE(2024,8,31),0.05,0.08,100,2,0)</t>
  </si>
  <si>
    <t xml:space="preserve">YIELD(DATE(2024,2,29),DATE(2024,8,31),0.05,95,100,2,0)</t>
  </si>
  <si>
    <t xml:space="preserve">PRICEDISC(DATE(2024,2,29),DATE(2024,8,31),0.05,100,1)</t>
  </si>
  <si>
    <t xml:space="preserve">RECEIVED(DATE(2024,2,29),DATE(2024,8,31),1000,0.05,1)</t>
  </si>
  <si>
    <t xml:space="preserve">INTRATE(DATE(2024,2,29),DATE(2024,8,31),1000,1050,1)</t>
  </si>
  <si>
    <t xml:space="preserve">DISC(DATE(2024,2,29),DATE(2024,8,31),95,100,1)</t>
  </si>
  <si>
    <t xml:space="preserve">YIELDDISC(DATE(2024,2,29),DATE(2024,8,31),95,100,1)</t>
  </si>
  <si>
    <t xml:space="preserve">ACCRINTM(DATE(2024,2,29),DATE(2024,8,31),0.05,1000,1)</t>
  </si>
  <si>
    <t xml:space="preserve">PRICEMAT(DATE(2024,2,29),DATE(2024,8,31),DATE(2023,1,31),0.05,0.06,1)</t>
  </si>
  <si>
    <t xml:space="preserve">YIELDMAT(DATE(2024,2,29),DATE(2024,8,31),DATE(2023,1,31),0.05,98,1)</t>
  </si>
  <si>
    <t xml:space="preserve">ACCRINT(DATE(2024,2,29),DATE(2030,1,1),DATE(2024,8,31),0.05,1000,2,1)</t>
  </si>
  <si>
    <t xml:space="preserve">DURATION(DATE(2024,2,29),DATE(2024,8,31),0.05,0.08,2,1)</t>
  </si>
  <si>
    <t xml:space="preserve">PRICE(DATE(2024,2,29),DATE(2024,8,31),0.05,0.08,100,2,1)</t>
  </si>
  <si>
    <t xml:space="preserve">YIELD(DATE(2024,2,29),DATE(2024,8,31),0.05,95,100,2,1)</t>
  </si>
  <si>
    <t xml:space="preserve">PRICEDISC(DATE(2024,2,29),DATE(2024,8,31),0.05,100,4)</t>
  </si>
  <si>
    <t xml:space="preserve">RECEIVED(DATE(2024,2,29),DATE(2024,8,31),1000,0.05,4)</t>
  </si>
  <si>
    <t xml:space="preserve">INTRATE(DATE(2024,2,29),DATE(2024,8,31),1000,1050,4)</t>
  </si>
  <si>
    <t xml:space="preserve">DISC(DATE(2024,2,29),DATE(2024,8,31),95,100,4)</t>
  </si>
  <si>
    <t xml:space="preserve">YIELDDISC(DATE(2024,2,29),DATE(2024,8,31),95,100,4)</t>
  </si>
  <si>
    <t xml:space="preserve">ACCRINTM(DATE(2024,2,29),DATE(2024,8,31),0.05,1000,4)</t>
  </si>
  <si>
    <t xml:space="preserve">PRICEMAT(DATE(2024,2,29),DATE(2024,8,31),DATE(2023,1,31),0.05,0.06,4)</t>
  </si>
  <si>
    <t xml:space="preserve">YIELDMAT(DATE(2024,2,29),DATE(2024,8,31),DATE(2023,1,31),0.05,98,4)</t>
  </si>
  <si>
    <t xml:space="preserve">ACCRINT(DATE(2024,2,29),DATE(2030,1,1),DATE(2024,8,31),0.05,1000,2,4)</t>
  </si>
  <si>
    <t xml:space="preserve">DURATION(DATE(2024,2,29),DATE(2024,8,31),0.05,0.08,2,4)</t>
  </si>
  <si>
    <t xml:space="preserve">PRICE(DATE(2024,2,29),DATE(2024,8,31),0.05,0.08,100,2,4)</t>
  </si>
  <si>
    <t xml:space="preserve">YIELD(DATE(2024,2,29),DATE(2024,8,31),0.05,95,100,2,4)</t>
  </si>
  <si>
    <t xml:space="preserve">TBILLPRICE(DATE(2024,2,29),DATE(2024,8,31),0.05)</t>
  </si>
  <si>
    <t xml:space="preserve">TBILLEQ(DATE(2024,2,29),DATE(2024,8,31),0.05)</t>
  </si>
  <si>
    <t xml:space="preserve">TBILLYIELD(DATE(2024,2,29),DATE(2024,8,31),98)</t>
  </si>
  <si>
    <t xml:space="preserve">PRICEDISC(DATE(2024,2,29),DATE(2025,6,30),0.05,100,0)</t>
  </si>
  <si>
    <t xml:space="preserve">RECEIVED(DATE(2024,2,29),DATE(2025,6,30),1000,0.05,0)</t>
  </si>
  <si>
    <t xml:space="preserve">INTRATE(DATE(2024,2,29),DATE(2025,6,30),1000,1050,0)</t>
  </si>
  <si>
    <t xml:space="preserve">DISC(DATE(2024,2,29),DATE(2025,6,30),95,100,0)</t>
  </si>
  <si>
    <t xml:space="preserve">YIELDDISC(DATE(2024,2,29),DATE(2025,6,30),95,100,0)</t>
  </si>
  <si>
    <t xml:space="preserve">ACCRINTM(DATE(2024,2,29),DATE(2025,6,30),0.05,1000,0)</t>
  </si>
  <si>
    <t xml:space="preserve">PRICEMAT(DATE(2024,2,29),DATE(2025,6,30),DATE(2023,1,31),0.05,0.06,0)</t>
  </si>
  <si>
    <t xml:space="preserve">YIELDMAT(DATE(2024,2,29),DATE(2025,6,30),DATE(2023,1,31),0.05,98,0)</t>
  </si>
  <si>
    <t xml:space="preserve">ACCRINT(DATE(2024,2,29),DATE(2030,1,1),DATE(2025,6,30),0.05,1000,2,0)</t>
  </si>
  <si>
    <t xml:space="preserve">DURATION(DATE(2024,2,29),DATE(2025,6,30),0.05,0.08,2,0)</t>
  </si>
  <si>
    <t xml:space="preserve">PRICE(DATE(2024,2,29),DATE(2025,6,30),0.05,0.08,100,2,0)</t>
  </si>
  <si>
    <t xml:space="preserve">YIELD(DATE(2024,2,29),DATE(2025,6,30),0.05,95,100,2,0)</t>
  </si>
  <si>
    <t xml:space="preserve">PRICEDISC(DATE(2024,2,29),DATE(2025,6,30),0.05,100,1)</t>
  </si>
  <si>
    <t xml:space="preserve">RECEIVED(DATE(2024,2,29),DATE(2025,6,30),1000,0.05,1)</t>
  </si>
  <si>
    <t xml:space="preserve">INTRATE(DATE(2024,2,29),DATE(2025,6,30),1000,1050,1)</t>
  </si>
  <si>
    <t xml:space="preserve">DISC(DATE(2024,2,29),DATE(2025,6,30),95,100,1)</t>
  </si>
  <si>
    <t xml:space="preserve">YIELDDISC(DATE(2024,2,29),DATE(2025,6,30),95,100,1)</t>
  </si>
  <si>
    <t xml:space="preserve">ACCRINTM(DATE(2024,2,29),DATE(2025,6,30),0.05,1000,1)</t>
  </si>
  <si>
    <t xml:space="preserve">PRICEMAT(DATE(2024,2,29),DATE(2025,6,30),DATE(2023,1,31),0.05,0.06,1)</t>
  </si>
  <si>
    <t xml:space="preserve">YIELDMAT(DATE(2024,2,29),DATE(2025,6,30),DATE(2023,1,31),0.05,98,1)</t>
  </si>
  <si>
    <t xml:space="preserve">ACCRINT(DATE(2024,2,29),DATE(2030,1,1),DATE(2025,6,30),0.05,1000,2,1)</t>
  </si>
  <si>
    <t xml:space="preserve">DURATION(DATE(2024,2,29),DATE(2025,6,30),0.05,0.08,2,1)</t>
  </si>
  <si>
    <t xml:space="preserve">PRICE(DATE(2024,2,29),DATE(2025,6,30),0.05,0.08,100,2,1)</t>
  </si>
  <si>
    <t xml:space="preserve">YIELD(DATE(2024,2,29),DATE(2025,6,30),0.05,95,100,2,1)</t>
  </si>
  <si>
    <t xml:space="preserve">PRICEDISC(DATE(2024,2,29),DATE(2025,6,30),0.05,100,4)</t>
  </si>
  <si>
    <t xml:space="preserve">RECEIVED(DATE(2024,2,29),DATE(2025,6,30),1000,0.05,4)</t>
  </si>
  <si>
    <t xml:space="preserve">INTRATE(DATE(2024,2,29),DATE(2025,6,30),1000,1050,4)</t>
  </si>
  <si>
    <t xml:space="preserve">DISC(DATE(2024,2,29),DATE(2025,6,30),95,100,4)</t>
  </si>
  <si>
    <t xml:space="preserve">YIELDDISC(DATE(2024,2,29),DATE(2025,6,30),95,100,4)</t>
  </si>
  <si>
    <t xml:space="preserve">ACCRINTM(DATE(2024,2,29),DATE(2025,6,30),0.05,1000,4)</t>
  </si>
  <si>
    <t xml:space="preserve">PRICEMAT(DATE(2024,2,29),DATE(2025,6,30),DATE(2023,1,31),0.05,0.06,4)</t>
  </si>
  <si>
    <t xml:space="preserve">YIELDMAT(DATE(2024,2,29),DATE(2025,6,30),DATE(2023,1,31),0.05,98,4)</t>
  </si>
  <si>
    <t xml:space="preserve">ACCRINT(DATE(2024,2,29),DATE(2030,1,1),DATE(2025,6,30),0.05,1000,2,4)</t>
  </si>
  <si>
    <t xml:space="preserve">DURATION(DATE(2024,2,29),DATE(2025,6,30),0.05,0.08,2,4)</t>
  </si>
  <si>
    <t xml:space="preserve">PRICE(DATE(2024,2,29),DATE(2025,6,30),0.05,0.08,100,2,4)</t>
  </si>
  <si>
    <t xml:space="preserve">YIELD(DATE(2024,2,29),DATE(2025,6,30),0.05,95,100,2,4)</t>
  </si>
  <si>
    <t xml:space="preserve">TBILLPRICE(DATE(2024,2,29),DATE(2025,6,30),0.05)</t>
  </si>
  <si>
    <t xml:space="preserve">TBILLEQ(DATE(2024,2,29),DATE(2025,6,30),0.05)</t>
  </si>
  <si>
    <t xml:space="preserve">TBILLYIELD(DATE(2024,2,29),DATE(2025,6,30),98)</t>
  </si>
  <si>
    <t xml:space="preserve">PRICEDISC(DATE(2024,2,29),DATE(2026,12,31),0.05,100,0)</t>
  </si>
  <si>
    <t xml:space="preserve">RECEIVED(DATE(2024,2,29),DATE(2026,12,31),1000,0.05,0)</t>
  </si>
  <si>
    <t xml:space="preserve">INTRATE(DATE(2024,2,29),DATE(2026,12,31),1000,1050,0)</t>
  </si>
  <si>
    <t xml:space="preserve">DISC(DATE(2024,2,29),DATE(2026,12,31),95,100,0)</t>
  </si>
  <si>
    <t xml:space="preserve">YIELDDISC(DATE(2024,2,29),DATE(2026,12,31),95,100,0)</t>
  </si>
  <si>
    <t xml:space="preserve">ACCRINTM(DATE(2024,2,29),DATE(2026,12,31),0.05,1000,0)</t>
  </si>
  <si>
    <t xml:space="preserve">PRICEMAT(DATE(2024,2,29),DATE(2026,12,31),DATE(2023,1,31),0.05,0.06,0)</t>
  </si>
  <si>
    <t xml:space="preserve">YIELDMAT(DATE(2024,2,29),DATE(2026,12,31),DATE(2023,1,31),0.05,98,0)</t>
  </si>
  <si>
    <t xml:space="preserve">ACCRINT(DATE(2024,2,29),DATE(2030,1,1),DATE(2026,12,31),0.05,1000,2,0)</t>
  </si>
  <si>
    <t xml:space="preserve">DURATION(DATE(2024,2,29),DATE(2026,12,31),0.05,0.08,2,0)</t>
  </si>
  <si>
    <t xml:space="preserve">PRICE(DATE(2024,2,29),DATE(2026,12,31),0.05,0.08,100,2,0)</t>
  </si>
  <si>
    <t xml:space="preserve">YIELD(DATE(2024,2,29),DATE(2026,12,31),0.05,95,100,2,0)</t>
  </si>
  <si>
    <t xml:space="preserve">PRICEDISC(DATE(2024,2,29),DATE(2026,12,31),0.05,100,1)</t>
  </si>
  <si>
    <t xml:space="preserve">RECEIVED(DATE(2024,2,29),DATE(2026,12,31),1000,0.05,1)</t>
  </si>
  <si>
    <t xml:space="preserve">INTRATE(DATE(2024,2,29),DATE(2026,12,31),1000,1050,1)</t>
  </si>
  <si>
    <t xml:space="preserve">DISC(DATE(2024,2,29),DATE(2026,12,31),95,100,1)</t>
  </si>
  <si>
    <t xml:space="preserve">YIELDDISC(DATE(2024,2,29),DATE(2026,12,31),95,100,1)</t>
  </si>
  <si>
    <t xml:space="preserve">ACCRINTM(DATE(2024,2,29),DATE(2026,12,31),0.05,1000,1)</t>
  </si>
  <si>
    <t xml:space="preserve">PRICEMAT(DATE(2024,2,29),DATE(2026,12,31),DATE(2023,1,31),0.05,0.06,1)</t>
  </si>
  <si>
    <t xml:space="preserve">YIELDMAT(DATE(2024,2,29),DATE(2026,12,31),DATE(2023,1,31),0.05,98,1)</t>
  </si>
  <si>
    <t xml:space="preserve">ACCRINT(DATE(2024,2,29),DATE(2030,1,1),DATE(2026,12,31),0.05,1000,2,1)</t>
  </si>
  <si>
    <t xml:space="preserve">DURATION(DATE(2024,2,29),DATE(2026,12,31),0.05,0.08,2,1)</t>
  </si>
  <si>
    <t xml:space="preserve">PRICE(DATE(2024,2,29),DATE(2026,12,31),0.05,0.08,100,2,1)</t>
  </si>
  <si>
    <t xml:space="preserve">YIELD(DATE(2024,2,29),DATE(2026,12,31),0.05,95,100,2,1)</t>
  </si>
  <si>
    <t xml:space="preserve">PRICEDISC(DATE(2024,2,29),DATE(2026,12,31),0.05,100,4)</t>
  </si>
  <si>
    <t xml:space="preserve">RECEIVED(DATE(2024,2,29),DATE(2026,12,31),1000,0.05,4)</t>
  </si>
  <si>
    <t xml:space="preserve">INTRATE(DATE(2024,2,29),DATE(2026,12,31),1000,1050,4)</t>
  </si>
  <si>
    <t xml:space="preserve">DISC(DATE(2024,2,29),DATE(2026,12,31),95,100,4)</t>
  </si>
  <si>
    <t xml:space="preserve">YIELDDISC(DATE(2024,2,29),DATE(2026,12,31),95,100,4)</t>
  </si>
  <si>
    <t xml:space="preserve">ACCRINTM(DATE(2024,2,29),DATE(2026,12,31),0.05,1000,4)</t>
  </si>
  <si>
    <t xml:space="preserve">PRICEMAT(DATE(2024,2,29),DATE(2026,12,31),DATE(2023,1,31),0.05,0.06,4)</t>
  </si>
  <si>
    <t xml:space="preserve">YIELDMAT(DATE(2024,2,29),DATE(2026,12,31),DATE(2023,1,31),0.05,98,4)</t>
  </si>
  <si>
    <t xml:space="preserve">ACCRINT(DATE(2024,2,29),DATE(2030,1,1),DATE(2026,12,31),0.05,1000,2,4)</t>
  </si>
  <si>
    <t xml:space="preserve">DURATION(DATE(2024,2,29),DATE(2026,12,31),0.05,0.08,2,4)</t>
  </si>
  <si>
    <t xml:space="preserve">PRICE(DATE(2024,2,29),DATE(2026,12,31),0.05,0.08,100,2,4)</t>
  </si>
  <si>
    <t xml:space="preserve">YIELD(DATE(2024,2,29),DATE(2026,12,31),0.05,95,100,2,4)</t>
  </si>
  <si>
    <t xml:space="preserve">TBILLPRICE(DATE(2024,2,29),DATE(2026,12,31),0.05)</t>
  </si>
  <si>
    <t xml:space="preserve">TBILLEQ(DATE(2024,2,29),DATE(2026,12,31),0.05)</t>
  </si>
  <si>
    <t xml:space="preserve">TBILLYIELD(DATE(2024,2,29),DATE(2026,12,31),98)</t>
  </si>
  <si>
    <t xml:space="preserve">PRICEDISC(DATE(2024,2,29),DATE(2027,2,28),0.05,100,0)</t>
  </si>
  <si>
    <t xml:space="preserve">RECEIVED(DATE(2024,2,29),DATE(2027,2,28),1000,0.05,0)</t>
  </si>
  <si>
    <t xml:space="preserve">INTRATE(DATE(2024,2,29),DATE(2027,2,28),1000,1050,0)</t>
  </si>
  <si>
    <t xml:space="preserve">DISC(DATE(2024,2,29),DATE(2027,2,28),95,100,0)</t>
  </si>
  <si>
    <t xml:space="preserve">YIELDDISC(DATE(2024,2,29),DATE(2027,2,28),95,100,0)</t>
  </si>
  <si>
    <t xml:space="preserve">ACCRINTM(DATE(2024,2,29),DATE(2027,2,28),0.05,1000,0)</t>
  </si>
  <si>
    <t xml:space="preserve">PRICEMAT(DATE(2024,2,29),DATE(2027,2,28),DATE(2023,1,31),0.05,0.06,0)</t>
  </si>
  <si>
    <t xml:space="preserve">YIELDMAT(DATE(2024,2,29),DATE(2027,2,28),DATE(2023,1,31),0.05,98,0)</t>
  </si>
  <si>
    <t xml:space="preserve">ACCRINT(DATE(2024,2,29),DATE(2030,1,1),DATE(2027,2,28),0.05,1000,2,0)</t>
  </si>
  <si>
    <t xml:space="preserve">DURATION(DATE(2024,2,29),DATE(2027,2,28),0.05,0.08,2,0)</t>
  </si>
  <si>
    <t xml:space="preserve">PRICE(DATE(2024,2,29),DATE(2027,2,28),0.05,0.08,100,2,0)</t>
  </si>
  <si>
    <t xml:space="preserve">YIELD(DATE(2024,2,29),DATE(2027,2,28),0.05,95,100,2,0)</t>
  </si>
  <si>
    <t xml:space="preserve">PRICEDISC(DATE(2024,2,29),DATE(2027,2,28),0.05,100,1)</t>
  </si>
  <si>
    <t xml:space="preserve">RECEIVED(DATE(2024,2,29),DATE(2027,2,28),1000,0.05,1)</t>
  </si>
  <si>
    <t xml:space="preserve">INTRATE(DATE(2024,2,29),DATE(2027,2,28),1000,1050,1)</t>
  </si>
  <si>
    <t xml:space="preserve">DISC(DATE(2024,2,29),DATE(2027,2,28),95,100,1)</t>
  </si>
  <si>
    <t xml:space="preserve">YIELDDISC(DATE(2024,2,29),DATE(2027,2,28),95,100,1)</t>
  </si>
  <si>
    <t xml:space="preserve">ACCRINTM(DATE(2024,2,29),DATE(2027,2,28),0.05,1000,1)</t>
  </si>
  <si>
    <t xml:space="preserve">PRICEMAT(DATE(2024,2,29),DATE(2027,2,28),DATE(2023,1,31),0.05,0.06,1)</t>
  </si>
  <si>
    <t xml:space="preserve">YIELDMAT(DATE(2024,2,29),DATE(2027,2,28),DATE(2023,1,31),0.05,98,1)</t>
  </si>
  <si>
    <t xml:space="preserve">ACCRINT(DATE(2024,2,29),DATE(2030,1,1),DATE(2027,2,28),0.05,1000,2,1)</t>
  </si>
  <si>
    <t xml:space="preserve">DURATION(DATE(2024,2,29),DATE(2027,2,28),0.05,0.08,2,1)</t>
  </si>
  <si>
    <t xml:space="preserve">PRICE(DATE(2024,2,29),DATE(2027,2,28),0.05,0.08,100,2,1)</t>
  </si>
  <si>
    <t xml:space="preserve">YIELD(DATE(2024,2,29),DATE(2027,2,28),0.05,95,100,2,1)</t>
  </si>
  <si>
    <t xml:space="preserve">PRICEDISC(DATE(2024,2,29),DATE(2027,2,28),0.05,100,4)</t>
  </si>
  <si>
    <t xml:space="preserve">RECEIVED(DATE(2024,2,29),DATE(2027,2,28),1000,0.05,4)</t>
  </si>
  <si>
    <t xml:space="preserve">INTRATE(DATE(2024,2,29),DATE(2027,2,28),1000,1050,4)</t>
  </si>
  <si>
    <t xml:space="preserve">DISC(DATE(2024,2,29),DATE(2027,2,28),95,100,4)</t>
  </si>
  <si>
    <t xml:space="preserve">YIELDDISC(DATE(2024,2,29),DATE(2027,2,28),95,100,4)</t>
  </si>
  <si>
    <t xml:space="preserve">ACCRINTM(DATE(2024,2,29),DATE(2027,2,28),0.05,1000,4)</t>
  </si>
  <si>
    <t xml:space="preserve">PRICEMAT(DATE(2024,2,29),DATE(2027,2,28),DATE(2023,1,31),0.05,0.06,4)</t>
  </si>
  <si>
    <t xml:space="preserve">YIELDMAT(DATE(2024,2,29),DATE(2027,2,28),DATE(2023,1,31),0.05,98,4)</t>
  </si>
  <si>
    <t xml:space="preserve">ACCRINT(DATE(2024,2,29),DATE(2030,1,1),DATE(2027,2,28),0.05,1000,2,4)</t>
  </si>
  <si>
    <t xml:space="preserve">DURATION(DATE(2024,2,29),DATE(2027,2,28),0.05,0.08,2,4)</t>
  </si>
  <si>
    <t xml:space="preserve">PRICE(DATE(2024,2,29),DATE(2027,2,28),0.05,0.08,100,2,4)</t>
  </si>
  <si>
    <t xml:space="preserve">YIELD(DATE(2024,2,29),DATE(2027,2,28),0.05,95,100,2,4)</t>
  </si>
  <si>
    <t xml:space="preserve">TBILLPRICE(DATE(2024,2,29),DATE(2027,2,28),0.05)</t>
  </si>
  <si>
    <t xml:space="preserve">TBILLEQ(DATE(2024,2,29),DATE(2027,2,28),0.05)</t>
  </si>
  <si>
    <t xml:space="preserve">PRICEDISC(DATE(2024,2,29),DATE(2025,1,30),0.05,100,0)</t>
  </si>
  <si>
    <t xml:space="preserve">RECEIVED(DATE(2024,2,29),DATE(2025,1,30),1000,0.05,0)</t>
  </si>
  <si>
    <t xml:space="preserve">INTRATE(DATE(2024,2,29),DATE(2025,1,30),1000,1050,0)</t>
  </si>
  <si>
    <t xml:space="preserve">DISC(DATE(2024,2,29),DATE(2025,1,30),95,100,0)</t>
  </si>
  <si>
    <t xml:space="preserve">YIELDDISC(DATE(2024,2,29),DATE(2025,1,30),95,100,0)</t>
  </si>
  <si>
    <t xml:space="preserve">ACCRINTM(DATE(2024,2,29),DATE(2025,1,30),0.05,1000,0)</t>
  </si>
  <si>
    <t xml:space="preserve">PRICEMAT(DATE(2024,2,29),DATE(2025,1,30),DATE(2023,1,31),0.05,0.06,0)</t>
  </si>
  <si>
    <t xml:space="preserve">YIELDMAT(DATE(2024,2,29),DATE(2025,1,30),DATE(2023,1,31),0.05,98,0)</t>
  </si>
  <si>
    <t xml:space="preserve">ACCRINT(DATE(2024,2,29),DATE(2030,1,1),DATE(2025,1,30),0.05,1000,2,0)</t>
  </si>
  <si>
    <t xml:space="preserve">DURATION(DATE(2024,2,29),DATE(2025,1,30),0.05,0.08,2,0)</t>
  </si>
  <si>
    <t xml:space="preserve">PRICE(DATE(2024,2,29),DATE(2025,1,30),0.05,0.08,100,2,0)</t>
  </si>
  <si>
    <t xml:space="preserve">YIELD(DATE(2024,2,29),DATE(2025,1,30),0.05,95,100,2,0)</t>
  </si>
  <si>
    <t xml:space="preserve">PRICEDISC(DATE(2024,2,29),DATE(2025,1,30),0.05,100,1)</t>
  </si>
  <si>
    <t xml:space="preserve">RECEIVED(DATE(2024,2,29),DATE(2025,1,30),1000,0.05,1)</t>
  </si>
  <si>
    <t xml:space="preserve">INTRATE(DATE(2024,2,29),DATE(2025,1,30),1000,1050,1)</t>
  </si>
  <si>
    <t xml:space="preserve">DISC(DATE(2024,2,29),DATE(2025,1,30),95,100,1)</t>
  </si>
  <si>
    <t xml:space="preserve">YIELDDISC(DATE(2024,2,29),DATE(2025,1,30),95,100,1)</t>
  </si>
  <si>
    <t xml:space="preserve">ACCRINTM(DATE(2024,2,29),DATE(2025,1,30),0.05,1000,1)</t>
  </si>
  <si>
    <t xml:space="preserve">PRICEMAT(DATE(2024,2,29),DATE(2025,1,30),DATE(2023,1,31),0.05,0.06,1)</t>
  </si>
  <si>
    <t xml:space="preserve">YIELDMAT(DATE(2024,2,29),DATE(2025,1,30),DATE(2023,1,31),0.05,98,1)</t>
  </si>
  <si>
    <t xml:space="preserve">ACCRINT(DATE(2024,2,29),DATE(2030,1,1),DATE(2025,1,30),0.05,1000,2,1)</t>
  </si>
  <si>
    <t xml:space="preserve">DURATION(DATE(2024,2,29),DATE(2025,1,30),0.05,0.08,2,1)</t>
  </si>
  <si>
    <t xml:space="preserve">PRICE(DATE(2024,2,29),DATE(2025,1,30),0.05,0.08,100,2,1)</t>
  </si>
  <si>
    <t xml:space="preserve">YIELD(DATE(2024,2,29),DATE(2025,1,30),0.05,95,100,2,1)</t>
  </si>
  <si>
    <t xml:space="preserve">PRICEDISC(DATE(2024,2,29),DATE(2025,1,30),0.05,100,4)</t>
  </si>
  <si>
    <t xml:space="preserve">RECEIVED(DATE(2024,2,29),DATE(2025,1,30),1000,0.05,4)</t>
  </si>
  <si>
    <t xml:space="preserve">INTRATE(DATE(2024,2,29),DATE(2025,1,30),1000,1050,4)</t>
  </si>
  <si>
    <t xml:space="preserve">DISC(DATE(2024,2,29),DATE(2025,1,30),95,100,4)</t>
  </si>
  <si>
    <t xml:space="preserve">YIELDDISC(DATE(2024,2,29),DATE(2025,1,30),95,100,4)</t>
  </si>
  <si>
    <t xml:space="preserve">ACCRINTM(DATE(2024,2,29),DATE(2025,1,30),0.05,1000,4)</t>
  </si>
  <si>
    <t xml:space="preserve">PRICEMAT(DATE(2024,2,29),DATE(2025,1,30),DATE(2023,1,31),0.05,0.06,4)</t>
  </si>
  <si>
    <t xml:space="preserve">YIELDMAT(DATE(2024,2,29),DATE(2025,1,30),DATE(2023,1,31),0.05,98,4)</t>
  </si>
  <si>
    <t xml:space="preserve">ACCRINT(DATE(2024,2,29),DATE(2030,1,1),DATE(2025,1,30),0.05,1000,2,4)</t>
  </si>
  <si>
    <t xml:space="preserve">DURATION(DATE(2024,2,29),DATE(2025,1,30),0.05,0.08,2,4)</t>
  </si>
  <si>
    <t xml:space="preserve">PRICE(DATE(2024,2,29),DATE(2025,1,30),0.05,0.08,100,2,4)</t>
  </si>
  <si>
    <t xml:space="preserve">YIELD(DATE(2024,2,29),DATE(2025,1,30),0.05,95,100,2,4)</t>
  </si>
  <si>
    <t xml:space="preserve">TBILLPRICE(DATE(2024,2,29),DATE(2025,1,30),0.05)</t>
  </si>
  <si>
    <t xml:space="preserve">TBILLEQ(DATE(2024,2,29),DATE(2025,1,30),0.05)</t>
  </si>
  <si>
    <t xml:space="preserve">TBILLYIELD(DATE(2024,2,29),DATE(2025,1,30),98)</t>
  </si>
  <si>
    <t xml:space="preserve">PRICEDISC(DATE(2024,2,29),DATE(2024,12,31),0.05,100,0)</t>
  </si>
  <si>
    <t xml:space="preserve">RECEIVED(DATE(2024,2,29),DATE(2024,12,31),1000,0.05,0)</t>
  </si>
  <si>
    <t xml:space="preserve">INTRATE(DATE(2024,2,29),DATE(2024,12,31),1000,1050,0)</t>
  </si>
  <si>
    <t xml:space="preserve">DISC(DATE(2024,2,29),DATE(2024,12,31),95,100,0)</t>
  </si>
  <si>
    <t xml:space="preserve">YIELDDISC(DATE(2024,2,29),DATE(2024,12,31),95,100,0)</t>
  </si>
  <si>
    <t xml:space="preserve">ACCRINTM(DATE(2024,2,29),DATE(2024,12,31),0.05,1000,0)</t>
  </si>
  <si>
    <t xml:space="preserve">PRICEMAT(DATE(2024,2,29),DATE(2024,12,31),DATE(2023,1,31),0.05,0.06,0)</t>
  </si>
  <si>
    <t xml:space="preserve">YIELDMAT(DATE(2024,2,29),DATE(2024,12,31),DATE(2023,1,31),0.05,98,0)</t>
  </si>
  <si>
    <t xml:space="preserve">ACCRINT(DATE(2024,2,29),DATE(2030,1,1),DATE(2024,12,31),0.05,1000,2,0)</t>
  </si>
  <si>
    <t xml:space="preserve">DURATION(DATE(2024,2,29),DATE(2024,12,31),0.05,0.08,2,0)</t>
  </si>
  <si>
    <t xml:space="preserve">PRICE(DATE(2024,2,29),DATE(2024,12,31),0.05,0.08,100,2,0)</t>
  </si>
  <si>
    <t xml:space="preserve">YIELD(DATE(2024,2,29),DATE(2024,12,31),0.05,95,100,2,0)</t>
  </si>
  <si>
    <t xml:space="preserve">PRICEDISC(DATE(2024,2,29),DATE(2024,12,31),0.05,100,1)</t>
  </si>
  <si>
    <t xml:space="preserve">RECEIVED(DATE(2024,2,29),DATE(2024,12,31),1000,0.05,1)</t>
  </si>
  <si>
    <t xml:space="preserve">INTRATE(DATE(2024,2,29),DATE(2024,12,31),1000,1050,1)</t>
  </si>
  <si>
    <t xml:space="preserve">DISC(DATE(2024,2,29),DATE(2024,12,31),95,100,1)</t>
  </si>
  <si>
    <t xml:space="preserve">YIELDDISC(DATE(2024,2,29),DATE(2024,12,31),95,100,1)</t>
  </si>
  <si>
    <t xml:space="preserve">ACCRINTM(DATE(2024,2,29),DATE(2024,12,31),0.05,1000,1)</t>
  </si>
  <si>
    <t xml:space="preserve">PRICEMAT(DATE(2024,2,29),DATE(2024,12,31),DATE(2023,1,31),0.05,0.06,1)</t>
  </si>
  <si>
    <t xml:space="preserve">YIELDMAT(DATE(2024,2,29),DATE(2024,12,31),DATE(2023,1,31),0.05,98,1)</t>
  </si>
  <si>
    <t xml:space="preserve">ACCRINT(DATE(2024,2,29),DATE(2030,1,1),DATE(2024,12,31),0.05,1000,2,1)</t>
  </si>
  <si>
    <t xml:space="preserve">DURATION(DATE(2024,2,29),DATE(2024,12,31),0.05,0.08,2,1)</t>
  </si>
  <si>
    <t xml:space="preserve">PRICE(DATE(2024,2,29),DATE(2024,12,31),0.05,0.08,100,2,1)</t>
  </si>
  <si>
    <t xml:space="preserve">YIELD(DATE(2024,2,29),DATE(2024,12,31),0.05,95,100,2,1)</t>
  </si>
  <si>
    <t xml:space="preserve">PRICEDISC(DATE(2024,2,29),DATE(2024,12,31),0.05,100,4)</t>
  </si>
  <si>
    <t xml:space="preserve">RECEIVED(DATE(2024,2,29),DATE(2024,12,31),1000,0.05,4)</t>
  </si>
  <si>
    <t xml:space="preserve">INTRATE(DATE(2024,2,29),DATE(2024,12,31),1000,1050,4)</t>
  </si>
  <si>
    <t xml:space="preserve">DISC(DATE(2024,2,29),DATE(2024,12,31),95,100,4)</t>
  </si>
  <si>
    <t xml:space="preserve">YIELDDISC(DATE(2024,2,29),DATE(2024,12,31),95,100,4)</t>
  </si>
  <si>
    <t xml:space="preserve">ACCRINTM(DATE(2024,2,29),DATE(2024,12,31),0.05,1000,4)</t>
  </si>
  <si>
    <t xml:space="preserve">PRICEMAT(DATE(2024,2,29),DATE(2024,12,31),DATE(2023,1,31),0.05,0.06,4)</t>
  </si>
  <si>
    <t xml:space="preserve">YIELDMAT(DATE(2024,2,29),DATE(2024,12,31),DATE(2023,1,31),0.05,98,4)</t>
  </si>
  <si>
    <t xml:space="preserve">ACCRINT(DATE(2024,2,29),DATE(2030,1,1),DATE(2024,12,31),0.05,1000,2,4)</t>
  </si>
  <si>
    <t xml:space="preserve">DURATION(DATE(2024,2,29),DATE(2024,12,31),0.05,0.08,2,4)</t>
  </si>
  <si>
    <t xml:space="preserve">PRICE(DATE(2024,2,29),DATE(2024,12,31),0.05,0.08,100,2,4)</t>
  </si>
  <si>
    <t xml:space="preserve">YIELD(DATE(2024,2,29),DATE(2024,12,31),0.05,95,100,2,4)</t>
  </si>
  <si>
    <t xml:space="preserve">TBILLPRICE(DATE(2024,2,29),DATE(2024,12,31),0.05)</t>
  </si>
  <si>
    <t xml:space="preserve">TBILLEQ(DATE(2024,2,29),DATE(2024,12,31),0.05)</t>
  </si>
  <si>
    <t xml:space="preserve">TBILLYIELD(DATE(2024,2,29),DATE(2024,12,31),98)</t>
  </si>
  <si>
    <t xml:space="preserve">PRICEDISC(DATE(2023,2,28),DATE(2025,2,28),0.05,100,0)</t>
  </si>
  <si>
    <t xml:space="preserve">RECEIVED(DATE(2023,2,28),DATE(2025,2,28),1000,0.05,0)</t>
  </si>
  <si>
    <t xml:space="preserve">INTRATE(DATE(2023,2,28),DATE(2025,2,28),1000,1050,0)</t>
  </si>
  <si>
    <t xml:space="preserve">DISC(DATE(2023,2,28),DATE(2025,2,28),95,100,0)</t>
  </si>
  <si>
    <t xml:space="preserve">YIELDDISC(DATE(2023,2,28),DATE(2025,2,28),95,100,0)</t>
  </si>
  <si>
    <t xml:space="preserve">ACCRINTM(DATE(2023,2,28),DATE(2025,2,28),0.05,1000,0)</t>
  </si>
  <si>
    <t xml:space="preserve">PRICEMAT(DATE(2023,2,28),DATE(2025,2,28),DATE(2023,1,31),0.05,0.06,0)</t>
  </si>
  <si>
    <t xml:space="preserve">YIELDMAT(DATE(2023,2,28),DATE(2025,2,28),DATE(2023,1,31),0.05,98,0)</t>
  </si>
  <si>
    <t xml:space="preserve">ACCRINT(DATE(2023,2,28),DATE(2030,1,1),DATE(2025,2,28),0.05,1000,2,0)</t>
  </si>
  <si>
    <t xml:space="preserve">DURATION(DATE(2023,2,28),DATE(2025,2,28),0.05,0.08,2,0)</t>
  </si>
  <si>
    <t xml:space="preserve">PRICE(DATE(2023,2,28),DATE(2025,2,28),0.05,0.08,100,2,0)</t>
  </si>
  <si>
    <t xml:space="preserve">YIELD(DATE(2023,2,28),DATE(2025,2,28),0.05,95,100,2,0)</t>
  </si>
  <si>
    <t xml:space="preserve">PRICEDISC(DATE(2023,2,28),DATE(2025,2,28),0.05,100,1)</t>
  </si>
  <si>
    <t xml:space="preserve">RECEIVED(DATE(2023,2,28),DATE(2025,2,28),1000,0.05,1)</t>
  </si>
  <si>
    <t xml:space="preserve">INTRATE(DATE(2023,2,28),DATE(2025,2,28),1000,1050,1)</t>
  </si>
  <si>
    <t xml:space="preserve">DISC(DATE(2023,2,28),DATE(2025,2,28),95,100,1)</t>
  </si>
  <si>
    <t xml:space="preserve">YIELDDISC(DATE(2023,2,28),DATE(2025,2,28),95,100,1)</t>
  </si>
  <si>
    <t xml:space="preserve">ACCRINTM(DATE(2023,2,28),DATE(2025,2,28),0.05,1000,1)</t>
  </si>
  <si>
    <t xml:space="preserve">PRICEMAT(DATE(2023,2,28),DATE(2025,2,28),DATE(2023,1,31),0.05,0.06,1)</t>
  </si>
  <si>
    <t xml:space="preserve">YIELDMAT(DATE(2023,2,28),DATE(2025,2,28),DATE(2023,1,31),0.05,98,1)</t>
  </si>
  <si>
    <t xml:space="preserve">ACCRINT(DATE(2023,2,28),DATE(2030,1,1),DATE(2025,2,28),0.05,1000,2,1)</t>
  </si>
  <si>
    <t xml:space="preserve">DURATION(DATE(2023,2,28),DATE(2025,2,28),0.05,0.08,2,1)</t>
  </si>
  <si>
    <t xml:space="preserve">PRICE(DATE(2023,2,28),DATE(2025,2,28),0.05,0.08,100,2,1)</t>
  </si>
  <si>
    <t xml:space="preserve">YIELD(DATE(2023,2,28),DATE(2025,2,28),0.05,95,100,2,1)</t>
  </si>
  <si>
    <t xml:space="preserve">PRICEDISC(DATE(2023,2,28),DATE(2025,2,28),0.05,100,4)</t>
  </si>
  <si>
    <t xml:space="preserve">RECEIVED(DATE(2023,2,28),DATE(2025,2,28),1000,0.05,4)</t>
  </si>
  <si>
    <t xml:space="preserve">INTRATE(DATE(2023,2,28),DATE(2025,2,28),1000,1050,4)</t>
  </si>
  <si>
    <t xml:space="preserve">DISC(DATE(2023,2,28),DATE(2025,2,28),95,100,4)</t>
  </si>
  <si>
    <t xml:space="preserve">YIELDDISC(DATE(2023,2,28),DATE(2025,2,28),95,100,4)</t>
  </si>
  <si>
    <t xml:space="preserve">ACCRINTM(DATE(2023,2,28),DATE(2025,2,28),0.05,1000,4)</t>
  </si>
  <si>
    <t xml:space="preserve">PRICEMAT(DATE(2023,2,28),DATE(2025,2,28),DATE(2023,1,31),0.05,0.06,4)</t>
  </si>
  <si>
    <t xml:space="preserve">YIELDMAT(DATE(2023,2,28),DATE(2025,2,28),DATE(2023,1,31),0.05,98,4)</t>
  </si>
  <si>
    <t xml:space="preserve">ACCRINT(DATE(2023,2,28),DATE(2030,1,1),DATE(2025,2,28),0.05,1000,2,4)</t>
  </si>
  <si>
    <t xml:space="preserve">DURATION(DATE(2023,2,28),DATE(2025,2,28),0.05,0.08,2,4)</t>
  </si>
  <si>
    <t xml:space="preserve">PRICE(DATE(2023,2,28),DATE(2025,2,28),0.05,0.08,100,2,4)</t>
  </si>
  <si>
    <t xml:space="preserve">YIELD(DATE(2023,2,28),DATE(2025,2,28),0.05,95,100,2,4)</t>
  </si>
  <si>
    <t xml:space="preserve">TBILLPRICE(DATE(2023,2,28),DATE(2025,2,28),0.05)</t>
  </si>
  <si>
    <t xml:space="preserve">TBILLEQ(DATE(2023,2,28),DATE(2025,2,28),0.05)</t>
  </si>
  <si>
    <t xml:space="preserve">PRICEDISC(DATE(2023,2,28),DATE(2025,3,31),0.05,100,0)</t>
  </si>
  <si>
    <t xml:space="preserve">RECEIVED(DATE(2023,2,28),DATE(2025,3,31),1000,0.05,0)</t>
  </si>
  <si>
    <t xml:space="preserve">INTRATE(DATE(2023,2,28),DATE(2025,3,31),1000,1050,0)</t>
  </si>
  <si>
    <t xml:space="preserve">DISC(DATE(2023,2,28),DATE(2025,3,31),95,100,0)</t>
  </si>
  <si>
    <t xml:space="preserve">YIELDDISC(DATE(2023,2,28),DATE(2025,3,31),95,100,0)</t>
  </si>
  <si>
    <t xml:space="preserve">ACCRINTM(DATE(2023,2,28),DATE(2025,3,31),0.05,1000,0)</t>
  </si>
  <si>
    <t xml:space="preserve">PRICEMAT(DATE(2023,2,28),DATE(2025,3,31),DATE(2023,1,31),0.05,0.06,0)</t>
  </si>
  <si>
    <t xml:space="preserve">YIELDMAT(DATE(2023,2,28),DATE(2025,3,31),DATE(2023,1,31),0.05,98,0)</t>
  </si>
  <si>
    <t xml:space="preserve">ACCRINT(DATE(2023,2,28),DATE(2030,1,1),DATE(2025,3,31),0.05,1000,2,0)</t>
  </si>
  <si>
    <t xml:space="preserve">DURATION(DATE(2023,2,28),DATE(2025,3,31),0.05,0.08,2,0)</t>
  </si>
  <si>
    <t xml:space="preserve">PRICE(DATE(2023,2,28),DATE(2025,3,31),0.05,0.08,100,2,0)</t>
  </si>
  <si>
    <t xml:space="preserve">YIELD(DATE(2023,2,28),DATE(2025,3,31),0.05,95,100,2,0)</t>
  </si>
  <si>
    <t xml:space="preserve">PRICEDISC(DATE(2023,2,28),DATE(2025,3,31),0.05,100,1)</t>
  </si>
  <si>
    <t xml:space="preserve">RECEIVED(DATE(2023,2,28),DATE(2025,3,31),1000,0.05,1)</t>
  </si>
  <si>
    <t xml:space="preserve">INTRATE(DATE(2023,2,28),DATE(2025,3,31),1000,1050,1)</t>
  </si>
  <si>
    <t xml:space="preserve">DISC(DATE(2023,2,28),DATE(2025,3,31),95,100,1)</t>
  </si>
  <si>
    <t xml:space="preserve">YIELDDISC(DATE(2023,2,28),DATE(2025,3,31),95,100,1)</t>
  </si>
  <si>
    <t xml:space="preserve">ACCRINTM(DATE(2023,2,28),DATE(2025,3,31),0.05,1000,1)</t>
  </si>
  <si>
    <t xml:space="preserve">PRICEMAT(DATE(2023,2,28),DATE(2025,3,31),DATE(2023,1,31),0.05,0.06,1)</t>
  </si>
  <si>
    <t xml:space="preserve">YIELDMAT(DATE(2023,2,28),DATE(2025,3,31),DATE(2023,1,31),0.05,98,1)</t>
  </si>
  <si>
    <t xml:space="preserve">ACCRINT(DATE(2023,2,28),DATE(2030,1,1),DATE(2025,3,31),0.05,1000,2,1)</t>
  </si>
  <si>
    <t xml:space="preserve">DURATION(DATE(2023,2,28),DATE(2025,3,31),0.05,0.08,2,1)</t>
  </si>
  <si>
    <t xml:space="preserve">PRICE(DATE(2023,2,28),DATE(2025,3,31),0.05,0.08,100,2,1)</t>
  </si>
  <si>
    <t xml:space="preserve">YIELD(DATE(2023,2,28),DATE(2025,3,31),0.05,95,100,2,1)</t>
  </si>
  <si>
    <t xml:space="preserve">PRICEDISC(DATE(2023,2,28),DATE(2025,3,31),0.05,100,4)</t>
  </si>
  <si>
    <t xml:space="preserve">RECEIVED(DATE(2023,2,28),DATE(2025,3,31),1000,0.05,4)</t>
  </si>
  <si>
    <t xml:space="preserve">INTRATE(DATE(2023,2,28),DATE(2025,3,31),1000,1050,4)</t>
  </si>
  <si>
    <t xml:space="preserve">DISC(DATE(2023,2,28),DATE(2025,3,31),95,100,4)</t>
  </si>
  <si>
    <t xml:space="preserve">YIELDDISC(DATE(2023,2,28),DATE(2025,3,31),95,100,4)</t>
  </si>
  <si>
    <t xml:space="preserve">ACCRINTM(DATE(2023,2,28),DATE(2025,3,31),0.05,1000,4)</t>
  </si>
  <si>
    <t xml:space="preserve">PRICEMAT(DATE(2023,2,28),DATE(2025,3,31),DATE(2023,1,31),0.05,0.06,4)</t>
  </si>
  <si>
    <t xml:space="preserve">YIELDMAT(DATE(2023,2,28),DATE(2025,3,31),DATE(2023,1,31),0.05,98,4)</t>
  </si>
  <si>
    <t xml:space="preserve">ACCRINT(DATE(2023,2,28),DATE(2030,1,1),DATE(2025,3,31),0.05,1000,2,4)</t>
  </si>
  <si>
    <t xml:space="preserve">DURATION(DATE(2023,2,28),DATE(2025,3,31),0.05,0.08,2,4)</t>
  </si>
  <si>
    <t xml:space="preserve">PRICE(DATE(2023,2,28),DATE(2025,3,31),0.05,0.08,100,2,4)</t>
  </si>
  <si>
    <t xml:space="preserve">YIELD(DATE(2023,2,28),DATE(2025,3,31),0.05,95,100,2,4)</t>
  </si>
  <si>
    <t xml:space="preserve">TBILLPRICE(DATE(2023,2,28),DATE(2025,3,31),0.05)</t>
  </si>
  <si>
    <t xml:space="preserve">TBILLEQ(DATE(2023,2,28),DATE(2025,3,31),0.05)</t>
  </si>
  <si>
    <t xml:space="preserve">TBILLYIELD(DATE(2023,2,28),DATE(2025,3,31),98)</t>
  </si>
  <si>
    <t xml:space="preserve">PRICEDISC(DATE(2023,2,28),DATE(2024,8,31),0.05,100,0)</t>
  </si>
  <si>
    <t xml:space="preserve">RECEIVED(DATE(2023,2,28),DATE(2024,8,31),1000,0.05,0)</t>
  </si>
  <si>
    <t xml:space="preserve">INTRATE(DATE(2023,2,28),DATE(2024,8,31),1000,1050,0)</t>
  </si>
  <si>
    <t xml:space="preserve">DISC(DATE(2023,2,28),DATE(2024,8,31),95,100,0)</t>
  </si>
  <si>
    <t xml:space="preserve">YIELDDISC(DATE(2023,2,28),DATE(2024,8,31),95,100,0)</t>
  </si>
  <si>
    <t xml:space="preserve">ACCRINTM(DATE(2023,2,28),DATE(2024,8,31),0.05,1000,0)</t>
  </si>
  <si>
    <t xml:space="preserve">PRICEMAT(DATE(2023,2,28),DATE(2024,8,31),DATE(2023,1,31),0.05,0.06,0)</t>
  </si>
  <si>
    <t xml:space="preserve">YIELDMAT(DATE(2023,2,28),DATE(2024,8,31),DATE(2023,1,31),0.05,98,0)</t>
  </si>
  <si>
    <t xml:space="preserve">ACCRINT(DATE(2023,2,28),DATE(2030,1,1),DATE(2024,8,31),0.05,1000,2,0)</t>
  </si>
  <si>
    <t xml:space="preserve">DURATION(DATE(2023,2,28),DATE(2024,8,31),0.05,0.08,2,0)</t>
  </si>
  <si>
    <t xml:space="preserve">PRICE(DATE(2023,2,28),DATE(2024,8,31),0.05,0.08,100,2,0)</t>
  </si>
  <si>
    <t xml:space="preserve">YIELD(DATE(2023,2,28),DATE(2024,8,31),0.05,95,100,2,0)</t>
  </si>
  <si>
    <t xml:space="preserve">PRICEDISC(DATE(2023,2,28),DATE(2024,8,31),0.05,100,1)</t>
  </si>
  <si>
    <t xml:space="preserve">RECEIVED(DATE(2023,2,28),DATE(2024,8,31),1000,0.05,1)</t>
  </si>
  <si>
    <t xml:space="preserve">INTRATE(DATE(2023,2,28),DATE(2024,8,31),1000,1050,1)</t>
  </si>
  <si>
    <t xml:space="preserve">DISC(DATE(2023,2,28),DATE(2024,8,31),95,100,1)</t>
  </si>
  <si>
    <t xml:space="preserve">YIELDDISC(DATE(2023,2,28),DATE(2024,8,31),95,100,1)</t>
  </si>
  <si>
    <t xml:space="preserve">ACCRINTM(DATE(2023,2,28),DATE(2024,8,31),0.05,1000,1)</t>
  </si>
  <si>
    <t xml:space="preserve">PRICEMAT(DATE(2023,2,28),DATE(2024,8,31),DATE(2023,1,31),0.05,0.06,1)</t>
  </si>
  <si>
    <t xml:space="preserve">YIELDMAT(DATE(2023,2,28),DATE(2024,8,31),DATE(2023,1,31),0.05,98,1)</t>
  </si>
  <si>
    <t xml:space="preserve">ACCRINT(DATE(2023,2,28),DATE(2030,1,1),DATE(2024,8,31),0.05,1000,2,1)</t>
  </si>
  <si>
    <t xml:space="preserve">DURATION(DATE(2023,2,28),DATE(2024,8,31),0.05,0.08,2,1)</t>
  </si>
  <si>
    <t xml:space="preserve">PRICE(DATE(2023,2,28),DATE(2024,8,31),0.05,0.08,100,2,1)</t>
  </si>
  <si>
    <t xml:space="preserve">YIELD(DATE(2023,2,28),DATE(2024,8,31),0.05,95,100,2,1)</t>
  </si>
  <si>
    <t xml:space="preserve">PRICEDISC(DATE(2023,2,28),DATE(2024,8,31),0.05,100,4)</t>
  </si>
  <si>
    <t xml:space="preserve">RECEIVED(DATE(2023,2,28),DATE(2024,8,31),1000,0.05,4)</t>
  </si>
  <si>
    <t xml:space="preserve">INTRATE(DATE(2023,2,28),DATE(2024,8,31),1000,1050,4)</t>
  </si>
  <si>
    <t xml:space="preserve">DISC(DATE(2023,2,28),DATE(2024,8,31),95,100,4)</t>
  </si>
  <si>
    <t xml:space="preserve">YIELDDISC(DATE(2023,2,28),DATE(2024,8,31),95,100,4)</t>
  </si>
  <si>
    <t xml:space="preserve">ACCRINTM(DATE(2023,2,28),DATE(2024,8,31),0.05,1000,4)</t>
  </si>
  <si>
    <t xml:space="preserve">PRICEMAT(DATE(2023,2,28),DATE(2024,8,31),DATE(2023,1,31),0.05,0.06,4)</t>
  </si>
  <si>
    <t xml:space="preserve">YIELDMAT(DATE(2023,2,28),DATE(2024,8,31),DATE(2023,1,31),0.05,98,4)</t>
  </si>
  <si>
    <t xml:space="preserve">ACCRINT(DATE(2023,2,28),DATE(2030,1,1),DATE(2024,8,31),0.05,1000,2,4)</t>
  </si>
  <si>
    <t xml:space="preserve">DURATION(DATE(2023,2,28),DATE(2024,8,31),0.05,0.08,2,4)</t>
  </si>
  <si>
    <t xml:space="preserve">PRICE(DATE(2023,2,28),DATE(2024,8,31),0.05,0.08,100,2,4)</t>
  </si>
  <si>
    <t xml:space="preserve">YIELD(DATE(2023,2,28),DATE(2024,8,31),0.05,95,100,2,4)</t>
  </si>
  <si>
    <t xml:space="preserve">TBILLPRICE(DATE(2023,2,28),DATE(2024,8,31),0.05)</t>
  </si>
  <si>
    <t xml:space="preserve">TBILLEQ(DATE(2023,2,28),DATE(2024,8,31),0.05)</t>
  </si>
  <si>
    <t xml:space="preserve">TBILLYIELD(DATE(2023,2,28),DATE(2024,8,31),98)</t>
  </si>
  <si>
    <t xml:space="preserve">PRICEDISC(DATE(2023,2,28),DATE(2025,6,30),0.05,100,0)</t>
  </si>
  <si>
    <t xml:space="preserve">RECEIVED(DATE(2023,2,28),DATE(2025,6,30),1000,0.05,0)</t>
  </si>
  <si>
    <t xml:space="preserve">INTRATE(DATE(2023,2,28),DATE(2025,6,30),1000,1050,0)</t>
  </si>
  <si>
    <t xml:space="preserve">DISC(DATE(2023,2,28),DATE(2025,6,30),95,100,0)</t>
  </si>
  <si>
    <t xml:space="preserve">YIELDDISC(DATE(2023,2,28),DATE(2025,6,30),95,100,0)</t>
  </si>
  <si>
    <t xml:space="preserve">ACCRINTM(DATE(2023,2,28),DATE(2025,6,30),0.05,1000,0)</t>
  </si>
  <si>
    <t xml:space="preserve">PRICEMAT(DATE(2023,2,28),DATE(2025,6,30),DATE(2023,1,31),0.05,0.06,0)</t>
  </si>
  <si>
    <t xml:space="preserve">YIELDMAT(DATE(2023,2,28),DATE(2025,6,30),DATE(2023,1,31),0.05,98,0)</t>
  </si>
  <si>
    <t xml:space="preserve">ACCRINT(DATE(2023,2,28),DATE(2030,1,1),DATE(2025,6,30),0.05,1000,2,0)</t>
  </si>
  <si>
    <t xml:space="preserve">DURATION(DATE(2023,2,28),DATE(2025,6,30),0.05,0.08,2,0)</t>
  </si>
  <si>
    <t xml:space="preserve">PRICE(DATE(2023,2,28),DATE(2025,6,30),0.05,0.08,100,2,0)</t>
  </si>
  <si>
    <t xml:space="preserve">YIELD(DATE(2023,2,28),DATE(2025,6,30),0.05,95,100,2,0)</t>
  </si>
  <si>
    <t xml:space="preserve">PRICEDISC(DATE(2023,2,28),DATE(2025,6,30),0.05,100,1)</t>
  </si>
  <si>
    <t xml:space="preserve">RECEIVED(DATE(2023,2,28),DATE(2025,6,30),1000,0.05,1)</t>
  </si>
  <si>
    <t xml:space="preserve">INTRATE(DATE(2023,2,28),DATE(2025,6,30),1000,1050,1)</t>
  </si>
  <si>
    <t xml:space="preserve">DISC(DATE(2023,2,28),DATE(2025,6,30),95,100,1)</t>
  </si>
  <si>
    <t xml:space="preserve">YIELDDISC(DATE(2023,2,28),DATE(2025,6,30),95,100,1)</t>
  </si>
  <si>
    <t xml:space="preserve">ACCRINTM(DATE(2023,2,28),DATE(2025,6,30),0.05,1000,1)</t>
  </si>
  <si>
    <t xml:space="preserve">PRICEMAT(DATE(2023,2,28),DATE(2025,6,30),DATE(2023,1,31),0.05,0.06,1)</t>
  </si>
  <si>
    <t xml:space="preserve">YIELDMAT(DATE(2023,2,28),DATE(2025,6,30),DATE(2023,1,31),0.05,98,1)</t>
  </si>
  <si>
    <t xml:space="preserve">ACCRINT(DATE(2023,2,28),DATE(2030,1,1),DATE(2025,6,30),0.05,1000,2,1)</t>
  </si>
  <si>
    <t xml:space="preserve">DURATION(DATE(2023,2,28),DATE(2025,6,30),0.05,0.08,2,1)</t>
  </si>
  <si>
    <t xml:space="preserve">PRICE(DATE(2023,2,28),DATE(2025,6,30),0.05,0.08,100,2,1)</t>
  </si>
  <si>
    <t xml:space="preserve">YIELD(DATE(2023,2,28),DATE(2025,6,30),0.05,95,100,2,1)</t>
  </si>
  <si>
    <t xml:space="preserve">PRICEDISC(DATE(2023,2,28),DATE(2025,6,30),0.05,100,4)</t>
  </si>
  <si>
    <t xml:space="preserve">RECEIVED(DATE(2023,2,28),DATE(2025,6,30),1000,0.05,4)</t>
  </si>
  <si>
    <t xml:space="preserve">INTRATE(DATE(2023,2,28),DATE(2025,6,30),1000,1050,4)</t>
  </si>
  <si>
    <t xml:space="preserve">DISC(DATE(2023,2,28),DATE(2025,6,30),95,100,4)</t>
  </si>
  <si>
    <t xml:space="preserve">YIELDDISC(DATE(2023,2,28),DATE(2025,6,30),95,100,4)</t>
  </si>
  <si>
    <t xml:space="preserve">ACCRINTM(DATE(2023,2,28),DATE(2025,6,30),0.05,1000,4)</t>
  </si>
  <si>
    <t xml:space="preserve">PRICEMAT(DATE(2023,2,28),DATE(2025,6,30),DATE(2023,1,31),0.05,0.06,4)</t>
  </si>
  <si>
    <t xml:space="preserve">YIELDMAT(DATE(2023,2,28),DATE(2025,6,30),DATE(2023,1,31),0.05,98,4)</t>
  </si>
  <si>
    <t xml:space="preserve">ACCRINT(DATE(2023,2,28),DATE(2030,1,1),DATE(2025,6,30),0.05,1000,2,4)</t>
  </si>
  <si>
    <t xml:space="preserve">DURATION(DATE(2023,2,28),DATE(2025,6,30),0.05,0.08,2,4)</t>
  </si>
  <si>
    <t xml:space="preserve">PRICE(DATE(2023,2,28),DATE(2025,6,30),0.05,0.08,100,2,4)</t>
  </si>
  <si>
    <t xml:space="preserve">YIELD(DATE(2023,2,28),DATE(2025,6,30),0.05,95,100,2,4)</t>
  </si>
  <si>
    <t xml:space="preserve">TBILLPRICE(DATE(2023,2,28),DATE(2025,6,30),0.05)</t>
  </si>
  <si>
    <t xml:space="preserve">TBILLEQ(DATE(2023,2,28),DATE(2025,6,30),0.05)</t>
  </si>
  <si>
    <t xml:space="preserve">TBILLYIELD(DATE(2023,2,28),DATE(2025,6,30),98)</t>
  </si>
  <si>
    <t xml:space="preserve">PRICEDISC(DATE(2023,2,28),DATE(2026,12,31),0.05,100,0)</t>
  </si>
  <si>
    <t xml:space="preserve">RECEIVED(DATE(2023,2,28),DATE(2026,12,31),1000,0.05,0)</t>
  </si>
  <si>
    <t xml:space="preserve">INTRATE(DATE(2023,2,28),DATE(2026,12,31),1000,1050,0)</t>
  </si>
  <si>
    <t xml:space="preserve">DISC(DATE(2023,2,28),DATE(2026,12,31),95,100,0)</t>
  </si>
  <si>
    <t xml:space="preserve">YIELDDISC(DATE(2023,2,28),DATE(2026,12,31),95,100,0)</t>
  </si>
  <si>
    <t xml:space="preserve">ACCRINTM(DATE(2023,2,28),DATE(2026,12,31),0.05,1000,0)</t>
  </si>
  <si>
    <t xml:space="preserve">PRICEMAT(DATE(2023,2,28),DATE(2026,12,31),DATE(2023,1,31),0.05,0.06,0)</t>
  </si>
  <si>
    <t xml:space="preserve">YIELDMAT(DATE(2023,2,28),DATE(2026,12,31),DATE(2023,1,31),0.05,98,0)</t>
  </si>
  <si>
    <t xml:space="preserve">ACCRINT(DATE(2023,2,28),DATE(2030,1,1),DATE(2026,12,31),0.05,1000,2,0)</t>
  </si>
  <si>
    <t xml:space="preserve">DURATION(DATE(2023,2,28),DATE(2026,12,31),0.05,0.08,2,0)</t>
  </si>
  <si>
    <t xml:space="preserve">PRICE(DATE(2023,2,28),DATE(2026,12,31),0.05,0.08,100,2,0)</t>
  </si>
  <si>
    <t xml:space="preserve">YIELD(DATE(2023,2,28),DATE(2026,12,31),0.05,95,100,2,0)</t>
  </si>
  <si>
    <t xml:space="preserve">PRICEDISC(DATE(2023,2,28),DATE(2026,12,31),0.05,100,1)</t>
  </si>
  <si>
    <t xml:space="preserve">RECEIVED(DATE(2023,2,28),DATE(2026,12,31),1000,0.05,1)</t>
  </si>
  <si>
    <t xml:space="preserve">INTRATE(DATE(2023,2,28),DATE(2026,12,31),1000,1050,1)</t>
  </si>
  <si>
    <t xml:space="preserve">DISC(DATE(2023,2,28),DATE(2026,12,31),95,100,1)</t>
  </si>
  <si>
    <t xml:space="preserve">YIELDDISC(DATE(2023,2,28),DATE(2026,12,31),95,100,1)</t>
  </si>
  <si>
    <t xml:space="preserve">ACCRINTM(DATE(2023,2,28),DATE(2026,12,31),0.05,1000,1)</t>
  </si>
  <si>
    <t xml:space="preserve">PRICEMAT(DATE(2023,2,28),DATE(2026,12,31),DATE(2023,1,31),0.05,0.06,1)</t>
  </si>
  <si>
    <t xml:space="preserve">YIELDMAT(DATE(2023,2,28),DATE(2026,12,31),DATE(2023,1,31),0.05,98,1)</t>
  </si>
  <si>
    <t xml:space="preserve">ACCRINT(DATE(2023,2,28),DATE(2030,1,1),DATE(2026,12,31),0.05,1000,2,1)</t>
  </si>
  <si>
    <t xml:space="preserve">DURATION(DATE(2023,2,28),DATE(2026,12,31),0.05,0.08,2,1)</t>
  </si>
  <si>
    <t xml:space="preserve">PRICE(DATE(2023,2,28),DATE(2026,12,31),0.05,0.08,100,2,1)</t>
  </si>
  <si>
    <t xml:space="preserve">YIELD(DATE(2023,2,28),DATE(2026,12,31),0.05,95,100,2,1)</t>
  </si>
  <si>
    <t xml:space="preserve">PRICEDISC(DATE(2023,2,28),DATE(2026,12,31),0.05,100,4)</t>
  </si>
  <si>
    <t xml:space="preserve">RECEIVED(DATE(2023,2,28),DATE(2026,12,31),1000,0.05,4)</t>
  </si>
  <si>
    <t xml:space="preserve">INTRATE(DATE(2023,2,28),DATE(2026,12,31),1000,1050,4)</t>
  </si>
  <si>
    <t xml:space="preserve">DISC(DATE(2023,2,28),DATE(2026,12,31),95,100,4)</t>
  </si>
  <si>
    <t xml:space="preserve">YIELDDISC(DATE(2023,2,28),DATE(2026,12,31),95,100,4)</t>
  </si>
  <si>
    <t xml:space="preserve">ACCRINTM(DATE(2023,2,28),DATE(2026,12,31),0.05,1000,4)</t>
  </si>
  <si>
    <t xml:space="preserve">PRICEMAT(DATE(2023,2,28),DATE(2026,12,31),DATE(2023,1,31),0.05,0.06,4)</t>
  </si>
  <si>
    <t xml:space="preserve">YIELDMAT(DATE(2023,2,28),DATE(2026,12,31),DATE(2023,1,31),0.05,98,4)</t>
  </si>
  <si>
    <t xml:space="preserve">ACCRINT(DATE(2023,2,28),DATE(2030,1,1),DATE(2026,12,31),0.05,1000,2,4)</t>
  </si>
  <si>
    <t xml:space="preserve">DURATION(DATE(2023,2,28),DATE(2026,12,31),0.05,0.08,2,4)</t>
  </si>
  <si>
    <t xml:space="preserve">PRICE(DATE(2023,2,28),DATE(2026,12,31),0.05,0.08,100,2,4)</t>
  </si>
  <si>
    <t xml:space="preserve">YIELD(DATE(2023,2,28),DATE(2026,12,31),0.05,95,100,2,4)</t>
  </si>
  <si>
    <t xml:space="preserve">TBILLPRICE(DATE(2023,2,28),DATE(2026,12,31),0.05)</t>
  </si>
  <si>
    <t xml:space="preserve">TBILLEQ(DATE(2023,2,28),DATE(2026,12,31),0.05)</t>
  </si>
  <si>
    <t xml:space="preserve">TBILLYIELD(DATE(2023,2,28),DATE(2026,12,31),98)</t>
  </si>
  <si>
    <t xml:space="preserve">PRICEDISC(DATE(2023,2,28),DATE(2027,2,28),0.05,100,0)</t>
  </si>
  <si>
    <t xml:space="preserve">RECEIVED(DATE(2023,2,28),DATE(2027,2,28),1000,0.05,0)</t>
  </si>
  <si>
    <t xml:space="preserve">INTRATE(DATE(2023,2,28),DATE(2027,2,28),1000,1050,0)</t>
  </si>
  <si>
    <t xml:space="preserve">DISC(DATE(2023,2,28),DATE(2027,2,28),95,100,0)</t>
  </si>
  <si>
    <t xml:space="preserve">YIELDDISC(DATE(2023,2,28),DATE(2027,2,28),95,100,0)</t>
  </si>
  <si>
    <t xml:space="preserve">ACCRINTM(DATE(2023,2,28),DATE(2027,2,28),0.05,1000,0)</t>
  </si>
  <si>
    <t xml:space="preserve">PRICEMAT(DATE(2023,2,28),DATE(2027,2,28),DATE(2023,1,31),0.05,0.06,0)</t>
  </si>
  <si>
    <t xml:space="preserve">YIELDMAT(DATE(2023,2,28),DATE(2027,2,28),DATE(2023,1,31),0.05,98,0)</t>
  </si>
  <si>
    <t xml:space="preserve">ACCRINT(DATE(2023,2,28),DATE(2030,1,1),DATE(2027,2,28),0.05,1000,2,0)</t>
  </si>
  <si>
    <t xml:space="preserve">DURATION(DATE(2023,2,28),DATE(2027,2,28),0.05,0.08,2,0)</t>
  </si>
  <si>
    <t xml:space="preserve">PRICE(DATE(2023,2,28),DATE(2027,2,28),0.05,0.08,100,2,0)</t>
  </si>
  <si>
    <t xml:space="preserve">YIELD(DATE(2023,2,28),DATE(2027,2,28),0.05,95,100,2,0)</t>
  </si>
  <si>
    <t xml:space="preserve">PRICEDISC(DATE(2023,2,28),DATE(2027,2,28),0.05,100,1)</t>
  </si>
  <si>
    <t xml:space="preserve">RECEIVED(DATE(2023,2,28),DATE(2027,2,28),1000,0.05,1)</t>
  </si>
  <si>
    <t xml:space="preserve">INTRATE(DATE(2023,2,28),DATE(2027,2,28),1000,1050,1)</t>
  </si>
  <si>
    <t xml:space="preserve">DISC(DATE(2023,2,28),DATE(2027,2,28),95,100,1)</t>
  </si>
  <si>
    <t xml:space="preserve">YIELDDISC(DATE(2023,2,28),DATE(2027,2,28),95,100,1)</t>
  </si>
  <si>
    <t xml:space="preserve">ACCRINTM(DATE(2023,2,28),DATE(2027,2,28),0.05,1000,1)</t>
  </si>
  <si>
    <t xml:space="preserve">PRICEMAT(DATE(2023,2,28),DATE(2027,2,28),DATE(2023,1,31),0.05,0.06,1)</t>
  </si>
  <si>
    <t xml:space="preserve">YIELDMAT(DATE(2023,2,28),DATE(2027,2,28),DATE(2023,1,31),0.05,98,1)</t>
  </si>
  <si>
    <t xml:space="preserve">ACCRINT(DATE(2023,2,28),DATE(2030,1,1),DATE(2027,2,28),0.05,1000,2,1)</t>
  </si>
  <si>
    <t xml:space="preserve">DURATION(DATE(2023,2,28),DATE(2027,2,28),0.05,0.08,2,1)</t>
  </si>
  <si>
    <t xml:space="preserve">PRICE(DATE(2023,2,28),DATE(2027,2,28),0.05,0.08,100,2,1)</t>
  </si>
  <si>
    <t xml:space="preserve">YIELD(DATE(2023,2,28),DATE(2027,2,28),0.05,95,100,2,1)</t>
  </si>
  <si>
    <t xml:space="preserve">PRICEDISC(DATE(2023,2,28),DATE(2027,2,28),0.05,100,4)</t>
  </si>
  <si>
    <t xml:space="preserve">RECEIVED(DATE(2023,2,28),DATE(2027,2,28),1000,0.05,4)</t>
  </si>
  <si>
    <t xml:space="preserve">INTRATE(DATE(2023,2,28),DATE(2027,2,28),1000,1050,4)</t>
  </si>
  <si>
    <t xml:space="preserve">DISC(DATE(2023,2,28),DATE(2027,2,28),95,100,4)</t>
  </si>
  <si>
    <t xml:space="preserve">YIELDDISC(DATE(2023,2,28),DATE(2027,2,28),95,100,4)</t>
  </si>
  <si>
    <t xml:space="preserve">ACCRINTM(DATE(2023,2,28),DATE(2027,2,28),0.05,1000,4)</t>
  </si>
  <si>
    <t xml:space="preserve">PRICEMAT(DATE(2023,2,28),DATE(2027,2,28),DATE(2023,1,31),0.05,0.06,4)</t>
  </si>
  <si>
    <t xml:space="preserve">YIELDMAT(DATE(2023,2,28),DATE(2027,2,28),DATE(2023,1,31),0.05,98,4)</t>
  </si>
  <si>
    <t xml:space="preserve">ACCRINT(DATE(2023,2,28),DATE(2030,1,1),DATE(2027,2,28),0.05,1000,2,4)</t>
  </si>
  <si>
    <t xml:space="preserve">DURATION(DATE(2023,2,28),DATE(2027,2,28),0.05,0.08,2,4)</t>
  </si>
  <si>
    <t xml:space="preserve">PRICE(DATE(2023,2,28),DATE(2027,2,28),0.05,0.08,100,2,4)</t>
  </si>
  <si>
    <t xml:space="preserve">YIELD(DATE(2023,2,28),DATE(2027,2,28),0.05,95,100,2,4)</t>
  </si>
  <si>
    <t xml:space="preserve">TBILLPRICE(DATE(2023,2,28),DATE(2027,2,28),0.05)</t>
  </si>
  <si>
    <t xml:space="preserve">TBILLEQ(DATE(2023,2,28),DATE(2027,2,28),0.05)</t>
  </si>
  <si>
    <t xml:space="preserve">PRICEDISC(DATE(2023,2,28),DATE(2025,1,30),0.05,100,0)</t>
  </si>
  <si>
    <t xml:space="preserve">RECEIVED(DATE(2023,2,28),DATE(2025,1,30),1000,0.05,0)</t>
  </si>
  <si>
    <t xml:space="preserve">INTRATE(DATE(2023,2,28),DATE(2025,1,30),1000,1050,0)</t>
  </si>
  <si>
    <t xml:space="preserve">DISC(DATE(2023,2,28),DATE(2025,1,30),95,100,0)</t>
  </si>
  <si>
    <t xml:space="preserve">YIELDDISC(DATE(2023,2,28),DATE(2025,1,30),95,100,0)</t>
  </si>
  <si>
    <t xml:space="preserve">ACCRINTM(DATE(2023,2,28),DATE(2025,1,30),0.05,1000,0)</t>
  </si>
  <si>
    <t xml:space="preserve">PRICEMAT(DATE(2023,2,28),DATE(2025,1,30),DATE(2023,1,31),0.05,0.06,0)</t>
  </si>
  <si>
    <t xml:space="preserve">YIELDMAT(DATE(2023,2,28),DATE(2025,1,30),DATE(2023,1,31),0.05,98,0)</t>
  </si>
  <si>
    <t xml:space="preserve">ACCRINT(DATE(2023,2,28),DATE(2030,1,1),DATE(2025,1,30),0.05,1000,2,0)</t>
  </si>
  <si>
    <t xml:space="preserve">DURATION(DATE(2023,2,28),DATE(2025,1,30),0.05,0.08,2,0)</t>
  </si>
  <si>
    <t xml:space="preserve">PRICE(DATE(2023,2,28),DATE(2025,1,30),0.05,0.08,100,2,0)</t>
  </si>
  <si>
    <t xml:space="preserve">YIELD(DATE(2023,2,28),DATE(2025,1,30),0.05,95,100,2,0)</t>
  </si>
  <si>
    <t xml:space="preserve">PRICEDISC(DATE(2023,2,28),DATE(2025,1,30),0.05,100,1)</t>
  </si>
  <si>
    <t xml:space="preserve">RECEIVED(DATE(2023,2,28),DATE(2025,1,30),1000,0.05,1)</t>
  </si>
  <si>
    <t xml:space="preserve">INTRATE(DATE(2023,2,28),DATE(2025,1,30),1000,1050,1)</t>
  </si>
  <si>
    <t xml:space="preserve">DISC(DATE(2023,2,28),DATE(2025,1,30),95,100,1)</t>
  </si>
  <si>
    <t xml:space="preserve">YIELDDISC(DATE(2023,2,28),DATE(2025,1,30),95,100,1)</t>
  </si>
  <si>
    <t xml:space="preserve">ACCRINTM(DATE(2023,2,28),DATE(2025,1,30),0.05,1000,1)</t>
  </si>
  <si>
    <t xml:space="preserve">PRICEMAT(DATE(2023,2,28),DATE(2025,1,30),DATE(2023,1,31),0.05,0.06,1)</t>
  </si>
  <si>
    <t xml:space="preserve">YIELDMAT(DATE(2023,2,28),DATE(2025,1,30),DATE(2023,1,31),0.05,98,1)</t>
  </si>
  <si>
    <t xml:space="preserve">ACCRINT(DATE(2023,2,28),DATE(2030,1,1),DATE(2025,1,30),0.05,1000,2,1)</t>
  </si>
  <si>
    <t xml:space="preserve">DURATION(DATE(2023,2,28),DATE(2025,1,30),0.05,0.08,2,1)</t>
  </si>
  <si>
    <t xml:space="preserve">PRICE(DATE(2023,2,28),DATE(2025,1,30),0.05,0.08,100,2,1)</t>
  </si>
  <si>
    <t xml:space="preserve">YIELD(DATE(2023,2,28),DATE(2025,1,30),0.05,95,100,2,1)</t>
  </si>
  <si>
    <t xml:space="preserve">PRICEDISC(DATE(2023,2,28),DATE(2025,1,30),0.05,100,4)</t>
  </si>
  <si>
    <t xml:space="preserve">RECEIVED(DATE(2023,2,28),DATE(2025,1,30),1000,0.05,4)</t>
  </si>
  <si>
    <t xml:space="preserve">INTRATE(DATE(2023,2,28),DATE(2025,1,30),1000,1050,4)</t>
  </si>
  <si>
    <t xml:space="preserve">DISC(DATE(2023,2,28),DATE(2025,1,30),95,100,4)</t>
  </si>
  <si>
    <t xml:space="preserve">YIELDDISC(DATE(2023,2,28),DATE(2025,1,30),95,100,4)</t>
  </si>
  <si>
    <t xml:space="preserve">ACCRINTM(DATE(2023,2,28),DATE(2025,1,30),0.05,1000,4)</t>
  </si>
  <si>
    <t xml:space="preserve">PRICEMAT(DATE(2023,2,28),DATE(2025,1,30),DATE(2023,1,31),0.05,0.06,4)</t>
  </si>
  <si>
    <t xml:space="preserve">YIELDMAT(DATE(2023,2,28),DATE(2025,1,30),DATE(2023,1,31),0.05,98,4)</t>
  </si>
  <si>
    <t xml:space="preserve">ACCRINT(DATE(2023,2,28),DATE(2030,1,1),DATE(2025,1,30),0.05,1000,2,4)</t>
  </si>
  <si>
    <t xml:space="preserve">DURATION(DATE(2023,2,28),DATE(2025,1,30),0.05,0.08,2,4)</t>
  </si>
  <si>
    <t xml:space="preserve">PRICE(DATE(2023,2,28),DATE(2025,1,30),0.05,0.08,100,2,4)</t>
  </si>
  <si>
    <t xml:space="preserve">YIELD(DATE(2023,2,28),DATE(2025,1,30),0.05,95,100,2,4)</t>
  </si>
  <si>
    <t xml:space="preserve">TBILLPRICE(DATE(2023,2,28),DATE(2025,1,30),0.05)</t>
  </si>
  <si>
    <t xml:space="preserve">TBILLEQ(DATE(2023,2,28),DATE(2025,1,30),0.05)</t>
  </si>
  <si>
    <t xml:space="preserve">TBILLYIELD(DATE(2023,2,28),DATE(2025,1,30),98)</t>
  </si>
  <si>
    <t xml:space="preserve">PRICEDISC(DATE(2023,2,28),DATE(2024,12,31),0.05,100,0)</t>
  </si>
  <si>
    <t xml:space="preserve">RECEIVED(DATE(2023,2,28),DATE(2024,12,31),1000,0.05,0)</t>
  </si>
  <si>
    <t xml:space="preserve">INTRATE(DATE(2023,2,28),DATE(2024,12,31),1000,1050,0)</t>
  </si>
  <si>
    <t xml:space="preserve">DISC(DATE(2023,2,28),DATE(2024,12,31),95,100,0)</t>
  </si>
  <si>
    <t xml:space="preserve">YIELDDISC(DATE(2023,2,28),DATE(2024,12,31),95,100,0)</t>
  </si>
  <si>
    <t xml:space="preserve">ACCRINTM(DATE(2023,2,28),DATE(2024,12,31),0.05,1000,0)</t>
  </si>
  <si>
    <t xml:space="preserve">PRICEMAT(DATE(2023,2,28),DATE(2024,12,31),DATE(2023,1,31),0.05,0.06,0)</t>
  </si>
  <si>
    <t xml:space="preserve">YIELDMAT(DATE(2023,2,28),DATE(2024,12,31),DATE(2023,1,31),0.05,98,0)</t>
  </si>
  <si>
    <t xml:space="preserve">ACCRINT(DATE(2023,2,28),DATE(2030,1,1),DATE(2024,12,31),0.05,1000,2,0)</t>
  </si>
  <si>
    <t xml:space="preserve">DURATION(DATE(2023,2,28),DATE(2024,12,31),0.05,0.08,2,0)</t>
  </si>
  <si>
    <t xml:space="preserve">PRICE(DATE(2023,2,28),DATE(2024,12,31),0.05,0.08,100,2,0)</t>
  </si>
  <si>
    <t xml:space="preserve">YIELD(DATE(2023,2,28),DATE(2024,12,31),0.05,95,100,2,0)</t>
  </si>
  <si>
    <t xml:space="preserve">PRICEDISC(DATE(2023,2,28),DATE(2024,12,31),0.05,100,1)</t>
  </si>
  <si>
    <t xml:space="preserve">RECEIVED(DATE(2023,2,28),DATE(2024,12,31),1000,0.05,1)</t>
  </si>
  <si>
    <t xml:space="preserve">INTRATE(DATE(2023,2,28),DATE(2024,12,31),1000,1050,1)</t>
  </si>
  <si>
    <t xml:space="preserve">DISC(DATE(2023,2,28),DATE(2024,12,31),95,100,1)</t>
  </si>
  <si>
    <t xml:space="preserve">YIELDDISC(DATE(2023,2,28),DATE(2024,12,31),95,100,1)</t>
  </si>
  <si>
    <t xml:space="preserve">ACCRINTM(DATE(2023,2,28),DATE(2024,12,31),0.05,1000,1)</t>
  </si>
  <si>
    <t xml:space="preserve">PRICEMAT(DATE(2023,2,28),DATE(2024,12,31),DATE(2023,1,31),0.05,0.06,1)</t>
  </si>
  <si>
    <t xml:space="preserve">YIELDMAT(DATE(2023,2,28),DATE(2024,12,31),DATE(2023,1,31),0.05,98,1)</t>
  </si>
  <si>
    <t xml:space="preserve">ACCRINT(DATE(2023,2,28),DATE(2030,1,1),DATE(2024,12,31),0.05,1000,2,1)</t>
  </si>
  <si>
    <t xml:space="preserve">DURATION(DATE(2023,2,28),DATE(2024,12,31),0.05,0.08,2,1)</t>
  </si>
  <si>
    <t xml:space="preserve">PRICE(DATE(2023,2,28),DATE(2024,12,31),0.05,0.08,100,2,1)</t>
  </si>
  <si>
    <t xml:space="preserve">YIELD(DATE(2023,2,28),DATE(2024,12,31),0.05,95,100,2,1)</t>
  </si>
  <si>
    <t xml:space="preserve">PRICEDISC(DATE(2023,2,28),DATE(2024,12,31),0.05,100,4)</t>
  </si>
  <si>
    <t xml:space="preserve">RECEIVED(DATE(2023,2,28),DATE(2024,12,31),1000,0.05,4)</t>
  </si>
  <si>
    <t xml:space="preserve">INTRATE(DATE(2023,2,28),DATE(2024,12,31),1000,1050,4)</t>
  </si>
  <si>
    <t xml:space="preserve">DISC(DATE(2023,2,28),DATE(2024,12,31),95,100,4)</t>
  </si>
  <si>
    <t xml:space="preserve">YIELDDISC(DATE(2023,2,28),DATE(2024,12,31),95,100,4)</t>
  </si>
  <si>
    <t xml:space="preserve">ACCRINTM(DATE(2023,2,28),DATE(2024,12,31),0.05,1000,4)</t>
  </si>
  <si>
    <t xml:space="preserve">PRICEMAT(DATE(2023,2,28),DATE(2024,12,31),DATE(2023,1,31),0.05,0.06,4)</t>
  </si>
  <si>
    <t xml:space="preserve">YIELDMAT(DATE(2023,2,28),DATE(2024,12,31),DATE(2023,1,31),0.05,98,4)</t>
  </si>
  <si>
    <t xml:space="preserve">ACCRINT(DATE(2023,2,28),DATE(2030,1,1),DATE(2024,12,31),0.05,1000,2,4)</t>
  </si>
  <si>
    <t xml:space="preserve">DURATION(DATE(2023,2,28),DATE(2024,12,31),0.05,0.08,2,4)</t>
  </si>
  <si>
    <t xml:space="preserve">PRICE(DATE(2023,2,28),DATE(2024,12,31),0.05,0.08,100,2,4)</t>
  </si>
  <si>
    <t xml:space="preserve">YIELD(DATE(2023,2,28),DATE(2024,12,31),0.05,95,100,2,4)</t>
  </si>
  <si>
    <t xml:space="preserve">TBILLPRICE(DATE(2023,2,28),DATE(2024,12,31),0.05)</t>
  </si>
  <si>
    <t xml:space="preserve">TBILLEQ(DATE(2023,2,28),DATE(2024,12,31),0.05)</t>
  </si>
  <si>
    <t xml:space="preserve">TBILLYIELD(DATE(2023,2,28),DATE(2024,12,31),98)</t>
  </si>
  <si>
    <t xml:space="preserve">PRICEDISC(DATE(2024,5,31),DATE(2025,2,28),0.05,100,0)</t>
  </si>
  <si>
    <t xml:space="preserve">RECEIVED(DATE(2024,5,31),DATE(2025,2,28),1000,0.05,0)</t>
  </si>
  <si>
    <t xml:space="preserve">INTRATE(DATE(2024,5,31),DATE(2025,2,28),1000,1050,0)</t>
  </si>
  <si>
    <t xml:space="preserve">DISC(DATE(2024,5,31),DATE(2025,2,28),95,100,0)</t>
  </si>
  <si>
    <t xml:space="preserve">YIELDDISC(DATE(2024,5,31),DATE(2025,2,28),95,100,0)</t>
  </si>
  <si>
    <t xml:space="preserve">ACCRINTM(DATE(2024,5,31),DATE(2025,2,28),0.05,1000,0)</t>
  </si>
  <si>
    <t xml:space="preserve">PRICEMAT(DATE(2024,5,31),DATE(2025,2,28),DATE(2023,1,31),0.05,0.06,0)</t>
  </si>
  <si>
    <t xml:space="preserve">YIELDMAT(DATE(2024,5,31),DATE(2025,2,28),DATE(2023,1,31),0.05,98,0)</t>
  </si>
  <si>
    <t xml:space="preserve">ACCRINT(DATE(2024,5,31),DATE(2030,1,1),DATE(2025,2,28),0.05,1000,2,0)</t>
  </si>
  <si>
    <t xml:space="preserve">DURATION(DATE(2024,5,31),DATE(2025,2,28),0.05,0.08,2,0)</t>
  </si>
  <si>
    <t xml:space="preserve">PRICE(DATE(2024,5,31),DATE(2025,2,28),0.05,0.08,100,2,0)</t>
  </si>
  <si>
    <t xml:space="preserve">YIELD(DATE(2024,5,31),DATE(2025,2,28),0.05,95,100,2,0)</t>
  </si>
  <si>
    <t xml:space="preserve">PRICEDISC(DATE(2024,5,31),DATE(2025,2,28),0.05,100,1)</t>
  </si>
  <si>
    <t xml:space="preserve">RECEIVED(DATE(2024,5,31),DATE(2025,2,28),1000,0.05,1)</t>
  </si>
  <si>
    <t xml:space="preserve">INTRATE(DATE(2024,5,31),DATE(2025,2,28),1000,1050,1)</t>
  </si>
  <si>
    <t xml:space="preserve">DISC(DATE(2024,5,31),DATE(2025,2,28),95,100,1)</t>
  </si>
  <si>
    <t xml:space="preserve">YIELDDISC(DATE(2024,5,31),DATE(2025,2,28),95,100,1)</t>
  </si>
  <si>
    <t xml:space="preserve">ACCRINTM(DATE(2024,5,31),DATE(2025,2,28),0.05,1000,1)</t>
  </si>
  <si>
    <t xml:space="preserve">PRICEMAT(DATE(2024,5,31),DATE(2025,2,28),DATE(2023,1,31),0.05,0.06,1)</t>
  </si>
  <si>
    <t xml:space="preserve">YIELDMAT(DATE(2024,5,31),DATE(2025,2,28),DATE(2023,1,31),0.05,98,1)</t>
  </si>
  <si>
    <t xml:space="preserve">ACCRINT(DATE(2024,5,31),DATE(2030,1,1),DATE(2025,2,28),0.05,1000,2,1)</t>
  </si>
  <si>
    <t xml:space="preserve">DURATION(DATE(2024,5,31),DATE(2025,2,28),0.05,0.08,2,1)</t>
  </si>
  <si>
    <t xml:space="preserve">PRICE(DATE(2024,5,31),DATE(2025,2,28),0.05,0.08,100,2,1)</t>
  </si>
  <si>
    <t xml:space="preserve">YIELD(DATE(2024,5,31),DATE(2025,2,28),0.05,95,100,2,1)</t>
  </si>
  <si>
    <t xml:space="preserve">PRICEDISC(DATE(2024,5,31),DATE(2025,2,28),0.05,100,4)</t>
  </si>
  <si>
    <t xml:space="preserve">RECEIVED(DATE(2024,5,31),DATE(2025,2,28),1000,0.05,4)</t>
  </si>
  <si>
    <t xml:space="preserve">INTRATE(DATE(2024,5,31),DATE(2025,2,28),1000,1050,4)</t>
  </si>
  <si>
    <t xml:space="preserve">DISC(DATE(2024,5,31),DATE(2025,2,28),95,100,4)</t>
  </si>
  <si>
    <t xml:space="preserve">YIELDDISC(DATE(2024,5,31),DATE(2025,2,28),95,100,4)</t>
  </si>
  <si>
    <t xml:space="preserve">ACCRINTM(DATE(2024,5,31),DATE(2025,2,28),0.05,1000,4)</t>
  </si>
  <si>
    <t xml:space="preserve">PRICEMAT(DATE(2024,5,31),DATE(2025,2,28),DATE(2023,1,31),0.05,0.06,4)</t>
  </si>
  <si>
    <t xml:space="preserve">YIELDMAT(DATE(2024,5,31),DATE(2025,2,28),DATE(2023,1,31),0.05,98,4)</t>
  </si>
  <si>
    <t xml:space="preserve">ACCRINT(DATE(2024,5,31),DATE(2030,1,1),DATE(2025,2,28),0.05,1000,2,4)</t>
  </si>
  <si>
    <t xml:space="preserve">DURATION(DATE(2024,5,31),DATE(2025,2,28),0.05,0.08,2,4)</t>
  </si>
  <si>
    <t xml:space="preserve">PRICE(DATE(2024,5,31),DATE(2025,2,28),0.05,0.08,100,2,4)</t>
  </si>
  <si>
    <t xml:space="preserve">YIELD(DATE(2024,5,31),DATE(2025,2,28),0.05,95,100,2,4)</t>
  </si>
  <si>
    <t xml:space="preserve">TBILLPRICE(DATE(2024,5,31),DATE(2025,2,28),0.05)</t>
  </si>
  <si>
    <t xml:space="preserve">TBILLEQ(DATE(2024,5,31),DATE(2025,2,28),0.05)</t>
  </si>
  <si>
    <t xml:space="preserve">TBILLYIELD(DATE(2024,5,31),DATE(2025,2,28),98)</t>
  </si>
  <si>
    <t xml:space="preserve">PRICEDISC(DATE(2024,5,31),DATE(2025,3,31),0.05,100,0)</t>
  </si>
  <si>
    <t xml:space="preserve">RECEIVED(DATE(2024,5,31),DATE(2025,3,31),1000,0.05,0)</t>
  </si>
  <si>
    <t xml:space="preserve">INTRATE(DATE(2024,5,31),DATE(2025,3,31),1000,1050,0)</t>
  </si>
  <si>
    <t xml:space="preserve">DISC(DATE(2024,5,31),DATE(2025,3,31),95,100,0)</t>
  </si>
  <si>
    <t xml:space="preserve">YIELDDISC(DATE(2024,5,31),DATE(2025,3,31),95,100,0)</t>
  </si>
  <si>
    <t xml:space="preserve">ACCRINTM(DATE(2024,5,31),DATE(2025,3,31),0.05,1000,0)</t>
  </si>
  <si>
    <t xml:space="preserve">PRICEMAT(DATE(2024,5,31),DATE(2025,3,31),DATE(2023,1,31),0.05,0.06,0)</t>
  </si>
  <si>
    <t xml:space="preserve">YIELDMAT(DATE(2024,5,31),DATE(2025,3,31),DATE(2023,1,31),0.05,98,0)</t>
  </si>
  <si>
    <t xml:space="preserve">ACCRINT(DATE(2024,5,31),DATE(2030,1,1),DATE(2025,3,31),0.05,1000,2,0)</t>
  </si>
  <si>
    <t xml:space="preserve">DURATION(DATE(2024,5,31),DATE(2025,3,31),0.05,0.08,2,0)</t>
  </si>
  <si>
    <t xml:space="preserve">PRICE(DATE(2024,5,31),DATE(2025,3,31),0.05,0.08,100,2,0)</t>
  </si>
  <si>
    <t xml:space="preserve">YIELD(DATE(2024,5,31),DATE(2025,3,31),0.05,95,100,2,0)</t>
  </si>
  <si>
    <t xml:space="preserve">PRICEDISC(DATE(2024,5,31),DATE(2025,3,31),0.05,100,1)</t>
  </si>
  <si>
    <t xml:space="preserve">RECEIVED(DATE(2024,5,31),DATE(2025,3,31),1000,0.05,1)</t>
  </si>
  <si>
    <t xml:space="preserve">INTRATE(DATE(2024,5,31),DATE(2025,3,31),1000,1050,1)</t>
  </si>
  <si>
    <t xml:space="preserve">DISC(DATE(2024,5,31),DATE(2025,3,31),95,100,1)</t>
  </si>
  <si>
    <t xml:space="preserve">YIELDDISC(DATE(2024,5,31),DATE(2025,3,31),95,100,1)</t>
  </si>
  <si>
    <t xml:space="preserve">ACCRINTM(DATE(2024,5,31),DATE(2025,3,31),0.05,1000,1)</t>
  </si>
  <si>
    <t xml:space="preserve">PRICEMAT(DATE(2024,5,31),DATE(2025,3,31),DATE(2023,1,31),0.05,0.06,1)</t>
  </si>
  <si>
    <t xml:space="preserve">YIELDMAT(DATE(2024,5,31),DATE(2025,3,31),DATE(2023,1,31),0.05,98,1)</t>
  </si>
  <si>
    <t xml:space="preserve">ACCRINT(DATE(2024,5,31),DATE(2030,1,1),DATE(2025,3,31),0.05,1000,2,1)</t>
  </si>
  <si>
    <t xml:space="preserve">DURATION(DATE(2024,5,31),DATE(2025,3,31),0.05,0.08,2,1)</t>
  </si>
  <si>
    <t xml:space="preserve">PRICE(DATE(2024,5,31),DATE(2025,3,31),0.05,0.08,100,2,1)</t>
  </si>
  <si>
    <t xml:space="preserve">YIELD(DATE(2024,5,31),DATE(2025,3,31),0.05,95,100,2,1)</t>
  </si>
  <si>
    <t xml:space="preserve">PRICEDISC(DATE(2024,5,31),DATE(2025,3,31),0.05,100,4)</t>
  </si>
  <si>
    <t xml:space="preserve">RECEIVED(DATE(2024,5,31),DATE(2025,3,31),1000,0.05,4)</t>
  </si>
  <si>
    <t xml:space="preserve">INTRATE(DATE(2024,5,31),DATE(2025,3,31),1000,1050,4)</t>
  </si>
  <si>
    <t xml:space="preserve">DISC(DATE(2024,5,31),DATE(2025,3,31),95,100,4)</t>
  </si>
  <si>
    <t xml:space="preserve">YIELDDISC(DATE(2024,5,31),DATE(2025,3,31),95,100,4)</t>
  </si>
  <si>
    <t xml:space="preserve">ACCRINTM(DATE(2024,5,31),DATE(2025,3,31),0.05,1000,4)</t>
  </si>
  <si>
    <t xml:space="preserve">PRICEMAT(DATE(2024,5,31),DATE(2025,3,31),DATE(2023,1,31),0.05,0.06,4)</t>
  </si>
  <si>
    <t xml:space="preserve">YIELDMAT(DATE(2024,5,31),DATE(2025,3,31),DATE(2023,1,31),0.05,98,4)</t>
  </si>
  <si>
    <t xml:space="preserve">ACCRINT(DATE(2024,5,31),DATE(2030,1,1),DATE(2025,3,31),0.05,1000,2,4)</t>
  </si>
  <si>
    <t xml:space="preserve">DURATION(DATE(2024,5,31),DATE(2025,3,31),0.05,0.08,2,4)</t>
  </si>
  <si>
    <t xml:space="preserve">PRICE(DATE(2024,5,31),DATE(2025,3,31),0.05,0.08,100,2,4)</t>
  </si>
  <si>
    <t xml:space="preserve">YIELD(DATE(2024,5,31),DATE(2025,3,31),0.05,95,100,2,4)</t>
  </si>
  <si>
    <t xml:space="preserve">TBILLPRICE(DATE(2024,5,31),DATE(2025,3,31),0.05)</t>
  </si>
  <si>
    <t xml:space="preserve">TBILLEQ(DATE(2024,5,31),DATE(2025,3,31),0.05)</t>
  </si>
  <si>
    <t xml:space="preserve">TBILLYIELD(DATE(2024,5,31),DATE(2025,3,31),98)</t>
  </si>
  <si>
    <t xml:space="preserve">PRICEDISC(DATE(2024,5,31),DATE(2024,8,31),0.05,100,0)</t>
  </si>
  <si>
    <t xml:space="preserve">RECEIVED(DATE(2024,5,31),DATE(2024,8,31),1000,0.05,0)</t>
  </si>
  <si>
    <t xml:space="preserve">INTRATE(DATE(2024,5,31),DATE(2024,8,31),1000,1050,0)</t>
  </si>
  <si>
    <t xml:space="preserve">DISC(DATE(2024,5,31),DATE(2024,8,31),95,100,0)</t>
  </si>
  <si>
    <t xml:space="preserve">YIELDDISC(DATE(2024,5,31),DATE(2024,8,31),95,100,0)</t>
  </si>
  <si>
    <t xml:space="preserve">ACCRINTM(DATE(2024,5,31),DATE(2024,8,31),0.05,1000,0)</t>
  </si>
  <si>
    <t xml:space="preserve">PRICEMAT(DATE(2024,5,31),DATE(2024,8,31),DATE(2023,1,31),0.05,0.06,0)</t>
  </si>
  <si>
    <t xml:space="preserve">YIELDMAT(DATE(2024,5,31),DATE(2024,8,31),DATE(2023,1,31),0.05,98,0)</t>
  </si>
  <si>
    <t xml:space="preserve">ACCRINT(DATE(2024,5,31),DATE(2030,1,1),DATE(2024,8,31),0.05,1000,2,0)</t>
  </si>
  <si>
    <t xml:space="preserve">DURATION(DATE(2024,5,31),DATE(2024,8,31),0.05,0.08,2,0)</t>
  </si>
  <si>
    <t xml:space="preserve">PRICE(DATE(2024,5,31),DATE(2024,8,31),0.05,0.08,100,2,0)</t>
  </si>
  <si>
    <t xml:space="preserve">YIELD(DATE(2024,5,31),DATE(2024,8,31),0.05,95,100,2,0)</t>
  </si>
  <si>
    <t xml:space="preserve">PRICEDISC(DATE(2024,5,31),DATE(2024,8,31),0.05,100,1)</t>
  </si>
  <si>
    <t xml:space="preserve">RECEIVED(DATE(2024,5,31),DATE(2024,8,31),1000,0.05,1)</t>
  </si>
  <si>
    <t xml:space="preserve">INTRATE(DATE(2024,5,31),DATE(2024,8,31),1000,1050,1)</t>
  </si>
  <si>
    <t xml:space="preserve">DISC(DATE(2024,5,31),DATE(2024,8,31),95,100,1)</t>
  </si>
  <si>
    <t xml:space="preserve">YIELDDISC(DATE(2024,5,31),DATE(2024,8,31),95,100,1)</t>
  </si>
  <si>
    <t xml:space="preserve">ACCRINTM(DATE(2024,5,31),DATE(2024,8,31),0.05,1000,1)</t>
  </si>
  <si>
    <t xml:space="preserve">PRICEMAT(DATE(2024,5,31),DATE(2024,8,31),DATE(2023,1,31),0.05,0.06,1)</t>
  </si>
  <si>
    <t xml:space="preserve">YIELDMAT(DATE(2024,5,31),DATE(2024,8,31),DATE(2023,1,31),0.05,98,1)</t>
  </si>
  <si>
    <t xml:space="preserve">ACCRINT(DATE(2024,5,31),DATE(2030,1,1),DATE(2024,8,31),0.05,1000,2,1)</t>
  </si>
  <si>
    <t xml:space="preserve">DURATION(DATE(2024,5,31),DATE(2024,8,31),0.05,0.08,2,1)</t>
  </si>
  <si>
    <t xml:space="preserve">PRICE(DATE(2024,5,31),DATE(2024,8,31),0.05,0.08,100,2,1)</t>
  </si>
  <si>
    <t xml:space="preserve">YIELD(DATE(2024,5,31),DATE(2024,8,31),0.05,95,100,2,1)</t>
  </si>
  <si>
    <t xml:space="preserve">PRICEDISC(DATE(2024,5,31),DATE(2024,8,31),0.05,100,4)</t>
  </si>
  <si>
    <t xml:space="preserve">RECEIVED(DATE(2024,5,31),DATE(2024,8,31),1000,0.05,4)</t>
  </si>
  <si>
    <t xml:space="preserve">INTRATE(DATE(2024,5,31),DATE(2024,8,31),1000,1050,4)</t>
  </si>
  <si>
    <t xml:space="preserve">DISC(DATE(2024,5,31),DATE(2024,8,31),95,100,4)</t>
  </si>
  <si>
    <t xml:space="preserve">YIELDDISC(DATE(2024,5,31),DATE(2024,8,31),95,100,4)</t>
  </si>
  <si>
    <t xml:space="preserve">ACCRINTM(DATE(2024,5,31),DATE(2024,8,31),0.05,1000,4)</t>
  </si>
  <si>
    <t xml:space="preserve">PRICEMAT(DATE(2024,5,31),DATE(2024,8,31),DATE(2023,1,31),0.05,0.06,4)</t>
  </si>
  <si>
    <t xml:space="preserve">YIELDMAT(DATE(2024,5,31),DATE(2024,8,31),DATE(2023,1,31),0.05,98,4)</t>
  </si>
  <si>
    <t xml:space="preserve">ACCRINT(DATE(2024,5,31),DATE(2030,1,1),DATE(2024,8,31),0.05,1000,2,4)</t>
  </si>
  <si>
    <t xml:space="preserve">DURATION(DATE(2024,5,31),DATE(2024,8,31),0.05,0.08,2,4)</t>
  </si>
  <si>
    <t xml:space="preserve">PRICE(DATE(2024,5,31),DATE(2024,8,31),0.05,0.08,100,2,4)</t>
  </si>
  <si>
    <t xml:space="preserve">YIELD(DATE(2024,5,31),DATE(2024,8,31),0.05,95,100,2,4)</t>
  </si>
  <si>
    <t xml:space="preserve">TBILLPRICE(DATE(2024,5,31),DATE(2024,8,31),0.05)</t>
  </si>
  <si>
    <t xml:space="preserve">TBILLEQ(DATE(2024,5,31),DATE(2024,8,31),0.05)</t>
  </si>
  <si>
    <t xml:space="preserve">TBILLYIELD(DATE(2024,5,31),DATE(2024,8,31),98)</t>
  </si>
  <si>
    <t xml:space="preserve">PRICEDISC(DATE(2024,5,31),DATE(2025,6,30),0.05,100,0)</t>
  </si>
  <si>
    <t xml:space="preserve">RECEIVED(DATE(2024,5,31),DATE(2025,6,30),1000,0.05,0)</t>
  </si>
  <si>
    <t xml:space="preserve">INTRATE(DATE(2024,5,31),DATE(2025,6,30),1000,1050,0)</t>
  </si>
  <si>
    <t xml:space="preserve">DISC(DATE(2024,5,31),DATE(2025,6,30),95,100,0)</t>
  </si>
  <si>
    <t xml:space="preserve">YIELDDISC(DATE(2024,5,31),DATE(2025,6,30),95,100,0)</t>
  </si>
  <si>
    <t xml:space="preserve">ACCRINTM(DATE(2024,5,31),DATE(2025,6,30),0.05,1000,0)</t>
  </si>
  <si>
    <t xml:space="preserve">PRICEMAT(DATE(2024,5,31),DATE(2025,6,30),DATE(2023,1,31),0.05,0.06,0)</t>
  </si>
  <si>
    <t xml:space="preserve">YIELDMAT(DATE(2024,5,31),DATE(2025,6,30),DATE(2023,1,31),0.05,98,0)</t>
  </si>
  <si>
    <t xml:space="preserve">ACCRINT(DATE(2024,5,31),DATE(2030,1,1),DATE(2025,6,30),0.05,1000,2,0)</t>
  </si>
  <si>
    <t xml:space="preserve">DURATION(DATE(2024,5,31),DATE(2025,6,30),0.05,0.08,2,0)</t>
  </si>
  <si>
    <t xml:space="preserve">PRICE(DATE(2024,5,31),DATE(2025,6,30),0.05,0.08,100,2,0)</t>
  </si>
  <si>
    <t xml:space="preserve">YIELD(DATE(2024,5,31),DATE(2025,6,30),0.05,95,100,2,0)</t>
  </si>
  <si>
    <t xml:space="preserve">PRICEDISC(DATE(2024,5,31),DATE(2025,6,30),0.05,100,1)</t>
  </si>
  <si>
    <t xml:space="preserve">RECEIVED(DATE(2024,5,31),DATE(2025,6,30),1000,0.05,1)</t>
  </si>
  <si>
    <t xml:space="preserve">INTRATE(DATE(2024,5,31),DATE(2025,6,30),1000,1050,1)</t>
  </si>
  <si>
    <t xml:space="preserve">DISC(DATE(2024,5,31),DATE(2025,6,30),95,100,1)</t>
  </si>
  <si>
    <t xml:space="preserve">YIELDDISC(DATE(2024,5,31),DATE(2025,6,30),95,100,1)</t>
  </si>
  <si>
    <t xml:space="preserve">ACCRINTM(DATE(2024,5,31),DATE(2025,6,30),0.05,1000,1)</t>
  </si>
  <si>
    <t xml:space="preserve">PRICEMAT(DATE(2024,5,31),DATE(2025,6,30),DATE(2023,1,31),0.05,0.06,1)</t>
  </si>
  <si>
    <t xml:space="preserve">YIELDMAT(DATE(2024,5,31),DATE(2025,6,30),DATE(2023,1,31),0.05,98,1)</t>
  </si>
  <si>
    <t xml:space="preserve">ACCRINT(DATE(2024,5,31),DATE(2030,1,1),DATE(2025,6,30),0.05,1000,2,1)</t>
  </si>
  <si>
    <t xml:space="preserve">DURATION(DATE(2024,5,31),DATE(2025,6,30),0.05,0.08,2,1)</t>
  </si>
  <si>
    <t xml:space="preserve">PRICE(DATE(2024,5,31),DATE(2025,6,30),0.05,0.08,100,2,1)</t>
  </si>
  <si>
    <t xml:space="preserve">YIELD(DATE(2024,5,31),DATE(2025,6,30),0.05,95,100,2,1)</t>
  </si>
  <si>
    <t xml:space="preserve">PRICEDISC(DATE(2024,5,31),DATE(2025,6,30),0.05,100,4)</t>
  </si>
  <si>
    <t xml:space="preserve">RECEIVED(DATE(2024,5,31),DATE(2025,6,30),1000,0.05,4)</t>
  </si>
  <si>
    <t xml:space="preserve">INTRATE(DATE(2024,5,31),DATE(2025,6,30),1000,1050,4)</t>
  </si>
  <si>
    <t xml:space="preserve">DISC(DATE(2024,5,31),DATE(2025,6,30),95,100,4)</t>
  </si>
  <si>
    <t xml:space="preserve">YIELDDISC(DATE(2024,5,31),DATE(2025,6,30),95,100,4)</t>
  </si>
  <si>
    <t xml:space="preserve">ACCRINTM(DATE(2024,5,31),DATE(2025,6,30),0.05,1000,4)</t>
  </si>
  <si>
    <t xml:space="preserve">PRICEMAT(DATE(2024,5,31),DATE(2025,6,30),DATE(2023,1,31),0.05,0.06,4)</t>
  </si>
  <si>
    <t xml:space="preserve">YIELDMAT(DATE(2024,5,31),DATE(2025,6,30),DATE(2023,1,31),0.05,98,4)</t>
  </si>
  <si>
    <t xml:space="preserve">ACCRINT(DATE(2024,5,31),DATE(2030,1,1),DATE(2025,6,30),0.05,1000,2,4)</t>
  </si>
  <si>
    <t xml:space="preserve">DURATION(DATE(2024,5,31),DATE(2025,6,30),0.05,0.08,2,4)</t>
  </si>
  <si>
    <t xml:space="preserve">PRICE(DATE(2024,5,31),DATE(2025,6,30),0.05,0.08,100,2,4)</t>
  </si>
  <si>
    <t xml:space="preserve">YIELD(DATE(2024,5,31),DATE(2025,6,30),0.05,95,100,2,4)</t>
  </si>
  <si>
    <t xml:space="preserve">TBILLPRICE(DATE(2024,5,31),DATE(2025,6,30),0.05)</t>
  </si>
  <si>
    <t xml:space="preserve">TBILLEQ(DATE(2024,5,31),DATE(2025,6,30),0.05)</t>
  </si>
  <si>
    <t xml:space="preserve">TBILLYIELD(DATE(2024,5,31),DATE(2025,6,30),98)</t>
  </si>
  <si>
    <t xml:space="preserve">PRICEDISC(DATE(2024,5,31),DATE(2026,12,31),0.05,100,0)</t>
  </si>
  <si>
    <t xml:space="preserve">RECEIVED(DATE(2024,5,31),DATE(2026,12,31),1000,0.05,0)</t>
  </si>
  <si>
    <t xml:space="preserve">INTRATE(DATE(2024,5,31),DATE(2026,12,31),1000,1050,0)</t>
  </si>
  <si>
    <t xml:space="preserve">DISC(DATE(2024,5,31),DATE(2026,12,31),95,100,0)</t>
  </si>
  <si>
    <t xml:space="preserve">YIELDDISC(DATE(2024,5,31),DATE(2026,12,31),95,100,0)</t>
  </si>
  <si>
    <t xml:space="preserve">ACCRINTM(DATE(2024,5,31),DATE(2026,12,31),0.05,1000,0)</t>
  </si>
  <si>
    <t xml:space="preserve">PRICEMAT(DATE(2024,5,31),DATE(2026,12,31),DATE(2023,1,31),0.05,0.06,0)</t>
  </si>
  <si>
    <t xml:space="preserve">YIELDMAT(DATE(2024,5,31),DATE(2026,12,31),DATE(2023,1,31),0.05,98,0)</t>
  </si>
  <si>
    <t xml:space="preserve">ACCRINT(DATE(2024,5,31),DATE(2030,1,1),DATE(2026,12,31),0.05,1000,2,0)</t>
  </si>
  <si>
    <t xml:space="preserve">DURATION(DATE(2024,5,31),DATE(2026,12,31),0.05,0.08,2,0)</t>
  </si>
  <si>
    <t xml:space="preserve">PRICE(DATE(2024,5,31),DATE(2026,12,31),0.05,0.08,100,2,0)</t>
  </si>
  <si>
    <t xml:space="preserve">YIELD(DATE(2024,5,31),DATE(2026,12,31),0.05,95,100,2,0)</t>
  </si>
  <si>
    <t xml:space="preserve">PRICEDISC(DATE(2024,5,31),DATE(2026,12,31),0.05,100,1)</t>
  </si>
  <si>
    <t xml:space="preserve">RECEIVED(DATE(2024,5,31),DATE(2026,12,31),1000,0.05,1)</t>
  </si>
  <si>
    <t xml:space="preserve">INTRATE(DATE(2024,5,31),DATE(2026,12,31),1000,1050,1)</t>
  </si>
  <si>
    <t xml:space="preserve">DISC(DATE(2024,5,31),DATE(2026,12,31),95,100,1)</t>
  </si>
  <si>
    <t xml:space="preserve">YIELDDISC(DATE(2024,5,31),DATE(2026,12,31),95,100,1)</t>
  </si>
  <si>
    <t xml:space="preserve">ACCRINTM(DATE(2024,5,31),DATE(2026,12,31),0.05,1000,1)</t>
  </si>
  <si>
    <t xml:space="preserve">PRICEMAT(DATE(2024,5,31),DATE(2026,12,31),DATE(2023,1,31),0.05,0.06,1)</t>
  </si>
  <si>
    <t xml:space="preserve">YIELDMAT(DATE(2024,5,31),DATE(2026,12,31),DATE(2023,1,31),0.05,98,1)</t>
  </si>
  <si>
    <t xml:space="preserve">ACCRINT(DATE(2024,5,31),DATE(2030,1,1),DATE(2026,12,31),0.05,1000,2,1)</t>
  </si>
  <si>
    <t xml:space="preserve">DURATION(DATE(2024,5,31),DATE(2026,12,31),0.05,0.08,2,1)</t>
  </si>
  <si>
    <t xml:space="preserve">PRICE(DATE(2024,5,31),DATE(2026,12,31),0.05,0.08,100,2,1)</t>
  </si>
  <si>
    <t xml:space="preserve">YIELD(DATE(2024,5,31),DATE(2026,12,31),0.05,95,100,2,1)</t>
  </si>
  <si>
    <t xml:space="preserve">PRICEDISC(DATE(2024,5,31),DATE(2026,12,31),0.05,100,4)</t>
  </si>
  <si>
    <t xml:space="preserve">RECEIVED(DATE(2024,5,31),DATE(2026,12,31),1000,0.05,4)</t>
  </si>
  <si>
    <t xml:space="preserve">INTRATE(DATE(2024,5,31),DATE(2026,12,31),1000,1050,4)</t>
  </si>
  <si>
    <t xml:space="preserve">DISC(DATE(2024,5,31),DATE(2026,12,31),95,100,4)</t>
  </si>
  <si>
    <t xml:space="preserve">YIELDDISC(DATE(2024,5,31),DATE(2026,12,31),95,100,4)</t>
  </si>
  <si>
    <t xml:space="preserve">ACCRINTM(DATE(2024,5,31),DATE(2026,12,31),0.05,1000,4)</t>
  </si>
  <si>
    <t xml:space="preserve">PRICEMAT(DATE(2024,5,31),DATE(2026,12,31),DATE(2023,1,31),0.05,0.06,4)</t>
  </si>
  <si>
    <t xml:space="preserve">YIELDMAT(DATE(2024,5,31),DATE(2026,12,31),DATE(2023,1,31),0.05,98,4)</t>
  </si>
  <si>
    <t xml:space="preserve">ACCRINT(DATE(2024,5,31),DATE(2030,1,1),DATE(2026,12,31),0.05,1000,2,4)</t>
  </si>
  <si>
    <t xml:space="preserve">DURATION(DATE(2024,5,31),DATE(2026,12,31),0.05,0.08,2,4)</t>
  </si>
  <si>
    <t xml:space="preserve">PRICE(DATE(2024,5,31),DATE(2026,12,31),0.05,0.08,100,2,4)</t>
  </si>
  <si>
    <t xml:space="preserve">YIELD(DATE(2024,5,31),DATE(2026,12,31),0.05,95,100,2,4)</t>
  </si>
  <si>
    <t xml:space="preserve">TBILLPRICE(DATE(2024,5,31),DATE(2026,12,31),0.05)</t>
  </si>
  <si>
    <t xml:space="preserve">TBILLEQ(DATE(2024,5,31),DATE(2026,12,31),0.05)</t>
  </si>
  <si>
    <t xml:space="preserve">TBILLYIELD(DATE(2024,5,31),DATE(2026,12,31),98)</t>
  </si>
  <si>
    <t xml:space="preserve">PRICEDISC(DATE(2024,5,31),DATE(2027,2,28),0.05,100,0)</t>
  </si>
  <si>
    <t xml:space="preserve">RECEIVED(DATE(2024,5,31),DATE(2027,2,28),1000,0.05,0)</t>
  </si>
  <si>
    <t xml:space="preserve">INTRATE(DATE(2024,5,31),DATE(2027,2,28),1000,1050,0)</t>
  </si>
  <si>
    <t xml:space="preserve">DISC(DATE(2024,5,31),DATE(2027,2,28),95,100,0)</t>
  </si>
  <si>
    <t xml:space="preserve">YIELDDISC(DATE(2024,5,31),DATE(2027,2,28),95,100,0)</t>
  </si>
  <si>
    <t xml:space="preserve">ACCRINTM(DATE(2024,5,31),DATE(2027,2,28),0.05,1000,0)</t>
  </si>
  <si>
    <t xml:space="preserve">PRICEMAT(DATE(2024,5,31),DATE(2027,2,28),DATE(2023,1,31),0.05,0.06,0)</t>
  </si>
  <si>
    <t xml:space="preserve">YIELDMAT(DATE(2024,5,31),DATE(2027,2,28),DATE(2023,1,31),0.05,98,0)</t>
  </si>
  <si>
    <t xml:space="preserve">ACCRINT(DATE(2024,5,31),DATE(2030,1,1),DATE(2027,2,28),0.05,1000,2,0)</t>
  </si>
  <si>
    <t xml:space="preserve">DURATION(DATE(2024,5,31),DATE(2027,2,28),0.05,0.08,2,0)</t>
  </si>
  <si>
    <t xml:space="preserve">PRICE(DATE(2024,5,31),DATE(2027,2,28),0.05,0.08,100,2,0)</t>
  </si>
  <si>
    <t xml:space="preserve">YIELD(DATE(2024,5,31),DATE(2027,2,28),0.05,95,100,2,0)</t>
  </si>
  <si>
    <t xml:space="preserve">PRICEDISC(DATE(2024,5,31),DATE(2027,2,28),0.05,100,1)</t>
  </si>
  <si>
    <t xml:space="preserve">RECEIVED(DATE(2024,5,31),DATE(2027,2,28),1000,0.05,1)</t>
  </si>
  <si>
    <t xml:space="preserve">INTRATE(DATE(2024,5,31),DATE(2027,2,28),1000,1050,1)</t>
  </si>
  <si>
    <t xml:space="preserve">DISC(DATE(2024,5,31),DATE(2027,2,28),95,100,1)</t>
  </si>
  <si>
    <t xml:space="preserve">YIELDDISC(DATE(2024,5,31),DATE(2027,2,28),95,100,1)</t>
  </si>
  <si>
    <t xml:space="preserve">ACCRINTM(DATE(2024,5,31),DATE(2027,2,28),0.05,1000,1)</t>
  </si>
  <si>
    <t xml:space="preserve">PRICEMAT(DATE(2024,5,31),DATE(2027,2,28),DATE(2023,1,31),0.05,0.06,1)</t>
  </si>
  <si>
    <t xml:space="preserve">YIELDMAT(DATE(2024,5,31),DATE(2027,2,28),DATE(2023,1,31),0.05,98,1)</t>
  </si>
  <si>
    <t xml:space="preserve">ACCRINT(DATE(2024,5,31),DATE(2030,1,1),DATE(2027,2,28),0.05,1000,2,1)</t>
  </si>
  <si>
    <t xml:space="preserve">DURATION(DATE(2024,5,31),DATE(2027,2,28),0.05,0.08,2,1)</t>
  </si>
  <si>
    <t xml:space="preserve">PRICE(DATE(2024,5,31),DATE(2027,2,28),0.05,0.08,100,2,1)</t>
  </si>
  <si>
    <t xml:space="preserve">YIELD(DATE(2024,5,31),DATE(2027,2,28),0.05,95,100,2,1)</t>
  </si>
  <si>
    <t xml:space="preserve">PRICEDISC(DATE(2024,5,31),DATE(2027,2,28),0.05,100,4)</t>
  </si>
  <si>
    <t xml:space="preserve">RECEIVED(DATE(2024,5,31),DATE(2027,2,28),1000,0.05,4)</t>
  </si>
  <si>
    <t xml:space="preserve">INTRATE(DATE(2024,5,31),DATE(2027,2,28),1000,1050,4)</t>
  </si>
  <si>
    <t xml:space="preserve">DISC(DATE(2024,5,31),DATE(2027,2,28),95,100,4)</t>
  </si>
  <si>
    <t xml:space="preserve">YIELDDISC(DATE(2024,5,31),DATE(2027,2,28),95,100,4)</t>
  </si>
  <si>
    <t xml:space="preserve">ACCRINTM(DATE(2024,5,31),DATE(2027,2,28),0.05,1000,4)</t>
  </si>
  <si>
    <t xml:space="preserve">PRICEMAT(DATE(2024,5,31),DATE(2027,2,28),DATE(2023,1,31),0.05,0.06,4)</t>
  </si>
  <si>
    <t xml:space="preserve">YIELDMAT(DATE(2024,5,31),DATE(2027,2,28),DATE(2023,1,31),0.05,98,4)</t>
  </si>
  <si>
    <t xml:space="preserve">ACCRINT(DATE(2024,5,31),DATE(2030,1,1),DATE(2027,2,28),0.05,1000,2,4)</t>
  </si>
  <si>
    <t xml:space="preserve">DURATION(DATE(2024,5,31),DATE(2027,2,28),0.05,0.08,2,4)</t>
  </si>
  <si>
    <t xml:space="preserve">PRICE(DATE(2024,5,31),DATE(2027,2,28),0.05,0.08,100,2,4)</t>
  </si>
  <si>
    <t xml:space="preserve">YIELD(DATE(2024,5,31),DATE(2027,2,28),0.05,95,100,2,4)</t>
  </si>
  <si>
    <t xml:space="preserve">TBILLPRICE(DATE(2024,5,31),DATE(2027,2,28),0.05)</t>
  </si>
  <si>
    <t xml:space="preserve">TBILLEQ(DATE(2024,5,31),DATE(2027,2,28),0.05)</t>
  </si>
  <si>
    <t xml:space="preserve">TBILLYIELD(DATE(2024,5,31),DATE(2027,2,28),98)</t>
  </si>
  <si>
    <t xml:space="preserve">PRICEDISC(DATE(2024,5,31),DATE(2025,1,30),0.05,100,0)</t>
  </si>
  <si>
    <t xml:space="preserve">RECEIVED(DATE(2024,5,31),DATE(2025,1,30),1000,0.05,0)</t>
  </si>
  <si>
    <t xml:space="preserve">INTRATE(DATE(2024,5,31),DATE(2025,1,30),1000,1050,0)</t>
  </si>
  <si>
    <t xml:space="preserve">DISC(DATE(2024,5,31),DATE(2025,1,30),95,100,0)</t>
  </si>
  <si>
    <t xml:space="preserve">YIELDDISC(DATE(2024,5,31),DATE(2025,1,30),95,100,0)</t>
  </si>
  <si>
    <t xml:space="preserve">ACCRINTM(DATE(2024,5,31),DATE(2025,1,30),0.05,1000,0)</t>
  </si>
  <si>
    <t xml:space="preserve">PRICEMAT(DATE(2024,5,31),DATE(2025,1,30),DATE(2023,1,31),0.05,0.06,0)</t>
  </si>
  <si>
    <t xml:space="preserve">YIELDMAT(DATE(2024,5,31),DATE(2025,1,30),DATE(2023,1,31),0.05,98,0)</t>
  </si>
  <si>
    <t xml:space="preserve">ACCRINT(DATE(2024,5,31),DATE(2030,1,1),DATE(2025,1,30),0.05,1000,2,0)</t>
  </si>
  <si>
    <t xml:space="preserve">DURATION(DATE(2024,5,31),DATE(2025,1,30),0.05,0.08,2,0)</t>
  </si>
  <si>
    <t xml:space="preserve">PRICE(DATE(2024,5,31),DATE(2025,1,30),0.05,0.08,100,2,0)</t>
  </si>
  <si>
    <t xml:space="preserve">YIELD(DATE(2024,5,31),DATE(2025,1,30),0.05,95,100,2,0)</t>
  </si>
  <si>
    <t xml:space="preserve">PRICEDISC(DATE(2024,5,31),DATE(2025,1,30),0.05,100,1)</t>
  </si>
  <si>
    <t xml:space="preserve">RECEIVED(DATE(2024,5,31),DATE(2025,1,30),1000,0.05,1)</t>
  </si>
  <si>
    <t xml:space="preserve">INTRATE(DATE(2024,5,31),DATE(2025,1,30),1000,1050,1)</t>
  </si>
  <si>
    <t xml:space="preserve">DISC(DATE(2024,5,31),DATE(2025,1,30),95,100,1)</t>
  </si>
  <si>
    <t xml:space="preserve">YIELDDISC(DATE(2024,5,31),DATE(2025,1,30),95,100,1)</t>
  </si>
  <si>
    <t xml:space="preserve">ACCRINTM(DATE(2024,5,31),DATE(2025,1,30),0.05,1000,1)</t>
  </si>
  <si>
    <t xml:space="preserve">PRICEMAT(DATE(2024,5,31),DATE(2025,1,30),DATE(2023,1,31),0.05,0.06,1)</t>
  </si>
  <si>
    <t xml:space="preserve">YIELDMAT(DATE(2024,5,31),DATE(2025,1,30),DATE(2023,1,31),0.05,98,1)</t>
  </si>
  <si>
    <t xml:space="preserve">ACCRINT(DATE(2024,5,31),DATE(2030,1,1),DATE(2025,1,30),0.05,1000,2,1)</t>
  </si>
  <si>
    <t xml:space="preserve">DURATION(DATE(2024,5,31),DATE(2025,1,30),0.05,0.08,2,1)</t>
  </si>
  <si>
    <t xml:space="preserve">PRICE(DATE(2024,5,31),DATE(2025,1,30),0.05,0.08,100,2,1)</t>
  </si>
  <si>
    <t xml:space="preserve">YIELD(DATE(2024,5,31),DATE(2025,1,30),0.05,95,100,2,1)</t>
  </si>
  <si>
    <t xml:space="preserve">PRICEDISC(DATE(2024,5,31),DATE(2025,1,30),0.05,100,4)</t>
  </si>
  <si>
    <t xml:space="preserve">RECEIVED(DATE(2024,5,31),DATE(2025,1,30),1000,0.05,4)</t>
  </si>
  <si>
    <t xml:space="preserve">INTRATE(DATE(2024,5,31),DATE(2025,1,30),1000,1050,4)</t>
  </si>
  <si>
    <t xml:space="preserve">DISC(DATE(2024,5,31),DATE(2025,1,30),95,100,4)</t>
  </si>
  <si>
    <t xml:space="preserve">YIELDDISC(DATE(2024,5,31),DATE(2025,1,30),95,100,4)</t>
  </si>
  <si>
    <t xml:space="preserve">ACCRINTM(DATE(2024,5,31),DATE(2025,1,30),0.05,1000,4)</t>
  </si>
  <si>
    <t xml:space="preserve">PRICEMAT(DATE(2024,5,31),DATE(2025,1,30),DATE(2023,1,31),0.05,0.06,4)</t>
  </si>
  <si>
    <t xml:space="preserve">YIELDMAT(DATE(2024,5,31),DATE(2025,1,30),DATE(2023,1,31),0.05,98,4)</t>
  </si>
  <si>
    <t xml:space="preserve">ACCRINT(DATE(2024,5,31),DATE(2030,1,1),DATE(2025,1,30),0.05,1000,2,4)</t>
  </si>
  <si>
    <t xml:space="preserve">DURATION(DATE(2024,5,31),DATE(2025,1,30),0.05,0.08,2,4)</t>
  </si>
  <si>
    <t xml:space="preserve">PRICE(DATE(2024,5,31),DATE(2025,1,30),0.05,0.08,100,2,4)</t>
  </si>
  <si>
    <t xml:space="preserve">YIELD(DATE(2024,5,31),DATE(2025,1,30),0.05,95,100,2,4)</t>
  </si>
  <si>
    <t xml:space="preserve">TBILLPRICE(DATE(2024,5,31),DATE(2025,1,30),0.05)</t>
  </si>
  <si>
    <t xml:space="preserve">TBILLEQ(DATE(2024,5,31),DATE(2025,1,30),0.05)</t>
  </si>
  <si>
    <t xml:space="preserve">TBILLYIELD(DATE(2024,5,31),DATE(2025,1,30),98)</t>
  </si>
  <si>
    <t xml:space="preserve">PRICEDISC(DATE(2024,5,31),DATE(2024,12,31),0.05,100,0)</t>
  </si>
  <si>
    <t xml:space="preserve">RECEIVED(DATE(2024,5,31),DATE(2024,12,31),1000,0.05,0)</t>
  </si>
  <si>
    <t xml:space="preserve">INTRATE(DATE(2024,5,31),DATE(2024,12,31),1000,1050,0)</t>
  </si>
  <si>
    <t xml:space="preserve">DISC(DATE(2024,5,31),DATE(2024,12,31),95,100,0)</t>
  </si>
  <si>
    <t xml:space="preserve">YIELDDISC(DATE(2024,5,31),DATE(2024,12,31),95,100,0)</t>
  </si>
  <si>
    <t xml:space="preserve">ACCRINTM(DATE(2024,5,31),DATE(2024,12,31),0.05,1000,0)</t>
  </si>
  <si>
    <t xml:space="preserve">PRICEMAT(DATE(2024,5,31),DATE(2024,12,31),DATE(2023,1,31),0.05,0.06,0)</t>
  </si>
  <si>
    <t xml:space="preserve">YIELDMAT(DATE(2024,5,31),DATE(2024,12,31),DATE(2023,1,31),0.05,98,0)</t>
  </si>
  <si>
    <t xml:space="preserve">ACCRINT(DATE(2024,5,31),DATE(2030,1,1),DATE(2024,12,31),0.05,1000,2,0)</t>
  </si>
  <si>
    <t xml:space="preserve">DURATION(DATE(2024,5,31),DATE(2024,12,31),0.05,0.08,2,0)</t>
  </si>
  <si>
    <t xml:space="preserve">PRICE(DATE(2024,5,31),DATE(2024,12,31),0.05,0.08,100,2,0)</t>
  </si>
  <si>
    <t xml:space="preserve">YIELD(DATE(2024,5,31),DATE(2024,12,31),0.05,95,100,2,0)</t>
  </si>
  <si>
    <t xml:space="preserve">PRICEDISC(DATE(2024,5,31),DATE(2024,12,31),0.05,100,1)</t>
  </si>
  <si>
    <t xml:space="preserve">RECEIVED(DATE(2024,5,31),DATE(2024,12,31),1000,0.05,1)</t>
  </si>
  <si>
    <t xml:space="preserve">INTRATE(DATE(2024,5,31),DATE(2024,12,31),1000,1050,1)</t>
  </si>
  <si>
    <t xml:space="preserve">DISC(DATE(2024,5,31),DATE(2024,12,31),95,100,1)</t>
  </si>
  <si>
    <t xml:space="preserve">YIELDDISC(DATE(2024,5,31),DATE(2024,12,31),95,100,1)</t>
  </si>
  <si>
    <t xml:space="preserve">ACCRINTM(DATE(2024,5,31),DATE(2024,12,31),0.05,1000,1)</t>
  </si>
  <si>
    <t xml:space="preserve">PRICEMAT(DATE(2024,5,31),DATE(2024,12,31),DATE(2023,1,31),0.05,0.06,1)</t>
  </si>
  <si>
    <t xml:space="preserve">YIELDMAT(DATE(2024,5,31),DATE(2024,12,31),DATE(2023,1,31),0.05,98,1)</t>
  </si>
  <si>
    <t xml:space="preserve">ACCRINT(DATE(2024,5,31),DATE(2030,1,1),DATE(2024,12,31),0.05,1000,2,1)</t>
  </si>
  <si>
    <t xml:space="preserve">DURATION(DATE(2024,5,31),DATE(2024,12,31),0.05,0.08,2,1)</t>
  </si>
  <si>
    <t xml:space="preserve">PRICE(DATE(2024,5,31),DATE(2024,12,31),0.05,0.08,100,2,1)</t>
  </si>
  <si>
    <t xml:space="preserve">YIELD(DATE(2024,5,31),DATE(2024,12,31),0.05,95,100,2,1)</t>
  </si>
  <si>
    <t xml:space="preserve">PRICEDISC(DATE(2024,5,31),DATE(2024,12,31),0.05,100,4)</t>
  </si>
  <si>
    <t xml:space="preserve">RECEIVED(DATE(2024,5,31),DATE(2024,12,31),1000,0.05,4)</t>
  </si>
  <si>
    <t xml:space="preserve">INTRATE(DATE(2024,5,31),DATE(2024,12,31),1000,1050,4)</t>
  </si>
  <si>
    <t xml:space="preserve">DISC(DATE(2024,5,31),DATE(2024,12,31),95,100,4)</t>
  </si>
  <si>
    <t xml:space="preserve">YIELDDISC(DATE(2024,5,31),DATE(2024,12,31),95,100,4)</t>
  </si>
  <si>
    <t xml:space="preserve">ACCRINTM(DATE(2024,5,31),DATE(2024,12,31),0.05,1000,4)</t>
  </si>
  <si>
    <t xml:space="preserve">PRICEMAT(DATE(2024,5,31),DATE(2024,12,31),DATE(2023,1,31),0.05,0.06,4)</t>
  </si>
  <si>
    <t xml:space="preserve">YIELDMAT(DATE(2024,5,31),DATE(2024,12,31),DATE(2023,1,31),0.05,98,4)</t>
  </si>
  <si>
    <t xml:space="preserve">ACCRINT(DATE(2024,5,31),DATE(2030,1,1),DATE(2024,12,31),0.05,1000,2,4)</t>
  </si>
  <si>
    <t xml:space="preserve">DURATION(DATE(2024,5,31),DATE(2024,12,31),0.05,0.08,2,4)</t>
  </si>
  <si>
    <t xml:space="preserve">PRICE(DATE(2024,5,31),DATE(2024,12,31),0.05,0.08,100,2,4)</t>
  </si>
  <si>
    <t xml:space="preserve">YIELD(DATE(2024,5,31),DATE(2024,12,31),0.05,95,100,2,4)</t>
  </si>
  <si>
    <t xml:space="preserve">TBILLPRICE(DATE(2024,5,31),DATE(2024,12,31),0.05)</t>
  </si>
  <si>
    <t xml:space="preserve">TBILLEQ(DATE(2024,5,31),DATE(2024,12,31),0.05)</t>
  </si>
  <si>
    <t xml:space="preserve">TBILLYIELD(DATE(2024,5,31),DATE(2024,12,31),98)</t>
  </si>
  <si>
    <t xml:space="preserve">ACCRINTM(DATE(2024,6,30),DATE(2025,2,28),0.05,1000,0)</t>
  </si>
  <si>
    <t xml:space="preserve">PRICEMAT(DATE(2024,6,30),DATE(2025,2,28),DATE(2023,1,31),0.05,0.06,0)</t>
  </si>
  <si>
    <t xml:space="preserve">YIELDMAT(DATE(2024,6,30),DATE(2025,2,28),DATE(2023,1,31),0.05,98,0)</t>
  </si>
  <si>
    <t xml:space="preserve">ACCRINT(DATE(2024,6,30),DATE(2030,1,1),DATE(2025,2,28),0.05,1000,2,0)</t>
  </si>
  <si>
    <t xml:space="preserve">ACCRINTM(DATE(2024,6,30),DATE(2025,2,28),0.05,1000,1)</t>
  </si>
  <si>
    <t xml:space="preserve">PRICEMAT(DATE(2024,6,30),DATE(2025,2,28),DATE(2023,1,31),0.05,0.06,1)</t>
  </si>
  <si>
    <t xml:space="preserve">YIELDMAT(DATE(2024,6,30),DATE(2025,2,28),DATE(2023,1,31),0.05,98,1)</t>
  </si>
  <si>
    <t xml:space="preserve">ACCRINT(DATE(2024,6,30),DATE(2030,1,1),DATE(2025,2,28),0.05,1000,2,1)</t>
  </si>
  <si>
    <t xml:space="preserve">ACCRINTM(DATE(2024,6,30),DATE(2025,2,28),0.05,1000,4)</t>
  </si>
  <si>
    <t xml:space="preserve">PRICEMAT(DATE(2024,6,30),DATE(2025,2,28),DATE(2023,1,31),0.05,0.06,4)</t>
  </si>
  <si>
    <t xml:space="preserve">YIELDMAT(DATE(2024,6,30),DATE(2025,2,28),DATE(2023,1,31),0.05,98,4)</t>
  </si>
  <si>
    <t xml:space="preserve">ACCRINT(DATE(2024,6,30),DATE(2030,1,1),DATE(2025,2,28),0.05,1000,2,4)</t>
  </si>
  <si>
    <t xml:space="preserve">PRICEDISC(DATE(2024,6,30),DATE(2025,3,31),0.05,100,0)</t>
  </si>
  <si>
    <t xml:space="preserve">RECEIVED(DATE(2024,6,30),DATE(2025,3,31),1000,0.05,0)</t>
  </si>
  <si>
    <t xml:space="preserve">INTRATE(DATE(2024,6,30),DATE(2025,3,31),1000,1050,0)</t>
  </si>
  <si>
    <t xml:space="preserve">DISC(DATE(2024,6,30),DATE(2025,3,31),95,100,0)</t>
  </si>
  <si>
    <t xml:space="preserve">YIELDDISC(DATE(2024,6,30),DATE(2025,3,31),95,100,0)</t>
  </si>
  <si>
    <t xml:space="preserve">ACCRINTM(DATE(2024,6,30),DATE(2025,3,31),0.05,1000,0)</t>
  </si>
  <si>
    <t xml:space="preserve">PRICEMAT(DATE(2024,6,30),DATE(2025,3,31),DATE(2023,1,31),0.05,0.06,0)</t>
  </si>
  <si>
    <t xml:space="preserve">YIELDMAT(DATE(2024,6,30),DATE(2025,3,31),DATE(2023,1,31),0.05,98,0)</t>
  </si>
  <si>
    <t xml:space="preserve">ACCRINT(DATE(2024,6,30),DATE(2030,1,1),DATE(2025,3,31),0.05,1000,2,0)</t>
  </si>
  <si>
    <t xml:space="preserve">DURATION(DATE(2024,6,30),DATE(2025,3,31),0.05,0.08,2,0)</t>
  </si>
  <si>
    <t xml:space="preserve">PRICE(DATE(2024,6,30),DATE(2025,3,31),0.05,0.08,100,2,0)</t>
  </si>
  <si>
    <t xml:space="preserve">YIELD(DATE(2024,6,30),DATE(2025,3,31),0.05,95,100,2,0)</t>
  </si>
  <si>
    <t xml:space="preserve">PRICEDISC(DATE(2024,6,30),DATE(2025,3,31),0.05,100,1)</t>
  </si>
  <si>
    <t xml:space="preserve">RECEIVED(DATE(2024,6,30),DATE(2025,3,31),1000,0.05,1)</t>
  </si>
  <si>
    <t xml:space="preserve">INTRATE(DATE(2024,6,30),DATE(2025,3,31),1000,1050,1)</t>
  </si>
  <si>
    <t xml:space="preserve">DISC(DATE(2024,6,30),DATE(2025,3,31),95,100,1)</t>
  </si>
  <si>
    <t xml:space="preserve">YIELDDISC(DATE(2024,6,30),DATE(2025,3,31),95,100,1)</t>
  </si>
  <si>
    <t xml:space="preserve">ACCRINTM(DATE(2024,6,30),DATE(2025,3,31),0.05,1000,1)</t>
  </si>
  <si>
    <t xml:space="preserve">PRICEMAT(DATE(2024,6,30),DATE(2025,3,31),DATE(2023,1,31),0.05,0.06,1)</t>
  </si>
  <si>
    <t xml:space="preserve">YIELDMAT(DATE(2024,6,30),DATE(2025,3,31),DATE(2023,1,31),0.05,98,1)</t>
  </si>
  <si>
    <t xml:space="preserve">ACCRINT(DATE(2024,6,30),DATE(2030,1,1),DATE(2025,3,31),0.05,1000,2,1)</t>
  </si>
  <si>
    <t xml:space="preserve">DURATION(DATE(2024,6,30),DATE(2025,3,31),0.05,0.08,2,1)</t>
  </si>
  <si>
    <t xml:space="preserve">PRICE(DATE(2024,6,30),DATE(2025,3,31),0.05,0.08,100,2,1)</t>
  </si>
  <si>
    <t xml:space="preserve">YIELD(DATE(2024,6,30),DATE(2025,3,31),0.05,95,100,2,1)</t>
  </si>
  <si>
    <t xml:space="preserve">PRICEDISC(DATE(2024,6,30),DATE(2025,3,31),0.05,100,4)</t>
  </si>
  <si>
    <t xml:space="preserve">RECEIVED(DATE(2024,6,30),DATE(2025,3,31),1000,0.05,4)</t>
  </si>
  <si>
    <t xml:space="preserve">INTRATE(DATE(2024,6,30),DATE(2025,3,31),1000,1050,4)</t>
  </si>
  <si>
    <t xml:space="preserve">DISC(DATE(2024,6,30),DATE(2025,3,31),95,100,4)</t>
  </si>
  <si>
    <t xml:space="preserve">YIELDDISC(DATE(2024,6,30),DATE(2025,3,31),95,100,4)</t>
  </si>
  <si>
    <t xml:space="preserve">ACCRINTM(DATE(2024,6,30),DATE(2025,3,31),0.05,1000,4)</t>
  </si>
  <si>
    <t xml:space="preserve">PRICEMAT(DATE(2024,6,30),DATE(2025,3,31),DATE(2023,1,31),0.05,0.06,4)</t>
  </si>
  <si>
    <t xml:space="preserve">YIELDMAT(DATE(2024,6,30),DATE(2025,3,31),DATE(2023,1,31),0.05,98,4)</t>
  </si>
  <si>
    <t xml:space="preserve">ACCRINT(DATE(2024,6,30),DATE(2030,1,1),DATE(2025,3,31),0.05,1000,2,4)</t>
  </si>
  <si>
    <t xml:space="preserve">DURATION(DATE(2024,6,30),DATE(2025,3,31),0.05,0.08,2,4)</t>
  </si>
  <si>
    <t xml:space="preserve">PRICE(DATE(2024,6,30),DATE(2025,3,31),0.05,0.08,100,2,4)</t>
  </si>
  <si>
    <t xml:space="preserve">YIELD(DATE(2024,6,30),DATE(2025,3,31),0.05,95,100,2,4)</t>
  </si>
  <si>
    <t xml:space="preserve">TBILLPRICE(DATE(2024,6,30),DATE(2025,3,31),0.05)</t>
  </si>
  <si>
    <t xml:space="preserve">TBILLEQ(DATE(2024,6,30),DATE(2025,3,31),0.05)</t>
  </si>
  <si>
    <t xml:space="preserve">TBILLYIELD(DATE(2024,6,30),DATE(2025,3,31),98)</t>
  </si>
  <si>
    <t xml:space="preserve">PRICEDISC(DATE(2024,6,30),DATE(2024,8,31),0.05,100,0)</t>
  </si>
  <si>
    <t xml:space="preserve">RECEIVED(DATE(2024,6,30),DATE(2024,8,31),1000,0.05,0)</t>
  </si>
  <si>
    <t xml:space="preserve">INTRATE(DATE(2024,6,30),DATE(2024,8,31),1000,1050,0)</t>
  </si>
  <si>
    <t xml:space="preserve">DISC(DATE(2024,6,30),DATE(2024,8,31),95,100,0)</t>
  </si>
  <si>
    <t xml:space="preserve">YIELDDISC(DATE(2024,6,30),DATE(2024,8,31),95,100,0)</t>
  </si>
  <si>
    <t xml:space="preserve">ACCRINTM(DATE(2024,6,30),DATE(2024,8,31),0.05,1000,0)</t>
  </si>
  <si>
    <t xml:space="preserve">PRICEMAT(DATE(2024,6,30),DATE(2024,8,31),DATE(2023,1,31),0.05,0.06,0)</t>
  </si>
  <si>
    <t xml:space="preserve">YIELDMAT(DATE(2024,6,30),DATE(2024,8,31),DATE(2023,1,31),0.05,98,0)</t>
  </si>
  <si>
    <t xml:space="preserve">ACCRINT(DATE(2024,6,30),DATE(2030,1,1),DATE(2024,8,31),0.05,1000,2,0)</t>
  </si>
  <si>
    <t xml:space="preserve">DURATION(DATE(2024,6,30),DATE(2024,8,31),0.05,0.08,2,0)</t>
  </si>
  <si>
    <t xml:space="preserve">PRICE(DATE(2024,6,30),DATE(2024,8,31),0.05,0.08,100,2,0)</t>
  </si>
  <si>
    <t xml:space="preserve">YIELD(DATE(2024,6,30),DATE(2024,8,31),0.05,95,100,2,0)</t>
  </si>
  <si>
    <t xml:space="preserve">PRICEDISC(DATE(2024,6,30),DATE(2024,8,31),0.05,100,1)</t>
  </si>
  <si>
    <t xml:space="preserve">RECEIVED(DATE(2024,6,30),DATE(2024,8,31),1000,0.05,1)</t>
  </si>
  <si>
    <t xml:space="preserve">INTRATE(DATE(2024,6,30),DATE(2024,8,31),1000,1050,1)</t>
  </si>
  <si>
    <t xml:space="preserve">DISC(DATE(2024,6,30),DATE(2024,8,31),95,100,1)</t>
  </si>
  <si>
    <t xml:space="preserve">YIELDDISC(DATE(2024,6,30),DATE(2024,8,31),95,100,1)</t>
  </si>
  <si>
    <t xml:space="preserve">ACCRINTM(DATE(2024,6,30),DATE(2024,8,31),0.05,1000,1)</t>
  </si>
  <si>
    <t xml:space="preserve">PRICEMAT(DATE(2024,6,30),DATE(2024,8,31),DATE(2023,1,31),0.05,0.06,1)</t>
  </si>
  <si>
    <t xml:space="preserve">YIELDMAT(DATE(2024,6,30),DATE(2024,8,31),DATE(2023,1,31),0.05,98,1)</t>
  </si>
  <si>
    <t xml:space="preserve">ACCRINT(DATE(2024,6,30),DATE(2030,1,1),DATE(2024,8,31),0.05,1000,2,1)</t>
  </si>
  <si>
    <t xml:space="preserve">DURATION(DATE(2024,6,30),DATE(2024,8,31),0.05,0.08,2,1)</t>
  </si>
  <si>
    <t xml:space="preserve">PRICE(DATE(2024,6,30),DATE(2024,8,31),0.05,0.08,100,2,1)</t>
  </si>
  <si>
    <t xml:space="preserve">YIELD(DATE(2024,6,30),DATE(2024,8,31),0.05,95,100,2,1)</t>
  </si>
  <si>
    <t xml:space="preserve">PRICEDISC(DATE(2024,6,30),DATE(2024,8,31),0.05,100,4)</t>
  </si>
  <si>
    <t xml:space="preserve">RECEIVED(DATE(2024,6,30),DATE(2024,8,31),1000,0.05,4)</t>
  </si>
  <si>
    <t xml:space="preserve">INTRATE(DATE(2024,6,30),DATE(2024,8,31),1000,1050,4)</t>
  </si>
  <si>
    <t xml:space="preserve">DISC(DATE(2024,6,30),DATE(2024,8,31),95,100,4)</t>
  </si>
  <si>
    <t xml:space="preserve">YIELDDISC(DATE(2024,6,30),DATE(2024,8,31),95,100,4)</t>
  </si>
  <si>
    <t xml:space="preserve">ACCRINTM(DATE(2024,6,30),DATE(2024,8,31),0.05,1000,4)</t>
  </si>
  <si>
    <t xml:space="preserve">PRICEMAT(DATE(2024,6,30),DATE(2024,8,31),DATE(2023,1,31),0.05,0.06,4)</t>
  </si>
  <si>
    <t xml:space="preserve">YIELDMAT(DATE(2024,6,30),DATE(2024,8,31),DATE(2023,1,31),0.05,98,4)</t>
  </si>
  <si>
    <t xml:space="preserve">ACCRINT(DATE(2024,6,30),DATE(2030,1,1),DATE(2024,8,31),0.05,1000,2,4)</t>
  </si>
  <si>
    <t xml:space="preserve">DURATION(DATE(2024,6,30),DATE(2024,8,31),0.05,0.08,2,4)</t>
  </si>
  <si>
    <t xml:space="preserve">PRICE(DATE(2024,6,30),DATE(2024,8,31),0.05,0.08,100,2,4)</t>
  </si>
  <si>
    <t xml:space="preserve">YIELD(DATE(2024,6,30),DATE(2024,8,31),0.05,95,100,2,4)</t>
  </si>
  <si>
    <t xml:space="preserve">TBILLPRICE(DATE(2024,6,30),DATE(2024,8,31),0.05)</t>
  </si>
  <si>
    <t xml:space="preserve">TBILLEQ(DATE(2024,6,30),DATE(2024,8,31),0.05)</t>
  </si>
  <si>
    <t xml:space="preserve">TBILLYIELD(DATE(2024,6,30),DATE(2024,8,31),98)</t>
  </si>
  <si>
    <t xml:space="preserve">PRICEDISC(DATE(2024,6,30),DATE(2025,6,30),0.05,100,0)</t>
  </si>
  <si>
    <t xml:space="preserve">RECEIVED(DATE(2024,6,30),DATE(2025,6,30),1000,0.05,0)</t>
  </si>
  <si>
    <t xml:space="preserve">INTRATE(DATE(2024,6,30),DATE(2025,6,30),1000,1050,0)</t>
  </si>
  <si>
    <t xml:space="preserve">DISC(DATE(2024,6,30),DATE(2025,6,30),95,100,0)</t>
  </si>
  <si>
    <t xml:space="preserve">YIELDDISC(DATE(2024,6,30),DATE(2025,6,30),95,100,0)</t>
  </si>
  <si>
    <t xml:space="preserve">ACCRINTM(DATE(2024,6,30),DATE(2025,6,30),0.05,1000,0)</t>
  </si>
  <si>
    <t xml:space="preserve">PRICEMAT(DATE(2024,6,30),DATE(2025,6,30),DATE(2023,1,31),0.05,0.06,0)</t>
  </si>
  <si>
    <t xml:space="preserve">YIELDMAT(DATE(2024,6,30),DATE(2025,6,30),DATE(2023,1,31),0.05,98,0)</t>
  </si>
  <si>
    <t xml:space="preserve">ACCRINT(DATE(2024,6,30),DATE(2030,1,1),DATE(2025,6,30),0.05,1000,2,0)</t>
  </si>
  <si>
    <t xml:space="preserve">DURATION(DATE(2024,6,30),DATE(2025,6,30),0.05,0.08,2,0)</t>
  </si>
  <si>
    <t xml:space="preserve">PRICE(DATE(2024,6,30),DATE(2025,6,30),0.05,0.08,100,2,0)</t>
  </si>
  <si>
    <t xml:space="preserve">YIELD(DATE(2024,6,30),DATE(2025,6,30),0.05,95,100,2,0)</t>
  </si>
  <si>
    <t xml:space="preserve">PRICEDISC(DATE(2024,6,30),DATE(2025,6,30),0.05,100,1)</t>
  </si>
  <si>
    <t xml:space="preserve">RECEIVED(DATE(2024,6,30),DATE(2025,6,30),1000,0.05,1)</t>
  </si>
  <si>
    <t xml:space="preserve">INTRATE(DATE(2024,6,30),DATE(2025,6,30),1000,1050,1)</t>
  </si>
  <si>
    <t xml:space="preserve">DISC(DATE(2024,6,30),DATE(2025,6,30),95,100,1)</t>
  </si>
  <si>
    <t xml:space="preserve">YIELDDISC(DATE(2024,6,30),DATE(2025,6,30),95,100,1)</t>
  </si>
  <si>
    <t xml:space="preserve">ACCRINTM(DATE(2024,6,30),DATE(2025,6,30),0.05,1000,1)</t>
  </si>
  <si>
    <t xml:space="preserve">PRICEMAT(DATE(2024,6,30),DATE(2025,6,30),DATE(2023,1,31),0.05,0.06,1)</t>
  </si>
  <si>
    <t xml:space="preserve">YIELDMAT(DATE(2024,6,30),DATE(2025,6,30),DATE(2023,1,31),0.05,98,1)</t>
  </si>
  <si>
    <t xml:space="preserve">ACCRINT(DATE(2024,6,30),DATE(2030,1,1),DATE(2025,6,30),0.05,1000,2,1)</t>
  </si>
  <si>
    <t xml:space="preserve">DURATION(DATE(2024,6,30),DATE(2025,6,30),0.05,0.08,2,1)</t>
  </si>
  <si>
    <t xml:space="preserve">PRICE(DATE(2024,6,30),DATE(2025,6,30),0.05,0.08,100,2,1)</t>
  </si>
  <si>
    <t xml:space="preserve">YIELD(DATE(2024,6,30),DATE(2025,6,30),0.05,95,100,2,1)</t>
  </si>
  <si>
    <t xml:space="preserve">PRICEDISC(DATE(2024,6,30),DATE(2025,6,30),0.05,100,4)</t>
  </si>
  <si>
    <t xml:space="preserve">RECEIVED(DATE(2024,6,30),DATE(2025,6,30),1000,0.05,4)</t>
  </si>
  <si>
    <t xml:space="preserve">INTRATE(DATE(2024,6,30),DATE(2025,6,30),1000,1050,4)</t>
  </si>
  <si>
    <t xml:space="preserve">DISC(DATE(2024,6,30),DATE(2025,6,30),95,100,4)</t>
  </si>
  <si>
    <t xml:space="preserve">YIELDDISC(DATE(2024,6,30),DATE(2025,6,30),95,100,4)</t>
  </si>
  <si>
    <t xml:space="preserve">ACCRINTM(DATE(2024,6,30),DATE(2025,6,30),0.05,1000,4)</t>
  </si>
  <si>
    <t xml:space="preserve">PRICEMAT(DATE(2024,6,30),DATE(2025,6,30),DATE(2023,1,31),0.05,0.06,4)</t>
  </si>
  <si>
    <t xml:space="preserve">YIELDMAT(DATE(2024,6,30),DATE(2025,6,30),DATE(2023,1,31),0.05,98,4)</t>
  </si>
  <si>
    <t xml:space="preserve">ACCRINT(DATE(2024,6,30),DATE(2030,1,1),DATE(2025,6,30),0.05,1000,2,4)</t>
  </si>
  <si>
    <t xml:space="preserve">DURATION(DATE(2024,6,30),DATE(2025,6,30),0.05,0.08,2,4)</t>
  </si>
  <si>
    <t xml:space="preserve">PRICE(DATE(2024,6,30),DATE(2025,6,30),0.05,0.08,100,2,4)</t>
  </si>
  <si>
    <t xml:space="preserve">YIELD(DATE(2024,6,30),DATE(2025,6,30),0.05,95,100,2,4)</t>
  </si>
  <si>
    <t xml:space="preserve">TBILLPRICE(DATE(2024,6,30),DATE(2025,6,30),0.05)</t>
  </si>
  <si>
    <t xml:space="preserve">TBILLEQ(DATE(2024,6,30),DATE(2025,6,30),0.05)</t>
  </si>
  <si>
    <t xml:space="preserve">TBILLYIELD(DATE(2024,6,30),DATE(2025,6,30),98)</t>
  </si>
  <si>
    <t xml:space="preserve">PRICEDISC(DATE(2024,6,30),DATE(2026,12,31),0.05,100,0)</t>
  </si>
  <si>
    <t xml:space="preserve">RECEIVED(DATE(2024,6,30),DATE(2026,12,31),1000,0.05,0)</t>
  </si>
  <si>
    <t xml:space="preserve">INTRATE(DATE(2024,6,30),DATE(2026,12,31),1000,1050,0)</t>
  </si>
  <si>
    <t xml:space="preserve">DISC(DATE(2024,6,30),DATE(2026,12,31),95,100,0)</t>
  </si>
  <si>
    <t xml:space="preserve">YIELDDISC(DATE(2024,6,30),DATE(2026,12,31),95,100,0)</t>
  </si>
  <si>
    <t xml:space="preserve">ACCRINTM(DATE(2024,6,30),DATE(2026,12,31),0.05,1000,0)</t>
  </si>
  <si>
    <t xml:space="preserve">PRICEMAT(DATE(2024,6,30),DATE(2026,12,31),DATE(2023,1,31),0.05,0.06,0)</t>
  </si>
  <si>
    <t xml:space="preserve">YIELDMAT(DATE(2024,6,30),DATE(2026,12,31),DATE(2023,1,31),0.05,98,0)</t>
  </si>
  <si>
    <t xml:space="preserve">ACCRINT(DATE(2024,6,30),DATE(2030,1,1),DATE(2026,12,31),0.05,1000,2,0)</t>
  </si>
  <si>
    <t xml:space="preserve">DURATION(DATE(2024,6,30),DATE(2026,12,31),0.05,0.08,2,0)</t>
  </si>
  <si>
    <t xml:space="preserve">PRICE(DATE(2024,6,30),DATE(2026,12,31),0.05,0.08,100,2,0)</t>
  </si>
  <si>
    <t xml:space="preserve">YIELD(DATE(2024,6,30),DATE(2026,12,31),0.05,95,100,2,0)</t>
  </si>
  <si>
    <t xml:space="preserve">PRICEDISC(DATE(2024,6,30),DATE(2026,12,31),0.05,100,1)</t>
  </si>
  <si>
    <t xml:space="preserve">RECEIVED(DATE(2024,6,30),DATE(2026,12,31),1000,0.05,1)</t>
  </si>
  <si>
    <t xml:space="preserve">INTRATE(DATE(2024,6,30),DATE(2026,12,31),1000,1050,1)</t>
  </si>
  <si>
    <t xml:space="preserve">DISC(DATE(2024,6,30),DATE(2026,12,31),95,100,1)</t>
  </si>
  <si>
    <t xml:space="preserve">YIELDDISC(DATE(2024,6,30),DATE(2026,12,31),95,100,1)</t>
  </si>
  <si>
    <t xml:space="preserve">ACCRINTM(DATE(2024,6,30),DATE(2026,12,31),0.05,1000,1)</t>
  </si>
  <si>
    <t xml:space="preserve">PRICEMAT(DATE(2024,6,30),DATE(2026,12,31),DATE(2023,1,31),0.05,0.06,1)</t>
  </si>
  <si>
    <t xml:space="preserve">YIELDMAT(DATE(2024,6,30),DATE(2026,12,31),DATE(2023,1,31),0.05,98,1)</t>
  </si>
  <si>
    <t xml:space="preserve">ACCRINT(DATE(2024,6,30),DATE(2030,1,1),DATE(2026,12,31),0.05,1000,2,1)</t>
  </si>
  <si>
    <t xml:space="preserve">DURATION(DATE(2024,6,30),DATE(2026,12,31),0.05,0.08,2,1)</t>
  </si>
  <si>
    <t xml:space="preserve">PRICE(DATE(2024,6,30),DATE(2026,12,31),0.05,0.08,100,2,1)</t>
  </si>
  <si>
    <t xml:space="preserve">YIELD(DATE(2024,6,30),DATE(2026,12,31),0.05,95,100,2,1)</t>
  </si>
  <si>
    <t xml:space="preserve">PRICEDISC(DATE(2024,6,30),DATE(2026,12,31),0.05,100,4)</t>
  </si>
  <si>
    <t xml:space="preserve">RECEIVED(DATE(2024,6,30),DATE(2026,12,31),1000,0.05,4)</t>
  </si>
  <si>
    <t xml:space="preserve">INTRATE(DATE(2024,6,30),DATE(2026,12,31),1000,1050,4)</t>
  </si>
  <si>
    <t xml:space="preserve">DISC(DATE(2024,6,30),DATE(2026,12,31),95,100,4)</t>
  </si>
  <si>
    <t xml:space="preserve">YIELDDISC(DATE(2024,6,30),DATE(2026,12,31),95,100,4)</t>
  </si>
  <si>
    <t xml:space="preserve">ACCRINTM(DATE(2024,6,30),DATE(2026,12,31),0.05,1000,4)</t>
  </si>
  <si>
    <t xml:space="preserve">PRICEMAT(DATE(2024,6,30),DATE(2026,12,31),DATE(2023,1,31),0.05,0.06,4)</t>
  </si>
  <si>
    <t xml:space="preserve">YIELDMAT(DATE(2024,6,30),DATE(2026,12,31),DATE(2023,1,31),0.05,98,4)</t>
  </si>
  <si>
    <t xml:space="preserve">ACCRINT(DATE(2024,6,30),DATE(2030,1,1),DATE(2026,12,31),0.05,1000,2,4)</t>
  </si>
  <si>
    <t xml:space="preserve">DURATION(DATE(2024,6,30),DATE(2026,12,31),0.05,0.08,2,4)</t>
  </si>
  <si>
    <t xml:space="preserve">PRICE(DATE(2024,6,30),DATE(2026,12,31),0.05,0.08,100,2,4)</t>
  </si>
  <si>
    <t xml:space="preserve">YIELD(DATE(2024,6,30),DATE(2026,12,31),0.05,95,100,2,4)</t>
  </si>
  <si>
    <t xml:space="preserve">TBILLPRICE(DATE(2024,6,30),DATE(2026,12,31),0.05)</t>
  </si>
  <si>
    <t xml:space="preserve">TBILLEQ(DATE(2024,6,30),DATE(2026,12,31),0.05)</t>
  </si>
  <si>
    <t xml:space="preserve">TBILLYIELD(DATE(2024,6,30),DATE(2026,12,31),98)</t>
  </si>
  <si>
    <t xml:space="preserve">PRICEDISC(DATE(2024,6,30),DATE(2027,2,28),0.05,100,0)</t>
  </si>
  <si>
    <t xml:space="preserve">RECEIVED(DATE(2024,6,30),DATE(2027,2,28),1000,0.05,0)</t>
  </si>
  <si>
    <t xml:space="preserve">INTRATE(DATE(2024,6,30),DATE(2027,2,28),1000,1050,0)</t>
  </si>
  <si>
    <t xml:space="preserve">DISC(DATE(2024,6,30),DATE(2027,2,28),95,100,0)</t>
  </si>
  <si>
    <t xml:space="preserve">YIELDDISC(DATE(2024,6,30),DATE(2027,2,28),95,100,0)</t>
  </si>
  <si>
    <t xml:space="preserve">ACCRINTM(DATE(2024,6,30),DATE(2027,2,28),0.05,1000,0)</t>
  </si>
  <si>
    <t xml:space="preserve">PRICEMAT(DATE(2024,6,30),DATE(2027,2,28),DATE(2023,1,31),0.05,0.06,0)</t>
  </si>
  <si>
    <t xml:space="preserve">YIELDMAT(DATE(2024,6,30),DATE(2027,2,28),DATE(2023,1,31),0.05,98,0)</t>
  </si>
  <si>
    <t xml:space="preserve">ACCRINT(DATE(2024,6,30),DATE(2030,1,1),DATE(2027,2,28),0.05,1000,2,0)</t>
  </si>
  <si>
    <t xml:space="preserve">DURATION(DATE(2024,6,30),DATE(2027,2,28),0.05,0.08,2,0)</t>
  </si>
  <si>
    <t xml:space="preserve">PRICE(DATE(2024,6,30),DATE(2027,2,28),0.05,0.08,100,2,0)</t>
  </si>
  <si>
    <t xml:space="preserve">YIELD(DATE(2024,6,30),DATE(2027,2,28),0.05,95,100,2,0)</t>
  </si>
  <si>
    <t xml:space="preserve">PRICEDISC(DATE(2024,6,30),DATE(2027,2,28),0.05,100,1)</t>
  </si>
  <si>
    <t xml:space="preserve">RECEIVED(DATE(2024,6,30),DATE(2027,2,28),1000,0.05,1)</t>
  </si>
  <si>
    <t xml:space="preserve">INTRATE(DATE(2024,6,30),DATE(2027,2,28),1000,1050,1)</t>
  </si>
  <si>
    <t xml:space="preserve">DISC(DATE(2024,6,30),DATE(2027,2,28),95,100,1)</t>
  </si>
  <si>
    <t xml:space="preserve">YIELDDISC(DATE(2024,6,30),DATE(2027,2,28),95,100,1)</t>
  </si>
  <si>
    <t xml:space="preserve">ACCRINTM(DATE(2024,6,30),DATE(2027,2,28),0.05,1000,1)</t>
  </si>
  <si>
    <t xml:space="preserve">PRICEMAT(DATE(2024,6,30),DATE(2027,2,28),DATE(2023,1,31),0.05,0.06,1)</t>
  </si>
  <si>
    <t xml:space="preserve">YIELDMAT(DATE(2024,6,30),DATE(2027,2,28),DATE(2023,1,31),0.05,98,1)</t>
  </si>
  <si>
    <t xml:space="preserve">ACCRINT(DATE(2024,6,30),DATE(2030,1,1),DATE(2027,2,28),0.05,1000,2,1)</t>
  </si>
  <si>
    <t xml:space="preserve">DURATION(DATE(2024,6,30),DATE(2027,2,28),0.05,0.08,2,1)</t>
  </si>
  <si>
    <t xml:space="preserve">PRICE(DATE(2024,6,30),DATE(2027,2,28),0.05,0.08,100,2,1)</t>
  </si>
  <si>
    <t xml:space="preserve">YIELD(DATE(2024,6,30),DATE(2027,2,28),0.05,95,100,2,1)</t>
  </si>
  <si>
    <t xml:space="preserve">PRICEDISC(DATE(2024,6,30),DATE(2027,2,28),0.05,100,4)</t>
  </si>
  <si>
    <t xml:space="preserve">RECEIVED(DATE(2024,6,30),DATE(2027,2,28),1000,0.05,4)</t>
  </si>
  <si>
    <t xml:space="preserve">INTRATE(DATE(2024,6,30),DATE(2027,2,28),1000,1050,4)</t>
  </si>
  <si>
    <t xml:space="preserve">DISC(DATE(2024,6,30),DATE(2027,2,28),95,100,4)</t>
  </si>
  <si>
    <t xml:space="preserve">YIELDDISC(DATE(2024,6,30),DATE(2027,2,28),95,100,4)</t>
  </si>
  <si>
    <t xml:space="preserve">ACCRINTM(DATE(2024,6,30),DATE(2027,2,28),0.05,1000,4)</t>
  </si>
  <si>
    <t xml:space="preserve">PRICEMAT(DATE(2024,6,30),DATE(2027,2,28),DATE(2023,1,31),0.05,0.06,4)</t>
  </si>
  <si>
    <t xml:space="preserve">YIELDMAT(DATE(2024,6,30),DATE(2027,2,28),DATE(2023,1,31),0.05,98,4)</t>
  </si>
  <si>
    <t xml:space="preserve">ACCRINT(DATE(2024,6,30),DATE(2030,1,1),DATE(2027,2,28),0.05,1000,2,4)</t>
  </si>
  <si>
    <t xml:space="preserve">DURATION(DATE(2024,6,30),DATE(2027,2,28),0.05,0.08,2,4)</t>
  </si>
  <si>
    <t xml:space="preserve">PRICE(DATE(2024,6,30),DATE(2027,2,28),0.05,0.08,100,2,4)</t>
  </si>
  <si>
    <t xml:space="preserve">YIELD(DATE(2024,6,30),DATE(2027,2,28),0.05,95,100,2,4)</t>
  </si>
  <si>
    <t xml:space="preserve">TBILLPRICE(DATE(2024,6,30),DATE(2027,2,28),0.05)</t>
  </si>
  <si>
    <t xml:space="preserve">TBILLEQ(DATE(2024,6,30),DATE(2027,2,28),0.05)</t>
  </si>
  <si>
    <t xml:space="preserve">TBILLYIELD(DATE(2024,6,30),DATE(2027,2,28),98)</t>
  </si>
  <si>
    <t xml:space="preserve">PRICEDISC(DATE(2024,6,30),DATE(2025,1,30),0.05,100,0)</t>
  </si>
  <si>
    <t xml:space="preserve">RECEIVED(DATE(2024,6,30),DATE(2025,1,30),1000,0.05,0)</t>
  </si>
  <si>
    <t xml:space="preserve">INTRATE(DATE(2024,6,30),DATE(2025,1,30),1000,1050,0)</t>
  </si>
  <si>
    <t xml:space="preserve">DISC(DATE(2024,6,30),DATE(2025,1,30),95,100,0)</t>
  </si>
  <si>
    <t xml:space="preserve">YIELDDISC(DATE(2024,6,30),DATE(2025,1,30),95,100,0)</t>
  </si>
  <si>
    <t xml:space="preserve">ACCRINTM(DATE(2024,6,30),DATE(2025,1,30),0.05,1000,0)</t>
  </si>
  <si>
    <t xml:space="preserve">PRICEMAT(DATE(2024,6,30),DATE(2025,1,30),DATE(2023,1,31),0.05,0.06,0)</t>
  </si>
  <si>
    <t xml:space="preserve">YIELDMAT(DATE(2024,6,30),DATE(2025,1,30),DATE(2023,1,31),0.05,98,0)</t>
  </si>
  <si>
    <t xml:space="preserve">ACCRINT(DATE(2024,6,30),DATE(2030,1,1),DATE(2025,1,30),0.05,1000,2,0)</t>
  </si>
  <si>
    <t xml:space="preserve">DURATION(DATE(2024,6,30),DATE(2025,1,30),0.05,0.08,2,0)</t>
  </si>
  <si>
    <t xml:space="preserve">PRICE(DATE(2024,6,30),DATE(2025,1,30),0.05,0.08,100,2,0)</t>
  </si>
  <si>
    <t xml:space="preserve">YIELD(DATE(2024,6,30),DATE(2025,1,30),0.05,95,100,2,0)</t>
  </si>
  <si>
    <t xml:space="preserve">PRICEDISC(DATE(2024,6,30),DATE(2025,1,30),0.05,100,1)</t>
  </si>
  <si>
    <t xml:space="preserve">RECEIVED(DATE(2024,6,30),DATE(2025,1,30),1000,0.05,1)</t>
  </si>
  <si>
    <t xml:space="preserve">INTRATE(DATE(2024,6,30),DATE(2025,1,30),1000,1050,1)</t>
  </si>
  <si>
    <t xml:space="preserve">DISC(DATE(2024,6,30),DATE(2025,1,30),95,100,1)</t>
  </si>
  <si>
    <t xml:space="preserve">YIELDDISC(DATE(2024,6,30),DATE(2025,1,30),95,100,1)</t>
  </si>
  <si>
    <t xml:space="preserve">ACCRINTM(DATE(2024,6,30),DATE(2025,1,30),0.05,1000,1)</t>
  </si>
  <si>
    <t xml:space="preserve">PRICEMAT(DATE(2024,6,30),DATE(2025,1,30),DATE(2023,1,31),0.05,0.06,1)</t>
  </si>
  <si>
    <t xml:space="preserve">YIELDMAT(DATE(2024,6,30),DATE(2025,1,30),DATE(2023,1,31),0.05,98,1)</t>
  </si>
  <si>
    <t xml:space="preserve">ACCRINT(DATE(2024,6,30),DATE(2030,1,1),DATE(2025,1,30),0.05,1000,2,1)</t>
  </si>
  <si>
    <t xml:space="preserve">DURATION(DATE(2024,6,30),DATE(2025,1,30),0.05,0.08,2,1)</t>
  </si>
  <si>
    <t xml:space="preserve">PRICE(DATE(2024,6,30),DATE(2025,1,30),0.05,0.08,100,2,1)</t>
  </si>
  <si>
    <t xml:space="preserve">YIELD(DATE(2024,6,30),DATE(2025,1,30),0.05,95,100,2,1)</t>
  </si>
  <si>
    <t xml:space="preserve">PRICEDISC(DATE(2024,6,30),DATE(2025,1,30),0.05,100,4)</t>
  </si>
  <si>
    <t xml:space="preserve">RECEIVED(DATE(2024,6,30),DATE(2025,1,30),1000,0.05,4)</t>
  </si>
  <si>
    <t xml:space="preserve">INTRATE(DATE(2024,6,30),DATE(2025,1,30),1000,1050,4)</t>
  </si>
  <si>
    <t xml:space="preserve">DISC(DATE(2024,6,30),DATE(2025,1,30),95,100,4)</t>
  </si>
  <si>
    <t xml:space="preserve">YIELDDISC(DATE(2024,6,30),DATE(2025,1,30),95,100,4)</t>
  </si>
  <si>
    <t xml:space="preserve">ACCRINTM(DATE(2024,6,30),DATE(2025,1,30),0.05,1000,4)</t>
  </si>
  <si>
    <t xml:space="preserve">PRICEMAT(DATE(2024,6,30),DATE(2025,1,30),DATE(2023,1,31),0.05,0.06,4)</t>
  </si>
  <si>
    <t xml:space="preserve">YIELDMAT(DATE(2024,6,30),DATE(2025,1,30),DATE(2023,1,31),0.05,98,4)</t>
  </si>
  <si>
    <t xml:space="preserve">ACCRINT(DATE(2024,6,30),DATE(2030,1,1),DATE(2025,1,30),0.05,1000,2,4)</t>
  </si>
  <si>
    <t xml:space="preserve">DURATION(DATE(2024,6,30),DATE(2025,1,30),0.05,0.08,2,4)</t>
  </si>
  <si>
    <t xml:space="preserve">PRICE(DATE(2024,6,30),DATE(2025,1,30),0.05,0.08,100,2,4)</t>
  </si>
  <si>
    <t xml:space="preserve">YIELD(DATE(2024,6,30),DATE(2025,1,30),0.05,95,100,2,4)</t>
  </si>
  <si>
    <t xml:space="preserve">TBILLPRICE(DATE(2024,6,30),DATE(2025,1,30),0.05)</t>
  </si>
  <si>
    <t xml:space="preserve">TBILLEQ(DATE(2024,6,30),DATE(2025,1,30),0.05)</t>
  </si>
  <si>
    <t xml:space="preserve">TBILLYIELD(DATE(2024,6,30),DATE(2025,1,30),98)</t>
  </si>
  <si>
    <t xml:space="preserve">PRICEDISC(DATE(2024,6,30),DATE(2024,12,31),0.05,100,0)</t>
  </si>
  <si>
    <t xml:space="preserve">RECEIVED(DATE(2024,6,30),DATE(2024,12,31),1000,0.05,0)</t>
  </si>
  <si>
    <t xml:space="preserve">INTRATE(DATE(2024,6,30),DATE(2024,12,31),1000,1050,0)</t>
  </si>
  <si>
    <t xml:space="preserve">DISC(DATE(2024,6,30),DATE(2024,12,31),95,100,0)</t>
  </si>
  <si>
    <t xml:space="preserve">YIELDDISC(DATE(2024,6,30),DATE(2024,12,31),95,100,0)</t>
  </si>
  <si>
    <t xml:space="preserve">ACCRINTM(DATE(2024,6,30),DATE(2024,12,31),0.05,1000,0)</t>
  </si>
  <si>
    <t xml:space="preserve">PRICEMAT(DATE(2024,6,30),DATE(2024,12,31),DATE(2023,1,31),0.05,0.06,0)</t>
  </si>
  <si>
    <t xml:space="preserve">YIELDMAT(DATE(2024,6,30),DATE(2024,12,31),DATE(2023,1,31),0.05,98,0)</t>
  </si>
  <si>
    <t xml:space="preserve">ACCRINT(DATE(2024,6,30),DATE(2030,1,1),DATE(2024,12,31),0.05,1000,2,0)</t>
  </si>
  <si>
    <t xml:space="preserve">DURATION(DATE(2024,6,30),DATE(2024,12,31),0.05,0.08,2,0)</t>
  </si>
  <si>
    <t xml:space="preserve">PRICE(DATE(2024,6,30),DATE(2024,12,31),0.05,0.08,100,2,0)</t>
  </si>
  <si>
    <t xml:space="preserve">YIELD(DATE(2024,6,30),DATE(2024,12,31),0.05,95,100,2,0)</t>
  </si>
  <si>
    <t xml:space="preserve">PRICEDISC(DATE(2024,6,30),DATE(2024,12,31),0.05,100,1)</t>
  </si>
  <si>
    <t xml:space="preserve">RECEIVED(DATE(2024,6,30),DATE(2024,12,31),1000,0.05,1)</t>
  </si>
  <si>
    <t xml:space="preserve">INTRATE(DATE(2024,6,30),DATE(2024,12,31),1000,1050,1)</t>
  </si>
  <si>
    <t xml:space="preserve">DISC(DATE(2024,6,30),DATE(2024,12,31),95,100,1)</t>
  </si>
  <si>
    <t xml:space="preserve">YIELDDISC(DATE(2024,6,30),DATE(2024,12,31),95,100,1)</t>
  </si>
  <si>
    <t xml:space="preserve">ACCRINTM(DATE(2024,6,30),DATE(2024,12,31),0.05,1000,1)</t>
  </si>
  <si>
    <t xml:space="preserve">PRICEMAT(DATE(2024,6,30),DATE(2024,12,31),DATE(2023,1,31),0.05,0.06,1)</t>
  </si>
  <si>
    <t xml:space="preserve">YIELDMAT(DATE(2024,6,30),DATE(2024,12,31),DATE(2023,1,31),0.05,98,1)</t>
  </si>
  <si>
    <t xml:space="preserve">ACCRINT(DATE(2024,6,30),DATE(2030,1,1),DATE(2024,12,31),0.05,1000,2,1)</t>
  </si>
  <si>
    <t xml:space="preserve">DURATION(DATE(2024,6,30),DATE(2024,12,31),0.05,0.08,2,1)</t>
  </si>
  <si>
    <t xml:space="preserve">PRICE(DATE(2024,6,30),DATE(2024,12,31),0.05,0.08,100,2,1)</t>
  </si>
  <si>
    <t xml:space="preserve">YIELD(DATE(2024,6,30),DATE(2024,12,31),0.05,95,100,2,1)</t>
  </si>
  <si>
    <t xml:space="preserve">PRICEDISC(DATE(2024,6,30),DATE(2024,12,31),0.05,100,4)</t>
  </si>
  <si>
    <t xml:space="preserve">RECEIVED(DATE(2024,6,30),DATE(2024,12,31),1000,0.05,4)</t>
  </si>
  <si>
    <t xml:space="preserve">INTRATE(DATE(2024,6,30),DATE(2024,12,31),1000,1050,4)</t>
  </si>
  <si>
    <t xml:space="preserve">DISC(DATE(2024,6,30),DATE(2024,12,31),95,100,4)</t>
  </si>
  <si>
    <t xml:space="preserve">YIELDDISC(DATE(2024,6,30),DATE(2024,12,31),95,100,4)</t>
  </si>
  <si>
    <t xml:space="preserve">ACCRINTM(DATE(2024,6,30),DATE(2024,12,31),0.05,1000,4)</t>
  </si>
  <si>
    <t xml:space="preserve">PRICEMAT(DATE(2024,6,30),DATE(2024,12,31),DATE(2023,1,31),0.05,0.06,4)</t>
  </si>
  <si>
    <t xml:space="preserve">YIELDMAT(DATE(2024,6,30),DATE(2024,12,31),DATE(2023,1,31),0.05,98,4)</t>
  </si>
  <si>
    <t xml:space="preserve">ACCRINT(DATE(2024,6,30),DATE(2030,1,1),DATE(2024,12,31),0.05,1000,2,4)</t>
  </si>
  <si>
    <t xml:space="preserve">DURATION(DATE(2024,6,30),DATE(2024,12,31),0.05,0.08,2,4)</t>
  </si>
  <si>
    <t xml:space="preserve">PRICE(DATE(2024,6,30),DATE(2024,12,31),0.05,0.08,100,2,4)</t>
  </si>
  <si>
    <t xml:space="preserve">YIELD(DATE(2024,6,30),DATE(2024,12,31),0.05,95,100,2,4)</t>
  </si>
  <si>
    <t xml:space="preserve">TBILLPRICE(DATE(2024,6,30),DATE(2024,12,31),0.05)</t>
  </si>
  <si>
    <t xml:space="preserve">TBILLEQ(DATE(2024,6,30),DATE(2024,12,31),0.05)</t>
  </si>
  <si>
    <t xml:space="preserve">TBILLYIELD(DATE(2024,6,30),DATE(2024,12,31),98)</t>
  </si>
  <si>
    <t xml:space="preserve">TBILLPRICE(DATE(2024,1,15),DATE(2025,1,14),0.05)</t>
  </si>
  <si>
    <t xml:space="preserve">TBILLPRICE(DATE(2024,1,15),DATE(2025,1,13),0.05)</t>
  </si>
  <si>
    <t xml:space="preserve">TBILLPRICE(DATE(2023,12,31),DATE(2024,12,30),0.05)</t>
  </si>
  <si>
    <t xml:space="preserve">AMORLINC(10000,DATE(2024,1,15),DATE(2024,12,31),500,0,0.05,0)</t>
  </si>
  <si>
    <t xml:space="preserve">AMORDEGRC(10000,DATE(2024,1,15),DATE(2024,12,31),500,0,0.05,0)</t>
  </si>
  <si>
    <t xml:space="preserve">AMORLINC(10000,DATE(2024,1,15),DATE(2024,12,31),500,1,0.05,0)</t>
  </si>
  <si>
    <t xml:space="preserve">AMORDEGRC(10000,DATE(2024,1,15),DATE(2024,12,31),500,1,0.05,0)</t>
  </si>
  <si>
    <t xml:space="preserve">AMORLINC(10000,DATE(2024,1,15),DATE(2024,12,31),500,2,0.05,0)</t>
  </si>
  <si>
    <t xml:space="preserve">AMORDEGRC(10000,DATE(2024,1,15),DATE(2024,12,31),500,2,0.05,0)</t>
  </si>
  <si>
    <t xml:space="preserve">AMORLINC(10000,DATE(2024,1,15),DATE(2024,12,31),500,3,0.05,0)</t>
  </si>
  <si>
    <t xml:space="preserve">AMORDEGRC(10000,DATE(2024,1,15),DATE(2024,12,31),500,3,0.05,0)</t>
  </si>
  <si>
    <t xml:space="preserve">AMORLINC(10000,DATE(2024,1,15),DATE(2024,12,31),500,5,0.05,0)</t>
  </si>
  <si>
    <t xml:space="preserve">AMORDEGRC(10000,DATE(2024,1,15),DATE(2024,12,31),500,5,0.05,0)</t>
  </si>
  <si>
    <t xml:space="preserve">AMORLINC(10000,DATE(2024,1,15),DATE(2024,12,31),500,8,0.05,0)</t>
  </si>
  <si>
    <t xml:space="preserve">AMORDEGRC(10000,DATE(2024,1,15),DATE(2024,12,31),500,8,0.05,0)</t>
  </si>
  <si>
    <t xml:space="preserve">AMORLINC(10000,DATE(2024,1,15),DATE(2024,12,31),500,12,0.05,0)</t>
  </si>
  <si>
    <t xml:space="preserve">AMORDEGRC(10000,DATE(2024,1,15),DATE(2024,12,31),500,12,0.05,0)</t>
  </si>
  <si>
    <t xml:space="preserve">AMORLINC(10000,DATE(2024,1,15),DATE(2024,12,31),500,25,0.05,0)</t>
  </si>
  <si>
    <t xml:space="preserve">AMORDEGRC(10000,DATE(2024,1,15),DATE(2024,12,31),500,25,0.05,0)</t>
  </si>
  <si>
    <t xml:space="preserve">AMORLINC(10000,DATE(2024,1,15),DATE(2024,12,31),500,0,0.05,1)</t>
  </si>
  <si>
    <t xml:space="preserve">AMORDEGRC(10000,DATE(2024,1,15),DATE(2024,12,31),500,0,0.05,1)</t>
  </si>
  <si>
    <t xml:space="preserve">AMORLINC(10000,DATE(2024,1,15),DATE(2024,12,31),500,1,0.05,1)</t>
  </si>
  <si>
    <t xml:space="preserve">AMORDEGRC(10000,DATE(2024,1,15),DATE(2024,12,31),500,1,0.05,1)</t>
  </si>
  <si>
    <t xml:space="preserve">AMORLINC(10000,DATE(2024,1,15),DATE(2024,12,31),500,2,0.05,1)</t>
  </si>
  <si>
    <t xml:space="preserve">AMORDEGRC(10000,DATE(2024,1,15),DATE(2024,12,31),500,2,0.05,1)</t>
  </si>
  <si>
    <t xml:space="preserve">AMORLINC(10000,DATE(2024,1,15),DATE(2024,12,31),500,3,0.05,1)</t>
  </si>
  <si>
    <t xml:space="preserve">AMORDEGRC(10000,DATE(2024,1,15),DATE(2024,12,31),500,3,0.05,1)</t>
  </si>
  <si>
    <t xml:space="preserve">AMORLINC(10000,DATE(2024,1,15),DATE(2024,12,31),500,5,0.05,1)</t>
  </si>
  <si>
    <t xml:space="preserve">AMORDEGRC(10000,DATE(2024,1,15),DATE(2024,12,31),500,5,0.05,1)</t>
  </si>
  <si>
    <t xml:space="preserve">AMORLINC(10000,DATE(2024,1,15),DATE(2024,12,31),500,8,0.05,1)</t>
  </si>
  <si>
    <t xml:space="preserve">AMORDEGRC(10000,DATE(2024,1,15),DATE(2024,12,31),500,8,0.05,1)</t>
  </si>
  <si>
    <t xml:space="preserve">AMORLINC(10000,DATE(2024,1,15),DATE(2024,12,31),500,12,0.05,1)</t>
  </si>
  <si>
    <t xml:space="preserve">AMORDEGRC(10000,DATE(2024,1,15),DATE(2024,12,31),500,12,0.05,1)</t>
  </si>
  <si>
    <t xml:space="preserve">AMORLINC(10000,DATE(2024,1,15),DATE(2024,12,31),500,25,0.05,1)</t>
  </si>
  <si>
    <t xml:space="preserve">AMORDEGRC(10000,DATE(2024,1,15),DATE(2024,12,31),500,25,0.05,1)</t>
  </si>
  <si>
    <t xml:space="preserve">AMORLINC(10000,DATE(2024,1,15),DATE(2024,12,31),500,0,0.05,3)</t>
  </si>
  <si>
    <t xml:space="preserve">AMORDEGRC(10000,DATE(2024,1,15),DATE(2024,12,31),500,0,0.05,3)</t>
  </si>
  <si>
    <t xml:space="preserve">AMORLINC(10000,DATE(2024,1,15),DATE(2024,12,31),500,1,0.05,3)</t>
  </si>
  <si>
    <t xml:space="preserve">AMORDEGRC(10000,DATE(2024,1,15),DATE(2024,12,31),500,1,0.05,3)</t>
  </si>
  <si>
    <t xml:space="preserve">AMORLINC(10000,DATE(2024,1,15),DATE(2024,12,31),500,2,0.05,3)</t>
  </si>
  <si>
    <t xml:space="preserve">AMORDEGRC(10000,DATE(2024,1,15),DATE(2024,12,31),500,2,0.05,3)</t>
  </si>
  <si>
    <t xml:space="preserve">AMORLINC(10000,DATE(2024,1,15),DATE(2024,12,31),500,3,0.05,3)</t>
  </si>
  <si>
    <t xml:space="preserve">AMORDEGRC(10000,DATE(2024,1,15),DATE(2024,12,31),500,3,0.05,3)</t>
  </si>
  <si>
    <t xml:space="preserve">AMORLINC(10000,DATE(2024,1,15),DATE(2024,12,31),500,5,0.05,3)</t>
  </si>
  <si>
    <t xml:space="preserve">AMORDEGRC(10000,DATE(2024,1,15),DATE(2024,12,31),500,5,0.05,3)</t>
  </si>
  <si>
    <t xml:space="preserve">AMORLINC(10000,DATE(2024,1,15),DATE(2024,12,31),500,8,0.05,3)</t>
  </si>
  <si>
    <t xml:space="preserve">AMORDEGRC(10000,DATE(2024,1,15),DATE(2024,12,31),500,8,0.05,3)</t>
  </si>
  <si>
    <t xml:space="preserve">AMORLINC(10000,DATE(2024,1,15),DATE(2024,12,31),500,12,0.05,3)</t>
  </si>
  <si>
    <t xml:space="preserve">AMORDEGRC(10000,DATE(2024,1,15),DATE(2024,12,31),500,12,0.05,3)</t>
  </si>
  <si>
    <t xml:space="preserve">AMORLINC(10000,DATE(2024,1,15),DATE(2024,12,31),500,25,0.05,3)</t>
  </si>
  <si>
    <t xml:space="preserve">AMORDEGRC(10000,DATE(2024,1,15),DATE(2024,12,31),500,25,0.05,3)</t>
  </si>
  <si>
    <t xml:space="preserve">AMORLINC(10000,DATE(2024,1,15),DATE(2024,12,31),500,0,0.05,4)</t>
  </si>
  <si>
    <t xml:space="preserve">AMORDEGRC(10000,DATE(2024,1,15),DATE(2024,12,31),500,0,0.05,4)</t>
  </si>
  <si>
    <t xml:space="preserve">AMORLINC(10000,DATE(2024,1,15),DATE(2024,12,31),500,1,0.05,4)</t>
  </si>
  <si>
    <t xml:space="preserve">AMORDEGRC(10000,DATE(2024,1,15),DATE(2024,12,31),500,1,0.05,4)</t>
  </si>
  <si>
    <t xml:space="preserve">AMORLINC(10000,DATE(2024,1,15),DATE(2024,12,31),500,2,0.05,4)</t>
  </si>
  <si>
    <t xml:space="preserve">AMORDEGRC(10000,DATE(2024,1,15),DATE(2024,12,31),500,2,0.05,4)</t>
  </si>
  <si>
    <t xml:space="preserve">AMORLINC(10000,DATE(2024,1,15),DATE(2024,12,31),500,3,0.05,4)</t>
  </si>
  <si>
    <t xml:space="preserve">AMORDEGRC(10000,DATE(2024,1,15),DATE(2024,12,31),500,3,0.05,4)</t>
  </si>
  <si>
    <t xml:space="preserve">AMORLINC(10000,DATE(2024,1,15),DATE(2024,12,31),500,5,0.05,4)</t>
  </si>
  <si>
    <t xml:space="preserve">AMORDEGRC(10000,DATE(2024,1,15),DATE(2024,12,31),500,5,0.05,4)</t>
  </si>
  <si>
    <t xml:space="preserve">AMORLINC(10000,DATE(2024,1,15),DATE(2024,12,31),500,8,0.05,4)</t>
  </si>
  <si>
    <t xml:space="preserve">AMORDEGRC(10000,DATE(2024,1,15),DATE(2024,12,31),500,8,0.05,4)</t>
  </si>
  <si>
    <t xml:space="preserve">AMORLINC(10000,DATE(2024,1,15),DATE(2024,12,31),500,12,0.05,4)</t>
  </si>
  <si>
    <t xml:space="preserve">AMORDEGRC(10000,DATE(2024,1,15),DATE(2024,12,31),500,12,0.05,4)</t>
  </si>
  <si>
    <t xml:space="preserve">AMORLINC(10000,DATE(2024,1,15),DATE(2024,12,31),500,25,0.05,4)</t>
  </si>
  <si>
    <t xml:space="preserve">AMORDEGRC(10000,DATE(2024,1,15),DATE(2024,12,31),500,25,0.05,4)</t>
  </si>
  <si>
    <t xml:space="preserve">AMORLINC(10000,DATE(2024,1,15),DATE(2024,12,31),500,0,0.1,0)</t>
  </si>
  <si>
    <t xml:space="preserve">AMORDEGRC(10000,DATE(2024,1,15),DATE(2024,12,31),500,0,0.1,0)</t>
  </si>
  <si>
    <t xml:space="preserve">AMORLINC(10000,DATE(2024,1,15),DATE(2024,12,31),500,1,0.1,0)</t>
  </si>
  <si>
    <t xml:space="preserve">AMORDEGRC(10000,DATE(2024,1,15),DATE(2024,12,31),500,1,0.1,0)</t>
  </si>
  <si>
    <t xml:space="preserve">AMORLINC(10000,DATE(2024,1,15),DATE(2024,12,31),500,2,0.1,0)</t>
  </si>
  <si>
    <t xml:space="preserve">AMORDEGRC(10000,DATE(2024,1,15),DATE(2024,12,31),500,2,0.1,0)</t>
  </si>
  <si>
    <t xml:space="preserve">AMORLINC(10000,DATE(2024,1,15),DATE(2024,12,31),500,3,0.1,0)</t>
  </si>
  <si>
    <t xml:space="preserve">AMORDEGRC(10000,DATE(2024,1,15),DATE(2024,12,31),500,3,0.1,0)</t>
  </si>
  <si>
    <t xml:space="preserve">AMORLINC(10000,DATE(2024,1,15),DATE(2024,12,31),500,5,0.1,0)</t>
  </si>
  <si>
    <t xml:space="preserve">AMORDEGRC(10000,DATE(2024,1,15),DATE(2024,12,31),500,5,0.1,0)</t>
  </si>
  <si>
    <t xml:space="preserve">AMORLINC(10000,DATE(2024,1,15),DATE(2024,12,31),500,8,0.1,0)</t>
  </si>
  <si>
    <t xml:space="preserve">AMORDEGRC(10000,DATE(2024,1,15),DATE(2024,12,31),500,8,0.1,0)</t>
  </si>
  <si>
    <t xml:space="preserve">AMORLINC(10000,DATE(2024,1,15),DATE(2024,12,31),500,12,0.1,0)</t>
  </si>
  <si>
    <t xml:space="preserve">AMORDEGRC(10000,DATE(2024,1,15),DATE(2024,12,31),500,12,0.1,0)</t>
  </si>
  <si>
    <t xml:space="preserve">AMORLINC(10000,DATE(2024,1,15),DATE(2024,12,31),500,25,0.1,0)</t>
  </si>
  <si>
    <t xml:space="preserve">AMORDEGRC(10000,DATE(2024,1,15),DATE(2024,12,31),500,25,0.1,0)</t>
  </si>
  <si>
    <t xml:space="preserve">AMORLINC(10000,DATE(2024,1,15),DATE(2024,12,31),500,0,0.1,1)</t>
  </si>
  <si>
    <t xml:space="preserve">AMORDEGRC(10000,DATE(2024,1,15),DATE(2024,12,31),500,0,0.1,1)</t>
  </si>
  <si>
    <t xml:space="preserve">AMORLINC(10000,DATE(2024,1,15),DATE(2024,12,31),500,1,0.1,1)</t>
  </si>
  <si>
    <t xml:space="preserve">AMORDEGRC(10000,DATE(2024,1,15),DATE(2024,12,31),500,1,0.1,1)</t>
  </si>
  <si>
    <t xml:space="preserve">AMORLINC(10000,DATE(2024,1,15),DATE(2024,12,31),500,2,0.1,1)</t>
  </si>
  <si>
    <t xml:space="preserve">AMORDEGRC(10000,DATE(2024,1,15),DATE(2024,12,31),500,2,0.1,1)</t>
  </si>
  <si>
    <t xml:space="preserve">AMORLINC(10000,DATE(2024,1,15),DATE(2024,12,31),500,3,0.1,1)</t>
  </si>
  <si>
    <t xml:space="preserve">AMORDEGRC(10000,DATE(2024,1,15),DATE(2024,12,31),500,3,0.1,1)</t>
  </si>
  <si>
    <t xml:space="preserve">AMORLINC(10000,DATE(2024,1,15),DATE(2024,12,31),500,5,0.1,1)</t>
  </si>
  <si>
    <t xml:space="preserve">AMORDEGRC(10000,DATE(2024,1,15),DATE(2024,12,31),500,5,0.1,1)</t>
  </si>
  <si>
    <t xml:space="preserve">AMORLINC(10000,DATE(2024,1,15),DATE(2024,12,31),500,8,0.1,1)</t>
  </si>
  <si>
    <t xml:space="preserve">AMORDEGRC(10000,DATE(2024,1,15),DATE(2024,12,31),500,8,0.1,1)</t>
  </si>
  <si>
    <t xml:space="preserve">AMORLINC(10000,DATE(2024,1,15),DATE(2024,12,31),500,12,0.1,1)</t>
  </si>
  <si>
    <t xml:space="preserve">AMORDEGRC(10000,DATE(2024,1,15),DATE(2024,12,31),500,12,0.1,1)</t>
  </si>
  <si>
    <t xml:space="preserve">AMORLINC(10000,DATE(2024,1,15),DATE(2024,12,31),500,25,0.1,1)</t>
  </si>
  <si>
    <t xml:space="preserve">AMORDEGRC(10000,DATE(2024,1,15),DATE(2024,12,31),500,25,0.1,1)</t>
  </si>
  <si>
    <t xml:space="preserve">AMORLINC(10000,DATE(2024,1,15),DATE(2024,12,31),500,0,0.1,3)</t>
  </si>
  <si>
    <t xml:space="preserve">AMORDEGRC(10000,DATE(2024,1,15),DATE(2024,12,31),500,0,0.1,3)</t>
  </si>
  <si>
    <t xml:space="preserve">AMORLINC(10000,DATE(2024,1,15),DATE(2024,12,31),500,1,0.1,3)</t>
  </si>
  <si>
    <t xml:space="preserve">AMORDEGRC(10000,DATE(2024,1,15),DATE(2024,12,31),500,1,0.1,3)</t>
  </si>
  <si>
    <t xml:space="preserve">AMORLINC(10000,DATE(2024,1,15),DATE(2024,12,31),500,2,0.1,3)</t>
  </si>
  <si>
    <t xml:space="preserve">AMORDEGRC(10000,DATE(2024,1,15),DATE(2024,12,31),500,2,0.1,3)</t>
  </si>
  <si>
    <t xml:space="preserve">AMORLINC(10000,DATE(2024,1,15),DATE(2024,12,31),500,3,0.1,3)</t>
  </si>
  <si>
    <t xml:space="preserve">AMORDEGRC(10000,DATE(2024,1,15),DATE(2024,12,31),500,3,0.1,3)</t>
  </si>
  <si>
    <t xml:space="preserve">AMORLINC(10000,DATE(2024,1,15),DATE(2024,12,31),500,5,0.1,3)</t>
  </si>
  <si>
    <t xml:space="preserve">AMORDEGRC(10000,DATE(2024,1,15),DATE(2024,12,31),500,5,0.1,3)</t>
  </si>
  <si>
    <t xml:space="preserve">AMORLINC(10000,DATE(2024,1,15),DATE(2024,12,31),500,8,0.1,3)</t>
  </si>
  <si>
    <t xml:space="preserve">AMORDEGRC(10000,DATE(2024,1,15),DATE(2024,12,31),500,8,0.1,3)</t>
  </si>
  <si>
    <t xml:space="preserve">AMORLINC(10000,DATE(2024,1,15),DATE(2024,12,31),500,12,0.1,3)</t>
  </si>
  <si>
    <t xml:space="preserve">AMORDEGRC(10000,DATE(2024,1,15),DATE(2024,12,31),500,12,0.1,3)</t>
  </si>
  <si>
    <t xml:space="preserve">AMORLINC(10000,DATE(2024,1,15),DATE(2024,12,31),500,25,0.1,3)</t>
  </si>
  <si>
    <t xml:space="preserve">AMORDEGRC(10000,DATE(2024,1,15),DATE(2024,12,31),500,25,0.1,3)</t>
  </si>
  <si>
    <t xml:space="preserve">AMORLINC(10000,DATE(2024,1,15),DATE(2024,12,31),500,0,0.1,4)</t>
  </si>
  <si>
    <t xml:space="preserve">AMORDEGRC(10000,DATE(2024,1,15),DATE(2024,12,31),500,0,0.1,4)</t>
  </si>
  <si>
    <t xml:space="preserve">AMORLINC(10000,DATE(2024,1,15),DATE(2024,12,31),500,1,0.1,4)</t>
  </si>
  <si>
    <t xml:space="preserve">AMORDEGRC(10000,DATE(2024,1,15),DATE(2024,12,31),500,1,0.1,4)</t>
  </si>
  <si>
    <t xml:space="preserve">AMORLINC(10000,DATE(2024,1,15),DATE(2024,12,31),500,2,0.1,4)</t>
  </si>
  <si>
    <t xml:space="preserve">AMORDEGRC(10000,DATE(2024,1,15),DATE(2024,12,31),500,2,0.1,4)</t>
  </si>
  <si>
    <t xml:space="preserve">AMORLINC(10000,DATE(2024,1,15),DATE(2024,12,31),500,3,0.1,4)</t>
  </si>
  <si>
    <t xml:space="preserve">AMORDEGRC(10000,DATE(2024,1,15),DATE(2024,12,31),500,3,0.1,4)</t>
  </si>
  <si>
    <t xml:space="preserve">AMORLINC(10000,DATE(2024,1,15),DATE(2024,12,31),500,5,0.1,4)</t>
  </si>
  <si>
    <t xml:space="preserve">AMORDEGRC(10000,DATE(2024,1,15),DATE(2024,12,31),500,5,0.1,4)</t>
  </si>
  <si>
    <t xml:space="preserve">AMORLINC(10000,DATE(2024,1,15),DATE(2024,12,31),500,8,0.1,4)</t>
  </si>
  <si>
    <t xml:space="preserve">AMORDEGRC(10000,DATE(2024,1,15),DATE(2024,12,31),500,8,0.1,4)</t>
  </si>
  <si>
    <t xml:space="preserve">AMORLINC(10000,DATE(2024,1,15),DATE(2024,12,31),500,12,0.1,4)</t>
  </si>
  <si>
    <t xml:space="preserve">AMORDEGRC(10000,DATE(2024,1,15),DATE(2024,12,31),500,12,0.1,4)</t>
  </si>
  <si>
    <t xml:space="preserve">AMORLINC(10000,DATE(2024,1,15),DATE(2024,12,31),500,25,0.1,4)</t>
  </si>
  <si>
    <t xml:space="preserve">AMORDEGRC(10000,DATE(2024,1,15),DATE(2024,12,31),500,25,0.1,4)</t>
  </si>
  <si>
    <t xml:space="preserve">AMORLINC(10000,DATE(2024,1,15),DATE(2024,12,31),500,0,0.15,0)</t>
  </si>
  <si>
    <t xml:space="preserve">AMORDEGRC(10000,DATE(2024,1,15),DATE(2024,12,31),500,0,0.15,0)</t>
  </si>
  <si>
    <t xml:space="preserve">AMORLINC(10000,DATE(2024,1,15),DATE(2024,12,31),500,1,0.15,0)</t>
  </si>
  <si>
    <t xml:space="preserve">AMORDEGRC(10000,DATE(2024,1,15),DATE(2024,12,31),500,1,0.15,0)</t>
  </si>
  <si>
    <t xml:space="preserve">AMORLINC(10000,DATE(2024,1,15),DATE(2024,12,31),500,2,0.15,0)</t>
  </si>
  <si>
    <t xml:space="preserve">AMORDEGRC(10000,DATE(2024,1,15),DATE(2024,12,31),500,2,0.15,0)</t>
  </si>
  <si>
    <t xml:space="preserve">AMORLINC(10000,DATE(2024,1,15),DATE(2024,12,31),500,3,0.15,0)</t>
  </si>
  <si>
    <t xml:space="preserve">AMORDEGRC(10000,DATE(2024,1,15),DATE(2024,12,31),500,3,0.15,0)</t>
  </si>
  <si>
    <t xml:space="preserve">AMORLINC(10000,DATE(2024,1,15),DATE(2024,12,31),500,5,0.15,0)</t>
  </si>
  <si>
    <t xml:space="preserve">AMORDEGRC(10000,DATE(2024,1,15),DATE(2024,12,31),500,5,0.15,0)</t>
  </si>
  <si>
    <t xml:space="preserve">AMORLINC(10000,DATE(2024,1,15),DATE(2024,12,31),500,8,0.15,0)</t>
  </si>
  <si>
    <t xml:space="preserve">AMORDEGRC(10000,DATE(2024,1,15),DATE(2024,12,31),500,8,0.15,0)</t>
  </si>
  <si>
    <t xml:space="preserve">AMORLINC(10000,DATE(2024,1,15),DATE(2024,12,31),500,12,0.15,0)</t>
  </si>
  <si>
    <t xml:space="preserve">AMORDEGRC(10000,DATE(2024,1,15),DATE(2024,12,31),500,12,0.15,0)</t>
  </si>
  <si>
    <t xml:space="preserve">AMORLINC(10000,DATE(2024,1,15),DATE(2024,12,31),500,25,0.15,0)</t>
  </si>
  <si>
    <t xml:space="preserve">AMORDEGRC(10000,DATE(2024,1,15),DATE(2024,12,31),500,25,0.15,0)</t>
  </si>
  <si>
    <t xml:space="preserve">AMORLINC(10000,DATE(2024,1,15),DATE(2024,12,31),500,0,0.15,1)</t>
  </si>
  <si>
    <t xml:space="preserve">AMORDEGRC(10000,DATE(2024,1,15),DATE(2024,12,31),500,0,0.15,1)</t>
  </si>
  <si>
    <t xml:space="preserve">AMORLINC(10000,DATE(2024,1,15),DATE(2024,12,31),500,1,0.15,1)</t>
  </si>
  <si>
    <t xml:space="preserve">AMORDEGRC(10000,DATE(2024,1,15),DATE(2024,12,31),500,1,0.15,1)</t>
  </si>
  <si>
    <t xml:space="preserve">AMORLINC(10000,DATE(2024,1,15),DATE(2024,12,31),500,2,0.15,1)</t>
  </si>
  <si>
    <t xml:space="preserve">AMORDEGRC(10000,DATE(2024,1,15),DATE(2024,12,31),500,2,0.15,1)</t>
  </si>
  <si>
    <t xml:space="preserve">AMORLINC(10000,DATE(2024,1,15),DATE(2024,12,31),500,3,0.15,1)</t>
  </si>
  <si>
    <t xml:space="preserve">AMORDEGRC(10000,DATE(2024,1,15),DATE(2024,12,31),500,3,0.15,1)</t>
  </si>
  <si>
    <t xml:space="preserve">AMORLINC(10000,DATE(2024,1,15),DATE(2024,12,31),500,5,0.15,1)</t>
  </si>
  <si>
    <t xml:space="preserve">AMORDEGRC(10000,DATE(2024,1,15),DATE(2024,12,31),500,5,0.15,1)</t>
  </si>
  <si>
    <t xml:space="preserve">AMORLINC(10000,DATE(2024,1,15),DATE(2024,12,31),500,8,0.15,1)</t>
  </si>
  <si>
    <t xml:space="preserve">AMORDEGRC(10000,DATE(2024,1,15),DATE(2024,12,31),500,8,0.15,1)</t>
  </si>
  <si>
    <t xml:space="preserve">AMORLINC(10000,DATE(2024,1,15),DATE(2024,12,31),500,12,0.15,1)</t>
  </si>
  <si>
    <t xml:space="preserve">AMORDEGRC(10000,DATE(2024,1,15),DATE(2024,12,31),500,12,0.15,1)</t>
  </si>
  <si>
    <t xml:space="preserve">AMORLINC(10000,DATE(2024,1,15),DATE(2024,12,31),500,25,0.15,1)</t>
  </si>
  <si>
    <t xml:space="preserve">AMORDEGRC(10000,DATE(2024,1,15),DATE(2024,12,31),500,25,0.15,1)</t>
  </si>
  <si>
    <t xml:space="preserve">AMORLINC(10000,DATE(2024,1,15),DATE(2024,12,31),500,0,0.15,3)</t>
  </si>
  <si>
    <t xml:space="preserve">AMORDEGRC(10000,DATE(2024,1,15),DATE(2024,12,31),500,0,0.15,3)</t>
  </si>
  <si>
    <t xml:space="preserve">AMORLINC(10000,DATE(2024,1,15),DATE(2024,12,31),500,1,0.15,3)</t>
  </si>
  <si>
    <t xml:space="preserve">AMORDEGRC(10000,DATE(2024,1,15),DATE(2024,12,31),500,1,0.15,3)</t>
  </si>
  <si>
    <t xml:space="preserve">AMORLINC(10000,DATE(2024,1,15),DATE(2024,12,31),500,2,0.15,3)</t>
  </si>
  <si>
    <t xml:space="preserve">AMORDEGRC(10000,DATE(2024,1,15),DATE(2024,12,31),500,2,0.15,3)</t>
  </si>
  <si>
    <t xml:space="preserve">AMORLINC(10000,DATE(2024,1,15),DATE(2024,12,31),500,3,0.15,3)</t>
  </si>
  <si>
    <t xml:space="preserve">AMORDEGRC(10000,DATE(2024,1,15),DATE(2024,12,31),500,3,0.15,3)</t>
  </si>
  <si>
    <t xml:space="preserve">AMORLINC(10000,DATE(2024,1,15),DATE(2024,12,31),500,5,0.15,3)</t>
  </si>
  <si>
    <t xml:space="preserve">AMORDEGRC(10000,DATE(2024,1,15),DATE(2024,12,31),500,5,0.15,3)</t>
  </si>
  <si>
    <t xml:space="preserve">AMORLINC(10000,DATE(2024,1,15),DATE(2024,12,31),500,8,0.15,3)</t>
  </si>
  <si>
    <t xml:space="preserve">AMORDEGRC(10000,DATE(2024,1,15),DATE(2024,12,31),500,8,0.15,3)</t>
  </si>
  <si>
    <t xml:space="preserve">AMORLINC(10000,DATE(2024,1,15),DATE(2024,12,31),500,12,0.15,3)</t>
  </si>
  <si>
    <t xml:space="preserve">AMORDEGRC(10000,DATE(2024,1,15),DATE(2024,12,31),500,12,0.15,3)</t>
  </si>
  <si>
    <t xml:space="preserve">AMORLINC(10000,DATE(2024,1,15),DATE(2024,12,31),500,25,0.15,3)</t>
  </si>
  <si>
    <t xml:space="preserve">AMORDEGRC(10000,DATE(2024,1,15),DATE(2024,12,31),500,25,0.15,3)</t>
  </si>
  <si>
    <t xml:space="preserve">AMORLINC(10000,DATE(2024,1,15),DATE(2024,12,31),500,0,0.15,4)</t>
  </si>
  <si>
    <t xml:space="preserve">AMORDEGRC(10000,DATE(2024,1,15),DATE(2024,12,31),500,0,0.15,4)</t>
  </si>
  <si>
    <t xml:space="preserve">AMORLINC(10000,DATE(2024,1,15),DATE(2024,12,31),500,1,0.15,4)</t>
  </si>
  <si>
    <t xml:space="preserve">AMORDEGRC(10000,DATE(2024,1,15),DATE(2024,12,31),500,1,0.15,4)</t>
  </si>
  <si>
    <t xml:space="preserve">AMORLINC(10000,DATE(2024,1,15),DATE(2024,12,31),500,2,0.15,4)</t>
  </si>
  <si>
    <t xml:space="preserve">AMORDEGRC(10000,DATE(2024,1,15),DATE(2024,12,31),500,2,0.15,4)</t>
  </si>
  <si>
    <t xml:space="preserve">AMORLINC(10000,DATE(2024,1,15),DATE(2024,12,31),500,3,0.15,4)</t>
  </si>
  <si>
    <t xml:space="preserve">AMORDEGRC(10000,DATE(2024,1,15),DATE(2024,12,31),500,3,0.15,4)</t>
  </si>
  <si>
    <t xml:space="preserve">AMORLINC(10000,DATE(2024,1,15),DATE(2024,12,31),500,5,0.15,4)</t>
  </si>
  <si>
    <t xml:space="preserve">AMORDEGRC(10000,DATE(2024,1,15),DATE(2024,12,31),500,5,0.15,4)</t>
  </si>
  <si>
    <t xml:space="preserve">AMORLINC(10000,DATE(2024,1,15),DATE(2024,12,31),500,8,0.15,4)</t>
  </si>
  <si>
    <t xml:space="preserve">AMORDEGRC(10000,DATE(2024,1,15),DATE(2024,12,31),500,8,0.15,4)</t>
  </si>
  <si>
    <t xml:space="preserve">AMORLINC(10000,DATE(2024,1,15),DATE(2024,12,31),500,12,0.15,4)</t>
  </si>
  <si>
    <t xml:space="preserve">AMORDEGRC(10000,DATE(2024,1,15),DATE(2024,12,31),500,12,0.15,4)</t>
  </si>
  <si>
    <t xml:space="preserve">AMORLINC(10000,DATE(2024,1,15),DATE(2024,12,31),500,25,0.15,4)</t>
  </si>
  <si>
    <t xml:space="preserve">AMORDEGRC(10000,DATE(2024,1,15),DATE(2024,12,31),500,25,0.15,4)</t>
  </si>
  <si>
    <t xml:space="preserve">AMORLINC(10000,DATE(2024,1,15),DATE(2024,12,31),500,0,0.2,0)</t>
  </si>
  <si>
    <t xml:space="preserve">AMORDEGRC(10000,DATE(2024,1,15),DATE(2024,12,31),500,0,0.2,0)</t>
  </si>
  <si>
    <t xml:space="preserve">AMORLINC(10000,DATE(2024,1,15),DATE(2024,12,31),500,1,0.2,0)</t>
  </si>
  <si>
    <t xml:space="preserve">AMORDEGRC(10000,DATE(2024,1,15),DATE(2024,12,31),500,1,0.2,0)</t>
  </si>
  <si>
    <t xml:space="preserve">AMORLINC(10000,DATE(2024,1,15),DATE(2024,12,31),500,2,0.2,0)</t>
  </si>
  <si>
    <t xml:space="preserve">AMORDEGRC(10000,DATE(2024,1,15),DATE(2024,12,31),500,2,0.2,0)</t>
  </si>
  <si>
    <t xml:space="preserve">AMORLINC(10000,DATE(2024,1,15),DATE(2024,12,31),500,3,0.2,0)</t>
  </si>
  <si>
    <t xml:space="preserve">AMORDEGRC(10000,DATE(2024,1,15),DATE(2024,12,31),500,3,0.2,0)</t>
  </si>
  <si>
    <t xml:space="preserve">AMORLINC(10000,DATE(2024,1,15),DATE(2024,12,31),500,5,0.2,0)</t>
  </si>
  <si>
    <t xml:space="preserve">AMORDEGRC(10000,DATE(2024,1,15),DATE(2024,12,31),500,5,0.2,0)</t>
  </si>
  <si>
    <t xml:space="preserve">AMORLINC(10000,DATE(2024,1,15),DATE(2024,12,31),500,8,0.2,0)</t>
  </si>
  <si>
    <t xml:space="preserve">AMORDEGRC(10000,DATE(2024,1,15),DATE(2024,12,31),500,8,0.2,0)</t>
  </si>
  <si>
    <t xml:space="preserve">AMORLINC(10000,DATE(2024,1,15),DATE(2024,12,31),500,12,0.2,0)</t>
  </si>
  <si>
    <t xml:space="preserve">AMORDEGRC(10000,DATE(2024,1,15),DATE(2024,12,31),500,12,0.2,0)</t>
  </si>
  <si>
    <t xml:space="preserve">AMORLINC(10000,DATE(2024,1,15),DATE(2024,12,31),500,25,0.2,0)</t>
  </si>
  <si>
    <t xml:space="preserve">AMORDEGRC(10000,DATE(2024,1,15),DATE(2024,12,31),500,25,0.2,0)</t>
  </si>
  <si>
    <t xml:space="preserve">AMORLINC(10000,DATE(2024,1,15),DATE(2024,12,31),500,0,0.2,1)</t>
  </si>
  <si>
    <t xml:space="preserve">AMORDEGRC(10000,DATE(2024,1,15),DATE(2024,12,31),500,0,0.2,1)</t>
  </si>
  <si>
    <t xml:space="preserve">AMORLINC(10000,DATE(2024,1,15),DATE(2024,12,31),500,1,0.2,1)</t>
  </si>
  <si>
    <t xml:space="preserve">AMORDEGRC(10000,DATE(2024,1,15),DATE(2024,12,31),500,1,0.2,1)</t>
  </si>
  <si>
    <t xml:space="preserve">AMORLINC(10000,DATE(2024,1,15),DATE(2024,12,31),500,2,0.2,1)</t>
  </si>
  <si>
    <t xml:space="preserve">AMORDEGRC(10000,DATE(2024,1,15),DATE(2024,12,31),500,2,0.2,1)</t>
  </si>
  <si>
    <t xml:space="preserve">AMORLINC(10000,DATE(2024,1,15),DATE(2024,12,31),500,3,0.2,1)</t>
  </si>
  <si>
    <t xml:space="preserve">AMORDEGRC(10000,DATE(2024,1,15),DATE(2024,12,31),500,3,0.2,1)</t>
  </si>
  <si>
    <t xml:space="preserve">AMORLINC(10000,DATE(2024,1,15),DATE(2024,12,31),500,5,0.2,1)</t>
  </si>
  <si>
    <t xml:space="preserve">AMORDEGRC(10000,DATE(2024,1,15),DATE(2024,12,31),500,5,0.2,1)</t>
  </si>
  <si>
    <t xml:space="preserve">AMORLINC(10000,DATE(2024,1,15),DATE(2024,12,31),500,8,0.2,1)</t>
  </si>
  <si>
    <t xml:space="preserve">AMORDEGRC(10000,DATE(2024,1,15),DATE(2024,12,31),500,8,0.2,1)</t>
  </si>
  <si>
    <t xml:space="preserve">AMORLINC(10000,DATE(2024,1,15),DATE(2024,12,31),500,12,0.2,1)</t>
  </si>
  <si>
    <t xml:space="preserve">AMORDEGRC(10000,DATE(2024,1,15),DATE(2024,12,31),500,12,0.2,1)</t>
  </si>
  <si>
    <t xml:space="preserve">AMORLINC(10000,DATE(2024,1,15),DATE(2024,12,31),500,25,0.2,1)</t>
  </si>
  <si>
    <t xml:space="preserve">AMORDEGRC(10000,DATE(2024,1,15),DATE(2024,12,31),500,25,0.2,1)</t>
  </si>
  <si>
    <t xml:space="preserve">AMORLINC(10000,DATE(2024,1,15),DATE(2024,12,31),500,0,0.2,3)</t>
  </si>
  <si>
    <t xml:space="preserve">AMORDEGRC(10000,DATE(2024,1,15),DATE(2024,12,31),500,0,0.2,3)</t>
  </si>
  <si>
    <t xml:space="preserve">AMORLINC(10000,DATE(2024,1,15),DATE(2024,12,31),500,1,0.2,3)</t>
  </si>
  <si>
    <t xml:space="preserve">AMORDEGRC(10000,DATE(2024,1,15),DATE(2024,12,31),500,1,0.2,3)</t>
  </si>
  <si>
    <t xml:space="preserve">AMORLINC(10000,DATE(2024,1,15),DATE(2024,12,31),500,2,0.2,3)</t>
  </si>
  <si>
    <t xml:space="preserve">AMORDEGRC(10000,DATE(2024,1,15),DATE(2024,12,31),500,2,0.2,3)</t>
  </si>
  <si>
    <t xml:space="preserve">AMORLINC(10000,DATE(2024,1,15),DATE(2024,12,31),500,3,0.2,3)</t>
  </si>
  <si>
    <t xml:space="preserve">AMORDEGRC(10000,DATE(2024,1,15),DATE(2024,12,31),500,3,0.2,3)</t>
  </si>
  <si>
    <t xml:space="preserve">AMORLINC(10000,DATE(2024,1,15),DATE(2024,12,31),500,5,0.2,3)</t>
  </si>
  <si>
    <t xml:space="preserve">AMORDEGRC(10000,DATE(2024,1,15),DATE(2024,12,31),500,5,0.2,3)</t>
  </si>
  <si>
    <t xml:space="preserve">AMORLINC(10000,DATE(2024,1,15),DATE(2024,12,31),500,8,0.2,3)</t>
  </si>
  <si>
    <t xml:space="preserve">AMORDEGRC(10000,DATE(2024,1,15),DATE(2024,12,31),500,8,0.2,3)</t>
  </si>
  <si>
    <t xml:space="preserve">AMORLINC(10000,DATE(2024,1,15),DATE(2024,12,31),500,12,0.2,3)</t>
  </si>
  <si>
    <t xml:space="preserve">AMORDEGRC(10000,DATE(2024,1,15),DATE(2024,12,31),500,12,0.2,3)</t>
  </si>
  <si>
    <t xml:space="preserve">AMORLINC(10000,DATE(2024,1,15),DATE(2024,12,31),500,25,0.2,3)</t>
  </si>
  <si>
    <t xml:space="preserve">AMORDEGRC(10000,DATE(2024,1,15),DATE(2024,12,31),500,25,0.2,3)</t>
  </si>
  <si>
    <t xml:space="preserve">AMORLINC(10000,DATE(2024,1,15),DATE(2024,12,31),500,0,0.2,4)</t>
  </si>
  <si>
    <t xml:space="preserve">AMORDEGRC(10000,DATE(2024,1,15),DATE(2024,12,31),500,0,0.2,4)</t>
  </si>
  <si>
    <t xml:space="preserve">AMORLINC(10000,DATE(2024,1,15),DATE(2024,12,31),500,1,0.2,4)</t>
  </si>
  <si>
    <t xml:space="preserve">AMORDEGRC(10000,DATE(2024,1,15),DATE(2024,12,31),500,1,0.2,4)</t>
  </si>
  <si>
    <t xml:space="preserve">AMORLINC(10000,DATE(2024,1,15),DATE(2024,12,31),500,2,0.2,4)</t>
  </si>
  <si>
    <t xml:space="preserve">AMORDEGRC(10000,DATE(2024,1,15),DATE(2024,12,31),500,2,0.2,4)</t>
  </si>
  <si>
    <t xml:space="preserve">AMORLINC(10000,DATE(2024,1,15),DATE(2024,12,31),500,3,0.2,4)</t>
  </si>
  <si>
    <t xml:space="preserve">AMORDEGRC(10000,DATE(2024,1,15),DATE(2024,12,31),500,3,0.2,4)</t>
  </si>
  <si>
    <t xml:space="preserve">AMORLINC(10000,DATE(2024,1,15),DATE(2024,12,31),500,5,0.2,4)</t>
  </si>
  <si>
    <t xml:space="preserve">AMORDEGRC(10000,DATE(2024,1,15),DATE(2024,12,31),500,5,0.2,4)</t>
  </si>
  <si>
    <t xml:space="preserve">AMORLINC(10000,DATE(2024,1,15),DATE(2024,12,31),500,8,0.2,4)</t>
  </si>
  <si>
    <t xml:space="preserve">AMORDEGRC(10000,DATE(2024,1,15),DATE(2024,12,31),500,8,0.2,4)</t>
  </si>
  <si>
    <t xml:space="preserve">AMORLINC(10000,DATE(2024,1,15),DATE(2024,12,31),500,12,0.2,4)</t>
  </si>
  <si>
    <t xml:space="preserve">AMORDEGRC(10000,DATE(2024,1,15),DATE(2024,12,31),500,12,0.2,4)</t>
  </si>
  <si>
    <t xml:space="preserve">AMORLINC(10000,DATE(2024,1,15),DATE(2024,12,31),500,25,0.2,4)</t>
  </si>
  <si>
    <t xml:space="preserve">AMORDEGRC(10000,DATE(2024,1,15),DATE(2024,12,31),500,25,0.2,4)</t>
  </si>
  <si>
    <t xml:space="preserve">AMORLINC(10000,DATE(2024,1,15),DATE(2024,12,31),500,0,0.25,0)</t>
  </si>
  <si>
    <t xml:space="preserve">AMORDEGRC(10000,DATE(2024,1,15),DATE(2024,12,31),500,0,0.25,0)</t>
  </si>
  <si>
    <t xml:space="preserve">AMORLINC(10000,DATE(2024,1,15),DATE(2024,12,31),500,1,0.25,0)</t>
  </si>
  <si>
    <t xml:space="preserve">AMORDEGRC(10000,DATE(2024,1,15),DATE(2024,12,31),500,1,0.25,0)</t>
  </si>
  <si>
    <t xml:space="preserve">AMORLINC(10000,DATE(2024,1,15),DATE(2024,12,31),500,2,0.25,0)</t>
  </si>
  <si>
    <t xml:space="preserve">AMORDEGRC(10000,DATE(2024,1,15),DATE(2024,12,31),500,2,0.25,0)</t>
  </si>
  <si>
    <t xml:space="preserve">AMORLINC(10000,DATE(2024,1,15),DATE(2024,12,31),500,3,0.25,0)</t>
  </si>
  <si>
    <t xml:space="preserve">AMORDEGRC(10000,DATE(2024,1,15),DATE(2024,12,31),500,3,0.25,0)</t>
  </si>
  <si>
    <t xml:space="preserve">AMORLINC(10000,DATE(2024,1,15),DATE(2024,12,31),500,5,0.25,0)</t>
  </si>
  <si>
    <t xml:space="preserve">AMORDEGRC(10000,DATE(2024,1,15),DATE(2024,12,31),500,5,0.25,0)</t>
  </si>
  <si>
    <t xml:space="preserve">AMORLINC(10000,DATE(2024,1,15),DATE(2024,12,31),500,8,0.25,0)</t>
  </si>
  <si>
    <t xml:space="preserve">AMORDEGRC(10000,DATE(2024,1,15),DATE(2024,12,31),500,8,0.25,0)</t>
  </si>
  <si>
    <t xml:space="preserve">AMORLINC(10000,DATE(2024,1,15),DATE(2024,12,31),500,12,0.25,0)</t>
  </si>
  <si>
    <t xml:space="preserve">AMORDEGRC(10000,DATE(2024,1,15),DATE(2024,12,31),500,12,0.25,0)</t>
  </si>
  <si>
    <t xml:space="preserve">AMORLINC(10000,DATE(2024,1,15),DATE(2024,12,31),500,25,0.25,0)</t>
  </si>
  <si>
    <t xml:space="preserve">AMORDEGRC(10000,DATE(2024,1,15),DATE(2024,12,31),500,25,0.25,0)</t>
  </si>
  <si>
    <t xml:space="preserve">AMORLINC(10000,DATE(2024,1,15),DATE(2024,12,31),500,0,0.25,1)</t>
  </si>
  <si>
    <t xml:space="preserve">AMORDEGRC(10000,DATE(2024,1,15),DATE(2024,12,31),500,0,0.25,1)</t>
  </si>
  <si>
    <t xml:space="preserve">AMORLINC(10000,DATE(2024,1,15),DATE(2024,12,31),500,1,0.25,1)</t>
  </si>
  <si>
    <t xml:space="preserve">AMORDEGRC(10000,DATE(2024,1,15),DATE(2024,12,31),500,1,0.25,1)</t>
  </si>
  <si>
    <t xml:space="preserve">AMORLINC(10000,DATE(2024,1,15),DATE(2024,12,31),500,2,0.25,1)</t>
  </si>
  <si>
    <t xml:space="preserve">AMORDEGRC(10000,DATE(2024,1,15),DATE(2024,12,31),500,2,0.25,1)</t>
  </si>
  <si>
    <t xml:space="preserve">AMORLINC(10000,DATE(2024,1,15),DATE(2024,12,31),500,3,0.25,1)</t>
  </si>
  <si>
    <t xml:space="preserve">AMORDEGRC(10000,DATE(2024,1,15),DATE(2024,12,31),500,3,0.25,1)</t>
  </si>
  <si>
    <t xml:space="preserve">AMORLINC(10000,DATE(2024,1,15),DATE(2024,12,31),500,5,0.25,1)</t>
  </si>
  <si>
    <t xml:space="preserve">AMORDEGRC(10000,DATE(2024,1,15),DATE(2024,12,31),500,5,0.25,1)</t>
  </si>
  <si>
    <t xml:space="preserve">AMORLINC(10000,DATE(2024,1,15),DATE(2024,12,31),500,8,0.25,1)</t>
  </si>
  <si>
    <t xml:space="preserve">AMORDEGRC(10000,DATE(2024,1,15),DATE(2024,12,31),500,8,0.25,1)</t>
  </si>
  <si>
    <t xml:space="preserve">AMORLINC(10000,DATE(2024,1,15),DATE(2024,12,31),500,12,0.25,1)</t>
  </si>
  <si>
    <t xml:space="preserve">AMORDEGRC(10000,DATE(2024,1,15),DATE(2024,12,31),500,12,0.25,1)</t>
  </si>
  <si>
    <t xml:space="preserve">AMORLINC(10000,DATE(2024,1,15),DATE(2024,12,31),500,25,0.25,1)</t>
  </si>
  <si>
    <t xml:space="preserve">AMORDEGRC(10000,DATE(2024,1,15),DATE(2024,12,31),500,25,0.25,1)</t>
  </si>
  <si>
    <t xml:space="preserve">AMORLINC(10000,DATE(2024,1,15),DATE(2024,12,31),500,0,0.25,3)</t>
  </si>
  <si>
    <t xml:space="preserve">AMORDEGRC(10000,DATE(2024,1,15),DATE(2024,12,31),500,0,0.25,3)</t>
  </si>
  <si>
    <t xml:space="preserve">AMORLINC(10000,DATE(2024,1,15),DATE(2024,12,31),500,1,0.25,3)</t>
  </si>
  <si>
    <t xml:space="preserve">AMORDEGRC(10000,DATE(2024,1,15),DATE(2024,12,31),500,1,0.25,3)</t>
  </si>
  <si>
    <t xml:space="preserve">AMORLINC(10000,DATE(2024,1,15),DATE(2024,12,31),500,2,0.25,3)</t>
  </si>
  <si>
    <t xml:space="preserve">AMORDEGRC(10000,DATE(2024,1,15),DATE(2024,12,31),500,2,0.25,3)</t>
  </si>
  <si>
    <t xml:space="preserve">AMORLINC(10000,DATE(2024,1,15),DATE(2024,12,31),500,3,0.25,3)</t>
  </si>
  <si>
    <t xml:space="preserve">AMORDEGRC(10000,DATE(2024,1,15),DATE(2024,12,31),500,3,0.25,3)</t>
  </si>
  <si>
    <t xml:space="preserve">AMORLINC(10000,DATE(2024,1,15),DATE(2024,12,31),500,5,0.25,3)</t>
  </si>
  <si>
    <t xml:space="preserve">AMORDEGRC(10000,DATE(2024,1,15),DATE(2024,12,31),500,5,0.25,3)</t>
  </si>
  <si>
    <t xml:space="preserve">AMORLINC(10000,DATE(2024,1,15),DATE(2024,12,31),500,8,0.25,3)</t>
  </si>
  <si>
    <t xml:space="preserve">AMORDEGRC(10000,DATE(2024,1,15),DATE(2024,12,31),500,8,0.25,3)</t>
  </si>
  <si>
    <t xml:space="preserve">AMORLINC(10000,DATE(2024,1,15),DATE(2024,12,31),500,12,0.25,3)</t>
  </si>
  <si>
    <t xml:space="preserve">AMORDEGRC(10000,DATE(2024,1,15),DATE(2024,12,31),500,12,0.25,3)</t>
  </si>
  <si>
    <t xml:space="preserve">AMORLINC(10000,DATE(2024,1,15),DATE(2024,12,31),500,25,0.25,3)</t>
  </si>
  <si>
    <t xml:space="preserve">AMORDEGRC(10000,DATE(2024,1,15),DATE(2024,12,31),500,25,0.25,3)</t>
  </si>
  <si>
    <t xml:space="preserve">AMORLINC(10000,DATE(2024,1,15),DATE(2024,12,31),500,0,0.25,4)</t>
  </si>
  <si>
    <t xml:space="preserve">AMORDEGRC(10000,DATE(2024,1,15),DATE(2024,12,31),500,0,0.25,4)</t>
  </si>
  <si>
    <t xml:space="preserve">AMORLINC(10000,DATE(2024,1,15),DATE(2024,12,31),500,1,0.25,4)</t>
  </si>
  <si>
    <t xml:space="preserve">AMORDEGRC(10000,DATE(2024,1,15),DATE(2024,12,31),500,1,0.25,4)</t>
  </si>
  <si>
    <t xml:space="preserve">AMORLINC(10000,DATE(2024,1,15),DATE(2024,12,31),500,2,0.25,4)</t>
  </si>
  <si>
    <t xml:space="preserve">AMORDEGRC(10000,DATE(2024,1,15),DATE(2024,12,31),500,2,0.25,4)</t>
  </si>
  <si>
    <t xml:space="preserve">AMORLINC(10000,DATE(2024,1,15),DATE(2024,12,31),500,3,0.25,4)</t>
  </si>
  <si>
    <t xml:space="preserve">AMORDEGRC(10000,DATE(2024,1,15),DATE(2024,12,31),500,3,0.25,4)</t>
  </si>
  <si>
    <t xml:space="preserve">AMORLINC(10000,DATE(2024,1,15),DATE(2024,12,31),500,5,0.25,4)</t>
  </si>
  <si>
    <t xml:space="preserve">AMORDEGRC(10000,DATE(2024,1,15),DATE(2024,12,31),500,5,0.25,4)</t>
  </si>
  <si>
    <t xml:space="preserve">AMORLINC(10000,DATE(2024,1,15),DATE(2024,12,31),500,8,0.25,4)</t>
  </si>
  <si>
    <t xml:space="preserve">AMORDEGRC(10000,DATE(2024,1,15),DATE(2024,12,31),500,8,0.25,4)</t>
  </si>
  <si>
    <t xml:space="preserve">AMORLINC(10000,DATE(2024,1,15),DATE(2024,12,31),500,12,0.25,4)</t>
  </si>
  <si>
    <t xml:space="preserve">AMORDEGRC(10000,DATE(2024,1,15),DATE(2024,12,31),500,12,0.25,4)</t>
  </si>
  <si>
    <t xml:space="preserve">AMORLINC(10000,DATE(2024,1,15),DATE(2024,12,31),500,25,0.25,4)</t>
  </si>
  <si>
    <t xml:space="preserve">AMORDEGRC(10000,DATE(2024,1,15),DATE(2024,12,31),500,25,0.25,4)</t>
  </si>
  <si>
    <t xml:space="preserve">AMORLINC(10000,DATE(2024,1,15),DATE(2024,12,31),500,0,0.3,0)</t>
  </si>
  <si>
    <t xml:space="preserve">AMORDEGRC(10000,DATE(2024,1,15),DATE(2024,12,31),500,0,0.3,0)</t>
  </si>
  <si>
    <t xml:space="preserve">AMORLINC(10000,DATE(2024,1,15),DATE(2024,12,31),500,1,0.3,0)</t>
  </si>
  <si>
    <t xml:space="preserve">AMORDEGRC(10000,DATE(2024,1,15),DATE(2024,12,31),500,1,0.3,0)</t>
  </si>
  <si>
    <t xml:space="preserve">AMORLINC(10000,DATE(2024,1,15),DATE(2024,12,31),500,2,0.3,0)</t>
  </si>
  <si>
    <t xml:space="preserve">AMORDEGRC(10000,DATE(2024,1,15),DATE(2024,12,31),500,2,0.3,0)</t>
  </si>
  <si>
    <t xml:space="preserve">AMORLINC(10000,DATE(2024,1,15),DATE(2024,12,31),500,3,0.3,0)</t>
  </si>
  <si>
    <t xml:space="preserve">AMORDEGRC(10000,DATE(2024,1,15),DATE(2024,12,31),500,3,0.3,0)</t>
  </si>
  <si>
    <t xml:space="preserve">AMORLINC(10000,DATE(2024,1,15),DATE(2024,12,31),500,5,0.3,0)</t>
  </si>
  <si>
    <t xml:space="preserve">AMORDEGRC(10000,DATE(2024,1,15),DATE(2024,12,31),500,5,0.3,0)</t>
  </si>
  <si>
    <t xml:space="preserve">AMORLINC(10000,DATE(2024,1,15),DATE(2024,12,31),500,8,0.3,0)</t>
  </si>
  <si>
    <t xml:space="preserve">AMORDEGRC(10000,DATE(2024,1,15),DATE(2024,12,31),500,8,0.3,0)</t>
  </si>
  <si>
    <t xml:space="preserve">AMORLINC(10000,DATE(2024,1,15),DATE(2024,12,31),500,12,0.3,0)</t>
  </si>
  <si>
    <t xml:space="preserve">AMORDEGRC(10000,DATE(2024,1,15),DATE(2024,12,31),500,12,0.3,0)</t>
  </si>
  <si>
    <t xml:space="preserve">AMORLINC(10000,DATE(2024,1,15),DATE(2024,12,31),500,25,0.3,0)</t>
  </si>
  <si>
    <t xml:space="preserve">AMORDEGRC(10000,DATE(2024,1,15),DATE(2024,12,31),500,25,0.3,0)</t>
  </si>
  <si>
    <t xml:space="preserve">AMORLINC(10000,DATE(2024,1,15),DATE(2024,12,31),500,0,0.3,1)</t>
  </si>
  <si>
    <t xml:space="preserve">AMORDEGRC(10000,DATE(2024,1,15),DATE(2024,12,31),500,0,0.3,1)</t>
  </si>
  <si>
    <t xml:space="preserve">AMORLINC(10000,DATE(2024,1,15),DATE(2024,12,31),500,1,0.3,1)</t>
  </si>
  <si>
    <t xml:space="preserve">AMORDEGRC(10000,DATE(2024,1,15),DATE(2024,12,31),500,1,0.3,1)</t>
  </si>
  <si>
    <t xml:space="preserve">AMORLINC(10000,DATE(2024,1,15),DATE(2024,12,31),500,2,0.3,1)</t>
  </si>
  <si>
    <t xml:space="preserve">AMORDEGRC(10000,DATE(2024,1,15),DATE(2024,12,31),500,2,0.3,1)</t>
  </si>
  <si>
    <t xml:space="preserve">AMORLINC(10000,DATE(2024,1,15),DATE(2024,12,31),500,3,0.3,1)</t>
  </si>
  <si>
    <t xml:space="preserve">AMORDEGRC(10000,DATE(2024,1,15),DATE(2024,12,31),500,3,0.3,1)</t>
  </si>
  <si>
    <t xml:space="preserve">AMORLINC(10000,DATE(2024,1,15),DATE(2024,12,31),500,5,0.3,1)</t>
  </si>
  <si>
    <t xml:space="preserve">AMORDEGRC(10000,DATE(2024,1,15),DATE(2024,12,31),500,5,0.3,1)</t>
  </si>
  <si>
    <t xml:space="preserve">AMORLINC(10000,DATE(2024,1,15),DATE(2024,12,31),500,8,0.3,1)</t>
  </si>
  <si>
    <t xml:space="preserve">AMORDEGRC(10000,DATE(2024,1,15),DATE(2024,12,31),500,8,0.3,1)</t>
  </si>
  <si>
    <t xml:space="preserve">AMORLINC(10000,DATE(2024,1,15),DATE(2024,12,31),500,12,0.3,1)</t>
  </si>
  <si>
    <t xml:space="preserve">AMORDEGRC(10000,DATE(2024,1,15),DATE(2024,12,31),500,12,0.3,1)</t>
  </si>
  <si>
    <t xml:space="preserve">AMORLINC(10000,DATE(2024,1,15),DATE(2024,12,31),500,25,0.3,1)</t>
  </si>
  <si>
    <t xml:space="preserve">AMORDEGRC(10000,DATE(2024,1,15),DATE(2024,12,31),500,25,0.3,1)</t>
  </si>
  <si>
    <t xml:space="preserve">AMORLINC(10000,DATE(2024,1,15),DATE(2024,12,31),500,0,0.3,3)</t>
  </si>
  <si>
    <t xml:space="preserve">AMORDEGRC(10000,DATE(2024,1,15),DATE(2024,12,31),500,0,0.3,3)</t>
  </si>
  <si>
    <t xml:space="preserve">AMORLINC(10000,DATE(2024,1,15),DATE(2024,12,31),500,1,0.3,3)</t>
  </si>
  <si>
    <t xml:space="preserve">AMORDEGRC(10000,DATE(2024,1,15),DATE(2024,12,31),500,1,0.3,3)</t>
  </si>
  <si>
    <t xml:space="preserve">AMORLINC(10000,DATE(2024,1,15),DATE(2024,12,31),500,2,0.3,3)</t>
  </si>
  <si>
    <t xml:space="preserve">AMORDEGRC(10000,DATE(2024,1,15),DATE(2024,12,31),500,2,0.3,3)</t>
  </si>
  <si>
    <t xml:space="preserve">AMORLINC(10000,DATE(2024,1,15),DATE(2024,12,31),500,3,0.3,3)</t>
  </si>
  <si>
    <t xml:space="preserve">AMORDEGRC(10000,DATE(2024,1,15),DATE(2024,12,31),500,3,0.3,3)</t>
  </si>
  <si>
    <t xml:space="preserve">AMORLINC(10000,DATE(2024,1,15),DATE(2024,12,31),500,5,0.3,3)</t>
  </si>
  <si>
    <t xml:space="preserve">AMORDEGRC(10000,DATE(2024,1,15),DATE(2024,12,31),500,5,0.3,3)</t>
  </si>
  <si>
    <t xml:space="preserve">AMORLINC(10000,DATE(2024,1,15),DATE(2024,12,31),500,8,0.3,3)</t>
  </si>
  <si>
    <t xml:space="preserve">AMORDEGRC(10000,DATE(2024,1,15),DATE(2024,12,31),500,8,0.3,3)</t>
  </si>
  <si>
    <t xml:space="preserve">AMORLINC(10000,DATE(2024,1,15),DATE(2024,12,31),500,12,0.3,3)</t>
  </si>
  <si>
    <t xml:space="preserve">AMORDEGRC(10000,DATE(2024,1,15),DATE(2024,12,31),500,12,0.3,3)</t>
  </si>
  <si>
    <t xml:space="preserve">AMORLINC(10000,DATE(2024,1,15),DATE(2024,12,31),500,25,0.3,3)</t>
  </si>
  <si>
    <t xml:space="preserve">AMORDEGRC(10000,DATE(2024,1,15),DATE(2024,12,31),500,25,0.3,3)</t>
  </si>
  <si>
    <t xml:space="preserve">AMORLINC(10000,DATE(2024,1,15),DATE(2024,12,31),500,0,0.3,4)</t>
  </si>
  <si>
    <t xml:space="preserve">AMORDEGRC(10000,DATE(2024,1,15),DATE(2024,12,31),500,0,0.3,4)</t>
  </si>
  <si>
    <t xml:space="preserve">AMORLINC(10000,DATE(2024,1,15),DATE(2024,12,31),500,1,0.3,4)</t>
  </si>
  <si>
    <t xml:space="preserve">AMORDEGRC(10000,DATE(2024,1,15),DATE(2024,12,31),500,1,0.3,4)</t>
  </si>
  <si>
    <t xml:space="preserve">AMORLINC(10000,DATE(2024,1,15),DATE(2024,12,31),500,2,0.3,4)</t>
  </si>
  <si>
    <t xml:space="preserve">AMORDEGRC(10000,DATE(2024,1,15),DATE(2024,12,31),500,2,0.3,4)</t>
  </si>
  <si>
    <t xml:space="preserve">AMORLINC(10000,DATE(2024,1,15),DATE(2024,12,31),500,3,0.3,4)</t>
  </si>
  <si>
    <t xml:space="preserve">AMORDEGRC(10000,DATE(2024,1,15),DATE(2024,12,31),500,3,0.3,4)</t>
  </si>
  <si>
    <t xml:space="preserve">AMORLINC(10000,DATE(2024,1,15),DATE(2024,12,31),500,5,0.3,4)</t>
  </si>
  <si>
    <t xml:space="preserve">AMORDEGRC(10000,DATE(2024,1,15),DATE(2024,12,31),500,5,0.3,4)</t>
  </si>
  <si>
    <t xml:space="preserve">AMORLINC(10000,DATE(2024,1,15),DATE(2024,12,31),500,8,0.3,4)</t>
  </si>
  <si>
    <t xml:space="preserve">AMORDEGRC(10000,DATE(2024,1,15),DATE(2024,12,31),500,8,0.3,4)</t>
  </si>
  <si>
    <t xml:space="preserve">AMORLINC(10000,DATE(2024,1,15),DATE(2024,12,31),500,12,0.3,4)</t>
  </si>
  <si>
    <t xml:space="preserve">AMORDEGRC(10000,DATE(2024,1,15),DATE(2024,12,31),500,12,0.3,4)</t>
  </si>
  <si>
    <t xml:space="preserve">AMORLINC(10000,DATE(2024,1,15),DATE(2024,12,31),500,25,0.3,4)</t>
  </si>
  <si>
    <t xml:space="preserve">AMORDEGRC(10000,DATE(2024,1,15),DATE(2024,12,31),500,25,0.3,4)</t>
  </si>
  <si>
    <t xml:space="preserve">AMORLINC(10000,DATE(2024,1,15),DATE(2024,12,31),500,0,0.4,0)</t>
  </si>
  <si>
    <t xml:space="preserve">AMORDEGRC(10000,DATE(2024,1,15),DATE(2024,12,31),500,0,0.4,0)</t>
  </si>
  <si>
    <t xml:space="preserve">AMORLINC(10000,DATE(2024,1,15),DATE(2024,12,31),500,1,0.4,0)</t>
  </si>
  <si>
    <t xml:space="preserve">AMORDEGRC(10000,DATE(2024,1,15),DATE(2024,12,31),500,1,0.4,0)</t>
  </si>
  <si>
    <t xml:space="preserve">AMORLINC(10000,DATE(2024,1,15),DATE(2024,12,31),500,2,0.4,0)</t>
  </si>
  <si>
    <t xml:space="preserve">AMORDEGRC(10000,DATE(2024,1,15),DATE(2024,12,31),500,2,0.4,0)</t>
  </si>
  <si>
    <t xml:space="preserve">AMORLINC(10000,DATE(2024,1,15),DATE(2024,12,31),500,3,0.4,0)</t>
  </si>
  <si>
    <t xml:space="preserve">AMORDEGRC(10000,DATE(2024,1,15),DATE(2024,12,31),500,3,0.4,0)</t>
  </si>
  <si>
    <t xml:space="preserve">AMORLINC(10000,DATE(2024,1,15),DATE(2024,12,31),500,5,0.4,0)</t>
  </si>
  <si>
    <t xml:space="preserve">AMORDEGRC(10000,DATE(2024,1,15),DATE(2024,12,31),500,5,0.4,0)</t>
  </si>
  <si>
    <t xml:space="preserve">AMORLINC(10000,DATE(2024,1,15),DATE(2024,12,31),500,8,0.4,0)</t>
  </si>
  <si>
    <t xml:space="preserve">AMORDEGRC(10000,DATE(2024,1,15),DATE(2024,12,31),500,8,0.4,0)</t>
  </si>
  <si>
    <t xml:space="preserve">AMORLINC(10000,DATE(2024,1,15),DATE(2024,12,31),500,12,0.4,0)</t>
  </si>
  <si>
    <t xml:space="preserve">AMORDEGRC(10000,DATE(2024,1,15),DATE(2024,12,31),500,12,0.4,0)</t>
  </si>
  <si>
    <t xml:space="preserve">AMORLINC(10000,DATE(2024,1,15),DATE(2024,12,31),500,25,0.4,0)</t>
  </si>
  <si>
    <t xml:space="preserve">AMORDEGRC(10000,DATE(2024,1,15),DATE(2024,12,31),500,25,0.4,0)</t>
  </si>
  <si>
    <t xml:space="preserve">AMORLINC(10000,DATE(2024,1,15),DATE(2024,12,31),500,0,0.4,1)</t>
  </si>
  <si>
    <t xml:space="preserve">AMORDEGRC(10000,DATE(2024,1,15),DATE(2024,12,31),500,0,0.4,1)</t>
  </si>
  <si>
    <t xml:space="preserve">AMORLINC(10000,DATE(2024,1,15),DATE(2024,12,31),500,1,0.4,1)</t>
  </si>
  <si>
    <t xml:space="preserve">AMORDEGRC(10000,DATE(2024,1,15),DATE(2024,12,31),500,1,0.4,1)</t>
  </si>
  <si>
    <t xml:space="preserve">AMORLINC(10000,DATE(2024,1,15),DATE(2024,12,31),500,2,0.4,1)</t>
  </si>
  <si>
    <t xml:space="preserve">AMORDEGRC(10000,DATE(2024,1,15),DATE(2024,12,31),500,2,0.4,1)</t>
  </si>
  <si>
    <t xml:space="preserve">AMORLINC(10000,DATE(2024,1,15),DATE(2024,12,31),500,3,0.4,1)</t>
  </si>
  <si>
    <t xml:space="preserve">AMORDEGRC(10000,DATE(2024,1,15),DATE(2024,12,31),500,3,0.4,1)</t>
  </si>
  <si>
    <t xml:space="preserve">AMORLINC(10000,DATE(2024,1,15),DATE(2024,12,31),500,5,0.4,1)</t>
  </si>
  <si>
    <t xml:space="preserve">AMORDEGRC(10000,DATE(2024,1,15),DATE(2024,12,31),500,5,0.4,1)</t>
  </si>
  <si>
    <t xml:space="preserve">AMORLINC(10000,DATE(2024,1,15),DATE(2024,12,31),500,8,0.4,1)</t>
  </si>
  <si>
    <t xml:space="preserve">AMORDEGRC(10000,DATE(2024,1,15),DATE(2024,12,31),500,8,0.4,1)</t>
  </si>
  <si>
    <t xml:space="preserve">AMORLINC(10000,DATE(2024,1,15),DATE(2024,12,31),500,12,0.4,1)</t>
  </si>
  <si>
    <t xml:space="preserve">AMORDEGRC(10000,DATE(2024,1,15),DATE(2024,12,31),500,12,0.4,1)</t>
  </si>
  <si>
    <t xml:space="preserve">AMORLINC(10000,DATE(2024,1,15),DATE(2024,12,31),500,25,0.4,1)</t>
  </si>
  <si>
    <t xml:space="preserve">AMORDEGRC(10000,DATE(2024,1,15),DATE(2024,12,31),500,25,0.4,1)</t>
  </si>
  <si>
    <t xml:space="preserve">AMORLINC(10000,DATE(2024,1,15),DATE(2024,12,31),500,0,0.4,3)</t>
  </si>
  <si>
    <t xml:space="preserve">AMORDEGRC(10000,DATE(2024,1,15),DATE(2024,12,31),500,0,0.4,3)</t>
  </si>
  <si>
    <t xml:space="preserve">AMORLINC(10000,DATE(2024,1,15),DATE(2024,12,31),500,1,0.4,3)</t>
  </si>
  <si>
    <t xml:space="preserve">AMORDEGRC(10000,DATE(2024,1,15),DATE(2024,12,31),500,1,0.4,3)</t>
  </si>
  <si>
    <t xml:space="preserve">AMORLINC(10000,DATE(2024,1,15),DATE(2024,12,31),500,2,0.4,3)</t>
  </si>
  <si>
    <t xml:space="preserve">AMORDEGRC(10000,DATE(2024,1,15),DATE(2024,12,31),500,2,0.4,3)</t>
  </si>
  <si>
    <t xml:space="preserve">AMORLINC(10000,DATE(2024,1,15),DATE(2024,12,31),500,3,0.4,3)</t>
  </si>
  <si>
    <t xml:space="preserve">AMORDEGRC(10000,DATE(2024,1,15),DATE(2024,12,31),500,3,0.4,3)</t>
  </si>
  <si>
    <t xml:space="preserve">AMORLINC(10000,DATE(2024,1,15),DATE(2024,12,31),500,5,0.4,3)</t>
  </si>
  <si>
    <t xml:space="preserve">AMORDEGRC(10000,DATE(2024,1,15),DATE(2024,12,31),500,5,0.4,3)</t>
  </si>
  <si>
    <t xml:space="preserve">AMORLINC(10000,DATE(2024,1,15),DATE(2024,12,31),500,8,0.4,3)</t>
  </si>
  <si>
    <t xml:space="preserve">AMORDEGRC(10000,DATE(2024,1,15),DATE(2024,12,31),500,8,0.4,3)</t>
  </si>
  <si>
    <t xml:space="preserve">AMORLINC(10000,DATE(2024,1,15),DATE(2024,12,31),500,12,0.4,3)</t>
  </si>
  <si>
    <t xml:space="preserve">AMORDEGRC(10000,DATE(2024,1,15),DATE(2024,12,31),500,12,0.4,3)</t>
  </si>
  <si>
    <t xml:space="preserve">AMORLINC(10000,DATE(2024,1,15),DATE(2024,12,31),500,25,0.4,3)</t>
  </si>
  <si>
    <t xml:space="preserve">AMORDEGRC(10000,DATE(2024,1,15),DATE(2024,12,31),500,25,0.4,3)</t>
  </si>
  <si>
    <t xml:space="preserve">AMORLINC(10000,DATE(2024,1,15),DATE(2024,12,31),500,0,0.4,4)</t>
  </si>
  <si>
    <t xml:space="preserve">AMORDEGRC(10000,DATE(2024,1,15),DATE(2024,12,31),500,0,0.4,4)</t>
  </si>
  <si>
    <t xml:space="preserve">AMORLINC(10000,DATE(2024,1,15),DATE(2024,12,31),500,1,0.4,4)</t>
  </si>
  <si>
    <t xml:space="preserve">AMORDEGRC(10000,DATE(2024,1,15),DATE(2024,12,31),500,1,0.4,4)</t>
  </si>
  <si>
    <t xml:space="preserve">AMORLINC(10000,DATE(2024,1,15),DATE(2024,12,31),500,2,0.4,4)</t>
  </si>
  <si>
    <t xml:space="preserve">AMORDEGRC(10000,DATE(2024,1,15),DATE(2024,12,31),500,2,0.4,4)</t>
  </si>
  <si>
    <t xml:space="preserve">AMORLINC(10000,DATE(2024,1,15),DATE(2024,12,31),500,3,0.4,4)</t>
  </si>
  <si>
    <t xml:space="preserve">AMORDEGRC(10000,DATE(2024,1,15),DATE(2024,12,31),500,3,0.4,4)</t>
  </si>
  <si>
    <t xml:space="preserve">AMORLINC(10000,DATE(2024,1,15),DATE(2024,12,31),500,5,0.4,4)</t>
  </si>
  <si>
    <t xml:space="preserve">AMORDEGRC(10000,DATE(2024,1,15),DATE(2024,12,31),500,5,0.4,4)</t>
  </si>
  <si>
    <t xml:space="preserve">AMORLINC(10000,DATE(2024,1,15),DATE(2024,12,31),500,8,0.4,4)</t>
  </si>
  <si>
    <t xml:space="preserve">AMORDEGRC(10000,DATE(2024,1,15),DATE(2024,12,31),500,8,0.4,4)</t>
  </si>
  <si>
    <t xml:space="preserve">AMORLINC(10000,DATE(2024,1,15),DATE(2024,12,31),500,12,0.4,4)</t>
  </si>
  <si>
    <t xml:space="preserve">AMORDEGRC(10000,DATE(2024,1,15),DATE(2024,12,31),500,12,0.4,4)</t>
  </si>
  <si>
    <t xml:space="preserve">AMORLINC(10000,DATE(2024,1,15),DATE(2024,12,31),500,25,0.4,4)</t>
  </si>
  <si>
    <t xml:space="preserve">AMORDEGRC(10000,DATE(2024,1,15),DATE(2024,12,31),500,25,0.4,4)</t>
  </si>
  <si>
    <t xml:space="preserve">AMORLINC(10000,DATE(2024,1,15),DATE(2024,12,31),500,0,0.5,0)</t>
  </si>
  <si>
    <t xml:space="preserve">AMORDEGRC(10000,DATE(2024,1,15),DATE(2024,12,31),500,0,0.5,0)</t>
  </si>
  <si>
    <t xml:space="preserve">AMORLINC(10000,DATE(2024,1,15),DATE(2024,12,31),500,1,0.5,0)</t>
  </si>
  <si>
    <t xml:space="preserve">AMORDEGRC(10000,DATE(2024,1,15),DATE(2024,12,31),500,1,0.5,0)</t>
  </si>
  <si>
    <t xml:space="preserve">AMORLINC(10000,DATE(2024,1,15),DATE(2024,12,31),500,2,0.5,0)</t>
  </si>
  <si>
    <t xml:space="preserve">AMORDEGRC(10000,DATE(2024,1,15),DATE(2024,12,31),500,2,0.5,0)</t>
  </si>
  <si>
    <t xml:space="preserve">AMORLINC(10000,DATE(2024,1,15),DATE(2024,12,31),500,3,0.5,0)</t>
  </si>
  <si>
    <t xml:space="preserve">AMORDEGRC(10000,DATE(2024,1,15),DATE(2024,12,31),500,3,0.5,0)</t>
  </si>
  <si>
    <t xml:space="preserve">AMORLINC(10000,DATE(2024,1,15),DATE(2024,12,31),500,5,0.5,0)</t>
  </si>
  <si>
    <t xml:space="preserve">AMORDEGRC(10000,DATE(2024,1,15),DATE(2024,12,31),500,5,0.5,0)</t>
  </si>
  <si>
    <t xml:space="preserve">AMORLINC(10000,DATE(2024,1,15),DATE(2024,12,31),500,8,0.5,0)</t>
  </si>
  <si>
    <t xml:space="preserve">AMORDEGRC(10000,DATE(2024,1,15),DATE(2024,12,31),500,8,0.5,0)</t>
  </si>
  <si>
    <t xml:space="preserve">AMORLINC(10000,DATE(2024,1,15),DATE(2024,12,31),500,12,0.5,0)</t>
  </si>
  <si>
    <t xml:space="preserve">AMORDEGRC(10000,DATE(2024,1,15),DATE(2024,12,31),500,12,0.5,0)</t>
  </si>
  <si>
    <t xml:space="preserve">AMORLINC(10000,DATE(2024,1,15),DATE(2024,12,31),500,25,0.5,0)</t>
  </si>
  <si>
    <t xml:space="preserve">AMORDEGRC(10000,DATE(2024,1,15),DATE(2024,12,31),500,25,0.5,0)</t>
  </si>
  <si>
    <t xml:space="preserve">AMORLINC(10000,DATE(2024,1,15),DATE(2024,12,31),500,0,0.5,1)</t>
  </si>
  <si>
    <t xml:space="preserve">AMORDEGRC(10000,DATE(2024,1,15),DATE(2024,12,31),500,0,0.5,1)</t>
  </si>
  <si>
    <t xml:space="preserve">AMORLINC(10000,DATE(2024,1,15),DATE(2024,12,31),500,1,0.5,1)</t>
  </si>
  <si>
    <t xml:space="preserve">AMORDEGRC(10000,DATE(2024,1,15),DATE(2024,12,31),500,1,0.5,1)</t>
  </si>
  <si>
    <t xml:space="preserve">AMORLINC(10000,DATE(2024,1,15),DATE(2024,12,31),500,2,0.5,1)</t>
  </si>
  <si>
    <t xml:space="preserve">AMORDEGRC(10000,DATE(2024,1,15),DATE(2024,12,31),500,2,0.5,1)</t>
  </si>
  <si>
    <t xml:space="preserve">AMORLINC(10000,DATE(2024,1,15),DATE(2024,12,31),500,3,0.5,1)</t>
  </si>
  <si>
    <t xml:space="preserve">AMORDEGRC(10000,DATE(2024,1,15),DATE(2024,12,31),500,3,0.5,1)</t>
  </si>
  <si>
    <t xml:space="preserve">AMORLINC(10000,DATE(2024,1,15),DATE(2024,12,31),500,5,0.5,1)</t>
  </si>
  <si>
    <t xml:space="preserve">AMORDEGRC(10000,DATE(2024,1,15),DATE(2024,12,31),500,5,0.5,1)</t>
  </si>
  <si>
    <t xml:space="preserve">AMORLINC(10000,DATE(2024,1,15),DATE(2024,12,31),500,8,0.5,1)</t>
  </si>
  <si>
    <t xml:space="preserve">AMORDEGRC(10000,DATE(2024,1,15),DATE(2024,12,31),500,8,0.5,1)</t>
  </si>
  <si>
    <t xml:space="preserve">AMORLINC(10000,DATE(2024,1,15),DATE(2024,12,31),500,12,0.5,1)</t>
  </si>
  <si>
    <t xml:space="preserve">AMORDEGRC(10000,DATE(2024,1,15),DATE(2024,12,31),500,12,0.5,1)</t>
  </si>
  <si>
    <t xml:space="preserve">AMORLINC(10000,DATE(2024,1,15),DATE(2024,12,31),500,25,0.5,1)</t>
  </si>
  <si>
    <t xml:space="preserve">AMORDEGRC(10000,DATE(2024,1,15),DATE(2024,12,31),500,25,0.5,1)</t>
  </si>
  <si>
    <t xml:space="preserve">AMORLINC(10000,DATE(2024,1,15),DATE(2024,12,31),500,0,0.5,3)</t>
  </si>
  <si>
    <t xml:space="preserve">AMORDEGRC(10000,DATE(2024,1,15),DATE(2024,12,31),500,0,0.5,3)</t>
  </si>
  <si>
    <t xml:space="preserve">AMORLINC(10000,DATE(2024,1,15),DATE(2024,12,31),500,1,0.5,3)</t>
  </si>
  <si>
    <t xml:space="preserve">AMORDEGRC(10000,DATE(2024,1,15),DATE(2024,12,31),500,1,0.5,3)</t>
  </si>
  <si>
    <t xml:space="preserve">AMORLINC(10000,DATE(2024,1,15),DATE(2024,12,31),500,2,0.5,3)</t>
  </si>
  <si>
    <t xml:space="preserve">AMORDEGRC(10000,DATE(2024,1,15),DATE(2024,12,31),500,2,0.5,3)</t>
  </si>
  <si>
    <t xml:space="preserve">AMORLINC(10000,DATE(2024,1,15),DATE(2024,12,31),500,3,0.5,3)</t>
  </si>
  <si>
    <t xml:space="preserve">AMORDEGRC(10000,DATE(2024,1,15),DATE(2024,12,31),500,3,0.5,3)</t>
  </si>
  <si>
    <t xml:space="preserve">AMORLINC(10000,DATE(2024,1,15),DATE(2024,12,31),500,5,0.5,3)</t>
  </si>
  <si>
    <t xml:space="preserve">AMORDEGRC(10000,DATE(2024,1,15),DATE(2024,12,31),500,5,0.5,3)</t>
  </si>
  <si>
    <t xml:space="preserve">AMORLINC(10000,DATE(2024,1,15),DATE(2024,12,31),500,8,0.5,3)</t>
  </si>
  <si>
    <t xml:space="preserve">AMORDEGRC(10000,DATE(2024,1,15),DATE(2024,12,31),500,8,0.5,3)</t>
  </si>
  <si>
    <t xml:space="preserve">AMORLINC(10000,DATE(2024,1,15),DATE(2024,12,31),500,12,0.5,3)</t>
  </si>
  <si>
    <t xml:space="preserve">AMORDEGRC(10000,DATE(2024,1,15),DATE(2024,12,31),500,12,0.5,3)</t>
  </si>
  <si>
    <t xml:space="preserve">AMORLINC(10000,DATE(2024,1,15),DATE(2024,12,31),500,25,0.5,3)</t>
  </si>
  <si>
    <t xml:space="preserve">AMORDEGRC(10000,DATE(2024,1,15),DATE(2024,12,31),500,25,0.5,3)</t>
  </si>
  <si>
    <t xml:space="preserve">AMORLINC(10000,DATE(2024,1,15),DATE(2024,12,31),500,0,0.5,4)</t>
  </si>
  <si>
    <t xml:space="preserve">AMORDEGRC(10000,DATE(2024,1,15),DATE(2024,12,31),500,0,0.5,4)</t>
  </si>
  <si>
    <t xml:space="preserve">AMORLINC(10000,DATE(2024,1,15),DATE(2024,12,31),500,1,0.5,4)</t>
  </si>
  <si>
    <t xml:space="preserve">AMORDEGRC(10000,DATE(2024,1,15),DATE(2024,12,31),500,1,0.5,4)</t>
  </si>
  <si>
    <t xml:space="preserve">AMORLINC(10000,DATE(2024,1,15),DATE(2024,12,31),500,2,0.5,4)</t>
  </si>
  <si>
    <t xml:space="preserve">AMORDEGRC(10000,DATE(2024,1,15),DATE(2024,12,31),500,2,0.5,4)</t>
  </si>
  <si>
    <t xml:space="preserve">AMORLINC(10000,DATE(2024,1,15),DATE(2024,12,31),500,3,0.5,4)</t>
  </si>
  <si>
    <t xml:space="preserve">AMORDEGRC(10000,DATE(2024,1,15),DATE(2024,12,31),500,3,0.5,4)</t>
  </si>
  <si>
    <t xml:space="preserve">AMORLINC(10000,DATE(2024,1,15),DATE(2024,12,31),500,5,0.5,4)</t>
  </si>
  <si>
    <t xml:space="preserve">AMORDEGRC(10000,DATE(2024,1,15),DATE(2024,12,31),500,5,0.5,4)</t>
  </si>
  <si>
    <t xml:space="preserve">AMORLINC(10000,DATE(2024,1,15),DATE(2024,12,31),500,8,0.5,4)</t>
  </si>
  <si>
    <t xml:space="preserve">AMORDEGRC(10000,DATE(2024,1,15),DATE(2024,12,31),500,8,0.5,4)</t>
  </si>
  <si>
    <t xml:space="preserve">AMORLINC(10000,DATE(2024,1,15),DATE(2024,12,31),500,12,0.5,4)</t>
  </si>
  <si>
    <t xml:space="preserve">AMORDEGRC(10000,DATE(2024,1,15),DATE(2024,12,31),500,12,0.5,4)</t>
  </si>
  <si>
    <t xml:space="preserve">AMORLINC(10000,DATE(2024,1,15),DATE(2024,12,31),500,25,0.5,4)</t>
  </si>
  <si>
    <t xml:space="preserve">AMORDEGRC(10000,DATE(2024,1,15),DATE(2024,12,31),500,25,0.5,4)</t>
  </si>
  <si>
    <t xml:space="preserve">AMORLINC(10000,DATE(2024,1,15),DATE(2024,12,31),500,0,0.01,0)</t>
  </si>
  <si>
    <t xml:space="preserve">AMORDEGRC(10000,DATE(2024,1,15),DATE(2024,12,31),500,0,0.01,0)</t>
  </si>
  <si>
    <t xml:space="preserve">AMORLINC(10000,DATE(2024,1,15),DATE(2024,12,31),500,1,0.01,0)</t>
  </si>
  <si>
    <t xml:space="preserve">AMORDEGRC(10000,DATE(2024,1,15),DATE(2024,12,31),500,1,0.01,0)</t>
  </si>
  <si>
    <t xml:space="preserve">AMORLINC(10000,DATE(2024,1,15),DATE(2024,12,31),500,2,0.01,0)</t>
  </si>
  <si>
    <t xml:space="preserve">AMORDEGRC(10000,DATE(2024,1,15),DATE(2024,12,31),500,2,0.01,0)</t>
  </si>
  <si>
    <t xml:space="preserve">AMORLINC(10000,DATE(2024,1,15),DATE(2024,12,31),500,3,0.01,0)</t>
  </si>
  <si>
    <t xml:space="preserve">AMORDEGRC(10000,DATE(2024,1,15),DATE(2024,12,31),500,3,0.01,0)</t>
  </si>
  <si>
    <t xml:space="preserve">AMORLINC(10000,DATE(2024,1,15),DATE(2024,12,31),500,5,0.01,0)</t>
  </si>
  <si>
    <t xml:space="preserve">AMORDEGRC(10000,DATE(2024,1,15),DATE(2024,12,31),500,5,0.01,0)</t>
  </si>
  <si>
    <t xml:space="preserve">AMORLINC(10000,DATE(2024,1,15),DATE(2024,12,31),500,8,0.01,0)</t>
  </si>
  <si>
    <t xml:space="preserve">AMORDEGRC(10000,DATE(2024,1,15),DATE(2024,12,31),500,8,0.01,0)</t>
  </si>
  <si>
    <t xml:space="preserve">AMORLINC(10000,DATE(2024,1,15),DATE(2024,12,31),500,12,0.01,0)</t>
  </si>
  <si>
    <t xml:space="preserve">AMORDEGRC(10000,DATE(2024,1,15),DATE(2024,12,31),500,12,0.01,0)</t>
  </si>
  <si>
    <t xml:space="preserve">AMORLINC(10000,DATE(2024,1,15),DATE(2024,12,31),500,25,0.01,0)</t>
  </si>
  <si>
    <t xml:space="preserve">AMORDEGRC(10000,DATE(2024,1,15),DATE(2024,12,31),500,25,0.01,0)</t>
  </si>
  <si>
    <t xml:space="preserve">AMORLINC(10000,DATE(2024,1,15),DATE(2024,12,31),500,0,0.01,1)</t>
  </si>
  <si>
    <t xml:space="preserve">AMORDEGRC(10000,DATE(2024,1,15),DATE(2024,12,31),500,0,0.01,1)</t>
  </si>
  <si>
    <t xml:space="preserve">AMORLINC(10000,DATE(2024,1,15),DATE(2024,12,31),500,1,0.01,1)</t>
  </si>
  <si>
    <t xml:space="preserve">AMORDEGRC(10000,DATE(2024,1,15),DATE(2024,12,31),500,1,0.01,1)</t>
  </si>
  <si>
    <t xml:space="preserve">AMORLINC(10000,DATE(2024,1,15),DATE(2024,12,31),500,2,0.01,1)</t>
  </si>
  <si>
    <t xml:space="preserve">AMORDEGRC(10000,DATE(2024,1,15),DATE(2024,12,31),500,2,0.01,1)</t>
  </si>
  <si>
    <t xml:space="preserve">AMORLINC(10000,DATE(2024,1,15),DATE(2024,12,31),500,3,0.01,1)</t>
  </si>
  <si>
    <t xml:space="preserve">AMORDEGRC(10000,DATE(2024,1,15),DATE(2024,12,31),500,3,0.01,1)</t>
  </si>
  <si>
    <t xml:space="preserve">AMORLINC(10000,DATE(2024,1,15),DATE(2024,12,31),500,5,0.01,1)</t>
  </si>
  <si>
    <t xml:space="preserve">AMORDEGRC(10000,DATE(2024,1,15),DATE(2024,12,31),500,5,0.01,1)</t>
  </si>
  <si>
    <t xml:space="preserve">AMORLINC(10000,DATE(2024,1,15),DATE(2024,12,31),500,8,0.01,1)</t>
  </si>
  <si>
    <t xml:space="preserve">AMORDEGRC(10000,DATE(2024,1,15),DATE(2024,12,31),500,8,0.01,1)</t>
  </si>
  <si>
    <t xml:space="preserve">AMORLINC(10000,DATE(2024,1,15),DATE(2024,12,31),500,12,0.01,1)</t>
  </si>
  <si>
    <t xml:space="preserve">AMORDEGRC(10000,DATE(2024,1,15),DATE(2024,12,31),500,12,0.01,1)</t>
  </si>
  <si>
    <t xml:space="preserve">AMORLINC(10000,DATE(2024,1,15),DATE(2024,12,31),500,25,0.01,1)</t>
  </si>
  <si>
    <t xml:space="preserve">AMORDEGRC(10000,DATE(2024,1,15),DATE(2024,12,31),500,25,0.01,1)</t>
  </si>
  <si>
    <t xml:space="preserve">AMORLINC(10000,DATE(2024,1,15),DATE(2024,12,31),500,0,0.01,3)</t>
  </si>
  <si>
    <t xml:space="preserve">AMORDEGRC(10000,DATE(2024,1,15),DATE(2024,12,31),500,0,0.01,3)</t>
  </si>
  <si>
    <t xml:space="preserve">AMORLINC(10000,DATE(2024,1,15),DATE(2024,12,31),500,1,0.01,3)</t>
  </si>
  <si>
    <t xml:space="preserve">AMORDEGRC(10000,DATE(2024,1,15),DATE(2024,12,31),500,1,0.01,3)</t>
  </si>
  <si>
    <t xml:space="preserve">AMORLINC(10000,DATE(2024,1,15),DATE(2024,12,31),500,2,0.01,3)</t>
  </si>
  <si>
    <t xml:space="preserve">AMORDEGRC(10000,DATE(2024,1,15),DATE(2024,12,31),500,2,0.01,3)</t>
  </si>
  <si>
    <t xml:space="preserve">AMORLINC(10000,DATE(2024,1,15),DATE(2024,12,31),500,3,0.01,3)</t>
  </si>
  <si>
    <t xml:space="preserve">AMORDEGRC(10000,DATE(2024,1,15),DATE(2024,12,31),500,3,0.01,3)</t>
  </si>
  <si>
    <t xml:space="preserve">AMORLINC(10000,DATE(2024,1,15),DATE(2024,12,31),500,5,0.01,3)</t>
  </si>
  <si>
    <t xml:space="preserve">AMORDEGRC(10000,DATE(2024,1,15),DATE(2024,12,31),500,5,0.01,3)</t>
  </si>
  <si>
    <t xml:space="preserve">AMORLINC(10000,DATE(2024,1,15),DATE(2024,12,31),500,8,0.01,3)</t>
  </si>
  <si>
    <t xml:space="preserve">AMORDEGRC(10000,DATE(2024,1,15),DATE(2024,12,31),500,8,0.01,3)</t>
  </si>
  <si>
    <t xml:space="preserve">AMORLINC(10000,DATE(2024,1,15),DATE(2024,12,31),500,12,0.01,3)</t>
  </si>
  <si>
    <t xml:space="preserve">AMORDEGRC(10000,DATE(2024,1,15),DATE(2024,12,31),500,12,0.01,3)</t>
  </si>
  <si>
    <t xml:space="preserve">AMORLINC(10000,DATE(2024,1,15),DATE(2024,12,31),500,25,0.01,3)</t>
  </si>
  <si>
    <t xml:space="preserve">AMORDEGRC(10000,DATE(2024,1,15),DATE(2024,12,31),500,25,0.01,3)</t>
  </si>
  <si>
    <t xml:space="preserve">AMORLINC(10000,DATE(2024,1,15),DATE(2024,12,31),500,0,0.01,4)</t>
  </si>
  <si>
    <t xml:space="preserve">AMORDEGRC(10000,DATE(2024,1,15),DATE(2024,12,31),500,0,0.01,4)</t>
  </si>
  <si>
    <t xml:space="preserve">AMORLINC(10000,DATE(2024,1,15),DATE(2024,12,31),500,1,0.01,4)</t>
  </si>
  <si>
    <t xml:space="preserve">AMORDEGRC(10000,DATE(2024,1,15),DATE(2024,12,31),500,1,0.01,4)</t>
  </si>
  <si>
    <t xml:space="preserve">AMORLINC(10000,DATE(2024,1,15),DATE(2024,12,31),500,2,0.01,4)</t>
  </si>
  <si>
    <t xml:space="preserve">AMORDEGRC(10000,DATE(2024,1,15),DATE(2024,12,31),500,2,0.01,4)</t>
  </si>
  <si>
    <t xml:space="preserve">AMORLINC(10000,DATE(2024,1,15),DATE(2024,12,31),500,3,0.01,4)</t>
  </si>
  <si>
    <t xml:space="preserve">AMORDEGRC(10000,DATE(2024,1,15),DATE(2024,12,31),500,3,0.01,4)</t>
  </si>
  <si>
    <t xml:space="preserve">AMORLINC(10000,DATE(2024,1,15),DATE(2024,12,31),500,5,0.01,4)</t>
  </si>
  <si>
    <t xml:space="preserve">AMORDEGRC(10000,DATE(2024,1,15),DATE(2024,12,31),500,5,0.01,4)</t>
  </si>
  <si>
    <t xml:space="preserve">AMORLINC(10000,DATE(2024,1,15),DATE(2024,12,31),500,8,0.01,4)</t>
  </si>
  <si>
    <t xml:space="preserve">AMORDEGRC(10000,DATE(2024,1,15),DATE(2024,12,31),500,8,0.01,4)</t>
  </si>
  <si>
    <t xml:space="preserve">AMORLINC(10000,DATE(2024,1,15),DATE(2024,12,31),500,12,0.01,4)</t>
  </si>
  <si>
    <t xml:space="preserve">AMORDEGRC(10000,DATE(2024,1,15),DATE(2024,12,31),500,12,0.01,4)</t>
  </si>
  <si>
    <t xml:space="preserve">AMORLINC(10000,DATE(2024,1,15),DATE(2024,12,31),500,25,0.01,4)</t>
  </si>
  <si>
    <t xml:space="preserve">AMORDEGRC(10000,DATE(2024,1,15),DATE(2024,12,31),500,25,0.01,4)</t>
  </si>
  <si>
    <t xml:space="preserve">AMORLINC(10000,DATE(2024,1,15),DATE(2024,12,31),500,1,0.1,2)</t>
  </si>
  <si>
    <t xml:space="preserve">AMORLINC(10000,DATE(2024,1,15),DATE(2024,12,31),500,1,0.1)</t>
  </si>
  <si>
    <t xml:space="preserve">AMORLINC(10000,DATE(2024,1,15),DATE(2024,12,31),500,1,0.1,5)</t>
  </si>
  <si>
    <t xml:space="preserve">AMORLINC(10000,DATE(2024,1,15),DATE(2024,12,31),500,-1,0.1,0)</t>
  </si>
  <si>
    <t xml:space="preserve">AMORLINC(10000,DATE(2024,1,15),DATE(2024,12,31),500,1.5,0.1,0)</t>
  </si>
  <si>
    <t xml:space="preserve">AMORLINC(0,DATE(2024,1,15),DATE(2024,12,31),500,1,0.1,0)</t>
  </si>
  <si>
    <t xml:space="preserve">AMORLINC(-1,DATE(2024,1,15),DATE(2024,12,31),500,1,0.1,0)</t>
  </si>
  <si>
    <t xml:space="preserve">AMORLINC(10000,DATE(2024,1,15),DATE(2024,12,31),-1,1,0.1,0)</t>
  </si>
  <si>
    <t xml:space="preserve">AMORLINC(10000,DATE(2024,1,15),DATE(2024,12,31),10001,1,0.1,0)</t>
  </si>
  <si>
    <t xml:space="preserve">AMORLINC(10000,DATE(2024,1,15),DATE(2024,12,31),500,1,0,0)</t>
  </si>
  <si>
    <t xml:space="preserve">AMORLINC(10000,DATE(2024,1,15),DATE(2024,12,31),500,1,-0.1,0)</t>
  </si>
  <si>
    <t xml:space="preserve">AMORLINC(10000,DATE(2024,12,31),DATE(2024,1,15),500,1,0.1,0)</t>
  </si>
  <si>
    <t xml:space="preserve">AMORLINC(10000,DATE(2024,1,15),DATE(2024,1,15),500,1,0.1,0)</t>
  </si>
  <si>
    <t xml:space="preserve">AMORLINC(10000,DATE(2024,1,15),DATE(2024,12,31),0,1,0.1,0)</t>
  </si>
  <si>
    <t xml:space="preserve">AMORLINC(10000,DATE(2024,1,15),DATE(2024,12,31),10000,1,0.1,0)</t>
  </si>
  <si>
    <t xml:space="preserve">AMORLINC(10000,DATE(2024,1,15),DATE(2024,12,31),500,1,1,0)</t>
  </si>
  <si>
    <t xml:space="preserve">AMORLINC(10000,DATE(2024,1,15),DATE(2024,12,31),500,1,0.6,0)</t>
  </si>
  <si>
    <t xml:space="preserve">AMORLINC(10000,DATE(2024,1,15),DATE(2024,12,31),500,1,0.1,0,1)</t>
  </si>
  <si>
    <t xml:space="preserve">AMORLINC(10000.5,DATE(2024,1,15),DATE(2024,12,31),500.5,1,0.1,0)</t>
  </si>
  <si>
    <t xml:space="preserve">AMORLINC(10000,DATE(2023,6,30),DATE(2023,12,31),500,2,0.1,1)</t>
  </si>
  <si>
    <t xml:space="preserve">AMORLINC(10000,DATE(2023,6,30),DATE(2024,6,30),500,2,0.1,1)</t>
  </si>
  <si>
    <t xml:space="preserve">AMORLINC(10000,DATE(2024,2,29),DATE(2024,12,31),500,2,0.1,1)</t>
  </si>
  <si>
    <t xml:space="preserve">AMORLINC(10000,DATE(2024,2,29),DATE(2025,2,28),500,2,0.1,0)</t>
  </si>
  <si>
    <t xml:space="preserve">AMORLINC("x",DATE(2024,1,15),DATE(2024,12,31),500,1,0.1,0)</t>
  </si>
  <si>
    <t xml:space="preserve">AMORLINC(100,DATE(2024,1,15),DATE(2024,12,31),1,3,0.5,0)</t>
  </si>
  <si>
    <t xml:space="preserve">AMORLINC(100,DATE(2024,1,15),DATE(2024,12,31),1,0,0.5,0)</t>
  </si>
  <si>
    <t xml:space="preserve">AMORLINC(100,DATE(2024,1,15),DATE(2024,12,31),1,1,0.5,0)</t>
  </si>
  <si>
    <t xml:space="preserve">AMORLINC(100,DATE(2024,1,15),DATE(2024,12,31),1,2,0.5,0)</t>
  </si>
  <si>
    <t xml:space="preserve">AMORDEGRC(10000,DATE(2024,1,15),DATE(2024,12,31),500,1,0.1,2)</t>
  </si>
  <si>
    <t xml:space="preserve">AMORDEGRC(10000,DATE(2024,1,15),DATE(2024,12,31),500,1,0.1)</t>
  </si>
  <si>
    <t xml:space="preserve">AMORDEGRC(10000,DATE(2024,1,15),DATE(2024,12,31),500,1,0.1,5)</t>
  </si>
  <si>
    <t xml:space="preserve">AMORDEGRC(10000,DATE(2024,1,15),DATE(2024,12,31),500,-1,0.1,0)</t>
  </si>
  <si>
    <t xml:space="preserve">AMORDEGRC(10000,DATE(2024,1,15),DATE(2024,12,31),500,1.5,0.1,0)</t>
  </si>
  <si>
    <t xml:space="preserve">AMORDEGRC(0,DATE(2024,1,15),DATE(2024,12,31),500,1,0.1,0)</t>
  </si>
  <si>
    <t xml:space="preserve">AMORDEGRC(-1,DATE(2024,1,15),DATE(2024,12,31),500,1,0.1,0)</t>
  </si>
  <si>
    <t xml:space="preserve">AMORDEGRC(10000,DATE(2024,1,15),DATE(2024,12,31),-1,1,0.1,0)</t>
  </si>
  <si>
    <t xml:space="preserve">AMORDEGRC(10000,DATE(2024,1,15),DATE(2024,12,31),10001,1,0.1,0)</t>
  </si>
  <si>
    <t xml:space="preserve">AMORDEGRC(10000,DATE(2024,1,15),DATE(2024,12,31),500,1,0,0)</t>
  </si>
  <si>
    <t xml:space="preserve">AMORDEGRC(10000,DATE(2024,1,15),DATE(2024,12,31),500,1,-0.1,0)</t>
  </si>
  <si>
    <t xml:space="preserve">AMORDEGRC(10000,DATE(2024,12,31),DATE(2024,1,15),500,1,0.1,0)</t>
  </si>
  <si>
    <t xml:space="preserve">AMORDEGRC(10000,DATE(2024,1,15),DATE(2024,1,15),500,1,0.1,0)</t>
  </si>
  <si>
    <t xml:space="preserve">AMORDEGRC(10000,DATE(2024,1,15),DATE(2024,12,31),0,1,0.1,0)</t>
  </si>
  <si>
    <t xml:space="preserve">AMORDEGRC(10000,DATE(2024,1,15),DATE(2024,12,31),10000,1,0.1,0)</t>
  </si>
  <si>
    <t xml:space="preserve">AMORDEGRC(10000,DATE(2024,1,15),DATE(2024,12,31),500,1,1,0)</t>
  </si>
  <si>
    <t xml:space="preserve">AMORDEGRC(10000,DATE(2024,1,15),DATE(2024,12,31),500,1,0.6,0)</t>
  </si>
  <si>
    <t xml:space="preserve">AMORDEGRC(10000,DATE(2024,1,15),DATE(2024,12,31),500,1,0.1,0,1)</t>
  </si>
  <si>
    <t xml:space="preserve">AMORDEGRC(10000.5,DATE(2024,1,15),DATE(2024,12,31),500.5,1,0.1,0)</t>
  </si>
  <si>
    <t xml:space="preserve">AMORDEGRC(10000,DATE(2023,6,30),DATE(2023,12,31),500,2,0.1,1)</t>
  </si>
  <si>
    <t xml:space="preserve">AMORDEGRC(10000,DATE(2023,6,30),DATE(2024,6,30),500,2,0.1,1)</t>
  </si>
  <si>
    <t xml:space="preserve">AMORDEGRC(10000,DATE(2024,2,29),DATE(2024,12,31),500,2,0.1,1)</t>
  </si>
  <si>
    <t xml:space="preserve">AMORDEGRC(10000,DATE(2024,2,29),DATE(2025,2,28),500,2,0.1,0)</t>
  </si>
  <si>
    <t xml:space="preserve">AMORDEGRC("x",DATE(2024,1,15),DATE(2024,12,31),500,1,0.1,0)</t>
  </si>
  <si>
    <t xml:space="preserve">AMORDEGRC(100,DATE(2024,1,15),DATE(2024,12,31),1,3,0.5,0)</t>
  </si>
  <si>
    <t xml:space="preserve">AMORDEGRC(100,DATE(2024,1,15),DATE(2024,12,31),1,0,0.5,0)</t>
  </si>
  <si>
    <t xml:space="preserve">AMORDEGRC(100,DATE(2024,1,15),DATE(2024,12,31),1,1,0.5,0)</t>
  </si>
  <si>
    <t xml:space="preserve">AMORDEGRC(100,DATE(2024,1,15),DATE(2024,12,31),1,2,0.5,0)</t>
  </si>
  <si>
    <t xml:space="preserve">VDB(2400,300,10,0,1)</t>
  </si>
  <si>
    <t xml:space="preserve">VDB(2400,300,10,0,1,1.5)</t>
  </si>
  <si>
    <t xml:space="preserve">VDB(2400,300,10,0,1,2)</t>
  </si>
  <si>
    <t xml:space="preserve">VDB(2400,300,10,0,1,3)</t>
  </si>
  <si>
    <t xml:space="preserve">VDB(2400,300,10,0,1,0)</t>
  </si>
  <si>
    <t xml:space="preserve">VDB(2400,300,10,0,1,-1)</t>
  </si>
  <si>
    <t xml:space="preserve">VDB(2400,300,10,0,1,2,TRUE)</t>
  </si>
  <si>
    <t xml:space="preserve">VDB(2400,300,10,0,1,1.5,TRUE)</t>
  </si>
  <si>
    <t xml:space="preserve">VDB(2400,300,10,0,1,2,FALSE)</t>
  </si>
  <si>
    <t xml:space="preserve">VDB(2400,300,10,0,1,,TRUE)</t>
  </si>
  <si>
    <t xml:space="preserve">VDB(2400,300,10,1,2)</t>
  </si>
  <si>
    <t xml:space="preserve">VDB(2400,300,10,1,2,1.5)</t>
  </si>
  <si>
    <t xml:space="preserve">VDB(2400,300,10,1,2,2)</t>
  </si>
  <si>
    <t xml:space="preserve">VDB(2400,300,10,1,2,3)</t>
  </si>
  <si>
    <t xml:space="preserve">VDB(2400,300,10,1,2,0)</t>
  </si>
  <si>
    <t xml:space="preserve">VDB(2400,300,10,1,2,-1)</t>
  </si>
  <si>
    <t xml:space="preserve">VDB(2400,300,10,1,2,2,TRUE)</t>
  </si>
  <si>
    <t xml:space="preserve">VDB(2400,300,10,1,2,1.5,TRUE)</t>
  </si>
  <si>
    <t xml:space="preserve">VDB(2400,300,10,1,2,2,FALSE)</t>
  </si>
  <si>
    <t xml:space="preserve">VDB(2400,300,10,1,2,,TRUE)</t>
  </si>
  <si>
    <t xml:space="preserve">VDB(2400,300,10,0,5)</t>
  </si>
  <si>
    <t xml:space="preserve">VDB(2400,300,10,0,5,1.5)</t>
  </si>
  <si>
    <t xml:space="preserve">VDB(2400,300,10,0,5,2)</t>
  </si>
  <si>
    <t xml:space="preserve">VDB(2400,300,10,0,5,3)</t>
  </si>
  <si>
    <t xml:space="preserve">VDB(2400,300,10,0,5,0)</t>
  </si>
  <si>
    <t xml:space="preserve">VDB(2400,300,10,0,5,-1)</t>
  </si>
  <si>
    <t xml:space="preserve">VDB(2400,300,10,0,5,2,TRUE)</t>
  </si>
  <si>
    <t xml:space="preserve">VDB(2400,300,10,0,5,1.5,TRUE)</t>
  </si>
  <si>
    <t xml:space="preserve">VDB(2400,300,10,0,5,2,FALSE)</t>
  </si>
  <si>
    <t xml:space="preserve">VDB(2400,300,10,0,5,,TRUE)</t>
  </si>
  <si>
    <t xml:space="preserve">VDB(2400,300,10,0.5,1.5)</t>
  </si>
  <si>
    <t xml:space="preserve">VDB(2400,300,10,0.5,1.5,1.5)</t>
  </si>
  <si>
    <t xml:space="preserve">VDB(2400,300,10,0.5,1.5,2)</t>
  </si>
  <si>
    <t xml:space="preserve">VDB(2400,300,10,0.5,1.5,3)</t>
  </si>
  <si>
    <t xml:space="preserve">VDB(2400,300,10,0.5,1.5,0)</t>
  </si>
  <si>
    <t xml:space="preserve">VDB(2400,300,10,0.5,1.5,-1)</t>
  </si>
  <si>
    <t xml:space="preserve">VDB(2400,300,10,0.5,1.5,2,TRUE)</t>
  </si>
  <si>
    <t xml:space="preserve">VDB(2400,300,10,0.5,1.5,1.5,TRUE)</t>
  </si>
  <si>
    <t xml:space="preserve">VDB(2400,300,10,0.5,1.5,2,FALSE)</t>
  </si>
  <si>
    <t xml:space="preserve">VDB(2400,300,10,0.5,1.5,,TRUE)</t>
  </si>
  <si>
    <t xml:space="preserve">VDB(2400,300,10,2,3)</t>
  </si>
  <si>
    <t xml:space="preserve">VDB(2400,300,10,2,3,1.5)</t>
  </si>
  <si>
    <t xml:space="preserve">VDB(2400,300,10,2,3,2)</t>
  </si>
  <si>
    <t xml:space="preserve">VDB(2400,300,10,2,3,3)</t>
  </si>
  <si>
    <t xml:space="preserve">VDB(2400,300,10,2,3,0)</t>
  </si>
  <si>
    <t xml:space="preserve">VDB(2400,300,10,2,3,-1)</t>
  </si>
  <si>
    <t xml:space="preserve">VDB(2400,300,10,2,3,2,TRUE)</t>
  </si>
  <si>
    <t xml:space="preserve">VDB(2400,300,10,2,3,1.5,TRUE)</t>
  </si>
  <si>
    <t xml:space="preserve">VDB(2400,300,10,2,3,2,FALSE)</t>
  </si>
  <si>
    <t xml:space="preserve">VDB(2400,300,10,2,3,,TRUE)</t>
  </si>
  <si>
    <t xml:space="preserve">VDB(2400,300,10,0,10)</t>
  </si>
  <si>
    <t xml:space="preserve">VDB(2400,300,10,0,10,1.5)</t>
  </si>
  <si>
    <t xml:space="preserve">VDB(2400,300,10,0,10,2)</t>
  </si>
  <si>
    <t xml:space="preserve">VDB(2400,300,10,0,10,3)</t>
  </si>
  <si>
    <t xml:space="preserve">VDB(2400,300,10,0,10,0)</t>
  </si>
  <si>
    <t xml:space="preserve">VDB(2400,300,10,0,10,-1)</t>
  </si>
  <si>
    <t xml:space="preserve">VDB(2400,300,10,0,10,2,TRUE)</t>
  </si>
  <si>
    <t xml:space="preserve">VDB(2400,300,10,0,10,1.5,TRUE)</t>
  </si>
  <si>
    <t xml:space="preserve">VDB(2400,300,10,0,10,2,FALSE)</t>
  </si>
  <si>
    <t xml:space="preserve">VDB(2400,300,10,0,10,,TRUE)</t>
  </si>
  <si>
    <t xml:space="preserve">VDB(2400,300,10,9,10)</t>
  </si>
  <si>
    <t xml:space="preserve">VDB(2400,300,10,9,10,1.5)</t>
  </si>
  <si>
    <t xml:space="preserve">VDB(2400,300,10,9,10,2)</t>
  </si>
  <si>
    <t xml:space="preserve">VDB(2400,300,10,9,10,3)</t>
  </si>
  <si>
    <t xml:space="preserve">VDB(2400,300,10,9,10,0)</t>
  </si>
  <si>
    <t xml:space="preserve">VDB(2400,300,10,9,10,-1)</t>
  </si>
  <si>
    <t xml:space="preserve">VDB(2400,300,10,9,10,2,TRUE)</t>
  </si>
  <si>
    <t xml:space="preserve">VDB(2400,300,10,9,10,1.5,TRUE)</t>
  </si>
  <si>
    <t xml:space="preserve">VDB(2400,300,10,9,10,2,FALSE)</t>
  </si>
  <si>
    <t xml:space="preserve">VDB(2400,300,10,9,10,,TRUE)</t>
  </si>
  <si>
    <t xml:space="preserve">VDB(2400,300,10,3.5,4.2)</t>
  </si>
  <si>
    <t xml:space="preserve">VDB(2400,300,10,3.5,4.2,1.5)</t>
  </si>
  <si>
    <t xml:space="preserve">VDB(2400,300,10,3.5,4.2,2)</t>
  </si>
  <si>
    <t xml:space="preserve">VDB(2400,300,10,3.5,4.2,3)</t>
  </si>
  <si>
    <t xml:space="preserve">VDB(2400,300,10,3.5,4.2,0)</t>
  </si>
  <si>
    <t xml:space="preserve">VDB(2400,300,10,3.5,4.2,-1)</t>
  </si>
  <si>
    <t xml:space="preserve">VDB(2400,300,10,3.5,4.2,2,TRUE)</t>
  </si>
  <si>
    <t xml:space="preserve">VDB(2400,300,10,3.5,4.2,1.5,TRUE)</t>
  </si>
  <si>
    <t xml:space="preserve">VDB(2400,300,10,3.5,4.2,2,FALSE)</t>
  </si>
  <si>
    <t xml:space="preserve">VDB(2400,300,10,3.5,4.2,,TRUE)</t>
  </si>
  <si>
    <t xml:space="preserve">VDB(2400,300,10,0,0)</t>
  </si>
  <si>
    <t xml:space="preserve">VDB(2400,300,10,0,0,1.5)</t>
  </si>
  <si>
    <t xml:space="preserve">VDB(2400,300,10,0,0,2)</t>
  </si>
  <si>
    <t xml:space="preserve">VDB(2400,300,10,0,0,3)</t>
  </si>
  <si>
    <t xml:space="preserve">VDB(2400,300,10,0,0,0)</t>
  </si>
  <si>
    <t xml:space="preserve">VDB(2400,300,10,0,0,-1)</t>
  </si>
  <si>
    <t xml:space="preserve">VDB(2400,300,10,0,0,2,TRUE)</t>
  </si>
  <si>
    <t xml:space="preserve">VDB(2400,300,10,0,0,1.5,TRUE)</t>
  </si>
  <si>
    <t xml:space="preserve">VDB(2400,300,10,0,0,2,FALSE)</t>
  </si>
  <si>
    <t xml:space="preserve">VDB(2400,300,10,0,0,,TRUE)</t>
  </si>
  <si>
    <t xml:space="preserve">VDB(2400,300,10,1,1)</t>
  </si>
  <si>
    <t xml:space="preserve">VDB(2400,300,10,1,1,1.5)</t>
  </si>
  <si>
    <t xml:space="preserve">VDB(2400,300,10,1,1,2)</t>
  </si>
  <si>
    <t xml:space="preserve">VDB(2400,300,10,1,1,3)</t>
  </si>
  <si>
    <t xml:space="preserve">VDB(2400,300,10,1,1,0)</t>
  </si>
  <si>
    <t xml:space="preserve">VDB(2400,300,10,1,1,-1)</t>
  </si>
  <si>
    <t xml:space="preserve">VDB(2400,300,10,1,1,2,TRUE)</t>
  </si>
  <si>
    <t xml:space="preserve">VDB(2400,300,10,1,1,1.5,TRUE)</t>
  </si>
  <si>
    <t xml:space="preserve">VDB(2400,300,10,1,1,2,FALSE)</t>
  </si>
  <si>
    <t xml:space="preserve">VDB(2400,300,10,1,1,,TRUE)</t>
  </si>
  <si>
    <t xml:space="preserve">VDB(2400,300,10,2,1)</t>
  </si>
  <si>
    <t xml:space="preserve">VDB(2400,300,10,2,1,1.5)</t>
  </si>
  <si>
    <t xml:space="preserve">VDB(2400,300,10,2,1,2)</t>
  </si>
  <si>
    <t xml:space="preserve">VDB(2400,300,10,2,1,3)</t>
  </si>
  <si>
    <t xml:space="preserve">VDB(2400,300,10,2,1,0)</t>
  </si>
  <si>
    <t xml:space="preserve">VDB(2400,300,10,2,1,-1)</t>
  </si>
  <si>
    <t xml:space="preserve">VDB(2400,300,10,2,1,2,TRUE)</t>
  </si>
  <si>
    <t xml:space="preserve">VDB(2400,300,10,2,1,1.5,TRUE)</t>
  </si>
  <si>
    <t xml:space="preserve">VDB(2400,300,10,2,1,2,FALSE)</t>
  </si>
  <si>
    <t xml:space="preserve">VDB(2400,300,10,2,1,,TRUE)</t>
  </si>
  <si>
    <t xml:space="preserve">VDB(2400,300,10,0,11)</t>
  </si>
  <si>
    <t xml:space="preserve">VDB(2400,300,10,0,11,1.5)</t>
  </si>
  <si>
    <t xml:space="preserve">VDB(2400,300,10,0,11,2)</t>
  </si>
  <si>
    <t xml:space="preserve">VDB(2400,300,10,0,11,3)</t>
  </si>
  <si>
    <t xml:space="preserve">VDB(2400,300,10,0,11,0)</t>
  </si>
  <si>
    <t xml:space="preserve">VDB(2400,300,10,0,11,-1)</t>
  </si>
  <si>
    <t xml:space="preserve">VDB(2400,300,10,0,11,2,TRUE)</t>
  </si>
  <si>
    <t xml:space="preserve">VDB(2400,300,10,0,11,1.5,TRUE)</t>
  </si>
  <si>
    <t xml:space="preserve">VDB(2400,300,10,0,11,2,FALSE)</t>
  </si>
  <si>
    <t xml:space="preserve">VDB(2400,300,10,0,11,,TRUE)</t>
  </si>
  <si>
    <t xml:space="preserve">VDB(2400,300,10,-1,1)</t>
  </si>
  <si>
    <t xml:space="preserve">VDB(2400,300,10,-1,1,1.5)</t>
  </si>
  <si>
    <t xml:space="preserve">VDB(2400,300,10,-1,1,2)</t>
  </si>
  <si>
    <t xml:space="preserve">VDB(2400,300,10,-1,1,3)</t>
  </si>
  <si>
    <t xml:space="preserve">VDB(2400,300,10,-1,1,0)</t>
  </si>
  <si>
    <t xml:space="preserve">VDB(2400,300,10,-1,1,-1)</t>
  </si>
  <si>
    <t xml:space="preserve">VDB(2400,300,10,-1,1,2,TRUE)</t>
  </si>
  <si>
    <t xml:space="preserve">VDB(2400,300,10,-1,1,1.5,TRUE)</t>
  </si>
  <si>
    <t xml:space="preserve">VDB(2400,300,10,-1,1,2,FALSE)</t>
  </si>
  <si>
    <t xml:space="preserve">VDB(2400,300,10,-1,1,,TRUE)</t>
  </si>
  <si>
    <t xml:space="preserve">VDB(2400,300,10,0.25,0.75)</t>
  </si>
  <si>
    <t xml:space="preserve">VDB(2400,300,10,0.25,0.75,1.5)</t>
  </si>
  <si>
    <t xml:space="preserve">VDB(2400,300,10,0.25,0.75,2)</t>
  </si>
  <si>
    <t xml:space="preserve">VDB(2400,300,10,0.25,0.75,3)</t>
  </si>
  <si>
    <t xml:space="preserve">VDB(2400,300,10,0.25,0.75,0)</t>
  </si>
  <si>
    <t xml:space="preserve">VDB(2400,300,10,0.25,0.75,-1)</t>
  </si>
  <si>
    <t xml:space="preserve">VDB(2400,300,10,0.25,0.75,2,TRUE)</t>
  </si>
  <si>
    <t xml:space="preserve">VDB(2400,300,10,0.25,0.75,1.5,TRUE)</t>
  </si>
  <si>
    <t xml:space="preserve">VDB(2400,300,10,0.25,0.75,2,FALSE)</t>
  </si>
  <si>
    <t xml:space="preserve">VDB(2400,300,10,0.25,0.75,,TRUE)</t>
  </si>
  <si>
    <t xml:space="preserve">VDB(2400,300,10,10,10)</t>
  </si>
  <si>
    <t xml:space="preserve">VDB(2400,300,10,10,10,1.5)</t>
  </si>
  <si>
    <t xml:space="preserve">VDB(2400,300,10,10,10,2)</t>
  </si>
  <si>
    <t xml:space="preserve">VDB(2400,300,10,10,10,3)</t>
  </si>
  <si>
    <t xml:space="preserve">VDB(2400,300,10,10,10,0)</t>
  </si>
  <si>
    <t xml:space="preserve">VDB(2400,300,10,10,10,-1)</t>
  </si>
  <si>
    <t xml:space="preserve">VDB(2400,300,10,10,10,2,TRUE)</t>
  </si>
  <si>
    <t xml:space="preserve">VDB(2400,300,10,10,10,1.5,TRUE)</t>
  </si>
  <si>
    <t xml:space="preserve">VDB(2400,300,10,10,10,2,FALSE)</t>
  </si>
  <si>
    <t xml:space="preserve">VDB(2400,300,10,10,10,,TRUE)</t>
  </si>
  <si>
    <t xml:space="preserve">VDB(2400,300,10,1,10)</t>
  </si>
  <si>
    <t xml:space="preserve">VDB(2400,300,10,1,10,1.5)</t>
  </si>
  <si>
    <t xml:space="preserve">VDB(2400,300,10,1,10,2)</t>
  </si>
  <si>
    <t xml:space="preserve">VDB(2400,300,10,1,10,3)</t>
  </si>
  <si>
    <t xml:space="preserve">VDB(2400,300,10,1,10,0)</t>
  </si>
  <si>
    <t xml:space="preserve">VDB(2400,300,10,1,10,-1)</t>
  </si>
  <si>
    <t xml:space="preserve">VDB(2400,300,10,1,10,2,TRUE)</t>
  </si>
  <si>
    <t xml:space="preserve">VDB(2400,300,10,1,10,1.5,TRUE)</t>
  </si>
  <si>
    <t xml:space="preserve">VDB(2400,300,10,1,10,2,FALSE)</t>
  </si>
  <si>
    <t xml:space="preserve">VDB(2400,300,10,1,10,,TRUE)</t>
  </si>
  <si>
    <t xml:space="preserve">VDB(2400,300,120,0,1)</t>
  </si>
  <si>
    <t xml:space="preserve">VDB(2400,300,120,0,1,1.5)</t>
  </si>
  <si>
    <t xml:space="preserve">VDB(2400,300,120,0,1,2)</t>
  </si>
  <si>
    <t xml:space="preserve">VDB(2400,300,120,0,1,3)</t>
  </si>
  <si>
    <t xml:space="preserve">VDB(2400,300,120,0,1,0)</t>
  </si>
  <si>
    <t xml:space="preserve">VDB(2400,300,120,0,1,-1)</t>
  </si>
  <si>
    <t xml:space="preserve">VDB(2400,300,120,0,1,2,TRUE)</t>
  </si>
  <si>
    <t xml:space="preserve">VDB(2400,300,120,0,1,1.5,TRUE)</t>
  </si>
  <si>
    <t xml:space="preserve">VDB(2400,300,120,0,1,2,FALSE)</t>
  </si>
  <si>
    <t xml:space="preserve">VDB(2400,300,120,0,1,,TRUE)</t>
  </si>
  <si>
    <t xml:space="preserve">VDB(2400,300,120,1,2)</t>
  </si>
  <si>
    <t xml:space="preserve">VDB(2400,300,120,1,2,1.5)</t>
  </si>
  <si>
    <t xml:space="preserve">VDB(2400,300,120,1,2,2)</t>
  </si>
  <si>
    <t xml:space="preserve">VDB(2400,300,120,1,2,3)</t>
  </si>
  <si>
    <t xml:space="preserve">VDB(2400,300,120,1,2,0)</t>
  </si>
  <si>
    <t xml:space="preserve">VDB(2400,300,120,1,2,-1)</t>
  </si>
  <si>
    <t xml:space="preserve">VDB(2400,300,120,1,2,2,TRUE)</t>
  </si>
  <si>
    <t xml:space="preserve">VDB(2400,300,120,1,2,1.5,TRUE)</t>
  </si>
  <si>
    <t xml:space="preserve">VDB(2400,300,120,1,2,2,FALSE)</t>
  </si>
  <si>
    <t xml:space="preserve">VDB(2400,300,120,1,2,,TRUE)</t>
  </si>
  <si>
    <t xml:space="preserve">VDB(2400,300,120,0,5)</t>
  </si>
  <si>
    <t xml:space="preserve">VDB(2400,300,120,0,5,1.5)</t>
  </si>
  <si>
    <t xml:space="preserve">VDB(2400,300,120,0,5,2)</t>
  </si>
  <si>
    <t xml:space="preserve">VDB(2400,300,120,0,5,3)</t>
  </si>
  <si>
    <t xml:space="preserve">VDB(2400,300,120,0,5,0)</t>
  </si>
  <si>
    <t xml:space="preserve">VDB(2400,300,120,0,5,-1)</t>
  </si>
  <si>
    <t xml:space="preserve">VDB(2400,300,120,0,5,2,TRUE)</t>
  </si>
  <si>
    <t xml:space="preserve">VDB(2400,300,120,0,5,1.5,TRUE)</t>
  </si>
  <si>
    <t xml:space="preserve">VDB(2400,300,120,0,5,2,FALSE)</t>
  </si>
  <si>
    <t xml:space="preserve">VDB(2400,300,120,0,5,,TRUE)</t>
  </si>
  <si>
    <t xml:space="preserve">VDB(2400,300,120,0.5,1.5)</t>
  </si>
  <si>
    <t xml:space="preserve">VDB(2400,300,120,0.5,1.5,1.5)</t>
  </si>
  <si>
    <t xml:space="preserve">VDB(2400,300,120,0.5,1.5,2)</t>
  </si>
  <si>
    <t xml:space="preserve">VDB(2400,300,120,0.5,1.5,3)</t>
  </si>
  <si>
    <t xml:space="preserve">VDB(2400,300,120,0.5,1.5,0)</t>
  </si>
  <si>
    <t xml:space="preserve">VDB(2400,300,120,0.5,1.5,-1)</t>
  </si>
  <si>
    <t xml:space="preserve">VDB(2400,300,120,0.5,1.5,2,TRUE)</t>
  </si>
  <si>
    <t xml:space="preserve">VDB(2400,300,120,0.5,1.5,1.5,TRUE)</t>
  </si>
  <si>
    <t xml:space="preserve">VDB(2400,300,120,0.5,1.5,2,FALSE)</t>
  </si>
  <si>
    <t xml:space="preserve">VDB(2400,300,120,0.5,1.5,,TRUE)</t>
  </si>
  <si>
    <t xml:space="preserve">VDB(2400,300,120,2,3)</t>
  </si>
  <si>
    <t xml:space="preserve">VDB(2400,300,120,2,3,1.5)</t>
  </si>
  <si>
    <t xml:space="preserve">VDB(2400,300,120,2,3,2)</t>
  </si>
  <si>
    <t xml:space="preserve">VDB(2400,300,120,2,3,3)</t>
  </si>
  <si>
    <t xml:space="preserve">VDB(2400,300,120,2,3,0)</t>
  </si>
  <si>
    <t xml:space="preserve">VDB(2400,300,120,2,3,-1)</t>
  </si>
  <si>
    <t xml:space="preserve">VDB(2400,300,120,2,3,2,TRUE)</t>
  </si>
  <si>
    <t xml:space="preserve">VDB(2400,300,120,2,3,1.5,TRUE)</t>
  </si>
  <si>
    <t xml:space="preserve">VDB(2400,300,120,2,3,2,FALSE)</t>
  </si>
  <si>
    <t xml:space="preserve">VDB(2400,300,120,2,3,,TRUE)</t>
  </si>
  <si>
    <t xml:space="preserve">VDB(2400,300,120,0,120)</t>
  </si>
  <si>
    <t xml:space="preserve">VDB(2400,300,120,0,120,1.5)</t>
  </si>
  <si>
    <t xml:space="preserve">VDB(2400,300,120,0,120,2)</t>
  </si>
  <si>
    <t xml:space="preserve">VDB(2400,300,120,0,120,3)</t>
  </si>
  <si>
    <t xml:space="preserve">VDB(2400,300,120,0,120,0)</t>
  </si>
  <si>
    <t xml:space="preserve">VDB(2400,300,120,0,120,-1)</t>
  </si>
  <si>
    <t xml:space="preserve">VDB(2400,300,120,0,120,2,TRUE)</t>
  </si>
  <si>
    <t xml:space="preserve">VDB(2400,300,120,0,120,1.5,TRUE)</t>
  </si>
  <si>
    <t xml:space="preserve">VDB(2400,300,120,0,120,2,FALSE)</t>
  </si>
  <si>
    <t xml:space="preserve">VDB(2400,300,120,0,120,,TRUE)</t>
  </si>
  <si>
    <t xml:space="preserve">VDB(2400,300,120,119,120)</t>
  </si>
  <si>
    <t xml:space="preserve">VDB(2400,300,120,119,120,1.5)</t>
  </si>
  <si>
    <t xml:space="preserve">VDB(2400,300,120,119,120,2)</t>
  </si>
  <si>
    <t xml:space="preserve">VDB(2400,300,120,119,120,3)</t>
  </si>
  <si>
    <t xml:space="preserve">VDB(2400,300,120,119,120,0)</t>
  </si>
  <si>
    <t xml:space="preserve">VDB(2400,300,120,119,120,-1)</t>
  </si>
  <si>
    <t xml:space="preserve">VDB(2400,300,120,119,120,2,TRUE)</t>
  </si>
  <si>
    <t xml:space="preserve">VDB(2400,300,120,119,120,1.5,TRUE)</t>
  </si>
  <si>
    <t xml:space="preserve">VDB(2400,300,120,119,120,2,FALSE)</t>
  </si>
  <si>
    <t xml:space="preserve">VDB(2400,300,120,119,120,,TRUE)</t>
  </si>
  <si>
    <t xml:space="preserve">VDB(2400,300,120,3.5,4.2)</t>
  </si>
  <si>
    <t xml:space="preserve">VDB(2400,300,120,3.5,4.2,1.5)</t>
  </si>
  <si>
    <t xml:space="preserve">VDB(2400,300,120,3.5,4.2,2)</t>
  </si>
  <si>
    <t xml:space="preserve">VDB(2400,300,120,3.5,4.2,3)</t>
  </si>
  <si>
    <t xml:space="preserve">VDB(2400,300,120,3.5,4.2,0)</t>
  </si>
  <si>
    <t xml:space="preserve">VDB(2400,300,120,3.5,4.2,-1)</t>
  </si>
  <si>
    <t xml:space="preserve">VDB(2400,300,120,3.5,4.2,2,TRUE)</t>
  </si>
  <si>
    <t xml:space="preserve">VDB(2400,300,120,3.5,4.2,1.5,TRUE)</t>
  </si>
  <si>
    <t xml:space="preserve">VDB(2400,300,120,3.5,4.2,2,FALSE)</t>
  </si>
  <si>
    <t xml:space="preserve">VDB(2400,300,120,3.5,4.2,,TRUE)</t>
  </si>
  <si>
    <t xml:space="preserve">VDB(2400,300,120,0,0)</t>
  </si>
  <si>
    <t xml:space="preserve">VDB(2400,300,120,0,0,1.5)</t>
  </si>
  <si>
    <t xml:space="preserve">VDB(2400,300,120,0,0,2)</t>
  </si>
  <si>
    <t xml:space="preserve">VDB(2400,300,120,0,0,3)</t>
  </si>
  <si>
    <t xml:space="preserve">VDB(2400,300,120,0,0,0)</t>
  </si>
  <si>
    <t xml:space="preserve">VDB(2400,300,120,0,0,-1)</t>
  </si>
  <si>
    <t xml:space="preserve">VDB(2400,300,120,0,0,2,TRUE)</t>
  </si>
  <si>
    <t xml:space="preserve">VDB(2400,300,120,0,0,1.5,TRUE)</t>
  </si>
  <si>
    <t xml:space="preserve">VDB(2400,300,120,0,0,2,FALSE)</t>
  </si>
  <si>
    <t xml:space="preserve">VDB(2400,300,120,0,0,,TRUE)</t>
  </si>
  <si>
    <t xml:space="preserve">VDB(2400,300,120,1,1)</t>
  </si>
  <si>
    <t xml:space="preserve">VDB(2400,300,120,1,1,1.5)</t>
  </si>
  <si>
    <t xml:space="preserve">VDB(2400,300,120,1,1,2)</t>
  </si>
  <si>
    <t xml:space="preserve">VDB(2400,300,120,1,1,3)</t>
  </si>
  <si>
    <t xml:space="preserve">VDB(2400,300,120,1,1,0)</t>
  </si>
  <si>
    <t xml:space="preserve">VDB(2400,300,120,1,1,-1)</t>
  </si>
  <si>
    <t xml:space="preserve">VDB(2400,300,120,1,1,2,TRUE)</t>
  </si>
  <si>
    <t xml:space="preserve">VDB(2400,300,120,1,1,1.5,TRUE)</t>
  </si>
  <si>
    <t xml:space="preserve">VDB(2400,300,120,1,1,2,FALSE)</t>
  </si>
  <si>
    <t xml:space="preserve">VDB(2400,300,120,1,1,,TRUE)</t>
  </si>
  <si>
    <t xml:space="preserve">VDB(2400,300,120,2,1)</t>
  </si>
  <si>
    <t xml:space="preserve">VDB(2400,300,120,2,1,1.5)</t>
  </si>
  <si>
    <t xml:space="preserve">VDB(2400,300,120,2,1,2)</t>
  </si>
  <si>
    <t xml:space="preserve">VDB(2400,300,120,2,1,3)</t>
  </si>
  <si>
    <t xml:space="preserve">VDB(2400,300,120,2,1,0)</t>
  </si>
  <si>
    <t xml:space="preserve">VDB(2400,300,120,2,1,-1)</t>
  </si>
  <si>
    <t xml:space="preserve">VDB(2400,300,120,2,1,2,TRUE)</t>
  </si>
  <si>
    <t xml:space="preserve">VDB(2400,300,120,2,1,1.5,TRUE)</t>
  </si>
  <si>
    <t xml:space="preserve">VDB(2400,300,120,2,1,2,FALSE)</t>
  </si>
  <si>
    <t xml:space="preserve">VDB(2400,300,120,2,1,,TRUE)</t>
  </si>
  <si>
    <t xml:space="preserve">VDB(2400,300,120,0,121)</t>
  </si>
  <si>
    <t xml:space="preserve">VDB(2400,300,120,0,121,1.5)</t>
  </si>
  <si>
    <t xml:space="preserve">VDB(2400,300,120,0,121,2)</t>
  </si>
  <si>
    <t xml:space="preserve">VDB(2400,300,120,0,121,3)</t>
  </si>
  <si>
    <t xml:space="preserve">VDB(2400,300,120,0,121,0)</t>
  </si>
  <si>
    <t xml:space="preserve">VDB(2400,300,120,0,121,-1)</t>
  </si>
  <si>
    <t xml:space="preserve">VDB(2400,300,120,0,121,2,TRUE)</t>
  </si>
  <si>
    <t xml:space="preserve">VDB(2400,300,120,0,121,1.5,TRUE)</t>
  </si>
  <si>
    <t xml:space="preserve">VDB(2400,300,120,0,121,2,FALSE)</t>
  </si>
  <si>
    <t xml:space="preserve">VDB(2400,300,120,0,121,,TRUE)</t>
  </si>
  <si>
    <t xml:space="preserve">VDB(2400,300,120,-1,1)</t>
  </si>
  <si>
    <t xml:space="preserve">VDB(2400,300,120,-1,1,1.5)</t>
  </si>
  <si>
    <t xml:space="preserve">VDB(2400,300,120,-1,1,2)</t>
  </si>
  <si>
    <t xml:space="preserve">VDB(2400,300,120,-1,1,3)</t>
  </si>
  <si>
    <t xml:space="preserve">VDB(2400,300,120,-1,1,0)</t>
  </si>
  <si>
    <t xml:space="preserve">VDB(2400,300,120,-1,1,-1)</t>
  </si>
  <si>
    <t xml:space="preserve">VDB(2400,300,120,-1,1,2,TRUE)</t>
  </si>
  <si>
    <t xml:space="preserve">VDB(2400,300,120,-1,1,1.5,TRUE)</t>
  </si>
  <si>
    <t xml:space="preserve">VDB(2400,300,120,-1,1,2,FALSE)</t>
  </si>
  <si>
    <t xml:space="preserve">VDB(2400,300,120,-1,1,,TRUE)</t>
  </si>
  <si>
    <t xml:space="preserve">VDB(2400,300,120,0.25,0.75)</t>
  </si>
  <si>
    <t xml:space="preserve">VDB(2400,300,120,0.25,0.75,1.5)</t>
  </si>
  <si>
    <t xml:space="preserve">VDB(2400,300,120,0.25,0.75,2)</t>
  </si>
  <si>
    <t xml:space="preserve">VDB(2400,300,120,0.25,0.75,3)</t>
  </si>
  <si>
    <t xml:space="preserve">VDB(2400,300,120,0.25,0.75,0)</t>
  </si>
  <si>
    <t xml:space="preserve">VDB(2400,300,120,0.25,0.75,-1)</t>
  </si>
  <si>
    <t xml:space="preserve">VDB(2400,300,120,0.25,0.75,2,TRUE)</t>
  </si>
  <si>
    <t xml:space="preserve">VDB(2400,300,120,0.25,0.75,1.5,TRUE)</t>
  </si>
  <si>
    <t xml:space="preserve">VDB(2400,300,120,0.25,0.75,2,FALSE)</t>
  </si>
  <si>
    <t xml:space="preserve">VDB(2400,300,120,0.25,0.75,,TRUE)</t>
  </si>
  <si>
    <t xml:space="preserve">VDB(2400,300,120,120,120)</t>
  </si>
  <si>
    <t xml:space="preserve">VDB(2400,300,120,120,120,1.5)</t>
  </si>
  <si>
    <t xml:space="preserve">VDB(2400,300,120,120,120,2)</t>
  </si>
  <si>
    <t xml:space="preserve">VDB(2400,300,120,120,120,3)</t>
  </si>
  <si>
    <t xml:space="preserve">VDB(2400,300,120,120,120,0)</t>
  </si>
  <si>
    <t xml:space="preserve">VDB(2400,300,120,120,120,-1)</t>
  </si>
  <si>
    <t xml:space="preserve">VDB(2400,300,120,120,120,2,TRUE)</t>
  </si>
  <si>
    <t xml:space="preserve">VDB(2400,300,120,120,120,1.5,TRUE)</t>
  </si>
  <si>
    <t xml:space="preserve">VDB(2400,300,120,120,120,2,FALSE)</t>
  </si>
  <si>
    <t xml:space="preserve">VDB(2400,300,120,120,120,,TRUE)</t>
  </si>
  <si>
    <t xml:space="preserve">VDB(2400,300,120,1,120)</t>
  </si>
  <si>
    <t xml:space="preserve">VDB(2400,300,120,1,120,1.5)</t>
  </si>
  <si>
    <t xml:space="preserve">VDB(2400,300,120,1,120,2)</t>
  </si>
  <si>
    <t xml:space="preserve">VDB(2400,300,120,1,120,3)</t>
  </si>
  <si>
    <t xml:space="preserve">VDB(2400,300,120,1,120,0)</t>
  </si>
  <si>
    <t xml:space="preserve">VDB(2400,300,120,1,120,-1)</t>
  </si>
  <si>
    <t xml:space="preserve">VDB(2400,300,120,1,120,2,TRUE)</t>
  </si>
  <si>
    <t xml:space="preserve">VDB(2400,300,120,1,120,1.5,TRUE)</t>
  </si>
  <si>
    <t xml:space="preserve">VDB(2400,300,120,1,120,2,FALSE)</t>
  </si>
  <si>
    <t xml:space="preserve">VDB(2400,300,120,1,120,,TRUE)</t>
  </si>
  <si>
    <t xml:space="preserve">VDB(1000,0,5,0,1)</t>
  </si>
  <si>
    <t xml:space="preserve">VDB(1000,0,5,0,1,1.5)</t>
  </si>
  <si>
    <t xml:space="preserve">VDB(1000,0,5,0,1,2)</t>
  </si>
  <si>
    <t xml:space="preserve">VDB(1000,0,5,0,1,3)</t>
  </si>
  <si>
    <t xml:space="preserve">VDB(1000,0,5,0,1,0)</t>
  </si>
  <si>
    <t xml:space="preserve">VDB(1000,0,5,0,1,-1)</t>
  </si>
  <si>
    <t xml:space="preserve">VDB(1000,0,5,0,1,2,TRUE)</t>
  </si>
  <si>
    <t xml:space="preserve">VDB(1000,0,5,0,1,1.5,TRUE)</t>
  </si>
  <si>
    <t xml:space="preserve">VDB(1000,0,5,0,1,2,FALSE)</t>
  </si>
  <si>
    <t xml:space="preserve">VDB(1000,0,5,0,1,,TRUE)</t>
  </si>
  <si>
    <t xml:space="preserve">VDB(1000,0,5,1,2)</t>
  </si>
  <si>
    <t xml:space="preserve">VDB(1000,0,5,1,2,1.5)</t>
  </si>
  <si>
    <t xml:space="preserve">VDB(1000,0,5,1,2,2)</t>
  </si>
  <si>
    <t xml:space="preserve">VDB(1000,0,5,1,2,3)</t>
  </si>
  <si>
    <t xml:space="preserve">VDB(1000,0,5,1,2,0)</t>
  </si>
  <si>
    <t xml:space="preserve">VDB(1000,0,5,1,2,-1)</t>
  </si>
  <si>
    <t xml:space="preserve">VDB(1000,0,5,1,2,2,TRUE)</t>
  </si>
  <si>
    <t xml:space="preserve">VDB(1000,0,5,1,2,1.5,TRUE)</t>
  </si>
  <si>
    <t xml:space="preserve">VDB(1000,0,5,1,2,2,FALSE)</t>
  </si>
  <si>
    <t xml:space="preserve">VDB(1000,0,5,1,2,,TRUE)</t>
  </si>
  <si>
    <t xml:space="preserve">VDB(1000,0,5,0,5)</t>
  </si>
  <si>
    <t xml:space="preserve">VDB(1000,0,5,0,5,1.5)</t>
  </si>
  <si>
    <t xml:space="preserve">VDB(1000,0,5,0,5,2)</t>
  </si>
  <si>
    <t xml:space="preserve">VDB(1000,0,5,0,5,3)</t>
  </si>
  <si>
    <t xml:space="preserve">VDB(1000,0,5,0,5,0)</t>
  </si>
  <si>
    <t xml:space="preserve">VDB(1000,0,5,0,5,-1)</t>
  </si>
  <si>
    <t xml:space="preserve">VDB(1000,0,5,0,5,2,TRUE)</t>
  </si>
  <si>
    <t xml:space="preserve">VDB(1000,0,5,0,5,1.5,TRUE)</t>
  </si>
  <si>
    <t xml:space="preserve">VDB(1000,0,5,0,5,2,FALSE)</t>
  </si>
  <si>
    <t xml:space="preserve">VDB(1000,0,5,0,5,,TRUE)</t>
  </si>
  <si>
    <t xml:space="preserve">VDB(1000,0,5,0.5,1.5)</t>
  </si>
  <si>
    <t xml:space="preserve">VDB(1000,0,5,0.5,1.5,1.5)</t>
  </si>
  <si>
    <t xml:space="preserve">VDB(1000,0,5,0.5,1.5,2)</t>
  </si>
  <si>
    <t xml:space="preserve">VDB(1000,0,5,0.5,1.5,3)</t>
  </si>
  <si>
    <t xml:space="preserve">VDB(1000,0,5,0.5,1.5,0)</t>
  </si>
  <si>
    <t xml:space="preserve">VDB(1000,0,5,0.5,1.5,-1)</t>
  </si>
  <si>
    <t xml:space="preserve">VDB(1000,0,5,0.5,1.5,2,TRUE)</t>
  </si>
  <si>
    <t xml:space="preserve">VDB(1000,0,5,0.5,1.5,1.5,TRUE)</t>
  </si>
  <si>
    <t xml:space="preserve">VDB(1000,0,5,0.5,1.5,2,FALSE)</t>
  </si>
  <si>
    <t xml:space="preserve">VDB(1000,0,5,0.5,1.5,,TRUE)</t>
  </si>
  <si>
    <t xml:space="preserve">VDB(1000,0,5,2,3)</t>
  </si>
  <si>
    <t xml:space="preserve">VDB(1000,0,5,2,3,1.5)</t>
  </si>
  <si>
    <t xml:space="preserve">VDB(1000,0,5,2,3,2)</t>
  </si>
  <si>
    <t xml:space="preserve">VDB(1000,0,5,2,3,3)</t>
  </si>
  <si>
    <t xml:space="preserve">VDB(1000,0,5,2,3,0)</t>
  </si>
  <si>
    <t xml:space="preserve">VDB(1000,0,5,2,3,-1)</t>
  </si>
  <si>
    <t xml:space="preserve">VDB(1000,0,5,2,3,2,TRUE)</t>
  </si>
  <si>
    <t xml:space="preserve">VDB(1000,0,5,2,3,1.5,TRUE)</t>
  </si>
  <si>
    <t xml:space="preserve">VDB(1000,0,5,2,3,2,FALSE)</t>
  </si>
  <si>
    <t xml:space="preserve">VDB(1000,0,5,2,3,,TRUE)</t>
  </si>
  <si>
    <t xml:space="preserve">VDB(1000,0,5,4,5)</t>
  </si>
  <si>
    <t xml:space="preserve">VDB(1000,0,5,4,5,1.5)</t>
  </si>
  <si>
    <t xml:space="preserve">VDB(1000,0,5,4,5,2)</t>
  </si>
  <si>
    <t xml:space="preserve">VDB(1000,0,5,4,5,3)</t>
  </si>
  <si>
    <t xml:space="preserve">VDB(1000,0,5,4,5,0)</t>
  </si>
  <si>
    <t xml:space="preserve">VDB(1000,0,5,4,5,-1)</t>
  </si>
  <si>
    <t xml:space="preserve">VDB(1000,0,5,4,5,2,TRUE)</t>
  </si>
  <si>
    <t xml:space="preserve">VDB(1000,0,5,4,5,1.5,TRUE)</t>
  </si>
  <si>
    <t xml:space="preserve">VDB(1000,0,5,4,5,2,FALSE)</t>
  </si>
  <si>
    <t xml:space="preserve">VDB(1000,0,5,4,5,,TRUE)</t>
  </si>
  <si>
    <t xml:space="preserve">VDB(1000,0,5,3.5,4.2)</t>
  </si>
  <si>
    <t xml:space="preserve">VDB(1000,0,5,3.5,4.2,1.5)</t>
  </si>
  <si>
    <t xml:space="preserve">VDB(1000,0,5,3.5,4.2,2)</t>
  </si>
  <si>
    <t xml:space="preserve">VDB(1000,0,5,3.5,4.2,3)</t>
  </si>
  <si>
    <t xml:space="preserve">VDB(1000,0,5,3.5,4.2,0)</t>
  </si>
  <si>
    <t xml:space="preserve">VDB(1000,0,5,3.5,4.2,-1)</t>
  </si>
  <si>
    <t xml:space="preserve">VDB(1000,0,5,3.5,4.2,2,TRUE)</t>
  </si>
  <si>
    <t xml:space="preserve">VDB(1000,0,5,3.5,4.2,1.5,TRUE)</t>
  </si>
  <si>
    <t xml:space="preserve">VDB(1000,0,5,3.5,4.2,2,FALSE)</t>
  </si>
  <si>
    <t xml:space="preserve">VDB(1000,0,5,3.5,4.2,,TRUE)</t>
  </si>
  <si>
    <t xml:space="preserve">VDB(1000,0,5,0,0)</t>
  </si>
  <si>
    <t xml:space="preserve">VDB(1000,0,5,0,0,1.5)</t>
  </si>
  <si>
    <t xml:space="preserve">VDB(1000,0,5,0,0,2)</t>
  </si>
  <si>
    <t xml:space="preserve">VDB(1000,0,5,0,0,3)</t>
  </si>
  <si>
    <t xml:space="preserve">VDB(1000,0,5,0,0,0)</t>
  </si>
  <si>
    <t xml:space="preserve">VDB(1000,0,5,0,0,-1)</t>
  </si>
  <si>
    <t xml:space="preserve">VDB(1000,0,5,0,0,2,TRUE)</t>
  </si>
  <si>
    <t xml:space="preserve">VDB(1000,0,5,0,0,1.5,TRUE)</t>
  </si>
  <si>
    <t xml:space="preserve">VDB(1000,0,5,0,0,2,FALSE)</t>
  </si>
  <si>
    <t xml:space="preserve">VDB(1000,0,5,0,0,,TRUE)</t>
  </si>
  <si>
    <t xml:space="preserve">VDB(1000,0,5,1,1)</t>
  </si>
  <si>
    <t xml:space="preserve">VDB(1000,0,5,1,1,1.5)</t>
  </si>
  <si>
    <t xml:space="preserve">VDB(1000,0,5,1,1,2)</t>
  </si>
  <si>
    <t xml:space="preserve">VDB(1000,0,5,1,1,3)</t>
  </si>
  <si>
    <t xml:space="preserve">VDB(1000,0,5,1,1,0)</t>
  </si>
  <si>
    <t xml:space="preserve">VDB(1000,0,5,1,1,-1)</t>
  </si>
  <si>
    <t xml:space="preserve">VDB(1000,0,5,1,1,2,TRUE)</t>
  </si>
  <si>
    <t xml:space="preserve">VDB(1000,0,5,1,1,1.5,TRUE)</t>
  </si>
  <si>
    <t xml:space="preserve">VDB(1000,0,5,1,1,2,FALSE)</t>
  </si>
  <si>
    <t xml:space="preserve">VDB(1000,0,5,1,1,,TRUE)</t>
  </si>
  <si>
    <t xml:space="preserve">VDB(1000,0,5,2,1)</t>
  </si>
  <si>
    <t xml:space="preserve">VDB(1000,0,5,2,1,1.5)</t>
  </si>
  <si>
    <t xml:space="preserve">VDB(1000,0,5,2,1,2)</t>
  </si>
  <si>
    <t xml:space="preserve">VDB(1000,0,5,2,1,3)</t>
  </si>
  <si>
    <t xml:space="preserve">VDB(1000,0,5,2,1,0)</t>
  </si>
  <si>
    <t xml:space="preserve">VDB(1000,0,5,2,1,-1)</t>
  </si>
  <si>
    <t xml:space="preserve">VDB(1000,0,5,2,1,2,TRUE)</t>
  </si>
  <si>
    <t xml:space="preserve">VDB(1000,0,5,2,1,1.5,TRUE)</t>
  </si>
  <si>
    <t xml:space="preserve">VDB(1000,0,5,2,1,2,FALSE)</t>
  </si>
  <si>
    <t xml:space="preserve">VDB(1000,0,5,2,1,,TRUE)</t>
  </si>
  <si>
    <t xml:space="preserve">VDB(1000,0,5,0,6)</t>
  </si>
  <si>
    <t xml:space="preserve">VDB(1000,0,5,0,6,1.5)</t>
  </si>
  <si>
    <t xml:space="preserve">VDB(1000,0,5,0,6,2)</t>
  </si>
  <si>
    <t xml:space="preserve">VDB(1000,0,5,0,6,3)</t>
  </si>
  <si>
    <t xml:space="preserve">VDB(1000,0,5,0,6,0)</t>
  </si>
  <si>
    <t xml:space="preserve">VDB(1000,0,5,0,6,-1)</t>
  </si>
  <si>
    <t xml:space="preserve">VDB(1000,0,5,0,6,2,TRUE)</t>
  </si>
  <si>
    <t xml:space="preserve">VDB(1000,0,5,0,6,1.5,TRUE)</t>
  </si>
  <si>
    <t xml:space="preserve">VDB(1000,0,5,0,6,2,FALSE)</t>
  </si>
  <si>
    <t xml:space="preserve">VDB(1000,0,5,0,6,,TRUE)</t>
  </si>
  <si>
    <t xml:space="preserve">VDB(1000,0,5,-1,1)</t>
  </si>
  <si>
    <t xml:space="preserve">VDB(1000,0,5,-1,1,1.5)</t>
  </si>
  <si>
    <t xml:space="preserve">VDB(1000,0,5,-1,1,2)</t>
  </si>
  <si>
    <t xml:space="preserve">VDB(1000,0,5,-1,1,3)</t>
  </si>
  <si>
    <t xml:space="preserve">VDB(1000,0,5,-1,1,0)</t>
  </si>
  <si>
    <t xml:space="preserve">VDB(1000,0,5,-1,1,-1)</t>
  </si>
  <si>
    <t xml:space="preserve">VDB(1000,0,5,-1,1,2,TRUE)</t>
  </si>
  <si>
    <t xml:space="preserve">VDB(1000,0,5,-1,1,1.5,TRUE)</t>
  </si>
  <si>
    <t xml:space="preserve">VDB(1000,0,5,-1,1,2,FALSE)</t>
  </si>
  <si>
    <t xml:space="preserve">VDB(1000,0,5,-1,1,,TRUE)</t>
  </si>
  <si>
    <t xml:space="preserve">VDB(1000,0,5,0.25,0.75)</t>
  </si>
  <si>
    <t xml:space="preserve">VDB(1000,0,5,0.25,0.75,1.5)</t>
  </si>
  <si>
    <t xml:space="preserve">VDB(1000,0,5,0.25,0.75,2)</t>
  </si>
  <si>
    <t xml:space="preserve">VDB(1000,0,5,0.25,0.75,3)</t>
  </si>
  <si>
    <t xml:space="preserve">VDB(1000,0,5,0.25,0.75,0)</t>
  </si>
  <si>
    <t xml:space="preserve">VDB(1000,0,5,0.25,0.75,-1)</t>
  </si>
  <si>
    <t xml:space="preserve">VDB(1000,0,5,0.25,0.75,2,TRUE)</t>
  </si>
  <si>
    <t xml:space="preserve">VDB(1000,0,5,0.25,0.75,1.5,TRUE)</t>
  </si>
  <si>
    <t xml:space="preserve">VDB(1000,0,5,0.25,0.75,2,FALSE)</t>
  </si>
  <si>
    <t xml:space="preserve">VDB(1000,0,5,0.25,0.75,,TRUE)</t>
  </si>
  <si>
    <t xml:space="preserve">VDB(1000,0,5,5,5)</t>
  </si>
  <si>
    <t xml:space="preserve">VDB(1000,0,5,5,5,1.5)</t>
  </si>
  <si>
    <t xml:space="preserve">VDB(1000,0,5,5,5,2)</t>
  </si>
  <si>
    <t xml:space="preserve">VDB(1000,0,5,5,5,3)</t>
  </si>
  <si>
    <t xml:space="preserve">VDB(1000,0,5,5,5,0)</t>
  </si>
  <si>
    <t xml:space="preserve">VDB(1000,0,5,5,5,-1)</t>
  </si>
  <si>
    <t xml:space="preserve">VDB(1000,0,5,5,5,2,TRUE)</t>
  </si>
  <si>
    <t xml:space="preserve">VDB(1000,0,5,5,5,1.5,TRUE)</t>
  </si>
  <si>
    <t xml:space="preserve">VDB(1000,0,5,5,5,2,FALSE)</t>
  </si>
  <si>
    <t xml:space="preserve">VDB(1000,0,5,5,5,,TRUE)</t>
  </si>
  <si>
    <t xml:space="preserve">VDB(1000,0,5,1,5)</t>
  </si>
  <si>
    <t xml:space="preserve">VDB(1000,0,5,1,5,1.5)</t>
  </si>
  <si>
    <t xml:space="preserve">VDB(1000,0,5,1,5,2)</t>
  </si>
  <si>
    <t xml:space="preserve">VDB(1000,0,5,1,5,3)</t>
  </si>
  <si>
    <t xml:space="preserve">VDB(1000,0,5,1,5,0)</t>
  </si>
  <si>
    <t xml:space="preserve">VDB(1000,0,5,1,5,-1)</t>
  </si>
  <si>
    <t xml:space="preserve">VDB(1000,0,5,1,5,2,TRUE)</t>
  </si>
  <si>
    <t xml:space="preserve">VDB(1000,0,5,1,5,1.5,TRUE)</t>
  </si>
  <si>
    <t xml:space="preserve">VDB(1000,0,5,1,5,2,FALSE)</t>
  </si>
  <si>
    <t xml:space="preserve">VDB(1000,0,5,1,5,,TRUE)</t>
  </si>
  <si>
    <t xml:space="preserve">VDB(1000,100,3,0,1)</t>
  </si>
  <si>
    <t xml:space="preserve">VDB(1000,100,3,0,1,1.5)</t>
  </si>
  <si>
    <t xml:space="preserve">VDB(1000,100,3,0,1,2)</t>
  </si>
  <si>
    <t xml:space="preserve">VDB(1000,100,3,0,1,3)</t>
  </si>
  <si>
    <t xml:space="preserve">VDB(1000,100,3,0,1,0)</t>
  </si>
  <si>
    <t xml:space="preserve">VDB(1000,100,3,0,1,-1)</t>
  </si>
  <si>
    <t xml:space="preserve">VDB(1000,100,3,0,1,2,TRUE)</t>
  </si>
  <si>
    <t xml:space="preserve">VDB(1000,100,3,0,1,1.5,TRUE)</t>
  </si>
  <si>
    <t xml:space="preserve">VDB(1000,100,3,0,1,2,FALSE)</t>
  </si>
  <si>
    <t xml:space="preserve">VDB(1000,100,3,0,1,,TRUE)</t>
  </si>
  <si>
    <t xml:space="preserve">VDB(1000,100,3,1,2)</t>
  </si>
  <si>
    <t xml:space="preserve">VDB(1000,100,3,1,2,1.5)</t>
  </si>
  <si>
    <t xml:space="preserve">VDB(1000,100,3,1,2,2)</t>
  </si>
  <si>
    <t xml:space="preserve">VDB(1000,100,3,1,2,3)</t>
  </si>
  <si>
    <t xml:space="preserve">VDB(1000,100,3,1,2,0)</t>
  </si>
  <si>
    <t xml:space="preserve">VDB(1000,100,3,1,2,-1)</t>
  </si>
  <si>
    <t xml:space="preserve">VDB(1000,100,3,1,2,2,TRUE)</t>
  </si>
  <si>
    <t xml:space="preserve">VDB(1000,100,3,1,2,1.5,TRUE)</t>
  </si>
  <si>
    <t xml:space="preserve">VDB(1000,100,3,1,2,2,FALSE)</t>
  </si>
  <si>
    <t xml:space="preserve">VDB(1000,100,3,1,2,,TRUE)</t>
  </si>
  <si>
    <t xml:space="preserve">VDB(1000,100,3,0,5)</t>
  </si>
  <si>
    <t xml:space="preserve">VDB(1000,100,3,0,5,1.5)</t>
  </si>
  <si>
    <t xml:space="preserve">VDB(1000,100,3,0,5,2)</t>
  </si>
  <si>
    <t xml:space="preserve">VDB(1000,100,3,0,5,3)</t>
  </si>
  <si>
    <t xml:space="preserve">VDB(1000,100,3,0,5,0)</t>
  </si>
  <si>
    <t xml:space="preserve">VDB(1000,100,3,0,5,-1)</t>
  </si>
  <si>
    <t xml:space="preserve">VDB(1000,100,3,0,5,2,TRUE)</t>
  </si>
  <si>
    <t xml:space="preserve">VDB(1000,100,3,0,5,1.5,TRUE)</t>
  </si>
  <si>
    <t xml:space="preserve">VDB(1000,100,3,0,5,2,FALSE)</t>
  </si>
  <si>
    <t xml:space="preserve">VDB(1000,100,3,0,5,,TRUE)</t>
  </si>
  <si>
    <t xml:space="preserve">VDB(1000,100,3,0.5,1.5)</t>
  </si>
  <si>
    <t xml:space="preserve">VDB(1000,100,3,0.5,1.5,1.5)</t>
  </si>
  <si>
    <t xml:space="preserve">VDB(1000,100,3,0.5,1.5,2)</t>
  </si>
  <si>
    <t xml:space="preserve">VDB(1000,100,3,0.5,1.5,3)</t>
  </si>
  <si>
    <t xml:space="preserve">VDB(1000,100,3,0.5,1.5,0)</t>
  </si>
  <si>
    <t xml:space="preserve">VDB(1000,100,3,0.5,1.5,-1)</t>
  </si>
  <si>
    <t xml:space="preserve">VDB(1000,100,3,0.5,1.5,2,TRUE)</t>
  </si>
  <si>
    <t xml:space="preserve">VDB(1000,100,3,0.5,1.5,1.5,TRUE)</t>
  </si>
  <si>
    <t xml:space="preserve">VDB(1000,100,3,0.5,1.5,2,FALSE)</t>
  </si>
  <si>
    <t xml:space="preserve">VDB(1000,100,3,0.5,1.5,,TRUE)</t>
  </si>
  <si>
    <t xml:space="preserve">VDB(1000,100,3,2,3)</t>
  </si>
  <si>
    <t xml:space="preserve">VDB(1000,100,3,2,3,1.5)</t>
  </si>
  <si>
    <t xml:space="preserve">VDB(1000,100,3,2,3,2)</t>
  </si>
  <si>
    <t xml:space="preserve">VDB(1000,100,3,2,3,3)</t>
  </si>
  <si>
    <t xml:space="preserve">VDB(1000,100,3,2,3,0)</t>
  </si>
  <si>
    <t xml:space="preserve">VDB(1000,100,3,2,3,-1)</t>
  </si>
  <si>
    <t xml:space="preserve">VDB(1000,100,3,2,3,2,TRUE)</t>
  </si>
  <si>
    <t xml:space="preserve">VDB(1000,100,3,2,3,1.5,TRUE)</t>
  </si>
  <si>
    <t xml:space="preserve">VDB(1000,100,3,2,3,2,FALSE)</t>
  </si>
  <si>
    <t xml:space="preserve">VDB(1000,100,3,2,3,,TRUE)</t>
  </si>
  <si>
    <t xml:space="preserve">VDB(1000,100,3,0,3)</t>
  </si>
  <si>
    <t xml:space="preserve">VDB(1000,100,3,0,3,1.5)</t>
  </si>
  <si>
    <t xml:space="preserve">VDB(1000,100,3,0,3,2)</t>
  </si>
  <si>
    <t xml:space="preserve">VDB(1000,100,3,0,3,3)</t>
  </si>
  <si>
    <t xml:space="preserve">VDB(1000,100,3,0,3,0)</t>
  </si>
  <si>
    <t xml:space="preserve">VDB(1000,100,3,0,3,-1)</t>
  </si>
  <si>
    <t xml:space="preserve">VDB(1000,100,3,0,3,2,TRUE)</t>
  </si>
  <si>
    <t xml:space="preserve">VDB(1000,100,3,0,3,1.5,TRUE)</t>
  </si>
  <si>
    <t xml:space="preserve">VDB(1000,100,3,0,3,2,FALSE)</t>
  </si>
  <si>
    <t xml:space="preserve">VDB(1000,100,3,0,3,,TRUE)</t>
  </si>
  <si>
    <t xml:space="preserve">VDB(1000,100,3,3.5,4.2)</t>
  </si>
  <si>
    <t xml:space="preserve">VDB(1000,100,3,3.5,4.2,1.5)</t>
  </si>
  <si>
    <t xml:space="preserve">VDB(1000,100,3,3.5,4.2,2)</t>
  </si>
  <si>
    <t xml:space="preserve">VDB(1000,100,3,3.5,4.2,3)</t>
  </si>
  <si>
    <t xml:space="preserve">VDB(1000,100,3,3.5,4.2,0)</t>
  </si>
  <si>
    <t xml:space="preserve">VDB(1000,100,3,3.5,4.2,-1)</t>
  </si>
  <si>
    <t xml:space="preserve">VDB(1000,100,3,3.5,4.2,2,TRUE)</t>
  </si>
  <si>
    <t xml:space="preserve">VDB(1000,100,3,3.5,4.2,1.5,TRUE)</t>
  </si>
  <si>
    <t xml:space="preserve">VDB(1000,100,3,3.5,4.2,2,FALSE)</t>
  </si>
  <si>
    <t xml:space="preserve">VDB(1000,100,3,3.5,4.2,,TRUE)</t>
  </si>
  <si>
    <t xml:space="preserve">VDB(1000,100,3,0,0)</t>
  </si>
  <si>
    <t xml:space="preserve">VDB(1000,100,3,0,0,1.5)</t>
  </si>
  <si>
    <t xml:space="preserve">VDB(1000,100,3,0,0,2)</t>
  </si>
  <si>
    <t xml:space="preserve">VDB(1000,100,3,0,0,3)</t>
  </si>
  <si>
    <t xml:space="preserve">VDB(1000,100,3,0,0,0)</t>
  </si>
  <si>
    <t xml:space="preserve">VDB(1000,100,3,0,0,-1)</t>
  </si>
  <si>
    <t xml:space="preserve">VDB(1000,100,3,0,0,2,TRUE)</t>
  </si>
  <si>
    <t xml:space="preserve">VDB(1000,100,3,0,0,1.5,TRUE)</t>
  </si>
  <si>
    <t xml:space="preserve">VDB(1000,100,3,0,0,2,FALSE)</t>
  </si>
  <si>
    <t xml:space="preserve">VDB(1000,100,3,0,0,,TRUE)</t>
  </si>
  <si>
    <t xml:space="preserve">VDB(1000,100,3,1,1)</t>
  </si>
  <si>
    <t xml:space="preserve">VDB(1000,100,3,1,1,1.5)</t>
  </si>
  <si>
    <t xml:space="preserve">VDB(1000,100,3,1,1,2)</t>
  </si>
  <si>
    <t xml:space="preserve">VDB(1000,100,3,1,1,3)</t>
  </si>
  <si>
    <t xml:space="preserve">VDB(1000,100,3,1,1,0)</t>
  </si>
  <si>
    <t xml:space="preserve">VDB(1000,100,3,1,1,-1)</t>
  </si>
  <si>
    <t xml:space="preserve">VDB(1000,100,3,1,1,2,TRUE)</t>
  </si>
  <si>
    <t xml:space="preserve">VDB(1000,100,3,1,1,1.5,TRUE)</t>
  </si>
  <si>
    <t xml:space="preserve">VDB(1000,100,3,1,1,2,FALSE)</t>
  </si>
  <si>
    <t xml:space="preserve">VDB(1000,100,3,1,1,,TRUE)</t>
  </si>
  <si>
    <t xml:space="preserve">VDB(1000,100,3,2,1)</t>
  </si>
  <si>
    <t xml:space="preserve">VDB(1000,100,3,2,1,1.5)</t>
  </si>
  <si>
    <t xml:space="preserve">VDB(1000,100,3,2,1,2)</t>
  </si>
  <si>
    <t xml:space="preserve">VDB(1000,100,3,2,1,3)</t>
  </si>
  <si>
    <t xml:space="preserve">VDB(1000,100,3,2,1,0)</t>
  </si>
  <si>
    <t xml:space="preserve">VDB(1000,100,3,2,1,-1)</t>
  </si>
  <si>
    <t xml:space="preserve">VDB(1000,100,3,2,1,2,TRUE)</t>
  </si>
  <si>
    <t xml:space="preserve">VDB(1000,100,3,2,1,1.5,TRUE)</t>
  </si>
  <si>
    <t xml:space="preserve">VDB(1000,100,3,2,1,2,FALSE)</t>
  </si>
  <si>
    <t xml:space="preserve">VDB(1000,100,3,2,1,,TRUE)</t>
  </si>
  <si>
    <t xml:space="preserve">VDB(1000,100,3,0,4)</t>
  </si>
  <si>
    <t xml:space="preserve">VDB(1000,100,3,0,4,1.5)</t>
  </si>
  <si>
    <t xml:space="preserve">VDB(1000,100,3,0,4,2)</t>
  </si>
  <si>
    <t xml:space="preserve">VDB(1000,100,3,0,4,3)</t>
  </si>
  <si>
    <t xml:space="preserve">VDB(1000,100,3,0,4,0)</t>
  </si>
  <si>
    <t xml:space="preserve">VDB(1000,100,3,0,4,-1)</t>
  </si>
  <si>
    <t xml:space="preserve">VDB(1000,100,3,0,4,2,TRUE)</t>
  </si>
  <si>
    <t xml:space="preserve">VDB(1000,100,3,0,4,1.5,TRUE)</t>
  </si>
  <si>
    <t xml:space="preserve">VDB(1000,100,3,0,4,2,FALSE)</t>
  </si>
  <si>
    <t xml:space="preserve">VDB(1000,100,3,0,4,,TRUE)</t>
  </si>
  <si>
    <t xml:space="preserve">VDB(1000,100,3,-1,1)</t>
  </si>
  <si>
    <t xml:space="preserve">VDB(1000,100,3,-1,1,1.5)</t>
  </si>
  <si>
    <t xml:space="preserve">VDB(1000,100,3,-1,1,2)</t>
  </si>
  <si>
    <t xml:space="preserve">VDB(1000,100,3,-1,1,3)</t>
  </si>
  <si>
    <t xml:space="preserve">VDB(1000,100,3,-1,1,0)</t>
  </si>
  <si>
    <t xml:space="preserve">VDB(1000,100,3,-1,1,-1)</t>
  </si>
  <si>
    <t xml:space="preserve">VDB(1000,100,3,-1,1,2,TRUE)</t>
  </si>
  <si>
    <t xml:space="preserve">VDB(1000,100,3,-1,1,1.5,TRUE)</t>
  </si>
  <si>
    <t xml:space="preserve">VDB(1000,100,3,-1,1,2,FALSE)</t>
  </si>
  <si>
    <t xml:space="preserve">VDB(1000,100,3,-1,1,,TRUE)</t>
  </si>
  <si>
    <t xml:space="preserve">VDB(1000,100,3,0.25,0.75)</t>
  </si>
  <si>
    <t xml:space="preserve">VDB(1000,100,3,0.25,0.75,1.5)</t>
  </si>
  <si>
    <t xml:space="preserve">VDB(1000,100,3,0.25,0.75,2)</t>
  </si>
  <si>
    <t xml:space="preserve">VDB(1000,100,3,0.25,0.75,3)</t>
  </si>
  <si>
    <t xml:space="preserve">VDB(1000,100,3,0.25,0.75,0)</t>
  </si>
  <si>
    <t xml:space="preserve">VDB(1000,100,3,0.25,0.75,-1)</t>
  </si>
  <si>
    <t xml:space="preserve">VDB(1000,100,3,0.25,0.75,2,TRUE)</t>
  </si>
  <si>
    <t xml:space="preserve">VDB(1000,100,3,0.25,0.75,1.5,TRUE)</t>
  </si>
  <si>
    <t xml:space="preserve">VDB(1000,100,3,0.25,0.75,2,FALSE)</t>
  </si>
  <si>
    <t xml:space="preserve">VDB(1000,100,3,0.25,0.75,,TRUE)</t>
  </si>
  <si>
    <t xml:space="preserve">VDB(1000,100,3,3,3)</t>
  </si>
  <si>
    <t xml:space="preserve">VDB(1000,100,3,3,3,1.5)</t>
  </si>
  <si>
    <t xml:space="preserve">VDB(1000,100,3,3,3,2)</t>
  </si>
  <si>
    <t xml:space="preserve">VDB(1000,100,3,3,3,3)</t>
  </si>
  <si>
    <t xml:space="preserve">VDB(1000,100,3,3,3,0)</t>
  </si>
  <si>
    <t xml:space="preserve">VDB(1000,100,3,3,3,-1)</t>
  </si>
  <si>
    <t xml:space="preserve">VDB(1000,100,3,3,3,2,TRUE)</t>
  </si>
  <si>
    <t xml:space="preserve">VDB(1000,100,3,3,3,1.5,TRUE)</t>
  </si>
  <si>
    <t xml:space="preserve">VDB(1000,100,3,3,3,2,FALSE)</t>
  </si>
  <si>
    <t xml:space="preserve">VDB(1000,100,3,3,3,,TRUE)</t>
  </si>
  <si>
    <t xml:space="preserve">VDB(1000,100,3,1,3)</t>
  </si>
  <si>
    <t xml:space="preserve">VDB(1000,100,3,1,3,1.5)</t>
  </si>
  <si>
    <t xml:space="preserve">VDB(1000,100,3,1,3,2)</t>
  </si>
  <si>
    <t xml:space="preserve">VDB(1000,100,3,1,3,3)</t>
  </si>
  <si>
    <t xml:space="preserve">VDB(1000,100,3,1,3,0)</t>
  </si>
  <si>
    <t xml:space="preserve">VDB(1000,100,3,1,3,-1)</t>
  </si>
  <si>
    <t xml:space="preserve">VDB(1000,100,3,1,3,2,TRUE)</t>
  </si>
  <si>
    <t xml:space="preserve">VDB(1000,100,3,1,3,1.5,TRUE)</t>
  </si>
  <si>
    <t xml:space="preserve">VDB(1000,100,3,1,3,2,FALSE)</t>
  </si>
  <si>
    <t xml:space="preserve">VDB(1000,100,3,1,3,,TRUE)</t>
  </si>
  <si>
    <t xml:space="preserve">VDB(50000,5000,7,0,1)</t>
  </si>
  <si>
    <t xml:space="preserve">VDB(50000,5000,7,0,1,1.5)</t>
  </si>
  <si>
    <t xml:space="preserve">VDB(50000,5000,7,0,1,2)</t>
  </si>
  <si>
    <t xml:space="preserve">VDB(50000,5000,7,0,1,3)</t>
  </si>
  <si>
    <t xml:space="preserve">VDB(50000,5000,7,0,1,0)</t>
  </si>
  <si>
    <t xml:space="preserve">VDB(50000,5000,7,0,1,-1)</t>
  </si>
  <si>
    <t xml:space="preserve">VDB(50000,5000,7,0,1,2,TRUE)</t>
  </si>
  <si>
    <t xml:space="preserve">VDB(50000,5000,7,0,1,1.5,TRUE)</t>
  </si>
  <si>
    <t xml:space="preserve">VDB(50000,5000,7,0,1,2,FALSE)</t>
  </si>
  <si>
    <t xml:space="preserve">VDB(50000,5000,7,0,1,,TRUE)</t>
  </si>
  <si>
    <t xml:space="preserve">VDB(50000,5000,7,1,2)</t>
  </si>
  <si>
    <t xml:space="preserve">VDB(50000,5000,7,1,2,1.5)</t>
  </si>
  <si>
    <t xml:space="preserve">VDB(50000,5000,7,1,2,2)</t>
  </si>
  <si>
    <t xml:space="preserve">VDB(50000,5000,7,1,2,3)</t>
  </si>
  <si>
    <t xml:space="preserve">VDB(50000,5000,7,1,2,0)</t>
  </si>
  <si>
    <t xml:space="preserve">VDB(50000,5000,7,1,2,-1)</t>
  </si>
  <si>
    <t xml:space="preserve">VDB(50000,5000,7,1,2,2,TRUE)</t>
  </si>
  <si>
    <t xml:space="preserve">VDB(50000,5000,7,1,2,1.5,TRUE)</t>
  </si>
  <si>
    <t xml:space="preserve">VDB(50000,5000,7,1,2,2,FALSE)</t>
  </si>
  <si>
    <t xml:space="preserve">VDB(50000,5000,7,1,2,,TRUE)</t>
  </si>
  <si>
    <t xml:space="preserve">VDB(50000,5000,7,0,5)</t>
  </si>
  <si>
    <t xml:space="preserve">VDB(50000,5000,7,0,5,1.5)</t>
  </si>
  <si>
    <t xml:space="preserve">VDB(50000,5000,7,0,5,2)</t>
  </si>
  <si>
    <t xml:space="preserve">VDB(50000,5000,7,0,5,3)</t>
  </si>
  <si>
    <t xml:space="preserve">VDB(50000,5000,7,0,5,0)</t>
  </si>
  <si>
    <t xml:space="preserve">VDB(50000,5000,7,0,5,-1)</t>
  </si>
  <si>
    <t xml:space="preserve">VDB(50000,5000,7,0,5,2,TRUE)</t>
  </si>
  <si>
    <t xml:space="preserve">VDB(50000,5000,7,0,5,1.5,TRUE)</t>
  </si>
  <si>
    <t xml:space="preserve">VDB(50000,5000,7,0,5,2,FALSE)</t>
  </si>
  <si>
    <t xml:space="preserve">VDB(50000,5000,7,0,5,,TRUE)</t>
  </si>
  <si>
    <t xml:space="preserve">VDB(50000,5000,7,0.5,1.5)</t>
  </si>
  <si>
    <t xml:space="preserve">VDB(50000,5000,7,0.5,1.5,1.5)</t>
  </si>
  <si>
    <t xml:space="preserve">VDB(50000,5000,7,0.5,1.5,2)</t>
  </si>
  <si>
    <t xml:space="preserve">VDB(50000,5000,7,0.5,1.5,3)</t>
  </si>
  <si>
    <t xml:space="preserve">VDB(50000,5000,7,0.5,1.5,0)</t>
  </si>
  <si>
    <t xml:space="preserve">VDB(50000,5000,7,0.5,1.5,-1)</t>
  </si>
  <si>
    <t xml:space="preserve">VDB(50000,5000,7,0.5,1.5,2,TRUE)</t>
  </si>
  <si>
    <t xml:space="preserve">VDB(50000,5000,7,0.5,1.5,1.5,TRUE)</t>
  </si>
  <si>
    <t xml:space="preserve">VDB(50000,5000,7,0.5,1.5,2,FALSE)</t>
  </si>
  <si>
    <t xml:space="preserve">VDB(50000,5000,7,0.5,1.5,,TRUE)</t>
  </si>
  <si>
    <t xml:space="preserve">VDB(50000,5000,7,2,3)</t>
  </si>
  <si>
    <t xml:space="preserve">VDB(50000,5000,7,2,3,1.5)</t>
  </si>
  <si>
    <t xml:space="preserve">VDB(50000,5000,7,2,3,2)</t>
  </si>
  <si>
    <t xml:space="preserve">VDB(50000,5000,7,2,3,3)</t>
  </si>
  <si>
    <t xml:space="preserve">VDB(50000,5000,7,2,3,0)</t>
  </si>
  <si>
    <t xml:space="preserve">VDB(50000,5000,7,2,3,-1)</t>
  </si>
  <si>
    <t xml:space="preserve">VDB(50000,5000,7,2,3,2,TRUE)</t>
  </si>
  <si>
    <t xml:space="preserve">VDB(50000,5000,7,2,3,1.5,TRUE)</t>
  </si>
  <si>
    <t xml:space="preserve">VDB(50000,5000,7,2,3,2,FALSE)</t>
  </si>
  <si>
    <t xml:space="preserve">VDB(50000,5000,7,2,3,,TRUE)</t>
  </si>
  <si>
    <t xml:space="preserve">VDB(50000,5000,7,0,7)</t>
  </si>
  <si>
    <t xml:space="preserve">VDB(50000,5000,7,0,7,1.5)</t>
  </si>
  <si>
    <t xml:space="preserve">VDB(50000,5000,7,0,7,2)</t>
  </si>
  <si>
    <t xml:space="preserve">VDB(50000,5000,7,0,7,3)</t>
  </si>
  <si>
    <t xml:space="preserve">VDB(50000,5000,7,0,7,0)</t>
  </si>
  <si>
    <t xml:space="preserve">VDB(50000,5000,7,0,7,-1)</t>
  </si>
  <si>
    <t xml:space="preserve">VDB(50000,5000,7,0,7,2,TRUE)</t>
  </si>
  <si>
    <t xml:space="preserve">VDB(50000,5000,7,0,7,1.5,TRUE)</t>
  </si>
  <si>
    <t xml:space="preserve">VDB(50000,5000,7,0,7,2,FALSE)</t>
  </si>
  <si>
    <t xml:space="preserve">VDB(50000,5000,7,0,7,,TRUE)</t>
  </si>
  <si>
    <t xml:space="preserve">VDB(50000,5000,7,6,7)</t>
  </si>
  <si>
    <t xml:space="preserve">VDB(50000,5000,7,6,7,1.5)</t>
  </si>
  <si>
    <t xml:space="preserve">VDB(50000,5000,7,6,7,2)</t>
  </si>
  <si>
    <t xml:space="preserve">VDB(50000,5000,7,6,7,3)</t>
  </si>
  <si>
    <t xml:space="preserve">VDB(50000,5000,7,6,7,0)</t>
  </si>
  <si>
    <t xml:space="preserve">VDB(50000,5000,7,6,7,-1)</t>
  </si>
  <si>
    <t xml:space="preserve">VDB(50000,5000,7,6,7,2,TRUE)</t>
  </si>
  <si>
    <t xml:space="preserve">VDB(50000,5000,7,6,7,1.5,TRUE)</t>
  </si>
  <si>
    <t xml:space="preserve">VDB(50000,5000,7,6,7,2,FALSE)</t>
  </si>
  <si>
    <t xml:space="preserve">VDB(50000,5000,7,6,7,,TRUE)</t>
  </si>
  <si>
    <t xml:space="preserve">VDB(50000,5000,7,3.5,4.2)</t>
  </si>
  <si>
    <t xml:space="preserve">VDB(50000,5000,7,3.5,4.2,1.5)</t>
  </si>
  <si>
    <t xml:space="preserve">VDB(50000,5000,7,3.5,4.2,2)</t>
  </si>
  <si>
    <t xml:space="preserve">VDB(50000,5000,7,3.5,4.2,3)</t>
  </si>
  <si>
    <t xml:space="preserve">VDB(50000,5000,7,3.5,4.2,0)</t>
  </si>
  <si>
    <t xml:space="preserve">VDB(50000,5000,7,3.5,4.2,-1)</t>
  </si>
  <si>
    <t xml:space="preserve">VDB(50000,5000,7,3.5,4.2,2,TRUE)</t>
  </si>
  <si>
    <t xml:space="preserve">VDB(50000,5000,7,3.5,4.2,1.5,TRUE)</t>
  </si>
  <si>
    <t xml:space="preserve">VDB(50000,5000,7,3.5,4.2,2,FALSE)</t>
  </si>
  <si>
    <t xml:space="preserve">VDB(50000,5000,7,3.5,4.2,,TRUE)</t>
  </si>
  <si>
    <t xml:space="preserve">VDB(50000,5000,7,0,0)</t>
  </si>
  <si>
    <t xml:space="preserve">VDB(50000,5000,7,0,0,1.5)</t>
  </si>
  <si>
    <t xml:space="preserve">VDB(50000,5000,7,0,0,2)</t>
  </si>
  <si>
    <t xml:space="preserve">VDB(50000,5000,7,0,0,3)</t>
  </si>
  <si>
    <t xml:space="preserve">VDB(50000,5000,7,0,0,0)</t>
  </si>
  <si>
    <t xml:space="preserve">VDB(50000,5000,7,0,0,-1)</t>
  </si>
  <si>
    <t xml:space="preserve">VDB(50000,5000,7,0,0,2,TRUE)</t>
  </si>
  <si>
    <t xml:space="preserve">VDB(50000,5000,7,0,0,1.5,TRUE)</t>
  </si>
  <si>
    <t xml:space="preserve">VDB(50000,5000,7,0,0,2,FALSE)</t>
  </si>
  <si>
    <t xml:space="preserve">VDB(50000,5000,7,0,0,,TRUE)</t>
  </si>
  <si>
    <t xml:space="preserve">VDB(50000,5000,7,1,1)</t>
  </si>
  <si>
    <t xml:space="preserve">VDB(50000,5000,7,1,1,1.5)</t>
  </si>
  <si>
    <t xml:space="preserve">VDB(50000,5000,7,1,1,2)</t>
  </si>
  <si>
    <t xml:space="preserve">VDB(50000,5000,7,1,1,3)</t>
  </si>
  <si>
    <t xml:space="preserve">VDB(50000,5000,7,1,1,0)</t>
  </si>
  <si>
    <t xml:space="preserve">VDB(50000,5000,7,1,1,-1)</t>
  </si>
  <si>
    <t xml:space="preserve">VDB(50000,5000,7,1,1,2,TRUE)</t>
  </si>
  <si>
    <t xml:space="preserve">VDB(50000,5000,7,1,1,1.5,TRUE)</t>
  </si>
  <si>
    <t xml:space="preserve">VDB(50000,5000,7,1,1,2,FALSE)</t>
  </si>
  <si>
    <t xml:space="preserve">VDB(50000,5000,7,1,1,,TRUE)</t>
  </si>
  <si>
    <t xml:space="preserve">VDB(50000,5000,7,2,1)</t>
  </si>
  <si>
    <t xml:space="preserve">VDB(50000,5000,7,2,1,1.5)</t>
  </si>
  <si>
    <t xml:space="preserve">VDB(50000,5000,7,2,1,2)</t>
  </si>
  <si>
    <t xml:space="preserve">VDB(50000,5000,7,2,1,3)</t>
  </si>
  <si>
    <t xml:space="preserve">VDB(50000,5000,7,2,1,0)</t>
  </si>
  <si>
    <t xml:space="preserve">VDB(50000,5000,7,2,1,-1)</t>
  </si>
  <si>
    <t xml:space="preserve">VDB(50000,5000,7,2,1,2,TRUE)</t>
  </si>
  <si>
    <t xml:space="preserve">VDB(50000,5000,7,2,1,1.5,TRUE)</t>
  </si>
  <si>
    <t xml:space="preserve">VDB(50000,5000,7,2,1,2,FALSE)</t>
  </si>
  <si>
    <t xml:space="preserve">VDB(50000,5000,7,2,1,,TRUE)</t>
  </si>
  <si>
    <t xml:space="preserve">VDB(50000,5000,7,0,8)</t>
  </si>
  <si>
    <t xml:space="preserve">VDB(50000,5000,7,0,8,1.5)</t>
  </si>
  <si>
    <t xml:space="preserve">VDB(50000,5000,7,0,8,2)</t>
  </si>
  <si>
    <t xml:space="preserve">VDB(50000,5000,7,0,8,3)</t>
  </si>
  <si>
    <t xml:space="preserve">VDB(50000,5000,7,0,8,0)</t>
  </si>
  <si>
    <t xml:space="preserve">VDB(50000,5000,7,0,8,-1)</t>
  </si>
  <si>
    <t xml:space="preserve">VDB(50000,5000,7,0,8,2,TRUE)</t>
  </si>
  <si>
    <t xml:space="preserve">VDB(50000,5000,7,0,8,1.5,TRUE)</t>
  </si>
  <si>
    <t xml:space="preserve">VDB(50000,5000,7,0,8,2,FALSE)</t>
  </si>
  <si>
    <t xml:space="preserve">VDB(50000,5000,7,0,8,,TRUE)</t>
  </si>
  <si>
    <t xml:space="preserve">VDB(50000,5000,7,-1,1)</t>
  </si>
  <si>
    <t xml:space="preserve">VDB(50000,5000,7,-1,1,1.5)</t>
  </si>
  <si>
    <t xml:space="preserve">VDB(50000,5000,7,-1,1,2)</t>
  </si>
  <si>
    <t xml:space="preserve">VDB(50000,5000,7,-1,1,3)</t>
  </si>
  <si>
    <t xml:space="preserve">VDB(50000,5000,7,-1,1,0)</t>
  </si>
  <si>
    <t xml:space="preserve">VDB(50000,5000,7,-1,1,-1)</t>
  </si>
  <si>
    <t xml:space="preserve">VDB(50000,5000,7,-1,1,2,TRUE)</t>
  </si>
  <si>
    <t xml:space="preserve">VDB(50000,5000,7,-1,1,1.5,TRUE)</t>
  </si>
  <si>
    <t xml:space="preserve">VDB(50000,5000,7,-1,1,2,FALSE)</t>
  </si>
  <si>
    <t xml:space="preserve">VDB(50000,5000,7,-1,1,,TRUE)</t>
  </si>
  <si>
    <t xml:space="preserve">VDB(50000,5000,7,0.25,0.75)</t>
  </si>
  <si>
    <t xml:space="preserve">VDB(50000,5000,7,0.25,0.75,1.5)</t>
  </si>
  <si>
    <t xml:space="preserve">VDB(50000,5000,7,0.25,0.75,2)</t>
  </si>
  <si>
    <t xml:space="preserve">VDB(50000,5000,7,0.25,0.75,3)</t>
  </si>
  <si>
    <t xml:space="preserve">VDB(50000,5000,7,0.25,0.75,0)</t>
  </si>
  <si>
    <t xml:space="preserve">VDB(50000,5000,7,0.25,0.75,-1)</t>
  </si>
  <si>
    <t xml:space="preserve">VDB(50000,5000,7,0.25,0.75,2,TRUE)</t>
  </si>
  <si>
    <t xml:space="preserve">VDB(50000,5000,7,0.25,0.75,1.5,TRUE)</t>
  </si>
  <si>
    <t xml:space="preserve">VDB(50000,5000,7,0.25,0.75,2,FALSE)</t>
  </si>
  <si>
    <t xml:space="preserve">VDB(50000,5000,7,0.25,0.75,,TRUE)</t>
  </si>
  <si>
    <t xml:space="preserve">VDB(50000,5000,7,7,7)</t>
  </si>
  <si>
    <t xml:space="preserve">VDB(50000,5000,7,7,7,1.5)</t>
  </si>
  <si>
    <t xml:space="preserve">VDB(50000,5000,7,7,7,2)</t>
  </si>
  <si>
    <t xml:space="preserve">VDB(50000,5000,7,7,7,3)</t>
  </si>
  <si>
    <t xml:space="preserve">VDB(50000,5000,7,7,7,0)</t>
  </si>
  <si>
    <t xml:space="preserve">VDB(50000,5000,7,7,7,-1)</t>
  </si>
  <si>
    <t xml:space="preserve">VDB(50000,5000,7,7,7,2,TRUE)</t>
  </si>
  <si>
    <t xml:space="preserve">VDB(50000,5000,7,7,7,1.5,TRUE)</t>
  </si>
  <si>
    <t xml:space="preserve">VDB(50000,5000,7,7,7,2,FALSE)</t>
  </si>
  <si>
    <t xml:space="preserve">VDB(50000,5000,7,7,7,,TRUE)</t>
  </si>
  <si>
    <t xml:space="preserve">VDB(50000,5000,7,1,7)</t>
  </si>
  <si>
    <t xml:space="preserve">VDB(50000,5000,7,1,7,1.5)</t>
  </si>
  <si>
    <t xml:space="preserve">VDB(50000,5000,7,1,7,2)</t>
  </si>
  <si>
    <t xml:space="preserve">VDB(50000,5000,7,1,7,3)</t>
  </si>
  <si>
    <t xml:space="preserve">VDB(50000,5000,7,1,7,0)</t>
  </si>
  <si>
    <t xml:space="preserve">VDB(50000,5000,7,1,7,-1)</t>
  </si>
  <si>
    <t xml:space="preserve">VDB(50000,5000,7,1,7,2,TRUE)</t>
  </si>
  <si>
    <t xml:space="preserve">VDB(50000,5000,7,1,7,1.5,TRUE)</t>
  </si>
  <si>
    <t xml:space="preserve">VDB(50000,5000,7,1,7,2,FALSE)</t>
  </si>
  <si>
    <t xml:space="preserve">VDB(50000,5000,7,1,7,,TRUE)</t>
  </si>
  <si>
    <t xml:space="preserve">VDB(100,100,4,0,1)</t>
  </si>
  <si>
    <t xml:space="preserve">VDB(100,100,4,0,1,1.5)</t>
  </si>
  <si>
    <t xml:space="preserve">VDB(100,100,4,0,1,2)</t>
  </si>
  <si>
    <t xml:space="preserve">VDB(100,100,4,0,1,3)</t>
  </si>
  <si>
    <t xml:space="preserve">VDB(100,100,4,0,1,0)</t>
  </si>
  <si>
    <t xml:space="preserve">VDB(100,100,4,0,1,-1)</t>
  </si>
  <si>
    <t xml:space="preserve">VDB(100,100,4,0,1,2,TRUE)</t>
  </si>
  <si>
    <t xml:space="preserve">VDB(100,100,4,0,1,1.5,TRUE)</t>
  </si>
  <si>
    <t xml:space="preserve">VDB(100,100,4,0,1,2,FALSE)</t>
  </si>
  <si>
    <t xml:space="preserve">VDB(100,100,4,0,1,,TRUE)</t>
  </si>
  <si>
    <t xml:space="preserve">VDB(100,100,4,1,2)</t>
  </si>
  <si>
    <t xml:space="preserve">VDB(100,100,4,1,2,1.5)</t>
  </si>
  <si>
    <t xml:space="preserve">VDB(100,100,4,1,2,2)</t>
  </si>
  <si>
    <t xml:space="preserve">VDB(100,100,4,1,2,3)</t>
  </si>
  <si>
    <t xml:space="preserve">VDB(100,100,4,1,2,0)</t>
  </si>
  <si>
    <t xml:space="preserve">VDB(100,100,4,1,2,-1)</t>
  </si>
  <si>
    <t xml:space="preserve">VDB(100,100,4,1,2,2,TRUE)</t>
  </si>
  <si>
    <t xml:space="preserve">VDB(100,100,4,1,2,1.5,TRUE)</t>
  </si>
  <si>
    <t xml:space="preserve">VDB(100,100,4,1,2,2,FALSE)</t>
  </si>
  <si>
    <t xml:space="preserve">VDB(100,100,4,1,2,,TRUE)</t>
  </si>
  <si>
    <t xml:space="preserve">VDB(100,100,4,0,5)</t>
  </si>
  <si>
    <t xml:space="preserve">VDB(100,100,4,0,5,1.5)</t>
  </si>
  <si>
    <t xml:space="preserve">VDB(100,100,4,0,5,2)</t>
  </si>
  <si>
    <t xml:space="preserve">VDB(100,100,4,0,5,3)</t>
  </si>
  <si>
    <t xml:space="preserve">VDB(100,100,4,0,5,0)</t>
  </si>
  <si>
    <t xml:space="preserve">VDB(100,100,4,0,5,-1)</t>
  </si>
  <si>
    <t xml:space="preserve">VDB(100,100,4,0,5,2,TRUE)</t>
  </si>
  <si>
    <t xml:space="preserve">VDB(100,100,4,0,5,1.5,TRUE)</t>
  </si>
  <si>
    <t xml:space="preserve">VDB(100,100,4,0,5,2,FALSE)</t>
  </si>
  <si>
    <t xml:space="preserve">VDB(100,100,4,0,5,,TRUE)</t>
  </si>
  <si>
    <t xml:space="preserve">VDB(100,100,4,0.5,1.5)</t>
  </si>
  <si>
    <t xml:space="preserve">VDB(100,100,4,0.5,1.5,1.5)</t>
  </si>
  <si>
    <t xml:space="preserve">VDB(100,100,4,0.5,1.5,2)</t>
  </si>
  <si>
    <t xml:space="preserve">VDB(100,100,4,0.5,1.5,3)</t>
  </si>
  <si>
    <t xml:space="preserve">VDB(100,100,4,0.5,1.5,0)</t>
  </si>
  <si>
    <t xml:space="preserve">VDB(100,100,4,0.5,1.5,-1)</t>
  </si>
  <si>
    <t xml:space="preserve">VDB(100,100,4,0.5,1.5,2,TRUE)</t>
  </si>
  <si>
    <t xml:space="preserve">VDB(100,100,4,0.5,1.5,1.5,TRUE)</t>
  </si>
  <si>
    <t xml:space="preserve">VDB(100,100,4,0.5,1.5,2,FALSE)</t>
  </si>
  <si>
    <t xml:space="preserve">VDB(100,100,4,0.5,1.5,,TRUE)</t>
  </si>
  <si>
    <t xml:space="preserve">VDB(100,100,4,2,3)</t>
  </si>
  <si>
    <t xml:space="preserve">VDB(100,100,4,2,3,1.5)</t>
  </si>
  <si>
    <t xml:space="preserve">VDB(100,100,4,2,3,2)</t>
  </si>
  <si>
    <t xml:space="preserve">VDB(100,100,4,2,3,3)</t>
  </si>
  <si>
    <t xml:space="preserve">VDB(100,100,4,2,3,0)</t>
  </si>
  <si>
    <t xml:space="preserve">VDB(100,100,4,2,3,-1)</t>
  </si>
  <si>
    <t xml:space="preserve">VDB(100,100,4,2,3,2,TRUE)</t>
  </si>
  <si>
    <t xml:space="preserve">VDB(100,100,4,2,3,1.5,TRUE)</t>
  </si>
  <si>
    <t xml:space="preserve">VDB(100,100,4,2,3,2,FALSE)</t>
  </si>
  <si>
    <t xml:space="preserve">VDB(100,100,4,2,3,,TRUE)</t>
  </si>
  <si>
    <t xml:space="preserve">VDB(100,100,4,0,4)</t>
  </si>
  <si>
    <t xml:space="preserve">VDB(100,100,4,0,4,1.5)</t>
  </si>
  <si>
    <t xml:space="preserve">VDB(100,100,4,0,4,2)</t>
  </si>
  <si>
    <t xml:space="preserve">VDB(100,100,4,0,4,3)</t>
  </si>
  <si>
    <t xml:space="preserve">VDB(100,100,4,0,4,0)</t>
  </si>
  <si>
    <t xml:space="preserve">VDB(100,100,4,0,4,-1)</t>
  </si>
  <si>
    <t xml:space="preserve">VDB(100,100,4,0,4,2,TRUE)</t>
  </si>
  <si>
    <t xml:space="preserve">VDB(100,100,4,0,4,1.5,TRUE)</t>
  </si>
  <si>
    <t xml:space="preserve">VDB(100,100,4,0,4,2,FALSE)</t>
  </si>
  <si>
    <t xml:space="preserve">VDB(100,100,4,0,4,,TRUE)</t>
  </si>
  <si>
    <t xml:space="preserve">VDB(100,100,4,3,4)</t>
  </si>
  <si>
    <t xml:space="preserve">VDB(100,100,4,3,4,1.5)</t>
  </si>
  <si>
    <t xml:space="preserve">VDB(100,100,4,3,4,2)</t>
  </si>
  <si>
    <t xml:space="preserve">VDB(100,100,4,3,4,3)</t>
  </si>
  <si>
    <t xml:space="preserve">VDB(100,100,4,3,4,0)</t>
  </si>
  <si>
    <t xml:space="preserve">VDB(100,100,4,3,4,-1)</t>
  </si>
  <si>
    <t xml:space="preserve">VDB(100,100,4,3,4,2,TRUE)</t>
  </si>
  <si>
    <t xml:space="preserve">VDB(100,100,4,3,4,1.5,TRUE)</t>
  </si>
  <si>
    <t xml:space="preserve">VDB(100,100,4,3,4,2,FALSE)</t>
  </si>
  <si>
    <t xml:space="preserve">VDB(100,100,4,3,4,,TRUE)</t>
  </si>
  <si>
    <t xml:space="preserve">VDB(100,100,4,3.5,4.2)</t>
  </si>
  <si>
    <t xml:space="preserve">VDB(100,100,4,3.5,4.2,1.5)</t>
  </si>
  <si>
    <t xml:space="preserve">VDB(100,100,4,3.5,4.2,2)</t>
  </si>
  <si>
    <t xml:space="preserve">VDB(100,100,4,3.5,4.2,3)</t>
  </si>
  <si>
    <t xml:space="preserve">VDB(100,100,4,3.5,4.2,0)</t>
  </si>
  <si>
    <t xml:space="preserve">VDB(100,100,4,3.5,4.2,-1)</t>
  </si>
  <si>
    <t xml:space="preserve">VDB(100,100,4,3.5,4.2,2,TRUE)</t>
  </si>
  <si>
    <t xml:space="preserve">VDB(100,100,4,3.5,4.2,1.5,TRUE)</t>
  </si>
  <si>
    <t xml:space="preserve">VDB(100,100,4,3.5,4.2,2,FALSE)</t>
  </si>
  <si>
    <t xml:space="preserve">VDB(100,100,4,3.5,4.2,,TRUE)</t>
  </si>
  <si>
    <t xml:space="preserve">VDB(100,100,4,0,0)</t>
  </si>
  <si>
    <t xml:space="preserve">VDB(100,100,4,0,0,1.5)</t>
  </si>
  <si>
    <t xml:space="preserve">VDB(100,100,4,0,0,2)</t>
  </si>
  <si>
    <t xml:space="preserve">VDB(100,100,4,0,0,3)</t>
  </si>
  <si>
    <t xml:space="preserve">VDB(100,100,4,0,0,0)</t>
  </si>
  <si>
    <t xml:space="preserve">VDB(100,100,4,0,0,-1)</t>
  </si>
  <si>
    <t xml:space="preserve">VDB(100,100,4,0,0,2,TRUE)</t>
  </si>
  <si>
    <t xml:space="preserve">VDB(100,100,4,0,0,1.5,TRUE)</t>
  </si>
  <si>
    <t xml:space="preserve">VDB(100,100,4,0,0,2,FALSE)</t>
  </si>
  <si>
    <t xml:space="preserve">VDB(100,100,4,0,0,,TRUE)</t>
  </si>
  <si>
    <t xml:space="preserve">VDB(100,100,4,1,1)</t>
  </si>
  <si>
    <t xml:space="preserve">VDB(100,100,4,1,1,1.5)</t>
  </si>
  <si>
    <t xml:space="preserve">VDB(100,100,4,1,1,2)</t>
  </si>
  <si>
    <t xml:space="preserve">VDB(100,100,4,1,1,3)</t>
  </si>
  <si>
    <t xml:space="preserve">VDB(100,100,4,1,1,0)</t>
  </si>
  <si>
    <t xml:space="preserve">VDB(100,100,4,1,1,-1)</t>
  </si>
  <si>
    <t xml:space="preserve">VDB(100,100,4,1,1,2,TRUE)</t>
  </si>
  <si>
    <t xml:space="preserve">VDB(100,100,4,1,1,1.5,TRUE)</t>
  </si>
  <si>
    <t xml:space="preserve">VDB(100,100,4,1,1,2,FALSE)</t>
  </si>
  <si>
    <t xml:space="preserve">VDB(100,100,4,1,1,,TRUE)</t>
  </si>
  <si>
    <t xml:space="preserve">VDB(100,100,4,2,1)</t>
  </si>
  <si>
    <t xml:space="preserve">VDB(100,100,4,2,1,1.5)</t>
  </si>
  <si>
    <t xml:space="preserve">VDB(100,100,4,2,1,2)</t>
  </si>
  <si>
    <t xml:space="preserve">VDB(100,100,4,2,1,3)</t>
  </si>
  <si>
    <t xml:space="preserve">VDB(100,100,4,2,1,0)</t>
  </si>
  <si>
    <t xml:space="preserve">VDB(100,100,4,2,1,-1)</t>
  </si>
  <si>
    <t xml:space="preserve">VDB(100,100,4,2,1,2,TRUE)</t>
  </si>
  <si>
    <t xml:space="preserve">VDB(100,100,4,2,1,1.5,TRUE)</t>
  </si>
  <si>
    <t xml:space="preserve">VDB(100,100,4,2,1,2,FALSE)</t>
  </si>
  <si>
    <t xml:space="preserve">VDB(100,100,4,2,1,,TRUE)</t>
  </si>
  <si>
    <t xml:space="preserve">VDB(100,100,4,-1,1)</t>
  </si>
  <si>
    <t xml:space="preserve">VDB(100,100,4,-1,1,1.5)</t>
  </si>
  <si>
    <t xml:space="preserve">VDB(100,100,4,-1,1,2)</t>
  </si>
  <si>
    <t xml:space="preserve">VDB(100,100,4,-1,1,3)</t>
  </si>
  <si>
    <t xml:space="preserve">VDB(100,100,4,-1,1,0)</t>
  </si>
  <si>
    <t xml:space="preserve">VDB(100,100,4,-1,1,-1)</t>
  </si>
  <si>
    <t xml:space="preserve">VDB(100,100,4,-1,1,2,TRUE)</t>
  </si>
  <si>
    <t xml:space="preserve">VDB(100,100,4,-1,1,1.5,TRUE)</t>
  </si>
  <si>
    <t xml:space="preserve">VDB(100,100,4,-1,1,2,FALSE)</t>
  </si>
  <si>
    <t xml:space="preserve">VDB(100,100,4,-1,1,,TRUE)</t>
  </si>
  <si>
    <t xml:space="preserve">VDB(100,100,4,0.25,0.75)</t>
  </si>
  <si>
    <t xml:space="preserve">VDB(100,100,4,0.25,0.75,1.5)</t>
  </si>
  <si>
    <t xml:space="preserve">VDB(100,100,4,0.25,0.75,2)</t>
  </si>
  <si>
    <t xml:space="preserve">VDB(100,100,4,0.25,0.75,3)</t>
  </si>
  <si>
    <t xml:space="preserve">VDB(100,100,4,0.25,0.75,0)</t>
  </si>
  <si>
    <t xml:space="preserve">VDB(100,100,4,0.25,0.75,-1)</t>
  </si>
  <si>
    <t xml:space="preserve">VDB(100,100,4,0.25,0.75,2,TRUE)</t>
  </si>
  <si>
    <t xml:space="preserve">VDB(100,100,4,0.25,0.75,1.5,TRUE)</t>
  </si>
  <si>
    <t xml:space="preserve">VDB(100,100,4,0.25,0.75,2,FALSE)</t>
  </si>
  <si>
    <t xml:space="preserve">VDB(100,100,4,0.25,0.75,,TRUE)</t>
  </si>
  <si>
    <t xml:space="preserve">VDB(100,100,4,4,4)</t>
  </si>
  <si>
    <t xml:space="preserve">VDB(100,100,4,4,4,1.5)</t>
  </si>
  <si>
    <t xml:space="preserve">VDB(100,100,4,4,4,2)</t>
  </si>
  <si>
    <t xml:space="preserve">VDB(100,100,4,4,4,3)</t>
  </si>
  <si>
    <t xml:space="preserve">VDB(100,100,4,4,4,0)</t>
  </si>
  <si>
    <t xml:space="preserve">VDB(100,100,4,4,4,-1)</t>
  </si>
  <si>
    <t xml:space="preserve">VDB(100,100,4,4,4,2,TRUE)</t>
  </si>
  <si>
    <t xml:space="preserve">VDB(100,100,4,4,4,1.5,TRUE)</t>
  </si>
  <si>
    <t xml:space="preserve">VDB(100,100,4,4,4,2,FALSE)</t>
  </si>
  <si>
    <t xml:space="preserve">VDB(100,100,4,4,4,,TRUE)</t>
  </si>
  <si>
    <t xml:space="preserve">VDB(100,100,4,1,4)</t>
  </si>
  <si>
    <t xml:space="preserve">VDB(100,100,4,1,4,1.5)</t>
  </si>
  <si>
    <t xml:space="preserve">VDB(100,100,4,1,4,2)</t>
  </si>
  <si>
    <t xml:space="preserve">VDB(100,100,4,1,4,3)</t>
  </si>
  <si>
    <t xml:space="preserve">VDB(100,100,4,1,4,0)</t>
  </si>
  <si>
    <t xml:space="preserve">VDB(100,100,4,1,4,-1)</t>
  </si>
  <si>
    <t xml:space="preserve">VDB(100,100,4,1,4,2,TRUE)</t>
  </si>
  <si>
    <t xml:space="preserve">VDB(100,100,4,1,4,1.5,TRUE)</t>
  </si>
  <si>
    <t xml:space="preserve">VDB(100,100,4,1,4,2,FALSE)</t>
  </si>
  <si>
    <t xml:space="preserve">VDB(100,100,4,1,4,,TRUE)</t>
  </si>
  <si>
    <t xml:space="preserve">VDB(100,150,4,0,1)</t>
  </si>
  <si>
    <t xml:space="preserve">VDB(100,150,4,0,1,1.5)</t>
  </si>
  <si>
    <t xml:space="preserve">VDB(100,150,4,0,1,2)</t>
  </si>
  <si>
    <t xml:space="preserve">VDB(100,150,4,0,1,3)</t>
  </si>
  <si>
    <t xml:space="preserve">VDB(100,150,4,0,1,0)</t>
  </si>
  <si>
    <t xml:space="preserve">VDB(100,150,4,0,1,-1)</t>
  </si>
  <si>
    <t xml:space="preserve">VDB(100,150,4,0,1,2,TRUE)</t>
  </si>
  <si>
    <t xml:space="preserve">VDB(100,150,4,0,1,1.5,TRUE)</t>
  </si>
  <si>
    <t xml:space="preserve">VDB(100,150,4,0,1,2,FALSE)</t>
  </si>
  <si>
    <t xml:space="preserve">VDB(100,150,4,0,1,,TRUE)</t>
  </si>
  <si>
    <t xml:space="preserve">VDB(100,150,4,1,2)</t>
  </si>
  <si>
    <t xml:space="preserve">VDB(100,150,4,1,2,1.5)</t>
  </si>
  <si>
    <t xml:space="preserve">VDB(100,150,4,1,2,2)</t>
  </si>
  <si>
    <t xml:space="preserve">VDB(100,150,4,1,2,3)</t>
  </si>
  <si>
    <t xml:space="preserve">VDB(100,150,4,1,2,0)</t>
  </si>
  <si>
    <t xml:space="preserve">VDB(100,150,4,1,2,-1)</t>
  </si>
  <si>
    <t xml:space="preserve">VDB(100,150,4,1,2,2,TRUE)</t>
  </si>
  <si>
    <t xml:space="preserve">VDB(100,150,4,1,2,1.5,TRUE)</t>
  </si>
  <si>
    <t xml:space="preserve">VDB(100,150,4,1,2,2,FALSE)</t>
  </si>
  <si>
    <t xml:space="preserve">VDB(100,150,4,1,2,,TRUE)</t>
  </si>
  <si>
    <t xml:space="preserve">VDB(100,150,4,0,5)</t>
  </si>
  <si>
    <t xml:space="preserve">VDB(100,150,4,0,5,1.5)</t>
  </si>
  <si>
    <t xml:space="preserve">VDB(100,150,4,0,5,2)</t>
  </si>
  <si>
    <t xml:space="preserve">VDB(100,150,4,0,5,3)</t>
  </si>
  <si>
    <t xml:space="preserve">VDB(100,150,4,0,5,0)</t>
  </si>
  <si>
    <t xml:space="preserve">VDB(100,150,4,0,5,-1)</t>
  </si>
  <si>
    <t xml:space="preserve">VDB(100,150,4,0,5,2,TRUE)</t>
  </si>
  <si>
    <t xml:space="preserve">VDB(100,150,4,0,5,1.5,TRUE)</t>
  </si>
  <si>
    <t xml:space="preserve">VDB(100,150,4,0,5,2,FALSE)</t>
  </si>
  <si>
    <t xml:space="preserve">VDB(100,150,4,0,5,,TRUE)</t>
  </si>
  <si>
    <t xml:space="preserve">VDB(100,150,4,0.5,1.5)</t>
  </si>
  <si>
    <t xml:space="preserve">VDB(100,150,4,0.5,1.5,1.5)</t>
  </si>
  <si>
    <t xml:space="preserve">VDB(100,150,4,0.5,1.5,2)</t>
  </si>
  <si>
    <t xml:space="preserve">VDB(100,150,4,0.5,1.5,3)</t>
  </si>
  <si>
    <t xml:space="preserve">VDB(100,150,4,0.5,1.5,0)</t>
  </si>
  <si>
    <t xml:space="preserve">VDB(100,150,4,0.5,1.5,-1)</t>
  </si>
  <si>
    <t xml:space="preserve">VDB(100,150,4,0.5,1.5,2,TRUE)</t>
  </si>
  <si>
    <t xml:space="preserve">VDB(100,150,4,0.5,1.5,1.5,TRUE)</t>
  </si>
  <si>
    <t xml:space="preserve">VDB(100,150,4,0.5,1.5,2,FALSE)</t>
  </si>
  <si>
    <t xml:space="preserve">VDB(100,150,4,0.5,1.5,,TRUE)</t>
  </si>
  <si>
    <t xml:space="preserve">VDB(100,150,4,2,3)</t>
  </si>
  <si>
    <t xml:space="preserve">VDB(100,150,4,2,3,1.5)</t>
  </si>
  <si>
    <t xml:space="preserve">VDB(100,150,4,2,3,2)</t>
  </si>
  <si>
    <t xml:space="preserve">VDB(100,150,4,2,3,3)</t>
  </si>
  <si>
    <t xml:space="preserve">VDB(100,150,4,2,3,0)</t>
  </si>
  <si>
    <t xml:space="preserve">VDB(100,150,4,2,3,-1)</t>
  </si>
  <si>
    <t xml:space="preserve">VDB(100,150,4,2,3,2,TRUE)</t>
  </si>
  <si>
    <t xml:space="preserve">VDB(100,150,4,2,3,1.5,TRUE)</t>
  </si>
  <si>
    <t xml:space="preserve">VDB(100,150,4,2,3,2,FALSE)</t>
  </si>
  <si>
    <t xml:space="preserve">VDB(100,150,4,2,3,,TRUE)</t>
  </si>
  <si>
    <t xml:space="preserve">VDB(100,150,4,0,4)</t>
  </si>
  <si>
    <t xml:space="preserve">VDB(100,150,4,0,4,1.5)</t>
  </si>
  <si>
    <t xml:space="preserve">VDB(100,150,4,0,4,2)</t>
  </si>
  <si>
    <t xml:space="preserve">VDB(100,150,4,0,4,3)</t>
  </si>
  <si>
    <t xml:space="preserve">VDB(100,150,4,0,4,0)</t>
  </si>
  <si>
    <t xml:space="preserve">VDB(100,150,4,0,4,-1)</t>
  </si>
  <si>
    <t xml:space="preserve">VDB(100,150,4,0,4,2,TRUE)</t>
  </si>
  <si>
    <t xml:space="preserve">VDB(100,150,4,0,4,1.5,TRUE)</t>
  </si>
  <si>
    <t xml:space="preserve">VDB(100,150,4,0,4,2,FALSE)</t>
  </si>
  <si>
    <t xml:space="preserve">VDB(100,150,4,0,4,,TRUE)</t>
  </si>
  <si>
    <t xml:space="preserve">VDB(100,150,4,3,4)</t>
  </si>
  <si>
    <t xml:space="preserve">VDB(100,150,4,3,4,1.5)</t>
  </si>
  <si>
    <t xml:space="preserve">VDB(100,150,4,3,4,2)</t>
  </si>
  <si>
    <t xml:space="preserve">VDB(100,150,4,3,4,3)</t>
  </si>
  <si>
    <t xml:space="preserve">VDB(100,150,4,3,4,0)</t>
  </si>
  <si>
    <t xml:space="preserve">VDB(100,150,4,3,4,-1)</t>
  </si>
  <si>
    <t xml:space="preserve">VDB(100,150,4,3,4,2,TRUE)</t>
  </si>
  <si>
    <t xml:space="preserve">VDB(100,150,4,3,4,1.5,TRUE)</t>
  </si>
  <si>
    <t xml:space="preserve">VDB(100,150,4,3,4,2,FALSE)</t>
  </si>
  <si>
    <t xml:space="preserve">VDB(100,150,4,3,4,,TRUE)</t>
  </si>
  <si>
    <t xml:space="preserve">VDB(100,150,4,3.5,4.2)</t>
  </si>
  <si>
    <t xml:space="preserve">VDB(100,150,4,3.5,4.2,1.5)</t>
  </si>
  <si>
    <t xml:space="preserve">VDB(100,150,4,3.5,4.2,2)</t>
  </si>
  <si>
    <t xml:space="preserve">VDB(100,150,4,3.5,4.2,3)</t>
  </si>
  <si>
    <t xml:space="preserve">VDB(100,150,4,3.5,4.2,0)</t>
  </si>
  <si>
    <t xml:space="preserve">VDB(100,150,4,3.5,4.2,-1)</t>
  </si>
  <si>
    <t xml:space="preserve">VDB(100,150,4,3.5,4.2,2,TRUE)</t>
  </si>
  <si>
    <t xml:space="preserve">VDB(100,150,4,3.5,4.2,1.5,TRUE)</t>
  </si>
  <si>
    <t xml:space="preserve">VDB(100,150,4,3.5,4.2,2,FALSE)</t>
  </si>
  <si>
    <t xml:space="preserve">VDB(100,150,4,3.5,4.2,,TRUE)</t>
  </si>
  <si>
    <t xml:space="preserve">VDB(100,150,4,0,0)</t>
  </si>
  <si>
    <t xml:space="preserve">VDB(100,150,4,0,0,1.5)</t>
  </si>
  <si>
    <t xml:space="preserve">VDB(100,150,4,0,0,2)</t>
  </si>
  <si>
    <t xml:space="preserve">VDB(100,150,4,0,0,3)</t>
  </si>
  <si>
    <t xml:space="preserve">VDB(100,150,4,0,0,0)</t>
  </si>
  <si>
    <t xml:space="preserve">VDB(100,150,4,0,0,-1)</t>
  </si>
  <si>
    <t xml:space="preserve">VDB(100,150,4,0,0,2,TRUE)</t>
  </si>
  <si>
    <t xml:space="preserve">VDB(100,150,4,0,0,1.5,TRUE)</t>
  </si>
  <si>
    <t xml:space="preserve">VDB(100,150,4,0,0,2,FALSE)</t>
  </si>
  <si>
    <t xml:space="preserve">VDB(100,150,4,0,0,,TRUE)</t>
  </si>
  <si>
    <t xml:space="preserve">VDB(100,150,4,1,1)</t>
  </si>
  <si>
    <t xml:space="preserve">VDB(100,150,4,1,1,1.5)</t>
  </si>
  <si>
    <t xml:space="preserve">VDB(100,150,4,1,1,2)</t>
  </si>
  <si>
    <t xml:space="preserve">VDB(100,150,4,1,1,3)</t>
  </si>
  <si>
    <t xml:space="preserve">VDB(100,150,4,1,1,0)</t>
  </si>
  <si>
    <t xml:space="preserve">VDB(100,150,4,1,1,-1)</t>
  </si>
  <si>
    <t xml:space="preserve">VDB(100,150,4,1,1,2,TRUE)</t>
  </si>
  <si>
    <t xml:space="preserve">VDB(100,150,4,1,1,1.5,TRUE)</t>
  </si>
  <si>
    <t xml:space="preserve">VDB(100,150,4,1,1,2,FALSE)</t>
  </si>
  <si>
    <t xml:space="preserve">VDB(100,150,4,1,1,,TRUE)</t>
  </si>
  <si>
    <t xml:space="preserve">VDB(100,150,4,2,1)</t>
  </si>
  <si>
    <t xml:space="preserve">VDB(100,150,4,2,1,1.5)</t>
  </si>
  <si>
    <t xml:space="preserve">VDB(100,150,4,2,1,2)</t>
  </si>
  <si>
    <t xml:space="preserve">VDB(100,150,4,2,1,3)</t>
  </si>
  <si>
    <t xml:space="preserve">VDB(100,150,4,2,1,0)</t>
  </si>
  <si>
    <t xml:space="preserve">VDB(100,150,4,2,1,-1)</t>
  </si>
  <si>
    <t xml:space="preserve">VDB(100,150,4,2,1,2,TRUE)</t>
  </si>
  <si>
    <t xml:space="preserve">VDB(100,150,4,2,1,1.5,TRUE)</t>
  </si>
  <si>
    <t xml:space="preserve">VDB(100,150,4,2,1,2,FALSE)</t>
  </si>
  <si>
    <t xml:space="preserve">VDB(100,150,4,2,1,,TRUE)</t>
  </si>
  <si>
    <t xml:space="preserve">VDB(100,150,4,-1,1)</t>
  </si>
  <si>
    <t xml:space="preserve">VDB(100,150,4,-1,1,1.5)</t>
  </si>
  <si>
    <t xml:space="preserve">VDB(100,150,4,-1,1,2)</t>
  </si>
  <si>
    <t xml:space="preserve">VDB(100,150,4,-1,1,3)</t>
  </si>
  <si>
    <t xml:space="preserve">VDB(100,150,4,-1,1,0)</t>
  </si>
  <si>
    <t xml:space="preserve">VDB(100,150,4,-1,1,-1)</t>
  </si>
  <si>
    <t xml:space="preserve">VDB(100,150,4,-1,1,2,TRUE)</t>
  </si>
  <si>
    <t xml:space="preserve">VDB(100,150,4,-1,1,1.5,TRUE)</t>
  </si>
  <si>
    <t xml:space="preserve">VDB(100,150,4,-1,1,2,FALSE)</t>
  </si>
  <si>
    <t xml:space="preserve">VDB(100,150,4,-1,1,,TRUE)</t>
  </si>
  <si>
    <t xml:space="preserve">VDB(100,150,4,0.25,0.75)</t>
  </si>
  <si>
    <t xml:space="preserve">VDB(100,150,4,0.25,0.75,1.5)</t>
  </si>
  <si>
    <t xml:space="preserve">VDB(100,150,4,0.25,0.75,2)</t>
  </si>
  <si>
    <t xml:space="preserve">VDB(100,150,4,0.25,0.75,3)</t>
  </si>
  <si>
    <t xml:space="preserve">VDB(100,150,4,0.25,0.75,0)</t>
  </si>
  <si>
    <t xml:space="preserve">VDB(100,150,4,0.25,0.75,-1)</t>
  </si>
  <si>
    <t xml:space="preserve">VDB(100,150,4,0.25,0.75,2,TRUE)</t>
  </si>
  <si>
    <t xml:space="preserve">VDB(100,150,4,0.25,0.75,1.5,TRUE)</t>
  </si>
  <si>
    <t xml:space="preserve">VDB(100,150,4,0.25,0.75,2,FALSE)</t>
  </si>
  <si>
    <t xml:space="preserve">VDB(100,150,4,0.25,0.75,,TRUE)</t>
  </si>
  <si>
    <t xml:space="preserve">VDB(100,150,4,4,4)</t>
  </si>
  <si>
    <t xml:space="preserve">VDB(100,150,4,4,4,1.5)</t>
  </si>
  <si>
    <t xml:space="preserve">VDB(100,150,4,4,4,2)</t>
  </si>
  <si>
    <t xml:space="preserve">VDB(100,150,4,4,4,3)</t>
  </si>
  <si>
    <t xml:space="preserve">VDB(100,150,4,4,4,0)</t>
  </si>
  <si>
    <t xml:space="preserve">VDB(100,150,4,4,4,-1)</t>
  </si>
  <si>
    <t xml:space="preserve">VDB(100,150,4,4,4,2,TRUE)</t>
  </si>
  <si>
    <t xml:space="preserve">VDB(100,150,4,4,4,1.5,TRUE)</t>
  </si>
  <si>
    <t xml:space="preserve">VDB(100,150,4,4,4,2,FALSE)</t>
  </si>
  <si>
    <t xml:space="preserve">VDB(100,150,4,4,4,,TRUE)</t>
  </si>
  <si>
    <t xml:space="preserve">VDB(100,150,4,1,4)</t>
  </si>
  <si>
    <t xml:space="preserve">VDB(100,150,4,1,4,1.5)</t>
  </si>
  <si>
    <t xml:space="preserve">VDB(100,150,4,1,4,2)</t>
  </si>
  <si>
    <t xml:space="preserve">VDB(100,150,4,1,4,3)</t>
  </si>
  <si>
    <t xml:space="preserve">VDB(100,150,4,1,4,0)</t>
  </si>
  <si>
    <t xml:space="preserve">VDB(100,150,4,1,4,-1)</t>
  </si>
  <si>
    <t xml:space="preserve">VDB(100,150,4,1,4,2,TRUE)</t>
  </si>
  <si>
    <t xml:space="preserve">VDB(100,150,4,1,4,1.5,TRUE)</t>
  </si>
  <si>
    <t xml:space="preserve">VDB(100,150,4,1,4,2,FALSE)</t>
  </si>
  <si>
    <t xml:space="preserve">VDB(100,150,4,1,4,,TRUE)</t>
  </si>
  <si>
    <t xml:space="preserve">VDB(0,0,5,0,1)</t>
  </si>
  <si>
    <t xml:space="preserve">VDB(0,0,5,0,1,1.5)</t>
  </si>
  <si>
    <t xml:space="preserve">VDB(0,0,5,0,1,2)</t>
  </si>
  <si>
    <t xml:space="preserve">VDB(0,0,5,0,1,3)</t>
  </si>
  <si>
    <t xml:space="preserve">VDB(0,0,5,0,1,0)</t>
  </si>
  <si>
    <t xml:space="preserve">VDB(0,0,5,0,1,-1)</t>
  </si>
  <si>
    <t xml:space="preserve">VDB(0,0,5,0,1,2,TRUE)</t>
  </si>
  <si>
    <t xml:space="preserve">VDB(0,0,5,0,1,1.5,TRUE)</t>
  </si>
  <si>
    <t xml:space="preserve">VDB(0,0,5,0,1,2,FALSE)</t>
  </si>
  <si>
    <t xml:space="preserve">VDB(0,0,5,0,1,,TRUE)</t>
  </si>
  <si>
    <t xml:space="preserve">VDB(0,0,5,1,2)</t>
  </si>
  <si>
    <t xml:space="preserve">VDB(0,0,5,1,2,1.5)</t>
  </si>
  <si>
    <t xml:space="preserve">VDB(0,0,5,1,2,2)</t>
  </si>
  <si>
    <t xml:space="preserve">VDB(0,0,5,1,2,3)</t>
  </si>
  <si>
    <t xml:space="preserve">VDB(0,0,5,1,2,0)</t>
  </si>
  <si>
    <t xml:space="preserve">VDB(0,0,5,1,2,-1)</t>
  </si>
  <si>
    <t xml:space="preserve">VDB(0,0,5,1,2,2,TRUE)</t>
  </si>
  <si>
    <t xml:space="preserve">VDB(0,0,5,1,2,1.5,TRUE)</t>
  </si>
  <si>
    <t xml:space="preserve">VDB(0,0,5,1,2,2,FALSE)</t>
  </si>
  <si>
    <t xml:space="preserve">VDB(0,0,5,1,2,,TRUE)</t>
  </si>
  <si>
    <t xml:space="preserve">VDB(0,0,5,0,5)</t>
  </si>
  <si>
    <t xml:space="preserve">VDB(0,0,5,0,5,1.5)</t>
  </si>
  <si>
    <t xml:space="preserve">VDB(0,0,5,0,5,2)</t>
  </si>
  <si>
    <t xml:space="preserve">VDB(0,0,5,0,5,3)</t>
  </si>
  <si>
    <t xml:space="preserve">VDB(0,0,5,0,5,0)</t>
  </si>
  <si>
    <t xml:space="preserve">VDB(0,0,5,0,5,-1)</t>
  </si>
  <si>
    <t xml:space="preserve">VDB(0,0,5,0,5,2,TRUE)</t>
  </si>
  <si>
    <t xml:space="preserve">VDB(0,0,5,0,5,1.5,TRUE)</t>
  </si>
  <si>
    <t xml:space="preserve">VDB(0,0,5,0,5,2,FALSE)</t>
  </si>
  <si>
    <t xml:space="preserve">VDB(0,0,5,0,5,,TRUE)</t>
  </si>
  <si>
    <t xml:space="preserve">VDB(0,0,5,0.5,1.5)</t>
  </si>
  <si>
    <t xml:space="preserve">VDB(0,0,5,0.5,1.5,1.5)</t>
  </si>
  <si>
    <t xml:space="preserve">VDB(0,0,5,0.5,1.5,2)</t>
  </si>
  <si>
    <t xml:space="preserve">VDB(0,0,5,0.5,1.5,3)</t>
  </si>
  <si>
    <t xml:space="preserve">VDB(0,0,5,0.5,1.5,0)</t>
  </si>
  <si>
    <t xml:space="preserve">VDB(0,0,5,0.5,1.5,-1)</t>
  </si>
  <si>
    <t xml:space="preserve">VDB(0,0,5,0.5,1.5,2,TRUE)</t>
  </si>
  <si>
    <t xml:space="preserve">VDB(0,0,5,0.5,1.5,1.5,TRUE)</t>
  </si>
  <si>
    <t xml:space="preserve">VDB(0,0,5,0.5,1.5,2,FALSE)</t>
  </si>
  <si>
    <t xml:space="preserve">VDB(0,0,5,0.5,1.5,,TRUE)</t>
  </si>
  <si>
    <t xml:space="preserve">VDB(0,0,5,2,3)</t>
  </si>
  <si>
    <t xml:space="preserve">VDB(0,0,5,2,3,1.5)</t>
  </si>
  <si>
    <t xml:space="preserve">VDB(0,0,5,2,3,2)</t>
  </si>
  <si>
    <t xml:space="preserve">VDB(0,0,5,2,3,3)</t>
  </si>
  <si>
    <t xml:space="preserve">VDB(0,0,5,2,3,0)</t>
  </si>
  <si>
    <t xml:space="preserve">VDB(0,0,5,2,3,-1)</t>
  </si>
  <si>
    <t xml:space="preserve">VDB(0,0,5,2,3,2,TRUE)</t>
  </si>
  <si>
    <t xml:space="preserve">VDB(0,0,5,2,3,1.5,TRUE)</t>
  </si>
  <si>
    <t xml:space="preserve">VDB(0,0,5,2,3,2,FALSE)</t>
  </si>
  <si>
    <t xml:space="preserve">VDB(0,0,5,2,3,,TRUE)</t>
  </si>
  <si>
    <t xml:space="preserve">VDB(0,0,5,4,5)</t>
  </si>
  <si>
    <t xml:space="preserve">VDB(0,0,5,4,5,1.5)</t>
  </si>
  <si>
    <t xml:space="preserve">VDB(0,0,5,4,5,2)</t>
  </si>
  <si>
    <t xml:space="preserve">VDB(0,0,5,4,5,3)</t>
  </si>
  <si>
    <t xml:space="preserve">VDB(0,0,5,4,5,0)</t>
  </si>
  <si>
    <t xml:space="preserve">VDB(0,0,5,4,5,-1)</t>
  </si>
  <si>
    <t xml:space="preserve">VDB(0,0,5,4,5,2,TRUE)</t>
  </si>
  <si>
    <t xml:space="preserve">VDB(0,0,5,4,5,1.5,TRUE)</t>
  </si>
  <si>
    <t xml:space="preserve">VDB(0,0,5,4,5,2,FALSE)</t>
  </si>
  <si>
    <t xml:space="preserve">VDB(0,0,5,4,5,,TRUE)</t>
  </si>
  <si>
    <t xml:space="preserve">VDB(0,0,5,3.5,4.2)</t>
  </si>
  <si>
    <t xml:space="preserve">VDB(0,0,5,3.5,4.2,1.5)</t>
  </si>
  <si>
    <t xml:space="preserve">VDB(0,0,5,3.5,4.2,2)</t>
  </si>
  <si>
    <t xml:space="preserve">VDB(0,0,5,3.5,4.2,3)</t>
  </si>
  <si>
    <t xml:space="preserve">VDB(0,0,5,3.5,4.2,0)</t>
  </si>
  <si>
    <t xml:space="preserve">VDB(0,0,5,3.5,4.2,-1)</t>
  </si>
  <si>
    <t xml:space="preserve">VDB(0,0,5,3.5,4.2,2,TRUE)</t>
  </si>
  <si>
    <t xml:space="preserve">VDB(0,0,5,3.5,4.2,1.5,TRUE)</t>
  </si>
  <si>
    <t xml:space="preserve">VDB(0,0,5,3.5,4.2,2,FALSE)</t>
  </si>
  <si>
    <t xml:space="preserve">VDB(0,0,5,3.5,4.2,,TRUE)</t>
  </si>
  <si>
    <t xml:space="preserve">VDB(0,0,5,0,0)</t>
  </si>
  <si>
    <t xml:space="preserve">VDB(0,0,5,0,0,1.5)</t>
  </si>
  <si>
    <t xml:space="preserve">VDB(0,0,5,0,0,2)</t>
  </si>
  <si>
    <t xml:space="preserve">VDB(0,0,5,0,0,3)</t>
  </si>
  <si>
    <t xml:space="preserve">VDB(0,0,5,0,0,0)</t>
  </si>
  <si>
    <t xml:space="preserve">VDB(0,0,5,0,0,-1)</t>
  </si>
  <si>
    <t xml:space="preserve">VDB(0,0,5,0,0,2,TRUE)</t>
  </si>
  <si>
    <t xml:space="preserve">VDB(0,0,5,0,0,1.5,TRUE)</t>
  </si>
  <si>
    <t xml:space="preserve">VDB(0,0,5,0,0,2,FALSE)</t>
  </si>
  <si>
    <t xml:space="preserve">VDB(0,0,5,0,0,,TRUE)</t>
  </si>
  <si>
    <t xml:space="preserve">VDB(0,0,5,1,1)</t>
  </si>
  <si>
    <t xml:space="preserve">VDB(0,0,5,1,1,1.5)</t>
  </si>
  <si>
    <t xml:space="preserve">VDB(0,0,5,1,1,2)</t>
  </si>
  <si>
    <t xml:space="preserve">VDB(0,0,5,1,1,3)</t>
  </si>
  <si>
    <t xml:space="preserve">VDB(0,0,5,1,1,0)</t>
  </si>
  <si>
    <t xml:space="preserve">VDB(0,0,5,1,1,-1)</t>
  </si>
  <si>
    <t xml:space="preserve">VDB(0,0,5,1,1,2,TRUE)</t>
  </si>
  <si>
    <t xml:space="preserve">VDB(0,0,5,1,1,1.5,TRUE)</t>
  </si>
  <si>
    <t xml:space="preserve">VDB(0,0,5,1,1,2,FALSE)</t>
  </si>
  <si>
    <t xml:space="preserve">VDB(0,0,5,1,1,,TRUE)</t>
  </si>
  <si>
    <t xml:space="preserve">VDB(0,0,5,2,1)</t>
  </si>
  <si>
    <t xml:space="preserve">VDB(0,0,5,2,1,1.5)</t>
  </si>
  <si>
    <t xml:space="preserve">VDB(0,0,5,2,1,2)</t>
  </si>
  <si>
    <t xml:space="preserve">VDB(0,0,5,2,1,3)</t>
  </si>
  <si>
    <t xml:space="preserve">VDB(0,0,5,2,1,0)</t>
  </si>
  <si>
    <t xml:space="preserve">VDB(0,0,5,2,1,-1)</t>
  </si>
  <si>
    <t xml:space="preserve">VDB(0,0,5,2,1,2,TRUE)</t>
  </si>
  <si>
    <t xml:space="preserve">VDB(0,0,5,2,1,1.5,TRUE)</t>
  </si>
  <si>
    <t xml:space="preserve">VDB(0,0,5,2,1,2,FALSE)</t>
  </si>
  <si>
    <t xml:space="preserve">VDB(0,0,5,2,1,,TRUE)</t>
  </si>
  <si>
    <t xml:space="preserve">VDB(0,0,5,0,6)</t>
  </si>
  <si>
    <t xml:space="preserve">VDB(0,0,5,0,6,1.5)</t>
  </si>
  <si>
    <t xml:space="preserve">VDB(0,0,5,0,6,2)</t>
  </si>
  <si>
    <t xml:space="preserve">VDB(0,0,5,0,6,3)</t>
  </si>
  <si>
    <t xml:space="preserve">VDB(0,0,5,0,6,0)</t>
  </si>
  <si>
    <t xml:space="preserve">VDB(0,0,5,0,6,-1)</t>
  </si>
  <si>
    <t xml:space="preserve">VDB(0,0,5,0,6,2,TRUE)</t>
  </si>
  <si>
    <t xml:space="preserve">VDB(0,0,5,0,6,1.5,TRUE)</t>
  </si>
  <si>
    <t xml:space="preserve">VDB(0,0,5,0,6,2,FALSE)</t>
  </si>
  <si>
    <t xml:space="preserve">VDB(0,0,5,0,6,,TRUE)</t>
  </si>
  <si>
    <t xml:space="preserve">VDB(0,0,5,-1,1)</t>
  </si>
  <si>
    <t xml:space="preserve">VDB(0,0,5,-1,1,1.5)</t>
  </si>
  <si>
    <t xml:space="preserve">VDB(0,0,5,-1,1,2)</t>
  </si>
  <si>
    <t xml:space="preserve">VDB(0,0,5,-1,1,3)</t>
  </si>
  <si>
    <t xml:space="preserve">VDB(0,0,5,-1,1,0)</t>
  </si>
  <si>
    <t xml:space="preserve">VDB(0,0,5,-1,1,-1)</t>
  </si>
  <si>
    <t xml:space="preserve">VDB(0,0,5,-1,1,2,TRUE)</t>
  </si>
  <si>
    <t xml:space="preserve">VDB(0,0,5,-1,1,1.5,TRUE)</t>
  </si>
  <si>
    <t xml:space="preserve">VDB(0,0,5,-1,1,2,FALSE)</t>
  </si>
  <si>
    <t xml:space="preserve">VDB(0,0,5,-1,1,,TRUE)</t>
  </si>
  <si>
    <t xml:space="preserve">VDB(0,0,5,0.25,0.75)</t>
  </si>
  <si>
    <t xml:space="preserve">VDB(0,0,5,0.25,0.75,1.5)</t>
  </si>
  <si>
    <t xml:space="preserve">VDB(0,0,5,0.25,0.75,2)</t>
  </si>
  <si>
    <t xml:space="preserve">VDB(0,0,5,0.25,0.75,3)</t>
  </si>
  <si>
    <t xml:space="preserve">VDB(0,0,5,0.25,0.75,0)</t>
  </si>
  <si>
    <t xml:space="preserve">VDB(0,0,5,0.25,0.75,-1)</t>
  </si>
  <si>
    <t xml:space="preserve">VDB(0,0,5,0.25,0.75,2,TRUE)</t>
  </si>
  <si>
    <t xml:space="preserve">VDB(0,0,5,0.25,0.75,1.5,TRUE)</t>
  </si>
  <si>
    <t xml:space="preserve">VDB(0,0,5,0.25,0.75,2,FALSE)</t>
  </si>
  <si>
    <t xml:space="preserve">VDB(0,0,5,0.25,0.75,,TRUE)</t>
  </si>
  <si>
    <t xml:space="preserve">VDB(0,0,5,5,5)</t>
  </si>
  <si>
    <t xml:space="preserve">VDB(0,0,5,5,5,1.5)</t>
  </si>
  <si>
    <t xml:space="preserve">VDB(0,0,5,5,5,2)</t>
  </si>
  <si>
    <t xml:space="preserve">VDB(0,0,5,5,5,3)</t>
  </si>
  <si>
    <t xml:space="preserve">VDB(0,0,5,5,5,0)</t>
  </si>
  <si>
    <t xml:space="preserve">VDB(0,0,5,5,5,-1)</t>
  </si>
  <si>
    <t xml:space="preserve">VDB(0,0,5,5,5,2,TRUE)</t>
  </si>
  <si>
    <t xml:space="preserve">VDB(0,0,5,5,5,1.5,TRUE)</t>
  </si>
  <si>
    <t xml:space="preserve">VDB(0,0,5,5,5,2,FALSE)</t>
  </si>
  <si>
    <t xml:space="preserve">VDB(0,0,5,5,5,,TRUE)</t>
  </si>
  <si>
    <t xml:space="preserve">VDB(0,0,5,1,5)</t>
  </si>
  <si>
    <t xml:space="preserve">VDB(0,0,5,1,5,1.5)</t>
  </si>
  <si>
    <t xml:space="preserve">VDB(0,0,5,1,5,2)</t>
  </si>
  <si>
    <t xml:space="preserve">VDB(0,0,5,1,5,3)</t>
  </si>
  <si>
    <t xml:space="preserve">VDB(0,0,5,1,5,0)</t>
  </si>
  <si>
    <t xml:space="preserve">VDB(0,0,5,1,5,-1)</t>
  </si>
  <si>
    <t xml:space="preserve">VDB(0,0,5,1,5,2,TRUE)</t>
  </si>
  <si>
    <t xml:space="preserve">VDB(0,0,5,1,5,1.5,TRUE)</t>
  </si>
  <si>
    <t xml:space="preserve">VDB(0,0,5,1,5,2,FALSE)</t>
  </si>
  <si>
    <t xml:space="preserve">VDB(0,0,5,1,5,,TRUE)</t>
  </si>
  <si>
    <t xml:space="preserve">VDB(1000,0,1,0,1)</t>
  </si>
  <si>
    <t xml:space="preserve">VDB(1000,0,1,0,1,1.5)</t>
  </si>
  <si>
    <t xml:space="preserve">VDB(1000,0,1,0,1,2)</t>
  </si>
  <si>
    <t xml:space="preserve">VDB(1000,0,1,0,1,3)</t>
  </si>
  <si>
    <t xml:space="preserve">VDB(1000,0,1,0,1,0)</t>
  </si>
  <si>
    <t xml:space="preserve">VDB(1000,0,1,0,1,-1)</t>
  </si>
  <si>
    <t xml:space="preserve">VDB(1000,0,1,0,1,2,TRUE)</t>
  </si>
  <si>
    <t xml:space="preserve">VDB(1000,0,1,0,1,1.5,TRUE)</t>
  </si>
  <si>
    <t xml:space="preserve">VDB(1000,0,1,0,1,2,FALSE)</t>
  </si>
  <si>
    <t xml:space="preserve">VDB(1000,0,1,0,1,,TRUE)</t>
  </si>
  <si>
    <t xml:space="preserve">VDB(1000,0,1,1,2)</t>
  </si>
  <si>
    <t xml:space="preserve">VDB(1000,0,1,1,2,1.5)</t>
  </si>
  <si>
    <t xml:space="preserve">VDB(1000,0,1,1,2,2)</t>
  </si>
  <si>
    <t xml:space="preserve">VDB(1000,0,1,1,2,3)</t>
  </si>
  <si>
    <t xml:space="preserve">VDB(1000,0,1,1,2,0)</t>
  </si>
  <si>
    <t xml:space="preserve">VDB(1000,0,1,1,2,-1)</t>
  </si>
  <si>
    <t xml:space="preserve">VDB(1000,0,1,1,2,2,TRUE)</t>
  </si>
  <si>
    <t xml:space="preserve">VDB(1000,0,1,1,2,1.5,TRUE)</t>
  </si>
  <si>
    <t xml:space="preserve">VDB(1000,0,1,1,2,2,FALSE)</t>
  </si>
  <si>
    <t xml:space="preserve">VDB(1000,0,1,1,2,,TRUE)</t>
  </si>
  <si>
    <t xml:space="preserve">VDB(1000,0,1,0,5)</t>
  </si>
  <si>
    <t xml:space="preserve">VDB(1000,0,1,0,5,1.5)</t>
  </si>
  <si>
    <t xml:space="preserve">VDB(1000,0,1,0,5,2)</t>
  </si>
  <si>
    <t xml:space="preserve">VDB(1000,0,1,0,5,3)</t>
  </si>
  <si>
    <t xml:space="preserve">VDB(1000,0,1,0,5,0)</t>
  </si>
  <si>
    <t xml:space="preserve">VDB(1000,0,1,0,5,-1)</t>
  </si>
  <si>
    <t xml:space="preserve">VDB(1000,0,1,0,5,2,TRUE)</t>
  </si>
  <si>
    <t xml:space="preserve">VDB(1000,0,1,0,5,1.5,TRUE)</t>
  </si>
  <si>
    <t xml:space="preserve">VDB(1000,0,1,0,5,2,FALSE)</t>
  </si>
  <si>
    <t xml:space="preserve">VDB(1000,0,1,0,5,,TRUE)</t>
  </si>
  <si>
    <t xml:space="preserve">VDB(1000,0,1,0.5,1.5)</t>
  </si>
  <si>
    <t xml:space="preserve">VDB(1000,0,1,0.5,1.5,1.5)</t>
  </si>
  <si>
    <t xml:space="preserve">VDB(1000,0,1,0.5,1.5,2)</t>
  </si>
  <si>
    <t xml:space="preserve">VDB(1000,0,1,0.5,1.5,3)</t>
  </si>
  <si>
    <t xml:space="preserve">VDB(1000,0,1,0.5,1.5,0)</t>
  </si>
  <si>
    <t xml:space="preserve">VDB(1000,0,1,0.5,1.5,-1)</t>
  </si>
  <si>
    <t xml:space="preserve">VDB(1000,0,1,0.5,1.5,2,TRUE)</t>
  </si>
  <si>
    <t xml:space="preserve">VDB(1000,0,1,0.5,1.5,1.5,TRUE)</t>
  </si>
  <si>
    <t xml:space="preserve">VDB(1000,0,1,0.5,1.5,2,FALSE)</t>
  </si>
  <si>
    <t xml:space="preserve">VDB(1000,0,1,0.5,1.5,,TRUE)</t>
  </si>
  <si>
    <t xml:space="preserve">VDB(1000,0,1,2,3)</t>
  </si>
  <si>
    <t xml:space="preserve">VDB(1000,0,1,2,3,1.5)</t>
  </si>
  <si>
    <t xml:space="preserve">VDB(1000,0,1,2,3,2)</t>
  </si>
  <si>
    <t xml:space="preserve">VDB(1000,0,1,2,3,3)</t>
  </si>
  <si>
    <t xml:space="preserve">VDB(1000,0,1,2,3,0)</t>
  </si>
  <si>
    <t xml:space="preserve">VDB(1000,0,1,2,3,-1)</t>
  </si>
  <si>
    <t xml:space="preserve">VDB(1000,0,1,2,3,2,TRUE)</t>
  </si>
  <si>
    <t xml:space="preserve">VDB(1000,0,1,2,3,1.5,TRUE)</t>
  </si>
  <si>
    <t xml:space="preserve">VDB(1000,0,1,2,3,2,FALSE)</t>
  </si>
  <si>
    <t xml:space="preserve">VDB(1000,0,1,2,3,,TRUE)</t>
  </si>
  <si>
    <t xml:space="preserve">VDB(1000,0,1,3.5,4.2)</t>
  </si>
  <si>
    <t xml:space="preserve">VDB(1000,0,1,3.5,4.2,1.5)</t>
  </si>
  <si>
    <t xml:space="preserve">VDB(1000,0,1,3.5,4.2,2)</t>
  </si>
  <si>
    <t xml:space="preserve">VDB(1000,0,1,3.5,4.2,3)</t>
  </si>
  <si>
    <t xml:space="preserve">VDB(1000,0,1,3.5,4.2,0)</t>
  </si>
  <si>
    <t xml:space="preserve">VDB(1000,0,1,3.5,4.2,-1)</t>
  </si>
  <si>
    <t xml:space="preserve">VDB(1000,0,1,3.5,4.2,2,TRUE)</t>
  </si>
  <si>
    <t xml:space="preserve">VDB(1000,0,1,3.5,4.2,1.5,TRUE)</t>
  </si>
  <si>
    <t xml:space="preserve">VDB(1000,0,1,3.5,4.2,2,FALSE)</t>
  </si>
  <si>
    <t xml:space="preserve">VDB(1000,0,1,3.5,4.2,,TRUE)</t>
  </si>
  <si>
    <t xml:space="preserve">VDB(1000,0,1,0,0)</t>
  </si>
  <si>
    <t xml:space="preserve">VDB(1000,0,1,0,0,1.5)</t>
  </si>
  <si>
    <t xml:space="preserve">VDB(1000,0,1,0,0,2)</t>
  </si>
  <si>
    <t xml:space="preserve">VDB(1000,0,1,0,0,3)</t>
  </si>
  <si>
    <t xml:space="preserve">VDB(1000,0,1,0,0,0)</t>
  </si>
  <si>
    <t xml:space="preserve">VDB(1000,0,1,0,0,-1)</t>
  </si>
  <si>
    <t xml:space="preserve">VDB(1000,0,1,0,0,2,TRUE)</t>
  </si>
  <si>
    <t xml:space="preserve">VDB(1000,0,1,0,0,1.5,TRUE)</t>
  </si>
  <si>
    <t xml:space="preserve">VDB(1000,0,1,0,0,2,FALSE)</t>
  </si>
  <si>
    <t xml:space="preserve">VDB(1000,0,1,0,0,,TRUE)</t>
  </si>
  <si>
    <t xml:space="preserve">VDB(1000,0,1,1,1)</t>
  </si>
  <si>
    <t xml:space="preserve">VDB(1000,0,1,1,1,1.5)</t>
  </si>
  <si>
    <t xml:space="preserve">VDB(1000,0,1,1,1,2)</t>
  </si>
  <si>
    <t xml:space="preserve">VDB(1000,0,1,1,1,3)</t>
  </si>
  <si>
    <t xml:space="preserve">VDB(1000,0,1,1,1,0)</t>
  </si>
  <si>
    <t xml:space="preserve">VDB(1000,0,1,1,1,-1)</t>
  </si>
  <si>
    <t xml:space="preserve">VDB(1000,0,1,1,1,2,TRUE)</t>
  </si>
  <si>
    <t xml:space="preserve">VDB(1000,0,1,1,1,1.5,TRUE)</t>
  </si>
  <si>
    <t xml:space="preserve">VDB(1000,0,1,1,1,2,FALSE)</t>
  </si>
  <si>
    <t xml:space="preserve">VDB(1000,0,1,1,1,,TRUE)</t>
  </si>
  <si>
    <t xml:space="preserve">VDB(1000,0,1,2,1)</t>
  </si>
  <si>
    <t xml:space="preserve">VDB(1000,0,1,2,1,1.5)</t>
  </si>
  <si>
    <t xml:space="preserve">VDB(1000,0,1,2,1,2)</t>
  </si>
  <si>
    <t xml:space="preserve">VDB(1000,0,1,2,1,3)</t>
  </si>
  <si>
    <t xml:space="preserve">VDB(1000,0,1,2,1,0)</t>
  </si>
  <si>
    <t xml:space="preserve">VDB(1000,0,1,2,1,-1)</t>
  </si>
  <si>
    <t xml:space="preserve">VDB(1000,0,1,2,1,2,TRUE)</t>
  </si>
  <si>
    <t xml:space="preserve">VDB(1000,0,1,2,1,1.5,TRUE)</t>
  </si>
  <si>
    <t xml:space="preserve">VDB(1000,0,1,2,1,2,FALSE)</t>
  </si>
  <si>
    <t xml:space="preserve">VDB(1000,0,1,2,1,,TRUE)</t>
  </si>
  <si>
    <t xml:space="preserve">VDB(1000,0,1,0,2)</t>
  </si>
  <si>
    <t xml:space="preserve">VDB(1000,0,1,0,2,1.5)</t>
  </si>
  <si>
    <t xml:space="preserve">VDB(1000,0,1,0,2,2)</t>
  </si>
  <si>
    <t xml:space="preserve">VDB(1000,0,1,0,2,3)</t>
  </si>
  <si>
    <t xml:space="preserve">VDB(1000,0,1,0,2,0)</t>
  </si>
  <si>
    <t xml:space="preserve">VDB(1000,0,1,0,2,-1)</t>
  </si>
  <si>
    <t xml:space="preserve">VDB(1000,0,1,0,2,2,TRUE)</t>
  </si>
  <si>
    <t xml:space="preserve">VDB(1000,0,1,0,2,1.5,TRUE)</t>
  </si>
  <si>
    <t xml:space="preserve">VDB(1000,0,1,0,2,2,FALSE)</t>
  </si>
  <si>
    <t xml:space="preserve">VDB(1000,0,1,0,2,,TRUE)</t>
  </si>
  <si>
    <t xml:space="preserve">VDB(1000,0,1,-1,1)</t>
  </si>
  <si>
    <t xml:space="preserve">VDB(1000,0,1,-1,1,1.5)</t>
  </si>
  <si>
    <t xml:space="preserve">VDB(1000,0,1,-1,1,2)</t>
  </si>
  <si>
    <t xml:space="preserve">VDB(1000,0,1,-1,1,3)</t>
  </si>
  <si>
    <t xml:space="preserve">VDB(1000,0,1,-1,1,0)</t>
  </si>
  <si>
    <t xml:space="preserve">VDB(1000,0,1,-1,1,-1)</t>
  </si>
  <si>
    <t xml:space="preserve">VDB(1000,0,1,-1,1,2,TRUE)</t>
  </si>
  <si>
    <t xml:space="preserve">VDB(1000,0,1,-1,1,1.5,TRUE)</t>
  </si>
  <si>
    <t xml:space="preserve">VDB(1000,0,1,-1,1,2,FALSE)</t>
  </si>
  <si>
    <t xml:space="preserve">VDB(1000,0,1,-1,1,,TRUE)</t>
  </si>
  <si>
    <t xml:space="preserve">VDB(1000,0,1,0.25,0.75)</t>
  </si>
  <si>
    <t xml:space="preserve">VDB(1000,0,1,0.25,0.75,1.5)</t>
  </si>
  <si>
    <t xml:space="preserve">VDB(1000,0,1,0.25,0.75,2)</t>
  </si>
  <si>
    <t xml:space="preserve">VDB(1000,0,1,0.25,0.75,3)</t>
  </si>
  <si>
    <t xml:space="preserve">VDB(1000,0,1,0.25,0.75,0)</t>
  </si>
  <si>
    <t xml:space="preserve">VDB(1000,0,1,0.25,0.75,-1)</t>
  </si>
  <si>
    <t xml:space="preserve">VDB(1000,0,1,0.25,0.75,2,TRUE)</t>
  </si>
  <si>
    <t xml:space="preserve">VDB(1000,0,1,0.25,0.75,1.5,TRUE)</t>
  </si>
  <si>
    <t xml:space="preserve">VDB(1000,0,1,0.25,0.75,2,FALSE)</t>
  </si>
  <si>
    <t xml:space="preserve">VDB(1000,0,1,0.25,0.75,,TRUE)</t>
  </si>
  <si>
    <t xml:space="preserve">VDB(500,50,2.5,0,1)</t>
  </si>
  <si>
    <t xml:space="preserve">VDB(500,50,2.5,0,1,1.5)</t>
  </si>
  <si>
    <t xml:space="preserve">VDB(500,50,2.5,0,1,2)</t>
  </si>
  <si>
    <t xml:space="preserve">VDB(500,50,2.5,0,1,3)</t>
  </si>
  <si>
    <t xml:space="preserve">VDB(500,50,2.5,0,1,0)</t>
  </si>
  <si>
    <t xml:space="preserve">VDB(500,50,2.5,0,1,-1)</t>
  </si>
  <si>
    <t xml:space="preserve">VDB(500,50,2.5,0,1,2,TRUE)</t>
  </si>
  <si>
    <t xml:space="preserve">VDB(500,50,2.5,0,1,1.5,TRUE)</t>
  </si>
  <si>
    <t xml:space="preserve">VDB(500,50,2.5,0,1,2,FALSE)</t>
  </si>
  <si>
    <t xml:space="preserve">VDB(500,50,2.5,0,1,,TRUE)</t>
  </si>
  <si>
    <t xml:space="preserve">VDB(500,50,2.5,1,2)</t>
  </si>
  <si>
    <t xml:space="preserve">VDB(500,50,2.5,1,2,1.5)</t>
  </si>
  <si>
    <t xml:space="preserve">VDB(500,50,2.5,1,2,2)</t>
  </si>
  <si>
    <t xml:space="preserve">VDB(500,50,2.5,1,2,3)</t>
  </si>
  <si>
    <t xml:space="preserve">VDB(500,50,2.5,1,2,0)</t>
  </si>
  <si>
    <t xml:space="preserve">VDB(500,50,2.5,1,2,-1)</t>
  </si>
  <si>
    <t xml:space="preserve">VDB(500,50,2.5,1,2,2,TRUE)</t>
  </si>
  <si>
    <t xml:space="preserve">VDB(500,50,2.5,1,2,1.5,TRUE)</t>
  </si>
  <si>
    <t xml:space="preserve">VDB(500,50,2.5,1,2,2,FALSE)</t>
  </si>
  <si>
    <t xml:space="preserve">VDB(500,50,2.5,1,2,,TRUE)</t>
  </si>
  <si>
    <t xml:space="preserve">VDB(500,50,2.5,0,5)</t>
  </si>
  <si>
    <t xml:space="preserve">VDB(500,50,2.5,0,5,1.5)</t>
  </si>
  <si>
    <t xml:space="preserve">VDB(500,50,2.5,0,5,2)</t>
  </si>
  <si>
    <t xml:space="preserve">VDB(500,50,2.5,0,5,3)</t>
  </si>
  <si>
    <t xml:space="preserve">VDB(500,50,2.5,0,5,0)</t>
  </si>
  <si>
    <t xml:space="preserve">VDB(500,50,2.5,0,5,-1)</t>
  </si>
  <si>
    <t xml:space="preserve">VDB(500,50,2.5,0,5,2,TRUE)</t>
  </si>
  <si>
    <t xml:space="preserve">VDB(500,50,2.5,0,5,1.5,TRUE)</t>
  </si>
  <si>
    <t xml:space="preserve">VDB(500,50,2.5,0,5,2,FALSE)</t>
  </si>
  <si>
    <t xml:space="preserve">VDB(500,50,2.5,0,5,,TRUE)</t>
  </si>
  <si>
    <t xml:space="preserve">VDB(500,50,2.5,0.5,1.5)</t>
  </si>
  <si>
    <t xml:space="preserve">VDB(500,50,2.5,0.5,1.5,1.5)</t>
  </si>
  <si>
    <t xml:space="preserve">VDB(500,50,2.5,0.5,1.5,2)</t>
  </si>
  <si>
    <t xml:space="preserve">VDB(500,50,2.5,0.5,1.5,3)</t>
  </si>
  <si>
    <t xml:space="preserve">VDB(500,50,2.5,0.5,1.5,0)</t>
  </si>
  <si>
    <t xml:space="preserve">VDB(500,50,2.5,0.5,1.5,-1)</t>
  </si>
  <si>
    <t xml:space="preserve">VDB(500,50,2.5,0.5,1.5,2,TRUE)</t>
  </si>
  <si>
    <t xml:space="preserve">VDB(500,50,2.5,0.5,1.5,1.5,TRUE)</t>
  </si>
  <si>
    <t xml:space="preserve">VDB(500,50,2.5,0.5,1.5,2,FALSE)</t>
  </si>
  <si>
    <t xml:space="preserve">VDB(500,50,2.5,0.5,1.5,,TRUE)</t>
  </si>
  <si>
    <t xml:space="preserve">VDB(500,50,2.5,2,3)</t>
  </si>
  <si>
    <t xml:space="preserve">VDB(500,50,2.5,2,3,1.5)</t>
  </si>
  <si>
    <t xml:space="preserve">VDB(500,50,2.5,2,3,2)</t>
  </si>
  <si>
    <t xml:space="preserve">VDB(500,50,2.5,2,3,3)</t>
  </si>
  <si>
    <t xml:space="preserve">VDB(500,50,2.5,2,3,0)</t>
  </si>
  <si>
    <t xml:space="preserve">VDB(500,50,2.5,2,3,-1)</t>
  </si>
  <si>
    <t xml:space="preserve">VDB(500,50,2.5,2,3,2,TRUE)</t>
  </si>
  <si>
    <t xml:space="preserve">VDB(500,50,2.5,2,3,1.5,TRUE)</t>
  </si>
  <si>
    <t xml:space="preserve">VDB(500,50,2.5,2,3,2,FALSE)</t>
  </si>
  <si>
    <t xml:space="preserve">VDB(500,50,2.5,2,3,,TRUE)</t>
  </si>
  <si>
    <t xml:space="preserve">VDB(500,50,2.5,0,2.5)</t>
  </si>
  <si>
    <t xml:space="preserve">VDB(500,50,2.5,0,2.5,1.5)</t>
  </si>
  <si>
    <t xml:space="preserve">VDB(500,50,2.5,0,2.5,2)</t>
  </si>
  <si>
    <t xml:space="preserve">VDB(500,50,2.5,0,2.5,3)</t>
  </si>
  <si>
    <t xml:space="preserve">VDB(500,50,2.5,0,2.5,0)</t>
  </si>
  <si>
    <t xml:space="preserve">VDB(500,50,2.5,0,2.5,-1)</t>
  </si>
  <si>
    <t xml:space="preserve">VDB(500,50,2.5,0,2.5,2,TRUE)</t>
  </si>
  <si>
    <t xml:space="preserve">VDB(500,50,2.5,0,2.5,1.5,TRUE)</t>
  </si>
  <si>
    <t xml:space="preserve">VDB(500,50,2.5,0,2.5,2,FALSE)</t>
  </si>
  <si>
    <t xml:space="preserve">VDB(500,50,2.5,0,2.5,,TRUE)</t>
  </si>
  <si>
    <t xml:space="preserve">VDB(500,50,2.5,1.5,2.5)</t>
  </si>
  <si>
    <t xml:space="preserve">VDB(500,50,2.5,1.5,2.5,1.5)</t>
  </si>
  <si>
    <t xml:space="preserve">VDB(500,50,2.5,1.5,2.5,2)</t>
  </si>
  <si>
    <t xml:space="preserve">VDB(500,50,2.5,1.5,2.5,3)</t>
  </si>
  <si>
    <t xml:space="preserve">VDB(500,50,2.5,1.5,2.5,0)</t>
  </si>
  <si>
    <t xml:space="preserve">VDB(500,50,2.5,1.5,2.5,-1)</t>
  </si>
  <si>
    <t xml:space="preserve">VDB(500,50,2.5,1.5,2.5,2,TRUE)</t>
  </si>
  <si>
    <t xml:space="preserve">VDB(500,50,2.5,1.5,2.5,1.5,TRUE)</t>
  </si>
  <si>
    <t xml:space="preserve">VDB(500,50,2.5,1.5,2.5,2,FALSE)</t>
  </si>
  <si>
    <t xml:space="preserve">VDB(500,50,2.5,1.5,2.5,,TRUE)</t>
  </si>
  <si>
    <t xml:space="preserve">VDB(500,50,2.5,3.5,4.2)</t>
  </si>
  <si>
    <t xml:space="preserve">VDB(500,50,2.5,3.5,4.2,1.5)</t>
  </si>
  <si>
    <t xml:space="preserve">VDB(500,50,2.5,3.5,4.2,2)</t>
  </si>
  <si>
    <t xml:space="preserve">VDB(500,50,2.5,3.5,4.2,3)</t>
  </si>
  <si>
    <t xml:space="preserve">VDB(500,50,2.5,3.5,4.2,0)</t>
  </si>
  <si>
    <t xml:space="preserve">VDB(500,50,2.5,3.5,4.2,-1)</t>
  </si>
  <si>
    <t xml:space="preserve">VDB(500,50,2.5,3.5,4.2,2,TRUE)</t>
  </si>
  <si>
    <t xml:space="preserve">VDB(500,50,2.5,3.5,4.2,1.5,TRUE)</t>
  </si>
  <si>
    <t xml:space="preserve">VDB(500,50,2.5,3.5,4.2,2,FALSE)</t>
  </si>
  <si>
    <t xml:space="preserve">VDB(500,50,2.5,3.5,4.2,,TRUE)</t>
  </si>
  <si>
    <t xml:space="preserve">VDB(500,50,2.5,0,0)</t>
  </si>
  <si>
    <t xml:space="preserve">VDB(500,50,2.5,0,0,1.5)</t>
  </si>
  <si>
    <t xml:space="preserve">VDB(500,50,2.5,0,0,2)</t>
  </si>
  <si>
    <t xml:space="preserve">VDB(500,50,2.5,0,0,3)</t>
  </si>
  <si>
    <t xml:space="preserve">VDB(500,50,2.5,0,0,0)</t>
  </si>
  <si>
    <t xml:space="preserve">VDB(500,50,2.5,0,0,-1)</t>
  </si>
  <si>
    <t xml:space="preserve">VDB(500,50,2.5,0,0,2,TRUE)</t>
  </si>
  <si>
    <t xml:space="preserve">VDB(500,50,2.5,0,0,1.5,TRUE)</t>
  </si>
  <si>
    <t xml:space="preserve">VDB(500,50,2.5,0,0,2,FALSE)</t>
  </si>
  <si>
    <t xml:space="preserve">VDB(500,50,2.5,0,0,,TRUE)</t>
  </si>
  <si>
    <t xml:space="preserve">VDB(500,50,2.5,1,1)</t>
  </si>
  <si>
    <t xml:space="preserve">VDB(500,50,2.5,1,1,1.5)</t>
  </si>
  <si>
    <t xml:space="preserve">VDB(500,50,2.5,1,1,2)</t>
  </si>
  <si>
    <t xml:space="preserve">VDB(500,50,2.5,1,1,3)</t>
  </si>
  <si>
    <t xml:space="preserve">VDB(500,50,2.5,1,1,0)</t>
  </si>
  <si>
    <t xml:space="preserve">VDB(500,50,2.5,1,1,-1)</t>
  </si>
  <si>
    <t xml:space="preserve">VDB(500,50,2.5,1,1,2,TRUE)</t>
  </si>
  <si>
    <t xml:space="preserve">VDB(500,50,2.5,1,1,1.5,TRUE)</t>
  </si>
  <si>
    <t xml:space="preserve">VDB(500,50,2.5,1,1,2,FALSE)</t>
  </si>
  <si>
    <t xml:space="preserve">VDB(500,50,2.5,1,1,,TRUE)</t>
  </si>
  <si>
    <t xml:space="preserve">VDB(500,50,2.5,2,1)</t>
  </si>
  <si>
    <t xml:space="preserve">VDB(500,50,2.5,2,1,1.5)</t>
  </si>
  <si>
    <t xml:space="preserve">VDB(500,50,2.5,2,1,2)</t>
  </si>
  <si>
    <t xml:space="preserve">VDB(500,50,2.5,2,1,3)</t>
  </si>
  <si>
    <t xml:space="preserve">VDB(500,50,2.5,2,1,0)</t>
  </si>
  <si>
    <t xml:space="preserve">VDB(500,50,2.5,2,1,-1)</t>
  </si>
  <si>
    <t xml:space="preserve">VDB(500,50,2.5,2,1,2,TRUE)</t>
  </si>
  <si>
    <t xml:space="preserve">VDB(500,50,2.5,2,1,1.5,TRUE)</t>
  </si>
  <si>
    <t xml:space="preserve">VDB(500,50,2.5,2,1,2,FALSE)</t>
  </si>
  <si>
    <t xml:space="preserve">VDB(500,50,2.5,2,1,,TRUE)</t>
  </si>
  <si>
    <t xml:space="preserve">VDB(500,50,2.5,0,3.5)</t>
  </si>
  <si>
    <t xml:space="preserve">VDB(500,50,2.5,0,3.5,1.5)</t>
  </si>
  <si>
    <t xml:space="preserve">VDB(500,50,2.5,0,3.5,2)</t>
  </si>
  <si>
    <t xml:space="preserve">VDB(500,50,2.5,0,3.5,3)</t>
  </si>
  <si>
    <t xml:space="preserve">VDB(500,50,2.5,0,3.5,0)</t>
  </si>
  <si>
    <t xml:space="preserve">VDB(500,50,2.5,0,3.5,-1)</t>
  </si>
  <si>
    <t xml:space="preserve">VDB(500,50,2.5,0,3.5,2,TRUE)</t>
  </si>
  <si>
    <t xml:space="preserve">VDB(500,50,2.5,0,3.5,1.5,TRUE)</t>
  </si>
  <si>
    <t xml:space="preserve">VDB(500,50,2.5,0,3.5,2,FALSE)</t>
  </si>
  <si>
    <t xml:space="preserve">VDB(500,50,2.5,0,3.5,,TRUE)</t>
  </si>
  <si>
    <t xml:space="preserve">VDB(500,50,2.5,-1,1)</t>
  </si>
  <si>
    <t xml:space="preserve">VDB(500,50,2.5,-1,1,1.5)</t>
  </si>
  <si>
    <t xml:space="preserve">VDB(500,50,2.5,-1,1,2)</t>
  </si>
  <si>
    <t xml:space="preserve">VDB(500,50,2.5,-1,1,3)</t>
  </si>
  <si>
    <t xml:space="preserve">VDB(500,50,2.5,-1,1,0)</t>
  </si>
  <si>
    <t xml:space="preserve">VDB(500,50,2.5,-1,1,-1)</t>
  </si>
  <si>
    <t xml:space="preserve">VDB(500,50,2.5,-1,1,2,TRUE)</t>
  </si>
  <si>
    <t xml:space="preserve">VDB(500,50,2.5,-1,1,1.5,TRUE)</t>
  </si>
  <si>
    <t xml:space="preserve">VDB(500,50,2.5,-1,1,2,FALSE)</t>
  </si>
  <si>
    <t xml:space="preserve">VDB(500,50,2.5,-1,1,,TRUE)</t>
  </si>
  <si>
    <t xml:space="preserve">VDB(500,50,2.5,0.25,0.75)</t>
  </si>
  <si>
    <t xml:space="preserve">VDB(500,50,2.5,0.25,0.75,1.5)</t>
  </si>
  <si>
    <t xml:space="preserve">VDB(500,50,2.5,0.25,0.75,2)</t>
  </si>
  <si>
    <t xml:space="preserve">VDB(500,50,2.5,0.25,0.75,3)</t>
  </si>
  <si>
    <t xml:space="preserve">VDB(500,50,2.5,0.25,0.75,0)</t>
  </si>
  <si>
    <t xml:space="preserve">VDB(500,50,2.5,0.25,0.75,-1)</t>
  </si>
  <si>
    <t xml:space="preserve">VDB(500,50,2.5,0.25,0.75,2,TRUE)</t>
  </si>
  <si>
    <t xml:space="preserve">VDB(500,50,2.5,0.25,0.75,1.5,TRUE)</t>
  </si>
  <si>
    <t xml:space="preserve">VDB(500,50,2.5,0.25,0.75,2,FALSE)</t>
  </si>
  <si>
    <t xml:space="preserve">VDB(500,50,2.5,0.25,0.75,,TRUE)</t>
  </si>
  <si>
    <t xml:space="preserve">VDB(500,50,2.5,2.5,2.5)</t>
  </si>
  <si>
    <t xml:space="preserve">VDB(500,50,2.5,2.5,2.5,1.5)</t>
  </si>
  <si>
    <t xml:space="preserve">VDB(500,50,2.5,2.5,2.5,2)</t>
  </si>
  <si>
    <t xml:space="preserve">VDB(500,50,2.5,2.5,2.5,3)</t>
  </si>
  <si>
    <t xml:space="preserve">VDB(500,50,2.5,2.5,2.5,0)</t>
  </si>
  <si>
    <t xml:space="preserve">VDB(500,50,2.5,2.5,2.5,-1)</t>
  </si>
  <si>
    <t xml:space="preserve">VDB(500,50,2.5,2.5,2.5,2,TRUE)</t>
  </si>
  <si>
    <t xml:space="preserve">VDB(500,50,2.5,2.5,2.5,1.5,TRUE)</t>
  </si>
  <si>
    <t xml:space="preserve">VDB(500,50,2.5,2.5,2.5,2,FALSE)</t>
  </si>
  <si>
    <t xml:space="preserve">VDB(500,50,2.5,2.5,2.5,,TRUE)</t>
  </si>
  <si>
    <t xml:space="preserve">VDB(500,50,2.5,1,2.5)</t>
  </si>
  <si>
    <t xml:space="preserve">VDB(500,50,2.5,1,2.5,1.5)</t>
  </si>
  <si>
    <t xml:space="preserve">VDB(500,50,2.5,1,2.5,2)</t>
  </si>
  <si>
    <t xml:space="preserve">VDB(500,50,2.5,1,2.5,3)</t>
  </si>
  <si>
    <t xml:space="preserve">VDB(500,50,2.5,1,2.5,0)</t>
  </si>
  <si>
    <t xml:space="preserve">VDB(500,50,2.5,1,2.5,-1)</t>
  </si>
  <si>
    <t xml:space="preserve">VDB(500,50,2.5,1,2.5,2,TRUE)</t>
  </si>
  <si>
    <t xml:space="preserve">VDB(500,50,2.5,1,2.5,1.5,TRUE)</t>
  </si>
  <si>
    <t xml:space="preserve">VDB(500,50,2.5,1,2.5,2,FALSE)</t>
  </si>
  <si>
    <t xml:space="preserve">VDB(500,50,2.5,1,2.5,,TRUE)</t>
  </si>
  <si>
    <t xml:space="preserve">VDB(1000,100,0.5,0,1)</t>
  </si>
  <si>
    <t xml:space="preserve">VDB(1000,100,0.5,0,1,1.5)</t>
  </si>
  <si>
    <t xml:space="preserve">VDB(1000,100,0.5,0,1,2)</t>
  </si>
  <si>
    <t xml:space="preserve">VDB(1000,100,0.5,0,1,3)</t>
  </si>
  <si>
    <t xml:space="preserve">VDB(1000,100,0.5,0,1,0)</t>
  </si>
  <si>
    <t xml:space="preserve">VDB(1000,100,0.5,0,1,-1)</t>
  </si>
  <si>
    <t xml:space="preserve">VDB(1000,100,0.5,0,1,2,TRUE)</t>
  </si>
  <si>
    <t xml:space="preserve">VDB(1000,100,0.5,0,1,1.5,TRUE)</t>
  </si>
  <si>
    <t xml:space="preserve">VDB(1000,100,0.5,0,1,2,FALSE)</t>
  </si>
  <si>
    <t xml:space="preserve">VDB(1000,100,0.5,0,1,,TRUE)</t>
  </si>
  <si>
    <t xml:space="preserve">VDB(1000,100,0.5,1,2)</t>
  </si>
  <si>
    <t xml:space="preserve">VDB(1000,100,0.5,1,2,1.5)</t>
  </si>
  <si>
    <t xml:space="preserve">VDB(1000,100,0.5,1,2,2)</t>
  </si>
  <si>
    <t xml:space="preserve">VDB(1000,100,0.5,1,2,3)</t>
  </si>
  <si>
    <t xml:space="preserve">VDB(1000,100,0.5,1,2,0)</t>
  </si>
  <si>
    <t xml:space="preserve">VDB(1000,100,0.5,1,2,-1)</t>
  </si>
  <si>
    <t xml:space="preserve">VDB(1000,100,0.5,1,2,2,TRUE)</t>
  </si>
  <si>
    <t xml:space="preserve">VDB(1000,100,0.5,1,2,1.5,TRUE)</t>
  </si>
  <si>
    <t xml:space="preserve">VDB(1000,100,0.5,1,2,2,FALSE)</t>
  </si>
  <si>
    <t xml:space="preserve">VDB(1000,100,0.5,1,2,,TRUE)</t>
  </si>
  <si>
    <t xml:space="preserve">VDB(1000,100,0.5,0,5)</t>
  </si>
  <si>
    <t xml:space="preserve">VDB(1000,100,0.5,0,5,1.5)</t>
  </si>
  <si>
    <t xml:space="preserve">VDB(1000,100,0.5,0,5,2)</t>
  </si>
  <si>
    <t xml:space="preserve">VDB(1000,100,0.5,0,5,3)</t>
  </si>
  <si>
    <t xml:space="preserve">VDB(1000,100,0.5,0,5,0)</t>
  </si>
  <si>
    <t xml:space="preserve">VDB(1000,100,0.5,0,5,-1)</t>
  </si>
  <si>
    <t xml:space="preserve">VDB(1000,100,0.5,0,5,2,TRUE)</t>
  </si>
  <si>
    <t xml:space="preserve">VDB(1000,100,0.5,0,5,1.5,TRUE)</t>
  </si>
  <si>
    <t xml:space="preserve">VDB(1000,100,0.5,0,5,2,FALSE)</t>
  </si>
  <si>
    <t xml:space="preserve">VDB(1000,100,0.5,0,5,,TRUE)</t>
  </si>
  <si>
    <t xml:space="preserve">VDB(1000,100,0.5,0.5,1.5)</t>
  </si>
  <si>
    <t xml:space="preserve">VDB(1000,100,0.5,0.5,1.5,1.5)</t>
  </si>
  <si>
    <t xml:space="preserve">VDB(1000,100,0.5,0.5,1.5,2)</t>
  </si>
  <si>
    <t xml:space="preserve">VDB(1000,100,0.5,0.5,1.5,3)</t>
  </si>
  <si>
    <t xml:space="preserve">VDB(1000,100,0.5,0.5,1.5,0)</t>
  </si>
  <si>
    <t xml:space="preserve">VDB(1000,100,0.5,0.5,1.5,-1)</t>
  </si>
  <si>
    <t xml:space="preserve">VDB(1000,100,0.5,0.5,1.5,2,TRUE)</t>
  </si>
  <si>
    <t xml:space="preserve">VDB(1000,100,0.5,0.5,1.5,1.5,TRUE)</t>
  </si>
  <si>
    <t xml:space="preserve">VDB(1000,100,0.5,0.5,1.5,2,FALSE)</t>
  </si>
  <si>
    <t xml:space="preserve">VDB(1000,100,0.5,0.5,1.5,,TRUE)</t>
  </si>
  <si>
    <t xml:space="preserve">VDB(1000,100,0.5,2,3)</t>
  </si>
  <si>
    <t xml:space="preserve">VDB(1000,100,0.5,2,3,1.5)</t>
  </si>
  <si>
    <t xml:space="preserve">VDB(1000,100,0.5,2,3,2)</t>
  </si>
  <si>
    <t xml:space="preserve">VDB(1000,100,0.5,2,3,3)</t>
  </si>
  <si>
    <t xml:space="preserve">VDB(1000,100,0.5,2,3,0)</t>
  </si>
  <si>
    <t xml:space="preserve">VDB(1000,100,0.5,2,3,-1)</t>
  </si>
  <si>
    <t xml:space="preserve">VDB(1000,100,0.5,2,3,2,TRUE)</t>
  </si>
  <si>
    <t xml:space="preserve">VDB(1000,100,0.5,2,3,1.5,TRUE)</t>
  </si>
  <si>
    <t xml:space="preserve">VDB(1000,100,0.5,2,3,2,FALSE)</t>
  </si>
  <si>
    <t xml:space="preserve">VDB(1000,100,0.5,2,3,,TRUE)</t>
  </si>
  <si>
    <t xml:space="preserve">VDB(1000,100,0.5,0,0.5)</t>
  </si>
  <si>
    <t xml:space="preserve">VDB(1000,100,0.5,0,0.5,1.5)</t>
  </si>
  <si>
    <t xml:space="preserve">VDB(1000,100,0.5,0,0.5,2)</t>
  </si>
  <si>
    <t xml:space="preserve">VDB(1000,100,0.5,0,0.5,3)</t>
  </si>
  <si>
    <t xml:space="preserve">VDB(1000,100,0.5,0,0.5,0)</t>
  </si>
  <si>
    <t xml:space="preserve">VDB(1000,100,0.5,0,0.5,-1)</t>
  </si>
  <si>
    <t xml:space="preserve">VDB(1000,100,0.5,0,0.5,2,TRUE)</t>
  </si>
  <si>
    <t xml:space="preserve">VDB(1000,100,0.5,0,0.5,1.5,TRUE)</t>
  </si>
  <si>
    <t xml:space="preserve">VDB(1000,100,0.5,0,0.5,2,FALSE)</t>
  </si>
  <si>
    <t xml:space="preserve">VDB(1000,100,0.5,0,0.5,,TRUE)</t>
  </si>
  <si>
    <t xml:space="preserve">VDB(1000,100,0.5,-0.5,0.5)</t>
  </si>
  <si>
    <t xml:space="preserve">VDB(1000,100,0.5,-0.5,0.5,1.5)</t>
  </si>
  <si>
    <t xml:space="preserve">VDB(1000,100,0.5,-0.5,0.5,2)</t>
  </si>
  <si>
    <t xml:space="preserve">VDB(1000,100,0.5,-0.5,0.5,3)</t>
  </si>
  <si>
    <t xml:space="preserve">VDB(1000,100,0.5,-0.5,0.5,0)</t>
  </si>
  <si>
    <t xml:space="preserve">VDB(1000,100,0.5,-0.5,0.5,-1)</t>
  </si>
  <si>
    <t xml:space="preserve">VDB(1000,100,0.5,-0.5,0.5,2,TRUE)</t>
  </si>
  <si>
    <t xml:space="preserve">VDB(1000,100,0.5,-0.5,0.5,1.5,TRUE)</t>
  </si>
  <si>
    <t xml:space="preserve">VDB(1000,100,0.5,-0.5,0.5,2,FALSE)</t>
  </si>
  <si>
    <t xml:space="preserve">VDB(1000,100,0.5,-0.5,0.5,,TRUE)</t>
  </si>
  <si>
    <t xml:space="preserve">VDB(1000,100,0.5,3.5,4.2)</t>
  </si>
  <si>
    <t xml:space="preserve">VDB(1000,100,0.5,3.5,4.2,1.5)</t>
  </si>
  <si>
    <t xml:space="preserve">VDB(1000,100,0.5,3.5,4.2,2)</t>
  </si>
  <si>
    <t xml:space="preserve">VDB(1000,100,0.5,3.5,4.2,3)</t>
  </si>
  <si>
    <t xml:space="preserve">VDB(1000,100,0.5,3.5,4.2,0)</t>
  </si>
  <si>
    <t xml:space="preserve">VDB(1000,100,0.5,3.5,4.2,-1)</t>
  </si>
  <si>
    <t xml:space="preserve">VDB(1000,100,0.5,3.5,4.2,2,TRUE)</t>
  </si>
  <si>
    <t xml:space="preserve">VDB(1000,100,0.5,3.5,4.2,1.5,TRUE)</t>
  </si>
  <si>
    <t xml:space="preserve">VDB(1000,100,0.5,3.5,4.2,2,FALSE)</t>
  </si>
  <si>
    <t xml:space="preserve">VDB(1000,100,0.5,3.5,4.2,,TRUE)</t>
  </si>
  <si>
    <t xml:space="preserve">VDB(1000,100,0.5,0,0)</t>
  </si>
  <si>
    <t xml:space="preserve">VDB(1000,100,0.5,0,0,1.5)</t>
  </si>
  <si>
    <t xml:space="preserve">VDB(1000,100,0.5,0,0,2)</t>
  </si>
  <si>
    <t xml:space="preserve">VDB(1000,100,0.5,0,0,3)</t>
  </si>
  <si>
    <t xml:space="preserve">VDB(1000,100,0.5,0,0,0)</t>
  </si>
  <si>
    <t xml:space="preserve">VDB(1000,100,0.5,0,0,-1)</t>
  </si>
  <si>
    <t xml:space="preserve">VDB(1000,100,0.5,0,0,2,TRUE)</t>
  </si>
  <si>
    <t xml:space="preserve">VDB(1000,100,0.5,0,0,1.5,TRUE)</t>
  </si>
  <si>
    <t xml:space="preserve">VDB(1000,100,0.5,0,0,2,FALSE)</t>
  </si>
  <si>
    <t xml:space="preserve">VDB(1000,100,0.5,0,0,,TRUE)</t>
  </si>
  <si>
    <t xml:space="preserve">VDB(1000,100,0.5,1,1)</t>
  </si>
  <si>
    <t xml:space="preserve">VDB(1000,100,0.5,1,1,1.5)</t>
  </si>
  <si>
    <t xml:space="preserve">VDB(1000,100,0.5,1,1,2)</t>
  </si>
  <si>
    <t xml:space="preserve">VDB(1000,100,0.5,1,1,3)</t>
  </si>
  <si>
    <t xml:space="preserve">VDB(1000,100,0.5,1,1,0)</t>
  </si>
  <si>
    <t xml:space="preserve">VDB(1000,100,0.5,1,1,-1)</t>
  </si>
  <si>
    <t xml:space="preserve">VDB(1000,100,0.5,1,1,2,TRUE)</t>
  </si>
  <si>
    <t xml:space="preserve">VDB(1000,100,0.5,1,1,1.5,TRUE)</t>
  </si>
  <si>
    <t xml:space="preserve">VDB(1000,100,0.5,1,1,2,FALSE)</t>
  </si>
  <si>
    <t xml:space="preserve">VDB(1000,100,0.5,1,1,,TRUE)</t>
  </si>
  <si>
    <t xml:space="preserve">VDB(1000,100,0.5,2,1)</t>
  </si>
  <si>
    <t xml:space="preserve">VDB(1000,100,0.5,2,1,1.5)</t>
  </si>
  <si>
    <t xml:space="preserve">VDB(1000,100,0.5,2,1,2)</t>
  </si>
  <si>
    <t xml:space="preserve">VDB(1000,100,0.5,2,1,3)</t>
  </si>
  <si>
    <t xml:space="preserve">VDB(1000,100,0.5,2,1,0)</t>
  </si>
  <si>
    <t xml:space="preserve">VDB(1000,100,0.5,2,1,-1)</t>
  </si>
  <si>
    <t xml:space="preserve">VDB(1000,100,0.5,2,1,2,TRUE)</t>
  </si>
  <si>
    <t xml:space="preserve">VDB(1000,100,0.5,2,1,1.5,TRUE)</t>
  </si>
  <si>
    <t xml:space="preserve">VDB(1000,100,0.5,2,1,2,FALSE)</t>
  </si>
  <si>
    <t xml:space="preserve">VDB(1000,100,0.5,2,1,,TRUE)</t>
  </si>
  <si>
    <t xml:space="preserve">VDB(1000,100,0.5,0,1.5)</t>
  </si>
  <si>
    <t xml:space="preserve">VDB(1000,100,0.5,0,1.5,1.5)</t>
  </si>
  <si>
    <t xml:space="preserve">VDB(1000,100,0.5,0,1.5,2)</t>
  </si>
  <si>
    <t xml:space="preserve">VDB(1000,100,0.5,0,1.5,3)</t>
  </si>
  <si>
    <t xml:space="preserve">VDB(1000,100,0.5,0,1.5,0)</t>
  </si>
  <si>
    <t xml:space="preserve">VDB(1000,100,0.5,0,1.5,-1)</t>
  </si>
  <si>
    <t xml:space="preserve">VDB(1000,100,0.5,0,1.5,2,TRUE)</t>
  </si>
  <si>
    <t xml:space="preserve">VDB(1000,100,0.5,0,1.5,1.5,TRUE)</t>
  </si>
  <si>
    <t xml:space="preserve">VDB(1000,100,0.5,0,1.5,2,FALSE)</t>
  </si>
  <si>
    <t xml:space="preserve">VDB(1000,100,0.5,0,1.5,,TRUE)</t>
  </si>
  <si>
    <t xml:space="preserve">VDB(1000,100,0.5,-1,1)</t>
  </si>
  <si>
    <t xml:space="preserve">VDB(1000,100,0.5,-1,1,1.5)</t>
  </si>
  <si>
    <t xml:space="preserve">VDB(1000,100,0.5,-1,1,2)</t>
  </si>
  <si>
    <t xml:space="preserve">VDB(1000,100,0.5,-1,1,3)</t>
  </si>
  <si>
    <t xml:space="preserve">VDB(1000,100,0.5,-1,1,0)</t>
  </si>
  <si>
    <t xml:space="preserve">VDB(1000,100,0.5,-1,1,-1)</t>
  </si>
  <si>
    <t xml:space="preserve">VDB(1000,100,0.5,-1,1,2,TRUE)</t>
  </si>
  <si>
    <t xml:space="preserve">VDB(1000,100,0.5,-1,1,1.5,TRUE)</t>
  </si>
  <si>
    <t xml:space="preserve">VDB(1000,100,0.5,-1,1,2,FALSE)</t>
  </si>
  <si>
    <t xml:space="preserve">VDB(1000,100,0.5,-1,1,,TRUE)</t>
  </si>
  <si>
    <t xml:space="preserve">VDB(1000,100,0.5,0.25,0.75)</t>
  </si>
  <si>
    <t xml:space="preserve">VDB(1000,100,0.5,0.25,0.75,1.5)</t>
  </si>
  <si>
    <t xml:space="preserve">VDB(1000,100,0.5,0.25,0.75,2)</t>
  </si>
  <si>
    <t xml:space="preserve">VDB(1000,100,0.5,0.25,0.75,3)</t>
  </si>
  <si>
    <t xml:space="preserve">VDB(1000,100,0.5,0.25,0.75,0)</t>
  </si>
  <si>
    <t xml:space="preserve">VDB(1000,100,0.5,0.25,0.75,-1)</t>
  </si>
  <si>
    <t xml:space="preserve">VDB(1000,100,0.5,0.25,0.75,2,TRUE)</t>
  </si>
  <si>
    <t xml:space="preserve">VDB(1000,100,0.5,0.25,0.75,1.5,TRUE)</t>
  </si>
  <si>
    <t xml:space="preserve">VDB(1000,100,0.5,0.25,0.75,2,FALSE)</t>
  </si>
  <si>
    <t xml:space="preserve">VDB(1000,100,0.5,0.25,0.75,,TRUE)</t>
  </si>
  <si>
    <t xml:space="preserve">VDB(1000,100,0.5,0.5,0.5)</t>
  </si>
  <si>
    <t xml:space="preserve">VDB(1000,100,0.5,0.5,0.5,1.5)</t>
  </si>
  <si>
    <t xml:space="preserve">VDB(1000,100,0.5,0.5,0.5,2)</t>
  </si>
  <si>
    <t xml:space="preserve">VDB(1000,100,0.5,0.5,0.5,3)</t>
  </si>
  <si>
    <t xml:space="preserve">VDB(1000,100,0.5,0.5,0.5,0)</t>
  </si>
  <si>
    <t xml:space="preserve">VDB(1000,100,0.5,0.5,0.5,-1)</t>
  </si>
  <si>
    <t xml:space="preserve">VDB(1000,100,0.5,0.5,0.5,2,TRUE)</t>
  </si>
  <si>
    <t xml:space="preserve">VDB(1000,100,0.5,0.5,0.5,1.5,TRUE)</t>
  </si>
  <si>
    <t xml:space="preserve">VDB(1000,100,0.5,0.5,0.5,2,FALSE)</t>
  </si>
  <si>
    <t xml:space="preserve">VDB(1000,100,0.5,0.5,0.5,,TRUE)</t>
  </si>
  <si>
    <t xml:space="preserve">VDB(1000,100,0.5,1,0.5)</t>
  </si>
  <si>
    <t xml:space="preserve">VDB(1000,100,0.5,1,0.5,1.5)</t>
  </si>
  <si>
    <t xml:space="preserve">VDB(1000,100,0.5,1,0.5,2)</t>
  </si>
  <si>
    <t xml:space="preserve">VDB(1000,100,0.5,1,0.5,3)</t>
  </si>
  <si>
    <t xml:space="preserve">VDB(1000,100,0.5,1,0.5,0)</t>
  </si>
  <si>
    <t xml:space="preserve">VDB(1000,100,0.5,1,0.5,-1)</t>
  </si>
  <si>
    <t xml:space="preserve">VDB(1000,100,0.5,1,0.5,2,TRUE)</t>
  </si>
  <si>
    <t xml:space="preserve">VDB(1000,100,0.5,1,0.5,1.5,TRUE)</t>
  </si>
  <si>
    <t xml:space="preserve">VDB(1000,100,0.5,1,0.5,2,FALSE)</t>
  </si>
  <si>
    <t xml:space="preserve">VDB(1000,100,0.5,1,0.5,,TRUE)</t>
  </si>
  <si>
    <t xml:space="preserve">VDB(2400,300,10,0,1,2,1)</t>
  </si>
  <si>
    <t xml:space="preserve">VDB(2400,300,10,0,1,2,0)</t>
  </si>
  <si>
    <t xml:space="preserve">VDB(2400,300,10,0,1,2,"x")</t>
  </si>
  <si>
    <t xml:space="preserve">VDB(2400,300,10,0,1,2,TRUE,1)</t>
  </si>
  <si>
    <t xml:space="preserve">VDB(2400,300,10,0)</t>
  </si>
  <si>
    <t xml:space="preserve">VDB("x",300,10,0,1)</t>
  </si>
  <si>
    <t xml:space="preserve">VDB(2400,300,0,0,1)</t>
  </si>
  <si>
    <t xml:space="preserve">VDB(2400,300,-1,0,1)</t>
  </si>
  <si>
    <t xml:space="preserve">VDB(2400,-300,10,0,1)</t>
  </si>
  <si>
    <t xml:space="preserve">VDB(-2400,300,10,0,1)</t>
  </si>
  <si>
    <t xml:space="preserve">VDB(2400,300,10,NA(),1)</t>
  </si>
  <si>
    <t xml:space="preserve">VDB(2400,300,10,0,1,Data!D1)</t>
  </si>
  <si>
    <t xml:space="preserve">VDB(2400,300,10,0,1,2,Data!D1)</t>
  </si>
  <si>
    <t xml:space="preserve">VDB(Data!A1:A2,300,10,0,1)</t>
  </si>
  <si>
    <t xml:space="preserve">ODDFPRICE(DATE(2024,2,15),DATE(2027,7,1),DATE(2024,1,1),DATE(2024,7,1),0.05,0.08,100,1,0)</t>
  </si>
  <si>
    <t xml:space="preserve">ODDFPRICE(DATE(2024,2,15),DATE(2027,7,1),DATE(2024,1,1),DATE(2024,7,1),0.1,0.03,105,1,0)</t>
  </si>
  <si>
    <t xml:space="preserve">ODDFPRICE(DATE(2024,2,15),DATE(2027,7,1),DATE(2024,1,1),DATE(2024,7,1),0,0.05,100,1,0)</t>
  </si>
  <si>
    <t xml:space="preserve">ODDFYIELD(DATE(2024,2,15),DATE(2027,7,1),DATE(2024,1,1),DATE(2024,7,1),0.05,95,100,1,0)</t>
  </si>
  <si>
    <t xml:space="preserve">ODDFYIELD(DATE(2024,2,15),DATE(2027,7,1),DATE(2024,1,1),DATE(2024,7,1),0.1,101.5,100,1,0)</t>
  </si>
  <si>
    <t xml:space="preserve">ODDFYIELD(DATE(2024,2,15),DATE(2027,7,1),DATE(2024,1,1),DATE(2024,7,1),0.05,100,100,1,0)</t>
  </si>
  <si>
    <t xml:space="preserve">ODDFPRICE(DATE(2024,2,15),DATE(2027,7,1),DATE(2024,1,1),DATE(2024,7,1),0.05,0.08,100,1,1)</t>
  </si>
  <si>
    <t xml:space="preserve">ODDFPRICE(DATE(2024,2,15),DATE(2027,7,1),DATE(2024,1,1),DATE(2024,7,1),0.1,0.03,105,1,1)</t>
  </si>
  <si>
    <t xml:space="preserve">ODDFPRICE(DATE(2024,2,15),DATE(2027,7,1),DATE(2024,1,1),DATE(2024,7,1),0,0.05,100,1,1)</t>
  </si>
  <si>
    <t xml:space="preserve">ODDFYIELD(DATE(2024,2,15),DATE(2027,7,1),DATE(2024,1,1),DATE(2024,7,1),0.05,95,100,1,1)</t>
  </si>
  <si>
    <t xml:space="preserve">ODDFYIELD(DATE(2024,2,15),DATE(2027,7,1),DATE(2024,1,1),DATE(2024,7,1),0.1,101.5,100,1,1)</t>
  </si>
  <si>
    <t xml:space="preserve">ODDFYIELD(DATE(2024,2,15),DATE(2027,7,1),DATE(2024,1,1),DATE(2024,7,1),0.05,100,100,1,1)</t>
  </si>
  <si>
    <t xml:space="preserve">ODDFPRICE(DATE(2024,2,15),DATE(2027,7,1),DATE(2024,1,1),DATE(2024,7,1),0.05,0.08,100,1,2)</t>
  </si>
  <si>
    <t xml:space="preserve">ODDFPRICE(DATE(2024,2,15),DATE(2027,7,1),DATE(2024,1,1),DATE(2024,7,1),0.1,0.03,105,1,2)</t>
  </si>
  <si>
    <t xml:space="preserve">ODDFPRICE(DATE(2024,2,15),DATE(2027,7,1),DATE(2024,1,1),DATE(2024,7,1),0,0.05,100,1,2)</t>
  </si>
  <si>
    <t xml:space="preserve">ODDFYIELD(DATE(2024,2,15),DATE(2027,7,1),DATE(2024,1,1),DATE(2024,7,1),0.05,95,100,1,2)</t>
  </si>
  <si>
    <t xml:space="preserve">ODDFYIELD(DATE(2024,2,15),DATE(2027,7,1),DATE(2024,1,1),DATE(2024,7,1),0.1,101.5,100,1,2)</t>
  </si>
  <si>
    <t xml:space="preserve">ODDFYIELD(DATE(2024,2,15),DATE(2027,7,1),DATE(2024,1,1),DATE(2024,7,1),0.05,100,100,1,2)</t>
  </si>
  <si>
    <t xml:space="preserve">ODDFPRICE(DATE(2024,2,15),DATE(2027,7,1),DATE(2024,1,1),DATE(2024,7,1),0.05,0.08,100,1,3)</t>
  </si>
  <si>
    <t xml:space="preserve">ODDFPRICE(DATE(2024,2,15),DATE(2027,7,1),DATE(2024,1,1),DATE(2024,7,1),0.1,0.03,105,1,3)</t>
  </si>
  <si>
    <t xml:space="preserve">ODDFPRICE(DATE(2024,2,15),DATE(2027,7,1),DATE(2024,1,1),DATE(2024,7,1),0,0.05,100,1,3)</t>
  </si>
  <si>
    <t xml:space="preserve">ODDFYIELD(DATE(2024,2,15),DATE(2027,7,1),DATE(2024,1,1),DATE(2024,7,1),0.05,95,100,1,3)</t>
  </si>
  <si>
    <t xml:space="preserve">ODDFYIELD(DATE(2024,2,15),DATE(2027,7,1),DATE(2024,1,1),DATE(2024,7,1),0.1,101.5,100,1,3)</t>
  </si>
  <si>
    <t xml:space="preserve">ODDFYIELD(DATE(2024,2,15),DATE(2027,7,1),DATE(2024,1,1),DATE(2024,7,1),0.05,100,100,1,3)</t>
  </si>
  <si>
    <t xml:space="preserve">ODDFPRICE(DATE(2024,2,15),DATE(2027,7,1),DATE(2024,1,1),DATE(2024,7,1),0.05,0.08,100,1,4)</t>
  </si>
  <si>
    <t xml:space="preserve">ODDFPRICE(DATE(2024,2,15),DATE(2027,7,1),DATE(2024,1,1),DATE(2024,7,1),0.1,0.03,105,1,4)</t>
  </si>
  <si>
    <t xml:space="preserve">ODDFPRICE(DATE(2024,2,15),DATE(2027,7,1),DATE(2024,1,1),DATE(2024,7,1),0,0.05,100,1,4)</t>
  </si>
  <si>
    <t xml:space="preserve">ODDFYIELD(DATE(2024,2,15),DATE(2027,7,1),DATE(2024,1,1),DATE(2024,7,1),0.05,95,100,1,4)</t>
  </si>
  <si>
    <t xml:space="preserve">ODDFYIELD(DATE(2024,2,15),DATE(2027,7,1),DATE(2024,1,1),DATE(2024,7,1),0.1,101.5,100,1,4)</t>
  </si>
  <si>
    <t xml:space="preserve">ODDFYIELD(DATE(2024,2,15),DATE(2027,7,1),DATE(2024,1,1),DATE(2024,7,1),0.05,100,100,1,4)</t>
  </si>
  <si>
    <t xml:space="preserve">ODDFPRICE(DATE(2024,2,15),DATE(2027,7,1),DATE(2024,1,1),DATE(2024,7,1),0.05,0.08,100,2,0)</t>
  </si>
  <si>
    <t xml:space="preserve">ODDFPRICE(DATE(2024,2,15),DATE(2027,7,1),DATE(2024,1,1),DATE(2024,7,1),0.1,0.03,105,2,0)</t>
  </si>
  <si>
    <t xml:space="preserve">ODDFPRICE(DATE(2024,2,15),DATE(2027,7,1),DATE(2024,1,1),DATE(2024,7,1),0,0.05,100,2,0)</t>
  </si>
  <si>
    <t xml:space="preserve">ODDFYIELD(DATE(2024,2,15),DATE(2027,7,1),DATE(2024,1,1),DATE(2024,7,1),0.05,95,100,2,0)</t>
  </si>
  <si>
    <t xml:space="preserve">ODDFYIELD(DATE(2024,2,15),DATE(2027,7,1),DATE(2024,1,1),DATE(2024,7,1),0.1,101.5,100,2,0)</t>
  </si>
  <si>
    <t xml:space="preserve">ODDFYIELD(DATE(2024,2,15),DATE(2027,7,1),DATE(2024,1,1),DATE(2024,7,1),0.05,100,100,2,0)</t>
  </si>
  <si>
    <t xml:space="preserve">ODDFPRICE(DATE(2024,2,15),DATE(2027,7,1),DATE(2024,1,1),DATE(2024,7,1),0.05,0.08,100,2,1)</t>
  </si>
  <si>
    <t xml:space="preserve">ODDFPRICE(DATE(2024,2,15),DATE(2027,7,1),DATE(2024,1,1),DATE(2024,7,1),0.1,0.03,105,2,1)</t>
  </si>
  <si>
    <t xml:space="preserve">ODDFPRICE(DATE(2024,2,15),DATE(2027,7,1),DATE(2024,1,1),DATE(2024,7,1),0,0.05,100,2,1)</t>
  </si>
  <si>
    <t xml:space="preserve">ODDFYIELD(DATE(2024,2,15),DATE(2027,7,1),DATE(2024,1,1),DATE(2024,7,1),0.05,95,100,2,1)</t>
  </si>
  <si>
    <t xml:space="preserve">ODDFYIELD(DATE(2024,2,15),DATE(2027,7,1),DATE(2024,1,1),DATE(2024,7,1),0.1,101.5,100,2,1)</t>
  </si>
  <si>
    <t xml:space="preserve">ODDFYIELD(DATE(2024,2,15),DATE(2027,7,1),DATE(2024,1,1),DATE(2024,7,1),0.05,100,100,2,1)</t>
  </si>
  <si>
    <t xml:space="preserve">ODDFPRICE(DATE(2024,2,15),DATE(2027,7,1),DATE(2024,1,1),DATE(2024,7,1),0.05,0.08,100,2,2)</t>
  </si>
  <si>
    <t xml:space="preserve">ODDFPRICE(DATE(2024,2,15),DATE(2027,7,1),DATE(2024,1,1),DATE(2024,7,1),0.1,0.03,105,2,2)</t>
  </si>
  <si>
    <t xml:space="preserve">ODDFPRICE(DATE(2024,2,15),DATE(2027,7,1),DATE(2024,1,1),DATE(2024,7,1),0,0.05,100,2,2)</t>
  </si>
  <si>
    <t xml:space="preserve">ODDFYIELD(DATE(2024,2,15),DATE(2027,7,1),DATE(2024,1,1),DATE(2024,7,1),0.05,95,100,2,2)</t>
  </si>
  <si>
    <t xml:space="preserve">ODDFYIELD(DATE(2024,2,15),DATE(2027,7,1),DATE(2024,1,1),DATE(2024,7,1),0.1,101.5,100,2,2)</t>
  </si>
  <si>
    <t xml:space="preserve">ODDFYIELD(DATE(2024,2,15),DATE(2027,7,1),DATE(2024,1,1),DATE(2024,7,1),0.05,100,100,2,2)</t>
  </si>
  <si>
    <t xml:space="preserve">ODDFPRICE(DATE(2024,2,15),DATE(2027,7,1),DATE(2024,1,1),DATE(2024,7,1),0.05,0.08,100,2,3)</t>
  </si>
  <si>
    <t xml:space="preserve">ODDFPRICE(DATE(2024,2,15),DATE(2027,7,1),DATE(2024,1,1),DATE(2024,7,1),0.1,0.03,105,2,3)</t>
  </si>
  <si>
    <t xml:space="preserve">ODDFPRICE(DATE(2024,2,15),DATE(2027,7,1),DATE(2024,1,1),DATE(2024,7,1),0,0.05,100,2,3)</t>
  </si>
  <si>
    <t xml:space="preserve">ODDFYIELD(DATE(2024,2,15),DATE(2027,7,1),DATE(2024,1,1),DATE(2024,7,1),0.05,95,100,2,3)</t>
  </si>
  <si>
    <t xml:space="preserve">ODDFYIELD(DATE(2024,2,15),DATE(2027,7,1),DATE(2024,1,1),DATE(2024,7,1),0.1,101.5,100,2,3)</t>
  </si>
  <si>
    <t xml:space="preserve">ODDFYIELD(DATE(2024,2,15),DATE(2027,7,1),DATE(2024,1,1),DATE(2024,7,1),0.05,100,100,2,3)</t>
  </si>
  <si>
    <t xml:space="preserve">ODDFPRICE(DATE(2024,2,15),DATE(2027,7,1),DATE(2024,1,1),DATE(2024,7,1),0.05,0.08,100,2,4)</t>
  </si>
  <si>
    <t xml:space="preserve">ODDFPRICE(DATE(2024,2,15),DATE(2027,7,1),DATE(2024,1,1),DATE(2024,7,1),0.1,0.03,105,2,4)</t>
  </si>
  <si>
    <t xml:space="preserve">ODDFPRICE(DATE(2024,2,15),DATE(2027,7,1),DATE(2024,1,1),DATE(2024,7,1),0,0.05,100,2,4)</t>
  </si>
  <si>
    <t xml:space="preserve">ODDFYIELD(DATE(2024,2,15),DATE(2027,7,1),DATE(2024,1,1),DATE(2024,7,1),0.05,95,100,2,4)</t>
  </si>
  <si>
    <t xml:space="preserve">ODDFYIELD(DATE(2024,2,15),DATE(2027,7,1),DATE(2024,1,1),DATE(2024,7,1),0.1,101.5,100,2,4)</t>
  </si>
  <si>
    <t xml:space="preserve">ODDFYIELD(DATE(2024,2,15),DATE(2027,7,1),DATE(2024,1,1),DATE(2024,7,1),0.05,100,100,2,4)</t>
  </si>
  <si>
    <t xml:space="preserve">ODDFPRICE(DATE(2024,2,15),DATE(2027,7,1),DATE(2024,1,1),DATE(2024,7,1),0.05,0.08,100,4,0)</t>
  </si>
  <si>
    <t xml:space="preserve">ODDFPRICE(DATE(2024,2,15),DATE(2027,7,1),DATE(2024,1,1),DATE(2024,7,1),0.1,0.03,105,4,0)</t>
  </si>
  <si>
    <t xml:space="preserve">ODDFPRICE(DATE(2024,2,15),DATE(2027,7,1),DATE(2024,1,1),DATE(2024,7,1),0,0.05,100,4,0)</t>
  </si>
  <si>
    <t xml:space="preserve">ODDFYIELD(DATE(2024,2,15),DATE(2027,7,1),DATE(2024,1,1),DATE(2024,7,1),0.05,95,100,4,0)</t>
  </si>
  <si>
    <t xml:space="preserve">ODDFYIELD(DATE(2024,2,15),DATE(2027,7,1),DATE(2024,1,1),DATE(2024,7,1),0.1,101.5,100,4,0)</t>
  </si>
  <si>
    <t xml:space="preserve">ODDFYIELD(DATE(2024,2,15),DATE(2027,7,1),DATE(2024,1,1),DATE(2024,7,1),0.05,100,100,4,0)</t>
  </si>
  <si>
    <t xml:space="preserve">ODDFPRICE(DATE(2024,2,15),DATE(2027,7,1),DATE(2024,1,1),DATE(2024,7,1),0.05,0.08,100,4,1)</t>
  </si>
  <si>
    <t xml:space="preserve">ODDFPRICE(DATE(2024,2,15),DATE(2027,7,1),DATE(2024,1,1),DATE(2024,7,1),0.1,0.03,105,4,1)</t>
  </si>
  <si>
    <t xml:space="preserve">ODDFPRICE(DATE(2024,2,15),DATE(2027,7,1),DATE(2024,1,1),DATE(2024,7,1),0,0.05,100,4,1)</t>
  </si>
  <si>
    <t xml:space="preserve">ODDFYIELD(DATE(2024,2,15),DATE(2027,7,1),DATE(2024,1,1),DATE(2024,7,1),0.05,95,100,4,1)</t>
  </si>
  <si>
    <t xml:space="preserve">ODDFYIELD(DATE(2024,2,15),DATE(2027,7,1),DATE(2024,1,1),DATE(2024,7,1),0.1,101.5,100,4,1)</t>
  </si>
  <si>
    <t xml:space="preserve">ODDFYIELD(DATE(2024,2,15),DATE(2027,7,1),DATE(2024,1,1),DATE(2024,7,1),0.05,100,100,4,1)</t>
  </si>
  <si>
    <t xml:space="preserve">ODDFPRICE(DATE(2024,2,15),DATE(2027,7,1),DATE(2024,1,1),DATE(2024,7,1),0.05,0.08,100,4,2)</t>
  </si>
  <si>
    <t xml:space="preserve">ODDFPRICE(DATE(2024,2,15),DATE(2027,7,1),DATE(2024,1,1),DATE(2024,7,1),0.1,0.03,105,4,2)</t>
  </si>
  <si>
    <t xml:space="preserve">ODDFPRICE(DATE(2024,2,15),DATE(2027,7,1),DATE(2024,1,1),DATE(2024,7,1),0,0.05,100,4,2)</t>
  </si>
  <si>
    <t xml:space="preserve">ODDFYIELD(DATE(2024,2,15),DATE(2027,7,1),DATE(2024,1,1),DATE(2024,7,1),0.05,95,100,4,2)</t>
  </si>
  <si>
    <t xml:space="preserve">ODDFYIELD(DATE(2024,2,15),DATE(2027,7,1),DATE(2024,1,1),DATE(2024,7,1),0.1,101.5,100,4,2)</t>
  </si>
  <si>
    <t xml:space="preserve">ODDFYIELD(DATE(2024,2,15),DATE(2027,7,1),DATE(2024,1,1),DATE(2024,7,1),0.05,100,100,4,2)</t>
  </si>
  <si>
    <t xml:space="preserve">ODDFPRICE(DATE(2024,2,15),DATE(2027,7,1),DATE(2024,1,1),DATE(2024,7,1),0.05,0.08,100,4,3)</t>
  </si>
  <si>
    <t xml:space="preserve">ODDFPRICE(DATE(2024,2,15),DATE(2027,7,1),DATE(2024,1,1),DATE(2024,7,1),0.1,0.03,105,4,3)</t>
  </si>
  <si>
    <t xml:space="preserve">ODDFPRICE(DATE(2024,2,15),DATE(2027,7,1),DATE(2024,1,1),DATE(2024,7,1),0,0.05,100,4,3)</t>
  </si>
  <si>
    <t xml:space="preserve">ODDFYIELD(DATE(2024,2,15),DATE(2027,7,1),DATE(2024,1,1),DATE(2024,7,1),0.05,95,100,4,3)</t>
  </si>
  <si>
    <t xml:space="preserve">ODDFYIELD(DATE(2024,2,15),DATE(2027,7,1),DATE(2024,1,1),DATE(2024,7,1),0.1,101.5,100,4,3)</t>
  </si>
  <si>
    <t xml:space="preserve">ODDFYIELD(DATE(2024,2,15),DATE(2027,7,1),DATE(2024,1,1),DATE(2024,7,1),0.05,100,100,4,3)</t>
  </si>
  <si>
    <t xml:space="preserve">ODDFPRICE(DATE(2024,2,15),DATE(2027,7,1),DATE(2024,1,1),DATE(2024,7,1),0.05,0.08,100,4,4)</t>
  </si>
  <si>
    <t xml:space="preserve">ODDFPRICE(DATE(2024,2,15),DATE(2027,7,1),DATE(2024,1,1),DATE(2024,7,1),0.1,0.03,105,4,4)</t>
  </si>
  <si>
    <t xml:space="preserve">ODDFPRICE(DATE(2024,2,15),DATE(2027,7,1),DATE(2024,1,1),DATE(2024,7,1),0,0.05,100,4,4)</t>
  </si>
  <si>
    <t xml:space="preserve">ODDFYIELD(DATE(2024,2,15),DATE(2027,7,1),DATE(2024,1,1),DATE(2024,7,1),0.05,95,100,4,4)</t>
  </si>
  <si>
    <t xml:space="preserve">ODDFYIELD(DATE(2024,2,15),DATE(2027,7,1),DATE(2024,1,1),DATE(2024,7,1),0.1,101.5,100,4,4)</t>
  </si>
  <si>
    <t xml:space="preserve">ODDFYIELD(DATE(2024,2,15),DATE(2027,7,1),DATE(2024,1,1),DATE(2024,7,1),0.05,100,100,4,4)</t>
  </si>
  <si>
    <t xml:space="preserve">ODDFPRICE(DATE(2023,11,11),DATE(2028,7,1),DATE(2023,10,15),DATE(2024,7,1),0.05,0.08,100,1,0)</t>
  </si>
  <si>
    <t xml:space="preserve">ODDFPRICE(DATE(2023,11,11),DATE(2028,7,1),DATE(2023,10,15),DATE(2024,7,1),0.1,0.03,105,1,0)</t>
  </si>
  <si>
    <t xml:space="preserve">ODDFPRICE(DATE(2023,11,11),DATE(2028,7,1),DATE(2023,10,15),DATE(2024,7,1),0,0.05,100,1,0)</t>
  </si>
  <si>
    <t xml:space="preserve">ODDFYIELD(DATE(2023,11,11),DATE(2028,7,1),DATE(2023,10,15),DATE(2024,7,1),0.05,95,100,1,0)</t>
  </si>
  <si>
    <t xml:space="preserve">ODDFYIELD(DATE(2023,11,11),DATE(2028,7,1),DATE(2023,10,15),DATE(2024,7,1),0.1,101.5,100,1,0)</t>
  </si>
  <si>
    <t xml:space="preserve">ODDFYIELD(DATE(2023,11,11),DATE(2028,7,1),DATE(2023,10,15),DATE(2024,7,1),0.05,100,100,1,0)</t>
  </si>
  <si>
    <t xml:space="preserve">ODDFPRICE(DATE(2023,11,11),DATE(2028,7,1),DATE(2023,10,15),DATE(2024,7,1),0.05,0.08,100,1,1)</t>
  </si>
  <si>
    <t xml:space="preserve">ODDFPRICE(DATE(2023,11,11),DATE(2028,7,1),DATE(2023,10,15),DATE(2024,7,1),0.1,0.03,105,1,1)</t>
  </si>
  <si>
    <t xml:space="preserve">ODDFPRICE(DATE(2023,11,11),DATE(2028,7,1),DATE(2023,10,15),DATE(2024,7,1),0,0.05,100,1,1)</t>
  </si>
  <si>
    <t xml:space="preserve">ODDFYIELD(DATE(2023,11,11),DATE(2028,7,1),DATE(2023,10,15),DATE(2024,7,1),0.05,95,100,1,1)</t>
  </si>
  <si>
    <t xml:space="preserve">ODDFYIELD(DATE(2023,11,11),DATE(2028,7,1),DATE(2023,10,15),DATE(2024,7,1),0.1,101.5,100,1,1)</t>
  </si>
  <si>
    <t xml:space="preserve">ODDFYIELD(DATE(2023,11,11),DATE(2028,7,1),DATE(2023,10,15),DATE(2024,7,1),0.05,100,100,1,1)</t>
  </si>
  <si>
    <t xml:space="preserve">ODDFPRICE(DATE(2023,11,11),DATE(2028,7,1),DATE(2023,10,15),DATE(2024,7,1),0.05,0.08,100,1,2)</t>
  </si>
  <si>
    <t xml:space="preserve">ODDFPRICE(DATE(2023,11,11),DATE(2028,7,1),DATE(2023,10,15),DATE(2024,7,1),0.1,0.03,105,1,2)</t>
  </si>
  <si>
    <t xml:space="preserve">ODDFPRICE(DATE(2023,11,11),DATE(2028,7,1),DATE(2023,10,15),DATE(2024,7,1),0,0.05,100,1,2)</t>
  </si>
  <si>
    <t xml:space="preserve">ODDFYIELD(DATE(2023,11,11),DATE(2028,7,1),DATE(2023,10,15),DATE(2024,7,1),0.05,95,100,1,2)</t>
  </si>
  <si>
    <t xml:space="preserve">ODDFYIELD(DATE(2023,11,11),DATE(2028,7,1),DATE(2023,10,15),DATE(2024,7,1),0.1,101.5,100,1,2)</t>
  </si>
  <si>
    <t xml:space="preserve">ODDFYIELD(DATE(2023,11,11),DATE(2028,7,1),DATE(2023,10,15),DATE(2024,7,1),0.05,100,100,1,2)</t>
  </si>
  <si>
    <t xml:space="preserve">ODDFPRICE(DATE(2023,11,11),DATE(2028,7,1),DATE(2023,10,15),DATE(2024,7,1),0.05,0.08,100,1,3)</t>
  </si>
  <si>
    <t xml:space="preserve">ODDFPRICE(DATE(2023,11,11),DATE(2028,7,1),DATE(2023,10,15),DATE(2024,7,1),0.1,0.03,105,1,3)</t>
  </si>
  <si>
    <t xml:space="preserve">ODDFPRICE(DATE(2023,11,11),DATE(2028,7,1),DATE(2023,10,15),DATE(2024,7,1),0,0.05,100,1,3)</t>
  </si>
  <si>
    <t xml:space="preserve">ODDFYIELD(DATE(2023,11,11),DATE(2028,7,1),DATE(2023,10,15),DATE(2024,7,1),0.05,95,100,1,3)</t>
  </si>
  <si>
    <t xml:space="preserve">ODDFYIELD(DATE(2023,11,11),DATE(2028,7,1),DATE(2023,10,15),DATE(2024,7,1),0.1,101.5,100,1,3)</t>
  </si>
  <si>
    <t xml:space="preserve">ODDFYIELD(DATE(2023,11,11),DATE(2028,7,1),DATE(2023,10,15),DATE(2024,7,1),0.05,100,100,1,3)</t>
  </si>
  <si>
    <t xml:space="preserve">ODDFPRICE(DATE(2023,11,11),DATE(2028,7,1),DATE(2023,10,15),DATE(2024,7,1),0.05,0.08,100,1,4)</t>
  </si>
  <si>
    <t xml:space="preserve">ODDFPRICE(DATE(2023,11,11),DATE(2028,7,1),DATE(2023,10,15),DATE(2024,7,1),0.1,0.03,105,1,4)</t>
  </si>
  <si>
    <t xml:space="preserve">ODDFPRICE(DATE(2023,11,11),DATE(2028,7,1),DATE(2023,10,15),DATE(2024,7,1),0,0.05,100,1,4)</t>
  </si>
  <si>
    <t xml:space="preserve">ODDFYIELD(DATE(2023,11,11),DATE(2028,7,1),DATE(2023,10,15),DATE(2024,7,1),0.05,95,100,1,4)</t>
  </si>
  <si>
    <t xml:space="preserve">ODDFYIELD(DATE(2023,11,11),DATE(2028,7,1),DATE(2023,10,15),DATE(2024,7,1),0.1,101.5,100,1,4)</t>
  </si>
  <si>
    <t xml:space="preserve">ODDFYIELD(DATE(2023,11,11),DATE(2028,7,1),DATE(2023,10,15),DATE(2024,7,1),0.05,100,100,1,4)</t>
  </si>
  <si>
    <t xml:space="preserve">ODDFPRICE(DATE(2023,11,11),DATE(2028,7,1),DATE(2023,10,15),DATE(2024,7,1),0.05,0.08,100,2,0)</t>
  </si>
  <si>
    <t xml:space="preserve">ODDFPRICE(DATE(2023,11,11),DATE(2028,7,1),DATE(2023,10,15),DATE(2024,7,1),0.1,0.03,105,2,0)</t>
  </si>
  <si>
    <t xml:space="preserve">ODDFPRICE(DATE(2023,11,11),DATE(2028,7,1),DATE(2023,10,15),DATE(2024,7,1),0,0.05,100,2,0)</t>
  </si>
  <si>
    <t xml:space="preserve">ODDFYIELD(DATE(2023,11,11),DATE(2028,7,1),DATE(2023,10,15),DATE(2024,7,1),0.05,95,100,2,0)</t>
  </si>
  <si>
    <t xml:space="preserve">ODDFYIELD(DATE(2023,11,11),DATE(2028,7,1),DATE(2023,10,15),DATE(2024,7,1),0.1,101.5,100,2,0)</t>
  </si>
  <si>
    <t xml:space="preserve">ODDFYIELD(DATE(2023,11,11),DATE(2028,7,1),DATE(2023,10,15),DATE(2024,7,1),0.05,100,100,2,0)</t>
  </si>
  <si>
    <t xml:space="preserve">ODDFPRICE(DATE(2023,11,11),DATE(2028,7,1),DATE(2023,10,15),DATE(2024,7,1),0.05,0.08,100,2,1)</t>
  </si>
  <si>
    <t xml:space="preserve">ODDFPRICE(DATE(2023,11,11),DATE(2028,7,1),DATE(2023,10,15),DATE(2024,7,1),0.1,0.03,105,2,1)</t>
  </si>
  <si>
    <t xml:space="preserve">ODDFPRICE(DATE(2023,11,11),DATE(2028,7,1),DATE(2023,10,15),DATE(2024,7,1),0,0.05,100,2,1)</t>
  </si>
  <si>
    <t xml:space="preserve">ODDFYIELD(DATE(2023,11,11),DATE(2028,7,1),DATE(2023,10,15),DATE(2024,7,1),0.05,95,100,2,1)</t>
  </si>
  <si>
    <t xml:space="preserve">ODDFYIELD(DATE(2023,11,11),DATE(2028,7,1),DATE(2023,10,15),DATE(2024,7,1),0.1,101.5,100,2,1)</t>
  </si>
  <si>
    <t xml:space="preserve">ODDFYIELD(DATE(2023,11,11),DATE(2028,7,1),DATE(2023,10,15),DATE(2024,7,1),0.05,100,100,2,1)</t>
  </si>
  <si>
    <t xml:space="preserve">ODDFPRICE(DATE(2023,11,11),DATE(2028,7,1),DATE(2023,10,15),DATE(2024,7,1),0.05,0.08,100,2,2)</t>
  </si>
  <si>
    <t xml:space="preserve">ODDFPRICE(DATE(2023,11,11),DATE(2028,7,1),DATE(2023,10,15),DATE(2024,7,1),0.1,0.03,105,2,2)</t>
  </si>
  <si>
    <t xml:space="preserve">ODDFPRICE(DATE(2023,11,11),DATE(2028,7,1),DATE(2023,10,15),DATE(2024,7,1),0,0.05,100,2,2)</t>
  </si>
  <si>
    <t xml:space="preserve">ODDFYIELD(DATE(2023,11,11),DATE(2028,7,1),DATE(2023,10,15),DATE(2024,7,1),0.05,95,100,2,2)</t>
  </si>
  <si>
    <t xml:space="preserve">ODDFYIELD(DATE(2023,11,11),DATE(2028,7,1),DATE(2023,10,15),DATE(2024,7,1),0.1,101.5,100,2,2)</t>
  </si>
  <si>
    <t xml:space="preserve">ODDFYIELD(DATE(2023,11,11),DATE(2028,7,1),DATE(2023,10,15),DATE(2024,7,1),0.05,100,100,2,2)</t>
  </si>
  <si>
    <t xml:space="preserve">ODDFPRICE(DATE(2023,11,11),DATE(2028,7,1),DATE(2023,10,15),DATE(2024,7,1),0.05,0.08,100,2,3)</t>
  </si>
  <si>
    <t xml:space="preserve">ODDFPRICE(DATE(2023,11,11),DATE(2028,7,1),DATE(2023,10,15),DATE(2024,7,1),0.1,0.03,105,2,3)</t>
  </si>
  <si>
    <t xml:space="preserve">ODDFPRICE(DATE(2023,11,11),DATE(2028,7,1),DATE(2023,10,15),DATE(2024,7,1),0,0.05,100,2,3)</t>
  </si>
  <si>
    <t xml:space="preserve">ODDFYIELD(DATE(2023,11,11),DATE(2028,7,1),DATE(2023,10,15),DATE(2024,7,1),0.05,95,100,2,3)</t>
  </si>
  <si>
    <t xml:space="preserve">ODDFYIELD(DATE(2023,11,11),DATE(2028,7,1),DATE(2023,10,15),DATE(2024,7,1),0.1,101.5,100,2,3)</t>
  </si>
  <si>
    <t xml:space="preserve">ODDFYIELD(DATE(2023,11,11),DATE(2028,7,1),DATE(2023,10,15),DATE(2024,7,1),0.05,100,100,2,3)</t>
  </si>
  <si>
    <t xml:space="preserve">ODDFPRICE(DATE(2023,11,11),DATE(2028,7,1),DATE(2023,10,15),DATE(2024,7,1),0.05,0.08,100,2,4)</t>
  </si>
  <si>
    <t xml:space="preserve">ODDFPRICE(DATE(2023,11,11),DATE(2028,7,1),DATE(2023,10,15),DATE(2024,7,1),0.1,0.03,105,2,4)</t>
  </si>
  <si>
    <t xml:space="preserve">ODDFPRICE(DATE(2023,11,11),DATE(2028,7,1),DATE(2023,10,15),DATE(2024,7,1),0,0.05,100,2,4)</t>
  </si>
  <si>
    <t xml:space="preserve">ODDFYIELD(DATE(2023,11,11),DATE(2028,7,1),DATE(2023,10,15),DATE(2024,7,1),0.05,95,100,2,4)</t>
  </si>
  <si>
    <t xml:space="preserve">ODDFYIELD(DATE(2023,11,11),DATE(2028,7,1),DATE(2023,10,15),DATE(2024,7,1),0.1,101.5,100,2,4)</t>
  </si>
  <si>
    <t xml:space="preserve">ODDFYIELD(DATE(2023,11,11),DATE(2028,7,1),DATE(2023,10,15),DATE(2024,7,1),0.05,100,100,2,4)</t>
  </si>
  <si>
    <t xml:space="preserve">ODDFPRICE(DATE(2023,11,11),DATE(2028,7,1),DATE(2023,10,15),DATE(2024,7,1),0.05,0.08,100,4,0)</t>
  </si>
  <si>
    <t xml:space="preserve">ODDFPRICE(DATE(2023,11,11),DATE(2028,7,1),DATE(2023,10,15),DATE(2024,7,1),0.1,0.03,105,4,0)</t>
  </si>
  <si>
    <t xml:space="preserve">ODDFPRICE(DATE(2023,11,11),DATE(2028,7,1),DATE(2023,10,15),DATE(2024,7,1),0,0.05,100,4,0)</t>
  </si>
  <si>
    <t xml:space="preserve">ODDFYIELD(DATE(2023,11,11),DATE(2028,7,1),DATE(2023,10,15),DATE(2024,7,1),0.05,95,100,4,0)</t>
  </si>
  <si>
    <t xml:space="preserve">ODDFYIELD(DATE(2023,11,11),DATE(2028,7,1),DATE(2023,10,15),DATE(2024,7,1),0.1,101.5,100,4,0)</t>
  </si>
  <si>
    <t xml:space="preserve">ODDFYIELD(DATE(2023,11,11),DATE(2028,7,1),DATE(2023,10,15),DATE(2024,7,1),0.05,100,100,4,0)</t>
  </si>
  <si>
    <t xml:space="preserve">ODDFPRICE(DATE(2023,11,11),DATE(2028,7,1),DATE(2023,10,15),DATE(2024,7,1),0.05,0.08,100,4,1)</t>
  </si>
  <si>
    <t xml:space="preserve">ODDFPRICE(DATE(2023,11,11),DATE(2028,7,1),DATE(2023,10,15),DATE(2024,7,1),0.1,0.03,105,4,1)</t>
  </si>
  <si>
    <t xml:space="preserve">ODDFPRICE(DATE(2023,11,11),DATE(2028,7,1),DATE(2023,10,15),DATE(2024,7,1),0,0.05,100,4,1)</t>
  </si>
  <si>
    <t xml:space="preserve">ODDFYIELD(DATE(2023,11,11),DATE(2028,7,1),DATE(2023,10,15),DATE(2024,7,1),0.05,95,100,4,1)</t>
  </si>
  <si>
    <t xml:space="preserve">ODDFYIELD(DATE(2023,11,11),DATE(2028,7,1),DATE(2023,10,15),DATE(2024,7,1),0.1,101.5,100,4,1)</t>
  </si>
  <si>
    <t xml:space="preserve">ODDFYIELD(DATE(2023,11,11),DATE(2028,7,1),DATE(2023,10,15),DATE(2024,7,1),0.05,100,100,4,1)</t>
  </si>
  <si>
    <t xml:space="preserve">ODDFPRICE(DATE(2023,11,11),DATE(2028,7,1),DATE(2023,10,15),DATE(2024,7,1),0.05,0.08,100,4,2)</t>
  </si>
  <si>
    <t xml:space="preserve">ODDFPRICE(DATE(2023,11,11),DATE(2028,7,1),DATE(2023,10,15),DATE(2024,7,1),0.1,0.03,105,4,2)</t>
  </si>
  <si>
    <t xml:space="preserve">ODDFPRICE(DATE(2023,11,11),DATE(2028,7,1),DATE(2023,10,15),DATE(2024,7,1),0,0.05,100,4,2)</t>
  </si>
  <si>
    <t xml:space="preserve">ODDFYIELD(DATE(2023,11,11),DATE(2028,7,1),DATE(2023,10,15),DATE(2024,7,1),0.05,95,100,4,2)</t>
  </si>
  <si>
    <t xml:space="preserve">ODDFYIELD(DATE(2023,11,11),DATE(2028,7,1),DATE(2023,10,15),DATE(2024,7,1),0.1,101.5,100,4,2)</t>
  </si>
  <si>
    <t xml:space="preserve">ODDFYIELD(DATE(2023,11,11),DATE(2028,7,1),DATE(2023,10,15),DATE(2024,7,1),0.05,100,100,4,2)</t>
  </si>
  <si>
    <t xml:space="preserve">ODDFPRICE(DATE(2023,11,11),DATE(2028,7,1),DATE(2023,10,15),DATE(2024,7,1),0.05,0.08,100,4,3)</t>
  </si>
  <si>
    <t xml:space="preserve">ODDFPRICE(DATE(2023,11,11),DATE(2028,7,1),DATE(2023,10,15),DATE(2024,7,1),0.1,0.03,105,4,3)</t>
  </si>
  <si>
    <t xml:space="preserve">ODDFPRICE(DATE(2023,11,11),DATE(2028,7,1),DATE(2023,10,15),DATE(2024,7,1),0,0.05,100,4,3)</t>
  </si>
  <si>
    <t xml:space="preserve">ODDFYIELD(DATE(2023,11,11),DATE(2028,7,1),DATE(2023,10,15),DATE(2024,7,1),0.05,95,100,4,3)</t>
  </si>
  <si>
    <t xml:space="preserve">ODDFYIELD(DATE(2023,11,11),DATE(2028,7,1),DATE(2023,10,15),DATE(2024,7,1),0.1,101.5,100,4,3)</t>
  </si>
  <si>
    <t xml:space="preserve">ODDFYIELD(DATE(2023,11,11),DATE(2028,7,1),DATE(2023,10,15),DATE(2024,7,1),0.05,100,100,4,3)</t>
  </si>
  <si>
    <t xml:space="preserve">ODDFPRICE(DATE(2023,11,11),DATE(2028,7,1),DATE(2023,10,15),DATE(2024,7,1),0.05,0.08,100,4,4)</t>
  </si>
  <si>
    <t xml:space="preserve">ODDFPRICE(DATE(2023,11,11),DATE(2028,7,1),DATE(2023,10,15),DATE(2024,7,1),0.1,0.03,105,4,4)</t>
  </si>
  <si>
    <t xml:space="preserve">ODDFPRICE(DATE(2023,11,11),DATE(2028,7,1),DATE(2023,10,15),DATE(2024,7,1),0,0.05,100,4,4)</t>
  </si>
  <si>
    <t xml:space="preserve">ODDFYIELD(DATE(2023,11,11),DATE(2028,7,1),DATE(2023,10,15),DATE(2024,7,1),0.05,95,100,4,4)</t>
  </si>
  <si>
    <t xml:space="preserve">ODDFYIELD(DATE(2023,11,11),DATE(2028,7,1),DATE(2023,10,15),DATE(2024,7,1),0.1,101.5,100,4,4)</t>
  </si>
  <si>
    <t xml:space="preserve">ODDFYIELD(DATE(2023,11,11),DATE(2028,7,1),DATE(2023,10,15),DATE(2024,7,1),0.05,100,100,4,4)</t>
  </si>
  <si>
    <t xml:space="preserve">ODDFPRICE(DATE(2024,3,1),DATE(2026,8,31),DATE(2024,1,31),DATE(2024,8,31),0.05,0.08,100,1,0)</t>
  </si>
  <si>
    <t xml:space="preserve">ODDFPRICE(DATE(2024,3,1),DATE(2026,8,31),DATE(2024,1,31),DATE(2024,8,31),0.1,0.03,105,1,0)</t>
  </si>
  <si>
    <t xml:space="preserve">ODDFPRICE(DATE(2024,3,1),DATE(2026,8,31),DATE(2024,1,31),DATE(2024,8,31),0,0.05,100,1,0)</t>
  </si>
  <si>
    <t xml:space="preserve">ODDFYIELD(DATE(2024,3,1),DATE(2026,8,31),DATE(2024,1,31),DATE(2024,8,31),0.05,95,100,1,0)</t>
  </si>
  <si>
    <t xml:space="preserve">ODDFYIELD(DATE(2024,3,1),DATE(2026,8,31),DATE(2024,1,31),DATE(2024,8,31),0.1,101.5,100,1,0)</t>
  </si>
  <si>
    <t xml:space="preserve">ODDFYIELD(DATE(2024,3,1),DATE(2026,8,31),DATE(2024,1,31),DATE(2024,8,31),0.05,100,100,1,0)</t>
  </si>
  <si>
    <t xml:space="preserve">ODDFPRICE(DATE(2024,3,1),DATE(2026,8,31),DATE(2024,1,31),DATE(2024,8,31),0.05,0.08,100,1,1)</t>
  </si>
  <si>
    <t xml:space="preserve">ODDFPRICE(DATE(2024,3,1),DATE(2026,8,31),DATE(2024,1,31),DATE(2024,8,31),0.1,0.03,105,1,1)</t>
  </si>
  <si>
    <t xml:space="preserve">ODDFPRICE(DATE(2024,3,1),DATE(2026,8,31),DATE(2024,1,31),DATE(2024,8,31),0,0.05,100,1,1)</t>
  </si>
  <si>
    <t xml:space="preserve">ODDFYIELD(DATE(2024,3,1),DATE(2026,8,31),DATE(2024,1,31),DATE(2024,8,31),0.05,95,100,1,1)</t>
  </si>
  <si>
    <t xml:space="preserve">ODDFYIELD(DATE(2024,3,1),DATE(2026,8,31),DATE(2024,1,31),DATE(2024,8,31),0.1,101.5,100,1,1)</t>
  </si>
  <si>
    <t xml:space="preserve">ODDFYIELD(DATE(2024,3,1),DATE(2026,8,31),DATE(2024,1,31),DATE(2024,8,31),0.05,100,100,1,1)</t>
  </si>
  <si>
    <t xml:space="preserve">ODDFPRICE(DATE(2024,3,1),DATE(2026,8,31),DATE(2024,1,31),DATE(2024,8,31),0.05,0.08,100,1,2)</t>
  </si>
  <si>
    <t xml:space="preserve">ODDFPRICE(DATE(2024,3,1),DATE(2026,8,31),DATE(2024,1,31),DATE(2024,8,31),0.1,0.03,105,1,2)</t>
  </si>
  <si>
    <t xml:space="preserve">ODDFPRICE(DATE(2024,3,1),DATE(2026,8,31),DATE(2024,1,31),DATE(2024,8,31),0,0.05,100,1,2)</t>
  </si>
  <si>
    <t xml:space="preserve">ODDFYIELD(DATE(2024,3,1),DATE(2026,8,31),DATE(2024,1,31),DATE(2024,8,31),0.05,95,100,1,2)</t>
  </si>
  <si>
    <t xml:space="preserve">ODDFYIELD(DATE(2024,3,1),DATE(2026,8,31),DATE(2024,1,31),DATE(2024,8,31),0.1,101.5,100,1,2)</t>
  </si>
  <si>
    <t xml:space="preserve">ODDFYIELD(DATE(2024,3,1),DATE(2026,8,31),DATE(2024,1,31),DATE(2024,8,31),0.05,100,100,1,2)</t>
  </si>
  <si>
    <t xml:space="preserve">ODDFPRICE(DATE(2024,3,1),DATE(2026,8,31),DATE(2024,1,31),DATE(2024,8,31),0.05,0.08,100,1,3)</t>
  </si>
  <si>
    <t xml:space="preserve">ODDFPRICE(DATE(2024,3,1),DATE(2026,8,31),DATE(2024,1,31),DATE(2024,8,31),0.1,0.03,105,1,3)</t>
  </si>
  <si>
    <t xml:space="preserve">ODDFPRICE(DATE(2024,3,1),DATE(2026,8,31),DATE(2024,1,31),DATE(2024,8,31),0,0.05,100,1,3)</t>
  </si>
  <si>
    <t xml:space="preserve">ODDFYIELD(DATE(2024,3,1),DATE(2026,8,31),DATE(2024,1,31),DATE(2024,8,31),0.05,95,100,1,3)</t>
  </si>
  <si>
    <t xml:space="preserve">ODDFYIELD(DATE(2024,3,1),DATE(2026,8,31),DATE(2024,1,31),DATE(2024,8,31),0.1,101.5,100,1,3)</t>
  </si>
  <si>
    <t xml:space="preserve">ODDFYIELD(DATE(2024,3,1),DATE(2026,8,31),DATE(2024,1,31),DATE(2024,8,31),0.05,100,100,1,3)</t>
  </si>
  <si>
    <t xml:space="preserve">ODDFPRICE(DATE(2024,3,1),DATE(2026,8,31),DATE(2024,1,31),DATE(2024,8,31),0.05,0.08,100,1,4)</t>
  </si>
  <si>
    <t xml:space="preserve">ODDFPRICE(DATE(2024,3,1),DATE(2026,8,31),DATE(2024,1,31),DATE(2024,8,31),0.1,0.03,105,1,4)</t>
  </si>
  <si>
    <t xml:space="preserve">ODDFPRICE(DATE(2024,3,1),DATE(2026,8,31),DATE(2024,1,31),DATE(2024,8,31),0,0.05,100,1,4)</t>
  </si>
  <si>
    <t xml:space="preserve">ODDFYIELD(DATE(2024,3,1),DATE(2026,8,31),DATE(2024,1,31),DATE(2024,8,31),0.05,95,100,1,4)</t>
  </si>
  <si>
    <t xml:space="preserve">ODDFYIELD(DATE(2024,3,1),DATE(2026,8,31),DATE(2024,1,31),DATE(2024,8,31),0.1,101.5,100,1,4)</t>
  </si>
  <si>
    <t xml:space="preserve">ODDFYIELD(DATE(2024,3,1),DATE(2026,8,31),DATE(2024,1,31),DATE(2024,8,31),0.05,100,100,1,4)</t>
  </si>
  <si>
    <t xml:space="preserve">ODDFPRICE(DATE(2024,3,1),DATE(2026,8,31),DATE(2024,1,31),DATE(2024,8,31),0.05,0.08,100,2,0)</t>
  </si>
  <si>
    <t xml:space="preserve">ODDFPRICE(DATE(2024,3,1),DATE(2026,8,31),DATE(2024,1,31),DATE(2024,8,31),0.1,0.03,105,2,0)</t>
  </si>
  <si>
    <t xml:space="preserve">ODDFPRICE(DATE(2024,3,1),DATE(2026,8,31),DATE(2024,1,31),DATE(2024,8,31),0,0.05,100,2,0)</t>
  </si>
  <si>
    <t xml:space="preserve">ODDFYIELD(DATE(2024,3,1),DATE(2026,8,31),DATE(2024,1,31),DATE(2024,8,31),0.05,95,100,2,0)</t>
  </si>
  <si>
    <t xml:space="preserve">ODDFYIELD(DATE(2024,3,1),DATE(2026,8,31),DATE(2024,1,31),DATE(2024,8,31),0.1,101.5,100,2,0)</t>
  </si>
  <si>
    <t xml:space="preserve">ODDFYIELD(DATE(2024,3,1),DATE(2026,8,31),DATE(2024,1,31),DATE(2024,8,31),0.05,100,100,2,0)</t>
  </si>
  <si>
    <t xml:space="preserve">ODDFPRICE(DATE(2024,3,1),DATE(2026,8,31),DATE(2024,1,31),DATE(2024,8,31),0.05,0.08,100,2,1)</t>
  </si>
  <si>
    <t xml:space="preserve">ODDFPRICE(DATE(2024,3,1),DATE(2026,8,31),DATE(2024,1,31),DATE(2024,8,31),0.1,0.03,105,2,1)</t>
  </si>
  <si>
    <t xml:space="preserve">ODDFPRICE(DATE(2024,3,1),DATE(2026,8,31),DATE(2024,1,31),DATE(2024,8,31),0,0.05,100,2,1)</t>
  </si>
  <si>
    <t xml:space="preserve">ODDFYIELD(DATE(2024,3,1),DATE(2026,8,31),DATE(2024,1,31),DATE(2024,8,31),0.05,95,100,2,1)</t>
  </si>
  <si>
    <t xml:space="preserve">ODDFYIELD(DATE(2024,3,1),DATE(2026,8,31),DATE(2024,1,31),DATE(2024,8,31),0.1,101.5,100,2,1)</t>
  </si>
  <si>
    <t xml:space="preserve">ODDFYIELD(DATE(2024,3,1),DATE(2026,8,31),DATE(2024,1,31),DATE(2024,8,31),0.05,100,100,2,1)</t>
  </si>
  <si>
    <t xml:space="preserve">ODDFPRICE(DATE(2024,3,1),DATE(2026,8,31),DATE(2024,1,31),DATE(2024,8,31),0.05,0.08,100,2,2)</t>
  </si>
  <si>
    <t xml:space="preserve">ODDFPRICE(DATE(2024,3,1),DATE(2026,8,31),DATE(2024,1,31),DATE(2024,8,31),0.1,0.03,105,2,2)</t>
  </si>
  <si>
    <t xml:space="preserve">ODDFPRICE(DATE(2024,3,1),DATE(2026,8,31),DATE(2024,1,31),DATE(2024,8,31),0,0.05,100,2,2)</t>
  </si>
  <si>
    <t xml:space="preserve">ODDFYIELD(DATE(2024,3,1),DATE(2026,8,31),DATE(2024,1,31),DATE(2024,8,31),0.05,95,100,2,2)</t>
  </si>
  <si>
    <t xml:space="preserve">ODDFYIELD(DATE(2024,3,1),DATE(2026,8,31),DATE(2024,1,31),DATE(2024,8,31),0.1,101.5,100,2,2)</t>
  </si>
  <si>
    <t xml:space="preserve">ODDFYIELD(DATE(2024,3,1),DATE(2026,8,31),DATE(2024,1,31),DATE(2024,8,31),0.05,100,100,2,2)</t>
  </si>
  <si>
    <t xml:space="preserve">ODDFPRICE(DATE(2024,3,1),DATE(2026,8,31),DATE(2024,1,31),DATE(2024,8,31),0.05,0.08,100,2,3)</t>
  </si>
  <si>
    <t xml:space="preserve">ODDFPRICE(DATE(2024,3,1),DATE(2026,8,31),DATE(2024,1,31),DATE(2024,8,31),0.1,0.03,105,2,3)</t>
  </si>
  <si>
    <t xml:space="preserve">ODDFPRICE(DATE(2024,3,1),DATE(2026,8,31),DATE(2024,1,31),DATE(2024,8,31),0,0.05,100,2,3)</t>
  </si>
  <si>
    <t xml:space="preserve">ODDFYIELD(DATE(2024,3,1),DATE(2026,8,31),DATE(2024,1,31),DATE(2024,8,31),0.05,95,100,2,3)</t>
  </si>
  <si>
    <t xml:space="preserve">ODDFYIELD(DATE(2024,3,1),DATE(2026,8,31),DATE(2024,1,31),DATE(2024,8,31),0.1,101.5,100,2,3)</t>
  </si>
  <si>
    <t xml:space="preserve">ODDFYIELD(DATE(2024,3,1),DATE(2026,8,31),DATE(2024,1,31),DATE(2024,8,31),0.05,100,100,2,3)</t>
  </si>
  <si>
    <t xml:space="preserve">ODDFPRICE(DATE(2024,3,1),DATE(2026,8,31),DATE(2024,1,31),DATE(2024,8,31),0.05,0.08,100,2,4)</t>
  </si>
  <si>
    <t xml:space="preserve">ODDFPRICE(DATE(2024,3,1),DATE(2026,8,31),DATE(2024,1,31),DATE(2024,8,31),0.1,0.03,105,2,4)</t>
  </si>
  <si>
    <t xml:space="preserve">ODDFPRICE(DATE(2024,3,1),DATE(2026,8,31),DATE(2024,1,31),DATE(2024,8,31),0,0.05,100,2,4)</t>
  </si>
  <si>
    <t xml:space="preserve">ODDFYIELD(DATE(2024,3,1),DATE(2026,8,31),DATE(2024,1,31),DATE(2024,8,31),0.05,95,100,2,4)</t>
  </si>
  <si>
    <t xml:space="preserve">ODDFYIELD(DATE(2024,3,1),DATE(2026,8,31),DATE(2024,1,31),DATE(2024,8,31),0.1,101.5,100,2,4)</t>
  </si>
  <si>
    <t xml:space="preserve">ODDFYIELD(DATE(2024,3,1),DATE(2026,8,31),DATE(2024,1,31),DATE(2024,8,31),0.05,100,100,2,4)</t>
  </si>
  <si>
    <t xml:space="preserve">ODDFPRICE(DATE(2024,3,1),DATE(2026,8,31),DATE(2024,1,31),DATE(2024,8,31),0.05,0.08,100,4,0)</t>
  </si>
  <si>
    <t xml:space="preserve">ODDFPRICE(DATE(2024,3,1),DATE(2026,8,31),DATE(2024,1,31),DATE(2024,8,31),0.1,0.03,105,4,0)</t>
  </si>
  <si>
    <t xml:space="preserve">ODDFPRICE(DATE(2024,3,1),DATE(2026,8,31),DATE(2024,1,31),DATE(2024,8,31),0,0.05,100,4,0)</t>
  </si>
  <si>
    <t xml:space="preserve">ODDFYIELD(DATE(2024,3,1),DATE(2026,8,31),DATE(2024,1,31),DATE(2024,8,31),0.05,95,100,4,0)</t>
  </si>
  <si>
    <t xml:space="preserve">ODDFYIELD(DATE(2024,3,1),DATE(2026,8,31),DATE(2024,1,31),DATE(2024,8,31),0.1,101.5,100,4,0)</t>
  </si>
  <si>
    <t xml:space="preserve">ODDFYIELD(DATE(2024,3,1),DATE(2026,8,31),DATE(2024,1,31),DATE(2024,8,31),0.05,100,100,4,0)</t>
  </si>
  <si>
    <t xml:space="preserve">ODDFPRICE(DATE(2024,3,1),DATE(2026,8,31),DATE(2024,1,31),DATE(2024,8,31),0.05,0.08,100,4,1)</t>
  </si>
  <si>
    <t xml:space="preserve">ODDFPRICE(DATE(2024,3,1),DATE(2026,8,31),DATE(2024,1,31),DATE(2024,8,31),0.1,0.03,105,4,1)</t>
  </si>
  <si>
    <t xml:space="preserve">ODDFPRICE(DATE(2024,3,1),DATE(2026,8,31),DATE(2024,1,31),DATE(2024,8,31),0,0.05,100,4,1)</t>
  </si>
  <si>
    <t xml:space="preserve">ODDFYIELD(DATE(2024,3,1),DATE(2026,8,31),DATE(2024,1,31),DATE(2024,8,31),0.05,95,100,4,1)</t>
  </si>
  <si>
    <t xml:space="preserve">ODDFYIELD(DATE(2024,3,1),DATE(2026,8,31),DATE(2024,1,31),DATE(2024,8,31),0.1,101.5,100,4,1)</t>
  </si>
  <si>
    <t xml:space="preserve">ODDFYIELD(DATE(2024,3,1),DATE(2026,8,31),DATE(2024,1,31),DATE(2024,8,31),0.05,100,100,4,1)</t>
  </si>
  <si>
    <t xml:space="preserve">ODDFPRICE(DATE(2024,3,1),DATE(2026,8,31),DATE(2024,1,31),DATE(2024,8,31),0.05,0.08,100,4,2)</t>
  </si>
  <si>
    <t xml:space="preserve">ODDFPRICE(DATE(2024,3,1),DATE(2026,8,31),DATE(2024,1,31),DATE(2024,8,31),0.1,0.03,105,4,2)</t>
  </si>
  <si>
    <t xml:space="preserve">ODDFPRICE(DATE(2024,3,1),DATE(2026,8,31),DATE(2024,1,31),DATE(2024,8,31),0,0.05,100,4,2)</t>
  </si>
  <si>
    <t xml:space="preserve">ODDFYIELD(DATE(2024,3,1),DATE(2026,8,31),DATE(2024,1,31),DATE(2024,8,31),0.05,95,100,4,2)</t>
  </si>
  <si>
    <t xml:space="preserve">ODDFYIELD(DATE(2024,3,1),DATE(2026,8,31),DATE(2024,1,31),DATE(2024,8,31),0.1,101.5,100,4,2)</t>
  </si>
  <si>
    <t xml:space="preserve">ODDFYIELD(DATE(2024,3,1),DATE(2026,8,31),DATE(2024,1,31),DATE(2024,8,31),0.05,100,100,4,2)</t>
  </si>
  <si>
    <t xml:space="preserve">ODDFPRICE(DATE(2024,3,1),DATE(2026,8,31),DATE(2024,1,31),DATE(2024,8,31),0.05,0.08,100,4,3)</t>
  </si>
  <si>
    <t xml:space="preserve">ODDFPRICE(DATE(2024,3,1),DATE(2026,8,31),DATE(2024,1,31),DATE(2024,8,31),0.1,0.03,105,4,3)</t>
  </si>
  <si>
    <t xml:space="preserve">ODDFPRICE(DATE(2024,3,1),DATE(2026,8,31),DATE(2024,1,31),DATE(2024,8,31),0,0.05,100,4,3)</t>
  </si>
  <si>
    <t xml:space="preserve">ODDFYIELD(DATE(2024,3,1),DATE(2026,8,31),DATE(2024,1,31),DATE(2024,8,31),0.05,95,100,4,3)</t>
  </si>
  <si>
    <t xml:space="preserve">ODDFYIELD(DATE(2024,3,1),DATE(2026,8,31),DATE(2024,1,31),DATE(2024,8,31),0.1,101.5,100,4,3)</t>
  </si>
  <si>
    <t xml:space="preserve">ODDFYIELD(DATE(2024,3,1),DATE(2026,8,31),DATE(2024,1,31),DATE(2024,8,31),0.05,100,100,4,3)</t>
  </si>
  <si>
    <t xml:space="preserve">ODDFPRICE(DATE(2024,3,1),DATE(2026,8,31),DATE(2024,1,31),DATE(2024,8,31),0.05,0.08,100,4,4)</t>
  </si>
  <si>
    <t xml:space="preserve">ODDFPRICE(DATE(2024,3,1),DATE(2026,8,31),DATE(2024,1,31),DATE(2024,8,31),0.1,0.03,105,4,4)</t>
  </si>
  <si>
    <t xml:space="preserve">ODDFPRICE(DATE(2024,3,1),DATE(2026,8,31),DATE(2024,1,31),DATE(2024,8,31),0,0.05,100,4,4)</t>
  </si>
  <si>
    <t xml:space="preserve">ODDFYIELD(DATE(2024,3,1),DATE(2026,8,31),DATE(2024,1,31),DATE(2024,8,31),0.05,95,100,4,4)</t>
  </si>
  <si>
    <t xml:space="preserve">ODDFYIELD(DATE(2024,3,1),DATE(2026,8,31),DATE(2024,1,31),DATE(2024,8,31),0.1,101.5,100,4,4)</t>
  </si>
  <si>
    <t xml:space="preserve">ODDFYIELD(DATE(2024,3,1),DATE(2026,8,31),DATE(2024,1,31),DATE(2024,8,31),0.05,100,100,4,4)</t>
  </si>
  <si>
    <t xml:space="preserve">ODDFPRICE(DATE(2024,3,20),DATE(2025,4,15),DATE(2024,3,15),DATE(2024,4,15),0.05,0.08,100,1,0)</t>
  </si>
  <si>
    <t xml:space="preserve">ODDFPRICE(DATE(2024,3,20),DATE(2025,4,15),DATE(2024,3,15),DATE(2024,4,15),0.1,0.03,105,1,0)</t>
  </si>
  <si>
    <t xml:space="preserve">ODDFPRICE(DATE(2024,3,20),DATE(2025,4,15),DATE(2024,3,15),DATE(2024,4,15),0,0.05,100,1,0)</t>
  </si>
  <si>
    <t xml:space="preserve">ODDFYIELD(DATE(2024,3,20),DATE(2025,4,15),DATE(2024,3,15),DATE(2024,4,15),0.05,95,100,1,0)</t>
  </si>
  <si>
    <t xml:space="preserve">ODDFYIELD(DATE(2024,3,20),DATE(2025,4,15),DATE(2024,3,15),DATE(2024,4,15),0.1,101.5,100,1,0)</t>
  </si>
  <si>
    <t xml:space="preserve">ODDFYIELD(DATE(2024,3,20),DATE(2025,4,15),DATE(2024,3,15),DATE(2024,4,15),0.05,100,100,1,0)</t>
  </si>
  <si>
    <t xml:space="preserve">ODDFPRICE(DATE(2024,3,20),DATE(2025,4,15),DATE(2024,3,15),DATE(2024,4,15),0.05,0.08,100,1,1)</t>
  </si>
  <si>
    <t xml:space="preserve">ODDFPRICE(DATE(2024,3,20),DATE(2025,4,15),DATE(2024,3,15),DATE(2024,4,15),0.1,0.03,105,1,1)</t>
  </si>
  <si>
    <t xml:space="preserve">ODDFPRICE(DATE(2024,3,20),DATE(2025,4,15),DATE(2024,3,15),DATE(2024,4,15),0,0.05,100,1,1)</t>
  </si>
  <si>
    <t xml:space="preserve">ODDFYIELD(DATE(2024,3,20),DATE(2025,4,15),DATE(2024,3,15),DATE(2024,4,15),0.05,95,100,1,1)</t>
  </si>
  <si>
    <t xml:space="preserve">ODDFYIELD(DATE(2024,3,20),DATE(2025,4,15),DATE(2024,3,15),DATE(2024,4,15),0.1,101.5,100,1,1)</t>
  </si>
  <si>
    <t xml:space="preserve">ODDFYIELD(DATE(2024,3,20),DATE(2025,4,15),DATE(2024,3,15),DATE(2024,4,15),0.05,100,100,1,1)</t>
  </si>
  <si>
    <t xml:space="preserve">ODDFPRICE(DATE(2024,3,20),DATE(2025,4,15),DATE(2024,3,15),DATE(2024,4,15),0.05,0.08,100,1,2)</t>
  </si>
  <si>
    <t xml:space="preserve">ODDFPRICE(DATE(2024,3,20),DATE(2025,4,15),DATE(2024,3,15),DATE(2024,4,15),0.1,0.03,105,1,2)</t>
  </si>
  <si>
    <t xml:space="preserve">ODDFPRICE(DATE(2024,3,20),DATE(2025,4,15),DATE(2024,3,15),DATE(2024,4,15),0,0.05,100,1,2)</t>
  </si>
  <si>
    <t xml:space="preserve">ODDFYIELD(DATE(2024,3,20),DATE(2025,4,15),DATE(2024,3,15),DATE(2024,4,15),0.05,95,100,1,2)</t>
  </si>
  <si>
    <t xml:space="preserve">ODDFYIELD(DATE(2024,3,20),DATE(2025,4,15),DATE(2024,3,15),DATE(2024,4,15),0.1,101.5,100,1,2)</t>
  </si>
  <si>
    <t xml:space="preserve">ODDFYIELD(DATE(2024,3,20),DATE(2025,4,15),DATE(2024,3,15),DATE(2024,4,15),0.05,100,100,1,2)</t>
  </si>
  <si>
    <t xml:space="preserve">ODDFPRICE(DATE(2024,3,20),DATE(2025,4,15),DATE(2024,3,15),DATE(2024,4,15),0.05,0.08,100,1,3)</t>
  </si>
  <si>
    <t xml:space="preserve">ODDFPRICE(DATE(2024,3,20),DATE(2025,4,15),DATE(2024,3,15),DATE(2024,4,15),0.1,0.03,105,1,3)</t>
  </si>
  <si>
    <t xml:space="preserve">ODDFPRICE(DATE(2024,3,20),DATE(2025,4,15),DATE(2024,3,15),DATE(2024,4,15),0,0.05,100,1,3)</t>
  </si>
  <si>
    <t xml:space="preserve">ODDFYIELD(DATE(2024,3,20),DATE(2025,4,15),DATE(2024,3,15),DATE(2024,4,15),0.05,95,100,1,3)</t>
  </si>
  <si>
    <t xml:space="preserve">ODDFYIELD(DATE(2024,3,20),DATE(2025,4,15),DATE(2024,3,15),DATE(2024,4,15),0.1,101.5,100,1,3)</t>
  </si>
  <si>
    <t xml:space="preserve">ODDFYIELD(DATE(2024,3,20),DATE(2025,4,15),DATE(2024,3,15),DATE(2024,4,15),0.05,100,100,1,3)</t>
  </si>
  <si>
    <t xml:space="preserve">ODDFPRICE(DATE(2024,3,20),DATE(2025,4,15),DATE(2024,3,15),DATE(2024,4,15),0.05,0.08,100,1,4)</t>
  </si>
  <si>
    <t xml:space="preserve">ODDFPRICE(DATE(2024,3,20),DATE(2025,4,15),DATE(2024,3,15),DATE(2024,4,15),0.1,0.03,105,1,4)</t>
  </si>
  <si>
    <t xml:space="preserve">ODDFPRICE(DATE(2024,3,20),DATE(2025,4,15),DATE(2024,3,15),DATE(2024,4,15),0,0.05,100,1,4)</t>
  </si>
  <si>
    <t xml:space="preserve">ODDFYIELD(DATE(2024,3,20),DATE(2025,4,15),DATE(2024,3,15),DATE(2024,4,15),0.05,95,100,1,4)</t>
  </si>
  <si>
    <t xml:space="preserve">ODDFYIELD(DATE(2024,3,20),DATE(2025,4,15),DATE(2024,3,15),DATE(2024,4,15),0.1,101.5,100,1,4)</t>
  </si>
  <si>
    <t xml:space="preserve">ODDFYIELD(DATE(2024,3,20),DATE(2025,4,15),DATE(2024,3,15),DATE(2024,4,15),0.05,100,100,1,4)</t>
  </si>
  <si>
    <t xml:space="preserve">ODDFPRICE(DATE(2024,3,20),DATE(2025,4,15),DATE(2024,3,15),DATE(2024,4,15),0.05,0.08,100,2,0)</t>
  </si>
  <si>
    <t xml:space="preserve">ODDFPRICE(DATE(2024,3,20),DATE(2025,4,15),DATE(2024,3,15),DATE(2024,4,15),0.1,0.03,105,2,0)</t>
  </si>
  <si>
    <t xml:space="preserve">ODDFPRICE(DATE(2024,3,20),DATE(2025,4,15),DATE(2024,3,15),DATE(2024,4,15),0,0.05,100,2,0)</t>
  </si>
  <si>
    <t xml:space="preserve">ODDFYIELD(DATE(2024,3,20),DATE(2025,4,15),DATE(2024,3,15),DATE(2024,4,15),0.05,95,100,2,0)</t>
  </si>
  <si>
    <t xml:space="preserve">ODDFYIELD(DATE(2024,3,20),DATE(2025,4,15),DATE(2024,3,15),DATE(2024,4,15),0.1,101.5,100,2,0)</t>
  </si>
  <si>
    <t xml:space="preserve">ODDFYIELD(DATE(2024,3,20),DATE(2025,4,15),DATE(2024,3,15),DATE(2024,4,15),0.05,100,100,2,0)</t>
  </si>
  <si>
    <t xml:space="preserve">ODDFPRICE(DATE(2024,3,20),DATE(2025,4,15),DATE(2024,3,15),DATE(2024,4,15),0.05,0.08,100,2,1)</t>
  </si>
  <si>
    <t xml:space="preserve">ODDFPRICE(DATE(2024,3,20),DATE(2025,4,15),DATE(2024,3,15),DATE(2024,4,15),0.1,0.03,105,2,1)</t>
  </si>
  <si>
    <t xml:space="preserve">ODDFPRICE(DATE(2024,3,20),DATE(2025,4,15),DATE(2024,3,15),DATE(2024,4,15),0,0.05,100,2,1)</t>
  </si>
  <si>
    <t xml:space="preserve">ODDFYIELD(DATE(2024,3,20),DATE(2025,4,15),DATE(2024,3,15),DATE(2024,4,15),0.05,95,100,2,1)</t>
  </si>
  <si>
    <t xml:space="preserve">ODDFYIELD(DATE(2024,3,20),DATE(2025,4,15),DATE(2024,3,15),DATE(2024,4,15),0.1,101.5,100,2,1)</t>
  </si>
  <si>
    <t xml:space="preserve">ODDFYIELD(DATE(2024,3,20),DATE(2025,4,15),DATE(2024,3,15),DATE(2024,4,15),0.05,100,100,2,1)</t>
  </si>
  <si>
    <t xml:space="preserve">ODDFPRICE(DATE(2024,3,20),DATE(2025,4,15),DATE(2024,3,15),DATE(2024,4,15),0.05,0.08,100,2,2)</t>
  </si>
  <si>
    <t xml:space="preserve">ODDFPRICE(DATE(2024,3,20),DATE(2025,4,15),DATE(2024,3,15),DATE(2024,4,15),0.1,0.03,105,2,2)</t>
  </si>
  <si>
    <t xml:space="preserve">ODDFPRICE(DATE(2024,3,20),DATE(2025,4,15),DATE(2024,3,15),DATE(2024,4,15),0,0.05,100,2,2)</t>
  </si>
  <si>
    <t xml:space="preserve">ODDFYIELD(DATE(2024,3,20),DATE(2025,4,15),DATE(2024,3,15),DATE(2024,4,15),0.05,95,100,2,2)</t>
  </si>
  <si>
    <t xml:space="preserve">ODDFYIELD(DATE(2024,3,20),DATE(2025,4,15),DATE(2024,3,15),DATE(2024,4,15),0.1,101.5,100,2,2)</t>
  </si>
  <si>
    <t xml:space="preserve">ODDFYIELD(DATE(2024,3,20),DATE(2025,4,15),DATE(2024,3,15),DATE(2024,4,15),0.05,100,100,2,2)</t>
  </si>
  <si>
    <t xml:space="preserve">ODDFPRICE(DATE(2024,3,20),DATE(2025,4,15),DATE(2024,3,15),DATE(2024,4,15),0.05,0.08,100,2,3)</t>
  </si>
  <si>
    <t xml:space="preserve">ODDFPRICE(DATE(2024,3,20),DATE(2025,4,15),DATE(2024,3,15),DATE(2024,4,15),0.1,0.03,105,2,3)</t>
  </si>
  <si>
    <t xml:space="preserve">ODDFPRICE(DATE(2024,3,20),DATE(2025,4,15),DATE(2024,3,15),DATE(2024,4,15),0,0.05,100,2,3)</t>
  </si>
  <si>
    <t xml:space="preserve">ODDFYIELD(DATE(2024,3,20),DATE(2025,4,15),DATE(2024,3,15),DATE(2024,4,15),0.05,95,100,2,3)</t>
  </si>
  <si>
    <t xml:space="preserve">ODDFYIELD(DATE(2024,3,20),DATE(2025,4,15),DATE(2024,3,15),DATE(2024,4,15),0.1,101.5,100,2,3)</t>
  </si>
  <si>
    <t xml:space="preserve">ODDFYIELD(DATE(2024,3,20),DATE(2025,4,15),DATE(2024,3,15),DATE(2024,4,15),0.05,100,100,2,3)</t>
  </si>
  <si>
    <t xml:space="preserve">ODDFPRICE(DATE(2024,3,20),DATE(2025,4,15),DATE(2024,3,15),DATE(2024,4,15),0.05,0.08,100,2,4)</t>
  </si>
  <si>
    <t xml:space="preserve">ODDFPRICE(DATE(2024,3,20),DATE(2025,4,15),DATE(2024,3,15),DATE(2024,4,15),0.1,0.03,105,2,4)</t>
  </si>
  <si>
    <t xml:space="preserve">ODDFPRICE(DATE(2024,3,20),DATE(2025,4,15),DATE(2024,3,15),DATE(2024,4,15),0,0.05,100,2,4)</t>
  </si>
  <si>
    <t xml:space="preserve">ODDFYIELD(DATE(2024,3,20),DATE(2025,4,15),DATE(2024,3,15),DATE(2024,4,15),0.05,95,100,2,4)</t>
  </si>
  <si>
    <t xml:space="preserve">ODDFYIELD(DATE(2024,3,20),DATE(2025,4,15),DATE(2024,3,15),DATE(2024,4,15),0.1,101.5,100,2,4)</t>
  </si>
  <si>
    <t xml:space="preserve">ODDFYIELD(DATE(2024,3,20),DATE(2025,4,15),DATE(2024,3,15),DATE(2024,4,15),0.05,100,100,2,4)</t>
  </si>
  <si>
    <t xml:space="preserve">ODDFPRICE(DATE(2024,3,20),DATE(2025,4,15),DATE(2024,3,15),DATE(2024,4,15),0.05,0.08,100,4,0)</t>
  </si>
  <si>
    <t xml:space="preserve">ODDFPRICE(DATE(2024,3,20),DATE(2025,4,15),DATE(2024,3,15),DATE(2024,4,15),0.1,0.03,105,4,0)</t>
  </si>
  <si>
    <t xml:space="preserve">ODDFPRICE(DATE(2024,3,20),DATE(2025,4,15),DATE(2024,3,15),DATE(2024,4,15),0,0.05,100,4,0)</t>
  </si>
  <si>
    <t xml:space="preserve">ODDFYIELD(DATE(2024,3,20),DATE(2025,4,15),DATE(2024,3,15),DATE(2024,4,15),0.05,95,100,4,0)</t>
  </si>
  <si>
    <t xml:space="preserve">ODDFYIELD(DATE(2024,3,20),DATE(2025,4,15),DATE(2024,3,15),DATE(2024,4,15),0.1,101.5,100,4,0)</t>
  </si>
  <si>
    <t xml:space="preserve">ODDFYIELD(DATE(2024,3,20),DATE(2025,4,15),DATE(2024,3,15),DATE(2024,4,15),0.05,100,100,4,0)</t>
  </si>
  <si>
    <t xml:space="preserve">ODDFPRICE(DATE(2024,3,20),DATE(2025,4,15),DATE(2024,3,15),DATE(2024,4,15),0.05,0.08,100,4,1)</t>
  </si>
  <si>
    <t xml:space="preserve">ODDFPRICE(DATE(2024,3,20),DATE(2025,4,15),DATE(2024,3,15),DATE(2024,4,15),0.1,0.03,105,4,1)</t>
  </si>
  <si>
    <t xml:space="preserve">ODDFPRICE(DATE(2024,3,20),DATE(2025,4,15),DATE(2024,3,15),DATE(2024,4,15),0,0.05,100,4,1)</t>
  </si>
  <si>
    <t xml:space="preserve">ODDFYIELD(DATE(2024,3,20),DATE(2025,4,15),DATE(2024,3,15),DATE(2024,4,15),0.05,95,100,4,1)</t>
  </si>
  <si>
    <t xml:space="preserve">ODDFYIELD(DATE(2024,3,20),DATE(2025,4,15),DATE(2024,3,15),DATE(2024,4,15),0.1,101.5,100,4,1)</t>
  </si>
  <si>
    <t xml:space="preserve">ODDFYIELD(DATE(2024,3,20),DATE(2025,4,15),DATE(2024,3,15),DATE(2024,4,15),0.05,100,100,4,1)</t>
  </si>
  <si>
    <t xml:space="preserve">ODDFPRICE(DATE(2024,3,20),DATE(2025,4,15),DATE(2024,3,15),DATE(2024,4,15),0.05,0.08,100,4,2)</t>
  </si>
  <si>
    <t xml:space="preserve">ODDFPRICE(DATE(2024,3,20),DATE(2025,4,15),DATE(2024,3,15),DATE(2024,4,15),0.1,0.03,105,4,2)</t>
  </si>
  <si>
    <t xml:space="preserve">ODDFPRICE(DATE(2024,3,20),DATE(2025,4,15),DATE(2024,3,15),DATE(2024,4,15),0,0.05,100,4,2)</t>
  </si>
  <si>
    <t xml:space="preserve">ODDFYIELD(DATE(2024,3,20),DATE(2025,4,15),DATE(2024,3,15),DATE(2024,4,15),0.05,95,100,4,2)</t>
  </si>
  <si>
    <t xml:space="preserve">ODDFYIELD(DATE(2024,3,20),DATE(2025,4,15),DATE(2024,3,15),DATE(2024,4,15),0.1,101.5,100,4,2)</t>
  </si>
  <si>
    <t xml:space="preserve">ODDFYIELD(DATE(2024,3,20),DATE(2025,4,15),DATE(2024,3,15),DATE(2024,4,15),0.05,100,100,4,2)</t>
  </si>
  <si>
    <t xml:space="preserve">ODDFPRICE(DATE(2024,3,20),DATE(2025,4,15),DATE(2024,3,15),DATE(2024,4,15),0.05,0.08,100,4,3)</t>
  </si>
  <si>
    <t xml:space="preserve">ODDFPRICE(DATE(2024,3,20),DATE(2025,4,15),DATE(2024,3,15),DATE(2024,4,15),0.1,0.03,105,4,3)</t>
  </si>
  <si>
    <t xml:space="preserve">ODDFPRICE(DATE(2024,3,20),DATE(2025,4,15),DATE(2024,3,15),DATE(2024,4,15),0,0.05,100,4,3)</t>
  </si>
  <si>
    <t xml:space="preserve">ODDFYIELD(DATE(2024,3,20),DATE(2025,4,15),DATE(2024,3,15),DATE(2024,4,15),0.05,95,100,4,3)</t>
  </si>
  <si>
    <t xml:space="preserve">ODDFYIELD(DATE(2024,3,20),DATE(2025,4,15),DATE(2024,3,15),DATE(2024,4,15),0.1,101.5,100,4,3)</t>
  </si>
  <si>
    <t xml:space="preserve">ODDFYIELD(DATE(2024,3,20),DATE(2025,4,15),DATE(2024,3,15),DATE(2024,4,15),0.05,100,100,4,3)</t>
  </si>
  <si>
    <t xml:space="preserve">ODDFPRICE(DATE(2024,3,20),DATE(2025,4,15),DATE(2024,3,15),DATE(2024,4,15),0.05,0.08,100,4,4)</t>
  </si>
  <si>
    <t xml:space="preserve">ODDFPRICE(DATE(2024,3,20),DATE(2025,4,15),DATE(2024,3,15),DATE(2024,4,15),0.1,0.03,105,4,4)</t>
  </si>
  <si>
    <t xml:space="preserve">ODDFPRICE(DATE(2024,3,20),DATE(2025,4,15),DATE(2024,3,15),DATE(2024,4,15),0,0.05,100,4,4)</t>
  </si>
  <si>
    <t xml:space="preserve">ODDFYIELD(DATE(2024,3,20),DATE(2025,4,15),DATE(2024,3,15),DATE(2024,4,15),0.05,95,100,4,4)</t>
  </si>
  <si>
    <t xml:space="preserve">ODDFYIELD(DATE(2024,3,20),DATE(2025,4,15),DATE(2024,3,15),DATE(2024,4,15),0.1,101.5,100,4,4)</t>
  </si>
  <si>
    <t xml:space="preserve">ODDFYIELD(DATE(2024,3,20),DATE(2025,4,15),DATE(2024,3,15),DATE(2024,4,15),0.05,100,100,4,4)</t>
  </si>
  <si>
    <t xml:space="preserve">ODDFPRICE(DATE(2024,5,1),DATE(2026,1,15),DATE(2024,4,1),DATE(2024,7,15),0.05,0.08,100,1,0)</t>
  </si>
  <si>
    <t xml:space="preserve">ODDFPRICE(DATE(2024,5,1),DATE(2026,1,15),DATE(2024,4,1),DATE(2024,7,15),0.1,0.03,105,1,0)</t>
  </si>
  <si>
    <t xml:space="preserve">ODDFPRICE(DATE(2024,5,1),DATE(2026,1,15),DATE(2024,4,1),DATE(2024,7,15),0,0.05,100,1,0)</t>
  </si>
  <si>
    <t xml:space="preserve">ODDFYIELD(DATE(2024,5,1),DATE(2026,1,15),DATE(2024,4,1),DATE(2024,7,15),0.05,95,100,1,0)</t>
  </si>
  <si>
    <t xml:space="preserve">ODDFYIELD(DATE(2024,5,1),DATE(2026,1,15),DATE(2024,4,1),DATE(2024,7,15),0.1,101.5,100,1,0)</t>
  </si>
  <si>
    <t xml:space="preserve">ODDFYIELD(DATE(2024,5,1),DATE(2026,1,15),DATE(2024,4,1),DATE(2024,7,15),0.05,100,100,1,0)</t>
  </si>
  <si>
    <t xml:space="preserve">ODDFPRICE(DATE(2024,5,1),DATE(2026,1,15),DATE(2024,4,1),DATE(2024,7,15),0.05,0.08,100,1,1)</t>
  </si>
  <si>
    <t xml:space="preserve">ODDFPRICE(DATE(2024,5,1),DATE(2026,1,15),DATE(2024,4,1),DATE(2024,7,15),0.1,0.03,105,1,1)</t>
  </si>
  <si>
    <t xml:space="preserve">ODDFPRICE(DATE(2024,5,1),DATE(2026,1,15),DATE(2024,4,1),DATE(2024,7,15),0,0.05,100,1,1)</t>
  </si>
  <si>
    <t xml:space="preserve">ODDFYIELD(DATE(2024,5,1),DATE(2026,1,15),DATE(2024,4,1),DATE(2024,7,15),0.05,95,100,1,1)</t>
  </si>
  <si>
    <t xml:space="preserve">ODDFYIELD(DATE(2024,5,1),DATE(2026,1,15),DATE(2024,4,1),DATE(2024,7,15),0.1,101.5,100,1,1)</t>
  </si>
  <si>
    <t xml:space="preserve">ODDFYIELD(DATE(2024,5,1),DATE(2026,1,15),DATE(2024,4,1),DATE(2024,7,15),0.05,100,100,1,1)</t>
  </si>
  <si>
    <t xml:space="preserve">ODDFPRICE(DATE(2024,5,1),DATE(2026,1,15),DATE(2024,4,1),DATE(2024,7,15),0.05,0.08,100,1,2)</t>
  </si>
  <si>
    <t xml:space="preserve">ODDFPRICE(DATE(2024,5,1),DATE(2026,1,15),DATE(2024,4,1),DATE(2024,7,15),0.1,0.03,105,1,2)</t>
  </si>
  <si>
    <t xml:space="preserve">ODDFPRICE(DATE(2024,5,1),DATE(2026,1,15),DATE(2024,4,1),DATE(2024,7,15),0,0.05,100,1,2)</t>
  </si>
  <si>
    <t xml:space="preserve">ODDFYIELD(DATE(2024,5,1),DATE(2026,1,15),DATE(2024,4,1),DATE(2024,7,15),0.05,95,100,1,2)</t>
  </si>
  <si>
    <t xml:space="preserve">ODDFYIELD(DATE(2024,5,1),DATE(2026,1,15),DATE(2024,4,1),DATE(2024,7,15),0.1,101.5,100,1,2)</t>
  </si>
  <si>
    <t xml:space="preserve">ODDFYIELD(DATE(2024,5,1),DATE(2026,1,15),DATE(2024,4,1),DATE(2024,7,15),0.05,100,100,1,2)</t>
  </si>
  <si>
    <t xml:space="preserve">ODDFPRICE(DATE(2024,5,1),DATE(2026,1,15),DATE(2024,4,1),DATE(2024,7,15),0.05,0.08,100,1,3)</t>
  </si>
  <si>
    <t xml:space="preserve">ODDFPRICE(DATE(2024,5,1),DATE(2026,1,15),DATE(2024,4,1),DATE(2024,7,15),0.1,0.03,105,1,3)</t>
  </si>
  <si>
    <t xml:space="preserve">ODDFPRICE(DATE(2024,5,1),DATE(2026,1,15),DATE(2024,4,1),DATE(2024,7,15),0,0.05,100,1,3)</t>
  </si>
  <si>
    <t xml:space="preserve">ODDFYIELD(DATE(2024,5,1),DATE(2026,1,15),DATE(2024,4,1),DATE(2024,7,15),0.05,95,100,1,3)</t>
  </si>
  <si>
    <t xml:space="preserve">ODDFYIELD(DATE(2024,5,1),DATE(2026,1,15),DATE(2024,4,1),DATE(2024,7,15),0.1,101.5,100,1,3)</t>
  </si>
  <si>
    <t xml:space="preserve">ODDFYIELD(DATE(2024,5,1),DATE(2026,1,15),DATE(2024,4,1),DATE(2024,7,15),0.05,100,100,1,3)</t>
  </si>
  <si>
    <t xml:space="preserve">ODDFPRICE(DATE(2024,5,1),DATE(2026,1,15),DATE(2024,4,1),DATE(2024,7,15),0.05,0.08,100,1,4)</t>
  </si>
  <si>
    <t xml:space="preserve">ODDFPRICE(DATE(2024,5,1),DATE(2026,1,15),DATE(2024,4,1),DATE(2024,7,15),0.1,0.03,105,1,4)</t>
  </si>
  <si>
    <t xml:space="preserve">ODDFPRICE(DATE(2024,5,1),DATE(2026,1,15),DATE(2024,4,1),DATE(2024,7,15),0,0.05,100,1,4)</t>
  </si>
  <si>
    <t xml:space="preserve">ODDFYIELD(DATE(2024,5,1),DATE(2026,1,15),DATE(2024,4,1),DATE(2024,7,15),0.05,95,100,1,4)</t>
  </si>
  <si>
    <t xml:space="preserve">ODDFYIELD(DATE(2024,5,1),DATE(2026,1,15),DATE(2024,4,1),DATE(2024,7,15),0.1,101.5,100,1,4)</t>
  </si>
  <si>
    <t xml:space="preserve">ODDFYIELD(DATE(2024,5,1),DATE(2026,1,15),DATE(2024,4,1),DATE(2024,7,15),0.05,100,100,1,4)</t>
  </si>
  <si>
    <t xml:space="preserve">ODDFPRICE(DATE(2024,5,1),DATE(2026,1,15),DATE(2024,4,1),DATE(2024,7,15),0.05,0.08,100,2,0)</t>
  </si>
  <si>
    <t xml:space="preserve">ODDFPRICE(DATE(2024,5,1),DATE(2026,1,15),DATE(2024,4,1),DATE(2024,7,15),0.1,0.03,105,2,0)</t>
  </si>
  <si>
    <t xml:space="preserve">ODDFPRICE(DATE(2024,5,1),DATE(2026,1,15),DATE(2024,4,1),DATE(2024,7,15),0,0.05,100,2,0)</t>
  </si>
  <si>
    <t xml:space="preserve">ODDFYIELD(DATE(2024,5,1),DATE(2026,1,15),DATE(2024,4,1),DATE(2024,7,15),0.05,95,100,2,0)</t>
  </si>
  <si>
    <t xml:space="preserve">ODDFYIELD(DATE(2024,5,1),DATE(2026,1,15),DATE(2024,4,1),DATE(2024,7,15),0.1,101.5,100,2,0)</t>
  </si>
  <si>
    <t xml:space="preserve">ODDFYIELD(DATE(2024,5,1),DATE(2026,1,15),DATE(2024,4,1),DATE(2024,7,15),0.05,100,100,2,0)</t>
  </si>
  <si>
    <t xml:space="preserve">ODDFPRICE(DATE(2024,5,1),DATE(2026,1,15),DATE(2024,4,1),DATE(2024,7,15),0.05,0.08,100,2,1)</t>
  </si>
  <si>
    <t xml:space="preserve">ODDFPRICE(DATE(2024,5,1),DATE(2026,1,15),DATE(2024,4,1),DATE(2024,7,15),0.1,0.03,105,2,1)</t>
  </si>
  <si>
    <t xml:space="preserve">ODDFPRICE(DATE(2024,5,1),DATE(2026,1,15),DATE(2024,4,1),DATE(2024,7,15),0,0.05,100,2,1)</t>
  </si>
  <si>
    <t xml:space="preserve">ODDFYIELD(DATE(2024,5,1),DATE(2026,1,15),DATE(2024,4,1),DATE(2024,7,15),0.05,95,100,2,1)</t>
  </si>
  <si>
    <t xml:space="preserve">ODDFYIELD(DATE(2024,5,1),DATE(2026,1,15),DATE(2024,4,1),DATE(2024,7,15),0.1,101.5,100,2,1)</t>
  </si>
  <si>
    <t xml:space="preserve">ODDFYIELD(DATE(2024,5,1),DATE(2026,1,15),DATE(2024,4,1),DATE(2024,7,15),0.05,100,100,2,1)</t>
  </si>
  <si>
    <t xml:space="preserve">ODDFPRICE(DATE(2024,5,1),DATE(2026,1,15),DATE(2024,4,1),DATE(2024,7,15),0.05,0.08,100,2,2)</t>
  </si>
  <si>
    <t xml:space="preserve">ODDFPRICE(DATE(2024,5,1),DATE(2026,1,15),DATE(2024,4,1),DATE(2024,7,15),0.1,0.03,105,2,2)</t>
  </si>
  <si>
    <t xml:space="preserve">ODDFPRICE(DATE(2024,5,1),DATE(2026,1,15),DATE(2024,4,1),DATE(2024,7,15),0,0.05,100,2,2)</t>
  </si>
  <si>
    <t xml:space="preserve">ODDFYIELD(DATE(2024,5,1),DATE(2026,1,15),DATE(2024,4,1),DATE(2024,7,15),0.05,95,100,2,2)</t>
  </si>
  <si>
    <t xml:space="preserve">ODDFYIELD(DATE(2024,5,1),DATE(2026,1,15),DATE(2024,4,1),DATE(2024,7,15),0.1,101.5,100,2,2)</t>
  </si>
  <si>
    <t xml:space="preserve">ODDFYIELD(DATE(2024,5,1),DATE(2026,1,15),DATE(2024,4,1),DATE(2024,7,15),0.05,100,100,2,2)</t>
  </si>
  <si>
    <t xml:space="preserve">ODDFPRICE(DATE(2024,5,1),DATE(2026,1,15),DATE(2024,4,1),DATE(2024,7,15),0.05,0.08,100,2,3)</t>
  </si>
  <si>
    <t xml:space="preserve">ODDFPRICE(DATE(2024,5,1),DATE(2026,1,15),DATE(2024,4,1),DATE(2024,7,15),0.1,0.03,105,2,3)</t>
  </si>
  <si>
    <t xml:space="preserve">ODDFPRICE(DATE(2024,5,1),DATE(2026,1,15),DATE(2024,4,1),DATE(2024,7,15),0,0.05,100,2,3)</t>
  </si>
  <si>
    <t xml:space="preserve">ODDFYIELD(DATE(2024,5,1),DATE(2026,1,15),DATE(2024,4,1),DATE(2024,7,15),0.05,95,100,2,3)</t>
  </si>
  <si>
    <t xml:space="preserve">ODDFYIELD(DATE(2024,5,1),DATE(2026,1,15),DATE(2024,4,1),DATE(2024,7,15),0.1,101.5,100,2,3)</t>
  </si>
  <si>
    <t xml:space="preserve">ODDFYIELD(DATE(2024,5,1),DATE(2026,1,15),DATE(2024,4,1),DATE(2024,7,15),0.05,100,100,2,3)</t>
  </si>
  <si>
    <t xml:space="preserve">ODDFPRICE(DATE(2024,5,1),DATE(2026,1,15),DATE(2024,4,1),DATE(2024,7,15),0.05,0.08,100,2,4)</t>
  </si>
  <si>
    <t xml:space="preserve">ODDFPRICE(DATE(2024,5,1),DATE(2026,1,15),DATE(2024,4,1),DATE(2024,7,15),0.1,0.03,105,2,4)</t>
  </si>
  <si>
    <t xml:space="preserve">ODDFPRICE(DATE(2024,5,1),DATE(2026,1,15),DATE(2024,4,1),DATE(2024,7,15),0,0.05,100,2,4)</t>
  </si>
  <si>
    <t xml:space="preserve">ODDFYIELD(DATE(2024,5,1),DATE(2026,1,15),DATE(2024,4,1),DATE(2024,7,15),0.05,95,100,2,4)</t>
  </si>
  <si>
    <t xml:space="preserve">ODDFYIELD(DATE(2024,5,1),DATE(2026,1,15),DATE(2024,4,1),DATE(2024,7,15),0.1,101.5,100,2,4)</t>
  </si>
  <si>
    <t xml:space="preserve">ODDFYIELD(DATE(2024,5,1),DATE(2026,1,15),DATE(2024,4,1),DATE(2024,7,15),0.05,100,100,2,4)</t>
  </si>
  <si>
    <t xml:space="preserve">ODDFPRICE(DATE(2024,5,1),DATE(2026,1,15),DATE(2024,4,1),DATE(2024,7,15),0.05,0.08,100,4,0)</t>
  </si>
  <si>
    <t xml:space="preserve">ODDFPRICE(DATE(2024,5,1),DATE(2026,1,15),DATE(2024,4,1),DATE(2024,7,15),0.1,0.03,105,4,0)</t>
  </si>
  <si>
    <t xml:space="preserve">ODDFPRICE(DATE(2024,5,1),DATE(2026,1,15),DATE(2024,4,1),DATE(2024,7,15),0,0.05,100,4,0)</t>
  </si>
  <si>
    <t xml:space="preserve">ODDFYIELD(DATE(2024,5,1),DATE(2026,1,15),DATE(2024,4,1),DATE(2024,7,15),0.05,95,100,4,0)</t>
  </si>
  <si>
    <t xml:space="preserve">ODDFYIELD(DATE(2024,5,1),DATE(2026,1,15),DATE(2024,4,1),DATE(2024,7,15),0.1,101.5,100,4,0)</t>
  </si>
  <si>
    <t xml:space="preserve">ODDFYIELD(DATE(2024,5,1),DATE(2026,1,15),DATE(2024,4,1),DATE(2024,7,15),0.05,100,100,4,0)</t>
  </si>
  <si>
    <t xml:space="preserve">ODDFPRICE(DATE(2024,5,1),DATE(2026,1,15),DATE(2024,4,1),DATE(2024,7,15),0.05,0.08,100,4,1)</t>
  </si>
  <si>
    <t xml:space="preserve">ODDFPRICE(DATE(2024,5,1),DATE(2026,1,15),DATE(2024,4,1),DATE(2024,7,15),0.1,0.03,105,4,1)</t>
  </si>
  <si>
    <t xml:space="preserve">ODDFPRICE(DATE(2024,5,1),DATE(2026,1,15),DATE(2024,4,1),DATE(2024,7,15),0,0.05,100,4,1)</t>
  </si>
  <si>
    <t xml:space="preserve">ODDFYIELD(DATE(2024,5,1),DATE(2026,1,15),DATE(2024,4,1),DATE(2024,7,15),0.05,95,100,4,1)</t>
  </si>
  <si>
    <t xml:space="preserve">ODDFYIELD(DATE(2024,5,1),DATE(2026,1,15),DATE(2024,4,1),DATE(2024,7,15),0.1,101.5,100,4,1)</t>
  </si>
  <si>
    <t xml:space="preserve">ODDFYIELD(DATE(2024,5,1),DATE(2026,1,15),DATE(2024,4,1),DATE(2024,7,15),0.05,100,100,4,1)</t>
  </si>
  <si>
    <t xml:space="preserve">ODDFPRICE(DATE(2024,5,1),DATE(2026,1,15),DATE(2024,4,1),DATE(2024,7,15),0.05,0.08,100,4,2)</t>
  </si>
  <si>
    <t xml:space="preserve">ODDFPRICE(DATE(2024,5,1),DATE(2026,1,15),DATE(2024,4,1),DATE(2024,7,15),0.1,0.03,105,4,2)</t>
  </si>
  <si>
    <t xml:space="preserve">ODDFPRICE(DATE(2024,5,1),DATE(2026,1,15),DATE(2024,4,1),DATE(2024,7,15),0,0.05,100,4,2)</t>
  </si>
  <si>
    <t xml:space="preserve">ODDFYIELD(DATE(2024,5,1),DATE(2026,1,15),DATE(2024,4,1),DATE(2024,7,15),0.05,95,100,4,2)</t>
  </si>
  <si>
    <t xml:space="preserve">ODDFYIELD(DATE(2024,5,1),DATE(2026,1,15),DATE(2024,4,1),DATE(2024,7,15),0.1,101.5,100,4,2)</t>
  </si>
  <si>
    <t xml:space="preserve">ODDFYIELD(DATE(2024,5,1),DATE(2026,1,15),DATE(2024,4,1),DATE(2024,7,15),0.05,100,100,4,2)</t>
  </si>
  <si>
    <t xml:space="preserve">ODDFPRICE(DATE(2024,5,1),DATE(2026,1,15),DATE(2024,4,1),DATE(2024,7,15),0.05,0.08,100,4,3)</t>
  </si>
  <si>
    <t xml:space="preserve">ODDFPRICE(DATE(2024,5,1),DATE(2026,1,15),DATE(2024,4,1),DATE(2024,7,15),0.1,0.03,105,4,3)</t>
  </si>
  <si>
    <t xml:space="preserve">ODDFPRICE(DATE(2024,5,1),DATE(2026,1,15),DATE(2024,4,1),DATE(2024,7,15),0,0.05,100,4,3)</t>
  </si>
  <si>
    <t xml:space="preserve">ODDFYIELD(DATE(2024,5,1),DATE(2026,1,15),DATE(2024,4,1),DATE(2024,7,15),0.05,95,100,4,3)</t>
  </si>
  <si>
    <t xml:space="preserve">ODDFYIELD(DATE(2024,5,1),DATE(2026,1,15),DATE(2024,4,1),DATE(2024,7,15),0.1,101.5,100,4,3)</t>
  </si>
  <si>
    <t xml:space="preserve">ODDFYIELD(DATE(2024,5,1),DATE(2026,1,15),DATE(2024,4,1),DATE(2024,7,15),0.05,100,100,4,3)</t>
  </si>
  <si>
    <t xml:space="preserve">ODDFPRICE(DATE(2024,5,1),DATE(2026,1,15),DATE(2024,4,1),DATE(2024,7,15),0.05,0.08,100,4,4)</t>
  </si>
  <si>
    <t xml:space="preserve">ODDFPRICE(DATE(2024,5,1),DATE(2026,1,15),DATE(2024,4,1),DATE(2024,7,15),0.1,0.03,105,4,4)</t>
  </si>
  <si>
    <t xml:space="preserve">ODDFPRICE(DATE(2024,5,1),DATE(2026,1,15),DATE(2024,4,1),DATE(2024,7,15),0,0.05,100,4,4)</t>
  </si>
  <si>
    <t xml:space="preserve">ODDFYIELD(DATE(2024,5,1),DATE(2026,1,15),DATE(2024,4,1),DATE(2024,7,15),0.05,95,100,4,4)</t>
  </si>
  <si>
    <t xml:space="preserve">ODDFYIELD(DATE(2024,5,1),DATE(2026,1,15),DATE(2024,4,1),DATE(2024,7,15),0.1,101.5,100,4,4)</t>
  </si>
  <si>
    <t xml:space="preserve">ODDFYIELD(DATE(2024,5,1),DATE(2026,1,15),DATE(2024,4,1),DATE(2024,7,15),0.05,100,100,4,4)</t>
  </si>
  <si>
    <t xml:space="preserve">ODDFPRICE(DATE(2024,2,29),DATE(2027,2,28),DATE(2024,1,15),DATE(2024,8,31),0.05,0.08,100,1,0)</t>
  </si>
  <si>
    <t xml:space="preserve">ODDFPRICE(DATE(2024,2,29),DATE(2027,2,28),DATE(2024,1,15),DATE(2024,8,31),0.1,0.03,105,1,0)</t>
  </si>
  <si>
    <t xml:space="preserve">ODDFPRICE(DATE(2024,2,29),DATE(2027,2,28),DATE(2024,1,15),DATE(2024,8,31),0,0.05,100,1,0)</t>
  </si>
  <si>
    <t xml:space="preserve">ODDFYIELD(DATE(2024,2,29),DATE(2027,2,28),DATE(2024,1,15),DATE(2024,8,31),0.05,95,100,1,0)</t>
  </si>
  <si>
    <t xml:space="preserve">ODDFYIELD(DATE(2024,2,29),DATE(2027,2,28),DATE(2024,1,15),DATE(2024,8,31),0.1,101.5,100,1,0)</t>
  </si>
  <si>
    <t xml:space="preserve">ODDFYIELD(DATE(2024,2,29),DATE(2027,2,28),DATE(2024,1,15),DATE(2024,8,31),0.05,100,100,1,0)</t>
  </si>
  <si>
    <t xml:space="preserve">ODDFPRICE(DATE(2024,2,29),DATE(2027,2,28),DATE(2024,1,15),DATE(2024,8,31),0.05,0.08,100,1,1)</t>
  </si>
  <si>
    <t xml:space="preserve">ODDFPRICE(DATE(2024,2,29),DATE(2027,2,28),DATE(2024,1,15),DATE(2024,8,31),0.1,0.03,105,1,1)</t>
  </si>
  <si>
    <t xml:space="preserve">ODDFPRICE(DATE(2024,2,29),DATE(2027,2,28),DATE(2024,1,15),DATE(2024,8,31),0,0.05,100,1,1)</t>
  </si>
  <si>
    <t xml:space="preserve">ODDFYIELD(DATE(2024,2,29),DATE(2027,2,28),DATE(2024,1,15),DATE(2024,8,31),0.05,95,100,1,1)</t>
  </si>
  <si>
    <t xml:space="preserve">ODDFYIELD(DATE(2024,2,29),DATE(2027,2,28),DATE(2024,1,15),DATE(2024,8,31),0.1,101.5,100,1,1)</t>
  </si>
  <si>
    <t xml:space="preserve">ODDFYIELD(DATE(2024,2,29),DATE(2027,2,28),DATE(2024,1,15),DATE(2024,8,31),0.05,100,100,1,1)</t>
  </si>
  <si>
    <t xml:space="preserve">ODDFPRICE(DATE(2024,2,29),DATE(2027,2,28),DATE(2024,1,15),DATE(2024,8,31),0.05,0.08,100,1,2)</t>
  </si>
  <si>
    <t xml:space="preserve">ODDFPRICE(DATE(2024,2,29),DATE(2027,2,28),DATE(2024,1,15),DATE(2024,8,31),0.1,0.03,105,1,2)</t>
  </si>
  <si>
    <t xml:space="preserve">ODDFPRICE(DATE(2024,2,29),DATE(2027,2,28),DATE(2024,1,15),DATE(2024,8,31),0,0.05,100,1,2)</t>
  </si>
  <si>
    <t xml:space="preserve">ODDFYIELD(DATE(2024,2,29),DATE(2027,2,28),DATE(2024,1,15),DATE(2024,8,31),0.05,95,100,1,2)</t>
  </si>
  <si>
    <t xml:space="preserve">ODDFYIELD(DATE(2024,2,29),DATE(2027,2,28),DATE(2024,1,15),DATE(2024,8,31),0.1,101.5,100,1,2)</t>
  </si>
  <si>
    <t xml:space="preserve">ODDFYIELD(DATE(2024,2,29),DATE(2027,2,28),DATE(2024,1,15),DATE(2024,8,31),0.05,100,100,1,2)</t>
  </si>
  <si>
    <t xml:space="preserve">ODDFPRICE(DATE(2024,2,29),DATE(2027,2,28),DATE(2024,1,15),DATE(2024,8,31),0.05,0.08,100,1,3)</t>
  </si>
  <si>
    <t xml:space="preserve">ODDFPRICE(DATE(2024,2,29),DATE(2027,2,28),DATE(2024,1,15),DATE(2024,8,31),0.1,0.03,105,1,3)</t>
  </si>
  <si>
    <t xml:space="preserve">ODDFPRICE(DATE(2024,2,29),DATE(2027,2,28),DATE(2024,1,15),DATE(2024,8,31),0,0.05,100,1,3)</t>
  </si>
  <si>
    <t xml:space="preserve">ODDFYIELD(DATE(2024,2,29),DATE(2027,2,28),DATE(2024,1,15),DATE(2024,8,31),0.05,95,100,1,3)</t>
  </si>
  <si>
    <t xml:space="preserve">ODDFYIELD(DATE(2024,2,29),DATE(2027,2,28),DATE(2024,1,15),DATE(2024,8,31),0.1,101.5,100,1,3)</t>
  </si>
  <si>
    <t xml:space="preserve">ODDFYIELD(DATE(2024,2,29),DATE(2027,2,28),DATE(2024,1,15),DATE(2024,8,31),0.05,100,100,1,3)</t>
  </si>
  <si>
    <t xml:space="preserve">ODDFPRICE(DATE(2024,2,29),DATE(2027,2,28),DATE(2024,1,15),DATE(2024,8,31),0.05,0.08,100,1,4)</t>
  </si>
  <si>
    <t xml:space="preserve">ODDFPRICE(DATE(2024,2,29),DATE(2027,2,28),DATE(2024,1,15),DATE(2024,8,31),0.1,0.03,105,1,4)</t>
  </si>
  <si>
    <t xml:space="preserve">ODDFPRICE(DATE(2024,2,29),DATE(2027,2,28),DATE(2024,1,15),DATE(2024,8,31),0,0.05,100,1,4)</t>
  </si>
  <si>
    <t xml:space="preserve">ODDFYIELD(DATE(2024,2,29),DATE(2027,2,28),DATE(2024,1,15),DATE(2024,8,31),0.05,95,100,1,4)</t>
  </si>
  <si>
    <t xml:space="preserve">ODDFYIELD(DATE(2024,2,29),DATE(2027,2,28),DATE(2024,1,15),DATE(2024,8,31),0.1,101.5,100,1,4)</t>
  </si>
  <si>
    <t xml:space="preserve">ODDFYIELD(DATE(2024,2,29),DATE(2027,2,28),DATE(2024,1,15),DATE(2024,8,31),0.05,100,100,1,4)</t>
  </si>
  <si>
    <t xml:space="preserve">ODDFPRICE(DATE(2024,2,29),DATE(2027,2,28),DATE(2024,1,15),DATE(2024,8,31),0.05,0.08,100,2,0)</t>
  </si>
  <si>
    <t xml:space="preserve">ODDFPRICE(DATE(2024,2,29),DATE(2027,2,28),DATE(2024,1,15),DATE(2024,8,31),0.1,0.03,105,2,0)</t>
  </si>
  <si>
    <t xml:space="preserve">ODDFPRICE(DATE(2024,2,29),DATE(2027,2,28),DATE(2024,1,15),DATE(2024,8,31),0,0.05,100,2,0)</t>
  </si>
  <si>
    <t xml:space="preserve">ODDFYIELD(DATE(2024,2,29),DATE(2027,2,28),DATE(2024,1,15),DATE(2024,8,31),0.05,95,100,2,0)</t>
  </si>
  <si>
    <t xml:space="preserve">ODDFYIELD(DATE(2024,2,29),DATE(2027,2,28),DATE(2024,1,15),DATE(2024,8,31),0.1,101.5,100,2,0)</t>
  </si>
  <si>
    <t xml:space="preserve">ODDFYIELD(DATE(2024,2,29),DATE(2027,2,28),DATE(2024,1,15),DATE(2024,8,31),0.05,100,100,2,0)</t>
  </si>
  <si>
    <t xml:space="preserve">ODDFPRICE(DATE(2024,2,29),DATE(2027,2,28),DATE(2024,1,15),DATE(2024,8,31),0.05,0.08,100,2,1)</t>
  </si>
  <si>
    <t xml:space="preserve">ODDFPRICE(DATE(2024,2,29),DATE(2027,2,28),DATE(2024,1,15),DATE(2024,8,31),0.1,0.03,105,2,1)</t>
  </si>
  <si>
    <t xml:space="preserve">ODDFPRICE(DATE(2024,2,29),DATE(2027,2,28),DATE(2024,1,15),DATE(2024,8,31),0,0.05,100,2,1)</t>
  </si>
  <si>
    <t xml:space="preserve">ODDFYIELD(DATE(2024,2,29),DATE(2027,2,28),DATE(2024,1,15),DATE(2024,8,31),0.05,95,100,2,1)</t>
  </si>
  <si>
    <t xml:space="preserve">ODDFYIELD(DATE(2024,2,29),DATE(2027,2,28),DATE(2024,1,15),DATE(2024,8,31),0.1,101.5,100,2,1)</t>
  </si>
  <si>
    <t xml:space="preserve">ODDFYIELD(DATE(2024,2,29),DATE(2027,2,28),DATE(2024,1,15),DATE(2024,8,31),0.05,100,100,2,1)</t>
  </si>
  <si>
    <t xml:space="preserve">ODDFPRICE(DATE(2024,2,29),DATE(2027,2,28),DATE(2024,1,15),DATE(2024,8,31),0.05,0.08,100,2,2)</t>
  </si>
  <si>
    <t xml:space="preserve">ODDFPRICE(DATE(2024,2,29),DATE(2027,2,28),DATE(2024,1,15),DATE(2024,8,31),0.1,0.03,105,2,2)</t>
  </si>
  <si>
    <t xml:space="preserve">ODDFPRICE(DATE(2024,2,29),DATE(2027,2,28),DATE(2024,1,15),DATE(2024,8,31),0,0.05,100,2,2)</t>
  </si>
  <si>
    <t xml:space="preserve">ODDFYIELD(DATE(2024,2,29),DATE(2027,2,28),DATE(2024,1,15),DATE(2024,8,31),0.05,95,100,2,2)</t>
  </si>
  <si>
    <t xml:space="preserve">ODDFYIELD(DATE(2024,2,29),DATE(2027,2,28),DATE(2024,1,15),DATE(2024,8,31),0.1,101.5,100,2,2)</t>
  </si>
  <si>
    <t xml:space="preserve">ODDFYIELD(DATE(2024,2,29),DATE(2027,2,28),DATE(2024,1,15),DATE(2024,8,31),0.05,100,100,2,2)</t>
  </si>
  <si>
    <t xml:space="preserve">ODDFPRICE(DATE(2024,2,29),DATE(2027,2,28),DATE(2024,1,15),DATE(2024,8,31),0.05,0.08,100,2,3)</t>
  </si>
  <si>
    <t xml:space="preserve">ODDFPRICE(DATE(2024,2,29),DATE(2027,2,28),DATE(2024,1,15),DATE(2024,8,31),0.1,0.03,105,2,3)</t>
  </si>
  <si>
    <t xml:space="preserve">ODDFPRICE(DATE(2024,2,29),DATE(2027,2,28),DATE(2024,1,15),DATE(2024,8,31),0,0.05,100,2,3)</t>
  </si>
  <si>
    <t xml:space="preserve">ODDFYIELD(DATE(2024,2,29),DATE(2027,2,28),DATE(2024,1,15),DATE(2024,8,31),0.05,95,100,2,3)</t>
  </si>
  <si>
    <t xml:space="preserve">ODDFYIELD(DATE(2024,2,29),DATE(2027,2,28),DATE(2024,1,15),DATE(2024,8,31),0.1,101.5,100,2,3)</t>
  </si>
  <si>
    <t xml:space="preserve">ODDFYIELD(DATE(2024,2,29),DATE(2027,2,28),DATE(2024,1,15),DATE(2024,8,31),0.05,100,100,2,3)</t>
  </si>
  <si>
    <t xml:space="preserve">ODDFPRICE(DATE(2024,2,29),DATE(2027,2,28),DATE(2024,1,15),DATE(2024,8,31),0.05,0.08,100,2,4)</t>
  </si>
  <si>
    <t xml:space="preserve">ODDFPRICE(DATE(2024,2,29),DATE(2027,2,28),DATE(2024,1,15),DATE(2024,8,31),0.1,0.03,105,2,4)</t>
  </si>
  <si>
    <t xml:space="preserve">ODDFPRICE(DATE(2024,2,29),DATE(2027,2,28),DATE(2024,1,15),DATE(2024,8,31),0,0.05,100,2,4)</t>
  </si>
  <si>
    <t xml:space="preserve">ODDFYIELD(DATE(2024,2,29),DATE(2027,2,28),DATE(2024,1,15),DATE(2024,8,31),0.05,95,100,2,4)</t>
  </si>
  <si>
    <t xml:space="preserve">ODDFYIELD(DATE(2024,2,29),DATE(2027,2,28),DATE(2024,1,15),DATE(2024,8,31),0.1,101.5,100,2,4)</t>
  </si>
  <si>
    <t xml:space="preserve">ODDFYIELD(DATE(2024,2,29),DATE(2027,2,28),DATE(2024,1,15),DATE(2024,8,31),0.05,100,100,2,4)</t>
  </si>
  <si>
    <t xml:space="preserve">ODDFPRICE(DATE(2024,2,29),DATE(2027,2,28),DATE(2024,1,15),DATE(2024,8,31),0.05,0.08,100,4,0)</t>
  </si>
  <si>
    <t xml:space="preserve">ODDFPRICE(DATE(2024,2,29),DATE(2027,2,28),DATE(2024,1,15),DATE(2024,8,31),0.1,0.03,105,4,0)</t>
  </si>
  <si>
    <t xml:space="preserve">ODDFPRICE(DATE(2024,2,29),DATE(2027,2,28),DATE(2024,1,15),DATE(2024,8,31),0,0.05,100,4,0)</t>
  </si>
  <si>
    <t xml:space="preserve">ODDFYIELD(DATE(2024,2,29),DATE(2027,2,28),DATE(2024,1,15),DATE(2024,8,31),0.05,95,100,4,0)</t>
  </si>
  <si>
    <t xml:space="preserve">ODDFYIELD(DATE(2024,2,29),DATE(2027,2,28),DATE(2024,1,15),DATE(2024,8,31),0.1,101.5,100,4,0)</t>
  </si>
  <si>
    <t xml:space="preserve">ODDFYIELD(DATE(2024,2,29),DATE(2027,2,28),DATE(2024,1,15),DATE(2024,8,31),0.05,100,100,4,0)</t>
  </si>
  <si>
    <t xml:space="preserve">ODDFPRICE(DATE(2024,2,29),DATE(2027,2,28),DATE(2024,1,15),DATE(2024,8,31),0.05,0.08,100,4,1)</t>
  </si>
  <si>
    <t xml:space="preserve">ODDFPRICE(DATE(2024,2,29),DATE(2027,2,28),DATE(2024,1,15),DATE(2024,8,31),0.1,0.03,105,4,1)</t>
  </si>
  <si>
    <t xml:space="preserve">ODDFPRICE(DATE(2024,2,29),DATE(2027,2,28),DATE(2024,1,15),DATE(2024,8,31),0,0.05,100,4,1)</t>
  </si>
  <si>
    <t xml:space="preserve">ODDFYIELD(DATE(2024,2,29),DATE(2027,2,28),DATE(2024,1,15),DATE(2024,8,31),0.05,95,100,4,1)</t>
  </si>
  <si>
    <t xml:space="preserve">ODDFYIELD(DATE(2024,2,29),DATE(2027,2,28),DATE(2024,1,15),DATE(2024,8,31),0.1,101.5,100,4,1)</t>
  </si>
  <si>
    <t xml:space="preserve">ODDFYIELD(DATE(2024,2,29),DATE(2027,2,28),DATE(2024,1,15),DATE(2024,8,31),0.05,100,100,4,1)</t>
  </si>
  <si>
    <t xml:space="preserve">ODDFPRICE(DATE(2024,2,29),DATE(2027,2,28),DATE(2024,1,15),DATE(2024,8,31),0.05,0.08,100,4,2)</t>
  </si>
  <si>
    <t xml:space="preserve">ODDFPRICE(DATE(2024,2,29),DATE(2027,2,28),DATE(2024,1,15),DATE(2024,8,31),0.1,0.03,105,4,2)</t>
  </si>
  <si>
    <t xml:space="preserve">ODDFPRICE(DATE(2024,2,29),DATE(2027,2,28),DATE(2024,1,15),DATE(2024,8,31),0,0.05,100,4,2)</t>
  </si>
  <si>
    <t xml:space="preserve">ODDFYIELD(DATE(2024,2,29),DATE(2027,2,28),DATE(2024,1,15),DATE(2024,8,31),0.05,95,100,4,2)</t>
  </si>
  <si>
    <t xml:space="preserve">ODDFYIELD(DATE(2024,2,29),DATE(2027,2,28),DATE(2024,1,15),DATE(2024,8,31),0.1,101.5,100,4,2)</t>
  </si>
  <si>
    <t xml:space="preserve">ODDFYIELD(DATE(2024,2,29),DATE(2027,2,28),DATE(2024,1,15),DATE(2024,8,31),0.05,100,100,4,2)</t>
  </si>
  <si>
    <t xml:space="preserve">ODDFPRICE(DATE(2024,2,29),DATE(2027,2,28),DATE(2024,1,15),DATE(2024,8,31),0.05,0.08,100,4,3)</t>
  </si>
  <si>
    <t xml:space="preserve">ODDFPRICE(DATE(2024,2,29),DATE(2027,2,28),DATE(2024,1,15),DATE(2024,8,31),0.1,0.03,105,4,3)</t>
  </si>
  <si>
    <t xml:space="preserve">ODDFPRICE(DATE(2024,2,29),DATE(2027,2,28),DATE(2024,1,15),DATE(2024,8,31),0,0.05,100,4,3)</t>
  </si>
  <si>
    <t xml:space="preserve">ODDFYIELD(DATE(2024,2,29),DATE(2027,2,28),DATE(2024,1,15),DATE(2024,8,31),0.05,95,100,4,3)</t>
  </si>
  <si>
    <t xml:space="preserve">ODDFYIELD(DATE(2024,2,29),DATE(2027,2,28),DATE(2024,1,15),DATE(2024,8,31),0.1,101.5,100,4,3)</t>
  </si>
  <si>
    <t xml:space="preserve">ODDFYIELD(DATE(2024,2,29),DATE(2027,2,28),DATE(2024,1,15),DATE(2024,8,31),0.05,100,100,4,3)</t>
  </si>
  <si>
    <t xml:space="preserve">ODDFPRICE(DATE(2024,2,29),DATE(2027,2,28),DATE(2024,1,15),DATE(2024,8,31),0.05,0.08,100,4,4)</t>
  </si>
  <si>
    <t xml:space="preserve">ODDFPRICE(DATE(2024,2,29),DATE(2027,2,28),DATE(2024,1,15),DATE(2024,8,31),0.1,0.03,105,4,4)</t>
  </si>
  <si>
    <t xml:space="preserve">ODDFPRICE(DATE(2024,2,29),DATE(2027,2,28),DATE(2024,1,15),DATE(2024,8,31),0,0.05,100,4,4)</t>
  </si>
  <si>
    <t xml:space="preserve">ODDFYIELD(DATE(2024,2,29),DATE(2027,2,28),DATE(2024,1,15),DATE(2024,8,31),0.05,95,100,4,4)</t>
  </si>
  <si>
    <t xml:space="preserve">ODDFYIELD(DATE(2024,2,29),DATE(2027,2,28),DATE(2024,1,15),DATE(2024,8,31),0.1,101.5,100,4,4)</t>
  </si>
  <si>
    <t xml:space="preserve">ODDFYIELD(DATE(2024,2,29),DATE(2027,2,28),DATE(2024,1,15),DATE(2024,8,31),0.05,100,100,4,4)</t>
  </si>
  <si>
    <t xml:space="preserve">ODDFPRICE(DATE(2024,6,15),DATE(2029,12,31),DATE(2024,1,1),DATE(2024,12,31),0.05,0.08,100,1,0)</t>
  </si>
  <si>
    <t xml:space="preserve">ODDFPRICE(DATE(2024,6,15),DATE(2029,12,31),DATE(2024,1,1),DATE(2024,12,31),0.1,0.03,105,1,0)</t>
  </si>
  <si>
    <t xml:space="preserve">ODDFPRICE(DATE(2024,6,15),DATE(2029,12,31),DATE(2024,1,1),DATE(2024,12,31),0,0.05,100,1,0)</t>
  </si>
  <si>
    <t xml:space="preserve">ODDFYIELD(DATE(2024,6,15),DATE(2029,12,31),DATE(2024,1,1),DATE(2024,12,31),0.05,95,100,1,0)</t>
  </si>
  <si>
    <t xml:space="preserve">ODDFYIELD(DATE(2024,6,15),DATE(2029,12,31),DATE(2024,1,1),DATE(2024,12,31),0.1,101.5,100,1,0)</t>
  </si>
  <si>
    <t xml:space="preserve">ODDFYIELD(DATE(2024,6,15),DATE(2029,12,31),DATE(2024,1,1),DATE(2024,12,31),0.05,100,100,1,0)</t>
  </si>
  <si>
    <t xml:space="preserve">ODDFPRICE(DATE(2024,6,15),DATE(2029,12,31),DATE(2024,1,1),DATE(2024,12,31),0.05,0.08,100,1,1)</t>
  </si>
  <si>
    <t xml:space="preserve">ODDFPRICE(DATE(2024,6,15),DATE(2029,12,31),DATE(2024,1,1),DATE(2024,12,31),0.1,0.03,105,1,1)</t>
  </si>
  <si>
    <t xml:space="preserve">ODDFPRICE(DATE(2024,6,15),DATE(2029,12,31),DATE(2024,1,1),DATE(2024,12,31),0,0.05,100,1,1)</t>
  </si>
  <si>
    <t xml:space="preserve">ODDFYIELD(DATE(2024,6,15),DATE(2029,12,31),DATE(2024,1,1),DATE(2024,12,31),0.05,95,100,1,1)</t>
  </si>
  <si>
    <t xml:space="preserve">ODDFYIELD(DATE(2024,6,15),DATE(2029,12,31),DATE(2024,1,1),DATE(2024,12,31),0.1,101.5,100,1,1)</t>
  </si>
  <si>
    <t xml:space="preserve">ODDFYIELD(DATE(2024,6,15),DATE(2029,12,31),DATE(2024,1,1),DATE(2024,12,31),0.05,100,100,1,1)</t>
  </si>
  <si>
    <t xml:space="preserve">ODDFPRICE(DATE(2024,6,15),DATE(2029,12,31),DATE(2024,1,1),DATE(2024,12,31),0.05,0.08,100,1,2)</t>
  </si>
  <si>
    <t xml:space="preserve">ODDFPRICE(DATE(2024,6,15),DATE(2029,12,31),DATE(2024,1,1),DATE(2024,12,31),0.1,0.03,105,1,2)</t>
  </si>
  <si>
    <t xml:space="preserve">ODDFPRICE(DATE(2024,6,15),DATE(2029,12,31),DATE(2024,1,1),DATE(2024,12,31),0,0.05,100,1,2)</t>
  </si>
  <si>
    <t xml:space="preserve">ODDFYIELD(DATE(2024,6,15),DATE(2029,12,31),DATE(2024,1,1),DATE(2024,12,31),0.05,95,100,1,2)</t>
  </si>
  <si>
    <t xml:space="preserve">ODDFYIELD(DATE(2024,6,15),DATE(2029,12,31),DATE(2024,1,1),DATE(2024,12,31),0.1,101.5,100,1,2)</t>
  </si>
  <si>
    <t xml:space="preserve">ODDFYIELD(DATE(2024,6,15),DATE(2029,12,31),DATE(2024,1,1),DATE(2024,12,31),0.05,100,100,1,2)</t>
  </si>
  <si>
    <t xml:space="preserve">ODDFPRICE(DATE(2024,6,15),DATE(2029,12,31),DATE(2024,1,1),DATE(2024,12,31),0.05,0.08,100,1,3)</t>
  </si>
  <si>
    <t xml:space="preserve">ODDFPRICE(DATE(2024,6,15),DATE(2029,12,31),DATE(2024,1,1),DATE(2024,12,31),0.1,0.03,105,1,3)</t>
  </si>
  <si>
    <t xml:space="preserve">ODDFPRICE(DATE(2024,6,15),DATE(2029,12,31),DATE(2024,1,1),DATE(2024,12,31),0,0.05,100,1,3)</t>
  </si>
  <si>
    <t xml:space="preserve">ODDFYIELD(DATE(2024,6,15),DATE(2029,12,31),DATE(2024,1,1),DATE(2024,12,31),0.05,95,100,1,3)</t>
  </si>
  <si>
    <t xml:space="preserve">ODDFYIELD(DATE(2024,6,15),DATE(2029,12,31),DATE(2024,1,1),DATE(2024,12,31),0.1,101.5,100,1,3)</t>
  </si>
  <si>
    <t xml:space="preserve">ODDFYIELD(DATE(2024,6,15),DATE(2029,12,31),DATE(2024,1,1),DATE(2024,12,31),0.05,100,100,1,3)</t>
  </si>
  <si>
    <t xml:space="preserve">ODDFPRICE(DATE(2024,6,15),DATE(2029,12,31),DATE(2024,1,1),DATE(2024,12,31),0.05,0.08,100,1,4)</t>
  </si>
  <si>
    <t xml:space="preserve">ODDFPRICE(DATE(2024,6,15),DATE(2029,12,31),DATE(2024,1,1),DATE(2024,12,31),0.1,0.03,105,1,4)</t>
  </si>
  <si>
    <t xml:space="preserve">ODDFPRICE(DATE(2024,6,15),DATE(2029,12,31),DATE(2024,1,1),DATE(2024,12,31),0,0.05,100,1,4)</t>
  </si>
  <si>
    <t xml:space="preserve">ODDFYIELD(DATE(2024,6,15),DATE(2029,12,31),DATE(2024,1,1),DATE(2024,12,31),0.05,95,100,1,4)</t>
  </si>
  <si>
    <t xml:space="preserve">ODDFYIELD(DATE(2024,6,15),DATE(2029,12,31),DATE(2024,1,1),DATE(2024,12,31),0.1,101.5,100,1,4)</t>
  </si>
  <si>
    <t xml:space="preserve">ODDFYIELD(DATE(2024,6,15),DATE(2029,12,31),DATE(2024,1,1),DATE(2024,12,31),0.05,100,100,1,4)</t>
  </si>
  <si>
    <t xml:space="preserve">ODDFPRICE(DATE(2024,6,15),DATE(2029,12,31),DATE(2024,1,1),DATE(2024,12,31),0.05,0.08,100,2,0)</t>
  </si>
  <si>
    <t xml:space="preserve">ODDFPRICE(DATE(2024,6,15),DATE(2029,12,31),DATE(2024,1,1),DATE(2024,12,31),0.1,0.03,105,2,0)</t>
  </si>
  <si>
    <t xml:space="preserve">ODDFPRICE(DATE(2024,6,15),DATE(2029,12,31),DATE(2024,1,1),DATE(2024,12,31),0,0.05,100,2,0)</t>
  </si>
  <si>
    <t xml:space="preserve">ODDFYIELD(DATE(2024,6,15),DATE(2029,12,31),DATE(2024,1,1),DATE(2024,12,31),0.05,95,100,2,0)</t>
  </si>
  <si>
    <t xml:space="preserve">ODDFYIELD(DATE(2024,6,15),DATE(2029,12,31),DATE(2024,1,1),DATE(2024,12,31),0.1,101.5,100,2,0)</t>
  </si>
  <si>
    <t xml:space="preserve">ODDFYIELD(DATE(2024,6,15),DATE(2029,12,31),DATE(2024,1,1),DATE(2024,12,31),0.05,100,100,2,0)</t>
  </si>
  <si>
    <t xml:space="preserve">ODDFPRICE(DATE(2024,6,15),DATE(2029,12,31),DATE(2024,1,1),DATE(2024,12,31),0.05,0.08,100,2,1)</t>
  </si>
  <si>
    <t xml:space="preserve">ODDFPRICE(DATE(2024,6,15),DATE(2029,12,31),DATE(2024,1,1),DATE(2024,12,31),0.1,0.03,105,2,1)</t>
  </si>
  <si>
    <t xml:space="preserve">ODDFPRICE(DATE(2024,6,15),DATE(2029,12,31),DATE(2024,1,1),DATE(2024,12,31),0,0.05,100,2,1)</t>
  </si>
  <si>
    <t xml:space="preserve">ODDFYIELD(DATE(2024,6,15),DATE(2029,12,31),DATE(2024,1,1),DATE(2024,12,31),0.05,95,100,2,1)</t>
  </si>
  <si>
    <t xml:space="preserve">ODDFYIELD(DATE(2024,6,15),DATE(2029,12,31),DATE(2024,1,1),DATE(2024,12,31),0.1,101.5,100,2,1)</t>
  </si>
  <si>
    <t xml:space="preserve">ODDFYIELD(DATE(2024,6,15),DATE(2029,12,31),DATE(2024,1,1),DATE(2024,12,31),0.05,100,100,2,1)</t>
  </si>
  <si>
    <t xml:space="preserve">ODDFPRICE(DATE(2024,6,15),DATE(2029,12,31),DATE(2024,1,1),DATE(2024,12,31),0.05,0.08,100,2,2)</t>
  </si>
  <si>
    <t xml:space="preserve">ODDFPRICE(DATE(2024,6,15),DATE(2029,12,31),DATE(2024,1,1),DATE(2024,12,31),0.1,0.03,105,2,2)</t>
  </si>
  <si>
    <t xml:space="preserve">ODDFPRICE(DATE(2024,6,15),DATE(2029,12,31),DATE(2024,1,1),DATE(2024,12,31),0,0.05,100,2,2)</t>
  </si>
  <si>
    <t xml:space="preserve">ODDFYIELD(DATE(2024,6,15),DATE(2029,12,31),DATE(2024,1,1),DATE(2024,12,31),0.05,95,100,2,2)</t>
  </si>
  <si>
    <t xml:space="preserve">ODDFYIELD(DATE(2024,6,15),DATE(2029,12,31),DATE(2024,1,1),DATE(2024,12,31),0.1,101.5,100,2,2)</t>
  </si>
  <si>
    <t xml:space="preserve">ODDFYIELD(DATE(2024,6,15),DATE(2029,12,31),DATE(2024,1,1),DATE(2024,12,31),0.05,100,100,2,2)</t>
  </si>
  <si>
    <t xml:space="preserve">ODDFPRICE(DATE(2024,6,15),DATE(2029,12,31),DATE(2024,1,1),DATE(2024,12,31),0.05,0.08,100,2,3)</t>
  </si>
  <si>
    <t xml:space="preserve">ODDFPRICE(DATE(2024,6,15),DATE(2029,12,31),DATE(2024,1,1),DATE(2024,12,31),0.1,0.03,105,2,3)</t>
  </si>
  <si>
    <t xml:space="preserve">ODDFPRICE(DATE(2024,6,15),DATE(2029,12,31),DATE(2024,1,1),DATE(2024,12,31),0,0.05,100,2,3)</t>
  </si>
  <si>
    <t xml:space="preserve">ODDFYIELD(DATE(2024,6,15),DATE(2029,12,31),DATE(2024,1,1),DATE(2024,12,31),0.05,95,100,2,3)</t>
  </si>
  <si>
    <t xml:space="preserve">ODDFYIELD(DATE(2024,6,15),DATE(2029,12,31),DATE(2024,1,1),DATE(2024,12,31),0.1,101.5,100,2,3)</t>
  </si>
  <si>
    <t xml:space="preserve">ODDFYIELD(DATE(2024,6,15),DATE(2029,12,31),DATE(2024,1,1),DATE(2024,12,31),0.05,100,100,2,3)</t>
  </si>
  <si>
    <t xml:space="preserve">ODDFPRICE(DATE(2024,6,15),DATE(2029,12,31),DATE(2024,1,1),DATE(2024,12,31),0.05,0.08,100,2,4)</t>
  </si>
  <si>
    <t xml:space="preserve">ODDFPRICE(DATE(2024,6,15),DATE(2029,12,31),DATE(2024,1,1),DATE(2024,12,31),0.1,0.03,105,2,4)</t>
  </si>
  <si>
    <t xml:space="preserve">ODDFPRICE(DATE(2024,6,15),DATE(2029,12,31),DATE(2024,1,1),DATE(2024,12,31),0,0.05,100,2,4)</t>
  </si>
  <si>
    <t xml:space="preserve">ODDFYIELD(DATE(2024,6,15),DATE(2029,12,31),DATE(2024,1,1),DATE(2024,12,31),0.05,95,100,2,4)</t>
  </si>
  <si>
    <t xml:space="preserve">ODDFYIELD(DATE(2024,6,15),DATE(2029,12,31),DATE(2024,1,1),DATE(2024,12,31),0.1,101.5,100,2,4)</t>
  </si>
  <si>
    <t xml:space="preserve">ODDFYIELD(DATE(2024,6,15),DATE(2029,12,31),DATE(2024,1,1),DATE(2024,12,31),0.05,100,100,2,4)</t>
  </si>
  <si>
    <t xml:space="preserve">ODDFPRICE(DATE(2024,6,15),DATE(2029,12,31),DATE(2024,1,1),DATE(2024,12,31),0.05,0.08,100,4,0)</t>
  </si>
  <si>
    <t xml:space="preserve">ODDFPRICE(DATE(2024,6,15),DATE(2029,12,31),DATE(2024,1,1),DATE(2024,12,31),0.1,0.03,105,4,0)</t>
  </si>
  <si>
    <t xml:space="preserve">ODDFPRICE(DATE(2024,6,15),DATE(2029,12,31),DATE(2024,1,1),DATE(2024,12,31),0,0.05,100,4,0)</t>
  </si>
  <si>
    <t xml:space="preserve">ODDFYIELD(DATE(2024,6,15),DATE(2029,12,31),DATE(2024,1,1),DATE(2024,12,31),0.05,95,100,4,0)</t>
  </si>
  <si>
    <t xml:space="preserve">ODDFYIELD(DATE(2024,6,15),DATE(2029,12,31),DATE(2024,1,1),DATE(2024,12,31),0.1,101.5,100,4,0)</t>
  </si>
  <si>
    <t xml:space="preserve">ODDFYIELD(DATE(2024,6,15),DATE(2029,12,31),DATE(2024,1,1),DATE(2024,12,31),0.05,100,100,4,0)</t>
  </si>
  <si>
    <t xml:space="preserve">ODDFPRICE(DATE(2024,6,15),DATE(2029,12,31),DATE(2024,1,1),DATE(2024,12,31),0.05,0.08,100,4,1)</t>
  </si>
  <si>
    <t xml:space="preserve">ODDFPRICE(DATE(2024,6,15),DATE(2029,12,31),DATE(2024,1,1),DATE(2024,12,31),0.1,0.03,105,4,1)</t>
  </si>
  <si>
    <t xml:space="preserve">ODDFPRICE(DATE(2024,6,15),DATE(2029,12,31),DATE(2024,1,1),DATE(2024,12,31),0,0.05,100,4,1)</t>
  </si>
  <si>
    <t xml:space="preserve">ODDFYIELD(DATE(2024,6,15),DATE(2029,12,31),DATE(2024,1,1),DATE(2024,12,31),0.05,95,100,4,1)</t>
  </si>
  <si>
    <t xml:space="preserve">ODDFYIELD(DATE(2024,6,15),DATE(2029,12,31),DATE(2024,1,1),DATE(2024,12,31),0.1,101.5,100,4,1)</t>
  </si>
  <si>
    <t xml:space="preserve">ODDFYIELD(DATE(2024,6,15),DATE(2029,12,31),DATE(2024,1,1),DATE(2024,12,31),0.05,100,100,4,1)</t>
  </si>
  <si>
    <t xml:space="preserve">ODDFPRICE(DATE(2024,6,15),DATE(2029,12,31),DATE(2024,1,1),DATE(2024,12,31),0.05,0.08,100,4,2)</t>
  </si>
  <si>
    <t xml:space="preserve">ODDFPRICE(DATE(2024,6,15),DATE(2029,12,31),DATE(2024,1,1),DATE(2024,12,31),0.1,0.03,105,4,2)</t>
  </si>
  <si>
    <t xml:space="preserve">ODDFPRICE(DATE(2024,6,15),DATE(2029,12,31),DATE(2024,1,1),DATE(2024,12,31),0,0.05,100,4,2)</t>
  </si>
  <si>
    <t xml:space="preserve">ODDFYIELD(DATE(2024,6,15),DATE(2029,12,31),DATE(2024,1,1),DATE(2024,12,31),0.05,95,100,4,2)</t>
  </si>
  <si>
    <t xml:space="preserve">ODDFYIELD(DATE(2024,6,15),DATE(2029,12,31),DATE(2024,1,1),DATE(2024,12,31),0.1,101.5,100,4,2)</t>
  </si>
  <si>
    <t xml:space="preserve">ODDFYIELD(DATE(2024,6,15),DATE(2029,12,31),DATE(2024,1,1),DATE(2024,12,31),0.05,100,100,4,2)</t>
  </si>
  <si>
    <t xml:space="preserve">ODDFPRICE(DATE(2024,6,15),DATE(2029,12,31),DATE(2024,1,1),DATE(2024,12,31),0.05,0.08,100,4,3)</t>
  </si>
  <si>
    <t xml:space="preserve">ODDFPRICE(DATE(2024,6,15),DATE(2029,12,31),DATE(2024,1,1),DATE(2024,12,31),0.1,0.03,105,4,3)</t>
  </si>
  <si>
    <t xml:space="preserve">ODDFPRICE(DATE(2024,6,15),DATE(2029,12,31),DATE(2024,1,1),DATE(2024,12,31),0,0.05,100,4,3)</t>
  </si>
  <si>
    <t xml:space="preserve">ODDFYIELD(DATE(2024,6,15),DATE(2029,12,31),DATE(2024,1,1),DATE(2024,12,31),0.05,95,100,4,3)</t>
  </si>
  <si>
    <t xml:space="preserve">ODDFYIELD(DATE(2024,6,15),DATE(2029,12,31),DATE(2024,1,1),DATE(2024,12,31),0.1,101.5,100,4,3)</t>
  </si>
  <si>
    <t xml:space="preserve">ODDFYIELD(DATE(2024,6,15),DATE(2029,12,31),DATE(2024,1,1),DATE(2024,12,31),0.05,100,100,4,3)</t>
  </si>
  <si>
    <t xml:space="preserve">ODDFPRICE(DATE(2024,6,15),DATE(2029,12,31),DATE(2024,1,1),DATE(2024,12,31),0.05,0.08,100,4,4)</t>
  </si>
  <si>
    <t xml:space="preserve">ODDFPRICE(DATE(2024,6,15),DATE(2029,12,31),DATE(2024,1,1),DATE(2024,12,31),0.1,0.03,105,4,4)</t>
  </si>
  <si>
    <t xml:space="preserve">ODDFPRICE(DATE(2024,6,15),DATE(2029,12,31),DATE(2024,1,1),DATE(2024,12,31),0,0.05,100,4,4)</t>
  </si>
  <si>
    <t xml:space="preserve">ODDFYIELD(DATE(2024,6,15),DATE(2029,12,31),DATE(2024,1,1),DATE(2024,12,31),0.05,95,100,4,4)</t>
  </si>
  <si>
    <t xml:space="preserve">ODDFYIELD(DATE(2024,6,15),DATE(2029,12,31),DATE(2024,1,1),DATE(2024,12,31),0.1,101.5,100,4,4)</t>
  </si>
  <si>
    <t xml:space="preserve">ODDFYIELD(DATE(2024,6,15),DATE(2029,12,31),DATE(2024,1,1),DATE(2024,12,31),0.05,100,100,4,4)</t>
  </si>
  <si>
    <t xml:space="preserve">ODDFPRICE(DATE(2024,1,10),DATE(2026,5,20),DATE(2023,12,20),DATE(2024,5,20),0.05,0.08,100,1,0)</t>
  </si>
  <si>
    <t xml:space="preserve">ODDFPRICE(DATE(2024,1,10),DATE(2026,5,20),DATE(2023,12,20),DATE(2024,5,20),0.1,0.03,105,1,0)</t>
  </si>
  <si>
    <t xml:space="preserve">ODDFPRICE(DATE(2024,1,10),DATE(2026,5,20),DATE(2023,12,20),DATE(2024,5,20),0,0.05,100,1,0)</t>
  </si>
  <si>
    <t xml:space="preserve">ODDFYIELD(DATE(2024,1,10),DATE(2026,5,20),DATE(2023,12,20),DATE(2024,5,20),0.05,95,100,1,0)</t>
  </si>
  <si>
    <t xml:space="preserve">ODDFYIELD(DATE(2024,1,10),DATE(2026,5,20),DATE(2023,12,20),DATE(2024,5,20),0.1,101.5,100,1,0)</t>
  </si>
  <si>
    <t xml:space="preserve">ODDFYIELD(DATE(2024,1,10),DATE(2026,5,20),DATE(2023,12,20),DATE(2024,5,20),0.05,100,100,1,0)</t>
  </si>
  <si>
    <t xml:space="preserve">ODDFPRICE(DATE(2024,1,10),DATE(2026,5,20),DATE(2023,12,20),DATE(2024,5,20),0.05,0.08,100,1,1)</t>
  </si>
  <si>
    <t xml:space="preserve">ODDFPRICE(DATE(2024,1,10),DATE(2026,5,20),DATE(2023,12,20),DATE(2024,5,20),0.1,0.03,105,1,1)</t>
  </si>
  <si>
    <t xml:space="preserve">ODDFPRICE(DATE(2024,1,10),DATE(2026,5,20),DATE(2023,12,20),DATE(2024,5,20),0,0.05,100,1,1)</t>
  </si>
  <si>
    <t xml:space="preserve">ODDFYIELD(DATE(2024,1,10),DATE(2026,5,20),DATE(2023,12,20),DATE(2024,5,20),0.05,95,100,1,1)</t>
  </si>
  <si>
    <t xml:space="preserve">ODDFYIELD(DATE(2024,1,10),DATE(2026,5,20),DATE(2023,12,20),DATE(2024,5,20),0.1,101.5,100,1,1)</t>
  </si>
  <si>
    <t xml:space="preserve">ODDFYIELD(DATE(2024,1,10),DATE(2026,5,20),DATE(2023,12,20),DATE(2024,5,20),0.05,100,100,1,1)</t>
  </si>
  <si>
    <t xml:space="preserve">ODDFPRICE(DATE(2024,1,10),DATE(2026,5,20),DATE(2023,12,20),DATE(2024,5,20),0.05,0.08,100,1,2)</t>
  </si>
  <si>
    <t xml:space="preserve">ODDFPRICE(DATE(2024,1,10),DATE(2026,5,20),DATE(2023,12,20),DATE(2024,5,20),0.1,0.03,105,1,2)</t>
  </si>
  <si>
    <t xml:space="preserve">ODDFPRICE(DATE(2024,1,10),DATE(2026,5,20),DATE(2023,12,20),DATE(2024,5,20),0,0.05,100,1,2)</t>
  </si>
  <si>
    <t xml:space="preserve">ODDFYIELD(DATE(2024,1,10),DATE(2026,5,20),DATE(2023,12,20),DATE(2024,5,20),0.05,95,100,1,2)</t>
  </si>
  <si>
    <t xml:space="preserve">ODDFYIELD(DATE(2024,1,10),DATE(2026,5,20),DATE(2023,12,20),DATE(2024,5,20),0.1,101.5,100,1,2)</t>
  </si>
  <si>
    <t xml:space="preserve">ODDFYIELD(DATE(2024,1,10),DATE(2026,5,20),DATE(2023,12,20),DATE(2024,5,20),0.05,100,100,1,2)</t>
  </si>
  <si>
    <t xml:space="preserve">ODDFPRICE(DATE(2024,1,10),DATE(2026,5,20),DATE(2023,12,20),DATE(2024,5,20),0.05,0.08,100,1,3)</t>
  </si>
  <si>
    <t xml:space="preserve">ODDFPRICE(DATE(2024,1,10),DATE(2026,5,20),DATE(2023,12,20),DATE(2024,5,20),0.1,0.03,105,1,3)</t>
  </si>
  <si>
    <t xml:space="preserve">ODDFPRICE(DATE(2024,1,10),DATE(2026,5,20),DATE(2023,12,20),DATE(2024,5,20),0,0.05,100,1,3)</t>
  </si>
  <si>
    <t xml:space="preserve">ODDFYIELD(DATE(2024,1,10),DATE(2026,5,20),DATE(2023,12,20),DATE(2024,5,20),0.05,95,100,1,3)</t>
  </si>
  <si>
    <t xml:space="preserve">ODDFYIELD(DATE(2024,1,10),DATE(2026,5,20),DATE(2023,12,20),DATE(2024,5,20),0.1,101.5,100,1,3)</t>
  </si>
  <si>
    <t xml:space="preserve">ODDFYIELD(DATE(2024,1,10),DATE(2026,5,20),DATE(2023,12,20),DATE(2024,5,20),0.05,100,100,1,3)</t>
  </si>
  <si>
    <t xml:space="preserve">ODDFPRICE(DATE(2024,1,10),DATE(2026,5,20),DATE(2023,12,20),DATE(2024,5,20),0.05,0.08,100,1,4)</t>
  </si>
  <si>
    <t xml:space="preserve">ODDFPRICE(DATE(2024,1,10),DATE(2026,5,20),DATE(2023,12,20),DATE(2024,5,20),0.1,0.03,105,1,4)</t>
  </si>
  <si>
    <t xml:space="preserve">ODDFPRICE(DATE(2024,1,10),DATE(2026,5,20),DATE(2023,12,20),DATE(2024,5,20),0,0.05,100,1,4)</t>
  </si>
  <si>
    <t xml:space="preserve">ODDFYIELD(DATE(2024,1,10),DATE(2026,5,20),DATE(2023,12,20),DATE(2024,5,20),0.05,95,100,1,4)</t>
  </si>
  <si>
    <t xml:space="preserve">ODDFYIELD(DATE(2024,1,10),DATE(2026,5,20),DATE(2023,12,20),DATE(2024,5,20),0.1,101.5,100,1,4)</t>
  </si>
  <si>
    <t xml:space="preserve">ODDFYIELD(DATE(2024,1,10),DATE(2026,5,20),DATE(2023,12,20),DATE(2024,5,20),0.05,100,100,1,4)</t>
  </si>
  <si>
    <t xml:space="preserve">ODDFPRICE(DATE(2024,1,10),DATE(2026,5,20),DATE(2023,12,20),DATE(2024,5,20),0.05,0.08,100,2,0)</t>
  </si>
  <si>
    <t xml:space="preserve">ODDFPRICE(DATE(2024,1,10),DATE(2026,5,20),DATE(2023,12,20),DATE(2024,5,20),0.1,0.03,105,2,0)</t>
  </si>
  <si>
    <t xml:space="preserve">ODDFPRICE(DATE(2024,1,10),DATE(2026,5,20),DATE(2023,12,20),DATE(2024,5,20),0,0.05,100,2,0)</t>
  </si>
  <si>
    <t xml:space="preserve">ODDFYIELD(DATE(2024,1,10),DATE(2026,5,20),DATE(2023,12,20),DATE(2024,5,20),0.05,95,100,2,0)</t>
  </si>
  <si>
    <t xml:space="preserve">ODDFYIELD(DATE(2024,1,10),DATE(2026,5,20),DATE(2023,12,20),DATE(2024,5,20),0.1,101.5,100,2,0)</t>
  </si>
  <si>
    <t xml:space="preserve">ODDFYIELD(DATE(2024,1,10),DATE(2026,5,20),DATE(2023,12,20),DATE(2024,5,20),0.05,100,100,2,0)</t>
  </si>
  <si>
    <t xml:space="preserve">ODDFPRICE(DATE(2024,1,10),DATE(2026,5,20),DATE(2023,12,20),DATE(2024,5,20),0.05,0.08,100,2,1)</t>
  </si>
  <si>
    <t xml:space="preserve">ODDFPRICE(DATE(2024,1,10),DATE(2026,5,20),DATE(2023,12,20),DATE(2024,5,20),0.1,0.03,105,2,1)</t>
  </si>
  <si>
    <t xml:space="preserve">ODDFPRICE(DATE(2024,1,10),DATE(2026,5,20),DATE(2023,12,20),DATE(2024,5,20),0,0.05,100,2,1)</t>
  </si>
  <si>
    <t xml:space="preserve">ODDFYIELD(DATE(2024,1,10),DATE(2026,5,20),DATE(2023,12,20),DATE(2024,5,20),0.05,95,100,2,1)</t>
  </si>
  <si>
    <t xml:space="preserve">ODDFYIELD(DATE(2024,1,10),DATE(2026,5,20),DATE(2023,12,20),DATE(2024,5,20),0.1,101.5,100,2,1)</t>
  </si>
  <si>
    <t xml:space="preserve">ODDFYIELD(DATE(2024,1,10),DATE(2026,5,20),DATE(2023,12,20),DATE(2024,5,20),0.05,100,100,2,1)</t>
  </si>
  <si>
    <t xml:space="preserve">ODDFPRICE(DATE(2024,1,10),DATE(2026,5,20),DATE(2023,12,20),DATE(2024,5,20),0.05,0.08,100,2,2)</t>
  </si>
  <si>
    <t xml:space="preserve">ODDFPRICE(DATE(2024,1,10),DATE(2026,5,20),DATE(2023,12,20),DATE(2024,5,20),0.1,0.03,105,2,2)</t>
  </si>
  <si>
    <t xml:space="preserve">ODDFPRICE(DATE(2024,1,10),DATE(2026,5,20),DATE(2023,12,20),DATE(2024,5,20),0,0.05,100,2,2)</t>
  </si>
  <si>
    <t xml:space="preserve">ODDFYIELD(DATE(2024,1,10),DATE(2026,5,20),DATE(2023,12,20),DATE(2024,5,20),0.05,95,100,2,2)</t>
  </si>
  <si>
    <t xml:space="preserve">ODDFYIELD(DATE(2024,1,10),DATE(2026,5,20),DATE(2023,12,20),DATE(2024,5,20),0.1,101.5,100,2,2)</t>
  </si>
  <si>
    <t xml:space="preserve">ODDFYIELD(DATE(2024,1,10),DATE(2026,5,20),DATE(2023,12,20),DATE(2024,5,20),0.05,100,100,2,2)</t>
  </si>
  <si>
    <t xml:space="preserve">ODDFPRICE(DATE(2024,1,10),DATE(2026,5,20),DATE(2023,12,20),DATE(2024,5,20),0.05,0.08,100,2,3)</t>
  </si>
  <si>
    <t xml:space="preserve">ODDFPRICE(DATE(2024,1,10),DATE(2026,5,20),DATE(2023,12,20),DATE(2024,5,20),0.1,0.03,105,2,3)</t>
  </si>
  <si>
    <t xml:space="preserve">ODDFPRICE(DATE(2024,1,10),DATE(2026,5,20),DATE(2023,12,20),DATE(2024,5,20),0,0.05,100,2,3)</t>
  </si>
  <si>
    <t xml:space="preserve">ODDFYIELD(DATE(2024,1,10),DATE(2026,5,20),DATE(2023,12,20),DATE(2024,5,20),0.05,95,100,2,3)</t>
  </si>
  <si>
    <t xml:space="preserve">ODDFYIELD(DATE(2024,1,10),DATE(2026,5,20),DATE(2023,12,20),DATE(2024,5,20),0.1,101.5,100,2,3)</t>
  </si>
  <si>
    <t xml:space="preserve">ODDFYIELD(DATE(2024,1,10),DATE(2026,5,20),DATE(2023,12,20),DATE(2024,5,20),0.05,100,100,2,3)</t>
  </si>
  <si>
    <t xml:space="preserve">ODDFPRICE(DATE(2024,1,10),DATE(2026,5,20),DATE(2023,12,20),DATE(2024,5,20),0.05,0.08,100,2,4)</t>
  </si>
  <si>
    <t xml:space="preserve">ODDFPRICE(DATE(2024,1,10),DATE(2026,5,20),DATE(2023,12,20),DATE(2024,5,20),0.1,0.03,105,2,4)</t>
  </si>
  <si>
    <t xml:space="preserve">ODDFPRICE(DATE(2024,1,10),DATE(2026,5,20),DATE(2023,12,20),DATE(2024,5,20),0,0.05,100,2,4)</t>
  </si>
  <si>
    <t xml:space="preserve">ODDFYIELD(DATE(2024,1,10),DATE(2026,5,20),DATE(2023,12,20),DATE(2024,5,20),0.05,95,100,2,4)</t>
  </si>
  <si>
    <t xml:space="preserve">ODDFYIELD(DATE(2024,1,10),DATE(2026,5,20),DATE(2023,12,20),DATE(2024,5,20),0.1,101.5,100,2,4)</t>
  </si>
  <si>
    <t xml:space="preserve">ODDFYIELD(DATE(2024,1,10),DATE(2026,5,20),DATE(2023,12,20),DATE(2024,5,20),0.05,100,100,2,4)</t>
  </si>
  <si>
    <t xml:space="preserve">ODDFPRICE(DATE(2024,1,10),DATE(2026,5,20),DATE(2023,12,20),DATE(2024,5,20),0.05,0.08,100,4,0)</t>
  </si>
  <si>
    <t xml:space="preserve">ODDFPRICE(DATE(2024,1,10),DATE(2026,5,20),DATE(2023,12,20),DATE(2024,5,20),0.1,0.03,105,4,0)</t>
  </si>
  <si>
    <t xml:space="preserve">ODDFPRICE(DATE(2024,1,10),DATE(2026,5,20),DATE(2023,12,20),DATE(2024,5,20),0,0.05,100,4,0)</t>
  </si>
  <si>
    <t xml:space="preserve">ODDFYIELD(DATE(2024,1,10),DATE(2026,5,20),DATE(2023,12,20),DATE(2024,5,20),0.05,95,100,4,0)</t>
  </si>
  <si>
    <t xml:space="preserve">ODDFYIELD(DATE(2024,1,10),DATE(2026,5,20),DATE(2023,12,20),DATE(2024,5,20),0.1,101.5,100,4,0)</t>
  </si>
  <si>
    <t xml:space="preserve">ODDFYIELD(DATE(2024,1,10),DATE(2026,5,20),DATE(2023,12,20),DATE(2024,5,20),0.05,100,100,4,0)</t>
  </si>
  <si>
    <t xml:space="preserve">ODDFPRICE(DATE(2024,1,10),DATE(2026,5,20),DATE(2023,12,20),DATE(2024,5,20),0.05,0.08,100,4,1)</t>
  </si>
  <si>
    <t xml:space="preserve">ODDFPRICE(DATE(2024,1,10),DATE(2026,5,20),DATE(2023,12,20),DATE(2024,5,20),0.1,0.03,105,4,1)</t>
  </si>
  <si>
    <t xml:space="preserve">ODDFPRICE(DATE(2024,1,10),DATE(2026,5,20),DATE(2023,12,20),DATE(2024,5,20),0,0.05,100,4,1)</t>
  </si>
  <si>
    <t xml:space="preserve">ODDFYIELD(DATE(2024,1,10),DATE(2026,5,20),DATE(2023,12,20),DATE(2024,5,20),0.05,95,100,4,1)</t>
  </si>
  <si>
    <t xml:space="preserve">ODDFYIELD(DATE(2024,1,10),DATE(2026,5,20),DATE(2023,12,20),DATE(2024,5,20),0.1,101.5,100,4,1)</t>
  </si>
  <si>
    <t xml:space="preserve">ODDFYIELD(DATE(2024,1,10),DATE(2026,5,20),DATE(2023,12,20),DATE(2024,5,20),0.05,100,100,4,1)</t>
  </si>
  <si>
    <t xml:space="preserve">ODDFPRICE(DATE(2024,1,10),DATE(2026,5,20),DATE(2023,12,20),DATE(2024,5,20),0.05,0.08,100,4,2)</t>
  </si>
  <si>
    <t xml:space="preserve">ODDFPRICE(DATE(2024,1,10),DATE(2026,5,20),DATE(2023,12,20),DATE(2024,5,20),0.1,0.03,105,4,2)</t>
  </si>
  <si>
    <t xml:space="preserve">ODDFPRICE(DATE(2024,1,10),DATE(2026,5,20),DATE(2023,12,20),DATE(2024,5,20),0,0.05,100,4,2)</t>
  </si>
  <si>
    <t xml:space="preserve">ODDFYIELD(DATE(2024,1,10),DATE(2026,5,20),DATE(2023,12,20),DATE(2024,5,20),0.05,95,100,4,2)</t>
  </si>
  <si>
    <t xml:space="preserve">ODDFYIELD(DATE(2024,1,10),DATE(2026,5,20),DATE(2023,12,20),DATE(2024,5,20),0.1,101.5,100,4,2)</t>
  </si>
  <si>
    <t xml:space="preserve">ODDFYIELD(DATE(2024,1,10),DATE(2026,5,20),DATE(2023,12,20),DATE(2024,5,20),0.05,100,100,4,2)</t>
  </si>
  <si>
    <t xml:space="preserve">ODDFPRICE(DATE(2024,1,10),DATE(2026,5,20),DATE(2023,12,20),DATE(2024,5,20),0.05,0.08,100,4,3)</t>
  </si>
  <si>
    <t xml:space="preserve">ODDFPRICE(DATE(2024,1,10),DATE(2026,5,20),DATE(2023,12,20),DATE(2024,5,20),0.1,0.03,105,4,3)</t>
  </si>
  <si>
    <t xml:space="preserve">ODDFPRICE(DATE(2024,1,10),DATE(2026,5,20),DATE(2023,12,20),DATE(2024,5,20),0,0.05,100,4,3)</t>
  </si>
  <si>
    <t xml:space="preserve">ODDFYIELD(DATE(2024,1,10),DATE(2026,5,20),DATE(2023,12,20),DATE(2024,5,20),0.05,95,100,4,3)</t>
  </si>
  <si>
    <t xml:space="preserve">ODDFYIELD(DATE(2024,1,10),DATE(2026,5,20),DATE(2023,12,20),DATE(2024,5,20),0.1,101.5,100,4,3)</t>
  </si>
  <si>
    <t xml:space="preserve">ODDFYIELD(DATE(2024,1,10),DATE(2026,5,20),DATE(2023,12,20),DATE(2024,5,20),0.05,100,100,4,3)</t>
  </si>
  <si>
    <t xml:space="preserve">ODDFPRICE(DATE(2024,1,10),DATE(2026,5,20),DATE(2023,12,20),DATE(2024,5,20),0.05,0.08,100,4,4)</t>
  </si>
  <si>
    <t xml:space="preserve">ODDFPRICE(DATE(2024,1,10),DATE(2026,5,20),DATE(2023,12,20),DATE(2024,5,20),0.1,0.03,105,4,4)</t>
  </si>
  <si>
    <t xml:space="preserve">ODDFPRICE(DATE(2024,1,10),DATE(2026,5,20),DATE(2023,12,20),DATE(2024,5,20),0,0.05,100,4,4)</t>
  </si>
  <si>
    <t xml:space="preserve">ODDFYIELD(DATE(2024,1,10),DATE(2026,5,20),DATE(2023,12,20),DATE(2024,5,20),0.05,95,100,4,4)</t>
  </si>
  <si>
    <t xml:space="preserve">ODDFYIELD(DATE(2024,1,10),DATE(2026,5,20),DATE(2023,12,20),DATE(2024,5,20),0.1,101.5,100,4,4)</t>
  </si>
  <si>
    <t xml:space="preserve">ODDFYIELD(DATE(2024,1,10),DATE(2026,5,20),DATE(2023,12,20),DATE(2024,5,20),0.05,100,100,4,4)</t>
  </si>
  <si>
    <t xml:space="preserve">ODDLPRICE(DATE(2024,3,1),DATE(2024,6,30),DATE(2024,1,15),0.05,0.08,100,1,0)</t>
  </si>
  <si>
    <t xml:space="preserve">ODDLPRICE(DATE(2024,3,1),DATE(2024,6,30),DATE(2024,1,15),0.1,0.03,105,1,0)</t>
  </si>
  <si>
    <t xml:space="preserve">ODDLPRICE(DATE(2024,3,1),DATE(2024,6,30),DATE(2024,1,15),0,0.05,100,1,0)</t>
  </si>
  <si>
    <t xml:space="preserve">ODDLYIELD(DATE(2024,3,1),DATE(2024,6,30),DATE(2024,1,15),0.05,95,100,1,0)</t>
  </si>
  <si>
    <t xml:space="preserve">ODDLYIELD(DATE(2024,3,1),DATE(2024,6,30),DATE(2024,1,15),0.1,101.5,100,1,0)</t>
  </si>
  <si>
    <t xml:space="preserve">ODDLYIELD(DATE(2024,3,1),DATE(2024,6,30),DATE(2024,1,15),0.05,100,100,1,0)</t>
  </si>
  <si>
    <t xml:space="preserve">ODDLPRICE(DATE(2024,3,1),DATE(2024,6,30),DATE(2024,1,15),0.05,0.08,100,1,1)</t>
  </si>
  <si>
    <t xml:space="preserve">ODDLPRICE(DATE(2024,3,1),DATE(2024,6,30),DATE(2024,1,15),0.1,0.03,105,1,1)</t>
  </si>
  <si>
    <t xml:space="preserve">ODDLPRICE(DATE(2024,3,1),DATE(2024,6,30),DATE(2024,1,15),0,0.05,100,1,1)</t>
  </si>
  <si>
    <t xml:space="preserve">ODDLYIELD(DATE(2024,3,1),DATE(2024,6,30),DATE(2024,1,15),0.05,95,100,1,1)</t>
  </si>
  <si>
    <t xml:space="preserve">ODDLYIELD(DATE(2024,3,1),DATE(2024,6,30),DATE(2024,1,15),0.1,101.5,100,1,1)</t>
  </si>
  <si>
    <t xml:space="preserve">ODDLYIELD(DATE(2024,3,1),DATE(2024,6,30),DATE(2024,1,15),0.05,100,100,1,1)</t>
  </si>
  <si>
    <t xml:space="preserve">ODDLPRICE(DATE(2024,3,1),DATE(2024,6,30),DATE(2024,1,15),0.05,0.08,100,1,2)</t>
  </si>
  <si>
    <t xml:space="preserve">ODDLPRICE(DATE(2024,3,1),DATE(2024,6,30),DATE(2024,1,15),0.1,0.03,105,1,2)</t>
  </si>
  <si>
    <t xml:space="preserve">ODDLPRICE(DATE(2024,3,1),DATE(2024,6,30),DATE(2024,1,15),0,0.05,100,1,2)</t>
  </si>
  <si>
    <t xml:space="preserve">ODDLYIELD(DATE(2024,3,1),DATE(2024,6,30),DATE(2024,1,15),0.05,95,100,1,2)</t>
  </si>
  <si>
    <t xml:space="preserve">ODDLYIELD(DATE(2024,3,1),DATE(2024,6,30),DATE(2024,1,15),0.1,101.5,100,1,2)</t>
  </si>
  <si>
    <t xml:space="preserve">ODDLYIELD(DATE(2024,3,1),DATE(2024,6,30),DATE(2024,1,15),0.05,100,100,1,2)</t>
  </si>
  <si>
    <t xml:space="preserve">ODDLPRICE(DATE(2024,3,1),DATE(2024,6,30),DATE(2024,1,15),0.05,0.08,100,1,3)</t>
  </si>
  <si>
    <t xml:space="preserve">ODDLPRICE(DATE(2024,3,1),DATE(2024,6,30),DATE(2024,1,15),0.1,0.03,105,1,3)</t>
  </si>
  <si>
    <t xml:space="preserve">ODDLPRICE(DATE(2024,3,1),DATE(2024,6,30),DATE(2024,1,15),0,0.05,100,1,3)</t>
  </si>
  <si>
    <t xml:space="preserve">ODDLYIELD(DATE(2024,3,1),DATE(2024,6,30),DATE(2024,1,15),0.05,95,100,1,3)</t>
  </si>
  <si>
    <t xml:space="preserve">ODDLYIELD(DATE(2024,3,1),DATE(2024,6,30),DATE(2024,1,15),0.1,101.5,100,1,3)</t>
  </si>
  <si>
    <t xml:space="preserve">ODDLYIELD(DATE(2024,3,1),DATE(2024,6,30),DATE(2024,1,15),0.05,100,100,1,3)</t>
  </si>
  <si>
    <t xml:space="preserve">ODDLPRICE(DATE(2024,3,1),DATE(2024,6,30),DATE(2024,1,15),0.05,0.08,100,1,4)</t>
  </si>
  <si>
    <t xml:space="preserve">ODDLPRICE(DATE(2024,3,1),DATE(2024,6,30),DATE(2024,1,15),0.1,0.03,105,1,4)</t>
  </si>
  <si>
    <t xml:space="preserve">ODDLPRICE(DATE(2024,3,1),DATE(2024,6,30),DATE(2024,1,15),0,0.05,100,1,4)</t>
  </si>
  <si>
    <t xml:space="preserve">ODDLYIELD(DATE(2024,3,1),DATE(2024,6,30),DATE(2024,1,15),0.05,95,100,1,4)</t>
  </si>
  <si>
    <t xml:space="preserve">ODDLYIELD(DATE(2024,3,1),DATE(2024,6,30),DATE(2024,1,15),0.1,101.5,100,1,4)</t>
  </si>
  <si>
    <t xml:space="preserve">ODDLYIELD(DATE(2024,3,1),DATE(2024,6,30),DATE(2024,1,15),0.05,100,100,1,4)</t>
  </si>
  <si>
    <t xml:space="preserve">ODDLPRICE(DATE(2024,3,1),DATE(2024,6,30),DATE(2024,1,15),0.05,0.08,100,2,0)</t>
  </si>
  <si>
    <t xml:space="preserve">ODDLPRICE(DATE(2024,3,1),DATE(2024,6,30),DATE(2024,1,15),0.1,0.03,105,2,0)</t>
  </si>
  <si>
    <t xml:space="preserve">ODDLPRICE(DATE(2024,3,1),DATE(2024,6,30),DATE(2024,1,15),0,0.05,100,2,0)</t>
  </si>
  <si>
    <t xml:space="preserve">ODDLYIELD(DATE(2024,3,1),DATE(2024,6,30),DATE(2024,1,15),0.05,95,100,2,0)</t>
  </si>
  <si>
    <t xml:space="preserve">ODDLYIELD(DATE(2024,3,1),DATE(2024,6,30),DATE(2024,1,15),0.1,101.5,100,2,0)</t>
  </si>
  <si>
    <t xml:space="preserve">ODDLYIELD(DATE(2024,3,1),DATE(2024,6,30),DATE(2024,1,15),0.05,100,100,2,0)</t>
  </si>
  <si>
    <t xml:space="preserve">ODDLPRICE(DATE(2024,3,1),DATE(2024,6,30),DATE(2024,1,15),0.05,0.08,100,2,1)</t>
  </si>
  <si>
    <t xml:space="preserve">ODDLPRICE(DATE(2024,3,1),DATE(2024,6,30),DATE(2024,1,15),0.1,0.03,105,2,1)</t>
  </si>
  <si>
    <t xml:space="preserve">ODDLPRICE(DATE(2024,3,1),DATE(2024,6,30),DATE(2024,1,15),0,0.05,100,2,1)</t>
  </si>
  <si>
    <t xml:space="preserve">ODDLYIELD(DATE(2024,3,1),DATE(2024,6,30),DATE(2024,1,15),0.05,95,100,2,1)</t>
  </si>
  <si>
    <t xml:space="preserve">ODDLYIELD(DATE(2024,3,1),DATE(2024,6,30),DATE(2024,1,15),0.1,101.5,100,2,1)</t>
  </si>
  <si>
    <t xml:space="preserve">ODDLYIELD(DATE(2024,3,1),DATE(2024,6,30),DATE(2024,1,15),0.05,100,100,2,1)</t>
  </si>
  <si>
    <t xml:space="preserve">ODDLPRICE(DATE(2024,3,1),DATE(2024,6,30),DATE(2024,1,15),0.05,0.08,100,2,2)</t>
  </si>
  <si>
    <t xml:space="preserve">ODDLPRICE(DATE(2024,3,1),DATE(2024,6,30),DATE(2024,1,15),0.1,0.03,105,2,2)</t>
  </si>
  <si>
    <t xml:space="preserve">ODDLPRICE(DATE(2024,3,1),DATE(2024,6,30),DATE(2024,1,15),0,0.05,100,2,2)</t>
  </si>
  <si>
    <t xml:space="preserve">ODDLYIELD(DATE(2024,3,1),DATE(2024,6,30),DATE(2024,1,15),0.05,95,100,2,2)</t>
  </si>
  <si>
    <t xml:space="preserve">ODDLYIELD(DATE(2024,3,1),DATE(2024,6,30),DATE(2024,1,15),0.1,101.5,100,2,2)</t>
  </si>
  <si>
    <t xml:space="preserve">ODDLYIELD(DATE(2024,3,1),DATE(2024,6,30),DATE(2024,1,15),0.05,100,100,2,2)</t>
  </si>
  <si>
    <t xml:space="preserve">ODDLPRICE(DATE(2024,3,1),DATE(2024,6,30),DATE(2024,1,15),0.05,0.08,100,2,3)</t>
  </si>
  <si>
    <t xml:space="preserve">ODDLPRICE(DATE(2024,3,1),DATE(2024,6,30),DATE(2024,1,15),0.1,0.03,105,2,3)</t>
  </si>
  <si>
    <t xml:space="preserve">ODDLPRICE(DATE(2024,3,1),DATE(2024,6,30),DATE(2024,1,15),0,0.05,100,2,3)</t>
  </si>
  <si>
    <t xml:space="preserve">ODDLYIELD(DATE(2024,3,1),DATE(2024,6,30),DATE(2024,1,15),0.05,95,100,2,3)</t>
  </si>
  <si>
    <t xml:space="preserve">ODDLYIELD(DATE(2024,3,1),DATE(2024,6,30),DATE(2024,1,15),0.1,101.5,100,2,3)</t>
  </si>
  <si>
    <t xml:space="preserve">ODDLYIELD(DATE(2024,3,1),DATE(2024,6,30),DATE(2024,1,15),0.05,100,100,2,3)</t>
  </si>
  <si>
    <t xml:space="preserve">ODDLPRICE(DATE(2024,3,1),DATE(2024,6,30),DATE(2024,1,15),0.05,0.08,100,2,4)</t>
  </si>
  <si>
    <t xml:space="preserve">ODDLPRICE(DATE(2024,3,1),DATE(2024,6,30),DATE(2024,1,15),0.1,0.03,105,2,4)</t>
  </si>
  <si>
    <t xml:space="preserve">ODDLPRICE(DATE(2024,3,1),DATE(2024,6,30),DATE(2024,1,15),0,0.05,100,2,4)</t>
  </si>
  <si>
    <t xml:space="preserve">ODDLYIELD(DATE(2024,3,1),DATE(2024,6,30),DATE(2024,1,15),0.05,95,100,2,4)</t>
  </si>
  <si>
    <t xml:space="preserve">ODDLYIELD(DATE(2024,3,1),DATE(2024,6,30),DATE(2024,1,15),0.1,101.5,100,2,4)</t>
  </si>
  <si>
    <t xml:space="preserve">ODDLYIELD(DATE(2024,3,1),DATE(2024,6,30),DATE(2024,1,15),0.05,100,100,2,4)</t>
  </si>
  <si>
    <t xml:space="preserve">ODDLPRICE(DATE(2024,3,1),DATE(2024,6,30),DATE(2024,1,15),0.05,0.08,100,4,0)</t>
  </si>
  <si>
    <t xml:space="preserve">ODDLPRICE(DATE(2024,3,1),DATE(2024,6,30),DATE(2024,1,15),0.1,0.03,105,4,0)</t>
  </si>
  <si>
    <t xml:space="preserve">ODDLPRICE(DATE(2024,3,1),DATE(2024,6,30),DATE(2024,1,15),0,0.05,100,4,0)</t>
  </si>
  <si>
    <t xml:space="preserve">ODDLYIELD(DATE(2024,3,1),DATE(2024,6,30),DATE(2024,1,15),0.05,95,100,4,0)</t>
  </si>
  <si>
    <t xml:space="preserve">ODDLYIELD(DATE(2024,3,1),DATE(2024,6,30),DATE(2024,1,15),0.1,101.5,100,4,0)</t>
  </si>
  <si>
    <t xml:space="preserve">ODDLYIELD(DATE(2024,3,1),DATE(2024,6,30),DATE(2024,1,15),0.05,100,100,4,0)</t>
  </si>
  <si>
    <t xml:space="preserve">ODDLPRICE(DATE(2024,3,1),DATE(2024,6,30),DATE(2024,1,15),0.05,0.08,100,4,1)</t>
  </si>
  <si>
    <t xml:space="preserve">ODDLPRICE(DATE(2024,3,1),DATE(2024,6,30),DATE(2024,1,15),0.1,0.03,105,4,1)</t>
  </si>
  <si>
    <t xml:space="preserve">ODDLPRICE(DATE(2024,3,1),DATE(2024,6,30),DATE(2024,1,15),0,0.05,100,4,1)</t>
  </si>
  <si>
    <t xml:space="preserve">ODDLYIELD(DATE(2024,3,1),DATE(2024,6,30),DATE(2024,1,15),0.05,95,100,4,1)</t>
  </si>
  <si>
    <t xml:space="preserve">ODDLYIELD(DATE(2024,3,1),DATE(2024,6,30),DATE(2024,1,15),0.1,101.5,100,4,1)</t>
  </si>
  <si>
    <t xml:space="preserve">ODDLYIELD(DATE(2024,3,1),DATE(2024,6,30),DATE(2024,1,15),0.05,100,100,4,1)</t>
  </si>
  <si>
    <t xml:space="preserve">ODDLPRICE(DATE(2024,3,1),DATE(2024,6,30),DATE(2024,1,15),0.05,0.08,100,4,2)</t>
  </si>
  <si>
    <t xml:space="preserve">ODDLPRICE(DATE(2024,3,1),DATE(2024,6,30),DATE(2024,1,15),0.1,0.03,105,4,2)</t>
  </si>
  <si>
    <t xml:space="preserve">ODDLPRICE(DATE(2024,3,1),DATE(2024,6,30),DATE(2024,1,15),0,0.05,100,4,2)</t>
  </si>
  <si>
    <t xml:space="preserve">ODDLYIELD(DATE(2024,3,1),DATE(2024,6,30),DATE(2024,1,15),0.05,95,100,4,2)</t>
  </si>
  <si>
    <t xml:space="preserve">ODDLYIELD(DATE(2024,3,1),DATE(2024,6,30),DATE(2024,1,15),0.1,101.5,100,4,2)</t>
  </si>
  <si>
    <t xml:space="preserve">ODDLYIELD(DATE(2024,3,1),DATE(2024,6,30),DATE(2024,1,15),0.05,100,100,4,2)</t>
  </si>
  <si>
    <t xml:space="preserve">ODDLPRICE(DATE(2024,3,1),DATE(2024,6,30),DATE(2024,1,15),0.05,0.08,100,4,3)</t>
  </si>
  <si>
    <t xml:space="preserve">ODDLPRICE(DATE(2024,3,1),DATE(2024,6,30),DATE(2024,1,15),0.1,0.03,105,4,3)</t>
  </si>
  <si>
    <t xml:space="preserve">ODDLPRICE(DATE(2024,3,1),DATE(2024,6,30),DATE(2024,1,15),0,0.05,100,4,3)</t>
  </si>
  <si>
    <t xml:space="preserve">ODDLYIELD(DATE(2024,3,1),DATE(2024,6,30),DATE(2024,1,15),0.05,95,100,4,3)</t>
  </si>
  <si>
    <t xml:space="preserve">ODDLYIELD(DATE(2024,3,1),DATE(2024,6,30),DATE(2024,1,15),0.1,101.5,100,4,3)</t>
  </si>
  <si>
    <t xml:space="preserve">ODDLYIELD(DATE(2024,3,1),DATE(2024,6,30),DATE(2024,1,15),0.05,100,100,4,3)</t>
  </si>
  <si>
    <t xml:space="preserve">ODDLPRICE(DATE(2024,3,1),DATE(2024,6,30),DATE(2024,1,15),0.05,0.08,100,4,4)</t>
  </si>
  <si>
    <t xml:space="preserve">ODDLPRICE(DATE(2024,3,1),DATE(2024,6,30),DATE(2024,1,15),0.1,0.03,105,4,4)</t>
  </si>
  <si>
    <t xml:space="preserve">ODDLPRICE(DATE(2024,3,1),DATE(2024,6,30),DATE(2024,1,15),0,0.05,100,4,4)</t>
  </si>
  <si>
    <t xml:space="preserve">ODDLYIELD(DATE(2024,3,1),DATE(2024,6,30),DATE(2024,1,15),0.05,95,100,4,4)</t>
  </si>
  <si>
    <t xml:space="preserve">ODDLYIELD(DATE(2024,3,1),DATE(2024,6,30),DATE(2024,1,15),0.1,101.5,100,4,4)</t>
  </si>
  <si>
    <t xml:space="preserve">ODDLYIELD(DATE(2024,3,1),DATE(2024,6,30),DATE(2024,1,15),0.05,100,100,4,4)</t>
  </si>
  <si>
    <t xml:space="preserve">ODDLPRICE(DATE(2024,2,1),DATE(2025,1,15),DATE(2024,1,15),0.05,0.08,100,1,0)</t>
  </si>
  <si>
    <t xml:space="preserve">ODDLPRICE(DATE(2024,2,1),DATE(2025,1,15),DATE(2024,1,15),0.1,0.03,105,1,0)</t>
  </si>
  <si>
    <t xml:space="preserve">ODDLPRICE(DATE(2024,2,1),DATE(2025,1,15),DATE(2024,1,15),0,0.05,100,1,0)</t>
  </si>
  <si>
    <t xml:space="preserve">ODDLYIELD(DATE(2024,2,1),DATE(2025,1,15),DATE(2024,1,15),0.05,95,100,1,0)</t>
  </si>
  <si>
    <t xml:space="preserve">ODDLYIELD(DATE(2024,2,1),DATE(2025,1,15),DATE(2024,1,15),0.1,101.5,100,1,0)</t>
  </si>
  <si>
    <t xml:space="preserve">ODDLYIELD(DATE(2024,2,1),DATE(2025,1,15),DATE(2024,1,15),0.05,100,100,1,0)</t>
  </si>
  <si>
    <t xml:space="preserve">ODDLPRICE(DATE(2024,2,1),DATE(2025,1,15),DATE(2024,1,15),0.05,0.08,100,1,1)</t>
  </si>
  <si>
    <t xml:space="preserve">ODDLPRICE(DATE(2024,2,1),DATE(2025,1,15),DATE(2024,1,15),0.1,0.03,105,1,1)</t>
  </si>
  <si>
    <t xml:space="preserve">ODDLPRICE(DATE(2024,2,1),DATE(2025,1,15),DATE(2024,1,15),0,0.05,100,1,1)</t>
  </si>
  <si>
    <t xml:space="preserve">ODDLYIELD(DATE(2024,2,1),DATE(2025,1,15),DATE(2024,1,15),0.05,95,100,1,1)</t>
  </si>
  <si>
    <t xml:space="preserve">ODDLYIELD(DATE(2024,2,1),DATE(2025,1,15),DATE(2024,1,15),0.1,101.5,100,1,1)</t>
  </si>
  <si>
    <t xml:space="preserve">ODDLYIELD(DATE(2024,2,1),DATE(2025,1,15),DATE(2024,1,15),0.05,100,100,1,1)</t>
  </si>
  <si>
    <t xml:space="preserve">ODDLPRICE(DATE(2024,2,1),DATE(2025,1,15),DATE(2024,1,15),0.05,0.08,100,1,2)</t>
  </si>
  <si>
    <t xml:space="preserve">ODDLPRICE(DATE(2024,2,1),DATE(2025,1,15),DATE(2024,1,15),0.1,0.03,105,1,2)</t>
  </si>
  <si>
    <t xml:space="preserve">ODDLPRICE(DATE(2024,2,1),DATE(2025,1,15),DATE(2024,1,15),0,0.05,100,1,2)</t>
  </si>
  <si>
    <t xml:space="preserve">ODDLYIELD(DATE(2024,2,1),DATE(2025,1,15),DATE(2024,1,15),0.05,95,100,1,2)</t>
  </si>
  <si>
    <t xml:space="preserve">ODDLYIELD(DATE(2024,2,1),DATE(2025,1,15),DATE(2024,1,15),0.1,101.5,100,1,2)</t>
  </si>
  <si>
    <t xml:space="preserve">ODDLYIELD(DATE(2024,2,1),DATE(2025,1,15),DATE(2024,1,15),0.05,100,100,1,2)</t>
  </si>
  <si>
    <t xml:space="preserve">ODDLPRICE(DATE(2024,2,1),DATE(2025,1,15),DATE(2024,1,15),0.05,0.08,100,1,3)</t>
  </si>
  <si>
    <t xml:space="preserve">ODDLPRICE(DATE(2024,2,1),DATE(2025,1,15),DATE(2024,1,15),0.1,0.03,105,1,3)</t>
  </si>
  <si>
    <t xml:space="preserve">ODDLPRICE(DATE(2024,2,1),DATE(2025,1,15),DATE(2024,1,15),0,0.05,100,1,3)</t>
  </si>
  <si>
    <t xml:space="preserve">ODDLYIELD(DATE(2024,2,1),DATE(2025,1,15),DATE(2024,1,15),0.05,95,100,1,3)</t>
  </si>
  <si>
    <t xml:space="preserve">ODDLYIELD(DATE(2024,2,1),DATE(2025,1,15),DATE(2024,1,15),0.1,101.5,100,1,3)</t>
  </si>
  <si>
    <t xml:space="preserve">ODDLYIELD(DATE(2024,2,1),DATE(2025,1,15),DATE(2024,1,15),0.05,100,100,1,3)</t>
  </si>
  <si>
    <t xml:space="preserve">ODDLPRICE(DATE(2024,2,1),DATE(2025,1,15),DATE(2024,1,15),0.05,0.08,100,1,4)</t>
  </si>
  <si>
    <t xml:space="preserve">ODDLPRICE(DATE(2024,2,1),DATE(2025,1,15),DATE(2024,1,15),0.1,0.03,105,1,4)</t>
  </si>
  <si>
    <t xml:space="preserve">ODDLPRICE(DATE(2024,2,1),DATE(2025,1,15),DATE(2024,1,15),0,0.05,100,1,4)</t>
  </si>
  <si>
    <t xml:space="preserve">ODDLYIELD(DATE(2024,2,1),DATE(2025,1,15),DATE(2024,1,15),0.05,95,100,1,4)</t>
  </si>
  <si>
    <t xml:space="preserve">ODDLYIELD(DATE(2024,2,1),DATE(2025,1,15),DATE(2024,1,15),0.1,101.5,100,1,4)</t>
  </si>
  <si>
    <t xml:space="preserve">ODDLYIELD(DATE(2024,2,1),DATE(2025,1,15),DATE(2024,1,15),0.05,100,100,1,4)</t>
  </si>
  <si>
    <t xml:space="preserve">ODDLPRICE(DATE(2024,2,1),DATE(2025,1,15),DATE(2024,1,15),0.05,0.08,100,2,0)</t>
  </si>
  <si>
    <t xml:space="preserve">ODDLPRICE(DATE(2024,2,1),DATE(2025,1,15),DATE(2024,1,15),0.1,0.03,105,2,0)</t>
  </si>
  <si>
    <t xml:space="preserve">ODDLPRICE(DATE(2024,2,1),DATE(2025,1,15),DATE(2024,1,15),0,0.05,100,2,0)</t>
  </si>
  <si>
    <t xml:space="preserve">ODDLYIELD(DATE(2024,2,1),DATE(2025,1,15),DATE(2024,1,15),0.05,95,100,2,0)</t>
  </si>
  <si>
    <t xml:space="preserve">ODDLYIELD(DATE(2024,2,1),DATE(2025,1,15),DATE(2024,1,15),0.1,101.5,100,2,0)</t>
  </si>
  <si>
    <t xml:space="preserve">ODDLYIELD(DATE(2024,2,1),DATE(2025,1,15),DATE(2024,1,15),0.05,100,100,2,0)</t>
  </si>
  <si>
    <t xml:space="preserve">ODDLPRICE(DATE(2024,2,1),DATE(2025,1,15),DATE(2024,1,15),0.05,0.08,100,2,1)</t>
  </si>
  <si>
    <t xml:space="preserve">ODDLPRICE(DATE(2024,2,1),DATE(2025,1,15),DATE(2024,1,15),0.1,0.03,105,2,1)</t>
  </si>
  <si>
    <t xml:space="preserve">ODDLPRICE(DATE(2024,2,1),DATE(2025,1,15),DATE(2024,1,15),0,0.05,100,2,1)</t>
  </si>
  <si>
    <t xml:space="preserve">ODDLYIELD(DATE(2024,2,1),DATE(2025,1,15),DATE(2024,1,15),0.05,95,100,2,1)</t>
  </si>
  <si>
    <t xml:space="preserve">ODDLYIELD(DATE(2024,2,1),DATE(2025,1,15),DATE(2024,1,15),0.1,101.5,100,2,1)</t>
  </si>
  <si>
    <t xml:space="preserve">ODDLYIELD(DATE(2024,2,1),DATE(2025,1,15),DATE(2024,1,15),0.05,100,100,2,1)</t>
  </si>
  <si>
    <t xml:space="preserve">ODDLPRICE(DATE(2024,2,1),DATE(2025,1,15),DATE(2024,1,15),0.05,0.08,100,2,2)</t>
  </si>
  <si>
    <t xml:space="preserve">ODDLPRICE(DATE(2024,2,1),DATE(2025,1,15),DATE(2024,1,15),0.1,0.03,105,2,2)</t>
  </si>
  <si>
    <t xml:space="preserve">ODDLPRICE(DATE(2024,2,1),DATE(2025,1,15),DATE(2024,1,15),0,0.05,100,2,2)</t>
  </si>
  <si>
    <t xml:space="preserve">ODDLYIELD(DATE(2024,2,1),DATE(2025,1,15),DATE(2024,1,15),0.05,95,100,2,2)</t>
  </si>
  <si>
    <t xml:space="preserve">ODDLYIELD(DATE(2024,2,1),DATE(2025,1,15),DATE(2024,1,15),0.1,101.5,100,2,2)</t>
  </si>
  <si>
    <t xml:space="preserve">ODDLYIELD(DATE(2024,2,1),DATE(2025,1,15),DATE(2024,1,15),0.05,100,100,2,2)</t>
  </si>
  <si>
    <t xml:space="preserve">ODDLPRICE(DATE(2024,2,1),DATE(2025,1,15),DATE(2024,1,15),0.05,0.08,100,2,3)</t>
  </si>
  <si>
    <t xml:space="preserve">ODDLPRICE(DATE(2024,2,1),DATE(2025,1,15),DATE(2024,1,15),0.1,0.03,105,2,3)</t>
  </si>
  <si>
    <t xml:space="preserve">ODDLPRICE(DATE(2024,2,1),DATE(2025,1,15),DATE(2024,1,15),0,0.05,100,2,3)</t>
  </si>
  <si>
    <t xml:space="preserve">ODDLYIELD(DATE(2024,2,1),DATE(2025,1,15),DATE(2024,1,15),0.05,95,100,2,3)</t>
  </si>
  <si>
    <t xml:space="preserve">ODDLYIELD(DATE(2024,2,1),DATE(2025,1,15),DATE(2024,1,15),0.1,101.5,100,2,3)</t>
  </si>
  <si>
    <t xml:space="preserve">ODDLYIELD(DATE(2024,2,1),DATE(2025,1,15),DATE(2024,1,15),0.05,100,100,2,3)</t>
  </si>
  <si>
    <t xml:space="preserve">ODDLPRICE(DATE(2024,2,1),DATE(2025,1,15),DATE(2024,1,15),0.05,0.08,100,2,4)</t>
  </si>
  <si>
    <t xml:space="preserve">ODDLPRICE(DATE(2024,2,1),DATE(2025,1,15),DATE(2024,1,15),0.1,0.03,105,2,4)</t>
  </si>
  <si>
    <t xml:space="preserve">ODDLPRICE(DATE(2024,2,1),DATE(2025,1,15),DATE(2024,1,15),0,0.05,100,2,4)</t>
  </si>
  <si>
    <t xml:space="preserve">ODDLYIELD(DATE(2024,2,1),DATE(2025,1,15),DATE(2024,1,15),0.05,95,100,2,4)</t>
  </si>
  <si>
    <t xml:space="preserve">ODDLYIELD(DATE(2024,2,1),DATE(2025,1,15),DATE(2024,1,15),0.1,101.5,100,2,4)</t>
  </si>
  <si>
    <t xml:space="preserve">ODDLYIELD(DATE(2024,2,1),DATE(2025,1,15),DATE(2024,1,15),0.05,100,100,2,4)</t>
  </si>
  <si>
    <t xml:space="preserve">ODDLPRICE(DATE(2024,2,1),DATE(2025,1,15),DATE(2024,1,15),0.05,0.08,100,4,0)</t>
  </si>
  <si>
    <t xml:space="preserve">ODDLPRICE(DATE(2024,2,1),DATE(2025,1,15),DATE(2024,1,15),0.1,0.03,105,4,0)</t>
  </si>
  <si>
    <t xml:space="preserve">ODDLPRICE(DATE(2024,2,1),DATE(2025,1,15),DATE(2024,1,15),0,0.05,100,4,0)</t>
  </si>
  <si>
    <t xml:space="preserve">ODDLYIELD(DATE(2024,2,1),DATE(2025,1,15),DATE(2024,1,15),0.05,95,100,4,0)</t>
  </si>
  <si>
    <t xml:space="preserve">ODDLYIELD(DATE(2024,2,1),DATE(2025,1,15),DATE(2024,1,15),0.1,101.5,100,4,0)</t>
  </si>
  <si>
    <t xml:space="preserve">ODDLYIELD(DATE(2024,2,1),DATE(2025,1,15),DATE(2024,1,15),0.05,100,100,4,0)</t>
  </si>
  <si>
    <t xml:space="preserve">ODDLPRICE(DATE(2024,2,1),DATE(2025,1,15),DATE(2024,1,15),0.05,0.08,100,4,1)</t>
  </si>
  <si>
    <t xml:space="preserve">ODDLPRICE(DATE(2024,2,1),DATE(2025,1,15),DATE(2024,1,15),0.1,0.03,105,4,1)</t>
  </si>
  <si>
    <t xml:space="preserve">ODDLPRICE(DATE(2024,2,1),DATE(2025,1,15),DATE(2024,1,15),0,0.05,100,4,1)</t>
  </si>
  <si>
    <t xml:space="preserve">ODDLYIELD(DATE(2024,2,1),DATE(2025,1,15),DATE(2024,1,15),0.05,95,100,4,1)</t>
  </si>
  <si>
    <t xml:space="preserve">ODDLYIELD(DATE(2024,2,1),DATE(2025,1,15),DATE(2024,1,15),0.1,101.5,100,4,1)</t>
  </si>
  <si>
    <t xml:space="preserve">ODDLYIELD(DATE(2024,2,1),DATE(2025,1,15),DATE(2024,1,15),0.05,100,100,4,1)</t>
  </si>
  <si>
    <t xml:space="preserve">ODDLPRICE(DATE(2024,2,1),DATE(2025,1,15),DATE(2024,1,15),0.05,0.08,100,4,2)</t>
  </si>
  <si>
    <t xml:space="preserve">ODDLPRICE(DATE(2024,2,1),DATE(2025,1,15),DATE(2024,1,15),0.1,0.03,105,4,2)</t>
  </si>
  <si>
    <t xml:space="preserve">ODDLPRICE(DATE(2024,2,1),DATE(2025,1,15),DATE(2024,1,15),0,0.05,100,4,2)</t>
  </si>
  <si>
    <t xml:space="preserve">ODDLYIELD(DATE(2024,2,1),DATE(2025,1,15),DATE(2024,1,15),0.05,95,100,4,2)</t>
  </si>
  <si>
    <t xml:space="preserve">ODDLYIELD(DATE(2024,2,1),DATE(2025,1,15),DATE(2024,1,15),0.1,101.5,100,4,2)</t>
  </si>
  <si>
    <t xml:space="preserve">ODDLYIELD(DATE(2024,2,1),DATE(2025,1,15),DATE(2024,1,15),0.05,100,100,4,2)</t>
  </si>
  <si>
    <t xml:space="preserve">ODDLPRICE(DATE(2024,2,1),DATE(2025,1,15),DATE(2024,1,15),0.05,0.08,100,4,3)</t>
  </si>
  <si>
    <t xml:space="preserve">ODDLPRICE(DATE(2024,2,1),DATE(2025,1,15),DATE(2024,1,15),0.1,0.03,105,4,3)</t>
  </si>
  <si>
    <t xml:space="preserve">ODDLPRICE(DATE(2024,2,1),DATE(2025,1,15),DATE(2024,1,15),0,0.05,100,4,3)</t>
  </si>
  <si>
    <t xml:space="preserve">ODDLYIELD(DATE(2024,2,1),DATE(2025,1,15),DATE(2024,1,15),0.05,95,100,4,3)</t>
  </si>
  <si>
    <t xml:space="preserve">ODDLYIELD(DATE(2024,2,1),DATE(2025,1,15),DATE(2024,1,15),0.1,101.5,100,4,3)</t>
  </si>
  <si>
    <t xml:space="preserve">ODDLYIELD(DATE(2024,2,1),DATE(2025,1,15),DATE(2024,1,15),0.05,100,100,4,3)</t>
  </si>
  <si>
    <t xml:space="preserve">ODDLPRICE(DATE(2024,2,1),DATE(2025,1,15),DATE(2024,1,15),0.05,0.08,100,4,4)</t>
  </si>
  <si>
    <t xml:space="preserve">ODDLPRICE(DATE(2024,2,1),DATE(2025,1,15),DATE(2024,1,15),0.1,0.03,105,4,4)</t>
  </si>
  <si>
    <t xml:space="preserve">ODDLPRICE(DATE(2024,2,1),DATE(2025,1,15),DATE(2024,1,15),0,0.05,100,4,4)</t>
  </si>
  <si>
    <t xml:space="preserve">ODDLYIELD(DATE(2024,2,1),DATE(2025,1,15),DATE(2024,1,15),0.05,95,100,4,4)</t>
  </si>
  <si>
    <t xml:space="preserve">ODDLYIELD(DATE(2024,2,1),DATE(2025,1,15),DATE(2024,1,15),0.1,101.5,100,4,4)</t>
  </si>
  <si>
    <t xml:space="preserve">ODDLYIELD(DATE(2024,2,1),DATE(2025,1,15),DATE(2024,1,15),0.05,100,100,4,4)</t>
  </si>
  <si>
    <t xml:space="preserve">ODDLPRICE(DATE(2024,3,15),DATE(2024,11,1),DATE(2024,1,15),0.05,0.08,100,1,0)</t>
  </si>
  <si>
    <t xml:space="preserve">ODDLPRICE(DATE(2024,3,15),DATE(2024,11,1),DATE(2024,1,15),0.1,0.03,105,1,0)</t>
  </si>
  <si>
    <t xml:space="preserve">ODDLPRICE(DATE(2024,3,15),DATE(2024,11,1),DATE(2024,1,15),0,0.05,100,1,0)</t>
  </si>
  <si>
    <t xml:space="preserve">ODDLYIELD(DATE(2024,3,15),DATE(2024,11,1),DATE(2024,1,15),0.05,95,100,1,0)</t>
  </si>
  <si>
    <t xml:space="preserve">ODDLYIELD(DATE(2024,3,15),DATE(2024,11,1),DATE(2024,1,15),0.1,101.5,100,1,0)</t>
  </si>
  <si>
    <t xml:space="preserve">ODDLYIELD(DATE(2024,3,15),DATE(2024,11,1),DATE(2024,1,15),0.05,100,100,1,0)</t>
  </si>
  <si>
    <t xml:space="preserve">ODDLPRICE(DATE(2024,3,15),DATE(2024,11,1),DATE(2024,1,15),0.05,0.08,100,1,1)</t>
  </si>
  <si>
    <t xml:space="preserve">ODDLPRICE(DATE(2024,3,15),DATE(2024,11,1),DATE(2024,1,15),0.1,0.03,105,1,1)</t>
  </si>
  <si>
    <t xml:space="preserve">ODDLPRICE(DATE(2024,3,15),DATE(2024,11,1),DATE(2024,1,15),0,0.05,100,1,1)</t>
  </si>
  <si>
    <t xml:space="preserve">ODDLYIELD(DATE(2024,3,15),DATE(2024,11,1),DATE(2024,1,15),0.05,95,100,1,1)</t>
  </si>
  <si>
    <t xml:space="preserve">ODDLYIELD(DATE(2024,3,15),DATE(2024,11,1),DATE(2024,1,15),0.1,101.5,100,1,1)</t>
  </si>
  <si>
    <t xml:space="preserve">ODDLYIELD(DATE(2024,3,15),DATE(2024,11,1),DATE(2024,1,15),0.05,100,100,1,1)</t>
  </si>
  <si>
    <t xml:space="preserve">ODDLPRICE(DATE(2024,3,15),DATE(2024,11,1),DATE(2024,1,15),0.05,0.08,100,1,2)</t>
  </si>
  <si>
    <t xml:space="preserve">ODDLPRICE(DATE(2024,3,15),DATE(2024,11,1),DATE(2024,1,15),0.1,0.03,105,1,2)</t>
  </si>
  <si>
    <t xml:space="preserve">ODDLPRICE(DATE(2024,3,15),DATE(2024,11,1),DATE(2024,1,15),0,0.05,100,1,2)</t>
  </si>
  <si>
    <t xml:space="preserve">ODDLYIELD(DATE(2024,3,15),DATE(2024,11,1),DATE(2024,1,15),0.05,95,100,1,2)</t>
  </si>
  <si>
    <t xml:space="preserve">ODDLYIELD(DATE(2024,3,15),DATE(2024,11,1),DATE(2024,1,15),0.1,101.5,100,1,2)</t>
  </si>
  <si>
    <t xml:space="preserve">ODDLYIELD(DATE(2024,3,15),DATE(2024,11,1),DATE(2024,1,15),0.05,100,100,1,2)</t>
  </si>
  <si>
    <t xml:space="preserve">ODDLPRICE(DATE(2024,3,15),DATE(2024,11,1),DATE(2024,1,15),0.05,0.08,100,1,3)</t>
  </si>
  <si>
    <t xml:space="preserve">ODDLPRICE(DATE(2024,3,15),DATE(2024,11,1),DATE(2024,1,15),0.1,0.03,105,1,3)</t>
  </si>
  <si>
    <t xml:space="preserve">ODDLPRICE(DATE(2024,3,15),DATE(2024,11,1),DATE(2024,1,15),0,0.05,100,1,3)</t>
  </si>
  <si>
    <t xml:space="preserve">ODDLYIELD(DATE(2024,3,15),DATE(2024,11,1),DATE(2024,1,15),0.05,95,100,1,3)</t>
  </si>
  <si>
    <t xml:space="preserve">ODDLYIELD(DATE(2024,3,15),DATE(2024,11,1),DATE(2024,1,15),0.1,101.5,100,1,3)</t>
  </si>
  <si>
    <t xml:space="preserve">ODDLYIELD(DATE(2024,3,15),DATE(2024,11,1),DATE(2024,1,15),0.05,100,100,1,3)</t>
  </si>
  <si>
    <t xml:space="preserve">ODDLPRICE(DATE(2024,3,15),DATE(2024,11,1),DATE(2024,1,15),0.05,0.08,100,1,4)</t>
  </si>
  <si>
    <t xml:space="preserve">ODDLPRICE(DATE(2024,3,15),DATE(2024,11,1),DATE(2024,1,15),0.1,0.03,105,1,4)</t>
  </si>
  <si>
    <t xml:space="preserve">ODDLPRICE(DATE(2024,3,15),DATE(2024,11,1),DATE(2024,1,15),0,0.05,100,1,4)</t>
  </si>
  <si>
    <t xml:space="preserve">ODDLYIELD(DATE(2024,3,15),DATE(2024,11,1),DATE(2024,1,15),0.05,95,100,1,4)</t>
  </si>
  <si>
    <t xml:space="preserve">ODDLYIELD(DATE(2024,3,15),DATE(2024,11,1),DATE(2024,1,15),0.1,101.5,100,1,4)</t>
  </si>
  <si>
    <t xml:space="preserve">ODDLYIELD(DATE(2024,3,15),DATE(2024,11,1),DATE(2024,1,15),0.05,100,100,1,4)</t>
  </si>
  <si>
    <t xml:space="preserve">ODDLPRICE(DATE(2024,3,15),DATE(2024,11,1),DATE(2024,1,15),0.05,0.08,100,2,0)</t>
  </si>
  <si>
    <t xml:space="preserve">ODDLPRICE(DATE(2024,3,15),DATE(2024,11,1),DATE(2024,1,15),0.1,0.03,105,2,0)</t>
  </si>
  <si>
    <t xml:space="preserve">ODDLPRICE(DATE(2024,3,15),DATE(2024,11,1),DATE(2024,1,15),0,0.05,100,2,0)</t>
  </si>
  <si>
    <t xml:space="preserve">ODDLYIELD(DATE(2024,3,15),DATE(2024,11,1),DATE(2024,1,15),0.05,95,100,2,0)</t>
  </si>
  <si>
    <t xml:space="preserve">ODDLYIELD(DATE(2024,3,15),DATE(2024,11,1),DATE(2024,1,15),0.1,101.5,100,2,0)</t>
  </si>
  <si>
    <t xml:space="preserve">ODDLYIELD(DATE(2024,3,15),DATE(2024,11,1),DATE(2024,1,15),0.05,100,100,2,0)</t>
  </si>
  <si>
    <t xml:space="preserve">ODDLPRICE(DATE(2024,3,15),DATE(2024,11,1),DATE(2024,1,15),0.05,0.08,100,2,1)</t>
  </si>
  <si>
    <t xml:space="preserve">ODDLPRICE(DATE(2024,3,15),DATE(2024,11,1),DATE(2024,1,15),0.1,0.03,105,2,1)</t>
  </si>
  <si>
    <t xml:space="preserve">ODDLPRICE(DATE(2024,3,15),DATE(2024,11,1),DATE(2024,1,15),0,0.05,100,2,1)</t>
  </si>
  <si>
    <t xml:space="preserve">ODDLYIELD(DATE(2024,3,15),DATE(2024,11,1),DATE(2024,1,15),0.05,95,100,2,1)</t>
  </si>
  <si>
    <t xml:space="preserve">ODDLYIELD(DATE(2024,3,15),DATE(2024,11,1),DATE(2024,1,15),0.1,101.5,100,2,1)</t>
  </si>
  <si>
    <t xml:space="preserve">ODDLYIELD(DATE(2024,3,15),DATE(2024,11,1),DATE(2024,1,15),0.05,100,100,2,1)</t>
  </si>
  <si>
    <t xml:space="preserve">ODDLPRICE(DATE(2024,3,15),DATE(2024,11,1),DATE(2024,1,15),0.05,0.08,100,2,2)</t>
  </si>
  <si>
    <t xml:space="preserve">ODDLPRICE(DATE(2024,3,15),DATE(2024,11,1),DATE(2024,1,15),0.1,0.03,105,2,2)</t>
  </si>
  <si>
    <t xml:space="preserve">ODDLPRICE(DATE(2024,3,15),DATE(2024,11,1),DATE(2024,1,15),0,0.05,100,2,2)</t>
  </si>
  <si>
    <t xml:space="preserve">ODDLYIELD(DATE(2024,3,15),DATE(2024,11,1),DATE(2024,1,15),0.05,95,100,2,2)</t>
  </si>
  <si>
    <t xml:space="preserve">ODDLYIELD(DATE(2024,3,15),DATE(2024,11,1),DATE(2024,1,15),0.1,101.5,100,2,2)</t>
  </si>
  <si>
    <t xml:space="preserve">ODDLYIELD(DATE(2024,3,15),DATE(2024,11,1),DATE(2024,1,15),0.05,100,100,2,2)</t>
  </si>
  <si>
    <t xml:space="preserve">ODDLPRICE(DATE(2024,3,15),DATE(2024,11,1),DATE(2024,1,15),0.05,0.08,100,2,3)</t>
  </si>
  <si>
    <t xml:space="preserve">ODDLPRICE(DATE(2024,3,15),DATE(2024,11,1),DATE(2024,1,15),0.1,0.03,105,2,3)</t>
  </si>
  <si>
    <t xml:space="preserve">ODDLPRICE(DATE(2024,3,15),DATE(2024,11,1),DATE(2024,1,15),0,0.05,100,2,3)</t>
  </si>
  <si>
    <t xml:space="preserve">ODDLYIELD(DATE(2024,3,15),DATE(2024,11,1),DATE(2024,1,15),0.05,95,100,2,3)</t>
  </si>
  <si>
    <t xml:space="preserve">ODDLYIELD(DATE(2024,3,15),DATE(2024,11,1),DATE(2024,1,15),0.1,101.5,100,2,3)</t>
  </si>
  <si>
    <t xml:space="preserve">ODDLYIELD(DATE(2024,3,15),DATE(2024,11,1),DATE(2024,1,15),0.05,100,100,2,3)</t>
  </si>
  <si>
    <t xml:space="preserve">ODDLPRICE(DATE(2024,3,15),DATE(2024,11,1),DATE(2024,1,15),0.05,0.08,100,2,4)</t>
  </si>
  <si>
    <t xml:space="preserve">ODDLPRICE(DATE(2024,3,15),DATE(2024,11,1),DATE(2024,1,15),0.1,0.03,105,2,4)</t>
  </si>
  <si>
    <t xml:space="preserve">ODDLPRICE(DATE(2024,3,15),DATE(2024,11,1),DATE(2024,1,15),0,0.05,100,2,4)</t>
  </si>
  <si>
    <t xml:space="preserve">ODDLYIELD(DATE(2024,3,15),DATE(2024,11,1),DATE(2024,1,15),0.05,95,100,2,4)</t>
  </si>
  <si>
    <t xml:space="preserve">ODDLYIELD(DATE(2024,3,15),DATE(2024,11,1),DATE(2024,1,15),0.1,101.5,100,2,4)</t>
  </si>
  <si>
    <t xml:space="preserve">ODDLYIELD(DATE(2024,3,15),DATE(2024,11,1),DATE(2024,1,15),0.05,100,100,2,4)</t>
  </si>
  <si>
    <t xml:space="preserve">ODDLPRICE(DATE(2024,3,15),DATE(2024,11,1),DATE(2024,1,15),0.05,0.08,100,4,0)</t>
  </si>
  <si>
    <t xml:space="preserve">ODDLPRICE(DATE(2024,3,15),DATE(2024,11,1),DATE(2024,1,15),0.1,0.03,105,4,0)</t>
  </si>
  <si>
    <t xml:space="preserve">ODDLPRICE(DATE(2024,3,15),DATE(2024,11,1),DATE(2024,1,15),0,0.05,100,4,0)</t>
  </si>
  <si>
    <t xml:space="preserve">ODDLYIELD(DATE(2024,3,15),DATE(2024,11,1),DATE(2024,1,15),0.05,95,100,4,0)</t>
  </si>
  <si>
    <t xml:space="preserve">ODDLYIELD(DATE(2024,3,15),DATE(2024,11,1),DATE(2024,1,15),0.1,101.5,100,4,0)</t>
  </si>
  <si>
    <t xml:space="preserve">ODDLYIELD(DATE(2024,3,15),DATE(2024,11,1),DATE(2024,1,15),0.05,100,100,4,0)</t>
  </si>
  <si>
    <t xml:space="preserve">ODDLPRICE(DATE(2024,3,15),DATE(2024,11,1),DATE(2024,1,15),0.05,0.08,100,4,1)</t>
  </si>
  <si>
    <t xml:space="preserve">ODDLPRICE(DATE(2024,3,15),DATE(2024,11,1),DATE(2024,1,15),0.1,0.03,105,4,1)</t>
  </si>
  <si>
    <t xml:space="preserve">ODDLPRICE(DATE(2024,3,15),DATE(2024,11,1),DATE(2024,1,15),0,0.05,100,4,1)</t>
  </si>
  <si>
    <t xml:space="preserve">ODDLYIELD(DATE(2024,3,15),DATE(2024,11,1),DATE(2024,1,15),0.05,95,100,4,1)</t>
  </si>
  <si>
    <t xml:space="preserve">ODDLYIELD(DATE(2024,3,15),DATE(2024,11,1),DATE(2024,1,15),0.1,101.5,100,4,1)</t>
  </si>
  <si>
    <t xml:space="preserve">ODDLYIELD(DATE(2024,3,15),DATE(2024,11,1),DATE(2024,1,15),0.05,100,100,4,1)</t>
  </si>
  <si>
    <t xml:space="preserve">ODDLPRICE(DATE(2024,3,15),DATE(2024,11,1),DATE(2024,1,15),0.05,0.08,100,4,2)</t>
  </si>
  <si>
    <t xml:space="preserve">ODDLPRICE(DATE(2024,3,15),DATE(2024,11,1),DATE(2024,1,15),0.1,0.03,105,4,2)</t>
  </si>
  <si>
    <t xml:space="preserve">ODDLPRICE(DATE(2024,3,15),DATE(2024,11,1),DATE(2024,1,15),0,0.05,100,4,2)</t>
  </si>
  <si>
    <t xml:space="preserve">ODDLYIELD(DATE(2024,3,15),DATE(2024,11,1),DATE(2024,1,15),0.05,95,100,4,2)</t>
  </si>
  <si>
    <t xml:space="preserve">ODDLYIELD(DATE(2024,3,15),DATE(2024,11,1),DATE(2024,1,15),0.1,101.5,100,4,2)</t>
  </si>
  <si>
    <t xml:space="preserve">ODDLYIELD(DATE(2024,3,15),DATE(2024,11,1),DATE(2024,1,15),0.05,100,100,4,2)</t>
  </si>
  <si>
    <t xml:space="preserve">ODDLPRICE(DATE(2024,3,15),DATE(2024,11,1),DATE(2024,1,15),0.05,0.08,100,4,3)</t>
  </si>
  <si>
    <t xml:space="preserve">ODDLPRICE(DATE(2024,3,15),DATE(2024,11,1),DATE(2024,1,15),0.1,0.03,105,4,3)</t>
  </si>
  <si>
    <t xml:space="preserve">ODDLPRICE(DATE(2024,3,15),DATE(2024,11,1),DATE(2024,1,15),0,0.05,100,4,3)</t>
  </si>
  <si>
    <t xml:space="preserve">ODDLYIELD(DATE(2024,3,15),DATE(2024,11,1),DATE(2024,1,15),0.05,95,100,4,3)</t>
  </si>
  <si>
    <t xml:space="preserve">ODDLYIELD(DATE(2024,3,15),DATE(2024,11,1),DATE(2024,1,15),0.1,101.5,100,4,3)</t>
  </si>
  <si>
    <t xml:space="preserve">ODDLYIELD(DATE(2024,3,15),DATE(2024,11,1),DATE(2024,1,15),0.05,100,100,4,3)</t>
  </si>
  <si>
    <t xml:space="preserve">ODDLPRICE(DATE(2024,3,15),DATE(2024,11,1),DATE(2024,1,15),0.05,0.08,100,4,4)</t>
  </si>
  <si>
    <t xml:space="preserve">ODDLPRICE(DATE(2024,3,15),DATE(2024,11,1),DATE(2024,1,15),0.1,0.03,105,4,4)</t>
  </si>
  <si>
    <t xml:space="preserve">ODDLPRICE(DATE(2024,3,15),DATE(2024,11,1),DATE(2024,1,15),0,0.05,100,4,4)</t>
  </si>
  <si>
    <t xml:space="preserve">ODDLYIELD(DATE(2024,3,15),DATE(2024,11,1),DATE(2024,1,15),0.05,95,100,4,4)</t>
  </si>
  <si>
    <t xml:space="preserve">ODDLYIELD(DATE(2024,3,15),DATE(2024,11,1),DATE(2024,1,15),0.1,101.5,100,4,4)</t>
  </si>
  <si>
    <t xml:space="preserve">ODDLYIELD(DATE(2024,3,15),DATE(2024,11,1),DATE(2024,1,15),0.05,100,100,4,4)</t>
  </si>
  <si>
    <t xml:space="preserve">ODDLPRICE(DATE(2024,2,29),DATE(2024,8,31),DATE(2024,2,15),0.05,0.08,100,1,0)</t>
  </si>
  <si>
    <t xml:space="preserve">ODDLPRICE(DATE(2024,2,29),DATE(2024,8,31),DATE(2024,2,15),0.1,0.03,105,1,0)</t>
  </si>
  <si>
    <t xml:space="preserve">ODDLPRICE(DATE(2024,2,29),DATE(2024,8,31),DATE(2024,2,15),0,0.05,100,1,0)</t>
  </si>
  <si>
    <t xml:space="preserve">ODDLYIELD(DATE(2024,2,29),DATE(2024,8,31),DATE(2024,2,15),0.05,95,100,1,0)</t>
  </si>
  <si>
    <t xml:space="preserve">ODDLYIELD(DATE(2024,2,29),DATE(2024,8,31),DATE(2024,2,15),0.1,101.5,100,1,0)</t>
  </si>
  <si>
    <t xml:space="preserve">ODDLYIELD(DATE(2024,2,29),DATE(2024,8,31),DATE(2024,2,15),0.05,100,100,1,0)</t>
  </si>
  <si>
    <t xml:space="preserve">ODDLPRICE(DATE(2024,2,29),DATE(2024,8,31),DATE(2024,2,15),0.05,0.08,100,1,1)</t>
  </si>
  <si>
    <t xml:space="preserve">ODDLPRICE(DATE(2024,2,29),DATE(2024,8,31),DATE(2024,2,15),0.1,0.03,105,1,1)</t>
  </si>
  <si>
    <t xml:space="preserve">ODDLPRICE(DATE(2024,2,29),DATE(2024,8,31),DATE(2024,2,15),0,0.05,100,1,1)</t>
  </si>
  <si>
    <t xml:space="preserve">ODDLYIELD(DATE(2024,2,29),DATE(2024,8,31),DATE(2024,2,15),0.05,95,100,1,1)</t>
  </si>
  <si>
    <t xml:space="preserve">ODDLYIELD(DATE(2024,2,29),DATE(2024,8,31),DATE(2024,2,15),0.1,101.5,100,1,1)</t>
  </si>
  <si>
    <t xml:space="preserve">ODDLYIELD(DATE(2024,2,29),DATE(2024,8,31),DATE(2024,2,15),0.05,100,100,1,1)</t>
  </si>
  <si>
    <t xml:space="preserve">ODDLPRICE(DATE(2024,2,29),DATE(2024,8,31),DATE(2024,2,15),0.05,0.08,100,1,2)</t>
  </si>
  <si>
    <t xml:space="preserve">ODDLPRICE(DATE(2024,2,29),DATE(2024,8,31),DATE(2024,2,15),0.1,0.03,105,1,2)</t>
  </si>
  <si>
    <t xml:space="preserve">ODDLPRICE(DATE(2024,2,29),DATE(2024,8,31),DATE(2024,2,15),0,0.05,100,1,2)</t>
  </si>
  <si>
    <t xml:space="preserve">ODDLYIELD(DATE(2024,2,29),DATE(2024,8,31),DATE(2024,2,15),0.05,95,100,1,2)</t>
  </si>
  <si>
    <t xml:space="preserve">ODDLYIELD(DATE(2024,2,29),DATE(2024,8,31),DATE(2024,2,15),0.1,101.5,100,1,2)</t>
  </si>
  <si>
    <t xml:space="preserve">ODDLYIELD(DATE(2024,2,29),DATE(2024,8,31),DATE(2024,2,15),0.05,100,100,1,2)</t>
  </si>
  <si>
    <t xml:space="preserve">ODDLPRICE(DATE(2024,2,29),DATE(2024,8,31),DATE(2024,2,15),0.05,0.08,100,1,3)</t>
  </si>
  <si>
    <t xml:space="preserve">ODDLPRICE(DATE(2024,2,29),DATE(2024,8,31),DATE(2024,2,15),0.1,0.03,105,1,3)</t>
  </si>
  <si>
    <t xml:space="preserve">ODDLPRICE(DATE(2024,2,29),DATE(2024,8,31),DATE(2024,2,15),0,0.05,100,1,3)</t>
  </si>
  <si>
    <t xml:space="preserve">ODDLYIELD(DATE(2024,2,29),DATE(2024,8,31),DATE(2024,2,15),0.05,95,100,1,3)</t>
  </si>
  <si>
    <t xml:space="preserve">ODDLYIELD(DATE(2024,2,29),DATE(2024,8,31),DATE(2024,2,15),0.1,101.5,100,1,3)</t>
  </si>
  <si>
    <t xml:space="preserve">ODDLYIELD(DATE(2024,2,29),DATE(2024,8,31),DATE(2024,2,15),0.05,100,100,1,3)</t>
  </si>
  <si>
    <t xml:space="preserve">ODDLPRICE(DATE(2024,2,29),DATE(2024,8,31),DATE(2024,2,15),0.05,0.08,100,1,4)</t>
  </si>
  <si>
    <t xml:space="preserve">ODDLPRICE(DATE(2024,2,29),DATE(2024,8,31),DATE(2024,2,15),0.1,0.03,105,1,4)</t>
  </si>
  <si>
    <t xml:space="preserve">ODDLPRICE(DATE(2024,2,29),DATE(2024,8,31),DATE(2024,2,15),0,0.05,100,1,4)</t>
  </si>
  <si>
    <t xml:space="preserve">ODDLYIELD(DATE(2024,2,29),DATE(2024,8,31),DATE(2024,2,15),0.05,95,100,1,4)</t>
  </si>
  <si>
    <t xml:space="preserve">ODDLYIELD(DATE(2024,2,29),DATE(2024,8,31),DATE(2024,2,15),0.1,101.5,100,1,4)</t>
  </si>
  <si>
    <t xml:space="preserve">ODDLYIELD(DATE(2024,2,29),DATE(2024,8,31),DATE(2024,2,15),0.05,100,100,1,4)</t>
  </si>
  <si>
    <t xml:space="preserve">ODDLPRICE(DATE(2024,2,29),DATE(2024,8,31),DATE(2024,2,15),0.05,0.08,100,2,0)</t>
  </si>
  <si>
    <t xml:space="preserve">ODDLPRICE(DATE(2024,2,29),DATE(2024,8,31),DATE(2024,2,15),0.1,0.03,105,2,0)</t>
  </si>
  <si>
    <t xml:space="preserve">ODDLPRICE(DATE(2024,2,29),DATE(2024,8,31),DATE(2024,2,15),0,0.05,100,2,0)</t>
  </si>
  <si>
    <t xml:space="preserve">ODDLYIELD(DATE(2024,2,29),DATE(2024,8,31),DATE(2024,2,15),0.05,95,100,2,0)</t>
  </si>
  <si>
    <t xml:space="preserve">ODDLYIELD(DATE(2024,2,29),DATE(2024,8,31),DATE(2024,2,15),0.1,101.5,100,2,0)</t>
  </si>
  <si>
    <t xml:space="preserve">ODDLYIELD(DATE(2024,2,29),DATE(2024,8,31),DATE(2024,2,15),0.05,100,100,2,0)</t>
  </si>
  <si>
    <t xml:space="preserve">ODDLPRICE(DATE(2024,2,29),DATE(2024,8,31),DATE(2024,2,15),0.05,0.08,100,2,1)</t>
  </si>
  <si>
    <t xml:space="preserve">ODDLPRICE(DATE(2024,2,29),DATE(2024,8,31),DATE(2024,2,15),0.1,0.03,105,2,1)</t>
  </si>
  <si>
    <t xml:space="preserve">ODDLPRICE(DATE(2024,2,29),DATE(2024,8,31),DATE(2024,2,15),0,0.05,100,2,1)</t>
  </si>
  <si>
    <t xml:space="preserve">ODDLYIELD(DATE(2024,2,29),DATE(2024,8,31),DATE(2024,2,15),0.05,95,100,2,1)</t>
  </si>
  <si>
    <t xml:space="preserve">ODDLYIELD(DATE(2024,2,29),DATE(2024,8,31),DATE(2024,2,15),0.1,101.5,100,2,1)</t>
  </si>
  <si>
    <t xml:space="preserve">ODDLYIELD(DATE(2024,2,29),DATE(2024,8,31),DATE(2024,2,15),0.05,100,100,2,1)</t>
  </si>
  <si>
    <t xml:space="preserve">ODDLPRICE(DATE(2024,2,29),DATE(2024,8,31),DATE(2024,2,15),0.05,0.08,100,2,2)</t>
  </si>
  <si>
    <t xml:space="preserve">ODDLPRICE(DATE(2024,2,29),DATE(2024,8,31),DATE(2024,2,15),0.1,0.03,105,2,2)</t>
  </si>
  <si>
    <t xml:space="preserve">ODDLPRICE(DATE(2024,2,29),DATE(2024,8,31),DATE(2024,2,15),0,0.05,100,2,2)</t>
  </si>
  <si>
    <t xml:space="preserve">ODDLYIELD(DATE(2024,2,29),DATE(2024,8,31),DATE(2024,2,15),0.05,95,100,2,2)</t>
  </si>
  <si>
    <t xml:space="preserve">ODDLYIELD(DATE(2024,2,29),DATE(2024,8,31),DATE(2024,2,15),0.1,101.5,100,2,2)</t>
  </si>
  <si>
    <t xml:space="preserve">ODDLYIELD(DATE(2024,2,29),DATE(2024,8,31),DATE(2024,2,15),0.05,100,100,2,2)</t>
  </si>
  <si>
    <t xml:space="preserve">ODDLPRICE(DATE(2024,2,29),DATE(2024,8,31),DATE(2024,2,15),0.05,0.08,100,2,3)</t>
  </si>
  <si>
    <t xml:space="preserve">ODDLPRICE(DATE(2024,2,29),DATE(2024,8,31),DATE(2024,2,15),0.1,0.03,105,2,3)</t>
  </si>
  <si>
    <t xml:space="preserve">ODDLPRICE(DATE(2024,2,29),DATE(2024,8,31),DATE(2024,2,15),0,0.05,100,2,3)</t>
  </si>
  <si>
    <t xml:space="preserve">ODDLYIELD(DATE(2024,2,29),DATE(2024,8,31),DATE(2024,2,15),0.05,95,100,2,3)</t>
  </si>
  <si>
    <t xml:space="preserve">ODDLYIELD(DATE(2024,2,29),DATE(2024,8,31),DATE(2024,2,15),0.1,101.5,100,2,3)</t>
  </si>
  <si>
    <t xml:space="preserve">ODDLYIELD(DATE(2024,2,29),DATE(2024,8,31),DATE(2024,2,15),0.05,100,100,2,3)</t>
  </si>
  <si>
    <t xml:space="preserve">ODDLPRICE(DATE(2024,2,29),DATE(2024,8,31),DATE(2024,2,15),0.05,0.08,100,2,4)</t>
  </si>
  <si>
    <t xml:space="preserve">ODDLPRICE(DATE(2024,2,29),DATE(2024,8,31),DATE(2024,2,15),0.1,0.03,105,2,4)</t>
  </si>
  <si>
    <t xml:space="preserve">ODDLPRICE(DATE(2024,2,29),DATE(2024,8,31),DATE(2024,2,15),0,0.05,100,2,4)</t>
  </si>
  <si>
    <t xml:space="preserve">ODDLYIELD(DATE(2024,2,29),DATE(2024,8,31),DATE(2024,2,15),0.05,95,100,2,4)</t>
  </si>
  <si>
    <t xml:space="preserve">ODDLYIELD(DATE(2024,2,29),DATE(2024,8,31),DATE(2024,2,15),0.1,101.5,100,2,4)</t>
  </si>
  <si>
    <t xml:space="preserve">ODDLYIELD(DATE(2024,2,29),DATE(2024,8,31),DATE(2024,2,15),0.05,100,100,2,4)</t>
  </si>
  <si>
    <t xml:space="preserve">ODDLPRICE(DATE(2024,2,29),DATE(2024,8,31),DATE(2024,2,15),0.05,0.08,100,4,0)</t>
  </si>
  <si>
    <t xml:space="preserve">ODDLPRICE(DATE(2024,2,29),DATE(2024,8,31),DATE(2024,2,15),0.1,0.03,105,4,0)</t>
  </si>
  <si>
    <t xml:space="preserve">ODDLPRICE(DATE(2024,2,29),DATE(2024,8,31),DATE(2024,2,15),0,0.05,100,4,0)</t>
  </si>
  <si>
    <t xml:space="preserve">ODDLYIELD(DATE(2024,2,29),DATE(2024,8,31),DATE(2024,2,15),0.05,95,100,4,0)</t>
  </si>
  <si>
    <t xml:space="preserve">ODDLYIELD(DATE(2024,2,29),DATE(2024,8,31),DATE(2024,2,15),0.1,101.5,100,4,0)</t>
  </si>
  <si>
    <t xml:space="preserve">ODDLYIELD(DATE(2024,2,29),DATE(2024,8,31),DATE(2024,2,15),0.05,100,100,4,0)</t>
  </si>
  <si>
    <t xml:space="preserve">ODDLPRICE(DATE(2024,2,29),DATE(2024,8,31),DATE(2024,2,15),0.05,0.08,100,4,1)</t>
  </si>
  <si>
    <t xml:space="preserve">ODDLPRICE(DATE(2024,2,29),DATE(2024,8,31),DATE(2024,2,15),0.1,0.03,105,4,1)</t>
  </si>
  <si>
    <t xml:space="preserve">ODDLPRICE(DATE(2024,2,29),DATE(2024,8,31),DATE(2024,2,15),0,0.05,100,4,1)</t>
  </si>
  <si>
    <t xml:space="preserve">ODDLYIELD(DATE(2024,2,29),DATE(2024,8,31),DATE(2024,2,15),0.05,95,100,4,1)</t>
  </si>
  <si>
    <t xml:space="preserve">ODDLYIELD(DATE(2024,2,29),DATE(2024,8,31),DATE(2024,2,15),0.1,101.5,100,4,1)</t>
  </si>
  <si>
    <t xml:space="preserve">ODDLYIELD(DATE(2024,2,29),DATE(2024,8,31),DATE(2024,2,15),0.05,100,100,4,1)</t>
  </si>
  <si>
    <t xml:space="preserve">ODDLPRICE(DATE(2024,2,29),DATE(2024,8,31),DATE(2024,2,15),0.05,0.08,100,4,2)</t>
  </si>
  <si>
    <t xml:space="preserve">ODDLPRICE(DATE(2024,2,29),DATE(2024,8,31),DATE(2024,2,15),0.1,0.03,105,4,2)</t>
  </si>
  <si>
    <t xml:space="preserve">ODDLPRICE(DATE(2024,2,29),DATE(2024,8,31),DATE(2024,2,15),0,0.05,100,4,2)</t>
  </si>
  <si>
    <t xml:space="preserve">ODDLYIELD(DATE(2024,2,29),DATE(2024,8,31),DATE(2024,2,15),0.05,95,100,4,2)</t>
  </si>
  <si>
    <t xml:space="preserve">ODDLYIELD(DATE(2024,2,29),DATE(2024,8,31),DATE(2024,2,15),0.1,101.5,100,4,2)</t>
  </si>
  <si>
    <t xml:space="preserve">ODDLYIELD(DATE(2024,2,29),DATE(2024,8,31),DATE(2024,2,15),0.05,100,100,4,2)</t>
  </si>
  <si>
    <t xml:space="preserve">ODDLPRICE(DATE(2024,2,29),DATE(2024,8,31),DATE(2024,2,15),0.05,0.08,100,4,3)</t>
  </si>
  <si>
    <t xml:space="preserve">ODDLPRICE(DATE(2024,2,29),DATE(2024,8,31),DATE(2024,2,15),0.1,0.03,105,4,3)</t>
  </si>
  <si>
    <t xml:space="preserve">ODDLPRICE(DATE(2024,2,29),DATE(2024,8,31),DATE(2024,2,15),0,0.05,100,4,3)</t>
  </si>
  <si>
    <t xml:space="preserve">ODDLYIELD(DATE(2024,2,29),DATE(2024,8,31),DATE(2024,2,15),0.05,95,100,4,3)</t>
  </si>
  <si>
    <t xml:space="preserve">ODDLYIELD(DATE(2024,2,29),DATE(2024,8,31),DATE(2024,2,15),0.1,101.5,100,4,3)</t>
  </si>
  <si>
    <t xml:space="preserve">ODDLYIELD(DATE(2024,2,29),DATE(2024,8,31),DATE(2024,2,15),0.05,100,100,4,3)</t>
  </si>
  <si>
    <t xml:space="preserve">ODDLPRICE(DATE(2024,2,29),DATE(2024,8,31),DATE(2024,2,15),0.05,0.08,100,4,4)</t>
  </si>
  <si>
    <t xml:space="preserve">ODDLPRICE(DATE(2024,2,29),DATE(2024,8,31),DATE(2024,2,15),0.1,0.03,105,4,4)</t>
  </si>
  <si>
    <t xml:space="preserve">ODDLPRICE(DATE(2024,2,29),DATE(2024,8,31),DATE(2024,2,15),0,0.05,100,4,4)</t>
  </si>
  <si>
    <t xml:space="preserve">ODDLYIELD(DATE(2024,2,29),DATE(2024,8,31),DATE(2024,2,15),0.05,95,100,4,4)</t>
  </si>
  <si>
    <t xml:space="preserve">ODDLYIELD(DATE(2024,2,29),DATE(2024,8,31),DATE(2024,2,15),0.1,101.5,100,4,4)</t>
  </si>
  <si>
    <t xml:space="preserve">ODDLYIELD(DATE(2024,2,29),DATE(2024,8,31),DATE(2024,2,15),0.05,100,100,4,4)</t>
  </si>
  <si>
    <t xml:space="preserve">ODDLPRICE(DATE(2024,4,20),DATE(2024,7,15),DATE(2024,1,15),0.05,0.08,100,1,0)</t>
  </si>
  <si>
    <t xml:space="preserve">ODDLPRICE(DATE(2024,4,20),DATE(2024,7,15),DATE(2024,1,15),0.1,0.03,105,1,0)</t>
  </si>
  <si>
    <t xml:space="preserve">ODDLPRICE(DATE(2024,4,20),DATE(2024,7,15),DATE(2024,1,15),0,0.05,100,1,0)</t>
  </si>
  <si>
    <t xml:space="preserve">ODDLYIELD(DATE(2024,4,20),DATE(2024,7,15),DATE(2024,1,15),0.05,95,100,1,0)</t>
  </si>
  <si>
    <t xml:space="preserve">ODDLYIELD(DATE(2024,4,20),DATE(2024,7,15),DATE(2024,1,15),0.1,101.5,100,1,0)</t>
  </si>
  <si>
    <t xml:space="preserve">ODDLYIELD(DATE(2024,4,20),DATE(2024,7,15),DATE(2024,1,15),0.05,100,100,1,0)</t>
  </si>
  <si>
    <t xml:space="preserve">ODDLPRICE(DATE(2024,4,20),DATE(2024,7,15),DATE(2024,1,15),0.05,0.08,100,1,1)</t>
  </si>
  <si>
    <t xml:space="preserve">ODDLPRICE(DATE(2024,4,20),DATE(2024,7,15),DATE(2024,1,15),0.1,0.03,105,1,1)</t>
  </si>
  <si>
    <t xml:space="preserve">ODDLPRICE(DATE(2024,4,20),DATE(2024,7,15),DATE(2024,1,15),0,0.05,100,1,1)</t>
  </si>
  <si>
    <t xml:space="preserve">ODDLYIELD(DATE(2024,4,20),DATE(2024,7,15),DATE(2024,1,15),0.05,95,100,1,1)</t>
  </si>
  <si>
    <t xml:space="preserve">ODDLYIELD(DATE(2024,4,20),DATE(2024,7,15),DATE(2024,1,15),0.1,101.5,100,1,1)</t>
  </si>
  <si>
    <t xml:space="preserve">ODDLYIELD(DATE(2024,4,20),DATE(2024,7,15),DATE(2024,1,15),0.05,100,100,1,1)</t>
  </si>
  <si>
    <t xml:space="preserve">ODDLPRICE(DATE(2024,4,20),DATE(2024,7,15),DATE(2024,1,15),0.05,0.08,100,1,2)</t>
  </si>
  <si>
    <t xml:space="preserve">ODDLPRICE(DATE(2024,4,20),DATE(2024,7,15),DATE(2024,1,15),0.1,0.03,105,1,2)</t>
  </si>
  <si>
    <t xml:space="preserve">ODDLPRICE(DATE(2024,4,20),DATE(2024,7,15),DATE(2024,1,15),0,0.05,100,1,2)</t>
  </si>
  <si>
    <t xml:space="preserve">ODDLYIELD(DATE(2024,4,20),DATE(2024,7,15),DATE(2024,1,15),0.05,95,100,1,2)</t>
  </si>
  <si>
    <t xml:space="preserve">ODDLYIELD(DATE(2024,4,20),DATE(2024,7,15),DATE(2024,1,15),0.1,101.5,100,1,2)</t>
  </si>
  <si>
    <t xml:space="preserve">ODDLYIELD(DATE(2024,4,20),DATE(2024,7,15),DATE(2024,1,15),0.05,100,100,1,2)</t>
  </si>
  <si>
    <t xml:space="preserve">ODDLPRICE(DATE(2024,4,20),DATE(2024,7,15),DATE(2024,1,15),0.05,0.08,100,1,3)</t>
  </si>
  <si>
    <t xml:space="preserve">ODDLPRICE(DATE(2024,4,20),DATE(2024,7,15),DATE(2024,1,15),0.1,0.03,105,1,3)</t>
  </si>
  <si>
    <t xml:space="preserve">ODDLPRICE(DATE(2024,4,20),DATE(2024,7,15),DATE(2024,1,15),0,0.05,100,1,3)</t>
  </si>
  <si>
    <t xml:space="preserve">ODDLYIELD(DATE(2024,4,20),DATE(2024,7,15),DATE(2024,1,15),0.05,95,100,1,3)</t>
  </si>
  <si>
    <t xml:space="preserve">ODDLYIELD(DATE(2024,4,20),DATE(2024,7,15),DATE(2024,1,15),0.1,101.5,100,1,3)</t>
  </si>
  <si>
    <t xml:space="preserve">ODDLYIELD(DATE(2024,4,20),DATE(2024,7,15),DATE(2024,1,15),0.05,100,100,1,3)</t>
  </si>
  <si>
    <t xml:space="preserve">ODDLPRICE(DATE(2024,4,20),DATE(2024,7,15),DATE(2024,1,15),0.05,0.08,100,1,4)</t>
  </si>
  <si>
    <t xml:space="preserve">ODDLPRICE(DATE(2024,4,20),DATE(2024,7,15),DATE(2024,1,15),0.1,0.03,105,1,4)</t>
  </si>
  <si>
    <t xml:space="preserve">ODDLPRICE(DATE(2024,4,20),DATE(2024,7,15),DATE(2024,1,15),0,0.05,100,1,4)</t>
  </si>
  <si>
    <t xml:space="preserve">ODDLYIELD(DATE(2024,4,20),DATE(2024,7,15),DATE(2024,1,15),0.05,95,100,1,4)</t>
  </si>
  <si>
    <t xml:space="preserve">ODDLYIELD(DATE(2024,4,20),DATE(2024,7,15),DATE(2024,1,15),0.1,101.5,100,1,4)</t>
  </si>
  <si>
    <t xml:space="preserve">ODDLYIELD(DATE(2024,4,20),DATE(2024,7,15),DATE(2024,1,15),0.05,100,100,1,4)</t>
  </si>
  <si>
    <t xml:space="preserve">ODDLPRICE(DATE(2024,4,20),DATE(2024,7,15),DATE(2024,1,15),0.05,0.08,100,2,0)</t>
  </si>
  <si>
    <t xml:space="preserve">ODDLPRICE(DATE(2024,4,20),DATE(2024,7,15),DATE(2024,1,15),0.1,0.03,105,2,0)</t>
  </si>
  <si>
    <t xml:space="preserve">ODDLPRICE(DATE(2024,4,20),DATE(2024,7,15),DATE(2024,1,15),0,0.05,100,2,0)</t>
  </si>
  <si>
    <t xml:space="preserve">ODDLYIELD(DATE(2024,4,20),DATE(2024,7,15),DATE(2024,1,15),0.05,95,100,2,0)</t>
  </si>
  <si>
    <t xml:space="preserve">ODDLYIELD(DATE(2024,4,20),DATE(2024,7,15),DATE(2024,1,15),0.1,101.5,100,2,0)</t>
  </si>
  <si>
    <t xml:space="preserve">ODDLYIELD(DATE(2024,4,20),DATE(2024,7,15),DATE(2024,1,15),0.05,100,100,2,0)</t>
  </si>
  <si>
    <t xml:space="preserve">ODDLPRICE(DATE(2024,4,20),DATE(2024,7,15),DATE(2024,1,15),0.05,0.08,100,2,1)</t>
  </si>
  <si>
    <t xml:space="preserve">ODDLPRICE(DATE(2024,4,20),DATE(2024,7,15),DATE(2024,1,15),0.1,0.03,105,2,1)</t>
  </si>
  <si>
    <t xml:space="preserve">ODDLPRICE(DATE(2024,4,20),DATE(2024,7,15),DATE(2024,1,15),0,0.05,100,2,1)</t>
  </si>
  <si>
    <t xml:space="preserve">ODDLYIELD(DATE(2024,4,20),DATE(2024,7,15),DATE(2024,1,15),0.05,95,100,2,1)</t>
  </si>
  <si>
    <t xml:space="preserve">ODDLYIELD(DATE(2024,4,20),DATE(2024,7,15),DATE(2024,1,15),0.1,101.5,100,2,1)</t>
  </si>
  <si>
    <t xml:space="preserve">ODDLYIELD(DATE(2024,4,20),DATE(2024,7,15),DATE(2024,1,15),0.05,100,100,2,1)</t>
  </si>
  <si>
    <t xml:space="preserve">ODDLPRICE(DATE(2024,4,20),DATE(2024,7,15),DATE(2024,1,15),0.05,0.08,100,2,2)</t>
  </si>
  <si>
    <t xml:space="preserve">ODDLPRICE(DATE(2024,4,20),DATE(2024,7,15),DATE(2024,1,15),0.1,0.03,105,2,2)</t>
  </si>
  <si>
    <t xml:space="preserve">ODDLPRICE(DATE(2024,4,20),DATE(2024,7,15),DATE(2024,1,15),0,0.05,100,2,2)</t>
  </si>
  <si>
    <t xml:space="preserve">ODDLYIELD(DATE(2024,4,20),DATE(2024,7,15),DATE(2024,1,15),0.05,95,100,2,2)</t>
  </si>
  <si>
    <t xml:space="preserve">ODDLYIELD(DATE(2024,4,20),DATE(2024,7,15),DATE(2024,1,15),0.1,101.5,100,2,2)</t>
  </si>
  <si>
    <t xml:space="preserve">ODDLYIELD(DATE(2024,4,20),DATE(2024,7,15),DATE(2024,1,15),0.05,100,100,2,2)</t>
  </si>
  <si>
    <t xml:space="preserve">ODDLPRICE(DATE(2024,4,20),DATE(2024,7,15),DATE(2024,1,15),0.05,0.08,100,2,3)</t>
  </si>
  <si>
    <t xml:space="preserve">ODDLPRICE(DATE(2024,4,20),DATE(2024,7,15),DATE(2024,1,15),0.1,0.03,105,2,3)</t>
  </si>
  <si>
    <t xml:space="preserve">ODDLPRICE(DATE(2024,4,20),DATE(2024,7,15),DATE(2024,1,15),0,0.05,100,2,3)</t>
  </si>
  <si>
    <t xml:space="preserve">ODDLYIELD(DATE(2024,4,20),DATE(2024,7,15),DATE(2024,1,15),0.05,95,100,2,3)</t>
  </si>
  <si>
    <t xml:space="preserve">ODDLYIELD(DATE(2024,4,20),DATE(2024,7,15),DATE(2024,1,15),0.1,101.5,100,2,3)</t>
  </si>
  <si>
    <t xml:space="preserve">ODDLYIELD(DATE(2024,4,20),DATE(2024,7,15),DATE(2024,1,15),0.05,100,100,2,3)</t>
  </si>
  <si>
    <t xml:space="preserve">ODDLPRICE(DATE(2024,4,20),DATE(2024,7,15),DATE(2024,1,15),0.05,0.08,100,2,4)</t>
  </si>
  <si>
    <t xml:space="preserve">ODDLPRICE(DATE(2024,4,20),DATE(2024,7,15),DATE(2024,1,15),0.1,0.03,105,2,4)</t>
  </si>
  <si>
    <t xml:space="preserve">ODDLPRICE(DATE(2024,4,20),DATE(2024,7,15),DATE(2024,1,15),0,0.05,100,2,4)</t>
  </si>
  <si>
    <t xml:space="preserve">ODDLYIELD(DATE(2024,4,20),DATE(2024,7,15),DATE(2024,1,15),0.05,95,100,2,4)</t>
  </si>
  <si>
    <t xml:space="preserve">ODDLYIELD(DATE(2024,4,20),DATE(2024,7,15),DATE(2024,1,15),0.1,101.5,100,2,4)</t>
  </si>
  <si>
    <t xml:space="preserve">ODDLYIELD(DATE(2024,4,20),DATE(2024,7,15),DATE(2024,1,15),0.05,100,100,2,4)</t>
  </si>
  <si>
    <t xml:space="preserve">ODDLPRICE(DATE(2024,4,20),DATE(2024,7,15),DATE(2024,1,15),0.05,0.08,100,4,0)</t>
  </si>
  <si>
    <t xml:space="preserve">ODDLPRICE(DATE(2024,4,20),DATE(2024,7,15),DATE(2024,1,15),0.1,0.03,105,4,0)</t>
  </si>
  <si>
    <t xml:space="preserve">ODDLPRICE(DATE(2024,4,20),DATE(2024,7,15),DATE(2024,1,15),0,0.05,100,4,0)</t>
  </si>
  <si>
    <t xml:space="preserve">ODDLYIELD(DATE(2024,4,20),DATE(2024,7,15),DATE(2024,1,15),0.05,95,100,4,0)</t>
  </si>
  <si>
    <t xml:space="preserve">ODDLYIELD(DATE(2024,4,20),DATE(2024,7,15),DATE(2024,1,15),0.1,101.5,100,4,0)</t>
  </si>
  <si>
    <t xml:space="preserve">ODDLYIELD(DATE(2024,4,20),DATE(2024,7,15),DATE(2024,1,15),0.05,100,100,4,0)</t>
  </si>
  <si>
    <t xml:space="preserve">ODDLPRICE(DATE(2024,4,20),DATE(2024,7,15),DATE(2024,1,15),0.05,0.08,100,4,1)</t>
  </si>
  <si>
    <t xml:space="preserve">ODDLPRICE(DATE(2024,4,20),DATE(2024,7,15),DATE(2024,1,15),0.1,0.03,105,4,1)</t>
  </si>
  <si>
    <t xml:space="preserve">ODDLPRICE(DATE(2024,4,20),DATE(2024,7,15),DATE(2024,1,15),0,0.05,100,4,1)</t>
  </si>
  <si>
    <t xml:space="preserve">ODDLYIELD(DATE(2024,4,20),DATE(2024,7,15),DATE(2024,1,15),0.05,95,100,4,1)</t>
  </si>
  <si>
    <t xml:space="preserve">ODDLYIELD(DATE(2024,4,20),DATE(2024,7,15),DATE(2024,1,15),0.1,101.5,100,4,1)</t>
  </si>
  <si>
    <t xml:space="preserve">ODDLYIELD(DATE(2024,4,20),DATE(2024,7,15),DATE(2024,1,15),0.05,100,100,4,1)</t>
  </si>
  <si>
    <t xml:space="preserve">ODDLPRICE(DATE(2024,4,20),DATE(2024,7,15),DATE(2024,1,15),0.05,0.08,100,4,2)</t>
  </si>
  <si>
    <t xml:space="preserve">ODDLPRICE(DATE(2024,4,20),DATE(2024,7,15),DATE(2024,1,15),0.1,0.03,105,4,2)</t>
  </si>
  <si>
    <t xml:space="preserve">ODDLPRICE(DATE(2024,4,20),DATE(2024,7,15),DATE(2024,1,15),0,0.05,100,4,2)</t>
  </si>
  <si>
    <t xml:space="preserve">ODDLYIELD(DATE(2024,4,20),DATE(2024,7,15),DATE(2024,1,15),0.05,95,100,4,2)</t>
  </si>
  <si>
    <t xml:space="preserve">ODDLYIELD(DATE(2024,4,20),DATE(2024,7,15),DATE(2024,1,15),0.1,101.5,100,4,2)</t>
  </si>
  <si>
    <t xml:space="preserve">ODDLYIELD(DATE(2024,4,20),DATE(2024,7,15),DATE(2024,1,15),0.05,100,100,4,2)</t>
  </si>
  <si>
    <t xml:space="preserve">ODDLPRICE(DATE(2024,4,20),DATE(2024,7,15),DATE(2024,1,15),0.05,0.08,100,4,3)</t>
  </si>
  <si>
    <t xml:space="preserve">ODDLPRICE(DATE(2024,4,20),DATE(2024,7,15),DATE(2024,1,15),0.1,0.03,105,4,3)</t>
  </si>
  <si>
    <t xml:space="preserve">ODDLPRICE(DATE(2024,4,20),DATE(2024,7,15),DATE(2024,1,15),0,0.05,100,4,3)</t>
  </si>
  <si>
    <t xml:space="preserve">ODDLYIELD(DATE(2024,4,20),DATE(2024,7,15),DATE(2024,1,15),0.05,95,100,4,3)</t>
  </si>
  <si>
    <t xml:space="preserve">ODDLYIELD(DATE(2024,4,20),DATE(2024,7,15),DATE(2024,1,15),0.1,101.5,100,4,3)</t>
  </si>
  <si>
    <t xml:space="preserve">ODDLYIELD(DATE(2024,4,20),DATE(2024,7,15),DATE(2024,1,15),0.05,100,100,4,3)</t>
  </si>
  <si>
    <t xml:space="preserve">ODDLPRICE(DATE(2024,4,20),DATE(2024,7,15),DATE(2024,1,15),0.05,0.08,100,4,4)</t>
  </si>
  <si>
    <t xml:space="preserve">ODDLPRICE(DATE(2024,4,20),DATE(2024,7,15),DATE(2024,1,15),0.1,0.03,105,4,4)</t>
  </si>
  <si>
    <t xml:space="preserve">ODDLPRICE(DATE(2024,4,20),DATE(2024,7,15),DATE(2024,1,15),0,0.05,100,4,4)</t>
  </si>
  <si>
    <t xml:space="preserve">ODDLYIELD(DATE(2024,4,20),DATE(2024,7,15),DATE(2024,1,15),0.05,95,100,4,4)</t>
  </si>
  <si>
    <t xml:space="preserve">ODDLYIELD(DATE(2024,4,20),DATE(2024,7,15),DATE(2024,1,15),0.1,101.5,100,4,4)</t>
  </si>
  <si>
    <t xml:space="preserve">ODDLYIELD(DATE(2024,4,20),DATE(2024,7,15),DATE(2024,1,15),0.05,100,100,4,4)</t>
  </si>
  <si>
    <t xml:space="preserve">ODDLPRICE(DATE(2024,8,1),DATE(2025,8,15),DATE(2024,7,15),0.05,0.08,100,1,0)</t>
  </si>
  <si>
    <t xml:space="preserve">ODDLPRICE(DATE(2024,8,1),DATE(2025,8,15),DATE(2024,7,15),0.1,0.03,105,1,0)</t>
  </si>
  <si>
    <t xml:space="preserve">ODDLPRICE(DATE(2024,8,1),DATE(2025,8,15),DATE(2024,7,15),0,0.05,100,1,0)</t>
  </si>
  <si>
    <t xml:space="preserve">ODDLYIELD(DATE(2024,8,1),DATE(2025,8,15),DATE(2024,7,15),0.05,95,100,1,0)</t>
  </si>
  <si>
    <t xml:space="preserve">ODDLYIELD(DATE(2024,8,1),DATE(2025,8,15),DATE(2024,7,15),0.1,101.5,100,1,0)</t>
  </si>
  <si>
    <t xml:space="preserve">ODDLYIELD(DATE(2024,8,1),DATE(2025,8,15),DATE(2024,7,15),0.05,100,100,1,0)</t>
  </si>
  <si>
    <t xml:space="preserve">ODDLPRICE(DATE(2024,8,1),DATE(2025,8,15),DATE(2024,7,15),0.05,0.08,100,1,1)</t>
  </si>
  <si>
    <t xml:space="preserve">ODDLPRICE(DATE(2024,8,1),DATE(2025,8,15),DATE(2024,7,15),0.1,0.03,105,1,1)</t>
  </si>
  <si>
    <t xml:space="preserve">ODDLPRICE(DATE(2024,8,1),DATE(2025,8,15),DATE(2024,7,15),0,0.05,100,1,1)</t>
  </si>
  <si>
    <t xml:space="preserve">ODDLYIELD(DATE(2024,8,1),DATE(2025,8,15),DATE(2024,7,15),0.05,95,100,1,1)</t>
  </si>
  <si>
    <t xml:space="preserve">ODDLYIELD(DATE(2024,8,1),DATE(2025,8,15),DATE(2024,7,15),0.1,101.5,100,1,1)</t>
  </si>
  <si>
    <t xml:space="preserve">ODDLYIELD(DATE(2024,8,1),DATE(2025,8,15),DATE(2024,7,15),0.05,100,100,1,1)</t>
  </si>
  <si>
    <t xml:space="preserve">ODDLPRICE(DATE(2024,8,1),DATE(2025,8,15),DATE(2024,7,15),0.05,0.08,100,1,2)</t>
  </si>
  <si>
    <t xml:space="preserve">ODDLPRICE(DATE(2024,8,1),DATE(2025,8,15),DATE(2024,7,15),0.1,0.03,105,1,2)</t>
  </si>
  <si>
    <t xml:space="preserve">ODDLPRICE(DATE(2024,8,1),DATE(2025,8,15),DATE(2024,7,15),0,0.05,100,1,2)</t>
  </si>
  <si>
    <t xml:space="preserve">ODDLYIELD(DATE(2024,8,1),DATE(2025,8,15),DATE(2024,7,15),0.05,95,100,1,2)</t>
  </si>
  <si>
    <t xml:space="preserve">ODDLYIELD(DATE(2024,8,1),DATE(2025,8,15),DATE(2024,7,15),0.1,101.5,100,1,2)</t>
  </si>
  <si>
    <t xml:space="preserve">ODDLYIELD(DATE(2024,8,1),DATE(2025,8,15),DATE(2024,7,15),0.05,100,100,1,2)</t>
  </si>
  <si>
    <t xml:space="preserve">ODDLPRICE(DATE(2024,8,1),DATE(2025,8,15),DATE(2024,7,15),0.05,0.08,100,1,3)</t>
  </si>
  <si>
    <t xml:space="preserve">ODDLPRICE(DATE(2024,8,1),DATE(2025,8,15),DATE(2024,7,15),0.1,0.03,105,1,3)</t>
  </si>
  <si>
    <t xml:space="preserve">ODDLPRICE(DATE(2024,8,1),DATE(2025,8,15),DATE(2024,7,15),0,0.05,100,1,3)</t>
  </si>
  <si>
    <t xml:space="preserve">ODDLYIELD(DATE(2024,8,1),DATE(2025,8,15),DATE(2024,7,15),0.05,95,100,1,3)</t>
  </si>
  <si>
    <t xml:space="preserve">ODDLYIELD(DATE(2024,8,1),DATE(2025,8,15),DATE(2024,7,15),0.1,101.5,100,1,3)</t>
  </si>
  <si>
    <t xml:space="preserve">ODDLYIELD(DATE(2024,8,1),DATE(2025,8,15),DATE(2024,7,15),0.05,100,100,1,3)</t>
  </si>
  <si>
    <t xml:space="preserve">ODDLPRICE(DATE(2024,8,1),DATE(2025,8,15),DATE(2024,7,15),0.05,0.08,100,1,4)</t>
  </si>
  <si>
    <t xml:space="preserve">ODDLPRICE(DATE(2024,8,1),DATE(2025,8,15),DATE(2024,7,15),0.1,0.03,105,1,4)</t>
  </si>
  <si>
    <t xml:space="preserve">ODDLPRICE(DATE(2024,8,1),DATE(2025,8,15),DATE(2024,7,15),0,0.05,100,1,4)</t>
  </si>
  <si>
    <t xml:space="preserve">ODDLYIELD(DATE(2024,8,1),DATE(2025,8,15),DATE(2024,7,15),0.05,95,100,1,4)</t>
  </si>
  <si>
    <t xml:space="preserve">ODDLYIELD(DATE(2024,8,1),DATE(2025,8,15),DATE(2024,7,15),0.1,101.5,100,1,4)</t>
  </si>
  <si>
    <t xml:space="preserve">ODDLYIELD(DATE(2024,8,1),DATE(2025,8,15),DATE(2024,7,15),0.05,100,100,1,4)</t>
  </si>
  <si>
    <t xml:space="preserve">ODDLPRICE(DATE(2024,8,1),DATE(2025,8,15),DATE(2024,7,15),0.05,0.08,100,2,0)</t>
  </si>
  <si>
    <t xml:space="preserve">ODDLPRICE(DATE(2024,8,1),DATE(2025,8,15),DATE(2024,7,15),0.1,0.03,105,2,0)</t>
  </si>
  <si>
    <t xml:space="preserve">ODDLPRICE(DATE(2024,8,1),DATE(2025,8,15),DATE(2024,7,15),0,0.05,100,2,0)</t>
  </si>
  <si>
    <t xml:space="preserve">ODDLYIELD(DATE(2024,8,1),DATE(2025,8,15),DATE(2024,7,15),0.05,95,100,2,0)</t>
  </si>
  <si>
    <t xml:space="preserve">ODDLYIELD(DATE(2024,8,1),DATE(2025,8,15),DATE(2024,7,15),0.1,101.5,100,2,0)</t>
  </si>
  <si>
    <t xml:space="preserve">ODDLYIELD(DATE(2024,8,1),DATE(2025,8,15),DATE(2024,7,15),0.05,100,100,2,0)</t>
  </si>
  <si>
    <t xml:space="preserve">ODDLPRICE(DATE(2024,8,1),DATE(2025,8,15),DATE(2024,7,15),0.05,0.08,100,2,1)</t>
  </si>
  <si>
    <t xml:space="preserve">ODDLPRICE(DATE(2024,8,1),DATE(2025,8,15),DATE(2024,7,15),0.1,0.03,105,2,1)</t>
  </si>
  <si>
    <t xml:space="preserve">ODDLPRICE(DATE(2024,8,1),DATE(2025,8,15),DATE(2024,7,15),0,0.05,100,2,1)</t>
  </si>
  <si>
    <t xml:space="preserve">ODDLYIELD(DATE(2024,8,1),DATE(2025,8,15),DATE(2024,7,15),0.05,95,100,2,1)</t>
  </si>
  <si>
    <t xml:space="preserve">ODDLYIELD(DATE(2024,8,1),DATE(2025,8,15),DATE(2024,7,15),0.1,101.5,100,2,1)</t>
  </si>
  <si>
    <t xml:space="preserve">ODDLYIELD(DATE(2024,8,1),DATE(2025,8,15),DATE(2024,7,15),0.05,100,100,2,1)</t>
  </si>
  <si>
    <t xml:space="preserve">ODDLPRICE(DATE(2024,8,1),DATE(2025,8,15),DATE(2024,7,15),0.05,0.08,100,2,2)</t>
  </si>
  <si>
    <t xml:space="preserve">ODDLPRICE(DATE(2024,8,1),DATE(2025,8,15),DATE(2024,7,15),0.1,0.03,105,2,2)</t>
  </si>
  <si>
    <t xml:space="preserve">ODDLPRICE(DATE(2024,8,1),DATE(2025,8,15),DATE(2024,7,15),0,0.05,100,2,2)</t>
  </si>
  <si>
    <t xml:space="preserve">ODDLYIELD(DATE(2024,8,1),DATE(2025,8,15),DATE(2024,7,15),0.05,95,100,2,2)</t>
  </si>
  <si>
    <t xml:space="preserve">ODDLYIELD(DATE(2024,8,1),DATE(2025,8,15),DATE(2024,7,15),0.1,101.5,100,2,2)</t>
  </si>
  <si>
    <t xml:space="preserve">ODDLYIELD(DATE(2024,8,1),DATE(2025,8,15),DATE(2024,7,15),0.05,100,100,2,2)</t>
  </si>
  <si>
    <t xml:space="preserve">ODDLPRICE(DATE(2024,8,1),DATE(2025,8,15),DATE(2024,7,15),0.05,0.08,100,2,3)</t>
  </si>
  <si>
    <t xml:space="preserve">ODDLPRICE(DATE(2024,8,1),DATE(2025,8,15),DATE(2024,7,15),0.1,0.03,105,2,3)</t>
  </si>
  <si>
    <t xml:space="preserve">ODDLPRICE(DATE(2024,8,1),DATE(2025,8,15),DATE(2024,7,15),0,0.05,100,2,3)</t>
  </si>
  <si>
    <t xml:space="preserve">ODDLYIELD(DATE(2024,8,1),DATE(2025,8,15),DATE(2024,7,15),0.05,95,100,2,3)</t>
  </si>
  <si>
    <t xml:space="preserve">ODDLYIELD(DATE(2024,8,1),DATE(2025,8,15),DATE(2024,7,15),0.1,101.5,100,2,3)</t>
  </si>
  <si>
    <t xml:space="preserve">ODDLYIELD(DATE(2024,8,1),DATE(2025,8,15),DATE(2024,7,15),0.05,100,100,2,3)</t>
  </si>
  <si>
    <t xml:space="preserve">ODDLPRICE(DATE(2024,8,1),DATE(2025,8,15),DATE(2024,7,15),0.05,0.08,100,2,4)</t>
  </si>
  <si>
    <t xml:space="preserve">ODDLPRICE(DATE(2024,8,1),DATE(2025,8,15),DATE(2024,7,15),0.1,0.03,105,2,4)</t>
  </si>
  <si>
    <t xml:space="preserve">ODDLPRICE(DATE(2024,8,1),DATE(2025,8,15),DATE(2024,7,15),0,0.05,100,2,4)</t>
  </si>
  <si>
    <t xml:space="preserve">ODDLYIELD(DATE(2024,8,1),DATE(2025,8,15),DATE(2024,7,15),0.05,95,100,2,4)</t>
  </si>
  <si>
    <t xml:space="preserve">ODDLYIELD(DATE(2024,8,1),DATE(2025,8,15),DATE(2024,7,15),0.1,101.5,100,2,4)</t>
  </si>
  <si>
    <t xml:space="preserve">ODDLYIELD(DATE(2024,8,1),DATE(2025,8,15),DATE(2024,7,15),0.05,100,100,2,4)</t>
  </si>
  <si>
    <t xml:space="preserve">ODDLPRICE(DATE(2024,8,1),DATE(2025,8,15),DATE(2024,7,15),0.05,0.08,100,4,0)</t>
  </si>
  <si>
    <t xml:space="preserve">ODDLPRICE(DATE(2024,8,1),DATE(2025,8,15),DATE(2024,7,15),0.1,0.03,105,4,0)</t>
  </si>
  <si>
    <t xml:space="preserve">ODDLPRICE(DATE(2024,8,1),DATE(2025,8,15),DATE(2024,7,15),0,0.05,100,4,0)</t>
  </si>
  <si>
    <t xml:space="preserve">ODDLYIELD(DATE(2024,8,1),DATE(2025,8,15),DATE(2024,7,15),0.05,95,100,4,0)</t>
  </si>
  <si>
    <t xml:space="preserve">ODDLYIELD(DATE(2024,8,1),DATE(2025,8,15),DATE(2024,7,15),0.1,101.5,100,4,0)</t>
  </si>
  <si>
    <t xml:space="preserve">ODDLYIELD(DATE(2024,8,1),DATE(2025,8,15),DATE(2024,7,15),0.05,100,100,4,0)</t>
  </si>
  <si>
    <t xml:space="preserve">ODDLPRICE(DATE(2024,8,1),DATE(2025,8,15),DATE(2024,7,15),0.05,0.08,100,4,1)</t>
  </si>
  <si>
    <t xml:space="preserve">ODDLPRICE(DATE(2024,8,1),DATE(2025,8,15),DATE(2024,7,15),0.1,0.03,105,4,1)</t>
  </si>
  <si>
    <t xml:space="preserve">ODDLPRICE(DATE(2024,8,1),DATE(2025,8,15),DATE(2024,7,15),0,0.05,100,4,1)</t>
  </si>
  <si>
    <t xml:space="preserve">ODDLYIELD(DATE(2024,8,1),DATE(2025,8,15),DATE(2024,7,15),0.05,95,100,4,1)</t>
  </si>
  <si>
    <t xml:space="preserve">ODDLYIELD(DATE(2024,8,1),DATE(2025,8,15),DATE(2024,7,15),0.1,101.5,100,4,1)</t>
  </si>
  <si>
    <t xml:space="preserve">ODDLYIELD(DATE(2024,8,1),DATE(2025,8,15),DATE(2024,7,15),0.05,100,100,4,1)</t>
  </si>
  <si>
    <t xml:space="preserve">ODDLPRICE(DATE(2024,8,1),DATE(2025,8,15),DATE(2024,7,15),0.05,0.08,100,4,2)</t>
  </si>
  <si>
    <t xml:space="preserve">ODDLPRICE(DATE(2024,8,1),DATE(2025,8,15),DATE(2024,7,15),0.1,0.03,105,4,2)</t>
  </si>
  <si>
    <t xml:space="preserve">ODDLPRICE(DATE(2024,8,1),DATE(2025,8,15),DATE(2024,7,15),0,0.05,100,4,2)</t>
  </si>
  <si>
    <t xml:space="preserve">ODDLYIELD(DATE(2024,8,1),DATE(2025,8,15),DATE(2024,7,15),0.05,95,100,4,2)</t>
  </si>
  <si>
    <t xml:space="preserve">ODDLYIELD(DATE(2024,8,1),DATE(2025,8,15),DATE(2024,7,15),0.1,101.5,100,4,2)</t>
  </si>
  <si>
    <t xml:space="preserve">ODDLYIELD(DATE(2024,8,1),DATE(2025,8,15),DATE(2024,7,15),0.05,100,100,4,2)</t>
  </si>
  <si>
    <t xml:space="preserve">ODDLPRICE(DATE(2024,8,1),DATE(2025,8,15),DATE(2024,7,15),0.05,0.08,100,4,3)</t>
  </si>
  <si>
    <t xml:space="preserve">ODDLPRICE(DATE(2024,8,1),DATE(2025,8,15),DATE(2024,7,15),0.1,0.03,105,4,3)</t>
  </si>
  <si>
    <t xml:space="preserve">ODDLPRICE(DATE(2024,8,1),DATE(2025,8,15),DATE(2024,7,15),0,0.05,100,4,3)</t>
  </si>
  <si>
    <t xml:space="preserve">ODDLYIELD(DATE(2024,8,1),DATE(2025,8,15),DATE(2024,7,15),0.05,95,100,4,3)</t>
  </si>
  <si>
    <t xml:space="preserve">ODDLYIELD(DATE(2024,8,1),DATE(2025,8,15),DATE(2024,7,15),0.1,101.5,100,4,3)</t>
  </si>
  <si>
    <t xml:space="preserve">ODDLYIELD(DATE(2024,8,1),DATE(2025,8,15),DATE(2024,7,15),0.05,100,100,4,3)</t>
  </si>
  <si>
    <t xml:space="preserve">ODDLPRICE(DATE(2024,8,1),DATE(2025,8,15),DATE(2024,7,15),0.05,0.08,100,4,4)</t>
  </si>
  <si>
    <t xml:space="preserve">ODDLPRICE(DATE(2024,8,1),DATE(2025,8,15),DATE(2024,7,15),0.1,0.03,105,4,4)</t>
  </si>
  <si>
    <t xml:space="preserve">ODDLPRICE(DATE(2024,8,1),DATE(2025,8,15),DATE(2024,7,15),0,0.05,100,4,4)</t>
  </si>
  <si>
    <t xml:space="preserve">ODDLYIELD(DATE(2024,8,1),DATE(2025,8,15),DATE(2024,7,15),0.05,95,100,4,4)</t>
  </si>
  <si>
    <t xml:space="preserve">ODDLYIELD(DATE(2024,8,1),DATE(2025,8,15),DATE(2024,7,15),0.1,101.5,100,4,4)</t>
  </si>
  <si>
    <t xml:space="preserve">ODDLYIELD(DATE(2024,8,1),DATE(2025,8,15),DATE(2024,7,15),0.05,100,100,4,4)</t>
  </si>
  <si>
    <t xml:space="preserve">ODDLPRICE(DATE(2024,1,31),DATE(2024,7,31),DATE(2023,7,31),0.05,0.08,100,1,0)</t>
  </si>
  <si>
    <t xml:space="preserve">ODDLPRICE(DATE(2024,1,31),DATE(2024,7,31),DATE(2023,7,31),0.1,0.03,105,1,0)</t>
  </si>
  <si>
    <t xml:space="preserve">ODDLPRICE(DATE(2024,1,31),DATE(2024,7,31),DATE(2023,7,31),0,0.05,100,1,0)</t>
  </si>
  <si>
    <t xml:space="preserve">ODDLYIELD(DATE(2024,1,31),DATE(2024,7,31),DATE(2023,7,31),0.05,95,100,1,0)</t>
  </si>
  <si>
    <t xml:space="preserve">ODDLYIELD(DATE(2024,1,31),DATE(2024,7,31),DATE(2023,7,31),0.1,101.5,100,1,0)</t>
  </si>
  <si>
    <t xml:space="preserve">ODDLYIELD(DATE(2024,1,31),DATE(2024,7,31),DATE(2023,7,31),0.05,100,100,1,0)</t>
  </si>
  <si>
    <t xml:space="preserve">ODDLPRICE(DATE(2024,1,31),DATE(2024,7,31),DATE(2023,7,31),0.05,0.08,100,1,1)</t>
  </si>
  <si>
    <t xml:space="preserve">ODDLPRICE(DATE(2024,1,31),DATE(2024,7,31),DATE(2023,7,31),0.1,0.03,105,1,1)</t>
  </si>
  <si>
    <t xml:space="preserve">ODDLPRICE(DATE(2024,1,31),DATE(2024,7,31),DATE(2023,7,31),0,0.05,100,1,1)</t>
  </si>
  <si>
    <t xml:space="preserve">ODDLYIELD(DATE(2024,1,31),DATE(2024,7,31),DATE(2023,7,31),0.05,95,100,1,1)</t>
  </si>
  <si>
    <t xml:space="preserve">ODDLYIELD(DATE(2024,1,31),DATE(2024,7,31),DATE(2023,7,31),0.1,101.5,100,1,1)</t>
  </si>
  <si>
    <t xml:space="preserve">ODDLYIELD(DATE(2024,1,31),DATE(2024,7,31),DATE(2023,7,31),0.05,100,100,1,1)</t>
  </si>
  <si>
    <t xml:space="preserve">ODDLPRICE(DATE(2024,1,31),DATE(2024,7,31),DATE(2023,7,31),0.05,0.08,100,1,2)</t>
  </si>
  <si>
    <t xml:space="preserve">ODDLPRICE(DATE(2024,1,31),DATE(2024,7,31),DATE(2023,7,31),0.1,0.03,105,1,2)</t>
  </si>
  <si>
    <t xml:space="preserve">ODDLPRICE(DATE(2024,1,31),DATE(2024,7,31),DATE(2023,7,31),0,0.05,100,1,2)</t>
  </si>
  <si>
    <t xml:space="preserve">ODDLYIELD(DATE(2024,1,31),DATE(2024,7,31),DATE(2023,7,31),0.05,95,100,1,2)</t>
  </si>
  <si>
    <t xml:space="preserve">ODDLYIELD(DATE(2024,1,31),DATE(2024,7,31),DATE(2023,7,31),0.1,101.5,100,1,2)</t>
  </si>
  <si>
    <t xml:space="preserve">ODDLYIELD(DATE(2024,1,31),DATE(2024,7,31),DATE(2023,7,31),0.05,100,100,1,2)</t>
  </si>
  <si>
    <t xml:space="preserve">ODDLPRICE(DATE(2024,1,31),DATE(2024,7,31),DATE(2023,7,31),0.05,0.08,100,1,3)</t>
  </si>
  <si>
    <t xml:space="preserve">ODDLPRICE(DATE(2024,1,31),DATE(2024,7,31),DATE(2023,7,31),0.1,0.03,105,1,3)</t>
  </si>
  <si>
    <t xml:space="preserve">ODDLPRICE(DATE(2024,1,31),DATE(2024,7,31),DATE(2023,7,31),0,0.05,100,1,3)</t>
  </si>
  <si>
    <t xml:space="preserve">ODDLYIELD(DATE(2024,1,31),DATE(2024,7,31),DATE(2023,7,31),0.05,95,100,1,3)</t>
  </si>
  <si>
    <t xml:space="preserve">ODDLYIELD(DATE(2024,1,31),DATE(2024,7,31),DATE(2023,7,31),0.1,101.5,100,1,3)</t>
  </si>
  <si>
    <t xml:space="preserve">ODDLYIELD(DATE(2024,1,31),DATE(2024,7,31),DATE(2023,7,31),0.05,100,100,1,3)</t>
  </si>
  <si>
    <t xml:space="preserve">ODDLPRICE(DATE(2024,1,31),DATE(2024,7,31),DATE(2023,7,31),0.05,0.08,100,1,4)</t>
  </si>
  <si>
    <t xml:space="preserve">ODDLPRICE(DATE(2024,1,31),DATE(2024,7,31),DATE(2023,7,31),0.1,0.03,105,1,4)</t>
  </si>
  <si>
    <t xml:space="preserve">ODDLPRICE(DATE(2024,1,31),DATE(2024,7,31),DATE(2023,7,31),0,0.05,100,1,4)</t>
  </si>
  <si>
    <t xml:space="preserve">ODDLYIELD(DATE(2024,1,31),DATE(2024,7,31),DATE(2023,7,31),0.05,95,100,1,4)</t>
  </si>
  <si>
    <t xml:space="preserve">ODDLYIELD(DATE(2024,1,31),DATE(2024,7,31),DATE(2023,7,31),0.1,101.5,100,1,4)</t>
  </si>
  <si>
    <t xml:space="preserve">ODDLYIELD(DATE(2024,1,31),DATE(2024,7,31),DATE(2023,7,31),0.05,100,100,1,4)</t>
  </si>
  <si>
    <t xml:space="preserve">ODDLPRICE(DATE(2024,1,31),DATE(2024,7,31),DATE(2023,7,31),0.05,0.08,100,2,0)</t>
  </si>
  <si>
    <t xml:space="preserve">ODDLPRICE(DATE(2024,1,31),DATE(2024,7,31),DATE(2023,7,31),0.1,0.03,105,2,0)</t>
  </si>
  <si>
    <t xml:space="preserve">ODDLPRICE(DATE(2024,1,31),DATE(2024,7,31),DATE(2023,7,31),0,0.05,100,2,0)</t>
  </si>
  <si>
    <t xml:space="preserve">ODDLYIELD(DATE(2024,1,31),DATE(2024,7,31),DATE(2023,7,31),0.05,95,100,2,0)</t>
  </si>
  <si>
    <t xml:space="preserve">ODDLYIELD(DATE(2024,1,31),DATE(2024,7,31),DATE(2023,7,31),0.1,101.5,100,2,0)</t>
  </si>
  <si>
    <t xml:space="preserve">ODDLYIELD(DATE(2024,1,31),DATE(2024,7,31),DATE(2023,7,31),0.05,100,100,2,0)</t>
  </si>
  <si>
    <t xml:space="preserve">ODDLPRICE(DATE(2024,1,31),DATE(2024,7,31),DATE(2023,7,31),0.05,0.08,100,2,1)</t>
  </si>
  <si>
    <t xml:space="preserve">ODDLPRICE(DATE(2024,1,31),DATE(2024,7,31),DATE(2023,7,31),0.1,0.03,105,2,1)</t>
  </si>
  <si>
    <t xml:space="preserve">ODDLPRICE(DATE(2024,1,31),DATE(2024,7,31),DATE(2023,7,31),0,0.05,100,2,1)</t>
  </si>
  <si>
    <t xml:space="preserve">ODDLYIELD(DATE(2024,1,31),DATE(2024,7,31),DATE(2023,7,31),0.05,95,100,2,1)</t>
  </si>
  <si>
    <t xml:space="preserve">ODDLYIELD(DATE(2024,1,31),DATE(2024,7,31),DATE(2023,7,31),0.1,101.5,100,2,1)</t>
  </si>
  <si>
    <t xml:space="preserve">ODDLYIELD(DATE(2024,1,31),DATE(2024,7,31),DATE(2023,7,31),0.05,100,100,2,1)</t>
  </si>
  <si>
    <t xml:space="preserve">ODDLPRICE(DATE(2024,1,31),DATE(2024,7,31),DATE(2023,7,31),0.05,0.08,100,2,2)</t>
  </si>
  <si>
    <t xml:space="preserve">ODDLPRICE(DATE(2024,1,31),DATE(2024,7,31),DATE(2023,7,31),0.1,0.03,105,2,2)</t>
  </si>
  <si>
    <t xml:space="preserve">ODDLPRICE(DATE(2024,1,31),DATE(2024,7,31),DATE(2023,7,31),0,0.05,100,2,2)</t>
  </si>
  <si>
    <t xml:space="preserve">ODDLYIELD(DATE(2024,1,31),DATE(2024,7,31),DATE(2023,7,31),0.05,95,100,2,2)</t>
  </si>
  <si>
    <t xml:space="preserve">ODDLYIELD(DATE(2024,1,31),DATE(2024,7,31),DATE(2023,7,31),0.1,101.5,100,2,2)</t>
  </si>
  <si>
    <t xml:space="preserve">ODDLYIELD(DATE(2024,1,31),DATE(2024,7,31),DATE(2023,7,31),0.05,100,100,2,2)</t>
  </si>
  <si>
    <t xml:space="preserve">ODDLPRICE(DATE(2024,1,31),DATE(2024,7,31),DATE(2023,7,31),0.05,0.08,100,2,3)</t>
  </si>
  <si>
    <t xml:space="preserve">ODDLPRICE(DATE(2024,1,31),DATE(2024,7,31),DATE(2023,7,31),0.1,0.03,105,2,3)</t>
  </si>
  <si>
    <t xml:space="preserve">ODDLPRICE(DATE(2024,1,31),DATE(2024,7,31),DATE(2023,7,31),0,0.05,100,2,3)</t>
  </si>
  <si>
    <t xml:space="preserve">ODDLYIELD(DATE(2024,1,31),DATE(2024,7,31),DATE(2023,7,31),0.05,95,100,2,3)</t>
  </si>
  <si>
    <t xml:space="preserve">ODDLYIELD(DATE(2024,1,31),DATE(2024,7,31),DATE(2023,7,31),0.1,101.5,100,2,3)</t>
  </si>
  <si>
    <t xml:space="preserve">ODDLYIELD(DATE(2024,1,31),DATE(2024,7,31),DATE(2023,7,31),0.05,100,100,2,3)</t>
  </si>
  <si>
    <t xml:space="preserve">ODDLPRICE(DATE(2024,1,31),DATE(2024,7,31),DATE(2023,7,31),0.05,0.08,100,2,4)</t>
  </si>
  <si>
    <t xml:space="preserve">ODDLPRICE(DATE(2024,1,31),DATE(2024,7,31),DATE(2023,7,31),0.1,0.03,105,2,4)</t>
  </si>
  <si>
    <t xml:space="preserve">ODDLPRICE(DATE(2024,1,31),DATE(2024,7,31),DATE(2023,7,31),0,0.05,100,2,4)</t>
  </si>
  <si>
    <t xml:space="preserve">ODDLYIELD(DATE(2024,1,31),DATE(2024,7,31),DATE(2023,7,31),0.05,95,100,2,4)</t>
  </si>
  <si>
    <t xml:space="preserve">ODDLYIELD(DATE(2024,1,31),DATE(2024,7,31),DATE(2023,7,31),0.1,101.5,100,2,4)</t>
  </si>
  <si>
    <t xml:space="preserve">ODDLYIELD(DATE(2024,1,31),DATE(2024,7,31),DATE(2023,7,31),0.05,100,100,2,4)</t>
  </si>
  <si>
    <t xml:space="preserve">ODDLPRICE(DATE(2024,1,31),DATE(2024,7,31),DATE(2023,7,31),0.05,0.08,100,4,0)</t>
  </si>
  <si>
    <t xml:space="preserve">ODDLPRICE(DATE(2024,1,31),DATE(2024,7,31),DATE(2023,7,31),0.1,0.03,105,4,0)</t>
  </si>
  <si>
    <t xml:space="preserve">ODDLPRICE(DATE(2024,1,31),DATE(2024,7,31),DATE(2023,7,31),0,0.05,100,4,0)</t>
  </si>
  <si>
    <t xml:space="preserve">ODDLYIELD(DATE(2024,1,31),DATE(2024,7,31),DATE(2023,7,31),0.05,95,100,4,0)</t>
  </si>
  <si>
    <t xml:space="preserve">ODDLYIELD(DATE(2024,1,31),DATE(2024,7,31),DATE(2023,7,31),0.1,101.5,100,4,0)</t>
  </si>
  <si>
    <t xml:space="preserve">ODDLYIELD(DATE(2024,1,31),DATE(2024,7,31),DATE(2023,7,31),0.05,100,100,4,0)</t>
  </si>
  <si>
    <t xml:space="preserve">ODDLPRICE(DATE(2024,1,31),DATE(2024,7,31),DATE(2023,7,31),0.05,0.08,100,4,1)</t>
  </si>
  <si>
    <t xml:space="preserve">ODDLPRICE(DATE(2024,1,31),DATE(2024,7,31),DATE(2023,7,31),0.1,0.03,105,4,1)</t>
  </si>
  <si>
    <t xml:space="preserve">ODDLPRICE(DATE(2024,1,31),DATE(2024,7,31),DATE(2023,7,31),0,0.05,100,4,1)</t>
  </si>
  <si>
    <t xml:space="preserve">ODDLYIELD(DATE(2024,1,31),DATE(2024,7,31),DATE(2023,7,31),0.05,95,100,4,1)</t>
  </si>
  <si>
    <t xml:space="preserve">ODDLYIELD(DATE(2024,1,31),DATE(2024,7,31),DATE(2023,7,31),0.1,101.5,100,4,1)</t>
  </si>
  <si>
    <t xml:space="preserve">ODDLYIELD(DATE(2024,1,31),DATE(2024,7,31),DATE(2023,7,31),0.05,100,100,4,1)</t>
  </si>
  <si>
    <t xml:space="preserve">ODDLPRICE(DATE(2024,1,31),DATE(2024,7,31),DATE(2023,7,31),0.05,0.08,100,4,2)</t>
  </si>
  <si>
    <t xml:space="preserve">ODDLPRICE(DATE(2024,1,31),DATE(2024,7,31),DATE(2023,7,31),0.1,0.03,105,4,2)</t>
  </si>
  <si>
    <t xml:space="preserve">ODDLPRICE(DATE(2024,1,31),DATE(2024,7,31),DATE(2023,7,31),0,0.05,100,4,2)</t>
  </si>
  <si>
    <t xml:space="preserve">ODDLYIELD(DATE(2024,1,31),DATE(2024,7,31),DATE(2023,7,31),0.05,95,100,4,2)</t>
  </si>
  <si>
    <t xml:space="preserve">ODDLYIELD(DATE(2024,1,31),DATE(2024,7,31),DATE(2023,7,31),0.1,101.5,100,4,2)</t>
  </si>
  <si>
    <t xml:space="preserve">ODDLYIELD(DATE(2024,1,31),DATE(2024,7,31),DATE(2023,7,31),0.05,100,100,4,2)</t>
  </si>
  <si>
    <t xml:space="preserve">ODDLPRICE(DATE(2024,1,31),DATE(2024,7,31),DATE(2023,7,31),0.05,0.08,100,4,3)</t>
  </si>
  <si>
    <t xml:space="preserve">ODDLPRICE(DATE(2024,1,31),DATE(2024,7,31),DATE(2023,7,31),0.1,0.03,105,4,3)</t>
  </si>
  <si>
    <t xml:space="preserve">ODDLPRICE(DATE(2024,1,31),DATE(2024,7,31),DATE(2023,7,31),0,0.05,100,4,3)</t>
  </si>
  <si>
    <t xml:space="preserve">ODDLYIELD(DATE(2024,1,31),DATE(2024,7,31),DATE(2023,7,31),0.05,95,100,4,3)</t>
  </si>
  <si>
    <t xml:space="preserve">ODDLYIELD(DATE(2024,1,31),DATE(2024,7,31),DATE(2023,7,31),0.1,101.5,100,4,3)</t>
  </si>
  <si>
    <t xml:space="preserve">ODDLYIELD(DATE(2024,1,31),DATE(2024,7,31),DATE(2023,7,31),0.05,100,100,4,3)</t>
  </si>
  <si>
    <t xml:space="preserve">ODDLPRICE(DATE(2024,1,31),DATE(2024,7,31),DATE(2023,7,31),0.05,0.08,100,4,4)</t>
  </si>
  <si>
    <t xml:space="preserve">ODDLPRICE(DATE(2024,1,31),DATE(2024,7,31),DATE(2023,7,31),0.1,0.03,105,4,4)</t>
  </si>
  <si>
    <t xml:space="preserve">ODDLPRICE(DATE(2024,1,31),DATE(2024,7,31),DATE(2023,7,31),0,0.05,100,4,4)</t>
  </si>
  <si>
    <t xml:space="preserve">ODDLYIELD(DATE(2024,1,31),DATE(2024,7,31),DATE(2023,7,31),0.05,95,100,4,4)</t>
  </si>
  <si>
    <t xml:space="preserve">ODDLYIELD(DATE(2024,1,31),DATE(2024,7,31),DATE(2023,7,31),0.1,101.5,100,4,4)</t>
  </si>
  <si>
    <t xml:space="preserve">ODDLYIELD(DATE(2024,1,31),DATE(2024,7,31),DATE(2023,7,31),0.05,100,100,4,4)</t>
  </si>
  <si>
    <t xml:space="preserve">ODDLPRICE(DATE(2024,5,15),DATE(2024,5,31),DATE(2024,4,30),0.05,0.08,100,1,0)</t>
  </si>
  <si>
    <t xml:space="preserve">ODDLPRICE(DATE(2024,5,15),DATE(2024,5,31),DATE(2024,4,30),0.1,0.03,105,1,0)</t>
  </si>
  <si>
    <t xml:space="preserve">ODDLPRICE(DATE(2024,5,15),DATE(2024,5,31),DATE(2024,4,30),0,0.05,100,1,0)</t>
  </si>
  <si>
    <t xml:space="preserve">ODDLYIELD(DATE(2024,5,15),DATE(2024,5,31),DATE(2024,4,30),0.05,95,100,1,0)</t>
  </si>
  <si>
    <t xml:space="preserve">ODDLYIELD(DATE(2024,5,15),DATE(2024,5,31),DATE(2024,4,30),0.1,101.5,100,1,0)</t>
  </si>
  <si>
    <t xml:space="preserve">ODDLYIELD(DATE(2024,5,15),DATE(2024,5,31),DATE(2024,4,30),0.05,100,100,1,0)</t>
  </si>
  <si>
    <t xml:space="preserve">ODDLPRICE(DATE(2024,5,15),DATE(2024,5,31),DATE(2024,4,30),0.05,0.08,100,1,1)</t>
  </si>
  <si>
    <t xml:space="preserve">ODDLPRICE(DATE(2024,5,15),DATE(2024,5,31),DATE(2024,4,30),0.1,0.03,105,1,1)</t>
  </si>
  <si>
    <t xml:space="preserve">ODDLPRICE(DATE(2024,5,15),DATE(2024,5,31),DATE(2024,4,30),0,0.05,100,1,1)</t>
  </si>
  <si>
    <t xml:space="preserve">ODDLYIELD(DATE(2024,5,15),DATE(2024,5,31),DATE(2024,4,30),0.05,95,100,1,1)</t>
  </si>
  <si>
    <t xml:space="preserve">ODDLYIELD(DATE(2024,5,15),DATE(2024,5,31),DATE(2024,4,30),0.1,101.5,100,1,1)</t>
  </si>
  <si>
    <t xml:space="preserve">ODDLYIELD(DATE(2024,5,15),DATE(2024,5,31),DATE(2024,4,30),0.05,100,100,1,1)</t>
  </si>
  <si>
    <t xml:space="preserve">ODDLPRICE(DATE(2024,5,15),DATE(2024,5,31),DATE(2024,4,30),0.05,0.08,100,1,2)</t>
  </si>
  <si>
    <t xml:space="preserve">ODDLPRICE(DATE(2024,5,15),DATE(2024,5,31),DATE(2024,4,30),0.1,0.03,105,1,2)</t>
  </si>
  <si>
    <t xml:space="preserve">ODDLPRICE(DATE(2024,5,15),DATE(2024,5,31),DATE(2024,4,30),0,0.05,100,1,2)</t>
  </si>
  <si>
    <t xml:space="preserve">ODDLYIELD(DATE(2024,5,15),DATE(2024,5,31),DATE(2024,4,30),0.05,95,100,1,2)</t>
  </si>
  <si>
    <t xml:space="preserve">ODDLYIELD(DATE(2024,5,15),DATE(2024,5,31),DATE(2024,4,30),0.1,101.5,100,1,2)</t>
  </si>
  <si>
    <t xml:space="preserve">ODDLYIELD(DATE(2024,5,15),DATE(2024,5,31),DATE(2024,4,30),0.05,100,100,1,2)</t>
  </si>
  <si>
    <t xml:space="preserve">ODDLPRICE(DATE(2024,5,15),DATE(2024,5,31),DATE(2024,4,30),0.05,0.08,100,1,3)</t>
  </si>
  <si>
    <t xml:space="preserve">ODDLPRICE(DATE(2024,5,15),DATE(2024,5,31),DATE(2024,4,30),0.1,0.03,105,1,3)</t>
  </si>
  <si>
    <t xml:space="preserve">ODDLPRICE(DATE(2024,5,15),DATE(2024,5,31),DATE(2024,4,30),0,0.05,100,1,3)</t>
  </si>
  <si>
    <t xml:space="preserve">ODDLYIELD(DATE(2024,5,15),DATE(2024,5,31),DATE(2024,4,30),0.05,95,100,1,3)</t>
  </si>
  <si>
    <t xml:space="preserve">ODDLYIELD(DATE(2024,5,15),DATE(2024,5,31),DATE(2024,4,30),0.1,101.5,100,1,3)</t>
  </si>
  <si>
    <t xml:space="preserve">ODDLYIELD(DATE(2024,5,15),DATE(2024,5,31),DATE(2024,4,30),0.05,100,100,1,3)</t>
  </si>
  <si>
    <t xml:space="preserve">ODDLPRICE(DATE(2024,5,15),DATE(2024,5,31),DATE(2024,4,30),0.05,0.08,100,1,4)</t>
  </si>
  <si>
    <t xml:space="preserve">ODDLPRICE(DATE(2024,5,15),DATE(2024,5,31),DATE(2024,4,30),0.1,0.03,105,1,4)</t>
  </si>
  <si>
    <t xml:space="preserve">ODDLPRICE(DATE(2024,5,15),DATE(2024,5,31),DATE(2024,4,30),0,0.05,100,1,4)</t>
  </si>
  <si>
    <t xml:space="preserve">ODDLYIELD(DATE(2024,5,15),DATE(2024,5,31),DATE(2024,4,30),0.05,95,100,1,4)</t>
  </si>
  <si>
    <t xml:space="preserve">ODDLYIELD(DATE(2024,5,15),DATE(2024,5,31),DATE(2024,4,30),0.1,101.5,100,1,4)</t>
  </si>
  <si>
    <t xml:space="preserve">ODDLYIELD(DATE(2024,5,15),DATE(2024,5,31),DATE(2024,4,30),0.05,100,100,1,4)</t>
  </si>
  <si>
    <t xml:space="preserve">ODDLPRICE(DATE(2024,5,15),DATE(2024,5,31),DATE(2024,4,30),0.05,0.08,100,2,0)</t>
  </si>
  <si>
    <t xml:space="preserve">ODDLPRICE(DATE(2024,5,15),DATE(2024,5,31),DATE(2024,4,30),0.1,0.03,105,2,0)</t>
  </si>
  <si>
    <t xml:space="preserve">ODDLPRICE(DATE(2024,5,15),DATE(2024,5,31),DATE(2024,4,30),0,0.05,100,2,0)</t>
  </si>
  <si>
    <t xml:space="preserve">ODDLYIELD(DATE(2024,5,15),DATE(2024,5,31),DATE(2024,4,30),0.05,95,100,2,0)</t>
  </si>
  <si>
    <t xml:space="preserve">ODDLYIELD(DATE(2024,5,15),DATE(2024,5,31),DATE(2024,4,30),0.1,101.5,100,2,0)</t>
  </si>
  <si>
    <t xml:space="preserve">ODDLYIELD(DATE(2024,5,15),DATE(2024,5,31),DATE(2024,4,30),0.05,100,100,2,0)</t>
  </si>
  <si>
    <t xml:space="preserve">ODDLPRICE(DATE(2024,5,15),DATE(2024,5,31),DATE(2024,4,30),0.05,0.08,100,2,1)</t>
  </si>
  <si>
    <t xml:space="preserve">ODDLPRICE(DATE(2024,5,15),DATE(2024,5,31),DATE(2024,4,30),0.1,0.03,105,2,1)</t>
  </si>
  <si>
    <t xml:space="preserve">ODDLPRICE(DATE(2024,5,15),DATE(2024,5,31),DATE(2024,4,30),0,0.05,100,2,1)</t>
  </si>
  <si>
    <t xml:space="preserve">ODDLYIELD(DATE(2024,5,15),DATE(2024,5,31),DATE(2024,4,30),0.05,95,100,2,1)</t>
  </si>
  <si>
    <t xml:space="preserve">ODDLYIELD(DATE(2024,5,15),DATE(2024,5,31),DATE(2024,4,30),0.1,101.5,100,2,1)</t>
  </si>
  <si>
    <t xml:space="preserve">ODDLYIELD(DATE(2024,5,15),DATE(2024,5,31),DATE(2024,4,30),0.05,100,100,2,1)</t>
  </si>
  <si>
    <t xml:space="preserve">ODDLPRICE(DATE(2024,5,15),DATE(2024,5,31),DATE(2024,4,30),0.05,0.08,100,2,2)</t>
  </si>
  <si>
    <t xml:space="preserve">ODDLPRICE(DATE(2024,5,15),DATE(2024,5,31),DATE(2024,4,30),0.1,0.03,105,2,2)</t>
  </si>
  <si>
    <t xml:space="preserve">ODDLPRICE(DATE(2024,5,15),DATE(2024,5,31),DATE(2024,4,30),0,0.05,100,2,2)</t>
  </si>
  <si>
    <t xml:space="preserve">ODDLYIELD(DATE(2024,5,15),DATE(2024,5,31),DATE(2024,4,30),0.05,95,100,2,2)</t>
  </si>
  <si>
    <t xml:space="preserve">ODDLYIELD(DATE(2024,5,15),DATE(2024,5,31),DATE(2024,4,30),0.1,101.5,100,2,2)</t>
  </si>
  <si>
    <t xml:space="preserve">ODDLYIELD(DATE(2024,5,15),DATE(2024,5,31),DATE(2024,4,30),0.05,100,100,2,2)</t>
  </si>
  <si>
    <t xml:space="preserve">ODDLPRICE(DATE(2024,5,15),DATE(2024,5,31),DATE(2024,4,30),0.05,0.08,100,2,3)</t>
  </si>
  <si>
    <t xml:space="preserve">ODDLPRICE(DATE(2024,5,15),DATE(2024,5,31),DATE(2024,4,30),0.1,0.03,105,2,3)</t>
  </si>
  <si>
    <t xml:space="preserve">ODDLPRICE(DATE(2024,5,15),DATE(2024,5,31),DATE(2024,4,30),0,0.05,100,2,3)</t>
  </si>
  <si>
    <t xml:space="preserve">ODDLYIELD(DATE(2024,5,15),DATE(2024,5,31),DATE(2024,4,30),0.05,95,100,2,3)</t>
  </si>
  <si>
    <t xml:space="preserve">ODDLYIELD(DATE(2024,5,15),DATE(2024,5,31),DATE(2024,4,30),0.1,101.5,100,2,3)</t>
  </si>
  <si>
    <t xml:space="preserve">ODDLYIELD(DATE(2024,5,15),DATE(2024,5,31),DATE(2024,4,30),0.05,100,100,2,3)</t>
  </si>
  <si>
    <t xml:space="preserve">ODDLPRICE(DATE(2024,5,15),DATE(2024,5,31),DATE(2024,4,30),0.05,0.08,100,2,4)</t>
  </si>
  <si>
    <t xml:space="preserve">ODDLPRICE(DATE(2024,5,15),DATE(2024,5,31),DATE(2024,4,30),0.1,0.03,105,2,4)</t>
  </si>
  <si>
    <t xml:space="preserve">ODDLPRICE(DATE(2024,5,15),DATE(2024,5,31),DATE(2024,4,30),0,0.05,100,2,4)</t>
  </si>
  <si>
    <t xml:space="preserve">ODDLYIELD(DATE(2024,5,15),DATE(2024,5,31),DATE(2024,4,30),0.05,95,100,2,4)</t>
  </si>
  <si>
    <t xml:space="preserve">ODDLYIELD(DATE(2024,5,15),DATE(2024,5,31),DATE(2024,4,30),0.1,101.5,100,2,4)</t>
  </si>
  <si>
    <t xml:space="preserve">ODDLYIELD(DATE(2024,5,15),DATE(2024,5,31),DATE(2024,4,30),0.05,100,100,2,4)</t>
  </si>
  <si>
    <t xml:space="preserve">ODDLPRICE(DATE(2024,5,15),DATE(2024,5,31),DATE(2024,4,30),0.05,0.08,100,4,0)</t>
  </si>
  <si>
    <t xml:space="preserve">ODDLPRICE(DATE(2024,5,15),DATE(2024,5,31),DATE(2024,4,30),0.1,0.03,105,4,0)</t>
  </si>
  <si>
    <t xml:space="preserve">ODDLPRICE(DATE(2024,5,15),DATE(2024,5,31),DATE(2024,4,30),0,0.05,100,4,0)</t>
  </si>
  <si>
    <t xml:space="preserve">ODDLYIELD(DATE(2024,5,15),DATE(2024,5,31),DATE(2024,4,30),0.05,95,100,4,0)</t>
  </si>
  <si>
    <t xml:space="preserve">ODDLYIELD(DATE(2024,5,15),DATE(2024,5,31),DATE(2024,4,30),0.1,101.5,100,4,0)</t>
  </si>
  <si>
    <t xml:space="preserve">ODDLYIELD(DATE(2024,5,15),DATE(2024,5,31),DATE(2024,4,30),0.05,100,100,4,0)</t>
  </si>
  <si>
    <t xml:space="preserve">ODDLPRICE(DATE(2024,5,15),DATE(2024,5,31),DATE(2024,4,30),0.05,0.08,100,4,1)</t>
  </si>
  <si>
    <t xml:space="preserve">ODDLPRICE(DATE(2024,5,15),DATE(2024,5,31),DATE(2024,4,30),0.1,0.03,105,4,1)</t>
  </si>
  <si>
    <t xml:space="preserve">ODDLPRICE(DATE(2024,5,15),DATE(2024,5,31),DATE(2024,4,30),0,0.05,100,4,1)</t>
  </si>
  <si>
    <t xml:space="preserve">ODDLYIELD(DATE(2024,5,15),DATE(2024,5,31),DATE(2024,4,30),0.05,95,100,4,1)</t>
  </si>
  <si>
    <t xml:space="preserve">ODDLYIELD(DATE(2024,5,15),DATE(2024,5,31),DATE(2024,4,30),0.1,101.5,100,4,1)</t>
  </si>
  <si>
    <t xml:space="preserve">ODDLYIELD(DATE(2024,5,15),DATE(2024,5,31),DATE(2024,4,30),0.05,100,100,4,1)</t>
  </si>
  <si>
    <t xml:space="preserve">ODDLPRICE(DATE(2024,5,15),DATE(2024,5,31),DATE(2024,4,30),0.05,0.08,100,4,2)</t>
  </si>
  <si>
    <t xml:space="preserve">ODDLPRICE(DATE(2024,5,15),DATE(2024,5,31),DATE(2024,4,30),0.1,0.03,105,4,2)</t>
  </si>
  <si>
    <t xml:space="preserve">ODDLPRICE(DATE(2024,5,15),DATE(2024,5,31),DATE(2024,4,30),0,0.05,100,4,2)</t>
  </si>
  <si>
    <t xml:space="preserve">ODDLYIELD(DATE(2024,5,15),DATE(2024,5,31),DATE(2024,4,30),0.05,95,100,4,2)</t>
  </si>
  <si>
    <t xml:space="preserve">ODDLYIELD(DATE(2024,5,15),DATE(2024,5,31),DATE(2024,4,30),0.1,101.5,100,4,2)</t>
  </si>
  <si>
    <t xml:space="preserve">ODDLYIELD(DATE(2024,5,15),DATE(2024,5,31),DATE(2024,4,30),0.05,100,100,4,2)</t>
  </si>
  <si>
    <t xml:space="preserve">ODDLPRICE(DATE(2024,5,15),DATE(2024,5,31),DATE(2024,4,30),0.05,0.08,100,4,3)</t>
  </si>
  <si>
    <t xml:space="preserve">ODDLPRICE(DATE(2024,5,15),DATE(2024,5,31),DATE(2024,4,30),0.1,0.03,105,4,3)</t>
  </si>
  <si>
    <t xml:space="preserve">ODDLPRICE(DATE(2024,5,15),DATE(2024,5,31),DATE(2024,4,30),0,0.05,100,4,3)</t>
  </si>
  <si>
    <t xml:space="preserve">ODDLYIELD(DATE(2024,5,15),DATE(2024,5,31),DATE(2024,4,30),0.05,95,100,4,3)</t>
  </si>
  <si>
    <t xml:space="preserve">ODDLYIELD(DATE(2024,5,15),DATE(2024,5,31),DATE(2024,4,30),0.1,101.5,100,4,3)</t>
  </si>
  <si>
    <t xml:space="preserve">ODDLYIELD(DATE(2024,5,15),DATE(2024,5,31),DATE(2024,4,30),0.05,100,100,4,3)</t>
  </si>
  <si>
    <t xml:space="preserve">ODDLPRICE(DATE(2024,5,15),DATE(2024,5,31),DATE(2024,4,30),0.05,0.08,100,4,4)</t>
  </si>
  <si>
    <t xml:space="preserve">ODDLPRICE(DATE(2024,5,15),DATE(2024,5,31),DATE(2024,4,30),0.1,0.03,105,4,4)</t>
  </si>
  <si>
    <t xml:space="preserve">ODDLPRICE(DATE(2024,5,15),DATE(2024,5,31),DATE(2024,4,30),0,0.05,100,4,4)</t>
  </si>
  <si>
    <t xml:space="preserve">ODDLYIELD(DATE(2024,5,15),DATE(2024,5,31),DATE(2024,4,30),0.05,95,100,4,4)</t>
  </si>
  <si>
    <t xml:space="preserve">ODDLYIELD(DATE(2024,5,15),DATE(2024,5,31),DATE(2024,4,30),0.1,101.5,100,4,4)</t>
  </si>
  <si>
    <t xml:space="preserve">ODDLYIELD(DATE(2024,5,15),DATE(2024,5,31),DATE(2024,4,30),0.05,100,100,4,4)</t>
  </si>
  <si>
    <t xml:space="preserve">ODDFPRICE(DATE(2024,2,15),DATE(2027,7,1),DATE(2024,1,1),DATE(2024,7,1),-0.01,0.08,100,2,0)</t>
  </si>
  <si>
    <t xml:space="preserve">ODDFPRICE(DATE(2024,2,15),DATE(2027,7,1),DATE(2024,1,1),DATE(2024,7,1),0.05,-0.01,100,2,0)</t>
  </si>
  <si>
    <t xml:space="preserve">ODDFPRICE(DATE(2024,2,15),DATE(2027,7,1),DATE(2024,1,1),DATE(2024,7,1),0.05,0.08,0,2,0)</t>
  </si>
  <si>
    <t xml:space="preserve">ODDFPRICE(DATE(2024,2,15),DATE(2027,7,1),DATE(2024,1,1),DATE(2024,7,1),0.05,0.08,100,3,0)</t>
  </si>
  <si>
    <t xml:space="preserve">ODDFPRICE(DATE(2024,2,15),DATE(2027,7,1),DATE(2024,1,1),DATE(2024,7,1),0.05,0.08,100,2,5)</t>
  </si>
  <si>
    <t xml:space="preserve">ODDFPRICE(DATE(2024,2,15),DATE(2027,7,1),DATE(2024,1,1),DATE(2024,7,1),0.05,0.08,100,2)</t>
  </si>
  <si>
    <t xml:space="preserve">ODDFPRICE(DATE(2024,2,15),DATE(2027,7,1),DATE(2024,1,1),DATE(2024,7,1),0.05,0.08,100)</t>
  </si>
  <si>
    <t xml:space="preserve">ODDFPRICE(DATE(2024,2,15),DATE(2027,7,1),DATE(2024,1,1),DATE(2024,7,1),0.05,0.08,100,2,0,1)</t>
  </si>
  <si>
    <t xml:space="preserve">ODDFPRICE(DATE(2024,2,15),DATE(2027,7,1),DATE(2024,1,1),DATE(2024,7,1),0.05,0,100,2,0)</t>
  </si>
  <si>
    <t xml:space="preserve">ODDFPRICE(DATE(2024,2,15),DATE(2027,7,1),DATE(2024,3,1),DATE(2024,7,1),0.05,0.08,100,2,0)</t>
  </si>
  <si>
    <t xml:space="preserve">ODDFPRICE(DATE(2024,2,15),DATE(2027,7,1),DATE(2024,1,1),DATE(2024,1,20),0.05,0.08,100,2,0)</t>
  </si>
  <si>
    <t xml:space="preserve">ODDFPRICE(DATE(2024,2,15),DATE(2024,6,1),DATE(2024,1,1),DATE(2024,7,1),0.05,0.08,100,2,0)</t>
  </si>
  <si>
    <t xml:space="preserve">ODDFPRICE(DATE(2024,2,15),DATE(2027,7,1),DATE(2024,1,1),DATE(2024,2,15),0.05,0.08,100,2,0)</t>
  </si>
  <si>
    <t xml:space="preserve">ODDFPRICE(DATE(2024,2,15),DATE(2027,7,1),DATE(2024,1,1),DATE(2024,2,16),0.05,0.08,100,2,0)</t>
  </si>
  <si>
    <t xml:space="preserve">ODDFPRICE(DATE(2024,2,15),DATE(2024,7,1),DATE(2024,1,1),DATE(2024,7,1),0.05,0.08,100,2,0)</t>
  </si>
  <si>
    <t xml:space="preserve">ODDFPRICE(DATE(2024,2,15),DATE(2027,7,2),DATE(2024,1,1),DATE(2024,7,1),0.05,0.08,100,2,0)</t>
  </si>
  <si>
    <t xml:space="preserve">ODDFPRICE(DATE(2024,2,15),DATE(2027,7,1),DATE(2024,2,15),DATE(2024,7,1),0.05,0.08,100,2,0)</t>
  </si>
  <si>
    <t xml:space="preserve">ODDFYIELD(DATE(2024,2,15),DATE(2027,7,1),DATE(2024,1,1),DATE(2024,7,1),0.05,0,100,2,0)</t>
  </si>
  <si>
    <t xml:space="preserve">ODDFYIELD(DATE(2024,2,15),DATE(2027,7,1),DATE(2024,1,1),DATE(2024,7,1),0.05,95,0,2,0)</t>
  </si>
  <si>
    <t xml:space="preserve">ODDFYIELD(DATE(2024,2,15),DATE(2027,7,1),DATE(2024,1,1),DATE(2024,7,1),-0.05,95,100,2,0)</t>
  </si>
  <si>
    <t xml:space="preserve">ODDFYIELD(DATE(2024,2,15),DATE(2027,7,1),DATE(2024,1,1),DATE(2024,7,1),0.05,1000000,100,2,0)</t>
  </si>
  <si>
    <t xml:space="preserve">ODDFYIELD(DATE(2024,2,15),DATE(2027,7,1),DATE(2024,1,1),DATE(2024,7,1),0.05,95,100,3,0)</t>
  </si>
  <si>
    <t xml:space="preserve">ODDLPRICE(DATE(2024,3,1),DATE(2024,6,30),DATE(2024,1,15),-0.05,0.08,100,2,0)</t>
  </si>
  <si>
    <t xml:space="preserve">ODDLPRICE(DATE(2024,3,1),DATE(2024,6,30),DATE(2024,1,15),0.05,-0.08,100,2,0)</t>
  </si>
  <si>
    <t xml:space="preserve">ODDLPRICE(DATE(2024,3,1),DATE(2024,6,30),DATE(2024,1,15),0.05,0.08,0,2,0)</t>
  </si>
  <si>
    <t xml:space="preserve">ODDLPRICE(DATE(2024,3,1),DATE(2024,6,30),DATE(2024,1,15),0.05,0.08,100,3,0)</t>
  </si>
  <si>
    <t xml:space="preserve">ODDLPRICE(DATE(2024,3,1),DATE(2024,6,30),DATE(2024,1,15),0.05,0.08,100,2,5)</t>
  </si>
  <si>
    <t xml:space="preserve">ODDLPRICE(DATE(2024,3,1),DATE(2024,6,30),DATE(2024,1,15),0.05,0.08,100,2)</t>
  </si>
  <si>
    <t xml:space="preserve">ODDLPRICE(DATE(2024,3,1),DATE(2024,6,30),DATE(2024,1,15),0.05,0.08,100)</t>
  </si>
  <si>
    <t xml:space="preserve">ODDLPRICE(DATE(2024,3,1),DATE(2024,6,30),DATE(2024,3,1),0.05,0.08,100,2,0)</t>
  </si>
  <si>
    <t xml:space="preserve">ODDLPRICE(DATE(2024,3,1),DATE(2024,6,30),DATE(2024,4,1),0.05,0.08,100,2,0)</t>
  </si>
  <si>
    <t xml:space="preserve">ODDLPRICE(DATE(2024,6,30),DATE(2024,6,30),DATE(2024,1,15),0.05,0.08,100,2,0)</t>
  </si>
  <si>
    <t xml:space="preserve">ODDLPRICE(DATE(2024,7,30),DATE(2024,6,30),DATE(2024,1,15),0.05,0.08,100,2,0)</t>
  </si>
  <si>
    <t xml:space="preserve">ODDLPRICE(DATE(2024,3,1),DATE(2024,6,30),DATE(2024,1,15),0.05,0,100,2,0)</t>
  </si>
  <si>
    <t xml:space="preserve">ODDLYIELD(DATE(2024,3,1),DATE(2024,6,30),DATE(2024,1,15),0.05,0,100,2,0)</t>
  </si>
  <si>
    <t xml:space="preserve">ODDLYIELD(DATE(2024,3,1),DATE(2024,6,30),DATE(2024,1,15),0.05,95,0,2,0)</t>
  </si>
  <si>
    <t xml:space="preserve">ODDLYIELD(DATE(2024,3,1),DATE(2024,6,30),DATE(2024,1,15),-0.05,95,100,2,0)</t>
  </si>
  <si>
    <t xml:space="preserve">ODDLYIELD(DATE(2024,3,1),DATE(2024,6,30),DATE(2024,1,15),0.05,95,100,3,0)</t>
  </si>
  <si>
    <t xml:space="preserve">ODDLYIELD(DATE(2024,3,1),DATE(2024,6,30),DATE(2024,1,15),0.05,95,100,2,0,1)</t>
  </si>
  <si>
    <t xml:space="preserve">LENB("abc")</t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</si>
  <si>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日本</t>
    </r>
    <r>
      <rPr>
        <sz val="11"/>
        <color theme="1"/>
        <rFont val="Calibri"/>
        <family val="2"/>
        <charset val="1"/>
      </rPr>
      <t xml:space="preserve">")</t>
    </r>
  </si>
  <si>
    <t xml:space="preserve">LENB("é")</t>
  </si>
  <si>
    <t xml:space="preserve">LENB("")</t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</si>
  <si>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ｱ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</si>
  <si>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ア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</si>
  <si>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ＡＢ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</si>
  <si>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한국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</si>
  <si>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中文</t>
    </r>
    <r>
      <rPr>
        <sz val="11"/>
        <color theme="1"/>
        <rFont val="Calibri"/>
        <family val="2"/>
        <charset val="1"/>
      </rPr>
      <t xml:space="preserve">")</t>
    </r>
  </si>
  <si>
    <t xml:space="preserve">LENB("€")</t>
  </si>
  <si>
    <t xml:space="preserve">LENB("ñ")</t>
  </si>
  <si>
    <t xml:space="preserve">LENB("¥")</t>
  </si>
  <si>
    <t xml:space="preserve">LENB("£")</t>
  </si>
  <si>
    <t xml:space="preserve">LENB("😀")</t>
  </si>
  <si>
    <t xml:space="preserve">LENB("😀a")</t>
  </si>
  <si>
    <t xml:space="preserve">LENB(CHAR(200))</t>
  </si>
  <si>
    <t xml:space="preserve">LENB(123)</t>
  </si>
  <si>
    <t xml:space="preserve">LENB(TRUE)</t>
  </si>
  <si>
    <t xml:space="preserve">LENB(Data!A1)</t>
  </si>
  <si>
    <t xml:space="preserve">LENB(NA())</t>
  </si>
  <si>
    <t xml:space="preserve">LENB(Data!D1)</t>
  </si>
  <si>
    <r>
      <rPr>
        <sz val="11"/>
        <color theme="1"/>
        <rFont val="Calibri"/>
        <family val="2"/>
        <charset val="1"/>
      </rPr>
      <t xml:space="preserve">LENB("a"&amp;CHAR(10)&amp;"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</si>
  <si>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Noto 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</si>
  <si>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LENB("é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ñ")</t>
    </r>
  </si>
  <si>
    <r>
      <rPr>
        <sz val="11"/>
        <color theme="1"/>
        <rFont val="Calibri"/>
        <family val="2"/>
        <charset val="1"/>
      </rPr>
      <t xml:space="preserve">LENB("</t>
    </r>
    <r>
      <rPr>
        <sz val="11"/>
        <color theme="1"/>
        <rFont val="WenQuanYi Zen Hei"/>
        <family val="2"/>
      </rPr>
      <t xml:space="preserve">ｶﾞ</t>
    </r>
    <r>
      <rPr>
        <sz val="11"/>
        <color theme="1"/>
        <rFont val="Calibri"/>
        <family val="2"/>
        <charset val="1"/>
      </rPr>
      <t xml:space="preserve">")</t>
    </r>
  </si>
  <si>
    <t xml:space="preserve">LENB("①")</t>
  </si>
  <si>
    <t xml:space="preserve">LENB("ⅷ")</t>
  </si>
  <si>
    <t xml:space="preserve">LENB("☆")</t>
  </si>
  <si>
    <t xml:space="preserve">LENB("★")</t>
  </si>
  <si>
    <t xml:space="preserve">LENB("±×÷")</t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</si>
  <si>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</si>
  <si>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</si>
  <si>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</si>
  <si>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",4)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</si>
  <si>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",5)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</si>
  <si>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",6)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</si>
  <si>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",7)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</si>
  <si>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",-1)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</si>
  <si>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</si>
  <si>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t xml:space="preserve">LEFTB("abc",2)</t>
  </si>
  <si>
    <t xml:space="preserve">LEFTB("ab",0)</t>
  </si>
  <si>
    <r>
      <rPr>
        <sz val="11"/>
        <color theme="1"/>
        <rFont val="Calibri"/>
        <family val="2"/>
        <charset val="1"/>
      </rPr>
      <t xml:space="preserve">LEFTB("a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b",2)</t>
    </r>
  </si>
  <si>
    <r>
      <rPr>
        <sz val="11"/>
        <color theme="1"/>
        <rFont val="Calibri"/>
        <family val="2"/>
        <charset val="1"/>
      </rPr>
      <t xml:space="preserve">LEFTB("a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b",3)</t>
    </r>
  </si>
  <si>
    <r>
      <rPr>
        <sz val="11"/>
        <color theme="1"/>
        <rFont val="Calibri"/>
        <family val="2"/>
        <charset val="1"/>
      </rPr>
      <t xml:space="preserve">LEFTB("a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b",4)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</si>
  <si>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a",1)</t>
    </r>
  </si>
  <si>
    <t xml:space="preserve">LEFTB(12345,2)</t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</si>
  <si>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","x")</t>
    </r>
  </si>
  <si>
    <r>
      <rPr>
        <sz val="11"/>
        <color theme="1"/>
        <rFont val="Calibri"/>
        <family val="2"/>
        <charset val="1"/>
      </rPr>
      <t xml:space="preserve">LEFTB("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",1.9)</t>
    </r>
  </si>
  <si>
    <t xml:space="preserve">LEFTB(Data!D1,1)</t>
  </si>
  <si>
    <t xml:space="preserve">LEFTB("😀",2)</t>
  </si>
  <si>
    <t xml:space="preserve">FINDB("b","a😀b")</t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</si>
  <si>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</si>
  <si>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</si>
  <si>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</si>
  <si>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",4)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</si>
  <si>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",5)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</si>
  <si>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",7)</t>
    </r>
  </si>
  <si>
    <r>
      <rPr>
        <sz val="11"/>
        <color theme="1"/>
        <rFont val="Calibri"/>
        <family val="2"/>
        <charset val="1"/>
      </rPr>
      <t xml:space="preserve">RIGHTB("a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b",2)</t>
    </r>
  </si>
  <si>
    <r>
      <rPr>
        <sz val="11"/>
        <color theme="1"/>
        <rFont val="Calibri"/>
        <family val="2"/>
        <charset val="1"/>
      </rPr>
      <t xml:space="preserve">RIGHTB("a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b",3)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</si>
  <si>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a",2)</t>
    </r>
  </si>
  <si>
    <r>
      <rPr>
        <sz val="11"/>
        <color theme="1"/>
        <rFont val="Calibri"/>
        <family val="2"/>
        <charset val="1"/>
      </rPr>
      <t xml:space="preserve">RIGHTB("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</si>
  <si>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t xml:space="preserve">RIGHTB("abc")</t>
  </si>
  <si>
    <t xml:space="preserve">RIGHTB("abc",0)</t>
  </si>
  <si>
    <t xml:space="preserve">RIGHTB("abc",-1)</t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</si>
  <si>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",1,2)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</si>
  <si>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",2,2)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</si>
  <si>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",2,1)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</si>
  <si>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",2,3)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</si>
  <si>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",3,1)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</si>
  <si>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",3,2)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</si>
  <si>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",4,2)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</si>
  <si>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",5,10)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</si>
  <si>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",7,1)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</si>
  <si>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",8,1)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</si>
  <si>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",0,2)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</si>
  <si>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",1,0)</t>
    </r>
  </si>
  <si>
    <r>
      <rPr>
        <sz val="11"/>
        <color theme="1"/>
        <rFont val="Calibri"/>
        <family val="2"/>
        <charset val="1"/>
      </rPr>
      <t xml:space="preserve">MIDB("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",1,-1)</t>
    </r>
  </si>
  <si>
    <r>
      <rPr>
        <sz val="11"/>
        <color theme="1"/>
        <rFont val="Calibri"/>
        <family val="2"/>
        <charset val="1"/>
      </rPr>
      <t xml:space="preserve">MIDB("a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b",2,2)</t>
    </r>
  </si>
  <si>
    <r>
      <rPr>
        <sz val="11"/>
        <color theme="1"/>
        <rFont val="Calibri"/>
        <family val="2"/>
        <charset val="1"/>
      </rPr>
      <t xml:space="preserve">MIDB("a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b",3,2)</t>
    </r>
  </si>
  <si>
    <r>
      <rPr>
        <sz val="11"/>
        <color theme="1"/>
        <rFont val="Calibri"/>
        <family val="2"/>
        <charset val="1"/>
      </rPr>
      <t xml:space="preserve">MIDB("a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b",2,1)</t>
    </r>
  </si>
  <si>
    <r>
      <rPr>
        <sz val="11"/>
        <color theme="1"/>
        <rFont val="Calibri"/>
        <family val="2"/>
        <charset val="1"/>
      </rPr>
      <t xml:space="preserve">MIDB("a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b",3,1)</t>
    </r>
  </si>
  <si>
    <t xml:space="preserve">MIDB("abc",2,100)</t>
  </si>
  <si>
    <t xml:space="preserve">MIDB("abcdef",2,3)</t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</si>
  <si>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",1)</t>
    </r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</si>
  <si>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",2)</t>
    </r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</si>
  <si>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",3)</t>
    </r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</si>
  <si>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",4)</t>
    </r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</si>
  <si>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語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</si>
  <si>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FINDB("","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</si>
  <si>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FINDB("","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",3)</t>
    </r>
  </si>
  <si>
    <r>
      <rPr>
        <sz val="11"/>
        <color theme="1"/>
        <rFont val="Calibri"/>
        <family val="2"/>
        <charset val="1"/>
      </rPr>
      <t xml:space="preserve">FINDB("x","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</si>
  <si>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FINDB("a","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a",3)</t>
    </r>
  </si>
  <si>
    <r>
      <rPr>
        <sz val="11"/>
        <color theme="1"/>
        <rFont val="Calibri"/>
        <family val="2"/>
        <charset val="1"/>
      </rPr>
      <t xml:space="preserve">FINDB("a","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a",5)</t>
    </r>
  </si>
  <si>
    <r>
      <rPr>
        <sz val="11"/>
        <color theme="1"/>
        <rFont val="Calibri"/>
        <family val="2"/>
        <charset val="1"/>
      </rPr>
      <t xml:space="preserve">FINDB("a","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a",6)</t>
    </r>
  </si>
  <si>
    <r>
      <rPr>
        <sz val="11"/>
        <color theme="1"/>
        <rFont val="Calibri"/>
        <family val="2"/>
        <charset val="1"/>
      </rPr>
      <t xml:space="preserve">FINDB("a","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a",7)</t>
    </r>
  </si>
  <si>
    <r>
      <rPr>
        <sz val="11"/>
        <color theme="1"/>
        <rFont val="Calibri"/>
        <family val="2"/>
        <charset val="1"/>
      </rPr>
      <t xml:space="preserve">FINDB("a","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a",0)</t>
    </r>
  </si>
  <si>
    <r>
      <rPr>
        <sz val="11"/>
        <color theme="1"/>
        <rFont val="Calibri"/>
        <family val="2"/>
        <charset val="1"/>
      </rPr>
      <t xml:space="preserve">FINDB("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",2)</t>
    </r>
  </si>
  <si>
    <t xml:space="preserve">FINDB("b","abc")</t>
  </si>
  <si>
    <t xml:space="preserve">FINDB("B","abc")</t>
  </si>
  <si>
    <t xml:space="preserve">FINDB("","abc")</t>
  </si>
  <si>
    <t xml:space="preserve">FINDB("c","abc",4)</t>
  </si>
  <si>
    <t xml:space="preserve">FINDB("c","abc",3)</t>
  </si>
  <si>
    <r>
      <rPr>
        <sz val="11"/>
        <color theme="1"/>
        <rFont val="Calibri"/>
        <family val="2"/>
        <charset val="1"/>
      </rPr>
      <t xml:space="preserve">SEARCHB("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",2)</t>
    </r>
  </si>
  <si>
    <r>
      <rPr>
        <sz val="11"/>
        <color theme="1"/>
        <rFont val="Calibri"/>
        <family val="2"/>
        <charset val="1"/>
      </rPr>
      <t xml:space="preserve">SEARCHB("?","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</si>
  <si>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SEARCHB("*</t>
    </r>
    <r>
      <rPr>
        <sz val="11"/>
        <color theme="1"/>
        <rFont val="WenQuanYi Zen Hei"/>
        <family val="2"/>
      </rPr>
      <t xml:space="preserve">語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</si>
  <si>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SEARCHB("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?","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</si>
  <si>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SEARCHB("B","a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b")</t>
    </r>
  </si>
  <si>
    <r>
      <rPr>
        <sz val="11"/>
        <color theme="1"/>
        <rFont val="Calibri"/>
        <family val="2"/>
        <charset val="1"/>
      </rPr>
      <t xml:space="preserve">SEARCHB("","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</si>
  <si>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SEARCHB("a","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a",3)</t>
    </r>
  </si>
  <si>
    <r>
      <rPr>
        <sz val="11"/>
        <color theme="1"/>
        <rFont val="Calibri"/>
        <family val="2"/>
        <charset val="1"/>
      </rPr>
      <t xml:space="preserve">SEARCHB("~?","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?")</t>
    </r>
  </si>
  <si>
    <t xml:space="preserve">SEARCHB("B","abc")</t>
  </si>
  <si>
    <r>
      <rPr>
        <sz val="11"/>
        <color theme="1"/>
        <rFont val="Calibri"/>
        <family val="2"/>
        <charset val="1"/>
      </rPr>
      <t xml:space="preserve">SEARCHB("</t>
    </r>
    <r>
      <rPr>
        <sz val="11"/>
        <color theme="1"/>
        <rFont val="WenQuanYi Zen Hei"/>
        <family val="2"/>
      </rPr>
      <t xml:space="preserve">语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</si>
  <si>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",2,2,"x")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</si>
  <si>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",1,1,"x")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</si>
  <si>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",3,4,"x")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</si>
  <si>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",7,2,"x")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</si>
  <si>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",8,2,"x")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</si>
  <si>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",1,0,"x")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</si>
  <si>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",0,1,"x")</t>
    </r>
  </si>
  <si>
    <r>
      <rPr>
        <sz val="11"/>
        <color theme="1"/>
        <rFont val="Calibri"/>
        <family val="2"/>
        <charset val="1"/>
      </rPr>
      <t xml:space="preserve">REPLACEB("abc",2,1,"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</si>
  <si>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",1,6,"")</t>
    </r>
  </si>
  <si>
    <r>
      <rPr>
        <sz val="11"/>
        <color theme="1"/>
        <rFont val="Calibri"/>
        <family val="2"/>
        <charset val="1"/>
      </rPr>
      <t xml:space="preserve">REPLACEB("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",1,100,"x")</t>
    </r>
  </si>
  <si>
    <r>
      <rPr>
        <sz val="11"/>
        <color theme="1"/>
        <rFont val="Calibri"/>
        <family val="2"/>
        <charset val="1"/>
      </rPr>
      <t xml:space="preserve">REPLACEB("a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b",3,1,"x")</t>
    </r>
  </si>
  <si>
    <r>
      <rPr>
        <sz val="11"/>
        <color theme="1"/>
        <rFont val="Calibri"/>
        <family val="2"/>
        <charset val="1"/>
      </rPr>
      <t xml:space="preserve">REPLACEB("a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b",2,1,"x")</t>
    </r>
  </si>
  <si>
    <r>
      <rPr>
        <sz val="11"/>
        <color theme="1"/>
        <rFont val="Calibri"/>
        <family val="2"/>
        <charset val="1"/>
      </rPr>
      <t xml:space="preserve">REPLACEB("a</t>
    </r>
    <r>
      <rPr>
        <sz val="11"/>
        <color theme="1"/>
        <rFont val="WenQuanYi Zen Hei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b",2,2,"x")</t>
    </r>
  </si>
  <si>
    <t xml:space="preserve">REPLACEB("abcdef",2,3,"X")</t>
  </si>
  <si>
    <t xml:space="preserve">REPLACEB("abc",4,1,"x")</t>
  </si>
  <si>
    <t xml:space="preserve">REPLACEB("abc",3,1,"x")</t>
  </si>
  <si>
    <t xml:space="preserve">REPLACEB("abc",3,2,"x")</t>
  </si>
  <si>
    <t xml:space="preserve">REPLACEB("",1,0,"x")</t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</si>
  <si>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ＡＢＣ１２３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</si>
  <si>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ｱｲｳ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</si>
  <si>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アイウ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</si>
  <si>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ａ　ｂ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</si>
  <si>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ガ</t>
    </r>
    <r>
      <rPr>
        <sz val="11"/>
        <color theme="1"/>
        <rFont val="Calibri"/>
        <family val="2"/>
        <charset val="1"/>
      </rPr>
      <t xml:space="preserve">")</t>
    </r>
  </si>
  <si>
    <t xml:space="preserve">ASC("abc")</t>
  </si>
  <si>
    <t xml:space="preserve">ASC("")</t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</si>
  <si>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￥</t>
    </r>
    <r>
      <rPr>
        <sz val="11"/>
        <color theme="1"/>
        <rFont val="Calibri"/>
        <family val="2"/>
        <charset val="1"/>
      </rPr>
      <t xml:space="preserve">")</t>
    </r>
  </si>
  <si>
    <t xml:space="preserve">ASC(123)</t>
  </si>
  <si>
    <t xml:space="preserve">ASC(NA())</t>
  </si>
  <si>
    <t xml:space="preserve">ASC(Data!D1)</t>
  </si>
  <si>
    <t xml:space="preserve">ASC(TRUE)</t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</si>
  <si>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ｳﾞ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</si>
  <si>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ヴ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</si>
  <si>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</si>
  <si>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</si>
  <si>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￠</t>
    </r>
    <r>
      <rPr>
        <sz val="11"/>
        <color theme="1"/>
        <rFont val="Calibri"/>
        <family val="2"/>
        <charset val="1"/>
      </rPr>
      <t xml:space="preserve">")</t>
    </r>
  </si>
  <si>
    <t xml:space="preserve">ASC("―")</t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</si>
  <si>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゛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</si>
  <si>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パピプペポ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</si>
  <si>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ー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</si>
  <si>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日本語ＡＢＣ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</si>
  <si>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「」、。・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</si>
  <si>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ヷ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</si>
  <si>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ヺ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</si>
  <si>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ASC("</t>
    </r>
    <r>
      <rPr>
        <sz val="11"/>
        <color theme="1"/>
        <rFont val="WenQuanYi Zen Hei"/>
        <family val="2"/>
      </rPr>
      <t xml:space="preserve">ヰ</t>
    </r>
    <r>
      <rPr>
        <sz val="11"/>
        <color theme="1"/>
        <rFont val="Calibri"/>
        <family val="2"/>
        <charset val="1"/>
      </rPr>
      <t xml:space="preserve">")</t>
    </r>
  </si>
  <si>
    <t xml:space="preserve">JIS("ABC123")</t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</si>
  <si>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ｱｲｳ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</si>
  <si>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ｶﾞ</t>
    </r>
    <r>
      <rPr>
        <sz val="11"/>
        <color theme="1"/>
        <rFont val="Calibri"/>
        <family val="2"/>
        <charset val="1"/>
      </rPr>
      <t xml:space="preserve">")</t>
    </r>
  </si>
  <si>
    <t xml:space="preserve">JIS("a b")</t>
  </si>
  <si>
    <t xml:space="preserve">JIS("abc")</t>
  </si>
  <si>
    <t xml:space="preserve">JIS("")</t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</si>
  <si>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ﾊﾟ</t>
    </r>
    <r>
      <rPr>
        <sz val="11"/>
        <color theme="1"/>
        <rFont val="Calibri"/>
        <family val="2"/>
        <charset val="1"/>
      </rPr>
      <t xml:space="preserve">")</t>
    </r>
  </si>
  <si>
    <t xml:space="preserve">JIS("¥")</t>
  </si>
  <si>
    <t xml:space="preserve">JIS(123)</t>
  </si>
  <si>
    <t xml:space="preserve">JIS(NA())</t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</si>
  <si>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ｳﾞ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</si>
  <si>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</si>
  <si>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ｱﾞ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</si>
  <si>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ﾊﾞﾊﾟ</t>
    </r>
    <r>
      <rPr>
        <sz val="11"/>
        <color theme="1"/>
        <rFont val="Calibri"/>
        <family val="2"/>
        <charset val="1"/>
      </rPr>
      <t xml:space="preserve">")</t>
    </r>
  </si>
  <si>
    <t xml:space="preserve">JIS(" ")</t>
  </si>
  <si>
    <t xml:space="preserve">JIS("~")</t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</si>
  <si>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ｦﾞ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</si>
  <si>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ﾜﾞ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</si>
  <si>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ﾊﾞﾟ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</si>
  <si>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ｶﾟ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</si>
  <si>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ｱｲｳｴｵ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</si>
  <si>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ｶｷｸｹｺ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</si>
  <si>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ﾊﾋﾌﾍﾎ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</si>
  <si>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ﾏﾐﾑﾒﾓ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</si>
  <si>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ｰ｡｢｣､･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</si>
  <si>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ｧｨｩｪｫｬｭｮｯ</t>
    </r>
    <r>
      <rPr>
        <sz val="11"/>
        <color theme="1"/>
        <rFont val="Calibri"/>
        <family val="2"/>
        <charset val="1"/>
      </rPr>
      <t xml:space="preserve">")</t>
    </r>
  </si>
  <si>
    <r>
      <rPr>
        <sz val="11"/>
        <color theme="1"/>
        <rFont val="Calibri"/>
        <family val="2"/>
        <charset val="1"/>
      </rPr>
      <t xml:space="preserve">JIS("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abc")</t>
    </r>
  </si>
  <si>
    <t xml:space="preserve">JIS("!")</t>
  </si>
  <si>
    <t xml:space="preserve">JIS("`")</t>
  </si>
  <si>
    <t xml:space="preserve">JIS("é")</t>
  </si>
  <si>
    <t xml:space="preserve">_xlfn.BAHTTEXT(0)</t>
  </si>
  <si>
    <t xml:space="preserve">_xlfn.BAHTTEXT(1)</t>
  </si>
  <si>
    <t xml:space="preserve">_xlfn.BAHTTEXT(2)</t>
  </si>
  <si>
    <t xml:space="preserve">_xlfn.BAHTTEXT(3)</t>
  </si>
  <si>
    <t xml:space="preserve">_xlfn.BAHTTEXT(4)</t>
  </si>
  <si>
    <t xml:space="preserve">_xlfn.BAHTTEXT(5)</t>
  </si>
  <si>
    <t xml:space="preserve">_xlfn.BAHTTEXT(6)</t>
  </si>
  <si>
    <t xml:space="preserve">_xlfn.BAHTTEXT(7)</t>
  </si>
  <si>
    <t xml:space="preserve">_xlfn.BAHTTEXT(8)</t>
  </si>
  <si>
    <t xml:space="preserve">_xlfn.BAHTTEXT(9)</t>
  </si>
  <si>
    <t xml:space="preserve">_xlfn.BAHTTEXT(10)</t>
  </si>
  <si>
    <t xml:space="preserve">_xlfn.BAHTTEXT(11)</t>
  </si>
  <si>
    <t xml:space="preserve">_xlfn.BAHTTEXT(12)</t>
  </si>
  <si>
    <t xml:space="preserve">_xlfn.BAHTTEXT(19)</t>
  </si>
  <si>
    <t xml:space="preserve">_xlfn.BAHTTEXT(20)</t>
  </si>
  <si>
    <t xml:space="preserve">_xlfn.BAHTTEXT(21)</t>
  </si>
  <si>
    <t xml:space="preserve">_xlfn.BAHTTEXT(22)</t>
  </si>
  <si>
    <t xml:space="preserve">_xlfn.BAHTTEXT(29)</t>
  </si>
  <si>
    <t xml:space="preserve">_xlfn.BAHTTEXT(30)</t>
  </si>
  <si>
    <t xml:space="preserve">_xlfn.BAHTTEXT(31)</t>
  </si>
  <si>
    <t xml:space="preserve">_xlfn.BAHTTEXT(41)</t>
  </si>
  <si>
    <t xml:space="preserve">_xlfn.BAHTTEXT(51)</t>
  </si>
  <si>
    <t xml:space="preserve">_xlfn.BAHTTEXT(61)</t>
  </si>
  <si>
    <t xml:space="preserve">_xlfn.BAHTTEXT(71)</t>
  </si>
  <si>
    <t xml:space="preserve">_xlfn.BAHTTEXT(81)</t>
  </si>
  <si>
    <t xml:space="preserve">_xlfn.BAHTTEXT(91)</t>
  </si>
  <si>
    <t xml:space="preserve">_xlfn.BAHTTEXT(99)</t>
  </si>
  <si>
    <t xml:space="preserve">_xlfn.BAHTTEXT(100)</t>
  </si>
  <si>
    <t xml:space="preserve">_xlfn.BAHTTEXT(101)</t>
  </si>
  <si>
    <t xml:space="preserve">_xlfn.BAHTTEXT(102)</t>
  </si>
  <si>
    <t xml:space="preserve">_xlfn.BAHTTEXT(110)</t>
  </si>
  <si>
    <t xml:space="preserve">_xlfn.BAHTTEXT(111)</t>
  </si>
  <si>
    <t xml:space="preserve">_xlfn.BAHTTEXT(112)</t>
  </si>
  <si>
    <t xml:space="preserve">_xlfn.BAHTTEXT(120)</t>
  </si>
  <si>
    <t xml:space="preserve">_xlfn.BAHTTEXT(121)</t>
  </si>
  <si>
    <t xml:space="preserve">_xlfn.BAHTTEXT(200)</t>
  </si>
  <si>
    <t xml:space="preserve">_xlfn.BAHTTEXT(201)</t>
  </si>
  <si>
    <t xml:space="preserve">_xlfn.BAHTTEXT(210)</t>
  </si>
  <si>
    <t xml:space="preserve">_xlfn.BAHTTEXT(211)</t>
  </si>
  <si>
    <t xml:space="preserve">_xlfn.BAHTTEXT(1000)</t>
  </si>
  <si>
    <t xml:space="preserve">_xlfn.BAHTTEXT(1001)</t>
  </si>
  <si>
    <t xml:space="preserve">_xlfn.BAHTTEXT(1010)</t>
  </si>
  <si>
    <t xml:space="preserve">_xlfn.BAHTTEXT(1011)</t>
  </si>
  <si>
    <t xml:space="preserve">_xlfn.BAHTTEXT(1021)</t>
  </si>
  <si>
    <t xml:space="preserve">_xlfn.BAHTTEXT(1100)</t>
  </si>
  <si>
    <t xml:space="preserve">_xlfn.BAHTTEXT(1101)</t>
  </si>
  <si>
    <t xml:space="preserve">_xlfn.BAHTTEXT(1111)</t>
  </si>
  <si>
    <t xml:space="preserve">_xlfn.BAHTTEXT(2000)</t>
  </si>
  <si>
    <t xml:space="preserve">_xlfn.BAHTTEXT(2001)</t>
  </si>
  <si>
    <t xml:space="preserve">_xlfn.BAHTTEXT(9999)</t>
  </si>
  <si>
    <t xml:space="preserve">_xlfn.BAHTTEXT(10000)</t>
  </si>
  <si>
    <t xml:space="preserve">_xlfn.BAHTTEXT(10001)</t>
  </si>
  <si>
    <t xml:space="preserve">_xlfn.BAHTTEXT(10011)</t>
  </si>
  <si>
    <t xml:space="preserve">_xlfn.BAHTTEXT(10101)</t>
  </si>
  <si>
    <t xml:space="preserve">_xlfn.BAHTTEXT(11000)</t>
  </si>
  <si>
    <t xml:space="preserve">_xlfn.BAHTTEXT(100000)</t>
  </si>
  <si>
    <t xml:space="preserve">_xlfn.BAHTTEXT(100001)</t>
  </si>
  <si>
    <t xml:space="preserve">_xlfn.BAHTTEXT(100011)</t>
  </si>
  <si>
    <t xml:space="preserve">_xlfn.BAHTTEXT(110000)</t>
  </si>
  <si>
    <t xml:space="preserve">_xlfn.BAHTTEXT(111111)</t>
  </si>
  <si>
    <t xml:space="preserve">_xlfn.BAHTTEXT(200000)</t>
  </si>
  <si>
    <t xml:space="preserve">_xlfn.BAHTTEXT(999999)</t>
  </si>
  <si>
    <t xml:space="preserve">_xlfn.BAHTTEXT(1000000)</t>
  </si>
  <si>
    <t xml:space="preserve">_xlfn.BAHTTEXT(1000001)</t>
  </si>
  <si>
    <t xml:space="preserve">_xlfn.BAHTTEXT(1000011)</t>
  </si>
  <si>
    <t xml:space="preserve">_xlfn.BAHTTEXT(1000021)</t>
  </si>
  <si>
    <t xml:space="preserve">_xlfn.BAHTTEXT(1000100)</t>
  </si>
  <si>
    <t xml:space="preserve">_xlfn.BAHTTEXT(1010000)</t>
  </si>
  <si>
    <t xml:space="preserve">_xlfn.BAHTTEXT(1100000)</t>
  </si>
  <si>
    <t xml:space="preserve">_xlfn.BAHTTEXT(1500000)</t>
  </si>
  <si>
    <t xml:space="preserve">_xlfn.BAHTTEXT(2000000)</t>
  </si>
  <si>
    <t xml:space="preserve">_xlfn.BAHTTEXT(2000001)</t>
  </si>
  <si>
    <t xml:space="preserve">_xlfn.BAHTTEXT(10000000)</t>
  </si>
  <si>
    <t xml:space="preserve">_xlfn.BAHTTEXT(12345678)</t>
  </si>
  <si>
    <t xml:space="preserve">_xlfn.BAHTTEXT(100000000)</t>
  </si>
  <si>
    <t xml:space="preserve">_xlfn.BAHTTEXT(123456789)</t>
  </si>
  <si>
    <t xml:space="preserve">_xlfn.BAHTTEXT(1000000000)</t>
  </si>
  <si>
    <t xml:space="preserve">_xlfn.BAHTTEXT(1000001000)</t>
  </si>
  <si>
    <t xml:space="preserve">_xlfn.BAHTTEXT(1234567890)</t>
  </si>
  <si>
    <t xml:space="preserve">_xlfn.BAHTTEXT(1000000000000)</t>
  </si>
  <si>
    <t xml:space="preserve">_xlfn.BAHTTEXT(1234567890123)</t>
  </si>
  <si>
    <t xml:space="preserve">_xlfn.BAHTTEXT(999999999999999)</t>
  </si>
  <si>
    <t xml:space="preserve">_xlfn.BAHTTEXT(1000000000000000.0)</t>
  </si>
  <si>
    <t xml:space="preserve">_xlfn.BAHTTEXT(1e+16)</t>
  </si>
  <si>
    <t xml:space="preserve">_xlfn.BAHTTEXT(1e+18)</t>
  </si>
  <si>
    <t xml:space="preserve">_xlfn.BAHTTEXT(1e+21)</t>
  </si>
  <si>
    <t xml:space="preserve">_xlfn.BAHTTEXT(0.01)</t>
  </si>
  <si>
    <t xml:space="preserve">_xlfn.BAHTTEXT(0.02)</t>
  </si>
  <si>
    <t xml:space="preserve">_xlfn.BAHTTEXT(0.1)</t>
  </si>
  <si>
    <t xml:space="preserve">_xlfn.BAHTTEXT(0.11)</t>
  </si>
  <si>
    <t xml:space="preserve">_xlfn.BAHTTEXT(0.21)</t>
  </si>
  <si>
    <t xml:space="preserve">_xlfn.BAHTTEXT(0.99)</t>
  </si>
  <si>
    <t xml:space="preserve">_xlfn.BAHTTEXT(0.999)</t>
  </si>
  <si>
    <t xml:space="preserve">_xlfn.BAHTTEXT(0.995)</t>
  </si>
  <si>
    <t xml:space="preserve">_xlfn.BAHTTEXT(0.994)</t>
  </si>
  <si>
    <t xml:space="preserve">_xlfn.BAHTTEXT(1.005)</t>
  </si>
  <si>
    <t xml:space="preserve">_xlfn.BAHTTEXT(1.234)</t>
  </si>
  <si>
    <t xml:space="preserve">_xlfn.BAHTTEXT(1.5)</t>
  </si>
  <si>
    <t xml:space="preserve">_xlfn.BAHTTEXT(2.5)</t>
  </si>
  <si>
    <t xml:space="preserve">_xlfn.BAHTTEXT(21.21)</t>
  </si>
  <si>
    <t xml:space="preserve">_xlfn.BAHTTEXT(100.01)</t>
  </si>
  <si>
    <t xml:space="preserve">_xlfn.BAHTTEXT(1000.1)</t>
  </si>
  <si>
    <t xml:space="preserve">_xlfn.BAHTTEXT(1234.56)</t>
  </si>
  <si>
    <t xml:space="preserve">_xlfn.BAHTTEXT(-1)</t>
  </si>
  <si>
    <t xml:space="preserve">_xlfn.BAHTTEXT(-0.01)</t>
  </si>
  <si>
    <t xml:space="preserve">_xlfn.BAHTTEXT(-0.5)</t>
  </si>
  <si>
    <t xml:space="preserve">_xlfn.BAHTTEXT(-21)</t>
  </si>
  <si>
    <t xml:space="preserve">_xlfn.BAHTTEXT(-1234.56)</t>
  </si>
  <si>
    <t xml:space="preserve">_xlfn.BAHTTEXT(-0.004)</t>
  </si>
  <si>
    <t xml:space="preserve">_xlfn.BAHTTEXT(-0.005)</t>
  </si>
  <si>
    <t xml:space="preserve">_xlfn.BAHTTEXT(0.004)</t>
  </si>
  <si>
    <t xml:space="preserve">_xlfn.BAHTTEXT(0.005)</t>
  </si>
  <si>
    <t xml:space="preserve">_xlfn.BAHTTEXT(0.0049)</t>
  </si>
  <si>
    <t xml:space="preserve">_xlfn.BAHTTEXT(999999.999)</t>
  </si>
  <si>
    <t xml:space="preserve">_xlfn.BAHTTEXT(99.995)</t>
  </si>
  <si>
    <t xml:space="preserve">_xlfn.BAHTTEXT(1e-10)</t>
  </si>
  <si>
    <t xml:space="preserve">_xlfn.BAHTTEXT(1e+300)</t>
  </si>
  <si>
    <t xml:space="preserve">_xlfn.BAHTTEXT("5")</t>
  </si>
  <si>
    <t xml:space="preserve">_xlfn.BAHTTEXT("x")</t>
  </si>
  <si>
    <t xml:space="preserve">_xlfn.BAHTTEXT("")</t>
  </si>
  <si>
    <t xml:space="preserve">_xlfn.BAHTTEXT(TRUE)</t>
  </si>
  <si>
    <t xml:space="preserve">_xlfn.BAHTTEXT(FALSE)</t>
  </si>
  <si>
    <t xml:space="preserve">_xlfn.BAHTTEXT(Data!D1)</t>
  </si>
  <si>
    <t xml:space="preserve">_xlfn.BAHTTEXT(Data!A1)</t>
  </si>
  <si>
    <t xml:space="preserve">_xlfn.BAHTTEXT(NA())</t>
  </si>
  <si>
    <t xml:space="preserve">_xlfn.BAHTTEXT(DATE(2024,1,15))</t>
  </si>
  <si>
    <t xml:space="preserve">_xlfn.BAHTTEXT(1/3)</t>
  </si>
  <si>
    <t xml:space="preserve">_xlfn.BAHTTEXT(2/3)</t>
  </si>
  <si>
    <t xml:space="preserve">_xlfn.BAHTTEXT(1E+20)</t>
  </si>
  <si>
    <t xml:space="preserve">_xlfn.BAHTTEXT(123456.789)</t>
  </si>
  <si>
    <t xml:space="preserve">_xlfn.BAHTTEXT()</t>
  </si>
  <si>
    <t xml:space="preserve">_xlfn.BAHTTEXT(1,2)</t>
  </si>
  <si>
    <t xml:space="preserve">_xlfn.BAHTTEXT(Data!A1:A3)</t>
  </si>
  <si>
    <t xml:space="preserve">_xlfn.ORG.LIBREOFFICE.REGEX("abc","b")</t>
  </si>
  <si>
    <t xml:space="preserve">_xlfn.ORG.LIBREOFFICE.REGEX("abc","B")</t>
  </si>
  <si>
    <t xml:space="preserve">_xlfn.ORG.LIBREOFFICE.REGEX("ABC","b")</t>
  </si>
  <si>
    <t xml:space="preserve">_xlfn.ORG.LIBREOFFICE.REGEX("abc","b","X")</t>
  </si>
  <si>
    <t xml:space="preserve">_xlfn.ORG.LIBREOFFICE.REGEX("abc","B","X")</t>
  </si>
  <si>
    <t xml:space="preserve">_xlfn.ORG.LIBREOFFICE.REGEX("abc123","[0-9]+")</t>
  </si>
  <si>
    <t xml:space="preserve">_xlfn.ORG.LIBREOFFICE.REGEX("abc123","[0-9]+","X")</t>
  </si>
  <si>
    <t xml:space="preserve">_xlfn.ORG.LIBREOFFICE.REGEX("abc123abc","abc","X",2)</t>
  </si>
  <si>
    <t xml:space="preserve">_xlfn.ORG.LIBREOFFICE.REGEX("abc123abc","abc","X","g")</t>
  </si>
  <si>
    <t xml:space="preserve">_xlfn.ORG.LIBREOFFICE.REGEX("abc","(a)(b)","$2$1")</t>
  </si>
  <si>
    <t xml:space="preserve">_xlfn.ORG.LIBREOFFICE.REGEX("abc","(a)(b)",,2)</t>
  </si>
  <si>
    <t xml:space="preserve">_xlfn.ORG.LIBREOFFICE.REGEX("abc","x")</t>
  </si>
  <si>
    <t xml:space="preserve">_xlfn.ORG.LIBREOFFICE.REGEX("abc","(b)","[$0]")</t>
  </si>
  <si>
    <t xml:space="preserve">_xlfn.ORG.LIBREOFFICE.REGEX("abc","(b)","[$1]")</t>
  </si>
  <si>
    <t xml:space="preserve">_xlfn.ORG.LIBREOFFICE.REGEX("abc","(b)","[$2]")</t>
  </si>
  <si>
    <t xml:space="preserve">_xlfn.ORG.LIBREOFFICE.REGEX("abc","x","[$2]")</t>
  </si>
  <si>
    <t xml:space="preserve">_xlfn.ORG.LIBREOFFICE.REGEX("abc","(b)","[\$1]")</t>
  </si>
  <si>
    <t xml:space="preserve">_xlfn.ORG.LIBREOFFICE.REGEX("abc","b","\$1")</t>
  </si>
  <si>
    <t xml:space="preserve">_xlfn.ORG.LIBREOFFICE.REGEX("abc","b","\")</t>
  </si>
  <si>
    <t xml:space="preserve">_xlfn.ORG.LIBREOFFICE.REGEX("abc","(b)","[$$]")</t>
  </si>
  <si>
    <t xml:space="preserve">_xlfn.ORG.LIBREOFFICE.REGEX("abc","b","$")</t>
  </si>
  <si>
    <t xml:space="preserve">_xlfn.ORG.LIBREOFFICE.REGEX("abc","(b)","$a")</t>
  </si>
  <si>
    <t xml:space="preserve">_xlfn.ORG.LIBREOFFICE.REGEX("abc","(b)","x$")</t>
  </si>
  <si>
    <t xml:space="preserve">_xlfn.ORG.LIBREOFFICE.REGEX("abc","(b)","$10")</t>
  </si>
  <si>
    <t xml:space="preserve">_xlfn.ORG.LIBREOFFICE.REGEX("abc","(b)","$0$0")</t>
  </si>
  <si>
    <t xml:space="preserve">_xlfn.ORG.LIBREOFFICE.REGEX("abc","(b)","$1$1")</t>
  </si>
  <si>
    <t xml:space="preserve">_xlfn.ORG.LIBREOFFICE.REGEX("abcabc","b","X",1)</t>
  </si>
  <si>
    <t xml:space="preserve">_xlfn.ORG.LIBREOFFICE.REGEX("abcabc","b","X",2)</t>
  </si>
  <si>
    <t xml:space="preserve">_xlfn.ORG.LIBREOFFICE.REGEX("abcabc","b","X",3)</t>
  </si>
  <si>
    <t xml:space="preserve">_xlfn.ORG.LIBREOFFICE.REGEX("abcabc","b","X",0)</t>
  </si>
  <si>
    <t xml:space="preserve">_xlfn.ORG.LIBREOFFICE.REGEX("abcabc","b","X",-1)</t>
  </si>
  <si>
    <t xml:space="preserve">_xlfn.ORG.LIBREOFFICE.REGEX("abcabc","b",,2)</t>
  </si>
  <si>
    <t xml:space="preserve">_xlfn.ORG.LIBREOFFICE.REGEX("abcabc","b",,1)</t>
  </si>
  <si>
    <t xml:space="preserve">_xlfn.ORG.LIBREOFFICE.REGEX("abcabc","b",,0)</t>
  </si>
  <si>
    <t xml:space="preserve">_xlfn.ORG.LIBREOFFICE.REGEX("abcabc","b",,3)</t>
  </si>
  <si>
    <t xml:space="preserve">_xlfn.ORG.LIBREOFFICE.REGEX("abcabc","b","X","g")</t>
  </si>
  <si>
    <t xml:space="preserve">_xlfn.ORG.LIBREOFFICE.REGEX("abcabc","b","X","G")</t>
  </si>
  <si>
    <t xml:space="preserve">_xlfn.ORG.LIBREOFFICE.REGEX("abcabc","b","X","x")</t>
  </si>
  <si>
    <t xml:space="preserve">_xlfn.ORG.LIBREOFFICE.REGEX("abcabc","b","X","")</t>
  </si>
  <si>
    <t xml:space="preserve">_xlfn.ORG.LIBREOFFICE.REGEX("abcabc","b","","g")</t>
  </si>
  <si>
    <t xml:space="preserve">_xlfn.ORG.LIBREOFFICE.REGEX("abcabc","b","")</t>
  </si>
  <si>
    <t xml:space="preserve">_xlfn.ORG.LIBREOFFICE.REGEX("abcabc","b",,"g")</t>
  </si>
  <si>
    <t xml:space="preserve">_xlfn.ORG.LIBREOFFICE.REGEX("","a")</t>
  </si>
  <si>
    <t xml:space="preserve">_xlfn.ORG.LIBREOFFICE.REGEX("","a","X")</t>
  </si>
  <si>
    <t xml:space="preserve">_xlfn.ORG.LIBREOFFICE.REGEX("a.c","\.")</t>
  </si>
  <si>
    <t xml:space="preserve">_xlfn.ORG.LIBREOFFICE.REGEX("a.c",".","X","g")</t>
  </si>
  <si>
    <t xml:space="preserve">_xlfn.ORG.LIBREOFFICE.REGEX("aaa","a","b","g")</t>
  </si>
  <si>
    <t xml:space="preserve">_xlfn.ORG.LIBREOFFICE.REGEX("a1b22","\d+","&lt;$0&gt;","g")</t>
  </si>
  <si>
    <t xml:space="preserve">_xlfn.ORG.LIBREOFFICE.REGEX("hello world","(\w+) (\w+)","$2 $1")</t>
  </si>
  <si>
    <t xml:space="preserve">_xlfn.ORG.LIBREOFFICE.REGEX("123","2")</t>
  </si>
  <si>
    <t xml:space="preserve">_xlfn.ORG.LIBREOFFICE.REGEX("abc","b","5")</t>
  </si>
  <si>
    <t xml:space="preserve">_xlfn.ORG.LIBREOFFICE.REGEX("abc","[a-b]+")</t>
  </si>
  <si>
    <t xml:space="preserve">_xlfn.ORG.LIBREOFFICE.REGEX("abc","a|c","X","g")</t>
  </si>
  <si>
    <t xml:space="preserve">_xlfn.ORG.LIBREOFFICE.REGEX("abc","(a)|(c)","[$1$2]","g")</t>
  </si>
  <si>
    <r>
      <rPr>
        <sz val="11"/>
        <color theme="1"/>
        <rFont val="Calibri"/>
        <family val="2"/>
        <charset val="1"/>
      </rPr>
      <t xml:space="preserve">_xlfn.ORG.LIBREOFFICE.REGEX("</t>
    </r>
    <r>
      <rPr>
        <sz val="11"/>
        <color theme="1"/>
        <rFont val="WenQuanYi Zen Hei"/>
        <family val="2"/>
      </rPr>
      <t xml:space="preserve">日本語</t>
    </r>
    <r>
      <rPr>
        <sz val="11"/>
        <color theme="1"/>
        <rFont val="Calibri"/>
        <family val="2"/>
        <charset val="1"/>
      </rPr>
      <t xml:space="preserve">","</t>
    </r>
    <r>
      <rPr>
        <sz val="11"/>
        <color theme="1"/>
        <rFont val="WenQuanYi Zen Hei"/>
        <family val="2"/>
      </rPr>
      <t xml:space="preserve">本</t>
    </r>
    <r>
      <rPr>
        <sz val="11"/>
        <color theme="1"/>
        <rFont val="Calibri"/>
        <family val="2"/>
        <charset val="1"/>
      </rPr>
      <t xml:space="preserve">","X")</t>
    </r>
  </si>
  <si>
    <t xml:space="preserve">_xlfn.ORG.LIBREOFFICE.REGEX("abcabc","(a)(b)(c)","$3$2$1","g")</t>
  </si>
  <si>
    <t xml:space="preserve">_xlfn.ORG.LIBREOFFICE.REGEX("abc","a{1,2}","X")</t>
  </si>
  <si>
    <t xml:space="preserve">_xlfn.ORG.LIBREOFFICE.REGEX("aaa","a{2}","X")</t>
  </si>
  <si>
    <t xml:space="preserve">_xlfn.ORG.LIBREOFFICE.REGEX("aaa","a+?","X","g")</t>
  </si>
  <si>
    <t xml:space="preserve">_xlfn.ORG.LIBREOFFICE.REGEX("abc","[^a]","X","g")</t>
  </si>
  <si>
    <t xml:space="preserve">_xlfn.ORG.LIBREOFFICE.REGEX("é","é","X")</t>
  </si>
  <si>
    <t xml:space="preserve">_xlfn.ORG.LIBREOFFICE.REGEX("É","é","X")</t>
  </si>
  <si>
    <t xml:space="preserve">_xlfn.ORG.LIBREOFFICE.REGEX("a b","a b","X")</t>
  </si>
  <si>
    <t xml:space="preserve">_xlfn.ORG.LIBREOFFICE.REGEX("xay","a","X",2)</t>
  </si>
  <si>
    <t xml:space="preserve">_xlfn.ORG.LIBREOFFICE.REGEX("xay","a","X",1)</t>
  </si>
  <si>
    <t xml:space="preserve">_xlfn.ORG.LIBREOFFICE.REGEX("a,b",",","$0$0")</t>
  </si>
  <si>
    <t xml:space="preserve">_xlfn.ORG.LIBREOFFICE.REGEX("abc","b","$0$0$0","g")</t>
  </si>
  <si>
    <t xml:space="preserve">_xlfn.ORG.LIBREOFFICE.REGEX("a1b2c3","[a-c]\d","&lt;$0&gt;","g")</t>
  </si>
  <si>
    <t xml:space="preserve">_xlfn.ORG.LIBREOFFICE.REGEX("a1b2c3","(?:[a-c])(\d)","$1","g")</t>
  </si>
  <si>
    <t xml:space="preserve">_xlfn.ORG.LIBREOFFICE.REGEX("aaa","a","b",2)</t>
  </si>
  <si>
    <t xml:space="preserve">_xlfn.ORG.LIBREOFFICE.REGEX("aaa","aa","b","g")</t>
  </si>
  <si>
    <t xml:space="preserve">_xlfn.ORG.LIBREOFFICE.REGEX("abab","(ab)+","X")</t>
  </si>
  <si>
    <t xml:space="preserve">_xlfn.ORG.LIBREOFFICE.REGEX("abab","(ab)+?","X")</t>
  </si>
  <si>
    <t xml:space="preserve">_xlfn.ORG.LIBREOFFICE.REGEX("foo.bar","\.","_")</t>
  </si>
  <si>
    <t xml:space="preserve">_xlfn.ORG.LIBREOFFICE.REGEX("foo bar","\s","_")</t>
  </si>
  <si>
    <t xml:space="preserve">_xlfn.ORG.LIBREOFFICE.REGEX("x","x","\$1")</t>
  </si>
  <si>
    <t xml:space="preserve">_xlfn.ORG.LIBREOFFICE.REGEX(NA(),"a")</t>
  </si>
  <si>
    <t xml:space="preserve">_xlfn.ORG.LIBREOFFICE.REGEX("abc",NA())</t>
  </si>
  <si>
    <t xml:space="preserve">_xlfn.ORG.LIBREOFFICE.REGEX(123,"2")</t>
  </si>
  <si>
    <t xml:space="preserve">_xlfn.ORG.LIBREOFFICE.REGEX("abc","b",5)</t>
  </si>
  <si>
    <t xml:space="preserve">_xlfn.ORG.LIBREOFFICE.REGEX("abc","b",TRUE)</t>
  </si>
  <si>
    <t xml:space="preserve">_xlfn.ORG.LIBREOFFICE.REGEX("abc","b","X",TRUE)</t>
  </si>
  <si>
    <t xml:space="preserve">_xlfn.ORG.LIBREOFFICE.REGEX("abc","b","X",1.5)</t>
  </si>
  <si>
    <t xml:space="preserve">_xlfn.ORG.LIBREOFFICE.REGEX("abc","b","X","1")</t>
  </si>
  <si>
    <t xml:space="preserve">_xlfn.ORG.LIBREOFFICE.REGEX("abc")</t>
  </si>
  <si>
    <t xml:space="preserve">_xlfn.ORG.LIBREOFFICE.REGEX("abc","b","X",1,2)</t>
  </si>
  <si>
    <t xml:space="preserve">_xlfn.ORG.LIBREOFFICE.REGEX(Data!B1,"p+")</t>
  </si>
  <si>
    <t xml:space="preserve">_xlfn.ORG.LIBREOFFICE.REGEX(Data!A1,"5")</t>
  </si>
  <si>
    <t xml:space="preserve">_xlfn.ORG.LIBREOFFICE.REGEX(Data!D1,"a","X")</t>
  </si>
  <si>
    <t xml:space="preserve">_xlfn.ORG.LIBREOFFICE.REGEX(Data!B1:B3,"a")</t>
  </si>
  <si>
    <t xml:space="preserve">IMABS("3+4i")</t>
  </si>
  <si>
    <t xml:space="preserve">IMABS("3-4i")</t>
  </si>
  <si>
    <t xml:space="preserve">IMABS("4i")</t>
  </si>
  <si>
    <t xml:space="preserve">IMABS("-4i")</t>
  </si>
  <si>
    <t xml:space="preserve">IMABS("i")</t>
  </si>
  <si>
    <t xml:space="preserve">IMABS("-i")</t>
  </si>
  <si>
    <t xml:space="preserve">IMABS("3")</t>
  </si>
  <si>
    <t xml:space="preserve">IMABS("0")</t>
  </si>
  <si>
    <t xml:space="preserve">IMABS("1+i")</t>
  </si>
  <si>
    <t xml:space="preserve">IMABS("1-i")</t>
  </si>
  <si>
    <t xml:space="preserve">IMABS("-1-i")</t>
  </si>
  <si>
    <t xml:space="preserve">IMABS("2.5+3.5i")</t>
  </si>
  <si>
    <t xml:space="preserve">IMABS("1E2+1E-2i")</t>
  </si>
  <si>
    <t xml:space="preserve">IMABS("3+4j")</t>
  </si>
  <si>
    <t xml:space="preserve">IMABS("j")</t>
  </si>
  <si>
    <t xml:space="preserve">IMABS("-j")</t>
  </si>
  <si>
    <t xml:space="preserve">IMABS("2j")</t>
  </si>
  <si>
    <t xml:space="preserve">IMABS("1+2k")</t>
  </si>
  <si>
    <t xml:space="preserve">IMABS("+3+4i")</t>
  </si>
  <si>
    <t xml:space="preserve">IMABS("3+ 4i")</t>
  </si>
  <si>
    <t xml:space="preserve">IMABS(" 3+4i")</t>
  </si>
  <si>
    <t xml:space="preserve">IMABS("3+4I")</t>
  </si>
  <si>
    <t xml:space="preserve">IMABS("3+4i ")</t>
  </si>
  <si>
    <t xml:space="preserve">IMABS("1+i+j")</t>
  </si>
  <si>
    <t xml:space="preserve">IMABS("abc")</t>
  </si>
  <si>
    <t xml:space="preserve">IMABS("")</t>
  </si>
  <si>
    <t xml:space="preserve">IMABS("i3")</t>
  </si>
  <si>
    <t xml:space="preserve">IMABS("3i+4")</t>
  </si>
  <si>
    <t xml:space="preserve">IMABS("(1+i)")</t>
  </si>
  <si>
    <t xml:space="preserve">IMABS("1.5E300+1E300i")</t>
  </si>
  <si>
    <t xml:space="preserve">IMABS("0+0i")</t>
  </si>
  <si>
    <t xml:space="preserve">IMABS("-0-0i")</t>
  </si>
  <si>
    <t xml:space="preserve">IMABS("1/2+i")</t>
  </si>
  <si>
    <t xml:space="preserve">IMABS("1e1+i")</t>
  </si>
  <si>
    <t xml:space="preserve">IMABS("1+1e1i")</t>
  </si>
  <si>
    <t xml:space="preserve">IMABS(".5+.5i")</t>
  </si>
  <si>
    <t xml:space="preserve">IMABS("5.")</t>
  </si>
  <si>
    <t xml:space="preserve">IMABS("1,5+2i")</t>
  </si>
  <si>
    <t xml:space="preserve">IMABS("3++4i")</t>
  </si>
  <si>
    <t xml:space="preserve">IMABS("3+-4i")</t>
  </si>
  <si>
    <t xml:space="preserve">IMABS("--3")</t>
  </si>
  <si>
    <t xml:space="preserve">IMABS("3i4")</t>
  </si>
  <si>
    <t xml:space="preserve">IMABS("0.1+0.2i")</t>
  </si>
  <si>
    <t xml:space="preserve">IMABS("-2.5")</t>
  </si>
  <si>
    <t xml:space="preserve">IMABS("1E+2i")</t>
  </si>
  <si>
    <t xml:space="preserve">IMABS("1E-2i")</t>
  </si>
  <si>
    <t xml:space="preserve">IMABS("12345678901234567890+1i")</t>
  </si>
  <si>
    <t xml:space="preserve">IMABS("1+i2")</t>
  </si>
  <si>
    <t xml:space="preserve">IMABS("ii")</t>
  </si>
  <si>
    <t xml:space="preserve">IMABS("3 + 4i")</t>
  </si>
  <si>
    <t xml:space="preserve">IMABS("4i+3")</t>
  </si>
  <si>
    <t xml:space="preserve">IMABS("1+0i")</t>
  </si>
  <si>
    <t xml:space="preserve">IMABS("0+1i")</t>
  </si>
  <si>
    <t xml:space="preserve">IMABS("0-1i")</t>
  </si>
  <si>
    <t xml:space="preserve">IMABS("-1+0i")</t>
  </si>
  <si>
    <t xml:space="preserve">IMABS("1e-10+1e-10i")</t>
  </si>
  <si>
    <t xml:space="preserve">IMABS("2+0.0000001i")</t>
  </si>
  <si>
    <t xml:space="preserve">IMABS("TRUE")</t>
  </si>
  <si>
    <t xml:space="preserve">IMABS("1+Ii")</t>
  </si>
  <si>
    <t xml:space="preserve">IMABS(5)</t>
  </si>
  <si>
    <t xml:space="preserve">IMABS(TRUE)</t>
  </si>
  <si>
    <t xml:space="preserve">IMABS(Data!D1)</t>
  </si>
  <si>
    <t xml:space="preserve">IMABS(Data!A1)</t>
  </si>
  <si>
    <t xml:space="preserve">IMABS(Data!B1)</t>
  </si>
  <si>
    <t xml:space="preserve">IMABS(NA())</t>
  </si>
  <si>
    <t xml:space="preserve">IMABS("3+4i",1)</t>
  </si>
  <si>
    <t xml:space="preserve">IMABS()</t>
  </si>
  <si>
    <t xml:space="preserve">IMABS(Data!A1:A3)</t>
  </si>
  <si>
    <t xml:space="preserve">IMABS(-2.5)</t>
  </si>
  <si>
    <t xml:space="preserve">IMABS(1E300)</t>
  </si>
  <si>
    <t xml:space="preserve">IMABS(1E-300)</t>
  </si>
  <si>
    <t xml:space="preserve">IMAGINARY("3+4i")</t>
  </si>
  <si>
    <t xml:space="preserve">IMAGINARY("3-4i")</t>
  </si>
  <si>
    <t xml:space="preserve">IMAGINARY("4i")</t>
  </si>
  <si>
    <t xml:space="preserve">IMAGINARY("-4i")</t>
  </si>
  <si>
    <t xml:space="preserve">IMAGINARY("i")</t>
  </si>
  <si>
    <t xml:space="preserve">IMAGINARY("-i")</t>
  </si>
  <si>
    <t xml:space="preserve">IMAGINARY("3")</t>
  </si>
  <si>
    <t xml:space="preserve">IMAGINARY("0")</t>
  </si>
  <si>
    <t xml:space="preserve">IMAGINARY("1+i")</t>
  </si>
  <si>
    <t xml:space="preserve">IMAGINARY("1-i")</t>
  </si>
  <si>
    <t xml:space="preserve">IMAGINARY("-1-i")</t>
  </si>
  <si>
    <t xml:space="preserve">IMAGINARY("2.5+3.5i")</t>
  </si>
  <si>
    <t xml:space="preserve">IMAGINARY("1E2+1E-2i")</t>
  </si>
  <si>
    <t xml:space="preserve">IMAGINARY("3+4j")</t>
  </si>
  <si>
    <t xml:space="preserve">IMAGINARY("j")</t>
  </si>
  <si>
    <t xml:space="preserve">IMAGINARY("-j")</t>
  </si>
  <si>
    <t xml:space="preserve">IMAGINARY("2j")</t>
  </si>
  <si>
    <t xml:space="preserve">IMAGINARY("1+2k")</t>
  </si>
  <si>
    <t xml:space="preserve">IMAGINARY("+3+4i")</t>
  </si>
  <si>
    <t xml:space="preserve">IMAGINARY("3+ 4i")</t>
  </si>
  <si>
    <t xml:space="preserve">IMAGINARY(" 3+4i")</t>
  </si>
  <si>
    <t xml:space="preserve">IMAGINARY("3+4I")</t>
  </si>
  <si>
    <t xml:space="preserve">IMAGINARY("3+4i ")</t>
  </si>
  <si>
    <t xml:space="preserve">IMAGINARY("1+i+j")</t>
  </si>
  <si>
    <t xml:space="preserve">IMAGINARY("abc")</t>
  </si>
  <si>
    <t xml:space="preserve">IMAGINARY("")</t>
  </si>
  <si>
    <t xml:space="preserve">IMAGINARY("i3")</t>
  </si>
  <si>
    <t xml:space="preserve">IMAGINARY("3i+4")</t>
  </si>
  <si>
    <t xml:space="preserve">IMAGINARY("(1+i)")</t>
  </si>
  <si>
    <t xml:space="preserve">IMAGINARY("1.5E300+1E300i")</t>
  </si>
  <si>
    <t xml:space="preserve">IMAGINARY("0+0i")</t>
  </si>
  <si>
    <t xml:space="preserve">IMAGINARY("-0-0i")</t>
  </si>
  <si>
    <t xml:space="preserve">IMAGINARY("1/2+i")</t>
  </si>
  <si>
    <t xml:space="preserve">IMAGINARY("1e1+i")</t>
  </si>
  <si>
    <t xml:space="preserve">IMAGINARY("1+1e1i")</t>
  </si>
  <si>
    <t xml:space="preserve">IMAGINARY(".5+.5i")</t>
  </si>
  <si>
    <t xml:space="preserve">IMAGINARY("5.")</t>
  </si>
  <si>
    <t xml:space="preserve">IMAGINARY("1,5+2i")</t>
  </si>
  <si>
    <t xml:space="preserve">IMAGINARY("3++4i")</t>
  </si>
  <si>
    <t xml:space="preserve">IMAGINARY("3+-4i")</t>
  </si>
  <si>
    <t xml:space="preserve">IMAGINARY("--3")</t>
  </si>
  <si>
    <t xml:space="preserve">IMAGINARY("3i4")</t>
  </si>
  <si>
    <t xml:space="preserve">IMAGINARY("0.1+0.2i")</t>
  </si>
  <si>
    <t xml:space="preserve">IMAGINARY("-2.5")</t>
  </si>
  <si>
    <t xml:space="preserve">IMAGINARY("1E+2i")</t>
  </si>
  <si>
    <t xml:space="preserve">IMAGINARY("1E-2i")</t>
  </si>
  <si>
    <t xml:space="preserve">IMAGINARY("12345678901234567890+1i")</t>
  </si>
  <si>
    <t xml:space="preserve">IMAGINARY("1+i2")</t>
  </si>
  <si>
    <t xml:space="preserve">IMAGINARY("ii")</t>
  </si>
  <si>
    <t xml:space="preserve">IMAGINARY("3 + 4i")</t>
  </si>
  <si>
    <t xml:space="preserve">IMAGINARY("4i+3")</t>
  </si>
  <si>
    <t xml:space="preserve">IMAGINARY("1+0i")</t>
  </si>
  <si>
    <t xml:space="preserve">IMAGINARY("0+1i")</t>
  </si>
  <si>
    <t xml:space="preserve">IMAGINARY("0-1i")</t>
  </si>
  <si>
    <t xml:space="preserve">IMAGINARY("-1+0i")</t>
  </si>
  <si>
    <t xml:space="preserve">IMAGINARY("1e-10+1e-10i")</t>
  </si>
  <si>
    <t xml:space="preserve">IMAGINARY("2+0.0000001i")</t>
  </si>
  <si>
    <t xml:space="preserve">IMAGINARY("TRUE")</t>
  </si>
  <si>
    <t xml:space="preserve">IMAGINARY("1+Ii")</t>
  </si>
  <si>
    <t xml:space="preserve">IMAGINARY(5)</t>
  </si>
  <si>
    <t xml:space="preserve">IMAGINARY(TRUE)</t>
  </si>
  <si>
    <t xml:space="preserve">IMAGINARY(Data!D1)</t>
  </si>
  <si>
    <t xml:space="preserve">IMAGINARY(Data!A1)</t>
  </si>
  <si>
    <t xml:space="preserve">IMAGINARY(Data!B1)</t>
  </si>
  <si>
    <t xml:space="preserve">IMAGINARY(NA())</t>
  </si>
  <si>
    <t xml:space="preserve">IMAGINARY("3+4i",1)</t>
  </si>
  <si>
    <t xml:space="preserve">IMAGINARY()</t>
  </si>
  <si>
    <t xml:space="preserve">IMAGINARY(Data!A1:A3)</t>
  </si>
  <si>
    <t xml:space="preserve">IMAGINARY(-2.5)</t>
  </si>
  <si>
    <t xml:space="preserve">IMAGINARY(1E300)</t>
  </si>
  <si>
    <t xml:space="preserve">IMAGINARY(1E-300)</t>
  </si>
  <si>
    <t xml:space="preserve">IMREAL("3+4i")</t>
  </si>
  <si>
    <t xml:space="preserve">IMREAL("3-4i")</t>
  </si>
  <si>
    <t xml:space="preserve">IMREAL("4i")</t>
  </si>
  <si>
    <t xml:space="preserve">IMREAL("-4i")</t>
  </si>
  <si>
    <t xml:space="preserve">IMREAL("i")</t>
  </si>
  <si>
    <t xml:space="preserve">IMREAL("-i")</t>
  </si>
  <si>
    <t xml:space="preserve">IMREAL("3")</t>
  </si>
  <si>
    <t xml:space="preserve">IMREAL("0")</t>
  </si>
  <si>
    <t xml:space="preserve">IMREAL("1+i")</t>
  </si>
  <si>
    <t xml:space="preserve">IMREAL("1-i")</t>
  </si>
  <si>
    <t xml:space="preserve">IMREAL("-1-i")</t>
  </si>
  <si>
    <t xml:space="preserve">IMREAL("2.5+3.5i")</t>
  </si>
  <si>
    <t xml:space="preserve">IMREAL("1E2+1E-2i")</t>
  </si>
  <si>
    <t xml:space="preserve">IMREAL("3+4j")</t>
  </si>
  <si>
    <t xml:space="preserve">IMREAL("j")</t>
  </si>
  <si>
    <t xml:space="preserve">IMREAL("-j")</t>
  </si>
  <si>
    <t xml:space="preserve">IMREAL("2j")</t>
  </si>
  <si>
    <t xml:space="preserve">IMREAL("1+2k")</t>
  </si>
  <si>
    <t xml:space="preserve">IMREAL("+3+4i")</t>
  </si>
  <si>
    <t xml:space="preserve">IMREAL("3+ 4i")</t>
  </si>
  <si>
    <t xml:space="preserve">IMREAL(" 3+4i")</t>
  </si>
  <si>
    <t xml:space="preserve">IMREAL("3+4I")</t>
  </si>
  <si>
    <t xml:space="preserve">IMREAL("3+4i ")</t>
  </si>
  <si>
    <t xml:space="preserve">IMREAL("1+i+j")</t>
  </si>
  <si>
    <t xml:space="preserve">IMREAL("abc")</t>
  </si>
  <si>
    <t xml:space="preserve">IMREAL("")</t>
  </si>
  <si>
    <t xml:space="preserve">IMREAL("i3")</t>
  </si>
  <si>
    <t xml:space="preserve">IMREAL("3i+4")</t>
  </si>
  <si>
    <t xml:space="preserve">IMREAL("(1+i)")</t>
  </si>
  <si>
    <t xml:space="preserve">IMREAL("1.5E300+1E300i")</t>
  </si>
  <si>
    <t xml:space="preserve">IMREAL("0+0i")</t>
  </si>
  <si>
    <t xml:space="preserve">IMREAL("-0-0i")</t>
  </si>
  <si>
    <t xml:space="preserve">IMREAL("1/2+i")</t>
  </si>
  <si>
    <t xml:space="preserve">IMREAL("1e1+i")</t>
  </si>
  <si>
    <t xml:space="preserve">IMREAL("1+1e1i")</t>
  </si>
  <si>
    <t xml:space="preserve">IMREAL(".5+.5i")</t>
  </si>
  <si>
    <t xml:space="preserve">IMREAL("5.")</t>
  </si>
  <si>
    <t xml:space="preserve">IMREAL("1,5+2i")</t>
  </si>
  <si>
    <t xml:space="preserve">IMREAL("3++4i")</t>
  </si>
  <si>
    <t xml:space="preserve">IMREAL("3+-4i")</t>
  </si>
  <si>
    <t xml:space="preserve">IMREAL("--3")</t>
  </si>
  <si>
    <t xml:space="preserve">IMREAL("3i4")</t>
  </si>
  <si>
    <t xml:space="preserve">IMREAL("0.1+0.2i")</t>
  </si>
  <si>
    <t xml:space="preserve">IMREAL("-2.5")</t>
  </si>
  <si>
    <t xml:space="preserve">IMREAL("1E+2i")</t>
  </si>
  <si>
    <t xml:space="preserve">IMREAL("1E-2i")</t>
  </si>
  <si>
    <t xml:space="preserve">IMREAL("12345678901234567890+1i")</t>
  </si>
  <si>
    <t xml:space="preserve">IMREAL("1+i2")</t>
  </si>
  <si>
    <t xml:space="preserve">IMREAL("ii")</t>
  </si>
  <si>
    <t xml:space="preserve">IMREAL("3 + 4i")</t>
  </si>
  <si>
    <t xml:space="preserve">IMREAL("4i+3")</t>
  </si>
  <si>
    <t xml:space="preserve">IMREAL("1+0i")</t>
  </si>
  <si>
    <t xml:space="preserve">IMREAL("0+1i")</t>
  </si>
  <si>
    <t xml:space="preserve">IMREAL("0-1i")</t>
  </si>
  <si>
    <t xml:space="preserve">IMREAL("-1+0i")</t>
  </si>
  <si>
    <t xml:space="preserve">IMREAL("1e-10+1e-10i")</t>
  </si>
  <si>
    <t xml:space="preserve">IMREAL("2+0.0000001i")</t>
  </si>
  <si>
    <t xml:space="preserve">IMREAL("TRUE")</t>
  </si>
  <si>
    <t xml:space="preserve">IMREAL("1+Ii")</t>
  </si>
  <si>
    <t xml:space="preserve">IMREAL(5)</t>
  </si>
  <si>
    <t xml:space="preserve">IMREAL(TRUE)</t>
  </si>
  <si>
    <t xml:space="preserve">IMREAL(Data!D1)</t>
  </si>
  <si>
    <t xml:space="preserve">IMREAL(Data!A1)</t>
  </si>
  <si>
    <t xml:space="preserve">IMREAL(Data!B1)</t>
  </si>
  <si>
    <t xml:space="preserve">IMREAL(NA())</t>
  </si>
  <si>
    <t xml:space="preserve">IMREAL("3+4i",1)</t>
  </si>
  <si>
    <t xml:space="preserve">IMREAL()</t>
  </si>
  <si>
    <t xml:space="preserve">IMREAL(Data!A1:A3)</t>
  </si>
  <si>
    <t xml:space="preserve">IMREAL(-2.5)</t>
  </si>
  <si>
    <t xml:space="preserve">IMREAL(1E300)</t>
  </si>
  <si>
    <t xml:space="preserve">IMREAL(1E-300)</t>
  </si>
  <si>
    <t xml:space="preserve">IMARGUMENT("3+4i")</t>
  </si>
  <si>
    <t xml:space="preserve">IMARGUMENT("3-4i")</t>
  </si>
  <si>
    <t xml:space="preserve">IMARGUMENT("4i")</t>
  </si>
  <si>
    <t xml:space="preserve">IMARGUMENT("-4i")</t>
  </si>
  <si>
    <t xml:space="preserve">IMARGUMENT("i")</t>
  </si>
  <si>
    <t xml:space="preserve">IMARGUMENT("-i")</t>
  </si>
  <si>
    <t xml:space="preserve">IMARGUMENT("3")</t>
  </si>
  <si>
    <t xml:space="preserve">IMARGUMENT("0")</t>
  </si>
  <si>
    <t xml:space="preserve">IMARGUMENT("1+i")</t>
  </si>
  <si>
    <t xml:space="preserve">IMARGUMENT("1-i")</t>
  </si>
  <si>
    <t xml:space="preserve">IMARGUMENT("-1-i")</t>
  </si>
  <si>
    <t xml:space="preserve">IMARGUMENT("2.5+3.5i")</t>
  </si>
  <si>
    <t xml:space="preserve">IMARGUMENT("1E2+1E-2i")</t>
  </si>
  <si>
    <t xml:space="preserve">IMARGUMENT("3+4j")</t>
  </si>
  <si>
    <t xml:space="preserve">IMARGUMENT("j")</t>
  </si>
  <si>
    <t xml:space="preserve">IMARGUMENT("-j")</t>
  </si>
  <si>
    <t xml:space="preserve">IMARGUMENT("2j")</t>
  </si>
  <si>
    <t xml:space="preserve">IMARGUMENT("1+2k")</t>
  </si>
  <si>
    <t xml:space="preserve">IMARGUMENT("+3+4i")</t>
  </si>
  <si>
    <t xml:space="preserve">IMARGUMENT("3+ 4i")</t>
  </si>
  <si>
    <t xml:space="preserve">IMARGUMENT(" 3+4i")</t>
  </si>
  <si>
    <t xml:space="preserve">IMARGUMENT("3+4I")</t>
  </si>
  <si>
    <t xml:space="preserve">IMARGUMENT("3+4i ")</t>
  </si>
  <si>
    <t xml:space="preserve">IMARGUMENT("1+i+j")</t>
  </si>
  <si>
    <t xml:space="preserve">IMARGUMENT("abc")</t>
  </si>
  <si>
    <t xml:space="preserve">IMARGUMENT("")</t>
  </si>
  <si>
    <t xml:space="preserve">IMARGUMENT("i3")</t>
  </si>
  <si>
    <t xml:space="preserve">IMARGUMENT("3i+4")</t>
  </si>
  <si>
    <t xml:space="preserve">IMARGUMENT("(1+i)")</t>
  </si>
  <si>
    <t xml:space="preserve">IMARGUMENT("1.5E300+1E300i")</t>
  </si>
  <si>
    <t xml:space="preserve">IMARGUMENT("0+0i")</t>
  </si>
  <si>
    <t xml:space="preserve">IMARGUMENT("-0-0i")</t>
  </si>
  <si>
    <t xml:space="preserve">IMARGUMENT("1/2+i")</t>
  </si>
  <si>
    <t xml:space="preserve">IMARGUMENT("1e1+i")</t>
  </si>
  <si>
    <t xml:space="preserve">IMARGUMENT("1+1e1i")</t>
  </si>
  <si>
    <t xml:space="preserve">IMARGUMENT(".5+.5i")</t>
  </si>
  <si>
    <t xml:space="preserve">IMARGUMENT("5.")</t>
  </si>
  <si>
    <t xml:space="preserve">IMARGUMENT("1,5+2i")</t>
  </si>
  <si>
    <t xml:space="preserve">IMARGUMENT("3++4i")</t>
  </si>
  <si>
    <t xml:space="preserve">IMARGUMENT("3+-4i")</t>
  </si>
  <si>
    <t xml:space="preserve">IMARGUMENT("--3")</t>
  </si>
  <si>
    <t xml:space="preserve">IMARGUMENT("3i4")</t>
  </si>
  <si>
    <t xml:space="preserve">IMARGUMENT("0.1+0.2i")</t>
  </si>
  <si>
    <t xml:space="preserve">IMARGUMENT("-2.5")</t>
  </si>
  <si>
    <t xml:space="preserve">IMARGUMENT("1E+2i")</t>
  </si>
  <si>
    <t xml:space="preserve">IMARGUMENT("1E-2i")</t>
  </si>
  <si>
    <t xml:space="preserve">IMARGUMENT("12345678901234567890+1i")</t>
  </si>
  <si>
    <t xml:space="preserve">IMARGUMENT("1+i2")</t>
  </si>
  <si>
    <t xml:space="preserve">IMARGUMENT("ii")</t>
  </si>
  <si>
    <t xml:space="preserve">IMARGUMENT("3 + 4i")</t>
  </si>
  <si>
    <t xml:space="preserve">IMARGUMENT("4i+3")</t>
  </si>
  <si>
    <t xml:space="preserve">IMARGUMENT("1+0i")</t>
  </si>
  <si>
    <t xml:space="preserve">IMARGUMENT("0+1i")</t>
  </si>
  <si>
    <t xml:space="preserve">IMARGUMENT("0-1i")</t>
  </si>
  <si>
    <t xml:space="preserve">IMARGUMENT("-1+0i")</t>
  </si>
  <si>
    <t xml:space="preserve">IMARGUMENT("1e-10+1e-10i")</t>
  </si>
  <si>
    <t xml:space="preserve">IMARGUMENT("2+0.0000001i")</t>
  </si>
  <si>
    <t xml:space="preserve">IMARGUMENT("TRUE")</t>
  </si>
  <si>
    <t xml:space="preserve">IMARGUMENT("1+Ii")</t>
  </si>
  <si>
    <t xml:space="preserve">IMARGUMENT(5)</t>
  </si>
  <si>
    <t xml:space="preserve">IMARGUMENT(TRUE)</t>
  </si>
  <si>
    <t xml:space="preserve">IMARGUMENT(Data!D1)</t>
  </si>
  <si>
    <t xml:space="preserve">IMARGUMENT(Data!A1)</t>
  </si>
  <si>
    <t xml:space="preserve">IMARGUMENT(Data!B1)</t>
  </si>
  <si>
    <t xml:space="preserve">IMARGUMENT(NA())</t>
  </si>
  <si>
    <t xml:space="preserve">IMARGUMENT("3+4i",1)</t>
  </si>
  <si>
    <t xml:space="preserve">IMARGUMENT()</t>
  </si>
  <si>
    <t xml:space="preserve">IMARGUMENT(Data!A1:A3)</t>
  </si>
  <si>
    <t xml:space="preserve">IMARGUMENT(-2.5)</t>
  </si>
  <si>
    <t xml:space="preserve">IMARGUMENT(1E300)</t>
  </si>
  <si>
    <t xml:space="preserve">IMARGUMENT(1E-300)</t>
  </si>
  <si>
    <t xml:space="preserve">IMCONJUGATE("3+4i")</t>
  </si>
  <si>
    <t xml:space="preserve">IMCONJUGATE("3-4i")</t>
  </si>
  <si>
    <t xml:space="preserve">IMCONJUGATE("4i")</t>
  </si>
  <si>
    <t xml:space="preserve">IMCONJUGATE("-4i")</t>
  </si>
  <si>
    <t xml:space="preserve">IMCONJUGATE("i")</t>
  </si>
  <si>
    <t xml:space="preserve">IMCONJUGATE("-i")</t>
  </si>
  <si>
    <t xml:space="preserve">IMCONJUGATE("3")</t>
  </si>
  <si>
    <t xml:space="preserve">IMCONJUGATE("0")</t>
  </si>
  <si>
    <t xml:space="preserve">IMCONJUGATE("1+i")</t>
  </si>
  <si>
    <t xml:space="preserve">IMCONJUGATE("1-i")</t>
  </si>
  <si>
    <t xml:space="preserve">IMCONJUGATE("-1-i")</t>
  </si>
  <si>
    <t xml:space="preserve">IMCONJUGATE("2.5+3.5i")</t>
  </si>
  <si>
    <t xml:space="preserve">IMCONJUGATE("1E2+1E-2i")</t>
  </si>
  <si>
    <t xml:space="preserve">IMCONJUGATE("3+4j")</t>
  </si>
  <si>
    <t xml:space="preserve">IMCONJUGATE("j")</t>
  </si>
  <si>
    <t xml:space="preserve">IMCONJUGATE("-j")</t>
  </si>
  <si>
    <t xml:space="preserve">IMCONJUGATE("2j")</t>
  </si>
  <si>
    <t xml:space="preserve">IMCONJUGATE("1+2k")</t>
  </si>
  <si>
    <t xml:space="preserve">IMCONJUGATE("+3+4i")</t>
  </si>
  <si>
    <t xml:space="preserve">IMCONJUGATE("3+ 4i")</t>
  </si>
  <si>
    <t xml:space="preserve">IMCONJUGATE(" 3+4i")</t>
  </si>
  <si>
    <t xml:space="preserve">IMCONJUGATE("3+4I")</t>
  </si>
  <si>
    <t xml:space="preserve">IMCONJUGATE("3+4i ")</t>
  </si>
  <si>
    <t xml:space="preserve">IMCONJUGATE("1+i+j")</t>
  </si>
  <si>
    <t xml:space="preserve">IMCONJUGATE("abc")</t>
  </si>
  <si>
    <t xml:space="preserve">IMCONJUGATE("")</t>
  </si>
  <si>
    <t xml:space="preserve">IMCONJUGATE("i3")</t>
  </si>
  <si>
    <t xml:space="preserve">IMCONJUGATE("3i+4")</t>
  </si>
  <si>
    <t xml:space="preserve">IMCONJUGATE("(1+i)")</t>
  </si>
  <si>
    <t xml:space="preserve">IMCONJUGATE("1.5E300+1E300i")</t>
  </si>
  <si>
    <t xml:space="preserve">IMCONJUGATE("0+0i")</t>
  </si>
  <si>
    <t xml:space="preserve">IMCONJUGATE("-0-0i")</t>
  </si>
  <si>
    <t xml:space="preserve">IMCONJUGATE("1/2+i")</t>
  </si>
  <si>
    <t xml:space="preserve">IMCONJUGATE("1e1+i")</t>
  </si>
  <si>
    <t xml:space="preserve">IMCONJUGATE("1+1e1i")</t>
  </si>
  <si>
    <t xml:space="preserve">IMCONJUGATE(".5+.5i")</t>
  </si>
  <si>
    <t xml:space="preserve">IMCONJUGATE("5.")</t>
  </si>
  <si>
    <t xml:space="preserve">IMCONJUGATE("1,5+2i")</t>
  </si>
  <si>
    <t xml:space="preserve">IMCONJUGATE("3++4i")</t>
  </si>
  <si>
    <t xml:space="preserve">IMCONJUGATE("3+-4i")</t>
  </si>
  <si>
    <t xml:space="preserve">IMCONJUGATE("--3")</t>
  </si>
  <si>
    <t xml:space="preserve">IMCONJUGATE("3i4")</t>
  </si>
  <si>
    <t xml:space="preserve">IMCONJUGATE("0.1+0.2i")</t>
  </si>
  <si>
    <t xml:space="preserve">IMCONJUGATE("-2.5")</t>
  </si>
  <si>
    <t xml:space="preserve">IMCONJUGATE("1E+2i")</t>
  </si>
  <si>
    <t xml:space="preserve">IMCONJUGATE("1E-2i")</t>
  </si>
  <si>
    <t xml:space="preserve">IMCONJUGATE("12345678901234567890+1i")</t>
  </si>
  <si>
    <t xml:space="preserve">IMCONJUGATE("1+i2")</t>
  </si>
  <si>
    <t xml:space="preserve">IMCONJUGATE("ii")</t>
  </si>
  <si>
    <t xml:space="preserve">IMCONJUGATE("3 + 4i")</t>
  </si>
  <si>
    <t xml:space="preserve">IMCONJUGATE("4i+3")</t>
  </si>
  <si>
    <t xml:space="preserve">IMCONJUGATE("1+0i")</t>
  </si>
  <si>
    <t xml:space="preserve">IMCONJUGATE("0+1i")</t>
  </si>
  <si>
    <t xml:space="preserve">IMCONJUGATE("0-1i")</t>
  </si>
  <si>
    <t xml:space="preserve">IMCONJUGATE("-1+0i")</t>
  </si>
  <si>
    <t xml:space="preserve">IMCONJUGATE("1e-10+1e-10i")</t>
  </si>
  <si>
    <t xml:space="preserve">IMCONJUGATE("2+0.0000001i")</t>
  </si>
  <si>
    <t xml:space="preserve">IMCONJUGATE("TRUE")</t>
  </si>
  <si>
    <t xml:space="preserve">IMCONJUGATE("1+Ii")</t>
  </si>
  <si>
    <t xml:space="preserve">IMCONJUGATE(5)</t>
  </si>
  <si>
    <t xml:space="preserve">IMCONJUGATE(TRUE)</t>
  </si>
  <si>
    <t xml:space="preserve">IMCONJUGATE(Data!D1)</t>
  </si>
  <si>
    <t xml:space="preserve">IMCONJUGATE(Data!A1)</t>
  </si>
  <si>
    <t xml:space="preserve">IMCONJUGATE(Data!B1)</t>
  </si>
  <si>
    <t xml:space="preserve">IMCONJUGATE(NA())</t>
  </si>
  <si>
    <t xml:space="preserve">IMCONJUGATE("3+4i",1)</t>
  </si>
  <si>
    <t xml:space="preserve">IMCONJUGATE()</t>
  </si>
  <si>
    <t xml:space="preserve">IMCONJUGATE(Data!A1:A3)</t>
  </si>
  <si>
    <t xml:space="preserve">IMCONJUGATE(-2.5)</t>
  </si>
  <si>
    <t xml:space="preserve">IMCONJUGATE(1E300)</t>
  </si>
  <si>
    <t xml:space="preserve">IMCONJUGATE(1E-300)</t>
  </si>
  <si>
    <t xml:space="preserve">IMSQRT("3+4i")</t>
  </si>
  <si>
    <t xml:space="preserve">IMSQRT("3-4i")</t>
  </si>
  <si>
    <t xml:space="preserve">IMSQRT("4i")</t>
  </si>
  <si>
    <t xml:space="preserve">IMSQRT("-4i")</t>
  </si>
  <si>
    <t xml:space="preserve">IMSQRT("i")</t>
  </si>
  <si>
    <t xml:space="preserve">IMSQRT("-i")</t>
  </si>
  <si>
    <t xml:space="preserve">IMSQRT("3")</t>
  </si>
  <si>
    <t xml:space="preserve">IMSQRT("0")</t>
  </si>
  <si>
    <t xml:space="preserve">IMSQRT("1+i")</t>
  </si>
  <si>
    <t xml:space="preserve">IMSQRT("1-i")</t>
  </si>
  <si>
    <t xml:space="preserve">IMSQRT("-1-i")</t>
  </si>
  <si>
    <t xml:space="preserve">IMSQRT("2.5+3.5i")</t>
  </si>
  <si>
    <t xml:space="preserve">IMSQRT("1E2+1E-2i")</t>
  </si>
  <si>
    <t xml:space="preserve">IMSQRT("3+4j")</t>
  </si>
  <si>
    <t xml:space="preserve">IMSQRT("j")</t>
  </si>
  <si>
    <t xml:space="preserve">IMSQRT("-j")</t>
  </si>
  <si>
    <t xml:space="preserve">IMSQRT("2j")</t>
  </si>
  <si>
    <t xml:space="preserve">IMSQRT("1+2k")</t>
  </si>
  <si>
    <t xml:space="preserve">IMSQRT("+3+4i")</t>
  </si>
  <si>
    <t xml:space="preserve">IMSQRT("3+ 4i")</t>
  </si>
  <si>
    <t xml:space="preserve">IMSQRT(" 3+4i")</t>
  </si>
  <si>
    <t xml:space="preserve">IMSQRT("3+4I")</t>
  </si>
  <si>
    <t xml:space="preserve">IMSQRT("3+4i ")</t>
  </si>
  <si>
    <t xml:space="preserve">IMSQRT("1+i+j")</t>
  </si>
  <si>
    <t xml:space="preserve">IMSQRT("abc")</t>
  </si>
  <si>
    <t xml:space="preserve">IMSQRT("")</t>
  </si>
  <si>
    <t xml:space="preserve">IMSQRT("i3")</t>
  </si>
  <si>
    <t xml:space="preserve">IMSQRT("3i+4")</t>
  </si>
  <si>
    <t xml:space="preserve">IMSQRT("(1+i)")</t>
  </si>
  <si>
    <t xml:space="preserve">IMSQRT("1.5E300+1E300i")</t>
  </si>
  <si>
    <t xml:space="preserve">IMSQRT("0+0i")</t>
  </si>
  <si>
    <t xml:space="preserve">IMSQRT("-0-0i")</t>
  </si>
  <si>
    <t xml:space="preserve">IMSQRT("1/2+i")</t>
  </si>
  <si>
    <t xml:space="preserve">IMSQRT("1e1+i")</t>
  </si>
  <si>
    <t xml:space="preserve">IMSQRT("1+1e1i")</t>
  </si>
  <si>
    <t xml:space="preserve">IMSQRT(".5+.5i")</t>
  </si>
  <si>
    <t xml:space="preserve">IMSQRT("5.")</t>
  </si>
  <si>
    <t xml:space="preserve">IMSQRT("1,5+2i")</t>
  </si>
  <si>
    <t xml:space="preserve">IMSQRT("3++4i")</t>
  </si>
  <si>
    <t xml:space="preserve">IMSQRT("3+-4i")</t>
  </si>
  <si>
    <t xml:space="preserve">IMSQRT("--3")</t>
  </si>
  <si>
    <t xml:space="preserve">IMSQRT("3i4")</t>
  </si>
  <si>
    <t xml:space="preserve">IMSQRT("0.1+0.2i")</t>
  </si>
  <si>
    <t xml:space="preserve">IMSQRT("-2.5")</t>
  </si>
  <si>
    <t xml:space="preserve">IMSQRT("1E+2i")</t>
  </si>
  <si>
    <t xml:space="preserve">IMSQRT("1E-2i")</t>
  </si>
  <si>
    <t xml:space="preserve">IMSQRT("12345678901234567890+1i")</t>
  </si>
  <si>
    <t xml:space="preserve">IMSQRT("1+i2")</t>
  </si>
  <si>
    <t xml:space="preserve">IMSQRT("ii")</t>
  </si>
  <si>
    <t xml:space="preserve">IMSQRT("3 + 4i")</t>
  </si>
  <si>
    <t xml:space="preserve">IMSQRT("4i+3")</t>
  </si>
  <si>
    <t xml:space="preserve">IMSQRT("1+0i")</t>
  </si>
  <si>
    <t xml:space="preserve">IMSQRT("0+1i")</t>
  </si>
  <si>
    <t xml:space="preserve">IMSQRT("0-1i")</t>
  </si>
  <si>
    <t xml:space="preserve">IMSQRT("-1+0i")</t>
  </si>
  <si>
    <t xml:space="preserve">IMSQRT("1e-10+1e-10i")</t>
  </si>
  <si>
    <t xml:space="preserve">IMSQRT("2+0.0000001i")</t>
  </si>
  <si>
    <t xml:space="preserve">IMSQRT("TRUE")</t>
  </si>
  <si>
    <t xml:space="preserve">IMSQRT("1+Ii")</t>
  </si>
  <si>
    <t xml:space="preserve">IMSQRT(5)</t>
  </si>
  <si>
    <t xml:space="preserve">IMSQRT(TRUE)</t>
  </si>
  <si>
    <t xml:space="preserve">IMSQRT(Data!D1)</t>
  </si>
  <si>
    <t xml:space="preserve">IMSQRT(Data!A1)</t>
  </si>
  <si>
    <t xml:space="preserve">IMSQRT(Data!B1)</t>
  </si>
  <si>
    <t xml:space="preserve">IMSQRT(NA())</t>
  </si>
  <si>
    <t xml:space="preserve">IMSQRT("3+4i",1)</t>
  </si>
  <si>
    <t xml:space="preserve">IMSQRT()</t>
  </si>
  <si>
    <t xml:space="preserve">IMSQRT(Data!A1:A3)</t>
  </si>
  <si>
    <t xml:space="preserve">IMSQRT(-2.5)</t>
  </si>
  <si>
    <t xml:space="preserve">IMSQRT(1E300)</t>
  </si>
  <si>
    <t xml:space="preserve">IMSQRT(1E-300)</t>
  </si>
  <si>
    <t xml:space="preserve">IMEXP("3+4i")</t>
  </si>
  <si>
    <t xml:space="preserve">IMEXP("3-4i")</t>
  </si>
  <si>
    <t xml:space="preserve">IMEXP("4i")</t>
  </si>
  <si>
    <t xml:space="preserve">IMEXP("-4i")</t>
  </si>
  <si>
    <t xml:space="preserve">IMEXP("i")</t>
  </si>
  <si>
    <t xml:space="preserve">IMEXP("-i")</t>
  </si>
  <si>
    <t xml:space="preserve">IMEXP("3")</t>
  </si>
  <si>
    <t xml:space="preserve">IMEXP("0")</t>
  </si>
  <si>
    <t xml:space="preserve">IMEXP("1+i")</t>
  </si>
  <si>
    <t xml:space="preserve">IMEXP("1-i")</t>
  </si>
  <si>
    <t xml:space="preserve">IMEXP("-1-i")</t>
  </si>
  <si>
    <t xml:space="preserve">IMEXP("2.5+3.5i")</t>
  </si>
  <si>
    <t xml:space="preserve">IMEXP("1E2+1E-2i")</t>
  </si>
  <si>
    <t xml:space="preserve">IMEXP("3+4j")</t>
  </si>
  <si>
    <t xml:space="preserve">IMEXP("j")</t>
  </si>
  <si>
    <t xml:space="preserve">IMEXP("-j")</t>
  </si>
  <si>
    <t xml:space="preserve">IMEXP("2j")</t>
  </si>
  <si>
    <t xml:space="preserve">IMEXP("1+2k")</t>
  </si>
  <si>
    <t xml:space="preserve">IMEXP("+3+4i")</t>
  </si>
  <si>
    <t xml:space="preserve">IMEXP("3+ 4i")</t>
  </si>
  <si>
    <t xml:space="preserve">IMEXP(" 3+4i")</t>
  </si>
  <si>
    <t xml:space="preserve">IMEXP("3+4I")</t>
  </si>
  <si>
    <t xml:space="preserve">IMEXP("3+4i ")</t>
  </si>
  <si>
    <t xml:space="preserve">IMEXP("1+i+j")</t>
  </si>
  <si>
    <t xml:space="preserve">IMEXP("abc")</t>
  </si>
  <si>
    <t xml:space="preserve">IMEXP("")</t>
  </si>
  <si>
    <t xml:space="preserve">IMEXP("i3")</t>
  </si>
  <si>
    <t xml:space="preserve">IMEXP("3i+4")</t>
  </si>
  <si>
    <t xml:space="preserve">IMEXP("(1+i)")</t>
  </si>
  <si>
    <t xml:space="preserve">IMEXP("1.5E300+1E300i")</t>
  </si>
  <si>
    <t xml:space="preserve">IMEXP("0+0i")</t>
  </si>
  <si>
    <t xml:space="preserve">IMEXP("-0-0i")</t>
  </si>
  <si>
    <t xml:space="preserve">IMEXP("1/2+i")</t>
  </si>
  <si>
    <t xml:space="preserve">IMEXP("1e1+i")</t>
  </si>
  <si>
    <t xml:space="preserve">IMEXP("1+1e1i")</t>
  </si>
  <si>
    <t xml:space="preserve">IMEXP(".5+.5i")</t>
  </si>
  <si>
    <t xml:space="preserve">IMEXP("5.")</t>
  </si>
  <si>
    <t xml:space="preserve">IMEXP("1,5+2i")</t>
  </si>
  <si>
    <t xml:space="preserve">IMEXP("3++4i")</t>
  </si>
  <si>
    <t xml:space="preserve">IMEXP("3+-4i")</t>
  </si>
  <si>
    <t xml:space="preserve">IMEXP("--3")</t>
  </si>
  <si>
    <t xml:space="preserve">IMEXP("3i4")</t>
  </si>
  <si>
    <t xml:space="preserve">IMEXP("0.1+0.2i")</t>
  </si>
  <si>
    <t xml:space="preserve">IMEXP("-2.5")</t>
  </si>
  <si>
    <t xml:space="preserve">IMEXP("1E+2i")</t>
  </si>
  <si>
    <t xml:space="preserve">IMEXP("1E-2i")</t>
  </si>
  <si>
    <t xml:space="preserve">IMEXP("12345678901234567890+1i")</t>
  </si>
  <si>
    <t xml:space="preserve">IMEXP("1+i2")</t>
  </si>
  <si>
    <t xml:space="preserve">IMEXP("ii")</t>
  </si>
  <si>
    <t xml:space="preserve">IMEXP("3 + 4i")</t>
  </si>
  <si>
    <t xml:space="preserve">IMEXP("4i+3")</t>
  </si>
  <si>
    <t xml:space="preserve">IMEXP("1+0i")</t>
  </si>
  <si>
    <t xml:space="preserve">IMEXP("0+1i")</t>
  </si>
  <si>
    <t xml:space="preserve">IMEXP("0-1i")</t>
  </si>
  <si>
    <t xml:space="preserve">IMEXP("-1+0i")</t>
  </si>
  <si>
    <t xml:space="preserve">IMEXP("1e-10+1e-10i")</t>
  </si>
  <si>
    <t xml:space="preserve">IMEXP("2+0.0000001i")</t>
  </si>
  <si>
    <t xml:space="preserve">IMEXP("TRUE")</t>
  </si>
  <si>
    <t xml:space="preserve">IMEXP("1+Ii")</t>
  </si>
  <si>
    <t xml:space="preserve">IMEXP(5)</t>
  </si>
  <si>
    <t xml:space="preserve">IMEXP(TRUE)</t>
  </si>
  <si>
    <t xml:space="preserve">IMEXP(Data!D1)</t>
  </si>
  <si>
    <t xml:space="preserve">IMEXP(Data!A1)</t>
  </si>
  <si>
    <t xml:space="preserve">IMEXP(Data!B1)</t>
  </si>
  <si>
    <t xml:space="preserve">IMEXP(NA())</t>
  </si>
  <si>
    <t xml:space="preserve">IMEXP("3+4i",1)</t>
  </si>
  <si>
    <t xml:space="preserve">IMEXP()</t>
  </si>
  <si>
    <t xml:space="preserve">IMEXP(Data!A1:A3)</t>
  </si>
  <si>
    <t xml:space="preserve">IMEXP(-2.5)</t>
  </si>
  <si>
    <t xml:space="preserve">IMEXP(1E300)</t>
  </si>
  <si>
    <t xml:space="preserve">IMEXP(1E-300)</t>
  </si>
  <si>
    <t xml:space="preserve">IMLN("3+4i")</t>
  </si>
  <si>
    <t xml:space="preserve">IMLN("3-4i")</t>
  </si>
  <si>
    <t xml:space="preserve">IMLN("4i")</t>
  </si>
  <si>
    <t xml:space="preserve">IMLN("-4i")</t>
  </si>
  <si>
    <t xml:space="preserve">IMLN("i")</t>
  </si>
  <si>
    <t xml:space="preserve">IMLN("-i")</t>
  </si>
  <si>
    <t xml:space="preserve">IMLN("3")</t>
  </si>
  <si>
    <t xml:space="preserve">IMLN("0")</t>
  </si>
  <si>
    <t xml:space="preserve">IMLN("1+i")</t>
  </si>
  <si>
    <t xml:space="preserve">IMLN("1-i")</t>
  </si>
  <si>
    <t xml:space="preserve">IMLN("-1-i")</t>
  </si>
  <si>
    <t xml:space="preserve">IMLN("2.5+3.5i")</t>
  </si>
  <si>
    <t xml:space="preserve">IMLN("1E2+1E-2i")</t>
  </si>
  <si>
    <t xml:space="preserve">IMLN("3+4j")</t>
  </si>
  <si>
    <t xml:space="preserve">IMLN("j")</t>
  </si>
  <si>
    <t xml:space="preserve">IMLN("-j")</t>
  </si>
  <si>
    <t xml:space="preserve">IMLN("2j")</t>
  </si>
  <si>
    <t xml:space="preserve">IMLN("1+2k")</t>
  </si>
  <si>
    <t xml:space="preserve">IMLN("+3+4i")</t>
  </si>
  <si>
    <t xml:space="preserve">IMLN("3+ 4i")</t>
  </si>
  <si>
    <t xml:space="preserve">IMLN(" 3+4i")</t>
  </si>
  <si>
    <t xml:space="preserve">IMLN("3+4I")</t>
  </si>
  <si>
    <t xml:space="preserve">IMLN("3+4i ")</t>
  </si>
  <si>
    <t xml:space="preserve">IMLN("1+i+j")</t>
  </si>
  <si>
    <t xml:space="preserve">IMLN("abc")</t>
  </si>
  <si>
    <t xml:space="preserve">IMLN("")</t>
  </si>
  <si>
    <t xml:space="preserve">IMLN("i3")</t>
  </si>
  <si>
    <t xml:space="preserve">IMLN("3i+4")</t>
  </si>
  <si>
    <t xml:space="preserve">IMLN("(1+i)")</t>
  </si>
  <si>
    <t xml:space="preserve">IMLN("1.5E300+1E300i")</t>
  </si>
  <si>
    <t xml:space="preserve">IMLN("0+0i")</t>
  </si>
  <si>
    <t xml:space="preserve">IMLN("-0-0i")</t>
  </si>
  <si>
    <t xml:space="preserve">IMLN("1/2+i")</t>
  </si>
  <si>
    <t xml:space="preserve">IMLN("1e1+i")</t>
  </si>
  <si>
    <t xml:space="preserve">IMLN("1+1e1i")</t>
  </si>
  <si>
    <t xml:space="preserve">IMLN(".5+.5i")</t>
  </si>
  <si>
    <t xml:space="preserve">IMLN("5.")</t>
  </si>
  <si>
    <t xml:space="preserve">IMLN("1,5+2i")</t>
  </si>
  <si>
    <t xml:space="preserve">IMLN("3++4i")</t>
  </si>
  <si>
    <t xml:space="preserve">IMLN("3+-4i")</t>
  </si>
  <si>
    <t xml:space="preserve">IMLN("--3")</t>
  </si>
  <si>
    <t xml:space="preserve">IMLN("3i4")</t>
  </si>
  <si>
    <t xml:space="preserve">IMLN("0.1+0.2i")</t>
  </si>
  <si>
    <t xml:space="preserve">IMLN("-2.5")</t>
  </si>
  <si>
    <t xml:space="preserve">IMLN("1E+2i")</t>
  </si>
  <si>
    <t xml:space="preserve">IMLN("1E-2i")</t>
  </si>
  <si>
    <t xml:space="preserve">IMLN("12345678901234567890+1i")</t>
  </si>
  <si>
    <t xml:space="preserve">IMLN("1+i2")</t>
  </si>
  <si>
    <t xml:space="preserve">IMLN("ii")</t>
  </si>
  <si>
    <t xml:space="preserve">IMLN("3 + 4i")</t>
  </si>
  <si>
    <t xml:space="preserve">IMLN("4i+3")</t>
  </si>
  <si>
    <t xml:space="preserve">IMLN("1+0i")</t>
  </si>
  <si>
    <t xml:space="preserve">IMLN("0+1i")</t>
  </si>
  <si>
    <t xml:space="preserve">IMLN("0-1i")</t>
  </si>
  <si>
    <t xml:space="preserve">IMLN("-1+0i")</t>
  </si>
  <si>
    <t xml:space="preserve">IMLN("1e-10+1e-10i")</t>
  </si>
  <si>
    <t xml:space="preserve">IMLN("2+0.0000001i")</t>
  </si>
  <si>
    <t xml:space="preserve">IMLN("TRUE")</t>
  </si>
  <si>
    <t xml:space="preserve">IMLN("1+Ii")</t>
  </si>
  <si>
    <t xml:space="preserve">IMLN(5)</t>
  </si>
  <si>
    <t xml:space="preserve">IMLN(TRUE)</t>
  </si>
  <si>
    <t xml:space="preserve">IMLN(Data!D1)</t>
  </si>
  <si>
    <t xml:space="preserve">IMLN(Data!A1)</t>
  </si>
  <si>
    <t xml:space="preserve">IMLN(Data!B1)</t>
  </si>
  <si>
    <t xml:space="preserve">IMLN(NA())</t>
  </si>
  <si>
    <t xml:space="preserve">IMLN("3+4i",1)</t>
  </si>
  <si>
    <t xml:space="preserve">IMLN()</t>
  </si>
  <si>
    <t xml:space="preserve">IMLN(Data!A1:A3)</t>
  </si>
  <si>
    <t xml:space="preserve">IMLN(-2.5)</t>
  </si>
  <si>
    <t xml:space="preserve">IMLN(1E300)</t>
  </si>
  <si>
    <t xml:space="preserve">IMLN(1E-300)</t>
  </si>
  <si>
    <t xml:space="preserve">IMLOG10("3+4i")</t>
  </si>
  <si>
    <t xml:space="preserve">IMLOG10("3-4i")</t>
  </si>
  <si>
    <t xml:space="preserve">IMLOG10("4i")</t>
  </si>
  <si>
    <t xml:space="preserve">IMLOG10("-4i")</t>
  </si>
  <si>
    <t xml:space="preserve">IMLOG10("i")</t>
  </si>
  <si>
    <t xml:space="preserve">IMLOG10("-i")</t>
  </si>
  <si>
    <t xml:space="preserve">IMLOG10("3")</t>
  </si>
  <si>
    <t xml:space="preserve">IMLOG10("0")</t>
  </si>
  <si>
    <t xml:space="preserve">IMLOG10("1+i")</t>
  </si>
  <si>
    <t xml:space="preserve">IMLOG10("1-i")</t>
  </si>
  <si>
    <t xml:space="preserve">IMLOG10("-1-i")</t>
  </si>
  <si>
    <t xml:space="preserve">IMLOG10("2.5+3.5i")</t>
  </si>
  <si>
    <t xml:space="preserve">IMLOG10("1E2+1E-2i")</t>
  </si>
  <si>
    <t xml:space="preserve">IMLOG10("3+4j")</t>
  </si>
  <si>
    <t xml:space="preserve">IMLOG10("j")</t>
  </si>
  <si>
    <t xml:space="preserve">IMLOG10("-j")</t>
  </si>
  <si>
    <t xml:space="preserve">IMLOG10("2j")</t>
  </si>
  <si>
    <t xml:space="preserve">IMLOG10("1+2k")</t>
  </si>
  <si>
    <t xml:space="preserve">IMLOG10("+3+4i")</t>
  </si>
  <si>
    <t xml:space="preserve">IMLOG10("3+ 4i")</t>
  </si>
  <si>
    <t xml:space="preserve">IMLOG10(" 3+4i")</t>
  </si>
  <si>
    <t xml:space="preserve">IMLOG10("3+4I")</t>
  </si>
  <si>
    <t xml:space="preserve">IMLOG10("3+4i ")</t>
  </si>
  <si>
    <t xml:space="preserve">IMLOG10("1+i+j")</t>
  </si>
  <si>
    <t xml:space="preserve">IMLOG10("abc")</t>
  </si>
  <si>
    <t xml:space="preserve">IMLOG10("")</t>
  </si>
  <si>
    <t xml:space="preserve">IMLOG10("i3")</t>
  </si>
  <si>
    <t xml:space="preserve">IMLOG10("3i+4")</t>
  </si>
  <si>
    <t xml:space="preserve">IMLOG10("(1+i)")</t>
  </si>
  <si>
    <t xml:space="preserve">IMLOG10("1.5E300+1E300i")</t>
  </si>
  <si>
    <t xml:space="preserve">IMLOG10("0+0i")</t>
  </si>
  <si>
    <t xml:space="preserve">IMLOG10("-0-0i")</t>
  </si>
  <si>
    <t xml:space="preserve">IMLOG10("1/2+i")</t>
  </si>
  <si>
    <t xml:space="preserve">IMLOG10("1e1+i")</t>
  </si>
  <si>
    <t xml:space="preserve">IMLOG10("1+1e1i")</t>
  </si>
  <si>
    <t xml:space="preserve">IMLOG10(".5+.5i")</t>
  </si>
  <si>
    <t xml:space="preserve">IMLOG10("5.")</t>
  </si>
  <si>
    <t xml:space="preserve">IMLOG10("1,5+2i")</t>
  </si>
  <si>
    <t xml:space="preserve">IMLOG10("3++4i")</t>
  </si>
  <si>
    <t xml:space="preserve">IMLOG10("3+-4i")</t>
  </si>
  <si>
    <t xml:space="preserve">IMLOG10("--3")</t>
  </si>
  <si>
    <t xml:space="preserve">IMLOG10("3i4")</t>
  </si>
  <si>
    <t xml:space="preserve">IMLOG10("0.1+0.2i")</t>
  </si>
  <si>
    <t xml:space="preserve">IMLOG10("-2.5")</t>
  </si>
  <si>
    <t xml:space="preserve">IMLOG10("1E+2i")</t>
  </si>
  <si>
    <t xml:space="preserve">IMLOG10("1E-2i")</t>
  </si>
  <si>
    <t xml:space="preserve">IMLOG10("12345678901234567890+1i")</t>
  </si>
  <si>
    <t xml:space="preserve">IMLOG10("1+i2")</t>
  </si>
  <si>
    <t xml:space="preserve">IMLOG10("ii")</t>
  </si>
  <si>
    <t xml:space="preserve">IMLOG10("3 + 4i")</t>
  </si>
  <si>
    <t xml:space="preserve">IMLOG10("4i+3")</t>
  </si>
  <si>
    <t xml:space="preserve">IMLOG10("1+0i")</t>
  </si>
  <si>
    <t xml:space="preserve">IMLOG10("0+1i")</t>
  </si>
  <si>
    <t xml:space="preserve">IMLOG10("0-1i")</t>
  </si>
  <si>
    <t xml:space="preserve">IMLOG10("-1+0i")</t>
  </si>
  <si>
    <t xml:space="preserve">IMLOG10("1e-10+1e-10i")</t>
  </si>
  <si>
    <t xml:space="preserve">IMLOG10("2+0.0000001i")</t>
  </si>
  <si>
    <t xml:space="preserve">IMLOG10("TRUE")</t>
  </si>
  <si>
    <t xml:space="preserve">IMLOG10("1+Ii")</t>
  </si>
  <si>
    <t xml:space="preserve">IMLOG10(5)</t>
  </si>
  <si>
    <t xml:space="preserve">IMLOG10(TRUE)</t>
  </si>
  <si>
    <t xml:space="preserve">IMLOG10(Data!D1)</t>
  </si>
  <si>
    <t xml:space="preserve">IMLOG10(Data!A1)</t>
  </si>
  <si>
    <t xml:space="preserve">IMLOG10(Data!B1)</t>
  </si>
  <si>
    <t xml:space="preserve">IMLOG10(NA())</t>
  </si>
  <si>
    <t xml:space="preserve">IMLOG10("3+4i",1)</t>
  </si>
  <si>
    <t xml:space="preserve">IMLOG10()</t>
  </si>
  <si>
    <t xml:space="preserve">IMLOG10(Data!A1:A3)</t>
  </si>
  <si>
    <t xml:space="preserve">IMLOG10(-2.5)</t>
  </si>
  <si>
    <t xml:space="preserve">IMLOG10(1E300)</t>
  </si>
  <si>
    <t xml:space="preserve">IMLOG10(1E-300)</t>
  </si>
  <si>
    <t xml:space="preserve">IMLOG2("3+4i")</t>
  </si>
  <si>
    <t xml:space="preserve">IMLOG2("3-4i")</t>
  </si>
  <si>
    <t xml:space="preserve">IMLOG2("4i")</t>
  </si>
  <si>
    <t xml:space="preserve">IMLOG2("-4i")</t>
  </si>
  <si>
    <t xml:space="preserve">IMLOG2("i")</t>
  </si>
  <si>
    <t xml:space="preserve">IMLOG2("-i")</t>
  </si>
  <si>
    <t xml:space="preserve">IMLOG2("3")</t>
  </si>
  <si>
    <t xml:space="preserve">IMLOG2("0")</t>
  </si>
  <si>
    <t xml:space="preserve">IMLOG2("1+i")</t>
  </si>
  <si>
    <t xml:space="preserve">IMLOG2("1-i")</t>
  </si>
  <si>
    <t xml:space="preserve">IMLOG2("-1-i")</t>
  </si>
  <si>
    <t xml:space="preserve">IMLOG2("2.5+3.5i")</t>
  </si>
  <si>
    <t xml:space="preserve">IMLOG2("1E2+1E-2i")</t>
  </si>
  <si>
    <t xml:space="preserve">IMLOG2("3+4j")</t>
  </si>
  <si>
    <t xml:space="preserve">IMLOG2("j")</t>
  </si>
  <si>
    <t xml:space="preserve">IMLOG2("-j")</t>
  </si>
  <si>
    <t xml:space="preserve">IMLOG2("2j")</t>
  </si>
  <si>
    <t xml:space="preserve">IMLOG2("1+2k")</t>
  </si>
  <si>
    <t xml:space="preserve">IMLOG2("+3+4i")</t>
  </si>
  <si>
    <t xml:space="preserve">IMLOG2("3+ 4i")</t>
  </si>
  <si>
    <t xml:space="preserve">IMLOG2(" 3+4i")</t>
  </si>
  <si>
    <t xml:space="preserve">IMLOG2("3+4I")</t>
  </si>
  <si>
    <t xml:space="preserve">IMLOG2("3+4i ")</t>
  </si>
  <si>
    <t xml:space="preserve">IMLOG2("1+i+j")</t>
  </si>
  <si>
    <t xml:space="preserve">IMLOG2("abc")</t>
  </si>
  <si>
    <t xml:space="preserve">IMLOG2("")</t>
  </si>
  <si>
    <t xml:space="preserve">IMLOG2("i3")</t>
  </si>
  <si>
    <t xml:space="preserve">IMLOG2("3i+4")</t>
  </si>
  <si>
    <t xml:space="preserve">IMLOG2("(1+i)")</t>
  </si>
  <si>
    <t xml:space="preserve">IMLOG2("1.5E300+1E300i")</t>
  </si>
  <si>
    <t xml:space="preserve">IMLOG2("0+0i")</t>
  </si>
  <si>
    <t xml:space="preserve">IMLOG2("-0-0i")</t>
  </si>
  <si>
    <t xml:space="preserve">IMLOG2("1/2+i")</t>
  </si>
  <si>
    <t xml:space="preserve">IMLOG2("1e1+i")</t>
  </si>
  <si>
    <t xml:space="preserve">IMLOG2("1+1e1i")</t>
  </si>
  <si>
    <t xml:space="preserve">IMLOG2(".5+.5i")</t>
  </si>
  <si>
    <t xml:space="preserve">IMLOG2("5.")</t>
  </si>
  <si>
    <t xml:space="preserve">IMLOG2("1,5+2i")</t>
  </si>
  <si>
    <t xml:space="preserve">IMLOG2("3++4i")</t>
  </si>
  <si>
    <t xml:space="preserve">IMLOG2("3+-4i")</t>
  </si>
  <si>
    <t xml:space="preserve">IMLOG2("--3")</t>
  </si>
  <si>
    <t xml:space="preserve">IMLOG2("3i4")</t>
  </si>
  <si>
    <t xml:space="preserve">IMLOG2("0.1+0.2i")</t>
  </si>
  <si>
    <t xml:space="preserve">IMLOG2("-2.5")</t>
  </si>
  <si>
    <t xml:space="preserve">IMLOG2("1E+2i")</t>
  </si>
  <si>
    <t xml:space="preserve">IMLOG2("1E-2i")</t>
  </si>
  <si>
    <t xml:space="preserve">IMLOG2("12345678901234567890+1i")</t>
  </si>
  <si>
    <t xml:space="preserve">IMLOG2("1+i2")</t>
  </si>
  <si>
    <t xml:space="preserve">IMLOG2("ii")</t>
  </si>
  <si>
    <t xml:space="preserve">IMLOG2("3 + 4i")</t>
  </si>
  <si>
    <t xml:space="preserve">IMLOG2("4i+3")</t>
  </si>
  <si>
    <t xml:space="preserve">IMLOG2("1+0i")</t>
  </si>
  <si>
    <t xml:space="preserve">IMLOG2("0+1i")</t>
  </si>
  <si>
    <t xml:space="preserve">IMLOG2("0-1i")</t>
  </si>
  <si>
    <t xml:space="preserve">IMLOG2("-1+0i")</t>
  </si>
  <si>
    <t xml:space="preserve">IMLOG2("1e-10+1e-10i")</t>
  </si>
  <si>
    <t xml:space="preserve">IMLOG2("2+0.0000001i")</t>
  </si>
  <si>
    <t xml:space="preserve">IMLOG2("TRUE")</t>
  </si>
  <si>
    <t xml:space="preserve">IMLOG2("1+Ii")</t>
  </si>
  <si>
    <t xml:space="preserve">IMLOG2(5)</t>
  </si>
  <si>
    <t xml:space="preserve">IMLOG2(TRUE)</t>
  </si>
  <si>
    <t xml:space="preserve">IMLOG2(Data!D1)</t>
  </si>
  <si>
    <t xml:space="preserve">IMLOG2(Data!A1)</t>
  </si>
  <si>
    <t xml:space="preserve">IMLOG2(Data!B1)</t>
  </si>
  <si>
    <t xml:space="preserve">IMLOG2(NA())</t>
  </si>
  <si>
    <t xml:space="preserve">IMLOG2("3+4i",1)</t>
  </si>
  <si>
    <t xml:space="preserve">IMLOG2()</t>
  </si>
  <si>
    <t xml:space="preserve">IMLOG2(Data!A1:A3)</t>
  </si>
  <si>
    <t xml:space="preserve">IMLOG2(-2.5)</t>
  </si>
  <si>
    <t xml:space="preserve">IMLOG2(1E300)</t>
  </si>
  <si>
    <t xml:space="preserve">IMLOG2(1E-300)</t>
  </si>
  <si>
    <t xml:space="preserve">IMSIN("3+4i")</t>
  </si>
  <si>
    <t xml:space="preserve">IMSIN("3-4i")</t>
  </si>
  <si>
    <t xml:space="preserve">IMSIN("4i")</t>
  </si>
  <si>
    <t xml:space="preserve">IMSIN("-4i")</t>
  </si>
  <si>
    <t xml:space="preserve">IMSIN("i")</t>
  </si>
  <si>
    <t xml:space="preserve">IMSIN("-i")</t>
  </si>
  <si>
    <t xml:space="preserve">IMSIN("3")</t>
  </si>
  <si>
    <t xml:space="preserve">IMSIN("0")</t>
  </si>
  <si>
    <t xml:space="preserve">IMSIN("1+i")</t>
  </si>
  <si>
    <t xml:space="preserve">IMSIN("1-i")</t>
  </si>
  <si>
    <t xml:space="preserve">IMSIN("-1-i")</t>
  </si>
  <si>
    <t xml:space="preserve">IMSIN("2.5+3.5i")</t>
  </si>
  <si>
    <t xml:space="preserve">IMSIN("1E2+1E-2i")</t>
  </si>
  <si>
    <t xml:space="preserve">IMSIN("3+4j")</t>
  </si>
  <si>
    <t xml:space="preserve">IMSIN("j")</t>
  </si>
  <si>
    <t xml:space="preserve">IMSIN("-j")</t>
  </si>
  <si>
    <t xml:space="preserve">IMSIN("2j")</t>
  </si>
  <si>
    <t xml:space="preserve">IMSIN("1+2k")</t>
  </si>
  <si>
    <t xml:space="preserve">IMSIN("+3+4i")</t>
  </si>
  <si>
    <t xml:space="preserve">IMSIN("3+ 4i")</t>
  </si>
  <si>
    <t xml:space="preserve">IMSIN(" 3+4i")</t>
  </si>
  <si>
    <t xml:space="preserve">IMSIN("3+4I")</t>
  </si>
  <si>
    <t xml:space="preserve">IMSIN("3+4i ")</t>
  </si>
  <si>
    <t xml:space="preserve">IMSIN("1+i+j")</t>
  </si>
  <si>
    <t xml:space="preserve">IMSIN("abc")</t>
  </si>
  <si>
    <t xml:space="preserve">IMSIN("")</t>
  </si>
  <si>
    <t xml:space="preserve">IMSIN("i3")</t>
  </si>
  <si>
    <t xml:space="preserve">IMSIN("3i+4")</t>
  </si>
  <si>
    <t xml:space="preserve">IMSIN("(1+i)")</t>
  </si>
  <si>
    <t xml:space="preserve">IMSIN("1.5E300+1E300i")</t>
  </si>
  <si>
    <t xml:space="preserve">IMSIN("0+0i")</t>
  </si>
  <si>
    <t xml:space="preserve">IMSIN("-0-0i")</t>
  </si>
  <si>
    <t xml:space="preserve">IMSIN("1/2+i")</t>
  </si>
  <si>
    <t xml:space="preserve">IMSIN("1e1+i")</t>
  </si>
  <si>
    <t xml:space="preserve">IMSIN("1+1e1i")</t>
  </si>
  <si>
    <t xml:space="preserve">IMSIN(".5+.5i")</t>
  </si>
  <si>
    <t xml:space="preserve">IMSIN("5.")</t>
  </si>
  <si>
    <t xml:space="preserve">IMSIN("1,5+2i")</t>
  </si>
  <si>
    <t xml:space="preserve">IMSIN("3++4i")</t>
  </si>
  <si>
    <t xml:space="preserve">IMSIN("3+-4i")</t>
  </si>
  <si>
    <t xml:space="preserve">IMSIN("--3")</t>
  </si>
  <si>
    <t xml:space="preserve">IMSIN("3i4")</t>
  </si>
  <si>
    <t xml:space="preserve">IMSIN("0.1+0.2i")</t>
  </si>
  <si>
    <t xml:space="preserve">IMSIN("-2.5")</t>
  </si>
  <si>
    <t xml:space="preserve">IMSIN("1E+2i")</t>
  </si>
  <si>
    <t xml:space="preserve">IMSIN("1E-2i")</t>
  </si>
  <si>
    <t xml:space="preserve">IMSIN("12345678901234567890+1i")</t>
  </si>
  <si>
    <t xml:space="preserve">IMSIN("1+i2")</t>
  </si>
  <si>
    <t xml:space="preserve">IMSIN("ii")</t>
  </si>
  <si>
    <t xml:space="preserve">IMSIN("3 + 4i")</t>
  </si>
  <si>
    <t xml:space="preserve">IMSIN("4i+3")</t>
  </si>
  <si>
    <t xml:space="preserve">IMSIN("1+0i")</t>
  </si>
  <si>
    <t xml:space="preserve">IMSIN("0+1i")</t>
  </si>
  <si>
    <t xml:space="preserve">IMSIN("0-1i")</t>
  </si>
  <si>
    <t xml:space="preserve">IMSIN("-1+0i")</t>
  </si>
  <si>
    <t xml:space="preserve">IMSIN("1e-10+1e-10i")</t>
  </si>
  <si>
    <t xml:space="preserve">IMSIN("2+0.0000001i")</t>
  </si>
  <si>
    <t xml:space="preserve">IMSIN("TRUE")</t>
  </si>
  <si>
    <t xml:space="preserve">IMSIN("1+Ii")</t>
  </si>
  <si>
    <t xml:space="preserve">IMSIN(5)</t>
  </si>
  <si>
    <t xml:space="preserve">IMSIN(TRUE)</t>
  </si>
  <si>
    <t xml:space="preserve">IMSIN(Data!D1)</t>
  </si>
  <si>
    <t xml:space="preserve">IMSIN(Data!A1)</t>
  </si>
  <si>
    <t xml:space="preserve">IMSIN(Data!B1)</t>
  </si>
  <si>
    <t xml:space="preserve">IMSIN(NA())</t>
  </si>
  <si>
    <t xml:space="preserve">IMSIN("3+4i",1)</t>
  </si>
  <si>
    <t xml:space="preserve">IMSIN()</t>
  </si>
  <si>
    <t xml:space="preserve">IMSIN(Data!A1:A3)</t>
  </si>
  <si>
    <t xml:space="preserve">IMSIN(-2.5)</t>
  </si>
  <si>
    <t xml:space="preserve">IMSIN(1E300)</t>
  </si>
  <si>
    <t xml:space="preserve">IMSIN(1E-300)</t>
  </si>
  <si>
    <t xml:space="preserve">IMCOS("3+4i")</t>
  </si>
  <si>
    <t xml:space="preserve">IMCOS("3-4i")</t>
  </si>
  <si>
    <t xml:space="preserve">IMCOS("4i")</t>
  </si>
  <si>
    <t xml:space="preserve">IMCOS("-4i")</t>
  </si>
  <si>
    <t xml:space="preserve">IMCOS("i")</t>
  </si>
  <si>
    <t xml:space="preserve">IMCOS("-i")</t>
  </si>
  <si>
    <t xml:space="preserve">IMCOS("3")</t>
  </si>
  <si>
    <t xml:space="preserve">IMCOS("0")</t>
  </si>
  <si>
    <t xml:space="preserve">IMCOS("1+i")</t>
  </si>
  <si>
    <t xml:space="preserve">IMCOS("1-i")</t>
  </si>
  <si>
    <t xml:space="preserve">IMCOS("-1-i")</t>
  </si>
  <si>
    <t xml:space="preserve">IMCOS("2.5+3.5i")</t>
  </si>
  <si>
    <t xml:space="preserve">IMCOS("1E2+1E-2i")</t>
  </si>
  <si>
    <t xml:space="preserve">IMCOS("3+4j")</t>
  </si>
  <si>
    <t xml:space="preserve">IMCOS("j")</t>
  </si>
  <si>
    <t xml:space="preserve">IMCOS("-j")</t>
  </si>
  <si>
    <t xml:space="preserve">IMCOS("2j")</t>
  </si>
  <si>
    <t xml:space="preserve">IMCOS("1+2k")</t>
  </si>
  <si>
    <t xml:space="preserve">IMCOS("+3+4i")</t>
  </si>
  <si>
    <t xml:space="preserve">IMCOS("3+ 4i")</t>
  </si>
  <si>
    <t xml:space="preserve">IMCOS(" 3+4i")</t>
  </si>
  <si>
    <t xml:space="preserve">IMCOS("3+4I")</t>
  </si>
  <si>
    <t xml:space="preserve">IMCOS("3+4i ")</t>
  </si>
  <si>
    <t xml:space="preserve">IMCOS("1+i+j")</t>
  </si>
  <si>
    <t xml:space="preserve">IMCOS("abc")</t>
  </si>
  <si>
    <t xml:space="preserve">IMCOS("")</t>
  </si>
  <si>
    <t xml:space="preserve">IMCOS("i3")</t>
  </si>
  <si>
    <t xml:space="preserve">IMCOS("3i+4")</t>
  </si>
  <si>
    <t xml:space="preserve">IMCOS("(1+i)")</t>
  </si>
  <si>
    <t xml:space="preserve">IMCOS("1.5E300+1E300i")</t>
  </si>
  <si>
    <t xml:space="preserve">IMCOS("0+0i")</t>
  </si>
  <si>
    <t xml:space="preserve">IMCOS("-0-0i")</t>
  </si>
  <si>
    <t xml:space="preserve">IMCOS("1/2+i")</t>
  </si>
  <si>
    <t xml:space="preserve">IMCOS("1e1+i")</t>
  </si>
  <si>
    <t xml:space="preserve">IMCOS("1+1e1i")</t>
  </si>
  <si>
    <t xml:space="preserve">IMCOS(".5+.5i")</t>
  </si>
  <si>
    <t xml:space="preserve">IMCOS("5.")</t>
  </si>
  <si>
    <t xml:space="preserve">IMCOS("1,5+2i")</t>
  </si>
  <si>
    <t xml:space="preserve">IMCOS("3++4i")</t>
  </si>
  <si>
    <t xml:space="preserve">IMCOS("3+-4i")</t>
  </si>
  <si>
    <t xml:space="preserve">IMCOS("--3")</t>
  </si>
  <si>
    <t xml:space="preserve">IMCOS("3i4")</t>
  </si>
  <si>
    <t xml:space="preserve">IMCOS("0.1+0.2i")</t>
  </si>
  <si>
    <t xml:space="preserve">IMCOS("-2.5")</t>
  </si>
  <si>
    <t xml:space="preserve">IMCOS("1E+2i")</t>
  </si>
  <si>
    <t xml:space="preserve">IMCOS("1E-2i")</t>
  </si>
  <si>
    <t xml:space="preserve">IMCOS("12345678901234567890+1i")</t>
  </si>
  <si>
    <t xml:space="preserve">IMCOS("1+i2")</t>
  </si>
  <si>
    <t xml:space="preserve">IMCOS("ii")</t>
  </si>
  <si>
    <t xml:space="preserve">IMCOS("3 + 4i")</t>
  </si>
  <si>
    <t xml:space="preserve">IMCOS("4i+3")</t>
  </si>
  <si>
    <t xml:space="preserve">IMCOS("1+0i")</t>
  </si>
  <si>
    <t xml:space="preserve">IMCOS("0+1i")</t>
  </si>
  <si>
    <t xml:space="preserve">IMCOS("0-1i")</t>
  </si>
  <si>
    <t xml:space="preserve">IMCOS("-1+0i")</t>
  </si>
  <si>
    <t xml:space="preserve">IMCOS("1e-10+1e-10i")</t>
  </si>
  <si>
    <t xml:space="preserve">IMCOS("2+0.0000001i")</t>
  </si>
  <si>
    <t xml:space="preserve">IMCOS("TRUE")</t>
  </si>
  <si>
    <t xml:space="preserve">IMCOS("1+Ii")</t>
  </si>
  <si>
    <t xml:space="preserve">IMCOS(5)</t>
  </si>
  <si>
    <t xml:space="preserve">IMCOS(TRUE)</t>
  </si>
  <si>
    <t xml:space="preserve">IMCOS(Data!D1)</t>
  </si>
  <si>
    <t xml:space="preserve">IMCOS(Data!A1)</t>
  </si>
  <si>
    <t xml:space="preserve">IMCOS(Data!B1)</t>
  </si>
  <si>
    <t xml:space="preserve">IMCOS(NA())</t>
  </si>
  <si>
    <t xml:space="preserve">IMCOS("3+4i",1)</t>
  </si>
  <si>
    <t xml:space="preserve">IMCOS()</t>
  </si>
  <si>
    <t xml:space="preserve">IMCOS(Data!A1:A3)</t>
  </si>
  <si>
    <t xml:space="preserve">IMCOS(-2.5)</t>
  </si>
  <si>
    <t xml:space="preserve">IMCOS(1E300)</t>
  </si>
  <si>
    <t xml:space="preserve">IMCOS(1E-300)</t>
  </si>
  <si>
    <t xml:space="preserve">IMTAN("3+4i")</t>
  </si>
  <si>
    <t xml:space="preserve">IMTAN("3-4i")</t>
  </si>
  <si>
    <t xml:space="preserve">IMTAN("4i")</t>
  </si>
  <si>
    <t xml:space="preserve">IMTAN("-4i")</t>
  </si>
  <si>
    <t xml:space="preserve">IMTAN("i")</t>
  </si>
  <si>
    <t xml:space="preserve">IMTAN("-i")</t>
  </si>
  <si>
    <t xml:space="preserve">IMTAN("3")</t>
  </si>
  <si>
    <t xml:space="preserve">IMTAN("0")</t>
  </si>
  <si>
    <t xml:space="preserve">IMTAN("1+i")</t>
  </si>
  <si>
    <t xml:space="preserve">IMTAN("1-i")</t>
  </si>
  <si>
    <t xml:space="preserve">IMTAN("-1-i")</t>
  </si>
  <si>
    <t xml:space="preserve">IMTAN("2.5+3.5i")</t>
  </si>
  <si>
    <t xml:space="preserve">IMTAN("1E2+1E-2i")</t>
  </si>
  <si>
    <t xml:space="preserve">IMTAN("3+4j")</t>
  </si>
  <si>
    <t xml:space="preserve">IMTAN("j")</t>
  </si>
  <si>
    <t xml:space="preserve">IMTAN("-j")</t>
  </si>
  <si>
    <t xml:space="preserve">IMTAN("2j")</t>
  </si>
  <si>
    <t xml:space="preserve">IMTAN("1+2k")</t>
  </si>
  <si>
    <t xml:space="preserve">IMTAN("+3+4i")</t>
  </si>
  <si>
    <t xml:space="preserve">IMTAN("3+ 4i")</t>
  </si>
  <si>
    <t xml:space="preserve">IMTAN(" 3+4i")</t>
  </si>
  <si>
    <t xml:space="preserve">IMTAN("3+4I")</t>
  </si>
  <si>
    <t xml:space="preserve">IMTAN("3+4i ")</t>
  </si>
  <si>
    <t xml:space="preserve">IMTAN("1+i+j")</t>
  </si>
  <si>
    <t xml:space="preserve">IMTAN("abc")</t>
  </si>
  <si>
    <t xml:space="preserve">IMTAN("")</t>
  </si>
  <si>
    <t xml:space="preserve">IMTAN("i3")</t>
  </si>
  <si>
    <t xml:space="preserve">IMTAN("3i+4")</t>
  </si>
  <si>
    <t xml:space="preserve">IMTAN("(1+i)")</t>
  </si>
  <si>
    <t xml:space="preserve">IMTAN("1.5E300+1E300i")</t>
  </si>
  <si>
    <t xml:space="preserve">IMTAN("0+0i")</t>
  </si>
  <si>
    <t xml:space="preserve">IMTAN("-0-0i")</t>
  </si>
  <si>
    <t xml:space="preserve">IMTAN("1/2+i")</t>
  </si>
  <si>
    <t xml:space="preserve">IMTAN("1e1+i")</t>
  </si>
  <si>
    <t xml:space="preserve">IMTAN("1+1e1i")</t>
  </si>
  <si>
    <t xml:space="preserve">IMTAN(".5+.5i")</t>
  </si>
  <si>
    <t xml:space="preserve">IMTAN("5.")</t>
  </si>
  <si>
    <t xml:space="preserve">IMTAN("1,5+2i")</t>
  </si>
  <si>
    <t xml:space="preserve">IMTAN("3++4i")</t>
  </si>
  <si>
    <t xml:space="preserve">IMTAN("3+-4i")</t>
  </si>
  <si>
    <t xml:space="preserve">IMTAN("--3")</t>
  </si>
  <si>
    <t xml:space="preserve">IMTAN("3i4")</t>
  </si>
  <si>
    <t xml:space="preserve">IMTAN("0.1+0.2i")</t>
  </si>
  <si>
    <t xml:space="preserve">IMTAN("-2.5")</t>
  </si>
  <si>
    <t xml:space="preserve">IMTAN("1E+2i")</t>
  </si>
  <si>
    <t xml:space="preserve">IMTAN("1E-2i")</t>
  </si>
  <si>
    <t xml:space="preserve">IMTAN("12345678901234567890+1i")</t>
  </si>
  <si>
    <t xml:space="preserve">IMTAN("1+i2")</t>
  </si>
  <si>
    <t xml:space="preserve">IMTAN("ii")</t>
  </si>
  <si>
    <t xml:space="preserve">IMTAN("3 + 4i")</t>
  </si>
  <si>
    <t xml:space="preserve">IMTAN("4i+3")</t>
  </si>
  <si>
    <t xml:space="preserve">IMTAN("1+0i")</t>
  </si>
  <si>
    <t xml:space="preserve">IMTAN("0+1i")</t>
  </si>
  <si>
    <t xml:space="preserve">IMTAN("0-1i")</t>
  </si>
  <si>
    <t xml:space="preserve">IMTAN("-1+0i")</t>
  </si>
  <si>
    <t xml:space="preserve">IMTAN("1e-10+1e-10i")</t>
  </si>
  <si>
    <t xml:space="preserve">IMTAN("2+0.0000001i")</t>
  </si>
  <si>
    <t xml:space="preserve">IMTAN("TRUE")</t>
  </si>
  <si>
    <t xml:space="preserve">IMTAN("1+Ii")</t>
  </si>
  <si>
    <t xml:space="preserve">IMTAN(5)</t>
  </si>
  <si>
    <t xml:space="preserve">IMTAN(TRUE)</t>
  </si>
  <si>
    <t xml:space="preserve">IMTAN(Data!D1)</t>
  </si>
  <si>
    <t xml:space="preserve">IMTAN(Data!A1)</t>
  </si>
  <si>
    <t xml:space="preserve">IMTAN(Data!B1)</t>
  </si>
  <si>
    <t xml:space="preserve">IMTAN(NA())</t>
  </si>
  <si>
    <t xml:space="preserve">IMTAN("3+4i",1)</t>
  </si>
  <si>
    <t xml:space="preserve">IMTAN()</t>
  </si>
  <si>
    <t xml:space="preserve">IMTAN(Data!A1:A3)</t>
  </si>
  <si>
    <t xml:space="preserve">IMTAN(-2.5)</t>
  </si>
  <si>
    <t xml:space="preserve">IMTAN(1E300)</t>
  </si>
  <si>
    <t xml:space="preserve">IMTAN(1E-300)</t>
  </si>
  <si>
    <t xml:space="preserve">IMSEC("3+4i")</t>
  </si>
  <si>
    <t xml:space="preserve">IMSEC("3-4i")</t>
  </si>
  <si>
    <t xml:space="preserve">IMSEC("4i")</t>
  </si>
  <si>
    <t xml:space="preserve">IMSEC("-4i")</t>
  </si>
  <si>
    <t xml:space="preserve">IMSEC("i")</t>
  </si>
  <si>
    <t xml:space="preserve">IMSEC("-i")</t>
  </si>
  <si>
    <t xml:space="preserve">IMSEC("3")</t>
  </si>
  <si>
    <t xml:space="preserve">IMSEC("0")</t>
  </si>
  <si>
    <t xml:space="preserve">IMSEC("1+i")</t>
  </si>
  <si>
    <t xml:space="preserve">IMSEC("1-i")</t>
  </si>
  <si>
    <t xml:space="preserve">IMSEC("-1-i")</t>
  </si>
  <si>
    <t xml:space="preserve">IMSEC("2.5+3.5i")</t>
  </si>
  <si>
    <t xml:space="preserve">IMSEC("1E2+1E-2i")</t>
  </si>
  <si>
    <t xml:space="preserve">IMSEC("3+4j")</t>
  </si>
  <si>
    <t xml:space="preserve">IMSEC("j")</t>
  </si>
  <si>
    <t xml:space="preserve">IMSEC("-j")</t>
  </si>
  <si>
    <t xml:space="preserve">IMSEC("2j")</t>
  </si>
  <si>
    <t xml:space="preserve">IMSEC("1+2k")</t>
  </si>
  <si>
    <t xml:space="preserve">IMSEC("+3+4i")</t>
  </si>
  <si>
    <t xml:space="preserve">IMSEC("3+ 4i")</t>
  </si>
  <si>
    <t xml:space="preserve">IMSEC(" 3+4i")</t>
  </si>
  <si>
    <t xml:space="preserve">IMSEC("3+4I")</t>
  </si>
  <si>
    <t xml:space="preserve">IMSEC("3+4i ")</t>
  </si>
  <si>
    <t xml:space="preserve">IMSEC("1+i+j")</t>
  </si>
  <si>
    <t xml:space="preserve">IMSEC("abc")</t>
  </si>
  <si>
    <t xml:space="preserve">IMSEC("")</t>
  </si>
  <si>
    <t xml:space="preserve">IMSEC("i3")</t>
  </si>
  <si>
    <t xml:space="preserve">IMSEC("3i+4")</t>
  </si>
  <si>
    <t xml:space="preserve">IMSEC("(1+i)")</t>
  </si>
  <si>
    <t xml:space="preserve">IMSEC("1.5E300+1E300i")</t>
  </si>
  <si>
    <t xml:space="preserve">IMSEC("0+0i")</t>
  </si>
  <si>
    <t xml:space="preserve">IMSEC("-0-0i")</t>
  </si>
  <si>
    <t xml:space="preserve">IMSEC("1/2+i")</t>
  </si>
  <si>
    <t xml:space="preserve">IMSEC("1e1+i")</t>
  </si>
  <si>
    <t xml:space="preserve">IMSEC("1+1e1i")</t>
  </si>
  <si>
    <t xml:space="preserve">IMSEC(".5+.5i")</t>
  </si>
  <si>
    <t xml:space="preserve">IMSEC("5.")</t>
  </si>
  <si>
    <t xml:space="preserve">IMSEC("1,5+2i")</t>
  </si>
  <si>
    <t xml:space="preserve">IMSEC("3++4i")</t>
  </si>
  <si>
    <t xml:space="preserve">IMSEC("3+-4i")</t>
  </si>
  <si>
    <t xml:space="preserve">IMSEC("--3")</t>
  </si>
  <si>
    <t xml:space="preserve">IMSEC("3i4")</t>
  </si>
  <si>
    <t xml:space="preserve">IMSEC("0.1+0.2i")</t>
  </si>
  <si>
    <t xml:space="preserve">IMSEC("-2.5")</t>
  </si>
  <si>
    <t xml:space="preserve">IMSEC("1E+2i")</t>
  </si>
  <si>
    <t xml:space="preserve">IMSEC("1E-2i")</t>
  </si>
  <si>
    <t xml:space="preserve">IMSEC("12345678901234567890+1i")</t>
  </si>
  <si>
    <t xml:space="preserve">IMSEC("1+i2")</t>
  </si>
  <si>
    <t xml:space="preserve">IMSEC("ii")</t>
  </si>
  <si>
    <t xml:space="preserve">IMSEC("3 + 4i")</t>
  </si>
  <si>
    <t xml:space="preserve">IMSEC("4i+3")</t>
  </si>
  <si>
    <t xml:space="preserve">IMSEC("1+0i")</t>
  </si>
  <si>
    <t xml:space="preserve">IMSEC("0+1i")</t>
  </si>
  <si>
    <t xml:space="preserve">IMSEC("0-1i")</t>
  </si>
  <si>
    <t xml:space="preserve">IMSEC("-1+0i")</t>
  </si>
  <si>
    <t xml:space="preserve">IMSEC("1e-10+1e-10i")</t>
  </si>
  <si>
    <t xml:space="preserve">IMSEC("2+0.0000001i")</t>
  </si>
  <si>
    <t xml:space="preserve">IMSEC("TRUE")</t>
  </si>
  <si>
    <t xml:space="preserve">IMSEC("1+Ii")</t>
  </si>
  <si>
    <t xml:space="preserve">IMSEC(5)</t>
  </si>
  <si>
    <t xml:space="preserve">IMSEC(TRUE)</t>
  </si>
  <si>
    <t xml:space="preserve">IMSEC(Data!D1)</t>
  </si>
  <si>
    <t xml:space="preserve">IMSEC(Data!A1)</t>
  </si>
  <si>
    <t xml:space="preserve">IMSEC(Data!B1)</t>
  </si>
  <si>
    <t xml:space="preserve">IMSEC(NA())</t>
  </si>
  <si>
    <t xml:space="preserve">IMSEC("3+4i",1)</t>
  </si>
  <si>
    <t xml:space="preserve">IMSEC()</t>
  </si>
  <si>
    <t xml:space="preserve">IMSEC(Data!A1:A3)</t>
  </si>
  <si>
    <t xml:space="preserve">IMSEC(-2.5)</t>
  </si>
  <si>
    <t xml:space="preserve">IMSEC(1E300)</t>
  </si>
  <si>
    <t xml:space="preserve">IMSEC(1E-300)</t>
  </si>
  <si>
    <t xml:space="preserve">IMCSC("3+4i")</t>
  </si>
  <si>
    <t xml:space="preserve">IMCSC("3-4i")</t>
  </si>
  <si>
    <t xml:space="preserve">IMCSC("4i")</t>
  </si>
  <si>
    <t xml:space="preserve">IMCSC("-4i")</t>
  </si>
  <si>
    <t xml:space="preserve">IMCSC("i")</t>
  </si>
  <si>
    <t xml:space="preserve">IMCSC("-i")</t>
  </si>
  <si>
    <t xml:space="preserve">IMCSC("3")</t>
  </si>
  <si>
    <t xml:space="preserve">IMCSC("0")</t>
  </si>
  <si>
    <t xml:space="preserve">IMCSC("1+i")</t>
  </si>
  <si>
    <t xml:space="preserve">IMCSC("1-i")</t>
  </si>
  <si>
    <t xml:space="preserve">IMCSC("-1-i")</t>
  </si>
  <si>
    <t xml:space="preserve">IMCSC("2.5+3.5i")</t>
  </si>
  <si>
    <t xml:space="preserve">IMCSC("1E2+1E-2i")</t>
  </si>
  <si>
    <t xml:space="preserve">IMCSC("3+4j")</t>
  </si>
  <si>
    <t xml:space="preserve">IMCSC("j")</t>
  </si>
  <si>
    <t xml:space="preserve">IMCSC("-j")</t>
  </si>
  <si>
    <t xml:space="preserve">IMCSC("2j")</t>
  </si>
  <si>
    <t xml:space="preserve">IMCSC("1+2k")</t>
  </si>
  <si>
    <t xml:space="preserve">IMCSC("+3+4i")</t>
  </si>
  <si>
    <t xml:space="preserve">IMCSC("3+ 4i")</t>
  </si>
  <si>
    <t xml:space="preserve">IMCSC(" 3+4i")</t>
  </si>
  <si>
    <t xml:space="preserve">IMCSC("3+4I")</t>
  </si>
  <si>
    <t xml:space="preserve">IMCSC("3+4i ")</t>
  </si>
  <si>
    <t xml:space="preserve">IMCSC("1+i+j")</t>
  </si>
  <si>
    <t xml:space="preserve">IMCSC("abc")</t>
  </si>
  <si>
    <t xml:space="preserve">IMCSC("")</t>
  </si>
  <si>
    <t xml:space="preserve">IMCSC("i3")</t>
  </si>
  <si>
    <t xml:space="preserve">IMCSC("3i+4")</t>
  </si>
  <si>
    <t xml:space="preserve">IMCSC("(1+i)")</t>
  </si>
  <si>
    <t xml:space="preserve">IMCSC("1.5E300+1E300i")</t>
  </si>
  <si>
    <t xml:space="preserve">IMCSC("0+0i")</t>
  </si>
  <si>
    <t xml:space="preserve">IMCSC("-0-0i")</t>
  </si>
  <si>
    <t xml:space="preserve">IMCSC("1/2+i")</t>
  </si>
  <si>
    <t xml:space="preserve">IMCSC("1e1+i")</t>
  </si>
  <si>
    <t xml:space="preserve">IMCSC("1+1e1i")</t>
  </si>
  <si>
    <t xml:space="preserve">IMCSC(".5+.5i")</t>
  </si>
  <si>
    <t xml:space="preserve">IMCSC("5.")</t>
  </si>
  <si>
    <t xml:space="preserve">IMCSC("1,5+2i")</t>
  </si>
  <si>
    <t xml:space="preserve">IMCSC("3++4i")</t>
  </si>
  <si>
    <t xml:space="preserve">IMCSC("3+-4i")</t>
  </si>
  <si>
    <t xml:space="preserve">IMCSC("--3")</t>
  </si>
  <si>
    <t xml:space="preserve">IMCSC("3i4")</t>
  </si>
  <si>
    <t xml:space="preserve">IMCSC("0.1+0.2i")</t>
  </si>
  <si>
    <t xml:space="preserve">IMCSC("-2.5")</t>
  </si>
  <si>
    <t xml:space="preserve">IMCSC("1E+2i")</t>
  </si>
  <si>
    <t xml:space="preserve">IMCSC("1E-2i")</t>
  </si>
  <si>
    <t xml:space="preserve">IMCSC("12345678901234567890+1i")</t>
  </si>
  <si>
    <t xml:space="preserve">IMCSC("1+i2")</t>
  </si>
  <si>
    <t xml:space="preserve">IMCSC("ii")</t>
  </si>
  <si>
    <t xml:space="preserve">IMCSC("3 + 4i")</t>
  </si>
  <si>
    <t xml:space="preserve">IMCSC("4i+3")</t>
  </si>
  <si>
    <t xml:space="preserve">IMCSC("1+0i")</t>
  </si>
  <si>
    <t xml:space="preserve">IMCSC("0+1i")</t>
  </si>
  <si>
    <t xml:space="preserve">IMCSC("0-1i")</t>
  </si>
  <si>
    <t xml:space="preserve">IMCSC("-1+0i")</t>
  </si>
  <si>
    <t xml:space="preserve">IMCSC("1e-10+1e-10i")</t>
  </si>
  <si>
    <t xml:space="preserve">IMCSC("2+0.0000001i")</t>
  </si>
  <si>
    <t xml:space="preserve">IMCSC("TRUE")</t>
  </si>
  <si>
    <t xml:space="preserve">IMCSC("1+Ii")</t>
  </si>
  <si>
    <t xml:space="preserve">IMCSC(5)</t>
  </si>
  <si>
    <t xml:space="preserve">IMCSC(TRUE)</t>
  </si>
  <si>
    <t xml:space="preserve">IMCSC(Data!D1)</t>
  </si>
  <si>
    <t xml:space="preserve">IMCSC(Data!A1)</t>
  </si>
  <si>
    <t xml:space="preserve">IMCSC(Data!B1)</t>
  </si>
  <si>
    <t xml:space="preserve">IMCSC(NA())</t>
  </si>
  <si>
    <t xml:space="preserve">IMCSC("3+4i",1)</t>
  </si>
  <si>
    <t xml:space="preserve">IMCSC()</t>
  </si>
  <si>
    <t xml:space="preserve">IMCSC(Data!A1:A3)</t>
  </si>
  <si>
    <t xml:space="preserve">IMCSC(-2.5)</t>
  </si>
  <si>
    <t xml:space="preserve">IMCSC(1E300)</t>
  </si>
  <si>
    <t xml:space="preserve">IMCSC(1E-300)</t>
  </si>
  <si>
    <t xml:space="preserve">IMCOT("3+4i")</t>
  </si>
  <si>
    <t xml:space="preserve">IMCOT("3-4i")</t>
  </si>
  <si>
    <t xml:space="preserve">IMCOT("4i")</t>
  </si>
  <si>
    <t xml:space="preserve">IMCOT("-4i")</t>
  </si>
  <si>
    <t xml:space="preserve">IMCOT("i")</t>
  </si>
  <si>
    <t xml:space="preserve">IMCOT("-i")</t>
  </si>
  <si>
    <t xml:space="preserve">IMCOT("3")</t>
  </si>
  <si>
    <t xml:space="preserve">IMCOT("0")</t>
  </si>
  <si>
    <t xml:space="preserve">IMCOT("1+i")</t>
  </si>
  <si>
    <t xml:space="preserve">IMCOT("1-i")</t>
  </si>
  <si>
    <t xml:space="preserve">IMCOT("-1-i")</t>
  </si>
  <si>
    <t xml:space="preserve">IMCOT("2.5+3.5i")</t>
  </si>
  <si>
    <t xml:space="preserve">IMCOT("1E2+1E-2i")</t>
  </si>
  <si>
    <t xml:space="preserve">IMCOT("3+4j")</t>
  </si>
  <si>
    <t xml:space="preserve">IMCOT("j")</t>
  </si>
  <si>
    <t xml:space="preserve">IMCOT("-j")</t>
  </si>
  <si>
    <t xml:space="preserve">IMCOT("2j")</t>
  </si>
  <si>
    <t xml:space="preserve">IMCOT("1+2k")</t>
  </si>
  <si>
    <t xml:space="preserve">IMCOT("+3+4i")</t>
  </si>
  <si>
    <t xml:space="preserve">IMCOT("3+ 4i")</t>
  </si>
  <si>
    <t xml:space="preserve">IMCOT(" 3+4i")</t>
  </si>
  <si>
    <t xml:space="preserve">IMCOT("3+4I")</t>
  </si>
  <si>
    <t xml:space="preserve">IMCOT("3+4i ")</t>
  </si>
  <si>
    <t xml:space="preserve">IMCOT("1+i+j")</t>
  </si>
  <si>
    <t xml:space="preserve">IMCOT("abc")</t>
  </si>
  <si>
    <t xml:space="preserve">IMCOT("")</t>
  </si>
  <si>
    <t xml:space="preserve">IMCOT("i3")</t>
  </si>
  <si>
    <t xml:space="preserve">IMCOT("3i+4")</t>
  </si>
  <si>
    <t xml:space="preserve">IMCOT("(1+i)")</t>
  </si>
  <si>
    <t xml:space="preserve">IMCOT("1.5E300+1E300i")</t>
  </si>
  <si>
    <t xml:space="preserve">IMCOT("0+0i")</t>
  </si>
  <si>
    <t xml:space="preserve">IMCOT("-0-0i")</t>
  </si>
  <si>
    <t xml:space="preserve">IMCOT("1/2+i")</t>
  </si>
  <si>
    <t xml:space="preserve">IMCOT("1e1+i")</t>
  </si>
  <si>
    <t xml:space="preserve">IMCOT("1+1e1i")</t>
  </si>
  <si>
    <t xml:space="preserve">IMCOT(".5+.5i")</t>
  </si>
  <si>
    <t xml:space="preserve">IMCOT("5.")</t>
  </si>
  <si>
    <t xml:space="preserve">IMCOT("1,5+2i")</t>
  </si>
  <si>
    <t xml:space="preserve">IMCOT("3++4i")</t>
  </si>
  <si>
    <t xml:space="preserve">IMCOT("3+-4i")</t>
  </si>
  <si>
    <t xml:space="preserve">IMCOT("--3")</t>
  </si>
  <si>
    <t xml:space="preserve">IMCOT("3i4")</t>
  </si>
  <si>
    <t xml:space="preserve">IMCOT("0.1+0.2i")</t>
  </si>
  <si>
    <t xml:space="preserve">IMCOT("-2.5")</t>
  </si>
  <si>
    <t xml:space="preserve">IMCOT("1E+2i")</t>
  </si>
  <si>
    <t xml:space="preserve">IMCOT("1E-2i")</t>
  </si>
  <si>
    <t xml:space="preserve">IMCOT("12345678901234567890+1i")</t>
  </si>
  <si>
    <t xml:space="preserve">IMCOT("1+i2")</t>
  </si>
  <si>
    <t xml:space="preserve">IMCOT("ii")</t>
  </si>
  <si>
    <t xml:space="preserve">IMCOT("3 + 4i")</t>
  </si>
  <si>
    <t xml:space="preserve">IMCOT("4i+3")</t>
  </si>
  <si>
    <t xml:space="preserve">IMCOT("1+0i")</t>
  </si>
  <si>
    <t xml:space="preserve">IMCOT("0+1i")</t>
  </si>
  <si>
    <t xml:space="preserve">IMCOT("0-1i")</t>
  </si>
  <si>
    <t xml:space="preserve">IMCOT("-1+0i")</t>
  </si>
  <si>
    <t xml:space="preserve">IMCOT("1e-10+1e-10i")</t>
  </si>
  <si>
    <t xml:space="preserve">IMCOT("2+0.0000001i")</t>
  </si>
  <si>
    <t xml:space="preserve">IMCOT("TRUE")</t>
  </si>
  <si>
    <t xml:space="preserve">IMCOT("1+Ii")</t>
  </si>
  <si>
    <t xml:space="preserve">IMCOT(5)</t>
  </si>
  <si>
    <t xml:space="preserve">IMCOT(TRUE)</t>
  </si>
  <si>
    <t xml:space="preserve">IMCOT(Data!D1)</t>
  </si>
  <si>
    <t xml:space="preserve">IMCOT(Data!A1)</t>
  </si>
  <si>
    <t xml:space="preserve">IMCOT(Data!B1)</t>
  </si>
  <si>
    <t xml:space="preserve">IMCOT(NA())</t>
  </si>
  <si>
    <t xml:space="preserve">IMCOT("3+4i",1)</t>
  </si>
  <si>
    <t xml:space="preserve">IMCOT()</t>
  </si>
  <si>
    <t xml:space="preserve">IMCOT(Data!A1:A3)</t>
  </si>
  <si>
    <t xml:space="preserve">IMCOT(-2.5)</t>
  </si>
  <si>
    <t xml:space="preserve">IMCOT(1E300)</t>
  </si>
  <si>
    <t xml:space="preserve">IMCOT(1E-300)</t>
  </si>
  <si>
    <t xml:space="preserve">IMSINH("3+4i")</t>
  </si>
  <si>
    <t xml:space="preserve">IMSINH("3-4i")</t>
  </si>
  <si>
    <t xml:space="preserve">IMSINH("4i")</t>
  </si>
  <si>
    <t xml:space="preserve">IMSINH("-4i")</t>
  </si>
  <si>
    <t xml:space="preserve">IMSINH("i")</t>
  </si>
  <si>
    <t xml:space="preserve">IMSINH("-i")</t>
  </si>
  <si>
    <t xml:space="preserve">IMSINH("3")</t>
  </si>
  <si>
    <t xml:space="preserve">IMSINH("0")</t>
  </si>
  <si>
    <t xml:space="preserve">IMSINH("1+i")</t>
  </si>
  <si>
    <t xml:space="preserve">IMSINH("1-i")</t>
  </si>
  <si>
    <t xml:space="preserve">IMSINH("-1-i")</t>
  </si>
  <si>
    <t xml:space="preserve">IMSINH("2.5+3.5i")</t>
  </si>
  <si>
    <t xml:space="preserve">IMSINH("1E2+1E-2i")</t>
  </si>
  <si>
    <t xml:space="preserve">IMSINH("3+4j")</t>
  </si>
  <si>
    <t xml:space="preserve">IMSINH("j")</t>
  </si>
  <si>
    <t xml:space="preserve">IMSINH("-j")</t>
  </si>
  <si>
    <t xml:space="preserve">IMSINH("2j")</t>
  </si>
  <si>
    <t xml:space="preserve">IMSINH("1+2k")</t>
  </si>
  <si>
    <t xml:space="preserve">IMSINH("+3+4i")</t>
  </si>
  <si>
    <t xml:space="preserve">IMSINH("3+ 4i")</t>
  </si>
  <si>
    <t xml:space="preserve">IMSINH(" 3+4i")</t>
  </si>
  <si>
    <t xml:space="preserve">IMSINH("3+4I")</t>
  </si>
  <si>
    <t xml:space="preserve">IMSINH("3+4i ")</t>
  </si>
  <si>
    <t xml:space="preserve">IMSINH("1+i+j")</t>
  </si>
  <si>
    <t xml:space="preserve">IMSINH("abc")</t>
  </si>
  <si>
    <t xml:space="preserve">IMSINH("")</t>
  </si>
  <si>
    <t xml:space="preserve">IMSINH("i3")</t>
  </si>
  <si>
    <t xml:space="preserve">IMSINH("3i+4")</t>
  </si>
  <si>
    <t xml:space="preserve">IMSINH("(1+i)")</t>
  </si>
  <si>
    <t xml:space="preserve">IMSINH("1.5E300+1E300i")</t>
  </si>
  <si>
    <t xml:space="preserve">IMSINH("0+0i")</t>
  </si>
  <si>
    <t xml:space="preserve">IMSINH("-0-0i")</t>
  </si>
  <si>
    <t xml:space="preserve">IMSINH("1/2+i")</t>
  </si>
  <si>
    <t xml:space="preserve">IMSINH("1e1+i")</t>
  </si>
  <si>
    <t xml:space="preserve">IMSINH("1+1e1i")</t>
  </si>
  <si>
    <t xml:space="preserve">IMSINH(".5+.5i")</t>
  </si>
  <si>
    <t xml:space="preserve">IMSINH("5.")</t>
  </si>
  <si>
    <t xml:space="preserve">IMSINH("1,5+2i")</t>
  </si>
  <si>
    <t xml:space="preserve">IMSINH("3++4i")</t>
  </si>
  <si>
    <t xml:space="preserve">IMSINH("3+-4i")</t>
  </si>
  <si>
    <t xml:space="preserve">IMSINH("--3")</t>
  </si>
  <si>
    <t xml:space="preserve">IMSINH("3i4")</t>
  </si>
  <si>
    <t xml:space="preserve">IMSINH("0.1+0.2i")</t>
  </si>
  <si>
    <t xml:space="preserve">IMSINH("-2.5")</t>
  </si>
  <si>
    <t xml:space="preserve">IMSINH("1E+2i")</t>
  </si>
  <si>
    <t xml:space="preserve">IMSINH("1E-2i")</t>
  </si>
  <si>
    <t xml:space="preserve">IMSINH("12345678901234567890+1i")</t>
  </si>
  <si>
    <t xml:space="preserve">IMSINH("1+i2")</t>
  </si>
  <si>
    <t xml:space="preserve">IMSINH("ii")</t>
  </si>
  <si>
    <t xml:space="preserve">IMSINH("3 + 4i")</t>
  </si>
  <si>
    <t xml:space="preserve">IMSINH("4i+3")</t>
  </si>
  <si>
    <t xml:space="preserve">IMSINH("1+0i")</t>
  </si>
  <si>
    <t xml:space="preserve">IMSINH("0+1i")</t>
  </si>
  <si>
    <t xml:space="preserve">IMSINH("0-1i")</t>
  </si>
  <si>
    <t xml:space="preserve">IMSINH("-1+0i")</t>
  </si>
  <si>
    <t xml:space="preserve">IMSINH("1e-10+1e-10i")</t>
  </si>
  <si>
    <t xml:space="preserve">IMSINH("2+0.0000001i")</t>
  </si>
  <si>
    <t xml:space="preserve">IMSINH("TRUE")</t>
  </si>
  <si>
    <t xml:space="preserve">IMSINH("1+Ii")</t>
  </si>
  <si>
    <t xml:space="preserve">IMSINH(5)</t>
  </si>
  <si>
    <t xml:space="preserve">IMSINH(TRUE)</t>
  </si>
  <si>
    <t xml:space="preserve">IMSINH(Data!D1)</t>
  </si>
  <si>
    <t xml:space="preserve">IMSINH(Data!A1)</t>
  </si>
  <si>
    <t xml:space="preserve">IMSINH(Data!B1)</t>
  </si>
  <si>
    <t xml:space="preserve">IMSINH(NA())</t>
  </si>
  <si>
    <t xml:space="preserve">IMSINH("3+4i",1)</t>
  </si>
  <si>
    <t xml:space="preserve">IMSINH()</t>
  </si>
  <si>
    <t xml:space="preserve">IMSINH(Data!A1:A3)</t>
  </si>
  <si>
    <t xml:space="preserve">IMSINH(-2.5)</t>
  </si>
  <si>
    <t xml:space="preserve">IMSINH(1E300)</t>
  </si>
  <si>
    <t xml:space="preserve">IMSINH(1E-300)</t>
  </si>
  <si>
    <t xml:space="preserve">IMCOSH("3+4i")</t>
  </si>
  <si>
    <t xml:space="preserve">IMCOSH("3-4i")</t>
  </si>
  <si>
    <t xml:space="preserve">IMCOSH("4i")</t>
  </si>
  <si>
    <t xml:space="preserve">IMCOSH("-4i")</t>
  </si>
  <si>
    <t xml:space="preserve">IMCOSH("i")</t>
  </si>
  <si>
    <t xml:space="preserve">IMCOSH("-i")</t>
  </si>
  <si>
    <t xml:space="preserve">IMCOSH("3")</t>
  </si>
  <si>
    <t xml:space="preserve">IMCOSH("0")</t>
  </si>
  <si>
    <t xml:space="preserve">IMCOSH("1+i")</t>
  </si>
  <si>
    <t xml:space="preserve">IMCOSH("1-i")</t>
  </si>
  <si>
    <t xml:space="preserve">IMCOSH("-1-i")</t>
  </si>
  <si>
    <t xml:space="preserve">IMCOSH("2.5+3.5i")</t>
  </si>
  <si>
    <t xml:space="preserve">IMCOSH("1E2+1E-2i")</t>
  </si>
  <si>
    <t xml:space="preserve">IMCOSH("3+4j")</t>
  </si>
  <si>
    <t xml:space="preserve">IMCOSH("j")</t>
  </si>
  <si>
    <t xml:space="preserve">IMCOSH("-j")</t>
  </si>
  <si>
    <t xml:space="preserve">IMCOSH("2j")</t>
  </si>
  <si>
    <t xml:space="preserve">IMCOSH("1+2k")</t>
  </si>
  <si>
    <t xml:space="preserve">IMCOSH("+3+4i")</t>
  </si>
  <si>
    <t xml:space="preserve">IMCOSH("3+ 4i")</t>
  </si>
  <si>
    <t xml:space="preserve">IMCOSH(" 3+4i")</t>
  </si>
  <si>
    <t xml:space="preserve">IMCOSH("3+4I")</t>
  </si>
  <si>
    <t xml:space="preserve">IMCOSH("3+4i ")</t>
  </si>
  <si>
    <t xml:space="preserve">IMCOSH("1+i+j")</t>
  </si>
  <si>
    <t xml:space="preserve">IMCOSH("abc")</t>
  </si>
  <si>
    <t xml:space="preserve">IMCOSH("")</t>
  </si>
  <si>
    <t xml:space="preserve">IMCOSH("i3")</t>
  </si>
  <si>
    <t xml:space="preserve">IMCOSH("3i+4")</t>
  </si>
  <si>
    <t xml:space="preserve">IMCOSH("(1+i)")</t>
  </si>
  <si>
    <t xml:space="preserve">IMCOSH("1.5E300+1E300i")</t>
  </si>
  <si>
    <t xml:space="preserve">IMCOSH("0+0i")</t>
  </si>
  <si>
    <t xml:space="preserve">IMCOSH("-0-0i")</t>
  </si>
  <si>
    <t xml:space="preserve">IMCOSH("1/2+i")</t>
  </si>
  <si>
    <t xml:space="preserve">IMCOSH("1e1+i")</t>
  </si>
  <si>
    <t xml:space="preserve">IMCOSH("1+1e1i")</t>
  </si>
  <si>
    <t xml:space="preserve">IMCOSH(".5+.5i")</t>
  </si>
  <si>
    <t xml:space="preserve">IMCOSH("5.")</t>
  </si>
  <si>
    <t xml:space="preserve">IMCOSH("1,5+2i")</t>
  </si>
  <si>
    <t xml:space="preserve">IMCOSH("3++4i")</t>
  </si>
  <si>
    <t xml:space="preserve">IMCOSH("3+-4i")</t>
  </si>
  <si>
    <t xml:space="preserve">IMCOSH("--3")</t>
  </si>
  <si>
    <t xml:space="preserve">IMCOSH("3i4")</t>
  </si>
  <si>
    <t xml:space="preserve">IMCOSH("0.1+0.2i")</t>
  </si>
  <si>
    <t xml:space="preserve">IMCOSH("-2.5")</t>
  </si>
  <si>
    <t xml:space="preserve">IMCOSH("1E+2i")</t>
  </si>
  <si>
    <t xml:space="preserve">IMCOSH("1E-2i")</t>
  </si>
  <si>
    <t xml:space="preserve">IMCOSH("12345678901234567890+1i")</t>
  </si>
  <si>
    <t xml:space="preserve">IMCOSH("1+i2")</t>
  </si>
  <si>
    <t xml:space="preserve">IMCOSH("ii")</t>
  </si>
  <si>
    <t xml:space="preserve">IMCOSH("3 + 4i")</t>
  </si>
  <si>
    <t xml:space="preserve">IMCOSH("4i+3")</t>
  </si>
  <si>
    <t xml:space="preserve">IMCOSH("1+0i")</t>
  </si>
  <si>
    <t xml:space="preserve">IMCOSH("0+1i")</t>
  </si>
  <si>
    <t xml:space="preserve">IMCOSH("0-1i")</t>
  </si>
  <si>
    <t xml:space="preserve">IMCOSH("-1+0i")</t>
  </si>
  <si>
    <t xml:space="preserve">IMCOSH("1e-10+1e-10i")</t>
  </si>
  <si>
    <t xml:space="preserve">IMCOSH("2+0.0000001i")</t>
  </si>
  <si>
    <t xml:space="preserve">IMCOSH("TRUE")</t>
  </si>
  <si>
    <t xml:space="preserve">IMCOSH("1+Ii")</t>
  </si>
  <si>
    <t xml:space="preserve">IMCOSH(5)</t>
  </si>
  <si>
    <t xml:space="preserve">IMCOSH(TRUE)</t>
  </si>
  <si>
    <t xml:space="preserve">IMCOSH(Data!D1)</t>
  </si>
  <si>
    <t xml:space="preserve">IMCOSH(Data!A1)</t>
  </si>
  <si>
    <t xml:space="preserve">IMCOSH(Data!B1)</t>
  </si>
  <si>
    <t xml:space="preserve">IMCOSH(NA())</t>
  </si>
  <si>
    <t xml:space="preserve">IMCOSH("3+4i",1)</t>
  </si>
  <si>
    <t xml:space="preserve">IMCOSH()</t>
  </si>
  <si>
    <t xml:space="preserve">IMCOSH(Data!A1:A3)</t>
  </si>
  <si>
    <t xml:space="preserve">IMCOSH(-2.5)</t>
  </si>
  <si>
    <t xml:space="preserve">IMCOSH(1E300)</t>
  </si>
  <si>
    <t xml:space="preserve">IMCOSH(1E-300)</t>
  </si>
  <si>
    <t xml:space="preserve">IMSECH("3+4i")</t>
  </si>
  <si>
    <t xml:space="preserve">IMSECH("3-4i")</t>
  </si>
  <si>
    <t xml:space="preserve">IMSECH("4i")</t>
  </si>
  <si>
    <t xml:space="preserve">IMSECH("-4i")</t>
  </si>
  <si>
    <t xml:space="preserve">IMSECH("i")</t>
  </si>
  <si>
    <t xml:space="preserve">IMSECH("-i")</t>
  </si>
  <si>
    <t xml:space="preserve">IMSECH("3")</t>
  </si>
  <si>
    <t xml:space="preserve">IMSECH("0")</t>
  </si>
  <si>
    <t xml:space="preserve">IMSECH("1+i")</t>
  </si>
  <si>
    <t xml:space="preserve">IMSECH("1-i")</t>
  </si>
  <si>
    <t xml:space="preserve">IMSECH("-1-i")</t>
  </si>
  <si>
    <t xml:space="preserve">IMSECH("2.5+3.5i")</t>
  </si>
  <si>
    <t xml:space="preserve">IMSECH("1E2+1E-2i")</t>
  </si>
  <si>
    <t xml:space="preserve">IMSECH("3+4j")</t>
  </si>
  <si>
    <t xml:space="preserve">IMSECH("j")</t>
  </si>
  <si>
    <t xml:space="preserve">IMSECH("-j")</t>
  </si>
  <si>
    <t xml:space="preserve">IMSECH("2j")</t>
  </si>
  <si>
    <t xml:space="preserve">IMSECH("1+2k")</t>
  </si>
  <si>
    <t xml:space="preserve">IMSECH("+3+4i")</t>
  </si>
  <si>
    <t xml:space="preserve">IMSECH("3+ 4i")</t>
  </si>
  <si>
    <t xml:space="preserve">IMSECH(" 3+4i")</t>
  </si>
  <si>
    <t xml:space="preserve">IMSECH("3+4I")</t>
  </si>
  <si>
    <t xml:space="preserve">IMSECH("3+4i ")</t>
  </si>
  <si>
    <t xml:space="preserve">IMSECH("1+i+j")</t>
  </si>
  <si>
    <t xml:space="preserve">IMSECH("abc")</t>
  </si>
  <si>
    <t xml:space="preserve">IMSECH("")</t>
  </si>
  <si>
    <t xml:space="preserve">IMSECH("i3")</t>
  </si>
  <si>
    <t xml:space="preserve">IMSECH("3i+4")</t>
  </si>
  <si>
    <t xml:space="preserve">IMSECH("(1+i)")</t>
  </si>
  <si>
    <t xml:space="preserve">IMSECH("1.5E300+1E300i")</t>
  </si>
  <si>
    <t xml:space="preserve">IMSECH("0+0i")</t>
  </si>
  <si>
    <t xml:space="preserve">IMSECH("-0-0i")</t>
  </si>
  <si>
    <t xml:space="preserve">IMSECH("1/2+i")</t>
  </si>
  <si>
    <t xml:space="preserve">IMSECH("1e1+i")</t>
  </si>
  <si>
    <t xml:space="preserve">IMSECH("1+1e1i")</t>
  </si>
  <si>
    <t xml:space="preserve">IMSECH(".5+.5i")</t>
  </si>
  <si>
    <t xml:space="preserve">IMSECH("5.")</t>
  </si>
  <si>
    <t xml:space="preserve">IMSECH("1,5+2i")</t>
  </si>
  <si>
    <t xml:space="preserve">IMSECH("3++4i")</t>
  </si>
  <si>
    <t xml:space="preserve">IMSECH("3+-4i")</t>
  </si>
  <si>
    <t xml:space="preserve">IMSECH("--3")</t>
  </si>
  <si>
    <t xml:space="preserve">IMSECH("3i4")</t>
  </si>
  <si>
    <t xml:space="preserve">IMSECH("0.1+0.2i")</t>
  </si>
  <si>
    <t xml:space="preserve">IMSECH("-2.5")</t>
  </si>
  <si>
    <t xml:space="preserve">IMSECH("1E+2i")</t>
  </si>
  <si>
    <t xml:space="preserve">IMSECH("1E-2i")</t>
  </si>
  <si>
    <t xml:space="preserve">IMSECH("12345678901234567890+1i")</t>
  </si>
  <si>
    <t xml:space="preserve">IMSECH("1+i2")</t>
  </si>
  <si>
    <t xml:space="preserve">IMSECH("ii")</t>
  </si>
  <si>
    <t xml:space="preserve">IMSECH("3 + 4i")</t>
  </si>
  <si>
    <t xml:space="preserve">IMSECH("4i+3")</t>
  </si>
  <si>
    <t xml:space="preserve">IMSECH("1+0i")</t>
  </si>
  <si>
    <t xml:space="preserve">IMSECH("0+1i")</t>
  </si>
  <si>
    <t xml:space="preserve">IMSECH("0-1i")</t>
  </si>
  <si>
    <t xml:space="preserve">IMSECH("-1+0i")</t>
  </si>
  <si>
    <t xml:space="preserve">IMSECH("1e-10+1e-10i")</t>
  </si>
  <si>
    <t xml:space="preserve">IMSECH("2+0.0000001i")</t>
  </si>
  <si>
    <t xml:space="preserve">IMSECH("TRUE")</t>
  </si>
  <si>
    <t xml:space="preserve">IMSECH("1+Ii")</t>
  </si>
  <si>
    <t xml:space="preserve">IMSECH(5)</t>
  </si>
  <si>
    <t xml:space="preserve">IMSECH(TRUE)</t>
  </si>
  <si>
    <t xml:space="preserve">IMSECH(Data!D1)</t>
  </si>
  <si>
    <t xml:space="preserve">IMSECH(Data!A1)</t>
  </si>
  <si>
    <t xml:space="preserve">IMSECH(Data!B1)</t>
  </si>
  <si>
    <t xml:space="preserve">IMSECH(NA())</t>
  </si>
  <si>
    <t xml:space="preserve">IMSECH("3+4i",1)</t>
  </si>
  <si>
    <t xml:space="preserve">IMSECH()</t>
  </si>
  <si>
    <t xml:space="preserve">IMSECH(Data!A1:A3)</t>
  </si>
  <si>
    <t xml:space="preserve">IMSECH(-2.5)</t>
  </si>
  <si>
    <t xml:space="preserve">IMSECH(1E300)</t>
  </si>
  <si>
    <t xml:space="preserve">IMSECH(1E-300)</t>
  </si>
  <si>
    <t xml:space="preserve">IMCSCH("3+4i")</t>
  </si>
  <si>
    <t xml:space="preserve">IMCSCH("3-4i")</t>
  </si>
  <si>
    <t xml:space="preserve">IMCSCH("4i")</t>
  </si>
  <si>
    <t xml:space="preserve">IMCSCH("-4i")</t>
  </si>
  <si>
    <t xml:space="preserve">IMCSCH("i")</t>
  </si>
  <si>
    <t xml:space="preserve">IMCSCH("-i")</t>
  </si>
  <si>
    <t xml:space="preserve">IMCSCH("3")</t>
  </si>
  <si>
    <t xml:space="preserve">IMCSCH("0")</t>
  </si>
  <si>
    <t xml:space="preserve">IMCSCH("1+i")</t>
  </si>
  <si>
    <t xml:space="preserve">IMCSCH("1-i")</t>
  </si>
  <si>
    <t xml:space="preserve">IMCSCH("-1-i")</t>
  </si>
  <si>
    <t xml:space="preserve">IMCSCH("2.5+3.5i")</t>
  </si>
  <si>
    <t xml:space="preserve">IMCSCH("1E2+1E-2i")</t>
  </si>
  <si>
    <t xml:space="preserve">IMCSCH("3+4j")</t>
  </si>
  <si>
    <t xml:space="preserve">IMCSCH("j")</t>
  </si>
  <si>
    <t xml:space="preserve">IMCSCH("-j")</t>
  </si>
  <si>
    <t xml:space="preserve">IMCSCH("2j")</t>
  </si>
  <si>
    <t xml:space="preserve">IMCSCH("1+2k")</t>
  </si>
  <si>
    <t xml:space="preserve">IMCSCH("+3+4i")</t>
  </si>
  <si>
    <t xml:space="preserve">IMCSCH("3+ 4i")</t>
  </si>
  <si>
    <t xml:space="preserve">IMCSCH(" 3+4i")</t>
  </si>
  <si>
    <t xml:space="preserve">IMCSCH("3+4I")</t>
  </si>
  <si>
    <t xml:space="preserve">IMCSCH("3+4i ")</t>
  </si>
  <si>
    <t xml:space="preserve">IMCSCH("1+i+j")</t>
  </si>
  <si>
    <t xml:space="preserve">IMCSCH("abc")</t>
  </si>
  <si>
    <t xml:space="preserve">IMCSCH("")</t>
  </si>
  <si>
    <t xml:space="preserve">IMCSCH("i3")</t>
  </si>
  <si>
    <t xml:space="preserve">IMCSCH("3i+4")</t>
  </si>
  <si>
    <t xml:space="preserve">IMCSCH("(1+i)")</t>
  </si>
  <si>
    <t xml:space="preserve">IMCSCH("1.5E300+1E300i")</t>
  </si>
  <si>
    <t xml:space="preserve">IMCSCH("0+0i")</t>
  </si>
  <si>
    <t xml:space="preserve">IMCSCH("-0-0i")</t>
  </si>
  <si>
    <t xml:space="preserve">IMCSCH("1/2+i")</t>
  </si>
  <si>
    <t xml:space="preserve">IMCSCH("1e1+i")</t>
  </si>
  <si>
    <t xml:space="preserve">IMCSCH("1+1e1i")</t>
  </si>
  <si>
    <t xml:space="preserve">IMCSCH(".5+.5i")</t>
  </si>
  <si>
    <t xml:space="preserve">IMCSCH("5.")</t>
  </si>
  <si>
    <t xml:space="preserve">IMCSCH("1,5+2i")</t>
  </si>
  <si>
    <t xml:space="preserve">IMCSCH("3++4i")</t>
  </si>
  <si>
    <t xml:space="preserve">IMCSCH("3+-4i")</t>
  </si>
  <si>
    <t xml:space="preserve">IMCSCH("--3")</t>
  </si>
  <si>
    <t xml:space="preserve">IMCSCH("3i4")</t>
  </si>
  <si>
    <t xml:space="preserve">IMCSCH("0.1+0.2i")</t>
  </si>
  <si>
    <t xml:space="preserve">IMCSCH("-2.5")</t>
  </si>
  <si>
    <t xml:space="preserve">IMCSCH("1E+2i")</t>
  </si>
  <si>
    <t xml:space="preserve">IMCSCH("1E-2i")</t>
  </si>
  <si>
    <t xml:space="preserve">IMCSCH("12345678901234567890+1i")</t>
  </si>
  <si>
    <t xml:space="preserve">IMCSCH("1+i2")</t>
  </si>
  <si>
    <t xml:space="preserve">IMCSCH("ii")</t>
  </si>
  <si>
    <t xml:space="preserve">IMCSCH("3 + 4i")</t>
  </si>
  <si>
    <t xml:space="preserve">IMCSCH("4i+3")</t>
  </si>
  <si>
    <t xml:space="preserve">IMCSCH("1+0i")</t>
  </si>
  <si>
    <t xml:space="preserve">IMCSCH("0+1i")</t>
  </si>
  <si>
    <t xml:space="preserve">IMCSCH("0-1i")</t>
  </si>
  <si>
    <t xml:space="preserve">IMCSCH("-1+0i")</t>
  </si>
  <si>
    <t xml:space="preserve">IMCSCH("1e-10+1e-10i")</t>
  </si>
  <si>
    <t xml:space="preserve">IMCSCH("2+0.0000001i")</t>
  </si>
  <si>
    <t xml:space="preserve">IMCSCH("TRUE")</t>
  </si>
  <si>
    <t xml:space="preserve">IMCSCH("1+Ii")</t>
  </si>
  <si>
    <t xml:space="preserve">IMCSCH(5)</t>
  </si>
  <si>
    <t xml:space="preserve">IMCSCH(TRUE)</t>
  </si>
  <si>
    <t xml:space="preserve">IMCSCH(Data!D1)</t>
  </si>
  <si>
    <t xml:space="preserve">IMCSCH(Data!A1)</t>
  </si>
  <si>
    <t xml:space="preserve">IMCSCH(Data!B1)</t>
  </si>
  <si>
    <t xml:space="preserve">IMCSCH(NA())</t>
  </si>
  <si>
    <t xml:space="preserve">IMCSCH("3+4i",1)</t>
  </si>
  <si>
    <t xml:space="preserve">IMCSCH()</t>
  </si>
  <si>
    <t xml:space="preserve">IMCSCH(Data!A1:A3)</t>
  </si>
  <si>
    <t xml:space="preserve">IMCSCH(-2.5)</t>
  </si>
  <si>
    <t xml:space="preserve">IMCSCH(1E300)</t>
  </si>
  <si>
    <t xml:space="preserve">IMCSCH(1E-300)</t>
  </si>
  <si>
    <t xml:space="preserve">IMSUM("3+4i","1-2i")</t>
  </si>
  <si>
    <t xml:space="preserve">IMSUM("1+i","1-i")</t>
  </si>
  <si>
    <t xml:space="preserve">IMSUM("3+4i","3+4i")</t>
  </si>
  <si>
    <t xml:space="preserve">IMSUM("0","1+i")</t>
  </si>
  <si>
    <t xml:space="preserve">IMSUM("1+i","0")</t>
  </si>
  <si>
    <t xml:space="preserve">IMSUM("2","3")</t>
  </si>
  <si>
    <t xml:space="preserve">IMSUM("4i","2i")</t>
  </si>
  <si>
    <t xml:space="preserve">IMSUM("1+i","1+j")</t>
  </si>
  <si>
    <t xml:space="preserve">IMSUM("1+i","abc")</t>
  </si>
  <si>
    <t xml:space="preserve">IMSUM("1+i","")</t>
  </si>
  <si>
    <t xml:space="preserve">IMSUM("1E200+1E200i","1E200+1E200i")</t>
  </si>
  <si>
    <t xml:space="preserve">IMSUM("i","i")</t>
  </si>
  <si>
    <t xml:space="preserve">IMSUM("5","i")</t>
  </si>
  <si>
    <t xml:space="preserve">IMSUM("3+4i","2")</t>
  </si>
  <si>
    <t xml:space="preserve">IMSUM("1.5+2.5i","-0.5-1.5i")</t>
  </si>
  <si>
    <t xml:space="preserve">IMSUM("1E-200+1i","1E-200+1i")</t>
  </si>
  <si>
    <t xml:space="preserve">IMSUM("j","j")</t>
  </si>
  <si>
    <t xml:space="preserve">IMSUM("1+i","1")</t>
  </si>
  <si>
    <t xml:space="preserve">IMSUM("1+i")</t>
  </si>
  <si>
    <t xml:space="preserve">IMSUM("1+i","2+i","3-i")</t>
  </si>
  <si>
    <t xml:space="preserve">IMSUM(Data!A1:A3)</t>
  </si>
  <si>
    <t xml:space="preserve">IMSUM(Data!A1:A2,Data!A3)</t>
  </si>
  <si>
    <t xml:space="preserve">IMSUM(1,2)</t>
  </si>
  <si>
    <t xml:space="preserve">IMSUM(TRUE,1)</t>
  </si>
  <si>
    <t xml:space="preserve">IMSUM("1+i",NA())</t>
  </si>
  <si>
    <t xml:space="preserve">IMSUM("1+i",Data!D1)</t>
  </si>
  <si>
    <t xml:space="preserve">IMSUM("1+i",Data!B1)</t>
  </si>
  <si>
    <t xml:space="preserve">IMSUM("1+i",Data!B1:B2)</t>
  </si>
  <si>
    <t xml:space="preserve">IMSUM()</t>
  </si>
  <si>
    <t xml:space="preserve">IMSUB("3+4i","1-2i")</t>
  </si>
  <si>
    <t xml:space="preserve">IMSUB("1+i","1-i")</t>
  </si>
  <si>
    <t xml:space="preserve">IMSUB("3+4i","3+4i")</t>
  </si>
  <si>
    <t xml:space="preserve">IMSUB("0","1+i")</t>
  </si>
  <si>
    <t xml:space="preserve">IMSUB("1+i","0")</t>
  </si>
  <si>
    <t xml:space="preserve">IMSUB("2","3")</t>
  </si>
  <si>
    <t xml:space="preserve">IMSUB("4i","2i")</t>
  </si>
  <si>
    <t xml:space="preserve">IMSUB("1+i","1+j")</t>
  </si>
  <si>
    <t xml:space="preserve">IMSUB("1+i","abc")</t>
  </si>
  <si>
    <t xml:space="preserve">IMSUB("1+i","")</t>
  </si>
  <si>
    <t xml:space="preserve">IMSUB("1E200+1E200i","1E200+1E200i")</t>
  </si>
  <si>
    <t xml:space="preserve">IMSUB("i","i")</t>
  </si>
  <si>
    <t xml:space="preserve">IMSUB("5","i")</t>
  </si>
  <si>
    <t xml:space="preserve">IMSUB("3+4i","2")</t>
  </si>
  <si>
    <t xml:space="preserve">IMSUB("1.5+2.5i","-0.5-1.5i")</t>
  </si>
  <si>
    <t xml:space="preserve">IMSUB("1E-200+1i","1E-200+1i")</t>
  </si>
  <si>
    <t xml:space="preserve">IMSUB("j","j")</t>
  </si>
  <si>
    <t xml:space="preserve">IMSUB("1+i","1")</t>
  </si>
  <si>
    <t xml:space="preserve">IMSUB("1+i")</t>
  </si>
  <si>
    <t xml:space="preserve">IMSUB("1+i","2+i","3-i")</t>
  </si>
  <si>
    <t xml:space="preserve">IMSUB(Data!A1:A3)</t>
  </si>
  <si>
    <t xml:space="preserve">IMSUB(Data!A1:A2,Data!A3)</t>
  </si>
  <si>
    <t xml:space="preserve">IMSUB(1,2)</t>
  </si>
  <si>
    <t xml:space="preserve">IMSUB(TRUE,1)</t>
  </si>
  <si>
    <t xml:space="preserve">IMSUB("1+i",NA())</t>
  </si>
  <si>
    <t xml:space="preserve">IMSUB("1+i",Data!D1)</t>
  </si>
  <si>
    <t xml:space="preserve">IMSUB("1+i",Data!B1)</t>
  </si>
  <si>
    <t xml:space="preserve">IMSUB("1+i",Data!B1:B2)</t>
  </si>
  <si>
    <t xml:space="preserve">IMSUB()</t>
  </si>
  <si>
    <t xml:space="preserve">IMPRODUCT("3+4i","1-2i")</t>
  </si>
  <si>
    <t xml:space="preserve">IMPRODUCT("1+i","1-i")</t>
  </si>
  <si>
    <t xml:space="preserve">IMPRODUCT("3+4i","3+4i")</t>
  </si>
  <si>
    <t xml:space="preserve">IMPRODUCT("0","1+i")</t>
  </si>
  <si>
    <t xml:space="preserve">IMPRODUCT("1+i","0")</t>
  </si>
  <si>
    <t xml:space="preserve">IMPRODUCT("2","3")</t>
  </si>
  <si>
    <t xml:space="preserve">IMPRODUCT("4i","2i")</t>
  </si>
  <si>
    <t xml:space="preserve">IMPRODUCT("1+i","1+j")</t>
  </si>
  <si>
    <t xml:space="preserve">IMPRODUCT("1+i","abc")</t>
  </si>
  <si>
    <t xml:space="preserve">IMPRODUCT("1+i","")</t>
  </si>
  <si>
    <t xml:space="preserve">IMPRODUCT("1E200+1E200i","1E200+1E200i")</t>
  </si>
  <si>
    <t xml:space="preserve">IMPRODUCT("i","i")</t>
  </si>
  <si>
    <t xml:space="preserve">IMPRODUCT("5","i")</t>
  </si>
  <si>
    <t xml:space="preserve">IMPRODUCT("3+4i","2")</t>
  </si>
  <si>
    <t xml:space="preserve">IMPRODUCT("1.5+2.5i","-0.5-1.5i")</t>
  </si>
  <si>
    <t xml:space="preserve">IMPRODUCT("1E-200+1i","1E-200+1i")</t>
  </si>
  <si>
    <t xml:space="preserve">IMPRODUCT("j","j")</t>
  </si>
  <si>
    <t xml:space="preserve">IMPRODUCT("1+i","1")</t>
  </si>
  <si>
    <t xml:space="preserve">IMPRODUCT("1+i")</t>
  </si>
  <si>
    <t xml:space="preserve">IMPRODUCT("1+i","2+i","3-i")</t>
  </si>
  <si>
    <t xml:space="preserve">IMPRODUCT(Data!A1:A3)</t>
  </si>
  <si>
    <t xml:space="preserve">IMPRODUCT(Data!A1:A2,Data!A3)</t>
  </si>
  <si>
    <t xml:space="preserve">IMPRODUCT(1,2)</t>
  </si>
  <si>
    <t xml:space="preserve">IMPRODUCT(TRUE,1)</t>
  </si>
  <si>
    <t xml:space="preserve">IMPRODUCT("1+i",NA())</t>
  </si>
  <si>
    <t xml:space="preserve">IMPRODUCT("1+i",Data!D1)</t>
  </si>
  <si>
    <t xml:space="preserve">IMPRODUCT("1+i",Data!B1)</t>
  </si>
  <si>
    <t xml:space="preserve">IMPRODUCT("1+i",Data!B1:B2)</t>
  </si>
  <si>
    <t xml:space="preserve">IMPRODUCT()</t>
  </si>
  <si>
    <t xml:space="preserve">IMDIV("3+4i","1-2i")</t>
  </si>
  <si>
    <t xml:space="preserve">IMDIV("1+i","1-i")</t>
  </si>
  <si>
    <t xml:space="preserve">IMDIV("3+4i","3+4i")</t>
  </si>
  <si>
    <t xml:space="preserve">IMDIV("0","1+i")</t>
  </si>
  <si>
    <t xml:space="preserve">IMDIV("1+i","0")</t>
  </si>
  <si>
    <t xml:space="preserve">IMDIV("2","3")</t>
  </si>
  <si>
    <t xml:space="preserve">IMDIV("4i","2i")</t>
  </si>
  <si>
    <t xml:space="preserve">IMDIV("1+i","1+j")</t>
  </si>
  <si>
    <t xml:space="preserve">IMDIV("1+i","abc")</t>
  </si>
  <si>
    <t xml:space="preserve">IMDIV("1+i","")</t>
  </si>
  <si>
    <t xml:space="preserve">IMDIV("1E200+1E200i","1E200+1E200i")</t>
  </si>
  <si>
    <t xml:space="preserve">IMDIV("i","i")</t>
  </si>
  <si>
    <t xml:space="preserve">IMDIV("5","i")</t>
  </si>
  <si>
    <t xml:space="preserve">IMDIV("3+4i","2")</t>
  </si>
  <si>
    <t xml:space="preserve">IMDIV("1.5+2.5i","-0.5-1.5i")</t>
  </si>
  <si>
    <t xml:space="preserve">IMDIV("1E-200+1i","1E-200+1i")</t>
  </si>
  <si>
    <t xml:space="preserve">IMDIV("j","j")</t>
  </si>
  <si>
    <t xml:space="preserve">IMDIV("1+i","1")</t>
  </si>
  <si>
    <t xml:space="preserve">IMDIV("1+i")</t>
  </si>
  <si>
    <t xml:space="preserve">IMDIV("1+i","2+i","3-i")</t>
  </si>
  <si>
    <t xml:space="preserve">IMDIV(Data!A1:A3)</t>
  </si>
  <si>
    <t xml:space="preserve">IMDIV(Data!A1:A2,Data!A3)</t>
  </si>
  <si>
    <t xml:space="preserve">IMDIV(1,2)</t>
  </si>
  <si>
    <t xml:space="preserve">IMDIV(TRUE,1)</t>
  </si>
  <si>
    <t xml:space="preserve">IMDIV("1+i",NA())</t>
  </si>
  <si>
    <t xml:space="preserve">IMDIV("1+i",Data!D1)</t>
  </si>
  <si>
    <t xml:space="preserve">IMDIV("1+i",Data!B1)</t>
  </si>
  <si>
    <t xml:space="preserve">IMDIV("1+i",Data!B1:B2)</t>
  </si>
  <si>
    <t xml:space="preserve">IMDIV()</t>
  </si>
  <si>
    <t xml:space="preserve">IMSUM("1+i","2+i","3-i","1","i")</t>
  </si>
  <si>
    <t xml:space="preserve">IMPRODUCT("1+i","2+i","3-i","1","i")</t>
  </si>
  <si>
    <t xml:space="preserve">IMSUM(Data!A1:A3,"i")</t>
  </si>
  <si>
    <t xml:space="preserve">IMPRODUCT(Data!A1:A3,"i")</t>
  </si>
  <si>
    <t xml:space="preserve">IMPRODUCT(Data!D1:D3)</t>
  </si>
  <si>
    <t xml:space="preserve">IMSUM(Data!D1:D3)</t>
  </si>
  <si>
    <t xml:space="preserve">IMPRODUCT("1+i",Data!D1:D3)</t>
  </si>
  <si>
    <t xml:space="preserve">IMSUM("1+i",Data!D1:D3)</t>
  </si>
  <si>
    <t xml:space="preserve">IMSUM(Data!B1:B3)</t>
  </si>
  <si>
    <t xml:space="preserve">IMPRODUCT(Data!M1:M4)</t>
  </si>
  <si>
    <t xml:space="preserve">IMSUM(Data!M1:M4)</t>
  </si>
  <si>
    <t xml:space="preserve">IMSUM(Data!K1:K3,Data!K4)</t>
  </si>
  <si>
    <t xml:space="preserve">IMPRODUCT({"1+i","2";"i","3"})</t>
  </si>
  <si>
    <t xml:space="preserve">IMSUM({"1+i","2";"i","3"})</t>
  </si>
  <si>
    <t xml:space="preserve">IMPOWER("3+4i",2)</t>
  </si>
  <si>
    <t xml:space="preserve">IMPOWER("3+4i",0)</t>
  </si>
  <si>
    <t xml:space="preserve">IMPOWER("3+4i",1)</t>
  </si>
  <si>
    <t xml:space="preserve">IMPOWER("3+4i",-1)</t>
  </si>
  <si>
    <t xml:space="preserve">IMPOWER("3+4i",0.5)</t>
  </si>
  <si>
    <t xml:space="preserve">IMPOWER("3+4i",-0.5)</t>
  </si>
  <si>
    <t xml:space="preserve">IMPOWER("3+4i",3)</t>
  </si>
  <si>
    <t xml:space="preserve">IMPOWER("3+4i",1.5)</t>
  </si>
  <si>
    <t xml:space="preserve">IMPOWER("3+4i",10)</t>
  </si>
  <si>
    <t xml:space="preserve">IMPOWER("3+4i",TRUE)</t>
  </si>
  <si>
    <t xml:space="preserve">IMPOWER("3+4i","2")</t>
  </si>
  <si>
    <t xml:space="preserve">IMPOWER("3+4i","x")</t>
  </si>
  <si>
    <t xml:space="preserve">IMPOWER("3+4i",Data!D1)</t>
  </si>
  <si>
    <t xml:space="preserve">IMPOWER("3+4i",NA())</t>
  </si>
  <si>
    <t xml:space="preserve">IMPOWER("3+4i",1E10)</t>
  </si>
  <si>
    <t xml:space="preserve">IMPOWER("3+4i",-3)</t>
  </si>
  <si>
    <t xml:space="preserve">IMPOWER("3+4i",0.1)</t>
  </si>
  <si>
    <t xml:space="preserve">IMPOWER("3+4i",Data!A1:A2)</t>
  </si>
  <si>
    <t xml:space="preserve">IMPOWER("3+4i",2.5)</t>
  </si>
  <si>
    <t xml:space="preserve">IMPOWER("3+4i",100)</t>
  </si>
  <si>
    <t xml:space="preserve">IMPOWER("1+i",2)</t>
  </si>
  <si>
    <t xml:space="preserve">IMPOWER("1+i",0)</t>
  </si>
  <si>
    <t xml:space="preserve">IMPOWER("1+i",1)</t>
  </si>
  <si>
    <t xml:space="preserve">IMPOWER("1+i",-1)</t>
  </si>
  <si>
    <t xml:space="preserve">IMPOWER("1+i",0.5)</t>
  </si>
  <si>
    <t xml:space="preserve">IMPOWER("1+i",-0.5)</t>
  </si>
  <si>
    <t xml:space="preserve">IMPOWER("1+i",3)</t>
  </si>
  <si>
    <t xml:space="preserve">IMPOWER("1+i",1.5)</t>
  </si>
  <si>
    <t xml:space="preserve">IMPOWER("1+i",10)</t>
  </si>
  <si>
    <t xml:space="preserve">IMPOWER("1+i",TRUE)</t>
  </si>
  <si>
    <t xml:space="preserve">IMPOWER("1+i","2")</t>
  </si>
  <si>
    <t xml:space="preserve">IMPOWER("1+i","x")</t>
  </si>
  <si>
    <t xml:space="preserve">IMPOWER("1+i",Data!D1)</t>
  </si>
  <si>
    <t xml:space="preserve">IMPOWER("1+i",NA())</t>
  </si>
  <si>
    <t xml:space="preserve">IMPOWER("1+i",1E10)</t>
  </si>
  <si>
    <t xml:space="preserve">IMPOWER("1+i",-3)</t>
  </si>
  <si>
    <t xml:space="preserve">IMPOWER("1+i",0.1)</t>
  </si>
  <si>
    <t xml:space="preserve">IMPOWER("1+i",Data!A1:A2)</t>
  </si>
  <si>
    <t xml:space="preserve">IMPOWER("1+i",2.5)</t>
  </si>
  <si>
    <t xml:space="preserve">IMPOWER("1+i",100)</t>
  </si>
  <si>
    <t xml:space="preserve">IMPOWER("i",2)</t>
  </si>
  <si>
    <t xml:space="preserve">IMPOWER("i",0)</t>
  </si>
  <si>
    <t xml:space="preserve">IMPOWER("i",1)</t>
  </si>
  <si>
    <t xml:space="preserve">IMPOWER("i",-1)</t>
  </si>
  <si>
    <t xml:space="preserve">IMPOWER("i",0.5)</t>
  </si>
  <si>
    <t xml:space="preserve">IMPOWER("i",-0.5)</t>
  </si>
  <si>
    <t xml:space="preserve">IMPOWER("i",3)</t>
  </si>
  <si>
    <t xml:space="preserve">IMPOWER("i",1.5)</t>
  </si>
  <si>
    <t xml:space="preserve">IMPOWER("i",10)</t>
  </si>
  <si>
    <t xml:space="preserve">IMPOWER("i",TRUE)</t>
  </si>
  <si>
    <t xml:space="preserve">IMPOWER("i","2")</t>
  </si>
  <si>
    <t xml:space="preserve">IMPOWER("i","x")</t>
  </si>
  <si>
    <t xml:space="preserve">IMPOWER("i",Data!D1)</t>
  </si>
  <si>
    <t xml:space="preserve">IMPOWER("i",NA())</t>
  </si>
  <si>
    <t xml:space="preserve">IMPOWER("i",1E10)</t>
  </si>
  <si>
    <t xml:space="preserve">IMPOWER("i",-3)</t>
  </si>
  <si>
    <t xml:space="preserve">IMPOWER("i",0.1)</t>
  </si>
  <si>
    <t xml:space="preserve">IMPOWER("i",Data!A1:A2)</t>
  </si>
  <si>
    <t xml:space="preserve">IMPOWER("i",2.5)</t>
  </si>
  <si>
    <t xml:space="preserve">IMPOWER("i",100)</t>
  </si>
  <si>
    <t xml:space="preserve">IMPOWER("2",2)</t>
  </si>
  <si>
    <t xml:space="preserve">IMPOWER("2",0)</t>
  </si>
  <si>
    <t xml:space="preserve">IMPOWER("2",1)</t>
  </si>
  <si>
    <t xml:space="preserve">IMPOWER("2",-1)</t>
  </si>
  <si>
    <t xml:space="preserve">IMPOWER("2",0.5)</t>
  </si>
  <si>
    <t xml:space="preserve">IMPOWER("2",-0.5)</t>
  </si>
  <si>
    <t xml:space="preserve">IMPOWER("2",3)</t>
  </si>
  <si>
    <t xml:space="preserve">IMPOWER("2",1.5)</t>
  </si>
  <si>
    <t xml:space="preserve">IMPOWER("2",10)</t>
  </si>
  <si>
    <t xml:space="preserve">IMPOWER("2",TRUE)</t>
  </si>
  <si>
    <t xml:space="preserve">IMPOWER("2","2")</t>
  </si>
  <si>
    <t xml:space="preserve">IMPOWER("2","x")</t>
  </si>
  <si>
    <t xml:space="preserve">IMPOWER("2",Data!D1)</t>
  </si>
  <si>
    <t xml:space="preserve">IMPOWER("2",NA())</t>
  </si>
  <si>
    <t xml:space="preserve">IMPOWER("2",1E10)</t>
  </si>
  <si>
    <t xml:space="preserve">IMPOWER("2",-3)</t>
  </si>
  <si>
    <t xml:space="preserve">IMPOWER("2",0.1)</t>
  </si>
  <si>
    <t xml:space="preserve">IMPOWER("2",Data!A1:A2)</t>
  </si>
  <si>
    <t xml:space="preserve">IMPOWER("2",2.5)</t>
  </si>
  <si>
    <t xml:space="preserve">IMPOWER("2",100)</t>
  </si>
  <si>
    <t xml:space="preserve">IMPOWER("0",2)</t>
  </si>
  <si>
    <t xml:space="preserve">IMPOWER("0",0)</t>
  </si>
  <si>
    <t xml:space="preserve">IMPOWER("0",1)</t>
  </si>
  <si>
    <t xml:space="preserve">IMPOWER("0",-1)</t>
  </si>
  <si>
    <t xml:space="preserve">IMPOWER("0",0.5)</t>
  </si>
  <si>
    <t xml:space="preserve">IMPOWER("0",-0.5)</t>
  </si>
  <si>
    <t xml:space="preserve">IMPOWER("0",3)</t>
  </si>
  <si>
    <t xml:space="preserve">IMPOWER("0",1.5)</t>
  </si>
  <si>
    <t xml:space="preserve">IMPOWER("0",10)</t>
  </si>
  <si>
    <t xml:space="preserve">IMPOWER("0",TRUE)</t>
  </si>
  <si>
    <t xml:space="preserve">IMPOWER("0","2")</t>
  </si>
  <si>
    <t xml:space="preserve">IMPOWER("0","x")</t>
  </si>
  <si>
    <t xml:space="preserve">IMPOWER("0",Data!D1)</t>
  </si>
  <si>
    <t xml:space="preserve">IMPOWER("0",NA())</t>
  </si>
  <si>
    <t xml:space="preserve">IMPOWER("0",1E10)</t>
  </si>
  <si>
    <t xml:space="preserve">IMPOWER("0",-3)</t>
  </si>
  <si>
    <t xml:space="preserve">IMPOWER("0",0.1)</t>
  </si>
  <si>
    <t xml:space="preserve">IMPOWER("0",Data!A1:A2)</t>
  </si>
  <si>
    <t xml:space="preserve">IMPOWER("0",2.5)</t>
  </si>
  <si>
    <t xml:space="preserve">IMPOWER("0",100)</t>
  </si>
  <si>
    <t xml:space="preserve">IMPOWER("-1",2)</t>
  </si>
  <si>
    <t xml:space="preserve">IMPOWER("-1",0)</t>
  </si>
  <si>
    <t xml:space="preserve">IMPOWER("-1",1)</t>
  </si>
  <si>
    <t xml:space="preserve">IMPOWER("-1",-1)</t>
  </si>
  <si>
    <t xml:space="preserve">IMPOWER("-1",0.5)</t>
  </si>
  <si>
    <t xml:space="preserve">IMPOWER("-1",-0.5)</t>
  </si>
  <si>
    <t xml:space="preserve">IMPOWER("-1",3)</t>
  </si>
  <si>
    <t xml:space="preserve">IMPOWER("-1",1.5)</t>
  </si>
  <si>
    <t xml:space="preserve">IMPOWER("-1",10)</t>
  </si>
  <si>
    <t xml:space="preserve">IMPOWER("-1",TRUE)</t>
  </si>
  <si>
    <t xml:space="preserve">IMPOWER("-1","2")</t>
  </si>
  <si>
    <t xml:space="preserve">IMPOWER("-1","x")</t>
  </si>
  <si>
    <t xml:space="preserve">IMPOWER("-1",Data!D1)</t>
  </si>
  <si>
    <t xml:space="preserve">IMPOWER("-1",NA())</t>
  </si>
  <si>
    <t xml:space="preserve">IMPOWER("-1",1E10)</t>
  </si>
  <si>
    <t xml:space="preserve">IMPOWER("-1",-3)</t>
  </si>
  <si>
    <t xml:space="preserve">IMPOWER("-1",0.1)</t>
  </si>
  <si>
    <t xml:space="preserve">IMPOWER("-1",Data!A1:A2)</t>
  </si>
  <si>
    <t xml:space="preserve">IMPOWER("-1",2.5)</t>
  </si>
  <si>
    <t xml:space="preserve">IMPOWER("-1",100)</t>
  </si>
  <si>
    <t xml:space="preserve">IMPOWER("1-i",2)</t>
  </si>
  <si>
    <t xml:space="preserve">IMPOWER("1-i",0)</t>
  </si>
  <si>
    <t xml:space="preserve">IMPOWER("1-i",1)</t>
  </si>
  <si>
    <t xml:space="preserve">IMPOWER("1-i",-1)</t>
  </si>
  <si>
    <t xml:space="preserve">IMPOWER("1-i",0.5)</t>
  </si>
  <si>
    <t xml:space="preserve">IMPOWER("1-i",-0.5)</t>
  </si>
  <si>
    <t xml:space="preserve">IMPOWER("1-i",3)</t>
  </si>
  <si>
    <t xml:space="preserve">IMPOWER("1-i",1.5)</t>
  </si>
  <si>
    <t xml:space="preserve">IMPOWER("1-i",10)</t>
  </si>
  <si>
    <t xml:space="preserve">IMPOWER("1-i",TRUE)</t>
  </si>
  <si>
    <t xml:space="preserve">IMPOWER("1-i","2")</t>
  </si>
  <si>
    <t xml:space="preserve">IMPOWER("1-i","x")</t>
  </si>
  <si>
    <t xml:space="preserve">IMPOWER("1-i",Data!D1)</t>
  </si>
  <si>
    <t xml:space="preserve">IMPOWER("1-i",NA())</t>
  </si>
  <si>
    <t xml:space="preserve">IMPOWER("1-i",1E10)</t>
  </si>
  <si>
    <t xml:space="preserve">IMPOWER("1-i",-3)</t>
  </si>
  <si>
    <t xml:space="preserve">IMPOWER("1-i",0.1)</t>
  </si>
  <si>
    <t xml:space="preserve">IMPOWER("1-i",Data!A1:A2)</t>
  </si>
  <si>
    <t xml:space="preserve">IMPOWER("1-i",2.5)</t>
  </si>
  <si>
    <t xml:space="preserve">IMPOWER("1-i",100)</t>
  </si>
  <si>
    <t xml:space="preserve">IMPOWER("4i",2)</t>
  </si>
  <si>
    <t xml:space="preserve">IMPOWER("4i",0)</t>
  </si>
  <si>
    <t xml:space="preserve">IMPOWER("4i",1)</t>
  </si>
  <si>
    <t xml:space="preserve">IMPOWER("4i",-1)</t>
  </si>
  <si>
    <t xml:space="preserve">IMPOWER("4i",0.5)</t>
  </si>
  <si>
    <t xml:space="preserve">IMPOWER("4i",-0.5)</t>
  </si>
  <si>
    <t xml:space="preserve">IMPOWER("4i",3)</t>
  </si>
  <si>
    <t xml:space="preserve">IMPOWER("4i",1.5)</t>
  </si>
  <si>
    <t xml:space="preserve">IMPOWER("4i",10)</t>
  </si>
  <si>
    <t xml:space="preserve">IMPOWER("4i",TRUE)</t>
  </si>
  <si>
    <t xml:space="preserve">IMPOWER("4i","2")</t>
  </si>
  <si>
    <t xml:space="preserve">IMPOWER("4i","x")</t>
  </si>
  <si>
    <t xml:space="preserve">IMPOWER("4i",Data!D1)</t>
  </si>
  <si>
    <t xml:space="preserve">IMPOWER("4i",NA())</t>
  </si>
  <si>
    <t xml:space="preserve">IMPOWER("4i",1E10)</t>
  </si>
  <si>
    <t xml:space="preserve">IMPOWER("4i",-3)</t>
  </si>
  <si>
    <t xml:space="preserve">IMPOWER("4i",0.1)</t>
  </si>
  <si>
    <t xml:space="preserve">IMPOWER("4i",Data!A1:A2)</t>
  </si>
  <si>
    <t xml:space="preserve">IMPOWER("4i",2.5)</t>
  </si>
  <si>
    <t xml:space="preserve">IMPOWER("4i",100)</t>
  </si>
  <si>
    <t xml:space="preserve">IMPOWER("abc",2)</t>
  </si>
  <si>
    <t xml:space="preserve">IMPOWER("abc",0)</t>
  </si>
  <si>
    <t xml:space="preserve">IMPOWER("abc",1)</t>
  </si>
  <si>
    <t xml:space="preserve">IMPOWER("abc",-1)</t>
  </si>
  <si>
    <t xml:space="preserve">IMPOWER("abc",0.5)</t>
  </si>
  <si>
    <t xml:space="preserve">IMPOWER("abc",-0.5)</t>
  </si>
  <si>
    <t xml:space="preserve">IMPOWER("abc",3)</t>
  </si>
  <si>
    <t xml:space="preserve">IMPOWER("abc",1.5)</t>
  </si>
  <si>
    <t xml:space="preserve">IMPOWER("abc",10)</t>
  </si>
  <si>
    <t xml:space="preserve">IMPOWER("abc",TRUE)</t>
  </si>
  <si>
    <t xml:space="preserve">IMPOWER("abc","2")</t>
  </si>
  <si>
    <t xml:space="preserve">IMPOWER("abc","x")</t>
  </si>
  <si>
    <t xml:space="preserve">IMPOWER("abc",Data!D1)</t>
  </si>
  <si>
    <t xml:space="preserve">IMPOWER("abc",NA())</t>
  </si>
  <si>
    <t xml:space="preserve">IMPOWER("abc",1E10)</t>
  </si>
  <si>
    <t xml:space="preserve">IMPOWER("abc",-3)</t>
  </si>
  <si>
    <t xml:space="preserve">IMPOWER("abc",0.1)</t>
  </si>
  <si>
    <t xml:space="preserve">IMPOWER("abc",Data!A1:A2)</t>
  </si>
  <si>
    <t xml:space="preserve">IMPOWER("abc",2.5)</t>
  </si>
  <si>
    <t xml:space="preserve">IMPOWER("abc",100)</t>
  </si>
  <si>
    <t xml:space="preserve">IMPOWER("",2)</t>
  </si>
  <si>
    <t xml:space="preserve">IMPOWER("",0)</t>
  </si>
  <si>
    <t xml:space="preserve">IMPOWER("",1)</t>
  </si>
  <si>
    <t xml:space="preserve">IMPOWER("",-1)</t>
  </si>
  <si>
    <t xml:space="preserve">IMPOWER("",0.5)</t>
  </si>
  <si>
    <t xml:space="preserve">IMPOWER("",-0.5)</t>
  </si>
  <si>
    <t xml:space="preserve">IMPOWER("",3)</t>
  </si>
  <si>
    <t xml:space="preserve">IMPOWER("",1.5)</t>
  </si>
  <si>
    <t xml:space="preserve">IMPOWER("",10)</t>
  </si>
  <si>
    <t xml:space="preserve">IMPOWER("",TRUE)</t>
  </si>
  <si>
    <t xml:space="preserve">IMPOWER("","2")</t>
  </si>
  <si>
    <t xml:space="preserve">IMPOWER("","x")</t>
  </si>
  <si>
    <t xml:space="preserve">IMPOWER("",Data!D1)</t>
  </si>
  <si>
    <t xml:space="preserve">IMPOWER("",NA())</t>
  </si>
  <si>
    <t xml:space="preserve">IMPOWER("",1E10)</t>
  </si>
  <si>
    <t xml:space="preserve">IMPOWER("",-3)</t>
  </si>
  <si>
    <t xml:space="preserve">IMPOWER("",0.1)</t>
  </si>
  <si>
    <t xml:space="preserve">IMPOWER("",Data!A1:A2)</t>
  </si>
  <si>
    <t xml:space="preserve">IMPOWER("",2.5)</t>
  </si>
  <si>
    <t xml:space="preserve">IMPOWER("",100)</t>
  </si>
  <si>
    <t xml:space="preserve">IMPOWER("1+2k",2)</t>
  </si>
  <si>
    <t xml:space="preserve">IMPOWER("1+2k",0)</t>
  </si>
  <si>
    <t xml:space="preserve">IMPOWER("1+2k",1)</t>
  </si>
  <si>
    <t xml:space="preserve">IMPOWER("1+2k",-1)</t>
  </si>
  <si>
    <t xml:space="preserve">IMPOWER("1+2k",0.5)</t>
  </si>
  <si>
    <t xml:space="preserve">IMPOWER("1+2k",-0.5)</t>
  </si>
  <si>
    <t xml:space="preserve">IMPOWER("1+2k",3)</t>
  </si>
  <si>
    <t xml:space="preserve">IMPOWER("1+2k",1.5)</t>
  </si>
  <si>
    <t xml:space="preserve">IMPOWER("1+2k",10)</t>
  </si>
  <si>
    <t xml:space="preserve">IMPOWER("1+2k",TRUE)</t>
  </si>
  <si>
    <t xml:space="preserve">IMPOWER("1+2k","2")</t>
  </si>
  <si>
    <t xml:space="preserve">IMPOWER("1+2k","x")</t>
  </si>
  <si>
    <t xml:space="preserve">IMPOWER("1+2k",Data!D1)</t>
  </si>
  <si>
    <t xml:space="preserve">IMPOWER("1+2k",NA())</t>
  </si>
  <si>
    <t xml:space="preserve">IMPOWER("1+2k",1E10)</t>
  </si>
  <si>
    <t xml:space="preserve">IMPOWER("1+2k",-3)</t>
  </si>
  <si>
    <t xml:space="preserve">IMPOWER("1+2k",0.1)</t>
  </si>
  <si>
    <t xml:space="preserve">IMPOWER("1+2k",Data!A1:A2)</t>
  </si>
  <si>
    <t xml:space="preserve">IMPOWER("1+2k",2.5)</t>
  </si>
  <si>
    <t xml:space="preserve">IMPOWER("1+2k",100)</t>
  </si>
  <si>
    <t xml:space="preserve">COMPLEX(3,4)</t>
  </si>
  <si>
    <t xml:space="preserve">COMPLEX(3,4,"i")</t>
  </si>
  <si>
    <t xml:space="preserve">COMPLEX(3,4,"j")</t>
  </si>
  <si>
    <t xml:space="preserve">COMPLEX(3,4,"k")</t>
  </si>
  <si>
    <t xml:space="preserve">COMPLEX(3,4,"I")</t>
  </si>
  <si>
    <t xml:space="preserve">COMPLEX(3,4,"J")</t>
  </si>
  <si>
    <t xml:space="preserve">COMPLEX(3,4,"")</t>
  </si>
  <si>
    <t xml:space="preserve">COMPLEX(0,1)</t>
  </si>
  <si>
    <t xml:space="preserve">COMPLEX(1,0)</t>
  </si>
  <si>
    <t xml:space="preserve">COMPLEX(0,0)</t>
  </si>
  <si>
    <t xml:space="preserve">COMPLEX(-1,-1)</t>
  </si>
  <si>
    <t xml:space="preserve">COMPLEX(1.5,-2.5)</t>
  </si>
  <si>
    <t xml:space="preserve">COMPLEX(1E20,1E-20)</t>
  </si>
  <si>
    <t xml:space="preserve">COMPLEX(3,1)</t>
  </si>
  <si>
    <t xml:space="preserve">COMPLEX(3,-1)</t>
  </si>
  <si>
    <t xml:space="preserve">COMPLEX(0,-1)</t>
  </si>
  <si>
    <t xml:space="preserve">COMPLEX(0,5)</t>
  </si>
  <si>
    <t xml:space="preserve">COMPLEX(5,0,"j")</t>
  </si>
  <si>
    <t xml:space="preserve">COMPLEX(0,1,"j")</t>
  </si>
  <si>
    <t xml:space="preserve">COMPLEX("3",4)</t>
  </si>
  <si>
    <t xml:space="preserve">COMPLEX(3,"4")</t>
  </si>
  <si>
    <t xml:space="preserve">COMPLEX("x",4)</t>
  </si>
  <si>
    <t xml:space="preserve">COMPLEX(3,"x")</t>
  </si>
  <si>
    <t xml:space="preserve">COMPLEX(TRUE,1)</t>
  </si>
  <si>
    <t xml:space="preserve">COMPLEX(3,4,1)</t>
  </si>
  <si>
    <t xml:space="preserve">COMPLEX(3,4,"ij")</t>
  </si>
  <si>
    <t xml:space="preserve">COMPLEX(3,4,Data!D1)</t>
  </si>
  <si>
    <t xml:space="preserve">COMPLEX(Data!D1,Data!D1)</t>
  </si>
  <si>
    <t xml:space="preserve">COMPLEX(NA(),1)</t>
  </si>
  <si>
    <t xml:space="preserve">COMPLEX(1,NA())</t>
  </si>
  <si>
    <t xml:space="preserve">COMPLEX(3,4,NA())</t>
  </si>
  <si>
    <t xml:space="preserve">COMPLEX(0.1,0.2)</t>
  </si>
  <si>
    <t xml:space="preserve">COMPLEX(1E-300,1E300)</t>
  </si>
  <si>
    <t xml:space="preserve">COMPLEX(1E15,1)</t>
  </si>
  <si>
    <t xml:space="preserve">COMPLEX(123456789.123456789,1)</t>
  </si>
  <si>
    <t xml:space="preserve">COMPLEX(1,1," ")</t>
  </si>
  <si>
    <t xml:space="preserve">COMPLEX(1,1,"i ")</t>
  </si>
  <si>
    <t xml:space="preserve">COMPLEX(1,-1,"j")</t>
  </si>
  <si>
    <t xml:space="preserve">COMPLEX(-0,-0)</t>
  </si>
  <si>
    <t xml:space="preserve">COMPLEX(1)</t>
  </si>
  <si>
    <t xml:space="preserve">COMPLEX()</t>
  </si>
  <si>
    <t xml:space="preserve">COMPLEX(1,2,"i",1)</t>
  </si>
  <si>
    <t xml:space="preserve">COMPLEX(Data!A1:A2,1)</t>
  </si>
  <si>
    <t xml:space="preserve">COMPLEX(1,Data!A1:A2)</t>
  </si>
  <si>
    <t xml:space="preserve">IMABS("0.7-137.121j")</t>
  </si>
  <si>
    <t xml:space="preserve">IMABS("-325.0")</t>
  </si>
  <si>
    <t xml:space="preserve">IMABS("93.9955")</t>
  </si>
  <si>
    <t xml:space="preserve">IMABS("235.8098j")</t>
  </si>
  <si>
    <t xml:space="preserve">IMABS("-56.2+11.621i")</t>
  </si>
  <si>
    <t xml:space="preserve">IMABS("-8.0903+6.3394i")</t>
  </si>
  <si>
    <t xml:space="preserve">IMABS("35.04+262.7i")</t>
  </si>
  <si>
    <t xml:space="preserve">IMABS("0.47-0.01i")</t>
  </si>
  <si>
    <t xml:space="preserve">IMABS("42.0")</t>
  </si>
  <si>
    <t xml:space="preserve">IMABS("0.0+-0.0i")</t>
  </si>
  <si>
    <t xml:space="preserve">IMABS("30.86+936.2275i")</t>
  </si>
  <si>
    <t xml:space="preserve">IMABS("-67.0+4.326i")</t>
  </si>
  <si>
    <t xml:space="preserve">IMABS("76.2i")</t>
  </si>
  <si>
    <t xml:space="preserve">IMABS("0.076-552.2343j")</t>
  </si>
  <si>
    <t xml:space="preserve">IMABS("0.0-4.6597i")</t>
  </si>
  <si>
    <t xml:space="preserve">IMABS("-407.491i")</t>
  </si>
  <si>
    <t xml:space="preserve">IMABS("-543.0")</t>
  </si>
  <si>
    <t xml:space="preserve">IMABS("-337.0+73.676i")</t>
  </si>
  <si>
    <t xml:space="preserve">IMABS("-8.955-7.127i")</t>
  </si>
  <si>
    <t xml:space="preserve">IMABS("-90.0i")</t>
  </si>
  <si>
    <t xml:space="preserve">IMABS("-474.4462+4.804i")</t>
  </si>
  <si>
    <t xml:space="preserve">IMABS("-8.0-0.0031j")</t>
  </si>
  <si>
    <t xml:space="preserve">IMABS("-345.21-2.0i")</t>
  </si>
  <si>
    <t xml:space="preserve">IMABS("5.0-3.64j")</t>
  </si>
  <si>
    <t xml:space="preserve">IMABS("-6.0+-0.0j")</t>
  </si>
  <si>
    <t xml:space="preserve">IMABS("0.0i")</t>
  </si>
  <si>
    <t xml:space="preserve">IMABS("-72.695-2.14i")</t>
  </si>
  <si>
    <t xml:space="preserve">IMABS("-961.53+0.0i")</t>
  </si>
  <si>
    <t xml:space="preserve">IMABS("10.99-23.4i")</t>
  </si>
  <si>
    <t xml:space="preserve">IMABS("-1.0-1.0j")</t>
  </si>
  <si>
    <t xml:space="preserve">IMABS("-0.0048")</t>
  </si>
  <si>
    <t xml:space="preserve">IMABS("-0.0")</t>
  </si>
  <si>
    <t xml:space="preserve">IMABS("22.851-0.0079i")</t>
  </si>
  <si>
    <t xml:space="preserve">IMABS("-0.5-0.008i")</t>
  </si>
  <si>
    <t xml:space="preserve">IMABS("-68.0+3.5712i")</t>
  </si>
  <si>
    <t xml:space="preserve">IMABS("-903.434+40.2796j")</t>
  </si>
  <si>
    <t xml:space="preserve">IMABS("-22.0412+0.01j")</t>
  </si>
  <si>
    <t xml:space="preserve">IMABS("-9.52+0.324i")</t>
  </si>
  <si>
    <t xml:space="preserve">IMABS("1.0-1.0j")</t>
  </si>
  <si>
    <t xml:space="preserve">IMABS("0.0-9.266i")</t>
  </si>
  <si>
    <t xml:space="preserve">IMABS("-824.0")</t>
  </si>
  <si>
    <t xml:space="preserve">IMABS("1.0-0.899i")</t>
  </si>
  <si>
    <t xml:space="preserve">IMABS("92.0+3.7865i")</t>
  </si>
  <si>
    <t xml:space="preserve">IMABS("1.1-0.193j")</t>
  </si>
  <si>
    <t xml:space="preserve">IMABS("61.93-0.002i")</t>
  </si>
  <si>
    <t xml:space="preserve">IMABS("-574.9+8.8j")</t>
  </si>
  <si>
    <t xml:space="preserve">IMABS("-825.0+3.0i")</t>
  </si>
  <si>
    <t xml:space="preserve">IMABS("19.492+0.0077i")</t>
  </si>
  <si>
    <t xml:space="preserve">IMABS("42.31+0.477i")</t>
  </si>
  <si>
    <t xml:space="preserve">IMABS("-0.7056")</t>
  </si>
  <si>
    <t xml:space="preserve">IMABS("-0.9-1.0i")</t>
  </si>
  <si>
    <t xml:space="preserve">IMABS("-0.0009+-0.0i")</t>
  </si>
  <si>
    <t xml:space="preserve">IMABS("-0.0+130.0i")</t>
  </si>
  <si>
    <t xml:space="preserve">IMABS("69.56-216.88i")</t>
  </si>
  <si>
    <t xml:space="preserve">IMABS("-6.52-0.83i")</t>
  </si>
  <si>
    <t xml:space="preserve">IMABS("0.0084-1.0i")</t>
  </si>
  <si>
    <t xml:space="preserve">IMABS("-0.23")</t>
  </si>
  <si>
    <t xml:space="preserve">IMABS("-1.6437i")</t>
  </si>
  <si>
    <t xml:space="preserve">IMABS("-0.0055+-0.0i")</t>
  </si>
  <si>
    <t xml:space="preserve">IMAGINARY("0.7-137.121j")</t>
  </si>
  <si>
    <t xml:space="preserve">IMAGINARY("-325.0")</t>
  </si>
  <si>
    <t xml:space="preserve">IMAGINARY("93.9955")</t>
  </si>
  <si>
    <t xml:space="preserve">IMAGINARY("235.8098j")</t>
  </si>
  <si>
    <t xml:space="preserve">IMAGINARY("-56.2+11.621i")</t>
  </si>
  <si>
    <t xml:space="preserve">IMAGINARY("-8.0903+6.3394i")</t>
  </si>
  <si>
    <t xml:space="preserve">IMAGINARY("35.04+262.7i")</t>
  </si>
  <si>
    <t xml:space="preserve">IMAGINARY("0.47-0.01i")</t>
  </si>
  <si>
    <t xml:space="preserve">IMAGINARY("42.0")</t>
  </si>
  <si>
    <t xml:space="preserve">IMAGINARY("0.0+-0.0i")</t>
  </si>
  <si>
    <t xml:space="preserve">IMAGINARY("30.86+936.2275i")</t>
  </si>
  <si>
    <t xml:space="preserve">IMAGINARY("-67.0+4.326i")</t>
  </si>
  <si>
    <t xml:space="preserve">IMAGINARY("76.2i")</t>
  </si>
  <si>
    <t xml:space="preserve">IMAGINARY("0.076-552.2343j")</t>
  </si>
  <si>
    <t xml:space="preserve">IMAGINARY("0.0-4.6597i")</t>
  </si>
  <si>
    <t xml:space="preserve">IMAGINARY("-407.491i")</t>
  </si>
  <si>
    <t xml:space="preserve">IMAGINARY("-543.0")</t>
  </si>
  <si>
    <t xml:space="preserve">IMAGINARY("-337.0+73.676i")</t>
  </si>
  <si>
    <t xml:space="preserve">IMAGINARY("-8.955-7.127i")</t>
  </si>
  <si>
    <t xml:space="preserve">IMAGINARY("-90.0i")</t>
  </si>
  <si>
    <t xml:space="preserve">IMAGINARY("-474.4462+4.804i")</t>
  </si>
  <si>
    <t xml:space="preserve">IMAGINARY("-8.0-0.0031j")</t>
  </si>
  <si>
    <t xml:space="preserve">IMAGINARY("-345.21-2.0i")</t>
  </si>
  <si>
    <t xml:space="preserve">IMAGINARY("5.0-3.64j")</t>
  </si>
  <si>
    <t xml:space="preserve">IMAGINARY("-6.0+-0.0j")</t>
  </si>
  <si>
    <t xml:space="preserve">IMAGINARY("0.0i")</t>
  </si>
  <si>
    <t xml:space="preserve">IMAGINARY("-72.695-2.14i")</t>
  </si>
  <si>
    <t xml:space="preserve">IMAGINARY("-961.53+0.0i")</t>
  </si>
  <si>
    <t xml:space="preserve">IMAGINARY("10.99-23.4i")</t>
  </si>
  <si>
    <t xml:space="preserve">IMAGINARY("-1.0-1.0j")</t>
  </si>
  <si>
    <t xml:space="preserve">IMAGINARY("-0.0048")</t>
  </si>
  <si>
    <t xml:space="preserve">IMAGINARY("-0.0")</t>
  </si>
  <si>
    <t xml:space="preserve">IMAGINARY("22.851-0.0079i")</t>
  </si>
  <si>
    <t xml:space="preserve">IMAGINARY("-0.5-0.008i")</t>
  </si>
  <si>
    <t xml:space="preserve">IMAGINARY("-68.0+3.5712i")</t>
  </si>
  <si>
    <t xml:space="preserve">IMAGINARY("-903.434+40.2796j")</t>
  </si>
  <si>
    <t xml:space="preserve">IMAGINARY("-22.0412+0.01j")</t>
  </si>
  <si>
    <t xml:space="preserve">IMAGINARY("-9.52+0.324i")</t>
  </si>
  <si>
    <t xml:space="preserve">IMAGINARY("1.0-1.0j")</t>
  </si>
  <si>
    <t xml:space="preserve">IMAGINARY("0.0-9.266i")</t>
  </si>
  <si>
    <t xml:space="preserve">IMAGINARY("-824.0")</t>
  </si>
  <si>
    <t xml:space="preserve">IMAGINARY("1.0-0.899i")</t>
  </si>
  <si>
    <t xml:space="preserve">IMAGINARY("92.0+3.7865i")</t>
  </si>
  <si>
    <t xml:space="preserve">IMAGINARY("1.1-0.193j")</t>
  </si>
  <si>
    <t xml:space="preserve">IMAGINARY("61.93-0.002i")</t>
  </si>
  <si>
    <t xml:space="preserve">IMAGINARY("-574.9+8.8j")</t>
  </si>
  <si>
    <t xml:space="preserve">IMAGINARY("-825.0+3.0i")</t>
  </si>
  <si>
    <t xml:space="preserve">IMAGINARY("19.492+0.0077i")</t>
  </si>
  <si>
    <t xml:space="preserve">IMAGINARY("42.31+0.477i")</t>
  </si>
  <si>
    <t xml:space="preserve">IMAGINARY("-0.7056")</t>
  </si>
  <si>
    <t xml:space="preserve">IMAGINARY("-0.9-1.0i")</t>
  </si>
  <si>
    <t xml:space="preserve">IMAGINARY("-0.0009+-0.0i")</t>
  </si>
  <si>
    <t xml:space="preserve">IMAGINARY("-0.0+130.0i")</t>
  </si>
  <si>
    <t xml:space="preserve">IMAGINARY("69.56-216.88i")</t>
  </si>
  <si>
    <t xml:space="preserve">IMAGINARY("-6.52-0.83i")</t>
  </si>
  <si>
    <t xml:space="preserve">IMAGINARY("0.0084-1.0i")</t>
  </si>
  <si>
    <t xml:space="preserve">IMAGINARY("-0.23")</t>
  </si>
  <si>
    <t xml:space="preserve">IMAGINARY("-1.6437i")</t>
  </si>
  <si>
    <t xml:space="preserve">IMAGINARY("-0.0055+-0.0i")</t>
  </si>
  <si>
    <t xml:space="preserve">IMREAL("0.7-137.121j")</t>
  </si>
  <si>
    <t xml:space="preserve">IMREAL("-325.0")</t>
  </si>
  <si>
    <t xml:space="preserve">IMREAL("93.9955")</t>
  </si>
  <si>
    <t xml:space="preserve">IMREAL("235.8098j")</t>
  </si>
  <si>
    <t xml:space="preserve">IMREAL("-56.2+11.621i")</t>
  </si>
  <si>
    <t xml:space="preserve">IMREAL("-8.0903+6.3394i")</t>
  </si>
  <si>
    <t xml:space="preserve">IMREAL("35.04+262.7i")</t>
  </si>
  <si>
    <t xml:space="preserve">IMREAL("0.47-0.01i")</t>
  </si>
  <si>
    <t xml:space="preserve">IMREAL("42.0")</t>
  </si>
  <si>
    <t xml:space="preserve">IMREAL("0.0+-0.0i")</t>
  </si>
  <si>
    <t xml:space="preserve">IMREAL("30.86+936.2275i")</t>
  </si>
  <si>
    <t xml:space="preserve">IMREAL("-67.0+4.326i")</t>
  </si>
  <si>
    <t xml:space="preserve">IMREAL("76.2i")</t>
  </si>
  <si>
    <t xml:space="preserve">IMREAL("0.076-552.2343j")</t>
  </si>
  <si>
    <t xml:space="preserve">IMREAL("0.0-4.6597i")</t>
  </si>
  <si>
    <t xml:space="preserve">IMREAL("-407.491i")</t>
  </si>
  <si>
    <t xml:space="preserve">IMREAL("-543.0")</t>
  </si>
  <si>
    <t xml:space="preserve">IMREAL("-337.0+73.676i")</t>
  </si>
  <si>
    <t xml:space="preserve">IMREAL("-8.955-7.127i")</t>
  </si>
  <si>
    <t xml:space="preserve">IMREAL("-90.0i")</t>
  </si>
  <si>
    <t xml:space="preserve">IMREAL("-474.4462+4.804i")</t>
  </si>
  <si>
    <t xml:space="preserve">IMREAL("-8.0-0.0031j")</t>
  </si>
  <si>
    <t xml:space="preserve">IMREAL("-345.21-2.0i")</t>
  </si>
  <si>
    <t xml:space="preserve">IMREAL("5.0-3.64j")</t>
  </si>
  <si>
    <t xml:space="preserve">IMREAL("-6.0+-0.0j")</t>
  </si>
  <si>
    <t xml:space="preserve">IMREAL("0.0i")</t>
  </si>
  <si>
    <t xml:space="preserve">IMREAL("-72.695-2.14i")</t>
  </si>
  <si>
    <t xml:space="preserve">IMREAL("-961.53+0.0i")</t>
  </si>
  <si>
    <t xml:space="preserve">IMREAL("10.99-23.4i")</t>
  </si>
  <si>
    <t xml:space="preserve">IMREAL("-1.0-1.0j")</t>
  </si>
  <si>
    <t xml:space="preserve">IMREAL("-0.0048")</t>
  </si>
  <si>
    <t xml:space="preserve">IMREAL("-0.0")</t>
  </si>
  <si>
    <t xml:space="preserve">IMREAL("22.851-0.0079i")</t>
  </si>
  <si>
    <t xml:space="preserve">IMREAL("-0.5-0.008i")</t>
  </si>
  <si>
    <t xml:space="preserve">IMREAL("-68.0+3.5712i")</t>
  </si>
  <si>
    <t xml:space="preserve">IMREAL("-903.434+40.2796j")</t>
  </si>
  <si>
    <t xml:space="preserve">IMREAL("-22.0412+0.01j")</t>
  </si>
  <si>
    <t xml:space="preserve">IMREAL("-9.52+0.324i")</t>
  </si>
  <si>
    <t xml:space="preserve">IMREAL("1.0-1.0j")</t>
  </si>
  <si>
    <t xml:space="preserve">IMREAL("0.0-9.266i")</t>
  </si>
  <si>
    <t xml:space="preserve">IMREAL("-824.0")</t>
  </si>
  <si>
    <t xml:space="preserve">IMREAL("1.0-0.899i")</t>
  </si>
  <si>
    <t xml:space="preserve">IMREAL("92.0+3.7865i")</t>
  </si>
  <si>
    <t xml:space="preserve">IMREAL("1.1-0.193j")</t>
  </si>
  <si>
    <t xml:space="preserve">IMREAL("61.93-0.002i")</t>
  </si>
  <si>
    <t xml:space="preserve">IMREAL("-574.9+8.8j")</t>
  </si>
  <si>
    <t xml:space="preserve">IMREAL("-825.0+3.0i")</t>
  </si>
  <si>
    <t xml:space="preserve">IMREAL("19.492+0.0077i")</t>
  </si>
  <si>
    <t xml:space="preserve">IMREAL("42.31+0.477i")</t>
  </si>
  <si>
    <t xml:space="preserve">IMREAL("-0.7056")</t>
  </si>
  <si>
    <t xml:space="preserve">IMREAL("-0.9-1.0i")</t>
  </si>
  <si>
    <t xml:space="preserve">IMREAL("-0.0009+-0.0i")</t>
  </si>
  <si>
    <t xml:space="preserve">IMREAL("-0.0+130.0i")</t>
  </si>
  <si>
    <t xml:space="preserve">IMREAL("69.56-216.88i")</t>
  </si>
  <si>
    <t xml:space="preserve">IMREAL("-6.52-0.83i")</t>
  </si>
  <si>
    <t xml:space="preserve">IMREAL("0.0084-1.0i")</t>
  </si>
  <si>
    <t xml:space="preserve">IMREAL("-0.23")</t>
  </si>
  <si>
    <t xml:space="preserve">IMREAL("-1.6437i")</t>
  </si>
  <si>
    <t xml:space="preserve">IMREAL("-0.0055+-0.0i")</t>
  </si>
  <si>
    <t xml:space="preserve">IMARGUMENT("0.7-137.121j")</t>
  </si>
  <si>
    <t xml:space="preserve">IMARGUMENT("-325.0")</t>
  </si>
  <si>
    <t xml:space="preserve">IMARGUMENT("93.9955")</t>
  </si>
  <si>
    <t xml:space="preserve">IMARGUMENT("235.8098j")</t>
  </si>
  <si>
    <t xml:space="preserve">IMARGUMENT("-56.2+11.621i")</t>
  </si>
  <si>
    <t xml:space="preserve">IMARGUMENT("-8.0903+6.3394i")</t>
  </si>
  <si>
    <t xml:space="preserve">IMARGUMENT("35.04+262.7i")</t>
  </si>
  <si>
    <t xml:space="preserve">IMARGUMENT("0.47-0.01i")</t>
  </si>
  <si>
    <t xml:space="preserve">IMARGUMENT("42.0")</t>
  </si>
  <si>
    <t xml:space="preserve">IMARGUMENT("0.0+-0.0i")</t>
  </si>
  <si>
    <t xml:space="preserve">IMARGUMENT("30.86+936.2275i")</t>
  </si>
  <si>
    <t xml:space="preserve">IMARGUMENT("-67.0+4.326i")</t>
  </si>
  <si>
    <t xml:space="preserve">IMARGUMENT("76.2i")</t>
  </si>
  <si>
    <t xml:space="preserve">IMARGUMENT("0.076-552.2343j")</t>
  </si>
  <si>
    <t xml:space="preserve">IMARGUMENT("0.0-4.6597i")</t>
  </si>
  <si>
    <t xml:space="preserve">IMARGUMENT("-407.491i")</t>
  </si>
  <si>
    <t xml:space="preserve">IMARGUMENT("-543.0")</t>
  </si>
  <si>
    <t xml:space="preserve">IMARGUMENT("-337.0+73.676i")</t>
  </si>
  <si>
    <t xml:space="preserve">IMARGUMENT("-8.955-7.127i")</t>
  </si>
  <si>
    <t xml:space="preserve">IMARGUMENT("-90.0i")</t>
  </si>
  <si>
    <t xml:space="preserve">IMARGUMENT("-474.4462+4.804i")</t>
  </si>
  <si>
    <t xml:space="preserve">IMARGUMENT("-8.0-0.0031j")</t>
  </si>
  <si>
    <t xml:space="preserve">IMARGUMENT("-345.21-2.0i")</t>
  </si>
  <si>
    <t xml:space="preserve">IMARGUMENT("5.0-3.64j")</t>
  </si>
  <si>
    <t xml:space="preserve">IMARGUMENT("-6.0+-0.0j")</t>
  </si>
  <si>
    <t xml:space="preserve">IMARGUMENT("0.0i")</t>
  </si>
  <si>
    <t xml:space="preserve">IMARGUMENT("-72.695-2.14i")</t>
  </si>
  <si>
    <t xml:space="preserve">IMARGUMENT("-961.53+0.0i")</t>
  </si>
  <si>
    <t xml:space="preserve">IMARGUMENT("10.99-23.4i")</t>
  </si>
  <si>
    <t xml:space="preserve">IMARGUMENT("-1.0-1.0j")</t>
  </si>
  <si>
    <t xml:space="preserve">IMARGUMENT("-0.0048")</t>
  </si>
  <si>
    <t xml:space="preserve">IMARGUMENT("-0.0")</t>
  </si>
  <si>
    <t xml:space="preserve">IMARGUMENT("22.851-0.0079i")</t>
  </si>
  <si>
    <t xml:space="preserve">IMARGUMENT("-0.5-0.008i")</t>
  </si>
  <si>
    <t xml:space="preserve">IMARGUMENT("-68.0+3.5712i")</t>
  </si>
  <si>
    <t xml:space="preserve">IMARGUMENT("-903.434+40.2796j")</t>
  </si>
  <si>
    <t xml:space="preserve">IMARGUMENT("-22.0412+0.01j")</t>
  </si>
  <si>
    <t xml:space="preserve">IMARGUMENT("-9.52+0.324i")</t>
  </si>
  <si>
    <t xml:space="preserve">IMARGUMENT("1.0-1.0j")</t>
  </si>
  <si>
    <t xml:space="preserve">IMARGUMENT("0.0-9.266i")</t>
  </si>
  <si>
    <t xml:space="preserve">IMARGUMENT("-824.0")</t>
  </si>
  <si>
    <t xml:space="preserve">IMARGUMENT("1.0-0.899i")</t>
  </si>
  <si>
    <t xml:space="preserve">IMARGUMENT("92.0+3.7865i")</t>
  </si>
  <si>
    <t xml:space="preserve">IMARGUMENT("1.1-0.193j")</t>
  </si>
  <si>
    <t xml:space="preserve">IMARGUMENT("61.93-0.002i")</t>
  </si>
  <si>
    <t xml:space="preserve">IMARGUMENT("-574.9+8.8j")</t>
  </si>
  <si>
    <t xml:space="preserve">IMARGUMENT("-825.0+3.0i")</t>
  </si>
  <si>
    <t xml:space="preserve">IMARGUMENT("19.492+0.0077i")</t>
  </si>
  <si>
    <t xml:space="preserve">IMARGUMENT("42.31+0.477i")</t>
  </si>
  <si>
    <t xml:space="preserve">IMARGUMENT("-0.7056")</t>
  </si>
  <si>
    <t xml:space="preserve">IMARGUMENT("-0.9-1.0i")</t>
  </si>
  <si>
    <t xml:space="preserve">IMARGUMENT("-0.0009+-0.0i")</t>
  </si>
  <si>
    <t xml:space="preserve">IMARGUMENT("-0.0+130.0i")</t>
  </si>
  <si>
    <t xml:space="preserve">IMARGUMENT("69.56-216.88i")</t>
  </si>
  <si>
    <t xml:space="preserve">IMARGUMENT("-6.52-0.83i")</t>
  </si>
  <si>
    <t xml:space="preserve">IMARGUMENT("0.0084-1.0i")</t>
  </si>
  <si>
    <t xml:space="preserve">IMARGUMENT("-0.23")</t>
  </si>
  <si>
    <t xml:space="preserve">IMARGUMENT("-1.6437i")</t>
  </si>
  <si>
    <t xml:space="preserve">IMARGUMENT("-0.0055+-0.0i")</t>
  </si>
  <si>
    <t xml:space="preserve">IMCONJUGATE("0.7-137.121j")</t>
  </si>
  <si>
    <t xml:space="preserve">IMCONJUGATE("-325.0")</t>
  </si>
  <si>
    <t xml:space="preserve">IMCONJUGATE("93.9955")</t>
  </si>
  <si>
    <t xml:space="preserve">IMCONJUGATE("235.8098j")</t>
  </si>
  <si>
    <t xml:space="preserve">IMCONJUGATE("-56.2+11.621i")</t>
  </si>
  <si>
    <t xml:space="preserve">IMCONJUGATE("-8.0903+6.3394i")</t>
  </si>
  <si>
    <t xml:space="preserve">IMCONJUGATE("35.04+262.7i")</t>
  </si>
  <si>
    <t xml:space="preserve">IMCONJUGATE("0.47-0.01i")</t>
  </si>
  <si>
    <t xml:space="preserve">IMCONJUGATE("42.0")</t>
  </si>
  <si>
    <t xml:space="preserve">IMCONJUGATE("0.0+-0.0i")</t>
  </si>
  <si>
    <t xml:space="preserve">IMCONJUGATE("30.86+936.2275i")</t>
  </si>
  <si>
    <t xml:space="preserve">IMCONJUGATE("-67.0+4.326i")</t>
  </si>
  <si>
    <t xml:space="preserve">IMCONJUGATE("76.2i")</t>
  </si>
  <si>
    <t xml:space="preserve">IMCONJUGATE("0.076-552.2343j")</t>
  </si>
  <si>
    <t xml:space="preserve">IMCONJUGATE("0.0-4.6597i")</t>
  </si>
  <si>
    <t xml:space="preserve">IMCONJUGATE("-407.491i")</t>
  </si>
  <si>
    <t xml:space="preserve">IMCONJUGATE("-543.0")</t>
  </si>
  <si>
    <t xml:space="preserve">IMCONJUGATE("-337.0+73.676i")</t>
  </si>
  <si>
    <t xml:space="preserve">IMCONJUGATE("-8.955-7.127i")</t>
  </si>
  <si>
    <t xml:space="preserve">IMCONJUGATE("-90.0i")</t>
  </si>
  <si>
    <t xml:space="preserve">IMCONJUGATE("-474.4462+4.804i")</t>
  </si>
  <si>
    <t xml:space="preserve">IMCONJUGATE("-8.0-0.0031j")</t>
  </si>
  <si>
    <t xml:space="preserve">IMCONJUGATE("-345.21-2.0i")</t>
  </si>
  <si>
    <t xml:space="preserve">IMCONJUGATE("5.0-3.64j")</t>
  </si>
  <si>
    <t xml:space="preserve">IMCONJUGATE("-6.0+-0.0j")</t>
  </si>
  <si>
    <t xml:space="preserve">IMCONJUGATE("0.0i")</t>
  </si>
  <si>
    <t xml:space="preserve">IMCONJUGATE("-72.695-2.14i")</t>
  </si>
  <si>
    <t xml:space="preserve">IMCONJUGATE("-961.53+0.0i")</t>
  </si>
  <si>
    <t xml:space="preserve">IMCONJUGATE("10.99-23.4i")</t>
  </si>
  <si>
    <t xml:space="preserve">IMCONJUGATE("-1.0-1.0j")</t>
  </si>
  <si>
    <t xml:space="preserve">IMCONJUGATE("-0.0048")</t>
  </si>
  <si>
    <t xml:space="preserve">IMCONJUGATE("-0.0")</t>
  </si>
  <si>
    <t xml:space="preserve">IMCONJUGATE("22.851-0.0079i")</t>
  </si>
  <si>
    <t xml:space="preserve">IMCONJUGATE("-0.5-0.008i")</t>
  </si>
  <si>
    <t xml:space="preserve">IMCONJUGATE("-68.0+3.5712i")</t>
  </si>
  <si>
    <t xml:space="preserve">IMCONJUGATE("-903.434+40.2796j")</t>
  </si>
  <si>
    <t xml:space="preserve">IMCONJUGATE("-22.0412+0.01j")</t>
  </si>
  <si>
    <t xml:space="preserve">IMCONJUGATE("-9.52+0.324i")</t>
  </si>
  <si>
    <t xml:space="preserve">IMCONJUGATE("1.0-1.0j")</t>
  </si>
  <si>
    <t xml:space="preserve">IMCONJUGATE("0.0-9.266i")</t>
  </si>
  <si>
    <t xml:space="preserve">IMCONJUGATE("-824.0")</t>
  </si>
  <si>
    <t xml:space="preserve">IMCONJUGATE("1.0-0.899i")</t>
  </si>
  <si>
    <t xml:space="preserve">IMCONJUGATE("92.0+3.7865i")</t>
  </si>
  <si>
    <t xml:space="preserve">IMCONJUGATE("1.1-0.193j")</t>
  </si>
  <si>
    <t xml:space="preserve">IMCONJUGATE("61.93-0.002i")</t>
  </si>
  <si>
    <t xml:space="preserve">IMCONJUGATE("-574.9+8.8j")</t>
  </si>
  <si>
    <t xml:space="preserve">IMCONJUGATE("-825.0+3.0i")</t>
  </si>
  <si>
    <t xml:space="preserve">IMCONJUGATE("19.492+0.0077i")</t>
  </si>
  <si>
    <t xml:space="preserve">IMCONJUGATE("42.31+0.477i")</t>
  </si>
  <si>
    <t xml:space="preserve">IMCONJUGATE("-0.7056")</t>
  </si>
  <si>
    <t xml:space="preserve">IMCONJUGATE("-0.9-1.0i")</t>
  </si>
  <si>
    <t xml:space="preserve">IMCONJUGATE("-0.0009+-0.0i")</t>
  </si>
  <si>
    <t xml:space="preserve">IMCONJUGATE("-0.0+130.0i")</t>
  </si>
  <si>
    <t xml:space="preserve">IMCONJUGATE("69.56-216.88i")</t>
  </si>
  <si>
    <t xml:space="preserve">IMCONJUGATE("-6.52-0.83i")</t>
  </si>
  <si>
    <t xml:space="preserve">IMCONJUGATE("0.0084-1.0i")</t>
  </si>
  <si>
    <t xml:space="preserve">IMCONJUGATE("-0.23")</t>
  </si>
  <si>
    <t xml:space="preserve">IMCONJUGATE("-1.6437i")</t>
  </si>
  <si>
    <t xml:space="preserve">IMCONJUGATE("-0.0055+-0.0i")</t>
  </si>
  <si>
    <t xml:space="preserve">IMSQRT("0.7-137.121j")</t>
  </si>
  <si>
    <t xml:space="preserve">IMSQRT("-325.0")</t>
  </si>
  <si>
    <t xml:space="preserve">IMSQRT("93.9955")</t>
  </si>
  <si>
    <t xml:space="preserve">IMSQRT("235.8098j")</t>
  </si>
  <si>
    <t xml:space="preserve">IMSQRT("-56.2+11.621i")</t>
  </si>
  <si>
    <t xml:space="preserve">IMSQRT("-8.0903+6.3394i")</t>
  </si>
  <si>
    <t xml:space="preserve">IMSQRT("35.04+262.7i")</t>
  </si>
  <si>
    <t xml:space="preserve">IMSQRT("0.47-0.01i")</t>
  </si>
  <si>
    <t xml:space="preserve">IMSQRT("42.0")</t>
  </si>
  <si>
    <t xml:space="preserve">IMSQRT("0.0+-0.0i")</t>
  </si>
  <si>
    <t xml:space="preserve">IMSQRT("30.86+936.2275i")</t>
  </si>
  <si>
    <t xml:space="preserve">IMSQRT("-67.0+4.326i")</t>
  </si>
  <si>
    <t xml:space="preserve">IMSQRT("76.2i")</t>
  </si>
  <si>
    <t xml:space="preserve">IMSQRT("0.076-552.2343j")</t>
  </si>
  <si>
    <t xml:space="preserve">IMSQRT("0.0-4.6597i")</t>
  </si>
  <si>
    <t xml:space="preserve">IMSQRT("-407.491i")</t>
  </si>
  <si>
    <t xml:space="preserve">IMSQRT("-543.0")</t>
  </si>
  <si>
    <t xml:space="preserve">IMSQRT("-337.0+73.676i")</t>
  </si>
  <si>
    <t xml:space="preserve">IMSQRT("-8.955-7.127i")</t>
  </si>
  <si>
    <t xml:space="preserve">IMSQRT("-90.0i")</t>
  </si>
  <si>
    <t xml:space="preserve">IMSQRT("-474.4462+4.804i")</t>
  </si>
  <si>
    <t xml:space="preserve">IMSQRT("-8.0-0.0031j")</t>
  </si>
  <si>
    <t xml:space="preserve">IMSQRT("-345.21-2.0i")</t>
  </si>
  <si>
    <t xml:space="preserve">IMSQRT("5.0-3.64j")</t>
  </si>
  <si>
    <t xml:space="preserve">IMSQRT("-6.0+-0.0j")</t>
  </si>
  <si>
    <t xml:space="preserve">IMSQRT("0.0i")</t>
  </si>
  <si>
    <t xml:space="preserve">IMSQRT("-72.695-2.14i")</t>
  </si>
  <si>
    <t xml:space="preserve">IMSQRT("-961.53+0.0i")</t>
  </si>
  <si>
    <t xml:space="preserve">IMSQRT("10.99-23.4i")</t>
  </si>
  <si>
    <t xml:space="preserve">IMSQRT("-1.0-1.0j")</t>
  </si>
  <si>
    <t xml:space="preserve">IMSQRT("-0.0048")</t>
  </si>
  <si>
    <t xml:space="preserve">IMSQRT("-0.0")</t>
  </si>
  <si>
    <t xml:space="preserve">IMSQRT("22.851-0.0079i")</t>
  </si>
  <si>
    <t xml:space="preserve">IMSQRT("-0.5-0.008i")</t>
  </si>
  <si>
    <t xml:space="preserve">IMSQRT("-68.0+3.5712i")</t>
  </si>
  <si>
    <t xml:space="preserve">IMSQRT("-903.434+40.2796j")</t>
  </si>
  <si>
    <t xml:space="preserve">IMSQRT("-22.0412+0.01j")</t>
  </si>
  <si>
    <t xml:space="preserve">IMSQRT("-9.52+0.324i")</t>
  </si>
  <si>
    <t xml:space="preserve">IMSQRT("1.0-1.0j")</t>
  </si>
  <si>
    <t xml:space="preserve">IMSQRT("0.0-9.266i")</t>
  </si>
  <si>
    <t xml:space="preserve">IMSQRT("-824.0")</t>
  </si>
  <si>
    <t xml:space="preserve">IMSQRT("1.0-0.899i")</t>
  </si>
  <si>
    <t xml:space="preserve">IMSQRT("92.0+3.7865i")</t>
  </si>
  <si>
    <t xml:space="preserve">IMSQRT("1.1-0.193j")</t>
  </si>
  <si>
    <t xml:space="preserve">IMSQRT("61.93-0.002i")</t>
  </si>
  <si>
    <t xml:space="preserve">IMSQRT("-574.9+8.8j")</t>
  </si>
  <si>
    <t xml:space="preserve">IMSQRT("-825.0+3.0i")</t>
  </si>
  <si>
    <t xml:space="preserve">IMSQRT("19.492+0.0077i")</t>
  </si>
  <si>
    <t xml:space="preserve">IMSQRT("42.31+0.477i")</t>
  </si>
  <si>
    <t xml:space="preserve">IMSQRT("-0.7056")</t>
  </si>
  <si>
    <t xml:space="preserve">IMSQRT("-0.9-1.0i")</t>
  </si>
  <si>
    <t xml:space="preserve">IMSQRT("-0.0009+-0.0i")</t>
  </si>
  <si>
    <t xml:space="preserve">IMSQRT("-0.0+130.0i")</t>
  </si>
  <si>
    <t xml:space="preserve">IMSQRT("69.56-216.88i")</t>
  </si>
  <si>
    <t xml:space="preserve">IMSQRT("-6.52-0.83i")</t>
  </si>
  <si>
    <t xml:space="preserve">IMSQRT("0.0084-1.0i")</t>
  </si>
  <si>
    <t xml:space="preserve">IMSQRT("-0.23")</t>
  </si>
  <si>
    <t xml:space="preserve">IMSQRT("-1.6437i")</t>
  </si>
  <si>
    <t xml:space="preserve">IMSQRT("-0.0055+-0.0i")</t>
  </si>
  <si>
    <t xml:space="preserve">IMEXP("0.7-137.121j")</t>
  </si>
  <si>
    <t xml:space="preserve">IMEXP("-325.0")</t>
  </si>
  <si>
    <t xml:space="preserve">IMEXP("93.9955")</t>
  </si>
  <si>
    <t xml:space="preserve">IMEXP("235.8098j")</t>
  </si>
  <si>
    <t xml:space="preserve">IMEXP("-56.2+11.621i")</t>
  </si>
  <si>
    <t xml:space="preserve">IMEXP("-8.0903+6.3394i")</t>
  </si>
  <si>
    <t xml:space="preserve">IMEXP("35.04+262.7i")</t>
  </si>
  <si>
    <t xml:space="preserve">IMEXP("0.47-0.01i")</t>
  </si>
  <si>
    <t xml:space="preserve">IMEXP("42.0")</t>
  </si>
  <si>
    <t xml:space="preserve">IMEXP("0.0+-0.0i")</t>
  </si>
  <si>
    <t xml:space="preserve">IMEXP("30.86+936.2275i")</t>
  </si>
  <si>
    <t xml:space="preserve">IMEXP("-67.0+4.326i")</t>
  </si>
  <si>
    <t xml:space="preserve">IMEXP("76.2i")</t>
  </si>
  <si>
    <t xml:space="preserve">IMEXP("0.076-552.2343j")</t>
  </si>
  <si>
    <t xml:space="preserve">IMEXP("0.0-4.6597i")</t>
  </si>
  <si>
    <t xml:space="preserve">IMEXP("-407.491i")</t>
  </si>
  <si>
    <t xml:space="preserve">IMEXP("-543.0")</t>
  </si>
  <si>
    <t xml:space="preserve">IMEXP("-337.0+73.676i")</t>
  </si>
  <si>
    <t xml:space="preserve">IMEXP("-8.955-7.127i")</t>
  </si>
  <si>
    <t xml:space="preserve">IMEXP("-90.0i")</t>
  </si>
  <si>
    <t xml:space="preserve">IMEXP("-474.4462+4.804i")</t>
  </si>
  <si>
    <t xml:space="preserve">IMEXP("-8.0-0.0031j")</t>
  </si>
  <si>
    <t xml:space="preserve">IMEXP("-345.21-2.0i")</t>
  </si>
  <si>
    <t xml:space="preserve">IMEXP("5.0-3.64j")</t>
  </si>
  <si>
    <t xml:space="preserve">IMEXP("-6.0+-0.0j")</t>
  </si>
  <si>
    <t xml:space="preserve">IMEXP("0.0i")</t>
  </si>
  <si>
    <t xml:space="preserve">IMEXP("-72.695-2.14i")</t>
  </si>
  <si>
    <t xml:space="preserve">IMEXP("-961.53+0.0i")</t>
  </si>
  <si>
    <t xml:space="preserve">IMEXP("10.99-23.4i")</t>
  </si>
  <si>
    <t xml:space="preserve">IMEXP("-1.0-1.0j")</t>
  </si>
  <si>
    <t xml:space="preserve">IMEXP("-0.0048")</t>
  </si>
  <si>
    <t xml:space="preserve">IMEXP("-0.0")</t>
  </si>
  <si>
    <t xml:space="preserve">IMEXP("22.851-0.0079i")</t>
  </si>
  <si>
    <t xml:space="preserve">IMEXP("-0.5-0.008i")</t>
  </si>
  <si>
    <t xml:space="preserve">IMEXP("-68.0+3.5712i")</t>
  </si>
  <si>
    <t xml:space="preserve">IMEXP("-903.434+40.2796j")</t>
  </si>
  <si>
    <t xml:space="preserve">IMEXP("-22.0412+0.01j")</t>
  </si>
  <si>
    <t xml:space="preserve">IMEXP("-9.52+0.324i")</t>
  </si>
  <si>
    <t xml:space="preserve">IMEXP("1.0-1.0j")</t>
  </si>
  <si>
    <t xml:space="preserve">IMEXP("0.0-9.266i")</t>
  </si>
  <si>
    <t xml:space="preserve">IMEXP("-824.0")</t>
  </si>
  <si>
    <t xml:space="preserve">IMEXP("1.0-0.899i")</t>
  </si>
  <si>
    <t xml:space="preserve">IMEXP("92.0+3.7865i")</t>
  </si>
  <si>
    <t xml:space="preserve">IMEXP("1.1-0.193j")</t>
  </si>
  <si>
    <t xml:space="preserve">IMEXP("61.93-0.002i")</t>
  </si>
  <si>
    <t xml:space="preserve">IMEXP("-574.9+8.8j")</t>
  </si>
  <si>
    <t xml:space="preserve">IMEXP("-825.0+3.0i")</t>
  </si>
  <si>
    <t xml:space="preserve">IMEXP("19.492+0.0077i")</t>
  </si>
  <si>
    <t xml:space="preserve">IMEXP("42.31+0.477i")</t>
  </si>
  <si>
    <t xml:space="preserve">IMEXP("-0.7056")</t>
  </si>
  <si>
    <t xml:space="preserve">IMEXP("-0.9-1.0i")</t>
  </si>
  <si>
    <t xml:space="preserve">IMEXP("-0.0009+-0.0i")</t>
  </si>
  <si>
    <t xml:space="preserve">IMEXP("-0.0+130.0i")</t>
  </si>
  <si>
    <t xml:space="preserve">IMEXP("69.56-216.88i")</t>
  </si>
  <si>
    <t xml:space="preserve">IMEXP("-6.52-0.83i")</t>
  </si>
  <si>
    <t xml:space="preserve">IMEXP("0.0084-1.0i")</t>
  </si>
  <si>
    <t xml:space="preserve">IMEXP("-0.23")</t>
  </si>
  <si>
    <t xml:space="preserve">IMEXP("-1.6437i")</t>
  </si>
  <si>
    <t xml:space="preserve">IMEXP("-0.0055+-0.0i")</t>
  </si>
  <si>
    <t xml:space="preserve">IMLN("0.7-137.121j")</t>
  </si>
  <si>
    <t xml:space="preserve">IMLN("-325.0")</t>
  </si>
  <si>
    <t xml:space="preserve">IMLN("93.9955")</t>
  </si>
  <si>
    <t xml:space="preserve">IMLN("235.8098j")</t>
  </si>
  <si>
    <t xml:space="preserve">IMLN("-56.2+11.621i")</t>
  </si>
  <si>
    <t xml:space="preserve">IMLN("-8.0903+6.3394i")</t>
  </si>
  <si>
    <t xml:space="preserve">IMLN("35.04+262.7i")</t>
  </si>
  <si>
    <t xml:space="preserve">IMLN("0.47-0.01i")</t>
  </si>
  <si>
    <t xml:space="preserve">IMLN("42.0")</t>
  </si>
  <si>
    <t xml:space="preserve">IMLN("0.0+-0.0i")</t>
  </si>
  <si>
    <t xml:space="preserve">IMLN("30.86+936.2275i")</t>
  </si>
  <si>
    <t xml:space="preserve">IMLN("-67.0+4.326i")</t>
  </si>
  <si>
    <t xml:space="preserve">IMLN("76.2i")</t>
  </si>
  <si>
    <t xml:space="preserve">IMLN("0.076-552.2343j")</t>
  </si>
  <si>
    <t xml:space="preserve">IMLN("0.0-4.6597i")</t>
  </si>
  <si>
    <t xml:space="preserve">IMLN("-407.491i")</t>
  </si>
  <si>
    <t xml:space="preserve">IMLN("-543.0")</t>
  </si>
  <si>
    <t xml:space="preserve">IMLN("-337.0+73.676i")</t>
  </si>
  <si>
    <t xml:space="preserve">IMLN("-8.955-7.127i")</t>
  </si>
  <si>
    <t xml:space="preserve">IMLN("-90.0i")</t>
  </si>
  <si>
    <t xml:space="preserve">IMLN("-474.4462+4.804i")</t>
  </si>
  <si>
    <t xml:space="preserve">IMLN("-8.0-0.0031j")</t>
  </si>
  <si>
    <t xml:space="preserve">IMLN("-345.21-2.0i")</t>
  </si>
  <si>
    <t xml:space="preserve">IMLN("5.0-3.64j")</t>
  </si>
  <si>
    <t xml:space="preserve">IMLN("-6.0+-0.0j")</t>
  </si>
  <si>
    <t xml:space="preserve">IMLN("0.0i")</t>
  </si>
  <si>
    <t xml:space="preserve">IMLN("-72.695-2.14i")</t>
  </si>
  <si>
    <t xml:space="preserve">IMLN("-961.53+0.0i")</t>
  </si>
  <si>
    <t xml:space="preserve">IMLN("10.99-23.4i")</t>
  </si>
  <si>
    <t xml:space="preserve">IMLN("-1.0-1.0j")</t>
  </si>
  <si>
    <t xml:space="preserve">IMLN("-0.0048")</t>
  </si>
  <si>
    <t xml:space="preserve">IMLN("-0.0")</t>
  </si>
  <si>
    <t xml:space="preserve">IMLN("22.851-0.0079i")</t>
  </si>
  <si>
    <t xml:space="preserve">IMLN("-0.5-0.008i")</t>
  </si>
  <si>
    <t xml:space="preserve">IMLN("-68.0+3.5712i")</t>
  </si>
  <si>
    <t xml:space="preserve">IMLN("-903.434+40.2796j")</t>
  </si>
  <si>
    <t xml:space="preserve">IMLN("-22.0412+0.01j")</t>
  </si>
  <si>
    <t xml:space="preserve">IMLN("-9.52+0.324i")</t>
  </si>
  <si>
    <t xml:space="preserve">IMLN("1.0-1.0j")</t>
  </si>
  <si>
    <t xml:space="preserve">IMLN("0.0-9.266i")</t>
  </si>
  <si>
    <t xml:space="preserve">IMLN("-824.0")</t>
  </si>
  <si>
    <t xml:space="preserve">IMLN("1.0-0.899i")</t>
  </si>
  <si>
    <t xml:space="preserve">IMLN("92.0+3.7865i")</t>
  </si>
  <si>
    <t xml:space="preserve">IMLN("1.1-0.193j")</t>
  </si>
  <si>
    <t xml:space="preserve">IMLN("61.93-0.002i")</t>
  </si>
  <si>
    <t xml:space="preserve">IMLN("-574.9+8.8j")</t>
  </si>
  <si>
    <t xml:space="preserve">IMLN("-825.0+3.0i")</t>
  </si>
  <si>
    <t xml:space="preserve">IMLN("19.492+0.0077i")</t>
  </si>
  <si>
    <t xml:space="preserve">IMLN("42.31+0.477i")</t>
  </si>
  <si>
    <t xml:space="preserve">IMLN("-0.7056")</t>
  </si>
  <si>
    <t xml:space="preserve">IMLN("-0.9-1.0i")</t>
  </si>
  <si>
    <t xml:space="preserve">IMLN("-0.0009+-0.0i")</t>
  </si>
  <si>
    <t xml:space="preserve">IMLN("-0.0+130.0i")</t>
  </si>
  <si>
    <t xml:space="preserve">IMLN("69.56-216.88i")</t>
  </si>
  <si>
    <t xml:space="preserve">IMLN("-6.52-0.83i")</t>
  </si>
  <si>
    <t xml:space="preserve">IMLN("0.0084-1.0i")</t>
  </si>
  <si>
    <t xml:space="preserve">IMLN("-0.23")</t>
  </si>
  <si>
    <t xml:space="preserve">IMLN("-1.6437i")</t>
  </si>
  <si>
    <t xml:space="preserve">IMLN("-0.0055+-0.0i")</t>
  </si>
  <si>
    <t xml:space="preserve">IMLOG10("0.7-137.121j")</t>
  </si>
  <si>
    <t xml:space="preserve">IMLOG10("-325.0")</t>
  </si>
  <si>
    <t xml:space="preserve">IMLOG10("93.9955")</t>
  </si>
  <si>
    <t xml:space="preserve">IMLOG10("235.8098j")</t>
  </si>
  <si>
    <t xml:space="preserve">IMLOG10("-56.2+11.621i")</t>
  </si>
  <si>
    <t xml:space="preserve">IMLOG10("-8.0903+6.3394i")</t>
  </si>
  <si>
    <t xml:space="preserve">IMLOG10("35.04+262.7i")</t>
  </si>
  <si>
    <t xml:space="preserve">IMLOG10("0.47-0.01i")</t>
  </si>
  <si>
    <t xml:space="preserve">IMLOG10("42.0")</t>
  </si>
  <si>
    <t xml:space="preserve">IMLOG10("0.0+-0.0i")</t>
  </si>
  <si>
    <t xml:space="preserve">IMLOG10("30.86+936.2275i")</t>
  </si>
  <si>
    <t xml:space="preserve">IMLOG10("-67.0+4.326i")</t>
  </si>
  <si>
    <t xml:space="preserve">IMLOG10("76.2i")</t>
  </si>
  <si>
    <t xml:space="preserve">IMLOG10("0.076-552.2343j")</t>
  </si>
  <si>
    <t xml:space="preserve">IMLOG10("0.0-4.6597i")</t>
  </si>
  <si>
    <t xml:space="preserve">IMLOG10("-407.491i")</t>
  </si>
  <si>
    <t xml:space="preserve">IMLOG10("-543.0")</t>
  </si>
  <si>
    <t xml:space="preserve">IMLOG10("-337.0+73.676i")</t>
  </si>
  <si>
    <t xml:space="preserve">IMLOG10("-8.955-7.127i")</t>
  </si>
  <si>
    <t xml:space="preserve">IMLOG10("-90.0i")</t>
  </si>
  <si>
    <t xml:space="preserve">IMLOG10("-474.4462+4.804i")</t>
  </si>
  <si>
    <t xml:space="preserve">IMLOG10("-8.0-0.0031j")</t>
  </si>
  <si>
    <t xml:space="preserve">IMLOG10("-345.21-2.0i")</t>
  </si>
  <si>
    <t xml:space="preserve">IMLOG10("5.0-3.64j")</t>
  </si>
  <si>
    <t xml:space="preserve">IMLOG10("-6.0+-0.0j")</t>
  </si>
  <si>
    <t xml:space="preserve">IMLOG10("0.0i")</t>
  </si>
  <si>
    <t xml:space="preserve">IMLOG10("-72.695-2.14i")</t>
  </si>
  <si>
    <t xml:space="preserve">IMLOG10("-961.53+0.0i")</t>
  </si>
  <si>
    <t xml:space="preserve">IMLOG10("10.99-23.4i")</t>
  </si>
  <si>
    <t xml:space="preserve">IMLOG10("-1.0-1.0j")</t>
  </si>
  <si>
    <t xml:space="preserve">IMLOG10("-0.0048")</t>
  </si>
  <si>
    <t xml:space="preserve">IMLOG10("-0.0")</t>
  </si>
  <si>
    <t xml:space="preserve">IMLOG10("22.851-0.0079i")</t>
  </si>
  <si>
    <t xml:space="preserve">IMLOG10("-0.5-0.008i")</t>
  </si>
  <si>
    <t xml:space="preserve">IMLOG10("-68.0+3.5712i")</t>
  </si>
  <si>
    <t xml:space="preserve">IMLOG10("-903.434+40.2796j")</t>
  </si>
  <si>
    <t xml:space="preserve">IMLOG10("-22.0412+0.01j")</t>
  </si>
  <si>
    <t xml:space="preserve">IMLOG10("-9.52+0.324i")</t>
  </si>
  <si>
    <t xml:space="preserve">IMLOG10("1.0-1.0j")</t>
  </si>
  <si>
    <t xml:space="preserve">IMLOG10("0.0-9.266i")</t>
  </si>
  <si>
    <t xml:space="preserve">IMLOG10("-824.0")</t>
  </si>
  <si>
    <t xml:space="preserve">IMLOG10("1.0-0.899i")</t>
  </si>
  <si>
    <t xml:space="preserve">IMLOG10("92.0+3.7865i")</t>
  </si>
  <si>
    <t xml:space="preserve">IMLOG10("1.1-0.193j")</t>
  </si>
  <si>
    <t xml:space="preserve">IMLOG10("61.93-0.002i")</t>
  </si>
  <si>
    <t xml:space="preserve">IMLOG10("-574.9+8.8j")</t>
  </si>
  <si>
    <t xml:space="preserve">IMLOG10("-825.0+3.0i")</t>
  </si>
  <si>
    <t xml:space="preserve">IMLOG10("19.492+0.0077i")</t>
  </si>
  <si>
    <t xml:space="preserve">IMLOG10("42.31+0.477i")</t>
  </si>
  <si>
    <t xml:space="preserve">IMLOG10("-0.7056")</t>
  </si>
  <si>
    <t xml:space="preserve">IMLOG10("-0.9-1.0i")</t>
  </si>
  <si>
    <t xml:space="preserve">IMLOG10("-0.0009+-0.0i")</t>
  </si>
  <si>
    <t xml:space="preserve">IMLOG10("-0.0+130.0i")</t>
  </si>
  <si>
    <t xml:space="preserve">IMLOG10("69.56-216.88i")</t>
  </si>
  <si>
    <t xml:space="preserve">IMLOG10("-6.52-0.83i")</t>
  </si>
  <si>
    <t xml:space="preserve">IMLOG10("0.0084-1.0i")</t>
  </si>
  <si>
    <t xml:space="preserve">IMLOG10("-0.23")</t>
  </si>
  <si>
    <t xml:space="preserve">IMLOG10("-1.6437i")</t>
  </si>
  <si>
    <t xml:space="preserve">IMLOG10("-0.0055+-0.0i")</t>
  </si>
  <si>
    <t xml:space="preserve">IMLOG2("0.7-137.121j")</t>
  </si>
  <si>
    <t xml:space="preserve">IMLOG2("-325.0")</t>
  </si>
  <si>
    <t xml:space="preserve">IMLOG2("93.9955")</t>
  </si>
  <si>
    <t xml:space="preserve">IMLOG2("235.8098j")</t>
  </si>
  <si>
    <t xml:space="preserve">IMLOG2("-56.2+11.621i")</t>
  </si>
  <si>
    <t xml:space="preserve">IMLOG2("-8.0903+6.3394i")</t>
  </si>
  <si>
    <t xml:space="preserve">IMLOG2("35.04+262.7i")</t>
  </si>
  <si>
    <t xml:space="preserve">IMLOG2("0.47-0.01i")</t>
  </si>
  <si>
    <t xml:space="preserve">IMLOG2("42.0")</t>
  </si>
  <si>
    <t xml:space="preserve">IMLOG2("0.0+-0.0i")</t>
  </si>
  <si>
    <t xml:space="preserve">IMLOG2("30.86+936.2275i")</t>
  </si>
  <si>
    <t xml:space="preserve">IMLOG2("-67.0+4.326i")</t>
  </si>
  <si>
    <t xml:space="preserve">IMLOG2("76.2i")</t>
  </si>
  <si>
    <t xml:space="preserve">IMLOG2("0.076-552.2343j")</t>
  </si>
  <si>
    <t xml:space="preserve">IMLOG2("0.0-4.6597i")</t>
  </si>
  <si>
    <t xml:space="preserve">IMLOG2("-407.491i")</t>
  </si>
  <si>
    <t xml:space="preserve">IMLOG2("-543.0")</t>
  </si>
  <si>
    <t xml:space="preserve">IMLOG2("-337.0+73.676i")</t>
  </si>
  <si>
    <t xml:space="preserve">IMLOG2("-8.955-7.127i")</t>
  </si>
  <si>
    <t xml:space="preserve">IMLOG2("-90.0i")</t>
  </si>
  <si>
    <t xml:space="preserve">IMLOG2("-474.4462+4.804i")</t>
  </si>
  <si>
    <t xml:space="preserve">IMLOG2("-8.0-0.0031j")</t>
  </si>
  <si>
    <t xml:space="preserve">IMLOG2("-345.21-2.0i")</t>
  </si>
  <si>
    <t xml:space="preserve">IMLOG2("5.0-3.64j")</t>
  </si>
  <si>
    <t xml:space="preserve">IMLOG2("-6.0+-0.0j")</t>
  </si>
  <si>
    <t xml:space="preserve">IMLOG2("0.0i")</t>
  </si>
  <si>
    <t xml:space="preserve">IMLOG2("-72.695-2.14i")</t>
  </si>
  <si>
    <t xml:space="preserve">IMLOG2("-961.53+0.0i")</t>
  </si>
  <si>
    <t xml:space="preserve">IMLOG2("10.99-23.4i")</t>
  </si>
  <si>
    <t xml:space="preserve">IMLOG2("-1.0-1.0j")</t>
  </si>
  <si>
    <t xml:space="preserve">IMLOG2("-0.0048")</t>
  </si>
  <si>
    <t xml:space="preserve">IMLOG2("-0.0")</t>
  </si>
  <si>
    <t xml:space="preserve">IMLOG2("22.851-0.0079i")</t>
  </si>
  <si>
    <t xml:space="preserve">IMLOG2("-0.5-0.008i")</t>
  </si>
  <si>
    <t xml:space="preserve">IMLOG2("-68.0+3.5712i")</t>
  </si>
  <si>
    <t xml:space="preserve">IMLOG2("-903.434+40.2796j")</t>
  </si>
  <si>
    <t xml:space="preserve">IMLOG2("-22.0412+0.01j")</t>
  </si>
  <si>
    <t xml:space="preserve">IMLOG2("-9.52+0.324i")</t>
  </si>
  <si>
    <t xml:space="preserve">IMLOG2("1.0-1.0j")</t>
  </si>
  <si>
    <t xml:space="preserve">IMLOG2("0.0-9.266i")</t>
  </si>
  <si>
    <t xml:space="preserve">IMLOG2("-824.0")</t>
  </si>
  <si>
    <t xml:space="preserve">IMLOG2("1.0-0.899i")</t>
  </si>
  <si>
    <t xml:space="preserve">IMLOG2("92.0+3.7865i")</t>
  </si>
  <si>
    <t xml:space="preserve">IMLOG2("1.1-0.193j")</t>
  </si>
  <si>
    <t xml:space="preserve">IMLOG2("61.93-0.002i")</t>
  </si>
  <si>
    <t xml:space="preserve">IMLOG2("-574.9+8.8j")</t>
  </si>
  <si>
    <t xml:space="preserve">IMLOG2("-825.0+3.0i")</t>
  </si>
  <si>
    <t xml:space="preserve">IMLOG2("19.492+0.0077i")</t>
  </si>
  <si>
    <t xml:space="preserve">IMLOG2("42.31+0.477i")</t>
  </si>
  <si>
    <t xml:space="preserve">IMLOG2("-0.7056")</t>
  </si>
  <si>
    <t xml:space="preserve">IMLOG2("-0.9-1.0i")</t>
  </si>
  <si>
    <t xml:space="preserve">IMLOG2("-0.0009+-0.0i")</t>
  </si>
  <si>
    <t xml:space="preserve">IMLOG2("-0.0+130.0i")</t>
  </si>
  <si>
    <t xml:space="preserve">IMLOG2("69.56-216.88i")</t>
  </si>
  <si>
    <t xml:space="preserve">IMLOG2("-6.52-0.83i")</t>
  </si>
  <si>
    <t xml:space="preserve">IMLOG2("0.0084-1.0i")</t>
  </si>
  <si>
    <t xml:space="preserve">IMLOG2("-0.23")</t>
  </si>
  <si>
    <t xml:space="preserve">IMLOG2("-1.6437i")</t>
  </si>
  <si>
    <t xml:space="preserve">IMLOG2("-0.0055+-0.0i")</t>
  </si>
  <si>
    <t xml:space="preserve">IMSIN("0.7-137.121j")</t>
  </si>
  <si>
    <t xml:space="preserve">IMSIN("-325.0")</t>
  </si>
  <si>
    <t xml:space="preserve">IMSIN("93.9955")</t>
  </si>
  <si>
    <t xml:space="preserve">IMSIN("235.8098j")</t>
  </si>
  <si>
    <t xml:space="preserve">IMSIN("-56.2+11.621i")</t>
  </si>
  <si>
    <t xml:space="preserve">IMSIN("-8.0903+6.3394i")</t>
  </si>
  <si>
    <t xml:space="preserve">IMSIN("35.04+262.7i")</t>
  </si>
  <si>
    <t xml:space="preserve">IMSIN("0.47-0.01i")</t>
  </si>
  <si>
    <t xml:space="preserve">IMSIN("42.0")</t>
  </si>
  <si>
    <t xml:space="preserve">IMSIN("0.0+-0.0i")</t>
  </si>
  <si>
    <t xml:space="preserve">IMSIN("30.86+936.2275i")</t>
  </si>
  <si>
    <t xml:space="preserve">IMSIN("-67.0+4.326i")</t>
  </si>
  <si>
    <t xml:space="preserve">IMSIN("76.2i")</t>
  </si>
  <si>
    <t xml:space="preserve">IMSIN("0.076-552.2343j")</t>
  </si>
  <si>
    <t xml:space="preserve">IMSIN("0.0-4.6597i")</t>
  </si>
  <si>
    <t xml:space="preserve">IMSIN("-407.491i")</t>
  </si>
  <si>
    <t xml:space="preserve">IMSIN("-543.0")</t>
  </si>
  <si>
    <t xml:space="preserve">IMSIN("-337.0+73.676i")</t>
  </si>
  <si>
    <t xml:space="preserve">IMSIN("-8.955-7.127i")</t>
  </si>
  <si>
    <t xml:space="preserve">IMSIN("-90.0i")</t>
  </si>
  <si>
    <t xml:space="preserve">IMSIN("-474.4462+4.804i")</t>
  </si>
  <si>
    <t xml:space="preserve">IMSIN("-8.0-0.0031j")</t>
  </si>
  <si>
    <t xml:space="preserve">IMSIN("-345.21-2.0i")</t>
  </si>
  <si>
    <t xml:space="preserve">IMSIN("5.0-3.64j")</t>
  </si>
  <si>
    <t xml:space="preserve">IMSIN("-6.0+-0.0j")</t>
  </si>
  <si>
    <t xml:space="preserve">IMSIN("0.0i")</t>
  </si>
  <si>
    <t xml:space="preserve">IMSIN("-72.695-2.14i")</t>
  </si>
  <si>
    <t xml:space="preserve">IMSIN("-961.53+0.0i")</t>
  </si>
  <si>
    <t xml:space="preserve">IMSIN("10.99-23.4i")</t>
  </si>
  <si>
    <t xml:space="preserve">IMSIN("-1.0-1.0j")</t>
  </si>
  <si>
    <t xml:space="preserve">IMSIN("-0.0048")</t>
  </si>
  <si>
    <t xml:space="preserve">IMSIN("-0.0")</t>
  </si>
  <si>
    <t xml:space="preserve">IMSIN("22.851-0.0079i")</t>
  </si>
  <si>
    <t xml:space="preserve">IMSIN("-0.5-0.008i")</t>
  </si>
  <si>
    <t xml:space="preserve">IMSIN("-68.0+3.5712i")</t>
  </si>
  <si>
    <t xml:space="preserve">IMSIN("-903.434+40.2796j")</t>
  </si>
  <si>
    <t xml:space="preserve">IMSIN("-22.0412+0.01j")</t>
  </si>
  <si>
    <t xml:space="preserve">IMSIN("-9.52+0.324i")</t>
  </si>
  <si>
    <t xml:space="preserve">IMSIN("1.0-1.0j")</t>
  </si>
  <si>
    <t xml:space="preserve">IMSIN("0.0-9.266i")</t>
  </si>
  <si>
    <t xml:space="preserve">IMSIN("-824.0")</t>
  </si>
  <si>
    <t xml:space="preserve">IMSIN("1.0-0.899i")</t>
  </si>
  <si>
    <t xml:space="preserve">IMSIN("92.0+3.7865i")</t>
  </si>
  <si>
    <t xml:space="preserve">IMSIN("1.1-0.193j")</t>
  </si>
  <si>
    <t xml:space="preserve">IMSIN("61.93-0.002i")</t>
  </si>
  <si>
    <t xml:space="preserve">IMSIN("-574.9+8.8j")</t>
  </si>
  <si>
    <t xml:space="preserve">IMSIN("-825.0+3.0i")</t>
  </si>
  <si>
    <t xml:space="preserve">IMSIN("19.492+0.0077i")</t>
  </si>
  <si>
    <t xml:space="preserve">IMSIN("42.31+0.477i")</t>
  </si>
  <si>
    <t xml:space="preserve">IMSIN("-0.7056")</t>
  </si>
  <si>
    <t xml:space="preserve">IMSIN("-0.9-1.0i")</t>
  </si>
  <si>
    <t xml:space="preserve">IMSIN("-0.0009+-0.0i")</t>
  </si>
  <si>
    <t xml:space="preserve">IMSIN("-0.0+130.0i")</t>
  </si>
  <si>
    <t xml:space="preserve">IMSIN("69.56-216.88i")</t>
  </si>
  <si>
    <t xml:space="preserve">IMSIN("-6.52-0.83i")</t>
  </si>
  <si>
    <t xml:space="preserve">IMSIN("0.0084-1.0i")</t>
  </si>
  <si>
    <t xml:space="preserve">IMSIN("-0.23")</t>
  </si>
  <si>
    <t xml:space="preserve">IMSIN("-1.6437i")</t>
  </si>
  <si>
    <t xml:space="preserve">IMSIN("-0.0055+-0.0i")</t>
  </si>
  <si>
    <t xml:space="preserve">IMCOS("0.7-137.121j")</t>
  </si>
  <si>
    <t xml:space="preserve">IMCOS("-325.0")</t>
  </si>
  <si>
    <t xml:space="preserve">IMCOS("93.9955")</t>
  </si>
  <si>
    <t xml:space="preserve">IMCOS("235.8098j")</t>
  </si>
  <si>
    <t xml:space="preserve">IMCOS("-56.2+11.621i")</t>
  </si>
  <si>
    <t xml:space="preserve">IMCOS("-8.0903+6.3394i")</t>
  </si>
  <si>
    <t xml:space="preserve">IMCOS("35.04+262.7i")</t>
  </si>
  <si>
    <t xml:space="preserve">IMCOS("0.47-0.01i")</t>
  </si>
  <si>
    <t xml:space="preserve">IMCOS("42.0")</t>
  </si>
  <si>
    <t xml:space="preserve">IMCOS("0.0+-0.0i")</t>
  </si>
  <si>
    <t xml:space="preserve">IMCOS("30.86+936.2275i")</t>
  </si>
  <si>
    <t xml:space="preserve">IMCOS("-67.0+4.326i")</t>
  </si>
  <si>
    <t xml:space="preserve">IMCOS("76.2i")</t>
  </si>
  <si>
    <t xml:space="preserve">IMCOS("0.076-552.2343j")</t>
  </si>
  <si>
    <t xml:space="preserve">IMCOS("0.0-4.6597i")</t>
  </si>
  <si>
    <t xml:space="preserve">IMCOS("-407.491i")</t>
  </si>
  <si>
    <t xml:space="preserve">IMCOS("-543.0")</t>
  </si>
  <si>
    <t xml:space="preserve">IMCOS("-337.0+73.676i")</t>
  </si>
  <si>
    <t xml:space="preserve">IMCOS("-8.955-7.127i")</t>
  </si>
  <si>
    <t xml:space="preserve">IMCOS("-90.0i")</t>
  </si>
  <si>
    <t xml:space="preserve">IMCOS("-474.4462+4.804i")</t>
  </si>
  <si>
    <t xml:space="preserve">IMCOS("-8.0-0.0031j")</t>
  </si>
  <si>
    <t xml:space="preserve">IMCOS("-345.21-2.0i")</t>
  </si>
  <si>
    <t xml:space="preserve">IMCOS("5.0-3.64j")</t>
  </si>
  <si>
    <t xml:space="preserve">IMCOS("-6.0+-0.0j")</t>
  </si>
  <si>
    <t xml:space="preserve">IMCOS("0.0i")</t>
  </si>
  <si>
    <t xml:space="preserve">IMCOS("-72.695-2.14i")</t>
  </si>
  <si>
    <t xml:space="preserve">IMCOS("-961.53+0.0i")</t>
  </si>
  <si>
    <t xml:space="preserve">IMCOS("10.99-23.4i")</t>
  </si>
  <si>
    <t xml:space="preserve">IMCOS("-1.0-1.0j")</t>
  </si>
  <si>
    <t xml:space="preserve">IMCOS("-0.0048")</t>
  </si>
  <si>
    <t xml:space="preserve">IMCOS("-0.0")</t>
  </si>
  <si>
    <t xml:space="preserve">IMCOS("22.851-0.0079i")</t>
  </si>
  <si>
    <t xml:space="preserve">IMCOS("-0.5-0.008i")</t>
  </si>
  <si>
    <t xml:space="preserve">IMCOS("-68.0+3.5712i")</t>
  </si>
  <si>
    <t xml:space="preserve">IMCOS("-903.434+40.2796j")</t>
  </si>
  <si>
    <t xml:space="preserve">IMCOS("-22.0412+0.01j")</t>
  </si>
  <si>
    <t xml:space="preserve">IMCOS("-9.52+0.324i")</t>
  </si>
  <si>
    <t xml:space="preserve">IMCOS("1.0-1.0j")</t>
  </si>
  <si>
    <t xml:space="preserve">IMCOS("0.0-9.266i")</t>
  </si>
  <si>
    <t xml:space="preserve">IMCOS("-824.0")</t>
  </si>
  <si>
    <t xml:space="preserve">IMCOS("1.0-0.899i")</t>
  </si>
  <si>
    <t xml:space="preserve">IMCOS("92.0+3.7865i")</t>
  </si>
  <si>
    <t xml:space="preserve">IMCOS("1.1-0.193j")</t>
  </si>
  <si>
    <t xml:space="preserve">IMCOS("61.93-0.002i")</t>
  </si>
  <si>
    <t xml:space="preserve">IMCOS("-574.9+8.8j")</t>
  </si>
  <si>
    <t xml:space="preserve">IMCOS("-825.0+3.0i")</t>
  </si>
  <si>
    <t xml:space="preserve">IMCOS("19.492+0.0077i")</t>
  </si>
  <si>
    <t xml:space="preserve">IMCOS("42.31+0.477i")</t>
  </si>
  <si>
    <t xml:space="preserve">IMCOS("-0.7056")</t>
  </si>
  <si>
    <t xml:space="preserve">IMCOS("-0.9-1.0i")</t>
  </si>
  <si>
    <t xml:space="preserve">IMCOS("-0.0009+-0.0i")</t>
  </si>
  <si>
    <t xml:space="preserve">IMCOS("-0.0+130.0i")</t>
  </si>
  <si>
    <t xml:space="preserve">IMCOS("69.56-216.88i")</t>
  </si>
  <si>
    <t xml:space="preserve">IMCOS("-6.52-0.83i")</t>
  </si>
  <si>
    <t xml:space="preserve">IMCOS("0.0084-1.0i")</t>
  </si>
  <si>
    <t xml:space="preserve">IMCOS("-0.23")</t>
  </si>
  <si>
    <t xml:space="preserve">IMCOS("-1.6437i")</t>
  </si>
  <si>
    <t xml:space="preserve">IMCOS("-0.0055+-0.0i")</t>
  </si>
  <si>
    <t xml:space="preserve">IMTAN("0.7-137.121j")</t>
  </si>
  <si>
    <t xml:space="preserve">IMTAN("-325.0")</t>
  </si>
  <si>
    <t xml:space="preserve">IMTAN("93.9955")</t>
  </si>
  <si>
    <t xml:space="preserve">IMTAN("235.8098j")</t>
  </si>
  <si>
    <t xml:space="preserve">IMTAN("-56.2+11.621i")</t>
  </si>
  <si>
    <t xml:space="preserve">IMTAN("-8.0903+6.3394i")</t>
  </si>
  <si>
    <t xml:space="preserve">IMTAN("35.04+262.7i")</t>
  </si>
  <si>
    <t xml:space="preserve">IMTAN("0.47-0.01i")</t>
  </si>
  <si>
    <t xml:space="preserve">IMTAN("42.0")</t>
  </si>
  <si>
    <t xml:space="preserve">IMTAN("0.0+-0.0i")</t>
  </si>
  <si>
    <t xml:space="preserve">IMTAN("30.86+936.2275i")</t>
  </si>
  <si>
    <t xml:space="preserve">IMTAN("-67.0+4.326i")</t>
  </si>
  <si>
    <t xml:space="preserve">IMTAN("76.2i")</t>
  </si>
  <si>
    <t xml:space="preserve">IMTAN("0.076-552.2343j")</t>
  </si>
  <si>
    <t xml:space="preserve">IMTAN("0.0-4.6597i")</t>
  </si>
  <si>
    <t xml:space="preserve">IMTAN("-407.491i")</t>
  </si>
  <si>
    <t xml:space="preserve">IMTAN("-543.0")</t>
  </si>
  <si>
    <t xml:space="preserve">IMTAN("-337.0+73.676i")</t>
  </si>
  <si>
    <t xml:space="preserve">IMTAN("-8.955-7.127i")</t>
  </si>
  <si>
    <t xml:space="preserve">IMTAN("-90.0i")</t>
  </si>
  <si>
    <t xml:space="preserve">IMTAN("-474.4462+4.804i")</t>
  </si>
  <si>
    <t xml:space="preserve">IMTAN("-8.0-0.0031j")</t>
  </si>
  <si>
    <t xml:space="preserve">IMTAN("-345.21-2.0i")</t>
  </si>
  <si>
    <t xml:space="preserve">IMTAN("5.0-3.64j")</t>
  </si>
  <si>
    <t xml:space="preserve">IMTAN("-6.0+-0.0j")</t>
  </si>
  <si>
    <t xml:space="preserve">IMTAN("0.0i")</t>
  </si>
  <si>
    <t xml:space="preserve">IMTAN("-72.695-2.14i")</t>
  </si>
  <si>
    <t xml:space="preserve">IMTAN("-961.53+0.0i")</t>
  </si>
  <si>
    <t xml:space="preserve">IMTAN("10.99-23.4i")</t>
  </si>
  <si>
    <t xml:space="preserve">IMTAN("-1.0-1.0j")</t>
  </si>
  <si>
    <t xml:space="preserve">IMTAN("-0.0048")</t>
  </si>
  <si>
    <t xml:space="preserve">IMTAN("-0.0")</t>
  </si>
  <si>
    <t xml:space="preserve">IMTAN("22.851-0.0079i")</t>
  </si>
  <si>
    <t xml:space="preserve">IMTAN("-0.5-0.008i")</t>
  </si>
  <si>
    <t xml:space="preserve">IMTAN("-68.0+3.5712i")</t>
  </si>
  <si>
    <t xml:space="preserve">IMTAN("-903.434+40.2796j")</t>
  </si>
  <si>
    <t xml:space="preserve">IMTAN("-22.0412+0.01j")</t>
  </si>
  <si>
    <t xml:space="preserve">IMTAN("-9.52+0.324i")</t>
  </si>
  <si>
    <t xml:space="preserve">IMTAN("1.0-1.0j")</t>
  </si>
  <si>
    <t xml:space="preserve">IMTAN("0.0-9.266i")</t>
  </si>
  <si>
    <t xml:space="preserve">IMTAN("-824.0")</t>
  </si>
  <si>
    <t xml:space="preserve">IMTAN("1.0-0.899i")</t>
  </si>
  <si>
    <t xml:space="preserve">IMTAN("92.0+3.7865i")</t>
  </si>
  <si>
    <t xml:space="preserve">IMTAN("1.1-0.193j")</t>
  </si>
  <si>
    <t xml:space="preserve">IMTAN("61.93-0.002i")</t>
  </si>
  <si>
    <t xml:space="preserve">IMTAN("-574.9+8.8j")</t>
  </si>
  <si>
    <t xml:space="preserve">IMTAN("-825.0+3.0i")</t>
  </si>
  <si>
    <t xml:space="preserve">IMTAN("19.492+0.0077i")</t>
  </si>
  <si>
    <t xml:space="preserve">IMTAN("42.31+0.477i")</t>
  </si>
  <si>
    <t xml:space="preserve">IMTAN("-0.7056")</t>
  </si>
  <si>
    <t xml:space="preserve">IMTAN("-0.9-1.0i")</t>
  </si>
  <si>
    <t xml:space="preserve">IMTAN("-0.0009+-0.0i")</t>
  </si>
  <si>
    <t xml:space="preserve">IMTAN("-0.0+130.0i")</t>
  </si>
  <si>
    <t xml:space="preserve">IMTAN("69.56-216.88i")</t>
  </si>
  <si>
    <t xml:space="preserve">IMTAN("-6.52-0.83i")</t>
  </si>
  <si>
    <t xml:space="preserve">IMTAN("0.0084-1.0i")</t>
  </si>
  <si>
    <t xml:space="preserve">IMTAN("-0.23")</t>
  </si>
  <si>
    <t xml:space="preserve">IMTAN("-1.6437i")</t>
  </si>
  <si>
    <t xml:space="preserve">IMTAN("-0.0055+-0.0i")</t>
  </si>
  <si>
    <t xml:space="preserve">IMSEC("0.7-137.121j")</t>
  </si>
  <si>
    <t xml:space="preserve">IMSEC("-325.0")</t>
  </si>
  <si>
    <t xml:space="preserve">IMSEC("93.9955")</t>
  </si>
  <si>
    <t xml:space="preserve">IMSEC("235.8098j")</t>
  </si>
  <si>
    <t xml:space="preserve">IMSEC("-56.2+11.621i")</t>
  </si>
  <si>
    <t xml:space="preserve">IMSEC("-8.0903+6.3394i")</t>
  </si>
  <si>
    <t xml:space="preserve">IMSEC("35.04+262.7i")</t>
  </si>
  <si>
    <t xml:space="preserve">IMSEC("0.47-0.01i")</t>
  </si>
  <si>
    <t xml:space="preserve">IMSEC("42.0")</t>
  </si>
  <si>
    <t xml:space="preserve">IMSEC("0.0+-0.0i")</t>
  </si>
  <si>
    <t xml:space="preserve">IMSEC("30.86+936.2275i")</t>
  </si>
  <si>
    <t xml:space="preserve">IMSEC("-67.0+4.326i")</t>
  </si>
  <si>
    <t xml:space="preserve">IMSEC("76.2i")</t>
  </si>
  <si>
    <t xml:space="preserve">IMSEC("0.076-552.2343j")</t>
  </si>
  <si>
    <t xml:space="preserve">IMSEC("0.0-4.6597i")</t>
  </si>
  <si>
    <t xml:space="preserve">IMSEC("-407.491i")</t>
  </si>
  <si>
    <t xml:space="preserve">IMSEC("-543.0")</t>
  </si>
  <si>
    <t xml:space="preserve">IMSEC("-337.0+73.676i")</t>
  </si>
  <si>
    <t xml:space="preserve">IMSEC("-8.955-7.127i")</t>
  </si>
  <si>
    <t xml:space="preserve">IMSEC("-90.0i")</t>
  </si>
  <si>
    <t xml:space="preserve">IMSEC("-474.4462+4.804i")</t>
  </si>
  <si>
    <t xml:space="preserve">IMSEC("-8.0-0.0031j")</t>
  </si>
  <si>
    <t xml:space="preserve">IMSEC("-345.21-2.0i")</t>
  </si>
  <si>
    <t xml:space="preserve">IMSEC("5.0-3.64j")</t>
  </si>
  <si>
    <t xml:space="preserve">IMSEC("-6.0+-0.0j")</t>
  </si>
  <si>
    <t xml:space="preserve">IMSEC("0.0i")</t>
  </si>
  <si>
    <t xml:space="preserve">IMSEC("-72.695-2.14i")</t>
  </si>
  <si>
    <t xml:space="preserve">IMSEC("-961.53+0.0i")</t>
  </si>
  <si>
    <t xml:space="preserve">IMSEC("10.99-23.4i")</t>
  </si>
  <si>
    <t xml:space="preserve">IMSEC("-1.0-1.0j")</t>
  </si>
  <si>
    <t xml:space="preserve">IMSEC("-0.0048")</t>
  </si>
  <si>
    <t xml:space="preserve">IMSEC("-0.0")</t>
  </si>
  <si>
    <t xml:space="preserve">IMSEC("22.851-0.0079i")</t>
  </si>
  <si>
    <t xml:space="preserve">IMSEC("-0.5-0.008i")</t>
  </si>
  <si>
    <t xml:space="preserve">IMSEC("-68.0+3.5712i")</t>
  </si>
  <si>
    <t xml:space="preserve">IMSEC("-903.434+40.2796j")</t>
  </si>
  <si>
    <t xml:space="preserve">IMSEC("-22.0412+0.01j")</t>
  </si>
  <si>
    <t xml:space="preserve">IMSEC("-9.52+0.324i")</t>
  </si>
  <si>
    <t xml:space="preserve">IMSEC("1.0-1.0j")</t>
  </si>
  <si>
    <t xml:space="preserve">IMSEC("0.0-9.266i")</t>
  </si>
  <si>
    <t xml:space="preserve">IMSEC("-824.0")</t>
  </si>
  <si>
    <t xml:space="preserve">IMSEC("1.0-0.899i")</t>
  </si>
  <si>
    <t xml:space="preserve">IMSEC("92.0+3.7865i")</t>
  </si>
  <si>
    <t xml:space="preserve">IMSEC("1.1-0.193j")</t>
  </si>
  <si>
    <t xml:space="preserve">IMSEC("61.93-0.002i")</t>
  </si>
  <si>
    <t xml:space="preserve">IMSEC("-574.9+8.8j")</t>
  </si>
  <si>
    <t xml:space="preserve">IMSEC("-825.0+3.0i")</t>
  </si>
  <si>
    <t xml:space="preserve">IMSEC("19.492+0.0077i")</t>
  </si>
  <si>
    <t xml:space="preserve">IMSEC("42.31+0.477i")</t>
  </si>
  <si>
    <t xml:space="preserve">IMSEC("-0.7056")</t>
  </si>
  <si>
    <t xml:space="preserve">IMSEC("-0.9-1.0i")</t>
  </si>
  <si>
    <t xml:space="preserve">IMSEC("-0.0009+-0.0i")</t>
  </si>
  <si>
    <t xml:space="preserve">IMSEC("-0.0+130.0i")</t>
  </si>
  <si>
    <t xml:space="preserve">IMSEC("69.56-216.88i")</t>
  </si>
  <si>
    <t xml:space="preserve">IMSEC("-6.52-0.83i")</t>
  </si>
  <si>
    <t xml:space="preserve">IMSEC("0.0084-1.0i")</t>
  </si>
  <si>
    <t xml:space="preserve">IMSEC("-0.23")</t>
  </si>
  <si>
    <t xml:space="preserve">IMSEC("-1.6437i")</t>
  </si>
  <si>
    <t xml:space="preserve">IMSEC("-0.0055+-0.0i")</t>
  </si>
  <si>
    <t xml:space="preserve">IMCSC("0.7-137.121j")</t>
  </si>
  <si>
    <t xml:space="preserve">IMCSC("-325.0")</t>
  </si>
  <si>
    <t xml:space="preserve">IMCSC("93.9955")</t>
  </si>
  <si>
    <t xml:space="preserve">IMCSC("235.8098j")</t>
  </si>
  <si>
    <t xml:space="preserve">IMCSC("-56.2+11.621i")</t>
  </si>
  <si>
    <t xml:space="preserve">IMCSC("-8.0903+6.3394i")</t>
  </si>
  <si>
    <t xml:space="preserve">IMCSC("35.04+262.7i")</t>
  </si>
  <si>
    <t xml:space="preserve">IMCSC("0.47-0.01i")</t>
  </si>
  <si>
    <t xml:space="preserve">IMCSC("42.0")</t>
  </si>
  <si>
    <t xml:space="preserve">IMCSC("0.0+-0.0i")</t>
  </si>
  <si>
    <t xml:space="preserve">IMCSC("30.86+936.2275i")</t>
  </si>
  <si>
    <t xml:space="preserve">IMCSC("-67.0+4.326i")</t>
  </si>
  <si>
    <t xml:space="preserve">IMCSC("76.2i")</t>
  </si>
  <si>
    <t xml:space="preserve">IMCSC("0.076-552.2343j")</t>
  </si>
  <si>
    <t xml:space="preserve">IMCSC("0.0-4.6597i")</t>
  </si>
  <si>
    <t xml:space="preserve">IMCSC("-407.491i")</t>
  </si>
  <si>
    <t xml:space="preserve">IMCSC("-543.0")</t>
  </si>
  <si>
    <t xml:space="preserve">IMCSC("-337.0+73.676i")</t>
  </si>
  <si>
    <t xml:space="preserve">IMCSC("-8.955-7.127i")</t>
  </si>
  <si>
    <t xml:space="preserve">IMCSC("-90.0i")</t>
  </si>
  <si>
    <t xml:space="preserve">IMCSC("-474.4462+4.804i")</t>
  </si>
  <si>
    <t xml:space="preserve">IMCSC("-8.0-0.0031j")</t>
  </si>
  <si>
    <t xml:space="preserve">IMCSC("-345.21-2.0i")</t>
  </si>
  <si>
    <t xml:space="preserve">IMCSC("5.0-3.64j")</t>
  </si>
  <si>
    <t xml:space="preserve">IMCSC("-6.0+-0.0j")</t>
  </si>
  <si>
    <t xml:space="preserve">IMCSC("0.0i")</t>
  </si>
  <si>
    <t xml:space="preserve">IMCSC("-72.695-2.14i")</t>
  </si>
  <si>
    <t xml:space="preserve">IMCSC("-961.53+0.0i")</t>
  </si>
  <si>
    <t xml:space="preserve">IMCSC("10.99-23.4i")</t>
  </si>
  <si>
    <t xml:space="preserve">IMCSC("-1.0-1.0j")</t>
  </si>
  <si>
    <t xml:space="preserve">IMCSC("-0.0048")</t>
  </si>
  <si>
    <t xml:space="preserve">IMCSC("-0.0")</t>
  </si>
  <si>
    <t xml:space="preserve">IMCSC("22.851-0.0079i")</t>
  </si>
  <si>
    <t xml:space="preserve">IMCSC("-0.5-0.008i")</t>
  </si>
  <si>
    <t xml:space="preserve">IMCSC("-68.0+3.5712i")</t>
  </si>
  <si>
    <t xml:space="preserve">IMCSC("-903.434+40.2796j")</t>
  </si>
  <si>
    <t xml:space="preserve">IMCSC("-22.0412+0.01j")</t>
  </si>
  <si>
    <t xml:space="preserve">IMCSC("-9.52+0.324i")</t>
  </si>
  <si>
    <t xml:space="preserve">IMCSC("1.0-1.0j")</t>
  </si>
  <si>
    <t xml:space="preserve">IMCSC("0.0-9.266i")</t>
  </si>
  <si>
    <t xml:space="preserve">IMCSC("-824.0")</t>
  </si>
  <si>
    <t xml:space="preserve">IMCSC("1.0-0.899i")</t>
  </si>
  <si>
    <t xml:space="preserve">IMCSC("92.0+3.7865i")</t>
  </si>
  <si>
    <t xml:space="preserve">IMCSC("1.1-0.193j")</t>
  </si>
  <si>
    <t xml:space="preserve">IMCSC("61.93-0.002i")</t>
  </si>
  <si>
    <t xml:space="preserve">IMCSC("-574.9+8.8j")</t>
  </si>
  <si>
    <t xml:space="preserve">IMCSC("-825.0+3.0i")</t>
  </si>
  <si>
    <t xml:space="preserve">IMCSC("19.492+0.0077i")</t>
  </si>
  <si>
    <t xml:space="preserve">IMCSC("42.31+0.477i")</t>
  </si>
  <si>
    <t xml:space="preserve">IMCSC("-0.7056")</t>
  </si>
  <si>
    <t xml:space="preserve">IMCSC("-0.9-1.0i")</t>
  </si>
  <si>
    <t xml:space="preserve">IMCSC("-0.0009+-0.0i")</t>
  </si>
  <si>
    <t xml:space="preserve">IMCSC("-0.0+130.0i")</t>
  </si>
  <si>
    <t xml:space="preserve">IMCSC("69.56-216.88i")</t>
  </si>
  <si>
    <t xml:space="preserve">IMCSC("-6.52-0.83i")</t>
  </si>
  <si>
    <t xml:space="preserve">IMCSC("0.0084-1.0i")</t>
  </si>
  <si>
    <t xml:space="preserve">IMCSC("-0.23")</t>
  </si>
  <si>
    <t xml:space="preserve">IMCSC("-1.6437i")</t>
  </si>
  <si>
    <t xml:space="preserve">IMCSC("-0.0055+-0.0i")</t>
  </si>
  <si>
    <t xml:space="preserve">IMCOT("0.7-137.121j")</t>
  </si>
  <si>
    <t xml:space="preserve">IMCOT("-325.0")</t>
  </si>
  <si>
    <t xml:space="preserve">IMCOT("93.9955")</t>
  </si>
  <si>
    <t xml:space="preserve">IMCOT("235.8098j")</t>
  </si>
  <si>
    <t xml:space="preserve">IMCOT("-56.2+11.621i")</t>
  </si>
  <si>
    <t xml:space="preserve">IMCOT("-8.0903+6.3394i")</t>
  </si>
  <si>
    <t xml:space="preserve">IMCOT("35.04+262.7i")</t>
  </si>
  <si>
    <t xml:space="preserve">IMCOT("0.47-0.01i")</t>
  </si>
  <si>
    <t xml:space="preserve">IMCOT("42.0")</t>
  </si>
  <si>
    <t xml:space="preserve">IMCOT("0.0+-0.0i")</t>
  </si>
  <si>
    <t xml:space="preserve">IMCOT("30.86+936.2275i")</t>
  </si>
  <si>
    <t xml:space="preserve">IMCOT("-67.0+4.326i")</t>
  </si>
  <si>
    <t xml:space="preserve">IMCOT("76.2i")</t>
  </si>
  <si>
    <t xml:space="preserve">IMCOT("0.076-552.2343j")</t>
  </si>
  <si>
    <t xml:space="preserve">IMCOT("0.0-4.6597i")</t>
  </si>
  <si>
    <t xml:space="preserve">IMCOT("-407.491i")</t>
  </si>
  <si>
    <t xml:space="preserve">IMCOT("-543.0")</t>
  </si>
  <si>
    <t xml:space="preserve">IMCOT("-337.0+73.676i")</t>
  </si>
  <si>
    <t xml:space="preserve">IMCOT("-8.955-7.127i")</t>
  </si>
  <si>
    <t xml:space="preserve">IMCOT("-90.0i")</t>
  </si>
  <si>
    <t xml:space="preserve">IMCOT("-474.4462+4.804i")</t>
  </si>
  <si>
    <t xml:space="preserve">IMCOT("-8.0-0.0031j")</t>
  </si>
  <si>
    <t xml:space="preserve">IMCOT("-345.21-2.0i")</t>
  </si>
  <si>
    <t xml:space="preserve">IMCOT("5.0-3.64j")</t>
  </si>
  <si>
    <t xml:space="preserve">IMCOT("-6.0+-0.0j")</t>
  </si>
  <si>
    <t xml:space="preserve">IMCOT("0.0i")</t>
  </si>
  <si>
    <t xml:space="preserve">IMCOT("-72.695-2.14i")</t>
  </si>
  <si>
    <t xml:space="preserve">IMCOT("-961.53+0.0i")</t>
  </si>
  <si>
    <t xml:space="preserve">IMCOT("10.99-23.4i")</t>
  </si>
  <si>
    <t xml:space="preserve">IMCOT("-1.0-1.0j")</t>
  </si>
  <si>
    <t xml:space="preserve">IMCOT("-0.0048")</t>
  </si>
  <si>
    <t xml:space="preserve">IMCOT("-0.0")</t>
  </si>
  <si>
    <t xml:space="preserve">IMCOT("22.851-0.0079i")</t>
  </si>
  <si>
    <t xml:space="preserve">IMCOT("-0.5-0.008i")</t>
  </si>
  <si>
    <t xml:space="preserve">IMCOT("-68.0+3.5712i")</t>
  </si>
  <si>
    <t xml:space="preserve">IMCOT("-903.434+40.2796j")</t>
  </si>
  <si>
    <t xml:space="preserve">IMCOT("-22.0412+0.01j")</t>
  </si>
  <si>
    <t xml:space="preserve">IMCOT("-9.52+0.324i")</t>
  </si>
  <si>
    <t xml:space="preserve">IMCOT("1.0-1.0j")</t>
  </si>
  <si>
    <t xml:space="preserve">IMCOT("0.0-9.266i")</t>
  </si>
  <si>
    <t xml:space="preserve">IMCOT("-824.0")</t>
  </si>
  <si>
    <t xml:space="preserve">IMCOT("1.0-0.899i")</t>
  </si>
  <si>
    <t xml:space="preserve">IMCOT("92.0+3.7865i")</t>
  </si>
  <si>
    <t xml:space="preserve">IMCOT("1.1-0.193j")</t>
  </si>
  <si>
    <t xml:space="preserve">IMCOT("61.93-0.002i")</t>
  </si>
  <si>
    <t xml:space="preserve">IMCOT("-574.9+8.8j")</t>
  </si>
  <si>
    <t xml:space="preserve">IMCOT("-825.0+3.0i")</t>
  </si>
  <si>
    <t xml:space="preserve">IMCOT("19.492+0.0077i")</t>
  </si>
  <si>
    <t xml:space="preserve">IMCOT("42.31+0.477i")</t>
  </si>
  <si>
    <t xml:space="preserve">IMCOT("-0.7056")</t>
  </si>
  <si>
    <t xml:space="preserve">IMCOT("-0.9-1.0i")</t>
  </si>
  <si>
    <t xml:space="preserve">IMCOT("-0.0009+-0.0i")</t>
  </si>
  <si>
    <t xml:space="preserve">IMCOT("-0.0+130.0i")</t>
  </si>
  <si>
    <t xml:space="preserve">IMCOT("69.56-216.88i")</t>
  </si>
  <si>
    <t xml:space="preserve">IMCOT("-6.52-0.83i")</t>
  </si>
  <si>
    <t xml:space="preserve">IMCOT("0.0084-1.0i")</t>
  </si>
  <si>
    <t xml:space="preserve">IMCOT("-0.23")</t>
  </si>
  <si>
    <t xml:space="preserve">IMCOT("-1.6437i")</t>
  </si>
  <si>
    <t xml:space="preserve">IMCOT("-0.0055+-0.0i")</t>
  </si>
  <si>
    <t xml:space="preserve">IMSINH("0.7-137.121j")</t>
  </si>
  <si>
    <t xml:space="preserve">IMSINH("-325.0")</t>
  </si>
  <si>
    <t xml:space="preserve">IMSINH("93.9955")</t>
  </si>
  <si>
    <t xml:space="preserve">IMSINH("235.8098j")</t>
  </si>
  <si>
    <t xml:space="preserve">IMSINH("-56.2+11.621i")</t>
  </si>
  <si>
    <t xml:space="preserve">IMSINH("-8.0903+6.3394i")</t>
  </si>
  <si>
    <t xml:space="preserve">IMSINH("35.04+262.7i")</t>
  </si>
  <si>
    <t xml:space="preserve">IMSINH("0.47-0.01i")</t>
  </si>
  <si>
    <t xml:space="preserve">IMSINH("42.0")</t>
  </si>
  <si>
    <t xml:space="preserve">IMSINH("0.0+-0.0i")</t>
  </si>
  <si>
    <t xml:space="preserve">IMSINH("30.86+936.2275i")</t>
  </si>
  <si>
    <t xml:space="preserve">IMSINH("-67.0+4.326i")</t>
  </si>
  <si>
    <t xml:space="preserve">IMSINH("76.2i")</t>
  </si>
  <si>
    <t xml:space="preserve">IMSINH("0.076-552.2343j")</t>
  </si>
  <si>
    <t xml:space="preserve">IMSINH("0.0-4.6597i")</t>
  </si>
  <si>
    <t xml:space="preserve">IMSINH("-407.491i")</t>
  </si>
  <si>
    <t xml:space="preserve">IMSINH("-543.0")</t>
  </si>
  <si>
    <t xml:space="preserve">IMSINH("-337.0+73.676i")</t>
  </si>
  <si>
    <t xml:space="preserve">IMSINH("-8.955-7.127i")</t>
  </si>
  <si>
    <t xml:space="preserve">IMSINH("-90.0i")</t>
  </si>
  <si>
    <t xml:space="preserve">IMSINH("-474.4462+4.804i")</t>
  </si>
  <si>
    <t xml:space="preserve">IMSINH("-8.0-0.0031j")</t>
  </si>
  <si>
    <t xml:space="preserve">IMSINH("-345.21-2.0i")</t>
  </si>
  <si>
    <t xml:space="preserve">IMSINH("5.0-3.64j")</t>
  </si>
  <si>
    <t xml:space="preserve">IMSINH("-6.0+-0.0j")</t>
  </si>
  <si>
    <t xml:space="preserve">IMSINH("0.0i")</t>
  </si>
  <si>
    <t xml:space="preserve">IMSINH("-72.695-2.14i")</t>
  </si>
  <si>
    <t xml:space="preserve">IMSINH("-961.53+0.0i")</t>
  </si>
  <si>
    <t xml:space="preserve">IMSINH("10.99-23.4i")</t>
  </si>
  <si>
    <t xml:space="preserve">IMSINH("-1.0-1.0j")</t>
  </si>
  <si>
    <t xml:space="preserve">IMSINH("-0.0048")</t>
  </si>
  <si>
    <t xml:space="preserve">IMSINH("-0.0")</t>
  </si>
  <si>
    <t xml:space="preserve">IMSINH("22.851-0.0079i")</t>
  </si>
  <si>
    <t xml:space="preserve">IMSINH("-0.5-0.008i")</t>
  </si>
  <si>
    <t xml:space="preserve">IMSINH("-68.0+3.5712i")</t>
  </si>
  <si>
    <t xml:space="preserve">IMSINH("-903.434+40.2796j")</t>
  </si>
  <si>
    <t xml:space="preserve">IMSINH("-22.0412+0.01j")</t>
  </si>
  <si>
    <t xml:space="preserve">IMSINH("-9.52+0.324i")</t>
  </si>
  <si>
    <t xml:space="preserve">IMSINH("1.0-1.0j")</t>
  </si>
  <si>
    <t xml:space="preserve">IMSINH("0.0-9.266i")</t>
  </si>
  <si>
    <t xml:space="preserve">IMSINH("-824.0")</t>
  </si>
  <si>
    <t xml:space="preserve">IMSINH("1.0-0.899i")</t>
  </si>
  <si>
    <t xml:space="preserve">IMSINH("92.0+3.7865i")</t>
  </si>
  <si>
    <t xml:space="preserve">IMSINH("1.1-0.193j")</t>
  </si>
  <si>
    <t xml:space="preserve">IMSINH("61.93-0.002i")</t>
  </si>
  <si>
    <t xml:space="preserve">IMSINH("-574.9+8.8j")</t>
  </si>
  <si>
    <t xml:space="preserve">IMSINH("-825.0+3.0i")</t>
  </si>
  <si>
    <t xml:space="preserve">IMSINH("19.492+0.0077i")</t>
  </si>
  <si>
    <t xml:space="preserve">IMSINH("42.31+0.477i")</t>
  </si>
  <si>
    <t xml:space="preserve">IMSINH("-0.7056")</t>
  </si>
  <si>
    <t xml:space="preserve">IMSINH("-0.9-1.0i")</t>
  </si>
  <si>
    <t xml:space="preserve">IMSINH("-0.0009+-0.0i")</t>
  </si>
  <si>
    <t xml:space="preserve">IMSINH("-0.0+130.0i")</t>
  </si>
  <si>
    <t xml:space="preserve">IMSINH("69.56-216.88i")</t>
  </si>
  <si>
    <t xml:space="preserve">IMSINH("-6.52-0.83i")</t>
  </si>
  <si>
    <t xml:space="preserve">IMSINH("0.0084-1.0i")</t>
  </si>
  <si>
    <t xml:space="preserve">IMSINH("-0.23")</t>
  </si>
  <si>
    <t xml:space="preserve">IMSINH("-1.6437i")</t>
  </si>
  <si>
    <t xml:space="preserve">IMSINH("-0.0055+-0.0i")</t>
  </si>
  <si>
    <t xml:space="preserve">IMCOSH("0.7-137.121j")</t>
  </si>
  <si>
    <t xml:space="preserve">IMCOSH("-325.0")</t>
  </si>
  <si>
    <t xml:space="preserve">IMCOSH("93.9955")</t>
  </si>
  <si>
    <t xml:space="preserve">IMCOSH("235.8098j")</t>
  </si>
  <si>
    <t xml:space="preserve">IMCOSH("-56.2+11.621i")</t>
  </si>
  <si>
    <t xml:space="preserve">IMCOSH("-8.0903+6.3394i")</t>
  </si>
  <si>
    <t xml:space="preserve">IMCOSH("35.04+262.7i")</t>
  </si>
  <si>
    <t xml:space="preserve">IMCOSH("0.47-0.01i")</t>
  </si>
  <si>
    <t xml:space="preserve">IMCOSH("42.0")</t>
  </si>
  <si>
    <t xml:space="preserve">IMCOSH("0.0+-0.0i")</t>
  </si>
  <si>
    <t xml:space="preserve">IMCOSH("30.86+936.2275i")</t>
  </si>
  <si>
    <t xml:space="preserve">IMCOSH("-67.0+4.326i")</t>
  </si>
  <si>
    <t xml:space="preserve">IMCOSH("76.2i")</t>
  </si>
  <si>
    <t xml:space="preserve">IMCOSH("0.076-552.2343j")</t>
  </si>
  <si>
    <t xml:space="preserve">IMCOSH("0.0-4.6597i")</t>
  </si>
  <si>
    <t xml:space="preserve">IMCOSH("-407.491i")</t>
  </si>
  <si>
    <t xml:space="preserve">IMCOSH("-543.0")</t>
  </si>
  <si>
    <t xml:space="preserve">IMCOSH("-337.0+73.676i")</t>
  </si>
  <si>
    <t xml:space="preserve">IMCOSH("-8.955-7.127i")</t>
  </si>
  <si>
    <t xml:space="preserve">IMCOSH("-90.0i")</t>
  </si>
  <si>
    <t xml:space="preserve">IMCOSH("-474.4462+4.804i")</t>
  </si>
  <si>
    <t xml:space="preserve">IMCOSH("-8.0-0.0031j")</t>
  </si>
  <si>
    <t xml:space="preserve">IMCOSH("-345.21-2.0i")</t>
  </si>
  <si>
    <t xml:space="preserve">IMCOSH("5.0-3.64j")</t>
  </si>
  <si>
    <t xml:space="preserve">IMCOSH("-6.0+-0.0j")</t>
  </si>
  <si>
    <t xml:space="preserve">IMCOSH("0.0i")</t>
  </si>
  <si>
    <t xml:space="preserve">IMCOSH("-72.695-2.14i")</t>
  </si>
  <si>
    <t xml:space="preserve">IMCOSH("-961.53+0.0i")</t>
  </si>
  <si>
    <t xml:space="preserve">IMCOSH("10.99-23.4i")</t>
  </si>
  <si>
    <t xml:space="preserve">IMCOSH("-1.0-1.0j")</t>
  </si>
  <si>
    <t xml:space="preserve">IMCOSH("-0.0048")</t>
  </si>
  <si>
    <t xml:space="preserve">IMCOSH("-0.0")</t>
  </si>
  <si>
    <t xml:space="preserve">IMCOSH("22.851-0.0079i")</t>
  </si>
  <si>
    <t xml:space="preserve">IMCOSH("-0.5-0.008i")</t>
  </si>
  <si>
    <t xml:space="preserve">IMCOSH("-68.0+3.5712i")</t>
  </si>
  <si>
    <t xml:space="preserve">IMCOSH("-903.434+40.2796j")</t>
  </si>
  <si>
    <t xml:space="preserve">IMCOSH("-22.0412+0.01j")</t>
  </si>
  <si>
    <t xml:space="preserve">IMCOSH("-9.52+0.324i")</t>
  </si>
  <si>
    <t xml:space="preserve">IMCOSH("1.0-1.0j")</t>
  </si>
  <si>
    <t xml:space="preserve">IMCOSH("0.0-9.266i")</t>
  </si>
  <si>
    <t xml:space="preserve">IMCOSH("-824.0")</t>
  </si>
  <si>
    <t xml:space="preserve">IMCOSH("1.0-0.899i")</t>
  </si>
  <si>
    <t xml:space="preserve">IMCOSH("92.0+3.7865i")</t>
  </si>
  <si>
    <t xml:space="preserve">IMCOSH("1.1-0.193j")</t>
  </si>
  <si>
    <t xml:space="preserve">IMCOSH("61.93-0.002i")</t>
  </si>
  <si>
    <t xml:space="preserve">IMCOSH("-574.9+8.8j")</t>
  </si>
  <si>
    <t xml:space="preserve">IMCOSH("-825.0+3.0i")</t>
  </si>
  <si>
    <t xml:space="preserve">IMCOSH("19.492+0.0077i")</t>
  </si>
  <si>
    <t xml:space="preserve">IMCOSH("42.31+0.477i")</t>
  </si>
  <si>
    <t xml:space="preserve">IMCOSH("-0.7056")</t>
  </si>
  <si>
    <t xml:space="preserve">IMCOSH("-0.9-1.0i")</t>
  </si>
  <si>
    <t xml:space="preserve">IMCOSH("-0.0009+-0.0i")</t>
  </si>
  <si>
    <t xml:space="preserve">IMCOSH("-0.0+130.0i")</t>
  </si>
  <si>
    <t xml:space="preserve">IMCOSH("69.56-216.88i")</t>
  </si>
  <si>
    <t xml:space="preserve">IMCOSH("-6.52-0.83i")</t>
  </si>
  <si>
    <t xml:space="preserve">IMCOSH("0.0084-1.0i")</t>
  </si>
  <si>
    <t xml:space="preserve">IMCOSH("-0.23")</t>
  </si>
  <si>
    <t xml:space="preserve">IMCOSH("-1.6437i")</t>
  </si>
  <si>
    <t xml:space="preserve">IMCOSH("-0.0055+-0.0i")</t>
  </si>
  <si>
    <t xml:space="preserve">IMSECH("0.7-137.121j")</t>
  </si>
  <si>
    <t xml:space="preserve">IMSECH("-325.0")</t>
  </si>
  <si>
    <t xml:space="preserve">IMSECH("93.9955")</t>
  </si>
  <si>
    <t xml:space="preserve">IMSECH("235.8098j")</t>
  </si>
  <si>
    <t xml:space="preserve">IMSECH("-56.2+11.621i")</t>
  </si>
  <si>
    <t xml:space="preserve">IMSECH("-8.0903+6.3394i")</t>
  </si>
  <si>
    <t xml:space="preserve">IMSECH("35.04+262.7i")</t>
  </si>
  <si>
    <t xml:space="preserve">IMSECH("0.47-0.01i")</t>
  </si>
  <si>
    <t xml:space="preserve">IMSECH("42.0")</t>
  </si>
  <si>
    <t xml:space="preserve">IMSECH("0.0+-0.0i")</t>
  </si>
  <si>
    <t xml:space="preserve">IMSECH("30.86+936.2275i")</t>
  </si>
  <si>
    <t xml:space="preserve">IMSECH("-67.0+4.326i")</t>
  </si>
  <si>
    <t xml:space="preserve">IMSECH("76.2i")</t>
  </si>
  <si>
    <t xml:space="preserve">IMSECH("0.076-552.2343j")</t>
  </si>
  <si>
    <t xml:space="preserve">IMSECH("0.0-4.6597i")</t>
  </si>
  <si>
    <t xml:space="preserve">IMSECH("-407.491i")</t>
  </si>
  <si>
    <t xml:space="preserve">IMSECH("-543.0")</t>
  </si>
  <si>
    <t xml:space="preserve">IMSECH("-337.0+73.676i")</t>
  </si>
  <si>
    <t xml:space="preserve">IMSECH("-8.955-7.127i")</t>
  </si>
  <si>
    <t xml:space="preserve">IMSECH("-90.0i")</t>
  </si>
  <si>
    <t xml:space="preserve">IMSECH("-474.4462+4.804i")</t>
  </si>
  <si>
    <t xml:space="preserve">IMSECH("-8.0-0.0031j")</t>
  </si>
  <si>
    <t xml:space="preserve">IMSECH("-345.21-2.0i")</t>
  </si>
  <si>
    <t xml:space="preserve">IMSECH("5.0-3.64j")</t>
  </si>
  <si>
    <t xml:space="preserve">IMSECH("-6.0+-0.0j")</t>
  </si>
  <si>
    <t xml:space="preserve">IMSECH("0.0i")</t>
  </si>
  <si>
    <t xml:space="preserve">IMSECH("-72.695-2.14i")</t>
  </si>
  <si>
    <t xml:space="preserve">IMSECH("-961.53+0.0i")</t>
  </si>
  <si>
    <t xml:space="preserve">IMSECH("10.99-23.4i")</t>
  </si>
  <si>
    <t xml:space="preserve">IMSECH("-1.0-1.0j")</t>
  </si>
  <si>
    <t xml:space="preserve">IMSECH("-0.0048")</t>
  </si>
  <si>
    <t xml:space="preserve">IMSECH("-0.0")</t>
  </si>
  <si>
    <t xml:space="preserve">IMSECH("22.851-0.0079i")</t>
  </si>
  <si>
    <t xml:space="preserve">IMSECH("-0.5-0.008i")</t>
  </si>
  <si>
    <t xml:space="preserve">IMSECH("-68.0+3.5712i")</t>
  </si>
  <si>
    <t xml:space="preserve">IMSECH("-903.434+40.2796j")</t>
  </si>
  <si>
    <t xml:space="preserve">IMSECH("-22.0412+0.01j")</t>
  </si>
  <si>
    <t xml:space="preserve">IMSECH("-9.52+0.324i")</t>
  </si>
  <si>
    <t xml:space="preserve">IMSECH("1.0-1.0j")</t>
  </si>
  <si>
    <t xml:space="preserve">IMSECH("0.0-9.266i")</t>
  </si>
  <si>
    <t xml:space="preserve">IMSECH("-824.0")</t>
  </si>
  <si>
    <t xml:space="preserve">IMSECH("1.0-0.899i")</t>
  </si>
  <si>
    <t xml:space="preserve">IMSECH("92.0+3.7865i")</t>
  </si>
  <si>
    <t xml:space="preserve">IMSECH("1.1-0.193j")</t>
  </si>
  <si>
    <t xml:space="preserve">IMSECH("61.93-0.002i")</t>
  </si>
  <si>
    <t xml:space="preserve">IMSECH("-574.9+8.8j")</t>
  </si>
  <si>
    <t xml:space="preserve">IMSECH("-825.0+3.0i")</t>
  </si>
  <si>
    <t xml:space="preserve">IMSECH("19.492+0.0077i")</t>
  </si>
  <si>
    <t xml:space="preserve">IMSECH("42.31+0.477i")</t>
  </si>
  <si>
    <t xml:space="preserve">IMSECH("-0.7056")</t>
  </si>
  <si>
    <t xml:space="preserve">IMSECH("-0.9-1.0i")</t>
  </si>
  <si>
    <t xml:space="preserve">IMSECH("-0.0009+-0.0i")</t>
  </si>
  <si>
    <t xml:space="preserve">IMSECH("-0.0+130.0i")</t>
  </si>
  <si>
    <t xml:space="preserve">IMSECH("69.56-216.88i")</t>
  </si>
  <si>
    <t xml:space="preserve">IMSECH("-6.52-0.83i")</t>
  </si>
  <si>
    <t xml:space="preserve">IMSECH("0.0084-1.0i")</t>
  </si>
  <si>
    <t xml:space="preserve">IMSECH("-0.23")</t>
  </si>
  <si>
    <t xml:space="preserve">IMSECH("-1.6437i")</t>
  </si>
  <si>
    <t xml:space="preserve">IMSECH("-0.0055+-0.0i")</t>
  </si>
  <si>
    <t xml:space="preserve">IMCSCH("0.7-137.121j")</t>
  </si>
  <si>
    <t xml:space="preserve">IMCSCH("-325.0")</t>
  </si>
  <si>
    <t xml:space="preserve">IMCSCH("93.9955")</t>
  </si>
  <si>
    <t xml:space="preserve">IMCSCH("235.8098j")</t>
  </si>
  <si>
    <t xml:space="preserve">IMCSCH("-56.2+11.621i")</t>
  </si>
  <si>
    <t xml:space="preserve">IMCSCH("-8.0903+6.3394i")</t>
  </si>
  <si>
    <t xml:space="preserve">IMCSCH("35.04+262.7i")</t>
  </si>
  <si>
    <t xml:space="preserve">IMCSCH("0.47-0.01i")</t>
  </si>
  <si>
    <t xml:space="preserve">IMCSCH("42.0")</t>
  </si>
  <si>
    <t xml:space="preserve">IMCSCH("0.0+-0.0i")</t>
  </si>
  <si>
    <t xml:space="preserve">IMCSCH("30.86+936.2275i")</t>
  </si>
  <si>
    <t xml:space="preserve">IMCSCH("-67.0+4.326i")</t>
  </si>
  <si>
    <t xml:space="preserve">IMCSCH("76.2i")</t>
  </si>
  <si>
    <t xml:space="preserve">IMCSCH("0.076-552.2343j")</t>
  </si>
  <si>
    <t xml:space="preserve">IMCSCH("0.0-4.6597i")</t>
  </si>
  <si>
    <t xml:space="preserve">IMCSCH("-407.491i")</t>
  </si>
  <si>
    <t xml:space="preserve">IMCSCH("-543.0")</t>
  </si>
  <si>
    <t xml:space="preserve">IMCSCH("-337.0+73.676i")</t>
  </si>
  <si>
    <t xml:space="preserve">IMCSCH("-8.955-7.127i")</t>
  </si>
  <si>
    <t xml:space="preserve">IMCSCH("-90.0i")</t>
  </si>
  <si>
    <t xml:space="preserve">IMCSCH("-474.4462+4.804i")</t>
  </si>
  <si>
    <t xml:space="preserve">IMCSCH("-8.0-0.0031j")</t>
  </si>
  <si>
    <t xml:space="preserve">IMCSCH("-345.21-2.0i")</t>
  </si>
  <si>
    <t xml:space="preserve">IMCSCH("5.0-3.64j")</t>
  </si>
  <si>
    <t xml:space="preserve">IMCSCH("-6.0+-0.0j")</t>
  </si>
  <si>
    <t xml:space="preserve">IMCSCH("0.0i")</t>
  </si>
  <si>
    <t xml:space="preserve">IMCSCH("-72.695-2.14i")</t>
  </si>
  <si>
    <t xml:space="preserve">IMCSCH("-961.53+0.0i")</t>
  </si>
  <si>
    <t xml:space="preserve">IMCSCH("10.99-23.4i")</t>
  </si>
  <si>
    <t xml:space="preserve">IMCSCH("-1.0-1.0j")</t>
  </si>
  <si>
    <t xml:space="preserve">IMCSCH("-0.0048")</t>
  </si>
  <si>
    <t xml:space="preserve">IMCSCH("-0.0")</t>
  </si>
  <si>
    <t xml:space="preserve">IMCSCH("22.851-0.0079i")</t>
  </si>
  <si>
    <t xml:space="preserve">IMCSCH("-0.5-0.008i")</t>
  </si>
  <si>
    <t xml:space="preserve">IMCSCH("-68.0+3.5712i")</t>
  </si>
  <si>
    <t xml:space="preserve">IMCSCH("-903.434+40.2796j")</t>
  </si>
  <si>
    <t xml:space="preserve">IMCSCH("-22.0412+0.01j")</t>
  </si>
  <si>
    <t xml:space="preserve">IMCSCH("-9.52+0.324i")</t>
  </si>
  <si>
    <t xml:space="preserve">IMCSCH("1.0-1.0j")</t>
  </si>
  <si>
    <t xml:space="preserve">IMCSCH("0.0-9.266i")</t>
  </si>
  <si>
    <t xml:space="preserve">IMCSCH("-824.0")</t>
  </si>
  <si>
    <t xml:space="preserve">IMCSCH("1.0-0.899i")</t>
  </si>
  <si>
    <t xml:space="preserve">IMCSCH("92.0+3.7865i")</t>
  </si>
  <si>
    <t xml:space="preserve">IMCSCH("1.1-0.193j")</t>
  </si>
  <si>
    <t xml:space="preserve">IMCSCH("61.93-0.002i")</t>
  </si>
  <si>
    <t xml:space="preserve">IMCSCH("-574.9+8.8j")</t>
  </si>
  <si>
    <t xml:space="preserve">IMCSCH("-825.0+3.0i")</t>
  </si>
  <si>
    <t xml:space="preserve">IMCSCH("19.492+0.0077i")</t>
  </si>
  <si>
    <t xml:space="preserve">IMCSCH("42.31+0.477i")</t>
  </si>
  <si>
    <t xml:space="preserve">IMCSCH("-0.7056")</t>
  </si>
  <si>
    <t xml:space="preserve">IMCSCH("-0.9-1.0i")</t>
  </si>
  <si>
    <t xml:space="preserve">IMCSCH("-0.0009+-0.0i")</t>
  </si>
  <si>
    <t xml:space="preserve">IMCSCH("-0.0+130.0i")</t>
  </si>
  <si>
    <t xml:space="preserve">IMCSCH("69.56-216.88i")</t>
  </si>
  <si>
    <t xml:space="preserve">IMCSCH("-6.52-0.83i")</t>
  </si>
  <si>
    <t xml:space="preserve">IMCSCH("0.0084-1.0i")</t>
  </si>
  <si>
    <t xml:space="preserve">IMCSCH("-0.23")</t>
  </si>
  <si>
    <t xml:space="preserve">IMCSCH("-1.6437i")</t>
  </si>
  <si>
    <t xml:space="preserve">IMCSCH("-0.0055+-0.0i")</t>
  </si>
  <si>
    <t xml:space="preserve">IMSUM("0.7-137.121j","-325.0")</t>
  </si>
  <si>
    <t xml:space="preserve">IMSUB("0.7-137.121j","-325.0")</t>
  </si>
  <si>
    <t xml:space="preserve">IMPRODUCT("0.7-137.121j","-325.0")</t>
  </si>
  <si>
    <t xml:space="preserve">IMDIV("0.7-137.121j","-325.0")</t>
  </si>
  <si>
    <t xml:space="preserve">IMSUM("93.9955","235.8098j")</t>
  </si>
  <si>
    <t xml:space="preserve">IMSUB("93.9955","235.8098j")</t>
  </si>
  <si>
    <t xml:space="preserve">IMPRODUCT("93.9955","235.8098j")</t>
  </si>
  <si>
    <t xml:space="preserve">IMDIV("93.9955","235.8098j")</t>
  </si>
  <si>
    <t xml:space="preserve">IMSUM("-56.2+11.621i","-8.0903+6.3394i")</t>
  </si>
  <si>
    <t xml:space="preserve">IMSUB("-56.2+11.621i","-8.0903+6.3394i")</t>
  </si>
  <si>
    <t xml:space="preserve">IMPRODUCT("-56.2+11.621i","-8.0903+6.3394i")</t>
  </si>
  <si>
    <t xml:space="preserve">IMDIV("-56.2+11.621i","-8.0903+6.3394i")</t>
  </si>
  <si>
    <t xml:space="preserve">IMSUM("35.04+262.7i","0.47-0.01i")</t>
  </si>
  <si>
    <t xml:space="preserve">IMSUB("35.04+262.7i","0.47-0.01i")</t>
  </si>
  <si>
    <t xml:space="preserve">IMPRODUCT("35.04+262.7i","0.47-0.01i")</t>
  </si>
  <si>
    <t xml:space="preserve">IMDIV("35.04+262.7i","0.47-0.01i")</t>
  </si>
  <si>
    <t xml:space="preserve">IMSUM("42.0","0.0+-0.0i")</t>
  </si>
  <si>
    <t xml:space="preserve">IMSUB("42.0","0.0+-0.0i")</t>
  </si>
  <si>
    <t xml:space="preserve">IMPRODUCT("42.0","0.0+-0.0i")</t>
  </si>
  <si>
    <t xml:space="preserve">IMDIV("42.0","0.0+-0.0i")</t>
  </si>
  <si>
    <t xml:space="preserve">IMSUM("30.86+936.2275i","-67.0+4.326i")</t>
  </si>
  <si>
    <t xml:space="preserve">IMSUB("30.86+936.2275i","-67.0+4.326i")</t>
  </si>
  <si>
    <t xml:space="preserve">IMPRODUCT("30.86+936.2275i","-67.0+4.326i")</t>
  </si>
  <si>
    <t xml:space="preserve">IMDIV("30.86+936.2275i","-67.0+4.326i")</t>
  </si>
  <si>
    <t xml:space="preserve">IMSUM("76.2i","0.076-552.2343j")</t>
  </si>
  <si>
    <t xml:space="preserve">IMSUB("76.2i","0.076-552.2343j")</t>
  </si>
  <si>
    <t xml:space="preserve">IMPRODUCT("76.2i","0.076-552.2343j")</t>
  </si>
  <si>
    <t xml:space="preserve">IMDIV("76.2i","0.076-552.2343j")</t>
  </si>
  <si>
    <t xml:space="preserve">IMSUM("0.0-4.6597i","-407.491i")</t>
  </si>
  <si>
    <t xml:space="preserve">IMSUB("0.0-4.6597i","-407.491i")</t>
  </si>
  <si>
    <t xml:space="preserve">IMPRODUCT("0.0-4.6597i","-407.491i")</t>
  </si>
  <si>
    <t xml:space="preserve">IMDIV("0.0-4.6597i","-407.491i")</t>
  </si>
  <si>
    <t xml:space="preserve">IMSUM("-543.0","-337.0+73.676i")</t>
  </si>
  <si>
    <t xml:space="preserve">IMSUB("-543.0","-337.0+73.676i")</t>
  </si>
  <si>
    <t xml:space="preserve">IMPRODUCT("-543.0","-337.0+73.676i")</t>
  </si>
  <si>
    <t xml:space="preserve">IMDIV("-543.0","-337.0+73.676i")</t>
  </si>
  <si>
    <t xml:space="preserve">IMSUM("-8.955-7.127i","-90.0i")</t>
  </si>
  <si>
    <t xml:space="preserve">IMSUB("-8.955-7.127i","-90.0i")</t>
  </si>
  <si>
    <t xml:space="preserve">IMPRODUCT("-8.955-7.127i","-90.0i")</t>
  </si>
  <si>
    <t xml:space="preserve">IMDIV("-8.955-7.127i","-90.0i")</t>
  </si>
  <si>
    <t xml:space="preserve">IMSUM("-474.4462+4.804i","-8.0-0.0031j")</t>
  </si>
  <si>
    <t xml:space="preserve">IMSUB("-474.4462+4.804i","-8.0-0.0031j")</t>
  </si>
  <si>
    <t xml:space="preserve">IMPRODUCT("-474.4462+4.804i","-8.0-0.0031j")</t>
  </si>
  <si>
    <t xml:space="preserve">IMDIV("-474.4462+4.804i","-8.0-0.0031j")</t>
  </si>
  <si>
    <t xml:space="preserve">IMSUM("-345.21-2.0i","5.0-3.64j")</t>
  </si>
  <si>
    <t xml:space="preserve">IMSUB("-345.21-2.0i","5.0-3.64j")</t>
  </si>
  <si>
    <t xml:space="preserve">IMPRODUCT("-345.21-2.0i","5.0-3.64j")</t>
  </si>
  <si>
    <t xml:space="preserve">IMDIV("-345.21-2.0i","5.0-3.64j")</t>
  </si>
  <si>
    <t xml:space="preserve">IMSUM("-6.0+-0.0j","0.0i")</t>
  </si>
  <si>
    <t xml:space="preserve">IMSUB("-6.0+-0.0j","0.0i")</t>
  </si>
  <si>
    <t xml:space="preserve">IMPRODUCT("-6.0+-0.0j","0.0i")</t>
  </si>
  <si>
    <t xml:space="preserve">IMDIV("-6.0+-0.0j","0.0i")</t>
  </si>
  <si>
    <t xml:space="preserve">IMSUM("-72.695-2.14i","-961.53+0.0i")</t>
  </si>
  <si>
    <t xml:space="preserve">IMSUB("-72.695-2.14i","-961.53+0.0i")</t>
  </si>
  <si>
    <t xml:space="preserve">IMPRODUCT("-72.695-2.14i","-961.53+0.0i")</t>
  </si>
  <si>
    <t xml:space="preserve">IMDIV("-72.695-2.14i","-961.53+0.0i")</t>
  </si>
  <si>
    <t xml:space="preserve">IMSUM("10.99-23.4i","-1.0-1.0j")</t>
  </si>
  <si>
    <t xml:space="preserve">IMSUB("10.99-23.4i","-1.0-1.0j")</t>
  </si>
  <si>
    <t xml:space="preserve">IMPRODUCT("10.99-23.4i","-1.0-1.0j")</t>
  </si>
  <si>
    <t xml:space="preserve">IMDIV("10.99-23.4i","-1.0-1.0j")</t>
  </si>
  <si>
    <t xml:space="preserve">IMSUM("-0.0048","-0.0")</t>
  </si>
  <si>
    <t xml:space="preserve">IMSUB("-0.0048","-0.0")</t>
  </si>
  <si>
    <t xml:space="preserve">IMPRODUCT("-0.0048","-0.0")</t>
  </si>
  <si>
    <t xml:space="preserve">IMDIV("-0.0048","-0.0")</t>
  </si>
  <si>
    <t xml:space="preserve">IMSUM("22.851-0.0079i","-0.5-0.008i")</t>
  </si>
  <si>
    <t xml:space="preserve">IMSUB("22.851-0.0079i","-0.5-0.008i")</t>
  </si>
  <si>
    <t xml:space="preserve">IMPRODUCT("22.851-0.0079i","-0.5-0.008i")</t>
  </si>
  <si>
    <t xml:space="preserve">IMDIV("22.851-0.0079i","-0.5-0.008i")</t>
  </si>
  <si>
    <t xml:space="preserve">IMSUM("-68.0+3.5712i","-903.434+40.2796j")</t>
  </si>
  <si>
    <t xml:space="preserve">IMSUB("-68.0+3.5712i","-903.434+40.2796j")</t>
  </si>
  <si>
    <t xml:space="preserve">IMPRODUCT("-68.0+3.5712i","-903.434+40.2796j")</t>
  </si>
  <si>
    <t xml:space="preserve">IMDIV("-68.0+3.5712i","-903.434+40.2796j")</t>
  </si>
  <si>
    <t xml:space="preserve">IMSUM("-22.0412+0.01j","-9.52+0.324i")</t>
  </si>
  <si>
    <t xml:space="preserve">IMSUB("-22.0412+0.01j","-9.52+0.324i")</t>
  </si>
  <si>
    <t xml:space="preserve">IMPRODUCT("-22.0412+0.01j","-9.52+0.324i")</t>
  </si>
  <si>
    <t xml:space="preserve">IMDIV("-22.0412+0.01j","-9.52+0.324i")</t>
  </si>
  <si>
    <t xml:space="preserve">IMSUM("1.0-1.0j","0.0-9.266i")</t>
  </si>
  <si>
    <t xml:space="preserve">IMSUB("1.0-1.0j","0.0-9.266i")</t>
  </si>
  <si>
    <t xml:space="preserve">IMPRODUCT("1.0-1.0j","0.0-9.266i")</t>
  </si>
  <si>
    <t xml:space="preserve">IMDIV("1.0-1.0j","0.0-9.266i")</t>
  </si>
  <si>
    <t xml:space="preserve">IMSUM("-824.0","1.0-0.899i")</t>
  </si>
  <si>
    <t xml:space="preserve">IMSUB("-824.0","1.0-0.899i")</t>
  </si>
  <si>
    <t xml:space="preserve">IMPRODUCT("-824.0","1.0-0.899i")</t>
  </si>
  <si>
    <t xml:space="preserve">IMDIV("-824.0","1.0-0.899i")</t>
  </si>
  <si>
    <t xml:space="preserve">IMSUM("92.0+3.7865i","1.1-0.193j")</t>
  </si>
  <si>
    <t xml:space="preserve">IMSUB("92.0+3.7865i","1.1-0.193j")</t>
  </si>
  <si>
    <t xml:space="preserve">IMPRODUCT("92.0+3.7865i","1.1-0.193j")</t>
  </si>
  <si>
    <t xml:space="preserve">IMDIV("92.0+3.7865i","1.1-0.193j")</t>
  </si>
  <si>
    <t xml:space="preserve">IMSUM("61.93-0.002i","-574.9+8.8j")</t>
  </si>
  <si>
    <t xml:space="preserve">IMSUB("61.93-0.002i","-574.9+8.8j")</t>
  </si>
  <si>
    <t xml:space="preserve">IMPRODUCT("61.93-0.002i","-574.9+8.8j")</t>
  </si>
  <si>
    <t xml:space="preserve">IMDIV("61.93-0.002i","-574.9+8.8j")</t>
  </si>
  <si>
    <t xml:space="preserve">IMSUM("-825.0+3.0i","19.492+0.0077i")</t>
  </si>
  <si>
    <t xml:space="preserve">IMSUB("-825.0+3.0i","19.492+0.0077i")</t>
  </si>
  <si>
    <t xml:space="preserve">IMPRODUCT("-825.0+3.0i","19.492+0.0077i")</t>
  </si>
  <si>
    <t xml:space="preserve">IMDIV("-825.0+3.0i","19.492+0.0077i")</t>
  </si>
  <si>
    <t xml:space="preserve">IMSUM("42.31+0.477i","-0.7056")</t>
  </si>
  <si>
    <t xml:space="preserve">IMSUB("42.31+0.477i","-0.7056")</t>
  </si>
  <si>
    <t xml:space="preserve">IMPRODUCT("42.31+0.477i","-0.7056")</t>
  </si>
  <si>
    <t xml:space="preserve">IMDIV("42.31+0.477i","-0.7056")</t>
  </si>
  <si>
    <t xml:space="preserve">IMSUM("-0.9-1.0i","-0.0009+-0.0i")</t>
  </si>
  <si>
    <t xml:space="preserve">IMSUB("-0.9-1.0i","-0.0009+-0.0i")</t>
  </si>
  <si>
    <t xml:space="preserve">IMPRODUCT("-0.9-1.0i","-0.0009+-0.0i")</t>
  </si>
  <si>
    <t xml:space="preserve">IMDIV("-0.9-1.0i","-0.0009+-0.0i")</t>
  </si>
  <si>
    <t xml:space="preserve">IMSUM("-0.0+130.0i","69.56-216.88i")</t>
  </si>
  <si>
    <t xml:space="preserve">IMSUB("-0.0+130.0i","69.56-216.88i")</t>
  </si>
  <si>
    <t xml:space="preserve">IMPRODUCT("-0.0+130.0i","69.56-216.88i")</t>
  </si>
  <si>
    <t xml:space="preserve">IMDIV("-0.0+130.0i","69.56-216.88i")</t>
  </si>
  <si>
    <t xml:space="preserve">IMSUM("-6.52-0.83i","0.0084-1.0i")</t>
  </si>
  <si>
    <t xml:space="preserve">IMSUB("-6.52-0.83i","0.0084-1.0i")</t>
  </si>
  <si>
    <t xml:space="preserve">IMPRODUCT("-6.52-0.83i","0.0084-1.0i")</t>
  </si>
  <si>
    <t xml:space="preserve">IMDIV("-6.52-0.83i","0.0084-1.0i")</t>
  </si>
  <si>
    <t xml:space="preserve">IMSUM("-0.23","-0.0")</t>
  </si>
  <si>
    <t xml:space="preserve">IMSUB("-0.23","-0.0")</t>
  </si>
  <si>
    <t xml:space="preserve">IMPRODUCT("-0.23","-0.0")</t>
  </si>
  <si>
    <t xml:space="preserve">IMDIV("-0.23","-0.0")</t>
  </si>
  <si>
    <t xml:space="preserve">IMSUM("-1.6437i","-0.0055+-0.0i")</t>
  </si>
  <si>
    <t xml:space="preserve">IMSUB("-1.6437i","-0.0055+-0.0i")</t>
  </si>
  <si>
    <t xml:space="preserve">IMPRODUCT("-1.6437i","-0.0055+-0.0i")</t>
  </si>
  <si>
    <t xml:space="preserve">IMDIV("-1.6437i","-0.0055+-0.0i")</t>
  </si>
  <si>
    <t xml:space="preserve">IMPOWER("0.7-137.121j",2)</t>
  </si>
  <si>
    <t xml:space="preserve">IMPOWER("0.7-137.121j",3)</t>
  </si>
  <si>
    <t xml:space="preserve">IMPOWER("0.7-137.121j",0.5)</t>
  </si>
  <si>
    <t xml:space="preserve">IMPOWER("0.7-137.121j",-1)</t>
  </si>
  <si>
    <t xml:space="preserve">IMPOWER("0.7-137.121j",1.5)</t>
  </si>
  <si>
    <t xml:space="preserve">IMPOWER("0.7-137.121j",7)</t>
  </si>
  <si>
    <t xml:space="preserve">IMPOWER("0.7-137.121j",-2.5)</t>
  </si>
  <si>
    <t xml:space="preserve">IMPOWER("0.7-137.121j",0.25)</t>
  </si>
  <si>
    <t xml:space="preserve">IMPOWER("-325.0",2)</t>
  </si>
  <si>
    <t xml:space="preserve">IMPOWER("-325.0",3)</t>
  </si>
  <si>
    <t xml:space="preserve">IMPOWER("-325.0",0.5)</t>
  </si>
  <si>
    <t xml:space="preserve">IMPOWER("-325.0",-1)</t>
  </si>
  <si>
    <t xml:space="preserve">IMPOWER("-325.0",1.5)</t>
  </si>
  <si>
    <t xml:space="preserve">IMPOWER("-325.0",7)</t>
  </si>
  <si>
    <t xml:space="preserve">IMPOWER("-325.0",-2.5)</t>
  </si>
  <si>
    <t xml:space="preserve">IMPOWER("-325.0",0.25)</t>
  </si>
  <si>
    <t xml:space="preserve">IMPOWER("93.9955",2)</t>
  </si>
  <si>
    <t xml:space="preserve">IMPOWER("93.9955",3)</t>
  </si>
  <si>
    <t xml:space="preserve">IMPOWER("93.9955",0.5)</t>
  </si>
  <si>
    <t xml:space="preserve">IMPOWER("93.9955",-1)</t>
  </si>
  <si>
    <t xml:space="preserve">IMPOWER("93.9955",1.5)</t>
  </si>
  <si>
    <t xml:space="preserve">IMPOWER("93.9955",7)</t>
  </si>
  <si>
    <t xml:space="preserve">IMPOWER("93.9955",-2.5)</t>
  </si>
  <si>
    <t xml:space="preserve">IMPOWER("93.9955",0.25)</t>
  </si>
  <si>
    <t xml:space="preserve">IMPOWER("235.8098j",2)</t>
  </si>
  <si>
    <t xml:space="preserve">IMPOWER("235.8098j",3)</t>
  </si>
  <si>
    <t xml:space="preserve">IMPOWER("235.8098j",0.5)</t>
  </si>
  <si>
    <t xml:space="preserve">IMPOWER("235.8098j",-1)</t>
  </si>
  <si>
    <t xml:space="preserve">IMPOWER("235.8098j",1.5)</t>
  </si>
  <si>
    <t xml:space="preserve">IMPOWER("235.8098j",7)</t>
  </si>
  <si>
    <t xml:space="preserve">IMPOWER("235.8098j",-2.5)</t>
  </si>
  <si>
    <t xml:space="preserve">IMPOWER("235.8098j",0.25)</t>
  </si>
  <si>
    <t xml:space="preserve">IMPOWER("-56.2+11.621i",2)</t>
  </si>
  <si>
    <t xml:space="preserve">IMPOWER("-56.2+11.621i",3)</t>
  </si>
  <si>
    <t xml:space="preserve">IMPOWER("-56.2+11.621i",0.5)</t>
  </si>
  <si>
    <t xml:space="preserve">IMPOWER("-56.2+11.621i",-1)</t>
  </si>
  <si>
    <t xml:space="preserve">IMPOWER("-56.2+11.621i",1.5)</t>
  </si>
  <si>
    <t xml:space="preserve">IMPOWER("-56.2+11.621i",7)</t>
  </si>
  <si>
    <t xml:space="preserve">IMPOWER("-56.2+11.621i",-2.5)</t>
  </si>
  <si>
    <t xml:space="preserve">IMPOWER("-56.2+11.621i",0.25)</t>
  </si>
  <si>
    <t xml:space="preserve">IMPOWER("-8.0903+6.3394i",2)</t>
  </si>
  <si>
    <t xml:space="preserve">IMPOWER("-8.0903+6.3394i",3)</t>
  </si>
  <si>
    <t xml:space="preserve">IMPOWER("-8.0903+6.3394i",0.5)</t>
  </si>
  <si>
    <t xml:space="preserve">IMPOWER("-8.0903+6.3394i",-1)</t>
  </si>
  <si>
    <t xml:space="preserve">IMPOWER("-8.0903+6.3394i",1.5)</t>
  </si>
  <si>
    <t xml:space="preserve">IMPOWER("-8.0903+6.3394i",7)</t>
  </si>
  <si>
    <t xml:space="preserve">IMPOWER("-8.0903+6.3394i",-2.5)</t>
  </si>
  <si>
    <t xml:space="preserve">IMPOWER("-8.0903+6.3394i",0.25)</t>
  </si>
  <si>
    <t xml:space="preserve">IMPOWER("35.04+262.7i",2)</t>
  </si>
  <si>
    <t xml:space="preserve">IMPOWER("35.04+262.7i",3)</t>
  </si>
  <si>
    <t xml:space="preserve">IMPOWER("35.04+262.7i",0.5)</t>
  </si>
  <si>
    <t xml:space="preserve">IMPOWER("35.04+262.7i",-1)</t>
  </si>
  <si>
    <t xml:space="preserve">IMPOWER("35.04+262.7i",1.5)</t>
  </si>
  <si>
    <t xml:space="preserve">IMPOWER("35.04+262.7i",7)</t>
  </si>
  <si>
    <t xml:space="preserve">IMPOWER("35.04+262.7i",-2.5)</t>
  </si>
  <si>
    <t xml:space="preserve">IMPOWER("35.04+262.7i",0.25)</t>
  </si>
  <si>
    <t xml:space="preserve">IMPOWER("0.47-0.01i",2)</t>
  </si>
  <si>
    <t xml:space="preserve">IMPOWER("0.47-0.01i",3)</t>
  </si>
  <si>
    <t xml:space="preserve">IMPOWER("0.47-0.01i",0.5)</t>
  </si>
  <si>
    <t xml:space="preserve">IMPOWER("0.47-0.01i",-1)</t>
  </si>
  <si>
    <t xml:space="preserve">IMPOWER("0.47-0.01i",1.5)</t>
  </si>
  <si>
    <t xml:space="preserve">IMPOWER("0.47-0.01i",7)</t>
  </si>
  <si>
    <t xml:space="preserve">IMPOWER("0.47-0.01i",-2.5)</t>
  </si>
  <si>
    <t xml:space="preserve">IMPOWER("0.47-0.01i",0.25)</t>
  </si>
  <si>
    <t xml:space="preserve">IMPOWER("42.0",2)</t>
  </si>
  <si>
    <t xml:space="preserve">IMPOWER("42.0",3)</t>
  </si>
  <si>
    <t xml:space="preserve">IMPOWER("42.0",0.5)</t>
  </si>
  <si>
    <t xml:space="preserve">IMPOWER("42.0",-1)</t>
  </si>
  <si>
    <t xml:space="preserve">IMPOWER("42.0",1.5)</t>
  </si>
  <si>
    <t xml:space="preserve">IMPOWER("42.0",7)</t>
  </si>
  <si>
    <t xml:space="preserve">IMPOWER("42.0",-2.5)</t>
  </si>
  <si>
    <t xml:space="preserve">IMPOWER("42.0",0.25)</t>
  </si>
  <si>
    <t xml:space="preserve">IMPOWER("0.0+-0.0i",2)</t>
  </si>
  <si>
    <t xml:space="preserve">IMPOWER("0.0+-0.0i",3)</t>
  </si>
  <si>
    <t xml:space="preserve">IMPOWER("0.0+-0.0i",0.5)</t>
  </si>
  <si>
    <t xml:space="preserve">IMPOWER("0.0+-0.0i",-1)</t>
  </si>
  <si>
    <t xml:space="preserve">IMPOWER("0.0+-0.0i",1.5)</t>
  </si>
  <si>
    <t xml:space="preserve">IMPOWER("0.0+-0.0i",7)</t>
  </si>
  <si>
    <t xml:space="preserve">IMPOWER("0.0+-0.0i",-2.5)</t>
  </si>
  <si>
    <t xml:space="preserve">IMPOWER("0.0+-0.0i",0.25)</t>
  </si>
  <si>
    <t xml:space="preserve">IMPOWER("30.86+936.2275i",2)</t>
  </si>
  <si>
    <t xml:space="preserve">IMPOWER("30.86+936.2275i",3)</t>
  </si>
  <si>
    <t xml:space="preserve">IMPOWER("30.86+936.2275i",0.5)</t>
  </si>
  <si>
    <t xml:space="preserve">IMPOWER("30.86+936.2275i",-1)</t>
  </si>
  <si>
    <t xml:space="preserve">IMPOWER("30.86+936.2275i",1.5)</t>
  </si>
  <si>
    <t xml:space="preserve">IMPOWER("30.86+936.2275i",7)</t>
  </si>
  <si>
    <t xml:space="preserve">IMPOWER("30.86+936.2275i",-2.5)</t>
  </si>
  <si>
    <t xml:space="preserve">IMPOWER("30.86+936.2275i",0.25)</t>
  </si>
  <si>
    <t xml:space="preserve">IMPOWER("-67.0+4.326i",2)</t>
  </si>
  <si>
    <t xml:space="preserve">IMPOWER("-67.0+4.326i",3)</t>
  </si>
  <si>
    <t xml:space="preserve">IMPOWER("-67.0+4.326i",0.5)</t>
  </si>
  <si>
    <t xml:space="preserve">IMPOWER("-67.0+4.326i",-1)</t>
  </si>
  <si>
    <t xml:space="preserve">IMPOWER("-67.0+4.326i",1.5)</t>
  </si>
  <si>
    <t xml:space="preserve">IMPOWER("-67.0+4.326i",7)</t>
  </si>
  <si>
    <t xml:space="preserve">IMPOWER("-67.0+4.326i",-2.5)</t>
  </si>
  <si>
    <t xml:space="preserve">IMPOWER("-67.0+4.326i",0.25)</t>
  </si>
  <si>
    <t xml:space="preserve">IMPOWER("76.2i",2)</t>
  </si>
  <si>
    <t xml:space="preserve">IMPOWER("76.2i",3)</t>
  </si>
  <si>
    <t xml:space="preserve">IMPOWER("76.2i",0.5)</t>
  </si>
  <si>
    <t xml:space="preserve">IMPOWER("76.2i",-1)</t>
  </si>
  <si>
    <t xml:space="preserve">IMPOWER("76.2i",1.5)</t>
  </si>
  <si>
    <t xml:space="preserve">IMPOWER("76.2i",7)</t>
  </si>
  <si>
    <t xml:space="preserve">IMPOWER("76.2i",-2.5)</t>
  </si>
  <si>
    <t xml:space="preserve">IMPOWER("76.2i",0.25)</t>
  </si>
  <si>
    <t xml:space="preserve">IMPOWER("0.076-552.2343j",2)</t>
  </si>
  <si>
    <t xml:space="preserve">IMPOWER("0.076-552.2343j",3)</t>
  </si>
  <si>
    <t xml:space="preserve">IMPOWER("0.076-552.2343j",0.5)</t>
  </si>
  <si>
    <t xml:space="preserve">IMPOWER("0.076-552.2343j",-1)</t>
  </si>
  <si>
    <t xml:space="preserve">IMPOWER("0.076-552.2343j",1.5)</t>
  </si>
  <si>
    <t xml:space="preserve">IMPOWER("0.076-552.2343j",7)</t>
  </si>
  <si>
    <t xml:space="preserve">IMPOWER("0.076-552.2343j",-2.5)</t>
  </si>
  <si>
    <t xml:space="preserve">IMPOWER("0.076-552.2343j",0.25)</t>
  </si>
  <si>
    <t xml:space="preserve">IMPOWER("0.0-4.6597i",2)</t>
  </si>
  <si>
    <t xml:space="preserve">IMPOWER("0.0-4.6597i",3)</t>
  </si>
  <si>
    <t xml:space="preserve">IMPOWER("0.0-4.6597i",0.5)</t>
  </si>
  <si>
    <t xml:space="preserve">IMPOWER("0.0-4.6597i",-1)</t>
  </si>
  <si>
    <t xml:space="preserve">IMPOWER("0.0-4.6597i",1.5)</t>
  </si>
  <si>
    <t xml:space="preserve">IMPOWER("0.0-4.6597i",7)</t>
  </si>
  <si>
    <t xml:space="preserve">IMPOWER("0.0-4.6597i",-2.5)</t>
  </si>
  <si>
    <t xml:space="preserve">IMPOWER("0.0-4.6597i",0.25)</t>
  </si>
  <si>
    <t xml:space="preserve">IMPOWER("-407.491i",2)</t>
  </si>
  <si>
    <t xml:space="preserve">IMPOWER("-407.491i",3)</t>
  </si>
  <si>
    <t xml:space="preserve">IMPOWER("-407.491i",0.5)</t>
  </si>
  <si>
    <t xml:space="preserve">IMPOWER("-407.491i",-1)</t>
  </si>
  <si>
    <t xml:space="preserve">IMPOWER("-407.491i",1.5)</t>
  </si>
  <si>
    <t xml:space="preserve">IMPOWER("-407.491i",7)</t>
  </si>
  <si>
    <t xml:space="preserve">IMPOWER("-407.491i",-2.5)</t>
  </si>
  <si>
    <t xml:space="preserve">IMPOWER("-407.491i",0.25)</t>
  </si>
  <si>
    <t xml:space="preserve">IMPOWER("-543.0",2)</t>
  </si>
  <si>
    <t xml:space="preserve">IMPOWER("-543.0",3)</t>
  </si>
  <si>
    <t xml:space="preserve">IMPOWER("-543.0",0.5)</t>
  </si>
  <si>
    <t xml:space="preserve">IMPOWER("-543.0",-1)</t>
  </si>
  <si>
    <t xml:space="preserve">IMPOWER("-543.0",1.5)</t>
  </si>
  <si>
    <t xml:space="preserve">IMPOWER("-543.0",7)</t>
  </si>
  <si>
    <t xml:space="preserve">IMPOWER("-543.0",-2.5)</t>
  </si>
  <si>
    <t xml:space="preserve">IMPOWER("-543.0",0.25)</t>
  </si>
  <si>
    <t xml:space="preserve">IMPOWER("-337.0+73.676i",2)</t>
  </si>
  <si>
    <t xml:space="preserve">IMPOWER("-337.0+73.676i",3)</t>
  </si>
  <si>
    <t xml:space="preserve">IMPOWER("-337.0+73.676i",0.5)</t>
  </si>
  <si>
    <t xml:space="preserve">IMPOWER("-337.0+73.676i",-1)</t>
  </si>
  <si>
    <t xml:space="preserve">IMPOWER("-337.0+73.676i",1.5)</t>
  </si>
  <si>
    <t xml:space="preserve">IMPOWER("-337.0+73.676i",7)</t>
  </si>
  <si>
    <t xml:space="preserve">IMPOWER("-337.0+73.676i",-2.5)</t>
  </si>
  <si>
    <t xml:space="preserve">IMPOWER("-337.0+73.676i",0.25)</t>
  </si>
  <si>
    <t xml:space="preserve">IMPOWER("-8.955-7.127i",2)</t>
  </si>
  <si>
    <t xml:space="preserve">IMPOWER("-8.955-7.127i",3)</t>
  </si>
  <si>
    <t xml:space="preserve">IMPOWER("-8.955-7.127i",0.5)</t>
  </si>
  <si>
    <t xml:space="preserve">IMPOWER("-8.955-7.127i",-1)</t>
  </si>
  <si>
    <t xml:space="preserve">IMPOWER("-8.955-7.127i",1.5)</t>
  </si>
  <si>
    <t xml:space="preserve">IMPOWER("-8.955-7.127i",7)</t>
  </si>
  <si>
    <t xml:space="preserve">IMPOWER("-8.955-7.127i",-2.5)</t>
  </si>
  <si>
    <t xml:space="preserve">IMPOWER("-8.955-7.127i",0.25)</t>
  </si>
  <si>
    <t xml:space="preserve">IMPOWER("-90.0i",2)</t>
  </si>
  <si>
    <t xml:space="preserve">IMPOWER("-90.0i",3)</t>
  </si>
  <si>
    <t xml:space="preserve">IMPOWER("-90.0i",0.5)</t>
  </si>
  <si>
    <t xml:space="preserve">IMPOWER("-90.0i",-1)</t>
  </si>
  <si>
    <t xml:space="preserve">IMPOWER("-90.0i",1.5)</t>
  </si>
  <si>
    <t xml:space="preserve">IMPOWER("-90.0i",7)</t>
  </si>
  <si>
    <t xml:space="preserve">IMPOWER("-90.0i",-2.5)</t>
  </si>
  <si>
    <t xml:space="preserve">IMPOWER("-90.0i",0.25)</t>
  </si>
  <si>
    <t xml:space="preserve">IMPOWER("-474.4462+4.804i",2)</t>
  </si>
  <si>
    <t xml:space="preserve">IMPOWER("-474.4462+4.804i",3)</t>
  </si>
  <si>
    <t xml:space="preserve">IMPOWER("-474.4462+4.804i",0.5)</t>
  </si>
  <si>
    <t xml:space="preserve">IMPOWER("-474.4462+4.804i",-1)</t>
  </si>
  <si>
    <t xml:space="preserve">IMPOWER("-474.4462+4.804i",1.5)</t>
  </si>
  <si>
    <t xml:space="preserve">IMPOWER("-474.4462+4.804i",7)</t>
  </si>
  <si>
    <t xml:space="preserve">IMPOWER("-474.4462+4.804i",-2.5)</t>
  </si>
  <si>
    <t xml:space="preserve">IMPOWER("-474.4462+4.804i",0.25)</t>
  </si>
  <si>
    <t xml:space="preserve">IMPOWER("-8.0-0.0031j",2)</t>
  </si>
  <si>
    <t xml:space="preserve">IMPOWER("-8.0-0.0031j",3)</t>
  </si>
  <si>
    <t xml:space="preserve">IMPOWER("-8.0-0.0031j",0.5)</t>
  </si>
  <si>
    <t xml:space="preserve">IMPOWER("-8.0-0.0031j",-1)</t>
  </si>
  <si>
    <t xml:space="preserve">IMPOWER("-8.0-0.0031j",1.5)</t>
  </si>
  <si>
    <t xml:space="preserve">IMPOWER("-8.0-0.0031j",7)</t>
  </si>
  <si>
    <t xml:space="preserve">IMPOWER("-8.0-0.0031j",-2.5)</t>
  </si>
  <si>
    <t xml:space="preserve">IMPOWER("-8.0-0.0031j",0.25)</t>
  </si>
  <si>
    <t xml:space="preserve">IMPOWER("-345.21-2.0i",2)</t>
  </si>
  <si>
    <t xml:space="preserve">IMPOWER("-345.21-2.0i",3)</t>
  </si>
  <si>
    <t xml:space="preserve">IMPOWER("-345.21-2.0i",0.5)</t>
  </si>
  <si>
    <t xml:space="preserve">IMPOWER("-345.21-2.0i",-1)</t>
  </si>
  <si>
    <t xml:space="preserve">IMPOWER("-345.21-2.0i",1.5)</t>
  </si>
  <si>
    <t xml:space="preserve">IMPOWER("-345.21-2.0i",7)</t>
  </si>
  <si>
    <t xml:space="preserve">IMPOWER("-345.21-2.0i",-2.5)</t>
  </si>
  <si>
    <t xml:space="preserve">IMPOWER("-345.21-2.0i",0.25)</t>
  </si>
  <si>
    <t xml:space="preserve">IMPOWER("5.0-3.64j",2)</t>
  </si>
  <si>
    <t xml:space="preserve">IMPOWER("5.0-3.64j",3)</t>
  </si>
  <si>
    <t xml:space="preserve">IMPOWER("5.0-3.64j",0.5)</t>
  </si>
  <si>
    <t xml:space="preserve">IMPOWER("5.0-3.64j",-1)</t>
  </si>
  <si>
    <t xml:space="preserve">IMPOWER("5.0-3.64j",1.5)</t>
  </si>
  <si>
    <t xml:space="preserve">IMPOWER("5.0-3.64j",7)</t>
  </si>
  <si>
    <t xml:space="preserve">IMPOWER("5.0-3.64j",-2.5)</t>
  </si>
  <si>
    <t xml:space="preserve">IMPOWER("5.0-3.64j",0.25)</t>
  </si>
  <si>
    <t xml:space="preserve">IMPOWER("-6.0+-0.0j",2)</t>
  </si>
  <si>
    <t xml:space="preserve">IMPOWER("-6.0+-0.0j",3)</t>
  </si>
  <si>
    <t xml:space="preserve">IMPOWER("-6.0+-0.0j",0.5)</t>
  </si>
  <si>
    <t xml:space="preserve">IMPOWER("-6.0+-0.0j",-1)</t>
  </si>
  <si>
    <t xml:space="preserve">IMPOWER("-6.0+-0.0j",1.5)</t>
  </si>
  <si>
    <t xml:space="preserve">IMPOWER("-6.0+-0.0j",7)</t>
  </si>
  <si>
    <t xml:space="preserve">IMPOWER("-6.0+-0.0j",-2.5)</t>
  </si>
  <si>
    <t xml:space="preserve">IMPOWER("-6.0+-0.0j",0.25)</t>
  </si>
  <si>
    <t xml:space="preserve">IMPOWER("0.0i",2)</t>
  </si>
  <si>
    <t xml:space="preserve">IMPOWER("0.0i",3)</t>
  </si>
  <si>
    <t xml:space="preserve">IMPOWER("0.0i",0.5)</t>
  </si>
  <si>
    <t xml:space="preserve">IMPOWER("0.0i",-1)</t>
  </si>
  <si>
    <t xml:space="preserve">IMPOWER("0.0i",1.5)</t>
  </si>
  <si>
    <t xml:space="preserve">IMPOWER("0.0i",7)</t>
  </si>
  <si>
    <t xml:space="preserve">IMPOWER("0.0i",-2.5)</t>
  </si>
  <si>
    <t xml:space="preserve">IMPOWER("0.0i",0.25)</t>
  </si>
  <si>
    <t xml:space="preserve">IMPOWER("-72.695-2.14i",2)</t>
  </si>
  <si>
    <t xml:space="preserve">IMPOWER("-72.695-2.14i",3)</t>
  </si>
  <si>
    <t xml:space="preserve">IMPOWER("-72.695-2.14i",0.5)</t>
  </si>
  <si>
    <t xml:space="preserve">IMPOWER("-72.695-2.14i",-1)</t>
  </si>
  <si>
    <t xml:space="preserve">IMPOWER("-72.695-2.14i",1.5)</t>
  </si>
  <si>
    <t xml:space="preserve">IMPOWER("-72.695-2.14i",7)</t>
  </si>
  <si>
    <t xml:space="preserve">IMPOWER("-72.695-2.14i",-2.5)</t>
  </si>
  <si>
    <t xml:space="preserve">IMPOWER("-72.695-2.14i",0.25)</t>
  </si>
  <si>
    <t xml:space="preserve">IMPOWER("-961.53+0.0i",2)</t>
  </si>
  <si>
    <t xml:space="preserve">IMPOWER("-961.53+0.0i",3)</t>
  </si>
  <si>
    <t xml:space="preserve">IMPOWER("-961.53+0.0i",0.5)</t>
  </si>
  <si>
    <t xml:space="preserve">IMPOWER("-961.53+0.0i",-1)</t>
  </si>
  <si>
    <t xml:space="preserve">IMPOWER("-961.53+0.0i",1.5)</t>
  </si>
  <si>
    <t xml:space="preserve">IMPOWER("-961.53+0.0i",7)</t>
  </si>
  <si>
    <t xml:space="preserve">IMPOWER("-961.53+0.0i",-2.5)</t>
  </si>
  <si>
    <t xml:space="preserve">IMPOWER("-961.53+0.0i",0.25)</t>
  </si>
  <si>
    <t xml:space="preserve">IMPOWER("10.99-23.4i",2)</t>
  </si>
  <si>
    <t xml:space="preserve">IMPOWER("10.99-23.4i",3)</t>
  </si>
  <si>
    <t xml:space="preserve">IMPOWER("10.99-23.4i",0.5)</t>
  </si>
  <si>
    <t xml:space="preserve">IMPOWER("10.99-23.4i",-1)</t>
  </si>
  <si>
    <t xml:space="preserve">IMPOWER("10.99-23.4i",1.5)</t>
  </si>
  <si>
    <t xml:space="preserve">IMPOWER("10.99-23.4i",7)</t>
  </si>
  <si>
    <t xml:space="preserve">IMPOWER("10.99-23.4i",-2.5)</t>
  </si>
  <si>
    <t xml:space="preserve">IMPOWER("10.99-23.4i",0.25)</t>
  </si>
  <si>
    <t xml:space="preserve">IMPOWER("-1.0-1.0j",2)</t>
  </si>
  <si>
    <t xml:space="preserve">IMPOWER("-1.0-1.0j",3)</t>
  </si>
  <si>
    <t xml:space="preserve">IMPOWER("-1.0-1.0j",0.5)</t>
  </si>
  <si>
    <t xml:space="preserve">IMPOWER("-1.0-1.0j",-1)</t>
  </si>
  <si>
    <t xml:space="preserve">IMPOWER("-1.0-1.0j",1.5)</t>
  </si>
  <si>
    <t xml:space="preserve">IMPOWER("-1.0-1.0j",7)</t>
  </si>
  <si>
    <t xml:space="preserve">IMPOWER("-1.0-1.0j",-2.5)</t>
  </si>
  <si>
    <t xml:space="preserve">IMPOWER("-1.0-1.0j",0.25)</t>
  </si>
  <si>
    <t xml:space="preserve">COMPLEX(15.14,-77.088)</t>
  </si>
  <si>
    <t xml:space="preserve">COMPLEX(18.292,-66.729)</t>
  </si>
  <si>
    <t xml:space="preserve">COMPLEX(32.661,-38.022)</t>
  </si>
  <si>
    <t xml:space="preserve">COMPLEX(18.557,28.161)</t>
  </si>
  <si>
    <t xml:space="preserve">COMPLEX(-0.964,-13.433)</t>
  </si>
  <si>
    <t xml:space="preserve">COMPLEX(27.828,-6.74)</t>
  </si>
  <si>
    <t xml:space="preserve">COMPLEX(27.672,35.781)</t>
  </si>
  <si>
    <t xml:space="preserve">COMPLEX(-95.711,-57.578)</t>
  </si>
  <si>
    <t xml:space="preserve">COMPLEX(-16.305,-36.756)</t>
  </si>
  <si>
    <t xml:space="preserve">COMPLEX(1.38,-18.674)</t>
  </si>
  <si>
    <t xml:space="preserve">COMPLEX(46.103,-69.387)</t>
  </si>
  <si>
    <t xml:space="preserve">COMPLEX(-16.461,7.144)</t>
  </si>
  <si>
    <t xml:space="preserve">COMPLEX(-57.866,64.093)</t>
  </si>
  <si>
    <t xml:space="preserve">COMPLEX(21.059,-63.589)</t>
  </si>
  <si>
    <t xml:space="preserve">COMPLEX(72.013,-59.123)</t>
  </si>
  <si>
    <t xml:space="preserve">COMPLEX(25.316,-85.018)</t>
  </si>
  <si>
    <t xml:space="preserve">COMPLEX(-51.46,-7.373)</t>
  </si>
  <si>
    <t xml:space="preserve">COMPLEX(-12.594,88.812)</t>
  </si>
  <si>
    <t xml:space="preserve">COMPLEX(67.955,-46.502)</t>
  </si>
  <si>
    <t xml:space="preserve">COMPLEX(8.961,58.195)</t>
  </si>
  <si>
    <t xml:space="preserve">COMPLEX(-95.976,-5.865)</t>
  </si>
  <si>
    <t xml:space="preserve">COMPLEX(51.899,-33.264)</t>
  </si>
  <si>
    <t xml:space="preserve">COMPLEX(-8.232,-10.662)</t>
  </si>
  <si>
    <t xml:space="preserve">COMPLEX(-74.466,-66.943)</t>
  </si>
  <si>
    <t xml:space="preserve">COMPLEX(7.247,-30.143)</t>
  </si>
  <si>
    <t xml:space="preserve">COMPLEX(-81.725,-64.531)</t>
  </si>
  <si>
    <t xml:space="preserve">COMPLEX(-55.858,85.254)</t>
  </si>
  <si>
    <t xml:space="preserve">COMPLEX(20.431,64.149)</t>
  </si>
  <si>
    <t xml:space="preserve">COMPLEX(-7.601,59.218)</t>
  </si>
  <si>
    <t xml:space="preserve">COMPLEX(-5.136,38.613)</t>
  </si>
  <si>
    <t xml:space="preserve">BESSELI(1.5,1)</t>
  </si>
  <si>
    <t xml:space="preserve">BESSELI(1.5,0)</t>
  </si>
  <si>
    <t xml:space="preserve">BESSELI(-2.5,3)</t>
  </si>
  <si>
    <t xml:space="preserve">BESSELI(30,2)</t>
  </si>
  <si>
    <t xml:space="preserve">BESSELI(1.5,1.9)</t>
  </si>
  <si>
    <t xml:space="preserve">BESSELI(1.5,-1)</t>
  </si>
  <si>
    <t xml:space="preserve">BESSELI(0,0)</t>
  </si>
  <si>
    <t xml:space="preserve">BESSELI(0,1)</t>
  </si>
  <si>
    <t xml:space="preserve">BESSELI(1,-0.5)</t>
  </si>
  <si>
    <t xml:space="preserve">BESSELI(2,3000000000)</t>
  </si>
  <si>
    <t xml:space="preserve">BESSELI(1,200)</t>
  </si>
  <si>
    <t xml:space="preserve">BESSELI(5,2000)</t>
  </si>
  <si>
    <t xml:space="preserve">BESSELI(700,1)</t>
  </si>
  <si>
    <t xml:space="preserve">BESSELI(800,1)</t>
  </si>
  <si>
    <t xml:space="preserve">BESSELI(1000,2)</t>
  </si>
  <si>
    <t xml:space="preserve">BESSELI(10000,0)</t>
  </si>
  <si>
    <t xml:space="preserve">BESSELI(-1.5,3)</t>
  </si>
  <si>
    <t xml:space="preserve">BESSELI(TRUE,1)</t>
  </si>
  <si>
    <t xml:space="preserve">BESSELI("a",1)</t>
  </si>
  <si>
    <t xml:space="preserve">BESSELI(2,"x")</t>
  </si>
  <si>
    <t xml:space="preserve">BESSELJ(1.9,2)</t>
  </si>
  <si>
    <t xml:space="preserve">BESSELJ(0,0)</t>
  </si>
  <si>
    <t xml:space="preserve">BESSELJ(0,1)</t>
  </si>
  <si>
    <t xml:space="preserve">BESSELJ(0,0.5)</t>
  </si>
  <si>
    <t xml:space="preserve">BESSELJ(10,0)</t>
  </si>
  <si>
    <t xml:space="preserve">BESSELJ(-3,1)</t>
  </si>
  <si>
    <t xml:space="preserve">BESSELJ(-1.5,2)</t>
  </si>
  <si>
    <t xml:space="preserve">BESSELJ(-1.5,3)</t>
  </si>
  <si>
    <t xml:space="preserve">BESSELJ(100,5)</t>
  </si>
  <si>
    <t xml:space="preserve">BESSELJ(1.5,-1)</t>
  </si>
  <si>
    <t xml:space="preserve">BESSELJ(1,-0.5)</t>
  </si>
  <si>
    <t xml:space="preserve">BESSELJ(1E5,1)</t>
  </si>
  <si>
    <t xml:space="preserve">BESSELJ(30,25)</t>
  </si>
  <si>
    <t xml:space="preserve">BESSELJ(1000,1)</t>
  </si>
  <si>
    <t xml:space="preserve">BESSELJ(500,2)</t>
  </si>
  <si>
    <t xml:space="preserve">BESSELJ(5000000,2)</t>
  </si>
  <si>
    <t xml:space="preserve">BESSELJ(10000000,2)</t>
  </si>
  <si>
    <t xml:space="preserve">BESSELJ(10000000,1000)</t>
  </si>
  <si>
    <t xml:space="preserve">BESSELJ(2,2147483647)</t>
  </si>
  <si>
    <t xml:space="preserve">BESSELJ(2,2147483648)</t>
  </si>
  <si>
    <t xml:space="preserve">BESSELJ(1,1000)</t>
  </si>
  <si>
    <t xml:space="preserve">BESSELJ(1E-300,2)</t>
  </si>
  <si>
    <t xml:space="preserve">BESSELJ(1,"1")</t>
  </si>
  <si>
    <t xml:space="preserve">BESSELJ(2,TRUE)</t>
  </si>
  <si>
    <t xml:space="preserve">BESSELK(1.5,1)</t>
  </si>
  <si>
    <t xml:space="preserve">BESSELK(0.1,0)</t>
  </si>
  <si>
    <t xml:space="preserve">BESSELK(0,1)</t>
  </si>
  <si>
    <t xml:space="preserve">BESSELK(-1,1)</t>
  </si>
  <si>
    <t xml:space="preserve">BESSELK(10,3)</t>
  </si>
  <si>
    <t xml:space="preserve">BESSELK(800,1)</t>
  </si>
  <si>
    <t xml:space="preserve">BESSELK(1E-5,2)</t>
  </si>
  <si>
    <t xml:space="preserve">BESSELK(2,100)</t>
  </si>
  <si>
    <t xml:space="preserve">BESSELK(1,-0.5)</t>
  </si>
  <si>
    <t xml:space="preserve">BESSELK(2,3)</t>
  </si>
  <si>
    <t xml:space="preserve">BESSELK(2,2)</t>
  </si>
  <si>
    <t xml:space="preserve">BESSELK(2.5,0)</t>
  </si>
  <si>
    <t xml:space="preserve">BESSELK(1E-300,0)</t>
  </si>
  <si>
    <t xml:space="preserve">BESSELK(1E-300,3)</t>
  </si>
  <si>
    <t xml:space="preserve">BESSELY(1.5,1)</t>
  </si>
  <si>
    <t xml:space="preserve">BESSELY(0.1,0)</t>
  </si>
  <si>
    <t xml:space="preserve">BESSELY(0,1)</t>
  </si>
  <si>
    <t xml:space="preserve">BESSELY(-1,1)</t>
  </si>
  <si>
    <t xml:space="preserve">BESSELY(10,3)</t>
  </si>
  <si>
    <t xml:space="preserve">BESSELY(1000,2)</t>
  </si>
  <si>
    <t xml:space="preserve">BESSELY(2.5,0)</t>
  </si>
  <si>
    <t xml:space="preserve">BESSELY(1E-5,2)</t>
  </si>
  <si>
    <t xml:space="preserve">BESSELY(2,100)</t>
  </si>
  <si>
    <t xml:space="preserve">BESSELY(1,-0.5)</t>
  </si>
  <si>
    <t xml:space="preserve">BESSELY(10000000,1)</t>
  </si>
  <si>
    <t xml:space="preserve">BESSELY(6000000,0)</t>
  </si>
  <si>
    <t xml:space="preserve">BESSELY(2E19,0)</t>
  </si>
  <si>
    <t xml:space="preserve">BESSELY(1,50)</t>
  </si>
  <si>
    <t xml:space="preserve">BESSELY(2,3)</t>
  </si>
  <si>
    <t xml:space="preserve">BESSELI(37.268,7)</t>
  </si>
  <si>
    <t xml:space="preserve">BESSELI(24.002,2)</t>
  </si>
  <si>
    <t xml:space="preserve">BESSELI(18.5,12)</t>
  </si>
  <si>
    <t xml:space="preserve">BESSELI(44.0,3)</t>
  </si>
  <si>
    <t xml:space="preserve">BESSELI(42.6,3)</t>
  </si>
  <si>
    <t xml:space="preserve">BESSELI(52.249,0)</t>
  </si>
  <si>
    <t xml:space="preserve">BESSELI(8.7,2)</t>
  </si>
  <si>
    <t xml:space="preserve">BESSELI(28.0,0)</t>
  </si>
  <si>
    <t xml:space="preserve">BESSELI(5.0,12)</t>
  </si>
  <si>
    <t xml:space="preserve">BESSELI(2.3,0)</t>
  </si>
  <si>
    <t xml:space="preserve">BESSELI(25.0,3)</t>
  </si>
  <si>
    <t xml:space="preserve">BESSELI(50.0,1)</t>
  </si>
  <si>
    <t xml:space="preserve">BESSELI(36.0,4)</t>
  </si>
  <si>
    <t xml:space="preserve">BESSELI(1.3,2)</t>
  </si>
  <si>
    <t xml:space="preserve">BESSELI(39.0,12)</t>
  </si>
  <si>
    <t xml:space="preserve">BESSELI(23.7,1)</t>
  </si>
  <si>
    <t xml:space="preserve">BESSELI(11.786,7)</t>
  </si>
  <si>
    <t xml:space="preserve">BESSELI(42.6,2)</t>
  </si>
  <si>
    <t xml:space="preserve">BESSELI(49.0,3)</t>
  </si>
  <si>
    <t xml:space="preserve">BESSELI(19.728,1)</t>
  </si>
  <si>
    <t xml:space="preserve">BESSELI(33.8,0)</t>
  </si>
  <si>
    <t xml:space="preserve">BESSELI(42.4,0)</t>
  </si>
  <si>
    <t xml:space="preserve">BESSELI(43.0,0)</t>
  </si>
  <si>
    <t xml:space="preserve">BESSELI(48.0,4)</t>
  </si>
  <si>
    <t xml:space="preserve">BESSELI(36.7,7)</t>
  </si>
  <si>
    <t xml:space="preserve">BESSELI(49.002,2)</t>
  </si>
  <si>
    <t xml:space="preserve">BESSELI(33.8,12)</t>
  </si>
  <si>
    <t xml:space="preserve">BESSELI(4.8,4)</t>
  </si>
  <si>
    <t xml:space="preserve">BESSELI(12.8,2)</t>
  </si>
  <si>
    <t xml:space="preserve">BESSELI(41.0,7)</t>
  </si>
  <si>
    <t xml:space="preserve">BESSELI(5.5,2)</t>
  </si>
  <si>
    <t xml:space="preserve">BESSELI(19.0,3)</t>
  </si>
  <si>
    <t xml:space="preserve">BESSELI(10.6,12)</t>
  </si>
  <si>
    <t xml:space="preserve">BESSELI(44.2,7)</t>
  </si>
  <si>
    <t xml:space="preserve">BESSELI(47.23,0)</t>
  </si>
  <si>
    <t xml:space="preserve">BESSELI(51.122,2)</t>
  </si>
  <si>
    <t xml:space="preserve">BESSELI(51.0,1)</t>
  </si>
  <si>
    <t xml:space="preserve">BESSELI(22.3,7)</t>
  </si>
  <si>
    <t xml:space="preserve">BESSELI(57.558,2)</t>
  </si>
  <si>
    <t xml:space="preserve">BESSELI(35.0,0)</t>
  </si>
  <si>
    <t xml:space="preserve">BESSELJ(20.0,3)</t>
  </si>
  <si>
    <t xml:space="preserve">BESSELJ(14.455,0)</t>
  </si>
  <si>
    <t xml:space="preserve">BESSELJ(34.784,0)</t>
  </si>
  <si>
    <t xml:space="preserve">BESSELJ(6.4,1)</t>
  </si>
  <si>
    <t xml:space="preserve">BESSELJ(14.0,3)</t>
  </si>
  <si>
    <t xml:space="preserve">BESSELJ(46.2,4)</t>
  </si>
  <si>
    <t xml:space="preserve">BESSELJ(46.0,3)</t>
  </si>
  <si>
    <t xml:space="preserve">BESSELJ(8.267,2)</t>
  </si>
  <si>
    <t xml:space="preserve">BESSELJ(56.0,1)</t>
  </si>
  <si>
    <t xml:space="preserve">BESSELJ(20.6,1)</t>
  </si>
  <si>
    <t xml:space="preserve">BESSELJ(23.995,7)</t>
  </si>
  <si>
    <t xml:space="preserve">BESSELJ(42.484,2)</t>
  </si>
  <si>
    <t xml:space="preserve">BESSELJ(14.699,2)</t>
  </si>
  <si>
    <t xml:space="preserve">BESSELJ(55.7,3)</t>
  </si>
  <si>
    <t xml:space="preserve">BESSELJ(0.226,4)</t>
  </si>
  <si>
    <t xml:space="preserve">BESSELJ(28.0,7)</t>
  </si>
  <si>
    <t xml:space="preserve">BESSELJ(9.5,2)</t>
  </si>
  <si>
    <t xml:space="preserve">BESSELJ(51.0,0)</t>
  </si>
  <si>
    <t xml:space="preserve">BESSELJ(11.0,12)</t>
  </si>
  <si>
    <t xml:space="preserve">BESSELJ(20.0,1)</t>
  </si>
  <si>
    <t xml:space="preserve">BESSELJ(46.913,2)</t>
  </si>
  <si>
    <t xml:space="preserve">BESSELJ(26.6,2)</t>
  </si>
  <si>
    <t xml:space="preserve">BESSELJ(10.1,3)</t>
  </si>
  <si>
    <t xml:space="preserve">BESSELJ(24.7,12)</t>
  </si>
  <si>
    <t xml:space="preserve">BESSELJ(55.4,1)</t>
  </si>
  <si>
    <t xml:space="preserve">BESSELJ(21.9,3)</t>
  </si>
  <si>
    <t xml:space="preserve">BESSELJ(2.0,2)</t>
  </si>
  <si>
    <t xml:space="preserve">BESSELJ(31.3,2)</t>
  </si>
  <si>
    <t xml:space="preserve">BESSELJ(8.242,0)</t>
  </si>
  <si>
    <t xml:space="preserve">BESSELJ(14.85,0)</t>
  </si>
  <si>
    <t xml:space="preserve">BESSELJ(11.686,2)</t>
  </si>
  <si>
    <t xml:space="preserve">BESSELJ(15.354,0)</t>
  </si>
  <si>
    <t xml:space="preserve">BESSELJ(46.6,1)</t>
  </si>
  <si>
    <t xml:space="preserve">BESSELJ(31.0,7)</t>
  </si>
  <si>
    <t xml:space="preserve">BESSELJ(33.438,3)</t>
  </si>
  <si>
    <t xml:space="preserve">BESSELJ(6.0,3)</t>
  </si>
  <si>
    <t xml:space="preserve">BESSELJ(13.0,7)</t>
  </si>
  <si>
    <t xml:space="preserve">BESSELJ(29.5,12)</t>
  </si>
  <si>
    <t xml:space="preserve">BESSELJ(55.0,2)</t>
  </si>
  <si>
    <t xml:space="preserve">BESSELJ(15.0,1)</t>
  </si>
  <si>
    <t xml:space="preserve">BESSELK(29.535,7)</t>
  </si>
  <si>
    <t xml:space="preserve">BESSELK(41.1,12)</t>
  </si>
  <si>
    <t xml:space="preserve">BESSELK(36.5,1)</t>
  </si>
  <si>
    <t xml:space="preserve">BESSELK(19.7,3)</t>
  </si>
  <si>
    <t xml:space="preserve">BESSELK(19.1,7)</t>
  </si>
  <si>
    <t xml:space="preserve">BESSELK(29.4,12)</t>
  </si>
  <si>
    <t xml:space="preserve">BESSELK(43.906,1)</t>
  </si>
  <si>
    <t xml:space="preserve">BESSELK(45.6,4)</t>
  </si>
  <si>
    <t xml:space="preserve">BESSELK(39.973,1)</t>
  </si>
  <si>
    <t xml:space="preserve">BESSELK(21.4,4)</t>
  </si>
  <si>
    <t xml:space="preserve">BESSELK(38.0,0)</t>
  </si>
  <si>
    <t xml:space="preserve">BESSELK(16.3,12)</t>
  </si>
  <si>
    <t xml:space="preserve">BESSELK(44.26,3)</t>
  </si>
  <si>
    <t xml:space="preserve">BESSELK(33.1,3)</t>
  </si>
  <si>
    <t xml:space="preserve">BESSELK(3.8,4)</t>
  </si>
  <si>
    <t xml:space="preserve">BESSELK(0.588,4)</t>
  </si>
  <si>
    <t xml:space="preserve">BESSELK(42.17,7)</t>
  </si>
  <si>
    <t xml:space="preserve">BESSELK(54.0,1)</t>
  </si>
  <si>
    <t xml:space="preserve">BESSELK(4.0,12)</t>
  </si>
  <si>
    <t xml:space="preserve">BESSELK(25.0,3)</t>
  </si>
  <si>
    <t xml:space="preserve">BESSELK(56.876,0)</t>
  </si>
  <si>
    <t xml:space="preserve">BESSELK(13.1,3)</t>
  </si>
  <si>
    <t xml:space="preserve">BESSELK(52.0,7)</t>
  </si>
  <si>
    <t xml:space="preserve">BESSELK(34.282,3)</t>
  </si>
  <si>
    <t xml:space="preserve">BESSELK(53.7,4)</t>
  </si>
  <si>
    <t xml:space="preserve">BESSELK(12.0,4)</t>
  </si>
  <si>
    <t xml:space="preserve">BESSELK(26.0,0)</t>
  </si>
  <si>
    <t xml:space="preserve">BESSELK(23.0,1)</t>
  </si>
  <si>
    <t xml:space="preserve">BESSELK(50.943,12)</t>
  </si>
  <si>
    <t xml:space="preserve">BESSELK(39.3,1)</t>
  </si>
  <si>
    <t xml:space="preserve">BESSELK(55.0,12)</t>
  </si>
  <si>
    <t xml:space="preserve">BESSELK(6.762,7)</t>
  </si>
  <si>
    <t xml:space="preserve">BESSELK(9.107,1)</t>
  </si>
  <si>
    <t xml:space="preserve">BESSELK(43.871,12)</t>
  </si>
  <si>
    <t xml:space="preserve">BESSELK(6.0,7)</t>
  </si>
  <si>
    <t xml:space="preserve">BESSELK(16.0,3)</t>
  </si>
  <si>
    <t xml:space="preserve">BESSELK(11.0,1)</t>
  </si>
  <si>
    <t xml:space="preserve">BESSELK(8.0,3)</t>
  </si>
  <si>
    <t xml:space="preserve">BESSELK(49.88,4)</t>
  </si>
  <si>
    <t xml:space="preserve">BESSELK(18.3,2)</t>
  </si>
  <si>
    <t xml:space="preserve">BESSELY(57.0,2)</t>
  </si>
  <si>
    <t xml:space="preserve">BESSELY(33.3,2)</t>
  </si>
  <si>
    <t xml:space="preserve">BESSELY(6.8,1)</t>
  </si>
  <si>
    <t xml:space="preserve">BESSELY(47.227,4)</t>
  </si>
  <si>
    <t xml:space="preserve">BESSELY(7.786,0)</t>
  </si>
  <si>
    <t xml:space="preserve">BESSELY(25.1,12)</t>
  </si>
  <si>
    <t xml:space="preserve">BESSELY(49.5,0)</t>
  </si>
  <si>
    <t xml:space="preserve">BESSELY(50.834,12)</t>
  </si>
  <si>
    <t xml:space="preserve">BESSELY(30.0,1)</t>
  </si>
  <si>
    <t xml:space="preserve">BESSELY(31.0,7)</t>
  </si>
  <si>
    <t xml:space="preserve">BESSELY(39.931,1)</t>
  </si>
  <si>
    <t xml:space="preserve">BESSELY(53.806,4)</t>
  </si>
  <si>
    <t xml:space="preserve">BESSELY(2.677,3)</t>
  </si>
  <si>
    <t xml:space="preserve">BESSELY(41.2,4)</t>
  </si>
  <si>
    <t xml:space="preserve">BESSELY(46.0,7)</t>
  </si>
  <si>
    <t xml:space="preserve">BESSELY(28.5,1)</t>
  </si>
  <si>
    <t xml:space="preserve">BESSELY(22.487,2)</t>
  </si>
  <si>
    <t xml:space="preserve">BESSELY(37.0,4)</t>
  </si>
  <si>
    <t xml:space="preserve">BESSELY(24.669,0)</t>
  </si>
  <si>
    <t xml:space="preserve">BESSELY(50.0,2)</t>
  </si>
  <si>
    <t xml:space="preserve">BESSELY(57.0,4)</t>
  </si>
  <si>
    <t xml:space="preserve">BESSELY(36.0,1)</t>
  </si>
  <si>
    <t xml:space="preserve">BESSELY(51.5,7)</t>
  </si>
  <si>
    <t xml:space="preserve">BESSELY(0.28,7)</t>
  </si>
  <si>
    <t xml:space="preserve">BESSELY(22.981,3)</t>
  </si>
  <si>
    <t xml:space="preserve">BESSELY(24.2,3)</t>
  </si>
  <si>
    <t xml:space="preserve">BESSELY(30.655,3)</t>
  </si>
  <si>
    <t xml:space="preserve">BESSELY(44.5,0)</t>
  </si>
  <si>
    <t xml:space="preserve">BESSELY(45.3,7)</t>
  </si>
  <si>
    <t xml:space="preserve">BESSELY(23.019,12)</t>
  </si>
  <si>
    <t xml:space="preserve">BESSELY(28.0,3)</t>
  </si>
  <si>
    <t xml:space="preserve">BESSELY(37.0,7)</t>
  </si>
  <si>
    <t xml:space="preserve">BESSELY(26.0,0)</t>
  </si>
  <si>
    <t xml:space="preserve">BESSELY(17.0,3)</t>
  </si>
  <si>
    <t xml:space="preserve">BESSELY(6.0,4)</t>
  </si>
  <si>
    <t xml:space="preserve">BESSELY(16.3,1)</t>
  </si>
  <si>
    <t xml:space="preserve">BESSELY(22.597,1)</t>
  </si>
  <si>
    <t xml:space="preserve">BESSELY(38.2,0)</t>
  </si>
  <si>
    <t xml:space="preserve">BESSELY(12.0,2)</t>
  </si>
  <si>
    <t xml:space="preserve">BESSELY(21.3,7)</t>
  </si>
  <si>
    <t xml:space="preserve">CONVERT(1,"m","km")</t>
  </si>
  <si>
    <t xml:space="preserve">CONVERT(1,"km","m")</t>
  </si>
  <si>
    <t xml:space="preserve">CONVERT(1,"m","mi")</t>
  </si>
  <si>
    <t xml:space="preserve">CONVERT(100,"C","F")</t>
  </si>
  <si>
    <t xml:space="preserve">CONVERT(32,"F","C")</t>
  </si>
  <si>
    <t xml:space="preserve">CONVERT(0,"C","K")</t>
  </si>
  <si>
    <t xml:space="preserve">CONVERT(1,"m","kg")</t>
  </si>
  <si>
    <t xml:space="preserve">CONVERT(1,"x","m")</t>
  </si>
  <si>
    <t xml:space="preserve">CONVERT(1,"m","x")</t>
  </si>
  <si>
    <t xml:space="preserve">CONVERT(1,"","m")</t>
  </si>
  <si>
    <t xml:space="preserve">CONVERT(1,"M","m")</t>
  </si>
  <si>
    <t xml:space="preserve">CONVERT(1,"km","KM")</t>
  </si>
  <si>
    <t xml:space="preserve">CONVERT(1,"cm3","m3")</t>
  </si>
  <si>
    <t xml:space="preserve">CONVERT(1,"cm^3","m^3")</t>
  </si>
  <si>
    <t xml:space="preserve">CONVERT(1,"m^2","cm^2")</t>
  </si>
  <si>
    <t xml:space="preserve">CONVERT(1,"m^","cm")</t>
  </si>
  <si>
    <t xml:space="preserve">CONVERT(1,"^m","m")</t>
  </si>
  <si>
    <t xml:space="preserve">CONVERT(1,"da","m")</t>
  </si>
  <si>
    <t xml:space="preserve">CONVERT(1,"dam","m")</t>
  </si>
  <si>
    <t xml:space="preserve">CONVERT(1,"dag","g")</t>
  </si>
  <si>
    <t xml:space="preserve">CONVERT(1,"kibit","bit")</t>
  </si>
  <si>
    <t xml:space="preserve">CONVERT(1,"kibyte","kbyte")</t>
  </si>
  <si>
    <t xml:space="preserve">CONVERT(1,"kbit","kibit")</t>
  </si>
  <si>
    <t xml:space="preserve">CONVERT(1,"mibit","bit")</t>
  </si>
  <si>
    <t xml:space="preserve">CONVERT(1,"kg","lbm")</t>
  </si>
  <si>
    <t xml:space="preserve">CONVERT(1,"u","g")</t>
  </si>
  <si>
    <t xml:space="preserve">CONVERT(1,"Tm","m")</t>
  </si>
  <si>
    <t xml:space="preserve">CONVERT(1E308,"Ym","m")</t>
  </si>
  <si>
    <t xml:space="preserve">CONVERT(1E-308,"ym","Ym")</t>
  </si>
  <si>
    <t xml:space="preserve">CONVERT(1,5,"m")</t>
  </si>
  <si>
    <t xml:space="preserve">CONVERT("1","m","km")</t>
  </si>
  <si>
    <t xml:space="preserve">CONVERT("a","m","km")</t>
  </si>
  <si>
    <t xml:space="preserve">CONVERT(TRUE,"m","km")</t>
  </si>
  <si>
    <t xml:space="preserve">CONVERT(-40,"C","F")</t>
  </si>
  <si>
    <t xml:space="preserve">CONVERT(-273.15,"C","K")</t>
  </si>
  <si>
    <t xml:space="preserve">CONVERT(1,"Rank","K")</t>
  </si>
  <si>
    <t xml:space="preserve">CONVERT(1,"Reau","C")</t>
  </si>
  <si>
    <t xml:space="preserve">CONVERT(1,"kC","C")</t>
  </si>
  <si>
    <t xml:space="preserve">CONVERT(1,"mK","K")</t>
  </si>
  <si>
    <t xml:space="preserve">CONVERT(1,"cel","kel")</t>
  </si>
  <si>
    <t xml:space="preserve">CONVERT(1,"g","g")</t>
  </si>
  <si>
    <t xml:space="preserve">CONVERT(1,"hh","h")</t>
  </si>
  <si>
    <t xml:space="preserve">CONVERT(1,"e","c")</t>
  </si>
  <si>
    <t xml:space="preserve">CONVERT(1,"c","e")</t>
  </si>
  <si>
    <t xml:space="preserve">CONVERT(35.39,"lbm","ug")</t>
  </si>
  <si>
    <t xml:space="preserve">CONVERT(-13.676,"grain","u")</t>
  </si>
  <si>
    <t xml:space="preserve">CONVERT(493.3,"Gg","uk_ton")</t>
  </si>
  <si>
    <t xml:space="preserve">CONVERT(354.6,"brton","Gg")</t>
  </si>
  <si>
    <t xml:space="preserve">CONVERT(330.7,"ug","lbm")</t>
  </si>
  <si>
    <t xml:space="preserve">CONVERT(169.0,"sg","ton")</t>
  </si>
  <si>
    <t xml:space="preserve">CONVERT(-9.8,"hweight","uk_ton")</t>
  </si>
  <si>
    <t xml:space="preserve">CONVERT(346.0,"uk_cwt","stone")</t>
  </si>
  <si>
    <t xml:space="preserve">CONVERT(75.0,"cwt","kg")</t>
  </si>
  <si>
    <t xml:space="preserve">CONVERT(179.0,"sg","pweight")</t>
  </si>
  <si>
    <t xml:space="preserve">CONVERT(-48.906,"brton","pweight")</t>
  </si>
  <si>
    <t xml:space="preserve">CONVERT(74.0,"ozm","sg")</t>
  </si>
  <si>
    <t xml:space="preserve">CONVERT(-17.124,"hweight","pweight")</t>
  </si>
  <si>
    <t xml:space="preserve">CONVERT(-37.248,"kg","sg")</t>
  </si>
  <si>
    <t xml:space="preserve">CONVERT(255.984,"ton","uk_cwt")</t>
  </si>
  <si>
    <t xml:space="preserve">CONVERT(-22.0,"Gg","Gg")</t>
  </si>
  <si>
    <t xml:space="preserve">CONVERT(68.0,"uk_ton","hweight")</t>
  </si>
  <si>
    <t xml:space="preserve">CONVERT(5.0,"kg","shweight")</t>
  </si>
  <si>
    <t xml:space="preserve">CONVERT(70.0,"LTON","ug")</t>
  </si>
  <si>
    <t xml:space="preserve">CONVERT(56.0,"u","lbm")</t>
  </si>
  <si>
    <t xml:space="preserve">CONVERT(355.0,"lcwt","Gg")</t>
  </si>
  <si>
    <t xml:space="preserve">CONVERT(71.4,"ozm","hweight")</t>
  </si>
  <si>
    <t xml:space="preserve">CONVERT(162.5,"pweight","ton")</t>
  </si>
  <si>
    <t xml:space="preserve">CONVERT(297.2,"ozm","ton")</t>
  </si>
  <si>
    <t xml:space="preserve">CONVERT(267.0,"lbm","brton")</t>
  </si>
  <si>
    <t xml:space="preserve">CONVERT(193.0,"ton","cwt")</t>
  </si>
  <si>
    <t xml:space="preserve">CONVERT(-14.1,"mg","brton")</t>
  </si>
  <si>
    <t xml:space="preserve">CONVERT(269.3,"cwt","ug")</t>
  </si>
  <si>
    <t xml:space="preserve">CONVERT(175.1,"sg","brton")</t>
  </si>
  <si>
    <t xml:space="preserve">CONVERT(216.036,"u","u")</t>
  </si>
  <si>
    <t xml:space="preserve">CONVERT(339.392,"ton","lbm")</t>
  </si>
  <si>
    <t xml:space="preserve">CONVERT(387.903,"pweight","hweight")</t>
  </si>
  <si>
    <t xml:space="preserve">CONVERT(85.733,"uk_cwt","Gg")</t>
  </si>
  <si>
    <t xml:space="preserve">CONVERT(403.0,"ton","lbm")</t>
  </si>
  <si>
    <t xml:space="preserve">CONVERT(123.0,"ug","lcwt")</t>
  </si>
  <si>
    <t xml:space="preserve">CONVERT(93.0,"brton","lbm")</t>
  </si>
  <si>
    <t xml:space="preserve">CONVERT(330.0,"cwt","mg")</t>
  </si>
  <si>
    <t xml:space="preserve">CONVERT(85.1,"g","stone")</t>
  </si>
  <si>
    <t xml:space="preserve">CONVERT(333.0,"u","u")</t>
  </si>
  <si>
    <t xml:space="preserve">CONVERT(246.3,"uk_cwt","pweight")</t>
  </si>
  <si>
    <t xml:space="preserve">CONVERT(338.5,"dam","ang")</t>
  </si>
  <si>
    <t xml:space="preserve">CONVERT(20.0,"ang","survey_mi")</t>
  </si>
  <si>
    <t xml:space="preserve">CONVERT(373.45,"dam","ft")</t>
  </si>
  <si>
    <t xml:space="preserve">CONVERT(64.372,"survey_mi","hm")</t>
  </si>
  <si>
    <t xml:space="preserve">CONVERT(28.1,"ang","mm")</t>
  </si>
  <si>
    <t xml:space="preserve">CONVERT(280.0,"m","Nmi")</t>
  </si>
  <si>
    <t xml:space="preserve">CONVERT(24.0,"um","ell")</t>
  </si>
  <si>
    <t xml:space="preserve">CONVERT(446.172,"pc","m")</t>
  </si>
  <si>
    <t xml:space="preserve">CONVERT(134.662,"in","ell")</t>
  </si>
  <si>
    <t xml:space="preserve">CONVERT(-1.0,"km","lightyear")</t>
  </si>
  <si>
    <t xml:space="preserve">CONVERT(356.0,"parsec","ly")</t>
  </si>
  <si>
    <t xml:space="preserve">CONVERT(408.0,"ell","ft")</t>
  </si>
  <si>
    <t xml:space="preserve">CONVERT(422.0,"lightyear","Nmi")</t>
  </si>
  <si>
    <t xml:space="preserve">CONVERT(62.4,"km","Mpc")</t>
  </si>
  <si>
    <t xml:space="preserve">CONVERT(239.221,"yd","cm")</t>
  </si>
  <si>
    <t xml:space="preserve">CONVERT(81.2,"ell","ell")</t>
  </si>
  <si>
    <t xml:space="preserve">CONVERT(-25.0,"m","parsec")</t>
  </si>
  <si>
    <t xml:space="preserve">CONVERT(288.0,"mm","cm")</t>
  </si>
  <si>
    <t xml:space="preserve">CONVERT(334.0,"ly","survey_mi")</t>
  </si>
  <si>
    <t xml:space="preserve">CONVERT(21.0,"Nmi","cm")</t>
  </si>
  <si>
    <t xml:space="preserve">CONVERT(263.0,"pc","Pica")</t>
  </si>
  <si>
    <t xml:space="preserve">CONVERT(251.4,"mi","ang")</t>
  </si>
  <si>
    <t xml:space="preserve">CONVERT(-9.479,"dam","pica")</t>
  </si>
  <si>
    <t xml:space="preserve">CONVERT(360.0,"Nmi","mi")</t>
  </si>
  <si>
    <t xml:space="preserve">CONVERT(335.2,"pc","m")</t>
  </si>
  <si>
    <t xml:space="preserve">CONVERT(24.1,"survey_mi","um")</t>
  </si>
  <si>
    <t xml:space="preserve">CONVERT(53.484,"cm","parsec")</t>
  </si>
  <si>
    <t xml:space="preserve">CONVERT(219.0,"hm","ell")</t>
  </si>
  <si>
    <t xml:space="preserve">CONVERT(224.5,"survey_mi","Pica")</t>
  </si>
  <si>
    <t xml:space="preserve">CONVERT(407.0,"mm","lightyear")</t>
  </si>
  <si>
    <t xml:space="preserve">CONVERT(122.0,"ell","Pica")</t>
  </si>
  <si>
    <t xml:space="preserve">CONVERT(407.6,"hm","ly")</t>
  </si>
  <si>
    <t xml:space="preserve">CONVERT(18.2,"survey_mi","mi")</t>
  </si>
  <si>
    <t xml:space="preserve">CONVERT(463.0,"hm","Mpc")</t>
  </si>
  <si>
    <t xml:space="preserve">CONVERT(458.0,"pc","lightyear")</t>
  </si>
  <si>
    <t xml:space="preserve">CONVERT(485.744,"Pica","um")</t>
  </si>
  <si>
    <t xml:space="preserve">CONVERT(272.4,"mi","cm")</t>
  </si>
  <si>
    <t xml:space="preserve">CONVERT(279.7,"parsec","mi")</t>
  </si>
  <si>
    <t xml:space="preserve">CONVERT(212.0,"pc","yd")</t>
  </si>
  <si>
    <t xml:space="preserve">CONVERT(68.464,"lightyear","Pica")</t>
  </si>
  <si>
    <t xml:space="preserve">CONVERT(232.0,"sec","ms")</t>
  </si>
  <si>
    <t xml:space="preserve">CONVERT(320.0,"ms","ks")</t>
  </si>
  <si>
    <t xml:space="preserve">CONVERT(124.9,"sec","mn")</t>
  </si>
  <si>
    <t xml:space="preserve">CONVERT(332.0,"min","mn")</t>
  </si>
  <si>
    <t xml:space="preserve">CONVERT(85.223,"mn","us")</t>
  </si>
  <si>
    <t xml:space="preserve">CONVERT(266.1,"us","hr")</t>
  </si>
  <si>
    <t xml:space="preserve">CONVERT(398.5,"us","ks")</t>
  </si>
  <si>
    <t xml:space="preserve">CONVERT(404.1,"s","s")</t>
  </si>
  <si>
    <t xml:space="preserve">CONVERT(64.715,"ms","day")</t>
  </si>
  <si>
    <t xml:space="preserve">CONVERT(25.8,"hr","s")</t>
  </si>
  <si>
    <t xml:space="preserve">CONVERT(425.881,"ns","sec")</t>
  </si>
  <si>
    <t xml:space="preserve">CONVERT(72.0,"sec","ms")</t>
  </si>
  <si>
    <t xml:space="preserve">CONVERT(279.0,"us","mn")</t>
  </si>
  <si>
    <t xml:space="preserve">CONVERT(183.0,"sec","day")</t>
  </si>
  <si>
    <t xml:space="preserve">CONVERT(454.319,"ks","ns")</t>
  </si>
  <si>
    <t xml:space="preserve">CONVERT(170.513,"s","hr")</t>
  </si>
  <si>
    <t xml:space="preserve">CONVERT(49.4,"ms","mn")</t>
  </si>
  <si>
    <t xml:space="preserve">CONVERT(184.0,"day","hr")</t>
  </si>
  <si>
    <t xml:space="preserve">CONVERT(372.0,"yr","ks")</t>
  </si>
  <si>
    <t xml:space="preserve">CONVERT(188.008,"ks","mn")</t>
  </si>
  <si>
    <t xml:space="preserve">CONVERT(115.5,"day","day")</t>
  </si>
  <si>
    <t xml:space="preserve">CONVERT(449.5,"yr","sec")</t>
  </si>
  <si>
    <t xml:space="preserve">CONVERT(10.76,"day","ms")</t>
  </si>
  <si>
    <t xml:space="preserve">CONVERT(364.517,"hr","day")</t>
  </si>
  <si>
    <t xml:space="preserve">CONVERT(362.4,"d","yr")</t>
  </si>
  <si>
    <t xml:space="preserve">CONVERT(380.851,"s","ns")</t>
  </si>
  <si>
    <t xml:space="preserve">CONVERT(-40.482,"s","d")</t>
  </si>
  <si>
    <t xml:space="preserve">CONVERT(172.343,"yr","mn")</t>
  </si>
  <si>
    <t xml:space="preserve">CONVERT(380.5,"hr","sec")</t>
  </si>
  <si>
    <t xml:space="preserve">CONVERT(97.0,"s","mn")</t>
  </si>
  <si>
    <t xml:space="preserve">CONVERT(168.5,"ns","sec")</t>
  </si>
  <si>
    <t xml:space="preserve">CONVERT(366.772,"us","min")</t>
  </si>
  <si>
    <t xml:space="preserve">CONVERT(-43.735,"day","d")</t>
  </si>
  <si>
    <t xml:space="preserve">CONVERT(37.0,"d","sec")</t>
  </si>
  <si>
    <t xml:space="preserve">CONVERT(68.374,"yr","yr")</t>
  </si>
  <si>
    <t xml:space="preserve">CONVERT(231.3,"min","yr")</t>
  </si>
  <si>
    <t xml:space="preserve">CONVERT(265.7,"ks","d")</t>
  </si>
  <si>
    <t xml:space="preserve">CONVERT(443.722,"min","sec")</t>
  </si>
  <si>
    <t xml:space="preserve">CONVERT(391.6,"sec","us")</t>
  </si>
  <si>
    <t xml:space="preserve">CONVERT(368.492,"yr","mn")</t>
  </si>
  <si>
    <t xml:space="preserve">CONVERT(101.813,"Pa","kPa")</t>
  </si>
  <si>
    <t xml:space="preserve">CONVERT(35.0,"GPa","GPa")</t>
  </si>
  <si>
    <t xml:space="preserve">CONVERT(-31.9,"Pa","Torr")</t>
  </si>
  <si>
    <t xml:space="preserve">CONVERT(69.0,"Pa","kPa")</t>
  </si>
  <si>
    <t xml:space="preserve">CONVERT(376.0,"kPa","Torr")</t>
  </si>
  <si>
    <t xml:space="preserve">CONVERT(121.0,"hPa","GPa")</t>
  </si>
  <si>
    <t xml:space="preserve">CONVERT(46.0,"atm","at")</t>
  </si>
  <si>
    <t xml:space="preserve">CONVERT(62.308,"atm","GPa")</t>
  </si>
  <si>
    <t xml:space="preserve">CONVERT(97.178,"mPa","hPa")</t>
  </si>
  <si>
    <t xml:space="preserve">CONVERT(295.075,"hPa","GPa")</t>
  </si>
  <si>
    <t xml:space="preserve">CONVERT(63.521,"psi","atm")</t>
  </si>
  <si>
    <t xml:space="preserve">CONVERT(291.917,"kPa","mmHg")</t>
  </si>
  <si>
    <t xml:space="preserve">CONVERT(355.64,"psi","Pa")</t>
  </si>
  <si>
    <t xml:space="preserve">CONVERT(336.9,"atm","GPa")</t>
  </si>
  <si>
    <t xml:space="preserve">CONVERT(109.0,"kPa","mPa")</t>
  </si>
  <si>
    <t xml:space="preserve">CONVERT(224.151,"kPa","mPa")</t>
  </si>
  <si>
    <t xml:space="preserve">CONVERT(76.5,"atm","hPa")</t>
  </si>
  <si>
    <t xml:space="preserve">CONVERT(395.0,"Pa","mPa")</t>
  </si>
  <si>
    <t xml:space="preserve">CONVERT(170.0,"Torr","Torr")</t>
  </si>
  <si>
    <t xml:space="preserve">CONVERT(77.6,"psi","atm")</t>
  </si>
  <si>
    <t xml:space="preserve">CONVERT(139.428,"atm","psi")</t>
  </si>
  <si>
    <t xml:space="preserve">CONVERT(397.0,"Pa","mmHg")</t>
  </si>
  <si>
    <t xml:space="preserve">CONVERT(286.3,"mmHg","hPa")</t>
  </si>
  <si>
    <t xml:space="preserve">CONVERT(284.795,"GPa","mPa")</t>
  </si>
  <si>
    <t xml:space="preserve">CONVERT(22.6,"Pa","mmHg")</t>
  </si>
  <si>
    <t xml:space="preserve">CONVERT(224.424,"kPa","psi")</t>
  </si>
  <si>
    <t xml:space="preserve">CONVERT(445.657,"GPa","GPa")</t>
  </si>
  <si>
    <t xml:space="preserve">CONVERT(-6.9,"kPa","atm")</t>
  </si>
  <si>
    <t xml:space="preserve">CONVERT(97.7,"Pa","psi")</t>
  </si>
  <si>
    <t xml:space="preserve">CONVERT(485.44,"Torr","GPa")</t>
  </si>
  <si>
    <t xml:space="preserve">CONVERT(383.7,"atm","psi")</t>
  </si>
  <si>
    <t xml:space="preserve">CONVERT(90.0,"atm","kPa")</t>
  </si>
  <si>
    <t xml:space="preserve">CONVERT(-7.5,"mPa","Torr")</t>
  </si>
  <si>
    <t xml:space="preserve">CONVERT(17.176,"at","Pa")</t>
  </si>
  <si>
    <t xml:space="preserve">CONVERT(91.372,"mmHg","Pa")</t>
  </si>
  <si>
    <t xml:space="preserve">CONVERT(441.3,"kPa","psi")</t>
  </si>
  <si>
    <t xml:space="preserve">CONVERT(404.712,"kPa","Torr")</t>
  </si>
  <si>
    <t xml:space="preserve">CONVERT(61.0,"atm","at")</t>
  </si>
  <si>
    <t xml:space="preserve">CONVERT(233.7,"psi","at")</t>
  </si>
  <si>
    <t xml:space="preserve">CONVERT(486.1,"kPa","Torr")</t>
  </si>
  <si>
    <t xml:space="preserve">CONVERT(-1.085,"lbf","N")</t>
  </si>
  <si>
    <t xml:space="preserve">CONVERT(-0.1,"dyn","dyn")</t>
  </si>
  <si>
    <t xml:space="preserve">CONVERT(-26.7,"dyn","lbf")</t>
  </si>
  <si>
    <t xml:space="preserve">CONVERT(79.017,"N","mN")</t>
  </si>
  <si>
    <t xml:space="preserve">CONVERT(314.4,"kN","N")</t>
  </si>
  <si>
    <t xml:space="preserve">CONVERT(24.0,"dy","N")</t>
  </si>
  <si>
    <t xml:space="preserve">CONVERT(494.8,"dyn","mdyn")</t>
  </si>
  <si>
    <t xml:space="preserve">CONVERT(486.549,"dyn","mN")</t>
  </si>
  <si>
    <t xml:space="preserve">CONVERT(155.0,"dyn","kN")</t>
  </si>
  <si>
    <t xml:space="preserve">CONVERT(15.3,"N","mN")</t>
  </si>
  <si>
    <t xml:space="preserve">CONVERT(31.687,"dy","dyn")</t>
  </si>
  <si>
    <t xml:space="preserve">CONVERT(382.0,"kN","mdyn")</t>
  </si>
  <si>
    <t xml:space="preserve">CONVERT(87.401,"N","dy")</t>
  </si>
  <si>
    <t xml:space="preserve">CONVERT(265.26,"N","lbf")</t>
  </si>
  <si>
    <t xml:space="preserve">CONVERT(445.0,"mdyn","mN")</t>
  </si>
  <si>
    <t xml:space="preserve">CONVERT(357.0,"lbf","dy")</t>
  </si>
  <si>
    <t xml:space="preserve">CONVERT(419.76,"kN","kN")</t>
  </si>
  <si>
    <t xml:space="preserve">CONVERT(333.2,"kN","N")</t>
  </si>
  <si>
    <t xml:space="preserve">CONVERT(220.0,"pond","N")</t>
  </si>
  <si>
    <t xml:space="preserve">CONVERT(386.0,"mdyn","dyn")</t>
  </si>
  <si>
    <t xml:space="preserve">CONVERT(96.185,"N","mN")</t>
  </si>
  <si>
    <t xml:space="preserve">CONVERT(12.915,"dyn","dyn")</t>
  </si>
  <si>
    <t xml:space="preserve">CONVERT(462.1,"mN","kN")</t>
  </si>
  <si>
    <t xml:space="preserve">CONVERT(413.0,"pond","dy")</t>
  </si>
  <si>
    <t xml:space="preserve">CONVERT(131.6,"lbf","dyn")</t>
  </si>
  <si>
    <t xml:space="preserve">CONVERT(422.871,"mN","dy")</t>
  </si>
  <si>
    <t xml:space="preserve">CONVERT(90.5,"mdyn","dyn")</t>
  </si>
  <si>
    <t xml:space="preserve">CONVERT(159.717,"N","mdyn")</t>
  </si>
  <si>
    <t xml:space="preserve">CONVERT(147.0,"mdyn","N")</t>
  </si>
  <si>
    <t xml:space="preserve">CONVERT(68.4,"mN","N")</t>
  </si>
  <si>
    <t xml:space="preserve">CONVERT(398.1,"mN","dyn")</t>
  </si>
  <si>
    <t xml:space="preserve">CONVERT(293.743,"N","N")</t>
  </si>
  <si>
    <t xml:space="preserve">CONVERT(168.945,"dyn","N")</t>
  </si>
  <si>
    <t xml:space="preserve">CONVERT(-29.3,"N","N")</t>
  </si>
  <si>
    <t xml:space="preserve">CONVERT(101.433,"dyn","N")</t>
  </si>
  <si>
    <t xml:space="preserve">CONVERT(115.034,"mdyn","mN")</t>
  </si>
  <si>
    <t xml:space="preserve">CONVERT(485.0,"mN","mdyn")</t>
  </si>
  <si>
    <t xml:space="preserve">CONVERT(-48.0,"pond","mN")</t>
  </si>
  <si>
    <t xml:space="preserve">CONVERT(469.775,"dy","pond")</t>
  </si>
  <si>
    <t xml:space="preserve">CONVERT(310.465,"mdyn","N")</t>
  </si>
  <si>
    <t xml:space="preserve">CONVERT(282.462,"e","kJ")</t>
  </si>
  <si>
    <t xml:space="preserve">CONVERT(435.0,"BTU","e")</t>
  </si>
  <si>
    <t xml:space="preserve">CONVERT(201.0,"kWh","uJ")</t>
  </si>
  <si>
    <t xml:space="preserve">CONVERT(481.0,"ev","J")</t>
  </si>
  <si>
    <t xml:space="preserve">CONVERT(305.8,"btu","keV")</t>
  </si>
  <si>
    <t xml:space="preserve">CONVERT(314.0,"hh","ev")</t>
  </si>
  <si>
    <t xml:space="preserve">CONVERT(162.874,"flb","flb")</t>
  </si>
  <si>
    <t xml:space="preserve">CONVERT(245.072,"flb","c")</t>
  </si>
  <si>
    <t xml:space="preserve">CONVERT(293.9,"uJ","e")</t>
  </si>
  <si>
    <t xml:space="preserve">CONVERT(9.258,"cal","c")</t>
  </si>
  <si>
    <t xml:space="preserve">CONVERT(149.0,"BTU","kcal")</t>
  </si>
  <si>
    <t xml:space="preserve">CONVERT(149.598,"eV","kJ")</t>
  </si>
  <si>
    <t xml:space="preserve">CONVERT(-7.3,"kWh","kcal")</t>
  </si>
  <si>
    <t xml:space="preserve">CONVERT(432.3,"BTU","ev")</t>
  </si>
  <si>
    <t xml:space="preserve">CONVERT(356.0,"Mcal","Wh")</t>
  </si>
  <si>
    <t xml:space="preserve">CONVERT(105.605,"BTU","Wh")</t>
  </si>
  <si>
    <t xml:space="preserve">CONVERT(147.4,"keV","kcal")</t>
  </si>
  <si>
    <t xml:space="preserve">CONVERT(355.522,"flb","uJ")</t>
  </si>
  <si>
    <t xml:space="preserve">CONVERT(493.034,"Wh","kcal")</t>
  </si>
  <si>
    <t xml:space="preserve">CONVERT(168.0,"uJ","keV")</t>
  </si>
  <si>
    <t xml:space="preserve">CONVERT(-12.809,"Mcal","c")</t>
  </si>
  <si>
    <t xml:space="preserve">CONVERT(224.3,"e","BTU")</t>
  </si>
  <si>
    <t xml:space="preserve">CONVERT(187.973,"eV","Mcal")</t>
  </si>
  <si>
    <t xml:space="preserve">CONVERT(249.181,"mJ","cal")</t>
  </si>
  <si>
    <t xml:space="preserve">CONVERT(406.2,"BTU","e")</t>
  </si>
  <si>
    <t xml:space="preserve">CONVERT(373.0,"hh","BTU")</t>
  </si>
  <si>
    <t xml:space="preserve">CONVERT(417.636,"cal","kJ")</t>
  </si>
  <si>
    <t xml:space="preserve">CONVERT(468.0,"BTU","btu")</t>
  </si>
  <si>
    <t xml:space="preserve">CONVERT(295.865,"keV","kJ")</t>
  </si>
  <si>
    <t xml:space="preserve">CONVERT(-30.5,"mJ","J")</t>
  </si>
  <si>
    <t xml:space="preserve">CONVERT(317.819,"BTU","mJ")</t>
  </si>
  <si>
    <t xml:space="preserve">CONVERT(467.468,"uJ","HPh")</t>
  </si>
  <si>
    <t xml:space="preserve">CONVERT(372.2,"kWh","hh")</t>
  </si>
  <si>
    <t xml:space="preserve">CONVERT(216.5,"c","mJ")</t>
  </si>
  <si>
    <t xml:space="preserve">CONVERT(499.1,"hh","J")</t>
  </si>
  <si>
    <t xml:space="preserve">CONVERT(469.0,"uJ","Mcal")</t>
  </si>
  <si>
    <t xml:space="preserve">CONVERT(-48.0,"flb","kJ")</t>
  </si>
  <si>
    <t xml:space="preserve">CONVERT(429.2,"kWh","ev")</t>
  </si>
  <si>
    <t xml:space="preserve">CONVERT(387.7,"kJ","Mcal")</t>
  </si>
  <si>
    <t xml:space="preserve">CONVERT(294.9,"Mcal","keV")</t>
  </si>
  <si>
    <t xml:space="preserve">CONVERT(19.078,"W","w")</t>
  </si>
  <si>
    <t xml:space="preserve">CONVERT(256.8,"MW","HP")</t>
  </si>
  <si>
    <t xml:space="preserve">CONVERT(120.0,"W","W")</t>
  </si>
  <si>
    <t xml:space="preserve">CONVERT(401.0,"HP","GW")</t>
  </si>
  <si>
    <t xml:space="preserve">CONVERT(404.0,"HP","mW")</t>
  </si>
  <si>
    <t xml:space="preserve">CONVERT(451.3,"GW","GW")</t>
  </si>
  <si>
    <t xml:space="preserve">CONVERT(336.514,"PS","W")</t>
  </si>
  <si>
    <t xml:space="preserve">CONVERT(130.0,"PS","GW")</t>
  </si>
  <si>
    <t xml:space="preserve">CONVERT(237.0,"kW","kW")</t>
  </si>
  <si>
    <t xml:space="preserve">CONVERT(181.886,"mW","w")</t>
  </si>
  <si>
    <t xml:space="preserve">CONVERT(-29.137,"mW","MW")</t>
  </si>
  <si>
    <t xml:space="preserve">CONVERT(304.132,"w","w")</t>
  </si>
  <si>
    <t xml:space="preserve">CONVERT(167.305,"mW","HP")</t>
  </si>
  <si>
    <t xml:space="preserve">CONVERT(37.739,"MW","HP")</t>
  </si>
  <si>
    <t xml:space="preserve">CONVERT(45.452,"HP","GW")</t>
  </si>
  <si>
    <t xml:space="preserve">CONVERT(44.618,"MW","PS")</t>
  </si>
  <si>
    <t xml:space="preserve">CONVERT(0.275,"h","w")</t>
  </si>
  <si>
    <t xml:space="preserve">CONVERT(36.748,"kW","h")</t>
  </si>
  <si>
    <t xml:space="preserve">CONVERT(-10.0,"MW","kW")</t>
  </si>
  <si>
    <t xml:space="preserve">CONVERT(164.0,"MW","h")</t>
  </si>
  <si>
    <t xml:space="preserve">CONVERT(60.1,"GW","w")</t>
  </si>
  <si>
    <t xml:space="preserve">CONVERT(427.7,"HP","W")</t>
  </si>
  <si>
    <t xml:space="preserve">CONVERT(-16.0,"W","PS")</t>
  </si>
  <si>
    <t xml:space="preserve">CONVERT(308.947,"GW","w")</t>
  </si>
  <si>
    <t xml:space="preserve">CONVERT(499.0,"GW","W")</t>
  </si>
  <si>
    <t xml:space="preserve">CONVERT(259.256,"MW","mW")</t>
  </si>
  <si>
    <t xml:space="preserve">CONVERT(415.153,"h","MW")</t>
  </si>
  <si>
    <t xml:space="preserve">CONVERT(270.4,"HP","w")</t>
  </si>
  <si>
    <t xml:space="preserve">CONVERT(81.369,"h","mW")</t>
  </si>
  <si>
    <t xml:space="preserve">CONVERT(449.335,"GW","GW")</t>
  </si>
  <si>
    <t xml:space="preserve">CONVERT(405.0,"kW","HP")</t>
  </si>
  <si>
    <t xml:space="preserve">CONVERT(10.07,"W","HP")</t>
  </si>
  <si>
    <t xml:space="preserve">CONVERT(343.4,"W","MW")</t>
  </si>
  <si>
    <t xml:space="preserve">CONVERT(-47.6,"kW","kW")</t>
  </si>
  <si>
    <t xml:space="preserve">CONVERT(341.3,"GW","GW")</t>
  </si>
  <si>
    <t xml:space="preserve">CONVERT(416.0,"mW","MW")</t>
  </si>
  <si>
    <t xml:space="preserve">CONVERT(387.2,"mW","h")</t>
  </si>
  <si>
    <t xml:space="preserve">CONVERT(386.4,"mW","kW")</t>
  </si>
  <si>
    <t xml:space="preserve">CONVERT(349.271,"PS","GW")</t>
  </si>
  <si>
    <t xml:space="preserve">CONVERT(26.612,"HP","PS")</t>
  </si>
  <si>
    <t xml:space="preserve">CONVERT(-7.05,"uT","uT")</t>
  </si>
  <si>
    <t xml:space="preserve">CONVERT(76.996,"T","ga")</t>
  </si>
  <si>
    <t xml:space="preserve">CONVERT(473.4,"ga","ga")</t>
  </si>
  <si>
    <t xml:space="preserve">CONVERT(239.0,"uT","nT")</t>
  </si>
  <si>
    <t xml:space="preserve">CONVERT(203.0,"uT","T")</t>
  </si>
  <si>
    <t xml:space="preserve">CONVERT(262.6,"ga","T")</t>
  </si>
  <si>
    <t xml:space="preserve">CONVERT(122.5,"T","T")</t>
  </si>
  <si>
    <t xml:space="preserve">CONVERT(447.235,"T","nT")</t>
  </si>
  <si>
    <t xml:space="preserve">CONVERT(66.0,"ga","nT")</t>
  </si>
  <si>
    <t xml:space="preserve">CONVERT(37.5,"nT","mT")</t>
  </si>
  <si>
    <t xml:space="preserve">CONVERT(344.0,"ga","nT")</t>
  </si>
  <si>
    <t xml:space="preserve">CONVERT(186.789,"kga","ga")</t>
  </si>
  <si>
    <t xml:space="preserve">CONVERT(-35.5,"mT","uT")</t>
  </si>
  <si>
    <t xml:space="preserve">CONVERT(207.0,"nT","mT")</t>
  </si>
  <si>
    <t xml:space="preserve">CONVERT(272.1,"T","T")</t>
  </si>
  <si>
    <t xml:space="preserve">CONVERT(483.031,"kga","T")</t>
  </si>
  <si>
    <t xml:space="preserve">CONVERT(72.201,"T","nT")</t>
  </si>
  <si>
    <t xml:space="preserve">CONVERT(293.5,"kga","mT")</t>
  </si>
  <si>
    <t xml:space="preserve">CONVERT(78.9,"T","uT")</t>
  </si>
  <si>
    <t xml:space="preserve">CONVERT(384.909,"mT","kga")</t>
  </si>
  <si>
    <t xml:space="preserve">CONVERT(-7.2,"kga","kga")</t>
  </si>
  <si>
    <t xml:space="preserve">CONVERT(442.0,"T","uT")</t>
  </si>
  <si>
    <t xml:space="preserve">CONVERT(339.904,"T","T")</t>
  </si>
  <si>
    <t xml:space="preserve">CONVERT(309.8,"uT","nT")</t>
  </si>
  <si>
    <t xml:space="preserve">CONVERT(105.4,"T","kga")</t>
  </si>
  <si>
    <t xml:space="preserve">CONVERT(-36.591,"kga","mT")</t>
  </si>
  <si>
    <t xml:space="preserve">CONVERT(128.1,"kga","kga")</t>
  </si>
  <si>
    <t xml:space="preserve">CONVERT(400.0,"mT","mT")</t>
  </si>
  <si>
    <t xml:space="preserve">CONVERT(-47.0,"T","ga")</t>
  </si>
  <si>
    <t xml:space="preserve">CONVERT(414.0,"ga","mT")</t>
  </si>
  <si>
    <t xml:space="preserve">CONVERT(274.0,"kga","T")</t>
  </si>
  <si>
    <t xml:space="preserve">CONVERT(126.43,"nT","nT")</t>
  </si>
  <si>
    <t xml:space="preserve">CONVERT(79.453,"mT","kga")</t>
  </si>
  <si>
    <t xml:space="preserve">CONVERT(352.3,"mT","mT")</t>
  </si>
  <si>
    <t xml:space="preserve">CONVERT(-38.747,"kga","T")</t>
  </si>
  <si>
    <t xml:space="preserve">CONVERT(208.139,"nT","uT")</t>
  </si>
  <si>
    <t xml:space="preserve">CONVERT(468.519,"ga","uT")</t>
  </si>
  <si>
    <t xml:space="preserve">CONVERT(256.9,"mT","nT")</t>
  </si>
  <si>
    <t xml:space="preserve">CONVERT(279.0,"uT","ga")</t>
  </si>
  <si>
    <t xml:space="preserve">CONVERT(325.0,"uT","uT")</t>
  </si>
  <si>
    <t xml:space="preserve">CONVERT(73.5,"cel","fah")</t>
  </si>
  <si>
    <t xml:space="preserve">CONVERT(493.0,"uK","kel")</t>
  </si>
  <si>
    <t xml:space="preserve">CONVERT(-36.0,"C","C")</t>
  </si>
  <si>
    <t xml:space="preserve">CONVERT(328.3,"fah","F")</t>
  </si>
  <si>
    <t xml:space="preserve">CONVERT(413.932,"F","K")</t>
  </si>
  <si>
    <t xml:space="preserve">CONVERT(191.261,"Reau","F")</t>
  </si>
  <si>
    <t xml:space="preserve">CONVERT(311.0,"cel","F")</t>
  </si>
  <si>
    <t xml:space="preserve">CONVERT(-26.0,"uK","kel")</t>
  </si>
  <si>
    <t xml:space="preserve">CONVERT(342.7,"cel","F")</t>
  </si>
  <si>
    <t xml:space="preserve">CONVERT(-2.0,"kel","K")</t>
  </si>
  <si>
    <t xml:space="preserve">CONVERT(363.0,"F","F")</t>
  </si>
  <si>
    <t xml:space="preserve">CONVERT(168.3,"Reau","uK")</t>
  </si>
  <si>
    <t xml:space="preserve">CONVERT(405.8,"uK","C")</t>
  </si>
  <si>
    <t xml:space="preserve">CONVERT(378.3,"uK","fah")</t>
  </si>
  <si>
    <t xml:space="preserve">CONVERT(-16.492,"fah","uK")</t>
  </si>
  <si>
    <t xml:space="preserve">CONVERT(173.4,"fah","K")</t>
  </si>
  <si>
    <t xml:space="preserve">CONVERT(204.638,"K","uK")</t>
  </si>
  <si>
    <t xml:space="preserve">CONVERT(186.215,"Rank","uK")</t>
  </si>
  <si>
    <t xml:space="preserve">CONVERT(317.0,"kK","cel")</t>
  </si>
  <si>
    <t xml:space="preserve">CONVERT(292.0,"kK","Rank")</t>
  </si>
  <si>
    <t xml:space="preserve">CONVERT(138.0,"F","kK")</t>
  </si>
  <si>
    <t xml:space="preserve">CONVERT(166.0,"kK","F")</t>
  </si>
  <si>
    <t xml:space="preserve">CONVERT(356.113,"kK","kel")</t>
  </si>
  <si>
    <t xml:space="preserve">CONVERT(11.0,"mK","fah")</t>
  </si>
  <si>
    <t xml:space="preserve">CONVERT(12.2,"Reau","kel")</t>
  </si>
  <si>
    <t xml:space="preserve">CONVERT(94.3,"kK","cel")</t>
  </si>
  <si>
    <t xml:space="preserve">CONVERT(179.35,"C","kK")</t>
  </si>
  <si>
    <t xml:space="preserve">CONVERT(-39.017,"kel","Reau")</t>
  </si>
  <si>
    <t xml:space="preserve">CONVERT(70.0,"uK","kel")</t>
  </si>
  <si>
    <t xml:space="preserve">CONVERT(260.0,"cel","uK")</t>
  </si>
  <si>
    <t xml:space="preserve">CONVERT(438.6,"uK","kK")</t>
  </si>
  <si>
    <t xml:space="preserve">CONVERT(308.74,"Reau","fah")</t>
  </si>
  <si>
    <t xml:space="preserve">CONVERT(255.669,"K","uK")</t>
  </si>
  <si>
    <t xml:space="preserve">CONVERT(178.0,"kK","mK")</t>
  </si>
  <si>
    <t xml:space="preserve">CONVERT(136.703,"mK","kK")</t>
  </si>
  <si>
    <t xml:space="preserve">CONVERT(481.0,"C","Rank")</t>
  </si>
  <si>
    <t xml:space="preserve">CONVERT(36.0,"K","kel")</t>
  </si>
  <si>
    <t xml:space="preserve">CONVERT(-13.0,"kK","kel")</t>
  </si>
  <si>
    <t xml:space="preserve">CONVERT(297.216,"kK","kel")</t>
  </si>
  <si>
    <t xml:space="preserve">CONVERT(313.0,"K","Rank")</t>
  </si>
  <si>
    <t xml:space="preserve">CONVERT(12.735,"us_pt","regton")</t>
  </si>
  <si>
    <t xml:space="preserve">CONVERT(313.0,"tsp","us_pt")</t>
  </si>
  <si>
    <t xml:space="preserve">CONVERT(313.495,"pica3","tsp")</t>
  </si>
  <si>
    <t xml:space="preserve">CONVERT(326.0,"tbs","kl")</t>
  </si>
  <si>
    <t xml:space="preserve">CONVERT(221.8,"qt","qt")</t>
  </si>
  <si>
    <t xml:space="preserve">CONVERT(258.708,"kl","m^3")</t>
  </si>
  <si>
    <t xml:space="preserve">CONVERT(90.9,"uk_pt","Nmi3")</t>
  </si>
  <si>
    <t xml:space="preserve">CONVERT(106.0,"gal","yd3")</t>
  </si>
  <si>
    <t xml:space="preserve">CONVERT(29.0,"cm3","ang3")</t>
  </si>
  <si>
    <t xml:space="preserve">CONVERT(321.0,"yd3","us_pt")</t>
  </si>
  <si>
    <t xml:space="preserve">CONVERT(134.9,"us_pt","regton")</t>
  </si>
  <si>
    <t xml:space="preserve">CONVERT(465.8,"pt","cl")</t>
  </si>
  <si>
    <t xml:space="preserve">CONVERT(-5.7,"Pica3","bushel")</t>
  </si>
  <si>
    <t xml:space="preserve">CONVERT(236.092,"uk_gal","Schooner")</t>
  </si>
  <si>
    <t xml:space="preserve">CONVERT(-10.29,"bushel","ml")</t>
  </si>
  <si>
    <t xml:space="preserve">CONVERT(135.6,"uk_gal","ml")</t>
  </si>
  <si>
    <t xml:space="preserve">CONVERT(357.6,"dam3","uk_gal")</t>
  </si>
  <si>
    <t xml:space="preserve">CONVERT(461.0,"Glass","tbs")</t>
  </si>
  <si>
    <t xml:space="preserve">CONVERT(463.413,"lt","hl")</t>
  </si>
  <si>
    <t xml:space="preserve">CONVERT(107.0,"bushel","lt")</t>
  </si>
  <si>
    <t xml:space="preserve">CONVERT(119.279,"Schooner","uk_qt")</t>
  </si>
  <si>
    <t xml:space="preserve">CONVERT(-8.555,"kl","uk_pt")</t>
  </si>
  <si>
    <t xml:space="preserve">CONVERT(260.0,"regton","uk_qt")</t>
  </si>
  <si>
    <t xml:space="preserve">CONVERT(87.0,"regton","L")</t>
  </si>
  <si>
    <t xml:space="preserve">CONVERT(264.405,"mm3","picapt3")</t>
  </si>
  <si>
    <t xml:space="preserve">CONVERT(311.7,"Glass","mi3")</t>
  </si>
  <si>
    <t xml:space="preserve">CONVERT(324.0,"us_pt","oz")</t>
  </si>
  <si>
    <t xml:space="preserve">CONVERT(390.0,"uk_qt","GRT")</t>
  </si>
  <si>
    <t xml:space="preserve">CONVERT(-3.054,"ft3","uk_pt")</t>
  </si>
  <si>
    <t xml:space="preserve">CONVERT(138.0,"mi3","ft3")</t>
  </si>
  <si>
    <t xml:space="preserve">CONVERT(82.381,"Humpen","uk_pt")</t>
  </si>
  <si>
    <t xml:space="preserve">CONVERT(35.0,"mm3","L")</t>
  </si>
  <si>
    <t xml:space="preserve">CONVERT(292.599,"oz","gal")</t>
  </si>
  <si>
    <t xml:space="preserve">CONVERT(32.0,"dam3","bushel")</t>
  </si>
  <si>
    <t xml:space="preserve">CONVERT(399.0,"L","ml")</t>
  </si>
  <si>
    <t xml:space="preserve">CONVERT(123.0,"oz","Humpen")</t>
  </si>
  <si>
    <t xml:space="preserve">CONVERT(152.0,"Humpen","Sixpack")</t>
  </si>
  <si>
    <t xml:space="preserve">CONVERT(273.0,"cup","l")</t>
  </si>
  <si>
    <t xml:space="preserve">CONVERT(484.0,"mm3","Schooner")</t>
  </si>
  <si>
    <t xml:space="preserve">CONVERT(275.0,"lt","tspm")</t>
  </si>
  <si>
    <t xml:space="preserve">CONVERT(95.0,"m^2","acre")</t>
  </si>
  <si>
    <t xml:space="preserve">CONVERT(427.838,"pica2","in2")</t>
  </si>
  <si>
    <t xml:space="preserve">CONVERT(222.6,"ang2","Morgen")</t>
  </si>
  <si>
    <t xml:space="preserve">CONVERT(175.086,"us_acre","pica2")</t>
  </si>
  <si>
    <t xml:space="preserve">CONVERT(430.6,"km2","pica2")</t>
  </si>
  <si>
    <t xml:space="preserve">CONVERT(269.2,"ft2","cm2")</t>
  </si>
  <si>
    <t xml:space="preserve">CONVERT(265.0,"dam2","ft2")</t>
  </si>
  <si>
    <t xml:space="preserve">CONVERT(146.0,"uk_acre","ang2")</t>
  </si>
  <si>
    <t xml:space="preserve">CONVERT(99.858,"ang2","acre")</t>
  </si>
  <si>
    <t xml:space="preserve">CONVERT(35.649,"in2","ly2")</t>
  </si>
  <si>
    <t xml:space="preserve">CONVERT(383.9,"km2","Pica2")</t>
  </si>
  <si>
    <t xml:space="preserve">CONVERT(425.3,"ang2","pica2")</t>
  </si>
  <si>
    <t xml:space="preserve">CONVERT(-36.953,"yd2","Pica2")</t>
  </si>
  <si>
    <t xml:space="preserve">CONVERT(266.526,"us_acre","km2")</t>
  </si>
  <si>
    <t xml:space="preserve">CONVERT(345.2,"uk_acre","cm2")</t>
  </si>
  <si>
    <t xml:space="preserve">CONVERT(227.693,"dam2","km2")</t>
  </si>
  <si>
    <t xml:space="preserve">CONVERT(318.517,"ang2","pica2")</t>
  </si>
  <si>
    <t xml:space="preserve">CONVERT(247.395,"dam2","ft2")</t>
  </si>
  <si>
    <t xml:space="preserve">CONVERT(387.9,"Nmi2","m2")</t>
  </si>
  <si>
    <t xml:space="preserve">CONVERT(51.3,"acre","ar")</t>
  </si>
  <si>
    <t xml:space="preserve">CONVERT(179.0,"yd2","Nmi2")</t>
  </si>
  <si>
    <t xml:space="preserve">CONVERT(113.8,"us_acre","uk_acre")</t>
  </si>
  <si>
    <t xml:space="preserve">CONVERT(149.0,"ly2","m^2")</t>
  </si>
  <si>
    <t xml:space="preserve">CONVERT(478.0,"Morgen","km2")</t>
  </si>
  <si>
    <t xml:space="preserve">CONVERT(140.0,"ha","ly2")</t>
  </si>
  <si>
    <t xml:space="preserve">CONVERT(278.3,"kar","mm2")</t>
  </si>
  <si>
    <t xml:space="preserve">CONVERT(358.0,"dam2","mi2")</t>
  </si>
  <si>
    <t xml:space="preserve">CONVERT(11.0,"us_acre","Pica2")</t>
  </si>
  <si>
    <t xml:space="preserve">CONVERT(-21.0,"dam2","kar")</t>
  </si>
  <si>
    <t xml:space="preserve">CONVERT(184.1,"mm2","kar")</t>
  </si>
  <si>
    <t xml:space="preserve">CONVERT(102.4,"m2","ha")</t>
  </si>
  <si>
    <t xml:space="preserve">CONVERT(242.0,"Nmi2","ly2")</t>
  </si>
  <si>
    <t xml:space="preserve">CONVERT(125.854,"mi2","mm2")</t>
  </si>
  <si>
    <t xml:space="preserve">CONVERT(477.0,"acre","Pica2")</t>
  </si>
  <si>
    <t xml:space="preserve">CONVERT(337.0,"yd2","mi2")</t>
  </si>
  <si>
    <t xml:space="preserve">CONVERT(253.0,"us_acre","uk_acre")</t>
  </si>
  <si>
    <t xml:space="preserve">CONVERT(413.0,"mi2","us_acre")</t>
  </si>
  <si>
    <t xml:space="preserve">CONVERT(240.7,"in2","kar")</t>
  </si>
  <si>
    <t xml:space="preserve">CONVERT(339.0,"Morgen","mi2")</t>
  </si>
  <si>
    <t xml:space="preserve">CONVERT(364.955,"ang2","picapt2")</t>
  </si>
  <si>
    <t xml:space="preserve">CONVERT(125.3,"km/s","mm/s")</t>
  </si>
  <si>
    <t xml:space="preserve">CONVERT(436.16,"km/h","cm/s")</t>
  </si>
  <si>
    <t xml:space="preserve">CONVERT(138.0,"m/s","ludicrous speed")</t>
  </si>
  <si>
    <t xml:space="preserve">CONVERT(-15.6,"km/h","mph")</t>
  </si>
  <si>
    <t xml:space="preserve">CONVERT(152.413,"km/h","m/h")</t>
  </si>
  <si>
    <t xml:space="preserve">CONVERT(265.567,"ridiculous speed","m/s")</t>
  </si>
  <si>
    <t xml:space="preserve">CONVERT(55.2,"km/s","ludicrous speed")</t>
  </si>
  <si>
    <t xml:space="preserve">CONVERT(39.0,"kn","mph")</t>
  </si>
  <si>
    <t xml:space="preserve">CONVERT(333.0,"ridiculous speed","ridiculous speed")</t>
  </si>
  <si>
    <t xml:space="preserve">CONVERT(4.0,"mph","mph")</t>
  </si>
  <si>
    <t xml:space="preserve">CONVERT(258.906,"m/h","m/hr")</t>
  </si>
  <si>
    <t xml:space="preserve">CONVERT(193.2,"m/s","kn")</t>
  </si>
  <si>
    <t xml:space="preserve">CONVERT(451.1,"km/h","ridiculous speed")</t>
  </si>
  <si>
    <t xml:space="preserve">CONVERT(217.0,"mph","m/h")</t>
  </si>
  <si>
    <t xml:space="preserve">CONVERT(185.0,"m/s","m/h")</t>
  </si>
  <si>
    <t xml:space="preserve">CONVERT(217.731,"km/h","ridiculous speed")</t>
  </si>
  <si>
    <t xml:space="preserve">CONVERT(238.7,"kn","m/sec")</t>
  </si>
  <si>
    <t xml:space="preserve">CONVERT(197.2,"km/s","admkn")</t>
  </si>
  <si>
    <t xml:space="preserve">CONVERT(286.941,"mm/s","cm/s")</t>
  </si>
  <si>
    <t xml:space="preserve">CONVERT(442.8,"m/hr","mm/s")</t>
  </si>
  <si>
    <t xml:space="preserve">CONVERT(187.0,"mm/s","km/s")</t>
  </si>
  <si>
    <t xml:space="preserve">CONVERT(34.0,"km/h","m/hr")</t>
  </si>
  <si>
    <t xml:space="preserve">CONVERT(269.7,"m/h","km/h")</t>
  </si>
  <si>
    <t xml:space="preserve">CONVERT(475.7,"km/h","mph")</t>
  </si>
  <si>
    <t xml:space="preserve">CONVERT(304.066,"m/sec","mph")</t>
  </si>
  <si>
    <t xml:space="preserve">CONVERT(433.8,"m/hr","km/s")</t>
  </si>
  <si>
    <t xml:space="preserve">CONVERT(44.0,"m/s","m/sec")</t>
  </si>
  <si>
    <t xml:space="preserve">CONVERT(98.834,"m/sec","admkn")</t>
  </si>
  <si>
    <t xml:space="preserve">CONVERT(393.0,"m/hr","m/s")</t>
  </si>
  <si>
    <t xml:space="preserve">CONVERT(69.0,"km/h","cm/s")</t>
  </si>
  <si>
    <t xml:space="preserve">CONVERT(491.0,"mm/s","mph")</t>
  </si>
  <si>
    <t xml:space="preserve">CONVERT(440.9,"m/h","mm/s")</t>
  </si>
  <si>
    <t xml:space="preserve">CONVERT(49.0,"cm/s","m/s")</t>
  </si>
  <si>
    <t xml:space="preserve">CONVERT(140.6,"kn","m/sec")</t>
  </si>
  <si>
    <t xml:space="preserve">CONVERT(147.41,"m/s","km/h")</t>
  </si>
  <si>
    <t xml:space="preserve">CONVERT(416.0,"ludicrous speed","admkn")</t>
  </si>
  <si>
    <t xml:space="preserve">CONVERT(5.0,"mph","ridiculous speed")</t>
  </si>
  <si>
    <t xml:space="preserve">CONVERT(317.0,"ridiculous speed","mph")</t>
  </si>
  <si>
    <t xml:space="preserve">CONVERT(417.282,"m/h","ridiculous speed")</t>
  </si>
  <si>
    <t xml:space="preserve">CONVERT(250.3,"km/h","m/h")</t>
  </si>
  <si>
    <t xml:space="preserve">CONVERT(447.7,"Gibit","Mibyte")</t>
  </si>
  <si>
    <t xml:space="preserve">CONVERT(339.0,"Mbyte","byte")</t>
  </si>
  <si>
    <t xml:space="preserve">CONVERT(143.0,"Yibyte","Gibyte")</t>
  </si>
  <si>
    <t xml:space="preserve">CONVERT(411.0,"mibit","Tibit")</t>
  </si>
  <si>
    <t xml:space="preserve">CONVERT(318.179,"kbyte","kbyte")</t>
  </si>
  <si>
    <t xml:space="preserve">CONVERT(422.0,"Mbyte","kbyte")</t>
  </si>
  <si>
    <t xml:space="preserve">CONVERT(-5.91,"Pibyte","kibit")</t>
  </si>
  <si>
    <t xml:space="preserve">CONVERT(446.8,"mibit","kbit")</t>
  </si>
  <si>
    <t xml:space="preserve">CONVERT(429.726,"Tbyte","Pibyte")</t>
  </si>
  <si>
    <t xml:space="preserve">CONVERT(306.0,"bit","Zibyte")</t>
  </si>
  <si>
    <t xml:space="preserve">CONVERT(486.3,"Pibyte","Pibyte")</t>
  </si>
  <si>
    <t xml:space="preserve">CONVERT(104.0,"Gibit","mibit")</t>
  </si>
  <si>
    <t xml:space="preserve">CONVERT(167.0,"kbyte","Mibyte")</t>
  </si>
  <si>
    <t xml:space="preserve">CONVERT(6.0,"Yibyte","Yibyte")</t>
  </si>
  <si>
    <t xml:space="preserve">CONVERT(-46.0,"Yibyte","Yibyte")</t>
  </si>
  <si>
    <t xml:space="preserve">CONVERT(380.686,"kibyte","Tibit")</t>
  </si>
  <si>
    <t xml:space="preserve">CONVERT(351.0,"Gbit","kibit")</t>
  </si>
  <si>
    <t xml:space="preserve">CONVERT(189.9,"kiBit","kibyte")</t>
  </si>
  <si>
    <t xml:space="preserve">CONVERT(64.515,"Tibit","Gibit")</t>
  </si>
  <si>
    <t xml:space="preserve">CONVERT(60.4,"kbit","Zibyte")</t>
  </si>
  <si>
    <t xml:space="preserve">CONVERT(320.0,"Mibit","Mibyte")</t>
  </si>
  <si>
    <t xml:space="preserve">CONVERT(-26.889,"Tibit","Tibit")</t>
  </si>
  <si>
    <t xml:space="preserve">CONVERT(183.0,"kibit","mbit")</t>
  </si>
  <si>
    <t xml:space="preserve">CONVERT(-8.119,"bit","mibit")</t>
  </si>
  <si>
    <t xml:space="preserve">CONVERT(154.0,"mbit","bit")</t>
  </si>
  <si>
    <t xml:space="preserve">CONVERT(447.7,"mibit","Tibit")</t>
  </si>
  <si>
    <t xml:space="preserve">CONVERT(454.0,"Gibyte","kbyte")</t>
  </si>
  <si>
    <t xml:space="preserve">CONVERT(-30.0,"kibyte","Tbyte")</t>
  </si>
  <si>
    <t xml:space="preserve">CONVERT(470.071,"bit","Mbit")</t>
  </si>
  <si>
    <t xml:space="preserve">CONVERT(394.0,"Mibyte","Tbyte")</t>
  </si>
  <si>
    <t xml:space="preserve">CONVERT(300.042,"byte","Zibyte")</t>
  </si>
  <si>
    <t xml:space="preserve">CONVERT(292.6,"Gbit","Mibyte")</t>
  </si>
  <si>
    <t xml:space="preserve">CONVERT(38.0,"kibyte","mibit")</t>
  </si>
  <si>
    <t xml:space="preserve">CONVERT(-32.0,"Mbyte","kibyte")</t>
  </si>
  <si>
    <t xml:space="preserve">CONVERT(5.3,"Eibyte","bit")</t>
  </si>
  <si>
    <t xml:space="preserve">CONVERT(409.6,"Pibyte","Pibyte")</t>
  </si>
  <si>
    <t xml:space="preserve">CONVERT(122.256,"Mibit","Kibit")</t>
  </si>
  <si>
    <t xml:space="preserve">CONVERT(-26.0,"Yibyte","Gbyte")</t>
  </si>
  <si>
    <t xml:space="preserve">CONVERT(248.2,"Gibit","kiBit")</t>
  </si>
  <si>
    <t xml:space="preserve">CONVERT(479.8,"Eibyte","Gibyte")</t>
  </si>
  <si>
    <t xml:space="preserve">CONVERT(37.34,"Wh","ly3")</t>
  </si>
  <si>
    <t xml:space="preserve">CONVERT(23.72,"kbyte","l")</t>
  </si>
  <si>
    <t xml:space="preserve">CONVERT(18.68,"GW","mN")</t>
  </si>
  <si>
    <t xml:space="preserve">CONVERT(11.75,"tbs","m3")</t>
  </si>
  <si>
    <t xml:space="preserve">CONVERT(28.96,"Zibyte","kN")</t>
  </si>
  <si>
    <t xml:space="preserve">CONVERT(77.2,"pica3","lbf")</t>
  </si>
  <si>
    <t xml:space="preserve">CONVERT(12.84,"ridiculous speed","ozm")</t>
  </si>
  <si>
    <t xml:space="preserve">CONVERT(82.5,"kcal","ang")</t>
  </si>
  <si>
    <t xml:space="preserve">CONVERT(45.88,"PS","uT")</t>
  </si>
  <si>
    <t xml:space="preserve">CONVERT(24.63,"btu","ly")</t>
  </si>
  <si>
    <t xml:space="preserve">CONVERT(93.9,"nm","kW")</t>
  </si>
  <si>
    <t xml:space="preserve">CONVERT(58.51,"cwt","hr")</t>
  </si>
  <si>
    <t xml:space="preserve">CONVERT(53.2,"ridiculous speed","pond")</t>
  </si>
  <si>
    <t xml:space="preserve">CONVERT(29.43,"W","kg")</t>
  </si>
  <si>
    <t xml:space="preserve">CONVERT(4.37,"K","pica3")</t>
  </si>
  <si>
    <t xml:space="preserve">CONVERT(73.86,"ang","picapt2")</t>
  </si>
  <si>
    <t xml:space="preserve">CONVERT(0.24,"mPa","cal")</t>
  </si>
  <si>
    <t xml:space="preserve">CONVERT(53.01,"ft","pt")</t>
  </si>
  <si>
    <t xml:space="preserve">CONVERT(49.55,"Eibyte","pt")</t>
  </si>
  <si>
    <t xml:space="preserve">CONVERT(64.7,"Humpen","us_pt")</t>
  </si>
  <si>
    <t xml:space="preserve">CONVERT(59.98,"admkn","ton")</t>
  </si>
  <si>
    <t xml:space="preserve">CONVERT(31.55,"Gibyte","ridiculous speed")</t>
  </si>
  <si>
    <t xml:space="preserve">CONVERT(5.51,"ang2","m/h")</t>
  </si>
  <si>
    <t xml:space="preserve">CONVERT(60.12,"grain","ang")</t>
  </si>
  <si>
    <t xml:space="preserve">CONVERT(65.51,"km3","L")</t>
  </si>
  <si>
    <t xml:space="preserve">CONVERT(87.45,"Morgen","mJ")</t>
  </si>
  <si>
    <t xml:space="preserve">CONVERT(0.8,"l","ms")</t>
  </si>
  <si>
    <t xml:space="preserve">CONVERT(46.03,"MTON","pc")</t>
  </si>
  <si>
    <t xml:space="preserve">CONVERT(15.79,"s","dam2")</t>
  </si>
  <si>
    <t xml:space="preserve">CONVERT(12.92,"psi","kga")</t>
  </si>
  <si>
    <t xml:space="preserve">CONVERT(14.83,"dam3","eV")</t>
  </si>
  <si>
    <t xml:space="preserve">CONVERT(95.15,"m/s","us_pt")</t>
  </si>
  <si>
    <t xml:space="preserve">CONVERT(87.47,"T","ha")</t>
  </si>
  <si>
    <t xml:space="preserve">CONVERT(37.68,"uk_qt","hl")</t>
  </si>
  <si>
    <t xml:space="preserve">CONVERT(26.83,"acre","pica3")</t>
  </si>
  <si>
    <t xml:space="preserve">CONVERT(7.41,"admkn","Mibyte")</t>
  </si>
  <si>
    <t xml:space="preserve">CONVERT(40.18,"m2","uT")</t>
  </si>
  <si>
    <t xml:space="preserve">CONVERT(83.24,"admkn","km/h")</t>
  </si>
  <si>
    <t xml:space="preserve">CONVERT(10.31,"pt","Pica")</t>
  </si>
  <si>
    <t xml:space="preserve">CONVERT(99.47,"tbs","km/s")</t>
  </si>
  <si>
    <t xml:space="preserve">CONVERT(88.91,"Gg","hm")</t>
  </si>
  <si>
    <t xml:space="preserve">CONVERT(42.49,"km3","mT")</t>
  </si>
  <si>
    <t xml:space="preserve">CONVERT(71.02,"Sixpack","in3")</t>
  </si>
  <si>
    <t xml:space="preserve">CONVERT(21.91,"wh","lbm")</t>
  </si>
  <si>
    <t xml:space="preserve">CONVERT(2.56,"Pica3","pica2")</t>
  </si>
  <si>
    <t xml:space="preserve">CONVERT(47.26,"lcwt","Kibit")</t>
  </si>
  <si>
    <t xml:space="preserve">CONVERT(91.77,"mJ","yd2")</t>
  </si>
  <si>
    <t xml:space="preserve">CONVERT(12.82,"cm","kPa")</t>
  </si>
  <si>
    <t xml:space="preserve">CONVERT(24.37,"kg","Yibyte")</t>
  </si>
  <si>
    <t xml:space="preserve">CONVERT(49.59,"C","Pica3")</t>
  </si>
  <si>
    <t xml:space="preserve">CONVERT(38.16,"uk_cwt","km")</t>
  </si>
  <si>
    <t xml:space="preserve">CONVERT(15.74,"mn","mi")</t>
  </si>
  <si>
    <t xml:space="preserve">CONVERT(76.39,"atm","s")</t>
  </si>
  <si>
    <t xml:space="preserve">CONVERT(90.96,"MTON","pt")</t>
  </si>
  <si>
    <t xml:space="preserve">CONVERT(37.09,"in3","day")</t>
  </si>
  <si>
    <t xml:space="preserve">CONVERT(93.79,"GPa","Reau")</t>
  </si>
  <si>
    <t xml:space="preserve">CONVERT(91.53,"Mbyte","ly2")</t>
  </si>
  <si>
    <t xml:space="preserve">CONVERT(52.92,"picapt","barrel")</t>
  </si>
  <si>
    <t xml:space="preserve">CONVERT(84.64,"ug","ga")</t>
  </si>
  <si>
    <t xml:space="preserve">CONVERT(65.47,"m2","lbf")</t>
  </si>
  <si>
    <t xml:space="preserve">CHISQDIST(3,2,1)</t>
  </si>
  <si>
    <t xml:space="preserve">CHISQDIST(3,2,0)</t>
  </si>
  <si>
    <t xml:space="preserve">CHISQDIST(3,2)</t>
  </si>
  <si>
    <t xml:space="preserve">CHISQDIST(-1,2,1)</t>
  </si>
  <si>
    <t xml:space="preserve">CHISQDIST(0,2,0)</t>
  </si>
  <si>
    <t xml:space="preserve">CHISQDIST(0,1,0)</t>
  </si>
  <si>
    <t xml:space="preserve">CHISQDIST(3,0,1)</t>
  </si>
  <si>
    <t xml:space="preserve">CHISQDIST(3,1.9,1)</t>
  </si>
  <si>
    <t xml:space="preserve">CHISQDIST(3,2,5)</t>
  </si>
  <si>
    <t xml:space="preserve">CHISQDIST(3,2,"a")</t>
  </si>
  <si>
    <t xml:space="preserve">CHISQDIST(3,2,TRUE)</t>
  </si>
  <si>
    <t xml:space="preserve">CHISQDIST(3,1E10,1)</t>
  </si>
  <si>
    <t xml:space="preserve">CHISQDIST(3,2E10,1)</t>
  </si>
  <si>
    <t xml:space="preserve">CHISQDIST(3,0.5,1)</t>
  </si>
  <si>
    <t xml:space="preserve">CHISQDIST(3,1E10,0)</t>
  </si>
  <si>
    <t xml:space="preserve">CHISQDIST(1E10,1E10,1)</t>
  </si>
  <si>
    <t xml:space="preserve">CHISQDIST(1E10,1E10,0)</t>
  </si>
  <si>
    <t xml:space="preserve">CHISQDIST(1E5,1E5,0)</t>
  </si>
  <si>
    <t xml:space="preserve">CHISQDIST(1E5,1E5,1)</t>
  </si>
  <si>
    <t xml:space="preserve">CHISQDIST(1E6,1E6,0)</t>
  </si>
  <si>
    <t xml:space="preserve">CHISQDIST(1E3,1E3,0)</t>
  </si>
  <si>
    <t xml:space="preserve">CHISQDIST(1E7,2E7,1)</t>
  </si>
  <si>
    <t xml:space="preserve">CHISQDIST(0.5,1,0)</t>
  </si>
  <si>
    <t xml:space="preserve">CHISQDIST(1,1,0)</t>
  </si>
  <si>
    <t xml:space="preserve">CHISQDIST(100,3,0)</t>
  </si>
  <si>
    <t xml:space="preserve">CHISQDIST(1000,3,0)</t>
  </si>
  <si>
    <t xml:space="preserve">CHISQDIST(1500,3,0)</t>
  </si>
  <si>
    <t xml:space="preserve">CHISQDIST(1400,3,0)</t>
  </si>
  <si>
    <t xml:space="preserve">CHISQDIST(-0.0001,3,0)</t>
  </si>
  <si>
    <t xml:space="preserve">CHISQINV(0.5,2)</t>
  </si>
  <si>
    <t xml:space="preserve">CHISQINV(0,2)</t>
  </si>
  <si>
    <t xml:space="preserve">CHISQINV(1,2)</t>
  </si>
  <si>
    <t xml:space="preserve">CHISQINV(1.1,2)</t>
  </si>
  <si>
    <t xml:space="preserve">CHISQINV(-0.1,2)</t>
  </si>
  <si>
    <t xml:space="preserve">CHISQINV(0.5,0)</t>
  </si>
  <si>
    <t xml:space="preserve">CHISQINV(0.5,1.5)</t>
  </si>
  <si>
    <t xml:space="preserve">CHISQINV(0.99999,3)</t>
  </si>
  <si>
    <t xml:space="preserve">CHISQINV(1E-10,3)</t>
  </si>
  <si>
    <t xml:space="preserve">CHISQINV(0.5,1E10)</t>
  </si>
  <si>
    <t xml:space="preserve">CHISQINV(0.5,2E10)</t>
  </si>
  <si>
    <t xml:space="preserve">CHISQINV(0.5,1E6)</t>
  </si>
  <si>
    <t xml:space="preserve">CHISQINV(0.001,50)</t>
  </si>
  <si>
    <t xml:space="preserve">CHISQINV(0.999,50)</t>
  </si>
  <si>
    <t xml:space="preserve">CHISQINV(0.9999999,1)</t>
  </si>
  <si>
    <t xml:space="preserve">CHISQINV(0.5,"a")</t>
  </si>
  <si>
    <t xml:space="preserve">CHISQINV(0.5,2.999)</t>
  </si>
  <si>
    <t xml:space="preserve">CHISQDIST(28.89,5,0)</t>
  </si>
  <si>
    <t xml:space="preserve">CHISQINV(0.946,10)</t>
  </si>
  <si>
    <t xml:space="preserve">CHISQDIST(20.96,2,1)</t>
  </si>
  <si>
    <t xml:space="preserve">CHISQINV(0.078,2)</t>
  </si>
  <si>
    <t xml:space="preserve">CHISQDIST(2.14,3,1)</t>
  </si>
  <si>
    <t xml:space="preserve">CHISQINV(0.537,30)</t>
  </si>
  <si>
    <t xml:space="preserve">CHISQDIST(8.9,2,0)</t>
  </si>
  <si>
    <t xml:space="preserve">CHISQINV(0.159,5)</t>
  </si>
  <si>
    <t xml:space="preserve">CHISQDIST(79.01,2,1)</t>
  </si>
  <si>
    <t xml:space="preserve">CHISQINV(0.069,10)</t>
  </si>
  <si>
    <t xml:space="preserve">CHISQDIST(47.45,30,1)</t>
  </si>
  <si>
    <t xml:space="preserve">CHISQINV(0.107,100)</t>
  </si>
  <si>
    <t xml:space="preserve">CHISQDIST(55.53,100,1)</t>
  </si>
  <si>
    <t xml:space="preserve">CHISQINV(0.049,2)</t>
  </si>
  <si>
    <t xml:space="preserve">CHISQDIST(62.61,2,1)</t>
  </si>
  <si>
    <t xml:space="preserve">CHISQINV(0.534,2)</t>
  </si>
  <si>
    <t xml:space="preserve">CHISQDIST(61.15,10,1)</t>
  </si>
  <si>
    <t xml:space="preserve">CHISQINV(0.377,100)</t>
  </si>
  <si>
    <t xml:space="preserve">CHISQDIST(43.47,2,1)</t>
  </si>
  <si>
    <t xml:space="preserve">CHISQINV(0.344,3)</t>
  </si>
  <si>
    <t xml:space="preserve">CHISQDIST(78.76,1,1)</t>
  </si>
  <si>
    <t xml:space="preserve">CHISQINV(0.176,3)</t>
  </si>
  <si>
    <t xml:space="preserve">CHISQDIST(30.5,100,1)</t>
  </si>
  <si>
    <t xml:space="preserve">CHISQINV(0.691,10)</t>
  </si>
  <si>
    <t xml:space="preserve">CHISQDIST(50.0,10,1)</t>
  </si>
  <si>
    <t xml:space="preserve">CHISQINV(0.303,30)</t>
  </si>
  <si>
    <t xml:space="preserve">CHISQDIST(38.25,2,0)</t>
  </si>
  <si>
    <t xml:space="preserve">CHISQINV(0.58,30)</t>
  </si>
  <si>
    <t xml:space="preserve">CHISQDIST(64.86,30,1)</t>
  </si>
  <si>
    <t xml:space="preserve">CHISQINV(0.445,3)</t>
  </si>
  <si>
    <t xml:space="preserve">CHISQDIST(10.6,10,0)</t>
  </si>
  <si>
    <t xml:space="preserve">CHISQINV(0.54,1)</t>
  </si>
  <si>
    <t xml:space="preserve">CHISQDIST(50.41,30,0)</t>
  </si>
  <si>
    <t xml:space="preserve">CHISQINV(0.702,3)</t>
  </si>
  <si>
    <t xml:space="preserve">CHISQDIST(19.76,3,1)</t>
  </si>
  <si>
    <t xml:space="preserve">CHISQINV(0.477,1)</t>
  </si>
  <si>
    <t xml:space="preserve">CHISQDIST(17.8,5,0)</t>
  </si>
  <si>
    <t xml:space="preserve">CHISQINV(0.443,100)</t>
  </si>
  <si>
    <t xml:space="preserve">CHISQDIST(51.62,5,1)</t>
  </si>
  <si>
    <t xml:space="preserve">CHISQINV(0.274,2)</t>
  </si>
  <si>
    <t xml:space="preserve">CHISQDIST(47.47,1,0)</t>
  </si>
  <si>
    <t xml:space="preserve">CHISQINV(0.485,3)</t>
  </si>
  <si>
    <t xml:space="preserve">CHISQDIST(53.33,2,0)</t>
  </si>
  <si>
    <t xml:space="preserve">CHISQINV(0.196,100)</t>
  </si>
  <si>
    <t xml:space="preserve">CHISQDIST(50.64,10,0)</t>
  </si>
  <si>
    <t xml:space="preserve">CHISQINV(0.016,30)</t>
  </si>
  <si>
    <t xml:space="preserve">CHISQDIST(57.42,30,1)</t>
  </si>
  <si>
    <t xml:space="preserve">CHISQINV(0.885,2)</t>
  </si>
  <si>
    <t xml:space="preserve">CHISQDIST(57.89,3,0)</t>
  </si>
  <si>
    <t xml:space="preserve">CHISQINV(0.061,30)</t>
  </si>
  <si>
    <t xml:space="preserve">CHISQDIST(47.27,5,0)</t>
  </si>
  <si>
    <t xml:space="preserve">CHISQINV(0.312,2)</t>
  </si>
  <si>
    <t xml:space="preserve">CHISQDIST(12.29,100,0)</t>
  </si>
  <si>
    <t xml:space="preserve">CHISQINV(0.691,30)</t>
  </si>
  <si>
    <t xml:space="preserve">CHISQDIST(57.44,10,0)</t>
  </si>
  <si>
    <t xml:space="preserve">CHISQINV(0.357,1)</t>
  </si>
  <si>
    <t xml:space="preserve">CHISQDIST(8.97,100,1)</t>
  </si>
  <si>
    <t xml:space="preserve">CHISQINV(0.991,1)</t>
  </si>
  <si>
    <t xml:space="preserve">CHISQDIST(38.93,3,1)</t>
  </si>
  <si>
    <t xml:space="preserve">CHISQINV(0.726,3)</t>
  </si>
  <si>
    <t xml:space="preserve">CHISQDIST(9.41,30,0)</t>
  </si>
  <si>
    <t xml:space="preserve">CHISQINV(0.368,1)</t>
  </si>
  <si>
    <t xml:space="preserve">CHISQDIST(78.95,2,1)</t>
  </si>
  <si>
    <t xml:space="preserve">CHISQINV(0.502,10)</t>
  </si>
  <si>
    <t xml:space="preserve">CHISQDIST(4.49,10,1)</t>
  </si>
  <si>
    <t xml:space="preserve">CHISQINV(0.344,5)</t>
  </si>
  <si>
    <t xml:space="preserve">CHISQDIST(12.19,30,0)</t>
  </si>
  <si>
    <t xml:space="preserve">CHISQINV(0.867,5)</t>
  </si>
  <si>
    <t xml:space="preserve">CHISQDIST(15.91,30,0)</t>
  </si>
  <si>
    <t xml:space="preserve">CHISQINV(0.552,1)</t>
  </si>
  <si>
    <t xml:space="preserve">CHISQDIST(52.62,100,0)</t>
  </si>
  <si>
    <t xml:space="preserve">CHISQINV(0.753,2)</t>
  </si>
  <si>
    <t xml:space="preserve">CHISQDIST(26.06,30,0)</t>
  </si>
  <si>
    <t xml:space="preserve">CHISQINV(0.176,10)</t>
  </si>
  <si>
    <t xml:space="preserve">CHISQDIST(49.53,5,0)</t>
  </si>
  <si>
    <t xml:space="preserve">CHISQINV(0.458,10)</t>
  </si>
  <si>
    <t xml:space="preserve">CHISQDIST(8.41,1,1)</t>
  </si>
  <si>
    <t xml:space="preserve">CHISQINV(0.059,100)</t>
  </si>
  <si>
    <t xml:space="preserve">CHISQDIST(61.51,5,0)</t>
  </si>
  <si>
    <t xml:space="preserve">CHISQINV(0.143,100)</t>
  </si>
  <si>
    <t xml:space="preserve">_xlfn.ORG.LIBREOFFICE.WEEKNUM_OOO(DATE(2024,1,7),0)</t>
  </si>
  <si>
    <t xml:space="preserve">_xlfn.ORG.LIBREOFFICE.WEEKNUM_OOO(DATE(2024,1,1),0)</t>
  </si>
  <si>
    <t xml:space="preserve">_xlfn.ORG.LIBREOFFICE.WEEKNUM_OOO(DATE(2024,12,30),0)</t>
  </si>
  <si>
    <t xml:space="preserve">_xlfn.ORG.LIBREOFFICE.WEEKNUM_OOO(DATE(2021,1,1),0)</t>
  </si>
  <si>
    <t xml:space="preserve">_xlfn.ORG.LIBREOFFICE.WEEKNUM_OOO(DATE(2023,1,1),0)</t>
  </si>
  <si>
    <t xml:space="preserve">_xlfn.ORG.LIBREOFFICE.WEEKNUM_OOO(DATE(2022,12,31),0)</t>
  </si>
  <si>
    <t xml:space="preserve">_xlfn.ORG.LIBREOFFICE.WEEKNUM_OOO(DATE(2026,12,31),0)</t>
  </si>
  <si>
    <t xml:space="preserve">_xlfn.ORG.LIBREOFFICE.WEEKNUM_OOO(DATE(1900,1,1),0)</t>
  </si>
  <si>
    <t xml:space="preserve">_xlfn.ORG.LIBREOFFICE.WEEKNUM_OOO(DATE(1900,3,1),0)</t>
  </si>
  <si>
    <t xml:space="preserve">_xlfn.ORG.LIBREOFFICE.WEEKNUM_OOO(DATE(2024,1,7),1)</t>
  </si>
  <si>
    <t xml:space="preserve">_xlfn.ORG.LIBREOFFICE.WEEKNUM_OOO(DATE(2024,1,1),1)</t>
  </si>
  <si>
    <t xml:space="preserve">_xlfn.ORG.LIBREOFFICE.WEEKNUM_OOO(DATE(2024,12,30),1)</t>
  </si>
  <si>
    <t xml:space="preserve">_xlfn.ORG.LIBREOFFICE.WEEKNUM_OOO(DATE(2021,1,1),1)</t>
  </si>
  <si>
    <t xml:space="preserve">_xlfn.ORG.LIBREOFFICE.WEEKNUM_OOO(DATE(2023,1,1),1)</t>
  </si>
  <si>
    <t xml:space="preserve">_xlfn.ORG.LIBREOFFICE.WEEKNUM_OOO(DATE(2022,12,31),1)</t>
  </si>
  <si>
    <t xml:space="preserve">_xlfn.ORG.LIBREOFFICE.WEEKNUM_OOO(DATE(2026,12,31),1)</t>
  </si>
  <si>
    <t xml:space="preserve">_xlfn.ORG.LIBREOFFICE.WEEKNUM_OOO(DATE(1900,1,1),1)</t>
  </si>
  <si>
    <t xml:space="preserve">_xlfn.ORG.LIBREOFFICE.WEEKNUM_OOO(DATE(1900,3,1),1)</t>
  </si>
  <si>
    <t xml:space="preserve">_xlfn.ORG.LIBREOFFICE.WEEKNUM_OOO(DATE(2024,1,7),2)</t>
  </si>
  <si>
    <t xml:space="preserve">_xlfn.ORG.LIBREOFFICE.WEEKNUM_OOO(DATE(2024,1,1),2)</t>
  </si>
  <si>
    <t xml:space="preserve">_xlfn.ORG.LIBREOFFICE.WEEKNUM_OOO(DATE(2024,12,30),2)</t>
  </si>
  <si>
    <t xml:space="preserve">_xlfn.ORG.LIBREOFFICE.WEEKNUM_OOO(DATE(2021,1,1),2)</t>
  </si>
  <si>
    <t xml:space="preserve">_xlfn.ORG.LIBREOFFICE.WEEKNUM_OOO(DATE(2023,1,1),2)</t>
  </si>
  <si>
    <t xml:space="preserve">_xlfn.ORG.LIBREOFFICE.WEEKNUM_OOO(DATE(2022,12,31),2)</t>
  </si>
  <si>
    <t xml:space="preserve">_xlfn.ORG.LIBREOFFICE.WEEKNUM_OOO(DATE(2026,12,31),2)</t>
  </si>
  <si>
    <t xml:space="preserve">_xlfn.ORG.LIBREOFFICE.WEEKNUM_OOO(DATE(1900,1,1),2)</t>
  </si>
  <si>
    <t xml:space="preserve">_xlfn.ORG.LIBREOFFICE.WEEKNUM_OOO(DATE(1900,3,1),2)</t>
  </si>
  <si>
    <t xml:space="preserve">_xlfn.ORG.LIBREOFFICE.WEEKNUM_OOO(DATE(2024,1,7),3)</t>
  </si>
  <si>
    <t xml:space="preserve">_xlfn.ORG.LIBREOFFICE.WEEKNUM_OOO(DATE(2024,1,1),3)</t>
  </si>
  <si>
    <t xml:space="preserve">_xlfn.ORG.LIBREOFFICE.WEEKNUM_OOO(DATE(2024,12,30),3)</t>
  </si>
  <si>
    <t xml:space="preserve">_xlfn.ORG.LIBREOFFICE.WEEKNUM_OOO(DATE(2021,1,1),3)</t>
  </si>
  <si>
    <t xml:space="preserve">_xlfn.ORG.LIBREOFFICE.WEEKNUM_OOO(DATE(2023,1,1),3)</t>
  </si>
  <si>
    <t xml:space="preserve">_xlfn.ORG.LIBREOFFICE.WEEKNUM_OOO(DATE(2022,12,31),3)</t>
  </si>
  <si>
    <t xml:space="preserve">_xlfn.ORG.LIBREOFFICE.WEEKNUM_OOO(DATE(2026,12,31),3)</t>
  </si>
  <si>
    <t xml:space="preserve">_xlfn.ORG.LIBREOFFICE.WEEKNUM_OOO(DATE(1900,1,1),3)</t>
  </si>
  <si>
    <t xml:space="preserve">_xlfn.ORG.LIBREOFFICE.WEEKNUM_OOO(DATE(1900,3,1),3)</t>
  </si>
  <si>
    <t xml:space="preserve">_xlfn.ORG.LIBREOFFICE.WEEKNUM_OOO(DATE(2024,1,7),10)</t>
  </si>
  <si>
    <t xml:space="preserve">_xlfn.ORG.LIBREOFFICE.WEEKNUM_OOO(DATE(2024,1,1),10)</t>
  </si>
  <si>
    <t xml:space="preserve">_xlfn.ORG.LIBREOFFICE.WEEKNUM_OOO(DATE(2024,12,30),10)</t>
  </si>
  <si>
    <t xml:space="preserve">_xlfn.ORG.LIBREOFFICE.WEEKNUM_OOO(DATE(2021,1,1),10)</t>
  </si>
  <si>
    <t xml:space="preserve">_xlfn.ORG.LIBREOFFICE.WEEKNUM_OOO(DATE(2023,1,1),10)</t>
  </si>
  <si>
    <t xml:space="preserve">_xlfn.ORG.LIBREOFFICE.WEEKNUM_OOO(DATE(2022,12,31),10)</t>
  </si>
  <si>
    <t xml:space="preserve">_xlfn.ORG.LIBREOFFICE.WEEKNUM_OOO(DATE(2026,12,31),10)</t>
  </si>
  <si>
    <t xml:space="preserve">_xlfn.ORG.LIBREOFFICE.WEEKNUM_OOO(DATE(1900,1,1),10)</t>
  </si>
  <si>
    <t xml:space="preserve">_xlfn.ORG.LIBREOFFICE.WEEKNUM_OOO(DATE(1900,3,1),10)</t>
  </si>
  <si>
    <t xml:space="preserve">_xlfn.ORG.LIBREOFFICE.WEEKNUM_OOO(DATE(2024,1,7),11)</t>
  </si>
  <si>
    <t xml:space="preserve">_xlfn.ORG.LIBREOFFICE.WEEKNUM_OOO(DATE(2024,1,1),11)</t>
  </si>
  <si>
    <t xml:space="preserve">_xlfn.ORG.LIBREOFFICE.WEEKNUM_OOO(DATE(2024,12,30),11)</t>
  </si>
  <si>
    <t xml:space="preserve">_xlfn.ORG.LIBREOFFICE.WEEKNUM_OOO(DATE(2021,1,1),11)</t>
  </si>
  <si>
    <t xml:space="preserve">_xlfn.ORG.LIBREOFFICE.WEEKNUM_OOO(DATE(2023,1,1),11)</t>
  </si>
  <si>
    <t xml:space="preserve">_xlfn.ORG.LIBREOFFICE.WEEKNUM_OOO(DATE(2022,12,31),11)</t>
  </si>
  <si>
    <t xml:space="preserve">_xlfn.ORG.LIBREOFFICE.WEEKNUM_OOO(DATE(2026,12,31),11)</t>
  </si>
  <si>
    <t xml:space="preserve">_xlfn.ORG.LIBREOFFICE.WEEKNUM_OOO(DATE(1900,1,1),11)</t>
  </si>
  <si>
    <t xml:space="preserve">_xlfn.ORG.LIBREOFFICE.WEEKNUM_OOO(DATE(1900,3,1),11)</t>
  </si>
  <si>
    <t xml:space="preserve">_xlfn.ORG.LIBREOFFICE.WEEKNUM_OOO(DATE(2024,1,7),12)</t>
  </si>
  <si>
    <t xml:space="preserve">_xlfn.ORG.LIBREOFFICE.WEEKNUM_OOO(DATE(2024,1,1),12)</t>
  </si>
  <si>
    <t xml:space="preserve">_xlfn.ORG.LIBREOFFICE.WEEKNUM_OOO(DATE(2024,12,30),12)</t>
  </si>
  <si>
    <t xml:space="preserve">_xlfn.ORG.LIBREOFFICE.WEEKNUM_OOO(DATE(2021,1,1),12)</t>
  </si>
  <si>
    <t xml:space="preserve">_xlfn.ORG.LIBREOFFICE.WEEKNUM_OOO(DATE(2023,1,1),12)</t>
  </si>
  <si>
    <t xml:space="preserve">_xlfn.ORG.LIBREOFFICE.WEEKNUM_OOO(DATE(2022,12,31),12)</t>
  </si>
  <si>
    <t xml:space="preserve">_xlfn.ORG.LIBREOFFICE.WEEKNUM_OOO(DATE(2026,12,31),12)</t>
  </si>
  <si>
    <t xml:space="preserve">_xlfn.ORG.LIBREOFFICE.WEEKNUM_OOO(DATE(1900,1,1),12)</t>
  </si>
  <si>
    <t xml:space="preserve">_xlfn.ORG.LIBREOFFICE.WEEKNUM_OOO(DATE(1900,3,1),12)</t>
  </si>
  <si>
    <t xml:space="preserve">_xlfn.ORG.LIBREOFFICE.WEEKNUM_OOO(DATE(2024,1,7),13)</t>
  </si>
  <si>
    <t xml:space="preserve">_xlfn.ORG.LIBREOFFICE.WEEKNUM_OOO(DATE(2024,1,1),13)</t>
  </si>
  <si>
    <t xml:space="preserve">_xlfn.ORG.LIBREOFFICE.WEEKNUM_OOO(DATE(2024,12,30),13)</t>
  </si>
  <si>
    <t xml:space="preserve">_xlfn.ORG.LIBREOFFICE.WEEKNUM_OOO(DATE(2021,1,1),13)</t>
  </si>
  <si>
    <t xml:space="preserve">_xlfn.ORG.LIBREOFFICE.WEEKNUM_OOO(DATE(2023,1,1),13)</t>
  </si>
  <si>
    <t xml:space="preserve">_xlfn.ORG.LIBREOFFICE.WEEKNUM_OOO(DATE(2022,12,31),13)</t>
  </si>
  <si>
    <t xml:space="preserve">_xlfn.ORG.LIBREOFFICE.WEEKNUM_OOO(DATE(2026,12,31),13)</t>
  </si>
  <si>
    <t xml:space="preserve">_xlfn.ORG.LIBREOFFICE.WEEKNUM_OOO(DATE(1900,1,1),13)</t>
  </si>
  <si>
    <t xml:space="preserve">_xlfn.ORG.LIBREOFFICE.WEEKNUM_OOO(DATE(1900,3,1),13)</t>
  </si>
  <si>
    <t xml:space="preserve">_xlfn.ORG.LIBREOFFICE.WEEKNUM_OOO(DATE(2024,1,7),14)</t>
  </si>
  <si>
    <t xml:space="preserve">_xlfn.ORG.LIBREOFFICE.WEEKNUM_OOO(DATE(2024,1,1),14)</t>
  </si>
  <si>
    <t xml:space="preserve">_xlfn.ORG.LIBREOFFICE.WEEKNUM_OOO(DATE(2024,12,30),14)</t>
  </si>
  <si>
    <t xml:space="preserve">_xlfn.ORG.LIBREOFFICE.WEEKNUM_OOO(DATE(2021,1,1),14)</t>
  </si>
  <si>
    <t xml:space="preserve">_xlfn.ORG.LIBREOFFICE.WEEKNUM_OOO(DATE(2023,1,1),14)</t>
  </si>
  <si>
    <t xml:space="preserve">_xlfn.ORG.LIBREOFFICE.WEEKNUM_OOO(DATE(2022,12,31),14)</t>
  </si>
  <si>
    <t xml:space="preserve">_xlfn.ORG.LIBREOFFICE.WEEKNUM_OOO(DATE(2026,12,31),14)</t>
  </si>
  <si>
    <t xml:space="preserve">_xlfn.ORG.LIBREOFFICE.WEEKNUM_OOO(DATE(1900,1,1),14)</t>
  </si>
  <si>
    <t xml:space="preserve">_xlfn.ORG.LIBREOFFICE.WEEKNUM_OOO(DATE(1900,3,1),14)</t>
  </si>
  <si>
    <t xml:space="preserve">_xlfn.ORG.LIBREOFFICE.WEEKNUM_OOO(DATE(2024,1,7),15)</t>
  </si>
  <si>
    <t xml:space="preserve">_xlfn.ORG.LIBREOFFICE.WEEKNUM_OOO(DATE(2024,1,1),15)</t>
  </si>
  <si>
    <t xml:space="preserve">_xlfn.ORG.LIBREOFFICE.WEEKNUM_OOO(DATE(2024,12,30),15)</t>
  </si>
  <si>
    <t xml:space="preserve">_xlfn.ORG.LIBREOFFICE.WEEKNUM_OOO(DATE(2021,1,1),15)</t>
  </si>
  <si>
    <t xml:space="preserve">_xlfn.ORG.LIBREOFFICE.WEEKNUM_OOO(DATE(2023,1,1),15)</t>
  </si>
  <si>
    <t xml:space="preserve">_xlfn.ORG.LIBREOFFICE.WEEKNUM_OOO(DATE(2022,12,31),15)</t>
  </si>
  <si>
    <t xml:space="preserve">_xlfn.ORG.LIBREOFFICE.WEEKNUM_OOO(DATE(2026,12,31),15)</t>
  </si>
  <si>
    <t xml:space="preserve">_xlfn.ORG.LIBREOFFICE.WEEKNUM_OOO(DATE(1900,1,1),15)</t>
  </si>
  <si>
    <t xml:space="preserve">_xlfn.ORG.LIBREOFFICE.WEEKNUM_OOO(DATE(1900,3,1),15)</t>
  </si>
  <si>
    <t xml:space="preserve">_xlfn.ORG.LIBREOFFICE.WEEKNUM_OOO(DATE(2024,1,7),16)</t>
  </si>
  <si>
    <t xml:space="preserve">_xlfn.ORG.LIBREOFFICE.WEEKNUM_OOO(DATE(2024,1,1),16)</t>
  </si>
  <si>
    <t xml:space="preserve">_xlfn.ORG.LIBREOFFICE.WEEKNUM_OOO(DATE(2024,12,30),16)</t>
  </si>
  <si>
    <t xml:space="preserve">_xlfn.ORG.LIBREOFFICE.WEEKNUM_OOO(DATE(2021,1,1),16)</t>
  </si>
  <si>
    <t xml:space="preserve">_xlfn.ORG.LIBREOFFICE.WEEKNUM_OOO(DATE(2023,1,1),16)</t>
  </si>
  <si>
    <t xml:space="preserve">_xlfn.ORG.LIBREOFFICE.WEEKNUM_OOO(DATE(2022,12,31),16)</t>
  </si>
  <si>
    <t xml:space="preserve">_xlfn.ORG.LIBREOFFICE.WEEKNUM_OOO(DATE(2026,12,31),16)</t>
  </si>
  <si>
    <t xml:space="preserve">_xlfn.ORG.LIBREOFFICE.WEEKNUM_OOO(DATE(1900,1,1),16)</t>
  </si>
  <si>
    <t xml:space="preserve">_xlfn.ORG.LIBREOFFICE.WEEKNUM_OOO(DATE(1900,3,1),16)</t>
  </si>
  <si>
    <t xml:space="preserve">_xlfn.ORG.LIBREOFFICE.WEEKNUM_OOO(DATE(2024,1,7),17)</t>
  </si>
  <si>
    <t xml:space="preserve">_xlfn.ORG.LIBREOFFICE.WEEKNUM_OOO(DATE(2024,1,1),17)</t>
  </si>
  <si>
    <t xml:space="preserve">_xlfn.ORG.LIBREOFFICE.WEEKNUM_OOO(DATE(2024,12,30),17)</t>
  </si>
  <si>
    <t xml:space="preserve">_xlfn.ORG.LIBREOFFICE.WEEKNUM_OOO(DATE(2021,1,1),17)</t>
  </si>
  <si>
    <t xml:space="preserve">_xlfn.ORG.LIBREOFFICE.WEEKNUM_OOO(DATE(2023,1,1),17)</t>
  </si>
  <si>
    <t xml:space="preserve">_xlfn.ORG.LIBREOFFICE.WEEKNUM_OOO(DATE(2022,12,31),17)</t>
  </si>
  <si>
    <t xml:space="preserve">_xlfn.ORG.LIBREOFFICE.WEEKNUM_OOO(DATE(2026,12,31),17)</t>
  </si>
  <si>
    <t xml:space="preserve">_xlfn.ORG.LIBREOFFICE.WEEKNUM_OOO(DATE(1900,1,1),17)</t>
  </si>
  <si>
    <t xml:space="preserve">_xlfn.ORG.LIBREOFFICE.WEEKNUM_OOO(DATE(1900,3,1),17)</t>
  </si>
  <si>
    <t xml:space="preserve">_xlfn.ORG.LIBREOFFICE.WEEKNUM_OOO(DATE(2024,1,7),18)</t>
  </si>
  <si>
    <t xml:space="preserve">_xlfn.ORG.LIBREOFFICE.WEEKNUM_OOO(DATE(2024,1,1),18)</t>
  </si>
  <si>
    <t xml:space="preserve">_xlfn.ORG.LIBREOFFICE.WEEKNUM_OOO(DATE(2024,12,30),18)</t>
  </si>
  <si>
    <t xml:space="preserve">_xlfn.ORG.LIBREOFFICE.WEEKNUM_OOO(DATE(2021,1,1),18)</t>
  </si>
  <si>
    <t xml:space="preserve">_xlfn.ORG.LIBREOFFICE.WEEKNUM_OOO(DATE(2023,1,1),18)</t>
  </si>
  <si>
    <t xml:space="preserve">_xlfn.ORG.LIBREOFFICE.WEEKNUM_OOO(DATE(2022,12,31),18)</t>
  </si>
  <si>
    <t xml:space="preserve">_xlfn.ORG.LIBREOFFICE.WEEKNUM_OOO(DATE(2026,12,31),18)</t>
  </si>
  <si>
    <t xml:space="preserve">_xlfn.ORG.LIBREOFFICE.WEEKNUM_OOO(DATE(1900,1,1),18)</t>
  </si>
  <si>
    <t xml:space="preserve">_xlfn.ORG.LIBREOFFICE.WEEKNUM_OOO(DATE(1900,3,1),18)</t>
  </si>
  <si>
    <t xml:space="preserve">_xlfn.ORG.LIBREOFFICE.WEEKNUM_OOO(DATE(2024,1,7),21)</t>
  </si>
  <si>
    <t xml:space="preserve">_xlfn.ORG.LIBREOFFICE.WEEKNUM_OOO(DATE(2024,1,1),21)</t>
  </si>
  <si>
    <t xml:space="preserve">_xlfn.ORG.LIBREOFFICE.WEEKNUM_OOO(DATE(2024,12,30),21)</t>
  </si>
  <si>
    <t xml:space="preserve">_xlfn.ORG.LIBREOFFICE.WEEKNUM_OOO(DATE(2021,1,1),21)</t>
  </si>
  <si>
    <t xml:space="preserve">_xlfn.ORG.LIBREOFFICE.WEEKNUM_OOO(DATE(2023,1,1),21)</t>
  </si>
  <si>
    <t xml:space="preserve">_xlfn.ORG.LIBREOFFICE.WEEKNUM_OOO(DATE(2022,12,31),21)</t>
  </si>
  <si>
    <t xml:space="preserve">_xlfn.ORG.LIBREOFFICE.WEEKNUM_OOO(DATE(2026,12,31),21)</t>
  </si>
  <si>
    <t xml:space="preserve">_xlfn.ORG.LIBREOFFICE.WEEKNUM_OOO(DATE(1900,1,1),21)</t>
  </si>
  <si>
    <t xml:space="preserve">_xlfn.ORG.LIBREOFFICE.WEEKNUM_OOO(DATE(1900,3,1),21)</t>
  </si>
  <si>
    <t xml:space="preserve">_xlfn.ORG.LIBREOFFICE.WEEKNUM_OOO(DATE(2024,1,7),22)</t>
  </si>
  <si>
    <t xml:space="preserve">_xlfn.ORG.LIBREOFFICE.WEEKNUM_OOO(DATE(2024,1,1),22)</t>
  </si>
  <si>
    <t xml:space="preserve">_xlfn.ORG.LIBREOFFICE.WEEKNUM_OOO(DATE(2024,12,30),22)</t>
  </si>
  <si>
    <t xml:space="preserve">_xlfn.ORG.LIBREOFFICE.WEEKNUM_OOO(DATE(2021,1,1),22)</t>
  </si>
  <si>
    <t xml:space="preserve">_xlfn.ORG.LIBREOFFICE.WEEKNUM_OOO(DATE(2023,1,1),22)</t>
  </si>
  <si>
    <t xml:space="preserve">_xlfn.ORG.LIBREOFFICE.WEEKNUM_OOO(DATE(2022,12,31),22)</t>
  </si>
  <si>
    <t xml:space="preserve">_xlfn.ORG.LIBREOFFICE.WEEKNUM_OOO(DATE(2026,12,31),22)</t>
  </si>
  <si>
    <t xml:space="preserve">_xlfn.ORG.LIBREOFFICE.WEEKNUM_OOO(DATE(1900,1,1),22)</t>
  </si>
  <si>
    <t xml:space="preserve">_xlfn.ORG.LIBREOFFICE.WEEKNUM_OOO(DATE(1900,3,1),22)</t>
  </si>
  <si>
    <t xml:space="preserve">_xlfn.ORG.LIBREOFFICE.WEEKNUM_OOO(DATE(2024,1,7),1.9)</t>
  </si>
  <si>
    <t xml:space="preserve">_xlfn.ORG.LIBREOFFICE.WEEKNUM_OOO(DATE(2024,1,1),1.9)</t>
  </si>
  <si>
    <t xml:space="preserve">_xlfn.ORG.LIBREOFFICE.WEEKNUM_OOO(DATE(2024,12,30),1.9)</t>
  </si>
  <si>
    <t xml:space="preserve">_xlfn.ORG.LIBREOFFICE.WEEKNUM_OOO(DATE(2021,1,1),1.9)</t>
  </si>
  <si>
    <t xml:space="preserve">_xlfn.ORG.LIBREOFFICE.WEEKNUM_OOO(DATE(2023,1,1),1.9)</t>
  </si>
  <si>
    <t xml:space="preserve">_xlfn.ORG.LIBREOFFICE.WEEKNUM_OOO(DATE(2022,12,31),1.9)</t>
  </si>
  <si>
    <t xml:space="preserve">_xlfn.ORG.LIBREOFFICE.WEEKNUM_OOO(DATE(2026,12,31),1.9)</t>
  </si>
  <si>
    <t xml:space="preserve">_xlfn.ORG.LIBREOFFICE.WEEKNUM_OOO(DATE(1900,1,1),1.9)</t>
  </si>
  <si>
    <t xml:space="preserve">_xlfn.ORG.LIBREOFFICE.WEEKNUM_OOO(DATE(1900,3,1),1.9)</t>
  </si>
  <si>
    <t xml:space="preserve">_xlfn.ORG.LIBREOFFICE.WEEKNUM_OOO(DATE(2024,1,7),-1)</t>
  </si>
  <si>
    <t xml:space="preserve">_xlfn.ORG.LIBREOFFICE.WEEKNUM_OOO(DATE(2024,1,1),-1)</t>
  </si>
  <si>
    <t xml:space="preserve">_xlfn.ORG.LIBREOFFICE.WEEKNUM_OOO(DATE(2024,12,30),-1)</t>
  </si>
  <si>
    <t xml:space="preserve">_xlfn.ORG.LIBREOFFICE.WEEKNUM_OOO(DATE(2021,1,1),-1)</t>
  </si>
  <si>
    <t xml:space="preserve">_xlfn.ORG.LIBREOFFICE.WEEKNUM_OOO(DATE(2023,1,1),-1)</t>
  </si>
  <si>
    <t xml:space="preserve">_xlfn.ORG.LIBREOFFICE.WEEKNUM_OOO(DATE(2022,12,31),-1)</t>
  </si>
  <si>
    <t xml:space="preserve">_xlfn.ORG.LIBREOFFICE.WEEKNUM_OOO(DATE(2026,12,31),-1)</t>
  </si>
  <si>
    <t xml:space="preserve">_xlfn.ORG.LIBREOFFICE.WEEKNUM_OOO(DATE(1900,1,1),-1)</t>
  </si>
  <si>
    <t xml:space="preserve">_xlfn.ORG.LIBREOFFICE.WEEKNUM_OOO(DATE(1900,3,1),-1)</t>
  </si>
  <si>
    <t xml:space="preserve">_xlfn.ORG.LIBREOFFICE.WEEKNUM_OOO(DATE(2024,1,7),"1")</t>
  </si>
  <si>
    <t xml:space="preserve">_xlfn.ORG.LIBREOFFICE.WEEKNUM_OOO(DATE(2024,1,1),"1")</t>
  </si>
  <si>
    <t xml:space="preserve">_xlfn.ORG.LIBREOFFICE.WEEKNUM_OOO(DATE(2024,12,30),"1")</t>
  </si>
  <si>
    <t xml:space="preserve">_xlfn.ORG.LIBREOFFICE.WEEKNUM_OOO(DATE(2021,1,1),"1")</t>
  </si>
  <si>
    <t xml:space="preserve">_xlfn.ORG.LIBREOFFICE.WEEKNUM_OOO(DATE(2023,1,1),"1")</t>
  </si>
  <si>
    <t xml:space="preserve">_xlfn.ORG.LIBREOFFICE.WEEKNUM_OOO(DATE(2022,12,31),"1")</t>
  </si>
  <si>
    <t xml:space="preserve">_xlfn.ORG.LIBREOFFICE.WEEKNUM_OOO(DATE(2026,12,31),"1")</t>
  </si>
  <si>
    <t xml:space="preserve">_xlfn.ORG.LIBREOFFICE.WEEKNUM_OOO(DATE(1900,1,1),"1")</t>
  </si>
  <si>
    <t xml:space="preserve">_xlfn.ORG.LIBREOFFICE.WEEKNUM_OOO(DATE(1900,3,1),"1")</t>
  </si>
  <si>
    <t xml:space="preserve">_xlfn.ORG.LIBREOFFICE.WEEKNUM_OOO(DATE(2024,1,7),"x")</t>
  </si>
  <si>
    <t xml:space="preserve">_xlfn.ORG.LIBREOFFICE.WEEKNUM_OOO(DATE(2024,1,1),"x")</t>
  </si>
  <si>
    <t xml:space="preserve">_xlfn.ORG.LIBREOFFICE.WEEKNUM_OOO(DATE(2024,12,30),"x")</t>
  </si>
  <si>
    <t xml:space="preserve">_xlfn.ORG.LIBREOFFICE.WEEKNUM_OOO(DATE(2021,1,1),"x")</t>
  </si>
  <si>
    <t xml:space="preserve">_xlfn.ORG.LIBREOFFICE.WEEKNUM_OOO(DATE(2023,1,1),"x")</t>
  </si>
  <si>
    <t xml:space="preserve">_xlfn.ORG.LIBREOFFICE.WEEKNUM_OOO(DATE(2022,12,31),"x")</t>
  </si>
  <si>
    <t xml:space="preserve">_xlfn.ORG.LIBREOFFICE.WEEKNUM_OOO(DATE(2026,12,31),"x")</t>
  </si>
  <si>
    <t xml:space="preserve">_xlfn.ORG.LIBREOFFICE.WEEKNUM_OOO(DATE(1900,1,1),"x")</t>
  </si>
  <si>
    <t xml:space="preserve">_xlfn.ORG.LIBREOFFICE.WEEKNUM_OOO(DATE(1900,3,1),"x")</t>
  </si>
  <si>
    <t xml:space="preserve">_xlfn.ORG.LIBREOFFICE.WEEKNUM_OOO(DATE(2024,1,7))</t>
  </si>
  <si>
    <t xml:space="preserve">_xlfn.ORG.LIBREOFFICE.WEEKNUM_OOO("x",1)</t>
  </si>
  <si>
    <t xml:space="preserve">_xlfn.ORG.LIBREOFFICE.WEEKNUM_OOO(-5,1)</t>
  </si>
  <si>
    <t xml:space="preserve">_xlfn.ORG.LIBREOFFICE.WEEKNUM_OOO(DATE(2024,1,7),)</t>
  </si>
  <si>
    <t xml:space="preserve">_xlfn.ORG.LIBREOFFICE.RANDBETWEEN.NV(5,5)</t>
  </si>
  <si>
    <t xml:space="preserve">_xlfn.ORG.LIBREOFFICE.RANDBETWEEN.NV(5,4)</t>
  </si>
  <si>
    <t xml:space="preserve">_xlfn.ORG.LIBREOFFICE.RANDBETWEEN.NV(1.2,1.9)</t>
  </si>
  <si>
    <t xml:space="preserve">_xlfn.ORG.LIBREOFFICE.RANDBETWEEN.NV(-3,-3)</t>
  </si>
  <si>
    <t xml:space="preserve">_xlfn.ORG.LIBREOFFICE.RANDBETWEEN.NV(1,3)&lt;=3</t>
  </si>
  <si>
    <t xml:space="preserve">_xlfn.ORG.LIBREOFFICE.RAND.NV()&lt;1</t>
  </si>
  <si>
    <t xml:space="preserve">_xlfn.ORG.LIBREOFFICE.RAND.NV()&gt;=0</t>
  </si>
  <si>
    <t xml:space="preserve">_xlfn.ORG.LIBREOFFICE.RANDBETWEEN.NV("a",2)</t>
  </si>
  <si>
    <t xml:space="preserve">_xlfn.ORG.LIBREOFFICE.WEEKNUM_OOO(DATE(2055,9,18),11)</t>
  </si>
  <si>
    <t xml:space="preserve">_xlfn.ORG.LIBREOFFICE.WEEKNUM_OOO(DATE(1916,11,20),11)</t>
  </si>
  <si>
    <t xml:space="preserve">_xlfn.ORG.LIBREOFFICE.WEEKNUM_OOO(DATE(1938,10,23),1)</t>
  </si>
  <si>
    <t xml:space="preserve">_xlfn.ORG.LIBREOFFICE.WEEKNUM_OOO(DATE(1929,4,18),21)</t>
  </si>
  <si>
    <t xml:space="preserve">_xlfn.ORG.LIBREOFFICE.WEEKNUM_OOO(DATE(1912,12,2),17)</t>
  </si>
  <si>
    <t xml:space="preserve">_xlfn.ORG.LIBREOFFICE.WEEKNUM_OOO(DATE(1909,11,2),17)</t>
  </si>
  <si>
    <t xml:space="preserve">_xlfn.ORG.LIBREOFFICE.WEEKNUM_OOO(DATE(1921,11,28),12)</t>
  </si>
  <si>
    <t xml:space="preserve">_xlfn.ORG.LIBREOFFICE.WEEKNUM_OOO(DATE(2004,3,23),13)</t>
  </si>
  <si>
    <t xml:space="preserve">_xlfn.ORG.LIBREOFFICE.WEEKNUM_OOO(DATE(1986,8,16),12)</t>
  </si>
  <si>
    <t xml:space="preserve">_xlfn.ORG.LIBREOFFICE.WEEKNUM_OOO(DATE(1990,4,1),13)</t>
  </si>
  <si>
    <t xml:space="preserve">_xlfn.ORG.LIBREOFFICE.WEEKNUM_OOO(DATE(1962,10,14),11)</t>
  </si>
  <si>
    <t xml:space="preserve">_xlfn.ORG.LIBREOFFICE.WEEKNUM_OOO(DATE(1970,9,26),21)</t>
  </si>
  <si>
    <t xml:space="preserve">_xlfn.ORG.LIBREOFFICE.WEEKNUM_OOO(DATE(1908,9,7),16)</t>
  </si>
  <si>
    <t xml:space="preserve">_xlfn.ORG.LIBREOFFICE.WEEKNUM_OOO(DATE(1945,10,16),12)</t>
  </si>
  <si>
    <t xml:space="preserve">_xlfn.ORG.LIBREOFFICE.WEEKNUM_OOO(DATE(1917,3,5),11)</t>
  </si>
  <si>
    <t xml:space="preserve">_xlfn.ORG.LIBREOFFICE.WEEKNUM_OOO(DATE(1940,10,21),2)</t>
  </si>
  <si>
    <t xml:space="preserve">_xlfn.ORG.LIBREOFFICE.WEEKNUM_OOO(DATE(2029,7,12),15)</t>
  </si>
  <si>
    <t xml:space="preserve">_xlfn.ORG.LIBREOFFICE.WEEKNUM_OOO(DATE(2012,1,6),16)</t>
  </si>
  <si>
    <t xml:space="preserve">_xlfn.ORG.LIBREOFFICE.WEEKNUM_OOO(DATE(1929,4,4),2)</t>
  </si>
  <si>
    <t xml:space="preserve">_xlfn.ORG.LIBREOFFICE.WEEKNUM_OOO(DATE(2063,3,9),17)</t>
  </si>
  <si>
    <t xml:space="preserve">_xlfn.ORG.LIBREOFFICE.WEEKNUM_OOO(DATE(2032,8,3),2)</t>
  </si>
  <si>
    <t xml:space="preserve">_xlfn.ORG.LIBREOFFICE.WEEKNUM_OOO(DATE(1997,9,9),11)</t>
  </si>
  <si>
    <t xml:space="preserve">_xlfn.ORG.LIBREOFFICE.WEEKNUM_OOO(DATE(2044,7,5),17)</t>
  </si>
  <si>
    <t xml:space="preserve">_xlfn.ORG.LIBREOFFICE.WEEKNUM_OOO(DATE(1972,6,1),17)</t>
  </si>
  <si>
    <t xml:space="preserve">_xlfn.ORG.LIBREOFFICE.WEEKNUM_OOO(DATE(1958,8,15),17)</t>
  </si>
  <si>
    <t xml:space="preserve">_xlfn.ORG.LIBREOFFICE.WEEKNUM_OOO(DATE(1972,6,16),2)</t>
  </si>
  <si>
    <t xml:space="preserve">_xlfn.ORG.LIBREOFFICE.WEEKNUM_OOO(DATE(2043,9,24),1)</t>
  </si>
  <si>
    <t xml:space="preserve">_xlfn.ORG.LIBREOFFICE.WEEKNUM_OOO(DATE(2010,8,27),11)</t>
  </si>
  <si>
    <t xml:space="preserve">_xlfn.ORG.LIBREOFFICE.WEEKNUM_OOO(DATE(2035,10,20),15)</t>
  </si>
  <si>
    <t xml:space="preserve">_xlfn.ORG.LIBREOFFICE.WEEKNUM_OOO(DATE(2093,10,6),16)</t>
  </si>
  <si>
    <t xml:space="preserve">_xlfn.ORG.LIBREOFFICE.WEEKNUM_OOO(DATE(1908,5,27),15)</t>
  </si>
  <si>
    <t xml:space="preserve">_xlfn.ORG.LIBREOFFICE.WEEKNUM_OOO(DATE(2008,7,27),13)</t>
  </si>
  <si>
    <t xml:space="preserve">_xlfn.ORG.LIBREOFFICE.WEEKNUM_OOO(DATE(1911,7,21),15)</t>
  </si>
  <si>
    <t xml:space="preserve">_xlfn.ORG.LIBREOFFICE.WEEKNUM_OOO(DATE(2089,7,27),1)</t>
  </si>
  <si>
    <t xml:space="preserve">_xlfn.ORG.LIBREOFFICE.WEEKNUM_OOO(DATE(2049,5,18),16)</t>
  </si>
  <si>
    <t xml:space="preserve">_xlfn.ORG.LIBREOFFICE.WEEKNUM_OOO(DATE(1957,2,1),12)</t>
  </si>
  <si>
    <t xml:space="preserve">_xlfn.ORG.LIBREOFFICE.WEEKNUM_OOO(DATE(2023,4,18),1)</t>
  </si>
  <si>
    <t xml:space="preserve">_xlfn.ORG.LIBREOFFICE.WEEKNUM_OOO(DATE(1998,10,7),2)</t>
  </si>
  <si>
    <t xml:space="preserve">_xlfn.ORG.LIBREOFFICE.WEEKNUM_OOO(DATE(1986,7,3),16)</t>
  </si>
  <si>
    <t xml:space="preserve">_xlfn.ORG.LIBREOFFICE.WEEKNUM_OOO(DATE(1958,5,5),21)</t>
  </si>
  <si>
    <t xml:space="preserve">_xlfn.ORG.LIBREOFFICE.WEEKNUM_OOO(DATE(1963,8,27),16)</t>
  </si>
  <si>
    <t xml:space="preserve">_xlfn.ORG.LIBREOFFICE.WEEKNUM_OOO(DATE(2080,3,11),15)</t>
  </si>
  <si>
    <t xml:space="preserve">_xlfn.ORG.LIBREOFFICE.WEEKNUM_OOO(DATE(2007,12,20),13)</t>
  </si>
  <si>
    <t xml:space="preserve">_xlfn.ORG.LIBREOFFICE.WEEKNUM_OOO(DATE(1910,2,9),14)</t>
  </si>
  <si>
    <t xml:space="preserve">_xlfn.ORG.LIBREOFFICE.WEEKNUM_OOO(DATE(1905,10,3),14)</t>
  </si>
  <si>
    <t xml:space="preserve">_xlfn.ORG.LIBREOFFICE.WEEKNUM_OOO(DATE(2013,6,5),12)</t>
  </si>
  <si>
    <t xml:space="preserve">_xlfn.ORG.LIBREOFFICE.WEEKNUM_OOO(DATE(1924,7,12),1)</t>
  </si>
  <si>
    <t xml:space="preserve">_xlfn.ORG.LIBREOFFICE.WEEKNUM_OOO(DATE(2097,3,6),1)</t>
  </si>
  <si>
    <t xml:space="preserve">_xlfn.ORG.LIBREOFFICE.WEEKNUM_OOO(DATE(1927,2,16),13)</t>
  </si>
  <si>
    <t xml:space="preserve">_xlfn.ORG.LIBREOFFICE.WEEKNUM_OOO(DATE(2096,1,24),14)</t>
  </si>
  <si>
    <t xml:space="preserve">_xlfn.ORG.LIBREOFFICE.WEEKNUM_OOO(DATE(1926,3,4),12)</t>
  </si>
  <si>
    <t xml:space="preserve">_xlfn.ORG.LIBREOFFICE.WEEKNUM_OOO(DATE(2091,6,10),2)</t>
  </si>
  <si>
    <t xml:space="preserve">_xlfn.ORG.LIBREOFFICE.WEEKNUM_OOO(DATE(2062,12,8),13)</t>
  </si>
  <si>
    <t xml:space="preserve">_xlfn.ORG.LIBREOFFICE.WEEKNUM_OOO(DATE(1965,1,18),21)</t>
  </si>
  <si>
    <t xml:space="preserve">_xlfn.ORG.LIBREOFFICE.WEEKNUM_OOO(DATE(2047,11,9),11)</t>
  </si>
  <si>
    <t xml:space="preserve">_xlfn.ORG.LIBREOFFICE.WEEKNUM_OOO(DATE(1907,8,5),2)</t>
  </si>
  <si>
    <t xml:space="preserve">_xlfn.ORG.LIBREOFFICE.WEEKNUM_OOO(DATE(2055,1,7),13)</t>
  </si>
  <si>
    <t xml:space="preserve">_xlfn.ORG.LIBREOFFICE.WEEKNUM_OOO(DATE(2006,3,25),2)</t>
  </si>
  <si>
    <t xml:space="preserve">_xlfn.ORG.LIBREOFFICE.WEEKNUM_OOO(DATE(2034,7,14),17)</t>
  </si>
  <si>
    <t xml:space="preserve">_xlfn.ORG.LIBREOFFICE.WEEKNUM_OOO(DATE(2028,9,8),16)</t>
  </si>
  <si>
    <t xml:space="preserve">RANDBETWEEN(1.2,1.9)</t>
  </si>
  <si>
    <t xml:space="preserve">RANDBETWEEN(1.5,1.5)</t>
  </si>
  <si>
    <t xml:space="preserve">RANDBETWEEN(-1.5,-1.5)</t>
  </si>
  <si>
    <t xml:space="preserve">RANDBETWEEN(-1.2,-1.9)</t>
  </si>
  <si>
    <t xml:space="preserve">RANDBETWEEN(0.2,0.9)</t>
  </si>
  <si>
    <t xml:space="preserve">RANDBETWEEN(0.2,0.4)</t>
  </si>
  <si>
    <t xml:space="preserve">RANDBETWEEN(1.9,1.2)</t>
  </si>
  <si>
    <t xml:space="preserve">RANDBETWEEN(-1.9,-1.2)</t>
  </si>
  <si>
    <t xml:space="preserve">RANDBETWEEN(2.5,2.4)</t>
  </si>
  <si>
    <t xml:space="preserve">RANDBETWEEN(0,0)</t>
  </si>
  <si>
    <t xml:space="preserve">RANDBETWEEN(-0.5,-0.5)</t>
  </si>
  <si>
    <t xml:space="preserve">RANDBETWEEN(7,7)</t>
  </si>
  <si>
    <t xml:space="preserve">RANDBETWEEN(1E3,1E3)</t>
  </si>
  <si>
    <t xml:space="preserve">RANDBETWEEN(1.2,1.2)</t>
  </si>
  <si>
    <t xml:space="preserve">RANDBETWEEN(TRUE,TRUE)</t>
  </si>
  <si>
    <t xml:space="preserve">RANDBETWEEN(-1,-2)</t>
  </si>
  <si>
    <t xml:space="preserve">AND(RANDBETWEEN(1.2,2.9)&gt;=INT(1.2),RANDBETWEEN(1.2,2.9)&lt;=INT(2.9)+1)</t>
  </si>
  <si>
    <t xml:space="preserve">AND(RANDBETWEEN(2.5,3.5)&gt;=INT(2.5),RANDBETWEEN(2.5,3.5)&lt;=INT(3.5)+1)</t>
  </si>
  <si>
    <t xml:space="preserve">AND(RANDBETWEEN(-0.5,0.5)&gt;=INT(-0.5),RANDBETWEEN(-0.5,0.5)&lt;=INT(0.5)+1)</t>
  </si>
  <si>
    <t xml:space="preserve">AND(RANDBETWEEN(1,1.99)&gt;=INT(1),RANDBETWEEN(1,1.99)&lt;=INT(1.99)+1)</t>
  </si>
  <si>
    <t xml:space="preserve">AND(RANDBETWEEN(0.2,0.9)&gt;=INT(0.2),RANDBETWEEN(0.2,0.9)&lt;=INT(0.9)+1)</t>
  </si>
  <si>
    <t xml:space="preserve">AND(RANDBETWEEN(-7,3.5)&gt;=INT(-7),RANDBETWEEN(-7,3.5)&lt;=INT(3.5)+1)</t>
  </si>
  <si>
    <t xml:space="preserve">_xlfn.ORG.LIBREOFFICE.RANDBETWEEN.NV(1.5,1.5)</t>
  </si>
  <si>
    <t xml:space="preserve">_xlfn.ORG.LIBREOFFICE.RANDBETWEEN.NV(-1.5,-1.5)</t>
  </si>
  <si>
    <t xml:space="preserve">_xlfn.ORG.LIBREOFFICE.RANDBETWEEN.NV(-1.2,-1.9)</t>
  </si>
  <si>
    <t xml:space="preserve">_xlfn.ORG.LIBREOFFICE.RANDBETWEEN.NV(0.2,0.9)</t>
  </si>
  <si>
    <t xml:space="preserve">_xlfn.ORG.LIBREOFFICE.RANDBETWEEN.NV(0.2,0.4)</t>
  </si>
  <si>
    <t xml:space="preserve">_xlfn.ORG.LIBREOFFICE.RANDBETWEEN.NV(1.9,1.2)</t>
  </si>
  <si>
    <t xml:space="preserve">_xlfn.ORG.LIBREOFFICE.RANDBETWEEN.NV(-1.9,-1.2)</t>
  </si>
  <si>
    <t xml:space="preserve">_xlfn.ORG.LIBREOFFICE.RANDBETWEEN.NV(2.5,2.4)</t>
  </si>
  <si>
    <t xml:space="preserve">_xlfn.ORG.LIBREOFFICE.RANDBETWEEN.NV(0,0)</t>
  </si>
  <si>
    <t xml:space="preserve">_xlfn.ORG.LIBREOFFICE.RANDBETWEEN.NV(-0.5,-0.5)</t>
  </si>
  <si>
    <t xml:space="preserve">_xlfn.ORG.LIBREOFFICE.RANDBETWEEN.NV(7,7)</t>
  </si>
  <si>
    <t xml:space="preserve">_xlfn.ORG.LIBREOFFICE.RANDBETWEEN.NV(1E3,1E3)</t>
  </si>
  <si>
    <t xml:space="preserve">_xlfn.ORG.LIBREOFFICE.RANDBETWEEN.NV(1.2,1.2)</t>
  </si>
  <si>
    <t xml:space="preserve">_xlfn.ORG.LIBREOFFICE.RANDBETWEEN.NV(TRUE,TRUE)</t>
  </si>
  <si>
    <t xml:space="preserve">_xlfn.ORG.LIBREOFFICE.RANDBETWEEN.NV(-1,-2)</t>
  </si>
  <si>
    <t xml:space="preserve">AND(_xlfn.ORG.LIBREOFFICE.RANDBETWEEN.NV(1.2,2.9)&gt;=INT(1.2),_xlfn.ORG.LIBREOFFICE.RANDBETWEEN.NV(1.2,2.9)&lt;=INT(2.9)+1)</t>
  </si>
  <si>
    <t xml:space="preserve">AND(_xlfn.ORG.LIBREOFFICE.RANDBETWEEN.NV(2.5,3.5)&gt;=INT(2.5),_xlfn.ORG.LIBREOFFICE.RANDBETWEEN.NV(2.5,3.5)&lt;=INT(3.5)+1)</t>
  </si>
  <si>
    <t xml:space="preserve">AND(_xlfn.ORG.LIBREOFFICE.RANDBETWEEN.NV(-0.5,0.5)&gt;=INT(-0.5),_xlfn.ORG.LIBREOFFICE.RANDBETWEEN.NV(-0.5,0.5)&lt;=INT(0.5)+1)</t>
  </si>
  <si>
    <t xml:space="preserve">AND(_xlfn.ORG.LIBREOFFICE.RANDBETWEEN.NV(1,1.99)&gt;=INT(1),_xlfn.ORG.LIBREOFFICE.RANDBETWEEN.NV(1,1.99)&lt;=INT(1.99)+1)</t>
  </si>
  <si>
    <t xml:space="preserve">AND(_xlfn.ORG.LIBREOFFICE.RANDBETWEEN.NV(0.2,0.9)&gt;=INT(0.2),_xlfn.ORG.LIBREOFFICE.RANDBETWEEN.NV(0.2,0.9)&lt;=INT(0.9)+1)</t>
  </si>
  <si>
    <t xml:space="preserve">AND(_xlfn.ORG.LIBREOFFICE.RANDBETWEEN.NV(-7,3.5)&gt;=INT(-7),_xlfn.ORG.LIBREOFFICE.RANDBETWEEN.NV(-7,3.5)&lt;=INT(3.5)+1)</t>
  </si>
  <si>
    <t xml:space="preserve">_xlfn.ORG.LIBREOFFICE.COLOR(255,0,0)</t>
  </si>
  <si>
    <t xml:space="preserve">_xlfn.ORG.LIBREOFFICE.COLOR(0,255,0)</t>
  </si>
  <si>
    <t xml:space="preserve">_xlfn.ORG.LIBREOFFICE.COLOR(0,0,255)</t>
  </si>
  <si>
    <t xml:space="preserve">_xlfn.ORG.LIBREOFFICE.COLOR(1,2,3)</t>
  </si>
  <si>
    <t xml:space="preserve">_xlfn.ORG.LIBREOFFICE.COLOR(1,2,3,4)</t>
  </si>
  <si>
    <t xml:space="preserve">_xlfn.ORG.LIBREOFFICE.COLOR(255,255,255,255)</t>
  </si>
  <si>
    <t xml:space="preserve">_xlfn.ORG.LIBREOFFICE.COLOR(256,0,0)</t>
  </si>
  <si>
    <t xml:space="preserve">_xlfn.ORG.LIBREOFFICE.COLOR(0,256,0)</t>
  </si>
  <si>
    <t xml:space="preserve">_xlfn.ORG.LIBREOFFICE.COLOR(0,0,256)</t>
  </si>
  <si>
    <t xml:space="preserve">_xlfn.ORG.LIBREOFFICE.COLOR(0,0,0,256)</t>
  </si>
  <si>
    <t xml:space="preserve">_xlfn.ORG.LIBREOFFICE.COLOR(-1,0,0)</t>
  </si>
  <si>
    <t xml:space="preserve">_xlfn.ORG.LIBREOFFICE.COLOR(-0.5,0,0)</t>
  </si>
  <si>
    <t xml:space="preserve">_xlfn.ORG.LIBREOFFICE.COLOR(1.9,2.9,3.9)</t>
  </si>
  <si>
    <t xml:space="preserve">_xlfn.ORG.LIBREOFFICE.COLOR(255.9,0,0)</t>
  </si>
  <si>
    <t xml:space="preserve">_xlfn.ORG.LIBREOFFICE.COLOR("1",2,3)</t>
  </si>
  <si>
    <t xml:space="preserve">_xlfn.ORG.LIBREOFFICE.COLOR("x",2,3)</t>
  </si>
  <si>
    <t xml:space="preserve">_xlfn.ORG.LIBREOFFICE.COLOR(TRUE,FALSE,TRUE)</t>
  </si>
  <si>
    <t xml:space="preserve">_xlfn.ORG.LIBREOFFICE.COLOR(1/0,2,3)</t>
  </si>
  <si>
    <t xml:space="preserve">_xlfn.ORG.LIBREOFFICE.COLOR(1/0,NA(),3)</t>
  </si>
  <si>
    <t xml:space="preserve">_xlfn.ORG.LIBREOFFICE.COLOR(300,NA(),1/0)</t>
  </si>
  <si>
    <t xml:space="preserve">_xlfn.ORG.LIBREOFFICE.COLOR(300,0,0,NA())</t>
  </si>
  <si>
    <t xml:space="preserve">_xlfn.ORG.LIBREOFFICE.COLOR(1,2)</t>
  </si>
  <si>
    <t xml:space="preserve">CURRENT()</t>
  </si>
  <si>
    <t xml:space="preserve">CURRENT()+1</t>
  </si>
  <si>
    <t xml:space="preserve">ISERROR(CURRENT())</t>
  </si>
  <si>
    <t xml:space="preserve">IFERROR(CURRENT(),7)</t>
  </si>
  <si>
    <t xml:space="preserve">EUROCONVERT(1,"DEM","EUR")</t>
  </si>
  <si>
    <t xml:space="preserve">EUROCONVERT(1,"EUR","DEM")</t>
  </si>
  <si>
    <t xml:space="preserve">EUROCONVERT(100,"FRF","DEM")</t>
  </si>
  <si>
    <t xml:space="preserve">EUROCONVERT(100,"DEM","FRF")</t>
  </si>
  <si>
    <t xml:space="preserve">EUROCONVERT(100,"DEM","FRF",TRUE)</t>
  </si>
  <si>
    <t xml:space="preserve">EUROCONVERT(100,"DEM","FRF",FALSE,3)</t>
  </si>
  <si>
    <t xml:space="preserve">EUROCONVERT(100,"DEM","FRF",TRUE,3)</t>
  </si>
  <si>
    <t xml:space="preserve">EUROCONVERT(100,"DEM","FRF",TRUE,2)</t>
  </si>
  <si>
    <t xml:space="preserve">EUROCONVERT(100,"DEM","FRF",TRUE,5.9)</t>
  </si>
  <si>
    <t xml:space="preserve">EUROCONVERT(100,"DEM","FRF",,4)</t>
  </si>
  <si>
    <t xml:space="preserve">EUROCONVERT(1,"eur","dem")</t>
  </si>
  <si>
    <t xml:space="preserve">EUROCONVERT(1,"Dem","Dem")</t>
  </si>
  <si>
    <t xml:space="preserve">EUROCONVERT(1.234,"DEM","DEM")</t>
  </si>
  <si>
    <t xml:space="preserve">EUROCONVERT(1.234,"EUR","EUR")</t>
  </si>
  <si>
    <t xml:space="preserve">EUROCONVERT(1.2345,"EUR","BEF")</t>
  </si>
  <si>
    <t xml:space="preserve">EUROCONVERT(1.2345,"EUR","ITL")</t>
  </si>
  <si>
    <t xml:space="preserve">EUROCONVERT(1,"EUR","USD")</t>
  </si>
  <si>
    <t xml:space="preserve">EUROCONVERT(1,"USD","EUR")</t>
  </si>
  <si>
    <t xml:space="preserve">EUROCONVERT(1,"","EUR")</t>
  </si>
  <si>
    <t xml:space="preserve">EUROCONVERT(1,"EUR","")</t>
  </si>
  <si>
    <t xml:space="preserve">EUROCONVERT("a","EUR","DEM")</t>
  </si>
  <si>
    <t xml:space="preserve">EUROCONVERT(1,"EUR","DEM","x")</t>
  </si>
  <si>
    <t xml:space="preserve">EUROCONVERT(1,"EUR","DEM",1)</t>
  </si>
  <si>
    <t xml:space="preserve">EUROCONVERT(1,"EUR","DEM",0)</t>
  </si>
  <si>
    <t xml:space="preserve">EUROCONVERT(1,5,"DEM")</t>
  </si>
  <si>
    <t xml:space="preserve">EUROCONVERT(-1.005,"EUR","DEM")</t>
  </si>
  <si>
    <t xml:space="preserve">EUROCONVERT(1E10,"ITL","BEF")</t>
  </si>
  <si>
    <t xml:space="preserve">EUROCONVERT(1E300,"EUR","ITL")</t>
  </si>
  <si>
    <t xml:space="preserve">EUROCONVERT(1/0,"EUR","DEM",TRUE,NA())</t>
  </si>
  <si>
    <t xml:space="preserve">EUROCONVERT(NA(),"EUR","DEM",1/0)</t>
  </si>
  <si>
    <t xml:space="preserve">EUROCONVERT(1,NA(),"DEM",TRUE,1/0)</t>
  </si>
  <si>
    <t xml:space="preserve">EUROCONVERT(1,"EUR",NA(),1/0)</t>
  </si>
  <si>
    <t xml:space="preserve">EUROCONVERT(1,"EUR","DEM",NA(),2)</t>
  </si>
  <si>
    <t xml:space="preserve">EUROCONVERT(1,"EUR","XXX",NA())</t>
  </si>
  <si>
    <t xml:space="preserve">EUROCONVERT(1,"EUR","DEM",1/0)</t>
  </si>
  <si>
    <t xml:space="preserve">EUROCONVERT(1/0,"EUR","DEM")</t>
  </si>
  <si>
    <t xml:space="preserve">EUROCONVERT(1,"EUR","DEM",TRUE,NA())</t>
  </si>
  <si>
    <t xml:space="preserve">EUROCONVERT(2142.447,"BEF","LVL",TRUE,10)</t>
  </si>
  <si>
    <t xml:space="preserve">EUROCONVERT(3582.0,"LUF","ATS")</t>
  </si>
  <si>
    <t xml:space="preserve">EUROCONVERT(9493.2791,"CYP","SKK",TRUE,10)</t>
  </si>
  <si>
    <t xml:space="preserve">EUROCONVERT(2543.24,"LTL","EEK")</t>
  </si>
  <si>
    <t xml:space="preserve">EUROCONVERT(9641.2965,"EEK","IEP",TRUE,10)</t>
  </si>
  <si>
    <t xml:space="preserve">EUROCONVERT(8739.6598,"BGN","SKK")</t>
  </si>
  <si>
    <t xml:space="preserve">EUROCONVERT(1311.0,"GRD","CYP",TRUE,3)</t>
  </si>
  <si>
    <t xml:space="preserve">EUROCONVERT(5506.0,"EUR","PTE")</t>
  </si>
  <si>
    <t xml:space="preserve">EUROCONVERT(2155.51,"HRK","FIM",TRUE,10)</t>
  </si>
  <si>
    <t xml:space="preserve">EUROCONVERT(3734.598,"GRD","LVL")</t>
  </si>
  <si>
    <t xml:space="preserve">EUROCONVERT(4380.0,"SIT","LUF",FALSE,10)</t>
  </si>
  <si>
    <t xml:space="preserve">EUROCONVERT(1003.9725,"FIM","ESP")</t>
  </si>
  <si>
    <t xml:space="preserve">EUROCONVERT(9518.0,"FIM","LUF",TRUE,6)</t>
  </si>
  <si>
    <t xml:space="preserve">EUROCONVERT(9095.2293,"IEP","HRK")</t>
  </si>
  <si>
    <t xml:space="preserve">EUROCONVERT(6851.0,"HRK","HRK",TRUE,10)</t>
  </si>
  <si>
    <t xml:space="preserve">EUROCONVERT(657.81,"EUR","ITL")</t>
  </si>
  <si>
    <t xml:space="preserve">EUROCONVERT(3743.4906,"FIM","NLG",FALSE,10)</t>
  </si>
  <si>
    <t xml:space="preserve">EUROCONVERT(326.0,"LUF","IEP")</t>
  </si>
  <si>
    <t xml:space="preserve">EUROCONVERT(3574.72,"GRD","EEK",TRUE,10)</t>
  </si>
  <si>
    <t xml:space="preserve">EUROCONVERT(2749.94,"LVL","ITL")</t>
  </si>
  <si>
    <t xml:space="preserve">EUROCONVERT(4372.12,"CYP","ESP",TRUE,6)</t>
  </si>
  <si>
    <t xml:space="preserve">EUROCONVERT(5831.2882,"DEM","EEK")</t>
  </si>
  <si>
    <t xml:space="preserve">EUROCONVERT(5207.0899,"BEF","LUF",FALSE,10)</t>
  </si>
  <si>
    <t xml:space="preserve">EUROCONVERT(5339.0,"LUF","HRK")</t>
  </si>
  <si>
    <t xml:space="preserve">EUROCONVERT(4853.4745,"ATS","BEF",TRUE,3)</t>
  </si>
  <si>
    <t xml:space="preserve">EUROCONVERT(8482.9958,"FIM","IEP")</t>
  </si>
  <si>
    <t xml:space="preserve">EUROCONVERT(1816.0,"SIT","LVL",TRUE,4)</t>
  </si>
  <si>
    <t xml:space="preserve">EUROCONVERT(448.53,"BGN","SIT")</t>
  </si>
  <si>
    <t xml:space="preserve">EUROCONVERT(346.5483,"ESP","LUF",FALSE,3)</t>
  </si>
  <si>
    <t xml:space="preserve">EUROCONVERT(2612.89,"MTL","FIM")</t>
  </si>
  <si>
    <t xml:space="preserve">EUROCONVERT(8648.15,"MTL","FIM",TRUE,4)</t>
  </si>
  <si>
    <t xml:space="preserve">EUROCONVERT(2998.8451,"FIM","LUF")</t>
  </si>
  <si>
    <t xml:space="preserve">EUROCONVERT(314.64,"DEM","IEP",FALSE,6)</t>
  </si>
  <si>
    <t xml:space="preserve">EUROCONVERT(4630.0,"ESP","IEP")</t>
  </si>
  <si>
    <t xml:space="preserve">EUROCONVERT(2157.0,"SKK","LTL",TRUE,6)</t>
  </si>
  <si>
    <t xml:space="preserve">EUROCONVERT(6661.1979,"GRD","EUR")</t>
  </si>
  <si>
    <t xml:space="preserve">EUROCONVERT(6084.0953,"EEK","ITL",TRUE,6)</t>
  </si>
  <si>
    <t xml:space="preserve">EUROCONVERT(2845.7,"LVL","ESP")</t>
  </si>
  <si>
    <t xml:space="preserve">EUROCONVERT(489.504,"BGN","LUF",FALSE,4)</t>
  </si>
  <si>
    <t xml:space="preserve">EUROCONVERT(2443.25,"DEM","LUF")</t>
  </si>
  <si>
    <t xml:space="preserve">EUROCONVERT(3247.3501,"CYP","EUR",TRUE,6)</t>
  </si>
  <si>
    <t xml:space="preserve">EUROCONVERT(9467.0,"ESP","ESP")</t>
  </si>
  <si>
    <t xml:space="preserve">EUROCONVERT(8737.23,"SIT","SKK",TRUE,3)</t>
  </si>
  <si>
    <t xml:space="preserve">EUROCONVERT(1670.5236,"LTL","HRK")</t>
  </si>
  <si>
    <t xml:space="preserve">EUROCONVERT(8650.6759,"MTL","IEP",TRUE,10)</t>
  </si>
  <si>
    <t xml:space="preserve">EUROCONVERT(4528.8975,"LUF","ITL")</t>
  </si>
  <si>
    <t xml:space="preserve">EUROCONVERT(5058.8728,"ESP","LVL",FALSE,10)</t>
  </si>
  <si>
    <t xml:space="preserve">EUROCONVERT(5249.0,"SKK","SKK")</t>
  </si>
  <si>
    <t xml:space="preserve">EUROCONVERT(7212.64,"BEF","ESP",TRUE,4)</t>
  </si>
  <si>
    <t xml:space="preserve">EUROCONVERT(6179.2508,"EEK","HRK")</t>
  </si>
  <si>
    <t xml:space="preserve">EUROCONVERT(5531.99,"HRK","GRD",TRUE,10)</t>
  </si>
  <si>
    <t xml:space="preserve">EUROCONVERT(343.51,"LUF","SKK")</t>
  </si>
  <si>
    <t xml:space="preserve">EUROCONVERT(797.0,"EEK","EEK",TRUE,6)</t>
  </si>
  <si>
    <t xml:space="preserve">EUROCONVERT(5841.2385,"GRD","LUF")</t>
  </si>
  <si>
    <t xml:space="preserve">EUROCONVERT(960.69,"BGN","SKK",TRUE,3)</t>
  </si>
  <si>
    <t xml:space="preserve">EUROCONVERT(6929.0,"BGN","GRD")</t>
  </si>
  <si>
    <t xml:space="preserve">EUROCONVERT(9251.72,"CYP","MTL",FALSE,4)</t>
  </si>
  <si>
    <t xml:space="preserve">EUROCONVERT(8823.85,"SKK","NLG")</t>
  </si>
  <si>
    <t xml:space="preserve">EUROCONVERT(8499.1796,"SKK","ATS",FALSE,4)</t>
  </si>
  <si>
    <t xml:space="preserve">EUROCONVERT(9712.652,"SIT","SKK")</t>
  </si>
  <si>
    <t xml:space="preserve">EUROCONVERT(6952.4282,"LVL","ITL",FALSE,3)</t>
  </si>
  <si>
    <t xml:space="preserve">EUROCONVERT(158.4897,"SIT","BGN")</t>
  </si>
  <si>
    <t xml:space="preserve">EUROCONVERT(3269.0,"ITL","FIM",TRUE,3)</t>
  </si>
  <si>
    <t xml:space="preserve">EUROCONVERT(9154.88,"LUF","EUR")</t>
  </si>
  <si>
    <t xml:space="preserve">EUROCONVERT(3967.66,"LVL","BGN",TRUE,4)</t>
  </si>
  <si>
    <t xml:space="preserve">EUROCONVERT(8617.74,"EEK","SIT")</t>
  </si>
  <si>
    <t xml:space="preserve">EUROCONVERT(8644.0879,"CYP","FRF",FALSE,3)</t>
  </si>
  <si>
    <t xml:space="preserve">EUROCONVERT(3562.0,"FRF","MTL")</t>
  </si>
  <si>
    <t xml:space="preserve">EUROCONVERT(4477.18,"ATS","DEM",TRUE,6)</t>
  </si>
  <si>
    <t xml:space="preserve">EUROCONVERT(3240.67,"FIM","MTL")</t>
  </si>
  <si>
    <t xml:space="preserve">EUROCONVERT(8012.74,"PTE","LUF",FALSE,10)</t>
  </si>
  <si>
    <t xml:space="preserve">EUROCONVERT(3558.34,"HRK","DEM")</t>
  </si>
  <si>
    <t xml:space="preserve">EUROCONVERT(6248.1,"CYP","PTE",TRUE,4)</t>
  </si>
  <si>
    <t xml:space="preserve">EUROCONVERT(9418.28,"SKK","MTL")</t>
  </si>
  <si>
    <t xml:space="preserve">EUROCONVERT(3622.0,"GRD","BGN",FALSE,3)</t>
  </si>
  <si>
    <t xml:space="preserve">EUROCONVERT(4517.1173,"SKK","PTE")</t>
  </si>
  <si>
    <t xml:space="preserve">EUROCONVERT(6.57,"SIT","BGN",FALSE,6)</t>
  </si>
  <si>
    <t xml:space="preserve">EUROCONVERT(5720.51,"BEF","ATS")</t>
  </si>
  <si>
    <t xml:space="preserve">EUROCONVERT(752.0,"FRF","BEF",TRUE,6)</t>
  </si>
  <si>
    <t xml:space="preserve">EUROCONVERT(9893.4265,"LTL","LTL")</t>
  </si>
  <si>
    <t xml:space="preserve">EUROCONVERT(8847.4117,"ESP","EEK",TRUE,6)</t>
  </si>
  <si>
    <t xml:space="preserve">EUROCONVERT(1609.0,"ATS","EUR")</t>
  </si>
  <si>
    <t xml:space="preserve">EUROCONVERT(5106.3553,"EEK","LTL",TRUE,10)</t>
  </si>
  <si>
    <t xml:space="preserve">EUROCONVERT(4783.2,"EUR","DEM")</t>
  </si>
  <si>
    <t xml:space="preserve">EUROCONVERT(8767.0,"MTL","MTL",TRUE,4)</t>
  </si>
  <si>
    <t xml:space="preserve">EUROCONVERT(6610.9622,"BEF","EUR")</t>
  </si>
  <si>
    <t xml:space="preserve">EUROCONVERT(5306.9581,"LVL","EUR",TRUE,6)</t>
  </si>
  <si>
    <t xml:space="preserve">EUROCONVERT(6928.0,"GRD","HRK")</t>
  </si>
  <si>
    <t xml:space="preserve">EUROCONVERT(8477.0,"LUF","CYP",FALSE,4)</t>
  </si>
  <si>
    <t xml:space="preserve">EUROCONVERT(8388.0,"EUR","FIM")</t>
  </si>
  <si>
    <t xml:space="preserve">EUROCONVERT(5285.0,"ITL","ITL",FALSE,10)</t>
  </si>
  <si>
    <t xml:space="preserve">EUROCONVERT(4183.46,"PTE","NLG")</t>
  </si>
  <si>
    <t xml:space="preserve">EUROCONVERT(9253.4549,"ITL","ESP",TRUE,10)</t>
  </si>
  <si>
    <t xml:space="preserve">EUROCONVERT(8016.7182,"ESP","HRK")</t>
  </si>
  <si>
    <t xml:space="preserve">EUROCONVERT(3175.417,"ITL","ESP",FALSE,10)</t>
  </si>
  <si>
    <t xml:space="preserve">EUROCONVERT(4952.6,"ESP","FRF")</t>
  </si>
  <si>
    <t xml:space="preserve">EUROCONVERT(2153.5937,"CYP","PTE",FALSE,6)</t>
  </si>
  <si>
    <t xml:space="preserve">EUROCONVERT(5213.39,"EUR","ITL")</t>
  </si>
  <si>
    <t xml:space="preserve">EUROCONVERT(9764.7809,"LVL","IEP",FALSE,6)</t>
  </si>
  <si>
    <t xml:space="preserve">EUROCONVERT(5836.0,"GRD","LVL")</t>
  </si>
  <si>
    <t xml:space="preserve">EUROCONVERT(7278.0,"LVL","LVL",FALSE,4)</t>
  </si>
  <si>
    <t xml:space="preserve">EUROCONVERT(6722.0,"FRF","FRF")</t>
  </si>
  <si>
    <t xml:space="preserve">EUROCONVERT(4998.0,"LUF","ESP",FALSE,3)</t>
  </si>
  <si>
    <t xml:space="preserve">EUROCONVERT(2389.0,"BGN","EEK")</t>
  </si>
  <si>
    <t xml:space="preserve">EUROCONVERT(1952.8999,"BEF","ESP",FALSE,6)</t>
  </si>
  <si>
    <t xml:space="preserve">EUROCONVERT(6868.0,"BGN","ITL")</t>
  </si>
  <si>
    <t xml:space="preserve">EUROCONVERT(9761.0,"BGN","LUF",TRUE,4)</t>
  </si>
  <si>
    <t xml:space="preserve">EUROCONVERT(6004.0,"ATS","CYP")</t>
  </si>
  <si>
    <t xml:space="preserve">EUROCONVERT(6895.2155,"NLG","BEF",TRUE,4)</t>
  </si>
  <si>
    <t xml:space="preserve">EUROCONVERT(6472.4697,"ATS","BEF")</t>
  </si>
  <si>
    <t xml:space="preserve">EUROCONVERT(1837.0235,"MTL","EUR",FALSE,4)</t>
  </si>
  <si>
    <t xml:space="preserve">EUROCONVERT(964.7452,"SKK","CYP")</t>
  </si>
  <si>
    <t xml:space="preserve">EUROCONVERT(9502.6932,"FRF","GRD",TRUE,4)</t>
  </si>
  <si>
    <t xml:space="preserve">EUROCONVERT(8532.11,"BGN","LVL")</t>
  </si>
  <si>
    <t xml:space="preserve">EUROCONVERT(5324.0,"ESP","LTL",TRUE,10)</t>
  </si>
  <si>
    <t xml:space="preserve">EUROCONVERT(9692.42,"ESP","IEP")</t>
  </si>
  <si>
    <t xml:space="preserve">EUROCONVERT(8215.02,"NLG","DEM",FALSE,10)</t>
  </si>
  <si>
    <t xml:space="preserve">EUROCONVERT(2375.05,"GRD","ITL")</t>
  </si>
  <si>
    <t xml:space="preserve">EUROCONVERT(7377.728,"LVL","ITL",FALSE,6)</t>
  </si>
  <si>
    <t xml:space="preserve">EUROCONVERT(83.0282,"BGN","SKK")</t>
  </si>
  <si>
    <t xml:space="preserve">ROWS(_xlfn.ORG.LIBREOFFICE.FOURIER(Data!A1:A8,TRUE))</t>
  </si>
  <si>
    <t xml:space="preserve">COLUMNS(_xlfn.ORG.LIBREOFFICE.FOURIER(Data!A1:A8,TRUE))</t>
  </si>
  <si>
    <t xml:space="preserve">SUM(_xlfn.ORG.LIBREOFFICE.FOURIER(Data!A1:A8,TRUE))</t>
  </si>
  <si>
    <t xml:space="preserve">INDEX(_xlfn.ORG.LIBREOFFICE.FOURIER(Data!A1:A8,TRUE),1,1)</t>
  </si>
  <si>
    <t xml:space="preserve">INDEX(_xlfn.ORG.LIBREOFFICE.FOURIER(Data!A1:A8,TRUE),2,1)</t>
  </si>
  <si>
    <t xml:space="preserve">INDEX(_xlfn.ORG.LIBREOFFICE.FOURIER(Data!A1:A8,TRUE),2,2)</t>
  </si>
  <si>
    <t xml:space="preserve">INDEX(_xlfn.ORG.LIBREOFFICE.FOURIER(Data!A1:A8,TRUE),3,2)</t>
  </si>
  <si>
    <t xml:space="preserve">INDEX(_xlfn.ORG.LIBREOFFICE.FOURIER(Data!A1:A8,TRUE),ROWS(_xlfn.ORG.LIBREOFFICE.FOURIER(Data!A1:A8,TRUE)),1)</t>
  </si>
  <si>
    <t xml:space="preserve">INDEX(_xlfn.ORG.LIBREOFFICE.FOURIER(Data!A1:A8,TRUE),ROWS(_xlfn.ORG.LIBREOFFICE.FOURIER(Data!A1:A8,TRUE)),2)</t>
  </si>
  <si>
    <t xml:space="preserve">SUM(_xlfn.ORG.LIBREOFFICE.FOURIER(Data!A1:A8,TRUE,TRUE))</t>
  </si>
  <si>
    <t xml:space="preserve">INDEX(_xlfn.ORG.LIBREOFFICE.FOURIER(Data!A1:A8,TRUE,TRUE),1,1)</t>
  </si>
  <si>
    <t xml:space="preserve">INDEX(_xlfn.ORG.LIBREOFFICE.FOURIER(Data!A1:A8,TRUE,TRUE),2,1)</t>
  </si>
  <si>
    <t xml:space="preserve">INDEX(_xlfn.ORG.LIBREOFFICE.FOURIER(Data!A1:A8,TRUE,TRUE),2,2)</t>
  </si>
  <si>
    <t xml:space="preserve">INDEX(_xlfn.ORG.LIBREOFFICE.FOURIER(Data!A1:A8,TRUE,TRUE),3,2)</t>
  </si>
  <si>
    <t xml:space="preserve">INDEX(_xlfn.ORG.LIBREOFFICE.FOURIER(Data!A1:A8,TRUE,TRUE),ROWS(_xlfn.ORG.LIBREOFFICE.FOURIER(Data!A1:A8,TRUE,TRUE)),1)</t>
  </si>
  <si>
    <t xml:space="preserve">INDEX(_xlfn.ORG.LIBREOFFICE.FOURIER(Data!A1:A8,TRUE,TRUE),ROWS(_xlfn.ORG.LIBREOFFICE.FOURIER(Data!A1:A8,TRUE,TRUE)),2)</t>
  </si>
  <si>
    <t xml:space="preserve">SUM(_xlfn.ORG.LIBREOFFICE.FOURIER(Data!A1:A8,TRUE,FALSE,TRUE))</t>
  </si>
  <si>
    <t xml:space="preserve">INDEX(_xlfn.ORG.LIBREOFFICE.FOURIER(Data!A1:A8,TRUE,FALSE,TRUE),1,1)</t>
  </si>
  <si>
    <t xml:space="preserve">INDEX(_xlfn.ORG.LIBREOFFICE.FOURIER(Data!A1:A8,TRUE,FALSE,TRUE),2,1)</t>
  </si>
  <si>
    <t xml:space="preserve">INDEX(_xlfn.ORG.LIBREOFFICE.FOURIER(Data!A1:A8,TRUE,FALSE,TRUE),2,2)</t>
  </si>
  <si>
    <t xml:space="preserve">INDEX(_xlfn.ORG.LIBREOFFICE.FOURIER(Data!A1:A8,TRUE,FALSE,TRUE),3,2)</t>
  </si>
  <si>
    <t xml:space="preserve">INDEX(_xlfn.ORG.LIBREOFFICE.FOURIER(Data!A1:A8,TRUE,FALSE,TRUE),ROWS(_xlfn.ORG.LIBREOFFICE.FOURIER(Data!A1:A8,TRUE,FALSE,TRUE)),1)</t>
  </si>
  <si>
    <t xml:space="preserve">INDEX(_xlfn.ORG.LIBREOFFICE.FOURIER(Data!A1:A8,TRUE,FALSE,TRUE),ROWS(_xlfn.ORG.LIBREOFFICE.FOURIER(Data!A1:A8,TRUE,FALSE,TRUE)),2)</t>
  </si>
  <si>
    <t xml:space="preserve">SUM(_xlfn.ORG.LIBREOFFICE.FOURIER(Data!A1:A8,TRUE,TRUE,TRUE))</t>
  </si>
  <si>
    <t xml:space="preserve">INDEX(_xlfn.ORG.LIBREOFFICE.FOURIER(Data!A1:A8,TRUE,TRUE,TRUE),1,1)</t>
  </si>
  <si>
    <t xml:space="preserve">INDEX(_xlfn.ORG.LIBREOFFICE.FOURIER(Data!A1:A8,TRUE,TRUE,TRUE),2,1)</t>
  </si>
  <si>
    <t xml:space="preserve">INDEX(_xlfn.ORG.LIBREOFFICE.FOURIER(Data!A1:A8,TRUE,TRUE,TRUE),2,2)</t>
  </si>
  <si>
    <t xml:space="preserve">INDEX(_xlfn.ORG.LIBREOFFICE.FOURIER(Data!A1:A8,TRUE,TRUE,TRUE),3,2)</t>
  </si>
  <si>
    <t xml:space="preserve">INDEX(_xlfn.ORG.LIBREOFFICE.FOURIER(Data!A1:A8,TRUE,TRUE,TRUE),ROWS(_xlfn.ORG.LIBREOFFICE.FOURIER(Data!A1:A8,TRUE,TRUE,TRUE)),1)</t>
  </si>
  <si>
    <t xml:space="preserve">INDEX(_xlfn.ORG.LIBREOFFICE.FOURIER(Data!A1:A8,TRUE,TRUE,TRUE),ROWS(_xlfn.ORG.LIBREOFFICE.FOURIER(Data!A1:A8,TRUE,TRUE,TRUE)),2)</t>
  </si>
  <si>
    <t xml:space="preserve">SUM(_xlfn.ORG.LIBREOFFICE.FOURIER(Data!A1:A8,TRUE,FALSE,TRUE,1))</t>
  </si>
  <si>
    <t xml:space="preserve">INDEX(_xlfn.ORG.LIBREOFFICE.FOURIER(Data!A1:A8,TRUE,FALSE,TRUE,1),1,1)</t>
  </si>
  <si>
    <t xml:space="preserve">INDEX(_xlfn.ORG.LIBREOFFICE.FOURIER(Data!A1:A8,TRUE,FALSE,TRUE,1),2,1)</t>
  </si>
  <si>
    <t xml:space="preserve">INDEX(_xlfn.ORG.LIBREOFFICE.FOURIER(Data!A1:A8,TRUE,FALSE,TRUE,1),2,2)</t>
  </si>
  <si>
    <t xml:space="preserve">INDEX(_xlfn.ORG.LIBREOFFICE.FOURIER(Data!A1:A8,TRUE,FALSE,TRUE,1),3,2)</t>
  </si>
  <si>
    <t xml:space="preserve">INDEX(_xlfn.ORG.LIBREOFFICE.FOURIER(Data!A1:A8,TRUE,FALSE,TRUE,1),ROWS(_xlfn.ORG.LIBREOFFICE.FOURIER(Data!A1:A8,TRUE,FALSE,TRUE,1)),1)</t>
  </si>
  <si>
    <t xml:space="preserve">INDEX(_xlfn.ORG.LIBREOFFICE.FOURIER(Data!A1:A8,TRUE,FALSE,TRUE,1),ROWS(_xlfn.ORG.LIBREOFFICE.FOURIER(Data!A1:A8,TRUE,FALSE,TRUE,1)),2)</t>
  </si>
  <si>
    <t xml:space="preserve">SUM(_xlfn.ORG.LIBREOFFICE.FOURIER(Data!A1:A8,TRUE,TRUE,TRUE,5))</t>
  </si>
  <si>
    <t xml:space="preserve">INDEX(_xlfn.ORG.LIBREOFFICE.FOURIER(Data!A1:A8,TRUE,TRUE,TRUE,5),1,1)</t>
  </si>
  <si>
    <t xml:space="preserve">INDEX(_xlfn.ORG.LIBREOFFICE.FOURIER(Data!A1:A8,TRUE,TRUE,TRUE,5),2,1)</t>
  </si>
  <si>
    <t xml:space="preserve">INDEX(_xlfn.ORG.LIBREOFFICE.FOURIER(Data!A1:A8,TRUE,TRUE,TRUE,5),2,2)</t>
  </si>
  <si>
    <t xml:space="preserve">INDEX(_xlfn.ORG.LIBREOFFICE.FOURIER(Data!A1:A8,TRUE,TRUE,TRUE,5),3,2)</t>
  </si>
  <si>
    <t xml:space="preserve">INDEX(_xlfn.ORG.LIBREOFFICE.FOURIER(Data!A1:A8,TRUE,TRUE,TRUE,5),ROWS(_xlfn.ORG.LIBREOFFICE.FOURIER(Data!A1:A8,TRUE,TRUE,TRUE,5)),1)</t>
  </si>
  <si>
    <t xml:space="preserve">INDEX(_xlfn.ORG.LIBREOFFICE.FOURIER(Data!A1:A8,TRUE,TRUE,TRUE,5),ROWS(_xlfn.ORG.LIBREOFFICE.FOURIER(Data!A1:A8,TRUE,TRUE,TRUE,5)),2)</t>
  </si>
  <si>
    <t xml:space="preserve">ROWS(_xlfn.ORG.LIBREOFFICE.FOURIER(Data!A1:A8,FALSE))</t>
  </si>
  <si>
    <t xml:space="preserve">COLUMNS(_xlfn.ORG.LIBREOFFICE.FOURIER(Data!A1:A8,FALSE))</t>
  </si>
  <si>
    <t xml:space="preserve">SUM(_xlfn.ORG.LIBREOFFICE.FOURIER(Data!A1:A8,FALSE))</t>
  </si>
  <si>
    <t xml:space="preserve">INDEX(_xlfn.ORG.LIBREOFFICE.FOURIER(Data!A1:A8,FALSE),1,1)</t>
  </si>
  <si>
    <t xml:space="preserve">INDEX(_xlfn.ORG.LIBREOFFICE.FOURIER(Data!A1:A8,FALSE),2,1)</t>
  </si>
  <si>
    <t xml:space="preserve">INDEX(_xlfn.ORG.LIBREOFFICE.FOURIER(Data!A1:A8,FALSE),2,2)</t>
  </si>
  <si>
    <t xml:space="preserve">INDEX(_xlfn.ORG.LIBREOFFICE.FOURIER(Data!A1:A8,FALSE),3,2)</t>
  </si>
  <si>
    <t xml:space="preserve">INDEX(_xlfn.ORG.LIBREOFFICE.FOURIER(Data!A1:A8,FALSE),ROWS(_xlfn.ORG.LIBREOFFICE.FOURIER(Data!A1:A8,FALSE)),1)</t>
  </si>
  <si>
    <t xml:space="preserve">INDEX(_xlfn.ORG.LIBREOFFICE.FOURIER(Data!A1:A8,FALSE),ROWS(_xlfn.ORG.LIBREOFFICE.FOURIER(Data!A1:A8,FALSE)),2)</t>
  </si>
  <si>
    <t xml:space="preserve">SUM(_xlfn.ORG.LIBREOFFICE.FOURIER(Data!A1:A8,FALSE,TRUE))</t>
  </si>
  <si>
    <t xml:space="preserve">INDEX(_xlfn.ORG.LIBREOFFICE.FOURIER(Data!A1:A8,FALSE,TRUE),1,1)</t>
  </si>
  <si>
    <t xml:space="preserve">INDEX(_xlfn.ORG.LIBREOFFICE.FOURIER(Data!A1:A8,FALSE,TRUE),2,1)</t>
  </si>
  <si>
    <t xml:space="preserve">INDEX(_xlfn.ORG.LIBREOFFICE.FOURIER(Data!A1:A8,FALSE,TRUE),2,2)</t>
  </si>
  <si>
    <t xml:space="preserve">INDEX(_xlfn.ORG.LIBREOFFICE.FOURIER(Data!A1:A8,FALSE,TRUE),3,2)</t>
  </si>
  <si>
    <t xml:space="preserve">INDEX(_xlfn.ORG.LIBREOFFICE.FOURIER(Data!A1:A8,FALSE,TRUE),ROWS(_xlfn.ORG.LIBREOFFICE.FOURIER(Data!A1:A8,FALSE,TRUE)),1)</t>
  </si>
  <si>
    <t xml:space="preserve">INDEX(_xlfn.ORG.LIBREOFFICE.FOURIER(Data!A1:A8,FALSE,TRUE),ROWS(_xlfn.ORG.LIBREOFFICE.FOURIER(Data!A1:A8,FALSE,TRUE)),2)</t>
  </si>
  <si>
    <t xml:space="preserve">SUM(_xlfn.ORG.LIBREOFFICE.FOURIER(Data!A1:A8,FALSE,FALSE,TRUE))</t>
  </si>
  <si>
    <t xml:space="preserve">INDEX(_xlfn.ORG.LIBREOFFICE.FOURIER(Data!A1:A8,FALSE,FALSE,TRUE),1,1)</t>
  </si>
  <si>
    <t xml:space="preserve">INDEX(_xlfn.ORG.LIBREOFFICE.FOURIER(Data!A1:A8,FALSE,FALSE,TRUE),2,1)</t>
  </si>
  <si>
    <t xml:space="preserve">INDEX(_xlfn.ORG.LIBREOFFICE.FOURIER(Data!A1:A8,FALSE,FALSE,TRUE),2,2)</t>
  </si>
  <si>
    <t xml:space="preserve">INDEX(_xlfn.ORG.LIBREOFFICE.FOURIER(Data!A1:A8,FALSE,FALSE,TRUE),3,2)</t>
  </si>
  <si>
    <t xml:space="preserve">INDEX(_xlfn.ORG.LIBREOFFICE.FOURIER(Data!A1:A8,FALSE,FALSE,TRUE),ROWS(_xlfn.ORG.LIBREOFFICE.FOURIER(Data!A1:A8,FALSE,FALSE,TRUE)),1)</t>
  </si>
  <si>
    <t xml:space="preserve">INDEX(_xlfn.ORG.LIBREOFFICE.FOURIER(Data!A1:A8,FALSE,FALSE,TRUE),ROWS(_xlfn.ORG.LIBREOFFICE.FOURIER(Data!A1:A8,FALSE,FALSE,TRUE)),2)</t>
  </si>
  <si>
    <t xml:space="preserve">SUM(_xlfn.ORG.LIBREOFFICE.FOURIER(Data!A1:A8,FALSE,TRUE,TRUE))</t>
  </si>
  <si>
    <t xml:space="preserve">INDEX(_xlfn.ORG.LIBREOFFICE.FOURIER(Data!A1:A8,FALSE,TRUE,TRUE),1,1)</t>
  </si>
  <si>
    <t xml:space="preserve">INDEX(_xlfn.ORG.LIBREOFFICE.FOURIER(Data!A1:A8,FALSE,TRUE,TRUE),2,1)</t>
  </si>
  <si>
    <t xml:space="preserve">INDEX(_xlfn.ORG.LIBREOFFICE.FOURIER(Data!A1:A8,FALSE,TRUE,TRUE),2,2)</t>
  </si>
  <si>
    <t xml:space="preserve">INDEX(_xlfn.ORG.LIBREOFFICE.FOURIER(Data!A1:A8,FALSE,TRUE,TRUE),3,2)</t>
  </si>
  <si>
    <t xml:space="preserve">INDEX(_xlfn.ORG.LIBREOFFICE.FOURIER(Data!A1:A8,FALSE,TRUE,TRUE),ROWS(_xlfn.ORG.LIBREOFFICE.FOURIER(Data!A1:A8,FALSE,TRUE,TRUE)),1)</t>
  </si>
  <si>
    <t xml:space="preserve">INDEX(_xlfn.ORG.LIBREOFFICE.FOURIER(Data!A1:A8,FALSE,TRUE,TRUE),ROWS(_xlfn.ORG.LIBREOFFICE.FOURIER(Data!A1:A8,FALSE,TRUE,TRUE)),2)</t>
  </si>
  <si>
    <t xml:space="preserve">SUM(_xlfn.ORG.LIBREOFFICE.FOURIER(Data!A1:A8,FALSE,FALSE,TRUE,1))</t>
  </si>
  <si>
    <t xml:space="preserve">INDEX(_xlfn.ORG.LIBREOFFICE.FOURIER(Data!A1:A8,FALSE,FALSE,TRUE,1),1,1)</t>
  </si>
  <si>
    <t xml:space="preserve">INDEX(_xlfn.ORG.LIBREOFFICE.FOURIER(Data!A1:A8,FALSE,FALSE,TRUE,1),2,1)</t>
  </si>
  <si>
    <t xml:space="preserve">INDEX(_xlfn.ORG.LIBREOFFICE.FOURIER(Data!A1:A8,FALSE,FALSE,TRUE,1),2,2)</t>
  </si>
  <si>
    <t xml:space="preserve">INDEX(_xlfn.ORG.LIBREOFFICE.FOURIER(Data!A1:A8,FALSE,FALSE,TRUE,1),3,2)</t>
  </si>
  <si>
    <t xml:space="preserve">INDEX(_xlfn.ORG.LIBREOFFICE.FOURIER(Data!A1:A8,FALSE,FALSE,TRUE,1),ROWS(_xlfn.ORG.LIBREOFFICE.FOURIER(Data!A1:A8,FALSE,FALSE,TRUE,1)),1)</t>
  </si>
  <si>
    <t xml:space="preserve">INDEX(_xlfn.ORG.LIBREOFFICE.FOURIER(Data!A1:A8,FALSE,FALSE,TRUE,1),ROWS(_xlfn.ORG.LIBREOFFICE.FOURIER(Data!A1:A8,FALSE,FALSE,TRUE,1)),2)</t>
  </si>
  <si>
    <t xml:space="preserve">SUM(_xlfn.ORG.LIBREOFFICE.FOURIER(Data!A1:A8,FALSE,TRUE,TRUE,5))</t>
  </si>
  <si>
    <t xml:space="preserve">INDEX(_xlfn.ORG.LIBREOFFICE.FOURIER(Data!A1:A8,FALSE,TRUE,TRUE,5),1,1)</t>
  </si>
  <si>
    <t xml:space="preserve">INDEX(_xlfn.ORG.LIBREOFFICE.FOURIER(Data!A1:A8,FALSE,TRUE,TRUE,5),2,1)</t>
  </si>
  <si>
    <t xml:space="preserve">INDEX(_xlfn.ORG.LIBREOFFICE.FOURIER(Data!A1:A8,FALSE,TRUE,TRUE,5),2,2)</t>
  </si>
  <si>
    <t xml:space="preserve">INDEX(_xlfn.ORG.LIBREOFFICE.FOURIER(Data!A1:A8,FALSE,TRUE,TRUE,5),3,2)</t>
  </si>
  <si>
    <t xml:space="preserve">INDEX(_xlfn.ORG.LIBREOFFICE.FOURIER(Data!A1:A8,FALSE,TRUE,TRUE,5),ROWS(_xlfn.ORG.LIBREOFFICE.FOURIER(Data!A1:A8,FALSE,TRUE,TRUE,5)),1)</t>
  </si>
  <si>
    <t xml:space="preserve">INDEX(_xlfn.ORG.LIBREOFFICE.FOURIER(Data!A1:A8,FALSE,TRUE,TRUE,5),ROWS(_xlfn.ORG.LIBREOFFICE.FOURIER(Data!A1:A8,FALSE,TRUE,TRUE,5)),2)</t>
  </si>
  <si>
    <t xml:space="preserve">ROWS(_xlfn.ORG.LIBREOFFICE.FOURIER(Data!A1:A5,TRUE))</t>
  </si>
  <si>
    <t xml:space="preserve">COLUMNS(_xlfn.ORG.LIBREOFFICE.FOURIER(Data!A1:A5,TRUE))</t>
  </si>
  <si>
    <t xml:space="preserve">SUM(_xlfn.ORG.LIBREOFFICE.FOURIER(Data!A1:A5,TRUE))</t>
  </si>
  <si>
    <t xml:space="preserve">INDEX(_xlfn.ORG.LIBREOFFICE.FOURIER(Data!A1:A5,TRUE),1,1)</t>
  </si>
  <si>
    <t xml:space="preserve">INDEX(_xlfn.ORG.LIBREOFFICE.FOURIER(Data!A1:A5,TRUE),2,1)</t>
  </si>
  <si>
    <t xml:space="preserve">INDEX(_xlfn.ORG.LIBREOFFICE.FOURIER(Data!A1:A5,TRUE),2,2)</t>
  </si>
  <si>
    <t xml:space="preserve">INDEX(_xlfn.ORG.LIBREOFFICE.FOURIER(Data!A1:A5,TRUE),3,2)</t>
  </si>
  <si>
    <t xml:space="preserve">INDEX(_xlfn.ORG.LIBREOFFICE.FOURIER(Data!A1:A5,TRUE),ROWS(_xlfn.ORG.LIBREOFFICE.FOURIER(Data!A1:A5,TRUE)),1)</t>
  </si>
  <si>
    <t xml:space="preserve">INDEX(_xlfn.ORG.LIBREOFFICE.FOURIER(Data!A1:A5,TRUE),ROWS(_xlfn.ORG.LIBREOFFICE.FOURIER(Data!A1:A5,TRUE)),2)</t>
  </si>
  <si>
    <t xml:space="preserve">SUM(_xlfn.ORG.LIBREOFFICE.FOURIER(Data!A1:A5,TRUE,TRUE))</t>
  </si>
  <si>
    <t xml:space="preserve">INDEX(_xlfn.ORG.LIBREOFFICE.FOURIER(Data!A1:A5,TRUE,TRUE),1,1)</t>
  </si>
  <si>
    <t xml:space="preserve">INDEX(_xlfn.ORG.LIBREOFFICE.FOURIER(Data!A1:A5,TRUE,TRUE),2,1)</t>
  </si>
  <si>
    <t xml:space="preserve">INDEX(_xlfn.ORG.LIBREOFFICE.FOURIER(Data!A1:A5,TRUE,TRUE),2,2)</t>
  </si>
  <si>
    <t xml:space="preserve">INDEX(_xlfn.ORG.LIBREOFFICE.FOURIER(Data!A1:A5,TRUE,TRUE),3,2)</t>
  </si>
  <si>
    <t xml:space="preserve">INDEX(_xlfn.ORG.LIBREOFFICE.FOURIER(Data!A1:A5,TRUE,TRUE),ROWS(_xlfn.ORG.LIBREOFFICE.FOURIER(Data!A1:A5,TRUE,TRUE)),1)</t>
  </si>
  <si>
    <t xml:space="preserve">INDEX(_xlfn.ORG.LIBREOFFICE.FOURIER(Data!A1:A5,TRUE,TRUE),ROWS(_xlfn.ORG.LIBREOFFICE.FOURIER(Data!A1:A5,TRUE,TRUE)),2)</t>
  </si>
  <si>
    <t xml:space="preserve">SUM(_xlfn.ORG.LIBREOFFICE.FOURIER(Data!A1:A5,TRUE,FALSE,TRUE))</t>
  </si>
  <si>
    <t xml:space="preserve">INDEX(_xlfn.ORG.LIBREOFFICE.FOURIER(Data!A1:A5,TRUE,FALSE,TRUE),1,1)</t>
  </si>
  <si>
    <t xml:space="preserve">INDEX(_xlfn.ORG.LIBREOFFICE.FOURIER(Data!A1:A5,TRUE,FALSE,TRUE),2,1)</t>
  </si>
  <si>
    <t xml:space="preserve">INDEX(_xlfn.ORG.LIBREOFFICE.FOURIER(Data!A1:A5,TRUE,FALSE,TRUE),2,2)</t>
  </si>
  <si>
    <t xml:space="preserve">INDEX(_xlfn.ORG.LIBREOFFICE.FOURIER(Data!A1:A5,TRUE,FALSE,TRUE),3,2)</t>
  </si>
  <si>
    <t xml:space="preserve">INDEX(_xlfn.ORG.LIBREOFFICE.FOURIER(Data!A1:A5,TRUE,FALSE,TRUE),ROWS(_xlfn.ORG.LIBREOFFICE.FOURIER(Data!A1:A5,TRUE,FALSE,TRUE)),1)</t>
  </si>
  <si>
    <t xml:space="preserve">INDEX(_xlfn.ORG.LIBREOFFICE.FOURIER(Data!A1:A5,TRUE,FALSE,TRUE),ROWS(_xlfn.ORG.LIBREOFFICE.FOURIER(Data!A1:A5,TRUE,FALSE,TRUE)),2)</t>
  </si>
  <si>
    <t xml:space="preserve">SUM(_xlfn.ORG.LIBREOFFICE.FOURIER(Data!A1:A5,TRUE,TRUE,TRUE))</t>
  </si>
  <si>
    <t xml:space="preserve">INDEX(_xlfn.ORG.LIBREOFFICE.FOURIER(Data!A1:A5,TRUE,TRUE,TRUE),1,1)</t>
  </si>
  <si>
    <t xml:space="preserve">INDEX(_xlfn.ORG.LIBREOFFICE.FOURIER(Data!A1:A5,TRUE,TRUE,TRUE),2,1)</t>
  </si>
  <si>
    <t xml:space="preserve">INDEX(_xlfn.ORG.LIBREOFFICE.FOURIER(Data!A1:A5,TRUE,TRUE,TRUE),2,2)</t>
  </si>
  <si>
    <t xml:space="preserve">INDEX(_xlfn.ORG.LIBREOFFICE.FOURIER(Data!A1:A5,TRUE,TRUE,TRUE),3,2)</t>
  </si>
  <si>
    <t xml:space="preserve">INDEX(_xlfn.ORG.LIBREOFFICE.FOURIER(Data!A1:A5,TRUE,TRUE,TRUE),ROWS(_xlfn.ORG.LIBREOFFICE.FOURIER(Data!A1:A5,TRUE,TRUE,TRUE)),1)</t>
  </si>
  <si>
    <t xml:space="preserve">INDEX(_xlfn.ORG.LIBREOFFICE.FOURIER(Data!A1:A5,TRUE,TRUE,TRUE),ROWS(_xlfn.ORG.LIBREOFFICE.FOURIER(Data!A1:A5,TRUE,TRUE,TRUE)),2)</t>
  </si>
  <si>
    <t xml:space="preserve">SUM(_xlfn.ORG.LIBREOFFICE.FOURIER(Data!A1:A5,TRUE,FALSE,TRUE,1))</t>
  </si>
  <si>
    <t xml:space="preserve">INDEX(_xlfn.ORG.LIBREOFFICE.FOURIER(Data!A1:A5,TRUE,FALSE,TRUE,1),1,1)</t>
  </si>
  <si>
    <t xml:space="preserve">INDEX(_xlfn.ORG.LIBREOFFICE.FOURIER(Data!A1:A5,TRUE,FALSE,TRUE,1),2,1)</t>
  </si>
  <si>
    <t xml:space="preserve">INDEX(_xlfn.ORG.LIBREOFFICE.FOURIER(Data!A1:A5,TRUE,FALSE,TRUE,1),2,2)</t>
  </si>
  <si>
    <t xml:space="preserve">INDEX(_xlfn.ORG.LIBREOFFICE.FOURIER(Data!A1:A5,TRUE,FALSE,TRUE,1),3,2)</t>
  </si>
  <si>
    <t xml:space="preserve">INDEX(_xlfn.ORG.LIBREOFFICE.FOURIER(Data!A1:A5,TRUE,FALSE,TRUE,1),ROWS(_xlfn.ORG.LIBREOFFICE.FOURIER(Data!A1:A5,TRUE,FALSE,TRUE,1)),1)</t>
  </si>
  <si>
    <t xml:space="preserve">INDEX(_xlfn.ORG.LIBREOFFICE.FOURIER(Data!A1:A5,TRUE,FALSE,TRUE,1),ROWS(_xlfn.ORG.LIBREOFFICE.FOURIER(Data!A1:A5,TRUE,FALSE,TRUE,1)),2)</t>
  </si>
  <si>
    <t xml:space="preserve">SUM(_xlfn.ORG.LIBREOFFICE.FOURIER(Data!A1:A5,TRUE,TRUE,TRUE,5))</t>
  </si>
  <si>
    <t xml:space="preserve">INDEX(_xlfn.ORG.LIBREOFFICE.FOURIER(Data!A1:A5,TRUE,TRUE,TRUE,5),1,1)</t>
  </si>
  <si>
    <t xml:space="preserve">INDEX(_xlfn.ORG.LIBREOFFICE.FOURIER(Data!A1:A5,TRUE,TRUE,TRUE,5),2,1)</t>
  </si>
  <si>
    <t xml:space="preserve">INDEX(_xlfn.ORG.LIBREOFFICE.FOURIER(Data!A1:A5,TRUE,TRUE,TRUE,5),2,2)</t>
  </si>
  <si>
    <t xml:space="preserve">INDEX(_xlfn.ORG.LIBREOFFICE.FOURIER(Data!A1:A5,TRUE,TRUE,TRUE,5),3,2)</t>
  </si>
  <si>
    <t xml:space="preserve">INDEX(_xlfn.ORG.LIBREOFFICE.FOURIER(Data!A1:A5,TRUE,TRUE,TRUE,5),ROWS(_xlfn.ORG.LIBREOFFICE.FOURIER(Data!A1:A5,TRUE,TRUE,TRUE,5)),1)</t>
  </si>
  <si>
    <t xml:space="preserve">INDEX(_xlfn.ORG.LIBREOFFICE.FOURIER(Data!A1:A5,TRUE,TRUE,TRUE,5),ROWS(_xlfn.ORG.LIBREOFFICE.FOURIER(Data!A1:A5,TRUE,TRUE,TRUE,5)),2)</t>
  </si>
  <si>
    <t xml:space="preserve">ROWS(_xlfn.ORG.LIBREOFFICE.FOURIER(Data!A1:A5,FALSE))</t>
  </si>
  <si>
    <t xml:space="preserve">COLUMNS(_xlfn.ORG.LIBREOFFICE.FOURIER(Data!A1:A5,FALSE))</t>
  </si>
  <si>
    <t xml:space="preserve">SUM(_xlfn.ORG.LIBREOFFICE.FOURIER(Data!A1:A5,FALSE))</t>
  </si>
  <si>
    <t xml:space="preserve">INDEX(_xlfn.ORG.LIBREOFFICE.FOURIER(Data!A1:A5,FALSE),1,1)</t>
  </si>
  <si>
    <t xml:space="preserve">INDEX(_xlfn.ORG.LIBREOFFICE.FOURIER(Data!A1:A5,FALSE),2,1)</t>
  </si>
  <si>
    <t xml:space="preserve">INDEX(_xlfn.ORG.LIBREOFFICE.FOURIER(Data!A1:A5,FALSE),2,2)</t>
  </si>
  <si>
    <t xml:space="preserve">INDEX(_xlfn.ORG.LIBREOFFICE.FOURIER(Data!A1:A5,FALSE),3,2)</t>
  </si>
  <si>
    <t xml:space="preserve">INDEX(_xlfn.ORG.LIBREOFFICE.FOURIER(Data!A1:A5,FALSE),ROWS(_xlfn.ORG.LIBREOFFICE.FOURIER(Data!A1:A5,FALSE)),1)</t>
  </si>
  <si>
    <t xml:space="preserve">INDEX(_xlfn.ORG.LIBREOFFICE.FOURIER(Data!A1:A5,FALSE),ROWS(_xlfn.ORG.LIBREOFFICE.FOURIER(Data!A1:A5,FALSE)),2)</t>
  </si>
  <si>
    <t xml:space="preserve">SUM(_xlfn.ORG.LIBREOFFICE.FOURIER(Data!A1:A5,FALSE,TRUE))</t>
  </si>
  <si>
    <t xml:space="preserve">INDEX(_xlfn.ORG.LIBREOFFICE.FOURIER(Data!A1:A5,FALSE,TRUE),1,1)</t>
  </si>
  <si>
    <t xml:space="preserve">INDEX(_xlfn.ORG.LIBREOFFICE.FOURIER(Data!A1:A5,FALSE,TRUE),2,1)</t>
  </si>
  <si>
    <t xml:space="preserve">INDEX(_xlfn.ORG.LIBREOFFICE.FOURIER(Data!A1:A5,FALSE,TRUE),2,2)</t>
  </si>
  <si>
    <t xml:space="preserve">INDEX(_xlfn.ORG.LIBREOFFICE.FOURIER(Data!A1:A5,FALSE,TRUE),3,2)</t>
  </si>
  <si>
    <t xml:space="preserve">INDEX(_xlfn.ORG.LIBREOFFICE.FOURIER(Data!A1:A5,FALSE,TRUE),ROWS(_xlfn.ORG.LIBREOFFICE.FOURIER(Data!A1:A5,FALSE,TRUE)),1)</t>
  </si>
  <si>
    <t xml:space="preserve">INDEX(_xlfn.ORG.LIBREOFFICE.FOURIER(Data!A1:A5,FALSE,TRUE),ROWS(_xlfn.ORG.LIBREOFFICE.FOURIER(Data!A1:A5,FALSE,TRUE)),2)</t>
  </si>
  <si>
    <t xml:space="preserve">SUM(_xlfn.ORG.LIBREOFFICE.FOURIER(Data!A1:A5,FALSE,FALSE,TRUE))</t>
  </si>
  <si>
    <t xml:space="preserve">INDEX(_xlfn.ORG.LIBREOFFICE.FOURIER(Data!A1:A5,FALSE,FALSE,TRUE),1,1)</t>
  </si>
  <si>
    <t xml:space="preserve">INDEX(_xlfn.ORG.LIBREOFFICE.FOURIER(Data!A1:A5,FALSE,FALSE,TRUE),2,1)</t>
  </si>
  <si>
    <t xml:space="preserve">INDEX(_xlfn.ORG.LIBREOFFICE.FOURIER(Data!A1:A5,FALSE,FALSE,TRUE),2,2)</t>
  </si>
  <si>
    <t xml:space="preserve">INDEX(_xlfn.ORG.LIBREOFFICE.FOURIER(Data!A1:A5,FALSE,FALSE,TRUE),3,2)</t>
  </si>
  <si>
    <t xml:space="preserve">INDEX(_xlfn.ORG.LIBREOFFICE.FOURIER(Data!A1:A5,FALSE,FALSE,TRUE),ROWS(_xlfn.ORG.LIBREOFFICE.FOURIER(Data!A1:A5,FALSE,FALSE,TRUE)),1)</t>
  </si>
  <si>
    <t xml:space="preserve">INDEX(_xlfn.ORG.LIBREOFFICE.FOURIER(Data!A1:A5,FALSE,FALSE,TRUE),ROWS(_xlfn.ORG.LIBREOFFICE.FOURIER(Data!A1:A5,FALSE,FALSE,TRUE)),2)</t>
  </si>
  <si>
    <t xml:space="preserve">SUM(_xlfn.ORG.LIBREOFFICE.FOURIER(Data!A1:A5,FALSE,TRUE,TRUE))</t>
  </si>
  <si>
    <t xml:space="preserve">INDEX(_xlfn.ORG.LIBREOFFICE.FOURIER(Data!A1:A5,FALSE,TRUE,TRUE),1,1)</t>
  </si>
  <si>
    <t xml:space="preserve">INDEX(_xlfn.ORG.LIBREOFFICE.FOURIER(Data!A1:A5,FALSE,TRUE,TRUE),2,1)</t>
  </si>
  <si>
    <t xml:space="preserve">INDEX(_xlfn.ORG.LIBREOFFICE.FOURIER(Data!A1:A5,FALSE,TRUE,TRUE),2,2)</t>
  </si>
  <si>
    <t xml:space="preserve">INDEX(_xlfn.ORG.LIBREOFFICE.FOURIER(Data!A1:A5,FALSE,TRUE,TRUE),3,2)</t>
  </si>
  <si>
    <t xml:space="preserve">INDEX(_xlfn.ORG.LIBREOFFICE.FOURIER(Data!A1:A5,FALSE,TRUE,TRUE),ROWS(_xlfn.ORG.LIBREOFFICE.FOURIER(Data!A1:A5,FALSE,TRUE,TRUE)),1)</t>
  </si>
  <si>
    <t xml:space="preserve">INDEX(_xlfn.ORG.LIBREOFFICE.FOURIER(Data!A1:A5,FALSE,TRUE,TRUE),ROWS(_xlfn.ORG.LIBREOFFICE.FOURIER(Data!A1:A5,FALSE,TRUE,TRUE)),2)</t>
  </si>
  <si>
    <t xml:space="preserve">SUM(_xlfn.ORG.LIBREOFFICE.FOURIER(Data!A1:A5,FALSE,FALSE,TRUE,1))</t>
  </si>
  <si>
    <t xml:space="preserve">INDEX(_xlfn.ORG.LIBREOFFICE.FOURIER(Data!A1:A5,FALSE,FALSE,TRUE,1),1,1)</t>
  </si>
  <si>
    <t xml:space="preserve">INDEX(_xlfn.ORG.LIBREOFFICE.FOURIER(Data!A1:A5,FALSE,FALSE,TRUE,1),2,1)</t>
  </si>
  <si>
    <t xml:space="preserve">INDEX(_xlfn.ORG.LIBREOFFICE.FOURIER(Data!A1:A5,FALSE,FALSE,TRUE,1),2,2)</t>
  </si>
  <si>
    <t xml:space="preserve">INDEX(_xlfn.ORG.LIBREOFFICE.FOURIER(Data!A1:A5,FALSE,FALSE,TRUE,1),3,2)</t>
  </si>
  <si>
    <t xml:space="preserve">INDEX(_xlfn.ORG.LIBREOFFICE.FOURIER(Data!A1:A5,FALSE,FALSE,TRUE,1),ROWS(_xlfn.ORG.LIBREOFFICE.FOURIER(Data!A1:A5,FALSE,FALSE,TRUE,1)),1)</t>
  </si>
  <si>
    <t xml:space="preserve">INDEX(_xlfn.ORG.LIBREOFFICE.FOURIER(Data!A1:A5,FALSE,FALSE,TRUE,1),ROWS(_xlfn.ORG.LIBREOFFICE.FOURIER(Data!A1:A5,FALSE,FALSE,TRUE,1)),2)</t>
  </si>
  <si>
    <t xml:space="preserve">SUM(_xlfn.ORG.LIBREOFFICE.FOURIER(Data!A1:A5,FALSE,TRUE,TRUE,5))</t>
  </si>
  <si>
    <t xml:space="preserve">INDEX(_xlfn.ORG.LIBREOFFICE.FOURIER(Data!A1:A5,FALSE,TRUE,TRUE,5),1,1)</t>
  </si>
  <si>
    <t xml:space="preserve">INDEX(_xlfn.ORG.LIBREOFFICE.FOURIER(Data!A1:A5,FALSE,TRUE,TRUE,5),2,1)</t>
  </si>
  <si>
    <t xml:space="preserve">INDEX(_xlfn.ORG.LIBREOFFICE.FOURIER(Data!A1:A5,FALSE,TRUE,TRUE,5),2,2)</t>
  </si>
  <si>
    <t xml:space="preserve">INDEX(_xlfn.ORG.LIBREOFFICE.FOURIER(Data!A1:A5,FALSE,TRUE,TRUE,5),3,2)</t>
  </si>
  <si>
    <t xml:space="preserve">INDEX(_xlfn.ORG.LIBREOFFICE.FOURIER(Data!A1:A5,FALSE,TRUE,TRUE,5),ROWS(_xlfn.ORG.LIBREOFFICE.FOURIER(Data!A1:A5,FALSE,TRUE,TRUE,5)),1)</t>
  </si>
  <si>
    <t xml:space="preserve">INDEX(_xlfn.ORG.LIBREOFFICE.FOURIER(Data!A1:A5,FALSE,TRUE,TRUE,5),ROWS(_xlfn.ORG.LIBREOFFICE.FOURIER(Data!A1:A5,FALSE,TRUE,TRUE,5)),2)</t>
  </si>
  <si>
    <t xml:space="preserve">ROWS(_xlfn.ORG.LIBREOFFICE.FOURIER(Data!A1:A3,TRUE))</t>
  </si>
  <si>
    <t xml:space="preserve">COLUMNS(_xlfn.ORG.LIBREOFFICE.FOURIER(Data!A1:A3,TRUE))</t>
  </si>
  <si>
    <t xml:space="preserve">SUM(_xlfn.ORG.LIBREOFFICE.FOURIER(Data!A1:A3,TRUE))</t>
  </si>
  <si>
    <t xml:space="preserve">INDEX(_xlfn.ORG.LIBREOFFICE.FOURIER(Data!A1:A3,TRUE),1,1)</t>
  </si>
  <si>
    <t xml:space="preserve">INDEX(_xlfn.ORG.LIBREOFFICE.FOURIER(Data!A1:A3,TRUE),2,1)</t>
  </si>
  <si>
    <t xml:space="preserve">INDEX(_xlfn.ORG.LIBREOFFICE.FOURIER(Data!A1:A3,TRUE),2,2)</t>
  </si>
  <si>
    <t xml:space="preserve">INDEX(_xlfn.ORG.LIBREOFFICE.FOURIER(Data!A1:A3,TRUE),3,2)</t>
  </si>
  <si>
    <t xml:space="preserve">INDEX(_xlfn.ORG.LIBREOFFICE.FOURIER(Data!A1:A3,TRUE),ROWS(_xlfn.ORG.LIBREOFFICE.FOURIER(Data!A1:A3,TRUE)),1)</t>
  </si>
  <si>
    <t xml:space="preserve">INDEX(_xlfn.ORG.LIBREOFFICE.FOURIER(Data!A1:A3,TRUE),ROWS(_xlfn.ORG.LIBREOFFICE.FOURIER(Data!A1:A3,TRUE)),2)</t>
  </si>
  <si>
    <t xml:space="preserve">SUM(_xlfn.ORG.LIBREOFFICE.FOURIER(Data!A1:A3,TRUE,TRUE))</t>
  </si>
  <si>
    <t xml:space="preserve">INDEX(_xlfn.ORG.LIBREOFFICE.FOURIER(Data!A1:A3,TRUE,TRUE),1,1)</t>
  </si>
  <si>
    <t xml:space="preserve">INDEX(_xlfn.ORG.LIBREOFFICE.FOURIER(Data!A1:A3,TRUE,TRUE),2,1)</t>
  </si>
  <si>
    <t xml:space="preserve">INDEX(_xlfn.ORG.LIBREOFFICE.FOURIER(Data!A1:A3,TRUE,TRUE),2,2)</t>
  </si>
  <si>
    <t xml:space="preserve">INDEX(_xlfn.ORG.LIBREOFFICE.FOURIER(Data!A1:A3,TRUE,TRUE),3,2)</t>
  </si>
  <si>
    <t xml:space="preserve">INDEX(_xlfn.ORG.LIBREOFFICE.FOURIER(Data!A1:A3,TRUE,TRUE),ROWS(_xlfn.ORG.LIBREOFFICE.FOURIER(Data!A1:A3,TRUE,TRUE)),1)</t>
  </si>
  <si>
    <t xml:space="preserve">INDEX(_xlfn.ORG.LIBREOFFICE.FOURIER(Data!A1:A3,TRUE,TRUE),ROWS(_xlfn.ORG.LIBREOFFICE.FOURIER(Data!A1:A3,TRUE,TRUE)),2)</t>
  </si>
  <si>
    <t xml:space="preserve">SUM(_xlfn.ORG.LIBREOFFICE.FOURIER(Data!A1:A3,TRUE,FALSE,TRUE))</t>
  </si>
  <si>
    <t xml:space="preserve">INDEX(_xlfn.ORG.LIBREOFFICE.FOURIER(Data!A1:A3,TRUE,FALSE,TRUE),1,1)</t>
  </si>
  <si>
    <t xml:space="preserve">INDEX(_xlfn.ORG.LIBREOFFICE.FOURIER(Data!A1:A3,TRUE,FALSE,TRUE),2,1)</t>
  </si>
  <si>
    <t xml:space="preserve">INDEX(_xlfn.ORG.LIBREOFFICE.FOURIER(Data!A1:A3,TRUE,FALSE,TRUE),2,2)</t>
  </si>
  <si>
    <t xml:space="preserve">INDEX(_xlfn.ORG.LIBREOFFICE.FOURIER(Data!A1:A3,TRUE,FALSE,TRUE),3,2)</t>
  </si>
  <si>
    <t xml:space="preserve">INDEX(_xlfn.ORG.LIBREOFFICE.FOURIER(Data!A1:A3,TRUE,FALSE,TRUE),ROWS(_xlfn.ORG.LIBREOFFICE.FOURIER(Data!A1:A3,TRUE,FALSE,TRUE)),1)</t>
  </si>
  <si>
    <t xml:space="preserve">INDEX(_xlfn.ORG.LIBREOFFICE.FOURIER(Data!A1:A3,TRUE,FALSE,TRUE),ROWS(_xlfn.ORG.LIBREOFFICE.FOURIER(Data!A1:A3,TRUE,FALSE,TRUE)),2)</t>
  </si>
  <si>
    <t xml:space="preserve">SUM(_xlfn.ORG.LIBREOFFICE.FOURIER(Data!A1:A3,TRUE,TRUE,TRUE))</t>
  </si>
  <si>
    <t xml:space="preserve">INDEX(_xlfn.ORG.LIBREOFFICE.FOURIER(Data!A1:A3,TRUE,TRUE,TRUE),1,1)</t>
  </si>
  <si>
    <t xml:space="preserve">INDEX(_xlfn.ORG.LIBREOFFICE.FOURIER(Data!A1:A3,TRUE,TRUE,TRUE),2,1)</t>
  </si>
  <si>
    <t xml:space="preserve">INDEX(_xlfn.ORG.LIBREOFFICE.FOURIER(Data!A1:A3,TRUE,TRUE,TRUE),2,2)</t>
  </si>
  <si>
    <t xml:space="preserve">INDEX(_xlfn.ORG.LIBREOFFICE.FOURIER(Data!A1:A3,TRUE,TRUE,TRUE),3,2)</t>
  </si>
  <si>
    <t xml:space="preserve">INDEX(_xlfn.ORG.LIBREOFFICE.FOURIER(Data!A1:A3,TRUE,TRUE,TRUE),ROWS(_xlfn.ORG.LIBREOFFICE.FOURIER(Data!A1:A3,TRUE,TRUE,TRUE)),1)</t>
  </si>
  <si>
    <t xml:space="preserve">INDEX(_xlfn.ORG.LIBREOFFICE.FOURIER(Data!A1:A3,TRUE,TRUE,TRUE),ROWS(_xlfn.ORG.LIBREOFFICE.FOURIER(Data!A1:A3,TRUE,TRUE,TRUE)),2)</t>
  </si>
  <si>
    <t xml:space="preserve">SUM(_xlfn.ORG.LIBREOFFICE.FOURIER(Data!A1:A3,TRUE,FALSE,TRUE,1))</t>
  </si>
  <si>
    <t xml:space="preserve">INDEX(_xlfn.ORG.LIBREOFFICE.FOURIER(Data!A1:A3,TRUE,FALSE,TRUE,1),1,1)</t>
  </si>
  <si>
    <t xml:space="preserve">INDEX(_xlfn.ORG.LIBREOFFICE.FOURIER(Data!A1:A3,TRUE,FALSE,TRUE,1),2,1)</t>
  </si>
  <si>
    <t xml:space="preserve">INDEX(_xlfn.ORG.LIBREOFFICE.FOURIER(Data!A1:A3,TRUE,FALSE,TRUE,1),2,2)</t>
  </si>
  <si>
    <t xml:space="preserve">INDEX(_xlfn.ORG.LIBREOFFICE.FOURIER(Data!A1:A3,TRUE,FALSE,TRUE,1),3,2)</t>
  </si>
  <si>
    <t xml:space="preserve">INDEX(_xlfn.ORG.LIBREOFFICE.FOURIER(Data!A1:A3,TRUE,FALSE,TRUE,1),ROWS(_xlfn.ORG.LIBREOFFICE.FOURIER(Data!A1:A3,TRUE,FALSE,TRUE,1)),1)</t>
  </si>
  <si>
    <t xml:space="preserve">INDEX(_xlfn.ORG.LIBREOFFICE.FOURIER(Data!A1:A3,TRUE,FALSE,TRUE,1),ROWS(_xlfn.ORG.LIBREOFFICE.FOURIER(Data!A1:A3,TRUE,FALSE,TRUE,1)),2)</t>
  </si>
  <si>
    <t xml:space="preserve">SUM(_xlfn.ORG.LIBREOFFICE.FOURIER(Data!A1:A3,TRUE,TRUE,TRUE,5))</t>
  </si>
  <si>
    <t xml:space="preserve">INDEX(_xlfn.ORG.LIBREOFFICE.FOURIER(Data!A1:A3,TRUE,TRUE,TRUE,5),1,1)</t>
  </si>
  <si>
    <t xml:space="preserve">INDEX(_xlfn.ORG.LIBREOFFICE.FOURIER(Data!A1:A3,TRUE,TRUE,TRUE,5),2,1)</t>
  </si>
  <si>
    <t xml:space="preserve">INDEX(_xlfn.ORG.LIBREOFFICE.FOURIER(Data!A1:A3,TRUE,TRUE,TRUE,5),2,2)</t>
  </si>
  <si>
    <t xml:space="preserve">INDEX(_xlfn.ORG.LIBREOFFICE.FOURIER(Data!A1:A3,TRUE,TRUE,TRUE,5),3,2)</t>
  </si>
  <si>
    <t xml:space="preserve">INDEX(_xlfn.ORG.LIBREOFFICE.FOURIER(Data!A1:A3,TRUE,TRUE,TRUE,5),ROWS(_xlfn.ORG.LIBREOFFICE.FOURIER(Data!A1:A3,TRUE,TRUE,TRUE,5)),1)</t>
  </si>
  <si>
    <t xml:space="preserve">INDEX(_xlfn.ORG.LIBREOFFICE.FOURIER(Data!A1:A3,TRUE,TRUE,TRUE,5),ROWS(_xlfn.ORG.LIBREOFFICE.FOURIER(Data!A1:A3,TRUE,TRUE,TRUE,5)),2)</t>
  </si>
  <si>
    <t xml:space="preserve">ROWS(_xlfn.ORG.LIBREOFFICE.FOURIER(Data!A1:A3,FALSE))</t>
  </si>
  <si>
    <t xml:space="preserve">COLUMNS(_xlfn.ORG.LIBREOFFICE.FOURIER(Data!A1:A3,FALSE))</t>
  </si>
  <si>
    <t xml:space="preserve">SUM(_xlfn.ORG.LIBREOFFICE.FOURIER(Data!A1:A3,FALSE))</t>
  </si>
  <si>
    <t xml:space="preserve">INDEX(_xlfn.ORG.LIBREOFFICE.FOURIER(Data!A1:A3,FALSE),1,1)</t>
  </si>
  <si>
    <t xml:space="preserve">INDEX(_xlfn.ORG.LIBREOFFICE.FOURIER(Data!A1:A3,FALSE),2,1)</t>
  </si>
  <si>
    <t xml:space="preserve">INDEX(_xlfn.ORG.LIBREOFFICE.FOURIER(Data!A1:A3,FALSE),2,2)</t>
  </si>
  <si>
    <t xml:space="preserve">INDEX(_xlfn.ORG.LIBREOFFICE.FOURIER(Data!A1:A3,FALSE),3,2)</t>
  </si>
  <si>
    <t xml:space="preserve">INDEX(_xlfn.ORG.LIBREOFFICE.FOURIER(Data!A1:A3,FALSE),ROWS(_xlfn.ORG.LIBREOFFICE.FOURIER(Data!A1:A3,FALSE)),1)</t>
  </si>
  <si>
    <t xml:space="preserve">INDEX(_xlfn.ORG.LIBREOFFICE.FOURIER(Data!A1:A3,FALSE),ROWS(_xlfn.ORG.LIBREOFFICE.FOURIER(Data!A1:A3,FALSE)),2)</t>
  </si>
  <si>
    <t xml:space="preserve">SUM(_xlfn.ORG.LIBREOFFICE.FOURIER(Data!A1:A3,FALSE,TRUE))</t>
  </si>
  <si>
    <t xml:space="preserve">INDEX(_xlfn.ORG.LIBREOFFICE.FOURIER(Data!A1:A3,FALSE,TRUE),1,1)</t>
  </si>
  <si>
    <t xml:space="preserve">INDEX(_xlfn.ORG.LIBREOFFICE.FOURIER(Data!A1:A3,FALSE,TRUE),2,1)</t>
  </si>
  <si>
    <t xml:space="preserve">INDEX(_xlfn.ORG.LIBREOFFICE.FOURIER(Data!A1:A3,FALSE,TRUE),2,2)</t>
  </si>
  <si>
    <t xml:space="preserve">INDEX(_xlfn.ORG.LIBREOFFICE.FOURIER(Data!A1:A3,FALSE,TRUE),3,2)</t>
  </si>
  <si>
    <t xml:space="preserve">INDEX(_xlfn.ORG.LIBREOFFICE.FOURIER(Data!A1:A3,FALSE,TRUE),ROWS(_xlfn.ORG.LIBREOFFICE.FOURIER(Data!A1:A3,FALSE,TRUE)),1)</t>
  </si>
  <si>
    <t xml:space="preserve">INDEX(_xlfn.ORG.LIBREOFFICE.FOURIER(Data!A1:A3,FALSE,TRUE),ROWS(_xlfn.ORG.LIBREOFFICE.FOURIER(Data!A1:A3,FALSE,TRUE)),2)</t>
  </si>
  <si>
    <t xml:space="preserve">SUM(_xlfn.ORG.LIBREOFFICE.FOURIER(Data!A1:A3,FALSE,FALSE,TRUE))</t>
  </si>
  <si>
    <t xml:space="preserve">INDEX(_xlfn.ORG.LIBREOFFICE.FOURIER(Data!A1:A3,FALSE,FALSE,TRUE),1,1)</t>
  </si>
  <si>
    <t xml:space="preserve">INDEX(_xlfn.ORG.LIBREOFFICE.FOURIER(Data!A1:A3,FALSE,FALSE,TRUE),2,1)</t>
  </si>
  <si>
    <t xml:space="preserve">INDEX(_xlfn.ORG.LIBREOFFICE.FOURIER(Data!A1:A3,FALSE,FALSE,TRUE),2,2)</t>
  </si>
  <si>
    <t xml:space="preserve">INDEX(_xlfn.ORG.LIBREOFFICE.FOURIER(Data!A1:A3,FALSE,FALSE,TRUE),3,2)</t>
  </si>
  <si>
    <t xml:space="preserve">INDEX(_xlfn.ORG.LIBREOFFICE.FOURIER(Data!A1:A3,FALSE,FALSE,TRUE),ROWS(_xlfn.ORG.LIBREOFFICE.FOURIER(Data!A1:A3,FALSE,FALSE,TRUE)),1)</t>
  </si>
  <si>
    <t xml:space="preserve">INDEX(_xlfn.ORG.LIBREOFFICE.FOURIER(Data!A1:A3,FALSE,FALSE,TRUE),ROWS(_xlfn.ORG.LIBREOFFICE.FOURIER(Data!A1:A3,FALSE,FALSE,TRUE)),2)</t>
  </si>
  <si>
    <t xml:space="preserve">SUM(_xlfn.ORG.LIBREOFFICE.FOURIER(Data!A1:A3,FALSE,TRUE,TRUE))</t>
  </si>
  <si>
    <t xml:space="preserve">INDEX(_xlfn.ORG.LIBREOFFICE.FOURIER(Data!A1:A3,FALSE,TRUE,TRUE),1,1)</t>
  </si>
  <si>
    <t xml:space="preserve">INDEX(_xlfn.ORG.LIBREOFFICE.FOURIER(Data!A1:A3,FALSE,TRUE,TRUE),2,1)</t>
  </si>
  <si>
    <t xml:space="preserve">INDEX(_xlfn.ORG.LIBREOFFICE.FOURIER(Data!A1:A3,FALSE,TRUE,TRUE),2,2)</t>
  </si>
  <si>
    <t xml:space="preserve">INDEX(_xlfn.ORG.LIBREOFFICE.FOURIER(Data!A1:A3,FALSE,TRUE,TRUE),3,2)</t>
  </si>
  <si>
    <t xml:space="preserve">INDEX(_xlfn.ORG.LIBREOFFICE.FOURIER(Data!A1:A3,FALSE,TRUE,TRUE),ROWS(_xlfn.ORG.LIBREOFFICE.FOURIER(Data!A1:A3,FALSE,TRUE,TRUE)),1)</t>
  </si>
  <si>
    <t xml:space="preserve">INDEX(_xlfn.ORG.LIBREOFFICE.FOURIER(Data!A1:A3,FALSE,TRUE,TRUE),ROWS(_xlfn.ORG.LIBREOFFICE.FOURIER(Data!A1:A3,FALSE,TRUE,TRUE)),2)</t>
  </si>
  <si>
    <t xml:space="preserve">SUM(_xlfn.ORG.LIBREOFFICE.FOURIER(Data!A1:A3,FALSE,FALSE,TRUE,1))</t>
  </si>
  <si>
    <t xml:space="preserve">INDEX(_xlfn.ORG.LIBREOFFICE.FOURIER(Data!A1:A3,FALSE,FALSE,TRUE,1),1,1)</t>
  </si>
  <si>
    <t xml:space="preserve">INDEX(_xlfn.ORG.LIBREOFFICE.FOURIER(Data!A1:A3,FALSE,FALSE,TRUE,1),2,1)</t>
  </si>
  <si>
    <t xml:space="preserve">INDEX(_xlfn.ORG.LIBREOFFICE.FOURIER(Data!A1:A3,FALSE,FALSE,TRUE,1),2,2)</t>
  </si>
  <si>
    <t xml:space="preserve">INDEX(_xlfn.ORG.LIBREOFFICE.FOURIER(Data!A1:A3,FALSE,FALSE,TRUE,1),3,2)</t>
  </si>
  <si>
    <t xml:space="preserve">INDEX(_xlfn.ORG.LIBREOFFICE.FOURIER(Data!A1:A3,FALSE,FALSE,TRUE,1),ROWS(_xlfn.ORG.LIBREOFFICE.FOURIER(Data!A1:A3,FALSE,FALSE,TRUE,1)),1)</t>
  </si>
  <si>
    <t xml:space="preserve">INDEX(_xlfn.ORG.LIBREOFFICE.FOURIER(Data!A1:A3,FALSE,FALSE,TRUE,1),ROWS(_xlfn.ORG.LIBREOFFICE.FOURIER(Data!A1:A3,FALSE,FALSE,TRUE,1)),2)</t>
  </si>
  <si>
    <t xml:space="preserve">SUM(_xlfn.ORG.LIBREOFFICE.FOURIER(Data!A1:A3,FALSE,TRUE,TRUE,5))</t>
  </si>
  <si>
    <t xml:space="preserve">INDEX(_xlfn.ORG.LIBREOFFICE.FOURIER(Data!A1:A3,FALSE,TRUE,TRUE,5),1,1)</t>
  </si>
  <si>
    <t xml:space="preserve">INDEX(_xlfn.ORG.LIBREOFFICE.FOURIER(Data!A1:A3,FALSE,TRUE,TRUE,5),2,1)</t>
  </si>
  <si>
    <t xml:space="preserve">INDEX(_xlfn.ORG.LIBREOFFICE.FOURIER(Data!A1:A3,FALSE,TRUE,TRUE,5),2,2)</t>
  </si>
  <si>
    <t xml:space="preserve">INDEX(_xlfn.ORG.LIBREOFFICE.FOURIER(Data!A1:A3,FALSE,TRUE,TRUE,5),3,2)</t>
  </si>
  <si>
    <t xml:space="preserve">INDEX(_xlfn.ORG.LIBREOFFICE.FOURIER(Data!A1:A3,FALSE,TRUE,TRUE,5),ROWS(_xlfn.ORG.LIBREOFFICE.FOURIER(Data!A1:A3,FALSE,TRUE,TRUE,5)),1)</t>
  </si>
  <si>
    <t xml:space="preserve">INDEX(_xlfn.ORG.LIBREOFFICE.FOURIER(Data!A1:A3,FALSE,TRUE,TRUE,5),ROWS(_xlfn.ORG.LIBREOFFICE.FOURIER(Data!A1:A3,FALSE,TRUE,TRUE,5)),2)</t>
  </si>
  <si>
    <t xml:space="preserve">ROWS(_xlfn.ORG.LIBREOFFICE.FOURIER(Data!A1:A2,TRUE))</t>
  </si>
  <si>
    <t xml:space="preserve">COLUMNS(_xlfn.ORG.LIBREOFFICE.FOURIER(Data!A1:A2,TRUE))</t>
  </si>
  <si>
    <t xml:space="preserve">SUM(_xlfn.ORG.LIBREOFFICE.FOURIER(Data!A1:A2,TRUE))</t>
  </si>
  <si>
    <t xml:space="preserve">INDEX(_xlfn.ORG.LIBREOFFICE.FOURIER(Data!A1:A2,TRUE),1,1)</t>
  </si>
  <si>
    <t xml:space="preserve">INDEX(_xlfn.ORG.LIBREOFFICE.FOURIER(Data!A1:A2,TRUE),2,1)</t>
  </si>
  <si>
    <t xml:space="preserve">INDEX(_xlfn.ORG.LIBREOFFICE.FOURIER(Data!A1:A2,TRUE),2,2)</t>
  </si>
  <si>
    <t xml:space="preserve">INDEX(_xlfn.ORG.LIBREOFFICE.FOURIER(Data!A1:A2,TRUE),3,2)</t>
  </si>
  <si>
    <t xml:space="preserve">INDEX(_xlfn.ORG.LIBREOFFICE.FOURIER(Data!A1:A2,TRUE),ROWS(_xlfn.ORG.LIBREOFFICE.FOURIER(Data!A1:A2,TRUE)),1)</t>
  </si>
  <si>
    <t xml:space="preserve">INDEX(_xlfn.ORG.LIBREOFFICE.FOURIER(Data!A1:A2,TRUE),ROWS(_xlfn.ORG.LIBREOFFICE.FOURIER(Data!A1:A2,TRUE)),2)</t>
  </si>
  <si>
    <t xml:space="preserve">SUM(_xlfn.ORG.LIBREOFFICE.FOURIER(Data!A1:A2,TRUE,TRUE))</t>
  </si>
  <si>
    <t xml:space="preserve">INDEX(_xlfn.ORG.LIBREOFFICE.FOURIER(Data!A1:A2,TRUE,TRUE),1,1)</t>
  </si>
  <si>
    <t xml:space="preserve">INDEX(_xlfn.ORG.LIBREOFFICE.FOURIER(Data!A1:A2,TRUE,TRUE),2,1)</t>
  </si>
  <si>
    <t xml:space="preserve">INDEX(_xlfn.ORG.LIBREOFFICE.FOURIER(Data!A1:A2,TRUE,TRUE),2,2)</t>
  </si>
  <si>
    <t xml:space="preserve">INDEX(_xlfn.ORG.LIBREOFFICE.FOURIER(Data!A1:A2,TRUE,TRUE),3,2)</t>
  </si>
  <si>
    <t xml:space="preserve">INDEX(_xlfn.ORG.LIBREOFFICE.FOURIER(Data!A1:A2,TRUE,TRUE),ROWS(_xlfn.ORG.LIBREOFFICE.FOURIER(Data!A1:A2,TRUE,TRUE)),1)</t>
  </si>
  <si>
    <t xml:space="preserve">INDEX(_xlfn.ORG.LIBREOFFICE.FOURIER(Data!A1:A2,TRUE,TRUE),ROWS(_xlfn.ORG.LIBREOFFICE.FOURIER(Data!A1:A2,TRUE,TRUE)),2)</t>
  </si>
  <si>
    <t xml:space="preserve">SUM(_xlfn.ORG.LIBREOFFICE.FOURIER(Data!A1:A2,TRUE,FALSE,TRUE))</t>
  </si>
  <si>
    <t xml:space="preserve">INDEX(_xlfn.ORG.LIBREOFFICE.FOURIER(Data!A1:A2,TRUE,FALSE,TRUE),1,1)</t>
  </si>
  <si>
    <t xml:space="preserve">INDEX(_xlfn.ORG.LIBREOFFICE.FOURIER(Data!A1:A2,TRUE,FALSE,TRUE),2,1)</t>
  </si>
  <si>
    <t xml:space="preserve">INDEX(_xlfn.ORG.LIBREOFFICE.FOURIER(Data!A1:A2,TRUE,FALSE,TRUE),2,2)</t>
  </si>
  <si>
    <t xml:space="preserve">INDEX(_xlfn.ORG.LIBREOFFICE.FOURIER(Data!A1:A2,TRUE,FALSE,TRUE),3,2)</t>
  </si>
  <si>
    <t xml:space="preserve">INDEX(_xlfn.ORG.LIBREOFFICE.FOURIER(Data!A1:A2,TRUE,FALSE,TRUE),ROWS(_xlfn.ORG.LIBREOFFICE.FOURIER(Data!A1:A2,TRUE,FALSE,TRUE)),1)</t>
  </si>
  <si>
    <t xml:space="preserve">INDEX(_xlfn.ORG.LIBREOFFICE.FOURIER(Data!A1:A2,TRUE,FALSE,TRUE),ROWS(_xlfn.ORG.LIBREOFFICE.FOURIER(Data!A1:A2,TRUE,FALSE,TRUE)),2)</t>
  </si>
  <si>
    <t xml:space="preserve">SUM(_xlfn.ORG.LIBREOFFICE.FOURIER(Data!A1:A2,TRUE,TRUE,TRUE))</t>
  </si>
  <si>
    <t xml:space="preserve">INDEX(_xlfn.ORG.LIBREOFFICE.FOURIER(Data!A1:A2,TRUE,TRUE,TRUE),1,1)</t>
  </si>
  <si>
    <t xml:space="preserve">INDEX(_xlfn.ORG.LIBREOFFICE.FOURIER(Data!A1:A2,TRUE,TRUE,TRUE),2,1)</t>
  </si>
  <si>
    <t xml:space="preserve">INDEX(_xlfn.ORG.LIBREOFFICE.FOURIER(Data!A1:A2,TRUE,TRUE,TRUE),2,2)</t>
  </si>
  <si>
    <t xml:space="preserve">INDEX(_xlfn.ORG.LIBREOFFICE.FOURIER(Data!A1:A2,TRUE,TRUE,TRUE),3,2)</t>
  </si>
  <si>
    <t xml:space="preserve">INDEX(_xlfn.ORG.LIBREOFFICE.FOURIER(Data!A1:A2,TRUE,TRUE,TRUE),ROWS(_xlfn.ORG.LIBREOFFICE.FOURIER(Data!A1:A2,TRUE,TRUE,TRUE)),1)</t>
  </si>
  <si>
    <t xml:space="preserve">INDEX(_xlfn.ORG.LIBREOFFICE.FOURIER(Data!A1:A2,TRUE,TRUE,TRUE),ROWS(_xlfn.ORG.LIBREOFFICE.FOURIER(Data!A1:A2,TRUE,TRUE,TRUE)),2)</t>
  </si>
  <si>
    <t xml:space="preserve">SUM(_xlfn.ORG.LIBREOFFICE.FOURIER(Data!A1:A2,TRUE,FALSE,TRUE,1))</t>
  </si>
  <si>
    <t xml:space="preserve">INDEX(_xlfn.ORG.LIBREOFFICE.FOURIER(Data!A1:A2,TRUE,FALSE,TRUE,1),1,1)</t>
  </si>
  <si>
    <t xml:space="preserve">INDEX(_xlfn.ORG.LIBREOFFICE.FOURIER(Data!A1:A2,TRUE,FALSE,TRUE,1),2,1)</t>
  </si>
  <si>
    <t xml:space="preserve">INDEX(_xlfn.ORG.LIBREOFFICE.FOURIER(Data!A1:A2,TRUE,FALSE,TRUE,1),2,2)</t>
  </si>
  <si>
    <t xml:space="preserve">INDEX(_xlfn.ORG.LIBREOFFICE.FOURIER(Data!A1:A2,TRUE,FALSE,TRUE,1),3,2)</t>
  </si>
  <si>
    <t xml:space="preserve">INDEX(_xlfn.ORG.LIBREOFFICE.FOURIER(Data!A1:A2,TRUE,FALSE,TRUE,1),ROWS(_xlfn.ORG.LIBREOFFICE.FOURIER(Data!A1:A2,TRUE,FALSE,TRUE,1)),1)</t>
  </si>
  <si>
    <t xml:space="preserve">INDEX(_xlfn.ORG.LIBREOFFICE.FOURIER(Data!A1:A2,TRUE,FALSE,TRUE,1),ROWS(_xlfn.ORG.LIBREOFFICE.FOURIER(Data!A1:A2,TRUE,FALSE,TRUE,1)),2)</t>
  </si>
  <si>
    <t xml:space="preserve">SUM(_xlfn.ORG.LIBREOFFICE.FOURIER(Data!A1:A2,TRUE,TRUE,TRUE,5))</t>
  </si>
  <si>
    <t xml:space="preserve">INDEX(_xlfn.ORG.LIBREOFFICE.FOURIER(Data!A1:A2,TRUE,TRUE,TRUE,5),1,1)</t>
  </si>
  <si>
    <t xml:space="preserve">INDEX(_xlfn.ORG.LIBREOFFICE.FOURIER(Data!A1:A2,TRUE,TRUE,TRUE,5),2,1)</t>
  </si>
  <si>
    <t xml:space="preserve">INDEX(_xlfn.ORG.LIBREOFFICE.FOURIER(Data!A1:A2,TRUE,TRUE,TRUE,5),2,2)</t>
  </si>
  <si>
    <t xml:space="preserve">INDEX(_xlfn.ORG.LIBREOFFICE.FOURIER(Data!A1:A2,TRUE,TRUE,TRUE,5),3,2)</t>
  </si>
  <si>
    <t xml:space="preserve">INDEX(_xlfn.ORG.LIBREOFFICE.FOURIER(Data!A1:A2,TRUE,TRUE,TRUE,5),ROWS(_xlfn.ORG.LIBREOFFICE.FOURIER(Data!A1:A2,TRUE,TRUE,TRUE,5)),1)</t>
  </si>
  <si>
    <t xml:space="preserve">INDEX(_xlfn.ORG.LIBREOFFICE.FOURIER(Data!A1:A2,TRUE,TRUE,TRUE,5),ROWS(_xlfn.ORG.LIBREOFFICE.FOURIER(Data!A1:A2,TRUE,TRUE,TRUE,5)),2)</t>
  </si>
  <si>
    <t xml:space="preserve">ROWS(_xlfn.ORG.LIBREOFFICE.FOURIER(Data!A1:A2,FALSE))</t>
  </si>
  <si>
    <t xml:space="preserve">COLUMNS(_xlfn.ORG.LIBREOFFICE.FOURIER(Data!A1:A2,FALSE))</t>
  </si>
  <si>
    <t xml:space="preserve">SUM(_xlfn.ORG.LIBREOFFICE.FOURIER(Data!A1:A2,FALSE))</t>
  </si>
  <si>
    <t xml:space="preserve">INDEX(_xlfn.ORG.LIBREOFFICE.FOURIER(Data!A1:A2,FALSE),1,1)</t>
  </si>
  <si>
    <t xml:space="preserve">INDEX(_xlfn.ORG.LIBREOFFICE.FOURIER(Data!A1:A2,FALSE),2,1)</t>
  </si>
  <si>
    <t xml:space="preserve">INDEX(_xlfn.ORG.LIBREOFFICE.FOURIER(Data!A1:A2,FALSE),2,2)</t>
  </si>
  <si>
    <t xml:space="preserve">INDEX(_xlfn.ORG.LIBREOFFICE.FOURIER(Data!A1:A2,FALSE),3,2)</t>
  </si>
  <si>
    <t xml:space="preserve">INDEX(_xlfn.ORG.LIBREOFFICE.FOURIER(Data!A1:A2,FALSE),ROWS(_xlfn.ORG.LIBREOFFICE.FOURIER(Data!A1:A2,FALSE)),1)</t>
  </si>
  <si>
    <t xml:space="preserve">INDEX(_xlfn.ORG.LIBREOFFICE.FOURIER(Data!A1:A2,FALSE),ROWS(_xlfn.ORG.LIBREOFFICE.FOURIER(Data!A1:A2,FALSE)),2)</t>
  </si>
  <si>
    <t xml:space="preserve">SUM(_xlfn.ORG.LIBREOFFICE.FOURIER(Data!A1:A2,FALSE,TRUE))</t>
  </si>
  <si>
    <t xml:space="preserve">INDEX(_xlfn.ORG.LIBREOFFICE.FOURIER(Data!A1:A2,FALSE,TRUE),1,1)</t>
  </si>
  <si>
    <t xml:space="preserve">INDEX(_xlfn.ORG.LIBREOFFICE.FOURIER(Data!A1:A2,FALSE,TRUE),2,1)</t>
  </si>
  <si>
    <t xml:space="preserve">INDEX(_xlfn.ORG.LIBREOFFICE.FOURIER(Data!A1:A2,FALSE,TRUE),2,2)</t>
  </si>
  <si>
    <t xml:space="preserve">INDEX(_xlfn.ORG.LIBREOFFICE.FOURIER(Data!A1:A2,FALSE,TRUE),3,2)</t>
  </si>
  <si>
    <t xml:space="preserve">INDEX(_xlfn.ORG.LIBREOFFICE.FOURIER(Data!A1:A2,FALSE,TRUE),ROWS(_xlfn.ORG.LIBREOFFICE.FOURIER(Data!A1:A2,FALSE,TRUE)),1)</t>
  </si>
  <si>
    <t xml:space="preserve">INDEX(_xlfn.ORG.LIBREOFFICE.FOURIER(Data!A1:A2,FALSE,TRUE),ROWS(_xlfn.ORG.LIBREOFFICE.FOURIER(Data!A1:A2,FALSE,TRUE)),2)</t>
  </si>
  <si>
    <t xml:space="preserve">SUM(_xlfn.ORG.LIBREOFFICE.FOURIER(Data!A1:A2,FALSE,FALSE,TRUE))</t>
  </si>
  <si>
    <t xml:space="preserve">INDEX(_xlfn.ORG.LIBREOFFICE.FOURIER(Data!A1:A2,FALSE,FALSE,TRUE),1,1)</t>
  </si>
  <si>
    <t xml:space="preserve">INDEX(_xlfn.ORG.LIBREOFFICE.FOURIER(Data!A1:A2,FALSE,FALSE,TRUE),2,1)</t>
  </si>
  <si>
    <t xml:space="preserve">INDEX(_xlfn.ORG.LIBREOFFICE.FOURIER(Data!A1:A2,FALSE,FALSE,TRUE),2,2)</t>
  </si>
  <si>
    <t xml:space="preserve">INDEX(_xlfn.ORG.LIBREOFFICE.FOURIER(Data!A1:A2,FALSE,FALSE,TRUE),3,2)</t>
  </si>
  <si>
    <t xml:space="preserve">INDEX(_xlfn.ORG.LIBREOFFICE.FOURIER(Data!A1:A2,FALSE,FALSE,TRUE),ROWS(_xlfn.ORG.LIBREOFFICE.FOURIER(Data!A1:A2,FALSE,FALSE,TRUE)),1)</t>
  </si>
  <si>
    <t xml:space="preserve">INDEX(_xlfn.ORG.LIBREOFFICE.FOURIER(Data!A1:A2,FALSE,FALSE,TRUE),ROWS(_xlfn.ORG.LIBREOFFICE.FOURIER(Data!A1:A2,FALSE,FALSE,TRUE)),2)</t>
  </si>
  <si>
    <t xml:space="preserve">SUM(_xlfn.ORG.LIBREOFFICE.FOURIER(Data!A1:A2,FALSE,TRUE,TRUE))</t>
  </si>
  <si>
    <t xml:space="preserve">INDEX(_xlfn.ORG.LIBREOFFICE.FOURIER(Data!A1:A2,FALSE,TRUE,TRUE),1,1)</t>
  </si>
  <si>
    <t xml:space="preserve">INDEX(_xlfn.ORG.LIBREOFFICE.FOURIER(Data!A1:A2,FALSE,TRUE,TRUE),2,1)</t>
  </si>
  <si>
    <t xml:space="preserve">INDEX(_xlfn.ORG.LIBREOFFICE.FOURIER(Data!A1:A2,FALSE,TRUE,TRUE),2,2)</t>
  </si>
  <si>
    <t xml:space="preserve">INDEX(_xlfn.ORG.LIBREOFFICE.FOURIER(Data!A1:A2,FALSE,TRUE,TRUE),3,2)</t>
  </si>
  <si>
    <t xml:space="preserve">INDEX(_xlfn.ORG.LIBREOFFICE.FOURIER(Data!A1:A2,FALSE,TRUE,TRUE),ROWS(_xlfn.ORG.LIBREOFFICE.FOURIER(Data!A1:A2,FALSE,TRUE,TRUE)),1)</t>
  </si>
  <si>
    <t xml:space="preserve">INDEX(_xlfn.ORG.LIBREOFFICE.FOURIER(Data!A1:A2,FALSE,TRUE,TRUE),ROWS(_xlfn.ORG.LIBREOFFICE.FOURIER(Data!A1:A2,FALSE,TRUE,TRUE)),2)</t>
  </si>
  <si>
    <t xml:space="preserve">SUM(_xlfn.ORG.LIBREOFFICE.FOURIER(Data!A1:A2,FALSE,FALSE,TRUE,1))</t>
  </si>
  <si>
    <t xml:space="preserve">INDEX(_xlfn.ORG.LIBREOFFICE.FOURIER(Data!A1:A2,FALSE,FALSE,TRUE,1),1,1)</t>
  </si>
  <si>
    <t xml:space="preserve">INDEX(_xlfn.ORG.LIBREOFFICE.FOURIER(Data!A1:A2,FALSE,FALSE,TRUE,1),2,1)</t>
  </si>
  <si>
    <t xml:space="preserve">INDEX(_xlfn.ORG.LIBREOFFICE.FOURIER(Data!A1:A2,FALSE,FALSE,TRUE,1),2,2)</t>
  </si>
  <si>
    <t xml:space="preserve">INDEX(_xlfn.ORG.LIBREOFFICE.FOURIER(Data!A1:A2,FALSE,FALSE,TRUE,1),3,2)</t>
  </si>
  <si>
    <t xml:space="preserve">INDEX(_xlfn.ORG.LIBREOFFICE.FOURIER(Data!A1:A2,FALSE,FALSE,TRUE,1),ROWS(_xlfn.ORG.LIBREOFFICE.FOURIER(Data!A1:A2,FALSE,FALSE,TRUE,1)),1)</t>
  </si>
  <si>
    <t xml:space="preserve">INDEX(_xlfn.ORG.LIBREOFFICE.FOURIER(Data!A1:A2,FALSE,FALSE,TRUE,1),ROWS(_xlfn.ORG.LIBREOFFICE.FOURIER(Data!A1:A2,FALSE,FALSE,TRUE,1)),2)</t>
  </si>
  <si>
    <t xml:space="preserve">SUM(_xlfn.ORG.LIBREOFFICE.FOURIER(Data!A1:A2,FALSE,TRUE,TRUE,5))</t>
  </si>
  <si>
    <t xml:space="preserve">INDEX(_xlfn.ORG.LIBREOFFICE.FOURIER(Data!A1:A2,FALSE,TRUE,TRUE,5),1,1)</t>
  </si>
  <si>
    <t xml:space="preserve">INDEX(_xlfn.ORG.LIBREOFFICE.FOURIER(Data!A1:A2,FALSE,TRUE,TRUE,5),2,1)</t>
  </si>
  <si>
    <t xml:space="preserve">INDEX(_xlfn.ORG.LIBREOFFICE.FOURIER(Data!A1:A2,FALSE,TRUE,TRUE,5),2,2)</t>
  </si>
  <si>
    <t xml:space="preserve">INDEX(_xlfn.ORG.LIBREOFFICE.FOURIER(Data!A1:A2,FALSE,TRUE,TRUE,5),3,2)</t>
  </si>
  <si>
    <t xml:space="preserve">INDEX(_xlfn.ORG.LIBREOFFICE.FOURIER(Data!A1:A2,FALSE,TRUE,TRUE,5),ROWS(_xlfn.ORG.LIBREOFFICE.FOURIER(Data!A1:A2,FALSE,TRUE,TRUE,5)),1)</t>
  </si>
  <si>
    <t xml:space="preserve">INDEX(_xlfn.ORG.LIBREOFFICE.FOURIER(Data!A1:A2,FALSE,TRUE,TRUE,5),ROWS(_xlfn.ORG.LIBREOFFICE.FOURIER(Data!A1:A2,FALSE,TRUE,TRUE,5)),2)</t>
  </si>
  <si>
    <t xml:space="preserve">ROWS(_xlfn.ORG.LIBREOFFICE.FOURIER(Data!A1:A1,TRUE))</t>
  </si>
  <si>
    <t xml:space="preserve">COLUMNS(_xlfn.ORG.LIBREOFFICE.FOURIER(Data!A1:A1,TRUE))</t>
  </si>
  <si>
    <t xml:space="preserve">SUM(_xlfn.ORG.LIBREOFFICE.FOURIER(Data!A1:A1,TRUE))</t>
  </si>
  <si>
    <t xml:space="preserve">INDEX(_xlfn.ORG.LIBREOFFICE.FOURIER(Data!A1:A1,TRUE),1,1)</t>
  </si>
  <si>
    <t xml:space="preserve">INDEX(_xlfn.ORG.LIBREOFFICE.FOURIER(Data!A1:A1,TRUE),2,1)</t>
  </si>
  <si>
    <t xml:space="preserve">INDEX(_xlfn.ORG.LIBREOFFICE.FOURIER(Data!A1:A1,TRUE),2,2)</t>
  </si>
  <si>
    <t xml:space="preserve">INDEX(_xlfn.ORG.LIBREOFFICE.FOURIER(Data!A1:A1,TRUE),3,2)</t>
  </si>
  <si>
    <t xml:space="preserve">INDEX(_xlfn.ORG.LIBREOFFICE.FOURIER(Data!A1:A1,TRUE),ROWS(_xlfn.ORG.LIBREOFFICE.FOURIER(Data!A1:A1,TRUE)),1)</t>
  </si>
  <si>
    <t xml:space="preserve">INDEX(_xlfn.ORG.LIBREOFFICE.FOURIER(Data!A1:A1,TRUE),ROWS(_xlfn.ORG.LIBREOFFICE.FOURIER(Data!A1:A1,TRUE)),2)</t>
  </si>
  <si>
    <t xml:space="preserve">SUM(_xlfn.ORG.LIBREOFFICE.FOURIER(Data!A1:A1,TRUE,TRUE))</t>
  </si>
  <si>
    <t xml:space="preserve">INDEX(_xlfn.ORG.LIBREOFFICE.FOURIER(Data!A1:A1,TRUE,TRUE),1,1)</t>
  </si>
  <si>
    <t xml:space="preserve">INDEX(_xlfn.ORG.LIBREOFFICE.FOURIER(Data!A1:A1,TRUE,TRUE),2,1)</t>
  </si>
  <si>
    <t xml:space="preserve">INDEX(_xlfn.ORG.LIBREOFFICE.FOURIER(Data!A1:A1,TRUE,TRUE),2,2)</t>
  </si>
  <si>
    <t xml:space="preserve">INDEX(_xlfn.ORG.LIBREOFFICE.FOURIER(Data!A1:A1,TRUE,TRUE),3,2)</t>
  </si>
  <si>
    <t xml:space="preserve">INDEX(_xlfn.ORG.LIBREOFFICE.FOURIER(Data!A1:A1,TRUE,TRUE),ROWS(_xlfn.ORG.LIBREOFFICE.FOURIER(Data!A1:A1,TRUE,TRUE)),1)</t>
  </si>
  <si>
    <t xml:space="preserve">INDEX(_xlfn.ORG.LIBREOFFICE.FOURIER(Data!A1:A1,TRUE,TRUE),ROWS(_xlfn.ORG.LIBREOFFICE.FOURIER(Data!A1:A1,TRUE,TRUE)),2)</t>
  </si>
  <si>
    <t xml:space="preserve">SUM(_xlfn.ORG.LIBREOFFICE.FOURIER(Data!A1:A1,TRUE,FALSE,TRUE))</t>
  </si>
  <si>
    <t xml:space="preserve">INDEX(_xlfn.ORG.LIBREOFFICE.FOURIER(Data!A1:A1,TRUE,FALSE,TRUE),1,1)</t>
  </si>
  <si>
    <t xml:space="preserve">INDEX(_xlfn.ORG.LIBREOFFICE.FOURIER(Data!A1:A1,TRUE,FALSE,TRUE),2,1)</t>
  </si>
  <si>
    <t xml:space="preserve">INDEX(_xlfn.ORG.LIBREOFFICE.FOURIER(Data!A1:A1,TRUE,FALSE,TRUE),2,2)</t>
  </si>
  <si>
    <t xml:space="preserve">INDEX(_xlfn.ORG.LIBREOFFICE.FOURIER(Data!A1:A1,TRUE,FALSE,TRUE),3,2)</t>
  </si>
  <si>
    <t xml:space="preserve">INDEX(_xlfn.ORG.LIBREOFFICE.FOURIER(Data!A1:A1,TRUE,FALSE,TRUE),ROWS(_xlfn.ORG.LIBREOFFICE.FOURIER(Data!A1:A1,TRUE,FALSE,TRUE)),1)</t>
  </si>
  <si>
    <t xml:space="preserve">INDEX(_xlfn.ORG.LIBREOFFICE.FOURIER(Data!A1:A1,TRUE,FALSE,TRUE),ROWS(_xlfn.ORG.LIBREOFFICE.FOURIER(Data!A1:A1,TRUE,FALSE,TRUE)),2)</t>
  </si>
  <si>
    <t xml:space="preserve">SUM(_xlfn.ORG.LIBREOFFICE.FOURIER(Data!A1:A1,TRUE,TRUE,TRUE))</t>
  </si>
  <si>
    <t xml:space="preserve">INDEX(_xlfn.ORG.LIBREOFFICE.FOURIER(Data!A1:A1,TRUE,TRUE,TRUE),1,1)</t>
  </si>
  <si>
    <t xml:space="preserve">INDEX(_xlfn.ORG.LIBREOFFICE.FOURIER(Data!A1:A1,TRUE,TRUE,TRUE),2,1)</t>
  </si>
  <si>
    <t xml:space="preserve">INDEX(_xlfn.ORG.LIBREOFFICE.FOURIER(Data!A1:A1,TRUE,TRUE,TRUE),2,2)</t>
  </si>
  <si>
    <t xml:space="preserve">INDEX(_xlfn.ORG.LIBREOFFICE.FOURIER(Data!A1:A1,TRUE,TRUE,TRUE),3,2)</t>
  </si>
  <si>
    <t xml:space="preserve">INDEX(_xlfn.ORG.LIBREOFFICE.FOURIER(Data!A1:A1,TRUE,TRUE,TRUE),ROWS(_xlfn.ORG.LIBREOFFICE.FOURIER(Data!A1:A1,TRUE,TRUE,TRUE)),1)</t>
  </si>
  <si>
    <t xml:space="preserve">INDEX(_xlfn.ORG.LIBREOFFICE.FOURIER(Data!A1:A1,TRUE,TRUE,TRUE),ROWS(_xlfn.ORG.LIBREOFFICE.FOURIER(Data!A1:A1,TRUE,TRUE,TRUE)),2)</t>
  </si>
  <si>
    <t xml:space="preserve">SUM(_xlfn.ORG.LIBREOFFICE.FOURIER(Data!A1:A1,TRUE,FALSE,TRUE,1))</t>
  </si>
  <si>
    <t xml:space="preserve">INDEX(_xlfn.ORG.LIBREOFFICE.FOURIER(Data!A1:A1,TRUE,FALSE,TRUE,1),1,1)</t>
  </si>
  <si>
    <t xml:space="preserve">INDEX(_xlfn.ORG.LIBREOFFICE.FOURIER(Data!A1:A1,TRUE,FALSE,TRUE,1),2,1)</t>
  </si>
  <si>
    <t xml:space="preserve">INDEX(_xlfn.ORG.LIBREOFFICE.FOURIER(Data!A1:A1,TRUE,FALSE,TRUE,1),2,2)</t>
  </si>
  <si>
    <t xml:space="preserve">INDEX(_xlfn.ORG.LIBREOFFICE.FOURIER(Data!A1:A1,TRUE,FALSE,TRUE,1),3,2)</t>
  </si>
  <si>
    <t xml:space="preserve">INDEX(_xlfn.ORG.LIBREOFFICE.FOURIER(Data!A1:A1,TRUE,FALSE,TRUE,1),ROWS(_xlfn.ORG.LIBREOFFICE.FOURIER(Data!A1:A1,TRUE,FALSE,TRUE,1)),1)</t>
  </si>
  <si>
    <t xml:space="preserve">INDEX(_xlfn.ORG.LIBREOFFICE.FOURIER(Data!A1:A1,TRUE,FALSE,TRUE,1),ROWS(_xlfn.ORG.LIBREOFFICE.FOURIER(Data!A1:A1,TRUE,FALSE,TRUE,1)),2)</t>
  </si>
  <si>
    <t xml:space="preserve">SUM(_xlfn.ORG.LIBREOFFICE.FOURIER(Data!A1:A1,TRUE,TRUE,TRUE,5))</t>
  </si>
  <si>
    <t xml:space="preserve">INDEX(_xlfn.ORG.LIBREOFFICE.FOURIER(Data!A1:A1,TRUE,TRUE,TRUE,5),1,1)</t>
  </si>
  <si>
    <t xml:space="preserve">INDEX(_xlfn.ORG.LIBREOFFICE.FOURIER(Data!A1:A1,TRUE,TRUE,TRUE,5),2,1)</t>
  </si>
  <si>
    <t xml:space="preserve">INDEX(_xlfn.ORG.LIBREOFFICE.FOURIER(Data!A1:A1,TRUE,TRUE,TRUE,5),2,2)</t>
  </si>
  <si>
    <t xml:space="preserve">INDEX(_xlfn.ORG.LIBREOFFICE.FOURIER(Data!A1:A1,TRUE,TRUE,TRUE,5),3,2)</t>
  </si>
  <si>
    <t xml:space="preserve">INDEX(_xlfn.ORG.LIBREOFFICE.FOURIER(Data!A1:A1,TRUE,TRUE,TRUE,5),ROWS(_xlfn.ORG.LIBREOFFICE.FOURIER(Data!A1:A1,TRUE,TRUE,TRUE,5)),1)</t>
  </si>
  <si>
    <t xml:space="preserve">INDEX(_xlfn.ORG.LIBREOFFICE.FOURIER(Data!A1:A1,TRUE,TRUE,TRUE,5),ROWS(_xlfn.ORG.LIBREOFFICE.FOURIER(Data!A1:A1,TRUE,TRUE,TRUE,5)),2)</t>
  </si>
  <si>
    <t xml:space="preserve">ROWS(_xlfn.ORG.LIBREOFFICE.FOURIER(Data!A1:A1,FALSE))</t>
  </si>
  <si>
    <t xml:space="preserve">COLUMNS(_xlfn.ORG.LIBREOFFICE.FOURIER(Data!A1:A1,FALSE))</t>
  </si>
  <si>
    <t xml:space="preserve">SUM(_xlfn.ORG.LIBREOFFICE.FOURIER(Data!A1:A1,FALSE))</t>
  </si>
  <si>
    <t xml:space="preserve">INDEX(_xlfn.ORG.LIBREOFFICE.FOURIER(Data!A1:A1,FALSE),1,1)</t>
  </si>
  <si>
    <t xml:space="preserve">INDEX(_xlfn.ORG.LIBREOFFICE.FOURIER(Data!A1:A1,FALSE),2,1)</t>
  </si>
  <si>
    <t xml:space="preserve">INDEX(_xlfn.ORG.LIBREOFFICE.FOURIER(Data!A1:A1,FALSE),2,2)</t>
  </si>
  <si>
    <t xml:space="preserve">INDEX(_xlfn.ORG.LIBREOFFICE.FOURIER(Data!A1:A1,FALSE),3,2)</t>
  </si>
  <si>
    <t xml:space="preserve">INDEX(_xlfn.ORG.LIBREOFFICE.FOURIER(Data!A1:A1,FALSE),ROWS(_xlfn.ORG.LIBREOFFICE.FOURIER(Data!A1:A1,FALSE)),1)</t>
  </si>
  <si>
    <t xml:space="preserve">INDEX(_xlfn.ORG.LIBREOFFICE.FOURIER(Data!A1:A1,FALSE),ROWS(_xlfn.ORG.LIBREOFFICE.FOURIER(Data!A1:A1,FALSE)),2)</t>
  </si>
  <si>
    <t xml:space="preserve">SUM(_xlfn.ORG.LIBREOFFICE.FOURIER(Data!A1:A1,FALSE,TRUE))</t>
  </si>
  <si>
    <t xml:space="preserve">INDEX(_xlfn.ORG.LIBREOFFICE.FOURIER(Data!A1:A1,FALSE,TRUE),1,1)</t>
  </si>
  <si>
    <t xml:space="preserve">INDEX(_xlfn.ORG.LIBREOFFICE.FOURIER(Data!A1:A1,FALSE,TRUE),2,1)</t>
  </si>
  <si>
    <t xml:space="preserve">INDEX(_xlfn.ORG.LIBREOFFICE.FOURIER(Data!A1:A1,FALSE,TRUE),2,2)</t>
  </si>
  <si>
    <t xml:space="preserve">INDEX(_xlfn.ORG.LIBREOFFICE.FOURIER(Data!A1:A1,FALSE,TRUE),3,2)</t>
  </si>
  <si>
    <t xml:space="preserve">INDEX(_xlfn.ORG.LIBREOFFICE.FOURIER(Data!A1:A1,FALSE,TRUE),ROWS(_xlfn.ORG.LIBREOFFICE.FOURIER(Data!A1:A1,FALSE,TRUE)),1)</t>
  </si>
  <si>
    <t xml:space="preserve">INDEX(_xlfn.ORG.LIBREOFFICE.FOURIER(Data!A1:A1,FALSE,TRUE),ROWS(_xlfn.ORG.LIBREOFFICE.FOURIER(Data!A1:A1,FALSE,TRUE)),2)</t>
  </si>
  <si>
    <t xml:space="preserve">SUM(_xlfn.ORG.LIBREOFFICE.FOURIER(Data!A1:A1,FALSE,FALSE,TRUE))</t>
  </si>
  <si>
    <t xml:space="preserve">INDEX(_xlfn.ORG.LIBREOFFICE.FOURIER(Data!A1:A1,FALSE,FALSE,TRUE),1,1)</t>
  </si>
  <si>
    <t xml:space="preserve">INDEX(_xlfn.ORG.LIBREOFFICE.FOURIER(Data!A1:A1,FALSE,FALSE,TRUE),2,1)</t>
  </si>
  <si>
    <t xml:space="preserve">INDEX(_xlfn.ORG.LIBREOFFICE.FOURIER(Data!A1:A1,FALSE,FALSE,TRUE),2,2)</t>
  </si>
  <si>
    <t xml:space="preserve">INDEX(_xlfn.ORG.LIBREOFFICE.FOURIER(Data!A1:A1,FALSE,FALSE,TRUE),3,2)</t>
  </si>
  <si>
    <t xml:space="preserve">INDEX(_xlfn.ORG.LIBREOFFICE.FOURIER(Data!A1:A1,FALSE,FALSE,TRUE),ROWS(_xlfn.ORG.LIBREOFFICE.FOURIER(Data!A1:A1,FALSE,FALSE,TRUE)),1)</t>
  </si>
  <si>
    <t xml:space="preserve">INDEX(_xlfn.ORG.LIBREOFFICE.FOURIER(Data!A1:A1,FALSE,FALSE,TRUE),ROWS(_xlfn.ORG.LIBREOFFICE.FOURIER(Data!A1:A1,FALSE,FALSE,TRUE)),2)</t>
  </si>
  <si>
    <t xml:space="preserve">SUM(_xlfn.ORG.LIBREOFFICE.FOURIER(Data!A1:A1,FALSE,TRUE,TRUE))</t>
  </si>
  <si>
    <t xml:space="preserve">INDEX(_xlfn.ORG.LIBREOFFICE.FOURIER(Data!A1:A1,FALSE,TRUE,TRUE),1,1)</t>
  </si>
  <si>
    <t xml:space="preserve">INDEX(_xlfn.ORG.LIBREOFFICE.FOURIER(Data!A1:A1,FALSE,TRUE,TRUE),2,1)</t>
  </si>
  <si>
    <t xml:space="preserve">INDEX(_xlfn.ORG.LIBREOFFICE.FOURIER(Data!A1:A1,FALSE,TRUE,TRUE),2,2)</t>
  </si>
  <si>
    <t xml:space="preserve">INDEX(_xlfn.ORG.LIBREOFFICE.FOURIER(Data!A1:A1,FALSE,TRUE,TRUE),3,2)</t>
  </si>
  <si>
    <t xml:space="preserve">INDEX(_xlfn.ORG.LIBREOFFICE.FOURIER(Data!A1:A1,FALSE,TRUE,TRUE),ROWS(_xlfn.ORG.LIBREOFFICE.FOURIER(Data!A1:A1,FALSE,TRUE,TRUE)),1)</t>
  </si>
  <si>
    <t xml:space="preserve">INDEX(_xlfn.ORG.LIBREOFFICE.FOURIER(Data!A1:A1,FALSE,TRUE,TRUE),ROWS(_xlfn.ORG.LIBREOFFICE.FOURIER(Data!A1:A1,FALSE,TRUE,TRUE)),2)</t>
  </si>
  <si>
    <t xml:space="preserve">SUM(_xlfn.ORG.LIBREOFFICE.FOURIER(Data!A1:A1,FALSE,FALSE,TRUE,1))</t>
  </si>
  <si>
    <t xml:space="preserve">INDEX(_xlfn.ORG.LIBREOFFICE.FOURIER(Data!A1:A1,FALSE,FALSE,TRUE,1),1,1)</t>
  </si>
  <si>
    <t xml:space="preserve">INDEX(_xlfn.ORG.LIBREOFFICE.FOURIER(Data!A1:A1,FALSE,FALSE,TRUE,1),2,1)</t>
  </si>
  <si>
    <t xml:space="preserve">INDEX(_xlfn.ORG.LIBREOFFICE.FOURIER(Data!A1:A1,FALSE,FALSE,TRUE,1),2,2)</t>
  </si>
  <si>
    <t xml:space="preserve">INDEX(_xlfn.ORG.LIBREOFFICE.FOURIER(Data!A1:A1,FALSE,FALSE,TRUE,1),3,2)</t>
  </si>
  <si>
    <t xml:space="preserve">INDEX(_xlfn.ORG.LIBREOFFICE.FOURIER(Data!A1:A1,FALSE,FALSE,TRUE,1),ROWS(_xlfn.ORG.LIBREOFFICE.FOURIER(Data!A1:A1,FALSE,FALSE,TRUE,1)),1)</t>
  </si>
  <si>
    <t xml:space="preserve">INDEX(_xlfn.ORG.LIBREOFFICE.FOURIER(Data!A1:A1,FALSE,FALSE,TRUE,1),ROWS(_xlfn.ORG.LIBREOFFICE.FOURIER(Data!A1:A1,FALSE,FALSE,TRUE,1)),2)</t>
  </si>
  <si>
    <t xml:space="preserve">SUM(_xlfn.ORG.LIBREOFFICE.FOURIER(Data!A1:A1,FALSE,TRUE,TRUE,5))</t>
  </si>
  <si>
    <t xml:space="preserve">INDEX(_xlfn.ORG.LIBREOFFICE.FOURIER(Data!A1:A1,FALSE,TRUE,TRUE,5),1,1)</t>
  </si>
  <si>
    <t xml:space="preserve">INDEX(_xlfn.ORG.LIBREOFFICE.FOURIER(Data!A1:A1,FALSE,TRUE,TRUE,5),2,1)</t>
  </si>
  <si>
    <t xml:space="preserve">INDEX(_xlfn.ORG.LIBREOFFICE.FOURIER(Data!A1:A1,FALSE,TRUE,TRUE,5),2,2)</t>
  </si>
  <si>
    <t xml:space="preserve">INDEX(_xlfn.ORG.LIBREOFFICE.FOURIER(Data!A1:A1,FALSE,TRUE,TRUE,5),3,2)</t>
  </si>
  <si>
    <t xml:space="preserve">INDEX(_xlfn.ORG.LIBREOFFICE.FOURIER(Data!A1:A1,FALSE,TRUE,TRUE,5),ROWS(_xlfn.ORG.LIBREOFFICE.FOURIER(Data!A1:A1,FALSE,TRUE,TRUE,5)),1)</t>
  </si>
  <si>
    <t xml:space="preserve">INDEX(_xlfn.ORG.LIBREOFFICE.FOURIER(Data!A1:A1,FALSE,TRUE,TRUE,5),ROWS(_xlfn.ORG.LIBREOFFICE.FOURIER(Data!A1:A1,FALSE,TRUE,TRUE,5)),2)</t>
  </si>
  <si>
    <t xml:space="preserve">ROWS(_xlfn.ORG.LIBREOFFICE.FOURIER(Data!A1:A4,TRUE))</t>
  </si>
  <si>
    <t xml:space="preserve">COLUMNS(_xlfn.ORG.LIBREOFFICE.FOURIER(Data!A1:A4,TRUE))</t>
  </si>
  <si>
    <t xml:space="preserve">SUM(_xlfn.ORG.LIBREOFFICE.FOURIER(Data!A1:A4,TRUE))</t>
  </si>
  <si>
    <t xml:space="preserve">INDEX(_xlfn.ORG.LIBREOFFICE.FOURIER(Data!A1:A4,TRUE),1,1)</t>
  </si>
  <si>
    <t xml:space="preserve">INDEX(_xlfn.ORG.LIBREOFFICE.FOURIER(Data!A1:A4,TRUE),2,1)</t>
  </si>
  <si>
    <t xml:space="preserve">INDEX(_xlfn.ORG.LIBREOFFICE.FOURIER(Data!A1:A4,TRUE),2,2)</t>
  </si>
  <si>
    <t xml:space="preserve">INDEX(_xlfn.ORG.LIBREOFFICE.FOURIER(Data!A1:A4,TRUE),3,2)</t>
  </si>
  <si>
    <t xml:space="preserve">INDEX(_xlfn.ORG.LIBREOFFICE.FOURIER(Data!A1:A4,TRUE),ROWS(_xlfn.ORG.LIBREOFFICE.FOURIER(Data!A1:A4,TRUE)),1)</t>
  </si>
  <si>
    <t xml:space="preserve">INDEX(_xlfn.ORG.LIBREOFFICE.FOURIER(Data!A1:A4,TRUE),ROWS(_xlfn.ORG.LIBREOFFICE.FOURIER(Data!A1:A4,TRUE)),2)</t>
  </si>
  <si>
    <t xml:space="preserve">SUM(_xlfn.ORG.LIBREOFFICE.FOURIER(Data!A1:A4,TRUE,TRUE))</t>
  </si>
  <si>
    <t xml:space="preserve">INDEX(_xlfn.ORG.LIBREOFFICE.FOURIER(Data!A1:A4,TRUE,TRUE),1,1)</t>
  </si>
  <si>
    <t xml:space="preserve">INDEX(_xlfn.ORG.LIBREOFFICE.FOURIER(Data!A1:A4,TRUE,TRUE),2,1)</t>
  </si>
  <si>
    <t xml:space="preserve">INDEX(_xlfn.ORG.LIBREOFFICE.FOURIER(Data!A1:A4,TRUE,TRUE),2,2)</t>
  </si>
  <si>
    <t xml:space="preserve">INDEX(_xlfn.ORG.LIBREOFFICE.FOURIER(Data!A1:A4,TRUE,TRUE),3,2)</t>
  </si>
  <si>
    <t xml:space="preserve">INDEX(_xlfn.ORG.LIBREOFFICE.FOURIER(Data!A1:A4,TRUE,TRUE),ROWS(_xlfn.ORG.LIBREOFFICE.FOURIER(Data!A1:A4,TRUE,TRUE)),1)</t>
  </si>
  <si>
    <t xml:space="preserve">INDEX(_xlfn.ORG.LIBREOFFICE.FOURIER(Data!A1:A4,TRUE,TRUE),ROWS(_xlfn.ORG.LIBREOFFICE.FOURIER(Data!A1:A4,TRUE,TRUE)),2)</t>
  </si>
  <si>
    <t xml:space="preserve">SUM(_xlfn.ORG.LIBREOFFICE.FOURIER(Data!A1:A4,TRUE,FALSE,TRUE))</t>
  </si>
  <si>
    <t xml:space="preserve">INDEX(_xlfn.ORG.LIBREOFFICE.FOURIER(Data!A1:A4,TRUE,FALSE,TRUE),1,1)</t>
  </si>
  <si>
    <t xml:space="preserve">INDEX(_xlfn.ORG.LIBREOFFICE.FOURIER(Data!A1:A4,TRUE,FALSE,TRUE),2,1)</t>
  </si>
  <si>
    <t xml:space="preserve">INDEX(_xlfn.ORG.LIBREOFFICE.FOURIER(Data!A1:A4,TRUE,FALSE,TRUE),2,2)</t>
  </si>
  <si>
    <t xml:space="preserve">INDEX(_xlfn.ORG.LIBREOFFICE.FOURIER(Data!A1:A4,TRUE,FALSE,TRUE),3,2)</t>
  </si>
  <si>
    <t xml:space="preserve">INDEX(_xlfn.ORG.LIBREOFFICE.FOURIER(Data!A1:A4,TRUE,FALSE,TRUE),ROWS(_xlfn.ORG.LIBREOFFICE.FOURIER(Data!A1:A4,TRUE,FALSE,TRUE)),1)</t>
  </si>
  <si>
    <t xml:space="preserve">INDEX(_xlfn.ORG.LIBREOFFICE.FOURIER(Data!A1:A4,TRUE,FALSE,TRUE),ROWS(_xlfn.ORG.LIBREOFFICE.FOURIER(Data!A1:A4,TRUE,FALSE,TRUE)),2)</t>
  </si>
  <si>
    <t xml:space="preserve">SUM(_xlfn.ORG.LIBREOFFICE.FOURIER(Data!A1:A4,TRUE,TRUE,TRUE))</t>
  </si>
  <si>
    <t xml:space="preserve">INDEX(_xlfn.ORG.LIBREOFFICE.FOURIER(Data!A1:A4,TRUE,TRUE,TRUE),1,1)</t>
  </si>
  <si>
    <t xml:space="preserve">INDEX(_xlfn.ORG.LIBREOFFICE.FOURIER(Data!A1:A4,TRUE,TRUE,TRUE),2,1)</t>
  </si>
  <si>
    <t xml:space="preserve">INDEX(_xlfn.ORG.LIBREOFFICE.FOURIER(Data!A1:A4,TRUE,TRUE,TRUE),2,2)</t>
  </si>
  <si>
    <t xml:space="preserve">INDEX(_xlfn.ORG.LIBREOFFICE.FOURIER(Data!A1:A4,TRUE,TRUE,TRUE),3,2)</t>
  </si>
  <si>
    <t xml:space="preserve">INDEX(_xlfn.ORG.LIBREOFFICE.FOURIER(Data!A1:A4,TRUE,TRUE,TRUE),ROWS(_xlfn.ORG.LIBREOFFICE.FOURIER(Data!A1:A4,TRUE,TRUE,TRUE)),1)</t>
  </si>
  <si>
    <t xml:space="preserve">INDEX(_xlfn.ORG.LIBREOFFICE.FOURIER(Data!A1:A4,TRUE,TRUE,TRUE),ROWS(_xlfn.ORG.LIBREOFFICE.FOURIER(Data!A1:A4,TRUE,TRUE,TRUE)),2)</t>
  </si>
  <si>
    <t xml:space="preserve">SUM(_xlfn.ORG.LIBREOFFICE.FOURIER(Data!A1:A4,TRUE,FALSE,TRUE,1))</t>
  </si>
  <si>
    <t xml:space="preserve">INDEX(_xlfn.ORG.LIBREOFFICE.FOURIER(Data!A1:A4,TRUE,FALSE,TRUE,1),1,1)</t>
  </si>
  <si>
    <t xml:space="preserve">INDEX(_xlfn.ORG.LIBREOFFICE.FOURIER(Data!A1:A4,TRUE,FALSE,TRUE,1),2,1)</t>
  </si>
  <si>
    <t xml:space="preserve">INDEX(_xlfn.ORG.LIBREOFFICE.FOURIER(Data!A1:A4,TRUE,FALSE,TRUE,1),2,2)</t>
  </si>
  <si>
    <t xml:space="preserve">INDEX(_xlfn.ORG.LIBREOFFICE.FOURIER(Data!A1:A4,TRUE,FALSE,TRUE,1),3,2)</t>
  </si>
  <si>
    <t xml:space="preserve">INDEX(_xlfn.ORG.LIBREOFFICE.FOURIER(Data!A1:A4,TRUE,FALSE,TRUE,1),ROWS(_xlfn.ORG.LIBREOFFICE.FOURIER(Data!A1:A4,TRUE,FALSE,TRUE,1)),1)</t>
  </si>
  <si>
    <t xml:space="preserve">INDEX(_xlfn.ORG.LIBREOFFICE.FOURIER(Data!A1:A4,TRUE,FALSE,TRUE,1),ROWS(_xlfn.ORG.LIBREOFFICE.FOURIER(Data!A1:A4,TRUE,FALSE,TRUE,1)),2)</t>
  </si>
  <si>
    <t xml:space="preserve">SUM(_xlfn.ORG.LIBREOFFICE.FOURIER(Data!A1:A4,TRUE,TRUE,TRUE,5))</t>
  </si>
  <si>
    <t xml:space="preserve">INDEX(_xlfn.ORG.LIBREOFFICE.FOURIER(Data!A1:A4,TRUE,TRUE,TRUE,5),1,1)</t>
  </si>
  <si>
    <t xml:space="preserve">INDEX(_xlfn.ORG.LIBREOFFICE.FOURIER(Data!A1:A4,TRUE,TRUE,TRUE,5),2,1)</t>
  </si>
  <si>
    <t xml:space="preserve">INDEX(_xlfn.ORG.LIBREOFFICE.FOURIER(Data!A1:A4,TRUE,TRUE,TRUE,5),2,2)</t>
  </si>
  <si>
    <t xml:space="preserve">INDEX(_xlfn.ORG.LIBREOFFICE.FOURIER(Data!A1:A4,TRUE,TRUE,TRUE,5),3,2)</t>
  </si>
  <si>
    <t xml:space="preserve">INDEX(_xlfn.ORG.LIBREOFFICE.FOURIER(Data!A1:A4,TRUE,TRUE,TRUE,5),ROWS(_xlfn.ORG.LIBREOFFICE.FOURIER(Data!A1:A4,TRUE,TRUE,TRUE,5)),1)</t>
  </si>
  <si>
    <t xml:space="preserve">INDEX(_xlfn.ORG.LIBREOFFICE.FOURIER(Data!A1:A4,TRUE,TRUE,TRUE,5),ROWS(_xlfn.ORG.LIBREOFFICE.FOURIER(Data!A1:A4,TRUE,TRUE,TRUE,5)),2)</t>
  </si>
  <si>
    <t xml:space="preserve">ROWS(_xlfn.ORG.LIBREOFFICE.FOURIER(Data!A1:A4,FALSE))</t>
  </si>
  <si>
    <t xml:space="preserve">COLUMNS(_xlfn.ORG.LIBREOFFICE.FOURIER(Data!A1:A4,FALSE))</t>
  </si>
  <si>
    <t xml:space="preserve">SUM(_xlfn.ORG.LIBREOFFICE.FOURIER(Data!A1:A4,FALSE))</t>
  </si>
  <si>
    <t xml:space="preserve">INDEX(_xlfn.ORG.LIBREOFFICE.FOURIER(Data!A1:A4,FALSE),1,1)</t>
  </si>
  <si>
    <t xml:space="preserve">INDEX(_xlfn.ORG.LIBREOFFICE.FOURIER(Data!A1:A4,FALSE),2,1)</t>
  </si>
  <si>
    <t xml:space="preserve">INDEX(_xlfn.ORG.LIBREOFFICE.FOURIER(Data!A1:A4,FALSE),2,2)</t>
  </si>
  <si>
    <t xml:space="preserve">INDEX(_xlfn.ORG.LIBREOFFICE.FOURIER(Data!A1:A4,FALSE),3,2)</t>
  </si>
  <si>
    <t xml:space="preserve">INDEX(_xlfn.ORG.LIBREOFFICE.FOURIER(Data!A1:A4,FALSE),ROWS(_xlfn.ORG.LIBREOFFICE.FOURIER(Data!A1:A4,FALSE)),1)</t>
  </si>
  <si>
    <t xml:space="preserve">INDEX(_xlfn.ORG.LIBREOFFICE.FOURIER(Data!A1:A4,FALSE),ROWS(_xlfn.ORG.LIBREOFFICE.FOURIER(Data!A1:A4,FALSE)),2)</t>
  </si>
  <si>
    <t xml:space="preserve">SUM(_xlfn.ORG.LIBREOFFICE.FOURIER(Data!A1:A4,FALSE,TRUE))</t>
  </si>
  <si>
    <t xml:space="preserve">INDEX(_xlfn.ORG.LIBREOFFICE.FOURIER(Data!A1:A4,FALSE,TRUE),1,1)</t>
  </si>
  <si>
    <t xml:space="preserve">INDEX(_xlfn.ORG.LIBREOFFICE.FOURIER(Data!A1:A4,FALSE,TRUE),2,1)</t>
  </si>
  <si>
    <t xml:space="preserve">INDEX(_xlfn.ORG.LIBREOFFICE.FOURIER(Data!A1:A4,FALSE,TRUE),2,2)</t>
  </si>
  <si>
    <t xml:space="preserve">INDEX(_xlfn.ORG.LIBREOFFICE.FOURIER(Data!A1:A4,FALSE,TRUE),3,2)</t>
  </si>
  <si>
    <t xml:space="preserve">INDEX(_xlfn.ORG.LIBREOFFICE.FOURIER(Data!A1:A4,FALSE,TRUE),ROWS(_xlfn.ORG.LIBREOFFICE.FOURIER(Data!A1:A4,FALSE,TRUE)),1)</t>
  </si>
  <si>
    <t xml:space="preserve">INDEX(_xlfn.ORG.LIBREOFFICE.FOURIER(Data!A1:A4,FALSE,TRUE),ROWS(_xlfn.ORG.LIBREOFFICE.FOURIER(Data!A1:A4,FALSE,TRUE)),2)</t>
  </si>
  <si>
    <t xml:space="preserve">SUM(_xlfn.ORG.LIBREOFFICE.FOURIER(Data!A1:A4,FALSE,FALSE,TRUE))</t>
  </si>
  <si>
    <t xml:space="preserve">INDEX(_xlfn.ORG.LIBREOFFICE.FOURIER(Data!A1:A4,FALSE,FALSE,TRUE),1,1)</t>
  </si>
  <si>
    <t xml:space="preserve">INDEX(_xlfn.ORG.LIBREOFFICE.FOURIER(Data!A1:A4,FALSE,FALSE,TRUE),2,1)</t>
  </si>
  <si>
    <t xml:space="preserve">INDEX(_xlfn.ORG.LIBREOFFICE.FOURIER(Data!A1:A4,FALSE,FALSE,TRUE),2,2)</t>
  </si>
  <si>
    <t xml:space="preserve">INDEX(_xlfn.ORG.LIBREOFFICE.FOURIER(Data!A1:A4,FALSE,FALSE,TRUE),3,2)</t>
  </si>
  <si>
    <t xml:space="preserve">INDEX(_xlfn.ORG.LIBREOFFICE.FOURIER(Data!A1:A4,FALSE,FALSE,TRUE),ROWS(_xlfn.ORG.LIBREOFFICE.FOURIER(Data!A1:A4,FALSE,FALSE,TRUE)),1)</t>
  </si>
  <si>
    <t xml:space="preserve">INDEX(_xlfn.ORG.LIBREOFFICE.FOURIER(Data!A1:A4,FALSE,FALSE,TRUE),ROWS(_xlfn.ORG.LIBREOFFICE.FOURIER(Data!A1:A4,FALSE,FALSE,TRUE)),2)</t>
  </si>
  <si>
    <t xml:space="preserve">SUM(_xlfn.ORG.LIBREOFFICE.FOURIER(Data!A1:A4,FALSE,TRUE,TRUE))</t>
  </si>
  <si>
    <t xml:space="preserve">INDEX(_xlfn.ORG.LIBREOFFICE.FOURIER(Data!A1:A4,FALSE,TRUE,TRUE),1,1)</t>
  </si>
  <si>
    <t xml:space="preserve">INDEX(_xlfn.ORG.LIBREOFFICE.FOURIER(Data!A1:A4,FALSE,TRUE,TRUE),2,1)</t>
  </si>
  <si>
    <t xml:space="preserve">INDEX(_xlfn.ORG.LIBREOFFICE.FOURIER(Data!A1:A4,FALSE,TRUE,TRUE),2,2)</t>
  </si>
  <si>
    <t xml:space="preserve">INDEX(_xlfn.ORG.LIBREOFFICE.FOURIER(Data!A1:A4,FALSE,TRUE,TRUE),3,2)</t>
  </si>
  <si>
    <t xml:space="preserve">INDEX(_xlfn.ORG.LIBREOFFICE.FOURIER(Data!A1:A4,FALSE,TRUE,TRUE),ROWS(_xlfn.ORG.LIBREOFFICE.FOURIER(Data!A1:A4,FALSE,TRUE,TRUE)),1)</t>
  </si>
  <si>
    <t xml:space="preserve">INDEX(_xlfn.ORG.LIBREOFFICE.FOURIER(Data!A1:A4,FALSE,TRUE,TRUE),ROWS(_xlfn.ORG.LIBREOFFICE.FOURIER(Data!A1:A4,FALSE,TRUE,TRUE)),2)</t>
  </si>
  <si>
    <t xml:space="preserve">SUM(_xlfn.ORG.LIBREOFFICE.FOURIER(Data!A1:A4,FALSE,FALSE,TRUE,1))</t>
  </si>
  <si>
    <t xml:space="preserve">INDEX(_xlfn.ORG.LIBREOFFICE.FOURIER(Data!A1:A4,FALSE,FALSE,TRUE,1),1,1)</t>
  </si>
  <si>
    <t xml:space="preserve">INDEX(_xlfn.ORG.LIBREOFFICE.FOURIER(Data!A1:A4,FALSE,FALSE,TRUE,1),2,1)</t>
  </si>
  <si>
    <t xml:space="preserve">INDEX(_xlfn.ORG.LIBREOFFICE.FOURIER(Data!A1:A4,FALSE,FALSE,TRUE,1),2,2)</t>
  </si>
  <si>
    <t xml:space="preserve">INDEX(_xlfn.ORG.LIBREOFFICE.FOURIER(Data!A1:A4,FALSE,FALSE,TRUE,1),3,2)</t>
  </si>
  <si>
    <t xml:space="preserve">INDEX(_xlfn.ORG.LIBREOFFICE.FOURIER(Data!A1:A4,FALSE,FALSE,TRUE,1),ROWS(_xlfn.ORG.LIBREOFFICE.FOURIER(Data!A1:A4,FALSE,FALSE,TRUE,1)),1)</t>
  </si>
  <si>
    <t xml:space="preserve">INDEX(_xlfn.ORG.LIBREOFFICE.FOURIER(Data!A1:A4,FALSE,FALSE,TRUE,1),ROWS(_xlfn.ORG.LIBREOFFICE.FOURIER(Data!A1:A4,FALSE,FALSE,TRUE,1)),2)</t>
  </si>
  <si>
    <t xml:space="preserve">SUM(_xlfn.ORG.LIBREOFFICE.FOURIER(Data!A1:A4,FALSE,TRUE,TRUE,5))</t>
  </si>
  <si>
    <t xml:space="preserve">INDEX(_xlfn.ORG.LIBREOFFICE.FOURIER(Data!A1:A4,FALSE,TRUE,TRUE,5),1,1)</t>
  </si>
  <si>
    <t xml:space="preserve">INDEX(_xlfn.ORG.LIBREOFFICE.FOURIER(Data!A1:A4,FALSE,TRUE,TRUE,5),2,1)</t>
  </si>
  <si>
    <t xml:space="preserve">INDEX(_xlfn.ORG.LIBREOFFICE.FOURIER(Data!A1:A4,FALSE,TRUE,TRUE,5),2,2)</t>
  </si>
  <si>
    <t xml:space="preserve">INDEX(_xlfn.ORG.LIBREOFFICE.FOURIER(Data!A1:A4,FALSE,TRUE,TRUE,5),3,2)</t>
  </si>
  <si>
    <t xml:space="preserve">INDEX(_xlfn.ORG.LIBREOFFICE.FOURIER(Data!A1:A4,FALSE,TRUE,TRUE,5),ROWS(_xlfn.ORG.LIBREOFFICE.FOURIER(Data!A1:A4,FALSE,TRUE,TRUE,5)),1)</t>
  </si>
  <si>
    <t xml:space="preserve">INDEX(_xlfn.ORG.LIBREOFFICE.FOURIER(Data!A1:A4,FALSE,TRUE,TRUE,5),ROWS(_xlfn.ORG.LIBREOFFICE.FOURIER(Data!A1:A4,FALSE,TRUE,TRUE,5)),2)</t>
  </si>
  <si>
    <t xml:space="preserve">ROWS(_xlfn.ORG.LIBREOFFICE.FOURIER(Data!A1:A6,TRUE))</t>
  </si>
  <si>
    <t xml:space="preserve">COLUMNS(_xlfn.ORG.LIBREOFFICE.FOURIER(Data!A1:A6,TRUE))</t>
  </si>
  <si>
    <t xml:space="preserve">SUM(_xlfn.ORG.LIBREOFFICE.FOURIER(Data!A1:A6,TRUE))</t>
  </si>
  <si>
    <t xml:space="preserve">INDEX(_xlfn.ORG.LIBREOFFICE.FOURIER(Data!A1:A6,TRUE),1,1)</t>
  </si>
  <si>
    <t xml:space="preserve">INDEX(_xlfn.ORG.LIBREOFFICE.FOURIER(Data!A1:A6,TRUE),2,1)</t>
  </si>
  <si>
    <t xml:space="preserve">INDEX(_xlfn.ORG.LIBREOFFICE.FOURIER(Data!A1:A6,TRUE),2,2)</t>
  </si>
  <si>
    <t xml:space="preserve">INDEX(_xlfn.ORG.LIBREOFFICE.FOURIER(Data!A1:A6,TRUE),3,2)</t>
  </si>
  <si>
    <t xml:space="preserve">INDEX(_xlfn.ORG.LIBREOFFICE.FOURIER(Data!A1:A6,TRUE),ROWS(_xlfn.ORG.LIBREOFFICE.FOURIER(Data!A1:A6,TRUE)),1)</t>
  </si>
  <si>
    <t xml:space="preserve">INDEX(_xlfn.ORG.LIBREOFFICE.FOURIER(Data!A1:A6,TRUE),ROWS(_xlfn.ORG.LIBREOFFICE.FOURIER(Data!A1:A6,TRUE)),2)</t>
  </si>
  <si>
    <t xml:space="preserve">SUM(_xlfn.ORG.LIBREOFFICE.FOURIER(Data!A1:A6,TRUE,TRUE))</t>
  </si>
  <si>
    <t xml:space="preserve">INDEX(_xlfn.ORG.LIBREOFFICE.FOURIER(Data!A1:A6,TRUE,TRUE),1,1)</t>
  </si>
  <si>
    <t xml:space="preserve">INDEX(_xlfn.ORG.LIBREOFFICE.FOURIER(Data!A1:A6,TRUE,TRUE),2,1)</t>
  </si>
  <si>
    <t xml:space="preserve">INDEX(_xlfn.ORG.LIBREOFFICE.FOURIER(Data!A1:A6,TRUE,TRUE),2,2)</t>
  </si>
  <si>
    <t xml:space="preserve">INDEX(_xlfn.ORG.LIBREOFFICE.FOURIER(Data!A1:A6,TRUE,TRUE),3,2)</t>
  </si>
  <si>
    <t xml:space="preserve">INDEX(_xlfn.ORG.LIBREOFFICE.FOURIER(Data!A1:A6,TRUE,TRUE),ROWS(_xlfn.ORG.LIBREOFFICE.FOURIER(Data!A1:A6,TRUE,TRUE)),1)</t>
  </si>
  <si>
    <t xml:space="preserve">INDEX(_xlfn.ORG.LIBREOFFICE.FOURIER(Data!A1:A6,TRUE,TRUE),ROWS(_xlfn.ORG.LIBREOFFICE.FOURIER(Data!A1:A6,TRUE,TRUE)),2)</t>
  </si>
  <si>
    <t xml:space="preserve">SUM(_xlfn.ORG.LIBREOFFICE.FOURIER(Data!A1:A6,TRUE,FALSE,TRUE))</t>
  </si>
  <si>
    <t xml:space="preserve">INDEX(_xlfn.ORG.LIBREOFFICE.FOURIER(Data!A1:A6,TRUE,FALSE,TRUE),1,1)</t>
  </si>
  <si>
    <t xml:space="preserve">INDEX(_xlfn.ORG.LIBREOFFICE.FOURIER(Data!A1:A6,TRUE,FALSE,TRUE),2,1)</t>
  </si>
  <si>
    <t xml:space="preserve">INDEX(_xlfn.ORG.LIBREOFFICE.FOURIER(Data!A1:A6,TRUE,FALSE,TRUE),2,2)</t>
  </si>
  <si>
    <t xml:space="preserve">INDEX(_xlfn.ORG.LIBREOFFICE.FOURIER(Data!A1:A6,TRUE,FALSE,TRUE),3,2)</t>
  </si>
  <si>
    <t xml:space="preserve">INDEX(_xlfn.ORG.LIBREOFFICE.FOURIER(Data!A1:A6,TRUE,FALSE,TRUE),ROWS(_xlfn.ORG.LIBREOFFICE.FOURIER(Data!A1:A6,TRUE,FALSE,TRUE)),1)</t>
  </si>
  <si>
    <t xml:space="preserve">INDEX(_xlfn.ORG.LIBREOFFICE.FOURIER(Data!A1:A6,TRUE,FALSE,TRUE),ROWS(_xlfn.ORG.LIBREOFFICE.FOURIER(Data!A1:A6,TRUE,FALSE,TRUE)),2)</t>
  </si>
  <si>
    <t xml:space="preserve">SUM(_xlfn.ORG.LIBREOFFICE.FOURIER(Data!A1:A6,TRUE,TRUE,TRUE))</t>
  </si>
  <si>
    <t xml:space="preserve">INDEX(_xlfn.ORG.LIBREOFFICE.FOURIER(Data!A1:A6,TRUE,TRUE,TRUE),1,1)</t>
  </si>
  <si>
    <t xml:space="preserve">INDEX(_xlfn.ORG.LIBREOFFICE.FOURIER(Data!A1:A6,TRUE,TRUE,TRUE),2,1)</t>
  </si>
  <si>
    <t xml:space="preserve">INDEX(_xlfn.ORG.LIBREOFFICE.FOURIER(Data!A1:A6,TRUE,TRUE,TRUE),2,2)</t>
  </si>
  <si>
    <t xml:space="preserve">INDEX(_xlfn.ORG.LIBREOFFICE.FOURIER(Data!A1:A6,TRUE,TRUE,TRUE),3,2)</t>
  </si>
  <si>
    <t xml:space="preserve">INDEX(_xlfn.ORG.LIBREOFFICE.FOURIER(Data!A1:A6,TRUE,TRUE,TRUE),ROWS(_xlfn.ORG.LIBREOFFICE.FOURIER(Data!A1:A6,TRUE,TRUE,TRUE)),1)</t>
  </si>
  <si>
    <t xml:space="preserve">INDEX(_xlfn.ORG.LIBREOFFICE.FOURIER(Data!A1:A6,TRUE,TRUE,TRUE),ROWS(_xlfn.ORG.LIBREOFFICE.FOURIER(Data!A1:A6,TRUE,TRUE,TRUE)),2)</t>
  </si>
  <si>
    <t xml:space="preserve">SUM(_xlfn.ORG.LIBREOFFICE.FOURIER(Data!A1:A6,TRUE,FALSE,TRUE,1))</t>
  </si>
  <si>
    <t xml:space="preserve">INDEX(_xlfn.ORG.LIBREOFFICE.FOURIER(Data!A1:A6,TRUE,FALSE,TRUE,1),1,1)</t>
  </si>
  <si>
    <t xml:space="preserve">INDEX(_xlfn.ORG.LIBREOFFICE.FOURIER(Data!A1:A6,TRUE,FALSE,TRUE,1),2,1)</t>
  </si>
  <si>
    <t xml:space="preserve">INDEX(_xlfn.ORG.LIBREOFFICE.FOURIER(Data!A1:A6,TRUE,FALSE,TRUE,1),2,2)</t>
  </si>
  <si>
    <t xml:space="preserve">INDEX(_xlfn.ORG.LIBREOFFICE.FOURIER(Data!A1:A6,TRUE,FALSE,TRUE,1),3,2)</t>
  </si>
  <si>
    <t xml:space="preserve">INDEX(_xlfn.ORG.LIBREOFFICE.FOURIER(Data!A1:A6,TRUE,FALSE,TRUE,1),ROWS(_xlfn.ORG.LIBREOFFICE.FOURIER(Data!A1:A6,TRUE,FALSE,TRUE,1)),1)</t>
  </si>
  <si>
    <t xml:space="preserve">INDEX(_xlfn.ORG.LIBREOFFICE.FOURIER(Data!A1:A6,TRUE,FALSE,TRUE,1),ROWS(_xlfn.ORG.LIBREOFFICE.FOURIER(Data!A1:A6,TRUE,FALSE,TRUE,1)),2)</t>
  </si>
  <si>
    <t xml:space="preserve">SUM(_xlfn.ORG.LIBREOFFICE.FOURIER(Data!A1:A6,TRUE,TRUE,TRUE,5))</t>
  </si>
  <si>
    <t xml:space="preserve">INDEX(_xlfn.ORG.LIBREOFFICE.FOURIER(Data!A1:A6,TRUE,TRUE,TRUE,5),1,1)</t>
  </si>
  <si>
    <t xml:space="preserve">INDEX(_xlfn.ORG.LIBREOFFICE.FOURIER(Data!A1:A6,TRUE,TRUE,TRUE,5),2,1)</t>
  </si>
  <si>
    <t xml:space="preserve">INDEX(_xlfn.ORG.LIBREOFFICE.FOURIER(Data!A1:A6,TRUE,TRUE,TRUE,5),2,2)</t>
  </si>
  <si>
    <t xml:space="preserve">INDEX(_xlfn.ORG.LIBREOFFICE.FOURIER(Data!A1:A6,TRUE,TRUE,TRUE,5),3,2)</t>
  </si>
  <si>
    <t xml:space="preserve">INDEX(_xlfn.ORG.LIBREOFFICE.FOURIER(Data!A1:A6,TRUE,TRUE,TRUE,5),ROWS(_xlfn.ORG.LIBREOFFICE.FOURIER(Data!A1:A6,TRUE,TRUE,TRUE,5)),1)</t>
  </si>
  <si>
    <t xml:space="preserve">INDEX(_xlfn.ORG.LIBREOFFICE.FOURIER(Data!A1:A6,TRUE,TRUE,TRUE,5),ROWS(_xlfn.ORG.LIBREOFFICE.FOURIER(Data!A1:A6,TRUE,TRUE,TRUE,5)),2)</t>
  </si>
  <si>
    <t xml:space="preserve">ROWS(_xlfn.ORG.LIBREOFFICE.FOURIER(Data!A1:A6,FALSE))</t>
  </si>
  <si>
    <t xml:space="preserve">COLUMNS(_xlfn.ORG.LIBREOFFICE.FOURIER(Data!A1:A6,FALSE))</t>
  </si>
  <si>
    <t xml:space="preserve">SUM(_xlfn.ORG.LIBREOFFICE.FOURIER(Data!A1:A6,FALSE))</t>
  </si>
  <si>
    <t xml:space="preserve">INDEX(_xlfn.ORG.LIBREOFFICE.FOURIER(Data!A1:A6,FALSE),1,1)</t>
  </si>
  <si>
    <t xml:space="preserve">INDEX(_xlfn.ORG.LIBREOFFICE.FOURIER(Data!A1:A6,FALSE),2,1)</t>
  </si>
  <si>
    <t xml:space="preserve">INDEX(_xlfn.ORG.LIBREOFFICE.FOURIER(Data!A1:A6,FALSE),2,2)</t>
  </si>
  <si>
    <t xml:space="preserve">INDEX(_xlfn.ORG.LIBREOFFICE.FOURIER(Data!A1:A6,FALSE),3,2)</t>
  </si>
  <si>
    <t xml:space="preserve">INDEX(_xlfn.ORG.LIBREOFFICE.FOURIER(Data!A1:A6,FALSE),ROWS(_xlfn.ORG.LIBREOFFICE.FOURIER(Data!A1:A6,FALSE)),1)</t>
  </si>
  <si>
    <t xml:space="preserve">INDEX(_xlfn.ORG.LIBREOFFICE.FOURIER(Data!A1:A6,FALSE),ROWS(_xlfn.ORG.LIBREOFFICE.FOURIER(Data!A1:A6,FALSE)),2)</t>
  </si>
  <si>
    <t xml:space="preserve">SUM(_xlfn.ORG.LIBREOFFICE.FOURIER(Data!A1:A6,FALSE,TRUE))</t>
  </si>
  <si>
    <t xml:space="preserve">INDEX(_xlfn.ORG.LIBREOFFICE.FOURIER(Data!A1:A6,FALSE,TRUE),1,1)</t>
  </si>
  <si>
    <t xml:space="preserve">INDEX(_xlfn.ORG.LIBREOFFICE.FOURIER(Data!A1:A6,FALSE,TRUE),2,1)</t>
  </si>
  <si>
    <t xml:space="preserve">INDEX(_xlfn.ORG.LIBREOFFICE.FOURIER(Data!A1:A6,FALSE,TRUE),2,2)</t>
  </si>
  <si>
    <t xml:space="preserve">INDEX(_xlfn.ORG.LIBREOFFICE.FOURIER(Data!A1:A6,FALSE,TRUE),3,2)</t>
  </si>
  <si>
    <t xml:space="preserve">INDEX(_xlfn.ORG.LIBREOFFICE.FOURIER(Data!A1:A6,FALSE,TRUE),ROWS(_xlfn.ORG.LIBREOFFICE.FOURIER(Data!A1:A6,FALSE,TRUE)),1)</t>
  </si>
  <si>
    <t xml:space="preserve">INDEX(_xlfn.ORG.LIBREOFFICE.FOURIER(Data!A1:A6,FALSE,TRUE),ROWS(_xlfn.ORG.LIBREOFFICE.FOURIER(Data!A1:A6,FALSE,TRUE)),2)</t>
  </si>
  <si>
    <t xml:space="preserve">SUM(_xlfn.ORG.LIBREOFFICE.FOURIER(Data!A1:A6,FALSE,FALSE,TRUE))</t>
  </si>
  <si>
    <t xml:space="preserve">INDEX(_xlfn.ORG.LIBREOFFICE.FOURIER(Data!A1:A6,FALSE,FALSE,TRUE),1,1)</t>
  </si>
  <si>
    <t xml:space="preserve">INDEX(_xlfn.ORG.LIBREOFFICE.FOURIER(Data!A1:A6,FALSE,FALSE,TRUE),2,1)</t>
  </si>
  <si>
    <t xml:space="preserve">INDEX(_xlfn.ORG.LIBREOFFICE.FOURIER(Data!A1:A6,FALSE,FALSE,TRUE),2,2)</t>
  </si>
  <si>
    <t xml:space="preserve">INDEX(_xlfn.ORG.LIBREOFFICE.FOURIER(Data!A1:A6,FALSE,FALSE,TRUE),3,2)</t>
  </si>
  <si>
    <t xml:space="preserve">INDEX(_xlfn.ORG.LIBREOFFICE.FOURIER(Data!A1:A6,FALSE,FALSE,TRUE),ROWS(_xlfn.ORG.LIBREOFFICE.FOURIER(Data!A1:A6,FALSE,FALSE,TRUE)),1)</t>
  </si>
  <si>
    <t xml:space="preserve">INDEX(_xlfn.ORG.LIBREOFFICE.FOURIER(Data!A1:A6,FALSE,FALSE,TRUE),ROWS(_xlfn.ORG.LIBREOFFICE.FOURIER(Data!A1:A6,FALSE,FALSE,TRUE)),2)</t>
  </si>
  <si>
    <t xml:space="preserve">SUM(_xlfn.ORG.LIBREOFFICE.FOURIER(Data!A1:A6,FALSE,TRUE,TRUE))</t>
  </si>
  <si>
    <t xml:space="preserve">INDEX(_xlfn.ORG.LIBREOFFICE.FOURIER(Data!A1:A6,FALSE,TRUE,TRUE),1,1)</t>
  </si>
  <si>
    <t xml:space="preserve">INDEX(_xlfn.ORG.LIBREOFFICE.FOURIER(Data!A1:A6,FALSE,TRUE,TRUE),2,1)</t>
  </si>
  <si>
    <t xml:space="preserve">INDEX(_xlfn.ORG.LIBREOFFICE.FOURIER(Data!A1:A6,FALSE,TRUE,TRUE),2,2)</t>
  </si>
  <si>
    <t xml:space="preserve">INDEX(_xlfn.ORG.LIBREOFFICE.FOURIER(Data!A1:A6,FALSE,TRUE,TRUE),3,2)</t>
  </si>
  <si>
    <t xml:space="preserve">INDEX(_xlfn.ORG.LIBREOFFICE.FOURIER(Data!A1:A6,FALSE,TRUE,TRUE),ROWS(_xlfn.ORG.LIBREOFFICE.FOURIER(Data!A1:A6,FALSE,TRUE,TRUE)),1)</t>
  </si>
  <si>
    <t xml:space="preserve">INDEX(_xlfn.ORG.LIBREOFFICE.FOURIER(Data!A1:A6,FALSE,TRUE,TRUE),ROWS(_xlfn.ORG.LIBREOFFICE.FOURIER(Data!A1:A6,FALSE,TRUE,TRUE)),2)</t>
  </si>
  <si>
    <t xml:space="preserve">SUM(_xlfn.ORG.LIBREOFFICE.FOURIER(Data!A1:A6,FALSE,FALSE,TRUE,1))</t>
  </si>
  <si>
    <t xml:space="preserve">INDEX(_xlfn.ORG.LIBREOFFICE.FOURIER(Data!A1:A6,FALSE,FALSE,TRUE,1),1,1)</t>
  </si>
  <si>
    <t xml:space="preserve">INDEX(_xlfn.ORG.LIBREOFFICE.FOURIER(Data!A1:A6,FALSE,FALSE,TRUE,1),2,1)</t>
  </si>
  <si>
    <t xml:space="preserve">INDEX(_xlfn.ORG.LIBREOFFICE.FOURIER(Data!A1:A6,FALSE,FALSE,TRUE,1),2,2)</t>
  </si>
  <si>
    <t xml:space="preserve">INDEX(_xlfn.ORG.LIBREOFFICE.FOURIER(Data!A1:A6,FALSE,FALSE,TRUE,1),3,2)</t>
  </si>
  <si>
    <t xml:space="preserve">INDEX(_xlfn.ORG.LIBREOFFICE.FOURIER(Data!A1:A6,FALSE,FALSE,TRUE,1),ROWS(_xlfn.ORG.LIBREOFFICE.FOURIER(Data!A1:A6,FALSE,FALSE,TRUE,1)),1)</t>
  </si>
  <si>
    <t xml:space="preserve">INDEX(_xlfn.ORG.LIBREOFFICE.FOURIER(Data!A1:A6,FALSE,FALSE,TRUE,1),ROWS(_xlfn.ORG.LIBREOFFICE.FOURIER(Data!A1:A6,FALSE,FALSE,TRUE,1)),2)</t>
  </si>
  <si>
    <t xml:space="preserve">SUM(_xlfn.ORG.LIBREOFFICE.FOURIER(Data!A1:A6,FALSE,TRUE,TRUE,5))</t>
  </si>
  <si>
    <t xml:space="preserve">INDEX(_xlfn.ORG.LIBREOFFICE.FOURIER(Data!A1:A6,FALSE,TRUE,TRUE,5),1,1)</t>
  </si>
  <si>
    <t xml:space="preserve">INDEX(_xlfn.ORG.LIBREOFFICE.FOURIER(Data!A1:A6,FALSE,TRUE,TRUE,5),2,1)</t>
  </si>
  <si>
    <t xml:space="preserve">INDEX(_xlfn.ORG.LIBREOFFICE.FOURIER(Data!A1:A6,FALSE,TRUE,TRUE,5),2,2)</t>
  </si>
  <si>
    <t xml:space="preserve">INDEX(_xlfn.ORG.LIBREOFFICE.FOURIER(Data!A1:A6,FALSE,TRUE,TRUE,5),3,2)</t>
  </si>
  <si>
    <t xml:space="preserve">INDEX(_xlfn.ORG.LIBREOFFICE.FOURIER(Data!A1:A6,FALSE,TRUE,TRUE,5),ROWS(_xlfn.ORG.LIBREOFFICE.FOURIER(Data!A1:A6,FALSE,TRUE,TRUE,5)),1)</t>
  </si>
  <si>
    <t xml:space="preserve">INDEX(_xlfn.ORG.LIBREOFFICE.FOURIER(Data!A1:A6,FALSE,TRUE,TRUE,5),ROWS(_xlfn.ORG.LIBREOFFICE.FOURIER(Data!A1:A6,FALSE,TRUE,TRUE,5)),2)</t>
  </si>
  <si>
    <t xml:space="preserve">ROWS(_xlfn.ORG.LIBREOFFICE.FOURIER(Data!A1:A7,TRUE))</t>
  </si>
  <si>
    <t xml:space="preserve">COLUMNS(_xlfn.ORG.LIBREOFFICE.FOURIER(Data!A1:A7,TRUE))</t>
  </si>
  <si>
    <t xml:space="preserve">SUM(_xlfn.ORG.LIBREOFFICE.FOURIER(Data!A1:A7,TRUE))</t>
  </si>
  <si>
    <t xml:space="preserve">INDEX(_xlfn.ORG.LIBREOFFICE.FOURIER(Data!A1:A7,TRUE),1,1)</t>
  </si>
  <si>
    <t xml:space="preserve">INDEX(_xlfn.ORG.LIBREOFFICE.FOURIER(Data!A1:A7,TRUE),2,1)</t>
  </si>
  <si>
    <t xml:space="preserve">INDEX(_xlfn.ORG.LIBREOFFICE.FOURIER(Data!A1:A7,TRUE),2,2)</t>
  </si>
  <si>
    <t xml:space="preserve">INDEX(_xlfn.ORG.LIBREOFFICE.FOURIER(Data!A1:A7,TRUE),3,2)</t>
  </si>
  <si>
    <t xml:space="preserve">INDEX(_xlfn.ORG.LIBREOFFICE.FOURIER(Data!A1:A7,TRUE),ROWS(_xlfn.ORG.LIBREOFFICE.FOURIER(Data!A1:A7,TRUE)),1)</t>
  </si>
  <si>
    <t xml:space="preserve">INDEX(_xlfn.ORG.LIBREOFFICE.FOURIER(Data!A1:A7,TRUE),ROWS(_xlfn.ORG.LIBREOFFICE.FOURIER(Data!A1:A7,TRUE)),2)</t>
  </si>
  <si>
    <t xml:space="preserve">SUM(_xlfn.ORG.LIBREOFFICE.FOURIER(Data!A1:A7,TRUE,TRUE))</t>
  </si>
  <si>
    <t xml:space="preserve">INDEX(_xlfn.ORG.LIBREOFFICE.FOURIER(Data!A1:A7,TRUE,TRUE),1,1)</t>
  </si>
  <si>
    <t xml:space="preserve">INDEX(_xlfn.ORG.LIBREOFFICE.FOURIER(Data!A1:A7,TRUE,TRUE),2,1)</t>
  </si>
  <si>
    <t xml:space="preserve">INDEX(_xlfn.ORG.LIBREOFFICE.FOURIER(Data!A1:A7,TRUE,TRUE),2,2)</t>
  </si>
  <si>
    <t xml:space="preserve">INDEX(_xlfn.ORG.LIBREOFFICE.FOURIER(Data!A1:A7,TRUE,TRUE),3,2)</t>
  </si>
  <si>
    <t xml:space="preserve">INDEX(_xlfn.ORG.LIBREOFFICE.FOURIER(Data!A1:A7,TRUE,TRUE),ROWS(_xlfn.ORG.LIBREOFFICE.FOURIER(Data!A1:A7,TRUE,TRUE)),1)</t>
  </si>
  <si>
    <t xml:space="preserve">INDEX(_xlfn.ORG.LIBREOFFICE.FOURIER(Data!A1:A7,TRUE,TRUE),ROWS(_xlfn.ORG.LIBREOFFICE.FOURIER(Data!A1:A7,TRUE,TRUE)),2)</t>
  </si>
  <si>
    <t xml:space="preserve">SUM(_xlfn.ORG.LIBREOFFICE.FOURIER(Data!A1:A7,TRUE,FALSE,TRUE))</t>
  </si>
  <si>
    <t xml:space="preserve">INDEX(_xlfn.ORG.LIBREOFFICE.FOURIER(Data!A1:A7,TRUE,FALSE,TRUE),1,1)</t>
  </si>
  <si>
    <t xml:space="preserve">INDEX(_xlfn.ORG.LIBREOFFICE.FOURIER(Data!A1:A7,TRUE,FALSE,TRUE),2,1)</t>
  </si>
  <si>
    <t xml:space="preserve">INDEX(_xlfn.ORG.LIBREOFFICE.FOURIER(Data!A1:A7,TRUE,FALSE,TRUE),2,2)</t>
  </si>
  <si>
    <t xml:space="preserve">INDEX(_xlfn.ORG.LIBREOFFICE.FOURIER(Data!A1:A7,TRUE,FALSE,TRUE),3,2)</t>
  </si>
  <si>
    <t xml:space="preserve">INDEX(_xlfn.ORG.LIBREOFFICE.FOURIER(Data!A1:A7,TRUE,FALSE,TRUE),ROWS(_xlfn.ORG.LIBREOFFICE.FOURIER(Data!A1:A7,TRUE,FALSE,TRUE)),1)</t>
  </si>
  <si>
    <t xml:space="preserve">INDEX(_xlfn.ORG.LIBREOFFICE.FOURIER(Data!A1:A7,TRUE,FALSE,TRUE),ROWS(_xlfn.ORG.LIBREOFFICE.FOURIER(Data!A1:A7,TRUE,FALSE,TRUE)),2)</t>
  </si>
  <si>
    <t xml:space="preserve">SUM(_xlfn.ORG.LIBREOFFICE.FOURIER(Data!A1:A7,TRUE,TRUE,TRUE))</t>
  </si>
  <si>
    <t xml:space="preserve">INDEX(_xlfn.ORG.LIBREOFFICE.FOURIER(Data!A1:A7,TRUE,TRUE,TRUE),1,1)</t>
  </si>
  <si>
    <t xml:space="preserve">INDEX(_xlfn.ORG.LIBREOFFICE.FOURIER(Data!A1:A7,TRUE,TRUE,TRUE),2,1)</t>
  </si>
  <si>
    <t xml:space="preserve">INDEX(_xlfn.ORG.LIBREOFFICE.FOURIER(Data!A1:A7,TRUE,TRUE,TRUE),2,2)</t>
  </si>
  <si>
    <t xml:space="preserve">INDEX(_xlfn.ORG.LIBREOFFICE.FOURIER(Data!A1:A7,TRUE,TRUE,TRUE),3,2)</t>
  </si>
  <si>
    <t xml:space="preserve">INDEX(_xlfn.ORG.LIBREOFFICE.FOURIER(Data!A1:A7,TRUE,TRUE,TRUE),ROWS(_xlfn.ORG.LIBREOFFICE.FOURIER(Data!A1:A7,TRUE,TRUE,TRUE)),1)</t>
  </si>
  <si>
    <t xml:space="preserve">INDEX(_xlfn.ORG.LIBREOFFICE.FOURIER(Data!A1:A7,TRUE,TRUE,TRUE),ROWS(_xlfn.ORG.LIBREOFFICE.FOURIER(Data!A1:A7,TRUE,TRUE,TRUE)),2)</t>
  </si>
  <si>
    <t xml:space="preserve">SUM(_xlfn.ORG.LIBREOFFICE.FOURIER(Data!A1:A7,TRUE,FALSE,TRUE,1))</t>
  </si>
  <si>
    <t xml:space="preserve">INDEX(_xlfn.ORG.LIBREOFFICE.FOURIER(Data!A1:A7,TRUE,FALSE,TRUE,1),1,1)</t>
  </si>
  <si>
    <t xml:space="preserve">INDEX(_xlfn.ORG.LIBREOFFICE.FOURIER(Data!A1:A7,TRUE,FALSE,TRUE,1),2,1)</t>
  </si>
  <si>
    <t xml:space="preserve">INDEX(_xlfn.ORG.LIBREOFFICE.FOURIER(Data!A1:A7,TRUE,FALSE,TRUE,1),2,2)</t>
  </si>
  <si>
    <t xml:space="preserve">INDEX(_xlfn.ORG.LIBREOFFICE.FOURIER(Data!A1:A7,TRUE,FALSE,TRUE,1),3,2)</t>
  </si>
  <si>
    <t xml:space="preserve">INDEX(_xlfn.ORG.LIBREOFFICE.FOURIER(Data!A1:A7,TRUE,FALSE,TRUE,1),ROWS(_xlfn.ORG.LIBREOFFICE.FOURIER(Data!A1:A7,TRUE,FALSE,TRUE,1)),1)</t>
  </si>
  <si>
    <t xml:space="preserve">INDEX(_xlfn.ORG.LIBREOFFICE.FOURIER(Data!A1:A7,TRUE,FALSE,TRUE,1),ROWS(_xlfn.ORG.LIBREOFFICE.FOURIER(Data!A1:A7,TRUE,FALSE,TRUE,1)),2)</t>
  </si>
  <si>
    <t xml:space="preserve">SUM(_xlfn.ORG.LIBREOFFICE.FOURIER(Data!A1:A7,TRUE,TRUE,TRUE,5))</t>
  </si>
  <si>
    <t xml:space="preserve">INDEX(_xlfn.ORG.LIBREOFFICE.FOURIER(Data!A1:A7,TRUE,TRUE,TRUE,5),1,1)</t>
  </si>
  <si>
    <t xml:space="preserve">INDEX(_xlfn.ORG.LIBREOFFICE.FOURIER(Data!A1:A7,TRUE,TRUE,TRUE,5),2,1)</t>
  </si>
  <si>
    <t xml:space="preserve">INDEX(_xlfn.ORG.LIBREOFFICE.FOURIER(Data!A1:A7,TRUE,TRUE,TRUE,5),2,2)</t>
  </si>
  <si>
    <t xml:space="preserve">INDEX(_xlfn.ORG.LIBREOFFICE.FOURIER(Data!A1:A7,TRUE,TRUE,TRUE,5),3,2)</t>
  </si>
  <si>
    <t xml:space="preserve">INDEX(_xlfn.ORG.LIBREOFFICE.FOURIER(Data!A1:A7,TRUE,TRUE,TRUE,5),ROWS(_xlfn.ORG.LIBREOFFICE.FOURIER(Data!A1:A7,TRUE,TRUE,TRUE,5)),1)</t>
  </si>
  <si>
    <t xml:space="preserve">INDEX(_xlfn.ORG.LIBREOFFICE.FOURIER(Data!A1:A7,TRUE,TRUE,TRUE,5),ROWS(_xlfn.ORG.LIBREOFFICE.FOURIER(Data!A1:A7,TRUE,TRUE,TRUE,5)),2)</t>
  </si>
  <si>
    <t xml:space="preserve">ROWS(_xlfn.ORG.LIBREOFFICE.FOURIER(Data!A1:A7,FALSE))</t>
  </si>
  <si>
    <t xml:space="preserve">COLUMNS(_xlfn.ORG.LIBREOFFICE.FOURIER(Data!A1:A7,FALSE))</t>
  </si>
  <si>
    <t xml:space="preserve">SUM(_xlfn.ORG.LIBREOFFICE.FOURIER(Data!A1:A7,FALSE))</t>
  </si>
  <si>
    <t xml:space="preserve">INDEX(_xlfn.ORG.LIBREOFFICE.FOURIER(Data!A1:A7,FALSE),1,1)</t>
  </si>
  <si>
    <t xml:space="preserve">INDEX(_xlfn.ORG.LIBREOFFICE.FOURIER(Data!A1:A7,FALSE),2,1)</t>
  </si>
  <si>
    <t xml:space="preserve">INDEX(_xlfn.ORG.LIBREOFFICE.FOURIER(Data!A1:A7,FALSE),2,2)</t>
  </si>
  <si>
    <t xml:space="preserve">INDEX(_xlfn.ORG.LIBREOFFICE.FOURIER(Data!A1:A7,FALSE),3,2)</t>
  </si>
  <si>
    <t xml:space="preserve">INDEX(_xlfn.ORG.LIBREOFFICE.FOURIER(Data!A1:A7,FALSE),ROWS(_xlfn.ORG.LIBREOFFICE.FOURIER(Data!A1:A7,FALSE)),1)</t>
  </si>
  <si>
    <t xml:space="preserve">INDEX(_xlfn.ORG.LIBREOFFICE.FOURIER(Data!A1:A7,FALSE),ROWS(_xlfn.ORG.LIBREOFFICE.FOURIER(Data!A1:A7,FALSE)),2)</t>
  </si>
  <si>
    <t xml:space="preserve">SUM(_xlfn.ORG.LIBREOFFICE.FOURIER(Data!A1:A7,FALSE,TRUE))</t>
  </si>
  <si>
    <t xml:space="preserve">INDEX(_xlfn.ORG.LIBREOFFICE.FOURIER(Data!A1:A7,FALSE,TRUE),1,1)</t>
  </si>
  <si>
    <t xml:space="preserve">INDEX(_xlfn.ORG.LIBREOFFICE.FOURIER(Data!A1:A7,FALSE,TRUE),2,1)</t>
  </si>
  <si>
    <t xml:space="preserve">INDEX(_xlfn.ORG.LIBREOFFICE.FOURIER(Data!A1:A7,FALSE,TRUE),2,2)</t>
  </si>
  <si>
    <t xml:space="preserve">INDEX(_xlfn.ORG.LIBREOFFICE.FOURIER(Data!A1:A7,FALSE,TRUE),3,2)</t>
  </si>
  <si>
    <t xml:space="preserve">INDEX(_xlfn.ORG.LIBREOFFICE.FOURIER(Data!A1:A7,FALSE,TRUE),ROWS(_xlfn.ORG.LIBREOFFICE.FOURIER(Data!A1:A7,FALSE,TRUE)),1)</t>
  </si>
  <si>
    <t xml:space="preserve">INDEX(_xlfn.ORG.LIBREOFFICE.FOURIER(Data!A1:A7,FALSE,TRUE),ROWS(_xlfn.ORG.LIBREOFFICE.FOURIER(Data!A1:A7,FALSE,TRUE)),2)</t>
  </si>
  <si>
    <t xml:space="preserve">SUM(_xlfn.ORG.LIBREOFFICE.FOURIER(Data!A1:A7,FALSE,FALSE,TRUE))</t>
  </si>
  <si>
    <t xml:space="preserve">INDEX(_xlfn.ORG.LIBREOFFICE.FOURIER(Data!A1:A7,FALSE,FALSE,TRUE),1,1)</t>
  </si>
  <si>
    <t xml:space="preserve">INDEX(_xlfn.ORG.LIBREOFFICE.FOURIER(Data!A1:A7,FALSE,FALSE,TRUE),2,1)</t>
  </si>
  <si>
    <t xml:space="preserve">INDEX(_xlfn.ORG.LIBREOFFICE.FOURIER(Data!A1:A7,FALSE,FALSE,TRUE),2,2)</t>
  </si>
  <si>
    <t xml:space="preserve">INDEX(_xlfn.ORG.LIBREOFFICE.FOURIER(Data!A1:A7,FALSE,FALSE,TRUE),3,2)</t>
  </si>
  <si>
    <t xml:space="preserve">INDEX(_xlfn.ORG.LIBREOFFICE.FOURIER(Data!A1:A7,FALSE,FALSE,TRUE),ROWS(_xlfn.ORG.LIBREOFFICE.FOURIER(Data!A1:A7,FALSE,FALSE,TRUE)),1)</t>
  </si>
  <si>
    <t xml:space="preserve">INDEX(_xlfn.ORG.LIBREOFFICE.FOURIER(Data!A1:A7,FALSE,FALSE,TRUE),ROWS(_xlfn.ORG.LIBREOFFICE.FOURIER(Data!A1:A7,FALSE,FALSE,TRUE)),2)</t>
  </si>
  <si>
    <t xml:space="preserve">SUM(_xlfn.ORG.LIBREOFFICE.FOURIER(Data!A1:A7,FALSE,TRUE,TRUE))</t>
  </si>
  <si>
    <t xml:space="preserve">INDEX(_xlfn.ORG.LIBREOFFICE.FOURIER(Data!A1:A7,FALSE,TRUE,TRUE),1,1)</t>
  </si>
  <si>
    <t xml:space="preserve">INDEX(_xlfn.ORG.LIBREOFFICE.FOURIER(Data!A1:A7,FALSE,TRUE,TRUE),2,1)</t>
  </si>
  <si>
    <t xml:space="preserve">INDEX(_xlfn.ORG.LIBREOFFICE.FOURIER(Data!A1:A7,FALSE,TRUE,TRUE),2,2)</t>
  </si>
  <si>
    <t xml:space="preserve">INDEX(_xlfn.ORG.LIBREOFFICE.FOURIER(Data!A1:A7,FALSE,TRUE,TRUE),3,2)</t>
  </si>
  <si>
    <t xml:space="preserve">INDEX(_xlfn.ORG.LIBREOFFICE.FOURIER(Data!A1:A7,FALSE,TRUE,TRUE),ROWS(_xlfn.ORG.LIBREOFFICE.FOURIER(Data!A1:A7,FALSE,TRUE,TRUE)),1)</t>
  </si>
  <si>
    <t xml:space="preserve">INDEX(_xlfn.ORG.LIBREOFFICE.FOURIER(Data!A1:A7,FALSE,TRUE,TRUE),ROWS(_xlfn.ORG.LIBREOFFICE.FOURIER(Data!A1:A7,FALSE,TRUE,TRUE)),2)</t>
  </si>
  <si>
    <t xml:space="preserve">SUM(_xlfn.ORG.LIBREOFFICE.FOURIER(Data!A1:A7,FALSE,FALSE,TRUE,1))</t>
  </si>
  <si>
    <t xml:space="preserve">INDEX(_xlfn.ORG.LIBREOFFICE.FOURIER(Data!A1:A7,FALSE,FALSE,TRUE,1),1,1)</t>
  </si>
  <si>
    <t xml:space="preserve">INDEX(_xlfn.ORG.LIBREOFFICE.FOURIER(Data!A1:A7,FALSE,FALSE,TRUE,1),2,1)</t>
  </si>
  <si>
    <t xml:space="preserve">INDEX(_xlfn.ORG.LIBREOFFICE.FOURIER(Data!A1:A7,FALSE,FALSE,TRUE,1),2,2)</t>
  </si>
  <si>
    <t xml:space="preserve">INDEX(_xlfn.ORG.LIBREOFFICE.FOURIER(Data!A1:A7,FALSE,FALSE,TRUE,1),3,2)</t>
  </si>
  <si>
    <t xml:space="preserve">INDEX(_xlfn.ORG.LIBREOFFICE.FOURIER(Data!A1:A7,FALSE,FALSE,TRUE,1),ROWS(_xlfn.ORG.LIBREOFFICE.FOURIER(Data!A1:A7,FALSE,FALSE,TRUE,1)),1)</t>
  </si>
  <si>
    <t xml:space="preserve">INDEX(_xlfn.ORG.LIBREOFFICE.FOURIER(Data!A1:A7,FALSE,FALSE,TRUE,1),ROWS(_xlfn.ORG.LIBREOFFICE.FOURIER(Data!A1:A7,FALSE,FALSE,TRUE,1)),2)</t>
  </si>
  <si>
    <t xml:space="preserve">SUM(_xlfn.ORG.LIBREOFFICE.FOURIER(Data!A1:A7,FALSE,TRUE,TRUE,5))</t>
  </si>
  <si>
    <t xml:space="preserve">INDEX(_xlfn.ORG.LIBREOFFICE.FOURIER(Data!A1:A7,FALSE,TRUE,TRUE,5),1,1)</t>
  </si>
  <si>
    <t xml:space="preserve">INDEX(_xlfn.ORG.LIBREOFFICE.FOURIER(Data!A1:A7,FALSE,TRUE,TRUE,5),2,1)</t>
  </si>
  <si>
    <t xml:space="preserve">INDEX(_xlfn.ORG.LIBREOFFICE.FOURIER(Data!A1:A7,FALSE,TRUE,TRUE,5),2,2)</t>
  </si>
  <si>
    <t xml:space="preserve">INDEX(_xlfn.ORG.LIBREOFFICE.FOURIER(Data!A1:A7,FALSE,TRUE,TRUE,5),3,2)</t>
  </si>
  <si>
    <t xml:space="preserve">INDEX(_xlfn.ORG.LIBREOFFICE.FOURIER(Data!A1:A7,FALSE,TRUE,TRUE,5),ROWS(_xlfn.ORG.LIBREOFFICE.FOURIER(Data!A1:A7,FALSE,TRUE,TRUE,5)),1)</t>
  </si>
  <si>
    <t xml:space="preserve">INDEX(_xlfn.ORG.LIBREOFFICE.FOURIER(Data!A1:A7,FALSE,TRUE,TRUE,5),ROWS(_xlfn.ORG.LIBREOFFICE.FOURIER(Data!A1:A7,FALSE,TRUE,TRUE,5)),2)</t>
  </si>
  <si>
    <t xml:space="preserve">ROWS(_xlfn.ORG.LIBREOFFICE.FOURIER({1;2;3;4},TRUE))</t>
  </si>
  <si>
    <t xml:space="preserve">COLUMNS(_xlfn.ORG.LIBREOFFICE.FOURIER({1;2;3;4},TRUE))</t>
  </si>
  <si>
    <t xml:space="preserve">SUM(_xlfn.ORG.LIBREOFFICE.FOURIER({1;2;3;4},TRUE))</t>
  </si>
  <si>
    <t xml:space="preserve">INDEX(_xlfn.ORG.LIBREOFFICE.FOURIER({1;2;3;4},TRUE),1,1)</t>
  </si>
  <si>
    <t xml:space="preserve">INDEX(_xlfn.ORG.LIBREOFFICE.FOURIER({1;2;3;4},TRUE),2,1)</t>
  </si>
  <si>
    <t xml:space="preserve">INDEX(_xlfn.ORG.LIBREOFFICE.FOURIER({1;2;3;4},TRUE),2,2)</t>
  </si>
  <si>
    <t xml:space="preserve">INDEX(_xlfn.ORG.LIBREOFFICE.FOURIER({1;2;3;4},TRUE),3,2)</t>
  </si>
  <si>
    <t xml:space="preserve">INDEX(_xlfn.ORG.LIBREOFFICE.FOURIER({1;2;3;4},TRUE),ROWS(_xlfn.ORG.LIBREOFFICE.FOURIER({1;2;3;4},TRUE)),1)</t>
  </si>
  <si>
    <t xml:space="preserve">INDEX(_xlfn.ORG.LIBREOFFICE.FOURIER({1;2;3;4},TRUE),ROWS(_xlfn.ORG.LIBREOFFICE.FOURIER({1;2;3;4},TRUE)),2)</t>
  </si>
  <si>
    <t xml:space="preserve">SUM(_xlfn.ORG.LIBREOFFICE.FOURIER({1;2;3;4},TRUE,TRUE))</t>
  </si>
  <si>
    <t xml:space="preserve">INDEX(_xlfn.ORG.LIBREOFFICE.FOURIER({1;2;3;4},TRUE,TRUE),1,1)</t>
  </si>
  <si>
    <t xml:space="preserve">INDEX(_xlfn.ORG.LIBREOFFICE.FOURIER({1;2;3;4},TRUE,TRUE),2,1)</t>
  </si>
  <si>
    <t xml:space="preserve">INDEX(_xlfn.ORG.LIBREOFFICE.FOURIER({1;2;3;4},TRUE,TRUE),2,2)</t>
  </si>
  <si>
    <t xml:space="preserve">INDEX(_xlfn.ORG.LIBREOFFICE.FOURIER({1;2;3;4},TRUE,TRUE),3,2)</t>
  </si>
  <si>
    <t xml:space="preserve">INDEX(_xlfn.ORG.LIBREOFFICE.FOURIER({1;2;3;4},TRUE,TRUE),ROWS(_xlfn.ORG.LIBREOFFICE.FOURIER({1;2;3;4},TRUE,TRUE)),1)</t>
  </si>
  <si>
    <t xml:space="preserve">INDEX(_xlfn.ORG.LIBREOFFICE.FOURIER({1;2;3;4},TRUE,TRUE),ROWS(_xlfn.ORG.LIBREOFFICE.FOURIER({1;2;3;4},TRUE,TRUE)),2)</t>
  </si>
  <si>
    <t xml:space="preserve">SUM(_xlfn.ORG.LIBREOFFICE.FOURIER({1;2;3;4},TRUE,FALSE,TRUE))</t>
  </si>
  <si>
    <t xml:space="preserve">INDEX(_xlfn.ORG.LIBREOFFICE.FOURIER({1;2;3;4},TRUE,FALSE,TRUE),1,1)</t>
  </si>
  <si>
    <t xml:space="preserve">INDEX(_xlfn.ORG.LIBREOFFICE.FOURIER({1;2;3;4},TRUE,FALSE,TRUE),2,1)</t>
  </si>
  <si>
    <t xml:space="preserve">INDEX(_xlfn.ORG.LIBREOFFICE.FOURIER({1;2;3;4},TRUE,FALSE,TRUE),2,2)</t>
  </si>
  <si>
    <t xml:space="preserve">INDEX(_xlfn.ORG.LIBREOFFICE.FOURIER({1;2;3;4},TRUE,FALSE,TRUE),3,2)</t>
  </si>
  <si>
    <t xml:space="preserve">INDEX(_xlfn.ORG.LIBREOFFICE.FOURIER({1;2;3;4},TRUE,FALSE,TRUE),ROWS(_xlfn.ORG.LIBREOFFICE.FOURIER({1;2;3;4},TRUE,FALSE,TRUE)),1)</t>
  </si>
  <si>
    <t xml:space="preserve">INDEX(_xlfn.ORG.LIBREOFFICE.FOURIER({1;2;3;4},TRUE,FALSE,TRUE),ROWS(_xlfn.ORG.LIBREOFFICE.FOURIER({1;2;3;4},TRUE,FALSE,TRUE)),2)</t>
  </si>
  <si>
    <t xml:space="preserve">SUM(_xlfn.ORG.LIBREOFFICE.FOURIER({1;2;3;4},TRUE,TRUE,TRUE))</t>
  </si>
  <si>
    <t xml:space="preserve">INDEX(_xlfn.ORG.LIBREOFFICE.FOURIER({1;2;3;4},TRUE,TRUE,TRUE),1,1)</t>
  </si>
  <si>
    <t xml:space="preserve">INDEX(_xlfn.ORG.LIBREOFFICE.FOURIER({1;2;3;4},TRUE,TRUE,TRUE),2,1)</t>
  </si>
  <si>
    <t xml:space="preserve">INDEX(_xlfn.ORG.LIBREOFFICE.FOURIER({1;2;3;4},TRUE,TRUE,TRUE),2,2)</t>
  </si>
  <si>
    <t xml:space="preserve">INDEX(_xlfn.ORG.LIBREOFFICE.FOURIER({1;2;3;4},TRUE,TRUE,TRUE),3,2)</t>
  </si>
  <si>
    <t xml:space="preserve">INDEX(_xlfn.ORG.LIBREOFFICE.FOURIER({1;2;3;4},TRUE,TRUE,TRUE),ROWS(_xlfn.ORG.LIBREOFFICE.FOURIER({1;2;3;4},TRUE,TRUE,TRUE)),1)</t>
  </si>
  <si>
    <t xml:space="preserve">INDEX(_xlfn.ORG.LIBREOFFICE.FOURIER({1;2;3;4},TRUE,TRUE,TRUE),ROWS(_xlfn.ORG.LIBREOFFICE.FOURIER({1;2;3;4},TRUE,TRUE,TRUE)),2)</t>
  </si>
  <si>
    <t xml:space="preserve">SUM(_xlfn.ORG.LIBREOFFICE.FOURIER({1;2;3;4},TRUE,FALSE,TRUE,1))</t>
  </si>
  <si>
    <t xml:space="preserve">INDEX(_xlfn.ORG.LIBREOFFICE.FOURIER({1;2;3;4},TRUE,FALSE,TRUE,1),1,1)</t>
  </si>
  <si>
    <t xml:space="preserve">INDEX(_xlfn.ORG.LIBREOFFICE.FOURIER({1;2;3;4},TRUE,FALSE,TRUE,1),2,1)</t>
  </si>
  <si>
    <t xml:space="preserve">INDEX(_xlfn.ORG.LIBREOFFICE.FOURIER({1;2;3;4},TRUE,FALSE,TRUE,1),2,2)</t>
  </si>
  <si>
    <t xml:space="preserve">INDEX(_xlfn.ORG.LIBREOFFICE.FOURIER({1;2;3;4},TRUE,FALSE,TRUE,1),3,2)</t>
  </si>
  <si>
    <t xml:space="preserve">INDEX(_xlfn.ORG.LIBREOFFICE.FOURIER({1;2;3;4},TRUE,FALSE,TRUE,1),ROWS(_xlfn.ORG.LIBREOFFICE.FOURIER({1;2;3;4},TRUE,FALSE,TRUE,1)),1)</t>
  </si>
  <si>
    <t xml:space="preserve">INDEX(_xlfn.ORG.LIBREOFFICE.FOURIER({1;2;3;4},TRUE,FALSE,TRUE,1),ROWS(_xlfn.ORG.LIBREOFFICE.FOURIER({1;2;3;4},TRUE,FALSE,TRUE,1)),2)</t>
  </si>
  <si>
    <t xml:space="preserve">SUM(_xlfn.ORG.LIBREOFFICE.FOURIER({1;2;3;4},TRUE,TRUE,TRUE,5))</t>
  </si>
  <si>
    <t xml:space="preserve">INDEX(_xlfn.ORG.LIBREOFFICE.FOURIER({1;2;3;4},TRUE,TRUE,TRUE,5),1,1)</t>
  </si>
  <si>
    <t xml:space="preserve">INDEX(_xlfn.ORG.LIBREOFFICE.FOURIER({1;2;3;4},TRUE,TRUE,TRUE,5),2,1)</t>
  </si>
  <si>
    <t xml:space="preserve">INDEX(_xlfn.ORG.LIBREOFFICE.FOURIER({1;2;3;4},TRUE,TRUE,TRUE,5),2,2)</t>
  </si>
  <si>
    <t xml:space="preserve">INDEX(_xlfn.ORG.LIBREOFFICE.FOURIER({1;2;3;4},TRUE,TRUE,TRUE,5),3,2)</t>
  </si>
  <si>
    <t xml:space="preserve">INDEX(_xlfn.ORG.LIBREOFFICE.FOURIER({1;2;3;4},TRUE,TRUE,TRUE,5),ROWS(_xlfn.ORG.LIBREOFFICE.FOURIER({1;2;3;4},TRUE,TRUE,TRUE,5)),1)</t>
  </si>
  <si>
    <t xml:space="preserve">INDEX(_xlfn.ORG.LIBREOFFICE.FOURIER({1;2;3;4},TRUE,TRUE,TRUE,5),ROWS(_xlfn.ORG.LIBREOFFICE.FOURIER({1;2;3;4},TRUE,TRUE,TRUE,5)),2)</t>
  </si>
  <si>
    <t xml:space="preserve">ROWS(_xlfn.ORG.LIBREOFFICE.FOURIER(TRANSPOSE({1;2;3;4}),FALSE))</t>
  </si>
  <si>
    <t xml:space="preserve">COLUMNS(_xlfn.ORG.LIBREOFFICE.FOURIER(TRANSPOSE({1;2;3;4}),FALSE))</t>
  </si>
  <si>
    <t xml:space="preserve">SUM(_xlfn.ORG.LIBREOFFICE.FOURIER(TRANSPOSE({1;2;3;4}),FALSE))</t>
  </si>
  <si>
    <t xml:space="preserve">INDEX(_xlfn.ORG.LIBREOFFICE.FOURIER(TRANSPOSE({1;2;3;4}),FALSE),1,1)</t>
  </si>
  <si>
    <t xml:space="preserve">INDEX(_xlfn.ORG.LIBREOFFICE.FOURIER(TRANSPOSE({1;2;3;4}),FALSE),2,1)</t>
  </si>
  <si>
    <t xml:space="preserve">INDEX(_xlfn.ORG.LIBREOFFICE.FOURIER(TRANSPOSE({1;2;3;4}),FALSE),2,2)</t>
  </si>
  <si>
    <t xml:space="preserve">INDEX(_xlfn.ORG.LIBREOFFICE.FOURIER(TRANSPOSE({1;2;3;4}),FALSE),3,2)</t>
  </si>
  <si>
    <t xml:space="preserve">INDEX(_xlfn.ORG.LIBREOFFICE.FOURIER(TRANSPOSE({1;2;3;4}),FALSE),ROWS(_xlfn.ORG.LIBREOFFICE.FOURIER(TRANSPOSE({1;2;3;4}),FALSE)),1)</t>
  </si>
  <si>
    <t xml:space="preserve">INDEX(_xlfn.ORG.LIBREOFFICE.FOURIER(TRANSPOSE({1;2;3;4}),FALSE),ROWS(_xlfn.ORG.LIBREOFFICE.FOURIER(TRANSPOSE({1;2;3;4}),FALSE)),2)</t>
  </si>
  <si>
    <t xml:space="preserve">SUM(_xlfn.ORG.LIBREOFFICE.FOURIER(TRANSPOSE({1;2;3;4}),FALSE,TRUE))</t>
  </si>
  <si>
    <t xml:space="preserve">INDEX(_xlfn.ORG.LIBREOFFICE.FOURIER(TRANSPOSE({1;2;3;4}),FALSE,TRUE),1,1)</t>
  </si>
  <si>
    <t xml:space="preserve">INDEX(_xlfn.ORG.LIBREOFFICE.FOURIER(TRANSPOSE({1;2;3;4}),FALSE,TRUE),2,1)</t>
  </si>
  <si>
    <t xml:space="preserve">INDEX(_xlfn.ORG.LIBREOFFICE.FOURIER(TRANSPOSE({1;2;3;4}),FALSE,TRUE),2,2)</t>
  </si>
  <si>
    <t xml:space="preserve">INDEX(_xlfn.ORG.LIBREOFFICE.FOURIER(TRANSPOSE({1;2;3;4}),FALSE,TRUE),3,2)</t>
  </si>
  <si>
    <t xml:space="preserve">INDEX(_xlfn.ORG.LIBREOFFICE.FOURIER(TRANSPOSE({1;2;3;4}),FALSE,TRUE),ROWS(_xlfn.ORG.LIBREOFFICE.FOURIER(TRANSPOSE({1;2;3;4}),FALSE,TRUE)),1)</t>
  </si>
  <si>
    <t xml:space="preserve">INDEX(_xlfn.ORG.LIBREOFFICE.FOURIER(TRANSPOSE({1;2;3;4}),FALSE,TRUE),ROWS(_xlfn.ORG.LIBREOFFICE.FOURIER(TRANSPOSE({1;2;3;4}),FALSE,TRUE)),2)</t>
  </si>
  <si>
    <t xml:space="preserve">SUM(_xlfn.ORG.LIBREOFFICE.FOURIER(TRANSPOSE({1;2;3;4}),FALSE,FALSE,TRUE))</t>
  </si>
  <si>
    <t xml:space="preserve">INDEX(_xlfn.ORG.LIBREOFFICE.FOURIER(TRANSPOSE({1;2;3;4}),FALSE,FALSE,TRUE),1,1)</t>
  </si>
  <si>
    <t xml:space="preserve">INDEX(_xlfn.ORG.LIBREOFFICE.FOURIER(TRANSPOSE({1;2;3;4}),FALSE,FALSE,TRUE),2,1)</t>
  </si>
  <si>
    <t xml:space="preserve">INDEX(_xlfn.ORG.LIBREOFFICE.FOURIER(TRANSPOSE({1;2;3;4}),FALSE,FALSE,TRUE),2,2)</t>
  </si>
  <si>
    <t xml:space="preserve">INDEX(_xlfn.ORG.LIBREOFFICE.FOURIER(TRANSPOSE({1;2;3;4}),FALSE,FALSE,TRUE),3,2)</t>
  </si>
  <si>
    <t xml:space="preserve">INDEX(_xlfn.ORG.LIBREOFFICE.FOURIER(TRANSPOSE({1;2;3;4}),FALSE,FALSE,TRUE),ROWS(_xlfn.ORG.LIBREOFFICE.FOURIER(TRANSPOSE({1;2;3;4}),FALSE,FALSE,TRUE)),1)</t>
  </si>
  <si>
    <t xml:space="preserve">INDEX(_xlfn.ORG.LIBREOFFICE.FOURIER(TRANSPOSE({1;2;3;4}),FALSE,FALSE,TRUE),ROWS(_xlfn.ORG.LIBREOFFICE.FOURIER(TRANSPOSE({1;2;3;4}),FALSE,FALSE,TRUE)),2)</t>
  </si>
  <si>
    <t xml:space="preserve">SUM(_xlfn.ORG.LIBREOFFICE.FOURIER(TRANSPOSE({1;2;3;4}),FALSE,TRUE,TRUE))</t>
  </si>
  <si>
    <t xml:space="preserve">INDEX(_xlfn.ORG.LIBREOFFICE.FOURIER(TRANSPOSE({1;2;3;4}),FALSE,TRUE,TRUE),1,1)</t>
  </si>
  <si>
    <t xml:space="preserve">INDEX(_xlfn.ORG.LIBREOFFICE.FOURIER(TRANSPOSE({1;2;3;4}),FALSE,TRUE,TRUE),2,1)</t>
  </si>
  <si>
    <t xml:space="preserve">INDEX(_xlfn.ORG.LIBREOFFICE.FOURIER(TRANSPOSE({1;2;3;4}),FALSE,TRUE,TRUE),2,2)</t>
  </si>
  <si>
    <t xml:space="preserve">INDEX(_xlfn.ORG.LIBREOFFICE.FOURIER(TRANSPOSE({1;2;3;4}),FALSE,TRUE,TRUE),3,2)</t>
  </si>
  <si>
    <t xml:space="preserve">INDEX(_xlfn.ORG.LIBREOFFICE.FOURIER(TRANSPOSE({1;2;3;4}),FALSE,TRUE,TRUE),ROWS(_xlfn.ORG.LIBREOFFICE.FOURIER(TRANSPOSE({1;2;3;4}),FALSE,TRUE,TRUE)),1)</t>
  </si>
  <si>
    <t xml:space="preserve">INDEX(_xlfn.ORG.LIBREOFFICE.FOURIER(TRANSPOSE({1;2;3;4}),FALSE,TRUE,TRUE),ROWS(_xlfn.ORG.LIBREOFFICE.FOURIER(TRANSPOSE({1;2;3;4}),FALSE,TRUE,TRUE)),2)</t>
  </si>
  <si>
    <t xml:space="preserve">SUM(_xlfn.ORG.LIBREOFFICE.FOURIER(TRANSPOSE({1;2;3;4}),FALSE,FALSE,TRUE,1))</t>
  </si>
  <si>
    <t xml:space="preserve">INDEX(_xlfn.ORG.LIBREOFFICE.FOURIER(TRANSPOSE({1;2;3;4}),FALSE,FALSE,TRUE,1),1,1)</t>
  </si>
  <si>
    <t xml:space="preserve">INDEX(_xlfn.ORG.LIBREOFFICE.FOURIER(TRANSPOSE({1;2;3;4}),FALSE,FALSE,TRUE,1),2,1)</t>
  </si>
  <si>
    <t xml:space="preserve">INDEX(_xlfn.ORG.LIBREOFFICE.FOURIER(TRANSPOSE({1;2;3;4}),FALSE,FALSE,TRUE,1),2,2)</t>
  </si>
  <si>
    <t xml:space="preserve">INDEX(_xlfn.ORG.LIBREOFFICE.FOURIER(TRANSPOSE({1;2;3;4}),FALSE,FALSE,TRUE,1),3,2)</t>
  </si>
  <si>
    <t xml:space="preserve">INDEX(_xlfn.ORG.LIBREOFFICE.FOURIER(TRANSPOSE({1;2;3;4}),FALSE,FALSE,TRUE,1),ROWS(_xlfn.ORG.LIBREOFFICE.FOURIER(TRANSPOSE({1;2;3;4}),FALSE,FALSE,TRUE,1)),1)</t>
  </si>
  <si>
    <t xml:space="preserve">INDEX(_xlfn.ORG.LIBREOFFICE.FOURIER(TRANSPOSE({1;2;3;4}),FALSE,FALSE,TRUE,1),ROWS(_xlfn.ORG.LIBREOFFICE.FOURIER(TRANSPOSE({1;2;3;4}),FALSE,FALSE,TRUE,1)),2)</t>
  </si>
  <si>
    <t xml:space="preserve">SUM(_xlfn.ORG.LIBREOFFICE.FOURIER(TRANSPOSE({1;2;3;4}),FALSE,TRUE,TRUE,5))</t>
  </si>
  <si>
    <t xml:space="preserve">INDEX(_xlfn.ORG.LIBREOFFICE.FOURIER(TRANSPOSE({1;2;3;4}),FALSE,TRUE,TRUE,5),1,1)</t>
  </si>
  <si>
    <t xml:space="preserve">INDEX(_xlfn.ORG.LIBREOFFICE.FOURIER(TRANSPOSE({1;2;3;4}),FALSE,TRUE,TRUE,5),2,1)</t>
  </si>
  <si>
    <t xml:space="preserve">INDEX(_xlfn.ORG.LIBREOFFICE.FOURIER(TRANSPOSE({1;2;3;4}),FALSE,TRUE,TRUE,5),2,2)</t>
  </si>
  <si>
    <t xml:space="preserve">INDEX(_xlfn.ORG.LIBREOFFICE.FOURIER(TRANSPOSE({1;2;3;4}),FALSE,TRUE,TRUE,5),3,2)</t>
  </si>
  <si>
    <t xml:space="preserve">INDEX(_xlfn.ORG.LIBREOFFICE.FOURIER(TRANSPOSE({1;2;3;4}),FALSE,TRUE,TRUE,5),ROWS(_xlfn.ORG.LIBREOFFICE.FOURIER(TRANSPOSE({1;2;3;4}),FALSE,TRUE,TRUE,5)),1)</t>
  </si>
  <si>
    <t xml:space="preserve">INDEX(_xlfn.ORG.LIBREOFFICE.FOURIER(TRANSPOSE({1;2;3;4}),FALSE,TRUE,TRUE,5),ROWS(_xlfn.ORG.LIBREOFFICE.FOURIER(TRANSPOSE({1;2;3;4}),FALSE,TRUE,TRUE,5)),2)</t>
  </si>
  <si>
    <t xml:space="preserve">ROWS(_xlfn.ORG.LIBREOFFICE.FOURIER({1;2;3},TRUE))</t>
  </si>
  <si>
    <t xml:space="preserve">COLUMNS(_xlfn.ORG.LIBREOFFICE.FOURIER({1;2;3},TRUE))</t>
  </si>
  <si>
    <t xml:space="preserve">SUM(_xlfn.ORG.LIBREOFFICE.FOURIER({1;2;3},TRUE))</t>
  </si>
  <si>
    <t xml:space="preserve">INDEX(_xlfn.ORG.LIBREOFFICE.FOURIER({1;2;3},TRUE),1,1)</t>
  </si>
  <si>
    <t xml:space="preserve">INDEX(_xlfn.ORG.LIBREOFFICE.FOURIER({1;2;3},TRUE),2,1)</t>
  </si>
  <si>
    <t xml:space="preserve">INDEX(_xlfn.ORG.LIBREOFFICE.FOURIER({1;2;3},TRUE),2,2)</t>
  </si>
  <si>
    <t xml:space="preserve">INDEX(_xlfn.ORG.LIBREOFFICE.FOURIER({1;2;3},TRUE),3,2)</t>
  </si>
  <si>
    <t xml:space="preserve">INDEX(_xlfn.ORG.LIBREOFFICE.FOURIER({1;2;3},TRUE),ROWS(_xlfn.ORG.LIBREOFFICE.FOURIER({1;2;3},TRUE)),1)</t>
  </si>
  <si>
    <t xml:space="preserve">INDEX(_xlfn.ORG.LIBREOFFICE.FOURIER({1;2;3},TRUE),ROWS(_xlfn.ORG.LIBREOFFICE.FOURIER({1;2;3},TRUE)),2)</t>
  </si>
  <si>
    <t xml:space="preserve">SUM(_xlfn.ORG.LIBREOFFICE.FOURIER({1;2;3},TRUE,TRUE))</t>
  </si>
  <si>
    <t xml:space="preserve">INDEX(_xlfn.ORG.LIBREOFFICE.FOURIER({1;2;3},TRUE,TRUE),1,1)</t>
  </si>
  <si>
    <t xml:space="preserve">INDEX(_xlfn.ORG.LIBREOFFICE.FOURIER({1;2;3},TRUE,TRUE),2,1)</t>
  </si>
  <si>
    <t xml:space="preserve">INDEX(_xlfn.ORG.LIBREOFFICE.FOURIER({1;2;3},TRUE,TRUE),2,2)</t>
  </si>
  <si>
    <t xml:space="preserve">INDEX(_xlfn.ORG.LIBREOFFICE.FOURIER({1;2;3},TRUE,TRUE),3,2)</t>
  </si>
  <si>
    <t xml:space="preserve">INDEX(_xlfn.ORG.LIBREOFFICE.FOURIER({1;2;3},TRUE,TRUE),ROWS(_xlfn.ORG.LIBREOFFICE.FOURIER({1;2;3},TRUE,TRUE)),1)</t>
  </si>
  <si>
    <t xml:space="preserve">INDEX(_xlfn.ORG.LIBREOFFICE.FOURIER({1;2;3},TRUE,TRUE),ROWS(_xlfn.ORG.LIBREOFFICE.FOURIER({1;2;3},TRUE,TRUE)),2)</t>
  </si>
  <si>
    <t xml:space="preserve">SUM(_xlfn.ORG.LIBREOFFICE.FOURIER({1;2;3},TRUE,FALSE,TRUE))</t>
  </si>
  <si>
    <t xml:space="preserve">INDEX(_xlfn.ORG.LIBREOFFICE.FOURIER({1;2;3},TRUE,FALSE,TRUE),1,1)</t>
  </si>
  <si>
    <t xml:space="preserve">INDEX(_xlfn.ORG.LIBREOFFICE.FOURIER({1;2;3},TRUE,FALSE,TRUE),2,1)</t>
  </si>
  <si>
    <t xml:space="preserve">INDEX(_xlfn.ORG.LIBREOFFICE.FOURIER({1;2;3},TRUE,FALSE,TRUE),2,2)</t>
  </si>
  <si>
    <t xml:space="preserve">INDEX(_xlfn.ORG.LIBREOFFICE.FOURIER({1;2;3},TRUE,FALSE,TRUE),3,2)</t>
  </si>
  <si>
    <t xml:space="preserve">INDEX(_xlfn.ORG.LIBREOFFICE.FOURIER({1;2;3},TRUE,FALSE,TRUE),ROWS(_xlfn.ORG.LIBREOFFICE.FOURIER({1;2;3},TRUE,FALSE,TRUE)),1)</t>
  </si>
  <si>
    <t xml:space="preserve">INDEX(_xlfn.ORG.LIBREOFFICE.FOURIER({1;2;3},TRUE,FALSE,TRUE),ROWS(_xlfn.ORG.LIBREOFFICE.FOURIER({1;2;3},TRUE,FALSE,TRUE)),2)</t>
  </si>
  <si>
    <t xml:space="preserve">SUM(_xlfn.ORG.LIBREOFFICE.FOURIER({1;2;3},TRUE,TRUE,TRUE))</t>
  </si>
  <si>
    <t xml:space="preserve">INDEX(_xlfn.ORG.LIBREOFFICE.FOURIER({1;2;3},TRUE,TRUE,TRUE),1,1)</t>
  </si>
  <si>
    <t xml:space="preserve">INDEX(_xlfn.ORG.LIBREOFFICE.FOURIER({1;2;3},TRUE,TRUE,TRUE),2,1)</t>
  </si>
  <si>
    <t xml:space="preserve">INDEX(_xlfn.ORG.LIBREOFFICE.FOURIER({1;2;3},TRUE,TRUE,TRUE),2,2)</t>
  </si>
  <si>
    <t xml:space="preserve">INDEX(_xlfn.ORG.LIBREOFFICE.FOURIER({1;2;3},TRUE,TRUE,TRUE),3,2)</t>
  </si>
  <si>
    <t xml:space="preserve">INDEX(_xlfn.ORG.LIBREOFFICE.FOURIER({1;2;3},TRUE,TRUE,TRUE),ROWS(_xlfn.ORG.LIBREOFFICE.FOURIER({1;2;3},TRUE,TRUE,TRUE)),1)</t>
  </si>
  <si>
    <t xml:space="preserve">INDEX(_xlfn.ORG.LIBREOFFICE.FOURIER({1;2;3},TRUE,TRUE,TRUE),ROWS(_xlfn.ORG.LIBREOFFICE.FOURIER({1;2;3},TRUE,TRUE,TRUE)),2)</t>
  </si>
  <si>
    <t xml:space="preserve">SUM(_xlfn.ORG.LIBREOFFICE.FOURIER({1;2;3},TRUE,FALSE,TRUE,1))</t>
  </si>
  <si>
    <t xml:space="preserve">INDEX(_xlfn.ORG.LIBREOFFICE.FOURIER({1;2;3},TRUE,FALSE,TRUE,1),1,1)</t>
  </si>
  <si>
    <t xml:space="preserve">INDEX(_xlfn.ORG.LIBREOFFICE.FOURIER({1;2;3},TRUE,FALSE,TRUE,1),2,1)</t>
  </si>
  <si>
    <t xml:space="preserve">INDEX(_xlfn.ORG.LIBREOFFICE.FOURIER({1;2;3},TRUE,FALSE,TRUE,1),2,2)</t>
  </si>
  <si>
    <t xml:space="preserve">INDEX(_xlfn.ORG.LIBREOFFICE.FOURIER({1;2;3},TRUE,FALSE,TRUE,1),3,2)</t>
  </si>
  <si>
    <t xml:space="preserve">INDEX(_xlfn.ORG.LIBREOFFICE.FOURIER({1;2;3},TRUE,FALSE,TRUE,1),ROWS(_xlfn.ORG.LIBREOFFICE.FOURIER({1;2;3},TRUE,FALSE,TRUE,1)),1)</t>
  </si>
  <si>
    <t xml:space="preserve">INDEX(_xlfn.ORG.LIBREOFFICE.FOURIER({1;2;3},TRUE,FALSE,TRUE,1),ROWS(_xlfn.ORG.LIBREOFFICE.FOURIER({1;2;3},TRUE,FALSE,TRUE,1)),2)</t>
  </si>
  <si>
    <t xml:space="preserve">SUM(_xlfn.ORG.LIBREOFFICE.FOURIER({1;2;3},TRUE,TRUE,TRUE,5))</t>
  </si>
  <si>
    <t xml:space="preserve">INDEX(_xlfn.ORG.LIBREOFFICE.FOURIER({1;2;3},TRUE,TRUE,TRUE,5),1,1)</t>
  </si>
  <si>
    <t xml:space="preserve">INDEX(_xlfn.ORG.LIBREOFFICE.FOURIER({1;2;3},TRUE,TRUE,TRUE,5),2,1)</t>
  </si>
  <si>
    <t xml:space="preserve">INDEX(_xlfn.ORG.LIBREOFFICE.FOURIER({1;2;3},TRUE,TRUE,TRUE,5),2,2)</t>
  </si>
  <si>
    <t xml:space="preserve">INDEX(_xlfn.ORG.LIBREOFFICE.FOURIER({1;2;3},TRUE,TRUE,TRUE,5),3,2)</t>
  </si>
  <si>
    <t xml:space="preserve">INDEX(_xlfn.ORG.LIBREOFFICE.FOURIER({1;2;3},TRUE,TRUE,TRUE,5),ROWS(_xlfn.ORG.LIBREOFFICE.FOURIER({1;2;3},TRUE,TRUE,TRUE,5)),1)</t>
  </si>
  <si>
    <t xml:space="preserve">INDEX(_xlfn.ORG.LIBREOFFICE.FOURIER({1;2;3},TRUE,TRUE,TRUE,5),ROWS(_xlfn.ORG.LIBREOFFICE.FOURIER({1;2;3},TRUE,TRUE,TRUE,5)),2)</t>
  </si>
  <si>
    <t xml:space="preserve">ROWS(_xlfn.ORG.LIBREOFFICE.FOURIER(TRANSPOSE({1;2;3}),FALSE))</t>
  </si>
  <si>
    <t xml:space="preserve">COLUMNS(_xlfn.ORG.LIBREOFFICE.FOURIER(TRANSPOSE({1;2;3}),FALSE))</t>
  </si>
  <si>
    <t xml:space="preserve">SUM(_xlfn.ORG.LIBREOFFICE.FOURIER(TRANSPOSE({1;2;3}),FALSE))</t>
  </si>
  <si>
    <t xml:space="preserve">INDEX(_xlfn.ORG.LIBREOFFICE.FOURIER(TRANSPOSE({1;2;3}),FALSE),1,1)</t>
  </si>
  <si>
    <t xml:space="preserve">INDEX(_xlfn.ORG.LIBREOFFICE.FOURIER(TRANSPOSE({1;2;3}),FALSE),2,1)</t>
  </si>
  <si>
    <t xml:space="preserve">INDEX(_xlfn.ORG.LIBREOFFICE.FOURIER(TRANSPOSE({1;2;3}),FALSE),2,2)</t>
  </si>
  <si>
    <t xml:space="preserve">INDEX(_xlfn.ORG.LIBREOFFICE.FOURIER(TRANSPOSE({1;2;3}),FALSE),3,2)</t>
  </si>
  <si>
    <t xml:space="preserve">INDEX(_xlfn.ORG.LIBREOFFICE.FOURIER(TRANSPOSE({1;2;3}),FALSE),ROWS(_xlfn.ORG.LIBREOFFICE.FOURIER(TRANSPOSE({1;2;3}),FALSE)),1)</t>
  </si>
  <si>
    <t xml:space="preserve">INDEX(_xlfn.ORG.LIBREOFFICE.FOURIER(TRANSPOSE({1;2;3}),FALSE),ROWS(_xlfn.ORG.LIBREOFFICE.FOURIER(TRANSPOSE({1;2;3}),FALSE)),2)</t>
  </si>
  <si>
    <t xml:space="preserve">SUM(_xlfn.ORG.LIBREOFFICE.FOURIER(TRANSPOSE({1;2;3}),FALSE,TRUE))</t>
  </si>
  <si>
    <t xml:space="preserve">INDEX(_xlfn.ORG.LIBREOFFICE.FOURIER(TRANSPOSE({1;2;3}),FALSE,TRUE),1,1)</t>
  </si>
  <si>
    <t xml:space="preserve">INDEX(_xlfn.ORG.LIBREOFFICE.FOURIER(TRANSPOSE({1;2;3}),FALSE,TRUE),2,1)</t>
  </si>
  <si>
    <t xml:space="preserve">INDEX(_xlfn.ORG.LIBREOFFICE.FOURIER(TRANSPOSE({1;2;3}),FALSE,TRUE),2,2)</t>
  </si>
  <si>
    <t xml:space="preserve">INDEX(_xlfn.ORG.LIBREOFFICE.FOURIER(TRANSPOSE({1;2;3}),FALSE,TRUE),3,2)</t>
  </si>
  <si>
    <t xml:space="preserve">INDEX(_xlfn.ORG.LIBREOFFICE.FOURIER(TRANSPOSE({1;2;3}),FALSE,TRUE),ROWS(_xlfn.ORG.LIBREOFFICE.FOURIER(TRANSPOSE({1;2;3}),FALSE,TRUE)),1)</t>
  </si>
  <si>
    <t xml:space="preserve">INDEX(_xlfn.ORG.LIBREOFFICE.FOURIER(TRANSPOSE({1;2;3}),FALSE,TRUE),ROWS(_xlfn.ORG.LIBREOFFICE.FOURIER(TRANSPOSE({1;2;3}),FALSE,TRUE)),2)</t>
  </si>
  <si>
    <t xml:space="preserve">SUM(_xlfn.ORG.LIBREOFFICE.FOURIER(TRANSPOSE({1;2;3}),FALSE,FALSE,TRUE))</t>
  </si>
  <si>
    <t xml:space="preserve">INDEX(_xlfn.ORG.LIBREOFFICE.FOURIER(TRANSPOSE({1;2;3}),FALSE,FALSE,TRUE),1,1)</t>
  </si>
  <si>
    <t xml:space="preserve">INDEX(_xlfn.ORG.LIBREOFFICE.FOURIER(TRANSPOSE({1;2;3}),FALSE,FALSE,TRUE),2,1)</t>
  </si>
  <si>
    <t xml:space="preserve">INDEX(_xlfn.ORG.LIBREOFFICE.FOURIER(TRANSPOSE({1;2;3}),FALSE,FALSE,TRUE),2,2)</t>
  </si>
  <si>
    <t xml:space="preserve">INDEX(_xlfn.ORG.LIBREOFFICE.FOURIER(TRANSPOSE({1;2;3}),FALSE,FALSE,TRUE),3,2)</t>
  </si>
  <si>
    <t xml:space="preserve">INDEX(_xlfn.ORG.LIBREOFFICE.FOURIER(TRANSPOSE({1;2;3}),FALSE,FALSE,TRUE),ROWS(_xlfn.ORG.LIBREOFFICE.FOURIER(TRANSPOSE({1;2;3}),FALSE,FALSE,TRUE)),1)</t>
  </si>
  <si>
    <t xml:space="preserve">INDEX(_xlfn.ORG.LIBREOFFICE.FOURIER(TRANSPOSE({1;2;3}),FALSE,FALSE,TRUE),ROWS(_xlfn.ORG.LIBREOFFICE.FOURIER(TRANSPOSE({1;2;3}),FALSE,FALSE,TRUE)),2)</t>
  </si>
  <si>
    <t xml:space="preserve">SUM(_xlfn.ORG.LIBREOFFICE.FOURIER(TRANSPOSE({1;2;3}),FALSE,TRUE,TRUE))</t>
  </si>
  <si>
    <t xml:space="preserve">INDEX(_xlfn.ORG.LIBREOFFICE.FOURIER(TRANSPOSE({1;2;3}),FALSE,TRUE,TRUE),1,1)</t>
  </si>
  <si>
    <t xml:space="preserve">INDEX(_xlfn.ORG.LIBREOFFICE.FOURIER(TRANSPOSE({1;2;3}),FALSE,TRUE,TRUE),2,1)</t>
  </si>
  <si>
    <t xml:space="preserve">INDEX(_xlfn.ORG.LIBREOFFICE.FOURIER(TRANSPOSE({1;2;3}),FALSE,TRUE,TRUE),2,2)</t>
  </si>
  <si>
    <t xml:space="preserve">INDEX(_xlfn.ORG.LIBREOFFICE.FOURIER(TRANSPOSE({1;2;3}),FALSE,TRUE,TRUE),3,2)</t>
  </si>
  <si>
    <t xml:space="preserve">INDEX(_xlfn.ORG.LIBREOFFICE.FOURIER(TRANSPOSE({1;2;3}),FALSE,TRUE,TRUE),ROWS(_xlfn.ORG.LIBREOFFICE.FOURIER(TRANSPOSE({1;2;3}),FALSE,TRUE,TRUE)),1)</t>
  </si>
  <si>
    <t xml:space="preserve">INDEX(_xlfn.ORG.LIBREOFFICE.FOURIER(TRANSPOSE({1;2;3}),FALSE,TRUE,TRUE),ROWS(_xlfn.ORG.LIBREOFFICE.FOURIER(TRANSPOSE({1;2;3}),FALSE,TRUE,TRUE)),2)</t>
  </si>
  <si>
    <t xml:space="preserve">SUM(_xlfn.ORG.LIBREOFFICE.FOURIER(TRANSPOSE({1;2;3}),FALSE,FALSE,TRUE,1))</t>
  </si>
  <si>
    <t xml:space="preserve">INDEX(_xlfn.ORG.LIBREOFFICE.FOURIER(TRANSPOSE({1;2;3}),FALSE,FALSE,TRUE,1),1,1)</t>
  </si>
  <si>
    <t xml:space="preserve">INDEX(_xlfn.ORG.LIBREOFFICE.FOURIER(TRANSPOSE({1;2;3}),FALSE,FALSE,TRUE,1),2,1)</t>
  </si>
  <si>
    <t xml:space="preserve">INDEX(_xlfn.ORG.LIBREOFFICE.FOURIER(TRANSPOSE({1;2;3}),FALSE,FALSE,TRUE,1),2,2)</t>
  </si>
  <si>
    <t xml:space="preserve">INDEX(_xlfn.ORG.LIBREOFFICE.FOURIER(TRANSPOSE({1;2;3}),FALSE,FALSE,TRUE,1),3,2)</t>
  </si>
  <si>
    <t xml:space="preserve">INDEX(_xlfn.ORG.LIBREOFFICE.FOURIER(TRANSPOSE({1;2;3}),FALSE,FALSE,TRUE,1),ROWS(_xlfn.ORG.LIBREOFFICE.FOURIER(TRANSPOSE({1;2;3}),FALSE,FALSE,TRUE,1)),1)</t>
  </si>
  <si>
    <t xml:space="preserve">INDEX(_xlfn.ORG.LIBREOFFICE.FOURIER(TRANSPOSE({1;2;3}),FALSE,FALSE,TRUE,1),ROWS(_xlfn.ORG.LIBREOFFICE.FOURIER(TRANSPOSE({1;2;3}),FALSE,FALSE,TRUE,1)),2)</t>
  </si>
  <si>
    <t xml:space="preserve">SUM(_xlfn.ORG.LIBREOFFICE.FOURIER(TRANSPOSE({1;2;3}),FALSE,TRUE,TRUE,5))</t>
  </si>
  <si>
    <t xml:space="preserve">INDEX(_xlfn.ORG.LIBREOFFICE.FOURIER(TRANSPOSE({1;2;3}),FALSE,TRUE,TRUE,5),1,1)</t>
  </si>
  <si>
    <t xml:space="preserve">INDEX(_xlfn.ORG.LIBREOFFICE.FOURIER(TRANSPOSE({1;2;3}),FALSE,TRUE,TRUE,5),2,1)</t>
  </si>
  <si>
    <t xml:space="preserve">INDEX(_xlfn.ORG.LIBREOFFICE.FOURIER(TRANSPOSE({1;2;3}),FALSE,TRUE,TRUE,5),2,2)</t>
  </si>
  <si>
    <t xml:space="preserve">INDEX(_xlfn.ORG.LIBREOFFICE.FOURIER(TRANSPOSE({1;2;3}),FALSE,TRUE,TRUE,5),3,2)</t>
  </si>
  <si>
    <t xml:space="preserve">INDEX(_xlfn.ORG.LIBREOFFICE.FOURIER(TRANSPOSE({1;2;3}),FALSE,TRUE,TRUE,5),ROWS(_xlfn.ORG.LIBREOFFICE.FOURIER(TRANSPOSE({1;2;3}),FALSE,TRUE,TRUE,5)),1)</t>
  </si>
  <si>
    <t xml:space="preserve">INDEX(_xlfn.ORG.LIBREOFFICE.FOURIER(TRANSPOSE({1;2;3}),FALSE,TRUE,TRUE,5),ROWS(_xlfn.ORG.LIBREOFFICE.FOURIER(TRANSPOSE({1;2;3}),FALSE,TRUE,TRUE,5)),2)</t>
  </si>
  <si>
    <t xml:space="preserve">ROWS(_xlfn.ORG.LIBREOFFICE.FOURIER({1;2;3;4;5},TRUE))</t>
  </si>
  <si>
    <t xml:space="preserve">COLUMNS(_xlfn.ORG.LIBREOFFICE.FOURIER({1;2;3;4;5},TRUE))</t>
  </si>
  <si>
    <t xml:space="preserve">SUM(_xlfn.ORG.LIBREOFFICE.FOURIER({1;2;3;4;5},TRUE))</t>
  </si>
  <si>
    <t xml:space="preserve">INDEX(_xlfn.ORG.LIBREOFFICE.FOURIER({1;2;3;4;5},TRUE),1,1)</t>
  </si>
  <si>
    <t xml:space="preserve">INDEX(_xlfn.ORG.LIBREOFFICE.FOURIER({1;2;3;4;5},TRUE),2,1)</t>
  </si>
  <si>
    <t xml:space="preserve">INDEX(_xlfn.ORG.LIBREOFFICE.FOURIER({1;2;3;4;5},TRUE),2,2)</t>
  </si>
  <si>
    <t xml:space="preserve">INDEX(_xlfn.ORG.LIBREOFFICE.FOURIER({1;2;3;4;5},TRUE),3,2)</t>
  </si>
  <si>
    <t xml:space="preserve">INDEX(_xlfn.ORG.LIBREOFFICE.FOURIER({1;2;3;4;5},TRUE),ROWS(_xlfn.ORG.LIBREOFFICE.FOURIER({1;2;3;4;5},TRUE)),1)</t>
  </si>
  <si>
    <t xml:space="preserve">INDEX(_xlfn.ORG.LIBREOFFICE.FOURIER({1;2;3;4;5},TRUE),ROWS(_xlfn.ORG.LIBREOFFICE.FOURIER({1;2;3;4;5},TRUE)),2)</t>
  </si>
  <si>
    <t xml:space="preserve">SUM(_xlfn.ORG.LIBREOFFICE.FOURIER({1;2;3;4;5},TRUE,TRUE))</t>
  </si>
  <si>
    <t xml:space="preserve">INDEX(_xlfn.ORG.LIBREOFFICE.FOURIER({1;2;3;4;5},TRUE,TRUE),1,1)</t>
  </si>
  <si>
    <t xml:space="preserve">INDEX(_xlfn.ORG.LIBREOFFICE.FOURIER({1;2;3;4;5},TRUE,TRUE),2,1)</t>
  </si>
  <si>
    <t xml:space="preserve">INDEX(_xlfn.ORG.LIBREOFFICE.FOURIER({1;2;3;4;5},TRUE,TRUE),2,2)</t>
  </si>
  <si>
    <t xml:space="preserve">INDEX(_xlfn.ORG.LIBREOFFICE.FOURIER({1;2;3;4;5},TRUE,TRUE),3,2)</t>
  </si>
  <si>
    <t xml:space="preserve">INDEX(_xlfn.ORG.LIBREOFFICE.FOURIER({1;2;3;4;5},TRUE,TRUE),ROWS(_xlfn.ORG.LIBREOFFICE.FOURIER({1;2;3;4;5},TRUE,TRUE)),1)</t>
  </si>
  <si>
    <t xml:space="preserve">INDEX(_xlfn.ORG.LIBREOFFICE.FOURIER({1;2;3;4;5},TRUE,TRUE),ROWS(_xlfn.ORG.LIBREOFFICE.FOURIER({1;2;3;4;5},TRUE,TRUE)),2)</t>
  </si>
  <si>
    <t xml:space="preserve">SUM(_xlfn.ORG.LIBREOFFICE.FOURIER({1;2;3;4;5},TRUE,FALSE,TRUE))</t>
  </si>
  <si>
    <t xml:space="preserve">INDEX(_xlfn.ORG.LIBREOFFICE.FOURIER({1;2;3;4;5},TRUE,FALSE,TRUE),1,1)</t>
  </si>
  <si>
    <t xml:space="preserve">INDEX(_xlfn.ORG.LIBREOFFICE.FOURIER({1;2;3;4;5},TRUE,FALSE,TRUE),2,1)</t>
  </si>
  <si>
    <t xml:space="preserve">INDEX(_xlfn.ORG.LIBREOFFICE.FOURIER({1;2;3;4;5},TRUE,FALSE,TRUE),2,2)</t>
  </si>
  <si>
    <t xml:space="preserve">INDEX(_xlfn.ORG.LIBREOFFICE.FOURIER({1;2;3;4;5},TRUE,FALSE,TRUE),3,2)</t>
  </si>
  <si>
    <t xml:space="preserve">INDEX(_xlfn.ORG.LIBREOFFICE.FOURIER({1;2;3;4;5},TRUE,FALSE,TRUE),ROWS(_xlfn.ORG.LIBREOFFICE.FOURIER({1;2;3;4;5},TRUE,FALSE,TRUE)),1)</t>
  </si>
  <si>
    <t xml:space="preserve">INDEX(_xlfn.ORG.LIBREOFFICE.FOURIER({1;2;3;4;5},TRUE,FALSE,TRUE),ROWS(_xlfn.ORG.LIBREOFFICE.FOURIER({1;2;3;4;5},TRUE,FALSE,TRUE)),2)</t>
  </si>
  <si>
    <t xml:space="preserve">SUM(_xlfn.ORG.LIBREOFFICE.FOURIER({1;2;3;4;5},TRUE,TRUE,TRUE))</t>
  </si>
  <si>
    <t xml:space="preserve">INDEX(_xlfn.ORG.LIBREOFFICE.FOURIER({1;2;3;4;5},TRUE,TRUE,TRUE),1,1)</t>
  </si>
  <si>
    <t xml:space="preserve">INDEX(_xlfn.ORG.LIBREOFFICE.FOURIER({1;2;3;4;5},TRUE,TRUE,TRUE),2,1)</t>
  </si>
  <si>
    <t xml:space="preserve">INDEX(_xlfn.ORG.LIBREOFFICE.FOURIER({1;2;3;4;5},TRUE,TRUE,TRUE),2,2)</t>
  </si>
  <si>
    <t xml:space="preserve">INDEX(_xlfn.ORG.LIBREOFFICE.FOURIER({1;2;3;4;5},TRUE,TRUE,TRUE),3,2)</t>
  </si>
  <si>
    <t xml:space="preserve">INDEX(_xlfn.ORG.LIBREOFFICE.FOURIER({1;2;3;4;5},TRUE,TRUE,TRUE),ROWS(_xlfn.ORG.LIBREOFFICE.FOURIER({1;2;3;4;5},TRUE,TRUE,TRUE)),1)</t>
  </si>
  <si>
    <t xml:space="preserve">INDEX(_xlfn.ORG.LIBREOFFICE.FOURIER({1;2;3;4;5},TRUE,TRUE,TRUE),ROWS(_xlfn.ORG.LIBREOFFICE.FOURIER({1;2;3;4;5},TRUE,TRUE,TRUE)),2)</t>
  </si>
  <si>
    <t xml:space="preserve">SUM(_xlfn.ORG.LIBREOFFICE.FOURIER({1;2;3;4;5},TRUE,FALSE,TRUE,1))</t>
  </si>
  <si>
    <t xml:space="preserve">INDEX(_xlfn.ORG.LIBREOFFICE.FOURIER({1;2;3;4;5},TRUE,FALSE,TRUE,1),1,1)</t>
  </si>
  <si>
    <t xml:space="preserve">INDEX(_xlfn.ORG.LIBREOFFICE.FOURIER({1;2;3;4;5},TRUE,FALSE,TRUE,1),2,1)</t>
  </si>
  <si>
    <t xml:space="preserve">INDEX(_xlfn.ORG.LIBREOFFICE.FOURIER({1;2;3;4;5},TRUE,FALSE,TRUE,1),2,2)</t>
  </si>
  <si>
    <t xml:space="preserve">INDEX(_xlfn.ORG.LIBREOFFICE.FOURIER({1;2;3;4;5},TRUE,FALSE,TRUE,1),3,2)</t>
  </si>
  <si>
    <t xml:space="preserve">INDEX(_xlfn.ORG.LIBREOFFICE.FOURIER({1;2;3;4;5},TRUE,FALSE,TRUE,1),ROWS(_xlfn.ORG.LIBREOFFICE.FOURIER({1;2;3;4;5},TRUE,FALSE,TRUE,1)),1)</t>
  </si>
  <si>
    <t xml:space="preserve">INDEX(_xlfn.ORG.LIBREOFFICE.FOURIER({1;2;3;4;5},TRUE,FALSE,TRUE,1),ROWS(_xlfn.ORG.LIBREOFFICE.FOURIER({1;2;3;4;5},TRUE,FALSE,TRUE,1)),2)</t>
  </si>
  <si>
    <t xml:space="preserve">SUM(_xlfn.ORG.LIBREOFFICE.FOURIER({1;2;3;4;5},TRUE,TRUE,TRUE,5))</t>
  </si>
  <si>
    <t xml:space="preserve">INDEX(_xlfn.ORG.LIBREOFFICE.FOURIER({1;2;3;4;5},TRUE,TRUE,TRUE,5),1,1)</t>
  </si>
  <si>
    <t xml:space="preserve">INDEX(_xlfn.ORG.LIBREOFFICE.FOURIER({1;2;3;4;5},TRUE,TRUE,TRUE,5),2,1)</t>
  </si>
  <si>
    <t xml:space="preserve">INDEX(_xlfn.ORG.LIBREOFFICE.FOURIER({1;2;3;4;5},TRUE,TRUE,TRUE,5),2,2)</t>
  </si>
  <si>
    <t xml:space="preserve">INDEX(_xlfn.ORG.LIBREOFFICE.FOURIER({1;2;3;4;5},TRUE,TRUE,TRUE,5),3,2)</t>
  </si>
  <si>
    <t xml:space="preserve">INDEX(_xlfn.ORG.LIBREOFFICE.FOURIER({1;2;3;4;5},TRUE,TRUE,TRUE,5),ROWS(_xlfn.ORG.LIBREOFFICE.FOURIER({1;2;3;4;5},TRUE,TRUE,TRUE,5)),1)</t>
  </si>
  <si>
    <t xml:space="preserve">INDEX(_xlfn.ORG.LIBREOFFICE.FOURIER({1;2;3;4;5},TRUE,TRUE,TRUE,5),ROWS(_xlfn.ORG.LIBREOFFICE.FOURIER({1;2;3;4;5},TRUE,TRUE,TRUE,5)),2)</t>
  </si>
  <si>
    <t xml:space="preserve">ROWS(_xlfn.ORG.LIBREOFFICE.FOURIER(TRANSPOSE({1;2;3;4;5}),FALSE))</t>
  </si>
  <si>
    <t xml:space="preserve">COLUMNS(_xlfn.ORG.LIBREOFFICE.FOURIER(TRANSPOSE({1;2;3;4;5}),FALSE))</t>
  </si>
  <si>
    <t xml:space="preserve">SUM(_xlfn.ORG.LIBREOFFICE.FOURIER(TRANSPOSE({1;2;3;4;5}),FALSE))</t>
  </si>
  <si>
    <t xml:space="preserve">INDEX(_xlfn.ORG.LIBREOFFICE.FOURIER(TRANSPOSE({1;2;3;4;5}),FALSE),1,1)</t>
  </si>
  <si>
    <t xml:space="preserve">INDEX(_xlfn.ORG.LIBREOFFICE.FOURIER(TRANSPOSE({1;2;3;4;5}),FALSE),2,1)</t>
  </si>
  <si>
    <t xml:space="preserve">INDEX(_xlfn.ORG.LIBREOFFICE.FOURIER(TRANSPOSE({1;2;3;4;5}),FALSE),2,2)</t>
  </si>
  <si>
    <t xml:space="preserve">INDEX(_xlfn.ORG.LIBREOFFICE.FOURIER(TRANSPOSE({1;2;3;4;5}),FALSE),3,2)</t>
  </si>
  <si>
    <t xml:space="preserve">INDEX(_xlfn.ORG.LIBREOFFICE.FOURIER(TRANSPOSE({1;2;3;4;5}),FALSE),ROWS(_xlfn.ORG.LIBREOFFICE.FOURIER(TRANSPOSE({1;2;3;4;5}),FALSE)),1)</t>
  </si>
  <si>
    <t xml:space="preserve">INDEX(_xlfn.ORG.LIBREOFFICE.FOURIER(TRANSPOSE({1;2;3;4;5}),FALSE),ROWS(_xlfn.ORG.LIBREOFFICE.FOURIER(TRANSPOSE({1;2;3;4;5}),FALSE)),2)</t>
  </si>
  <si>
    <t xml:space="preserve">SUM(_xlfn.ORG.LIBREOFFICE.FOURIER(TRANSPOSE({1;2;3;4;5}),FALSE,TRUE))</t>
  </si>
  <si>
    <t xml:space="preserve">INDEX(_xlfn.ORG.LIBREOFFICE.FOURIER(TRANSPOSE({1;2;3;4;5}),FALSE,TRUE),1,1)</t>
  </si>
  <si>
    <t xml:space="preserve">INDEX(_xlfn.ORG.LIBREOFFICE.FOURIER(TRANSPOSE({1;2;3;4;5}),FALSE,TRUE),2,1)</t>
  </si>
  <si>
    <t xml:space="preserve">INDEX(_xlfn.ORG.LIBREOFFICE.FOURIER(TRANSPOSE({1;2;3;4;5}),FALSE,TRUE),2,2)</t>
  </si>
  <si>
    <t xml:space="preserve">INDEX(_xlfn.ORG.LIBREOFFICE.FOURIER(TRANSPOSE({1;2;3;4;5}),FALSE,TRUE),3,2)</t>
  </si>
  <si>
    <t xml:space="preserve">INDEX(_xlfn.ORG.LIBREOFFICE.FOURIER(TRANSPOSE({1;2;3;4;5}),FALSE,TRUE),ROWS(_xlfn.ORG.LIBREOFFICE.FOURIER(TRANSPOSE({1;2;3;4;5}),FALSE,TRUE)),1)</t>
  </si>
  <si>
    <t xml:space="preserve">INDEX(_xlfn.ORG.LIBREOFFICE.FOURIER(TRANSPOSE({1;2;3;4;5}),FALSE,TRUE),ROWS(_xlfn.ORG.LIBREOFFICE.FOURIER(TRANSPOSE({1;2;3;4;5}),FALSE,TRUE)),2)</t>
  </si>
  <si>
    <t xml:space="preserve">SUM(_xlfn.ORG.LIBREOFFICE.FOURIER(TRANSPOSE({1;2;3;4;5}),FALSE,FALSE,TRUE))</t>
  </si>
  <si>
    <t xml:space="preserve">INDEX(_xlfn.ORG.LIBREOFFICE.FOURIER(TRANSPOSE({1;2;3;4;5}),FALSE,FALSE,TRUE),1,1)</t>
  </si>
  <si>
    <t xml:space="preserve">INDEX(_xlfn.ORG.LIBREOFFICE.FOURIER(TRANSPOSE({1;2;3;4;5}),FALSE,FALSE,TRUE),2,1)</t>
  </si>
  <si>
    <t xml:space="preserve">INDEX(_xlfn.ORG.LIBREOFFICE.FOURIER(TRANSPOSE({1;2;3;4;5}),FALSE,FALSE,TRUE),2,2)</t>
  </si>
  <si>
    <t xml:space="preserve">INDEX(_xlfn.ORG.LIBREOFFICE.FOURIER(TRANSPOSE({1;2;3;4;5}),FALSE,FALSE,TRUE),3,2)</t>
  </si>
  <si>
    <t xml:space="preserve">INDEX(_xlfn.ORG.LIBREOFFICE.FOURIER(TRANSPOSE({1;2;3;4;5}),FALSE,FALSE,TRUE),ROWS(_xlfn.ORG.LIBREOFFICE.FOURIER(TRANSPOSE({1;2;3;4;5}),FALSE,FALSE,TRUE)),1)</t>
  </si>
  <si>
    <t xml:space="preserve">INDEX(_xlfn.ORG.LIBREOFFICE.FOURIER(TRANSPOSE({1;2;3;4;5}),FALSE,FALSE,TRUE),ROWS(_xlfn.ORG.LIBREOFFICE.FOURIER(TRANSPOSE({1;2;3;4;5}),FALSE,FALSE,TRUE)),2)</t>
  </si>
  <si>
    <t xml:space="preserve">SUM(_xlfn.ORG.LIBREOFFICE.FOURIER(TRANSPOSE({1;2;3;4;5}),FALSE,TRUE,TRUE))</t>
  </si>
  <si>
    <t xml:space="preserve">INDEX(_xlfn.ORG.LIBREOFFICE.FOURIER(TRANSPOSE({1;2;3;4;5}),FALSE,TRUE,TRUE),1,1)</t>
  </si>
  <si>
    <t xml:space="preserve">INDEX(_xlfn.ORG.LIBREOFFICE.FOURIER(TRANSPOSE({1;2;3;4;5}),FALSE,TRUE,TRUE),2,1)</t>
  </si>
  <si>
    <t xml:space="preserve">INDEX(_xlfn.ORG.LIBREOFFICE.FOURIER(TRANSPOSE({1;2;3;4;5}),FALSE,TRUE,TRUE),2,2)</t>
  </si>
  <si>
    <t xml:space="preserve">INDEX(_xlfn.ORG.LIBREOFFICE.FOURIER(TRANSPOSE({1;2;3;4;5}),FALSE,TRUE,TRUE),3,2)</t>
  </si>
  <si>
    <t xml:space="preserve">INDEX(_xlfn.ORG.LIBREOFFICE.FOURIER(TRANSPOSE({1;2;3;4;5}),FALSE,TRUE,TRUE),ROWS(_xlfn.ORG.LIBREOFFICE.FOURIER(TRANSPOSE({1;2;3;4;5}),FALSE,TRUE,TRUE)),1)</t>
  </si>
  <si>
    <t xml:space="preserve">INDEX(_xlfn.ORG.LIBREOFFICE.FOURIER(TRANSPOSE({1;2;3;4;5}),FALSE,TRUE,TRUE),ROWS(_xlfn.ORG.LIBREOFFICE.FOURIER(TRANSPOSE({1;2;3;4;5}),FALSE,TRUE,TRUE)),2)</t>
  </si>
  <si>
    <t xml:space="preserve">SUM(_xlfn.ORG.LIBREOFFICE.FOURIER(TRANSPOSE({1;2;3;4;5}),FALSE,FALSE,TRUE,1))</t>
  </si>
  <si>
    <t xml:space="preserve">INDEX(_xlfn.ORG.LIBREOFFICE.FOURIER(TRANSPOSE({1;2;3;4;5}),FALSE,FALSE,TRUE,1),1,1)</t>
  </si>
  <si>
    <t xml:space="preserve">INDEX(_xlfn.ORG.LIBREOFFICE.FOURIER(TRANSPOSE({1;2;3;4;5}),FALSE,FALSE,TRUE,1),2,1)</t>
  </si>
  <si>
    <t xml:space="preserve">INDEX(_xlfn.ORG.LIBREOFFICE.FOURIER(TRANSPOSE({1;2;3;4;5}),FALSE,FALSE,TRUE,1),2,2)</t>
  </si>
  <si>
    <t xml:space="preserve">INDEX(_xlfn.ORG.LIBREOFFICE.FOURIER(TRANSPOSE({1;2;3;4;5}),FALSE,FALSE,TRUE,1),3,2)</t>
  </si>
  <si>
    <t xml:space="preserve">INDEX(_xlfn.ORG.LIBREOFFICE.FOURIER(TRANSPOSE({1;2;3;4;5}),FALSE,FALSE,TRUE,1),ROWS(_xlfn.ORG.LIBREOFFICE.FOURIER(TRANSPOSE({1;2;3;4;5}),FALSE,FALSE,TRUE,1)),1)</t>
  </si>
  <si>
    <t xml:space="preserve">INDEX(_xlfn.ORG.LIBREOFFICE.FOURIER(TRANSPOSE({1;2;3;4;5}),FALSE,FALSE,TRUE,1),ROWS(_xlfn.ORG.LIBREOFFICE.FOURIER(TRANSPOSE({1;2;3;4;5}),FALSE,FALSE,TRUE,1)),2)</t>
  </si>
  <si>
    <t xml:space="preserve">SUM(_xlfn.ORG.LIBREOFFICE.FOURIER(TRANSPOSE({1;2;3;4;5}),FALSE,TRUE,TRUE,5))</t>
  </si>
  <si>
    <t xml:space="preserve">INDEX(_xlfn.ORG.LIBREOFFICE.FOURIER(TRANSPOSE({1;2;3;4;5}),FALSE,TRUE,TRUE,5),1,1)</t>
  </si>
  <si>
    <t xml:space="preserve">INDEX(_xlfn.ORG.LIBREOFFICE.FOURIER(TRANSPOSE({1;2;3;4;5}),FALSE,TRUE,TRUE,5),2,1)</t>
  </si>
  <si>
    <t xml:space="preserve">INDEX(_xlfn.ORG.LIBREOFFICE.FOURIER(TRANSPOSE({1;2;3;4;5}),FALSE,TRUE,TRUE,5),2,2)</t>
  </si>
  <si>
    <t xml:space="preserve">INDEX(_xlfn.ORG.LIBREOFFICE.FOURIER(TRANSPOSE({1;2;3;4;5}),FALSE,TRUE,TRUE,5),3,2)</t>
  </si>
  <si>
    <t xml:space="preserve">INDEX(_xlfn.ORG.LIBREOFFICE.FOURIER(TRANSPOSE({1;2;3;4;5}),FALSE,TRUE,TRUE,5),ROWS(_xlfn.ORG.LIBREOFFICE.FOURIER(TRANSPOSE({1;2;3;4;5}),FALSE,TRUE,TRUE,5)),1)</t>
  </si>
  <si>
    <t xml:space="preserve">INDEX(_xlfn.ORG.LIBREOFFICE.FOURIER(TRANSPOSE({1;2;3;4;5}),FALSE,TRUE,TRUE,5),ROWS(_xlfn.ORG.LIBREOFFICE.FOURIER(TRANSPOSE({1;2;3;4;5}),FALSE,TRUE,TRUE,5)),2)</t>
  </si>
  <si>
    <t xml:space="preserve">ROWS(_xlfn.ORG.LIBREOFFICE.FOURIER({1;2;3;4;5;6;7;8;9;10;11;12},TRUE))</t>
  </si>
  <si>
    <t xml:space="preserve">COLUMNS(_xlfn.ORG.LIBREOFFICE.FOURIER({1;2;3;4;5;6;7;8;9;10;11;12},TRUE))</t>
  </si>
  <si>
    <t xml:space="preserve">SUM(_xlfn.ORG.LIBREOFFICE.FOURIER({1;2;3;4;5;6;7;8;9;10;11;12},TRUE))</t>
  </si>
  <si>
    <t xml:space="preserve">INDEX(_xlfn.ORG.LIBREOFFICE.FOURIER({1;2;3;4;5;6;7;8;9;10;11;12},TRUE),1,1)</t>
  </si>
  <si>
    <t xml:space="preserve">INDEX(_xlfn.ORG.LIBREOFFICE.FOURIER({1;2;3;4;5;6;7;8;9;10;11;12},TRUE),2,1)</t>
  </si>
  <si>
    <t xml:space="preserve">INDEX(_xlfn.ORG.LIBREOFFICE.FOURIER({1;2;3;4;5;6;7;8;9;10;11;12},TRUE),2,2)</t>
  </si>
  <si>
    <t xml:space="preserve">INDEX(_xlfn.ORG.LIBREOFFICE.FOURIER({1;2;3;4;5;6;7;8;9;10;11;12},TRUE),3,2)</t>
  </si>
  <si>
    <t xml:space="preserve">INDEX(_xlfn.ORG.LIBREOFFICE.FOURIER({1;2;3;4;5;6;7;8;9;10;11;12},TRUE),ROWS(_xlfn.ORG.LIBREOFFICE.FOURIER({1;2;3;4;5;6;7;8;9;10;11;12},TRUE)),1)</t>
  </si>
  <si>
    <t xml:space="preserve">INDEX(_xlfn.ORG.LIBREOFFICE.FOURIER({1;2;3;4;5;6;7;8;9;10;11;12},TRUE),ROWS(_xlfn.ORG.LIBREOFFICE.FOURIER({1;2;3;4;5;6;7;8;9;10;11;12},TRUE)),2)</t>
  </si>
  <si>
    <t xml:space="preserve">SUM(_xlfn.ORG.LIBREOFFICE.FOURIER({1;2;3;4;5;6;7;8;9;10;11;12},TRUE,TRUE))</t>
  </si>
  <si>
    <t xml:space="preserve">INDEX(_xlfn.ORG.LIBREOFFICE.FOURIER({1;2;3;4;5;6;7;8;9;10;11;12},TRUE,TRUE),1,1)</t>
  </si>
  <si>
    <t xml:space="preserve">INDEX(_xlfn.ORG.LIBREOFFICE.FOURIER({1;2;3;4;5;6;7;8;9;10;11;12},TRUE,TRUE),2,1)</t>
  </si>
  <si>
    <t xml:space="preserve">INDEX(_xlfn.ORG.LIBREOFFICE.FOURIER({1;2;3;4;5;6;7;8;9;10;11;12},TRUE,TRUE),2,2)</t>
  </si>
  <si>
    <t xml:space="preserve">INDEX(_xlfn.ORG.LIBREOFFICE.FOURIER({1;2;3;4;5;6;7;8;9;10;11;12},TRUE,TRUE),3,2)</t>
  </si>
  <si>
    <t xml:space="preserve">INDEX(_xlfn.ORG.LIBREOFFICE.FOURIER({1;2;3;4;5;6;7;8;9;10;11;12},TRUE,TRUE),ROWS(_xlfn.ORG.LIBREOFFICE.FOURIER({1;2;3;4;5;6;7;8;9;10;11;12},TRUE,TRUE)),1)</t>
  </si>
  <si>
    <t xml:space="preserve">INDEX(_xlfn.ORG.LIBREOFFICE.FOURIER({1;2;3;4;5;6;7;8;9;10;11;12},TRUE,TRUE),ROWS(_xlfn.ORG.LIBREOFFICE.FOURIER({1;2;3;4;5;6;7;8;9;10;11;12},TRUE,TRUE)),2)</t>
  </si>
  <si>
    <t xml:space="preserve">SUM(_xlfn.ORG.LIBREOFFICE.FOURIER({1;2;3;4;5;6;7;8;9;10;11;12},TRUE,FALSE,TRUE))</t>
  </si>
  <si>
    <t xml:space="preserve">INDEX(_xlfn.ORG.LIBREOFFICE.FOURIER({1;2;3;4;5;6;7;8;9;10;11;12},TRUE,FALSE,TRUE),1,1)</t>
  </si>
  <si>
    <t xml:space="preserve">INDEX(_xlfn.ORG.LIBREOFFICE.FOURIER({1;2;3;4;5;6;7;8;9;10;11;12},TRUE,FALSE,TRUE),2,1)</t>
  </si>
  <si>
    <t xml:space="preserve">INDEX(_xlfn.ORG.LIBREOFFICE.FOURIER({1;2;3;4;5;6;7;8;9;10;11;12},TRUE,FALSE,TRUE),2,2)</t>
  </si>
  <si>
    <t xml:space="preserve">INDEX(_xlfn.ORG.LIBREOFFICE.FOURIER({1;2;3;4;5;6;7;8;9;10;11;12},TRUE,FALSE,TRUE),3,2)</t>
  </si>
  <si>
    <t xml:space="preserve">INDEX(_xlfn.ORG.LIBREOFFICE.FOURIER({1;2;3;4;5;6;7;8;9;10;11;12},TRUE,FALSE,TRUE),ROWS(_xlfn.ORG.LIBREOFFICE.FOURIER({1;2;3;4;5;6;7;8;9;10;11;12},TRUE,FALSE,TRUE)),1)</t>
  </si>
  <si>
    <t xml:space="preserve">INDEX(_xlfn.ORG.LIBREOFFICE.FOURIER({1;2;3;4;5;6;7;8;9;10;11;12},TRUE,FALSE,TRUE),ROWS(_xlfn.ORG.LIBREOFFICE.FOURIER({1;2;3;4;5;6;7;8;9;10;11;12},TRUE,FALSE,TRUE)),2)</t>
  </si>
  <si>
    <t xml:space="preserve">SUM(_xlfn.ORG.LIBREOFFICE.FOURIER({1;2;3;4;5;6;7;8;9;10;11;12},TRUE,TRUE,TRUE))</t>
  </si>
  <si>
    <t xml:space="preserve">INDEX(_xlfn.ORG.LIBREOFFICE.FOURIER({1;2;3;4;5;6;7;8;9;10;11;12},TRUE,TRUE,TRUE),1,1)</t>
  </si>
  <si>
    <t xml:space="preserve">INDEX(_xlfn.ORG.LIBREOFFICE.FOURIER({1;2;3;4;5;6;7;8;9;10;11;12},TRUE,TRUE,TRUE),2,1)</t>
  </si>
  <si>
    <t xml:space="preserve">INDEX(_xlfn.ORG.LIBREOFFICE.FOURIER({1;2;3;4;5;6;7;8;9;10;11;12},TRUE,TRUE,TRUE),2,2)</t>
  </si>
  <si>
    <t xml:space="preserve">INDEX(_xlfn.ORG.LIBREOFFICE.FOURIER({1;2;3;4;5;6;7;8;9;10;11;12},TRUE,TRUE,TRUE),3,2)</t>
  </si>
  <si>
    <t xml:space="preserve">INDEX(_xlfn.ORG.LIBREOFFICE.FOURIER({1;2;3;4;5;6;7;8;9;10;11;12},TRUE,TRUE,TRUE),ROWS(_xlfn.ORG.LIBREOFFICE.FOURIER({1;2;3;4;5;6;7;8;9;10;11;12},TRUE,TRUE,TRUE)),1)</t>
  </si>
  <si>
    <t xml:space="preserve">INDEX(_xlfn.ORG.LIBREOFFICE.FOURIER({1;2;3;4;5;6;7;8;9;10;11;12},TRUE,TRUE,TRUE),ROWS(_xlfn.ORG.LIBREOFFICE.FOURIER({1;2;3;4;5;6;7;8;9;10;11;12},TRUE,TRUE,TRUE)),2)</t>
  </si>
  <si>
    <t xml:space="preserve">SUM(_xlfn.ORG.LIBREOFFICE.FOURIER({1;2;3;4;5;6;7;8;9;10;11;12},TRUE,FALSE,TRUE,1))</t>
  </si>
  <si>
    <t xml:space="preserve">INDEX(_xlfn.ORG.LIBREOFFICE.FOURIER({1;2;3;4;5;6;7;8;9;10;11;12},TRUE,FALSE,TRUE,1),1,1)</t>
  </si>
  <si>
    <t xml:space="preserve">INDEX(_xlfn.ORG.LIBREOFFICE.FOURIER({1;2;3;4;5;6;7;8;9;10;11;12},TRUE,FALSE,TRUE,1),2,1)</t>
  </si>
  <si>
    <t xml:space="preserve">INDEX(_xlfn.ORG.LIBREOFFICE.FOURIER({1;2;3;4;5;6;7;8;9;10;11;12},TRUE,FALSE,TRUE,1),2,2)</t>
  </si>
  <si>
    <t xml:space="preserve">INDEX(_xlfn.ORG.LIBREOFFICE.FOURIER({1;2;3;4;5;6;7;8;9;10;11;12},TRUE,FALSE,TRUE,1),3,2)</t>
  </si>
  <si>
    <t xml:space="preserve">INDEX(_xlfn.ORG.LIBREOFFICE.FOURIER({1;2;3;4;5;6;7;8;9;10;11;12},TRUE,FALSE,TRUE,1),ROWS(_xlfn.ORG.LIBREOFFICE.FOURIER({1;2;3;4;5;6;7;8;9;10;11;12},TRUE,FALSE,TRUE,1)),1)</t>
  </si>
  <si>
    <t xml:space="preserve">INDEX(_xlfn.ORG.LIBREOFFICE.FOURIER({1;2;3;4;5;6;7;8;9;10;11;12},TRUE,FALSE,TRUE,1),ROWS(_xlfn.ORG.LIBREOFFICE.FOURIER({1;2;3;4;5;6;7;8;9;10;11;12},TRUE,FALSE,TRUE,1)),2)</t>
  </si>
  <si>
    <t xml:space="preserve">SUM(_xlfn.ORG.LIBREOFFICE.FOURIER({1;2;3;4;5;6;7;8;9;10;11;12},TRUE,TRUE,TRUE,5))</t>
  </si>
  <si>
    <t xml:space="preserve">INDEX(_xlfn.ORG.LIBREOFFICE.FOURIER({1;2;3;4;5;6;7;8;9;10;11;12},TRUE,TRUE,TRUE,5),1,1)</t>
  </si>
  <si>
    <t xml:space="preserve">INDEX(_xlfn.ORG.LIBREOFFICE.FOURIER({1;2;3;4;5;6;7;8;9;10;11;12},TRUE,TRUE,TRUE,5),2,1)</t>
  </si>
  <si>
    <t xml:space="preserve">INDEX(_xlfn.ORG.LIBREOFFICE.FOURIER({1;2;3;4;5;6;7;8;9;10;11;12},TRUE,TRUE,TRUE,5),2,2)</t>
  </si>
  <si>
    <t xml:space="preserve">INDEX(_xlfn.ORG.LIBREOFFICE.FOURIER({1;2;3;4;5;6;7;8;9;10;11;12},TRUE,TRUE,TRUE,5),3,2)</t>
  </si>
  <si>
    <t xml:space="preserve">INDEX(_xlfn.ORG.LIBREOFFICE.FOURIER({1;2;3;4;5;6;7;8;9;10;11;12},TRUE,TRUE,TRUE,5),ROWS(_xlfn.ORG.LIBREOFFICE.FOURIER({1;2;3;4;5;6;7;8;9;10;11;12},TRUE,TRUE,TRUE,5)),1)</t>
  </si>
  <si>
    <t xml:space="preserve">INDEX(_xlfn.ORG.LIBREOFFICE.FOURIER({1;2;3;4;5;6;7;8;9;10;11;12},TRUE,TRUE,TRUE,5),ROWS(_xlfn.ORG.LIBREOFFICE.FOURIER({1;2;3;4;5;6;7;8;9;10;11;12},TRUE,TRUE,TRUE,5)),2)</t>
  </si>
  <si>
    <t xml:space="preserve">ROWS(_xlfn.ORG.LIBREOFFICE.FOURIER(TRANSPOSE({1;2;3;4;5;6;7;8;9;10;11;12}),FALSE))</t>
  </si>
  <si>
    <t xml:space="preserve">COLUMNS(_xlfn.ORG.LIBREOFFICE.FOURIER(TRANSPOSE({1;2;3;4;5;6;7;8;9;10;11;12}),FALSE))</t>
  </si>
  <si>
    <t xml:space="preserve">SUM(_xlfn.ORG.LIBREOFFICE.FOURIER(TRANSPOSE({1;2;3;4;5;6;7;8;9;10;11;12}),FALSE))</t>
  </si>
  <si>
    <t xml:space="preserve">INDEX(_xlfn.ORG.LIBREOFFICE.FOURIER(TRANSPOSE({1;2;3;4;5;6;7;8;9;10;11;12}),FALSE),1,1)</t>
  </si>
  <si>
    <t xml:space="preserve">INDEX(_xlfn.ORG.LIBREOFFICE.FOURIER(TRANSPOSE({1;2;3;4;5;6;7;8;9;10;11;12}),FALSE),2,1)</t>
  </si>
  <si>
    <t xml:space="preserve">INDEX(_xlfn.ORG.LIBREOFFICE.FOURIER(TRANSPOSE({1;2;3;4;5;6;7;8;9;10;11;12}),FALSE),2,2)</t>
  </si>
  <si>
    <t xml:space="preserve">INDEX(_xlfn.ORG.LIBREOFFICE.FOURIER(TRANSPOSE({1;2;3;4;5;6;7;8;9;10;11;12}),FALSE),3,2)</t>
  </si>
  <si>
    <t xml:space="preserve">INDEX(_xlfn.ORG.LIBREOFFICE.FOURIER(TRANSPOSE({1;2;3;4;5;6;7;8;9;10;11;12}),FALSE),ROWS(_xlfn.ORG.LIBREOFFICE.FOURIER(TRANSPOSE({1;2;3;4;5;6;7;8;9;10;11;12}),FALSE)),1)</t>
  </si>
  <si>
    <t xml:space="preserve">INDEX(_xlfn.ORG.LIBREOFFICE.FOURIER(TRANSPOSE({1;2;3;4;5;6;7;8;9;10;11;12}),FALSE),ROWS(_xlfn.ORG.LIBREOFFICE.FOURIER(TRANSPOSE({1;2;3;4;5;6;7;8;9;10;11;12}),FALSE)),2)</t>
  </si>
  <si>
    <t xml:space="preserve">SUM(_xlfn.ORG.LIBREOFFICE.FOURIER(TRANSPOSE({1;2;3;4;5;6;7;8;9;10;11;12}),FALSE,TRUE))</t>
  </si>
  <si>
    <t xml:space="preserve">INDEX(_xlfn.ORG.LIBREOFFICE.FOURIER(TRANSPOSE({1;2;3;4;5;6;7;8;9;10;11;12}),FALSE,TRUE),1,1)</t>
  </si>
  <si>
    <t xml:space="preserve">INDEX(_xlfn.ORG.LIBREOFFICE.FOURIER(TRANSPOSE({1;2;3;4;5;6;7;8;9;10;11;12}),FALSE,TRUE),2,1)</t>
  </si>
  <si>
    <t xml:space="preserve">INDEX(_xlfn.ORG.LIBREOFFICE.FOURIER(TRANSPOSE({1;2;3;4;5;6;7;8;9;10;11;12}),FALSE,TRUE),2,2)</t>
  </si>
  <si>
    <t xml:space="preserve">INDEX(_xlfn.ORG.LIBREOFFICE.FOURIER(TRANSPOSE({1;2;3;4;5;6;7;8;9;10;11;12}),FALSE,TRUE),3,2)</t>
  </si>
  <si>
    <t xml:space="preserve">INDEX(_xlfn.ORG.LIBREOFFICE.FOURIER(TRANSPOSE({1;2;3;4;5;6;7;8;9;10;11;12}),FALSE,TRUE),ROWS(_xlfn.ORG.LIBREOFFICE.FOURIER(TRANSPOSE({1;2;3;4;5;6;7;8;9;10;11;12}),FALSE,TRUE)),1)</t>
  </si>
  <si>
    <t xml:space="preserve">INDEX(_xlfn.ORG.LIBREOFFICE.FOURIER(TRANSPOSE({1;2;3;4;5;6;7;8;9;10;11;12}),FALSE,TRUE),ROWS(_xlfn.ORG.LIBREOFFICE.FOURIER(TRANSPOSE({1;2;3;4;5;6;7;8;9;10;11;12}),FALSE,TRUE)),2)</t>
  </si>
  <si>
    <t xml:space="preserve">SUM(_xlfn.ORG.LIBREOFFICE.FOURIER(TRANSPOSE({1;2;3;4;5;6;7;8;9;10;11;12}),FALSE,FALSE,TRUE))</t>
  </si>
  <si>
    <t xml:space="preserve">INDEX(_xlfn.ORG.LIBREOFFICE.FOURIER(TRANSPOSE({1;2;3;4;5;6;7;8;9;10;11;12}),FALSE,FALSE,TRUE),1,1)</t>
  </si>
  <si>
    <t xml:space="preserve">INDEX(_xlfn.ORG.LIBREOFFICE.FOURIER(TRANSPOSE({1;2;3;4;5;6;7;8;9;10;11;12}),FALSE,FALSE,TRUE),2,1)</t>
  </si>
  <si>
    <t xml:space="preserve">INDEX(_xlfn.ORG.LIBREOFFICE.FOURIER(TRANSPOSE({1;2;3;4;5;6;7;8;9;10;11;12}),FALSE,FALSE,TRUE),2,2)</t>
  </si>
  <si>
    <t xml:space="preserve">INDEX(_xlfn.ORG.LIBREOFFICE.FOURIER(TRANSPOSE({1;2;3;4;5;6;7;8;9;10;11;12}),FALSE,FALSE,TRUE),3,2)</t>
  </si>
  <si>
    <t xml:space="preserve">INDEX(_xlfn.ORG.LIBREOFFICE.FOURIER(TRANSPOSE({1;2;3;4;5;6;7;8;9;10;11;12}),FALSE,FALSE,TRUE),ROWS(_xlfn.ORG.LIBREOFFICE.FOURIER(TRANSPOSE({1;2;3;4;5;6;7;8;9;10;11;12}),FALSE,FALSE,TRUE)),1)</t>
  </si>
  <si>
    <t xml:space="preserve">INDEX(_xlfn.ORG.LIBREOFFICE.FOURIER(TRANSPOSE({1;2;3;4;5;6;7;8;9;10;11;12}),FALSE,FALSE,TRUE),ROWS(_xlfn.ORG.LIBREOFFICE.FOURIER(TRANSPOSE({1;2;3;4;5;6;7;8;9;10;11;12}),FALSE,FALSE,TRUE)),2)</t>
  </si>
  <si>
    <t xml:space="preserve">SUM(_xlfn.ORG.LIBREOFFICE.FOURIER(TRANSPOSE({1;2;3;4;5;6;7;8;9;10;11;12}),FALSE,TRUE,TRUE))</t>
  </si>
  <si>
    <t xml:space="preserve">INDEX(_xlfn.ORG.LIBREOFFICE.FOURIER(TRANSPOSE({1;2;3;4;5;6;7;8;9;10;11;12}),FALSE,TRUE,TRUE),1,1)</t>
  </si>
  <si>
    <t xml:space="preserve">INDEX(_xlfn.ORG.LIBREOFFICE.FOURIER(TRANSPOSE({1;2;3;4;5;6;7;8;9;10;11;12}),FALSE,TRUE,TRUE),2,1)</t>
  </si>
  <si>
    <t xml:space="preserve">INDEX(_xlfn.ORG.LIBREOFFICE.FOURIER(TRANSPOSE({1;2;3;4;5;6;7;8;9;10;11;12}),FALSE,TRUE,TRUE),2,2)</t>
  </si>
  <si>
    <t xml:space="preserve">INDEX(_xlfn.ORG.LIBREOFFICE.FOURIER(TRANSPOSE({1;2;3;4;5;6;7;8;9;10;11;12}),FALSE,TRUE,TRUE),3,2)</t>
  </si>
  <si>
    <t xml:space="preserve">INDEX(_xlfn.ORG.LIBREOFFICE.FOURIER(TRANSPOSE({1;2;3;4;5;6;7;8;9;10;11;12}),FALSE,TRUE,TRUE),ROWS(_xlfn.ORG.LIBREOFFICE.FOURIER(TRANSPOSE({1;2;3;4;5;6;7;8;9;10;11;12}),FALSE,TRUE,TRUE)),1)</t>
  </si>
  <si>
    <t xml:space="preserve">INDEX(_xlfn.ORG.LIBREOFFICE.FOURIER(TRANSPOSE({1;2;3;4;5;6;7;8;9;10;11;12}),FALSE,TRUE,TRUE),ROWS(_xlfn.ORG.LIBREOFFICE.FOURIER(TRANSPOSE({1;2;3;4;5;6;7;8;9;10;11;12}),FALSE,TRUE,TRUE)),2)</t>
  </si>
  <si>
    <t xml:space="preserve">SUM(_xlfn.ORG.LIBREOFFICE.FOURIER(TRANSPOSE({1;2;3;4;5;6;7;8;9;10;11;12}),FALSE,FALSE,TRUE,1))</t>
  </si>
  <si>
    <t xml:space="preserve">INDEX(_xlfn.ORG.LIBREOFFICE.FOURIER(TRANSPOSE({1;2;3;4;5;6;7;8;9;10;11;12}),FALSE,FALSE,TRUE,1),1,1)</t>
  </si>
  <si>
    <t xml:space="preserve">INDEX(_xlfn.ORG.LIBREOFFICE.FOURIER(TRANSPOSE({1;2;3;4;5;6;7;8;9;10;11;12}),FALSE,FALSE,TRUE,1),2,1)</t>
  </si>
  <si>
    <t xml:space="preserve">INDEX(_xlfn.ORG.LIBREOFFICE.FOURIER(TRANSPOSE({1;2;3;4;5;6;7;8;9;10;11;12}),FALSE,FALSE,TRUE,1),2,2)</t>
  </si>
  <si>
    <t xml:space="preserve">INDEX(_xlfn.ORG.LIBREOFFICE.FOURIER(TRANSPOSE({1;2;3;4;5;6;7;8;9;10;11;12}),FALSE,FALSE,TRUE,1),3,2)</t>
  </si>
  <si>
    <t xml:space="preserve">INDEX(_xlfn.ORG.LIBREOFFICE.FOURIER(TRANSPOSE({1;2;3;4;5;6;7;8;9;10;11;12}),FALSE,FALSE,TRUE,1),ROWS(_xlfn.ORG.LIBREOFFICE.FOURIER(TRANSPOSE({1;2;3;4;5;6;7;8;9;10;11;12}),FALSE,FALSE,TRUE,1)),1)</t>
  </si>
  <si>
    <t xml:space="preserve">INDEX(_xlfn.ORG.LIBREOFFICE.FOURIER(TRANSPOSE({1;2;3;4;5;6;7;8;9;10;11;12}),FALSE,FALSE,TRUE,1),ROWS(_xlfn.ORG.LIBREOFFICE.FOURIER(TRANSPOSE({1;2;3;4;5;6;7;8;9;10;11;12}),FALSE,FALSE,TRUE,1)),2)</t>
  </si>
  <si>
    <t xml:space="preserve">SUM(_xlfn.ORG.LIBREOFFICE.FOURIER(TRANSPOSE({1;2;3;4;5;6;7;8;9;10;11;12}),FALSE,TRUE,TRUE,5))</t>
  </si>
  <si>
    <t xml:space="preserve">INDEX(_xlfn.ORG.LIBREOFFICE.FOURIER(TRANSPOSE({1;2;3;4;5;6;7;8;9;10;11;12}),FALSE,TRUE,TRUE,5),1,1)</t>
  </si>
  <si>
    <t xml:space="preserve">INDEX(_xlfn.ORG.LIBREOFFICE.FOURIER(TRANSPOSE({1;2;3;4;5;6;7;8;9;10;11;12}),FALSE,TRUE,TRUE,5),2,1)</t>
  </si>
  <si>
    <t xml:space="preserve">INDEX(_xlfn.ORG.LIBREOFFICE.FOURIER(TRANSPOSE({1;2;3;4;5;6;7;8;9;10;11;12}),FALSE,TRUE,TRUE,5),2,2)</t>
  </si>
  <si>
    <t xml:space="preserve">INDEX(_xlfn.ORG.LIBREOFFICE.FOURIER(TRANSPOSE({1;2;3;4;5;6;7;8;9;10;11;12}),FALSE,TRUE,TRUE,5),3,2)</t>
  </si>
  <si>
    <t xml:space="preserve">INDEX(_xlfn.ORG.LIBREOFFICE.FOURIER(TRANSPOSE({1;2;3;4;5;6;7;8;9;10;11;12}),FALSE,TRUE,TRUE,5),ROWS(_xlfn.ORG.LIBREOFFICE.FOURIER(TRANSPOSE({1;2;3;4;5;6;7;8;9;10;11;12}),FALSE,TRUE,TRUE,5)),1)</t>
  </si>
  <si>
    <t xml:space="preserve">INDEX(_xlfn.ORG.LIBREOFFICE.FOURIER(TRANSPOSE({1;2;3;4;5;6;7;8;9;10;11;12}),FALSE,TRUE,TRUE,5),ROWS(_xlfn.ORG.LIBREOFFICE.FOURIER(TRANSPOSE({1;2;3;4;5;6;7;8;9;10;11;12}),FALSE,TRUE,TRUE,5)),2)</t>
  </si>
  <si>
    <t xml:space="preserve">ROWS(_xlfn.ORG.LIBREOFFICE.FOURIER({1,2;3,4},TRUE))</t>
  </si>
  <si>
    <t xml:space="preserve">COLUMNS(_xlfn.ORG.LIBREOFFICE.FOURIER({1,2;3,4},TRUE))</t>
  </si>
  <si>
    <t xml:space="preserve">SUM(_xlfn.ORG.LIBREOFFICE.FOURIER({1,2;3,4},TRUE))</t>
  </si>
  <si>
    <t xml:space="preserve">INDEX(_xlfn.ORG.LIBREOFFICE.FOURIER({1,2;3,4},TRUE),1,1)</t>
  </si>
  <si>
    <t xml:space="preserve">INDEX(_xlfn.ORG.LIBREOFFICE.FOURIER({1,2;3,4},TRUE),2,1)</t>
  </si>
  <si>
    <t xml:space="preserve">INDEX(_xlfn.ORG.LIBREOFFICE.FOURIER({1,2;3,4},TRUE),2,2)</t>
  </si>
  <si>
    <t xml:space="preserve">INDEX(_xlfn.ORG.LIBREOFFICE.FOURIER({1,2;3,4},TRUE),3,2)</t>
  </si>
  <si>
    <t xml:space="preserve">INDEX(_xlfn.ORG.LIBREOFFICE.FOURIER({1,2;3,4},TRUE),ROWS(_xlfn.ORG.LIBREOFFICE.FOURIER({1,2;3,4},TRUE)),1)</t>
  </si>
  <si>
    <t xml:space="preserve">INDEX(_xlfn.ORG.LIBREOFFICE.FOURIER({1,2;3,4},TRUE),ROWS(_xlfn.ORG.LIBREOFFICE.FOURIER({1,2;3,4},TRUE)),2)</t>
  </si>
  <si>
    <t xml:space="preserve">SUM(_xlfn.ORG.LIBREOFFICE.FOURIER({1,2;3,4},TRUE,TRUE))</t>
  </si>
  <si>
    <t xml:space="preserve">INDEX(_xlfn.ORG.LIBREOFFICE.FOURIER({1,2;3,4},TRUE,TRUE),1,1)</t>
  </si>
  <si>
    <t xml:space="preserve">INDEX(_xlfn.ORG.LIBREOFFICE.FOURIER({1,2;3,4},TRUE,TRUE),2,1)</t>
  </si>
  <si>
    <t xml:space="preserve">INDEX(_xlfn.ORG.LIBREOFFICE.FOURIER({1,2;3,4},TRUE,TRUE),2,2)</t>
  </si>
  <si>
    <t xml:space="preserve">INDEX(_xlfn.ORG.LIBREOFFICE.FOURIER({1,2;3,4},TRUE,TRUE),3,2)</t>
  </si>
  <si>
    <t xml:space="preserve">INDEX(_xlfn.ORG.LIBREOFFICE.FOURIER({1,2;3,4},TRUE,TRUE),ROWS(_xlfn.ORG.LIBREOFFICE.FOURIER({1,2;3,4},TRUE,TRUE)),1)</t>
  </si>
  <si>
    <t xml:space="preserve">INDEX(_xlfn.ORG.LIBREOFFICE.FOURIER({1,2;3,4},TRUE,TRUE),ROWS(_xlfn.ORG.LIBREOFFICE.FOURIER({1,2;3,4},TRUE,TRUE)),2)</t>
  </si>
  <si>
    <t xml:space="preserve">SUM(_xlfn.ORG.LIBREOFFICE.FOURIER({1,2;3,4},TRUE,FALSE,TRUE))</t>
  </si>
  <si>
    <t xml:space="preserve">INDEX(_xlfn.ORG.LIBREOFFICE.FOURIER({1,2;3,4},TRUE,FALSE,TRUE),1,1)</t>
  </si>
  <si>
    <t xml:space="preserve">INDEX(_xlfn.ORG.LIBREOFFICE.FOURIER({1,2;3,4},TRUE,FALSE,TRUE),2,1)</t>
  </si>
  <si>
    <t xml:space="preserve">INDEX(_xlfn.ORG.LIBREOFFICE.FOURIER({1,2;3,4},TRUE,FALSE,TRUE),2,2)</t>
  </si>
  <si>
    <t xml:space="preserve">INDEX(_xlfn.ORG.LIBREOFFICE.FOURIER({1,2;3,4},TRUE,FALSE,TRUE),3,2)</t>
  </si>
  <si>
    <t xml:space="preserve">INDEX(_xlfn.ORG.LIBREOFFICE.FOURIER({1,2;3,4},TRUE,FALSE,TRUE),ROWS(_xlfn.ORG.LIBREOFFICE.FOURIER({1,2;3,4},TRUE,FALSE,TRUE)),1)</t>
  </si>
  <si>
    <t xml:space="preserve">INDEX(_xlfn.ORG.LIBREOFFICE.FOURIER({1,2;3,4},TRUE,FALSE,TRUE),ROWS(_xlfn.ORG.LIBREOFFICE.FOURIER({1,2;3,4},TRUE,FALSE,TRUE)),2)</t>
  </si>
  <si>
    <t xml:space="preserve">SUM(_xlfn.ORG.LIBREOFFICE.FOURIER({1,2;3,4},TRUE,TRUE,TRUE))</t>
  </si>
  <si>
    <t xml:space="preserve">INDEX(_xlfn.ORG.LIBREOFFICE.FOURIER({1,2;3,4},TRUE,TRUE,TRUE),1,1)</t>
  </si>
  <si>
    <t xml:space="preserve">INDEX(_xlfn.ORG.LIBREOFFICE.FOURIER({1,2;3,4},TRUE,TRUE,TRUE),2,1)</t>
  </si>
  <si>
    <t xml:space="preserve">INDEX(_xlfn.ORG.LIBREOFFICE.FOURIER({1,2;3,4},TRUE,TRUE,TRUE),2,2)</t>
  </si>
  <si>
    <t xml:space="preserve">INDEX(_xlfn.ORG.LIBREOFFICE.FOURIER({1,2;3,4},TRUE,TRUE,TRUE),3,2)</t>
  </si>
  <si>
    <t xml:space="preserve">INDEX(_xlfn.ORG.LIBREOFFICE.FOURIER({1,2;3,4},TRUE,TRUE,TRUE),ROWS(_xlfn.ORG.LIBREOFFICE.FOURIER({1,2;3,4},TRUE,TRUE,TRUE)),1)</t>
  </si>
  <si>
    <t xml:space="preserve">INDEX(_xlfn.ORG.LIBREOFFICE.FOURIER({1,2;3,4},TRUE,TRUE,TRUE),ROWS(_xlfn.ORG.LIBREOFFICE.FOURIER({1,2;3,4},TRUE,TRUE,TRUE)),2)</t>
  </si>
  <si>
    <t xml:space="preserve">SUM(_xlfn.ORG.LIBREOFFICE.FOURIER({1,2;3,4},TRUE,FALSE,TRUE,1))</t>
  </si>
  <si>
    <t xml:space="preserve">INDEX(_xlfn.ORG.LIBREOFFICE.FOURIER({1,2;3,4},TRUE,FALSE,TRUE,1),1,1)</t>
  </si>
  <si>
    <t xml:space="preserve">INDEX(_xlfn.ORG.LIBREOFFICE.FOURIER({1,2;3,4},TRUE,FALSE,TRUE,1),2,1)</t>
  </si>
  <si>
    <t xml:space="preserve">INDEX(_xlfn.ORG.LIBREOFFICE.FOURIER({1,2;3,4},TRUE,FALSE,TRUE,1),2,2)</t>
  </si>
  <si>
    <t xml:space="preserve">INDEX(_xlfn.ORG.LIBREOFFICE.FOURIER({1,2;3,4},TRUE,FALSE,TRUE,1),3,2)</t>
  </si>
  <si>
    <t xml:space="preserve">INDEX(_xlfn.ORG.LIBREOFFICE.FOURIER({1,2;3,4},TRUE,FALSE,TRUE,1),ROWS(_xlfn.ORG.LIBREOFFICE.FOURIER({1,2;3,4},TRUE,FALSE,TRUE,1)),1)</t>
  </si>
  <si>
    <t xml:space="preserve">INDEX(_xlfn.ORG.LIBREOFFICE.FOURIER({1,2;3,4},TRUE,FALSE,TRUE,1),ROWS(_xlfn.ORG.LIBREOFFICE.FOURIER({1,2;3,4},TRUE,FALSE,TRUE,1)),2)</t>
  </si>
  <si>
    <t xml:space="preserve">SUM(_xlfn.ORG.LIBREOFFICE.FOURIER({1,2;3,4},TRUE,TRUE,TRUE,5))</t>
  </si>
  <si>
    <t xml:space="preserve">INDEX(_xlfn.ORG.LIBREOFFICE.FOURIER({1,2;3,4},TRUE,TRUE,TRUE,5),1,1)</t>
  </si>
  <si>
    <t xml:space="preserve">INDEX(_xlfn.ORG.LIBREOFFICE.FOURIER({1,2;3,4},TRUE,TRUE,TRUE,5),2,1)</t>
  </si>
  <si>
    <t xml:space="preserve">INDEX(_xlfn.ORG.LIBREOFFICE.FOURIER({1,2;3,4},TRUE,TRUE,TRUE,5),2,2)</t>
  </si>
  <si>
    <t xml:space="preserve">INDEX(_xlfn.ORG.LIBREOFFICE.FOURIER({1,2;3,4},TRUE,TRUE,TRUE,5),3,2)</t>
  </si>
  <si>
    <t xml:space="preserve">INDEX(_xlfn.ORG.LIBREOFFICE.FOURIER({1,2;3,4},TRUE,TRUE,TRUE,5),ROWS(_xlfn.ORG.LIBREOFFICE.FOURIER({1,2;3,4},TRUE,TRUE,TRUE,5)),1)</t>
  </si>
  <si>
    <t xml:space="preserve">INDEX(_xlfn.ORG.LIBREOFFICE.FOURIER({1,2;3,4},TRUE,TRUE,TRUE,5),ROWS(_xlfn.ORG.LIBREOFFICE.FOURIER({1,2;3,4},TRUE,TRUE,TRUE,5)),2)</t>
  </si>
  <si>
    <t xml:space="preserve">ROWS(_xlfn.ORG.LIBREOFFICE.FOURIER(TRANSPOSE({1,2;3,4}),FALSE))</t>
  </si>
  <si>
    <t xml:space="preserve">COLUMNS(_xlfn.ORG.LIBREOFFICE.FOURIER(TRANSPOSE({1,2;3,4}),FALSE))</t>
  </si>
  <si>
    <t xml:space="preserve">SUM(_xlfn.ORG.LIBREOFFICE.FOURIER(TRANSPOSE({1,2;3,4}),FALSE))</t>
  </si>
  <si>
    <t xml:space="preserve">INDEX(_xlfn.ORG.LIBREOFFICE.FOURIER(TRANSPOSE({1,2;3,4}),FALSE),1,1)</t>
  </si>
  <si>
    <t xml:space="preserve">INDEX(_xlfn.ORG.LIBREOFFICE.FOURIER(TRANSPOSE({1,2;3,4}),FALSE),2,1)</t>
  </si>
  <si>
    <t xml:space="preserve">INDEX(_xlfn.ORG.LIBREOFFICE.FOURIER(TRANSPOSE({1,2;3,4}),FALSE),2,2)</t>
  </si>
  <si>
    <t xml:space="preserve">INDEX(_xlfn.ORG.LIBREOFFICE.FOURIER(TRANSPOSE({1,2;3,4}),FALSE),3,2)</t>
  </si>
  <si>
    <t xml:space="preserve">INDEX(_xlfn.ORG.LIBREOFFICE.FOURIER(TRANSPOSE({1,2;3,4}),FALSE),ROWS(_xlfn.ORG.LIBREOFFICE.FOURIER(TRANSPOSE({1,2;3,4}),FALSE)),1)</t>
  </si>
  <si>
    <t xml:space="preserve">INDEX(_xlfn.ORG.LIBREOFFICE.FOURIER(TRANSPOSE({1,2;3,4}),FALSE),ROWS(_xlfn.ORG.LIBREOFFICE.FOURIER(TRANSPOSE({1,2;3,4}),FALSE)),2)</t>
  </si>
  <si>
    <t xml:space="preserve">SUM(_xlfn.ORG.LIBREOFFICE.FOURIER(TRANSPOSE({1,2;3,4}),FALSE,TRUE))</t>
  </si>
  <si>
    <t xml:space="preserve">INDEX(_xlfn.ORG.LIBREOFFICE.FOURIER(TRANSPOSE({1,2;3,4}),FALSE,TRUE),1,1)</t>
  </si>
  <si>
    <t xml:space="preserve">INDEX(_xlfn.ORG.LIBREOFFICE.FOURIER(TRANSPOSE({1,2;3,4}),FALSE,TRUE),2,1)</t>
  </si>
  <si>
    <t xml:space="preserve">INDEX(_xlfn.ORG.LIBREOFFICE.FOURIER(TRANSPOSE({1,2;3,4}),FALSE,TRUE),2,2)</t>
  </si>
  <si>
    <t xml:space="preserve">INDEX(_xlfn.ORG.LIBREOFFICE.FOURIER(TRANSPOSE({1,2;3,4}),FALSE,TRUE),3,2)</t>
  </si>
  <si>
    <t xml:space="preserve">INDEX(_xlfn.ORG.LIBREOFFICE.FOURIER(TRANSPOSE({1,2;3,4}),FALSE,TRUE),ROWS(_xlfn.ORG.LIBREOFFICE.FOURIER(TRANSPOSE({1,2;3,4}),FALSE,TRUE)),1)</t>
  </si>
  <si>
    <t xml:space="preserve">INDEX(_xlfn.ORG.LIBREOFFICE.FOURIER(TRANSPOSE({1,2;3,4}),FALSE,TRUE),ROWS(_xlfn.ORG.LIBREOFFICE.FOURIER(TRANSPOSE({1,2;3,4}),FALSE,TRUE)),2)</t>
  </si>
  <si>
    <t xml:space="preserve">SUM(_xlfn.ORG.LIBREOFFICE.FOURIER(TRANSPOSE({1,2;3,4}),FALSE,FALSE,TRUE))</t>
  </si>
  <si>
    <t xml:space="preserve">INDEX(_xlfn.ORG.LIBREOFFICE.FOURIER(TRANSPOSE({1,2;3,4}),FALSE,FALSE,TRUE),1,1)</t>
  </si>
  <si>
    <t xml:space="preserve">INDEX(_xlfn.ORG.LIBREOFFICE.FOURIER(TRANSPOSE({1,2;3,4}),FALSE,FALSE,TRUE),2,1)</t>
  </si>
  <si>
    <t xml:space="preserve">INDEX(_xlfn.ORG.LIBREOFFICE.FOURIER(TRANSPOSE({1,2;3,4}),FALSE,FALSE,TRUE),2,2)</t>
  </si>
  <si>
    <t xml:space="preserve">INDEX(_xlfn.ORG.LIBREOFFICE.FOURIER(TRANSPOSE({1,2;3,4}),FALSE,FALSE,TRUE),3,2)</t>
  </si>
  <si>
    <t xml:space="preserve">INDEX(_xlfn.ORG.LIBREOFFICE.FOURIER(TRANSPOSE({1,2;3,4}),FALSE,FALSE,TRUE),ROWS(_xlfn.ORG.LIBREOFFICE.FOURIER(TRANSPOSE({1,2;3,4}),FALSE,FALSE,TRUE)),1)</t>
  </si>
  <si>
    <t xml:space="preserve">INDEX(_xlfn.ORG.LIBREOFFICE.FOURIER(TRANSPOSE({1,2;3,4}),FALSE,FALSE,TRUE),ROWS(_xlfn.ORG.LIBREOFFICE.FOURIER(TRANSPOSE({1,2;3,4}),FALSE,FALSE,TRUE)),2)</t>
  </si>
  <si>
    <t xml:space="preserve">SUM(_xlfn.ORG.LIBREOFFICE.FOURIER(TRANSPOSE({1,2;3,4}),FALSE,TRUE,TRUE))</t>
  </si>
  <si>
    <t xml:space="preserve">INDEX(_xlfn.ORG.LIBREOFFICE.FOURIER(TRANSPOSE({1,2;3,4}),FALSE,TRUE,TRUE),1,1)</t>
  </si>
  <si>
    <t xml:space="preserve">INDEX(_xlfn.ORG.LIBREOFFICE.FOURIER(TRANSPOSE({1,2;3,4}),FALSE,TRUE,TRUE),2,1)</t>
  </si>
  <si>
    <t xml:space="preserve">INDEX(_xlfn.ORG.LIBREOFFICE.FOURIER(TRANSPOSE({1,2;3,4}),FALSE,TRUE,TRUE),2,2)</t>
  </si>
  <si>
    <t xml:space="preserve">INDEX(_xlfn.ORG.LIBREOFFICE.FOURIER(TRANSPOSE({1,2;3,4}),FALSE,TRUE,TRUE),3,2)</t>
  </si>
  <si>
    <t xml:space="preserve">INDEX(_xlfn.ORG.LIBREOFFICE.FOURIER(TRANSPOSE({1,2;3,4}),FALSE,TRUE,TRUE),ROWS(_xlfn.ORG.LIBREOFFICE.FOURIER(TRANSPOSE({1,2;3,4}),FALSE,TRUE,TRUE)),1)</t>
  </si>
  <si>
    <t xml:space="preserve">INDEX(_xlfn.ORG.LIBREOFFICE.FOURIER(TRANSPOSE({1,2;3,4}),FALSE,TRUE,TRUE),ROWS(_xlfn.ORG.LIBREOFFICE.FOURIER(TRANSPOSE({1,2;3,4}),FALSE,TRUE,TRUE)),2)</t>
  </si>
  <si>
    <t xml:space="preserve">SUM(_xlfn.ORG.LIBREOFFICE.FOURIER(TRANSPOSE({1,2;3,4}),FALSE,FALSE,TRUE,1))</t>
  </si>
  <si>
    <t xml:space="preserve">INDEX(_xlfn.ORG.LIBREOFFICE.FOURIER(TRANSPOSE({1,2;3,4}),FALSE,FALSE,TRUE,1),1,1)</t>
  </si>
  <si>
    <t xml:space="preserve">INDEX(_xlfn.ORG.LIBREOFFICE.FOURIER(TRANSPOSE({1,2;3,4}),FALSE,FALSE,TRUE,1),2,1)</t>
  </si>
  <si>
    <t xml:space="preserve">INDEX(_xlfn.ORG.LIBREOFFICE.FOURIER(TRANSPOSE({1,2;3,4}),FALSE,FALSE,TRUE,1),2,2)</t>
  </si>
  <si>
    <t xml:space="preserve">INDEX(_xlfn.ORG.LIBREOFFICE.FOURIER(TRANSPOSE({1,2;3,4}),FALSE,FALSE,TRUE,1),3,2)</t>
  </si>
  <si>
    <t xml:space="preserve">INDEX(_xlfn.ORG.LIBREOFFICE.FOURIER(TRANSPOSE({1,2;3,4}),FALSE,FALSE,TRUE,1),ROWS(_xlfn.ORG.LIBREOFFICE.FOURIER(TRANSPOSE({1,2;3,4}),FALSE,FALSE,TRUE,1)),1)</t>
  </si>
  <si>
    <t xml:space="preserve">INDEX(_xlfn.ORG.LIBREOFFICE.FOURIER(TRANSPOSE({1,2;3,4}),FALSE,FALSE,TRUE,1),ROWS(_xlfn.ORG.LIBREOFFICE.FOURIER(TRANSPOSE({1,2;3,4}),FALSE,FALSE,TRUE,1)),2)</t>
  </si>
  <si>
    <t xml:space="preserve">SUM(_xlfn.ORG.LIBREOFFICE.FOURIER(TRANSPOSE({1,2;3,4}),FALSE,TRUE,TRUE,5))</t>
  </si>
  <si>
    <t xml:space="preserve">INDEX(_xlfn.ORG.LIBREOFFICE.FOURIER(TRANSPOSE({1,2;3,4}),FALSE,TRUE,TRUE,5),1,1)</t>
  </si>
  <si>
    <t xml:space="preserve">INDEX(_xlfn.ORG.LIBREOFFICE.FOURIER(TRANSPOSE({1,2;3,4}),FALSE,TRUE,TRUE,5),2,1)</t>
  </si>
  <si>
    <t xml:space="preserve">INDEX(_xlfn.ORG.LIBREOFFICE.FOURIER(TRANSPOSE({1,2;3,4}),FALSE,TRUE,TRUE,5),2,2)</t>
  </si>
  <si>
    <t xml:space="preserve">INDEX(_xlfn.ORG.LIBREOFFICE.FOURIER(TRANSPOSE({1,2;3,4}),FALSE,TRUE,TRUE,5),3,2)</t>
  </si>
  <si>
    <t xml:space="preserve">INDEX(_xlfn.ORG.LIBREOFFICE.FOURIER(TRANSPOSE({1,2;3,4}),FALSE,TRUE,TRUE,5),ROWS(_xlfn.ORG.LIBREOFFICE.FOURIER(TRANSPOSE({1,2;3,4}),FALSE,TRUE,TRUE,5)),1)</t>
  </si>
  <si>
    <t xml:space="preserve">INDEX(_xlfn.ORG.LIBREOFFICE.FOURIER(TRANSPOSE({1,2;3,4}),FALSE,TRUE,TRUE,5),ROWS(_xlfn.ORG.LIBREOFFICE.FOURIER(TRANSPOSE({1,2;3,4}),FALSE,TRUE,TRUE,5)),2)</t>
  </si>
  <si>
    <t xml:space="preserve">ROWS(_xlfn.ORG.LIBREOFFICE.FOURIER({1,2;3,4;5,6},TRUE))</t>
  </si>
  <si>
    <t xml:space="preserve">COLUMNS(_xlfn.ORG.LIBREOFFICE.FOURIER({1,2;3,4;5,6},TRUE))</t>
  </si>
  <si>
    <t xml:space="preserve">SUM(_xlfn.ORG.LIBREOFFICE.FOURIER({1,2;3,4;5,6},TRUE))</t>
  </si>
  <si>
    <t xml:space="preserve">INDEX(_xlfn.ORG.LIBREOFFICE.FOURIER({1,2;3,4;5,6},TRUE),1,1)</t>
  </si>
  <si>
    <t xml:space="preserve">INDEX(_xlfn.ORG.LIBREOFFICE.FOURIER({1,2;3,4;5,6},TRUE),2,1)</t>
  </si>
  <si>
    <t xml:space="preserve">INDEX(_xlfn.ORG.LIBREOFFICE.FOURIER({1,2;3,4;5,6},TRUE),2,2)</t>
  </si>
  <si>
    <t xml:space="preserve">INDEX(_xlfn.ORG.LIBREOFFICE.FOURIER({1,2;3,4;5,6},TRUE),3,2)</t>
  </si>
  <si>
    <t xml:space="preserve">INDEX(_xlfn.ORG.LIBREOFFICE.FOURIER({1,2;3,4;5,6},TRUE),ROWS(_xlfn.ORG.LIBREOFFICE.FOURIER({1,2;3,4;5,6},TRUE)),1)</t>
  </si>
  <si>
    <t xml:space="preserve">INDEX(_xlfn.ORG.LIBREOFFICE.FOURIER({1,2;3,4;5,6},TRUE),ROWS(_xlfn.ORG.LIBREOFFICE.FOURIER({1,2;3,4;5,6},TRUE)),2)</t>
  </si>
  <si>
    <t xml:space="preserve">SUM(_xlfn.ORG.LIBREOFFICE.FOURIER({1,2;3,4;5,6},TRUE,TRUE))</t>
  </si>
  <si>
    <t xml:space="preserve">INDEX(_xlfn.ORG.LIBREOFFICE.FOURIER({1,2;3,4;5,6},TRUE,TRUE),1,1)</t>
  </si>
  <si>
    <t xml:space="preserve">INDEX(_xlfn.ORG.LIBREOFFICE.FOURIER({1,2;3,4;5,6},TRUE,TRUE),2,1)</t>
  </si>
  <si>
    <t xml:space="preserve">INDEX(_xlfn.ORG.LIBREOFFICE.FOURIER({1,2;3,4;5,6},TRUE,TRUE),2,2)</t>
  </si>
  <si>
    <t xml:space="preserve">INDEX(_xlfn.ORG.LIBREOFFICE.FOURIER({1,2;3,4;5,6},TRUE,TRUE),3,2)</t>
  </si>
  <si>
    <t xml:space="preserve">INDEX(_xlfn.ORG.LIBREOFFICE.FOURIER({1,2;3,4;5,6},TRUE,TRUE),ROWS(_xlfn.ORG.LIBREOFFICE.FOURIER({1,2;3,4;5,6},TRUE,TRUE)),1)</t>
  </si>
  <si>
    <t xml:space="preserve">INDEX(_xlfn.ORG.LIBREOFFICE.FOURIER({1,2;3,4;5,6},TRUE,TRUE),ROWS(_xlfn.ORG.LIBREOFFICE.FOURIER({1,2;3,4;5,6},TRUE,TRUE)),2)</t>
  </si>
  <si>
    <t xml:space="preserve">SUM(_xlfn.ORG.LIBREOFFICE.FOURIER({1,2;3,4;5,6},TRUE,FALSE,TRUE))</t>
  </si>
  <si>
    <t xml:space="preserve">INDEX(_xlfn.ORG.LIBREOFFICE.FOURIER({1,2;3,4;5,6},TRUE,FALSE,TRUE),1,1)</t>
  </si>
  <si>
    <t xml:space="preserve">INDEX(_xlfn.ORG.LIBREOFFICE.FOURIER({1,2;3,4;5,6},TRUE,FALSE,TRUE),2,1)</t>
  </si>
  <si>
    <t xml:space="preserve">INDEX(_xlfn.ORG.LIBREOFFICE.FOURIER({1,2;3,4;5,6},TRUE,FALSE,TRUE),2,2)</t>
  </si>
  <si>
    <t xml:space="preserve">INDEX(_xlfn.ORG.LIBREOFFICE.FOURIER({1,2;3,4;5,6},TRUE,FALSE,TRUE),3,2)</t>
  </si>
  <si>
    <t xml:space="preserve">INDEX(_xlfn.ORG.LIBREOFFICE.FOURIER({1,2;3,4;5,6},TRUE,FALSE,TRUE),ROWS(_xlfn.ORG.LIBREOFFICE.FOURIER({1,2;3,4;5,6},TRUE,FALSE,TRUE)),1)</t>
  </si>
  <si>
    <t xml:space="preserve">INDEX(_xlfn.ORG.LIBREOFFICE.FOURIER({1,2;3,4;5,6},TRUE,FALSE,TRUE),ROWS(_xlfn.ORG.LIBREOFFICE.FOURIER({1,2;3,4;5,6},TRUE,FALSE,TRUE)),2)</t>
  </si>
  <si>
    <t xml:space="preserve">SUM(_xlfn.ORG.LIBREOFFICE.FOURIER({1,2;3,4;5,6},TRUE,TRUE,TRUE))</t>
  </si>
  <si>
    <t xml:space="preserve">INDEX(_xlfn.ORG.LIBREOFFICE.FOURIER({1,2;3,4;5,6},TRUE,TRUE,TRUE),1,1)</t>
  </si>
  <si>
    <t xml:space="preserve">INDEX(_xlfn.ORG.LIBREOFFICE.FOURIER({1,2;3,4;5,6},TRUE,TRUE,TRUE),2,1)</t>
  </si>
  <si>
    <t xml:space="preserve">INDEX(_xlfn.ORG.LIBREOFFICE.FOURIER({1,2;3,4;5,6},TRUE,TRUE,TRUE),2,2)</t>
  </si>
  <si>
    <t xml:space="preserve">INDEX(_xlfn.ORG.LIBREOFFICE.FOURIER({1,2;3,4;5,6},TRUE,TRUE,TRUE),3,2)</t>
  </si>
  <si>
    <t xml:space="preserve">INDEX(_xlfn.ORG.LIBREOFFICE.FOURIER({1,2;3,4;5,6},TRUE,TRUE,TRUE),ROWS(_xlfn.ORG.LIBREOFFICE.FOURIER({1,2;3,4;5,6},TRUE,TRUE,TRUE)),1)</t>
  </si>
  <si>
    <t xml:space="preserve">INDEX(_xlfn.ORG.LIBREOFFICE.FOURIER({1,2;3,4;5,6},TRUE,TRUE,TRUE),ROWS(_xlfn.ORG.LIBREOFFICE.FOURIER({1,2;3,4;5,6},TRUE,TRUE,TRUE)),2)</t>
  </si>
  <si>
    <t xml:space="preserve">SUM(_xlfn.ORG.LIBREOFFICE.FOURIER({1,2;3,4;5,6},TRUE,FALSE,TRUE,1))</t>
  </si>
  <si>
    <t xml:space="preserve">INDEX(_xlfn.ORG.LIBREOFFICE.FOURIER({1,2;3,4;5,6},TRUE,FALSE,TRUE,1),1,1)</t>
  </si>
  <si>
    <t xml:space="preserve">INDEX(_xlfn.ORG.LIBREOFFICE.FOURIER({1,2;3,4;5,6},TRUE,FALSE,TRUE,1),2,1)</t>
  </si>
  <si>
    <t xml:space="preserve">INDEX(_xlfn.ORG.LIBREOFFICE.FOURIER({1,2;3,4;5,6},TRUE,FALSE,TRUE,1),2,2)</t>
  </si>
  <si>
    <t xml:space="preserve">INDEX(_xlfn.ORG.LIBREOFFICE.FOURIER({1,2;3,4;5,6},TRUE,FALSE,TRUE,1),3,2)</t>
  </si>
  <si>
    <t xml:space="preserve">INDEX(_xlfn.ORG.LIBREOFFICE.FOURIER({1,2;3,4;5,6},TRUE,FALSE,TRUE,1),ROWS(_xlfn.ORG.LIBREOFFICE.FOURIER({1,2;3,4;5,6},TRUE,FALSE,TRUE,1)),1)</t>
  </si>
  <si>
    <t xml:space="preserve">INDEX(_xlfn.ORG.LIBREOFFICE.FOURIER({1,2;3,4;5,6},TRUE,FALSE,TRUE,1),ROWS(_xlfn.ORG.LIBREOFFICE.FOURIER({1,2;3,4;5,6},TRUE,FALSE,TRUE,1)),2)</t>
  </si>
  <si>
    <t xml:space="preserve">SUM(_xlfn.ORG.LIBREOFFICE.FOURIER({1,2;3,4;5,6},TRUE,TRUE,TRUE,5))</t>
  </si>
  <si>
    <t xml:space="preserve">INDEX(_xlfn.ORG.LIBREOFFICE.FOURIER({1,2;3,4;5,6},TRUE,TRUE,TRUE,5),1,1)</t>
  </si>
  <si>
    <t xml:space="preserve">INDEX(_xlfn.ORG.LIBREOFFICE.FOURIER({1,2;3,4;5,6},TRUE,TRUE,TRUE,5),2,1)</t>
  </si>
  <si>
    <t xml:space="preserve">INDEX(_xlfn.ORG.LIBREOFFICE.FOURIER({1,2;3,4;5,6},TRUE,TRUE,TRUE,5),2,2)</t>
  </si>
  <si>
    <t xml:space="preserve">INDEX(_xlfn.ORG.LIBREOFFICE.FOURIER({1,2;3,4;5,6},TRUE,TRUE,TRUE,5),3,2)</t>
  </si>
  <si>
    <t xml:space="preserve">INDEX(_xlfn.ORG.LIBREOFFICE.FOURIER({1,2;3,4;5,6},TRUE,TRUE,TRUE,5),ROWS(_xlfn.ORG.LIBREOFFICE.FOURIER({1,2;3,4;5,6},TRUE,TRUE,TRUE,5)),1)</t>
  </si>
  <si>
    <t xml:space="preserve">INDEX(_xlfn.ORG.LIBREOFFICE.FOURIER({1,2;3,4;5,6},TRUE,TRUE,TRUE,5),ROWS(_xlfn.ORG.LIBREOFFICE.FOURIER({1,2;3,4;5,6},TRUE,TRUE,TRUE,5)),2)</t>
  </si>
  <si>
    <t xml:space="preserve">ROWS(_xlfn.ORG.LIBREOFFICE.FOURIER(TRANSPOSE({1,2;3,4;5,6}),FALSE))</t>
  </si>
  <si>
    <t xml:space="preserve">COLUMNS(_xlfn.ORG.LIBREOFFICE.FOURIER(TRANSPOSE({1,2;3,4;5,6}),FALSE))</t>
  </si>
  <si>
    <t xml:space="preserve">SUM(_xlfn.ORG.LIBREOFFICE.FOURIER(TRANSPOSE({1,2;3,4;5,6}),FALSE))</t>
  </si>
  <si>
    <t xml:space="preserve">INDEX(_xlfn.ORG.LIBREOFFICE.FOURIER(TRANSPOSE({1,2;3,4;5,6}),FALSE),1,1)</t>
  </si>
  <si>
    <t xml:space="preserve">INDEX(_xlfn.ORG.LIBREOFFICE.FOURIER(TRANSPOSE({1,2;3,4;5,6}),FALSE),2,1)</t>
  </si>
  <si>
    <t xml:space="preserve">INDEX(_xlfn.ORG.LIBREOFFICE.FOURIER(TRANSPOSE({1,2;3,4;5,6}),FALSE),2,2)</t>
  </si>
  <si>
    <t xml:space="preserve">INDEX(_xlfn.ORG.LIBREOFFICE.FOURIER(TRANSPOSE({1,2;3,4;5,6}),FALSE),3,2)</t>
  </si>
  <si>
    <t xml:space="preserve">INDEX(_xlfn.ORG.LIBREOFFICE.FOURIER(TRANSPOSE({1,2;3,4;5,6}),FALSE),ROWS(_xlfn.ORG.LIBREOFFICE.FOURIER(TRANSPOSE({1,2;3,4;5,6}),FALSE)),1)</t>
  </si>
  <si>
    <t xml:space="preserve">INDEX(_xlfn.ORG.LIBREOFFICE.FOURIER(TRANSPOSE({1,2;3,4;5,6}),FALSE),ROWS(_xlfn.ORG.LIBREOFFICE.FOURIER(TRANSPOSE({1,2;3,4;5,6}),FALSE)),2)</t>
  </si>
  <si>
    <t xml:space="preserve">SUM(_xlfn.ORG.LIBREOFFICE.FOURIER(TRANSPOSE({1,2;3,4;5,6}),FALSE,TRUE))</t>
  </si>
  <si>
    <t xml:space="preserve">INDEX(_xlfn.ORG.LIBREOFFICE.FOURIER(TRANSPOSE({1,2;3,4;5,6}),FALSE,TRUE),1,1)</t>
  </si>
  <si>
    <t xml:space="preserve">INDEX(_xlfn.ORG.LIBREOFFICE.FOURIER(TRANSPOSE({1,2;3,4;5,6}),FALSE,TRUE),2,1)</t>
  </si>
  <si>
    <t xml:space="preserve">INDEX(_xlfn.ORG.LIBREOFFICE.FOURIER(TRANSPOSE({1,2;3,4;5,6}),FALSE,TRUE),2,2)</t>
  </si>
  <si>
    <t xml:space="preserve">INDEX(_xlfn.ORG.LIBREOFFICE.FOURIER(TRANSPOSE({1,2;3,4;5,6}),FALSE,TRUE),3,2)</t>
  </si>
  <si>
    <t xml:space="preserve">INDEX(_xlfn.ORG.LIBREOFFICE.FOURIER(TRANSPOSE({1,2;3,4;5,6}),FALSE,TRUE),ROWS(_xlfn.ORG.LIBREOFFICE.FOURIER(TRANSPOSE({1,2;3,4;5,6}),FALSE,TRUE)),1)</t>
  </si>
  <si>
    <t xml:space="preserve">INDEX(_xlfn.ORG.LIBREOFFICE.FOURIER(TRANSPOSE({1,2;3,4;5,6}),FALSE,TRUE),ROWS(_xlfn.ORG.LIBREOFFICE.FOURIER(TRANSPOSE({1,2;3,4;5,6}),FALSE,TRUE)),2)</t>
  </si>
  <si>
    <t xml:space="preserve">SUM(_xlfn.ORG.LIBREOFFICE.FOURIER(TRANSPOSE({1,2;3,4;5,6}),FALSE,FALSE,TRUE))</t>
  </si>
  <si>
    <t xml:space="preserve">INDEX(_xlfn.ORG.LIBREOFFICE.FOURIER(TRANSPOSE({1,2;3,4;5,6}),FALSE,FALSE,TRUE),1,1)</t>
  </si>
  <si>
    <t xml:space="preserve">INDEX(_xlfn.ORG.LIBREOFFICE.FOURIER(TRANSPOSE({1,2;3,4;5,6}),FALSE,FALSE,TRUE),2,1)</t>
  </si>
  <si>
    <t xml:space="preserve">INDEX(_xlfn.ORG.LIBREOFFICE.FOURIER(TRANSPOSE({1,2;3,4;5,6}),FALSE,FALSE,TRUE),2,2)</t>
  </si>
  <si>
    <t xml:space="preserve">INDEX(_xlfn.ORG.LIBREOFFICE.FOURIER(TRANSPOSE({1,2;3,4;5,6}),FALSE,FALSE,TRUE),3,2)</t>
  </si>
  <si>
    <t xml:space="preserve">INDEX(_xlfn.ORG.LIBREOFFICE.FOURIER(TRANSPOSE({1,2;3,4;5,6}),FALSE,FALSE,TRUE),ROWS(_xlfn.ORG.LIBREOFFICE.FOURIER(TRANSPOSE({1,2;3,4;5,6}),FALSE,FALSE,TRUE)),1)</t>
  </si>
  <si>
    <t xml:space="preserve">INDEX(_xlfn.ORG.LIBREOFFICE.FOURIER(TRANSPOSE({1,2;3,4;5,6}),FALSE,FALSE,TRUE),ROWS(_xlfn.ORG.LIBREOFFICE.FOURIER(TRANSPOSE({1,2;3,4;5,6}),FALSE,FALSE,TRUE)),2)</t>
  </si>
  <si>
    <t xml:space="preserve">SUM(_xlfn.ORG.LIBREOFFICE.FOURIER(TRANSPOSE({1,2;3,4;5,6}),FALSE,TRUE,TRUE))</t>
  </si>
  <si>
    <t xml:space="preserve">INDEX(_xlfn.ORG.LIBREOFFICE.FOURIER(TRANSPOSE({1,2;3,4;5,6}),FALSE,TRUE,TRUE),1,1)</t>
  </si>
  <si>
    <t xml:space="preserve">INDEX(_xlfn.ORG.LIBREOFFICE.FOURIER(TRANSPOSE({1,2;3,4;5,6}),FALSE,TRUE,TRUE),2,1)</t>
  </si>
  <si>
    <t xml:space="preserve">INDEX(_xlfn.ORG.LIBREOFFICE.FOURIER(TRANSPOSE({1,2;3,4;5,6}),FALSE,TRUE,TRUE),2,2)</t>
  </si>
  <si>
    <t xml:space="preserve">INDEX(_xlfn.ORG.LIBREOFFICE.FOURIER(TRANSPOSE({1,2;3,4;5,6}),FALSE,TRUE,TRUE),3,2)</t>
  </si>
  <si>
    <t xml:space="preserve">INDEX(_xlfn.ORG.LIBREOFFICE.FOURIER(TRANSPOSE({1,2;3,4;5,6}),FALSE,TRUE,TRUE),ROWS(_xlfn.ORG.LIBREOFFICE.FOURIER(TRANSPOSE({1,2;3,4;5,6}),FALSE,TRUE,TRUE)),1)</t>
  </si>
  <si>
    <t xml:space="preserve">INDEX(_xlfn.ORG.LIBREOFFICE.FOURIER(TRANSPOSE({1,2;3,4;5,6}),FALSE,TRUE,TRUE),ROWS(_xlfn.ORG.LIBREOFFICE.FOURIER(TRANSPOSE({1,2;3,4;5,6}),FALSE,TRUE,TRUE)),2)</t>
  </si>
  <si>
    <t xml:space="preserve">SUM(_xlfn.ORG.LIBREOFFICE.FOURIER(TRANSPOSE({1,2;3,4;5,6}),FALSE,FALSE,TRUE,1))</t>
  </si>
  <si>
    <t xml:space="preserve">INDEX(_xlfn.ORG.LIBREOFFICE.FOURIER(TRANSPOSE({1,2;3,4;5,6}),FALSE,FALSE,TRUE,1),1,1)</t>
  </si>
  <si>
    <t xml:space="preserve">INDEX(_xlfn.ORG.LIBREOFFICE.FOURIER(TRANSPOSE({1,2;3,4;5,6}),FALSE,FALSE,TRUE,1),2,1)</t>
  </si>
  <si>
    <t xml:space="preserve">INDEX(_xlfn.ORG.LIBREOFFICE.FOURIER(TRANSPOSE({1,2;3,4;5,6}),FALSE,FALSE,TRUE,1),2,2)</t>
  </si>
  <si>
    <t xml:space="preserve">INDEX(_xlfn.ORG.LIBREOFFICE.FOURIER(TRANSPOSE({1,2;3,4;5,6}),FALSE,FALSE,TRUE,1),3,2)</t>
  </si>
  <si>
    <t xml:space="preserve">INDEX(_xlfn.ORG.LIBREOFFICE.FOURIER(TRANSPOSE({1,2;3,4;5,6}),FALSE,FALSE,TRUE,1),ROWS(_xlfn.ORG.LIBREOFFICE.FOURIER(TRANSPOSE({1,2;3,4;5,6}),FALSE,FALSE,TRUE,1)),1)</t>
  </si>
  <si>
    <t xml:space="preserve">INDEX(_xlfn.ORG.LIBREOFFICE.FOURIER(TRANSPOSE({1,2;3,4;5,6}),FALSE,FALSE,TRUE,1),ROWS(_xlfn.ORG.LIBREOFFICE.FOURIER(TRANSPOSE({1,2;3,4;5,6}),FALSE,FALSE,TRUE,1)),2)</t>
  </si>
  <si>
    <t xml:space="preserve">SUM(_xlfn.ORG.LIBREOFFICE.FOURIER(TRANSPOSE({1,2;3,4;5,6}),FALSE,TRUE,TRUE,5))</t>
  </si>
  <si>
    <t xml:space="preserve">INDEX(_xlfn.ORG.LIBREOFFICE.FOURIER(TRANSPOSE({1,2;3,4;5,6}),FALSE,TRUE,TRUE,5),1,1)</t>
  </si>
  <si>
    <t xml:space="preserve">INDEX(_xlfn.ORG.LIBREOFFICE.FOURIER(TRANSPOSE({1,2;3,4;5,6}),FALSE,TRUE,TRUE,5),2,1)</t>
  </si>
  <si>
    <t xml:space="preserve">INDEX(_xlfn.ORG.LIBREOFFICE.FOURIER(TRANSPOSE({1,2;3,4;5,6}),FALSE,TRUE,TRUE,5),2,2)</t>
  </si>
  <si>
    <t xml:space="preserve">INDEX(_xlfn.ORG.LIBREOFFICE.FOURIER(TRANSPOSE({1,2;3,4;5,6}),FALSE,TRUE,TRUE,5),3,2)</t>
  </si>
  <si>
    <t xml:space="preserve">INDEX(_xlfn.ORG.LIBREOFFICE.FOURIER(TRANSPOSE({1,2;3,4;5,6}),FALSE,TRUE,TRUE,5),ROWS(_xlfn.ORG.LIBREOFFICE.FOURIER(TRANSPOSE({1,2;3,4;5,6}),FALSE,TRUE,TRUE,5)),1)</t>
  </si>
  <si>
    <t xml:space="preserve">INDEX(_xlfn.ORG.LIBREOFFICE.FOURIER(TRANSPOSE({1,2;3,4;5,6}),FALSE,TRUE,TRUE,5),ROWS(_xlfn.ORG.LIBREOFFICE.FOURIER(TRANSPOSE({1,2;3,4;5,6}),FALSE,TRUE,TRUE,5)),2)</t>
  </si>
  <si>
    <t xml:space="preserve">ROWS(_xlfn.ORG.LIBREOFFICE.FOURIER({1,2;3,4;5,6;7,8},TRUE))</t>
  </si>
  <si>
    <t xml:space="preserve">COLUMNS(_xlfn.ORG.LIBREOFFICE.FOURIER({1,2;3,4;5,6;7,8},TRUE))</t>
  </si>
  <si>
    <t xml:space="preserve">SUM(_xlfn.ORG.LIBREOFFICE.FOURIER({1,2;3,4;5,6;7,8},TRUE))</t>
  </si>
  <si>
    <t xml:space="preserve">INDEX(_xlfn.ORG.LIBREOFFICE.FOURIER({1,2;3,4;5,6;7,8},TRUE),1,1)</t>
  </si>
  <si>
    <t xml:space="preserve">INDEX(_xlfn.ORG.LIBREOFFICE.FOURIER({1,2;3,4;5,6;7,8},TRUE),2,1)</t>
  </si>
  <si>
    <t xml:space="preserve">INDEX(_xlfn.ORG.LIBREOFFICE.FOURIER({1,2;3,4;5,6;7,8},TRUE),2,2)</t>
  </si>
  <si>
    <t xml:space="preserve">INDEX(_xlfn.ORG.LIBREOFFICE.FOURIER({1,2;3,4;5,6;7,8},TRUE),3,2)</t>
  </si>
  <si>
    <t xml:space="preserve">INDEX(_xlfn.ORG.LIBREOFFICE.FOURIER({1,2;3,4;5,6;7,8},TRUE),ROWS(_xlfn.ORG.LIBREOFFICE.FOURIER({1,2;3,4;5,6;7,8},TRUE)),1)</t>
  </si>
  <si>
    <t xml:space="preserve">INDEX(_xlfn.ORG.LIBREOFFICE.FOURIER({1,2;3,4;5,6;7,8},TRUE),ROWS(_xlfn.ORG.LIBREOFFICE.FOURIER({1,2;3,4;5,6;7,8},TRUE)),2)</t>
  </si>
  <si>
    <t xml:space="preserve">SUM(_xlfn.ORG.LIBREOFFICE.FOURIER({1,2;3,4;5,6;7,8},TRUE,TRUE))</t>
  </si>
  <si>
    <t xml:space="preserve">INDEX(_xlfn.ORG.LIBREOFFICE.FOURIER({1,2;3,4;5,6;7,8},TRUE,TRUE),1,1)</t>
  </si>
  <si>
    <t xml:space="preserve">INDEX(_xlfn.ORG.LIBREOFFICE.FOURIER({1,2;3,4;5,6;7,8},TRUE,TRUE),2,1)</t>
  </si>
  <si>
    <t xml:space="preserve">INDEX(_xlfn.ORG.LIBREOFFICE.FOURIER({1,2;3,4;5,6;7,8},TRUE,TRUE),2,2)</t>
  </si>
  <si>
    <t xml:space="preserve">INDEX(_xlfn.ORG.LIBREOFFICE.FOURIER({1,2;3,4;5,6;7,8},TRUE,TRUE),3,2)</t>
  </si>
  <si>
    <t xml:space="preserve">INDEX(_xlfn.ORG.LIBREOFFICE.FOURIER({1,2;3,4;5,6;7,8},TRUE,TRUE),ROWS(_xlfn.ORG.LIBREOFFICE.FOURIER({1,2;3,4;5,6;7,8},TRUE,TRUE)),1)</t>
  </si>
  <si>
    <t xml:space="preserve">INDEX(_xlfn.ORG.LIBREOFFICE.FOURIER({1,2;3,4;5,6;7,8},TRUE,TRUE),ROWS(_xlfn.ORG.LIBREOFFICE.FOURIER({1,2;3,4;5,6;7,8},TRUE,TRUE)),2)</t>
  </si>
  <si>
    <t xml:space="preserve">SUM(_xlfn.ORG.LIBREOFFICE.FOURIER({1,2;3,4;5,6;7,8},TRUE,FALSE,TRUE))</t>
  </si>
  <si>
    <t xml:space="preserve">INDEX(_xlfn.ORG.LIBREOFFICE.FOURIER({1,2;3,4;5,6;7,8},TRUE,FALSE,TRUE),1,1)</t>
  </si>
  <si>
    <t xml:space="preserve">INDEX(_xlfn.ORG.LIBREOFFICE.FOURIER({1,2;3,4;5,6;7,8},TRUE,FALSE,TRUE),2,1)</t>
  </si>
  <si>
    <t xml:space="preserve">INDEX(_xlfn.ORG.LIBREOFFICE.FOURIER({1,2;3,4;5,6;7,8},TRUE,FALSE,TRUE),2,2)</t>
  </si>
  <si>
    <t xml:space="preserve">INDEX(_xlfn.ORG.LIBREOFFICE.FOURIER({1,2;3,4;5,6;7,8},TRUE,FALSE,TRUE),3,2)</t>
  </si>
  <si>
    <t xml:space="preserve">INDEX(_xlfn.ORG.LIBREOFFICE.FOURIER({1,2;3,4;5,6;7,8},TRUE,FALSE,TRUE),ROWS(_xlfn.ORG.LIBREOFFICE.FOURIER({1,2;3,4;5,6;7,8},TRUE,FALSE,TRUE)),1)</t>
  </si>
  <si>
    <t xml:space="preserve">INDEX(_xlfn.ORG.LIBREOFFICE.FOURIER({1,2;3,4;5,6;7,8},TRUE,FALSE,TRUE),ROWS(_xlfn.ORG.LIBREOFFICE.FOURIER({1,2;3,4;5,6;7,8},TRUE,FALSE,TRUE)),2)</t>
  </si>
  <si>
    <t xml:space="preserve">SUM(_xlfn.ORG.LIBREOFFICE.FOURIER({1,2;3,4;5,6;7,8},TRUE,TRUE,TRUE))</t>
  </si>
  <si>
    <t xml:space="preserve">INDEX(_xlfn.ORG.LIBREOFFICE.FOURIER({1,2;3,4;5,6;7,8},TRUE,TRUE,TRUE),1,1)</t>
  </si>
  <si>
    <t xml:space="preserve">INDEX(_xlfn.ORG.LIBREOFFICE.FOURIER({1,2;3,4;5,6;7,8},TRUE,TRUE,TRUE),2,1)</t>
  </si>
  <si>
    <t xml:space="preserve">INDEX(_xlfn.ORG.LIBREOFFICE.FOURIER({1,2;3,4;5,6;7,8},TRUE,TRUE,TRUE),2,2)</t>
  </si>
  <si>
    <t xml:space="preserve">INDEX(_xlfn.ORG.LIBREOFFICE.FOURIER({1,2;3,4;5,6;7,8},TRUE,TRUE,TRUE),3,2)</t>
  </si>
  <si>
    <t xml:space="preserve">INDEX(_xlfn.ORG.LIBREOFFICE.FOURIER({1,2;3,4;5,6;7,8},TRUE,TRUE,TRUE),ROWS(_xlfn.ORG.LIBREOFFICE.FOURIER({1,2;3,4;5,6;7,8},TRUE,TRUE,TRUE)),1)</t>
  </si>
  <si>
    <t xml:space="preserve">INDEX(_xlfn.ORG.LIBREOFFICE.FOURIER({1,2;3,4;5,6;7,8},TRUE,TRUE,TRUE),ROWS(_xlfn.ORG.LIBREOFFICE.FOURIER({1,2;3,4;5,6;7,8},TRUE,TRUE,TRUE)),2)</t>
  </si>
  <si>
    <t xml:space="preserve">SUM(_xlfn.ORG.LIBREOFFICE.FOURIER({1,2;3,4;5,6;7,8},TRUE,FALSE,TRUE,1))</t>
  </si>
  <si>
    <t xml:space="preserve">INDEX(_xlfn.ORG.LIBREOFFICE.FOURIER({1,2;3,4;5,6;7,8},TRUE,FALSE,TRUE,1),1,1)</t>
  </si>
  <si>
    <t xml:space="preserve">INDEX(_xlfn.ORG.LIBREOFFICE.FOURIER({1,2;3,4;5,6;7,8},TRUE,FALSE,TRUE,1),2,1)</t>
  </si>
  <si>
    <t xml:space="preserve">INDEX(_xlfn.ORG.LIBREOFFICE.FOURIER({1,2;3,4;5,6;7,8},TRUE,FALSE,TRUE,1),2,2)</t>
  </si>
  <si>
    <t xml:space="preserve">INDEX(_xlfn.ORG.LIBREOFFICE.FOURIER({1,2;3,4;5,6;7,8},TRUE,FALSE,TRUE,1),3,2)</t>
  </si>
  <si>
    <t xml:space="preserve">INDEX(_xlfn.ORG.LIBREOFFICE.FOURIER({1,2;3,4;5,6;7,8},TRUE,FALSE,TRUE,1),ROWS(_xlfn.ORG.LIBREOFFICE.FOURIER({1,2;3,4;5,6;7,8},TRUE,FALSE,TRUE,1)),1)</t>
  </si>
  <si>
    <t xml:space="preserve">INDEX(_xlfn.ORG.LIBREOFFICE.FOURIER({1,2;3,4;5,6;7,8},TRUE,FALSE,TRUE,1),ROWS(_xlfn.ORG.LIBREOFFICE.FOURIER({1,2;3,4;5,6;7,8},TRUE,FALSE,TRUE,1)),2)</t>
  </si>
  <si>
    <t xml:space="preserve">SUM(_xlfn.ORG.LIBREOFFICE.FOURIER({1,2;3,4;5,6;7,8},TRUE,TRUE,TRUE,5))</t>
  </si>
  <si>
    <t xml:space="preserve">INDEX(_xlfn.ORG.LIBREOFFICE.FOURIER({1,2;3,4;5,6;7,8},TRUE,TRUE,TRUE,5),1,1)</t>
  </si>
  <si>
    <t xml:space="preserve">INDEX(_xlfn.ORG.LIBREOFFICE.FOURIER({1,2;3,4;5,6;7,8},TRUE,TRUE,TRUE,5),2,1)</t>
  </si>
  <si>
    <t xml:space="preserve">INDEX(_xlfn.ORG.LIBREOFFICE.FOURIER({1,2;3,4;5,6;7,8},TRUE,TRUE,TRUE,5),2,2)</t>
  </si>
  <si>
    <t xml:space="preserve">INDEX(_xlfn.ORG.LIBREOFFICE.FOURIER({1,2;3,4;5,6;7,8},TRUE,TRUE,TRUE,5),3,2)</t>
  </si>
  <si>
    <t xml:space="preserve">INDEX(_xlfn.ORG.LIBREOFFICE.FOURIER({1,2;3,4;5,6;7,8},TRUE,TRUE,TRUE,5),ROWS(_xlfn.ORG.LIBREOFFICE.FOURIER({1,2;3,4;5,6;7,8},TRUE,TRUE,TRUE,5)),1)</t>
  </si>
  <si>
    <t xml:space="preserve">INDEX(_xlfn.ORG.LIBREOFFICE.FOURIER({1,2;3,4;5,6;7,8},TRUE,TRUE,TRUE,5),ROWS(_xlfn.ORG.LIBREOFFICE.FOURIER({1,2;3,4;5,6;7,8},TRUE,TRUE,TRUE,5)),2)</t>
  </si>
  <si>
    <t xml:space="preserve">ROWS(_xlfn.ORG.LIBREOFFICE.FOURIER(TRANSPOSE({1,2;3,4;5,6;7,8}),FALSE))</t>
  </si>
  <si>
    <t xml:space="preserve">COLUMNS(_xlfn.ORG.LIBREOFFICE.FOURIER(TRANSPOSE({1,2;3,4;5,6;7,8}),FALSE))</t>
  </si>
  <si>
    <t xml:space="preserve">SUM(_xlfn.ORG.LIBREOFFICE.FOURIER(TRANSPOSE({1,2;3,4;5,6;7,8}),FALSE))</t>
  </si>
  <si>
    <t xml:space="preserve">INDEX(_xlfn.ORG.LIBREOFFICE.FOURIER(TRANSPOSE({1,2;3,4;5,6;7,8}),FALSE),1,1)</t>
  </si>
  <si>
    <t xml:space="preserve">INDEX(_xlfn.ORG.LIBREOFFICE.FOURIER(TRANSPOSE({1,2;3,4;5,6;7,8}),FALSE),2,1)</t>
  </si>
  <si>
    <t xml:space="preserve">INDEX(_xlfn.ORG.LIBREOFFICE.FOURIER(TRANSPOSE({1,2;3,4;5,6;7,8}),FALSE),2,2)</t>
  </si>
  <si>
    <t xml:space="preserve">INDEX(_xlfn.ORG.LIBREOFFICE.FOURIER(TRANSPOSE({1,2;3,4;5,6;7,8}),FALSE),3,2)</t>
  </si>
  <si>
    <t xml:space="preserve">INDEX(_xlfn.ORG.LIBREOFFICE.FOURIER(TRANSPOSE({1,2;3,4;5,6;7,8}),FALSE),ROWS(_xlfn.ORG.LIBREOFFICE.FOURIER(TRANSPOSE({1,2;3,4;5,6;7,8}),FALSE)),1)</t>
  </si>
  <si>
    <t xml:space="preserve">INDEX(_xlfn.ORG.LIBREOFFICE.FOURIER(TRANSPOSE({1,2;3,4;5,6;7,8}),FALSE),ROWS(_xlfn.ORG.LIBREOFFICE.FOURIER(TRANSPOSE({1,2;3,4;5,6;7,8}),FALSE)),2)</t>
  </si>
  <si>
    <t xml:space="preserve">SUM(_xlfn.ORG.LIBREOFFICE.FOURIER(TRANSPOSE({1,2;3,4;5,6;7,8}),FALSE,TRUE))</t>
  </si>
  <si>
    <t xml:space="preserve">INDEX(_xlfn.ORG.LIBREOFFICE.FOURIER(TRANSPOSE({1,2;3,4;5,6;7,8}),FALSE,TRUE),1,1)</t>
  </si>
  <si>
    <t xml:space="preserve">INDEX(_xlfn.ORG.LIBREOFFICE.FOURIER(TRANSPOSE({1,2;3,4;5,6;7,8}),FALSE,TRUE),2,1)</t>
  </si>
  <si>
    <t xml:space="preserve">INDEX(_xlfn.ORG.LIBREOFFICE.FOURIER(TRANSPOSE({1,2;3,4;5,6;7,8}),FALSE,TRUE),2,2)</t>
  </si>
  <si>
    <t xml:space="preserve">INDEX(_xlfn.ORG.LIBREOFFICE.FOURIER(TRANSPOSE({1,2;3,4;5,6;7,8}),FALSE,TRUE),3,2)</t>
  </si>
  <si>
    <t xml:space="preserve">INDEX(_xlfn.ORG.LIBREOFFICE.FOURIER(TRANSPOSE({1,2;3,4;5,6;7,8}),FALSE,TRUE),ROWS(_xlfn.ORG.LIBREOFFICE.FOURIER(TRANSPOSE({1,2;3,4;5,6;7,8}),FALSE,TRUE)),1)</t>
  </si>
  <si>
    <t xml:space="preserve">INDEX(_xlfn.ORG.LIBREOFFICE.FOURIER(TRANSPOSE({1,2;3,4;5,6;7,8}),FALSE,TRUE),ROWS(_xlfn.ORG.LIBREOFFICE.FOURIER(TRANSPOSE({1,2;3,4;5,6;7,8}),FALSE,TRUE)),2)</t>
  </si>
  <si>
    <t xml:space="preserve">SUM(_xlfn.ORG.LIBREOFFICE.FOURIER(TRANSPOSE({1,2;3,4;5,6;7,8}),FALSE,FALSE,TRUE))</t>
  </si>
  <si>
    <t xml:space="preserve">INDEX(_xlfn.ORG.LIBREOFFICE.FOURIER(TRANSPOSE({1,2;3,4;5,6;7,8}),FALSE,FALSE,TRUE),1,1)</t>
  </si>
  <si>
    <t xml:space="preserve">INDEX(_xlfn.ORG.LIBREOFFICE.FOURIER(TRANSPOSE({1,2;3,4;5,6;7,8}),FALSE,FALSE,TRUE),2,1)</t>
  </si>
  <si>
    <t xml:space="preserve">INDEX(_xlfn.ORG.LIBREOFFICE.FOURIER(TRANSPOSE({1,2;3,4;5,6;7,8}),FALSE,FALSE,TRUE),2,2)</t>
  </si>
  <si>
    <t xml:space="preserve">INDEX(_xlfn.ORG.LIBREOFFICE.FOURIER(TRANSPOSE({1,2;3,4;5,6;7,8}),FALSE,FALSE,TRUE),3,2)</t>
  </si>
  <si>
    <t xml:space="preserve">INDEX(_xlfn.ORG.LIBREOFFICE.FOURIER(TRANSPOSE({1,2;3,4;5,6;7,8}),FALSE,FALSE,TRUE),ROWS(_xlfn.ORG.LIBREOFFICE.FOURIER(TRANSPOSE({1,2;3,4;5,6;7,8}),FALSE,FALSE,TRUE)),1)</t>
  </si>
  <si>
    <t xml:space="preserve">INDEX(_xlfn.ORG.LIBREOFFICE.FOURIER(TRANSPOSE({1,2;3,4;5,6;7,8}),FALSE,FALSE,TRUE),ROWS(_xlfn.ORG.LIBREOFFICE.FOURIER(TRANSPOSE({1,2;3,4;5,6;7,8}),FALSE,FALSE,TRUE)),2)</t>
  </si>
  <si>
    <t xml:space="preserve">SUM(_xlfn.ORG.LIBREOFFICE.FOURIER(TRANSPOSE({1,2;3,4;5,6;7,8}),FALSE,TRUE,TRUE))</t>
  </si>
  <si>
    <t xml:space="preserve">INDEX(_xlfn.ORG.LIBREOFFICE.FOURIER(TRANSPOSE({1,2;3,4;5,6;7,8}),FALSE,TRUE,TRUE),1,1)</t>
  </si>
  <si>
    <t xml:space="preserve">INDEX(_xlfn.ORG.LIBREOFFICE.FOURIER(TRANSPOSE({1,2;3,4;5,6;7,8}),FALSE,TRUE,TRUE),2,1)</t>
  </si>
  <si>
    <t xml:space="preserve">INDEX(_xlfn.ORG.LIBREOFFICE.FOURIER(TRANSPOSE({1,2;3,4;5,6;7,8}),FALSE,TRUE,TRUE),2,2)</t>
  </si>
  <si>
    <t xml:space="preserve">INDEX(_xlfn.ORG.LIBREOFFICE.FOURIER(TRANSPOSE({1,2;3,4;5,6;7,8}),FALSE,TRUE,TRUE),3,2)</t>
  </si>
  <si>
    <t xml:space="preserve">INDEX(_xlfn.ORG.LIBREOFFICE.FOURIER(TRANSPOSE({1,2;3,4;5,6;7,8}),FALSE,TRUE,TRUE),ROWS(_xlfn.ORG.LIBREOFFICE.FOURIER(TRANSPOSE({1,2;3,4;5,6;7,8}),FALSE,TRUE,TRUE)),1)</t>
  </si>
  <si>
    <t xml:space="preserve">INDEX(_xlfn.ORG.LIBREOFFICE.FOURIER(TRANSPOSE({1,2;3,4;5,6;7,8}),FALSE,TRUE,TRUE),ROWS(_xlfn.ORG.LIBREOFFICE.FOURIER(TRANSPOSE({1,2;3,4;5,6;7,8}),FALSE,TRUE,TRUE)),2)</t>
  </si>
  <si>
    <t xml:space="preserve">SUM(_xlfn.ORG.LIBREOFFICE.FOURIER(TRANSPOSE({1,2;3,4;5,6;7,8}),FALSE,FALSE,TRUE,1))</t>
  </si>
  <si>
    <t xml:space="preserve">INDEX(_xlfn.ORG.LIBREOFFICE.FOURIER(TRANSPOSE({1,2;3,4;5,6;7,8}),FALSE,FALSE,TRUE,1),1,1)</t>
  </si>
  <si>
    <t xml:space="preserve">INDEX(_xlfn.ORG.LIBREOFFICE.FOURIER(TRANSPOSE({1,2;3,4;5,6;7,8}),FALSE,FALSE,TRUE,1),2,1)</t>
  </si>
  <si>
    <t xml:space="preserve">INDEX(_xlfn.ORG.LIBREOFFICE.FOURIER(TRANSPOSE({1,2;3,4;5,6;7,8}),FALSE,FALSE,TRUE,1),2,2)</t>
  </si>
  <si>
    <t xml:space="preserve">INDEX(_xlfn.ORG.LIBREOFFICE.FOURIER(TRANSPOSE({1,2;3,4;5,6;7,8}),FALSE,FALSE,TRUE,1),3,2)</t>
  </si>
  <si>
    <t xml:space="preserve">INDEX(_xlfn.ORG.LIBREOFFICE.FOURIER(TRANSPOSE({1,2;3,4;5,6;7,8}),FALSE,FALSE,TRUE,1),ROWS(_xlfn.ORG.LIBREOFFICE.FOURIER(TRANSPOSE({1,2;3,4;5,6;7,8}),FALSE,FALSE,TRUE,1)),1)</t>
  </si>
  <si>
    <t xml:space="preserve">INDEX(_xlfn.ORG.LIBREOFFICE.FOURIER(TRANSPOSE({1,2;3,4;5,6;7,8}),FALSE,FALSE,TRUE,1),ROWS(_xlfn.ORG.LIBREOFFICE.FOURIER(TRANSPOSE({1,2;3,4;5,6;7,8}),FALSE,FALSE,TRUE,1)),2)</t>
  </si>
  <si>
    <t xml:space="preserve">SUM(_xlfn.ORG.LIBREOFFICE.FOURIER(TRANSPOSE({1,2;3,4;5,6;7,8}),FALSE,TRUE,TRUE,5))</t>
  </si>
  <si>
    <t xml:space="preserve">INDEX(_xlfn.ORG.LIBREOFFICE.FOURIER(TRANSPOSE({1,2;3,4;5,6;7,8}),FALSE,TRUE,TRUE,5),1,1)</t>
  </si>
  <si>
    <t xml:space="preserve">INDEX(_xlfn.ORG.LIBREOFFICE.FOURIER(TRANSPOSE({1,2;3,4;5,6;7,8}),FALSE,TRUE,TRUE,5),2,1)</t>
  </si>
  <si>
    <t xml:space="preserve">INDEX(_xlfn.ORG.LIBREOFFICE.FOURIER(TRANSPOSE({1,2;3,4;5,6;7,8}),FALSE,TRUE,TRUE,5),2,2)</t>
  </si>
  <si>
    <t xml:space="preserve">INDEX(_xlfn.ORG.LIBREOFFICE.FOURIER(TRANSPOSE({1,2;3,4;5,6;7,8}),FALSE,TRUE,TRUE,5),3,2)</t>
  </si>
  <si>
    <t xml:space="preserve">INDEX(_xlfn.ORG.LIBREOFFICE.FOURIER(TRANSPOSE({1,2;3,4;5,6;7,8}),FALSE,TRUE,TRUE,5),ROWS(_xlfn.ORG.LIBREOFFICE.FOURIER(TRANSPOSE({1,2;3,4;5,6;7,8}),FALSE,TRUE,TRUE,5)),1)</t>
  </si>
  <si>
    <t xml:space="preserve">INDEX(_xlfn.ORG.LIBREOFFICE.FOURIER(TRANSPOSE({1,2;3,4;5,6;7,8}),FALSE,TRUE,TRUE,5),ROWS(_xlfn.ORG.LIBREOFFICE.FOURIER(TRANSPOSE({1,2;3,4;5,6;7,8}),FALSE,TRUE,TRUE,5)),2)</t>
  </si>
  <si>
    <t xml:space="preserve">ROWS(_xlfn.ORG.LIBREOFFICE.FOURIER({1,2;3,4;5,6;7,8;9,10;11,12;13,14;15,16},TRUE))</t>
  </si>
  <si>
    <t xml:space="preserve">COLUMNS(_xlfn.ORG.LIBREOFFICE.FOURIER({1,2;3,4;5,6;7,8;9,10;11,12;13,14;15,16},TRUE))</t>
  </si>
  <si>
    <t xml:space="preserve">SUM(_xlfn.ORG.LIBREOFFICE.FOURIER({1,2;3,4;5,6;7,8;9,10;11,12;13,14;15,16},TRUE))</t>
  </si>
  <si>
    <t xml:space="preserve">INDEX(_xlfn.ORG.LIBREOFFICE.FOURIER({1,2;3,4;5,6;7,8;9,10;11,12;13,14;15,16},TRUE),1,1)</t>
  </si>
  <si>
    <t xml:space="preserve">INDEX(_xlfn.ORG.LIBREOFFICE.FOURIER({1,2;3,4;5,6;7,8;9,10;11,12;13,14;15,16},TRUE),2,1)</t>
  </si>
  <si>
    <t xml:space="preserve">INDEX(_xlfn.ORG.LIBREOFFICE.FOURIER({1,2;3,4;5,6;7,8;9,10;11,12;13,14;15,16},TRUE),2,2)</t>
  </si>
  <si>
    <t xml:space="preserve">INDEX(_xlfn.ORG.LIBREOFFICE.FOURIER({1,2;3,4;5,6;7,8;9,10;11,12;13,14;15,16},TRUE),3,2)</t>
  </si>
  <si>
    <t xml:space="preserve">INDEX(_xlfn.ORG.LIBREOFFICE.FOURIER({1,2;3,4;5,6;7,8;9,10;11,12;13,14;15,16},TRUE),ROWS(_xlfn.ORG.LIBREOFFICE.FOURIER({1,2;3,4;5,6;7,8;9,10;11,12;13,14;15,16},TRUE)),1)</t>
  </si>
  <si>
    <t xml:space="preserve">INDEX(_xlfn.ORG.LIBREOFFICE.FOURIER({1,2;3,4;5,6;7,8;9,10;11,12;13,14;15,16},TRUE),ROWS(_xlfn.ORG.LIBREOFFICE.FOURIER({1,2;3,4;5,6;7,8;9,10;11,12;13,14;15,16},TRUE)),2)</t>
  </si>
  <si>
    <t xml:space="preserve">SUM(_xlfn.ORG.LIBREOFFICE.FOURIER({1,2;3,4;5,6;7,8;9,10;11,12;13,14;15,16},TRUE,TRUE))</t>
  </si>
  <si>
    <t xml:space="preserve">INDEX(_xlfn.ORG.LIBREOFFICE.FOURIER({1,2;3,4;5,6;7,8;9,10;11,12;13,14;15,16},TRUE,TRUE),1,1)</t>
  </si>
  <si>
    <t xml:space="preserve">INDEX(_xlfn.ORG.LIBREOFFICE.FOURIER({1,2;3,4;5,6;7,8;9,10;11,12;13,14;15,16},TRUE,TRUE),2,1)</t>
  </si>
  <si>
    <t xml:space="preserve">INDEX(_xlfn.ORG.LIBREOFFICE.FOURIER({1,2;3,4;5,6;7,8;9,10;11,12;13,14;15,16},TRUE,TRUE),2,2)</t>
  </si>
  <si>
    <t xml:space="preserve">INDEX(_xlfn.ORG.LIBREOFFICE.FOURIER({1,2;3,4;5,6;7,8;9,10;11,12;13,14;15,16},TRUE,TRUE),3,2)</t>
  </si>
  <si>
    <t xml:space="preserve">INDEX(_xlfn.ORG.LIBREOFFICE.FOURIER({1,2;3,4;5,6;7,8;9,10;11,12;13,14;15,16},TRUE,TRUE),ROWS(_xlfn.ORG.LIBREOFFICE.FOURIER({1,2;3,4;5,6;7,8;9,10;11,12;13,14;15,16},TRUE,TRUE)),1)</t>
  </si>
  <si>
    <t xml:space="preserve">INDEX(_xlfn.ORG.LIBREOFFICE.FOURIER({1,2;3,4;5,6;7,8;9,10;11,12;13,14;15,16},TRUE,TRUE),ROWS(_xlfn.ORG.LIBREOFFICE.FOURIER({1,2;3,4;5,6;7,8;9,10;11,12;13,14;15,16},TRUE,TRUE)),2)</t>
  </si>
  <si>
    <t xml:space="preserve">SUM(_xlfn.ORG.LIBREOFFICE.FOURIER({1,2;3,4;5,6;7,8;9,10;11,12;13,14;15,16},TRUE,FALSE,TRUE))</t>
  </si>
  <si>
    <t xml:space="preserve">INDEX(_xlfn.ORG.LIBREOFFICE.FOURIER({1,2;3,4;5,6;7,8;9,10;11,12;13,14;15,16},TRUE,FALSE,TRUE),1,1)</t>
  </si>
  <si>
    <t xml:space="preserve">INDEX(_xlfn.ORG.LIBREOFFICE.FOURIER({1,2;3,4;5,6;7,8;9,10;11,12;13,14;15,16},TRUE,FALSE,TRUE),2,1)</t>
  </si>
  <si>
    <t xml:space="preserve">INDEX(_xlfn.ORG.LIBREOFFICE.FOURIER({1,2;3,4;5,6;7,8;9,10;11,12;13,14;15,16},TRUE,FALSE,TRUE),2,2)</t>
  </si>
  <si>
    <t xml:space="preserve">INDEX(_xlfn.ORG.LIBREOFFICE.FOURIER({1,2;3,4;5,6;7,8;9,10;11,12;13,14;15,16},TRUE,FALSE,TRUE),3,2)</t>
  </si>
  <si>
    <t xml:space="preserve">INDEX(_xlfn.ORG.LIBREOFFICE.FOURIER({1,2;3,4;5,6;7,8;9,10;11,12;13,14;15,16},TRUE,FALSE,TRUE),ROWS(_xlfn.ORG.LIBREOFFICE.FOURIER({1,2;3,4;5,6;7,8;9,10;11,12;13,14;15,16},TRUE,FALSE,TRUE)),1)</t>
  </si>
  <si>
    <t xml:space="preserve">INDEX(_xlfn.ORG.LIBREOFFICE.FOURIER({1,2;3,4;5,6;7,8;9,10;11,12;13,14;15,16},TRUE,FALSE,TRUE),ROWS(_xlfn.ORG.LIBREOFFICE.FOURIER({1,2;3,4;5,6;7,8;9,10;11,12;13,14;15,16},TRUE,FALSE,TRUE)),2)</t>
  </si>
  <si>
    <t xml:space="preserve">SUM(_xlfn.ORG.LIBREOFFICE.FOURIER({1,2;3,4;5,6;7,8;9,10;11,12;13,14;15,16},TRUE,TRUE,TRUE))</t>
  </si>
  <si>
    <t xml:space="preserve">INDEX(_xlfn.ORG.LIBREOFFICE.FOURIER({1,2;3,4;5,6;7,8;9,10;11,12;13,14;15,16},TRUE,TRUE,TRUE),1,1)</t>
  </si>
  <si>
    <t xml:space="preserve">INDEX(_xlfn.ORG.LIBREOFFICE.FOURIER({1,2;3,4;5,6;7,8;9,10;11,12;13,14;15,16},TRUE,TRUE,TRUE),2,1)</t>
  </si>
  <si>
    <t xml:space="preserve">INDEX(_xlfn.ORG.LIBREOFFICE.FOURIER({1,2;3,4;5,6;7,8;9,10;11,12;13,14;15,16},TRUE,TRUE,TRUE),2,2)</t>
  </si>
  <si>
    <t xml:space="preserve">INDEX(_xlfn.ORG.LIBREOFFICE.FOURIER({1,2;3,4;5,6;7,8;9,10;11,12;13,14;15,16},TRUE,TRUE,TRUE),3,2)</t>
  </si>
  <si>
    <t xml:space="preserve">INDEX(_xlfn.ORG.LIBREOFFICE.FOURIER({1,2;3,4;5,6;7,8;9,10;11,12;13,14;15,16},TRUE,TRUE,TRUE),ROWS(_xlfn.ORG.LIBREOFFICE.FOURIER({1,2;3,4;5,6;7,8;9,10;11,12;13,14;15,16},TRUE,TRUE,TRUE)),1)</t>
  </si>
  <si>
    <t xml:space="preserve">INDEX(_xlfn.ORG.LIBREOFFICE.FOURIER({1,2;3,4;5,6;7,8;9,10;11,12;13,14;15,16},TRUE,TRUE,TRUE),ROWS(_xlfn.ORG.LIBREOFFICE.FOURIER({1,2;3,4;5,6;7,8;9,10;11,12;13,14;15,16},TRUE,TRUE,TRUE)),2)</t>
  </si>
  <si>
    <t xml:space="preserve">SUM(_xlfn.ORG.LIBREOFFICE.FOURIER({1,2;3,4;5,6;7,8;9,10;11,12;13,14;15,16},TRUE,FALSE,TRUE,1))</t>
  </si>
  <si>
    <t xml:space="preserve">INDEX(_xlfn.ORG.LIBREOFFICE.FOURIER({1,2;3,4;5,6;7,8;9,10;11,12;13,14;15,16},TRUE,FALSE,TRUE,1),1,1)</t>
  </si>
  <si>
    <t xml:space="preserve">INDEX(_xlfn.ORG.LIBREOFFICE.FOURIER({1,2;3,4;5,6;7,8;9,10;11,12;13,14;15,16},TRUE,FALSE,TRUE,1),2,1)</t>
  </si>
  <si>
    <t xml:space="preserve">INDEX(_xlfn.ORG.LIBREOFFICE.FOURIER({1,2;3,4;5,6;7,8;9,10;11,12;13,14;15,16},TRUE,FALSE,TRUE,1),2,2)</t>
  </si>
  <si>
    <t xml:space="preserve">INDEX(_xlfn.ORG.LIBREOFFICE.FOURIER({1,2;3,4;5,6;7,8;9,10;11,12;13,14;15,16},TRUE,FALSE,TRUE,1),3,2)</t>
  </si>
  <si>
    <t xml:space="preserve">INDEX(_xlfn.ORG.LIBREOFFICE.FOURIER({1,2;3,4;5,6;7,8;9,10;11,12;13,14;15,16},TRUE,FALSE,TRUE,1),ROWS(_xlfn.ORG.LIBREOFFICE.FOURIER({1,2;3,4;5,6;7,8;9,10;11,12;13,14;15,16},TRUE,FALSE,TRUE,1)),1)</t>
  </si>
  <si>
    <t xml:space="preserve">INDEX(_xlfn.ORG.LIBREOFFICE.FOURIER({1,2;3,4;5,6;7,8;9,10;11,12;13,14;15,16},TRUE,FALSE,TRUE,1),ROWS(_xlfn.ORG.LIBREOFFICE.FOURIER({1,2;3,4;5,6;7,8;9,10;11,12;13,14;15,16},TRUE,FALSE,TRUE,1)),2)</t>
  </si>
  <si>
    <t xml:space="preserve">SUM(_xlfn.ORG.LIBREOFFICE.FOURIER({1,2;3,4;5,6;7,8;9,10;11,12;13,14;15,16},TRUE,TRUE,TRUE,5))</t>
  </si>
  <si>
    <t xml:space="preserve">INDEX(_xlfn.ORG.LIBREOFFICE.FOURIER({1,2;3,4;5,6;7,8;9,10;11,12;13,14;15,16},TRUE,TRUE,TRUE,5),1,1)</t>
  </si>
  <si>
    <t xml:space="preserve">INDEX(_xlfn.ORG.LIBREOFFICE.FOURIER({1,2;3,4;5,6;7,8;9,10;11,12;13,14;15,16},TRUE,TRUE,TRUE,5),2,1)</t>
  </si>
  <si>
    <t xml:space="preserve">INDEX(_xlfn.ORG.LIBREOFFICE.FOURIER({1,2;3,4;5,6;7,8;9,10;11,12;13,14;15,16},TRUE,TRUE,TRUE,5),2,2)</t>
  </si>
  <si>
    <t xml:space="preserve">INDEX(_xlfn.ORG.LIBREOFFICE.FOURIER({1,2;3,4;5,6;7,8;9,10;11,12;13,14;15,16},TRUE,TRUE,TRUE,5),3,2)</t>
  </si>
  <si>
    <t xml:space="preserve">INDEX(_xlfn.ORG.LIBREOFFICE.FOURIER({1,2;3,4;5,6;7,8;9,10;11,12;13,14;15,16},TRUE,TRUE,TRUE,5),ROWS(_xlfn.ORG.LIBREOFFICE.FOURIER({1,2;3,4;5,6;7,8;9,10;11,12;13,14;15,16},TRUE,TRUE,TRUE,5)),1)</t>
  </si>
  <si>
    <t xml:space="preserve">INDEX(_xlfn.ORG.LIBREOFFICE.FOURIER({1,2;3,4;5,6;7,8;9,10;11,12;13,14;15,16},TRUE,TRUE,TRUE,5),ROWS(_xlfn.ORG.LIBREOFFICE.FOURIER({1,2;3,4;5,6;7,8;9,10;11,12;13,14;15,16},TRUE,TRUE,TRUE,5)),2)</t>
  </si>
  <si>
    <t xml:space="preserve">ROWS(_xlfn.ORG.LIBREOFFICE.FOURIER(TRANSPOSE({1,2;3,4;5,6;7,8;9,10;11,12;13,14;15,16}),FALSE))</t>
  </si>
  <si>
    <t xml:space="preserve">COLUMNS(_xlfn.ORG.LIBREOFFICE.FOURIER(TRANSPOSE({1,2;3,4;5,6;7,8;9,10;11,12;13,14;15,16}),FALSE))</t>
  </si>
  <si>
    <t xml:space="preserve">SUM(_xlfn.ORG.LIBREOFFICE.FOURIER(TRANSPOSE({1,2;3,4;5,6;7,8;9,10;11,12;13,14;15,16}),FALSE))</t>
  </si>
  <si>
    <t xml:space="preserve">INDEX(_xlfn.ORG.LIBREOFFICE.FOURIER(TRANSPOSE({1,2;3,4;5,6;7,8;9,10;11,12;13,14;15,16}),FALSE),1,1)</t>
  </si>
  <si>
    <t xml:space="preserve">INDEX(_xlfn.ORG.LIBREOFFICE.FOURIER(TRANSPOSE({1,2;3,4;5,6;7,8;9,10;11,12;13,14;15,16}),FALSE),2,1)</t>
  </si>
  <si>
    <t xml:space="preserve">INDEX(_xlfn.ORG.LIBREOFFICE.FOURIER(TRANSPOSE({1,2;3,4;5,6;7,8;9,10;11,12;13,14;15,16}),FALSE),2,2)</t>
  </si>
  <si>
    <t xml:space="preserve">INDEX(_xlfn.ORG.LIBREOFFICE.FOURIER(TRANSPOSE({1,2;3,4;5,6;7,8;9,10;11,12;13,14;15,16}),FALSE),3,2)</t>
  </si>
  <si>
    <t xml:space="preserve">INDEX(_xlfn.ORG.LIBREOFFICE.FOURIER(TRANSPOSE({1,2;3,4;5,6;7,8;9,10;11,12;13,14;15,16}),FALSE),ROWS(_xlfn.ORG.LIBREOFFICE.FOURIER(TRANSPOSE({1,2;3,4;5,6;7,8;9,10;11,12;13,14;15,16}),FALSE)),1)</t>
  </si>
  <si>
    <t xml:space="preserve">INDEX(_xlfn.ORG.LIBREOFFICE.FOURIER(TRANSPOSE({1,2;3,4;5,6;7,8;9,10;11,12;13,14;15,16}),FALSE),ROWS(_xlfn.ORG.LIBREOFFICE.FOURIER(TRANSPOSE({1,2;3,4;5,6;7,8;9,10;11,12;13,14;15,16}),FALSE)),2)</t>
  </si>
  <si>
    <t xml:space="preserve">SUM(_xlfn.ORG.LIBREOFFICE.FOURIER(TRANSPOSE({1,2;3,4;5,6;7,8;9,10;11,12;13,14;15,16}),FALSE,TRUE))</t>
  </si>
  <si>
    <t xml:space="preserve">INDEX(_xlfn.ORG.LIBREOFFICE.FOURIER(TRANSPOSE({1,2;3,4;5,6;7,8;9,10;11,12;13,14;15,16}),FALSE,TRUE),1,1)</t>
  </si>
  <si>
    <t xml:space="preserve">INDEX(_xlfn.ORG.LIBREOFFICE.FOURIER(TRANSPOSE({1,2;3,4;5,6;7,8;9,10;11,12;13,14;15,16}),FALSE,TRUE),2,1)</t>
  </si>
  <si>
    <t xml:space="preserve">INDEX(_xlfn.ORG.LIBREOFFICE.FOURIER(TRANSPOSE({1,2;3,4;5,6;7,8;9,10;11,12;13,14;15,16}),FALSE,TRUE),2,2)</t>
  </si>
  <si>
    <t xml:space="preserve">INDEX(_xlfn.ORG.LIBREOFFICE.FOURIER(TRANSPOSE({1,2;3,4;5,6;7,8;9,10;11,12;13,14;15,16}),FALSE,TRUE),3,2)</t>
  </si>
  <si>
    <t xml:space="preserve">INDEX(_xlfn.ORG.LIBREOFFICE.FOURIER(TRANSPOSE({1,2;3,4;5,6;7,8;9,10;11,12;13,14;15,16}),FALSE,TRUE),ROWS(_xlfn.ORG.LIBREOFFICE.FOURIER(TRANSPOSE({1,2;3,4;5,6;7,8;9,10;11,12;13,14;15,16}),FALSE,TRUE)),1)</t>
  </si>
  <si>
    <t xml:space="preserve">INDEX(_xlfn.ORG.LIBREOFFICE.FOURIER(TRANSPOSE({1,2;3,4;5,6;7,8;9,10;11,12;13,14;15,16}),FALSE,TRUE),ROWS(_xlfn.ORG.LIBREOFFICE.FOURIER(TRANSPOSE({1,2;3,4;5,6;7,8;9,10;11,12;13,14;15,16}),FALSE,TRUE)),2)</t>
  </si>
  <si>
    <t xml:space="preserve">SUM(_xlfn.ORG.LIBREOFFICE.FOURIER(TRANSPOSE({1,2;3,4;5,6;7,8;9,10;11,12;13,14;15,16}),FALSE,FALSE,TRUE))</t>
  </si>
  <si>
    <t xml:space="preserve">INDEX(_xlfn.ORG.LIBREOFFICE.FOURIER(TRANSPOSE({1,2;3,4;5,6;7,8;9,10;11,12;13,14;15,16}),FALSE,FALSE,TRUE),1,1)</t>
  </si>
  <si>
    <t xml:space="preserve">INDEX(_xlfn.ORG.LIBREOFFICE.FOURIER(TRANSPOSE({1,2;3,4;5,6;7,8;9,10;11,12;13,14;15,16}),FALSE,FALSE,TRUE),2,1)</t>
  </si>
  <si>
    <t xml:space="preserve">INDEX(_xlfn.ORG.LIBREOFFICE.FOURIER(TRANSPOSE({1,2;3,4;5,6;7,8;9,10;11,12;13,14;15,16}),FALSE,FALSE,TRUE),2,2)</t>
  </si>
  <si>
    <t xml:space="preserve">INDEX(_xlfn.ORG.LIBREOFFICE.FOURIER(TRANSPOSE({1,2;3,4;5,6;7,8;9,10;11,12;13,14;15,16}),FALSE,FALSE,TRUE),3,2)</t>
  </si>
  <si>
    <t xml:space="preserve">INDEX(_xlfn.ORG.LIBREOFFICE.FOURIER(TRANSPOSE({1,2;3,4;5,6;7,8;9,10;11,12;13,14;15,16}),FALSE,FALSE,TRUE),ROWS(_xlfn.ORG.LIBREOFFICE.FOURIER(TRANSPOSE({1,2;3,4;5,6;7,8;9,10;11,12;13,14;15,16}),FALSE,FALSE,TRUE)),1)</t>
  </si>
  <si>
    <t xml:space="preserve">INDEX(_xlfn.ORG.LIBREOFFICE.FOURIER(TRANSPOSE({1,2;3,4;5,6;7,8;9,10;11,12;13,14;15,16}),FALSE,FALSE,TRUE),ROWS(_xlfn.ORG.LIBREOFFICE.FOURIER(TRANSPOSE({1,2;3,4;5,6;7,8;9,10;11,12;13,14;15,16}),FALSE,FALSE,TRUE)),2)</t>
  </si>
  <si>
    <t xml:space="preserve">SUM(_xlfn.ORG.LIBREOFFICE.FOURIER(TRANSPOSE({1,2;3,4;5,6;7,8;9,10;11,12;13,14;15,16}),FALSE,TRUE,TRUE))</t>
  </si>
  <si>
    <t xml:space="preserve">INDEX(_xlfn.ORG.LIBREOFFICE.FOURIER(TRANSPOSE({1,2;3,4;5,6;7,8;9,10;11,12;13,14;15,16}),FALSE,TRUE,TRUE),1,1)</t>
  </si>
  <si>
    <t xml:space="preserve">INDEX(_xlfn.ORG.LIBREOFFICE.FOURIER(TRANSPOSE({1,2;3,4;5,6;7,8;9,10;11,12;13,14;15,16}),FALSE,TRUE,TRUE),2,1)</t>
  </si>
  <si>
    <t xml:space="preserve">INDEX(_xlfn.ORG.LIBREOFFICE.FOURIER(TRANSPOSE({1,2;3,4;5,6;7,8;9,10;11,12;13,14;15,16}),FALSE,TRUE,TRUE),2,2)</t>
  </si>
  <si>
    <t xml:space="preserve">INDEX(_xlfn.ORG.LIBREOFFICE.FOURIER(TRANSPOSE({1,2;3,4;5,6;7,8;9,10;11,12;13,14;15,16}),FALSE,TRUE,TRUE),3,2)</t>
  </si>
  <si>
    <t xml:space="preserve">INDEX(_xlfn.ORG.LIBREOFFICE.FOURIER(TRANSPOSE({1,2;3,4;5,6;7,8;9,10;11,12;13,14;15,16}),FALSE,TRUE,TRUE),ROWS(_xlfn.ORG.LIBREOFFICE.FOURIER(TRANSPOSE({1,2;3,4;5,6;7,8;9,10;11,12;13,14;15,16}),FALSE,TRUE,TRUE)),1)</t>
  </si>
  <si>
    <t xml:space="preserve">INDEX(_xlfn.ORG.LIBREOFFICE.FOURIER(TRANSPOSE({1,2;3,4;5,6;7,8;9,10;11,12;13,14;15,16}),FALSE,TRUE,TRUE),ROWS(_xlfn.ORG.LIBREOFFICE.FOURIER(TRANSPOSE({1,2;3,4;5,6;7,8;9,10;11,12;13,14;15,16}),FALSE,TRUE,TRUE)),2)</t>
  </si>
  <si>
    <t xml:space="preserve">SUM(_xlfn.ORG.LIBREOFFICE.FOURIER(TRANSPOSE({1,2;3,4;5,6;7,8;9,10;11,12;13,14;15,16}),FALSE,FALSE,TRUE,1))</t>
  </si>
  <si>
    <t xml:space="preserve">INDEX(_xlfn.ORG.LIBREOFFICE.FOURIER(TRANSPOSE({1,2;3,4;5,6;7,8;9,10;11,12;13,14;15,16}),FALSE,FALSE,TRUE,1),1,1)</t>
  </si>
  <si>
    <t xml:space="preserve">INDEX(_xlfn.ORG.LIBREOFFICE.FOURIER(TRANSPOSE({1,2;3,4;5,6;7,8;9,10;11,12;13,14;15,16}),FALSE,FALSE,TRUE,1),2,1)</t>
  </si>
  <si>
    <t xml:space="preserve">INDEX(_xlfn.ORG.LIBREOFFICE.FOURIER(TRANSPOSE({1,2;3,4;5,6;7,8;9,10;11,12;13,14;15,16}),FALSE,FALSE,TRUE,1),2,2)</t>
  </si>
  <si>
    <t xml:space="preserve">INDEX(_xlfn.ORG.LIBREOFFICE.FOURIER(TRANSPOSE({1,2;3,4;5,6;7,8;9,10;11,12;13,14;15,16}),FALSE,FALSE,TRUE,1),3,2)</t>
  </si>
  <si>
    <t xml:space="preserve">INDEX(_xlfn.ORG.LIBREOFFICE.FOURIER(TRANSPOSE({1,2;3,4;5,6;7,8;9,10;11,12;13,14;15,16}),FALSE,FALSE,TRUE,1),ROWS(_xlfn.ORG.LIBREOFFICE.FOURIER(TRANSPOSE({1,2;3,4;5,6;7,8;9,10;11,12;13,14;15,16}),FALSE,FALSE,TRUE,1)),1)</t>
  </si>
  <si>
    <t xml:space="preserve">INDEX(_xlfn.ORG.LIBREOFFICE.FOURIER(TRANSPOSE({1,2;3,4;5,6;7,8;9,10;11,12;13,14;15,16}),FALSE,FALSE,TRUE,1),ROWS(_xlfn.ORG.LIBREOFFICE.FOURIER(TRANSPOSE({1,2;3,4;5,6;7,8;9,10;11,12;13,14;15,16}),FALSE,FALSE,TRUE,1)),2)</t>
  </si>
  <si>
    <t xml:space="preserve">SUM(_xlfn.ORG.LIBREOFFICE.FOURIER(TRANSPOSE({1,2;3,4;5,6;7,8;9,10;11,12;13,14;15,16}),FALSE,TRUE,TRUE,5))</t>
  </si>
  <si>
    <t xml:space="preserve">INDEX(_xlfn.ORG.LIBREOFFICE.FOURIER(TRANSPOSE({1,2;3,4;5,6;7,8;9,10;11,12;13,14;15,16}),FALSE,TRUE,TRUE,5),1,1)</t>
  </si>
  <si>
    <t xml:space="preserve">INDEX(_xlfn.ORG.LIBREOFFICE.FOURIER(TRANSPOSE({1,2;3,4;5,6;7,8;9,10;11,12;13,14;15,16}),FALSE,TRUE,TRUE,5),2,1)</t>
  </si>
  <si>
    <t xml:space="preserve">INDEX(_xlfn.ORG.LIBREOFFICE.FOURIER(TRANSPOSE({1,2;3,4;5,6;7,8;9,10;11,12;13,14;15,16}),FALSE,TRUE,TRUE,5),2,2)</t>
  </si>
  <si>
    <t xml:space="preserve">INDEX(_xlfn.ORG.LIBREOFFICE.FOURIER(TRANSPOSE({1,2;3,4;5,6;7,8;9,10;11,12;13,14;15,16}),FALSE,TRUE,TRUE,5),3,2)</t>
  </si>
  <si>
    <t xml:space="preserve">INDEX(_xlfn.ORG.LIBREOFFICE.FOURIER(TRANSPOSE({1,2;3,4;5,6;7,8;9,10;11,12;13,14;15,16}),FALSE,TRUE,TRUE,5),ROWS(_xlfn.ORG.LIBREOFFICE.FOURIER(TRANSPOSE({1,2;3,4;5,6;7,8;9,10;11,12;13,14;15,16}),FALSE,TRUE,TRUE,5)),1)</t>
  </si>
  <si>
    <t xml:space="preserve">INDEX(_xlfn.ORG.LIBREOFFICE.FOURIER(TRANSPOSE({1,2;3,4;5,6;7,8;9,10;11,12;13,14;15,16}),FALSE,TRUE,TRUE,5),ROWS(_xlfn.ORG.LIBREOFFICE.FOURIER(TRANSPOSE({1,2;3,4;5,6;7,8;9,10;11,12;13,14;15,16}),FALSE,TRUE,TRUE,5)),2)</t>
  </si>
  <si>
    <t xml:space="preserve">ROWS(_xlfn.ORG.LIBREOFFICE.FOURIER({1,2,3;4,5,6},TRUE))</t>
  </si>
  <si>
    <t xml:space="preserve">COLUMNS(_xlfn.ORG.LIBREOFFICE.FOURIER({1,2,3;4,5,6},TRUE))</t>
  </si>
  <si>
    <t xml:space="preserve">SUM(_xlfn.ORG.LIBREOFFICE.FOURIER({1,2,3;4,5,6},TRUE))</t>
  </si>
  <si>
    <t xml:space="preserve">INDEX(_xlfn.ORG.LIBREOFFICE.FOURIER({1,2,3;4,5,6},TRUE),1,1)</t>
  </si>
  <si>
    <t xml:space="preserve">INDEX(_xlfn.ORG.LIBREOFFICE.FOURIER({1,2,3;4,5,6},TRUE),2,1)</t>
  </si>
  <si>
    <t xml:space="preserve">INDEX(_xlfn.ORG.LIBREOFFICE.FOURIER({1,2,3;4,5,6},TRUE),2,2)</t>
  </si>
  <si>
    <t xml:space="preserve">INDEX(_xlfn.ORG.LIBREOFFICE.FOURIER({1,2,3;4,5,6},TRUE),3,2)</t>
  </si>
  <si>
    <t xml:space="preserve">INDEX(_xlfn.ORG.LIBREOFFICE.FOURIER({1,2,3;4,5,6},TRUE),ROWS(_xlfn.ORG.LIBREOFFICE.FOURIER({1,2,3;4,5,6},TRUE)),1)</t>
  </si>
  <si>
    <t xml:space="preserve">INDEX(_xlfn.ORG.LIBREOFFICE.FOURIER({1,2,3;4,5,6},TRUE),ROWS(_xlfn.ORG.LIBREOFFICE.FOURIER({1,2,3;4,5,6},TRUE)),2)</t>
  </si>
  <si>
    <t xml:space="preserve">SUM(_xlfn.ORG.LIBREOFFICE.FOURIER({1,2,3;4,5,6},TRUE,TRUE))</t>
  </si>
  <si>
    <t xml:space="preserve">INDEX(_xlfn.ORG.LIBREOFFICE.FOURIER({1,2,3;4,5,6},TRUE,TRUE),1,1)</t>
  </si>
  <si>
    <t xml:space="preserve">INDEX(_xlfn.ORG.LIBREOFFICE.FOURIER({1,2,3;4,5,6},TRUE,TRUE),2,1)</t>
  </si>
  <si>
    <t xml:space="preserve">INDEX(_xlfn.ORG.LIBREOFFICE.FOURIER({1,2,3;4,5,6},TRUE,TRUE),2,2)</t>
  </si>
  <si>
    <t xml:space="preserve">INDEX(_xlfn.ORG.LIBREOFFICE.FOURIER({1,2,3;4,5,6},TRUE,TRUE),3,2)</t>
  </si>
  <si>
    <t xml:space="preserve">INDEX(_xlfn.ORG.LIBREOFFICE.FOURIER({1,2,3;4,5,6},TRUE,TRUE),ROWS(_xlfn.ORG.LIBREOFFICE.FOURIER({1,2,3;4,5,6},TRUE,TRUE)),1)</t>
  </si>
  <si>
    <t xml:space="preserve">INDEX(_xlfn.ORG.LIBREOFFICE.FOURIER({1,2,3;4,5,6},TRUE,TRUE),ROWS(_xlfn.ORG.LIBREOFFICE.FOURIER({1,2,3;4,5,6},TRUE,TRUE)),2)</t>
  </si>
  <si>
    <t xml:space="preserve">SUM(_xlfn.ORG.LIBREOFFICE.FOURIER({1,2,3;4,5,6},TRUE,FALSE,TRUE))</t>
  </si>
  <si>
    <t xml:space="preserve">INDEX(_xlfn.ORG.LIBREOFFICE.FOURIER({1,2,3;4,5,6},TRUE,FALSE,TRUE),1,1)</t>
  </si>
  <si>
    <t xml:space="preserve">INDEX(_xlfn.ORG.LIBREOFFICE.FOURIER({1,2,3;4,5,6},TRUE,FALSE,TRUE),2,1)</t>
  </si>
  <si>
    <t xml:space="preserve">INDEX(_xlfn.ORG.LIBREOFFICE.FOURIER({1,2,3;4,5,6},TRUE,FALSE,TRUE),2,2)</t>
  </si>
  <si>
    <t xml:space="preserve">INDEX(_xlfn.ORG.LIBREOFFICE.FOURIER({1,2,3;4,5,6},TRUE,FALSE,TRUE),3,2)</t>
  </si>
  <si>
    <t xml:space="preserve">INDEX(_xlfn.ORG.LIBREOFFICE.FOURIER({1,2,3;4,5,6},TRUE,FALSE,TRUE),ROWS(_xlfn.ORG.LIBREOFFICE.FOURIER({1,2,3;4,5,6},TRUE,FALSE,TRUE)),1)</t>
  </si>
  <si>
    <t xml:space="preserve">INDEX(_xlfn.ORG.LIBREOFFICE.FOURIER({1,2,3;4,5,6},TRUE,FALSE,TRUE),ROWS(_xlfn.ORG.LIBREOFFICE.FOURIER({1,2,3;4,5,6},TRUE,FALSE,TRUE)),2)</t>
  </si>
  <si>
    <t xml:space="preserve">SUM(_xlfn.ORG.LIBREOFFICE.FOURIER({1,2,3;4,5,6},TRUE,TRUE,TRUE))</t>
  </si>
  <si>
    <t xml:space="preserve">INDEX(_xlfn.ORG.LIBREOFFICE.FOURIER({1,2,3;4,5,6},TRUE,TRUE,TRUE),1,1)</t>
  </si>
  <si>
    <t xml:space="preserve">INDEX(_xlfn.ORG.LIBREOFFICE.FOURIER({1,2,3;4,5,6},TRUE,TRUE,TRUE),2,1)</t>
  </si>
  <si>
    <t xml:space="preserve">INDEX(_xlfn.ORG.LIBREOFFICE.FOURIER({1,2,3;4,5,6},TRUE,TRUE,TRUE),2,2)</t>
  </si>
  <si>
    <t xml:space="preserve">INDEX(_xlfn.ORG.LIBREOFFICE.FOURIER({1,2,3;4,5,6},TRUE,TRUE,TRUE),3,2)</t>
  </si>
  <si>
    <t xml:space="preserve">INDEX(_xlfn.ORG.LIBREOFFICE.FOURIER({1,2,3;4,5,6},TRUE,TRUE,TRUE),ROWS(_xlfn.ORG.LIBREOFFICE.FOURIER({1,2,3;4,5,6},TRUE,TRUE,TRUE)),1)</t>
  </si>
  <si>
    <t xml:space="preserve">INDEX(_xlfn.ORG.LIBREOFFICE.FOURIER({1,2,3;4,5,6},TRUE,TRUE,TRUE),ROWS(_xlfn.ORG.LIBREOFFICE.FOURIER({1,2,3;4,5,6},TRUE,TRUE,TRUE)),2)</t>
  </si>
  <si>
    <t xml:space="preserve">SUM(_xlfn.ORG.LIBREOFFICE.FOURIER({1,2,3;4,5,6},TRUE,FALSE,TRUE,1))</t>
  </si>
  <si>
    <t xml:space="preserve">INDEX(_xlfn.ORG.LIBREOFFICE.FOURIER({1,2,3;4,5,6},TRUE,FALSE,TRUE,1),1,1)</t>
  </si>
  <si>
    <t xml:space="preserve">INDEX(_xlfn.ORG.LIBREOFFICE.FOURIER({1,2,3;4,5,6},TRUE,FALSE,TRUE,1),2,1)</t>
  </si>
  <si>
    <t xml:space="preserve">INDEX(_xlfn.ORG.LIBREOFFICE.FOURIER({1,2,3;4,5,6},TRUE,FALSE,TRUE,1),2,2)</t>
  </si>
  <si>
    <t xml:space="preserve">INDEX(_xlfn.ORG.LIBREOFFICE.FOURIER({1,2,3;4,5,6},TRUE,FALSE,TRUE,1),3,2)</t>
  </si>
  <si>
    <t xml:space="preserve">INDEX(_xlfn.ORG.LIBREOFFICE.FOURIER({1,2,3;4,5,6},TRUE,FALSE,TRUE,1),ROWS(_xlfn.ORG.LIBREOFFICE.FOURIER({1,2,3;4,5,6},TRUE,FALSE,TRUE,1)),1)</t>
  </si>
  <si>
    <t xml:space="preserve">INDEX(_xlfn.ORG.LIBREOFFICE.FOURIER({1,2,3;4,5,6},TRUE,FALSE,TRUE,1),ROWS(_xlfn.ORG.LIBREOFFICE.FOURIER({1,2,3;4,5,6},TRUE,FALSE,TRUE,1)),2)</t>
  </si>
  <si>
    <t xml:space="preserve">SUM(_xlfn.ORG.LIBREOFFICE.FOURIER({1,2,3;4,5,6},TRUE,TRUE,TRUE,5))</t>
  </si>
  <si>
    <t xml:space="preserve">INDEX(_xlfn.ORG.LIBREOFFICE.FOURIER({1,2,3;4,5,6},TRUE,TRUE,TRUE,5),1,1)</t>
  </si>
  <si>
    <t xml:space="preserve">INDEX(_xlfn.ORG.LIBREOFFICE.FOURIER({1,2,3;4,5,6},TRUE,TRUE,TRUE,5),2,1)</t>
  </si>
  <si>
    <t xml:space="preserve">INDEX(_xlfn.ORG.LIBREOFFICE.FOURIER({1,2,3;4,5,6},TRUE,TRUE,TRUE,5),2,2)</t>
  </si>
  <si>
    <t xml:space="preserve">INDEX(_xlfn.ORG.LIBREOFFICE.FOURIER({1,2,3;4,5,6},TRUE,TRUE,TRUE,5),3,2)</t>
  </si>
  <si>
    <t xml:space="preserve">INDEX(_xlfn.ORG.LIBREOFFICE.FOURIER({1,2,3;4,5,6},TRUE,TRUE,TRUE,5),ROWS(_xlfn.ORG.LIBREOFFICE.FOURIER({1,2,3;4,5,6},TRUE,TRUE,TRUE,5)),1)</t>
  </si>
  <si>
    <t xml:space="preserve">INDEX(_xlfn.ORG.LIBREOFFICE.FOURIER({1,2,3;4,5,6},TRUE,TRUE,TRUE,5),ROWS(_xlfn.ORG.LIBREOFFICE.FOURIER({1,2,3;4,5,6},TRUE,TRUE,TRUE,5)),2)</t>
  </si>
  <si>
    <t xml:space="preserve">ROWS(_xlfn.ORG.LIBREOFFICE.FOURIER(TRANSPOSE({1,2,3;4,5,6}),FALSE))</t>
  </si>
  <si>
    <t xml:space="preserve">COLUMNS(_xlfn.ORG.LIBREOFFICE.FOURIER(TRANSPOSE({1,2,3;4,5,6}),FALSE))</t>
  </si>
  <si>
    <t xml:space="preserve">SUM(_xlfn.ORG.LIBREOFFICE.FOURIER(TRANSPOSE({1,2,3;4,5,6}),FALSE))</t>
  </si>
  <si>
    <t xml:space="preserve">INDEX(_xlfn.ORG.LIBREOFFICE.FOURIER(TRANSPOSE({1,2,3;4,5,6}),FALSE),1,1)</t>
  </si>
  <si>
    <t xml:space="preserve">INDEX(_xlfn.ORG.LIBREOFFICE.FOURIER(TRANSPOSE({1,2,3;4,5,6}),FALSE),2,1)</t>
  </si>
  <si>
    <t xml:space="preserve">INDEX(_xlfn.ORG.LIBREOFFICE.FOURIER(TRANSPOSE({1,2,3;4,5,6}),FALSE),2,2)</t>
  </si>
  <si>
    <t xml:space="preserve">INDEX(_xlfn.ORG.LIBREOFFICE.FOURIER(TRANSPOSE({1,2,3;4,5,6}),FALSE),3,2)</t>
  </si>
  <si>
    <t xml:space="preserve">INDEX(_xlfn.ORG.LIBREOFFICE.FOURIER(TRANSPOSE({1,2,3;4,5,6}),FALSE),ROWS(_xlfn.ORG.LIBREOFFICE.FOURIER(TRANSPOSE({1,2,3;4,5,6}),FALSE)),1)</t>
  </si>
  <si>
    <t xml:space="preserve">INDEX(_xlfn.ORG.LIBREOFFICE.FOURIER(TRANSPOSE({1,2,3;4,5,6}),FALSE),ROWS(_xlfn.ORG.LIBREOFFICE.FOURIER(TRANSPOSE({1,2,3;4,5,6}),FALSE)),2)</t>
  </si>
  <si>
    <t xml:space="preserve">SUM(_xlfn.ORG.LIBREOFFICE.FOURIER(TRANSPOSE({1,2,3;4,5,6}),FALSE,TRUE))</t>
  </si>
  <si>
    <t xml:space="preserve">INDEX(_xlfn.ORG.LIBREOFFICE.FOURIER(TRANSPOSE({1,2,3;4,5,6}),FALSE,TRUE),1,1)</t>
  </si>
  <si>
    <t xml:space="preserve">INDEX(_xlfn.ORG.LIBREOFFICE.FOURIER(TRANSPOSE({1,2,3;4,5,6}),FALSE,TRUE),2,1)</t>
  </si>
  <si>
    <t xml:space="preserve">INDEX(_xlfn.ORG.LIBREOFFICE.FOURIER(TRANSPOSE({1,2,3;4,5,6}),FALSE,TRUE),2,2)</t>
  </si>
  <si>
    <t xml:space="preserve">INDEX(_xlfn.ORG.LIBREOFFICE.FOURIER(TRANSPOSE({1,2,3;4,5,6}),FALSE,TRUE),3,2)</t>
  </si>
  <si>
    <t xml:space="preserve">INDEX(_xlfn.ORG.LIBREOFFICE.FOURIER(TRANSPOSE({1,2,3;4,5,6}),FALSE,TRUE),ROWS(_xlfn.ORG.LIBREOFFICE.FOURIER(TRANSPOSE({1,2,3;4,5,6}),FALSE,TRUE)),1)</t>
  </si>
  <si>
    <t xml:space="preserve">INDEX(_xlfn.ORG.LIBREOFFICE.FOURIER(TRANSPOSE({1,2,3;4,5,6}),FALSE,TRUE),ROWS(_xlfn.ORG.LIBREOFFICE.FOURIER(TRANSPOSE({1,2,3;4,5,6}),FALSE,TRUE)),2)</t>
  </si>
  <si>
    <t xml:space="preserve">SUM(_xlfn.ORG.LIBREOFFICE.FOURIER(TRANSPOSE({1,2,3;4,5,6}),FALSE,FALSE,TRUE))</t>
  </si>
  <si>
    <t xml:space="preserve">INDEX(_xlfn.ORG.LIBREOFFICE.FOURIER(TRANSPOSE({1,2,3;4,5,6}),FALSE,FALSE,TRUE),1,1)</t>
  </si>
  <si>
    <t xml:space="preserve">INDEX(_xlfn.ORG.LIBREOFFICE.FOURIER(TRANSPOSE({1,2,3;4,5,6}),FALSE,FALSE,TRUE),2,1)</t>
  </si>
  <si>
    <t xml:space="preserve">INDEX(_xlfn.ORG.LIBREOFFICE.FOURIER(TRANSPOSE({1,2,3;4,5,6}),FALSE,FALSE,TRUE),2,2)</t>
  </si>
  <si>
    <t xml:space="preserve">INDEX(_xlfn.ORG.LIBREOFFICE.FOURIER(TRANSPOSE({1,2,3;4,5,6}),FALSE,FALSE,TRUE),3,2)</t>
  </si>
  <si>
    <t xml:space="preserve">INDEX(_xlfn.ORG.LIBREOFFICE.FOURIER(TRANSPOSE({1,2,3;4,5,6}),FALSE,FALSE,TRUE),ROWS(_xlfn.ORG.LIBREOFFICE.FOURIER(TRANSPOSE({1,2,3;4,5,6}),FALSE,FALSE,TRUE)),1)</t>
  </si>
  <si>
    <t xml:space="preserve">INDEX(_xlfn.ORG.LIBREOFFICE.FOURIER(TRANSPOSE({1,2,3;4,5,6}),FALSE,FALSE,TRUE),ROWS(_xlfn.ORG.LIBREOFFICE.FOURIER(TRANSPOSE({1,2,3;4,5,6}),FALSE,FALSE,TRUE)),2)</t>
  </si>
  <si>
    <t xml:space="preserve">SUM(_xlfn.ORG.LIBREOFFICE.FOURIER(TRANSPOSE({1,2,3;4,5,6}),FALSE,TRUE,TRUE))</t>
  </si>
  <si>
    <t xml:space="preserve">INDEX(_xlfn.ORG.LIBREOFFICE.FOURIER(TRANSPOSE({1,2,3;4,5,6}),FALSE,TRUE,TRUE),1,1)</t>
  </si>
  <si>
    <t xml:space="preserve">INDEX(_xlfn.ORG.LIBREOFFICE.FOURIER(TRANSPOSE({1,2,3;4,5,6}),FALSE,TRUE,TRUE),2,1)</t>
  </si>
  <si>
    <t xml:space="preserve">INDEX(_xlfn.ORG.LIBREOFFICE.FOURIER(TRANSPOSE({1,2,3;4,5,6}),FALSE,TRUE,TRUE),2,2)</t>
  </si>
  <si>
    <t xml:space="preserve">INDEX(_xlfn.ORG.LIBREOFFICE.FOURIER(TRANSPOSE({1,2,3;4,5,6}),FALSE,TRUE,TRUE),3,2)</t>
  </si>
  <si>
    <t xml:space="preserve">INDEX(_xlfn.ORG.LIBREOFFICE.FOURIER(TRANSPOSE({1,2,3;4,5,6}),FALSE,TRUE,TRUE),ROWS(_xlfn.ORG.LIBREOFFICE.FOURIER(TRANSPOSE({1,2,3;4,5,6}),FALSE,TRUE,TRUE)),1)</t>
  </si>
  <si>
    <t xml:space="preserve">INDEX(_xlfn.ORG.LIBREOFFICE.FOURIER(TRANSPOSE({1,2,3;4,5,6}),FALSE,TRUE,TRUE),ROWS(_xlfn.ORG.LIBREOFFICE.FOURIER(TRANSPOSE({1,2,3;4,5,6}),FALSE,TRUE,TRUE)),2)</t>
  </si>
  <si>
    <t xml:space="preserve">SUM(_xlfn.ORG.LIBREOFFICE.FOURIER(TRANSPOSE({1,2,3;4,5,6}),FALSE,FALSE,TRUE,1))</t>
  </si>
  <si>
    <t xml:space="preserve">INDEX(_xlfn.ORG.LIBREOFFICE.FOURIER(TRANSPOSE({1,2,3;4,5,6}),FALSE,FALSE,TRUE,1),1,1)</t>
  </si>
  <si>
    <t xml:space="preserve">INDEX(_xlfn.ORG.LIBREOFFICE.FOURIER(TRANSPOSE({1,2,3;4,5,6}),FALSE,FALSE,TRUE,1),2,1)</t>
  </si>
  <si>
    <t xml:space="preserve">INDEX(_xlfn.ORG.LIBREOFFICE.FOURIER(TRANSPOSE({1,2,3;4,5,6}),FALSE,FALSE,TRUE,1),2,2)</t>
  </si>
  <si>
    <t xml:space="preserve">INDEX(_xlfn.ORG.LIBREOFFICE.FOURIER(TRANSPOSE({1,2,3;4,5,6}),FALSE,FALSE,TRUE,1),3,2)</t>
  </si>
  <si>
    <t xml:space="preserve">INDEX(_xlfn.ORG.LIBREOFFICE.FOURIER(TRANSPOSE({1,2,3;4,5,6}),FALSE,FALSE,TRUE,1),ROWS(_xlfn.ORG.LIBREOFFICE.FOURIER(TRANSPOSE({1,2,3;4,5,6}),FALSE,FALSE,TRUE,1)),1)</t>
  </si>
  <si>
    <t xml:space="preserve">INDEX(_xlfn.ORG.LIBREOFFICE.FOURIER(TRANSPOSE({1,2,3;4,5,6}),FALSE,FALSE,TRUE,1),ROWS(_xlfn.ORG.LIBREOFFICE.FOURIER(TRANSPOSE({1,2,3;4,5,6}),FALSE,FALSE,TRUE,1)),2)</t>
  </si>
  <si>
    <t xml:space="preserve">SUM(_xlfn.ORG.LIBREOFFICE.FOURIER(TRANSPOSE({1,2,3;4,5,6}),FALSE,TRUE,TRUE,5))</t>
  </si>
  <si>
    <t xml:space="preserve">INDEX(_xlfn.ORG.LIBREOFFICE.FOURIER(TRANSPOSE({1,2,3;4,5,6}),FALSE,TRUE,TRUE,5),1,1)</t>
  </si>
  <si>
    <t xml:space="preserve">INDEX(_xlfn.ORG.LIBREOFFICE.FOURIER(TRANSPOSE({1,2,3;4,5,6}),FALSE,TRUE,TRUE,5),2,1)</t>
  </si>
  <si>
    <t xml:space="preserve">INDEX(_xlfn.ORG.LIBREOFFICE.FOURIER(TRANSPOSE({1,2,3;4,5,6}),FALSE,TRUE,TRUE,5),2,2)</t>
  </si>
  <si>
    <t xml:space="preserve">INDEX(_xlfn.ORG.LIBREOFFICE.FOURIER(TRANSPOSE({1,2,3;4,5,6}),FALSE,TRUE,TRUE,5),3,2)</t>
  </si>
  <si>
    <t xml:space="preserve">INDEX(_xlfn.ORG.LIBREOFFICE.FOURIER(TRANSPOSE({1,2,3;4,5,6}),FALSE,TRUE,TRUE,5),ROWS(_xlfn.ORG.LIBREOFFICE.FOURIER(TRANSPOSE({1,2,3;4,5,6}),FALSE,TRUE,TRUE,5)),1)</t>
  </si>
  <si>
    <t xml:space="preserve">INDEX(_xlfn.ORG.LIBREOFFICE.FOURIER(TRANSPOSE({1,2,3;4,5,6}),FALSE,TRUE,TRUE,5),ROWS(_xlfn.ORG.LIBREOFFICE.FOURIER(TRANSPOSE({1,2,3;4,5,6}),FALSE,TRUE,TRUE,5)),2)</t>
  </si>
  <si>
    <t xml:space="preserve">ROWS(_xlfn.ORG.LIBREOFFICE.FOURIER({1,2,3,4},TRUE))</t>
  </si>
  <si>
    <t xml:space="preserve">COLUMNS(_xlfn.ORG.LIBREOFFICE.FOURIER({1,2,3,4},TRUE))</t>
  </si>
  <si>
    <t xml:space="preserve">SUM(_xlfn.ORG.LIBREOFFICE.FOURIER({1,2,3,4},TRUE))</t>
  </si>
  <si>
    <t xml:space="preserve">INDEX(_xlfn.ORG.LIBREOFFICE.FOURIER({1,2,3,4},TRUE),1,1)</t>
  </si>
  <si>
    <t xml:space="preserve">INDEX(_xlfn.ORG.LIBREOFFICE.FOURIER({1,2,3,4},TRUE),2,1)</t>
  </si>
  <si>
    <t xml:space="preserve">INDEX(_xlfn.ORG.LIBREOFFICE.FOURIER({1,2,3,4},TRUE),2,2)</t>
  </si>
  <si>
    <t xml:space="preserve">INDEX(_xlfn.ORG.LIBREOFFICE.FOURIER({1,2,3,4},TRUE),3,2)</t>
  </si>
  <si>
    <t xml:space="preserve">INDEX(_xlfn.ORG.LIBREOFFICE.FOURIER({1,2,3,4},TRUE),ROWS(_xlfn.ORG.LIBREOFFICE.FOURIER({1,2,3,4},TRUE)),1)</t>
  </si>
  <si>
    <t xml:space="preserve">INDEX(_xlfn.ORG.LIBREOFFICE.FOURIER({1,2,3,4},TRUE),ROWS(_xlfn.ORG.LIBREOFFICE.FOURIER({1,2,3,4},TRUE)),2)</t>
  </si>
  <si>
    <t xml:space="preserve">SUM(_xlfn.ORG.LIBREOFFICE.FOURIER({1,2,3,4},TRUE,TRUE))</t>
  </si>
  <si>
    <t xml:space="preserve">INDEX(_xlfn.ORG.LIBREOFFICE.FOURIER({1,2,3,4},TRUE,TRUE),1,1)</t>
  </si>
  <si>
    <t xml:space="preserve">INDEX(_xlfn.ORG.LIBREOFFICE.FOURIER({1,2,3,4},TRUE,TRUE),2,1)</t>
  </si>
  <si>
    <t xml:space="preserve">INDEX(_xlfn.ORG.LIBREOFFICE.FOURIER({1,2,3,4},TRUE,TRUE),2,2)</t>
  </si>
  <si>
    <t xml:space="preserve">INDEX(_xlfn.ORG.LIBREOFFICE.FOURIER({1,2,3,4},TRUE,TRUE),3,2)</t>
  </si>
  <si>
    <t xml:space="preserve">INDEX(_xlfn.ORG.LIBREOFFICE.FOURIER({1,2,3,4},TRUE,TRUE),ROWS(_xlfn.ORG.LIBREOFFICE.FOURIER({1,2,3,4},TRUE,TRUE)),1)</t>
  </si>
  <si>
    <t xml:space="preserve">INDEX(_xlfn.ORG.LIBREOFFICE.FOURIER({1,2,3,4},TRUE,TRUE),ROWS(_xlfn.ORG.LIBREOFFICE.FOURIER({1,2,3,4},TRUE,TRUE)),2)</t>
  </si>
  <si>
    <t xml:space="preserve">SUM(_xlfn.ORG.LIBREOFFICE.FOURIER({1,2,3,4},TRUE,FALSE,TRUE))</t>
  </si>
  <si>
    <t xml:space="preserve">INDEX(_xlfn.ORG.LIBREOFFICE.FOURIER({1,2,3,4},TRUE,FALSE,TRUE),1,1)</t>
  </si>
  <si>
    <t xml:space="preserve">INDEX(_xlfn.ORG.LIBREOFFICE.FOURIER({1,2,3,4},TRUE,FALSE,TRUE),2,1)</t>
  </si>
  <si>
    <t xml:space="preserve">INDEX(_xlfn.ORG.LIBREOFFICE.FOURIER({1,2,3,4},TRUE,FALSE,TRUE),2,2)</t>
  </si>
  <si>
    <t xml:space="preserve">INDEX(_xlfn.ORG.LIBREOFFICE.FOURIER({1,2,3,4},TRUE,FALSE,TRUE),3,2)</t>
  </si>
  <si>
    <t xml:space="preserve">INDEX(_xlfn.ORG.LIBREOFFICE.FOURIER({1,2,3,4},TRUE,FALSE,TRUE),ROWS(_xlfn.ORG.LIBREOFFICE.FOURIER({1,2,3,4},TRUE,FALSE,TRUE)),1)</t>
  </si>
  <si>
    <t xml:space="preserve">INDEX(_xlfn.ORG.LIBREOFFICE.FOURIER({1,2,3,4},TRUE,FALSE,TRUE),ROWS(_xlfn.ORG.LIBREOFFICE.FOURIER({1,2,3,4},TRUE,FALSE,TRUE)),2)</t>
  </si>
  <si>
    <t xml:space="preserve">SUM(_xlfn.ORG.LIBREOFFICE.FOURIER({1,2,3,4},TRUE,TRUE,TRUE))</t>
  </si>
  <si>
    <t xml:space="preserve">INDEX(_xlfn.ORG.LIBREOFFICE.FOURIER({1,2,3,4},TRUE,TRUE,TRUE),1,1)</t>
  </si>
  <si>
    <t xml:space="preserve">INDEX(_xlfn.ORG.LIBREOFFICE.FOURIER({1,2,3,4},TRUE,TRUE,TRUE),2,1)</t>
  </si>
  <si>
    <t xml:space="preserve">INDEX(_xlfn.ORG.LIBREOFFICE.FOURIER({1,2,3,4},TRUE,TRUE,TRUE),2,2)</t>
  </si>
  <si>
    <t xml:space="preserve">INDEX(_xlfn.ORG.LIBREOFFICE.FOURIER({1,2,3,4},TRUE,TRUE,TRUE),3,2)</t>
  </si>
  <si>
    <t xml:space="preserve">INDEX(_xlfn.ORG.LIBREOFFICE.FOURIER({1,2,3,4},TRUE,TRUE,TRUE),ROWS(_xlfn.ORG.LIBREOFFICE.FOURIER({1,2,3,4},TRUE,TRUE,TRUE)),1)</t>
  </si>
  <si>
    <t xml:space="preserve">INDEX(_xlfn.ORG.LIBREOFFICE.FOURIER({1,2,3,4},TRUE,TRUE,TRUE),ROWS(_xlfn.ORG.LIBREOFFICE.FOURIER({1,2,3,4},TRUE,TRUE,TRUE)),2)</t>
  </si>
  <si>
    <t xml:space="preserve">SUM(_xlfn.ORG.LIBREOFFICE.FOURIER({1,2,3,4},TRUE,FALSE,TRUE,1))</t>
  </si>
  <si>
    <t xml:space="preserve">INDEX(_xlfn.ORG.LIBREOFFICE.FOURIER({1,2,3,4},TRUE,FALSE,TRUE,1),1,1)</t>
  </si>
  <si>
    <t xml:space="preserve">INDEX(_xlfn.ORG.LIBREOFFICE.FOURIER({1,2,3,4},TRUE,FALSE,TRUE,1),2,1)</t>
  </si>
  <si>
    <t xml:space="preserve">INDEX(_xlfn.ORG.LIBREOFFICE.FOURIER({1,2,3,4},TRUE,FALSE,TRUE,1),2,2)</t>
  </si>
  <si>
    <t xml:space="preserve">INDEX(_xlfn.ORG.LIBREOFFICE.FOURIER({1,2,3,4},TRUE,FALSE,TRUE,1),3,2)</t>
  </si>
  <si>
    <t xml:space="preserve">INDEX(_xlfn.ORG.LIBREOFFICE.FOURIER({1,2,3,4},TRUE,FALSE,TRUE,1),ROWS(_xlfn.ORG.LIBREOFFICE.FOURIER({1,2,3,4},TRUE,FALSE,TRUE,1)),1)</t>
  </si>
  <si>
    <t xml:space="preserve">INDEX(_xlfn.ORG.LIBREOFFICE.FOURIER({1,2,3,4},TRUE,FALSE,TRUE,1),ROWS(_xlfn.ORG.LIBREOFFICE.FOURIER({1,2,3,4},TRUE,FALSE,TRUE,1)),2)</t>
  </si>
  <si>
    <t xml:space="preserve">SUM(_xlfn.ORG.LIBREOFFICE.FOURIER({1,2,3,4},TRUE,TRUE,TRUE,5))</t>
  </si>
  <si>
    <t xml:space="preserve">INDEX(_xlfn.ORG.LIBREOFFICE.FOURIER({1,2,3,4},TRUE,TRUE,TRUE,5),1,1)</t>
  </si>
  <si>
    <t xml:space="preserve">INDEX(_xlfn.ORG.LIBREOFFICE.FOURIER({1,2,3,4},TRUE,TRUE,TRUE,5),2,1)</t>
  </si>
  <si>
    <t xml:space="preserve">INDEX(_xlfn.ORG.LIBREOFFICE.FOURIER({1,2,3,4},TRUE,TRUE,TRUE,5),2,2)</t>
  </si>
  <si>
    <t xml:space="preserve">INDEX(_xlfn.ORG.LIBREOFFICE.FOURIER({1,2,3,4},TRUE,TRUE,TRUE,5),3,2)</t>
  </si>
  <si>
    <t xml:space="preserve">INDEX(_xlfn.ORG.LIBREOFFICE.FOURIER({1,2,3,4},TRUE,TRUE,TRUE,5),ROWS(_xlfn.ORG.LIBREOFFICE.FOURIER({1,2,3,4},TRUE,TRUE,TRUE,5)),1)</t>
  </si>
  <si>
    <t xml:space="preserve">INDEX(_xlfn.ORG.LIBREOFFICE.FOURIER({1,2,3,4},TRUE,TRUE,TRUE,5),ROWS(_xlfn.ORG.LIBREOFFICE.FOURIER({1,2,3,4},TRUE,TRUE,TRUE,5)),2)</t>
  </si>
  <si>
    <t xml:space="preserve">ROWS(_xlfn.ORG.LIBREOFFICE.FOURIER(TRANSPOSE({1,2,3,4}),FALSE))</t>
  </si>
  <si>
    <t xml:space="preserve">COLUMNS(_xlfn.ORG.LIBREOFFICE.FOURIER(TRANSPOSE({1,2,3,4}),FALSE))</t>
  </si>
  <si>
    <t xml:space="preserve">SUM(_xlfn.ORG.LIBREOFFICE.FOURIER(TRANSPOSE({1,2,3,4}),FALSE))</t>
  </si>
  <si>
    <t xml:space="preserve">INDEX(_xlfn.ORG.LIBREOFFICE.FOURIER(TRANSPOSE({1,2,3,4}),FALSE),1,1)</t>
  </si>
  <si>
    <t xml:space="preserve">INDEX(_xlfn.ORG.LIBREOFFICE.FOURIER(TRANSPOSE({1,2,3,4}),FALSE),2,1)</t>
  </si>
  <si>
    <t xml:space="preserve">INDEX(_xlfn.ORG.LIBREOFFICE.FOURIER(TRANSPOSE({1,2,3,4}),FALSE),2,2)</t>
  </si>
  <si>
    <t xml:space="preserve">INDEX(_xlfn.ORG.LIBREOFFICE.FOURIER(TRANSPOSE({1,2,3,4}),FALSE),3,2)</t>
  </si>
  <si>
    <t xml:space="preserve">INDEX(_xlfn.ORG.LIBREOFFICE.FOURIER(TRANSPOSE({1,2,3,4}),FALSE),ROWS(_xlfn.ORG.LIBREOFFICE.FOURIER(TRANSPOSE({1,2,3,4}),FALSE)),1)</t>
  </si>
  <si>
    <t xml:space="preserve">INDEX(_xlfn.ORG.LIBREOFFICE.FOURIER(TRANSPOSE({1,2,3,4}),FALSE),ROWS(_xlfn.ORG.LIBREOFFICE.FOURIER(TRANSPOSE({1,2,3,4}),FALSE)),2)</t>
  </si>
  <si>
    <t xml:space="preserve">SUM(_xlfn.ORG.LIBREOFFICE.FOURIER(TRANSPOSE({1,2,3,4}),FALSE,TRUE))</t>
  </si>
  <si>
    <t xml:space="preserve">INDEX(_xlfn.ORG.LIBREOFFICE.FOURIER(TRANSPOSE({1,2,3,4}),FALSE,TRUE),1,1)</t>
  </si>
  <si>
    <t xml:space="preserve">INDEX(_xlfn.ORG.LIBREOFFICE.FOURIER(TRANSPOSE({1,2,3,4}),FALSE,TRUE),2,1)</t>
  </si>
  <si>
    <t xml:space="preserve">INDEX(_xlfn.ORG.LIBREOFFICE.FOURIER(TRANSPOSE({1,2,3,4}),FALSE,TRUE),2,2)</t>
  </si>
  <si>
    <t xml:space="preserve">INDEX(_xlfn.ORG.LIBREOFFICE.FOURIER(TRANSPOSE({1,2,3,4}),FALSE,TRUE),3,2)</t>
  </si>
  <si>
    <t xml:space="preserve">INDEX(_xlfn.ORG.LIBREOFFICE.FOURIER(TRANSPOSE({1,2,3,4}),FALSE,TRUE),ROWS(_xlfn.ORG.LIBREOFFICE.FOURIER(TRANSPOSE({1,2,3,4}),FALSE,TRUE)),1)</t>
  </si>
  <si>
    <t xml:space="preserve">INDEX(_xlfn.ORG.LIBREOFFICE.FOURIER(TRANSPOSE({1,2,3,4}),FALSE,TRUE),ROWS(_xlfn.ORG.LIBREOFFICE.FOURIER(TRANSPOSE({1,2,3,4}),FALSE,TRUE)),2)</t>
  </si>
  <si>
    <t xml:space="preserve">SUM(_xlfn.ORG.LIBREOFFICE.FOURIER(TRANSPOSE({1,2,3,4}),FALSE,FALSE,TRUE))</t>
  </si>
  <si>
    <t xml:space="preserve">INDEX(_xlfn.ORG.LIBREOFFICE.FOURIER(TRANSPOSE({1,2,3,4}),FALSE,FALSE,TRUE),1,1)</t>
  </si>
  <si>
    <t xml:space="preserve">INDEX(_xlfn.ORG.LIBREOFFICE.FOURIER(TRANSPOSE({1,2,3,4}),FALSE,FALSE,TRUE),2,1)</t>
  </si>
  <si>
    <t xml:space="preserve">INDEX(_xlfn.ORG.LIBREOFFICE.FOURIER(TRANSPOSE({1,2,3,4}),FALSE,FALSE,TRUE),2,2)</t>
  </si>
  <si>
    <t xml:space="preserve">INDEX(_xlfn.ORG.LIBREOFFICE.FOURIER(TRANSPOSE({1,2,3,4}),FALSE,FALSE,TRUE),3,2)</t>
  </si>
  <si>
    <t xml:space="preserve">INDEX(_xlfn.ORG.LIBREOFFICE.FOURIER(TRANSPOSE({1,2,3,4}),FALSE,FALSE,TRUE),ROWS(_xlfn.ORG.LIBREOFFICE.FOURIER(TRANSPOSE({1,2,3,4}),FALSE,FALSE,TRUE)),1)</t>
  </si>
  <si>
    <t xml:space="preserve">INDEX(_xlfn.ORG.LIBREOFFICE.FOURIER(TRANSPOSE({1,2,3,4}),FALSE,FALSE,TRUE),ROWS(_xlfn.ORG.LIBREOFFICE.FOURIER(TRANSPOSE({1,2,3,4}),FALSE,FALSE,TRUE)),2)</t>
  </si>
  <si>
    <t xml:space="preserve">SUM(_xlfn.ORG.LIBREOFFICE.FOURIER(TRANSPOSE({1,2,3,4}),FALSE,TRUE,TRUE))</t>
  </si>
  <si>
    <t xml:space="preserve">INDEX(_xlfn.ORG.LIBREOFFICE.FOURIER(TRANSPOSE({1,2,3,4}),FALSE,TRUE,TRUE),1,1)</t>
  </si>
  <si>
    <t xml:space="preserve">INDEX(_xlfn.ORG.LIBREOFFICE.FOURIER(TRANSPOSE({1,2,3,4}),FALSE,TRUE,TRUE),2,1)</t>
  </si>
  <si>
    <t xml:space="preserve">INDEX(_xlfn.ORG.LIBREOFFICE.FOURIER(TRANSPOSE({1,2,3,4}),FALSE,TRUE,TRUE),2,2)</t>
  </si>
  <si>
    <t xml:space="preserve">INDEX(_xlfn.ORG.LIBREOFFICE.FOURIER(TRANSPOSE({1,2,3,4}),FALSE,TRUE,TRUE),3,2)</t>
  </si>
  <si>
    <t xml:space="preserve">INDEX(_xlfn.ORG.LIBREOFFICE.FOURIER(TRANSPOSE({1,2,3,4}),FALSE,TRUE,TRUE),ROWS(_xlfn.ORG.LIBREOFFICE.FOURIER(TRANSPOSE({1,2,3,4}),FALSE,TRUE,TRUE)),1)</t>
  </si>
  <si>
    <t xml:space="preserve">INDEX(_xlfn.ORG.LIBREOFFICE.FOURIER(TRANSPOSE({1,2,3,4}),FALSE,TRUE,TRUE),ROWS(_xlfn.ORG.LIBREOFFICE.FOURIER(TRANSPOSE({1,2,3,4}),FALSE,TRUE,TRUE)),2)</t>
  </si>
  <si>
    <t xml:space="preserve">SUM(_xlfn.ORG.LIBREOFFICE.FOURIER(TRANSPOSE({1,2,3,4}),FALSE,FALSE,TRUE,1))</t>
  </si>
  <si>
    <t xml:space="preserve">INDEX(_xlfn.ORG.LIBREOFFICE.FOURIER(TRANSPOSE({1,2,3,4}),FALSE,FALSE,TRUE,1),1,1)</t>
  </si>
  <si>
    <t xml:space="preserve">INDEX(_xlfn.ORG.LIBREOFFICE.FOURIER(TRANSPOSE({1,2,3,4}),FALSE,FALSE,TRUE,1),2,1)</t>
  </si>
  <si>
    <t xml:space="preserve">INDEX(_xlfn.ORG.LIBREOFFICE.FOURIER(TRANSPOSE({1,2,3,4}),FALSE,FALSE,TRUE,1),2,2)</t>
  </si>
  <si>
    <t xml:space="preserve">INDEX(_xlfn.ORG.LIBREOFFICE.FOURIER(TRANSPOSE({1,2,3,4}),FALSE,FALSE,TRUE,1),3,2)</t>
  </si>
  <si>
    <t xml:space="preserve">INDEX(_xlfn.ORG.LIBREOFFICE.FOURIER(TRANSPOSE({1,2,3,4}),FALSE,FALSE,TRUE,1),ROWS(_xlfn.ORG.LIBREOFFICE.FOURIER(TRANSPOSE({1,2,3,4}),FALSE,FALSE,TRUE,1)),1)</t>
  </si>
  <si>
    <t xml:space="preserve">INDEX(_xlfn.ORG.LIBREOFFICE.FOURIER(TRANSPOSE({1,2,3,4}),FALSE,FALSE,TRUE,1),ROWS(_xlfn.ORG.LIBREOFFICE.FOURIER(TRANSPOSE({1,2,3,4}),FALSE,FALSE,TRUE,1)),2)</t>
  </si>
  <si>
    <t xml:space="preserve">SUM(_xlfn.ORG.LIBREOFFICE.FOURIER(TRANSPOSE({1,2,3,4}),FALSE,TRUE,TRUE,5))</t>
  </si>
  <si>
    <t xml:space="preserve">INDEX(_xlfn.ORG.LIBREOFFICE.FOURIER(TRANSPOSE({1,2,3,4}),FALSE,TRUE,TRUE,5),1,1)</t>
  </si>
  <si>
    <t xml:space="preserve">INDEX(_xlfn.ORG.LIBREOFFICE.FOURIER(TRANSPOSE({1,2,3,4}),FALSE,TRUE,TRUE,5),2,1)</t>
  </si>
  <si>
    <t xml:space="preserve">INDEX(_xlfn.ORG.LIBREOFFICE.FOURIER(TRANSPOSE({1,2,3,4}),FALSE,TRUE,TRUE,5),2,2)</t>
  </si>
  <si>
    <t xml:space="preserve">INDEX(_xlfn.ORG.LIBREOFFICE.FOURIER(TRANSPOSE({1,2,3,4}),FALSE,TRUE,TRUE,5),3,2)</t>
  </si>
  <si>
    <t xml:space="preserve">INDEX(_xlfn.ORG.LIBREOFFICE.FOURIER(TRANSPOSE({1,2,3,4}),FALSE,TRUE,TRUE,5),ROWS(_xlfn.ORG.LIBREOFFICE.FOURIER(TRANSPOSE({1,2,3,4}),FALSE,TRUE,TRUE,5)),1)</t>
  </si>
  <si>
    <t xml:space="preserve">INDEX(_xlfn.ORG.LIBREOFFICE.FOURIER(TRANSPOSE({1,2,3,4}),FALSE,TRUE,TRUE,5),ROWS(_xlfn.ORG.LIBREOFFICE.FOURIER(TRANSPOSE({1,2,3,4}),FALSE,TRUE,TRUE,5)),2)</t>
  </si>
  <si>
    <t xml:space="preserve">ROWS(_xlfn.ORG.LIBREOFFICE.FOURIER({1,2,3,4,5,6,7,8},TRUE))</t>
  </si>
  <si>
    <t xml:space="preserve">COLUMNS(_xlfn.ORG.LIBREOFFICE.FOURIER({1,2,3,4,5,6,7,8},TRUE))</t>
  </si>
  <si>
    <t xml:space="preserve">SUM(_xlfn.ORG.LIBREOFFICE.FOURIER({1,2,3,4,5,6,7,8},TRUE))</t>
  </si>
  <si>
    <t xml:space="preserve">INDEX(_xlfn.ORG.LIBREOFFICE.FOURIER({1,2,3,4,5,6,7,8},TRUE),1,1)</t>
  </si>
  <si>
    <t xml:space="preserve">INDEX(_xlfn.ORG.LIBREOFFICE.FOURIER({1,2,3,4,5,6,7,8},TRUE),2,1)</t>
  </si>
  <si>
    <t xml:space="preserve">INDEX(_xlfn.ORG.LIBREOFFICE.FOURIER({1,2,3,4,5,6,7,8},TRUE),2,2)</t>
  </si>
  <si>
    <t xml:space="preserve">INDEX(_xlfn.ORG.LIBREOFFICE.FOURIER({1,2,3,4,5,6,7,8},TRUE),3,2)</t>
  </si>
  <si>
    <t xml:space="preserve">INDEX(_xlfn.ORG.LIBREOFFICE.FOURIER({1,2,3,4,5,6,7,8},TRUE),ROWS(_xlfn.ORG.LIBREOFFICE.FOURIER({1,2,3,4,5,6,7,8},TRUE)),1)</t>
  </si>
  <si>
    <t xml:space="preserve">INDEX(_xlfn.ORG.LIBREOFFICE.FOURIER({1,2,3,4,5,6,7,8},TRUE),ROWS(_xlfn.ORG.LIBREOFFICE.FOURIER({1,2,3,4,5,6,7,8},TRUE)),2)</t>
  </si>
  <si>
    <t xml:space="preserve">SUM(_xlfn.ORG.LIBREOFFICE.FOURIER({1,2,3,4,5,6,7,8},TRUE,TRUE))</t>
  </si>
  <si>
    <t xml:space="preserve">INDEX(_xlfn.ORG.LIBREOFFICE.FOURIER({1,2,3,4,5,6,7,8},TRUE,TRUE),1,1)</t>
  </si>
  <si>
    <t xml:space="preserve">INDEX(_xlfn.ORG.LIBREOFFICE.FOURIER({1,2,3,4,5,6,7,8},TRUE,TRUE),2,1)</t>
  </si>
  <si>
    <t xml:space="preserve">INDEX(_xlfn.ORG.LIBREOFFICE.FOURIER({1,2,3,4,5,6,7,8},TRUE,TRUE),2,2)</t>
  </si>
  <si>
    <t xml:space="preserve">INDEX(_xlfn.ORG.LIBREOFFICE.FOURIER({1,2,3,4,5,6,7,8},TRUE,TRUE),3,2)</t>
  </si>
  <si>
    <t xml:space="preserve">INDEX(_xlfn.ORG.LIBREOFFICE.FOURIER({1,2,3,4,5,6,7,8},TRUE,TRUE),ROWS(_xlfn.ORG.LIBREOFFICE.FOURIER({1,2,3,4,5,6,7,8},TRUE,TRUE)),1)</t>
  </si>
  <si>
    <t xml:space="preserve">INDEX(_xlfn.ORG.LIBREOFFICE.FOURIER({1,2,3,4,5,6,7,8},TRUE,TRUE),ROWS(_xlfn.ORG.LIBREOFFICE.FOURIER({1,2,3,4,5,6,7,8},TRUE,TRUE)),2)</t>
  </si>
  <si>
    <t xml:space="preserve">SUM(_xlfn.ORG.LIBREOFFICE.FOURIER({1,2,3,4,5,6,7,8},TRUE,FALSE,TRUE))</t>
  </si>
  <si>
    <t xml:space="preserve">INDEX(_xlfn.ORG.LIBREOFFICE.FOURIER({1,2,3,4,5,6,7,8},TRUE,FALSE,TRUE),1,1)</t>
  </si>
  <si>
    <t xml:space="preserve">INDEX(_xlfn.ORG.LIBREOFFICE.FOURIER({1,2,3,4,5,6,7,8},TRUE,FALSE,TRUE),2,1)</t>
  </si>
  <si>
    <t xml:space="preserve">INDEX(_xlfn.ORG.LIBREOFFICE.FOURIER({1,2,3,4,5,6,7,8},TRUE,FALSE,TRUE),2,2)</t>
  </si>
  <si>
    <t xml:space="preserve">INDEX(_xlfn.ORG.LIBREOFFICE.FOURIER({1,2,3,4,5,6,7,8},TRUE,FALSE,TRUE),3,2)</t>
  </si>
  <si>
    <t xml:space="preserve">INDEX(_xlfn.ORG.LIBREOFFICE.FOURIER({1,2,3,4,5,6,7,8},TRUE,FALSE,TRUE),ROWS(_xlfn.ORG.LIBREOFFICE.FOURIER({1,2,3,4,5,6,7,8},TRUE,FALSE,TRUE)),1)</t>
  </si>
  <si>
    <t xml:space="preserve">INDEX(_xlfn.ORG.LIBREOFFICE.FOURIER({1,2,3,4,5,6,7,8},TRUE,FALSE,TRUE),ROWS(_xlfn.ORG.LIBREOFFICE.FOURIER({1,2,3,4,5,6,7,8},TRUE,FALSE,TRUE)),2)</t>
  </si>
  <si>
    <t xml:space="preserve">SUM(_xlfn.ORG.LIBREOFFICE.FOURIER({1,2,3,4,5,6,7,8},TRUE,TRUE,TRUE))</t>
  </si>
  <si>
    <t xml:space="preserve">INDEX(_xlfn.ORG.LIBREOFFICE.FOURIER({1,2,3,4,5,6,7,8},TRUE,TRUE,TRUE),1,1)</t>
  </si>
  <si>
    <t xml:space="preserve">INDEX(_xlfn.ORG.LIBREOFFICE.FOURIER({1,2,3,4,5,6,7,8},TRUE,TRUE,TRUE),2,1)</t>
  </si>
  <si>
    <t xml:space="preserve">INDEX(_xlfn.ORG.LIBREOFFICE.FOURIER({1,2,3,4,5,6,7,8},TRUE,TRUE,TRUE),2,2)</t>
  </si>
  <si>
    <t xml:space="preserve">INDEX(_xlfn.ORG.LIBREOFFICE.FOURIER({1,2,3,4,5,6,7,8},TRUE,TRUE,TRUE),3,2)</t>
  </si>
  <si>
    <t xml:space="preserve">INDEX(_xlfn.ORG.LIBREOFFICE.FOURIER({1,2,3,4,5,6,7,8},TRUE,TRUE,TRUE),ROWS(_xlfn.ORG.LIBREOFFICE.FOURIER({1,2,3,4,5,6,7,8},TRUE,TRUE,TRUE)),1)</t>
  </si>
  <si>
    <t xml:space="preserve">INDEX(_xlfn.ORG.LIBREOFFICE.FOURIER({1,2,3,4,5,6,7,8},TRUE,TRUE,TRUE),ROWS(_xlfn.ORG.LIBREOFFICE.FOURIER({1,2,3,4,5,6,7,8},TRUE,TRUE,TRUE)),2)</t>
  </si>
  <si>
    <t xml:space="preserve">SUM(_xlfn.ORG.LIBREOFFICE.FOURIER({1,2,3,4,5,6,7,8},TRUE,FALSE,TRUE,1))</t>
  </si>
  <si>
    <t xml:space="preserve">INDEX(_xlfn.ORG.LIBREOFFICE.FOURIER({1,2,3,4,5,6,7,8},TRUE,FALSE,TRUE,1),1,1)</t>
  </si>
  <si>
    <t xml:space="preserve">INDEX(_xlfn.ORG.LIBREOFFICE.FOURIER({1,2,3,4,5,6,7,8},TRUE,FALSE,TRUE,1),2,1)</t>
  </si>
  <si>
    <t xml:space="preserve">INDEX(_xlfn.ORG.LIBREOFFICE.FOURIER({1,2,3,4,5,6,7,8},TRUE,FALSE,TRUE,1),2,2)</t>
  </si>
  <si>
    <t xml:space="preserve">INDEX(_xlfn.ORG.LIBREOFFICE.FOURIER({1,2,3,4,5,6,7,8},TRUE,FALSE,TRUE,1),3,2)</t>
  </si>
  <si>
    <t xml:space="preserve">INDEX(_xlfn.ORG.LIBREOFFICE.FOURIER({1,2,3,4,5,6,7,8},TRUE,FALSE,TRUE,1),ROWS(_xlfn.ORG.LIBREOFFICE.FOURIER({1,2,3,4,5,6,7,8},TRUE,FALSE,TRUE,1)),1)</t>
  </si>
  <si>
    <t xml:space="preserve">INDEX(_xlfn.ORG.LIBREOFFICE.FOURIER({1,2,3,4,5,6,7,8},TRUE,FALSE,TRUE,1),ROWS(_xlfn.ORG.LIBREOFFICE.FOURIER({1,2,3,4,5,6,7,8},TRUE,FALSE,TRUE,1)),2)</t>
  </si>
  <si>
    <t xml:space="preserve">SUM(_xlfn.ORG.LIBREOFFICE.FOURIER({1,2,3,4,5,6,7,8},TRUE,TRUE,TRUE,5))</t>
  </si>
  <si>
    <t xml:space="preserve">INDEX(_xlfn.ORG.LIBREOFFICE.FOURIER({1,2,3,4,5,6,7,8},TRUE,TRUE,TRUE,5),1,1)</t>
  </si>
  <si>
    <t xml:space="preserve">INDEX(_xlfn.ORG.LIBREOFFICE.FOURIER({1,2,3,4,5,6,7,8},TRUE,TRUE,TRUE,5),2,1)</t>
  </si>
  <si>
    <t xml:space="preserve">INDEX(_xlfn.ORG.LIBREOFFICE.FOURIER({1,2,3,4,5,6,7,8},TRUE,TRUE,TRUE,5),2,2)</t>
  </si>
  <si>
    <t xml:space="preserve">INDEX(_xlfn.ORG.LIBREOFFICE.FOURIER({1,2,3,4,5,6,7,8},TRUE,TRUE,TRUE,5),3,2)</t>
  </si>
  <si>
    <t xml:space="preserve">INDEX(_xlfn.ORG.LIBREOFFICE.FOURIER({1,2,3,4,5,6,7,8},TRUE,TRUE,TRUE,5),ROWS(_xlfn.ORG.LIBREOFFICE.FOURIER({1,2,3,4,5,6,7,8},TRUE,TRUE,TRUE,5)),1)</t>
  </si>
  <si>
    <t xml:space="preserve">INDEX(_xlfn.ORG.LIBREOFFICE.FOURIER({1,2,3,4,5,6,7,8},TRUE,TRUE,TRUE,5),ROWS(_xlfn.ORG.LIBREOFFICE.FOURIER({1,2,3,4,5,6,7,8},TRUE,TRUE,TRUE,5)),2)</t>
  </si>
  <si>
    <t xml:space="preserve">ROWS(_xlfn.ORG.LIBREOFFICE.FOURIER(TRANSPOSE({1,2,3,4,5,6,7,8}),FALSE))</t>
  </si>
  <si>
    <t xml:space="preserve">COLUMNS(_xlfn.ORG.LIBREOFFICE.FOURIER(TRANSPOSE({1,2,3,4,5,6,7,8}),FALSE))</t>
  </si>
  <si>
    <t xml:space="preserve">SUM(_xlfn.ORG.LIBREOFFICE.FOURIER(TRANSPOSE({1,2,3,4,5,6,7,8}),FALSE))</t>
  </si>
  <si>
    <t xml:space="preserve">INDEX(_xlfn.ORG.LIBREOFFICE.FOURIER(TRANSPOSE({1,2,3,4,5,6,7,8}),FALSE),1,1)</t>
  </si>
  <si>
    <t xml:space="preserve">INDEX(_xlfn.ORG.LIBREOFFICE.FOURIER(TRANSPOSE({1,2,3,4,5,6,7,8}),FALSE),2,1)</t>
  </si>
  <si>
    <t xml:space="preserve">INDEX(_xlfn.ORG.LIBREOFFICE.FOURIER(TRANSPOSE({1,2,3,4,5,6,7,8}),FALSE),2,2)</t>
  </si>
  <si>
    <t xml:space="preserve">INDEX(_xlfn.ORG.LIBREOFFICE.FOURIER(TRANSPOSE({1,2,3,4,5,6,7,8}),FALSE),3,2)</t>
  </si>
  <si>
    <t xml:space="preserve">INDEX(_xlfn.ORG.LIBREOFFICE.FOURIER(TRANSPOSE({1,2,3,4,5,6,7,8}),FALSE),ROWS(_xlfn.ORG.LIBREOFFICE.FOURIER(TRANSPOSE({1,2,3,4,5,6,7,8}),FALSE)),1)</t>
  </si>
  <si>
    <t xml:space="preserve">INDEX(_xlfn.ORG.LIBREOFFICE.FOURIER(TRANSPOSE({1,2,3,4,5,6,7,8}),FALSE),ROWS(_xlfn.ORG.LIBREOFFICE.FOURIER(TRANSPOSE({1,2,3,4,5,6,7,8}),FALSE)),2)</t>
  </si>
  <si>
    <t xml:space="preserve">SUM(_xlfn.ORG.LIBREOFFICE.FOURIER(TRANSPOSE({1,2,3,4,5,6,7,8}),FALSE,TRUE))</t>
  </si>
  <si>
    <t xml:space="preserve">INDEX(_xlfn.ORG.LIBREOFFICE.FOURIER(TRANSPOSE({1,2,3,4,5,6,7,8}),FALSE,TRUE),1,1)</t>
  </si>
  <si>
    <t xml:space="preserve">INDEX(_xlfn.ORG.LIBREOFFICE.FOURIER(TRANSPOSE({1,2,3,4,5,6,7,8}),FALSE,TRUE),2,1)</t>
  </si>
  <si>
    <t xml:space="preserve">INDEX(_xlfn.ORG.LIBREOFFICE.FOURIER(TRANSPOSE({1,2,3,4,5,6,7,8}),FALSE,TRUE),2,2)</t>
  </si>
  <si>
    <t xml:space="preserve">INDEX(_xlfn.ORG.LIBREOFFICE.FOURIER(TRANSPOSE({1,2,3,4,5,6,7,8}),FALSE,TRUE),3,2)</t>
  </si>
  <si>
    <t xml:space="preserve">INDEX(_xlfn.ORG.LIBREOFFICE.FOURIER(TRANSPOSE({1,2,3,4,5,6,7,8}),FALSE,TRUE),ROWS(_xlfn.ORG.LIBREOFFICE.FOURIER(TRANSPOSE({1,2,3,4,5,6,7,8}),FALSE,TRUE)),1)</t>
  </si>
  <si>
    <t xml:space="preserve">INDEX(_xlfn.ORG.LIBREOFFICE.FOURIER(TRANSPOSE({1,2,3,4,5,6,7,8}),FALSE,TRUE),ROWS(_xlfn.ORG.LIBREOFFICE.FOURIER(TRANSPOSE({1,2,3,4,5,6,7,8}),FALSE,TRUE)),2)</t>
  </si>
  <si>
    <t xml:space="preserve">SUM(_xlfn.ORG.LIBREOFFICE.FOURIER(TRANSPOSE({1,2,3,4,5,6,7,8}),FALSE,FALSE,TRUE))</t>
  </si>
  <si>
    <t xml:space="preserve">INDEX(_xlfn.ORG.LIBREOFFICE.FOURIER(TRANSPOSE({1,2,3,4,5,6,7,8}),FALSE,FALSE,TRUE),1,1)</t>
  </si>
  <si>
    <t xml:space="preserve">INDEX(_xlfn.ORG.LIBREOFFICE.FOURIER(TRANSPOSE({1,2,3,4,5,6,7,8}),FALSE,FALSE,TRUE),2,1)</t>
  </si>
  <si>
    <t xml:space="preserve">INDEX(_xlfn.ORG.LIBREOFFICE.FOURIER(TRANSPOSE({1,2,3,4,5,6,7,8}),FALSE,FALSE,TRUE),2,2)</t>
  </si>
  <si>
    <t xml:space="preserve">INDEX(_xlfn.ORG.LIBREOFFICE.FOURIER(TRANSPOSE({1,2,3,4,5,6,7,8}),FALSE,FALSE,TRUE),3,2)</t>
  </si>
  <si>
    <t xml:space="preserve">INDEX(_xlfn.ORG.LIBREOFFICE.FOURIER(TRANSPOSE({1,2,3,4,5,6,7,8}),FALSE,FALSE,TRUE),ROWS(_xlfn.ORG.LIBREOFFICE.FOURIER(TRANSPOSE({1,2,3,4,5,6,7,8}),FALSE,FALSE,TRUE)),1)</t>
  </si>
  <si>
    <t xml:space="preserve">INDEX(_xlfn.ORG.LIBREOFFICE.FOURIER(TRANSPOSE({1,2,3,4,5,6,7,8}),FALSE,FALSE,TRUE),ROWS(_xlfn.ORG.LIBREOFFICE.FOURIER(TRANSPOSE({1,2,3,4,5,6,7,8}),FALSE,FALSE,TRUE)),2)</t>
  </si>
  <si>
    <t xml:space="preserve">SUM(_xlfn.ORG.LIBREOFFICE.FOURIER(TRANSPOSE({1,2,3,4,5,6,7,8}),FALSE,TRUE,TRUE))</t>
  </si>
  <si>
    <t xml:space="preserve">INDEX(_xlfn.ORG.LIBREOFFICE.FOURIER(TRANSPOSE({1,2,3,4,5,6,7,8}),FALSE,TRUE,TRUE),1,1)</t>
  </si>
  <si>
    <t xml:space="preserve">INDEX(_xlfn.ORG.LIBREOFFICE.FOURIER(TRANSPOSE({1,2,3,4,5,6,7,8}),FALSE,TRUE,TRUE),2,1)</t>
  </si>
  <si>
    <t xml:space="preserve">INDEX(_xlfn.ORG.LIBREOFFICE.FOURIER(TRANSPOSE({1,2,3,4,5,6,7,8}),FALSE,TRUE,TRUE),2,2)</t>
  </si>
  <si>
    <t xml:space="preserve">INDEX(_xlfn.ORG.LIBREOFFICE.FOURIER(TRANSPOSE({1,2,3,4,5,6,7,8}),FALSE,TRUE,TRUE),3,2)</t>
  </si>
  <si>
    <t xml:space="preserve">INDEX(_xlfn.ORG.LIBREOFFICE.FOURIER(TRANSPOSE({1,2,3,4,5,6,7,8}),FALSE,TRUE,TRUE),ROWS(_xlfn.ORG.LIBREOFFICE.FOURIER(TRANSPOSE({1,2,3,4,5,6,7,8}),FALSE,TRUE,TRUE)),1)</t>
  </si>
  <si>
    <t xml:space="preserve">INDEX(_xlfn.ORG.LIBREOFFICE.FOURIER(TRANSPOSE({1,2,3,4,5,6,7,8}),FALSE,TRUE,TRUE),ROWS(_xlfn.ORG.LIBREOFFICE.FOURIER(TRANSPOSE({1,2,3,4,5,6,7,8}),FALSE,TRUE,TRUE)),2)</t>
  </si>
  <si>
    <t xml:space="preserve">SUM(_xlfn.ORG.LIBREOFFICE.FOURIER(TRANSPOSE({1,2,3,4,5,6,7,8}),FALSE,FALSE,TRUE,1))</t>
  </si>
  <si>
    <t xml:space="preserve">INDEX(_xlfn.ORG.LIBREOFFICE.FOURIER(TRANSPOSE({1,2,3,4,5,6,7,8}),FALSE,FALSE,TRUE,1),1,1)</t>
  </si>
  <si>
    <t xml:space="preserve">INDEX(_xlfn.ORG.LIBREOFFICE.FOURIER(TRANSPOSE({1,2,3,4,5,6,7,8}),FALSE,FALSE,TRUE,1),2,1)</t>
  </si>
  <si>
    <t xml:space="preserve">INDEX(_xlfn.ORG.LIBREOFFICE.FOURIER(TRANSPOSE({1,2,3,4,5,6,7,8}),FALSE,FALSE,TRUE,1),2,2)</t>
  </si>
  <si>
    <t xml:space="preserve">INDEX(_xlfn.ORG.LIBREOFFICE.FOURIER(TRANSPOSE({1,2,3,4,5,6,7,8}),FALSE,FALSE,TRUE,1),3,2)</t>
  </si>
  <si>
    <t xml:space="preserve">INDEX(_xlfn.ORG.LIBREOFFICE.FOURIER(TRANSPOSE({1,2,3,4,5,6,7,8}),FALSE,FALSE,TRUE,1),ROWS(_xlfn.ORG.LIBREOFFICE.FOURIER(TRANSPOSE({1,2,3,4,5,6,7,8}),FALSE,FALSE,TRUE,1)),1)</t>
  </si>
  <si>
    <t xml:space="preserve">INDEX(_xlfn.ORG.LIBREOFFICE.FOURIER(TRANSPOSE({1,2,3,4,5,6,7,8}),FALSE,FALSE,TRUE,1),ROWS(_xlfn.ORG.LIBREOFFICE.FOURIER(TRANSPOSE({1,2,3,4,5,6,7,8}),FALSE,FALSE,TRUE,1)),2)</t>
  </si>
  <si>
    <t xml:space="preserve">SUM(_xlfn.ORG.LIBREOFFICE.FOURIER(TRANSPOSE({1,2,3,4,5,6,7,8}),FALSE,TRUE,TRUE,5))</t>
  </si>
  <si>
    <t xml:space="preserve">INDEX(_xlfn.ORG.LIBREOFFICE.FOURIER(TRANSPOSE({1,2,3,4,5,6,7,8}),FALSE,TRUE,TRUE,5),1,1)</t>
  </si>
  <si>
    <t xml:space="preserve">INDEX(_xlfn.ORG.LIBREOFFICE.FOURIER(TRANSPOSE({1,2,3,4,5,6,7,8}),FALSE,TRUE,TRUE,5),2,1)</t>
  </si>
  <si>
    <t xml:space="preserve">INDEX(_xlfn.ORG.LIBREOFFICE.FOURIER(TRANSPOSE({1,2,3,4,5,6,7,8}),FALSE,TRUE,TRUE,5),2,2)</t>
  </si>
  <si>
    <t xml:space="preserve">INDEX(_xlfn.ORG.LIBREOFFICE.FOURIER(TRANSPOSE({1,2,3,4,5,6,7,8}),FALSE,TRUE,TRUE,5),3,2)</t>
  </si>
  <si>
    <t xml:space="preserve">INDEX(_xlfn.ORG.LIBREOFFICE.FOURIER(TRANSPOSE({1,2,3,4,5,6,7,8}),FALSE,TRUE,TRUE,5),ROWS(_xlfn.ORG.LIBREOFFICE.FOURIER(TRANSPOSE({1,2,3,4,5,6,7,8}),FALSE,TRUE,TRUE,5)),1)</t>
  </si>
  <si>
    <t xml:space="preserve">INDEX(_xlfn.ORG.LIBREOFFICE.FOURIER(TRANSPOSE({1,2,3,4,5,6,7,8}),FALSE,TRUE,TRUE,5),ROWS(_xlfn.ORG.LIBREOFFICE.FOURIER(TRANSPOSE({1,2,3,4,5,6,7,8}),FALSE,TRUE,TRUE,5)),2)</t>
  </si>
  <si>
    <t xml:space="preserve">ROWS(_xlfn.ORG.LIBREOFFICE.FOURIER({1,2,3,4,5,6},TRUE))</t>
  </si>
  <si>
    <t xml:space="preserve">COLUMNS(_xlfn.ORG.LIBREOFFICE.FOURIER({1,2,3,4,5,6},TRUE))</t>
  </si>
  <si>
    <t xml:space="preserve">SUM(_xlfn.ORG.LIBREOFFICE.FOURIER({1,2,3,4,5,6},TRUE))</t>
  </si>
  <si>
    <t xml:space="preserve">INDEX(_xlfn.ORG.LIBREOFFICE.FOURIER({1,2,3,4,5,6},TRUE),1,1)</t>
  </si>
  <si>
    <t xml:space="preserve">INDEX(_xlfn.ORG.LIBREOFFICE.FOURIER({1,2,3,4,5,6},TRUE),2,1)</t>
  </si>
  <si>
    <t xml:space="preserve">INDEX(_xlfn.ORG.LIBREOFFICE.FOURIER({1,2,3,4,5,6},TRUE),2,2)</t>
  </si>
  <si>
    <t xml:space="preserve">INDEX(_xlfn.ORG.LIBREOFFICE.FOURIER({1,2,3,4,5,6},TRUE),3,2)</t>
  </si>
  <si>
    <t xml:space="preserve">INDEX(_xlfn.ORG.LIBREOFFICE.FOURIER({1,2,3,4,5,6},TRUE),ROWS(_xlfn.ORG.LIBREOFFICE.FOURIER({1,2,3,4,5,6},TRUE)),1)</t>
  </si>
  <si>
    <t xml:space="preserve">INDEX(_xlfn.ORG.LIBREOFFICE.FOURIER({1,2,3,4,5,6},TRUE),ROWS(_xlfn.ORG.LIBREOFFICE.FOURIER({1,2,3,4,5,6},TRUE)),2)</t>
  </si>
  <si>
    <t xml:space="preserve">SUM(_xlfn.ORG.LIBREOFFICE.FOURIER({1,2,3,4,5,6},TRUE,TRUE))</t>
  </si>
  <si>
    <t xml:space="preserve">INDEX(_xlfn.ORG.LIBREOFFICE.FOURIER({1,2,3,4,5,6},TRUE,TRUE),1,1)</t>
  </si>
  <si>
    <t xml:space="preserve">INDEX(_xlfn.ORG.LIBREOFFICE.FOURIER({1,2,3,4,5,6},TRUE,TRUE),2,1)</t>
  </si>
  <si>
    <t xml:space="preserve">INDEX(_xlfn.ORG.LIBREOFFICE.FOURIER({1,2,3,4,5,6},TRUE,TRUE),2,2)</t>
  </si>
  <si>
    <t xml:space="preserve">INDEX(_xlfn.ORG.LIBREOFFICE.FOURIER({1,2,3,4,5,6},TRUE,TRUE),3,2)</t>
  </si>
  <si>
    <t xml:space="preserve">INDEX(_xlfn.ORG.LIBREOFFICE.FOURIER({1,2,3,4,5,6},TRUE,TRUE),ROWS(_xlfn.ORG.LIBREOFFICE.FOURIER({1,2,3,4,5,6},TRUE,TRUE)),1)</t>
  </si>
  <si>
    <t xml:space="preserve">INDEX(_xlfn.ORG.LIBREOFFICE.FOURIER({1,2,3,4,5,6},TRUE,TRUE),ROWS(_xlfn.ORG.LIBREOFFICE.FOURIER({1,2,3,4,5,6},TRUE,TRUE)),2)</t>
  </si>
  <si>
    <t xml:space="preserve">SUM(_xlfn.ORG.LIBREOFFICE.FOURIER({1,2,3,4,5,6},TRUE,FALSE,TRUE))</t>
  </si>
  <si>
    <t xml:space="preserve">INDEX(_xlfn.ORG.LIBREOFFICE.FOURIER({1,2,3,4,5,6},TRUE,FALSE,TRUE),1,1)</t>
  </si>
  <si>
    <t xml:space="preserve">INDEX(_xlfn.ORG.LIBREOFFICE.FOURIER({1,2,3,4,5,6},TRUE,FALSE,TRUE),2,1)</t>
  </si>
  <si>
    <t xml:space="preserve">INDEX(_xlfn.ORG.LIBREOFFICE.FOURIER({1,2,3,4,5,6},TRUE,FALSE,TRUE),2,2)</t>
  </si>
  <si>
    <t xml:space="preserve">INDEX(_xlfn.ORG.LIBREOFFICE.FOURIER({1,2,3,4,5,6},TRUE,FALSE,TRUE),3,2)</t>
  </si>
  <si>
    <t xml:space="preserve">INDEX(_xlfn.ORG.LIBREOFFICE.FOURIER({1,2,3,4,5,6},TRUE,FALSE,TRUE),ROWS(_xlfn.ORG.LIBREOFFICE.FOURIER({1,2,3,4,5,6},TRUE,FALSE,TRUE)),1)</t>
  </si>
  <si>
    <t xml:space="preserve">INDEX(_xlfn.ORG.LIBREOFFICE.FOURIER({1,2,3,4,5,6},TRUE,FALSE,TRUE),ROWS(_xlfn.ORG.LIBREOFFICE.FOURIER({1,2,3,4,5,6},TRUE,FALSE,TRUE)),2)</t>
  </si>
  <si>
    <t xml:space="preserve">SUM(_xlfn.ORG.LIBREOFFICE.FOURIER({1,2,3,4,5,6},TRUE,TRUE,TRUE))</t>
  </si>
  <si>
    <t xml:space="preserve">INDEX(_xlfn.ORG.LIBREOFFICE.FOURIER({1,2,3,4,5,6},TRUE,TRUE,TRUE),1,1)</t>
  </si>
  <si>
    <t xml:space="preserve">INDEX(_xlfn.ORG.LIBREOFFICE.FOURIER({1,2,3,4,5,6},TRUE,TRUE,TRUE),2,1)</t>
  </si>
  <si>
    <t xml:space="preserve">INDEX(_xlfn.ORG.LIBREOFFICE.FOURIER({1,2,3,4,5,6},TRUE,TRUE,TRUE),2,2)</t>
  </si>
  <si>
    <t xml:space="preserve">INDEX(_xlfn.ORG.LIBREOFFICE.FOURIER({1,2,3,4,5,6},TRUE,TRUE,TRUE),3,2)</t>
  </si>
  <si>
    <t xml:space="preserve">INDEX(_xlfn.ORG.LIBREOFFICE.FOURIER({1,2,3,4,5,6},TRUE,TRUE,TRUE),ROWS(_xlfn.ORG.LIBREOFFICE.FOURIER({1,2,3,4,5,6},TRUE,TRUE,TRUE)),1)</t>
  </si>
  <si>
    <t xml:space="preserve">INDEX(_xlfn.ORG.LIBREOFFICE.FOURIER({1,2,3,4,5,6},TRUE,TRUE,TRUE),ROWS(_xlfn.ORG.LIBREOFFICE.FOURIER({1,2,3,4,5,6},TRUE,TRUE,TRUE)),2)</t>
  </si>
  <si>
    <t xml:space="preserve">SUM(_xlfn.ORG.LIBREOFFICE.FOURIER({1,2,3,4,5,6},TRUE,FALSE,TRUE,1))</t>
  </si>
  <si>
    <t xml:space="preserve">INDEX(_xlfn.ORG.LIBREOFFICE.FOURIER({1,2,3,4,5,6},TRUE,FALSE,TRUE,1),1,1)</t>
  </si>
  <si>
    <t xml:space="preserve">INDEX(_xlfn.ORG.LIBREOFFICE.FOURIER({1,2,3,4,5,6},TRUE,FALSE,TRUE,1),2,1)</t>
  </si>
  <si>
    <t xml:space="preserve">INDEX(_xlfn.ORG.LIBREOFFICE.FOURIER({1,2,3,4,5,6},TRUE,FALSE,TRUE,1),2,2)</t>
  </si>
  <si>
    <t xml:space="preserve">INDEX(_xlfn.ORG.LIBREOFFICE.FOURIER({1,2,3,4,5,6},TRUE,FALSE,TRUE,1),3,2)</t>
  </si>
  <si>
    <t xml:space="preserve">INDEX(_xlfn.ORG.LIBREOFFICE.FOURIER({1,2,3,4,5,6},TRUE,FALSE,TRUE,1),ROWS(_xlfn.ORG.LIBREOFFICE.FOURIER({1,2,3,4,5,6},TRUE,FALSE,TRUE,1)),1)</t>
  </si>
  <si>
    <t xml:space="preserve">INDEX(_xlfn.ORG.LIBREOFFICE.FOURIER({1,2,3,4,5,6},TRUE,FALSE,TRUE,1),ROWS(_xlfn.ORG.LIBREOFFICE.FOURIER({1,2,3,4,5,6},TRUE,FALSE,TRUE,1)),2)</t>
  </si>
  <si>
    <t xml:space="preserve">SUM(_xlfn.ORG.LIBREOFFICE.FOURIER({1,2,3,4,5,6},TRUE,TRUE,TRUE,5))</t>
  </si>
  <si>
    <t xml:space="preserve">INDEX(_xlfn.ORG.LIBREOFFICE.FOURIER({1,2,3,4,5,6},TRUE,TRUE,TRUE,5),1,1)</t>
  </si>
  <si>
    <t xml:space="preserve">INDEX(_xlfn.ORG.LIBREOFFICE.FOURIER({1,2,3,4,5,6},TRUE,TRUE,TRUE,5),2,1)</t>
  </si>
  <si>
    <t xml:space="preserve">INDEX(_xlfn.ORG.LIBREOFFICE.FOURIER({1,2,3,4,5,6},TRUE,TRUE,TRUE,5),2,2)</t>
  </si>
  <si>
    <t xml:space="preserve">INDEX(_xlfn.ORG.LIBREOFFICE.FOURIER({1,2,3,4,5,6},TRUE,TRUE,TRUE,5),3,2)</t>
  </si>
  <si>
    <t xml:space="preserve">INDEX(_xlfn.ORG.LIBREOFFICE.FOURIER({1,2,3,4,5,6},TRUE,TRUE,TRUE,5),ROWS(_xlfn.ORG.LIBREOFFICE.FOURIER({1,2,3,4,5,6},TRUE,TRUE,TRUE,5)),1)</t>
  </si>
  <si>
    <t xml:space="preserve">INDEX(_xlfn.ORG.LIBREOFFICE.FOURIER({1,2,3,4,5,6},TRUE,TRUE,TRUE,5),ROWS(_xlfn.ORG.LIBREOFFICE.FOURIER({1,2,3,4,5,6},TRUE,TRUE,TRUE,5)),2)</t>
  </si>
  <si>
    <t xml:space="preserve">ROWS(_xlfn.ORG.LIBREOFFICE.FOURIER(TRANSPOSE({1,2,3,4,5,6}),FALSE))</t>
  </si>
  <si>
    <t xml:space="preserve">COLUMNS(_xlfn.ORG.LIBREOFFICE.FOURIER(TRANSPOSE({1,2,3,4,5,6}),FALSE))</t>
  </si>
  <si>
    <t xml:space="preserve">SUM(_xlfn.ORG.LIBREOFFICE.FOURIER(TRANSPOSE({1,2,3,4,5,6}),FALSE))</t>
  </si>
  <si>
    <t xml:space="preserve">INDEX(_xlfn.ORG.LIBREOFFICE.FOURIER(TRANSPOSE({1,2,3,4,5,6}),FALSE),1,1)</t>
  </si>
  <si>
    <t xml:space="preserve">INDEX(_xlfn.ORG.LIBREOFFICE.FOURIER(TRANSPOSE({1,2,3,4,5,6}),FALSE),2,1)</t>
  </si>
  <si>
    <t xml:space="preserve">INDEX(_xlfn.ORG.LIBREOFFICE.FOURIER(TRANSPOSE({1,2,3,4,5,6}),FALSE),2,2)</t>
  </si>
  <si>
    <t xml:space="preserve">INDEX(_xlfn.ORG.LIBREOFFICE.FOURIER(TRANSPOSE({1,2,3,4,5,6}),FALSE),3,2)</t>
  </si>
  <si>
    <t xml:space="preserve">INDEX(_xlfn.ORG.LIBREOFFICE.FOURIER(TRANSPOSE({1,2,3,4,5,6}),FALSE),ROWS(_xlfn.ORG.LIBREOFFICE.FOURIER(TRANSPOSE({1,2,3,4,5,6}),FALSE)),1)</t>
  </si>
  <si>
    <t xml:space="preserve">INDEX(_xlfn.ORG.LIBREOFFICE.FOURIER(TRANSPOSE({1,2,3,4,5,6}),FALSE),ROWS(_xlfn.ORG.LIBREOFFICE.FOURIER(TRANSPOSE({1,2,3,4,5,6}),FALSE)),2)</t>
  </si>
  <si>
    <t xml:space="preserve">SUM(_xlfn.ORG.LIBREOFFICE.FOURIER(TRANSPOSE({1,2,3,4,5,6}),FALSE,TRUE))</t>
  </si>
  <si>
    <t xml:space="preserve">INDEX(_xlfn.ORG.LIBREOFFICE.FOURIER(TRANSPOSE({1,2,3,4,5,6}),FALSE,TRUE),1,1)</t>
  </si>
  <si>
    <t xml:space="preserve">INDEX(_xlfn.ORG.LIBREOFFICE.FOURIER(TRANSPOSE({1,2,3,4,5,6}),FALSE,TRUE),2,1)</t>
  </si>
  <si>
    <t xml:space="preserve">INDEX(_xlfn.ORG.LIBREOFFICE.FOURIER(TRANSPOSE({1,2,3,4,5,6}),FALSE,TRUE),2,2)</t>
  </si>
  <si>
    <t xml:space="preserve">INDEX(_xlfn.ORG.LIBREOFFICE.FOURIER(TRANSPOSE({1,2,3,4,5,6}),FALSE,TRUE),3,2)</t>
  </si>
  <si>
    <t xml:space="preserve">INDEX(_xlfn.ORG.LIBREOFFICE.FOURIER(TRANSPOSE({1,2,3,4,5,6}),FALSE,TRUE),ROWS(_xlfn.ORG.LIBREOFFICE.FOURIER(TRANSPOSE({1,2,3,4,5,6}),FALSE,TRUE)),1)</t>
  </si>
  <si>
    <t xml:space="preserve">INDEX(_xlfn.ORG.LIBREOFFICE.FOURIER(TRANSPOSE({1,2,3,4,5,6}),FALSE,TRUE),ROWS(_xlfn.ORG.LIBREOFFICE.FOURIER(TRANSPOSE({1,2,3,4,5,6}),FALSE,TRUE)),2)</t>
  </si>
  <si>
    <t xml:space="preserve">SUM(_xlfn.ORG.LIBREOFFICE.FOURIER(TRANSPOSE({1,2,3,4,5,6}),FALSE,FALSE,TRUE))</t>
  </si>
  <si>
    <t xml:space="preserve">INDEX(_xlfn.ORG.LIBREOFFICE.FOURIER(TRANSPOSE({1,2,3,4,5,6}),FALSE,FALSE,TRUE),1,1)</t>
  </si>
  <si>
    <t xml:space="preserve">INDEX(_xlfn.ORG.LIBREOFFICE.FOURIER(TRANSPOSE({1,2,3,4,5,6}),FALSE,FALSE,TRUE),2,1)</t>
  </si>
  <si>
    <t xml:space="preserve">INDEX(_xlfn.ORG.LIBREOFFICE.FOURIER(TRANSPOSE({1,2,3,4,5,6}),FALSE,FALSE,TRUE),2,2)</t>
  </si>
  <si>
    <t xml:space="preserve">INDEX(_xlfn.ORG.LIBREOFFICE.FOURIER(TRANSPOSE({1,2,3,4,5,6}),FALSE,FALSE,TRUE),3,2)</t>
  </si>
  <si>
    <t xml:space="preserve">INDEX(_xlfn.ORG.LIBREOFFICE.FOURIER(TRANSPOSE({1,2,3,4,5,6}),FALSE,FALSE,TRUE),ROWS(_xlfn.ORG.LIBREOFFICE.FOURIER(TRANSPOSE({1,2,3,4,5,6}),FALSE,FALSE,TRUE)),1)</t>
  </si>
  <si>
    <t xml:space="preserve">INDEX(_xlfn.ORG.LIBREOFFICE.FOURIER(TRANSPOSE({1,2,3,4,5,6}),FALSE,FALSE,TRUE),ROWS(_xlfn.ORG.LIBREOFFICE.FOURIER(TRANSPOSE({1,2,3,4,5,6}),FALSE,FALSE,TRUE)),2)</t>
  </si>
  <si>
    <t xml:space="preserve">SUM(_xlfn.ORG.LIBREOFFICE.FOURIER(TRANSPOSE({1,2,3,4,5,6}),FALSE,TRUE,TRUE))</t>
  </si>
  <si>
    <t xml:space="preserve">INDEX(_xlfn.ORG.LIBREOFFICE.FOURIER(TRANSPOSE({1,2,3,4,5,6}),FALSE,TRUE,TRUE),1,1)</t>
  </si>
  <si>
    <t xml:space="preserve">INDEX(_xlfn.ORG.LIBREOFFICE.FOURIER(TRANSPOSE({1,2,3,4,5,6}),FALSE,TRUE,TRUE),2,1)</t>
  </si>
  <si>
    <t xml:space="preserve">INDEX(_xlfn.ORG.LIBREOFFICE.FOURIER(TRANSPOSE({1,2,3,4,5,6}),FALSE,TRUE,TRUE),2,2)</t>
  </si>
  <si>
    <t xml:space="preserve">INDEX(_xlfn.ORG.LIBREOFFICE.FOURIER(TRANSPOSE({1,2,3,4,5,6}),FALSE,TRUE,TRUE),3,2)</t>
  </si>
  <si>
    <t xml:space="preserve">INDEX(_xlfn.ORG.LIBREOFFICE.FOURIER(TRANSPOSE({1,2,3,4,5,6}),FALSE,TRUE,TRUE),ROWS(_xlfn.ORG.LIBREOFFICE.FOURIER(TRANSPOSE({1,2,3,4,5,6}),FALSE,TRUE,TRUE)),1)</t>
  </si>
  <si>
    <t xml:space="preserve">INDEX(_xlfn.ORG.LIBREOFFICE.FOURIER(TRANSPOSE({1,2,3,4,5,6}),FALSE,TRUE,TRUE),ROWS(_xlfn.ORG.LIBREOFFICE.FOURIER(TRANSPOSE({1,2,3,4,5,6}),FALSE,TRUE,TRUE)),2)</t>
  </si>
  <si>
    <t xml:space="preserve">SUM(_xlfn.ORG.LIBREOFFICE.FOURIER(TRANSPOSE({1,2,3,4,5,6}),FALSE,FALSE,TRUE,1))</t>
  </si>
  <si>
    <t xml:space="preserve">INDEX(_xlfn.ORG.LIBREOFFICE.FOURIER(TRANSPOSE({1,2,3,4,5,6}),FALSE,FALSE,TRUE,1),1,1)</t>
  </si>
  <si>
    <t xml:space="preserve">INDEX(_xlfn.ORG.LIBREOFFICE.FOURIER(TRANSPOSE({1,2,3,4,5,6}),FALSE,FALSE,TRUE,1),2,1)</t>
  </si>
  <si>
    <t xml:space="preserve">INDEX(_xlfn.ORG.LIBREOFFICE.FOURIER(TRANSPOSE({1,2,3,4,5,6}),FALSE,FALSE,TRUE,1),2,2)</t>
  </si>
  <si>
    <t xml:space="preserve">INDEX(_xlfn.ORG.LIBREOFFICE.FOURIER(TRANSPOSE({1,2,3,4,5,6}),FALSE,FALSE,TRUE,1),3,2)</t>
  </si>
  <si>
    <t xml:space="preserve">INDEX(_xlfn.ORG.LIBREOFFICE.FOURIER(TRANSPOSE({1,2,3,4,5,6}),FALSE,FALSE,TRUE,1),ROWS(_xlfn.ORG.LIBREOFFICE.FOURIER(TRANSPOSE({1,2,3,4,5,6}),FALSE,FALSE,TRUE,1)),1)</t>
  </si>
  <si>
    <t xml:space="preserve">INDEX(_xlfn.ORG.LIBREOFFICE.FOURIER(TRANSPOSE({1,2,3,4,5,6}),FALSE,FALSE,TRUE,1),ROWS(_xlfn.ORG.LIBREOFFICE.FOURIER(TRANSPOSE({1,2,3,4,5,6}),FALSE,FALSE,TRUE,1)),2)</t>
  </si>
  <si>
    <t xml:space="preserve">SUM(_xlfn.ORG.LIBREOFFICE.FOURIER(TRANSPOSE({1,2,3,4,5,6}),FALSE,TRUE,TRUE,5))</t>
  </si>
  <si>
    <t xml:space="preserve">INDEX(_xlfn.ORG.LIBREOFFICE.FOURIER(TRANSPOSE({1,2,3,4,5,6}),FALSE,TRUE,TRUE,5),1,1)</t>
  </si>
  <si>
    <t xml:space="preserve">INDEX(_xlfn.ORG.LIBREOFFICE.FOURIER(TRANSPOSE({1,2,3,4,5,6}),FALSE,TRUE,TRUE,5),2,1)</t>
  </si>
  <si>
    <t xml:space="preserve">INDEX(_xlfn.ORG.LIBREOFFICE.FOURIER(TRANSPOSE({1,2,3,4,5,6}),FALSE,TRUE,TRUE,5),2,2)</t>
  </si>
  <si>
    <t xml:space="preserve">INDEX(_xlfn.ORG.LIBREOFFICE.FOURIER(TRANSPOSE({1,2,3,4,5,6}),FALSE,TRUE,TRUE,5),3,2)</t>
  </si>
  <si>
    <t xml:space="preserve">INDEX(_xlfn.ORG.LIBREOFFICE.FOURIER(TRANSPOSE({1,2,3,4,5,6}),FALSE,TRUE,TRUE,5),ROWS(_xlfn.ORG.LIBREOFFICE.FOURIER(TRANSPOSE({1,2,3,4,5,6}),FALSE,TRUE,TRUE,5)),1)</t>
  </si>
  <si>
    <t xml:space="preserve">INDEX(_xlfn.ORG.LIBREOFFICE.FOURIER(TRANSPOSE({1,2,3,4,5,6}),FALSE,TRUE,TRUE,5),ROWS(_xlfn.ORG.LIBREOFFICE.FOURIER(TRANSPOSE({1,2,3,4,5,6}),FALSE,TRUE,TRUE,5)),2)</t>
  </si>
  <si>
    <t xml:space="preserve">ROWS(_xlfn.ORG.LIBREOFFICE.FOURIER({1,2,3,4,5,6,7},TRUE))</t>
  </si>
  <si>
    <t xml:space="preserve">COLUMNS(_xlfn.ORG.LIBREOFFICE.FOURIER({1,2,3,4,5,6,7},TRUE))</t>
  </si>
  <si>
    <t xml:space="preserve">SUM(_xlfn.ORG.LIBREOFFICE.FOURIER({1,2,3,4,5,6,7},TRUE))</t>
  </si>
  <si>
    <t xml:space="preserve">INDEX(_xlfn.ORG.LIBREOFFICE.FOURIER({1,2,3,4,5,6,7},TRUE),1,1)</t>
  </si>
  <si>
    <t xml:space="preserve">INDEX(_xlfn.ORG.LIBREOFFICE.FOURIER({1,2,3,4,5,6,7},TRUE),2,1)</t>
  </si>
  <si>
    <t xml:space="preserve">INDEX(_xlfn.ORG.LIBREOFFICE.FOURIER({1,2,3,4,5,6,7},TRUE),2,2)</t>
  </si>
  <si>
    <t xml:space="preserve">INDEX(_xlfn.ORG.LIBREOFFICE.FOURIER({1,2,3,4,5,6,7},TRUE),3,2)</t>
  </si>
  <si>
    <t xml:space="preserve">INDEX(_xlfn.ORG.LIBREOFFICE.FOURIER({1,2,3,4,5,6,7},TRUE),ROWS(_xlfn.ORG.LIBREOFFICE.FOURIER({1,2,3,4,5,6,7},TRUE)),1)</t>
  </si>
  <si>
    <t xml:space="preserve">INDEX(_xlfn.ORG.LIBREOFFICE.FOURIER({1,2,3,4,5,6,7},TRUE),ROWS(_xlfn.ORG.LIBREOFFICE.FOURIER({1,2,3,4,5,6,7},TRUE)),2)</t>
  </si>
  <si>
    <t xml:space="preserve">SUM(_xlfn.ORG.LIBREOFFICE.FOURIER({1,2,3,4,5,6,7},TRUE,TRUE))</t>
  </si>
  <si>
    <t xml:space="preserve">INDEX(_xlfn.ORG.LIBREOFFICE.FOURIER({1,2,3,4,5,6,7},TRUE,TRUE),1,1)</t>
  </si>
  <si>
    <t xml:space="preserve">INDEX(_xlfn.ORG.LIBREOFFICE.FOURIER({1,2,3,4,5,6,7},TRUE,TRUE),2,1)</t>
  </si>
  <si>
    <t xml:space="preserve">INDEX(_xlfn.ORG.LIBREOFFICE.FOURIER({1,2,3,4,5,6,7},TRUE,TRUE),2,2)</t>
  </si>
  <si>
    <t xml:space="preserve">INDEX(_xlfn.ORG.LIBREOFFICE.FOURIER({1,2,3,4,5,6,7},TRUE,TRUE),3,2)</t>
  </si>
  <si>
    <t xml:space="preserve">INDEX(_xlfn.ORG.LIBREOFFICE.FOURIER({1,2,3,4,5,6,7},TRUE,TRUE),ROWS(_xlfn.ORG.LIBREOFFICE.FOURIER({1,2,3,4,5,6,7},TRUE,TRUE)),1)</t>
  </si>
  <si>
    <t xml:space="preserve">INDEX(_xlfn.ORG.LIBREOFFICE.FOURIER({1,2,3,4,5,6,7},TRUE,TRUE),ROWS(_xlfn.ORG.LIBREOFFICE.FOURIER({1,2,3,4,5,6,7},TRUE,TRUE)),2)</t>
  </si>
  <si>
    <t xml:space="preserve">SUM(_xlfn.ORG.LIBREOFFICE.FOURIER({1,2,3,4,5,6,7},TRUE,FALSE,TRUE))</t>
  </si>
  <si>
    <t xml:space="preserve">INDEX(_xlfn.ORG.LIBREOFFICE.FOURIER({1,2,3,4,5,6,7},TRUE,FALSE,TRUE),1,1)</t>
  </si>
  <si>
    <t xml:space="preserve">INDEX(_xlfn.ORG.LIBREOFFICE.FOURIER({1,2,3,4,5,6,7},TRUE,FALSE,TRUE),2,1)</t>
  </si>
  <si>
    <t xml:space="preserve">INDEX(_xlfn.ORG.LIBREOFFICE.FOURIER({1,2,3,4,5,6,7},TRUE,FALSE,TRUE),2,2)</t>
  </si>
  <si>
    <t xml:space="preserve">INDEX(_xlfn.ORG.LIBREOFFICE.FOURIER({1,2,3,4,5,6,7},TRUE,FALSE,TRUE),3,2)</t>
  </si>
  <si>
    <t xml:space="preserve">INDEX(_xlfn.ORG.LIBREOFFICE.FOURIER({1,2,3,4,5,6,7},TRUE,FALSE,TRUE),ROWS(_xlfn.ORG.LIBREOFFICE.FOURIER({1,2,3,4,5,6,7},TRUE,FALSE,TRUE)),1)</t>
  </si>
  <si>
    <t xml:space="preserve">INDEX(_xlfn.ORG.LIBREOFFICE.FOURIER({1,2,3,4,5,6,7},TRUE,FALSE,TRUE),ROWS(_xlfn.ORG.LIBREOFFICE.FOURIER({1,2,3,4,5,6,7},TRUE,FALSE,TRUE)),2)</t>
  </si>
  <si>
    <t xml:space="preserve">SUM(_xlfn.ORG.LIBREOFFICE.FOURIER({1,2,3,4,5,6,7},TRUE,TRUE,TRUE))</t>
  </si>
  <si>
    <t xml:space="preserve">INDEX(_xlfn.ORG.LIBREOFFICE.FOURIER({1,2,3,4,5,6,7},TRUE,TRUE,TRUE),1,1)</t>
  </si>
  <si>
    <t xml:space="preserve">INDEX(_xlfn.ORG.LIBREOFFICE.FOURIER({1,2,3,4,5,6,7},TRUE,TRUE,TRUE),2,1)</t>
  </si>
  <si>
    <t xml:space="preserve">INDEX(_xlfn.ORG.LIBREOFFICE.FOURIER({1,2,3,4,5,6,7},TRUE,TRUE,TRUE),2,2)</t>
  </si>
  <si>
    <t xml:space="preserve">INDEX(_xlfn.ORG.LIBREOFFICE.FOURIER({1,2,3,4,5,6,7},TRUE,TRUE,TRUE),3,2)</t>
  </si>
  <si>
    <t xml:space="preserve">INDEX(_xlfn.ORG.LIBREOFFICE.FOURIER({1,2,3,4,5,6,7},TRUE,TRUE,TRUE),ROWS(_xlfn.ORG.LIBREOFFICE.FOURIER({1,2,3,4,5,6,7},TRUE,TRUE,TRUE)),1)</t>
  </si>
  <si>
    <t xml:space="preserve">INDEX(_xlfn.ORG.LIBREOFFICE.FOURIER({1,2,3,4,5,6,7},TRUE,TRUE,TRUE),ROWS(_xlfn.ORG.LIBREOFFICE.FOURIER({1,2,3,4,5,6,7},TRUE,TRUE,TRUE)),2)</t>
  </si>
  <si>
    <t xml:space="preserve">SUM(_xlfn.ORG.LIBREOFFICE.FOURIER({1,2,3,4,5,6,7},TRUE,FALSE,TRUE,1))</t>
  </si>
  <si>
    <t xml:space="preserve">INDEX(_xlfn.ORG.LIBREOFFICE.FOURIER({1,2,3,4,5,6,7},TRUE,FALSE,TRUE,1),1,1)</t>
  </si>
  <si>
    <t xml:space="preserve">INDEX(_xlfn.ORG.LIBREOFFICE.FOURIER({1,2,3,4,5,6,7},TRUE,FALSE,TRUE,1),2,1)</t>
  </si>
  <si>
    <t xml:space="preserve">INDEX(_xlfn.ORG.LIBREOFFICE.FOURIER({1,2,3,4,5,6,7},TRUE,FALSE,TRUE,1),2,2)</t>
  </si>
  <si>
    <t xml:space="preserve">INDEX(_xlfn.ORG.LIBREOFFICE.FOURIER({1,2,3,4,5,6,7},TRUE,FALSE,TRUE,1),3,2)</t>
  </si>
  <si>
    <t xml:space="preserve">INDEX(_xlfn.ORG.LIBREOFFICE.FOURIER({1,2,3,4,5,6,7},TRUE,FALSE,TRUE,1),ROWS(_xlfn.ORG.LIBREOFFICE.FOURIER({1,2,3,4,5,6,7},TRUE,FALSE,TRUE,1)),1)</t>
  </si>
  <si>
    <t xml:space="preserve">INDEX(_xlfn.ORG.LIBREOFFICE.FOURIER({1,2,3,4,5,6,7},TRUE,FALSE,TRUE,1),ROWS(_xlfn.ORG.LIBREOFFICE.FOURIER({1,2,3,4,5,6,7},TRUE,FALSE,TRUE,1)),2)</t>
  </si>
  <si>
    <t xml:space="preserve">SUM(_xlfn.ORG.LIBREOFFICE.FOURIER({1,2,3,4,5,6,7},TRUE,TRUE,TRUE,5))</t>
  </si>
  <si>
    <t xml:space="preserve">INDEX(_xlfn.ORG.LIBREOFFICE.FOURIER({1,2,3,4,5,6,7},TRUE,TRUE,TRUE,5),1,1)</t>
  </si>
  <si>
    <t xml:space="preserve">INDEX(_xlfn.ORG.LIBREOFFICE.FOURIER({1,2,3,4,5,6,7},TRUE,TRUE,TRUE,5),2,1)</t>
  </si>
  <si>
    <t xml:space="preserve">INDEX(_xlfn.ORG.LIBREOFFICE.FOURIER({1,2,3,4,5,6,7},TRUE,TRUE,TRUE,5),2,2)</t>
  </si>
  <si>
    <t xml:space="preserve">INDEX(_xlfn.ORG.LIBREOFFICE.FOURIER({1,2,3,4,5,6,7},TRUE,TRUE,TRUE,5),3,2)</t>
  </si>
  <si>
    <t xml:space="preserve">INDEX(_xlfn.ORG.LIBREOFFICE.FOURIER({1,2,3,4,5,6,7},TRUE,TRUE,TRUE,5),ROWS(_xlfn.ORG.LIBREOFFICE.FOURIER({1,2,3,4,5,6,7},TRUE,TRUE,TRUE,5)),1)</t>
  </si>
  <si>
    <t xml:space="preserve">INDEX(_xlfn.ORG.LIBREOFFICE.FOURIER({1,2,3,4,5,6,7},TRUE,TRUE,TRUE,5),ROWS(_xlfn.ORG.LIBREOFFICE.FOURIER({1,2,3,4,5,6,7},TRUE,TRUE,TRUE,5)),2)</t>
  </si>
  <si>
    <t xml:space="preserve">ROWS(_xlfn.ORG.LIBREOFFICE.FOURIER(TRANSPOSE({1,2,3,4,5,6,7}),FALSE))</t>
  </si>
  <si>
    <t xml:space="preserve">COLUMNS(_xlfn.ORG.LIBREOFFICE.FOURIER(TRANSPOSE({1,2,3,4,5,6,7}),FALSE))</t>
  </si>
  <si>
    <t xml:space="preserve">SUM(_xlfn.ORG.LIBREOFFICE.FOURIER(TRANSPOSE({1,2,3,4,5,6,7}),FALSE))</t>
  </si>
  <si>
    <t xml:space="preserve">INDEX(_xlfn.ORG.LIBREOFFICE.FOURIER(TRANSPOSE({1,2,3,4,5,6,7}),FALSE),1,1)</t>
  </si>
  <si>
    <t xml:space="preserve">INDEX(_xlfn.ORG.LIBREOFFICE.FOURIER(TRANSPOSE({1,2,3,4,5,6,7}),FALSE),2,1)</t>
  </si>
  <si>
    <t xml:space="preserve">INDEX(_xlfn.ORG.LIBREOFFICE.FOURIER(TRANSPOSE({1,2,3,4,5,6,7}),FALSE),2,2)</t>
  </si>
  <si>
    <t xml:space="preserve">INDEX(_xlfn.ORG.LIBREOFFICE.FOURIER(TRANSPOSE({1,2,3,4,5,6,7}),FALSE),3,2)</t>
  </si>
  <si>
    <t xml:space="preserve">INDEX(_xlfn.ORG.LIBREOFFICE.FOURIER(TRANSPOSE({1,2,3,4,5,6,7}),FALSE),ROWS(_xlfn.ORG.LIBREOFFICE.FOURIER(TRANSPOSE({1,2,3,4,5,6,7}),FALSE)),1)</t>
  </si>
  <si>
    <t xml:space="preserve">INDEX(_xlfn.ORG.LIBREOFFICE.FOURIER(TRANSPOSE({1,2,3,4,5,6,7}),FALSE),ROWS(_xlfn.ORG.LIBREOFFICE.FOURIER(TRANSPOSE({1,2,3,4,5,6,7}),FALSE)),2)</t>
  </si>
  <si>
    <t xml:space="preserve">SUM(_xlfn.ORG.LIBREOFFICE.FOURIER(TRANSPOSE({1,2,3,4,5,6,7}),FALSE,TRUE))</t>
  </si>
  <si>
    <t xml:space="preserve">INDEX(_xlfn.ORG.LIBREOFFICE.FOURIER(TRANSPOSE({1,2,3,4,5,6,7}),FALSE,TRUE),1,1)</t>
  </si>
  <si>
    <t xml:space="preserve">INDEX(_xlfn.ORG.LIBREOFFICE.FOURIER(TRANSPOSE({1,2,3,4,5,6,7}),FALSE,TRUE),2,1)</t>
  </si>
  <si>
    <t xml:space="preserve">INDEX(_xlfn.ORG.LIBREOFFICE.FOURIER(TRANSPOSE({1,2,3,4,5,6,7}),FALSE,TRUE),2,2)</t>
  </si>
  <si>
    <t xml:space="preserve">INDEX(_xlfn.ORG.LIBREOFFICE.FOURIER(TRANSPOSE({1,2,3,4,5,6,7}),FALSE,TRUE),3,2)</t>
  </si>
  <si>
    <t xml:space="preserve">INDEX(_xlfn.ORG.LIBREOFFICE.FOURIER(TRANSPOSE({1,2,3,4,5,6,7}),FALSE,TRUE),ROWS(_xlfn.ORG.LIBREOFFICE.FOURIER(TRANSPOSE({1,2,3,4,5,6,7}),FALSE,TRUE)),1)</t>
  </si>
  <si>
    <t xml:space="preserve">INDEX(_xlfn.ORG.LIBREOFFICE.FOURIER(TRANSPOSE({1,2,3,4,5,6,7}),FALSE,TRUE),ROWS(_xlfn.ORG.LIBREOFFICE.FOURIER(TRANSPOSE({1,2,3,4,5,6,7}),FALSE,TRUE)),2)</t>
  </si>
  <si>
    <t xml:space="preserve">SUM(_xlfn.ORG.LIBREOFFICE.FOURIER(TRANSPOSE({1,2,3,4,5,6,7}),FALSE,FALSE,TRUE))</t>
  </si>
  <si>
    <t xml:space="preserve">INDEX(_xlfn.ORG.LIBREOFFICE.FOURIER(TRANSPOSE({1,2,3,4,5,6,7}),FALSE,FALSE,TRUE),1,1)</t>
  </si>
  <si>
    <t xml:space="preserve">INDEX(_xlfn.ORG.LIBREOFFICE.FOURIER(TRANSPOSE({1,2,3,4,5,6,7}),FALSE,FALSE,TRUE),2,1)</t>
  </si>
  <si>
    <t xml:space="preserve">INDEX(_xlfn.ORG.LIBREOFFICE.FOURIER(TRANSPOSE({1,2,3,4,5,6,7}),FALSE,FALSE,TRUE),2,2)</t>
  </si>
  <si>
    <t xml:space="preserve">INDEX(_xlfn.ORG.LIBREOFFICE.FOURIER(TRANSPOSE({1,2,3,4,5,6,7}),FALSE,FALSE,TRUE),3,2)</t>
  </si>
  <si>
    <t xml:space="preserve">INDEX(_xlfn.ORG.LIBREOFFICE.FOURIER(TRANSPOSE({1,2,3,4,5,6,7}),FALSE,FALSE,TRUE),ROWS(_xlfn.ORG.LIBREOFFICE.FOURIER(TRANSPOSE({1,2,3,4,5,6,7}),FALSE,FALSE,TRUE)),1)</t>
  </si>
  <si>
    <t xml:space="preserve">INDEX(_xlfn.ORG.LIBREOFFICE.FOURIER(TRANSPOSE({1,2,3,4,5,6,7}),FALSE,FALSE,TRUE),ROWS(_xlfn.ORG.LIBREOFFICE.FOURIER(TRANSPOSE({1,2,3,4,5,6,7}),FALSE,FALSE,TRUE)),2)</t>
  </si>
  <si>
    <t xml:space="preserve">SUM(_xlfn.ORG.LIBREOFFICE.FOURIER(TRANSPOSE({1,2,3,4,5,6,7}),FALSE,TRUE,TRUE))</t>
  </si>
  <si>
    <t xml:space="preserve">INDEX(_xlfn.ORG.LIBREOFFICE.FOURIER(TRANSPOSE({1,2,3,4,5,6,7}),FALSE,TRUE,TRUE),1,1)</t>
  </si>
  <si>
    <t xml:space="preserve">INDEX(_xlfn.ORG.LIBREOFFICE.FOURIER(TRANSPOSE({1,2,3,4,5,6,7}),FALSE,TRUE,TRUE),2,1)</t>
  </si>
  <si>
    <t xml:space="preserve">INDEX(_xlfn.ORG.LIBREOFFICE.FOURIER(TRANSPOSE({1,2,3,4,5,6,7}),FALSE,TRUE,TRUE),2,2)</t>
  </si>
  <si>
    <t xml:space="preserve">INDEX(_xlfn.ORG.LIBREOFFICE.FOURIER(TRANSPOSE({1,2,3,4,5,6,7}),FALSE,TRUE,TRUE),3,2)</t>
  </si>
  <si>
    <t xml:space="preserve">INDEX(_xlfn.ORG.LIBREOFFICE.FOURIER(TRANSPOSE({1,2,3,4,5,6,7}),FALSE,TRUE,TRUE),ROWS(_xlfn.ORG.LIBREOFFICE.FOURIER(TRANSPOSE({1,2,3,4,5,6,7}),FALSE,TRUE,TRUE)),1)</t>
  </si>
  <si>
    <t xml:space="preserve">INDEX(_xlfn.ORG.LIBREOFFICE.FOURIER(TRANSPOSE({1,2,3,4,5,6,7}),FALSE,TRUE,TRUE),ROWS(_xlfn.ORG.LIBREOFFICE.FOURIER(TRANSPOSE({1,2,3,4,5,6,7}),FALSE,TRUE,TRUE)),2)</t>
  </si>
  <si>
    <t xml:space="preserve">SUM(_xlfn.ORG.LIBREOFFICE.FOURIER(TRANSPOSE({1,2,3,4,5,6,7}),FALSE,FALSE,TRUE,1))</t>
  </si>
  <si>
    <t xml:space="preserve">INDEX(_xlfn.ORG.LIBREOFFICE.FOURIER(TRANSPOSE({1,2,3,4,5,6,7}),FALSE,FALSE,TRUE,1),1,1)</t>
  </si>
  <si>
    <t xml:space="preserve">INDEX(_xlfn.ORG.LIBREOFFICE.FOURIER(TRANSPOSE({1,2,3,4,5,6,7}),FALSE,FALSE,TRUE,1),2,1)</t>
  </si>
  <si>
    <t xml:space="preserve">INDEX(_xlfn.ORG.LIBREOFFICE.FOURIER(TRANSPOSE({1,2,3,4,5,6,7}),FALSE,FALSE,TRUE,1),2,2)</t>
  </si>
  <si>
    <t xml:space="preserve">INDEX(_xlfn.ORG.LIBREOFFICE.FOURIER(TRANSPOSE({1,2,3,4,5,6,7}),FALSE,FALSE,TRUE,1),3,2)</t>
  </si>
  <si>
    <t xml:space="preserve">INDEX(_xlfn.ORG.LIBREOFFICE.FOURIER(TRANSPOSE({1,2,3,4,5,6,7}),FALSE,FALSE,TRUE,1),ROWS(_xlfn.ORG.LIBREOFFICE.FOURIER(TRANSPOSE({1,2,3,4,5,6,7}),FALSE,FALSE,TRUE,1)),1)</t>
  </si>
  <si>
    <t xml:space="preserve">INDEX(_xlfn.ORG.LIBREOFFICE.FOURIER(TRANSPOSE({1,2,3,4,5,6,7}),FALSE,FALSE,TRUE,1),ROWS(_xlfn.ORG.LIBREOFFICE.FOURIER(TRANSPOSE({1,2,3,4,5,6,7}),FALSE,FALSE,TRUE,1)),2)</t>
  </si>
  <si>
    <t xml:space="preserve">SUM(_xlfn.ORG.LIBREOFFICE.FOURIER(TRANSPOSE({1,2,3,4,5,6,7}),FALSE,TRUE,TRUE,5))</t>
  </si>
  <si>
    <t xml:space="preserve">INDEX(_xlfn.ORG.LIBREOFFICE.FOURIER(TRANSPOSE({1,2,3,4,5,6,7}),FALSE,TRUE,TRUE,5),1,1)</t>
  </si>
  <si>
    <t xml:space="preserve">INDEX(_xlfn.ORG.LIBREOFFICE.FOURIER(TRANSPOSE({1,2,3,4,5,6,7}),FALSE,TRUE,TRUE,5),2,1)</t>
  </si>
  <si>
    <t xml:space="preserve">INDEX(_xlfn.ORG.LIBREOFFICE.FOURIER(TRANSPOSE({1,2,3,4,5,6,7}),FALSE,TRUE,TRUE,5),2,2)</t>
  </si>
  <si>
    <t xml:space="preserve">INDEX(_xlfn.ORG.LIBREOFFICE.FOURIER(TRANSPOSE({1,2,3,4,5,6,7}),FALSE,TRUE,TRUE,5),3,2)</t>
  </si>
  <si>
    <t xml:space="preserve">INDEX(_xlfn.ORG.LIBREOFFICE.FOURIER(TRANSPOSE({1,2,3,4,5,6,7}),FALSE,TRUE,TRUE,5),ROWS(_xlfn.ORG.LIBREOFFICE.FOURIER(TRANSPOSE({1,2,3,4,5,6,7}),FALSE,TRUE,TRUE,5)),1)</t>
  </si>
  <si>
    <t xml:space="preserve">INDEX(_xlfn.ORG.LIBREOFFICE.FOURIER(TRANSPOSE({1,2,3,4,5,6,7}),FALSE,TRUE,TRUE,5),ROWS(_xlfn.ORG.LIBREOFFICE.FOURIER(TRANSPOSE({1,2,3,4,5,6,7}),FALSE,TRUE,TRUE,5)),2)</t>
  </si>
  <si>
    <t xml:space="preserve">ROWS(_xlfn.ORG.LIBREOFFICE.FOURIER({1,2,3,4,5,6;7,8,9,10,11,12},TRUE))</t>
  </si>
  <si>
    <t xml:space="preserve">COLUMNS(_xlfn.ORG.LIBREOFFICE.FOURIER({1,2,3,4,5,6;7,8,9,10,11,12},TRUE))</t>
  </si>
  <si>
    <t xml:space="preserve">SUM(_xlfn.ORG.LIBREOFFICE.FOURIER({1,2,3,4,5,6;7,8,9,10,11,12},TRUE))</t>
  </si>
  <si>
    <t xml:space="preserve">INDEX(_xlfn.ORG.LIBREOFFICE.FOURIER({1,2,3,4,5,6;7,8,9,10,11,12},TRUE),1,1)</t>
  </si>
  <si>
    <t xml:space="preserve">INDEX(_xlfn.ORG.LIBREOFFICE.FOURIER({1,2,3,4,5,6;7,8,9,10,11,12},TRUE),2,1)</t>
  </si>
  <si>
    <t xml:space="preserve">INDEX(_xlfn.ORG.LIBREOFFICE.FOURIER({1,2,3,4,5,6;7,8,9,10,11,12},TRUE),2,2)</t>
  </si>
  <si>
    <t xml:space="preserve">INDEX(_xlfn.ORG.LIBREOFFICE.FOURIER({1,2,3,4,5,6;7,8,9,10,11,12},TRUE),3,2)</t>
  </si>
  <si>
    <t xml:space="preserve">INDEX(_xlfn.ORG.LIBREOFFICE.FOURIER({1,2,3,4,5,6;7,8,9,10,11,12},TRUE),ROWS(_xlfn.ORG.LIBREOFFICE.FOURIER({1,2,3,4,5,6;7,8,9,10,11,12},TRUE)),1)</t>
  </si>
  <si>
    <t xml:space="preserve">INDEX(_xlfn.ORG.LIBREOFFICE.FOURIER({1,2,3,4,5,6;7,8,9,10,11,12},TRUE),ROWS(_xlfn.ORG.LIBREOFFICE.FOURIER({1,2,3,4,5,6;7,8,9,10,11,12},TRUE)),2)</t>
  </si>
  <si>
    <t xml:space="preserve">SUM(_xlfn.ORG.LIBREOFFICE.FOURIER({1,2,3,4,5,6;7,8,9,10,11,12},TRUE,TRUE))</t>
  </si>
  <si>
    <t xml:space="preserve">INDEX(_xlfn.ORG.LIBREOFFICE.FOURIER({1,2,3,4,5,6;7,8,9,10,11,12},TRUE,TRUE),1,1)</t>
  </si>
  <si>
    <t xml:space="preserve">INDEX(_xlfn.ORG.LIBREOFFICE.FOURIER({1,2,3,4,5,6;7,8,9,10,11,12},TRUE,TRUE),2,1)</t>
  </si>
  <si>
    <t xml:space="preserve">INDEX(_xlfn.ORG.LIBREOFFICE.FOURIER({1,2,3,4,5,6;7,8,9,10,11,12},TRUE,TRUE),2,2)</t>
  </si>
  <si>
    <t xml:space="preserve">INDEX(_xlfn.ORG.LIBREOFFICE.FOURIER({1,2,3,4,5,6;7,8,9,10,11,12},TRUE,TRUE),3,2)</t>
  </si>
  <si>
    <t xml:space="preserve">INDEX(_xlfn.ORG.LIBREOFFICE.FOURIER({1,2,3,4,5,6;7,8,9,10,11,12},TRUE,TRUE),ROWS(_xlfn.ORG.LIBREOFFICE.FOURIER({1,2,3,4,5,6;7,8,9,10,11,12},TRUE,TRUE)),1)</t>
  </si>
  <si>
    <t xml:space="preserve">INDEX(_xlfn.ORG.LIBREOFFICE.FOURIER({1,2,3,4,5,6;7,8,9,10,11,12},TRUE,TRUE),ROWS(_xlfn.ORG.LIBREOFFICE.FOURIER({1,2,3,4,5,6;7,8,9,10,11,12},TRUE,TRUE)),2)</t>
  </si>
  <si>
    <t xml:space="preserve">SUM(_xlfn.ORG.LIBREOFFICE.FOURIER({1,2,3,4,5,6;7,8,9,10,11,12},TRUE,FALSE,TRUE))</t>
  </si>
  <si>
    <t xml:space="preserve">INDEX(_xlfn.ORG.LIBREOFFICE.FOURIER({1,2,3,4,5,6;7,8,9,10,11,12},TRUE,FALSE,TRUE),1,1)</t>
  </si>
  <si>
    <t xml:space="preserve">INDEX(_xlfn.ORG.LIBREOFFICE.FOURIER({1,2,3,4,5,6;7,8,9,10,11,12},TRUE,FALSE,TRUE),2,1)</t>
  </si>
  <si>
    <t xml:space="preserve">INDEX(_xlfn.ORG.LIBREOFFICE.FOURIER({1,2,3,4,5,6;7,8,9,10,11,12},TRUE,FALSE,TRUE),2,2)</t>
  </si>
  <si>
    <t xml:space="preserve">INDEX(_xlfn.ORG.LIBREOFFICE.FOURIER({1,2,3,4,5,6;7,8,9,10,11,12},TRUE,FALSE,TRUE),3,2)</t>
  </si>
  <si>
    <t xml:space="preserve">INDEX(_xlfn.ORG.LIBREOFFICE.FOURIER({1,2,3,4,5,6;7,8,9,10,11,12},TRUE,FALSE,TRUE),ROWS(_xlfn.ORG.LIBREOFFICE.FOURIER({1,2,3,4,5,6;7,8,9,10,11,12},TRUE,FALSE,TRUE)),1)</t>
  </si>
  <si>
    <t xml:space="preserve">INDEX(_xlfn.ORG.LIBREOFFICE.FOURIER({1,2,3,4,5,6;7,8,9,10,11,12},TRUE,FALSE,TRUE),ROWS(_xlfn.ORG.LIBREOFFICE.FOURIER({1,2,3,4,5,6;7,8,9,10,11,12},TRUE,FALSE,TRUE)),2)</t>
  </si>
  <si>
    <t xml:space="preserve">SUM(_xlfn.ORG.LIBREOFFICE.FOURIER({1,2,3,4,5,6;7,8,9,10,11,12},TRUE,TRUE,TRUE))</t>
  </si>
  <si>
    <t xml:space="preserve">INDEX(_xlfn.ORG.LIBREOFFICE.FOURIER({1,2,3,4,5,6;7,8,9,10,11,12},TRUE,TRUE,TRUE),1,1)</t>
  </si>
  <si>
    <t xml:space="preserve">INDEX(_xlfn.ORG.LIBREOFFICE.FOURIER({1,2,3,4,5,6;7,8,9,10,11,12},TRUE,TRUE,TRUE),2,1)</t>
  </si>
  <si>
    <t xml:space="preserve">INDEX(_xlfn.ORG.LIBREOFFICE.FOURIER({1,2,3,4,5,6;7,8,9,10,11,12},TRUE,TRUE,TRUE),2,2)</t>
  </si>
  <si>
    <t xml:space="preserve">INDEX(_xlfn.ORG.LIBREOFFICE.FOURIER({1,2,3,4,5,6;7,8,9,10,11,12},TRUE,TRUE,TRUE),3,2)</t>
  </si>
  <si>
    <t xml:space="preserve">INDEX(_xlfn.ORG.LIBREOFFICE.FOURIER({1,2,3,4,5,6;7,8,9,10,11,12},TRUE,TRUE,TRUE),ROWS(_xlfn.ORG.LIBREOFFICE.FOURIER({1,2,3,4,5,6;7,8,9,10,11,12},TRUE,TRUE,TRUE)),1)</t>
  </si>
  <si>
    <t xml:space="preserve">INDEX(_xlfn.ORG.LIBREOFFICE.FOURIER({1,2,3,4,5,6;7,8,9,10,11,12},TRUE,TRUE,TRUE),ROWS(_xlfn.ORG.LIBREOFFICE.FOURIER({1,2,3,4,5,6;7,8,9,10,11,12},TRUE,TRUE,TRUE)),2)</t>
  </si>
  <si>
    <t xml:space="preserve">SUM(_xlfn.ORG.LIBREOFFICE.FOURIER({1,2,3,4,5,6;7,8,9,10,11,12},TRUE,FALSE,TRUE,1))</t>
  </si>
  <si>
    <t xml:space="preserve">INDEX(_xlfn.ORG.LIBREOFFICE.FOURIER({1,2,3,4,5,6;7,8,9,10,11,12},TRUE,FALSE,TRUE,1),1,1)</t>
  </si>
  <si>
    <t xml:space="preserve">INDEX(_xlfn.ORG.LIBREOFFICE.FOURIER({1,2,3,4,5,6;7,8,9,10,11,12},TRUE,FALSE,TRUE,1),2,1)</t>
  </si>
  <si>
    <t xml:space="preserve">INDEX(_xlfn.ORG.LIBREOFFICE.FOURIER({1,2,3,4,5,6;7,8,9,10,11,12},TRUE,FALSE,TRUE,1),2,2)</t>
  </si>
  <si>
    <t xml:space="preserve">INDEX(_xlfn.ORG.LIBREOFFICE.FOURIER({1,2,3,4,5,6;7,8,9,10,11,12},TRUE,FALSE,TRUE,1),3,2)</t>
  </si>
  <si>
    <t xml:space="preserve">INDEX(_xlfn.ORG.LIBREOFFICE.FOURIER({1,2,3,4,5,6;7,8,9,10,11,12},TRUE,FALSE,TRUE,1),ROWS(_xlfn.ORG.LIBREOFFICE.FOURIER({1,2,3,4,5,6;7,8,9,10,11,12},TRUE,FALSE,TRUE,1)),1)</t>
  </si>
  <si>
    <t xml:space="preserve">INDEX(_xlfn.ORG.LIBREOFFICE.FOURIER({1,2,3,4,5,6;7,8,9,10,11,12},TRUE,FALSE,TRUE,1),ROWS(_xlfn.ORG.LIBREOFFICE.FOURIER({1,2,3,4,5,6;7,8,9,10,11,12},TRUE,FALSE,TRUE,1)),2)</t>
  </si>
  <si>
    <t xml:space="preserve">SUM(_xlfn.ORG.LIBREOFFICE.FOURIER({1,2,3,4,5,6;7,8,9,10,11,12},TRUE,TRUE,TRUE,5))</t>
  </si>
  <si>
    <t xml:space="preserve">INDEX(_xlfn.ORG.LIBREOFFICE.FOURIER({1,2,3,4,5,6;7,8,9,10,11,12},TRUE,TRUE,TRUE,5),1,1)</t>
  </si>
  <si>
    <t xml:space="preserve">INDEX(_xlfn.ORG.LIBREOFFICE.FOURIER({1,2,3,4,5,6;7,8,9,10,11,12},TRUE,TRUE,TRUE,5),2,1)</t>
  </si>
  <si>
    <t xml:space="preserve">INDEX(_xlfn.ORG.LIBREOFFICE.FOURIER({1,2,3,4,5,6;7,8,9,10,11,12},TRUE,TRUE,TRUE,5),2,2)</t>
  </si>
  <si>
    <t xml:space="preserve">INDEX(_xlfn.ORG.LIBREOFFICE.FOURIER({1,2,3,4,5,6;7,8,9,10,11,12},TRUE,TRUE,TRUE,5),3,2)</t>
  </si>
  <si>
    <t xml:space="preserve">INDEX(_xlfn.ORG.LIBREOFFICE.FOURIER({1,2,3,4,5,6;7,8,9,10,11,12},TRUE,TRUE,TRUE,5),ROWS(_xlfn.ORG.LIBREOFFICE.FOURIER({1,2,3,4,5,6;7,8,9,10,11,12},TRUE,TRUE,TRUE,5)),1)</t>
  </si>
  <si>
    <t xml:space="preserve">INDEX(_xlfn.ORG.LIBREOFFICE.FOURIER({1,2,3,4,5,6;7,8,9,10,11,12},TRUE,TRUE,TRUE,5),ROWS(_xlfn.ORG.LIBREOFFICE.FOURIER({1,2,3,4,5,6;7,8,9,10,11,12},TRUE,TRUE,TRUE,5)),2)</t>
  </si>
  <si>
    <t xml:space="preserve">ROWS(_xlfn.ORG.LIBREOFFICE.FOURIER(TRANSPOSE({1,2,3,4,5,6;7,8,9,10,11,12}),FALSE))</t>
  </si>
  <si>
    <t xml:space="preserve">COLUMNS(_xlfn.ORG.LIBREOFFICE.FOURIER(TRANSPOSE({1,2,3,4,5,6;7,8,9,10,11,12}),FALSE))</t>
  </si>
  <si>
    <t xml:space="preserve">SUM(_xlfn.ORG.LIBREOFFICE.FOURIER(TRANSPOSE({1,2,3,4,5,6;7,8,9,10,11,12}),FALSE))</t>
  </si>
  <si>
    <t xml:space="preserve">INDEX(_xlfn.ORG.LIBREOFFICE.FOURIER(TRANSPOSE({1,2,3,4,5,6;7,8,9,10,11,12}),FALSE),1,1)</t>
  </si>
  <si>
    <t xml:space="preserve">INDEX(_xlfn.ORG.LIBREOFFICE.FOURIER(TRANSPOSE({1,2,3,4,5,6;7,8,9,10,11,12}),FALSE),2,1)</t>
  </si>
  <si>
    <t xml:space="preserve">INDEX(_xlfn.ORG.LIBREOFFICE.FOURIER(TRANSPOSE({1,2,3,4,5,6;7,8,9,10,11,12}),FALSE),2,2)</t>
  </si>
  <si>
    <t xml:space="preserve">INDEX(_xlfn.ORG.LIBREOFFICE.FOURIER(TRANSPOSE({1,2,3,4,5,6;7,8,9,10,11,12}),FALSE),3,2)</t>
  </si>
  <si>
    <t xml:space="preserve">INDEX(_xlfn.ORG.LIBREOFFICE.FOURIER(TRANSPOSE({1,2,3,4,5,6;7,8,9,10,11,12}),FALSE),ROWS(_xlfn.ORG.LIBREOFFICE.FOURIER(TRANSPOSE({1,2,3,4,5,6;7,8,9,10,11,12}),FALSE)),1)</t>
  </si>
  <si>
    <t xml:space="preserve">INDEX(_xlfn.ORG.LIBREOFFICE.FOURIER(TRANSPOSE({1,2,3,4,5,6;7,8,9,10,11,12}),FALSE),ROWS(_xlfn.ORG.LIBREOFFICE.FOURIER(TRANSPOSE({1,2,3,4,5,6;7,8,9,10,11,12}),FALSE)),2)</t>
  </si>
  <si>
    <t xml:space="preserve">SUM(_xlfn.ORG.LIBREOFFICE.FOURIER(TRANSPOSE({1,2,3,4,5,6;7,8,9,10,11,12}),FALSE,TRUE))</t>
  </si>
  <si>
    <t xml:space="preserve">INDEX(_xlfn.ORG.LIBREOFFICE.FOURIER(TRANSPOSE({1,2,3,4,5,6;7,8,9,10,11,12}),FALSE,TRUE),1,1)</t>
  </si>
  <si>
    <t xml:space="preserve">INDEX(_xlfn.ORG.LIBREOFFICE.FOURIER(TRANSPOSE({1,2,3,4,5,6;7,8,9,10,11,12}),FALSE,TRUE),2,1)</t>
  </si>
  <si>
    <t xml:space="preserve">INDEX(_xlfn.ORG.LIBREOFFICE.FOURIER(TRANSPOSE({1,2,3,4,5,6;7,8,9,10,11,12}),FALSE,TRUE),2,2)</t>
  </si>
  <si>
    <t xml:space="preserve">INDEX(_xlfn.ORG.LIBREOFFICE.FOURIER(TRANSPOSE({1,2,3,4,5,6;7,8,9,10,11,12}),FALSE,TRUE),3,2)</t>
  </si>
  <si>
    <t xml:space="preserve">INDEX(_xlfn.ORG.LIBREOFFICE.FOURIER(TRANSPOSE({1,2,3,4,5,6;7,8,9,10,11,12}),FALSE,TRUE),ROWS(_xlfn.ORG.LIBREOFFICE.FOURIER(TRANSPOSE({1,2,3,4,5,6;7,8,9,10,11,12}),FALSE,TRUE)),1)</t>
  </si>
  <si>
    <t xml:space="preserve">INDEX(_xlfn.ORG.LIBREOFFICE.FOURIER(TRANSPOSE({1,2,3,4,5,6;7,8,9,10,11,12}),FALSE,TRUE),ROWS(_xlfn.ORG.LIBREOFFICE.FOURIER(TRANSPOSE({1,2,3,4,5,6;7,8,9,10,11,12}),FALSE,TRUE)),2)</t>
  </si>
  <si>
    <t xml:space="preserve">SUM(_xlfn.ORG.LIBREOFFICE.FOURIER(TRANSPOSE({1,2,3,4,5,6;7,8,9,10,11,12}),FALSE,FALSE,TRUE))</t>
  </si>
  <si>
    <t xml:space="preserve">INDEX(_xlfn.ORG.LIBREOFFICE.FOURIER(TRANSPOSE({1,2,3,4,5,6;7,8,9,10,11,12}),FALSE,FALSE,TRUE),1,1)</t>
  </si>
  <si>
    <t xml:space="preserve">INDEX(_xlfn.ORG.LIBREOFFICE.FOURIER(TRANSPOSE({1,2,3,4,5,6;7,8,9,10,11,12}),FALSE,FALSE,TRUE),2,1)</t>
  </si>
  <si>
    <t xml:space="preserve">INDEX(_xlfn.ORG.LIBREOFFICE.FOURIER(TRANSPOSE({1,2,3,4,5,6;7,8,9,10,11,12}),FALSE,FALSE,TRUE),2,2)</t>
  </si>
  <si>
    <t xml:space="preserve">INDEX(_xlfn.ORG.LIBREOFFICE.FOURIER(TRANSPOSE({1,2,3,4,5,6;7,8,9,10,11,12}),FALSE,FALSE,TRUE),3,2)</t>
  </si>
  <si>
    <t xml:space="preserve">INDEX(_xlfn.ORG.LIBREOFFICE.FOURIER(TRANSPOSE({1,2,3,4,5,6;7,8,9,10,11,12}),FALSE,FALSE,TRUE),ROWS(_xlfn.ORG.LIBREOFFICE.FOURIER(TRANSPOSE({1,2,3,4,5,6;7,8,9,10,11,12}),FALSE,FALSE,TRUE)),1)</t>
  </si>
  <si>
    <t xml:space="preserve">INDEX(_xlfn.ORG.LIBREOFFICE.FOURIER(TRANSPOSE({1,2,3,4,5,6;7,8,9,10,11,12}),FALSE,FALSE,TRUE),ROWS(_xlfn.ORG.LIBREOFFICE.FOURIER(TRANSPOSE({1,2,3,4,5,6;7,8,9,10,11,12}),FALSE,FALSE,TRUE)),2)</t>
  </si>
  <si>
    <t xml:space="preserve">SUM(_xlfn.ORG.LIBREOFFICE.FOURIER(TRANSPOSE({1,2,3,4,5,6;7,8,9,10,11,12}),FALSE,TRUE,TRUE))</t>
  </si>
  <si>
    <t xml:space="preserve">INDEX(_xlfn.ORG.LIBREOFFICE.FOURIER(TRANSPOSE({1,2,3,4,5,6;7,8,9,10,11,12}),FALSE,TRUE,TRUE),1,1)</t>
  </si>
  <si>
    <t xml:space="preserve">INDEX(_xlfn.ORG.LIBREOFFICE.FOURIER(TRANSPOSE({1,2,3,4,5,6;7,8,9,10,11,12}),FALSE,TRUE,TRUE),2,1)</t>
  </si>
  <si>
    <t xml:space="preserve">INDEX(_xlfn.ORG.LIBREOFFICE.FOURIER(TRANSPOSE({1,2,3,4,5,6;7,8,9,10,11,12}),FALSE,TRUE,TRUE),2,2)</t>
  </si>
  <si>
    <t xml:space="preserve">INDEX(_xlfn.ORG.LIBREOFFICE.FOURIER(TRANSPOSE({1,2,3,4,5,6;7,8,9,10,11,12}),FALSE,TRUE,TRUE),3,2)</t>
  </si>
  <si>
    <t xml:space="preserve">INDEX(_xlfn.ORG.LIBREOFFICE.FOURIER(TRANSPOSE({1,2,3,4,5,6;7,8,9,10,11,12}),FALSE,TRUE,TRUE),ROWS(_xlfn.ORG.LIBREOFFICE.FOURIER(TRANSPOSE({1,2,3,4,5,6;7,8,9,10,11,12}),FALSE,TRUE,TRUE)),1)</t>
  </si>
  <si>
    <t xml:space="preserve">INDEX(_xlfn.ORG.LIBREOFFICE.FOURIER(TRANSPOSE({1,2,3,4,5,6;7,8,9,10,11,12}),FALSE,TRUE,TRUE),ROWS(_xlfn.ORG.LIBREOFFICE.FOURIER(TRANSPOSE({1,2,3,4,5,6;7,8,9,10,11,12}),FALSE,TRUE,TRUE)),2)</t>
  </si>
  <si>
    <t xml:space="preserve">SUM(_xlfn.ORG.LIBREOFFICE.FOURIER(TRANSPOSE({1,2,3,4,5,6;7,8,9,10,11,12}),FALSE,FALSE,TRUE,1))</t>
  </si>
  <si>
    <t xml:space="preserve">INDEX(_xlfn.ORG.LIBREOFFICE.FOURIER(TRANSPOSE({1,2,3,4,5,6;7,8,9,10,11,12}),FALSE,FALSE,TRUE,1),1,1)</t>
  </si>
  <si>
    <t xml:space="preserve">INDEX(_xlfn.ORG.LIBREOFFICE.FOURIER(TRANSPOSE({1,2,3,4,5,6;7,8,9,10,11,12}),FALSE,FALSE,TRUE,1),2,1)</t>
  </si>
  <si>
    <t xml:space="preserve">INDEX(_xlfn.ORG.LIBREOFFICE.FOURIER(TRANSPOSE({1,2,3,4,5,6;7,8,9,10,11,12}),FALSE,FALSE,TRUE,1),2,2)</t>
  </si>
  <si>
    <t xml:space="preserve">INDEX(_xlfn.ORG.LIBREOFFICE.FOURIER(TRANSPOSE({1,2,3,4,5,6;7,8,9,10,11,12}),FALSE,FALSE,TRUE,1),3,2)</t>
  </si>
  <si>
    <t xml:space="preserve">INDEX(_xlfn.ORG.LIBREOFFICE.FOURIER(TRANSPOSE({1,2,3,4,5,6;7,8,9,10,11,12}),FALSE,FALSE,TRUE,1),ROWS(_xlfn.ORG.LIBREOFFICE.FOURIER(TRANSPOSE({1,2,3,4,5,6;7,8,9,10,11,12}),FALSE,FALSE,TRUE,1)),1)</t>
  </si>
  <si>
    <t xml:space="preserve">INDEX(_xlfn.ORG.LIBREOFFICE.FOURIER(TRANSPOSE({1,2,3,4,5,6;7,8,9,10,11,12}),FALSE,FALSE,TRUE,1),ROWS(_xlfn.ORG.LIBREOFFICE.FOURIER(TRANSPOSE({1,2,3,4,5,6;7,8,9,10,11,12}),FALSE,FALSE,TRUE,1)),2)</t>
  </si>
  <si>
    <t xml:space="preserve">SUM(_xlfn.ORG.LIBREOFFICE.FOURIER(TRANSPOSE({1,2,3,4,5,6;7,8,9,10,11,12}),FALSE,TRUE,TRUE,5))</t>
  </si>
  <si>
    <t xml:space="preserve">INDEX(_xlfn.ORG.LIBREOFFICE.FOURIER(TRANSPOSE({1,2,3,4,5,6;7,8,9,10,11,12}),FALSE,TRUE,TRUE,5),1,1)</t>
  </si>
  <si>
    <t xml:space="preserve">INDEX(_xlfn.ORG.LIBREOFFICE.FOURIER(TRANSPOSE({1,2,3,4,5,6;7,8,9,10,11,12}),FALSE,TRUE,TRUE,5),2,1)</t>
  </si>
  <si>
    <t xml:space="preserve">INDEX(_xlfn.ORG.LIBREOFFICE.FOURIER(TRANSPOSE({1,2,3,4,5,6;7,8,9,10,11,12}),FALSE,TRUE,TRUE,5),2,2)</t>
  </si>
  <si>
    <t xml:space="preserve">INDEX(_xlfn.ORG.LIBREOFFICE.FOURIER(TRANSPOSE({1,2,3,4,5,6;7,8,9,10,11,12}),FALSE,TRUE,TRUE,5),3,2)</t>
  </si>
  <si>
    <t xml:space="preserve">INDEX(_xlfn.ORG.LIBREOFFICE.FOURIER(TRANSPOSE({1,2,3,4,5,6;7,8,9,10,11,12}),FALSE,TRUE,TRUE,5),ROWS(_xlfn.ORG.LIBREOFFICE.FOURIER(TRANSPOSE({1,2,3,4,5,6;7,8,9,10,11,12}),FALSE,TRUE,TRUE,5)),1)</t>
  </si>
  <si>
    <t xml:space="preserve">INDEX(_xlfn.ORG.LIBREOFFICE.FOURIER(TRANSPOSE({1,2,3,4,5,6;7,8,9,10,11,12}),FALSE,TRUE,TRUE,5),ROWS(_xlfn.ORG.LIBREOFFICE.FOURIER(TRANSPOSE({1,2,3,4,5,6;7,8,9,10,11,12}),FALSE,TRUE,TRUE,5)),2)</t>
  </si>
  <si>
    <t xml:space="preserve">ROWS(_xlfn.ORG.LIBREOFFICE.FOURIER({1,2,3,4,5,6,7,8;9,10,11,12,13,14,15,16},TRUE))</t>
  </si>
  <si>
    <t xml:space="preserve">COLUMNS(_xlfn.ORG.LIBREOFFICE.FOURIER({1,2,3,4,5,6,7,8;9,10,11,12,13,14,15,16},TRUE))</t>
  </si>
  <si>
    <t xml:space="preserve">SUM(_xlfn.ORG.LIBREOFFICE.FOURIER({1,2,3,4,5,6,7,8;9,10,11,12,13,14,15,16},TRUE))</t>
  </si>
  <si>
    <t xml:space="preserve">INDEX(_xlfn.ORG.LIBREOFFICE.FOURIER({1,2,3,4,5,6,7,8;9,10,11,12,13,14,15,16},TRUE),1,1)</t>
  </si>
  <si>
    <t xml:space="preserve">INDEX(_xlfn.ORG.LIBREOFFICE.FOURIER({1,2,3,4,5,6,7,8;9,10,11,12,13,14,15,16},TRUE),2,1)</t>
  </si>
  <si>
    <t xml:space="preserve">INDEX(_xlfn.ORG.LIBREOFFICE.FOURIER({1,2,3,4,5,6,7,8;9,10,11,12,13,14,15,16},TRUE),2,2)</t>
  </si>
  <si>
    <t xml:space="preserve">INDEX(_xlfn.ORG.LIBREOFFICE.FOURIER({1,2,3,4,5,6,7,8;9,10,11,12,13,14,15,16},TRUE),3,2)</t>
  </si>
  <si>
    <t xml:space="preserve">INDEX(_xlfn.ORG.LIBREOFFICE.FOURIER({1,2,3,4,5,6,7,8;9,10,11,12,13,14,15,16},TRUE),ROWS(_xlfn.ORG.LIBREOFFICE.FOURIER({1,2,3,4,5,6,7,8;9,10,11,12,13,14,15,16},TRUE)),1)</t>
  </si>
  <si>
    <t xml:space="preserve">INDEX(_xlfn.ORG.LIBREOFFICE.FOURIER({1,2,3,4,5,6,7,8;9,10,11,12,13,14,15,16},TRUE),ROWS(_xlfn.ORG.LIBREOFFICE.FOURIER({1,2,3,4,5,6,7,8;9,10,11,12,13,14,15,16},TRUE)),2)</t>
  </si>
  <si>
    <t xml:space="preserve">SUM(_xlfn.ORG.LIBREOFFICE.FOURIER({1,2,3,4,5,6,7,8;9,10,11,12,13,14,15,16},TRUE,TRUE))</t>
  </si>
  <si>
    <t xml:space="preserve">INDEX(_xlfn.ORG.LIBREOFFICE.FOURIER({1,2,3,4,5,6,7,8;9,10,11,12,13,14,15,16},TRUE,TRUE),1,1)</t>
  </si>
  <si>
    <t xml:space="preserve">INDEX(_xlfn.ORG.LIBREOFFICE.FOURIER({1,2,3,4,5,6,7,8;9,10,11,12,13,14,15,16},TRUE,TRUE),2,1)</t>
  </si>
  <si>
    <t xml:space="preserve">INDEX(_xlfn.ORG.LIBREOFFICE.FOURIER({1,2,3,4,5,6,7,8;9,10,11,12,13,14,15,16},TRUE,TRUE),2,2)</t>
  </si>
  <si>
    <t xml:space="preserve">INDEX(_xlfn.ORG.LIBREOFFICE.FOURIER({1,2,3,4,5,6,7,8;9,10,11,12,13,14,15,16},TRUE,TRUE),3,2)</t>
  </si>
  <si>
    <t xml:space="preserve">INDEX(_xlfn.ORG.LIBREOFFICE.FOURIER({1,2,3,4,5,6,7,8;9,10,11,12,13,14,15,16},TRUE,TRUE),ROWS(_xlfn.ORG.LIBREOFFICE.FOURIER({1,2,3,4,5,6,7,8;9,10,11,12,13,14,15,16},TRUE,TRUE)),1)</t>
  </si>
  <si>
    <t xml:space="preserve">INDEX(_xlfn.ORG.LIBREOFFICE.FOURIER({1,2,3,4,5,6,7,8;9,10,11,12,13,14,15,16},TRUE,TRUE),ROWS(_xlfn.ORG.LIBREOFFICE.FOURIER({1,2,3,4,5,6,7,8;9,10,11,12,13,14,15,16},TRUE,TRUE)),2)</t>
  </si>
  <si>
    <t xml:space="preserve">SUM(_xlfn.ORG.LIBREOFFICE.FOURIER({1,2,3,4,5,6,7,8;9,10,11,12,13,14,15,16},TRUE,FALSE,TRUE))</t>
  </si>
  <si>
    <t xml:space="preserve">INDEX(_xlfn.ORG.LIBREOFFICE.FOURIER({1,2,3,4,5,6,7,8;9,10,11,12,13,14,15,16},TRUE,FALSE,TRUE),1,1)</t>
  </si>
  <si>
    <t xml:space="preserve">INDEX(_xlfn.ORG.LIBREOFFICE.FOURIER({1,2,3,4,5,6,7,8;9,10,11,12,13,14,15,16},TRUE,FALSE,TRUE),2,1)</t>
  </si>
  <si>
    <t xml:space="preserve">INDEX(_xlfn.ORG.LIBREOFFICE.FOURIER({1,2,3,4,5,6,7,8;9,10,11,12,13,14,15,16},TRUE,FALSE,TRUE),2,2)</t>
  </si>
  <si>
    <t xml:space="preserve">INDEX(_xlfn.ORG.LIBREOFFICE.FOURIER({1,2,3,4,5,6,7,8;9,10,11,12,13,14,15,16},TRUE,FALSE,TRUE),3,2)</t>
  </si>
  <si>
    <t xml:space="preserve">INDEX(_xlfn.ORG.LIBREOFFICE.FOURIER({1,2,3,4,5,6,7,8;9,10,11,12,13,14,15,16},TRUE,FALSE,TRUE),ROWS(_xlfn.ORG.LIBREOFFICE.FOURIER({1,2,3,4,5,6,7,8;9,10,11,12,13,14,15,16},TRUE,FALSE,TRUE)),1)</t>
  </si>
  <si>
    <t xml:space="preserve">INDEX(_xlfn.ORG.LIBREOFFICE.FOURIER({1,2,3,4,5,6,7,8;9,10,11,12,13,14,15,16},TRUE,FALSE,TRUE),ROWS(_xlfn.ORG.LIBREOFFICE.FOURIER({1,2,3,4,5,6,7,8;9,10,11,12,13,14,15,16},TRUE,FALSE,TRUE)),2)</t>
  </si>
  <si>
    <t xml:space="preserve">SUM(_xlfn.ORG.LIBREOFFICE.FOURIER({1,2,3,4,5,6,7,8;9,10,11,12,13,14,15,16},TRUE,TRUE,TRUE))</t>
  </si>
  <si>
    <t xml:space="preserve">INDEX(_xlfn.ORG.LIBREOFFICE.FOURIER({1,2,3,4,5,6,7,8;9,10,11,12,13,14,15,16},TRUE,TRUE,TRUE),1,1)</t>
  </si>
  <si>
    <t xml:space="preserve">INDEX(_xlfn.ORG.LIBREOFFICE.FOURIER({1,2,3,4,5,6,7,8;9,10,11,12,13,14,15,16},TRUE,TRUE,TRUE),2,1)</t>
  </si>
  <si>
    <t xml:space="preserve">INDEX(_xlfn.ORG.LIBREOFFICE.FOURIER({1,2,3,4,5,6,7,8;9,10,11,12,13,14,15,16},TRUE,TRUE,TRUE),2,2)</t>
  </si>
  <si>
    <t xml:space="preserve">INDEX(_xlfn.ORG.LIBREOFFICE.FOURIER({1,2,3,4,5,6,7,8;9,10,11,12,13,14,15,16},TRUE,TRUE,TRUE),3,2)</t>
  </si>
  <si>
    <t xml:space="preserve">INDEX(_xlfn.ORG.LIBREOFFICE.FOURIER({1,2,3,4,5,6,7,8;9,10,11,12,13,14,15,16},TRUE,TRUE,TRUE),ROWS(_xlfn.ORG.LIBREOFFICE.FOURIER({1,2,3,4,5,6,7,8;9,10,11,12,13,14,15,16},TRUE,TRUE,TRUE)),1)</t>
  </si>
  <si>
    <t xml:space="preserve">INDEX(_xlfn.ORG.LIBREOFFICE.FOURIER({1,2,3,4,5,6,7,8;9,10,11,12,13,14,15,16},TRUE,TRUE,TRUE),ROWS(_xlfn.ORG.LIBREOFFICE.FOURIER({1,2,3,4,5,6,7,8;9,10,11,12,13,14,15,16},TRUE,TRUE,TRUE)),2)</t>
  </si>
  <si>
    <t xml:space="preserve">SUM(_xlfn.ORG.LIBREOFFICE.FOURIER({1,2,3,4,5,6,7,8;9,10,11,12,13,14,15,16},TRUE,FALSE,TRUE,1))</t>
  </si>
  <si>
    <t xml:space="preserve">INDEX(_xlfn.ORG.LIBREOFFICE.FOURIER({1,2,3,4,5,6,7,8;9,10,11,12,13,14,15,16},TRUE,FALSE,TRUE,1),1,1)</t>
  </si>
  <si>
    <t xml:space="preserve">INDEX(_xlfn.ORG.LIBREOFFICE.FOURIER({1,2,3,4,5,6,7,8;9,10,11,12,13,14,15,16},TRUE,FALSE,TRUE,1),2,1)</t>
  </si>
  <si>
    <t xml:space="preserve">INDEX(_xlfn.ORG.LIBREOFFICE.FOURIER({1,2,3,4,5,6,7,8;9,10,11,12,13,14,15,16},TRUE,FALSE,TRUE,1),2,2)</t>
  </si>
  <si>
    <t xml:space="preserve">INDEX(_xlfn.ORG.LIBREOFFICE.FOURIER({1,2,3,4,5,6,7,8;9,10,11,12,13,14,15,16},TRUE,FALSE,TRUE,1),3,2)</t>
  </si>
  <si>
    <t xml:space="preserve">INDEX(_xlfn.ORG.LIBREOFFICE.FOURIER({1,2,3,4,5,6,7,8;9,10,11,12,13,14,15,16},TRUE,FALSE,TRUE,1),ROWS(_xlfn.ORG.LIBREOFFICE.FOURIER({1,2,3,4,5,6,7,8;9,10,11,12,13,14,15,16},TRUE,FALSE,TRUE,1)),1)</t>
  </si>
  <si>
    <t xml:space="preserve">INDEX(_xlfn.ORG.LIBREOFFICE.FOURIER({1,2,3,4,5,6,7,8;9,10,11,12,13,14,15,16},TRUE,FALSE,TRUE,1),ROWS(_xlfn.ORG.LIBREOFFICE.FOURIER({1,2,3,4,5,6,7,8;9,10,11,12,13,14,15,16},TRUE,FALSE,TRUE,1)),2)</t>
  </si>
  <si>
    <t xml:space="preserve">SUM(_xlfn.ORG.LIBREOFFICE.FOURIER({1,2,3,4,5,6,7,8;9,10,11,12,13,14,15,16},TRUE,TRUE,TRUE,5))</t>
  </si>
  <si>
    <t xml:space="preserve">INDEX(_xlfn.ORG.LIBREOFFICE.FOURIER({1,2,3,4,5,6,7,8;9,10,11,12,13,14,15,16},TRUE,TRUE,TRUE,5),1,1)</t>
  </si>
  <si>
    <t xml:space="preserve">INDEX(_xlfn.ORG.LIBREOFFICE.FOURIER({1,2,3,4,5,6,7,8;9,10,11,12,13,14,15,16},TRUE,TRUE,TRUE,5),2,1)</t>
  </si>
  <si>
    <t xml:space="preserve">INDEX(_xlfn.ORG.LIBREOFFICE.FOURIER({1,2,3,4,5,6,7,8;9,10,11,12,13,14,15,16},TRUE,TRUE,TRUE,5),2,2)</t>
  </si>
  <si>
    <t xml:space="preserve">INDEX(_xlfn.ORG.LIBREOFFICE.FOURIER({1,2,3,4,5,6,7,8;9,10,11,12,13,14,15,16},TRUE,TRUE,TRUE,5),3,2)</t>
  </si>
  <si>
    <t xml:space="preserve">INDEX(_xlfn.ORG.LIBREOFFICE.FOURIER({1,2,3,4,5,6,7,8;9,10,11,12,13,14,15,16},TRUE,TRUE,TRUE,5),ROWS(_xlfn.ORG.LIBREOFFICE.FOURIER({1,2,3,4,5,6,7,8;9,10,11,12,13,14,15,16},TRUE,TRUE,TRUE,5)),1)</t>
  </si>
  <si>
    <t xml:space="preserve">INDEX(_xlfn.ORG.LIBREOFFICE.FOURIER({1,2,3,4,5,6,7,8;9,10,11,12,13,14,15,16},TRUE,TRUE,TRUE,5),ROWS(_xlfn.ORG.LIBREOFFICE.FOURIER({1,2,3,4,5,6,7,8;9,10,11,12,13,14,15,16},TRUE,TRUE,TRUE,5)),2)</t>
  </si>
  <si>
    <t xml:space="preserve">ROWS(_xlfn.ORG.LIBREOFFICE.FOURIER(TRANSPOSE({1,2,3,4,5,6,7,8;9,10,11,12,13,14,15,16}),FALSE))</t>
  </si>
  <si>
    <t xml:space="preserve">COLUMNS(_xlfn.ORG.LIBREOFFICE.FOURIER(TRANSPOSE({1,2,3,4,5,6,7,8;9,10,11,12,13,14,15,16}),FALSE))</t>
  </si>
  <si>
    <t xml:space="preserve">SUM(_xlfn.ORG.LIBREOFFICE.FOURIER(TRANSPOSE({1,2,3,4,5,6,7,8;9,10,11,12,13,14,15,16}),FALSE))</t>
  </si>
  <si>
    <t xml:space="preserve">INDEX(_xlfn.ORG.LIBREOFFICE.FOURIER(TRANSPOSE({1,2,3,4,5,6,7,8;9,10,11,12,13,14,15,16}),FALSE),1,1)</t>
  </si>
  <si>
    <t xml:space="preserve">INDEX(_xlfn.ORG.LIBREOFFICE.FOURIER(TRANSPOSE({1,2,3,4,5,6,7,8;9,10,11,12,13,14,15,16}),FALSE),2,1)</t>
  </si>
  <si>
    <t xml:space="preserve">INDEX(_xlfn.ORG.LIBREOFFICE.FOURIER(TRANSPOSE({1,2,3,4,5,6,7,8;9,10,11,12,13,14,15,16}),FALSE),2,2)</t>
  </si>
  <si>
    <t xml:space="preserve">INDEX(_xlfn.ORG.LIBREOFFICE.FOURIER(TRANSPOSE({1,2,3,4,5,6,7,8;9,10,11,12,13,14,15,16}),FALSE),3,2)</t>
  </si>
  <si>
    <t xml:space="preserve">INDEX(_xlfn.ORG.LIBREOFFICE.FOURIER(TRANSPOSE({1,2,3,4,5,6,7,8;9,10,11,12,13,14,15,16}),FALSE),ROWS(_xlfn.ORG.LIBREOFFICE.FOURIER(TRANSPOSE({1,2,3,4,5,6,7,8;9,10,11,12,13,14,15,16}),FALSE)),1)</t>
  </si>
  <si>
    <t xml:space="preserve">INDEX(_xlfn.ORG.LIBREOFFICE.FOURIER(TRANSPOSE({1,2,3,4,5,6,7,8;9,10,11,12,13,14,15,16}),FALSE),ROWS(_xlfn.ORG.LIBREOFFICE.FOURIER(TRANSPOSE({1,2,3,4,5,6,7,8;9,10,11,12,13,14,15,16}),FALSE)),2)</t>
  </si>
  <si>
    <t xml:space="preserve">SUM(_xlfn.ORG.LIBREOFFICE.FOURIER(TRANSPOSE({1,2,3,4,5,6,7,8;9,10,11,12,13,14,15,16}),FALSE,TRUE))</t>
  </si>
  <si>
    <t xml:space="preserve">INDEX(_xlfn.ORG.LIBREOFFICE.FOURIER(TRANSPOSE({1,2,3,4,5,6,7,8;9,10,11,12,13,14,15,16}),FALSE,TRUE),1,1)</t>
  </si>
  <si>
    <t xml:space="preserve">INDEX(_xlfn.ORG.LIBREOFFICE.FOURIER(TRANSPOSE({1,2,3,4,5,6,7,8;9,10,11,12,13,14,15,16}),FALSE,TRUE),2,1)</t>
  </si>
  <si>
    <t xml:space="preserve">INDEX(_xlfn.ORG.LIBREOFFICE.FOURIER(TRANSPOSE({1,2,3,4,5,6,7,8;9,10,11,12,13,14,15,16}),FALSE,TRUE),2,2)</t>
  </si>
  <si>
    <t xml:space="preserve">INDEX(_xlfn.ORG.LIBREOFFICE.FOURIER(TRANSPOSE({1,2,3,4,5,6,7,8;9,10,11,12,13,14,15,16}),FALSE,TRUE),3,2)</t>
  </si>
  <si>
    <t xml:space="preserve">INDEX(_xlfn.ORG.LIBREOFFICE.FOURIER(TRANSPOSE({1,2,3,4,5,6,7,8;9,10,11,12,13,14,15,16}),FALSE,TRUE),ROWS(_xlfn.ORG.LIBREOFFICE.FOURIER(TRANSPOSE({1,2,3,4,5,6,7,8;9,10,11,12,13,14,15,16}),FALSE,TRUE)),1)</t>
  </si>
  <si>
    <t xml:space="preserve">INDEX(_xlfn.ORG.LIBREOFFICE.FOURIER(TRANSPOSE({1,2,3,4,5,6,7,8;9,10,11,12,13,14,15,16}),FALSE,TRUE),ROWS(_xlfn.ORG.LIBREOFFICE.FOURIER(TRANSPOSE({1,2,3,4,5,6,7,8;9,10,11,12,13,14,15,16}),FALSE,TRUE)),2)</t>
  </si>
  <si>
    <t xml:space="preserve">SUM(_xlfn.ORG.LIBREOFFICE.FOURIER(TRANSPOSE({1,2,3,4,5,6,7,8;9,10,11,12,13,14,15,16}),FALSE,FALSE,TRUE))</t>
  </si>
  <si>
    <t xml:space="preserve">INDEX(_xlfn.ORG.LIBREOFFICE.FOURIER(TRANSPOSE({1,2,3,4,5,6,7,8;9,10,11,12,13,14,15,16}),FALSE,FALSE,TRUE),1,1)</t>
  </si>
  <si>
    <t xml:space="preserve">INDEX(_xlfn.ORG.LIBREOFFICE.FOURIER(TRANSPOSE({1,2,3,4,5,6,7,8;9,10,11,12,13,14,15,16}),FALSE,FALSE,TRUE),2,1)</t>
  </si>
  <si>
    <t xml:space="preserve">INDEX(_xlfn.ORG.LIBREOFFICE.FOURIER(TRANSPOSE({1,2,3,4,5,6,7,8;9,10,11,12,13,14,15,16}),FALSE,FALSE,TRUE),2,2)</t>
  </si>
  <si>
    <t xml:space="preserve">INDEX(_xlfn.ORG.LIBREOFFICE.FOURIER(TRANSPOSE({1,2,3,4,5,6,7,8;9,10,11,12,13,14,15,16}),FALSE,FALSE,TRUE),3,2)</t>
  </si>
  <si>
    <t xml:space="preserve">INDEX(_xlfn.ORG.LIBREOFFICE.FOURIER(TRANSPOSE({1,2,3,4,5,6,7,8;9,10,11,12,13,14,15,16}),FALSE,FALSE,TRUE),ROWS(_xlfn.ORG.LIBREOFFICE.FOURIER(TRANSPOSE({1,2,3,4,5,6,7,8;9,10,11,12,13,14,15,16}),FALSE,FALSE,TRUE)),1)</t>
  </si>
  <si>
    <t xml:space="preserve">INDEX(_xlfn.ORG.LIBREOFFICE.FOURIER(TRANSPOSE({1,2,3,4,5,6,7,8;9,10,11,12,13,14,15,16}),FALSE,FALSE,TRUE),ROWS(_xlfn.ORG.LIBREOFFICE.FOURIER(TRANSPOSE({1,2,3,4,5,6,7,8;9,10,11,12,13,14,15,16}),FALSE,FALSE,TRUE)),2)</t>
  </si>
  <si>
    <t xml:space="preserve">SUM(_xlfn.ORG.LIBREOFFICE.FOURIER(TRANSPOSE({1,2,3,4,5,6,7,8;9,10,11,12,13,14,15,16}),FALSE,TRUE,TRUE))</t>
  </si>
  <si>
    <t xml:space="preserve">INDEX(_xlfn.ORG.LIBREOFFICE.FOURIER(TRANSPOSE({1,2,3,4,5,6,7,8;9,10,11,12,13,14,15,16}),FALSE,TRUE,TRUE),1,1)</t>
  </si>
  <si>
    <t xml:space="preserve">INDEX(_xlfn.ORG.LIBREOFFICE.FOURIER(TRANSPOSE({1,2,3,4,5,6,7,8;9,10,11,12,13,14,15,16}),FALSE,TRUE,TRUE),2,1)</t>
  </si>
  <si>
    <t xml:space="preserve">INDEX(_xlfn.ORG.LIBREOFFICE.FOURIER(TRANSPOSE({1,2,3,4,5,6,7,8;9,10,11,12,13,14,15,16}),FALSE,TRUE,TRUE),2,2)</t>
  </si>
  <si>
    <t xml:space="preserve">INDEX(_xlfn.ORG.LIBREOFFICE.FOURIER(TRANSPOSE({1,2,3,4,5,6,7,8;9,10,11,12,13,14,15,16}),FALSE,TRUE,TRUE),3,2)</t>
  </si>
  <si>
    <t xml:space="preserve">INDEX(_xlfn.ORG.LIBREOFFICE.FOURIER(TRANSPOSE({1,2,3,4,5,6,7,8;9,10,11,12,13,14,15,16}),FALSE,TRUE,TRUE),ROWS(_xlfn.ORG.LIBREOFFICE.FOURIER(TRANSPOSE({1,2,3,4,5,6,7,8;9,10,11,12,13,14,15,16}),FALSE,TRUE,TRUE)),1)</t>
  </si>
  <si>
    <t xml:space="preserve">INDEX(_xlfn.ORG.LIBREOFFICE.FOURIER(TRANSPOSE({1,2,3,4,5,6,7,8;9,10,11,12,13,14,15,16}),FALSE,TRUE,TRUE),ROWS(_xlfn.ORG.LIBREOFFICE.FOURIER(TRANSPOSE({1,2,3,4,5,6,7,8;9,10,11,12,13,14,15,16}),FALSE,TRUE,TRUE)),2)</t>
  </si>
  <si>
    <t xml:space="preserve">SUM(_xlfn.ORG.LIBREOFFICE.FOURIER(TRANSPOSE({1,2,3,4,5,6,7,8;9,10,11,12,13,14,15,16}),FALSE,FALSE,TRUE,1))</t>
  </si>
  <si>
    <t xml:space="preserve">INDEX(_xlfn.ORG.LIBREOFFICE.FOURIER(TRANSPOSE({1,2,3,4,5,6,7,8;9,10,11,12,13,14,15,16}),FALSE,FALSE,TRUE,1),1,1)</t>
  </si>
  <si>
    <t xml:space="preserve">INDEX(_xlfn.ORG.LIBREOFFICE.FOURIER(TRANSPOSE({1,2,3,4,5,6,7,8;9,10,11,12,13,14,15,16}),FALSE,FALSE,TRUE,1),2,1)</t>
  </si>
  <si>
    <t xml:space="preserve">INDEX(_xlfn.ORG.LIBREOFFICE.FOURIER(TRANSPOSE({1,2,3,4,5,6,7,8;9,10,11,12,13,14,15,16}),FALSE,FALSE,TRUE,1),2,2)</t>
  </si>
  <si>
    <t xml:space="preserve">INDEX(_xlfn.ORG.LIBREOFFICE.FOURIER(TRANSPOSE({1,2,3,4,5,6,7,8;9,10,11,12,13,14,15,16}),FALSE,FALSE,TRUE,1),3,2)</t>
  </si>
  <si>
    <t xml:space="preserve">INDEX(_xlfn.ORG.LIBREOFFICE.FOURIER(TRANSPOSE({1,2,3,4,5,6,7,8;9,10,11,12,13,14,15,16}),FALSE,FALSE,TRUE,1),ROWS(_xlfn.ORG.LIBREOFFICE.FOURIER(TRANSPOSE({1,2,3,4,5,6,7,8;9,10,11,12,13,14,15,16}),FALSE,FALSE,TRUE,1)),1)</t>
  </si>
  <si>
    <t xml:space="preserve">INDEX(_xlfn.ORG.LIBREOFFICE.FOURIER(TRANSPOSE({1,2,3,4,5,6,7,8;9,10,11,12,13,14,15,16}),FALSE,FALSE,TRUE,1),ROWS(_xlfn.ORG.LIBREOFFICE.FOURIER(TRANSPOSE({1,2,3,4,5,6,7,8;9,10,11,12,13,14,15,16}),FALSE,FALSE,TRUE,1)),2)</t>
  </si>
  <si>
    <t xml:space="preserve">SUM(_xlfn.ORG.LIBREOFFICE.FOURIER(TRANSPOSE({1,2,3,4,5,6,7,8;9,10,11,12,13,14,15,16}),FALSE,TRUE,TRUE,5))</t>
  </si>
  <si>
    <t xml:space="preserve">INDEX(_xlfn.ORG.LIBREOFFICE.FOURIER(TRANSPOSE({1,2,3,4,5,6,7,8;9,10,11,12,13,14,15,16}),FALSE,TRUE,TRUE,5),1,1)</t>
  </si>
  <si>
    <t xml:space="preserve">INDEX(_xlfn.ORG.LIBREOFFICE.FOURIER(TRANSPOSE({1,2,3,4,5,6,7,8;9,10,11,12,13,14,15,16}),FALSE,TRUE,TRUE,5),2,1)</t>
  </si>
  <si>
    <t xml:space="preserve">INDEX(_xlfn.ORG.LIBREOFFICE.FOURIER(TRANSPOSE({1,2,3,4,5,6,7,8;9,10,11,12,13,14,15,16}),FALSE,TRUE,TRUE,5),2,2)</t>
  </si>
  <si>
    <t xml:space="preserve">INDEX(_xlfn.ORG.LIBREOFFICE.FOURIER(TRANSPOSE({1,2,3,4,5,6,7,8;9,10,11,12,13,14,15,16}),FALSE,TRUE,TRUE,5),3,2)</t>
  </si>
  <si>
    <t xml:space="preserve">INDEX(_xlfn.ORG.LIBREOFFICE.FOURIER(TRANSPOSE({1,2,3,4,5,6,7,8;9,10,11,12,13,14,15,16}),FALSE,TRUE,TRUE,5),ROWS(_xlfn.ORG.LIBREOFFICE.FOURIER(TRANSPOSE({1,2,3,4,5,6,7,8;9,10,11,12,13,14,15,16}),FALSE,TRUE,TRUE,5)),1)</t>
  </si>
  <si>
    <t xml:space="preserve">INDEX(_xlfn.ORG.LIBREOFFICE.FOURIER(TRANSPOSE({1,2,3,4,5,6,7,8;9,10,11,12,13,14,15,16}),FALSE,TRUE,TRUE,5),ROWS(_xlfn.ORG.LIBREOFFICE.FOURIER(TRANSPOSE({1,2,3,4,5,6,7,8;9,10,11,12,13,14,15,16}),FALSE,TRUE,TRUE,5)),2)</t>
  </si>
  <si>
    <t xml:space="preserve">ROWS(_xlfn.ORG.LIBREOFFICE.FOURIER(5,TRUE))</t>
  </si>
  <si>
    <t xml:space="preserve">COLUMNS(_xlfn.ORG.LIBREOFFICE.FOURIER(5,TRUE))</t>
  </si>
  <si>
    <t xml:space="preserve">SUM(_xlfn.ORG.LIBREOFFICE.FOURIER(5,TRUE))</t>
  </si>
  <si>
    <t xml:space="preserve">INDEX(_xlfn.ORG.LIBREOFFICE.FOURIER(5,TRUE),1,1)</t>
  </si>
  <si>
    <t xml:space="preserve">INDEX(_xlfn.ORG.LIBREOFFICE.FOURIER(5,TRUE),2,1)</t>
  </si>
  <si>
    <t xml:space="preserve">INDEX(_xlfn.ORG.LIBREOFFICE.FOURIER(5,TRUE),2,2)</t>
  </si>
  <si>
    <t xml:space="preserve">INDEX(_xlfn.ORG.LIBREOFFICE.FOURIER(5,TRUE),3,2)</t>
  </si>
  <si>
    <t xml:space="preserve">INDEX(_xlfn.ORG.LIBREOFFICE.FOURIER(5,TRUE),ROWS(_xlfn.ORG.LIBREOFFICE.FOURIER(5,TRUE)),1)</t>
  </si>
  <si>
    <t xml:space="preserve">INDEX(_xlfn.ORG.LIBREOFFICE.FOURIER(5,TRUE),ROWS(_xlfn.ORG.LIBREOFFICE.FOURIER(5,TRUE)),2)</t>
  </si>
  <si>
    <t xml:space="preserve">SUM(_xlfn.ORG.LIBREOFFICE.FOURIER(5,TRUE,TRUE))</t>
  </si>
  <si>
    <t xml:space="preserve">INDEX(_xlfn.ORG.LIBREOFFICE.FOURIER(5,TRUE,TRUE),1,1)</t>
  </si>
  <si>
    <t xml:space="preserve">INDEX(_xlfn.ORG.LIBREOFFICE.FOURIER(5,TRUE,TRUE),2,1)</t>
  </si>
  <si>
    <t xml:space="preserve">INDEX(_xlfn.ORG.LIBREOFFICE.FOURIER(5,TRUE,TRUE),2,2)</t>
  </si>
  <si>
    <t xml:space="preserve">INDEX(_xlfn.ORG.LIBREOFFICE.FOURIER(5,TRUE,TRUE),3,2)</t>
  </si>
  <si>
    <t xml:space="preserve">INDEX(_xlfn.ORG.LIBREOFFICE.FOURIER(5,TRUE,TRUE),ROWS(_xlfn.ORG.LIBREOFFICE.FOURIER(5,TRUE,TRUE)),1)</t>
  </si>
  <si>
    <t xml:space="preserve">INDEX(_xlfn.ORG.LIBREOFFICE.FOURIER(5,TRUE,TRUE),ROWS(_xlfn.ORG.LIBREOFFICE.FOURIER(5,TRUE,TRUE)),2)</t>
  </si>
  <si>
    <t xml:space="preserve">SUM(_xlfn.ORG.LIBREOFFICE.FOURIER(5,TRUE,FALSE,TRUE))</t>
  </si>
  <si>
    <t xml:space="preserve">INDEX(_xlfn.ORG.LIBREOFFICE.FOURIER(5,TRUE,FALSE,TRUE),1,1)</t>
  </si>
  <si>
    <t xml:space="preserve">INDEX(_xlfn.ORG.LIBREOFFICE.FOURIER(5,TRUE,FALSE,TRUE),2,1)</t>
  </si>
  <si>
    <t xml:space="preserve">INDEX(_xlfn.ORG.LIBREOFFICE.FOURIER(5,TRUE,FALSE,TRUE),2,2)</t>
  </si>
  <si>
    <t xml:space="preserve">INDEX(_xlfn.ORG.LIBREOFFICE.FOURIER(5,TRUE,FALSE,TRUE),3,2)</t>
  </si>
  <si>
    <t xml:space="preserve">INDEX(_xlfn.ORG.LIBREOFFICE.FOURIER(5,TRUE,FALSE,TRUE),ROWS(_xlfn.ORG.LIBREOFFICE.FOURIER(5,TRUE,FALSE,TRUE)),1)</t>
  </si>
  <si>
    <t xml:space="preserve">INDEX(_xlfn.ORG.LIBREOFFICE.FOURIER(5,TRUE,FALSE,TRUE),ROWS(_xlfn.ORG.LIBREOFFICE.FOURIER(5,TRUE,FALSE,TRUE)),2)</t>
  </si>
  <si>
    <t xml:space="preserve">SUM(_xlfn.ORG.LIBREOFFICE.FOURIER(5,TRUE,TRUE,TRUE))</t>
  </si>
  <si>
    <t xml:space="preserve">INDEX(_xlfn.ORG.LIBREOFFICE.FOURIER(5,TRUE,TRUE,TRUE),1,1)</t>
  </si>
  <si>
    <t xml:space="preserve">INDEX(_xlfn.ORG.LIBREOFFICE.FOURIER(5,TRUE,TRUE,TRUE),2,1)</t>
  </si>
  <si>
    <t xml:space="preserve">INDEX(_xlfn.ORG.LIBREOFFICE.FOURIER(5,TRUE,TRUE,TRUE),2,2)</t>
  </si>
  <si>
    <t xml:space="preserve">INDEX(_xlfn.ORG.LIBREOFFICE.FOURIER(5,TRUE,TRUE,TRUE),3,2)</t>
  </si>
  <si>
    <t xml:space="preserve">INDEX(_xlfn.ORG.LIBREOFFICE.FOURIER(5,TRUE,TRUE,TRUE),ROWS(_xlfn.ORG.LIBREOFFICE.FOURIER(5,TRUE,TRUE,TRUE)),1)</t>
  </si>
  <si>
    <t xml:space="preserve">INDEX(_xlfn.ORG.LIBREOFFICE.FOURIER(5,TRUE,TRUE,TRUE),ROWS(_xlfn.ORG.LIBREOFFICE.FOURIER(5,TRUE,TRUE,TRUE)),2)</t>
  </si>
  <si>
    <t xml:space="preserve">SUM(_xlfn.ORG.LIBREOFFICE.FOURIER(5,TRUE,FALSE,TRUE,1))</t>
  </si>
  <si>
    <t xml:space="preserve">INDEX(_xlfn.ORG.LIBREOFFICE.FOURIER(5,TRUE,FALSE,TRUE,1),1,1)</t>
  </si>
  <si>
    <t xml:space="preserve">INDEX(_xlfn.ORG.LIBREOFFICE.FOURIER(5,TRUE,FALSE,TRUE,1),2,1)</t>
  </si>
  <si>
    <t xml:space="preserve">INDEX(_xlfn.ORG.LIBREOFFICE.FOURIER(5,TRUE,FALSE,TRUE,1),2,2)</t>
  </si>
  <si>
    <t xml:space="preserve">INDEX(_xlfn.ORG.LIBREOFFICE.FOURIER(5,TRUE,FALSE,TRUE,1),3,2)</t>
  </si>
  <si>
    <t xml:space="preserve">INDEX(_xlfn.ORG.LIBREOFFICE.FOURIER(5,TRUE,FALSE,TRUE,1),ROWS(_xlfn.ORG.LIBREOFFICE.FOURIER(5,TRUE,FALSE,TRUE,1)),1)</t>
  </si>
  <si>
    <t xml:space="preserve">INDEX(_xlfn.ORG.LIBREOFFICE.FOURIER(5,TRUE,FALSE,TRUE,1),ROWS(_xlfn.ORG.LIBREOFFICE.FOURIER(5,TRUE,FALSE,TRUE,1)),2)</t>
  </si>
  <si>
    <t xml:space="preserve">SUM(_xlfn.ORG.LIBREOFFICE.FOURIER(5,TRUE,TRUE,TRUE,5))</t>
  </si>
  <si>
    <t xml:space="preserve">INDEX(_xlfn.ORG.LIBREOFFICE.FOURIER(5,TRUE,TRUE,TRUE,5),1,1)</t>
  </si>
  <si>
    <t xml:space="preserve">INDEX(_xlfn.ORG.LIBREOFFICE.FOURIER(5,TRUE,TRUE,TRUE,5),2,1)</t>
  </si>
  <si>
    <t xml:space="preserve">INDEX(_xlfn.ORG.LIBREOFFICE.FOURIER(5,TRUE,TRUE,TRUE,5),2,2)</t>
  </si>
  <si>
    <t xml:space="preserve">INDEX(_xlfn.ORG.LIBREOFFICE.FOURIER(5,TRUE,TRUE,TRUE,5),3,2)</t>
  </si>
  <si>
    <t xml:space="preserve">INDEX(_xlfn.ORG.LIBREOFFICE.FOURIER(5,TRUE,TRUE,TRUE,5),ROWS(_xlfn.ORG.LIBREOFFICE.FOURIER(5,TRUE,TRUE,TRUE,5)),1)</t>
  </si>
  <si>
    <t xml:space="preserve">INDEX(_xlfn.ORG.LIBREOFFICE.FOURIER(5,TRUE,TRUE,TRUE,5),ROWS(_xlfn.ORG.LIBREOFFICE.FOURIER(5,TRUE,TRUE,TRUE,5)),2)</t>
  </si>
  <si>
    <t xml:space="preserve">ROWS(_xlfn.ORG.LIBREOFFICE.FOURIER(5,FALSE))</t>
  </si>
  <si>
    <t xml:space="preserve">COLUMNS(_xlfn.ORG.LIBREOFFICE.FOURIER(5,FALSE))</t>
  </si>
  <si>
    <t xml:space="preserve">SUM(_xlfn.ORG.LIBREOFFICE.FOURIER(5,FALSE))</t>
  </si>
  <si>
    <t xml:space="preserve">INDEX(_xlfn.ORG.LIBREOFFICE.FOURIER(5,FALSE),1,1)</t>
  </si>
  <si>
    <t xml:space="preserve">INDEX(_xlfn.ORG.LIBREOFFICE.FOURIER(5,FALSE),2,1)</t>
  </si>
  <si>
    <t xml:space="preserve">INDEX(_xlfn.ORG.LIBREOFFICE.FOURIER(5,FALSE),2,2)</t>
  </si>
  <si>
    <t xml:space="preserve">INDEX(_xlfn.ORG.LIBREOFFICE.FOURIER(5,FALSE),3,2)</t>
  </si>
  <si>
    <t xml:space="preserve">INDEX(_xlfn.ORG.LIBREOFFICE.FOURIER(5,FALSE),ROWS(_xlfn.ORG.LIBREOFFICE.FOURIER(5,FALSE)),1)</t>
  </si>
  <si>
    <t xml:space="preserve">INDEX(_xlfn.ORG.LIBREOFFICE.FOURIER(5,FALSE),ROWS(_xlfn.ORG.LIBREOFFICE.FOURIER(5,FALSE)),2)</t>
  </si>
  <si>
    <t xml:space="preserve">SUM(_xlfn.ORG.LIBREOFFICE.FOURIER(5,FALSE,TRUE))</t>
  </si>
  <si>
    <t xml:space="preserve">INDEX(_xlfn.ORG.LIBREOFFICE.FOURIER(5,FALSE,TRUE),1,1)</t>
  </si>
  <si>
    <t xml:space="preserve">INDEX(_xlfn.ORG.LIBREOFFICE.FOURIER(5,FALSE,TRUE),2,1)</t>
  </si>
  <si>
    <t xml:space="preserve">INDEX(_xlfn.ORG.LIBREOFFICE.FOURIER(5,FALSE,TRUE),2,2)</t>
  </si>
  <si>
    <t xml:space="preserve">INDEX(_xlfn.ORG.LIBREOFFICE.FOURIER(5,FALSE,TRUE),3,2)</t>
  </si>
  <si>
    <t xml:space="preserve">INDEX(_xlfn.ORG.LIBREOFFICE.FOURIER(5,FALSE,TRUE),ROWS(_xlfn.ORG.LIBREOFFICE.FOURIER(5,FALSE,TRUE)),1)</t>
  </si>
  <si>
    <t xml:space="preserve">INDEX(_xlfn.ORG.LIBREOFFICE.FOURIER(5,FALSE,TRUE),ROWS(_xlfn.ORG.LIBREOFFICE.FOURIER(5,FALSE,TRUE)),2)</t>
  </si>
  <si>
    <t xml:space="preserve">SUM(_xlfn.ORG.LIBREOFFICE.FOURIER(5,FALSE,FALSE,TRUE))</t>
  </si>
  <si>
    <t xml:space="preserve">INDEX(_xlfn.ORG.LIBREOFFICE.FOURIER(5,FALSE,FALSE,TRUE),1,1)</t>
  </si>
  <si>
    <t xml:space="preserve">INDEX(_xlfn.ORG.LIBREOFFICE.FOURIER(5,FALSE,FALSE,TRUE),2,1)</t>
  </si>
  <si>
    <t xml:space="preserve">INDEX(_xlfn.ORG.LIBREOFFICE.FOURIER(5,FALSE,FALSE,TRUE),2,2)</t>
  </si>
  <si>
    <t xml:space="preserve">INDEX(_xlfn.ORG.LIBREOFFICE.FOURIER(5,FALSE,FALSE,TRUE),3,2)</t>
  </si>
  <si>
    <t xml:space="preserve">INDEX(_xlfn.ORG.LIBREOFFICE.FOURIER(5,FALSE,FALSE,TRUE),ROWS(_xlfn.ORG.LIBREOFFICE.FOURIER(5,FALSE,FALSE,TRUE)),1)</t>
  </si>
  <si>
    <t xml:space="preserve">INDEX(_xlfn.ORG.LIBREOFFICE.FOURIER(5,FALSE,FALSE,TRUE),ROWS(_xlfn.ORG.LIBREOFFICE.FOURIER(5,FALSE,FALSE,TRUE)),2)</t>
  </si>
  <si>
    <t xml:space="preserve">SUM(_xlfn.ORG.LIBREOFFICE.FOURIER(5,FALSE,TRUE,TRUE))</t>
  </si>
  <si>
    <t xml:space="preserve">INDEX(_xlfn.ORG.LIBREOFFICE.FOURIER(5,FALSE,TRUE,TRUE),1,1)</t>
  </si>
  <si>
    <t xml:space="preserve">INDEX(_xlfn.ORG.LIBREOFFICE.FOURIER(5,FALSE,TRUE,TRUE),2,1)</t>
  </si>
  <si>
    <t xml:space="preserve">INDEX(_xlfn.ORG.LIBREOFFICE.FOURIER(5,FALSE,TRUE,TRUE),2,2)</t>
  </si>
  <si>
    <t xml:space="preserve">INDEX(_xlfn.ORG.LIBREOFFICE.FOURIER(5,FALSE,TRUE,TRUE),3,2)</t>
  </si>
  <si>
    <t xml:space="preserve">INDEX(_xlfn.ORG.LIBREOFFICE.FOURIER(5,FALSE,TRUE,TRUE),ROWS(_xlfn.ORG.LIBREOFFICE.FOURIER(5,FALSE,TRUE,TRUE)),1)</t>
  </si>
  <si>
    <t xml:space="preserve">INDEX(_xlfn.ORG.LIBREOFFICE.FOURIER(5,FALSE,TRUE,TRUE),ROWS(_xlfn.ORG.LIBREOFFICE.FOURIER(5,FALSE,TRUE,TRUE)),2)</t>
  </si>
  <si>
    <t xml:space="preserve">SUM(_xlfn.ORG.LIBREOFFICE.FOURIER(5,FALSE,FALSE,TRUE,1))</t>
  </si>
  <si>
    <t xml:space="preserve">INDEX(_xlfn.ORG.LIBREOFFICE.FOURIER(5,FALSE,FALSE,TRUE,1),1,1)</t>
  </si>
  <si>
    <t xml:space="preserve">INDEX(_xlfn.ORG.LIBREOFFICE.FOURIER(5,FALSE,FALSE,TRUE,1),2,1)</t>
  </si>
  <si>
    <t xml:space="preserve">INDEX(_xlfn.ORG.LIBREOFFICE.FOURIER(5,FALSE,FALSE,TRUE,1),2,2)</t>
  </si>
  <si>
    <t xml:space="preserve">INDEX(_xlfn.ORG.LIBREOFFICE.FOURIER(5,FALSE,FALSE,TRUE,1),3,2)</t>
  </si>
  <si>
    <t xml:space="preserve">INDEX(_xlfn.ORG.LIBREOFFICE.FOURIER(5,FALSE,FALSE,TRUE,1),ROWS(_xlfn.ORG.LIBREOFFICE.FOURIER(5,FALSE,FALSE,TRUE,1)),1)</t>
  </si>
  <si>
    <t xml:space="preserve">INDEX(_xlfn.ORG.LIBREOFFICE.FOURIER(5,FALSE,FALSE,TRUE,1),ROWS(_xlfn.ORG.LIBREOFFICE.FOURIER(5,FALSE,FALSE,TRUE,1)),2)</t>
  </si>
  <si>
    <t xml:space="preserve">SUM(_xlfn.ORG.LIBREOFFICE.FOURIER(5,FALSE,TRUE,TRUE,5))</t>
  </si>
  <si>
    <t xml:space="preserve">INDEX(_xlfn.ORG.LIBREOFFICE.FOURIER(5,FALSE,TRUE,TRUE,5),1,1)</t>
  </si>
  <si>
    <t xml:space="preserve">INDEX(_xlfn.ORG.LIBREOFFICE.FOURIER(5,FALSE,TRUE,TRUE,5),2,1)</t>
  </si>
  <si>
    <t xml:space="preserve">INDEX(_xlfn.ORG.LIBREOFFICE.FOURIER(5,FALSE,TRUE,TRUE,5),2,2)</t>
  </si>
  <si>
    <t xml:space="preserve">INDEX(_xlfn.ORG.LIBREOFFICE.FOURIER(5,FALSE,TRUE,TRUE,5),3,2)</t>
  </si>
  <si>
    <t xml:space="preserve">INDEX(_xlfn.ORG.LIBREOFFICE.FOURIER(5,FALSE,TRUE,TRUE,5),ROWS(_xlfn.ORG.LIBREOFFICE.FOURIER(5,FALSE,TRUE,TRUE,5)),1)</t>
  </si>
  <si>
    <t xml:space="preserve">INDEX(_xlfn.ORG.LIBREOFFICE.FOURIER(5,FALSE,TRUE,TRUE,5),ROWS(_xlfn.ORG.LIBREOFFICE.FOURIER(5,FALSE,TRUE,TRUE,5)),2)</t>
  </si>
  <si>
    <t xml:space="preserve">ROWS(_xlfn.ORG.LIBREOFFICE.FOURIER(TRUE,TRUE))</t>
  </si>
  <si>
    <t xml:space="preserve">COLUMNS(_xlfn.ORG.LIBREOFFICE.FOURIER(TRUE,TRUE))</t>
  </si>
  <si>
    <t xml:space="preserve">SUM(_xlfn.ORG.LIBREOFFICE.FOURIER(TRUE,TRUE))</t>
  </si>
  <si>
    <t xml:space="preserve">INDEX(_xlfn.ORG.LIBREOFFICE.FOURIER(TRUE,TRUE),1,1)</t>
  </si>
  <si>
    <t xml:space="preserve">INDEX(_xlfn.ORG.LIBREOFFICE.FOURIER(TRUE,TRUE),2,1)</t>
  </si>
  <si>
    <t xml:space="preserve">INDEX(_xlfn.ORG.LIBREOFFICE.FOURIER(TRUE,TRUE),2,2)</t>
  </si>
  <si>
    <t xml:space="preserve">INDEX(_xlfn.ORG.LIBREOFFICE.FOURIER(TRUE,TRUE),3,2)</t>
  </si>
  <si>
    <t xml:space="preserve">INDEX(_xlfn.ORG.LIBREOFFICE.FOURIER(TRUE,TRUE),ROWS(_xlfn.ORG.LIBREOFFICE.FOURIER(TRUE,TRUE)),1)</t>
  </si>
  <si>
    <t xml:space="preserve">INDEX(_xlfn.ORG.LIBREOFFICE.FOURIER(TRUE,TRUE),ROWS(_xlfn.ORG.LIBREOFFICE.FOURIER(TRUE,TRUE)),2)</t>
  </si>
  <si>
    <t xml:space="preserve">SUM(_xlfn.ORG.LIBREOFFICE.FOURIER(TRUE,TRUE,TRUE))</t>
  </si>
  <si>
    <t xml:space="preserve">INDEX(_xlfn.ORG.LIBREOFFICE.FOURIER(TRUE,TRUE,TRUE),1,1)</t>
  </si>
  <si>
    <t xml:space="preserve">INDEX(_xlfn.ORG.LIBREOFFICE.FOURIER(TRUE,TRUE,TRUE),2,1)</t>
  </si>
  <si>
    <t xml:space="preserve">INDEX(_xlfn.ORG.LIBREOFFICE.FOURIER(TRUE,TRUE,TRUE),2,2)</t>
  </si>
  <si>
    <t xml:space="preserve">INDEX(_xlfn.ORG.LIBREOFFICE.FOURIER(TRUE,TRUE,TRUE),3,2)</t>
  </si>
  <si>
    <t xml:space="preserve">INDEX(_xlfn.ORG.LIBREOFFICE.FOURIER(TRUE,TRUE,TRUE),ROWS(_xlfn.ORG.LIBREOFFICE.FOURIER(TRUE,TRUE,TRUE)),1)</t>
  </si>
  <si>
    <t xml:space="preserve">INDEX(_xlfn.ORG.LIBREOFFICE.FOURIER(TRUE,TRUE,TRUE),ROWS(_xlfn.ORG.LIBREOFFICE.FOURIER(TRUE,TRUE,TRUE)),2)</t>
  </si>
  <si>
    <t xml:space="preserve">SUM(_xlfn.ORG.LIBREOFFICE.FOURIER(TRUE,TRUE,FALSE,TRUE))</t>
  </si>
  <si>
    <t xml:space="preserve">INDEX(_xlfn.ORG.LIBREOFFICE.FOURIER(TRUE,TRUE,FALSE,TRUE),1,1)</t>
  </si>
  <si>
    <t xml:space="preserve">INDEX(_xlfn.ORG.LIBREOFFICE.FOURIER(TRUE,TRUE,FALSE,TRUE),2,1)</t>
  </si>
  <si>
    <t xml:space="preserve">INDEX(_xlfn.ORG.LIBREOFFICE.FOURIER(TRUE,TRUE,FALSE,TRUE),2,2)</t>
  </si>
  <si>
    <t xml:space="preserve">INDEX(_xlfn.ORG.LIBREOFFICE.FOURIER(TRUE,TRUE,FALSE,TRUE),3,2)</t>
  </si>
  <si>
    <t xml:space="preserve">INDEX(_xlfn.ORG.LIBREOFFICE.FOURIER(TRUE,TRUE,FALSE,TRUE),ROWS(_xlfn.ORG.LIBREOFFICE.FOURIER(TRUE,TRUE,FALSE,TRUE)),1)</t>
  </si>
  <si>
    <t xml:space="preserve">INDEX(_xlfn.ORG.LIBREOFFICE.FOURIER(TRUE,TRUE,FALSE,TRUE),ROWS(_xlfn.ORG.LIBREOFFICE.FOURIER(TRUE,TRUE,FALSE,TRUE)),2)</t>
  </si>
  <si>
    <t xml:space="preserve">SUM(_xlfn.ORG.LIBREOFFICE.FOURIER(TRUE,TRUE,TRUE,TRUE))</t>
  </si>
  <si>
    <t xml:space="preserve">INDEX(_xlfn.ORG.LIBREOFFICE.FOURIER(TRUE,TRUE,TRUE,TRUE),1,1)</t>
  </si>
  <si>
    <t xml:space="preserve">INDEX(_xlfn.ORG.LIBREOFFICE.FOURIER(TRUE,TRUE,TRUE,TRUE),2,1)</t>
  </si>
  <si>
    <t xml:space="preserve">INDEX(_xlfn.ORG.LIBREOFFICE.FOURIER(TRUE,TRUE,TRUE,TRUE),2,2)</t>
  </si>
  <si>
    <t xml:space="preserve">INDEX(_xlfn.ORG.LIBREOFFICE.FOURIER(TRUE,TRUE,TRUE,TRUE),3,2)</t>
  </si>
  <si>
    <t xml:space="preserve">INDEX(_xlfn.ORG.LIBREOFFICE.FOURIER(TRUE,TRUE,TRUE,TRUE),ROWS(_xlfn.ORG.LIBREOFFICE.FOURIER(TRUE,TRUE,TRUE,TRUE)),1)</t>
  </si>
  <si>
    <t xml:space="preserve">INDEX(_xlfn.ORG.LIBREOFFICE.FOURIER(TRUE,TRUE,TRUE,TRUE),ROWS(_xlfn.ORG.LIBREOFFICE.FOURIER(TRUE,TRUE,TRUE,TRUE)),2)</t>
  </si>
  <si>
    <t xml:space="preserve">SUM(_xlfn.ORG.LIBREOFFICE.FOURIER(TRUE,TRUE,FALSE,TRUE,1))</t>
  </si>
  <si>
    <t xml:space="preserve">INDEX(_xlfn.ORG.LIBREOFFICE.FOURIER(TRUE,TRUE,FALSE,TRUE,1),1,1)</t>
  </si>
  <si>
    <t xml:space="preserve">INDEX(_xlfn.ORG.LIBREOFFICE.FOURIER(TRUE,TRUE,FALSE,TRUE,1),2,1)</t>
  </si>
  <si>
    <t xml:space="preserve">INDEX(_xlfn.ORG.LIBREOFFICE.FOURIER(TRUE,TRUE,FALSE,TRUE,1),2,2)</t>
  </si>
  <si>
    <t xml:space="preserve">INDEX(_xlfn.ORG.LIBREOFFICE.FOURIER(TRUE,TRUE,FALSE,TRUE,1),3,2)</t>
  </si>
  <si>
    <t xml:space="preserve">INDEX(_xlfn.ORG.LIBREOFFICE.FOURIER(TRUE,TRUE,FALSE,TRUE,1),ROWS(_xlfn.ORG.LIBREOFFICE.FOURIER(TRUE,TRUE,FALSE,TRUE,1)),1)</t>
  </si>
  <si>
    <t xml:space="preserve">INDEX(_xlfn.ORG.LIBREOFFICE.FOURIER(TRUE,TRUE,FALSE,TRUE,1),ROWS(_xlfn.ORG.LIBREOFFICE.FOURIER(TRUE,TRUE,FALSE,TRUE,1)),2)</t>
  </si>
  <si>
    <t xml:space="preserve">SUM(_xlfn.ORG.LIBREOFFICE.FOURIER(TRUE,TRUE,TRUE,TRUE,5))</t>
  </si>
  <si>
    <t xml:space="preserve">INDEX(_xlfn.ORG.LIBREOFFICE.FOURIER(TRUE,TRUE,TRUE,TRUE,5),1,1)</t>
  </si>
  <si>
    <t xml:space="preserve">INDEX(_xlfn.ORG.LIBREOFFICE.FOURIER(TRUE,TRUE,TRUE,TRUE,5),2,1)</t>
  </si>
  <si>
    <t xml:space="preserve">INDEX(_xlfn.ORG.LIBREOFFICE.FOURIER(TRUE,TRUE,TRUE,TRUE,5),2,2)</t>
  </si>
  <si>
    <t xml:space="preserve">INDEX(_xlfn.ORG.LIBREOFFICE.FOURIER(TRUE,TRUE,TRUE,TRUE,5),3,2)</t>
  </si>
  <si>
    <t xml:space="preserve">INDEX(_xlfn.ORG.LIBREOFFICE.FOURIER(TRUE,TRUE,TRUE,TRUE,5),ROWS(_xlfn.ORG.LIBREOFFICE.FOURIER(TRUE,TRUE,TRUE,TRUE,5)),1)</t>
  </si>
  <si>
    <t xml:space="preserve">INDEX(_xlfn.ORG.LIBREOFFICE.FOURIER(TRUE,TRUE,TRUE,TRUE,5),ROWS(_xlfn.ORG.LIBREOFFICE.FOURIER(TRUE,TRUE,TRUE,TRUE,5)),2)</t>
  </si>
  <si>
    <t xml:space="preserve">ROWS(_xlfn.ORG.LIBREOFFICE.FOURIER(TRUE,FALSE))</t>
  </si>
  <si>
    <t xml:space="preserve">COLUMNS(_xlfn.ORG.LIBREOFFICE.FOURIER(TRUE,FALSE))</t>
  </si>
  <si>
    <t xml:space="preserve">SUM(_xlfn.ORG.LIBREOFFICE.FOURIER(TRUE,FALSE))</t>
  </si>
  <si>
    <t xml:space="preserve">INDEX(_xlfn.ORG.LIBREOFFICE.FOURIER(TRUE,FALSE),1,1)</t>
  </si>
  <si>
    <t xml:space="preserve">INDEX(_xlfn.ORG.LIBREOFFICE.FOURIER(TRUE,FALSE),2,1)</t>
  </si>
  <si>
    <t xml:space="preserve">INDEX(_xlfn.ORG.LIBREOFFICE.FOURIER(TRUE,FALSE),2,2)</t>
  </si>
  <si>
    <t xml:space="preserve">INDEX(_xlfn.ORG.LIBREOFFICE.FOURIER(TRUE,FALSE),3,2)</t>
  </si>
  <si>
    <t xml:space="preserve">INDEX(_xlfn.ORG.LIBREOFFICE.FOURIER(TRUE,FALSE),ROWS(_xlfn.ORG.LIBREOFFICE.FOURIER(TRUE,FALSE)),1)</t>
  </si>
  <si>
    <t xml:space="preserve">INDEX(_xlfn.ORG.LIBREOFFICE.FOURIER(TRUE,FALSE),ROWS(_xlfn.ORG.LIBREOFFICE.FOURIER(TRUE,FALSE)),2)</t>
  </si>
  <si>
    <t xml:space="preserve">SUM(_xlfn.ORG.LIBREOFFICE.FOURIER(TRUE,FALSE,TRUE))</t>
  </si>
  <si>
    <t xml:space="preserve">INDEX(_xlfn.ORG.LIBREOFFICE.FOURIER(TRUE,FALSE,TRUE),1,1)</t>
  </si>
  <si>
    <t xml:space="preserve">INDEX(_xlfn.ORG.LIBREOFFICE.FOURIER(TRUE,FALSE,TRUE),2,1)</t>
  </si>
  <si>
    <t xml:space="preserve">INDEX(_xlfn.ORG.LIBREOFFICE.FOURIER(TRUE,FALSE,TRUE),2,2)</t>
  </si>
  <si>
    <t xml:space="preserve">INDEX(_xlfn.ORG.LIBREOFFICE.FOURIER(TRUE,FALSE,TRUE),3,2)</t>
  </si>
  <si>
    <t xml:space="preserve">INDEX(_xlfn.ORG.LIBREOFFICE.FOURIER(TRUE,FALSE,TRUE),ROWS(_xlfn.ORG.LIBREOFFICE.FOURIER(TRUE,FALSE,TRUE)),1)</t>
  </si>
  <si>
    <t xml:space="preserve">INDEX(_xlfn.ORG.LIBREOFFICE.FOURIER(TRUE,FALSE,TRUE),ROWS(_xlfn.ORG.LIBREOFFICE.FOURIER(TRUE,FALSE,TRUE)),2)</t>
  </si>
  <si>
    <t xml:space="preserve">SUM(_xlfn.ORG.LIBREOFFICE.FOURIER(TRUE,FALSE,FALSE,TRUE))</t>
  </si>
  <si>
    <t xml:space="preserve">INDEX(_xlfn.ORG.LIBREOFFICE.FOURIER(TRUE,FALSE,FALSE,TRUE),1,1)</t>
  </si>
  <si>
    <t xml:space="preserve">INDEX(_xlfn.ORG.LIBREOFFICE.FOURIER(TRUE,FALSE,FALSE,TRUE),2,1)</t>
  </si>
  <si>
    <t xml:space="preserve">INDEX(_xlfn.ORG.LIBREOFFICE.FOURIER(TRUE,FALSE,FALSE,TRUE),2,2)</t>
  </si>
  <si>
    <t xml:space="preserve">INDEX(_xlfn.ORG.LIBREOFFICE.FOURIER(TRUE,FALSE,FALSE,TRUE),3,2)</t>
  </si>
  <si>
    <t xml:space="preserve">INDEX(_xlfn.ORG.LIBREOFFICE.FOURIER(TRUE,FALSE,FALSE,TRUE),ROWS(_xlfn.ORG.LIBREOFFICE.FOURIER(TRUE,FALSE,FALSE,TRUE)),1)</t>
  </si>
  <si>
    <t xml:space="preserve">INDEX(_xlfn.ORG.LIBREOFFICE.FOURIER(TRUE,FALSE,FALSE,TRUE),ROWS(_xlfn.ORG.LIBREOFFICE.FOURIER(TRUE,FALSE,FALSE,TRUE)),2)</t>
  </si>
  <si>
    <t xml:space="preserve">SUM(_xlfn.ORG.LIBREOFFICE.FOURIER(TRUE,FALSE,TRUE,TRUE))</t>
  </si>
  <si>
    <t xml:space="preserve">INDEX(_xlfn.ORG.LIBREOFFICE.FOURIER(TRUE,FALSE,TRUE,TRUE),1,1)</t>
  </si>
  <si>
    <t xml:space="preserve">INDEX(_xlfn.ORG.LIBREOFFICE.FOURIER(TRUE,FALSE,TRUE,TRUE),2,1)</t>
  </si>
  <si>
    <t xml:space="preserve">INDEX(_xlfn.ORG.LIBREOFFICE.FOURIER(TRUE,FALSE,TRUE,TRUE),2,2)</t>
  </si>
  <si>
    <t xml:space="preserve">INDEX(_xlfn.ORG.LIBREOFFICE.FOURIER(TRUE,FALSE,TRUE,TRUE),3,2)</t>
  </si>
  <si>
    <t xml:space="preserve">INDEX(_xlfn.ORG.LIBREOFFICE.FOURIER(TRUE,FALSE,TRUE,TRUE),ROWS(_xlfn.ORG.LIBREOFFICE.FOURIER(TRUE,FALSE,TRUE,TRUE)),1)</t>
  </si>
  <si>
    <t xml:space="preserve">INDEX(_xlfn.ORG.LIBREOFFICE.FOURIER(TRUE,FALSE,TRUE,TRUE),ROWS(_xlfn.ORG.LIBREOFFICE.FOURIER(TRUE,FALSE,TRUE,TRUE)),2)</t>
  </si>
  <si>
    <t xml:space="preserve">SUM(_xlfn.ORG.LIBREOFFICE.FOURIER(TRUE,FALSE,FALSE,TRUE,1))</t>
  </si>
  <si>
    <t xml:space="preserve">INDEX(_xlfn.ORG.LIBREOFFICE.FOURIER(TRUE,FALSE,FALSE,TRUE,1),1,1)</t>
  </si>
  <si>
    <t xml:space="preserve">INDEX(_xlfn.ORG.LIBREOFFICE.FOURIER(TRUE,FALSE,FALSE,TRUE,1),2,1)</t>
  </si>
  <si>
    <t xml:space="preserve">INDEX(_xlfn.ORG.LIBREOFFICE.FOURIER(TRUE,FALSE,FALSE,TRUE,1),2,2)</t>
  </si>
  <si>
    <t xml:space="preserve">INDEX(_xlfn.ORG.LIBREOFFICE.FOURIER(TRUE,FALSE,FALSE,TRUE,1),3,2)</t>
  </si>
  <si>
    <t xml:space="preserve">INDEX(_xlfn.ORG.LIBREOFFICE.FOURIER(TRUE,FALSE,FALSE,TRUE,1),ROWS(_xlfn.ORG.LIBREOFFICE.FOURIER(TRUE,FALSE,FALSE,TRUE,1)),1)</t>
  </si>
  <si>
    <t xml:space="preserve">INDEX(_xlfn.ORG.LIBREOFFICE.FOURIER(TRUE,FALSE,FALSE,TRUE,1),ROWS(_xlfn.ORG.LIBREOFFICE.FOURIER(TRUE,FALSE,FALSE,TRUE,1)),2)</t>
  </si>
  <si>
    <t xml:space="preserve">SUM(_xlfn.ORG.LIBREOFFICE.FOURIER(TRUE,FALSE,TRUE,TRUE,5))</t>
  </si>
  <si>
    <t xml:space="preserve">INDEX(_xlfn.ORG.LIBREOFFICE.FOURIER(TRUE,FALSE,TRUE,TRUE,5),1,1)</t>
  </si>
  <si>
    <t xml:space="preserve">INDEX(_xlfn.ORG.LIBREOFFICE.FOURIER(TRUE,FALSE,TRUE,TRUE,5),2,1)</t>
  </si>
  <si>
    <t xml:space="preserve">INDEX(_xlfn.ORG.LIBREOFFICE.FOURIER(TRUE,FALSE,TRUE,TRUE,5),2,2)</t>
  </si>
  <si>
    <t xml:space="preserve">INDEX(_xlfn.ORG.LIBREOFFICE.FOURIER(TRUE,FALSE,TRUE,TRUE,5),3,2)</t>
  </si>
  <si>
    <t xml:space="preserve">INDEX(_xlfn.ORG.LIBREOFFICE.FOURIER(TRUE,FALSE,TRUE,TRUE,5),ROWS(_xlfn.ORG.LIBREOFFICE.FOURIER(TRUE,FALSE,TRUE,TRUE,5)),1)</t>
  </si>
  <si>
    <t xml:space="preserve">INDEX(_xlfn.ORG.LIBREOFFICE.FOURIER(TRUE,FALSE,TRUE,TRUE,5),ROWS(_xlfn.ORG.LIBREOFFICE.FOURIER(TRUE,FALSE,TRUE,TRUE,5)),2)</t>
  </si>
  <si>
    <t xml:space="preserve">ROWS(_xlfn.ORG.LIBREOFFICE.FOURIER({1;TRUE;3;4},TRUE))</t>
  </si>
  <si>
    <t xml:space="preserve">COLUMNS(_xlfn.ORG.LIBREOFFICE.FOURIER({1;TRUE;3;4},TRUE))</t>
  </si>
  <si>
    <t xml:space="preserve">SUM(_xlfn.ORG.LIBREOFFICE.FOURIER({1;TRUE;3;4},TRUE))</t>
  </si>
  <si>
    <t xml:space="preserve">INDEX(_xlfn.ORG.LIBREOFFICE.FOURIER({1;TRUE;3;4},TRUE),1,1)</t>
  </si>
  <si>
    <t xml:space="preserve">INDEX(_xlfn.ORG.LIBREOFFICE.FOURIER({1;TRUE;3;4},TRUE),2,1)</t>
  </si>
  <si>
    <t xml:space="preserve">INDEX(_xlfn.ORG.LIBREOFFICE.FOURIER({1;TRUE;3;4},TRUE),2,2)</t>
  </si>
  <si>
    <t xml:space="preserve">INDEX(_xlfn.ORG.LIBREOFFICE.FOURIER({1;TRUE;3;4},TRUE),3,2)</t>
  </si>
  <si>
    <t xml:space="preserve">INDEX(_xlfn.ORG.LIBREOFFICE.FOURIER({1;TRUE;3;4},TRUE),ROWS(_xlfn.ORG.LIBREOFFICE.FOURIER({1;TRUE;3;4},TRUE)),1)</t>
  </si>
  <si>
    <t xml:space="preserve">INDEX(_xlfn.ORG.LIBREOFFICE.FOURIER({1;TRUE;3;4},TRUE),ROWS(_xlfn.ORG.LIBREOFFICE.FOURIER({1;TRUE;3;4},TRUE)),2)</t>
  </si>
  <si>
    <t xml:space="preserve">SUM(_xlfn.ORG.LIBREOFFICE.FOURIER({1;TRUE;3;4},TRUE,TRUE))</t>
  </si>
  <si>
    <t xml:space="preserve">INDEX(_xlfn.ORG.LIBREOFFICE.FOURIER({1;TRUE;3;4},TRUE,TRUE),1,1)</t>
  </si>
  <si>
    <t xml:space="preserve">INDEX(_xlfn.ORG.LIBREOFFICE.FOURIER({1;TRUE;3;4},TRUE,TRUE),2,1)</t>
  </si>
  <si>
    <t xml:space="preserve">INDEX(_xlfn.ORG.LIBREOFFICE.FOURIER({1;TRUE;3;4},TRUE,TRUE),2,2)</t>
  </si>
  <si>
    <t xml:space="preserve">INDEX(_xlfn.ORG.LIBREOFFICE.FOURIER({1;TRUE;3;4},TRUE,TRUE),3,2)</t>
  </si>
  <si>
    <t xml:space="preserve">INDEX(_xlfn.ORG.LIBREOFFICE.FOURIER({1;TRUE;3;4},TRUE,TRUE),ROWS(_xlfn.ORG.LIBREOFFICE.FOURIER({1;TRUE;3;4},TRUE,TRUE)),1)</t>
  </si>
  <si>
    <t xml:space="preserve">INDEX(_xlfn.ORG.LIBREOFFICE.FOURIER({1;TRUE;3;4},TRUE,TRUE),ROWS(_xlfn.ORG.LIBREOFFICE.FOURIER({1;TRUE;3;4},TRUE,TRUE)),2)</t>
  </si>
  <si>
    <t xml:space="preserve">SUM(_xlfn.ORG.LIBREOFFICE.FOURIER({1;TRUE;3;4},TRUE,FALSE,TRUE))</t>
  </si>
  <si>
    <t xml:space="preserve">INDEX(_xlfn.ORG.LIBREOFFICE.FOURIER({1;TRUE;3;4},TRUE,FALSE,TRUE),1,1)</t>
  </si>
  <si>
    <t xml:space="preserve">INDEX(_xlfn.ORG.LIBREOFFICE.FOURIER({1;TRUE;3;4},TRUE,FALSE,TRUE),2,1)</t>
  </si>
  <si>
    <t xml:space="preserve">INDEX(_xlfn.ORG.LIBREOFFICE.FOURIER({1;TRUE;3;4},TRUE,FALSE,TRUE),2,2)</t>
  </si>
  <si>
    <t xml:space="preserve">INDEX(_xlfn.ORG.LIBREOFFICE.FOURIER({1;TRUE;3;4},TRUE,FALSE,TRUE),3,2)</t>
  </si>
  <si>
    <t xml:space="preserve">INDEX(_xlfn.ORG.LIBREOFFICE.FOURIER({1;TRUE;3;4},TRUE,FALSE,TRUE),ROWS(_xlfn.ORG.LIBREOFFICE.FOURIER({1;TRUE;3;4},TRUE,FALSE,TRUE)),1)</t>
  </si>
  <si>
    <t xml:space="preserve">INDEX(_xlfn.ORG.LIBREOFFICE.FOURIER({1;TRUE;3;4},TRUE,FALSE,TRUE),ROWS(_xlfn.ORG.LIBREOFFICE.FOURIER({1;TRUE;3;4},TRUE,FALSE,TRUE)),2)</t>
  </si>
  <si>
    <t xml:space="preserve">SUM(_xlfn.ORG.LIBREOFFICE.FOURIER({1;TRUE;3;4},TRUE,TRUE,TRUE))</t>
  </si>
  <si>
    <t xml:space="preserve">INDEX(_xlfn.ORG.LIBREOFFICE.FOURIER({1;TRUE;3;4},TRUE,TRUE,TRUE),1,1)</t>
  </si>
  <si>
    <t xml:space="preserve">INDEX(_xlfn.ORG.LIBREOFFICE.FOURIER({1;TRUE;3;4},TRUE,TRUE,TRUE),2,1)</t>
  </si>
  <si>
    <t xml:space="preserve">INDEX(_xlfn.ORG.LIBREOFFICE.FOURIER({1;TRUE;3;4},TRUE,TRUE,TRUE),2,2)</t>
  </si>
  <si>
    <t xml:space="preserve">INDEX(_xlfn.ORG.LIBREOFFICE.FOURIER({1;TRUE;3;4},TRUE,TRUE,TRUE),3,2)</t>
  </si>
  <si>
    <t xml:space="preserve">INDEX(_xlfn.ORG.LIBREOFFICE.FOURIER({1;TRUE;3;4},TRUE,TRUE,TRUE),ROWS(_xlfn.ORG.LIBREOFFICE.FOURIER({1;TRUE;3;4},TRUE,TRUE,TRUE)),1)</t>
  </si>
  <si>
    <t xml:space="preserve">INDEX(_xlfn.ORG.LIBREOFFICE.FOURIER({1;TRUE;3;4},TRUE,TRUE,TRUE),ROWS(_xlfn.ORG.LIBREOFFICE.FOURIER({1;TRUE;3;4},TRUE,TRUE,TRUE)),2)</t>
  </si>
  <si>
    <t xml:space="preserve">SUM(_xlfn.ORG.LIBREOFFICE.FOURIER({1;TRUE;3;4},TRUE,FALSE,TRUE,1))</t>
  </si>
  <si>
    <t xml:space="preserve">INDEX(_xlfn.ORG.LIBREOFFICE.FOURIER({1;TRUE;3;4},TRUE,FALSE,TRUE,1),1,1)</t>
  </si>
  <si>
    <t xml:space="preserve">INDEX(_xlfn.ORG.LIBREOFFICE.FOURIER({1;TRUE;3;4},TRUE,FALSE,TRUE,1),2,1)</t>
  </si>
  <si>
    <t xml:space="preserve">INDEX(_xlfn.ORG.LIBREOFFICE.FOURIER({1;TRUE;3;4},TRUE,FALSE,TRUE,1),2,2)</t>
  </si>
  <si>
    <t xml:space="preserve">INDEX(_xlfn.ORG.LIBREOFFICE.FOURIER({1;TRUE;3;4},TRUE,FALSE,TRUE,1),3,2)</t>
  </si>
  <si>
    <t xml:space="preserve">INDEX(_xlfn.ORG.LIBREOFFICE.FOURIER({1;TRUE;3;4},TRUE,FALSE,TRUE,1),ROWS(_xlfn.ORG.LIBREOFFICE.FOURIER({1;TRUE;3;4},TRUE,FALSE,TRUE,1)),1)</t>
  </si>
  <si>
    <t xml:space="preserve">INDEX(_xlfn.ORG.LIBREOFFICE.FOURIER({1;TRUE;3;4},TRUE,FALSE,TRUE,1),ROWS(_xlfn.ORG.LIBREOFFICE.FOURIER({1;TRUE;3;4},TRUE,FALSE,TRUE,1)),2)</t>
  </si>
  <si>
    <t xml:space="preserve">SUM(_xlfn.ORG.LIBREOFFICE.FOURIER({1;TRUE;3;4},TRUE,TRUE,TRUE,5))</t>
  </si>
  <si>
    <t xml:space="preserve">INDEX(_xlfn.ORG.LIBREOFFICE.FOURIER({1;TRUE;3;4},TRUE,TRUE,TRUE,5),1,1)</t>
  </si>
  <si>
    <t xml:space="preserve">INDEX(_xlfn.ORG.LIBREOFFICE.FOURIER({1;TRUE;3;4},TRUE,TRUE,TRUE,5),2,1)</t>
  </si>
  <si>
    <t xml:space="preserve">INDEX(_xlfn.ORG.LIBREOFFICE.FOURIER({1;TRUE;3;4},TRUE,TRUE,TRUE,5),2,2)</t>
  </si>
  <si>
    <t xml:space="preserve">INDEX(_xlfn.ORG.LIBREOFFICE.FOURIER({1;TRUE;3;4},TRUE,TRUE,TRUE,5),3,2)</t>
  </si>
  <si>
    <t xml:space="preserve">INDEX(_xlfn.ORG.LIBREOFFICE.FOURIER({1;TRUE;3;4},TRUE,TRUE,TRUE,5),ROWS(_xlfn.ORG.LIBREOFFICE.FOURIER({1;TRUE;3;4},TRUE,TRUE,TRUE,5)),1)</t>
  </si>
  <si>
    <t xml:space="preserve">INDEX(_xlfn.ORG.LIBREOFFICE.FOURIER({1;TRUE;3;4},TRUE,TRUE,TRUE,5),ROWS(_xlfn.ORG.LIBREOFFICE.FOURIER({1;TRUE;3;4},TRUE,TRUE,TRUE,5)),2)</t>
  </si>
  <si>
    <t xml:space="preserve">ROWS(_xlfn.ORG.LIBREOFFICE.FOURIER(TRANSPOSE({1;TRUE;3;4}),FALSE))</t>
  </si>
  <si>
    <t xml:space="preserve">COLUMNS(_xlfn.ORG.LIBREOFFICE.FOURIER(TRANSPOSE({1;TRUE;3;4}),FALSE))</t>
  </si>
  <si>
    <t xml:space="preserve">SUM(_xlfn.ORG.LIBREOFFICE.FOURIER(TRANSPOSE({1;TRUE;3;4}),FALSE))</t>
  </si>
  <si>
    <t xml:space="preserve">INDEX(_xlfn.ORG.LIBREOFFICE.FOURIER(TRANSPOSE({1;TRUE;3;4}),FALSE),1,1)</t>
  </si>
  <si>
    <t xml:space="preserve">INDEX(_xlfn.ORG.LIBREOFFICE.FOURIER(TRANSPOSE({1;TRUE;3;4}),FALSE),2,1)</t>
  </si>
  <si>
    <t xml:space="preserve">INDEX(_xlfn.ORG.LIBREOFFICE.FOURIER(TRANSPOSE({1;TRUE;3;4}),FALSE),2,2)</t>
  </si>
  <si>
    <t xml:space="preserve">INDEX(_xlfn.ORG.LIBREOFFICE.FOURIER(TRANSPOSE({1;TRUE;3;4}),FALSE),3,2)</t>
  </si>
  <si>
    <t xml:space="preserve">INDEX(_xlfn.ORG.LIBREOFFICE.FOURIER(TRANSPOSE({1;TRUE;3;4}),FALSE),ROWS(_xlfn.ORG.LIBREOFFICE.FOURIER(TRANSPOSE({1;TRUE;3;4}),FALSE)),1)</t>
  </si>
  <si>
    <t xml:space="preserve">INDEX(_xlfn.ORG.LIBREOFFICE.FOURIER(TRANSPOSE({1;TRUE;3;4}),FALSE),ROWS(_xlfn.ORG.LIBREOFFICE.FOURIER(TRANSPOSE({1;TRUE;3;4}),FALSE)),2)</t>
  </si>
  <si>
    <t xml:space="preserve">SUM(_xlfn.ORG.LIBREOFFICE.FOURIER(TRANSPOSE({1;TRUE;3;4}),FALSE,TRUE))</t>
  </si>
  <si>
    <t xml:space="preserve">INDEX(_xlfn.ORG.LIBREOFFICE.FOURIER(TRANSPOSE({1;TRUE;3;4}),FALSE,TRUE),1,1)</t>
  </si>
  <si>
    <t xml:space="preserve">INDEX(_xlfn.ORG.LIBREOFFICE.FOURIER(TRANSPOSE({1;TRUE;3;4}),FALSE,TRUE),2,1)</t>
  </si>
  <si>
    <t xml:space="preserve">INDEX(_xlfn.ORG.LIBREOFFICE.FOURIER(TRANSPOSE({1;TRUE;3;4}),FALSE,TRUE),2,2)</t>
  </si>
  <si>
    <t xml:space="preserve">INDEX(_xlfn.ORG.LIBREOFFICE.FOURIER(TRANSPOSE({1;TRUE;3;4}),FALSE,TRUE),3,2)</t>
  </si>
  <si>
    <t xml:space="preserve">INDEX(_xlfn.ORG.LIBREOFFICE.FOURIER(TRANSPOSE({1;TRUE;3;4}),FALSE,TRUE),ROWS(_xlfn.ORG.LIBREOFFICE.FOURIER(TRANSPOSE({1;TRUE;3;4}),FALSE,TRUE)),1)</t>
  </si>
  <si>
    <t xml:space="preserve">INDEX(_xlfn.ORG.LIBREOFFICE.FOURIER(TRANSPOSE({1;TRUE;3;4}),FALSE,TRUE),ROWS(_xlfn.ORG.LIBREOFFICE.FOURIER(TRANSPOSE({1;TRUE;3;4}),FALSE,TRUE)),2)</t>
  </si>
  <si>
    <t xml:space="preserve">SUM(_xlfn.ORG.LIBREOFFICE.FOURIER(TRANSPOSE({1;TRUE;3;4}),FALSE,FALSE,TRUE))</t>
  </si>
  <si>
    <t xml:space="preserve">INDEX(_xlfn.ORG.LIBREOFFICE.FOURIER(TRANSPOSE({1;TRUE;3;4}),FALSE,FALSE,TRUE),1,1)</t>
  </si>
  <si>
    <t xml:space="preserve">INDEX(_xlfn.ORG.LIBREOFFICE.FOURIER(TRANSPOSE({1;TRUE;3;4}),FALSE,FALSE,TRUE),2,1)</t>
  </si>
  <si>
    <t xml:space="preserve">INDEX(_xlfn.ORG.LIBREOFFICE.FOURIER(TRANSPOSE({1;TRUE;3;4}),FALSE,FALSE,TRUE),2,2)</t>
  </si>
  <si>
    <t xml:space="preserve">INDEX(_xlfn.ORG.LIBREOFFICE.FOURIER(TRANSPOSE({1;TRUE;3;4}),FALSE,FALSE,TRUE),3,2)</t>
  </si>
  <si>
    <t xml:space="preserve">INDEX(_xlfn.ORG.LIBREOFFICE.FOURIER(TRANSPOSE({1;TRUE;3;4}),FALSE,FALSE,TRUE),ROWS(_xlfn.ORG.LIBREOFFICE.FOURIER(TRANSPOSE({1;TRUE;3;4}),FALSE,FALSE,TRUE)),1)</t>
  </si>
  <si>
    <t xml:space="preserve">INDEX(_xlfn.ORG.LIBREOFFICE.FOURIER(TRANSPOSE({1;TRUE;3;4}),FALSE,FALSE,TRUE),ROWS(_xlfn.ORG.LIBREOFFICE.FOURIER(TRANSPOSE({1;TRUE;3;4}),FALSE,FALSE,TRUE)),2)</t>
  </si>
  <si>
    <t xml:space="preserve">SUM(_xlfn.ORG.LIBREOFFICE.FOURIER(TRANSPOSE({1;TRUE;3;4}),FALSE,TRUE,TRUE))</t>
  </si>
  <si>
    <t xml:space="preserve">INDEX(_xlfn.ORG.LIBREOFFICE.FOURIER(TRANSPOSE({1;TRUE;3;4}),FALSE,TRUE,TRUE),1,1)</t>
  </si>
  <si>
    <t xml:space="preserve">INDEX(_xlfn.ORG.LIBREOFFICE.FOURIER(TRANSPOSE({1;TRUE;3;4}),FALSE,TRUE,TRUE),2,1)</t>
  </si>
  <si>
    <t xml:space="preserve">INDEX(_xlfn.ORG.LIBREOFFICE.FOURIER(TRANSPOSE({1;TRUE;3;4}),FALSE,TRUE,TRUE),2,2)</t>
  </si>
  <si>
    <t xml:space="preserve">INDEX(_xlfn.ORG.LIBREOFFICE.FOURIER(TRANSPOSE({1;TRUE;3;4}),FALSE,TRUE,TRUE),3,2)</t>
  </si>
  <si>
    <t xml:space="preserve">INDEX(_xlfn.ORG.LIBREOFFICE.FOURIER(TRANSPOSE({1;TRUE;3;4}),FALSE,TRUE,TRUE),ROWS(_xlfn.ORG.LIBREOFFICE.FOURIER(TRANSPOSE({1;TRUE;3;4}),FALSE,TRUE,TRUE)),1)</t>
  </si>
  <si>
    <t xml:space="preserve">INDEX(_xlfn.ORG.LIBREOFFICE.FOURIER(TRANSPOSE({1;TRUE;3;4}),FALSE,TRUE,TRUE),ROWS(_xlfn.ORG.LIBREOFFICE.FOURIER(TRANSPOSE({1;TRUE;3;4}),FALSE,TRUE,TRUE)),2)</t>
  </si>
  <si>
    <t xml:space="preserve">SUM(_xlfn.ORG.LIBREOFFICE.FOURIER(TRANSPOSE({1;TRUE;3;4}),FALSE,FALSE,TRUE,1))</t>
  </si>
  <si>
    <t xml:space="preserve">INDEX(_xlfn.ORG.LIBREOFFICE.FOURIER(TRANSPOSE({1;TRUE;3;4}),FALSE,FALSE,TRUE,1),1,1)</t>
  </si>
  <si>
    <t xml:space="preserve">INDEX(_xlfn.ORG.LIBREOFFICE.FOURIER(TRANSPOSE({1;TRUE;3;4}),FALSE,FALSE,TRUE,1),2,1)</t>
  </si>
  <si>
    <t xml:space="preserve">INDEX(_xlfn.ORG.LIBREOFFICE.FOURIER(TRANSPOSE({1;TRUE;3;4}),FALSE,FALSE,TRUE,1),2,2)</t>
  </si>
  <si>
    <t xml:space="preserve">INDEX(_xlfn.ORG.LIBREOFFICE.FOURIER(TRANSPOSE({1;TRUE;3;4}),FALSE,FALSE,TRUE,1),3,2)</t>
  </si>
  <si>
    <t xml:space="preserve">INDEX(_xlfn.ORG.LIBREOFFICE.FOURIER(TRANSPOSE({1;TRUE;3;4}),FALSE,FALSE,TRUE,1),ROWS(_xlfn.ORG.LIBREOFFICE.FOURIER(TRANSPOSE({1;TRUE;3;4}),FALSE,FALSE,TRUE,1)),1)</t>
  </si>
  <si>
    <t xml:space="preserve">INDEX(_xlfn.ORG.LIBREOFFICE.FOURIER(TRANSPOSE({1;TRUE;3;4}),FALSE,FALSE,TRUE,1),ROWS(_xlfn.ORG.LIBREOFFICE.FOURIER(TRANSPOSE({1;TRUE;3;4}),FALSE,FALSE,TRUE,1)),2)</t>
  </si>
  <si>
    <t xml:space="preserve">SUM(_xlfn.ORG.LIBREOFFICE.FOURIER(TRANSPOSE({1;TRUE;3;4}),FALSE,TRUE,TRUE,5))</t>
  </si>
  <si>
    <t xml:space="preserve">INDEX(_xlfn.ORG.LIBREOFFICE.FOURIER(TRANSPOSE({1;TRUE;3;4}),FALSE,TRUE,TRUE,5),1,1)</t>
  </si>
  <si>
    <t xml:space="preserve">INDEX(_xlfn.ORG.LIBREOFFICE.FOURIER(TRANSPOSE({1;TRUE;3;4}),FALSE,TRUE,TRUE,5),2,1)</t>
  </si>
  <si>
    <t xml:space="preserve">INDEX(_xlfn.ORG.LIBREOFFICE.FOURIER(TRANSPOSE({1;TRUE;3;4}),FALSE,TRUE,TRUE,5),2,2)</t>
  </si>
  <si>
    <t xml:space="preserve">INDEX(_xlfn.ORG.LIBREOFFICE.FOURIER(TRANSPOSE({1;TRUE;3;4}),FALSE,TRUE,TRUE,5),3,2)</t>
  </si>
  <si>
    <t xml:space="preserve">INDEX(_xlfn.ORG.LIBREOFFICE.FOURIER(TRANSPOSE({1;TRUE;3;4}),FALSE,TRUE,TRUE,5),ROWS(_xlfn.ORG.LIBREOFFICE.FOURIER(TRANSPOSE({1;TRUE;3;4}),FALSE,TRUE,TRUE,5)),1)</t>
  </si>
  <si>
    <t xml:space="preserve">INDEX(_xlfn.ORG.LIBREOFFICE.FOURIER(TRANSPOSE({1;TRUE;3;4}),FALSE,TRUE,TRUE,5),ROWS(_xlfn.ORG.LIBREOFFICE.FOURIER(TRANSPOSE({1;TRUE;3;4}),FALSE,TRUE,TRUE,5)),2)</t>
  </si>
  <si>
    <t xml:space="preserve">ROWS(_xlfn.ORG.LIBREOFFICE.FOURIER({0.5;-0.25;1E3;7},TRUE))</t>
  </si>
  <si>
    <t xml:space="preserve">COLUMNS(_xlfn.ORG.LIBREOFFICE.FOURIER({0.5;-0.25;1E3;7},TRUE))</t>
  </si>
  <si>
    <t xml:space="preserve">SUM(_xlfn.ORG.LIBREOFFICE.FOURIER({0.5;-0.25;1E3;7},TRUE))</t>
  </si>
  <si>
    <t xml:space="preserve">INDEX(_xlfn.ORG.LIBREOFFICE.FOURIER({0.5;-0.25;1E3;7},TRUE),1,1)</t>
  </si>
  <si>
    <t xml:space="preserve">INDEX(_xlfn.ORG.LIBREOFFICE.FOURIER({0.5;-0.25;1E3;7},TRUE),2,1)</t>
  </si>
  <si>
    <t xml:space="preserve">INDEX(_xlfn.ORG.LIBREOFFICE.FOURIER({0.5;-0.25;1E3;7},TRUE),2,2)</t>
  </si>
  <si>
    <t xml:space="preserve">INDEX(_xlfn.ORG.LIBREOFFICE.FOURIER({0.5;-0.25;1E3;7},TRUE),3,2)</t>
  </si>
  <si>
    <t xml:space="preserve">INDEX(_xlfn.ORG.LIBREOFFICE.FOURIER({0.5;-0.25;1E3;7},TRUE),ROWS(_xlfn.ORG.LIBREOFFICE.FOURIER({0.5;-0.25;1E3;7},TRUE)),1)</t>
  </si>
  <si>
    <t xml:space="preserve">INDEX(_xlfn.ORG.LIBREOFFICE.FOURIER({0.5;-0.25;1E3;7},TRUE),ROWS(_xlfn.ORG.LIBREOFFICE.FOURIER({0.5;-0.25;1E3;7},TRUE)),2)</t>
  </si>
  <si>
    <t xml:space="preserve">SUM(_xlfn.ORG.LIBREOFFICE.FOURIER({0.5;-0.25;1E3;7},TRUE,TRUE))</t>
  </si>
  <si>
    <t xml:space="preserve">INDEX(_xlfn.ORG.LIBREOFFICE.FOURIER({0.5;-0.25;1E3;7},TRUE,TRUE),1,1)</t>
  </si>
  <si>
    <t xml:space="preserve">INDEX(_xlfn.ORG.LIBREOFFICE.FOURIER({0.5;-0.25;1E3;7},TRUE,TRUE),2,1)</t>
  </si>
  <si>
    <t xml:space="preserve">INDEX(_xlfn.ORG.LIBREOFFICE.FOURIER({0.5;-0.25;1E3;7},TRUE,TRUE),2,2)</t>
  </si>
  <si>
    <t xml:space="preserve">INDEX(_xlfn.ORG.LIBREOFFICE.FOURIER({0.5;-0.25;1E3;7},TRUE,TRUE),3,2)</t>
  </si>
  <si>
    <t xml:space="preserve">INDEX(_xlfn.ORG.LIBREOFFICE.FOURIER({0.5;-0.25;1E3;7},TRUE,TRUE),ROWS(_xlfn.ORG.LIBREOFFICE.FOURIER({0.5;-0.25;1E3;7},TRUE,TRUE)),1)</t>
  </si>
  <si>
    <t xml:space="preserve">INDEX(_xlfn.ORG.LIBREOFFICE.FOURIER({0.5;-0.25;1E3;7},TRUE,TRUE),ROWS(_xlfn.ORG.LIBREOFFICE.FOURIER({0.5;-0.25;1E3;7},TRUE,TRUE)),2)</t>
  </si>
  <si>
    <t xml:space="preserve">SUM(_xlfn.ORG.LIBREOFFICE.FOURIER({0.5;-0.25;1E3;7},TRUE,FALSE,TRUE))</t>
  </si>
  <si>
    <t xml:space="preserve">INDEX(_xlfn.ORG.LIBREOFFICE.FOURIER({0.5;-0.25;1E3;7},TRUE,FALSE,TRUE),1,1)</t>
  </si>
  <si>
    <t xml:space="preserve">INDEX(_xlfn.ORG.LIBREOFFICE.FOURIER({0.5;-0.25;1E3;7},TRUE,FALSE,TRUE),2,1)</t>
  </si>
  <si>
    <t xml:space="preserve">INDEX(_xlfn.ORG.LIBREOFFICE.FOURIER({0.5;-0.25;1E3;7},TRUE,FALSE,TRUE),2,2)</t>
  </si>
  <si>
    <t xml:space="preserve">INDEX(_xlfn.ORG.LIBREOFFICE.FOURIER({0.5;-0.25;1E3;7},TRUE,FALSE,TRUE),3,2)</t>
  </si>
  <si>
    <t xml:space="preserve">INDEX(_xlfn.ORG.LIBREOFFICE.FOURIER({0.5;-0.25;1E3;7},TRUE,FALSE,TRUE),ROWS(_xlfn.ORG.LIBREOFFICE.FOURIER({0.5;-0.25;1E3;7},TRUE,FALSE,TRUE)),1)</t>
  </si>
  <si>
    <t xml:space="preserve">INDEX(_xlfn.ORG.LIBREOFFICE.FOURIER({0.5;-0.25;1E3;7},TRUE,FALSE,TRUE),ROWS(_xlfn.ORG.LIBREOFFICE.FOURIER({0.5;-0.25;1E3;7},TRUE,FALSE,TRUE)),2)</t>
  </si>
  <si>
    <t xml:space="preserve">SUM(_xlfn.ORG.LIBREOFFICE.FOURIER({0.5;-0.25;1E3;7},TRUE,TRUE,TRUE))</t>
  </si>
  <si>
    <t xml:space="preserve">INDEX(_xlfn.ORG.LIBREOFFICE.FOURIER({0.5;-0.25;1E3;7},TRUE,TRUE,TRUE),1,1)</t>
  </si>
  <si>
    <t xml:space="preserve">INDEX(_xlfn.ORG.LIBREOFFICE.FOURIER({0.5;-0.25;1E3;7},TRUE,TRUE,TRUE),2,1)</t>
  </si>
  <si>
    <t xml:space="preserve">INDEX(_xlfn.ORG.LIBREOFFICE.FOURIER({0.5;-0.25;1E3;7},TRUE,TRUE,TRUE),2,2)</t>
  </si>
  <si>
    <t xml:space="preserve">INDEX(_xlfn.ORG.LIBREOFFICE.FOURIER({0.5;-0.25;1E3;7},TRUE,TRUE,TRUE),3,2)</t>
  </si>
  <si>
    <t xml:space="preserve">INDEX(_xlfn.ORG.LIBREOFFICE.FOURIER({0.5;-0.25;1E3;7},TRUE,TRUE,TRUE),ROWS(_xlfn.ORG.LIBREOFFICE.FOURIER({0.5;-0.25;1E3;7},TRUE,TRUE,TRUE)),1)</t>
  </si>
  <si>
    <t xml:space="preserve">INDEX(_xlfn.ORG.LIBREOFFICE.FOURIER({0.5;-0.25;1E3;7},TRUE,TRUE,TRUE),ROWS(_xlfn.ORG.LIBREOFFICE.FOURIER({0.5;-0.25;1E3;7},TRUE,TRUE,TRUE)),2)</t>
  </si>
  <si>
    <t xml:space="preserve">SUM(_xlfn.ORG.LIBREOFFICE.FOURIER({0.5;-0.25;1E3;7},TRUE,FALSE,TRUE,1))</t>
  </si>
  <si>
    <t xml:space="preserve">INDEX(_xlfn.ORG.LIBREOFFICE.FOURIER({0.5;-0.25;1E3;7},TRUE,FALSE,TRUE,1),1,1)</t>
  </si>
  <si>
    <t xml:space="preserve">INDEX(_xlfn.ORG.LIBREOFFICE.FOURIER({0.5;-0.25;1E3;7},TRUE,FALSE,TRUE,1),2,1)</t>
  </si>
  <si>
    <t xml:space="preserve">INDEX(_xlfn.ORG.LIBREOFFICE.FOURIER({0.5;-0.25;1E3;7},TRUE,FALSE,TRUE,1),2,2)</t>
  </si>
  <si>
    <t xml:space="preserve">INDEX(_xlfn.ORG.LIBREOFFICE.FOURIER({0.5;-0.25;1E3;7},TRUE,FALSE,TRUE,1),3,2)</t>
  </si>
  <si>
    <t xml:space="preserve">INDEX(_xlfn.ORG.LIBREOFFICE.FOURIER({0.5;-0.25;1E3;7},TRUE,FALSE,TRUE,1),ROWS(_xlfn.ORG.LIBREOFFICE.FOURIER({0.5;-0.25;1E3;7},TRUE,FALSE,TRUE,1)),1)</t>
  </si>
  <si>
    <t xml:space="preserve">INDEX(_xlfn.ORG.LIBREOFFICE.FOURIER({0.5;-0.25;1E3;7},TRUE,FALSE,TRUE,1),ROWS(_xlfn.ORG.LIBREOFFICE.FOURIER({0.5;-0.25;1E3;7},TRUE,FALSE,TRUE,1)),2)</t>
  </si>
  <si>
    <t xml:space="preserve">SUM(_xlfn.ORG.LIBREOFFICE.FOURIER({0.5;-0.25;1E3;7},TRUE,TRUE,TRUE,5))</t>
  </si>
  <si>
    <t xml:space="preserve">INDEX(_xlfn.ORG.LIBREOFFICE.FOURIER({0.5;-0.25;1E3;7},TRUE,TRUE,TRUE,5),1,1)</t>
  </si>
  <si>
    <t xml:space="preserve">INDEX(_xlfn.ORG.LIBREOFFICE.FOURIER({0.5;-0.25;1E3;7},TRUE,TRUE,TRUE,5),2,1)</t>
  </si>
  <si>
    <t xml:space="preserve">INDEX(_xlfn.ORG.LIBREOFFICE.FOURIER({0.5;-0.25;1E3;7},TRUE,TRUE,TRUE,5),2,2)</t>
  </si>
  <si>
    <t xml:space="preserve">INDEX(_xlfn.ORG.LIBREOFFICE.FOURIER({0.5;-0.25;1E3;7},TRUE,TRUE,TRUE,5),3,2)</t>
  </si>
  <si>
    <t xml:space="preserve">INDEX(_xlfn.ORG.LIBREOFFICE.FOURIER({0.5;-0.25;1E3;7},TRUE,TRUE,TRUE,5),ROWS(_xlfn.ORG.LIBREOFFICE.FOURIER({0.5;-0.25;1E3;7},TRUE,TRUE,TRUE,5)),1)</t>
  </si>
  <si>
    <t xml:space="preserve">INDEX(_xlfn.ORG.LIBREOFFICE.FOURIER({0.5;-0.25;1E3;7},TRUE,TRUE,TRUE,5),ROWS(_xlfn.ORG.LIBREOFFICE.FOURIER({0.5;-0.25;1E3;7},TRUE,TRUE,TRUE,5)),2)</t>
  </si>
  <si>
    <t xml:space="preserve">ROWS(_xlfn.ORG.LIBREOFFICE.FOURIER(TRANSPOSE({0.5;-0.25;1E3;7}),FALSE))</t>
  </si>
  <si>
    <t xml:space="preserve">COLUMNS(_xlfn.ORG.LIBREOFFICE.FOURIER(TRANSPOSE({0.5;-0.25;1E3;7}),FALSE))</t>
  </si>
  <si>
    <t xml:space="preserve">SUM(_xlfn.ORG.LIBREOFFICE.FOURIER(TRANSPOSE({0.5;-0.25;1E3;7}),FALSE))</t>
  </si>
  <si>
    <t xml:space="preserve">INDEX(_xlfn.ORG.LIBREOFFICE.FOURIER(TRANSPOSE({0.5;-0.25;1E3;7}),FALSE),1,1)</t>
  </si>
  <si>
    <t xml:space="preserve">INDEX(_xlfn.ORG.LIBREOFFICE.FOURIER(TRANSPOSE({0.5;-0.25;1E3;7}),FALSE),2,1)</t>
  </si>
  <si>
    <t xml:space="preserve">INDEX(_xlfn.ORG.LIBREOFFICE.FOURIER(TRANSPOSE({0.5;-0.25;1E3;7}),FALSE),2,2)</t>
  </si>
  <si>
    <t xml:space="preserve">INDEX(_xlfn.ORG.LIBREOFFICE.FOURIER(TRANSPOSE({0.5;-0.25;1E3;7}),FALSE),3,2)</t>
  </si>
  <si>
    <t xml:space="preserve">INDEX(_xlfn.ORG.LIBREOFFICE.FOURIER(TRANSPOSE({0.5;-0.25;1E3;7}),FALSE),ROWS(_xlfn.ORG.LIBREOFFICE.FOURIER(TRANSPOSE({0.5;-0.25;1E3;7}),FALSE)),1)</t>
  </si>
  <si>
    <t xml:space="preserve">INDEX(_xlfn.ORG.LIBREOFFICE.FOURIER(TRANSPOSE({0.5;-0.25;1E3;7}),FALSE),ROWS(_xlfn.ORG.LIBREOFFICE.FOURIER(TRANSPOSE({0.5;-0.25;1E3;7}),FALSE)),2)</t>
  </si>
  <si>
    <t xml:space="preserve">SUM(_xlfn.ORG.LIBREOFFICE.FOURIER(TRANSPOSE({0.5;-0.25;1E3;7}),FALSE,TRUE))</t>
  </si>
  <si>
    <t xml:space="preserve">INDEX(_xlfn.ORG.LIBREOFFICE.FOURIER(TRANSPOSE({0.5;-0.25;1E3;7}),FALSE,TRUE),1,1)</t>
  </si>
  <si>
    <t xml:space="preserve">INDEX(_xlfn.ORG.LIBREOFFICE.FOURIER(TRANSPOSE({0.5;-0.25;1E3;7}),FALSE,TRUE),2,1)</t>
  </si>
  <si>
    <t xml:space="preserve">INDEX(_xlfn.ORG.LIBREOFFICE.FOURIER(TRANSPOSE({0.5;-0.25;1E3;7}),FALSE,TRUE),2,2)</t>
  </si>
  <si>
    <t xml:space="preserve">INDEX(_xlfn.ORG.LIBREOFFICE.FOURIER(TRANSPOSE({0.5;-0.25;1E3;7}),FALSE,TRUE),3,2)</t>
  </si>
  <si>
    <t xml:space="preserve">INDEX(_xlfn.ORG.LIBREOFFICE.FOURIER(TRANSPOSE({0.5;-0.25;1E3;7}),FALSE,TRUE),ROWS(_xlfn.ORG.LIBREOFFICE.FOURIER(TRANSPOSE({0.5;-0.25;1E3;7}),FALSE,TRUE)),1)</t>
  </si>
  <si>
    <t xml:space="preserve">INDEX(_xlfn.ORG.LIBREOFFICE.FOURIER(TRANSPOSE({0.5;-0.25;1E3;7}),FALSE,TRUE),ROWS(_xlfn.ORG.LIBREOFFICE.FOURIER(TRANSPOSE({0.5;-0.25;1E3;7}),FALSE,TRUE)),2)</t>
  </si>
  <si>
    <t xml:space="preserve">SUM(_xlfn.ORG.LIBREOFFICE.FOURIER(TRANSPOSE({0.5;-0.25;1E3;7}),FALSE,FALSE,TRUE))</t>
  </si>
  <si>
    <t xml:space="preserve">INDEX(_xlfn.ORG.LIBREOFFICE.FOURIER(TRANSPOSE({0.5;-0.25;1E3;7}),FALSE,FALSE,TRUE),1,1)</t>
  </si>
  <si>
    <t xml:space="preserve">INDEX(_xlfn.ORG.LIBREOFFICE.FOURIER(TRANSPOSE({0.5;-0.25;1E3;7}),FALSE,FALSE,TRUE),2,1)</t>
  </si>
  <si>
    <t xml:space="preserve">INDEX(_xlfn.ORG.LIBREOFFICE.FOURIER(TRANSPOSE({0.5;-0.25;1E3;7}),FALSE,FALSE,TRUE),2,2)</t>
  </si>
  <si>
    <t xml:space="preserve">INDEX(_xlfn.ORG.LIBREOFFICE.FOURIER(TRANSPOSE({0.5;-0.25;1E3;7}),FALSE,FALSE,TRUE),3,2)</t>
  </si>
  <si>
    <t xml:space="preserve">INDEX(_xlfn.ORG.LIBREOFFICE.FOURIER(TRANSPOSE({0.5;-0.25;1E3;7}),FALSE,FALSE,TRUE),ROWS(_xlfn.ORG.LIBREOFFICE.FOURIER(TRANSPOSE({0.5;-0.25;1E3;7}),FALSE,FALSE,TRUE)),1)</t>
  </si>
  <si>
    <t xml:space="preserve">INDEX(_xlfn.ORG.LIBREOFFICE.FOURIER(TRANSPOSE({0.5;-0.25;1E3;7}),FALSE,FALSE,TRUE),ROWS(_xlfn.ORG.LIBREOFFICE.FOURIER(TRANSPOSE({0.5;-0.25;1E3;7}),FALSE,FALSE,TRUE)),2)</t>
  </si>
  <si>
    <t xml:space="preserve">SUM(_xlfn.ORG.LIBREOFFICE.FOURIER(TRANSPOSE({0.5;-0.25;1E3;7}),FALSE,TRUE,TRUE))</t>
  </si>
  <si>
    <t xml:space="preserve">INDEX(_xlfn.ORG.LIBREOFFICE.FOURIER(TRANSPOSE({0.5;-0.25;1E3;7}),FALSE,TRUE,TRUE),1,1)</t>
  </si>
  <si>
    <t xml:space="preserve">INDEX(_xlfn.ORG.LIBREOFFICE.FOURIER(TRANSPOSE({0.5;-0.25;1E3;7}),FALSE,TRUE,TRUE),2,1)</t>
  </si>
  <si>
    <t xml:space="preserve">INDEX(_xlfn.ORG.LIBREOFFICE.FOURIER(TRANSPOSE({0.5;-0.25;1E3;7}),FALSE,TRUE,TRUE),2,2)</t>
  </si>
  <si>
    <t xml:space="preserve">INDEX(_xlfn.ORG.LIBREOFFICE.FOURIER(TRANSPOSE({0.5;-0.25;1E3;7}),FALSE,TRUE,TRUE),3,2)</t>
  </si>
  <si>
    <t xml:space="preserve">INDEX(_xlfn.ORG.LIBREOFFICE.FOURIER(TRANSPOSE({0.5;-0.25;1E3;7}),FALSE,TRUE,TRUE),ROWS(_xlfn.ORG.LIBREOFFICE.FOURIER(TRANSPOSE({0.5;-0.25;1E3;7}),FALSE,TRUE,TRUE)),1)</t>
  </si>
  <si>
    <t xml:space="preserve">INDEX(_xlfn.ORG.LIBREOFFICE.FOURIER(TRANSPOSE({0.5;-0.25;1E3;7}),FALSE,TRUE,TRUE),ROWS(_xlfn.ORG.LIBREOFFICE.FOURIER(TRANSPOSE({0.5;-0.25;1E3;7}),FALSE,TRUE,TRUE)),2)</t>
  </si>
  <si>
    <t xml:space="preserve">SUM(_xlfn.ORG.LIBREOFFICE.FOURIER(TRANSPOSE({0.5;-0.25;1E3;7}),FALSE,FALSE,TRUE,1))</t>
  </si>
  <si>
    <t xml:space="preserve">INDEX(_xlfn.ORG.LIBREOFFICE.FOURIER(TRANSPOSE({0.5;-0.25;1E3;7}),FALSE,FALSE,TRUE,1),1,1)</t>
  </si>
  <si>
    <t xml:space="preserve">INDEX(_xlfn.ORG.LIBREOFFICE.FOURIER(TRANSPOSE({0.5;-0.25;1E3;7}),FALSE,FALSE,TRUE,1),2,1)</t>
  </si>
  <si>
    <t xml:space="preserve">INDEX(_xlfn.ORG.LIBREOFFICE.FOURIER(TRANSPOSE({0.5;-0.25;1E3;7}),FALSE,FALSE,TRUE,1),2,2)</t>
  </si>
  <si>
    <t xml:space="preserve">INDEX(_xlfn.ORG.LIBREOFFICE.FOURIER(TRANSPOSE({0.5;-0.25;1E3;7}),FALSE,FALSE,TRUE,1),3,2)</t>
  </si>
  <si>
    <t xml:space="preserve">INDEX(_xlfn.ORG.LIBREOFFICE.FOURIER(TRANSPOSE({0.5;-0.25;1E3;7}),FALSE,FALSE,TRUE,1),ROWS(_xlfn.ORG.LIBREOFFICE.FOURIER(TRANSPOSE({0.5;-0.25;1E3;7}),FALSE,FALSE,TRUE,1)),1)</t>
  </si>
  <si>
    <t xml:space="preserve">INDEX(_xlfn.ORG.LIBREOFFICE.FOURIER(TRANSPOSE({0.5;-0.25;1E3;7}),FALSE,FALSE,TRUE,1),ROWS(_xlfn.ORG.LIBREOFFICE.FOURIER(TRANSPOSE({0.5;-0.25;1E3;7}),FALSE,FALSE,TRUE,1)),2)</t>
  </si>
  <si>
    <t xml:space="preserve">SUM(_xlfn.ORG.LIBREOFFICE.FOURIER(TRANSPOSE({0.5;-0.25;1E3;7}),FALSE,TRUE,TRUE,5))</t>
  </si>
  <si>
    <t xml:space="preserve">INDEX(_xlfn.ORG.LIBREOFFICE.FOURIER(TRANSPOSE({0.5;-0.25;1E3;7}),FALSE,TRUE,TRUE,5),1,1)</t>
  </si>
  <si>
    <t xml:space="preserve">INDEX(_xlfn.ORG.LIBREOFFICE.FOURIER(TRANSPOSE({0.5;-0.25;1E3;7}),FALSE,TRUE,TRUE,5),2,1)</t>
  </si>
  <si>
    <t xml:space="preserve">INDEX(_xlfn.ORG.LIBREOFFICE.FOURIER(TRANSPOSE({0.5;-0.25;1E3;7}),FALSE,TRUE,TRUE,5),2,2)</t>
  </si>
  <si>
    <t xml:space="preserve">INDEX(_xlfn.ORG.LIBREOFFICE.FOURIER(TRANSPOSE({0.5;-0.25;1E3;7}),FALSE,TRUE,TRUE,5),3,2)</t>
  </si>
  <si>
    <t xml:space="preserve">INDEX(_xlfn.ORG.LIBREOFFICE.FOURIER(TRANSPOSE({0.5;-0.25;1E3;7}),FALSE,TRUE,TRUE,5),ROWS(_xlfn.ORG.LIBREOFFICE.FOURIER(TRANSPOSE({0.5;-0.25;1E3;7}),FALSE,TRUE,TRUE,5)),1)</t>
  </si>
  <si>
    <t xml:space="preserve">INDEX(_xlfn.ORG.LIBREOFFICE.FOURIER(TRANSPOSE({0.5;-0.25;1E3;7}),FALSE,TRUE,TRUE,5),ROWS(_xlfn.ORG.LIBREOFFICE.FOURIER(TRANSPOSE({0.5;-0.25;1E3;7}),FALSE,TRUE,TRUE,5)),2)</t>
  </si>
  <si>
    <t xml:space="preserve">ROWS(_xlfn.ORG.LIBREOFFICE.FOURIER({1E10;1E-10;3;4;5},TRUE))</t>
  </si>
  <si>
    <t xml:space="preserve">COLUMNS(_xlfn.ORG.LIBREOFFICE.FOURIER({1E10;1E-10;3;4;5},TRUE))</t>
  </si>
  <si>
    <t xml:space="preserve">SUM(_xlfn.ORG.LIBREOFFICE.FOURIER({1E10;1E-10;3;4;5},TRUE))</t>
  </si>
  <si>
    <t xml:space="preserve">INDEX(_xlfn.ORG.LIBREOFFICE.FOURIER({1E10;1E-10;3;4;5},TRUE),1,1)</t>
  </si>
  <si>
    <t xml:space="preserve">INDEX(_xlfn.ORG.LIBREOFFICE.FOURIER({1E10;1E-10;3;4;5},TRUE),2,1)</t>
  </si>
  <si>
    <t xml:space="preserve">INDEX(_xlfn.ORG.LIBREOFFICE.FOURIER({1E10;1E-10;3;4;5},TRUE),2,2)</t>
  </si>
  <si>
    <t xml:space="preserve">INDEX(_xlfn.ORG.LIBREOFFICE.FOURIER({1E10;1E-10;3;4;5},TRUE),3,2)</t>
  </si>
  <si>
    <t xml:space="preserve">INDEX(_xlfn.ORG.LIBREOFFICE.FOURIER({1E10;1E-10;3;4;5},TRUE),ROWS(_xlfn.ORG.LIBREOFFICE.FOURIER({1E10;1E-10;3;4;5},TRUE)),1)</t>
  </si>
  <si>
    <t xml:space="preserve">INDEX(_xlfn.ORG.LIBREOFFICE.FOURIER({1E10;1E-10;3;4;5},TRUE),ROWS(_xlfn.ORG.LIBREOFFICE.FOURIER({1E10;1E-10;3;4;5},TRUE)),2)</t>
  </si>
  <si>
    <t xml:space="preserve">SUM(_xlfn.ORG.LIBREOFFICE.FOURIER({1E10;1E-10;3;4;5},TRUE,TRUE))</t>
  </si>
  <si>
    <t xml:space="preserve">INDEX(_xlfn.ORG.LIBREOFFICE.FOURIER({1E10;1E-10;3;4;5},TRUE,TRUE),1,1)</t>
  </si>
  <si>
    <t xml:space="preserve">INDEX(_xlfn.ORG.LIBREOFFICE.FOURIER({1E10;1E-10;3;4;5},TRUE,TRUE),2,1)</t>
  </si>
  <si>
    <t xml:space="preserve">INDEX(_xlfn.ORG.LIBREOFFICE.FOURIER({1E10;1E-10;3;4;5},TRUE,TRUE),2,2)</t>
  </si>
  <si>
    <t xml:space="preserve">INDEX(_xlfn.ORG.LIBREOFFICE.FOURIER({1E10;1E-10;3;4;5},TRUE,TRUE),3,2)</t>
  </si>
  <si>
    <t xml:space="preserve">INDEX(_xlfn.ORG.LIBREOFFICE.FOURIER({1E10;1E-10;3;4;5},TRUE,TRUE),ROWS(_xlfn.ORG.LIBREOFFICE.FOURIER({1E10;1E-10;3;4;5},TRUE,TRUE)),1)</t>
  </si>
  <si>
    <t xml:space="preserve">INDEX(_xlfn.ORG.LIBREOFFICE.FOURIER({1E10;1E-10;3;4;5},TRUE,TRUE),ROWS(_xlfn.ORG.LIBREOFFICE.FOURIER({1E10;1E-10;3;4;5},TRUE,TRUE)),2)</t>
  </si>
  <si>
    <t xml:space="preserve">SUM(_xlfn.ORG.LIBREOFFICE.FOURIER({1E10;1E-10;3;4;5},TRUE,FALSE,TRUE))</t>
  </si>
  <si>
    <t xml:space="preserve">INDEX(_xlfn.ORG.LIBREOFFICE.FOURIER({1E10;1E-10;3;4;5},TRUE,FALSE,TRUE),1,1)</t>
  </si>
  <si>
    <t xml:space="preserve">INDEX(_xlfn.ORG.LIBREOFFICE.FOURIER({1E10;1E-10;3;4;5},TRUE,FALSE,TRUE),2,1)</t>
  </si>
  <si>
    <t xml:space="preserve">INDEX(_xlfn.ORG.LIBREOFFICE.FOURIER({1E10;1E-10;3;4;5},TRUE,FALSE,TRUE),2,2)</t>
  </si>
  <si>
    <t xml:space="preserve">INDEX(_xlfn.ORG.LIBREOFFICE.FOURIER({1E10;1E-10;3;4;5},TRUE,FALSE,TRUE),3,2)</t>
  </si>
  <si>
    <t xml:space="preserve">INDEX(_xlfn.ORG.LIBREOFFICE.FOURIER({1E10;1E-10;3;4;5},TRUE,FALSE,TRUE),ROWS(_xlfn.ORG.LIBREOFFICE.FOURIER({1E10;1E-10;3;4;5},TRUE,FALSE,TRUE)),1)</t>
  </si>
  <si>
    <t xml:space="preserve">INDEX(_xlfn.ORG.LIBREOFFICE.FOURIER({1E10;1E-10;3;4;5},TRUE,FALSE,TRUE),ROWS(_xlfn.ORG.LIBREOFFICE.FOURIER({1E10;1E-10;3;4;5},TRUE,FALSE,TRUE)),2)</t>
  </si>
  <si>
    <t xml:space="preserve">SUM(_xlfn.ORG.LIBREOFFICE.FOURIER({1E10;1E-10;3;4;5},TRUE,TRUE,TRUE))</t>
  </si>
  <si>
    <t xml:space="preserve">INDEX(_xlfn.ORG.LIBREOFFICE.FOURIER({1E10;1E-10;3;4;5},TRUE,TRUE,TRUE),1,1)</t>
  </si>
  <si>
    <t xml:space="preserve">INDEX(_xlfn.ORG.LIBREOFFICE.FOURIER({1E10;1E-10;3;4;5},TRUE,TRUE,TRUE),2,1)</t>
  </si>
  <si>
    <t xml:space="preserve">INDEX(_xlfn.ORG.LIBREOFFICE.FOURIER({1E10;1E-10;3;4;5},TRUE,TRUE,TRUE),2,2)</t>
  </si>
  <si>
    <t xml:space="preserve">INDEX(_xlfn.ORG.LIBREOFFICE.FOURIER({1E10;1E-10;3;4;5},TRUE,TRUE,TRUE),3,2)</t>
  </si>
  <si>
    <t xml:space="preserve">INDEX(_xlfn.ORG.LIBREOFFICE.FOURIER({1E10;1E-10;3;4;5},TRUE,TRUE,TRUE),ROWS(_xlfn.ORG.LIBREOFFICE.FOURIER({1E10;1E-10;3;4;5},TRUE,TRUE,TRUE)),1)</t>
  </si>
  <si>
    <t xml:space="preserve">INDEX(_xlfn.ORG.LIBREOFFICE.FOURIER({1E10;1E-10;3;4;5},TRUE,TRUE,TRUE),ROWS(_xlfn.ORG.LIBREOFFICE.FOURIER({1E10;1E-10;3;4;5},TRUE,TRUE,TRUE)),2)</t>
  </si>
  <si>
    <t xml:space="preserve">SUM(_xlfn.ORG.LIBREOFFICE.FOURIER({1E10;1E-10;3;4;5},TRUE,FALSE,TRUE,1))</t>
  </si>
  <si>
    <t xml:space="preserve">INDEX(_xlfn.ORG.LIBREOFFICE.FOURIER({1E10;1E-10;3;4;5},TRUE,FALSE,TRUE,1),1,1)</t>
  </si>
  <si>
    <t xml:space="preserve">INDEX(_xlfn.ORG.LIBREOFFICE.FOURIER({1E10;1E-10;3;4;5},TRUE,FALSE,TRUE,1),2,1)</t>
  </si>
  <si>
    <t xml:space="preserve">INDEX(_xlfn.ORG.LIBREOFFICE.FOURIER({1E10;1E-10;3;4;5},TRUE,FALSE,TRUE,1),2,2)</t>
  </si>
  <si>
    <t xml:space="preserve">INDEX(_xlfn.ORG.LIBREOFFICE.FOURIER({1E10;1E-10;3;4;5},TRUE,FALSE,TRUE,1),3,2)</t>
  </si>
  <si>
    <t xml:space="preserve">INDEX(_xlfn.ORG.LIBREOFFICE.FOURIER({1E10;1E-10;3;4;5},TRUE,FALSE,TRUE,1),ROWS(_xlfn.ORG.LIBREOFFICE.FOURIER({1E10;1E-10;3;4;5},TRUE,FALSE,TRUE,1)),1)</t>
  </si>
  <si>
    <t xml:space="preserve">INDEX(_xlfn.ORG.LIBREOFFICE.FOURIER({1E10;1E-10;3;4;5},TRUE,FALSE,TRUE,1),ROWS(_xlfn.ORG.LIBREOFFICE.FOURIER({1E10;1E-10;3;4;5},TRUE,FALSE,TRUE,1)),2)</t>
  </si>
  <si>
    <t xml:space="preserve">SUM(_xlfn.ORG.LIBREOFFICE.FOURIER({1E10;1E-10;3;4;5},TRUE,TRUE,TRUE,5))</t>
  </si>
  <si>
    <t xml:space="preserve">INDEX(_xlfn.ORG.LIBREOFFICE.FOURIER({1E10;1E-10;3;4;5},TRUE,TRUE,TRUE,5),1,1)</t>
  </si>
  <si>
    <t xml:space="preserve">INDEX(_xlfn.ORG.LIBREOFFICE.FOURIER({1E10;1E-10;3;4;5},TRUE,TRUE,TRUE,5),2,1)</t>
  </si>
  <si>
    <t xml:space="preserve">INDEX(_xlfn.ORG.LIBREOFFICE.FOURIER({1E10;1E-10;3;4;5},TRUE,TRUE,TRUE,5),2,2)</t>
  </si>
  <si>
    <t xml:space="preserve">INDEX(_xlfn.ORG.LIBREOFFICE.FOURIER({1E10;1E-10;3;4;5},TRUE,TRUE,TRUE,5),3,2)</t>
  </si>
  <si>
    <t xml:space="preserve">INDEX(_xlfn.ORG.LIBREOFFICE.FOURIER({1E10;1E-10;3;4;5},TRUE,TRUE,TRUE,5),ROWS(_xlfn.ORG.LIBREOFFICE.FOURIER({1E10;1E-10;3;4;5},TRUE,TRUE,TRUE,5)),1)</t>
  </si>
  <si>
    <t xml:space="preserve">INDEX(_xlfn.ORG.LIBREOFFICE.FOURIER({1E10;1E-10;3;4;5},TRUE,TRUE,TRUE,5),ROWS(_xlfn.ORG.LIBREOFFICE.FOURIER({1E10;1E-10;3;4;5},TRUE,TRUE,TRUE,5)),2)</t>
  </si>
  <si>
    <t xml:space="preserve">ROWS(_xlfn.ORG.LIBREOFFICE.FOURIER(TRANSPOSE({1E10;1E-10;3;4;5}),FALSE))</t>
  </si>
  <si>
    <t xml:space="preserve">COLUMNS(_xlfn.ORG.LIBREOFFICE.FOURIER(TRANSPOSE({1E10;1E-10;3;4;5}),FALSE))</t>
  </si>
  <si>
    <t xml:space="preserve">SUM(_xlfn.ORG.LIBREOFFICE.FOURIER(TRANSPOSE({1E10;1E-10;3;4;5}),FALSE))</t>
  </si>
  <si>
    <t xml:space="preserve">INDEX(_xlfn.ORG.LIBREOFFICE.FOURIER(TRANSPOSE({1E10;1E-10;3;4;5}),FALSE),1,1)</t>
  </si>
  <si>
    <t xml:space="preserve">INDEX(_xlfn.ORG.LIBREOFFICE.FOURIER(TRANSPOSE({1E10;1E-10;3;4;5}),FALSE),2,1)</t>
  </si>
  <si>
    <t xml:space="preserve">INDEX(_xlfn.ORG.LIBREOFFICE.FOURIER(TRANSPOSE({1E10;1E-10;3;4;5}),FALSE),2,2)</t>
  </si>
  <si>
    <t xml:space="preserve">INDEX(_xlfn.ORG.LIBREOFFICE.FOURIER(TRANSPOSE({1E10;1E-10;3;4;5}),FALSE),3,2)</t>
  </si>
  <si>
    <t xml:space="preserve">INDEX(_xlfn.ORG.LIBREOFFICE.FOURIER(TRANSPOSE({1E10;1E-10;3;4;5}),FALSE),ROWS(_xlfn.ORG.LIBREOFFICE.FOURIER(TRANSPOSE({1E10;1E-10;3;4;5}),FALSE)),1)</t>
  </si>
  <si>
    <t xml:space="preserve">INDEX(_xlfn.ORG.LIBREOFFICE.FOURIER(TRANSPOSE({1E10;1E-10;3;4;5}),FALSE),ROWS(_xlfn.ORG.LIBREOFFICE.FOURIER(TRANSPOSE({1E10;1E-10;3;4;5}),FALSE)),2)</t>
  </si>
  <si>
    <t xml:space="preserve">SUM(_xlfn.ORG.LIBREOFFICE.FOURIER(TRANSPOSE({1E10;1E-10;3;4;5}),FALSE,TRUE))</t>
  </si>
  <si>
    <t xml:space="preserve">INDEX(_xlfn.ORG.LIBREOFFICE.FOURIER(TRANSPOSE({1E10;1E-10;3;4;5}),FALSE,TRUE),1,1)</t>
  </si>
  <si>
    <t xml:space="preserve">INDEX(_xlfn.ORG.LIBREOFFICE.FOURIER(TRANSPOSE({1E10;1E-10;3;4;5}),FALSE,TRUE),2,1)</t>
  </si>
  <si>
    <t xml:space="preserve">INDEX(_xlfn.ORG.LIBREOFFICE.FOURIER(TRANSPOSE({1E10;1E-10;3;4;5}),FALSE,TRUE),2,2)</t>
  </si>
  <si>
    <t xml:space="preserve">INDEX(_xlfn.ORG.LIBREOFFICE.FOURIER(TRANSPOSE({1E10;1E-10;3;4;5}),FALSE,TRUE),3,2)</t>
  </si>
  <si>
    <t xml:space="preserve">INDEX(_xlfn.ORG.LIBREOFFICE.FOURIER(TRANSPOSE({1E10;1E-10;3;4;5}),FALSE,TRUE),ROWS(_xlfn.ORG.LIBREOFFICE.FOURIER(TRANSPOSE({1E10;1E-10;3;4;5}),FALSE,TRUE)),1)</t>
  </si>
  <si>
    <t xml:space="preserve">INDEX(_xlfn.ORG.LIBREOFFICE.FOURIER(TRANSPOSE({1E10;1E-10;3;4;5}),FALSE,TRUE),ROWS(_xlfn.ORG.LIBREOFFICE.FOURIER(TRANSPOSE({1E10;1E-10;3;4;5}),FALSE,TRUE)),2)</t>
  </si>
  <si>
    <t xml:space="preserve">SUM(_xlfn.ORG.LIBREOFFICE.FOURIER(TRANSPOSE({1E10;1E-10;3;4;5}),FALSE,FALSE,TRUE))</t>
  </si>
  <si>
    <t xml:space="preserve">INDEX(_xlfn.ORG.LIBREOFFICE.FOURIER(TRANSPOSE({1E10;1E-10;3;4;5}),FALSE,FALSE,TRUE),1,1)</t>
  </si>
  <si>
    <t xml:space="preserve">INDEX(_xlfn.ORG.LIBREOFFICE.FOURIER(TRANSPOSE({1E10;1E-10;3;4;5}),FALSE,FALSE,TRUE),2,1)</t>
  </si>
  <si>
    <t xml:space="preserve">INDEX(_xlfn.ORG.LIBREOFFICE.FOURIER(TRANSPOSE({1E10;1E-10;3;4;5}),FALSE,FALSE,TRUE),2,2)</t>
  </si>
  <si>
    <t xml:space="preserve">INDEX(_xlfn.ORG.LIBREOFFICE.FOURIER(TRANSPOSE({1E10;1E-10;3;4;5}),FALSE,FALSE,TRUE),3,2)</t>
  </si>
  <si>
    <t xml:space="preserve">INDEX(_xlfn.ORG.LIBREOFFICE.FOURIER(TRANSPOSE({1E10;1E-10;3;4;5}),FALSE,FALSE,TRUE),ROWS(_xlfn.ORG.LIBREOFFICE.FOURIER(TRANSPOSE({1E10;1E-10;3;4;5}),FALSE,FALSE,TRUE)),1)</t>
  </si>
  <si>
    <t xml:space="preserve">INDEX(_xlfn.ORG.LIBREOFFICE.FOURIER(TRANSPOSE({1E10;1E-10;3;4;5}),FALSE,FALSE,TRUE),ROWS(_xlfn.ORG.LIBREOFFICE.FOURIER(TRANSPOSE({1E10;1E-10;3;4;5}),FALSE,FALSE,TRUE)),2)</t>
  </si>
  <si>
    <t xml:space="preserve">SUM(_xlfn.ORG.LIBREOFFICE.FOURIER(TRANSPOSE({1E10;1E-10;3;4;5}),FALSE,TRUE,TRUE))</t>
  </si>
  <si>
    <t xml:space="preserve">INDEX(_xlfn.ORG.LIBREOFFICE.FOURIER(TRANSPOSE({1E10;1E-10;3;4;5}),FALSE,TRUE,TRUE),1,1)</t>
  </si>
  <si>
    <t xml:space="preserve">INDEX(_xlfn.ORG.LIBREOFFICE.FOURIER(TRANSPOSE({1E10;1E-10;3;4;5}),FALSE,TRUE,TRUE),2,1)</t>
  </si>
  <si>
    <t xml:space="preserve">INDEX(_xlfn.ORG.LIBREOFFICE.FOURIER(TRANSPOSE({1E10;1E-10;3;4;5}),FALSE,TRUE,TRUE),2,2)</t>
  </si>
  <si>
    <t xml:space="preserve">INDEX(_xlfn.ORG.LIBREOFFICE.FOURIER(TRANSPOSE({1E10;1E-10;3;4;5}),FALSE,TRUE,TRUE),3,2)</t>
  </si>
  <si>
    <t xml:space="preserve">INDEX(_xlfn.ORG.LIBREOFFICE.FOURIER(TRANSPOSE({1E10;1E-10;3;4;5}),FALSE,TRUE,TRUE),ROWS(_xlfn.ORG.LIBREOFFICE.FOURIER(TRANSPOSE({1E10;1E-10;3;4;5}),FALSE,TRUE,TRUE)),1)</t>
  </si>
  <si>
    <t xml:space="preserve">INDEX(_xlfn.ORG.LIBREOFFICE.FOURIER(TRANSPOSE({1E10;1E-10;3;4;5}),FALSE,TRUE,TRUE),ROWS(_xlfn.ORG.LIBREOFFICE.FOURIER(TRANSPOSE({1E10;1E-10;3;4;5}),FALSE,TRUE,TRUE)),2)</t>
  </si>
  <si>
    <t xml:space="preserve">SUM(_xlfn.ORG.LIBREOFFICE.FOURIER(TRANSPOSE({1E10;1E-10;3;4;5}),FALSE,FALSE,TRUE,1))</t>
  </si>
  <si>
    <t xml:space="preserve">INDEX(_xlfn.ORG.LIBREOFFICE.FOURIER(TRANSPOSE({1E10;1E-10;3;4;5}),FALSE,FALSE,TRUE,1),1,1)</t>
  </si>
  <si>
    <t xml:space="preserve">INDEX(_xlfn.ORG.LIBREOFFICE.FOURIER(TRANSPOSE({1E10;1E-10;3;4;5}),FALSE,FALSE,TRUE,1),2,1)</t>
  </si>
  <si>
    <t xml:space="preserve">INDEX(_xlfn.ORG.LIBREOFFICE.FOURIER(TRANSPOSE({1E10;1E-10;3;4;5}),FALSE,FALSE,TRUE,1),2,2)</t>
  </si>
  <si>
    <t xml:space="preserve">INDEX(_xlfn.ORG.LIBREOFFICE.FOURIER(TRANSPOSE({1E10;1E-10;3;4;5}),FALSE,FALSE,TRUE,1),3,2)</t>
  </si>
  <si>
    <t xml:space="preserve">INDEX(_xlfn.ORG.LIBREOFFICE.FOURIER(TRANSPOSE({1E10;1E-10;3;4;5}),FALSE,FALSE,TRUE,1),ROWS(_xlfn.ORG.LIBREOFFICE.FOURIER(TRANSPOSE({1E10;1E-10;3;4;5}),FALSE,FALSE,TRUE,1)),1)</t>
  </si>
  <si>
    <t xml:space="preserve">INDEX(_xlfn.ORG.LIBREOFFICE.FOURIER(TRANSPOSE({1E10;1E-10;3;4;5}),FALSE,FALSE,TRUE,1),ROWS(_xlfn.ORG.LIBREOFFICE.FOURIER(TRANSPOSE({1E10;1E-10;3;4;5}),FALSE,FALSE,TRUE,1)),2)</t>
  </si>
  <si>
    <t xml:space="preserve">SUM(_xlfn.ORG.LIBREOFFICE.FOURIER(TRANSPOSE({1E10;1E-10;3;4;5}),FALSE,TRUE,TRUE,5))</t>
  </si>
  <si>
    <t xml:space="preserve">INDEX(_xlfn.ORG.LIBREOFFICE.FOURIER(TRANSPOSE({1E10;1E-10;3;4;5}),FALSE,TRUE,TRUE,5),1,1)</t>
  </si>
  <si>
    <t xml:space="preserve">INDEX(_xlfn.ORG.LIBREOFFICE.FOURIER(TRANSPOSE({1E10;1E-10;3;4;5}),FALSE,TRUE,TRUE,5),2,1)</t>
  </si>
  <si>
    <t xml:space="preserve">INDEX(_xlfn.ORG.LIBREOFFICE.FOURIER(TRANSPOSE({1E10;1E-10;3;4;5}),FALSE,TRUE,TRUE,5),2,2)</t>
  </si>
  <si>
    <t xml:space="preserve">INDEX(_xlfn.ORG.LIBREOFFICE.FOURIER(TRANSPOSE({1E10;1E-10;3;4;5}),FALSE,TRUE,TRUE,5),3,2)</t>
  </si>
  <si>
    <t xml:space="preserve">INDEX(_xlfn.ORG.LIBREOFFICE.FOURIER(TRANSPOSE({1E10;1E-10;3;4;5}),FALSE,TRUE,TRUE,5),ROWS(_xlfn.ORG.LIBREOFFICE.FOURIER(TRANSPOSE({1E10;1E-10;3;4;5}),FALSE,TRUE,TRUE,5)),1)</t>
  </si>
  <si>
    <t xml:space="preserve">INDEX(_xlfn.ORG.LIBREOFFICE.FOURIER(TRANSPOSE({1E10;1E-10;3;4;5}),FALSE,TRUE,TRUE,5),ROWS(_xlfn.ORG.LIBREOFFICE.FOURIER(TRANSPOSE({1E10;1E-10;3;4;5}),FALSE,TRUE,TRUE,5)),2)</t>
  </si>
  <si>
    <t xml:space="preserve">ROWS(_xlfn.ORG.LIBREOFFICE.FOURIER(Data!C1:C4,TRUE))</t>
  </si>
  <si>
    <t xml:space="preserve">COLUMNS(_xlfn.ORG.LIBREOFFICE.FOURIER(Data!C1:C4,TRUE))</t>
  </si>
  <si>
    <t xml:space="preserve">SUM(_xlfn.ORG.LIBREOFFICE.FOURIER(Data!C1:C4,TRUE))</t>
  </si>
  <si>
    <t xml:space="preserve">INDEX(_xlfn.ORG.LIBREOFFICE.FOURIER(Data!C1:C4,TRUE),1,1)</t>
  </si>
  <si>
    <t xml:space="preserve">INDEX(_xlfn.ORG.LIBREOFFICE.FOURIER(Data!C1:C4,TRUE),2,1)</t>
  </si>
  <si>
    <t xml:space="preserve">INDEX(_xlfn.ORG.LIBREOFFICE.FOURIER(Data!C1:C4,TRUE),2,2)</t>
  </si>
  <si>
    <t xml:space="preserve">INDEX(_xlfn.ORG.LIBREOFFICE.FOURIER(Data!C1:C4,TRUE),3,2)</t>
  </si>
  <si>
    <t xml:space="preserve">INDEX(_xlfn.ORG.LIBREOFFICE.FOURIER(Data!C1:C4,TRUE),ROWS(_xlfn.ORG.LIBREOFFICE.FOURIER(Data!C1:C4,TRUE)),1)</t>
  </si>
  <si>
    <t xml:space="preserve">INDEX(_xlfn.ORG.LIBREOFFICE.FOURIER(Data!C1:C4,TRUE),ROWS(_xlfn.ORG.LIBREOFFICE.FOURIER(Data!C1:C4,TRUE)),2)</t>
  </si>
  <si>
    <t xml:space="preserve">SUM(_xlfn.ORG.LIBREOFFICE.FOURIER(Data!C1:C4,TRUE,TRUE))</t>
  </si>
  <si>
    <t xml:space="preserve">INDEX(_xlfn.ORG.LIBREOFFICE.FOURIER(Data!C1:C4,TRUE,TRUE),1,1)</t>
  </si>
  <si>
    <t xml:space="preserve">INDEX(_xlfn.ORG.LIBREOFFICE.FOURIER(Data!C1:C4,TRUE,TRUE),2,1)</t>
  </si>
  <si>
    <t xml:space="preserve">INDEX(_xlfn.ORG.LIBREOFFICE.FOURIER(Data!C1:C4,TRUE,TRUE),2,2)</t>
  </si>
  <si>
    <t xml:space="preserve">INDEX(_xlfn.ORG.LIBREOFFICE.FOURIER(Data!C1:C4,TRUE,TRUE),3,2)</t>
  </si>
  <si>
    <t xml:space="preserve">INDEX(_xlfn.ORG.LIBREOFFICE.FOURIER(Data!C1:C4,TRUE,TRUE),ROWS(_xlfn.ORG.LIBREOFFICE.FOURIER(Data!C1:C4,TRUE,TRUE)),1)</t>
  </si>
  <si>
    <t xml:space="preserve">INDEX(_xlfn.ORG.LIBREOFFICE.FOURIER(Data!C1:C4,TRUE,TRUE),ROWS(_xlfn.ORG.LIBREOFFICE.FOURIER(Data!C1:C4,TRUE,TRUE)),2)</t>
  </si>
  <si>
    <t xml:space="preserve">SUM(_xlfn.ORG.LIBREOFFICE.FOURIER(Data!C1:C4,TRUE,FALSE,TRUE))</t>
  </si>
  <si>
    <t xml:space="preserve">INDEX(_xlfn.ORG.LIBREOFFICE.FOURIER(Data!C1:C4,TRUE,FALSE,TRUE),1,1)</t>
  </si>
  <si>
    <t xml:space="preserve">INDEX(_xlfn.ORG.LIBREOFFICE.FOURIER(Data!C1:C4,TRUE,FALSE,TRUE),2,1)</t>
  </si>
  <si>
    <t xml:space="preserve">INDEX(_xlfn.ORG.LIBREOFFICE.FOURIER(Data!C1:C4,TRUE,FALSE,TRUE),2,2)</t>
  </si>
  <si>
    <t xml:space="preserve">INDEX(_xlfn.ORG.LIBREOFFICE.FOURIER(Data!C1:C4,TRUE,FALSE,TRUE),3,2)</t>
  </si>
  <si>
    <t xml:space="preserve">INDEX(_xlfn.ORG.LIBREOFFICE.FOURIER(Data!C1:C4,TRUE,FALSE,TRUE),ROWS(_xlfn.ORG.LIBREOFFICE.FOURIER(Data!C1:C4,TRUE,FALSE,TRUE)),1)</t>
  </si>
  <si>
    <t xml:space="preserve">INDEX(_xlfn.ORG.LIBREOFFICE.FOURIER(Data!C1:C4,TRUE,FALSE,TRUE),ROWS(_xlfn.ORG.LIBREOFFICE.FOURIER(Data!C1:C4,TRUE,FALSE,TRUE)),2)</t>
  </si>
  <si>
    <t xml:space="preserve">SUM(_xlfn.ORG.LIBREOFFICE.FOURIER(Data!C1:C4,TRUE,TRUE,TRUE))</t>
  </si>
  <si>
    <t xml:space="preserve">INDEX(_xlfn.ORG.LIBREOFFICE.FOURIER(Data!C1:C4,TRUE,TRUE,TRUE),1,1)</t>
  </si>
  <si>
    <t xml:space="preserve">INDEX(_xlfn.ORG.LIBREOFFICE.FOURIER(Data!C1:C4,TRUE,TRUE,TRUE),2,1)</t>
  </si>
  <si>
    <t xml:space="preserve">INDEX(_xlfn.ORG.LIBREOFFICE.FOURIER(Data!C1:C4,TRUE,TRUE,TRUE),2,2)</t>
  </si>
  <si>
    <t xml:space="preserve">INDEX(_xlfn.ORG.LIBREOFFICE.FOURIER(Data!C1:C4,TRUE,TRUE,TRUE),3,2)</t>
  </si>
  <si>
    <t xml:space="preserve">INDEX(_xlfn.ORG.LIBREOFFICE.FOURIER(Data!C1:C4,TRUE,TRUE,TRUE),ROWS(_xlfn.ORG.LIBREOFFICE.FOURIER(Data!C1:C4,TRUE,TRUE,TRUE)),1)</t>
  </si>
  <si>
    <t xml:space="preserve">INDEX(_xlfn.ORG.LIBREOFFICE.FOURIER(Data!C1:C4,TRUE,TRUE,TRUE),ROWS(_xlfn.ORG.LIBREOFFICE.FOURIER(Data!C1:C4,TRUE,TRUE,TRUE)),2)</t>
  </si>
  <si>
    <t xml:space="preserve">SUM(_xlfn.ORG.LIBREOFFICE.FOURIER(Data!C1:C4,TRUE,FALSE,TRUE,1))</t>
  </si>
  <si>
    <t xml:space="preserve">INDEX(_xlfn.ORG.LIBREOFFICE.FOURIER(Data!C1:C4,TRUE,FALSE,TRUE,1),1,1)</t>
  </si>
  <si>
    <t xml:space="preserve">INDEX(_xlfn.ORG.LIBREOFFICE.FOURIER(Data!C1:C4,TRUE,FALSE,TRUE,1),2,1)</t>
  </si>
  <si>
    <t xml:space="preserve">INDEX(_xlfn.ORG.LIBREOFFICE.FOURIER(Data!C1:C4,TRUE,FALSE,TRUE,1),2,2)</t>
  </si>
  <si>
    <t xml:space="preserve">INDEX(_xlfn.ORG.LIBREOFFICE.FOURIER(Data!C1:C4,TRUE,FALSE,TRUE,1),3,2)</t>
  </si>
  <si>
    <t xml:space="preserve">INDEX(_xlfn.ORG.LIBREOFFICE.FOURIER(Data!C1:C4,TRUE,FALSE,TRUE,1),ROWS(_xlfn.ORG.LIBREOFFICE.FOURIER(Data!C1:C4,TRUE,FALSE,TRUE,1)),1)</t>
  </si>
  <si>
    <t xml:space="preserve">INDEX(_xlfn.ORG.LIBREOFFICE.FOURIER(Data!C1:C4,TRUE,FALSE,TRUE,1),ROWS(_xlfn.ORG.LIBREOFFICE.FOURIER(Data!C1:C4,TRUE,FALSE,TRUE,1)),2)</t>
  </si>
  <si>
    <t xml:space="preserve">SUM(_xlfn.ORG.LIBREOFFICE.FOURIER(Data!C1:C4,TRUE,TRUE,TRUE,5))</t>
  </si>
  <si>
    <t xml:space="preserve">INDEX(_xlfn.ORG.LIBREOFFICE.FOURIER(Data!C1:C4,TRUE,TRUE,TRUE,5),1,1)</t>
  </si>
  <si>
    <t xml:space="preserve">INDEX(_xlfn.ORG.LIBREOFFICE.FOURIER(Data!C1:C4,TRUE,TRUE,TRUE,5),2,1)</t>
  </si>
  <si>
    <t xml:space="preserve">INDEX(_xlfn.ORG.LIBREOFFICE.FOURIER(Data!C1:C4,TRUE,TRUE,TRUE,5),2,2)</t>
  </si>
  <si>
    <t xml:space="preserve">INDEX(_xlfn.ORG.LIBREOFFICE.FOURIER(Data!C1:C4,TRUE,TRUE,TRUE,5),3,2)</t>
  </si>
  <si>
    <t xml:space="preserve">INDEX(_xlfn.ORG.LIBREOFFICE.FOURIER(Data!C1:C4,TRUE,TRUE,TRUE,5),ROWS(_xlfn.ORG.LIBREOFFICE.FOURIER(Data!C1:C4,TRUE,TRUE,TRUE,5)),1)</t>
  </si>
  <si>
    <t xml:space="preserve">INDEX(_xlfn.ORG.LIBREOFFICE.FOURIER(Data!C1:C4,TRUE,TRUE,TRUE,5),ROWS(_xlfn.ORG.LIBREOFFICE.FOURIER(Data!C1:C4,TRUE,TRUE,TRUE,5)),2)</t>
  </si>
  <si>
    <t xml:space="preserve">ROWS(_xlfn.ORG.LIBREOFFICE.FOURIER(Data!C1:C4,FALSE))</t>
  </si>
  <si>
    <t xml:space="preserve">COLUMNS(_xlfn.ORG.LIBREOFFICE.FOURIER(Data!C1:C4,FALSE))</t>
  </si>
  <si>
    <t xml:space="preserve">SUM(_xlfn.ORG.LIBREOFFICE.FOURIER(Data!C1:C4,FALSE))</t>
  </si>
  <si>
    <t xml:space="preserve">INDEX(_xlfn.ORG.LIBREOFFICE.FOURIER(Data!C1:C4,FALSE),1,1)</t>
  </si>
  <si>
    <t xml:space="preserve">INDEX(_xlfn.ORG.LIBREOFFICE.FOURIER(Data!C1:C4,FALSE),2,1)</t>
  </si>
  <si>
    <t xml:space="preserve">INDEX(_xlfn.ORG.LIBREOFFICE.FOURIER(Data!C1:C4,FALSE),2,2)</t>
  </si>
  <si>
    <t xml:space="preserve">INDEX(_xlfn.ORG.LIBREOFFICE.FOURIER(Data!C1:C4,FALSE),3,2)</t>
  </si>
  <si>
    <t xml:space="preserve">INDEX(_xlfn.ORG.LIBREOFFICE.FOURIER(Data!C1:C4,FALSE),ROWS(_xlfn.ORG.LIBREOFFICE.FOURIER(Data!C1:C4,FALSE)),1)</t>
  </si>
  <si>
    <t xml:space="preserve">INDEX(_xlfn.ORG.LIBREOFFICE.FOURIER(Data!C1:C4,FALSE),ROWS(_xlfn.ORG.LIBREOFFICE.FOURIER(Data!C1:C4,FALSE)),2)</t>
  </si>
  <si>
    <t xml:space="preserve">SUM(_xlfn.ORG.LIBREOFFICE.FOURIER(Data!C1:C4,FALSE,TRUE))</t>
  </si>
  <si>
    <t xml:space="preserve">INDEX(_xlfn.ORG.LIBREOFFICE.FOURIER(Data!C1:C4,FALSE,TRUE),1,1)</t>
  </si>
  <si>
    <t xml:space="preserve">INDEX(_xlfn.ORG.LIBREOFFICE.FOURIER(Data!C1:C4,FALSE,TRUE),2,1)</t>
  </si>
  <si>
    <t xml:space="preserve">INDEX(_xlfn.ORG.LIBREOFFICE.FOURIER(Data!C1:C4,FALSE,TRUE),2,2)</t>
  </si>
  <si>
    <t xml:space="preserve">INDEX(_xlfn.ORG.LIBREOFFICE.FOURIER(Data!C1:C4,FALSE,TRUE),3,2)</t>
  </si>
  <si>
    <t xml:space="preserve">INDEX(_xlfn.ORG.LIBREOFFICE.FOURIER(Data!C1:C4,FALSE,TRUE),ROWS(_xlfn.ORG.LIBREOFFICE.FOURIER(Data!C1:C4,FALSE,TRUE)),1)</t>
  </si>
  <si>
    <t xml:space="preserve">INDEX(_xlfn.ORG.LIBREOFFICE.FOURIER(Data!C1:C4,FALSE,TRUE),ROWS(_xlfn.ORG.LIBREOFFICE.FOURIER(Data!C1:C4,FALSE,TRUE)),2)</t>
  </si>
  <si>
    <t xml:space="preserve">SUM(_xlfn.ORG.LIBREOFFICE.FOURIER(Data!C1:C4,FALSE,FALSE,TRUE))</t>
  </si>
  <si>
    <t xml:space="preserve">INDEX(_xlfn.ORG.LIBREOFFICE.FOURIER(Data!C1:C4,FALSE,FALSE,TRUE),1,1)</t>
  </si>
  <si>
    <t xml:space="preserve">INDEX(_xlfn.ORG.LIBREOFFICE.FOURIER(Data!C1:C4,FALSE,FALSE,TRUE),2,1)</t>
  </si>
  <si>
    <t xml:space="preserve">INDEX(_xlfn.ORG.LIBREOFFICE.FOURIER(Data!C1:C4,FALSE,FALSE,TRUE),2,2)</t>
  </si>
  <si>
    <t xml:space="preserve">INDEX(_xlfn.ORG.LIBREOFFICE.FOURIER(Data!C1:C4,FALSE,FALSE,TRUE),3,2)</t>
  </si>
  <si>
    <t xml:space="preserve">INDEX(_xlfn.ORG.LIBREOFFICE.FOURIER(Data!C1:C4,FALSE,FALSE,TRUE),ROWS(_xlfn.ORG.LIBREOFFICE.FOURIER(Data!C1:C4,FALSE,FALSE,TRUE)),1)</t>
  </si>
  <si>
    <t xml:space="preserve">INDEX(_xlfn.ORG.LIBREOFFICE.FOURIER(Data!C1:C4,FALSE,FALSE,TRUE),ROWS(_xlfn.ORG.LIBREOFFICE.FOURIER(Data!C1:C4,FALSE,FALSE,TRUE)),2)</t>
  </si>
  <si>
    <t xml:space="preserve">SUM(_xlfn.ORG.LIBREOFFICE.FOURIER(Data!C1:C4,FALSE,TRUE,TRUE))</t>
  </si>
  <si>
    <t xml:space="preserve">INDEX(_xlfn.ORG.LIBREOFFICE.FOURIER(Data!C1:C4,FALSE,TRUE,TRUE),1,1)</t>
  </si>
  <si>
    <t xml:space="preserve">INDEX(_xlfn.ORG.LIBREOFFICE.FOURIER(Data!C1:C4,FALSE,TRUE,TRUE),2,1)</t>
  </si>
  <si>
    <t xml:space="preserve">INDEX(_xlfn.ORG.LIBREOFFICE.FOURIER(Data!C1:C4,FALSE,TRUE,TRUE),2,2)</t>
  </si>
  <si>
    <t xml:space="preserve">INDEX(_xlfn.ORG.LIBREOFFICE.FOURIER(Data!C1:C4,FALSE,TRUE,TRUE),3,2)</t>
  </si>
  <si>
    <t xml:space="preserve">INDEX(_xlfn.ORG.LIBREOFFICE.FOURIER(Data!C1:C4,FALSE,TRUE,TRUE),ROWS(_xlfn.ORG.LIBREOFFICE.FOURIER(Data!C1:C4,FALSE,TRUE,TRUE)),1)</t>
  </si>
  <si>
    <t xml:space="preserve">INDEX(_xlfn.ORG.LIBREOFFICE.FOURIER(Data!C1:C4,FALSE,TRUE,TRUE),ROWS(_xlfn.ORG.LIBREOFFICE.FOURIER(Data!C1:C4,FALSE,TRUE,TRUE)),2)</t>
  </si>
  <si>
    <t xml:space="preserve">SUM(_xlfn.ORG.LIBREOFFICE.FOURIER(Data!C1:C4,FALSE,FALSE,TRUE,1))</t>
  </si>
  <si>
    <t xml:space="preserve">INDEX(_xlfn.ORG.LIBREOFFICE.FOURIER(Data!C1:C4,FALSE,FALSE,TRUE,1),1,1)</t>
  </si>
  <si>
    <t xml:space="preserve">INDEX(_xlfn.ORG.LIBREOFFICE.FOURIER(Data!C1:C4,FALSE,FALSE,TRUE,1),2,1)</t>
  </si>
  <si>
    <t xml:space="preserve">INDEX(_xlfn.ORG.LIBREOFFICE.FOURIER(Data!C1:C4,FALSE,FALSE,TRUE,1),2,2)</t>
  </si>
  <si>
    <t xml:space="preserve">INDEX(_xlfn.ORG.LIBREOFFICE.FOURIER(Data!C1:C4,FALSE,FALSE,TRUE,1),3,2)</t>
  </si>
  <si>
    <t xml:space="preserve">INDEX(_xlfn.ORG.LIBREOFFICE.FOURIER(Data!C1:C4,FALSE,FALSE,TRUE,1),ROWS(_xlfn.ORG.LIBREOFFICE.FOURIER(Data!C1:C4,FALSE,FALSE,TRUE,1)),1)</t>
  </si>
  <si>
    <t xml:space="preserve">INDEX(_xlfn.ORG.LIBREOFFICE.FOURIER(Data!C1:C4,FALSE,FALSE,TRUE,1),ROWS(_xlfn.ORG.LIBREOFFICE.FOURIER(Data!C1:C4,FALSE,FALSE,TRUE,1)),2)</t>
  </si>
  <si>
    <t xml:space="preserve">SUM(_xlfn.ORG.LIBREOFFICE.FOURIER(Data!C1:C4,FALSE,TRUE,TRUE,5))</t>
  </si>
  <si>
    <t xml:space="preserve">INDEX(_xlfn.ORG.LIBREOFFICE.FOURIER(Data!C1:C4,FALSE,TRUE,TRUE,5),1,1)</t>
  </si>
  <si>
    <t xml:space="preserve">INDEX(_xlfn.ORG.LIBREOFFICE.FOURIER(Data!C1:C4,FALSE,TRUE,TRUE,5),2,1)</t>
  </si>
  <si>
    <t xml:space="preserve">INDEX(_xlfn.ORG.LIBREOFFICE.FOURIER(Data!C1:C4,FALSE,TRUE,TRUE,5),2,2)</t>
  </si>
  <si>
    <t xml:space="preserve">INDEX(_xlfn.ORG.LIBREOFFICE.FOURIER(Data!C1:C4,FALSE,TRUE,TRUE,5),3,2)</t>
  </si>
  <si>
    <t xml:space="preserve">INDEX(_xlfn.ORG.LIBREOFFICE.FOURIER(Data!C1:C4,FALSE,TRUE,TRUE,5),ROWS(_xlfn.ORG.LIBREOFFICE.FOURIER(Data!C1:C4,FALSE,TRUE,TRUE,5)),1)</t>
  </si>
  <si>
    <t xml:space="preserve">INDEX(_xlfn.ORG.LIBREOFFICE.FOURIER(Data!C1:C4,FALSE,TRUE,TRUE,5),ROWS(_xlfn.ORG.LIBREOFFICE.FOURIER(Data!C1:C4,FALSE,TRUE,TRUE,5)),2)</t>
  </si>
  <si>
    <t xml:space="preserve">_xlfn.ORG.LIBREOFFICE.FOURIER(Data!Z1:Z4,TRUE)</t>
  </si>
  <si>
    <t xml:space="preserve">SUM(_xlfn.ORG.LIBREOFFICE.FOURIER(Data!Z1:Z4,TRUE))</t>
  </si>
  <si>
    <t xml:space="preserve">SUM(_xlfn.ORG.LIBREOFFICE.FOURIER(Data!B1:B4,TRUE))</t>
  </si>
  <si>
    <t xml:space="preserve">SUM(_xlfn.ORG.LIBREOFFICE.FOURIER({1;"a";3;4},TRUE))</t>
  </si>
  <si>
    <t xml:space="preserve">SUM(_xlfn.ORG.LIBREOFFICE.FOURIER(1/0,TRUE))</t>
  </si>
  <si>
    <t xml:space="preserve">SUM(_xlfn.ORG.LIBREOFFICE.FOURIER({1;2;#N/A;4},TRUE))</t>
  </si>
  <si>
    <t xml:space="preserve">SUM(_xlfn.ORG.LIBREOFFICE.FOURIER({1;2;""},TRUE))</t>
  </si>
  <si>
    <t xml:space="preserve">SUM(_xlfn.ORG.LIBREOFFICE.FOURIER({1;2;3},TRUE,FALSE,TRUE,"x"))</t>
  </si>
  <si>
    <t xml:space="preserve">SUM(_xlfn.ORG.LIBREOFFICE.FOURIER({1;2;3},TRUE,"x"))</t>
  </si>
  <si>
    <t xml:space="preserve">SUM(_xlfn.ORG.LIBREOFFICE.FOURIER({1;2;3},TRUE,"1"))</t>
  </si>
  <si>
    <t xml:space="preserve">SUM(_xlfn.ORG.LIBREOFFICE.FOURIER({1;2;3},TRUE,FALSE,"x"))</t>
  </si>
  <si>
    <t xml:space="preserve">SUM(_xlfn.ORG.LIBREOFFICE.FOURIER({1;2;3},"x"))</t>
  </si>
  <si>
    <t xml:space="preserve">SUM(_xlfn.ORG.LIBREOFFICE.FOURIER({1;2;3},"1"))</t>
  </si>
  <si>
    <t xml:space="preserve">SUM(_xlfn.ORG.LIBREOFFICE.FOURIER({1;2;3},TRUE,1/0))</t>
  </si>
  <si>
    <t xml:space="preserve">SUM(_xlfn.ORG.LIBREOFFICE.FOURIER({1;2;3},1/0))</t>
  </si>
  <si>
    <t xml:space="preserve">SUM(_xlfn.ORG.LIBREOFFICE.FOURIER({1;2;3},TRUE,FALSE,TRUE,1/0))</t>
  </si>
  <si>
    <t xml:space="preserve">SUM(_xlfn.ORG.LIBREOFFICE.FOURIER({1;2;3},TRUE,NA(),TRUE,1/0))</t>
  </si>
  <si>
    <t xml:space="preserve">SUM(_xlfn.ORG.LIBREOFFICE.FOURIER(1/0,TRUE,NA()))</t>
  </si>
  <si>
    <t xml:space="preserve">SUM(_xlfn.ORG.LIBREOFFICE.FOURIER({1;2;3},TRUE,FALSE,TRUE,-1))</t>
  </si>
  <si>
    <t xml:space="preserve">SUM(_xlfn.ORG.LIBREOFFICE.FOURIER({1;2;3},TRUE,FALSE,TRUE,1.5))</t>
  </si>
  <si>
    <t xml:space="preserve">SUM(_xlfn.ORG.LIBREOFFICE.FOURIER({1;2;3},TRUE,FALSE,TRUE,2))</t>
  </si>
  <si>
    <t xml:space="preserve">SUM(_xlfn.ORG.LIBREOFFICE.FOURIER(Data!A1:A3,2))</t>
  </si>
  <si>
    <t xml:space="preserve">SUM(_xlfn.ORG.LIBREOFFICE.FOURIER(Data!A1:C3,TRUE))</t>
  </si>
  <si>
    <t xml:space="preserve">SUM(_xlfn.ORG.LIBREOFFICE.FOURIER(Data!A1:C1,FALSE))</t>
  </si>
  <si>
    <t xml:space="preserve">SUM(_xlfn.ORG.LIBREOFFICE.FOURIER({-92.70002;76.0;35.0;43.0;-95.16;-9.99;-80.93616;20.0;3.26},TRUE,TRUE,TRUE))</t>
  </si>
  <si>
    <t xml:space="preserve">INDEX(_xlfn.ORG.LIBREOFFICE.FOURIER({-92.70002;76.0;35.0;43.0;-95.16;-9.99;-80.93616;20.0;3.26},TRUE,TRUE,TRUE),4,1)</t>
  </si>
  <si>
    <t xml:space="preserve">INDEX(_xlfn.ORG.LIBREOFFICE.FOURIER(TRANSPOSE({-92.70002;76.0;35.0;43.0;-95.16;-9.99;-80.93616;20.0;3.26}),FALSE,TRUE,TRUE),1,1)</t>
  </si>
  <si>
    <t xml:space="preserve">INDEX(_xlfn.ORG.LIBREOFFICE.FOURIER({-70.18,-46.47;40.01,59.79;31.79,66.21;-56.95,54.17;-71.71,70.85;-86.82,-71.79;-18.46,-11.37;-80.01,62.1;16.71,-7.64},TRUE,TRUE,TRUE),5,2)</t>
  </si>
  <si>
    <t xml:space="preserve">SUM(_xlfn.ORG.LIBREOFFICE.FOURIER({-25.0;66.53;43.74;-87.31;-40.92;-88.16283;-76.0;-26.0;92.0;50.44714;-11.38052;85.86553;-37.99;-88.73859;74.18;-67.54317;-40.3999;-83.5;-10.0;51.80003;-9.53256;-55.21;-80.3428;-39.69506;-99.30359;99.57;-89.64236;-44.62;92.45;-26.06;72.67;-25.65},TRUE,TRUE,TRUE))</t>
  </si>
  <si>
    <t xml:space="preserve">INDEX(_xlfn.ORG.LIBREOFFICE.FOURIER({-25.0;66.53;43.74;-87.31;-40.92;-88.16283;-76.0;-26.0;92.0;50.44714;-11.38052;85.86553;-37.99;-88.73859;74.18;-67.54317;-40.3999;-83.5;-10.0;51.80003;-9.53256;-55.21;-80.3428;-39.69506;-99.30359;99.57;-89.64236;-44.62;92.45;-26.06;72.67;-25.65},TRUE,TRUE,TRUE),3,2)</t>
  </si>
  <si>
    <t xml:space="preserve">INDEX(_xlfn.ORG.LIBREOFFICE.FOURIER(TRANSPOSE({-25.0;66.53;43.74;-87.31;-40.92;-88.16283;-76.0;-26.0;92.0;50.44714;-11.38052;85.86553;-37.99;-88.73859;74.18;-67.54317;-40.3999;-83.5;-10.0;51.80003;-9.53256;-55.21;-80.3428;-39.69506;-99.30359;99.57;-89.64236;-44.62;92.45;-26.06;72.67;-25.65}),FALSE,TRUE,TRUE),10,2)</t>
  </si>
  <si>
    <t xml:space="preserve">INDEX(_xlfn.ORG.LIBREOFFICE.FOURIER({-48.66,-59.58;42.94,-16.13;-17.59,-43.13;9.31,28.06;-36.07,-38.7;-55.51,-6.36;-57.64,-92.22;-47.67,60.51;-72.16,-81.65;-19.55,97.58;-33.47,34.31;81.33,85.25;-8.41,-55.77;-61.61,29.57;-7.73,71.49;53.28,-78.77;-17.97,63.2;60.37,-69.71;-31.35,-46.04;89.29,-14.49;69.46,-68.35;99.22,49.04;-65.45,-59.99;-29.07,-57.48;-82.5,17.11;-57.95,49.21;51.66,25.78;-82.78,-11.99;-98.24,-49.11;14.01,68.44;34.42,73.53;-43.45,-91.31},TRUE,TRUE,TRUE),8,2)</t>
  </si>
  <si>
    <t xml:space="preserve">SUM(_xlfn.ORG.LIBREOFFICE.FOURIER({23.0;-80.70105;-49.64;-61.0;-8.65762;-68.0;-19.27;-53.15673;45.0;-63.60242},TRUE,FALSE,TRUE,1))</t>
  </si>
  <si>
    <t xml:space="preserve">INDEX(_xlfn.ORG.LIBREOFFICE.FOURIER({23.0;-80.70105;-49.64;-61.0;-8.65762;-68.0;-19.27;-53.15673;45.0;-63.60242},TRUE,FALSE,TRUE,1),2,2)</t>
  </si>
  <si>
    <t xml:space="preserve">INDEX(_xlfn.ORG.LIBREOFFICE.FOURIER(TRANSPOSE({23.0;-80.70105;-49.64;-61.0;-8.65762;-68.0;-19.27;-53.15673;45.0;-63.60242}),FALSE,FALSE,TRUE,1),9,2)</t>
  </si>
  <si>
    <t xml:space="preserve">INDEX(_xlfn.ORG.LIBREOFFICE.FOURIER({-4.95,64.28;-50.12,18.91;94.41,13.5;60.14,41.46;82.26,-8.75;-94.38,-55.5;33.41,19.31;17.19,-32.89;69.5,91.99;16.74,79.11},TRUE,FALSE,TRUE,1),2,2)</t>
  </si>
  <si>
    <t xml:space="preserve">SUM(_xlfn.ORG.LIBREOFFICE.FOURIER({60.0;-97.0;97.47;50.34;-42.0},TRUE,TRUE))</t>
  </si>
  <si>
    <t xml:space="preserve">INDEX(_xlfn.ORG.LIBREOFFICE.FOURIER({60.0;-97.0;97.47;50.34;-42.0},TRUE,TRUE),4,2)</t>
  </si>
  <si>
    <t xml:space="preserve">INDEX(_xlfn.ORG.LIBREOFFICE.FOURIER(TRANSPOSE({60.0;-97.0;97.47;50.34;-42.0}),FALSE,TRUE),3,1)</t>
  </si>
  <si>
    <t xml:space="preserve">INDEX(_xlfn.ORG.LIBREOFFICE.FOURIER({16.1,6.51;7.17,-30.11;77.74,-19.37;-65.02,-1.67;19.23,0.16},TRUE,TRUE),1,1)</t>
  </si>
  <si>
    <t xml:space="preserve">SUM(_xlfn.ORG.LIBREOFFICE.FOURIER({82.0;14.32198;34.45688;79.69814;-90.82;-37.00577;60.0;-100.0;-88.55;97.61;-14.68953;-86.19698;42.0;29.3;30.95;-1.42;93.0},TRUE,TRUE,TRUE))</t>
  </si>
  <si>
    <t xml:space="preserve">INDEX(_xlfn.ORG.LIBREOFFICE.FOURIER({82.0;14.32198;34.45688;79.69814;-90.82;-37.00577;60.0;-100.0;-88.55;97.61;-14.68953;-86.19698;42.0;29.3;30.95;-1.42;93.0},TRUE,TRUE,TRUE),12,2)</t>
  </si>
  <si>
    <t xml:space="preserve">INDEX(_xlfn.ORG.LIBREOFFICE.FOURIER(TRANSPOSE({82.0;14.32198;34.45688;79.69814;-90.82;-37.00577;60.0;-100.0;-88.55;97.61;-14.68953;-86.19698;42.0;29.3;30.95;-1.42;93.0}),FALSE,TRUE,TRUE),2,1)</t>
  </si>
  <si>
    <t xml:space="preserve">INDEX(_xlfn.ORG.LIBREOFFICE.FOURIER({-23.2,-47.77;-7.31,-12.76;94.45,-53.88;79.79,-92.06;-4.04,-16.27;-56.81,-93.39;80.57,24.2;-63.09,26.16;-51.52,82.91;-53.75,33.95;-74.66,63.46;-46.21,-47.05;56.26,-13.79;-95.41,-69.92;92.48,80.16;0.2,-42.83;-81.56,-69.77},TRUE,TRUE,TRUE),11,2)</t>
  </si>
  <si>
    <t xml:space="preserve">SUM(_xlfn.ORG.LIBREOFFICE.FOURIER({-57.0;86.09;-7.55155;58.0;39.49},TRUE,TRUE,TRUE,10))</t>
  </si>
  <si>
    <t xml:space="preserve">INDEX(_xlfn.ORG.LIBREOFFICE.FOURIER({-57.0;86.09;-7.55155;58.0;39.49},TRUE,TRUE,TRUE,10),3,2)</t>
  </si>
  <si>
    <t xml:space="preserve">INDEX(_xlfn.ORG.LIBREOFFICE.FOURIER(TRANSPOSE({-57.0;86.09;-7.55155;58.0;39.49}),FALSE,TRUE,TRUE,10),4,2)</t>
  </si>
  <si>
    <t xml:space="preserve">INDEX(_xlfn.ORG.LIBREOFFICE.FOURIER({-83.23,-2.22;91.73,49.65;-39.68,78.26;-86.56,-54.9;-85.64,99.16},TRUE,TRUE,TRUE,10),3,1)</t>
  </si>
  <si>
    <t xml:space="preserve">SUM(_xlfn.ORG.LIBREOFFICE.FOURIER({-49.79;-48.01881;-36.0;-12.74892;-83.0;98.98;-96.0},TRUE,TRUE,TRUE,10))</t>
  </si>
  <si>
    <t xml:space="preserve">INDEX(_xlfn.ORG.LIBREOFFICE.FOURIER({-49.79;-48.01881;-36.0;-12.74892;-83.0;98.98;-96.0},TRUE,TRUE,TRUE,10),6,2)</t>
  </si>
  <si>
    <t xml:space="preserve">INDEX(_xlfn.ORG.LIBREOFFICE.FOURIER(TRANSPOSE({-49.79;-48.01881;-36.0;-12.74892;-83.0;98.98;-96.0}),FALSE,TRUE,TRUE,10),1,1)</t>
  </si>
  <si>
    <t xml:space="preserve">INDEX(_xlfn.ORG.LIBREOFFICE.FOURIER({-41.49,-54.21;93.23,60.74;-6.43,-77.9;90.77,63.02;-48.36,34.19;-52.93,-91.21;62.91,58.4},TRUE,TRUE,TRUE,10),4,2)</t>
  </si>
  <si>
    <t xml:space="preserve">SUM(_xlfn.ORG.LIBREOFFICE.FOURIER({29.15529;-77.0;74.18418;-80.14984;-54.0;89.0},TRUE,TRUE,TRUE,10))</t>
  </si>
  <si>
    <t xml:space="preserve">INDEX(_xlfn.ORG.LIBREOFFICE.FOURIER({29.15529;-77.0;74.18418;-80.14984;-54.0;89.0},TRUE,TRUE,TRUE,10),6,1)</t>
  </si>
  <si>
    <t xml:space="preserve">INDEX(_xlfn.ORG.LIBREOFFICE.FOURIER(TRANSPOSE({29.15529;-77.0;74.18418;-80.14984;-54.0;89.0}),FALSE,TRUE,TRUE,10),6,1)</t>
  </si>
  <si>
    <t xml:space="preserve">INDEX(_xlfn.ORG.LIBREOFFICE.FOURIER({-22.3,-32.83;-2.17,52.89;-22.73,-99.07;94.67,-48.52;-23.48,74.84;16.21,-44.88},TRUE,TRUE,TRUE,10),3,1)</t>
  </si>
  <si>
    <t xml:space="preserve">SUM(_xlfn.ORG.LIBREOFFICE.FOURIER({43.89;-9.28},TRUE,TRUE,TRUE))</t>
  </si>
  <si>
    <t xml:space="preserve">INDEX(_xlfn.ORG.LIBREOFFICE.FOURIER({43.89;-9.28},TRUE,TRUE,TRUE),1,1)</t>
  </si>
  <si>
    <t xml:space="preserve">INDEX(_xlfn.ORG.LIBREOFFICE.FOURIER(TRANSPOSE({43.89;-9.28}),FALSE,TRUE,TRUE),1,2)</t>
  </si>
  <si>
    <t xml:space="preserve">INDEX(_xlfn.ORG.LIBREOFFICE.FOURIER({5.05,-32.77;86.87,63.79},TRUE,TRUE,TRUE),2,1)</t>
  </si>
  <si>
    <t xml:space="preserve">SUM(_xlfn.ORG.LIBREOFFICE.FOURIER({-86.0;-68.21;-98.0582;-36.5;29.24;-85.3078;34.10927;33.81545},TRUE,FALSE,TRUE,1))</t>
  </si>
  <si>
    <t xml:space="preserve">INDEX(_xlfn.ORG.LIBREOFFICE.FOURIER({-86.0;-68.21;-98.0582;-36.5;29.24;-85.3078;34.10927;33.81545},TRUE,FALSE,TRUE,1),1,1)</t>
  </si>
  <si>
    <t xml:space="preserve">INDEX(_xlfn.ORG.LIBREOFFICE.FOURIER(TRANSPOSE({-86.0;-68.21;-98.0582;-36.5;29.24;-85.3078;34.10927;33.81545}),FALSE,FALSE,TRUE,1),8,1)</t>
  </si>
  <si>
    <t xml:space="preserve">INDEX(_xlfn.ORG.LIBREOFFICE.FOURIER({-60.59,-36.22;-29.08,12.88;76.35,-62.36;-27.86,53.12;-44.62,97.11;-68.94,-0.23;40.91,-58.99;-49.68,-98.21},TRUE,FALSE,TRUE,1),1,2)</t>
  </si>
  <si>
    <t xml:space="preserve">SUM(_xlfn.ORG.LIBREOFFICE.FOURIER({-66.6;45.0;-100.0;46.68291;-29.78281;74.71489;-31.92;83.13743;-22.0},TRUE,TRUE,TRUE))</t>
  </si>
  <si>
    <t xml:space="preserve">INDEX(_xlfn.ORG.LIBREOFFICE.FOURIER({-66.6;45.0;-100.0;46.68291;-29.78281;74.71489;-31.92;83.13743;-22.0},TRUE,TRUE,TRUE),3,2)</t>
  </si>
  <si>
    <t xml:space="preserve">INDEX(_xlfn.ORG.LIBREOFFICE.FOURIER(TRANSPOSE({-66.6;45.0;-100.0;46.68291;-29.78281;74.71489;-31.92;83.13743;-22.0}),FALSE,TRUE,TRUE),4,1)</t>
  </si>
  <si>
    <t xml:space="preserve">INDEX(_xlfn.ORG.LIBREOFFICE.FOURIER({-49.3,4.14;-58.93,12.39;25.85,-36.34;-75.18,34.18;42.0,-67.01;-38.45,17.08;8.37,54.17;-81.15,-29.38;-47.48,-71.2},TRUE,TRUE,TRUE),9,2)</t>
  </si>
  <si>
    <t xml:space="preserve">SUM(_xlfn.ORG.LIBREOFFICE.FOURIER({-68.04031;-0.1;49.57693;-80.22;31.63;51.99;-31.89985;36.97;-76.13;-67.08688},TRUE,TRUE,TRUE))</t>
  </si>
  <si>
    <t xml:space="preserve">INDEX(_xlfn.ORG.LIBREOFFICE.FOURIER({-68.04031;-0.1;49.57693;-80.22;31.63;51.99;-31.89985;36.97;-76.13;-67.08688},TRUE,TRUE,TRUE),3,1)</t>
  </si>
  <si>
    <t xml:space="preserve">INDEX(_xlfn.ORG.LIBREOFFICE.FOURIER(TRANSPOSE({-68.04031;-0.1;49.57693;-80.22;31.63;51.99;-31.89985;36.97;-76.13;-67.08688}),FALSE,TRUE,TRUE),3,2)</t>
  </si>
  <si>
    <t xml:space="preserve">INDEX(_xlfn.ORG.LIBREOFFICE.FOURIER({1.01,-60.05;66.34,-18.98;-28.31,-83.97;-77.24,-11.89;89.76,-19.31;-22.64,46.9;49.46,-47.28;45.91,-24.35;60.78,91.58;-68.42,96.46},TRUE,TRUE,TRUE),9,1)</t>
  </si>
  <si>
    <t xml:space="preserve">SUM(_xlfn.ORG.LIBREOFFICE.FOURIER({63.56174;-21.0;-79.24;9.0;26.0;-68.0;-89.98;-79.66;-21.07889;-93.0;-10.44154;85.77657;-64.32271;18.18;12.12919;84.48965;28.93364;46.0;89.73061;8.00774;-93.32;75.0;86.5;-58.83277;-22.54;-52.55;-2.0;-64.0;-55.71;58.23181;87.3},TRUE,TRUE,TRUE))</t>
  </si>
  <si>
    <t xml:space="preserve">INDEX(_xlfn.ORG.LIBREOFFICE.FOURIER({63.56174;-21.0;-79.24;9.0;26.0;-68.0;-89.98;-79.66;-21.07889;-93.0;-10.44154;85.77657;-64.32271;18.18;12.12919;84.48965;28.93364;46.0;89.73061;8.00774;-93.32;75.0;86.5;-58.83277;-22.54;-52.55;-2.0;-64.0;-55.71;58.23181;87.3},TRUE,TRUE,TRUE),4,2)</t>
  </si>
  <si>
    <t xml:space="preserve">INDEX(_xlfn.ORG.LIBREOFFICE.FOURIER(TRANSPOSE({63.56174;-21.0;-79.24;9.0;26.0;-68.0;-89.98;-79.66;-21.07889;-93.0;-10.44154;85.77657;-64.32271;18.18;12.12919;84.48965;28.93364;46.0;89.73061;8.00774;-93.32;75.0;86.5;-58.83277;-22.54;-52.55;-2.0;-64.0;-55.71;58.23181;87.3}),FALSE,TRUE,TRUE),15,2)</t>
  </si>
  <si>
    <t xml:space="preserve">INDEX(_xlfn.ORG.LIBREOFFICE.FOURIER({-38.28,-57.72;-7.8,90.18;17.36,15.73;-22.05,70.84;7.13,94.55;35.03,-40.23;75.46,-73.52;-58.4,-6.33;94.01,-40.19;84.17,44.75;-93.83,9.77;6.34,-71.55;-95.66,57.02;93.01,-79.69;5.31,-20.13;-75.44,27.87;-62.49,-87.01;70.34,70.13;-99.64,44.38;-77.05,24.03;-37.58,31.64;-20.76,-96.43;83.37,78.67;-23.49,-19.37;29.03,-98.2;72.2,23.82;61.95,-34.91;-61.26,-37.89;-0.87,-4.8;-46.84,-92.87;80.63,45.67},TRUE,TRUE,TRUE),29,2)</t>
  </si>
  <si>
    <t xml:space="preserve">SUM(_xlfn.ORG.LIBREOFFICE.FOURIER({-24.32;19.50956;97.0;-69.0;-88.92;-1.34;98.20198;33.43;-31.67592;56.0;70.98972;65.0;-80.0;-17.33;-84.96053;-27.0;89.85558},TRUE,FALSE,TRUE))</t>
  </si>
  <si>
    <t xml:space="preserve">INDEX(_xlfn.ORG.LIBREOFFICE.FOURIER({-24.32;19.50956;97.0;-69.0;-88.92;-1.34;98.20198;33.43;-31.67592;56.0;70.98972;65.0;-80.0;-17.33;-84.96053;-27.0;89.85558},TRUE,FALSE,TRUE),16,1)</t>
  </si>
  <si>
    <t xml:space="preserve">INDEX(_xlfn.ORG.LIBREOFFICE.FOURIER(TRANSPOSE({-24.32;19.50956;97.0;-69.0;-88.92;-1.34;98.20198;33.43;-31.67592;56.0;70.98972;65.0;-80.0;-17.33;-84.96053;-27.0;89.85558}),FALSE,FALSE,TRUE),12,2)</t>
  </si>
  <si>
    <t xml:space="preserve">INDEX(_xlfn.ORG.LIBREOFFICE.FOURIER({49.26,81.95;-22.81,-70.46;-9.7,48.92;-49.68,-50.66;91.45,-56.99;30.04,30.9;69.09,23.51;34.62,71.06;4.67,-85.64;63.39,82.05;15.79,-75.86;-58.48,-58.15;15.61,-95.27;16.36,-56.49;93.0,-10.61;72.26,-55.75;-38.23,-94.88},TRUE,FALSE,TRUE),6,1)</t>
  </si>
  <si>
    <t xml:space="preserve">SUM(_xlfn.ORG.LIBREOFFICE.FOURIER({-83.44;37.71;-54.36805;17.01066;5.0;-39.3899;-50.8653},TRUE))</t>
  </si>
  <si>
    <t xml:space="preserve">INDEX(_xlfn.ORG.LIBREOFFICE.FOURIER({-83.44;37.71;-54.36805;17.01066;5.0;-39.3899;-50.8653},TRUE),2,1)</t>
  </si>
  <si>
    <t xml:space="preserve">INDEX(_xlfn.ORG.LIBREOFFICE.FOURIER(TRANSPOSE({-83.44;37.71;-54.36805;17.01066;5.0;-39.3899;-50.8653}),FALSE),2,2)</t>
  </si>
  <si>
    <t xml:space="preserve">INDEX(_xlfn.ORG.LIBREOFFICE.FOURIER({42.35,-45.38;71.17,-81.46;54.41,91.52;-45.44,-13.93;96.73,-24.17;-48.09,-77.82;26.62,59.54},TRUE),7,1)</t>
  </si>
  <si>
    <t xml:space="preserve">SUM(_xlfn.ORG.LIBREOFFICE.FOURIER({76.0;54.69851;73.0;-51.0;61.0;-87.0;-62.20808},TRUE,FALSE,TRUE))</t>
  </si>
  <si>
    <t xml:space="preserve">INDEX(_xlfn.ORG.LIBREOFFICE.FOURIER({76.0;54.69851;73.0;-51.0;61.0;-87.0;-62.20808},TRUE,FALSE,TRUE),6,2)</t>
  </si>
  <si>
    <t xml:space="preserve">INDEX(_xlfn.ORG.LIBREOFFICE.FOURIER(TRANSPOSE({76.0;54.69851;73.0;-51.0;61.0;-87.0;-62.20808}),FALSE,FALSE,TRUE),2,1)</t>
  </si>
  <si>
    <t xml:space="preserve">INDEX(_xlfn.ORG.LIBREOFFICE.FOURIER({-65.05,37.56;-40.88,45.72;-8.88,-41.0;-27.07,35.52;-48.68,-48.86;94.51,-9.92;-97.81,10.3},TRUE,FALSE,TRUE),3,2)</t>
  </si>
  <si>
    <t xml:space="preserve">SUM(_xlfn.ORG.LIBREOFFICE.FOURIER({-88.44;-87.0;-76.0;-91.0;-90.0;-99.67;-29.47845},TRUE,FALSE,TRUE,1))</t>
  </si>
  <si>
    <t xml:space="preserve">INDEX(_xlfn.ORG.LIBREOFFICE.FOURIER({-88.44;-87.0;-76.0;-91.0;-90.0;-99.67;-29.47845},TRUE,FALSE,TRUE,1),3,1)</t>
  </si>
  <si>
    <t xml:space="preserve">INDEX(_xlfn.ORG.LIBREOFFICE.FOURIER(TRANSPOSE({-88.44;-87.0;-76.0;-91.0;-90.0;-99.67;-29.47845}),FALSE,FALSE,TRUE,1),1,2)</t>
  </si>
  <si>
    <t xml:space="preserve">INDEX(_xlfn.ORG.LIBREOFFICE.FOURIER({-51.9,-37.84;-61.96,-18.23;33.72,-35.37;-82.24,4.85;-43.67,-91.79;24.71,-54.57;38.9,94.32},TRUE,FALSE,TRUE,1),5,2)</t>
  </si>
  <si>
    <t xml:space="preserve">SUM(_xlfn.ORG.LIBREOFFICE.FOURIER({-35.07;80.47;-17.0},TRUE,TRUE,TRUE,10))</t>
  </si>
  <si>
    <t xml:space="preserve">INDEX(_xlfn.ORG.LIBREOFFICE.FOURIER({-35.07;80.47;-17.0},TRUE,TRUE,TRUE,10),3,1)</t>
  </si>
  <si>
    <t xml:space="preserve">INDEX(_xlfn.ORG.LIBREOFFICE.FOURIER(TRANSPOSE({-35.07;80.47;-17.0}),FALSE,TRUE,TRUE,10),3,2)</t>
  </si>
  <si>
    <t xml:space="preserve">INDEX(_xlfn.ORG.LIBREOFFICE.FOURIER({5.69,77.81;-6.62,88.06;-44.52,-96.52},TRUE,TRUE,TRUE,10),2,1)</t>
  </si>
  <si>
    <t xml:space="preserve">SUM(_xlfn.ORG.LIBREOFFICE.FOURIER({80.0;22.77834;52.0;33.03;84.0;-76.57;12.86592;-80.06142;-66.0;-93.53242;-5.78012;-66.0629;-17.89202;-71.0;-0.15;-23.68992},TRUE))</t>
  </si>
  <si>
    <t xml:space="preserve">INDEX(_xlfn.ORG.LIBREOFFICE.FOURIER({80.0;22.77834;52.0;33.03;84.0;-76.57;12.86592;-80.06142;-66.0;-93.53242;-5.78012;-66.0629;-17.89202;-71.0;-0.15;-23.68992},TRUE),8,1)</t>
  </si>
  <si>
    <t xml:space="preserve">INDEX(_xlfn.ORG.LIBREOFFICE.FOURIER(TRANSPOSE({80.0;22.77834;52.0;33.03;84.0;-76.57;12.86592;-80.06142;-66.0;-93.53242;-5.78012;-66.0629;-17.89202;-71.0;-0.15;-23.68992}),FALSE),16,1)</t>
  </si>
  <si>
    <t xml:space="preserve">INDEX(_xlfn.ORG.LIBREOFFICE.FOURIER({67.16,-5.3;-96.05,-25.87;-69.55,0.23;-14.81,50.89;51.95,-76.31;-97.12,-13.51;-46.05,-39.63;-68.26,13.53;-40.25,-49.49;-70.47,70.84;-92.65,87.8;-95.55,-35.98;-85.22,-45.27;74.71,99.52;37.57,71.99;18.59,15.3},TRUE),8,2)</t>
  </si>
  <si>
    <t xml:space="preserve">SUM(_xlfn.ORG.LIBREOFFICE.FOURIER({25.92;78.62;-33.6;-37.0;41.0;18.0;15.97247;-29.82},TRUE,FALSE,TRUE,1))</t>
  </si>
  <si>
    <t xml:space="preserve">INDEX(_xlfn.ORG.LIBREOFFICE.FOURIER({25.92;78.62;-33.6;-37.0;41.0;18.0;15.97247;-29.82},TRUE,FALSE,TRUE,1),7,1)</t>
  </si>
  <si>
    <t xml:space="preserve">INDEX(_xlfn.ORG.LIBREOFFICE.FOURIER(TRANSPOSE({25.92;78.62;-33.6;-37.0;41.0;18.0;15.97247;-29.82}),FALSE,FALSE,TRUE,1),7,1)</t>
  </si>
  <si>
    <t xml:space="preserve">INDEX(_xlfn.ORG.LIBREOFFICE.FOURIER({27.14,-12.18;84.61,20.27;74.66,-67.35;92.08,16.93;88.84,-98.66;-37.59,62.82;-93.7,88.53;-94.54,-77.53},TRUE,FALSE,TRUE,1),8,1)</t>
  </si>
  <si>
    <t xml:space="preserve">SUM(_xlfn.ORG.LIBREOFFICE.FOURIER({94.22;-71.59423;50.0;-59.0;-0.03953;-18.84637;-7.0},TRUE,TRUE,TRUE,10))</t>
  </si>
  <si>
    <t xml:space="preserve">INDEX(_xlfn.ORG.LIBREOFFICE.FOURIER({94.22;-71.59423;50.0;-59.0;-0.03953;-18.84637;-7.0},TRUE,TRUE,TRUE,10),6,2)</t>
  </si>
  <si>
    <t xml:space="preserve">INDEX(_xlfn.ORG.LIBREOFFICE.FOURIER(TRANSPOSE({94.22;-71.59423;50.0;-59.0;-0.03953;-18.84637;-7.0}),FALSE,TRUE,TRUE,10),1,1)</t>
  </si>
  <si>
    <t xml:space="preserve">INDEX(_xlfn.ORG.LIBREOFFICE.FOURIER({3.36,94.56;-68.05,-64.34;-17.35,35.73;-65.13,-36.85;-90.2,-70.83;-58.45,-36.2;43.02,-18.22},TRUE,TRUE,TRUE,10),2,1)</t>
  </si>
  <si>
    <t xml:space="preserve">SUM(_xlfn.ORG.LIBREOFFICE.FOURIER({-28.0776;-16.0;83.87958;-70.45556;-71.0;4.7541;50.09321;19.41608;87.0;-75.0;95.0;7.0},TRUE,TRUE))</t>
  </si>
  <si>
    <t xml:space="preserve">INDEX(_xlfn.ORG.LIBREOFFICE.FOURIER({-28.0776;-16.0;83.87958;-70.45556;-71.0;4.7541;50.09321;19.41608;87.0;-75.0;95.0;7.0},TRUE,TRUE),1,1)</t>
  </si>
  <si>
    <t xml:space="preserve">INDEX(_xlfn.ORG.LIBREOFFICE.FOURIER(TRANSPOSE({-28.0776;-16.0;83.87958;-70.45556;-71.0;4.7541;50.09321;19.41608;87.0;-75.0;95.0;7.0}),FALSE,TRUE),9,2)</t>
  </si>
  <si>
    <t xml:space="preserve">INDEX(_xlfn.ORG.LIBREOFFICE.FOURIER({85.58,46.62;-36.9,13.11;49.87,86.79;-69.89,96.34;-41.23,64.66;54.29,94.38;-32.0,-39.92;-17.71,31.38;-55.17,45.71;79.07,85.58;81.04,-56.71;65.27,-23.23},TRUE,TRUE),11,1)</t>
  </si>
  <si>
    <t xml:space="preserve">SUM(_xlfn.ORG.LIBREOFFICE.FOURIER({73.19244;82.0;-12.37801;10.59},TRUE,TRUE,TRUE))</t>
  </si>
  <si>
    <t xml:space="preserve">INDEX(_xlfn.ORG.LIBREOFFICE.FOURIER({73.19244;82.0;-12.37801;10.59},TRUE,TRUE,TRUE),3,1)</t>
  </si>
  <si>
    <t xml:space="preserve">INDEX(_xlfn.ORG.LIBREOFFICE.FOURIER(TRANSPOSE({73.19244;82.0;-12.37801;10.59}),FALSE,TRUE,TRUE),3,1)</t>
  </si>
  <si>
    <t xml:space="preserve">INDEX(_xlfn.ORG.LIBREOFFICE.FOURIER({46.82,-31.29;-5.1,41.36;2.25,37.79;-81.41,75.69},TRUE,TRUE,TRUE),1,2)</t>
  </si>
  <si>
    <t xml:space="preserve">SUM(_xlfn.ORG.LIBREOFFICE.FOURIER({-87.12443;52.0;-12.0;-28.0;60.18187;-18.29;61.0;-50.13;-85.0;-81.43;-45.0;80.2;-60.42;-64.62;-97.0;-70.0;-39.59},TRUE,TRUE))</t>
  </si>
  <si>
    <t xml:space="preserve">INDEX(_xlfn.ORG.LIBREOFFICE.FOURIER({-87.12443;52.0;-12.0;-28.0;60.18187;-18.29;61.0;-50.13;-85.0;-81.43;-45.0;80.2;-60.42;-64.62;-97.0;-70.0;-39.59},TRUE,TRUE),10,2)</t>
  </si>
  <si>
    <t xml:space="preserve">INDEX(_xlfn.ORG.LIBREOFFICE.FOURIER(TRANSPOSE({-87.12443;52.0;-12.0;-28.0;60.18187;-18.29;61.0;-50.13;-85.0;-81.43;-45.0;80.2;-60.42;-64.62;-97.0;-70.0;-39.59}),FALSE,TRUE),4,1)</t>
  </si>
  <si>
    <t xml:space="preserve">INDEX(_xlfn.ORG.LIBREOFFICE.FOURIER({30.9,-71.69;-84.93,-12.63;47.28,-17.48;85.05,2.24;-52.57,-1.17;-72.0,13.19;58.06,52.57;-29.45,75.0;38.34,-40.95;6.09,-4.68;86.78,56.8;40.21,87.22;-65.47,16.57;17.04,67.11;-88.3,31.14;-22.0,-34.48;37.27,-89.7},TRUE,TRUE),17,2)</t>
  </si>
  <si>
    <t xml:space="preserve">SUM(_xlfn.ORG.LIBREOFFICE.FOURIER({-68.13447;61.42;13.12;-1.94;-78.44616;-15.7216},TRUE))</t>
  </si>
  <si>
    <t xml:space="preserve">INDEX(_xlfn.ORG.LIBREOFFICE.FOURIER({-68.13447;61.42;13.12;-1.94;-78.44616;-15.7216},TRUE),3,1)</t>
  </si>
  <si>
    <t xml:space="preserve">INDEX(_xlfn.ORG.LIBREOFFICE.FOURIER(TRANSPOSE({-68.13447;61.42;13.12;-1.94;-78.44616;-15.7216}),FALSE),1,2)</t>
  </si>
  <si>
    <t xml:space="preserve">INDEX(_xlfn.ORG.LIBREOFFICE.FOURIER({-26.56,-98.77;31.2,-71.0;-5.97,31.33;-64.29,81.32;-53.62,39.39;67.82,86.27},TRUE),3,2)</t>
  </si>
  <si>
    <t xml:space="preserve">OPT_BARRIER(150,0.05,0.0,0.05,5,0,120,90,0,"c","i","cont","g")</t>
  </si>
  <si>
    <t xml:space="preserve">OPT_BARRIER(100,0.05,0.1,-0.02,0.5,110,0,0,5.5,"Call","in","e")</t>
  </si>
  <si>
    <t xml:space="preserve">OPT_BARRIER(100.5,0.1,0.02,0.0,5,80,0,0,0,"put","i","c","theta")</t>
  </si>
  <si>
    <t xml:space="preserve">OPT_BARRIER(120,0.3,0.02,0.05,0,100,90,0,0,"call","i","cont","g")</t>
  </si>
  <si>
    <t xml:space="preserve">OPT_BARRIER(100,0.1,-0.01,0.05,0.25,110,0,0,2,"p","in","end","x")</t>
  </si>
  <si>
    <t xml:space="preserve">OPT_BARRIER(150,0.1,0.1,0.05,2,100,70,130,2,"c","out","end",TRUE)</t>
  </si>
  <si>
    <t xml:space="preserve">OPT_BARRIER(150,0.5,0.05,0.02,1,80,0,0,0,"c","o","end","a")</t>
  </si>
  <si>
    <t xml:space="preserve">OPT_BARRIER(60,0.5,0.1,0.02,0.25,90,0,120,5.5,"Call","in","e","theta")</t>
  </si>
  <si>
    <t xml:space="preserve">OPT_BARRIER(60,0.3,0.02,-0.02,5,80,90,0,0,"call","out","end","volga")</t>
  </si>
  <si>
    <t xml:space="preserve">OPT_BARRIER(80,0.1,-0.01,0.02,0.25,110,90,120,5.5,"put","out","x",1)</t>
  </si>
  <si>
    <t xml:space="preserve">OPT_BARRIER(60,0.1,0.1,0.02,0.5,120,0,0,2,"call","o","cont","delta")</t>
  </si>
  <si>
    <t xml:space="preserve">OPT_BARRIER(150,0.1,0.0,0.05,0.25,0,95,105,0,"Call","out","c","rhof")</t>
  </si>
  <si>
    <t xml:space="preserve">OPT_BARRIER(120,0.3,-0.01,0.0,2,100,95,105,0,"call","i","end",TRUE)</t>
  </si>
  <si>
    <t xml:space="preserve">OPT_BARRIER(60,0.3,0.02,0.05,0.01,110,70,130,5.5,"Call","in","cont","value")</t>
  </si>
  <si>
    <t xml:space="preserve">OPT_BARRIER(120,0.2,0.02,0.02,0.01,110,95,105,5.5,"call","i","c","")</t>
  </si>
  <si>
    <t xml:space="preserve">OPT_BARRIER(60,0.2,0.02,0.02,0.5,100,95,105,0,"Call","o","c","rhof")</t>
  </si>
  <si>
    <t xml:space="preserve">OPT_BARRIER(80,0.05,0.05,0.05,5,90,70,130,0,"Call","o","cont","x")</t>
  </si>
  <si>
    <t xml:space="preserve">OPT_BARRIER(120,0.3,0.1,0.05,5,100,70,130,0,"Call","out","x","x")</t>
  </si>
  <si>
    <t xml:space="preserve">OPT_BARRIER(150,0.5,0.02,0.05,0,100,0,0,2,"c","o","cont","d")</t>
  </si>
  <si>
    <t xml:space="preserve">OPT_BARRIER(100,0.1,0.05,0.0,0.01,0,95,105,5.5,"put","in","cont")</t>
  </si>
  <si>
    <t xml:space="preserve">OPT_BARRIER(80,0.5,0.02,-0.02,5,120,90,120,0,"c","i","cont","value")</t>
  </si>
  <si>
    <t xml:space="preserve">OPT_BARRIER(80,0.1,0.05,0.02,0,90,0,120,5.5,"p","i","e","vega")</t>
  </si>
  <si>
    <t xml:space="preserve">OPT_BARRIER(100.5,0.3,0.05,0.05,5,80,0,0,5.5,"c","i","cont","")</t>
  </si>
  <si>
    <t xml:space="preserve">OPT_BARRIER(150,0.5,-0.01,0.02,0.01,100,90,120,0,"put","out","x","price")</t>
  </si>
  <si>
    <t xml:space="preserve">OPT_BARRIER(60,0.2,-0.01,0.05,2,80,0,120,0,"p","in","cont","o")</t>
  </si>
  <si>
    <t xml:space="preserve">OPT_BARRIER(150,0.5,0.1,0.02,0.25,100,90,0,0,"Call","o","e","d")</t>
  </si>
  <si>
    <t xml:space="preserve">OPT_BARRIER(150,0.2,-0.01,0.02,0.25,100,90,0,0,"call","o","e","a")</t>
  </si>
  <si>
    <t xml:space="preserve">OPT_BARRIER(100.5,0.3,-0.01,0.0,0.01,110,95,105,0,"p","o","c","gamma")</t>
  </si>
  <si>
    <t xml:space="preserve">OPT_BARRIER(100,0.3,0.1,-0.02,0,0,85,115,2,"call","o","c","vega")</t>
  </si>
  <si>
    <t xml:space="preserve">OPT_BARRIER(60,0.1,0.05,-0.02,0.25,90,0,0,0,"put","in","c","x")</t>
  </si>
  <si>
    <t xml:space="preserve">OPT_BARRIER(100,0.05,0.02,0.0,5,100,95,105,0,"c","out","c",1)</t>
  </si>
  <si>
    <t xml:space="preserve">OPT_BARRIER(60,0.3,0.0,0.0,0.5,110,0,120,2,"put","i","cont","price")</t>
  </si>
  <si>
    <t xml:space="preserve">OPT_BARRIER(100,0.1,0.1,-0.02,0.25,100,0,120,0,"put","out","e","rhof")</t>
  </si>
  <si>
    <t xml:space="preserve">OPT_BARRIER(120,0.1,0.02,0.0,0.25,100,85,115,0,"c","o","c","d")</t>
  </si>
  <si>
    <t xml:space="preserve">OPT_BARRIER(100.5,0.05,0.05,0.05,2,90,0,120,2,"p","out","x","o")</t>
  </si>
  <si>
    <t xml:space="preserve">OPT_BARRIER(100,0.5,0.05,0.05,0.5,120,0,0,0,"c","out","e",1)</t>
  </si>
  <si>
    <t xml:space="preserve">OPT_BARRIER(120,0.05,-0.01,0.0,2,110,90,0,0,"call","o","cont","vanna")</t>
  </si>
  <si>
    <t xml:space="preserve">OPT_BARRIER(120,0.1,0.0,0.02,0,80,0,0,5.5,"p","i","end")</t>
  </si>
  <si>
    <t xml:space="preserve">OPT_BARRIER(120,0.2,0.1,-0.02,0.5,100,95,105,5.5,"c","i","c","volga")</t>
  </si>
  <si>
    <t xml:space="preserve">OPT_BARRIER(100.5,0.1,0.02,0.02,0.5,90,85,115,5.5,"call","i","end")</t>
  </si>
  <si>
    <t xml:space="preserve">OPT_BARRIER(150,0.3,0.1,0.0,0,110,0,120,0,"Call","out","x","f")</t>
  </si>
  <si>
    <t xml:space="preserve">OPT_BARRIER(100,0.2,0.1,0.02,1,0,0,0,2,"Call","i","x","x")</t>
  </si>
  <si>
    <t xml:space="preserve">OPT_BARRIER(95,0.2,0.1,-0.02,0.25,80,70,130,5.5,"p","in","x","o")</t>
  </si>
  <si>
    <t xml:space="preserve">OPT_BARRIER(120,0.1,-0.01,0.02,0.25,100,95,105,0,"p","i","end","gamma")</t>
  </si>
  <si>
    <t xml:space="preserve">OPT_BARRIER(100,0.2,-0.01,0.0,2,90,90,120,5.5,"c","i","end","d")</t>
  </si>
  <si>
    <t xml:space="preserve">OPT_BARRIER(80,0.5,0.1,0.05,5,100,90,120,2,"c","in","end","rho")</t>
  </si>
  <si>
    <t xml:space="preserve">OPT_BARRIER(120,0.05,0.0,-0.02,5,80,0,0,0,"put","i","c","o")</t>
  </si>
  <si>
    <t xml:space="preserve">OPT_BARRIER(80,0.3,0.05,0.0,0.25,100,120,90,2,"put","in","x","rhof")</t>
  </si>
  <si>
    <t xml:space="preserve">OPT_BARRIER(100.5,0.3,0.1,0.02,0.25,100,85,115,0,"c","in","end","delta")</t>
  </si>
  <si>
    <t xml:space="preserve">OPT_BARRIER(95,0.5,0.1,0.02,0,100,120,90,0,"Call","in","cont","d")</t>
  </si>
  <si>
    <t xml:space="preserve">OPT_BARRIER(120,0.1,0.0,-0.02,0,90,90,120,0,"c","o","x","f")</t>
  </si>
  <si>
    <t xml:space="preserve">OPT_BARRIER(80,0.3,0.1,0.0,0.25,120,90,0,0,"Call","out","cont","theta")</t>
  </si>
  <si>
    <t xml:space="preserve">OPT_BARRIER(60,0.1,0.0,0.05,0.01,80,0,120,2,"call","i","cont","f")</t>
  </si>
  <si>
    <t xml:space="preserve">OPT_BARRIER(150,0.05,0.02,0.05,0,80,90,120,5.5,"call","i","e","volga")</t>
  </si>
  <si>
    <t xml:space="preserve">OPT_BARRIER(150,0.2,0.1,0.02,5,100,70,130,5.5,"put","o","end","a")</t>
  </si>
  <si>
    <t xml:space="preserve">OPT_BARRIER(150,0.05,-0.01,0.05,0,120,90,120,0,"p","i","e","o")</t>
  </si>
  <si>
    <t xml:space="preserve">OPT_BARRIER(100.5,0.5,0.0,0.05,5,0,0,0,0,"Call","in","x","gamma")</t>
  </si>
  <si>
    <t xml:space="preserve">OPT_BARRIER(150,0.3,0.1,0.0,1,100,120,90,5.5,"call","i","cont","g")</t>
  </si>
  <si>
    <t xml:space="preserve">OPT_BARRIER(120,0.2,-0.01,0.0,0.01,120,95,105,0,"Call","i","cont",1)</t>
  </si>
  <si>
    <t xml:space="preserve">OPT_BARRIER(60,0.5,0.1,0.02,0.25,0,90,120,5.5,"c","i","c","value")</t>
  </si>
  <si>
    <t xml:space="preserve">OPT_BARRIER(120,0.1,0.0,-0.02,0.01,120,120,90,5.5,"Call","in","cont","d")</t>
  </si>
  <si>
    <t xml:space="preserve">OPT_BARRIER(95,0.5,0.02,0.02,0.25,100,85,115,0,"call","out","c","rho")</t>
  </si>
  <si>
    <t xml:space="preserve">OPT_BARRIER(60,0.2,-0.01,-0.02,1,110,0,0,5.5,"put","o","end")</t>
  </si>
  <si>
    <t xml:space="preserve">OPT_BARRIER(150,0.5,0.02,-0.02,2,100,85,115,5.5,"c","in","e","rhof")</t>
  </si>
  <si>
    <t xml:space="preserve">OPT_BARRIER(95,0.2,-0.01,0.05,0.01,110,0,0,0,"put","out","c","o")</t>
  </si>
  <si>
    <t xml:space="preserve">OPT_BARRIER(100.5,0.5,0.02,0.0,0,0,120,90,2,"p","o","c","rho")</t>
  </si>
  <si>
    <t xml:space="preserve">OPT_BARRIER(150,0.05,0.1,-0.02,1,100,0,120,5.5,"Call","out","c","e")</t>
  </si>
  <si>
    <t xml:space="preserve">OPT_BARRIER(80,0.2,0.1,0.02,0.5,120,85,115,5.5,"p","o","c",1)</t>
  </si>
  <si>
    <t xml:space="preserve">OPT_BARRIER(100,0.1,0.1,0.02,1,100,0,120,0,"Call","i","e","value")</t>
  </si>
  <si>
    <t xml:space="preserve">OPT_BARRIER(95,0.3,-0.01,0.02,1,90,120,90,2,"c","i","end","theta")</t>
  </si>
  <si>
    <t xml:space="preserve">OPT_BARRIER(80,0.5,-0.01,-0.02,0.01,100,90,120,5.5,"Call","in","c","x")</t>
  </si>
  <si>
    <t xml:space="preserve">OPT_BARRIER(100,0.1,0.1,-0.02,0.01,120,0,120,0,"put","in","end","x")</t>
  </si>
  <si>
    <t xml:space="preserve">OPT_BARRIER(95,0.3,0.1,0.0,5,110,85,115,0,"put","o","x","gamma")</t>
  </si>
  <si>
    <t xml:space="preserve">OPT_BARRIER(100.5,0.5,-0.01,0.05,0.25,100,90,0,0,"call","i","cont","rho")</t>
  </si>
  <si>
    <t xml:space="preserve">OPT_BARRIER(120,0.3,0.02,-0.02,0.5,90,120,90,2,"Call","out","end","a")</t>
  </si>
  <si>
    <t xml:space="preserve">OPT_BARRIER(100.5,0.2,0.0,0.0,1,100,0,0,2,"call","out","end","a")</t>
  </si>
  <si>
    <t xml:space="preserve">OPT_BARRIER(120,0.3,-0.01,0.02,5,0,70,130,5.5,"c","o","cont","rho")</t>
  </si>
  <si>
    <t xml:space="preserve">OPT_BARRIER(100,0.5,-0.01,0.02,0.01,120,70,130,5.5,"c","i","c","f")</t>
  </si>
  <si>
    <t xml:space="preserve">OPT_BARRIER(80,0.1,0.1,0.0,2,110,120,90,2,"c","i","end","f")</t>
  </si>
  <si>
    <t xml:space="preserve">OPT_BARRIER(60,0.5,0.0,0.05,5,80,70,130,0,"Call","o","x",TRUE)</t>
  </si>
  <si>
    <t xml:space="preserve">OPT_BARRIER(100,0.1,0.05,0.0,0.01,100,90,120,5.5,"Call","out","x","o")</t>
  </si>
  <si>
    <t xml:space="preserve">OPT_BARRIER(80,0.5,-0.01,0.0,0.5,120,70,130,0,"p","out","x","d")</t>
  </si>
  <si>
    <t xml:space="preserve">OPT_BARRIER(150,0.05,0.02,0.0,0,100,70,130,5.5,"p","o","cont","o")</t>
  </si>
  <si>
    <t xml:space="preserve">OPT_BARRIER(95,0.3,-0.01,0.05,0.25,100,0,120,2,"put","i","e","rhof")</t>
  </si>
  <si>
    <t xml:space="preserve">OPT_BARRIER(100.5,0.2,0.0,0.02,0,100,95,105,2,"c","in","e","value")</t>
  </si>
  <si>
    <t xml:space="preserve">OPT_BARRIER(95,0.2,0.05,0.02,0.25,80,0,0,0,"p","in","x","a")</t>
  </si>
  <si>
    <t xml:space="preserve">OPT_BARRIER(60,0.05,0.0,-0.02,5,90,90,0,0,"c","o","end","rhof")</t>
  </si>
  <si>
    <t xml:space="preserve">OPT_BARRIER(95,0.05,-0.01,0.0,5,110,95,105,2,"call","o","end","volga")</t>
  </si>
  <si>
    <t xml:space="preserve">OPT_BARRIER(60,0.5,0.0,-0.02,0.01,100,85,115,2,"put","o","end","x")</t>
  </si>
  <si>
    <t xml:space="preserve">OPT_BARRIER(95,0.1,0.05,-0.02,2,110,0,0,5.5,"call","in","cont","volga")</t>
  </si>
  <si>
    <t xml:space="preserve">OPT_BARRIER(120,0.2,-0.01,0.02,0,90,70,130,0,"c","o","end","o")</t>
  </si>
  <si>
    <t xml:space="preserve">OPT_BARRIER(100,0.5,0.0,0.02,2,100,0,0,0,"Call","i","cont","d")</t>
  </si>
  <si>
    <t xml:space="preserve">OPT_BARRIER(95,0.05,0.1,0.05,0,100,0,0,5.5,"call","o","c","rhof")</t>
  </si>
  <si>
    <t xml:space="preserve">OPT_BARRIER(60,0.1,-0.01,0.0,0.01,100,70,130,0,"c","out","c","volga")</t>
  </si>
  <si>
    <t xml:space="preserve">OPT_BARRIER(60,0.05,0.1,0.0,1,110,120,90,2,"put","o","x","f")</t>
  </si>
  <si>
    <t xml:space="preserve">OPT_BARRIER(95,0.1,0.1,0.02,5,100,0,120,0,"put","in","end","rho")</t>
  </si>
  <si>
    <t xml:space="preserve">OPT_BARRIER(80,0.2,0.05,0.0,2,90,0,120,5.5,"p","i","end","g")</t>
  </si>
  <si>
    <t xml:space="preserve">OPT_BARRIER(120,0.5,-0.01,-0.02,1,100,90,0,0,"c","i","x","o")</t>
  </si>
  <si>
    <t xml:space="preserve">OPT_BARRIER(150,0.2,0.1,0.0,5,100,85,115,0,"put","in","c","o")</t>
  </si>
  <si>
    <t xml:space="preserve">OPT_BARRIER(120,0.2,0.02,0.02,0.25,100,120,90,5.5,"call","o","e","volga")</t>
  </si>
  <si>
    <t xml:space="preserve">OPT_BARRIER(60,0.1,0.0,0.02,0.25,120,0,0,5.5,"put","i","e","price")</t>
  </si>
  <si>
    <t xml:space="preserve">OPT_BARRIER(150,0.3,0.1,0.0,0.5,110,85,115,0,"call","i","end","g")</t>
  </si>
  <si>
    <t xml:space="preserve">OPT_BARRIER(120,0.05,0.1,0.0,0,100,120,90,5.5,"Call","i","x","e")</t>
  </si>
  <si>
    <t xml:space="preserve">OPT_BARRIER(120,0.2,0.05,0.02,0.01,100,85,115,0,"put","i","cont","a")</t>
  </si>
  <si>
    <t xml:space="preserve">OPT_BARRIER(100,0.1,0.1,0.02,2,0,70,130,5.5,"Call","o","cont","volga")</t>
  </si>
  <si>
    <t xml:space="preserve">OPT_BARRIER(100.5,0.2,0.0,0.0,5,0,70,130,2,"Call","o","cont","volga")</t>
  </si>
  <si>
    <t xml:space="preserve">OPT_BARRIER(100.5,0.2,0.02,0.02,0.01,80,90,0,0,"Call","out","e","rhof")</t>
  </si>
  <si>
    <t xml:space="preserve">OPT_BARRIER(60,0.1,0.0,-0.02,0.5,120,85,115,0,"p","in","cont","delta")</t>
  </si>
  <si>
    <t xml:space="preserve">OPT_BARRIER(150,0.3,0.02,0.05,5,0,90,120,5.5,"c","in","cont","g")</t>
  </si>
  <si>
    <t xml:space="preserve">OPT_BARRIER(60,0.05,0.1,0.05,5,110,90,120,5.5,"p","in","cont","g")</t>
  </si>
  <si>
    <t xml:space="preserve">OPT_BARRIER(100,0.2,0.1,0.02,0,0,120,90,5.5,"Call","i","end","g")</t>
  </si>
  <si>
    <t xml:space="preserve">OPT_BARRIER(100,0.2,0.1,0.02,2,100,70,130,2,"p","in","e","o")</t>
  </si>
  <si>
    <t xml:space="preserve">OPT_BARRIER(100.5,0.2,0.02,0.0,2,110,0,120,0,"Call","out","c","gamma")</t>
  </si>
  <si>
    <t xml:space="preserve">OPT_BARRIER(95,0.5,0.1,0.0,2,90,0,0,5.5,"call","o","cont",1)</t>
  </si>
  <si>
    <t xml:space="preserve">OPT_BARRIER(120,0.2,-0.01,-0.02,1,100,85,115,2,"p","o","cont","o")</t>
  </si>
  <si>
    <t xml:space="preserve">OPT_BARRIER(120,0.5,0.1,0.0,0,100,70,130,5.5,"p","o","cont","e")</t>
  </si>
  <si>
    <t xml:space="preserve">OPT_BARRIER(95,0.1,-0.01,-0.02,0,90,90,120,5.5,"put","o","e","g")</t>
  </si>
  <si>
    <t xml:space="preserve">OPT_BARRIER(80,0.1,0.1,0.0,0.5,0,70,130,0,"c","o","x","a")</t>
  </si>
  <si>
    <t xml:space="preserve">OPT_BARRIER(95,0.05,0.0,-0.02,1,100,85,115,5.5,"c","in","end","rho")</t>
  </si>
  <si>
    <t xml:space="preserve">OPT_BARRIER(100.5,0.3,0.0,0.05,0.5,100,0,120,0,"c","o","end","a")</t>
  </si>
  <si>
    <t xml:space="preserve">OPT_BARRIER(100,0.5,0.1,0.02,1,100,0,120,5.5,"p","out","e",1)</t>
  </si>
  <si>
    <t xml:space="preserve">OPT_BARRIER(80,0.05,0.05,0.02,0.01,120,90,0,5.5,"call","o","c","price")</t>
  </si>
  <si>
    <t xml:space="preserve">OPT_BARRIER(60,0.2,-0.01,-0.02,0.25,0,85,115,0,"put","o","x","rhof")</t>
  </si>
  <si>
    <t xml:space="preserve">OPT_BARRIER(60,0.1,0.02,0.05,0,90,90,0,0,"Call","i","cont","f")</t>
  </si>
  <si>
    <t xml:space="preserve">OPT_BARRIER(100,0.2,-0.01,-0.02,5,80,70,130,5.5,"call","out","e","theta")</t>
  </si>
  <si>
    <t xml:space="preserve">OPT_BARRIER(150,0.2,0.0,0.02,2,90,85,115,0,"Call","out","end","g")</t>
  </si>
  <si>
    <t xml:space="preserve">OPT_BARRIER(100,0.5,0.05,-0.02,5,80,85,115,2,"call","i","e","")</t>
  </si>
  <si>
    <t xml:space="preserve">OPT_BARRIER(95,0.2,0.1,0.05,5,100,95,105,5.5,"p","o","x","volga")</t>
  </si>
  <si>
    <t xml:space="preserve">OPT_BARRIER(95,0.5,0.1,0.05,0.25,90,85,115,0,"Call","in","c","vanna")</t>
  </si>
  <si>
    <t xml:space="preserve">OPT_BARRIER(100.5,0.2,0.0,0.02,5,90,70,130,2,"c","out","x","a")</t>
  </si>
  <si>
    <t xml:space="preserve">OPT_BARRIER(150,0.5,0.0,0.0,0.5,120,0,120,0,"call","i","cont",1)</t>
  </si>
  <si>
    <t xml:space="preserve">OPT_BARRIER(150,0.05,0.0,0.02,2,100,0,120,0,"c","i","x","rhof")</t>
  </si>
  <si>
    <t xml:space="preserve">OPT_BARRIER(100,0.5,0.1,0.0,2,110,0,120,5.5,"Call","out","x","")</t>
  </si>
  <si>
    <t xml:space="preserve">OPT_BARRIER(100.5,0.1,0.02,0.05,2,120,90,120,0,"call","i","x","volga")</t>
  </si>
  <si>
    <t xml:space="preserve">OPT_BARRIER(150,0.05,0.1,-0.02,5,120,120,90,0,"put","out","e","g")</t>
  </si>
  <si>
    <t xml:space="preserve">OPT_BARRIER(80,0.3,0.05,-0.02,0,80,85,115,0,"p","out","e","rhof")</t>
  </si>
  <si>
    <t xml:space="preserve">OPT_BARRIER(120,0.1,0.05,-0.02,0.01,90,0,0,0,"call","i","x","rhof")</t>
  </si>
  <si>
    <t xml:space="preserve">OPT_BARRIER(100,0.3,0.0,0.02,0.25,80,95,105,0,"put","out","e","g")</t>
  </si>
  <si>
    <t xml:space="preserve">OPT_BARRIER(100,0.1,-0.01,0.0,0.01,100,70,130,2,"call","out","c","value")</t>
  </si>
  <si>
    <t xml:space="preserve">OPT_BARRIER(100.5,0.5,-0.01,0.0,2,90,0,0,0,"Call","out","e","o")</t>
  </si>
  <si>
    <t xml:space="preserve">OPT_BARRIER(120,0.5,0.05,0.02,0.25,0,95,105,0,"p","in","e","rho")</t>
  </si>
  <si>
    <t xml:space="preserve">OPT_BARRIER(120,0.3,0.1,-0.02,0,120,85,115,0,"call","i","c","")</t>
  </si>
  <si>
    <t xml:space="preserve">OPT_BARRIER(95,0.1,0.1,0.0,1,80,70,130,0,"Call","in","cont","f")</t>
  </si>
  <si>
    <t xml:space="preserve">OPT_BARRIER(60,0.3,0.02,0.05,5,100,85,115,2,"call","in","c",TRUE)</t>
  </si>
  <si>
    <t xml:space="preserve">OPT_BARRIER(80,0.3,-0.01,0.0,0.5,100,70,130,0,"put","in","c","delta")</t>
  </si>
  <si>
    <t xml:space="preserve">OPT_BARRIER(80,0.3,-0.01,0.02,1,100,0,0,2,"c","i","c","a")</t>
  </si>
  <si>
    <t xml:space="preserve">OPT_BARRIER(60,0.2,0.05,0.02,5,110,95,105,5.5,"p","o","cont","vanna")</t>
  </si>
  <si>
    <t xml:space="preserve">OPT_BARRIER(120,0.2,0.0,0.0,5,110,120,90,5.5,"put","o","x","theta")</t>
  </si>
  <si>
    <t xml:space="preserve">OPT_BARRIER(80,0.3,0.02,0.05,2,120,90,0,2,"c","i","e","o")</t>
  </si>
  <si>
    <t xml:space="preserve">OPT_BARRIER(150,0.3,0.0,0.05,0.25,100,90,120,0,"Call","in","e","delta")</t>
  </si>
  <si>
    <t xml:space="preserve">OPT_BARRIER(80,0.2,0.0,0.0,1,90,85,115,2,"put","in","e","volga")</t>
  </si>
  <si>
    <t xml:space="preserve">OPT_BARRIER(100,0.2,-0.01,0.0,0.5,80,95,105,0,"put","in","e","o")</t>
  </si>
  <si>
    <t xml:space="preserve">OPT_BARRIER(100,0.1,0.0,0.05,0.5,90,85,115,0,"Call","in","cont","a")</t>
  </si>
  <si>
    <t xml:space="preserve">OPT_BARRIER(150,0.1,0.02,0.02,0,110,0,120,0,"p","out","cont","delta")</t>
  </si>
  <si>
    <t xml:space="preserve">OPT_BARRIER(60,0.5,0.0,0.02,2,110,85,115,2,"call","o","cont","vega")</t>
  </si>
  <si>
    <t xml:space="preserve">OPT_BARRIER(60,0.1,0.02,-0.02,0.01,80,70,130,5.5,"call","i","e","a")</t>
  </si>
  <si>
    <t xml:space="preserve">OPT_BARRIER(100.5,0.05,-0.01,-0.02,0.01,0,90,120,0,"c","o","x","a")</t>
  </si>
  <si>
    <t xml:space="preserve">OPT_BARRIER(100.5,0.05,0.1,0.0,0.5,90,0,120,0,"call","i","e","volga")</t>
  </si>
  <si>
    <t xml:space="preserve">OPT_BARRIER(95,0.3,-0.01,0.02,0.5,100,0,120,5.5,"c","out","x")</t>
  </si>
  <si>
    <t xml:space="preserve">OPT_BARRIER(150,0.5,0.0,0.05,1,110,90,120,0,"p","out","c","o")</t>
  </si>
  <si>
    <t xml:space="preserve">OPT_BARRIER(100,0.5,0.05,0.05,0.5,100,90,120,0,"Call","i","e")</t>
  </si>
  <si>
    <t xml:space="preserve">OPT_BARRIER(80,0.1,0.0,0.05,5,90,120,90,2,"Call","in","c","delta")</t>
  </si>
  <si>
    <t xml:space="preserve">OPT_BARRIER(95,0.05,0.02,0.0,0,120,95,105,0,"Call","o","e","gamma")</t>
  </si>
  <si>
    <t xml:space="preserve">OPT_BARRIER(150,0.3,0.05,-0.02,0.01,80,0,120,2,"Call","in","c")</t>
  </si>
  <si>
    <t xml:space="preserve">OPT_BARRIER(95,0.1,0.05,0.0,0,90,90,0,0,"call","o","x",1)</t>
  </si>
  <si>
    <t xml:space="preserve">OPT_BARRIER(95,0.2,0.02,0.02,2,100,95,105,2,"put","o","c","o")</t>
  </si>
  <si>
    <t xml:space="preserve">OPT_BARRIER(120,0.05,0.02,-0.02,2,100,120,90,0,"p","o","c","")</t>
  </si>
  <si>
    <t xml:space="preserve">OPT_BARRIER(150,0.3,0.05,0.0,0.25,0,120,90,0,"c","out","end","d")</t>
  </si>
  <si>
    <t xml:space="preserve">OPT_BARRIER(100.5,0.2,0.02,0.05,2,80,0,0,0,"Call","in","e","gamma")</t>
  </si>
  <si>
    <t xml:space="preserve">OPT_BARRIER(95,0.5,0.05,-0.02,0.01,0,85,115,5.5,"put","in","x","gamma")</t>
  </si>
  <si>
    <t xml:space="preserve">OPT_BARRIER(60,0.2,0.1,0.02,5,0,85,115,0,"Call","out","x","g")</t>
  </si>
  <si>
    <t xml:space="preserve">OPT_BARRIER(95,0.3,-0.01,0.0,0,120,120,90,5.5,"call","o","x","vega")</t>
  </si>
  <si>
    <t xml:space="preserve">OPT_BARRIER(100.5,0.1,0.0,0.02,0,110,95,105,5.5,"call","out","end","gamma")</t>
  </si>
  <si>
    <t xml:space="preserve">OPT_BARRIER(80,0.2,0.1,-0.02,0,0,120,90,0,"put","i","cont")</t>
  </si>
  <si>
    <t xml:space="preserve">OPT_BARRIER(100.5,0.05,0.0,0.05,0.5,120,120,90,0,"p","in","end","d")</t>
  </si>
  <si>
    <t xml:space="preserve">OPT_BARRIER(120,0.05,0.02,0.0,5,90,95,105,0,"call","i","x","vanna")</t>
  </si>
  <si>
    <t xml:space="preserve">OPT_BARRIER(120,0.1,0.05,-0.02,0.25,80,70,130,2,"Call","in","c","e")</t>
  </si>
  <si>
    <t xml:space="preserve">OPT_BARRIER(100,0.3,0.0,0.0,0.5,110,0,120,2,"Call","out","x","a")</t>
  </si>
  <si>
    <t xml:space="preserve">OPT_BARRIER(120,0.2,0.1,0.05,0.25,110,90,0,0,"put","out","c","")</t>
  </si>
  <si>
    <t xml:space="preserve">OPT_BARRIER(60,0.05,-0.01,-0.02,5,110,0,0,5.5,"call","in","e","value")</t>
  </si>
  <si>
    <t xml:space="preserve">OPT_BARRIER(150,0.3,0.1,0.05,0.5,100,90,0,2,"c","out","end","o")</t>
  </si>
  <si>
    <t xml:space="preserve">OPT_BARRIER(100,0.5,0.1,-0.02,0.5,110,95,105,0,"Call","out","cont","delta")</t>
  </si>
  <si>
    <t xml:space="preserve">OPT_BARRIER(95,0.1,0.05,-0.02,0.5,100,90,120,0,"call","o","cont","price")</t>
  </si>
  <si>
    <t xml:space="preserve">OPT_BARRIER(150,0.2,0.02,-0.02,0.25,120,95,105,5.5,"put","out","c","e")</t>
  </si>
  <si>
    <t xml:space="preserve">OPT_BARRIER(120,0.2,0.0,0.0,0,100,70,130,0,"put","in","e","g")</t>
  </si>
  <si>
    <t xml:space="preserve">OPT_BARRIER(80,0.05,-0.01,-0.02,0.5,0,70,130,0,"Call","o","e","rhof")</t>
  </si>
  <si>
    <t xml:space="preserve">OPT_BARRIER(80,0.5,-0.01,-0.02,2,120,90,120,2,"put","out","end","o")</t>
  </si>
  <si>
    <t xml:space="preserve">OPT_BARRIER(150,0.5,0.05,0.05,0.01,80,0,0,5.5,"put","in","x","d")</t>
  </si>
  <si>
    <t xml:space="preserve">OPT_BARRIER(95,0.1,0.02,0.0,0.25,120,0,0,2,"p","i","x","a")</t>
  </si>
  <si>
    <t xml:space="preserve">OPT_BARRIER(120,0.3,0.0,-0.02,2,80,90,120,5.5,"call","in","end","gamma")</t>
  </si>
  <si>
    <t xml:space="preserve">OPT_BARRIER(100.5,0.05,0.05,0.05,2,110,120,90,0,"c","i","x","delta")</t>
  </si>
  <si>
    <t xml:space="preserve">OPT_BARRIER(80,0.3,0.1,-0.02,2,90,0,0,2,"put","out","c","rho")</t>
  </si>
  <si>
    <t xml:space="preserve">OPT_BARRIER(150,0.5,0.1,0.05,0.5,80,90,0,5.5,"c","out","x","value")</t>
  </si>
  <si>
    <t xml:space="preserve">OPT_BARRIER(60,0.2,-0.01,0.05,0.01,100,0,120,5.5,"put","i","end","e")</t>
  </si>
  <si>
    <t xml:space="preserve">OPT_BARRIER(120,0.3,-0.01,0.02,0,0,90,120,2,"Call","o","x","rho")</t>
  </si>
  <si>
    <t xml:space="preserve">OPT_BARRIER(100.5,0.05,0.0,-0.02,0.25,100,70,130,2,"c","o","e","value")</t>
  </si>
  <si>
    <t xml:space="preserve">OPT_BARRIER(100,0.2,0.02,0.02,0.25,100,70,130,0,"p","out","e","price")</t>
  </si>
  <si>
    <t xml:space="preserve">OPT_BARRIER(150,0.1,-0.01,-0.02,0.25,100,70,130,5.5,"put","out","e","vanna")</t>
  </si>
  <si>
    <t xml:space="preserve">OPT_BARRIER(80,0.1,0.1,0.0,5,110,0,120,0,"p","out","end","vanna")</t>
  </si>
  <si>
    <t xml:space="preserve">OPT_BARRIER(95,0.2,0.02,0.0,0.25,120,120,90,2,"call","o","x","rhof")</t>
  </si>
  <si>
    <t xml:space="preserve">OPT_BARRIER(95,0.05,0.02,0.02,5,120,70,130,0,"Call","o","e",1)</t>
  </si>
  <si>
    <t xml:space="preserve">OPT_BARRIER(80,0.3,-0.01,0.0,0.01,90,95,105,0,"p","out","end","value")</t>
  </si>
  <si>
    <t xml:space="preserve">OPT_BARRIER(95,0.1,0.0,0.05,5,90,85,115,0,"c","o","cont","d")</t>
  </si>
  <si>
    <t xml:space="preserve">OPT_BARRIER(100.5,0.2,0.02,-0.02,2,110,0,0,0,"p","out","e","value")</t>
  </si>
  <si>
    <t xml:space="preserve">OPT_BARRIER(60,0.5,0.02,0.05,2,0,90,120,0,"call","i","end","delta")</t>
  </si>
  <si>
    <t xml:space="preserve">OPT_BARRIER(95,0.05,0.02,0.05,0.5,90,70,130,2,"Call","in","c","f")</t>
  </si>
  <si>
    <t xml:space="preserve">OPT_BARRIER(120,0.3,-0.01,0.05,0.5,110,85,115,5.5,"put","o","e",1)</t>
  </si>
  <si>
    <t xml:space="preserve">OPT_BARRIER(95,0.1,0.0,-0.02,0,120,95,105,2,"c","o","cont")</t>
  </si>
  <si>
    <t xml:space="preserve">OPT_BARRIER(100.5,0.3,0.0,0.0,2,0,120,90,0,"call","out","cont","price")</t>
  </si>
  <si>
    <t xml:space="preserve">OPT_BARRIER(80,0.2,0.05,0.02,0.01,100,90,0,0,"c","in","cont","rho")</t>
  </si>
  <si>
    <t xml:space="preserve">OPT_BARRIER(120,0.05,0.05,-0.02,5,100,70,130,5.5,"put","o","e","g")</t>
  </si>
  <si>
    <t xml:space="preserve">OPT_BARRIER(95,0.1,-0.01,0.0,0.5,90,90,0,2,"c","out","cont",TRUE)</t>
  </si>
  <si>
    <t xml:space="preserve">OPT_BARRIER(100.5,0.05,-0.01,-0.02,0.01,120,95,105,2,"Call","i","x","o")</t>
  </si>
  <si>
    <t xml:space="preserve">OPT_BARRIER(150,0.1,0.1,-0.02,0.5,0,85,115,0,"p","i","cont","vanna")</t>
  </si>
  <si>
    <t xml:space="preserve">OPT_BARRIER(100.5,0.2,-0.01,0.0,0,90,120,90,0,"p","out","c","rhof")</t>
  </si>
  <si>
    <t xml:space="preserve">OPT_BARRIER(80,0.05,0.0,0.02,0,120,70,130,0,"c","i","end","a")</t>
  </si>
  <si>
    <t xml:space="preserve">OPT_BARRIER(120,0.3,0.1,-0.02,5,0,0,0,0,"put","out","c","price")</t>
  </si>
  <si>
    <t xml:space="preserve">OPT_BARRIER(120,0.2,0.1,0.0,0.01,100,95,105,0,"c","i","end","theta")</t>
  </si>
  <si>
    <t xml:space="preserve">OPT_BARRIER(100.5,0.5,0.05,0.05,1,110,85,115,0,"p","in","e","volga")</t>
  </si>
  <si>
    <t xml:space="preserve">OPT_BARRIER(100,0.5,0.0,0.05,2,90,120,90,2,"p","out","e","rhof")</t>
  </si>
  <si>
    <t xml:space="preserve">OPT_BARRIER(150,0.2,0.1,-0.02,1,110,70,130,2,"p","i","x","volga")</t>
  </si>
  <si>
    <t xml:space="preserve">OPT_BARRIER(100.5,0.5,0.05,0.0,0.5,0,0,0,0,"put","o","cont","x")</t>
  </si>
  <si>
    <t xml:space="preserve">OPT_BARRIER(120,0.1,0.0,-0.02,0.01,100,85,115,2,"Call","in","x","g")</t>
  </si>
  <si>
    <t xml:space="preserve">OPT_BARRIER(100,0.3,0.02,0.05,0.25,80,0,0,0,"Call","o","cont",1)</t>
  </si>
  <si>
    <t xml:space="preserve">OPT_BARRIER(95,0.05,0.1,0.02,5,110,95,105,0,"p","i","cont","delta")</t>
  </si>
  <si>
    <t xml:space="preserve">OPT_BARRIER(80,0.5,0.02,0.05,0.5,90,120,90,0,"p","i","end",1)</t>
  </si>
  <si>
    <t xml:space="preserve">OPT_BARRIER(100,0.3,0.1,0.05,1,100,0,0,2,"p","in","c","delta")</t>
  </si>
  <si>
    <t xml:space="preserve">OPT_BARRIER(80,0.1,0.1,0.0,2,110,0,120,5.5,"c","i","end","f")</t>
  </si>
  <si>
    <t xml:space="preserve">OPT_BARRIER(60,0.1,0.05,0.05,2,90,85,115,0,"Call","i","e","f")</t>
  </si>
  <si>
    <t xml:space="preserve">OPT_BARRIER(120,0.2,0.1,0.0,0,90,70,130,2,"c","in","x","rhof")</t>
  </si>
  <si>
    <t xml:space="preserve">OPT_BARRIER(80,0.3,0.02,0.02,1,0,70,130,0,"c","i","c","a")</t>
  </si>
  <si>
    <t xml:space="preserve">OPT_BARRIER(100.5,0.2,0.1,-0.02,1,100,95,105,0,"p","i","x","gamma")</t>
  </si>
  <si>
    <t xml:space="preserve">OPT_BARRIER(100.5,0.2,0.1,0.05,0.25,90,95,105,0,"call","i","x","rho")</t>
  </si>
  <si>
    <t xml:space="preserve">OPT_BARRIER(60,0.05,-0.01,0.05,2,0,0,120,2,"call","o","x","o")</t>
  </si>
  <si>
    <t xml:space="preserve">OPT_BARRIER(100.5,0.1,0.05,0.05,0.01,120,85,115,0,"Call","out","x","gamma")</t>
  </si>
  <si>
    <t xml:space="preserve">OPT_BARRIER(95,0.05,0.02,-0.02,0.25,100,90,0,0,"call","o","c","price")</t>
  </si>
  <si>
    <t xml:space="preserve">OPT_BARRIER(120,0.3,0.1,-0.02,0.5,80,90,0,0,"c","o","cont","f")</t>
  </si>
  <si>
    <t xml:space="preserve">OPT_BARRIER(100,0.2,-0.01,-0.02,0,90,0,120,2,"Call","i","e","vega")</t>
  </si>
  <si>
    <t xml:space="preserve">OPT_BARRIER(120,0.3,0.0,0.02,0.25,100,85,115,0,"c","out","cont","x")</t>
  </si>
  <si>
    <t xml:space="preserve">OPT_BARRIER(100.5,0.5,0.0,0.0,5,80,85,115,0,"Call","out","end","f")</t>
  </si>
  <si>
    <t xml:space="preserve">OPT_BARRIER(100,0.3,0.05,0.0,0.01,100,95,105,0,"call","out","cont","price")</t>
  </si>
  <si>
    <t xml:space="preserve">OPT_BARRIER(80,0.05,0.1,0.05,0.5,80,90,120,0,"p","i","end","rho")</t>
  </si>
  <si>
    <t xml:space="preserve">OPT_BARRIER(100,0.3,-0.01,-0.02,0.01,100,90,0,0,"c","o","e","x")</t>
  </si>
  <si>
    <t xml:space="preserve">OPT_BARRIER(60,0.3,-0.01,-0.02,0,80,90,0,2,"Call","in","cont","rhof")</t>
  </si>
  <si>
    <t xml:space="preserve">OPT_BARRIER(80,0.1,0.02,0.05,0,120,0,120,2,"Call","in","e","rhof")</t>
  </si>
  <si>
    <t xml:space="preserve">OPT_BARRIER(100.5,0.5,-0.01,0.0,0,100,120,90,5.5,"call","in","c","rhof")</t>
  </si>
  <si>
    <t xml:space="preserve">OPT_BARRIER(60,0.3,0.02,0.0,2,120,0,0,0,"put","in","c","theta")</t>
  </si>
  <si>
    <t xml:space="preserve">OPT_BARRIER(120,0.5,0.1,0.02,5,100,70,130,5.5,"call","i","x",TRUE)</t>
  </si>
  <si>
    <t xml:space="preserve">OPT_BARRIER(100.5,0.2,0.0,-0.02,0.01,120,85,115,5.5,"c","i","e","rho")</t>
  </si>
  <si>
    <t xml:space="preserve">OPT_BARRIER(120,0.3,0.1,-0.02,2,90,0,0,5.5,"Call","in","x","vanna")</t>
  </si>
  <si>
    <t xml:space="preserve">OPT_BARRIER(80,0.2,0.05,-0.02,2,80,90,0,0,"c","in","e","vega")</t>
  </si>
  <si>
    <t xml:space="preserve">OPT_BARRIER(100.5,0.1,0.1,0.05,0.01,120,85,115,2,"c","o","cont","value")</t>
  </si>
  <si>
    <t xml:space="preserve">OPT_BARRIER(95,0.3,0.02,0.05,0.01,100,90,0,0,"c","out","c",TRUE)</t>
  </si>
  <si>
    <t xml:space="preserve">OPT_BARRIER(120,0.2,0.05,0.05,0.25,0,90,120,0,"Call","i","end","x")</t>
  </si>
  <si>
    <t xml:space="preserve">OPT_BARRIER(60,0.3,0.0,0.02,0.5,100,120,90,2,"Call","out","x","value")</t>
  </si>
  <si>
    <t xml:space="preserve">OPT_BARRIER(80,0.05,0.0,0.02,2,110,95,105,0,"c","out","c","delta")</t>
  </si>
  <si>
    <t xml:space="preserve">OPT_BARRIER(60,0.05,0.05,0.05,0.5,110,90,120,5.5,"call","o","end",1)</t>
  </si>
  <si>
    <t xml:space="preserve">OPT_BARRIER(100.5,0.3,-0.01,0.0,5,0,90,0,5.5,"call","in","end",TRUE)</t>
  </si>
  <si>
    <t xml:space="preserve">OPT_BARRIER(150,0.1,-0.01,-0.02,0.01,0,0,0,2,"put","out","e","f")</t>
  </si>
  <si>
    <t xml:space="preserve">OPT_BARRIER(100,0.3,-0.01,0.0,0.25,100,90,0,0,"call","out","x","x")</t>
  </si>
  <si>
    <t xml:space="preserve">OPT_BARRIER(120,0.5,0.05,0.0,0.5,100,0,120,0,"Call","i","end","a")</t>
  </si>
  <si>
    <t xml:space="preserve">OPT_BARRIER(80,0.5,0.0,-0.02,0.25,110,95,105,2,"c","in","end","x")</t>
  </si>
  <si>
    <t xml:space="preserve">OPT_BARRIER(60,0.05,0.02,0.02,0.01,80,0,120,5.5,"call","i","e","vega")</t>
  </si>
  <si>
    <t xml:space="preserve">OPT_BARRIER(100,0.1,0.0,0.0,0.01,120,0,120,0,"p","i","cont","a")</t>
  </si>
  <si>
    <t xml:space="preserve">OPT_BARRIER(100,0.5,0.02,0.0,0,110,85,115,5.5,"c","o","cont","gamma")</t>
  </si>
  <si>
    <t xml:space="preserve">OPT_BARRIER(150,0.1,0.0,-0.02,1,90,70,130,0,"put","o","x","o")</t>
  </si>
  <si>
    <t xml:space="preserve">OPT_BARRIER(100,0.3,0.02,0.02,0.5,110,120,90,5.5,"put","out","end","vanna")</t>
  </si>
  <si>
    <t xml:space="preserve">OPT_BARRIER(95,0.5,0.1,0.05,0,0,0,0,0,"c","i","cont","o")</t>
  </si>
  <si>
    <t xml:space="preserve">OPT_BARRIER(60,0.5,0.1,0.02,0.5,0,90,120,0,"c","i","x","vanna")</t>
  </si>
  <si>
    <t xml:space="preserve">OPT_BARRIER(80,0.3,0.02,0.0,2,0,95,105,2,"p","i","end","price")</t>
  </si>
  <si>
    <t xml:space="preserve">OPT_BARRIER(100,0.2,-0.01,0.05,1,110,120,90,0,"Call","o","end","a")</t>
  </si>
  <si>
    <t xml:space="preserve">OPT_BARRIER(100.5,0.1,0.0,0.02,0.5,100,90,0,0,"p","in","c","vanna")</t>
  </si>
  <si>
    <t xml:space="preserve">OPT_BARRIER(95,0.5,-0.01,0.05,0,110,90,0,0,"call","in","cont","value")</t>
  </si>
  <si>
    <t xml:space="preserve">OPT_BARRIER(95,0.05,0.0,-0.02,5,110,85,115,0,"c","out","e","a")</t>
  </si>
  <si>
    <t xml:space="preserve">OPT_BARRIER(95,0.2,0.02,-0.02,5,120,0,0,2,"call","out","e","value")</t>
  </si>
  <si>
    <t xml:space="preserve">OPT_BARRIER(95,0.05,0.02,0.02,5,0,90,0,0,"c","out","end","d")</t>
  </si>
  <si>
    <t xml:space="preserve">OPT_BARRIER(100.5,0.3,0.05,0.02,1,110,85,115,5.5,"put","o","c",1)</t>
  </si>
  <si>
    <t xml:space="preserve">OPT_BARRIER(80,0.5,0.0,0.0,0,0,0,120,2,"call","out","e",1)</t>
  </si>
  <si>
    <t xml:space="preserve">OPT_BARRIER(80,0.5,0.02,0.0,5,0,95,105,0,"p","in","x","d")</t>
  </si>
  <si>
    <t xml:space="preserve">OPT_BARRIER(80,0.1,0.02,-0.02,0.25,90,120,90,5.5,"Call","i","x","gamma")</t>
  </si>
  <si>
    <t xml:space="preserve">OPT_BARRIER(60,0.1,0.0,0.02,1,90,90,120,0,"p","i","end","price")</t>
  </si>
  <si>
    <t xml:space="preserve">OPT_BARRIER(120,0.2,0.05,0.0,0.25,0,0,0,0,"Call","in","end",TRUE)</t>
  </si>
  <si>
    <t xml:space="preserve">OPT_BARRIER(150,0.5,-0.01,0.02,2,80,85,115,5.5,"put","o","cont","e")</t>
  </si>
  <si>
    <t xml:space="preserve">OPT_BARRIER(100,0.2,0.0,0.0,0.01,120,90,0,0,"p","out","c","a")</t>
  </si>
  <si>
    <t xml:space="preserve">OPT_BARRIER(100.5,0.05,-0.01,0.02,0.01,100,0,0,5.5,"call","out","end","d")</t>
  </si>
  <si>
    <t xml:space="preserve">OPT_BARRIER(60,0.1,0.05,0.05,0.5,100,85,115,0,"call","out","e","d")</t>
  </si>
  <si>
    <t xml:space="preserve">OPT_BARRIER(150,0.1,-0.01,0.05,1,100,90,120,0,"put","out","x")</t>
  </si>
  <si>
    <t xml:space="preserve">OPT_BARRIER(80,0.3,0.02,-0.02,0.01,100,95,105,5.5,"put","in","cont")</t>
  </si>
  <si>
    <t xml:space="preserve">OPT_BARRIER(150,0.5,0.1,0.0,0.01,80,90,0,5.5,"p","in","c","e")</t>
  </si>
  <si>
    <t xml:space="preserve">OPT_BARRIER(95,0.3,0.05,0.02,5,100,70,130,0,"Call","in","c","volga")</t>
  </si>
  <si>
    <t xml:space="preserve">OPT_BARRIER(100,0.5,0.05,0.05,2,100,0,120,5.5,"Call","o","e","rho")</t>
  </si>
  <si>
    <t xml:space="preserve">OPT_BARRIER(100.5,0.05,0.05,0.02,2,100,90,120,0,"put","out","cont","volga")</t>
  </si>
  <si>
    <t xml:space="preserve">OPT_BARRIER(100,0.2,0.1,0.0,2,90,85,115,0,"p","i","cont","rho")</t>
  </si>
  <si>
    <t xml:space="preserve">OPT_BARRIER(100,0.5,0.05,0.02,0.01,90,0,0,2,"call","o","x","x")</t>
  </si>
  <si>
    <t xml:space="preserve">OPT_BARRIER(150,0.1,0.05,-0.02,0.5,100,120,90,0,"c","out","c","volga")</t>
  </si>
  <si>
    <t xml:space="preserve">OPT_BARRIER(60,0.5,-0.01,-0.02,2,100,0,120,5.5,"p","i","e","e")</t>
  </si>
  <si>
    <t xml:space="preserve">OPT_BARRIER(95,0.05,0.1,0.05,2,90,90,120,0,"p","o","c","value")</t>
  </si>
  <si>
    <t xml:space="preserve">OPT_BARRIER(80,0.3,0.02,0.02,0,120,0,120,2,"put","o","cont",TRUE)</t>
  </si>
  <si>
    <t xml:space="preserve">OPT_BARRIER(120,0.1,0.1,0.05,5,120,85,115,2,"p","o","x","")</t>
  </si>
  <si>
    <t xml:space="preserve">OPT_BARRIER(60,0.2,0.1,0.05,0,0,90,0,2,"put","o","e")</t>
  </si>
  <si>
    <t xml:space="preserve">OPT_BARRIER(60,0.05,0.05,0.0,2,90,0,120,0,"put","o","cont","d")</t>
  </si>
  <si>
    <t xml:space="preserve">OPT_BARRIER(100.5,0.05,0.1,0.02,0.25,120,90,0,0,"Call","i","c",1)</t>
  </si>
  <si>
    <t xml:space="preserve">OPT_BARRIER(95,0.3,0.1,-0.02,0,100,120,90,0,"put","in","x","vega")</t>
  </si>
  <si>
    <t xml:space="preserve">OPT_BARRIER(100,0.2,0.02,0.02,0.5,90,90,0,2,"Call","out","cont","e")</t>
  </si>
  <si>
    <t xml:space="preserve">OPT_BARRIER(100.5,0.5,0.1,0.02,1,80,70,130,2,"put","in","c","e")</t>
  </si>
  <si>
    <t xml:space="preserve">OPT_BARRIER(95,0.5,0.0,0.05,0,90,95,105,0,"p","in","cont","d")</t>
  </si>
  <si>
    <t xml:space="preserve">OPT_BARRIER(100,0.05,-0.01,0.05,0,110,95,105,5.5,"p","in","c","g")</t>
  </si>
  <si>
    <t xml:space="preserve">OPT_BARRIER(100,0.05,-0.01,-0.02,1,100,90,120,0,"put","out","cont",1)</t>
  </si>
  <si>
    <t xml:space="preserve">OPT_BARRIER(150,0.1,-0.01,0.0,0.5,80,95,105,0,"c","in","cont","value")</t>
  </si>
  <si>
    <t xml:space="preserve">OPT_BARRIER(120,0.5,-0.01,-0.02,2,90,120,90,5.5,"c","out","c",1)</t>
  </si>
  <si>
    <t xml:space="preserve">OPT_BARRIER(100,0.5,0.05,0.02,0,90,0,120,5.5,"c","o","cont","o")</t>
  </si>
  <si>
    <t xml:space="preserve">OPT_BARRIER(120,0.05,0.1,0.05,0.5,90,90,120,2,"p","o","e","volga")</t>
  </si>
  <si>
    <t xml:space="preserve">OPT_BARRIER(95,0.05,0.02,0.02,0.01,80,70,130,0,"call","i","end")</t>
  </si>
  <si>
    <t xml:space="preserve">OPT_BARRIER(80,0.5,0.1,0.0,0.25,100,70,130,0,"Call","in","c","f")</t>
  </si>
  <si>
    <t xml:space="preserve">OPT_BARRIER(60,0.1,0.02,0.0,5,90,120,90,5.5,"Call","in","cont",1)</t>
  </si>
  <si>
    <t xml:space="preserve">OPT_BARRIER(60,0.1,0.05,0.02,0,100,90,120,0,"p","o","end","f")</t>
  </si>
  <si>
    <t xml:space="preserve">OPT_BARRIER(80,0.3,0.05,0.02,5,120,95,105,2,"call","i","c","vega")</t>
  </si>
  <si>
    <t xml:space="preserve">OPT_BARRIER(120,0.3,0.1,0.0,1,80,70,130,5.5,"put","in","x","f")</t>
  </si>
  <si>
    <t xml:space="preserve">OPT_BARRIER(120,0.05,-0.01,-0.02,0.25,90,90,0,5.5,"p","o","e","")</t>
  </si>
  <si>
    <t xml:space="preserve">OPT_BARRIER(100,0.3,0.02,0.02,0.5,100,120,90,0,"call","i","e","rhof")</t>
  </si>
  <si>
    <t xml:space="preserve">OPT_BARRIER(150,0.1,-0.01,0.02,0.25,110,90,120,2,"call","o","x","")</t>
  </si>
  <si>
    <t xml:space="preserve">OPT_BARRIER(120,0.5,0.05,0.02,0.25,110,0,0,0,"Call","out","c","a")</t>
  </si>
  <si>
    <t xml:space="preserve">OPT_BARRIER(150,0.05,-0.01,0.02,2,80,120,90,2,"call","o","x","f")</t>
  </si>
  <si>
    <t xml:space="preserve">OPT_BARRIER(120,0.05,-0.01,0.02,1,80,95,105,2,"Call","o","c","value")</t>
  </si>
  <si>
    <t xml:space="preserve">OPT_BARRIER(150,0.3,-0.01,0.0,0.5,110,0,120,2,"call","o","e","f")</t>
  </si>
  <si>
    <t xml:space="preserve">OPT_BARRIER(80,0.2,0.0,0.02,0.5,90,70,130,0,"c","out","cont")</t>
  </si>
  <si>
    <t xml:space="preserve">OPT_BARRIER(100,0.05,0.1,0.0,0.5,120,120,90,0,"put","i","end",TRUE)</t>
  </si>
  <si>
    <t xml:space="preserve">OPT_BARRIER(120,0.1,0.05,0.0,0.25,80,0,0,0,"p","in","cont","e")</t>
  </si>
  <si>
    <t xml:space="preserve">OPT_BARRIER(100.5,0.3,0.05,-0.02,0.5,80,0,120,0,"put","out","x","rho")</t>
  </si>
  <si>
    <t xml:space="preserve">OPT_BARRIER(95,0.1,0.02,0.05,0,80,95,105,2,"p","out","x","")</t>
  </si>
  <si>
    <t xml:space="preserve">OPT_BARRIER(120,0.1,0.1,0.02,0.01,110,0,120,2,"put","in","x",1)</t>
  </si>
  <si>
    <t xml:space="preserve">OPT_BARRIER(60,0.1,-0.01,-0.02,5,80,0,120,5.5,"put","in","c","f")</t>
  </si>
  <si>
    <t xml:space="preserve">OPT_BARRIER(100,0.2,0.02,0.0,0,90,70,130,0,"put","i","cont","value")</t>
  </si>
  <si>
    <t xml:space="preserve">OPT_BARRIER(120,0.3,0.1,0.05,0,90,0,120,0,"c","out","end","rho")</t>
  </si>
  <si>
    <t xml:space="preserve">OPT_BARRIER(150,0.5,0.05,0.02,0.5,90,85,115,5.5,"Call","i","c","a")</t>
  </si>
  <si>
    <t xml:space="preserve">OPT_BARRIER(100,0.05,-0.01,-0.02,5,110,95,105,0,"put","o","c","f")</t>
  </si>
  <si>
    <t xml:space="preserve">OPT_BARRIER(100.5,0.1,-0.01,0.02,2,90,0,0,5.5,"c","in","x","rho")</t>
  </si>
  <si>
    <t xml:space="preserve">OPT_BARRIER(100,0.1,0.0,0.02,0,90,0,0,0,"put","o","x","price")</t>
  </si>
  <si>
    <t xml:space="preserve">OPT_BARRIER(60,0.2,0.02,0.0,0,110,85,115,0,"call","o","cont","volga")</t>
  </si>
  <si>
    <t xml:space="preserve">OPT_BARRIER(60,0.05,0.1,0.05,5,110,90,0,0,"put","i","cont")</t>
  </si>
  <si>
    <t xml:space="preserve">OPT_BARRIER(100.5,0.05,-0.01,-0.02,1,90,0,120,5.5,"c","out","e","vega")</t>
  </si>
  <si>
    <t xml:space="preserve">OPT_BARRIER(60,0.3,0.1,0.02,0.5,120,95,105,0,"put","i","end","rho")</t>
  </si>
  <si>
    <t xml:space="preserve">OPT_BARRIER(60,0.5,0.02,0.02,2,110,95,105,0,"put","out","e","a")</t>
  </si>
  <si>
    <t xml:space="preserve">OPT_BARRIER(80,0.1,0.02,0.02,2,0,120,90,0,"c","i","c","a")</t>
  </si>
  <si>
    <t xml:space="preserve">OPT_BARRIER(95,0.1,0.1,-0.02,1,120,90,120,0,"call","i","c")</t>
  </si>
  <si>
    <t xml:space="preserve">OPT_BARRIER(100,0.5,0.02,0.0,0.01,80,85,115,0,"Call","o","c","rho")</t>
  </si>
  <si>
    <t xml:space="preserve">OPT_BARRIER(120,0.1,-0.01,0.02,2,100,85,115,2,"c","in","e","rho")</t>
  </si>
  <si>
    <t xml:space="preserve">OPT_BARRIER(60,0.3,0.0,0.0,0.5,0,85,115,5.5,"Call","i","x","vega")</t>
  </si>
  <si>
    <t xml:space="preserve">OPT_BARRIER(80,0.05,0.05,0.0,5,100,70,130,0,"p","i","e",1)</t>
  </si>
  <si>
    <t xml:space="preserve">OPT_BARRIER(150,0.05,-0.01,0.0,0,90,0,0,5.5,"call","in","x")</t>
  </si>
  <si>
    <t xml:space="preserve">OPT_BARRIER(60,0.5,-0.01,0.05,5,120,120,90,2,"Call","o","e","o")</t>
  </si>
  <si>
    <t xml:space="preserve">OPT_BARRIER(100.5,0.1,0.1,0.05,0.25,80,0,120,0,"Call","o","cont","rho")</t>
  </si>
  <si>
    <t xml:space="preserve">OPT_BARRIER(150,0.5,0.1,-0.02,0.5,0,120,90,5.5,"call","out","end","theta")</t>
  </si>
  <si>
    <t xml:space="preserve">OPT_BARRIER(120,0.05,0.05,0.05,0.5,80,0,120,2,"put","in","e","rhof")</t>
  </si>
  <si>
    <t xml:space="preserve">OPT_BARRIER(60,0.2,-0.01,0.0,5,100,0,120,2,"put","out","cont","d")</t>
  </si>
  <si>
    <t xml:space="preserve">OPT_BARRIER(100,0.3,0.0,0.05,1,100,85,115,2,"call","in","end","g")</t>
  </si>
  <si>
    <t xml:space="preserve">OPT_BARRIER(95,0.5,-0.01,0.02,0.25,110,90,0,2,"c","o","c","rho")</t>
  </si>
  <si>
    <t xml:space="preserve">OPT_BARRIER(100.5,0.3,0.02,-0.02,0,80,85,115,2,"Call","o","c",1)</t>
  </si>
  <si>
    <t xml:space="preserve">OPT_BARRIER(95,0.1,0.05,0.0,0.01,90,95,105,2,"c","i","cont","a")</t>
  </si>
  <si>
    <t xml:space="preserve">OPT_BARRIER(150,0.2,-0.01,-0.02,1,100,0,120,0,"Call","in","cont","theta")</t>
  </si>
  <si>
    <t xml:space="preserve">OPT_BARRIER(100.5,0.1,-0.01,-0.02,0.01,0,90,0,0,"put","o","end","rho")</t>
  </si>
  <si>
    <t xml:space="preserve">OPT_BARRIER(100.5,0.3,0.1,0.0,0,0,0,0,0,"call","in","end","rhof")</t>
  </si>
  <si>
    <t xml:space="preserve">OPT_BARRIER(80,0.3,0.02,0.05,0.01,100,70,130,5.5,"call","out","cont",1)</t>
  </si>
  <si>
    <t xml:space="preserve">OPT_BARRIER(95,0.3,0.05,0.02,0,80,0,0,5.5,"c","out","e","theta")</t>
  </si>
  <si>
    <t xml:space="preserve">OPT_BARRIER(120,0.1,0.1,0.02,5,90,120,90,2,"p","out","cont","volga")</t>
  </si>
  <si>
    <t xml:space="preserve">OPT_BARRIER(95,0.05,-0.01,-0.02,0.01,120,90,120,0,"put","in","end","o")</t>
  </si>
  <si>
    <t xml:space="preserve">OPT_BARRIER(60,0.5,0.1,0.02,0.01,120,0,0,0,"p","i","e","e")</t>
  </si>
  <si>
    <t xml:space="preserve">OPT_BARRIER(60,0.5,0.02,0.05,2,110,85,115,0,"p","i","cont","g")</t>
  </si>
  <si>
    <t xml:space="preserve">OPT_BARRIER(60,0.05,0.05,0.05,0.25,110,90,120,0,"c","i","e","g")</t>
  </si>
  <si>
    <t xml:space="preserve">OPT_BARRIER(120,0.3,0.02,0.02,2,120,0,0,0,"call","in","cont","g")</t>
  </si>
  <si>
    <t xml:space="preserve">OPT_BARRIER(60,0.5,0.0,0.05,0.5,90,90,120,5.5,"Call","in","end","d")</t>
  </si>
  <si>
    <t xml:space="preserve">OPT_BARRIER(150,0.3,0.0,0.05,0.01,120,90,0,2,"call","in","cont","delta")</t>
  </si>
  <si>
    <t xml:space="preserve">OPT_BARRIER(95,0.5,0.02,-0.02,0,0,0,0,2,"call","out","end","g")</t>
  </si>
  <si>
    <t xml:space="preserve">OPT_BARRIER(120,0.5,0.02,0.05,1,80,95,105,2,"Call","i","end","d")</t>
  </si>
  <si>
    <t xml:space="preserve">OPT_BARRIER(95,0.05,-0.01,0.0,0.25,90,0,120,5.5,"Call","out","c","vega")</t>
  </si>
  <si>
    <t xml:space="preserve">OPT_BARRIER(80,0.2,0.0,0.02,5,0,85,115,5.5,"Call","in","e","e")</t>
  </si>
  <si>
    <t xml:space="preserve">OPT_BARRIER(100.5,0.3,0.1,0.05,0.25,90,95,105,0,"put","o","c","vega")</t>
  </si>
  <si>
    <t xml:space="preserve">OPT_BARRIER(95,0.2,0.1,0.0,2,80,0,0,0,"put","o","c","o")</t>
  </si>
  <si>
    <t xml:space="preserve">OPT_BARRIER(100,0.3,-0.01,-0.02,1,80,70,130,2,"put","in","x","volga")</t>
  </si>
  <si>
    <t xml:space="preserve">OPT_BARRIER(95,0.3,0.1,-0.02,1,120,90,120,5.5,"call","o","x","rho")</t>
  </si>
  <si>
    <t xml:space="preserve">OPT_BARRIER(100,0.05,0.1,0.0,0.01,110,85,115,2,"call","i","c","e")</t>
  </si>
  <si>
    <t xml:space="preserve">OPT_BARRIER(80,0.1,0.05,0.02,0.25,0,85,115,5.5,"Call","out","e","vega")</t>
  </si>
  <si>
    <t xml:space="preserve">OPT_BARRIER(100.5,0.05,-0.01,0.0,0,0,90,120,5.5,"Call","out","cont","volga")</t>
  </si>
  <si>
    <t xml:space="preserve">OPT_BARRIER(150,0.5,-0.01,0.0,0.5,0,85,115,0,"call","o","x","volga")</t>
  </si>
  <si>
    <t xml:space="preserve">OPT_BARRIER(120,0.3,0.02,0.05,5,100,90,120,0,"call","out","e","value")</t>
  </si>
  <si>
    <t xml:space="preserve">OPT_BARRIER(95,0.2,0.0,0.05,0.01,110,90,120,5.5,"c","i","x","vega")</t>
  </si>
  <si>
    <t xml:space="preserve">OPT_BARRIER(95,0.2,-0.01,-0.02,2,80,70,130,0,"put","o","x","")</t>
  </si>
  <si>
    <t xml:space="preserve">OPT_BARRIER(100,0.05,0.0,0.05,0,80,0,120,2,"Call","o","c","e")</t>
  </si>
  <si>
    <t xml:space="preserve">OPT_BARRIER(120,0.05,0.1,0.02,0.25,100,0,120,2,"Call","o","cont","f")</t>
  </si>
  <si>
    <t xml:space="preserve">OPT_BARRIER(60,0.3,-0.01,0.02,2,100,90,0,0,"put","o","x","o")</t>
  </si>
  <si>
    <t xml:space="preserve">OPT_BARRIER(100,0.05,0.0,0.05,0.25,100,0,120,0,"Call","o","e","d")</t>
  </si>
  <si>
    <t xml:space="preserve">OPT_BARRIER(100.5,0.05,0.1,0.02,1,110,95,105,0,"put","in","end",TRUE)</t>
  </si>
  <si>
    <t xml:space="preserve">OPT_BARRIER(150,0.5,0.05,-0.02,0.25,110,70,130,2,"Call","i","e")</t>
  </si>
  <si>
    <t xml:space="preserve">OPT_BARRIER(60,0.1,-0.01,0.05,1,90,120,90,5.5,"Call","i","c","theta")</t>
  </si>
  <si>
    <t xml:space="preserve">OPT_BARRIER(120,0.1,0.0,0.0,0.25,110,0,0,5.5,"call","out","x","e")</t>
  </si>
  <si>
    <t xml:space="preserve">OPT_BARRIER(80,0.5,-0.01,-0.02,0,100,90,120,0,"call","o","e","vega")</t>
  </si>
  <si>
    <t xml:space="preserve">OPT_BARRIER(100,0.05,0.05,0.05,0.5,90,85,115,5.5,"put","i","c","gamma")</t>
  </si>
  <si>
    <t xml:space="preserve">OPT_BARRIER(150,0.1,0.05,0.05,0.01,80,95,105,0,"c","in","c","volga")</t>
  </si>
  <si>
    <t xml:space="preserve">OPT_BARRIER(100,0.3,0.1,0.0,0.5,80,0,0,5.5,"c","in","e","x")</t>
  </si>
  <si>
    <t xml:space="preserve">OPT_BARRIER(150,0.3,0.0,0.02,0.01,100,0,120,5.5,"put","o","cont",TRUE)</t>
  </si>
  <si>
    <t xml:space="preserve">OPT_BARRIER(100.5,0.05,0.0,0.05,1,90,70,130,0,"c","out","end","d")</t>
  </si>
  <si>
    <t xml:space="preserve">OPT_BARRIER(95,0.05,-0.01,0.05,2,80,120,90,2,"c","out","e","volga")</t>
  </si>
  <si>
    <t xml:space="preserve">OPT_BARRIER(100.5,0.5,0.1,-0.02,0.25,90,0,120,2,"p","o","cont","delta")</t>
  </si>
  <si>
    <t xml:space="preserve">OPT_BARRIER(120,0.2,0.0,0.02,0.5,80,90,120,0,"put","o","x","rhof")</t>
  </si>
  <si>
    <t xml:space="preserve">OPT_BARRIER(100,0.5,0.1,0.02,5,80,0,120,2,"put","i","cont","d")</t>
  </si>
  <si>
    <t xml:space="preserve">OPT_BARRIER(60,0.3,0.05,0.02,0.25,100,90,120,0,"put","in","e","value")</t>
  </si>
  <si>
    <t xml:space="preserve">OPT_BARRIER(100.5,0.05,0.05,0.02,5,110,95,105,0,"put","out","end","g")</t>
  </si>
  <si>
    <t xml:space="preserve">OPT_BARRIER(80,0.5,0.0,-0.02,0.5,100,85,115,0,"p","i","c","")</t>
  </si>
  <si>
    <t xml:space="preserve">OPT_BARRIER(95,0.3,0.05,-0.02,2,110,90,0,2,"c","out","c","price")</t>
  </si>
  <si>
    <t xml:space="preserve">OPT_BARRIER(120,0.1,0.02,0.02,0,90,0,120,0,"p","i","e","e")</t>
  </si>
  <si>
    <t xml:space="preserve">OPT_BARRIER(100.5,0.2,0.1,0.02,0.5,90,90,0,2,"Call","i","c","")</t>
  </si>
  <si>
    <t xml:space="preserve">OPT_BARRIER(100,0.2,-0.01,0.05,0.25,120,90,120,0,"call","i","x",TRUE)</t>
  </si>
  <si>
    <t xml:space="preserve">OPT_BARRIER(60,0.5,-0.01,0.02,0.5,80,85,115,0,"p","out","cont","d")</t>
  </si>
  <si>
    <t xml:space="preserve">OPT_BARRIER(60,0.1,-0.01,-0.02,0.01,120,85,115,2,"Call","in","e","vanna")</t>
  </si>
  <si>
    <t xml:space="preserve">OPT_BARRIER(100,0.3,0.02,0.02,0.5,100,90,120,5.5,"Call","i","x","")</t>
  </si>
  <si>
    <t xml:space="preserve">OPT_BARRIER(150,0.1,0.1,-0.02,5,120,85,115,5.5,"call","o","cont","e")</t>
  </si>
  <si>
    <t xml:space="preserve">OPT_BARRIER(95,0.2,0.1,-0.02,1,110,70,130,2,"p","in","c","gamma")</t>
  </si>
  <si>
    <t xml:space="preserve">OPT_BARRIER(80,0.05,0.1,0.05,0.25,110,95,105,0,"p","i","e","volga")</t>
  </si>
  <si>
    <t xml:space="preserve">OPT_BARRIER(150,0.1,-0.01,0.05,1,0,85,115,0,"Call","i","end","delta")</t>
  </si>
  <si>
    <t xml:space="preserve">OPT_BARRIER(60,0.05,0.02,0.02,0,0,85,115,5.5,"p","out","c","o")</t>
  </si>
  <si>
    <t xml:space="preserve">OPT_BARRIER(150,0.5,-0.01,-0.02,0.5,100,85,115,5.5,"call","i","c","g")</t>
  </si>
  <si>
    <t xml:space="preserve">OPT_BARRIER(60,0.3,0.1,-0.02,0.5,100,70,130,5.5,"c","o","c",1)</t>
  </si>
  <si>
    <t xml:space="preserve">OPT_BARRIER(95,0.05,0.02,-0.02,0.5,80,90,120,5.5,"p","o","x","")</t>
  </si>
  <si>
    <t xml:space="preserve">OPT_BARRIER(60,0.1,0.05,-0.02,5,100,95,105,2,"c","i","cont","")</t>
  </si>
  <si>
    <t xml:space="preserve">OPT_BARRIER(80,0.2,0.05,0.0,0.01,80,85,115,2,"put","i","e","vanna")</t>
  </si>
  <si>
    <t xml:space="preserve">OPT_BARRIER(100.5,0.2,0.0,0.05,0.01,110,90,0,2,"Call","i","x","rhof")</t>
  </si>
  <si>
    <t xml:space="preserve">OPT_BARRIER(100.5,0.1,0.1,-0.02,0.01,120,95,105,2,"c","i","cont","gamma")</t>
  </si>
  <si>
    <t xml:space="preserve">OPT_BARRIER(95,0.2,0.0,0.0,0.01,110,120,90,0,"c","out","cont")</t>
  </si>
  <si>
    <t xml:space="preserve">OPT_BARRIER(100.5,0.05,0.05,0.02,0.5,100,70,130,0,"call","in","x","a")</t>
  </si>
  <si>
    <t xml:space="preserve">OPT_BARRIER(95,0.2,0.1,0.05,0.5,100,0,120,2,"call","o","c","f")</t>
  </si>
  <si>
    <t xml:space="preserve">OPT_BARRIER(100.5,0.1,-0.01,-0.02,0,100,90,0,0,"c","in","cont",1)</t>
  </si>
  <si>
    <t xml:space="preserve">OPT_BARRIER(120,0.5,-0.01,-0.02,1,100,70,130,2,"Call","o","e","e")</t>
  </si>
  <si>
    <t xml:space="preserve">OPT_BARRIER(95,0.05,0.0,0.02,2,100,90,0,0,"p","out","end","vega")</t>
  </si>
  <si>
    <t xml:space="preserve">OPT_BARRIER(80,0.3,0.05,0.02,5,100,70,130,0,"Call","i","e","x")</t>
  </si>
  <si>
    <t xml:space="preserve">OPT_BARRIER(80,0.1,0.1,0.0,0,100,0,120,0,"Call","in","x","x")</t>
  </si>
  <si>
    <t xml:space="preserve">OPT_BARRIER(80,0.05,-0.01,0.05,0.5,90,95,105,0,"p","out","cont",1)</t>
  </si>
  <si>
    <t xml:space="preserve">OPT_BARRIER(100,0.2,0.02,0.0,0.25,80,95,105,0,"Call","i","c","g")</t>
  </si>
  <si>
    <t xml:space="preserve">OPT_BARRIER(95,0.5,0.0,0.0,0.01,100,70,130,0,"Call","o","end",1)</t>
  </si>
  <si>
    <t xml:space="preserve">OPT_BARRIER(150,0.1,0.05,0.05,1,90,90,120,0,"Call","in","e","f")</t>
  </si>
  <si>
    <t xml:space="preserve">OPT_BARRIER(80,0.3,0.05,-0.02,0.5,90,120,90,0,"c","o","e","rhof")</t>
  </si>
  <si>
    <t xml:space="preserve">OPT_BARRIER(100.5,0.3,-0.01,-0.02,1,100,85,115,0,"p","i","e","delta")</t>
  </si>
  <si>
    <t xml:space="preserve">OPT_BARRIER(80,0.5,0.02,0.0,0.25,90,120,90,0,"p","out","end",1)</t>
  </si>
  <si>
    <t xml:space="preserve">OPT_BARRIER(100.5,0.3,0.02,0.05,0.5,0,0,120,0,"p","out","c","a")</t>
  </si>
  <si>
    <t xml:space="preserve">OPT_BARRIER(100,0.5,0.05,0.02,0.25,0,0,0,0,"call","in","x","theta")</t>
  </si>
  <si>
    <t xml:space="preserve">OPT_BARRIER(100.5,0.2,0.1,-0.02,0,80,0,0,5.5,"call","o","cont","g")</t>
  </si>
  <si>
    <t xml:space="preserve">OPT_BARRIER(100,0.5,0.0,-0.02,1,90,85,115,0,"call","in","end","theta")</t>
  </si>
  <si>
    <t xml:space="preserve">OPT_BARRIER(100,0.3,-0.01,0.02,0.01,90,70,130,5.5,"Call","out","c","a")</t>
  </si>
  <si>
    <t xml:space="preserve">OPT_BARRIER(150,0.1,0.02,-0.02,2,90,120,90,5.5,"Call","i","end","value")</t>
  </si>
  <si>
    <t xml:space="preserve">OPT_BARRIER(120,0.3,0.0,0.02,2,90,90,120,5.5,"Call","o","cont","f")</t>
  </si>
  <si>
    <t xml:space="preserve">OPT_BARRIER(100.5,0.3,0.05,0.0,2,80,95,105,0,"p","in","c")</t>
  </si>
  <si>
    <t xml:space="preserve">OPT_BARRIER(120,0.05,0.0,0.02,2,110,0,0,5.5,"call","i","e","e")</t>
  </si>
  <si>
    <t xml:space="preserve">OPT_BARRIER(95,0.5,0.05,0.02,0.5,120,70,130,0,"Call","i","c",1)</t>
  </si>
  <si>
    <t xml:space="preserve">OPT_BARRIER(95,0.05,0.05,0.0,0.5,100,85,115,2,"Call","i","e","gamma")</t>
  </si>
  <si>
    <t xml:space="preserve">OPT_BARRIER(150,0.5,0.02,0.02,1,110,90,0,0,"Call","in","cont","vanna")</t>
  </si>
  <si>
    <t xml:space="preserve">OPT_BARRIER(80,0.1,-0.01,0.0,5,90,90,0,0,"Call","i","x",TRUE)</t>
  </si>
  <si>
    <t xml:space="preserve">OPT_BARRIER(120,0.5,-0.01,-0.02,0.5,100,95,105,5.5,"Call","out","e","f")</t>
  </si>
  <si>
    <t xml:space="preserve">OPT_BARRIER(60,0.3,-0.01,0.02,5,100,120,90,5.5,"p","out","c",1)</t>
  </si>
  <si>
    <t xml:space="preserve">OPT_BARRIER(100,0.3,0.05,-0.02,0,100,70,130,2,"Call","o","c","theta")</t>
  </si>
  <si>
    <t xml:space="preserve">OPT_BARRIER(150,0.2,0.02,0.05,1,120,90,0,5.5,"Call","o","cont","delta")</t>
  </si>
  <si>
    <t xml:space="preserve">OPT_BARRIER(95,0.3,0.1,0.05,1,0,90,0,0,"call","i","c","rhof")</t>
  </si>
  <si>
    <t xml:space="preserve">OPT_BARRIER(95,0.3,0.1,-0.02,2,100,0,0,0,"call","in","cont","price")</t>
  </si>
  <si>
    <t xml:space="preserve">OPT_BARRIER(120,0.2,0.1,-0.02,0.01,100,0,0,2,"call","out","end","gamma")</t>
  </si>
  <si>
    <t xml:space="preserve">OPT_BARRIER(95,0.3,-0.01,0.05,0.01,120,0,120,2,"call","out","x","gamma")</t>
  </si>
  <si>
    <t xml:space="preserve">OPT_BARRIER(80,0.05,0.05,-0.02,5,80,85,115,2,"c","i","end",1)</t>
  </si>
  <si>
    <t xml:space="preserve">OPT_BARRIER(100.5,0.2,-0.01,0.05,1,110,85,115,0,"call","in","end","vega")</t>
  </si>
  <si>
    <t xml:space="preserve">OPT_BARRIER(80,0.2,0.1,0.05,0.01,100,120,90,0,"p","out","c","f")</t>
  </si>
  <si>
    <t xml:space="preserve">OPT_BARRIER(150,0.3,0.05,0.05,0.5,110,0,120,2,"Call","in","e","gamma")</t>
  </si>
  <si>
    <t xml:space="preserve">OPT_BARRIER(60,0.2,0.05,-0.02,2,100,120,90,0,"call","in","c","price")</t>
  </si>
  <si>
    <t xml:space="preserve">OPT_BARRIER(100.5,0.5,0.05,-0.02,5,110,70,130,2,"put","in","e","o")</t>
  </si>
  <si>
    <t xml:space="preserve">OPT_BARRIER(100,0.1,0.02,0.02,0.5,0,90,120,2,"put","i","e","vega")</t>
  </si>
  <si>
    <t xml:space="preserve">OPT_BARRIER(80,0.3,0.0,0.0,0.25,110,95,105,0,"c","o","x",1)</t>
  </si>
  <si>
    <t xml:space="preserve">OPT_BARRIER(80,0.3,0.0,0.05,0,90,0,0,2,"Call","in","end","d")</t>
  </si>
  <si>
    <t xml:space="preserve">OPT_BARRIER(100,0.2,0.1,0.02,2,100,70,130,0,"Call","out","e","price")</t>
  </si>
  <si>
    <t xml:space="preserve">OPT_BARRIER(100,0.1,0.0,0.0,0.25,0,95,105,0,"put","in","x","e")</t>
  </si>
  <si>
    <t xml:space="preserve">OPT_BARRIER(100.5,0.3,0.02,0.0,0,90,0,0,2,"call","in","c","theta")</t>
  </si>
  <si>
    <t xml:space="preserve">OPT_BARRIER(100.5,0.1,0.05,0.05,0.5,0,90,120,0,"c","in","cont","g")</t>
  </si>
  <si>
    <t xml:space="preserve">OPT_BARRIER(80,0.2,-0.01,0.02,2,90,0,120,0,"put","in","x","vanna")</t>
  </si>
  <si>
    <t xml:space="preserve">OPT_BARRIER(120,0.3,0.0,-0.02,2,110,95,105,5.5,"put","in","end","o")</t>
  </si>
  <si>
    <t xml:space="preserve">OPT_BARRIER(60,0.5,0.0,0.05,0.5,100,90,120,0,"call","out","x","o")</t>
  </si>
  <si>
    <t xml:space="preserve">OPT_BARRIER(95,0.05,0.1,0.05,5,100,0,120,0,"put","o","c","theta")</t>
  </si>
  <si>
    <t xml:space="preserve">OPT_BARRIER(95,0.1,0.1,-0.02,0,90,95,105,0,"call","in","cont","price")</t>
  </si>
  <si>
    <t xml:space="preserve">OPT_BARRIER(60,0.2,0.02,0.02,0.01,120,95,105,2,"c","i","e","a")</t>
  </si>
  <si>
    <t xml:space="preserve">OPT_BARRIER(60,0.05,0.05,0.05,0,80,95,105,5.5,"c","in","e","theta")</t>
  </si>
  <si>
    <t xml:space="preserve">OPT_BARRIER(80,0.05,-0.01,0.05,2,0,120,90,5.5,"p","in","end","g")</t>
  </si>
  <si>
    <t xml:space="preserve">OPT_BARRIER(120,0.5,0.05,0.0,5,120,95,105,5.5,"put","out","cont","f")</t>
  </si>
  <si>
    <t xml:space="preserve">OPT_BARRIER(120,0.3,-0.01,0.02,0,80,120,90,2,"c","in","x","d")</t>
  </si>
  <si>
    <t xml:space="preserve">OPT_BARRIER(150,0.5,0.1,-0.02,0.5,90,95,105,0,"call","o","c","o")</t>
  </si>
  <si>
    <t xml:space="preserve">OPT_BARRIER(120,0.05,0.05,0.02,0,100,0,120,0,"put","in","x","gamma")</t>
  </si>
  <si>
    <t xml:space="preserve">OPT_BARRIER(120,0.3,0.05,0.05,0.01,120,90,120,0,"Call","o","e","volga")</t>
  </si>
  <si>
    <t xml:space="preserve">OPT_BARRIER(120,0.1,0.1,0.0,0.25,100,120,90,2,"put","out","end","x")</t>
  </si>
  <si>
    <t xml:space="preserve">OPT_BARRIER(80,0.3,0.1,-0.02,5,90,85,115,5.5,"call","in","cont","vega")</t>
  </si>
  <si>
    <t xml:space="preserve">OPT_BARRIER(95,0.3,0.02,-0.02,0.01,100,95,105,5.5,"p","o","e","f")</t>
  </si>
  <si>
    <t xml:space="preserve">OPT_BARRIER(150,0.2,0.1,0.0,2,110,0,0,5.5,"Call","in","c","o")</t>
  </si>
  <si>
    <t xml:space="preserve">OPT_BARRIER(80,0.2,-0.01,0.05,5,100,120,90,0,"Call","i","c","delta")</t>
  </si>
  <si>
    <t xml:space="preserve">OPT_BARRIER(95,0.05,0.1,-0.02,0.5,80,95,105,0,"p","in","c","a")</t>
  </si>
  <si>
    <t xml:space="preserve">OPT_BARRIER(100.5,0.3,-0.01,0.0,2,110,70,130,0,"call","i","e","g")</t>
  </si>
  <si>
    <t xml:space="preserve">OPT_BARRIER(60,0.05,0.0,-0.02,0.25,110,85,115,0,"call","out","c",1)</t>
  </si>
  <si>
    <t xml:space="preserve">OPT_BARRIER(100.5,0.3,0.0,0.05,0.01,120,0,120,0,"call","i","e","vanna")</t>
  </si>
  <si>
    <t xml:space="preserve">OPT_BARRIER(100.5,0.1,0.02,0.02,1,100,95,105,5.5,"call","in","cont","vanna")</t>
  </si>
  <si>
    <t xml:space="preserve">OPT_BARRIER(80,0.2,-0.01,0.02,0.5,120,95,105,0,"Call","out","e","a")</t>
  </si>
  <si>
    <t xml:space="preserve">OPT_TOUCH(100.5,0.5,0.05,0.0,2,85,115,"d","out","c",1)</t>
  </si>
  <si>
    <t xml:space="preserve">OPT_TOUCH(150,0.2,0.02,0.0,2,90,0,"dom","out","e","x")</t>
  </si>
  <si>
    <t xml:space="preserve">OPT_TOUCH(95,0.05,0.05,0.02,1,70,130,"for","o","cont","rho")</t>
  </si>
  <si>
    <t xml:space="preserve">OPT_TOUCH(80,0.3,0.1,0.05,0.5,70,130,"dom","o","e","rhof")</t>
  </si>
  <si>
    <t xml:space="preserve">OPT_TOUCH(100,0.1,0.0,0.02,5,90,0,"x","i","end",TRUE)</t>
  </si>
  <si>
    <t xml:space="preserve">OPT_TOUCH(150,0.1,0.0,0.02,0.01,120,90,"f","i","end","value")</t>
  </si>
  <si>
    <t xml:space="preserve">OPT_TOUCH(150,0.2,-0.01,0.05,5,70,130,"x","i","e","rhof")</t>
  </si>
  <si>
    <t xml:space="preserve">OPT_TOUCH(100,0.05,0.0,0.05,2,90,120,"d","in","cont",1)</t>
  </si>
  <si>
    <t xml:space="preserve">OPT_TOUCH(100,0.3,0.05,0.0,0,90,0,"for","o","c","x")</t>
  </si>
  <si>
    <t xml:space="preserve">OPT_TOUCH(95,0.1,0.02,-0.02,2,0,0,"dom","i","c","value")</t>
  </si>
  <si>
    <t xml:space="preserve">OPT_TOUCH(100.5,0.2,0.1,0.02,0,120,90,"x","i","cont","vanna")</t>
  </si>
  <si>
    <t xml:space="preserve">OPT_TOUCH(100.5,0.5,0.02,0.02,0.5,70,130,"x","in","end","value")</t>
  </si>
  <si>
    <t xml:space="preserve">OPT_TOUCH(95,0.1,0.02,-0.02,0.25,90,0,"dom","out","c","delta")</t>
  </si>
  <si>
    <t xml:space="preserve">OPT_TOUCH(100.5,0.1,-0.01,0.05,0.01,85,115,"x","out","c","rhof")</t>
  </si>
  <si>
    <t xml:space="preserve">OPT_TOUCH(100.5,0.1,0.1,-0.02,2,120,90,"x","o","end","value")</t>
  </si>
  <si>
    <t xml:space="preserve">OPT_TOUCH(100.5,0.1,0.1,0.02,0.5,70,130,"x","out","c","vanna")</t>
  </si>
  <si>
    <t xml:space="preserve">OPT_TOUCH(100,0.5,0.05,0.05,2,0,120,"d","in","c","vega")</t>
  </si>
  <si>
    <t xml:space="preserve">OPT_TOUCH(150,0.2,-0.01,-0.02,0,0,0,"for","out","e",1)</t>
  </si>
  <si>
    <t xml:space="preserve">OPT_TOUCH(60,0.2,0.0,0.02,0.5,95,105,"f","o","e","volga")</t>
  </si>
  <si>
    <t xml:space="preserve">OPT_TOUCH(95,0.05,0.1,-0.02,2,90,0,"dom","i","cont","price")</t>
  </si>
  <si>
    <t xml:space="preserve">OPT_TOUCH(60,0.1,0.05,0.05,0,85,115,"f","i","cont","")</t>
  </si>
  <si>
    <t xml:space="preserve">OPT_TOUCH(60,0.05,0.05,0.02,1,0,0,"dom","i","e","value")</t>
  </si>
  <si>
    <t xml:space="preserve">OPT_TOUCH(100,0.1,0.02,0.05,0.01,120,90,"x","out","c","volga")</t>
  </si>
  <si>
    <t xml:space="preserve">OPT_TOUCH(100.5,0.2,0.02,-0.02,0.01,90,0,"d","i","c","x")</t>
  </si>
  <si>
    <t xml:space="preserve">OPT_TOUCH(120,0.3,-0.01,-0.02,2,0,120,"dom","in","e","volga")</t>
  </si>
  <si>
    <t xml:space="preserve">OPT_TOUCH(100,0.1,-0.01,0.05,0.5,0,120,"dom","i","c","value")</t>
  </si>
  <si>
    <t xml:space="preserve">OPT_TOUCH(80,0.5,0.1,-0.02,0.01,70,130,"f","i","c")</t>
  </si>
  <si>
    <t xml:space="preserve">OPT_TOUCH(120,0.5,0.02,-0.02,0.5,120,90,"for","out","e","o")</t>
  </si>
  <si>
    <t xml:space="preserve">OPT_TOUCH(60,0.1,0.1,0.02,0,90,0,"d","in","c","x")</t>
  </si>
  <si>
    <t xml:space="preserve">OPT_TOUCH(80,0.3,0.05,0.0,0,0,0,"d","i","end","value")</t>
  </si>
  <si>
    <t xml:space="preserve">OPT_TOUCH(100.5,0.1,0.0,-0.02,5,0,0,"for","o","cont")</t>
  </si>
  <si>
    <t xml:space="preserve">OPT_TOUCH(80,0.2,0.1,0.05,0,70,130,"x","in","e","x")</t>
  </si>
  <si>
    <t xml:space="preserve">OPT_TOUCH(150,0.1,-0.01,0.05,0.01,85,115,"x","o","c","rho")</t>
  </si>
  <si>
    <t xml:space="preserve">OPT_TOUCH(95,0.5,0.1,-0.02,0.01,85,115,"for","i","cont","vanna")</t>
  </si>
  <si>
    <t xml:space="preserve">OPT_TOUCH(100,0.05,0.1,0.0,0.25,0,120,"x","out","e","a")</t>
  </si>
  <si>
    <t xml:space="preserve">OPT_TOUCH(100.5,0.5,0.02,0.05,0.01,95,105,"for","out","e","value")</t>
  </si>
  <si>
    <t xml:space="preserve">OPT_TOUCH(120,0.05,0.02,0.0,0.25,70,130,"for","in","c","x")</t>
  </si>
  <si>
    <t xml:space="preserve">OPT_TOUCH(60,0.5,-0.01,0.05,0.01,120,90,"f","out","end")</t>
  </si>
  <si>
    <t xml:space="preserve">OPT_TOUCH(80,0.05,-0.01,0.02,0.25,85,115,"dom","i","cont","value")</t>
  </si>
  <si>
    <t xml:space="preserve">OPT_TOUCH(100.5,0.1,0.05,0.05,0,90,120,"for","i","c","gamma")</t>
  </si>
  <si>
    <t xml:space="preserve">OPT_TOUCH(120,0.05,0.0,0.0,1,95,105,"for","out","end","theta")</t>
  </si>
  <si>
    <t xml:space="preserve">OPT_TOUCH(80,0.5,0.0,0.0,0.25,95,105,"for","in","c","e")</t>
  </si>
  <si>
    <t xml:space="preserve">OPT_TOUCH(100,0.2,0.05,0.0,2,0,120,"for","i","c","a")</t>
  </si>
  <si>
    <t xml:space="preserve">OPT_TOUCH(80,0.3,0.05,-0.02,2,85,115,"dom","out","e",TRUE)</t>
  </si>
  <si>
    <t xml:space="preserve">OPT_TOUCH(80,0.2,0.0,-0.02,0.01,95,105,"d","out","e","e")</t>
  </si>
  <si>
    <t xml:space="preserve">OPT_TOUCH(100,0.05,-0.01,0.05,2,90,120,"dom","o","cont","g")</t>
  </si>
  <si>
    <t xml:space="preserve">OPT_TOUCH(150,0.5,0.05,0.0,1,0,120,"for","i","end","price")</t>
  </si>
  <si>
    <t xml:space="preserve">OPT_TOUCH(120,0.05,0.1,-0.02,5,0,0,"dom","out","c","value")</t>
  </si>
  <si>
    <t xml:space="preserve">OPT_TOUCH(100.5,0.2,0.02,-0.02,0.01,90,120,"x","in","e","delta")</t>
  </si>
  <si>
    <t xml:space="preserve">OPT_TOUCH(120,0.3,0.02,-0.02,2,85,115,"for","out","c","e")</t>
  </si>
  <si>
    <t xml:space="preserve">OPT_TOUCH(150,0.2,-0.01,0.0,1,95,105,"d","in","c","o")</t>
  </si>
  <si>
    <t xml:space="preserve">OPT_TOUCH(100,0.5,0.02,-0.02,5,0,0,"d","out","end","d")</t>
  </si>
  <si>
    <t xml:space="preserve">OPT_TOUCH(80,0.2,0.1,0.05,0,0,120,"dom","i","cont",TRUE)</t>
  </si>
  <si>
    <t xml:space="preserve">OPT_TOUCH(150,0.05,-0.01,0.05,5,90,0,"dom","out","cont","g")</t>
  </si>
  <si>
    <t xml:space="preserve">OPT_TOUCH(80,0.3,0.05,0.02,0,90,120,"d","o","cont",1)</t>
  </si>
  <si>
    <t xml:space="preserve">OPT_TOUCH(100,0.05,0.05,0.05,2,120,90,"x","out","cont","price")</t>
  </si>
  <si>
    <t xml:space="preserve">OPT_TOUCH(60,0.05,0.02,-0.02,0.5,120,90,"for","i","end","e")</t>
  </si>
  <si>
    <t xml:space="preserve">OPT_TOUCH(120,0.3,0.0,-0.02,0.25,95,105,"for","o","cont","value")</t>
  </si>
  <si>
    <t xml:space="preserve">OPT_TOUCH(60,0.05,-0.01,0.02,0.01,90,120,"for","out","c","rhof")</t>
  </si>
  <si>
    <t xml:space="preserve">OPT_TOUCH(60,0.3,0.05,0.05,0.01,0,120,"x","in","c",TRUE)</t>
  </si>
  <si>
    <t xml:space="preserve">OPT_TOUCH(100,0.2,0.0,0.02,0,90,120,"for","o","e","f")</t>
  </si>
  <si>
    <t xml:space="preserve">OPT_TOUCH(150,0.2,0.02,0.05,0.01,0,120,"dom","o","c","o")</t>
  </si>
  <si>
    <t xml:space="preserve">OPT_TOUCH(95,0.5,-0.01,0.0,5,90,0,"x","o","end","rhof")</t>
  </si>
  <si>
    <t xml:space="preserve">OPT_TOUCH(150,0.1,0.0,0.05,0.25,90,0,"d","out","e","price")</t>
  </si>
  <si>
    <t xml:space="preserve">OPT_TOUCH(150,0.1,0.05,-0.02,0.25,90,120,"x","out","cont","e")</t>
  </si>
  <si>
    <t xml:space="preserve">OPT_TOUCH(100.5,0.2,-0.01,-0.02,2,90,0,"d","out","c","vanna")</t>
  </si>
  <si>
    <t xml:space="preserve">OPT_TOUCH(120,0.1,0.02,0.05,0.01,120,90,"x","i","cont","theta")</t>
  </si>
  <si>
    <t xml:space="preserve">OPT_TOUCH(80,0.1,0.02,0.0,1,90,120,"for","o","end","vega")</t>
  </si>
  <si>
    <t xml:space="preserve">OPT_TOUCH(120,0.3,0.1,-0.02,0.01,120,90,"for","i","c","a")</t>
  </si>
  <si>
    <t xml:space="preserve">OPT_TOUCH(60,0.05,0.0,0.0,5,120,90,"dom","i","cont","volga")</t>
  </si>
  <si>
    <t xml:space="preserve">OPT_TOUCH(120,0.1,0.0,0.0,0,90,120,"d","out","end","theta")</t>
  </si>
  <si>
    <t xml:space="preserve">OPT_TOUCH(80,0.1,0.0,0.02,0.25,0,120,"for","out","cont","o")</t>
  </si>
  <si>
    <t xml:space="preserve">OPT_TOUCH(120,0.5,-0.01,-0.02,1,0,0,"d","in","end")</t>
  </si>
  <si>
    <t xml:space="preserve">OPT_TOUCH(100,0.3,0.02,-0.02,0.01,90,0,"f","in","end","g")</t>
  </si>
  <si>
    <t xml:space="preserve">OPT_TOUCH(150,0.5,0.1,0.05,2,120,90,"f","out","end",TRUE)</t>
  </si>
  <si>
    <t xml:space="preserve">OPT_TOUCH(80,0.2,0.0,0.05,2,0,0,"dom","out","e","rho")</t>
  </si>
  <si>
    <t xml:space="preserve">OPT_TOUCH(100,0.2,0.1,-0.02,2,70,130,"dom","in","cont","volga")</t>
  </si>
  <si>
    <t xml:space="preserve">OPT_TOUCH(100,0.5,0.0,0.0,0.25,0,120,"for","out","cont","volga")</t>
  </si>
  <si>
    <t xml:space="preserve">OPT_TOUCH(120,0.2,0.1,0.0,0.01,90,0,"f","i","end","g")</t>
  </si>
  <si>
    <t xml:space="preserve">OPT_TOUCH(100,0.1,0.1,-0.02,5,0,0,"d","in","e","a")</t>
  </si>
  <si>
    <t xml:space="preserve">OPT_TOUCH(100.5,0.5,0.05,-0.02,0.25,0,120,"f","o","c","price")</t>
  </si>
  <si>
    <t xml:space="preserve">OPT_TOUCH(80,0.5,-0.01,0.0,0.01,85,115,"f","in","c")</t>
  </si>
  <si>
    <t xml:space="preserve">OPT_TOUCH(100,0.2,-0.01,-0.02,2,95,105,"d","out","end","volga")</t>
  </si>
  <si>
    <t xml:space="preserve">OPT_TOUCH(150,0.05,-0.01,0.05,1,120,90,"for","i","end","theta")</t>
  </si>
  <si>
    <t xml:space="preserve">OPT_TOUCH(60,0.2,0.0,-0.02,0,120,90,"f","in","cont","volga")</t>
  </si>
  <si>
    <t xml:space="preserve">OPT_TOUCH(95,0.1,0.0,0.02,0.01,90,0,"x","o","c","g")</t>
  </si>
  <si>
    <t xml:space="preserve">OPT_TOUCH(95,0.1,0.1,-0.02,2,120,90,"dom","i","e","rho")</t>
  </si>
  <si>
    <t xml:space="preserve">OPT_TOUCH(80,0.05,0.0,-0.02,0.01,90,0,"dom","out","end",TRUE)</t>
  </si>
  <si>
    <t xml:space="preserve">OPT_TOUCH(150,0.2,0.05,-0.02,0.01,120,90,"dom","out","cont","rhof")</t>
  </si>
  <si>
    <t xml:space="preserve">OPT_TOUCH(120,0.2,0.0,0.0,5,95,105,"f","out","e","gamma")</t>
  </si>
  <si>
    <t xml:space="preserve">OPT_TOUCH(150,0.2,0.0,0.0,0.5,95,105,"d","i","cont","price")</t>
  </si>
  <si>
    <t xml:space="preserve">OPT_TOUCH(80,0.05,0.02,0.02,1,120,90,"f","i","e","theta")</t>
  </si>
  <si>
    <t xml:space="preserve">OPT_TOUCH(95,0.3,0.02,0.0,0.01,90,0,"dom","in","e","f")</t>
  </si>
  <si>
    <t xml:space="preserve">OPT_TOUCH(60,0.5,0.0,0.05,0.01,85,115,"x","i","c","theta")</t>
  </si>
  <si>
    <t xml:space="preserve">OPT_TOUCH(100,0.5,0.0,-0.02,0,90,120,"f","in","e","vega")</t>
  </si>
  <si>
    <t xml:space="preserve">OPT_TOUCH(100.5,0.2,0.02,-0.02,5,90,120,"dom","in","end","theta")</t>
  </si>
  <si>
    <t xml:space="preserve">OPT_TOUCH(100.5,0.3,-0.01,0.0,0.25,120,90,"f","i","c","d")</t>
  </si>
  <si>
    <t xml:space="preserve">OPT_TOUCH(80,0.1,0.02,0.0,0,0,0,"f","i","cont","vega")</t>
  </si>
  <si>
    <t xml:space="preserve">OPT_TOUCH(100,0.1,0.05,0.05,0,90,0,"f","out","cont","value")</t>
  </si>
  <si>
    <t xml:space="preserve">OPT_TOUCH(120,0.1,0.05,0.05,0.25,0,0,"x","i","e",TRUE)</t>
  </si>
  <si>
    <t xml:space="preserve">OPT_TOUCH(95,0.05,0.05,0.0,0.01,95,105,"x","o","cont","x")</t>
  </si>
  <si>
    <t xml:space="preserve">OPT_TOUCH(95,0.2,0.05,0.05,0.01,85,115,"x","out","c","x")</t>
  </si>
  <si>
    <t xml:space="preserve">OPT_TOUCH(80,0.3,0.1,-0.02,0.01,120,90,"for","in","cont")</t>
  </si>
  <si>
    <t xml:space="preserve">OPT_TOUCH(100,0.1,0.02,0.0,2,95,105,"f","out","cont",1)</t>
  </si>
  <si>
    <t xml:space="preserve">OPT_TOUCH(120,0.5,0.02,-0.02,0,120,90,"for","i","e",TRUE)</t>
  </si>
  <si>
    <t xml:space="preserve">OPT_TOUCH(100.5,0.05,0.1,0.0,1,0,120,"for","o","e","e")</t>
  </si>
  <si>
    <t xml:space="preserve">OPT_TOUCH(60,0.5,0.02,-0.02,1,120,90,"x","in","cont","f")</t>
  </si>
  <si>
    <t xml:space="preserve">OPT_TOUCH(100.5,0.1,0.02,0.02,5,0,0,"dom","out","cont","f")</t>
  </si>
  <si>
    <t xml:space="preserve">OPT_TOUCH(100.5,0.5,0.1,-0.02,0.5,70,130,"d","in","end","rho")</t>
  </si>
  <si>
    <t xml:space="preserve">OPT_TOUCH(120,0.5,-0.01,-0.02,0,0,0,"for","in","c","gamma")</t>
  </si>
  <si>
    <t xml:space="preserve">OPT_TOUCH(100,0.05,0.02,-0.02,0,0,0,"f","in","end","vega")</t>
  </si>
  <si>
    <t xml:space="preserve">OPT_TOUCH(100.5,0.1,0.1,-0.02,0.5,0,120,"dom","out","c","value")</t>
  </si>
  <si>
    <t xml:space="preserve">OPT_TOUCH(80,0.3,0.0,0.05,0,120,90,"dom","i","c","rhof")</t>
  </si>
  <si>
    <t xml:space="preserve">OPT_TOUCH(80,0.05,-0.01,0.02,5,120,90,"d","out","end","delta")</t>
  </si>
  <si>
    <t xml:space="preserve">OPT_TOUCH(60,0.2,0.0,0.05,0.25,95,105,"d","in","end","o")</t>
  </si>
  <si>
    <t xml:space="preserve">OPT_TOUCH(95,0.1,0.02,0.05,1,120,90,"f","o","end","gamma")</t>
  </si>
  <si>
    <t xml:space="preserve">OPT_TOUCH(60,0.1,-0.01,0.02,1,0,120,"dom","out","end","f")</t>
  </si>
  <si>
    <t xml:space="preserve">OPT_TOUCH(95,0.2,0.0,0.0,0.5,120,90,"dom","out","cont")</t>
  </si>
  <si>
    <t xml:space="preserve">OPT_TOUCH(100,0.1,-0.01,0.0,1,85,115,"d","o","cont","a")</t>
  </si>
  <si>
    <t xml:space="preserve">OPT_TOUCH(95,0.5,0.1,-0.02,0.01,120,90,"for","i","end","")</t>
  </si>
  <si>
    <t xml:space="preserve">OPT_TOUCH(120,0.3,0.0,0.02,0,0,0,"f","i","cont","e")</t>
  </si>
  <si>
    <t xml:space="preserve">OPT_TOUCH(80,0.05,0.0,0.02,1,95,105,"dom","out","c","o")</t>
  </si>
  <si>
    <t xml:space="preserve">OPT_TOUCH(100,0.1,0.0,0.02,0.01,0,0,"x","o","end","a")</t>
  </si>
  <si>
    <t xml:space="preserve">OPT_TOUCH(100.5,0.3,0.02,0.05,2,85,115,"x","in","e","value")</t>
  </si>
  <si>
    <t xml:space="preserve">OPT_TOUCH(95,0.2,0.0,0.05,0.01,95,105,"x","o","cont","theta")</t>
  </si>
  <si>
    <t xml:space="preserve">OPT_TOUCH(80,0.2,0.02,0.0,5,95,105,"f","out","c","e")</t>
  </si>
  <si>
    <t xml:space="preserve">OPT_TOUCH(95,0.2,0.02,0.0,2,0,120,"x","o","e","")</t>
  </si>
  <si>
    <t xml:space="preserve">OPT_TOUCH(95,0.05,0.05,0.02,5,95,105,"d","in","cont","o")</t>
  </si>
  <si>
    <t xml:space="preserve">OPT_TOUCH(150,0.3,-0.01,0.02,0.25,90,0,"d","out","cont","gamma")</t>
  </si>
  <si>
    <t xml:space="preserve">OPT_TOUCH(100.5,0.3,0.02,-0.02,0.25,95,105,"x","o","cont","price")</t>
  </si>
  <si>
    <t xml:space="preserve">OPT_TOUCH(100.5,0.2,0.1,0.02,5,120,90,"f","out","c",1)</t>
  </si>
  <si>
    <t xml:space="preserve">OPT_TOUCH(120,0.1,0.0,0.0,0.01,0,120,"x","o","end","vanna")</t>
  </si>
  <si>
    <t xml:space="preserve">OPT_TOUCH(60,0.5,-0.01,0.0,1,95,105,"dom","i","e","volga")</t>
  </si>
  <si>
    <t xml:space="preserve">OPT_TOUCH(120,0.2,0.05,0.05,0,95,105,"for","o","end","vanna")</t>
  </si>
  <si>
    <t xml:space="preserve">OPT_TOUCH(120,0.2,0.1,0.05,0.01,95,105,"dom","in","c","f")</t>
  </si>
  <si>
    <t xml:space="preserve">OPT_TOUCH(80,0.3,0.05,0.0,0.25,90,0,"f","o","c","rhof")</t>
  </si>
  <si>
    <t xml:space="preserve">OPT_TOUCH(120,0.2,0.02,0.02,0.01,90,120,"d","in","e","f")</t>
  </si>
  <si>
    <t xml:space="preserve">OPT_TOUCH(80,0.1,0.0,0.05,0.25,90,0,"d","i","c","")</t>
  </si>
  <si>
    <t xml:space="preserve">OPT_TOUCH(100,0.2,0.1,0.02,0.25,85,115,"dom","in","end","e")</t>
  </si>
  <si>
    <t xml:space="preserve">OPT_TOUCH(60,0.3,0.1,-0.02,0,85,115,"for","in","cont","price")</t>
  </si>
  <si>
    <t xml:space="preserve">OPT_TOUCH(80,0.3,0.02,0.0,0.5,70,130,"dom","o","end","vega")</t>
  </si>
  <si>
    <t xml:space="preserve">OPT_TOUCH(150,0.5,0.02,0.02,2,90,0,"f","in","c","delta")</t>
  </si>
  <si>
    <t xml:space="preserve">OPT_TOUCH(120,0.2,0.02,0.05,0.25,85,115,"for","out","e","volga")</t>
  </si>
  <si>
    <t xml:space="preserve">OPT_TOUCH(60,0.5,-0.01,0.02,5,120,90,"dom","in","e","o")</t>
  </si>
  <si>
    <t xml:space="preserve">OPT_TOUCH(60,0.2,0.02,0.0,5,85,115,"f","o","c","x")</t>
  </si>
  <si>
    <t xml:space="preserve">OPT_TOUCH(60,0.5,0.0,-0.02,5,0,0,"d","o","cont","g")</t>
  </si>
  <si>
    <t xml:space="preserve">OPT_TOUCH(95,0.2,0.05,0.05,5,0,0,"for","out","cont","a")</t>
  </si>
  <si>
    <t xml:space="preserve">OPT_TOUCH(150,0.5,0.1,0.05,0.01,0,120,"f","i","cont","theta")</t>
  </si>
  <si>
    <t xml:space="preserve">OPT_TOUCH(60,0.1,0.05,-0.02,0.25,95,105,"f","o","cont","g")</t>
  </si>
  <si>
    <t xml:space="preserve">OPT_TOUCH(100,0.3,0.02,0.02,0.25,90,0,"dom","o","c","theta")</t>
  </si>
  <si>
    <t xml:space="preserve">OPT_TOUCH(100.5,0.2,0.02,0.02,0.5,0,0,"x","out","e","vega")</t>
  </si>
  <si>
    <t xml:space="preserve">OPT_TOUCH(100,0.1,0.05,0.02,0.25,85,115,"d","in","c","e")</t>
  </si>
  <si>
    <t xml:space="preserve">OPT_TOUCH(120,0.5,0.1,0.05,2,90,120,"x","in","end","f")</t>
  </si>
  <si>
    <t xml:space="preserve">OPT_TOUCH(60,0.2,0.02,0.05,0.01,70,130,"x","out","e","x")</t>
  </si>
  <si>
    <t xml:space="preserve">OPT_TOUCH(60,0.5,0.02,0.02,0.01,95,105,"f","i","end","g")</t>
  </si>
  <si>
    <t xml:space="preserve">OPT_TOUCH(100.5,0.1,0.05,0.02,0.01,90,120,"f","out","e",1)</t>
  </si>
  <si>
    <t xml:space="preserve">OPT_TOUCH(150,0.3,-0.01,0.02,0.25,95,105,"f","out","e","theta")</t>
  </si>
  <si>
    <t xml:space="preserve">OPT_TOUCH(100.5,0.3,0.0,0.02,0.25,90,0,"for","in","cont","gamma")</t>
  </si>
  <si>
    <t xml:space="preserve">OPT_TOUCH(80,0.05,0.05,0.02,0,85,115,"d","out","e","x")</t>
  </si>
  <si>
    <t xml:space="preserve">OPT_TOUCH(100,0.5,0.0,0.05,0.25,95,105,"d","out","cont","gamma")</t>
  </si>
  <si>
    <t xml:space="preserve">OPT_TOUCH(150,0.1,0.02,0.0,0.01,120,90,"dom","o","end","x")</t>
  </si>
  <si>
    <t xml:space="preserve">OPT_TOUCH(100,0.5,-0.01,0.02,1,0,0,"x","out","end","price")</t>
  </si>
  <si>
    <t xml:space="preserve">OPT_TOUCH(120,0.1,0.0,0.0,0.5,70,130,"d","in","end","rho")</t>
  </si>
  <si>
    <t xml:space="preserve">OPT_TOUCH(60,0.1,0.02,-0.02,0.5,70,130,"for","o","end","volga")</t>
  </si>
  <si>
    <t xml:space="preserve">OPT_TOUCH(95,0.3,0.1,0.02,0.5,85,115,"d","o","end","o")</t>
  </si>
  <si>
    <t xml:space="preserve">OPT_TOUCH(100.5,0.2,0.05,-0.02,1,120,90,"dom","out","cont")</t>
  </si>
  <si>
    <t xml:space="preserve">OPT_TOUCH(95,0.2,-0.01,0.0,5,85,115,"for","in","end","value")</t>
  </si>
  <si>
    <t xml:space="preserve">OPT_TOUCH(150,0.05,0.05,-0.02,0.01,90,120,"dom","out","e","price")</t>
  </si>
  <si>
    <t xml:space="preserve">OPT_TOUCH(150,0.05,-0.01,0.02,2,0,120,"f","o","c","theta")</t>
  </si>
  <si>
    <t xml:space="preserve">OPT_TOUCH(150,0.3,0.05,0.05,5,0,120,"d","out","end","e")</t>
  </si>
  <si>
    <t xml:space="preserve">OPT_TOUCH(95,0.3,0.1,-0.02,2,70,130,"f","o","c","a")</t>
  </si>
  <si>
    <t xml:space="preserve">OPT_TOUCH(120,0.2,-0.01,0.02,2,70,130,"d","o","cont","price")</t>
  </si>
  <si>
    <t xml:space="preserve">OPT_TOUCH(100,0.3,0.1,0.05,0,90,0,"x","in","c","")</t>
  </si>
  <si>
    <t xml:space="preserve">OPT_TOUCH(60,0.3,0.1,0.02,5,95,105,"d","i","end","a")</t>
  </si>
  <si>
    <t xml:space="preserve">OPT_TOUCH(150,0.3,0.05,-0.02,0,70,130,"d","in","e","value")</t>
  </si>
  <si>
    <t xml:space="preserve">OPT_TOUCH(95,0.05,0.02,0.05,0,85,115,"for","i","cont",1)</t>
  </si>
  <si>
    <t xml:space="preserve">OPT_TOUCH(150,0.2,0.02,0.02,2,70,130,"d","out","end","vega")</t>
  </si>
  <si>
    <t xml:space="preserve">OPT_TOUCH(95,0.5,0.0,0.02,0,0,120,"x","out","e",1)</t>
  </si>
  <si>
    <t xml:space="preserve">OPT_TOUCH(120,0.2,0.02,0.0,1,85,115,"d","out","end","")</t>
  </si>
  <si>
    <t xml:space="preserve">OPT_TOUCH(150,0.1,0.1,0.05,0.5,85,115,"for","out","e","f")</t>
  </si>
  <si>
    <t xml:space="preserve">OPT_TOUCH(60,0.05,-0.01,0.05,0,90,120,"d","in","e",1)</t>
  </si>
  <si>
    <t xml:space="preserve">OPT_TOUCH(100,0.3,0.1,0.05,0.5,90,0,"f","o","c","delta")</t>
  </si>
  <si>
    <t xml:space="preserve">OPT_TOUCH(120,0.05,-0.01,0.05,0.25,90,0,"for","out","end",1)</t>
  </si>
  <si>
    <t xml:space="preserve">OPT_TOUCH(80,0.3,0.1,0.05,0,95,105,"x","in","c","delta")</t>
  </si>
  <si>
    <t xml:space="preserve">OPT_TOUCH(150,0.05,0.0,0.0,0.5,0,120,"dom","in","c","rho")</t>
  </si>
  <si>
    <t xml:space="preserve">OPT_TOUCH(80,0.3,0.02,0.05,0.01,90,120,"dom","i","end","g")</t>
  </si>
  <si>
    <t xml:space="preserve">OPT_TOUCH(100,0.3,0.0,0.0,2,95,105,"d","out","end","a")</t>
  </si>
  <si>
    <t xml:space="preserve">OPT_TOUCH(120,0.3,0.1,0.05,2,0,120,"x","in","cont",1)</t>
  </si>
  <si>
    <t xml:space="preserve">OPT_TOUCH(95,0.05,0.0,-0.02,0.01,120,90,"f","i","end","x")</t>
  </si>
  <si>
    <t xml:space="preserve">OPT_TOUCH(100.5,0.05,0.05,0.05,0,90,0,"dom","in","end","e")</t>
  </si>
  <si>
    <t xml:space="preserve">OPT_TOUCH(100.5,0.05,0.02,0.02,0.25,85,115,"dom","o","c")</t>
  </si>
  <si>
    <t xml:space="preserve">OPT_TOUCH(80,0.3,0.02,0.0,0,0,120,"f","in","c","rhof")</t>
  </si>
  <si>
    <t xml:space="preserve">OPT_TOUCH(60,0.1,0.0,0.02,0.25,120,90,"d","out","cont")</t>
  </si>
  <si>
    <t xml:space="preserve">OPT_TOUCH(100.5,0.3,-0.01,0.0,1,0,120,"d","out","cont","vanna")</t>
  </si>
  <si>
    <t xml:space="preserve">OPT_TOUCH(60,0.3,0.05,0.02,5,70,130,"f","out","end","o")</t>
  </si>
  <si>
    <t xml:space="preserve">OPT_TOUCH(80,0.5,0.1,0.05,0,95,105,"x","in","c","g")</t>
  </si>
  <si>
    <t xml:space="preserve">OPT_TOUCH(60,0.2,0.02,0.0,0.5,95,105,"for","in","end",TRUE)</t>
  </si>
  <si>
    <t xml:space="preserve">OPT_TOUCH(150,0.2,0.05,0.05,0.25,0,120,"for","i","c","delta")</t>
  </si>
  <si>
    <t xml:space="preserve">OPT_TOUCH(150,0.2,0.1,-0.02,1,120,90,"d","o","cont","price")</t>
  </si>
  <si>
    <t xml:space="preserve">OPT_TOUCH(100,0.2,0.05,0.05,1,120,90,"x","i","c",TRUE)</t>
  </si>
  <si>
    <t xml:space="preserve">OPT_TOUCH(100,0.05,-0.01,0.05,1,90,0,"d","o","cont","a")</t>
  </si>
  <si>
    <t xml:space="preserve">OPT_TOUCH(95,0.2,0.05,0.0,1,70,130,"f","in","end","rho")</t>
  </si>
  <si>
    <t xml:space="preserve">OPT_TOUCH(80,0.2,-0.01,0.0,0.25,0,120,"for","o","cont",1)</t>
  </si>
  <si>
    <t xml:space="preserve">OPT_TOUCH(60,0.5,0.02,0.05,2,90,0,"d","i","end","")</t>
  </si>
  <si>
    <t xml:space="preserve">OPT_TOUCH(95,0.3,0.1,0.02,5,0,120,"dom","out","end","f")</t>
  </si>
  <si>
    <t xml:space="preserve">OPT_TOUCH(80,0.1,0.02,0.02,0.5,95,105,"d","i","c","theta")</t>
  </si>
  <si>
    <t xml:space="preserve">OPT_TOUCH(60,0.3,0.05,0.05,0.01,70,130,"x","in","end","vega")</t>
  </si>
  <si>
    <t xml:space="preserve">OPT_TOUCH(60,0.5,0.0,0.05,5,90,0,"f","in","cont","volga")</t>
  </si>
  <si>
    <t xml:space="preserve">OPT_TOUCH(150,0.05,0.02,0.05,5,85,115,"for","i","end","f")</t>
  </si>
  <si>
    <t xml:space="preserve">OPT_TOUCH(80,0.05,0.1,0.0,1,85,115,"dom","in","end","vanna")</t>
  </si>
  <si>
    <t xml:space="preserve">OPT_TOUCH(150,0.5,0.0,0.05,0,0,120,"x","in","end","gamma")</t>
  </si>
  <si>
    <t xml:space="preserve">OPT_TOUCH(120,0.1,0.02,0.05,0.01,0,120,"d","in","end","gamma")</t>
  </si>
  <si>
    <t xml:space="preserve">OPT_TOUCH(95,0.5,0.0,-0.02,0.5,90,0,"for","o","cont",TRUE)</t>
  </si>
  <si>
    <t xml:space="preserve">OPT_TOUCH(100.5,0.2,0.1,0.0,0.01,120,90,"f","in","cont",1)</t>
  </si>
  <si>
    <t xml:space="preserve">OPT_TOUCH(80,0.5,0.02,0.05,0,95,105,"f","i","c","")</t>
  </si>
  <si>
    <t xml:space="preserve">OPT_TOUCH(60,0.2,0.02,0.0,0,0,0,"d","in","c","value")</t>
  </si>
  <si>
    <t xml:space="preserve">OPT_TOUCH(120,0.2,-0.01,0.02,0.25,120,90,"x","out","cont","x")</t>
  </si>
  <si>
    <t xml:space="preserve">OPT_TOUCH(95,0.3,0.05,0.0,5,70,130,"dom","out","e","")</t>
  </si>
  <si>
    <t xml:space="preserve">OPT_TOUCH(150,0.1,0.1,-0.02,0.25,70,130,"f","o","cont","f")</t>
  </si>
  <si>
    <t xml:space="preserve">OPT_TOUCH(80,0.5,0.1,0.05,5,70,130,"f","i","cont","volga")</t>
  </si>
  <si>
    <t xml:space="preserve">OPT_TOUCH(95,0.05,-0.01,-0.02,0,0,120,"d","in","end","price")</t>
  </si>
  <si>
    <t xml:space="preserve">OPT_TOUCH(60,0.5,0.0,0.05,0.25,95,105,"x","in","end","rho")</t>
  </si>
  <si>
    <t xml:space="preserve">OPT_TOUCH(100,0.1,0.05,0.02,2,120,90,"dom","in","cont","delta")</t>
  </si>
  <si>
    <t xml:space="preserve">OPT_TOUCH(100.5,0.05,0.02,-0.02,2,90,0,"for","o","c","o")</t>
  </si>
  <si>
    <t xml:space="preserve">OPT_TOUCH(80,0.5,0.02,0.0,5,95,105,"for","i","cont","x")</t>
  </si>
  <si>
    <t xml:space="preserve">OPT_TOUCH(100.5,0.1,-0.01,-0.02,1,0,120,"for","out","cont","rho")</t>
  </si>
  <si>
    <t xml:space="preserve">OPT_TOUCH(100.5,0.2,0.0,0.0,0.01,120,90,"x","i","cont","gamma")</t>
  </si>
  <si>
    <t xml:space="preserve">OPT_TOUCH(60,0.3,0.0,0.02,0.01,90,120,"d","in","cont","")</t>
  </si>
  <si>
    <t xml:space="preserve">OPT_TOUCH(100,0.05,-0.01,0.0,0,120,90,"f","o","end","theta")</t>
  </si>
  <si>
    <t xml:space="preserve">OPT_TOUCH(100,0.1,0.05,-0.02,0.25,0,0,"dom","o","c",TRUE)</t>
  </si>
  <si>
    <t xml:space="preserve">OPT_TOUCH(100.5,0.2,-0.01,0.0,0.5,90,0,"dom","i","cont","d")</t>
  </si>
  <si>
    <t xml:space="preserve">OPT_TOUCH(100.5,0.2,0.05,0.0,2,120,90,"f","i","c","value")</t>
  </si>
  <si>
    <t xml:space="preserve">OPT_TOUCH(120,0.5,0.02,0.02,5,90,120,"for","out","c","o")</t>
  </si>
  <si>
    <t xml:space="preserve">OPT_TOUCH(100.5,0.05,0.1,0.0,0.25,0,120,"x","out","end","rho")</t>
  </si>
  <si>
    <t xml:space="preserve">OPT_TOUCH(95,0.3,0.05,0.0,0.25,90,0,"x","out","e","d")</t>
  </si>
  <si>
    <t xml:space="preserve">OPT_TOUCH(100.5,0.3,0.02,-0.02,0.25,70,130,"d","o","c")</t>
  </si>
  <si>
    <t xml:space="preserve">OPT_TOUCH(120,0.5,-0.01,0.02,0.01,0,120,"d","i","end","rho")</t>
  </si>
  <si>
    <t xml:space="preserve">OPT_TOUCH(100,0.2,0.1,0.02,0.25,90,0,"for","o","e","d")</t>
  </si>
  <si>
    <t xml:space="preserve">OPT_TOUCH(100,0.05,0.02,0.0,5,90,0,"d","in","e")</t>
  </si>
  <si>
    <t xml:space="preserve">OPT_TOUCH(95,0.05,0.1,0.02,1,0,120,"x","out","end","o")</t>
  </si>
  <si>
    <t xml:space="preserve">OPT_TOUCH(100,0.2,0.1,0.05,0,0,0,"x","o","end","g")</t>
  </si>
  <si>
    <t xml:space="preserve">OPT_TOUCH(100,0.05,0.02,0.05,0,95,105,"f","in","e","rhof")</t>
  </si>
  <si>
    <t xml:space="preserve">OPT_TOUCH(100,0.1,-0.01,0.0,0.5,70,130,"dom","i","c","rhof")</t>
  </si>
  <si>
    <t xml:space="preserve">OPT_TOUCH(95,0.5,0.02,0.02,0.01,90,120,"dom","out","cont","g")</t>
  </si>
  <si>
    <t xml:space="preserve">OPT_TOUCH(100.5,0.2,0.05,0.0,0,85,115,"dom","o","cont","vanna")</t>
  </si>
  <si>
    <t xml:space="preserve">OPT_TOUCH(120,0.05,0.05,0.05,2,0,120,"dom","i","end","value")</t>
  </si>
  <si>
    <t xml:space="preserve">OPT_TOUCH(150,0.5,0.02,0.0,5,0,120,"for","o","cont","vanna")</t>
  </si>
  <si>
    <t xml:space="preserve">OPT_TOUCH(60,0.05,0.05,0.02,0.25,120,90,"for","out","e","a")</t>
  </si>
  <si>
    <t xml:space="preserve">OPT_TOUCH(80,0.3,0.05,0.05,1,70,130,"for","out","c","value")</t>
  </si>
  <si>
    <t xml:space="preserve">OPT_TOUCH(150,0.05,0.02,0.02,0,0,0,"for","out","cont","gamma")</t>
  </si>
  <si>
    <t xml:space="preserve">OPT_TOUCH(120,0.05,-0.01,0.02,0,0,0,"x","out","end","vega")</t>
  </si>
  <si>
    <t xml:space="preserve">OPT_TOUCH(100,0.2,0.05,0.02,1,90,0,"for","out","c",TRUE)</t>
  </si>
  <si>
    <t xml:space="preserve">OPT_TOUCH(100.5,0.1,0.05,0.02,0.01,70,130,"dom","o","cont",TRUE)</t>
  </si>
  <si>
    <t xml:space="preserve">OPT_TOUCH(95,0.3,0.1,0.0,0.01,0,0,"f","in","cont","d")</t>
  </si>
  <si>
    <t xml:space="preserve">OPT_TOUCH(100,0.5,0.05,-0.02,5,70,130,"x","i","cont",1)</t>
  </si>
  <si>
    <t xml:space="preserve">OPT_TOUCH(150,0.05,0.1,0.05,0.5,120,90,"x","i","c","vega")</t>
  </si>
  <si>
    <t xml:space="preserve">OPT_TOUCH(95,0.3,0.02,0.02,2,90,0,"f","in","e","vega")</t>
  </si>
  <si>
    <t xml:space="preserve">OPT_TOUCH(150,0.2,0.05,-0.02,0.01,85,115,"x","out","end",TRUE)</t>
  </si>
  <si>
    <t xml:space="preserve">OPT_TOUCH(80,0.2,0.1,-0.02,1,120,90,"f","i","end","gamma")</t>
  </si>
  <si>
    <t xml:space="preserve">OPT_TOUCH(95,0.5,0.0,0.02,2,95,105,"for","out","e","value")</t>
  </si>
  <si>
    <t xml:space="preserve">OPT_TOUCH(60,0.1,0.02,-0.02,1,90,120,"for","o","cont","e")</t>
  </si>
  <si>
    <t xml:space="preserve">OPT_TOUCH(100.5,0.5,0.0,0.05,0.25,0,0,"d","o","cont","gamma")</t>
  </si>
  <si>
    <t xml:space="preserve">OPT_TOUCH(150,0.3,0.0,0.05,5,90,0,"f","out","end","a")</t>
  </si>
  <si>
    <t xml:space="preserve">OPT_TOUCH(120,0.2,0.02,0.05,0,70,130,"d","in","end","vega")</t>
  </si>
  <si>
    <t xml:space="preserve">OPT_TOUCH(95,0.05,0.0,-0.02,0.5,0,120,"for","o","e","delta")</t>
  </si>
  <si>
    <t xml:space="preserve">OPT_TOUCH(100.5,0.5,0.1,-0.02,0.01,70,130,"d","i","cont","x")</t>
  </si>
  <si>
    <t xml:space="preserve">OPT_TOUCH(100.5,0.1,0.05,0.05,5,120,90,"for","out","c","delta")</t>
  </si>
  <si>
    <t xml:space="preserve">OPT_TOUCH(100.5,0.2,0.02,0.05,2,120,90,"dom","i","cont","vega")</t>
  </si>
  <si>
    <t xml:space="preserve">OPT_TOUCH(100,0.5,0.1,0.0,0,90,0,"f","out","end","g")</t>
  </si>
  <si>
    <t xml:space="preserve">OPT_TOUCH(100.5,0.1,0.05,0.05,2,70,130,"d","out","e","rhof")</t>
  </si>
  <si>
    <t xml:space="preserve">OPT_TOUCH(80,0.5,0.02,0.02,0,120,90,"for","out","cont","value")</t>
  </si>
  <si>
    <t xml:space="preserve">OPT_TOUCH(120,0.2,0.05,-0.02,5,90,120,"d","i","end","g")</t>
  </si>
  <si>
    <t xml:space="preserve">OPT_TOUCH(150,0.1,0.02,0.0,0,95,105,"d","out","end","price")</t>
  </si>
  <si>
    <t xml:space="preserve">OPT_TOUCH(150,0.3,0.1,0.02,0.25,90,0,"dom","i","end",1)</t>
  </si>
  <si>
    <t xml:space="preserve">OPT_TOUCH(100,0.2,0.05,0.02,0.5,0,120,"for","in","end","rho")</t>
  </si>
  <si>
    <t xml:space="preserve">OPT_TOUCH(80,0.5,0.05,0.02,0.5,120,90,"f","out","c","a")</t>
  </si>
  <si>
    <t xml:space="preserve">OPT_TOUCH(100,0.2,0.05,0.02,0.25,70,130,"x","i","e","o")</t>
  </si>
  <si>
    <t xml:space="preserve">OPT_TOUCH(80,0.2,0.05,0.0,1,70,130,"for","o","e","gamma")</t>
  </si>
  <si>
    <t xml:space="preserve">OPT_TOUCH(100.5,0.2,0.1,0.05,1,70,130,"dom","in","e","d")</t>
  </si>
  <si>
    <t xml:space="preserve">OPT_TOUCH(150,0.1,0.02,0.0,0.01,90,120,"f","in","end","gamma")</t>
  </si>
  <si>
    <t xml:space="preserve">OPT_TOUCH(100,0.1,0.0,0.0,2,90,0,"x","o","end","a")</t>
  </si>
  <si>
    <t xml:space="preserve">OPT_TOUCH(80,0.05,0.05,0.05,0.01,90,0,"f","o","e","vanna")</t>
  </si>
  <si>
    <t xml:space="preserve">OPT_TOUCH(95,0.3,0.1,0.0,0.5,90,0,"f","in","end","e")</t>
  </si>
  <si>
    <t xml:space="preserve">OPT_TOUCH(150,0.1,0.1,0.05,1,0,0,"x","i","cont",1)</t>
  </si>
  <si>
    <t xml:space="preserve">OPT_TOUCH(100.5,0.2,0.02,0.0,0.5,90,0,"x","i","c","d")</t>
  </si>
  <si>
    <t xml:space="preserve">OPT_TOUCH(60,0.3,-0.01,-0.02,0.01,120,90,"x","o","cont","delta")</t>
  </si>
  <si>
    <t xml:space="preserve">OPT_TOUCH(95,0.3,-0.01,-0.02,0,0,120,"f","o","cont","x")</t>
  </si>
  <si>
    <t xml:space="preserve">OPT_TOUCH(80,0.05,0.0,0.02,0.5,0,120,"x","o","e","value")</t>
  </si>
  <si>
    <t xml:space="preserve">OPT_TOUCH(100,0.5,0.02,-0.02,0.25,85,115,"f","in","end","e")</t>
  </si>
  <si>
    <t xml:space="preserve">OPT_TOUCH(100,0.1,0.0,0.0,1,90,120,"x","i","e","f")</t>
  </si>
  <si>
    <t xml:space="preserve">OPT_TOUCH(120,0.3,0.0,0.02,0.25,90,120,"f","in","cont","")</t>
  </si>
  <si>
    <t xml:space="preserve">OPT_TOUCH(100,0.05,0.1,0.0,0,120,90,"for","out","cont","rhof")</t>
  </si>
  <si>
    <t xml:space="preserve">OPT_TOUCH(100.5,0.1,0.02,0.0,0.25,0,120,"x","in","cont","e")</t>
  </si>
  <si>
    <t xml:space="preserve">OPT_TOUCH(80,0.1,0.1,0.0,0.25,120,90,"d","i","e","vanna")</t>
  </si>
  <si>
    <t xml:space="preserve">OPT_TOUCH(100.5,0.5,0.02,-0.02,5,90,120,"d","o","e","value")</t>
  </si>
  <si>
    <t xml:space="preserve">OPT_TOUCH(95,0.1,-0.01,0.05,0,90,120,"f","o","c","d")</t>
  </si>
  <si>
    <t xml:space="preserve">OPT_TOUCH(120,0.1,0.05,-0.02,0.5,85,115,"d","out","end",TRUE)</t>
  </si>
  <si>
    <t xml:space="preserve">OPT_TOUCH(60,0.2,-0.01,0.05,0.01,120,90,"f","out","c")</t>
  </si>
  <si>
    <t xml:space="preserve">OPT_TOUCH(150,0.1,0.1,0.05,0.5,90,0,"x","in","end","gamma")</t>
  </si>
  <si>
    <t xml:space="preserve">OPT_TOUCH(95,0.05,-0.01,-0.02,0.25,70,130,"d","out","cont","o")</t>
  </si>
  <si>
    <t xml:space="preserve">OPT_TOUCH(100.5,0.5,0.05,0.05,5,0,0,"for","in","c","")</t>
  </si>
  <si>
    <t xml:space="preserve">OPT_TOUCH(100.5,0.3,0.1,0.02,0.01,90,120,"x","in","e","vanna")</t>
  </si>
  <si>
    <t xml:space="preserve">OPT_TOUCH(100,0.3,0.05,-0.02,2,0,0,"d","in","c",TRUE)</t>
  </si>
  <si>
    <t xml:space="preserve">OPT_TOUCH(95,0.1,0.05,-0.02,0,0,0,"for","i","cont","x")</t>
  </si>
  <si>
    <t xml:space="preserve">OPT_TOUCH(60,0.2,0.02,0.0,1,120,90,"for","in","end","vanna")</t>
  </si>
  <si>
    <t xml:space="preserve">OPT_TOUCH(95,0.1,0.1,0.05,2,90,120,"d","in","e","o")</t>
  </si>
  <si>
    <t xml:space="preserve">OPT_TOUCH(60,0.2,0.1,-0.02,1,90,0,"d","in","end","volga")</t>
  </si>
  <si>
    <t xml:space="preserve">OPT_TOUCH(95,0.5,0.1,0.02,0,85,115,"for","in","c","price")</t>
  </si>
  <si>
    <t xml:space="preserve">OPT_TOUCH(60,0.2,0.05,-0.02,0.01,0,0,"d","in","cont","theta")</t>
  </si>
  <si>
    <t xml:space="preserve">OPT_TOUCH(95,0.5,0.02,-0.02,0.5,90,120,"for","i","end","x")</t>
  </si>
  <si>
    <t xml:space="preserve">OPT_TOUCH(120,0.2,0.1,-0.02,1,0,120,"for","i","cont","theta")</t>
  </si>
  <si>
    <t xml:space="preserve">OPT_TOUCH(120,0.3,0.02,0.05,2,90,120,"dom","i","end","x")</t>
  </si>
  <si>
    <t xml:space="preserve">OPT_TOUCH(120,0.05,0.05,0.05,0.01,0,0,"for","o","cont","vanna")</t>
  </si>
  <si>
    <t xml:space="preserve">OPT_TOUCH(100.5,0.2,0.0,0.0,0.25,70,130,"x","out","e","vega")</t>
  </si>
  <si>
    <t xml:space="preserve">OPT_TOUCH(150,0.05,-0.01,0.02,0,90,0,"d","i","cont",1)</t>
  </si>
  <si>
    <t xml:space="preserve">OPT_TOUCH(150,0.5,0.0,0.02,0,95,105,"d","out","cont","e")</t>
  </si>
  <si>
    <t xml:space="preserve">OPT_TOUCH(100,0.05,0.1,-0.02,5,85,115,"x","i","cont","delta")</t>
  </si>
  <si>
    <t xml:space="preserve">OPT_TOUCH(120,0.05,0.02,-0.02,0,90,120,"f","in","c","")</t>
  </si>
  <si>
    <t xml:space="preserve">OPT_TOUCH(80,0.1,0.02,0.02,2,70,130,"x","out","c",1)</t>
  </si>
  <si>
    <t xml:space="preserve">OPT_TOUCH(150,0.05,0.02,0.0,2,85,115,"for","out","cont","o")</t>
  </si>
  <si>
    <t xml:space="preserve">OPT_TOUCH(60,0.1,0.05,0.02,0.01,70,130,"for","i","cont","")</t>
  </si>
  <si>
    <t xml:space="preserve">OPT_TOUCH(100.5,0.3,0.02,0.02,0.25,70,130,"f","i","e","value")</t>
  </si>
  <si>
    <t xml:space="preserve">OPT_TOUCH(100,0.5,-0.01,0.05,0.5,70,130,"d","o","cont","gamma")</t>
  </si>
  <si>
    <t xml:space="preserve">OPT_TOUCH(100,0.2,0.05,-0.02,0.01,85,115,"d","o","end","g")</t>
  </si>
  <si>
    <t xml:space="preserve">OPT_TOUCH(80,0.1,0.1,-0.02,2,95,105,"dom","o","cont")</t>
  </si>
  <si>
    <t xml:space="preserve">OPT_TOUCH(120,0.1,0.02,0.02,5,0,0,"x","in","c","rho")</t>
  </si>
  <si>
    <t xml:space="preserve">OPT_TOUCH(100,0.05,0.05,0.0,2,95,105,"for","o","c","a")</t>
  </si>
  <si>
    <t xml:space="preserve">OPT_TOUCH(100,0.3,0.05,-0.02,0,95,105,"x","in","end","")</t>
  </si>
  <si>
    <t xml:space="preserve">OPT_TOUCH(150,0.1,-0.01,-0.02,0.01,120,90,"d","o","c","o")</t>
  </si>
  <si>
    <t xml:space="preserve">OPT_TOUCH(60,0.1,0.05,0.0,5,0,0,"dom","o","e","d")</t>
  </si>
  <si>
    <t xml:space="preserve">OPT_TOUCH(100,0.2,0.05,0.05,5,95,105,"x","o","cont")</t>
  </si>
  <si>
    <t xml:space="preserve">OPT_TOUCH(100.5,0.5,0.1,0.0,1,90,120,"d","i","cont","g")</t>
  </si>
  <si>
    <t xml:space="preserve">OPT_TOUCH(80,0.2,0.1,0.05,0,0,0,"for","out","c","d")</t>
  </si>
  <si>
    <t xml:space="preserve">OPT_TOUCH(100.5,0.05,0.02,0.05,2,90,0,"d","in","c","volga")</t>
  </si>
  <si>
    <t xml:space="preserve">OPT_TOUCH(150,0.2,0.1,-0.02,1,70,130,"f","o","cont","rhof")</t>
  </si>
  <si>
    <t xml:space="preserve">OPT_TOUCH(150,0.05,0.0,0.05,0.01,70,130,"for","in","c","rhof")</t>
  </si>
  <si>
    <t xml:space="preserve">OPT_TOUCH(100.5,0.2,-0.01,-0.02,1,90,0,"dom","i","e","rho")</t>
  </si>
  <si>
    <t xml:space="preserve">OPT_TOUCH(95,0.1,0.05,0.05,0.01,70,130,"f","out","end","x")</t>
  </si>
  <si>
    <t xml:space="preserve">OPT_TOUCH(95,0.5,-0.01,0.02,0.25,90,0,"d","in","end","e")</t>
  </si>
  <si>
    <t xml:space="preserve">OPT_TOUCH(150,0.05,0.02,0.02,0.5,95,105,"for","o","cont","volga")</t>
  </si>
  <si>
    <t xml:space="preserve">OPT_TOUCH(100.5,0.3,0.1,-0.02,0.01,70,130,"x","out","e","a")</t>
  </si>
  <si>
    <t xml:space="preserve">OPT_TOUCH(95,0.3,0.02,0.0,1,70,130,"dom","i","end",1)</t>
  </si>
  <si>
    <t xml:space="preserve">OPT_TOUCH(120,0.5,0.0,0.05,0,0,120,"f","i","cont","g")</t>
  </si>
  <si>
    <t xml:space="preserve">OPT_TOUCH(120,0.3,0.05,0.0,0.01,0,120,"d","in","cont","value")</t>
  </si>
  <si>
    <t xml:space="preserve">OPT_TOUCH(60,0.5,0.0,0.02,0.5,90,120,"d","in","c","a")</t>
  </si>
  <si>
    <t xml:space="preserve">OPT_TOUCH(100,0.3,0.02,0.0,5,0,120,"dom","in","c","o")</t>
  </si>
  <si>
    <t xml:space="preserve">OPT_TOUCH(100.5,0.05,0.1,0.0,0.25,70,130,"f","out","cont","vega")</t>
  </si>
  <si>
    <t xml:space="preserve">OPT_TOUCH(100.5,0.1,-0.01,0.02,5,90,0,"for","o","c","price")</t>
  </si>
  <si>
    <t xml:space="preserve">OPT_TOUCH(120,0.5,0.0,0.0,0,95,105,"x","out","e","price")</t>
  </si>
  <si>
    <t xml:space="preserve">OPT_TOUCH(100.5,0.2,0.02,0.05,5,0,120,"x","i","c","gamma")</t>
  </si>
  <si>
    <t xml:space="preserve">OPT_TOUCH(150,0.1,-0.01,0.02,0.01,70,130,"d","o","cont","value")</t>
  </si>
  <si>
    <t xml:space="preserve">OPT_TOUCH(100,0.5,-0.01,0.05,0.5,120,90,"dom","out","cont","f")</t>
  </si>
  <si>
    <t xml:space="preserve">OPT_TOUCH(80,0.3,0.02,0.05,5,120,90,"dom","o","end","g")</t>
  </si>
  <si>
    <t xml:space="preserve">OPT_TOUCH(80,0.05,0.02,0.05,5,90,120,"x","out","c","price")</t>
  </si>
  <si>
    <t xml:space="preserve">OPT_TOUCH(100,0.1,0.02,-0.02,0.25,95,105,"dom","out","c","")</t>
  </si>
  <si>
    <t xml:space="preserve">OPT_TOUCH(120,0.3,0.1,-0.02,2,95,105,"for","i","end","a")</t>
  </si>
  <si>
    <t xml:space="preserve">OPT_TOUCH(150,0.1,0.1,-0.02,5,90,0,"dom","i","c","f")</t>
  </si>
  <si>
    <t xml:space="preserve">OPT_TOUCH(100,0.2,0.1,-0.02,0,95,105,"x","in","e","delta")</t>
  </si>
  <si>
    <t xml:space="preserve">OPT_TOUCH(60,0.5,0.1,0.0,1,120,90,"for","out","end","rho")</t>
  </si>
  <si>
    <t xml:space="preserve">OPT_TOUCH(100,0.05,0.0,0.0,2,90,120,"d","i","e","g")</t>
  </si>
  <si>
    <t xml:space="preserve">OPT_TOUCH(60,0.5,0.0,0.02,0.01,0,120,"f","out","e","rhof")</t>
  </si>
  <si>
    <t xml:space="preserve">OPT_TOUCH(100.5,0.5,-0.01,0.0,0.01,120,90,"dom","out","end","rho")</t>
  </si>
  <si>
    <t xml:space="preserve">OPT_TOUCH(120,0.5,0.05,0.02,2,120,90,"dom","i","e","value")</t>
  </si>
  <si>
    <t xml:space="preserve">OPT_TOUCH(150,0.05,0.05,0.05,0.5,90,120,"for","o","end","e")</t>
  </si>
  <si>
    <t xml:space="preserve">OPT_TOUCH(60,0.1,0.05,0.0,1,90,120,"for","in","e","d")</t>
  </si>
  <si>
    <t xml:space="preserve">OPT_TOUCH(100.5,0.2,0.05,0.02,1,0,0,"f","i","c","rhof")</t>
  </si>
  <si>
    <t xml:space="preserve">OPT_TOUCH(80,0.3,0.02,0.02,0,0,0,"x","out","e","rho")</t>
  </si>
  <si>
    <t xml:space="preserve">OPT_TOUCH(60,0.2,0.05,-0.02,0,85,115,"for","out","c","g")</t>
  </si>
  <si>
    <t xml:space="preserve">OPT_TOUCH(95,0.1,0.02,-0.02,0.5,70,130,"x","i","cont",TRUE)</t>
  </si>
  <si>
    <t xml:space="preserve">OPT_TOUCH(100,0.05,0.02,0.02,1,0,120,"for","out","c",TRUE)</t>
  </si>
  <si>
    <t xml:space="preserve">OPT_TOUCH(60,0.05,0.05,0.02,0.5,120,90,"d","in","end","o")</t>
  </si>
  <si>
    <t xml:space="preserve">OPT_TOUCH(60,0.5,0.02,-0.02,2,0,120,"f","out","e","a")</t>
  </si>
  <si>
    <t xml:space="preserve">OPT_TOUCH(120,0.1,0.1,0.02,5,90,120,"d","o","cont",TRUE)</t>
  </si>
  <si>
    <t xml:space="preserve">OPT_TOUCH(100,0.1,0.0,0.0,0.01,90,120,"dom","o","cont","e")</t>
  </si>
  <si>
    <t xml:space="preserve">OPT_TOUCH(100,0.05,-0.01,0.05,0.25,0,120,"for","in","e","d")</t>
  </si>
  <si>
    <t xml:space="preserve">OPT_TOUCH(120,0.2,0.0,0.0,1,85,115,"for","o","end","volga")</t>
  </si>
  <si>
    <t xml:space="preserve">OPT_TOUCH(95,0.2,0.0,0.0,2,85,115,"dom","o","cont","d")</t>
  </si>
  <si>
    <t xml:space="preserve">OPT_TOUCH(100.5,0.5,-0.01,0.0,0.01,85,115,"f","o","end","d")</t>
  </si>
  <si>
    <t xml:space="preserve">OPT_TOUCH(100.5,0.1,0.0,-0.02,0.01,70,130,"for","o","end",TRUE)</t>
  </si>
  <si>
    <t xml:space="preserve">OPT_TOUCH(100,0.2,0.02,-0.02,0,90,0,"d","o","cont","f")</t>
  </si>
  <si>
    <t xml:space="preserve">OPT_TOUCH(100.5,0.5,0.05,0.0,0.01,85,115,"f","i","e","")</t>
  </si>
  <si>
    <t xml:space="preserve">OPT_TOUCH(95,0.05,0.0,0.0,0,90,0,"dom","in","end","e")</t>
  </si>
  <si>
    <t xml:space="preserve">OPT_TOUCH(120,0.1,0.0,0.05,5,90,120,"d","o","end","value")</t>
  </si>
  <si>
    <t xml:space="preserve">OPT_TOUCH(60,0.05,-0.01,-0.02,1,90,120,"for","in","cont","rho")</t>
  </si>
  <si>
    <t xml:space="preserve">OPT_TOUCH(150,0.05,0.05,-0.02,1,120,90,"dom","i","end","g")</t>
  </si>
  <si>
    <t xml:space="preserve">OPT_TOUCH(80,0.3,0.02,0.0,0.5,120,90,"for","i","cont","d")</t>
  </si>
  <si>
    <t xml:space="preserve">OPT_TOUCH(150,0.5,0.0,0.02,0.25,90,0,"x","in","e","g")</t>
  </si>
  <si>
    <t xml:space="preserve">OPT_TOUCH(60,0.5,0.05,0.05,0.25,70,130,"d","o","cont",1)</t>
  </si>
  <si>
    <t xml:space="preserve">OPT_TOUCH(120,0.3,0.02,0.02,5,85,115,"d","i","c")</t>
  </si>
  <si>
    <t xml:space="preserve">OPT_TOUCH(150,0.1,0.0,-0.02,1,0,0,"f","in","end","vega")</t>
  </si>
  <si>
    <t xml:space="preserve">OPT_TOUCH(150,0.2,-0.01,0.05,0.5,85,115,"d","o","c","theta")</t>
  </si>
  <si>
    <t xml:space="preserve">OPT_TOUCH(100.5,0.3,0.02,0.0,0.25,0,120,"dom","in","e")</t>
  </si>
  <si>
    <t xml:space="preserve">OPT_TOUCH(100.5,0.2,-0.01,0.02,0.25,0,0,"d","i","c","o")</t>
  </si>
  <si>
    <t xml:space="preserve">OPT_TOUCH(100.5,0.05,0.1,-0.02,2,90,120,"f","out","end","theta")</t>
  </si>
  <si>
    <t xml:space="preserve">OPT_TOUCH(60,0.05,0.0,-0.02,0.5,90,120,"for","i","end","")</t>
  </si>
  <si>
    <t xml:space="preserve">OPT_TOUCH(100.5,0.3,0.0,0.0,5,90,0,"for","in","c","volga")</t>
  </si>
  <si>
    <t xml:space="preserve">OPT_TOUCH(80,0.2,-0.01,0.05,5,90,0,"d","o","cont","vega")</t>
  </si>
  <si>
    <t xml:space="preserve">OPT_TOUCH(120,0.2,0.02,0.02,0,0,0,"x","out","end","vanna")</t>
  </si>
  <si>
    <t xml:space="preserve">OPT_TOUCH(100,0.1,0.05,0.02,0,85,115,"x","i","end","gamma")</t>
  </si>
  <si>
    <t xml:space="preserve">OPT_TOUCH(60,0.3,0.0,0.02,0.01,120,90,"dom","in","cont","volga")</t>
  </si>
  <si>
    <t xml:space="preserve">OPT_PROB_HIT(120,0.3,0.1,0.5,0,120)</t>
  </si>
  <si>
    <t xml:space="preserve">OPT_PROB_INMONEY(120,0.3,0.1,0.5,0,120,,"p")</t>
  </si>
  <si>
    <t xml:space="preserve">OPT_PROB_HIT(150,0.3,-0.02,0,90,0)</t>
  </si>
  <si>
    <t xml:space="preserve">OPT_PROB_INMONEY(150,0.3,-0.02,0,90,0,"a","c")</t>
  </si>
  <si>
    <t xml:space="preserve">OPT_PROB_HIT(80,0.3,0.05,5,90,120)</t>
  </si>
  <si>
    <t xml:space="preserve">OPT_PROB_INMONEY(80,0.3,0.05,5,90,120,110,"")</t>
  </si>
  <si>
    <t xml:space="preserve">OPT_PROB_HIT(100,0.2,0.05,1,90,0)</t>
  </si>
  <si>
    <t xml:space="preserve">OPT_PROB_INMONEY(100,0.2,0.05,1,90,0,"a","p")</t>
  </si>
  <si>
    <t xml:space="preserve">OPT_PROB_HIT(80,0.5,-0.02,1,0,0)</t>
  </si>
  <si>
    <t xml:space="preserve">OPT_PROB_INMONEY(80,0.5,-0.02,1,0,0,,"p")</t>
  </si>
  <si>
    <t xml:space="preserve">OPT_PROB_HIT(100,0.1,0.0,0.5,0,0)</t>
  </si>
  <si>
    <t xml:space="preserve">OPT_PROB_INMONEY(100,0.1,0.0,0.5,0,0,TRUE,"c")</t>
  </si>
  <si>
    <t xml:space="preserve">OPT_PROB_HIT(60,0.3,0.0,0,90,120)</t>
  </si>
  <si>
    <t xml:space="preserve">OPT_PROB_INMONEY(60,0.3,0.0,0,90,120,"a","")</t>
  </si>
  <si>
    <t xml:space="preserve">OPT_PROB_HIT(120,0.2,-0.02,0.5,70,130)</t>
  </si>
  <si>
    <t xml:space="preserve">OPT_PROB_INMONEY(120,0.2,-0.02,0.5,70,130,TRUE,"call")</t>
  </si>
  <si>
    <t xml:space="preserve">OPT_PROB_HIT(95,0.3,0.0,5,120,90)</t>
  </si>
  <si>
    <t xml:space="preserve">OPT_PROB_INMONEY(95,0.3,0.0,5,120,90,,"")</t>
  </si>
  <si>
    <t xml:space="preserve">OPT_PROB_HIT(150,0.2,0.1,1,0,0)</t>
  </si>
  <si>
    <t xml:space="preserve">OPT_PROB_INMONEY(150,0.2,0.1,1,0,0,100,"call")</t>
  </si>
  <si>
    <t xml:space="preserve">OPT_PROB_HIT(80,0.1,0.0,0.5,85,115)</t>
  </si>
  <si>
    <t xml:space="preserve">OPT_PROB_INMONEY(80,0.1,0.0,0.5,85,115,90,1)</t>
  </si>
  <si>
    <t xml:space="preserve">OPT_PROB_HIT(100,0.3,-0.02,1,90,0)</t>
  </si>
  <si>
    <t xml:space="preserve">OPT_PROB_INMONEY(100,0.3,-0.02,1,90,0,100,"x")</t>
  </si>
  <si>
    <t xml:space="preserve">OPT_PROB_HIT(80,0.2,0.05,1,85,115)</t>
  </si>
  <si>
    <t xml:space="preserve">OPT_PROB_INMONEY(80,0.2,0.05,1,85,115,,1)</t>
  </si>
  <si>
    <t xml:space="preserve">OPT_PROB_HIT(95,0.2,0.05,5,0,0)</t>
  </si>
  <si>
    <t xml:space="preserve">OPT_PROB_INMONEY(95,0.2,0.05,5,0,0,0,"put")</t>
  </si>
  <si>
    <t xml:space="preserve">OPT_PROB_HIT(95,0.3,0.05,0.5,0,0)</t>
  </si>
  <si>
    <t xml:space="preserve">OPT_PROB_INMONEY(95,0.3,0.05,0.5,0,0,110,"x")</t>
  </si>
  <si>
    <t xml:space="preserve">OPT_PROB_HIT(60,0.3,-0.02,0,70,130)</t>
  </si>
  <si>
    <t xml:space="preserve">OPT_PROB_INMONEY(60,0.3,-0.02,0,70,130,110,"x")</t>
  </si>
  <si>
    <t xml:space="preserve">OPT_PROB_HIT(100,0.3,-0.02,2,0,0)</t>
  </si>
  <si>
    <t xml:space="preserve">OPT_PROB_INMONEY(100,0.3,-0.02,2,0,0,,1)</t>
  </si>
  <si>
    <t xml:space="preserve">OPT_PROB_HIT(120,0.5,0.0,0,0,0)</t>
  </si>
  <si>
    <t xml:space="preserve">OPT_PROB_INMONEY(120,0.5,0.0,0,0,0,100,"")</t>
  </si>
  <si>
    <t xml:space="preserve">OPT_PROB_HIT(150,0.2,0.05,0,70,130)</t>
  </si>
  <si>
    <t xml:space="preserve">OPT_PROB_INMONEY(150,0.2,0.05,0,70,130,90,1)</t>
  </si>
  <si>
    <t xml:space="preserve">OPT_PROB_HIT(120,0.1,0.05,0.5,0,0)</t>
  </si>
  <si>
    <t xml:space="preserve">OPT_PROB_INMONEY(120,0.1,0.05,0.5,0,0,-1,"put")</t>
  </si>
  <si>
    <t xml:space="preserve">OPT_PROB_HIT(60,0.2,0.05,0,70,130)</t>
  </si>
  <si>
    <t xml:space="preserve">OPT_PROB_INMONEY(60,0.2,0.05,0,70,130,,"p")</t>
  </si>
  <si>
    <t xml:space="preserve">OPT_PROB_HIT(80,0.3,0.05,5,120,90)</t>
  </si>
  <si>
    <t xml:space="preserve">OPT_PROB_INMONEY(80,0.3,0.05,5,120,90,80,"call")</t>
  </si>
  <si>
    <t xml:space="preserve">OPT_PROB_HIT(150,0.1,-0.02,0.5,90,120)</t>
  </si>
  <si>
    <t xml:space="preserve">OPT_PROB_INMONEY(150,0.1,-0.02,0.5,90,120,80,"put")</t>
  </si>
  <si>
    <t xml:space="preserve">OPT_PROB_HIT(100,0.5,0.1,5,120,90)</t>
  </si>
  <si>
    <t xml:space="preserve">OPT_PROB_INMONEY(100,0.5,0.1,5,120,90,90,"x")</t>
  </si>
  <si>
    <t xml:space="preserve">OPT_PROB_HIT(80,0.2,0.1,2,90,0)</t>
  </si>
  <si>
    <t xml:space="preserve">OPT_PROB_INMONEY(80,0.2,0.1,2,90,0,0,"c")</t>
  </si>
  <si>
    <t xml:space="preserve">OPT_PROB_HIT(120,0.5,0.1,0.5,0,0)</t>
  </si>
  <si>
    <t xml:space="preserve">OPT_PROB_INMONEY(120,0.5,0.1,0.5,0,0,"a","p")</t>
  </si>
  <si>
    <t xml:space="preserve">OPT_PROB_HIT(120,0.2,0.0,2,0,0)</t>
  </si>
  <si>
    <t xml:space="preserve">OPT_PROB_INMONEY(120,0.2,0.0,2,0,0,0)</t>
  </si>
  <si>
    <t xml:space="preserve">OPT_PROB_HIT(60,0.3,0.0,0.5,90,120)</t>
  </si>
  <si>
    <t xml:space="preserve">OPT_PROB_INMONEY(60,0.3,0.0,0.5,90,120,TRUE)</t>
  </si>
  <si>
    <t xml:space="preserve">OPT_PROB_HIT(150,0.3,-0.02,0.5,85,115)</t>
  </si>
  <si>
    <t xml:space="preserve">OPT_PROB_INMONEY(150,0.3,-0.02,0.5,85,115,100,1)</t>
  </si>
  <si>
    <t xml:space="preserve">OPT_PROB_HIT(120,0.2,-0.02,1,90,0)</t>
  </si>
  <si>
    <t xml:space="preserve">OPT_PROB_INMONEY(120,0.2,-0.02,1,90,0,90,"x")</t>
  </si>
  <si>
    <t xml:space="preserve">OPT_PROB_HIT(95,0.5,0.1,1,85,115)</t>
  </si>
  <si>
    <t xml:space="preserve">OPT_PROB_INMONEY(95,0.5,0.1,1,85,115,0)</t>
  </si>
  <si>
    <t xml:space="preserve">OPT_PROB_HIT(95,0.2,-0.02,0.5,0,120)</t>
  </si>
  <si>
    <t xml:space="preserve">OPT_PROB_INMONEY(95,0.2,-0.02,0.5,0,120,-1,"p")</t>
  </si>
  <si>
    <t xml:space="preserve">OPT_PROB_HIT(100,0.2,0.05,2,0,120)</t>
  </si>
  <si>
    <t xml:space="preserve">OPT_PROB_INMONEY(100,0.2,0.05,2,0,120,TRUE,"p")</t>
  </si>
  <si>
    <t xml:space="preserve">OPT_PROB_HIT(95,0.1,0.05,0.5,90,120)</t>
  </si>
  <si>
    <t xml:space="preserve">OPT_PROB_INMONEY(95,0.1,0.05,0.5,90,120,110)</t>
  </si>
  <si>
    <t xml:space="preserve">OPT_PROB_HIT(95,0.5,0.05,5,70,130)</t>
  </si>
  <si>
    <t xml:space="preserve">OPT_PROB_INMONEY(95,0.5,0.05,5,70,130,-1,"")</t>
  </si>
  <si>
    <t xml:space="preserve">OPT_PROB_HIT(100,0.5,0.1,5,70,130)</t>
  </si>
  <si>
    <t xml:space="preserve">OPT_PROB_INMONEY(100,0.5,0.1,5,70,130,100)</t>
  </si>
  <si>
    <t xml:space="preserve">OPT_PROB_HIT(60,0.2,-0.02,0.5,70,130)</t>
  </si>
  <si>
    <t xml:space="preserve">OPT_PROB_INMONEY(60,0.2,-0.02,0.5,70,130,"a","x")</t>
  </si>
  <si>
    <t xml:space="preserve">OPT_PROB_HIT(100,0.3,-0.02,0,85,115)</t>
  </si>
  <si>
    <t xml:space="preserve">OPT_PROB_INMONEY(100,0.3,-0.02,0,85,115,,1)</t>
  </si>
  <si>
    <t xml:space="preserve">OPT_PROB_HIT(100,0.1,0.05,1,85,115)</t>
  </si>
  <si>
    <t xml:space="preserve">OPT_PROB_INMONEY(100,0.1,0.05,1,85,115,"a",1)</t>
  </si>
  <si>
    <t xml:space="preserve">OPT_PROB_HIT(95,0.3,0.1,2,0,120)</t>
  </si>
  <si>
    <t xml:space="preserve">OPT_PROB_INMONEY(95,0.3,0.1,2,0,120,0,1)</t>
  </si>
  <si>
    <t xml:space="preserve">OPT_PROB_HIT(150,0.2,0.05,0.25,70,130)</t>
  </si>
  <si>
    <t xml:space="preserve">OPT_PROB_INMONEY(150,0.2,0.05,0.25,70,130,"a","x")</t>
  </si>
  <si>
    <t xml:space="preserve">OPT_PROB_HIT(95,0.2,0.1,0,70,130)</t>
  </si>
  <si>
    <t xml:space="preserve">OPT_PROB_INMONEY(95,0.2,0.1,0,70,130,TRUE,"p")</t>
  </si>
  <si>
    <t xml:space="preserve">OPT_PROB_HIT(150,0.2,0.0,0.25,70,130)</t>
  </si>
  <si>
    <t xml:space="preserve">OPT_PROB_INMONEY(150,0.2,0.0,0.25,70,130,"a",1)</t>
  </si>
  <si>
    <t xml:space="preserve">OPT_PROB_HIT(120,0.1,-0.02,0,90,0)</t>
  </si>
  <si>
    <t xml:space="preserve">OPT_PROB_INMONEY(120,0.1,-0.02,0,90,0,TRUE,1)</t>
  </si>
  <si>
    <t xml:space="preserve">OPT_PROB_HIT(100,0.5,0.05,1,0,120)</t>
  </si>
  <si>
    <t xml:space="preserve">OPT_PROB_INMONEY(100,0.5,0.05,1,0,120,,"put")</t>
  </si>
  <si>
    <t xml:space="preserve">OPT_PROB_HIT(80,0.2,-0.02,1,85,115)</t>
  </si>
  <si>
    <t xml:space="preserve">OPT_PROB_INMONEY(80,0.2,-0.02,1,85,115,0,"")</t>
  </si>
  <si>
    <t xml:space="preserve">OPT_PROB_HIT(80,0.3,0.1,5,70,130)</t>
  </si>
  <si>
    <t xml:space="preserve">OPT_PROB_INMONEY(80,0.3,0.1,5,70,130,,"")</t>
  </si>
  <si>
    <t xml:space="preserve">OPT_PROB_HIT(95,0.3,0.05,2,90,0)</t>
  </si>
  <si>
    <t xml:space="preserve">OPT_PROB_INMONEY(95,0.3,0.05,2,90,0,"a",1)</t>
  </si>
  <si>
    <t xml:space="preserve">OPT_PROB_HIT(100,0.3,0.0,5,70,130)</t>
  </si>
  <si>
    <t xml:space="preserve">OPT_PROB_INMONEY(100,0.3,0.0,5,70,130,110)</t>
  </si>
  <si>
    <t xml:space="preserve">OPT_PROB_HIT(100,0.5,0.1,2,0,120)</t>
  </si>
  <si>
    <t xml:space="preserve">OPT_PROB_INMONEY(100,0.5,0.1,2,0,120,,1)</t>
  </si>
  <si>
    <t xml:space="preserve">OPT_PROB_HIT(120,0.3,0.05,2,70,130)</t>
  </si>
  <si>
    <t xml:space="preserve">OPT_PROB_INMONEY(120,0.3,0.05,2,70,130,,"")</t>
  </si>
  <si>
    <t xml:space="preserve">OPT_PROB_HIT(60,0.2,0.0,0.5,0,120)</t>
  </si>
  <si>
    <t xml:space="preserve">OPT_PROB_INMONEY(60,0.2,0.0,0.5,0,120,0,"put")</t>
  </si>
  <si>
    <t xml:space="preserve">OPT_PROB_HIT(150,0.5,0.05,0.5,70,130)</t>
  </si>
  <si>
    <t xml:space="preserve">OPT_PROB_INMONEY(150,0.5,0.05,0.5,70,130,90,"p")</t>
  </si>
  <si>
    <t xml:space="preserve">OPT_PROB_HIT(120,0.3,0.1,2,70,130)</t>
  </si>
  <si>
    <t xml:space="preserve">OPT_PROB_INMONEY(120,0.3,0.1,2,70,130,,1)</t>
  </si>
  <si>
    <t xml:space="preserve">OPT_PROB_HIT(120,0.3,0.0,0.25,0,0)</t>
  </si>
  <si>
    <t xml:space="preserve">OPT_PROB_INMONEY(120,0.3,0.0,0.25,0,0,,1)</t>
  </si>
  <si>
    <t xml:space="preserve">OPT_PROB_HIT(100,0.3,-0.02,0.5,90,120)</t>
  </si>
  <si>
    <t xml:space="preserve">OPT_PROB_INMONEY(100,0.3,-0.02,0.5,90,120,"a")</t>
  </si>
  <si>
    <t xml:space="preserve">OPT_PROB_HIT(80,0.1,0.1,1,85,115)</t>
  </si>
  <si>
    <t xml:space="preserve">OPT_PROB_INMONEY(80,0.1,0.1,1,85,115,"a","call")</t>
  </si>
  <si>
    <t xml:space="preserve">OPT_PROB_HIT(120,0.3,0.1,2,0,0)</t>
  </si>
  <si>
    <t xml:space="preserve">OPT_PROB_INMONEY(120,0.3,0.1,2,0,0,100,"put")</t>
  </si>
  <si>
    <t xml:space="preserve">OPT_PROB_HIT(120,0.2,0.05,0.5,70,130)</t>
  </si>
  <si>
    <t xml:space="preserve">OPT_PROB_INMONEY(120,0.2,0.05,0.5,70,130,TRUE)</t>
  </si>
  <si>
    <t xml:space="preserve">OPT_PROB_HIT(150,0.5,0.1,1,0,120)</t>
  </si>
  <si>
    <t xml:space="preserve">OPT_PROB_INMONEY(150,0.5,0.1,1,0,120,-1,"")</t>
  </si>
  <si>
    <t xml:space="preserve">OPT_PROB_HIT(150,0.2,0.0,0.5,90,120)</t>
  </si>
  <si>
    <t xml:space="preserve">OPT_PROB_INMONEY(150,0.2,0.0,0.5,90,120,"a",1)</t>
  </si>
  <si>
    <t xml:space="preserve">OPT_PROB_HIT(95,0.5,0.05,0,120,90)</t>
  </si>
  <si>
    <t xml:space="preserve">OPT_PROB_INMONEY(95,0.5,0.05,0,120,90,80,"c")</t>
  </si>
  <si>
    <t xml:space="preserve">OPT_PROB_HIT(80,0.3,0.1,1,0,0)</t>
  </si>
  <si>
    <t xml:space="preserve">OPT_PROB_INMONEY(80,0.3,0.1,1,0,0,"a","c")</t>
  </si>
  <si>
    <t xml:space="preserve">OPT_PROB_HIT(95,0.1,0.1,0,85,115)</t>
  </si>
  <si>
    <t xml:space="preserve">OPT_PROB_INMONEY(95,0.1,0.1,0,85,115,0)</t>
  </si>
  <si>
    <t xml:space="preserve">OPT_PROB_HIT(95,0.3,0.1,1,0,0)</t>
  </si>
  <si>
    <t xml:space="preserve">OPT_PROB_INMONEY(95,0.3,0.1,1,0,0,-1,"call")</t>
  </si>
  <si>
    <t xml:space="preserve">OPT_PROB_HIT(150,0.1,0.05,0.25,120,90)</t>
  </si>
  <si>
    <t xml:space="preserve">OPT_PROB_INMONEY(150,0.1,0.05,0.25,120,90,,"p")</t>
  </si>
  <si>
    <t xml:space="preserve">OPT_PROB_HIT(100,0.5,-0.02,0.25,90,0)</t>
  </si>
  <si>
    <t xml:space="preserve">OPT_PROB_INMONEY(100,0.5,-0.02,0.25,90,0,100,"c")</t>
  </si>
  <si>
    <t xml:space="preserve">OPT_PROB_HIT(80,0.3,0.1,5,85,115)</t>
  </si>
  <si>
    <t xml:space="preserve">OPT_PROB_INMONEY(80,0.3,0.1,5,85,115,110,"x")</t>
  </si>
  <si>
    <t xml:space="preserve">OPT_PROB_HIT(120,0.2,0.1,0.5,0,120)</t>
  </si>
  <si>
    <t xml:space="preserve">OPT_PROB_INMONEY(120,0.2,0.1,0.5,0,120,"a","c")</t>
  </si>
  <si>
    <t xml:space="preserve">OPT_PROB_HIT(60,0.3,0.05,0,0,0)</t>
  </si>
  <si>
    <t xml:space="preserve">OPT_PROB_INMONEY(60,0.3,0.05,0,0,0,,"put")</t>
  </si>
  <si>
    <t xml:space="preserve">OPT_PROB_HIT(120,0.5,0.1,1,120,90)</t>
  </si>
  <si>
    <t xml:space="preserve">OPT_PROB_INMONEY(120,0.5,0.1,1,120,90,,"c")</t>
  </si>
  <si>
    <t xml:space="preserve">OPT_PROB_HIT(95,0.5,0.1,5,90,120)</t>
  </si>
  <si>
    <t xml:space="preserve">OPT_PROB_INMONEY(95,0.5,0.1,5,90,120,TRUE,1)</t>
  </si>
  <si>
    <t xml:space="preserve">OPT_PROB_HIT(150,0.1,0.0,5,120,90)</t>
  </si>
  <si>
    <t xml:space="preserve">OPT_PROB_INMONEY(150,0.1,0.0,5,120,90,TRUE,"")</t>
  </si>
  <si>
    <t xml:space="preserve">OPT_PROB_HIT(60,0.3,-0.02,0.25,120,90)</t>
  </si>
  <si>
    <t xml:space="preserve">OPT_PROB_INMONEY(60,0.3,-0.02,0.25,120,90,"a","put")</t>
  </si>
  <si>
    <t xml:space="preserve">OPT_PROB_HIT(120,0.5,-0.02,2,120,90)</t>
  </si>
  <si>
    <t xml:space="preserve">OPT_PROB_INMONEY(120,0.5,-0.02,2,120,90,"a","x")</t>
  </si>
  <si>
    <t xml:space="preserve">OPT_PROB_HIT(95,0.3,0.1,0,90,0)</t>
  </si>
  <si>
    <t xml:space="preserve">OPT_PROB_INMONEY(95,0.3,0.1,0,90,0)</t>
  </si>
  <si>
    <t xml:space="preserve">OPT_PROB_HIT(80,0.1,0.1,0.25,90,0)</t>
  </si>
  <si>
    <t xml:space="preserve">OPT_PROB_INMONEY(80,0.1,0.1,0.25,90,0,110,"put")</t>
  </si>
  <si>
    <t xml:space="preserve">OPT_PROB_HIT(60,0.5,0.0,2,70,130)</t>
  </si>
  <si>
    <t xml:space="preserve">OPT_PROB_INMONEY(60,0.5,0.0,2,70,130,110,"c")</t>
  </si>
  <si>
    <t xml:space="preserve">OPT_PROB_HIT(100,0.2,-0.02,0,90,120)</t>
  </si>
  <si>
    <t xml:space="preserve">OPT_PROB_INMONEY(100,0.2,-0.02,0,90,120,"a")</t>
  </si>
  <si>
    <t xml:space="preserve">OPT_PROB_HIT(95,0.1,-0.02,0.25,90,0)</t>
  </si>
  <si>
    <t xml:space="preserve">OPT_PROB_INMONEY(95,0.1,-0.02,0.25,90,0,TRUE,"put")</t>
  </si>
  <si>
    <t xml:space="preserve">OPT_PROB_HIT(80,0.3,0.0,0.5,85,115)</t>
  </si>
  <si>
    <t xml:space="preserve">OPT_PROB_INMONEY(80,0.3,0.0,0.5,85,115,TRUE)</t>
  </si>
  <si>
    <t xml:space="preserve">OPT_PROB_HIT(100,0.1,-0.02,5,70,130)</t>
  </si>
  <si>
    <t xml:space="preserve">OPT_PROB_INMONEY(100,0.1,-0.02,5,70,130,0,"p")</t>
  </si>
  <si>
    <t xml:space="preserve">OPT_PROB_HIT(60,0.5,-0.02,1,120,90)</t>
  </si>
  <si>
    <t xml:space="preserve">OPT_PROB_INMONEY(60,0.5,-0.02,1,120,90,100,1)</t>
  </si>
  <si>
    <t xml:space="preserve">OPT_PROB_HIT(60,0.5,0.1,0,85,115)</t>
  </si>
  <si>
    <t xml:space="preserve">OPT_PROB_INMONEY(60,0.5,0.1,0,85,115,-1,"call")</t>
  </si>
  <si>
    <t xml:space="preserve">OPT_PROB_HIT(60,0.3,0.05,0.5,90,0)</t>
  </si>
  <si>
    <t xml:space="preserve">OPT_PROB_INMONEY(60,0.3,0.05,0.5,90,0,TRUE,"")</t>
  </si>
  <si>
    <t xml:space="preserve">OPT_PROB_HIT(80,0.3,0.05,0.25,90,0)</t>
  </si>
  <si>
    <t xml:space="preserve">OPT_PROB_INMONEY(80,0.3,0.05,0.25,90,0,110,"c")</t>
  </si>
  <si>
    <t xml:space="preserve">OPT_PROB_HIT(120,0.3,0.0,0.5,90,120)</t>
  </si>
  <si>
    <t xml:space="preserve">OPT_PROB_INMONEY(120,0.3,0.0,0.5,90,120,-1,"call")</t>
  </si>
  <si>
    <t xml:space="preserve">OPT_PROB_HIT(150,0.2,0.0,1,90,120)</t>
  </si>
  <si>
    <t xml:space="preserve">OPT_PROB_INMONEY(150,0.2,0.0,1,90,120,-1,"c")</t>
  </si>
  <si>
    <t xml:space="preserve">OPT_PROB_HIT(80,0.1,0.1,2,70,130)</t>
  </si>
  <si>
    <t xml:space="preserve">OPT_PROB_INMONEY(80,0.1,0.1,2,70,130,"a","x")</t>
  </si>
  <si>
    <t xml:space="preserve">OPT_PROB_HIT(120,0.1,0.0,0,90,0)</t>
  </si>
  <si>
    <t xml:space="preserve">OPT_PROB_INMONEY(120,0.1,0.0,0,90,0,TRUE,1)</t>
  </si>
  <si>
    <t xml:space="preserve">OPT_PROB_HIT(80,0.5,0.1,2,90,120)</t>
  </si>
  <si>
    <t xml:space="preserve">OPT_PROB_INMONEY(80,0.5,0.1,2,90,120,90,"p")</t>
  </si>
  <si>
    <t xml:space="preserve">OPT_PROB_INMONEY(60,0.2,-0.02,0.5,70,130,-1,"")</t>
  </si>
  <si>
    <t xml:space="preserve">OPT_PROB_HIT(150,0.5,0.0,0,85,115)</t>
  </si>
  <si>
    <t xml:space="preserve">OPT_PROB_INMONEY(150,0.5,0.0,0,85,115,TRUE,"")</t>
  </si>
  <si>
    <t xml:space="preserve">OPT_PROB_HIT(150,0.1,-0.02,0.25,120,90)</t>
  </si>
  <si>
    <t xml:space="preserve">OPT_PROB_INMONEY(150,0.1,-0.02,0.25,120,90,110)</t>
  </si>
  <si>
    <t xml:space="preserve">OPT_PROB_HIT(120,0.1,-0.02,1,90,0)</t>
  </si>
  <si>
    <t xml:space="preserve">OPT_PROB_INMONEY(120,0.1,-0.02,1,90,0,TRUE)</t>
  </si>
  <si>
    <t xml:space="preserve">OPT_PROB_HIT(60,0.3,0.0,0.25,0,0)</t>
  </si>
  <si>
    <t xml:space="preserve">OPT_PROB_INMONEY(60,0.3,0.0,0.25,0,0,0,"c")</t>
  </si>
  <si>
    <t xml:space="preserve">OPT_PROB_HIT(95,0.5,-0.02,0.25,0,0)</t>
  </si>
  <si>
    <t xml:space="preserve">OPT_PROB_INMONEY(95,0.5,-0.02,0.25,0,0,,"c")</t>
  </si>
  <si>
    <t xml:space="preserve">OPT_PROB_HIT(60,0.1,0.05,0,90,0)</t>
  </si>
  <si>
    <t xml:space="preserve">OPT_PROB_INMONEY(60,0.1,0.05,0,90,0,,"c")</t>
  </si>
  <si>
    <t xml:space="preserve">OPT_PROB_HIT(80,0.2,0.0,2,90,0)</t>
  </si>
  <si>
    <t xml:space="preserve">OPT_PROB_INMONEY(80,0.2,0.0,2,90,0,"a","p")</t>
  </si>
  <si>
    <t xml:space="preserve">OPT_PROB_HIT(120,0.1,0.05,0.5,85,115)</t>
  </si>
  <si>
    <t xml:space="preserve">OPT_PROB_INMONEY(120,0.1,0.05,0.5,85,115,TRUE,"c")</t>
  </si>
  <si>
    <t xml:space="preserve">OPT_PROB_HIT(100,0.2,0.1,5,70,130)</t>
  </si>
  <si>
    <t xml:space="preserve">OPT_PROB_INMONEY(100,0.2,0.1,5,70,130,"a","p")</t>
  </si>
  <si>
    <t xml:space="preserve">OPT_PROB_HIT(80,0.1,0.05,5,0,0)</t>
  </si>
  <si>
    <t xml:space="preserve">OPT_PROB_INMONEY(80,0.1,0.05,5,0,0,TRUE,"x")</t>
  </si>
  <si>
    <t xml:space="preserve">OPT_PROB_HIT(80,0.5,0.0,5,85,115)</t>
  </si>
  <si>
    <t xml:space="preserve">OPT_PROB_INMONEY(80,0.5,0.0,5,85,115,90,"c")</t>
  </si>
  <si>
    <t xml:space="preserve">OPT_PROB_HIT(80,0.5,0.1,1,90,120)</t>
  </si>
  <si>
    <t xml:space="preserve">OPT_PROB_INMONEY(80,0.5,0.1,1,90,120,80,1)</t>
  </si>
  <si>
    <t xml:space="preserve">OPT_PROB_HIT(60,0.2,0.1,1,85,115)</t>
  </si>
  <si>
    <t xml:space="preserve">OPT_PROB_INMONEY(60,0.2,0.1,1,85,115)</t>
  </si>
  <si>
    <t xml:space="preserve">OPT_PROB_HIT(95,0.5,-0.02,0.5,90,0)</t>
  </si>
  <si>
    <t xml:space="preserve">OPT_PROB_INMONEY(95,0.5,-0.02,0.5,90,0,110,"p")</t>
  </si>
  <si>
    <t xml:space="preserve">OPT_PROB_HIT(95,0.1,0.0,2,90,0)</t>
  </si>
  <si>
    <t xml:space="preserve">OPT_PROB_INMONEY(95,0.1,0.0,2,90,0,TRUE,"p")</t>
  </si>
  <si>
    <t xml:space="preserve">OPT_PROB_HIT(80,0.5,0.1,0.5,120,90)</t>
  </si>
  <si>
    <t xml:space="preserve">OPT_PROB_INMONEY(80,0.5,0.1,0.5,120,90,TRUE,"p")</t>
  </si>
  <si>
    <t xml:space="preserve">OPT_PROB_HIT(150,0.5,-0.02,0.25,90,120)</t>
  </si>
  <si>
    <t xml:space="preserve">OPT_PROB_INMONEY(150,0.5,-0.02,0.25,90,120,,"call")</t>
  </si>
  <si>
    <t xml:space="preserve">OPT_PROB_HIT(95,0.1,0.05,2,0,0)</t>
  </si>
  <si>
    <t xml:space="preserve">OPT_PROB_INMONEY(95,0.1,0.05,2,0,0,TRUE,"p")</t>
  </si>
  <si>
    <t xml:space="preserve">OPT_PROB_INMONEY(95,0.1,0.05,2,0,0,80,"p")</t>
  </si>
  <si>
    <t xml:space="preserve">OPT_PROB_INMONEY(120,0.3,0.1,2,0,0,"a","call")</t>
  </si>
  <si>
    <t xml:space="preserve">OPT_PROB_HIT(60,0.3,-0.02,0,120,90)</t>
  </si>
  <si>
    <t xml:space="preserve">OPT_PROB_INMONEY(60,0.3,-0.02,0,120,90,TRUE,"put")</t>
  </si>
  <si>
    <t xml:space="preserve">OPT_PROB_HIT(60,0.2,0.1,0,0,120)</t>
  </si>
  <si>
    <t xml:space="preserve">OPT_PROB_INMONEY(60,0.2,0.1,0,0,120,90,"call")</t>
  </si>
  <si>
    <t xml:space="preserve">OPT_PROB_HIT(100,0.1,0.05,2,120,90)</t>
  </si>
  <si>
    <t xml:space="preserve">OPT_PROB_INMONEY(100,0.1,0.05,2,120,90,"a","")</t>
  </si>
  <si>
    <t xml:space="preserve">OPT_PROB_HIT(95,0.1,0.1,0,90,120)</t>
  </si>
  <si>
    <t xml:space="preserve">OPT_PROB_INMONEY(95,0.1,0.1,0,90,120,,"p")</t>
  </si>
  <si>
    <t xml:space="preserve">OPT_PROB_HIT(80,0.5,0.1,2,0,120)</t>
  </si>
  <si>
    <t xml:space="preserve">OPT_PROB_INMONEY(80,0.5,0.1,2,0,120,TRUE,"")</t>
  </si>
  <si>
    <t xml:space="preserve">OPT_PROB_HIT(150,0.3,0.05,0.25,90,0)</t>
  </si>
  <si>
    <t xml:space="preserve">OPT_PROB_INMONEY(150,0.3,0.05,0.25,90,0,80,"x")</t>
  </si>
  <si>
    <t xml:space="preserve">OPT_PROB_HIT(100,0.2,0.1,0.5,0,120)</t>
  </si>
  <si>
    <t xml:space="preserve">OPT_PROB_INMONEY(100,0.2,0.1,0.5,0,120,90,"x")</t>
  </si>
  <si>
    <t xml:space="preserve">OPT_PROB_HIT(120,0.3,0.1,1,120,90)</t>
  </si>
  <si>
    <t xml:space="preserve">OPT_PROB_INMONEY(120,0.3,0.1,1,120,90,110,"p")</t>
  </si>
  <si>
    <t xml:space="preserve">OPT_PROB_HIT(60,0.5,-0.02,0.5,90,0)</t>
  </si>
  <si>
    <t xml:space="preserve">OPT_PROB_INMONEY(60,0.5,-0.02,0.5,90,0,110,"")</t>
  </si>
  <si>
    <t xml:space="preserve">OPT_PROB_HIT(150,0.1,0.1,0,70,130)</t>
  </si>
  <si>
    <t xml:space="preserve">OPT_PROB_INMONEY(150,0.1,0.1,0,70,130,TRUE,"p")</t>
  </si>
  <si>
    <t xml:space="preserve">OPT_PROB_HIT(60,0.5,0.05,1,0,120)</t>
  </si>
  <si>
    <t xml:space="preserve">OPT_PROB_INMONEY(60,0.5,0.05,1,0,120,-1,"p")</t>
  </si>
  <si>
    <t xml:space="preserve">OPT_PROB_HIT(60,0.2,0.05,1,85,115)</t>
  </si>
  <si>
    <t xml:space="preserve">OPT_PROB_INMONEY(60,0.2,0.05,1,85,115,90,"call")</t>
  </si>
  <si>
    <t xml:space="preserve">OPT_PROB_HIT(95,0.5,-0.02,0,90,120)</t>
  </si>
  <si>
    <t xml:space="preserve">OPT_PROB_INMONEY(95,0.5,-0.02,0,90,120,,"p")</t>
  </si>
  <si>
    <t xml:space="preserve">OPT_PROB_HIT(80,0.5,-0.02,0.25,0,120)</t>
  </si>
  <si>
    <t xml:space="preserve">OPT_PROB_INMONEY(80,0.5,-0.02,0.25,0,120,TRUE,"c")</t>
  </si>
  <si>
    <t xml:space="preserve">OPT_PROB_INMONEY(120,0.3,0.1,0.5,0,120,"a","c")</t>
  </si>
  <si>
    <t xml:space="preserve">OPT_PROB_HIT(120,0.2,-0.02,0,85,115)</t>
  </si>
  <si>
    <t xml:space="preserve">OPT_PROB_INMONEY(120,0.2,-0.02,0,85,115,TRUE,"c")</t>
  </si>
  <si>
    <t xml:space="preserve">OPT_PROB_HIT(150,0.3,-0.02,0.25,120,90)</t>
  </si>
  <si>
    <t xml:space="preserve">OPT_PROB_INMONEY(150,0.3,-0.02,0.25,120,90,"a","c")</t>
  </si>
  <si>
    <t xml:space="preserve">OPT_PROB_HIT(150,0.1,0.0,0.25,90,120)</t>
  </si>
  <si>
    <t xml:space="preserve">OPT_PROB_INMONEY(150,0.1,0.0,0.25,90,120,100,"put")</t>
  </si>
  <si>
    <t xml:space="preserve">OPT_PROB_HIT(100,0.2,-0.02,2,120,90)</t>
  </si>
  <si>
    <t xml:space="preserve">OPT_PROB_INMONEY(100,0.2,-0.02,2,120,90,,"c")</t>
  </si>
  <si>
    <t xml:space="preserve">OPT_PROB_HIT(80,0.2,0.05,1,90,0)</t>
  </si>
  <si>
    <t xml:space="preserve">OPT_PROB_INMONEY(80,0.2,0.05,1,90,0,,"")</t>
  </si>
  <si>
    <t xml:space="preserve">OPT_PROB_HIT(150,0.2,0.1,1,70,130)</t>
  </si>
  <si>
    <t xml:space="preserve">OPT_PROB_INMONEY(150,0.2,0.1,1,70,130,"a","p")</t>
  </si>
  <si>
    <t xml:space="preserve">OPT_PROB_HIT(150,0.1,0.1,5,120,90)</t>
  </si>
  <si>
    <t xml:space="preserve">OPT_PROB_INMONEY(150,0.1,0.1,5,120,90,100,"p")</t>
  </si>
  <si>
    <t xml:space="preserve">OPT_PROB_HIT(150,0.5,0.05,2,120,90)</t>
  </si>
  <si>
    <t xml:space="preserve">OPT_PROB_INMONEY(150,0.5,0.05,2,120,90,"a","p")</t>
  </si>
  <si>
    <t xml:space="preserve">OPT_PROB_HIT(120,0.5,0.05,0,70,130)</t>
  </si>
  <si>
    <t xml:space="preserve">OPT_PROB_INMONEY(120,0.5,0.05,0,70,130,"a",1)</t>
  </si>
  <si>
    <t xml:space="preserve">OPT_PROB_HIT(95,0.5,0.1,5,70,130)</t>
  </si>
  <si>
    <t xml:space="preserve">OPT_PROB_INMONEY(95,0.5,0.1,5,70,130)</t>
  </si>
  <si>
    <t xml:space="preserve">OPT_PROB_HIT(150,0.5,0.1,1,85,115)</t>
  </si>
  <si>
    <t xml:space="preserve">OPT_PROB_INMONEY(150,0.5,0.1,1,85,115,TRUE,"call")</t>
  </si>
  <si>
    <t xml:space="preserve">OPT_PROB_HIT(60,0.3,-0.02,2,90,120)</t>
  </si>
  <si>
    <t xml:space="preserve">OPT_PROB_INMONEY(60,0.3,-0.02,2,90,120,,"p")</t>
  </si>
  <si>
    <t xml:space="preserve">OPT_PROB_HIT(60,0.1,0.05,0.5,70,130)</t>
  </si>
  <si>
    <t xml:space="preserve">OPT_PROB_INMONEY(60,0.1,0.05,0.5,70,130,,"p")</t>
  </si>
  <si>
    <t xml:space="preserve">OPT_PROB_HIT(150,0.2,0.1,0,90,120)</t>
  </si>
  <si>
    <t xml:space="preserve">OPT_PROB_INMONEY(150,0.2,0.1,0,90,120,0)</t>
  </si>
  <si>
    <t xml:space="preserve">OPT_PROB_HIT(150,0.2,0.0,5,70,130)</t>
  </si>
  <si>
    <t xml:space="preserve">OPT_PROB_INMONEY(150,0.2,0.0,5,70,130,"a","p")</t>
  </si>
  <si>
    <t xml:space="preserve">OPT_PROB_HIT(60,0.3,0.1,0.25,0,0)</t>
  </si>
  <si>
    <t xml:space="preserve">OPT_PROB_INMONEY(60,0.3,0.1,0.25,0,0,100,"call")</t>
  </si>
  <si>
    <t xml:space="preserve">OPT_PROB_HIT(150,0.1,-0.02,0,120,90)</t>
  </si>
  <si>
    <t xml:space="preserve">OPT_PROB_INMONEY(150,0.1,-0.02,0,120,90,,"p")</t>
  </si>
  <si>
    <t xml:space="preserve">OPT_PROB_HIT(60,0.3,-0.02,2,85,115)</t>
  </si>
  <si>
    <t xml:space="preserve">OPT_PROB_INMONEY(60,0.3,-0.02,2,85,115,"a","p")</t>
  </si>
  <si>
    <t xml:space="preserve">OPT_PROB_HIT(150,0.5,0.05,0,0,0)</t>
  </si>
  <si>
    <t xml:space="preserve">OPT_PROB_INMONEY(150,0.5,0.05,0,0,0,,"call")</t>
  </si>
  <si>
    <t xml:space="preserve">OPT_PROB_HIT(95,0.1,0.05,0.25,85,115)</t>
  </si>
  <si>
    <t xml:space="preserve">OPT_PROB_INMONEY(95,0.1,0.05,0.25,85,115,100,"c")</t>
  </si>
  <si>
    <t xml:space="preserve">OPT_PROB_HIT(60,0.1,-0.02,0,85,115)</t>
  </si>
  <si>
    <t xml:space="preserve">OPT_PROB_INMONEY(60,0.1,-0.02,0,85,115,TRUE,"put")</t>
  </si>
  <si>
    <t xml:space="preserve">OPT_PROB_HIT(80,0.5,0.05,2,0,120)</t>
  </si>
  <si>
    <t xml:space="preserve">OPT_PROB_INMONEY(80,0.5,0.05,2,0,120,,"p")</t>
  </si>
  <si>
    <t xml:space="preserve">OPT_PROB_HIT(120,0.1,0.1,0.25,90,0)</t>
  </si>
  <si>
    <t xml:space="preserve">OPT_PROB_INMONEY(120,0.1,0.1,0.25,90,0,TRUE,"call")</t>
  </si>
  <si>
    <t xml:space="preserve">OPT_BARRIER(0,0.2,0.05,0.02,1,100,90,120,0,"call","in","cont")</t>
  </si>
  <si>
    <t xml:space="preserve">OPT_BARRIER(100,0,0.05,0.02,1,100,90,120,0,"call","in","cont")</t>
  </si>
  <si>
    <t xml:space="preserve">OPT_BARRIER(100,0.2,0.05,0.02,-1,100,90,120,0,"call","in","cont")</t>
  </si>
  <si>
    <t xml:space="preserve">OPT_BARRIER(100,0.2,0.05,0.02,1,-100,90,120,0,"call","in","cont")</t>
  </si>
  <si>
    <t xml:space="preserve">OPT_BARRIER("x",0.2,0.05,0.02,1,100,90,120,0,"call","in","cont")</t>
  </si>
  <si>
    <t xml:space="preserve">OPT_BARRIER(1/0,0.2,0.05,0.02,1,100,90,120,0,"call",NA(),"cont")</t>
  </si>
  <si>
    <t xml:space="preserve">OPT_BARRIER(100,0.2,0.05,0.02,1,100,90,120,0,1,"in","cont")</t>
  </si>
  <si>
    <t xml:space="preserve">OPT_BARRIER(100,0.2,0.05,0.02,1,100,90,120,0,"call","in")</t>
  </si>
  <si>
    <t xml:space="preserve">OPT_PROB_HIT(100,0.2,0.05,1,90)</t>
  </si>
  <si>
    <t xml:space="preserve">OPT_PROB_INMONEY(100,0.2,0.05,1,90,120,100,"put")</t>
  </si>
  <si>
    <t xml:space="preserve">OPT_PROB_INMONEY(100,0.2,0.05,1,90,120,,"put")</t>
  </si>
  <si>
    <t xml:space="preserve">OPT_PROB_INMONEY(100,0.2,0.05,1,90,120,100,)</t>
  </si>
  <si>
    <t xml:space="preserve">OPT_PROB_INMONEY(100,0.2,0.05,1,90,120)</t>
  </si>
  <si>
    <t xml:space="preserve">OPT_PROB_INMONEY(100,0.2,0.05,1,90,120,"c")</t>
  </si>
  <si>
    <t xml:space="preserve">OPT_PROB_INMONEY(100,0.2,0.05,1,90,120,"c","c")</t>
  </si>
  <si>
    <t xml:space="preserve">_xlfn.FORECAST.ETS({4.5,4.5},{12;14.22;12;16.64},{1;2;3;4},2)</t>
  </si>
  <si>
    <t xml:space="preserve">_xlfn.FORECAST.ETS.STAT({12;14.22;12;16.64},{1;2;3;4},{4;8},2)</t>
  </si>
  <si>
    <t xml:space="preserve">_xlfn.FORECAST.ETS.SEASONALITY({12;14.22;12;16.64},{1;2;3;4},1,5)</t>
  </si>
  <si>
    <t xml:space="preserve">_xlfn.FORECAST.ETS({11,11.5,11},{51.62;13.08;18.8;60.62;12.73;13.3;9;47.4;36;63;80.1;78;82.4;30.5;55;21;69;54;19.91;20},{1;1.5;2;2.5;3;3.5;4;4.5;5;5.5;6;6.5;7;7.5;8;8.5;9;9.5;10;10.5},4)</t>
  </si>
  <si>
    <t xml:space="preserve">_xlfn.ORG.LIBREOFFICE.FORECAST.ETS.STAT.MULT({51.62;13.08;18.8;60.62;12.73;13.3;9;47.4;36;63;80.1;78;82.4;30.5;55;21;69;54;19.91;20},{1;1.5;2;2.5;3;3.5;4;4.5;5;5.5;6;6.5;7;7.5;8;8.5;9;9.5;10;10.5},{5;6;9;3;7;1;8;4;2},4)</t>
  </si>
  <si>
    <t xml:space="preserve">_xlfn.FORECAST.ETS.SEASONALITY({51.62;13.08;18.8;60.62;12.73;13.3;9;47.4;36;63;80.1;78;82.4;30.5;55;21;69;54;19.91;20},{1;1.5;2;2.5;3;3.5;4;4.5;5;5.5;6;6.5;7;7.5;8;8.5;9;9.5;10;10.5},1,3)</t>
  </si>
  <si>
    <t xml:space="preserve">_xlfn.FORECAST.ETS({44983;44908;44923},{43.2;43.21;43.21;43.2;43.2;43.21;43;43.21;43.21;43;43.21},{44589;44620;44648;44679;44709;44740;44770;44801;44832;44862;44893},0,,3)</t>
  </si>
  <si>
    <t xml:space="preserve">_xlfn.FORECAST.ETS.STAT({43.2;43.21;43.21;43.2;43.2;43.21;43;43.21;43.21;43;43.21},{44589;44620;44648;44679;44709;44740;44770;44801;44832;44862;44893},{3;7},0,,3)</t>
  </si>
  <si>
    <t xml:space="preserve">_xlfn.FORECAST.ETS.SEASONALITY({43.2;43.21;43.21;43.2;43.2;43.21;43;43.21;43.21;43;43.21},{44589;44620;44648;44679;44709;44740;44770;44801;44832;44862;44893},1)</t>
  </si>
  <si>
    <t xml:space="preserve">_xlfn.FORECAST.ETS({44772;44832;44742},{8;8.5;8.5;33;8},{44620;44651;44681;44681;44712},1,1)</t>
  </si>
  <si>
    <t xml:space="preserve">_xlfn.ORG.LIBREOFFICE.FORECAST.ETS.STAT.MULT({8;8.5;8.5;33;8},{44620;44651;44681;44681;44712},{4;3;8;7;5;2;6;9;1},1,1)</t>
  </si>
  <si>
    <t xml:space="preserve">_xlfn.FORECAST.ETS.SEASONALITY({8;8.5;8.5;33;8},{44620;44651;44681;44681;44712},1,1)</t>
  </si>
  <si>
    <t xml:space="preserve">_xlfn.FORECAST.ETS({20,18.25},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2)</t>
  </si>
  <si>
    <t xml:space="preserve">_xlfn.ORG.LIBREOFFICE.FORECAST.ETS.STAT.MULT(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{2},2)</t>
  </si>
  <si>
    <t xml:space="preserve">_xlfn.FORECAST.ETS.SEASONALITY(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1)</t>
  </si>
  <si>
    <t xml:space="preserve">_xlfn.ORG.LIBREOFFICE.FORECAST.ETS.PI.MULT(19.5,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0.5,0,1,7)</t>
  </si>
  <si>
    <t xml:space="preserve">_xlfn.ORG.LIBREOFFICE.FORECAST.ETS.MULT(63,{18.4;13;26;25;21.26;34;31;29.1;40.66;40;36;46.3},{3;8;13;18;23;28;33;38;43;48;53;58},0)</t>
  </si>
  <si>
    <t xml:space="preserve">_xlfn.FORECAST.ETS.STAT({18.4;13;26;25;21.26;34;31;29.1;40.66;40;36;46.3},{3;8;13;18;23;28;33;38;43;48;53;58},{4;1;2;5;3;7;6;9;8},0)</t>
  </si>
  <si>
    <t xml:space="preserve">_xlfn.FORECAST.ETS.SEASONALITY({18.4;13;26;25;21.26;34;31;29.1;40.66;40;36;46.3},{3;8;13;18;23;28;33;38;43;48;53;58})</t>
  </si>
  <si>
    <t xml:space="preserve">_xlfn.ORG.LIBREOFFICE.FORECAST.ETS.MULT(5.25,{24;27;26.7;30.8;31;32.16;33.06;36;37.17},{1;1.5;2;2.5;3;3.5;4;4.5;5},1,0,6)</t>
  </si>
  <si>
    <t xml:space="preserve">_xlfn.FORECAST.ETS.STAT({24;27;26.7;30.8;31;32.16;33.06;36;37.17},{1;1.5;2;2.5;3;3.5;4;4.5;5},{3;5;9;6;2;7;1;4;8},1,0,6)</t>
  </si>
  <si>
    <t xml:space="preserve">_xlfn.FORECAST.ETS.SEASONALITY({24;27;26.7;30.8;31;32.16;33.06;36;37.17},{1;1.5;2;2.5;3;3.5;4;4.5;5},1)</t>
  </si>
  <si>
    <t xml:space="preserve">_xlfn.ORG.LIBREOFFICE.FORECAST.ETS.MULT({45488;45503;45563},{27.13;27;30.5;35;35.5;38.22;42;43.53;48.43;51;51;54.7;57.22;59;61.63;66.91;67.82;71.7;72.7;77;79.9},{44834;44865;44895;44926;44957;44985;45016;45046;45077;45107;45138;45169;45199;45230;45260;45291;45322;45351;45382;45412;45443},0)</t>
  </si>
  <si>
    <t xml:space="preserve">_xlfn.ORG.LIBREOFFICE.FORECAST.ETS.STAT.MULT({27.13;27;30.5;35;35.5;38.22;42;43.53;48.43;51;51;54.7;57.22;59;61.63;66.91;67.82;71.7;72.7;77;79.9},{44834;44865;44895;44926;44957;44985;45016;45046;45077;45107;45138;45169;45199;45230;45260;45291;45322;45351;45382;45412;45443},{7;1},0)</t>
  </si>
  <si>
    <t xml:space="preserve">_xlfn.FORECAST.ETS.SEASONALITY({27.13;27;30.5;35;35.5;38.22;42;43.53;48.43;51;51;54.7;57.22;59;61.63;66.91;67.82;71.7;72.7;77;79.9},{44834;44865;44895;44926;44957;44985;45016;45046;45077;45107;45138;45169;45199;45230;45260;45291;45322;45351;45382;45412;45443},0,5)</t>
  </si>
  <si>
    <t xml:space="preserve">_xlfn.FORECAST.ETS({45026,45026,45025},{21.6;18.83;19.5;17;18;15.2;16;14;14.4;11.3;11;11;9.24;8.2;6.6;7.5;3.64;4;3.95;3.1;0;-1.19;0.5;-0.84},{45000;45001;45002;45003;45004;45005;45006;45007;45008;45009;45010;45011;45012;45013;45014;45015;45016;45017;45018;45019;45020;45021;45022;45023},1,,5)</t>
  </si>
  <si>
    <t xml:space="preserve">_xlfn.FORECAST.ETS.STAT({21.6;18.83;19.5;17;18;15.2;16;14;14.4;11.3;11;11;9.24;8.2;6.6;7.5;3.64;4;3.95;3.1;0;-1.19;0.5;-0.84},{45000;45001;45002;45003;45004;45005;45006;45007;45008;45009;45010;45011;45012;45013;45014;45015;45016;45017;45018;45019;45020;45021;45022;45023},{2;1;8;9;6;3;7;5;4},1,,5)</t>
  </si>
  <si>
    <t xml:space="preserve">_xlfn.FORECAST.ETS.SEASONALITY({21.6;18.83;19.5;17;18;15.2;16;14;14.4;11.3;11;11;9.24;8.2;6.6;7.5;3.64;4;3.95;3.1;0;-1.19;0.5;-0.84},{45000;45001;45002;45003;45004;45005;45006;45007;45008;45009;45010;45011;45012;45013;45014;45015;45016;45017;45018;45019;45020;45021;45022;45023})</t>
  </si>
  <si>
    <t xml:space="preserve">_xlfn.ORG.LIBREOFFICE.FORECAST.ETS.MULT({12,10,10},{50.44;42.08;55.8;61;54.9;69.2;75.71;66;81.8},{1;2;3;4;5;6;7;8;9},1,0,3)</t>
  </si>
  <si>
    <t xml:space="preserve">_xlfn.FORECAST.ETS.STAT({50.44;42.08;55.8;61;54.9;69.2;75.71;66;81.8},{1;2;3;4;5;6;7;8;9},{8},1,0,3)</t>
  </si>
  <si>
    <t xml:space="preserve">_xlfn.FORECAST.ETS.SEASONALITY({50.44;42.08;55.8;61;54.9;69.2;75.71;66;81.8},{1;2;3;4;5;6;7;8;9},0)</t>
  </si>
  <si>
    <t xml:space="preserve">_xlfn.ORG.LIBREOFFICE.FORECAST.ETS.PI.MULT(12,{50.44;42.08;55.8;61;54.9;69.2;75.71;66;81.8},{1;2;3;4;5;6;7;8;9},1,0)</t>
  </si>
  <si>
    <t xml:space="preserve">_xlfn.FORECAST.ETS({45274;45214},{28.1;31.53;28.8;35;38;50;54;51.09;55.77;57;69.84;75;71.5;76;78;92;97.16;92.2;97.6;100.6},{44607;44635;44666;44696;44727;44757;44788;44819;44849;44880;44910;44941;44972;45000;45031;45061;45092;45122;45153;45184},0,1)</t>
  </si>
  <si>
    <t xml:space="preserve">_xlfn.ORG.LIBREOFFICE.FORECAST.ETS.STAT.MULT({28.1;31.53;28.8;35;38;50;54;51.09;55.77;57;69.84;75;71.5;76;78;92;97.16;92.2;97.6;100.6},{44607;44635;44666;44696;44727;44757;44788;44819;44849;44880;44910;44941;44972;45000;45031;45061;45092;45122;45153;45184},{1;3},0,1)</t>
  </si>
  <si>
    <t xml:space="preserve">_xlfn.FORECAST.ETS.SEASONALITY({28.1;31.53;28.8;35;38;50;54;51.09;55.77;57;69.84;75;71.5;76;78;92;97.16;92.2;97.6;100.6},{44607;44635;44666;44696;44727;44757;44788;44819;44849;44880;44910;44941;44972;45000;45031;45061;45092;45122;45153;45184},0,5)</t>
  </si>
  <si>
    <t xml:space="preserve">_xlfn.FORECAST.ETS({18},{7.6;8;10.12;12.3;15.8;10;15.3;18;25;15;20.14;24.73;1.7;29.3;20;27.2;32.57},{1;2;3;4;5;6;7;8;9;10;11;12;12;13;14;15;16},1,1)</t>
  </si>
  <si>
    <t xml:space="preserve">_xlfn.ORG.LIBREOFFICE.FORECAST.ETS.STAT.MULT({7.6;8;10.12;12.3;15.8;10;15.3;18;25;15;20.14;24.73;1.7;29.3;20;27.2;32.57},{1;2;3;4;5;6;7;8;9;10;11;12;12;13;14;15;16},{3},1,1)</t>
  </si>
  <si>
    <t xml:space="preserve">_xlfn.FORECAST.ETS.SEASONALITY({7.6;8;10.12;12.3;15.8;10;15.3;18;25;15;20.14;24.73;1.7;29.3;20;27.2;32.57},{1;2;3;4;5;6;7;8;9;10;11;12;12;13;14;15;16},0)</t>
  </si>
  <si>
    <t xml:space="preserve">_xlfn.FORECAST.ETS({17.5},{65.7;14;41.74;36;51.35;64;48.34;21.51;86;5.5;88.2;45.61;4.6;12;73.2;76.6;51.67},{1;2;3;4;5;6;7;8;9;10;11;12;13;14;15;16;17},2,0)</t>
  </si>
  <si>
    <t xml:space="preserve">_xlfn.FORECAST.ETS.STAT({65.7;14;41.74;36;51.35;64;48.34;21.51;86;5.5;88.2;45.61;4.6;12;73.2;76.6;51.67},{1;2;3;4;5;6;7;8;9;10;11;12;13;14;15;16;17},{3;1},2,0)</t>
  </si>
  <si>
    <t xml:space="preserve">_xlfn.FORECAST.ETS.SEASONALITY({65.7;14;41.74;36;51.35;64;48.34;21.51;86;5.5;88.2;45.61;4.6;12;73.2;76.6;51.67},{1;2;3;4;5;6;7;8;9;10;11;12;13;14;15;16;17},0,6)</t>
  </si>
  <si>
    <t xml:space="preserve">_xlfn.ORG.LIBREOFFICE.FORECAST.ETS.MULT({50.5;63;55.5},{40.53;41;41;40.53;40.5;41;40.5;40.5;41;40.53},{3;8;13;18;23;28;33;38;43;48})</t>
  </si>
  <si>
    <t xml:space="preserve">_xlfn.FORECAST.ETS.STAT({40.53;41;41;40.53;40.5;41;40.5;40.5;41;40.53},{3;8;13;18;23;28;33;38;43;48},{3})</t>
  </si>
  <si>
    <t xml:space="preserve">_xlfn.FORECAST.ETS.SEASONALITY({40.53;41;41;40.53;40.5;41;40.5;40.5;41;40.53},{3;8;13;18;23;28;33;38;43;48})</t>
  </si>
  <si>
    <t xml:space="preserve">_xlfn.FORECAST.ETS({44831;44921},{53.2;42.97;51.82;42},{44709;44740;44770;44801},2,1,6)</t>
  </si>
  <si>
    <t xml:space="preserve">_xlfn.FORECAST.ETS.STAT({53.2;42.97;51.82;42},{44709;44740;44770;44801},{5;3},2,1,6)</t>
  </si>
  <si>
    <t xml:space="preserve">_xlfn.FORECAST.ETS.SEASONALITY({53.2;42.97;51.82;42},{44709;44740;44770;44801})</t>
  </si>
  <si>
    <t xml:space="preserve">_xlfn.ORG.LIBREOFFICE.FORECAST.ETS.MULT({5.25,5.75,6.5},{47;57.2;56.03;29.5;53.12;61.16;61;58.44;64.94;63.74},{1;1.5;2;2;2.5;3;3.5;4;4.5;5})</t>
  </si>
  <si>
    <t xml:space="preserve">_xlfn.FORECAST.ETS.STAT({47;57.2;56.03;29.5;53.12;61.16;61;58.44;64.94;63.74},{1;1.5;2;2;2.5;3;3.5;4;4.5;5},{2;3})</t>
  </si>
  <si>
    <t xml:space="preserve">_xlfn.FORECAST.ETS.SEASONALITY({47;57.2;56.03;29.5;53.12;61.16;61;58.44;64.94;63.74},{1;1.5;2;2;2.5;3;3.5;4;4.5;5})</t>
  </si>
  <si>
    <t xml:space="preserve">_xlfn.ORG.LIBREOFFICE.FORECAST.ETS.MULT({45439},{39;31;45.5;57.88;44.76;60;78.5;59.7;78;95.71;14.6;74;95;117;87;110},{44893;44923;44954;44985;45013;45044;45074;45105;45135;45166;45166;45197;45227;45258;45288;45319},1,,2)</t>
  </si>
  <si>
    <t xml:space="preserve">_xlfn.FORECAST.ETS.STAT({39;31;45.5;57.88;44.76;60;78.5;59.7;78;95.71;14.6;74;95;117;87;110},{44893;44923;44954;44985;45013;45044;45074;45105;45135;45166;45166;45197;45227;45258;45288;45319},{7;5;8;1;9;4;6;3;2},1,,2)</t>
  </si>
  <si>
    <t xml:space="preserve">_xlfn.FORECAST.ETS.SEASONALITY({39;31;45.5;57.88;44.76;60;78.5;59.7;78;95.71;14.6;74;95;117;87;110},{44893;44923;44954;44985;45013;45044;45074;45105;45135;45166;45166;45197;45227;45258;45288;45319})</t>
  </si>
  <si>
    <t xml:space="preserve">_xlfn.ORG.LIBREOFFICE.FORECAST.ETS.MULT(44938,{5.66;8;5;0;4.42;0.89;-1.7;1.65;-2.42},{44770;44801;44832;44862;44893;44923;44954;44985;45013},0,1)</t>
  </si>
  <si>
    <t xml:space="preserve">_xlfn.FORECAST.ETS.STAT({5.66;8;5;0;4.42;0.89;-1.7;1.65;-2.42},{44770;44801;44832;44862;44893;44923;44954;44985;45013},{3;7;8;4;1;5;9;6;2},0,1)</t>
  </si>
  <si>
    <t xml:space="preserve">_xlfn.FORECAST.ETS.SEASONALITY({5.66;8;5;0;4.42;0.89;-1.7;1.65;-2.42},{44770;44801;44832;44862;44893;44923;44954;44985;45013})</t>
  </si>
  <si>
    <t xml:space="preserve">_xlfn.ORG.LIBREOFFICE.FORECAST.ETS.MULT(45214,{44;40.4;42.8;48;53.2;62.86;56.42;62;66.34;69},{44895;44926;44957;44985;45016;45046;45077;45107;45138;45169},1,,3)</t>
  </si>
  <si>
    <t xml:space="preserve">_xlfn.ORG.LIBREOFFICE.FORECAST.ETS.STAT.MULT({44;40.4;42.8;48;53.2;62.86;56.42;62;66.34;69},{44895;44926;44957;44985;45016;45046;45077;45107;45138;45169},{3;7},1,,3)</t>
  </si>
  <si>
    <t xml:space="preserve">_xlfn.FORECAST.ETS.SEASONALITY({44;40.4;42.8;48;53.2;62.86;56.42;62;66.34;69},{44895;44926;44957;44985;45016;45046;45077;45107;45138;45169})</t>
  </si>
  <si>
    <t xml:space="preserve">_xlfn.FORECAST.ETS({53,48,58},{26.7;26.74;26.74;26.7;27;26.7;26.74;26.74;26.7},{3;8;13;18;23;28;33;38;43},0,0)</t>
  </si>
  <si>
    <t xml:space="preserve">_xlfn.ORG.LIBREOFFICE.FORECAST.ETS.STAT.MULT({26.7;26.74;26.74;26.7;27;26.7;26.74;26.74;26.7},{3;8;13;18;23;28;33;38;43},{1;8},0,0)</t>
  </si>
  <si>
    <t xml:space="preserve">_xlfn.FORECAST.ETS.SEASONALITY({26.7;26.74;26.74;26.7;27;26.7;26.74;26.74;26.7},{3;8;13;18;23;28;33;38;43})</t>
  </si>
  <si>
    <t xml:space="preserve">_xlfn.ORG.LIBREOFFICE.FORECAST.ETS.MULT({15.5;16;15},{39.73;23.31;38;24;30;35;20.66;27;17;27;16;18.2;44.6;23;12.6},{1;2;3;4;5;6;7;8;9;10;11;12;12;13;14},0,0)</t>
  </si>
  <si>
    <t xml:space="preserve">_xlfn.ORG.LIBREOFFICE.FORECAST.ETS.STAT.MULT({39.73;23.31;38;24;30;35;20.66;27;17;27;16;18.2;44.6;23;12.6},{1;2;3;4;5;6;7;8;9;10;11;12;12;13;14},{6;4;9;3;5;2;1;7;8},0,0)</t>
  </si>
  <si>
    <t xml:space="preserve">_xlfn.FORECAST.ETS.SEASONALITY({39.73;23.31;38;24;30;35;20.66;27;17;27;16;18.2;44.6;23;12.6},{1;2;3;4;5;6;7;8;9;10;11;12;12;13;14})</t>
  </si>
  <si>
    <t xml:space="preserve">_xlfn.ORG.LIBREOFFICE.FORECAST.ETS.MULT({45411,45396},{90;25;71.37;99.3;95.13;26;85;38.1;69;94.6;21.02;99.43;44.37;32;53.5;50;81},{44865;44895;44926;44957;44985;45016;45046;45077;45107;45138;45169;45199;45230;45260;45291;45322;45351},2,1,5)</t>
  </si>
  <si>
    <t xml:space="preserve">_xlfn.FORECAST.ETS.STAT({90;25;71.37;99.3;95.13;26;85;38.1;69;94.6;21.02;99.43;44.37;32;53.5;50;81},{44865;44895;44926;44957;44985;45016;45046;45077;45107;45138;45169;45199;45230;45260;45291;45322;45351},{7},2,1,5)</t>
  </si>
  <si>
    <t xml:space="preserve">_xlfn.FORECAST.ETS.SEASONALITY({90;25;71.37;99.3;95.13;26;85;38.1;69;94.6;21.02;99.43;44.37;32;53.5;50;81},{44865;44895;44926;44957;44985;45016;45046;45077;45107;45138;45169;45199;45230;45260;45291;45322;45351},1,6)</t>
  </si>
  <si>
    <t xml:space="preserve">_xlfn.FORECAST.ETS({45019.5,45019.5,45022},{21;20.72;20.72;21;20.72;21;20.7;20.7;20.72;20.72;20.72;20.72;20.72;21;20.7;20.72;21;21;20.72},{45000;45001;45002;45003;45004;45005;45006;45007;45008;45009;45010;45011;45012;45013;45014;45016;45017;45018;45019},1,1,7)</t>
  </si>
  <si>
    <t xml:space="preserve">_xlfn.FORECAST.ETS.STAT({21;20.72;20.72;21;20.72;21;20.7;20.7;20.72;20.72;20.72;20.72;20.72;21;20.7;20.72;21;21;20.72},{45000;45001;45002;45003;45004;45005;45006;45007;45008;45009;45010;45011;45012;45013;45014;45016;45017;45018;45019},{6},1,1,7)</t>
  </si>
  <si>
    <t xml:space="preserve">_xlfn.FORECAST.ETS.SEASONALITY({21;20.72;20.72;21;20.72;21;20.7;20.7;20.72;20.72;20.72;20.72;20.72;21;20.7;20.72;21;21;20.72},{45000;45001;45002;45003;45004;45005;45006;45007;45008;45009;45010;45011;45012;45013;45014;45016;45017;45018;45019},1,6)</t>
  </si>
  <si>
    <t xml:space="preserve">_xlfn.FORECAST.ETS.CONFINT({45020;45021;45022},{21;20.72;20.72;21;20.72;21;20.7;20.7;20.72;20.72;20.72;20.72;20.72;21;20.7;20.72;21;21;20.72},{45000;45001;45002;45003;45004;45005;45006;45007;45008;45009;45010;45011;45012;45013;45014;45016;45017;45018;45019},0.99,0,1,1)</t>
  </si>
  <si>
    <t xml:space="preserve">_xlfn.ORG.LIBREOFFICE.FORECAST.ETS.MULT({115,94},{65.4;54.7;71.75;64.8;49;32.63;83.5;88.1;35.48;73;72.97;48;1.9},{3;10;17;24;31;38;45;52;59;66;73;80;87},0,0)</t>
  </si>
  <si>
    <t xml:space="preserve">_xlfn.FORECAST.ETS.STAT({65.4;54.7;71.75;64.8;49;32.63;83.5;88.1;35.48;73;72.97;48;1.9},{3;10;17;24;31;38;45;52;59;66;73;80;87},{9;3;2;5;8;6;4;1;7},0,0)</t>
  </si>
  <si>
    <t xml:space="preserve">_xlfn.FORECAST.ETS.SEASONALITY({65.4;54.7;71.75;64.8;49;32.63;83.5;88.1;35.48;73;72.97;48;1.9},{3;10;17;24;31;38;45;52;59;66;73;80;87})</t>
  </si>
  <si>
    <t xml:space="preserve">_xlfn.ORG.LIBREOFFICE.FORECAST.ETS.MULT({19.5;20},{4;33.43;50.4;53.1;90;62.48;34;44;97.53;38;34;3.3;4.4;29.74;59.04;58;87.22;33},{1;2;3;4;5;6;7;8;9;10;11;12;13;14;15;16;17;18},1,,6)</t>
  </si>
  <si>
    <t xml:space="preserve">_xlfn.ORG.LIBREOFFICE.FORECAST.ETS.STAT.MULT({4;33.43;50.4;53.1;90;62.48;34;44;97.53;38;34;3.3;4.4;29.74;59.04;58;87.22;33},{1;2;3;4;5;6;7;8;9;10;11;12;13;14;15;16;17;18},{7;6;8;1;4;2;5;3;9},1,,6)</t>
  </si>
  <si>
    <t xml:space="preserve">_xlfn.FORECAST.ETS.SEASONALITY({4;33.43;50.4;53.1;90;62.48;34;44;97.53;38;34;3.3;4.4;29.74;59.04;58;87.22;33},{1;2;3;4;5;6;7;8;9;10;11;12;13;14;15;16;17;18})</t>
  </si>
  <si>
    <t xml:space="preserve">_xlfn.FORECAST.ETS.CONFINT({19;20;21},{4;33.43;50.4;53.1;90;62.48;34;44;97.53;38;34;3.3;4.4;29.74;59.04;58;87.22;33},{1;2;3;4;5;6;7;8;9;10;11;12;13;14;15;16;17;18},0.95,0)</t>
  </si>
  <si>
    <t xml:space="preserve">_xlfn.ORG.LIBREOFFICE.FORECAST.ETS.MULT(45000.25,{48.4;49;50.1;54;53.4;56.15;57;57;60;60;61.4;61.7;61.8},{45000;45001;45002;45004;45005;45006;45007;45008;45009;45010;45011;45012;45013},0)</t>
  </si>
  <si>
    <t xml:space="preserve">_xlfn.FORECAST.ETS.STAT({48.4;49;50.1;54;53.4;56.15;57;57;60;60;61.4;61.7;61.8},{45000;45001;45002;45004;45005;45006;45007;45008;45009;45010;45011;45012;45013},{7;8;3;4;6;9;1;5;2},0)</t>
  </si>
  <si>
    <t xml:space="preserve">_xlfn.FORECAST.ETS.SEASONALITY({48.4;49;50.1;54;53.4;56.15;57;57;60;60;61.4;61.7;61.8},{45000;45001;45002;45004;45005;45006;45007;45008;45009;45010;45011;45012;45013})</t>
  </si>
  <si>
    <t xml:space="preserve">_xlfn.ORG.LIBREOFFICE.FORECAST.ETS.MULT({30.5,33},{14.5;14;14;14.5;24.1;14;14.47},{3;8;13;18;18;23;28})</t>
  </si>
  <si>
    <t xml:space="preserve">_xlfn.ORG.LIBREOFFICE.FORECAST.ETS.STAT.MULT({14.5;14;14;14.5;24.1;14;14.47},{3;8;13;18;18;23;28},{4})</t>
  </si>
  <si>
    <t xml:space="preserve">_xlfn.FORECAST.ETS.SEASONALITY({14.5;14;14;14.5;24.1;14;14.47},{3;8;13;18;18;23;28})</t>
  </si>
  <si>
    <t xml:space="preserve">_xlfn.ORG.LIBREOFFICE.FORECAST.ETS.MULT({41,43},{93.33;83.9;5;63.3;15.2;44.6;79.7;86.4;32;20.1;51.7;15;64;31.1;57.79;82.3;41.6},{9;25;5;31;21;15;27;7;19;17;35;23;33;29;3;13;11},4)</t>
  </si>
  <si>
    <t xml:space="preserve">_xlfn.ORG.LIBREOFFICE.FORECAST.ETS.STAT.MULT({93.33;83.9;5;63.3;15.2;44.6;79.7;86.4;32;20.1;51.7;15;64;31.1;57.79;82.3;41.6},{9;25;5;31;21;15;27;7;19;17;35;23;33;29;3;13;11},{3},4)</t>
  </si>
  <si>
    <t xml:space="preserve">_xlfn.FORECAST.ETS.SEASONALITY({93.33;83.9;5;63.3;15.2;44.6;79.7;86.4;32;20.1;51.7;15;64;31.1;57.79;82.3;41.6},{9;25;5;31;21;15;27;7;19;17;35;23;33;29;3;13;11})</t>
  </si>
  <si>
    <t xml:space="preserve">_xlfn.ORG.LIBREOFFICE.FORECAST.ETS.MULT({94,87},{14.7;2.5;15;2;15.6;3;18;16;3.64},{3;10;17;24;31;38;45;59;66},3)</t>
  </si>
  <si>
    <t xml:space="preserve">_xlfn.ORG.LIBREOFFICE.FORECAST.ETS.STAT.MULT({14.7;2.5;15;2;15.6;3;18;16;3.64},{3;10;17;24;31;38;45;59;66},{5},3)</t>
  </si>
  <si>
    <t xml:space="preserve">_xlfn.FORECAST.ETS.SEASONALITY({14.7;2.5;15;2;15.6;3;18;16;3.64},{3;10;17;24;31;38;45;59;66})</t>
  </si>
  <si>
    <t xml:space="preserve">_xlfn.ORG.LIBREOFFICE.FORECAST.ETS.MULT({16,13},{30.11;40;31.96;35;36.4;48.6;37.46;42.24;44.6;43.92;49.41},{1;2;3;4;5;6;7;8;9;11;12},1,0,2)</t>
  </si>
  <si>
    <t xml:space="preserve">_xlfn.ORG.LIBREOFFICE.FORECAST.ETS.STAT.MULT({30.11;40;31.96;35;36.4;48.6;37.46;42.24;44.6;43.92;49.41},{1;2;3;4;5;6;7;8;9;11;12},{5;3},1,0,2)</t>
  </si>
  <si>
    <t xml:space="preserve">_xlfn.FORECAST.ETS.SEASONALITY({30.11;40;31.96;35;36.4;48.6;37.46;42.24;44.6;43.92;49.41},{1;2;3;4;5;6;7;8;9;11;12})</t>
  </si>
  <si>
    <t xml:space="preserve">_xlfn.FORECAST.ETS(10.25,{12.32;12;12.32;12.3;12.3;12;12.3;12.32;12.32;12.3;12.3;12.3;12.32;12;12.32;12},{1;2;3;4;6;7;8;9;10;11;12;13;14;15;16;17},1,0,7)</t>
  </si>
  <si>
    <t xml:space="preserve">_xlfn.ORG.LIBREOFFICE.FORECAST.ETS.STAT.MULT({12.32;12;12.32;12.3;12.3;12;12.3;12.32;12.32;12.3;12.3;12.3;12.32;12;12.32;12},{1;2;3;4;6;7;8;9;10;11;12;13;14;15;16;17},{2;4;6;8;5;9;1;3;7},1,0,7)</t>
  </si>
  <si>
    <t xml:space="preserve">_xlfn.FORECAST.ETS.SEASONALITY({12.32;12;12.32;12.3;12.3;12;12.3;12.32;12.32;12.3;12.3;12.3;12.32;12;12.32;12},{1;2;3;4;6;7;8;9;10;11;12;13;14;15;16;17})</t>
  </si>
  <si>
    <t xml:space="preserve">_xlfn.FORECAST.ETS({5.5},{26;24.3;30.67;26.86},{1;2;3;4},2,,1)</t>
  </si>
  <si>
    <t xml:space="preserve">_xlfn.FORECAST.ETS.STAT({26;24.3;30.67;26.86},{1;2;3;4},{7},2,,1)</t>
  </si>
  <si>
    <t xml:space="preserve">_xlfn.FORECAST.ETS.SEASONALITY({26;24.3;30.67;26.86},{1;2;3;4})</t>
  </si>
  <si>
    <t xml:space="preserve">_xlfn.ORG.LIBREOFFICE.FORECAST.ETS.MULT({98},{36.8;30.6;26.1;55.5;49.56;37.14;31.7;28.6;56.04;49;52;39;33.8;30.37;59.4;50.2;52},{3;8;13;18;28;33;38;43;48;53;58;63;68;73;78;83;88})</t>
  </si>
  <si>
    <t xml:space="preserve">_xlfn.FORECAST.ETS.STAT({36.8;30.6;26.1;55.5;49.56;37.14;31.7;28.6;56.04;49;52;39;33.8;30.37;59.4;50.2;52},{3;8;13;18;28;33;38;43;48;53;58;63;68;73;78;83;88},{3;5;1;8;9;7;6;4;2})</t>
  </si>
  <si>
    <t xml:space="preserve">_xlfn.FORECAST.ETS.SEASONALITY({36.8;30.6;26.1;55.5;49.56;37.14;31.7;28.6;56.04;49;52;39;33.8;30.37;59.4;50.2;52},{3;8;13;18;28;33;38;43;48;53;58;63;68;73;78;83;88},1)</t>
  </si>
  <si>
    <t xml:space="preserve">_xlfn.FORECAST.ETS(3.625,{11;11;11;11;11.58;12.9;12;12.89;13;11.11;12;13.64;12;11},{1;1.5;2;2.5;3;3.5;4;4.5;5;5.5;6;6.5;7;7.5},1,0,4)</t>
  </si>
  <si>
    <t xml:space="preserve">_xlfn.ORG.LIBREOFFICE.FORECAST.ETS.STAT.MULT({11;11;11;11;11.58;12.9;12;12.89;13;11.11;12;13.64;12;11},{1;1.5;2;2.5;3;3.5;4;4.5;5;5.5;6;6.5;7;7.5},{5},1,0,4)</t>
  </si>
  <si>
    <t xml:space="preserve">_xlfn.FORECAST.ETS.SEASONALITY({11;11;11;11;11.58;12.9;12;12.89;13;11.11;12;13.64;12;11},{1;1.5;2;2.5;3;3.5;4;4.5;5;5.5;6;6.5;7;7.5},1)</t>
  </si>
  <si>
    <t xml:space="preserve">_xlfn.FORECAST.ETS.CONFINT(8,{11;11;11;11;11.58;12.9;12;12.89;13;11.11;12;13.64;12;11},{1;1.5;2;2.5;3;3.5;4;4.5;5;5.5;6;6.5;7;7.5},0.5,0,1)</t>
  </si>
  <si>
    <t xml:space="preserve">_xlfn.FORECAST.ETS({32,37},{49.3;44.8;48.2;44;46.3;43;52;46.4;47;48;45.91;43;47.58;46.3;42.6},{7;9;13;15;25;21;5;29;17;11;23;31;3;19;27})</t>
  </si>
  <si>
    <t xml:space="preserve">_xlfn.ORG.LIBREOFFICE.FORECAST.ETS.STAT.MULT({49.3;44.8;48.2;44;46.3;43;52;46.4;47;48;45.91;43;47.58;46.3;42.6},{7;9;13;15;25;21;5;29;17;11;23;31;3;19;27},{7})</t>
  </si>
  <si>
    <t xml:space="preserve">_xlfn.FORECAST.ETS.SEASONALITY({49.3;44.8;48.2;44;46.3;43;52;46.4;47;48;45.91;43;47.58;46.3;42.6},{7;9;13;15;25;21;5;29;17;11;23;31;3;19;27},1)</t>
  </si>
  <si>
    <t xml:space="preserve">_xlfn.ORG.LIBREOFFICE.FORECAST.ETS.PI.MULT(37,{49.3;44.8;48.2;44;46.3;43;52;46.4;47;48;45.91;43;47.58;46.3;42.6},{7;9;13;15;25;21;5;29;17;11;23;31;3;19;27},1,0,0)</t>
  </si>
  <si>
    <t xml:space="preserve">_xlfn.ORG.LIBREOFFICE.FORECAST.ETS.MULT({51;50},{39.59;40;39.6;39.6;39.6;39.59;39.59;40;39.59;39.6;39.59;39.6;39.6;39.6;39.6;39.59;39.59;39.59;39.59;39.6;39.6;40;39.59},{3;5;7;9;11;13;15;17;19;21;23;25;27;29;31;33;35;37;39;41;43;45;47},1)</t>
  </si>
  <si>
    <t xml:space="preserve">_xlfn.FORECAST.ETS.STAT({39.59;40;39.6;39.6;39.6;39.59;39.59;40;39.59;39.6;39.59;39.6;39.6;39.6;39.6;39.59;39.59;39.59;39.59;39.6;39.6;40;39.59},{3;5;7;9;11;13;15;17;19;21;23;25;27;29;31;33;35;37;39;41;43;45;47},{5},1)</t>
  </si>
  <si>
    <t xml:space="preserve">_xlfn.FORECAST.ETS.SEASONALITY({39.59;40;39.6;39.6;39.6;39.59;39.59;40;39.59;39.6;39.59;39.6;39.6;39.6;39.6;39.59;39.59;39.59;39.59;39.6;39.6;40;39.59},{3;5;7;9;11;13;15;17;19;21;23;25;27;29;31;33;35;37;39;41;43;45;47},1)</t>
  </si>
  <si>
    <t xml:space="preserve">_xlfn.FORECAST.ETS({45024,45024.5},{64.28;93;108.7;79.39;92;51;103.5;42.08;45.54;56.2;60.85;115;54;118.4;68;39;70.9;102;83;112;98.95;122;87.7;75},{45007;45015;45019;45011;45014;45003;45018;45001;45002;45005;45006;45021;45004;45022;45008;45000;45009;45017;45012;45020;45016;45023;45013;45010})</t>
  </si>
  <si>
    <t xml:space="preserve">_xlfn.FORECAST.ETS.STAT({64.28;93;108.7;79.39;92;51;103.5;42.08;45.54;56.2;60.85;115;54;118.4;68;39;70.9;102;83;112;98.95;122;87.7;75},{45007;45015;45019;45011;45014;45003;45018;45001;45002;45005;45006;45021;45004;45022;45008;45000;45009;45017;45012;45020;45016;45023;45013;45010},{8;7})</t>
  </si>
  <si>
    <t xml:space="preserve">_xlfn.FORECAST.ETS.SEASONALITY({64.28;93;108.7;79.39;92;51;103.5;42.08;45.54;56.2;60.85;115;54;118.4;68;39;70.9;102;83;112;98.95;122;87.7;75},{45007;45015;45019;45011;45014;45003;45018;45001;45002;45005;45006;45021;45004;45022;45008;45000;45009;45017;45012;45020;45016;45023;45013;45010},0,1)</t>
  </si>
  <si>
    <t xml:space="preserve">_xlfn.FORECAST.ETS({44847;44847;44877},{94.3;3.13;32.96;79.47;13.63;74},{44648;44679;44709;44740;44801;44832},1,0)</t>
  </si>
  <si>
    <t xml:space="preserve">_xlfn.ORG.LIBREOFFICE.FORECAST.ETS.STAT.MULT({94.3;3.13;32.96;79.47;13.63;74},{44648;44679;44709;44740;44801;44832},{6},1,0)</t>
  </si>
  <si>
    <t xml:space="preserve">_xlfn.FORECAST.ETS.SEASONALITY({94.3;3.13;32.96;79.47;13.63;74},{44648;44679;44709;44740;44801;44832})</t>
  </si>
  <si>
    <t xml:space="preserve">_xlfn.ORG.LIBREOFFICE.FORECAST.ETS.MULT(14.5,{77.26;57;92;58;73.7;86.1;41.4;68.34;79.5;55;8.08;12.74;19.5;61.2},{1;2;3;4;5;6;7;8;9;10;11;12;13;14},4,0)</t>
  </si>
  <si>
    <t xml:space="preserve">_xlfn.ORG.LIBREOFFICE.FORECAST.ETS.STAT.MULT({77.26;57;92;58;73.7;86.1;41.4;68.34;79.5;55;8.08;12.74;19.5;61.2},{1;2;3;4;5;6;7;8;9;10;11;12;13;14},{7},4,0)</t>
  </si>
  <si>
    <t xml:space="preserve">_xlfn.FORECAST.ETS.SEASONALITY({77.26;57;92;58;73.7;86.1;41.4;68.34;79.5;55;8.08;12.74;19.5;61.2},{1;2;3;4;5;6;7;8;9;10;11;12;13;14})</t>
  </si>
  <si>
    <t xml:space="preserve">_xlfn.ORG.LIBREOFFICE.FORECAST.ETS.MULT({19},{19.2;28;25.1;28;38.4;30.31;25.3;39;32;36.32;48;36;30;46;39;43;58.47;43},{1;2;3;4;5;6;7;8;9;10;11;12;13;14;15;16;17;18})</t>
  </si>
  <si>
    <t xml:space="preserve">_xlfn.FORECAST.ETS.STAT({19.2;28;25.1;28;38.4;30.31;25.3;39;32;36.32;48;36;30;46;39;43;58.47;43},{1;2;3;4;5;6;7;8;9;10;11;12;13;14;15;16;17;18},{2;4;7;1;3;8;5;6;9})</t>
  </si>
  <si>
    <t xml:space="preserve">_xlfn.FORECAST.ETS.SEASONALITY({19.2;28;25.1;28;38.4;30.31;25.3;39;32;36.32;48;36;30;46;39;43;58.47;43},{1;2;3;4;5;6;7;8;9;10;11;12;13;14;15;16;17;18},0,6)</t>
  </si>
  <si>
    <t xml:space="preserve">_xlfn.ORG.LIBREOFFICE.FORECAST.ETS.PI.MULT({19;20;21},{19.2;28;25.1;28;38.4;30.31;25.3;39;32;36.32;48;36;30;46;39;43;58.47;43},{1;2;3;4;5;6;7;8;9;10;11;12;13;14;15;16;17;18},0.9,0,1,5)</t>
  </si>
  <si>
    <t xml:space="preserve">_xlfn.ORG.LIBREOFFICE.FORECAST.ETS.MULT({10.5;10.5},{25.96;67;2;93.2;40;52;68.42;19;35.04},{2;9;1;7;6;8;4;5;3},1,0,5)</t>
  </si>
  <si>
    <t xml:space="preserve">_xlfn.FORECAST.ETS.STAT({25.96;67;2;93.2;40;52;68.42;19;35.04},{2;9;1;7;6;8;4;5;3},{6;2;8;7;9;1;4;5;3},1,0,5)</t>
  </si>
  <si>
    <t xml:space="preserve">_xlfn.FORECAST.ETS.SEASONALITY({25.96;67;2;93.2;40;52;68.42;19;35.04},{2;9;1;7;6;8;4;5;3},0)</t>
  </si>
  <si>
    <t xml:space="preserve">_xlfn.ORG.LIBREOFFICE.FORECAST.ETS.MULT({7},{16.32;16;16.3;16.32},{1;2;3;4},2,0,4)</t>
  </si>
  <si>
    <t xml:space="preserve">_xlfn.ORG.LIBREOFFICE.FORECAST.ETS.STAT.MULT({16.32;16;16.3;16.32},{1;2;3;4},{6;3},2,0,4)</t>
  </si>
  <si>
    <t xml:space="preserve">_xlfn.FORECAST.ETS.SEASONALITY({16.32;16;16.3;16.32},{1;2;3;4},0)</t>
  </si>
  <si>
    <t xml:space="preserve">_xlfn.ORG.LIBREOFFICE.FORECAST.ETS.PI.MULT(7,{16.32;16;16.3;16.32},{1;2;3;4},0.9,0,1,2)</t>
  </si>
  <si>
    <t xml:space="preserve">_xlfn.FORECAST.ETS(1.75,{23.8;15.2;26.9;17.07},{1;1.5;2;2.5})</t>
  </si>
  <si>
    <t xml:space="preserve">_xlfn.ORG.LIBREOFFICE.FORECAST.ETS.STAT.MULT({23.8;15.2;26.9;17.07},{1;1.5;2;2.5},{7;1;5;3;2;8;9;6;4})</t>
  </si>
  <si>
    <t xml:space="preserve">_xlfn.FORECAST.ETS.SEASONALITY({23.8;15.2;26.9;17.07},{1;1.5;2;2.5},0,1)</t>
  </si>
  <si>
    <t xml:space="preserve">_xlfn.ORG.LIBREOFFICE.FORECAST.ETS.MULT({14},{14.2;42.93;32.1;29.42;37;30.25;75.05;53.32;47;58.4;45.3;105.37;76.3;64.47;80.7;59.03;137.97;95;84;99.51;74.44;119;99.26;120.97},{1;1.5;2;2.5;3;3.5;4;4.5;5;5.5;6;6.5;7;7.5;8;8.5;9;9.5;10;10.5;11;12;12.5;13},5,0,7)</t>
  </si>
  <si>
    <t xml:space="preserve">_xlfn.ORG.LIBREOFFICE.FORECAST.ETS.STAT.MULT({14.2;42.93;32.1;29.42;37;30.25;75.05;53.32;47;58.4;45.3;105.37;76.3;64.47;80.7;59.03;137.97;95;84;99.51;74.44;119;99.26;120.97},{1;1.5;2;2.5;3;3.5;4;4.5;5;5.5;6;6.5;7;7.5;8;8.5;9;9.5;10;10.5;11;12;12.5;13},{4;8},5,0,7)</t>
  </si>
  <si>
    <t xml:space="preserve">_xlfn.FORECAST.ETS.SEASONALITY({14.2;42.93;32.1;29.42;37;30.25;75.05;53.32;47;58.4;45.3;105.37;76.3;64.47;80.7;59.03;137.97;95;84;99.51;74.44;119;99.26;120.97},{1;1.5;2;2.5;3;3.5;4;4.5;5;5.5;6;6.5;7;7.5;8;8.5;9;9.5;10;10.5;11;12;12.5;13},0,1)</t>
  </si>
  <si>
    <t xml:space="preserve">_xlfn.ORG.LIBREOFFICE.FORECAST.ETS.MULT({108},{25;27;25.9;26.05;29.5;30;32;33;32.3;35;35.34},{3;10;17;24;31;38;45;52;59;73;80},5,,7)</t>
  </si>
  <si>
    <t xml:space="preserve">_xlfn.FORECAST.ETS.STAT({25;27;25.9;26.05;29.5;30;32;33;32.3;35;35.34},{3;10;17;24;31;38;45;52;59;73;80},{7},5,,7)</t>
  </si>
  <si>
    <t xml:space="preserve">_xlfn.FORECAST.ETS.SEASONALITY({25;27;25.9;26.05;29.5;30;32;33;32.3;35;35.34},{3;10;17;24;31;38;45;52;59;73;80})</t>
  </si>
  <si>
    <t xml:space="preserve">_xlfn.FORECAST.ETS(45002,{28.31;27.37;31;36.9;28.29;31.6;28.44},{45000;45001;45002;45002;45003;45004;45005})</t>
  </si>
  <si>
    <t xml:space="preserve">_xlfn.ORG.LIBREOFFICE.FORECAST.ETS.STAT.MULT({28.31;27.37;31;36.9;28.29;31.6;28.44},{45000;45001;45002;45002;45003;45004;45005},{6;4;3;1;7;9;2;8;5})</t>
  </si>
  <si>
    <t xml:space="preserve">_xlfn.FORECAST.ETS.SEASONALITY({28.31;27.37;31;36.9;28.29;31.6;28.44},{45000;45001;45002;45002;45003;45004;45005},1,2)</t>
  </si>
  <si>
    <t xml:space="preserve">_xlfn.ORG.LIBREOFFICE.FORECAST.ETS.MULT(45167,{43.09;31.2;40.1;31;33.31;32;40.87;27.55;35.7;27.05;30.59;27.3},{44713;44743;44774;44805;44835;44866;44896;44927;44958;44986;45017;45047},1,1,7)</t>
  </si>
  <si>
    <t xml:space="preserve">_xlfn.ORG.LIBREOFFICE.FORECAST.ETS.STAT.MULT({43.09;31.2;40.1;31;33.31;32;40.87;27.55;35.7;27.05;30.59;27.3},{44713;44743;44774;44805;44835;44866;44896;44927;44958;44986;45017;45047},{1;6},1,1,7)</t>
  </si>
  <si>
    <t xml:space="preserve">_xlfn.FORECAST.ETS.SEASONALITY({43.09;31.2;40.1;31;33.31;32;40.87;27.55;35.7;27.05;30.59;27.3},{44713;44743;44774;44805;44835;44866;44896;44927;44958;44986;45017;45047})</t>
  </si>
  <si>
    <t xml:space="preserve">_xlfn.ORG.LIBREOFFICE.FORECAST.ETS.MULT({18.5;19},{20.8;20.8;20.8;20.8;20.8;20.82;20.8;20.8;20.8;20.8;20.82;20.8;21;20.82;20.8;20.82},{1;2;3;4;6;7;8;9;10;11;12;13;14;15;16;17},1,1,7)</t>
  </si>
  <si>
    <t xml:space="preserve">_xlfn.ORG.LIBREOFFICE.FORECAST.ETS.STAT.MULT({20.8;20.8;20.8;20.8;20.8;20.82;20.8;20.8;20.8;20.8;20.82;20.8;21;20.82;20.8;20.82},{1;2;3;4;6;7;8;9;10;11;12;13;14;15;16;17},{6},1,1,7)</t>
  </si>
  <si>
    <t xml:space="preserve">_xlfn.FORECAST.ETS.SEASONALITY({20.8;20.8;20.8;20.8;20.8;20.82;20.8;20.8;20.8;20.8;20.82;20.8;21;20.82;20.8;20.82},{1;2;3;4;6;7;8;9;10;11;12;13;14;15;16;17},0,2)</t>
  </si>
  <si>
    <t xml:space="preserve">_xlfn.FORECAST.ETS.CONFINT(19,{20.8;20.8;20.8;20.8;20.8;20.82;20.8;20.8;20.8;20.8;20.82;20.8;21;20.82;20.8;20.82},{1;2;3;4;6;7;8;9;10;11;12;13;14;15;16;17},0,0,1,3)</t>
  </si>
  <si>
    <t xml:space="preserve">_xlfn.ORG.LIBREOFFICE.FORECAST.ETS.MULT({10.5;14},{56.95;35.6;26.5;56.29;53.59;35;49;22.02;50;45.09;30},{1;1;2;3;4;5;6;7;8;9;10})</t>
  </si>
  <si>
    <t xml:space="preserve">_xlfn.ORG.LIBREOFFICE.FORECAST.ETS.STAT.MULT({56.95;35.6;26.5;56.29;53.59;35;49;22.02;50;45.09;30},{1;1;2;3;4;5;6;7;8;9;10},{8;9;3;5;6;1;7;4;2})</t>
  </si>
  <si>
    <t xml:space="preserve">_xlfn.FORECAST.ETS.SEASONALITY({56.95;35.6;26.5;56.29;53.59;35;49;22.02;50;45.09;30},{1;1;2;3;4;5;6;7;8;9;10})</t>
  </si>
  <si>
    <t xml:space="preserve">_xlfn.ORG.LIBREOFFICE.FORECAST.ETS.PI.MULT(13,{56.95;35.6;26.5;56.29;53.59;35;49;22.02;50;45.09;30},{1;1;2;3;4;5;6;7;8;9;10},0.5,0,1)</t>
  </si>
  <si>
    <t xml:space="preserve">_xlfn.ORG.LIBREOFFICE.FORECAST.ETS.MULT({45639,45579,45534},{88.07;83.22;14.5;81.66;52;80;34;11;78;82.61;99;4;88.22;63.9;45.99;98;69.46;90;57;75;36.5;71.02;20.82},{44849;44880;44910;44941;44972;45000;45031;45061;45092;45122;45153;45184;45214;45245;45275;45306;45337;45366;45397;45427;45458;45488;45519},2)</t>
  </si>
  <si>
    <t xml:space="preserve">_xlfn.FORECAST.ETS.STAT({88.07;83.22;14.5;81.66;52;80;34;11;78;82.61;99;4;88.22;63.9;45.99;98;69.46;90;57;75;36.5;71.02;20.82},{44849;44880;44910;44941;44972;45000;45031;45061;45092;45122;45153;45184;45214;45245;45275;45306;45337;45366;45397;45427;45458;45488;45519},{9},2)</t>
  </si>
  <si>
    <t xml:space="preserve">_xlfn.FORECAST.ETS.SEASONALITY({88.07;83.22;14.5;81.66;52;80;34;11;78;82.61;99;4;88.22;63.9;45.99;98;69.46;90;57;75;36.5;71.02;20.82},{44849;44880;44910;44941;44972;45000;45031;45061;45092;45122;45153;45184;45214;45245;45275;45306;45337;45366;45397;45427;45458;45488;45519},1)</t>
  </si>
  <si>
    <t xml:space="preserve">_xlfn.FORECAST.ETS({37},{11;18.3;17.72;14.3;11.44;26;29.85;32;31.93;29.73;24.6;40.3;41.6;35.89;44.6;44.56;40.9;38.2;52.8;54;50;56;57.03;54.68;50;67;68.87;63.7;70;71.2;70;63.8;78;80.61},{1;2;3;4;5;6;7;9;10;11;12;13;14;15;16;17;18;19;20;21;22;23;24;25;26;27;28;29;30;31;32;33;34;35},7,1)</t>
  </si>
  <si>
    <t xml:space="preserve">_xlfn.ORG.LIBREOFFICE.FORECAST.ETS.STAT.MULT({11;18.3;17.72;14.3;11.44;26;29.85;32;31.93;29.73;24.6;40.3;41.6;35.89;44.6;44.56;40.9;38.2;52.8;54;50;56;57.03;54.68;50;67;68.87;63.7;70;71.2;70;63.8;78;80.61},{1;2;3;4;5;6;7;9;10;11;12;13;14;15;16;17;18;19;20;21;22;23;24;25;26;27;28;29;30;31;32;33;34;35},{4;7;6;1;5;3;8;2;9},7,1)</t>
  </si>
  <si>
    <t xml:space="preserve">_xlfn.FORECAST.ETS.SEASONALITY({11;18.3;17.72;14.3;11.44;26;29.85;32;31.93;29.73;24.6;40.3;41.6;35.89;44.6;44.56;40.9;38.2;52.8;54;50;56;57.03;54.68;50;67;68.87;63.7;70;71.2;70;63.8;78;80.61},{1;2;3;4;5;6;7;9;10;11;12;13;14;15;16;17;18;19;20;21;22;23;24;25;26;27;28;29;30;31;32;33;34;35})</t>
  </si>
  <si>
    <t xml:space="preserve">_xlfn.ORG.LIBREOFFICE.FORECAST.ETS.MULT({10},{30.6;30.6;31;31;30.6;30.64;31;30.64;23.4;31},{1;2;3;4;5;6;7;8;8;9},0,1)</t>
  </si>
  <si>
    <t xml:space="preserve">_xlfn.FORECAST.ETS.STAT({30.6;30.6;31;31;30.6;30.64;31;30.64;23.4;31},{1;2;3;4;5;6;7;8;8;9},{1},0,1)</t>
  </si>
  <si>
    <t xml:space="preserve">_xlfn.FORECAST.ETS.SEASONALITY({30.6;30.6;31;31;30.6;30.64;31;30.64;23.4;31},{1;2;3;4;5;6;7;8;8;9})</t>
  </si>
  <si>
    <t xml:space="preserve">_xlfn.FORECAST.ETS.CONFINT({10;11;12},{30.6;30.6;31;31;30.6;30.64;31;30.64;23.4;31},{1;2;3;4;5;6;7;8;8;9},0.99,0,0)</t>
  </si>
  <si>
    <t xml:space="preserve">_xlfn.ORG.LIBREOFFICE.FORECAST.ETS.MULT({12,10.25},{27;26.9;27;26.9;26.9;26.87;27;26.9;26.9;26.9;26.9;27;26.87;26.9;26.87;27;27;27;27},{1;1.5;2;2.5;3;3.5;4;4.5;5;5.5;6;6.5;7;7.5;8;8.5;9;9.5;10})</t>
  </si>
  <si>
    <t xml:space="preserve">_xlfn.ORG.LIBREOFFICE.FORECAST.ETS.STAT.MULT({27;26.9;27;26.9;26.9;26.87;27;26.9;26.9;26.9;26.9;27;26.87;26.9;26.87;27;27;27;27},{1;1.5;2;2.5;3;3.5;4;4.5;5;5.5;6;6.5;7;7.5;8;8.5;9;9.5;10},{4;8})</t>
  </si>
  <si>
    <t xml:space="preserve">_xlfn.FORECAST.ETS.SEASONALITY({27;26.9;27;26.9;26.9;26.87;27;26.9;26.9;26.9;26.9;27;26.87;26.9;26.87;27;27;27;27},{1;1.5;2;2.5;3;3.5;4;4.5;5;5.5;6;6.5;7;7.5;8;8.5;9;9.5;10},1,5)</t>
  </si>
  <si>
    <t xml:space="preserve">_xlfn.FORECAST.ETS({68;60.5},{16;19.4;24;25;28;32.44;36;39.04;40;46;46.77},{3;8;13;18;23;28;33;38;43;48;53},0)</t>
  </si>
  <si>
    <t xml:space="preserve">_xlfn.ORG.LIBREOFFICE.FORECAST.ETS.STAT.MULT({16;19.4;24;25;28;32.44;36;39.04;40;46;46.77},{3;8;13;18;23;28;33;38;43;48;53},{2;5;7;9;1;6;3;4;8},0)</t>
  </si>
  <si>
    <t xml:space="preserve">_xlfn.FORECAST.ETS.SEASONALITY({16;19.4;24;25;28;32.44;36;39.04;40;46;46.77},{3;8;13;18;23;28;33;38;43;48;53})</t>
  </si>
  <si>
    <t xml:space="preserve">_xlfn.ORG.LIBREOFFICE.FORECAST.ETS.MULT(13,{36.4;37;34.61;35.9;33;32;32.23;30.23;32;30;28;28.27;28;26;25.43},{1;2;3;4;5;6;7;8;9;10;11;12;13;14;15})</t>
  </si>
  <si>
    <t xml:space="preserve">_xlfn.FORECAST.ETS.STAT({36.4;37;34.61;35.9;33;32;32.23;30.23;32;30;28;28.27;28;26;25.43},{1;2;3;4;5;6;7;8;9;10;11;12;13;14;15},{9;6;1;2;8;4;5;3;7})</t>
  </si>
  <si>
    <t xml:space="preserve">_xlfn.FORECAST.ETS.SEASONALITY({36.4;37;34.61;35.9;33;32;32.23;30.23;32;30;28;28.27;28;26;25.43},{1;2;3;4;5;6;7;8;9;10;11;12;13;14;15})</t>
  </si>
  <si>
    <t xml:space="preserve">_xlfn.ORG.LIBREOFFICE.FORECAST.ETS.MULT({39;39},{26.39;39.35;38.7;40.09;41;54.38;53.2;56;56;71;67.5;68.77;71.3;87;43.7;83.9;84},{3;5;7;9;11;13;15;17;19;21;23;25;27;29;29;31;33})</t>
  </si>
  <si>
    <t xml:space="preserve">_xlfn.FORECAST.ETS.STAT({26.39;39.35;38.7;40.09;41;54.38;53.2;56;56;71;67.5;68.77;71.3;87;43.7;83.9;84},{3;5;7;9;11;13;15;17;19;21;23;25;27;29;29;31;33},{2;5})</t>
  </si>
  <si>
    <t xml:space="preserve">_xlfn.FORECAST.ETS.SEASONALITY({26.39;39.35;38.7;40.09;41;54.38;53.2;56;56;71;67.5;68.77;71.3;87;43.7;83.9;84},{3;5;7;9;11;13;15;17;19;21;23;25;27;29;29;31;33},1)</t>
  </si>
  <si>
    <t xml:space="preserve">_xlfn.ORG.LIBREOFFICE.FORECAST.ETS.MULT(14,{51.31;77.58;65.4;72.31;9.4;45.1;73.81;94.6;55.2;21.1;86.1},{1;2;3;4;4;5;6;7;8;9;10},1,0)</t>
  </si>
  <si>
    <t xml:space="preserve">_xlfn.FORECAST.ETS.STAT({51.31;77.58;65.4;72.31;9.4;45.1;73.81;94.6;55.2;21.1;86.1},{1;2;3;4;4;5;6;7;8;9;10},{2;5;1;7;4;6;8;3;9},1,0)</t>
  </si>
  <si>
    <t xml:space="preserve">_xlfn.FORECAST.ETS.SEASONALITY({51.31;77.58;65.4;72.31;9.4;45.1;73.81;94.6;55.2;21.1;86.1},{1;2;3;4;4;5;6;7;8;9;10})</t>
  </si>
  <si>
    <t xml:space="preserve">_xlfn.FORECAST.ETS.CONFINT(11,{51.31;77.58;65.4;72.31;9.4;45.1;73.81;94.6;55.2;21.1;86.1},{1;2;3;4;4;5;6;7;8;9;10},0.95,0)</t>
  </si>
  <si>
    <t xml:space="preserve">_xlfn.ORG.LIBREOFFICE.FORECAST.ETS.MULT({7.5,7},{51;40.9;11.97;35;23;31.48;58.5;55;46.29;9;26;18.3},{5.5;4.5;1.5;4;2.5;3.5;6.5;6;5;1;3;2},6,0)</t>
  </si>
  <si>
    <t xml:space="preserve">_xlfn.FORECAST.ETS.STAT({51;40.9;11.97;35;23;31.48;58.5;55;46.29;9;26;18.3},{5.5;4.5;1.5;4;2.5;3.5;6.5;6;5;1;3;2},{4;2;9;1;7;5;6;8;3},6,0)</t>
  </si>
  <si>
    <t xml:space="preserve">_xlfn.FORECAST.ETS.SEASONALITY({51;40.9;11.97;35;23;31.48;58.5;55;46.29;9;26;18.3},{5.5;4.5;1.5;4;2.5;3.5;6.5;6;5;1;3;2},0)</t>
  </si>
  <si>
    <t xml:space="preserve">_xlfn.ORG.LIBREOFFICE.FORECAST.ETS.PI.MULT(8,{51;40.9;11.97;35;23;31.48;58.5;55;46.29;9;26;18.3},{5.5;4.5;1.5;4;2.5;3.5;6.5;6;5;1;3;2},0.95,0)</t>
  </si>
  <si>
    <t xml:space="preserve">_xlfn.ORG.LIBREOFFICE.FORECAST.ETS.MULT({42},{26;31;35.6;39.7;43.8;49.7;56;58;64.49;69.9;74.1;79;84;89.6;94.32;100;103.3;109.29;113},{3;5;7;9;11;13;15;17;19;21;23;25;27;29;31;33;35;37;39},7)</t>
  </si>
  <si>
    <t xml:space="preserve">_xlfn.FORECAST.ETS.STAT({26;31;35.6;39.7;43.8;49.7;56;58;64.49;69.9;74.1;79;84;89.6;94.32;100;103.3;109.29;113},{3;5;7;9;11;13;15;17;19;21;23;25;27;29;31;33;35;37;39},{4},7)</t>
  </si>
  <si>
    <t xml:space="preserve">_xlfn.FORECAST.ETS.SEASONALITY({26;31;35.6;39.7;43.8;49.7;56;58;64.49;69.9;74.1;79;84;89.6;94.32;100;103.3;109.29;113},{3;5;7;9;11;13;15;17;19;21;23;25;27;29;31;33;35;37;39})</t>
  </si>
  <si>
    <t xml:space="preserve">_xlfn.FORECAST.ETS(45011,{16;16;16;16;16;15.99;16;16;15.99;16},{45000;45001;45002;45003;45004;45005;45006;45007;45008;45009},1,,2)</t>
  </si>
  <si>
    <t xml:space="preserve">_xlfn.FORECAST.ETS.STAT({16;16;16;16;16;15.99;16;16;15.99;16},{45000;45001;45002;45003;45004;45005;45006;45007;45008;45009},{6;3;4;2;5;7;8;1;9},1,,2)</t>
  </si>
  <si>
    <t xml:space="preserve">_xlfn.FORECAST.ETS.SEASONALITY({16;16;16;16;16;15.99;16;16;15.99;16},{45000;45001;45002;45003;45004;45005;45006;45007;45008;45009},1,7)</t>
  </si>
  <si>
    <t xml:space="preserve">_xlfn.FORECAST.ETS.CONFINT(45011,{16;16;16;16;16;15.99;16;16;15.99;16},{45000;45001;45002;45003;45004;45005;45006;45007;45008;45009},0.5,0)</t>
  </si>
  <si>
    <t xml:space="preserve">_xlfn.FORECAST.ETS(25,{13.64;21;21.12;20.31;14.56;13;12.9;21.7;21.4;19;15.7;22;12.8;14.6;23.95;22;19.75;17;22;13.01},{1;2;3;4;5;7;8;9;10;11;12;13;14;15;16;17;18;19;20;21},7,1)</t>
  </si>
  <si>
    <t xml:space="preserve">_xlfn.ORG.LIBREOFFICE.FORECAST.ETS.STAT.MULT({13.64;21;21.12;20.31;14.56;13;12.9;21.7;21.4;19;15.7;22;12.8;14.6;23.95;22;19.75;17;22;13.01},{1;2;3;4;5;7;8;9;10;11;12;13;14;15;16;17;18;19;20;21},{2;7;3;5;1;6;8;9;4},7,1)</t>
  </si>
  <si>
    <t xml:space="preserve">_xlfn.FORECAST.ETS.SEASONALITY({13.64;21;21.12;20.31;14.56;13;12.9;21.7;21.4;19;15.7;22;12.8;14.6;23.95;22;19.75;17;22;13.01},{1;2;3;4;5;7;8;9;10;11;12;13;14;15;16;17;18;19;20;21},1)</t>
  </si>
  <si>
    <t xml:space="preserve">_xlfn.ORG.LIBREOFFICE.FORECAST.ETS.MULT(23,{63;34.1;10.9;19.3;24.7;11.75;23;27;14;65;52;55.6;65;63.41;43.99;49.6;40.85;46.23;66;28;33;2;82.7},{1;2;3;4;5;6;7;8;9;10;11;12;13;14;15;16;17;18;19;20;21;22;23})</t>
  </si>
  <si>
    <t xml:space="preserve">_xlfn.FORECAST.ETS.STAT({63;34.1;10.9;19.3;24.7;11.75;23;27;14;65;52;55.6;65;63.41;43.99;49.6;40.85;46.23;66;28;33;2;82.7},{1;2;3;4;5;6;7;8;9;10;11;12;13;14;15;16;17;18;19;20;21;22;23},{4})</t>
  </si>
  <si>
    <t xml:space="preserve">_xlfn.FORECAST.ETS.SEASONALITY({63;34.1;10.9;19.3;24.7;11.75;23;27;14;65;52;55.6;65;63.41;43.99;49.6;40.85;46.23;66;28;33;2;82.7},{1;2;3;4;5;6;7;8;9;10;11;12;13;14;15;16;17;18;19;20;21;22;23},1)</t>
  </si>
  <si>
    <t xml:space="preserve">_xlfn.FORECAST.ETS(293,{40;46;41;45.88;41;34.91;42.79;34.8;39.6;26.9;35.7;29.88;33.73;29.7;33;22.84;29;25;29.8;24.64;24.9;18.92;23.17;20.3;22;17.8;20.7;13.6;17.84},{3;13;23;33;53;63;73;83;93;103;113;123;133;143;153;163;173;183;193;203;213;223;233;243;253;263;273;283;293})</t>
  </si>
  <si>
    <t xml:space="preserve">_xlfn.ORG.LIBREOFFICE.FORECAST.ETS.STAT.MULT({40;46;41;45.88;41;34.91;42.79;34.8;39.6;26.9;35.7;29.88;33.73;29.7;33;22.84;29;25;29.8;24.64;24.9;18.92;23.17;20.3;22;17.8;20.7;13.6;17.84},{3;13;23;33;53;63;73;83;93;103;113;123;133;143;153;163;173;183;193;203;213;223;233;243;253;263;273;283;293},{3;4})</t>
  </si>
  <si>
    <t xml:space="preserve">_xlfn.FORECAST.ETS.SEASONALITY({40;46;41;45.88;41;34.91;42.79;34.8;39.6;26.9;35.7;29.88;33.73;29.7;33;22.84;29;25;29.8;24.64;24.9;18.92;23.17;20.3;22;17.8;20.7;13.6;17.84},{3;13;23;33;53;63;73;83;93;103;113;123;133;143;153;163;173;183;193;203;213;223;233;243;253;263;273;283;293},0)</t>
  </si>
  <si>
    <t xml:space="preserve">_xlfn.ORG.LIBREOFFICE.FORECAST.ETS.MULT(11,{20.19;24.25;22;34.15;31.2;26;27.9;40;31.6;19;36.77;35.64;37;33.12;24.83;23;27.7;29.46},{9;7;8;3.5;4;6.5;6;1;4.5;9.5;2;2.5;1.5;3;7.5;8.5;5.5;5},7,0)</t>
  </si>
  <si>
    <t xml:space="preserve">_xlfn.ORG.LIBREOFFICE.FORECAST.ETS.STAT.MULT({20.19;24.25;22;34.15;31.2;26;27.9;40;31.6;19;36.77;35.64;37;33.12;24.83;23;27.7;29.46},{9;7;8;3.5;4;6.5;6;1;4.5;9.5;2;2.5;1.5;3;7.5;8.5;5.5;5},{1;3;4;5;8;7;2;6;9},7,0)</t>
  </si>
  <si>
    <t xml:space="preserve">_xlfn.FORECAST.ETS.SEASONALITY({20.19;24.25;22;34.15;31.2;26;27.9;40;31.6;19;36.77;35.64;37;33.12;24.83;23;27.7;29.46},{9;7;8;3.5;4;6.5;6;1;4.5;9.5;2;2.5;1.5;3;7.5;8.5;5.5;5},0)</t>
  </si>
  <si>
    <t xml:space="preserve">_xlfn.ORG.LIBREOFFICE.FORECAST.ETS.MULT({25.5},{10.8;12.72;15.9;16.2;18;21.3;24.16;24.96;27;29.7;31.5;34.3;34.6;36.11;39;42.7;45.3;48;50.4;52.79;55;56;58.9},{1;2;3;4;5;6;7;8;9;10;11;12;13;14;15;17;18;19;20;21;22;23;24},1,,5)</t>
  </si>
  <si>
    <t xml:space="preserve">_xlfn.ORG.LIBREOFFICE.FORECAST.ETS.STAT.MULT({10.8;12.72;15.9;16.2;18;21.3;24.16;24.96;27;29.7;31.5;34.3;34.6;36.11;39;42.7;45.3;48;50.4;52.79;55;56;58.9},{1;2;3;4;5;6;7;8;9;10;11;12;13;14;15;17;18;19;20;21;22;23;24},{7},1,,5)</t>
  </si>
  <si>
    <t xml:space="preserve">_xlfn.FORECAST.ETS.SEASONALITY({10.8;12.72;15.9;16.2;18;21.3;24.16;24.96;27;29.7;31.5;34.3;34.6;36.11;39;42.7;45.3;48;50.4;52.79;55;56;58.9},{1;2;3;4;5;6;7;8;9;10;11;12;13;14;15;17;18;19;20;21;22;23;24})</t>
  </si>
  <si>
    <t xml:space="preserve">_xlfn.ORG.LIBREOFFICE.FORECAST.ETS.MULT(44826.5,{47;49;48.22;46.91;49.8;48.92;47},{44607;44635;44666;44696;44727;44788;44819},2,0,1)</t>
  </si>
  <si>
    <t xml:space="preserve">_xlfn.FORECAST.ETS.STAT({47;49;48.22;46.91;49.8;48.92;47},{44607;44635;44666;44696;44727;44788;44819},{2},2,0,1)</t>
  </si>
  <si>
    <t xml:space="preserve">_xlfn.FORECAST.ETS.SEASONALITY({47;49;48.22;46.91;49.8;48.92;47},{44607;44635;44666;44696;44727;44788;44819})</t>
  </si>
  <si>
    <t xml:space="preserve">_xlfn.ORG.LIBREOFFICE.FORECAST.ETS.MULT({9.75,9.75,10},{10.4;13.98;16;18.8;23.31;27.1;29;34.12;36.1;38.7;43.2;47;48.59;54.54;55.89;59.7;63.7},{1;1.5;2;2.5;3;3.5;4;4.5;5;5.5;6;6.5;7;7.5;8;8.5;9})</t>
  </si>
  <si>
    <t xml:space="preserve">_xlfn.FORECAST.ETS.STAT({10.4;13.98;16;18.8;23.31;27.1;29;34.12;36.1;38.7;43.2;47;48.59;54.54;55.89;59.7;63.7},{1;1.5;2;2.5;3;3.5;4;4.5;5;5.5;6;6.5;7;7.5;8;8.5;9},{8;5})</t>
  </si>
  <si>
    <t xml:space="preserve">_xlfn.FORECAST.ETS.SEASONALITY({10.4;13.98;16;18.8;23.31;27.1;29;34.12;36.1;38.7;43.2;47;48.59;54.54;55.89;59.7;63.7},{1;1.5;2;2.5;3;3.5;4;4.5;5;5.5;6;6.5;7;7.5;8;8.5;9},1,2)</t>
  </si>
  <si>
    <t xml:space="preserve">_xlfn.ORG.LIBREOFFICE.FORECAST.ETS.MULT({36},{39.6;29;45.23;36.5;39.8;36;23.34;27.59;22.16;32.75;27;26.35;24.5;14.49;19;13.8;20.3;15.8;14.5;11;8.2;8;21.4;6;5.93;3.29;3;0.2;1;2;0.82;1.5;0.54;1;0.22;1.4},{1;2;3;4;5;6;7;8;9;10;11;12;13;14;15;16;17;18;19;20;21;22;22;23;24;25;26;27;28;29;30;31;32;33;34;35},0)</t>
  </si>
  <si>
    <t xml:space="preserve">_xlfn.ORG.LIBREOFFICE.FORECAST.ETS.STAT.MULT({39.6;29;45.23;36.5;39.8;36;23.34;27.59;22.16;32.75;27;26.35;24.5;14.49;19;13.8;20.3;15.8;14.5;11;8.2;8;21.4;6;5.93;3.29;3;0.2;1;2;0.82;1.5;0.54;1;0.22;1.4},{1;2;3;4;5;6;7;8;9;10;11;12;13;14;15;16;17;18;19;20;21;22;22;23;24;25;26;27;28;29;30;31;32;33;34;35},{7},0)</t>
  </si>
  <si>
    <t xml:space="preserve">_xlfn.FORECAST.ETS.SEASONALITY({39.6;29;45.23;36.5;39.8;36;23.34;27.59;22.16;32.75;27;26.35;24.5;14.49;19;13.8;20.3;15.8;14.5;11;8.2;8;21.4;6;5.93;3.29;3;0.2;1;2;0.82;1.5;0.54;1;0.22;1.4},{1;2;3;4;5;6;7;8;9;10;11;12;13;14;15;16;17;18;19;20;21;22;22;23;24;25;26;27;28;29;30;31;32;33;34;35})</t>
  </si>
  <si>
    <t xml:space="preserve">_xlfn.FORECAST.ETS({45197},{25;37.18;41.76;24;7.31;41.27;21;11;17.2;28.4;19.8;23.1;4.04;2.1},{44834;45077;45046;44804;44773;45016;44957;44712;44895;44926;44865;44985;44742;44681})</t>
  </si>
  <si>
    <t xml:space="preserve">_xlfn.ORG.LIBREOFFICE.FORECAST.ETS.STAT.MULT({25;37.18;41.76;24;7.31;41.27;21;11;17.2;28.4;19.8;23.1;4.04;2.1},{44834;45077;45046;44804;44773;45016;44957;44712;44895;44926;44865;44985;44742;44681},{4;6})</t>
  </si>
  <si>
    <t xml:space="preserve">_xlfn.FORECAST.ETS.SEASONALITY({25;37.18;41.76;24;7.31;41.27;21;11;17.2;28.4;19.8;23.1;4.04;2.1},{44834;45077;45046;44804;44773;45016;44957;44712;44895;44926;44865;44985;44742;44681},0)</t>
  </si>
  <si>
    <t xml:space="preserve">_xlfn.FORECAST.ETS({10;12;10.5},{26.9;27.8;22;29;21;33.3;33;24;19.2},{6;5;3;7;2;8;9;4;1},3)</t>
  </si>
  <si>
    <t xml:space="preserve">_xlfn.ORG.LIBREOFFICE.FORECAST.ETS.STAT.MULT({26.9;27.8;22;29;21;33.3;33;24;19.2},{6;5;3;7;2;8;9;4;1},{1},3)</t>
  </si>
  <si>
    <t xml:space="preserve">_xlfn.FORECAST.ETS.SEASONALITY({26.9;27.8;22;29;21;33.3;33;24;19.2},{6;5;3;7;2;8;9;4;1},1,2)</t>
  </si>
  <si>
    <t xml:space="preserve">_xlfn.ORG.LIBREOFFICE.FORECAST.ETS.MULT(15,{15.76;15.67;28;24.77;24;25.56;28.67;28.1;41;38.2;39;40.6},{1;2;3;4;5;6;7;8;9;10;11;12},3)</t>
  </si>
  <si>
    <t xml:space="preserve">_xlfn.FORECAST.ETS.STAT({15.76;15.67;28;24.77;24;25.56;28.67;28.1;41;38.2;39;40.6},{1;2;3;4;5;6;7;8;9;10;11;12},{3;9;6;1;5;4;8;7;2},3)</t>
  </si>
  <si>
    <t xml:space="preserve">_xlfn.FORECAST.ETS.SEASONALITY({15.76;15.67;28;24.77;24;25.56;28.67;28.1;41;38.2;39;40.6},{1;2;3;4;5;6;7;8;9;10;11;12},1)</t>
  </si>
  <si>
    <t xml:space="preserve">_xlfn.FORECAST.ETS({25},{23;23;23.28;23;23.3;23;23;23;23;23.3;23;23;23.3;23;23.3;23.28;23.28;23;23.3;23;23.28;23;23;23.28},{1;2;3;4;5;6;7;8;9;10;11;12;13;14;15;16;17;18;19;20;21;22;23;24},2)</t>
  </si>
  <si>
    <t xml:space="preserve">_xlfn.ORG.LIBREOFFICE.FORECAST.ETS.STAT.MULT({23;23;23.28;23;23.3;23;23;23;23;23.3;23;23;23.3;23;23.3;23.28;23.28;23;23.3;23;23.28;23;23;23.28},{1;2;3;4;5;6;7;8;9;10;11;12;13;14;15;16;17;18;19;20;21;22;23;24},{4},2)</t>
  </si>
  <si>
    <t xml:space="preserve">_xlfn.FORECAST.ETS.SEASONALITY({23;23;23.28;23;23.3;23;23;23;23;23.3;23;23;23.3;23;23.3;23.28;23.28;23;23.3;23;23.28;23;23;23.28},{1;2;3;4;5;6;7;8;9;10;11;12;13;14;15;16;17;18;19;20;21;22;23;24})</t>
  </si>
  <si>
    <t xml:space="preserve">_xlfn.FORECAST.ETS.CONFINT({25;26;27},{23;23;23.28;23;23.3;23;23;23;23;23.3;23;23;23.3;23;23.3;23.28;23.28;23;23.3;23;23.28;23;23;23.28},{1;2;3;4;5;6;7;8;9;10;11;12;13;14;15;16;17;18;19;20;21;22;23;24},0.5,0)</t>
  </si>
  <si>
    <t xml:space="preserve">_xlfn.FORECAST.ETS({45470},{70.3;78.7;43.7;87;13.87;83;50;89.35;65.1;92.8;27.15;4.7;44.2;62;70.64;90;50.5;65.09;22.9},{44862;44893;44923;44954;44985;45013;45044;45074;45105;45135;45166;45197;45227;45258;45288;45319;45350;45379;45410})</t>
  </si>
  <si>
    <t xml:space="preserve">_xlfn.FORECAST.ETS.STAT({70.3;78.7;43.7;87;13.87;83;50;89.35;65.1;92.8;27.15;4.7;44.2;62;70.64;90;50.5;65.09;22.9},{44862;44893;44923;44954;44985;45013;45044;45074;45105;45135;45166;45197;45227;45258;45288;45319;45350;45379;45410},{2})</t>
  </si>
  <si>
    <t xml:space="preserve">_xlfn.FORECAST.ETS.SEASONALITY({70.3;78.7;43.7;87;13.87;83;50;89.35;65.1;92.8;27.15;4.7;44.2;62;70.64;90;50.5;65.09;22.9},{44862;44893;44923;44954;44985;45013;45044;45074;45105;45135;45166;45197;45227;45258;45288;45319;45350;45379;45410},0,4)</t>
  </si>
  <si>
    <t xml:space="preserve">_xlfn.FORECAST.ETS(45014,{78.5;53;14;53;56.1;79;37.6;44.1;14;41;90.8;95.3},{45000;45001;45002;45003;45004;45005;45006;45006;45007;45008;45009;45010},0,1)</t>
  </si>
  <si>
    <t xml:space="preserve">_xlfn.ORG.LIBREOFFICE.FORECAST.ETS.STAT.MULT({78.5;53;14;53;56.1;79;37.6;44.1;14;41;90.8;95.3},{45000;45001;45002;45003;45004;45005;45006;45006;45007;45008;45009;45010},{3;7},0,1)</t>
  </si>
  <si>
    <t xml:space="preserve">_xlfn.FORECAST.ETS.SEASONALITY({78.5;53;14;53;56.1;79;37.6;44.1;14;41;90.8;95.3},{45000;45001;45002;45003;45004;45005;45006;45006;45007;45008;45009;45010})</t>
  </si>
  <si>
    <t xml:space="preserve">_xlfn.ORG.LIBREOFFICE.FORECAST.ETS.MULT({44833,44863},{35;35;35;37.17;37.49;11.6;37.1},{44620;44651;44681;44712;44742;44742;44773})</t>
  </si>
  <si>
    <t xml:space="preserve">_xlfn.ORG.LIBREOFFICE.FORECAST.ETS.STAT.MULT({35;35;35;37.17;37.49;11.6;37.1},{44620;44651;44681;44712;44742;44742;44773},{4;5})</t>
  </si>
  <si>
    <t xml:space="preserve">_xlfn.FORECAST.ETS.SEASONALITY({35;35;35;37.17;37.49;11.6;37.1},{44620;44651;44681;44712;44742;44742;44773},1,2)</t>
  </si>
  <si>
    <t xml:space="preserve">_xlfn.ORG.LIBREOFFICE.FORECAST.ETS.MULT({9.75,9.25},{21;19;19.6;20;19.63;20.2;20.6;18.28;20.4;19;19.1;18.97;19;17.8;17.9;17.89;17.96},{1;1.5;2;2.5;3;3.5;4;4.5;5;5.5;6;6.5;7;7.5;8;8.5;9},4)</t>
  </si>
  <si>
    <t xml:space="preserve">_xlfn.ORG.LIBREOFFICE.FORECAST.ETS.STAT.MULT({21;19;19.6;20;19.63;20.2;20.6;18.28;20.4;19;19.1;18.97;19;17.8;17.9;17.89;17.96},{1;1.5;2;2.5;3;3.5;4;4.5;5;5.5;6;6.5;7;7.5;8;8.5;9},{2;8},4)</t>
  </si>
  <si>
    <t xml:space="preserve">_xlfn.FORECAST.ETS.SEASONALITY({21;19;19.6;20;19.63;20.2;20.6;18.28;20.4;19;19.1;18.97;19;17.8;17.9;17.89;17.96},{1;1.5;2;2.5;3;3.5;4;4.5;5;5.5;6;6.5;7;7.5;8;8.5;9},0,4)</t>
  </si>
  <si>
    <t xml:space="preserve">_xlfn.ORG.LIBREOFFICE.FORECAST.ETS.MULT({9.5;10.5},{34.9;37.53;39.26;42.04;46;48;49.47;54.55;54.7;60;60.9;62.7;66.29;67.65;73;74},{1;1.5;2;2.5;3;3.5;4;4.5;5;5.5;6;6.5;7;7.5;8;8.5},0,,2)</t>
  </si>
  <si>
    <t xml:space="preserve">_xlfn.FORECAST.ETS.STAT({34.9;37.53;39.26;42.04;46;48;49.47;54.55;54.7;60;60.9;62.7;66.29;67.65;73;74},{1;1.5;2;2.5;3;3.5;4;4.5;5;5.5;6;6.5;7;7.5;8;8.5},{8;1;5;2;9;7;4;3;6},0,,2)</t>
  </si>
  <si>
    <t xml:space="preserve">_xlfn.FORECAST.ETS.SEASONALITY({34.9;37.53;39.26;42.04;46;48;49.47;54.55;54.7;60;60.9;62.7;66.29;67.65;73;74},{1;1.5;2;2.5;3;3.5;4;4.5;5;5.5;6;6.5;7;7.5;8;8.5})</t>
  </si>
  <si>
    <t xml:space="preserve">_xlfn.ORG.LIBREOFFICE.FORECAST.ETS.PI.MULT({9;9.5;10},{34.9;37.53;39.26;42.04;46;48;49.47;54.55;54.7;60;60.9;62.7;66.29;67.65;73;74},{1;1.5;2;2.5;3;3.5;4;4.5;5;5.5;6;6.5;7;7.5;8;8.5},0.9,0)</t>
  </si>
  <si>
    <t xml:space="preserve">_xlfn.ORG.LIBREOFFICE.FORECAST.ETS.MULT({45439,45439,45409},{40.78;32.2;34;37;28;33.47;25;24.23;27.9;21.3;21.9;24.3;16.4;17},{44893;44923;44954;44985;45044;45074;45105;45135;45166;45197;45227;45258;45288;45319})</t>
  </si>
  <si>
    <t xml:space="preserve">_xlfn.FORECAST.ETS.STAT({40.78;32.2;34;37;28;33.47;25;24.23;27.9;21.3;21.9;24.3;16.4;17},{44893;44923;44954;44985;45044;45074;45105;45135;45166;45197;45227;45258;45288;45319},{3;4;6;7;9;5;1;8;2})</t>
  </si>
  <si>
    <t xml:space="preserve">_xlfn.FORECAST.ETS.SEASONALITY({40.78;32.2;34;37;28;33.47;25;24.23;27.9;21.3;21.9;24.3;16.4;17},{44893;44923;44954;44985;45044;45074;45105;45135;45166;45197;45227;45258;45288;45319})</t>
  </si>
  <si>
    <t xml:space="preserve">_xlfn.ORG.LIBREOFFICE.FORECAST.ETS.MULT({63;53},{25.39;29.63;34.5;25.9;39;42},{3;13;23;23;33;43},1,1)</t>
  </si>
  <si>
    <t xml:space="preserve">_xlfn.FORECAST.ETS.STAT({25.39;29.63;34.5;25.9;39;42},{3;13;23;23;33;43},{6;4},1,1)</t>
  </si>
  <si>
    <t xml:space="preserve">_xlfn.FORECAST.ETS.SEASONALITY({25.39;29.63;34.5;25.9;39;42},{3;13;23;23;33;43},0,6)</t>
  </si>
  <si>
    <t xml:space="preserve">_xlfn.ORG.LIBREOFFICE.FORECAST.ETS.MULT({44742},{39;43.04;49;52.2},{44620;44651;44681;44712},1,1,7)</t>
  </si>
  <si>
    <t xml:space="preserve">_xlfn.ORG.LIBREOFFICE.FORECAST.ETS.STAT.MULT({39;43.04;49;52.2},{44620;44651;44681;44712},{2;5;4;9;7;8;3;6;1},1,1,7)</t>
  </si>
  <si>
    <t xml:space="preserve">_xlfn.FORECAST.ETS.SEASONALITY({39;43.04;49;52.2},{44620;44651;44681;44712})</t>
  </si>
  <si>
    <t xml:space="preserve">_xlfn.ORG.LIBREOFFICE.FORECAST.ETS.MULT(45005,{5.91;15.12;11;15;12.3;23.4;17;22.04},{45000;45001;45002;45003;45004;45005;45006;45007})</t>
  </si>
  <si>
    <t xml:space="preserve">_xlfn.FORECAST.ETS.STAT({5.91;15.12;11;15;12.3;23.4;17;22.04},{45000;45001;45002;45003;45004;45005;45006;45007},{9})</t>
  </si>
  <si>
    <t xml:space="preserve">_xlfn.FORECAST.ETS.SEASONALITY({5.91;15.12;11;15;12.3;23.4;17;22.04},{45000;45001;45002;45003;45004;45005;45006;45007},0)</t>
  </si>
  <si>
    <t xml:space="preserve">_xlfn.ORG.LIBREOFFICE.FORECAST.ETS.MULT({12;12.5},{91.1;16;60.5;20.61;88.8;27.5;2;3.63;87.7;6.69;11.2;68},{1;2;3;4;5;6;7;8;9;10;10;11},1,,2)</t>
  </si>
  <si>
    <t xml:space="preserve">_xlfn.ORG.LIBREOFFICE.FORECAST.ETS.STAT.MULT({91.1;16;60.5;20.61;88.8;27.5;2;3.63;87.7;6.69;11.2;68},{1;2;3;4;5;6;7;8;9;10;10;11},{4;1},1,,2)</t>
  </si>
  <si>
    <t xml:space="preserve">_xlfn.FORECAST.ETS.SEASONALITY({91.1;16;60.5;20.61;88.8;27.5;2;3.63;87.7;6.69;11.2;68},{1;2;3;4;5;6;7;8;9;10;10;11},0,5)</t>
  </si>
  <si>
    <t xml:space="preserve">_xlfn.ORG.LIBREOFFICE.FORECAST.ETS.MULT({8;7},{71;59;29;56;27.9;62;36.9;71.6;57.5;30;53.24;60;34.7},{1;1.5;2;2.5;2.5;3;3.5;4;4.5;5;5.5;6;6.5},1)</t>
  </si>
  <si>
    <t xml:space="preserve">_xlfn.FORECAST.ETS.STAT({71;59;29;56;27.9;62;36.9;71.6;57.5;30;53.24;60;34.7},{1;1.5;2;2.5;2.5;3;3.5;4;4.5;5;5.5;6;6.5},{8;6;2;5;9;3;7;1;4},1)</t>
  </si>
  <si>
    <t xml:space="preserve">_xlfn.FORECAST.ETS.SEASONALITY({71;59;29;56;27.9;62;36.9;71.6;57.5;30;53.24;60;34.7},{1;1.5;2;2.5;2.5;3;3.5;4;4.5;5;5.5;6;6.5},1,2)</t>
  </si>
  <si>
    <t xml:space="preserve">_xlfn.ORG.LIBREOFFICE.FORECAST.ETS.PI.MULT(7.5,{71;59;29;56;27.9;62;36.9;71.6;57.5;30;53.24;60;34.7},{1;1.5;2;2.5;2.5;3;3.5;4;4.5;5;5.5;6;6.5},0.95,0)</t>
  </si>
  <si>
    <t xml:space="preserve">_xlfn.FORECAST.ETS(45351,{15.1;13.7;23.5;34.1;22.7;39;38.2;35.42;34.85;45;54;43;59.5;58;56.78;53;65;65;79.78;79},{44652;44682;44713;44743;44774;44805;44835;44866;44896;44927;44958;44986;45017;45047;45078;45108;45139;45200;45231;45261},0,0)</t>
  </si>
  <si>
    <t xml:space="preserve">_xlfn.ORG.LIBREOFFICE.FORECAST.ETS.STAT.MULT({15.1;13.7;23.5;34.1;22.7;39;38.2;35.42;34.85;45;54;43;59.5;58;56.78;53;65;65;79.78;79},{44652;44682;44713;44743;44774;44805;44835;44866;44896;44927;44958;44986;45017;45047;45078;45108;45139;45200;45231;45261},{9;6;7;8;1;5;4;2;3},0,0)</t>
  </si>
  <si>
    <t xml:space="preserve">_xlfn.FORECAST.ETS.SEASONALITY({15.1;13.7;23.5;34.1;22.7;39;38.2;35.42;34.85;45;54;43;59.5;58;56.78;53;65;65;79.78;79},{44652;44682;44713;44743;44774;44805;44835;44866;44896;44927;44958;44986;45017;45047;45078;45108;45139;45200;45231;45261})</t>
  </si>
  <si>
    <t xml:space="preserve">_xlfn.FORECAST.ETS(45212,{47.88;46;42.3;41;39.7;37.3;35;32.5;31.1;30.26},{44849;44880;44910;44941;44972;45000;45031;45061;45092;45122},0,0)</t>
  </si>
  <si>
    <t xml:space="preserve">_xlfn.FORECAST.ETS.STAT({47.88;46;42.3;41;39.7;37.3;35;32.5;31.1;30.26},{44849;44880;44910;44941;44972;45000;45031;45061;45092;45122},{8;2;5;6;1;9;7;4;3},0,0)</t>
  </si>
  <si>
    <t xml:space="preserve">_xlfn.FORECAST.ETS.SEASONALITY({47.88;46;42.3;41;39.7;37.3;35;32.5;31.1;30.26},{44849;44880;44910;44941;44972;45000;45031;45061;45092;45122},0)</t>
  </si>
  <si>
    <t xml:space="preserve">_xlfn.FORECAST.ETS(44865,{14.1;96;35.1;1.8;79;8.95;44},{44681;44712;44742;44773;44804;44834;44865},1,1,3)</t>
  </si>
  <si>
    <t xml:space="preserve">_xlfn.ORG.LIBREOFFICE.FORECAST.ETS.STAT.MULT({14.1;96;35.1;1.8;79;8.95;44},{44681;44712;44742;44773;44804;44834;44865},{1;7;6;5;9;8;2;4;3},1,1,3)</t>
  </si>
  <si>
    <t xml:space="preserve">_xlfn.FORECAST.ETS.SEASONALITY({14.1;96;35.1;1.8;79;8.95;44},{44681;44712;44742;44773;44804;44834;44865})</t>
  </si>
  <si>
    <t xml:space="preserve">_xlfn.FORECAST.ETS(103,{15;15;15.1;15.1;15;15;15.09;15;15.09;15;15.1;15.09;15.1;15.09;15.09;15;15.09;15.1},{3;13;23;33;43;53;63;73;83;93;103;113;123;133;143;153;163;173},2,1,2)</t>
  </si>
  <si>
    <t xml:space="preserve">_xlfn.ORG.LIBREOFFICE.FORECAST.ETS.STAT.MULT({15;15;15.1;15.1;15;15;15.09;15;15.09;15;15.1;15.09;15.1;15.09;15.09;15;15.09;15.1},{3;13;23;33;43;53;63;73;83;93;103;113;123;133;143;153;163;173},{6},2,1,2)</t>
  </si>
  <si>
    <t xml:space="preserve">_xlfn.FORECAST.ETS.SEASONALITY({15;15;15.1;15.1;15;15;15.09;15;15.09;15;15.1;15.09;15.1;15.09;15.09;15;15.09;15.1},{3;13;23;33;43;53;63;73;83;93;103;113;123;133;143;153;163;173},1)</t>
  </si>
  <si>
    <t xml:space="preserve">_xlfn.ORG.LIBREOFFICE.FORECAST.ETS.MULT(7,{41.1;40;40;39.5;41.7;42;41.12;42.3;41.5;43.1},{1;2;3;4;5;6;7;8;9;10})</t>
  </si>
  <si>
    <t xml:space="preserve">_xlfn.ORG.LIBREOFFICE.FORECAST.ETS.STAT.MULT({41.1;40;40;39.5;41.7;42;41.12;42.3;41.5;43.1},{1;2;3;4;5;6;7;8;9;10},{5;1;9;6;2;4;8;7;3})</t>
  </si>
  <si>
    <t xml:space="preserve">_xlfn.FORECAST.ETS.SEASONALITY({41.1;40;40;39.5;41.7;42;41.12;42.3;41.5;43.1},{1;2;3;4;5;6;7;8;9;10},0,4)</t>
  </si>
  <si>
    <t xml:space="preserve">_xlfn.FORECAST.ETS({15.5;18;18},{7.58;7.6;7.6;8;7.6;7.6;7.58;8;7.58;7.58;7.58;7.6;7.6;7.6},{1;7;4;11;8;10;2;6;12;14;5;13;9;3})</t>
  </si>
  <si>
    <t xml:space="preserve">_xlfn.ORG.LIBREOFFICE.FORECAST.ETS.STAT.MULT({7.58;7.6;7.6;8;7.6;7.6;7.58;8;7.58;7.58;7.58;7.6;7.6;7.6},{1;7;4;11;8;10;2;6;12;14;5;13;9;3},{3})</t>
  </si>
  <si>
    <t xml:space="preserve">_xlfn.FORECAST.ETS.SEASONALITY({7.58;7.6;7.6;8;7.6;7.6;7.58;8;7.58;7.58;7.58;7.6;7.6;7.6},{1;7;4;11;8;10;2;6;12;14;5;13;9;3},0,4)</t>
  </si>
  <si>
    <t xml:space="preserve">_xlfn.FORECAST.ETS({93,80.5},{35.3;21.9;22.4;26.54;19;21.3;37.79;37;31.45;18.4;32;27.1;16.93;35.71;28.61},{13;68;18;33;23;43;3;53;63;48;38;58;73;28;8})</t>
  </si>
  <si>
    <t xml:space="preserve">_xlfn.FORECAST.ETS.STAT({35.3;21.9;22.4;26.54;19;21.3;37.79;37;31.45;18.4;32;27.1;16.93;35.71;28.61},{13;68;18;33;23;43;3;53;63;48;38;58;73;28;8},{2;6;3;4;8;5;1;9;7})</t>
  </si>
  <si>
    <t xml:space="preserve">_xlfn.FORECAST.ETS.SEASONALITY({35.3;21.9;22.4;26.54;19;21.3;37.79;37;31.45;18.4;32;27.1;16.93;35.71;28.61},{13;68;18;33;23;43;3;53;63;48;38;58;73;28;8})</t>
  </si>
  <si>
    <t xml:space="preserve">_xlfn.ORG.LIBREOFFICE.FORECAST.ETS.PI.MULT({78;83;88},{35.3;21.9;22.4;26.54;19;21.3;37.79;37;31.45;18.4;32;27.1;16.93;35.71;28.61},{13;68;18;33;23;43;3;53;63;48;38;58;73;28;8},0.5,0)</t>
  </si>
  <si>
    <t xml:space="preserve">_xlfn.ORG.LIBREOFFICE.FORECAST.ETS.MULT({17},{12.51;20;11;13.71;13.24;6.41;7;8;10;3.9;10.2;4;3.85;3},{1;2;3;4;5;6;8;9;10;11;12;13;14;15},5)</t>
  </si>
  <si>
    <t xml:space="preserve">_xlfn.FORECAST.ETS.STAT({12.51;20;11;13.71;13.24;6.41;7;8;10;3.9;10.2;4;3.85;3},{1;2;3;4;5;6;8;9;10;11;12;13;14;15},{1},5)</t>
  </si>
  <si>
    <t xml:space="preserve">_xlfn.FORECAST.ETS.SEASONALITY({12.51;20;11;13.71;13.24;6.41;7;8;10;3.9;10.2;4;3.85;3},{1;2;3;4;5;6;8;9;10;11;12;13;14;15},1,2)</t>
  </si>
  <si>
    <t xml:space="preserve">_xlfn.ORG.LIBREOFFICE.FORECAST.ETS.MULT({45030;45030;45031},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,6,0)</t>
  </si>
  <si>
    <t xml:space="preserve">_xlfn.FORECAST.ETS.STAT(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,{6},6,0)</t>
  </si>
  <si>
    <t xml:space="preserve">_xlfn.FORECAST.ETS.SEASONALITY(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)</t>
  </si>
  <si>
    <t xml:space="preserve">_xlfn.ORG.LIBREOFFICE.FORECAST.ETS.MULT({45010,45011},{8.5;9;10.6;12;10.6;13.54;16.6;14;17.3},{45000;45001;45002;45003;45004;45005;45006;45007;45008},0,,1)</t>
  </si>
  <si>
    <t xml:space="preserve">_xlfn.FORECAST.ETS.STAT({8.5;9;10.6;12;10.6;13.54;16.6;14;17.3},{45000;45001;45002;45003;45004;45005;45006;45007;45008},{8},0,,1)</t>
  </si>
  <si>
    <t xml:space="preserve">_xlfn.FORECAST.ETS.SEASONALITY({8.5;9;10.6;12;10.6;13.54;16.6;14;17.3},{45000;45001;45002;45003;45004;45005;45006;45007;45008},0)</t>
  </si>
  <si>
    <t xml:space="preserve">_xlfn.FORECAST.ETS({115,136,118.5},{33.62;19.65;20;50;94;49;90;7;21.11;62.45;28.6;20;5.89;97.79;99.5;53},{45;24;66;101;31;108;3;59;17;87;94;73;10;52;80;38},4)</t>
  </si>
  <si>
    <t xml:space="preserve">_xlfn.FORECAST.ETS.STAT({33.62;19.65;20;50;94;49;90;7;21.11;62.45;28.6;20;5.89;97.79;99.5;53},{45;24;66;101;31;108;3;59;17;87;94;73;10;52;80;38},{1;5;4;6;8;2;7;3;9},4)</t>
  </si>
  <si>
    <t xml:space="preserve">_xlfn.FORECAST.ETS.SEASONALITY({33.62;19.65;20;50;94;49;90;7;21.11;62.45;28.6;20;5.89;97.79;99.5;53},{45;24;66;101;31;108;3;59;17;87;94;73;10;52;80;38})</t>
  </si>
  <si>
    <t xml:space="preserve">_xlfn.FORECAST.ETS({5;3.25},{97;59.23;95.58;48.5;74.4},{1;1.5;2;2.5;3},4,,5)</t>
  </si>
  <si>
    <t xml:space="preserve">_xlfn.FORECAST.ETS.STAT({97;59.23;95.58;48.5;74.4},{1;1.5;2;2.5;3},{4},4,,5)</t>
  </si>
  <si>
    <t xml:space="preserve">_xlfn.FORECAST.ETS.SEASONALITY({97;59.23;95.58;48.5;74.4},{1;1.5;2;2.5;3},1,3)</t>
  </si>
  <si>
    <t xml:space="preserve">_xlfn.FORECAST.ETS(109.75,{26;34.2;97.03;11.7;82.1;61.11;62;65.4;91.46;39;3.45;84.7;2;12.2;34.15;8.25;93;71.09;18.3;52},{3;10;17;24;31;38;45;52;59;66;73;80;87;94;101;108;115;122;129;136},5,0)</t>
  </si>
  <si>
    <t xml:space="preserve">_xlfn.FORECAST.ETS.STAT({26;34.2;97.03;11.7;82.1;61.11;62;65.4;91.46;39;3.45;84.7;2;12.2;34.15;8.25;93;71.09;18.3;52},{3;10;17;24;31;38;45;52;59;66;73;80;87;94;101;108;115;122;129;136},{4;5;1;3;9;8;2;7;6},5,0)</t>
  </si>
  <si>
    <t xml:space="preserve">_xlfn.FORECAST.ETS.SEASONALITY({26;34.2;97.03;11.7;82.1;61.11;62;65.4;91.46;39;3.45;84.7;2;12.2;34.15;8.25;93;71.09;18.3;52},{3;10;17;24;31;38;45;52;59;66;73;80;87;94;101;108;115;122;129;136},0,4)</t>
  </si>
  <si>
    <t xml:space="preserve">_xlfn.FORECAST.ETS(45009.5,{10.5;11.7;19;25.3;23;31.9;35.6;37.3;45.77},{45000;45001;45002;45003;45004;45005;45006;45007;45008},3,,2)</t>
  </si>
  <si>
    <t xml:space="preserve">_xlfn.FORECAST.ETS.STAT({10.5;11.7;19;25.3;23;31.9;35.6;37.3;45.77},{45000;45001;45002;45003;45004;45005;45006;45007;45008},{2;8},3,,2)</t>
  </si>
  <si>
    <t xml:space="preserve">_xlfn.FORECAST.ETS.SEASONALITY({10.5;11.7;19;25.3;23;31.9;35.6;37.3;45.77},{45000;45001;45002;45003;45004;45005;45006;45007;45008},0,6)</t>
  </si>
  <si>
    <t xml:space="preserve">_xlfn.ORG.LIBREOFFICE.FORECAST.ETS.MULT(18.5,{31;32.5;34;44.86;52.8;46;59;60.4;61;75.1;46.1;81.32;76;86;86.37;90;104;108;103},{1;2;3;4;5;6;7;8;9;10;10;11;12;13;14;15;16;17;18},1)</t>
  </si>
  <si>
    <t xml:space="preserve">_xlfn.FORECAST.ETS.STAT({31;32.5;34;44.86;52.8;46;59;60.4;61;75.1;46.1;81.32;76;86;86.37;90;104;108;103},{1;2;3;4;5;6;7;8;9;10;10;11;12;13;14;15;16;17;18},{7},1)</t>
  </si>
  <si>
    <t xml:space="preserve">_xlfn.FORECAST.ETS.SEASONALITY({31;32.5;34;44.86;52.8;46;59;60.4;61;75.1;46.1;81.32;76;86;86.37;90;104;108;103},{1;2;3;4;5;6;7;8;9;10;10;11;12;13;14;15;16;17;18},1)</t>
  </si>
  <si>
    <t xml:space="preserve">_xlfn.ORG.LIBREOFFICE.FORECAST.ETS.MULT(44741,{45.6;46.81;46.48;43.98},{44681;44592;44651;44620},2,1,7)</t>
  </si>
  <si>
    <t xml:space="preserve">_xlfn.ORG.LIBREOFFICE.FORECAST.ETS.STAT.MULT({45.6;46.81;46.48;43.98},{44681;44592;44651;44620},{4;7},2,1,7)</t>
  </si>
  <si>
    <t xml:space="preserve">_xlfn.FORECAST.ETS.SEASONALITY({45.6;46.81;46.48;43.98},{44681;44592;44651;44620})</t>
  </si>
  <si>
    <t xml:space="preserve">_xlfn.FORECAST.ETS({45003;44973},{56.4;59;74;25.2},{44896;44927;44958;44866})</t>
  </si>
  <si>
    <t xml:space="preserve">_xlfn.FORECAST.ETS.STAT({56.4;59;74;25.2},{44896;44927;44958;44866},{6;4})</t>
  </si>
  <si>
    <t xml:space="preserve">_xlfn.FORECAST.ETS.SEASONALITY({56.4;59;74;25.2},{44896;44927;44958;44866},1)</t>
  </si>
  <si>
    <t xml:space="preserve">_xlfn.ORG.LIBREOFFICE.FORECAST.ETS.MULT({44894},{30;31.2;25.3;32;27.9;27},{44804;44773;44681;44834;44742;44712},1,1)</t>
  </si>
  <si>
    <t xml:space="preserve">_xlfn.ORG.LIBREOFFICE.FORECAST.ETS.STAT.MULT({30;31.2;25.3;32;27.9;27},{44804;44773;44681;44834;44742;44712},{6;4;5;9;2;7;1;3;8},1,1)</t>
  </si>
  <si>
    <t xml:space="preserve">_xlfn.FORECAST.ETS.SEASONALITY({30;31.2;25.3;32;27.9;27},{44804;44773;44681;44834;44742;44712})</t>
  </si>
  <si>
    <t xml:space="preserve">_xlfn.FORECAST.ETS({58;68},{5.9;5.94;5.94;5.9;6;5.9;5.9;5.9;5.9;5.9},{3;8;13;18;23;28;33;38;43;48},1,0)</t>
  </si>
  <si>
    <t xml:space="preserve">_xlfn.FORECAST.ETS.STAT({5.9;5.94;5.94;5.9;6;5.9;5.9;5.9;5.9;5.9},{3;8;13;18;23;28;33;38;43;48},{7},1,0)</t>
  </si>
  <si>
    <t xml:space="preserve">_xlfn.FORECAST.ETS.SEASONALITY({5.9;5.94;5.94;5.9;6;5.9;5.9;5.9;5.9;5.9},{3;8;13;18;23;28;33;38;43;48})</t>
  </si>
  <si>
    <t xml:space="preserve">_xlfn.ORG.LIBREOFFICE.FORECAST.ETS.MULT({45471;45441;45411},{21.3;20;35.3;30.74;39.3;29.1;34;33.9;49.3;43.3;50.36;42.13;44.91;47;62.56;54.9;63.9;57.3;61.66;76;70.2;78.65;68.56},{44651;44681;44712;44742;44773;44804;44834;44865;44895;44926;44957;44985;45016;45046;45077;45107;45138;45169;45230;45260;45291;45322;45351},1,,2)</t>
  </si>
  <si>
    <t xml:space="preserve">_xlfn.ORG.LIBREOFFICE.FORECAST.ETS.STAT.MULT({21.3;20;35.3;30.74;39.3;29.1;34;33.9;49.3;43.3;50.36;42.13;44.91;47;62.56;54.9;63.9;57.3;61.66;76;70.2;78.65;68.56},{44651;44681;44712;44742;44773;44804;44834;44865;44895;44926;44957;44985;45016;45046;45077;45107;45138;45169;45230;45260;45291;45322;45351},{6;7;8;9;2;4;5;3;1},1,,2)</t>
  </si>
  <si>
    <t xml:space="preserve">_xlfn.FORECAST.ETS.SEASONALITY({21.3;20;35.3;30.74;39.3;29.1;34;33.9;49.3;43.3;50.36;42.13;44.91;47;62.56;54.9;63.9;57.3;61.66;76;70.2;78.65;68.56},{44651;44681;44712;44742;44773;44804;44834;44865;44895;44926;44957;44985;45016;45046;45077;45107;45138;45169;45230;45260;45291;45322;45351})</t>
  </si>
  <si>
    <t xml:space="preserve">_xlfn.FORECAST.ETS({20;20},{35.8;37;36.9;35.98;34.06;34.2;32.28;31.92;31.2;32;30;31.6;31.37;28.91;28;28;28;26.57;26.6},{1;2;3;4;5;6;7;8;9;10;11;12;13;14;15;16;17;18;19})</t>
  </si>
  <si>
    <t xml:space="preserve">_xlfn.ORG.LIBREOFFICE.FORECAST.ETS.STAT.MULT({35.8;37;36.9;35.98;34.06;34.2;32.28;31.92;31.2;32;30;31.6;31.37;28.91;28;28;28;26.57;26.6},{1;2;3;4;5;6;7;8;9;10;11;12;13;14;15;16;17;18;19},{2;3})</t>
  </si>
  <si>
    <t xml:space="preserve">_xlfn.FORECAST.ETS.SEASONALITY({35.8;37;36.9;35.98;34.06;34.2;32.28;31.92;31.2;32;30;31.6;31.37;28.91;28;28;28;26.57;26.6},{1;2;3;4;5;6;7;8;9;10;11;12;13;14;15;16;17;18;19})</t>
  </si>
  <si>
    <t xml:space="preserve">_xlfn.FORECAST.ETS(45030,{5.2;5.21;5.2;5;5.2;5.21;5.21;5.21;5.2},{44742;44773;44804;44834;44865;44895;44926;44957;44985},3,,4)</t>
  </si>
  <si>
    <t xml:space="preserve">_xlfn.FORECAST.ETS.STAT({5.2;5.21;5.2;5;5.2;5.21;5.21;5.21;5.2},{44742;44773;44804;44834;44865;44895;44926;44957;44985},{6},3,,4)</t>
  </si>
  <si>
    <t xml:space="preserve">_xlfn.FORECAST.ETS.SEASONALITY({5.2;5.21;5.2;5;5.2;5.21;5.21;5.21;5.2},{44742;44773;44804;44834;44865;44895;44926;44957;44985},0,1)</t>
  </si>
  <si>
    <t xml:space="preserve">_xlfn.FORECAST.ETS(44971,{48.59;38.09;38.4;34;39.31;42.03;33;30.02;33.5;28.09;31},{44651;44681;44712;44742;44773;44804;44804;44834;44865;44895;44926},5,0,1)</t>
  </si>
  <si>
    <t xml:space="preserve">_xlfn.ORG.LIBREOFFICE.FORECAST.ETS.STAT.MULT({48.59;38.09;38.4;34;39.31;42.03;33;30.02;33.5;28.09;31},{44651;44681;44712;44742;44773;44804;44804;44834;44865;44895;44926},{2},5,0,1)</t>
  </si>
  <si>
    <t xml:space="preserve">_xlfn.FORECAST.ETS.SEASONALITY({48.59;38.09;38.4;34;39.31;42.03;33;30.02;33.5;28.09;31},{44651;44681;44712;44742;44773;44804;44804;44834;44865;44895;44926},0)</t>
  </si>
  <si>
    <t xml:space="preserve">_xlfn.ORG.LIBREOFFICE.FORECAST.ETS.MULT(44972,{44;43.83;44;43.83;43.83;43.8;43.83;43.83;43.8},{44682;44713;44743;44774;44805;44835;44866;44896;44927})</t>
  </si>
  <si>
    <t xml:space="preserve">_xlfn.FORECAST.ETS.STAT({44;43.83;44;43.83;43.83;43.8;43.83;43.83;43.8},{44682;44713;44743;44774;44805;44835;44866;44896;44927},{8;4})</t>
  </si>
  <si>
    <t xml:space="preserve">_xlfn.FORECAST.ETS.SEASONALITY({44;43.83;44;43.83;43.83;43.8;43.83;43.83;43.8},{44682;44713;44743;44774;44805;44835;44866;44896;44927},1)</t>
  </si>
  <si>
    <t xml:space="preserve">_xlfn.FORECAST.ETS({19},{84.1;82;77;31.12;44.7;84;39.13;32.7;44.3;47.6;26;7.48;25.4;48.5;30.17;86.4},{1;2;3;4;5;6;7;8;9;10;11;12;13;14;15;16},6,1,4)</t>
  </si>
  <si>
    <t xml:space="preserve">_xlfn.ORG.LIBREOFFICE.FORECAST.ETS.STAT.MULT({84.1;82;77;31.12;44.7;84;39.13;32.7;44.3;47.6;26;7.48;25.4;48.5;30.17;86.4},{1;2;3;4;5;6;7;8;9;10;11;12;13;14;15;16},{9;6;8;4;1;2;3;5;7},6,1,4)</t>
  </si>
  <si>
    <t xml:space="preserve">_xlfn.FORECAST.ETS.SEASONALITY({84.1;82;77;31.12;44.7;84;39.13;32.7;44.3;47.6;26;7.48;25.4;48.5;30.17;86.4},{1;2;3;4;5;6;7;8;9;10;11;12;13;14;15;16})</t>
  </si>
  <si>
    <t xml:space="preserve">_xlfn.FORECAST.ETS({15;13.5;17},{41.5;41.5;42;41.5;41.5;41.5;42.5;42;41.5;42;41.52;41.52;41.52;41.5},{1;2;3;4;5;6;6;7;8;9;10;11;12;13},0,,3)</t>
  </si>
  <si>
    <t xml:space="preserve">_xlfn.FORECAST.ETS.STAT({41.5;41.5;42;41.5;41.5;41.5;42.5;42;41.5;42;41.52;41.52;41.52;41.5},{1;2;3;4;5;6;6;7;8;9;10;11;12;13},{2;5},0,,3)</t>
  </si>
  <si>
    <t xml:space="preserve">_xlfn.FORECAST.ETS.SEASONALITY({41.5;41.5;42;41.5;41.5;41.5;42.5;42;41.5;42;41.52;41.52;41.52;41.5},{1;2;3;4;5;6;6;7;8;9;10;11;12;13})</t>
  </si>
  <si>
    <t xml:space="preserve">_xlfn.ORG.LIBREOFFICE.FORECAST.ETS.PI.MULT({14;15;16},{41.5;41.5;42;41.5;41.5;41.5;42.5;42;41.5;42;41.52;41.52;41.52;41.5},{1;2;3;4;5;6;6;7;8;9;10;11;12;13},1,0)</t>
  </si>
  <si>
    <t xml:space="preserve">_xlfn.ORG.LIBREOFFICE.FORECAST.ETS.MULT({24;20.5},{34;40;43;46.35;52;56.48;59;62.83;65.6;72;74;80.32;82.08;85.5;92;95.8;99;102.7;105.6;110.8},{1;2;3;4;5;6;7;8;9;10;11;12;13;14;15;16;17;18;19;20},1,1,6)</t>
  </si>
  <si>
    <t xml:space="preserve">_xlfn.ORG.LIBREOFFICE.FORECAST.ETS.STAT.MULT({34;40;43;46.35;52;56.48;59;62.83;65.6;72;74;80.32;82.08;85.5;92;95.8;99;102.7;105.6;110.8},{1;2;3;4;5;6;7;8;9;10;11;12;13;14;15;16;17;18;19;20},{8;4;9;1;5;6;3;2;7},1,1,6)</t>
  </si>
  <si>
    <t xml:space="preserve">_xlfn.FORECAST.ETS.SEASONALITY({34;40;43;46.35;52;56.48;59;62.83;65.6;72;74;80.32;82.08;85.5;92;95.8;99;102.7;105.6;110.8},{1;2;3;4;5;6;7;8;9;10;11;12;13;14;15;16;17;18;19;20},0,1)</t>
  </si>
  <si>
    <t xml:space="preserve">_xlfn.ORG.LIBREOFFICE.FORECAST.ETS.MULT({11;10},{62.08;58.8;55.45;9;12.78;33.29;35},{1;2;4;5;6;7;8},1)</t>
  </si>
  <si>
    <t xml:space="preserve">_xlfn.ORG.LIBREOFFICE.FORECAST.ETS.STAT.MULT({62.08;58.8;55.45;9;12.78;33.29;35},{1;2;4;5;6;7;8},{4;1;5;8;6;3;7;9;2},1)</t>
  </si>
  <si>
    <t xml:space="preserve">_xlfn.FORECAST.ETS.SEASONALITY({62.08;58.8;55.45;9;12.78;33.29;35},{1;2;4;5;6;7;8})</t>
  </si>
  <si>
    <t xml:space="preserve">_xlfn.FORECAST.ETS({45383},{34.76;37;43.3;35.4;32.14;33.1;38;29.51;25;29;35;27;22.58;24;48.3;29.43;22.61},{44866;44896;44927;44958;44986;45017;45047;45078;45108;45139;45170;45200;45231;45261;45261;45292;45323},0,0)</t>
  </si>
  <si>
    <t xml:space="preserve">_xlfn.ORG.LIBREOFFICE.FORECAST.ETS.STAT.MULT({34.76;37;43.3;35.4;32.14;33.1;38;29.51;25;29;35;27;22.58;24;48.3;29.43;22.61},{44866;44896;44927;44958;44986;45017;45047;45078;45108;45139;45170;45200;45231;45261;45261;45292;45323},{1;3},0,0)</t>
  </si>
  <si>
    <t xml:space="preserve">_xlfn.FORECAST.ETS.SEASONALITY({34.76;37;43.3;35.4;32.14;33.1;38;29.51;25;29;35;27;22.58;24;48.3;29.43;22.61},{44866;44896;44927;44958;44986;45017;45047;45078;45108;45139;45170;45200;45231;45261;45261;45292;45323})</t>
  </si>
  <si>
    <t xml:space="preserve">_xlfn.FORECAST.ETS(25.5,{41.95;11.7;42;42;42;41.95;42;42;42;42;42;42;41.95;42;41.95;42;41.95;41.95;42;42;42;42;42;42;42},{1;1;2;3;4;5;6;7;8;9;10;11;12;13;14;15;16;17;18;19;20;21;22;23;24},1,,2)</t>
  </si>
  <si>
    <t xml:space="preserve">_xlfn.FORECAST.ETS.STAT({41.95;11.7;42;42;42;41.95;42;42;42;42;42;42;41.95;42;41.95;42;41.95;41.95;42;42;42;42;42;42;42},{1;1;2;3;4;5;6;7;8;9;10;11;12;13;14;15;16;17;18;19;20;21;22;23;24},{2;6;1;8;9;5;7;4;3},1,,2)</t>
  </si>
  <si>
    <t xml:space="preserve">_xlfn.FORECAST.ETS.SEASONALITY({41.95;11.7;42;42;42;41.95;42;42;42;42;42;42;41.95;42;41.95;42;41.95;41.95;42;42;42;42;42;42;42},{1;1;2;3;4;5;6;7;8;9;10;11;12;13;14;15;16;17;18;19;20;21;22;23;24},0)</t>
  </si>
  <si>
    <t xml:space="preserve">_xlfn.ORG.LIBREOFFICE.FORECAST.ETS.MULT({21},{49.3;49;49;49;49.34;49;49;49.3;49.34;49.3;49.3;49.34;49;49.34;49.34;49.3;49;49;49.3},{1;2;3;4;5;6;7;8;9;10;11;12;13;14;15;16;17;18;19})</t>
  </si>
  <si>
    <t xml:space="preserve">_xlfn.FORECAST.ETS.STAT({49.3;49;49;49;49.34;49;49;49.3;49.34;49.3;49.3;49.34;49;49.34;49.34;49.3;49;49;49.3},{1;2;3;4;5;6;7;8;9;10;11;12;13;14;15;16;17;18;19},{7;4})</t>
  </si>
  <si>
    <t xml:space="preserve">_xlfn.FORECAST.ETS.SEASONALITY({49.3;49;49;49;49.34;49;49;49.3;49.34;49.3;49.3;49.34;49;49.34;49.34;49.3;49;49;49.3},{1;2;3;4;5;6;7;8;9;10;11;12;13;14;15;16;17;18;19},1)</t>
  </si>
  <si>
    <t xml:space="preserve">_xlfn.FORECAST.ETS.CONFINT(22,{49.3;49;49;49;49.34;49;49;49.3;49.34;49.3;49.3;49.34;49;49.34;49.34;49.3;49;49;49.3},{1;2;3;4;5;6;7;8;9;10;11;12;13;14;15;16;17;18;19},0,0,1,7)</t>
  </si>
  <si>
    <t xml:space="preserve">_xlfn.FORECAST.ETS({68;63},{28;28;28.16;28.2;28;28.16;28.2;28;28.2;28.2;28},{3;8;13;18;23;28;33;38;43;48;53},4)</t>
  </si>
  <si>
    <t xml:space="preserve">_xlfn.FORECAST.ETS.STAT({28;28;28.16;28.2;28;28.16;28.2;28;28.2;28.2;28},{3;8;13;18;23;28;33;38;43;48;53},{9;6;1;2;8;7;4;3;5},4)</t>
  </si>
  <si>
    <t xml:space="preserve">_xlfn.FORECAST.ETS.SEASONALITY({28;28;28.16;28.2;28;28.16;28.2;28;28.2;28.2;28},{3;8;13;18;23;28;33;38;43;48;53})</t>
  </si>
  <si>
    <t xml:space="preserve">_xlfn.FORECAST.ETS(12,{92.67;39.69;57;75.3;34.65;64.1;52.62;28;33;14;62;75.22;12.35;72.56;68;94.4;69.4;49.3;2.4;6.8;66.6;7.3},{10;11.5;7.5;7;9.5;5;4;1.5;3.5;8;8.5;5.5;1;10.5;11;3;6.5;4.5;2;2.5;6;9})</t>
  </si>
  <si>
    <t xml:space="preserve">_xlfn.FORECAST.ETS.STAT({92.67;39.69;57;75.3;34.65;64.1;52.62;28;33;14;62;75.22;12.35;72.56;68;94.4;69.4;49.3;2.4;6.8;66.6;7.3},{10;11.5;7.5;7;9.5;5;4;1.5;3.5;8;8.5;5.5;1;10.5;11;3;6.5;4.5;2;2.5;6;9},{8;6;1;9;4;3;7;2;5})</t>
  </si>
  <si>
    <t xml:space="preserve">_xlfn.FORECAST.ETS.SEASONALITY({92.67;39.69;57;75.3;34.65;64.1;52.62;28;33;14;62;75.22;12.35;72.56;68;94.4;69.4;49.3;2.4;6.8;66.6;7.3},{10;11.5;7.5;7;9.5;5;4;1.5;3.5;8;8.5;5.5;1;10.5;11;3;6.5;4.5;2;2.5;6;9})</t>
  </si>
  <si>
    <t xml:space="preserve">_xlfn.ORG.LIBREOFFICE.FORECAST.ETS.PI.MULT(12.5,{92.67;39.69;57;75.3;34.65;64.1;52.62;28;33;14;62;75.22;12.35;72.56;68;94.4;69.4;49.3;2.4;6.8;66.6;7.3},{10;11.5;7.5;7;9.5;5;4;1.5;3.5;8;8.5;5.5;1;10.5;11;3;6.5;4.5;2;2.5;6;9},0,0,1)</t>
  </si>
  <si>
    <t xml:space="preserve">_xlfn.ORG.LIBREOFFICE.FORECAST.ETS.MULT({6,9},{92;94.27;14.81;53.56;16},{1;2;3;4;5},3)</t>
  </si>
  <si>
    <t xml:space="preserve">_xlfn.ORG.LIBREOFFICE.FORECAST.ETS.STAT.MULT({92;94.27;14.81;53.56;16},{1;2;3;4;5},{9;4},3)</t>
  </si>
  <si>
    <t xml:space="preserve">_xlfn.FORECAST.ETS.SEASONALITY({92;94.27;14.81;53.56;16},{1;2;3;4;5})</t>
  </si>
  <si>
    <t xml:space="preserve">_xlfn.FORECAST.ETS.CONFINT(6,{92;94.27;14.81;53.56;16},{1;2;3;4;5},0.9,0,1,2)</t>
  </si>
  <si>
    <t xml:space="preserve">_xlfn.ORG.LIBREOFFICE.FORECAST.ETS.MULT(45291,{16.76;13.58;14.44;13.6;10;9.75;8.8;7;8;5.5;3.5;2.93;3.52;1.5;-1;-1.4;-2.6;42.8;-1.5;-3.4;-5.2;-6;-8;-7.4;-7.5},{44926;44957;44985;45016;45046;45077;45107;45138;45169;45199;45230;45260;45291;45322;45351;45382;45412;45412;45443;45473;45504;45535;45565;45596;45626},5,0)</t>
  </si>
  <si>
    <t xml:space="preserve">_xlfn.ORG.LIBREOFFICE.FORECAST.ETS.STAT.MULT({16.76;13.58;14.44;13.6;10;9.75;8.8;7;8;5.5;3.5;2.93;3.52;1.5;-1;-1.4;-2.6;42.8;-1.5;-3.4;-5.2;-6;-8;-7.4;-7.5},{44926;44957;44985;45016;45046;45077;45107;45138;45169;45199;45230;45260;45291;45322;45351;45382;45412;45412;45443;45473;45504;45535;45565;45596;45626},{3;2;4;1;8;5;9;6;7},5,0)</t>
  </si>
  <si>
    <t xml:space="preserve">_xlfn.FORECAST.ETS.SEASONALITY({16.76;13.58;14.44;13.6;10;9.75;8.8;7;8;5.5;3.5;2.93;3.52;1.5;-1;-1.4;-2.6;42.8;-1.5;-3.4;-5.2;-6;-8;-7.4;-7.5},{44926;44957;44985;45016;45046;45077;45107;45138;45169;45199;45230;45260;45291;45322;45351;45382;45412;45412;45443;45473;45504;45535;45565;45596;45626},1)</t>
  </si>
  <si>
    <t xml:space="preserve">_xlfn.FORECAST.ETS(8.25,{34.1;47.8;62.43;47;60.68;77.9;58;74;95.64;67.14;87.2;110.57;78.4;103.1;46.8;128.85},{1;1.5;2;2.5;3;3.5;4;4.5;5;5.5;6;6.5;7;7.5;7.5;8},3,0,2)</t>
  </si>
  <si>
    <t xml:space="preserve">_xlfn.ORG.LIBREOFFICE.FORECAST.ETS.STAT.MULT({34.1;47.8;62.43;47;60.68;77.9;58;74;95.64;67.14;87.2;110.57;78.4;103.1;46.8;128.85},{1;1.5;2;2.5;3;3.5;4;4.5;5;5.5;6;6.5;7;7.5;7.5;8},{3;4},3,0,2)</t>
  </si>
  <si>
    <t xml:space="preserve">_xlfn.FORECAST.ETS.SEASONALITY({34.1;47.8;62.43;47;60.68;77.9;58;74;95.64;67.14;87.2;110.57;78.4;103.1;46.8;128.85},{1;1.5;2;2.5;3;3.5;4;4.5;5;5.5;6;6.5;7;7.5;7.5;8},0,4)</t>
  </si>
  <si>
    <t xml:space="preserve">_xlfn.ORG.LIBREOFFICE.FORECAST.ETS.MULT({45472},{37.76;38;37.76;37.8;27.4;38;37.8;38;37.8;37.76;38;37.76;38;37.76;38;38;38;38;37.8;38;37.76;37.8;37.8;37.76;37.8},{44727;44757;44788;44819;44819;44849;44880;44910;44941;44972;45000;45031;45061;45092;45122;45153;45184;45214;45245;45275;45306;45337;45366;45397;45427},4)</t>
  </si>
  <si>
    <t xml:space="preserve">_xlfn.FORECAST.ETS.STAT({37.76;38;37.76;37.8;27.4;38;37.8;38;37.8;37.76;38;37.76;38;37.76;38;38;38;38;37.8;38;37.76;37.8;37.8;37.76;37.8},{44727;44757;44788;44819;44819;44849;44880;44910;44941;44972;45000;45031;45061;45092;45122;45153;45184;45214;45245;45275;45306;45337;45366;45397;45427},{7;1},4)</t>
  </si>
  <si>
    <t xml:space="preserve">_xlfn.FORECAST.ETS.SEASONALITY({37.76;38;37.76;37.8;27.4;38;37.8;38;37.8;37.76;38;37.76;38;37.76;38;38;38;38;37.8;38;37.76;37.8;37.8;37.76;37.8},{44727;44757;44788;44819;44819;44849;44880;44910;44941;44972;45000;45031;45061;45092;45122;45153;45184;45214;45245;45275;45306;45337;45366;45397;45427},0)</t>
  </si>
  <si>
    <t xml:space="preserve">_xlfn.FORECAST.ETS(2,{15;15.58;16;17;15.9},{1;1.5;2;2.5;3},5,0,6)</t>
  </si>
  <si>
    <t xml:space="preserve">_xlfn.FORECAST.ETS.STAT({15;15.58;16;17;15.9},{1;1.5;2;2.5;3},{7;2;9;5;8;4;3;6;1},5,0,6)</t>
  </si>
  <si>
    <t xml:space="preserve">_xlfn.FORECAST.ETS.SEASONALITY({15;15.58;16;17;15.9},{1;1.5;2;2.5;3})</t>
  </si>
  <si>
    <t xml:space="preserve">_xlfn.FORECAST.ETS({157},{7.71;7.71;7.7;7.7;7.7;7.71;7.7;7.7;7.7;7.71;7.71;7.7;7.7;8;7.71;7.7;8;7.71;7.71},{3;10;17;24;31;38;45;52;59;66;73;80;87;94;101;108;115;122;129})</t>
  </si>
  <si>
    <t xml:space="preserve">_xlfn.ORG.LIBREOFFICE.FORECAST.ETS.STAT.MULT({7.71;7.71;7.7;7.7;7.7;7.71;7.7;7.7;7.7;7.71;7.71;7.7;7.7;8;7.71;7.7;8;7.71;7.71},{3;10;17;24;31;38;45;52;59;66;73;80;87;94;101;108;115;122;129},{5;1;9;6;7;3;8;2;4})</t>
  </si>
  <si>
    <t xml:space="preserve">_xlfn.FORECAST.ETS.SEASONALITY({7.71;7.71;7.7;7.7;7.7;7.71;7.7;7.7;7.7;7.71;7.71;7.7;7.7;8;7.71;7.7;8;7.71;7.71},{3;10;17;24;31;38;45;52;59;66;73;80;87;94;101;108;115;122;129})</t>
  </si>
  <si>
    <t xml:space="preserve">_xlfn.ORG.LIBREOFFICE.FORECAST.ETS.MULT({45364},{0.27;8;19.7;10;14.43;20.1;30.86;25;26.72;32.69;43.16;35.42;37.57;43;57;49.8},{44862;44893;44923;44954;44985;45013;45044;45074;45105;45135;45166;45197;45227;45258;45288;45319},1,0,3)</t>
  </si>
  <si>
    <t xml:space="preserve">_xlfn.FORECAST.ETS.STAT({0.27;8;19.7;10;14.43;20.1;30.86;25;26.72;32.69;43.16;35.42;37.57;43;57;49.8},{44862;44893;44923;44954;44985;45013;45044;45074;45105;45135;45166;45197;45227;45258;45288;45319},{5;9},1,0,3)</t>
  </si>
  <si>
    <t xml:space="preserve">_xlfn.FORECAST.ETS.SEASONALITY({0.27;8;19.7;10;14.43;20.1;30.86;25;26.72;32.69;43.16;35.42;37.57;43;57;49.8},{44862;44893;44923;44954;44985;45013;45044;45074;45105;45135;45166;45197;45227;45258;45288;45319},0)</t>
  </si>
  <si>
    <t xml:space="preserve">_xlfn.ORG.LIBREOFFICE.FORECAST.ETS.MULT({45244;45199},{43;49.8;46.8;44.1;44.9;51;27;39.9;44.6;47.51;34.6;46.5;41.4;46.1},{44819;45184;45031;44880;45122;45153;44788;44910;44941;45092;45000;45061;44849;44972},1)</t>
  </si>
  <si>
    <t xml:space="preserve">_xlfn.ORG.LIBREOFFICE.FORECAST.ETS.STAT.MULT({43;49.8;46.8;44.1;44.9;51;27;39.9;44.6;47.51;34.6;46.5;41.4;46.1},{44819;45184;45031;44880;45122;45153;44788;44910;44941;45092;45000;45061;44849;44972},{5;9;2;6;3;7;8;1;4},1)</t>
  </si>
  <si>
    <t xml:space="preserve">_xlfn.FORECAST.ETS.SEASONALITY({43;49.8;46.8;44.1;44.9;51;27;39.9;44.6;47.51;34.6;46.5;41.4;46.1},{44819;45184;45031;44880;45122;45153;44788;44910;44941;45092;45000;45061;44849;44972},1)</t>
  </si>
  <si>
    <t xml:space="preserve">_xlfn.ORG.LIBREOFFICE.FORECAST.ETS.MULT(83,{9.57;14;17.2;21;24.3;27.87;33;36.3;38;43.7;47.6;51.6;55.71;58},{3;8;13;18;23;28;33;38;43;48;53;58;63;68})</t>
  </si>
  <si>
    <t xml:space="preserve">_xlfn.ORG.LIBREOFFICE.FORECAST.ETS.STAT.MULT({9.57;14;17.2;21;24.3;27.87;33;36.3;38;43.7;47.6;51.6;55.71;58},{3;8;13;18;23;28;33;38;43;48;53;58;63;68},{3;9;6;8;2;4;1;7;5})</t>
  </si>
  <si>
    <t xml:space="preserve">_xlfn.FORECAST.ETS.SEASONALITY({9.57;14;17.2;21;24.3;27.87;33;36.3;38;43.7;47.6;51.6;55.71;58},{3;8;13;18;23;28;33;38;43;48;53;58;63;68},1,1)</t>
  </si>
  <si>
    <t xml:space="preserve">_xlfn.FORECAST.ETS(45177.5,{6.62;12.14;22.6;10.74;17;36.1;16;27;48;22.08;32.51;57.06},{44896;44927;44958;44986;45017;45047;45078;45108;45139;45170;45200;45231},1,1,6)</t>
  </si>
  <si>
    <t xml:space="preserve">_xlfn.ORG.LIBREOFFICE.FORECAST.ETS.STAT.MULT({6.62;12.14;22.6;10.74;17;36.1;16;27;48;22.08;32.51;57.06},{44896;44927;44958;44986;45017;45047;45078;45108;45139;45170;45200;45231},{7;4},1,1,6)</t>
  </si>
  <si>
    <t xml:space="preserve">_xlfn.FORECAST.ETS.SEASONALITY({6.62;12.14;22.6;10.74;17;36.1;16;27;48;22.08;32.51;57.06},{44896;44927;44958;44986;45017;45047;45078;45108;45139;45170;45200;45231})</t>
  </si>
  <si>
    <t xml:space="preserve">_xlfn.ORG.LIBREOFFICE.FORECAST.ETS.MULT(24.5,{18.09;22.03;22;25;28.29;31.42;33.93;36;37.2;40.88;42;46;48.1;50.9;52;55;56.9;60.4;62;66.1;66.9;71.52;73.28},{1;2;3;4;5;6;7;8;9;10;11;12;13;14;15;16;17;18;19;20;21;22;23},0,0)</t>
  </si>
  <si>
    <t xml:space="preserve">_xlfn.FORECAST.ETS.STAT({18.09;22.03;22;25;28.29;31.42;33.93;36;37.2;40.88;42;46;48.1;50.9;52;55;56.9;60.4;62;66.1;66.9;71.52;73.28},{1;2;3;4;5;6;7;8;9;10;11;12;13;14;15;16;17;18;19;20;21;22;23},{7},0,0)</t>
  </si>
  <si>
    <t xml:space="preserve">_xlfn.FORECAST.ETS.SEASONALITY({18.09;22.03;22;25;28.29;31.42;33.93;36;37.2;40.88;42;46;48.1;50.9;52;55;56.9;60.4;62;66.1;66.9;71.52;73.28},{1;2;3;4;5;6;7;8;9;10;11;12;13;14;15;16;17;18;19;20;21;22;23},1,1)</t>
  </si>
  <si>
    <t xml:space="preserve">_xlfn.FORECAST.ETS({10,12},{8.66;3.1;7;7.2;2.94;6.6;8;5;5},{1;2;3;4;5;6;7;8;9},1)</t>
  </si>
  <si>
    <t xml:space="preserve">_xlfn.ORG.LIBREOFFICE.FORECAST.ETS.STAT.MULT({8.66;3.1;7;7.2;2.94;6.6;8;5;5},{1;2;3;4;5;6;7;8;9},{8;5},1)</t>
  </si>
  <si>
    <t xml:space="preserve">_xlfn.FORECAST.ETS.SEASONALITY({8.66;3.1;7;7.2;2.94;6.6;8;5;5},{1;2;3;4;5;6;7;8;9},1)</t>
  </si>
  <si>
    <t xml:space="preserve">_xlfn.FORECAST.ETS(20,{40.07;10.43;48.7;77.22;20;85.4;3;43.36;50.4;72.09;76.7;82.42;35.2;68.7;51.44;65.3},{1;2;3;5;6;7;8;9;10;11;12;13;14;15;16;17},4)</t>
  </si>
  <si>
    <t xml:space="preserve">_xlfn.ORG.LIBREOFFICE.FORECAST.ETS.STAT.MULT({40.07;10.43;48.7;77.22;20;85.4;3;43.36;50.4;72.09;76.7;82.42;35.2;68.7;51.44;65.3},{1;2;3;5;6;7;8;9;10;11;12;13;14;15;16;17},{4;7},4)</t>
  </si>
  <si>
    <t xml:space="preserve">_xlfn.FORECAST.ETS.SEASONALITY({40.07;10.43;48.7;77.22;20;85.4;3;43.36;50.4;72.09;76.7;82.42;35.2;68.7;51.44;65.3},{1;2;3;5;6;7;8;9;10;11;12;13;14;15;16;17},0,6)</t>
  </si>
  <si>
    <t xml:space="preserve">_xlfn.ORG.LIBREOFFICE.FORECAST.ETS.MULT(26,{57;74;50;96.78;65;87.3;22.61;67.83;56.3;96.15;70.3;90.1;82.33;70.2;74.87;6.33;82.6;40.9;79.6;35;60.7;95.89},{1;2;3;4;5;6;7;8;9;10;11;12;13;14;15;16;17;18;19;20;21;22},2,0,4)</t>
  </si>
  <si>
    <t xml:space="preserve">_xlfn.ORG.LIBREOFFICE.FORECAST.ETS.STAT.MULT({57;74;50;96.78;65;87.3;22.61;67.83;56.3;96.15;70.3;90.1;82.33;70.2;74.87;6.33;82.6;40.9;79.6;35;60.7;95.89},{1;2;3;4;5;6;7;8;9;10;11;12;13;14;15;16;17;18;19;20;21;22},{7;6},2,0,4)</t>
  </si>
  <si>
    <t xml:space="preserve">_xlfn.FORECAST.ETS.SEASONALITY({57;74;50;96.78;65;87.3;22.61;67.83;56.3;96.15;70.3;90.1;82.33;70.2;74.87;6.33;82.6;40.9;79.6;35;60.7;95.89},{1;2;3;4;5;6;7;8;9;10;11;12;13;14;15;16;17;18;19;20;21;22})</t>
  </si>
  <si>
    <t xml:space="preserve">_xlfn.ORG.LIBREOFFICE.FORECAST.ETS.MULT(45319,{44;29.38;49.3;47;40.2;31.2;47.45;34.73;42.92;25.9;35;37.41},{45107;44895;45199;45138;45046;44926;45169;44985;45077;44865;44957;45016},6,0,5)</t>
  </si>
  <si>
    <t xml:space="preserve">_xlfn.FORECAST.ETS.STAT({44;29.38;49.3;47;40.2;31.2;47.45;34.73;42.92;25.9;35;37.41},{45107;44895;45199;45138;45046;44926;45169;44985;45077;44865;44957;45016},{3},6,0,5)</t>
  </si>
  <si>
    <t xml:space="preserve">_xlfn.FORECAST.ETS.SEASONALITY({44;29.38;49.3;47;40.2;31.2;47.45;34.73;42.92;25.9;35;37.41},{45107;44895;45199;45138;45046;44926;45169;44985;45077;44865;44957;45016})</t>
  </si>
  <si>
    <t xml:space="preserve">_xlfn.FORECAST.ETS(4.5,{37.73;26.2;50;44.3;29;57.33},{1;1.5;2;2.5;3;3.5},1,1)</t>
  </si>
  <si>
    <t xml:space="preserve">_xlfn.FORECAST.ETS.STAT({37.73;26.2;50;44.3;29;57.33},{1;1.5;2;2.5;3;3.5},{2;3;1;8;7;5;6;4;9},1,1)</t>
  </si>
  <si>
    <t xml:space="preserve">_xlfn.FORECAST.ETS.SEASONALITY({37.73;26.2;50;44.3;29;57.33},{1;1.5;2;2.5;3;3.5},1)</t>
  </si>
  <si>
    <t xml:space="preserve">_xlfn.FORECAST.ETS.CONFINT(4,{37.73;26.2;50;44.3;29;57.33},{1;1.5;2;2.5;3;3.5},0,0,0)</t>
  </si>
  <si>
    <t xml:space="preserve">_xlfn.FORECAST.ETS({10.5,11},{38.8;71;30.7;53.77;52.99;62.57;46.8;89.51;39;65.3;63.5;75.3;56.01;103.06;44.5;76;76.43;87},{1;1.5;2;2.5;3;3.5;4;4.5;5;5.5;6;6.5;7;7.5;8;8.5;9;9.5},6,1,6)</t>
  </si>
  <si>
    <t xml:space="preserve">_xlfn.ORG.LIBREOFFICE.FORECAST.ETS.STAT.MULT({38.8;71;30.7;53.77;52.99;62.57;46.8;89.51;39;65.3;63.5;75.3;56.01;103.06;44.5;76;76.43;87},{1;1.5;2;2.5;3;3.5;4;4.5;5;5.5;6;6.5;7;7.5;8;8.5;9;9.5},{6},6,1,6)</t>
  </si>
  <si>
    <t xml:space="preserve">_xlfn.FORECAST.ETS.SEASONALITY({38.8;71;30.7;53.77;52.99;62.57;46.8;89.51;39;65.3;63.5;75.3;56.01;103.06;44.5;76;76.43;87},{1;1.5;2;2.5;3;3.5;4;4.5;5;5.5;6;6.5;7;7.5;8;8.5;9;9.5},1)</t>
  </si>
  <si>
    <t xml:space="preserve">_xlfn.FORECAST.ETS(45009,{14.26;17;16.06;18.27;21;19.89;22;23;26.01},{45000;45001;45002;45003;45004;45005;45006;45007;45008},4,1,6)</t>
  </si>
  <si>
    <t xml:space="preserve">_xlfn.ORG.LIBREOFFICE.FORECAST.ETS.STAT.MULT({14.26;17;16.06;18.27;21;19.89;22;23;26.01},{45000;45001;45002;45003;45004;45005;45006;45007;45008},{3;6;9;7;4;5;8;2;1},4,1,6)</t>
  </si>
  <si>
    <t xml:space="preserve">_xlfn.FORECAST.ETS.SEASONALITY({14.26;17;16.06;18.27;21;19.89;22;23;26.01},{45000;45001;45002;45003;45004;45005;45006;45007;45008},1)</t>
  </si>
  <si>
    <t xml:space="preserve">_xlfn.ORG.LIBREOFFICE.FORECAST.ETS.PI.MULT(45010,{14.26;17;16.06;18.27;21;19.89;22;23;26.01},{45000;45001;45002;45003;45004;45005;45006;45007;45008},0,0,1)</t>
  </si>
  <si>
    <t xml:space="preserve">_xlfn.ORG.LIBREOFFICE.FORECAST.ETS.MULT({45137,45197},{21;21.5;21;21.48;21.48;21.48},{44926;44957;44985;45016;45046;45077},7,1)</t>
  </si>
  <si>
    <t xml:space="preserve">_xlfn.ORG.LIBREOFFICE.FORECAST.ETS.STAT.MULT({21;21.5;21;21.48;21.48;21.48},{44926;44957;44985;45016;45046;45077},{1;3;9;7;2;5;8;4;6},7,1)</t>
  </si>
  <si>
    <t xml:space="preserve">_xlfn.FORECAST.ETS.SEASONALITY({21;21.5;21;21.48;21.48;21.48},{44926;44957;44985;45016;45046;45077},1,3)</t>
  </si>
  <si>
    <t xml:space="preserve">_xlfn.FORECAST.ETS(3.25,{16.7;17;16.72;17;17;16.72},{1;2;3;4;5;6},1,1)</t>
  </si>
  <si>
    <t xml:space="preserve">_xlfn.FORECAST.ETS.STAT({16.7;17;16.72;17;17;16.72},{1;2;3;4;5;6},{4;9;2;1;8;6;5;7;3},1,1)</t>
  </si>
  <si>
    <t xml:space="preserve">_xlfn.FORECAST.ETS.SEASONALITY({16.7;17;16.72;17;17;16.72},{1;2;3;4;5;6},1)</t>
  </si>
  <si>
    <t xml:space="preserve">_xlfn.ORG.LIBREOFFICE.FORECAST.ETS.MULT({45022},{48.63;48.68;47.1;49.16;47.6;48.4;49.92;51;49.68;50.6;51.3;51.63;52.93;51.64;53.2;53;51.6;53;54.8},{45000;45001;45002;45003;45004;45005;45006;45007;45008;45009;45010;45011;45012;45013;45014;45015;45016;45017;45018})</t>
  </si>
  <si>
    <t xml:space="preserve">_xlfn.FORECAST.ETS.STAT({48.63;48.68;47.1;49.16;47.6;48.4;49.92;51;49.68;50.6;51.3;51.63;52.93;51.64;53.2;53;51.6;53;54.8},{45000;45001;45002;45003;45004;45005;45006;45007;45008;45009;45010;45011;45012;45013;45014;45015;45016;45017;45018},{8})</t>
  </si>
  <si>
    <t xml:space="preserve">_xlfn.FORECAST.ETS.SEASONALITY({48.63;48.68;47.1;49.16;47.6;48.4;49.92;51;49.68;50.6;51.3;51.63;52.93;51.64;53.2;53;51.6;53;54.8},{45000;45001;45002;45003;45004;45005;45006;45007;45008;45009;45010;45011;45012;45013;45014;45015;45016;45017;45018},1)</t>
  </si>
  <si>
    <t xml:space="preserve">_xlfn.ORG.LIBREOFFICE.FORECAST.ETS.MULT({13.5;13.5},{9.6;-17.48;-18.11;-10;-9.3;4;-5.58;-3.3;-1;11;-14;-16.4;2.7;-6.13;10.3;-10;1.64;-4.4;15.93;5.7;-1.38;12;12;2.77;-11},{2;13;12;10;9.5;5;7;8;9;2.5;11;12.5;6.5;8.5;3;11.5;5.5;7.5;1.5;3.5;6;1;4;4.5;10.5})</t>
  </si>
  <si>
    <t xml:space="preserve">_xlfn.FORECAST.ETS.STAT({9.6;-17.48;-18.11;-10;-9.3;4;-5.58;-3.3;-1;11;-14;-16.4;2.7;-6.13;10.3;-10;1.64;-4.4;15.93;5.7;-1.38;12;12;2.77;-11},{2;13;12;10;9.5;5;7;8;9;2.5;11;12.5;6.5;8.5;3;11.5;5.5;7.5;1.5;3.5;6;1;4;4.5;10.5},{8})</t>
  </si>
  <si>
    <t xml:space="preserve">_xlfn.FORECAST.ETS.SEASONALITY({9.6;-17.48;-18.11;-10;-9.3;4;-5.58;-3.3;-1;11;-14;-16.4;2.7;-6.13;10.3;-10;1.64;-4.4;15.93;5.7;-1.38;12;12;2.77;-11},{2;13;12;10;9.5;5;7;8;9;2.5;11;12.5;6.5;8.5;3;11.5;5.5;7.5;1.5;3.5;6;1;4;4.5;10.5})</t>
  </si>
  <si>
    <t xml:space="preserve">_xlfn.ORG.LIBREOFFICE.FORECAST.ETS.PI.MULT(14.5,{9.6;-17.48;-18.11;-10;-9.3;4;-5.58;-3.3;-1;11;-14;-16.4;2.7;-6.13;10.3;-10;1.64;-4.4;15.93;5.7;-1.38;12;12;2.77;-11},{2;13;12;10;9.5;5;7;8;9;2.5;11;12.5;6.5;8.5;3;11.5;5.5;7.5;1.5;3.5;6;1;4;4.5;10.5},0.5,0,0)</t>
  </si>
  <si>
    <t xml:space="preserve">_xlfn.ORG.LIBREOFFICE.FORECAST.ETS.MULT({45022},{70;64.8;84;71;11;4;29;75.2;89;58.6;81.7;86;20.2;83;10.87;54.7;35.9;57;4},{45000;45001;45002;45003;45004;45005;45006;45007;45008;45009;45010;45011;45012;45013;45014;45015;45016;45017;45018},0)</t>
  </si>
  <si>
    <t xml:space="preserve">_xlfn.ORG.LIBREOFFICE.FORECAST.ETS.STAT.MULT({70;64.8;84;71;11;4;29;75.2;89;58.6;81.7;86;20.2;83;10.87;54.7;35.9;57;4},{45000;45001;45002;45003;45004;45005;45006;45007;45008;45009;45010;45011;45012;45013;45014;45015;45016;45017;45018},{3},0)</t>
  </si>
  <si>
    <t xml:space="preserve">_xlfn.FORECAST.ETS.SEASONALITY({70;64.8;84;71;11;4;29;75.2;89;58.6;81.7;86;20.2;83;10.87;54.7;35.9;57;4},{45000;45001;45002;45003;45004;45005;45006;45007;45008;45009;45010;45011;45012;45013;45014;45015;45016;45017;45018},1,5)</t>
  </si>
  <si>
    <t xml:space="preserve">_xlfn.ORG.LIBREOFFICE.FORECAST.ETS.MULT({45137,45197},{9.4;14;14.5;15;21;21.75},{44926;44957;44985;45016;45046;45077},3,1)</t>
  </si>
  <si>
    <t xml:space="preserve">_xlfn.FORECAST.ETS.STAT({9.4;14;14.5;15;21;21.75},{44926;44957;44985;45016;45046;45077},{1},3,1)</t>
  </si>
  <si>
    <t xml:space="preserve">_xlfn.FORECAST.ETS.SEASONALITY({9.4;14;14.5;15;21;21.75},{44926;44957;44985;45016;45046;45077},0)</t>
  </si>
  <si>
    <t xml:space="preserve">_xlfn.FORECAST.ETS({45488;45563;45518},{12.49;12.5;12.49;12.5;12;12.49;12;12;12.5;12;12.5;12;12.49;12;12.5;12;12.5;12.49;12.5;12.5;12.5;12.5;12.5},{44804;44834;44865;44895;44926;44957;44985;45016;45046;45077;45107;45138;45169;45199;45230;45260;45291;45322;45351;45382;45412;45443;45473},1,1)</t>
  </si>
  <si>
    <t xml:space="preserve">_xlfn.ORG.LIBREOFFICE.FORECAST.ETS.STAT.MULT({12.49;12.5;12.49;12.5;12;12.49;12;12;12.5;12;12.5;12;12.49;12;12.5;12;12.5;12.49;12.5;12.5;12.5;12.5;12.5},{44804;44834;44865;44895;44926;44957;44985;45016;45046;45077;45107;45138;45169;45199;45230;45260;45291;45322;45351;45382;45412;45443;45473},{4;2},1,1)</t>
  </si>
  <si>
    <t xml:space="preserve">_xlfn.FORECAST.ETS.SEASONALITY({12.49;12.5;12.49;12.5;12;12.49;12;12;12.5;12;12.5;12;12.49;12;12.5;12;12.5;12.49;12.5;12.5;12.5;12.5;12.5},{44804;44834;44865;44895;44926;44957;44985;45016;45046;45077;45107;45138;45169;45199;45230;45260;45291;45322;45351;45382;45412;45443;45473},1,3)</t>
  </si>
  <si>
    <t xml:space="preserve">_xlfn.ORG.LIBREOFFICE.FORECAST.ETS.MULT(208,{27;29.3;33.7;44.67;45;44.52;46;63;59.1;61;61.2;80;76;75.65;76;98.23;89.84;91;88.77;115.5},{3;13;23;33;43;53;63;73;83;93;103;113;123;133;143;153;163;173;183;193},0)</t>
  </si>
  <si>
    <t xml:space="preserve">_xlfn.FORECAST.ETS.STAT({27;29.3;33.7;44.67;45;44.52;46;63;59.1;61;61.2;80;76;75.65;76;98.23;89.84;91;88.77;115.5},{3;13;23;33;43;53;63;73;83;93;103;113;123;133;143;153;163;173;183;193},{3;2},0)</t>
  </si>
  <si>
    <t xml:space="preserve">_xlfn.FORECAST.ETS.SEASONALITY({27;29.3;33.7;44.67;45;44.52;46;63;59.1;61;61.2;80;76;75.65;76;98.23;89.84;91;88.77;115.5},{3;13;23;33;43;53;63;73;83;93;103;113;123;133;143;153;163;173;183;193},0)</t>
  </si>
  <si>
    <t xml:space="preserve">_xlfn.ORG.LIBREOFFICE.FORECAST.ETS.PI.MULT({203;213;223},{27;29.3;33.7;44.67;45;44.52;46;63;59.1;61;61.2;80;76;75.65;76;98.23;89.84;91;88.77;115.5},{3;13;23;33;43;53;63;73;83;93;103;113;123;133;143;153;163;173;183;193},0.5,0,1,1)</t>
  </si>
  <si>
    <t xml:space="preserve">_xlfn.FORECAST.ETS({45167,45197},{31.8;31.8;32;31.8;31.8;32;31.8;32;32;31.8;31.8;31.8;31.8;31.8;32;31.8;31.8},{44592;44620;44651;44681;44712;44742;44773;44804;44834;44865;44895;44926;44957;44985;45016;45046;45077},0,,4)</t>
  </si>
  <si>
    <t xml:space="preserve">_xlfn.FORECAST.ETS.STAT({31.8;31.8;32;31.8;31.8;32;31.8;32;32;31.8;31.8;31.8;31.8;31.8;32;31.8;31.8},{44592;44620;44651;44681;44712;44742;44773;44804;44834;44865;44895;44926;44957;44985;45016;45046;45077},{9;8},0,,4)</t>
  </si>
  <si>
    <t xml:space="preserve">_xlfn.FORECAST.ETS.SEASONALITY({31.8;31.8;32;31.8;31.8;32;31.8;32;32;31.8;31.8;31.8;31.8;31.8;32;31.8;31.8},{44592;44620;44651;44681;44712;44742;44773;44804;44834;44865;44895;44926;44957;44985;45016;45046;45077},0,5)</t>
  </si>
  <si>
    <t xml:space="preserve">_xlfn.FORECAST.ETS(6,{47;48.76;54.58;58.86;62.23;67;71.4;76;79},{1;1.5;2;2.5;3;3.5;4;4.5;5})</t>
  </si>
  <si>
    <t xml:space="preserve">_xlfn.ORG.LIBREOFFICE.FORECAST.ETS.STAT.MULT({47;48.76;54.58;58.86;62.23;67;71.4;76;79},{1;1.5;2;2.5;3;3.5;4;4.5;5},{4})</t>
  </si>
  <si>
    <t xml:space="preserve">_xlfn.FORECAST.ETS.SEASONALITY({47;48.76;54.58;58.86;62.23;67;71.4;76;79},{1;1.5;2;2.5;3;3.5;4;4.5;5},0)</t>
  </si>
  <si>
    <t xml:space="preserve">_xlfn.ORG.LIBREOFFICE.FORECAST.ETS.MULT(1.5,{20;18.4;19;19.74},{1;2;3;4})</t>
  </si>
  <si>
    <t xml:space="preserve">_xlfn.ORG.LIBREOFFICE.FORECAST.ETS.STAT.MULT({20;18.4;19;19.74},{1;2;3;4},{8;3;5;9;7;4;1;6;2})</t>
  </si>
  <si>
    <t xml:space="preserve">_xlfn.FORECAST.ETS.SEASONALITY({20;18.4;19;19.74},{1;2;3;4},1)</t>
  </si>
  <si>
    <t xml:space="preserve">_xlfn.ORG.LIBREOFFICE.FORECAST.ETS.MULT({8;6.5},{13;5;14.7;11.56;5;15;14.28},{1;2;3;4;5;5;6})</t>
  </si>
  <si>
    <t xml:space="preserve">_xlfn.ORG.LIBREOFFICE.FORECAST.ETS.STAT.MULT({13;5;14.7;11.56;5;15;14.28},{1;2;3;4;5;5;6},{6;9})</t>
  </si>
  <si>
    <t xml:space="preserve">_xlfn.FORECAST.ETS.SEASONALITY({13;5;14.7;11.56;5;15;14.28},{1;2;3;4;5;5;6},0)</t>
  </si>
  <si>
    <t xml:space="preserve">_xlfn.ORG.LIBREOFFICE.FORECAST.ETS.PI.MULT(8,{13;5;14.7;11.56;5;15;14.28},{1;2;3;4;5;5;6},1,0)</t>
  </si>
  <si>
    <t xml:space="preserve">_xlfn.FORECAST.ETS({37},{7.55;6;14;10.11;1;10;3;4.4;4;13;7.55;-2;10;2;5.9;5.8;10.7;9.45;-1;10.2;2.4;5;4;11.1;6.33;-2.37;8.8;1.67;3.4;4.3;9.3;5.9;-3.7;8;1.69},{1;2;3;4;5;6;7;8;9;10;11;12;13;14;15;16;17;18;19;20;21;22;23;24;25;26;27;28;29;30;31;32;33;34;35})</t>
  </si>
  <si>
    <t xml:space="preserve">_xlfn.FORECAST.ETS.STAT({7.55;6;14;10.11;1;10;3;4.4;4;13;7.55;-2;10;2;5.9;5.8;10.7;9.45;-1;10.2;2.4;5;4;11.1;6.33;-2.37;8.8;1.67;3.4;4.3;9.3;5.9;-3.7;8;1.69},{1;2;3;4;5;6;7;8;9;10;11;12;13;14;15;16;17;18;19;20;21;22;23;24;25;26;27;28;29;30;31;32;33;34;35},{4;1})</t>
  </si>
  <si>
    <t xml:space="preserve">_xlfn.FORECAST.ETS.SEASONALITY({7.55;6;14;10.11;1;10;3;4.4;4;13;7.55;-2;10;2;5.9;5.8;10.7;9.45;-1;10.2;2.4;5;4;11.1;6.33;-2.37;8.8;1.67;3.4;4.3;9.3;5.9;-3.7;8;1.69},{1;2;3;4;5;6;7;8;9;10;11;12;13;14;15;16;17;18;19;20;21;22;23;24;25;26;27;28;29;30;31;32;33;34;35},0,4)</t>
  </si>
  <si>
    <t xml:space="preserve">_xlfn.ORG.LIBREOFFICE.FORECAST.ETS.MULT(1,{23;22.3;24.1;24.4;23.8;23.5;24.2;26;25;24.1;26;24;25;25;27;26.3;26.1;25.64;26.52},{1;1.5;2;2.5;3;3.5;4;4.5;5;5.5;6;6.5;7;7.5;8;8.5;9;9.5;10},0,1)</t>
  </si>
  <si>
    <t xml:space="preserve">_xlfn.FORECAST.ETS.STAT({23;22.3;24.1;24.4;23.8;23.5;24.2;26;25;24.1;26;24;25;25;27;26.3;26.1;25.64;26.52},{1;1.5;2;2.5;3;3.5;4;4.5;5;5.5;6;6.5;7;7.5;8;8.5;9;9.5;10},{7;4},0,1)</t>
  </si>
  <si>
    <t xml:space="preserve">_xlfn.FORECAST.ETS.SEASONALITY({23;22.3;24.1;24.4;23.8;23.5;24.2;26;25;24.1;26;24;25;25;27;26.3;26.1;25.64;26.52},{1;1.5;2;2.5;3;3.5;4;4.5;5;5.5;6;6.5;7;7.5;8;8.5;9;9.5;10},1)</t>
  </si>
  <si>
    <t xml:space="preserve">_xlfn.ORG.LIBREOFFICE.FORECAST.ETS.MULT(45229,{37.47;29;50.63;56.2;53.17;39.55;33.07;54.04;58;57;43.1;33.7;57.86;63;62.2;44.39;35;62.5;65.53;63},{44607;44635;44666;44696;44727;44757;44788;44819;44849;44880;44910;44941;44972;45000;45031;45061;45092;45122;45153;45184},1,0,1)</t>
  </si>
  <si>
    <t xml:space="preserve">_xlfn.FORECAST.ETS.STAT({37.47;29;50.63;56.2;53.17;39.55;33.07;54.04;58;57;43.1;33.7;57.86;63;62.2;44.39;35;62.5;65.53;63},{44607;44635;44666;44696;44727;44757;44788;44819;44849;44880;44910;44941;44972;45000;45031;45061;45092;45122;45153;45184},{9;8;7;3;5;4;1;2;6},1,0,1)</t>
  </si>
  <si>
    <t xml:space="preserve">_xlfn.FORECAST.ETS.SEASONALITY({37.47;29;50.63;56.2;53.17;39.55;33.07;54.04;58;57;43.1;33.7;57.86;63;62.2;44.39;35;62.5;65.53;63},{44607;44635;44666;44696;44727;44757;44788;44819;44849;44880;44910;44941;44972;45000;45031;45061;45092;45122;45153;45184},0,7)</t>
  </si>
  <si>
    <t xml:space="preserve">_xlfn.ORG.LIBREOFFICE.FORECAST.ETS.MULT(153,{7;12;16.99;22;25.43;30;35.37;47;49.84;56;60.4},{3;13;23;33;43;53;63;83;93;103;113},4)</t>
  </si>
  <si>
    <t xml:space="preserve">_xlfn.ORG.LIBREOFFICE.FORECAST.ETS.STAT.MULT({7;12;16.99;22;25.43;30;35.37;47;49.84;56;60.4},{3;13;23;33;43;53;63;83;93;103;113},{7},4)</t>
  </si>
  <si>
    <t xml:space="preserve">_xlfn.FORECAST.ETS.SEASONALITY({7;12;16.99;22;25.43;30;35.37;47;49.84;56;60.4},{3;13;23;33;43;53;63;83;93;103;113})</t>
  </si>
  <si>
    <t xml:space="preserve">_xlfn.ORG.LIBREOFFICE.FORECAST.ETS.PI.MULT({123;133;143},{7;12;16.99;22;25.43;30;35.37;47;49.84;56;60.4},{3;13;23;33;43;53;63;83;93;103;113},,0,1)</t>
  </si>
  <si>
    <t xml:space="preserve">_xlfn.ORG.LIBREOFFICE.FORECAST.ETS.MULT({9},{32;3;44.39;79;29.1;82.67;82;100;38;79.9;81.19;89.58;52.35;75.95},{1;1.5;2;2.5;2.5;3;3.5;4;4.5;5;5.5;6;6.5;7},2)</t>
  </si>
  <si>
    <t xml:space="preserve">_xlfn.ORG.LIBREOFFICE.FORECAST.ETS.STAT.MULT({32;3;44.39;79;29.1;82.67;82;100;38;79.9;81.19;89.58;52.35;75.95},{1;1.5;2;2.5;2.5;3;3.5;4;4.5;5;5.5;6;6.5;7},{5;4;3;9;2;1;7;8;6},2)</t>
  </si>
  <si>
    <t xml:space="preserve">_xlfn.FORECAST.ETS.SEASONALITY({32;3;44.39;79;29.1;82.67;82;100;38;79.9;81.19;89.58;52.35;75.95},{1;1.5;2;2.5;2.5;3;3.5;4;4.5;5;5.5;6;6.5;7},1,5)</t>
  </si>
  <si>
    <t xml:space="preserve">_xlfn.ORG.LIBREOFFICE.FORECAST.ETS.PI.MULT(8.5,{32;3;44.39;79;29.1;82.67;82;100;38;79.9;81.19;89.58;52.35;75.95},{1;1.5;2;2.5;2.5;3;3.5;4;4.5;5;5.5;6;6.5;7},0,0)</t>
  </si>
  <si>
    <t xml:space="preserve">_xlfn.FORECAST.ETS(5.5,{24.2;24.2;24.23;24;24;24.2},{1;2;3;4;5;6},4)</t>
  </si>
  <si>
    <t xml:space="preserve">_xlfn.FORECAST.ETS.STAT({24.2;24.2;24.23;24;24;24.2},{1;2;3;4;5;6},{6},4)</t>
  </si>
  <si>
    <t xml:space="preserve">_xlfn.FORECAST.ETS.SEASONALITY({24.2;24.2;24.23;24;24;24.2},{1;2;3;4;5;6},1,7)</t>
  </si>
  <si>
    <t xml:space="preserve">_xlfn.ORG.LIBREOFFICE.FORECAST.ETS.PI.MULT({7;8;9},{24.2;24.2;24.23;24;24;24.2},{1;2;3;4;5;6},0.99,0,1,5)</t>
  </si>
  <si>
    <t xml:space="preserve">_xlfn.FORECAST.ETS(12,{27.1;31;35.17;37.42;41;45;48;49.41;52.1;54.8;58.3;63.35;65.6;68.61;71},{1;2;3;4;5;6;7;8;9;10;11;12;13;14;15},0,,6)</t>
  </si>
  <si>
    <t xml:space="preserve">_xlfn.FORECAST.ETS.STAT({27.1;31;35.17;37.42;41;45;48;49.41;52.1;54.8;58.3;63.35;65.6;68.61;71},{1;2;3;4;5;6;7;8;9;10;11;12;13;14;15},{8;9},0,,6)</t>
  </si>
  <si>
    <t xml:space="preserve">_xlfn.FORECAST.ETS.SEASONALITY({27.1;31;35.17;37.42;41;45;48;49.41;52.1;54.8;58.3;63.35;65.6;68.61;71},{1;2;3;4;5;6;7;8;9;10;11;12;13;14;15},0,3)</t>
  </si>
  <si>
    <t xml:space="preserve">_xlfn.ORG.LIBREOFFICE.FORECAST.ETS.MULT(38,{11.64;21.5;5.2;8.52;17.8;3.1;3.4;13;-4;-2;7;-7.2;-5.3;5;-10.25},{3;10;17;24;31;38;45;52;59;66;73;80;87;94;101},0,,6)</t>
  </si>
  <si>
    <t xml:space="preserve">_xlfn.ORG.LIBREOFFICE.FORECAST.ETS.STAT.MULT({11.64;21.5;5.2;8.52;17.8;3.1;3.4;13;-4;-2;7;-7.2;-5.3;5;-10.25},{3;10;17;24;31;38;45;52;59;66;73;80;87;94;101},{1},0,,6)</t>
  </si>
  <si>
    <t xml:space="preserve">_xlfn.FORECAST.ETS.SEASONALITY({11.64;21.5;5.2;8.52;17.8;3.1;3.4;13;-4;-2;7;-7.2;-5.3;5;-10.25},{3;10;17;24;31;38;45;52;59;66;73;80;87;94;101},0,6)</t>
  </si>
  <si>
    <t xml:space="preserve">_xlfn.FORECAST.ETS.CONFINT({108;115;122},{11.64;21.5;5.2;8.52;17.8;3.1;3.4;13;-4;-2;7;-7.2;-5.3;5;-10.25},{3;10;17;24;31;38;45;52;59;66;73;80;87;94;101},0.5,0)</t>
  </si>
  <si>
    <t xml:space="preserve">_xlfn.ORG.LIBREOFFICE.FORECAST.ETS.MULT({45245,45350,45260},{19;15.11;28;20.08;35.8;41.8;36.33;48.89;41;57.48;62;61;70.72;64;79.38},{44804;44834;44865;44895;44926;44957;44985;45016;45046;45077;45107;45138;45169;45199;45230},5,,3)</t>
  </si>
  <si>
    <t xml:space="preserve">_xlfn.ORG.LIBREOFFICE.FORECAST.ETS.STAT.MULT({19;15.11;28;20.08;35.8;41.8;36.33;48.89;41;57.48;62;61;70.72;64;79.38},{44804;44834;44865;44895;44926;44957;44985;45016;45046;45077;45107;45138;45169;45199;45230},{6;7},5,,3)</t>
  </si>
  <si>
    <t xml:space="preserve">_xlfn.FORECAST.ETS.SEASONALITY({19;15.11;28;20.08;35.8;41.8;36.33;48.89;41;57.48;62;61;70.72;64;79.38},{44804;44834;44865;44895;44926;44957;44985;45016;45046;45077;45107;45138;45169;45199;45230},0,5)</t>
  </si>
  <si>
    <t xml:space="preserve">_xlfn.FORECAST.ETS({31},{36.7;31.6;38;42.8;33;44.11;44.49;44.31;42.5;46.8;52.47;42;53.8;55;54.4;51.75;57;64;51.1;64;64.47;64;61;65;74.31;63.2;75;72},{1;2;3;4;5;6;7;8;9;10;11;12;13;14;15;16;17;18;19;20;21;22;23;24;25;26;27;28},1,0,2)</t>
  </si>
  <si>
    <t xml:space="preserve">_xlfn.ORG.LIBREOFFICE.FORECAST.ETS.STAT.MULT({36.7;31.6;38;42.8;33;44.11;44.49;44.31;42.5;46.8;52.47;42;53.8;55;54.4;51.75;57;64;51.1;64;64.47;64;61;65;74.31;63.2;75;72},{1;2;3;4;5;6;7;8;9;10;11;12;13;14;15;16;17;18;19;20;21;22;23;24;25;26;27;28},{6;4;7;8;3;9;5;1;2},1,0,2)</t>
  </si>
  <si>
    <t xml:space="preserve">_xlfn.FORECAST.ETS.SEASONALITY({36.7;31.6;38;42.8;33;44.11;44.49;44.31;42.5;46.8;52.47;42;53.8;55;54.4;51.75;57;64;51.1;64;64.47;64;61;65;74.31;63.2;75;72},{1;2;3;4;5;6;7;8;9;10;11;12;13;14;15;16;17;18;19;20;21;22;23;24;25;26;27;28})</t>
  </si>
  <si>
    <t xml:space="preserve">_xlfn.ORG.LIBREOFFICE.FORECAST.ETS.MULT({45380;45380},{14.02;11.99;12.2;12.6;14;12.3;12.9;12.2;12;13;13.79;12.4;12.82;12.9;12;11.1;13;11.68;11},{44801;44832;44862;44893;44923;44954;44985;45013;45044;45074;45105;45135;45166;45197;45227;45258;45288;45319;45350},2,,1)</t>
  </si>
  <si>
    <t xml:space="preserve">_xlfn.ORG.LIBREOFFICE.FORECAST.ETS.STAT.MULT({14.02;11.99;12.2;12.6;14;12.3;12.9;12.2;12;13;13.79;12.4;12.82;12.9;12;11.1;13;11.68;11},{44801;44832;44862;44893;44923;44954;44985;45013;45044;45074;45105;45135;45166;45197;45227;45258;45288;45319;45350},{4;9},2,,1)</t>
  </si>
  <si>
    <t xml:space="preserve">_xlfn.FORECAST.ETS.SEASONALITY({14.02;11.99;12.2;12.6;14;12.3;12.9;12.2;12;13;13.79;12.4;12.82;12.9;12;11.1;13;11.68;11},{44801;44832;44862;44893;44923;44954;44985;45013;45044;45074;45105;45135;45166;45197;45227;45258;45288;45319;45350})</t>
  </si>
  <si>
    <t xml:space="preserve">_xlfn.FORECAST.ETS({5.5,5.25},{78.43;61.69;49;53.3;37.2;33;41;69.4},{4;2;4.5;1;2.5;1.5;3.5;3},0,,2)</t>
  </si>
  <si>
    <t xml:space="preserve">_xlfn.ORG.LIBREOFFICE.FORECAST.ETS.STAT.MULT({78.43;61.69;49;53.3;37.2;33;41;69.4},{4;2;4.5;1;2.5;1.5;3.5;3},{5;1;4;6;7;8;2;3;9},0,,2)</t>
  </si>
  <si>
    <t xml:space="preserve">_xlfn.FORECAST.ETS.SEASONALITY({78.43;61.69;49;53.3;37.2;33;41;69.4},{4;2;4.5;1;2.5;1.5;3.5;3},1)</t>
  </si>
  <si>
    <t xml:space="preserve">_xlfn.FORECAST.ETS({6.75;8},{28.29;34.7;38;12;43;46.85;50;55;61.15;64.91;68.5;73;79},{1;1.5;2;2;2.5;3;3.5;4;4.5;5;5.5;6;6.5},4,1)</t>
  </si>
  <si>
    <t xml:space="preserve">_xlfn.FORECAST.ETS.STAT({28.29;34.7;38;12;43;46.85;50;55;61.15;64.91;68.5;73;79},{1;1.5;2;2;2.5;3;3.5;4;4.5;5;5.5;6;6.5},{7;5},4,1)</t>
  </si>
  <si>
    <t xml:space="preserve">_xlfn.FORECAST.ETS.SEASONALITY({28.29;34.7;38;12;43;46.85;50;55;61.15;64.91;68.5;73;79},{1;1.5;2;2;2.5;3;3.5;4;4.5;5;5.5;6;6.5},0,3)</t>
  </si>
  <si>
    <t xml:space="preserve">_xlfn.ORG.LIBREOFFICE.FORECAST.ETS.MULT({14,13},{49.5;87.2;16.9;91.7;51;96.6;64;96.84;66.5;61.83;41.5},{1;2;3;4;5;6;7;8;9;10;11},1,,4)</t>
  </si>
  <si>
    <t xml:space="preserve">_xlfn.FORECAST.ETS.STAT({49.5;87.2;16.9;91.7;51;96.6;64;96.84;66.5;61.83;41.5},{1;2;3;4;5;6;7;8;9;10;11},{6;4;8;2;1;3;9;7;5},1,,4)</t>
  </si>
  <si>
    <t xml:space="preserve">_xlfn.FORECAST.ETS.SEASONALITY({49.5;87.2;16.9;91.7;51;96.6;64;96.84;66.5;61.83;41.5},{1;2;3;4;5;6;7;8;9;10;11})</t>
  </si>
  <si>
    <t xml:space="preserve">_xlfn.ORG.LIBREOFFICE.FORECAST.ETS.MULT({203},{44.9;41.3;38;51;50;41.28;42.89;34.4;30.87;47;31.4;52.5;45.9;37.3;32.4;35;27.81},{123;83;73;153;143;93;103;43;23;133;13;163;113;63;33;53;3},3,,5)</t>
  </si>
  <si>
    <t xml:space="preserve">_xlfn.FORECAST.ETS.STAT({44.9;41.3;38;51;50;41.28;42.89;34.4;30.87;47;31.4;52.5;45.9;37.3;32.4;35;27.81},{123;83;73;153;143;93;103;43;23;133;13;163;113;63;33;53;3},{5;3},3,,5)</t>
  </si>
  <si>
    <t xml:space="preserve">_xlfn.FORECAST.ETS.SEASONALITY({44.9;41.3;38;51;50;41.28;42.89;34.4;30.87;47;31.4;52.5;45.9;37.3;32.4;35;27.81},{123;83;73;153;143;93;103;43;23;133;13;163;113;63;33;53;3},1)</t>
  </si>
  <si>
    <t xml:space="preserve">_xlfn.ORG.LIBREOFFICE.FORECAST.ETS.MULT(5,{34.27;34.27;34;34;34.27;34},{1.5;1;3;2;3.5;2.5},1,1)</t>
  </si>
  <si>
    <t xml:space="preserve">_xlfn.ORG.LIBREOFFICE.FORECAST.ETS.STAT.MULT({34.27;34.27;34;34;34.27;34},{1.5;1;3;2;3.5;2.5},{9;2},1,1)</t>
  </si>
  <si>
    <t xml:space="preserve">_xlfn.FORECAST.ETS.SEASONALITY({34.27;34.27;34;34;34.27;34},{1.5;1;3;2;3.5;2.5})</t>
  </si>
  <si>
    <t xml:space="preserve">_xlfn.FORECAST.ETS({45305,45350},{44.5;27;11.84;62.79;19;21;82.1;75.9;54.49;98.78;34.13;76.28;12.1;60.7;34.6;23.19;69.2;47;60;30.4},{44681;44712;44742;44773;44804;44834;44865;44895;44926;44957;44985;45016;45046;45077;45107;45138;45169;45199;45230;45260},2)</t>
  </si>
  <si>
    <t xml:space="preserve">_xlfn.ORG.LIBREOFFICE.FORECAST.ETS.STAT.MULT({44.5;27;11.84;62.79;19;21;82.1;75.9;54.49;98.78;34.13;76.28;12.1;60.7;34.6;23.19;69.2;47;60;30.4},{44681;44712;44742;44773;44804;44834;44865;44895;44926;44957;44985;45016;45046;45077;45107;45138;45169;45199;45230;45260},{5;9;3;8;2;1;7;4;6},2)</t>
  </si>
  <si>
    <t xml:space="preserve">_xlfn.FORECAST.ETS.SEASONALITY({44.5;27;11.84;62.79;19;21;82.1;75.9;54.49;98.78;34.13;76.28;12.1;60.7;34.6;23.19;69.2;47;60;30.4},{44681;44712;44742;44773;44804;44834;44865;44895;44926;44957;44985;45016;45046;45077;45107;45138;45169;45199;45230;45260},0)</t>
  </si>
  <si>
    <t xml:space="preserve">_xlfn.FORECAST.ETS(1,{49.3;49.26;49.3;49.3;49;49;49.3;49},{1;2;3;4;5;6;7;8},3)</t>
  </si>
  <si>
    <t xml:space="preserve">_xlfn.ORG.LIBREOFFICE.FORECAST.ETS.STAT.MULT({49.3;49.26;49.3;49.3;49;49;49.3;49},{1;2;3;4;5;6;7;8},{6;4;1;9;3;7;2;8;5},3)</t>
  </si>
  <si>
    <t xml:space="preserve">_xlfn.FORECAST.ETS.SEASONALITY({49.3;49.26;49.3;49.3;49;49;49.3;49},{1;2;3;4;5;6;7;8},0)</t>
  </si>
  <si>
    <t xml:space="preserve">_xlfn.FORECAST.ETS({113},{14.14;14;14;14.14;14.1;14;14.14;14;14;14.14;14.14;14.1;14.14;14;14;14.14;14;14.1;14.14},{3;8;13;18;23;28;33;38;43;48;53;58;63;68;73;78;83;93;98},1,1)</t>
  </si>
  <si>
    <t xml:space="preserve">_xlfn.ORG.LIBREOFFICE.FORECAST.ETS.STAT.MULT({14.14;14;14;14.14;14.1;14;14.14;14;14;14.14;14.14;14.1;14.14;14;14;14.14;14;14.1;14.14},{3;8;13;18;23;28;33;38;43;48;53;58;63;68;73;78;83;93;98},{3},1,1)</t>
  </si>
  <si>
    <t xml:space="preserve">_xlfn.FORECAST.ETS.SEASONALITY({14.14;14;14;14.14;14.1;14;14.14;14;14;14.14;14.14;14.1;14.14;14;14;14.14;14;14.1;14.14},{3;8;13;18;23;28;33;38;43;48;53;58;63;68;73;78;83;93;98},1,5)</t>
  </si>
  <si>
    <t xml:space="preserve">_xlfn.ORG.LIBREOFFICE.FORECAST.ETS.MULT({248;262;248},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0,0)</t>
  </si>
  <si>
    <t xml:space="preserve">_xlfn.ORG.LIBREOFFICE.FORECAST.ETS.STAT.MULT(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{1},0,0)</t>
  </si>
  <si>
    <t xml:space="preserve">_xlfn.FORECAST.ETS.SEASONALITY(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0,5)</t>
  </si>
  <si>
    <t xml:space="preserve">_xlfn.ORG.LIBREOFFICE.FORECAST.ETS.MULT(14.5,{78.82;81.2;78.39;82.08;68;27.8;82;92.7;46;66;87.8;49.5;73.1;33.1;1.44;11.5;45;96.6},{1;2;3;4;5;6;7;8;9;10;11;12;13;13;14;15;16;17})</t>
  </si>
  <si>
    <t xml:space="preserve">_xlfn.ORG.LIBREOFFICE.FORECAST.ETS.STAT.MULT({78.82;81.2;78.39;82.08;68;27.8;82;92.7;46;66;87.8;49.5;73.1;33.1;1.44;11.5;45;96.6},{1;2;3;4;5;6;7;8;9;10;11;12;13;13;14;15;16;17},{4})</t>
  </si>
  <si>
    <t xml:space="preserve">_xlfn.FORECAST.ETS.SEASONALITY({78.82;81.2;78.39;82.08;68;27.8;82;92.7;46;66;87.8;49.5;73.1;33.1;1.44;11.5;45;96.6},{1;2;3;4;5;6;7;8;9;10;11;12;13;13;14;15;16;17},1)</t>
  </si>
  <si>
    <t xml:space="preserve">_xlfn.ORG.LIBREOFFICE.FORECAST.ETS.MULT(22,{18.6;11;3;25;14.6;2.08;6.91;18;-3;13.9;-0.36;-1.92;21.94;6;10.18;26.7;25.16;22.99},{6;10;14;3;8;15;12;7;18;9;16;17;5;13;11;1;2;4},7,,1)</t>
  </si>
  <si>
    <t xml:space="preserve">_xlfn.FORECAST.ETS.STAT({18.6;11;3;25;14.6;2.08;6.91;18;-3;13.9;-0.36;-1.92;21.94;6;10.18;26.7;25.16;22.99},{6;10;14;3;8;15;12;7;18;9;16;17;5;13;11;1;2;4},{8},7,,1)</t>
  </si>
  <si>
    <t xml:space="preserve">_xlfn.FORECAST.ETS.SEASONALITY({18.6;11;3;25;14.6;2.08;6.91;18;-3;13.9;-0.36;-1.92;21.94;6;10.18;26.7;25.16;22.99},{6;10;14;3;8;15;12;7;18;9;16;17;5;13;11;1;2;4})</t>
  </si>
  <si>
    <t xml:space="preserve">_xlfn.FORECAST.ETS({123},{41;47.12;49.4;42.46;42;48.88;44;45;51.78;55.4;49},{3;13;23;33;43;53;73;83;93;103;113},0,1)</t>
  </si>
  <si>
    <t xml:space="preserve">_xlfn.ORG.LIBREOFFICE.FORECAST.ETS.STAT.MULT({41;47.12;49.4;42.46;42;48.88;44;45;51.78;55.4;49},{3;13;23;33;43;53;73;83;93;103;113},{1;7},0,1)</t>
  </si>
  <si>
    <t xml:space="preserve">_xlfn.FORECAST.ETS.SEASONALITY({41;47.12;49.4;42.46;42;48.88;44;45;51.78;55.4;49},{3;13;23;33;43;53;73;83;93;103;113})</t>
  </si>
  <si>
    <t xml:space="preserve">_xlfn.ORG.LIBREOFFICE.FORECAST.ETS.MULT({7.5;11;8},{42;41.9;42;41.93;42;41.9;41.9},{1;2;3;4;5;6;7},0)</t>
  </si>
  <si>
    <t xml:space="preserve">_xlfn.ORG.LIBREOFFICE.FORECAST.ETS.STAT.MULT({42;41.9;42;41.93;42;41.9;41.9},{1;2;3;4;5;6;7},{5},0)</t>
  </si>
  <si>
    <t xml:space="preserve">_xlfn.FORECAST.ETS.SEASONALITY({42;41.9;42;41.93;42;41.9;41.9},{1;2;3;4;5;6;7},0)</t>
  </si>
  <si>
    <t xml:space="preserve">_xlfn.FORECAST.ETS.CONFINT({8;9;10},{42;41.9;42;41.93;42;41.9;41.9},{1;2;3;4;5;6;7},0.9,0,0)</t>
  </si>
  <si>
    <t xml:space="preserve">_xlfn.FORECAST.ETS(15.25,{48.97;48.97;48.97;49;49;49;48.97;49;48.97;49;49;48.97;49;49;49;48.97;48.97},{1;2;3;4;5;6;7;8;9;10;11;12;13;14;15;16;17},0)</t>
  </si>
  <si>
    <t xml:space="preserve">_xlfn.ORG.LIBREOFFICE.FORECAST.ETS.STAT.MULT({48.97;48.97;48.97;49;49;49;48.97;49;48.97;49;49;48.97;49;49;49;48.97;48.97},{1;2;3;4;5;6;7;8;9;10;11;12;13;14;15;16;17},{1},0)</t>
  </si>
  <si>
    <t xml:space="preserve">_xlfn.FORECAST.ETS.SEASONALITY({48.97;48.97;48.97;49;49;49;48.97;49;48.97;49;49;48.97;49;49;49;48.97;48.97},{1;2;3;4;5;6;7;8;9;10;11;12;13;14;15;16;17},0)</t>
  </si>
  <si>
    <t xml:space="preserve">_xlfn.FORECAST.ETS({8.75;9.5},{17.19;12;25.53;30.2;22.8;38;37;50.27;54.71;50.1;63;69.8;61.7;76.6},{1;1.5;2;2.5;3;3.5;4.5;5;5.5;6;6.5;7;7.5;8},3)</t>
  </si>
  <si>
    <t xml:space="preserve">_xlfn.ORG.LIBREOFFICE.FORECAST.ETS.STAT.MULT({17.19;12;25.53;30.2;22.8;38;37;50.27;54.71;50.1;63;69.8;61.7;76.6},{1;1.5;2;2.5;3;3.5;4.5;5;5.5;6;6.5;7;7.5;8},{7;5},3)</t>
  </si>
  <si>
    <t xml:space="preserve">_xlfn.FORECAST.ETS.SEASONALITY({17.19;12;25.53;30.2;22.8;38;37;50.27;54.71;50.1;63;69.8;61.7;76.6},{1;1.5;2;2.5;3;3.5;4.5;5;5.5;6;6.5;7;7.5;8})</t>
  </si>
  <si>
    <t xml:space="preserve">_xlfn.FORECAST.ETS.CONFINT({8.5;9;9.5},{17.19;12;25.53;30.2;22.8;38;37;50.27;54.71;50.1;63;69.8;61.7;76.6},{1;1.5;2;2.5;3;3.5;4.5;5;5.5;6;6.5;7;7.5;8},0.9,0,0)</t>
  </si>
  <si>
    <t xml:space="preserve">_xlfn.FORECAST.ETS(16,{47;31;67.52;43.66;59.83;37.49;82.1;55.6;71.5;45.9;99.73;65.3},{1;2;3;4;5;6;7;8;9;10;11;12},1,1,1)</t>
  </si>
  <si>
    <t xml:space="preserve">_xlfn.FORECAST.ETS.STAT({47;31;67.52;43.66;59.83;37.49;82.1;55.6;71.5;45.9;99.73;65.3},{1;2;3;4;5;6;7;8;9;10;11;12},{6;1},1,1,1)</t>
  </si>
  <si>
    <t xml:space="preserve">_xlfn.FORECAST.ETS.SEASONALITY({47;31;67.52;43.66;59.83;37.49;82.1;55.6;71.5;45.9;99.73;65.3},{1;2;3;4;5;6;7;8;9;10;11;12},1)</t>
  </si>
  <si>
    <t xml:space="preserve">_xlfn.ORG.LIBREOFFICE.FORECAST.ETS.MULT({45011.5;45012},{22;22;24.21;23.26;24.67;25.49;25.89;27.9;27.77;30.06;31.2;33.5;32},{45000;45001;45002;45003;45004;45005;45006;45007;45008;45009;45010;45010;45011},0)</t>
  </si>
  <si>
    <t xml:space="preserve">_xlfn.FORECAST.ETS.STAT({22;22;24.21;23.26;24.67;25.49;25.89;27.9;27.77;30.06;31.2;33.5;32},{45000;45001;45002;45003;45004;45005;45006;45007;45008;45009;45010;45010;45011},{7;5},0)</t>
  </si>
  <si>
    <t xml:space="preserve">_xlfn.FORECAST.ETS.SEASONALITY({22;22;24.21;23.26;24.67;25.49;25.89;27.9;27.77;30.06;31.2;33.5;32},{45000;45001;45002;45003;45004;45005;45006;45007;45008;45009;45010;45010;45011},1)</t>
  </si>
  <si>
    <t xml:space="preserve">_xlfn.FORECAST.ETS({44879;44939},{35;35;35.2;35.2},{44757;44788;44819;44849},1,1,6)</t>
  </si>
  <si>
    <t xml:space="preserve">_xlfn.FORECAST.ETS.STAT({35;35;35.2;35.2},{44757;44788;44819;44849},{3;5;2;6;7;1;9;8;4},1,1,6)</t>
  </si>
  <si>
    <t xml:space="preserve">_xlfn.FORECAST.ETS.SEASONALITY({35;35;35.2;35.2},{44757;44788;44819;44849},1)</t>
  </si>
  <si>
    <t xml:space="preserve">_xlfn.FORECAST.ETS({23;23;19.5},{14.08;99;33.2;52;53.48;27;20.26;26.91;1.44;77.4;2.7;49.4;31.7;69;60.8;90;81.03;10.62;72},{1;2;3;4;5;6;7;8;9;10;11;12;13;14;15;16;17;18;19},2)</t>
  </si>
  <si>
    <t xml:space="preserve">_xlfn.FORECAST.ETS.STAT({14.08;99;33.2;52;53.48;27;20.26;26.91;1.44;77.4;2.7;49.4;31.7;69;60.8;90;81.03;10.62;72},{1;2;3;4;5;6;7;8;9;10;11;12;13;14;15;16;17;18;19},{7;1;9;5;4;6;2;8;3},2)</t>
  </si>
  <si>
    <t xml:space="preserve">_xlfn.FORECAST.ETS.SEASONALITY({14.08;99;33.2;52;53.48;27;20.26;26.91;1.44;77.4;2.7;49.4;31.7;69;60.8;90;81.03;10.62;72},{1;2;3;4;5;6;7;8;9;10;11;12;13;14;15;16;17;18;19})</t>
  </si>
  <si>
    <t xml:space="preserve">_xlfn.ORG.LIBREOFFICE.FORECAST.ETS.MULT({4.5,3.75},{15;13.7;23.1;21.7;30;26.1},{1;1.5;2;2.5;3;3.5})</t>
  </si>
  <si>
    <t xml:space="preserve">_xlfn.ORG.LIBREOFFICE.FORECAST.ETS.STAT.MULT({15;13.7;23.1;21.7;30;26.1},{1;1.5;2;2.5;3;3.5},{3})</t>
  </si>
  <si>
    <t xml:space="preserve">_xlfn.FORECAST.ETS.SEASONALITY({15;13.7;23.1;21.7;30;26.1},{1;1.5;2;2.5;3;3.5})</t>
  </si>
  <si>
    <t xml:space="preserve">_xlfn.ORG.LIBREOFFICE.FORECAST.ETS.MULT(5,{47.4;34.14;25;29;45;36},{3.5;1;1.5;3;2;2.5},1,0)</t>
  </si>
  <si>
    <t xml:space="preserve">_xlfn.FORECAST.ETS.STAT({47.4;34.14;25;29;45;36},{3.5;1;1.5;3;2;2.5},{4},1,0)</t>
  </si>
  <si>
    <t xml:space="preserve">_xlfn.FORECAST.ETS.SEASONALITY({47.4;34.14;25;29;45;36},{3.5;1;1.5;3;2;2.5})</t>
  </si>
  <si>
    <t xml:space="preserve">_xlfn.FORECAST.ETS({45533,45488,45458},{25.1;21.8;37.6;93.13;75.33;62.6;52.6;24;11;60.2;9.9;45.7;3.9;14;28;81;83;16.29;21.65;81.9;27.9;78;71.1;97.18},{44742;44773;44804;44834;44865;44895;44926;44957;44985;45016;45046;45077;45107;45138;45169;45199;45230;45260;45291;45322;45351;45382;45412;45443})</t>
  </si>
  <si>
    <t xml:space="preserve">_xlfn.FORECAST.ETS.STAT({25.1;21.8;37.6;93.13;75.33;62.6;52.6;24;11;60.2;9.9;45.7;3.9;14;28;81;83;16.29;21.65;81.9;27.9;78;71.1;97.18},{44742;44773;44804;44834;44865;44895;44926;44957;44985;45016;45046;45077;45107;45138;45169;45199;45230;45260;45291;45322;45351;45382;45412;45443},{6})</t>
  </si>
  <si>
    <t xml:space="preserve">_xlfn.FORECAST.ETS.SEASONALITY({25.1;21.8;37.6;93.13;75.33;62.6;52.6;24;11;60.2;9.9;45.7;3.9;14;28;81;83;16.29;21.65;81.9;27.9;78;71.1;97.18},{44742;44773;44804;44834;44865;44895;44926;44957;44985;45016;45046;45077;45107;45138;45169;45199;45230;45260;45291;45322;45351;45382;45412;45443})</t>
  </si>
  <si>
    <t xml:space="preserve">_xlfn.FORECAST.ETS({45501;45486},{19.01;21.6;29;31;36;39.8;46.5;48.09;55.7;57;62;66;72;72.5;80.5;81.85;88.84;90;98.5;99.6},{44893;44923;44954;44985;45013;45044;45074;45105;45135;45166;45197;45227;45258;45288;45319;45350;45379;45410;45440;45471},4,,2)</t>
  </si>
  <si>
    <t xml:space="preserve">_xlfn.ORG.LIBREOFFICE.FORECAST.ETS.STAT.MULT({19.01;21.6;29;31;36;39.8;46.5;48.09;55.7;57;62;66;72;72.5;80.5;81.85;88.84;90;98.5;99.6},{44893;44923;44954;44985;45013;45044;45074;45105;45135;45166;45197;45227;45258;45288;45319;45350;45379;45410;45440;45471},{7;8;2;3;9;5;4;1;6},4,,2)</t>
  </si>
  <si>
    <t xml:space="preserve">_xlfn.FORECAST.ETS.SEASONALITY({19.01;21.6;29;31;36;39.8;46.5;48.09;55.7;57;62;66;72;72.5;80.5;81.85;88.84;90;98.5;99.6},{44893;44923;44954;44985;45013;45044;45074;45105;45135;45166;45197;45227;45258;45288;45319;45350;45379;45410;45440;45471},1,7)</t>
  </si>
  <si>
    <t xml:space="preserve">_xlfn.ORG.LIBREOFFICE.FORECAST.ETS.MULT(6.25,{56;58;21.7;22.3;72.26;26.43;15.62;83.4;27.5;23;22.3;30;68.9;51.18;54.64;59.49},{1;1.5;2;2.5;3;3.5;4;4.5;5;5.5;6;7;7.5;8;8.5;9},1)</t>
  </si>
  <si>
    <t xml:space="preserve">_xlfn.ORG.LIBREOFFICE.FORECAST.ETS.STAT.MULT({56;58;21.7;22.3;72.26;26.43;15.62;83.4;27.5;23;22.3;30;68.9;51.18;54.64;59.49},{1;1.5;2;2.5;3;3.5;4;4.5;5;5.5;6;7;7.5;8;8.5;9},{6;9;3;8;2;1;7;5;4},1)</t>
  </si>
  <si>
    <t xml:space="preserve">_xlfn.FORECAST.ETS.SEASONALITY({56;58;21.7;22.3;72.26;26.43;15.62;83.4;27.5;23;22.3;30;68.9;51.18;54.64;59.49},{1;1.5;2;2.5;3;3.5;4;4.5;5;5.5;6;7;7.5;8;8.5;9},1,7)</t>
  </si>
  <si>
    <t xml:space="preserve">_xlfn.ORG.LIBREOFFICE.FORECAST.ETS.MULT({14;14},{19.2;8.2;19;7.88;11.9;10;0.97;12.4;-1.96;2},{1;2;3;4;5;6;7;8;9;10},5,,3)</t>
  </si>
  <si>
    <t xml:space="preserve">_xlfn.FORECAST.ETS.STAT({19.2;8.2;19;7.88;11.9;10;0.97;12.4;-1.96;2},{1;2;3;4;5;6;7;8;9;10},{2;3},5,,3)</t>
  </si>
  <si>
    <t xml:space="preserve">_xlfn.FORECAST.ETS.SEASONALITY({19.2;8.2;19;7.88;11.9;10;0.97;12.4;-1.96;2},{1;2;3;4;5;6;7;8;9;10},1)</t>
  </si>
  <si>
    <t xml:space="preserve">_xlfn.FORECAST.ETS({16.5},{17.56;17.88;17.9;18;17.1;17.58;16.98;17;17.5;15.31;16.5;18.96;15.99;16.2;19;15.2},{6;16;13;14;4;5;11;8;9;7;1;12;2;10;15;3},5,,7)</t>
  </si>
  <si>
    <t xml:space="preserve">_xlfn.ORG.LIBREOFFICE.FORECAST.ETS.STAT.MULT({17.56;17.88;17.9;18;17.1;17.58;16.98;17;17.5;15.31;16.5;18.96;15.99;16.2;19;15.2},{6;16;13;14;4;5;11;8;9;7;1;12;2;10;15;3},{6;1},5,,7)</t>
  </si>
  <si>
    <t xml:space="preserve">_xlfn.FORECAST.ETS.SEASONALITY({17.56;17.88;17.9;18;17.1;17.58;16.98;17;17.5;15.31;16.5;18.96;15.99;16.2;19;15.2},{6;16;13;14;4;5;11;8;9;7;1;12;2;10;15;3})</t>
  </si>
  <si>
    <t xml:space="preserve">_xlfn.ORG.LIBREOFFICE.FORECAST.ETS.PI.MULT(18,{17.56;17.88;17.9;18;17.1;17.58;16.98;17;17.5;15.31;16.5;18.96;15.99;16.2;19;15.2},{6;16;13;14;4;5;11;8;9;7;1;12;2;10;15;3},0.9,0,1)</t>
  </si>
  <si>
    <t xml:space="preserve">_xlfn.ORG.LIBREOFFICE.FORECAST.ETS.MULT(6.25,{48;21.9;59;27.3;74;34;87;39.28;99.54;45.54},{1;1.5;2;2.5;3;3.5;4;4.5;5;5.5},1,0)</t>
  </si>
  <si>
    <t xml:space="preserve">_xlfn.FORECAST.ETS.STAT({48;21.9;59;27.3;74;34;87;39.28;99.54;45.54},{1;1.5;2;2.5;3;3.5;4;4.5;5;5.5},{6},1,0)</t>
  </si>
  <si>
    <t xml:space="preserve">_xlfn.FORECAST.ETS.SEASONALITY({48;21.9;59;27.3;74;34;87;39.28;99.54;45.54},{1;1.5;2;2.5;3;3.5;4;4.5;5;5.5},0,7)</t>
  </si>
  <si>
    <t xml:space="preserve">_xlfn.FORECAST.ETS(21,{19;13.1;21.9;17.3;16.35;14.1;18;16.26;12.84;26;21.2;21;15;17.12;17.21;21.3;17.6;12.3;22.6;16.6;15;18;20.03;20.12;21;19;10.69;11;14.95;14.4;14.72;12.13;17.8;21.5;21},{22;18;19;3;20;17;28;35;24;5;1;7;23;10;13;14;9;31;12;16;27;21;2;33;6;15;25;32;29;11;30;34;4;26;8},0,,2)</t>
  </si>
  <si>
    <t xml:space="preserve">_xlfn.ORG.LIBREOFFICE.FORECAST.ETS.STAT.MULT({19;13.1;21.9;17.3;16.35;14.1;18;16.26;12.84;26;21.2;21;15;17.12;17.21;21.3;17.6;12.3;22.6;16.6;15;18;20.03;20.12;21;19;10.69;11;14.95;14.4;14.72;12.13;17.8;21.5;21},{22;18;19;3;20;17;28;35;24;5;1;7;23;10;13;14;9;31;12;16;27;21;2;33;6;15;25;32;29;11;30;34;4;26;8},{4;2;9;1;3;5;7;6;8},0,,2)</t>
  </si>
  <si>
    <t xml:space="preserve">_xlfn.FORECAST.ETS.SEASONALITY({19;13.1;21.9;17.3;16.35;14.1;18;16.26;12.84;26;21.2;21;15;17.12;17.21;21.3;17.6;12.3;22.6;16.6;15;18;20.03;20.12;21;19;10.69;11;14.95;14.4;14.72;12.13;17.8;21.5;21},{22;18;19;3;20;17;28;35;24;5;1;7;23;10;13;14;9;31;12;16;27;21;2;33;6;15;25;32;29;11;30;34;4;26;8},1)</t>
  </si>
  <si>
    <t xml:space="preserve">_xlfn.FORECAST.ETS.CONFINT({36;37;38},{19;13.1;21.9;17.3;16.35;14.1;18;16.26;12.84;26;21.2;21;15;17.12;17.21;21.3;17.6;12.3;22.6;16.6;15;18;20.03;20.12;21;19;10.69;11;14.95;14.4;14.72;12.13;17.8;21.5;21},{22;18;19;3;20;17;28;35;24;5;1;7;23;10;13;14;9;31;12;16;27;21;2;33;6;15;25;32;29;11;30;34;4;26;8},,0,1)</t>
  </si>
  <si>
    <t xml:space="preserve">_xlfn.ORG.LIBREOFFICE.FORECAST.ETS.MULT(43,{6.6;6.6;6.6;6.6;7;7},{3;13;23;33;43;53})</t>
  </si>
  <si>
    <t xml:space="preserve">_xlfn.ORG.LIBREOFFICE.FORECAST.ETS.STAT.MULT({6.6;6.6;6.6;6.6;7;7},{3;13;23;33;43;53},{5})</t>
  </si>
  <si>
    <t xml:space="preserve">_xlfn.FORECAST.ETS.SEASONALITY({6.6;6.6;6.6;6.6;7;7},{3;13;23;33;43;53},0,4)</t>
  </si>
  <si>
    <t xml:space="preserve">_xlfn.ORG.LIBREOFFICE.FORECAST.ETS.MULT({8},{32.27;32.27;32.27;32;32.3;32},{1;2;3;4;5;6})</t>
  </si>
  <si>
    <t xml:space="preserve">_xlfn.ORG.LIBREOFFICE.FORECAST.ETS.STAT.MULT({32.27;32.27;32.27;32;32.3;32},{1;2;3;4;5;6},{6;5;9;2;8;3;4;7;1})</t>
  </si>
  <si>
    <t xml:space="preserve">_xlfn.FORECAST.ETS.SEASONALITY({32.27;32.27;32.27;32;32.3;32},{1;2;3;4;5;6},0)</t>
  </si>
  <si>
    <t xml:space="preserve">_xlfn.ORG.LIBREOFFICE.FORECAST.ETS.MULT(45289,{14.6;29.7;20.19;35.17;41.1;34.67;50;45;56;60;61.8},{44865;44895;44926;44957;45016;45046;45077;45107;45138;45169;45199},4)</t>
  </si>
  <si>
    <t xml:space="preserve">_xlfn.ORG.LIBREOFFICE.FORECAST.ETS.STAT.MULT({14.6;29.7;20.19;35.17;41.1;34.67;50;45;56;60;61.8},{44865;44895;44926;44957;45016;45046;45077;45107;45138;45169;45199},{8;5;1;2;9;6;7;3;4},4)</t>
  </si>
  <si>
    <t xml:space="preserve">_xlfn.FORECAST.ETS.SEASONALITY({14.6;29.7;20.19;35.17;41.1;34.67;50;45;56;60;61.8},{44865;44895;44926;44957;45016;45046;45077;45107;45138;45169;45199})</t>
  </si>
  <si>
    <t xml:space="preserve">_xlfn.FORECAST.ETS({10.75,12,12},{43.59;43.6;43.6;43.59;43.6;44;44;43.6;44;44;44;43.59;43.6;43.6;43.6;43.59;43.6;43.59;43.6;44},{1;1.5;2;2.5;3;3.5;4;4.5;5;5.5;6;6.5;7;7.5;8;8.5;9;9.5;10;10.5},7,0,7)</t>
  </si>
  <si>
    <t xml:space="preserve">_xlfn.FORECAST.ETS.STAT({43.59;43.6;43.6;43.59;43.6;44;44;43.6;44;44;44;43.59;43.6;43.6;43.6;43.59;43.6;43.59;43.6;44},{1;1.5;2;2.5;3;3.5;4;4.5;5;5.5;6;6.5;7;7.5;8;8.5;9;9.5;10;10.5},{2;5},7,0,7)</t>
  </si>
  <si>
    <t xml:space="preserve">_xlfn.FORECAST.ETS.SEASONALITY({43.59;43.6;43.6;43.59;43.6;44;44;43.6;44;44;44;43.59;43.6;43.6;43.6;43.59;43.6;43.59;43.6;44},{1;1.5;2;2.5;3;3.5;4;4.5;5;5.5;6;6.5;7;7.5;8;8.5;9;9.5;10;10.5},0,1)</t>
  </si>
  <si>
    <t xml:space="preserve">_xlfn.FORECAST.ETS(8,{20.3;4.7;20;20;20},{1;1;2;3;4})</t>
  </si>
  <si>
    <t xml:space="preserve">_xlfn.FORECAST.ETS.STAT({20.3;4.7;20;20;20},{1;1;2;3;4},{5})</t>
  </si>
  <si>
    <t xml:space="preserve">_xlfn.FORECAST.ETS.SEASONALITY({20.3;4.7;20;20;20},{1;1;2;3;4})</t>
  </si>
  <si>
    <t xml:space="preserve">_xlfn.ORG.LIBREOFFICE.FORECAST.ETS.MULT(45007.5,{19.91;23.3;25;28;30.5;31.1;34.97;37;37.97;41.15},{45000;45001;45002;45003;45004;45005;45006;45007;45008;45009})</t>
  </si>
  <si>
    <t xml:space="preserve">_xlfn.ORG.LIBREOFFICE.FORECAST.ETS.STAT.MULT({19.91;23.3;25;28;30.5;31.1;34.97;37;37.97;41.15},{45000;45001;45002;45003;45004;45005;45006;45007;45008;45009},{5;8;9;1;2;3;6;4;7})</t>
  </si>
  <si>
    <t xml:space="preserve">_xlfn.FORECAST.ETS.SEASONALITY({19.91;23.3;25;28;30.5;31.1;34.97;37;37.97;41.15},{45000;45001;45002;45003;45004;45005;45006;45007;45008;45009},0)</t>
  </si>
  <si>
    <t xml:space="preserve">_xlfn.FORECAST.ETS.CONFINT(45012,{19.91;23.3;25;28;30.5;31.1;34.97;37;37.97;41.15},{45000;45001;45002;45003;45004;45005;45006;45007;45008;45009},0.95,0,1,5)</t>
  </si>
  <si>
    <t xml:space="preserve">_xlfn.FORECAST.ETS({150.5;168;158},{50.92;56.9;50.04;55.7;51.87;62;65.08;58.7;62.34;63;68;66;72.38;65;72;68.1;78.5;74.3;80.59;72.78;78;77.6;85.41;83.46;88.9;81.81;85.8;86.4;93.83},{3;8;13;18;23;28;38;43;48;53;58;63;68;73;78;83;88;93;98;103;108;113;118;123;128;133;138;143;148},6,0,3)</t>
  </si>
  <si>
    <t xml:space="preserve">_xlfn.ORG.LIBREOFFICE.FORECAST.ETS.STAT.MULT({50.92;56.9;50.04;55.7;51.87;62;65.08;58.7;62.34;63;68;66;72.38;65;72;68.1;78.5;74.3;80.59;72.78;78;77.6;85.41;83.46;88.9;81.81;85.8;86.4;93.83},{3;8;13;18;23;28;38;43;48;53;58;63;68;73;78;83;88;93;98;103;108;113;118;123;128;133;138;143;148},{9;1;8;3;2;7;5;4;6},6,0,3)</t>
  </si>
  <si>
    <t xml:space="preserve">_xlfn.FORECAST.ETS.SEASONALITY({50.92;56.9;50.04;55.7;51.87;62;65.08;58.7;62.34;63;68;66;72.38;65;72;68.1;78.5;74.3;80.59;72.78;78;77.6;85.41;83.46;88.9;81.81;85.8;86.4;93.83},{3;8;13;18;23;28;38;43;48;53;58;63;68;73;78;83;88;93;98;103;108;113;118;123;128;133;138;143;148})</t>
  </si>
  <si>
    <t xml:space="preserve">_xlfn.FORECAST.ETS({45442,45427,45442},{11.71;14.45;17;16.8;18;22;23.33;23;24.16;25.6;30;30;31;33.88;36.2;36;39.1},{44910;44941;44972;45000;45031;45061;45092;45122;45153;45184;45214;45245;45275;45306;45337;45366;45397},0,1)</t>
  </si>
  <si>
    <t xml:space="preserve">_xlfn.FORECAST.ETS.STAT({11.71;14.45;17;16.8;18;22;23.33;23;24.16;25.6;30;30;31;33.88;36.2;36;39.1},{44910;44941;44972;45000;45031;45061;45092;45122;45153;45184;45214;45245;45275;45306;45337;45366;45397},{8;5},0,1)</t>
  </si>
  <si>
    <t xml:space="preserve">_xlfn.FORECAST.ETS.SEASONALITY({11.71;14.45;17;16.8;18;22;23.33;23;24.16;25.6;30;30;31;33.88;36.2;36;39.1},{44910;44941;44972;45000;45031;45061;45092;45122;45153;45184;45214;45245;45275;45306;45337;45366;45397},1,5)</t>
  </si>
  <si>
    <t xml:space="preserve">_xlfn.FORECAST.ETS({45006.5,45008},{32.74;40.58;27.9;36.2;17.8;21;44},{45003;45005;45002;45004;45000;45001;45006},0,1)</t>
  </si>
  <si>
    <t xml:space="preserve">_xlfn.FORECAST.ETS.STAT({32.74;40.58;27.9;36.2;17.8;21;44},{45003;45005;45002;45004;45000;45001;45006},{9;4},0,1)</t>
  </si>
  <si>
    <t xml:space="preserve">_xlfn.FORECAST.ETS.SEASONALITY({32.74;40.58;27.9;36.2;17.8;21;44},{45003;45005;45002;45004;45000;45001;45006},1,3)</t>
  </si>
  <si>
    <t xml:space="preserve">_xlfn.ORG.LIBREOFFICE.FORECAST.ETS.MULT({25.5},{5.23;5.2;5.23;5;5.2;5;5;5.23;5.23;5.2;5.2;5.2;5;5;5.23;5;5.2;5.23;5.2;5.2;5.23;5.23;5.23;5.23},{20;16;21;14;4;2;22;3;6;13;8;7;24;1;12;9;10;15;5;23;17;11;18;19},0,,7)</t>
  </si>
  <si>
    <t xml:space="preserve">_xlfn.ORG.LIBREOFFICE.FORECAST.ETS.STAT.MULT({5.23;5.2;5.23;5;5.2;5;5;5.23;5.23;5.2;5.2;5.2;5;5;5.23;5;5.2;5.23;5.2;5.2;5.23;5.23;5.23;5.23},{20;16;21;14;4;2;22;3;6;13;8;7;24;1;12;9;10;15;5;23;17;11;18;19},{2;9;8;6;3;7;5;4;1},0,,7)</t>
  </si>
  <si>
    <t xml:space="preserve">_xlfn.FORECAST.ETS.SEASONALITY({5.23;5.2;5.23;5;5.2;5;5;5.23;5.23;5.2;5.2;5.2;5;5;5.23;5;5.2;5.23;5.2;5.2;5.23;5.23;5.23;5.23},{20;16;21;14;4;2;22;3;6;13;8;7;24;1;12;9;10;15;5;23;17;11;18;19},1)</t>
  </si>
  <si>
    <t xml:space="preserve">_xlfn.FORECAST.ETS(18.25,{57;39.63;49.36;7.25;19.52;72.9;38.38;31;21.6;36;93.8;1.7;50.77;89;49;41.5;66;78.43;57;9;96.1},{1;2;3;4;5;6;7;8;9;10;11;12;13;14;15;16;17;18;19;20;21},1,0,2)</t>
  </si>
  <si>
    <t xml:space="preserve">_xlfn.FORECAST.ETS.STAT({57;39.63;49.36;7.25;19.52;72.9;38.38;31;21.6;36;93.8;1.7;50.77;89;49;41.5;66;78.43;57;9;96.1},{1;2;3;4;5;6;7;8;9;10;11;12;13;14;15;16;17;18;19;20;21},{9},1,0,2)</t>
  </si>
  <si>
    <t xml:space="preserve">_xlfn.FORECAST.ETS.SEASONALITY({57;39.63;49.36;7.25;19.52;72.9;38.38;31;21.6;36;93.8;1.7;50.77;89;49;41.5;66;78.43;57;9;96.1},{1;2;3;4;5;6;7;8;9;10;11;12;13;14;15;16;17;18;19;20;21})</t>
  </si>
  <si>
    <t xml:space="preserve">_xlfn.ORG.LIBREOFFICE.FORECAST.ETS.PI.MULT(22,{57;39.63;49.36;7.25;19.52;72.9;38.38;31;21.6;36;93.8;1.7;50.77;89;49;41.5;66;78.43;57;9;96.1},{1;2;3;4;5;6;7;8;9;10;11;12;13;14;15;16;17;18;19;20;21},0,0,1,6)</t>
  </si>
  <si>
    <t xml:space="preserve">_xlfn.ORG.LIBREOFFICE.FORECAST.ETS.MULT({20.5,24,20.5},{26.3;26.3;26;26.3;26;26.3;26;26.3;26.3;26.3;26;26.3;17;26.3;26.3;26;26.3;26.3;26;26;26.3},{1;2;3;4;5;6;7;8;9;10;11;12;12;13;14;15;16;17;18;19;20},1,1)</t>
  </si>
  <si>
    <t xml:space="preserve">_xlfn.ORG.LIBREOFFICE.FORECAST.ETS.STAT.MULT({26.3;26.3;26;26.3;26;26.3;26;26.3;26.3;26.3;26;26.3;17;26.3;26.3;26;26.3;26.3;26;26;26.3},{1;2;3;4;5;6;7;8;9;10;11;12;12;13;14;15;16;17;18;19;20},{5},1,1)</t>
  </si>
  <si>
    <t xml:space="preserve">_xlfn.FORECAST.ETS.SEASONALITY({26.3;26.3;26;26.3;26;26.3;26;26.3;26.3;26.3;26;26.3;17;26.3;26.3;26;26.3;26.3;26;26;26.3},{1;2;3;4;5;6;7;8;9;10;11;12;12;13;14;15;16;17;18;19;20},0)</t>
  </si>
  <si>
    <t xml:space="preserve">_xlfn.ORG.LIBREOFFICE.FORECAST.ETS.MULT(44834,{10.88;10.88;10.9;10.88;10.88},{44834;44865;44895;44926;44957},7)</t>
  </si>
  <si>
    <t xml:space="preserve">_xlfn.FORECAST.ETS.STAT({10.88;10.88;10.9;10.88;10.88},{44834;44865;44895;44926;44957},{6;9;4;5;1;8;7;3;2},7)</t>
  </si>
  <si>
    <t xml:space="preserve">_xlfn.FORECAST.ETS.SEASONALITY({10.88;10.88;10.9;10.88;10.88},{44834;44865;44895;44926;44957})</t>
  </si>
  <si>
    <t xml:space="preserve">_xlfn.ORG.LIBREOFFICE.FORECAST.ETS.MULT(45018.5,{30.5;30.5;30.5;30.5;30.5;30.5;30.5;30.5;31;30.5;30.5;30.5;30.5;30.5;31;30.5;30.5;30.5},{45000;45001;45002;45003;45004;45005;45006;45007;45008;45009;45010;45011;45012;45014;45015;45016;45017;45018},1,0,7)</t>
  </si>
  <si>
    <t xml:space="preserve">_xlfn.ORG.LIBREOFFICE.FORECAST.ETS.STAT.MULT({30.5;30.5;30.5;30.5;30.5;30.5;30.5;30.5;31;30.5;30.5;30.5;30.5;30.5;31;30.5;30.5;30.5},{45000;45001;45002;45003;45004;45005;45006;45007;45008;45009;45010;45011;45012;45014;45015;45016;45017;45018},{6;8;4;1;3;2;7;9;5},1,0,7)</t>
  </si>
  <si>
    <t xml:space="preserve">_xlfn.FORECAST.ETS.SEASONALITY({30.5;30.5;30.5;30.5;30.5;30.5;30.5;30.5;31;30.5;30.5;30.5;30.5;30.5;31;30.5;30.5;30.5},{45000;45001;45002;45003;45004;45005;45006;45007;45008;45009;45010;45011;45012;45014;45015;45016;45017;45018},0)</t>
  </si>
  <si>
    <t xml:space="preserve">_xlfn.ORG.LIBREOFFICE.FORECAST.ETS.MULT({150;150;136},{13.2;13.2;13;13.2;13.21;13;13.21;13.2;13.2;13.2;13;13.21;13.21;13;13.21;13;13;13.2},{3;10;17;24;31;38;45;52;59;66;73;80;87;94;101;108;115;122},1)</t>
  </si>
  <si>
    <t xml:space="preserve">_xlfn.ORG.LIBREOFFICE.FORECAST.ETS.STAT.MULT({13.2;13.2;13;13.2;13.21;13;13.21;13.2;13.2;13.2;13;13.21;13.21;13;13.21;13;13;13.2},{3;10;17;24;31;38;45;52;59;66;73;80;87;94;101;108;115;122},{8;1;3;7;4;2;9;6;5},1)</t>
  </si>
  <si>
    <t xml:space="preserve">_xlfn.FORECAST.ETS.SEASONALITY({13.2;13.2;13;13.2;13.21;13;13.21;13.2;13.2;13.2;13;13.21;13.21;13;13.21;13;13;13.2},{3;10;17;24;31;38;45;52;59;66;73;80;87;94;101;108;115;122},1,3)</t>
  </si>
  <si>
    <t xml:space="preserve">_xlfn.ORG.LIBREOFFICE.FORECAST.ETS.MULT({8,8,7.5},{31;30.81;30.8;30.8;31;30.81;30.81;30.8;30.8;30.8;31},{1;1.5;2;2.5;3;3.5;4;4.5;5;5.5;6},0,1)</t>
  </si>
  <si>
    <t xml:space="preserve">_xlfn.FORECAST.ETS.STAT({31;30.81;30.8;30.8;31;30.81;30.81;30.8;30.8;30.8;31},{1;1.5;2;2.5;3;3.5;4;4.5;5;5.5;6},{3;5;8;1;2;4;6;7;9},0,1)</t>
  </si>
  <si>
    <t xml:space="preserve">_xlfn.FORECAST.ETS.SEASONALITY({31;30.81;30.8;30.8;31;30.81;30.81;30.8;30.8;30.8;31},{1;1.5;2;2.5;3;3.5;4;4.5;5;5.5;6})</t>
  </si>
  <si>
    <t xml:space="preserve">_xlfn.ORG.LIBREOFFICE.FORECAST.ETS.MULT({45702},{44.16;72.33;74;59;48.9;50.02;75.84;78.4;62.37;55.05;53.6;82.5;85.2;67.5;56;55.8;88;90.09;73;61;60.36;93.54;95.7;75.4;65},{44926;44957;44985;45016;45046;45077;45107;45138;45169;45199;45230;45260;45291;45322;45351;45382;45412;45443;45473;45504;45535;45565;45596;45626;45657},0,,2)</t>
  </si>
  <si>
    <t xml:space="preserve">_xlfn.FORECAST.ETS.STAT({44.16;72.33;74;59;48.9;50.02;75.84;78.4;62.37;55.05;53.6;82.5;85.2;67.5;56;55.8;88;90.09;73;61;60.36;93.54;95.7;75.4;65},{44926;44957;44985;45016;45046;45077;45107;45138;45169;45199;45230;45260;45291;45322;45351;45382;45412;45443;45473;45504;45535;45565;45596;45626;45657},{8;9;6;7;2;5;1;3;4},0,,2)</t>
  </si>
  <si>
    <t xml:space="preserve">_xlfn.FORECAST.ETS.SEASONALITY({44.16;72.33;74;59;48.9;50.02;75.84;78.4;62.37;55.05;53.6;82.5;85.2;67.5;56;55.8;88;90.09;73;61;60.36;93.54;95.7;75.4;65},{44926;44957;44985;45016;45046;45077;45107;45138;45169;45199;45230;45260;45291;45322;45351;45382;45412;45443;45473;45504;45535;45565;45596;45626;45657},1,1)</t>
  </si>
  <si>
    <t xml:space="preserve">_xlfn.ORG.LIBREOFFICE.FORECAST.ETS.MULT(45275,{5.79;69;54.3;69;16.3;17.69;83;65.59;37.7;76.07;38;68;22.53;6.85;24;6.5;88;49.22;61.4;87;76.37;64.7},{44607;44635;44666;44696;44727;44757;44788;44819;44849;44880;44910;44941;44972;45000;45031;45061;45092;45122;45153;45184;45214;45245},1,,6)</t>
  </si>
  <si>
    <t xml:space="preserve">_xlfn.FORECAST.ETS.STAT({5.79;69;54.3;69;16.3;17.69;83;65.59;37.7;76.07;38;68;22.53;6.85;24;6.5;88;49.22;61.4;87;76.37;64.7},{44607;44635;44666;44696;44727;44757;44788;44819;44849;44880;44910;44941;44972;45000;45031;45061;45092;45122;45153;45184;45214;45245},{2;8},1,,6)</t>
  </si>
  <si>
    <t xml:space="preserve">_xlfn.FORECAST.ETS.SEASONALITY({5.79;69;54.3;69;16.3;17.69;83;65.59;37.7;76.07;38;68;22.53;6.85;24;6.5;88;49.22;61.4;87;76.37;64.7},{44607;44635;44666;44696;44727;44757;44788;44819;44849;44880;44910;44941;44972;45000;45031;45061;45092;45122;45153;45184;45214;45245},1,6)</t>
  </si>
  <si>
    <t xml:space="preserve">_xlfn.FORECAST.ETS(44933.5,{30.5;32.8;44.26;34.38;35.7;46.84;36;39;50.6;40;41.39;56},{44712;44742;44773;44804;44834;44865;44895;44926;44957;44985;45016;45046})</t>
  </si>
  <si>
    <t xml:space="preserve">_xlfn.ORG.LIBREOFFICE.FORECAST.ETS.STAT.MULT({30.5;32.8;44.26;34.38;35.7;46.84;36;39;50.6;40;41.39;56},{44712;44742;44773;44804;44834;44865;44895;44926;44957;44985;45016;45046},{5})</t>
  </si>
  <si>
    <t xml:space="preserve">_xlfn.FORECAST.ETS.SEASONALITY({30.5;32.8;44.26;34.38;35.7;46.84;36;39;50.6;40;41.39;56},{44712;44742;44773;44804;44834;44865;44895;44926;44957;44985;45016;45046},0)</t>
  </si>
  <si>
    <t xml:space="preserve">_xlfn.FORECAST.ETS({5.25},{7.31;14;16.21;9;19.72;21.1;14.24;22;24.1},{1;1.5;2;2.5;3;3.5;4;4.5;5})</t>
  </si>
  <si>
    <t xml:space="preserve">_xlfn.FORECAST.ETS.STAT({7.31;14;16.21;9;19.72;21.1;14.24;22;24.1},{1;1.5;2;2.5;3;3.5;4;4.5;5},{1})</t>
  </si>
  <si>
    <t xml:space="preserve">_xlfn.FORECAST.ETS.SEASONALITY({7.31;14;16.21;9;19.72;21.1;14.24;22;24.1},{1;1.5;2;2.5;3;3.5;4;4.5;5})</t>
  </si>
  <si>
    <t xml:space="preserve">_xlfn.FORECAST.ETS(45019,{38.11;43;45.68;49;54.27;56;61;63.42;66.16;70.82;79;83;84.11;88;91;95.65;98;102},{45000;45001;45002;45003;45004;45005;45006;45007;45008;45009;45011;45012;45013;45014;45015;45016;45017;45018},0,,5)</t>
  </si>
  <si>
    <t xml:space="preserve">_xlfn.ORG.LIBREOFFICE.FORECAST.ETS.STAT.MULT({38.11;43;45.68;49;54.27;56;61;63.42;66.16;70.82;79;83;84.11;88;91;95.65;98;102},{45000;45001;45002;45003;45004;45005;45006;45007;45008;45009;45011;45012;45013;45014;45015;45016;45017;45018},{4;5},0,,5)</t>
  </si>
  <si>
    <t xml:space="preserve">_xlfn.FORECAST.ETS.SEASONALITY({38.11;43;45.68;49;54.27;56;61;63.42;66.16;70.82;79;83;84.11;88;91;95.65;98;102},{45000;45001;45002;45003;45004;45005;45006;45007;45008;45009;45011;45012;45013;45014;45015;45016;45017;45018})</t>
  </si>
  <si>
    <t xml:space="preserve">_xlfn.ORG.LIBREOFFICE.FORECAST.ETS.PI.MULT(45021,{38.11;43;45.68;49;54.27;56;61;63.42;66.16;70.82;79;83;84.11;88;91;95.65;98;102},{45000;45001;45002;45003;45004;45005;45006;45007;45008;45009;45011;45012;45013;45014;45015;45016;45017;45018},0,0,1)</t>
  </si>
  <si>
    <t xml:space="preserve">_xlfn.ORG.LIBREOFFICE.FORECAST.ETS.MULT({9;8.5;8},{58;49.8;98;52.7;37.1;62},{1;2;3;5;6;7},2)</t>
  </si>
  <si>
    <t xml:space="preserve">_xlfn.FORECAST.ETS.STAT({58;49.8;98;52.7;37.1;62},{1;2;3;5;6;7},{5},2)</t>
  </si>
  <si>
    <t xml:space="preserve">_xlfn.FORECAST.ETS.SEASONALITY({58;49.8;98;52.7;37.1;62},{1;2;3;5;6;7},1,3)</t>
  </si>
  <si>
    <t xml:space="preserve">_xlfn.FORECAST.ETS({41.5},{42;5;73;67.8;92},{3;10;17;24;31},2,0)</t>
  </si>
  <si>
    <t xml:space="preserve">_xlfn.ORG.LIBREOFFICE.FORECAST.ETS.STAT.MULT({42;5;73;67.8;92},{3;10;17;24;31},{7;3;6;5;8;4;9;2;1},2,0)</t>
  </si>
  <si>
    <t xml:space="preserve">_xlfn.FORECAST.ETS.SEASONALITY({42;5;73;67.8;92},{3;10;17;24;31},1,4)</t>
  </si>
  <si>
    <t xml:space="preserve">_xlfn.FORECAST.ETS(13.5,{42.2;45;48.9;51.02;53;57.8;60.1;64;67.8;69;72;76.04;78.24},{1;2;3;4;5;6;7;8;9;10;11;12;13},2,1)</t>
  </si>
  <si>
    <t xml:space="preserve">_xlfn.ORG.LIBREOFFICE.FORECAST.ETS.STAT.MULT({42.2;45;48.9;51.02;53;57.8;60.1;64;67.8;69;72;76.04;78.24},{1;2;3;4;5;6;7;8;9;10;11;12;13},{9;4},2,1)</t>
  </si>
  <si>
    <t xml:space="preserve">_xlfn.FORECAST.ETS.SEASONALITY({42.2;45;48.9;51.02;53;57.8;60.1;64;67.8;69;72;76.04;78.24},{1;2;3;4;5;6;7;8;9;10;11;12;13})</t>
  </si>
  <si>
    <t xml:space="preserve">_xlfn.ORG.LIBREOFFICE.FORECAST.ETS.PI.MULT(14,{42.2;45;48.9;51.02;53;57.8;60.1;64;67.8;69;72;76.04;78.24},{1;2;3;4;5;6;7;8;9;10;11;12;13},0.99,0,1,4)</t>
  </si>
  <si>
    <t xml:space="preserve">_xlfn.ORG.LIBREOFFICE.FORECAST.ETS.MULT(16,{73;15.55;4.6;68.85;28;91;77.98;89.22;32;90;47;79;29.4;27.2},{1;2;3;4;5;6;7;8;9;10;11;12;13;14},0,,3)</t>
  </si>
  <si>
    <t xml:space="preserve">_xlfn.ORG.LIBREOFFICE.FORECAST.ETS.STAT.MULT({73;15.55;4.6;68.85;28;91;77.98;89.22;32;90;47;79;29.4;27.2},{1;2;3;4;5;6;7;8;9;10;11;12;13;14},{9;3;8;7;1;2;5;6;4},0,,3)</t>
  </si>
  <si>
    <t xml:space="preserve">_xlfn.FORECAST.ETS.SEASONALITY({73;15.55;4.6;68.85;28;91;77.98;89.22;32;90;47;79;29.4;27.2},{1;2;3;4;5;6;7;8;9;10;11;12;13;14},0,7)</t>
  </si>
  <si>
    <t xml:space="preserve">_xlfn.FORECAST.ETS(1,{37.66;38.47;42.1;38.48;42.1;44.89;47.33;42.07;46;47.43;51;48.66;50;52;55.4;53.14},{1;1.5;2;2.5;3;3.5;4;4.5;5;5.5;6;6.5;7;7.5;8;8.5})</t>
  </si>
  <si>
    <t xml:space="preserve">_xlfn.FORECAST.ETS.STAT({37.66;38.47;42.1;38.48;42.1;44.89;47.33;42.07;46;47.43;51;48.66;50;52;55.4;53.14},{1;1.5;2;2.5;3;3.5;4;4.5;5;5.5;6;6.5;7;7.5;8;8.5},{7;8})</t>
  </si>
  <si>
    <t xml:space="preserve">_xlfn.FORECAST.ETS.SEASONALITY({37.66;38.47;42.1;38.48;42.1;44.89;47.33;42.07;46;47.43;51;48.66;50;52;55.4;53.14},{1;1.5;2;2.5;3;3.5;4;4.5;5;5.5;6;6.5;7;7.5;8;8.5})</t>
  </si>
  <si>
    <t xml:space="preserve">_xlfn.FORECAST.ETS({44924;44954},{15;19.24;25;29;32.3;36.24;41.7;45;50.15},{44592;44620;44651;44681;44712;44742;44773;44804;44834},4,0,1)</t>
  </si>
  <si>
    <t xml:space="preserve">_xlfn.FORECAST.ETS.STAT({15;19.24;25;29;32.3;36.24;41.7;45;50.15},{44592;44620;44651;44681;44712;44742;44773;44804;44834},{6;1},4,0,1)</t>
  </si>
  <si>
    <t xml:space="preserve">_xlfn.FORECAST.ETS.SEASONALITY({15;19.24;25;29;32.3;36.24;41.7;45;50.15},{44592;44620;44651;44681;44712;44742;44773;44804;44834},0,3)</t>
  </si>
  <si>
    <t xml:space="preserve">_xlfn.FORECAST.ETS(13.25,{17;84.57;5.1;35;25.7;35.64;42.96;10;65;6;76.32;78.48;63.6;32.5;3},{1;2;3;4;5;6;7;8;9;10;11;12;13;14;15},1,1)</t>
  </si>
  <si>
    <t xml:space="preserve">_xlfn.ORG.LIBREOFFICE.FORECAST.ETS.STAT.MULT({17;84.57;5.1;35;25.7;35.64;42.96;10;65;6;76.32;78.48;63.6;32.5;3},{1;2;3;4;5;6;7;8;9;10;11;12;13;14;15},{6},1,1)</t>
  </si>
  <si>
    <t xml:space="preserve">_xlfn.FORECAST.ETS.SEASONALITY({17;84.57;5.1;35;25.7;35.64;42.96;10;65;6;76.32;78.48;63.6;32.5;3},{1;2;3;4;5;6;7;8;9;10;11;12;13;14;15},1)</t>
  </si>
  <si>
    <t xml:space="preserve">_xlfn.ORG.LIBREOFFICE.FORECAST.ETS.MULT(3.625,{44.3;36;54;41.59;59.5;44.74},{1;1.5;2;2.5;3;3.5},2,1,7)</t>
  </si>
  <si>
    <t xml:space="preserve">_xlfn.FORECAST.ETS.STAT({44.3;36;54;41.59;59.5;44.74},{1;1.5;2;2.5;3;3.5},{2;8;9;3;4;7;1;6;5},2,1,7)</t>
  </si>
  <si>
    <t xml:space="preserve">_xlfn.FORECAST.ETS.SEASONALITY({44.3;36;54;41.59;59.5;44.74},{1;1.5;2;2.5;3;3.5},0,4)</t>
  </si>
  <si>
    <t xml:space="preserve">_xlfn.FORECAST.ETS(45273,{6.35;34.3;86;53.51;95.38;92.88;4;24;1.2;7.7;18;37;77.1;82.7;69.6;60},{44696;44727;44757;44788;44819;44849;44880;44910;44941;44972;45000;45031;45061;45092;45122;45153},0,,5)</t>
  </si>
  <si>
    <t xml:space="preserve">_xlfn.ORG.LIBREOFFICE.FORECAST.ETS.STAT.MULT({6.35;34.3;86;53.51;95.38;92.88;4;24;1.2;7.7;18;37;77.1;82.7;69.6;60},{44696;44727;44757;44788;44819;44849;44880;44910;44941;44972;45000;45031;45061;45092;45122;45153},{9},0,,5)</t>
  </si>
  <si>
    <t xml:space="preserve">_xlfn.FORECAST.ETS.SEASONALITY({6.35;34.3;86;53.51;95.38;92.88;4;24;1.2;7.7;18;37;77.1;82.7;69.6;60},{44696;44727;44757;44788;44819;44849;44880;44910;44941;44972;45000;45031;45061;45092;45122;45153},0)</t>
  </si>
  <si>
    <t xml:space="preserve">_xlfn.FORECAST.ETS({44924,44894,44924},{16.9;18.89;15;17;15;14.38;14;14},{44620;44651;44681;44712;44742;44773;44804;44834},2,,1)</t>
  </si>
  <si>
    <t xml:space="preserve">_xlfn.FORECAST.ETS.STAT({16.9;18.89;15;17;15;14.38;14;14},{44620;44651;44681;44712;44742;44773;44804;44834},{1;8;9;2;3;6;5;4;7},2,,1)</t>
  </si>
  <si>
    <t xml:space="preserve">_xlfn.FORECAST.ETS.SEASONALITY({16.9;18.89;15;17;15;14.38;14;14},{44620;44651;44681;44712;44742;44773;44804;44834},0)</t>
  </si>
  <si>
    <t xml:space="preserve">_xlfn.FORECAST.ETS({18;16;15.5},{47;47;47.3;47.26;47.26;47;47;47.26;47.26;47;47.3;47;47.3;47},{1;2;3;4;5;6;7;8;9;10;11;12;13;14},0,,4)</t>
  </si>
  <si>
    <t xml:space="preserve">_xlfn.ORG.LIBREOFFICE.FORECAST.ETS.STAT.MULT({47;47;47.3;47.26;47.26;47;47;47.26;47.26;47;47.3;47;47.3;47},{1;2;3;4;5;6;7;8;9;10;11;12;13;14},{1},0,,4)</t>
  </si>
  <si>
    <t xml:space="preserve">_xlfn.FORECAST.ETS.SEASONALITY({47;47;47.3;47.26;47.26;47;47;47.26;47.26;47;47.3;47;47.3;47},{1;2;3;4;5;6;7;8;9;10;11;12;13;14})</t>
  </si>
  <si>
    <t xml:space="preserve">_xlfn.ORG.LIBREOFFICE.FORECAST.ETS.MULT({19},{38.82;39;38.8;38.82;38.82;38.82;38.82;38.82;38.8;39;39;39;38.8;38.8;38.8;38.8;38.82},{1;2;3;4;5;6;7;8;9;10;11;12;13;14;15;16;17},2)</t>
  </si>
  <si>
    <t xml:space="preserve">_xlfn.ORG.LIBREOFFICE.FORECAST.ETS.STAT.MULT({38.82;39;38.8;38.82;38.82;38.82;38.82;38.82;38.8;39;39;39;38.8;38.8;38.8;38.8;38.82},{1;2;3;4;5;6;7;8;9;10;11;12;13;14;15;16;17},{1;3;9;7;2;6;8;5;4},2)</t>
  </si>
  <si>
    <t xml:space="preserve">_xlfn.FORECAST.ETS.SEASONALITY({38.82;39;38.8;38.82;38.82;38.82;38.82;38.82;38.8;39;39;39;38.8;38.8;38.8;38.8;38.82},{1;2;3;4;5;6;7;8;9;10;11;12;13;14;15;16;17},1)</t>
  </si>
  <si>
    <t xml:space="preserve">_xlfn.FORECAST.ETS({27},{15;15;14.83;14.8;15;14.8;14.8;14.83;15;14.8;14.83;14.8;14.8;15;14.8;14.83;15;14.8;14.83;15;14.83;14.8;14.83},{1;2;3;4;5;6;7;8;9;11;12;13;14;15;16;17;18;19;20;21;22;23;24},1,,1)</t>
  </si>
  <si>
    <t xml:space="preserve">_xlfn.FORECAST.ETS.STAT({15;15;14.83;14.8;15;14.8;14.8;14.83;15;14.8;14.83;14.8;14.8;15;14.8;14.83;15;14.8;14.83;15;14.83;14.8;14.83},{1;2;3;4;5;6;7;8;9;11;12;13;14;15;16;17;18;19;20;21;22;23;24},{5;1;9;6;4;3;8;2;7},1,,1)</t>
  </si>
  <si>
    <t xml:space="preserve">_xlfn.FORECAST.ETS.SEASONALITY({15;15;14.83;14.8;15;14.8;14.8;14.83;15;14.8;14.83;14.8;14.8;15;14.8;14.83;15;14.8;14.83;15;14.83;14.8;14.83},{1;2;3;4;5;6;7;8;9;11;12;13;14;15;16;17;18;19;20;21;22;23;24},1)</t>
  </si>
  <si>
    <t xml:space="preserve">_xlfn.ORG.LIBREOFFICE.FORECAST.ETS.MULT(9,{48;53.6;35.3;36.6;67.53;62.4;66.87;42.9;44.3;79.2;74;80.26;51;51.7;92},{1;1.5;2;2.5;3;3.5;4;4.5;5;5.5;6;6.5;7;7.5;8},5,1,4)</t>
  </si>
  <si>
    <t xml:space="preserve">_xlfn.FORECAST.ETS.STAT({48;53.6;35.3;36.6;67.53;62.4;66.87;42.9;44.3;79.2;74;80.26;51;51.7;92},{1;1.5;2;2.5;3;3.5;4;4.5;5;5.5;6;6.5;7;7.5;8},{9;6;4;8;1;7;2;5;3},5,1,4)</t>
  </si>
  <si>
    <t xml:space="preserve">_xlfn.FORECAST.ETS.SEASONALITY({48;53.6;35.3;36.6;67.53;62.4;66.87;42.9;44.3;79.2;74;80.26;51;51.7;92},{1;1.5;2;2.5;3;3.5;4;4.5;5;5.5;6;6.5;7;7.5;8},1)</t>
  </si>
  <si>
    <t xml:space="preserve">_xlfn.ORG.LIBREOFFICE.FORECAST.ETS.PI.MULT({8.5;9;9.5},{48;53.6;35.3;36.6;67.53;62.4;66.87;42.9;44.3;79.2;74;80.26;51;51.7;92},{1;1.5;2;2.5;3;3.5;4;4.5;5;5.5;6;6.5;7;7.5;8},0.9,0,1,5)</t>
  </si>
  <si>
    <t xml:space="preserve">_xlfn.FORECAST.ETS({45503},{33.9;42;46.75;46;41.29;41.62;48.8;52.8;53.27;47.81;48;56;60.06;58.1;56.13;55;63.55;65.4;65.34;62;60.83;70.6;73;71;68},{44757;44788;44819;44849;44880;44910;44941;44972;45000;45031;45061;45092;45122;45153;45184;45214;45245;45275;45306;45337;45366;45397;45427;45458;45488})</t>
  </si>
  <si>
    <t xml:space="preserve">_xlfn.FORECAST.ETS.STAT({33.9;42;46.75;46;41.29;41.62;48.8;52.8;53.27;47.81;48;56;60.06;58.1;56.13;55;63.55;65.4;65.34;62;60.83;70.6;73;71;68},{44757;44788;44819;44849;44880;44910;44941;44972;45000;45031;45061;45092;45122;45153;45184;45214;45245;45275;45306;45337;45366;45397;45427;45458;45488},{3})</t>
  </si>
  <si>
    <t xml:space="preserve">_xlfn.FORECAST.ETS.SEASONALITY({33.9;42;46.75;46;41.29;41.62;48.8;52.8;53.27;47.81;48;56;60.06;58.1;56.13;55;63.55;65.4;65.34;62;60.83;70.6;73;71;68},{44757;44788;44819;44849;44880;44910;44941;44972;45000;45031;45061;45092;45122;45153;45184;45214;45245;45275;45306;45337;45366;45397;45427;45458;45488})</t>
  </si>
  <si>
    <t xml:space="preserve">_xlfn.FORECAST.ETS(5.75,{31.7;44;61.3;39.9;87.83;69.9;32.3;49.1;12.95},{1.5;4.5;5;3;4;1;2.5;3.5;2},1,,7)</t>
  </si>
  <si>
    <t xml:space="preserve">_xlfn.FORECAST.ETS.STAT({31.7;44;61.3;39.9;87.83;69.9;32.3;49.1;12.95},{1.5;4.5;5;3;4;1;2.5;3.5;2},{4},1,,7)</t>
  </si>
  <si>
    <t xml:space="preserve">_xlfn.FORECAST.ETS.SEASONALITY({31.7;44;61.3;39.9;87.83;69.9;32.3;49.1;12.95},{1.5;4.5;5;3;4;1;2.5;3.5;2},0)</t>
  </si>
  <si>
    <t xml:space="preserve">_xlfn.FORECAST.ETS.CONFINT({5.5;6;6.5},{31.7;44;61.3;39.9;87.83;69.9;32.3;49.1;12.95},{1.5;4.5;5;3;4;1;2.5;3.5;2},0.99,0)</t>
  </si>
  <si>
    <t xml:space="preserve">_xlfn.FORECAST.ETS(15.75,{27.32;28.3;29.7;29.9;35.7;45;45;47.8;50.4;51.3;57;65.2;67;69;68.94;78;84.06;86.44;89.48;88.35;88.68;97.3;103;105.09;109.8;108.61;111.2;116.7;124.2},{1;1.5;2;2.5;3;3.5;4;4.5;5;5.5;6;6.5;7;7.5;8.5;9;9.5;10;10.5;11;11.5;12;12.5;13;13.5;14;14.5;15;15.5})</t>
  </si>
  <si>
    <t xml:space="preserve">_xlfn.ORG.LIBREOFFICE.FORECAST.ETS.STAT.MULT({27.32;28.3;29.7;29.9;35.7;45;45;47.8;50.4;51.3;57;65.2;67;69;68.94;78;84.06;86.44;89.48;88.35;88.68;97.3;103;105.09;109.8;108.61;111.2;116.7;124.2},{1;1.5;2;2.5;3;3.5;4;4.5;5;5.5;6;6.5;7;7.5;8.5;9;9.5;10;10.5;11;11.5;12;12.5;13;13.5;14;14.5;15;15.5},{3;4;2;6;5;1;9;7;8})</t>
  </si>
  <si>
    <t xml:space="preserve">_xlfn.FORECAST.ETS.SEASONALITY({27.32;28.3;29.7;29.9;35.7;45;45;47.8;50.4;51.3;57;65.2;67;69;68.94;78;84.06;86.44;89.48;88.35;88.68;97.3;103;105.09;109.8;108.61;111.2;116.7;124.2},{1;1.5;2;2.5;3;3.5;4;4.5;5;5.5;6;6.5;7;7.5;8.5;9;9.5;10;10.5;11;11.5;12;12.5;13;13.5;14;14.5;15;15.5})</t>
  </si>
  <si>
    <t xml:space="preserve">_xlfn.FORECAST.ETS({4.25;5.5},{41;98.8;60.35;49;87;83.7;71.4},{1;1.5;2;2.5;3;3.5;4},0,0)</t>
  </si>
  <si>
    <t xml:space="preserve">_xlfn.FORECAST.ETS.STAT({41;98.8;60.35;49;87;83.7;71.4},{1;1.5;2;2.5;3;3.5;4},{2},0,0)</t>
  </si>
  <si>
    <t xml:space="preserve">_xlfn.FORECAST.ETS.SEASONALITY({41;98.8;60.35;49;87;83.7;71.4},{1;1.5;2;2.5;3;3.5;4},0)</t>
  </si>
  <si>
    <t xml:space="preserve">_xlfn.FORECAST.ETS(108,{9;10;10.7;9.1;9.4;8.98;7;6.2;8;5.35;5.24;5;6;6;4.8;4.13;5;2.81},{3;8;13;18;23;33;38;43;48;53;58;63;68;73;78;83;88;93},0)</t>
  </si>
  <si>
    <t xml:space="preserve">_xlfn.FORECAST.ETS.STAT({9;10;10.7;9.1;9.4;8.98;7;6.2;8;5.35;5.24;5;6;6;4.8;4.13;5;2.81},{3;8;13;18;23;33;38;43;48;53;58;63;68;73;78;83;88;93},{6},0)</t>
  </si>
  <si>
    <t xml:space="preserve">_xlfn.FORECAST.ETS.SEASONALITY({9;10;10.7;9.1;9.4;8.98;7;6.2;8;5.35;5.24;5;6;6;4.8;4.13;5;2.81},{3;8;13;18;23;33;38;43;48;53;58;63;68;73;78;83;88;93},0)</t>
  </si>
  <si>
    <t xml:space="preserve">_xlfn.FORECAST.ETS({10.5},{31.6;31;36;35;39.2;44.96;43;48.1;48.42},{1;2;3;4;5;7;8;9;10},1,0)</t>
  </si>
  <si>
    <t xml:space="preserve">_xlfn.FORECAST.ETS.STAT({31.6;31;36;35;39.2;44.96;43;48.1;48.42},{1;2;3;4;5;7;8;9;10},{4;2;1;8;7;3;9;6;5},1,0)</t>
  </si>
  <si>
    <t xml:space="preserve">_xlfn.FORECAST.ETS.SEASONALITY({31.6;31;36;35;39.2;44.96;43;48.1;48.42},{1;2;3;4;5;7;8;9;10},1,5)</t>
  </si>
  <si>
    <t xml:space="preserve">_xlfn.ORG.LIBREOFFICE.FORECAST.ETS.MULT({45152},{34.9;34.9;34.9;34.9;35;35;35;35;34.87;35;35},{44834;44985;44865;45107;44926;44957;44895;44804;45046;45077;45016},0,1)</t>
  </si>
  <si>
    <t xml:space="preserve">_xlfn.ORG.LIBREOFFICE.FORECAST.ETS.STAT.MULT({34.9;34.9;34.9;34.9;35;35;35;35;34.87;35;35},{44834;44985;44865;45107;44926;44957;44895;44804;45046;45077;45016},{3;5},0,1)</t>
  </si>
  <si>
    <t xml:space="preserve">_xlfn.FORECAST.ETS.SEASONALITY({34.9;34.9;34.9;34.9;35;35;35;35;34.87;35;35},{44834;44985;44865;45107;44926;44957;44895;44804;45046;45077;45016})</t>
  </si>
  <si>
    <t xml:space="preserve">_xlfn.FORECAST.ETS({158,158,173},{15;11.2;13.6;8.9;12;6.8;7.72;8.7;4.4;6;2.54;2.85;0.4;-0.2;1.75;2.45},{3;13;23;23;33;43;53;63;73;83;93;103;113;123;133;143},1,0,6)</t>
  </si>
  <si>
    <t xml:space="preserve">_xlfn.ORG.LIBREOFFICE.FORECAST.ETS.STAT.MULT({15;11.2;13.6;8.9;12;6.8;7.72;8.7;4.4;6;2.54;2.85;0.4;-0.2;1.75;2.45},{3;13;23;23;33;43;53;63;73;83;93;103;113;123;133;143},{5},1,0,6)</t>
  </si>
  <si>
    <t xml:space="preserve">_xlfn.FORECAST.ETS.SEASONALITY({15;11.2;13.6;8.9;12;6.8;7.72;8.7;4.4;6;2.54;2.85;0.4;-0.2;1.75;2.45},{3;13;23;23;33;43;53;63;73;83;93;103;113;123;133;143},1,3)</t>
  </si>
  <si>
    <t xml:space="preserve">_xlfn.FORECAST.ETS(4.5,{34;34.47;34.5;34.5;34;34.47;34;34.5;34.5;34.5;34.5;34;34;34.47},{1;1.5;2;2.5;3;3.5;4;4.5;5;5.5;6;6.5;7;7.5},1,,1)</t>
  </si>
  <si>
    <t xml:space="preserve">_xlfn.FORECAST.ETS.STAT({34;34.47;34.5;34.5;34;34.47;34;34.5;34.5;34.5;34.5;34;34;34.47},{1;1.5;2;2.5;3;3.5;4;4.5;5;5.5;6;6.5;7;7.5},{7;1;2;8;9;6;3;4;5},1,,1)</t>
  </si>
  <si>
    <t xml:space="preserve">_xlfn.FORECAST.ETS.SEASONALITY({34;34.47;34.5;34.5;34;34.47;34;34.5;34.5;34.5;34.5;34;34;34.47},{1;1.5;2;2.5;3;3.5;4;4.5;5;5.5;6;6.5;7;7.5})</t>
  </si>
  <si>
    <t xml:space="preserve">_xlfn.FORECAST.ETS({243;208},{5.67;5.7;5.67;6;6;5.67;6;5.67;5.7;5.7;5.7;6;5.7;5.67;5.67;5.67;5.67;5.7;5.67;6;5.7},{3;13;23;33;43;53;63;73;83;93;103;113;123;133;143;153;163;173;183;193;203},5,0,4)</t>
  </si>
  <si>
    <t xml:space="preserve">_xlfn.ORG.LIBREOFFICE.FORECAST.ETS.STAT.MULT({5.67;5.7;5.67;6;6;5.67;6;5.67;5.7;5.7;5.7;6;5.7;5.67;5.67;5.67;5.67;5.7;5.67;6;5.7},{3;13;23;33;43;53;63;73;83;93;103;113;123;133;143;153;163;173;183;193;203},{8;1},5,0,4)</t>
  </si>
  <si>
    <t xml:space="preserve">_xlfn.FORECAST.ETS.SEASONALITY({5.67;5.7;5.67;6;6;5.67;6;5.67;5.7;5.7;5.7;6;5.7;5.67;5.67;5.67;5.67;5.7;5.67;6;5.7},{3;13;23;33;43;53;63;73;83;93;103;113;123;133;143;153;163;173;183;193;203},0,1)</t>
  </si>
  <si>
    <t xml:space="preserve">_xlfn.FORECAST.ETS.CONFINT(223,{5.67;5.7;5.67;6;6;5.67;6;5.67;5.7;5.7;5.7;6;5.7;5.67;5.67;5.67;5.67;5.7;5.67;6;5.7},{3;13;23;33;43;53;63;73;83;93;103;113;123;133;143;153;163;173;183;193;203},0,0,1,5)</t>
  </si>
  <si>
    <t xml:space="preserve">_xlfn.ORG.LIBREOFFICE.FORECAST.ETS.MULT({45425,45530,45425},{75.51;49.2;73.8;66;71.36;34;99;23.6;79.4;16.05;1.11;65.14;80;6.25;85;98.1;52.5;29.09;42.65;79.4;46.68},{44801;44832;44862;44893;44923;44954;44985;45013;45044;45074;45105;45135;45166;45197;45227;45258;45288;45319;45350;45379;45410},3,1,4)</t>
  </si>
  <si>
    <t xml:space="preserve">_xlfn.ORG.LIBREOFFICE.FORECAST.ETS.STAT.MULT({75.51;49.2;73.8;66;71.36;34;99;23.6;79.4;16.05;1.11;65.14;80;6.25;85;98.1;52.5;29.09;42.65;79.4;46.68},{44801;44832;44862;44893;44923;44954;44985;45013;45044;45074;45105;45135;45166;45197;45227;45258;45288;45319;45350;45379;45410},{6;4;2;1;9;5;3;8;7},3,1,4)</t>
  </si>
  <si>
    <t xml:space="preserve">_xlfn.FORECAST.ETS.SEASONALITY({75.51;49.2;73.8;66;71.36;34;99;23.6;79.4;16.05;1.11;65.14;80;6.25;85;98.1;52.5;29.09;42.65;79.4;46.68},{44801;44832;44862;44893;44923;44954;44985;45013;45044;45074;45105;45135;45166;45197;45227;45258;45288;45319;45350;45379;45410},0)</t>
  </si>
  <si>
    <t xml:space="preserve">_xlfn.FORECAST.ETS({45408;45348},{21;20.6;20.6;20.6;20.63;21;20.6;20.6;21;20.6;20.63;20.6;20.6;21;20.63;20.63;20.63;20.63;20.6;20.63;20.6;21;21},{44620;44648;44679;44709;44740;44770;44801;44832;44862;44893;44923;44954;44985;45013;45044;45074;45105;45135;45166;45197;45227;45258;45288},1)</t>
  </si>
  <si>
    <t xml:space="preserve">_xlfn.ORG.LIBREOFFICE.FORECAST.ETS.STAT.MULT({21;20.6;20.6;20.6;20.63;21;20.6;20.6;21;20.6;20.63;20.6;20.6;21;20.63;20.63;20.63;20.63;20.6;20.63;20.6;21;21},{44620;44648;44679;44709;44740;44770;44801;44832;44862;44893;44923;44954;44985;45013;45044;45074;45105;45135;45166;45197;45227;45258;45288},{1},1)</t>
  </si>
  <si>
    <t xml:space="preserve">_xlfn.FORECAST.ETS.SEASONALITY({21;20.6;20.6;20.6;20.63;21;20.6;20.6;21;20.6;20.63;20.6;20.6;21;20.63;20.63;20.63;20.63;20.6;20.63;20.6;21;21},{44620;44648;44679;44709;44740;44770;44801;44832;44862;44893;44923;44954;44985;45013;45044;45074;45105;45135;45166;45197;45227;45258;45288})</t>
  </si>
  <si>
    <t xml:space="preserve">_xlfn.ORG.LIBREOFFICE.FORECAST.ETS.MULT(143,{13;29.96;66;66.08;25;91.29;14.5;65;66.31;43.17;11;22;5.04},{3;13;23;33;43;53;53;63;73;83;93;103;113})</t>
  </si>
  <si>
    <t xml:space="preserve">_xlfn.ORG.LIBREOFFICE.FORECAST.ETS.STAT.MULT({13;29.96;66;66.08;25;91.29;14.5;65;66.31;43.17;11;22;5.04},{3;13;23;33;43;53;53;63;73;83;93;103;113},{9;6;5;2;1;7;4;3;8})</t>
  </si>
  <si>
    <t xml:space="preserve">_xlfn.FORECAST.ETS.SEASONALITY({13;29.96;66;66.08;25;91.29;14.5;65;66.31;43.17;11;22;5.04},{3;13;23;33;43;53;53;63;73;83;93;103;113},0,5)</t>
  </si>
  <si>
    <t xml:space="preserve">_xlfn.FORECAST.ETS({45045;45030},{15;14.17;14.89;13;12;18.8;16.09;19.57},{44923;44770;44985;44893;44954;44862;44832;44801},4,0,1)</t>
  </si>
  <si>
    <t xml:space="preserve">_xlfn.FORECAST.ETS.STAT({15;14.17;14.89;13;12;18.8;16.09;19.57},{44923;44770;44985;44893;44954;44862;44832;44801},{4},4,0,1)</t>
  </si>
  <si>
    <t xml:space="preserve">_xlfn.FORECAST.ETS.SEASONALITY({15;14.17;14.89;13;12;18.8;16.09;19.57},{44923;44770;44985;44893;44954;44862;44832;44801})</t>
  </si>
  <si>
    <t xml:space="preserve">_xlfn.FORECAST.ETS(5.25,{11.1;11.11;9.24;8;10.3;10.1;9;11.14;11;11.5;9.45;10.68;9.4;4.5;9.92},{1;2;3;4;5;6;7;8;9;10;11;12;13;13;14})</t>
  </si>
  <si>
    <t xml:space="preserve">_xlfn.ORG.LIBREOFFICE.FORECAST.ETS.STAT.MULT({11.1;11.11;9.24;8;10.3;10.1;9;11.14;11;11.5;9.45;10.68;9.4;4.5;9.92},{1;2;3;4;5;6;7;8;9;10;11;12;13;13;14},{3})</t>
  </si>
  <si>
    <t xml:space="preserve">_xlfn.FORECAST.ETS.SEASONALITY({11.1;11.11;9.24;8;10.3;10.1;9;11.14;11;11.5;9.45;10.68;9.4;4.5;9.92},{1;2;3;4;5;6;7;8;9;10;11;12;13;13;14},1,3)</t>
  </si>
  <si>
    <t xml:space="preserve">_xlfn.FORECAST.ETS(16,{3.02;9.91;5.94;4.46;4.7;10;8;5.8;6.3;5.79;11;9.19;4.52;7.63},{1;2;3;4;5;7;8;9;10;11;12;13;14;15},5,,4)</t>
  </si>
  <si>
    <t xml:space="preserve">_xlfn.FORECAST.ETS.STAT({3.02;9.91;5.94;4.46;4.7;10;8;5.8;6.3;5.79;11;9.19;4.52;7.63},{1;2;3;4;5;7;8;9;10;11;12;13;14;15},{1},5,,4)</t>
  </si>
  <si>
    <t xml:space="preserve">_xlfn.FORECAST.ETS.SEASONALITY({3.02;9.91;5.94;4.46;4.7;10;8;5.8;6.3;5.79;11;9.19;4.52;7.63},{1;2;3;4;5;7;8;9;10;11;12;13;14;15},1,1)</t>
  </si>
  <si>
    <t xml:space="preserve">_xlfn.ORG.LIBREOFFICE.FORECAST.ETS.MULT(45004.5,{57.5;70;40;80},{45000;45003;45002;45001},7,0)</t>
  </si>
  <si>
    <t xml:space="preserve">_xlfn.FORECAST.ETS.STAT({57.5;70;40;80},{45000;45003;45002;45001},{7;1;6;3;4;9;8;5;2},7,0)</t>
  </si>
  <si>
    <t xml:space="preserve">_xlfn.FORECAST.ETS.SEASONALITY({57.5;70;40;80},{45000;45003;45002;45001},0,7)</t>
  </si>
  <si>
    <t xml:space="preserve">_xlfn.FORECAST.ETS({45034.5,45037,45035},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)</t>
  </si>
  <si>
    <t xml:space="preserve">_xlfn.FORECAST.ETS.STAT(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{8;3;2;5;6;1;9;4;7})</t>
  </si>
  <si>
    <t xml:space="preserve">_xlfn.FORECAST.ETS.SEASONALITY(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1,6)</t>
  </si>
  <si>
    <t xml:space="preserve">_xlfn.ORG.LIBREOFFICE.FORECAST.ETS.PI.MULT({45035;45036;45037},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0.5,0,1,3)</t>
  </si>
  <si>
    <t xml:space="preserve">_xlfn.ORG.LIBREOFFICE.FORECAST.ETS.MULT({45122},{21;33;21.89;37.46;26.5;40.7;25.8;29;46.15},{44865;44895;44926;44957;44985;45016;45016;45046;45077},2)</t>
  </si>
  <si>
    <t xml:space="preserve">_xlfn.ORG.LIBREOFFICE.FORECAST.ETS.STAT.MULT({21;33;21.89;37.46;26.5;40.7;25.8;29;46.15},{44865;44895;44926;44957;44985;45016;45016;45046;45077},{2;1},2)</t>
  </si>
  <si>
    <t xml:space="preserve">_xlfn.FORECAST.ETS.SEASONALITY({21;33;21.89;37.46;26.5;40.7;25.8;29;46.15},{44865;44895;44926;44957;44985;45016;45016;45046;45077},0,3)</t>
  </si>
  <si>
    <t xml:space="preserve">_xlfn.FORECAST.ETS(23,{44.2;39.4;54;58.9;59.3;50.14;70.3;72.7;70.65;60;84;88.7;85.39;71.38;96;103;98;81;112;117.54},{1;2;3;4;5;6;7;8;9;10;11;12;13;14;15;16;17;18;19;20},0,,5)</t>
  </si>
  <si>
    <t xml:space="preserve">_xlfn.ORG.LIBREOFFICE.FORECAST.ETS.STAT.MULT({44.2;39.4;54;58.9;59.3;50.14;70.3;72.7;70.65;60;84;88.7;85.39;71.38;96;103;98;81;112;117.54},{1;2;3;4;5;6;7;8;9;10;11;12;13;14;15;16;17;18;19;20},{7;4;2;1;3;9;8;6;5},0,,5)</t>
  </si>
  <si>
    <t xml:space="preserve">_xlfn.FORECAST.ETS.SEASONALITY({44.2;39.4;54;58.9;59.3;50.14;70.3;72.7;70.65;60;84;88.7;85.39;71.38;96;103;98;81;112;117.54},{1;2;3;4;5;6;7;8;9;10;11;12;13;14;15;16;17;18;19;20},1,3)</t>
  </si>
  <si>
    <t xml:space="preserve">_xlfn.FORECAST.ETS({45014.5},{44.93;62;57.2;50;69.66;65;57;79.2;74;62.5;88.7;82;69;96;87.8},{45000;45001;45002;45003;45004;45005;45006;45007;45008;45009;45010;45011;45012;45013;45014},0,,6)</t>
  </si>
  <si>
    <t xml:space="preserve">_xlfn.ORG.LIBREOFFICE.FORECAST.ETS.STAT.MULT({44.93;62;57.2;50;69.66;65;57;79.2;74;62.5;88.7;82;69;96;87.8},{45000;45001;45002;45003;45004;45005;45006;45007;45008;45009;45010;45011;45012;45013;45014},{1;7},0,,6)</t>
  </si>
  <si>
    <t xml:space="preserve">_xlfn.FORECAST.ETS.SEASONALITY({44.93;62;57.2;50;69.66;65;57;79.2;74;62.5;88.7;82;69;96;87.8},{45000;45001;45002;45003;45004;45005;45006;45007;45008;45009;45010;45011;45012;45013;45014},0)</t>
  </si>
  <si>
    <t xml:space="preserve">_xlfn.ORG.LIBREOFFICE.FORECAST.ETS.MULT({45470,45470},{74.39;76.1;2.2;19.1;91;65.4;25.63;7.7;19;3.3;64.31;98;37.66;84;59.9;48.5;2;34.2;14.3},{45074;45319;45135;44954;45197;45288;45166;45258;44832;45105;45044;45350;44893;44923;44801;45013;44862;44985;45227},4)</t>
  </si>
  <si>
    <t xml:space="preserve">_xlfn.FORECAST.ETS.STAT({74.39;76.1;2.2;19.1;91;65.4;25.63;7.7;19;3.3;64.31;98;37.66;84;59.9;48.5;2;34.2;14.3},{45074;45319;45135;44954;45197;45288;45166;45258;44832;45105;45044;45350;44893;44923;44801;45013;44862;44985;45227},{1;7;8;5;6;4;2;3;9},4)</t>
  </si>
  <si>
    <t xml:space="preserve">_xlfn.FORECAST.ETS.SEASONALITY({74.39;76.1;2.2;19.1;91;65.4;25.63;7.7;19;3.3;64.31;98;37.66;84;59.9;48.5;2;34.2;14.3},{45074;45319;45135;44954;45197;45288;45166;45258;44832;45105;45044;45350;44893;44923;44801;45013;44862;44985;45227},0,1)</t>
  </si>
  <si>
    <t xml:space="preserve">_xlfn.ORG.LIBREOFFICE.FORECAST.ETS.MULT(16.5,{33.98;34;33.98;34;34;34;34;34;34;34;34;33.98;34;33.98;33.98;33.98;33.98;33.98;34;33.98;34;33.98;33.98},{1;2;3;4;5;6;7;8;9;10;11;12;13;14;15;16;17;18;19;20;21;22;23})</t>
  </si>
  <si>
    <t xml:space="preserve">_xlfn.FORECAST.ETS.STAT({33.98;34;33.98;34;34;34;34;34;34;34;34;33.98;34;33.98;33.98;33.98;33.98;33.98;34;33.98;34;33.98;33.98},{1;2;3;4;5;6;7;8;9;10;11;12;13;14;15;16;17;18;19;20;21;22;23},{8;5;4;7;1;3;2;6;9})</t>
  </si>
  <si>
    <t xml:space="preserve">_xlfn.FORECAST.ETS.SEASONALITY({33.98;34;33.98;34;34;34;34;34;34;34;34;33.98;34;33.98;33.98;33.98;33.98;33.98;34;33.98;34;33.98;33.98},{1;2;3;4;5;6;7;8;9;10;11;12;13;14;15;16;17;18;19;20;21;22;23})</t>
  </si>
  <si>
    <t xml:space="preserve">_xlfn.FORECAST.ETS.CONFINT({24;25;26},{33.98;34;33.98;34;34;34;34;34;34;34;34;33.98;34;33.98;33.98;33.98;33.98;33.98;34;33.98;34;33.98;33.98},{1;2;3;4;5;6;7;8;9;10;11;12;13;14;15;16;17;18;19;20;21;22;23},0.5,0,1)</t>
  </si>
  <si>
    <t xml:space="preserve">_xlfn.ORG.LIBREOFFICE.FORECAST.ETS.MULT({45047;45047},{52.2;49.16;55.95;53;60.86;58;66.5;65},{44742;44773;44804;44834;44865;44895;44926;44957},2,0,4)</t>
  </si>
  <si>
    <t xml:space="preserve">_xlfn.FORECAST.ETS.STAT({52.2;49.16;55.95;53;60.86;58;66.5;65},{44742;44773;44804;44834;44865;44895;44926;44957},{5;4},2,0,4)</t>
  </si>
  <si>
    <t xml:space="preserve">_xlfn.FORECAST.ETS.SEASONALITY({52.2;49.16;55.95;53;60.86;58;66.5;65},{44742;44773;44804;44834;44865;44895;44926;44957},0,4)</t>
  </si>
  <si>
    <t xml:space="preserve">_xlfn.FORECAST.ETS({13},{35;19.6;30.86;31.3;17.2;25.1;26.6;10.3;19.67},{1;2;3;4;5;6;7;8;9},3,0,5)</t>
  </si>
  <si>
    <t xml:space="preserve">_xlfn.FORECAST.ETS.STAT({35;19.6;30.86;31.3;17.2;25.1;26.6;10.3;19.67},{1;2;3;4;5;6;7;8;9},{5;8;2;7;9;3;6;4;1},3,0,5)</t>
  </si>
  <si>
    <t xml:space="preserve">_xlfn.FORECAST.ETS.SEASONALITY({35;19.6;30.86;31.3;17.2;25.1;26.6;10.3;19.67},{1;2;3;4;5;6;7;8;9},1)</t>
  </si>
  <si>
    <t xml:space="preserve">_xlfn.ORG.LIBREOFFICE.FORECAST.ETS.MULT(44842.5,{19;19.2;19.25;19.25;19.25;19;19.2;19.25;19;19;19;19.25;19;19.25;19.2;19.25;19.2;19.25;19.2;19;19.25;19;19;19},{44743;44774;44805;44835;44866;44896;44927;44958;44986;45017;45047;45078;45108;45139;45170;45200;45231;45261;45292;45323;45352;45383;45413;45444},0,,1)</t>
  </si>
  <si>
    <t xml:space="preserve">_xlfn.FORECAST.ETS.STAT({19;19.2;19.25;19.25;19.25;19;19.2;19.25;19;19;19;19.25;19;19.25;19.2;19.25;19.2;19.25;19.2;19;19.25;19;19;19},{44743;44774;44805;44835;44866;44896;44927;44958;44986;45017;45047;45078;45108;45139;45170;45200;45231;45261;45292;45323;45352;45383;45413;45444},{7;5},0,,1)</t>
  </si>
  <si>
    <t xml:space="preserve">_xlfn.FORECAST.ETS.SEASONALITY({19;19.2;19.25;19.25;19.25;19;19.2;19.25;19;19;19;19.25;19;19.25;19.2;19.25;19.2;19.25;19.2;19;19.25;19;19;19},{44743;44774;44805;44835;44866;44896;44927;44958;44986;45017;45047;45078;45108;45139;45170;45200;45231;45261;45292;45323;45352;45383;45413;45444},0,5)</t>
  </si>
  <si>
    <t xml:space="preserve">_xlfn.ORG.LIBREOFFICE.FORECAST.ETS.MULT({45012.5},{44.9;44.9;44.86;44.86;44.86;44.86;44.86;44.86;44.9;44.86;44.86;45},{45000;45001;45002;45003;45005;45006;45007;45008;45009;45010;45011;45012},1,1)</t>
  </si>
  <si>
    <t xml:space="preserve">_xlfn.FORECAST.ETS.STAT({44.9;44.9;44.86;44.86;44.86;44.86;44.86;44.86;44.9;44.86;44.86;45},{45000;45001;45002;45003;45005;45006;45007;45008;45009;45010;45011;45012},{2;3},1,1)</t>
  </si>
  <si>
    <t xml:space="preserve">_xlfn.FORECAST.ETS.SEASONALITY({44.9;44.9;44.86;44.86;44.86;44.86;44.86;44.86;44.9;44.86;44.86;45},{45000;45001;45002;45003;45005;45006;45007;45008;45009;45010;45011;45012},1,3)</t>
  </si>
  <si>
    <t xml:space="preserve">_xlfn.ORG.LIBREOFFICE.FORECAST.ETS.MULT(2,{9;12.8;16;19.5;21.2;24.75;29;33.23;37.1;11.3;39;42.02;45;49.47;51.71;57;57.33},{1;1.5;2;2.5;3;3.5;4;4.5;5;5;5.5;6;6.5;7;7.5;8;8.5},3,,4)</t>
  </si>
  <si>
    <t xml:space="preserve">_xlfn.FORECAST.ETS.STAT({9;12.8;16;19.5;21.2;24.75;29;33.23;37.1;11.3;39;42.02;45;49.47;51.71;57;57.33},{1;1.5;2;2.5;3;3.5;4;4.5;5;5;5.5;6;6.5;7;7.5;8;8.5},{8;1},3,,4)</t>
  </si>
  <si>
    <t xml:space="preserve">_xlfn.FORECAST.ETS.SEASONALITY({9;12.8;16;19.5;21.2;24.75;29;33.23;37.1;11.3;39;42.02;45;49.47;51.71;57;57.33},{1;1.5;2;2.5;3;3.5;4;4.5;5;5;5.5;6;6.5;7;7.5;8;8.5},0,3)</t>
  </si>
  <si>
    <t xml:space="preserve">_xlfn.ORG.LIBREOFFICE.FORECAST.ETS.MULT({62.5,55.5,66},{40.6;49;48.73;55;55;63.03;62.3;67.9},{3;10;17;24;31;38;45;52},2)</t>
  </si>
  <si>
    <t xml:space="preserve">_xlfn.FORECAST.ETS.STAT({40.6;49;48.73;55;55;63.03;62.3;67.9},{3;10;17;24;31;38;45;52},{3;6;7;1;8;4;5;9;2},2)</t>
  </si>
  <si>
    <t xml:space="preserve">_xlfn.FORECAST.ETS.SEASONALITY({40.6;49;48.73;55;55;63.03;62.3;67.9},{3;10;17;24;31;38;45;52},1)</t>
  </si>
  <si>
    <t xml:space="preserve">_xlfn.FORECAST.ETS.CONFINT(66,{40.6;49;48.73;55;55;63.03;62.3;67.9},{3;10;17;24;31;38;45;52},0,0,1)</t>
  </si>
  <si>
    <t xml:space="preserve">_xlfn.ORG.LIBREOFFICE.FORECAST.ETS.MULT({44910},{29.9;29.9;29.9;22.6;29.9},{44804;44834;44865;44865;44895},2)</t>
  </si>
  <si>
    <t xml:space="preserve">_xlfn.FORECAST.ETS.STAT({29.9;29.9;29.9;22.6;29.9},{44804;44834;44865;44865;44895},{1;2},2)</t>
  </si>
  <si>
    <t xml:space="preserve">_xlfn.FORECAST.ETS.SEASONALITY({29.9;29.9;29.9;22.6;29.9},{44804;44834;44865;44865;44895},1)</t>
  </si>
  <si>
    <t xml:space="preserve">_xlfn.ORG.LIBREOFFICE.FORECAST.ETS.MULT({45123;45138;45168},{34;31.7;28;39.45;27;35.28;31.6;28;25;33.1;33.56;25.7;37;26.17;33.91;29.2;29.7;36.4},{44986;44866;44774;45108;44682;45017;44835;44713;44593;44896;44927;44652;45078;44621;44958;44805;44743;45047},1,0,3)</t>
  </si>
  <si>
    <t xml:space="preserve">_xlfn.FORECAST.ETS.STAT({34;31.7;28;39.45;27;35.28;31.6;28;25;33.1;33.56;25.7;37;26.17;33.91;29.2;29.7;36.4},{44986;44866;44774;45108;44682;45017;44835;44713;44593;44896;44927;44652;45078;44621;44958;44805;44743;45047},{3;6},1,0,3)</t>
  </si>
  <si>
    <t xml:space="preserve">_xlfn.FORECAST.ETS.SEASONALITY({34;31.7;28;39.45;27;35.28;31.6;28;25;33.1;33.56;25.7;37;26.17;33.91;29.2;29.7;36.4},{44986;44866;44774;45108;44682;45017;44835;44713;44593;44896;44927;44652;45078;44621;44958;44805;44743;45047},1,1)</t>
  </si>
  <si>
    <t xml:space="preserve">_xlfn.ORG.LIBREOFFICE.FORECAST.ETS.MULT({58,63},{29.67;43;34.7;50.5;51.3;43;56;47.45;61.8;65.32},{3;8;13;18;23;28;33;38;43;48},5,1)</t>
  </si>
  <si>
    <t xml:space="preserve">_xlfn.FORECAST.ETS.STAT({29.67;43;34.7;50.5;51.3;43;56;47.45;61.8;65.32},{3;8;13;18;23;28;33;38;43;48},{8},5,1)</t>
  </si>
  <si>
    <t xml:space="preserve">_xlfn.FORECAST.ETS.SEASONALITY({29.67;43;34.7;50.5;51.3;43;56;47.45;61.8;65.32},{3;8;13;18;23;28;33;38;43;48},1,1)</t>
  </si>
  <si>
    <t xml:space="preserve">_xlfn.ORG.LIBREOFFICE.FORECAST.ETS.MULT({45153},{43.37;80.32;78;6.49;28.25;7;21.42;49.63;63.38;74;78;79.1;79.17},{44804;44834;44865;44895;44926;44926;44957;44985;45016;45046;45077;45107;45138})</t>
  </si>
  <si>
    <t xml:space="preserve">_xlfn.ORG.LIBREOFFICE.FORECAST.ETS.STAT.MULT({43.37;80.32;78;6.49;28.25;7;21.42;49.63;63.38;74;78;79.1;79.17},{44804;44834;44865;44895;44926;44926;44957;44985;45016;45046;45077;45107;45138},{1})</t>
  </si>
  <si>
    <t xml:space="preserve">_xlfn.FORECAST.ETS.SEASONALITY({43.37;80.32;78;6.49;28.25;7;21.42;49.63;63.38;74;78;79.1;79.17},{44804;44834;44865;44895;44926;44926;44957;44985;45016;45046;45077;45107;45138},0,3)</t>
  </si>
  <si>
    <t xml:space="preserve">_xlfn.FORECAST.ETS({55.5},{36.7;63.32;60.3;25.44;40.41;53.7;70.49;51.46;23;45;31.08},{18;48;43;8;23;38;53;33;3;28;13},4)</t>
  </si>
  <si>
    <t xml:space="preserve">_xlfn.ORG.LIBREOFFICE.FORECAST.ETS.STAT.MULT({36.7;63.32;60.3;25.44;40.41;53.7;70.49;51.46;23;45;31.08},{18;48;43;8;23;38;53;33;3;28;13},{3},4)</t>
  </si>
  <si>
    <t xml:space="preserve">_xlfn.FORECAST.ETS.SEASONALITY({36.7;63.32;60.3;25.44;40.41;53.7;70.49;51.46;23;45;31.08},{18;48;43;8;23;38;53;33;3;28;13})</t>
  </si>
  <si>
    <t xml:space="preserve">_xlfn.ORG.LIBREOFFICE.FORECAST.ETS.MULT(45000,{9.7;15.46;18.67;23.4;28;36;40.93},{45000;45001;45002;45003;45004;45006;45007},1,0)</t>
  </si>
  <si>
    <t xml:space="preserve">_xlfn.FORECAST.ETS.STAT({9.7;15.46;18.67;23.4;28;36;40.93},{45000;45001;45002;45003;45004;45006;45007},{3;8;4;5;1;7;9;2;6},1,0)</t>
  </si>
  <si>
    <t xml:space="preserve">_xlfn.FORECAST.ETS.SEASONALITY({9.7;15.46;18.67;23.4;28;36;40.93},{45000;45001;45002;45003;45004;45006;45007},1,2)</t>
  </si>
  <si>
    <t xml:space="preserve">_xlfn.FORECAST.ETS({16.5;20;17},{21.4;26;23.4;24;27.7;31;28.4;30.65;33.9;39;34.4;37.64;42.2;44.2;37.6;42.8},{1;2;3;4;5;6;7;8;9;10;11;12;13;14;15;16})</t>
  </si>
  <si>
    <t xml:space="preserve">_xlfn.FORECAST.ETS.STAT({21.4;26;23.4;24;27.7;31;28.4;30.65;33.9;39;34.4;37.64;42.2;44.2;37.6;42.8},{1;2;3;4;5;6;7;8;9;10;11;12;13;14;15;16},{2;5})</t>
  </si>
  <si>
    <t xml:space="preserve">_xlfn.FORECAST.ETS.SEASONALITY({21.4;26;23.4;24;27.7;31;28.4;30.65;33.9;39;34.4;37.64;42.2;44.2;37.6;42.8},{1;2;3;4;5;6;7;8;9;10;11;12;13;14;15;16})</t>
  </si>
  <si>
    <t xml:space="preserve">_xlfn.FORECAST.ETS({8.5;8},{37.9;39;39.87;40.2;43.34;45;44;45;46;47;49.7},{1;1.5;2.5;3;3.5;4;4.5;5;5.5;6;6.5},0,0)</t>
  </si>
  <si>
    <t xml:space="preserve">_xlfn.ORG.LIBREOFFICE.FORECAST.ETS.STAT.MULT({37.9;39;39.87;40.2;43.34;45;44;45;46;47;49.7},{1;1.5;2.5;3;3.5;4;4.5;5;5.5;6;6.5},{4;8},0,0)</t>
  </si>
  <si>
    <t xml:space="preserve">_xlfn.FORECAST.ETS.SEASONALITY({37.9;39;39.87;40.2;43.34;45;44;45;46;47;49.7},{1;1.5;2.5;3;3.5;4;4.5;5;5.5;6;6.5},1,2)</t>
  </si>
  <si>
    <t xml:space="preserve">_xlfn.ORG.LIBREOFFICE.FORECAST.ETS.PI.MULT(7.5,{37.9;39;39.87;40.2;43.34;45;44;45;46;47;49.7},{1;1.5;2.5;3;3.5;4;4.5;5;5.5;6;6.5},0.9,0,1,6)</t>
  </si>
  <si>
    <t xml:space="preserve">_xlfn.ORG.LIBREOFFICE.FORECAST.ETS.MULT({72},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3)</t>
  </si>
  <si>
    <t xml:space="preserve">_xlfn.FORECAST.ETS.STAT(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{9},3)</t>
  </si>
  <si>
    <t xml:space="preserve">_xlfn.FORECAST.ETS.SEASONALITY(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1,2)</t>
  </si>
  <si>
    <t xml:space="preserve">_xlfn.ORG.LIBREOFFICE.FORECAST.ETS.MULT(48.5,{38;40.6;42.98;45.5;48;51},{3;10;17;24;31;38})</t>
  </si>
  <si>
    <t xml:space="preserve">_xlfn.FORECAST.ETS.STAT({38;40.6;42.98;45.5;48;51},{3;10;17;24;31;38},{5})</t>
  </si>
  <si>
    <t xml:space="preserve">_xlfn.FORECAST.ETS.SEASONALITY({38;40.6;42.98;45.5;48;51},{3;10;17;24;31;38},1)</t>
  </si>
  <si>
    <t xml:space="preserve">_xlfn.FORECAST.ETS(14.5,{98.5;80;36.6;89.1;21.5;64;94.44;95;2.1;84.2;57.67;41;55},{1;2;3;4;5;6;8;9;10;11;12;13;14},4,1,2)</t>
  </si>
  <si>
    <t xml:space="preserve">_xlfn.ORG.LIBREOFFICE.FORECAST.ETS.STAT.MULT({98.5;80;36.6;89.1;21.5;64;94.44;95;2.1;84.2;57.67;41;55},{1;2;3;4;5;6;8;9;10;11;12;13;14},{1;7;2;6;5;3;4;9;8},4,1,2)</t>
  </si>
  <si>
    <t xml:space="preserve">_xlfn.FORECAST.ETS.SEASONALITY({98.5;80;36.6;89.1;21.5;64;94.44;95;2.1;84.2;57.67;41;55},{1;2;3;4;5;6;8;9;10;11;12;13;14})</t>
  </si>
  <si>
    <t xml:space="preserve">_xlfn.FORECAST.ETS.CONFINT({15;16;17},{98.5;80;36.6;89.1;21.5;64;94.44;95;2.1;84.2;57.67;41;55},{1;2;3;4;5;6;8;9;10;11;12;13;14},0.99,0,1,5)</t>
  </si>
  <si>
    <t xml:space="preserve">_xlfn.ORG.LIBREOFFICE.FORECAST.ETS.MULT(45716,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3)</t>
  </si>
  <si>
    <t xml:space="preserve">_xlfn.ORG.LIBREOFFICE.FORECAST.ETS.STAT.MULT(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{4;6;3;5;9;7;2;8;1},3)</t>
  </si>
  <si>
    <t xml:space="preserve">_xlfn.FORECAST.ETS.SEASONALITY(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1)</t>
  </si>
  <si>
    <t xml:space="preserve">_xlfn.FORECAST.ETS({45653,45683,45653},{69;12.99;53.7;47;16;6;79.36;16.03;47;79.9;17;78;25;16.79;9;3.95;16.5;56;59.2;52.13;14.9;47.6;33.9;34},{45440;45197;44985;45166;45410;45105;45350;45501;45013;45044;44954;45563;44923;45135;45532;45227;45319;45074;44893;45471;44862;45258;45288;45379},1,0,7)</t>
  </si>
  <si>
    <t xml:space="preserve">_xlfn.ORG.LIBREOFFICE.FORECAST.ETS.STAT.MULT({69;12.99;53.7;47;16;6;79.36;16.03;47;79.9;17;78;25;16.79;9;3.95;16.5;56;59.2;52.13;14.9;47.6;33.9;34},{45440;45197;44985;45166;45410;45105;45350;45501;45013;45044;44954;45563;44923;45135;45532;45227;45319;45074;44893;45471;44862;45258;45288;45379},{1},1,0,7)</t>
  </si>
  <si>
    <t xml:space="preserve">_xlfn.FORECAST.ETS.SEASONALITY({69;12.99;53.7;47;16;6;79.36;16.03;47;79.9;17;78;25;16.79;9;3.95;16.5;56;59.2;52.13;14.9;47.6;33.9;34},{45440;45197;44985;45166;45410;45105;45350;45501;45013;45044;44954;45563;44923;45135;45532;45227;45319;45074;44893;45471;44862;45258;45288;45379},0)</t>
  </si>
  <si>
    <t xml:space="preserve">_xlfn.ORG.LIBREOFFICE.FORECAST.ETS.MULT(45012,{24;41.11;42.9;32;27;36;16;17.8;31.02;30.52;22.6;20.1;24.4;9.8;12.1;19.2;18;13.3;9.5;14;3.62},{45000;45001;45002;45003;45004;45005;45006;45007;45008;45009;45010;45011;45012;45013;45014;45015;45016;45017;45018;45019;45020},7,0,3)</t>
  </si>
  <si>
    <t xml:space="preserve">_xlfn.FORECAST.ETS.STAT({24;41.11;42.9;32;27;36;16;17.8;31.02;30.52;22.6;20.1;24.4;9.8;12.1;19.2;18;13.3;9.5;14;3.62},{45000;45001;45002;45003;45004;45005;45006;45007;45008;45009;45010;45011;45012;45013;45014;45015;45016;45017;45018;45019;45020},{6;8;9;7;5;3;2;4;1},7,0,3)</t>
  </si>
  <si>
    <t xml:space="preserve">_xlfn.FORECAST.ETS.SEASONALITY({24;41.11;42.9;32;27;36;16;17.8;31.02;30.52;22.6;20.1;24.4;9.8;12.1;19.2;18;13.3;9.5;14;3.62},{45000;45001;45002;45003;45004;45005;45006;45007;45008;45009;45010;45011;45012;45013;45014;45015;45016;45017;45018;45019;45020},0,7)</t>
  </si>
  <si>
    <t xml:space="preserve">_xlfn.FORECAST.ETS({45122},{39.8;44.03;44.1;47;49.2;53.4;56;57;60;62;66.52;69.06;70.01;72;76.1;78.62;78.8},{44607;44635;44666;44696;44727;44757;44788;44819;44849;44880;44910;44941;44972;45000;45031;45061;45092},0,0)</t>
  </si>
  <si>
    <t xml:space="preserve">_xlfn.ORG.LIBREOFFICE.FORECAST.ETS.STAT.MULT({39.8;44.03;44.1;47;49.2;53.4;56;57;60;62;66.52;69.06;70.01;72;76.1;78.62;78.8},{44607;44635;44666;44696;44727;44757;44788;44819;44849;44880;44910;44941;44972;45000;45031;45061;45092},{7;2},0,0)</t>
  </si>
  <si>
    <t xml:space="preserve">_xlfn.FORECAST.ETS.SEASONALITY({39.8;44.03;44.1;47;49.2;53.4;56;57;60;62;66.52;69.06;70.01;72;76.1;78.62;78.8},{44607;44635;44666;44696;44727;44757;44788;44819;44849;44880;44910;44941;44972;45000;45031;45061;45092},0,1)</t>
  </si>
  <si>
    <t xml:space="preserve">_xlfn.ORG.LIBREOFFICE.FORECAST.ETS.MULT({45518},{29.29;22;15;32;23;35.9;26;16.4;40;26.9;40.9;29.45;16.9;19;44.02;30;47.3;35.05;22;51;33.62;53;38.73;24.4;56;35},{44742;44773;44804;44834;44865;44895;44926;44957;44985;45016;45046;45077;45077;45107;45138;45169;45199;45230;45260;45291;45322;45351;45382;45412;45443;45473},0,1)</t>
  </si>
  <si>
    <t xml:space="preserve">_xlfn.ORG.LIBREOFFICE.FORECAST.ETS.STAT.MULT({29.29;22;15;32;23;35.9;26;16.4;40;26.9;40.9;29.45;16.9;19;44.02;30;47.3;35.05;22;51;33.62;53;38.73;24.4;56;35},{44742;44773;44804;44834;44865;44895;44926;44957;44985;45016;45046;45077;45077;45107;45138;45169;45199;45230;45260;45291;45322;45351;45382;45412;45443;45473},{8;6;9;7;1;5;2;4;3},0,1)</t>
  </si>
  <si>
    <t xml:space="preserve">_xlfn.FORECAST.ETS.SEASONALITY({29.29;22;15;32;23;35.9;26;16.4;40;26.9;40.9;29.45;16.9;19;44.02;30;47.3;35.05;22;51;33.62;53;38.73;24.4;56;35},{44742;44773;44804;44834;44865;44895;44926;44957;44985;45016;45046;45077;45077;45107;45138;45169;45199;45230;45260;45291;45322;45351;45382;45412;45443;45473},0,3)</t>
  </si>
  <si>
    <t xml:space="preserve">_xlfn.FORECAST.ETS(11,{41.2;44.37;43.21;45.4;45;47.18;48;48;51.6;52.38;53;54.5;56.4;55.18;56;59;10.8;59.2;60.6;62.1;62},{1;1.5;2;2.5;3;3.5;4;4.5;5;5.5;6;6.5;7;7.5;8;8.5;8.5;9;9.5;10;10.5},1,1,6)</t>
  </si>
  <si>
    <t xml:space="preserve">_xlfn.FORECAST.ETS.STAT({41.2;44.37;43.21;45.4;45;47.18;48;48;51.6;52.38;53;54.5;56.4;55.18;56;59;10.8;59.2;60.6;62.1;62},{1;1.5;2;2.5;3;3.5;4;4.5;5;5.5;6;6.5;7;7.5;8;8.5;8.5;9;9.5;10;10.5},{7;1;2;3;4;8;5;6;9},1,1,6)</t>
  </si>
  <si>
    <t xml:space="preserve">_xlfn.FORECAST.ETS.SEASONALITY({41.2;44.37;43.21;45.4;45;47.18;48;48;51.6;52.38;53;54.5;56.4;55.18;56;59;10.8;59.2;60.6;62.1;62},{1;1.5;2;2.5;3;3.5;4;4.5;5;5.5;6;6.5;7;7.5;8;8.5;8.5;9;9.5;10;10.5},0,7)</t>
  </si>
  <si>
    <t xml:space="preserve">_xlfn.FORECAST.ETS({45008,45006.5,45006.5},{34;35;23.8;27.34;29.49;23.5},{45003;45005;45000;45004;45001;45002},1,0,3)</t>
  </si>
  <si>
    <t xml:space="preserve">_xlfn.FORECAST.ETS.STAT({34;35;23.8;27.34;29.49;23.5},{45003;45005;45000;45004;45001;45002},{1},1,0,3)</t>
  </si>
  <si>
    <t xml:space="preserve">_xlfn.FORECAST.ETS.SEASONALITY({34;35;23.8;27.34;29.49;23.5},{45003;45005;45000;45004;45001;45002})</t>
  </si>
  <si>
    <t xml:space="preserve">_xlfn.FORECAST.ETS({45382;45367;45442},{15;12.3;12.05;11.68;10.72;7;7.83;5.2;2.24;3;0.08;0.66;-1.6;-4.7;-4;-5.1;-7;-10;-9;-12.6},{44742;44773;44804;44834;44865;44895;44926;44957;44985;45016;45046;45077;45107;45138;45169;45199;45230;45260;45291;45322},1,1,2)</t>
  </si>
  <si>
    <t xml:space="preserve">_xlfn.FORECAST.ETS.STAT({15;12.3;12.05;11.68;10.72;7;7.83;5.2;2.24;3;0.08;0.66;-1.6;-4.7;-4;-5.1;-7;-10;-9;-12.6},{44742;44773;44804;44834;44865;44895;44926;44957;44985;45016;45046;45077;45107;45138;45169;45199;45230;45260;45291;45322},{8;7;9;5;3;2;4;1;6},1,1,2)</t>
  </si>
  <si>
    <t xml:space="preserve">_xlfn.FORECAST.ETS.SEASONALITY({15;12.3;12.05;11.68;10.72;7;7.83;5.2;2.24;3;0.08;0.66;-1.6;-4.7;-4;-5.1;-7;-10;-9;-12.6},{44742;44773;44804;44834;44865;44895;44926;44957;44985;45016;45046;45077;45107;45138;45169;45199;45230;45260;45291;45322},0,3)</t>
  </si>
  <si>
    <t xml:space="preserve">_xlfn.FORECAST.ETS({15;13.25},{55;54;33.5;39.71;51;85.3;80;47;53.79;73;113.08;106.9;64.01;73;93.75;142.97;135.64;76.5;87;112.1;174.7;162;92.77;103.7;134.1},{1;1.5;2;2.5;3;3.5;4;4.5;5;5.5;6;6.5;7;7.5;8;8.5;9;9.5;10;10.5;11;11.5;12;12.5;13},1,0,1)</t>
  </si>
  <si>
    <t xml:space="preserve">_xlfn.FORECAST.ETS.STAT({55;54;33.5;39.71;51;85.3;80;47;53.79;73;113.08;106.9;64.01;73;93.75;142.97;135.64;76.5;87;112.1;174.7;162;92.77;103.7;134.1},{1;1.5;2;2.5;3;3.5;4;4.5;5;5.5;6;6.5;7;7.5;8;8.5;9;9.5;10;10.5;11;11.5;12;12.5;13},{7;3;4;6;5;8;1;9;2},1,0,1)</t>
  </si>
  <si>
    <t xml:space="preserve">_xlfn.FORECAST.ETS.SEASONALITY({55;54;33.5;39.71;51;85.3;80;47;53.79;73;113.08;106.9;64.01;73;93.75;142.97;135.64;76.5;87;112.1;174.7;162;92.77;103.7;134.1},{1;1.5;2;2.5;3;3.5;4;4.5;5;5.5;6;6.5;7;7.5;8;8.5;9;9.5;10;10.5;11;11.5;12;12.5;13})</t>
  </si>
  <si>
    <t xml:space="preserve">_xlfn.FORECAST.ETS({45006,45009},{2.13;20;22;14.6;33;33},{45000;45001;45002;45003;45004;45005})</t>
  </si>
  <si>
    <t xml:space="preserve">_xlfn.FORECAST.ETS.STAT({2.13;20;22;14.6;33;33},{45000;45001;45002;45003;45004;45005},{5})</t>
  </si>
  <si>
    <t xml:space="preserve">_xlfn.FORECAST.ETS.SEASONALITY({2.13;20;22;14.6;33;33},{45000;45001;45002;45003;45004;45005},0)</t>
  </si>
  <si>
    <t xml:space="preserve">_xlfn.FORECAST.ETS.CONFINT(45008,{2.13;20;22;14.6;33;33},{45000;45001;45002;45003;45004;45005},0.5,0)</t>
  </si>
  <si>
    <t xml:space="preserve">_xlfn.ORG.LIBREOFFICE.FORECAST.ETS.MULT(45006.5,{46.5;50;47.3;55.6;38;43.47},{45001;45003;45004;45005;45000;45002},2,1,7)</t>
  </si>
  <si>
    <t xml:space="preserve">_xlfn.FORECAST.ETS.STAT({46.5;50;47.3;55.6;38;43.47},{45001;45003;45004;45005;45000;45002},{4;3;8;1;9;7;5;6;2},2,1,7)</t>
  </si>
  <si>
    <t xml:space="preserve">_xlfn.FORECAST.ETS.SEASONALITY({46.5;50;47.3;55.6;38;43.47},{45001;45003;45004;45005;45000;45002},0)</t>
  </si>
  <si>
    <t xml:space="preserve">_xlfn.FORECAST.ETS({108;129},{14.07;17.9;22.75;29.24;33.4;37.6;43.2;45.15;49.9;56;64.1;70;74.07;78.2},{3;10;17;24;31;38;45;52;59;66;80;87;94;101},0,1)</t>
  </si>
  <si>
    <t xml:space="preserve">_xlfn.ORG.LIBREOFFICE.FORECAST.ETS.STAT.MULT({14.07;17.9;22.75;29.24;33.4;37.6;43.2;45.15;49.9;56;64.1;70;74.07;78.2},{3;10;17;24;31;38;45;52;59;66;80;87;94;101},{5;3},0,1)</t>
  </si>
  <si>
    <t xml:space="preserve">_xlfn.FORECAST.ETS.SEASONALITY({14.07;17.9;22.75;29.24;33.4;37.6;43.2;45.15;49.9;56;64.1;70;74.07;78.2},{3;10;17;24;31;38;45;52;59;66;80;87;94;101})</t>
  </si>
  <si>
    <t xml:space="preserve">_xlfn.FORECAST.ETS.CONFINT(108,{14.07;17.9;22.75;29.24;33.4;37.6;43.2;45.15;49.9;56;64.1;70;74.07;78.2},{3;10;17;24;31;38;45;52;59;66;80;87;94;101},0.5,0,1,3)</t>
  </si>
  <si>
    <t xml:space="preserve">_xlfn.ORG.LIBREOFFICE.FORECAST.ETS.MULT(12,{48;14;1;10.9;79.7;77;68;37.61;7;31.7;96.4;1.4;4.38;45;8},{1;2;3;4;5;6;7;8;9;10;11;12;13;14;15},2)</t>
  </si>
  <si>
    <t xml:space="preserve">_xlfn.ORG.LIBREOFFICE.FORECAST.ETS.STAT.MULT({48;14;1;10.9;79.7;77;68;37.61;7;31.7;96.4;1.4;4.38;45;8},{1;2;3;4;5;6;7;8;9;10;11;12;13;14;15},{2},2)</t>
  </si>
  <si>
    <t xml:space="preserve">_xlfn.FORECAST.ETS.SEASONALITY({48;14;1;10.9;79.7;77;68;37.61;7;31.7;96.4;1.4;4.38;45;8},{1;2;3;4;5;6;7;8;9;10;11;12;13;14;15},1)</t>
  </si>
  <si>
    <t xml:space="preserve">_xlfn.ORG.LIBREOFFICE.FORECAST.ETS.MULT({45033;45030.5},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)</t>
  </si>
  <si>
    <t xml:space="preserve">_xlfn.ORG.LIBREOFFICE.FORECAST.ETS.STAT.MULT(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{6;5})</t>
  </si>
  <si>
    <t xml:space="preserve">_xlfn.FORECAST.ETS.SEASONALITY(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1)</t>
  </si>
  <si>
    <t xml:space="preserve">_xlfn.ORG.LIBREOFFICE.FORECAST.ETS.PI.MULT({45030;45031;45032},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1,0)</t>
  </si>
  <si>
    <t xml:space="preserve">_xlfn.ORG.LIBREOFFICE.FORECAST.ETS.MULT({243,218,243},{37.5;37;37.46;37;37.46;37;37;37.46;37.46;37.5;37.46;37.46;37.46;37.5;37.46;37.46;37;37;37.5;37.46;37.46},{3;13;23;33;43;53;63;73;83;93;103;113;123;133;143;153;163;173;183;193;203})</t>
  </si>
  <si>
    <t xml:space="preserve">_xlfn.ORG.LIBREOFFICE.FORECAST.ETS.STAT.MULT({37.5;37;37.46;37;37.46;37;37;37.46;37.46;37.5;37.46;37.46;37.46;37.5;37.46;37.46;37;37;37.5;37.46;37.46},{3;13;23;33;43;53;63;73;83;93;103;113;123;133;143;153;163;173;183;193;203},{8;4})</t>
  </si>
  <si>
    <t xml:space="preserve">_xlfn.FORECAST.ETS.SEASONALITY({37.5;37;37.46;37;37.46;37;37;37.46;37.46;37.5;37.46;37.46;37.46;37.5;37.46;37.46;37;37;37.5;37.46;37.46},{3;13;23;33;43;53;63;73;83;93;103;113;123;133;143;153;163;173;183;193;203},0,2)</t>
  </si>
  <si>
    <t xml:space="preserve">_xlfn.FORECAST.ETS.CONFINT(213,{37.5;37;37.46;37;37.46;37;37;37.46;37.46;37.5;37.46;37.46;37.46;37.5;37.46;37.46;37;37;37.5;37.46;37.46},{3;13;23;33;43;53;63;73;83;93;103;113;123;133;143;153;163;173;183;193;203},0.95,0,0)</t>
  </si>
  <si>
    <t xml:space="preserve">_xlfn.ORG.LIBREOFFICE.FORECAST.ETS.MULT({60.5},{33.5;37;40.19;46.74;50.6;55;56.99;62;64;68.15},{3;8;13;23;28;33;38;43;48;53},6,1)</t>
  </si>
  <si>
    <t xml:space="preserve">_xlfn.FORECAST.ETS.STAT({33.5;37;40.19;46.74;50.6;55;56.99;62;64;68.15},{3;8;13;23;28;33;38;43;48;53},{2},6,1)</t>
  </si>
  <si>
    <t xml:space="preserve">_xlfn.FORECAST.ETS.SEASONALITY({33.5;37;40.19;46.74;50.6;55;56.99;62;64;68.15},{3;8;13;23;28;33;38;43;48;53},0)</t>
  </si>
  <si>
    <t xml:space="preserve">_xlfn.ORG.LIBREOFFICE.FORECAST.ETS.PI.MULT({58;63;68},{33.5;37;40.19;46.74;50.6;55;56.99;62;64;68.15},{3;8;13;23;28;33;38;43;48;53},0.95,0,0)</t>
  </si>
  <si>
    <t xml:space="preserve">_xlfn.ORG.LIBREOFFICE.FORECAST.ETS.MULT({45593;45518;45488},{28.1;29;27.77;25.44;25.5;38;40.4;41;37;37.05;49.84;51.48;51;47.66;49.2;63;63.82;63;59.6;58.27},{44895;44926;44957;44985;45016;45046;45077;45107;45138;45169;45199;45230;45260;45291;45322;45351;45382;45412;45443;45473})</t>
  </si>
  <si>
    <t xml:space="preserve">_xlfn.FORECAST.ETS.STAT({28.1;29;27.77;25.44;25.5;38;40.4;41;37;37.05;49.84;51.48;51;47.66;49.2;63;63.82;63;59.6;58.27},{44895;44926;44957;44985;45016;45046;45077;45107;45138;45169;45199;45230;45260;45291;45322;45351;45382;45412;45443;45473},{4})</t>
  </si>
  <si>
    <t xml:space="preserve">_xlfn.FORECAST.ETS.SEASONALITY({28.1;29;27.77;25.44;25.5;38;40.4;41;37;37.05;49.84;51.48;51;47.66;49.2;63;63.82;63;59.6;58.27},{44895;44926;44957;44985;45016;45046;45077;45107;45138;45169;45199;45230;45260;45291;45322;45351;45382;45412;45443;45473},0,3)</t>
  </si>
  <si>
    <t xml:space="preserve">_xlfn.FORECAST.ETS({9},{8;12.39;14.3;19;24;30;32.05;36.39;41.5;48;51;55.22;58.74;65.26},{1;1.5;2;2.5;3;3.5;4;4.5;5;5.5;6;6.5;7;7.5})</t>
  </si>
  <si>
    <t xml:space="preserve">_xlfn.FORECAST.ETS.STAT({8;12.39;14.3;19;24;30;32.05;36.39;41.5;48;51;55.22;58.74;65.26},{1;1.5;2;2.5;3;3.5;4;4.5;5;5.5;6;6.5;7;7.5},{7;2})</t>
  </si>
  <si>
    <t xml:space="preserve">_xlfn.FORECAST.ETS.SEASONALITY({8;12.39;14.3;19;24;30;32.05;36.39;41.5;48;51;55.22;58.74;65.26},{1;1.5;2;2.5;3;3.5;4;4.5;5;5.5;6;6.5;7;7.5})</t>
  </si>
  <si>
    <t xml:space="preserve">_xlfn.ORG.LIBREOFFICE.FORECAST.ETS.MULT(8.5,{19.96;18.56;35;38.8;39.89;43;46;43;58.66;64;65.33;68.38;71;70.1;83.9;89.49;92.7;92.9},{1;1.5;2;2.5;3;3.5;4;4.5;5;5.5;6;6.5;7;7.5;8;8.5;9;9.5},6,1)</t>
  </si>
  <si>
    <t xml:space="preserve">_xlfn.FORECAST.ETS.STAT({19.96;18.56;35;38.8;39.89;43;46;43;58.66;64;65.33;68.38;71;70.1;83.9;89.49;92.7;92.9},{1;1.5;2;2.5;3;3.5;4;4.5;5;5.5;6;6.5;7;7.5;8;8.5;9;9.5},{1;7;2;3;5;9;8;6;4},6,1)</t>
  </si>
  <si>
    <t xml:space="preserve">_xlfn.FORECAST.ETS.SEASONALITY({19.96;18.56;35;38.8;39.89;43;46;43;58.66;64;65.33;68.38;71;70.1;83.9;89.49;92.7;92.9},{1;1.5;2;2.5;3;3.5;4;4.5;5;5.5;6;6.5;7;7.5;8;8.5;9;9.5},1,5)</t>
  </si>
  <si>
    <t xml:space="preserve">_xlfn.ORG.LIBREOFFICE.FORECAST.ETS.MULT({10.5;12},{49;37;33.7;40;24.4;45.5;43.2;32.15;27.17;33.5;38.16},{1;2;3;4;4;5;6;7;8;9;10},1,0,7)</t>
  </si>
  <si>
    <t xml:space="preserve">_xlfn.FORECAST.ETS.STAT({49;37;33.7;40;24.4;45.5;43.2;32.15;27.17;33.5;38.16},{1;2;3;4;4;5;6;7;8;9;10},{8;1},1,0,7)</t>
  </si>
  <si>
    <t xml:space="preserve">_xlfn.FORECAST.ETS.SEASONALITY({49;37;33.7;40;24.4;45.5;43.2;32.15;27.17;33.5;38.16},{1;2;3;4;4;5;6;7;8;9;10},1)</t>
  </si>
  <si>
    <t xml:space="preserve">_xlfn.FORECAST.ETS({4.5},{93;28.4;67;33;2;63.2},{1.5;2;2.5;1;3;3.5})</t>
  </si>
  <si>
    <t xml:space="preserve">_xlfn.ORG.LIBREOFFICE.FORECAST.ETS.STAT.MULT({93;28.4;67;33;2;63.2},{1.5;2;2.5;1;3;3.5},{6})</t>
  </si>
  <si>
    <t xml:space="preserve">_xlfn.FORECAST.ETS.SEASONALITY({93;28.4;67;33;2;63.2},{1.5;2;2.5;1;3;3.5},0,4)</t>
  </si>
  <si>
    <t xml:space="preserve">_xlfn.FORECAST.ETS.CONFINT(5,{93;28.4;67;33;2;63.2},{1.5;2;2.5;1;3;3.5},1,0)</t>
  </si>
  <si>
    <t xml:space="preserve">_xlfn.ORG.LIBREOFFICE.FORECAST.ETS.MULT({45018;45019;45018},{25;24.15;23;20.31;21.11;17;15;15;11;9.27;9;6;3.6;2;3;0},{45000;45001;45002;45003;45004;45005;45007;45008;45009;45010;45011;45012;45013;45014;45015;45016},3)</t>
  </si>
  <si>
    <t xml:space="preserve">_xlfn.FORECAST.ETS.STAT({25;24.15;23;20.31;21.11;17;15;15;11;9.27;9;6;3.6;2;3;0},{45000;45001;45002;45003;45004;45005;45007;45008;45009;45010;45011;45012;45013;45014;45015;45016},{4;8},3)</t>
  </si>
  <si>
    <t xml:space="preserve">_xlfn.FORECAST.ETS.SEASONALITY({25;24.15;23;20.31;21.11;17;15;15;11;9.27;9;6;3.6;2;3;0},{45000;45001;45002;45003;45004;45005;45007;45008;45009;45010;45011;45012;45013;45014;45015;45016},0,7)</t>
  </si>
  <si>
    <t xml:space="preserve">_xlfn.ORG.LIBREOFFICE.FORECAST.ETS.MULT({14;15;12.5},{38.3;36.7;41;36.6;35.1;36.3;33.28;38.51;33.81;33.93;37.3},{1;2;3;4;5;7;8;9;10;11;12})</t>
  </si>
  <si>
    <t xml:space="preserve">_xlfn.ORG.LIBREOFFICE.FORECAST.ETS.STAT.MULT({38.3;36.7;41;36.6;35.1;36.3;33.28;38.51;33.81;33.93;37.3},{1;2;3;4;5;7;8;9;10;11;12},{8})</t>
  </si>
  <si>
    <t xml:space="preserve">_xlfn.FORECAST.ETS.SEASONALITY({38.3;36.7;41;36.6;35.1;36.3;33.28;38.51;33.81;33.93;37.3},{1;2;3;4;5;7;8;9;10;11;12},1)</t>
  </si>
  <si>
    <t xml:space="preserve">_xlfn.FORECAST.ETS({6.75},{49;37;59.59;51.4;69.7;72.9;61;78.2;85;72;91.8},{1;1.5;2.5;3;3.5;4;4.5;5;5.5;6;6.5},1,1)</t>
  </si>
  <si>
    <t xml:space="preserve">_xlfn.FORECAST.ETS.STAT({49;37;59.59;51.4;69.7;72.9;61;78.2;85;72;91.8},{1;1.5;2.5;3;3.5;4;4.5;5;5.5;6;6.5},{8;5;3;4;7;1;9;2;6},1,1)</t>
  </si>
  <si>
    <t xml:space="preserve">_xlfn.FORECAST.ETS.SEASONALITY({49;37;59.59;51.4;69.7;72.9;61;78.2;85;72;91.8},{1;1.5;2.5;3;3.5;4;4.5;5;5.5;6;6.5})</t>
  </si>
  <si>
    <t xml:space="preserve">_xlfn.FORECAST.ETS(5.5,{46;45.5;46;46;45.5;46;46;45.5;45.5;46;45.5;45.5;46;45.5;45.5;45.5;46},{1;1.5;2;2.5;3;3.5;4;4.5;5;5.5;6;6.5;7;7.5;8;8.5;9},7,1)</t>
  </si>
  <si>
    <t xml:space="preserve">_xlfn.ORG.LIBREOFFICE.FORECAST.ETS.STAT.MULT({46;45.5;46;46;45.5;46;46;45.5;45.5;46;45.5;45.5;46;45.5;45.5;45.5;46},{1;1.5;2;2.5;3;3.5;4;4.5;5;5.5;6;6.5;7;7.5;8;8.5;9},{5;8},7,1)</t>
  </si>
  <si>
    <t xml:space="preserve">_xlfn.FORECAST.ETS.SEASONALITY({46;45.5;46;46;45.5;46;46;45.5;45.5;46;45.5;45.5;46;45.5;45.5;45.5;46},{1;1.5;2;2.5;3;3.5;4;4.5;5;5.5;6;6.5;7;7.5;8;8.5;9},1,1)</t>
  </si>
  <si>
    <t xml:space="preserve">_xlfn.ORG.LIBREOFFICE.FORECAST.ETS.MULT({11,8.5,8.5},{45.75;44.9;47;46.63;46.3;46;47},{1;2;3;4;5;6;7},6,1,6)</t>
  </si>
  <si>
    <t xml:space="preserve">_xlfn.FORECAST.ETS.STAT({45.75;44.9;47;46.63;46.3;46;47},{1;2;3;4;5;6;7},{9;7},6,1,6)</t>
  </si>
  <si>
    <t xml:space="preserve">_xlfn.FORECAST.ETS.SEASONALITY({45.75;44.9;47;46.63;46.3;46;47},{1;2;3;4;5;6;7},1)</t>
  </si>
  <si>
    <t xml:space="preserve">_xlfn.FORECAST.ETS({52},{15;32.7;81;31;19;37.67;67.1;40.8;98.73;42;51;63.5;85;49.3;88;96.2;84.49;83.4;70;59.9;98.8;36;33.2;24.1},{3;5;7;9;11;13;15;17;19;21;23;25;27;29;31;33;35;37;39;41;43;45;47;49})</t>
  </si>
  <si>
    <t xml:space="preserve">_xlfn.ORG.LIBREOFFICE.FORECAST.ETS.STAT.MULT({15;32.7;81;31;19;37.67;67.1;40.8;98.73;42;51;63.5;85;49.3;88;96.2;84.49;83.4;70;59.9;98.8;36;33.2;24.1},{3;5;7;9;11;13;15;17;19;21;23;25;27;29;31;33;35;37;39;41;43;45;47;49},{1;4;3;7;8;6;5;9;2})</t>
  </si>
  <si>
    <t xml:space="preserve">_xlfn.FORECAST.ETS.SEASONALITY({15;32.7;81;31;19;37.67;67.1;40.8;98.73;42;51;63.5;85;49.3;88;96.2;84.49;83.4;70;59.9;98.8;36;33.2;24.1},{3;5;7;9;11;13;15;17;19;21;23;25;27;29;31;33;35;37;39;41;43;45;47;49},0)</t>
  </si>
  <si>
    <t xml:space="preserve">_xlfn.FORECAST.ETS.CONFINT({51;53;55},{15;32.7;81;31;19;37.67;67.1;40.8;98.73;42;51;63.5;85;49.3;88;96.2;84.49;83.4;70;59.9;98.8;36;33.2;24.1},{3;5;7;9;11;13;15;17;19;21;23;25;27;29;31;33;35;37;39;41;43;45;47;49},1,0,1)</t>
  </si>
  <si>
    <t xml:space="preserve">_xlfn.ORG.LIBREOFFICE.FORECAST.ETS.MULT({43,41},{6;14;18;26;23.4;22.46;28.3;33.87;37.95;45.48;45.04;43.2;47;54;56;63.96;62.8;63.44},{3;5;7;9;11;13;15;17;19;21;23;25;27;29;31;33;35;37},6,,7)</t>
  </si>
  <si>
    <t xml:space="preserve">_xlfn.ORG.LIBREOFFICE.FORECAST.ETS.STAT.MULT({6;14;18;26;23.4;22.46;28.3;33.87;37.95;45.48;45.04;43.2;47;54;56;63.96;62.8;63.44},{3;5;7;9;11;13;15;17;19;21;23;25;27;29;31;33;35;37},{3;9},6,,7)</t>
  </si>
  <si>
    <t xml:space="preserve">_xlfn.FORECAST.ETS.SEASONALITY({6;14;18;26;23.4;22.46;28.3;33.87;37.95;45.48;45.04;43.2;47;54;56;63.96;62.8;63.44},{3;5;7;9;11;13;15;17;19;21;23;25;27;29;31;33;35;37},0,3)</t>
  </si>
  <si>
    <t xml:space="preserve">_xlfn.ORG.LIBREOFFICE.FORECAST.ETS.MULT(4.25,{21;21.9;23.5;24;16.08;20;21;23.1;23.9;15.5},{1;1.5;2;2.5;3;3.5;4;4.5;5;5.5},5,1,4)</t>
  </si>
  <si>
    <t xml:space="preserve">_xlfn.FORECAST.ETS.STAT({21;21.9;23.5;24;16.08;20;21;23.1;23.9;15.5},{1;1.5;2;2.5;3;3.5;4;4.5;5;5.5},{1;8;2;4;5;7;3;6;9},5,1,4)</t>
  </si>
  <si>
    <t xml:space="preserve">_xlfn.FORECAST.ETS.SEASONALITY({21;21.9;23.5;24;16.08;20;21;23.1;23.9;15.5},{1;1.5;2;2.5;3;3.5;4;4.5;5;5.5},0)</t>
  </si>
  <si>
    <t xml:space="preserve">_xlfn.FORECAST.ETS({73,87,87},{19.8;25.9;29;35.3;38.7;44;48.96;55.16;59.56;65.75},{3;10;17;24;31;38;45;52;59;66})</t>
  </si>
  <si>
    <t xml:space="preserve">_xlfn.FORECAST.ETS.STAT({19.8;25.9;29;35.3;38.7;44;48.96;55.16;59.56;65.75},{3;10;17;24;31;38;45;52;59;66},{7})</t>
  </si>
  <si>
    <t xml:space="preserve">_xlfn.FORECAST.ETS.SEASONALITY({19.8;25.9;29;35.3;38.7;44;48.96;55.16;59.56;65.75},{3;10;17;24;31;38;45;52;59;66},1,3)</t>
  </si>
  <si>
    <t xml:space="preserve">_xlfn.ORG.LIBREOFFICE.FORECAST.ETS.MULT(45021,{19.55;20;19.6;19.6;19.6;19.55;19.55;20;20;20;19.6;19.55;19.55;20;20;19.6;20;20},{45000;45001;45002;45003;45004;45005;45006;45007;45008;45009;45010;45011;45012;45013;45014;45015;45016;45017},2,1,6)</t>
  </si>
  <si>
    <t xml:space="preserve">_xlfn.FORECAST.ETS.STAT({19.55;20;19.6;19.6;19.6;19.55;19.55;20;20;20;19.6;19.55;19.55;20;20;19.6;20;20},{45000;45001;45002;45003;45004;45005;45006;45007;45008;45009;45010;45011;45012;45013;45014;45015;45016;45017},{7},2,1,6)</t>
  </si>
  <si>
    <t xml:space="preserve">_xlfn.FORECAST.ETS.SEASONALITY({19.55;20;19.6;19.6;19.6;19.55;19.55;20;20;20;19.6;19.55;19.55;20;20;19.6;20;20},{45000;45001;45002;45003;45004;45005;45006;45007;45008;45009;45010;45011;45012;45013;45014;45015;45016;45017},0)</t>
  </si>
  <si>
    <t xml:space="preserve">_xlfn.FORECAST.ETS.CONFINT({45018;45019;45020},{19.55;20;19.6;19.6;19.6;19.55;19.55;20;20;20;19.6;19.55;19.55;20;20;19.6;20;20},{45000;45001;45002;45003;45004;45005;45006;45007;45008;45009;45010;45011;45012;45013;45014;45015;45016;45017},0.9,0,1,5)</t>
  </si>
  <si>
    <t xml:space="preserve">_xlfn.FORECAST.ETS(45199,{47;47;46.6;46.6;46.6;46.6;47;47;47;46.6;47;47;47;46.6;46.6;46.6;46.6;47;46.6;47;46.6;47;46.6},{44804;44834;44865;44895;44926;44957;44985;45016;45046;45077;45107;45138;45169;45199;45230;45260;45291;45322;45351;45382;45412;45443;45473},1,1,2)</t>
  </si>
  <si>
    <t xml:space="preserve">_xlfn.ORG.LIBREOFFICE.FORECAST.ETS.STAT.MULT({47;47;46.6;46.6;46.6;46.6;47;47;47;46.6;47;47;47;46.6;46.6;46.6;46.6;47;46.6;47;46.6;47;46.6},{44804;44834;44865;44895;44926;44957;44985;45016;45046;45077;45107;45138;45169;45199;45230;45260;45291;45322;45351;45382;45412;45443;45473},{9;6;3;5;2;8;7;4;1},1,1,2)</t>
  </si>
  <si>
    <t xml:space="preserve">_xlfn.FORECAST.ETS.SEASONALITY({47;47;46.6;46.6;46.6;46.6;47;47;47;46.6;47;47;47;46.6;46.6;46.6;46.6;47;46.6;47;46.6;47;46.6},{44804;44834;44865;44895;44926;44957;44985;45016;45046;45077;45107;45138;45169;45199;45230;45260;45291;45322;45351;45382;45412;45443;45473})</t>
  </si>
  <si>
    <t xml:space="preserve">_xlfn.FORECAST.ETS({171},{87;32.64;36.23;56;78.52;27.67;18;4.8;7;65;95.07;2;55.3;50.23;36.5;31;6.73;56.51;70.15;1.7;87.3},{3;10;17;24;31;38;45;52;59;66;73;80;87;94;101;108;115;122;129;136;143},6,0,6)</t>
  </si>
  <si>
    <t xml:space="preserve">_xlfn.FORECAST.ETS.STAT({87;32.64;36.23;56;78.52;27.67;18;4.8;7;65;95.07;2;55.3;50.23;36.5;31;6.73;56.51;70.15;1.7;87.3},{3;10;17;24;31;38;45;52;59;66;73;80;87;94;101;108;115;122;129;136;143},{6;3},6,0,6)</t>
  </si>
  <si>
    <t xml:space="preserve">_xlfn.FORECAST.ETS.SEASONALITY({87;32.64;36.23;56;78.52;27.67;18;4.8;7;65;95.07;2;55.3;50.23;36.5;31;6.73;56.51;70.15;1.7;87.3},{3;10;17;24;31;38;45;52;59;66;73;80;87;94;101;108;115;122;129;136;143},0)</t>
  </si>
  <si>
    <t xml:space="preserve">_xlfn.ORG.LIBREOFFICE.FORECAST.ETS.PI.MULT({150;157;164},{87;32.64;36.23;56;78.52;27.67;18;4.8;7;65;95.07;2;55.3;50.23;36.5;31;6.73;56.51;70.15;1.7;87.3},{3;10;17;24;31;38;45;52;59;66;73;80;87;94;101;108;115;122;129;136;143},,0,1,3)</t>
  </si>
  <si>
    <t xml:space="preserve">_xlfn.FORECAST.ETS({7.5},{14;6.3;18.75;19.52;24.2;28.2;28},{1;1;2;3;4;5;6},0,,3)</t>
  </si>
  <si>
    <t xml:space="preserve">_xlfn.FORECAST.ETS.STAT({14;6.3;18.75;19.52;24.2;28.2;28},{1;1;2;3;4;5;6},{1;6;8;5;7;4;3;9;2},0,,3)</t>
  </si>
  <si>
    <t xml:space="preserve">_xlfn.FORECAST.ETS.SEASONALITY({14;6.3;18.75;19.52;24.2;28.2;28},{1;1;2;3;4;5;6},1,5)</t>
  </si>
  <si>
    <t xml:space="preserve">_xlfn.ORG.LIBREOFFICE.FORECAST.ETS.PI.MULT(9,{14;6.3;18.75;19.52;24.2;28.2;28},{1;1;2;3;4;5;6},0,0,0)</t>
  </si>
  <si>
    <t xml:space="preserve">_xlfn.ORG.LIBREOFFICE.FORECAST.ETS.MULT(248,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0,,2)</t>
  </si>
  <si>
    <t xml:space="preserve">_xlfn.ORG.LIBREOFFICE.FORECAST.ETS.STAT.MULT(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{7;9;2;6;8;5;1;4;3},0,,2)</t>
  </si>
  <si>
    <t xml:space="preserve">_xlfn.FORECAST.ETS.SEASONALITY(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0)</t>
  </si>
  <si>
    <t xml:space="preserve">_xlfn.FORECAST.ETS({44742,44802,44757},{22;21.83;21.83;21.8},{44620;44651;44681;44712},1,0,3)</t>
  </si>
  <si>
    <t xml:space="preserve">_xlfn.ORG.LIBREOFFICE.FORECAST.ETS.STAT.MULT({22;21.83;21.83;21.8},{44620;44651;44681;44712},{5;9},1,0,3)</t>
  </si>
  <si>
    <t xml:space="preserve">_xlfn.FORECAST.ETS.SEASONALITY({22;21.83;21.83;21.8},{44620;44651;44681;44712},1)</t>
  </si>
  <si>
    <t xml:space="preserve">_xlfn.FORECAST.ETS(45455,{17.8;17;20.77;16.2;24.5;20.94;20.5;24.54;17.1;29.32;25.7;26;29;22;34.68;30.6;28.67;34.7;23;38.9;35.8;34.2;39.29;28;44.28},{44709;44740;44770;44801;44832;44862;44893;44923;44954;44985;45013;45044;45074;45105;45135;45166;45197;45227;45258;45288;45319;45350;45379;45410;45440},1,,2)</t>
  </si>
  <si>
    <t xml:space="preserve">_xlfn.FORECAST.ETS.STAT({17.8;17;20.77;16.2;24.5;20.94;20.5;24.54;17.1;29.32;25.7;26;29;22;34.68;30.6;28.67;34.7;23;38.9;35.8;34.2;39.29;28;44.28},{44709;44740;44770;44801;44832;44862;44893;44923;44954;44985;45013;45044;45074;45105;45135;45166;45197;45227;45258;45288;45319;45350;45379;45410;45440},{1},1,,2)</t>
  </si>
  <si>
    <t xml:space="preserve">_xlfn.FORECAST.ETS.SEASONALITY({17.8;17;20.77;16.2;24.5;20.94;20.5;24.54;17.1;29.32;25.7;26;29;22;34.68;30.6;28.67;34.7;23;38.9;35.8;34.2;39.29;28;44.28},{44709;44740;44770;44801;44832;44862;44893;44923;44954;44985;45013;45044;45074;45105;45135;45166;45197;45227;45258;45288;45319;45350;45379;45410;45440})</t>
  </si>
  <si>
    <t xml:space="preserve">_xlfn.ORG.LIBREOFFICE.FORECAST.ETS.MULT(3,{26;48.2;25.92;26;25.92},{1;1;1.5;2;2.5},6,0)</t>
  </si>
  <si>
    <t xml:space="preserve">_xlfn.FORECAST.ETS.STAT({26;48.2;25.92;26;25.92},{1;1;1.5;2;2.5},{5;4},6,0)</t>
  </si>
  <si>
    <t xml:space="preserve">_xlfn.FORECAST.ETS.SEASONALITY({26;48.2;25.92;26;25.92},{1;1;1.5;2;2.5},1)</t>
  </si>
  <si>
    <t xml:space="preserve">_xlfn.FORECAST.ETS(9.5,{49;33.58;55;28.92;28.5;45;34;30;31;29;52;25.2},{9;1;3;5;8;12;4;7;2;10;6;11},4)</t>
  </si>
  <si>
    <t xml:space="preserve">_xlfn.ORG.LIBREOFFICE.FORECAST.ETS.STAT.MULT({49;33.58;55;28.92;28.5;45;34;30;31;29;52;25.2},{9;1;3;5;8;12;4;7;2;10;6;11},{9;6;5;2;1;4;7;8;3},4)</t>
  </si>
  <si>
    <t xml:space="preserve">_xlfn.FORECAST.ETS.SEASONALITY({49;33.58;55;28.92;28.5;45;34;30;31;29;52;25.2},{9;1;3;5;8;12;4;7;2;10;6;11},0,6)</t>
  </si>
  <si>
    <t xml:space="preserve">_xlfn.ORG.LIBREOFFICE.FORECAST.ETS.PI.MULT(13,{49;33.58;55;28.92;28.5;45;34;30;31;29;52;25.2},{9;1;3;5;8;12;4;7;2;10;6;11},0,0)</t>
  </si>
  <si>
    <t xml:space="preserve">_xlfn.ORG.LIBREOFFICE.FORECAST.ETS.MULT(4.5,{30;46;23;41;38.78;27.33;40.6;21;38;32.8;24.69;38.8;20.18;32.71;29.5},{1;1.5;2;2.5;3;3.5;4;4.5;5;5.5;6;6.5;7;7.5;8},2)</t>
  </si>
  <si>
    <t xml:space="preserve">_xlfn.ORG.LIBREOFFICE.FORECAST.ETS.STAT.MULT({30;46;23;41;38.78;27.33;40.6;21;38;32.8;24.69;38.8;20.18;32.71;29.5},{1;1.5;2;2.5;3;3.5;4;4.5;5;5.5;6;6.5;7;7.5;8},{4},2)</t>
  </si>
  <si>
    <t xml:space="preserve">_xlfn.FORECAST.ETS.SEASONALITY({30;46;23;41;38.78;27.33;40.6;21;38;32.8;24.69;38.8;20.18;32.71;29.5},{1;1.5;2;2.5;3;3.5;4;4.5;5;5.5;6;6.5;7;7.5;8},1,4)</t>
  </si>
  <si>
    <t xml:space="preserve">_xlfn.FORECAST.ETS.CONFINT(8.5,{30;46;23;41;38.78;27.33;40.6;21;38;32.8;24.69;38.8;20.18;32.71;29.5},{1;1.5;2;2.5;3;3.5;4;4.5;5;5.5;6;6.5;7;7.5;8},0.5,0,1,7)</t>
  </si>
  <si>
    <t xml:space="preserve">_xlfn.FORECAST.ETS({45027,45025,45024.5},{39.49;39;39;39.49;39.5;39.5;39.5;39.5;39;39.5;39.49;39.5;39.5;39.49;39;39.5;39.49;39;39.49;39.5;39;39;39;39.49},{45004;45021;45001;45009;45018;45002;45008;45011;45010;45016;45015;45007;45005;45006;45003;45012;45013;45022;45014;45023;45017;45019;45000;45020},4,0,5)</t>
  </si>
  <si>
    <t xml:space="preserve">_xlfn.FORECAST.ETS.STAT({39.49;39;39;39.49;39.5;39.5;39.5;39.5;39;39.5;39.49;39.5;39.5;39.49;39;39.5;39.49;39;39.49;39.5;39;39;39;39.49},{45004;45021;45001;45009;45018;45002;45008;45011;45010;45016;45015;45007;45005;45006;45003;45012;45013;45022;45014;45023;45017;45019;45000;45020},{5;6;4;2;9;3;7;8;1},4,0,5)</t>
  </si>
  <si>
    <t xml:space="preserve">_xlfn.FORECAST.ETS.SEASONALITY({39.49;39;39;39.49;39.5;39.5;39.5;39.5;39;39.5;39.49;39.5;39.5;39.49;39;39.5;39.49;39;39.49;39.5;39;39;39;39.49},{45004;45021;45001;45009;45018;45002;45008;45011;45010;45016;45015;45007;45005;45006;45003;45012;45013;45022;45014;45023;45017;45019;45000;45020})</t>
  </si>
  <si>
    <t xml:space="preserve">_xlfn.ORG.LIBREOFFICE.FORECAST.ETS.PI.MULT({45024;45025;45026},{39.49;39;39;39.49;39.5;39.5;39.5;39.5;39;39.5;39.49;39.5;39.5;39.49;39;39.5;39.49;39;39.49;39.5;39;39;39;39.49},{45004;45021;45001;45009;45018;45002;45008;45011;45010;45016;45015;45007;45005;45006;45003;45012;45013;45022;45014;45023;45017;45019;45000;45020},0,0)</t>
  </si>
  <si>
    <t xml:space="preserve">_xlfn.ORG.LIBREOFFICE.FORECAST.ETS.MULT({6.5,8},{47;47.08;47;47;47.1;47.1},{1;2;3;4;5;6},0)</t>
  </si>
  <si>
    <t xml:space="preserve">_xlfn.FORECAST.ETS.STAT({47;47.08;47;47;47.1;47.1},{1;2;3;4;5;6},{7},0)</t>
  </si>
  <si>
    <t xml:space="preserve">_xlfn.FORECAST.ETS.SEASONALITY({47;47.08;47;47;47.1;47.1},{1;2;3;4;5;6},1,5)</t>
  </si>
  <si>
    <t xml:space="preserve">_xlfn.FORECAST.ETS({45012},{29.4;39.27;45;35;45.5;49.73;38.24;46.2;42.72;53.28;57},{45000;45001;45002;45003;45004;45005;45006;45007;45009;45010;45011})</t>
  </si>
  <si>
    <t xml:space="preserve">_xlfn.ORG.LIBREOFFICE.FORECAST.ETS.STAT.MULT({29.4;39.27;45;35;45.5;49.73;38.24;46.2;42.72;53.28;57},{45000;45001;45002;45003;45004;45005;45006;45007;45009;45010;45011},{1;8;9;3;7;5;2;6;4})</t>
  </si>
  <si>
    <t xml:space="preserve">_xlfn.FORECAST.ETS.SEASONALITY({29.4;39.27;45;35;45.5;49.73;38.24;46.2;42.72;53.28;57},{45000;45001;45002;45003;45004;45005;45006;45007;45009;45010;45011},0,6)</t>
  </si>
  <si>
    <t xml:space="preserve">_xlfn.FORECAST.ETS(115.5,{17.6;10;16.7;13;22.7;16.8;12.99;16.7;10.3;15.96;14.61;17.2;9.9;16.37;9;16.61;13.9;18.3;12},{3;13;23;33;33;43;53;63;73;83;93;103;113;123;133;143;153;163;173},3)</t>
  </si>
  <si>
    <t xml:space="preserve">_xlfn.FORECAST.ETS.STAT({17.6;10;16.7;13;22.7;16.8;12.99;16.7;10.3;15.96;14.61;17.2;9.9;16.37;9;16.61;13.9;18.3;12},{3;13;23;33;33;43;53;63;73;83;93;103;113;123;133;143;153;163;173},{7;4},3)</t>
  </si>
  <si>
    <t xml:space="preserve">_xlfn.FORECAST.ETS.SEASONALITY({17.6;10;16.7;13;22.7;16.8;12.99;16.7;10.3;15.96;14.61;17.2;9.9;16.37;9;16.61;13.9;18.3;12},{3;13;23;33;33;43;53;63;73;83;93;103;113;123;133;143;153;163;173})</t>
  </si>
  <si>
    <t xml:space="preserve">_xlfn.FORECAST.ETS.CONFINT(203,{17.6;10;16.7;13;22.7;16.8;12.99;16.7;10.3;15.96;14.61;17.2;9.9;16.37;9;16.61;13.9;18.3;12},{3;13;23;33;33;43;53;63;73;83;93;103;113;123;133;143;153;163;173},0.95,0,1,7)</t>
  </si>
  <si>
    <t xml:space="preserve">_xlfn.FORECAST.ETS(1.5,{44.1;42;40;41;39;38.74;37.14;35.68;35.83;33.5;34.3;32.71;29.9;28.7;27.8;28.5;27;25.5;24;24;22.95},{1;2;3;4;5;6;7;8;9;10;11;12;13;14;15;16;17;18;19;21;22},7,0)</t>
  </si>
  <si>
    <t xml:space="preserve">_xlfn.FORECAST.ETS.STAT({44.1;42;40;41;39;38.74;37.14;35.68;35.83;33.5;34.3;32.71;29.9;28.7;27.8;28.5;27;25.5;24;24;22.95},{1;2;3;4;5;6;7;8;9;10;11;12;13;14;15;16;17;18;19;21;22},{2;4;5;3;6;7;1;9;8},7,0)</t>
  </si>
  <si>
    <t xml:space="preserve">_xlfn.FORECAST.ETS.SEASONALITY({44.1;42;40;41;39;38.74;37.14;35.68;35.83;33.5;34.3;32.71;29.9;28.7;27.8;28.5;27;25.5;24;24;22.95},{1;2;3;4;5;6;7;8;9;10;11;12;13;14;15;16;17;18;19;21;22})</t>
  </si>
  <si>
    <t xml:space="preserve">_xlfn.ORG.LIBREOFFICE.FORECAST.ETS.MULT(20.5,{31.03;78.07;43.78;39.66;22.42;82;54;77;68.2;69;63.73;100;33.13;42.9;35.58;7;6.1;13.6;64.33;61.8},{1;6;5;16;2;19;9;15;12;20;10;8;3;18;17;7;13;14;11;4},6,1)</t>
  </si>
  <si>
    <t xml:space="preserve">_xlfn.ORG.LIBREOFFICE.FORECAST.ETS.STAT.MULT({31.03;78.07;43.78;39.66;22.42;82;54;77;68.2;69;63.73;100;33.13;42.9;35.58;7;6.1;13.6;64.33;61.8},{1;6;5;16;2;19;9;15;12;20;10;8;3;18;17;7;13;14;11;4},{4},6,1)</t>
  </si>
  <si>
    <t xml:space="preserve">_xlfn.FORECAST.ETS.SEASONALITY({31.03;78.07;43.78;39.66;22.42;82;54;77;68.2;69;63.73;100;33.13;42.9;35.58;7;6.1;13.6;64.33;61.8},{1;6;5;16;2;19;9;15;12;20;10;8;3;18;17;7;13;14;11;4})</t>
  </si>
  <si>
    <t xml:space="preserve">_xlfn.FORECAST.ETS.CONFINT(22,{31.03;78.07;43.78;39.66;22.42;82;54;77;68.2;69;63.73;100;33.13;42.9;35.58;7;6.1;13.6;64.33;61.8},{1;6;5;16;2;19;9;15;12;20;10;8;3;18;17;7;13;14;11;4},,0,0)</t>
  </si>
  <si>
    <t xml:space="preserve">_xlfn.ORG.LIBREOFFICE.FORECAST.ETS.MULT({25.5;25.5;27},{64;54.1;61;52.1;52.3;71.59;56.56;68.3;75.92;47.6;61.7;62;44.26;80;66.59;72;53.1;82.8;69;66;73.85;61.32;54.4;75.7},{11;5;12;8;4;19;3;20;22;1;14;13;2;23;16;17;6;21;18;9;15;10;7;24},6,,6)</t>
  </si>
  <si>
    <t xml:space="preserve">_xlfn.ORG.LIBREOFFICE.FORECAST.ETS.STAT.MULT({64;54.1;61;52.1;52.3;71.59;56.56;68.3;75.92;47.6;61.7;62;44.26;80;66.59;72;53.1;82.8;69;66;73.85;61.32;54.4;75.7},{11;5;12;8;4;19;3;20;22;1;14;13;2;23;16;17;6;21;18;9;15;10;7;24},{6;5;8;2;1;4;7;3;9},6,,6)</t>
  </si>
  <si>
    <t xml:space="preserve">_xlfn.FORECAST.ETS.SEASONALITY({64;54.1;61;52.1;52.3;71.59;56.56;68.3;75.92;47.6;61.7;62;44.26;80;66.59;72;53.1;82.8;69;66;73.85;61.32;54.4;75.7},{11;5;12;8;4;19;3;20;22;1;14;13;2;23;16;17;6;21;18;9;15;10;7;24},0,7)</t>
  </si>
  <si>
    <t xml:space="preserve">_xlfn.FORECAST.ETS.CONFINT({25;26;27},{64;54.1;61;52.1;52.3;71.59;56.56;68.3;75.92;47.6;61.7;62;44.26;80;66.59;72;53.1;82.8;69;66;73.85;61.32;54.4;75.7},{11;5;12;8;4;19;3;20;22;1;14;13;2;23;16;17;6;21;18;9;15;10;7;24},0,0)</t>
  </si>
  <si>
    <t xml:space="preserve">_xlfn.ORG.LIBREOFFICE.FORECAST.ETS.MULT(5,{37;42;45;47.83;52;58.1;61.49},{1;1.5;2;2.5;3;3.5;4},6,0,2)</t>
  </si>
  <si>
    <t xml:space="preserve">_xlfn.FORECAST.ETS.STAT({37;42;45;47.83;52;58.1;61.49},{1;1.5;2;2.5;3;3.5;4},{4},6,0,2)</t>
  </si>
  <si>
    <t xml:space="preserve">_xlfn.FORECAST.ETS.SEASONALITY({37;42;45;47.83;52;58.1;61.49},{1;1.5;2;2.5;3;3.5;4})</t>
  </si>
  <si>
    <t xml:space="preserve">_xlfn.ORG.LIBREOFFICE.FORECAST.ETS.MULT({13.5;17;17},{12.61;16.28;19.3;18.9;22.98;25.17;27;26.5;30.39;32;35.3;35.34;39},{1;2;3;4;5;6;7;8;9;10;11;12;13},1,,6)</t>
  </si>
  <si>
    <t xml:space="preserve">_xlfn.FORECAST.ETS.STAT({12.61;16.28;19.3;18.9;22.98;25.17;27;26.5;30.39;32;35.3;35.34;39},{1;2;3;4;5;6;7;8;9;10;11;12;13},{2;5;6;4;9;7;1;3;8},1,,6)</t>
  </si>
  <si>
    <t xml:space="preserve">_xlfn.FORECAST.ETS.SEASONALITY({12.61;16.28;19.3;18.9;22.98;25.17;27;26.5;30.39;32;35.3;35.34;39},{1;2;3;4;5;6;7;8;9;10;11;12;13},0,6)</t>
  </si>
  <si>
    <t xml:space="preserve">_xlfn.FORECAST.ETS(45165,{25.39;28.2;27;28;25.3;26;27;24;25.4;28;26.85;25.16;26.7;27;26.29;28.1},{44832;44985;44679;45013;44801;45044;44893;44648;44954;44923;44709;44770;45105;44740;44862;45074},1,0,5)</t>
  </si>
  <si>
    <t xml:space="preserve">_xlfn.ORG.LIBREOFFICE.FORECAST.ETS.STAT.MULT({25.39;28.2;27;28;25.3;26;27;24;25.4;28;26.85;25.16;26.7;27;26.29;28.1},{44832;44985;44679;45013;44801;45044;44893;44648;44954;44923;44709;44770;45105;44740;44862;45074},{2;4},1,0,5)</t>
  </si>
  <si>
    <t xml:space="preserve">_xlfn.FORECAST.ETS.SEASONALITY({25.39;28.2;27;28;25.3;26;27;24;25.4;28;26.85;25.16;26.7;27;26.29;28.1},{44832;44985;44679;45013;44801;45044;44893;44648;44954;44923;44709;44770;45105;44740;44862;45074},1,6)</t>
  </si>
  <si>
    <t xml:space="preserve">_xlfn.ORG.LIBREOFFICE.FORECAST.ETS.MULT(45427,{57;59.03;50.36;66;59.29;68;64.4;55.7;62.8;36.97;70;55;45;73;69.54;55.15;64.84;71.99;39.1;46.88;43.81;76;72.9;82.88},{45214;44757;44849;44788;44910;45061;44941;44727;44880;44635;45275;44696;45000;44972;45122;45031;45092;45245;44819;45184;44666;45153;45306;45337},1,0,7)</t>
  </si>
  <si>
    <t xml:space="preserve">_xlfn.FORECAST.ETS.STAT({57;59.03;50.36;66;59.29;68;64.4;55.7;62.8;36.97;70;55;45;73;69.54;55.15;64.84;71.99;39.1;46.88;43.81;76;72.9;82.88},{45214;44757;44849;44788;44910;45061;44941;44727;44880;44635;45275;44696;45000;44972;45122;45031;45092;45245;44819;45184;44666;45153;45306;45337},{9},1,0,7)</t>
  </si>
  <si>
    <t xml:space="preserve">_xlfn.FORECAST.ETS.SEASONALITY({57;59.03;50.36;66;59.29;68;64.4;55.7;62.8;36.97;70;55;45;73;69.54;55.15;64.84;71.99;39.1;46.88;43.81;76;72.9;82.88},{45214;44757;44849;44788;44910;45061;44941;44727;44880;44635;45275;44696;45000;44972;45122;45031;45092;45245;44819;45184;44666;45153;45306;45337})</t>
  </si>
  <si>
    <t xml:space="preserve">_xlfn.ORG.LIBREOFFICE.FORECAST.ETS.MULT(3.5,{35;35;35.3;35.3;35.3},{1;2;3;4;5})</t>
  </si>
  <si>
    <t xml:space="preserve">_xlfn.ORG.LIBREOFFICE.FORECAST.ETS.STAT.MULT({35;35;35.3;35.3;35.3},{1;2;3;4;5},{2;3})</t>
  </si>
  <si>
    <t xml:space="preserve">_xlfn.FORECAST.ETS.SEASONALITY({35;35;35.3;35.3;35.3},{1;2;3;4;5},1,3)</t>
  </si>
  <si>
    <t xml:space="preserve">_xlfn.ORG.LIBREOFFICE.FORECAST.ETS.MULT(45015,{35.33;24;27.31;20;39.68;30;30.4;21;35.62;34.8;39;27.48;22},{45010;45003;45004;45000;45012;45006;45007;45001;45009;45008;45011;45005;45002},1,0,5)</t>
  </si>
  <si>
    <t xml:space="preserve">_xlfn.FORECAST.ETS.STAT({35.33;24;27.31;20;39.68;30;30.4;21;35.62;34.8;39;27.48;22},{45010;45003;45004;45000;45012;45006;45007;45001;45009;45008;45011;45005;45002},{9},1,0,5)</t>
  </si>
  <si>
    <t xml:space="preserve">_xlfn.FORECAST.ETS.SEASONALITY({35.33;24;27.31;20;39.68;30;30.4;21;35.62;34.8;39;27.48;22},{45010;45003;45004;45000;45012;45006;45007;45001;45009;45008;45011;45005;45002})</t>
  </si>
  <si>
    <t xml:space="preserve">_xlfn.ORG.LIBREOFFICE.FORECAST.ETS.MULT(12.5,{62;52.69;17;41.8;61.6;70;85.7;16.9;33.74;92;48;97;2.11;10;97;35.49;29.91;96.79},{1;2;3;3;4;5;6;7;8;9;10;11;12;13;14;15;16;17},3)</t>
  </si>
  <si>
    <t xml:space="preserve">_xlfn.ORG.LIBREOFFICE.FORECAST.ETS.STAT.MULT({62;52.69;17;41.8;61.6;70;85.7;16.9;33.74;92;48;97;2.11;10;97;35.49;29.91;96.79},{1;2;3;3;4;5;6;7;8;9;10;11;12;13;14;15;16;17},{5},3)</t>
  </si>
  <si>
    <t xml:space="preserve">_xlfn.FORECAST.ETS.SEASONALITY({62;52.69;17;41.8;61.6;70;85.7;16.9;33.74;92;48;97;2.11;10;97;35.49;29.91;96.79},{1;2;3;3;4;5;6;7;8;9;10;11;12;13;14;15;16;17},1,4)</t>
  </si>
  <si>
    <t xml:space="preserve">_xlfn.FORECAST.ETS(2.125,{47.5;47.5;47;47;47.5;47.5;47.47;47.47;47.47},{2;2.5;3;3.5;4.5;1;4;1.5;5},2)</t>
  </si>
  <si>
    <t xml:space="preserve">_xlfn.FORECAST.ETS.STAT({47.5;47.5;47;47;47.5;47.5;47.47;47.47;47.47},{2;2.5;3;3.5;4.5;1;4;1.5;5},{8;5;1;4;3;2;9;6;7},2)</t>
  </si>
  <si>
    <t xml:space="preserve">_xlfn.FORECAST.ETS.SEASONALITY({47.5;47.5;47;47;47.5;47.5;47.47;47.47;47.47},{2;2.5;3;3.5;4.5;1;4;1.5;5})</t>
  </si>
  <si>
    <t xml:space="preserve">_xlfn.ORG.LIBREOFFICE.FORECAST.ETS.MULT({45336},{52.41;61.8;43.7;39.3;37.72;45;62;68.3;49.5;44;41.4;53.26;68.62;78;58;51.5;46.2;57.18},{44773;44804;44834;44865;44895;44926;44957;44985;45016;45046;45077;45107;45138;45169;45199;45230;45260;45291},1,1,3)</t>
  </si>
  <si>
    <t xml:space="preserve">_xlfn.ORG.LIBREOFFICE.FORECAST.ETS.STAT.MULT({52.41;61.8;43.7;39.3;37.72;45;62;68.3;49.5;44;41.4;53.26;68.62;78;58;51.5;46.2;57.18},{44773;44804;44834;44865;44895;44926;44957;44985;45016;45046;45077;45107;45138;45169;45199;45230;45260;45291},{8},1,1,3)</t>
  </si>
  <si>
    <t xml:space="preserve">_xlfn.FORECAST.ETS.SEASONALITY({52.41;61.8;43.7;39.3;37.72;45;62;68.3;49.5;44;41.4;53.26;68.62;78;58;51.5;46.2;57.18},{44773;44804;44834;44865;44895;44926;44957;44985;45016;45046;45077;45107;45138;45169;45199;45230;45260;45291})</t>
  </si>
  <si>
    <t xml:space="preserve">_xlfn.ORG.LIBREOFFICE.FORECAST.ETS.MULT({12.75},{74;62.07;76.6;98.09;52.4;13.85;71.3;34.78;76;7;90.7;59.5;10;66.67;13.71;76.21;74;94.9;37;51;87.43;60.88},{1;1.5;2;2.5;3;3.5;4;4.5;5;5.5;6;6.5;7;8;8.5;9;9.5;10;10.5;11;11.5;12},1,0)</t>
  </si>
  <si>
    <t xml:space="preserve">_xlfn.FORECAST.ETS.STAT({74;62.07;76.6;98.09;52.4;13.85;71.3;34.78;76;7;90.7;59.5;10;66.67;13.71;76.21;74;94.9;37;51;87.43;60.88},{1;1.5;2;2.5;3;3.5;4;4.5;5;5.5;6;6.5;7;8;8.5;9;9.5;10;10.5;11;11.5;12},{9;2;1;7;6;8;4;5;3},1,0)</t>
  </si>
  <si>
    <t xml:space="preserve">_xlfn.FORECAST.ETS.SEASONALITY({74;62.07;76.6;98.09;52.4;13.85;71.3;34.78;76;7;90.7;59.5;10;66.67;13.71;76.21;74;94.9;37;51;87.43;60.88},{1;1.5;2;2.5;3;3.5;4;4.5;5;5.5;6;6.5;7;8;8.5;9;9.5;10;10.5;11;11.5;12},1)</t>
  </si>
  <si>
    <t xml:space="preserve">_xlfn.FORECAST.ETS(9,{20.31;3;28.5;9.91;59;53;40;68;89.6;44;22;75.4;33;30;58.9},{1.5;4.5;3.5;2.5;2;7;6;4;6.5;3;7.5;5.5;8;5;1})</t>
  </si>
  <si>
    <t xml:space="preserve">_xlfn.FORECAST.ETS.STAT({20.31;3;28.5;9.91;59;53;40;68;89.6;44;22;75.4;33;30;58.9},{1.5;4.5;3.5;2.5;2;7;6;4;6.5;3;7.5;5.5;8;5;1},{5})</t>
  </si>
  <si>
    <t xml:space="preserve">_xlfn.FORECAST.ETS.SEASONALITY({20.31;3;28.5;9.91;59;53;40;68;89.6;44;22;75.4;33;30;58.9},{1.5;4.5;3.5;2.5;2;7;6;4;6.5;3;7.5;5.5;8;5;1})</t>
  </si>
  <si>
    <t xml:space="preserve">_xlfn.ORG.LIBREOFFICE.FORECAST.ETS.MULT({44986},{25.9;2.1;32.39;46.45;32.21;40;47;62;41},{44712;44712;44742;44773;44804;44834;44865;44895;44926},1)</t>
  </si>
  <si>
    <t xml:space="preserve">_xlfn.FORECAST.ETS.STAT({25.9;2.1;32.39;46.45;32.21;40;47;62;41},{44712;44712;44742;44773;44804;44834;44865;44895;44926},{7;4;3;6;9;1;2;5;8},1)</t>
  </si>
  <si>
    <t xml:space="preserve">_xlfn.FORECAST.ETS.SEASONALITY({25.9;2.1;32.39;46.45;32.21;40;47;62;41},{44712;44712;44742;44773;44804;44834;44865;44895;44926})</t>
  </si>
  <si>
    <t xml:space="preserve">_xlfn.FORECAST.ETS({173;173},{12.7;12;4.3;14.7;14.7;15.3;15;15.2;17.4;16.12;17.5;19;19.1;18.3;19;20.67},{3;13;13;23;33;43;53;63;73;83;93;103;113;123;133;143},3,0)</t>
  </si>
  <si>
    <t xml:space="preserve">_xlfn.FORECAST.ETS.STAT({12.7;12;4.3;14.7;14.7;15.3;15;15.2;17.4;16.12;17.5;19;19.1;18.3;19;20.67},{3;13;13;23;33;43;53;63;73;83;93;103;113;123;133;143},{3;9},3,0)</t>
  </si>
  <si>
    <t xml:space="preserve">_xlfn.FORECAST.ETS.SEASONALITY({12.7;12;4.3;14.7;14.7;15.3;15;15.2;17.4;16.12;17.5;19;19.1;18.3;19;20.67},{3;13;13;23;33;43;53;63;73;83;93;103;113;123;133;143})</t>
  </si>
  <si>
    <t xml:space="preserve">_xlfn.ORG.LIBREOFFICE.FORECAST.ETS.PI.MULT({153;163;173},{12.7;12;4.3;14.7;14.7;15.3;15;15.2;17.4;16.12;17.5;19;19.1;18.3;19;20.67},{3;13;13;23;33;43;53;63;73;83;93;103;113;123;133;143},0,0,1,2)</t>
  </si>
  <si>
    <t xml:space="preserve">_xlfn.FORECAST.ETS({22;22;24},{58.53;9.1;47.19;11.1;82.6;61.7;35.6;64.18;90;64.6;62;93.72;19.23;58.68;54.94;16.7;13.43;88.16;91.63;27.4;49.74},{1;2;3;4;5;6;7;8;9;10;11;12;13;14;15;16;17;18;19;20;21},1,0,2)</t>
  </si>
  <si>
    <t xml:space="preserve">_xlfn.ORG.LIBREOFFICE.FORECAST.ETS.STAT.MULT({58.53;9.1;47.19;11.1;82.6;61.7;35.6;64.18;90;64.6;62;93.72;19.23;58.68;54.94;16.7;13.43;88.16;91.63;27.4;49.74},{1;2;3;4;5;6;7;8;9;10;11;12;13;14;15;16;17;18;19;20;21},{9;6},1,0,2)</t>
  </si>
  <si>
    <t xml:space="preserve">_xlfn.FORECAST.ETS.SEASONALITY({58.53;9.1;47.19;11.1;82.6;61.7;35.6;64.18;90;64.6;62;93.72;19.23;58.68;54.94;16.7;13.43;88.16;91.63;27.4;49.74},{1;2;3;4;5;6;7;8;9;10;11;12;13;14;15;16;17;18;19;20;21},0)</t>
  </si>
  <si>
    <t xml:space="preserve">_xlfn.ORG.LIBREOFFICE.FORECAST.ETS.MULT({45026},{18.36;16.7;17;16.81;16.4;14;15;13.6;14;14;11.82;12;12.23;9.87;11.3;8.6;8.38;9;7.89;7.1;5.7;5.71;38.3;5},{45000;45001;45002;45003;45004;45005;45006;45007;45008;45009;45010;45011;45012;45013;45014;45015;45016;45017;45018;45019;45020;45021;45021;45022},7,1,4)</t>
  </si>
  <si>
    <t xml:space="preserve">_xlfn.FORECAST.ETS.STAT({18.36;16.7;17;16.81;16.4;14;15;13.6;14;14;11.82;12;12.23;9.87;11.3;8.6;8.38;9;7.89;7.1;5.7;5.71;38.3;5},{45000;45001;45002;45003;45004;45005;45006;45007;45008;45009;45010;45011;45012;45013;45014;45015;45016;45017;45018;45019;45020;45021;45021;45022},{1;4;5;7;9;8;2;6;3},7,1,4)</t>
  </si>
  <si>
    <t xml:space="preserve">_xlfn.FORECAST.ETS.SEASONALITY({18.36;16.7;17;16.81;16.4;14;15;13.6;14;14;11.82;12;12.23;9.87;11.3;8.6;8.38;9;7.89;7.1;5.7;5.71;38.3;5},{45000;45001;45002;45003;45004;45005;45006;45007;45008;45009;45010;45011;45012;45013;45014;45015;45016;45017;45018;45019;45020;45021;45021;45022})</t>
  </si>
  <si>
    <t xml:space="preserve">_xlfn.FORECAST.ETS.CONFINT(45025,{18.36;16.7;17;16.81;16.4;14;15;13.6;14;14;11.82;12;12.23;9.87;11.3;8.6;8.38;9;7.89;7.1;5.7;5.71;38.3;5},{45000;45001;45002;45003;45004;45005;45006;45007;45008;45009;45010;45011;45012;45013;45014;45015;45016;45017;45018;45019;45020;45021;45021;45022},0.95,0,1,4)</t>
  </si>
  <si>
    <t xml:space="preserve">_xlfn.FORECAST.ETS(45012.5,{42;31;44;42.2;51;39.6;53.46;52.4;58.5;49.6;60.34;61},{45000;45001;45002;45003;45004;45005;45006;45007;45008;45009;45010;45011},1,,6)</t>
  </si>
  <si>
    <t xml:space="preserve">_xlfn.ORG.LIBREOFFICE.FORECAST.ETS.STAT.MULT({42;31;44;42.2;51;39.6;53.46;52.4;58.5;49.6;60.34;61},{45000;45001;45002;45003;45004;45005;45006;45007;45008;45009;45010;45011},{1;7;9;2;5;6;4;3;8},1,,6)</t>
  </si>
  <si>
    <t xml:space="preserve">_xlfn.FORECAST.ETS.SEASONALITY({42;31;44;42.2;51;39.6;53.46;52.4;58.5;49.6;60.34;61},{45000;45001;45002;45003;45004;45005;45006;45007;45008;45009;45010;45011},0,6)</t>
  </si>
  <si>
    <t xml:space="preserve">_xlfn.ORG.LIBREOFFICE.FORECAST.ETS.MULT({25},{35.09;35.9;36.13;35.7;36.83;38.6;39;38;39.7;41;39;40;40.5;40.9;43;43.37;42.9;44.26;42.55;43;45.5},{1;2;3;4;5;6;7;8;9;10;11;12;13;14;15;16;17;18;19;20;21})</t>
  </si>
  <si>
    <t xml:space="preserve">_xlfn.FORECAST.ETS.STAT({35.09;35.9;36.13;35.7;36.83;38.6;39;38;39.7;41;39;40;40.5;40.9;43;43.37;42.9;44.26;42.55;43;45.5},{1;2;3;4;5;6;7;8;9;10;11;12;13;14;15;16;17;18;19;20;21},{5;6;1;7;2;9;4;8;3})</t>
  </si>
  <si>
    <t xml:space="preserve">_xlfn.FORECAST.ETS.SEASONALITY({35.09;35.9;36.13;35.7;36.83;38.6;39;38;39.7;41;39;40;40.5;40.9;43;43.37;42.9;44.26;42.55;43;45.5},{1;2;3;4;5;6;7;8;9;10;11;12;13;14;15;16;17;18;19;20;21})</t>
  </si>
  <si>
    <t xml:space="preserve">_xlfn.ORG.LIBREOFFICE.FORECAST.ETS.MULT(11.5,{41.4;43;44;44.7;44.2;8.5;43.8;45.3;46.1;47;46.2},{1;2;3;4;5;5;6;7;8;9;10})</t>
  </si>
  <si>
    <t xml:space="preserve">_xlfn.FORECAST.ETS.STAT({41.4;43;44;44.7;44.2;8.5;43.8;45.3;46.1;47;46.2},{1;2;3;4;5;5;6;7;8;9;10},{5;1})</t>
  </si>
  <si>
    <t xml:space="preserve">_xlfn.FORECAST.ETS.SEASONALITY({41.4;43;44;44.7;44.2;8.5;43.8;45.3;46.1;47;46.2},{1;2;3;4;5;5;6;7;8;9;10},0,2)</t>
  </si>
  <si>
    <t xml:space="preserve">_xlfn.ORG.LIBREOFFICE.FORECAST.ETS.MULT({45019.5,45022},{49.8;48;49;49;49;50.3;49;49;48.5;50;49;48.17;50;49.37;47.21;49;48.16;48;47.89},{45000;45001;45002;45003;45004;45005;45006;45007;45008;45009;45010;45011;45013;45014;45015;45016;45017;45018;45019},2)</t>
  </si>
  <si>
    <t xml:space="preserve">_xlfn.ORG.LIBREOFFICE.FORECAST.ETS.STAT.MULT({49.8;48;49;49;49;50.3;49;49;48.5;50;49;48.17;50;49.37;47.21;49;48.16;48;47.89},{45000;45001;45002;45003;45004;45005;45006;45007;45008;45009;45010;45011;45013;45014;45015;45016;45017;45018;45019},{3},2)</t>
  </si>
  <si>
    <t xml:space="preserve">_xlfn.FORECAST.ETS.SEASONALITY({49.8;48;49;49;49;50.3;49;49;48.5;50;49;48.17;50;49.37;47.21;49;48.16;48;47.89},{45000;45001;45002;45003;45004;45005;45006;45007;45008;45009;45010;45011;45013;45014;45015;45016;45017;45018;45019})</t>
  </si>
  <si>
    <t xml:space="preserve">_xlfn.FORECAST.ETS.CONFINT({45020;45021;45022},{49.8;48;49;49;49;50.3;49;49;48.5;50;49;48.17;50;49.37;47.21;49;48.16;48;47.89},{45000;45001;45002;45003;45004;45005;45006;45007;45008;45009;45010;45011;45013;45014;45015;45016;45017;45018;45019},0.95,0,1,5)</t>
  </si>
  <si>
    <t xml:space="preserve">_xlfn.FORECAST.ETS(25.75,{27.29;29.1;32.7;34.37;33.65;35.41;39;39.2;41;42},{3;10;24;31;38;45;52;59;66;73},1)</t>
  </si>
  <si>
    <t xml:space="preserve">_xlfn.ORG.LIBREOFFICE.FORECAST.ETS.STAT.MULT({27.29;29.1;32.7;34.37;33.65;35.41;39;39.2;41;42},{3;10;24;31;38;45;52;59;66;73},{1},1)</t>
  </si>
  <si>
    <t xml:space="preserve">_xlfn.FORECAST.ETS.SEASONALITY({27.29;29.1;32.7;34.37;33.65;35.41;39;39.2;41;42},{3;10;24;31;38;45;52;59;66;73},1)</t>
  </si>
  <si>
    <t xml:space="preserve">_xlfn.ORG.LIBREOFFICE.FORECAST.ETS.MULT(10,{45;44.7;44.75;44.7;45;44.7;45;44.75;44.75;44.75;45;45;44.75;44.75;45},{1;1.5;2;2.5;3;3.5;4;4.5;5;5.5;6;6.5;7;7.5;8},2)</t>
  </si>
  <si>
    <t xml:space="preserve">_xlfn.FORECAST.ETS.STAT({45;44.7;44.75;44.7;45;44.7;45;44.75;44.75;44.75;45;45;44.75;44.75;45},{1;1.5;2;2.5;3;3.5;4;4.5;5;5.5;6;6.5;7;7.5;8},{4},2)</t>
  </si>
  <si>
    <t xml:space="preserve">_xlfn.FORECAST.ETS.SEASONALITY({45;44.7;44.75;44.7;45;44.7;45;44.75;44.75;44.75;45;45;44.75;44.75;45},{1;1.5;2;2.5;3;3.5;4;4.5;5;5.5;6;6.5;7;7.5;8},1)</t>
  </si>
  <si>
    <t xml:space="preserve">_xlfn.ORG.LIBREOFFICE.FORECAST.ETS.PI.MULT({8.5;9;9.5},{45;44.7;44.75;44.7;45;44.7;45;44.75;44.75;44.75;45;45;44.75;44.75;45},{1;1.5;2;2.5;3;3.5;4;4.5;5;5.5;6;6.5;7;7.5;8},0,0,1,2)</t>
  </si>
  <si>
    <t xml:space="preserve">_xlfn.ORG.LIBREOFFICE.FORECAST.ETS.MULT({45898,45838,45823},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0,,1)</t>
  </si>
  <si>
    <t xml:space="preserve">_xlfn.ORG.LIBREOFFICE.FORECAST.ETS.STAT.MULT(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{5;3},0,,1)</t>
  </si>
  <si>
    <t xml:space="preserve">_xlfn.FORECAST.ETS.SEASONALITY(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0)</t>
  </si>
  <si>
    <t xml:space="preserve">_xlfn.FORECAST.ETS(23,{43.42;47.26;48.17;49.6;50.7;53.8;53;57;55;57.8},{3;5;7;9;11;13;15;17;19;21},1,,3)</t>
  </si>
  <si>
    <t xml:space="preserve">_xlfn.FORECAST.ETS.STAT({43.42;47.26;48.17;49.6;50.7;53.8;53;57;55;57.8},{3;5;7;9;11;13;15;17;19;21},{5;1},1,,3)</t>
  </si>
  <si>
    <t xml:space="preserve">_xlfn.FORECAST.ETS.SEASONALITY({43.42;47.26;48.17;49.6;50.7;53.8;53;57;55;57.8},{3;5;7;9;11;13;15;17;19;21})</t>
  </si>
  <si>
    <t xml:space="preserve">_xlfn.FORECAST.ETS(6,{15.9;22.8;14;21.38;11;17.3;9.36;14;4.9;9.41;3;28.2;7},{1;1.5;2;2.5;3;3.5;4;4.5;5;5.5;6;6;6.5},3)</t>
  </si>
  <si>
    <t xml:space="preserve">_xlfn.ORG.LIBREOFFICE.FORECAST.ETS.STAT.MULT({15.9;22.8;14;21.38;11;17.3;9.36;14;4.9;9.41;3;28.2;7},{1;1.5;2;2.5;3;3.5;4;4.5;5;5.5;6;6;6.5},{7},3)</t>
  </si>
  <si>
    <t xml:space="preserve">_xlfn.FORECAST.ETS.SEASONALITY({15.9;22.8;14;21.38;11;17.3;9.36;14;4.9;9.41;3;28.2;7},{1;1.5;2;2.5;3;3.5;4;4.5;5;5.5;6;6;6.5},0)</t>
  </si>
  <si>
    <t xml:space="preserve">_xlfn.ORG.LIBREOFFICE.FORECAST.ETS.MULT(15,{41.9;31.9;76.8;45.53;66.2;14.37;73.55;60;74;17;48.56;91;77.3;52},{11;6;7;4;1;10;14;3;2;5;9;12;13;8},0)</t>
  </si>
  <si>
    <t xml:space="preserve">_xlfn.ORG.LIBREOFFICE.FORECAST.ETS.STAT.MULT({41.9;31.9;76.8;45.53;66.2;14.37;73.55;60;74;17;48.56;91;77.3;52},{11;6;7;4;1;10;14;3;2;5;9;12;13;8},{7},0)</t>
  </si>
  <si>
    <t xml:space="preserve">_xlfn.FORECAST.ETS.SEASONALITY({41.9;31.9;76.8;45.53;66.2;14.37;73.55;60;74;17;48.56;91;77.3;52},{11;6;7;4;1;10;14;3;2;5;9;12;13;8})</t>
  </si>
  <si>
    <t xml:space="preserve">_xlfn.ORG.LIBREOFFICE.FORECAST.ETS.MULT({12.5,13.5,15},{22.16;24;29.8;32;35.93;39.63;43;48.4;51.94;55;61;64.4},{1;2;3;4;5;6;7;8;9;10;11;12},0,0)</t>
  </si>
  <si>
    <t xml:space="preserve">_xlfn.ORG.LIBREOFFICE.FORECAST.ETS.STAT.MULT({22.16;24;29.8;32;35.93;39.63;43;48.4;51.94;55;61;64.4},{1;2;3;4;5;6;7;8;9;10;11;12},{1;3;8;6;7;9;5;2;4},0,0)</t>
  </si>
  <si>
    <t xml:space="preserve">_xlfn.FORECAST.ETS.SEASONALITY({22.16;24;29.8;32;35.93;39.63;43;48.4;51.94;55;61;64.4},{1;2;3;4;5;6;7;8;9;10;11;12})</t>
  </si>
  <si>
    <t xml:space="preserve">_xlfn.ORG.LIBREOFFICE.FORECAST.ETS.MULT({45122},{19.2;21.4;24;28.52;32.07;35.5;37.3;39.2;44.66;47;52.8;56.75;59;63.7;66.1},{44651;44681;44712;44742;44773;44804;44834;44865;44895;44926;44985;45016;45046;45077;45107})</t>
  </si>
  <si>
    <t xml:space="preserve">_xlfn.ORG.LIBREOFFICE.FORECAST.ETS.STAT.MULT({19.2;21.4;24;28.52;32.07;35.5;37.3;39.2;44.66;47;52.8;56.75;59;63.7;66.1},{44651;44681;44712;44742;44773;44804;44834;44865;44895;44926;44985;45016;45046;45077;45107},{4;3;2;6;9;1;5;7;8})</t>
  </si>
  <si>
    <t xml:space="preserve">_xlfn.FORECAST.ETS.SEASONALITY({19.2;21.4;24;28.52;32.07;35.5;37.3;39.2;44.66;47;52.8;56.75;59;63.7;66.1},{44651;44681;44712;44742;44773;44804;44834;44865;44895;44926;44985;45016;45046;45077;45107})</t>
  </si>
  <si>
    <t xml:space="preserve">_xlfn.ORG.LIBREOFFICE.FORECAST.ETS.MULT({45152,45137},{16.19;18;14;22.75;23.82;22;26.1;21.44;19.72;26.39;31},{44834;44865;44895;44926;44957;44985;44985;45016;45046;45077;45107},5,1,3)</t>
  </si>
  <si>
    <t xml:space="preserve">_xlfn.ORG.LIBREOFFICE.FORECAST.ETS.STAT.MULT({16.19;18;14;22.75;23.82;22;26.1;21.44;19.72;26.39;31},{44834;44865;44895;44926;44957;44985;44985;45016;45046;45077;45107},{9},5,1,3)</t>
  </si>
  <si>
    <t xml:space="preserve">_xlfn.FORECAST.ETS.SEASONALITY({16.19;18;14;22.75;23.82;22;26.1;21.44;19.72;26.39;31},{44834;44865;44895;44926;44957;44985;44985;45016;45046;45077;45107},1,3)</t>
  </si>
  <si>
    <t xml:space="preserve">_xlfn.ORG.LIBREOFFICE.FORECAST.ETS.MULT(5.75,{17.47;17;17;30.7;17;17.5;17.5;17.5;17.5;17},{1;1.5;2;2;2.5;3;3.5;4;4.5;5},2,1)</t>
  </si>
  <si>
    <t xml:space="preserve">_xlfn.FORECAST.ETS.STAT({17.47;17;17;30.7;17;17.5;17.5;17.5;17.5;17},{1;1.5;2;2;2.5;3;3.5;4;4.5;5},{6},2,1)</t>
  </si>
  <si>
    <t xml:space="preserve">_xlfn.FORECAST.ETS.SEASONALITY({17.47;17;17;30.7;17;17.5;17.5;17.5;17.5;17},{1;1.5;2;2;2.5;3;3.5;4;4.5;5},1)</t>
  </si>
  <si>
    <t xml:space="preserve">_xlfn.ORG.LIBREOFFICE.FORECAST.ETS.MULT({45153},{71;74;61.2;69.6;11.6;64.65;6.4;10.4;33;77;4;63;28.76},{44743;44774;44805;44835;44866;44896;44927;44958;44986;45017;45047;45078;45108},1)</t>
  </si>
  <si>
    <t xml:space="preserve">_xlfn.ORG.LIBREOFFICE.FORECAST.ETS.STAT.MULT({71;74;61.2;69.6;11.6;64.65;6.4;10.4;33;77;4;63;28.76},{44743;44774;44805;44835;44866;44896;44927;44958;44986;45017;45047;45078;45108},{9},1)</t>
  </si>
  <si>
    <t xml:space="preserve">_xlfn.FORECAST.ETS.SEASONALITY({71;74;61.2;69.6;11.6;64.65;6.4;10.4;33;77;4;63;28.76},{44743;44774;44805;44835;44866;44896;44927;44958;44986;45017;45047;45078;45108})</t>
  </si>
  <si>
    <t xml:space="preserve">_xlfn.ORG.LIBREOFFICE.FORECAST.ETS.MULT(7,{14;5.3;5;6.94;3.99;1.8;-0.6;1.83;1.88;1.43},{1;1.5;2;2.5;3;3.5;4;4.5;5;5.5},5)</t>
  </si>
  <si>
    <t xml:space="preserve">_xlfn.FORECAST.ETS.STAT({14;5.3;5;6.94;3.99;1.8;-0.6;1.83;1.88;1.43},{1;1.5;2;2.5;3;3.5;4;4.5;5;5.5},{2;9},5)</t>
  </si>
  <si>
    <t xml:space="preserve">_xlfn.FORECAST.ETS.SEASONALITY({14;5.3;5;6.94;3.99;1.8;-0.6;1.83;1.88;1.43},{1;1.5;2;2.5;3;3.5;4;4.5;5;5.5},0,6)</t>
  </si>
  <si>
    <t xml:space="preserve">_xlfn.ORG.LIBREOFFICE.FORECAST.ETS.MULT({45020,45023},{18.61;28;26.13;28.6;27;40;35.53;40.3;38;50;46.66;50.76;48.81;60.76;58.52;60.9;59.46;72;68.7;73},{45000;45001;45002;45003;45004;45005;45006;45007;45008;45009;45010;45011;45012;45013;45014;45015;45016;45017;45018;45019},1)</t>
  </si>
  <si>
    <t xml:space="preserve">_xlfn.FORECAST.ETS.STAT({18.61;28;26.13;28.6;27;40;35.53;40.3;38;50;46.66;50.76;48.81;60.76;58.52;60.9;59.46;72;68.7;73},{45000;45001;45002;45003;45004;45005;45006;45007;45008;45009;45010;45011;45012;45013;45014;45015;45016;45017;45018;45019},{7;4;8;1;5;3;2;9;6},1)</t>
  </si>
  <si>
    <t xml:space="preserve">_xlfn.FORECAST.ETS.SEASONALITY({18.61;28;26.13;28.6;27;40;35.53;40.3;38;50;46.66;50.76;48.81;60.76;58.52;60.9;59.46;72;68.7;73},{45000;45001;45002;45003;45004;45005;45006;45007;45008;45009;45010;45011;45012;45013;45014;45015;45016;45017;45018;45019},0)</t>
  </si>
  <si>
    <t xml:space="preserve">_xlfn.ORG.LIBREOFFICE.FORECAST.ETS.MULT({45011.5,45012,45011.5},{44.9;55.6;48;54.8;66.41;60.1;64;77;34.6;70.9;75.2;88.04;80.7},{45000;45001;45002;45003;45004;45005;45006;45007;45007;45008;45009;45010;45011})</t>
  </si>
  <si>
    <t xml:space="preserve">_xlfn.ORG.LIBREOFFICE.FORECAST.ETS.STAT.MULT({44.9;55.6;48;54.8;66.41;60.1;64;77;34.6;70.9;75.2;88.04;80.7},{45000;45001;45002;45003;45004;45005;45006;45007;45007;45008;45009;45010;45011},{5;7;6;8;2;1;3;4;9})</t>
  </si>
  <si>
    <t xml:space="preserve">_xlfn.FORECAST.ETS.SEASONALITY({44.9;55.6;48;54.8;66.41;60.1;64;77;34.6;70.9;75.2;88.04;80.7},{45000;45001;45002;45003;45004;45005;45006;45007;45007;45008;45009;45010;45011},0)</t>
  </si>
  <si>
    <t xml:space="preserve">_xlfn.FORECAST.ETS.CONFINT({45012;45013;45014},{44.9;55.6;48;54.8;66.41;60.1;64;77;34.6;70.9;75.2;88.04;80.7},{45000;45001;45002;45003;45004;45005;45006;45007;45007;45008;45009;45010;45011},,0,1,2)</t>
  </si>
  <si>
    <t xml:space="preserve">_xlfn.FORECAST.ETS(9,{34.7;14.2;32;31.84;32;28.19;27.3;28.31;25.96},{1;1;2;3;4;5;6;7;8},1,0)</t>
  </si>
  <si>
    <t xml:space="preserve">_xlfn.ORG.LIBREOFFICE.FORECAST.ETS.STAT.MULT({34.7;14.2;32;31.84;32;28.19;27.3;28.31;25.96},{1;1;2;3;4;5;6;7;8},{7},1,0)</t>
  </si>
  <si>
    <t xml:space="preserve">_xlfn.FORECAST.ETS.SEASONALITY({34.7;14.2;32;31.84;32;28.19;27.3;28.31;25.96},{1;1;2;3;4;5;6;7;8},0,7)</t>
  </si>
  <si>
    <t xml:space="preserve">_xlfn.ORG.LIBREOFFICE.FORECAST.ETS.PI.MULT({9;10;11},{34.7;14.2;32;31.84;32;28.19;27.3;28.31;25.96},{1;1;2;3;4;5;6;7;8},0,0,1,2)</t>
  </si>
  <si>
    <t xml:space="preserve">_xlfn.ORG.LIBREOFFICE.FORECAST.ETS.MULT({45009,45009,45008},{48;48;48.03;48;48;48;48;48},{45000;45001;45002;45003;45004;45005;45006;45007},3,1)</t>
  </si>
  <si>
    <t xml:space="preserve">_xlfn.ORG.LIBREOFFICE.FORECAST.ETS.STAT.MULT({48;48;48.03;48;48;48;48;48},{45000;45001;45002;45003;45004;45005;45006;45007},{9},3,1)</t>
  </si>
  <si>
    <t xml:space="preserve">_xlfn.FORECAST.ETS.SEASONALITY({48;48;48.03;48;48;48;48;48},{45000;45001;45002;45003;45004;45005;45006;45007},1)</t>
  </si>
  <si>
    <t xml:space="preserve">_xlfn.ORG.LIBREOFFICE.FORECAST.ETS.MULT({45626,45611},{59;70;71;79.89;24.8;83.9;63;13.8;13.7;83;25;80;22.4;84.8;46;61.48;67.48;28.79;61;40.09;53.21;69.8;12},{44926;44957;44985;45016;45046;45077;45107;45138;45169;45199;45230;45260;45291;45322;45351;45382;45412;45443;45473;45504;45535;45565;45596})</t>
  </si>
  <si>
    <t xml:space="preserve">_xlfn.ORG.LIBREOFFICE.FORECAST.ETS.STAT.MULT({59;70;71;79.89;24.8;83.9;63;13.8;13.7;83;25;80;22.4;84.8;46;61.48;67.48;28.79;61;40.09;53.21;69.8;12},{44926;44957;44985;45016;45046;45077;45107;45138;45169;45199;45230;45260;45291;45322;45351;45382;45412;45443;45473;45504;45535;45565;45596},{5;7;3;9;6;8;2;4;1})</t>
  </si>
  <si>
    <t xml:space="preserve">_xlfn.FORECAST.ETS.SEASONALITY({59;70;71;79.89;24.8;83.9;63;13.8;13.7;83;25;80;22.4;84.8;46;61.48;67.48;28.79;61;40.09;53.21;69.8;12},{44926;44957;44985;45016;45046;45077;45107;45138;45169;45199;45230;45260;45291;45322;45351;45382;45412;45443;45473;45504;45535;45565;45596},0,6)</t>
  </si>
  <si>
    <t xml:space="preserve">_xlfn.FORECAST.ETS(45198,{47.46;47.46;47.5;47.5;47.46;47.46;47.5;47},{44926;44957;44985;45016;45046;45077;45107;45138},1,,5)</t>
  </si>
  <si>
    <t xml:space="preserve">_xlfn.ORG.LIBREOFFICE.FORECAST.ETS.STAT.MULT({47.46;47.46;47.5;47.5;47.46;47.46;47.5;47},{44926;44957;44985;45016;45046;45077;45107;45138},{4},1,,5)</t>
  </si>
  <si>
    <t xml:space="preserve">_xlfn.FORECAST.ETS.SEASONALITY({47.46;47.46;47.5;47.5;47.46;47.46;47.5;47},{44926;44957;44985;45016;45046;45077;45107;45138},1,2)</t>
  </si>
  <si>
    <t xml:space="preserve">_xlfn.FORECAST.ETS({7.5;8;7},{26;26;25.56;25.56;25.6;26},{1;2;3;4;5;6})</t>
  </si>
  <si>
    <t xml:space="preserve">_xlfn.FORECAST.ETS.STAT({26;26;25.56;25.56;25.6;26},{1;2;3;4;5;6},{8;2})</t>
  </si>
  <si>
    <t xml:space="preserve">_xlfn.FORECAST.ETS.SEASONALITY({26;26;25.56;25.56;25.6;26},{1;2;3;4;5;6},0)</t>
  </si>
  <si>
    <t xml:space="preserve">_xlfn.FORECAST.ETS({23},{59.2;78;33.3;84;64.8;95.37;11.1;87.91;10},{3;5;7;9;11;13;15;17;19},1,0)</t>
  </si>
  <si>
    <t xml:space="preserve">_xlfn.FORECAST.ETS.STAT({59.2;78;33.3;84;64.8;95.37;11.1;87.91;10},{3;5;7;9;11;13;15;17;19},{5;7},1,0)</t>
  </si>
  <si>
    <t xml:space="preserve">_xlfn.FORECAST.ETS.SEASONALITY({59.2;78;33.3;84;64.8;95.37;11.1;87.91;10},{3;5;7;9;11;13;15;17;19})</t>
  </si>
  <si>
    <t xml:space="preserve">_xlfn.ORG.LIBREOFFICE.FORECAST.ETS.MULT({5,4.5,3.25},{12.61;14.1;19;21.37;25.62},{1;1.5;2;2.5;3},0,1)</t>
  </si>
  <si>
    <t xml:space="preserve">_xlfn.ORG.LIBREOFFICE.FORECAST.ETS.STAT.MULT({12.61;14.1;19;21.37;25.62},{1;1.5;2;2.5;3},{1;2},0,1)</t>
  </si>
  <si>
    <t xml:space="preserve">_xlfn.FORECAST.ETS.SEASONALITY({12.61;14.1;19;21.37;25.62},{1;1.5;2;2.5;3},1,6)</t>
  </si>
  <si>
    <t xml:space="preserve">_xlfn.FORECAST.ETS(4.25,{45.35;37.63;47;39.97;40.3;44.08},{1.5;3.5;1;3;2.5;2},1,1,3)</t>
  </si>
  <si>
    <t xml:space="preserve">_xlfn.FORECAST.ETS.STAT({45.35;37.63;47;39.97;40.3;44.08},{1.5;3.5;1;3;2.5;2},{5;8},1,1,3)</t>
  </si>
  <si>
    <t xml:space="preserve">_xlfn.FORECAST.ETS.SEASONALITY({45.35;37.63;47;39.97;40.3;44.08},{1.5;3.5;1;3;2.5;2})</t>
  </si>
  <si>
    <t xml:space="preserve">_xlfn.ORG.LIBREOFFICE.FORECAST.ETS.MULT(45014,{27;29.5;21;17.19;15;33;23.16;21.75;27.34;12;12.72;35.02;11;7.3},{45004;45002;45007;45008;45009;45001;45005;45006;45003;45011;45010;45000;45012;45013})</t>
  </si>
  <si>
    <t xml:space="preserve">_xlfn.ORG.LIBREOFFICE.FORECAST.ETS.STAT.MULT({27;29.5;21;17.19;15;33;23.16;21.75;27.34;12;12.72;35.02;11;7.3},{45004;45002;45007;45008;45009;45001;45005;45006;45003;45011;45010;45000;45012;45013},{2;5})</t>
  </si>
  <si>
    <t xml:space="preserve">_xlfn.FORECAST.ETS.SEASONALITY({27;29.5;21;17.19;15;33;23.16;21.75;27.34;12;12.72;35.02;11;7.3},{45004;45002;45007;45008;45009;45001;45005;45006;45003;45011;45010;45000;45012;45013},0,7)</t>
  </si>
  <si>
    <t xml:space="preserve">_xlfn.FORECAST.ETS({19},{23;23;23;23;23;23;23;23;23;23;23.05;23.05;23;23;23.05},{1;2;3;4;5;6;7;8;9;10;11;12;13;14;15},2,1)</t>
  </si>
  <si>
    <t xml:space="preserve">_xlfn.ORG.LIBREOFFICE.FORECAST.ETS.STAT.MULT({23;23;23;23;23;23;23;23;23;23;23.05;23.05;23;23;23.05},{1;2;3;4;5;6;7;8;9;10;11;12;13;14;15},{2;5;1;7;9;8;4;3;6},2,1)</t>
  </si>
  <si>
    <t xml:space="preserve">_xlfn.FORECAST.ETS.SEASONALITY({23;23;23;23;23;23;23;23;23;23;23.05;23.05;23;23;23.05},{1;2;3;4;5;6;7;8;9;10;11;12;13;14;15},1)</t>
  </si>
  <si>
    <t xml:space="preserve">_xlfn.ORG.LIBREOFFICE.FORECAST.ETS.PI.MULT(18,{23;23;23;23;23;23;23;23;23;23;23.05;23.05;23;23;23.05},{1;2;3;4;5;6;7;8;9;10;11;12;13;14;15},0,0)</t>
  </si>
  <si>
    <t xml:space="preserve">_xlfn.ORG.LIBREOFFICE.FORECAST.ETS.MULT(4.625,{8.38;13.07;19;35;51.1;65;22;6;69;54;33.3;28.6;58.23;42;44.47},{1.5;2;2.5;4.5;6;7.5;3;1;8;6.5;4;3.5;7;5;5.5})</t>
  </si>
  <si>
    <t xml:space="preserve">_xlfn.ORG.LIBREOFFICE.FORECAST.ETS.STAT.MULT({8.38;13.07;19;35;51.1;65;22;6;69;54;33.3;28.6;58.23;42;44.47},{1.5;2;2.5;4.5;6;7.5;3;1;8;6.5;4;3.5;7;5;5.5},{5;9})</t>
  </si>
  <si>
    <t xml:space="preserve">_xlfn.FORECAST.ETS.SEASONALITY({8.38;13.07;19;35;51.1;65;22;6;69;54;33.3;28.6;58.23;42;44.47},{1.5;2;2.5;4.5;6;7.5;3;1;8;6.5;4;3.5;7;5;5.5},0)</t>
  </si>
  <si>
    <t xml:space="preserve">_xlfn.FORECAST.ETS(44940,{23.2;18.67;18;41;48.6;30;28.13;66},{44696;44727;44757;44788;44819;44849;44880;44910},4)</t>
  </si>
  <si>
    <t xml:space="preserve">_xlfn.FORECAST.ETS.STAT({23.2;18.67;18;41;48.6;30;28.13;66},{44696;44727;44757;44788;44819;44849;44880;44910},{6;9},4)</t>
  </si>
  <si>
    <t xml:space="preserve">_xlfn.FORECAST.ETS.SEASONALITY({23.2;18.67;18;41;48.6;30;28.13;66},{44696;44727;44757;44788;44819;44849;44880;44910},1,3)</t>
  </si>
  <si>
    <t xml:space="preserve">_xlfn.ORG.LIBREOFFICE.FORECAST.ETS.MULT({228;223},{22.7;21;17;17;15;11;9.18;5.1;3.47;4;1;0.15;-2.5;-5.8;-5.6;-9;-9.3;-12.8;-15.2;-17;-17.09},{3;13;23;33;43;53;63;83;93;103;113;123;133;143;153;163;173;183;193;203;213},1,,4)</t>
  </si>
  <si>
    <t xml:space="preserve">_xlfn.ORG.LIBREOFFICE.FORECAST.ETS.STAT.MULT({22.7;21;17;17;15;11;9.18;5.1;3.47;4;1;0.15;-2.5;-5.8;-5.6;-9;-9.3;-12.8;-15.2;-17;-17.09},{3;13;23;33;43;53;63;83;93;103;113;123;133;143;153;163;173;183;193;203;213},{4;8},1,,4)</t>
  </si>
  <si>
    <t xml:space="preserve">_xlfn.FORECAST.ETS.SEASONALITY({22.7;21;17;17;15;11;9.18;5.1;3.47;4;1;0.15;-2.5;-5.8;-5.6;-9;-9.3;-12.8;-15.2;-17;-17.09},{3;13;23;33;43;53;63;83;93;103;113;123;133;143;153;163;173;183;193;203;213},0,2)</t>
  </si>
  <si>
    <t xml:space="preserve">_xlfn.ORG.LIBREOFFICE.FORECAST.ETS.MULT({44817},{27.3;27;25.9;27;27;27.3},{44635;44666;44666;44696;44727;44757},7,1)</t>
  </si>
  <si>
    <t xml:space="preserve">_xlfn.FORECAST.ETS.STAT({27.3;27;25.9;27;27;27.3},{44635;44666;44666;44696;44727;44757},{8;6;9;1;5;3;2;4;7},7,1)</t>
  </si>
  <si>
    <t xml:space="preserve">_xlfn.FORECAST.ETS.SEASONALITY({27.3;27;25.9;27;27;27.3},{44635;44666;44666;44696;44727;44757})</t>
  </si>
  <si>
    <t xml:space="preserve">_xlfn.ORG.LIBREOFFICE.FORECAST.ETS.MULT({45396;45456;45486},{27.1;24.06;23.3;21.3;19.1;16.66;15.69;14;10.01;10.3;6.64;4.65;4.57;3.19;0;-0.2},{44910;44941;44972;45000;45031;45061;45092;45122;45153;45184;45214;45245;45275;45306;45337;45366},0,,2)</t>
  </si>
  <si>
    <t xml:space="preserve">_xlfn.ORG.LIBREOFFICE.FORECAST.ETS.STAT.MULT({27.1;24.06;23.3;21.3;19.1;16.66;15.69;14;10.01;10.3;6.64;4.65;4.57;3.19;0;-0.2},{44910;44941;44972;45000;45031;45061;45092;45122;45153;45184;45214;45245;45275;45306;45337;45366},{7},0,,2)</t>
  </si>
  <si>
    <t xml:space="preserve">_xlfn.FORECAST.ETS.SEASONALITY({27.1;24.06;23.3;21.3;19.1;16.66;15.69;14;10.01;10.3;6.64;4.65;4.57;3.19;0;-0.2},{44910;44941;44972;45000;45031;45061;45092;45122;45153;45184;45214;45245;45275;45306;45337;45366})</t>
  </si>
  <si>
    <t xml:space="preserve">_xlfn.FORECAST.ETS(19,{30;30;30.4;30.4;30.4;30.36;30.36;30;30.36;30;30.4;30.36;30.36;30;48.4;30.4;30;30.4;30},{1;2;3;4;5;6;7;8;9;10;11;12;13;14;14;15;16;17;18},0,0)</t>
  </si>
  <si>
    <t xml:space="preserve">_xlfn.ORG.LIBREOFFICE.FORECAST.ETS.STAT.MULT({30;30;30.4;30.4;30.4;30.36;30.36;30;30.36;30;30.4;30.36;30.36;30;48.4;30.4;30;30.4;30},{1;2;3;4;5;6;7;8;9;10;11;12;13;14;14;15;16;17;18},{5},0,0)</t>
  </si>
  <si>
    <t xml:space="preserve">_xlfn.FORECAST.ETS.SEASONALITY({30;30;30.4;30.4;30.4;30.36;30.36;30;30.36;30;30.4;30.36;30.36;30;48.4;30.4;30;30.4;30},{1;2;3;4;5;6;7;8;9;10;11;12;13;14;14;15;16;17;18})</t>
  </si>
  <si>
    <t xml:space="preserve">_xlfn.FORECAST.ETS.CONFINT(21,{30;30;30.4;30.4;30.4;30.36;30.36;30;30.36;30;30.4;30.36;30.36;30;48.4;30.4;30;30.4;30},{1;2;3;4;5;6;7;8;9;10;11;12;13;14;14;15;16;17;18},0,0,1,2)</t>
  </si>
  <si>
    <t xml:space="preserve">_xlfn.FORECAST.ETS(45441,{19.28;34.77;36;43;38.32;51.7;53.8;60.1;56.7;71.95;71.5;78.24;73.83;90;90.5;98},{44895;44926;44957;44985;45016;45046;45077;45107;45138;45169;45199;45230;45260;45291;45322;45351},0,,7)</t>
  </si>
  <si>
    <t xml:space="preserve">_xlfn.ORG.LIBREOFFICE.FORECAST.ETS.STAT.MULT({19.28;34.77;36;43;38.32;51.7;53.8;60.1;56.7;71.95;71.5;78.24;73.83;90;90.5;98},{44895;44926;44957;44985;45016;45046;45077;45107;45138;45169;45199;45230;45260;45291;45322;45351},{8;7},0,,7)</t>
  </si>
  <si>
    <t xml:space="preserve">_xlfn.FORECAST.ETS.SEASONALITY({19.28;34.77;36;43;38.32;51.7;53.8;60.1;56.7;71.95;71.5;78.24;73.83;90;90.5;98},{44895;44926;44957;44985;45016;45046;45077;45107;45138;45169;45199;45230;45260;45291;45322;45351},1,3)</t>
  </si>
  <si>
    <t xml:space="preserve">_xlfn.FORECAST.ETS({10},{46.8;30.51;64.2;37.9;46.84;71;54;71.6;64;47;37.63;62;39.1;54.1;52.54},{3;1;6.5;2;4;7.5;5;8;6;3.5;1.5;7;2.5;4.5;5.5},2)</t>
  </si>
  <si>
    <t xml:space="preserve">_xlfn.ORG.LIBREOFFICE.FORECAST.ETS.STAT.MULT({46.8;30.51;64.2;37.9;46.84;71;54;71.6;64;47;37.63;62;39.1;54.1;52.54},{3;1;6.5;2;4;7.5;5;8;6;3.5;1.5;7;2.5;4.5;5.5},{2;7},2)</t>
  </si>
  <si>
    <t xml:space="preserve">_xlfn.FORECAST.ETS.SEASONALITY({46.8;30.51;64.2;37.9;46.84;71;54;71.6;64;47;37.63;62;39.1;54.1;52.54},{3;1;6.5;2;4;7.5;5;8;6;3.5;1.5;7;2.5;4.5;5.5},0)</t>
  </si>
  <si>
    <t xml:space="preserve">_xlfn.ORG.LIBREOFFICE.FORECAST.ETS.MULT(6.5,{43.5;43.5;43.5;43.5;43.5;43.5;43.5;43.5;43.5;43.5;43.5;43.5;44;44;43.5;44},{3;10;17;24;31;38;45;52;59;66;73;80;87;94;101;108},5)</t>
  </si>
  <si>
    <t xml:space="preserve">_xlfn.ORG.LIBREOFFICE.FORECAST.ETS.STAT.MULT({43.5;43.5;43.5;43.5;43.5;43.5;43.5;43.5;43.5;43.5;43.5;43.5;44;44;43.5;44},{3;10;17;24;31;38;45;52;59;66;73;80;87;94;101;108},{5;8},5)</t>
  </si>
  <si>
    <t xml:space="preserve">_xlfn.FORECAST.ETS.SEASONALITY({43.5;43.5;43.5;43.5;43.5;43.5;43.5;43.5;43.5;43.5;43.5;43.5;44;44;43.5;44},{3;10;17;24;31;38;45;52;59;66;73;80;87;94;101;108})</t>
  </si>
  <si>
    <t xml:space="preserve">_xlfn.FORECAST.ETS.CONFINT({115;122;129},{43.5;43.5;43.5;43.5;43.5;43.5;43.5;43.5;43.5;43.5;43.5;43.5;44;44;43.5;44},{3;10;17;24;31;38;45;52;59;66;73;80;87;94;101;108},0.9,0)</t>
  </si>
  <si>
    <t xml:space="preserve">_xlfn.FORECAST.ETS(23,{5.7;9;10.38;11.8;8;7.92;17.4;18.02;20;13;9.61;49.5;26;22.3;24.4;16;12.88;32;30;31.85;23},{1;2;3;4;5;6;7;8;9;10;11;11;12;13;14;15;16;17;18;19;20})</t>
  </si>
  <si>
    <t xml:space="preserve">_xlfn.FORECAST.ETS.STAT({5.7;9;10.38;11.8;8;7.92;17.4;18.02;20;13;9.61;49.5;26;22.3;24.4;16;12.88;32;30;31.85;23},{1;2;3;4;5;6;7;8;9;10;11;11;12;13;14;15;16;17;18;19;20},{8;2;5;9;6;4;7;3;1})</t>
  </si>
  <si>
    <t xml:space="preserve">_xlfn.FORECAST.ETS.SEASONALITY({5.7;9;10.38;11.8;8;7.92;17.4;18.02;20;13;9.61;49.5;26;22.3;24.4;16;12.88;32;30;31.85;23},{1;2;3;4;5;6;7;8;9;10;11;11;12;13;14;15;16;17;18;19;20},0,3)</t>
  </si>
  <si>
    <t xml:space="preserve">_xlfn.ORG.LIBREOFFICE.FORECAST.ETS.MULT(32,{26.92;16.83;27;23.4;28;42;34.81;49;28.07;45.5;36.66;41.6;64.7;50.7;69.27;41.7;66.51;51;57.2;85.8;70;93.35;55;82.61;66;75.34;110;85.92},{1;2;3;4;5;6;7;8;9;10;11;12;13;14;15;16;17;18;19;20;21;22;23;24;25;26;27;28})</t>
  </si>
  <si>
    <t xml:space="preserve">_xlfn.ORG.LIBREOFFICE.FORECAST.ETS.STAT.MULT({26.92;16.83;27;23.4;28;42;34.81;49;28.07;45.5;36.66;41.6;64.7;50.7;69.27;41.7;66.51;51;57.2;85.8;70;93.35;55;82.61;66;75.34;110;85.92},{1;2;3;4;5;6;7;8;9;10;11;12;13;14;15;16;17;18;19;20;21;22;23;24;25;26;27;28},{6})</t>
  </si>
  <si>
    <t xml:space="preserve">_xlfn.FORECAST.ETS.SEASONALITY({26.92;16.83;27;23.4;28;42;34.81;49;28.07;45.5;36.66;41.6;64.7;50.7;69.27;41.7;66.51;51;57.2;85.8;70;93.35;55;82.61;66;75.34;110;85.92},{1;2;3;4;5;6;7;8;9;10;11;12;13;14;15;16;17;18;19;20;21;22;23;24;25;26;27;28})</t>
  </si>
  <si>
    <t xml:space="preserve">_xlfn.ORG.LIBREOFFICE.FORECAST.ETS.PI.MULT({29;30;31},{26.92;16.83;27;23.4;28;42;34.81;49;28.07;45.5;36.66;41.6;64.7;50.7;69.27;41.7;66.51;51;57.2;85.8;70;93.35;55;82.61;66;75.34;110;85.92},{1;2;3;4;5;6;7;8;9;10;11;12;13;14;15;16;17;18;19;20;21;22;23;24;25;26;27;28},,0,0)</t>
  </si>
  <si>
    <t xml:space="preserve">_xlfn.ORG.LIBREOFFICE.FORECAST.ETS.MULT({9.5,9.25,9},{26;60.09;32.6;59.7;11.54;39.3;43;38;54.84;27;26.71;10.3;84.4;49;77.65;109.9},{3.5;4;2;6.5;1.5;5;4.5;5.5;7;2.5;3;1;6;7.5;8.5;8},0,0)</t>
  </si>
  <si>
    <t xml:space="preserve">_xlfn.FORECAST.ETS.STAT({26;60.09;32.6;59.7;11.54;39.3;43;38;54.84;27;26.71;10.3;84.4;49;77.65;109.9},{3.5;4;2;6.5;1.5;5;4.5;5.5;7;2.5;3;1;6;7.5;8.5;8},{3;9;2;7;8;6;5;4;1},0,0)</t>
  </si>
  <si>
    <t xml:space="preserve">_xlfn.FORECAST.ETS.SEASONALITY({26;60.09;32.6;59.7;11.54;39.3;43;38;54.84;27;26.71;10.3;84.4;49;77.65;109.9},{3.5;4;2;6.5;1.5;5;4.5;5.5;7;2.5;3;1;6;7.5;8.5;8},1,2)</t>
  </si>
  <si>
    <t xml:space="preserve">_xlfn.FORECAST.ETS.CONFINT(10,{26;60.09;32.6;59.7;11.54;39.3;43;38;54.84;27;26.71;10.3;84.4;49;77.65;109.9},{3.5;4;2;6.5;1.5;5;4.5;5.5;7;2.5;3;1;6;7.5;8.5;8},0.99,0)</t>
  </si>
  <si>
    <t xml:space="preserve">_xlfn.FORECAST.ETS({45562},{40.91;30.9;35.89;30.67;39.36;34;34.75;26.3;32;26.62;35;29.2;31.87;21.91;26;21.9;33;24.2;29;17.13;22.2;16;26.12;21.19},{44832;44862;44893;44923;44954;44985;45013;45044;45074;45105;45135;45166;45197;45227;45258;45288;45319;45350;45379;45410;45440;45471;45501;45532},0)</t>
  </si>
  <si>
    <t xml:space="preserve">_xlfn.ORG.LIBREOFFICE.FORECAST.ETS.STAT.MULT({40.91;30.9;35.89;30.67;39.36;34;34.75;26.3;32;26.62;35;29.2;31.87;21.91;26;21.9;33;24.2;29;17.13;22.2;16;26.12;21.19},{44832;44862;44893;44923;44954;44985;45013;45044;45074;45105;45135;45166;45197;45227;45258;45288;45319;45350;45379;45410;45440;45471;45501;45532},{2;5;7;6;9;1;8;4;3},0)</t>
  </si>
  <si>
    <t xml:space="preserve">_xlfn.FORECAST.ETS.SEASONALITY({40.91;30.9;35.89;30.67;39.36;34;34.75;26.3;32;26.62;35;29.2;31.87;21.91;26;21.9;33;24.2;29;17.13;22.2;16;26.12;21.19},{44832;44862;44893;44923;44954;44985;45013;45044;45074;45105;45135;45166;45197;45227;45258;45288;45319;45350;45379;45410;45440;45471;45501;45532},1,4)</t>
  </si>
  <si>
    <t xml:space="preserve">_xlfn.FORECAST.ETS(13,{23.9;33.3;32;41.49;35;38;50.3;40.32},{1;2;4;5;6;7;8;9},0)</t>
  </si>
  <si>
    <t xml:space="preserve">_xlfn.FORECAST.ETS.STAT({23.9;33.3;32;41.49;35;38;50.3;40.32},{1;2;4;5;6;7;8;9},{3},0)</t>
  </si>
  <si>
    <t xml:space="preserve">_xlfn.FORECAST.ETS.SEASONALITY({23.9;33.3;32;41.49;35;38;50.3;40.32},{1;2;4;5;6;7;8;9},0,5)</t>
  </si>
  <si>
    <t xml:space="preserve">_xlfn.ORG.LIBREOFFICE.FORECAST.ETS.MULT({45009;45007},{24.1;5;12.7;16.9;62.37;83.7;39.16;84},{45000;45001;45001;45002;45003;45004;45005;45006},1,1)</t>
  </si>
  <si>
    <t xml:space="preserve">_xlfn.ORG.LIBREOFFICE.FORECAST.ETS.STAT.MULT({24.1;5;12.7;16.9;62.37;83.7;39.16;84},{45000;45001;45001;45002;45003;45004;45005;45006},{3;7},1,1)</t>
  </si>
  <si>
    <t xml:space="preserve">_xlfn.FORECAST.ETS.SEASONALITY({24.1;5;12.7;16.9;62.37;83.7;39.16;84},{45000;45001;45001;45002;45003;45004;45005;45006},0)</t>
  </si>
  <si>
    <t xml:space="preserve">_xlfn.ORG.LIBREOFFICE.FORECAST.ETS.PI.MULT(45008,{24.1;5;12.7;16.9;62.37;83.7;39.16;84},{45000;45001;45001;45002;45003;45004;45005;45006},0.9,0)</t>
  </si>
  <si>
    <t xml:space="preserve">_xlfn.ORG.LIBREOFFICE.FORECAST.ETS.MULT(17.5,{5.7;5.7;5.7;5.67;5.7;5.7;5.7;5.67;5.67;5.7;5.7;5.67;5.7;5.67;5.67;5.67},{1;2;3;4;5;6;7;8;9;10;11;12;13;14;15;16},1)</t>
  </si>
  <si>
    <t xml:space="preserve">_xlfn.FORECAST.ETS.STAT({5.7;5.7;5.7;5.67;5.7;5.7;5.7;5.67;5.67;5.7;5.7;5.67;5.7;5.67;5.67;5.67},{1;2;3;4;5;6;7;8;9;10;11;12;13;14;15;16},{4;3;9;7;1;6;8;5;2},1)</t>
  </si>
  <si>
    <t xml:space="preserve">_xlfn.FORECAST.ETS.SEASONALITY({5.7;5.7;5.7;5.67;5.7;5.7;5.7;5.67;5.67;5.7;5.7;5.67;5.7;5.67;5.67;5.67},{1;2;3;4;5;6;7;8;9;10;11;12;13;14;15;16},1)</t>
  </si>
  <si>
    <t xml:space="preserve">_xlfn.FORECAST.ETS.CONFINT(19,{5.7;5.7;5.7;5.67;5.7;5.7;5.7;5.67;5.67;5.7;5.7;5.67;5.7;5.67;5.67;5.67},{1;2;3;4;5;6;7;8;9;10;11;12;13;14;15;16},0,0,1)</t>
  </si>
  <si>
    <t xml:space="preserve">_xlfn.FORECAST.ETS({33},{51;40.1;54;59.39;60.81;31.6;78.27;62.16;77.2;87;83.3;45;103.27;80.2;101.68;110;107;55.18;132.61;101.1;126;137.52;133;67;158;120;151.9;164;12.1;157.62;80},{1;2;3;4;5;6;7;8;9;10;11;12;13;14;15;16;17;18;19;20;21;22;23;24;25;26;27;28;28;29;30})</t>
  </si>
  <si>
    <t xml:space="preserve">_xlfn.ORG.LIBREOFFICE.FORECAST.ETS.STAT.MULT({51;40.1;54;59.39;60.81;31.6;78.27;62.16;77.2;87;83.3;45;103.27;80.2;101.68;110;107;55.18;132.61;101.1;126;137.52;133;67;158;120;151.9;164;12.1;157.62;80},{1;2;3;4;5;6;7;8;9;10;11;12;13;14;15;16;17;18;19;20;21;22;23;24;25;26;27;28;28;29;30},{9;7;1;5;8;2;6;4;3})</t>
  </si>
  <si>
    <t xml:space="preserve">_xlfn.FORECAST.ETS.SEASONALITY({51;40.1;54;59.39;60.81;31.6;78.27;62.16;77.2;87;83.3;45;103.27;80.2;101.68;110;107;55.18;132.61;101.1;126;137.52;133;67;158;120;151.9;164;12.1;157.62;80},{1;2;3;4;5;6;7;8;9;10;11;12;13;14;15;16;17;18;19;20;21;22;23;24;25;26;27;28;28;29;30})</t>
  </si>
  <si>
    <t xml:space="preserve">_xlfn.FORECAST.ETS(10.5,{75.3;89;4.1;22;81.48;94;22;21;77;72.3;72.66;91;87;72.9},{1;2;3;4;5;6;7;8;9;10;11;12;13;14},7,0)</t>
  </si>
  <si>
    <t xml:space="preserve">_xlfn.ORG.LIBREOFFICE.FORECAST.ETS.STAT.MULT({75.3;89;4.1;22;81.48;94;22;21;77;72.3;72.66;91;87;72.9},{1;2;3;4;5;6;7;8;9;10;11;12;13;14},{5},7,0)</t>
  </si>
  <si>
    <t xml:space="preserve">_xlfn.FORECAST.ETS.SEASONALITY({75.3;89;4.1;22;81.48;94;22;21;77;72.3;72.66;91;87;72.9},{1;2;3;4;5;6;7;8;9;10;11;12;13;14})</t>
  </si>
  <si>
    <t xml:space="preserve">_xlfn.ORG.LIBREOFFICE.FORECAST.ETS.MULT(2.25,{21;32.2;33.77;34;46;44.22;45.7;57.32;55},{1;1.5;2;2.5;3;3.5;4;4.5;5},1,1)</t>
  </si>
  <si>
    <t xml:space="preserve">_xlfn.FORECAST.ETS.STAT({21;32.2;33.77;34;46;44.22;45.7;57.32;55},{1;1.5;2;2.5;3;3.5;4;4.5;5},{5},1,1)</t>
  </si>
  <si>
    <t xml:space="preserve">_xlfn.FORECAST.ETS.SEASONALITY({21;32.2;33.77;34;46;44.22;45.7;57.32;55},{1;1.5;2;2.5;3;3.5;4;4.5;5})</t>
  </si>
  <si>
    <t xml:space="preserve">_xlfn.ORG.LIBREOFFICE.FORECAST.ETS.MULT(45014.5,{16;3.3;11;7.7;-6;-2.1;-11.8;2.93;-12;-4;-8;-17;-14.9;-23.12},{45000;45001;45002;45003;45004;45005;45006;45007;45008;45009;45010;45011;45012;45013},4)</t>
  </si>
  <si>
    <t xml:space="preserve">_xlfn.ORG.LIBREOFFICE.FORECAST.ETS.STAT.MULT({16;3.3;11;7.7;-6;-2.1;-11.8;2.93;-12;-4;-8;-17;-14.9;-23.12},{45000;45001;45002;45003;45004;45005;45006;45007;45008;45009;45010;45011;45012;45013},{9;8;6;5;4;2;1;3;7},4)</t>
  </si>
  <si>
    <t xml:space="preserve">_xlfn.FORECAST.ETS.SEASONALITY({16;3.3;11;7.7;-6;-2.1;-11.8;2.93;-12;-4;-8;-17;-14.9;-23.12},{45000;45001;45002;45003;45004;45005;45006;45007;45008;45009;45010;45011;45012;45013},1)</t>
  </si>
  <si>
    <t xml:space="preserve">_xlfn.FORECAST.ETS({45471,45381},{48.4;52.4;45.4;52.12;13.3;49.9;44.52;47.8;38.5;47.1;44.2;38.5;41.3;34;43;39.82;32.61;36.3;27;35.7;34},{44773;44804;44834;44865;44865;44895;44926;44957;44985;45016;45046;45077;45107;45138;45169;45199;45230;45260;45291;45322;45351},1,0,3)</t>
  </si>
  <si>
    <t xml:space="preserve">_xlfn.ORG.LIBREOFFICE.FORECAST.ETS.STAT.MULT({48.4;52.4;45.4;52.12;13.3;49.9;44.52;47.8;38.5;47.1;44.2;38.5;41.3;34;43;39.82;32.61;36.3;27;35.7;34},{44773;44804;44834;44865;44865;44895;44926;44957;44985;45016;45046;45077;45107;45138;45169;45199;45230;45260;45291;45322;45351},{1},1,0,3)</t>
  </si>
  <si>
    <t xml:space="preserve">_xlfn.FORECAST.ETS.SEASONALITY({48.4;52.4;45.4;52.12;13.3;49.9;44.52;47.8;38.5;47.1;44.2;38.5;41.3;34;43;39.82;32.61;36.3;27;35.7;34},{44773;44804;44834;44865;44865;44895;44926;44957;44985;45016;45046;45077;45107;45138;45169;45199;45230;45260;45291;45322;45351})</t>
  </si>
  <si>
    <t xml:space="preserve">_xlfn.ORG.LIBREOFFICE.FORECAST.ETS.MULT(98,{38;43.1;47;53.2;58.34;61;67;72;76.98;81.05;84.57;90.16;96;101;105;111},{3;8;13;18;23;28;33;38;43;48;53;58;63;68;73;78},4,0,4)</t>
  </si>
  <si>
    <t xml:space="preserve">_xlfn.ORG.LIBREOFFICE.FORECAST.ETS.STAT.MULT({38;43.1;47;53.2;58.34;61;67;72;76.98;81.05;84.57;90.16;96;101;105;111},{3;8;13;18;23;28;33;38;43;48;53;58;63;68;73;78},{3;7},4,0,4)</t>
  </si>
  <si>
    <t xml:space="preserve">_xlfn.FORECAST.ETS.SEASONALITY({38;43.1;47;53.2;58.34;61;67;72;76.98;81.05;84.57;90.16;96;101;105;111},{3;8;13;18;23;28;33;38;43;48;53;58;63;68;73;78},1,6)</t>
  </si>
  <si>
    <t xml:space="preserve">_xlfn.FORECAST.ETS(60.75,{10.03;11.02;20.22;17.3;28;25.3;33;46;39},{3;10;17;24;31;38;52;59;66},2)</t>
  </si>
  <si>
    <t xml:space="preserve">_xlfn.FORECAST.ETS.STAT({10.03;11.02;20.22;17.3;28;25.3;33;46;39},{3;10;17;24;31;38;52;59;66},{2;3;5;9;4;8;7;6;1},2)</t>
  </si>
  <si>
    <t xml:space="preserve">_xlfn.FORECAST.ETS.SEASONALITY({10.03;11.02;20.22;17.3;28;25.3;33;46;39},{3;10;17;24;31;38;52;59;66},1,1)</t>
  </si>
  <si>
    <t xml:space="preserve">_xlfn.FORECAST.ETS(26,{58;69;36.57;51;74.18;78.36;77.8;89.95;48.36;67.8;94.1;100;99;111.4;60;82.03;116.66;122.58;117.56;132.76;71.08;99;137.4;144.4},{1;2;3;4;5;6;7;8;9;10;11;12;13;14;15;16;17;18;19;20;21;22;23;24},0,0)</t>
  </si>
  <si>
    <t xml:space="preserve">_xlfn.FORECAST.ETS.STAT({58;69;36.57;51;74.18;78.36;77.8;89.95;48.36;67.8;94.1;100;99;111.4;60;82.03;116.66;122.58;117.56;132.76;71.08;99;137.4;144.4},{1;2;3;4;5;6;7;8;9;10;11;12;13;14;15;16;17;18;19;20;21;22;23;24},{8;6},0,0)</t>
  </si>
  <si>
    <t xml:space="preserve">_xlfn.FORECAST.ETS.SEASONALITY({58;69;36.57;51;74.18;78.36;77.8;89.95;48.36;67.8;94.1;100;99;111.4;60;82.03;116.66;122.58;117.56;132.76;71.08;99;137.4;144.4},{1;2;3;4;5;6;7;8;9;10;11;12;13;14;15;16;17;18;19;20;21;22;23;24},0)</t>
  </si>
  <si>
    <t xml:space="preserve">_xlfn.FORECAST.ETS({13,11.5},{52.5;40.9;42.48;43;48;53.5;42.95;44.11;44;50.5},{1;2;3;4;5;6;7;8;9;10},5,,5)</t>
  </si>
  <si>
    <t xml:space="preserve">_xlfn.FORECAST.ETS.STAT({52.5;40.9;42.48;43;48;53.5;42.95;44.11;44;50.5},{1;2;3;4;5;6;7;8;9;10},{2},5,,5)</t>
  </si>
  <si>
    <t xml:space="preserve">_xlfn.FORECAST.ETS.SEASONALITY({52.5;40.9;42.48;43;48;53.5;42.95;44.11;44;50.5},{1;2;3;4;5;6;7;8;9;10},1,1)</t>
  </si>
  <si>
    <t xml:space="preserve">_xlfn.FORECAST.ETS({33,35,35},{24.35;24.3;24;24.35;24.3;24.3;24.35;24.35;24.35;24.3;24.3;24.3;24.3;24.35},{25;17;23;27;21;15;13;19;5;29;3;9;11;7},5,,4)</t>
  </si>
  <si>
    <t xml:space="preserve">_xlfn.FORECAST.ETS.STAT({24.35;24.3;24;24.35;24.3;24.3;24.35;24.35;24.35;24.3;24.3;24.3;24.3;24.35},{25;17;23;27;21;15;13;19;5;29;3;9;11;7},{8;7},5,,4)</t>
  </si>
  <si>
    <t xml:space="preserve">_xlfn.FORECAST.ETS.SEASONALITY({24.35;24.3;24;24.35;24.3;24.3;24.35;24.35;24.35;24.3;24.3;24.3;24.3;24.35},{25;17;23;27;21;15;13;19;5;29;3;9;11;7},0,2)</t>
  </si>
  <si>
    <t xml:space="preserve">_xlfn.ORG.LIBREOFFICE.FORECAST.ETS.PI.MULT({31;33;35},{24.35;24.3;24;24.35;24.3;24.3;24.35;24.35;24.35;24.3;24.3;24.3;24.3;24.35},{25;17;23;27;21;15;13;19;5;29;3;9;11;7},,0,0)</t>
  </si>
  <si>
    <t xml:space="preserve">_xlfn.FORECAST.ETS({8},{44.8;53.9;46.4;55.28;43.02;53.93},{1;2;3;4;5;6},2,0)</t>
  </si>
  <si>
    <t xml:space="preserve">_xlfn.ORG.LIBREOFFICE.FORECAST.ETS.STAT.MULT({44.8;53.9;46.4;55.28;43.02;53.93},{1;2;3;4;5;6},{8;7;2;3;5;9;6;4;1},2,0)</t>
  </si>
  <si>
    <t xml:space="preserve">_xlfn.FORECAST.ETS.SEASONALITY({44.8;53.9;46.4;55.28;43.02;53.93},{1;2;3;4;5;6},0,4)</t>
  </si>
  <si>
    <t xml:space="preserve">_xlfn.FORECAST.ETS({8,9},{26.61;31.16;37.82;41.81;48.8;53},{1;2;3;4;5;6},4)</t>
  </si>
  <si>
    <t xml:space="preserve">_xlfn.FORECAST.ETS.STAT({26.61;31.16;37.82;41.81;48.8;53},{1;2;3;4;5;6},{5},4)</t>
  </si>
  <si>
    <t xml:space="preserve">_xlfn.FORECAST.ETS.SEASONALITY({26.61;31.16;37.82;41.81;48.8;53},{1;2;3;4;5;6},1,2)</t>
  </si>
  <si>
    <t xml:space="preserve">_xlfn.FORECAST.ETS(11,{28;30.76;29.8;30;31.68;32.1;32.12;31;30.8;31.11;30.8;33;32.8;32.8},{1;2;3;4;5;7;8;9;10;11;12;13;14;15},5,1,6)</t>
  </si>
  <si>
    <t xml:space="preserve">_xlfn.ORG.LIBREOFFICE.FORECAST.ETS.STAT.MULT({28;30.76;29.8;30;31.68;32.1;32.12;31;30.8;31.11;30.8;33;32.8;32.8},{1;2;3;4;5;7;8;9;10;11;12;13;14;15},{5;2;7;6;8;1;4;9;3},5,1,6)</t>
  </si>
  <si>
    <t xml:space="preserve">_xlfn.FORECAST.ETS.SEASONALITY({28;30.76;29.8;30;31.68;32.1;32.12;31;30.8;31.11;30.8;33;32.8;32.8},{1;2;3;4;5;7;8;9;10;11;12;13;14;15})</t>
  </si>
  <si>
    <t xml:space="preserve">_xlfn.ORG.LIBREOFFICE.FORECAST.ETS.MULT({8.5;8.5;8.25},{22.82;40.7;36.79;30.6;28.63;25;28.77;46.28;54;42.3;35;33;27.07},{1;1.5;2.5;3;3.5;4;4.5;5;5.5;6;6.5;7;7.5},1,,6)</t>
  </si>
  <si>
    <t xml:space="preserve">_xlfn.FORECAST.ETS.STAT({22.82;40.7;36.79;30.6;28.63;25;28.77;46.28;54;42.3;35;33;27.07},{1;1.5;2.5;3;3.5;4;4.5;5;5.5;6;6.5;7;7.5},{2;3;4;8;6;5;9;7;1},1,,6)</t>
  </si>
  <si>
    <t xml:space="preserve">_xlfn.FORECAST.ETS.SEASONALITY({22.82;40.7;36.79;30.6;28.63;25;28.77;46.28;54;42.3;35;33;27.07},{1;1.5;2.5;3;3.5;4;4.5;5;5.5;6;6.5;7;7.5})</t>
  </si>
  <si>
    <t xml:space="preserve">_xlfn.ORG.LIBREOFFICE.FORECAST.ETS.MULT({9.5},{54.6;76.39;87.7;36.8;78.7;40.6;51;34;7},{1;2;3;4;5;6;7;8;9},0)</t>
  </si>
  <si>
    <t xml:space="preserve">_xlfn.FORECAST.ETS.STAT({54.6;76.39;87.7;36.8;78.7;40.6;51;34;7},{1;2;3;4;5;6;7;8;9},{5},0)</t>
  </si>
  <si>
    <t xml:space="preserve">_xlfn.FORECAST.ETS.SEASONALITY({54.6;76.39;87.7;36.8;78.7;40.6;51;34;7},{1;2;3;4;5;6;7;8;9},1,1)</t>
  </si>
  <si>
    <t xml:space="preserve">_xlfn.FORECAST.ETS.CONFINT(11,{54.6;76.39;87.7;36.8;78.7;40.6;51;34;7},{1;2;3;4;5;6;7;8;9},,0)</t>
  </si>
  <si>
    <t xml:space="preserve">_xlfn.FORECAST.ETS({5.25},{25;28;26;22.67;27;25;21.8;25;24},{1;1.5;2;2.5;3;3.5;4;4.5;5},3,1,4)</t>
  </si>
  <si>
    <t xml:space="preserve">_xlfn.ORG.LIBREOFFICE.FORECAST.ETS.STAT.MULT({25;28;26;22.67;27;25;21.8;25;24},{1;1.5;2;2.5;3;3.5;4;4.5;5},{5;6},3,1,4)</t>
  </si>
  <si>
    <t xml:space="preserve">_xlfn.FORECAST.ETS.SEASONALITY({25;28;26;22.67;27;25;21.8;25;24},{1;1.5;2;2.5;3;3.5;4;4.5;5})</t>
  </si>
  <si>
    <t xml:space="preserve">_xlfn.ORG.LIBREOFFICE.FORECAST.ETS.MULT({21;19.5},{10;13.49;18.6;21.9;27;35;38.73;43.45;47;51.7;55;61;65;67;72;77;81;84.93},{1;2;3;4;5;7;8;9;10;11;12;13;14;15;16;17;18;19},2)</t>
  </si>
  <si>
    <t xml:space="preserve">_xlfn.FORECAST.ETS.STAT({10;13.49;18.6;21.9;27;35;38.73;43.45;47;51.7;55;61;65;67;72;77;81;84.93},{1;2;3;4;5;7;8;9;10;11;12;13;14;15;16;17;18;19},{8;6;4;3;2;9;5;1;7},2)</t>
  </si>
  <si>
    <t xml:space="preserve">_xlfn.FORECAST.ETS.SEASONALITY({10;13.49;18.6;21.9;27;35;38.73;43.45;47;51.7;55;61;65;67;72;77;81;84.93},{1;2;3;4;5;7;8;9;10;11;12;13;14;15;16;17;18;19},1)</t>
  </si>
  <si>
    <t xml:space="preserve">_xlfn.ORG.LIBREOFFICE.FORECAST.ETS.MULT({44895,44910},{95.8;26;25.64;100;85.1;36.56;22.9;15.33;68},{44607;44635;44696;44727;44757;44788;44819;44849;44880},1,0,3)</t>
  </si>
  <si>
    <t xml:space="preserve">_xlfn.ORG.LIBREOFFICE.FORECAST.ETS.STAT.MULT({95.8;26;25.64;100;85.1;36.56;22.9;15.33;68},{44607;44635;44696;44727;44757;44788;44819;44849;44880},{8;6},1,0,3)</t>
  </si>
  <si>
    <t xml:space="preserve">_xlfn.FORECAST.ETS.SEASONALITY({95.8;26;25.64;100;85.1;36.56;22.9;15.33;68},{44607;44635;44696;44727;44757;44788;44819;44849;44880},0,4)</t>
  </si>
  <si>
    <t xml:space="preserve">_xlfn.ORG.LIBREOFFICE.FORECAST.ETS.MULT({9.5;9;9},{94.1;46.5;80;103;70.6;64;67;40.86;96.53;49.62;53.31;76;105.45;89.9;85;60},{7;1.5;5.5;8;4.5;3.5;4;1;7.5;2;2.5;5;8.5;6.5;6;3},1,0,7)</t>
  </si>
  <si>
    <t xml:space="preserve">_xlfn.ORG.LIBREOFFICE.FORECAST.ETS.STAT.MULT({94.1;46.5;80;103;70.6;64;67;40.86;96.53;49.62;53.31;76;105.45;89.9;85;60},{7;1.5;5.5;8;4.5;3.5;4;1;7.5;2;2.5;5;8.5;6.5;6;3},{6;5;3;9;8;1;7;4;2},1,0,7)</t>
  </si>
  <si>
    <t xml:space="preserve">_xlfn.FORECAST.ETS.SEASONALITY({94.1;46.5;80;103;70.6;64;67;40.86;96.53;49.62;53.31;76;105.45;89.9;85;60},{7;1.5;5.5;8;4.5;3.5;4;1;7.5;2;2.5;5;8.5;6.5;6;3})</t>
  </si>
  <si>
    <t xml:space="preserve">_xlfn.FORECAST.ETS(44958,{57.4;54.14;61.6;5.5;51;14;37.46;16;41;7.38;66;45.9;7.4;68.38;93.03;79.3;14.3;78},{44713;44743;44774;44805;44835;44866;44896;44958;44986;45017;45047;45078;45108;45139;45170;45200;45231;45261},5,0,2)</t>
  </si>
  <si>
    <t xml:space="preserve">_xlfn.ORG.LIBREOFFICE.FORECAST.ETS.STAT.MULT({57.4;54.14;61.6;5.5;51;14;37.46;16;41;7.38;66;45.9;7.4;68.38;93.03;79.3;14.3;78},{44713;44743;44774;44805;44835;44866;44896;44958;44986;45017;45047;45078;45108;45139;45170;45200;45231;45261},{2},5,0,2)</t>
  </si>
  <si>
    <t xml:space="preserve">_xlfn.FORECAST.ETS.SEASONALITY({57.4;54.14;61.6;5.5;51;14;37.46;16;41;7.38;66;45.9;7.4;68.38;93.03;79.3;14.3;78},{44713;44743;44774;44805;44835;44866;44896;44958;44986;45017;45047;45078;45108;45139;45170;45200;45231;45261})</t>
  </si>
  <si>
    <t xml:space="preserve">_xlfn.ORG.LIBREOFFICE.FORECAST.ETS.MULT({12.5;11;11},{14.4;29;29;16.99;36;21.81;40;42;20.27;48.1;28;51;51.05;25;61;34.5;61.8;62.7;33.4;73},{1;1.5;2;2.5;3;3.5;4;4.5;5;5.5;6;6.5;7;7.5;8;8.5;9;9.5;10;10.5},1,1,5)</t>
  </si>
  <si>
    <t xml:space="preserve">_xlfn.ORG.LIBREOFFICE.FORECAST.ETS.STAT.MULT({14.4;29;29;16.99;36;21.81;40;42;20.27;48.1;28;51;51.05;25;61;34.5;61.8;62.7;33.4;73},{1;1.5;2;2.5;3;3.5;4;4.5;5;5.5;6;6.5;7;7.5;8;8.5;9;9.5;10;10.5},{4;9},1,1,5)</t>
  </si>
  <si>
    <t xml:space="preserve">_xlfn.FORECAST.ETS.SEASONALITY({14.4;29;29;16.99;36;21.81;40;42;20.27;48.1;28;51;51.05;25;61;34.5;61.8;62.7;33.4;73},{1;1.5;2;2.5;3;3.5;4;4.5;5;5.5;6;6.5;7;7.5;8;8.5;9;9.5;10;10.5},0,6)</t>
  </si>
  <si>
    <t xml:space="preserve">_xlfn.ORG.LIBREOFFICE.FORECAST.ETS.MULT({10;8.75},{23.79;19.76;20.5;17.07;20;15;13;16.3;13.04;8.26;10.9;8;6;8.7},{1;1.5;2.5;3;3.5;4;4.5;5;5.5;6;6.5;7;7.5;8},3,1,5)</t>
  </si>
  <si>
    <t xml:space="preserve">_xlfn.ORG.LIBREOFFICE.FORECAST.ETS.STAT.MULT({23.79;19.76;20.5;17.07;20;15;13;16.3;13.04;8.26;10.9;8;6;8.7},{1;1.5;2.5;3;3.5;4;4.5;5;5.5;6;6.5;7;7.5;8},{9;2;8;4;6;5;7;3;1},3,1,5)</t>
  </si>
  <si>
    <t xml:space="preserve">_xlfn.FORECAST.ETS.SEASONALITY({23.79;19.76;20.5;17.07;20;15;13;16.3;13.04;8.26;10.9;8;6;8.7},{1;1.5;2.5;3;3.5;4;4.5;5;5.5;6;6.5;7;7.5;8})</t>
  </si>
  <si>
    <t xml:space="preserve">_xlfn.FORECAST.ETS.CONFINT({8.5;9;9.5},{23.79;19.76;20.5;17.07;20;15;13;16.3;13.04;8.26;10.9;8;6;8.7},{1;1.5;2.5;3;3.5;4;4.5;5;5.5;6;6.5;7;7.5;8},0.95,0,1,4)</t>
  </si>
  <si>
    <t xml:space="preserve">_xlfn.FORECAST.ETS({45167,45167,45167},{17;31.8;31.31;23;26;24;31;31.5;26.09;24.42;25.85;17.14},{45046;44895;44773;44804;44957;45016;44834;44742;45077;44865;44926;44985})</t>
  </si>
  <si>
    <t xml:space="preserve">_xlfn.FORECAST.ETS.STAT({17;31.8;31.31;23;26;24;31;31.5;26.09;24.42;25.85;17.14},{45046;44895;44773;44804;44957;45016;44834;44742;45077;44865;44926;44985},{7})</t>
  </si>
  <si>
    <t xml:space="preserve">_xlfn.FORECAST.ETS.SEASONALITY({17;31.8;31.31;23;26;24;31;31.5;26.09;24.42;25.85;17.14},{45046;44895;44773;44804;44957;45016;44834;44742;45077;44865;44926;44985})</t>
  </si>
  <si>
    <t xml:space="preserve">_xlfn.ORG.LIBREOFFICE.FORECAST.ETS.MULT(45011,{49;40.5;47;55;50;57;47;53.7;59.5;55.27},{45000;45001;45002;45003;45004;45005;45006;45007;45008;45009},0,1)</t>
  </si>
  <si>
    <t xml:space="preserve">_xlfn.FORECAST.ETS.STAT({49;40.5;47;55;50;57;47;53.7;59.5;55.27},{45000;45001;45002;45003;45004;45005;45006;45007;45008;45009},{6},0,1)</t>
  </si>
  <si>
    <t xml:space="preserve">_xlfn.FORECAST.ETS.SEASONALITY({49;40.5;47;55;50;57;47;53.7;59.5;55.27},{45000;45001;45002;45003;45004;45005;45006;45007;45008;45009},1)</t>
  </si>
  <si>
    <t xml:space="preserve">_xlfn.ORG.LIBREOFFICE.FORECAST.ETS.MULT(218,{20.3;26;29.2;34.5;39;42.4;49;52.07;58;61;65.31;68.77;74;78.5;81.67;85.62;92.1;38;95.9;100;105;109.06},{3;13;23;33;43;53;63;73;83;93;103;113;123;133;143;153;163;163;173;183;193;203})</t>
  </si>
  <si>
    <t xml:space="preserve">_xlfn.ORG.LIBREOFFICE.FORECAST.ETS.STAT.MULT({20.3;26;29.2;34.5;39;42.4;49;52.07;58;61;65.31;68.77;74;78.5;81.67;85.62;92.1;38;95.9;100;105;109.06},{3;13;23;33;43;53;63;73;83;93;103;113;123;133;143;153;163;163;173;183;193;203},{1;8;9;3;2;7;5;4;6})</t>
  </si>
  <si>
    <t xml:space="preserve">_xlfn.FORECAST.ETS.SEASONALITY({20.3;26;29.2;34.5;39;42.4;49;52.07;58;61;65.31;68.77;74;78.5;81.67;85.62;92.1;38;95.9;100;105;109.06},{3;13;23;33;43;53;63;73;83;93;103;113;123;133;143;153;163;163;173;183;193;203},1)</t>
  </si>
  <si>
    <t xml:space="preserve">_xlfn.ORG.LIBREOFFICE.FORECAST.ETS.MULT({45502;45502},{55;41;46;42.8;60.7;52.9;84;59.7;66.12;59;87;73;110.6;78.04;86;76.5;108;91},{44865;44895;44926;44957;44985;45016;45046;45077;45107;45138;45169;45199;45230;45260;45291;45322;45351;45382},0,0)</t>
  </si>
  <si>
    <t xml:space="preserve">_xlfn.ORG.LIBREOFFICE.FORECAST.ETS.STAT.MULT({55;41;46;42.8;60.7;52.9;84;59.7;66.12;59;87;73;110.6;78.04;86;76.5;108;91},{44865;44895;44926;44957;44985;45016;45046;45077;45107;45138;45169;45199;45230;45260;45291;45322;45351;45382},{1},0,0)</t>
  </si>
  <si>
    <t xml:space="preserve">_xlfn.FORECAST.ETS.SEASONALITY({55;41;46;42.8;60.7;52.9;84;59.7;66.12;59;87;73;110.6;78.04;86;76.5;108;91},{44865;44895;44926;44957;44985;45016;45046;45077;45107;45138;45169;45199;45230;45260;45291;45322;45351;45382},1,4)</t>
  </si>
  <si>
    <t xml:space="preserve">_xlfn.ORG.LIBREOFFICE.FORECAST.ETS.MULT(13.5,{39.27;40;41.73;40.83},{24;3;10;17})</t>
  </si>
  <si>
    <t xml:space="preserve">_xlfn.ORG.LIBREOFFICE.FORECAST.ETS.STAT.MULT({39.27;40;41.73;40.83},{24;3;10;17},{6;9;4;5;7;3;2;8;1})</t>
  </si>
  <si>
    <t xml:space="preserve">_xlfn.FORECAST.ETS.SEASONALITY({39.27;40;41.73;40.83},{24;3;10;17})</t>
  </si>
  <si>
    <t xml:space="preserve">_xlfn.FORECAST.ETS.CONFINT({31;38;45},{39.27;40;41.73;40.83},{24;3;10;17},0,0,1,2)</t>
  </si>
  <si>
    <t xml:space="preserve">_xlfn.ORG.LIBREOFFICE.FORECAST.ETS.MULT({24.5;25.5},{42.8;46.7;52;55.2;58;61.51;65;67.8;71.09;75.12;79.46;82;89;93.8;97;100.14;104.74;108.32;112.5;115;119;121.6;125.8},{1;2;3;4;5;6;7;8;9;10;11;12;14;15;16;17;18;19;20;21;22;23;24})</t>
  </si>
  <si>
    <t xml:space="preserve">_xlfn.FORECAST.ETS.STAT({42.8;46.7;52;55.2;58;61.51;65;67.8;71.09;75.12;79.46;82;89;93.8;97;100.14;104.74;108.32;112.5;115;119;121.6;125.8},{1;2;3;4;5;6;7;8;9;10;11;12;14;15;16;17;18;19;20;21;22;23;24},{8})</t>
  </si>
  <si>
    <t xml:space="preserve">_xlfn.FORECAST.ETS.SEASONALITY({42.8;46.7;52;55.2;58;61.51;65;67.8;71.09;75.12;79.46;82;89;93.8;97;100.14;104.74;108.32;112.5;115;119;121.6;125.8},{1;2;3;4;5;6;7;8;9;10;11;12;14;15;16;17;18;19;20;21;22;23;24})</t>
  </si>
  <si>
    <t xml:space="preserve">_xlfn.ORG.LIBREOFFICE.FORECAST.ETS.MULT({4.5},{21;35.3;20.05;36.36},{1;1.5;2;2.5})</t>
  </si>
  <si>
    <t xml:space="preserve">_xlfn.FORECAST.ETS.STAT({21;35.3;20.05;36.36},{1;1.5;2;2.5},{1})</t>
  </si>
  <si>
    <t xml:space="preserve">_xlfn.FORECAST.ETS.SEASONALITY({21;35.3;20.05;36.36},{1;1.5;2;2.5})</t>
  </si>
  <si>
    <t xml:space="preserve">_xlfn.FORECAST.ETS.CONFINT({3;3.5;4},{21;35.3;20.05;36.36},{1;1.5;2;2.5},0.95,0)</t>
  </si>
  <si>
    <t xml:space="preserve">_xlfn.FORECAST.ETS({45137},{88;24.23;33;55;64.21;21.25;75.1;52.66;53.5;23.45;36.2;17;41.5;56.4;20;77.7},{44651;44681;44712;44742;44773;44804;44834;44865;44895;44926;44957;44985;45016;45046;45077;45107},5,0,5)</t>
  </si>
  <si>
    <t xml:space="preserve">_xlfn.FORECAST.ETS.STAT({88;24.23;33;55;64.21;21.25;75.1;52.66;53.5;23.45;36.2;17;41.5;56.4;20;77.7},{44651;44681;44712;44742;44773;44804;44834;44865;44895;44926;44957;44985;45016;45046;45077;45107},{4;2;7;9;3;6;8;1;5},5,0,5)</t>
  </si>
  <si>
    <t xml:space="preserve">_xlfn.FORECAST.ETS.SEASONALITY({88;24.23;33;55;64.21;21.25;75.1;52.66;53.5;23.45;36.2;17;41.5;56.4;20;77.7},{44651;44681;44712;44742;44773;44804;44834;44865;44895;44926;44957;44985;45016;45046;45077;45107},1)</t>
  </si>
  <si>
    <t xml:space="preserve">_xlfn.FORECAST.ETS({22,22},{22.84;20.79;28;16.76;27;22.5;17.3;25.47;28.42;21.2;19.78;25.9;27.9;24.95;19.8;24.15;24;21;19.73;30},{15;7;19;5;17;9;1;8;13;6;2;12;16;20;4;14;11;3;10;18},5)</t>
  </si>
  <si>
    <t xml:space="preserve">_xlfn.ORG.LIBREOFFICE.FORECAST.ETS.STAT.MULT({22.84;20.79;28;16.76;27;22.5;17.3;25.47;28.42;21.2;19.78;25.9;27.9;24.95;19.8;24.15;24;21;19.73;30},{15;7;19;5;17;9;1;8;13;6;2;12;16;20;4;14;11;3;10;18},{6;4},5)</t>
  </si>
  <si>
    <t xml:space="preserve">_xlfn.FORECAST.ETS.SEASONALITY({22.84;20.79;28;16.76;27;22.5;17.3;25.47;28.42;21.2;19.78;25.9;27.9;24.95;19.8;24.15;24;21;19.73;30},{15;7;19;5;17;9;1;8;13;6;2;12;16;20;4;14;11;3;10;18})</t>
  </si>
  <si>
    <t xml:space="preserve">_xlfn.ORG.LIBREOFFICE.FORECAST.ETS.MULT({88,78,83},{50.04;53.1;57.1;62.42;66.12;67.9;73.4;77.3},{3;13;23;33;43;53;63;73},1)</t>
  </si>
  <si>
    <t xml:space="preserve">_xlfn.FORECAST.ETS.STAT({50.04;53.1;57.1;62.42;66.12;67.9;73.4;77.3},{3;13;23;33;43;53;63;73},{7},1)</t>
  </si>
  <si>
    <t xml:space="preserve">_xlfn.FORECAST.ETS.SEASONALITY({50.04;53.1;57.1;62.42;66.12;67.9;73.4;77.3},{3;13;23;33;43;53;63;73})</t>
  </si>
  <si>
    <t xml:space="preserve">_xlfn.FORECAST.ETS.CONFINT(93,{50.04;53.1;57.1;62.42;66.12;67.9;73.4;77.3},{3;13;23;33;43;53;63;73},0.95,0,1,5)</t>
  </si>
  <si>
    <t xml:space="preserve">_xlfn.FORECAST.ETS({45020.5;45022;45021},{38.08;42;45.6;51.37;54;58;62;66.49;71;77.3;81.4;84.3;90.45;29;93.95;100;104;107;111.2;116;121.93},{45000;45001;45002;45003;45004;45005;45006;45007;45008;45009;45010;45011;45012;45012;45013;45014;45015;45016;45017;45018;45019})</t>
  </si>
  <si>
    <t xml:space="preserve">_xlfn.FORECAST.ETS.STAT({38.08;42;45.6;51.37;54;58;62;66.49;71;77.3;81.4;84.3;90.45;29;93.95;100;104;107;111.2;116;121.93},{45000;45001;45002;45003;45004;45005;45006;45007;45008;45009;45010;45011;45012;45012;45013;45014;45015;45016;45017;45018;45019},{3;1;6;9;2;7;8;5;4})</t>
  </si>
  <si>
    <t xml:space="preserve">_xlfn.FORECAST.ETS.SEASONALITY({38.08;42;45.6;51.37;54;58;62;66.49;71;77.3;81.4;84.3;90.45;29;93.95;100;104;107;111.2;116;121.93},{45000;45001;45002;45003;45004;45005;45006;45007;45008;45009;45010;45011;45012;45012;45013;45014;45015;45016;45017;45018;45019},0)</t>
  </si>
  <si>
    <t xml:space="preserve">_xlfn.FORECAST.ETS({45018;45015},{35;35.2;35;35.22;35.2;35;35.22;35.22;35.22;35.22;35;35;35.2;35;35.2},{45010;45007;45014;45003;45012;45013;45008;45000;45006;45001;45004;45011;45002;45005;45009},3,1)</t>
  </si>
  <si>
    <t xml:space="preserve">_xlfn.ORG.LIBREOFFICE.FORECAST.ETS.STAT.MULT({35;35.2;35;35.22;35.2;35;35.22;35.22;35.22;35.22;35;35;35.2;35;35.2},{45010;45007;45014;45003;45012;45013;45008;45000;45006;45001;45004;45011;45002;45005;45009},{2;6;4;5;9;1;3;7;8},3,1)</t>
  </si>
  <si>
    <t xml:space="preserve">_xlfn.FORECAST.ETS.SEASONALITY({35;35.2;35;35.22;35.2;35;35.22;35.22;35.22;35.22;35;35;35.2;35;35.2},{45010;45007;45014;45003;45012;45013;45008;45000;45006;45001;45004;45011;45002;45005;45009})</t>
  </si>
  <si>
    <t xml:space="preserve">_xlfn.FORECAST.ETS.CONFINT(45016,{35;35.2;35;35.22;35.2;35;35.22;35.22;35.22;35.22;35;35;35.2;35;35.2},{45010;45007;45014;45003;45012;45013;45008;45000;45006;45001;45004;45011;45002;45005;45009},0,0,1,4)</t>
  </si>
  <si>
    <t xml:space="preserve">_xlfn.ORG.LIBREOFFICE.FORECAST.ETS.MULT({45030;45030},{39.18;39.18;39.2;39;39.2;14.7;39;39;39.18;39;39.18;39.2},{44681;44712;44742;44773;44804;44804;44834;44865;44895;44926;44957;44985},7,,2)</t>
  </si>
  <si>
    <t xml:space="preserve">_xlfn.ORG.LIBREOFFICE.FORECAST.ETS.STAT.MULT({39.18;39.18;39.2;39;39.2;14.7;39;39;39.18;39;39.18;39.2},{44681;44712;44742;44773;44804;44804;44834;44865;44895;44926;44957;44985},{4;1},7,,2)</t>
  </si>
  <si>
    <t xml:space="preserve">_xlfn.FORECAST.ETS.SEASONALITY({39.18;39.18;39.2;39;39.2;14.7;39;39;39.18;39;39.18;39.2},{44681;44712;44742;44773;44804;44804;44834;44865;44895;44926;44957;44985},0)</t>
  </si>
  <si>
    <t xml:space="preserve">_xlfn.FORECAST.ETS({36;36.5;37},{21.8;26.94;31;37.87;32.35;39.03;34.21;35.6;39.2;43;49.53;46;52;45.6;44.97;50;55.9;62;57.64;64.78;58.5;57.39;62.27;68;74;69.9;75;70;69.99;75.11;80.3;86.8;83;88;83},{1;2;3;4;5;6;7;8;9;10;11;12;13;14;15;16;17;18;19;20;21;22;23;24;25;26;27;28;29;30;31;32;33;34;35},1)</t>
  </si>
  <si>
    <t xml:space="preserve">_xlfn.ORG.LIBREOFFICE.FORECAST.ETS.STAT.MULT({21.8;26.94;31;37.87;32.35;39.03;34.21;35.6;39.2;43;49.53;46;52;45.6;44.97;50;55.9;62;57.64;64.78;58.5;57.39;62.27;68;74;69.9;75;70;69.99;75.11;80.3;86.8;83;88;83},{1;2;3;4;5;6;7;8;9;10;11;12;13;14;15;16;17;18;19;20;21;22;23;24;25;26;27;28;29;30;31;32;33;34;35},{6;9;8;3;5;7;4;1;2},1)</t>
  </si>
  <si>
    <t xml:space="preserve">_xlfn.FORECAST.ETS.SEASONALITY({21.8;26.94;31;37.87;32.35;39.03;34.21;35.6;39.2;43;49.53;46;52;45.6;44.97;50;55.9;62;57.64;64.78;58.5;57.39;62.27;68;74;69.9;75;70;69.99;75.11;80.3;86.8;83;88;83},{1;2;3;4;5;6;7;8;9;10;11;12;13;14;15;16;17;18;19;20;21;22;23;24;25;26;27;28;29;30;31;32;33;34;35})</t>
  </si>
  <si>
    <t xml:space="preserve">_xlfn.ORG.LIBREOFFICE.FORECAST.ETS.MULT({45442,45427},{15.39;15;15.4;15;15.39;15.39;15.4;15.4;15.39;15;15.39;15.39;15.4;15;15;15.39;15.39;15.39;15.39;15.4;15.39;15.39;15.39},{44712;44742;44773;44804;44834;44865;44895;44926;44957;44985;45016;45077;45107;45138;45169;45199;45230;45260;45291;45322;45351;45382;45412})</t>
  </si>
  <si>
    <t xml:space="preserve">_xlfn.FORECAST.ETS.STAT({15.39;15;15.4;15;15.39;15.39;15.4;15.4;15.39;15;15.39;15.39;15.4;15;15;15.39;15.39;15.39;15.39;15.4;15.39;15.39;15.39},{44712;44742;44773;44804;44834;44865;44895;44926;44957;44985;45016;45077;45107;45138;45169;45199;45230;45260;45291;45322;45351;45382;45412},{9})</t>
  </si>
  <si>
    <t xml:space="preserve">_xlfn.FORECAST.ETS.SEASONALITY({15.39;15;15.4;15;15.39;15.39;15.4;15.4;15.39;15;15.39;15.39;15.4;15;15;15.39;15.39;15.39;15.39;15.4;15.39;15.39;15.39},{44712;44742;44773;44804;44834;44865;44895;44926;44957;44985;45016;45077;45107;45138;45169;45199;45230;45260;45291;45322;45351;45382;45412})</t>
  </si>
  <si>
    <t xml:space="preserve">_xlfn.FORECAST.ETS(15.5,{30.6;36.93;39.3;44;47.57;53;57.45;60.8;65.88;72.3;76.6;79.26;84.22;88},{1;2;3;4;5;6;7;8;9;10;11;12;13;14},1,1)</t>
  </si>
  <si>
    <t xml:space="preserve">_xlfn.ORG.LIBREOFFICE.FORECAST.ETS.STAT.MULT({30.6;36.93;39.3;44;47.57;53;57.45;60.8;65.88;72.3;76.6;79.26;84.22;88},{1;2;3;4;5;6;7;8;9;10;11;12;13;14},{5;1;7;8;3;2;4;9;6},1,1)</t>
  </si>
  <si>
    <t xml:space="preserve">_xlfn.FORECAST.ETS.SEASONALITY({30.6;36.93;39.3;44;47.57;53;57.45;60.8;65.88;72.3;76.6;79.26;84.22;88},{1;2;3;4;5;6;7;8;9;10;11;12;13;14},0)</t>
  </si>
  <si>
    <t xml:space="preserve">_xlfn.ORG.LIBREOFFICE.FORECAST.ETS.MULT({5.5,3.75},{16.02;17.7;22;23.2;27.1;30.64},{1;1.5;2;2.5;3;3.5},4,0,3)</t>
  </si>
  <si>
    <t xml:space="preserve">_xlfn.FORECAST.ETS.STAT({16.02;17.7;22;23.2;27.1;30.64},{1;1.5;2;2.5;3;3.5},{9},4,0,3)</t>
  </si>
  <si>
    <t xml:space="preserve">_xlfn.FORECAST.ETS.SEASONALITY({16.02;17.7;22;23.2;27.1;30.64},{1;1.5;2;2.5;3;3.5},0)</t>
  </si>
  <si>
    <t xml:space="preserve">_xlfn.ORG.LIBREOFFICE.FORECAST.ETS.MULT({12,11.25,11.75},{15.5;15;15.48;15;15.5;15.5;15;15;15;15.5;15;15.5;15;15.48;15.5;15;15;15.5;15;15.5;15.48},{1;1.5;2;2.5;3;3.5;4;4.5;5;5.5;6;6.5;7;7.5;8;8.5;9;9.5;10;10.5;11},1,0)</t>
  </si>
  <si>
    <t xml:space="preserve">_xlfn.FORECAST.ETS.STAT({15.5;15;15.48;15;15.5;15.5;15;15;15;15.5;15;15.5;15;15.48;15.5;15;15;15.5;15;15.5;15.48},{1;1.5;2;2.5;3;3.5;4;4.5;5;5.5;6;6.5;7;7.5;8;8.5;9;9.5;10;10.5;11},{6;7;9;5;2;4;8;3;1},1,0)</t>
  </si>
  <si>
    <t xml:space="preserve">_xlfn.FORECAST.ETS.SEASONALITY({15.5;15;15.48;15;15.5;15.5;15;15;15;15.5;15;15.5;15;15.48;15.5;15;15;15.5;15;15.5;15.48},{1;1.5;2;2.5;3;3.5;4;4.5;5;5.5;6;6.5;7;7.5;8;8.5;9;9.5;10;10.5;11},0)</t>
  </si>
  <si>
    <t xml:space="preserve">_xlfn.FORECAST.ETS({45164},{64.55;40.12;69.9;30.1;41.7;72.25;46.9;77;48.68},{44862;44893;44923;44923;44954;44985;45013;45044;45074})</t>
  </si>
  <si>
    <t xml:space="preserve">_xlfn.FORECAST.ETS.STAT({64.55;40.12;69.9;30.1;41.7;72.25;46.9;77;48.68},{44862;44893;44923;44923;44954;44985;45013;45044;45074},{3;4})</t>
  </si>
  <si>
    <t xml:space="preserve">_xlfn.FORECAST.ETS.SEASONALITY({64.55;40.12;69.9;30.1;41.7;72.25;46.9;77;48.68},{44862;44893;44923;44923;44954;44985;45013;45044;45074},1,3)</t>
  </si>
  <si>
    <t xml:space="preserve">_xlfn.FORECAST.ETS({45287,45242,45287},{29.95;29.95;29.95;29.9;29.95;30;29.9;30;29.95;29.9;29.9;29.9;29.95;29.9;29.9;29.9},{44740;44770;44801;44832;44862;44893;44923;44954;44985;45013;45074;45105;45135;45166;45197;45227},2)</t>
  </si>
  <si>
    <t xml:space="preserve">_xlfn.ORG.LIBREOFFICE.FORECAST.ETS.STAT.MULT({29.95;29.95;29.95;29.9;29.95;30;29.9;30;29.95;29.9;29.9;29.9;29.95;29.9;29.9;29.9},{44740;44770;44801;44832;44862;44893;44923;44954;44985;45013;45074;45105;45135;45166;45197;45227},{5;6;2;4;9;3;1;8;7},2)</t>
  </si>
  <si>
    <t xml:space="preserve">_xlfn.FORECAST.ETS.SEASONALITY({29.95;29.95;29.95;29.9;29.95;30;29.9;30;29.95;29.9;29.9;29.9;29.95;29.9;29.9;29.9},{44740;44770;44801;44832;44862;44893;44923;44954;44985;45013;45074;45105;45135;45166;45197;45227})</t>
  </si>
  <si>
    <t xml:space="preserve">_xlfn.FORECAST.ETS({44877},{9.96;23.41;11.73;23.6;13;24.45},{44607;44635;44666;44696;44727;44757})</t>
  </si>
  <si>
    <t xml:space="preserve">_xlfn.FORECAST.ETS.STAT({9.96;23.41;11.73;23.6;13;24.45},{44607;44635;44666;44696;44727;44757},{8})</t>
  </si>
  <si>
    <t xml:space="preserve">_xlfn.FORECAST.ETS.SEASONALITY({9.96;23.41;11.73;23.6;13;24.45},{44607;44635;44666;44696;44727;44757},1)</t>
  </si>
  <si>
    <t xml:space="preserve">_xlfn.FORECAST.ETS({45322,45322,45307},{49.4;48;34;68;98;64.5;79;63.8;73.67;15;28.9;56;46.2;25.67;63.4;99.4;72;12.8;19;55.6;67;61.2;37.7;20.26;6.3},{44593;44621;44652;44682;44713;44743;44774;44805;44835;44866;44896;44927;44958;44986;45017;45047;45078;45108;45139;45170;45200;45231;45231;45261;45292},2)</t>
  </si>
  <si>
    <t xml:space="preserve">_xlfn.ORG.LIBREOFFICE.FORECAST.ETS.STAT.MULT({49.4;48;34;68;98;64.5;79;63.8;73.67;15;28.9;56;46.2;25.67;63.4;99.4;72;12.8;19;55.6;67;61.2;37.7;20.26;6.3},{44593;44621;44652;44682;44713;44743;44774;44805;44835;44866;44896;44927;44958;44986;45017;45047;45078;45108;45139;45170;45200;45231;45231;45261;45292},{3;6;2;5;1;4;8;9;7},2)</t>
  </si>
  <si>
    <t xml:space="preserve">_xlfn.FORECAST.ETS.SEASONALITY({49.4;48;34;68;98;64.5;79;63.8;73.67;15;28.9;56;46.2;25.67;63.4;99.4;72;12.8;19;55.6;67;61.2;37.7;20.26;6.3},{44593;44621;44652;44682;44713;44743;44774;44805;44835;44866;44896;44927;44958;44986;45017;45047;45078;45108;45139;45170;45200;45231;45231;45261;45292},0)</t>
  </si>
  <si>
    <t xml:space="preserve">_xlfn.ORG.LIBREOFFICE.FORECAST.ETS.MULT({10.5;9.5},{30.5;18.1;29.33;29;30;30.3;29;29;29.34;31.2},{1;1;2;3;4;5;6;7;8;9},1,,6)</t>
  </si>
  <si>
    <t xml:space="preserve">_xlfn.FORECAST.ETS.STAT({30.5;18.1;29.33;29;30;30.3;29;29;29.34;31.2},{1;1;2;3;4;5;6;7;8;9},{1},1,,6)</t>
  </si>
  <si>
    <t xml:space="preserve">_xlfn.FORECAST.ETS.SEASONALITY({30.5;18.1;29.33;29;30;30.3;29;29;29.34;31.2},{1;1;2;3;4;5;6;7;8;9},0,5)</t>
  </si>
  <si>
    <t xml:space="preserve">_xlfn.FORECAST.ETS.CONFINT({10;11;12},{30.5;18.1;29.33;29;30;30.3;29;29;29.34;31.2},{1;1;2;3;4;5;6;7;8;9},1,0,1,3)</t>
  </si>
  <si>
    <t xml:space="preserve">_xlfn.FORECAST.ETS(45776,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,4)</t>
  </si>
  <si>
    <t xml:space="preserve">_xlfn.FORECAST.ETS.STAT(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,{2;9;1;6;3;4;5;7;8},4)</t>
  </si>
  <si>
    <t xml:space="preserve">_xlfn.FORECAST.ETS.SEASONALITY(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)</t>
  </si>
  <si>
    <t xml:space="preserve">_xlfn.ORG.LIBREOFFICE.FORECAST.ETS.MULT({12.5},{9;9;9;9;9;9;9;9;9;9;9;9;9.03;9.03;9.03;9;9.03;9;9;9.03},{1;1.5;2;2.5;3;3.5;4;4.5;5;5.5;6;6.5;7;7.5;8;8.5;9;9.5;10;10.5},2,1,4)</t>
  </si>
  <si>
    <t xml:space="preserve">_xlfn.ORG.LIBREOFFICE.FORECAST.ETS.STAT.MULT({9;9;9;9;9;9;9;9;9;9;9;9;9.03;9.03;9.03;9;9.03;9;9;9.03},{1;1.5;2;2.5;3;3.5;4;4.5;5;5.5;6;6.5;7;7.5;8;8.5;9;9.5;10;10.5},{5;7},2,1,4)</t>
  </si>
  <si>
    <t xml:space="preserve">_xlfn.FORECAST.ETS.SEASONALITY({9;9;9;9;9;9;9;9;9;9;9;9;9.03;9.03;9.03;9;9.03;9;9;9.03},{1;1.5;2;2.5;3;3.5;4;4.5;5;5.5;6;6.5;7;7.5;8;8.5;9;9.5;10;10.5},1,1)</t>
  </si>
  <si>
    <t xml:space="preserve">_xlfn.ORG.LIBREOFFICE.FORECAST.ETS.MULT({22,19,20},{51.11;36.89;66;34.15;18.62;79.06;6;74;74.9;27.29;80.1;58.98;88.9;22.7;25.2;10;9;53;83},{1;2;3;4;5;6;7;8;9;10;11;12;13;14;14;15;16;17;18},2,1,2)</t>
  </si>
  <si>
    <t xml:space="preserve">_xlfn.ORG.LIBREOFFICE.FORECAST.ETS.STAT.MULT({51.11;36.89;66;34.15;18.62;79.06;6;74;74.9;27.29;80.1;58.98;88.9;22.7;25.2;10;9;53;83},{1;2;3;4;5;6;7;8;9;10;11;12;13;14;14;15;16;17;18},{3;8},2,1,2)</t>
  </si>
  <si>
    <t xml:space="preserve">_xlfn.FORECAST.ETS.SEASONALITY({51.11;36.89;66;34.15;18.62;79.06;6;74;74.9;27.29;80.1;58.98;88.9;22.7;25.2;10;9;53;83},{1;2;3;4;5;6;7;8;9;10;11;12;13;14;14;15;16;17;18},0,5)</t>
  </si>
  <si>
    <t xml:space="preserve">_xlfn.FORECAST.ETS({143,123,133},{26;20.3;16;30.8;10.45;28.2;13.9;20;24.13;28;14.7;11.7},{83;63;43;113;3;103;23;53;73;93;33;13},4)</t>
  </si>
  <si>
    <t xml:space="preserve">_xlfn.ORG.LIBREOFFICE.FORECAST.ETS.STAT.MULT({26;20.3;16;30.8;10.45;28.2;13.9;20;24.13;28;14.7;11.7},{83;63;43;113;3;103;23;53;73;93;33;13},{1;3;5;4;7;8;6;9;2},4)</t>
  </si>
  <si>
    <t xml:space="preserve">_xlfn.FORECAST.ETS.SEASONALITY({26;20.3;16;30.8;10.45;28.2;13.9;20;24.13;28;14.7;11.7},{83;63;43;113;3;103;23;53;73;93;33;13},1)</t>
  </si>
  <si>
    <t xml:space="preserve">_xlfn.ORG.LIBREOFFICE.FORECAST.ETS.MULT({24,22},{14;19;10.3;17.6;16.2;21.8;14;20.4;21.75;26.7;13.4;23.3;24;31;17.1;29.09;28;37;17.9;31.62},{1;2;3;4;5;6;7;8;9;10;11;12;13;14;15;16;17;18;19;20},3)</t>
  </si>
  <si>
    <t xml:space="preserve">_xlfn.FORECAST.ETS.STAT({14;19;10.3;17.6;16.2;21.8;14;20.4;21.75;26.7;13.4;23.3;24;31;17.1;29.09;28;37;17.9;31.62},{1;2;3;4;5;6;7;8;9;10;11;12;13;14;15;16;17;18;19;20},{6;5},3)</t>
  </si>
  <si>
    <t xml:space="preserve">_xlfn.FORECAST.ETS.SEASONALITY({14;19;10.3;17.6;16.2;21.8;14;20.4;21.75;26.7;13.4;23.3;24;31;17.1;29.09;28;37;17.9;31.62},{1;2;3;4;5;6;7;8;9;10;11;12;13;14;15;16;17;18;19;20})</t>
  </si>
  <si>
    <t xml:space="preserve">_xlfn.ORG.LIBREOFFICE.FORECAST.ETS.MULT(1,{62;47.5;34;50.46;57;46.88;26.2;36.6;35.32},{5;3.5;1;4.5;4;2.5;1.5;3;2},1,1,7)</t>
  </si>
  <si>
    <t xml:space="preserve">_xlfn.ORG.LIBREOFFICE.FORECAST.ETS.STAT.MULT({62;47.5;34;50.46;57;46.88;26.2;36.6;35.32},{5;3.5;1;4.5;4;2.5;1.5;3;2},{8;3;4;5;7;9;2;6;1},1,1,7)</t>
  </si>
  <si>
    <t xml:space="preserve">_xlfn.FORECAST.ETS.SEASONALITY({62;47.5;34;50.46;57;46.88;26.2;36.6;35.32},{5;3.5;1;4.5;4;2.5;1.5;3;2})</t>
  </si>
  <si>
    <t xml:space="preserve">_xlfn.FORECAST.ETS({25},{22.5;27.9;45.6;28.5;22.71;32.66;65.36;45.4;56;84;50;41.2;50;104.5;71.39;83;124;70.26;59;70.5;142.94},{1;2;3;4;5;6;7;8;9;10;11;12;13;14;15;16;17;18;19;20;21},0,,2)</t>
  </si>
  <si>
    <t xml:space="preserve">_xlfn.ORG.LIBREOFFICE.FORECAST.ETS.STAT.MULT({22.5;27.9;45.6;28.5;22.71;32.66;65.36;45.4;56;84;50;41.2;50;104.5;71.39;83;124;70.26;59;70.5;142.94},{1;2;3;4;5;6;7;8;9;10;11;12;13;14;15;16;17;18;19;20;21},{5;2;7;6;4;9;8;1;3},0,,2)</t>
  </si>
  <si>
    <t xml:space="preserve">_xlfn.FORECAST.ETS.SEASONALITY({22.5;27.9;45.6;28.5;22.71;32.66;65.36;45.4;56;84;50;41.2;50;104.5;71.39;83;124;70.26;59;70.5;142.94},{1;2;3;4;5;6;7;8;9;10;11;12;13;14;15;16;17;18;19;20;21},1)</t>
  </si>
  <si>
    <t xml:space="preserve">_xlfn.FORECAST.ETS(3.625,{25.6;18.5;34.6;22.66;39;40.56;27;49;31.16;50.9;56.47;35.83;63.46;39.05;65.95;69.6;42;79;48;81.4;86;50.08;93;55.7;92.93},{1;1.5;2;2.5;3;3.5;4;4.5;5;5.5;6;6.5;7;7.5;8;8.5;9;9.5;10;10.5;11;11.5;12;12.5;13},5,0)</t>
  </si>
  <si>
    <t xml:space="preserve">_xlfn.ORG.LIBREOFFICE.FORECAST.ETS.STAT.MULT({25.6;18.5;34.6;22.66;39;40.56;27;49;31.16;50.9;56.47;35.83;63.46;39.05;65.95;69.6;42;79;48;81.4;86;50.08;93;55.7;92.93},{1;1.5;2;2.5;3;3.5;4;4.5;5;5.5;6;6.5;7;7.5;8;8.5;9;9.5;10;10.5;11;11.5;12;12.5;13},{7;8},5,0)</t>
  </si>
  <si>
    <t xml:space="preserve">_xlfn.FORECAST.ETS.SEASONALITY({25.6;18.5;34.6;22.66;39;40.56;27;49;31.16;50.9;56.47;35.83;63.46;39.05;65.95;69.6;42;79;48;81.4;86;50.08;93;55.7;92.93},{1;1.5;2;2.5;3;3.5;4;4.5;5;5.5;6;6.5;7;7.5;8;8.5;9;9.5;10;10.5;11;11.5;12;12.5;13},0)</t>
  </si>
  <si>
    <t xml:space="preserve">_xlfn.FORECAST.ETS({6,6.25},{67;62.26;37;40.49;49.4;97.3;39.72;29.2;77.1;51.1},{1;1.5;2;2.5;3;3.5;4;4.5;5;5.5})</t>
  </si>
  <si>
    <t xml:space="preserve">_xlfn.ORG.LIBREOFFICE.FORECAST.ETS.STAT.MULT({67;62.26;37;40.49;49.4;97.3;39.72;29.2;77.1;51.1},{1;1.5;2;2.5;3;3.5;4;4.5;5;5.5},{3})</t>
  </si>
  <si>
    <t xml:space="preserve">_xlfn.FORECAST.ETS.SEASONALITY({67;62.26;37;40.49;49.4;97.3;39.72;29.2;77.1;51.1},{1;1.5;2;2.5;3;3.5;4;4.5;5;5.5},0)</t>
  </si>
  <si>
    <t xml:space="preserve">_xlfn.FORECAST.ETS(45000,{22.62;21;21;19.91;18.68;20},{44865;44895;44926;44957;44985;45016},3)</t>
  </si>
  <si>
    <t xml:space="preserve">_xlfn.FORECAST.ETS.STAT({22.62;21;21;19.91;18.68;20},{44865;44895;44926;44957;44985;45016},{9;8},3)</t>
  </si>
  <si>
    <t xml:space="preserve">_xlfn.FORECAST.ETS.SEASONALITY({22.62;21;21;19.91;18.68;20},{44865;44895;44926;44957;44985;45016},1,1)</t>
  </si>
  <si>
    <t xml:space="preserve">_xlfn.FORECAST.ETS({11.5},{47;46.59;46;44.52;43.3;43;39.7;40.79;38;37;35.9;35.1;35;33.61;31;29.9;30.6;27.58;26;26.75;25.6},{1;1.5;2;2.5;3;3.5;4;4.5;5;5.5;6;6.5;7;7.5;8;8.5;9;9.5;10;10.5;11},4,0,6)</t>
  </si>
  <si>
    <t xml:space="preserve">_xlfn.FORECAST.ETS.STAT({47;46.59;46;44.52;43.3;43;39.7;40.79;38;37;35.9;35.1;35;33.61;31;29.9;30.6;27.58;26;26.75;25.6},{1;1.5;2;2.5;3;3.5;4;4.5;5;5.5;6;6.5;7;7.5;8;8.5;9;9.5;10;10.5;11},{9;7;3;6;1;2;5;4;8},4,0,6)</t>
  </si>
  <si>
    <t xml:space="preserve">_xlfn.FORECAST.ETS.SEASONALITY({47;46.59;46;44.52;43.3;43;39.7;40.79;38;37;35.9;35.1;35;33.61;31;29.9;30.6;27.58;26;26.75;25.6},{1;1.5;2;2.5;3;3.5;4;4.5;5;5.5;6;6.5;7;7.5;8;8.5;9;9.5;10;10.5;11})</t>
  </si>
  <si>
    <t xml:space="preserve">_xlfn.FORECAST.ETS({44850;44955;44880},{42;43;42.4;44},{44743;44774;44805;44835})</t>
  </si>
  <si>
    <t xml:space="preserve">_xlfn.ORG.LIBREOFFICE.FORECAST.ETS.STAT.MULT({42;43;42.4;44},{44743;44774;44805;44835},{9;5;7;3;2;1;8;6;4})</t>
  </si>
  <si>
    <t xml:space="preserve">_xlfn.FORECAST.ETS.SEASONALITY({42;43;42.4;44},{44743;44774;44805;44835})</t>
  </si>
  <si>
    <t xml:space="preserve">_xlfn.ORG.LIBREOFFICE.FORECAST.ETS.MULT({11.5},{15;15;17.08;19;21.5;25;24.18;26.54;27.63;29.6;33.5},{1;2;3;4;5;6;7;8;9;10;11})</t>
  </si>
  <si>
    <t xml:space="preserve">_xlfn.ORG.LIBREOFFICE.FORECAST.ETS.STAT.MULT({15;15;17.08;19;21.5;25;24.18;26.54;27.63;29.6;33.5},{1;2;3;4;5;6;7;8;9;10;11},{4;1})</t>
  </si>
  <si>
    <t xml:space="preserve">_xlfn.FORECAST.ETS.SEASONALITY({15;15;17.08;19;21.5;25;24.18;26.54;27.63;29.6;33.5},{1;2;3;4;5;6;7;8;9;10;11},0,5)</t>
  </si>
  <si>
    <t xml:space="preserve">_xlfn.ORG.LIBREOFFICE.FORECAST.ETS.MULT({44891},{43;43.64;44.4;39.06;36.1;39},{44648;44679;44709;44740;44770;44801},1)</t>
  </si>
  <si>
    <t xml:space="preserve">_xlfn.ORG.LIBREOFFICE.FORECAST.ETS.STAT.MULT({43;43.64;44.4;39.06;36.1;39},{44648;44679;44709;44740;44770;44801},{6;7;5;3;4;8;2;1;9},1)</t>
  </si>
  <si>
    <t xml:space="preserve">_xlfn.FORECAST.ETS.SEASONALITY({43;43.64;44.4;39.06;36.1;39},{44648;44679;44709;44740;44770;44801},1,2)</t>
  </si>
  <si>
    <t xml:space="preserve">_xlfn.ORG.LIBREOFFICE.FORECAST.ETS.MULT({6.25,7.5,6},{89.93;9;22;15;3.5;5;86.39;52;57;41.87},{1.5;3;3.5;1;4.5;4;2;5.5;5;2.5},3,1,4)</t>
  </si>
  <si>
    <t xml:space="preserve">_xlfn.ORG.LIBREOFFICE.FORECAST.ETS.STAT.MULT({89.93;9;22;15;3.5;5;86.39;52;57;41.87},{1.5;3;3.5;1;4.5;4;2;5.5;5;2.5},{3;6},3,1,4)</t>
  </si>
  <si>
    <t xml:space="preserve">_xlfn.FORECAST.ETS.SEASONALITY({89.93;9;22;15;3.5;5;86.39;52;57;41.87},{1.5;3;3.5;1;4.5;4;2;5.5;5;2.5},0,3)</t>
  </si>
  <si>
    <t xml:space="preserve">_xlfn.ORG.LIBREOFFICE.FORECAST.ETS.MULT({28.5;31;29.5},{71;46.3;39.2;65;31.6;42.19;47.62;63.44;41.71;34.9;60;30;39.33;41.51;60;40.2;31;55.24;26;36.01;38.5;55.73;34.8;29;50.7;24;32.73;34.7},{1;2;3;4;5;6;7;8;9;10;11;12;13;14;15;16;17;18;19;20;21;22;23;24;25;26;27;28},7,0)</t>
  </si>
  <si>
    <t xml:space="preserve">_xlfn.ORG.LIBREOFFICE.FORECAST.ETS.STAT.MULT({71;46.3;39.2;65;31.6;42.19;47.62;63.44;41.71;34.9;60;30;39.33;41.51;60;40.2;31;55.24;26;36.01;38.5;55.73;34.8;29;50.7;24;32.73;34.7},{1;2;3;4;5;6;7;8;9;10;11;12;13;14;15;16;17;18;19;20;21;22;23;24;25;26;27;28},{3;5;9;8;4;7;1;2;6},7,0)</t>
  </si>
  <si>
    <t xml:space="preserve">_xlfn.FORECAST.ETS.SEASONALITY({71;46.3;39.2;65;31.6;42.19;47.62;63.44;41.71;34.9;60;30;39.33;41.51;60;40.2;31;55.24;26;36.01;38.5;55.73;34.8;29;50.7;24;32.73;34.7},{1;2;3;4;5;6;7;8;9;10;11;12;13;14;15;16;17;18;19;20;21;22;23;24;25;26;27;28},1,6)</t>
  </si>
  <si>
    <t xml:space="preserve">_xlfn.ORG.LIBREOFFICE.FORECAST.ETS.MULT(16.25,{6.54;7.9;81.11;98.88;11.95;88.7;36;25.7;32;40.55;90.3;51;42.2;33.2;94.5;5;78;16.7;23.11},{18;8;5;4;14;7;11;19;10;2;15;12;1;6;13;9;16;17;3},4,0)</t>
  </si>
  <si>
    <t xml:space="preserve">_xlfn.ORG.LIBREOFFICE.FORECAST.ETS.STAT.MULT({6.54;7.9;81.11;98.88;11.95;88.7;36;25.7;32;40.55;90.3;51;42.2;33.2;94.5;5;78;16.7;23.11},{18;8;5;4;14;7;11;19;10;2;15;12;1;6;13;9;16;17;3},{8},4,0)</t>
  </si>
  <si>
    <t xml:space="preserve">_xlfn.FORECAST.ETS.SEASONALITY({6.54;7.9;81.11;98.88;11.95;88.7;36;25.7;32;40.55;90.3;51;42.2;33.2;94.5;5;78;16.7;23.11},{18;8;5;4;14;7;11;19;10;2;15;12;1;6;13;9;16;17;3},0,3)</t>
  </si>
  <si>
    <t xml:space="preserve">_xlfn.FORECAST.ETS({18.5,19},{49.1;55.4;62;58.07;53;53.9;60.79;49.83;44;46.4;55.65;54.9;49;46.48;52.3;46.16;60;49},{6;12;18;15;9;11;17;8;1;2;14;13;7;3;10;4;16;5},0,,5)</t>
  </si>
  <si>
    <t xml:space="preserve">_xlfn.ORG.LIBREOFFICE.FORECAST.ETS.STAT.MULT({49.1;55.4;62;58.07;53;53.9;60.79;49.83;44;46.4;55.65;54.9;49;46.48;52.3;46.16;60;49},{6;12;18;15;9;11;17;8;1;2;14;13;7;3;10;4;16;5},{1;2},0,,5)</t>
  </si>
  <si>
    <t xml:space="preserve">_xlfn.FORECAST.ETS.SEASONALITY({49.1;55.4;62;58.07;53;53.9;60.79;49.83;44;46.4;55.65;54.9;49;46.48;52.3;46.16;60;49},{6;12;18;15;9;11;17;8;1;2;14;13;7;3;10;4;16;5},1)</t>
  </si>
  <si>
    <t xml:space="preserve">_xlfn.ORG.LIBREOFFICE.FORECAST.ETS.MULT({7,10,6.5},{26.13;24;54.85;30;26;61},{1;2;3;4;5;6},1,0,5)</t>
  </si>
  <si>
    <t xml:space="preserve">_xlfn.FORECAST.ETS.STAT({26.13;24;54.85;30;26;61},{1;2;3;4;5;6},{6},1,0,5)</t>
  </si>
  <si>
    <t xml:space="preserve">_xlfn.FORECAST.ETS.SEASONALITY({26.13;24;54.85;30;26;61},{1;2;3;4;5;6},1,1)</t>
  </si>
  <si>
    <t xml:space="preserve">_xlfn.FORECAST.ETS(45196,{43;43.15;43.2;43.2;43.2;43.15;43;43.2;43;43.2;43.2;43.2;43;43.15;43.15;43;43.2;43;43},{44620;44648;44679;44709;44740;44770;44801;44832;44862;44893;44923;44954;44985;45013;45044;45074;45105;45135;45166},0)</t>
  </si>
  <si>
    <t xml:space="preserve">_xlfn.FORECAST.ETS.STAT({43;43.15;43.2;43.2;43.2;43.15;43;43.2;43;43.2;43.2;43.2;43;43.15;43.15;43;43.2;43;43},{44620;44648;44679;44709;44740;44770;44801;44832;44862;44893;44923;44954;44985;45013;45044;45074;45105;45135;45166},{4},0)</t>
  </si>
  <si>
    <t xml:space="preserve">_xlfn.FORECAST.ETS.SEASONALITY({43;43.15;43.2;43.2;43.2;43.15;43;43.2;43;43.2;43.2;43.2;43;43.15;43.15;43;43.2;43;43},{44620;44648;44679;44709;44740;44770;44801;44832;44862;44893;44923;44954;44985;45013;45044;45074;45105;45135;45166},0)</t>
  </si>
  <si>
    <t xml:space="preserve">_xlfn.ORG.LIBREOFFICE.FORECAST.ETS.MULT(8,{30;30.5;30.5;30.5;30;30.5},{1;2;3;4;5;6},3)</t>
  </si>
  <si>
    <t xml:space="preserve">_xlfn.FORECAST.ETS.STAT({30;30.5;30.5;30.5;30;30.5},{1;2;3;4;5;6},{9;2;8;4;7;1;5;6;3},3)</t>
  </si>
  <si>
    <t xml:space="preserve">_xlfn.FORECAST.ETS.SEASONALITY({30;30.5;30.5;30.5;30;30.5},{1;2;3;4;5;6})</t>
  </si>
  <si>
    <t xml:space="preserve">_xlfn.ORG.LIBREOFFICE.FORECAST.ETS.MULT(14,{11;58;46.6;32;25.14;76;4;72.63;48},{1;2;4;5;6;7;8;9;10},1,,3)</t>
  </si>
  <si>
    <t xml:space="preserve">_xlfn.FORECAST.ETS.STAT({11;58;46.6;32;25.14;76;4;72.63;48},{1;2;4;5;6;7;8;9;10},{2;7},1,,3)</t>
  </si>
  <si>
    <t xml:space="preserve">_xlfn.FORECAST.ETS.SEASONALITY({11;58;46.6;32;25.14;76;4;72.63;48},{1;2;4;5;6;7;8;9;10})</t>
  </si>
  <si>
    <t xml:space="preserve">_xlfn.ORG.LIBREOFFICE.FORECAST.ETS.MULT(45114.5,{49;41.6;50.8;57.4;52;62.5;66;60.8;71.9},{44895;44926;44957;44985;45016;45046;45077;45107;45138},1)</t>
  </si>
  <si>
    <t xml:space="preserve">_xlfn.ORG.LIBREOFFICE.FORECAST.ETS.STAT.MULT({49;41.6;50.8;57.4;52;62.5;66;60.8;71.9},{44895;44926;44957;44985;45016;45046;45077;45107;45138},{7;1},1)</t>
  </si>
  <si>
    <t xml:space="preserve">_xlfn.FORECAST.ETS.SEASONALITY({49;41.6;50.8;57.4;52;62.5;66;60.8;71.9},{44895;44926;44957;44985;45016;45046;45077;45107;45138},0)</t>
  </si>
  <si>
    <t xml:space="preserve">_xlfn.ORG.LIBREOFFICE.FORECAST.ETS.MULT({12},{40.65;52.1;47;43.7;46.32;43.43;52;45;55;48.7;47;47.8;43.8;53;47.7;59;52.6;50;50.72;46.7;57},{1;1.5;2;2.5;3;3.5;4;4.5;5;5.5;6;6.5;7;7.5;8;8.5;9;9.5;10;10.5;11})</t>
  </si>
  <si>
    <t xml:space="preserve">_xlfn.ORG.LIBREOFFICE.FORECAST.ETS.STAT.MULT({40.65;52.1;47;43.7;46.32;43.43;52;45;55;48.7;47;47.8;43.8;53;47.7;59;52.6;50;50.72;46.7;57},{1;1.5;2;2.5;3;3.5;4;4.5;5;5.5;6;6.5;7;7.5;8;8.5;9;9.5;10;10.5;11},{3;8;9;4;1;6;5;7;2})</t>
  </si>
  <si>
    <t xml:space="preserve">_xlfn.FORECAST.ETS.SEASONALITY({40.65;52.1;47;43.7;46.32;43.43;52;45;55;48.7;47;47.8;43.8;53;47.7;59;52.6;50;50.72;46.7;57},{1;1.5;2;2.5;3;3.5;4;4.5;5;5.5;6;6.5;7;7.5;8;8.5;9;9.5;10;10.5;11})</t>
  </si>
  <si>
    <t xml:space="preserve">_xlfn.ORG.LIBREOFFICE.FORECAST.ETS.MULT(44911,{4;56.4;71.44;42.88;18.16;68;28.02;48.73;43;37.28;12.64;5;27;31.2;26.9;11.4;69.5;76.2;31.2;35.58;41.9;30.3;25.98},{44835;44866;44896;44927;44958;44986;45017;45047;45078;45108;45139;45170;45200;45231;45261;45292;45323;45352;45383;45413;45444;45474;45505},3)</t>
  </si>
  <si>
    <t xml:space="preserve">_xlfn.ORG.LIBREOFFICE.FORECAST.ETS.STAT.MULT({4;56.4;71.44;42.88;18.16;68;28.02;48.73;43;37.28;12.64;5;27;31.2;26.9;11.4;69.5;76.2;31.2;35.58;41.9;30.3;25.98},{44835;44866;44896;44927;44958;44986;45017;45047;45078;45108;45139;45170;45200;45231;45261;45292;45323;45352;45383;45413;45444;45474;45505},{1;7},3)</t>
  </si>
  <si>
    <t xml:space="preserve">_xlfn.FORECAST.ETS.SEASONALITY({4;56.4;71.44;42.88;18.16;68;28.02;48.73;43;37.28;12.64;5;27;31.2;26.9;11.4;69.5;76.2;31.2;35.58;41.9;30.3;25.98},{44835;44866;44896;44927;44958;44986;45017;45047;45078;45108;45139;45170;45200;45231;45261;45292;45323;45352;45383;45413;45444;45474;45505},0)</t>
  </si>
  <si>
    <t xml:space="preserve">_xlfn.FORECAST.ETS({19},{37.95;38;35.7;36.4;34.13;31.7;32;29.9;28.4;28.39;25.5;26;25;22;22.4},{1;2;3;4;5;6;7;8;9;10;11;12;13;14;15},1,,7)</t>
  </si>
  <si>
    <t xml:space="preserve">_xlfn.ORG.LIBREOFFICE.FORECAST.ETS.STAT.MULT({37.95;38;35.7;36.4;34.13;31.7;32;29.9;28.4;28.39;25.5;26;25;22;22.4},{1;2;3;4;5;6;7;8;9;10;11;12;13;14;15},{6;3;1;9;5;7;4;2;8},1,,7)</t>
  </si>
  <si>
    <t xml:space="preserve">_xlfn.FORECAST.ETS.SEASONALITY({37.95;38;35.7;36.4;34.13;31.7;32;29.9;28.4;28.39;25.5;26;25;22;22.4},{1;2;3;4;5;6;7;8;9;10;11;12;13;14;15})</t>
  </si>
  <si>
    <t xml:space="preserve">_xlfn.FORECAST.ETS(45138,{17.1;21.4;21.8;30;27;35.19;33.04;38.75;50.56},{44835;44866;44896;44927;44958;44986;45017;45078;45108},4)</t>
  </si>
  <si>
    <t xml:space="preserve">_xlfn.ORG.LIBREOFFICE.FORECAST.ETS.STAT.MULT({17.1;21.4;21.8;30;27;35.19;33.04;38.75;50.56},{44835;44866;44896;44927;44958;44986;45017;45078;45108},{5;9},4)</t>
  </si>
  <si>
    <t xml:space="preserve">_xlfn.FORECAST.ETS.SEASONALITY({17.1;21.4;21.8;30;27;35.19;33.04;38.75;50.56},{44835;44866;44896;44927;44958;44986;45017;45078;45108},1)</t>
  </si>
  <si>
    <t xml:space="preserve">_xlfn.ORG.LIBREOFFICE.FORECAST.ETS.MULT({27,31,27},{47.2;100;30.5;25.27;72.06;31.48;4;96;3.9;65.97;96.42},{3;5;7;9;11;13;15;17;19;21;23},1)</t>
  </si>
  <si>
    <t xml:space="preserve">_xlfn.ORG.LIBREOFFICE.FORECAST.ETS.STAT.MULT({47.2;100;30.5;25.27;72.06;31.48;4;96;3.9;65.97;96.42},{3;5;7;9;11;13;15;17;19;21;23},{7;9},1)</t>
  </si>
  <si>
    <t xml:space="preserve">_xlfn.FORECAST.ETS.SEASONALITY({47.2;100;30.5;25.27;72.06;31.48;4;96;3.9;65.97;96.42},{3;5;7;9;11;13;15;17;19;21;23})</t>
  </si>
  <si>
    <t xml:space="preserve">_xlfn.ORG.LIBREOFFICE.FORECAST.ETS.PI.MULT({25;27;29},{47.2;100;30.5;25.27;72.06;31.48;4;96;3.9;65.97;96.42},{3;5;7;9;11;13;15;17;19;21;23},0.95,0)</t>
  </si>
  <si>
    <t xml:space="preserve">_xlfn.FORECAST.ETS({45007.5;45007.5;45010},{37.98;38.33;38;38.16;38.59;39.3;37.16},{45000;45001;45002;45003;45004;45005;45006})</t>
  </si>
  <si>
    <t xml:space="preserve">_xlfn.FORECAST.ETS.STAT({37.98;38.33;38;38.16;38.59;39.3;37.16},{45000;45001;45002;45003;45004;45005;45006},{3})</t>
  </si>
  <si>
    <t xml:space="preserve">_xlfn.FORECAST.ETS.SEASONALITY({37.98;38.33;38;38.16;38.59;39.3;37.16},{45000;45001;45002;45003;45004;45005;45006})</t>
  </si>
  <si>
    <t xml:space="preserve">_xlfn.ORG.LIBREOFFICE.FORECAST.ETS.PI.MULT(45007,{37.98;38.33;38;38.16;38.59;39.3;37.16},{45000;45001;45002;45003;45004;45005;45006},,0)</t>
  </si>
  <si>
    <t xml:space="preserve">_xlfn.ORG.LIBREOFFICE.FORECAST.ETS.MULT({12},{25.9;25.89;26;26;25.89;26;25.89;26;25.9;26},{1;2;3;4;5;6;7;8;9;10},1,,7)</t>
  </si>
  <si>
    <t xml:space="preserve">_xlfn.FORECAST.ETS.STAT({25.9;25.89;26;26;25.89;26;25.89;26;25.9;26},{1;2;3;4;5;6;7;8;9;10},{2;3},1,,7)</t>
  </si>
  <si>
    <t xml:space="preserve">_xlfn.FORECAST.ETS.SEASONALITY({25.9;25.89;26;26;25.89;26;25.89;26;25.9;26},{1;2;3;4;5;6;7;8;9;10},1)</t>
  </si>
  <si>
    <t xml:space="preserve">_xlfn.ORG.LIBREOFFICE.FORECAST.ETS.PI.MULT(12,{25.9;25.89;26;26;25.89;26;25.89;26;25.9;26},{1;2;3;4;5;6;7;8;9;10},0.5,0,1,4)</t>
  </si>
  <si>
    <t xml:space="preserve">_xlfn.FORECAST.ETS({20.5},{18.7;22.2;13;23;18.1;20.9;13.8;21.8;19;19.86;12.76;22.3;18.62;19.84;11;23;18.62;21.3;11.2;21},{1;2;3;4;5;6;7;8;9;10;11;12;13;14;15;16;17;18;19;20},4,1)</t>
  </si>
  <si>
    <t xml:space="preserve">_xlfn.FORECAST.ETS.STAT({18.7;22.2;13;23;18.1;20.9;13.8;21.8;19;19.86;12.76;22.3;18.62;19.84;11;23;18.62;21.3;11.2;21},{1;2;3;4;5;6;7;8;9;10;11;12;13;14;15;16;17;18;19;20},{8;6;5;9;2;1;4;7;3},4,1)</t>
  </si>
  <si>
    <t xml:space="preserve">_xlfn.FORECAST.ETS.SEASONALITY({18.7;22.2;13;23;18.1;20.9;13.8;21.8;19;19.86;12.76;22.3;18.62;19.84;11;23;18.62;21.3;11.2;21},{1;2;3;4;5;6;7;8;9;10;11;12;13;14;15;16;17;18;19;20},0,3)</t>
  </si>
  <si>
    <t xml:space="preserve">_xlfn.ORG.LIBREOFFICE.FORECAST.ETS.PI.MULT({21;22;23},{18.7;22.2;13;23;18.1;20.9;13.8;21.8;19;19.86;12.76;22.3;18.62;19.84;11;23;18.62;21.3;11.2;21},{1;2;3;4;5;6;7;8;9;10;11;12;13;14;15;16;17;18;19;20},,0,0)</t>
  </si>
  <si>
    <t xml:space="preserve">_xlfn.ORG.LIBREOFFICE.FORECAST.ETS.MULT({45005,45003.5},{14;16;19.8;22.72},{45000;45001;45002;45003},0,0)</t>
  </si>
  <si>
    <t xml:space="preserve">_xlfn.FORECAST.ETS.STAT({14;16;19.8;22.72},{45000;45001;45002;45003},{5},0,0)</t>
  </si>
  <si>
    <t xml:space="preserve">_xlfn.FORECAST.ETS.SEASONALITY({14;16;19.8;22.72},{45000;45001;45002;45003})</t>
  </si>
  <si>
    <t xml:space="preserve">_xlfn.FORECAST.ETS({44988,44973},{31;30.51;31;30.5},{44866;44896;44927;44958},6,,6)</t>
  </si>
  <si>
    <t xml:space="preserve">_xlfn.ORG.LIBREOFFICE.FORECAST.ETS.STAT.MULT({31;30.51;31;30.5},{44866;44896;44927;44958},{6},6,,6)</t>
  </si>
  <si>
    <t xml:space="preserve">_xlfn.FORECAST.ETS.SEASONALITY({31;30.51;31;30.5},{44866;44896;44927;44958},0)</t>
  </si>
  <si>
    <t xml:space="preserve">_xlfn.ORG.LIBREOFFICE.FORECAST.ETS.MULT(7.5,{41.2;40.02;38;35.77;31.97;30.83},{1;2;3;4;6;7},0,0)</t>
  </si>
  <si>
    <t xml:space="preserve">_xlfn.ORG.LIBREOFFICE.FORECAST.ETS.STAT.MULT({41.2;40.02;38;35.77;31.97;30.83},{1;2;3;4;6;7},{6;1;7;5;8;3;2;4;9},0,0)</t>
  </si>
  <si>
    <t xml:space="preserve">_xlfn.FORECAST.ETS.SEASONALITY({41.2;40.02;38;35.77;31.97;30.83},{1;2;3;4;6;7})</t>
  </si>
  <si>
    <t xml:space="preserve">_xlfn.FORECAST.ETS.CONFINT(9,{41.2;40.02;38;35.77;31.97;30.83},{1;2;3;4;6;7},,0)</t>
  </si>
  <si>
    <t xml:space="preserve">_xlfn.FORECAST.ETS({213;233},{95;30.3;65.8;53.3;93;97.64;71.47;83.91;38.8;55.27;43.41;58;108.1;80;43.27;82;67;83;56.2;70},{153;3;103;63;183;173;93;163;23;33;13;83;193;143;43;113;73;133;53;123},1,1)</t>
  </si>
  <si>
    <t xml:space="preserve">_xlfn.ORG.LIBREOFFICE.FORECAST.ETS.STAT.MULT({95;30.3;65.8;53.3;93;97.64;71.47;83.91;38.8;55.27;43.41;58;108.1;80;43.27;82;67;83;56.2;70},{153;3;103;63;183;173;93;163;23;33;13;83;193;143;43;113;73;133;53;123},{4},1,1)</t>
  </si>
  <si>
    <t xml:space="preserve">_xlfn.FORECAST.ETS.SEASONALITY({95;30.3;65.8;53.3;93;97.64;71.47;83.91;38.8;55.27;43.41;58;108.1;80;43.27;82;67;83;56.2;70},{153;3;103;63;183;173;93;163;23;33;13;83;193;143;43;113;73;133;53;123},0,1)</t>
  </si>
  <si>
    <t xml:space="preserve">_xlfn.ORG.LIBREOFFICE.FORECAST.ETS.PI.MULT(213,{95;30.3;65.8;53.3;93;97.64;71.47;83.91;38.8;55.27;43.41;58;108.1;80;43.27;82;67;83;56.2;70},{153;3;103;63;183;173;93;163;23;33;13;83;193;143;43;113;73;133;53;123},1,0)</t>
  </si>
  <si>
    <t xml:space="preserve">_xlfn.FORECAST.ETS({17.5,18.5,20},{49;48.68;48.7;48.68;48.7;48.68;48.68;49;48.7;48.68;48.68;48.7;49;38.9;49;49;48.7;49},{1;2;3;4;5;6;7;8;9;10;11;12;13;13;14;15;16;17},4)</t>
  </si>
  <si>
    <t xml:space="preserve">_xlfn.FORECAST.ETS.STAT({49;48.68;48.7;48.68;48.7;48.68;48.68;49;48.7;48.68;48.68;48.7;49;38.9;49;49;48.7;49},{1;2;3;4;5;6;7;8;9;10;11;12;13;13;14;15;16;17},{2},4)</t>
  </si>
  <si>
    <t xml:space="preserve">_xlfn.FORECAST.ETS.SEASONALITY({49;48.68;48.7;48.68;48.7;48.68;48.68;49;48.7;48.68;48.68;48.7;49;38.9;49;49;48.7;49},{1;2;3;4;5;6;7;8;9;10;11;12;13;13;14;15;16;17},0)</t>
  </si>
  <si>
    <t xml:space="preserve">_xlfn.ORG.LIBREOFFICE.FORECAST.ETS.MULT({45011.5;45012.5},{48.6;49;48.6;48.58;48.6;49;49;48.58;48.6;48.58;49;49},{45000;45001;45002;45003;45004;45005;45006;45007;45008;45009;45010;45011},0,0)</t>
  </si>
  <si>
    <t xml:space="preserve">_xlfn.FORECAST.ETS.STAT({48.6;49;48.6;48.58;48.6;49;49;48.58;48.6;48.58;49;49},{45000;45001;45002;45003;45004;45005;45006;45007;45008;45009;45010;45011},{7;1},0,0)</t>
  </si>
  <si>
    <t xml:space="preserve">_xlfn.FORECAST.ETS.SEASONALITY({48.6;49;48.6;48.58;48.6;49;49;48.58;48.6;48.58;49;49},{45000;45001;45002;45003;45004;45005;45006;45007;45008;45009;45010;45011},0,2)</t>
  </si>
  <si>
    <t xml:space="preserve">_xlfn.FORECAST.ETS(28,{27.27;61.57;78.1;26.8;6.7;27.05;18.4;84.93;74;36.7;34;4.8;32;85.28;92;91.89;58;27.2;74;58;15.3;99;6.57;94.26},{1;2;3;4;5;6;7;8;9;10;11;12;13;14;15;16;17;18;19;20;21;22;23;24},2,1)</t>
  </si>
  <si>
    <t xml:space="preserve">_xlfn.FORECAST.ETS.STAT({27.27;61.57;78.1;26.8;6.7;27.05;18.4;84.93;74;36.7;34;4.8;32;85.28;92;91.89;58;27.2;74;58;15.3;99;6.57;94.26},{1;2;3;4;5;6;7;8;9;10;11;12;13;14;15;16;17;18;19;20;21;22;23;24},{6},2,1)</t>
  </si>
  <si>
    <t xml:space="preserve">_xlfn.FORECAST.ETS.SEASONALITY({27.27;61.57;78.1;26.8;6.7;27.05;18.4;84.93;74;36.7;34;4.8;32;85.28;92;91.89;58;27.2;74;58;15.3;99;6.57;94.26},{1;2;3;4;5;6;7;8;9;10;11;12;13;14;15;16;17;18;19;20;21;22;23;24},0,5)</t>
  </si>
  <si>
    <t xml:space="preserve">_xlfn.FORECAST.ETS({45337},{2.2;7.7;1.6;1.1;0.42;1.3;5;2;0.77;3;-0.72;14.78;0.82;1;4.8;1.1;13.23;2.14;1.17;4.58},{44986;44743;44896;45017;45231;45200;44805;45108;45139;44927;44958;44713;45047;45170;44866;45292;44774;45078;45261;44835},1)</t>
  </si>
  <si>
    <t xml:space="preserve">_xlfn.ORG.LIBREOFFICE.FORECAST.ETS.STAT.MULT({2.2;7.7;1.6;1.1;0.42;1.3;5;2;0.77;3;-0.72;14.78;0.82;1;4.8;1.1;13.23;2.14;1.17;4.58},{44986;44743;44896;45017;45231;45200;44805;45108;45139;44927;44958;44713;45047;45170;44866;45292;44774;45078;45261;44835},{3;9},1)</t>
  </si>
  <si>
    <t xml:space="preserve">_xlfn.FORECAST.ETS.SEASONALITY({2.2;7.7;1.6;1.1;0.42;1.3;5;2;0.77;3;-0.72;14.78;0.82;1;4.8;1.1;13.23;2.14;1.17;4.58},{44986;44743;44896;45017;45231;45200;44805;45108;45139;44927;44958;44713;45047;45170;44866;45292;44774;45078;45261;44835},1,6)</t>
  </si>
  <si>
    <t xml:space="preserve">_xlfn.FORECAST.ETS(63,{70;55;53;27.64;20;40.5;46;88.59;43.73},{3;8;13;18;23;28;33;38;43})</t>
  </si>
  <si>
    <t xml:space="preserve">_xlfn.ORG.LIBREOFFICE.FORECAST.ETS.STAT.MULT({70;55;53;27.64;20;40.5;46;88.59;43.73},{3;8;13;18;23;28;33;38;43},{6;2})</t>
  </si>
  <si>
    <t xml:space="preserve">_xlfn.FORECAST.ETS.SEASONALITY({70;55;53;27.64;20;40.5;46;88.59;43.73},{3;8;13;18;23;28;33;38;43})</t>
  </si>
  <si>
    <t xml:space="preserve">_xlfn.FORECAST.ETS({45015.5,45015},{2;19.36;17.97;15.19;23;26;38.8;38.9;36.63;47;46.82;60.3;59.4;58;66.59},{45000;45001;45002;45003;45004;45005;45006;45007;45008;45009;45010;45011;45012;45013;45014})</t>
  </si>
  <si>
    <t xml:space="preserve">_xlfn.ORG.LIBREOFFICE.FORECAST.ETS.STAT.MULT({2;19.36;17.97;15.19;23;26;38.8;38.9;36.63;47;46.82;60.3;59.4;58;66.59},{45000;45001;45002;45003;45004;45005;45006;45007;45008;45009;45010;45011;45012;45013;45014},{2;3;8;4;5;6;7;9;1})</t>
  </si>
  <si>
    <t xml:space="preserve">_xlfn.FORECAST.ETS.SEASONALITY({2;19.36;17.97;15.19;23;26;38.8;38.9;36.63;47;46.82;60.3;59.4;58;66.59},{45000;45001;45002;45003;45004;45005;45006;45007;45008;45009;45010;45011;45012;45013;45014})</t>
  </si>
  <si>
    <t xml:space="preserve">_xlfn.FORECAST.ETS({44847;44787;44787},{54.44;32.29;59;24.7;37.7;65.58;40.99},{44576;44607;44635;44635;44666;44696;44727},2,1,5)</t>
  </si>
  <si>
    <t xml:space="preserve">_xlfn.ORG.LIBREOFFICE.FORECAST.ETS.STAT.MULT({54.44;32.29;59;24.7;37.7;65.58;40.99},{44576;44607;44635;44635;44666;44696;44727},{5;9},2,1,5)</t>
  </si>
  <si>
    <t xml:space="preserve">_xlfn.FORECAST.ETS.SEASONALITY({54.44;32.29;59;24.7;37.7;65.58;40.99},{44576;44607;44635;44635;44666;44696;44727},0,1)</t>
  </si>
  <si>
    <t xml:space="preserve">_xlfn.ORG.LIBREOFFICE.FORECAST.ETS.MULT({38},{64.4;27.17;59.24;6;44.3;88},{3;10;17;24;24;31},1,1,1)</t>
  </si>
  <si>
    <t xml:space="preserve">_xlfn.FORECAST.ETS.STAT({64.4;27.17;59.24;6;44.3;88},{3;10;17;24;24;31},{2;5},1,1,1)</t>
  </si>
  <si>
    <t xml:space="preserve">_xlfn.FORECAST.ETS.SEASONALITY({64.4;27.17;59.24;6;44.3;88},{3;10;17;24;24;31},1)</t>
  </si>
  <si>
    <t xml:space="preserve">_xlfn.FORECAST.ETS({103,103,88},{26;26;20.97;54.54;88.9;31.5;25.8},{3;13;23;43;53;63;73})</t>
  </si>
  <si>
    <t xml:space="preserve">_xlfn.FORECAST.ETS.STAT({26;26;20.97;54.54;88.9;31.5;25.8},{3;13;23;43;53;63;73},{7})</t>
  </si>
  <si>
    <t xml:space="preserve">_xlfn.FORECAST.ETS.SEASONALITY({26;26;20.97;54.54;88.9;31.5;25.8},{3;13;23;43;53;63;73},0)</t>
  </si>
  <si>
    <t xml:space="preserve">_xlfn.FORECAST.ETS.CONFINT(103,{26;26;20.97;54.54;88.9;31.5;25.8},{3;13;23;43;53;63;73},,0)</t>
  </si>
  <si>
    <t xml:space="preserve">_xlfn.FORECAST.ETS({45409,45409,45334},{22.56;17;29.38;26;27.9;18.7;30.71;27.46;25;34.57;32.1;37.1;26;35.1;36;31.6;43;38.8;41.1;31.5;41.9},{44709;44740;44770;44801;44832;44862;44893;44923;44954;44985;45013;45044;45074;45105;45135;45166;45197;45227;45258;45288;45319},7,0,6)</t>
  </si>
  <si>
    <t xml:space="preserve">_xlfn.FORECAST.ETS.STAT({22.56;17;29.38;26;27.9;18.7;30.71;27.46;25;34.57;32.1;37.1;26;35.1;36;31.6;43;38.8;41.1;31.5;41.9},{44709;44740;44770;44801;44832;44862;44893;44923;44954;44985;45013;45044;45074;45105;45135;45166;45197;45227;45258;45288;45319},{9;1;8;7;3;6;2;5;4},7,0,6)</t>
  </si>
  <si>
    <t xml:space="preserve">_xlfn.FORECAST.ETS.SEASONALITY({22.56;17;29.38;26;27.9;18.7;30.71;27.46;25;34.57;32.1;37.1;26;35.1;36;31.6;43;38.8;41.1;31.5;41.9},{44709;44740;44770;44801;44832;44862;44893;44923;44954;44985;45013;45044;45074;45105;45135;45166;45197;45227;45258;45288;45319},0,5)</t>
  </si>
  <si>
    <t xml:space="preserve">_xlfn.FORECAST.ETS(5.25,{7;9;10.5;14.4;13;18.5;14.18;21;16.73;23.28},{1;2;3;4;5;6;7;8;9;10},2,,6)</t>
  </si>
  <si>
    <t xml:space="preserve">_xlfn.ORG.LIBREOFFICE.FORECAST.ETS.STAT.MULT({7;9;10.5;14.4;13;18.5;14.18;21;16.73;23.28},{1;2;3;4;5;6;7;8;9;10},{5;9},2,,6)</t>
  </si>
  <si>
    <t xml:space="preserve">_xlfn.FORECAST.ETS.SEASONALITY({7;9;10.5;14.4;13;18.5;14.18;21;16.73;23.28},{1;2;3;4;5;6;7;8;9;10})</t>
  </si>
  <si>
    <t xml:space="preserve">_xlfn.ORG.LIBREOFFICE.FORECAST.ETS.MULT({9,9,11},{40.5;40.2;35.5;36.1;34.2;31.21;30.75},{1;2;3;4;5;6;7},0,,4)</t>
  </si>
  <si>
    <t xml:space="preserve">_xlfn.FORECAST.ETS.STAT({40.5;40.2;35.5;36.1;34.2;31.21;30.75},{1;2;3;4;5;6;7},{1;8;3;2;7;5;6;9;4},0,,4)</t>
  </si>
  <si>
    <t xml:space="preserve">_xlfn.FORECAST.ETS.SEASONALITY({40.5;40.2;35.5;36.1;34.2;31.21;30.75},{1;2;3;4;5;6;7},1,1)</t>
  </si>
  <si>
    <t xml:space="preserve">_xlfn.FORECAST.ETS.CONFINT(9,{40.5;40.2;35.5;36.1;34.2;31.21;30.75},{1;2;3;4;5;6;7},0.9,0,0)</t>
  </si>
  <si>
    <t xml:space="preserve">_xlfn.FORECAST.ETS({45352},{59.9;48.95;59.28;69;60.86;55;63;65;54;51.91;67;70.7;67.23;51},{45107;44926;45077;45291;45138;45046;45169;45199;45016;44957;45230;45322;45260;44985},4,1,3)</t>
  </si>
  <si>
    <t xml:space="preserve">_xlfn.ORG.LIBREOFFICE.FORECAST.ETS.STAT.MULT({59.9;48.95;59.28;69;60.86;55;63;65;54;51.91;67;70.7;67.23;51},{45107;44926;45077;45291;45138;45046;45169;45199;45016;44957;45230;45322;45260;44985},{7;4},4,1,3)</t>
  </si>
  <si>
    <t xml:space="preserve">_xlfn.FORECAST.ETS.SEASONALITY({59.9;48.95;59.28;69;60.86;55;63;65;54;51.91;67;70.7;67.23;51},{45107;44926;45077;45291;45138;45046;45169;45199;45016;44957;45230;45322;45260;44985})</t>
  </si>
  <si>
    <t xml:space="preserve">_xlfn.FORECAST.ETS(41,{36;46.45;48.43;42;42.24;46;49;57.03;60;52.75;55;58;58.69;70;70.07;63.4;65;67.3;70.3;81;80;74.53;75.72;80},{3;5;7;9;11;13;15;17;19;21;23;25;27;29;31;33;35;37;39;41;43;45;47;49})</t>
  </si>
  <si>
    <t xml:space="preserve">_xlfn.FORECAST.ETS.STAT({36;46.45;48.43;42;42.24;46;49;57.03;60;52.75;55;58;58.69;70;70.07;63.4;65;67.3;70.3;81;80;74.53;75.72;80},{3;5;7;9;11;13;15;17;19;21;23;25;27;29;31;33;35;37;39;41;43;45;47;49},{6;1;2;3;5;7;8;4;9})</t>
  </si>
  <si>
    <t xml:space="preserve">_xlfn.FORECAST.ETS.SEASONALITY({36;46.45;48.43;42;42.24;46;49;57.03;60;52.75;55;58;58.69;70;70.07;63.4;65;67.3;70.3;81;80;74.53;75.72;80},{3;5;7;9;11;13;15;17;19;21;23;25;27;29;31;33;35;37;39;41;43;45;47;49})</t>
  </si>
  <si>
    <t xml:space="preserve">_xlfn.ORG.LIBREOFFICE.FORECAST.ETS.MULT({36;38},{4;2.38;14;7.99;18.5;-2;15;0;-3.4;22.1;2;19;13.1;8;-5.35;-2.04;4;8;9;-2;12;5.8;15.65;12.83;17;7;2.3;-1.46;19;2;10;8.26;20.7;18;10.3},{16;28;10;18;6;34;2;33;35;1;27;4;11;22;30;23;24;21;17;31;14;26;8;13;7;20;25;32;3;29;15;9;5;12;19},7,,7)</t>
  </si>
  <si>
    <t xml:space="preserve">_xlfn.ORG.LIBREOFFICE.FORECAST.ETS.STAT.MULT({4;2.38;14;7.99;18.5;-2;15;0;-3.4;22.1;2;19;13.1;8;-5.35;-2.04;4;8;9;-2;12;5.8;15.65;12.83;17;7;2.3;-1.46;19;2;10;8.26;20.7;18;10.3},{16;28;10;18;6;34;2;33;35;1;27;4;11;22;30;23;24;21;17;31;14;26;8;13;7;20;25;32;3;29;15;9;5;12;19},{8;7;1;3;5;4;6;9;2},7,,7)</t>
  </si>
  <si>
    <t xml:space="preserve">_xlfn.FORECAST.ETS.SEASONALITY({4;2.38;14;7.99;18.5;-2;15;0;-3.4;22.1;2;19;13.1;8;-5.35;-2.04;4;8;9;-2;12;5.8;15.65;12.83;17;7;2.3;-1.46;19;2;10;8.26;20.7;18;10.3},{16;28;10;18;6;34;2;33;35;1;27;4;11;22;30;23;24;21;17;31;14;26;8;13;7;20;25;32;3;29;15;9;5;12;19},0,1)</t>
  </si>
  <si>
    <t xml:space="preserve">_xlfn.FORECAST.ETS(24,{7.5;7;14;15.16;10;10;18;21;10;12.3;20.2;23.99;13;13;23;29.4;16;15.4;25;31},{1;2;3;4;5;6;7;8;9;10;11;12;13;14;15;16;17;18;19;20},1,0)</t>
  </si>
  <si>
    <t xml:space="preserve">_xlfn.FORECAST.ETS.STAT({7.5;7;14;15.16;10;10;18;21;10;12.3;20.2;23.99;13;13;23;29.4;16;15.4;25;31},{1;2;3;4;5;6;7;8;9;10;11;12;13;14;15;16;17;18;19;20},{9;5;7;1;8;2;4;6;3},1,0)</t>
  </si>
  <si>
    <t xml:space="preserve">_xlfn.FORECAST.ETS.SEASONALITY({7.5;7;14;15.16;10;10;18;21;10;12.3;20.2;23.99;13;13;23;29.4;16;15.4;25;31},{1;2;3;4;5;6;7;8;9;10;11;12;13;14;15;16;17;18;19;20},1)</t>
  </si>
  <si>
    <t xml:space="preserve">_xlfn.FORECAST.ETS(116.75,{20.46;20.5;20.5;20.46;20.46;20.5;20.5;20.46;20.5;20.46;20.46;20.46;20.46;20;20.5;20.46;20.5},{3;10;17;31;38;45;52;59;66;73;80;87;94;101;108;115;122},4)</t>
  </si>
  <si>
    <t xml:space="preserve">_xlfn.FORECAST.ETS.STAT({20.46;20.5;20.5;20.46;20.46;20.5;20.5;20.46;20.5;20.46;20.46;20.46;20.46;20;20.5;20.46;20.5},{3;10;17;31;38;45;52;59;66;73;80;87;94;101;108;115;122},{7;8},4)</t>
  </si>
  <si>
    <t xml:space="preserve">_xlfn.FORECAST.ETS.SEASONALITY({20.46;20.5;20.5;20.46;20.46;20.5;20.5;20.46;20.5;20.46;20.46;20.46;20.46;20;20.5;20.46;20.5},{3;10;17;31;38;45;52;59;66;73;80;87;94;101;108;115;122},1,5)</t>
  </si>
  <si>
    <t xml:space="preserve">_xlfn.FORECAST.ETS.CONFINT({129;136;143},{20.46;20.5;20.5;20.46;20.46;20.5;20.5;20.46;20.5;20.46;20.46;20.46;20.46;20;20.5;20.46;20.5},{3;10;17;31;38;45;52;59;66;73;80;87;94;101;108;115;122},,0)</t>
  </si>
  <si>
    <t xml:space="preserve">_xlfn.ORG.LIBREOFFICE.FORECAST.ETS.MULT(44955,{40;42.12;53.4;58.42;58.27;69.7;72.17},{44651;44681;44712;44773;44804;44834;44865},3)</t>
  </si>
  <si>
    <t xml:space="preserve">_xlfn.FORECAST.ETS.STAT({40;42.12;53.4;58.42;58.27;69.7;72.17},{44651;44681;44712;44773;44804;44834;44865},{6;8;4;3;5;7;2;1;9},3)</t>
  </si>
  <si>
    <t xml:space="preserve">_xlfn.FORECAST.ETS.SEASONALITY({40;42.12;53.4;58.42;58.27;69.7;72.17},{44651;44681;44712;44773;44804;44834;44865},0,6)</t>
  </si>
  <si>
    <t xml:space="preserve">_xlfn.ORG.LIBREOFFICE.FORECAST.ETS.MULT({45015;45000},{24.3;24;24.3;24;24.3;24.3;24;24.3;27.5;24;24.3;24.3;24.3},{44651;44681;44712;44742;44773;44804;44834;44865;44865;44895;44926;44957;44985})</t>
  </si>
  <si>
    <t xml:space="preserve">_xlfn.FORECAST.ETS.STAT({24.3;24;24.3;24;24.3;24.3;24;24.3;27.5;24;24.3;24.3;24.3},{44651;44681;44712;44742;44773;44804;44834;44865;44865;44895;44926;44957;44985},{1})</t>
  </si>
  <si>
    <t xml:space="preserve">_xlfn.FORECAST.ETS.SEASONALITY({24.3;24;24.3;24;24.3;24.3;24;24.3;27.5;24;24.3;24.3;24.3},{44651;44681;44712;44742;44773;44804;44834;44865;44865;44895;44926;44957;44985})</t>
  </si>
  <si>
    <t xml:space="preserve">_xlfn.ORG.LIBREOFFICE.FORECAST.ETS.MULT({13;12.5;16},{4;4;76;43.25;31.47;22;10;45.38;76.96;58;41.8;47.91},{1;2;3;4;5;6;7;8;9;10;11;12})</t>
  </si>
  <si>
    <t xml:space="preserve">_xlfn.FORECAST.ETS.STAT({4;4;76;43.25;31.47;22;10;45.38;76.96;58;41.8;47.91},{1;2;3;4;5;6;7;8;9;10;11;12},{2;5})</t>
  </si>
  <si>
    <t xml:space="preserve">_xlfn.FORECAST.ETS.SEASONALITY({4;4;76;43.25;31.47;22;10;45.38;76.96;58;41.8;47.91},{1;2;3;4;5;6;7;8;9;10;11;12})</t>
  </si>
  <si>
    <t xml:space="preserve">_xlfn.FORECAST.ETS(5.25,{14;14;14.19;14.19;14;14.19;14;14;14.2;14.2;14;14.2;14.2;14.2;14.2;14.2;14.2},{1;1.5;2;2.5;3;3.5;4;4.5;5;5.5;6;6.5;7;7.5;8;8.5;9},1,,7)</t>
  </si>
  <si>
    <t xml:space="preserve">_xlfn.FORECAST.ETS.STAT({14;14;14.19;14.19;14;14.19;14;14;14.2;14.2;14;14.2;14.2;14.2;14.2;14.2;14.2},{1;1.5;2;2.5;3;3.5;4;4.5;5;5.5;6;6.5;7;7.5;8;8.5;9},{2},1,,7)</t>
  </si>
  <si>
    <t xml:space="preserve">_xlfn.FORECAST.ETS.SEASONALITY({14;14;14.19;14.19;14;14.19;14;14;14.2;14.2;14;14.2;14.2;14.2;14.2;14.2;14.2},{1;1.5;2;2.5;3;3.5;4;4.5;5;5.5;6;6.5;7;7.5;8;8.5;9},0,7)</t>
  </si>
  <si>
    <t xml:space="preserve">_xlfn.FORECAST.ETS({30,31,30},{71;25.39;94.08;81.5;13.4;6.5;45;94;36.2;2.79;30;96.81;48.85;67.55},{3;5;7;9;11;13;15;17;19;21;23;25;27;29},0,1)</t>
  </si>
  <si>
    <t xml:space="preserve">_xlfn.ORG.LIBREOFFICE.FORECAST.ETS.STAT.MULT({71;25.39;94.08;81.5;13.4;6.5;45;94;36.2;2.79;30;96.81;48.85;67.55},{3;5;7;9;11;13;15;17;19;21;23;25;27;29},{1;8},0,1)</t>
  </si>
  <si>
    <t xml:space="preserve">_xlfn.FORECAST.ETS.SEASONALITY({71;25.39;94.08;81.5;13.4;6.5;45;94;36.2;2.79;30;96.81;48.85;67.55},{3;5;7;9;11;13;15;17;19;21;23;25;27;29},0,6)</t>
  </si>
  <si>
    <t xml:space="preserve">_xlfn.FORECAST.ETS({45010,45011},{16;19.5;22.53;26;31.4;32.8;36.6;39.1;43.64},{45000;45001;45002;45003;45004;45005;45006;45007;45008},1)</t>
  </si>
  <si>
    <t xml:space="preserve">_xlfn.ORG.LIBREOFFICE.FORECAST.ETS.STAT.MULT({16;19.5;22.53;26;31.4;32.8;36.6;39.1;43.64},{45000;45001;45002;45003;45004;45005;45006;45007;45008},{4;8;5;7;9;3;1;6;2},1)</t>
  </si>
  <si>
    <t xml:space="preserve">_xlfn.FORECAST.ETS.SEASONALITY({16;19.5;22.53;26;31.4;32.8;36.6;39.1;43.64},{45000;45001;45002;45003;45004;45005;45006;45007;45008},0,3)</t>
  </si>
  <si>
    <t xml:space="preserve">_xlfn.FORECAST.ETS({45020.5;45020},{28;46.8;27.49;44.2;38;27.26;46.7;40;51;21;60.1;47.43;30.8;32.3;33.4;35;32.99;19.1;40;54.4},{45015;45017;45001;45010;45006;45011;45008;45013;45012;45007;45016;45014;45005;45002;45019;45009;45000;45003;45004;45018})</t>
  </si>
  <si>
    <t xml:space="preserve">_xlfn.FORECAST.ETS.STAT({28;46.8;27.49;44.2;38;27.26;46.7;40;51;21;60.1;47.43;30.8;32.3;33.4;35;32.99;19.1;40;54.4},{45015;45017;45001;45010;45006;45011;45008;45013;45012;45007;45016;45014;45005;45002;45019;45009;45000;45003;45004;45018},{4})</t>
  </si>
  <si>
    <t xml:space="preserve">_xlfn.FORECAST.ETS.SEASONALITY({28;46.8;27.49;44.2;38;27.26;46.7;40;51;21;60.1;47.43;30.8;32.3;33.4;35;32.99;19.1;40;54.4},{45015;45017;45001;45010;45006;45011;45008;45013;45012;45007;45016;45014;45005;45002;45019;45009;45000;45003;45004;45018},1)</t>
  </si>
  <si>
    <t xml:space="preserve">_xlfn.FORECAST.ETS.CONFINT({45020;45021;45022},{28;46.8;27.49;44.2;38;27.26;46.7;40;51;21;60.1;47.43;30.8;32.3;33.4;35;32.99;19.1;40;54.4},{45015;45017;45001;45010;45006;45011;45008;45013;45012;45007;45016;45014;45005;45002;45019;45009;45000;45003;45004;45018},0,0,1)</t>
  </si>
  <si>
    <t xml:space="preserve">_xlfn.FORECAST.ETS({11.75,11.75},{12.62;12.6;13;13;12.62;13;12.6;12.62;12.62;12.62;12.6;12.6;12.6;12.62;12.6;12.62;12.62;12.6;12.6;12.6;13;13},{1;1.5;2;2.5;3;3.5;4;4.5;5;5.5;6;6.5;7;7.5;8;8.5;9;9.5;10;10.5;11;11.5})</t>
  </si>
  <si>
    <t xml:space="preserve">_xlfn.FORECAST.ETS.STAT({12.62;12.6;13;13;12.62;13;12.6;12.62;12.62;12.62;12.6;12.6;12.6;12.62;12.6;12.62;12.62;12.6;12.6;12.6;13;13},{1;1.5;2;2.5;3;3.5;4;4.5;5;5.5;6;6.5;7;7.5;8;8.5;9;9.5;10;10.5;11;11.5},{4;2;9;5;8;7;6;3;1})</t>
  </si>
  <si>
    <t xml:space="preserve">_xlfn.FORECAST.ETS.SEASONALITY({12.62;12.6;13;13;12.62;13;12.6;12.62;12.62;12.62;12.6;12.6;12.6;12.62;12.6;12.62;12.62;12.6;12.6;12.6;13;13},{1;1.5;2;2.5;3;3.5;4;4.5;5;5.5;6;6.5;7;7.5;8;8.5;9;9.5;10;10.5;11;11.5},0,1)</t>
  </si>
  <si>
    <t xml:space="preserve">_xlfn.ORG.LIBREOFFICE.FORECAST.ETS.PI.MULT(13,{12.62;12.6;13;13;12.62;13;12.6;12.62;12.62;12.62;12.6;12.6;12.6;12.62;12.6;12.62;12.62;12.6;12.6;12.6;13;13},{1;1.5;2;2.5;3;3.5;4;4.5;5;5.5;6;6.5;7;7.5;8;8.5;9;9.5;10;10.5;11;11.5},0.99,0)</t>
  </si>
  <si>
    <t xml:space="preserve">_xlfn.ORG.LIBREOFFICE.FORECAST.ETS.MULT({21.5},{29.7;40.6;57.12;71.3;40;53;75.1;93.03;48;65;92.9;113.2;58.42;79.7;109;133.3;69.6;90;129.36;153.5},{1;2;3;4;5;6;7;8;9;10;11;12;13;14;15;16;17;18;19;20},4,1,7)</t>
  </si>
  <si>
    <t xml:space="preserve">_xlfn.ORG.LIBREOFFICE.FORECAST.ETS.STAT.MULT({29.7;40.6;57.12;71.3;40;53;75.1;93.03;48;65;92.9;113.2;58.42;79.7;109;133.3;69.6;90;129.36;153.5},{1;2;3;4;5;6;7;8;9;10;11;12;13;14;15;16;17;18;19;20},{2;4},4,1,7)</t>
  </si>
  <si>
    <t xml:space="preserve">_xlfn.FORECAST.ETS.SEASONALITY({29.7;40.6;57.12;71.3;40;53;75.1;93.03;48;65;92.9;113.2;58.42;79.7;109;133.3;69.6;90;129.36;153.5},{1;2;3;4;5;6;7;8;9;10;11;12;13;14;15;16;17;18;19;20},1)</t>
  </si>
  <si>
    <t xml:space="preserve">_xlfn.ORG.LIBREOFFICE.FORECAST.ETS.MULT(45006.5,{20.37;32;18;30.43;16.64;28.1},{45000;45001;45002;45003;45004;45005},1,0,4)</t>
  </si>
  <si>
    <t xml:space="preserve">_xlfn.ORG.LIBREOFFICE.FORECAST.ETS.STAT.MULT({20.37;32;18;30.43;16.64;28.1},{45000;45001;45002;45003;45004;45005},{5;1;2;6;4;8;7;3;9},1,0,4)</t>
  </si>
  <si>
    <t xml:space="preserve">_xlfn.FORECAST.ETS.SEASONALITY({20.37;32;18;30.43;16.64;28.1},{45000;45001;45002;45003;45004;45005})</t>
  </si>
  <si>
    <t xml:space="preserve">_xlfn.FORECAST.ETS.CONFINT(45006,{20.37;32;18;30.43;16.64;28.1},{45000;45001;45002;45003;45004;45005},0.99,0)</t>
  </si>
  <si>
    <t xml:space="preserve">_xlfn.ORG.LIBREOFFICE.FORECAST.ETS.MULT({80,73},{40;40;39.8;39.79;40;39.8;39.8;40;40;39.8},{3;10;17;24;31;38;45;52;59;66},1,1)</t>
  </si>
  <si>
    <t xml:space="preserve">_xlfn.ORG.LIBREOFFICE.FORECAST.ETS.STAT.MULT({40;40;39.8;39.79;40;39.8;39.8;40;40;39.8},{3;10;17;24;31;38;45;52;59;66},{2},1,1)</t>
  </si>
  <si>
    <t xml:space="preserve">_xlfn.FORECAST.ETS.SEASONALITY({40;40;39.8;39.79;40;39.8;39.8;40;40;39.8},{3;10;17;24;31;38;45;52;59;66},1,2)</t>
  </si>
  <si>
    <t xml:space="preserve">_xlfn.FORECAST.ETS(4,{2.07;8.44;13;6.09;7.7;13.6;17.52;12;13;41.4;17.8;21.9;15},{1;2;3;4;5;6;7;8;9;9;10;11;12},4,0,7)</t>
  </si>
  <si>
    <t xml:space="preserve">_xlfn.ORG.LIBREOFFICE.FORECAST.ETS.STAT.MULT({2.07;8.44;13;6.09;7.7;13.6;17.52;12;13;41.4;17.8;21.9;15},{1;2;3;4;5;6;7;8;9;9;10;11;12},{2;7},4,0,7)</t>
  </si>
  <si>
    <t xml:space="preserve">_xlfn.FORECAST.ETS.SEASONALITY({2.07;8.44;13;6.09;7.7;13.6;17.52;12;13;41.4;17.8;21.9;15},{1;2;3;4;5;6;7;8;9;9;10;11;12},1,7)</t>
  </si>
  <si>
    <t xml:space="preserve">_xlfn.ORG.LIBREOFFICE.FORECAST.ETS.MULT({20;17},{49;51;51;51;53.91;53.9;56;57;56.39;59;60.41;59;60;61.8;63;65},{1;2;3;4;5;6;7;8;9;10;11;12;13;14;15;16},7,,4)</t>
  </si>
  <si>
    <t xml:space="preserve">_xlfn.FORECAST.ETS.STAT({49;51;51;51;53.91;53.9;56;57;56.39;59;60.41;59;60;61.8;63;65},{1;2;3;4;5;6;7;8;9;10;11;12;13;14;15;16},{3;5;6;4;2;9;7;1;8},7,,4)</t>
  </si>
  <si>
    <t xml:space="preserve">_xlfn.FORECAST.ETS.SEASONALITY({49;51;51;51;53.91;53.9;56;57;56.39;59;60.41;59;60;61.8;63;65},{1;2;3;4;5;6;7;8;9;10;11;12;13;14;15;16},0,2)</t>
  </si>
  <si>
    <t xml:space="preserve">_xlfn.ORG.LIBREOFFICE.FORECAST.ETS.MULT({16;16;17},{38;33;21.34;64.6;26.28;47.6;33;56;44.8;15;82.91;98;48;5.9},{1;2;3;4;5;6;7;8;8;9;10;11;12;13},7,,5)</t>
  </si>
  <si>
    <t xml:space="preserve">_xlfn.ORG.LIBREOFFICE.FORECAST.ETS.STAT.MULT({38;33;21.34;64.6;26.28;47.6;33;56;44.8;15;82.91;98;48;5.9},{1;2;3;4;5;6;7;8;8;9;10;11;12;13},{6},7,,5)</t>
  </si>
  <si>
    <t xml:space="preserve">_xlfn.FORECAST.ETS.SEASONALITY({38;33;21.34;64.6;26.28;47.6;33;56;44.8;15;82.91;98;48;5.9},{1;2;3;4;5;6;7;8;8;9;10;11;12;13})</t>
  </si>
  <si>
    <t xml:space="preserve">_xlfn.FORECAST.ETS({128,118},{18.94;20;22.89;23;24.18;27.6;27.7;30;35;35.82;40},{3;13;23;33;43;53;63;73;93;103;113},0,1)</t>
  </si>
  <si>
    <t xml:space="preserve">_xlfn.FORECAST.ETS.STAT({18.94;20;22.89;23;24.18;27.6;27.7;30;35;35.82;40},{3;13;23;33;43;53;63;73;93;103;113},{2;3},0,1)</t>
  </si>
  <si>
    <t xml:space="preserve">_xlfn.FORECAST.ETS.SEASONALITY({18.94;20;22.89;23;24.18;27.6;27.7;30;35;35.82;40},{3;13;23;33;43;53;63;73;93;103;113},1)</t>
  </si>
  <si>
    <t xml:space="preserve">_xlfn.ORG.LIBREOFFICE.FORECAST.ETS.MULT({24,21.5},{7;13.6;9.33;9;6;13;9.8;9;15.82;8;10.9;5.9;13;11;7.32;15;11;9.51;6.6;15.51;9.34},{1;2;3;4;5;6;7;8;9;10;11;12;13;14;15;16;17;18;19;20;21})</t>
  </si>
  <si>
    <t xml:space="preserve">_xlfn.ORG.LIBREOFFICE.FORECAST.ETS.STAT.MULT({7;13.6;9.33;9;6;13;9.8;9;15.82;8;10.9;5.9;13;11;7.32;15;11;9.51;6.6;15.51;9.34},{1;2;3;4;5;6;7;8;9;10;11;12;13;14;15;16;17;18;19;20;21},{5})</t>
  </si>
  <si>
    <t xml:space="preserve">_xlfn.FORECAST.ETS.SEASONALITY({7;13.6;9.33;9;6;13;9.8;9;15.82;8;10.9;5.9;13;11;7.32;15;11;9.51;6.6;15.51;9.34},{1;2;3;4;5;6;7;8;9;10;11;12;13;14;15;16;17;18;19;20;21},1)</t>
  </si>
  <si>
    <t xml:space="preserve">_xlfn.FORECAST.ETS.CONFINT({22;23;24},{7;13.6;9.33;9;6;13;9.8;9;15.82;8;10.9;5.9;13;11;7.32;15;11;9.51;6.6;15.51;9.34},{1;2;3;4;5;6;7;8;9;10;11;12;13;14;15;16;17;18;19;20;21},0.99,0,1)</t>
  </si>
  <si>
    <t xml:space="preserve">_xlfn.FORECAST.ETS(21,{7;7.15;4;3.92;2.5;1;-2.6;-3;-3.7;-5.3;-7.8;-10.5;-10.91;-12.2;-14;-16.9;-19.24;-18.6;-21.18},{1;2;3;4;5;6;7;8;9;10;11;12;13;14;15;16;17;18;19},4,,3)</t>
  </si>
  <si>
    <t xml:space="preserve">_xlfn.ORG.LIBREOFFICE.FORECAST.ETS.STAT.MULT({7;7.15;4;3.92;2.5;1;-2.6;-3;-3.7;-5.3;-7.8;-10.5;-10.91;-12.2;-14;-16.9;-19.24;-18.6;-21.18},{1;2;3;4;5;6;7;8;9;10;11;12;13;14;15;16;17;18;19},{4},4,,3)</t>
  </si>
  <si>
    <t xml:space="preserve">_xlfn.FORECAST.ETS.SEASONALITY({7;7.15;4;3.92;2.5;1;-2.6;-3;-3.7;-5.3;-7.8;-10.5;-10.91;-12.2;-14;-16.9;-19.24;-18.6;-21.18},{1;2;3;4;5;6;7;8;9;10;11;12;13;14;15;16;17;18;19})</t>
  </si>
  <si>
    <t xml:space="preserve">_xlfn.FORECAST.ETS({7.5,6.5},{13.6;18.6;23.27;27.2;31.5;36.7;41.9;46;50.8;55;59},{1;1.5;2;2.5;3;3.5;4;4.5;5;5.5;6},1,0,2)</t>
  </si>
  <si>
    <t xml:space="preserve">_xlfn.ORG.LIBREOFFICE.FORECAST.ETS.STAT.MULT({13.6;18.6;23.27;27.2;31.5;36.7;41.9;46;50.8;55;59},{1;1.5;2;2.5;3;3.5;4;4.5;5;5.5;6},{6;5;1;2;9;4;8;3;7},1,0,2)</t>
  </si>
  <si>
    <t xml:space="preserve">_xlfn.FORECAST.ETS.SEASONALITY({13.6;18.6;23.27;27.2;31.5;36.7;41.9;46;50.8;55;59},{1;1.5;2;2.5;3;3.5;4;4.5;5;5.5;6})</t>
  </si>
  <si>
    <t xml:space="preserve">_xlfn.FORECAST.ETS(17,{43.54;52;56.92;54.47;45;57.9;51.8;46;55;59.3;57.1;62.16;56},{1;2;3;4;5;6;7;8;9;10;11;13;14},7)</t>
  </si>
  <si>
    <t xml:space="preserve">_xlfn.ORG.LIBREOFFICE.FORECAST.ETS.STAT.MULT({43.54;52;56.92;54.47;45;57.9;51.8;46;55;59.3;57.1;62.16;56},{1;2;3;4;5;6;7;8;9;10;11;13;14},{2},7)</t>
  </si>
  <si>
    <t xml:space="preserve">_xlfn.FORECAST.ETS.SEASONALITY({43.54;52;56.92;54.47;45;57.9;51.8;46;55;59.3;57.1;62.16;56},{1;2;3;4;5;6;7;8;9;10;11;13;14},1)</t>
  </si>
  <si>
    <t xml:space="preserve">_xlfn.ORG.LIBREOFFICE.FORECAST.ETS.MULT(192,{13.1;2.8;10;5.4;13;14;17.98;9;14;12;16.09;20.4;22.7;12.3;18.35;15;23;23.85;27.19;18.89;24;21;26;29.67},{3;10;17;24;31;38;45;52;59;66;73;80;87;94;101;108;115;122;129;136;143;150;157;164},6,1,1)</t>
  </si>
  <si>
    <t xml:space="preserve">_xlfn.FORECAST.ETS.STAT({13.1;2.8;10;5.4;13;14;17.98;9;14;12;16.09;20.4;22.7;12.3;18.35;15;23;23.85;27.19;18.89;24;21;26;29.67},{3;10;17;24;31;38;45;52;59;66;73;80;87;94;101;108;115;122;129;136;143;150;157;164},{9;6;2;4;5;3;7;1;8},6,1,1)</t>
  </si>
  <si>
    <t xml:space="preserve">_xlfn.FORECAST.ETS.SEASONALITY({13.1;2.8;10;5.4;13;14;17.98;9;14;12;16.09;20.4;22.7;12.3;18.35;15;23;23.85;27.19;18.89;24;21;26;29.67},{3;10;17;24;31;38;45;52;59;66;73;80;87;94;101;108;115;122;129;136;143;150;157;164},0,2)</t>
  </si>
  <si>
    <t xml:space="preserve">_xlfn.FORECAST.ETS({115,122,118.5},{45.28;46.26;49;52.95;41;56.27;58.08;63.11;65.8;66.49;72;73.35;75.8;79.22;82;87;88.9},{3;10;17;24;24;31;38;45;52;59;66;73;80;87;94;101;108},4)</t>
  </si>
  <si>
    <t xml:space="preserve">_xlfn.FORECAST.ETS.STAT({45.28;46.26;49;52.95;41;56.27;58.08;63.11;65.8;66.49;72;73.35;75.8;79.22;82;87;88.9},{3;10;17;24;24;31;38;45;52;59;66;73;80;87;94;101;108},{8;6;2;4;3;5;7;9;1},4)</t>
  </si>
  <si>
    <t xml:space="preserve">_xlfn.FORECAST.ETS.SEASONALITY({45.28;46.26;49;52.95;41;56.27;58.08;63.11;65.8;66.49;72;73.35;75.8;79.22;82;87;88.9},{3;10;17;24;24;31;38;45;52;59;66;73;80;87;94;101;108})</t>
  </si>
  <si>
    <t xml:space="preserve">_xlfn.FORECAST.ETS({7.75,7.75},{21.5;31;36.2;29.22;37;45.47;48;44.98;51;57.3;50.51;58;67.2;70.2},{1;1.5;2;2.5;3;3.5;4;4.5;5;5.5;6;6.5;7;7.5},7,,4)</t>
  </si>
  <si>
    <t xml:space="preserve">_xlfn.ORG.LIBREOFFICE.FORECAST.ETS.STAT.MULT({21.5;31;36.2;29.22;37;45.47;48;44.98;51;57.3;50.51;58;67.2;70.2},{1;1.5;2;2.5;3;3.5;4;4.5;5;5.5;6;6.5;7;7.5},{2;7;6;9;8;5;4;1;3},7,,4)</t>
  </si>
  <si>
    <t xml:space="preserve">_xlfn.FORECAST.ETS.SEASONALITY({21.5;31;36.2;29.22;37;45.47;48;44.98;51;57.3;50.51;58;67.2;70.2},{1;1.5;2;2.5;3;3.5;4;4.5;5;5.5;6;6.5;7;7.5},1,6)</t>
  </si>
  <si>
    <t xml:space="preserve">_xlfn.ORG.LIBREOFFICE.FORECAST.ETS.MULT(16,{28;29;28.8;29;31.2;29.53;30.8;33;32;33;32;33.5;34;34.28;36;35;37;38.07;37;38.8;38.8;38.2},{1;2;3;4;5;6;7;8;9;10;11;12;13;14;15;16;17;18;19;20;21;22},7,,7)</t>
  </si>
  <si>
    <t xml:space="preserve">_xlfn.FORECAST.ETS.STAT({28;29;28.8;29;31.2;29.53;30.8;33;32;33;32;33.5;34;34.28;36;35;37;38.07;37;38.8;38.8;38.2},{1;2;3;4;5;6;7;8;9;10;11;12;13;14;15;16;17;18;19;20;21;22},{9;3;8;6;7;5;2;1;4},7,,7)</t>
  </si>
  <si>
    <t xml:space="preserve">_xlfn.FORECAST.ETS.SEASONALITY({28;29;28.8;29;31.2;29.53;30.8;33;32;33;32;33.5;34;34.28;36;35;37;38.07;37;38.8;38.8;38.2},{1;2;3;4;5;6;7;8;9;10;11;12;13;14;15;16;17;18;19;20;21;22})</t>
  </si>
  <si>
    <t xml:space="preserve">_xlfn.FORECAST.ETS(5,{40.58;49.62;42.6;36.22;44.5;36.47},{1;2;3;4;5;6},1,0)</t>
  </si>
  <si>
    <t xml:space="preserve">_xlfn.ORG.LIBREOFFICE.FORECAST.ETS.STAT.MULT({40.58;49.62;42.6;36.22;44.5;36.47},{1;2;3;4;5;6},{3;7},1,0)</t>
  </si>
  <si>
    <t xml:space="preserve">_xlfn.FORECAST.ETS.SEASONALITY({40.58;49.62;42.6;36.22;44.5;36.47},{1;2;3;4;5;6},1)</t>
  </si>
  <si>
    <t xml:space="preserve">_xlfn.FORECAST.ETS.CONFINT({7;8;9},{40.58;49.62;42.6;36.22;44.5;36.47},{1;2;3;4;5;6},0.9,0)</t>
  </si>
  <si>
    <t xml:space="preserve">_xlfn.ORG.LIBREOFFICE.FORECAST.ETS.MULT({3.75,4.5,3.75},{25.5;24.8;24.8;27.4;25},{1.5;2;2.5;3;1})</t>
  </si>
  <si>
    <t xml:space="preserve">_xlfn.ORG.LIBREOFFICE.FORECAST.ETS.STAT.MULT({25.5;24.8;24.8;27.4;25},{1.5;2;2.5;3;1},{3;7;4;5;1;8;9;2;6})</t>
  </si>
  <si>
    <t xml:space="preserve">_xlfn.FORECAST.ETS.SEASONALITY({25.5;24.8;24.8;27.4;25},{1.5;2;2.5;3;1},0)</t>
  </si>
  <si>
    <t xml:space="preserve">_xlfn.FORECAST.ETS({11.75},{32.5;36.93;40;44;44.7;46.7;50.2;54.25;56.9;58;62;63.8;67.66;69;74;76.9;77.1;82;85.58;88.18;89.61;93},{1;1.5;2;2.5;3;3.5;4;4.5;5;5.5;6;6.5;7;7.5;8;8.5;9;9.5;10;10.5;11;11.5},1,0)</t>
  </si>
  <si>
    <t xml:space="preserve">_xlfn.FORECAST.ETS.STAT({32.5;36.93;40;44;44.7;46.7;50.2;54.25;56.9;58;62;63.8;67.66;69;74;76.9;77.1;82;85.58;88.18;89.61;93},{1;1.5;2;2.5;3;3.5;4;4.5;5;5.5;6;6.5;7;7.5;8;8.5;9;9.5;10;10.5;11;11.5},{5},1,0)</t>
  </si>
  <si>
    <t xml:space="preserve">_xlfn.FORECAST.ETS.SEASONALITY({32.5;36.93;40;44;44.7;46.7;50.2;54.25;56.9;58;62;63.8;67.66;69;74;76.9;77.1;82;85.58;88.18;89.61;93},{1;1.5;2;2.5;3;3.5;4;4.5;5;5.5;6;6.5;7;7.5;8;8.5;9;9.5;10;10.5;11;11.5})</t>
  </si>
  <si>
    <t xml:space="preserve">_xlfn.FORECAST.ETS(12,{68;11.99;94.84;7.6;89.01;1;29.5;32.3;62.22;32.18;42.12;35.64;85.6;89;69;55;24;4.82;32.97;2},{1;1.5;2;2.5;3;3.5;4;4.5;5;5.5;6;6.5;7;7.5;8;8.5;9;9.5;10;10.5},1,0,7)</t>
  </si>
  <si>
    <t xml:space="preserve">_xlfn.ORG.LIBREOFFICE.FORECAST.ETS.STAT.MULT({68;11.99;94.84;7.6;89.01;1;29.5;32.3;62.22;32.18;42.12;35.64;85.6;89;69;55;24;4.82;32.97;2},{1;1.5;2;2.5;3;3.5;4;4.5;5;5.5;6;6.5;7;7.5;8;8.5;9;9.5;10;10.5},{7;6},1,0,7)</t>
  </si>
  <si>
    <t xml:space="preserve">_xlfn.FORECAST.ETS.SEASONALITY({68;11.99;94.84;7.6;89.01;1;29.5;32.3;62.22;32.18;42.12;35.64;85.6;89;69;55;24;4.82;32.97;2},{1;1.5;2;2.5;3;3.5;4;4.5;5;5.5;6;6.5;7;7.5;8;8.5;9;9.5;10;10.5},0)</t>
  </si>
  <si>
    <t xml:space="preserve">_xlfn.ORG.LIBREOFFICE.FORECAST.ETS.MULT(45031,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,3)</t>
  </si>
  <si>
    <t xml:space="preserve">_xlfn.FORECAST.ETS.STAT(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,{2},3)</t>
  </si>
  <si>
    <t xml:space="preserve">_xlfn.FORECAST.ETS.SEASONALITY(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)</t>
  </si>
  <si>
    <t xml:space="preserve">_xlfn.FORECAST.ETS({45027;45023.5;45024.5},{35.9;29.77;26.6;37.9;25.8;30.94;45.3;37.3;32;47.1;32;35.62;54.64;44;36.84;57;38.19;43.41;63.1;52.36;42.74;63.5;42;50},{45000;45001;45002;45003;45004;45005;45006;45007;45008;45009;45010;45011;45012;45013;45014;45015;45016;45017;45018;45019;45020;45021;45022;45023},6,,4)</t>
  </si>
  <si>
    <t xml:space="preserve">_xlfn.ORG.LIBREOFFICE.FORECAST.ETS.STAT.MULT({35.9;29.77;26.6;37.9;25.8;30.94;45.3;37.3;32;47.1;32;35.62;54.64;44;36.84;57;38.19;43.41;63.1;52.36;42.74;63.5;42;50},{45000;45001;45002;45003;45004;45005;45006;45007;45008;45009;45010;45011;45012;45013;45014;45015;45016;45017;45018;45019;45020;45021;45022;45023},{5},6,,4)</t>
  </si>
  <si>
    <t xml:space="preserve">_xlfn.FORECAST.ETS.SEASONALITY({35.9;29.77;26.6;37.9;25.8;30.94;45.3;37.3;32;47.1;32;35.62;54.64;44;36.84;57;38.19;43.41;63.1;52.36;42.74;63.5;42;50},{45000;45001;45002;45003;45004;45005;45006;45007;45008;45009;45010;45011;45012;45013;45014;45015;45016;45017;45018;45019;45020;45021;45022;45023},1,5)</t>
  </si>
  <si>
    <t xml:space="preserve">_xlfn.FORECAST.ETS({3.75;4.5;3.25},{25.25;23.74;24;21.1;10;23.1},{1;1.5;2;2.5;2.5;3})</t>
  </si>
  <si>
    <t xml:space="preserve">_xlfn.FORECAST.ETS.STAT({25.25;23.74;24;21.1;10;23.1},{1;1.5;2;2.5;2.5;3},{8;4})</t>
  </si>
  <si>
    <t xml:space="preserve">_xlfn.FORECAST.ETS.SEASONALITY({25.25;23.74;24;21.1;10;23.1},{1;1.5;2;2.5;2.5;3},1,4)</t>
  </si>
  <si>
    <t xml:space="preserve">_xlfn.FORECAST.ETS.CONFINT(4.5,{25.25;23.74;24;21.1;10;23.1},{1;1.5;2;2.5;2.5;3},0.99,0,1,4)</t>
  </si>
  <si>
    <t xml:space="preserve">_xlfn.FORECAST.ETS({6.5;7.5;8},{25;23.86;24.4;29.63;25.61;28},{1;2;3;4;5;6},0)</t>
  </si>
  <si>
    <t xml:space="preserve">_xlfn.FORECAST.ETS.STAT({25;23.86;24.4;29.63;25.61;28},{1;2;3;4;5;6},{8;3},0)</t>
  </si>
  <si>
    <t xml:space="preserve">_xlfn.FORECAST.ETS.SEASONALITY({25;23.86;24.4;29.63;25.61;28},{1;2;3;4;5;6},1,1)</t>
  </si>
  <si>
    <t xml:space="preserve">_xlfn.FORECAST.ETS.CONFINT({7;8;9},{25;23.86;24.4;29.63;25.61;28},{1;2;3;4;5;6},0.9,0)</t>
  </si>
  <si>
    <t xml:space="preserve">_xlfn.ORG.LIBREOFFICE.FORECAST.ETS.MULT({45018;45017;45020},{45.4;25.5;98;86.67;70.04;12;3.85;52;55.9;46.6;24.7;10.4;29;33.46;33.05;53;62},{45000;45001;45002;45003;45004;45005;45006;45007;45008;45009;45010;45011;45012;45013;45014;45015;45016})</t>
  </si>
  <si>
    <t xml:space="preserve">_xlfn.ORG.LIBREOFFICE.FORECAST.ETS.STAT.MULT({45.4;25.5;98;86.67;70.04;12;3.85;52;55.9;46.6;24.7;10.4;29;33.46;33.05;53;62},{45000;45001;45002;45003;45004;45005;45006;45007;45008;45009;45010;45011;45012;45013;45014;45015;45016},{4;8})</t>
  </si>
  <si>
    <t xml:space="preserve">_xlfn.FORECAST.ETS.SEASONALITY({45.4;25.5;98;86.67;70.04;12;3.85;52;55.9;46.6;24.7;10.4;29;33.46;33.05;53;62},{45000;45001;45002;45003;45004;45005;45006;45007;45008;45009;45010;45011;45012;45013;45014;45015;45016})</t>
  </si>
  <si>
    <t xml:space="preserve">_xlfn.FORECAST.ETS(45260,{35.4;35.41;35;35.4;35.41;35;35.41;35;35.41;35.4;35.41;35;35;35.4;35;35.41;35.41;35.41;35.4;35.41;35.41;35},{44592;44620;44651;44681;44712;44742;44773;44804;44834;44865;44895;44926;44957;44985;45016;45046;45077;45107;45138;45169;45199;45230},4,1,3)</t>
  </si>
  <si>
    <t xml:space="preserve">_xlfn.ORG.LIBREOFFICE.FORECAST.ETS.STAT.MULT({35.4;35.41;35;35.4;35.41;35;35.41;35;35.41;35.4;35.41;35;35;35.4;35;35.41;35.41;35.41;35.4;35.41;35.41;35},{44592;44620;44651;44681;44712;44742;44773;44804;44834;44865;44895;44926;44957;44985;45016;45046;45077;45107;45138;45169;45199;45230},{3},4,1,3)</t>
  </si>
  <si>
    <t xml:space="preserve">_xlfn.FORECAST.ETS.SEASONALITY({35.4;35.41;35;35.4;35.41;35;35.41;35;35.41;35.4;35.41;35;35;35.4;35;35.41;35.41;35.41;35.4;35.41;35.41;35},{44592;44620;44651;44681;44712;44742;44773;44804;44834;44865;44895;44926;44957;44985;45016;45046;45077;45107;45138;45169;45199;45230},1)</t>
  </si>
  <si>
    <t xml:space="preserve">_xlfn.FORECAST.ETS(21,{22;30.3;30.1;35.94;35;43.82;44.16;47.3;48.44;58.6;59.27;61;62;72.34;70.7;76.16;77;82.9;84.1;88.1},{1;2;3;4;5;6;7;8;9;10;11;12;13;14;15;16;17;18;19;20},2)</t>
  </si>
  <si>
    <t xml:space="preserve">_xlfn.ORG.LIBREOFFICE.FORECAST.ETS.STAT.MULT({22;30.3;30.1;35.94;35;43.82;44.16;47.3;48.44;58.6;59.27;61;62;72.34;70.7;76.16;77;82.9;84.1;88.1},{1;2;3;4;5;6;7;8;9;10;11;12;13;14;15;16;17;18;19;20},{9},2)</t>
  </si>
  <si>
    <t xml:space="preserve">_xlfn.FORECAST.ETS.SEASONALITY({22;30.3;30.1;35.94;35;43.82;44.16;47.3;48.44;58.6;59.27;61;62;72.34;70.7;76.16;77;82.9;84.1;88.1},{1;2;3;4;5;6;7;8;9;10;11;12;13;14;15;16;17;18;19;20})</t>
  </si>
  <si>
    <t xml:space="preserve">_xlfn.ORG.LIBREOFFICE.FORECAST.ETS.PI.MULT(23,{22;30.3;30.1;35.94;35;43.82;44.16;47.3;48.44;58.6;59.27;61;62;72.34;70.7;76.16;77;82.9;84.1;88.1},{1;2;3;4;5;6;7;8;9;10;11;12;13;14;15;16;17;18;19;20},1,0)</t>
  </si>
  <si>
    <t xml:space="preserve">_xlfn.ORG.LIBREOFFICE.FORECAST.ETS.MULT(157,{22.09;25.3;12.7;11.82;21.64;11.51;19;13.54;14.14;8.1;6.59;11;6.58;8;4;5.5;2.7;2.1;0;2;0.69},{3;10;17;24;31;38;45;52;59;66;73;80;87;94;101;108;115;122;129;136;143},4)</t>
  </si>
  <si>
    <t xml:space="preserve">_xlfn.ORG.LIBREOFFICE.FORECAST.ETS.STAT.MULT({22.09;25.3;12.7;11.82;21.64;11.51;19;13.54;14.14;8.1;6.59;11;6.58;8;4;5.5;2.7;2.1;0;2;0.69},{3;10;17;24;31;38;45;52;59;66;73;80;87;94;101;108;115;122;129;136;143},{6},4)</t>
  </si>
  <si>
    <t xml:space="preserve">_xlfn.FORECAST.ETS.SEASONALITY({22.09;25.3;12.7;11.82;21.64;11.51;19;13.54;14.14;8.1;6.59;11;6.58;8;4;5.5;2.7;2.1;0;2;0.69},{3;10;17;24;31;38;45;52;59;66;73;80;87;94;101;108;115;122;129;136;143},1)</t>
  </si>
  <si>
    <t xml:space="preserve">_xlfn.ORG.LIBREOFFICE.FORECAST.ETS.MULT(2.5,{83.3;100;10.7;33.6;30;70.37;63;49.34;70;4;4.63;34;90},{1;1.5;2;2.5;3;3.5;4;4.5;5;5.5;6;6.5;7})</t>
  </si>
  <si>
    <t xml:space="preserve">_xlfn.FORECAST.ETS.STAT({83.3;100;10.7;33.6;30;70.37;63;49.34;70;4;4.63;34;90},{1;1.5;2;2.5;3;3.5;4;4.5;5;5.5;6;6.5;7},{2})</t>
  </si>
  <si>
    <t xml:space="preserve">_xlfn.FORECAST.ETS.SEASONALITY({83.3;100;10.7;33.6;30;70.37;63;49.34;70;4;4.63;34;90},{1;1.5;2;2.5;3;3.5;4;4.5;5;5.5;6;6.5;7},0)</t>
  </si>
  <si>
    <t xml:space="preserve">_xlfn.FORECAST.ETS({23;23.5},{19.09;19.1;19;19.1;19.1;19.09;19.09;19.09;19.09;19;19.09;19.09;19.1;19.1;19.1;19;19.09;19.1;19.09;19;19;19},{1;2;3;4;5;6;7;8;9;10;11;12;13;14;15;16;17;18;19;20;21;22},4)</t>
  </si>
  <si>
    <t xml:space="preserve">_xlfn.FORECAST.ETS.STAT({19.09;19.1;19;19.1;19.1;19.09;19.09;19.09;19.09;19;19.09;19.09;19.1;19.1;19.1;19;19.09;19.1;19.09;19;19;19},{1;2;3;4;5;6;7;8;9;10;11;12;13;14;15;16;17;18;19;20;21;22},{4},4)</t>
  </si>
  <si>
    <t xml:space="preserve">_xlfn.FORECAST.ETS.SEASONALITY({19.09;19.1;19;19.1;19.1;19.09;19.09;19.09;19.09;19;19.09;19.09;19.1;19.1;19.1;19;19.09;19.1;19.09;19;19;19},{1;2;3;4;5;6;7;8;9;10;11;12;13;14;15;16;17;18;19;20;21;22})</t>
  </si>
  <si>
    <t xml:space="preserve">_xlfn.FORECAST.ETS.CONFINT({23;24;25},{19.09;19.1;19;19.1;19.1;19.09;19.09;19.09;19.09;19;19.09;19.09;19.1;19.1;19.1;19;19.09;19.1;19.09;19;19;19},{1;2;3;4;5;6;7;8;9;10;11;12;13;14;15;16;17;18;19;20;21;22},,0,1,3)</t>
  </si>
  <si>
    <t xml:space="preserve">_xlfn.FORECAST.ETS({23;21.5},{15.52;17.3;16;17.69;18.77;14.6;21.5;13;18;19.62;20;22;14;17;15.42;17.3;14.4;18.8;11.4;16},{20;15;12;4;10;17;5;19;9;2;6;1;14;7;16;11;13;3;18;8},0,0)</t>
  </si>
  <si>
    <t xml:space="preserve">_xlfn.FORECAST.ETS.STAT({15.52;17.3;16;17.69;18.77;14.6;21.5;13;18;19.62;20;22;14;17;15.42;17.3;14.4;18.8;11.4;16},{20;15;12;4;10;17;5;19;9;2;6;1;14;7;16;11;13;3;18;8},{1;7;6;2;9;4;5;8;3},0,0)</t>
  </si>
  <si>
    <t xml:space="preserve">_xlfn.FORECAST.ETS.SEASONALITY({15.52;17.3;16;17.69;18.77;14.6;21.5;13;18;19.62;20;22;14;17;15.42;17.3;14.4;18.8;11.4;16},{20;15;12;4;10;17;5;19;9;2;6;1;14;7;16;11;13;3;18;8},0,5)</t>
  </si>
  <si>
    <t xml:space="preserve">_xlfn.ORG.LIBREOFFICE.FORECAST.ETS.MULT(10,{49;49.4;49;49.4;49.41;49},{3;5;7;9;11;13},7,1,1)</t>
  </si>
  <si>
    <t xml:space="preserve">_xlfn.ORG.LIBREOFFICE.FORECAST.ETS.STAT.MULT({49;49.4;49;49.4;49.41;49},{3;5;7;9;11;13},{5;9},7,1,1)</t>
  </si>
  <si>
    <t xml:space="preserve">_xlfn.FORECAST.ETS.SEASONALITY({49;49.4;49;49.4;49.41;49},{3;5;7;9;11;13},0,4)</t>
  </si>
  <si>
    <t xml:space="preserve">_xlfn.FORECAST.ETS.CONFINT(17,{49;49.4;49;49.4;49.41;49},{3;5;7;9;11;13},0.5,0,0)</t>
  </si>
  <si>
    <t xml:space="preserve">_xlfn.ORG.LIBREOFFICE.FORECAST.ETS.MULT({10},{98.51;78;14;69;90.82;39;78;69.62;15.1;80.23;99;59;69;70;49.2;71;16},{1;1.5;2;2.5;3;3.5;4;4.5;5;5.5;6;6.5;7;7.5;8;8.5;9},1,0,7)</t>
  </si>
  <si>
    <t xml:space="preserve">_xlfn.FORECAST.ETS.STAT({98.51;78;14;69;90.82;39;78;69.62;15.1;80.23;99;59;69;70;49.2;71;16},{1;1.5;2;2.5;3;3.5;4;4.5;5;5.5;6;6.5;7;7.5;8;8.5;9},{3;1;4;7;6;9;8;2;5},1,0,7)</t>
  </si>
  <si>
    <t xml:space="preserve">_xlfn.FORECAST.ETS.SEASONALITY({98.51;78;14;69;90.82;39;78;69.62;15.1;80.23;99;59;69;70;49.2;71;16},{1;1.5;2;2.5;3;3.5;4;4.5;5;5.5;6;6.5;7;7.5;8;8.5;9},0)</t>
  </si>
  <si>
    <t xml:space="preserve">_xlfn.FORECAST.ETS(45184,{43.2;29.78;33;38.72;39;24.6;27.73;38.16;34.9},{44895;44926;44957;45016;45046;45077;45107;45138;45169})</t>
  </si>
  <si>
    <t xml:space="preserve">_xlfn.ORG.LIBREOFFICE.FORECAST.ETS.STAT.MULT({43.2;29.78;33;38.72;39;24.6;27.73;38.16;34.9},{44895;44926;44957;45016;45046;45077;45107;45138;45169},{3;2})</t>
  </si>
  <si>
    <t xml:space="preserve">_xlfn.FORECAST.ETS.SEASONALITY({43.2;29.78;33;38.72;39;24.6;27.73;38.16;34.9},{44895;44926;44957;45016;45046;45077;45107;45138;45169},1)</t>
  </si>
  <si>
    <t xml:space="preserve">_xlfn.ORG.LIBREOFFICE.FORECAST.ETS.MULT({45425;45500},{87.7;76;71;65.24;49.7;73.3;96.9;19.1;67;74.5;87;53;61.5;39.64;27;48;93.21;56.2;75;37.1;14.9},{44832;44862;44893;44923;44954;44985;45013;45044;45074;45105;45135;45166;45197;45227;45258;45288;45319;45350;45379;45379;45410},0,0)</t>
  </si>
  <si>
    <t xml:space="preserve">_xlfn.ORG.LIBREOFFICE.FORECAST.ETS.STAT.MULT({87.7;76;71;65.24;49.7;73.3;96.9;19.1;67;74.5;87;53;61.5;39.64;27;48;93.21;56.2;75;37.1;14.9},{44832;44862;44893;44923;44954;44985;45013;45044;45074;45105;45135;45166;45197;45227;45258;45288;45319;45350;45379;45379;45410},{5;7;8;4;9;1;6;2;3},0,0)</t>
  </si>
  <si>
    <t xml:space="preserve">_xlfn.FORECAST.ETS.SEASONALITY({87.7;76;71;65.24;49.7;73.3;96.9;19.1;67;74.5;87;53;61.5;39.64;27;48;93.21;56.2;75;37.1;14.9},{44832;44862;44893;44923;44954;44985;45013;45044;45074;45105;45135;45166;45197;45227;45258;45288;45319;45350;45379;45379;45410},0,2)</t>
  </si>
  <si>
    <t xml:space="preserve">_xlfn.FORECAST.ETS({10.25;11;10.5},{25.67;22;15.54;25.03;86.39;65.49;78;9;44;47;77.4;58;72;71;24;97.7;3.15;60;37.28},{1;1.5;2;2.5;3;3.5;4;4.5;5;5.5;6;6.5;7;7.5;8;8.5;9;9.5;10})</t>
  </si>
  <si>
    <t xml:space="preserve">_xlfn.FORECAST.ETS.STAT({25.67;22;15.54;25.03;86.39;65.49;78;9;44;47;77.4;58;72;71;24;97.7;3.15;60;37.28},{1;1.5;2;2.5;3;3.5;4;4.5;5;5.5;6;6.5;7;7.5;8;8.5;9;9.5;10},{1;5;3;6;7;2;8;4;9})</t>
  </si>
  <si>
    <t xml:space="preserve">_xlfn.FORECAST.ETS.SEASONALITY({25.67;22;15.54;25.03;86.39;65.49;78;9;44;47;77.4;58;72;71;24;97.7;3.15;60;37.28},{1;1.5;2;2.5;3;3.5;4;4.5;5;5.5;6;6.5;7;7.5;8;8.5;9;9.5;10},1)</t>
  </si>
  <si>
    <t xml:space="preserve">_xlfn.FORECAST.ETS.CONFINT({10.5;11;11.5},{25.67;22;15.54;25.03;86.39;65.49;78;9;44;47;77.4;58;72;71;24;97.7;3.15;60;37.28},{1;1.5;2;2.5;3;3.5;4;4.5;5;5.5;6;6.5;7;7.5;8;8.5;9;9.5;10},0.99,0,0)</t>
  </si>
  <si>
    <t xml:space="preserve">_xlfn.ORG.LIBREOFFICE.FORECAST.ETS.MULT({13},{35.35;27.72;31.7;39.1;35.6;54;57;52.72;53.66;63.3;58.42;77.2;80.6;74;78.29;86.57;84.34;99.01;104.5;98;99.39;109.47;107;122},{1;1.5;2;2.5;3;3.5;4;4.5;5;5.5;6;6.5;7;7.5;8;8.5;9;9.5;10;10.5;11;11.5;12;12.5},6,0,4)</t>
  </si>
  <si>
    <t xml:space="preserve">_xlfn.ORG.LIBREOFFICE.FORECAST.ETS.STAT.MULT({35.35;27.72;31.7;39.1;35.6;54;57;52.72;53.66;63.3;58.42;77.2;80.6;74;78.29;86.57;84.34;99.01;104.5;98;99.39;109.47;107;122},{1;1.5;2;2.5;3;3.5;4;4.5;5;5.5;6;6.5;7;7.5;8;8.5;9;9.5;10;10.5;11;11.5;12;12.5},{3},6,0,4)</t>
  </si>
  <si>
    <t xml:space="preserve">_xlfn.FORECAST.ETS.SEASONALITY({35.35;27.72;31.7;39.1;35.6;54;57;52.72;53.66;63.3;58.42;77.2;80.6;74;78.29;86.57;84.34;99.01;104.5;98;99.39;109.47;107;122},{1;1.5;2;2.5;3;3.5;4;4.5;5;5.5;6;6.5;7;7.5;8;8.5;9;9.5;10;10.5;11;11.5;12;12.5},0,3)</t>
  </si>
  <si>
    <t xml:space="preserve">_xlfn.ORG.LIBREOFFICE.FORECAST.ETS.PI.MULT(13.5,{35.35;27.72;31.7;39.1;35.6;54;57;52.72;53.66;63.3;58.42;77.2;80.6;74;78.29;86.57;84.34;99.01;104.5;98;99.39;109.47;107;122},{1;1.5;2;2.5;3;3.5;4;4.5;5;5.5;6;6.5;7;7.5;8;8.5;9;9.5;10;10.5;11;11.5;12;12.5},0.99,0,1,1)</t>
  </si>
  <si>
    <t xml:space="preserve">_xlfn.ORG.LIBREOFFICE.FORECAST.ETS.MULT({45443;45353},{15;16.4;24.28;22.6;16;9.24;10.9;17.6;17.76;13;4.6;5;14.67;11.4;6.5;2;1.7;9.4;5.54;4.3;-5.76;-1.8;4.24;3;-1.54},{44593;44621;44652;44682;44713;44743;44774;44805;44835;44866;44896;44927;44958;44986;45017;45047;45078;45108;45139;45170;45200;45231;45261;45292;45323},1,1)</t>
  </si>
  <si>
    <t xml:space="preserve">_xlfn.ORG.LIBREOFFICE.FORECAST.ETS.STAT.MULT({15;16.4;24.28;22.6;16;9.24;10.9;17.6;17.76;13;4.6;5;14.67;11.4;6.5;2;1.7;9.4;5.54;4.3;-5.76;-1.8;4.24;3;-1.54},{44593;44621;44652;44682;44713;44743;44774;44805;44835;44866;44896;44927;44958;44986;45017;45047;45078;45108;45139;45170;45200;45231;45261;45292;45323},{8;9},1,1)</t>
  </si>
  <si>
    <t xml:space="preserve">_xlfn.FORECAST.ETS.SEASONALITY({15;16.4;24.28;22.6;16;9.24;10.9;17.6;17.76;13;4.6;5;14.67;11.4;6.5;2;1.7;9.4;5.54;4.3;-5.76;-1.8;4.24;3;-1.54},{44593;44621;44652;44682;44713;44743;44774;44805;44835;44866;44896;44927;44958;44986;45017;45047;45078;45108;45139;45170;45200;45231;45261;45292;45323})</t>
  </si>
  <si>
    <t xml:space="preserve">_xlfn.FORECAST.ETS({83.5},{29.4;27.5;33.35;28;23;28.7;24;20;26;20;20.02;24.1},{3;10;17;24;31;38;45;52;59;66;73;80},1,0,1)</t>
  </si>
  <si>
    <t xml:space="preserve">_xlfn.ORG.LIBREOFFICE.FORECAST.ETS.STAT.MULT({29.4;27.5;33.35;28;23;28.7;24;20;26;20;20.02;24.1},{3;10;17;24;31;38;45;52;59;66;73;80},{9;1},1,0,1)</t>
  </si>
  <si>
    <t xml:space="preserve">_xlfn.FORECAST.ETS.SEASONALITY({29.4;27.5;33.35;28;23;28.7;24;20;26;20;20.02;24.1},{3;10;17;24;31;38;45;52;59;66;73;80})</t>
  </si>
  <si>
    <t xml:space="preserve">_xlfn.FORECAST.ETS({12,10.75,11.25},{96.7;8.1;9.82;4.1;11.37;23;45.9;62;70.3;81.4;14.05;72.2;75.79;16;7;61.72;52.5;49;50.84;40;98.14},{1;1.5;2;2.5;3;3.5;3.5;4;4.5;5;5.5;6;6.5;7;7.5;8;8.5;9;9.5;10;10.5})</t>
  </si>
  <si>
    <t xml:space="preserve">_xlfn.FORECAST.ETS.STAT({96.7;8.1;9.82;4.1;11.37;23;45.9;62;70.3;81.4;14.05;72.2;75.79;16;7;61.72;52.5;49;50.84;40;98.14},{1;1.5;2;2.5;3;3.5;3.5;4;4.5;5;5.5;6;6.5;7;7.5;8;8.5;9;9.5;10;10.5},{7;6})</t>
  </si>
  <si>
    <t xml:space="preserve">_xlfn.FORECAST.ETS.SEASONALITY({96.7;8.1;9.82;4.1;11.37;23;45.9;62;70.3;81.4;14.05;72.2;75.79;16;7;61.72;52.5;49;50.84;40;98.14},{1;1.5;2;2.5;3;3.5;3.5;4;4.5;5;5.5;6;6.5;7;7.5;8;8.5;9;9.5;10;10.5},0,2)</t>
  </si>
  <si>
    <t xml:space="preserve">_xlfn.FORECAST.ETS({45275;45260},{17.8;20.76;27;17.8;26.8;40.32;35.38;40.17;46.1;30;45.21;60.02;56;60.8;66.73;42.93;61.9;82.6},{44727;44757;44788;44819;44849;44880;44910;44941;44972;45000;45031;45061;45092;45122;45153;45184;45214;45245})</t>
  </si>
  <si>
    <t xml:space="preserve">_xlfn.ORG.LIBREOFFICE.FORECAST.ETS.STAT.MULT({17.8;20.76;27;17.8;26.8;40.32;35.38;40.17;46.1;30;45.21;60.02;56;60.8;66.73;42.93;61.9;82.6},{44727;44757;44788;44819;44849;44880;44910;44941;44972;45000;45031;45061;45092;45122;45153;45184;45214;45245},{9;7;8;2;5;6;3;1;4})</t>
  </si>
  <si>
    <t xml:space="preserve">_xlfn.FORECAST.ETS.SEASONALITY({17.8;20.76;27;17.8;26.8;40.32;35.38;40.17;46.1;30;45.21;60.02;56;60.8;66.73;42.93;61.9;82.6},{44727;44757;44788;44819;44849;44880;44910;44941;44972;45000;45031;45061;45092;45122;45153;45184;45214;45245},1)</t>
  </si>
  <si>
    <t xml:space="preserve">_xlfn.ORG.LIBREOFFICE.FORECAST.ETS.MULT(45145.5,{27;88.39;97.74;76.1;41.49;90;67.53;58.36;23;39.5;22;25.12;25.7;14;81.28;16.6;34;95.5;50;8.4},{44742;44773;44804;44834;44865;44895;44926;44957;44985;45016;45046;45077;45107;45138;45169;45199;45230;45260;45291;45322},0,0)</t>
  </si>
  <si>
    <t xml:space="preserve">_xlfn.FORECAST.ETS.STAT({27;88.39;97.74;76.1;41.49;90;67.53;58.36;23;39.5;22;25.12;25.7;14;81.28;16.6;34;95.5;50;8.4},{44742;44773;44804;44834;44865;44895;44926;44957;44985;45016;45046;45077;45107;45138;45169;45199;45230;45260;45291;45322},{7;5},0,0)</t>
  </si>
  <si>
    <t xml:space="preserve">_xlfn.FORECAST.ETS.SEASONALITY({27;88.39;97.74;76.1;41.49;90;67.53;58.36;23;39.5;22;25.12;25.7;14;81.28;16.6;34;95.5;50;8.4},{44742;44773;44804;44834;44865;44895;44926;44957;44985;45016;45046;45077;45107;45138;45169;45199;45230;45260;45291;45322},0,3)</t>
  </si>
  <si>
    <t xml:space="preserve">_xlfn.FORECAST.ETS(45061,{29.5;24.4;21.48;23.96;30.4;19;28.2;22;22.49;30.35;27.96;27},{45138;44985;44926;44895;44957;44834;44865;45107;45016;45046;45077;45169},3,0)</t>
  </si>
  <si>
    <t xml:space="preserve">_xlfn.ORG.LIBREOFFICE.FORECAST.ETS.STAT.MULT({29.5;24.4;21.48;23.96;30.4;19;28.2;22;22.49;30.35;27.96;27},{45138;44985;44926;44895;44957;44834;44865;45107;45016;45046;45077;45169},{3;1;4;5;9;2;8;7;6},3,0)</t>
  </si>
  <si>
    <t xml:space="preserve">_xlfn.FORECAST.ETS.SEASONALITY({29.5;24.4;21.48;23.96;30.4;19;28.2;22;22.49;30.35;27.96;27},{45138;44985;44926;44895;44957;44834;44865;45107;45016;45046;45077;45169},1)</t>
  </si>
  <si>
    <t xml:space="preserve">_xlfn.FORECAST.ETS({14.5,15,15},{21.7;19;27.7;30.68;30.15;17;14.2;21.8;25;26;10.16;6.94;16.91;18;18;6.1;1.3;10;13;13.7;1.3;-1.6;5.7;8.68;7.2},{1;1.5;2;2.5;3;3.5;4;4.5;5;5.5;6;6.5;7;7.5;8;8.5;9;9.5;10;10.5;11;11.5;12;12.5;13},1,1,7)</t>
  </si>
  <si>
    <t xml:space="preserve">_xlfn.ORG.LIBREOFFICE.FORECAST.ETS.STAT.MULT({21.7;19;27.7;30.68;30.15;17;14.2;21.8;25;26;10.16;6.94;16.91;18;18;6.1;1.3;10;13;13.7;1.3;-1.6;5.7;8.68;7.2},{1;1.5;2;2.5;3;3.5;4;4.5;5;5.5;6;6.5;7;7.5;8;8.5;9;9.5;10;10.5;11;11.5;12;12.5;13},{9;5;6;7;1;8;2;3;4},1,1,7)</t>
  </si>
  <si>
    <t xml:space="preserve">_xlfn.FORECAST.ETS.SEASONALITY({21.7;19;27.7;30.68;30.15;17;14.2;21.8;25;26;10.16;6.94;16.91;18;18;6.1;1.3;10;13;13.7;1.3;-1.6;5.7;8.68;7.2},{1;1.5;2;2.5;3;3.5;4;4.5;5;5.5;6;6.5;7;7.5;8;8.5;9;9.5;10;10.5;11;11.5;12;12.5;13})</t>
  </si>
  <si>
    <t xml:space="preserve">_xlfn.FORECAST.ETS(31,{48;41.1;35;41.1;43.1;12.4;46;52;55;47;42.91;45.4;46.94;49.1;57;59.66;52.17;48.92;52;54.43;55.6;64.1;64.65;58.9;53.3;57.3;60;60.61;70.08},{1;2;3;4;5;5;6;7;8;9;10;11;12;13;14;15;16;17;18;19;20;21;22;23;24;25;26;27;28},3)</t>
  </si>
  <si>
    <t xml:space="preserve">_xlfn.FORECAST.ETS.STAT({48;41.1;35;41.1;43.1;12.4;46;52;55;47;42.91;45.4;46.94;49.1;57;59.66;52.17;48.92;52;54.43;55.6;64.1;64.65;58.9;53.3;57.3;60;60.61;70.08},{1;2;3;4;5;5;6;7;8;9;10;11;12;13;14;15;16;17;18;19;20;21;22;23;24;25;26;27;28},{7;9;3;6;4;8;5;1;2},3)</t>
  </si>
  <si>
    <t xml:space="preserve">_xlfn.FORECAST.ETS.SEASONALITY({48;41.1;35;41.1;43.1;12.4;46;52;55;47;42.91;45.4;46.94;49.1;57;59.66;52.17;48.92;52;54.43;55.6;64.1;64.65;58.9;53.3;57.3;60;60.61;70.08},{1;2;3;4;5;5;6;7;8;9;10;11;12;13;14;15;16;17;18;19;20;21;22;23;24;25;26;27;28})</t>
  </si>
  <si>
    <t xml:space="preserve">_xlfn.ORG.LIBREOFFICE.FORECAST.ETS.PI.MULT(30,{48;41.1;35;41.1;43.1;12.4;46;52;55;47;42.91;45.4;46.94;49.1;57;59.66;52.17;48.92;52;54.43;55.6;64.1;64.65;58.9;53.3;57.3;60;60.61;70.08},{1;2;3;4;5;5;6;7;8;9;10;11;12;13;14;15;16;17;18;19;20;21;22;23;24;25;26;27;28},0.95,0,1,3)</t>
  </si>
  <si>
    <t xml:space="preserve">_xlfn.FORECAST.ETS(45412,{72.76;81.4;20.9;88;128;104;100.8;23.75;33;107.3;103;104.06;46.86;75;130;44.2;52.1;118;47;47;76;60.2;131;75},{44957;45016;44620;45046;45322;45107;45138;44651;44681;45199;45169;45077;44712;44895;45260;44773;44834;45230;44742;44804;44926;44865;45291;44985},0,,5)</t>
  </si>
  <si>
    <t xml:space="preserve">_xlfn.FORECAST.ETS.STAT({72.76;81.4;20.9;88;128;104;100.8;23.75;33;107.3;103;104.06;46.86;75;130;44.2;52.1;118;47;47;76;60.2;131;75},{44957;45016;44620;45046;45322;45107;45138;44651;44681;45199;45169;45077;44712;44895;45260;44773;44834;45230;44742;44804;44926;44865;45291;44985},{9;5},0,,5)</t>
  </si>
  <si>
    <t xml:space="preserve">_xlfn.FORECAST.ETS.SEASONALITY({72.76;81.4;20.9;88;128;104;100.8;23.75;33;107.3;103;104.06;46.86;75;130;44.2;52.1;118;47;47;76;60.2;131;75},{44957;45016;44620;45046;45322;45107;45138;44651;44681;45199;45169;45077;44712;44895;45260;44773;44834;45230;44742;44804;44926;44865;45291;44985},1,4)</t>
  </si>
  <si>
    <t xml:space="preserve">_xlfn.FORECAST.ETS({10;10},{32;21;32;34.8;26;36},{1;2;3;4;5;6},3,1,2)</t>
  </si>
  <si>
    <t xml:space="preserve">_xlfn.ORG.LIBREOFFICE.FORECAST.ETS.STAT.MULT({32;21;32;34.8;26;36},{1;2;3;4;5;6},{6;2},3,1,2)</t>
  </si>
  <si>
    <t xml:space="preserve">_xlfn.FORECAST.ETS.SEASONALITY({32;21;32;34.8;26;36},{1;2;3;4;5;6},0,5)</t>
  </si>
  <si>
    <t xml:space="preserve">_xlfn.ORG.LIBREOFFICE.FORECAST.ETS.PI.MULT(9,{32;21;32;34.8;26;36},{1;2;3;4;5;6},0.5,0,0)</t>
  </si>
  <si>
    <t xml:space="preserve">_xlfn.ORG.LIBREOFFICE.FORECAST.ETS.MULT({45012},{24.13;85.7;97.1;28.5;20;65.92;58;22;74.6;36},{45000;45001;45002;45003;45004;45005;45006;45007;45008;45009},7,0)</t>
  </si>
  <si>
    <t xml:space="preserve">_xlfn.ORG.LIBREOFFICE.FORECAST.ETS.STAT.MULT({24.13;85.7;97.1;28.5;20;65.92;58;22;74.6;36},{45000;45001;45002;45003;45004;45005;45006;45007;45008;45009},{2;8},7,0)</t>
  </si>
  <si>
    <t xml:space="preserve">_xlfn.FORECAST.ETS.SEASONALITY({24.13;85.7;97.1;28.5;20;65.92;58;22;74.6;36},{45000;45001;45002;45003;45004;45005;45006;45007;45008;45009},0)</t>
  </si>
  <si>
    <t xml:space="preserve">_xlfn.FORECAST.ETS(45028,{26.89;23;31.86;25.4;55.73;43;32.1;53;38;84;62.27;43;74;52.2;109.84;80;55.95;95.32;65;138.93;100;68.5;116.2;77},{45000;45001;45003;45004;45005;45006;45007;45008;45009;45010;45011;45012;45013;45014;45015;45016;45017;45018;45019;45020;45021;45022;45023;45024},0,,3)</t>
  </si>
  <si>
    <t xml:space="preserve">_xlfn.ORG.LIBREOFFICE.FORECAST.ETS.STAT.MULT({26.89;23;31.86;25.4;55.73;43;32.1;53;38;84;62.27;43;74;52.2;109.84;80;55.95;95.32;65;138.93;100;68.5;116.2;77},{45000;45001;45003;45004;45005;45006;45007;45008;45009;45010;45011;45012;45013;45014;45015;45016;45017;45018;45019;45020;45021;45022;45023;45024},{8;9;5;2;1;3;7;6;4},0,,3)</t>
  </si>
  <si>
    <t xml:space="preserve">_xlfn.FORECAST.ETS.SEASONALITY({26.89;23;31.86;25.4;55.73;43;32.1;53;38;84;62.27;43;74;52.2;109.84;80;55.95;95.32;65;138.93;100;68.5;116.2;77},{45000;45001;45003;45004;45005;45006;45007;45008;45009;45010;45011;45012;45013;45014;45015;45016;45017;45018;45019;45020;45021;45022;45023;45024},1,7)</t>
  </si>
  <si>
    <t xml:space="preserve">_xlfn.ORG.LIBREOFFICE.FORECAST.ETS.MULT({45026},{14;16;17;18.09;21;21;24;25.16;26;27.5;29.32;30;31;33.27;34.8;35.2;38.6;40.11;42;43.73;45;47;45.7},{45000;45001;45003;45004;45005;45006;45007;45008;45009;45010;45011;45012;45013;45014;45015;45016;45017;45018;45019;45020;45021;45022;45023},7,1)</t>
  </si>
  <si>
    <t xml:space="preserve">_xlfn.FORECAST.ETS.STAT({14;16;17;18.09;21;21;24;25.16;26;27.5;29.32;30;31;33.27;34.8;35.2;38.6;40.11;42;43.73;45;47;45.7},{45000;45001;45003;45004;45005;45006;45007;45008;45009;45010;45011;45012;45013;45014;45015;45016;45017;45018;45019;45020;45021;45022;45023},{6},7,1)</t>
  </si>
  <si>
    <t xml:space="preserve">_xlfn.FORECAST.ETS.SEASONALITY({14;16;17;18.09;21;21;24;25.16;26;27.5;29.32;30;31;33.27;34.8;35.2;38.6;40.11;42;43.73;45;47;45.7},{45000;45001;45003;45004;45005;45006;45007;45008;45009;45010;45011;45012;45013;45014;45015;45016;45017;45018;45019;45020;45021;45022;45023},0)</t>
  </si>
  <si>
    <t xml:space="preserve">_xlfn.ORG.LIBREOFFICE.FORECAST.ETS.PI.MULT({45024;45025;45026},{14;16;17;18.09;21;21;24;25.16;26;27.5;29.32;30;31;33.27;34.8;35.2;38.6;40.11;42;43.73;45;47;45.7},{45000;45001;45003;45004;45005;45006;45007;45008;45009;45010;45011;45012;45013;45014;45015;45016;45017;45018;45019;45020;45021;45022;45023},,0)</t>
  </si>
  <si>
    <t xml:space="preserve">_xlfn.FORECAST.ETS({12.75},{9.27;12.48;13.8;44.9;18.5;22;23.56;25;29;31.5;35.9;39.4;41.3;43;47.59;49.91;52;55.58;58.55;61.2;66;68;69.8;75},{1;1.5;2;2;2.5;3;3.5;4;4.5;5;5.5;6;6.5;7;7.5;8;8.5;9;9.5;10;10.5;11;11.5;12},4,,7)</t>
  </si>
  <si>
    <t xml:space="preserve">_xlfn.FORECAST.ETS.STAT({9.27;12.48;13.8;44.9;18.5;22;23.56;25;29;31.5;35.9;39.4;41.3;43;47.59;49.91;52;55.58;58.55;61.2;66;68;69.8;75},{1;1.5;2;2;2.5;3;3.5;4;4.5;5;5.5;6;6.5;7;7.5;8;8.5;9;9.5;10;10.5;11;11.5;12},{4;2;3;9;6;1;8;5;7},4,,7)</t>
  </si>
  <si>
    <t xml:space="preserve">_xlfn.FORECAST.ETS.SEASONALITY({9.27;12.48;13.8;44.9;18.5;22;23.56;25;29;31.5;35.9;39.4;41.3;43;47.59;49.91;52;55.58;58.55;61.2;66;68;69.8;75},{1;1.5;2;2;2.5;3;3.5;4;4.5;5;5.5;6;6.5;7;7.5;8;8.5;9;9.5;10;10.5;11;11.5;12},1)</t>
  </si>
  <si>
    <t xml:space="preserve">_xlfn.FORECAST.ETS({31.5;32;30.5},{35;44.6;48.7;51.5;58;51.77;54.56;65;68.62;75;79.87;74;76.4;86.2;92.12;94.2;101;96;96.3;109.17;111.57;115;121.02;116.9;119;129.8;132.68;135.7;141;138.42},{1;2;3;4;5;6;7;8;9;10;11;12;13;14;15;16;17;18;19;20;21;22;23;24;25;26;27;28;29;30},2)</t>
  </si>
  <si>
    <t xml:space="preserve">_xlfn.FORECAST.ETS.STAT({35;44.6;48.7;51.5;58;51.77;54.56;65;68.62;75;79.87;74;76.4;86.2;92.12;94.2;101;96;96.3;109.17;111.57;115;121.02;116.9;119;129.8;132.68;135.7;141;138.42},{1;2;3;4;5;6;7;8;9;10;11;12;13;14;15;16;17;18;19;20;21;22;23;24;25;26;27;28;29;30},{7},2)</t>
  </si>
  <si>
    <t xml:space="preserve">_xlfn.FORECAST.ETS.SEASONALITY({35;44.6;48.7;51.5;58;51.77;54.56;65;68.62;75;79.87;74;76.4;86.2;92.12;94.2;101;96;96.3;109.17;111.57;115;121.02;116.9;119;129.8;132.68;135.7;141;138.42},{1;2;3;4;5;6;7;8;9;10;11;12;13;14;15;16;17;18;19;20;21;22;23;24;25;26;27;28;29;30},1,7)</t>
  </si>
  <si>
    <t xml:space="preserve">_xlfn.FORECAST.ETS({45014;45015},{27.9;55.84;35.29;49;37;39;43;27;53.3;25.05;33.65;32.28},{45008;45011;45010;45003;45001;45005;45009;45004;45007;45000;45006;45002})</t>
  </si>
  <si>
    <t xml:space="preserve">_xlfn.ORG.LIBREOFFICE.FORECAST.ETS.STAT.MULT({27.9;55.84;35.29;49;37;39;43;27;53.3;25.05;33.65;32.28},{45008;45011;45010;45003;45001;45005;45009;45004;45007;45000;45006;45002},{7;2})</t>
  </si>
  <si>
    <t xml:space="preserve">_xlfn.FORECAST.ETS.SEASONALITY({27.9;55.84;35.29;49;37;39;43;27;53.3;25.05;33.65;32.28},{45008;45011;45010;45003;45001;45005;45009;45004;45007;45000;45006;45002},0,5)</t>
  </si>
  <si>
    <t xml:space="preserve">_xlfn.FORECAST.ETS(45103,{81;45;63.24;5.01;4.79;39;74;31;75.1;63.31;11;66;42},{44648;44679;44709;44740;44770;44801;44832;44862;44893;44923;44954;44985;45013},7,0)</t>
  </si>
  <si>
    <t xml:space="preserve">_xlfn.FORECAST.ETS.STAT({81;45;63.24;5.01;4.79;39;74;31;75.1;63.31;11;66;42},{44648;44679;44709;44740;44770;44801;44832;44862;44893;44923;44954;44985;45013},{3},7,0)</t>
  </si>
  <si>
    <t xml:space="preserve">_xlfn.FORECAST.ETS.SEASONALITY({81;45;63.24;5.01;4.79;39;74;31;75.1;63.31;11;66;42},{44648;44679;44709;44740;44770;44801;44832;44862;44893;44923;44954;44985;45013},0)</t>
  </si>
  <si>
    <t xml:space="preserve">_xlfn.ORG.LIBREOFFICE.FORECAST.ETS.MULT({45549},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1,1,1)</t>
  </si>
  <si>
    <t xml:space="preserve">_xlfn.FORECAST.ETS.STAT(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{9},1,1,1)</t>
  </si>
  <si>
    <t xml:space="preserve">_xlfn.FORECAST.ETS.SEASONALITY(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1)</t>
  </si>
  <si>
    <t xml:space="preserve">_xlfn.FORECAST.ETS({17},{17.9;17.86;17.9;17.86;17.86;17.9;18;17.9;18;46.6;17.9;18;18;17.86;18},{1;2;3;4;5;6;7;8;9;9;10;11;12;13;14},3)</t>
  </si>
  <si>
    <t xml:space="preserve">_xlfn.FORECAST.ETS.STAT({17.9;17.86;17.9;17.86;17.86;17.9;18;17.9;18;46.6;17.9;18;18;17.86;18},{1;2;3;4;5;6;7;8;9;9;10;11;12;13;14},{3},3)</t>
  </si>
  <si>
    <t xml:space="preserve">_xlfn.FORECAST.ETS.SEASONALITY({17.9;17.86;17.9;17.86;17.86;17.9;18;17.9;18;46.6;17.9;18;18;17.86;18},{1;2;3;4;5;6;7;8;9;9;10;11;12;13;14},1)</t>
  </si>
  <si>
    <t xml:space="preserve">_xlfn.FORECAST.ETS(13,{31.1;25.7;35.7;38.37;29.6;40.7;43;34.4;47.7},{1;2;3;4;5;6;7;8;9})</t>
  </si>
  <si>
    <t xml:space="preserve">_xlfn.ORG.LIBREOFFICE.FORECAST.ETS.STAT.MULT({31.1;25.7;35.7;38.37;29.6;40.7;43;34.4;47.7},{1;2;3;4;5;6;7;8;9},{3})</t>
  </si>
  <si>
    <t xml:space="preserve">_xlfn.FORECAST.ETS.SEASONALITY({31.1;25.7;35.7;38.37;29.6;40.7;43;34.4;47.7},{1;2;3;4;5;6;7;8;9},1,3)</t>
  </si>
  <si>
    <t xml:space="preserve">_xlfn.ORG.LIBREOFFICE.FORECAST.ETS.MULT(45008,{41.4;87.6;86.09;54;38.2},{45000;45001;45002;45003;45004},3)</t>
  </si>
  <si>
    <t xml:space="preserve">_xlfn.ORG.LIBREOFFICE.FORECAST.ETS.STAT.MULT({41.4;87.6;86.09;54;38.2},{45000;45001;45002;45003;45004},{9;2},3)</t>
  </si>
  <si>
    <t xml:space="preserve">_xlfn.FORECAST.ETS.SEASONALITY({41.4;87.6;86.09;54;38.2},{45000;45001;45002;45003;45004},0)</t>
  </si>
  <si>
    <t xml:space="preserve">_xlfn.FORECAST.ETS(6,{38.6;39.65;43;43.4;46},{1;2;3;4;5})</t>
  </si>
  <si>
    <t xml:space="preserve">_xlfn.ORG.LIBREOFFICE.FORECAST.ETS.STAT.MULT({38.6;39.65;43;43.4;46},{1;2;3;4;5},{6;7;8;4;1;2;9;5;3})</t>
  </si>
  <si>
    <t xml:space="preserve">_xlfn.FORECAST.ETS.SEASONALITY({38.6;39.65;43;43.4;46},{1;2;3;4;5},0,6)</t>
  </si>
  <si>
    <t xml:space="preserve">_xlfn.ORG.LIBREOFFICE.FORECAST.ETS.MULT(45006,{47.3;47.29;47;47;47;49.1;47.3;47;47.29},{45000;45001;45002;45003;45004;45004;45005;45006;45007})</t>
  </si>
  <si>
    <t xml:space="preserve">_xlfn.FORECAST.ETS.STAT({47.3;47.29;47;47;47;49.1;47.3;47;47.29},{45000;45001;45002;45003;45004;45004;45005;45006;45007},{4;7;1;9;2;5;8;6;3})</t>
  </si>
  <si>
    <t xml:space="preserve">_xlfn.FORECAST.ETS.SEASONALITY({47.3;47.29;47;47;47;49.1;47.3;47;47.29},{45000;45001;45002;45003;45004;45004;45005;45006;45007},0)</t>
  </si>
  <si>
    <t xml:space="preserve">_xlfn.FORECAST.ETS.CONFINT({45008;45009;45010},{47.3;47.29;47;47;47;49.1;47.3;47;47.29},{45000;45001;45002;45003;45004;45004;45005;45006;45007},0,0,1)</t>
  </si>
  <si>
    <t xml:space="preserve">_xlfn.ORG.LIBREOFFICE.FORECAST.ETS.MULT({19,21},{27;35.29;29;23.9;37;29.3;23;32.81;25.2;20.71;35;26.12;19.2;30.3;23.45;15.16;32;21.65},{1;2;3;4;5;6;7;8;9;10;11;12;13;14;15;16;17;18})</t>
  </si>
  <si>
    <t xml:space="preserve">_xlfn.ORG.LIBREOFFICE.FORECAST.ETS.STAT.MULT({27;35.29;29;23.9;37;29.3;23;32.81;25.2;20.71;35;26.12;19.2;30.3;23.45;15.16;32;21.65},{1;2;3;4;5;6;7;8;9;10;11;12;13;14;15;16;17;18},{9;1;2;7;8;4;6;5;3})</t>
  </si>
  <si>
    <t xml:space="preserve">_xlfn.FORECAST.ETS.SEASONALITY({27;35.29;29;23.9;37;29.3;23;32.81;25.2;20.71;35;26.12;19.2;30.3;23.45;15.16;32;21.65},{1;2;3;4;5;6;7;8;9;10;11;12;13;14;15;16;17;18})</t>
  </si>
  <si>
    <t xml:space="preserve">_xlfn.ORG.LIBREOFFICE.FORECAST.ETS.MULT(5,{12.57;14.1;8;21;22;18.95;32;34;28;40.77;44;36.93;51;54.72;48.1},{3;5;7;9;11;13;15;17;19;21;23;25;27;29;31},3,,3)</t>
  </si>
  <si>
    <t xml:space="preserve">_xlfn.ORG.LIBREOFFICE.FORECAST.ETS.STAT.MULT({12.57;14.1;8;21;22;18.95;32;34;28;40.77;44;36.93;51;54.72;48.1},{3;5;7;9;11;13;15;17;19;21;23;25;27;29;31},{1;3},3,,3)</t>
  </si>
  <si>
    <t xml:space="preserve">_xlfn.FORECAST.ETS.SEASONALITY({12.57;14.1;8;21;22;18.95;32;34;28;40.77;44;36.93;51;54.72;48.1},{3;5;7;9;11;13;15;17;19;21;23;25;27;29;31},0)</t>
  </si>
  <si>
    <t xml:space="preserve">_xlfn.ORG.LIBREOFFICE.FORECAST.ETS.MULT({5.5},{21;22;25;26;24;26.9;27.8},{1;1.5;2;2.5;3;4;4.5})</t>
  </si>
  <si>
    <t xml:space="preserve">_xlfn.ORG.LIBREOFFICE.FORECAST.ETS.STAT.MULT({21;22;25;26;24;26.9;27.8},{1;1.5;2;2.5;3;4;4.5},{1;3;5;8;4;7;9;6;2})</t>
  </si>
  <si>
    <t xml:space="preserve">_xlfn.FORECAST.ETS.SEASONALITY({21;22;25;26;24;26.9;27.8},{1;1.5;2;2.5;3;4;4.5},0)</t>
  </si>
  <si>
    <t xml:space="preserve">_xlfn.FORECAST.ETS({11.5},{21;26.37;34;17;29.7;22.58;24.7;32.58;31;22;26;33;31.4;21.69;24;31.22;29.3;21.6;25.6;32.7;29},{1;1.5;2;2;2.5;3;3.5;4;4.5;5;5.5;6;6.5;7;7.5;8;8.5;9;9.5;10;10.5},0)</t>
  </si>
  <si>
    <t xml:space="preserve">_xlfn.ORG.LIBREOFFICE.FORECAST.ETS.STAT.MULT({21;26.37;34;17;29.7;22.58;24.7;32.58;31;22;26;33;31.4;21.69;24;31.22;29.3;21.6;25.6;32.7;29},{1;1.5;2;2;2.5;3;3.5;4;4.5;5;5.5;6;6.5;7;7.5;8;8.5;9;9.5;10;10.5},{4;2;8;9;7;6;3;1;5},0)</t>
  </si>
  <si>
    <t xml:space="preserve">_xlfn.FORECAST.ETS.SEASONALITY({21;26.37;34;17;29.7;22.58;24.7;32.58;31;22;26;33;31.4;21.69;24;31.22;29.3;21.6;25.6;32.7;29},{1;1.5;2;2;2.5;3;3.5;4;4.5;5;5.5;6;6.5;7;7.5;8;8.5;9;9.5;10;10.5},0)</t>
  </si>
  <si>
    <t xml:space="preserve">_xlfn.ORG.LIBREOFFICE.FORECAST.ETS.MULT({45533,45533},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,0,,7)</t>
  </si>
  <si>
    <t xml:space="preserve">_xlfn.FORECAST.ETS.STAT(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,{5;8;4;2;1;9;3;7;6},0,,7)</t>
  </si>
  <si>
    <t xml:space="preserve">_xlfn.FORECAST.ETS.SEASONALITY(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)</t>
  </si>
  <si>
    <t xml:space="preserve">_xlfn.FORECAST.ETS({28,25.5},{88.2;71;70.76;37.5;103.99;70;85.9;36.91;87.3;72.9;22.19;53.75;36;54.86;84.8;102.3;21;87.5;53.6;51;38.67;69;19.6;55.53;36.3},{20;16;17;6;25;18;19;7;21;15;1;11;8;12;23;24;2;22;13;9;5;14;3;10;4},5)</t>
  </si>
  <si>
    <t xml:space="preserve">_xlfn.FORECAST.ETS.STAT({88.2;71;70.76;37.5;103.99;70;85.9;36.91;87.3;72.9;22.19;53.75;36;54.86;84.8;102.3;21;87.5;53.6;51;38.67;69;19.6;55.53;36.3},{20;16;17;6;25;18;19;7;21;15;1;11;8;12;23;24;2;22;13;9;5;14;3;10;4},{8;2},5)</t>
  </si>
  <si>
    <t xml:space="preserve">_xlfn.FORECAST.ETS.SEASONALITY({88.2;71;70.76;37.5;103.99;70;85.9;36.91;87.3;72.9;22.19;53.75;36;54.86;84.8;102.3;21;87.5;53.6;51;38.67;69;19.6;55.53;36.3},{20;16;17;6;25;18;19;7;21;15;1;11;8;12;23;24;2;22;13;9;5;14;3;10;4})</t>
  </si>
  <si>
    <t xml:space="preserve">_xlfn.FORECAST.ETS.CONFINT(26,{88.2;71;70.76;37.5;103.99;70;85.9;36.91;87.3;72.9;22.19;53.75;36;54.86;84.8;102.3;21;87.5;53.6;51;38.67;69;19.6;55.53;36.3},{20;16;17;6;25;18;19;7;21;15;1;11;8;12;23;24;2;22;13;9;5;14;3;10;4},0.9,0,0)</t>
  </si>
  <si>
    <t xml:space="preserve">_xlfn.ORG.LIBREOFFICE.FORECAST.ETS.MULT({22;23;22},{49.95;43.34;42.4;47.53;62.8;51;37;61.3;51.7;48.5;57.42;74;58;45;70;57;57.7;64;83.9;64.9;51},{1;2;3;4;5;6;7;8;9;10;11;12;13;14;15;16;17;18;19;20;21},4)</t>
  </si>
  <si>
    <t xml:space="preserve">_xlfn.ORG.LIBREOFFICE.FORECAST.ETS.STAT.MULT({49.95;43.34;42.4;47.53;62.8;51;37;61.3;51.7;48.5;57.42;74;58;45;70;57;57.7;64;83.9;64.9;51},{1;2;3;4;5;6;7;8;9;10;11;12;13;14;15;16;17;18;19;20;21},{6;8;1;4;3;9;2;5;7},4)</t>
  </si>
  <si>
    <t xml:space="preserve">_xlfn.FORECAST.ETS.SEASONALITY({49.95;43.34;42.4;47.53;62.8;51;37;61.3;51.7;48.5;57.42;74;58;45;70;57;57.7;64;83.9;64.9;51},{1;2;3;4;5;6;7;8;9;10;11;12;13;14;15;16;17;18;19;20;21})</t>
  </si>
  <si>
    <t xml:space="preserve">_xlfn.ORG.LIBREOFFICE.FORECAST.ETS.PI.MULT({22;23;24},{49.95;43.34;42.4;47.53;62.8;51;37;61.3;51.7;48.5;57.42;74;58;45;70;57;57.7;64;83.9;64.9;51},{1;2;3;4;5;6;7;8;9;10;11;12;13;14;15;16;17;18;19;20;21},0,0)</t>
  </si>
  <si>
    <t xml:space="preserve">_xlfn.FORECAST.ETS(45024,{27.3;27.3;27.34;27.3;27.3;27;27.3;27.34;27.3;27;27.3;27.3;27.34;27.3;27.3;27.34;27.34;27.3;27.34;27.3;27},{45000;45001;45002;45003;45004;45005;45006;45007;45008;45009;45010;45011;45012;45013;45014;45015;45016;45017;45018;45019;45020},3,1,2)</t>
  </si>
  <si>
    <t xml:space="preserve">_xlfn.FORECAST.ETS.STAT({27.3;27.3;27.34;27.3;27.3;27;27.3;27.34;27.3;27;27.3;27.3;27.34;27.3;27.3;27.34;27.34;27.3;27.34;27.3;27},{45000;45001;45002;45003;45004;45005;45006;45007;45008;45009;45010;45011;45012;45013;45014;45015;45016;45017;45018;45019;45020},{6},3,1,2)</t>
  </si>
  <si>
    <t xml:space="preserve">_xlfn.FORECAST.ETS.SEASONALITY({27.3;27.3;27.34;27.3;27.3;27;27.3;27.34;27.3;27;27.3;27.3;27.34;27.3;27.3;27.34;27.34;27.3;27.34;27.3;27},{45000;45001;45002;45003;45004;45005;45006;45007;45008;45009;45010;45011;45012;45013;45014;45015;45016;45017;45018;45019;45020},1,6)</t>
  </si>
  <si>
    <t xml:space="preserve">_xlfn.FORECAST.ETS(15,{26;11;42;20.75;84;14.3;21;29.3;2.8;75.7;29;79.41},{1;2;3;4;5;6;7;8;9;10;11;12},1,1,1)</t>
  </si>
  <si>
    <t xml:space="preserve">_xlfn.FORECAST.ETS.STAT({26;11;42;20.75;84;14.3;21;29.3;2.8;75.7;29;79.41},{1;2;3;4;5;6;7;8;9;10;11;12},{1},1,1,1)</t>
  </si>
  <si>
    <t xml:space="preserve">_xlfn.FORECAST.ETS.SEASONALITY({26;11;42;20.75;84;14.3;21;29.3;2.8;75.7;29;79.41},{1;2;3;4;5;6;7;8;9;10;11;12},0)</t>
  </si>
  <si>
    <t xml:space="preserve">_xlfn.FORECAST.ETS.CONFINT({13;14;15},{26;11;42;20.75;84;14.3;21;29.3;2.8;75.7;29;79.41},{1;2;3;4;5;6;7;8;9;10;11;12},0.9,0,0)</t>
  </si>
  <si>
    <t xml:space="preserve">_xlfn.FORECAST.ETS({45035;45038;45035},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0)</t>
  </si>
  <si>
    <t xml:space="preserve">_xlfn.FORECAST.ETS.STAT(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{4;8;1;5;6;7;2;9;3},0)</t>
  </si>
  <si>
    <t xml:space="preserve">_xlfn.FORECAST.ETS.SEASONALITY(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0)</t>
  </si>
  <si>
    <t xml:space="preserve">_xlfn.ORG.LIBREOFFICE.FORECAST.ETS.PI.MULT(45035,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,0,1)</t>
  </si>
  <si>
    <t xml:space="preserve">_xlfn.ORG.LIBREOFFICE.FORECAST.ETS.MULT({21},{52;40.6;47.9;40.9;47;37.84;44.89;34.6;44;34;41.2;32.3;41;28.4;36;28.1;36;26.7;31.3;25},{1;2;3;4;5;6;7;8;9;10;11;12;13;14;15;16;17;18;19;20},4,0,4)</t>
  </si>
  <si>
    <t xml:space="preserve">_xlfn.FORECAST.ETS.STAT({52;40.6;47.9;40.9;47;37.84;44.89;34.6;44;34;41.2;32.3;41;28.4;36;28.1;36;26.7;31.3;25},{1;2;3;4;5;6;7;8;9;10;11;12;13;14;15;16;17;18;19;20},{7},4,0,4)</t>
  </si>
  <si>
    <t xml:space="preserve">_xlfn.FORECAST.ETS.SEASONALITY({52;40.6;47.9;40.9;47;37.84;44.89;34.6;44;34;41.2;32.3;41;28.4;36;28.1;36;26.7;31.3;25},{1;2;3;4;5;6;7;8;9;10;11;12;13;14;15;16;17;18;19;20},0,6)</t>
  </si>
  <si>
    <t xml:space="preserve">_xlfn.ORG.LIBREOFFICE.FORECAST.ETS.MULT({6.25;6.25},{48;52.01;54.94;58;60.98;65;68.9;71.38;74.5;78.74},{1;1.5;2;2.5;3;3.5;4;4.5;5;5.5},0)</t>
  </si>
  <si>
    <t xml:space="preserve">_xlfn.ORG.LIBREOFFICE.FORECAST.ETS.STAT.MULT({48;52.01;54.94;58;60.98;65;68.9;71.38;74.5;78.74},{1;1.5;2;2.5;3;3.5;4;4.5;5;5.5},{5;8;3;4;1;7;6;9;2},0)</t>
  </si>
  <si>
    <t xml:space="preserve">_xlfn.FORECAST.ETS.SEASONALITY({48;52.01;54.94;58;60.98;65;68.9;71.38;74.5;78.74},{1;1.5;2;2.5;3;3.5;4;4.5;5;5.5},1,6)</t>
  </si>
  <si>
    <t xml:space="preserve">_xlfn.FORECAST.ETS({23},{36;39.5;41;44.48;48;50.95;53.5;56;59;60.55;64;68;71;74;76;80;82.39;85;88;92.04},{1;2;3;4;5;6;7;8;9;10;11;12;13;14;15;16;17;18;19;20})</t>
  </si>
  <si>
    <t xml:space="preserve">_xlfn.FORECAST.ETS.STAT({36;39.5;41;44.48;48;50.95;53.5;56;59;60.55;64;68;71;74;76;80;82.39;85;88;92.04},{1;2;3;4;5;6;7;8;9;10;11;12;13;14;15;16;17;18;19;20},{2})</t>
  </si>
  <si>
    <t xml:space="preserve">_xlfn.FORECAST.ETS.SEASONALITY({36;39.5;41;44.48;48;50.95;53.5;56;59;60.55;64;68;71;74;76;80;82.39;85;88;92.04},{1;2;3;4;5;6;7;8;9;10;11;12;13;14;15;16;17;18;19;20},0,1)</t>
  </si>
  <si>
    <t xml:space="preserve">_xlfn.ORG.LIBREOFFICE.FORECAST.ETS.MULT({9},{21;21;20.94;21;20.9},{1;2;3;4;5},1,,7)</t>
  </si>
  <si>
    <t xml:space="preserve">_xlfn.ORG.LIBREOFFICE.FORECAST.ETS.STAT.MULT({21;21;20.94;21;20.9},{1;2;3;4;5},{7},1,,7)</t>
  </si>
  <si>
    <t xml:space="preserve">_xlfn.FORECAST.ETS.SEASONALITY({21;21;20.94;21;20.9},{1;2;3;4;5})</t>
  </si>
  <si>
    <t xml:space="preserve">_xlfn.FORECAST.ETS(45777,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,6,1,6)</t>
  </si>
  <si>
    <t xml:space="preserve">_xlfn.FORECAST.ETS.STAT(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,{1},6,1,6)</t>
  </si>
  <si>
    <t xml:space="preserve">_xlfn.FORECAST.ETS.SEASONALITY(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)</t>
  </si>
  <si>
    <t xml:space="preserve">_xlfn.ORG.LIBREOFFICE.FORECAST.ETS.MULT({26;29},{109.18;90.3;71.44;61;43.85;45.9;95;70.09;146.4;66;74.46;52;127.91;92.44;51;53.7;42.5;35;58.32;103.33;81.35;72;77;83.1;62.8},{13;19;20;15;5;2;22;12;23;9;3;11;18;8;10;4;6;1;7;24;25;21;14;17;16},5,0)</t>
  </si>
  <si>
    <t xml:space="preserve">_xlfn.ORG.LIBREOFFICE.FORECAST.ETS.STAT.MULT({109.18;90.3;71.44;61;43.85;45.9;95;70.09;146.4;66;74.46;52;127.91;92.44;51;53.7;42.5;35;58.32;103.33;81.35;72;77;83.1;62.8},{13;19;20;15;5;2;22;12;23;9;3;11;18;8;10;4;6;1;7;24;25;21;14;17;16},{1},5,0)</t>
  </si>
  <si>
    <t xml:space="preserve">_xlfn.FORECAST.ETS.SEASONALITY({109.18;90.3;71.44;61;43.85;45.9;95;70.09;146.4;66;74.46;52;127.91;92.44;51;53.7;42.5;35;58.32;103.33;81.35;72;77;83.1;62.8},{13;19;20;15;5;2;22;12;23;9;3;11;18;8;10;4;6;1;7;24;25;21;14;17;16},1,3)</t>
  </si>
  <si>
    <t xml:space="preserve">_xlfn.ORG.LIBREOFFICE.FORECAST.ETS.MULT(44973,{49;50;54;57.7;62.6;70.19;72.3},{44743;44774;44805;44835;44866;44927;44958},3,1)</t>
  </si>
  <si>
    <t xml:space="preserve">_xlfn.ORG.LIBREOFFICE.FORECAST.ETS.STAT.MULT({49;50;54;57.7;62.6;70.19;72.3},{44743;44774;44805;44835;44866;44927;44958},{8;3;7;4;5;2;9;1;6},3,1)</t>
  </si>
  <si>
    <t xml:space="preserve">_xlfn.FORECAST.ETS.SEASONALITY({49;50;54;57.7;62.6;70.19;72.3},{44743;44774;44805;44835;44866;44927;44958})</t>
  </si>
  <si>
    <t xml:space="preserve">_xlfn.ORG.LIBREOFFICE.FORECAST.ETS.MULT({11;13},{99.88;23;48.7;62.2;52.61;9;30;78;96;31.98;20},{1;2;3;4;5;6;6;7;8;9;10},3)</t>
  </si>
  <si>
    <t xml:space="preserve">_xlfn.FORECAST.ETS.STAT({99.88;23;48.7;62.2;52.61;9;30;78;96;31.98;20},{1;2;3;4;5;6;6;7;8;9;10},{6;4;1;7;2;3;8;9;5},3)</t>
  </si>
  <si>
    <t xml:space="preserve">_xlfn.FORECAST.ETS.SEASONALITY({99.88;23;48.7;62.2;52.61;9;30;78;96;31.98;20},{1;2;3;4;5;6;6;7;8;9;10},0)</t>
  </si>
  <si>
    <t xml:space="preserve">_xlfn.ORG.LIBREOFFICE.FORECAST.ETS.PI.MULT({11;12;13},{99.88;23;48.7;62.2;52.61;9;30;78;96;31.98;20},{1;2;3;4;5;6;6;7;8;9;10},0.9,0)</t>
  </si>
  <si>
    <t xml:space="preserve">_xlfn.FORECAST.ETS({44973,45018},{53;43.8;44.9;15;36;59;21;26;46.2;61.8;30.3;30},{44927;44835;44774;44621;44805;44958;44682;44713;44866;44896;44652;44743},1)</t>
  </si>
  <si>
    <t xml:space="preserve">_xlfn.FORECAST.ETS.STAT({53;43.8;44.9;15;36;59;21;26;46.2;61.8;30.3;30},{44927;44835;44774;44621;44805;44958;44682;44713;44866;44896;44652;44743},{8;4;9;5;1;6;2;3;7},1)</t>
  </si>
  <si>
    <t xml:space="preserve">_xlfn.FORECAST.ETS.SEASONALITY({53;43.8;44.9;15;36;59;21;26;46.2;61.8;30.3;30},{44927;44835;44774;44621;44805;44958;44682;44713;44866;44896;44652;44743},0)</t>
  </si>
  <si>
    <t xml:space="preserve">_xlfn.FORECAST.ETS({146.5,171,153.5},{6;96.4;12.5;75;89.46;18;93;21.1;62.55;85;7.53;1;14;50.6;89;67.81;64.6;27.7;66;75.3;95},{115;122;45;80;73;129;38;3;87;108;24;66;94;136;101;17;52;143;10;59;31},1,,5)</t>
  </si>
  <si>
    <t xml:space="preserve">_xlfn.ORG.LIBREOFFICE.FORECAST.ETS.STAT.MULT({6;96.4;12.5;75;89.46;18;93;21.1;62.55;85;7.53;1;14;50.6;89;67.81;64.6;27.7;66;75.3;95},{115;122;45;80;73;129;38;3;87;108;24;66;94;136;101;17;52;143;10;59;31},{1;6},1,,5)</t>
  </si>
  <si>
    <t xml:space="preserve">_xlfn.FORECAST.ETS.SEASONALITY({6;96.4;12.5;75;89.46;18;93;21.1;62.55;85;7.53;1;14;50.6;89;67.81;64.6;27.7;66;75.3;95},{115;122;45;80;73;129;38;3;87;108;24;66;94;136;101;17;52;143;10;59;31},1,5)</t>
  </si>
  <si>
    <t xml:space="preserve">_xlfn.ORG.LIBREOFFICE.FORECAST.ETS.MULT({44819;44924},{33;43.1;30;35.13;25;30.9},{44651;44681;44712;44742;44773;44804})</t>
  </si>
  <si>
    <t xml:space="preserve">_xlfn.ORG.LIBREOFFICE.FORECAST.ETS.STAT.MULT({33;43.1;30;35.13;25;30.9},{44651;44681;44712;44742;44773;44804},{3;5})</t>
  </si>
  <si>
    <t xml:space="preserve">_xlfn.FORECAST.ETS.SEASONALITY({33;43.1;30;35.13;25;30.9},{44651;44681;44712;44742;44773;44804})</t>
  </si>
  <si>
    <t xml:space="preserve">_xlfn.FORECAST.ETS({15.5;18;15.5},{95;95.73;61.29;52;73.8;66;47.26;13.6;20;68.3;16.9;54.67;36.7;66.7;29;20.8},{1;2;3;4;5;6;7;8;9;10;11;12;13;14;14;15},4,,2)</t>
  </si>
  <si>
    <t xml:space="preserve">_xlfn.FORECAST.ETS.STAT({95;95.73;61.29;52;73.8;66;47.26;13.6;20;68.3;16.9;54.67;36.7;66.7;29;20.8},{1;2;3;4;5;6;7;8;9;10;11;12;13;14;14;15},{4;6},4,,2)</t>
  </si>
  <si>
    <t xml:space="preserve">_xlfn.FORECAST.ETS.SEASONALITY({95;95.73;61.29;52;73.8;66;47.26;13.6;20;68.3;16.9;54.67;36.7;66.7;29;20.8},{1;2;3;4;5;6;7;8;9;10;11;12;13;14;14;15},1,5)</t>
  </si>
  <si>
    <t xml:space="preserve">_xlfn.FORECAST.ETS({5,3.75,4.5},{37.84;38;38;38;38;37.84},{1;1.5;2;2.5;3;3.5},0,,6)</t>
  </si>
  <si>
    <t xml:space="preserve">_xlfn.ORG.LIBREOFFICE.FORECAST.ETS.STAT.MULT({37.84;38;38;38;38;37.84},{1;1.5;2;2.5;3;3.5},{7;1},0,,6)</t>
  </si>
  <si>
    <t xml:space="preserve">_xlfn.FORECAST.ETS.SEASONALITY({37.84;38;38;38;38;37.84},{1;1.5;2;2.5;3;3.5},1,2)</t>
  </si>
  <si>
    <t xml:space="preserve">_xlfn.ORG.LIBREOFFICE.FORECAST.ETS.MULT({45046,45061,45031},{5;32;49.57;29;91},{44895;44926;44957;44985;45016},1,1,5)</t>
  </si>
  <si>
    <t xml:space="preserve">_xlfn.ORG.LIBREOFFICE.FORECAST.ETS.STAT.MULT({5;32;49.57;29;91},{44895;44926;44957;44985;45016},{9;1;5;6;4;7;8;3;2},1,1,5)</t>
  </si>
  <si>
    <t xml:space="preserve">_xlfn.FORECAST.ETS.SEASONALITY({5;32;49.57;29;91},{44895;44926;44957;44985;45016},0)</t>
  </si>
  <si>
    <t xml:space="preserve">_xlfn.FORECAST.ETS({45006},{6;5.8;5.77;5.8;5.8},{45000;45001;45002;45003;45004},4,0,2)</t>
  </si>
  <si>
    <t xml:space="preserve">_xlfn.FORECAST.ETS.STAT({6;5.8;5.77;5.8;5.8},{45000;45001;45002;45003;45004},{2;9;3;5;8;4;7;6;1},4,0,2)</t>
  </si>
  <si>
    <t xml:space="preserve">_xlfn.FORECAST.ETS.SEASONALITY({6;5.8;5.77;5.8;5.8},{45000;45001;45002;45003;45004},1)</t>
  </si>
  <si>
    <t xml:space="preserve">_xlfn.ORG.LIBREOFFICE.FORECAST.ETS.MULT({45020},{23;25.7;25.71;23.05;17;21.2;21.8;17.74;12;14.16;15.6;13.6;5;9.6;11;7.64;0;5.1;5.35;1.1},{45000;45001;45002;45003;45004;45005;45006;45007;45008;45009;45010;45011;45012;45013;45014;45015;45016;45017;45018;45019})</t>
  </si>
  <si>
    <t xml:space="preserve">_xlfn.ORG.LIBREOFFICE.FORECAST.ETS.STAT.MULT({23;25.7;25.71;23.05;17;21.2;21.8;17.74;12;14.16;15.6;13.6;5;9.6;11;7.64;0;5.1;5.35;1.1},{45000;45001;45002;45003;45004;45005;45006;45007;45008;45009;45010;45011;45012;45013;45014;45015;45016;45017;45018;45019},{5})</t>
  </si>
  <si>
    <t xml:space="preserve">_xlfn.FORECAST.ETS.SEASONALITY({23;25.7;25.71;23.05;17;21.2;21.8;17.74;12;14.16;15.6;13.6;5;9.6;11;7.64;0;5.1;5.35;1.1},{45000;45001;45002;45003;45004;45005;45006;45007;45008;45009;45010;45011;45012;45013;45014;45015;45016;45017;45018;45019},0,1)</t>
  </si>
  <si>
    <t xml:space="preserve">_xlfn.FORECAST.ETS({45000;45105;45105},{44.09;44.09;44.1;44;44;44;44.09;44.09},{44773;44804;44834;44865;44895;44926;44957;44985},1,1,5)</t>
  </si>
  <si>
    <t xml:space="preserve">_xlfn.ORG.LIBREOFFICE.FORECAST.ETS.STAT.MULT({44.09;44.09;44.1;44;44;44;44.09;44.09},{44773;44804;44834;44865;44895;44926;44957;44985},{5},1,1,5)</t>
  </si>
  <si>
    <t xml:space="preserve">_xlfn.FORECAST.ETS.SEASONALITY({44.09;44.09;44.1;44;44;44;44.09;44.09},{44773;44804;44834;44865;44895;44926;44957;44985},0,6)</t>
  </si>
  <si>
    <t xml:space="preserve">_xlfn.ORG.LIBREOFFICE.FORECAST.ETS.MULT({44969,44999,45044},{18.3;89.8;10.3;42.6;21.82;59.2;18;49.25;43.2;34.8;5;24.58;91},{44589;44620;44648;44679;44709;44740;44770;44801;44832;44862;44893;44923;44954},0,1)</t>
  </si>
  <si>
    <t xml:space="preserve">_xlfn.ORG.LIBREOFFICE.FORECAST.ETS.STAT.MULT({18.3;89.8;10.3;42.6;21.82;59.2;18;49.25;43.2;34.8;5;24.58;91},{44589;44620;44648;44679;44709;44740;44770;44801;44832;44862;44893;44923;44954},{5;1;4;2;7;3;9;8;6},0,1)</t>
  </si>
  <si>
    <t xml:space="preserve">_xlfn.FORECAST.ETS.SEASONALITY({18.3;89.8;10.3;42.6;21.82;59.2;18;49.25;43.2;34.8;5;24.58;91},{44589;44620;44648;44679;44709;44740;44770;44801;44832;44862;44893;44923;44954},0,2)</t>
  </si>
  <si>
    <t xml:space="preserve">_xlfn.FORECAST.ETS({28,29,31},{81.4;71;54;81;88;77;9.4;10;82;14;28.5;74;70.06},{3;5;7;9;11;13;15;17;19;21;21;23;25})</t>
  </si>
  <si>
    <t xml:space="preserve">_xlfn.ORG.LIBREOFFICE.FORECAST.ETS.STAT.MULT({81.4;71;54;81;88;77;9.4;10;82;14;28.5;74;70.06},{3;5;7;9;11;13;15;17;19;21;21;23;25},{5})</t>
  </si>
  <si>
    <t xml:space="preserve">_xlfn.FORECAST.ETS.SEASONALITY({81.4;71;54;81;88;77;9.4;10;82;14;28.5;74;70.06},{3;5;7;9;11;13;15;17;19;21;21;23;25},1,5)</t>
  </si>
  <si>
    <t xml:space="preserve">_xlfn.ORG.LIBREOFFICE.FORECAST.ETS.MULT(19.25,{39;37.06;58;33.3;75.8;69.67;81.2;71.7;104.11;58.95;124.6;72.2;107.61},{3;8;13;18;23;33;38;43;48;53;58;63;68},7)</t>
  </si>
  <si>
    <t xml:space="preserve">_xlfn.FORECAST.ETS.STAT({39;37.06;58;33.3;75.8;69.67;81.2;71.7;104.11;58.95;124.6;72.2;107.61},{3;8;13;18;23;33;38;43;48;53;58;63;68},{9},7)</t>
  </si>
  <si>
    <t xml:space="preserve">_xlfn.FORECAST.ETS.SEASONALITY({39;37.06;58;33.3;75.8;69.67;81.2;71.7;104.11;58.95;124.6;72.2;107.61},{3;8;13;18;23;33;38;43;48;53;58;63;68})</t>
  </si>
  <si>
    <t xml:space="preserve">_xlfn.ORG.LIBREOFFICE.FORECAST.ETS.MULT(45000,{14.9;20;21.28;24.74;28;32.51;34;41;43},{44834;44865;44895;44926;44957;44985;45016;45046;45077},1,,1)</t>
  </si>
  <si>
    <t xml:space="preserve">_xlfn.ORG.LIBREOFFICE.FORECAST.ETS.STAT.MULT({14.9;20;21.28;24.74;28;32.51;34;41;43},{44834;44865;44895;44926;44957;44985;45016;45046;45077},{1;6;3;4;2;9;8;5;7},1,,1)</t>
  </si>
  <si>
    <t xml:space="preserve">_xlfn.FORECAST.ETS.SEASONALITY({14.9;20;21.28;24.74;28;32.51;34;41;43},{44834;44865;44895;44926;44957;44985;45016;45046;45077})</t>
  </si>
  <si>
    <t xml:space="preserve">_xlfn.ORG.LIBREOFFICE.FORECAST.ETS.MULT({14,10.5,12},{12.5;30;38.84;9.2;34.2;27.49;48;43;21.3;16.4},{2;6;8;1;7;5;10;9;4;3},1,,3)</t>
  </si>
  <si>
    <t xml:space="preserve">_xlfn.FORECAST.ETS.STAT({12.5;30;38.84;9.2;34.2;27.49;48;43;21.3;16.4},{2;6;8;1;7;5;10;9;4;3},{8;9;1;7;3;6;5;2;4},1,,3)</t>
  </si>
  <si>
    <t xml:space="preserve">_xlfn.FORECAST.ETS.SEASONALITY({12.5;30;38.84;9.2;34.2;27.49;48;43;21.3;16.4},{2;6;8;1;7;5;10;9;4;3})</t>
  </si>
  <si>
    <t xml:space="preserve">_xlfn.FORECAST.ETS.CONFINT({11;12;13},{12.5;30;38.84;9.2;34.2;27.49;48;43;21.3;16.4},{2;6;8;1;7;5;10;9;4;3},1,0,1,6)</t>
  </si>
  <si>
    <t xml:space="preserve">_xlfn.FORECAST.ETS({51},{28;28;27.9;28;27.9;27.9;28;27.85;28;27.9;27.9;28;27.9;28;27.9;27.9;27.9;27.9;28;27.9;28;27.9;28},{29;37;17;41;27;23;35;21;11;33;31;25;19;13;15;9;39;43;45;5;3;7;47})</t>
  </si>
  <si>
    <t xml:space="preserve">_xlfn.ORG.LIBREOFFICE.FORECAST.ETS.STAT.MULT({28;28;27.9;28;27.9;27.9;28;27.85;28;27.9;27.9;28;27.9;28;27.9;27.9;27.9;27.9;28;27.9;28;27.9;28},{29;37;17;41;27;23;35;21;11;33;31;25;19;13;15;9;39;43;45;5;3;7;47},{3})</t>
  </si>
  <si>
    <t xml:space="preserve">_xlfn.FORECAST.ETS.SEASONALITY({28;28;27.9;28;27.9;27.9;28;27.85;28;27.9;27.9;28;27.9;28;27.9;27.9;27.9;27.9;28;27.9;28;27.9;28},{29;37;17;41;27;23;35;21;11;33;31;25;19;13;15;9;39;43;45;5;3;7;47})</t>
  </si>
  <si>
    <t xml:space="preserve">_xlfn.FORECAST.ETS(9.5,{18;37.5;22;39.5;54.7;40;56;4.12;26.66},{1;1;2;3;4;5;6;7;8},1,0,3)</t>
  </si>
  <si>
    <t xml:space="preserve">_xlfn.ORG.LIBREOFFICE.FORECAST.ETS.STAT.MULT({18;37.5;22;39.5;54.7;40;56;4.12;26.66},{1;1;2;3;4;5;6;7;8},{7},1,0,3)</t>
  </si>
  <si>
    <t xml:space="preserve">_xlfn.FORECAST.ETS.SEASONALITY({18;37.5;22;39.5;54.7;40;56;4.12;26.66},{1;1;2;3;4;5;6;7;8},1,4)</t>
  </si>
  <si>
    <t xml:space="preserve">_xlfn.FORECAST.ETS(45227,{14;12.63;12.61;9.2;9;7;4;1.9;-0.4;0.4;-2.3;-4;-4.2},{44862;44893;44923;44954;44985;45044;45074;45105;45135;45166;45197;45227;45258},2)</t>
  </si>
  <si>
    <t xml:space="preserve">_xlfn.ORG.LIBREOFFICE.FORECAST.ETS.STAT.MULT({14;12.63;12.61;9.2;9;7;4;1.9;-0.4;0.4;-2.3;-4;-4.2},{44862;44893;44923;44954;44985;45044;45074;45105;45135;45166;45197;45227;45258},{5;4;8;3;2;7;6;9;1},2)</t>
  </si>
  <si>
    <t xml:space="preserve">_xlfn.FORECAST.ETS.SEASONALITY({14;12.63;12.61;9.2;9;7;4;1.9;-0.4;0.4;-2.3;-4;-4.2},{44862;44893;44923;44954;44985;45044;45074;45105;45135;45166;45197;45227;45258})</t>
  </si>
  <si>
    <t xml:space="preserve">_xlfn.FORECAST.ETS(15.5,{16;21;23.59;26.59;29.9;31.64;36;40;40;44.9;49;52;55;58},{1;2;3;4;5;6;7;8;9;10;11;12;13;14},0,1)</t>
  </si>
  <si>
    <t xml:space="preserve">_xlfn.ORG.LIBREOFFICE.FORECAST.ETS.STAT.MULT({16;21;23.59;26.59;29.9;31.64;36;40;40;44.9;49;52;55;58},{1;2;3;4;5;6;7;8;9;10;11;12;13;14},{5;7;6;3;2;1;9;4;8},0,1)</t>
  </si>
  <si>
    <t xml:space="preserve">_xlfn.FORECAST.ETS.SEASONALITY({16;21;23.59;26.59;29.9;31.64;36;40;40;44.9;49;52;55;58},{1;2;3;4;5;6;7;8;9;10;11;12;13;14})</t>
  </si>
  <si>
    <t xml:space="preserve">_xlfn.ORG.LIBREOFFICE.FORECAST.ETS.MULT(9,{21;24.72;23;27;36.62;41.9;39;44.8},{1;2;3;4;5;6;7;8},4,0)</t>
  </si>
  <si>
    <t xml:space="preserve">_xlfn.FORECAST.ETS.STAT({21;24.72;23;27;36.62;41.9;39;44.8},{1;2;3;4;5;6;7;8},{7},4,0)</t>
  </si>
  <si>
    <t xml:space="preserve">_xlfn.FORECAST.ETS.SEASONALITY({21;24.72;23;27;36.62;41.9;39;44.8},{1;2;3;4;5;6;7;8},0,1)</t>
  </si>
  <si>
    <t xml:space="preserve">_xlfn.FORECAST.ETS(30,{45;43.7;35.5;49.8;41.8;53.03;10.5;47.86;51.5;52.7;43.2;56.67;50;59.18;55;57.58;59.5;49;63.29;57.4;64.5;62.31;63.8;66.5;56.97;70.75;63.6;71.9;68.63},{1;2;3;4;5;6;6;7;8;9;10;11;12;13;14;15;16;17;18;19;20;21;22;23;24;25;26;27;28},3)</t>
  </si>
  <si>
    <t xml:space="preserve">_xlfn.ORG.LIBREOFFICE.FORECAST.ETS.STAT.MULT({45;43.7;35.5;49.8;41.8;53.03;10.5;47.86;51.5;52.7;43.2;56.67;50;59.18;55;57.58;59.5;49;63.29;57.4;64.5;62.31;63.8;66.5;56.97;70.75;63.6;71.9;68.63},{1;2;3;4;5;6;6;7;8;9;10;11;12;13;14;15;16;17;18;19;20;21;22;23;24;25;26;27;28},{4},3)</t>
  </si>
  <si>
    <t xml:space="preserve">_xlfn.FORECAST.ETS.SEASONALITY({45;43.7;35.5;49.8;41.8;53.03;10.5;47.86;51.5;52.7;43.2;56.67;50;59.18;55;57.58;59.5;49;63.29;57.4;64.5;62.31;63.8;66.5;56.97;70.75;63.6;71.9;68.63},{1;2;3;4;5;6;6;7;8;9;10;11;12;13;14;15;16;17;18;19;20;21;22;23;24;25;26;27;28},1)</t>
  </si>
  <si>
    <t xml:space="preserve">_xlfn.FORECAST.ETS({78;73},{28.4;28.38;28.4;28.4;28.38;28.38;28.38;28.38;28;28.4;28.4;28.38},{3;8;13;18;23;28;33;38;43;48;53;58},2)</t>
  </si>
  <si>
    <t xml:space="preserve">_xlfn.ORG.LIBREOFFICE.FORECAST.ETS.STAT.MULT({28.4;28.38;28.4;28.4;28.38;28.38;28.38;28.38;28;28.4;28.4;28.38},{3;8;13;18;23;28;33;38;43;48;53;58},{7;5},2)</t>
  </si>
  <si>
    <t xml:space="preserve">_xlfn.FORECAST.ETS.SEASONALITY({28.4;28.38;28.4;28.4;28.38;28.38;28.38;28.38;28;28.4;28.4;28.38},{3;8;13;18;23;28;33;38;43;48;53;58},1,4)</t>
  </si>
  <si>
    <t xml:space="preserve">_xlfn.FORECAST.ETS({26;26;26},{52;45;27.8;44;44;19.97;44;37.89;21.84;38.33;35.6;16;36.9;31;17;28;28;14;26.54;22.4;12.5;21.52;18;9},{1;2;3;4;5;6;7;8;9;10;11;12;13;14;15;16;17;18;19;20;21;22;23;24},2)</t>
  </si>
  <si>
    <t xml:space="preserve">_xlfn.ORG.LIBREOFFICE.FORECAST.ETS.STAT.MULT({52;45;27.8;44;44;19.97;44;37.89;21.84;38.33;35.6;16;36.9;31;17;28;28;14;26.54;22.4;12.5;21.52;18;9},{1;2;3;4;5;6;7;8;9;10;11;12;13;14;15;16;17;18;19;20;21;22;23;24},{6},2)</t>
  </si>
  <si>
    <t xml:space="preserve">_xlfn.FORECAST.ETS.SEASONALITY({52;45;27.8;44;44;19.97;44;37.89;21.84;38.33;35.6;16;36.9;31;17;28;28;14;26.54;22.4;12.5;21.52;18;9},{1;2;3;4;5;6;7;8;9;10;11;12;13;14;15;16;17;18;19;20;21;22;23;24},1)</t>
  </si>
  <si>
    <t xml:space="preserve">_xlfn.ORG.LIBREOFFICE.FORECAST.ETS.PI.MULT({25;26;27},{52;45;27.8;44;44;19.97;44;37.89;21.84;38.33;35.6;16;36.9;31;17;28;28;14;26.54;22.4;12.5;21.52;18;9},{1;2;3;4;5;6;7;8;9;10;11;12;13;14;15;16;17;18;19;20;21;22;23;24},,0)</t>
  </si>
  <si>
    <t xml:space="preserve">_xlfn.FORECAST.ETS(44925,{98.6;70;55;2.2;8.87;80.16;83.54},{44712;44742;44773;44804;44834;44865;44895},1,1,4)</t>
  </si>
  <si>
    <t xml:space="preserve">_xlfn.FORECAST.ETS.STAT({98.6;70;55;2.2;8.87;80.16;83.54},{44712;44742;44773;44804;44834;44865;44895},{2},1,1,4)</t>
  </si>
  <si>
    <t xml:space="preserve">_xlfn.FORECAST.ETS.SEASONALITY({98.6;70;55;2.2;8.87;80.16;83.54},{44712;44742;44773;44804;44834;44865;44895},1)</t>
  </si>
  <si>
    <t xml:space="preserve">_xlfn.FORECAST.ETS(44772,{39;47.49;34.5;39;48.62;34.3},{44576;44607;44635;44666;44696;44727},1,1,5)</t>
  </si>
  <si>
    <t xml:space="preserve">_xlfn.ORG.LIBREOFFICE.FORECAST.ETS.STAT.MULT({39;47.49;34.5;39;48.62;34.3},{44576;44607;44635;44666;44696;44727},{4;1;3;7;6;2;9;8;5},1,1,5)</t>
  </si>
  <si>
    <t xml:space="preserve">_xlfn.FORECAST.ETS.SEASONALITY({39;47.49;34.5;39;48.62;34.3},{44576;44607;44635;44666;44696;44727},1)</t>
  </si>
  <si>
    <t xml:space="preserve">_xlfn.FORECAST.ETS({35},{51;40.44;31;66.34;47;43.75;36;27;59.7;43;40.5;21.9;49.95;37.17},{3;5;7;9;11;13;15;17;19;21;23;27;29;31},5,0,5)</t>
  </si>
  <si>
    <t xml:space="preserve">_xlfn.ORG.LIBREOFFICE.FORECAST.ETS.STAT.MULT({51;40.44;31;66.34;47;43.75;36;27;59.7;43;40.5;21.9;49.95;37.17},{3;5;7;9;11;13;15;17;19;21;23;27;29;31},{7;5;9;3;6;1;2;8;4},5,0,5)</t>
  </si>
  <si>
    <t xml:space="preserve">_xlfn.FORECAST.ETS.SEASONALITY({51;40.44;31;66.34;47;43.75;36;27;59.7;43;40.5;21.9;49.95;37.17},{3;5;7;9;11;13;15;17;19;21;23;27;29;31},0,6)</t>
  </si>
  <si>
    <t xml:space="preserve">_xlfn.FORECAST.ETS.CONFINT(37,{51;40.44;31;66.34;47;43.75;36;27;59.7;43;40.5;21.9;49.95;37.17},{3;5;7;9;11;13;15;17;19;21;23;27;29;31},0,0)</t>
  </si>
  <si>
    <t xml:space="preserve">_xlfn.ORG.LIBREOFFICE.FORECAST.ETS.MULT(45020.5,{5.1;7.7;6.1;3.5;3;2.21;1.2;2.5;0;1.45;2.1;0.68},{44740;44770;44801;44832;44862;44893;44923;44954;44985;45013;45044;45074},1,1)</t>
  </si>
  <si>
    <t xml:space="preserve">_xlfn.ORG.LIBREOFFICE.FORECAST.ETS.STAT.MULT({5.1;7.7;6.1;3.5;3;2.21;1.2;2.5;0;1.45;2.1;0.68},{44740;44770;44801;44832;44862;44893;44923;44954;44985;45013;45044;45074},{3;4},1,1)</t>
  </si>
  <si>
    <t xml:space="preserve">_xlfn.FORECAST.ETS.SEASONALITY({5.1;7.7;6.1;3.5;3;2.21;1.2;2.5;0;1.45;2.1;0.68},{44740;44770;44801;44832;44862;44893;44923;44954;44985;45013;45044;45074},1,4)</t>
  </si>
  <si>
    <t xml:space="preserve">_xlfn.FORECAST.ETS({108;103;93},{44;46;2.4;49.85;52.39;52.7;53.5;55.4;60;60.5;62.92;64.7;67.4;68.2;71.18;70.6;73.7;74.2;78},{3;8;8;13;18;23;28;33;38;43;48;53;58;63;68;73;78;83;88},1,0)</t>
  </si>
  <si>
    <t xml:space="preserve">_xlfn.ORG.LIBREOFFICE.FORECAST.ETS.STAT.MULT({44;46;2.4;49.85;52.39;52.7;53.5;55.4;60;60.5;62.92;64.7;67.4;68.2;71.18;70.6;73.7;74.2;78},{3;8;8;13;18;23;28;33;38;43;48;53;58;63;68;73;78;83;88},{2},1,0)</t>
  </si>
  <si>
    <t xml:space="preserve">_xlfn.FORECAST.ETS.SEASONALITY({44;46;2.4;49.85;52.39;52.7;53.5;55.4;60;60.5;62.92;64.7;67.4;68.2;71.18;70.6;73.7;74.2;78},{3;8;8;13;18;23;28;33;38;43;48;53;58;63;68;73;78;83;88},1)</t>
  </si>
  <si>
    <t xml:space="preserve">_xlfn.ORG.LIBREOFFICE.FORECAST.ETS.MULT({25,23,21.5},{49.2;64.54;58.5;79.18;68.04;79;40.72;70.2;87.32;77;103;88.48;104.02;53;87.9;10.5;110.8;98.6;127;109.4;126.3;63.11},{1;2;3;4;5;6;7;8;9;10;11;12;13;14;15;15;16;17;18;19;20;21},0,0)</t>
  </si>
  <si>
    <t xml:space="preserve">_xlfn.FORECAST.ETS.STAT({49.2;64.54;58.5;79.18;68.04;79;40.72;70.2;87.32;77;103;88.48;104.02;53;87.9;10.5;110.8;98.6;127;109.4;126.3;63.11},{1;2;3;4;5;6;7;8;9;10;11;12;13;14;15;15;16;17;18;19;20;21},{6},0,0)</t>
  </si>
  <si>
    <t xml:space="preserve">_xlfn.FORECAST.ETS.SEASONALITY({49.2;64.54;58.5;79.18;68.04;79;40.72;70.2;87.32;77;103;88.48;104.02;53;87.9;10.5;110.8;98.6;127;109.4;126.3;63.11},{1;2;3;4;5;6;7;8;9;10;11;12;13;14;15;15;16;17;18;19;20;21})</t>
  </si>
  <si>
    <t xml:space="preserve">_xlfn.ORG.LIBREOFFICE.FORECAST.ETS.PI.MULT({22;23;24},{49.2;64.54;58.5;79.18;68.04;79;40.72;70.2;87.32;77;103;88.48;104.02;53;87.9;10.5;110.8;98.6;127;109.4;126.3;63.11},{1;2;3;4;5;6;7;8;9;10;11;12;13;14;15;15;16;17;18;19;20;21},,0,1,1)</t>
  </si>
  <si>
    <t xml:space="preserve">_xlfn.ORG.LIBREOFFICE.FORECAST.ETS.MULT({45021,45021,45021},{41.73;41;40;39.9;37;38.85;36;36;35;36;34.4;34;33.95;33;36.8;31.7;31;30.3;29;28.1;28},{45000;45001;45002;45003;45004;45005;45006;45007;45008;45009;45010;45011;45012;45013;45013;45014;45015;45016;45017;45018;45019},0,,5)</t>
  </si>
  <si>
    <t xml:space="preserve">_xlfn.FORECAST.ETS.STAT({41.73;41;40;39.9;37;38.85;36;36;35;36;34.4;34;33.95;33;36.8;31.7;31;30.3;29;28.1;28},{45000;45001;45002;45003;45004;45005;45006;45007;45008;45009;45010;45011;45012;45013;45013;45014;45015;45016;45017;45018;45019},{7},0,,5)</t>
  </si>
  <si>
    <t xml:space="preserve">_xlfn.FORECAST.ETS.SEASONALITY({41.73;41;40;39.9;37;38.85;36;36;35;36;34.4;34;33.95;33;36.8;31.7;31;30.3;29;28.1;28},{45000;45001;45002;45003;45004;45005;45006;45007;45008;45009;45010;45011;45012;45013;45013;45014;45015;45016;45017;45018;45019})</t>
  </si>
  <si>
    <t xml:space="preserve">_xlfn.ORG.LIBREOFFICE.FORECAST.ETS.MULT(15,{27.9;28.19;12;23.68;33.5;30;26;24;20.6;16.73;14.3;20.71;16.3},{9;7;27;13;3;5;11;15;17;21;25;19;23})</t>
  </si>
  <si>
    <t xml:space="preserve">_xlfn.FORECAST.ETS.STAT({27.9;28.19;12;23.68;33.5;30;26;24;20.6;16.73;14.3;20.71;16.3},{9;7;27;13;3;5;11;15;17;21;25;19;23},{7})</t>
  </si>
  <si>
    <t xml:space="preserve">_xlfn.FORECAST.ETS.SEASONALITY({27.9;28.19;12;23.68;33.5;30;26;24;20.6;16.73;14.3;20.71;16.3},{9;7;27;13;3;5;11;15;17;21;25;19;23})</t>
  </si>
  <si>
    <t xml:space="preserve">_xlfn.FORECAST.ETS({45669},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0,,6)</t>
  </si>
  <si>
    <t xml:space="preserve">_xlfn.ORG.LIBREOFFICE.FORECAST.ETS.STAT.MULT(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{3},0,,6)</t>
  </si>
  <si>
    <t xml:space="preserve">_xlfn.FORECAST.ETS.SEASONALITY(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0,2)</t>
  </si>
  <si>
    <t xml:space="preserve">_xlfn.FORECAST.ETS(23,{24;24.72;24;23;22.2;24.3;23.3;23.57;23.53;25.13;23;24.79},{3;8;13;18;23;28;33;38;43;48;53;58},0,,3)</t>
  </si>
  <si>
    <t xml:space="preserve">_xlfn.ORG.LIBREOFFICE.FORECAST.ETS.STAT.MULT({24;24.72;24;23;22.2;24.3;23.3;23.57;23.53;25.13;23;24.79},{3;8;13;18;23;28;33;38;43;48;53;58},{1;8;5;9;3;7;2;4;6},0,,3)</t>
  </si>
  <si>
    <t xml:space="preserve">_xlfn.FORECAST.ETS.SEASONALITY({24;24.72;24;23;22.2;24.3;23.3;23.57;23.53;25.13;23;24.79},{3;8;13;18;23;28;33;38;43;48;53;58})</t>
  </si>
  <si>
    <t xml:space="preserve">_xlfn.FORECAST.ETS.CONFINT({63;68;73},{24;24.72;24;23;22.2;24.3;23.3;23.57;23.53;25.13;23;24.79},{3;8;13;18;23;28;33;38;43;48;53;58},1,0,0)</t>
  </si>
  <si>
    <t xml:space="preserve">_xlfn.ORG.LIBREOFFICE.FORECAST.ETS.MULT({44818,44833},{90.6;1;16;6.1;73;65;92},{44607;44635;44666;44696;44727;44757;44788})</t>
  </si>
  <si>
    <t xml:space="preserve">_xlfn.ORG.LIBREOFFICE.FORECAST.ETS.STAT.MULT({90.6;1;16;6.1;73;65;92},{44607;44635;44666;44696;44727;44757;44788},{4;6;5;8;9;3;1;7;2})</t>
  </si>
  <si>
    <t xml:space="preserve">_xlfn.FORECAST.ETS.SEASONALITY({90.6;1;16;6.1;73;65;92},{44607;44635;44666;44696;44727;44757;44788})</t>
  </si>
  <si>
    <t xml:space="preserve">_xlfn.FORECAST.ETS(4.5,{83.9;66.29;51.93;72.5;44.51;67.8;72;55;63.82;84.1},{9;4;3;6;2;5;8;1;7;10},5,0,4)</t>
  </si>
  <si>
    <t xml:space="preserve">_xlfn.FORECAST.ETS.STAT({83.9;66.29;51.93;72.5;44.51;67.8;72;55;63.82;84.1},{9;4;3;6;2;5;8;1;7;10},{2;9},5,0,4)</t>
  </si>
  <si>
    <t xml:space="preserve">_xlfn.FORECAST.ETS.SEASONALITY({83.9;66.29;51.93;72.5;44.51;67.8;72;55;63.82;84.1},{9;4;3;6;2;5;8;1;7;10})</t>
  </si>
  <si>
    <t xml:space="preserve">_xlfn.FORECAST.ETS({44941,45046},{42.94;45.4;51.1;55.83;61.3;63.5},{44742;44773;44804;44865;44895;44926},0,0)</t>
  </si>
  <si>
    <t xml:space="preserve">_xlfn.FORECAST.ETS.STAT({42.94;45.4;51.1;55.83;61.3;63.5},{44742;44773;44804;44865;44895;44926},{4;3;8;7;1;9;6;5;2},0,0)</t>
  </si>
  <si>
    <t xml:space="preserve">_xlfn.FORECAST.ETS.SEASONALITY({42.94;45.4;51.1;55.83;61.3;63.5},{44742;44773;44804;44865;44895;44926},1)</t>
  </si>
  <si>
    <t xml:space="preserve">_xlfn.FORECAST.ETS({13.5;13.5},{17.9;18;18;17.92;17.9;17.9;17.9;17.9;17.92;17.92;17.92;17.9;18;18;17.9;17.9;17.9;18;17.9;17.92;17.92;18;18},{1;1.5;2;2.5;3;3.5;4;4.5;5;6;6.5;7;7.5;8;8.5;9;9.5;10;10.5;11;11.5;12;12.5})</t>
  </si>
  <si>
    <t xml:space="preserve">_xlfn.FORECAST.ETS.STAT({17.9;18;18;17.92;17.9;17.9;17.9;17.9;17.92;17.92;17.92;17.9;18;18;17.9;17.9;17.9;18;17.9;17.92;17.92;18;18},{1;1.5;2;2.5;3;3.5;4;4.5;5;6;6.5;7;7.5;8;8.5;9;9.5;10;10.5;11;11.5;12;12.5},{7})</t>
  </si>
  <si>
    <t xml:space="preserve">_xlfn.FORECAST.ETS.SEASONALITY({17.9;18;18;17.92;17.9;17.9;17.9;17.9;17.92;17.92;17.92;17.9;18;18;17.9;17.9;17.9;18;17.9;17.92;17.92;18;18},{1;1.5;2;2.5;3;3.5;4;4.5;5;6;6.5;7;7.5;8;8.5;9;9.5;10;10.5;11;11.5;12;12.5},0,6)</t>
  </si>
  <si>
    <t xml:space="preserve">_xlfn.FORECAST.ETS.CONFINT(13.5,{17.9;18;18;17.92;17.9;17.9;17.9;17.9;17.92;17.92;17.92;17.9;18;18;17.9;17.9;17.9;18;17.9;17.92;17.92;18;18},{1;1.5;2;2.5;3;3.5;4;4.5;5;6;6.5;7;7.5;8;8.5;9;9.5;10;10.5;11;11.5;12;12.5},0.9,0,1)</t>
  </si>
  <si>
    <t xml:space="preserve">_xlfn.ORG.LIBREOFFICE.FORECAST.ETS.MULT(6.5,{13;30.3;15.06;18;20;42.95;22;21.76},{1;1.5;2;2.5;3;3.5;4;4.5},4)</t>
  </si>
  <si>
    <t xml:space="preserve">_xlfn.FORECAST.ETS.STAT({13;30.3;15.06;18;20;42.95;22;21.76},{1;1.5;2;2.5;3;3.5;4;4.5},{3},4)</t>
  </si>
  <si>
    <t xml:space="preserve">_xlfn.FORECAST.ETS.SEASONALITY({13;30.3;15.06;18;20;42.95;22;21.76},{1;1.5;2;2.5;3;3.5;4;4.5},0)</t>
  </si>
  <si>
    <t xml:space="preserve">_xlfn.ORG.LIBREOFFICE.FORECAST.ETS.PI.MULT({5;5.5;6},{13;30.3;15.06;18;20;42.95;22;21.76},{1;1.5;2;2.5;3;3.5;4;4.5},0.9,0,0)</t>
  </si>
  <si>
    <t xml:space="preserve">_xlfn.ORG.LIBREOFFICE.FORECAST.ETS.MULT({45214;45304},{15.19;5.54;20;9.58;13.71;23.68;13.24;27.32;18;22.6},{44910;44941;44972;45000;45031;45061;45092;45122;45153;45184},5,1,1)</t>
  </si>
  <si>
    <t xml:space="preserve">_xlfn.FORECAST.ETS.STAT({15.19;5.54;20;9.58;13.71;23.68;13.24;27.32;18;22.6},{44910;44941;44972;45000;45031;45061;45092;45122;45153;45184},{6},5,1,1)</t>
  </si>
  <si>
    <t xml:space="preserve">_xlfn.FORECAST.ETS.SEASONALITY({15.19;5.54;20;9.58;13.71;23.68;13.24;27.32;18;22.6},{44910;44941;44972;45000;45031;45061;45092;45122;45153;45184},0)</t>
  </si>
  <si>
    <t xml:space="preserve">_xlfn.ORG.LIBREOFFICE.FORECAST.ETS.MULT(73,{23;22.87;22.9;23;22.87;23;23;22.87;22.9;22.9;22.87;22.87;22.87},{3;8;13;18;23;28;33;43;48;53;58;63;68},3)</t>
  </si>
  <si>
    <t xml:space="preserve">_xlfn.FORECAST.ETS.STAT({23;22.87;22.9;23;22.87;23;23;22.87;22.9;22.9;22.87;22.87;22.87},{3;8;13;18;23;28;33;43;48;53;58;63;68},{9;6},3)</t>
  </si>
  <si>
    <t xml:space="preserve">_xlfn.FORECAST.ETS.SEASONALITY({23;22.87;22.9;23;22.87;23;23;22.87;22.9;22.9;22.87;22.87;22.87},{3;8;13;18;23;28;33;43;48;53;58;63;68},1,4)</t>
  </si>
  <si>
    <t xml:space="preserve">_xlfn.FORECAST.ETS(44862,{26.3;23;24.49;21;25.39;22.33;26;23.5;22.6;22;25;26.54;28.1},{44832;45074;44893;45135;44862;45044;44770;44954;45013;45105;44985;44923;44801},1,,6)</t>
  </si>
  <si>
    <t xml:space="preserve">_xlfn.ORG.LIBREOFFICE.FORECAST.ETS.STAT.MULT({26.3;23;24.49;21;25.39;22.33;26;23.5;22.6;22;25;26.54;28.1},{44832;45074;44893;45135;44862;45044;44770;44954;45013;45105;44985;44923;44801},{7;8;2;5;4;6;9;1;3},1,,6)</t>
  </si>
  <si>
    <t xml:space="preserve">_xlfn.FORECAST.ETS.SEASONALITY({26.3;23;24.49;21;25.39;22.33;26;23.5;22.6;22;25;26.54;28.1},{44832;45074;44893;45135;44862;45044;44770;44954;45013;45105;44985;44923;44801},0,3)</t>
  </si>
  <si>
    <t xml:space="preserve">_xlfn.FORECAST.ETS({45011},{81.16;47;7.6;54.4;9;100;47.4;11;61.26},{45000;45000;45001;45002;45003;45004;45005;45006;45007},3,,1)</t>
  </si>
  <si>
    <t xml:space="preserve">_xlfn.ORG.LIBREOFFICE.FORECAST.ETS.STAT.MULT({81.16;47;7.6;54.4;9;100;47.4;11;61.26},{45000;45000;45001;45002;45003;45004;45005;45006;45007},{9},3,,1)</t>
  </si>
  <si>
    <t xml:space="preserve">_xlfn.FORECAST.ETS.SEASONALITY({81.16;47;7.6;54.4;9;100;47.4;11;61.26},{45000;45000;45001;45002;45003;45004;45005;45006;45007})</t>
  </si>
  <si>
    <t xml:space="preserve">_xlfn.FORECAST.ETS({6},{23.6;23.6;23.6;23.6;24;24;23.6;23.6;23.6},{1;1.5;2;2.5;3;3.5;4;4.5;5},1,,5)</t>
  </si>
  <si>
    <t xml:space="preserve">_xlfn.FORECAST.ETS.STAT({23.6;23.6;23.6;23.6;24;24;23.6;23.6;23.6},{1;1.5;2;2.5;3;3.5;4;4.5;5},{7;2},1,,5)</t>
  </si>
  <si>
    <t xml:space="preserve">_xlfn.FORECAST.ETS.SEASONALITY({23.6;23.6;23.6;23.6;24;24;23.6;23.6;23.6},{1;1.5;2;2.5;3;3.5;4;4.5;5},1)</t>
  </si>
  <si>
    <t xml:space="preserve">_xlfn.ORG.LIBREOFFICE.FORECAST.ETS.MULT({27,25.5,27},{54.15;54;46.87;58;59.92;64.7;45;51.57;65;49.7;58.26;46.98;64.6;50.3;55.8;63.1;46.17;42.22;62;60.38;51.82;55.62;51.57;59.61},{11;13;3;16;18;24;2;9;23;6;15;4;22;7;14;21;5;1;19;20;10;12;8;17},1,,6)</t>
  </si>
  <si>
    <t xml:space="preserve">_xlfn.ORG.LIBREOFFICE.FORECAST.ETS.STAT.MULT({54.15;54;46.87;58;59.92;64.7;45;51.57;65;49.7;58.26;46.98;64.6;50.3;55.8;63.1;46.17;42.22;62;60.38;51.82;55.62;51.57;59.61},{11;13;3;16;18;24;2;9;23;6;15;4;22;7;14;21;5;1;19;20;10;12;8;17},{4;5},1,,6)</t>
  </si>
  <si>
    <t xml:space="preserve">_xlfn.FORECAST.ETS.SEASONALITY({54.15;54;46.87;58;59.92;64.7;45;51.57;65;49.7;58.26;46.98;64.6;50.3;55.8;63.1;46.17;42.22;62;60.38;51.82;55.62;51.57;59.61},{11;13;3;16;18;24;2;9;23;6;15;4;22;7;14;21;5;1;19;20;10;12;8;17},0)</t>
  </si>
  <si>
    <t xml:space="preserve">_xlfn.FORECAST.ETS.CONFINT({25;26;27},{54.15;54;46.87;58;59.92;64.7;45;51.57;65;49.7;58.26;46.98;64.6;50.3;55.8;63.1;46.17;42.22;62;60.38;51.82;55.62;51.57;59.61},{11;13;3;16;18;24;2;9;23;6;15;4;22;7;14;21;5;1;19;20;10;12;8;17},0,0,1,4)</t>
  </si>
  <si>
    <t xml:space="preserve">_xlfn.ORG.LIBREOFFICE.FORECAST.ETS.MULT({45289;45184;45259},{35.97;40.08;43;48;50.6;55.12;56.16;60.59;69.86;73;75.8;79;83.2;88;89.64},{44712;44742;44773;44804;44834;44865;44895;44926;44985;45016;45046;45077;45107;45138;45169},1,0,6)</t>
  </si>
  <si>
    <t xml:space="preserve">_xlfn.FORECAST.ETS.STAT({35.97;40.08;43;48;50.6;55.12;56.16;60.59;69.86;73;75.8;79;83.2;88;89.64},{44712;44742;44773;44804;44834;44865;44895;44926;44985;45016;45046;45077;45107;45138;45169},{5;2;6;1;3;4;8;9;7},1,0,6)</t>
  </si>
  <si>
    <t xml:space="preserve">_xlfn.FORECAST.ETS.SEASONALITY({35.97;40.08;43;48;50.6;55.12;56.16;60.59;69.86;73;75.8;79;83.2;88;89.64},{44712;44742;44773;44804;44834;44865;44895;44926;44985;45016;45046;45077;45107;45138;45169})</t>
  </si>
  <si>
    <t xml:space="preserve">_xlfn.FORECAST.ETS(44924,{14.2;17.1;19.37;19.8;22;23.95},{44681;44712;44742;44773;44804;44834},0,0)</t>
  </si>
  <si>
    <t xml:space="preserve">_xlfn.ORG.LIBREOFFICE.FORECAST.ETS.STAT.MULT({14.2;17.1;19.37;19.8;22;23.95},{44681;44712;44742;44773;44804;44834},{2},0,0)</t>
  </si>
  <si>
    <t xml:space="preserve">_xlfn.FORECAST.ETS.SEASONALITY({14.2;17.1;19.37;19.8;22;23.95},{44681;44712;44742;44773;44804;44834},0,2)</t>
  </si>
  <si>
    <t xml:space="preserve">_xlfn.ORG.LIBREOFFICE.FORECAST.ETS.MULT({10.5;9.5;9.25},{13.86;11;22.1;27.55;15.9;14;24.97;31.76;18.72;15;28.27;32.73;21;15.45;31.94;37.51},{1;1.5;2;2.5;3;3.5;4;4.5;5;5.5;6;6.5;7;7.5;8;8.5},4,0)</t>
  </si>
  <si>
    <t xml:space="preserve">_xlfn.ORG.LIBREOFFICE.FORECAST.ETS.STAT.MULT({13.86;11;22.1;27.55;15.9;14;24.97;31.76;18.72;15;28.27;32.73;21;15.45;31.94;37.51},{1;1.5;2;2.5;3;3.5;4;4.5;5;5.5;6;6.5;7;7.5;8;8.5},{8;3;5;7;9;6;1;2;4},4,0)</t>
  </si>
  <si>
    <t xml:space="preserve">_xlfn.FORECAST.ETS.SEASONALITY({13.86;11;22.1;27.55;15.9;14;24.97;31.76;18.72;15;28.27;32.73;21;15.45;31.94;37.51},{1;1.5;2;2.5;3;3.5;4;4.5;5;5.5;6;6.5;7;7.5;8;8.5})</t>
  </si>
  <si>
    <t xml:space="preserve">_xlfn.FORECAST.ETS(45381,{24;24;24;24;24.08;24.08;24;24.08;24.1;24;24.1;24.1;24.08;24;24.08;24.1;24.1;24.08;24},{44804;44834;44865;44895;44926;44957;44985;45016;45046;45077;45107;45138;45169;45199;45230;45260;45291;45322;45351},1,0)</t>
  </si>
  <si>
    <t xml:space="preserve">_xlfn.FORECAST.ETS.STAT({24;24;24;24;24.08;24.08;24;24.08;24.1;24;24.1;24.1;24.08;24;24.08;24.1;24.1;24.08;24},{44804;44834;44865;44895;44926;44957;44985;45016;45046;45077;45107;45138;45169;45199;45230;45260;45291;45322;45351},{3;6;1;4;7;5;8;9;2},1,0)</t>
  </si>
  <si>
    <t xml:space="preserve">_xlfn.FORECAST.ETS.SEASONALITY({24;24;24;24;24.08;24.08;24;24.08;24.1;24;24.1;24.1;24.08;24;24.08;24.1;24.1;24.08;24},{44804;44834;44865;44895;44926;44957;44985;45016;45046;45077;45107;45138;45169;45199;45230;45260;45291;45322;45351})</t>
  </si>
  <si>
    <t xml:space="preserve">_xlfn.FORECAST.ETS({11.5;11.5;11.5},{27.9;25;26.11;32;46;49.36;51.93;54.34;52;54;57.1;75;77.6;79;80;78.9;80.2;85.7;101.3;105.3;104.45},{1;1.5;2;2.5;3;3.5;4;4.5;5;5.5;6;6.5;7;7.5;8;8.5;9;9.5;10;10.5;11},1,1,1)</t>
  </si>
  <si>
    <t xml:space="preserve">_xlfn.ORG.LIBREOFFICE.FORECAST.ETS.STAT.MULT({27.9;25;26.11;32;46;49.36;51.93;54.34;52;54;57.1;75;77.6;79;80;78.9;80.2;85.7;101.3;105.3;104.45},{1;1.5;2;2.5;3;3.5;4;4.5;5;5.5;6;6.5;7;7.5;8;8.5;9;9.5;10;10.5;11},{2;9;3;7;6;4;1;8;5},1,1,1)</t>
  </si>
  <si>
    <t xml:space="preserve">_xlfn.FORECAST.ETS.SEASONALITY({27.9;25;26.11;32;46;49.36;51.93;54.34;52;54;57.1;75;77.6;79;80;78.9;80.2;85.7;101.3;105.3;104.45},{1;1.5;2;2.5;3;3.5;4;4.5;5;5.5;6;6.5;7;7.5;8;8.5;9;9.5;10;10.5;11},1,6)</t>
  </si>
  <si>
    <t xml:space="preserve">_xlfn.FORECAST.ETS({45021,45020},{41;40.9;40.9;41;40.9;40.9;40.9;40.9;40.9;40.9;40.9;41;41;40.9;40.9;41;41;40.9;40.9;41},{45015;45016;45018;45009;45001;45012;45008;45000;45011;45013;45003;45004;45019;45014;45002;45005;45017;45006;45010;45007})</t>
  </si>
  <si>
    <t xml:space="preserve">_xlfn.FORECAST.ETS.STAT({41;40.9;40.9;41;40.9;40.9;40.9;40.9;40.9;40.9;40.9;41;41;40.9;40.9;41;41;40.9;40.9;41},{45015;45016;45018;45009;45001;45012;45008;45000;45011;45013;45003;45004;45019;45014;45002;45005;45017;45006;45010;45007},{4;7;9;1;6;5;3;2;8})</t>
  </si>
  <si>
    <t xml:space="preserve">_xlfn.FORECAST.ETS.SEASONALITY({41;40.9;40.9;41;40.9;40.9;40.9;40.9;40.9;40.9;40.9;41;41;40.9;40.9;41;41;40.9;40.9;41},{45015;45016;45018;45009;45001;45012;45008;45000;45011;45013;45003;45004;45019;45014;45002;45005;45017;45006;45010;45007})</t>
  </si>
  <si>
    <t xml:space="preserve">_xlfn.FORECAST.ETS({45365},{56;39.55;49.7;13;13.5;38;49.52;22.82;28;24;33.9;53.9;44.19;19.75},{45245;45122;45184;44910;44849;45061;45153;44941;45000;44972;45031;45214;45092;44880})</t>
  </si>
  <si>
    <t xml:space="preserve">_xlfn.ORG.LIBREOFFICE.FORECAST.ETS.STAT.MULT({56;39.55;49.7;13;13.5;38;49.52;22.82;28;24;33.9;53.9;44.19;19.75},{45245;45122;45184;44910;44849;45061;45153;44941;45000;44972;45031;45214;45092;44880},{9;1})</t>
  </si>
  <si>
    <t xml:space="preserve">_xlfn.FORECAST.ETS.SEASONALITY({56;39.55;49.7;13;13.5;38;49.52;22.82;28;24;33.9;53.9;44.19;19.75},{45245;45122;45184;44910;44849;45061;45153;44941;45000;44972;45031;45214;45092;44880})</t>
  </si>
  <si>
    <t xml:space="preserve">_xlfn.ORG.LIBREOFFICE.FORECAST.ETS.MULT({4.5;4},{45;38;49;46.3},{1;1.5;2;2.5},1,,5)</t>
  </si>
  <si>
    <t xml:space="preserve">_xlfn.FORECAST.ETS.STAT({45;38;49;46.3},{1;1.5;2;2.5},{2;6},1,,5)</t>
  </si>
  <si>
    <t xml:space="preserve">_xlfn.FORECAST.ETS.SEASONALITY({45;38;49;46.3},{1;1.5;2;2.5},1,6)</t>
  </si>
  <si>
    <t xml:space="preserve">_xlfn.ORG.LIBREOFFICE.FORECAST.ETS.MULT({45625,45550},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1,1)</t>
  </si>
  <si>
    <t xml:space="preserve">_xlfn.FORECAST.ETS.STAT(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{4;6;8;3;9;7;2;1;5},1,1)</t>
  </si>
  <si>
    <t xml:space="preserve">_xlfn.FORECAST.ETS.SEASONALITY(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0,4)</t>
  </si>
  <si>
    <t xml:space="preserve">_xlfn.ORG.LIBREOFFICE.FORECAST.ETS.MULT({15,14,12.5},{46.27;36.2;40.09;46;36.54;42.38;41.19;48.5;37;42;41},{1;2;3;5;6;7;8;9;10;11;12})</t>
  </si>
  <si>
    <t xml:space="preserve">_xlfn.FORECAST.ETS.STAT({46.27;36.2;40.09;46;36.54;42.38;41.19;48.5;37;42;41},{1;2;3;5;6;7;8;9;10;11;12},{1;5})</t>
  </si>
  <si>
    <t xml:space="preserve">_xlfn.FORECAST.ETS.SEASONALITY({46.27;36.2;40.09;46;36.54;42.38;41.19;48.5;37;42;41},{1;2;3;5;6;7;8;9;10;11;12},0)</t>
  </si>
  <si>
    <t xml:space="preserve">_xlfn.FORECAST.ETS.CONFINT({13;14;15},{46.27;36.2;40.09;46;36.54;42.38;41.19;48.5;37;42;41},{1;2;3;5;6;7;8;9;10;11;12},0.95,0,0)</t>
  </si>
  <si>
    <t xml:space="preserve">_xlfn.FORECAST.ETS({5.25},{44.96;45.8;47.45;43.6;48.57;50.7;52.13;48},{1;1.5;2;2.5;3;3.5;4;4.5})</t>
  </si>
  <si>
    <t xml:space="preserve">_xlfn.FORECAST.ETS.STAT({44.96;45.8;47.45;43.6;48.57;50.7;52.13;48},{1;1.5;2;2.5;3;3.5;4;4.5},{7;3})</t>
  </si>
  <si>
    <t xml:space="preserve">_xlfn.FORECAST.ETS.SEASONALITY({44.96;45.8;47.45;43.6;48.57;50.7;52.13;48},{1;1.5;2;2.5;3;3.5;4;4.5},0,4)</t>
  </si>
  <si>
    <t xml:space="preserve">_xlfn.FORECAST.ETS(9,{27.4;15;17;71.59;17;75.6},{1;2;3;4;5;6},4)</t>
  </si>
  <si>
    <t xml:space="preserve">_xlfn.FORECAST.ETS.STAT({27.4;15;17;71.59;17;75.6},{1;2;3;4;5;6},{8},4)</t>
  </si>
  <si>
    <t xml:space="preserve">_xlfn.FORECAST.ETS.SEASONALITY({27.4;15;17;71.59;17;75.6},{1;2;3;4;5;6},1,1)</t>
  </si>
  <si>
    <t xml:space="preserve">_xlfn.ORG.LIBREOFFICE.FORECAST.ETS.MULT(44757,{29.08;11.2;50;62;35.4},{44620;44651;44681;44712;44742})</t>
  </si>
  <si>
    <t xml:space="preserve">_xlfn.FORECAST.ETS.STAT({29.08;11.2;50;62;35.4},{44620;44651;44681;44712;44742},{2;8;1;9;3;5;7;4;6})</t>
  </si>
  <si>
    <t xml:space="preserve">_xlfn.FORECAST.ETS.SEASONALITY({29.08;11.2;50;62;35.4},{44620;44651;44681;44712;44742},1,1)</t>
  </si>
  <si>
    <t xml:space="preserve">_xlfn.ORG.LIBREOFFICE.FORECAST.ETS.MULT({63,93,68},{23;27;33.8;19.5;22.33;30.22},{3;13;23;33;43;53},1)</t>
  </si>
  <si>
    <t xml:space="preserve">_xlfn.FORECAST.ETS.STAT({23;27;33.8;19.5;22.33;30.22},{3;13;23;33;43;53},{5;3},1)</t>
  </si>
  <si>
    <t xml:space="preserve">_xlfn.FORECAST.ETS.SEASONALITY({23;27;33.8;19.5;22.33;30.22},{3;13;23;33;43;53},0,7)</t>
  </si>
  <si>
    <t xml:space="preserve">_xlfn.ORG.LIBREOFFICE.FORECAST.ETS.MULT({11.5,11,12},{7;6;7;6.6;1.37;1.24;1;2.4;1.76;-0.12;2;0.4;2.14;-0.57;2;1.28;0.9;1;1.78;0},{1;1.5;2;2.5;3;3.5;4;4.5;5;5.5;6;6.5;7;7.5;8;8.5;9;9.5;10;10.5})</t>
  </si>
  <si>
    <t xml:space="preserve">_xlfn.ORG.LIBREOFFICE.FORECAST.ETS.STAT.MULT({7;6;7;6.6;1.37;1.24;1;2.4;1.76;-0.12;2;0.4;2.14;-0.57;2;1.28;0.9;1;1.78;0},{1;1.5;2;2.5;3;3.5;4;4.5;5;5.5;6;6.5;7;7.5;8;8.5;9;9.5;10;10.5},{8;7})</t>
  </si>
  <si>
    <t xml:space="preserve">_xlfn.FORECAST.ETS.SEASONALITY({7;6;7;6.6;1.37;1.24;1;2.4;1.76;-0.12;2;0.4;2.14;-0.57;2;1.28;0.9;1;1.78;0},{1;1.5;2;2.5;3;3.5;4;4.5;5;5.5;6;6.5;7;7.5;8;8.5;9;9.5;10;10.5})</t>
  </si>
  <si>
    <t xml:space="preserve">_xlfn.FORECAST.ETS.CONFINT({11;11.5;12},{7;6;7;6.6;1.37;1.24;1;2.4;1.76;-0.12;2;0.4;2.14;-0.57;2;1.28;0.9;1;1.78;0},{1;1.5;2;2.5;3;3.5;4;4.5;5;5.5;6;6.5;7;7.5;8;8.5;9;9.5;10;10.5},0.5,0)</t>
  </si>
  <si>
    <t xml:space="preserve">_xlfn.ORG.LIBREOFFICE.FORECAST.ETS.MULT({22;22;19.5},{30.35;31;28.19;28;28;26.4;27;25;25;26.1;25;22.9;21.88;21.19;20;21.2;21.1;19.2},{1;2;3;4;5;6;7;8;9;10;11;12;13;14;15;16;17;18},0,,2)</t>
  </si>
  <si>
    <t xml:space="preserve">_xlfn.ORG.LIBREOFFICE.FORECAST.ETS.STAT.MULT({30.35;31;28.19;28;28;26.4;27;25;25;26.1;25;22.9;21.88;21.19;20;21.2;21.1;19.2},{1;2;3;4;5;6;7;8;9;10;11;12;13;14;15;16;17;18},{7},0,,2)</t>
  </si>
  <si>
    <t xml:space="preserve">_xlfn.FORECAST.ETS.SEASONALITY({30.35;31;28.19;28;28;26.4;27;25;25;26.1;25;22.9;21.88;21.19;20;21.2;21.1;19.2},{1;2;3;4;5;6;7;8;9;10;11;12;13;14;15;16;17;18},1)</t>
  </si>
  <si>
    <t xml:space="preserve">_xlfn.FORECAST.ETS.CONFINT(19,{30.35;31;28.19;28;28;26.4;27;25;25;26.1;25;22.9;21.88;21.19;20;21.2;21.1;19.2},{1;2;3;4;5;6;7;8;9;10;11;12;13;14;15;16;17;18},0,0,1,7)</t>
  </si>
  <si>
    <t xml:space="preserve">_xlfn.FORECAST.ETS(1.5,{44;48;50.7;48.6},{1;2;4;3},0)</t>
  </si>
  <si>
    <t xml:space="preserve">_xlfn.FORECAST.ETS.STAT({44;48;50.7;48.6},{1;2;4;3},{5},0)</t>
  </si>
  <si>
    <t xml:space="preserve">_xlfn.FORECAST.ETS.SEASONALITY({44;48;50.7;48.6},{1;2;4;3})</t>
  </si>
  <si>
    <t xml:space="preserve">_xlfn.FORECAST.ETS(44652,{56;51.66;42.4;32;59.6;28.26;73.55;34.8;88.5;10.9;21.9;76;41.2;41;91;40;2;4.61;42;99;37.9;64.1},{44835;44743;45047;44866;45231;44713;45078;45108;45139;45170;45261;45200;44774;44652;44621;44986;44682;44805;44958;45017;44896;44927})</t>
  </si>
  <si>
    <t xml:space="preserve">_xlfn.ORG.LIBREOFFICE.FORECAST.ETS.STAT.MULT({56;51.66;42.4;32;59.6;28.26;73.55;34.8;88.5;10.9;21.9;76;41.2;41;91;40;2;4.61;42;99;37.9;64.1},{44835;44743;45047;44866;45231;44713;45078;45108;45139;45170;45261;45200;44774;44652;44621;44986;44682;44805;44958;45017;44896;44927},{3;4;8;6;7;2;5;9;1})</t>
  </si>
  <si>
    <t xml:space="preserve">_xlfn.FORECAST.ETS.SEASONALITY({56;51.66;42.4;32;59.6;28.26;73.55;34.8;88.5;10.9;21.9;76;41.2;41;91;40;2;4.61;42;99;37.9;64.1},{44835;44743;45047;44866;45231;44713;45078;45108;45139;45170;45261;45200;44774;44652;44621;44986;44682;44805;44958;45017;44896;44927})</t>
  </si>
  <si>
    <t xml:space="preserve">_xlfn.FORECAST.ETS({7;7},{18.5;18;18.75;19},{1;2;3;4},5,1,7)</t>
  </si>
  <si>
    <t xml:space="preserve">_xlfn.ORG.LIBREOFFICE.FORECAST.ETS.STAT.MULT({18.5;18;18.75;19},{1;2;3;4},{8;6;7;2;9;4;5;1;3},5,1,7)</t>
  </si>
  <si>
    <t xml:space="preserve">_xlfn.FORECAST.ETS.SEASONALITY({18.5;18;18.75;19},{1;2;3;4},0,5)</t>
  </si>
  <si>
    <t xml:space="preserve">_xlfn.ORG.LIBREOFFICE.FORECAST.ETS.MULT({45105,45105,45045},{77.3;32;59;11;43;22.8;52.9;51.6;82.7;22.65;14.3;32;31;90.02},{44592;44620;44651;44681;44712;44742;44773;44804;44834;44865;44895;44926;44957;44985},3,1,3)</t>
  </si>
  <si>
    <t xml:space="preserve">_xlfn.ORG.LIBREOFFICE.FORECAST.ETS.STAT.MULT({77.3;32;59;11;43;22.8;52.9;51.6;82.7;22.65;14.3;32;31;90.02},{44592;44620;44651;44681;44712;44742;44773;44804;44834;44865;44895;44926;44957;44985},{1;4},3,1,3)</t>
  </si>
  <si>
    <t xml:space="preserve">_xlfn.FORECAST.ETS.SEASONALITY({77.3;32;59;11;43;22.8;52.9;51.6;82.7;22.65;14.3;32;31;90.02},{44592;44620;44651;44681;44712;44742;44773;44804;44834;44865;44895;44926;44957;44985},1,1)</t>
  </si>
  <si>
    <t xml:space="preserve">_xlfn.FORECAST.ETS({44938,44983,44938},{23.35;50;50.4;26;51.95;52.3;25;53.2;53;29;53.7;54.3},{44589;44620;44648;44679;44709;44740;44770;44801;44832;44862;44893;44923})</t>
  </si>
  <si>
    <t xml:space="preserve">_xlfn.ORG.LIBREOFFICE.FORECAST.ETS.STAT.MULT({23.35;50;50.4;26;51.95;52.3;25;53.2;53;29;53.7;54.3},{44589;44620;44648;44679;44709;44740;44770;44801;44832;44862;44893;44923},{7})</t>
  </si>
  <si>
    <t xml:space="preserve">_xlfn.FORECAST.ETS.SEASONALITY({23.35;50;50.4;26;51.95;52.3;25;53.2;53;29;53.7;54.3},{44589;44620;44648;44679;44709;44740;44770;44801;44832;44862;44893;44923},0)</t>
  </si>
  <si>
    <t xml:space="preserve">_xlfn.FORECAST.ETS({11.25;11.25;11.5},{42.67;67;22.27;37.5;44;56.96;19;33;27;14;49.14;65.2;59;74.2;52;15.2;62;40;28.23;71},{5.5;9.5;2.5;4.5;6;7.5;2;4;3;1;6.5;9;8;10.5;7;1.5;8.5;5;3.5;10},0,,1)</t>
  </si>
  <si>
    <t xml:space="preserve">_xlfn.ORG.LIBREOFFICE.FORECAST.ETS.STAT.MULT({42.67;67;22.27;37.5;44;56.96;19;33;27;14;49.14;65.2;59;74.2;52;15.2;62;40;28.23;71},{5.5;9.5;2.5;4.5;6;7.5;2;4;3;1;6.5;9;8;10.5;7;1.5;8.5;5;3.5;10},{3;2;1;8;7;5;6;9;4},0,,1)</t>
  </si>
  <si>
    <t xml:space="preserve">_xlfn.FORECAST.ETS.SEASONALITY({42.67;67;22.27;37.5;44;56.96;19;33;27;14;49.14;65.2;59;74.2;52;15.2;62;40;28.23;71},{5.5;9.5;2.5;4.5;6;7.5;2;4;3;1;6.5;9;8;10.5;7;1.5;8.5;5;3.5;10},0)</t>
  </si>
  <si>
    <t xml:space="preserve">_xlfn.FORECAST.ETS.CONFINT(11,{42.67;67;22.27;37.5;44;56.96;19;33;27;14;49.14;65.2;59;74.2;52;15.2;62;40;28.23;71},{5.5;9.5;2.5;4.5;6;7.5;2;4;3;1;6.5;9;8;10.5;7;1.5;8.5;5;3.5;10},1,0,1,5)</t>
  </si>
  <si>
    <t xml:space="preserve">_xlfn.ORG.LIBREOFFICE.FORECAST.ETS.MULT(21.5,{8;11.19;21.03;29;35;24.1;28.96;40;47.1;52.1;41.53;45.85;57.1;64.7;67.4;61.4;65.5;74.87;80.63;86},{1;2;3;4;5;6;7;8;9;10;11;12;13;14;15;16;17;18;19;20},5,,7)</t>
  </si>
  <si>
    <t xml:space="preserve">_xlfn.ORG.LIBREOFFICE.FORECAST.ETS.STAT.MULT({8;11.19;21.03;29;35;24.1;28.96;40;47.1;52.1;41.53;45.85;57.1;64.7;67.4;61.4;65.5;74.87;80.63;86},{1;2;3;4;5;6;7;8;9;10;11;12;13;14;15;16;17;18;19;20},{9},5,,7)</t>
  </si>
  <si>
    <t xml:space="preserve">_xlfn.FORECAST.ETS.SEASONALITY({8;11.19;21.03;29;35;24.1;28.96;40;47.1;52.1;41.53;45.85;57.1;64.7;67.4;61.4;65.5;74.87;80.63;86},{1;2;3;4;5;6;7;8;9;10;11;12;13;14;15;16;17;18;19;20})</t>
  </si>
  <si>
    <t xml:space="preserve">_xlfn.FORECAST.ETS.CONFINT(22,{8;11.19;21.03;29;35;24.1;28.96;40;47.1;52.1;41.53;45.85;57.1;64.7;67.4;61.4;65.5;74.87;80.63;86},{1;2;3;4;5;6;7;8;9;10;11;12;13;14;15;16;17;18;19;20},0.95,0,0)</t>
  </si>
  <si>
    <t xml:space="preserve">_xlfn.FORECAST.ETS({22.5;25},{36.91;37.5;38.1;35.84;39;36.8;40;40;39;38.8;40.44;40;42.47;42;42.3;44.2;43.2;44.6;46;46;47;45.49},{1;2;3;4;5;6;7;8;9;10;11;12;13;14;15;16;17;18;19;20;21;22},1,0,1)</t>
  </si>
  <si>
    <t xml:space="preserve">_xlfn.FORECAST.ETS.STAT({36.91;37.5;38.1;35.84;39;36.8;40;40;39;38.8;40.44;40;42.47;42;42.3;44.2;43.2;44.6;46;46;47;45.49},{1;2;3;4;5;6;7;8;9;10;11;12;13;14;15;16;17;18;19;20;21;22},{1},1,0,1)</t>
  </si>
  <si>
    <t xml:space="preserve">_xlfn.FORECAST.ETS.SEASONALITY({36.91;37.5;38.1;35.84;39;36.8;40;40;39;38.8;40.44;40;42.47;42;42.3;44.2;43.2;44.6;46;46;47;45.49},{1;2;3;4;5;6;7;8;9;10;11;12;13;14;15;16;17;18;19;20;21;22},0,1)</t>
  </si>
  <si>
    <t xml:space="preserve">_xlfn.FORECAST.ETS({45519;45519;45534},{19.2;19.2;19.2;19;19.22;19.22;19.2;19;19.22;19;19.22;19;19.22;19;19;19;19.22;19.2;19.22;19;19},{44866;44896;44927;44958;44986;45017;45047;45078;45108;45139;45170;45200;45231;45261;45292;45323;45352;45383;45413;45444;45474},0,1)</t>
  </si>
  <si>
    <t xml:space="preserve">_xlfn.ORG.LIBREOFFICE.FORECAST.ETS.STAT.MULT({19.2;19.2;19.2;19;19.22;19.22;19.2;19;19.22;19;19.22;19;19.22;19;19;19;19.22;19.2;19.22;19;19},{44866;44896;44927;44958;44986;45017;45047;45078;45108;45139;45170;45200;45231;45261;45292;45323;45352;45383;45413;45444;45474},{3},0,1)</t>
  </si>
  <si>
    <t xml:space="preserve">_xlfn.FORECAST.ETS.SEASONALITY({19.2;19.2;19.2;19;19.22;19.22;19.2;19;19.22;19;19.22;19;19.22;19;19;19;19.22;19.2;19.22;19;19},{44866;44896;44927;44958;44986;45017;45047;45078;45108;45139;45170;45200;45231;45261;45292;45323;45352;45383;45413;45444;45474},1)</t>
  </si>
  <si>
    <t xml:space="preserve">_xlfn.ORG.LIBREOFFICE.FORECAST.ETS.MULT(27,{54;63.11;52;43.7;57;47;22;29;23;58.4;35.2;53.6;27.44;61.8;31.57;25.3;40.46;32.2;47;18.8;41;57.01;45.8;36.2},{19;24;17;13;21;15;2;6;3;22;9;18;5;23;7;4;11;8;16;1;12;20;14;10},0,,6)</t>
  </si>
  <si>
    <t xml:space="preserve">_xlfn.ORG.LIBREOFFICE.FORECAST.ETS.STAT.MULT({54;63.11;52;43.7;57;47;22;29;23;58.4;35.2;53.6;27.44;61.8;31.57;25.3;40.46;32.2;47;18.8;41;57.01;45.8;36.2},{19;24;17;13;21;15;2;6;3;22;9;18;5;23;7;4;11;8;16;1;12;20;14;10},{2},0,,6)</t>
  </si>
  <si>
    <t xml:space="preserve">_xlfn.FORECAST.ETS.SEASONALITY({54;63.11;52;43.7;57;47;22;29;23;58.4;35.2;53.6;27.44;61.8;31.57;25.3;40.46;32.2;47;18.8;41;57.01;45.8;36.2},{19;24;17;13;21;15;2;6;3;22;9;18;5;23;7;4;11;8;16;1;12;20;14;10})</t>
  </si>
  <si>
    <t xml:space="preserve">_xlfn.ORG.LIBREOFFICE.FORECAST.ETS.MULT({45015,45075},{33;37.65;42.98;47;52.58;58;41.6;62;66},{44770;44801;44832;44862;44893;44923;44923;44954;44985},1)</t>
  </si>
  <si>
    <t xml:space="preserve">_xlfn.ORG.LIBREOFFICE.FORECAST.ETS.STAT.MULT({33;37.65;42.98;47;52.58;58;41.6;62;66},{44770;44801;44832;44862;44893;44923;44923;44954;44985},{3;5;1;2;8;7;4;6;9},1)</t>
  </si>
  <si>
    <t xml:space="preserve">_xlfn.FORECAST.ETS.SEASONALITY({33;37.65;42.98;47;52.58;58;41.6;62;66},{44770;44801;44832;44862;44893;44923;44923;44954;44985},0,1)</t>
  </si>
  <si>
    <t xml:space="preserve">_xlfn.ORG.LIBREOFFICE.FORECAST.ETS.MULT(45017,{43;43.1;43.75;48.4;1.1;47.6;51.85;53.5;53.72;56.84;58.3;58.42;60;61.8;65.34;64.5;66.57},{45000;45001;45002;45003;45003;45004;45005;45006;45007;45008;45009;45010;45011;45012;45013;45014;45015},0)</t>
  </si>
  <si>
    <t xml:space="preserve">_xlfn.FORECAST.ETS.STAT({43;43.1;43.75;48.4;1.1;47.6;51.85;53.5;53.72;56.84;58.3;58.42;60;61.8;65.34;64.5;66.57},{45000;45001;45002;45003;45003;45004;45005;45006;45007;45008;45009;45010;45011;45012;45013;45014;45015},{7;6;5;4;1;8;9;3;2},0)</t>
  </si>
  <si>
    <t xml:space="preserve">_xlfn.FORECAST.ETS.SEASONALITY({43;43.1;43.75;48.4;1.1;47.6;51.85;53.5;53.72;56.84;58.3;58.42;60;61.8;65.34;64.5;66.57},{45000;45001;45002;45003;45003;45004;45005;45006;45007;45008;45009;45010;45011;45012;45013;45014;45015})</t>
  </si>
  <si>
    <t xml:space="preserve">_xlfn.ORG.LIBREOFFICE.FORECAST.ETS.MULT({73;65.5;73},{37.89;17;22.8;18.3;27.4;12;14.61;11;15.7;7.4;8.24;6},{3;8;13;18;23;28;33;38;43;48;53;58},1,0)</t>
  </si>
  <si>
    <t xml:space="preserve">_xlfn.ORG.LIBREOFFICE.FORECAST.ETS.STAT.MULT({37.89;17;22.8;18.3;27.4;12;14.61;11;15.7;7.4;8.24;6},{3;8;13;18;23;28;33;38;43;48;53;58},{8;4},1,0)</t>
  </si>
  <si>
    <t xml:space="preserve">_xlfn.FORECAST.ETS.SEASONALITY({37.89;17;22.8;18.3;27.4;12;14.61;11;15.7;7.4;8.24;6},{3;8;13;18;23;28;33;38;43;48;53;58})</t>
  </si>
  <si>
    <t xml:space="preserve">_xlfn.ORG.LIBREOFFICE.FORECAST.ETS.MULT(45016,{10.3;14;20.93;23;27.27;33;36.3;39;45.3;48},{44651;44681;44712;44742;44773;44804;44834;44865;44895;44926},4)</t>
  </si>
  <si>
    <t xml:space="preserve">_xlfn.FORECAST.ETS.STAT({10.3;14;20.93;23;27.27;33;36.3;39;45.3;48},{44651;44681;44712;44742;44773;44804;44834;44865;44895;44926},{9;6},4)</t>
  </si>
  <si>
    <t xml:space="preserve">_xlfn.FORECAST.ETS.SEASONALITY({10.3;14;20.93;23;27.27;33;36.3;39;45.3;48},{44651;44681;44712;44742;44773;44804;44834;44865;44895;44926},0,6)</t>
  </si>
  <si>
    <t xml:space="preserve">_xlfn.ORG.LIBREOFFICE.FORECAST.ETS.MULT(10,{56;53.9;58.56;64.6;60.39;67;74.21;70;41;75.6;82.18;78.15;83.9;88.2;85.51;91.7},{1;1.5;2;2.5;3;3.5;4;4.5;4.5;5;5.5;6;6.5;7;7.5;8},3)</t>
  </si>
  <si>
    <t xml:space="preserve">_xlfn.ORG.LIBREOFFICE.FORECAST.ETS.STAT.MULT({56;53.9;58.56;64.6;60.39;67;74.21;70;41;75.6;82.18;78.15;83.9;88.2;85.51;91.7},{1;1.5;2;2.5;3;3.5;4;4.5;4.5;5;5.5;6;6.5;7;7.5;8},{3},3)</t>
  </si>
  <si>
    <t xml:space="preserve">_xlfn.FORECAST.ETS.SEASONALITY({56;53.9;58.56;64.6;60.39;67;74.21;70;41;75.6;82.18;78.15;83.9;88.2;85.51;91.7},{1;1.5;2;2.5;3;3.5;4;4.5;4.5;5;5.5;6;6.5;7;7.5;8},0)</t>
  </si>
  <si>
    <t xml:space="preserve">_xlfn.ORG.LIBREOFFICE.FORECAST.ETS.MULT(45428,{33.2;32.26;29;32.5;22.23;21;25.3;25;24.78;14.7;12;18.52;17.9;14;18;5.7;4;8.77;10.1;6;11;-0.4;-3},{44713;44743;44774;44805;44835;44866;44896;44927;44986;45017;45047;45078;45108;45139;45170;45200;45231;45261;45292;45323;45352;45383;45413},4)</t>
  </si>
  <si>
    <t xml:space="preserve">_xlfn.FORECAST.ETS.STAT({33.2;32.26;29;32.5;22.23;21;25.3;25;24.78;14.7;12;18.52;17.9;14;18;5.7;4;8.77;10.1;6;11;-0.4;-3},{44713;44743;44774;44805;44835;44866;44896;44927;44986;45017;45047;45078;45108;45139;45170;45200;45231;45261;45292;45323;45352;45383;45413},{2;1},4)</t>
  </si>
  <si>
    <t xml:space="preserve">_xlfn.FORECAST.ETS.SEASONALITY({33.2;32.26;29;32.5;22.23;21;25.3;25;24.78;14.7;12;18.52;17.9;14;18;5.7;4;8.77;10.1;6;11;-0.4;-3},{44713;44743;44774;44805;44835;44866;44896;44927;44986;45017;45047;45078;45108;45139;45170;45200;45231;45261;45292;45323;45352;45383;45413})</t>
  </si>
  <si>
    <t xml:space="preserve">_xlfn.ORG.LIBREOFFICE.FORECAST.ETS.MULT(5.5,{37;37.64;43.22;44.5},{1;2;3;4},2)</t>
  </si>
  <si>
    <t xml:space="preserve">_xlfn.FORECAST.ETS.STAT({37;37.64;43.22;44.5},{1;2;3;4},{8;5},2)</t>
  </si>
  <si>
    <t xml:space="preserve">_xlfn.FORECAST.ETS.SEASONALITY({37;37.64;43.22;44.5},{1;2;3;4},0)</t>
  </si>
  <si>
    <t xml:space="preserve">_xlfn.ORG.LIBREOFFICE.FORECAST.ETS.PI.MULT({5;6;7},{37;37.64;43.22;44.5},{1;2;3;4},0.5,0,1)</t>
  </si>
  <si>
    <t xml:space="preserve">_xlfn.FORECAST.ETS({19;17;17},{31.43;36.3;47;48.3;24.2;46;43;41.4;36.96;30;51.6;40;40;26;35.5;33},{7;2;10;16;1;12;15;6;9;5;14;13;8;3;11;4})</t>
  </si>
  <si>
    <t xml:space="preserve">_xlfn.FORECAST.ETS.STAT({31.43;36.3;47;48.3;24.2;46;43;41.4;36.96;30;51.6;40;40;26;35.5;33},{7;2;10;16;1;12;15;6;9;5;14;13;8;3;11;4},{2})</t>
  </si>
  <si>
    <t xml:space="preserve">_xlfn.FORECAST.ETS.SEASONALITY({31.43;36.3;47;48.3;24.2;46;43;41.4;36.96;30;51.6;40;40;26;35.5;33},{7;2;10;16;1;12;15;6;9;5;14;13;8;3;11;4})</t>
  </si>
  <si>
    <t xml:space="preserve">_xlfn.FORECAST.ETS.CONFINT({17;18;19},{31.43;36.3;47;48.3;24.2;46;43;41.4;36.96;30;51.6;40;40;26;35.5;33},{7;2;10;16;1;12;15;6;9;5;14;13;8;3;11;4},0.95,0,0)</t>
  </si>
  <si>
    <t xml:space="preserve">_xlfn.ORG.LIBREOFFICE.FORECAST.ETS.MULT({45017},{12.2;12;12;12.21;12;12.2;12.21;12.21;12.21;12.21;12.2;12.2},{44620;44651;44681;44712;44742;44773;44804;44834;44865;44895;44926;44957},3)</t>
  </si>
  <si>
    <t xml:space="preserve">_xlfn.ORG.LIBREOFFICE.FORECAST.ETS.STAT.MULT({12.2;12;12;12.21;12;12.2;12.21;12.21;12.21;12.21;12.2;12.2},{44620;44651;44681;44712;44742;44773;44804;44834;44865;44895;44926;44957},{8;5},3)</t>
  </si>
  <si>
    <t xml:space="preserve">_xlfn.FORECAST.ETS.SEASONALITY({12.2;12;12;12.21;12;12.2;12.21;12.21;12.21;12.21;12.2;12.2},{44620;44651;44681;44712;44742;44773;44804;44834;44865;44895;44926;44957},0,1)</t>
  </si>
  <si>
    <t xml:space="preserve">_xlfn.FORECAST.ETS(8,{7.2;9;9.33;12;13.6;15.2;17.9;19.37;20;20.5;22.8;26.2;27.51;27.13;29.66},{1;2;3;4;5;6;7;8;9;10;11;12;13;14;15},6,,6)</t>
  </si>
  <si>
    <t xml:space="preserve">_xlfn.ORG.LIBREOFFICE.FORECAST.ETS.STAT.MULT({7.2;9;9.33;12;13.6;15.2;17.9;19.37;20;20.5;22.8;26.2;27.51;27.13;29.66},{1;2;3;4;5;6;7;8;9;10;11;12;13;14;15},{5},6,,6)</t>
  </si>
  <si>
    <t xml:space="preserve">_xlfn.FORECAST.ETS.SEASONALITY({7.2;9;9.33;12;13.6;15.2;17.9;19.37;20;20.5;22.8;26.2;27.51;27.13;29.66},{1;2;3;4;5;6;7;8;9;10;11;12;13;14;15},0)</t>
  </si>
  <si>
    <t xml:space="preserve">_xlfn.ORG.LIBREOFFICE.FORECAST.ETS.PI.MULT({16;17;18},{7.2;9;9.33;12;13.6;15.2;17.9;19.37;20;20.5;22.8;26.2;27.51;27.13;29.66},{1;2;3;4;5;6;7;8;9;10;11;12;13;14;15},0,0,1,4)</t>
  </si>
  <si>
    <t xml:space="preserve">_xlfn.FORECAST.ETS({13;11.5;10.5},{30;51.5;29.17;51.16;28;49.1;26.17;46;26;44},{1;2;3;4;5;6;7;8;9;10},1,0)</t>
  </si>
  <si>
    <t xml:space="preserve">_xlfn.FORECAST.ETS.STAT({30;51.5;29.17;51.16;28;49.1;26.17;46;26;44},{1;2;3;4;5;6;7;8;9;10},{9},1,0)</t>
  </si>
  <si>
    <t xml:space="preserve">_xlfn.FORECAST.ETS.SEASONALITY({30;51.5;29.17;51.16;28;49.1;26.17;46;26;44},{1;2;3;4;5;6;7;8;9;10},0,6)</t>
  </si>
  <si>
    <t xml:space="preserve">_xlfn.FORECAST.ETS.CONFINT(11,{30;51.5;29.17;51.16;28;49.1;26.17;46;26;44},{1;2;3;4;5;6;7;8;9;10},,0,1,6)</t>
  </si>
  <si>
    <t xml:space="preserve">_xlfn.FORECAST.ETS({9.5,10},{23;29.1;28;24;34.08;44.23;40;33},{1;2;3;4;5;6;7;8},0,0)</t>
  </si>
  <si>
    <t xml:space="preserve">_xlfn.FORECAST.ETS.STAT({23;29.1;28;24;34.08;44.23;40;33},{1;2;3;4;5;6;7;8},{1;5;3;7;4;8;9;2;6},0,0)</t>
  </si>
  <si>
    <t xml:space="preserve">_xlfn.FORECAST.ETS.SEASONALITY({23;29.1;28;24;34.08;44.23;40;33},{1;2;3;4;5;6;7;8})</t>
  </si>
  <si>
    <t xml:space="preserve">_xlfn.FORECAST.ETS({45009,45008.5,45007.5},{41.85;27.68;38.6;28.1;38;28.09;39.7;25.5},{45000;45001;45002;45003;45004;45005;45006;45007},2)</t>
  </si>
  <si>
    <t xml:space="preserve">_xlfn.FORECAST.ETS.STAT({41.85;27.68;38.6;28.1;38;28.09;39.7;25.5},{45000;45001;45002;45003;45004;45005;45006;45007},{9;8;6;3;7;1;5;2;4},2)</t>
  </si>
  <si>
    <t xml:space="preserve">_xlfn.FORECAST.ETS.SEASONALITY({41.85;27.68;38.6;28.1;38;28.09;39.7;25.5},{45000;45001;45002;45003;45004;45005;45006;45007})</t>
  </si>
  <si>
    <t xml:space="preserve">_xlfn.ORG.LIBREOFFICE.FORECAST.ETS.MULT(9,{42.9;13.13;21.13;26;25.8;15.63;16.53;13;26;20;27.82;32;19.9;22;37.44;17},{7;1.5;1;7.5;8;2.5;4;2;6.5;5.5;3;8.5;4.5;6;5;3.5},4,,5)</t>
  </si>
  <si>
    <t xml:space="preserve">_xlfn.ORG.LIBREOFFICE.FORECAST.ETS.STAT.MULT({42.9;13.13;21.13;26;25.8;15.63;16.53;13;26;20;27.82;32;19.9;22;37.44;17},{7;1.5;1;7.5;8;2.5;4;2;6.5;5.5;3;8.5;4.5;6;5;3.5},{4;5;2;6;3;7;1;8;9},4,,5)</t>
  </si>
  <si>
    <t xml:space="preserve">_xlfn.FORECAST.ETS.SEASONALITY({42.9;13.13;21.13;26;25.8;15.63;16.53;13;26;20;27.82;32;19.9;22;37.44;17},{7;1.5;1;7.5;8;2.5;4;2;6.5;5.5;3;8.5;4.5;6;5;3.5})</t>
  </si>
  <si>
    <t xml:space="preserve">_xlfn.FORECAST.ETS.CONFINT(9,{42.9;13.13;21.13;26;25.8;15.63;16.53;13;26;20;27.82;32;19.9;22;37.44;17},{7;1.5;1;7.5;8;2.5;4;2;6.5;5.5;3;8.5;4.5;6;5;3.5},,0,1,2)</t>
  </si>
  <si>
    <t xml:space="preserve">_xlfn.FORECAST.ETS({45107;45167},{49.29;49.29;49;49.29;49;49;49.3;49.29;49;49;49.29;49.29;49;49.3;11.2;49.29;49;49.29},{44592;44620;44651;44681;44712;44742;44773;44804;44834;44865;44895;44926;44957;44985;44985;45016;45046;45077},7,1,6)</t>
  </si>
  <si>
    <t xml:space="preserve">_xlfn.ORG.LIBREOFFICE.FORECAST.ETS.STAT.MULT({49.29;49.29;49;49.29;49;49;49.3;49.29;49;49;49.29;49.29;49;49.3;11.2;49.29;49;49.29},{44592;44620;44651;44681;44712;44742;44773;44804;44834;44865;44895;44926;44957;44985;44985;45016;45046;45077},{6;1},7,1,6)</t>
  </si>
  <si>
    <t xml:space="preserve">_xlfn.FORECAST.ETS.SEASONALITY({49.29;49.29;49;49.29;49;49;49.3;49.29;49;49;49.29;49.29;49;49.3;11.2;49.29;49;49.29},{44592;44620;44651;44681;44712;44742;44773;44804;44834;44865;44895;44926;44957;44985;44985;45016;45046;45077},1)</t>
  </si>
  <si>
    <t xml:space="preserve">_xlfn.ORG.LIBREOFFICE.FORECAST.ETS.MULT(45002,{51.6;75;89.81;35},{45000;45001;45002;45003},4)</t>
  </si>
  <si>
    <t xml:space="preserve">_xlfn.FORECAST.ETS.STAT({51.6;75;89.81;35},{45000;45001;45002;45003},{6;9;1;5;3;8;2;7;4},4)</t>
  </si>
  <si>
    <t xml:space="preserve">_xlfn.FORECAST.ETS.SEASONALITY({51.6;75;89.81;35},{45000;45001;45002;45003},0)</t>
  </si>
  <si>
    <t xml:space="preserve">_xlfn.ORG.LIBREOFFICE.FORECAST.ETS.MULT(1.75,{17;17;17.2;17.2},{1;1.5;2;2.5})</t>
  </si>
  <si>
    <t xml:space="preserve">_xlfn.ORG.LIBREOFFICE.FORECAST.ETS.STAT.MULT({17;17;17.2;17.2},{1;1.5;2;2.5},{8;6;4;2;1;5;9;3;7})</t>
  </si>
  <si>
    <t xml:space="preserve">_xlfn.FORECAST.ETS.SEASONALITY({17;17;17.2;17.2},{1;1.5;2;2.5},0,1)</t>
  </si>
  <si>
    <t xml:space="preserve">_xlfn.ORG.LIBREOFFICE.FORECAST.ETS.MULT({45020.5,45022,45021},{47.7;47.7;47.7;47.74;47.7;47.7;47.74;48;47.7;47.74;47.7;47.7;47.7;48;48;48;48;48;47.74;47.74;25.8;48},{45000;45001;45002;45003;45004;45005;45006;45007;45008;45009;45010;45011;45012;45013;45014;45015;45016;45017;45018;45019;45019;45020},1,1,2)</t>
  </si>
  <si>
    <t xml:space="preserve">_xlfn.ORG.LIBREOFFICE.FORECAST.ETS.STAT.MULT({47.7;47.7;47.7;47.74;47.7;47.7;47.74;48;47.7;47.74;47.7;47.7;47.7;48;48;48;48;48;47.74;47.74;25.8;48},{45000;45001;45002;45003;45004;45005;45006;45007;45008;45009;45010;45011;45012;45013;45014;45015;45016;45017;45018;45019;45019;45020},{6;3;5;8;1;4;7;9;2},1,1,2)</t>
  </si>
  <si>
    <t xml:space="preserve">_xlfn.FORECAST.ETS.SEASONALITY({47.7;47.7;47.7;47.74;47.7;47.7;47.74;48;47.7;47.74;47.7;47.7;47.7;48;48;48;48;48;47.74;47.74;25.8;48},{45000;45001;45002;45003;45004;45005;45006;45007;45008;45009;45010;45011;45012;45013;45014;45015;45016;45017;45018;45019;45019;45020},0)</t>
  </si>
  <si>
    <t xml:space="preserve">_xlfn.FORECAST.ETS(125.5,{16;12;10.9;10;8.67;5;3.6;3.2;1.02;-2;-0.7;-5;-4.2;-6.2;-9.5;-11.9;-12.5;-13.4;-16.28;-17.7;-18;-21.1;-23.46;-23.11},{3;8;13;18;23;28;33;38;43;48;53;58;63;68;73;78;83;88;93;98;103;108;113;118},4)</t>
  </si>
  <si>
    <t xml:space="preserve">_xlfn.ORG.LIBREOFFICE.FORECAST.ETS.STAT.MULT({16;12;10.9;10;8.67;5;3.6;3.2;1.02;-2;-0.7;-5;-4.2;-6.2;-9.5;-11.9;-12.5;-13.4;-16.28;-17.7;-18;-21.1;-23.46;-23.11},{3;8;13;18;23;28;33;38;43;48;53;58;63;68;73;78;83;88;93;98;103;108;113;118},{4;2},4)</t>
  </si>
  <si>
    <t xml:space="preserve">_xlfn.FORECAST.ETS.SEASONALITY({16;12;10.9;10;8.67;5;3.6;3.2;1.02;-2;-0.7;-5;-4.2;-6.2;-9.5;-11.9;-12.5;-13.4;-16.28;-17.7;-18;-21.1;-23.46;-23.11},{3;8;13;18;23;28;33;38;43;48;53;58;63;68;73;78;83;88;93;98;103;108;113;118})</t>
  </si>
  <si>
    <t xml:space="preserve">_xlfn.FORECAST.ETS(14,{39.2;11;94.6;23;47;19;29.32;82.41;48.36;15.6;88.4;16.9;45.94},{1;2;3;4;5;6;7;8;9;10;11;12;13},2,0,1)</t>
  </si>
  <si>
    <t xml:space="preserve">_xlfn.ORG.LIBREOFFICE.FORECAST.ETS.STAT.MULT({39.2;11;94.6;23;47;19;29.32;82.41;48.36;15.6;88.4;16.9;45.94},{1;2;3;4;5;6;7;8;9;10;11;12;13},{8},2,0,1)</t>
  </si>
  <si>
    <t xml:space="preserve">_xlfn.FORECAST.ETS.SEASONALITY({39.2;11;94.6;23;47;19;29.32;82.41;48.36;15.6;88.4;16.9;45.94},{1;2;3;4;5;6;7;8;9;10;11;12;13},0)</t>
  </si>
  <si>
    <t xml:space="preserve">_xlfn.ORG.LIBREOFFICE.FORECAST.ETS.PI.MULT({14;15;16},{39.2;11;94.6;23;47;19;29.32;82.41;48.36;15.6;88.4;16.9;45.94},{1;2;3;4;5;6;7;8;9;10;11;12;13},1,0)</t>
  </si>
  <si>
    <t xml:space="preserve">_xlfn.ORG.LIBREOFFICE.FORECAST.ETS.MULT(45275,{38.2;37.22;34.61;33;31;28.9;26;24;22.9;21;20.3;18;17;13;12;11.05;8.3;8.7},{44742;44773;44804;44834;44865;44895;44926;44957;44985;45016;45046;45077;45107;45138;45169;45199;45230;45260},4)</t>
  </si>
  <si>
    <t xml:space="preserve">_xlfn.FORECAST.ETS.STAT({38.2;37.22;34.61;33;31;28.9;26;24;22.9;21;20.3;18;17;13;12;11.05;8.3;8.7},{44742;44773;44804;44834;44865;44895;44926;44957;44985;45016;45046;45077;45107;45138;45169;45199;45230;45260},{5;9},4)</t>
  </si>
  <si>
    <t xml:space="preserve">_xlfn.FORECAST.ETS.SEASONALITY({38.2;37.22;34.61;33;31;28.9;26;24;22.9;21;20.3;18;17;13;12;11.05;8.3;8.7},{44742;44773;44804;44834;44865;44895;44926;44957;44985;45016;45046;45077;45107;45138;45169;45199;45230;45260},0,4)</t>
  </si>
  <si>
    <t xml:space="preserve">_xlfn.ORG.LIBREOFFICE.FORECAST.ETS.MULT(7.5,{48.88;48.88;48.9;48.9;48.88;48.88;49;49;48.88;48.88;48.88;49;48.9;49;49;48.88;49},{1;1.5;2;2.5;3;3.5;4;4.5;5;5.5;6;6.5;7;7.5;8;8.5;9},5,0,5)</t>
  </si>
  <si>
    <t xml:space="preserve">_xlfn.FORECAST.ETS.STAT({48.88;48.88;48.9;48.9;48.88;48.88;49;49;48.88;48.88;48.88;49;48.9;49;49;48.88;49},{1;1.5;2;2.5;3;3.5;4;4.5;5;5.5;6;6.5;7;7.5;8;8.5;9},{1},5,0,5)</t>
  </si>
  <si>
    <t xml:space="preserve">_xlfn.FORECAST.ETS.SEASONALITY({48.88;48.88;48.9;48.9;48.88;48.88;49;49;48.88;48.88;48.88;49;48.9;49;49;48.88;49},{1;1.5;2;2.5;3;3.5;4;4.5;5;5.5;6;6.5;7;7.5;8;8.5;9})</t>
  </si>
  <si>
    <t xml:space="preserve">_xlfn.ORG.LIBREOFFICE.FORECAST.ETS.MULT({18,18.5},{86.72;23;75.08;68.07;67.9;18;85;7.38;10.4;24.69;28;52;46;67;13.98;95.1;10},{15;9;17;10;13;8;2;16;5;14;12;11;1;3;6;4;7},1)</t>
  </si>
  <si>
    <t xml:space="preserve">_xlfn.FORECAST.ETS.STAT({86.72;23;75.08;68.07;67.9;18;85;7.38;10.4;24.69;28;52;46;67;13.98;95.1;10},{15;9;17;10;13;8;2;16;5;14;12;11;1;3;6;4;7},{2;5},1)</t>
  </si>
  <si>
    <t xml:space="preserve">_xlfn.FORECAST.ETS.SEASONALITY({86.72;23;75.08;68.07;67.9;18;85;7.38;10.4;24.69;28;52;46;67;13.98;95.1;10},{15;9;17;10;13;8;2;16;5;14;12;11;1;3;6;4;7},0,3)</t>
  </si>
  <si>
    <t xml:space="preserve">_xlfn.FORECAST.ETS.CONFINT(18,{86.72;23;75.08;68.07;67.9;18;85;7.38;10.4;24.69;28;52;46;67;13.98;95.1;10},{15;9;17;10;13;8;2;16;5;14;12;11;1;3;6;4;7},0,0)</t>
  </si>
  <si>
    <t xml:space="preserve">_xlfn.ORG.LIBREOFFICE.FORECAST.ETS.MULT({15.5;18;16.5},{39.8;42.31;51;76.3;97.86;32.49;8.73;35.3;48.8;16.9;65;57;29;46.7;67.3;91.54},{1;2;3;4;5;6;7;8;9;10;11;12;13;13;14;15},3,0,2)</t>
  </si>
  <si>
    <t xml:space="preserve">_xlfn.FORECAST.ETS.STAT({39.8;42.31;51;76.3;97.86;32.49;8.73;35.3;48.8;16.9;65;57;29;46.7;67.3;91.54},{1;2;3;4;5;6;7;8;9;10;11;12;13;13;14;15},{4;6},3,0,2)</t>
  </si>
  <si>
    <t xml:space="preserve">_xlfn.FORECAST.ETS.SEASONALITY({39.8;42.31;51;76.3;97.86;32.49;8.73;35.3;48.8;16.9;65;57;29;46.7;67.3;91.54},{1;2;3;4;5;6;7;8;9;10;11;12;13;13;14;15})</t>
  </si>
  <si>
    <t xml:space="preserve">_xlfn.ORG.LIBREOFFICE.FORECAST.ETS.MULT({8,8.5},{48.99;49;48.99;49;49;48.99;49;49;48.99;48.99;48.99;49;49},{4.5;1;2;5;3.5;4;7;3;1.5;2.5;6.5;6;5.5},6,0)</t>
  </si>
  <si>
    <t xml:space="preserve">_xlfn.ORG.LIBREOFFICE.FORECAST.ETS.STAT.MULT({48.99;49;48.99;49;49;48.99;49;49;48.99;48.99;48.99;49;49},{4.5;1;2;5;3.5;4;7;3;1.5;2.5;6.5;6;5.5},{4;7},6,0)</t>
  </si>
  <si>
    <t xml:space="preserve">_xlfn.FORECAST.ETS.SEASONALITY({48.99;49;48.99;49;49;48.99;49;49;48.99;48.99;48.99;49;49},{4.5;1;2;5;3.5;4;7;3;1.5;2.5;6.5;6;5.5},0,4)</t>
  </si>
  <si>
    <t xml:space="preserve">_xlfn.FORECAST.ETS({68,73,73},{15;15;15;15.16;15.2;15.2;15;15.2;15;15.2;15.16;15.2},{3;8;13;18;23;28;38;43;48;53;58;63},1)</t>
  </si>
  <si>
    <t xml:space="preserve">_xlfn.FORECAST.ETS.STAT({15;15;15;15.16;15.2;15.2;15;15.2;15;15.2;15.16;15.2},{3;8;13;18;23;28;38;43;48;53;58;63},{6;7;4;5;3;9;8;1;2},1)</t>
  </si>
  <si>
    <t xml:space="preserve">_xlfn.FORECAST.ETS.SEASONALITY({15;15;15;15.16;15.2;15.2;15;15.2;15;15.2;15.16;15.2},{3;8;13;18;23;28;38;43;48;53;58;63},1)</t>
  </si>
  <si>
    <t xml:space="preserve">_xlfn.FORECAST.ETS({24,22},{24;25.8;28.2;31.37;31.45;34;34.75;37.33;40.34;42.7},{3;5;7;9;11;13;15;17;19;21},6)</t>
  </si>
  <si>
    <t xml:space="preserve">_xlfn.ORG.LIBREOFFICE.FORECAST.ETS.STAT.MULT({24;25.8;28.2;31.37;31.45;34;34.75;37.33;40.34;42.7},{3;5;7;9;11;13;15;17;19;21},{9;2},6)</t>
  </si>
  <si>
    <t xml:space="preserve">_xlfn.FORECAST.ETS.SEASONALITY({24;25.8;28.2;31.37;31.45;34;34.75;37.33;40.34;42.7},{3;5;7;9;11;13;15;17;19;21},0)</t>
  </si>
  <si>
    <t xml:space="preserve">_xlfn.FORECAST.ETS.CONFINT(23,{24;25.8;28.2;31.37;31.45;34;34.75;37.33;40.34;42.7},{3;5;7;9;11;13;15;17;19;21},0,0)</t>
  </si>
  <si>
    <t xml:space="preserve">_xlfn.FORECAST.ETS({173},{47.7;47.1;52;38.14;55.27;71.85;68.3;71.98;52.8;75;95;90.59;95.2;65;92.4},{3;13;23;33;43;53;63;73;83;93;103;113;123;133;143},1,1,5)</t>
  </si>
  <si>
    <t xml:space="preserve">_xlfn.ORG.LIBREOFFICE.FORECAST.ETS.STAT.MULT({47.7;47.1;52;38.14;55.27;71.85;68.3;71.98;52.8;75;95;90.59;95.2;65;92.4},{3;13;23;33;43;53;63;73;83;93;103;113;123;133;143},{4;3},1,1,5)</t>
  </si>
  <si>
    <t xml:space="preserve">_xlfn.FORECAST.ETS.SEASONALITY({47.7;47.1;52;38.14;55.27;71.85;68.3;71.98;52.8;75;95;90.59;95.2;65;92.4},{3;13;23;33;43;53;63;73;83;93;103;113;123;133;143})</t>
  </si>
  <si>
    <t xml:space="preserve">_xlfn.ORG.LIBREOFFICE.FORECAST.ETS.MULT(45137,{27;21.6;33.1;27.59;34.51;36;50;44.01;54.1;49.53;56.1;60},{44742;44773;44804;44834;44865;44895;44926;44957;44985;45016;45046;45077},6,0,1)</t>
  </si>
  <si>
    <t xml:space="preserve">_xlfn.ORG.LIBREOFFICE.FORECAST.ETS.STAT.MULT({27;21.6;33.1;27.59;34.51;36;50;44.01;54.1;49.53;56.1;60},{44742;44773;44804;44834;44865;44895;44926;44957;44985;45016;45046;45077},{3},6,0,1)</t>
  </si>
  <si>
    <t xml:space="preserve">_xlfn.FORECAST.ETS.SEASONALITY({27;21.6;33.1;27.59;34.51;36;50;44.01;54.1;49.53;56.1;60},{44742;44773;44804;44834;44865;44895;44926;44957;44985;45016;45046;45077},1)</t>
  </si>
  <si>
    <t xml:space="preserve">_xlfn.FORECAST.ETS({7.5},{49.86;52;30;29;51.8;52.5;52.3;28.3;28.26;31},{5.5;2.5;5;2;1.5;3.5;4.5;3;4;1})</t>
  </si>
  <si>
    <t xml:space="preserve">_xlfn.FORECAST.ETS.STAT({49.86;52;30;29;51.8;52.5;52.3;28.3;28.26;31},{5.5;2.5;5;2;1.5;3.5;4.5;3;4;1},{2;5;4;8;6;1;3;7;9})</t>
  </si>
  <si>
    <t xml:space="preserve">_xlfn.FORECAST.ETS.SEASONALITY({49.86;52;30;29;51.8;52.5;52.3;28.3;28.26;31},{5.5;2.5;5;2;1.5;3.5;4.5;3;4;1},1,6)</t>
  </si>
  <si>
    <t xml:space="preserve">_xlfn.ORG.LIBREOFFICE.FORECAST.ETS.PI.MULT({6;6.5;7},{49.86;52;30;29;51.8;52.5;52.3;28.3;28.26;31},{5.5;2.5;5;2;1.5;3.5;4.5;3;4;1},0.9,0,1,5)</t>
  </si>
  <si>
    <t xml:space="preserve">_xlfn.ORG.LIBREOFFICE.FORECAST.ETS.MULT({45195,45195},{23.82;32;26;36;34.6;41.77;37;46;45.38;52.7;48.43;58.5},{44801;44832;44862;44893;44923;44954;44985;45013;45044;45074;45105;45135},0,0)</t>
  </si>
  <si>
    <t xml:space="preserve">_xlfn.FORECAST.ETS.STAT({23.82;32;26;36;34.6;41.77;37;46;45.38;52.7;48.43;58.5},{44801;44832;44862;44893;44923;44954;44985;45013;45044;45074;45105;45135},{3},0,0)</t>
  </si>
  <si>
    <t xml:space="preserve">_xlfn.FORECAST.ETS.SEASONALITY({23.82;32;26;36;34.6;41.77;37;46;45.38;52.7;48.43;58.5},{44801;44832;44862;44893;44923;44954;44985;45013;45044;45074;45105;45135},1,7)</t>
  </si>
  <si>
    <t xml:space="preserve">_xlfn.ORG.LIBREOFFICE.FORECAST.ETS.MULT({45025;45022.5;45022.5},{48;11;61.6;45;68.3;85.04;14.8;16.15;80.39;62;1;85.27;21;23.5;79;71;31.81;21.56;51.2;30.7;16.4;39;48.1},{45000;45001;45002;45003;45004;45005;45006;45007;45008;45009;45010;45011;45012;45012;45013;45014;45015;45016;45017;45018;45019;45020;45021},0,,2)</t>
  </si>
  <si>
    <t xml:space="preserve">_xlfn.FORECAST.ETS.STAT({48;11;61.6;45;68.3;85.04;14.8;16.15;80.39;62;1;85.27;21;23.5;79;71;31.81;21.56;51.2;30.7;16.4;39;48.1},{45000;45001;45002;45003;45004;45005;45006;45007;45008;45009;45010;45011;45012;45012;45013;45014;45015;45016;45017;45018;45019;45020;45021},{7;3;5;1;8;9;4;6;2},0,,2)</t>
  </si>
  <si>
    <t xml:space="preserve">_xlfn.FORECAST.ETS.SEASONALITY({48;11;61.6;45;68.3;85.04;14.8;16.15;80.39;62;1;85.27;21;23.5;79;71;31.81;21.56;51.2;30.7;16.4;39;48.1},{45000;45001;45002;45003;45004;45005;45006;45007;45008;45009;45010;45011;45012;45012;45013;45014;45015;45016;45017;45018;45019;45020;45021},1,5)</t>
  </si>
  <si>
    <t xml:space="preserve">_xlfn.ORG.LIBREOFFICE.FORECAST.ETS.MULT({14,10.5},{48.35;45.12;50;47.87;53;48.1;54.43;53.49;57;54},{1;2;3;4;5;6;7;8;9;10},2)</t>
  </si>
  <si>
    <t xml:space="preserve">_xlfn.FORECAST.ETS.STAT({48.35;45.12;50;47.87;53;48.1;54.43;53.49;57;54},{1;2;3;4;5;6;7;8;9;10},{3},2)</t>
  </si>
  <si>
    <t xml:space="preserve">_xlfn.FORECAST.ETS.SEASONALITY({48.35;45.12;50;47.87;53;48.1;54.43;53.49;57;54},{1;2;3;4;5;6;7;8;9;10},0,4)</t>
  </si>
  <si>
    <t xml:space="preserve">_xlfn.FORECAST.ETS({23},{93.7;70;20;22.07;10.08;49.53;10;9.8;23.5;29;94;46.2;86;66;82.84;45.6;91;6;41.65},{1;2;3;4;5;6;7;9;10;11;12;13;14;15;16;17;18;19;20},0,,1)</t>
  </si>
  <si>
    <t xml:space="preserve">_xlfn.FORECAST.ETS.STAT({93.7;70;20;22.07;10.08;49.53;10;9.8;23.5;29;94;46.2;86;66;82.84;45.6;91;6;41.65},{1;2;3;4;5;6;7;9;10;11;12;13;14;15;16;17;18;19;20},{9;7;6;3;2;1;4;8;5},0,,1)</t>
  </si>
  <si>
    <t xml:space="preserve">_xlfn.FORECAST.ETS.SEASONALITY({93.7;70;20;22.07;10.08;49.53;10;9.8;23.5;29;94;46.2;86;66;82.84;45.6;91;6;41.65},{1;2;3;4;5;6;7;9;10;11;12;13;14;15;16;17;18;19;20},1)</t>
  </si>
  <si>
    <t xml:space="preserve">_xlfn.FORECAST.ETS.CONFINT(21,{93.7;70;20;22.07;10.08;49.53;10;9.8;23.5;29;94;46.2;86;66;82.84;45.6;91;6;41.65},{1;2;3;4;5;6;7;9;10;11;12;13;14;15;16;17;18;19;20},0.95,0,1,4)</t>
  </si>
  <si>
    <t xml:space="preserve">_xlfn.FORECAST.ETS(45365,{24;19;25.8;31;31;34.75;26.94;35.6;43.4;44.7;47;36;45;56;55;59.7;45;58;67;66.22},{44770;44801;44832;44862;44893;44923;44954;44985;45013;45044;45074;45105;45135;45166;45197;45227;45258;45288;45319;45350},5,,4)</t>
  </si>
  <si>
    <t xml:space="preserve">_xlfn.FORECAST.ETS.STAT({24;19;25.8;31;31;34.75;26.94;35.6;43.4;44.7;47;36;45;56;55;59.7;45;58;67;66.22},{44770;44801;44832;44862;44893;44923;44954;44985;45013;45044;45074;45105;45135;45166;45197;45227;45258;45288;45319;45350},{8;2;9;4;7;5;3;1;6},5,,4)</t>
  </si>
  <si>
    <t xml:space="preserve">_xlfn.FORECAST.ETS.SEASONALITY({24;19;25.8;31;31;34.75;26.94;35.6;43.4;44.7;47;36;45;56;55;59.7;45;58;67;66.22},{44770;44801;44832;44862;44893;44923;44954;44985;45013;45044;45074;45105;45135;45166;45197;45227;45258;45288;45319;45350},0,4)</t>
  </si>
  <si>
    <t xml:space="preserve">_xlfn.ORG.LIBREOFFICE.FORECAST.ETS.MULT({45166;45136;45166},{5.8;5.83;5.83;6;5.8;6;6;5.8;6;5.8},{44773;44804;44834;44865;44895;44926;44957;44985;45016;45046},1,0,1)</t>
  </si>
  <si>
    <t xml:space="preserve">_xlfn.FORECAST.ETS.STAT({5.8;5.83;5.83;6;5.8;6;6;5.8;6;5.8},{44773;44804;44834;44865;44895;44926;44957;44985;45016;45046},{9;4;5;6;7;2;8;3;1},1,0,1)</t>
  </si>
  <si>
    <t xml:space="preserve">_xlfn.FORECAST.ETS.SEASONALITY({5.8;5.83;5.83;6;5.8;6;6;5.8;6;5.8},{44773;44804;44834;44865;44895;44926;44957;44985;45016;45046},0)</t>
  </si>
  <si>
    <t xml:space="preserve">_xlfn.FORECAST.ETS({45168;45153},{22.57;25;25.85;28;29.76;32;35;36;38;41;43;44.97},{44804;44834;44865;44895;44926;44957;44985;45016;45046;45077;45107;45138},4)</t>
  </si>
  <si>
    <t xml:space="preserve">_xlfn.ORG.LIBREOFFICE.FORECAST.ETS.STAT.MULT({22.57;25;25.85;28;29.76;32;35;36;38;41;43;44.97},{44804;44834;44865;44895;44926;44957;44985;45016;45046;45077;45107;45138},{6},4)</t>
  </si>
  <si>
    <t xml:space="preserve">_xlfn.FORECAST.ETS.SEASONALITY({22.57;25;25.85;28;29.76;32;35;36;38;41;43;44.97},{44804;44834;44865;44895;44926;44957;44985;45016;45046;45077;45107;45138})</t>
  </si>
  <si>
    <t xml:space="preserve">_xlfn.FORECAST.ETS({111.5,115},{65.25;41.62;77.2;69;21;24.64;51.56;30.73;47.51;59;34.97;55;18;37;71.3},{80;45;101;87;10;17;59;24;52;73;31;66;3;38;94},0,,2)</t>
  </si>
  <si>
    <t xml:space="preserve">_xlfn.FORECAST.ETS.STAT({65.25;41.62;77.2;69;21;24.64;51.56;30.73;47.51;59;34.97;55;18;37;71.3},{80;45;101;87;10;17;59;24;52;73;31;66;3;38;94},{5;9;4;2;3;7;8;6;1},0,,2)</t>
  </si>
  <si>
    <t xml:space="preserve">_xlfn.FORECAST.ETS.SEASONALITY({65.25;41.62;77.2;69;21;24.64;51.56;30.73;47.51;59;34.97;55;18;37;71.3},{80;45;101;87;10;17;59;24;52;73;31;66;3;38;94},1,7)</t>
  </si>
  <si>
    <t xml:space="preserve">_xlfn.FORECAST.ETS({8},{36.22;36.2;36.22;36.22;36.22;36;6.1;36.2},{1;2;3;4;5;6;6;7},2)</t>
  </si>
  <si>
    <t xml:space="preserve">_xlfn.FORECAST.ETS.STAT({36.22;36.2;36.22;36.22;36.22;36;6.1;36.2},{1;2;3;4;5;6;6;7},{2;7;8;6;4;1;9;5;3},2)</t>
  </si>
  <si>
    <t xml:space="preserve">_xlfn.FORECAST.ETS.SEASONALITY({36.22;36.2;36.22;36.22;36.22;36;6.1;36.2},{1;2;3;4;5;6;6;7},1,2)</t>
  </si>
  <si>
    <t xml:space="preserve">_xlfn.FORECAST.ETS(45008.5,{11.85;10.7;7.22;6.7;5.55;3.6;0.8;-2.2;8.2;-3;-5.21;-9;-10},{45000;45001;45002;45003;45004;45005;45006;45007;45007;45008;45009;45010;45011},0,,6)</t>
  </si>
  <si>
    <t xml:space="preserve">_xlfn.FORECAST.ETS.STAT({11.85;10.7;7.22;6.7;5.55;3.6;0.8;-2.2;8.2;-3;-5.21;-9;-10},{45000;45001;45002;45003;45004;45005;45006;45007;45007;45008;45009;45010;45011},{8;1},0,,6)</t>
  </si>
  <si>
    <t xml:space="preserve">_xlfn.FORECAST.ETS.SEASONALITY({11.85;10.7;7.22;6.7;5.55;3.6;0.8;-2.2;8.2;-3;-5.21;-9;-10},{45000;45001;45002;45003;45004;45005;45006;45007;45007;45008;45009;45010;45011})</t>
  </si>
  <si>
    <t xml:space="preserve">_xlfn.FORECAST.ETS({192},{28;17;11;3.4;83.9;65.54;52.8;82;56;59;81;14.4;63.5;70;4.19;26.33;56.81;2.85;28.1;77.9;89;52.9;27;93},{3;10;17;24;31;38;45;52;59;66;73;80;87;94;101;108;115;122;129;136;143;150;157;164},1,,5)</t>
  </si>
  <si>
    <t xml:space="preserve">_xlfn.ORG.LIBREOFFICE.FORECAST.ETS.STAT.MULT({28;17;11;3.4;83.9;65.54;52.8;82;56;59;81;14.4;63.5;70;4.19;26.33;56.81;2.85;28.1;77.9;89;52.9;27;93},{3;10;17;24;31;38;45;52;59;66;73;80;87;94;101;108;115;122;129;136;143;150;157;164},{4;6;3;1;2;9;7;8;5},1,,5)</t>
  </si>
  <si>
    <t xml:space="preserve">_xlfn.FORECAST.ETS.SEASONALITY({28;17;11;3.4;83.9;65.54;52.8;82;56;59;81;14.4;63.5;70;4.19;26.33;56.81;2.85;28.1;77.9;89;52.9;27;93},{3;10;17;24;31;38;45;52;59;66;73;80;87;94;101;108;115;122;129;136;143;150;157;164},0)</t>
  </si>
  <si>
    <t xml:space="preserve">_xlfn.ORG.LIBREOFFICE.FORECAST.ETS.PI.MULT(185,{28;17;11;3.4;83.9;65.54;52.8;82;56;59;81;14.4;63.5;70;4.19;26.33;56.81;2.85;28.1;77.9;89;52.9;27;93},{3;10;17;24;31;38;45;52;59;66;73;80;87;94;101;108;115;122;129;136;143;150;157;164},0,0,0)</t>
  </si>
  <si>
    <t xml:space="preserve">_xlfn.ORG.LIBREOFFICE.FORECAST.ETS.MULT({45413;45413},{46;43;43.17;41;38.5;35.8;33.9;31.9;29.6;29.1;26.9;23;21;20;19.44},{44896;44927;44958;44986;45017;45047;45078;45108;45139;45170;45200;45231;45261;45292;45323},1,,7)</t>
  </si>
  <si>
    <t xml:space="preserve">_xlfn.ORG.LIBREOFFICE.FORECAST.ETS.STAT.MULT({46;43;43.17;41;38.5;35.8;33.9;31.9;29.6;29.1;26.9;23;21;20;19.44},{44896;44927;44958;44986;45017;45047;45078;45108;45139;45170;45200;45231;45261;45292;45323},{6;7;2;1;9;4;3;8;5},1,,7)</t>
  </si>
  <si>
    <t xml:space="preserve">_xlfn.FORECAST.ETS.SEASONALITY({46;43;43.17;41;38.5;35.8;33.9;31.9;29.6;29.1;26.9;23;21;20;19.44},{44896;44927;44958;44986;45017;45047;45078;45108;45139;45170;45200;45231;45261;45292;45323},1,6)</t>
  </si>
  <si>
    <t xml:space="preserve">_xlfn.FORECAST.ETS({129,122},{15;15.1;15;15.13;15.1;15.1;15.13;15.1;15.1;15.1;15.1;15.13;15.13;15;15;15.13},{66;31;45;24;73;94;52;101;10;108;87;38;80;59;3;17},1,1,2)</t>
  </si>
  <si>
    <t xml:space="preserve">_xlfn.FORECAST.ETS.STAT({15;15.1;15;15.13;15.1;15.1;15.13;15.1;15.1;15.1;15.1;15.13;15.13;15;15;15.13},{66;31;45;24;73;94;52;101;10;108;87;38;80;59;3;17},{3;6},1,1,2)</t>
  </si>
  <si>
    <t xml:space="preserve">_xlfn.FORECAST.ETS.SEASONALITY({15;15.1;15;15.13;15.1;15.1;15.13;15.1;15.1;15.1;15.1;15.13;15.13;15;15;15.13},{66;31;45;24;73;94;52;101;10;108;87;38;80;59;3;17},1)</t>
  </si>
  <si>
    <t xml:space="preserve">_xlfn.ORG.LIBREOFFICE.FORECAST.ETS.MULT({38,37},{43.7;37.61;46;50.46;46.4;43.01;47.68;52;47;56;60.2;58.7;53;57;62.57;58;68.46;70;67.3;62.53;67.08;74.42;68.7;77.6;79.83;78.3;74;77.6;83;78.04;86;89;89;83;87},{1;2;3;4;5;6;7;8;9;10;11;12;13;14;15;16;17;18;19;20;21;22;23;24;25;26;27;28;29;30;31;32;33;34;35},0,1)</t>
  </si>
  <si>
    <t xml:space="preserve">_xlfn.ORG.LIBREOFFICE.FORECAST.ETS.STAT.MULT({43.7;37.61;46;50.46;46.4;43.01;47.68;52;47;56;60.2;58.7;53;57;62.57;58;68.46;70;67.3;62.53;67.08;74.42;68.7;77.6;79.83;78.3;74;77.6;83;78.04;86;89;89;83;87},{1;2;3;4;5;6;7;8;9;10;11;12;13;14;15;16;17;18;19;20;21;22;23;24;25;26;27;28;29;30;31;32;33;34;35},{1;9;4;8;2;3;7;6;5},0,1)</t>
  </si>
  <si>
    <t xml:space="preserve">_xlfn.FORECAST.ETS.SEASONALITY({43.7;37.61;46;50.46;46.4;43.01;47.68;52;47;56;60.2;58.7;53;57;62.57;58;68.46;70;67.3;62.53;67.08;74.42;68.7;77.6;79.83;78.3;74;77.6;83;78.04;86;89;89;83;87},{1;2;3;4;5;6;7;8;9;10;11;12;13;14;15;16;17;18;19;20;21;22;23;24;25;26;27;28;29;30;31;32;33;34;35})</t>
  </si>
  <si>
    <t xml:space="preserve">_xlfn.ORG.LIBREOFFICE.FORECAST.ETS.MULT({22,22.5},{32;31.99;31.99;32;32;31.99;31.99;31.99;31.99;32;32;31.99;32;31.99;31.99;32;32;32;32;32},{1;2;3;4;5;6;7;8;9;10;12;13;14;15;16;17;18;19;20;21},1,,6)</t>
  </si>
  <si>
    <t xml:space="preserve">_xlfn.FORECAST.ETS.STAT({32;31.99;31.99;32;32;31.99;31.99;31.99;31.99;32;32;31.99;32;31.99;31.99;32;32;32;32;32},{1;2;3;4;5;6;7;8;9;10;12;13;14;15;16;17;18;19;20;21},{1;9},1,,6)</t>
  </si>
  <si>
    <t xml:space="preserve">_xlfn.FORECAST.ETS.SEASONALITY({32;31.99;31.99;32;32;31.99;31.99;31.99;31.99;32;32;31.99;32;31.99;31.99;32;32;32;32;32},{1;2;3;4;5;6;7;8;9;10;12;13;14;15;16;17;18;19;20;21})</t>
  </si>
  <si>
    <t xml:space="preserve">_xlfn.FORECAST.ETS({4.5;4.5},{18;39.1;24;27.3;31.5;39.1},{1;1;1.5;2;2.5;3},2,0,7)</t>
  </si>
  <si>
    <t xml:space="preserve">_xlfn.ORG.LIBREOFFICE.FORECAST.ETS.STAT.MULT({18;39.1;24;27.3;31.5;39.1},{1;1;1.5;2;2.5;3},{2},2,0,7)</t>
  </si>
  <si>
    <t xml:space="preserve">_xlfn.FORECAST.ETS.SEASONALITY({18;39.1;24;27.3;31.5;39.1},{1;1;1.5;2;2.5;3},1)</t>
  </si>
  <si>
    <t xml:space="preserve">_xlfn.FORECAST.ETS.CONFINT({3.5;4;4.5},{18;39.1;24;27.3;31.5;39.1},{1;1;1.5;2;2.5;3},0.5,0,1,3)</t>
  </si>
  <si>
    <t xml:space="preserve">_xlfn.ORG.LIBREOFFICE.FORECAST.ETS.MULT({143;163},{12;12.46;12.46;12;12.46;12;12;12.5;12.5;12;12.46;12.46;12;12},{3;13;23;33;43;53;63;73;83;93;103;113;123;133},0,,3)</t>
  </si>
  <si>
    <t xml:space="preserve">_xlfn.ORG.LIBREOFFICE.FORECAST.ETS.STAT.MULT({12;12.46;12.46;12;12.46;12;12;12.5;12.5;12;12.46;12.46;12;12},{3;13;23;33;43;53;63;73;83;93;103;113;123;133},{6;4},0,,3)</t>
  </si>
  <si>
    <t xml:space="preserve">_xlfn.FORECAST.ETS.SEASONALITY({12;12.46;12.46;12;12.46;12;12;12.5;12.5;12;12.46;12.46;12;12},{3;13;23;33;43;53;63;73;83;93;103;113;123;133},0)</t>
  </si>
  <si>
    <t xml:space="preserve">_xlfn.FORECAST.ETS.CONFINT({143;153;163},{12;12.46;12.46;12;12.46;12;12;12.5;12.5;12;12.46;12.46;12;12},{3;13;23;33;43;53;63;73;83;93;103;113;123;133},0.9,0,0)</t>
  </si>
  <si>
    <t xml:space="preserve">_xlfn.ORG.LIBREOFFICE.FORECAST.ETS.MULT({45010,45008.5},{66.5;63.2;19;33.64;1;66.35;27.1;63},{45003;45002;45006;45007;45005;45001;45004;45000},0,,1)</t>
  </si>
  <si>
    <t xml:space="preserve">_xlfn.ORG.LIBREOFFICE.FORECAST.ETS.STAT.MULT({66.5;63.2;19;33.64;1;66.35;27.1;63},{45003;45002;45006;45007;45005;45001;45004;45000},{1;2},0,,1)</t>
  </si>
  <si>
    <t xml:space="preserve">_xlfn.FORECAST.ETS.SEASONALITY({66.5;63.2;19;33.64;1;66.35;27.1;63},{45003;45002;45006;45007;45005;45001;45004;45000})</t>
  </si>
  <si>
    <t xml:space="preserve">_xlfn.FORECAST.ETS(53.75,{43;43.5;44.74;46.6;48;49;49.7;52.1;1.3;53;56;55.04;58.75;58;61.4;60.8;64.37},{3;10;17;24;31;38;45;52;52;59;66;73;80;87;94;101;108},0,0)</t>
  </si>
  <si>
    <t xml:space="preserve">_xlfn.FORECAST.ETS.STAT({43;43.5;44.74;46.6;48;49;49.7;52.1;1.3;53;56;55.04;58.75;58;61.4;60.8;64.37},{3;10;17;24;31;38;45;52;52;59;66;73;80;87;94;101;108},{2;1;5;8;3;4;9;6;7},0,0)</t>
  </si>
  <si>
    <t xml:space="preserve">_xlfn.FORECAST.ETS.SEASONALITY({43;43.5;44.74;46.6;48;49;49.7;52.1;1.3;53;56;55.04;58.75;58;61.4;60.8;64.37},{3;10;17;24;31;38;45;52;52;59;66;73;80;87;94;101;108},0)</t>
  </si>
  <si>
    <t xml:space="preserve">_xlfn.FORECAST.ETS({16.5,16},{9.07;13;14.7;23.82;20.4;26;30;32.9;48.2;35.8;43;47.3;53;69.78;52.68},{1;2;3;4;5;6;7;8;9;10;11;12;13;14;15},1)</t>
  </si>
  <si>
    <t xml:space="preserve">_xlfn.FORECAST.ETS.STAT({9.07;13;14.7;23.82;20.4;26;30;32.9;48.2;35.8;43;47.3;53;69.78;52.68},{1;2;3;4;5;6;7;8;9;10;11;12;13;14;15},{7;2},1)</t>
  </si>
  <si>
    <t xml:space="preserve">_xlfn.FORECAST.ETS.SEASONALITY({9.07;13;14.7;23.82;20.4;26;30;32.9;48.2;35.8;43;47.3;53;69.78;52.68},{1;2;3;4;5;6;7;8;9;10;11;12;13;14;15})</t>
  </si>
  <si>
    <t xml:space="preserve">_xlfn.ORG.LIBREOFFICE.FORECAST.ETS.MULT(4.5,{23.4;23.4;23.36;23.4;23},{1;2;3;4;5})</t>
  </si>
  <si>
    <t xml:space="preserve">_xlfn.FORECAST.ETS.STAT({23.4;23.4;23.36;23.4;23},{1;2;3;4;5},{8})</t>
  </si>
  <si>
    <t xml:space="preserve">_xlfn.FORECAST.ETS.SEASONALITY({23.4;23.4;23.36;23.4;23},{1;2;3;4;5})</t>
  </si>
  <si>
    <t xml:space="preserve">_xlfn.FORECAST.ETS({38,38,38},{47.12;49;47;49.4},{3;13;23;33},1,1)</t>
  </si>
  <si>
    <t xml:space="preserve">_xlfn.ORG.LIBREOFFICE.FORECAST.ETS.STAT.MULT({47.12;49;47;49.4},{3;13;23;33},{2},1,1)</t>
  </si>
  <si>
    <t xml:space="preserve">_xlfn.FORECAST.ETS.SEASONALITY({47.12;49;47;49.4},{3;13;23;33})</t>
  </si>
  <si>
    <t xml:space="preserve">_xlfn.ORG.LIBREOFFICE.FORECAST.ETS.MULT(44894,{46.09;38.76;54.7;48.25},{44742;44773;44804;44834},4)</t>
  </si>
  <si>
    <t xml:space="preserve">_xlfn.FORECAST.ETS.STAT({46.09;38.76;54.7;48.25},{44742;44773;44804;44834},{9},4)</t>
  </si>
  <si>
    <t xml:space="preserve">_xlfn.FORECAST.ETS.SEASONALITY({46.09;38.76;54.7;48.25},{44742;44773;44804;44834},0,3)</t>
  </si>
  <si>
    <t xml:space="preserve">_xlfn.FORECAST.ETS(10.5,{25;25.1;25.12;25.12;25.12;25.1;25.1;25;25.12;25.12;25.1;25.1;25;25.12;25.1;25.1},{1;1.5;2;2.5;3;3.5;4;4.5;5;5.5;6;6.5;7;7.5;8.5;9})</t>
  </si>
  <si>
    <t xml:space="preserve">_xlfn.ORG.LIBREOFFICE.FORECAST.ETS.STAT.MULT({25;25.1;25.12;25.12;25.12;25.1;25.1;25;25.12;25.12;25.1;25.1;25;25.12;25.1;25.1},{1;1.5;2;2.5;3;3.5;4;4.5;5;5.5;6;6.5;7;7.5;8.5;9},{6})</t>
  </si>
  <si>
    <t xml:space="preserve">_xlfn.FORECAST.ETS.SEASONALITY({25;25.1;25.12;25.12;25.12;25.1;25.1;25;25.12;25.12;25.1;25.1;25;25.12;25.1;25.1},{1;1.5;2;2.5;3;3.5;4;4.5;5;5.5;6;6.5;7;7.5;8.5;9})</t>
  </si>
  <si>
    <t xml:space="preserve">_xlfn.ORG.LIBREOFFICE.FORECAST.ETS.MULT({44788},{28.4;28;28.4;28.36;41.2;28.4},{44651;44681;44712;44742;44742;44773},7,0)</t>
  </si>
  <si>
    <t xml:space="preserve">_xlfn.FORECAST.ETS.STAT({28.4;28;28.4;28.36;41.2;28.4},{44651;44681;44712;44742;44742;44773},{4;2;6;9;3;7;5;8;1},7,0)</t>
  </si>
  <si>
    <t xml:space="preserve">_xlfn.FORECAST.ETS.SEASONALITY({28.4;28;28.4;28.36;41.2;28.4},{44651;44681;44712;44742;44742;44773},0)</t>
  </si>
  <si>
    <t xml:space="preserve">_xlfn.FORECAST.ETS({93},{39;41.49;45;50;54;60;63.1;65.7},{3;13;23;33;43;53;63;73},4,1,1)</t>
  </si>
  <si>
    <t xml:space="preserve">_xlfn.ORG.LIBREOFFICE.FORECAST.ETS.STAT.MULT({39;41.49;45;50;54;60;63.1;65.7},{3;13;23;33;43;53;63;73},{9},4,1,1)</t>
  </si>
  <si>
    <t xml:space="preserve">_xlfn.FORECAST.ETS.SEASONALITY({39;41.49;45;50;54;60;63.1;65.7},{3;13;23;33;43;53;63;73},0)</t>
  </si>
  <si>
    <t xml:space="preserve">_xlfn.ORG.LIBREOFFICE.FORECAST.ETS.MULT(23.5,{48.22;50;56.36;62;63.16;67.7;71.5;75.84;82;84.6;89.28;93;98.3;101.6;105.5;110.2;113.5;120;122.4;127.9;132.8;137},{1;2;3;4;5;6;7;8;9;10;11;12;13;14;15;16;17;18;19;20;21;22})</t>
  </si>
  <si>
    <t xml:space="preserve">_xlfn.ORG.LIBREOFFICE.FORECAST.ETS.STAT.MULT({48.22;50;56.36;62;63.16;67.7;71.5;75.84;82;84.6;89.28;93;98.3;101.6;105.5;110.2;113.5;120;122.4;127.9;132.8;137},{1;2;3;4;5;6;7;8;9;10;11;12;13;14;15;16;17;18;19;20;21;22},{3})</t>
  </si>
  <si>
    <t xml:space="preserve">_xlfn.FORECAST.ETS.SEASONALITY({48.22;50;56.36;62;63.16;67.7;71.5;75.84;82;84.6;89.28;93;98.3;101.6;105.5;110.2;113.5;120;122.4;127.9;132.8;137},{1;2;3;4;5;6;7;8;9;10;11;12;13;14;15;16;17;18;19;20;21;22})</t>
  </si>
  <si>
    <t xml:space="preserve">_xlfn.ORG.LIBREOFFICE.FORECAST.ETS.MULT({223,213,223},{40.66;40.66;41;41;40.7;41;40.7;40.66;41;41;40.7;40.7;41;40.7;40.66;41;40.66;40.7;40.7},{3;13;23;33;43;53;63;73;83;93;103;113;123;133;143;153;163;173;183},0,0)</t>
  </si>
  <si>
    <t xml:space="preserve">_xlfn.FORECAST.ETS.STAT({40.66;40.66;41;41;40.7;41;40.7;40.66;41;41;40.7;40.7;41;40.7;40.66;41;40.66;40.7;40.7},{3;13;23;33;43;53;63;73;83;93;103;113;123;133;143;153;163;173;183},{5;4;8;2;7;6;3;9;1},0,0)</t>
  </si>
  <si>
    <t xml:space="preserve">_xlfn.FORECAST.ETS.SEASONALITY({40.66;40.66;41;41;40.7;41;40.7;40.66;41;41;40.7;40.7;41;40.7;40.66;41;40.66;40.7;40.7},{3;13;23;33;43;53;63;73;83;93;103;113;123;133;143;153;163;173;183})</t>
  </si>
  <si>
    <t xml:space="preserve">_xlfn.FORECAST.ETS({45152;45152;45182},{6.7;5;3;4;4.1;0.9;1.8;0.1;-1.31;-1.9;-4.22;-4;-3.52;-7.12;-7.9},{44696;44727;44757;44788;44819;44849;44880;44910;44941;44972;45000;45031;45061;45092;45122},1,,4)</t>
  </si>
  <si>
    <t xml:space="preserve">_xlfn.FORECAST.ETS.STAT({6.7;5;3;4;4.1;0.9;1.8;0.1;-1.31;-1.9;-4.22;-4;-3.52;-7.12;-7.9},{44696;44727;44757;44788;44819;44849;44880;44910;44941;44972;45000;45031;45061;45092;45122},{6;2},1,,4)</t>
  </si>
  <si>
    <t xml:space="preserve">_xlfn.FORECAST.ETS.SEASONALITY({6.7;5;3;4;4.1;0.9;1.8;0.1;-1.31;-1.9;-4.22;-4;-3.52;-7.12;-7.9},{44696;44727;44757;44788;44819;44849;44880;44910;44941;44972;45000;45031;45061;45092;45122})</t>
  </si>
  <si>
    <t xml:space="preserve">_xlfn.ORG.LIBREOFFICE.FORECAST.ETS.MULT({4.5;3.75},{11.55;16.9;12.1;11.19;11;8.5},{1;1.5;2;2.5;3;3.5},4)</t>
  </si>
  <si>
    <t xml:space="preserve">_xlfn.ORG.LIBREOFFICE.FORECAST.ETS.STAT.MULT({11.55;16.9;12.1;11.19;11;8.5},{1;1.5;2;2.5;3;3.5},{1},4)</t>
  </si>
  <si>
    <t xml:space="preserve">_xlfn.FORECAST.ETS.SEASONALITY({11.55;16.9;12.1;11.19;11;8.5},{1;1.5;2;2.5;3;3.5},1,6)</t>
  </si>
  <si>
    <t xml:space="preserve">_xlfn.FORECAST.ETS.CONFINT(4,{11.55;16.9;12.1;11.19;11;8.5},{1;1.5;2;2.5;3;3.5},,0)</t>
  </si>
  <si>
    <t xml:space="preserve">_xlfn.FORECAST.ETS({9.25;9.25;10},{41.5;42.64;40.6;42;42;42.2;42.85;44.08;43.4;43;44.1;44;43;44;43;43.1},{1;1.5;2;2.5;3;3.5;4;4.5;5;5.5;6;6.5;7;7.5;8;8.5},7,0)</t>
  </si>
  <si>
    <t xml:space="preserve">_xlfn.ORG.LIBREOFFICE.FORECAST.ETS.STAT.MULT({41.5;42.64;40.6;42;42;42.2;42.85;44.08;43.4;43;44.1;44;43;44;43;43.1},{1;1.5;2;2.5;3;3.5;4;4.5;5;5.5;6;6.5;7;7.5;8;8.5},{7;3;5;6;9;4;8;1;2},7,0)</t>
  </si>
  <si>
    <t xml:space="preserve">_xlfn.FORECAST.ETS.SEASONALITY({41.5;42.64;40.6;42;42;42.2;42.85;44.08;43.4;43;44.1;44;43;44;43;43.1},{1;1.5;2;2.5;3;3.5;4;4.5;5;5.5;6;6.5;7;7.5;8;8.5},1)</t>
  </si>
  <si>
    <t xml:space="preserve">_xlfn.FORECAST.ETS.CONFINT(9,{41.5;42.64;40.6;42;42;42.2;42.85;44.08;43.4;43;44.1;44;43;44;43;43.1},{1;1.5;2;2.5;3;3.5;4;4.5;5;5.5;6;6.5;7;7.5;8;8.5},0,0,1)</t>
  </si>
  <si>
    <t xml:space="preserve">_xlfn.FORECAST.ETS({45018.5},{24.9;25;24.9;24.87;24.87;24.87;24.9;25;24.87;24.9;24.9;24.9;24.9;24.9;24.9;24.9;25;24.87},{45000;45001;45002;45003;45004;45005;45006;45007;45008;45009;45010;45011;45012;45013;45014;45015;45016;45017},1)</t>
  </si>
  <si>
    <t xml:space="preserve">_xlfn.ORG.LIBREOFFICE.FORECAST.ETS.STAT.MULT({24.9;25;24.9;24.87;24.87;24.87;24.9;25;24.87;24.9;24.9;24.9;24.9;24.9;24.9;24.9;25;24.87},{45000;45001;45002;45003;45004;45005;45006;45007;45008;45009;45010;45011;45012;45013;45014;45015;45016;45017},{5;3},1)</t>
  </si>
  <si>
    <t xml:space="preserve">_xlfn.FORECAST.ETS.SEASONALITY({24.9;25;24.9;24.87;24.87;24.87;24.9;25;24.87;24.9;24.9;24.9;24.9;24.9;24.9;24.9;25;24.87},{45000;45001;45002;45003;45004;45005;45006;45007;45008;45009;45010;45011;45012;45013;45014;45015;45016;45017},1,6)</t>
  </si>
  <si>
    <t xml:space="preserve">_xlfn.ORG.LIBREOFFICE.FORECAST.ETS.MULT({23;21;22},{26;19.22;26.47;26.6;31.96;23.53;35.24;41.63;31;43.4},{3;5;7;7;9;11;13;15;17;19},1,0)</t>
  </si>
  <si>
    <t xml:space="preserve">_xlfn.FORECAST.ETS.STAT({26;19.22;26.47;26.6;31.96;23.53;35.24;41.63;31;43.4},{3;5;7;7;9;11;13;15;17;19},{3;2;6;1;4;8;7;9;5},1,0)</t>
  </si>
  <si>
    <t xml:space="preserve">_xlfn.FORECAST.ETS.SEASONALITY({26;19.22;26.47;26.6;31.96;23.53;35.24;41.63;31;43.4},{3;5;7;7;9;11;13;15;17;19},0,6)</t>
  </si>
  <si>
    <t xml:space="preserve">_xlfn.FORECAST.ETS({157},{13;15;19;29;24.8;29.24;27.6;33.6;33.7;39.09;46;40.42;48.06;43;50;50;56.78;63.8;59;64.74;60.72},{3;10;17;24;31;38;45;52;59;66;73;80;87;94;101;108;115;122;129;136;143},1,0,1)</t>
  </si>
  <si>
    <t xml:space="preserve">_xlfn.ORG.LIBREOFFICE.FORECAST.ETS.STAT.MULT({13;15;19;29;24.8;29.24;27.6;33.6;33.7;39.09;46;40.42;48.06;43;50;50;56.78;63.8;59;64.74;60.72},{3;10;17;24;31;38;45;52;59;66;73;80;87;94;101;108;115;122;129;136;143},{6;4},1,0,1)</t>
  </si>
  <si>
    <t xml:space="preserve">_xlfn.FORECAST.ETS.SEASONALITY({13;15;19;29;24.8;29.24;27.6;33.6;33.7;39.09;46;40.42;48.06;43;50;50;56.78;63.8;59;64.74;60.72},{3;10;17;24;31;38;45;52;59;66;73;80;87;94;101;108;115;122;129;136;143},1)</t>
  </si>
  <si>
    <t xml:space="preserve">_xlfn.FORECAST.ETS(44659.5,{29;15;41.5;25;17.8;47.2;18.4;35.3;43;21;44.6;38;27;31.9},{44835;44652;44958;44774;44682;45047;44713;44896;44986;44743;45017;44927;44805;44866},7,1,7)</t>
  </si>
  <si>
    <t xml:space="preserve">_xlfn.ORG.LIBREOFFICE.FORECAST.ETS.STAT.MULT({29;15;41.5;25;17.8;47.2;18.4;35.3;43;21;44.6;38;27;31.9},{44835;44652;44958;44774;44682;45047;44713;44896;44986;44743;45017;44927;44805;44866},{7;2},7,1,7)</t>
  </si>
  <si>
    <t xml:space="preserve">_xlfn.FORECAST.ETS.SEASONALITY({29;15;41.5;25;17.8;47.2;18.4;35.3;43;21;44.6;38;27;31.9},{44835;44652;44958;44774;44682;45047;44713;44896;44986;44743;45017;44927;44805;44866},0)</t>
  </si>
  <si>
    <t xml:space="preserve">_xlfn.FORECAST.ETS({16,21},{15.8;81;74.5;62.1;3.65;83.79},{3;5;7;9;11;13},1,1)</t>
  </si>
  <si>
    <t xml:space="preserve">_xlfn.FORECAST.ETS.STAT({15.8;81;74.5;62.1;3.65;83.79},{3;5;7;9;11;13},{6;5;9;7;2;3;4;8;1},1,1)</t>
  </si>
  <si>
    <t xml:space="preserve">_xlfn.FORECAST.ETS.SEASONALITY({15.8;81;74.5;62.1;3.65;83.79},{3;5;7;9;11;13})</t>
  </si>
  <si>
    <t xml:space="preserve">_xlfn.ORG.LIBREOFFICE.FORECAST.ETS.MULT({6.75;7.25},{6;4;2;0.63;-1;-2;-2.39;-6;-7.3;-8;-8.65;-12},{1;1.5;2;2.5;3;3.5;4;4.5;5;5.5;6;6.5},1,0)</t>
  </si>
  <si>
    <t xml:space="preserve">_xlfn.FORECAST.ETS.STAT({6;4;2;0.63;-1;-2;-2.39;-6;-7.3;-8;-8.65;-12},{1;1.5;2;2.5;3;3.5;4;4.5;5;5.5;6;6.5},{2;7},1,0)</t>
  </si>
  <si>
    <t xml:space="preserve">_xlfn.FORECAST.ETS.SEASONALITY({6;4;2;0.63;-1;-2;-2.39;-6;-7.3;-8;-8.65;-12},{1;1.5;2;2.5;3;3.5;4;4.5;5;5.5;6;6.5})</t>
  </si>
  <si>
    <t xml:space="preserve">_xlfn.ORG.LIBREOFFICE.FORECAST.ETS.PI.MULT({7;7.5;8},{6;4;2;0.63;-1;-2;-2.39;-6;-7.3;-8;-8.65;-12},{1;1.5;2;2.5;3;3.5;4;4.5;5;5.5;6;6.5},0.99,0,1,6)</t>
  </si>
  <si>
    <t xml:space="preserve">_xlfn.ORG.LIBREOFFICE.FORECAST.ETS.MULT(21,{13.32;13.32;13.32;13.3;13.3;13;13.3;13.32;13.3;13.3;13.3;13.3;13.3;13.3;13.3;13.3;13.3;13},{1;2;3;4;5;6;7;8;9;10;12;13;14;15;16;17;18;19},0,,3)</t>
  </si>
  <si>
    <t xml:space="preserve">_xlfn.ORG.LIBREOFFICE.FORECAST.ETS.STAT.MULT({13.32;13.32;13.32;13.3;13.3;13;13.3;13.32;13.3;13.3;13.3;13.3;13.3;13.3;13.3;13.3;13.3;13},{1;2;3;4;5;6;7;8;9;10;12;13;14;15;16;17;18;19},{7},0,,3)</t>
  </si>
  <si>
    <t xml:space="preserve">_xlfn.FORECAST.ETS.SEASONALITY({13.32;13.32;13.32;13.3;13.3;13;13.3;13.32;13.3;13.3;13.3;13.3;13.3;13.3;13.3;13.3;13.3;13},{1;2;3;4;5;6;7;8;9;10;12;13;14;15;16;17;18;19},1)</t>
  </si>
  <si>
    <t xml:space="preserve">_xlfn.FORECAST.ETS({45021,45021,45020.5},{26;34;31.2;29.62;31.63;31.35;38;35.2;35;37.9;37.3;45;40.3;40.02;43.7;41;51.46;47.51;46;49.37},{45000;45001;45002;45003;45004;45005;45006;45007;45008;45009;45010;45011;45012;45013;45014;45015;45016;45017;45018;45019},1,0,1)</t>
  </si>
  <si>
    <t xml:space="preserve">_xlfn.ORG.LIBREOFFICE.FORECAST.ETS.STAT.MULT({26;34;31.2;29.62;31.63;31.35;38;35.2;35;37.9;37.3;45;40.3;40.02;43.7;41;51.46;47.51;46;49.37},{45000;45001;45002;45003;45004;45005;45006;45007;45008;45009;45010;45011;45012;45013;45014;45015;45016;45017;45018;45019},{8},1,0,1)</t>
  </si>
  <si>
    <t xml:space="preserve">_xlfn.FORECAST.ETS.SEASONALITY({26;34;31.2;29.62;31.63;31.35;38;35.2;35;37.9;37.3;45;40.3;40.02;43.7;41;51.46;47.51;46;49.37},{45000;45001;45002;45003;45004;45005;45006;45007;45008;45009;45010;45011;45012;45013;45014;45015;45016;45017;45018;45019})</t>
  </si>
  <si>
    <t xml:space="preserve">_xlfn.FORECAST.ETS({9.5,9,8.5},{36.3;34.9;26.2;36.6;37.8;28;28.3;43.44},{4;6;2;5;7;3;1;8},4,1,2)</t>
  </si>
  <si>
    <t xml:space="preserve">_xlfn.FORECAST.ETS.STAT({36.3;34.9;26.2;36.6;37.8;28;28.3;43.44},{4;6;2;5;7;3;1;8},{7;6},4,1,2)</t>
  </si>
  <si>
    <t xml:space="preserve">_xlfn.FORECAST.ETS.SEASONALITY({36.3;34.9;26.2;36.6;37.8;28;28.3;43.44},{4;6;2;5;7;3;1;8},1,6)</t>
  </si>
  <si>
    <t xml:space="preserve">_xlfn.ORG.LIBREOFFICE.FORECAST.ETS.PI.MULT({9;10;11},{36.3;34.9;26.2;36.6;37.8;28;28.3;43.44},{4;6;2;5;7;3;1;8},0.95,0)</t>
  </si>
  <si>
    <t xml:space="preserve">_xlfn.FORECAST.ETS(45004,{12;10;9.27;7.17;3.6;4;2;0.83;-2.7},{45000;45001;45002;45003;45004;45005;45006;45007;45008},3,,3)</t>
  </si>
  <si>
    <t xml:space="preserve">_xlfn.FORECAST.ETS.STAT({12;10;9.27;7.17;3.6;4;2;0.83;-2.7},{45000;45001;45002;45003;45004;45005;45006;45007;45008},{6},3,,3)</t>
  </si>
  <si>
    <t xml:space="preserve">_xlfn.FORECAST.ETS.SEASONALITY({12;10;9.27;7.17;3.6;4;2;0.83;-2.7},{45000;45001;45002;45003;45004;45005;45006;45007;45008},1,3)</t>
  </si>
  <si>
    <t xml:space="preserve">_xlfn.FORECAST.ETS(9,{-5.88;3.5;8.3;5.9;10.4;-2;-3.9;-0.11;3.63},{9;4;2;3;1;7;8;6;5},3)</t>
  </si>
  <si>
    <t xml:space="preserve">_xlfn.FORECAST.ETS.STAT({-5.88;3.5;8.3;5.9;10.4;-2;-3.9;-0.11;3.63},{9;4;2;3;1;7;8;6;5},{9;1;8;7;6;2;5;3;4},3)</t>
  </si>
  <si>
    <t xml:space="preserve">_xlfn.FORECAST.ETS.SEASONALITY({-5.88;3.5;8.3;5.9;10.4;-2;-3.9;-0.11;3.63},{9;4;2;3;1;7;8;6;5})</t>
  </si>
  <si>
    <t xml:space="preserve">_xlfn.ORG.LIBREOFFICE.FORECAST.ETS.PI.MULT(11,{-5.88;3.5;8.3;5.9;10.4;-2;-3.9;-0.11;3.63},{9;4;2;3;1;7;8;6;5},0.5,0,1,7)</t>
  </si>
  <si>
    <t xml:space="preserve">_xlfn.ORG.LIBREOFFICE.FORECAST.ETS.MULT(17,{40;40;40.4;40.38;40;40;40.4;40.38;40.4;40;40;40.4;40;40.4;40;40.38;40;40;40.38},{1;2;3;4;5;6;7;8;9;10;11;12;13;14;15;16;17;18;19},4,0,7)</t>
  </si>
  <si>
    <t xml:space="preserve">_xlfn.ORG.LIBREOFFICE.FORECAST.ETS.STAT.MULT({40;40;40.4;40.38;40;40;40.4;40.38;40.4;40;40;40.4;40;40.4;40;40.38;40;40;40.38},{1;2;3;4;5;6;7;8;9;10;11;12;13;14;15;16;17;18;19},{5},4,0,7)</t>
  </si>
  <si>
    <t xml:space="preserve">_xlfn.FORECAST.ETS.SEASONALITY({40;40;40.4;40.38;40;40;40.4;40.38;40.4;40;40;40.4;40;40.4;40;40.38;40;40;40.38},{1;2;3;4;5;6;7;8;9;10;11;12;13;14;15;16;17;18;19},1)</t>
  </si>
  <si>
    <t xml:space="preserve">_xlfn.ORG.LIBREOFFICE.FORECAST.ETS.MULT({45303,45333,45348},{32.6;36;35;36.9;38;40;40;41;43.4;45;44;46.3;48.14;49;50.71;51;52;52;52.8;53.9;56.86;56.7;59.4;58.7},{44589;44620;44648;44679;44709;44740;44770;44801;44832;44862;44893;44923;44954;44985;45013;45044;45074;45105;45135;45166;45197;45227;45258;45288},1,0,6)</t>
  </si>
  <si>
    <t xml:space="preserve">_xlfn.ORG.LIBREOFFICE.FORECAST.ETS.STAT.MULT({32.6;36;35;36.9;38;40;40;41;43.4;45;44;46.3;48.14;49;50.71;51;52;52;52.8;53.9;56.86;56.7;59.4;58.7},{44589;44620;44648;44679;44709;44740;44770;44801;44832;44862;44893;44923;44954;44985;45013;45044;45074;45105;45135;45166;45197;45227;45258;45288},{4;6;8;7;5;3;1;2;9},1,0,6)</t>
  </si>
  <si>
    <t xml:space="preserve">_xlfn.FORECAST.ETS.SEASONALITY({32.6;36;35;36.9;38;40;40;41;43.4;45;44;46.3;48.14;49;50.71;51;52;52;52.8;53.9;56.86;56.7;59.4;58.7},{44589;44620;44648;44679;44709;44740;44770;44801;44832;44862;44893;44923;44954;44985;45013;45044;45074;45105;45135;45166;45197;45227;45258;45288})</t>
  </si>
  <si>
    <t xml:space="preserve">_xlfn.FORECAST.ETS({20},{19;19;18.72;18.7;18.7;19;18.7;18.7;18.72;18.7;18.72;18.72;19;27.7;18.7;18.7;18.7;18.7},{1;2;3;4;5;6;7;8;9;10;11;12;13;13;14;15;16;17},1,,6)</t>
  </si>
  <si>
    <t xml:space="preserve">_xlfn.FORECAST.ETS.STAT({19;19;18.72;18.7;18.7;19;18.7;18.7;18.72;18.7;18.72;18.72;19;27.7;18.7;18.7;18.7;18.7},{1;2;3;4;5;6;7;8;9;10;11;12;13;13;14;15;16;17},{2},1,,6)</t>
  </si>
  <si>
    <t xml:space="preserve">_xlfn.FORECAST.ETS.SEASONALITY({19;19;18.72;18.7;18.7;19;18.7;18.7;18.72;18.7;18.72;18.72;19;27.7;18.7;18.7;18.7;18.7},{1;2;3;4;5;6;7;8;9;10;11;12;13;13;14;15;16;17})</t>
  </si>
  <si>
    <t xml:space="preserve">_xlfn.FORECAST.ETS({43,43},{40.2;30;39;29.66;39.4;29.53;42;30.48},{3;8;13;18;23;28;33;38})</t>
  </si>
  <si>
    <t xml:space="preserve">_xlfn.ORG.LIBREOFFICE.FORECAST.ETS.STAT.MULT({40.2;30;39;29.66;39.4;29.53;42;30.48},{3;8;13;18;23;28;33;38},{7})</t>
  </si>
  <si>
    <t xml:space="preserve">_xlfn.FORECAST.ETS.SEASONALITY({40.2;30;39;29.66;39.4;29.53;42;30.48},{3;8;13;18;23;28;33;38},1)</t>
  </si>
  <si>
    <t xml:space="preserve">_xlfn.FORECAST.ETS({44834,44789},{70;11;49.3;32.68;47.8;44.2},{44621;44652;44682;44713;44743;44774},4)</t>
  </si>
  <si>
    <t xml:space="preserve">_xlfn.ORG.LIBREOFFICE.FORECAST.ETS.STAT.MULT({70;11;49.3;32.68;47.8;44.2},{44621;44652;44682;44713;44743;44774},{3},4)</t>
  </si>
  <si>
    <t xml:space="preserve">_xlfn.FORECAST.ETS.SEASONALITY({70;11;49.3;32.68;47.8;44.2},{44621;44652;44682;44713;44743;44774})</t>
  </si>
  <si>
    <t xml:space="preserve">_xlfn.FORECAST.ETS({15,16},{94;80;2;68;44;82.34;90;39.4;39.8;15.3;41;3},{1;2;3;4;5;6;7;8;9;10;11;12})</t>
  </si>
  <si>
    <t xml:space="preserve">_xlfn.FORECAST.ETS.STAT({94;80;2;68;44;82.34;90;39.4;39.8;15.3;41;3},{1;2;3;4;5;6;7;8;9;10;11;12},{4;1;3;2;7;8;6;9;5})</t>
  </si>
  <si>
    <t xml:space="preserve">_xlfn.FORECAST.ETS.SEASONALITY({94;80;2;68;44;82.34;90;39.4;39.8;15.3;41;3},{1;2;3;4;5;6;7;8;9;10;11;12})</t>
  </si>
  <si>
    <t xml:space="preserve">_xlfn.ORG.LIBREOFFICE.FORECAST.ETS.MULT({45610},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1,1,4)</t>
  </si>
  <si>
    <t xml:space="preserve">_xlfn.FORECAST.ETS.STAT(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{3;9},1,1,4)</t>
  </si>
  <si>
    <t xml:space="preserve">_xlfn.FORECAST.ETS.SEASONALITY(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0)</t>
  </si>
  <si>
    <t xml:space="preserve">_xlfn.FORECAST.ETS({183,183,183},{4.3;4.7;2.8;0.31;-4;-3.3;-7.35;-8.2;-9.5;-11.8;-12.64;-17;-18;-19.9;-22.5;-27;-27.3},{3;13;23;33;43;53;63;73;83;93;103;113;123;133;143;163;173},1,1,7)</t>
  </si>
  <si>
    <t xml:space="preserve">_xlfn.FORECAST.ETS.STAT({4.3;4.7;2.8;0.31;-4;-3.3;-7.35;-8.2;-9.5;-11.8;-12.64;-17;-18;-19.9;-22.5;-27;-27.3},{3;13;23;33;43;53;63;73;83;93;103;113;123;133;143;163;173},{1},1,1,7)</t>
  </si>
  <si>
    <t xml:space="preserve">_xlfn.FORECAST.ETS.SEASONALITY({4.3;4.7;2.8;0.31;-4;-3.3;-7.35;-8.2;-9.5;-11.8;-12.64;-17;-18;-19.9;-22.5;-27;-27.3},{3;13;23;33;43;53;63;73;83;93;103;113;123;133;143;163;173},1,2)</t>
  </si>
  <si>
    <t xml:space="preserve">_xlfn.FORECAST.ETS.CONFINT({183;193;203},{4.3;4.7;2.8;0.31;-4;-3.3;-7.35;-8.2;-9.5;-11.8;-12.64;-17;-18;-19.9;-22.5;-27;-27.3},{3;13;23;33;43;53;63;73;83;93;103;113;123;133;143;163;173},1,0)</t>
  </si>
  <si>
    <t xml:space="preserve">_xlfn.FORECAST.ETS(5.5,{30.71;18;22.82;26.67;41.6;48.4;68;71.91;37;47;49.72;76.6;82.9;110.3;114.37;58.43;74;73.6;109.6;115;153;157.86;81.3;98.7;98.02;143.16;150;197.1},{3;13;23;33;43;53;63;73;83;93;103;113;123;133;143;153;163;173;183;193;203;213;223;233;243;253;263;273},4)</t>
  </si>
  <si>
    <t xml:space="preserve">_xlfn.ORG.LIBREOFFICE.FORECAST.ETS.STAT.MULT({30.71;18;22.82;26.67;41.6;48.4;68;71.91;37;47;49.72;76.6;82.9;110.3;114.37;58.43;74;73.6;109.6;115;153;157.86;81.3;98.7;98.02;143.16;150;197.1},{3;13;23;33;43;53;63;73;83;93;103;113;123;133;143;153;163;173;183;193;203;213;223;233;243;253;263;273},{1;6;5;7;3;4;2;9;8},4)</t>
  </si>
  <si>
    <t xml:space="preserve">_xlfn.FORECAST.ETS.SEASONALITY({30.71;18;22.82;26.67;41.6;48.4;68;71.91;37;47;49.72;76.6;82.9;110.3;114.37;58.43;74;73.6;109.6;115;153;157.86;81.3;98.7;98.02;143.16;150;197.1},{3;13;23;33;43;53;63;73;83;93;103;113;123;133;143;153;163;173;183;193;203;213;223;233;243;253;263;273})</t>
  </si>
  <si>
    <t xml:space="preserve">_xlfn.FORECAST.ETS(44659.5,{31.96;42.34;33.1;31.46;55.16;28.1;29;31;31.23;47;47;58.1;53;32;45.07;57.73;43.89;35;30.88;37;40.9;47.4;44;33},{44652;45108;45078;45047;44986;45231;45200;45017;44682;44743;44593;44805;45170;44835;44774;44621;44958;44896;44866;44713;45139;44562;44927;45261},6,0)</t>
  </si>
  <si>
    <t xml:space="preserve">_xlfn.ORG.LIBREOFFICE.FORECAST.ETS.STAT.MULT({31.96;42.34;33.1;31.46;55.16;28.1;29;31;31.23;47;47;58.1;53;32;45.07;57.73;43.89;35;30.88;37;40.9;47.4;44;33},{44652;45108;45078;45047;44986;45231;45200;45017;44682;44743;44593;44805;45170;44835;44774;44621;44958;44896;44866;44713;45139;44562;44927;45261},{6;9;7;3;2;8;5;1;4},6,0)</t>
  </si>
  <si>
    <t xml:space="preserve">_xlfn.FORECAST.ETS.SEASONALITY({31.96;42.34;33.1;31.46;55.16;28.1;29;31;31.23;47;47;58.1;53;32;45.07;57.73;43.89;35;30.88;37;40.9;47.4;44;33},{44652;45108;45078;45047;44986;45231;45200;45017;44682;44743;44593;44805;45170;44835;44774;44621;44958;44896;44866;44713;45139;44562;44927;45261})</t>
  </si>
  <si>
    <t xml:space="preserve">_xlfn.ORG.LIBREOFFICE.FORECAST.ETS.MULT({45244;45319},{66;72.4;2.73;54.6;50.8;3.7;20;13;36.9;19.6;21;29;42.9;12;69;1.78;87.2},{44712;44742;44773;44804;44834;44865;44895;44926;44957;44985;45016;45046;45077;45107;45138;45169;45199},7,1,6)</t>
  </si>
  <si>
    <t xml:space="preserve">_xlfn.ORG.LIBREOFFICE.FORECAST.ETS.STAT.MULT({66;72.4;2.73;54.6;50.8;3.7;20;13;36.9;19.6;21;29;42.9;12;69;1.78;87.2},{44712;44742;44773;44804;44834;44865;44895;44926;44957;44985;45016;45046;45077;45107;45138;45169;45199},{5},7,1,6)</t>
  </si>
  <si>
    <t xml:space="preserve">_xlfn.FORECAST.ETS.SEASONALITY({66;72.4;2.73;54.6;50.8;3.7;20;13;36.9;19.6;21;29;42.9;12;69;1.78;87.2},{44712;44742;44773;44804;44834;44865;44895;44926;44957;44985;45016;45046;45077;45107;45138;45169;45199},1,7)</t>
  </si>
  <si>
    <t xml:space="preserve">_xlfn.FORECAST.ETS(9,Data!A1:A8,Data!A1:A8)</t>
  </si>
  <si>
    <t xml:space="preserve">_xlfn.FORECAST.ETS.SEASONALITY(Data!A1:A8,Data!A1:A8)</t>
  </si>
  <si>
    <t xml:space="preserve">_xlfn.FORECAST.ETS(9,{1;2},{1;2})</t>
  </si>
  <si>
    <t xml:space="preserve">_xlfn.FORECAST.ETS(3,{1},{1})</t>
  </si>
  <si>
    <t xml:space="preserve">_xlfn.FORECAST.ETS(3,{1;2;3},{1;2})</t>
  </si>
  <si>
    <t xml:space="preserve">_xlfn.FORECAST.ETS(3,{1;"a";3},{1;2;3})</t>
  </si>
  <si>
    <t xml:space="preserve">_xlfn.FORECAST.ETS(0,{1;2;3;4},{1;2;3;4})</t>
  </si>
  <si>
    <t xml:space="preserve">_xlfn.FORECAST.ETS(1,{1;2;3;4},{1;2;3;4})</t>
  </si>
  <si>
    <t xml:space="preserve">_xlfn.FORECAST.ETS(2.5,{1;2;3;4},{1;2;3;4})</t>
  </si>
  <si>
    <t xml:space="preserve">_xlfn.FORECAST.ETS(7,{1;2;3;4},{1;2;3;4},-1)</t>
  </si>
  <si>
    <t xml:space="preserve">_xlfn.FORECAST.ETS(7,{1;2;3;4},{1;2;3;4},1.5)</t>
  </si>
  <si>
    <t xml:space="preserve">_xlfn.FORECAST.ETS(7,{1;2;3;4},{1;2;3;4},1,2)</t>
  </si>
  <si>
    <t xml:space="preserve">_xlfn.FORECAST.ETS(7,{1;2;3;4},{1;2;3;4},1,1,0)</t>
  </si>
  <si>
    <t xml:space="preserve">_xlfn.FORECAST.ETS(7,{1;2;3;4},{1;2;3;4},1,1,8)</t>
  </si>
  <si>
    <t xml:space="preserve">_xlfn.FORECAST.ETS(7,{1;2;3;4},{1;2;3;#DIV/0!},1,1,8)</t>
  </si>
  <si>
    <t xml:space="preserve">_xlfn.FORECAST.ETS(7,{1;2;3;4},{1;2;3;4},1/0)</t>
  </si>
  <si>
    <t xml:space="preserve">_xlfn.FORECAST.ETS(7,{1;2;3;4},{1;2;4;8})</t>
  </si>
  <si>
    <t xml:space="preserve">_xlfn.FORECAST.ETS(7,{1;2;3;4},{1;3;5;8})</t>
  </si>
  <si>
    <t xml:space="preserve">_xlfn.FORECAST.ETS(7,{1;1;3;4},{1;1;2;3},1,1,0)</t>
  </si>
  <si>
    <t xml:space="preserve">_xlfn.FORECAST.ETS.SEASONALITY({1;2;3},{1;2;3})</t>
  </si>
  <si>
    <t xml:space="preserve">_xlfn.FORECAST.ETS.STAT({1;2;3;4},{1;2;3;4},0)</t>
  </si>
  <si>
    <t xml:space="preserve">_xlfn.FORECAST.ETS.STAT({1;2;3;4},{1;2;3;4},10)</t>
  </si>
  <si>
    <t xml:space="preserve">_xlfn.FORECAST.ETS.STAT({1;2;3;4},{1;2;3;4},9.9)</t>
  </si>
  <si>
    <t xml:space="preserve">_xlfn.FORECAST.ETS.STAT({1;2;3;4},{1;2;3;4},{1,2;3,4})</t>
  </si>
  <si>
    <t xml:space="preserve">_xlfn.FORECAST.ETS.CONFINT(7,{1;2;3;5},{1;2;3;4},0.95,0)</t>
  </si>
  <si>
    <t xml:space="preserve">_xlfn.FORECAST.ETS.CONFINT(7,{1;2;3;5},{1;2;3;4},1.1,0)</t>
  </si>
  <si>
    <t xml:space="preserve">_xlfn.FORECAST.ETS.CONFINT(7,{1;2;3;5},{1;2;3;4},-0.1,0)</t>
  </si>
  <si>
    <t xml:space="preserve">_xlfn.FORECAST.ETS.CONFINT(3,{1;2;3;5},{1;2;3;4},0.95,0)</t>
  </si>
  <si>
    <t xml:space="preserve">_xlfn.FORECAST.ETS.CONFINT(4,{1;2;3;5},{1;2;3;4},0.95,0)</t>
  </si>
  <si>
    <t xml:space="preserve">_xlfn.FORECAST.ETS.CONFINT(5,{1;2;3;5},{1;2;3;4},0.95,0)</t>
  </si>
  <si>
    <t xml:space="preserve">ATAN(1)</t>
  </si>
  <si>
    <t xml:space="preserve">ATAN(-0.5)</t>
  </si>
  <si>
    <t xml:space="preserve">ATAN(1E300)</t>
  </si>
  <si>
    <t xml:space="preserve">COS(1)</t>
  </si>
  <si>
    <t xml:space="preserve">COS(0)</t>
  </si>
  <si>
    <t xml:space="preserve">COS(1E10)</t>
  </si>
  <si>
    <t xml:space="preserve">TAN(1)</t>
  </si>
  <si>
    <t xml:space="preserve">TAN(0.5)</t>
  </si>
  <si>
    <t xml:space="preserve">TAN(1E15)</t>
  </si>
  <si>
    <t xml:space="preserve">RADIANS(180)</t>
  </si>
  <si>
    <t xml:space="preserve">RADIANS(-45.5)</t>
  </si>
  <si>
    <t xml:space="preserve">RADIANS(1E300)</t>
  </si>
  <si>
    <t xml:space="preserve">ISERR(NA())</t>
  </si>
  <si>
    <t xml:space="preserve">ISERR(1/0)</t>
  </si>
  <si>
    <t xml:space="preserve">ISERR(1)</t>
  </si>
  <si>
    <t xml:space="preserve">ISNONTEXT("a")</t>
  </si>
  <si>
    <t xml:space="preserve">ISNONTEXT(1)</t>
  </si>
  <si>
    <t xml:space="preserve">ISNONTEXT(Data!Z9)</t>
  </si>
  <si>
    <t xml:space="preserve">ISREF(Data!A1)</t>
  </si>
  <si>
    <t xml:space="preserve">ISREF(1)</t>
  </si>
  <si>
    <t xml:space="preserve">ISREF(Data!A1:B2)</t>
  </si>
  <si>
    <t xml:space="preserve">ISREF(INDEX(Data!A1:B2,1,1))</t>
  </si>
  <si>
    <t xml:space="preserve">AVERAGEIFS(Data!A1:A8,Data!B1:B8,"apple")</t>
  </si>
  <si>
    <t xml:space="preserve">AVERAGEIFS(Data!A1:A8,Data!B1:B8,"apple",Data!A1:A8,"&gt;3")</t>
  </si>
  <si>
    <t xml:space="preserve">AVERAGEIFS(Data!A1:A8,Data!B1:B8,"zzz")</t>
  </si>
  <si>
    <t xml:space="preserve">ERROR.TYPE(NA())</t>
  </si>
  <si>
    <t xml:space="preserve">ERROR.TYPE(1/0)</t>
  </si>
  <si>
    <t xml:space="preserve">ERROR.TYPE(1)</t>
  </si>
  <si>
    <t xml:space="preserve">_xlfn.NUMBERVALUE("1.234,5",",",".")</t>
  </si>
  <si>
    <t xml:space="preserve">_xlfn.NUMBERVALUE("12%")</t>
  </si>
  <si>
    <t xml:space="preserve">_xlfn.NUMBERVALUE("x")</t>
  </si>
  <si>
    <t xml:space="preserve">_xlfn.SKEW.P({1,2,3})</t>
  </si>
  <si>
    <t xml:space="preserve">_xlfn.HYPGEOM.DIST(2,5,5,10,TRUE)</t>
  </si>
  <si>
    <t xml:space="preserve">_xlfn.HYPGEOM.DIST(2,5,5,10,FALSE)</t>
  </si>
  <si>
    <t xml:space="preserve">HYPGEOMDIST(2,5,5,10)</t>
  </si>
  <si>
    <t xml:space="preserve">ATAN(-689.0)</t>
  </si>
  <si>
    <t xml:space="preserve">COS(-689.0)</t>
  </si>
  <si>
    <t xml:space="preserve">TAN(-689.0)</t>
  </si>
  <si>
    <t xml:space="preserve">RADIANS(-689.0)</t>
  </si>
  <si>
    <t xml:space="preserve">DEGREES(-689.0)</t>
  </si>
  <si>
    <t xml:space="preserve">SIN(-689.0)</t>
  </si>
  <si>
    <t xml:space="preserve">ATAN(-740.12)</t>
  </si>
  <si>
    <t xml:space="preserve">COS(-740.12)</t>
  </si>
  <si>
    <t xml:space="preserve">TAN(-740.12)</t>
  </si>
  <si>
    <t xml:space="preserve">RADIANS(-740.12)</t>
  </si>
  <si>
    <t xml:space="preserve">DEGREES(-740.12)</t>
  </si>
  <si>
    <t xml:space="preserve">SIN(-740.12)</t>
  </si>
  <si>
    <t xml:space="preserve">ATAN(964.0)</t>
  </si>
  <si>
    <t xml:space="preserve">COS(964.0)</t>
  </si>
  <si>
    <t xml:space="preserve">TAN(964.0)</t>
  </si>
  <si>
    <t xml:space="preserve">RADIANS(964.0)</t>
  </si>
  <si>
    <t xml:space="preserve">DEGREES(964.0)</t>
  </si>
  <si>
    <t xml:space="preserve">SIN(964.0)</t>
  </si>
  <si>
    <t xml:space="preserve">ATAN(277.087859)</t>
  </si>
  <si>
    <t xml:space="preserve">COS(277.087859)</t>
  </si>
  <si>
    <t xml:space="preserve">TAN(277.087859)</t>
  </si>
  <si>
    <t xml:space="preserve">RADIANS(277.087859)</t>
  </si>
  <si>
    <t xml:space="preserve">DEGREES(277.087859)</t>
  </si>
  <si>
    <t xml:space="preserve">SIN(277.087859)</t>
  </si>
  <si>
    <t xml:space="preserve">ATAN(-659.444362)</t>
  </si>
  <si>
    <t xml:space="preserve">COS(-659.444362)</t>
  </si>
  <si>
    <t xml:space="preserve">TAN(-659.444362)</t>
  </si>
  <si>
    <t xml:space="preserve">RADIANS(-659.444362)</t>
  </si>
  <si>
    <t xml:space="preserve">DEGREES(-659.444362)</t>
  </si>
  <si>
    <t xml:space="preserve">SIN(-659.444362)</t>
  </si>
  <si>
    <t xml:space="preserve">ATAN(740.0)</t>
  </si>
  <si>
    <t xml:space="preserve">COS(740.0)</t>
  </si>
  <si>
    <t xml:space="preserve">TAN(740.0)</t>
  </si>
  <si>
    <t xml:space="preserve">RADIANS(740.0)</t>
  </si>
  <si>
    <t xml:space="preserve">DEGREES(740.0)</t>
  </si>
  <si>
    <t xml:space="preserve">SIN(740.0)</t>
  </si>
  <si>
    <t xml:space="preserve">ATAN(-991.279293)</t>
  </si>
  <si>
    <t xml:space="preserve">COS(-991.279293)</t>
  </si>
  <si>
    <t xml:space="preserve">TAN(-991.279293)</t>
  </si>
  <si>
    <t xml:space="preserve">RADIANS(-991.279293)</t>
  </si>
  <si>
    <t xml:space="preserve">DEGREES(-991.279293)</t>
  </si>
  <si>
    <t xml:space="preserve">SIN(-991.279293)</t>
  </si>
  <si>
    <t xml:space="preserve">ATAN(313.43)</t>
  </si>
  <si>
    <t xml:space="preserve">COS(313.43)</t>
  </si>
  <si>
    <t xml:space="preserve">TAN(313.43)</t>
  </si>
  <si>
    <t xml:space="preserve">RADIANS(313.43)</t>
  </si>
  <si>
    <t xml:space="preserve">DEGREES(313.43)</t>
  </si>
  <si>
    <t xml:space="preserve">SIN(313.43)</t>
  </si>
  <si>
    <t xml:space="preserve">ATAN(-106.8)</t>
  </si>
  <si>
    <t xml:space="preserve">COS(-106.8)</t>
  </si>
  <si>
    <t xml:space="preserve">TAN(-106.8)</t>
  </si>
  <si>
    <t xml:space="preserve">RADIANS(-106.8)</t>
  </si>
  <si>
    <t xml:space="preserve">DEGREES(-106.8)</t>
  </si>
  <si>
    <t xml:space="preserve">SIN(-106.8)</t>
  </si>
  <si>
    <t xml:space="preserve">ATAN(-945.860943)</t>
  </si>
  <si>
    <t xml:space="preserve">COS(-945.860943)</t>
  </si>
  <si>
    <t xml:space="preserve">TAN(-945.860943)</t>
  </si>
  <si>
    <t xml:space="preserve">RADIANS(-945.860943)</t>
  </si>
  <si>
    <t xml:space="preserve">DEGREES(-945.860943)</t>
  </si>
  <si>
    <t xml:space="preserve">SIN(-945.860943)</t>
  </si>
  <si>
    <t xml:space="preserve">ATAN(266.244537)</t>
  </si>
  <si>
    <t xml:space="preserve">COS(266.244537)</t>
  </si>
  <si>
    <t xml:space="preserve">TAN(266.244537)</t>
  </si>
  <si>
    <t xml:space="preserve">RADIANS(266.244537)</t>
  </si>
  <si>
    <t xml:space="preserve">DEGREES(266.244537)</t>
  </si>
  <si>
    <t xml:space="preserve">SIN(266.244537)</t>
  </si>
  <si>
    <t xml:space="preserve">ATAN(-2.62)</t>
  </si>
  <si>
    <t xml:space="preserve">COS(-2.62)</t>
  </si>
  <si>
    <t xml:space="preserve">TAN(-2.62)</t>
  </si>
  <si>
    <t xml:space="preserve">RADIANS(-2.62)</t>
  </si>
  <si>
    <t xml:space="preserve">DEGREES(-2.62)</t>
  </si>
  <si>
    <t xml:space="preserve">SIN(-2.62)</t>
  </si>
  <si>
    <t xml:space="preserve">ATAN(821.69)</t>
  </si>
  <si>
    <t xml:space="preserve">COS(821.69)</t>
  </si>
  <si>
    <t xml:space="preserve">TAN(821.69)</t>
  </si>
  <si>
    <t xml:space="preserve">RADIANS(821.69)</t>
  </si>
  <si>
    <t xml:space="preserve">DEGREES(821.69)</t>
  </si>
  <si>
    <t xml:space="preserve">SIN(821.69)</t>
  </si>
  <si>
    <t xml:space="preserve">ATAN(-114.617934)</t>
  </si>
  <si>
    <t xml:space="preserve">COS(-114.617934)</t>
  </si>
  <si>
    <t xml:space="preserve">TAN(-114.617934)</t>
  </si>
  <si>
    <t xml:space="preserve">RADIANS(-114.617934)</t>
  </si>
  <si>
    <t xml:space="preserve">DEGREES(-114.617934)</t>
  </si>
  <si>
    <t xml:space="preserve">SIN(-114.617934)</t>
  </si>
  <si>
    <t xml:space="preserve">ATAN(767.79)</t>
  </si>
  <si>
    <t xml:space="preserve">COS(767.79)</t>
  </si>
  <si>
    <t xml:space="preserve">TAN(767.79)</t>
  </si>
  <si>
    <t xml:space="preserve">RADIANS(767.79)</t>
  </si>
  <si>
    <t xml:space="preserve">DEGREES(767.79)</t>
  </si>
  <si>
    <t xml:space="preserve">SIN(767.79)</t>
  </si>
  <si>
    <t xml:space="preserve">ATAN(760.0)</t>
  </si>
  <si>
    <t xml:space="preserve">COS(760.0)</t>
  </si>
  <si>
    <t xml:space="preserve">TAN(760.0)</t>
  </si>
  <si>
    <t xml:space="preserve">RADIANS(760.0)</t>
  </si>
  <si>
    <t xml:space="preserve">DEGREES(760.0)</t>
  </si>
  <si>
    <t xml:space="preserve">SIN(760.0)</t>
  </si>
  <si>
    <t xml:space="preserve">ATAN(-675.280635)</t>
  </si>
  <si>
    <t xml:space="preserve">COS(-675.280635)</t>
  </si>
  <si>
    <t xml:space="preserve">TAN(-675.280635)</t>
  </si>
  <si>
    <t xml:space="preserve">RADIANS(-675.280635)</t>
  </si>
  <si>
    <t xml:space="preserve">DEGREES(-675.280635)</t>
  </si>
  <si>
    <t xml:space="preserve">SIN(-675.280635)</t>
  </si>
  <si>
    <t xml:space="preserve">ATAN(-642.0)</t>
  </si>
  <si>
    <t xml:space="preserve">COS(-642.0)</t>
  </si>
  <si>
    <t xml:space="preserve">TAN(-642.0)</t>
  </si>
  <si>
    <t xml:space="preserve">RADIANS(-642.0)</t>
  </si>
  <si>
    <t xml:space="preserve">DEGREES(-642.0)</t>
  </si>
  <si>
    <t xml:space="preserve">SIN(-642.0)</t>
  </si>
  <si>
    <t xml:space="preserve">ATAN(723.22)</t>
  </si>
  <si>
    <t xml:space="preserve">COS(723.22)</t>
  </si>
  <si>
    <t xml:space="preserve">TAN(723.22)</t>
  </si>
  <si>
    <t xml:space="preserve">RADIANS(723.22)</t>
  </si>
  <si>
    <t xml:space="preserve">DEGREES(723.22)</t>
  </si>
  <si>
    <t xml:space="preserve">SIN(723.22)</t>
  </si>
  <si>
    <t xml:space="preserve">ATAN(-912.0)</t>
  </si>
  <si>
    <t xml:space="preserve">COS(-912.0)</t>
  </si>
  <si>
    <t xml:space="preserve">TAN(-912.0)</t>
  </si>
  <si>
    <t xml:space="preserve">RADIANS(-912.0)</t>
  </si>
  <si>
    <t xml:space="preserve">DEGREES(-912.0)</t>
  </si>
  <si>
    <t xml:space="preserve">SIN(-912.0)</t>
  </si>
  <si>
    <t xml:space="preserve">ATAN(-54.541713)</t>
  </si>
  <si>
    <t xml:space="preserve">COS(-54.541713)</t>
  </si>
  <si>
    <t xml:space="preserve">TAN(-54.541713)</t>
  </si>
  <si>
    <t xml:space="preserve">RADIANS(-54.541713)</t>
  </si>
  <si>
    <t xml:space="preserve">DEGREES(-54.541713)</t>
  </si>
  <si>
    <t xml:space="preserve">SIN(-54.541713)</t>
  </si>
  <si>
    <t xml:space="preserve">ATAN(727.04)</t>
  </si>
  <si>
    <t xml:space="preserve">COS(727.04)</t>
  </si>
  <si>
    <t xml:space="preserve">TAN(727.04)</t>
  </si>
  <si>
    <t xml:space="preserve">RADIANS(727.04)</t>
  </si>
  <si>
    <t xml:space="preserve">DEGREES(727.04)</t>
  </si>
  <si>
    <t xml:space="preserve">SIN(727.04)</t>
  </si>
  <si>
    <t xml:space="preserve">ATAN(-127.0)</t>
  </si>
  <si>
    <t xml:space="preserve">COS(-127.0)</t>
  </si>
  <si>
    <t xml:space="preserve">TAN(-127.0)</t>
  </si>
  <si>
    <t xml:space="preserve">RADIANS(-127.0)</t>
  </si>
  <si>
    <t xml:space="preserve">DEGREES(-127.0)</t>
  </si>
  <si>
    <t xml:space="preserve">SIN(-127.0)</t>
  </si>
  <si>
    <t xml:space="preserve">ATAN(-517.0)</t>
  </si>
  <si>
    <t xml:space="preserve">COS(-517.0)</t>
  </si>
  <si>
    <t xml:space="preserve">TAN(-517.0)</t>
  </si>
  <si>
    <t xml:space="preserve">RADIANS(-517.0)</t>
  </si>
  <si>
    <t xml:space="preserve">DEGREES(-517.0)</t>
  </si>
  <si>
    <t xml:space="preserve">SIN(-517.0)</t>
  </si>
  <si>
    <t xml:space="preserve">ATAN(-299.23)</t>
  </si>
  <si>
    <t xml:space="preserve">COS(-299.23)</t>
  </si>
  <si>
    <t xml:space="preserve">TAN(-299.23)</t>
  </si>
  <si>
    <t xml:space="preserve">RADIANS(-299.23)</t>
  </si>
  <si>
    <t xml:space="preserve">DEGREES(-299.23)</t>
  </si>
  <si>
    <t xml:space="preserve">SIN(-299.23)</t>
  </si>
  <si>
    <t xml:space="preserve">ATAN(-628.0)</t>
  </si>
  <si>
    <t xml:space="preserve">COS(-628.0)</t>
  </si>
  <si>
    <t xml:space="preserve">TAN(-628.0)</t>
  </si>
  <si>
    <t xml:space="preserve">RADIANS(-628.0)</t>
  </si>
  <si>
    <t xml:space="preserve">DEGREES(-628.0)</t>
  </si>
  <si>
    <t xml:space="preserve">SIN(-628.0)</t>
  </si>
  <si>
    <t xml:space="preserve">ATAN(-950.82)</t>
  </si>
  <si>
    <t xml:space="preserve">COS(-950.82)</t>
  </si>
  <si>
    <t xml:space="preserve">TAN(-950.82)</t>
  </si>
  <si>
    <t xml:space="preserve">RADIANS(-950.82)</t>
  </si>
  <si>
    <t xml:space="preserve">DEGREES(-950.82)</t>
  </si>
  <si>
    <t xml:space="preserve">SIN(-950.82)</t>
  </si>
  <si>
    <t xml:space="preserve">ATAN(-473.85)</t>
  </si>
  <si>
    <t xml:space="preserve">COS(-473.85)</t>
  </si>
  <si>
    <t xml:space="preserve">TAN(-473.85)</t>
  </si>
  <si>
    <t xml:space="preserve">RADIANS(-473.85)</t>
  </si>
  <si>
    <t xml:space="preserve">DEGREES(-473.85)</t>
  </si>
  <si>
    <t xml:space="preserve">SIN(-473.85)</t>
  </si>
  <si>
    <t xml:space="preserve">ATAN(60.394664)</t>
  </si>
  <si>
    <t xml:space="preserve">COS(60.394664)</t>
  </si>
  <si>
    <t xml:space="preserve">TAN(60.394664)</t>
  </si>
  <si>
    <t xml:space="preserve">RADIANS(60.394664)</t>
  </si>
  <si>
    <t xml:space="preserve">DEGREES(60.394664)</t>
  </si>
  <si>
    <t xml:space="preserve">SIN(60.394664)</t>
  </si>
  <si>
    <t xml:space="preserve">ATAN(-892.82)</t>
  </si>
  <si>
    <t xml:space="preserve">COS(-892.82)</t>
  </si>
  <si>
    <t xml:space="preserve">TAN(-892.82)</t>
  </si>
  <si>
    <t xml:space="preserve">RADIANS(-892.82)</t>
  </si>
  <si>
    <t xml:space="preserve">DEGREES(-892.82)</t>
  </si>
  <si>
    <t xml:space="preserve">SIN(-892.82)</t>
  </si>
  <si>
    <t xml:space="preserve">ATAN(-795.25)</t>
  </si>
  <si>
    <t xml:space="preserve">COS(-795.25)</t>
  </si>
  <si>
    <t xml:space="preserve">TAN(-795.25)</t>
  </si>
  <si>
    <t xml:space="preserve">RADIANS(-795.25)</t>
  </si>
  <si>
    <t xml:space="preserve">DEGREES(-795.25)</t>
  </si>
  <si>
    <t xml:space="preserve">SIN(-795.25)</t>
  </si>
  <si>
    <t xml:space="preserve">ATAN(-795.863206)</t>
  </si>
  <si>
    <t xml:space="preserve">COS(-795.863206)</t>
  </si>
  <si>
    <t xml:space="preserve">TAN(-795.863206)</t>
  </si>
  <si>
    <t xml:space="preserve">RADIANS(-795.863206)</t>
  </si>
  <si>
    <t xml:space="preserve">DEGREES(-795.863206)</t>
  </si>
  <si>
    <t xml:space="preserve">SIN(-795.863206)</t>
  </si>
  <si>
    <t xml:space="preserve">ATAN(966.6)</t>
  </si>
  <si>
    <t xml:space="preserve">COS(966.6)</t>
  </si>
  <si>
    <t xml:space="preserve">TAN(966.6)</t>
  </si>
  <si>
    <t xml:space="preserve">RADIANS(966.6)</t>
  </si>
  <si>
    <t xml:space="preserve">DEGREES(966.6)</t>
  </si>
  <si>
    <t xml:space="preserve">SIN(966.6)</t>
  </si>
  <si>
    <t xml:space="preserve">ATAN(326.0)</t>
  </si>
  <si>
    <t xml:space="preserve">COS(326.0)</t>
  </si>
  <si>
    <t xml:space="preserve">TAN(326.0)</t>
  </si>
  <si>
    <t xml:space="preserve">RADIANS(326.0)</t>
  </si>
  <si>
    <t xml:space="preserve">DEGREES(326.0)</t>
  </si>
  <si>
    <t xml:space="preserve">SIN(326.0)</t>
  </si>
  <si>
    <t xml:space="preserve">ATAN(478.607153)</t>
  </si>
  <si>
    <t xml:space="preserve">COS(478.607153)</t>
  </si>
  <si>
    <t xml:space="preserve">TAN(478.607153)</t>
  </si>
  <si>
    <t xml:space="preserve">RADIANS(478.607153)</t>
  </si>
  <si>
    <t xml:space="preserve">DEGREES(478.607153)</t>
  </si>
  <si>
    <t xml:space="preserve">SIN(478.607153)</t>
  </si>
  <si>
    <t xml:space="preserve">ATAN(402.0)</t>
  </si>
  <si>
    <t xml:space="preserve">COS(402.0)</t>
  </si>
  <si>
    <t xml:space="preserve">TAN(402.0)</t>
  </si>
  <si>
    <t xml:space="preserve">RADIANS(402.0)</t>
  </si>
  <si>
    <t xml:space="preserve">DEGREES(402.0)</t>
  </si>
  <si>
    <t xml:space="preserve">SIN(402.0)</t>
  </si>
  <si>
    <t xml:space="preserve">ATAN(-522.59578)</t>
  </si>
  <si>
    <t xml:space="preserve">COS(-522.59578)</t>
  </si>
  <si>
    <t xml:space="preserve">TAN(-522.59578)</t>
  </si>
  <si>
    <t xml:space="preserve">RADIANS(-522.59578)</t>
  </si>
  <si>
    <t xml:space="preserve">DEGREES(-522.59578)</t>
  </si>
  <si>
    <t xml:space="preserve">SIN(-522.59578)</t>
  </si>
  <si>
    <t xml:space="preserve">ATAN(-339.85)</t>
  </si>
  <si>
    <t xml:space="preserve">COS(-339.85)</t>
  </si>
  <si>
    <t xml:space="preserve">TAN(-339.85)</t>
  </si>
  <si>
    <t xml:space="preserve">RADIANS(-339.85)</t>
  </si>
  <si>
    <t xml:space="preserve">DEGREES(-339.85)</t>
  </si>
  <si>
    <t xml:space="preserve">SIN(-339.85)</t>
  </si>
  <si>
    <t xml:space="preserve">ATAN(519.918)</t>
  </si>
  <si>
    <t xml:space="preserve">COS(519.918)</t>
  </si>
  <si>
    <t xml:space="preserve">TAN(519.918)</t>
  </si>
  <si>
    <t xml:space="preserve">RADIANS(519.918)</t>
  </si>
  <si>
    <t xml:space="preserve">DEGREES(519.918)</t>
  </si>
  <si>
    <t xml:space="preserve">SIN(519.918)</t>
  </si>
  <si>
    <t xml:space="preserve">ATAN(-755.0)</t>
  </si>
  <si>
    <t xml:space="preserve">COS(-755.0)</t>
  </si>
  <si>
    <t xml:space="preserve">TAN(-755.0)</t>
  </si>
  <si>
    <t xml:space="preserve">RADIANS(-755.0)</t>
  </si>
  <si>
    <t xml:space="preserve">DEGREES(-755.0)</t>
  </si>
  <si>
    <t xml:space="preserve">SIN(-755.0)</t>
  </si>
  <si>
    <t xml:space="preserve">CELL("address",Data!B3)</t>
  </si>
  <si>
    <t xml:space="preserve">CELL("ADDRESS",Data!B3)</t>
  </si>
  <si>
    <t xml:space="preserve">CELL("col",Data!B3)</t>
  </si>
  <si>
    <t xml:space="preserve">CELL("row",Data!B3)</t>
  </si>
  <si>
    <t xml:space="preserve">CELL("sheet",Data!B3)</t>
  </si>
  <si>
    <t xml:space="preserve">CELL("coord",Data!B3)</t>
  </si>
  <si>
    <t xml:space="preserve">CELL("contents",Data!B3)</t>
  </si>
  <si>
    <t xml:space="preserve">CELL("type",Data!B3)</t>
  </si>
  <si>
    <t xml:space="preserve">CELL("Contents",Data!B3)</t>
  </si>
  <si>
    <t xml:space="preserve">CELL("ROW",Data!B3)</t>
  </si>
  <si>
    <t xml:space="preserve">CELL("address",Data!B3:C5)</t>
  </si>
  <si>
    <t xml:space="preserve">CELL("ADDRESS",Data!B3:C5)</t>
  </si>
  <si>
    <t xml:space="preserve">CELL("col",Data!B3:C5)</t>
  </si>
  <si>
    <t xml:space="preserve">CELL("row",Data!B3:C5)</t>
  </si>
  <si>
    <t xml:space="preserve">CELL("sheet",Data!B3:C5)</t>
  </si>
  <si>
    <t xml:space="preserve">CELL("coord",Data!B3:C5)</t>
  </si>
  <si>
    <t xml:space="preserve">CELL("contents",Data!B3:C5)</t>
  </si>
  <si>
    <t xml:space="preserve">CELL("type",Data!B3:C5)</t>
  </si>
  <si>
    <t xml:space="preserve">CELL("Contents",Data!B3:C5)</t>
  </si>
  <si>
    <t xml:space="preserve">CELL("ROW",Data!B3:C5)</t>
  </si>
  <si>
    <t xml:space="preserve">CELL("address",Data!A1)</t>
  </si>
  <si>
    <t xml:space="preserve">CELL("ADDRESS",Data!A1)</t>
  </si>
  <si>
    <t xml:space="preserve">CELL("col",Data!A1)</t>
  </si>
  <si>
    <t xml:space="preserve">CELL("row",Data!A1)</t>
  </si>
  <si>
    <t xml:space="preserve">CELL("sheet",Data!A1)</t>
  </si>
  <si>
    <t xml:space="preserve">CELL("coord",Data!A1)</t>
  </si>
  <si>
    <t xml:space="preserve">CELL("contents",Data!A1)</t>
  </si>
  <si>
    <t xml:space="preserve">CELL("type",Data!A1)</t>
  </si>
  <si>
    <t xml:space="preserve">CELL("Contents",Data!A1)</t>
  </si>
  <si>
    <t xml:space="preserve">CELL("ROW",Data!A1)</t>
  </si>
  <si>
    <t xml:space="preserve">CELL("address",Data!H8)</t>
  </si>
  <si>
    <t xml:space="preserve">CELL("ADDRESS",Data!H8)</t>
  </si>
  <si>
    <t xml:space="preserve">CELL("col",Data!H8)</t>
  </si>
  <si>
    <t xml:space="preserve">CELL("row",Data!H8)</t>
  </si>
  <si>
    <t xml:space="preserve">CELL("sheet",Data!H8)</t>
  </si>
  <si>
    <t xml:space="preserve">CELL("coord",Data!H8)</t>
  </si>
  <si>
    <t xml:space="preserve">CELL("contents",Data!H8)</t>
  </si>
  <si>
    <t xml:space="preserve">CELL("type",Data!H8)</t>
  </si>
  <si>
    <t xml:space="preserve">CELL("Contents",Data!H8)</t>
  </si>
  <si>
    <t xml:space="preserve">CELL("ROW",Data!H8)</t>
  </si>
  <si>
    <t xml:space="preserve">CELL("address",Data!Z9)</t>
  </si>
  <si>
    <t xml:space="preserve">CELL("ADDRESS",Data!Z9)</t>
  </si>
  <si>
    <t xml:space="preserve">CELL("col",Data!Z9)</t>
  </si>
  <si>
    <t xml:space="preserve">CELL("row",Data!Z9)</t>
  </si>
  <si>
    <t xml:space="preserve">CELL("sheet",Data!Z9)</t>
  </si>
  <si>
    <t xml:space="preserve">CELL("coord",Data!Z9)</t>
  </si>
  <si>
    <t xml:space="preserve">CELL("contents",Data!Z9)</t>
  </si>
  <si>
    <t xml:space="preserve">CELL("type",Data!Z9)</t>
  </si>
  <si>
    <t xml:space="preserve">CELL("Contents",Data!Z9)</t>
  </si>
  <si>
    <t xml:space="preserve">CELL("ROW",Data!Z9)</t>
  </si>
  <si>
    <t xml:space="preserve">CELL("address",Data!1:1)</t>
  </si>
  <si>
    <t xml:space="preserve">CELL("ADDRESS",Data!1:1)</t>
  </si>
  <si>
    <t xml:space="preserve">CELL("col",Data!1:1)</t>
  </si>
  <si>
    <t xml:space="preserve">CELL("row",Data!1:1)</t>
  </si>
  <si>
    <t xml:space="preserve">CELL("sheet",Data!1:1)</t>
  </si>
  <si>
    <t xml:space="preserve">CELL("coord",Data!1:1)</t>
  </si>
  <si>
    <t xml:space="preserve">CELL("contents",Data!1:1)</t>
  </si>
  <si>
    <t xml:space="preserve">CELL("type",Data!1:1)</t>
  </si>
  <si>
    <t xml:space="preserve">CELL("Contents",Data!1:1)</t>
  </si>
  <si>
    <t xml:space="preserve">CELL("ROW",Data!1:1)</t>
  </si>
  <si>
    <t xml:space="preserve">CELL("address",Data!A:A)</t>
  </si>
  <si>
    <t xml:space="preserve">CELL("ADDRESS",Data!A:A)</t>
  </si>
  <si>
    <t xml:space="preserve">CELL("col",Data!A:A)</t>
  </si>
  <si>
    <t xml:space="preserve">CELL("row",Data!A:A)</t>
  </si>
  <si>
    <t xml:space="preserve">CELL("sheet",Data!A:A)</t>
  </si>
  <si>
    <t xml:space="preserve">CELL("coord",Data!A:A)</t>
  </si>
  <si>
    <t xml:space="preserve">CELL("contents",Data!A:A)</t>
  </si>
  <si>
    <t xml:space="preserve">CELL("type",Data!A:A)</t>
  </si>
  <si>
    <t xml:space="preserve">CELL("Contents",Data!A:A)</t>
  </si>
  <si>
    <t xml:space="preserve">CELL("ROW",Data!A:A)</t>
  </si>
  <si>
    <t xml:space="preserve">CELL("address",Data!C:D)</t>
  </si>
  <si>
    <t xml:space="preserve">CELL("ADDRESS",Data!C:D)</t>
  </si>
  <si>
    <t xml:space="preserve">CELL("col",Data!C:D)</t>
  </si>
  <si>
    <t xml:space="preserve">CELL("row",Data!C:D)</t>
  </si>
  <si>
    <t xml:space="preserve">CELL("sheet",Data!C:D)</t>
  </si>
  <si>
    <t xml:space="preserve">CELL("coord",Data!C:D)</t>
  </si>
  <si>
    <t xml:space="preserve">CELL("contents",Data!C:D)</t>
  </si>
  <si>
    <t xml:space="preserve">CELL("type",Data!C:D)</t>
  </si>
  <si>
    <t xml:space="preserve">CELL("Contents",Data!C:D)</t>
  </si>
  <si>
    <t xml:space="preserve">CELL("ROW",Data!C:D)</t>
  </si>
  <si>
    <t xml:space="preserve">CELL("address",Calc!B3)</t>
  </si>
  <si>
    <t xml:space="preserve">CELL("ADDRESS",Calc!B3)</t>
  </si>
  <si>
    <t xml:space="preserve">CELL("col",Calc!B3)</t>
  </si>
  <si>
    <t xml:space="preserve">CELL("row",Calc!B3)</t>
  </si>
  <si>
    <t xml:space="preserve">CELL("sheet",Calc!B3)</t>
  </si>
  <si>
    <t xml:space="preserve">CELL("coord",Calc!B3)</t>
  </si>
  <si>
    <t xml:space="preserve">CELL("contents",Calc!B3)</t>
  </si>
  <si>
    <t xml:space="preserve">CELL("type",Calc!B3)</t>
  </si>
  <si>
    <t xml:space="preserve">CELL("Contents",Calc!B3)</t>
  </si>
  <si>
    <t xml:space="preserve">CELL("ROW",Calc!B3)</t>
  </si>
  <si>
    <t xml:space="preserve">CELL("address",Calc!A1:A5)</t>
  </si>
  <si>
    <t xml:space="preserve">CELL("ADDRESS",Calc!A1:A5)</t>
  </si>
  <si>
    <t xml:space="preserve">CELL("col",Calc!A1:A5)</t>
  </si>
  <si>
    <t xml:space="preserve">CELL("row",Calc!A1:A5)</t>
  </si>
  <si>
    <t xml:space="preserve">CELL("sheet",Calc!A1:A5)</t>
  </si>
  <si>
    <t xml:space="preserve">CELL("coord",Calc!A1:A5)</t>
  </si>
  <si>
    <t xml:space="preserve">CELL("contents",Calc!A1:A5)</t>
  </si>
  <si>
    <t xml:space="preserve">CELL("type",Calc!A1:A5)</t>
  </si>
  <si>
    <t xml:space="preserve">CELL("Contents",Calc!A1:A5)</t>
  </si>
  <si>
    <t xml:space="preserve">CELL("ROW",Calc!A1:A5)</t>
  </si>
  <si>
    <t xml:space="preserve">CELL("address",A3)</t>
  </si>
  <si>
    <t xml:space="preserve">CELL("ADDRESS",A3)</t>
  </si>
  <si>
    <t xml:space="preserve">CELL("col",A3)</t>
  </si>
  <si>
    <t xml:space="preserve">CELL("row",A3)</t>
  </si>
  <si>
    <t xml:space="preserve">CELL("sheet",A3)</t>
  </si>
  <si>
    <t xml:space="preserve">CELL("coord",A3)</t>
  </si>
  <si>
    <t xml:space="preserve">CELL("contents",A3)</t>
  </si>
  <si>
    <t xml:space="preserve">CELL("type",A3)</t>
  </si>
  <si>
    <t xml:space="preserve">CELL("Contents",A3)</t>
  </si>
  <si>
    <t xml:space="preserve">CELL("ROW",A3)</t>
  </si>
  <si>
    <t xml:space="preserve">CELL("address",$B$7)</t>
  </si>
  <si>
    <t xml:space="preserve">CELL("ADDRESS",$B$7)</t>
  </si>
  <si>
    <t xml:space="preserve">CELL("col",$B$7)</t>
  </si>
  <si>
    <t xml:space="preserve">CELL("row",$B$7)</t>
  </si>
  <si>
    <t xml:space="preserve">CELL("sheet",$B$7)</t>
  </si>
  <si>
    <t xml:space="preserve">CELL("coord",$B$7)</t>
  </si>
  <si>
    <t xml:space="preserve">CELL("contents",$B$7)</t>
  </si>
  <si>
    <t xml:space="preserve">CELL("type",$B$7)</t>
  </si>
  <si>
    <t xml:space="preserve">CELL("Contents",$B$7)</t>
  </si>
  <si>
    <t xml:space="preserve">CELL("ROW",$B$7)</t>
  </si>
  <si>
    <t xml:space="preserve">CELL("address",Data!$A$2)</t>
  </si>
  <si>
    <t xml:space="preserve">CELL("ADDRESS",Data!$A$2)</t>
  </si>
  <si>
    <t xml:space="preserve">CELL("col",Data!$A$2)</t>
  </si>
  <si>
    <t xml:space="preserve">CELL("row",Data!$A$2)</t>
  </si>
  <si>
    <t xml:space="preserve">CELL("sheet",Data!$A$2)</t>
  </si>
  <si>
    <t xml:space="preserve">CELL("coord",Data!$A$2)</t>
  </si>
  <si>
    <t xml:space="preserve">CELL("contents",Data!$A$2)</t>
  </si>
  <si>
    <t xml:space="preserve">CELL("type",Data!$A$2)</t>
  </si>
  <si>
    <t xml:space="preserve">CELL("Contents",Data!$A$2)</t>
  </si>
  <si>
    <t xml:space="preserve">CELL("ROW",Data!$A$2)</t>
  </si>
  <si>
    <t xml:space="preserve">CELL("address",(Data!B3))</t>
  </si>
  <si>
    <t xml:space="preserve">CELL("ADDRESS",(Data!B3))</t>
  </si>
  <si>
    <t xml:space="preserve">CELL("col",(Data!B3))</t>
  </si>
  <si>
    <t xml:space="preserve">CELL("row",(Data!B3))</t>
  </si>
  <si>
    <t xml:space="preserve">CELL("sheet",(Data!B3))</t>
  </si>
  <si>
    <t xml:space="preserve">CELL("coord",(Data!B3))</t>
  </si>
  <si>
    <t xml:space="preserve">CELL("contents",(Data!B3))</t>
  </si>
  <si>
    <t xml:space="preserve">CELL("type",(Data!B3))</t>
  </si>
  <si>
    <t xml:space="preserve">CELL("Contents",(Data!B3))</t>
  </si>
  <si>
    <t xml:space="preserve">CELL("ROW",(Data!B3))</t>
  </si>
  <si>
    <t xml:space="preserve">CELL("address",INDEX(Data!A1:A8,2))</t>
  </si>
  <si>
    <t xml:space="preserve">CELL("ADDRESS",INDEX(Data!A1:A8,2))</t>
  </si>
  <si>
    <t xml:space="preserve">CELL("col",INDEX(Data!A1:A8,2))</t>
  </si>
  <si>
    <t xml:space="preserve">CELL("row",INDEX(Data!A1:A8,2))</t>
  </si>
  <si>
    <t xml:space="preserve">CELL("sheet",INDEX(Data!A1:A8,2))</t>
  </si>
  <si>
    <t xml:space="preserve">CELL("coord",INDEX(Data!A1:A8,2))</t>
  </si>
  <si>
    <t xml:space="preserve">CELL("contents",INDEX(Data!A1:A8,2))</t>
  </si>
  <si>
    <t xml:space="preserve">CELL("type",INDEX(Data!A1:A8,2))</t>
  </si>
  <si>
    <t xml:space="preserve">CELL("Contents",INDEX(Data!A1:A8,2))</t>
  </si>
  <si>
    <t xml:space="preserve">CELL("ROW",INDEX(Data!A1:A8,2))</t>
  </si>
  <si>
    <t xml:space="preserve">CELL("address",OFFSET(Data!A1,2,1))</t>
  </si>
  <si>
    <t xml:space="preserve">CELL("ADDRESS",OFFSET(Data!A1,2,1))</t>
  </si>
  <si>
    <t xml:space="preserve">CELL("col",OFFSET(Data!A1,2,1))</t>
  </si>
  <si>
    <t xml:space="preserve">CELL("row",OFFSET(Data!A1,2,1))</t>
  </si>
  <si>
    <t xml:space="preserve">CELL("sheet",OFFSET(Data!A1,2,1))</t>
  </si>
  <si>
    <t xml:space="preserve">CELL("coord",OFFSET(Data!A1,2,1))</t>
  </si>
  <si>
    <t xml:space="preserve">CELL("contents",OFFSET(Data!A1,2,1))</t>
  </si>
  <si>
    <t xml:space="preserve">CELL("type",OFFSET(Data!A1,2,1))</t>
  </si>
  <si>
    <t xml:space="preserve">CELL("Contents",OFFSET(Data!A1,2,1))</t>
  </si>
  <si>
    <t xml:space="preserve">CELL("ROW",OFFSET(Data!A1,2,1))</t>
  </si>
  <si>
    <t xml:space="preserve">CELL("address",Data!C1)</t>
  </si>
  <si>
    <t xml:space="preserve">CELL("ADDRESS",Data!C1)</t>
  </si>
  <si>
    <t xml:space="preserve">CELL("col",Data!C1)</t>
  </si>
  <si>
    <t xml:space="preserve">CELL("row",Data!C1)</t>
  </si>
  <si>
    <t xml:space="preserve">CELL("sheet",Data!C1)</t>
  </si>
  <si>
    <t xml:space="preserve">CELL("coord",Data!C1)</t>
  </si>
  <si>
    <t xml:space="preserve">CELL("contents",Data!C1)</t>
  </si>
  <si>
    <t xml:space="preserve">CELL("type",Data!C1)</t>
  </si>
  <si>
    <t xml:space="preserve">CELL("Contents",Data!C1)</t>
  </si>
  <si>
    <t xml:space="preserve">CELL("ROW",Data!C1)</t>
  </si>
  <si>
    <t xml:space="preserve">CELL("address",Data!E2)</t>
  </si>
  <si>
    <t xml:space="preserve">CELL("ADDRESS",Data!E2)</t>
  </si>
  <si>
    <t xml:space="preserve">CELL("col",Data!E2)</t>
  </si>
  <si>
    <t xml:space="preserve">CELL("row",Data!E2)</t>
  </si>
  <si>
    <t xml:space="preserve">CELL("sheet",Data!E2)</t>
  </si>
  <si>
    <t xml:space="preserve">CELL("coord",Data!E2)</t>
  </si>
  <si>
    <t xml:space="preserve">CELL("contents",Data!E2)</t>
  </si>
  <si>
    <t xml:space="preserve">CELL("type",Data!E2)</t>
  </si>
  <si>
    <t xml:space="preserve">CELL("Contents",Data!E2)</t>
  </si>
  <si>
    <t xml:space="preserve">CELL("ROW",Data!E2)</t>
  </si>
  <si>
    <t xml:space="preserve">CELL("address",IF(1,Data!B2))</t>
  </si>
  <si>
    <t xml:space="preserve">CELL("ADDRESS",IF(1,Data!B2))</t>
  </si>
  <si>
    <t xml:space="preserve">CELL("col",IF(1,Data!B2))</t>
  </si>
  <si>
    <t xml:space="preserve">CELL("row",IF(1,Data!B2))</t>
  </si>
  <si>
    <t xml:space="preserve">CELL("sheet",IF(1,Data!B2))</t>
  </si>
  <si>
    <t xml:space="preserve">CELL("coord",IF(1,Data!B2))</t>
  </si>
  <si>
    <t xml:space="preserve">CELL("contents",IF(1,Data!B2))</t>
  </si>
  <si>
    <t xml:space="preserve">CELL("type",IF(1,Data!B2))</t>
  </si>
  <si>
    <t xml:space="preserve">CELL("Contents",IF(1,Data!B2))</t>
  </si>
  <si>
    <t xml:space="preserve">CELL("ROW",IF(1,Data!B2))</t>
  </si>
  <si>
    <t xml:space="preserve">CELL("address",Data!AA100)</t>
  </si>
  <si>
    <t xml:space="preserve">CELL("ADDRESS",Data!AA100)</t>
  </si>
  <si>
    <t xml:space="preserve">CELL("col",Data!AA100)</t>
  </si>
  <si>
    <t xml:space="preserve">CELL("row",Data!AA100)</t>
  </si>
  <si>
    <t xml:space="preserve">CELL("sheet",Data!AA100)</t>
  </si>
  <si>
    <t xml:space="preserve">CELL("coord",Data!AA100)</t>
  </si>
  <si>
    <t xml:space="preserve">CELL("contents",Data!AA100)</t>
  </si>
  <si>
    <t xml:space="preserve">CELL("type",Data!AA100)</t>
  </si>
  <si>
    <t xml:space="preserve">CELL("Contents",Data!AA100)</t>
  </si>
  <si>
    <t xml:space="preserve">CELL("ROW",Data!AA100)</t>
  </si>
  <si>
    <t xml:space="preserve">CELL("address",Calc!XFD5)</t>
  </si>
  <si>
    <t xml:space="preserve">CELL("ADDRESS",Calc!XFD5)</t>
  </si>
  <si>
    <t xml:space="preserve">CELL("col",Calc!XFD5)</t>
  </si>
  <si>
    <t xml:space="preserve">CELL("row",Calc!XFD5)</t>
  </si>
  <si>
    <t xml:space="preserve">CELL("sheet",Calc!XFD5)</t>
  </si>
  <si>
    <t xml:space="preserve">CELL("coord",Calc!XFD5)</t>
  </si>
  <si>
    <t xml:space="preserve">CELL("contents",Calc!XFD5)</t>
  </si>
  <si>
    <t xml:space="preserve">CELL("type",Calc!XFD5)</t>
  </si>
  <si>
    <t xml:space="preserve">CELL("Contents",Calc!XFD5)</t>
  </si>
  <si>
    <t xml:space="preserve">CELL("ROW",Calc!XFD5)</t>
  </si>
  <si>
    <t xml:space="preserve">CELL("address",Data!A1:Z9)</t>
  </si>
  <si>
    <t xml:space="preserve">CELL("ADDRESS",Data!A1:Z9)</t>
  </si>
  <si>
    <t xml:space="preserve">CELL("col",Data!A1:Z9)</t>
  </si>
  <si>
    <t xml:space="preserve">CELL("row",Data!A1:Z9)</t>
  </si>
  <si>
    <t xml:space="preserve">CELL("sheet",Data!A1:Z9)</t>
  </si>
  <si>
    <t xml:space="preserve">CELL("coord",Data!A1:Z9)</t>
  </si>
  <si>
    <t xml:space="preserve">CELL("contents",Data!A1:Z9)</t>
  </si>
  <si>
    <t xml:space="preserve">CELL("type",Data!A1:Z9)</t>
  </si>
  <si>
    <t xml:space="preserve">CELL("Contents",Data!A1:Z9)</t>
  </si>
  <si>
    <t xml:space="preserve">CELL("ROW",Data!A1:Z9)</t>
  </si>
  <si>
    <t xml:space="preserve">CELL("address")</t>
  </si>
  <si>
    <t xml:space="preserve">CELL("row")</t>
  </si>
  <si>
    <t xml:space="preserve">CELL("col")</t>
  </si>
  <si>
    <t xml:space="preserve">CELL("sheet")</t>
  </si>
  <si>
    <t xml:space="preserve">CELL("coord")</t>
  </si>
  <si>
    <t xml:space="preserve">CELL("type")</t>
  </si>
  <si>
    <t xml:space="preserve">CELL("contents")</t>
  </si>
  <si>
    <t xml:space="preserve">CELL("addres",Data!B3)</t>
  </si>
  <si>
    <t xml:space="preserve">CELL("a",Data!B3)</t>
  </si>
  <si>
    <t xml:space="preserve">CELL("",Data!B3)</t>
  </si>
  <si>
    <t xml:space="preserve">CELL(1,Data!B3)</t>
  </si>
  <si>
    <t xml:space="preserve">CELL(TRUE,Data!A1)</t>
  </si>
  <si>
    <t xml:space="preserve">CELL(NA(),Data!A1)</t>
  </si>
  <si>
    <t xml:space="preserve">CELL("x",1)</t>
  </si>
  <si>
    <t xml:space="preserve">CELL("x",Data!A1)</t>
  </si>
  <si>
    <t xml:space="preserve">CELL("row",NA())</t>
  </si>
  <si>
    <t xml:space="preserve">CELL("row",1)</t>
  </si>
  <si>
    <t xml:space="preserve">CELL("row","a")</t>
  </si>
  <si>
    <t xml:space="preserve">CELL("contents",1+1)</t>
  </si>
  <si>
    <t xml:space="preserve">CELL("contents",NA())</t>
  </si>
  <si>
    <t xml:space="preserve">CELL("type",1)</t>
  </si>
  <si>
    <t xml:space="preserve">CELL("type",TRUE)</t>
  </si>
  <si>
    <t xml:space="preserve">CELL("type",NA())</t>
  </si>
  <si>
    <t xml:space="preserve">CELL("type",Calc!A1)</t>
  </si>
  <si>
    <t xml:space="preserve">CELL("type",Calc!A2)</t>
  </si>
  <si>
    <t xml:space="preserve">CELL("type",Calc!A5)</t>
  </si>
  <si>
    <t xml:space="preserve">CELL("type",Calc!A40)</t>
  </si>
  <si>
    <t xml:space="preserve">CELL("type",Calc!A300)</t>
  </si>
  <si>
    <t xml:space="preserve">CELL("contents",Calc!A300)</t>
  </si>
  <si>
    <t xml:space="preserve">CELL("row",Calc!A300:B400)</t>
  </si>
  <si>
    <t xml:space="preserve">CELL("address",1/0)</t>
  </si>
  <si>
    <t xml:space="preserve">CELL("type",1/0)</t>
  </si>
  <si>
    <t xml:space="preserve">CELL("type",A1/0)</t>
  </si>
  <si>
    <t xml:space="preserve">CELL("contents",Calc!A24297)</t>
  </si>
  <si>
    <t xml:space="preserve">CELL("type",Calc!A24297)</t>
  </si>
  <si>
    <t xml:space="preserve">INFO("recalc")</t>
  </si>
  <si>
    <t xml:space="preserve">INFO("RECALC")</t>
  </si>
  <si>
    <t xml:space="preserve">INFO("numfile")</t>
  </si>
  <si>
    <t xml:space="preserve">INFO("origin")</t>
  </si>
  <si>
    <t xml:space="preserve">INFO("memavail")</t>
  </si>
  <si>
    <t xml:space="preserve">INFO("totmem")</t>
  </si>
  <si>
    <t xml:space="preserve">INFO("memused")</t>
  </si>
  <si>
    <t xml:space="preserve">INFO("x")</t>
  </si>
  <si>
    <t xml:space="preserve">INFO("")</t>
  </si>
  <si>
    <t xml:space="preserve">INFO(1)</t>
  </si>
  <si>
    <t xml:space="preserve">INFO(NA())</t>
  </si>
  <si>
    <t xml:space="preserve">INFO("sys")</t>
  </si>
  <si>
    <t xml:space="preserve">INFO("osversion ")</t>
  </si>
  <si>
    <t xml:space="preserve">INFO(" recalc")</t>
  </si>
  <si>
    <t xml:space="preserve">INFO(1/0)</t>
  </si>
  <si>
    <t xml:space="preserve">STYLE("Good")</t>
  </si>
  <si>
    <t xml:space="preserve">STYLE("Default")</t>
  </si>
  <si>
    <t xml:space="preserve">STYLE("NoSuchStyle")</t>
  </si>
  <si>
    <t xml:space="preserve">STYLE("Good",2,"Default")</t>
  </si>
  <si>
    <t xml:space="preserve">STYLE("Good","x")</t>
  </si>
  <si>
    <t xml:space="preserve">STYLE("Good",-1)</t>
  </si>
  <si>
    <t xml:space="preserve">STYLE("Good",0)</t>
  </si>
  <si>
    <t xml:space="preserve">STYLE("Good",1,"Nope")</t>
  </si>
  <si>
    <t xml:space="preserve">STYLE(1)</t>
  </si>
  <si>
    <t xml:space="preserve">STYLE("")</t>
  </si>
  <si>
    <t xml:space="preserve">STYLE("Good",1,"")</t>
  </si>
  <si>
    <t xml:space="preserve">STYLE(1/0)</t>
  </si>
  <si>
    <t xml:space="preserve">STYLE("Good",1/0)</t>
  </si>
  <si>
    <t xml:space="preserve">STYLE("Good",1,1/0)</t>
  </si>
  <si>
    <t xml:space="preserve">STYLE(NA(),1/0)</t>
  </si>
  <si>
    <t xml:space="preserve">STYLE("Good",TRUE)</t>
  </si>
  <si>
    <t xml:space="preserve">STYLE(Data!B1)</t>
  </si>
  <si>
    <t xml:space="preserve">STYLE("Good",Data!A1)</t>
  </si>
  <si>
    <t xml:space="preserve">STYLE("Good",Data!B1)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</si>
</sst>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mm/dd/yy"/>
    <numFmt numFmtId="167" formatCode="hh:mm:ss\ AM/PM"/>
    <numFmt numFmtId="168" formatCode="[$$-409]#,##0.00;[RED]\-[$$-409]#,##0.00"/>
    <numFmt numFmtId="169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0" t="s">
        <v>1</v>
      </c>
      <c r="F1" s="0" t="s">
        <v>2</v>
      </c>
      <c r="G1" s="0" t="s">
        <v>3</v>
      </c>
      <c r="H1" s="0" t="n">
        <v>1</v>
      </c>
      <c r="I1" s="0" t="n">
        <v>9</v>
      </c>
      <c r="J1" s="0" t="n">
        <v>-100</v>
      </c>
      <c r="K1" s="0" t="n">
        <v>2</v>
      </c>
      <c r="L1" s="0" t="n">
        <v>10</v>
      </c>
      <c r="M1" s="0" t="n">
        <v>1</v>
      </c>
      <c r="O1" s="0" t="s">
        <v>4</v>
      </c>
      <c r="P1" s="0" t="s">
        <v>5</v>
      </c>
      <c r="Q1" s="0" t="s">
        <v>6</v>
      </c>
      <c r="R1" s="0" t="s">
        <v>7</v>
      </c>
      <c r="T1" s="0" t="s">
        <v>5</v>
      </c>
      <c r="V1" s="0" t="s">
        <v>5</v>
      </c>
      <c r="W1" s="0" t="s">
        <v>4</v>
      </c>
      <c r="Y1" s="0" t="s">
        <v>4</v>
      </c>
      <c r="AA1" s="0" t="s">
        <v>5</v>
      </c>
      <c r="AB1" s="0" t="s">
        <v>4</v>
      </c>
      <c r="AD1" s="0" t="s">
        <v>5</v>
      </c>
      <c r="AF1" s="0" t="s">
        <v>8</v>
      </c>
      <c r="AH1" s="0" t="s">
        <v>7</v>
      </c>
      <c r="AI1" s="0" t="s">
        <v>7</v>
      </c>
      <c r="AK1" s="0" t="s">
        <v>4</v>
      </c>
      <c r="AM1" s="0" t="s">
        <v>5</v>
      </c>
      <c r="AO1" s="0" t="s">
        <v>4</v>
      </c>
      <c r="AQ1" s="0" t="s">
        <v>4</v>
      </c>
      <c r="AS1" s="0" t="s">
        <v>4</v>
      </c>
      <c r="AU1" s="0" t="s">
        <v>4</v>
      </c>
      <c r="AW1" s="0" t="s">
        <v>7</v>
      </c>
      <c r="AY1" s="0" t="s">
        <v>5</v>
      </c>
      <c r="AZ1" s="0" t="s">
        <v>4</v>
      </c>
      <c r="BA1" s="0" t="s">
        <v>7</v>
      </c>
      <c r="BC1" s="0" t="s">
        <v>4</v>
      </c>
      <c r="BE1" s="0" t="s">
        <v>4</v>
      </c>
      <c r="BF1" s="0" t="n">
        <v>1</v>
      </c>
      <c r="BG1" s="0" t="n">
        <v>4</v>
      </c>
      <c r="BH1" s="0" t="n">
        <v>2</v>
      </c>
    </row>
    <row r="2" customFormat="false" ht="15" hidden="false" customHeight="false" outlineLevel="0" collapsed="false">
      <c r="A2" s="0" t="n">
        <v>3</v>
      </c>
      <c r="B2" s="0" t="s">
        <v>9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  <c r="K2" s="0" t="n">
        <v>4</v>
      </c>
      <c r="L2" s="0" t="n">
        <v>20</v>
      </c>
      <c r="M2" s="0" t="e">
        <f aca="false">NA()</f>
        <v>#N/A</v>
      </c>
      <c r="O2" s="0" t="s">
        <v>10</v>
      </c>
      <c r="P2" s="0" t="n">
        <v>30</v>
      </c>
      <c r="Q2" s="0" t="n">
        <v>160</v>
      </c>
      <c r="R2" s="0" t="n">
        <v>80</v>
      </c>
      <c r="T2" s="0" t="n">
        <v>30</v>
      </c>
      <c r="V2" s="0" t="s">
        <v>11</v>
      </c>
      <c r="W2" s="0" t="s">
        <v>12</v>
      </c>
      <c r="Y2" s="0" t="s">
        <v>10</v>
      </c>
      <c r="AA2" s="0" t="s">
        <v>13</v>
      </c>
      <c r="AF2" s="0" t="n">
        <v>1</v>
      </c>
      <c r="AH2" s="0" t="s">
        <v>14</v>
      </c>
      <c r="AI2" s="0" t="s">
        <v>15</v>
      </c>
      <c r="AK2" s="0" t="s">
        <v>16</v>
      </c>
      <c r="AM2" s="0" t="n">
        <f aca="false">25</f>
        <v>25</v>
      </c>
      <c r="AO2" s="0" t="s">
        <v>17</v>
      </c>
      <c r="AQ2" s="0" t="s">
        <v>18</v>
      </c>
      <c r="AS2" s="0" t="s">
        <v>19</v>
      </c>
      <c r="AW2" s="0" t="s">
        <v>20</v>
      </c>
      <c r="AY2" s="0" t="s">
        <v>21</v>
      </c>
      <c r="BC2" s="0" t="s">
        <v>22</v>
      </c>
      <c r="BE2" s="0" t="s">
        <v>23</v>
      </c>
      <c r="BF2" s="0" t="n">
        <v>4</v>
      </c>
      <c r="BG2" s="0" t="n">
        <v>6</v>
      </c>
      <c r="BH2" s="0" t="n">
        <v>8</v>
      </c>
    </row>
    <row r="3" customFormat="false" ht="15" hidden="false" customHeight="false" outlineLevel="0" collapsed="false">
      <c r="A3" s="0" t="n">
        <v>8</v>
      </c>
      <c r="B3" s="0" t="s">
        <v>24</v>
      </c>
      <c r="C3" s="1" t="n">
        <v>45368</v>
      </c>
      <c r="H3" s="0" t="n">
        <v>5</v>
      </c>
      <c r="I3" s="0" t="n">
        <v>5</v>
      </c>
      <c r="J3" s="0" t="n">
        <v>40</v>
      </c>
      <c r="K3" s="0" t="n">
        <v>5</v>
      </c>
      <c r="L3" s="0" t="n">
        <v>30</v>
      </c>
      <c r="M3" s="0" t="n">
        <v>3</v>
      </c>
      <c r="O3" s="0" t="s">
        <v>25</v>
      </c>
      <c r="P3" s="0" t="n">
        <v>25</v>
      </c>
      <c r="Q3" s="0" t="n">
        <v>175</v>
      </c>
      <c r="R3" s="0" t="n">
        <v>90</v>
      </c>
      <c r="Y3" s="0" t="s">
        <v>25</v>
      </c>
      <c r="AA3" s="0" t="s">
        <v>26</v>
      </c>
      <c r="AZ3" s="0" t="s">
        <v>12</v>
      </c>
      <c r="BA3" s="0" t="s">
        <v>27</v>
      </c>
      <c r="BF3" s="0" t="n">
        <v>2</v>
      </c>
      <c r="BG3" s="0" t="n">
        <v>7</v>
      </c>
      <c r="BH3" s="0" t="n">
        <v>4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  <c r="K4" s="0" t="n">
        <v>4</v>
      </c>
      <c r="L4" s="0" t="n">
        <v>40</v>
      </c>
      <c r="M4" s="0" t="s">
        <v>28</v>
      </c>
      <c r="O4" s="0" t="s">
        <v>29</v>
      </c>
      <c r="P4" s="0" t="n">
        <v>30</v>
      </c>
      <c r="Q4" s="0" t="n">
        <v>180</v>
      </c>
      <c r="R4" s="0" t="n">
        <v>70</v>
      </c>
      <c r="BF4" s="0" t="n">
        <v>6</v>
      </c>
      <c r="BG4" s="0" t="n">
        <v>5</v>
      </c>
      <c r="BH4" s="0" t="n">
        <v>12</v>
      </c>
    </row>
    <row r="5" customFormat="false" ht="15" hidden="false" customHeight="false" outlineLevel="0" collapsed="false">
      <c r="A5" s="0" t="n">
        <v>9</v>
      </c>
      <c r="B5" s="0" t="s">
        <v>30</v>
      </c>
      <c r="C5" s="1" t="n">
        <v>45431</v>
      </c>
      <c r="H5" s="0" t="n">
        <v>9</v>
      </c>
      <c r="I5" s="0" t="n">
        <v>1</v>
      </c>
      <c r="J5" s="0" t="n">
        <v>60</v>
      </c>
      <c r="K5" s="0" t="n">
        <v>5</v>
      </c>
      <c r="L5" s="0" t="n">
        <f aca="false">SUBTOTAL(9,L1:L4)</f>
        <v>100</v>
      </c>
      <c r="O5" s="0" t="s">
        <v>31</v>
      </c>
      <c r="P5" s="0" t="n">
        <v>41</v>
      </c>
      <c r="Q5" s="0" t="n">
        <v>165</v>
      </c>
      <c r="R5" s="0" t="n">
        <v>85</v>
      </c>
      <c r="BF5" s="0" t="n">
        <v>3</v>
      </c>
      <c r="BG5" s="0" t="n">
        <v>3</v>
      </c>
      <c r="BH5" s="0" t="n">
        <v>6</v>
      </c>
    </row>
    <row r="6" customFormat="false" ht="15" hidden="false" customHeight="false" outlineLevel="0" collapsed="false">
      <c r="A6" s="0" t="n">
        <v>2</v>
      </c>
      <c r="B6" s="0" t="s">
        <v>9</v>
      </c>
      <c r="C6" s="1" t="n">
        <v>45463</v>
      </c>
      <c r="K6" s="0" t="n">
        <v>7</v>
      </c>
      <c r="L6" s="0" t="n">
        <v>5</v>
      </c>
      <c r="O6" s="0" t="s">
        <v>23</v>
      </c>
      <c r="P6" s="0" t="n">
        <v>25</v>
      </c>
      <c r="Q6" s="0" t="n">
        <v>170</v>
      </c>
      <c r="R6" s="0" t="n">
        <v>60</v>
      </c>
      <c r="BF6" s="0" t="n">
        <v>5</v>
      </c>
      <c r="BG6" s="0" t="n">
        <v>2</v>
      </c>
      <c r="BH6" s="0" t="n">
        <v>10</v>
      </c>
    </row>
    <row r="7" customFormat="false" ht="15" hidden="true" customHeight="false" outlineLevel="0" collapsed="false">
      <c r="A7" s="0" t="n">
        <v>7</v>
      </c>
      <c r="B7" s="0" t="s">
        <v>0</v>
      </c>
      <c r="C7" s="1" t="n">
        <v>45494</v>
      </c>
      <c r="K7" s="0" t="n">
        <v>8</v>
      </c>
      <c r="O7" s="0" t="s">
        <v>32</v>
      </c>
      <c r="P7" s="0" t="n">
        <v>35</v>
      </c>
      <c r="Q7" s="0" t="n">
        <v>158</v>
      </c>
      <c r="R7" s="0" t="n">
        <v>95</v>
      </c>
      <c r="BF7" s="0" t="n">
        <v>9</v>
      </c>
      <c r="BG7" s="0" t="n">
        <v>7</v>
      </c>
      <c r="BH7" s="0" t="n">
        <v>18</v>
      </c>
    </row>
    <row r="8" customFormat="false" ht="15" hidden="true" customHeight="false" outlineLevel="0" collapsed="false">
      <c r="A8" s="0" t="n">
        <v>4</v>
      </c>
      <c r="B8" s="0" t="s">
        <v>33</v>
      </c>
      <c r="C8" s="1" t="n">
        <v>45526</v>
      </c>
      <c r="K8" s="0" t="n">
        <v>9</v>
      </c>
      <c r="O8" s="0" t="s">
        <v>25</v>
      </c>
      <c r="P8" s="0" t="n">
        <v>52</v>
      </c>
      <c r="Q8" s="0" t="n">
        <v>182</v>
      </c>
      <c r="R8" s="0" t="n">
        <v>77</v>
      </c>
      <c r="BF8" s="0" t="n">
        <v>7</v>
      </c>
      <c r="BG8" s="0" t="n">
        <v>1</v>
      </c>
      <c r="BH8" s="0" t="n">
        <v>14</v>
      </c>
    </row>
    <row r="9" customFormat="false" ht="15" hidden="false" customHeight="false" outlineLevel="0" collapsed="false">
      <c r="O9" s="0" t="s">
        <v>22</v>
      </c>
      <c r="P9" s="0" t="s">
        <v>34</v>
      </c>
      <c r="Q9" s="0" t="n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f aca="false">SUM(Data!A1:A8)</f>
        <v>39</v>
      </c>
      <c r="B1" s="0" t="s">
        <v>35</v>
      </c>
    </row>
    <row r="2" customFormat="false" ht="15" hidden="false" customHeight="false" outlineLevel="0" collapsed="false">
      <c r="A2" s="0" t="n">
        <f aca="false">AVERAGE(Data!A1:A8)</f>
        <v>4.875</v>
      </c>
      <c r="B2" s="0" t="s">
        <v>36</v>
      </c>
    </row>
    <row r="3" customFormat="false" ht="15" hidden="false" customHeight="false" outlineLevel="0" collapsed="false">
      <c r="A3" s="0" t="n">
        <f aca="false">MIN(Data!A1:A8)</f>
        <v>1</v>
      </c>
      <c r="B3" s="0" t="s">
        <v>37</v>
      </c>
    </row>
    <row r="4" customFormat="false" ht="15" hidden="false" customHeight="false" outlineLevel="0" collapsed="false">
      <c r="A4" s="0" t="n">
        <f aca="false">MAX(Data!A1:A8)</f>
        <v>9</v>
      </c>
      <c r="B4" s="0" t="s">
        <v>38</v>
      </c>
    </row>
    <row r="5" customFormat="false" ht="15" hidden="false" customHeight="false" outlineLevel="0" collapsed="false">
      <c r="A5" s="0" t="n">
        <f aca="false">COUNT(Data!A1:A8)</f>
        <v>8</v>
      </c>
      <c r="B5" s="0" t="s">
        <v>39</v>
      </c>
    </row>
    <row r="6" customFormat="false" ht="15" hidden="false" customHeight="false" outlineLevel="0" collapsed="false">
      <c r="A6" s="0" t="n">
        <f aca="false">COUNTA(Data!B1:B9)</f>
        <v>8</v>
      </c>
      <c r="B6" s="0" t="s">
        <v>40</v>
      </c>
    </row>
    <row r="7" customFormat="false" ht="15" hidden="false" customHeight="false" outlineLevel="0" collapsed="false">
      <c r="A7" s="0" t="n">
        <f aca="false">MEDIAN(Data!A1:A8)</f>
        <v>4.5</v>
      </c>
      <c r="B7" s="0" t="s">
        <v>41</v>
      </c>
    </row>
    <row r="8" customFormat="false" ht="15" hidden="false" customHeight="false" outlineLevel="0" collapsed="false">
      <c r="A8" s="0" t="n">
        <f aca="false">LARGE(Data!A1:A8,2)</f>
        <v>8</v>
      </c>
      <c r="B8" s="0" t="s">
        <v>42</v>
      </c>
    </row>
    <row r="9" customFormat="false" ht="15" hidden="false" customHeight="false" outlineLevel="0" collapsed="false">
      <c r="A9" s="0" t="n">
        <f aca="false">SMALL(Data!A1:A8,3)</f>
        <v>3</v>
      </c>
      <c r="B9" s="0" t="s">
        <v>43</v>
      </c>
    </row>
    <row r="10" customFormat="false" ht="15" hidden="false" customHeight="false" outlineLevel="0" collapsed="false">
      <c r="A10" s="0" t="n">
        <f aca="false">PRODUCT(Data!A1:A3)</f>
        <v>120</v>
      </c>
      <c r="B10" s="0" t="s">
        <v>44</v>
      </c>
    </row>
    <row r="11" customFormat="false" ht="15" hidden="false" customHeight="false" outlineLevel="0" collapsed="false">
      <c r="A11" s="0" t="n">
        <f aca="false">SUMIF(Data!B1:B8,"apple",Data!A1:A8)</f>
        <v>13</v>
      </c>
      <c r="B11" s="0" t="s">
        <v>45</v>
      </c>
    </row>
    <row r="12" customFormat="false" ht="15" hidden="false" customHeight="false" outlineLevel="0" collapsed="false">
      <c r="A12" s="0" t="n">
        <f aca="false">COUNTIF(Data!B1:B8,"a*")</f>
        <v>3</v>
      </c>
      <c r="B12" s="0" t="s">
        <v>46</v>
      </c>
    </row>
    <row r="13" customFormat="false" ht="15" hidden="false" customHeight="false" outlineLevel="0" collapsed="false">
      <c r="A13" s="0" t="n">
        <f aca="false">COUNTIF(Data!A1:A8,"&gt;4")</f>
        <v>4</v>
      </c>
      <c r="B13" s="0" t="s">
        <v>47</v>
      </c>
    </row>
    <row r="14" customFormat="false" ht="15" hidden="false" customHeight="false" outlineLevel="0" collapsed="false">
      <c r="A14" s="0" t="n">
        <f aca="false">COUNTIF(Data!A1:A8,"&lt;&gt;5")</f>
        <v>7</v>
      </c>
      <c r="B14" s="0" t="s">
        <v>48</v>
      </c>
    </row>
    <row r="15" customFormat="false" ht="15" hidden="false" customHeight="false" outlineLevel="0" collapsed="false">
      <c r="A15" s="0" t="n">
        <f aca="false">SUMIFS(Data!A1:A8,Data!B1:B8,"apple",Data!A1:A8,"&gt;=5")</f>
        <v>12</v>
      </c>
      <c r="B15" s="0" t="s">
        <v>49</v>
      </c>
    </row>
    <row r="16" customFormat="false" ht="15" hidden="false" customHeight="false" outlineLevel="0" collapsed="false">
      <c r="A16" s="0" t="n">
        <f aca="false">AVERAGEIF(Data!B1:B8,"banana",Data!A1:A8)</f>
        <v>2.5</v>
      </c>
      <c r="B16" s="0" t="s">
        <v>50</v>
      </c>
    </row>
    <row r="17" customFormat="false" ht="15" hidden="false" customHeight="false" outlineLevel="0" collapsed="false">
      <c r="A17" s="0" t="n">
        <f aca="false">COUNTIFS(Data!B1:B8,"apple",Data!A1:A8,"&lt;6")</f>
        <v>2</v>
      </c>
      <c r="B17" s="0" t="s">
        <v>51</v>
      </c>
    </row>
    <row r="18" customFormat="false" ht="15" hidden="false" customHeight="false" outlineLevel="0" collapsed="false">
      <c r="A18" s="0" t="n">
        <f aca="false">_xlfn.MAXIFS(Data!A1:A8,Data!B1:B8,"apple")</f>
        <v>7</v>
      </c>
      <c r="B18" s="0" t="s">
        <v>52</v>
      </c>
    </row>
    <row r="19" customFormat="false" ht="15" hidden="false" customHeight="false" outlineLevel="0" collapsed="false">
      <c r="A19" s="0" t="n">
        <f aca="false">_xlfn.MINIFS(Data!A1:A8,Data!B1:B8,"apple")</f>
        <v>1</v>
      </c>
      <c r="B19" s="0" t="s">
        <v>53</v>
      </c>
    </row>
    <row r="20" customFormat="false" ht="15" hidden="false" customHeight="false" outlineLevel="0" collapsed="false">
      <c r="A20" s="0" t="n">
        <f aca="false">SUMPRODUCT(Data!A1:A8,Data!A1:A8)</f>
        <v>249</v>
      </c>
      <c r="B20" s="0" t="s">
        <v>54</v>
      </c>
    </row>
    <row r="21" customFormat="false" ht="15" hidden="false" customHeight="false" outlineLevel="0" collapsed="false">
      <c r="A21" s="0" t="n">
        <f aca="false">SUMPRODUCT((Data!B1:B8="apple")*(Data!A1:A8))</f>
        <v>13</v>
      </c>
      <c r="B21" s="0" t="s">
        <v>55</v>
      </c>
    </row>
    <row r="22" customFormat="false" ht="15" hidden="false" customHeight="false" outlineLevel="0" collapsed="false">
      <c r="A22" s="0" t="n">
        <f aca="false">COUNTBLANK(Data!B1:B9)</f>
        <v>1</v>
      </c>
      <c r="B22" s="0" t="s">
        <v>56</v>
      </c>
    </row>
    <row r="23" customFormat="false" ht="15" hidden="false" customHeight="false" outlineLevel="0" collapsed="false">
      <c r="A23" s="0" t="n">
        <f aca="false">SUM(Data!A:A)</f>
        <v>39</v>
      </c>
      <c r="B23" s="0" t="s">
        <v>57</v>
      </c>
    </row>
    <row r="24" customFormat="false" ht="15" hidden="false" customHeight="false" outlineLevel="0" collapsed="false">
      <c r="A24" s="0" t="n">
        <f aca="false">SUMSQ(Data!A1:A3)</f>
        <v>98</v>
      </c>
      <c r="B24" s="0" t="s">
        <v>58</v>
      </c>
    </row>
    <row r="25" customFormat="false" ht="15" hidden="false" customHeight="false" outlineLevel="0" collapsed="false">
      <c r="A25" s="0" t="n">
        <f aca="false">STDEV(Data!A1:A8)</f>
        <v>2.90012315009454</v>
      </c>
      <c r="B25" s="0" t="s">
        <v>59</v>
      </c>
    </row>
    <row r="26" customFormat="false" ht="15" hidden="false" customHeight="false" outlineLevel="0" collapsed="false">
      <c r="A26" s="0" t="n">
        <f aca="false">VAR(Data!A1:A8)</f>
        <v>8.41071428571429</v>
      </c>
      <c r="B26" s="0" t="s">
        <v>60</v>
      </c>
    </row>
    <row r="27" customFormat="false" ht="15" hidden="false" customHeight="false" outlineLevel="0" collapsed="false">
      <c r="A27" s="0" t="n">
        <f aca="false">ROUND(Data!A1/3,2)</f>
        <v>1.67</v>
      </c>
      <c r="B27" s="0" t="s">
        <v>61</v>
      </c>
    </row>
    <row r="28" customFormat="false" ht="15" hidden="false" customHeight="false" outlineLevel="0" collapsed="false">
      <c r="A28" s="0" t="n">
        <f aca="false">ROUND(2.5,0)</f>
        <v>3</v>
      </c>
      <c r="B28" s="0" t="s">
        <v>62</v>
      </c>
    </row>
    <row r="29" customFormat="false" ht="15" hidden="false" customHeight="false" outlineLevel="0" collapsed="false">
      <c r="A29" s="0" t="n">
        <f aca="false">ROUND(-2.5,0)</f>
        <v>-3</v>
      </c>
      <c r="B29" s="0" t="s">
        <v>63</v>
      </c>
    </row>
    <row r="30" customFormat="false" ht="15" hidden="false" customHeight="false" outlineLevel="0" collapsed="false">
      <c r="A30" s="0" t="n">
        <f aca="false">ROUND(1.005,2)</f>
        <v>1.01</v>
      </c>
      <c r="B30" s="0" t="s">
        <v>64</v>
      </c>
    </row>
    <row r="31" customFormat="false" ht="15" hidden="false" customHeight="false" outlineLevel="0" collapsed="false">
      <c r="A31" s="0" t="n">
        <f aca="false">ROUND(1234.567,-2)</f>
        <v>1200</v>
      </c>
      <c r="B31" s="0" t="s">
        <v>65</v>
      </c>
    </row>
    <row r="32" customFormat="false" ht="15" hidden="false" customHeight="false" outlineLevel="0" collapsed="false">
      <c r="A32" s="0" t="n">
        <f aca="false">ROUNDUP(2.341,2)</f>
        <v>2.35</v>
      </c>
      <c r="B32" s="0" t="s">
        <v>66</v>
      </c>
    </row>
    <row r="33" customFormat="false" ht="15" hidden="false" customHeight="false" outlineLevel="0" collapsed="false">
      <c r="A33" s="0" t="n">
        <f aca="false">ROUNDDOWN(-2.349,2)</f>
        <v>-2.34</v>
      </c>
      <c r="B33" s="0" t="s">
        <v>67</v>
      </c>
    </row>
    <row r="34" customFormat="false" ht="15" hidden="false" customHeight="false" outlineLevel="0" collapsed="false">
      <c r="A34" s="0" t="n">
        <f aca="false">TRUNC(8.97)</f>
        <v>8</v>
      </c>
      <c r="B34" s="0" t="s">
        <v>68</v>
      </c>
    </row>
    <row r="35" customFormat="false" ht="15" hidden="false" customHeight="false" outlineLevel="0" collapsed="false">
      <c r="A35" s="0" t="n">
        <f aca="false">TRUNC(8.97,1)</f>
        <v>8.9</v>
      </c>
      <c r="B35" s="0" t="s">
        <v>69</v>
      </c>
    </row>
    <row r="36" customFormat="false" ht="15" hidden="false" customHeight="false" outlineLevel="0" collapsed="false">
      <c r="A36" s="0" t="n">
        <f aca="false">INT(-3.2)</f>
        <v>-4</v>
      </c>
      <c r="B36" s="0" t="s">
        <v>70</v>
      </c>
    </row>
    <row r="37" customFormat="false" ht="15" hidden="false" customHeight="false" outlineLevel="0" collapsed="false">
      <c r="A37" s="0" t="n">
        <f aca="false">MOD(-7,3)</f>
        <v>2</v>
      </c>
      <c r="B37" s="0" t="s">
        <v>71</v>
      </c>
    </row>
    <row r="38" customFormat="false" ht="15" hidden="false" customHeight="false" outlineLevel="0" collapsed="false">
      <c r="A38" s="0" t="n">
        <f aca="false">MOD(7,-3)</f>
        <v>-2</v>
      </c>
      <c r="B38" s="0" t="s">
        <v>72</v>
      </c>
    </row>
    <row r="39" customFormat="false" ht="15" hidden="false" customHeight="false" outlineLevel="0" collapsed="false">
      <c r="A39" s="0" t="n">
        <f aca="false">POWER(2,10)</f>
        <v>1024</v>
      </c>
      <c r="B39" s="0" t="s">
        <v>73</v>
      </c>
    </row>
    <row r="40" customFormat="false" ht="15" hidden="false" customHeight="false" outlineLevel="0" collapsed="false">
      <c r="A40" s="0" t="n">
        <f aca="false">SQRT(16)</f>
        <v>4</v>
      </c>
      <c r="B40" s="0" t="s">
        <v>74</v>
      </c>
    </row>
    <row r="41" customFormat="false" ht="15" hidden="false" customHeight="false" outlineLevel="0" collapsed="false">
      <c r="A41" s="0" t="n">
        <f aca="false">ABS(-4)</f>
        <v>4</v>
      </c>
      <c r="B41" s="0" t="s">
        <v>75</v>
      </c>
    </row>
    <row r="42" customFormat="false" ht="15" hidden="false" customHeight="false" outlineLevel="0" collapsed="false">
      <c r="A42" s="0" t="n">
        <f aca="false">SIGN(-3)</f>
        <v>-1</v>
      </c>
      <c r="B42" s="0" t="s">
        <v>76</v>
      </c>
    </row>
    <row r="43" customFormat="false" ht="15" hidden="false" customHeight="false" outlineLevel="0" collapsed="false">
      <c r="A43" s="0" t="n">
        <f aca="false">EXP(1)</f>
        <v>2.71828182845905</v>
      </c>
      <c r="B43" s="0" t="s">
        <v>77</v>
      </c>
    </row>
    <row r="44" customFormat="false" ht="15" hidden="false" customHeight="false" outlineLevel="0" collapsed="false">
      <c r="A44" s="0" t="n">
        <f aca="false">LN(10)</f>
        <v>2.30258509299405</v>
      </c>
      <c r="B44" s="0" t="s">
        <v>78</v>
      </c>
    </row>
    <row r="45" customFormat="false" ht="15" hidden="false" customHeight="false" outlineLevel="0" collapsed="false">
      <c r="A45" s="0" t="n">
        <f aca="false">LOG(100,10)</f>
        <v>2</v>
      </c>
      <c r="B45" s="0" t="s">
        <v>79</v>
      </c>
    </row>
    <row r="46" customFormat="false" ht="15" hidden="false" customHeight="false" outlineLevel="0" collapsed="false">
      <c r="A46" s="0" t="n">
        <f aca="false">LOG(8,2)</f>
        <v>3</v>
      </c>
      <c r="B46" s="0" t="s">
        <v>80</v>
      </c>
    </row>
    <row r="47" customFormat="false" ht="15" hidden="false" customHeight="false" outlineLevel="0" collapsed="false">
      <c r="A47" s="0" t="n">
        <f aca="false">LOG10(1000)</f>
        <v>3</v>
      </c>
      <c r="B47" s="0" t="s">
        <v>81</v>
      </c>
    </row>
    <row r="48" customFormat="false" ht="15" hidden="false" customHeight="false" outlineLevel="0" collapsed="false">
      <c r="A48" s="0" t="n">
        <f aca="false">CEILING(4.3,0.5)</f>
        <v>4.5</v>
      </c>
      <c r="B48" s="0" t="s">
        <v>82</v>
      </c>
    </row>
    <row r="49" customFormat="false" ht="15" hidden="false" customHeight="false" outlineLevel="0" collapsed="false">
      <c r="A49" s="0" t="n">
        <f aca="false">FLOOR(4.3,0.5)</f>
        <v>4</v>
      </c>
      <c r="B49" s="0" t="s">
        <v>83</v>
      </c>
    </row>
    <row r="50" customFormat="false" ht="15" hidden="false" customHeight="false" outlineLevel="0" collapsed="false">
      <c r="A50" s="0" t="n">
        <f aca="false">PI()</f>
        <v>3.14159265358979</v>
      </c>
      <c r="B50" s="0" t="s">
        <v>84</v>
      </c>
    </row>
    <row r="51" customFormat="false" ht="15" hidden="false" customHeight="false" outlineLevel="0" collapsed="false">
      <c r="A51" s="0" t="n">
        <f aca="false">EVEN(3)</f>
        <v>4</v>
      </c>
      <c r="B51" s="0" t="s">
        <v>85</v>
      </c>
    </row>
    <row r="52" customFormat="false" ht="15" hidden="false" customHeight="false" outlineLevel="0" collapsed="false">
      <c r="A52" s="0" t="n">
        <f aca="false">ODD(2)</f>
        <v>3</v>
      </c>
      <c r="B52" s="0" t="s">
        <v>86</v>
      </c>
    </row>
    <row r="53" customFormat="false" ht="15" hidden="false" customHeight="false" outlineLevel="0" collapsed="false">
      <c r="A53" s="0" t="n">
        <f aca="false">EVEN(-3)</f>
        <v>-4</v>
      </c>
      <c r="B53" s="0" t="s">
        <v>87</v>
      </c>
    </row>
    <row r="54" customFormat="false" ht="15" hidden="false" customHeight="false" outlineLevel="0" collapsed="false">
      <c r="A54" s="0" t="n">
        <f aca="false">FACT(5)</f>
        <v>120</v>
      </c>
      <c r="B54" s="0" t="s">
        <v>88</v>
      </c>
    </row>
    <row r="55" customFormat="false" ht="15" hidden="false" customHeight="false" outlineLevel="0" collapsed="false">
      <c r="A55" s="0" t="n">
        <f aca="false">DEGREES(PI())</f>
        <v>180</v>
      </c>
      <c r="B55" s="0" t="s">
        <v>89</v>
      </c>
    </row>
    <row r="56" customFormat="false" ht="15" hidden="false" customHeight="false" outlineLevel="0" collapsed="false">
      <c r="A56" s="0" t="n">
        <f aca="false">SIN(PI()/2)</f>
        <v>1</v>
      </c>
      <c r="B56" s="0" t="s">
        <v>90</v>
      </c>
    </row>
    <row r="57" customFormat="false" ht="15" hidden="false" customHeight="false" outlineLevel="0" collapsed="false">
      <c r="A57" s="0" t="n">
        <f aca="false">ATAN2(1,1)</f>
        <v>0.785398163397448</v>
      </c>
      <c r="B57" s="0" t="s">
        <v>91</v>
      </c>
    </row>
    <row r="58" customFormat="false" ht="15" hidden="false" customHeight="false" outlineLevel="0" collapsed="false">
      <c r="A58" s="0" t="str">
        <f aca="false">IF(Data!A1&gt;3,"big","small")</f>
        <v>big</v>
      </c>
      <c r="B58" s="0" t="s">
        <v>92</v>
      </c>
    </row>
    <row r="59" customFormat="false" ht="15" hidden="false" customHeight="false" outlineLevel="0" collapsed="false">
      <c r="A59" s="0" t="str">
        <f aca="false">IF(Data!A2&gt;3,"big","small")</f>
        <v>small</v>
      </c>
      <c r="B59" s="0" t="s">
        <v>93</v>
      </c>
    </row>
    <row r="60" customFormat="false" ht="15" hidden="false" customHeight="false" outlineLevel="0" collapsed="false">
      <c r="A60" s="0" t="str">
        <f aca="false">IFERROR(1/0,"err")</f>
        <v>err</v>
      </c>
      <c r="B60" s="0" t="s">
        <v>94</v>
      </c>
    </row>
    <row r="61" customFormat="false" ht="15" hidden="false" customHeight="false" outlineLevel="0" collapsed="false">
      <c r="A61" s="0" t="str">
        <f aca="false">_xlfn.IFNA(NA(),"na")</f>
        <v>na</v>
      </c>
      <c r="B61" s="0" t="s">
        <v>95</v>
      </c>
    </row>
    <row r="62" customFormat="false" ht="15" hidden="false" customHeight="false" outlineLevel="0" collapsed="false">
      <c r="A62" s="2" t="b">
        <f aca="false">AND(TRUE(),1,Data!A1&gt;1)</f>
        <v>1</v>
      </c>
      <c r="B62" s="0" t="s">
        <v>96</v>
      </c>
    </row>
    <row r="63" customFormat="false" ht="15" hidden="false" customHeight="false" outlineLevel="0" collapsed="false">
      <c r="A63" s="2" t="b">
        <f aca="false">OR(FALSE(),0,Data!A1&lt;1)</f>
        <v>0</v>
      </c>
      <c r="B63" s="0" t="s">
        <v>97</v>
      </c>
    </row>
    <row r="64" customFormat="false" ht="15" hidden="false" customHeight="false" outlineLevel="0" collapsed="false">
      <c r="A64" s="2" t="b">
        <f aca="false">NOT(Data!A1&gt;1)</f>
        <v>0</v>
      </c>
      <c r="B64" s="0" t="s">
        <v>98</v>
      </c>
    </row>
    <row r="65" customFormat="false" ht="15" hidden="false" customHeight="false" outlineLevel="0" collapsed="false">
      <c r="A65" s="2" t="b">
        <f aca="false">_xlfn.XOR(TRUE(),TRUE())</f>
        <v>0</v>
      </c>
      <c r="B65" s="0" t="s">
        <v>99</v>
      </c>
    </row>
    <row r="66" customFormat="false" ht="15" hidden="false" customHeight="false" outlineLevel="0" collapsed="false">
      <c r="A66" s="0" t="str">
        <f aca="false">CHOOSE(2,"a","b","c")</f>
        <v>b</v>
      </c>
      <c r="B66" s="0" t="s">
        <v>100</v>
      </c>
    </row>
    <row r="67" customFormat="false" ht="15" hidden="false" customHeight="false" outlineLevel="0" collapsed="false">
      <c r="A67" s="0" t="str">
        <f aca="false">_xlfn.IFS(Data!A1&lt;1,"x",Data!A1&gt;1,"y")</f>
        <v>y</v>
      </c>
      <c r="B67" s="0" t="s">
        <v>101</v>
      </c>
    </row>
    <row r="68" customFormat="false" ht="15" hidden="false" customHeight="false" outlineLevel="0" collapsed="false">
      <c r="A68" s="0" t="str">
        <f aca="false">_xlfn.SWITCH(Data!A1,5,"five",3,"three","other")</f>
        <v>five</v>
      </c>
      <c r="B68" s="0" t="s">
        <v>102</v>
      </c>
    </row>
    <row r="69" customFormat="false" ht="15" hidden="false" customHeight="false" outlineLevel="0" collapsed="false">
      <c r="A69" s="2" t="b">
        <f aca="false">ISNUMBER(Data!A1)</f>
        <v>1</v>
      </c>
      <c r="B69" s="0" t="s">
        <v>103</v>
      </c>
    </row>
    <row r="70" customFormat="false" ht="15" hidden="false" customHeight="false" outlineLevel="0" collapsed="false">
      <c r="A70" s="2" t="b">
        <f aca="false">ISTEXT(Data!B1)</f>
        <v>1</v>
      </c>
      <c r="B70" s="0" t="s">
        <v>104</v>
      </c>
    </row>
    <row r="71" customFormat="false" ht="15" hidden="false" customHeight="false" outlineLevel="0" collapsed="false">
      <c r="A71" s="2" t="b">
        <f aca="false">ISBLANK(Data!B9)</f>
        <v>1</v>
      </c>
      <c r="B71" s="0" t="s">
        <v>105</v>
      </c>
    </row>
    <row r="72" customFormat="false" ht="15" hidden="false" customHeight="false" outlineLevel="0" collapsed="false">
      <c r="A72" s="2" t="b">
        <f aca="false">ISERROR(1/0)</f>
        <v>1</v>
      </c>
      <c r="B72" s="0" t="s">
        <v>106</v>
      </c>
    </row>
    <row r="73" customFormat="false" ht="15" hidden="false" customHeight="false" outlineLevel="0" collapsed="false">
      <c r="A73" s="2" t="b">
        <f aca="false">ISNA(NA())</f>
        <v>1</v>
      </c>
      <c r="B73" s="0" t="s">
        <v>107</v>
      </c>
    </row>
    <row r="74" customFormat="false" ht="15" hidden="false" customHeight="false" outlineLevel="0" collapsed="false">
      <c r="A74" s="2" t="b">
        <f aca="false">ISEVEN(4)</f>
        <v>1</v>
      </c>
      <c r="B74" s="0" t="s">
        <v>108</v>
      </c>
    </row>
    <row r="75" customFormat="false" ht="15" hidden="false" customHeight="false" outlineLevel="0" collapsed="false">
      <c r="A75" s="2" t="b">
        <f aca="false">ISODD(4)</f>
        <v>0</v>
      </c>
      <c r="B75" s="0" t="s">
        <v>109</v>
      </c>
    </row>
    <row r="76" customFormat="false" ht="15" hidden="false" customHeight="false" outlineLevel="0" collapsed="false">
      <c r="A76" s="2" t="b">
        <f aca="false">ISLOGICAL(TRUE())</f>
        <v>1</v>
      </c>
      <c r="B76" s="0" t="s">
        <v>110</v>
      </c>
    </row>
    <row r="77" customFormat="false" ht="15" hidden="false" customHeight="false" outlineLevel="0" collapsed="false">
      <c r="A77" s="0" t="n">
        <f aca="false">N(TRUE())</f>
        <v>1</v>
      </c>
      <c r="B77" s="0" t="s">
        <v>111</v>
      </c>
    </row>
    <row r="78" customFormat="false" ht="15" hidden="false" customHeight="false" outlineLevel="0" collapsed="false">
      <c r="A78" s="0" t="str">
        <f aca="false">_xlfn.TEXTJOIN(",",TRUE(),_xlfn.UNIQUE(Data!B1:B8))</f>
        <v>apple,banana,cherry,date,fig</v>
      </c>
      <c r="B78" s="0" t="s">
        <v>112</v>
      </c>
    </row>
    <row r="79" customFormat="false" ht="15" hidden="false" customHeight="false" outlineLevel="0" collapsed="false">
      <c r="A79" s="0" t="n">
        <f aca="false">COUNTA(_xlfn.UNIQUE(Data!B1:B8))</f>
        <v>5</v>
      </c>
      <c r="B79" s="0" t="s">
        <v>113</v>
      </c>
    </row>
    <row r="80" customFormat="false" ht="15" hidden="false" customHeight="false" outlineLevel="0" collapsed="false">
      <c r="A80" s="0" t="n">
        <f aca="false">SUM(_xlfn.UNIQUE(Data!A1:A8))</f>
        <v>39</v>
      </c>
      <c r="B80" s="0" t="s">
        <v>114</v>
      </c>
    </row>
    <row r="81" customFormat="false" ht="15" hidden="false" customHeight="false" outlineLevel="0" collapsed="false">
      <c r="A81" s="0" t="str">
        <f aca="false">_xlfn.TEXTJOIN(",",TRUE(),_xlfn.UNIQUE(Data!B1:B8,FALSE(),TRUE()))</f>
        <v>cherry,date,fig</v>
      </c>
      <c r="B81" s="0" t="s">
        <v>115</v>
      </c>
    </row>
    <row r="82" customFormat="false" ht="15" hidden="false" customHeight="false" outlineLevel="0" collapsed="false">
      <c r="A82" s="0" t="n">
        <f aca="false">_xlfn.LET(_xlpm.x,2,_xlpm.y,_xlpm.x*3,_xlpm.x+_xlpm.y)</f>
        <v>8</v>
      </c>
      <c r="B82" s="0" t="s">
        <v>116</v>
      </c>
    </row>
    <row r="83" customFormat="false" ht="15" hidden="false" customHeight="false" outlineLevel="0" collapsed="false">
      <c r="A83" s="0" t="n">
        <f aca="false">_xlfn.LET(_xlpm.x,Data!A1,_xlpm.x*2)</f>
        <v>10</v>
      </c>
      <c r="B83" s="0" t="s">
        <v>117</v>
      </c>
    </row>
    <row r="84" customFormat="false" ht="15" hidden="false" customHeight="false" outlineLevel="0" collapsed="false">
      <c r="A84" s="0" t="n">
        <f aca="false">_xlfn.LET(_xlpm.x,1,_xlfn.LET(_xlpm.x,_xlpm.x+10,_xlpm.x*2))</f>
        <v>2</v>
      </c>
      <c r="B84" s="0" t="s">
        <v>118</v>
      </c>
    </row>
    <row r="85" customFormat="false" ht="15" hidden="false" customHeight="false" outlineLevel="0" collapsed="false">
      <c r="A85" s="0" t="str">
        <f aca="false">DOLLAR(1234.567,2)</f>
        <v>$1,234.57</v>
      </c>
      <c r="B85" s="0" t="s">
        <v>119</v>
      </c>
    </row>
    <row r="86" customFormat="false" ht="15" hidden="false" customHeight="false" outlineLevel="0" collapsed="false">
      <c r="A86" s="0" t="str">
        <f aca="false">DOLLAR(-1234.567,2)</f>
        <v>-$1,234.57</v>
      </c>
      <c r="B86" s="0" t="s">
        <v>120</v>
      </c>
    </row>
    <row r="87" customFormat="false" ht="15" hidden="false" customHeight="false" outlineLevel="0" collapsed="false">
      <c r="A87" s="0" t="str">
        <f aca="false">DOLLAR(1234.567)</f>
        <v>$1,234.57</v>
      </c>
      <c r="B87" s="0" t="s">
        <v>121</v>
      </c>
    </row>
    <row r="88" customFormat="false" ht="15" hidden="false" customHeight="false" outlineLevel="0" collapsed="false">
      <c r="A88" s="0" t="str">
        <f aca="false">DOLLAR(1234.567,0)</f>
        <v>$1,235</v>
      </c>
      <c r="B88" s="0" t="s">
        <v>122</v>
      </c>
    </row>
    <row r="89" customFormat="false" ht="15" hidden="false" customHeight="false" outlineLevel="0" collapsed="false">
      <c r="A89" s="0" t="str">
        <f aca="false">DOLLAR(1234.567,-2)</f>
        <v>$1,200</v>
      </c>
      <c r="B89" s="0" t="s">
        <v>123</v>
      </c>
    </row>
    <row r="90" customFormat="false" ht="15" hidden="false" customHeight="false" outlineLevel="0" collapsed="false">
      <c r="A90" s="0" t="str">
        <f aca="false">DOLLAR(0.5,1)</f>
        <v>$0.5</v>
      </c>
      <c r="B90" s="0" t="s">
        <v>124</v>
      </c>
    </row>
    <row r="91" customFormat="false" ht="15" hidden="false" customHeight="false" outlineLevel="0" collapsed="false">
      <c r="A91" s="0" t="str">
        <f aca="false">DOLLAR(0,2)</f>
        <v>$0.00</v>
      </c>
      <c r="B91" s="0" t="s">
        <v>125</v>
      </c>
    </row>
    <row r="92" customFormat="false" ht="15" hidden="false" customHeight="false" outlineLevel="0" collapsed="false">
      <c r="A92" s="0" t="str">
        <f aca="false">DOLLAR(1000000,0)</f>
        <v>$1,000,000</v>
      </c>
      <c r="B92" s="0" t="s">
        <v>126</v>
      </c>
    </row>
    <row r="93" customFormat="false" ht="15" hidden="false" customHeight="false" outlineLevel="0" collapsed="false">
      <c r="A93" s="0" t="str">
        <f aca="false">DOLLAR("12",1)</f>
        <v>$12.0</v>
      </c>
      <c r="B93" s="0" t="s">
        <v>127</v>
      </c>
    </row>
    <row r="94" customFormat="false" ht="15" hidden="false" customHeight="false" outlineLevel="0" collapsed="false">
      <c r="A94" s="0" t="str">
        <f aca="false">DOLLAR(TRUE())</f>
        <v>$1.00</v>
      </c>
      <c r="B94" s="0" t="s">
        <v>128</v>
      </c>
    </row>
    <row r="95" customFormat="false" ht="15" hidden="false" customHeight="false" outlineLevel="0" collapsed="false">
      <c r="A95" s="0" t="str">
        <f aca="false">DOLLAR(-0.004,2)</f>
        <v>$0.00</v>
      </c>
      <c r="B95" s="0" t="s">
        <v>129</v>
      </c>
    </row>
    <row r="96" customFormat="false" ht="15" hidden="false" customHeight="false" outlineLevel="0" collapsed="false">
      <c r="A96" s="0" t="str">
        <f aca="false">DOLLAR(99.995,2)</f>
        <v>$100.00</v>
      </c>
      <c r="B96" s="0" t="s">
        <v>130</v>
      </c>
    </row>
    <row r="97" customFormat="false" ht="15" hidden="false" customHeight="false" outlineLevel="0" collapsed="false">
      <c r="A97" s="0" t="str">
        <f aca="false">DOLLAR(1234.5678,3)</f>
        <v>$1,234.568</v>
      </c>
      <c r="B97" s="0" t="s">
        <v>131</v>
      </c>
    </row>
    <row r="98" customFormat="false" ht="15" hidden="false" customHeight="false" outlineLevel="0" collapsed="false">
      <c r="A98" s="2" t="b">
        <f aca="false">_xlfn.ISFORMULA(A1)</f>
        <v>1</v>
      </c>
      <c r="B98" s="0" t="s">
        <v>132</v>
      </c>
    </row>
    <row r="99" customFormat="false" ht="15" hidden="false" customHeight="false" outlineLevel="0" collapsed="false">
      <c r="A99" s="2" t="b">
        <f aca="false">_xlfn.ISFORMULA(Z999)</f>
        <v>0</v>
      </c>
      <c r="B99" s="0" t="s">
        <v>133</v>
      </c>
    </row>
    <row r="100" customFormat="false" ht="15" hidden="false" customHeight="false" outlineLevel="0" collapsed="false">
      <c r="A100" s="0" t="str">
        <f aca="false">_xlfn.FORMULATEXT(A1)</f>
        <v>=SUM($Data.A1:A8)</v>
      </c>
      <c r="B100" s="0" t="s">
        <v>134</v>
      </c>
    </row>
    <row r="101" customFormat="false" ht="15" hidden="false" customHeight="false" outlineLevel="0" collapsed="false">
      <c r="A101" s="0" t="str">
        <f aca="false">_xlfn.FORMULATEXT(A2)</f>
        <v>=AVERAGE($Data.A1:A8)</v>
      </c>
      <c r="B101" s="0" t="s">
        <v>135</v>
      </c>
    </row>
    <row r="102" customFormat="false" ht="15" hidden="false" customHeight="false" outlineLevel="0" collapsed="false">
      <c r="A102" s="0" t="str">
        <f aca="false">_xlfn.FORMULATEXT(A12)</f>
        <v>=COUNTIF($Data.B1:B8,"a*")</v>
      </c>
      <c r="B102" s="0" t="s">
        <v>136</v>
      </c>
    </row>
    <row r="103" customFormat="false" ht="15" hidden="false" customHeight="false" outlineLevel="0" collapsed="false">
      <c r="A103" s="0" t="n">
        <f aca="false">LEN(Data!B2)</f>
        <v>6</v>
      </c>
      <c r="B103" s="0" t="s">
        <v>137</v>
      </c>
    </row>
    <row r="104" customFormat="false" ht="15" hidden="false" customHeight="false" outlineLevel="0" collapsed="false">
      <c r="A104" s="0" t="str">
        <f aca="false">UPPER(Data!B2)</f>
        <v>BANANA</v>
      </c>
      <c r="B104" s="0" t="s">
        <v>138</v>
      </c>
    </row>
    <row r="105" customFormat="false" ht="15" hidden="false" customHeight="false" outlineLevel="0" collapsed="false">
      <c r="A105" s="0" t="str">
        <f aca="false">LOWER("ABC")</f>
        <v>abc</v>
      </c>
      <c r="B105" s="0" t="s">
        <v>139</v>
      </c>
    </row>
    <row r="106" customFormat="false" ht="15" hidden="false" customHeight="false" outlineLevel="0" collapsed="false">
      <c r="A106" s="0" t="str">
        <f aca="false">PROPER("hELLO wORLD")</f>
        <v>Hello World</v>
      </c>
      <c r="B106" s="0" t="s">
        <v>140</v>
      </c>
    </row>
    <row r="107" customFormat="false" ht="15" hidden="false" customHeight="false" outlineLevel="0" collapsed="false">
      <c r="A107" s="0" t="str">
        <f aca="false">TRIM("  a   b  ")</f>
        <v>a b</v>
      </c>
      <c r="B107" s="0" t="s">
        <v>141</v>
      </c>
    </row>
    <row r="108" customFormat="false" ht="15" hidden="false" customHeight="false" outlineLevel="0" collapsed="false">
      <c r="A108" s="0" t="str">
        <f aca="false">LEFT(Data!B2,3)</f>
        <v>ban</v>
      </c>
      <c r="B108" s="0" t="s">
        <v>142</v>
      </c>
    </row>
    <row r="109" customFormat="false" ht="15" hidden="false" customHeight="false" outlineLevel="0" collapsed="false">
      <c r="A109" s="0" t="str">
        <f aca="false">RIGHT(Data!B2,2)</f>
        <v>na</v>
      </c>
      <c r="B109" s="0" t="s">
        <v>143</v>
      </c>
    </row>
    <row r="110" customFormat="false" ht="15" hidden="false" customHeight="false" outlineLevel="0" collapsed="false">
      <c r="A110" s="0" t="str">
        <f aca="false">MID(Data!B2,2,3)</f>
        <v>ana</v>
      </c>
      <c r="B110" s="0" t="s">
        <v>144</v>
      </c>
    </row>
    <row r="111" customFormat="false" ht="15" hidden="false" customHeight="false" outlineLevel="0" collapsed="false">
      <c r="A111" s="0" t="n">
        <f aca="false">FIND("n",Data!B2)</f>
        <v>3</v>
      </c>
      <c r="B111" s="0" t="s">
        <v>145</v>
      </c>
    </row>
    <row r="112" customFormat="false" ht="15" hidden="false" customHeight="false" outlineLevel="0" collapsed="false">
      <c r="A112" s="0" t="n">
        <f aca="false">SEARCH("AN",Data!B2)</f>
        <v>2</v>
      </c>
      <c r="B112" s="0" t="s">
        <v>146</v>
      </c>
    </row>
    <row r="113" customFormat="false" ht="15" hidden="false" customHeight="false" outlineLevel="0" collapsed="false">
      <c r="A113" s="0" t="n">
        <f aca="false">SEARCH("b*a",Data!B2)</f>
        <v>1</v>
      </c>
      <c r="B113" s="0" t="s">
        <v>147</v>
      </c>
    </row>
    <row r="114" customFormat="false" ht="15" hidden="false" customHeight="false" outlineLevel="0" collapsed="false">
      <c r="A114" s="0" t="str">
        <f aca="false">SUBSTITUTE("a-b-c","-","+")</f>
        <v>a+b+c</v>
      </c>
      <c r="B114" s="0" t="s">
        <v>148</v>
      </c>
    </row>
    <row r="115" customFormat="false" ht="15" hidden="false" customHeight="false" outlineLevel="0" collapsed="false">
      <c r="A115" s="0" t="str">
        <f aca="false">SUBSTITUTE("a-b-c","-","+",2)</f>
        <v>a-b+c</v>
      </c>
      <c r="B115" s="0" t="s">
        <v>149</v>
      </c>
    </row>
    <row r="116" customFormat="false" ht="15" hidden="false" customHeight="false" outlineLevel="0" collapsed="false">
      <c r="A116" s="0" t="str">
        <f aca="false">REPLACE("abcdef",2,3,"X")</f>
        <v>aXef</v>
      </c>
      <c r="B116" s="0" t="s">
        <v>150</v>
      </c>
    </row>
    <row r="117" customFormat="false" ht="15" hidden="false" customHeight="false" outlineLevel="0" collapsed="false">
      <c r="A117" s="0" t="str">
        <f aca="false">REPT("ab",3)</f>
        <v>ababab</v>
      </c>
      <c r="B117" s="0" t="s">
        <v>151</v>
      </c>
    </row>
    <row r="118" customFormat="false" ht="15" hidden="false" customHeight="false" outlineLevel="0" collapsed="false">
      <c r="A118" s="2" t="b">
        <f aca="false">EXACT("a","A")</f>
        <v>0</v>
      </c>
      <c r="B118" s="0" t="s">
        <v>152</v>
      </c>
    </row>
    <row r="119" customFormat="false" ht="15" hidden="false" customHeight="false" outlineLevel="0" collapsed="false">
      <c r="A119" s="0" t="str">
        <f aca="false">CONCATENATE("a",1,"b")</f>
        <v>a1b</v>
      </c>
      <c r="B119" s="0" t="s">
        <v>153</v>
      </c>
    </row>
    <row r="120" customFormat="false" ht="15" hidden="false" customHeight="false" outlineLevel="0" collapsed="false">
      <c r="A120" s="0" t="str">
        <f aca="false">_xlfn.CONCAT("a",Data!A1)</f>
        <v>a5</v>
      </c>
      <c r="B120" s="0" t="s">
        <v>154</v>
      </c>
    </row>
    <row r="121" customFormat="false" ht="15" hidden="false" customHeight="false" outlineLevel="0" collapsed="false">
      <c r="A121" s="0" t="str">
        <f aca="false">_xlfn.TEXTJOIN("-",TRUE(),"a","","b")</f>
        <v>a-b</v>
      </c>
      <c r="B121" s="0" t="s">
        <v>155</v>
      </c>
    </row>
    <row r="122" customFormat="false" ht="15" hidden="false" customHeight="false" outlineLevel="0" collapsed="false">
      <c r="A122" s="0" t="n">
        <f aca="false">VALUE("12.5")</f>
        <v>12.5</v>
      </c>
      <c r="B122" s="0" t="s">
        <v>156</v>
      </c>
    </row>
    <row r="123" customFormat="false" ht="15" hidden="false" customHeight="false" outlineLevel="0" collapsed="false">
      <c r="A123" s="0" t="n">
        <f aca="false">VALUE("50%")</f>
        <v>0.5</v>
      </c>
      <c r="B123" s="0" t="s">
        <v>157</v>
      </c>
    </row>
    <row r="124" customFormat="false" ht="15" hidden="false" customHeight="false" outlineLevel="0" collapsed="false">
      <c r="A124" s="0" t="str">
        <f aca="false">TEXT(1234.567,"#,##0.00")</f>
        <v>1,234.57</v>
      </c>
      <c r="B124" s="0" t="s">
        <v>158</v>
      </c>
    </row>
    <row r="125" customFormat="false" ht="15" hidden="false" customHeight="false" outlineLevel="0" collapsed="false">
      <c r="A125" s="0" t="str">
        <f aca="false">TEXT(0.256,"0.0%")</f>
        <v>25.6%</v>
      </c>
      <c r="B125" s="0" t="s">
        <v>159</v>
      </c>
    </row>
    <row r="126" customFormat="false" ht="15" hidden="false" customHeight="false" outlineLevel="0" collapsed="false">
      <c r="A126" s="0" t="str">
        <f aca="false">"["&amp;TEXT(5,"000")&amp;"]"</f>
        <v>[005]</v>
      </c>
      <c r="B126" s="0" t="s">
        <v>160</v>
      </c>
    </row>
    <row r="127" customFormat="false" ht="15" hidden="false" customHeight="false" outlineLevel="0" collapsed="false">
      <c r="A127" s="0" t="str">
        <f aca="false">TEXT(Data!C1,"yyyy-mm-dd")</f>
        <v>2024-01-15</v>
      </c>
      <c r="B127" s="0" t="s">
        <v>161</v>
      </c>
    </row>
    <row r="128" customFormat="false" ht="15" hidden="false" customHeight="false" outlineLevel="0" collapsed="false">
      <c r="A128" s="0" t="str">
        <f aca="false">TEXT(Data!C1,"dddd")</f>
        <v>Monday</v>
      </c>
      <c r="B128" s="0" t="s">
        <v>162</v>
      </c>
    </row>
    <row r="129" customFormat="false" ht="15" hidden="false" customHeight="false" outlineLevel="0" collapsed="false">
      <c r="A129" s="0" t="str">
        <f aca="false">TEXT(Data!C1,"mmm d, yyyy")</f>
        <v>Jan 15, 2024</v>
      </c>
      <c r="B129" s="0" t="s">
        <v>163</v>
      </c>
    </row>
    <row r="130" customFormat="false" ht="15" hidden="false" customHeight="false" outlineLevel="0" collapsed="false">
      <c r="A130" s="0" t="str">
        <f aca="false">TEXT(-3.5,"0.0;(0.0)")</f>
        <v>(3.5)</v>
      </c>
      <c r="B130" s="0" t="s">
        <v>164</v>
      </c>
    </row>
    <row r="131" customFormat="false" ht="15" hidden="false" customHeight="false" outlineLevel="0" collapsed="false">
      <c r="A131" s="0" t="str">
        <f aca="false">CHAR(65)</f>
        <v>A</v>
      </c>
      <c r="B131" s="0" t="s">
        <v>165</v>
      </c>
    </row>
    <row r="132" customFormat="false" ht="15" hidden="false" customHeight="false" outlineLevel="0" collapsed="false">
      <c r="A132" s="0" t="n">
        <f aca="false">CODE("A")</f>
        <v>65</v>
      </c>
      <c r="B132" s="0" t="s">
        <v>166</v>
      </c>
    </row>
    <row r="133" customFormat="false" ht="15" hidden="false" customHeight="false" outlineLevel="0" collapsed="false">
      <c r="A133" s="0" t="str">
        <f aca="false">FIXED(1234.567,1)</f>
        <v>1,234.6</v>
      </c>
      <c r="B133" s="0" t="s">
        <v>167</v>
      </c>
    </row>
    <row r="134" customFormat="false" ht="15" hidden="false" customHeight="false" outlineLevel="0" collapsed="false">
      <c r="A134" s="0" t="str">
        <f aca="false">"["&amp;(0.1+0.2)&amp;"]"</f>
        <v>[0.3]</v>
      </c>
      <c r="B134" s="0" t="s">
        <v>168</v>
      </c>
    </row>
    <row r="135" customFormat="false" ht="15" hidden="false" customHeight="false" outlineLevel="0" collapsed="false">
      <c r="A135" s="0" t="str">
        <f aca="false">"["&amp;(1/3)&amp;"]"</f>
        <v>[0.333333333333333]</v>
      </c>
      <c r="B135" s="0" t="s">
        <v>169</v>
      </c>
    </row>
    <row r="136" customFormat="false" ht="15" hidden="false" customHeight="false" outlineLevel="0" collapsed="false">
      <c r="A136" s="0" t="str">
        <f aca="false">"["&amp;1E+020&amp;"]"</f>
        <v>[1E+020]</v>
      </c>
      <c r="B136" s="0" t="s">
        <v>170</v>
      </c>
    </row>
    <row r="137" customFormat="false" ht="15" hidden="false" customHeight="false" outlineLevel="0" collapsed="false">
      <c r="A137" s="0" t="str">
        <f aca="false">"["&amp;0.00001&amp;"]"</f>
        <v>[0.00001]</v>
      </c>
      <c r="B137" s="0" t="s">
        <v>171</v>
      </c>
    </row>
    <row r="138" customFormat="false" ht="15" hidden="false" customHeight="false" outlineLevel="0" collapsed="false">
      <c r="A138" s="0" t="str">
        <f aca="false">"["&amp;1234567.891&amp;"]"</f>
        <v>[1234567.891]</v>
      </c>
      <c r="B138" s="0" t="s">
        <v>172</v>
      </c>
    </row>
    <row r="139" customFormat="false" ht="15" hidden="false" customHeight="false" outlineLevel="0" collapsed="false">
      <c r="A139" s="0" t="str">
        <f aca="false">"["&amp;-0.5&amp;"]"</f>
        <v>[-0.5]</v>
      </c>
      <c r="B139" s="0" t="s">
        <v>173</v>
      </c>
    </row>
    <row r="140" customFormat="false" ht="15" hidden="false" customHeight="false" outlineLevel="0" collapsed="false">
      <c r="A140" s="0" t="n">
        <f aca="false">VLOOKUP("cherry",Data!B1:C8,2,FALSE())</f>
        <v>45368</v>
      </c>
      <c r="B140" s="0" t="s">
        <v>174</v>
      </c>
    </row>
    <row r="141" customFormat="false" ht="15" hidden="false" customHeight="false" outlineLevel="0" collapsed="false">
      <c r="A141" s="0" t="e">
        <f aca="false">VLOOKUP("zzz",Data!B1:C8,2,FALSE())</f>
        <v>#N/A</v>
      </c>
      <c r="B141" s="0" t="s">
        <v>175</v>
      </c>
    </row>
    <row r="142" customFormat="false" ht="15" hidden="false" customHeight="false" outlineLevel="0" collapsed="false">
      <c r="A142" s="0" t="e">
        <f aca="false">VLOOKUP(4,Data!A1:C8,3,TRUE())</f>
        <v>#N/A</v>
      </c>
      <c r="B142" s="0" t="s">
        <v>176</v>
      </c>
    </row>
    <row r="143" customFormat="false" ht="15" hidden="false" customHeight="false" outlineLevel="0" collapsed="false">
      <c r="A143" s="0" t="n">
        <f aca="false">HLOOKUP("y",Data!E1:G2,2,FALSE())</f>
        <v>20</v>
      </c>
      <c r="B143" s="0" t="s">
        <v>177</v>
      </c>
    </row>
    <row r="144" customFormat="false" ht="15" hidden="false" customHeight="false" outlineLevel="0" collapsed="false">
      <c r="A144" s="0" t="e">
        <f aca="false">VLOOKUP(Data!B9,Data!A1:C8,2,FALSE())</f>
        <v>#N/A</v>
      </c>
      <c r="B144" s="0" t="s">
        <v>178</v>
      </c>
    </row>
    <row r="145" customFormat="false" ht="15" hidden="false" customHeight="false" outlineLevel="0" collapsed="false">
      <c r="A145" s="0" t="e">
        <f aca="false">MATCH(Data!B9,Data!A1:A8,0)</f>
        <v>#N/A</v>
      </c>
      <c r="B145" s="0" t="s">
        <v>179</v>
      </c>
    </row>
    <row r="146" customFormat="false" ht="15" hidden="false" customHeight="false" outlineLevel="0" collapsed="false">
      <c r="A146" s="0" t="e">
        <f aca="false">MATCH(Data!B9,Data!A1:A8,1)</f>
        <v>#N/A</v>
      </c>
      <c r="B146" s="0" t="s">
        <v>180</v>
      </c>
    </row>
    <row r="147" customFormat="false" ht="15" hidden="false" customHeight="false" outlineLevel="0" collapsed="false">
      <c r="A147" s="0" t="e">
        <f aca="false">HLOOKUP(Data!B9,Data!E1:G2,2,FALSE())</f>
        <v>#N/A</v>
      </c>
      <c r="B147" s="0" t="s">
        <v>181</v>
      </c>
    </row>
    <row r="148" customFormat="false" ht="15" hidden="false" customHeight="false" outlineLevel="0" collapsed="false">
      <c r="A148" s="0" t="e">
        <f aca="false">LOOKUP(Data!B9,Data!A1:A8,Data!A1:A8)</f>
        <v>#N/A</v>
      </c>
      <c r="B148" s="0" t="s">
        <v>182</v>
      </c>
    </row>
    <row r="149" customFormat="false" ht="15" hidden="false" customHeight="false" outlineLevel="0" collapsed="false">
      <c r="A149" s="0" t="n">
        <f aca="false">COUNTIF(Data!A1:A8,Data!B9)</f>
        <v>0</v>
      </c>
      <c r="B149" s="0" t="s">
        <v>183</v>
      </c>
    </row>
    <row r="150" customFormat="false" ht="15" hidden="false" customHeight="false" outlineLevel="0" collapsed="false">
      <c r="A150" s="0" t="e">
        <f aca="false">MATCH("",Data!B1:B9,0)</f>
        <v>#N/A</v>
      </c>
      <c r="B150" s="0" t="s">
        <v>184</v>
      </c>
    </row>
    <row r="151" customFormat="false" ht="15" hidden="false" customHeight="false" outlineLevel="0" collapsed="false">
      <c r="A151" s="0" t="e">
        <f aca="false">SEARCH("","abc")</f>
        <v>#VALUE!</v>
      </c>
      <c r="B151" s="0" t="s">
        <v>185</v>
      </c>
    </row>
    <row r="152" customFormat="false" ht="15" hidden="false" customHeight="false" outlineLevel="0" collapsed="false">
      <c r="A152" s="0" t="e">
        <f aca="false">FIND("","abc")</f>
        <v>#VALUE!</v>
      </c>
      <c r="B152" s="0" t="s">
        <v>186</v>
      </c>
    </row>
    <row r="153" customFormat="false" ht="15" hidden="false" customHeight="false" outlineLevel="0" collapsed="false">
      <c r="A153" s="0" t="e">
        <f aca="false">SEARCH(Data!B9,"abc")</f>
        <v>#VALUE!</v>
      </c>
      <c r="B153" s="0" t="s">
        <v>187</v>
      </c>
    </row>
    <row r="154" customFormat="false" ht="15" hidden="false" customHeight="false" outlineLevel="0" collapsed="false">
      <c r="A154" s="0" t="n">
        <f aca="false">MATCH("cherry",Data!B1:B8,0)</f>
        <v>3</v>
      </c>
      <c r="B154" s="0" t="s">
        <v>188</v>
      </c>
    </row>
    <row r="155" customFormat="false" ht="15" hidden="false" customHeight="false" outlineLevel="0" collapsed="false">
      <c r="A155" s="0" t="n">
        <f aca="false">MATCH("ch*",Data!B1:B8,0)</f>
        <v>3</v>
      </c>
      <c r="B155" s="0" t="s">
        <v>189</v>
      </c>
    </row>
    <row r="156" customFormat="false" ht="15" hidden="false" customHeight="false" outlineLevel="0" collapsed="false">
      <c r="A156" s="0" t="n">
        <f aca="false">MATCH(6,Data!H1:H5,1)</f>
        <v>3</v>
      </c>
      <c r="B156" s="0" t="s">
        <v>190</v>
      </c>
    </row>
    <row r="157" customFormat="false" ht="15" hidden="false" customHeight="false" outlineLevel="0" collapsed="false">
      <c r="A157" s="0" t="n">
        <f aca="false">MATCH(6,Data!I1:I5,-1)</f>
        <v>2</v>
      </c>
      <c r="B157" s="0" t="s">
        <v>191</v>
      </c>
    </row>
    <row r="158" customFormat="false" ht="15" hidden="false" customHeight="false" outlineLevel="0" collapsed="false">
      <c r="A158" s="0" t="n">
        <f aca="false">INDEX(Data!A1:A8,3)</f>
        <v>8</v>
      </c>
      <c r="B158" s="0" t="s">
        <v>192</v>
      </c>
    </row>
    <row r="159" customFormat="false" ht="15" hidden="false" customHeight="false" outlineLevel="0" collapsed="false">
      <c r="A159" s="0" t="n">
        <f aca="false">INDEX(Data!A1:C8,2,1)</f>
        <v>3</v>
      </c>
      <c r="B159" s="0" t="s">
        <v>193</v>
      </c>
    </row>
    <row r="160" customFormat="false" ht="15" hidden="false" customHeight="false" outlineLevel="0" collapsed="false">
      <c r="A160" s="0" t="n">
        <f aca="false">SUM(INDEX(Data!A1:C8,0,1))</f>
        <v>39</v>
      </c>
      <c r="B160" s="0" t="s">
        <v>194</v>
      </c>
    </row>
    <row r="161" customFormat="false" ht="15" hidden="false" customHeight="false" outlineLevel="0" collapsed="false">
      <c r="A161" s="1" t="n">
        <f aca="false">SUM(INDEX(Data!A1:C8,2,0))</f>
        <v>45341</v>
      </c>
      <c r="B161" s="0" t="s">
        <v>195</v>
      </c>
    </row>
    <row r="162" customFormat="false" ht="15" hidden="false" customHeight="false" outlineLevel="0" collapsed="false">
      <c r="A162" s="0" t="n">
        <f aca="false">_xlfn.XLOOKUP("cherry",Data!B1:B8,Data!A1:A8)</f>
        <v>8</v>
      </c>
      <c r="B162" s="0" t="s">
        <v>196</v>
      </c>
    </row>
    <row r="163" customFormat="false" ht="15" hidden="false" customHeight="false" outlineLevel="0" collapsed="false">
      <c r="A163" s="0" t="str">
        <f aca="false">_xlfn.XLOOKUP("q",Data!B1:B8,Data!A1:A8,"none")</f>
        <v>none</v>
      </c>
      <c r="B163" s="0" t="s">
        <v>197</v>
      </c>
    </row>
    <row r="164" customFormat="false" ht="15" hidden="false" customHeight="false" outlineLevel="0" collapsed="false">
      <c r="A164" s="0" t="n">
        <f aca="false">ROW(Data!A5)</f>
        <v>5</v>
      </c>
      <c r="B164" s="0" t="s">
        <v>198</v>
      </c>
    </row>
    <row r="165" customFormat="false" ht="15" hidden="false" customHeight="false" outlineLevel="0" collapsed="false">
      <c r="A165" s="0" t="n">
        <f aca="false">COLUMN(Data!C1)</f>
        <v>3</v>
      </c>
      <c r="B165" s="0" t="s">
        <v>199</v>
      </c>
    </row>
    <row r="166" customFormat="false" ht="15" hidden="false" customHeight="false" outlineLevel="0" collapsed="false">
      <c r="A166" s="0" t="n">
        <f aca="false">ROWS(Data!A1:C8)</f>
        <v>8</v>
      </c>
      <c r="B166" s="0" t="s">
        <v>200</v>
      </c>
    </row>
    <row r="167" customFormat="false" ht="15" hidden="false" customHeight="false" outlineLevel="0" collapsed="false">
      <c r="A167" s="0" t="n">
        <f aca="false">COLUMNS(Data!A1:C8)</f>
        <v>3</v>
      </c>
      <c r="B167" s="0" t="s">
        <v>201</v>
      </c>
    </row>
    <row r="168" customFormat="false" ht="15" hidden="false" customHeight="false" outlineLevel="0" collapsed="false">
      <c r="A168" s="0" t="str">
        <f aca="false">ADDRESS(2,3)</f>
        <v>$C$2</v>
      </c>
      <c r="B168" s="0" t="s">
        <v>202</v>
      </c>
    </row>
    <row r="169" customFormat="false" ht="15" hidden="false" customHeight="false" outlineLevel="0" collapsed="false">
      <c r="A169" s="0" t="str">
        <f aca="false">ADDRESS(2,3,4)</f>
        <v>C2</v>
      </c>
      <c r="B169" s="0" t="s">
        <v>203</v>
      </c>
    </row>
    <row r="170" customFormat="false" ht="15" hidden="false" customHeight="false" outlineLevel="0" collapsed="false">
      <c r="A170" s="0" t="n">
        <f aca="true">OFFSET(Data!A1,2,0)</f>
        <v>8</v>
      </c>
      <c r="B170" s="0" t="s">
        <v>204</v>
      </c>
    </row>
    <row r="171" customFormat="false" ht="15" hidden="false" customHeight="false" outlineLevel="0" collapsed="false">
      <c r="A171" s="0" t="n">
        <f aca="true">SUM(OFFSET(Data!A1,0,0,3,1))</f>
        <v>16</v>
      </c>
      <c r="B171" s="0" t="s">
        <v>205</v>
      </c>
    </row>
    <row r="172" customFormat="false" ht="15" hidden="false" customHeight="false" outlineLevel="0" collapsed="false">
      <c r="A172" s="0" t="n">
        <f aca="true">INDIRECT("Data!A3")</f>
        <v>8</v>
      </c>
      <c r="B172" s="0" t="s">
        <v>206</v>
      </c>
    </row>
    <row r="173" customFormat="false" ht="15" hidden="false" customHeight="false" outlineLevel="0" collapsed="false">
      <c r="A173" s="0" t="n">
        <f aca="true">SUM(INDIRECT("Data!A1:A3"))</f>
        <v>16</v>
      </c>
      <c r="B173" s="0" t="s">
        <v>207</v>
      </c>
    </row>
    <row r="174" customFormat="false" ht="15" hidden="false" customHeight="false" outlineLevel="0" collapsed="false">
      <c r="A174" s="0" t="str">
        <f aca="true">INDIRECT("Data!B"&amp;2)</f>
        <v>banana</v>
      </c>
      <c r="B174" s="0" t="s">
        <v>208</v>
      </c>
    </row>
    <row r="175" customFormat="false" ht="15" hidden="false" customHeight="false" outlineLevel="0" collapsed="false">
      <c r="A175" s="3" t="n">
        <f aca="false">DATE(2024,1,31)</f>
        <v>45322</v>
      </c>
      <c r="B175" s="0" t="s">
        <v>209</v>
      </c>
    </row>
    <row r="176" customFormat="false" ht="15" hidden="false" customHeight="false" outlineLevel="0" collapsed="false">
      <c r="A176" s="3" t="n">
        <f aca="false">DATE(2024,14,1)</f>
        <v>45689</v>
      </c>
      <c r="B176" s="0" t="s">
        <v>210</v>
      </c>
    </row>
    <row r="177" customFormat="false" ht="15" hidden="false" customHeight="false" outlineLevel="0" collapsed="false">
      <c r="A177" s="3" t="n">
        <f aca="false">DATE(2024,3,0)</f>
        <v>45351</v>
      </c>
      <c r="B177" s="0" t="s">
        <v>211</v>
      </c>
    </row>
    <row r="178" customFormat="false" ht="15" hidden="false" customHeight="false" outlineLevel="0" collapsed="false">
      <c r="A178" s="3" t="n">
        <f aca="false">DATE(1900,3,1)</f>
        <v>61</v>
      </c>
      <c r="B178" s="0" t="s">
        <v>212</v>
      </c>
    </row>
    <row r="179" customFormat="false" ht="15" hidden="false" customHeight="false" outlineLevel="0" collapsed="false">
      <c r="A179" s="3" t="n">
        <f aca="false">DATE(2024,2,29)+1</f>
        <v>45352</v>
      </c>
      <c r="B179" s="0" t="s">
        <v>213</v>
      </c>
    </row>
    <row r="180" customFormat="false" ht="15" hidden="false" customHeight="false" outlineLevel="0" collapsed="false">
      <c r="A180" s="0" t="n">
        <f aca="false">YEAR(Data!C1)</f>
        <v>2024</v>
      </c>
      <c r="B180" s="0" t="s">
        <v>214</v>
      </c>
    </row>
    <row r="181" customFormat="false" ht="15" hidden="false" customHeight="false" outlineLevel="0" collapsed="false">
      <c r="A181" s="0" t="n">
        <f aca="false">MONTH(Data!C1)</f>
        <v>1</v>
      </c>
      <c r="B181" s="0" t="s">
        <v>215</v>
      </c>
    </row>
    <row r="182" customFormat="false" ht="15" hidden="false" customHeight="false" outlineLevel="0" collapsed="false">
      <c r="A182" s="0" t="n">
        <f aca="false">DAY(Data!C1)</f>
        <v>15</v>
      </c>
      <c r="B182" s="0" t="s">
        <v>216</v>
      </c>
    </row>
    <row r="183" customFormat="false" ht="15" hidden="false" customHeight="false" outlineLevel="0" collapsed="false">
      <c r="A183" s="0" t="n">
        <f aca="false">WEEKDAY(Data!C1)</f>
        <v>2</v>
      </c>
      <c r="B183" s="0" t="s">
        <v>217</v>
      </c>
    </row>
    <row r="184" customFormat="false" ht="15" hidden="false" customHeight="false" outlineLevel="0" collapsed="false">
      <c r="A184" s="0" t="n">
        <f aca="false">WEEKDAY(Data!C1,2)</f>
        <v>1</v>
      </c>
      <c r="B184" s="0" t="s">
        <v>218</v>
      </c>
    </row>
    <row r="185" customFormat="false" ht="15" hidden="false" customHeight="false" outlineLevel="0" collapsed="false">
      <c r="A185" s="0" t="n">
        <f aca="false">EDATE(DATE(2024,1,31),1)</f>
        <v>45351</v>
      </c>
      <c r="B185" s="0" t="s">
        <v>219</v>
      </c>
    </row>
    <row r="186" customFormat="false" ht="15" hidden="false" customHeight="false" outlineLevel="0" collapsed="false">
      <c r="A186" s="0" t="n">
        <f aca="false">EDATE(DATE(2024,3,31),-1)</f>
        <v>45351</v>
      </c>
      <c r="B186" s="0" t="s">
        <v>220</v>
      </c>
    </row>
    <row r="187" customFormat="false" ht="15" hidden="false" customHeight="false" outlineLevel="0" collapsed="false">
      <c r="A187" s="0" t="n">
        <f aca="false">EOMONTH(Data!C1,0)</f>
        <v>45322</v>
      </c>
      <c r="B187" s="0" t="s">
        <v>221</v>
      </c>
    </row>
    <row r="188" customFormat="false" ht="15" hidden="false" customHeight="false" outlineLevel="0" collapsed="false">
      <c r="A188" s="0" t="n">
        <f aca="false">EOMONTH(Data!C1,2)</f>
        <v>45382</v>
      </c>
      <c r="B188" s="0" t="s">
        <v>222</v>
      </c>
    </row>
    <row r="189" customFormat="false" ht="15" hidden="false" customHeight="false" outlineLevel="0" collapsed="false">
      <c r="A189" s="0" t="n">
        <f aca="false">_xlfn.DAYS(Data!C2,Data!C1)</f>
        <v>32</v>
      </c>
      <c r="B189" s="0" t="s">
        <v>223</v>
      </c>
    </row>
    <row r="190" customFormat="false" ht="15" hidden="false" customHeight="false" outlineLevel="0" collapsed="false">
      <c r="A190" s="0" t="n">
        <f aca="false">DATEDIF(Data!C1,Data!C2,"M")</f>
        <v>1</v>
      </c>
      <c r="B190" s="0" t="s">
        <v>224</v>
      </c>
    </row>
    <row r="191" customFormat="false" ht="15" hidden="false" customHeight="false" outlineLevel="0" collapsed="false">
      <c r="A191" s="0" t="n">
        <f aca="false">DATEDIF(Data!C1,Data!C2,"D")</f>
        <v>32</v>
      </c>
      <c r="B191" s="0" t="s">
        <v>225</v>
      </c>
    </row>
    <row r="192" customFormat="false" ht="15" hidden="false" customHeight="false" outlineLevel="0" collapsed="false">
      <c r="A192" s="0" t="n">
        <f aca="false">DATEDIF(DATE(2020,1,15),DATE(2024,1,14),"Y")</f>
        <v>3</v>
      </c>
      <c r="B192" s="0" t="s">
        <v>226</v>
      </c>
    </row>
    <row r="193" customFormat="false" ht="15" hidden="false" customHeight="false" outlineLevel="0" collapsed="false">
      <c r="A193" s="0" t="n">
        <f aca="false">HOUR(0.75)</f>
        <v>18</v>
      </c>
      <c r="B193" s="0" t="s">
        <v>227</v>
      </c>
    </row>
    <row r="194" customFormat="false" ht="15" hidden="false" customHeight="false" outlineLevel="0" collapsed="false">
      <c r="A194" s="0" t="n">
        <f aca="false">MINUTE(0.7512)</f>
        <v>1</v>
      </c>
      <c r="B194" s="0" t="s">
        <v>228</v>
      </c>
    </row>
    <row r="195" customFormat="false" ht="15" hidden="false" customHeight="false" outlineLevel="0" collapsed="false">
      <c r="A195" s="0" t="n">
        <f aca="false">SECOND(0.7512)</f>
        <v>44</v>
      </c>
      <c r="B195" s="0" t="s">
        <v>229</v>
      </c>
    </row>
    <row r="196" customFormat="false" ht="15" hidden="false" customHeight="false" outlineLevel="0" collapsed="false">
      <c r="A196" s="4" t="n">
        <f aca="false">TIME(13,30,0)</f>
        <v>0.5625</v>
      </c>
      <c r="B196" s="0" t="s">
        <v>230</v>
      </c>
    </row>
    <row r="197" customFormat="false" ht="15" hidden="false" customHeight="false" outlineLevel="0" collapsed="false">
      <c r="A197" s="0" t="n">
        <f aca="false">DATEVALUE("2024-03-01")</f>
        <v>45352</v>
      </c>
      <c r="B197" s="0" t="s">
        <v>231</v>
      </c>
    </row>
    <row r="198" customFormat="false" ht="15" hidden="false" customHeight="false" outlineLevel="0" collapsed="false">
      <c r="A198" s="5" t="n">
        <f aca="false">PMT(0.01,12,-1000)</f>
        <v>88.8487886783417</v>
      </c>
      <c r="B198" s="0" t="s">
        <v>232</v>
      </c>
    </row>
    <row r="199" customFormat="false" ht="15" hidden="false" customHeight="false" outlineLevel="0" collapsed="false">
      <c r="A199" s="5" t="n">
        <f aca="false">PMT(0.05/12,360,200000)</f>
        <v>-1073.64324602428</v>
      </c>
      <c r="B199" s="0" t="s">
        <v>233</v>
      </c>
    </row>
    <row r="200" customFormat="false" ht="15" hidden="false" customHeight="false" outlineLevel="0" collapsed="false">
      <c r="A200" s="5" t="n">
        <f aca="false">FV(0.05,10,-100)</f>
        <v>1257.78925355488</v>
      </c>
      <c r="B200" s="0" t="s">
        <v>234</v>
      </c>
    </row>
    <row r="201" customFormat="false" ht="15" hidden="false" customHeight="false" outlineLevel="0" collapsed="false">
      <c r="A201" s="5" t="n">
        <f aca="false">PV(0.05,10,-100)</f>
        <v>772.173492918482</v>
      </c>
      <c r="B201" s="0" t="s">
        <v>235</v>
      </c>
    </row>
    <row r="202" customFormat="false" ht="15" hidden="false" customHeight="false" outlineLevel="0" collapsed="false">
      <c r="A202" s="5" t="n">
        <f aca="false">NPV(0.1,100,200,300)</f>
        <v>481.592787377911</v>
      </c>
      <c r="B202" s="0" t="s">
        <v>236</v>
      </c>
    </row>
    <row r="203" customFormat="false" ht="15" hidden="false" customHeight="false" outlineLevel="0" collapsed="false">
      <c r="A203" s="6" t="n">
        <f aca="false">IRR(Data!J1:J5)</f>
        <v>0.248883356624071</v>
      </c>
      <c r="B203" s="0" t="s">
        <v>237</v>
      </c>
    </row>
    <row r="204" customFormat="false" ht="15" hidden="false" customHeight="false" outlineLevel="0" collapsed="false">
      <c r="A204" s="0" t="n">
        <f aca="false">-2^2</f>
        <v>4</v>
      </c>
      <c r="B204" s="0" t="s">
        <v>238</v>
      </c>
    </row>
    <row r="205" customFormat="false" ht="15" hidden="false" customHeight="false" outlineLevel="0" collapsed="false">
      <c r="A205" s="0" t="n">
        <f aca="false">2^-1</f>
        <v>0.5</v>
      </c>
      <c r="B205" s="0" t="s">
        <v>239</v>
      </c>
    </row>
    <row r="206" customFormat="false" ht="15" hidden="false" customHeight="false" outlineLevel="0" collapsed="false">
      <c r="A206" s="0" t="n">
        <f aca="false">2^3^2</f>
        <v>64</v>
      </c>
      <c r="B206" s="0" t="s">
        <v>240</v>
      </c>
    </row>
    <row r="207" customFormat="false" ht="15" hidden="false" customHeight="false" outlineLevel="0" collapsed="false">
      <c r="A207" s="0" t="n">
        <f aca="false">10%*3</f>
        <v>0.3</v>
      </c>
      <c r="B207" s="0" t="s">
        <v>241</v>
      </c>
    </row>
    <row r="208" customFormat="false" ht="15" hidden="false" customHeight="false" outlineLevel="0" collapsed="false">
      <c r="A208" s="0" t="n">
        <f aca="false">"3"+1</f>
        <v>4</v>
      </c>
      <c r="B208" s="0" t="s">
        <v>242</v>
      </c>
    </row>
    <row r="209" customFormat="false" ht="15" hidden="false" customHeight="false" outlineLevel="0" collapsed="false">
      <c r="A209" s="0" t="n">
        <f aca="false">TRUE()+1</f>
        <v>2</v>
      </c>
      <c r="B209" s="0" t="s">
        <v>243</v>
      </c>
    </row>
    <row r="210" customFormat="false" ht="15" hidden="false" customHeight="false" outlineLevel="0" collapsed="false">
      <c r="A210" s="0" t="str">
        <f aca="false">"a"&amp;"b"</f>
        <v>ab</v>
      </c>
      <c r="B210" s="0" t="s">
        <v>244</v>
      </c>
    </row>
    <row r="211" customFormat="false" ht="15" hidden="false" customHeight="false" outlineLevel="0" collapsed="false">
      <c r="A211" s="2" t="b">
        <f aca="false">1="1"</f>
        <v>0</v>
      </c>
      <c r="B211" s="0" t="s">
        <v>245</v>
      </c>
    </row>
    <row r="212" customFormat="false" ht="15" hidden="false" customHeight="false" outlineLevel="0" collapsed="false">
      <c r="A212" s="2" t="b">
        <f aca="false">"a"&lt;"B"</f>
        <v>1</v>
      </c>
      <c r="B212" s="0" t="s">
        <v>246</v>
      </c>
    </row>
    <row r="213" customFormat="false" ht="15" hidden="false" customHeight="false" outlineLevel="0" collapsed="false">
      <c r="A213" s="2" t="b">
        <f aca="false">"abc"="ABC"</f>
        <v>1</v>
      </c>
      <c r="B213" s="0" t="s">
        <v>247</v>
      </c>
    </row>
    <row r="214" customFormat="false" ht="15" hidden="false" customHeight="false" outlineLevel="0" collapsed="false">
      <c r="A214" s="2" t="b">
        <f aca="false">1&lt;"a"</f>
        <v>1</v>
      </c>
      <c r="B214" s="0" t="s">
        <v>248</v>
      </c>
    </row>
    <row r="215" customFormat="false" ht="15" hidden="false" customHeight="false" outlineLevel="0" collapsed="false">
      <c r="A215" s="0" t="n">
        <f aca="false">(1+2)*3</f>
        <v>9</v>
      </c>
      <c r="B215" s="0" t="s">
        <v>249</v>
      </c>
    </row>
    <row r="216" customFormat="false" ht="15" hidden="false" customHeight="false" outlineLevel="0" collapsed="false">
      <c r="A216" s="0" t="n">
        <f aca="false">7/2</f>
        <v>3.5</v>
      </c>
      <c r="B216" s="0" t="s">
        <v>250</v>
      </c>
    </row>
    <row r="217" customFormat="false" ht="15" hidden="false" customHeight="false" outlineLevel="0" collapsed="false">
      <c r="A217" s="0" t="n">
        <f aca="false">-(-3)</f>
        <v>3</v>
      </c>
      <c r="B217" s="0" t="s">
        <v>251</v>
      </c>
    </row>
    <row r="218" customFormat="false" ht="15" hidden="false" customHeight="false" outlineLevel="0" collapsed="false">
      <c r="A218" s="0" t="e">
        <f aca="false">Data!A1:A3*2</f>
        <v>#VALUE!</v>
      </c>
      <c r="B218" s="0" t="s">
        <v>252</v>
      </c>
    </row>
    <row r="219" customFormat="false" ht="15" hidden="false" customHeight="false" outlineLevel="0" collapsed="false">
      <c r="A219" s="0" t="e">
        <f aca="false">SUM(Data!A1:A3*2)</f>
        <v>#VALUE!</v>
      </c>
      <c r="B219" s="0" t="s">
        <v>253</v>
      </c>
    </row>
    <row r="220" customFormat="false" ht="15" hidden="false" customHeight="false" outlineLevel="0" collapsed="false">
      <c r="A220" s="0" t="e">
        <f aca="false">SUM(Data!A1:A3&gt;3)</f>
        <v>#VALUE!</v>
      </c>
      <c r="B220" s="0" t="s">
        <v>254</v>
      </c>
    </row>
    <row r="221" customFormat="false" ht="15" hidden="false" customHeight="false" outlineLevel="0" collapsed="false">
      <c r="A221" s="0" t="e">
        <f aca="false">1/0</f>
        <v>#DIV/0!</v>
      </c>
      <c r="B221" s="0" t="s">
        <v>255</v>
      </c>
    </row>
    <row r="222" customFormat="false" ht="15" hidden="false" customHeight="false" outlineLevel="0" collapsed="false">
      <c r="A222" s="0" t="e">
        <f aca="false">SQRT(-1)</f>
        <v>#VALUE!</v>
      </c>
      <c r="B222" s="0" t="s">
        <v>256</v>
      </c>
    </row>
    <row r="223" customFormat="false" ht="15" hidden="false" customHeight="false" outlineLevel="0" collapsed="false">
      <c r="A223" s="0" t="e">
        <f aca="false">NA()</f>
        <v>#N/A</v>
      </c>
      <c r="B223" s="0" t="s">
        <v>257</v>
      </c>
    </row>
    <row r="224" customFormat="false" ht="15" hidden="false" customHeight="false" outlineLevel="0" collapsed="false">
      <c r="A224" s="0" t="e">
        <f aca="false">"a"+1</f>
        <v>#VALUE!</v>
      </c>
      <c r="B224" s="0" t="s">
        <v>258</v>
      </c>
    </row>
    <row r="225" customFormat="false" ht="15" hidden="false" customHeight="false" outlineLevel="0" collapsed="false">
      <c r="A225" s="0" t="n">
        <f aca="false">0^0</f>
        <v>1</v>
      </c>
      <c r="B225" s="0" t="s">
        <v>259</v>
      </c>
    </row>
    <row r="226" customFormat="false" ht="15" hidden="false" customHeight="false" outlineLevel="0" collapsed="false">
      <c r="A226" s="0" t="e">
        <f aca="false">LN(0)</f>
        <v>#VALUE!</v>
      </c>
      <c r="B226" s="0" t="s">
        <v>260</v>
      </c>
    </row>
    <row r="227" customFormat="false" ht="15" hidden="false" customHeight="false" outlineLevel="0" collapsed="false">
      <c r="A227" s="0" t="e">
        <f aca="false">VALUE("abc")</f>
        <v>#VALUE!</v>
      </c>
      <c r="B227" s="0" t="s">
        <v>261</v>
      </c>
    </row>
    <row r="228" customFormat="false" ht="15" hidden="false" customHeight="false" outlineLevel="0" collapsed="false">
      <c r="A228" s="0" t="e">
        <f aca="false">MATCH(99,Data!A1:A8,0)</f>
        <v>#N/A</v>
      </c>
      <c r="B228" s="0" t="s">
        <v>262</v>
      </c>
    </row>
    <row r="229" customFormat="false" ht="15" hidden="false" customHeight="false" outlineLevel="0" collapsed="false">
      <c r="A229" s="0" t="e">
        <f aca="false">INDEX(Data!A1:A8,99)</f>
        <v>#REF!</v>
      </c>
      <c r="B229" s="0" t="s">
        <v>263</v>
      </c>
    </row>
    <row r="230" customFormat="false" ht="15" hidden="false" customHeight="false" outlineLevel="0" collapsed="false">
      <c r="A230" s="0" t="n">
        <f aca="false">SUMPRODUCT(LEN(Data!B1:B3))</f>
        <v>17</v>
      </c>
      <c r="B230" s="0" t="s">
        <v>264</v>
      </c>
    </row>
    <row r="231" customFormat="false" ht="15" hidden="false" customHeight="false" outlineLevel="0" collapsed="false">
      <c r="A231" s="0" t="n">
        <f aca="false">SUMPRODUCT(--(Data!A1:A8&gt;4))</f>
        <v>4</v>
      </c>
      <c r="B231" s="0" t="s">
        <v>265</v>
      </c>
    </row>
    <row r="232" customFormat="false" ht="15" hidden="false" customHeight="false" outlineLevel="0" collapsed="false">
      <c r="A232" s="0" t="e">
        <f aca="false">Data!A1+Data!B1</f>
        <v>#VALUE!</v>
      </c>
      <c r="B232" s="0" t="s">
        <v>266</v>
      </c>
    </row>
    <row r="233" customFormat="false" ht="15" hidden="false" customHeight="false" outlineLevel="0" collapsed="false">
      <c r="A233" s="0" t="e">
        <f aca="false">#ref!+1</f>
        <v>#NAME?</v>
      </c>
      <c r="B233" s="0" t="s">
        <v>267</v>
      </c>
    </row>
    <row r="234" customFormat="false" ht="15" hidden="false" customHeight="false" outlineLevel="0" collapsed="false">
      <c r="A234" s="2" t="b">
        <f aca="false">ISERROR(Data!A1/0)</f>
        <v>1</v>
      </c>
      <c r="B234" s="0" t="s">
        <v>268</v>
      </c>
    </row>
    <row r="235" customFormat="false" ht="15" hidden="false" customHeight="false" outlineLevel="0" collapsed="false">
      <c r="A235" s="0" t="n">
        <f aca="false">Data!Z99</f>
        <v>0</v>
      </c>
      <c r="B235" s="0" t="s">
        <v>269</v>
      </c>
    </row>
    <row r="236" customFormat="false" ht="15" hidden="false" customHeight="false" outlineLevel="0" collapsed="false">
      <c r="A236" s="2" t="b">
        <f aca="false">ISBLANK(A235)</f>
        <v>0</v>
      </c>
      <c r="B236" s="0" t="s">
        <v>270</v>
      </c>
    </row>
    <row r="237" customFormat="false" ht="15" hidden="false" customHeight="false" outlineLevel="0" collapsed="false">
      <c r="A237" s="2" t="b">
        <f aca="false">A235=""</f>
        <v>1</v>
      </c>
      <c r="B237" s="0" t="s">
        <v>271</v>
      </c>
    </row>
    <row r="238" customFormat="false" ht="15" hidden="false" customHeight="false" outlineLevel="0" collapsed="false">
      <c r="A238" s="2" t="b">
        <f aca="false">A235=0</f>
        <v>1</v>
      </c>
      <c r="B238" s="0" t="s">
        <v>272</v>
      </c>
    </row>
    <row r="239" customFormat="false" ht="15" hidden="false" customHeight="false" outlineLevel="0" collapsed="false">
      <c r="A239" s="0" t="str">
        <f aca="false">Data!Z99&amp;"x"</f>
        <v>x</v>
      </c>
      <c r="B239" s="0" t="s">
        <v>273</v>
      </c>
    </row>
    <row r="240" customFormat="false" ht="15" hidden="false" customHeight="false" outlineLevel="0" collapsed="false">
      <c r="A240" s="0" t="n">
        <f aca="false">IF(TRUE(),Data!Z99)</f>
        <v>0</v>
      </c>
      <c r="B240" s="0" t="s">
        <v>274</v>
      </c>
    </row>
    <row r="241" customFormat="false" ht="15" hidden="false" customHeight="false" outlineLevel="0" collapsed="false">
      <c r="A241" s="2" t="b">
        <f aca="false">ISBLANK(Data!Z99)</f>
        <v>1</v>
      </c>
      <c r="B241" s="0" t="s">
        <v>275</v>
      </c>
    </row>
    <row r="242" customFormat="false" ht="15" hidden="false" customHeight="false" outlineLevel="0" collapsed="false">
      <c r="A242" s="2" t="b">
        <f aca="false">Data!Z99=0</f>
        <v>1</v>
      </c>
      <c r="B242" s="0" t="s">
        <v>276</v>
      </c>
    </row>
    <row r="243" customFormat="false" ht="15" hidden="false" customHeight="false" outlineLevel="0" collapsed="false">
      <c r="A243" s="2" t="b">
        <f aca="false">Data!Z99=""</f>
        <v>1</v>
      </c>
      <c r="B243" s="0" t="s">
        <v>277</v>
      </c>
    </row>
    <row r="244" customFormat="false" ht="15" hidden="false" customHeight="false" outlineLevel="0" collapsed="false">
      <c r="A244" s="0" t="n">
        <f aca="false">SUM(Data!Z99,1)</f>
        <v>1</v>
      </c>
      <c r="B244" s="0" t="s">
        <v>278</v>
      </c>
    </row>
    <row r="245" customFormat="false" ht="15" hidden="false" customHeight="false" outlineLevel="0" collapsed="false">
      <c r="A245" s="0" t="n">
        <f aca="false">LEN(Data!Z99)</f>
        <v>0</v>
      </c>
      <c r="B245" s="0" t="s">
        <v>279</v>
      </c>
    </row>
    <row r="246" customFormat="false" ht="15" hidden="false" customHeight="false" outlineLevel="0" collapsed="false">
      <c r="A246" s="2" t="b">
        <f aca="false">ISNUMBER(A235)</f>
        <v>0</v>
      </c>
      <c r="B246" s="0" t="s">
        <v>280</v>
      </c>
    </row>
    <row r="247" customFormat="false" ht="15" hidden="false" customHeight="false" outlineLevel="0" collapsed="false">
      <c r="A247" s="0" t="n">
        <f aca="false">ASIN(0.5)</f>
        <v>0.523598775598299</v>
      </c>
      <c r="B247" s="0" t="s">
        <v>281</v>
      </c>
    </row>
    <row r="248" customFormat="false" ht="15" hidden="false" customHeight="false" outlineLevel="0" collapsed="false">
      <c r="A248" s="0" t="n">
        <f aca="false">ACOS(0.5)</f>
        <v>1.0471975511966</v>
      </c>
      <c r="B248" s="0" t="s">
        <v>282</v>
      </c>
    </row>
    <row r="249" customFormat="false" ht="15" hidden="false" customHeight="false" outlineLevel="0" collapsed="false">
      <c r="A249" s="0" t="n">
        <f aca="false">SINH(1)</f>
        <v>1.1752011936438</v>
      </c>
      <c r="B249" s="0" t="s">
        <v>283</v>
      </c>
    </row>
    <row r="250" customFormat="false" ht="15" hidden="false" customHeight="false" outlineLevel="0" collapsed="false">
      <c r="A250" s="0" t="n">
        <f aca="false">COSH(1)</f>
        <v>1.54308063481524</v>
      </c>
      <c r="B250" s="0" t="s">
        <v>284</v>
      </c>
    </row>
    <row r="251" customFormat="false" ht="15" hidden="false" customHeight="false" outlineLevel="0" collapsed="false">
      <c r="A251" s="0" t="n">
        <f aca="false">TANH(0.5)</f>
        <v>0.46211715726001</v>
      </c>
      <c r="B251" s="0" t="s">
        <v>285</v>
      </c>
    </row>
    <row r="252" customFormat="false" ht="15" hidden="false" customHeight="false" outlineLevel="0" collapsed="false">
      <c r="A252" s="0" t="n">
        <f aca="false">ASINH(1)</f>
        <v>0.881373587019543</v>
      </c>
      <c r="B252" s="0" t="s">
        <v>286</v>
      </c>
    </row>
    <row r="253" customFormat="false" ht="15" hidden="false" customHeight="false" outlineLevel="0" collapsed="false">
      <c r="A253" s="0" t="n">
        <f aca="false">ACOSH(2)</f>
        <v>1.31695789692482</v>
      </c>
      <c r="B253" s="0" t="s">
        <v>287</v>
      </c>
    </row>
    <row r="254" customFormat="false" ht="15" hidden="false" customHeight="false" outlineLevel="0" collapsed="false">
      <c r="A254" s="0" t="n">
        <f aca="false">ATANH(0.5)</f>
        <v>0.549306144334055</v>
      </c>
      <c r="B254" s="0" t="s">
        <v>288</v>
      </c>
    </row>
    <row r="255" customFormat="false" ht="15" hidden="false" customHeight="false" outlineLevel="0" collapsed="false">
      <c r="A255" s="0" t="n">
        <f aca="false">_xlfn.COT(1)</f>
        <v>0.642092615934331</v>
      </c>
      <c r="B255" s="0" t="s">
        <v>289</v>
      </c>
    </row>
    <row r="256" customFormat="false" ht="15" hidden="false" customHeight="false" outlineLevel="0" collapsed="false">
      <c r="A256" s="0" t="n">
        <f aca="false">_xlfn.COTH(1)</f>
        <v>1.31303528549933</v>
      </c>
      <c r="B256" s="0" t="s">
        <v>290</v>
      </c>
    </row>
    <row r="257" customFormat="false" ht="15" hidden="false" customHeight="false" outlineLevel="0" collapsed="false">
      <c r="A257" s="0" t="n">
        <f aca="false">_xlfn.ACOT(2)</f>
        <v>0.463647609000806</v>
      </c>
      <c r="B257" s="0" t="s">
        <v>291</v>
      </c>
    </row>
    <row r="258" customFormat="false" ht="15" hidden="false" customHeight="false" outlineLevel="0" collapsed="false">
      <c r="A258" s="0" t="n">
        <f aca="false">_xlfn.ACOTH(2)</f>
        <v>0.549306144334055</v>
      </c>
      <c r="B258" s="0" t="s">
        <v>292</v>
      </c>
    </row>
    <row r="259" customFormat="false" ht="15" hidden="false" customHeight="false" outlineLevel="0" collapsed="false">
      <c r="A259" s="0" t="n">
        <f aca="false">_xlfn.SEC(1)</f>
        <v>1.85081571768093</v>
      </c>
      <c r="B259" s="0" t="s">
        <v>293</v>
      </c>
    </row>
    <row r="260" customFormat="false" ht="15" hidden="false" customHeight="false" outlineLevel="0" collapsed="false">
      <c r="A260" s="0" t="n">
        <f aca="false">_xlfn.CSC(1)</f>
        <v>1.18839510577812</v>
      </c>
      <c r="B260" s="0" t="s">
        <v>294</v>
      </c>
    </row>
    <row r="261" customFormat="false" ht="15" hidden="false" customHeight="false" outlineLevel="0" collapsed="false">
      <c r="A261" s="0" t="n">
        <f aca="false">_xlfn.SECH(1)</f>
        <v>0.648054273663886</v>
      </c>
      <c r="B261" s="0" t="s">
        <v>295</v>
      </c>
    </row>
    <row r="262" customFormat="false" ht="15" hidden="false" customHeight="false" outlineLevel="0" collapsed="false">
      <c r="A262" s="0" t="n">
        <f aca="false">_xlfn.CSCH(1)</f>
        <v>0.850918128239322</v>
      </c>
      <c r="B262" s="0" t="s">
        <v>296</v>
      </c>
    </row>
    <row r="263" customFormat="false" ht="15" hidden="false" customHeight="false" outlineLevel="0" collapsed="false">
      <c r="A263" s="0" t="n">
        <f aca="false">SQRTPI(2)</f>
        <v>2.506628274631</v>
      </c>
      <c r="B263" s="0" t="s">
        <v>297</v>
      </c>
    </row>
    <row r="264" customFormat="false" ht="15" hidden="false" customHeight="false" outlineLevel="0" collapsed="false">
      <c r="A264" s="0" t="e">
        <f aca="false">ASIN(2)</f>
        <v>#NUM!</v>
      </c>
      <c r="B264" s="0" t="s">
        <v>298</v>
      </c>
    </row>
    <row r="265" customFormat="false" ht="15" hidden="false" customHeight="false" outlineLevel="0" collapsed="false">
      <c r="A265" s="0" t="e">
        <f aca="false">ACOSH(0.5)</f>
        <v>#VALUE!</v>
      </c>
      <c r="B265" s="0" t="s">
        <v>299</v>
      </c>
    </row>
    <row r="266" customFormat="false" ht="15" hidden="false" customHeight="false" outlineLevel="0" collapsed="false">
      <c r="A266" s="0" t="n">
        <f aca="false">GCD(12,18)</f>
        <v>6</v>
      </c>
      <c r="B266" s="0" t="s">
        <v>300</v>
      </c>
    </row>
    <row r="267" customFormat="false" ht="15" hidden="false" customHeight="false" outlineLevel="0" collapsed="false">
      <c r="A267" s="0" t="n">
        <f aca="false">GCD(Data!A1:A3)</f>
        <v>1</v>
      </c>
      <c r="B267" s="0" t="s">
        <v>301</v>
      </c>
    </row>
    <row r="268" customFormat="false" ht="15" hidden="false" customHeight="false" outlineLevel="0" collapsed="false">
      <c r="A268" s="0" t="n">
        <f aca="false">LCM(4,6)</f>
        <v>12</v>
      </c>
      <c r="B268" s="0" t="s">
        <v>302</v>
      </c>
    </row>
    <row r="269" customFormat="false" ht="15" hidden="false" customHeight="false" outlineLevel="0" collapsed="false">
      <c r="A269" s="0" t="n">
        <f aca="false">LCM(Data!A1:A3)</f>
        <v>120</v>
      </c>
      <c r="B269" s="0" t="s">
        <v>303</v>
      </c>
    </row>
    <row r="270" customFormat="false" ht="15" hidden="false" customHeight="false" outlineLevel="0" collapsed="false">
      <c r="A270" s="0" t="e">
        <f aca="false">GCD(-1,2)</f>
        <v>#VALUE!</v>
      </c>
      <c r="B270" s="0" t="s">
        <v>304</v>
      </c>
    </row>
    <row r="271" customFormat="false" ht="15" hidden="false" customHeight="false" outlineLevel="0" collapsed="false">
      <c r="A271" s="0" t="n">
        <f aca="false">QUOTIENT(7,2)</f>
        <v>3</v>
      </c>
      <c r="B271" s="0" t="s">
        <v>305</v>
      </c>
    </row>
    <row r="272" customFormat="false" ht="15" hidden="false" customHeight="false" outlineLevel="0" collapsed="false">
      <c r="A272" s="0" t="n">
        <f aca="false">QUOTIENT(-7,2)</f>
        <v>-3</v>
      </c>
      <c r="B272" s="0" t="s">
        <v>306</v>
      </c>
    </row>
    <row r="273" customFormat="false" ht="15" hidden="false" customHeight="false" outlineLevel="0" collapsed="false">
      <c r="A273" s="0" t="e">
        <f aca="false">QUOTIENT(1,0)</f>
        <v>#VALUE!</v>
      </c>
      <c r="B273" s="0" t="s">
        <v>307</v>
      </c>
    </row>
    <row r="274" customFormat="false" ht="15" hidden="false" customHeight="false" outlineLevel="0" collapsed="false">
      <c r="A274" s="0" t="n">
        <f aca="false">MROUND(10,3)</f>
        <v>9</v>
      </c>
      <c r="B274" s="0" t="s">
        <v>308</v>
      </c>
    </row>
    <row r="275" customFormat="false" ht="15" hidden="false" customHeight="false" outlineLevel="0" collapsed="false">
      <c r="A275" s="0" t="n">
        <f aca="false">MROUND(-10,-3)</f>
        <v>-9</v>
      </c>
      <c r="B275" s="0" t="s">
        <v>309</v>
      </c>
    </row>
    <row r="276" customFormat="false" ht="15" hidden="false" customHeight="false" outlineLevel="0" collapsed="false">
      <c r="A276" s="0" t="n">
        <f aca="false">MROUND(5,-2)</f>
        <v>6</v>
      </c>
      <c r="B276" s="0" t="s">
        <v>310</v>
      </c>
    </row>
    <row r="277" customFormat="false" ht="15" hidden="false" customHeight="false" outlineLevel="0" collapsed="false">
      <c r="A277" s="0" t="n">
        <f aca="false">MROUND(1.3,0.2)</f>
        <v>1.4</v>
      </c>
      <c r="B277" s="0" t="s">
        <v>311</v>
      </c>
    </row>
    <row r="278" customFormat="false" ht="15" hidden="false" customHeight="false" outlineLevel="0" collapsed="false">
      <c r="A278" s="0" t="n">
        <f aca="false">_xlfn.CEILING.MATH(4.3)</f>
        <v>5</v>
      </c>
      <c r="B278" s="0" t="s">
        <v>312</v>
      </c>
    </row>
    <row r="279" customFormat="false" ht="15" hidden="false" customHeight="false" outlineLevel="0" collapsed="false">
      <c r="A279" s="0" t="n">
        <f aca="false">_xlfn.CEILING.MATH(-4.3)</f>
        <v>-4</v>
      </c>
      <c r="B279" s="0" t="s">
        <v>313</v>
      </c>
    </row>
    <row r="280" customFormat="false" ht="15" hidden="false" customHeight="false" outlineLevel="0" collapsed="false">
      <c r="A280" s="0" t="n">
        <f aca="false">_xlfn.CEILING.MATH(-4.3,1,1)</f>
        <v>-5</v>
      </c>
      <c r="B280" s="0" t="s">
        <v>314</v>
      </c>
    </row>
    <row r="281" customFormat="false" ht="15" hidden="false" customHeight="false" outlineLevel="0" collapsed="false">
      <c r="A281" s="0" t="n">
        <f aca="false">_xlfn.CEILING.MATH(4.3,0.5)</f>
        <v>4.5</v>
      </c>
      <c r="B281" s="0" t="s">
        <v>315</v>
      </c>
    </row>
    <row r="282" customFormat="false" ht="15" hidden="false" customHeight="false" outlineLevel="0" collapsed="false">
      <c r="A282" s="0" t="n">
        <f aca="false">_xlfn.FLOOR.MATH(4.3)</f>
        <v>4</v>
      </c>
      <c r="B282" s="0" t="s">
        <v>316</v>
      </c>
    </row>
    <row r="283" customFormat="false" ht="15" hidden="false" customHeight="false" outlineLevel="0" collapsed="false">
      <c r="A283" s="0" t="n">
        <f aca="false">_xlfn.FLOOR.MATH(-4.3)</f>
        <v>-5</v>
      </c>
      <c r="B283" s="0" t="s">
        <v>317</v>
      </c>
    </row>
    <row r="284" customFormat="false" ht="15" hidden="false" customHeight="false" outlineLevel="0" collapsed="false">
      <c r="A284" s="0" t="n">
        <f aca="false">_xlfn.FLOOR.MATH(-4.3,1,1)</f>
        <v>-4</v>
      </c>
      <c r="B284" s="0" t="s">
        <v>318</v>
      </c>
    </row>
    <row r="285" customFormat="false" ht="15" hidden="false" customHeight="false" outlineLevel="0" collapsed="false">
      <c r="A285" s="0" t="n">
        <f aca="false">_xlfn.FLOOR.MATH(4.3,0.5)</f>
        <v>4</v>
      </c>
      <c r="B285" s="0" t="s">
        <v>319</v>
      </c>
    </row>
    <row r="286" customFormat="false" ht="15" hidden="false" customHeight="false" outlineLevel="0" collapsed="false">
      <c r="A286" s="0" t="n">
        <f aca="false">_xlfn.CEILING.PRECISE(4.3,-2)</f>
        <v>6</v>
      </c>
      <c r="B286" s="0" t="s">
        <v>320</v>
      </c>
    </row>
    <row r="287" customFormat="false" ht="15" hidden="false" customHeight="false" outlineLevel="0" collapsed="false">
      <c r="A287" s="0" t="n">
        <f aca="false">_xlfn.FLOOR.PRECISE(-4.3,2)</f>
        <v>-6</v>
      </c>
      <c r="B287" s="0" t="s">
        <v>321</v>
      </c>
    </row>
    <row r="288" customFormat="false" ht="15" hidden="false" customHeight="false" outlineLevel="0" collapsed="false">
      <c r="A288" s="0" t="n">
        <f aca="false">ISO.CEILING(4.3,2)</f>
        <v>6</v>
      </c>
      <c r="B288" s="0" t="s">
        <v>322</v>
      </c>
    </row>
    <row r="289" customFormat="false" ht="15" hidden="false" customHeight="false" outlineLevel="0" collapsed="false">
      <c r="A289" s="0" t="n">
        <f aca="false">COMBIN(5,2)</f>
        <v>10</v>
      </c>
      <c r="B289" s="0" t="s">
        <v>323</v>
      </c>
    </row>
    <row r="290" customFormat="false" ht="15" hidden="false" customHeight="false" outlineLevel="0" collapsed="false">
      <c r="A290" s="0" t="e">
        <f aca="false">COMBIN(5,6)</f>
        <v>#VALUE!</v>
      </c>
      <c r="B290" s="0" t="s">
        <v>324</v>
      </c>
    </row>
    <row r="291" customFormat="false" ht="15" hidden="false" customHeight="false" outlineLevel="0" collapsed="false">
      <c r="A291" s="0" t="n">
        <f aca="false">_xlfn.COMBINA(3,2)</f>
        <v>6</v>
      </c>
      <c r="B291" s="0" t="s">
        <v>325</v>
      </c>
    </row>
    <row r="292" customFormat="false" ht="15" hidden="false" customHeight="false" outlineLevel="0" collapsed="false">
      <c r="A292" s="0" t="n">
        <f aca="false">PERMUT(5,2)</f>
        <v>20</v>
      </c>
      <c r="B292" s="0" t="s">
        <v>326</v>
      </c>
    </row>
    <row r="293" customFormat="false" ht="15" hidden="false" customHeight="false" outlineLevel="0" collapsed="false">
      <c r="A293" s="0" t="n">
        <f aca="false">_xlfn.PERMUTATIONA(3,2)</f>
        <v>9</v>
      </c>
      <c r="B293" s="0" t="s">
        <v>327</v>
      </c>
    </row>
    <row r="294" customFormat="false" ht="15" hidden="false" customHeight="false" outlineLevel="0" collapsed="false">
      <c r="A294" s="0" t="n">
        <f aca="false">FACTDOUBLE(7)</f>
        <v>105</v>
      </c>
      <c r="B294" s="0" t="s">
        <v>328</v>
      </c>
    </row>
    <row r="295" customFormat="false" ht="15" hidden="false" customHeight="false" outlineLevel="0" collapsed="false">
      <c r="A295" s="0" t="n">
        <f aca="false">FACTDOUBLE(8)</f>
        <v>384</v>
      </c>
      <c r="B295" s="0" t="s">
        <v>329</v>
      </c>
    </row>
    <row r="296" customFormat="false" ht="15" hidden="false" customHeight="false" outlineLevel="0" collapsed="false">
      <c r="A296" s="0" t="n">
        <f aca="false">MULTINOMIAL(2,3,4)</f>
        <v>1260</v>
      </c>
      <c r="B296" s="0" t="s">
        <v>330</v>
      </c>
    </row>
    <row r="297" customFormat="false" ht="15" hidden="false" customHeight="false" outlineLevel="0" collapsed="false">
      <c r="A297" s="0" t="n">
        <f aca="false">_xlfn.BITAND(12,10)</f>
        <v>8</v>
      </c>
      <c r="B297" s="0" t="s">
        <v>331</v>
      </c>
    </row>
    <row r="298" customFormat="false" ht="15" hidden="false" customHeight="false" outlineLevel="0" collapsed="false">
      <c r="A298" s="0" t="n">
        <f aca="false">_xlfn.BITOR(12,10)</f>
        <v>14</v>
      </c>
      <c r="B298" s="0" t="s">
        <v>332</v>
      </c>
    </row>
    <row r="299" customFormat="false" ht="15" hidden="false" customHeight="false" outlineLevel="0" collapsed="false">
      <c r="A299" s="0" t="n">
        <f aca="false">_xlfn.BITXOR(12,10)</f>
        <v>6</v>
      </c>
      <c r="B299" s="0" t="s">
        <v>333</v>
      </c>
    </row>
    <row r="300" customFormat="false" ht="15" hidden="false" customHeight="false" outlineLevel="0" collapsed="false">
      <c r="A300" s="0" t="n">
        <f aca="false">_xlfn.BITLSHIFT(4,2)</f>
        <v>16</v>
      </c>
      <c r="B300" s="0" t="s">
        <v>334</v>
      </c>
    </row>
    <row r="301" customFormat="false" ht="15" hidden="false" customHeight="false" outlineLevel="0" collapsed="false">
      <c r="A301" s="0" t="n">
        <f aca="false">_xlfn.BITRSHIFT(16,2)</f>
        <v>4</v>
      </c>
      <c r="B301" s="0" t="s">
        <v>335</v>
      </c>
    </row>
    <row r="302" customFormat="false" ht="15" hidden="false" customHeight="false" outlineLevel="0" collapsed="false">
      <c r="A302" s="0" t="n">
        <f aca="false">ERF(1)</f>
        <v>0.842700792949715</v>
      </c>
      <c r="B302" s="0" t="s">
        <v>336</v>
      </c>
    </row>
    <row r="303" customFormat="false" ht="15" hidden="false" customHeight="false" outlineLevel="0" collapsed="false">
      <c r="A303" s="0" t="n">
        <f aca="false">ERF(0.5,1)</f>
        <v>0.322200915136668</v>
      </c>
      <c r="B303" s="0" t="s">
        <v>337</v>
      </c>
    </row>
    <row r="304" customFormat="false" ht="15" hidden="false" customHeight="false" outlineLevel="0" collapsed="false">
      <c r="A304" s="0" t="n">
        <f aca="false">_xlfn.ERF.PRECISE(1)</f>
        <v>0.842700792949715</v>
      </c>
      <c r="B304" s="0" t="s">
        <v>338</v>
      </c>
    </row>
    <row r="305" customFormat="false" ht="15" hidden="false" customHeight="false" outlineLevel="0" collapsed="false">
      <c r="A305" s="0" t="n">
        <f aca="false">ERFC(1)</f>
        <v>0.157299207050285</v>
      </c>
      <c r="B305" s="0" t="s">
        <v>339</v>
      </c>
    </row>
    <row r="306" customFormat="false" ht="15" hidden="false" customHeight="false" outlineLevel="0" collapsed="false">
      <c r="A306" s="0" t="n">
        <f aca="false">_xlfn.ERFC.PRECISE(1)</f>
        <v>0.157299207050285</v>
      </c>
      <c r="B306" s="0" t="s">
        <v>340</v>
      </c>
    </row>
    <row r="307" customFormat="false" ht="15" hidden="false" customHeight="false" outlineLevel="0" collapsed="false">
      <c r="A307" s="0" t="n">
        <f aca="false">ERFC(3)</f>
        <v>2.20904969985854E-005</v>
      </c>
      <c r="B307" s="0" t="s">
        <v>341</v>
      </c>
    </row>
    <row r="308" customFormat="false" ht="15" hidden="false" customHeight="false" outlineLevel="0" collapsed="false">
      <c r="A308" s="0" t="n">
        <f aca="false">ERF(-0.5)</f>
        <v>-0.520499877813047</v>
      </c>
      <c r="B308" s="0" t="s">
        <v>342</v>
      </c>
    </row>
    <row r="309" customFormat="false" ht="15" hidden="false" customHeight="false" outlineLevel="0" collapsed="false">
      <c r="A309" s="0" t="n">
        <f aca="false">_xlfn.STDEV.S(Data!A1:A8)</f>
        <v>2.90012315009454</v>
      </c>
      <c r="B309" s="0" t="s">
        <v>343</v>
      </c>
    </row>
    <row r="310" customFormat="false" ht="15" hidden="false" customHeight="false" outlineLevel="0" collapsed="false">
      <c r="A310" s="0" t="n">
        <f aca="false">_xlfn.STDEV.P(Data!A1:A8)</f>
        <v>2.71281680177634</v>
      </c>
      <c r="B310" s="0" t="s">
        <v>344</v>
      </c>
    </row>
    <row r="311" customFormat="false" ht="15" hidden="false" customHeight="false" outlineLevel="0" collapsed="false">
      <c r="A311" s="0" t="n">
        <f aca="false">STDEVP(Data!A1:A8)</f>
        <v>2.71281680177634</v>
      </c>
      <c r="B311" s="0" t="s">
        <v>345</v>
      </c>
    </row>
    <row r="312" customFormat="false" ht="15" hidden="false" customHeight="false" outlineLevel="0" collapsed="false">
      <c r="A312" s="0" t="n">
        <f aca="false">_xlfn.VAR.S(Data!A1:A8)</f>
        <v>8.41071428571429</v>
      </c>
      <c r="B312" s="0" t="s">
        <v>346</v>
      </c>
    </row>
    <row r="313" customFormat="false" ht="15" hidden="false" customHeight="false" outlineLevel="0" collapsed="false">
      <c r="A313" s="0" t="n">
        <f aca="false">_xlfn.VAR.P(Data!A1:A8)</f>
        <v>7.359375</v>
      </c>
      <c r="B313" s="0" t="s">
        <v>347</v>
      </c>
    </row>
    <row r="314" customFormat="false" ht="15" hidden="false" customHeight="false" outlineLevel="0" collapsed="false">
      <c r="A314" s="0" t="n">
        <f aca="false">VARP(Data!A1:A8)</f>
        <v>7.359375</v>
      </c>
      <c r="B314" s="0" t="s">
        <v>348</v>
      </c>
    </row>
    <row r="315" customFormat="false" ht="15" hidden="false" customHeight="false" outlineLevel="0" collapsed="false">
      <c r="A315" s="0" t="n">
        <f aca="false">STDEVA(Data!A1:B3)</f>
        <v>3.32665998663324</v>
      </c>
      <c r="B315" s="0" t="s">
        <v>349</v>
      </c>
    </row>
    <row r="316" customFormat="false" ht="15" hidden="false" customHeight="false" outlineLevel="0" collapsed="false">
      <c r="A316" s="0" t="n">
        <f aca="false">STDEVPA(Data!A1:B3)</f>
        <v>3.0368111930481</v>
      </c>
      <c r="B316" s="0" t="s">
        <v>350</v>
      </c>
    </row>
    <row r="317" customFormat="false" ht="15" hidden="false" customHeight="false" outlineLevel="0" collapsed="false">
      <c r="A317" s="0" t="n">
        <f aca="false">VARA(Data!A1:B3)</f>
        <v>11.0666666666667</v>
      </c>
      <c r="B317" s="0" t="s">
        <v>351</v>
      </c>
    </row>
    <row r="318" customFormat="false" ht="15" hidden="false" customHeight="false" outlineLevel="0" collapsed="false">
      <c r="A318" s="0" t="n">
        <f aca="false">VARPA(Data!A1:B3)</f>
        <v>9.22222222222222</v>
      </c>
      <c r="B318" s="0" t="s">
        <v>352</v>
      </c>
    </row>
    <row r="319" customFormat="false" ht="15" hidden="false" customHeight="false" outlineLevel="0" collapsed="false">
      <c r="A319" s="0" t="n">
        <f aca="false">AVERAGEA(Data!A1:B3)</f>
        <v>2.66666666666667</v>
      </c>
      <c r="B319" s="0" t="s">
        <v>353</v>
      </c>
    </row>
    <row r="320" customFormat="false" ht="15" hidden="false" customHeight="false" outlineLevel="0" collapsed="false">
      <c r="A320" s="0" t="n">
        <f aca="false">MAXA(Data!A1:B3)</f>
        <v>8</v>
      </c>
      <c r="B320" s="0" t="s">
        <v>354</v>
      </c>
    </row>
    <row r="321" customFormat="false" ht="15" hidden="false" customHeight="false" outlineLevel="0" collapsed="false">
      <c r="A321" s="0" t="n">
        <f aca="false">MINA(Data!A1:B3)</f>
        <v>0</v>
      </c>
      <c r="B321" s="0" t="s">
        <v>355</v>
      </c>
    </row>
    <row r="322" customFormat="false" ht="15" hidden="false" customHeight="false" outlineLevel="0" collapsed="false">
      <c r="A322" s="0" t="n">
        <f aca="false">DEVSQ(Data!A1:A8)</f>
        <v>58.875</v>
      </c>
      <c r="B322" s="0" t="s">
        <v>356</v>
      </c>
    </row>
    <row r="323" customFormat="false" ht="15" hidden="false" customHeight="false" outlineLevel="0" collapsed="false">
      <c r="A323" s="0" t="n">
        <f aca="false">AVEDEV(Data!A1:A8)</f>
        <v>2.375</v>
      </c>
      <c r="B323" s="0" t="s">
        <v>357</v>
      </c>
    </row>
    <row r="324" customFormat="false" ht="15" hidden="false" customHeight="false" outlineLevel="0" collapsed="false">
      <c r="A324" s="0" t="n">
        <f aca="false">GEOMEAN(Data!A1:A8)</f>
        <v>3.96005732573246</v>
      </c>
      <c r="B324" s="0" t="s">
        <v>358</v>
      </c>
    </row>
    <row r="325" customFormat="false" ht="15" hidden="false" customHeight="false" outlineLevel="0" collapsed="false">
      <c r="A325" s="0" t="n">
        <f aca="false">HARMEAN(Data!A1:A8)</f>
        <v>3.00491876583694</v>
      </c>
      <c r="B325" s="0" t="s">
        <v>359</v>
      </c>
    </row>
    <row r="326" customFormat="false" ht="15" hidden="false" customHeight="false" outlineLevel="0" collapsed="false">
      <c r="A326" s="0" t="n">
        <f aca="false">SKEW(Data!A1:A8)</f>
        <v>0.164719559013849</v>
      </c>
      <c r="B326" s="0" t="s">
        <v>360</v>
      </c>
    </row>
    <row r="327" customFormat="false" ht="15" hidden="false" customHeight="false" outlineLevel="0" collapsed="false">
      <c r="A327" s="0" t="n">
        <f aca="false">_xlfn.SKEW.P(Data!A1:A8)</f>
        <v>0.132069461727924</v>
      </c>
      <c r="B327" s="0" t="s">
        <v>361</v>
      </c>
    </row>
    <row r="328" customFormat="false" ht="15" hidden="false" customHeight="false" outlineLevel="0" collapsed="false">
      <c r="A328" s="0" t="n">
        <f aca="false">KURT(Data!A1:A8)</f>
        <v>-1.44901618726926</v>
      </c>
      <c r="B328" s="0" t="s">
        <v>362</v>
      </c>
    </row>
    <row r="329" customFormat="false" ht="15" hidden="false" customHeight="false" outlineLevel="0" collapsed="false">
      <c r="A329" s="0" t="n">
        <f aca="false">TRIMMEAN(Data!A1:A8,0.25)</f>
        <v>4.83333333333333</v>
      </c>
      <c r="B329" s="0" t="s">
        <v>363</v>
      </c>
    </row>
    <row r="330" customFormat="false" ht="15" hidden="false" customHeight="false" outlineLevel="0" collapsed="false">
      <c r="A330" s="0" t="n">
        <f aca="false">MODE(Data!K1:K8)</f>
        <v>4</v>
      </c>
      <c r="B330" s="0" t="s">
        <v>364</v>
      </c>
    </row>
    <row r="331" customFormat="false" ht="15" hidden="false" customHeight="false" outlineLevel="0" collapsed="false">
      <c r="A331" s="0" t="n">
        <f aca="false">_xlfn.MODE.SNGL(Data!K1:K8)</f>
        <v>4</v>
      </c>
      <c r="B331" s="0" t="s">
        <v>365</v>
      </c>
    </row>
    <row r="332" customFormat="false" ht="15" hidden="false" customHeight="false" outlineLevel="0" collapsed="false">
      <c r="A332" s="0" t="e">
        <f aca="false">MODE(Data!A1:A8)</f>
        <v>#VALUE!</v>
      </c>
      <c r="B332" s="0" t="s">
        <v>366</v>
      </c>
    </row>
    <row r="333" customFormat="false" ht="15" hidden="false" customHeight="false" outlineLevel="0" collapsed="false">
      <c r="A333" s="0" t="n">
        <f aca="false">RANK(8,Data!A1:A8)</f>
        <v>2</v>
      </c>
      <c r="B333" s="0" t="s">
        <v>367</v>
      </c>
    </row>
    <row r="334" customFormat="false" ht="15" hidden="false" customHeight="false" outlineLevel="0" collapsed="false">
      <c r="A334" s="0" t="n">
        <f aca="false">RANK(8,Data!A1:A8,1)</f>
        <v>7</v>
      </c>
      <c r="B334" s="0" t="s">
        <v>368</v>
      </c>
    </row>
    <row r="335" customFormat="false" ht="15" hidden="false" customHeight="false" outlineLevel="0" collapsed="false">
      <c r="A335" s="0" t="n">
        <f aca="false">_xlfn.RANK.EQ(4,Data!K1:K8)</f>
        <v>6</v>
      </c>
      <c r="B335" s="0" t="s">
        <v>369</v>
      </c>
    </row>
    <row r="336" customFormat="false" ht="15" hidden="false" customHeight="false" outlineLevel="0" collapsed="false">
      <c r="A336" s="0" t="n">
        <f aca="false">_xlfn.RANK.AVG(4,Data!K1:K8)</f>
        <v>6.5</v>
      </c>
      <c r="B336" s="0" t="s">
        <v>370</v>
      </c>
    </row>
    <row r="337" customFormat="false" ht="15" hidden="false" customHeight="false" outlineLevel="0" collapsed="false">
      <c r="A337" s="0" t="n">
        <f aca="false">_xlfn.RANK.AVG(5,Data!K1:K8,1)</f>
        <v>4.5</v>
      </c>
      <c r="B337" s="0" t="s">
        <v>371</v>
      </c>
    </row>
    <row r="338" customFormat="false" ht="15" hidden="false" customHeight="false" outlineLevel="0" collapsed="false">
      <c r="A338" s="0" t="e">
        <f aca="false">RANK(6,Data!A1:A8)</f>
        <v>#N/A</v>
      </c>
      <c r="B338" s="0" t="s">
        <v>372</v>
      </c>
    </row>
    <row r="339" customFormat="false" ht="15" hidden="false" customHeight="false" outlineLevel="0" collapsed="false">
      <c r="A339" s="0" t="n">
        <f aca="false">PERCENTILE(Data!A1:A8,0.3)</f>
        <v>3.1</v>
      </c>
      <c r="B339" s="0" t="s">
        <v>373</v>
      </c>
    </row>
    <row r="340" customFormat="false" ht="15" hidden="false" customHeight="false" outlineLevel="0" collapsed="false">
      <c r="A340" s="0" t="n">
        <f aca="false">_xlfn.PERCENTILE.INC(Data!A1:A8,0.9)</f>
        <v>8.3</v>
      </c>
      <c r="B340" s="0" t="s">
        <v>374</v>
      </c>
    </row>
    <row r="341" customFormat="false" ht="15" hidden="false" customHeight="false" outlineLevel="0" collapsed="false">
      <c r="A341" s="0" t="n">
        <f aca="false">_xlfn.PERCENTILE.EXC(Data!A1:A8,0.3)</f>
        <v>2.7</v>
      </c>
      <c r="B341" s="0" t="s">
        <v>375</v>
      </c>
    </row>
    <row r="342" customFormat="false" ht="15" hidden="false" customHeight="false" outlineLevel="0" collapsed="false">
      <c r="A342" s="0" t="e">
        <f aca="false">_xlfn.PERCENTILE.EXC(Data!A1:A8,0.05)</f>
        <v>#VALUE!</v>
      </c>
      <c r="B342" s="0" t="s">
        <v>376</v>
      </c>
    </row>
    <row r="343" customFormat="false" ht="15" hidden="false" customHeight="false" outlineLevel="0" collapsed="false">
      <c r="A343" s="0" t="n">
        <f aca="false">QUARTILE(Data!A1:A8,1)</f>
        <v>2.75</v>
      </c>
      <c r="B343" s="0" t="s">
        <v>377</v>
      </c>
    </row>
    <row r="344" customFormat="false" ht="15" hidden="false" customHeight="false" outlineLevel="0" collapsed="false">
      <c r="A344" s="0" t="n">
        <f aca="false">_xlfn.QUARTILE.INC(Data!A1:A8,3)</f>
        <v>7.25</v>
      </c>
      <c r="B344" s="0" t="s">
        <v>378</v>
      </c>
    </row>
    <row r="345" customFormat="false" ht="15" hidden="false" customHeight="false" outlineLevel="0" collapsed="false">
      <c r="A345" s="0" t="n">
        <f aca="false">_xlfn.QUARTILE.EXC(Data!A1:A8,1)</f>
        <v>2.25</v>
      </c>
      <c r="B345" s="0" t="s">
        <v>379</v>
      </c>
    </row>
    <row r="346" customFormat="false" ht="15" hidden="false" customHeight="false" outlineLevel="0" collapsed="false">
      <c r="A346" s="0" t="e">
        <f aca="false">QUARTILE(Data!A1:A8,5)</f>
        <v>#VALUE!</v>
      </c>
      <c r="B346" s="0" t="s">
        <v>380</v>
      </c>
    </row>
    <row r="347" customFormat="false" ht="15" hidden="false" customHeight="false" outlineLevel="0" collapsed="false">
      <c r="A347" s="0" t="n">
        <f aca="false">PERCENTRANK(Data!A1:A8,5)</f>
        <v>0.571</v>
      </c>
      <c r="B347" s="0" t="s">
        <v>381</v>
      </c>
    </row>
    <row r="348" customFormat="false" ht="15" hidden="false" customHeight="false" outlineLevel="0" collapsed="false">
      <c r="A348" s="0" t="n">
        <f aca="false">_xlfn.PERCENTRANK.INC(Data!A1:A8,4.5)</f>
        <v>0.5</v>
      </c>
      <c r="B348" s="0" t="s">
        <v>382</v>
      </c>
    </row>
    <row r="349" customFormat="false" ht="15" hidden="false" customHeight="false" outlineLevel="0" collapsed="false">
      <c r="A349" s="0" t="n">
        <f aca="false">_xlfn.PERCENTRANK.EXC(Data!A1:A8,5)</f>
        <v>0.556</v>
      </c>
      <c r="B349" s="0" t="s">
        <v>383</v>
      </c>
    </row>
    <row r="350" customFormat="false" ht="15" hidden="false" customHeight="false" outlineLevel="0" collapsed="false">
      <c r="A350" s="0" t="n">
        <f aca="false">PERCENTRANK(Data!A1:A8,5,5)</f>
        <v>0.57143</v>
      </c>
      <c r="B350" s="0" t="s">
        <v>384</v>
      </c>
    </row>
    <row r="351" customFormat="false" ht="15" hidden="false" customHeight="false" outlineLevel="0" collapsed="false">
      <c r="A351" s="0" t="e">
        <f aca="false">PERCENTRANK(Data!A1:A8,10)</f>
        <v>#VALUE!</v>
      </c>
      <c r="B351" s="0" t="s">
        <v>385</v>
      </c>
    </row>
    <row r="352" customFormat="false" ht="15" hidden="false" customHeight="false" outlineLevel="0" collapsed="false">
      <c r="A352" s="0" t="n">
        <f aca="false">CORREL(Data!A1:A8,Data!K1:K8)</f>
        <v>0.0528545951113298</v>
      </c>
      <c r="B352" s="0" t="s">
        <v>386</v>
      </c>
    </row>
    <row r="353" customFormat="false" ht="15" hidden="false" customHeight="false" outlineLevel="0" collapsed="false">
      <c r="A353" s="0" t="n">
        <f aca="false">PEARSON(Data!A1:A8,Data!K1:K8)</f>
        <v>0.0528545951113298</v>
      </c>
      <c r="B353" s="0" t="s">
        <v>387</v>
      </c>
    </row>
    <row r="354" customFormat="false" ht="15" hidden="false" customHeight="false" outlineLevel="0" collapsed="false">
      <c r="A354" s="0" t="n">
        <f aca="false">RSQ(Data!K1:K8,Data!A1:A8)</f>
        <v>0.00279360822438261</v>
      </c>
      <c r="B354" s="0" t="s">
        <v>388</v>
      </c>
    </row>
    <row r="355" customFormat="false" ht="15" hidden="false" customHeight="false" outlineLevel="0" collapsed="false">
      <c r="A355" s="0" t="n">
        <f aca="false">SLOPE(Data!K1:K8,Data!A1:A8)</f>
        <v>0.0424628450106157</v>
      </c>
      <c r="B355" s="0" t="s">
        <v>389</v>
      </c>
    </row>
    <row r="356" customFormat="false" ht="15" hidden="false" customHeight="false" outlineLevel="0" collapsed="false">
      <c r="A356" s="0" t="n">
        <f aca="false">INTERCEPT(Data!K1:K8,Data!A1:A8)</f>
        <v>5.29299363057325</v>
      </c>
      <c r="B356" s="0" t="s">
        <v>390</v>
      </c>
    </row>
    <row r="357" customFormat="false" ht="15" hidden="false" customHeight="false" outlineLevel="0" collapsed="false">
      <c r="A357" s="0" t="n">
        <f aca="false">FORECAST(10,Data!K1:K8,Data!A1:A8)</f>
        <v>5.71762208067941</v>
      </c>
      <c r="B357" s="0" t="s">
        <v>391</v>
      </c>
    </row>
    <row r="358" customFormat="false" ht="15" hidden="false" customHeight="false" outlineLevel="0" collapsed="false">
      <c r="A358" s="0" t="n">
        <f aca="false">_xlfn.FORECAST.LINEAR(10,Data!K1:K8,Data!A1:A8)</f>
        <v>5.71762208067941</v>
      </c>
      <c r="B358" s="0" t="s">
        <v>392</v>
      </c>
    </row>
    <row r="359" customFormat="false" ht="15" hidden="false" customHeight="false" outlineLevel="0" collapsed="false">
      <c r="A359" s="0" t="n">
        <f aca="false">STEYX(Data!K1:K8,Data!A1:A8)</f>
        <v>2.51309380669437</v>
      </c>
      <c r="B359" s="0" t="s">
        <v>393</v>
      </c>
    </row>
    <row r="360" customFormat="false" ht="15" hidden="false" customHeight="false" outlineLevel="0" collapsed="false">
      <c r="A360" s="0" t="n">
        <f aca="false">COVAR(Data!A1:A8,Data!K1:K8)</f>
        <v>0.3125</v>
      </c>
      <c r="B360" s="0" t="s">
        <v>394</v>
      </c>
    </row>
    <row r="361" customFormat="false" ht="15" hidden="false" customHeight="false" outlineLevel="0" collapsed="false">
      <c r="A361" s="0" t="n">
        <f aca="false">_xlfn.COVARIANCE.P(Data!A1:A8,Data!K1:K8)</f>
        <v>0.3125</v>
      </c>
      <c r="B361" s="0" t="s">
        <v>395</v>
      </c>
    </row>
    <row r="362" customFormat="false" ht="15" hidden="false" customHeight="false" outlineLevel="0" collapsed="false">
      <c r="A362" s="0" t="n">
        <f aca="false">_xlfn.COVARIANCE.S(Data!A1:A8,Data!K1:K8)</f>
        <v>0.357142857142857</v>
      </c>
      <c r="B362" s="0" t="s">
        <v>396</v>
      </c>
    </row>
    <row r="363" customFormat="false" ht="15" hidden="false" customHeight="false" outlineLevel="0" collapsed="false">
      <c r="A363" s="0" t="n">
        <f aca="false">NORMSDIST(1)</f>
        <v>0.841344746068543</v>
      </c>
      <c r="B363" s="0" t="s">
        <v>397</v>
      </c>
    </row>
    <row r="364" customFormat="false" ht="15" hidden="false" customHeight="false" outlineLevel="0" collapsed="false">
      <c r="A364" s="0" t="n">
        <f aca="false">_xlfn.NORM.S.DIST(1,TRUE())</f>
        <v>0.841344746068543</v>
      </c>
      <c r="B364" s="0" t="s">
        <v>398</v>
      </c>
    </row>
    <row r="365" customFormat="false" ht="15" hidden="false" customHeight="false" outlineLevel="0" collapsed="false">
      <c r="A365" s="0" t="n">
        <f aca="false">_xlfn.NORM.S.DIST(1,FALSE())</f>
        <v>0.241970724519143</v>
      </c>
      <c r="B365" s="0" t="s">
        <v>399</v>
      </c>
    </row>
    <row r="366" customFormat="false" ht="15" hidden="false" customHeight="false" outlineLevel="0" collapsed="false">
      <c r="A366" s="0" t="n">
        <f aca="false">NORMDIST(110,100,15,TRUE())</f>
        <v>0.747507462453077</v>
      </c>
      <c r="B366" s="0" t="s">
        <v>400</v>
      </c>
    </row>
    <row r="367" customFormat="false" ht="15" hidden="false" customHeight="false" outlineLevel="0" collapsed="false">
      <c r="A367" s="0" t="n">
        <f aca="false">_xlfn.NORM.DIST(110,100,15,FALSE())</f>
        <v>0.0212965337014902</v>
      </c>
      <c r="B367" s="0" t="s">
        <v>401</v>
      </c>
    </row>
    <row r="368" customFormat="false" ht="15" hidden="false" customHeight="false" outlineLevel="0" collapsed="false">
      <c r="A368" s="0" t="n">
        <f aca="false">NORMSINV(0.975)</f>
        <v>1.95996398454005</v>
      </c>
      <c r="B368" s="0" t="s">
        <v>402</v>
      </c>
    </row>
    <row r="369" customFormat="false" ht="15" hidden="false" customHeight="false" outlineLevel="0" collapsed="false">
      <c r="A369" s="0" t="n">
        <f aca="false">_xlfn.NORM.S.INV(0.3)</f>
        <v>-0.524400512708041</v>
      </c>
      <c r="B369" s="0" t="s">
        <v>403</v>
      </c>
    </row>
    <row r="370" customFormat="false" ht="15" hidden="false" customHeight="false" outlineLevel="0" collapsed="false">
      <c r="A370" s="0" t="n">
        <f aca="false">NORMINV(0.9,100,15)</f>
        <v>119.223273483169</v>
      </c>
      <c r="B370" s="0" t="s">
        <v>404</v>
      </c>
    </row>
    <row r="371" customFormat="false" ht="15" hidden="false" customHeight="false" outlineLevel="0" collapsed="false">
      <c r="A371" s="0" t="n">
        <f aca="false">_xlfn.NORM.INV(0.001,0,1)</f>
        <v>-3.09023230616781</v>
      </c>
      <c r="B371" s="0" t="s">
        <v>405</v>
      </c>
    </row>
    <row r="372" customFormat="false" ht="15" hidden="false" customHeight="false" outlineLevel="0" collapsed="false">
      <c r="A372" s="0" t="e">
        <f aca="false">NORMSINV(0)</f>
        <v>#VALUE!</v>
      </c>
      <c r="B372" s="0" t="s">
        <v>406</v>
      </c>
    </row>
    <row r="373" customFormat="false" ht="15" hidden="false" customHeight="false" outlineLevel="0" collapsed="false">
      <c r="A373" s="0" t="n">
        <f aca="false">STANDARDIZE(5,3,2)</f>
        <v>1</v>
      </c>
      <c r="B373" s="0" t="s">
        <v>407</v>
      </c>
    </row>
    <row r="374" customFormat="false" ht="15" hidden="false" customHeight="false" outlineLevel="0" collapsed="false">
      <c r="A374" s="0" t="n">
        <f aca="false">_xlfn.GAUSS(1)</f>
        <v>0.341344746068543</v>
      </c>
      <c r="B374" s="0" t="s">
        <v>408</v>
      </c>
    </row>
    <row r="375" customFormat="false" ht="15" hidden="false" customHeight="false" outlineLevel="0" collapsed="false">
      <c r="A375" s="0" t="n">
        <f aca="false">_xlfn.PHI(1)</f>
        <v>0.241970724519143</v>
      </c>
      <c r="B375" s="0" t="s">
        <v>409</v>
      </c>
    </row>
    <row r="376" customFormat="false" ht="15" hidden="false" customHeight="false" outlineLevel="0" collapsed="false">
      <c r="A376" s="0" t="n">
        <f aca="false">BINOMDIST(3,10,0.4,FALSE())</f>
        <v>0.214990848</v>
      </c>
      <c r="B376" s="0" t="s">
        <v>410</v>
      </c>
    </row>
    <row r="377" customFormat="false" ht="15" hidden="false" customHeight="false" outlineLevel="0" collapsed="false">
      <c r="A377" s="0" t="n">
        <f aca="false">_xlfn.BINOM.DIST(3,10,0.4,TRUE())</f>
        <v>0.3822806016</v>
      </c>
      <c r="B377" s="0" t="s">
        <v>411</v>
      </c>
    </row>
    <row r="378" customFormat="false" ht="15" hidden="false" customHeight="false" outlineLevel="0" collapsed="false">
      <c r="A378" s="0" t="n">
        <f aca="false">POISSON(3,2.5,FALSE())</f>
        <v>0.213763017249736</v>
      </c>
      <c r="B378" s="0" t="s">
        <v>412</v>
      </c>
    </row>
    <row r="379" customFormat="false" ht="15" hidden="false" customHeight="false" outlineLevel="0" collapsed="false">
      <c r="A379" s="0" t="n">
        <f aca="false">_xlfn.POISSON.DIST(3,2.5,TRUE())</f>
        <v>0.757576133133066</v>
      </c>
      <c r="B379" s="0" t="s">
        <v>413</v>
      </c>
    </row>
    <row r="380" customFormat="false" ht="15" hidden="false" customHeight="false" outlineLevel="0" collapsed="false">
      <c r="A380" s="0" t="n">
        <f aca="false">EXPONDIST(1,2,TRUE())</f>
        <v>0.864664716763387</v>
      </c>
      <c r="B380" s="0" t="s">
        <v>414</v>
      </c>
    </row>
    <row r="381" customFormat="false" ht="15" hidden="false" customHeight="false" outlineLevel="0" collapsed="false">
      <c r="A381" s="0" t="n">
        <f aca="false">_xlfn.EXPON.DIST(1,2,FALSE())</f>
        <v>0.270670566473225</v>
      </c>
      <c r="B381" s="0" t="s">
        <v>415</v>
      </c>
    </row>
    <row r="382" customFormat="false" ht="15" hidden="false" customHeight="false" outlineLevel="0" collapsed="false">
      <c r="A382" s="0" t="e">
        <f aca="false">ACOS(2)</f>
        <v>#NUM!</v>
      </c>
      <c r="B382" s="0" t="s">
        <v>416</v>
      </c>
    </row>
    <row r="383" customFormat="false" ht="15" hidden="false" customHeight="false" outlineLevel="0" collapsed="false">
      <c r="A383" s="0" t="e">
        <f aca="false">ATANH(1)</f>
        <v>#VALUE!</v>
      </c>
      <c r="B383" s="0" t="s">
        <v>417</v>
      </c>
    </row>
    <row r="384" customFormat="false" ht="15" hidden="false" customHeight="false" outlineLevel="0" collapsed="false">
      <c r="A384" s="0" t="e">
        <f aca="false">_xlfn.ACOTH(0.5)</f>
        <v>#VALUE!</v>
      </c>
      <c r="B384" s="0" t="s">
        <v>418</v>
      </c>
    </row>
    <row r="385" customFormat="false" ht="15" hidden="false" customHeight="false" outlineLevel="0" collapsed="false">
      <c r="A385" s="0" t="e">
        <f aca="false">SQRTPI(-1)</f>
        <v>#VALUE!</v>
      </c>
      <c r="B385" s="0" t="s">
        <v>419</v>
      </c>
    </row>
    <row r="386" customFormat="false" ht="15" hidden="false" customHeight="false" outlineLevel="0" collapsed="false">
      <c r="A386" s="0" t="e">
        <f aca="false">FACT(-1)</f>
        <v>#VALUE!</v>
      </c>
      <c r="B386" s="0" t="s">
        <v>420</v>
      </c>
    </row>
    <row r="387" customFormat="false" ht="15" hidden="false" customHeight="false" outlineLevel="0" collapsed="false">
      <c r="A387" s="0" t="e">
        <f aca="false">FACT(171)</f>
        <v>#VALUE!</v>
      </c>
      <c r="B387" s="0" t="s">
        <v>421</v>
      </c>
    </row>
    <row r="388" customFormat="false" ht="15" hidden="false" customHeight="false" outlineLevel="0" collapsed="false">
      <c r="A388" s="0" t="e">
        <f aca="false">COMBIN(-1,1)</f>
        <v>#VALUE!</v>
      </c>
      <c r="B388" s="0" t="s">
        <v>422</v>
      </c>
    </row>
    <row r="389" customFormat="false" ht="15" hidden="false" customHeight="false" outlineLevel="0" collapsed="false">
      <c r="A389" s="0" t="e">
        <f aca="false">PERMUT(2,3)</f>
        <v>#VALUE!</v>
      </c>
      <c r="B389" s="0" t="s">
        <v>423</v>
      </c>
    </row>
    <row r="390" customFormat="false" ht="15" hidden="false" customHeight="false" outlineLevel="0" collapsed="false">
      <c r="A390" s="0" t="e">
        <f aca="false">FACTDOUBLE(-2)</f>
        <v>#VALUE!</v>
      </c>
      <c r="B390" s="0" t="s">
        <v>424</v>
      </c>
    </row>
    <row r="391" customFormat="false" ht="15" hidden="false" customHeight="false" outlineLevel="0" collapsed="false">
      <c r="A391" s="0" t="e">
        <f aca="false">MULTINOMIAL(-1,2)</f>
        <v>#VALUE!</v>
      </c>
      <c r="B391" s="0" t="s">
        <v>425</v>
      </c>
    </row>
    <row r="392" customFormat="false" ht="15" hidden="false" customHeight="false" outlineLevel="0" collapsed="false">
      <c r="A392" s="0" t="e">
        <f aca="false">LCM(-1)</f>
        <v>#VALUE!</v>
      </c>
      <c r="B392" s="0" t="s">
        <v>426</v>
      </c>
    </row>
    <row r="393" customFormat="false" ht="15" hidden="false" customHeight="false" outlineLevel="0" collapsed="false">
      <c r="A393" s="0" t="e">
        <f aca="false">_xlfn.BITAND(-1,1)</f>
        <v>#VALUE!</v>
      </c>
      <c r="B393" s="0" t="s">
        <v>427</v>
      </c>
    </row>
    <row r="394" customFormat="false" ht="15" hidden="false" customHeight="false" outlineLevel="0" collapsed="false">
      <c r="A394" s="0" t="n">
        <f aca="false">_xlfn.BITLSHIFT(1,100)</f>
        <v>1.26765060022823E+030</v>
      </c>
      <c r="B394" s="0" t="s">
        <v>428</v>
      </c>
    </row>
    <row r="395" customFormat="false" ht="15" hidden="false" customHeight="false" outlineLevel="0" collapsed="false">
      <c r="A395" s="0" t="e">
        <f aca="false">EXP(1000)</f>
        <v>#NUM!</v>
      </c>
      <c r="B395" s="0" t="s">
        <v>429</v>
      </c>
    </row>
    <row r="396" customFormat="false" ht="15" hidden="false" customHeight="false" outlineLevel="0" collapsed="false">
      <c r="A396" s="0" t="e">
        <f aca="false">POWER(10,400)</f>
        <v>#NUM!</v>
      </c>
      <c r="B396" s="0" t="s">
        <v>430</v>
      </c>
    </row>
    <row r="397" customFormat="false" ht="15" hidden="false" customHeight="false" outlineLevel="0" collapsed="false">
      <c r="A397" s="0" t="e">
        <f aca="false">SINH(1000)</f>
        <v>#NUM!</v>
      </c>
      <c r="B397" s="0" t="s">
        <v>431</v>
      </c>
    </row>
    <row r="398" customFormat="false" ht="15" hidden="false" customHeight="false" outlineLevel="0" collapsed="false">
      <c r="A398" s="0" t="e">
        <f aca="false">COSH(1000)</f>
        <v>#NUM!</v>
      </c>
      <c r="B398" s="0" t="s">
        <v>432</v>
      </c>
    </row>
    <row r="399" customFormat="false" ht="15" hidden="false" customHeight="false" outlineLevel="0" collapsed="false">
      <c r="A399" s="0" t="e">
        <f aca="false">LN(-1)</f>
        <v>#VALUE!</v>
      </c>
      <c r="B399" s="0" t="s">
        <v>433</v>
      </c>
    </row>
    <row r="400" customFormat="false" ht="15" hidden="false" customHeight="false" outlineLevel="0" collapsed="false">
      <c r="A400" s="0" t="e">
        <f aca="false">LOG(-1)</f>
        <v>#VALUE!</v>
      </c>
      <c r="B400" s="0" t="s">
        <v>434</v>
      </c>
    </row>
    <row r="401" customFormat="false" ht="15" hidden="false" customHeight="false" outlineLevel="0" collapsed="false">
      <c r="A401" s="0" t="e">
        <f aca="false">LOG(10,1)</f>
        <v>#VALUE!</v>
      </c>
      <c r="B401" s="0" t="s">
        <v>435</v>
      </c>
    </row>
    <row r="402" customFormat="false" ht="15" hidden="false" customHeight="false" outlineLevel="0" collapsed="false">
      <c r="A402" s="0" t="e">
        <f aca="false">TRIMMEAN(Data!A1:A8,1)</f>
        <v>#VALUE!</v>
      </c>
      <c r="B402" s="0" t="s">
        <v>436</v>
      </c>
    </row>
    <row r="403" customFormat="false" ht="15" hidden="false" customHeight="false" outlineLevel="0" collapsed="false">
      <c r="A403" s="0" t="e">
        <f aca="false">GEOMEAN(Data!H1:H5,Data!J1:J5)</f>
        <v>#VALUE!</v>
      </c>
      <c r="B403" s="0" t="s">
        <v>437</v>
      </c>
    </row>
    <row r="404" customFormat="false" ht="15" hidden="false" customHeight="false" outlineLevel="0" collapsed="false">
      <c r="A404" s="0" t="e">
        <f aca="false">HARMEAN(0,1)</f>
        <v>#VALUE!</v>
      </c>
      <c r="B404" s="0" t="s">
        <v>438</v>
      </c>
    </row>
    <row r="405" customFormat="false" ht="15" hidden="false" customHeight="false" outlineLevel="0" collapsed="false">
      <c r="A405" s="0" t="e">
        <f aca="false">CORREL(Data!A1,Data!K1)</f>
        <v>#DIV/0!</v>
      </c>
      <c r="B405" s="0" t="s">
        <v>439</v>
      </c>
    </row>
    <row r="406" customFormat="false" ht="15" hidden="false" customHeight="false" outlineLevel="0" collapsed="false">
      <c r="A406" s="0" t="e">
        <f aca="false">_xlfn.STDEV.S(Data!A1)</f>
        <v>#DIV/0!</v>
      </c>
      <c r="B406" s="0" t="s">
        <v>440</v>
      </c>
    </row>
    <row r="407" customFormat="false" ht="15" hidden="false" customHeight="false" outlineLevel="0" collapsed="false">
      <c r="A407" s="0" t="e">
        <f aca="false">_xlfn.PERCENTILE.INC(Data!A1:A8,1.5)</f>
        <v>#VALUE!</v>
      </c>
      <c r="B407" s="0" t="s">
        <v>441</v>
      </c>
    </row>
    <row r="408" customFormat="false" ht="15" hidden="false" customHeight="false" outlineLevel="0" collapsed="false">
      <c r="A408" s="0" t="e">
        <f aca="false">_xlfn.QUARTILE.EXC(Data!A1:A8,0)</f>
        <v>#VALUE!</v>
      </c>
      <c r="B408" s="0" t="s">
        <v>442</v>
      </c>
    </row>
    <row r="409" customFormat="false" ht="15" hidden="false" customHeight="false" outlineLevel="0" collapsed="false">
      <c r="A409" s="0" t="e">
        <f aca="false">_xlfn.PERCENTILE.EXC(Data!A1:A8,0.99)</f>
        <v>#VALUE!</v>
      </c>
      <c r="B409" s="0" t="s">
        <v>443</v>
      </c>
    </row>
    <row r="410" customFormat="false" ht="15" hidden="false" customHeight="false" outlineLevel="0" collapsed="false">
      <c r="A410" s="0" t="e">
        <f aca="false">NORMDIST(1,0,0,TRUE())</f>
        <v>#VALUE!</v>
      </c>
      <c r="B410" s="0" t="s">
        <v>444</v>
      </c>
    </row>
    <row r="411" customFormat="false" ht="15" hidden="false" customHeight="false" outlineLevel="0" collapsed="false">
      <c r="A411" s="0" t="e">
        <f aca="false">NORMINV(1.5,0,1)</f>
        <v>#VALUE!</v>
      </c>
      <c r="B411" s="0" t="s">
        <v>445</v>
      </c>
    </row>
    <row r="412" customFormat="false" ht="15" hidden="false" customHeight="false" outlineLevel="0" collapsed="false">
      <c r="A412" s="0" t="e">
        <f aca="false">STANDARDIZE(1,0,0)</f>
        <v>#DIV/0!</v>
      </c>
      <c r="B412" s="0" t="s">
        <v>446</v>
      </c>
    </row>
    <row r="413" customFormat="false" ht="15" hidden="false" customHeight="false" outlineLevel="0" collapsed="false">
      <c r="A413" s="0" t="e">
        <f aca="false">BINOMDIST(11,10,0.5,TRUE())</f>
        <v>#VALUE!</v>
      </c>
      <c r="B413" s="0" t="s">
        <v>447</v>
      </c>
    </row>
    <row r="414" customFormat="false" ht="15" hidden="false" customHeight="false" outlineLevel="0" collapsed="false">
      <c r="A414" s="0" t="e">
        <f aca="false">POISSON(-1,2,TRUE())</f>
        <v>#VALUE!</v>
      </c>
      <c r="B414" s="0" t="s">
        <v>448</v>
      </c>
    </row>
    <row r="415" customFormat="false" ht="15" hidden="false" customHeight="false" outlineLevel="0" collapsed="false">
      <c r="A415" s="0" t="n">
        <f aca="false">EXPONDIST(-1,2,TRUE())</f>
        <v>0</v>
      </c>
      <c r="B415" s="0" t="s">
        <v>449</v>
      </c>
    </row>
    <row r="416" customFormat="false" ht="15" hidden="false" customHeight="false" outlineLevel="0" collapsed="false">
      <c r="A416" s="0" t="e">
        <f aca="false">SLOPE(Data!A1,Data!K1)</f>
        <v>#DIV/0!</v>
      </c>
      <c r="B416" s="0" t="s">
        <v>450</v>
      </c>
    </row>
    <row r="417" customFormat="false" ht="15" hidden="false" customHeight="false" outlineLevel="0" collapsed="false">
      <c r="A417" s="0" t="e">
        <f aca="false">SKEW(Data!A1:A2)</f>
        <v>#DIV/0!</v>
      </c>
      <c r="B417" s="0" t="s">
        <v>451</v>
      </c>
    </row>
    <row r="418" customFormat="false" ht="15" hidden="false" customHeight="false" outlineLevel="0" collapsed="false">
      <c r="A418" s="0" t="e">
        <f aca="false">KURT(Data!A1:A3)</f>
        <v>#DIV/0!</v>
      </c>
      <c r="B418" s="0" t="s">
        <v>452</v>
      </c>
    </row>
    <row r="419" customFormat="false" ht="15" hidden="false" customHeight="false" outlineLevel="0" collapsed="false">
      <c r="A419" s="0" t="e">
        <f aca="false">RANK(1,Data!B1:B8)</f>
        <v>#VALUE!</v>
      </c>
      <c r="B419" s="0" t="s">
        <v>453</v>
      </c>
    </row>
    <row r="420" customFormat="false" ht="15" hidden="false" customHeight="false" outlineLevel="0" collapsed="false">
      <c r="A420" s="0" t="n">
        <f aca="false">_xlfn.CEILING.MATH(1,-0.5)</f>
        <v>1</v>
      </c>
      <c r="B420" s="0" t="s">
        <v>454</v>
      </c>
    </row>
    <row r="421" customFormat="false" ht="15" hidden="false" customHeight="false" outlineLevel="0" collapsed="false">
      <c r="A421" s="0" t="n">
        <f aca="false">MROUND(-5,2)</f>
        <v>-6</v>
      </c>
      <c r="B421" s="0" t="s">
        <v>455</v>
      </c>
    </row>
    <row r="422" customFormat="false" ht="15" hidden="false" customHeight="false" outlineLevel="0" collapsed="false">
      <c r="A422" s="0" t="n">
        <f aca="false">DAYS360(DATE(2024,1,30),DATE(2024,3,31))</f>
        <v>60</v>
      </c>
      <c r="B422" s="0" t="s">
        <v>456</v>
      </c>
    </row>
    <row r="423" customFormat="false" ht="15" hidden="false" customHeight="false" outlineLevel="0" collapsed="false">
      <c r="A423" s="0" t="n">
        <f aca="false">DAYS360(DATE(2024,2,29),DATE(2024,3,31))</f>
        <v>30</v>
      </c>
      <c r="B423" s="0" t="s">
        <v>457</v>
      </c>
    </row>
    <row r="424" customFormat="false" ht="15" hidden="false" customHeight="false" outlineLevel="0" collapsed="false">
      <c r="A424" s="0" t="n">
        <f aca="false">DAYS360(DATE(2024,1,31),DATE(2024,2,29),TRUE())</f>
        <v>29</v>
      </c>
      <c r="B424" s="0" t="s">
        <v>458</v>
      </c>
    </row>
    <row r="425" customFormat="false" ht="15" hidden="false" customHeight="false" outlineLevel="0" collapsed="false">
      <c r="A425" s="0" t="n">
        <f aca="false">DAYS360(Data!C1,Data!C8)</f>
        <v>217</v>
      </c>
      <c r="B425" s="0" t="s">
        <v>459</v>
      </c>
    </row>
    <row r="426" customFormat="false" ht="15" hidden="false" customHeight="false" outlineLevel="0" collapsed="false">
      <c r="A426" s="0" t="n">
        <f aca="false">DAYS360(DATE(2023,2,28),DATE(2023,3,31))</f>
        <v>30</v>
      </c>
      <c r="B426" s="0" t="s">
        <v>460</v>
      </c>
    </row>
    <row r="427" customFormat="false" ht="15" hidden="false" customHeight="false" outlineLevel="0" collapsed="false">
      <c r="A427" s="0" t="n">
        <f aca="false">DAYS360(DATE(2024,3,31),DATE(2024,1,15))</f>
        <v>-75</v>
      </c>
      <c r="B427" s="0" t="s">
        <v>461</v>
      </c>
    </row>
    <row r="428" customFormat="false" ht="15" hidden="false" customHeight="false" outlineLevel="0" collapsed="false">
      <c r="A428" s="0" t="n">
        <f aca="false">WORKDAY(DATE(2024,1,15),10)</f>
        <v>45320</v>
      </c>
      <c r="B428" s="0" t="s">
        <v>462</v>
      </c>
    </row>
    <row r="429" customFormat="false" ht="15" hidden="false" customHeight="false" outlineLevel="0" collapsed="false">
      <c r="A429" s="0" t="n">
        <f aca="false">WORKDAY(DATE(2024,1,15),-5)</f>
        <v>45299</v>
      </c>
      <c r="B429" s="0" t="s">
        <v>463</v>
      </c>
    </row>
    <row r="430" customFormat="false" ht="15" hidden="false" customHeight="false" outlineLevel="0" collapsed="false">
      <c r="A430" s="0" t="n">
        <f aca="false">WORKDAY(DATE(2024,1,15),10,Data!C2:C3)</f>
        <v>45320</v>
      </c>
      <c r="B430" s="0" t="s">
        <v>464</v>
      </c>
    </row>
    <row r="431" customFormat="false" ht="15" hidden="false" customHeight="false" outlineLevel="0" collapsed="false">
      <c r="A431" s="0" t="n">
        <f aca="false">WORKDAY(DATE(2024,1,13),1)</f>
        <v>45306</v>
      </c>
      <c r="B431" s="0" t="s">
        <v>465</v>
      </c>
    </row>
    <row r="432" customFormat="false" ht="15" hidden="false" customHeight="false" outlineLevel="0" collapsed="false">
      <c r="A432" s="0" t="n">
        <f aca="false">WORKDAY(DATE(2024,1,15),0)</f>
        <v>45306</v>
      </c>
      <c r="B432" s="0" t="s">
        <v>466</v>
      </c>
    </row>
    <row r="433" customFormat="false" ht="15" hidden="false" customHeight="false" outlineLevel="0" collapsed="false">
      <c r="A433" s="3" t="n">
        <f aca="false">WORKDAY.INTL(DATE(2024,1,15),10,11)</f>
        <v>45317</v>
      </c>
      <c r="B433" s="0" t="s">
        <v>467</v>
      </c>
    </row>
    <row r="434" customFormat="false" ht="15" hidden="false" customHeight="false" outlineLevel="0" collapsed="false">
      <c r="A434" s="3" t="n">
        <f aca="false">WORKDAY.INTL(DATE(2024,1,15),10,"0000011")</f>
        <v>45320</v>
      </c>
      <c r="B434" s="0" t="s">
        <v>468</v>
      </c>
    </row>
    <row r="435" customFormat="false" ht="15" hidden="false" customHeight="false" outlineLevel="0" collapsed="false">
      <c r="A435" s="3" t="e">
        <f aca="false">WORKDAY.INTL(DATE(2024,1,15),10,"1111111")</f>
        <v>#VALUE!</v>
      </c>
      <c r="B435" s="0" t="s">
        <v>469</v>
      </c>
    </row>
    <row r="436" customFormat="false" ht="15" hidden="false" customHeight="false" outlineLevel="0" collapsed="false">
      <c r="A436" s="0" t="n">
        <f aca="false">NETWORKDAYS(DATE(2024,1,15),DATE(2024,2,16))</f>
        <v>25</v>
      </c>
      <c r="B436" s="0" t="s">
        <v>470</v>
      </c>
    </row>
    <row r="437" customFormat="false" ht="15" hidden="false" customHeight="false" outlineLevel="0" collapsed="false">
      <c r="A437" s="0" t="n">
        <f aca="false">NETWORKDAYS(DATE(2024,2,16),DATE(2024,1,15))</f>
        <v>-25</v>
      </c>
      <c r="B437" s="0" t="s">
        <v>471</v>
      </c>
    </row>
    <row r="438" customFormat="false" ht="15" hidden="false" customHeight="false" outlineLevel="0" collapsed="false">
      <c r="A438" s="0" t="n">
        <f aca="false">NETWORKDAYS(DATE(2024,1,15),DATE(2024,3,31),Data!C2:C3)</f>
        <v>54</v>
      </c>
      <c r="B438" s="0" t="s">
        <v>472</v>
      </c>
    </row>
    <row r="439" customFormat="false" ht="15" hidden="false" customHeight="false" outlineLevel="0" collapsed="false">
      <c r="A439" s="0" t="n">
        <f aca="false">NETWORKDAYS.INTL(DATE(2024,1,15),DATE(2024,2,16),7)</f>
        <v>24</v>
      </c>
      <c r="B439" s="0" t="s">
        <v>473</v>
      </c>
    </row>
    <row r="440" customFormat="false" ht="15" hidden="false" customHeight="false" outlineLevel="0" collapsed="false">
      <c r="A440" s="0" t="n">
        <f aca="false">NETWORKDAYS.INTL(DATE(2024,1,15),DATE(2024,2,16),"0010001")</f>
        <v>24</v>
      </c>
      <c r="B440" s="0" t="s">
        <v>474</v>
      </c>
    </row>
    <row r="441" customFormat="false" ht="15" hidden="false" customHeight="false" outlineLevel="0" collapsed="false">
      <c r="A441" s="0" t="n">
        <f aca="false">YEARFRAC(DATE(2024,1,15),DATE(2024,8,22))</f>
        <v>0.602777777777778</v>
      </c>
      <c r="B441" s="0" t="s">
        <v>475</v>
      </c>
    </row>
    <row r="442" customFormat="false" ht="15" hidden="false" customHeight="false" outlineLevel="0" collapsed="false">
      <c r="A442" s="0" t="n">
        <f aca="false">YEARFRAC(DATE(2023,1,31),DATE(2024,3,1),0)</f>
        <v>1.08611111111111</v>
      </c>
      <c r="B442" s="0" t="s">
        <v>476</v>
      </c>
    </row>
    <row r="443" customFormat="false" ht="15" hidden="false" customHeight="false" outlineLevel="0" collapsed="false">
      <c r="A443" s="0" t="n">
        <f aca="false">YEARFRAC(DATE(2023,1,31),DATE(2024,3,1),1)</f>
        <v>1.08071135430917</v>
      </c>
      <c r="B443" s="0" t="s">
        <v>477</v>
      </c>
    </row>
    <row r="444" customFormat="false" ht="15" hidden="false" customHeight="false" outlineLevel="0" collapsed="false">
      <c r="A444" s="0" t="n">
        <f aca="false">YEARFRAC(DATE(2023,1,31),DATE(2024,3,1),2)</f>
        <v>1.09722222222222</v>
      </c>
      <c r="B444" s="0" t="s">
        <v>478</v>
      </c>
    </row>
    <row r="445" customFormat="false" ht="15" hidden="false" customHeight="false" outlineLevel="0" collapsed="false">
      <c r="A445" s="0" t="n">
        <f aca="false">YEARFRAC(DATE(2023,1,31),DATE(2024,3,1),3)</f>
        <v>1.08219178082192</v>
      </c>
      <c r="B445" s="0" t="s">
        <v>479</v>
      </c>
    </row>
    <row r="446" customFormat="false" ht="15" hidden="false" customHeight="false" outlineLevel="0" collapsed="false">
      <c r="A446" s="0" t="n">
        <f aca="false">YEARFRAC(DATE(2023,1,31),DATE(2024,3,1),4)</f>
        <v>1.08611111111111</v>
      </c>
      <c r="B446" s="0" t="s">
        <v>480</v>
      </c>
    </row>
    <row r="447" customFormat="false" ht="15" hidden="false" customHeight="false" outlineLevel="0" collapsed="false">
      <c r="A447" s="0" t="n">
        <f aca="false">YEARFRAC(DATE(2020,2,29),DATE(2024,2,28),1)</f>
        <v>3.99562123700055</v>
      </c>
      <c r="B447" s="0" t="s">
        <v>481</v>
      </c>
    </row>
    <row r="448" customFormat="false" ht="15" hidden="false" customHeight="false" outlineLevel="0" collapsed="false">
      <c r="A448" s="0" t="n">
        <f aca="false">YEARFRAC(DATE(2024,1,1),DATE(2024,12,31),1)</f>
        <v>0.997267759562842</v>
      </c>
      <c r="B448" s="0" t="s">
        <v>482</v>
      </c>
    </row>
    <row r="449" customFormat="false" ht="15" hidden="false" customHeight="false" outlineLevel="0" collapsed="false">
      <c r="A449" s="0" t="n">
        <f aca="false">YEARFRAC(DATE(2023,3,1),DATE(2024,2,29),1)</f>
        <v>0.997267759562842</v>
      </c>
      <c r="B449" s="0" t="s">
        <v>483</v>
      </c>
    </row>
    <row r="450" customFormat="false" ht="15" hidden="false" customHeight="false" outlineLevel="0" collapsed="false">
      <c r="A450" s="0" t="e">
        <f aca="false">YEARFRAC(DATE(2023,3,1),DATE(2024,2,29),5)</f>
        <v>#VALUE!</v>
      </c>
      <c r="B450" s="0" t="s">
        <v>484</v>
      </c>
    </row>
    <row r="451" customFormat="false" ht="15" hidden="false" customHeight="false" outlineLevel="0" collapsed="false">
      <c r="A451" s="0" t="n">
        <f aca="false">WEEKNUM(DATE(2024,1,1),1)</f>
        <v>1</v>
      </c>
      <c r="B451" s="0" t="s">
        <v>485</v>
      </c>
    </row>
    <row r="452" customFormat="false" ht="15" hidden="false" customHeight="false" outlineLevel="0" collapsed="false">
      <c r="A452" s="0" t="n">
        <f aca="false">WEEKNUM(DATE(2024,12,31),1)</f>
        <v>1</v>
      </c>
      <c r="B452" s="0" t="s">
        <v>486</v>
      </c>
    </row>
    <row r="453" customFormat="false" ht="15" hidden="false" customHeight="false" outlineLevel="0" collapsed="false">
      <c r="A453" s="0" t="n">
        <f aca="false">WEEKNUM(DATE(2024,1,1),2)</f>
        <v>1</v>
      </c>
      <c r="B453" s="0" t="s">
        <v>487</v>
      </c>
    </row>
    <row r="454" customFormat="false" ht="15" hidden="false" customHeight="false" outlineLevel="0" collapsed="false">
      <c r="A454" s="0" t="n">
        <f aca="false">WEEKNUM(DATE(2021,1,3),11)</f>
        <v>1</v>
      </c>
      <c r="B454" s="0" t="s">
        <v>488</v>
      </c>
    </row>
    <row r="455" customFormat="false" ht="15" hidden="false" customHeight="false" outlineLevel="0" collapsed="false">
      <c r="A455" s="0" t="n">
        <f aca="false">WEEKNUM(DATE(2021,1,3),21)</f>
        <v>53</v>
      </c>
      <c r="B455" s="0" t="s">
        <v>489</v>
      </c>
    </row>
    <row r="456" customFormat="false" ht="15" hidden="false" customHeight="false" outlineLevel="0" collapsed="false">
      <c r="A456" s="0" t="n">
        <f aca="false">WEEKNUM(DATE(2024,1,1),17)</f>
        <v>1</v>
      </c>
      <c r="B456" s="0" t="s">
        <v>490</v>
      </c>
    </row>
    <row r="457" customFormat="false" ht="15" hidden="false" customHeight="false" outlineLevel="0" collapsed="false">
      <c r="A457" s="0" t="n">
        <f aca="false">WEEKNUM(DATE(2024,1,1),21)</f>
        <v>1</v>
      </c>
      <c r="B457" s="0" t="s">
        <v>491</v>
      </c>
    </row>
    <row r="458" customFormat="false" ht="15" hidden="false" customHeight="false" outlineLevel="0" collapsed="false">
      <c r="A458" s="0" t="e">
        <f aca="false">WEEKNUM(DATE(2024,1,1),5)</f>
        <v>#VALUE!</v>
      </c>
      <c r="B458" s="0" t="s">
        <v>492</v>
      </c>
    </row>
    <row r="459" customFormat="false" ht="15" hidden="false" customHeight="false" outlineLevel="0" collapsed="false">
      <c r="A459" s="0" t="n">
        <f aca="false">_xlfn.ISOWEEKNUM(DATE(2021,1,3))</f>
        <v>53</v>
      </c>
      <c r="B459" s="0" t="s">
        <v>493</v>
      </c>
    </row>
    <row r="460" customFormat="false" ht="15" hidden="false" customHeight="false" outlineLevel="0" collapsed="false">
      <c r="A460" s="0" t="n">
        <f aca="false">_xlfn.ISOWEEKNUM(DATE(2020,12,31))</f>
        <v>53</v>
      </c>
      <c r="B460" s="0" t="s">
        <v>494</v>
      </c>
    </row>
    <row r="461" customFormat="false" ht="15" hidden="false" customHeight="false" outlineLevel="0" collapsed="false">
      <c r="A461" s="0" t="n">
        <f aca="false">_xlfn.ISOWEEKNUM(DATE(2024,12,30))</f>
        <v>1</v>
      </c>
      <c r="B461" s="0" t="s">
        <v>495</v>
      </c>
    </row>
    <row r="462" customFormat="false" ht="15" hidden="false" customHeight="false" outlineLevel="0" collapsed="false">
      <c r="A462" s="0" t="n">
        <f aca="false">TIMEVALUE("13:30")</f>
        <v>0.5625</v>
      </c>
      <c r="B462" s="0" t="s">
        <v>496</v>
      </c>
    </row>
    <row r="463" customFormat="false" ht="15" hidden="false" customHeight="false" outlineLevel="0" collapsed="false">
      <c r="A463" s="0" t="n">
        <f aca="false">TIMEVALUE("1:30 PM")</f>
        <v>0.5625</v>
      </c>
      <c r="B463" s="0" t="s">
        <v>497</v>
      </c>
    </row>
    <row r="464" customFormat="false" ht="15" hidden="false" customHeight="false" outlineLevel="0" collapsed="false">
      <c r="A464" s="0" t="n">
        <f aca="false">TIMEVALUE("2024-01-15 06:00")</f>
        <v>0.25</v>
      </c>
      <c r="B464" s="0" t="s">
        <v>498</v>
      </c>
    </row>
    <row r="465" customFormat="false" ht="15" hidden="false" customHeight="false" outlineLevel="0" collapsed="false">
      <c r="A465" s="0" t="e">
        <f aca="false">TIMEVALUE("abc")</f>
        <v>#VALUE!</v>
      </c>
      <c r="B465" s="0" t="s">
        <v>499</v>
      </c>
    </row>
    <row r="466" customFormat="false" ht="15" hidden="false" customHeight="false" outlineLevel="0" collapsed="false">
      <c r="A466" s="0" t="n">
        <f aca="false">NPER(0.01,-100,1000)</f>
        <v>10.5886444594232</v>
      </c>
      <c r="B466" s="0" t="s">
        <v>500</v>
      </c>
    </row>
    <row r="467" customFormat="false" ht="15" hidden="false" customHeight="false" outlineLevel="0" collapsed="false">
      <c r="A467" s="0" t="n">
        <f aca="false">NPER(0,-100,1000)</f>
        <v>10</v>
      </c>
      <c r="B467" s="0" t="s">
        <v>501</v>
      </c>
    </row>
    <row r="468" customFormat="false" ht="15" hidden="false" customHeight="false" outlineLevel="0" collapsed="false">
      <c r="A468" s="0" t="n">
        <f aca="false">NPER(0.05/12,-200,5000,0,1)</f>
        <v>26.33916750821</v>
      </c>
      <c r="B468" s="0" t="s">
        <v>502</v>
      </c>
    </row>
    <row r="469" customFormat="false" ht="15" hidden="false" customHeight="false" outlineLevel="0" collapsed="false">
      <c r="A469" s="0" t="n">
        <f aca="false">NPER(0.01,-100,1000,500)</f>
        <v>15.4920155019949</v>
      </c>
      <c r="B469" s="0" t="s">
        <v>503</v>
      </c>
    </row>
    <row r="470" customFormat="false" ht="15" hidden="false" customHeight="false" outlineLevel="0" collapsed="false">
      <c r="A470" s="6" t="n">
        <f aca="false">RATE(60,-200,10000)</f>
        <v>0.00618341316125352</v>
      </c>
      <c r="B470" s="0" t="s">
        <v>504</v>
      </c>
    </row>
    <row r="471" customFormat="false" ht="15" hidden="false" customHeight="false" outlineLevel="0" collapsed="false">
      <c r="A471" s="6" t="n">
        <f aca="false">RATE(60,-200,10000,0,1)</f>
        <v>0.00640798577778368</v>
      </c>
      <c r="B471" s="0" t="s">
        <v>505</v>
      </c>
    </row>
    <row r="472" customFormat="false" ht="15" hidden="false" customHeight="false" outlineLevel="0" collapsed="false">
      <c r="A472" s="6" t="n">
        <f aca="false">RATE(10,0,-1000,2000)</f>
        <v>0.0717734625362932</v>
      </c>
      <c r="B472" s="0" t="s">
        <v>506</v>
      </c>
    </row>
    <row r="473" customFormat="false" ht="15" hidden="false" customHeight="false" outlineLevel="0" collapsed="false">
      <c r="A473" s="6" t="n">
        <f aca="false">RATE(12,-100,1000,0,0,0.05)</f>
        <v>0.0292285407691367</v>
      </c>
      <c r="B473" s="0" t="s">
        <v>507</v>
      </c>
    </row>
    <row r="474" customFormat="false" ht="15" hidden="false" customHeight="false" outlineLevel="0" collapsed="false">
      <c r="A474" s="5" t="n">
        <f aca="false">IPMT(0.01,1,12,1000)</f>
        <v>-10</v>
      </c>
      <c r="B474" s="0" t="s">
        <v>508</v>
      </c>
    </row>
    <row r="475" customFormat="false" ht="15" hidden="false" customHeight="false" outlineLevel="0" collapsed="false">
      <c r="A475" s="5" t="n">
        <f aca="false">IPMT(0.01,5,12,1000)</f>
        <v>-6.79842299601673</v>
      </c>
      <c r="B475" s="0" t="s">
        <v>509</v>
      </c>
    </row>
    <row r="476" customFormat="false" ht="15" hidden="false" customHeight="false" outlineLevel="0" collapsed="false">
      <c r="A476" s="5" t="n">
        <f aca="false">IPMT(0.01,5,12,1000,0,1)</f>
        <v>-6.73111187724427</v>
      </c>
      <c r="B476" s="0" t="s">
        <v>510</v>
      </c>
    </row>
    <row r="477" customFormat="false" ht="15" hidden="false" customHeight="false" outlineLevel="0" collapsed="false">
      <c r="A477" s="5" t="n">
        <f aca="false">IPMT(0.01,1,12,1000,0,1)</f>
        <v>0</v>
      </c>
      <c r="B477" s="0" t="s">
        <v>511</v>
      </c>
    </row>
    <row r="478" customFormat="false" ht="15" hidden="false" customHeight="false" outlineLevel="0" collapsed="false">
      <c r="A478" s="5" t="n">
        <f aca="false">PPMT(0.01,5,12,1000)</f>
        <v>-82.050365682325</v>
      </c>
      <c r="B478" s="0" t="s">
        <v>512</v>
      </c>
    </row>
    <row r="479" customFormat="false" ht="15" hidden="false" customHeight="false" outlineLevel="0" collapsed="false">
      <c r="A479" s="5" t="n">
        <f aca="false">PPMT(0.01,1,12,1000,500,1)</f>
        <v>-127.003151502488</v>
      </c>
      <c r="B479" s="0" t="s">
        <v>513</v>
      </c>
    </row>
    <row r="480" customFormat="false" ht="15" hidden="false" customHeight="false" outlineLevel="0" collapsed="false">
      <c r="A480" s="5" t="e">
        <f aca="false">IPMT(0.01,13,12,1000)</f>
        <v>#VALUE!</v>
      </c>
      <c r="B480" s="0" t="s">
        <v>514</v>
      </c>
    </row>
    <row r="481" customFormat="false" ht="15" hidden="false" customHeight="false" outlineLevel="0" collapsed="false">
      <c r="A481" s="0" t="n">
        <f aca="false">ISPMT(0.01,3,12,1000)</f>
        <v>-7.5</v>
      </c>
      <c r="B481" s="0" t="s">
        <v>515</v>
      </c>
    </row>
    <row r="482" customFormat="false" ht="15" hidden="false" customHeight="false" outlineLevel="0" collapsed="false">
      <c r="A482" s="5" t="n">
        <f aca="false">CUMIPMT(0.01,12,1000,1,6,0)</f>
        <v>-48.0137966502497</v>
      </c>
      <c r="B482" s="0" t="s">
        <v>516</v>
      </c>
    </row>
    <row r="483" customFormat="false" ht="15" hidden="false" customHeight="false" outlineLevel="0" collapsed="false">
      <c r="A483" s="5" t="n">
        <f aca="false">CUMPRINC(0.01,12,1000,1,6,0)</f>
        <v>-485.078935419801</v>
      </c>
      <c r="B483" s="0" t="s">
        <v>517</v>
      </c>
    </row>
    <row r="484" customFormat="false" ht="15" hidden="false" customHeight="false" outlineLevel="0" collapsed="false">
      <c r="A484" s="5" t="n">
        <f aca="false">CUMIPMT(0.01,12,1000,3,12,1)</f>
        <v>-46.5088633929543</v>
      </c>
      <c r="B484" s="0" t="s">
        <v>518</v>
      </c>
    </row>
    <row r="485" customFormat="false" ht="15" hidden="false" customHeight="false" outlineLevel="0" collapsed="false">
      <c r="A485" s="5" t="n">
        <f aca="false">CUMPRINC(0.01,12,1000,1,12,1)</f>
        <v>-1000</v>
      </c>
      <c r="B485" s="0" t="s">
        <v>519</v>
      </c>
    </row>
    <row r="486" customFormat="false" ht="15" hidden="false" customHeight="false" outlineLevel="0" collapsed="false">
      <c r="A486" s="5" t="e">
        <f aca="false">CUMIPMT(0.01,12,1000,0,6,0)</f>
        <v>#VALUE!</v>
      </c>
      <c r="B486" s="0" t="s">
        <v>520</v>
      </c>
    </row>
    <row r="487" customFormat="false" ht="15" hidden="false" customHeight="false" outlineLevel="0" collapsed="false">
      <c r="A487" s="5" t="n">
        <f aca="false">SLN(10000,1000,5)</f>
        <v>1800</v>
      </c>
      <c r="B487" s="0" t="s">
        <v>521</v>
      </c>
    </row>
    <row r="488" customFormat="false" ht="15" hidden="false" customHeight="false" outlineLevel="0" collapsed="false">
      <c r="A488" s="5" t="n">
        <f aca="false">SYD(10000,1000,5,2)</f>
        <v>2400</v>
      </c>
      <c r="B488" s="0" t="s">
        <v>522</v>
      </c>
    </row>
    <row r="489" customFormat="false" ht="15" hidden="false" customHeight="false" outlineLevel="0" collapsed="false">
      <c r="A489" s="5" t="n">
        <f aca="false">DDB(10000,1000,5,2)</f>
        <v>2400</v>
      </c>
      <c r="B489" s="0" t="s">
        <v>523</v>
      </c>
    </row>
    <row r="490" customFormat="false" ht="15" hidden="false" customHeight="false" outlineLevel="0" collapsed="false">
      <c r="A490" s="5" t="n">
        <f aca="false">DDB(10000,1000,5,5)</f>
        <v>296</v>
      </c>
      <c r="B490" s="0" t="s">
        <v>524</v>
      </c>
    </row>
    <row r="491" customFormat="false" ht="15" hidden="false" customHeight="false" outlineLevel="0" collapsed="false">
      <c r="A491" s="5" t="n">
        <f aca="false">DDB(10000,1000,5,3,1.5)</f>
        <v>1470</v>
      </c>
      <c r="B491" s="0" t="s">
        <v>525</v>
      </c>
    </row>
    <row r="492" customFormat="false" ht="15" hidden="false" customHeight="false" outlineLevel="0" collapsed="false">
      <c r="A492" s="5" t="n">
        <f aca="false">DB(10000,1000,5,1)</f>
        <v>3690</v>
      </c>
      <c r="B492" s="0" t="s">
        <v>526</v>
      </c>
    </row>
    <row r="493" customFormat="false" ht="15" hidden="false" customHeight="false" outlineLevel="0" collapsed="false">
      <c r="A493" s="5" t="n">
        <f aca="false">DB(10000,1000,5,3)</f>
        <v>1469.21409</v>
      </c>
      <c r="B493" s="0" t="s">
        <v>527</v>
      </c>
    </row>
    <row r="494" customFormat="false" ht="15" hidden="false" customHeight="false" outlineLevel="0" collapsed="false">
      <c r="A494" s="5" t="n">
        <f aca="false">DB(10000,1000,5,6,6)</f>
        <v>238.527124587882</v>
      </c>
      <c r="B494" s="0" t="s">
        <v>528</v>
      </c>
    </row>
    <row r="495" customFormat="false" ht="15" hidden="false" customHeight="false" outlineLevel="0" collapsed="false">
      <c r="A495" s="5" t="n">
        <f aca="false">DB(10000,1000,5,1,6)</f>
        <v>1845</v>
      </c>
      <c r="B495" s="0" t="s">
        <v>529</v>
      </c>
    </row>
    <row r="496" customFormat="false" ht="15" hidden="false" customHeight="false" outlineLevel="0" collapsed="false">
      <c r="A496" s="6" t="n">
        <f aca="false">MIRR(Data!J1:J5,0.1,0.12)</f>
        <v>0.201392020419683</v>
      </c>
      <c r="B496" s="0" t="s">
        <v>530</v>
      </c>
    </row>
    <row r="497" customFormat="false" ht="15" hidden="false" customHeight="false" outlineLevel="0" collapsed="false">
      <c r="A497" s="0" t="n">
        <f aca="false">XNPV(0.1,Data!J1:J5,Data!C1:C5)</f>
        <v>75.9688392341354</v>
      </c>
      <c r="B497" s="0" t="s">
        <v>531</v>
      </c>
    </row>
    <row r="498" customFormat="false" ht="15" hidden="false" customHeight="false" outlineLevel="0" collapsed="false">
      <c r="A498" s="0" t="n">
        <f aca="false">XIRR(Data!J1:J5,Data!C1:C5)</f>
        <v>12.3573499567696</v>
      </c>
      <c r="B498" s="0" t="s">
        <v>532</v>
      </c>
    </row>
    <row r="499" customFormat="false" ht="15" hidden="false" customHeight="false" outlineLevel="0" collapsed="false">
      <c r="A499" s="0" t="n">
        <f aca="false">XIRR(Data!J1:J5,Data!C1:C5,0.5)</f>
        <v>12.3573499567696</v>
      </c>
      <c r="B499" s="0" t="s">
        <v>533</v>
      </c>
    </row>
    <row r="500" customFormat="false" ht="15" hidden="false" customHeight="false" outlineLevel="0" collapsed="false">
      <c r="A500" s="6" t="n">
        <f aca="false">EFFECT(0.1,4)</f>
        <v>0.103812890625</v>
      </c>
      <c r="B500" s="0" t="s">
        <v>534</v>
      </c>
    </row>
    <row r="501" customFormat="false" ht="15" hidden="false" customHeight="false" outlineLevel="0" collapsed="false">
      <c r="A501" s="6" t="n">
        <f aca="false">NOMINAL(0.1,4)</f>
        <v>0.0964547563377805</v>
      </c>
      <c r="B501" s="0" t="s">
        <v>535</v>
      </c>
    </row>
    <row r="502" customFormat="false" ht="15" hidden="false" customHeight="false" outlineLevel="0" collapsed="false">
      <c r="A502" s="0" t="n">
        <f aca="false">_xlfn.PDURATION(0.05,100,200)</f>
        <v>14.2066990828905</v>
      </c>
      <c r="B502" s="0" t="s">
        <v>536</v>
      </c>
    </row>
    <row r="503" customFormat="false" ht="15" hidden="false" customHeight="false" outlineLevel="0" collapsed="false">
      <c r="A503" s="6" t="n">
        <f aca="false">_xlfn.RRI(10,100,200)</f>
        <v>0.0717734625362931</v>
      </c>
      <c r="B503" s="0" t="s">
        <v>537</v>
      </c>
    </row>
    <row r="504" customFormat="false" ht="15" hidden="false" customHeight="false" outlineLevel="0" collapsed="false">
      <c r="A504" s="0" t="n">
        <f aca="false">FVSCHEDULE(1000,{0.1,0.2})</f>
        <v>1320</v>
      </c>
      <c r="B504" s="0" t="s">
        <v>538</v>
      </c>
    </row>
    <row r="505" customFormat="false" ht="15" hidden="false" customHeight="false" outlineLevel="0" collapsed="false">
      <c r="A505" s="0" t="n">
        <f aca="false">DOLLARDE(1.02,16)</f>
        <v>1.125</v>
      </c>
      <c r="B505" s="0" t="s">
        <v>539</v>
      </c>
    </row>
    <row r="506" customFormat="false" ht="15" hidden="false" customHeight="false" outlineLevel="0" collapsed="false">
      <c r="A506" s="0" t="n">
        <f aca="false">DOLLARFR(1.125,16)</f>
        <v>1.02</v>
      </c>
      <c r="B506" s="0" t="s">
        <v>540</v>
      </c>
    </row>
    <row r="507" customFormat="false" ht="15" hidden="false" customHeight="false" outlineLevel="0" collapsed="false">
      <c r="A507" s="0" t="n">
        <f aca="false">DOLLARDE(1.5,8)</f>
        <v>1.625</v>
      </c>
      <c r="B507" s="0" t="s">
        <v>541</v>
      </c>
    </row>
    <row r="508" customFormat="false" ht="15" hidden="false" customHeight="false" outlineLevel="0" collapsed="false">
      <c r="A508" s="0" t="n">
        <f aca="false">SUMPRODUCT(TRANSPOSE(Data!A1:A3)*{1,2,3})</f>
        <v>35</v>
      </c>
      <c r="B508" s="0" t="s">
        <v>542</v>
      </c>
    </row>
    <row r="509" customFormat="false" ht="15" hidden="false" customHeight="false" outlineLevel="0" collapsed="false">
      <c r="A509" s="0" t="n">
        <f aca="false">SUMPRODUCT(MMULT(TRANSPOSE(Data!H1:I5),Data!H1:I5))</f>
        <v>500</v>
      </c>
      <c r="B509" s="0" t="s">
        <v>543</v>
      </c>
    </row>
    <row r="510" customFormat="false" ht="15" hidden="false" customHeight="false" outlineLevel="0" collapsed="false">
      <c r="A510" s="0" t="n">
        <f aca="false">MDETERM(Data!H1:I2)</f>
        <v>-20</v>
      </c>
      <c r="B510" s="0" t="s">
        <v>544</v>
      </c>
    </row>
    <row r="511" customFormat="false" ht="15" hidden="false" customHeight="false" outlineLevel="0" collapsed="false">
      <c r="A511" s="0" t="n">
        <f aca="false">SUMPRODUCT(MINVERSE(Data!H1:I2)*{1,2;3,4})</f>
        <v>0.8</v>
      </c>
      <c r="B511" s="0" t="s">
        <v>545</v>
      </c>
    </row>
    <row r="512" customFormat="false" ht="15" hidden="false" customHeight="false" outlineLevel="0" collapsed="false">
      <c r="A512" s="0" t="n">
        <f aca="false">SUMPRODUCT(_xlfn.MUNIT(3)*{1,2,3;4,5,6;7,8,9})</f>
        <v>15</v>
      </c>
      <c r="B512" s="0" t="s">
        <v>546</v>
      </c>
    </row>
    <row r="513" customFormat="false" ht="15" hidden="false" customHeight="false" outlineLevel="0" collapsed="false">
      <c r="A513" s="0" t="n">
        <f aca="false">SUMXMY2(Data!A1:A8,Data!K1:K8)</f>
        <v>95</v>
      </c>
      <c r="B513" s="0" t="s">
        <v>547</v>
      </c>
    </row>
    <row r="514" customFormat="false" ht="15" hidden="false" customHeight="false" outlineLevel="0" collapsed="false">
      <c r="A514" s="0" t="n">
        <f aca="false">SUMX2MY2(Data!A1:A8,Data!K1:K8)</f>
        <v>-31</v>
      </c>
      <c r="B514" s="0" t="s">
        <v>548</v>
      </c>
    </row>
    <row r="515" customFormat="false" ht="15" hidden="false" customHeight="false" outlineLevel="0" collapsed="false">
      <c r="A515" s="0" t="n">
        <f aca="false">SUMX2PY2(Data!A1:A8,Data!K1:K8)</f>
        <v>529</v>
      </c>
      <c r="B515" s="0" t="s">
        <v>549</v>
      </c>
    </row>
    <row r="516" customFormat="false" ht="15" hidden="false" customHeight="false" outlineLevel="0" collapsed="false">
      <c r="A516" s="0" t="e">
        <f aca="false">MDETERM(Data!A1:B2)</f>
        <v>#VALUE!</v>
      </c>
      <c r="B516" s="0" t="s">
        <v>550</v>
      </c>
    </row>
    <row r="517" customFormat="false" ht="15" hidden="false" customHeight="false" outlineLevel="0" collapsed="false">
      <c r="A517" s="0" t="e">
        <f aca="false">SUMPRODUCT(MINVERSE({1,2;2,4}))</f>
        <v>#VALUE!</v>
      </c>
      <c r="B517" s="0" t="s">
        <v>551</v>
      </c>
    </row>
    <row r="518" customFormat="false" ht="15" hidden="false" customHeight="false" outlineLevel="0" collapsed="false">
      <c r="A518" s="0" t="n">
        <f aca="false">LOOKUP(6,Data!H1:H5)</f>
        <v>5</v>
      </c>
      <c r="B518" s="0" t="s">
        <v>552</v>
      </c>
    </row>
    <row r="519" customFormat="false" ht="15" hidden="false" customHeight="false" outlineLevel="0" collapsed="false">
      <c r="A519" s="0" t="n">
        <f aca="false">LOOKUP(6,Data!H1:H5,Data!I1:I5)</f>
        <v>5</v>
      </c>
      <c r="B519" s="0" t="s">
        <v>553</v>
      </c>
    </row>
    <row r="520" customFormat="false" ht="15" hidden="false" customHeight="false" outlineLevel="0" collapsed="false">
      <c r="A520" s="0" t="e">
        <f aca="false">LOOKUP(0,Data!H1:H5)</f>
        <v>#N/A</v>
      </c>
      <c r="B520" s="0" t="s">
        <v>554</v>
      </c>
    </row>
    <row r="521" customFormat="false" ht="15" hidden="false" customHeight="false" outlineLevel="0" collapsed="false">
      <c r="A521" s="0" t="n">
        <f aca="false">LOOKUP(4,Data!H1:J5)</f>
        <v>30</v>
      </c>
      <c r="B521" s="0" t="s">
        <v>555</v>
      </c>
    </row>
    <row r="522" customFormat="false" ht="15" hidden="false" customHeight="false" outlineLevel="0" collapsed="false">
      <c r="A522" s="0" t="n">
        <f aca="false">TYPE(Data!A1)</f>
        <v>1</v>
      </c>
      <c r="B522" s="0" t="s">
        <v>556</v>
      </c>
    </row>
    <row r="523" customFormat="false" ht="15" hidden="false" customHeight="false" outlineLevel="0" collapsed="false">
      <c r="A523" s="0" t="n">
        <f aca="false">TYPE(Data!B1)</f>
        <v>2</v>
      </c>
      <c r="B523" s="0" t="s">
        <v>557</v>
      </c>
    </row>
    <row r="524" customFormat="false" ht="15" hidden="false" customHeight="false" outlineLevel="0" collapsed="false">
      <c r="A524" s="0" t="n">
        <f aca="false">TYPE(TRUE())</f>
        <v>1</v>
      </c>
      <c r="B524" s="0" t="s">
        <v>558</v>
      </c>
    </row>
    <row r="525" customFormat="false" ht="15" hidden="false" customHeight="false" outlineLevel="0" collapsed="false">
      <c r="A525" s="0" t="n">
        <f aca="false">TYPE(1/0)</f>
        <v>16</v>
      </c>
      <c r="B525" s="0" t="s">
        <v>559</v>
      </c>
    </row>
    <row r="526" customFormat="false" ht="15" hidden="false" customHeight="false" outlineLevel="0" collapsed="false">
      <c r="A526" s="0" t="e">
        <f aca="false">TYPE(Data!A1:A3)</f>
        <v>#VALUE!</v>
      </c>
      <c r="B526" s="0" t="s">
        <v>560</v>
      </c>
    </row>
    <row r="527" customFormat="false" ht="15" hidden="false" customHeight="false" outlineLevel="0" collapsed="false">
      <c r="A527" s="0" t="str">
        <f aca="false">CLEAN("a"&amp;CHAR(10)&amp;"b"&amp;CHAR(7))</f>
        <v>ab</v>
      </c>
      <c r="B527" s="0" t="s">
        <v>561</v>
      </c>
    </row>
    <row r="528" customFormat="false" ht="15" hidden="false" customHeight="false" outlineLevel="0" collapsed="false">
      <c r="A528" s="0" t="n">
        <f aca="false">_xlfn.UNICODE("é")</f>
        <v>233</v>
      </c>
      <c r="B528" s="0" t="s">
        <v>562</v>
      </c>
    </row>
    <row r="529" customFormat="false" ht="15" hidden="false" customHeight="false" outlineLevel="0" collapsed="false">
      <c r="A529" s="0" t="str">
        <f aca="false">_xlfn.UNICHAR(233)</f>
        <v>é</v>
      </c>
      <c r="B529" s="0" t="s">
        <v>563</v>
      </c>
    </row>
    <row r="530" customFormat="false" ht="15" hidden="false" customHeight="false" outlineLevel="0" collapsed="false">
      <c r="A530" s="0" t="e">
        <f aca="false">_xlfn.UNICODE("")</f>
        <v>#VALUE!</v>
      </c>
      <c r="B530" s="0" t="s">
        <v>564</v>
      </c>
    </row>
    <row r="531" customFormat="false" ht="15" hidden="false" customHeight="false" outlineLevel="0" collapsed="false">
      <c r="A531" s="0" t="str">
        <f aca="false">ROMAN(1994)</f>
        <v>MCMXCIV</v>
      </c>
      <c r="B531" s="0" t="s">
        <v>565</v>
      </c>
    </row>
    <row r="532" customFormat="false" ht="15" hidden="false" customHeight="false" outlineLevel="0" collapsed="false">
      <c r="A532" s="0" t="str">
        <f aca="false">ROMAN(499,1)</f>
        <v>LDVLIV</v>
      </c>
      <c r="B532" s="0" t="s">
        <v>566</v>
      </c>
    </row>
    <row r="533" customFormat="false" ht="15" hidden="false" customHeight="false" outlineLevel="0" collapsed="false">
      <c r="A533" s="0" t="str">
        <f aca="false">ROMAN(499,2)</f>
        <v>XDIX</v>
      </c>
      <c r="B533" s="0" t="s">
        <v>567</v>
      </c>
    </row>
    <row r="534" customFormat="false" ht="15" hidden="false" customHeight="false" outlineLevel="0" collapsed="false">
      <c r="A534" s="0" t="str">
        <f aca="false">ROMAN(499,3)</f>
        <v>VDIV</v>
      </c>
      <c r="B534" s="0" t="s">
        <v>568</v>
      </c>
    </row>
    <row r="535" customFormat="false" ht="15" hidden="false" customHeight="false" outlineLevel="0" collapsed="false">
      <c r="A535" s="0" t="str">
        <f aca="false">ROMAN(499,4)</f>
        <v>ID</v>
      </c>
      <c r="B535" s="0" t="s">
        <v>569</v>
      </c>
    </row>
    <row r="536" customFormat="false" ht="15" hidden="false" customHeight="false" outlineLevel="0" collapsed="false">
      <c r="A536" s="0" t="str">
        <f aca="false">ROMAN(3999)</f>
        <v>MMMCMXCIX</v>
      </c>
      <c r="B536" s="0" t="s">
        <v>570</v>
      </c>
    </row>
    <row r="537" customFormat="false" ht="15" hidden="false" customHeight="false" outlineLevel="0" collapsed="false">
      <c r="A537" s="0" t="str">
        <f aca="false">ROMAN(0)</f>
        <v/>
      </c>
      <c r="B537" s="0" t="s">
        <v>571</v>
      </c>
    </row>
    <row r="538" customFormat="false" ht="15" hidden="false" customHeight="false" outlineLevel="0" collapsed="false">
      <c r="A538" s="0" t="e">
        <f aca="false">ROMAN(4000)</f>
        <v>#VALUE!</v>
      </c>
      <c r="B538" s="0" t="s">
        <v>572</v>
      </c>
    </row>
    <row r="539" customFormat="false" ht="15" hidden="false" customHeight="false" outlineLevel="0" collapsed="false">
      <c r="A539" s="0" t="str">
        <f aca="false">ROMAN(45,TRUE())</f>
        <v>VL</v>
      </c>
      <c r="B539" s="0" t="s">
        <v>573</v>
      </c>
    </row>
    <row r="540" customFormat="false" ht="15" hidden="false" customHeight="false" outlineLevel="0" collapsed="false">
      <c r="A540" s="0" t="n">
        <f aca="false">_xlfn.ARABIC("MCMXCIV")</f>
        <v>1994</v>
      </c>
      <c r="B540" s="0" t="s">
        <v>574</v>
      </c>
    </row>
    <row r="541" customFormat="false" ht="15" hidden="false" customHeight="false" outlineLevel="0" collapsed="false">
      <c r="A541" s="0" t="e">
        <f aca="false">_xlfn.ARABIC("-IV")</f>
        <v>#VALUE!</v>
      </c>
      <c r="B541" s="0" t="s">
        <v>575</v>
      </c>
    </row>
    <row r="542" customFormat="false" ht="15" hidden="false" customHeight="false" outlineLevel="0" collapsed="false">
      <c r="A542" s="0" t="n">
        <f aca="false">_xlfn.ARABIC("")</f>
        <v>0</v>
      </c>
      <c r="B542" s="0" t="s">
        <v>576</v>
      </c>
    </row>
    <row r="543" customFormat="false" ht="15" hidden="false" customHeight="false" outlineLevel="0" collapsed="false">
      <c r="A543" s="0" t="e">
        <f aca="false">_xlfn.ARABIC("ABC")</f>
        <v>#VALUE!</v>
      </c>
      <c r="B543" s="0" t="s">
        <v>577</v>
      </c>
    </row>
    <row r="544" customFormat="false" ht="15" hidden="false" customHeight="false" outlineLevel="0" collapsed="false">
      <c r="A544" s="0" t="str">
        <f aca="false">_xlfn.BASE(255,16)</f>
        <v>FF</v>
      </c>
      <c r="B544" s="0" t="s">
        <v>578</v>
      </c>
    </row>
    <row r="545" customFormat="false" ht="15" hidden="false" customHeight="false" outlineLevel="0" collapsed="false">
      <c r="A545" s="0" t="str">
        <f aca="false">_xlfn.BASE(7,2,8)</f>
        <v>00000111</v>
      </c>
      <c r="B545" s="0" t="s">
        <v>579</v>
      </c>
    </row>
    <row r="546" customFormat="false" ht="15" hidden="false" customHeight="false" outlineLevel="0" collapsed="false">
      <c r="A546" s="0" t="e">
        <f aca="false">_xlfn.BASE(-1,2)</f>
        <v>#VALUE!</v>
      </c>
      <c r="B546" s="0" t="s">
        <v>580</v>
      </c>
    </row>
    <row r="547" customFormat="false" ht="15" hidden="false" customHeight="false" outlineLevel="0" collapsed="false">
      <c r="A547" s="0" t="n">
        <f aca="false">_xlfn.DECIMAL("FF",16)</f>
        <v>255</v>
      </c>
      <c r="B547" s="0" t="s">
        <v>581</v>
      </c>
    </row>
    <row r="548" customFormat="false" ht="15" hidden="false" customHeight="false" outlineLevel="0" collapsed="false">
      <c r="A548" s="0" t="e">
        <f aca="false">_xlfn.DECIMAL("102",2)</f>
        <v>#VALUE!</v>
      </c>
      <c r="B548" s="0" t="s">
        <v>582</v>
      </c>
    </row>
    <row r="549" customFormat="false" ht="15" hidden="false" customHeight="false" outlineLevel="0" collapsed="false">
      <c r="A549" s="0" t="str">
        <f aca="false">DEC2BIN(10)</f>
        <v>1010</v>
      </c>
      <c r="B549" s="0" t="s">
        <v>583</v>
      </c>
    </row>
    <row r="550" customFormat="false" ht="15" hidden="false" customHeight="false" outlineLevel="0" collapsed="false">
      <c r="A550" s="0" t="str">
        <f aca="false">DEC2BIN(-1)</f>
        <v>1111111111</v>
      </c>
      <c r="B550" s="0" t="s">
        <v>584</v>
      </c>
    </row>
    <row r="551" customFormat="false" ht="15" hidden="false" customHeight="false" outlineLevel="0" collapsed="false">
      <c r="A551" s="0" t="str">
        <f aca="false">DEC2BIN(10,8)</f>
        <v>00001010</v>
      </c>
      <c r="B551" s="0" t="s">
        <v>585</v>
      </c>
    </row>
    <row r="552" customFormat="false" ht="15" hidden="false" customHeight="false" outlineLevel="0" collapsed="false">
      <c r="A552" s="0" t="e">
        <f aca="false">DEC2BIN(600)</f>
        <v>#VALUE!</v>
      </c>
      <c r="B552" s="0" t="s">
        <v>586</v>
      </c>
    </row>
    <row r="553" customFormat="false" ht="15" hidden="false" customHeight="false" outlineLevel="0" collapsed="false">
      <c r="A553" s="0" t="str">
        <f aca="false">DEC2OCT(64)</f>
        <v>100</v>
      </c>
      <c r="B553" s="0" t="s">
        <v>587</v>
      </c>
    </row>
    <row r="554" customFormat="false" ht="15" hidden="false" customHeight="false" outlineLevel="0" collapsed="false">
      <c r="A554" s="0" t="str">
        <f aca="false">DEC2HEX(255)</f>
        <v>FF</v>
      </c>
      <c r="B554" s="0" t="s">
        <v>588</v>
      </c>
    </row>
    <row r="555" customFormat="false" ht="15" hidden="false" customHeight="false" outlineLevel="0" collapsed="false">
      <c r="A555" s="0" t="str">
        <f aca="false">DEC2HEX(-1)</f>
        <v>FFFFFFFFFF</v>
      </c>
      <c r="B555" s="0" t="s">
        <v>589</v>
      </c>
    </row>
    <row r="556" customFormat="false" ht="15" hidden="false" customHeight="false" outlineLevel="0" collapsed="false">
      <c r="A556" s="0" t="str">
        <f aca="false">DEC2HEX(255,6)</f>
        <v>0000FF</v>
      </c>
      <c r="B556" s="0" t="s">
        <v>590</v>
      </c>
    </row>
    <row r="557" customFormat="false" ht="15" hidden="false" customHeight="false" outlineLevel="0" collapsed="false">
      <c r="A557" s="0" t="n">
        <f aca="false">BIN2DEC("1010")</f>
        <v>10</v>
      </c>
      <c r="B557" s="0" t="s">
        <v>591</v>
      </c>
    </row>
    <row r="558" customFormat="false" ht="15" hidden="false" customHeight="false" outlineLevel="0" collapsed="false">
      <c r="A558" s="0" t="n">
        <f aca="false">BIN2DEC("1111111111")</f>
        <v>-1</v>
      </c>
      <c r="B558" s="0" t="s">
        <v>592</v>
      </c>
    </row>
    <row r="559" customFormat="false" ht="15" hidden="false" customHeight="false" outlineLevel="0" collapsed="false">
      <c r="A559" s="0" t="str">
        <f aca="false">BIN2OCT("1111111111")</f>
        <v>7777777777</v>
      </c>
      <c r="B559" s="0" t="s">
        <v>593</v>
      </c>
    </row>
    <row r="560" customFormat="false" ht="15" hidden="false" customHeight="false" outlineLevel="0" collapsed="false">
      <c r="A560" s="0" t="str">
        <f aca="false">BIN2HEX("11111111")</f>
        <v>FF</v>
      </c>
      <c r="B560" s="0" t="s">
        <v>594</v>
      </c>
    </row>
    <row r="561" customFormat="false" ht="15" hidden="false" customHeight="false" outlineLevel="0" collapsed="false">
      <c r="A561" s="0" t="n">
        <f aca="false">OCT2DEC("777")</f>
        <v>511</v>
      </c>
      <c r="B561" s="0" t="s">
        <v>595</v>
      </c>
    </row>
    <row r="562" customFormat="false" ht="15" hidden="false" customHeight="false" outlineLevel="0" collapsed="false">
      <c r="A562" s="0" t="str">
        <f aca="false">OCT2BIN("7")</f>
        <v>111</v>
      </c>
      <c r="B562" s="0" t="s">
        <v>596</v>
      </c>
    </row>
    <row r="563" customFormat="false" ht="15" hidden="false" customHeight="false" outlineLevel="0" collapsed="false">
      <c r="A563" s="0" t="str">
        <f aca="false">OCT2HEX("777")</f>
        <v>1FF</v>
      </c>
      <c r="B563" s="0" t="s">
        <v>597</v>
      </c>
    </row>
    <row r="564" customFormat="false" ht="15" hidden="false" customHeight="false" outlineLevel="0" collapsed="false">
      <c r="A564" s="0" t="n">
        <f aca="false">HEX2DEC("FF")</f>
        <v>255</v>
      </c>
      <c r="B564" s="0" t="s">
        <v>598</v>
      </c>
    </row>
    <row r="565" customFormat="false" ht="15" hidden="false" customHeight="false" outlineLevel="0" collapsed="false">
      <c r="A565" s="0" t="n">
        <f aca="false">HEX2DEC("FFFFFFFFFF")</f>
        <v>-1</v>
      </c>
      <c r="B565" s="0" t="s">
        <v>599</v>
      </c>
    </row>
    <row r="566" customFormat="false" ht="15" hidden="false" customHeight="false" outlineLevel="0" collapsed="false">
      <c r="A566" s="0" t="str">
        <f aca="false">HEX2BIN("1F")</f>
        <v>11111</v>
      </c>
      <c r="B566" s="0" t="s">
        <v>600</v>
      </c>
    </row>
    <row r="567" customFormat="false" ht="15" hidden="false" customHeight="false" outlineLevel="0" collapsed="false">
      <c r="A567" s="0" t="str">
        <f aca="false">HEX2OCT("FF")</f>
        <v>377</v>
      </c>
      <c r="B567" s="0" t="s">
        <v>601</v>
      </c>
    </row>
    <row r="568" customFormat="false" ht="15" hidden="false" customHeight="false" outlineLevel="0" collapsed="false">
      <c r="A568" s="0" t="n">
        <f aca="false">DELTA(2,2)</f>
        <v>1</v>
      </c>
      <c r="B568" s="0" t="s">
        <v>602</v>
      </c>
    </row>
    <row r="569" customFormat="false" ht="15" hidden="false" customHeight="false" outlineLevel="0" collapsed="false">
      <c r="A569" s="0" t="n">
        <f aca="false">DELTA(1,2)</f>
        <v>0</v>
      </c>
      <c r="B569" s="0" t="s">
        <v>603</v>
      </c>
    </row>
    <row r="570" customFormat="false" ht="15" hidden="false" customHeight="false" outlineLevel="0" collapsed="false">
      <c r="A570" s="0" t="n">
        <f aca="false">GESTEP(3,2)</f>
        <v>1</v>
      </c>
      <c r="B570" s="0" t="s">
        <v>604</v>
      </c>
    </row>
    <row r="571" customFormat="false" ht="15" hidden="false" customHeight="false" outlineLevel="0" collapsed="false">
      <c r="A571" s="0" t="n">
        <f aca="false">GESTEP(1)</f>
        <v>1</v>
      </c>
      <c r="B571" s="0" t="s">
        <v>605</v>
      </c>
    </row>
    <row r="572" customFormat="false" ht="15" hidden="false" customHeight="false" outlineLevel="0" collapsed="false">
      <c r="A572" s="0" t="e">
        <f aca="false">HEX2DEC("GG")</f>
        <v>#VALUE!</v>
      </c>
      <c r="B572" s="0" t="s">
        <v>606</v>
      </c>
    </row>
    <row r="573" customFormat="false" ht="15" hidden="false" customHeight="false" outlineLevel="0" collapsed="false">
      <c r="A573" s="0" t="n">
        <f aca="false">SUBTOTAL(9,Data!A1:A8)</f>
        <v>39</v>
      </c>
      <c r="B573" s="0" t="s">
        <v>607</v>
      </c>
    </row>
    <row r="574" customFormat="false" ht="15" hidden="false" customHeight="false" outlineLevel="0" collapsed="false">
      <c r="A574" s="0" t="n">
        <f aca="false">SUBTOTAL(109,Data!A1:A8)</f>
        <v>28</v>
      </c>
      <c r="B574" s="0" t="s">
        <v>608</v>
      </c>
    </row>
    <row r="575" customFormat="false" ht="15" hidden="false" customHeight="false" outlineLevel="0" collapsed="false">
      <c r="A575" s="0" t="n">
        <f aca="false">SUBTOTAL(1,Data!A1:A8)</f>
        <v>4.875</v>
      </c>
      <c r="B575" s="0" t="s">
        <v>609</v>
      </c>
    </row>
    <row r="576" customFormat="false" ht="15" hidden="false" customHeight="false" outlineLevel="0" collapsed="false">
      <c r="A576" s="0" t="n">
        <f aca="false">SUBTOTAL(101,Data!A1:A8)</f>
        <v>4.66666666666667</v>
      </c>
      <c r="B576" s="0" t="s">
        <v>610</v>
      </c>
    </row>
    <row r="577" customFormat="false" ht="15" hidden="false" customHeight="false" outlineLevel="0" collapsed="false">
      <c r="A577" s="0" t="n">
        <f aca="false">SUBTOTAL(2,Data!A1:A8)</f>
        <v>8</v>
      </c>
      <c r="B577" s="0" t="s">
        <v>611</v>
      </c>
    </row>
    <row r="578" customFormat="false" ht="15" hidden="false" customHeight="false" outlineLevel="0" collapsed="false">
      <c r="A578" s="0" t="n">
        <f aca="false">SUBTOTAL(102,Data!A1:A8)</f>
        <v>6</v>
      </c>
      <c r="B578" s="0" t="s">
        <v>612</v>
      </c>
    </row>
    <row r="579" customFormat="false" ht="15" hidden="false" customHeight="false" outlineLevel="0" collapsed="false">
      <c r="A579" s="0" t="n">
        <f aca="false">SUBTOTAL(3,Data!B1:B8)</f>
        <v>8</v>
      </c>
      <c r="B579" s="0" t="s">
        <v>613</v>
      </c>
    </row>
    <row r="580" customFormat="false" ht="15" hidden="false" customHeight="false" outlineLevel="0" collapsed="false">
      <c r="A580" s="0" t="n">
        <f aca="false">SUBTOTAL(103,Data!B1:B8)</f>
        <v>6</v>
      </c>
      <c r="B580" s="0" t="s">
        <v>614</v>
      </c>
    </row>
    <row r="581" customFormat="false" ht="15" hidden="false" customHeight="false" outlineLevel="0" collapsed="false">
      <c r="A581" s="0" t="n">
        <f aca="false">SUBTOTAL(4,Data!A1:A8)</f>
        <v>9</v>
      </c>
      <c r="B581" s="0" t="s">
        <v>615</v>
      </c>
    </row>
    <row r="582" customFormat="false" ht="15" hidden="false" customHeight="false" outlineLevel="0" collapsed="false">
      <c r="A582" s="0" t="n">
        <f aca="false">SUBTOTAL(105,Data!A1:A8)</f>
        <v>1</v>
      </c>
      <c r="B582" s="0" t="s">
        <v>616</v>
      </c>
    </row>
    <row r="583" customFormat="false" ht="15" hidden="false" customHeight="false" outlineLevel="0" collapsed="false">
      <c r="A583" s="0" t="n">
        <f aca="false">SUBTOTAL(5,Data!A1:A8)</f>
        <v>1</v>
      </c>
      <c r="B583" s="0" t="s">
        <v>617</v>
      </c>
    </row>
    <row r="584" customFormat="false" ht="15" hidden="false" customHeight="false" outlineLevel="0" collapsed="false">
      <c r="A584" s="0" t="n">
        <f aca="false">SUBTOTAL(6,Data!A1:A3)</f>
        <v>120</v>
      </c>
      <c r="B584" s="0" t="s">
        <v>618</v>
      </c>
    </row>
    <row r="585" customFormat="false" ht="15" hidden="false" customHeight="false" outlineLevel="0" collapsed="false">
      <c r="A585" s="0" t="n">
        <f aca="false">SUBTOTAL(7,Data!A1:A8)</f>
        <v>2.90012315009454</v>
      </c>
      <c r="B585" s="0" t="s">
        <v>619</v>
      </c>
    </row>
    <row r="586" customFormat="false" ht="15" hidden="false" customHeight="false" outlineLevel="0" collapsed="false">
      <c r="A586" s="0" t="n">
        <f aca="false">SUBTOTAL(107,Data!A1:A8)</f>
        <v>3.2659863237109</v>
      </c>
      <c r="B586" s="0" t="s">
        <v>620</v>
      </c>
    </row>
    <row r="587" customFormat="false" ht="15" hidden="false" customHeight="false" outlineLevel="0" collapsed="false">
      <c r="A587" s="0" t="n">
        <f aca="false">SUBTOTAL(8,Data!A1:A8)</f>
        <v>2.71281680177634</v>
      </c>
      <c r="B587" s="0" t="s">
        <v>621</v>
      </c>
    </row>
    <row r="588" customFormat="false" ht="15" hidden="false" customHeight="false" outlineLevel="0" collapsed="false">
      <c r="A588" s="0" t="n">
        <f aca="false">SUBTOTAL(10,Data!A1:A8)</f>
        <v>8.41071428571429</v>
      </c>
      <c r="B588" s="0" t="s">
        <v>622</v>
      </c>
    </row>
    <row r="589" customFormat="false" ht="15" hidden="false" customHeight="false" outlineLevel="0" collapsed="false">
      <c r="A589" s="0" t="n">
        <f aca="false">SUBTOTAL(11,Data!A1:A8)</f>
        <v>7.359375</v>
      </c>
      <c r="B589" s="0" t="s">
        <v>623</v>
      </c>
    </row>
    <row r="590" customFormat="false" ht="15" hidden="false" customHeight="false" outlineLevel="0" collapsed="false">
      <c r="A590" s="0" t="n">
        <f aca="false">SUBTOTAL(9,Data!L1:L6)</f>
        <v>105</v>
      </c>
      <c r="B590" s="0" t="s">
        <v>624</v>
      </c>
    </row>
    <row r="591" customFormat="false" ht="15" hidden="false" customHeight="false" outlineLevel="0" collapsed="false">
      <c r="A591" s="0" t="e">
        <f aca="false">SUBTOTAL(12,Data!A1:A3)</f>
        <v>#VALUE!</v>
      </c>
      <c r="B591" s="0" t="s">
        <v>625</v>
      </c>
    </row>
    <row r="592" customFormat="false" ht="15" hidden="false" customHeight="false" outlineLevel="0" collapsed="false">
      <c r="A592" s="0" t="n">
        <f aca="false">SUBTOTAL(9,Data!A1:A2,Data!A4:A5)</f>
        <v>18</v>
      </c>
      <c r="B592" s="0" t="s">
        <v>626</v>
      </c>
    </row>
    <row r="593" customFormat="false" ht="15" hidden="false" customHeight="false" outlineLevel="0" collapsed="false">
      <c r="A593" s="0" t="n">
        <f aca="false">_xlfn.AGGREGATE(9,6,Data!A1:A8)</f>
        <v>39</v>
      </c>
      <c r="B593" s="0" t="s">
        <v>627</v>
      </c>
    </row>
    <row r="594" customFormat="false" ht="15" hidden="false" customHeight="false" outlineLevel="0" collapsed="false">
      <c r="A594" s="0" t="n">
        <f aca="false">_xlfn.AGGREGATE(9,5,Data!A1:A8)</f>
        <v>28</v>
      </c>
      <c r="B594" s="0" t="s">
        <v>628</v>
      </c>
    </row>
    <row r="595" customFormat="false" ht="15" hidden="false" customHeight="false" outlineLevel="0" collapsed="false">
      <c r="A595" s="0" t="n">
        <f aca="false">_xlfn.AGGREGATE(9,4,Data!A1:A8)</f>
        <v>39</v>
      </c>
      <c r="B595" s="0" t="s">
        <v>629</v>
      </c>
    </row>
    <row r="596" customFormat="false" ht="15" hidden="false" customHeight="false" outlineLevel="0" collapsed="false">
      <c r="A596" s="0" t="n">
        <f aca="false">_xlfn.AGGREGATE(4,6,Data!A1:A8)</f>
        <v>9</v>
      </c>
      <c r="B596" s="0" t="s">
        <v>630</v>
      </c>
    </row>
    <row r="597" customFormat="false" ht="15" hidden="false" customHeight="false" outlineLevel="0" collapsed="false">
      <c r="A597" s="0" t="n">
        <f aca="false">_xlfn.AGGREGATE(12,5,Data!A1:A8)</f>
        <v>4</v>
      </c>
      <c r="B597" s="0" t="s">
        <v>631</v>
      </c>
    </row>
    <row r="598" customFormat="false" ht="15" hidden="false" customHeight="false" outlineLevel="0" collapsed="false">
      <c r="A598" s="0" t="n">
        <f aca="false">_xlfn.AGGREGATE(14,5,Data!A1:A8,2)</f>
        <v>8</v>
      </c>
      <c r="B598" s="0" t="s">
        <v>632</v>
      </c>
    </row>
    <row r="599" customFormat="false" ht="15" hidden="false" customHeight="false" outlineLevel="0" collapsed="false">
      <c r="A599" s="0" t="n">
        <f aca="false">_xlfn.AGGREGATE(15,6,Data!A1:A8,2)</f>
        <v>2</v>
      </c>
      <c r="B599" s="0" t="s">
        <v>633</v>
      </c>
    </row>
    <row r="600" customFormat="false" ht="15" hidden="false" customHeight="false" outlineLevel="0" collapsed="false">
      <c r="A600" s="0" t="n">
        <f aca="false">_xlfn.AGGREGATE(16,6,Data!A1:A8,0.5)</f>
        <v>4.5</v>
      </c>
      <c r="B600" s="0" t="s">
        <v>634</v>
      </c>
    </row>
    <row r="601" customFormat="false" ht="15" hidden="false" customHeight="false" outlineLevel="0" collapsed="false">
      <c r="A601" s="0" t="n">
        <f aca="false">_xlfn.AGGREGATE(17,6,Data!A1:A8,1)</f>
        <v>2.75</v>
      </c>
      <c r="B601" s="0" t="s">
        <v>635</v>
      </c>
    </row>
    <row r="602" customFormat="false" ht="15" hidden="false" customHeight="false" outlineLevel="0" collapsed="false">
      <c r="A602" s="0" t="n">
        <f aca="false">_xlfn.AGGREGATE(9,6,Data!L1:L6)</f>
        <v>205</v>
      </c>
      <c r="B602" s="0" t="s">
        <v>636</v>
      </c>
    </row>
    <row r="603" customFormat="false" ht="15" hidden="false" customHeight="false" outlineLevel="0" collapsed="false">
      <c r="A603" s="0" t="n">
        <f aca="false">_xlfn.AGGREGATE(9,0,Data!L1:L6)</f>
        <v>105</v>
      </c>
      <c r="B603" s="0" t="s">
        <v>637</v>
      </c>
    </row>
    <row r="604" customFormat="false" ht="15" hidden="false" customHeight="false" outlineLevel="0" collapsed="false">
      <c r="A604" s="0" t="n">
        <f aca="false">_xlfn.AGGREGATE(1,6,Data!A1:A8)</f>
        <v>4.875</v>
      </c>
      <c r="B604" s="0" t="s">
        <v>638</v>
      </c>
    </row>
    <row r="605" customFormat="false" ht="15" hidden="false" customHeight="false" outlineLevel="0" collapsed="false">
      <c r="A605" s="0" t="n">
        <f aca="false">_xlfn.AGGREGATE(2,5,Data!A1:A8)</f>
        <v>6</v>
      </c>
      <c r="B605" s="0" t="s">
        <v>639</v>
      </c>
    </row>
    <row r="606" customFormat="false" ht="15" hidden="false" customHeight="false" outlineLevel="0" collapsed="false">
      <c r="A606" s="0" t="e">
        <f aca="false">_xlfn.AGGREGATE(22,6,Data!A1:A8)</f>
        <v>#VALUE!</v>
      </c>
      <c r="B606" s="0" t="s">
        <v>640</v>
      </c>
    </row>
    <row r="607" customFormat="false" ht="15" hidden="false" customHeight="false" outlineLevel="0" collapsed="false">
      <c r="A607" s="0" t="n">
        <f aca="false">COUNTBLANK(A235)</f>
        <v>0</v>
      </c>
      <c r="B607" s="0" t="s">
        <v>641</v>
      </c>
    </row>
    <row r="608" customFormat="false" ht="15" hidden="false" customHeight="false" outlineLevel="0" collapsed="false">
      <c r="A608" s="0" t="n">
        <f aca="false">COUNTA(A235)</f>
        <v>1</v>
      </c>
      <c r="B608" s="0" t="s">
        <v>642</v>
      </c>
    </row>
    <row r="609" customFormat="false" ht="15" hidden="false" customHeight="false" outlineLevel="0" collapsed="false">
      <c r="A609" s="0" t="n">
        <f aca="false">COUNT(A235)</f>
        <v>1</v>
      </c>
      <c r="B609" s="0" t="s">
        <v>643</v>
      </c>
    </row>
    <row r="610" customFormat="false" ht="15" hidden="false" customHeight="false" outlineLevel="0" collapsed="false">
      <c r="A610" s="0" t="n">
        <f aca="false">SUM(A235)</f>
        <v>0</v>
      </c>
      <c r="B610" s="0" t="s">
        <v>644</v>
      </c>
    </row>
    <row r="611" customFormat="false" ht="15" hidden="false" customHeight="false" outlineLevel="0" collapsed="false">
      <c r="A611" s="0" t="str">
        <f aca="false">A235&amp;"x"</f>
        <v>0x</v>
      </c>
      <c r="B611" s="0" t="s">
        <v>645</v>
      </c>
    </row>
    <row r="612" customFormat="false" ht="15" hidden="false" customHeight="false" outlineLevel="0" collapsed="false">
      <c r="A612" s="0" t="n">
        <f aca="false">LEN(A235)</f>
        <v>1</v>
      </c>
      <c r="B612" s="0" t="s">
        <v>646</v>
      </c>
    </row>
    <row r="613" customFormat="false" ht="15" hidden="false" customHeight="false" outlineLevel="0" collapsed="false">
      <c r="A613" s="2" t="b">
        <f aca="false">ISTEXT(A235)</f>
        <v>0</v>
      </c>
      <c r="B613" s="0" t="s">
        <v>647</v>
      </c>
    </row>
    <row r="614" customFormat="false" ht="15" hidden="false" customHeight="false" outlineLevel="0" collapsed="false">
      <c r="A614" s="0" t="str">
        <f aca="false">IF(A235="","empty","not")</f>
        <v>empty</v>
      </c>
      <c r="B614" s="0" t="s">
        <v>648</v>
      </c>
    </row>
    <row r="615" customFormat="false" ht="15" hidden="false" customHeight="false" outlineLevel="0" collapsed="false">
      <c r="A615" s="0" t="n">
        <f aca="false">COUNTIF(A235,"")</f>
        <v>0</v>
      </c>
      <c r="B615" s="0" t="s">
        <v>649</v>
      </c>
    </row>
    <row r="616" customFormat="false" ht="15" hidden="false" customHeight="false" outlineLevel="0" collapsed="false">
      <c r="A616" s="0" t="n">
        <f aca="false">COUNTIF(A235,0)</f>
        <v>1</v>
      </c>
      <c r="B616" s="0" t="s">
        <v>650</v>
      </c>
    </row>
    <row r="617" customFormat="false" ht="15" hidden="false" customHeight="false" outlineLevel="0" collapsed="false">
      <c r="A617" s="0" t="n">
        <f aca="false">N(A235)</f>
        <v>0</v>
      </c>
      <c r="B617" s="0" t="s">
        <v>651</v>
      </c>
    </row>
    <row r="618" customFormat="false" ht="15" hidden="false" customHeight="false" outlineLevel="0" collapsed="false">
      <c r="A618" s="0" t="str">
        <f aca="false">T(A235)</f>
        <v/>
      </c>
      <c r="B618" s="0" t="s">
        <v>652</v>
      </c>
    </row>
    <row r="619" customFormat="false" ht="15" hidden="false" customHeight="false" outlineLevel="0" collapsed="false">
      <c r="A619" s="0" t="n">
        <f aca="false">MAX(A235)</f>
        <v>0</v>
      </c>
      <c r="B619" s="0" t="s">
        <v>653</v>
      </c>
    </row>
    <row r="620" customFormat="false" ht="15" hidden="false" customHeight="false" outlineLevel="0" collapsed="false">
      <c r="A620" s="0" t="n">
        <f aca="false">AVERAGE(A235,1)</f>
        <v>0.5</v>
      </c>
      <c r="B620" s="0" t="s">
        <v>654</v>
      </c>
    </row>
    <row r="621" customFormat="false" ht="15" hidden="false" customHeight="false" outlineLevel="0" collapsed="false">
      <c r="A621" s="0" t="n">
        <f aca="false">A235+1</f>
        <v>1</v>
      </c>
      <c r="B621" s="0" t="s">
        <v>655</v>
      </c>
    </row>
    <row r="622" customFormat="false" ht="15" hidden="false" customHeight="false" outlineLevel="0" collapsed="false">
      <c r="A622" s="0" t="e">
        <f aca="false">MATCH("",A235,0)</f>
        <v>#N/A</v>
      </c>
      <c r="B622" s="0" t="s">
        <v>656</v>
      </c>
    </row>
    <row r="623" customFormat="false" ht="15" hidden="false" customHeight="false" outlineLevel="0" collapsed="false">
      <c r="A623" s="2" t="b">
        <f aca="false">ISERROR(A235)</f>
        <v>0</v>
      </c>
      <c r="B623" s="0" t="s">
        <v>657</v>
      </c>
    </row>
    <row r="624" customFormat="false" ht="15" hidden="false" customHeight="false" outlineLevel="0" collapsed="false">
      <c r="A624" s="2" t="b">
        <f aca="false">ISNA(A235)</f>
        <v>0</v>
      </c>
      <c r="B624" s="0" t="s">
        <v>658</v>
      </c>
    </row>
    <row r="625" customFormat="false" ht="15" hidden="false" customHeight="false" outlineLevel="0" collapsed="false">
      <c r="A625" s="2" t="b">
        <f aca="false">A235&lt;1</f>
        <v>1</v>
      </c>
      <c r="B625" s="0" t="s">
        <v>659</v>
      </c>
    </row>
    <row r="626" customFormat="false" ht="15" hidden="false" customHeight="false" outlineLevel="0" collapsed="false">
      <c r="A626" s="2" t="b">
        <f aca="false">A235&lt;"a"</f>
        <v>1</v>
      </c>
      <c r="B626" s="0" t="s">
        <v>660</v>
      </c>
    </row>
    <row r="627" customFormat="false" ht="15" hidden="false" customHeight="false" outlineLevel="0" collapsed="false">
      <c r="A627" s="0" t="n">
        <f aca="false">GAMMALN(5)</f>
        <v>3.17805383034795</v>
      </c>
      <c r="B627" s="0" t="s">
        <v>661</v>
      </c>
    </row>
    <row r="628" customFormat="false" ht="15" hidden="false" customHeight="false" outlineLevel="0" collapsed="false">
      <c r="A628" s="0" t="n">
        <f aca="false">GAMMALN(0.5)</f>
        <v>0.5723649429247</v>
      </c>
      <c r="B628" s="0" t="s">
        <v>662</v>
      </c>
    </row>
    <row r="629" customFormat="false" ht="15" hidden="false" customHeight="false" outlineLevel="0" collapsed="false">
      <c r="A629" s="0" t="n">
        <f aca="false">GAMMALN(100.3)</f>
        <v>360.514705729058</v>
      </c>
      <c r="B629" s="0" t="s">
        <v>663</v>
      </c>
    </row>
    <row r="630" customFormat="false" ht="15" hidden="false" customHeight="false" outlineLevel="0" collapsed="false">
      <c r="A630" s="0" t="e">
        <f aca="false">GAMMALN(0)</f>
        <v>#VALUE!</v>
      </c>
      <c r="B630" s="0" t="s">
        <v>664</v>
      </c>
    </row>
    <row r="631" customFormat="false" ht="15" hidden="false" customHeight="false" outlineLevel="0" collapsed="false">
      <c r="A631" s="0" t="e">
        <f aca="false">GAMMALN(-1)</f>
        <v>#VALUE!</v>
      </c>
      <c r="B631" s="0" t="s">
        <v>665</v>
      </c>
    </row>
    <row r="632" customFormat="false" ht="15" hidden="false" customHeight="false" outlineLevel="0" collapsed="false">
      <c r="A632" s="0" t="n">
        <f aca="false">_xlfn.GAMMALN.PRECISE(10.5)</f>
        <v>13.9406252194038</v>
      </c>
      <c r="B632" s="0" t="s">
        <v>666</v>
      </c>
    </row>
    <row r="633" customFormat="false" ht="15" hidden="false" customHeight="false" outlineLevel="0" collapsed="false">
      <c r="A633" s="0" t="e">
        <f aca="false">_xlfn.GAMMALN.PRECISE(-2)</f>
        <v>#VALUE!</v>
      </c>
      <c r="B633" s="0" t="s">
        <v>667</v>
      </c>
    </row>
    <row r="634" customFormat="false" ht="15" hidden="false" customHeight="false" outlineLevel="0" collapsed="false">
      <c r="A634" s="0" t="n">
        <f aca="false">_xlfn.GAMMA(5)</f>
        <v>24</v>
      </c>
      <c r="B634" s="0" t="s">
        <v>668</v>
      </c>
    </row>
    <row r="635" customFormat="false" ht="15" hidden="false" customHeight="false" outlineLevel="0" collapsed="false">
      <c r="A635" s="0" t="n">
        <f aca="false">_xlfn.GAMMA(0.5)</f>
        <v>1.77245385090552</v>
      </c>
      <c r="B635" s="0" t="s">
        <v>669</v>
      </c>
    </row>
    <row r="636" customFormat="false" ht="15" hidden="false" customHeight="false" outlineLevel="0" collapsed="false">
      <c r="A636" s="0" t="n">
        <f aca="false">_xlfn.GAMMA(-1.5)</f>
        <v>2.36327180120735</v>
      </c>
      <c r="B636" s="0" t="s">
        <v>670</v>
      </c>
    </row>
    <row r="637" customFormat="false" ht="15" hidden="false" customHeight="false" outlineLevel="0" collapsed="false">
      <c r="A637" s="0" t="e">
        <f aca="false">_xlfn.GAMMA(0)</f>
        <v>#VALUE!</v>
      </c>
      <c r="B637" s="0" t="s">
        <v>671</v>
      </c>
    </row>
    <row r="638" customFormat="false" ht="15" hidden="false" customHeight="false" outlineLevel="0" collapsed="false">
      <c r="A638" s="0" t="e">
        <f aca="false">_xlfn.GAMMA(-2)</f>
        <v>#VALUE!</v>
      </c>
      <c r="B638" s="0" t="s">
        <v>672</v>
      </c>
    </row>
    <row r="639" customFormat="false" ht="15" hidden="false" customHeight="false" outlineLevel="0" collapsed="false">
      <c r="A639" s="0" t="n">
        <f aca="false">_xlfn.GAMMA(171)</f>
        <v>7.257415615308E+306</v>
      </c>
      <c r="B639" s="0" t="s">
        <v>673</v>
      </c>
    </row>
    <row r="640" customFormat="false" ht="15" hidden="false" customHeight="false" outlineLevel="0" collapsed="false">
      <c r="A640" s="0" t="e">
        <f aca="false">_xlfn.GAMMA(172)</f>
        <v>#NUM!</v>
      </c>
      <c r="B640" s="0" t="s">
        <v>674</v>
      </c>
    </row>
    <row r="641" customFormat="false" ht="15" hidden="false" customHeight="false" outlineLevel="0" collapsed="false">
      <c r="A641" s="0" t="n">
        <f aca="false">_xlfn.GAMMA(1E-300)</f>
        <v>1E+300</v>
      </c>
      <c r="B641" s="0" t="s">
        <v>675</v>
      </c>
    </row>
    <row r="642" customFormat="false" ht="15" hidden="false" customHeight="false" outlineLevel="0" collapsed="false">
      <c r="A642" s="0" t="n">
        <f aca="false">FISHER(0.75)</f>
        <v>0.972955074527657</v>
      </c>
      <c r="B642" s="0" t="s">
        <v>676</v>
      </c>
    </row>
    <row r="643" customFormat="false" ht="15" hidden="false" customHeight="false" outlineLevel="0" collapsed="false">
      <c r="A643" s="0" t="n">
        <f aca="false">FISHER(-0.3)</f>
        <v>-0.309519604203112</v>
      </c>
      <c r="B643" s="0" t="s">
        <v>677</v>
      </c>
    </row>
    <row r="644" customFormat="false" ht="15" hidden="false" customHeight="false" outlineLevel="0" collapsed="false">
      <c r="A644" s="0" t="n">
        <f aca="false">FISHER(0)</f>
        <v>0</v>
      </c>
      <c r="B644" s="0" t="s">
        <v>678</v>
      </c>
    </row>
    <row r="645" customFormat="false" ht="15" hidden="false" customHeight="false" outlineLevel="0" collapsed="false">
      <c r="A645" s="0" t="e">
        <f aca="false">FISHER(1)</f>
        <v>#VALUE!</v>
      </c>
      <c r="B645" s="0" t="s">
        <v>679</v>
      </c>
    </row>
    <row r="646" customFormat="false" ht="15" hidden="false" customHeight="false" outlineLevel="0" collapsed="false">
      <c r="A646" s="0" t="e">
        <f aca="false">FISHER(2)</f>
        <v>#VALUE!</v>
      </c>
      <c r="B646" s="0" t="s">
        <v>680</v>
      </c>
    </row>
    <row r="647" customFormat="false" ht="15" hidden="false" customHeight="false" outlineLevel="0" collapsed="false">
      <c r="A647" s="0" t="n">
        <f aca="false">FISHERINV(1)</f>
        <v>0.761594155955765</v>
      </c>
      <c r="B647" s="0" t="s">
        <v>681</v>
      </c>
    </row>
    <row r="648" customFormat="false" ht="15" hidden="false" customHeight="false" outlineLevel="0" collapsed="false">
      <c r="A648" s="0" t="n">
        <f aca="false">FISHERINV(-0.5)</f>
        <v>-0.46211715726001</v>
      </c>
      <c r="B648" s="0" t="s">
        <v>682</v>
      </c>
    </row>
    <row r="649" customFormat="false" ht="15" hidden="false" customHeight="false" outlineLevel="0" collapsed="false">
      <c r="A649" s="0" t="n">
        <f aca="false">FISHERINV(30)</f>
        <v>1</v>
      </c>
      <c r="B649" s="0" t="s">
        <v>683</v>
      </c>
    </row>
    <row r="650" customFormat="false" ht="15" hidden="false" customHeight="false" outlineLevel="0" collapsed="false">
      <c r="A650" s="0" t="n">
        <f aca="false">FISHERINV(0)</f>
        <v>0</v>
      </c>
      <c r="B650" s="0" t="s">
        <v>684</v>
      </c>
    </row>
    <row r="651" customFormat="false" ht="15" hidden="false" customHeight="false" outlineLevel="0" collapsed="false">
      <c r="A651" s="0" t="n">
        <f aca="false">_xlfn.GAMMA.DIST(2,3,2,TRUE())</f>
        <v>0.0803013970713942</v>
      </c>
      <c r="B651" s="0" t="s">
        <v>685</v>
      </c>
    </row>
    <row r="652" customFormat="false" ht="15" hidden="false" customHeight="false" outlineLevel="0" collapsed="false">
      <c r="A652" s="0" t="n">
        <f aca="false">_xlfn.GAMMA.DIST(2,3,2,FALSE())</f>
        <v>0.0919698602928606</v>
      </c>
      <c r="B652" s="0" t="s">
        <v>686</v>
      </c>
    </row>
    <row r="653" customFormat="false" ht="15" hidden="false" customHeight="false" outlineLevel="0" collapsed="false">
      <c r="A653" s="0" t="n">
        <f aca="false">GAMMADIST(0.5,0.5,1,TRUE())</f>
        <v>0.682689492137086</v>
      </c>
      <c r="B653" s="0" t="s">
        <v>687</v>
      </c>
    </row>
    <row r="654" customFormat="false" ht="15" hidden="false" customHeight="false" outlineLevel="0" collapsed="false">
      <c r="A654" s="0" t="n">
        <f aca="false">GAMMADIST(10,2,3,FALSE())</f>
        <v>0.039637770385836</v>
      </c>
      <c r="B654" s="0" t="s">
        <v>688</v>
      </c>
    </row>
    <row r="655" customFormat="false" ht="15" hidden="false" customHeight="false" outlineLevel="0" collapsed="false">
      <c r="A655" s="0" t="n">
        <f aca="false">_xlfn.GAMMA.DIST(0,3,2,TRUE())</f>
        <v>0</v>
      </c>
      <c r="B655" s="0" t="s">
        <v>689</v>
      </c>
    </row>
    <row r="656" customFormat="false" ht="15" hidden="false" customHeight="false" outlineLevel="0" collapsed="false">
      <c r="A656" s="0" t="n">
        <f aca="false">_xlfn.GAMMA.DIST(0,1,2,FALSE())</f>
        <v>0.5</v>
      </c>
      <c r="B656" s="0" t="s">
        <v>690</v>
      </c>
    </row>
    <row r="657" customFormat="false" ht="15" hidden="false" customHeight="false" outlineLevel="0" collapsed="false">
      <c r="A657" s="0" t="e">
        <f aca="false">_xlfn.GAMMA.DIST(0,0.5,2,FALSE())</f>
        <v>#DIV/0!</v>
      </c>
      <c r="B657" s="0" t="s">
        <v>691</v>
      </c>
    </row>
    <row r="658" customFormat="false" ht="15" hidden="false" customHeight="false" outlineLevel="0" collapsed="false">
      <c r="A658" s="0" t="e">
        <f aca="false">_xlfn.GAMMA.DIST(-1,3,2,TRUE())</f>
        <v>#VALUE!</v>
      </c>
      <c r="B658" s="0" t="s">
        <v>692</v>
      </c>
    </row>
    <row r="659" customFormat="false" ht="15" hidden="false" customHeight="false" outlineLevel="0" collapsed="false">
      <c r="A659" s="0" t="e">
        <f aca="false">_xlfn.GAMMA.DIST(2,0,2,TRUE())</f>
        <v>#VALUE!</v>
      </c>
      <c r="B659" s="0" t="s">
        <v>693</v>
      </c>
    </row>
    <row r="660" customFormat="false" ht="15" hidden="false" customHeight="false" outlineLevel="0" collapsed="false">
      <c r="A660" s="0" t="e">
        <f aca="false">_xlfn.GAMMA.DIST(2,3,0,TRUE())</f>
        <v>#VALUE!</v>
      </c>
      <c r="B660" s="0" t="s">
        <v>694</v>
      </c>
    </row>
    <row r="661" customFormat="false" ht="15" hidden="false" customHeight="false" outlineLevel="0" collapsed="false">
      <c r="A661" s="0" t="n">
        <f aca="false">_xlfn.GAMMA.DIST(500,3,2,TRUE())</f>
        <v>1</v>
      </c>
      <c r="B661" s="0" t="s">
        <v>695</v>
      </c>
    </row>
    <row r="662" customFormat="false" ht="15" hidden="false" customHeight="false" outlineLevel="0" collapsed="false">
      <c r="A662" s="0" t="n">
        <f aca="false">_xlfn.GAMMA.INV(0.5,3,2)</f>
        <v>5.34812062744712</v>
      </c>
      <c r="B662" s="0" t="s">
        <v>696</v>
      </c>
    </row>
    <row r="663" customFormat="false" ht="15" hidden="false" customHeight="false" outlineLevel="0" collapsed="false">
      <c r="A663" s="0" t="n">
        <f aca="false">GAMMAINV(0.9,0.5,1)</f>
        <v>1.3527717270477</v>
      </c>
      <c r="B663" s="0" t="s">
        <v>697</v>
      </c>
    </row>
    <row r="664" customFormat="false" ht="15" hidden="false" customHeight="false" outlineLevel="0" collapsed="false">
      <c r="A664" s="0" t="n">
        <f aca="false">_xlfn.GAMMA.INV(0.001,10,2)</f>
        <v>5.92104074548752</v>
      </c>
      <c r="B664" s="0" t="s">
        <v>698</v>
      </c>
    </row>
    <row r="665" customFormat="false" ht="15" hidden="false" customHeight="false" outlineLevel="0" collapsed="false">
      <c r="A665" s="0" t="n">
        <f aca="false">_xlfn.GAMMA.INV(0,3,2)</f>
        <v>0</v>
      </c>
      <c r="B665" s="0" t="s">
        <v>699</v>
      </c>
    </row>
    <row r="666" customFormat="false" ht="15" hidden="false" customHeight="false" outlineLevel="0" collapsed="false">
      <c r="A666" s="0" t="e">
        <f aca="false">_xlfn.GAMMA.INV(1,3,2)</f>
        <v>#VALUE!</v>
      </c>
      <c r="B666" s="0" t="s">
        <v>700</v>
      </c>
    </row>
    <row r="667" customFormat="false" ht="15" hidden="false" customHeight="false" outlineLevel="0" collapsed="false">
      <c r="A667" s="0" t="e">
        <f aca="false">_xlfn.GAMMA.INV(1.5,3,2)</f>
        <v>#VALUE!</v>
      </c>
      <c r="B667" s="0" t="s">
        <v>701</v>
      </c>
    </row>
    <row r="668" customFormat="false" ht="15" hidden="false" customHeight="false" outlineLevel="0" collapsed="false">
      <c r="A668" s="0" t="e">
        <f aca="false">_xlfn.GAMMA.INV(0.5,-1,2)</f>
        <v>#VALUE!</v>
      </c>
      <c r="B668" s="0" t="s">
        <v>702</v>
      </c>
    </row>
    <row r="669" customFormat="false" ht="15" hidden="false" customHeight="false" outlineLevel="0" collapsed="false">
      <c r="A669" s="0" t="e">
        <f aca="false">_xlfn.GAMMA.INV(0.5,3,0)</f>
        <v>#VALUE!</v>
      </c>
      <c r="B669" s="0" t="s">
        <v>703</v>
      </c>
    </row>
    <row r="670" customFormat="false" ht="15" hidden="false" customHeight="false" outlineLevel="0" collapsed="false">
      <c r="A670" s="0" t="n">
        <f aca="false">_xlfn.CHISQ.DIST(3,4,TRUE())</f>
        <v>0.442174599628925</v>
      </c>
      <c r="B670" s="0" t="s">
        <v>704</v>
      </c>
    </row>
    <row r="671" customFormat="false" ht="15" hidden="false" customHeight="false" outlineLevel="0" collapsed="false">
      <c r="A671" s="0" t="n">
        <f aca="false">_xlfn.CHISQ.DIST(3,4,FALSE())</f>
        <v>0.167347620111322</v>
      </c>
      <c r="B671" s="0" t="s">
        <v>705</v>
      </c>
    </row>
    <row r="672" customFormat="false" ht="15" hidden="false" customHeight="false" outlineLevel="0" collapsed="false">
      <c r="A672" s="0" t="n">
        <f aca="false">_xlfn.CHISQ.DIST.RT(3,4)</f>
        <v>0.557825400371075</v>
      </c>
      <c r="B672" s="0" t="s">
        <v>706</v>
      </c>
    </row>
    <row r="673" customFormat="false" ht="15" hidden="false" customHeight="false" outlineLevel="0" collapsed="false">
      <c r="A673" s="0" t="n">
        <f aca="false">CHIDIST(3,4)</f>
        <v>0.557825400371075</v>
      </c>
      <c r="B673" s="0" t="s">
        <v>707</v>
      </c>
    </row>
    <row r="674" customFormat="false" ht="15" hidden="false" customHeight="false" outlineLevel="0" collapsed="false">
      <c r="A674" s="0" t="n">
        <f aca="false">CHIDIST(0,4)</f>
        <v>1</v>
      </c>
      <c r="B674" s="0" t="s">
        <v>708</v>
      </c>
    </row>
    <row r="675" customFormat="false" ht="15" hidden="false" customHeight="false" outlineLevel="0" collapsed="false">
      <c r="A675" s="0" t="e">
        <f aca="false">_xlfn.CHISQ.DIST(-1,4,TRUE())</f>
        <v>#VALUE!</v>
      </c>
      <c r="B675" s="0" t="s">
        <v>709</v>
      </c>
    </row>
    <row r="676" customFormat="false" ht="15" hidden="false" customHeight="false" outlineLevel="0" collapsed="false">
      <c r="A676" s="0" t="e">
        <f aca="false">_xlfn.CHISQ.DIST(3,0,TRUE())</f>
        <v>#VALUE!</v>
      </c>
      <c r="B676" s="0" t="s">
        <v>710</v>
      </c>
    </row>
    <row r="677" customFormat="false" ht="15" hidden="false" customHeight="false" outlineLevel="0" collapsed="false">
      <c r="A677" s="0" t="n">
        <f aca="false">_xlfn.CHISQ.DIST(3,10000000000,TRUE())</f>
        <v>0</v>
      </c>
      <c r="B677" s="0" t="s">
        <v>711</v>
      </c>
    </row>
    <row r="678" customFormat="false" ht="15" hidden="false" customHeight="false" outlineLevel="0" collapsed="false">
      <c r="A678" s="0" t="n">
        <f aca="false">_xlfn.CHISQ.DIST(3,4.9,TRUE())</f>
        <v>0.442174599628925</v>
      </c>
      <c r="B678" s="0" t="s">
        <v>712</v>
      </c>
    </row>
    <row r="679" customFormat="false" ht="15" hidden="false" customHeight="false" outlineLevel="0" collapsed="false">
      <c r="A679" s="0" t="n">
        <f aca="false">_xlfn.CHISQ.DIST(0,2,FALSE())</f>
        <v>0</v>
      </c>
      <c r="B679" s="0" t="s">
        <v>713</v>
      </c>
    </row>
    <row r="680" customFormat="false" ht="15" hidden="false" customHeight="false" outlineLevel="0" collapsed="false">
      <c r="A680" s="0" t="n">
        <f aca="false">_xlfn.CHISQ.DIST(0,1,FALSE())</f>
        <v>0</v>
      </c>
      <c r="B680" s="0" t="s">
        <v>714</v>
      </c>
    </row>
    <row r="681" customFormat="false" ht="15" hidden="false" customHeight="false" outlineLevel="0" collapsed="false">
      <c r="A681" s="0" t="n">
        <f aca="false">_xlfn.CHISQ.INV(0.5,4)</f>
        <v>3.35669398003332</v>
      </c>
      <c r="B681" s="0" t="s">
        <v>715</v>
      </c>
    </row>
    <row r="682" customFormat="false" ht="15" hidden="false" customHeight="false" outlineLevel="0" collapsed="false">
      <c r="A682" s="0" t="n">
        <f aca="false">_xlfn.CHISQ.INV.RT(0.05,4)</f>
        <v>9.48772903678116</v>
      </c>
      <c r="B682" s="0" t="s">
        <v>716</v>
      </c>
    </row>
    <row r="683" customFormat="false" ht="15" hidden="false" customHeight="false" outlineLevel="0" collapsed="false">
      <c r="A683" s="0" t="n">
        <f aca="false">CHIINV(0.05,4)</f>
        <v>9.48772903678116</v>
      </c>
      <c r="B683" s="0" t="s">
        <v>717</v>
      </c>
    </row>
    <row r="684" customFormat="false" ht="15" hidden="false" customHeight="false" outlineLevel="0" collapsed="false">
      <c r="A684" s="0" t="n">
        <f aca="false">CHIINV(0.5,1)</f>
        <v>0.454936423119572</v>
      </c>
      <c r="B684" s="0" t="s">
        <v>718</v>
      </c>
    </row>
    <row r="685" customFormat="false" ht="15" hidden="false" customHeight="false" outlineLevel="0" collapsed="false">
      <c r="A685" s="0" t="n">
        <f aca="false">_xlfn.CHISQ.INV(0,4)</f>
        <v>0</v>
      </c>
      <c r="B685" s="0" t="s">
        <v>719</v>
      </c>
    </row>
    <row r="686" customFormat="false" ht="15" hidden="false" customHeight="false" outlineLevel="0" collapsed="false">
      <c r="A686" s="0" t="e">
        <f aca="false">_xlfn.CHISQ.INV(1,4)</f>
        <v>#VALUE!</v>
      </c>
      <c r="B686" s="0" t="s">
        <v>720</v>
      </c>
    </row>
    <row r="687" customFormat="false" ht="15" hidden="false" customHeight="false" outlineLevel="0" collapsed="false">
      <c r="A687" s="0" t="e">
        <f aca="false">CHIINV(1.5,4)</f>
        <v>#VALUE!</v>
      </c>
      <c r="B687" s="0" t="s">
        <v>721</v>
      </c>
    </row>
    <row r="688" customFormat="false" ht="15" hidden="false" customHeight="false" outlineLevel="0" collapsed="false">
      <c r="A688" s="0" t="e">
        <f aca="false">CHIINV(0.5,0)</f>
        <v>#VALUE!</v>
      </c>
      <c r="B688" s="0" t="s">
        <v>722</v>
      </c>
    </row>
    <row r="689" customFormat="false" ht="15" hidden="false" customHeight="false" outlineLevel="0" collapsed="false">
      <c r="A689" s="0" t="n">
        <f aca="false">_xlfn.CHISQ.INV(0.99,30)</f>
        <v>50.8921813115171</v>
      </c>
      <c r="B689" s="0" t="s">
        <v>723</v>
      </c>
    </row>
    <row r="690" customFormat="false" ht="15" hidden="false" customHeight="false" outlineLevel="0" collapsed="false">
      <c r="A690" s="0" t="n">
        <f aca="false">_xlfn.CHISQ.TEST(Data!H1:H5,Data!I1:I5)</f>
        <v>3.23570606371721E-016</v>
      </c>
      <c r="B690" s="0" t="s">
        <v>724</v>
      </c>
    </row>
    <row r="691" customFormat="false" ht="15" hidden="false" customHeight="false" outlineLevel="0" collapsed="false">
      <c r="A691" s="0" t="n">
        <f aca="false">CHITEST(Data!H1:H5,Data!K1:K5)</f>
        <v>0.184701729813587</v>
      </c>
      <c r="B691" s="0" t="s">
        <v>725</v>
      </c>
    </row>
    <row r="692" customFormat="false" ht="15" hidden="false" customHeight="false" outlineLevel="0" collapsed="false">
      <c r="A692" s="0" t="e">
        <f aca="false">CHITEST(Data!A1:A2,Data!A1:A3)</f>
        <v>#VALUE!</v>
      </c>
      <c r="B692" s="0" t="s">
        <v>726</v>
      </c>
    </row>
    <row r="693" customFormat="false" ht="15" hidden="false" customHeight="false" outlineLevel="0" collapsed="false">
      <c r="A693" s="0" t="n">
        <f aca="false">_xlfn.T.DIST(1.5,10,TRUE())</f>
        <v>0.91774633677728</v>
      </c>
      <c r="B693" s="0" t="s">
        <v>727</v>
      </c>
    </row>
    <row r="694" customFormat="false" ht="15" hidden="false" customHeight="false" outlineLevel="0" collapsed="false">
      <c r="A694" s="0" t="n">
        <f aca="false">_xlfn.T.DIST(1.5,10,FALSE())</f>
        <v>0.127444794287092</v>
      </c>
      <c r="B694" s="0" t="s">
        <v>728</v>
      </c>
    </row>
    <row r="695" customFormat="false" ht="15" hidden="false" customHeight="false" outlineLevel="0" collapsed="false">
      <c r="A695" s="0" t="n">
        <f aca="false">_xlfn.T.DIST(-1.5,10,TRUE())</f>
        <v>0.0822536632227202</v>
      </c>
      <c r="B695" s="0" t="s">
        <v>729</v>
      </c>
    </row>
    <row r="696" customFormat="false" ht="15" hidden="false" customHeight="false" outlineLevel="0" collapsed="false">
      <c r="A696" s="0" t="n">
        <f aca="false">_xlfn.T.DIST(0.3,1,TRUE())</f>
        <v>0.592773579077742</v>
      </c>
      <c r="B696" s="0" t="s">
        <v>730</v>
      </c>
    </row>
    <row r="697" customFormat="false" ht="15" hidden="false" customHeight="false" outlineLevel="0" collapsed="false">
      <c r="A697" s="0" t="e">
        <f aca="false">_xlfn.T.DIST(2,0,TRUE())</f>
        <v>#VALUE!</v>
      </c>
      <c r="B697" s="0" t="s">
        <v>731</v>
      </c>
    </row>
    <row r="698" customFormat="false" ht="15" hidden="false" customHeight="false" outlineLevel="0" collapsed="false">
      <c r="A698" s="0" t="n">
        <f aca="false">_xlfn.T.DIST(2,3.7,TRUE())</f>
        <v>0.930337015720578</v>
      </c>
      <c r="B698" s="0" t="s">
        <v>732</v>
      </c>
    </row>
    <row r="699" customFormat="false" ht="15" hidden="false" customHeight="false" outlineLevel="0" collapsed="false">
      <c r="A699" s="0" t="n">
        <f aca="false">_xlfn.T.DIST.RT(1.5,10)</f>
        <v>0.0822536632227202</v>
      </c>
      <c r="B699" s="0" t="s">
        <v>733</v>
      </c>
    </row>
    <row r="700" customFormat="false" ht="15" hidden="false" customHeight="false" outlineLevel="0" collapsed="false">
      <c r="A700" s="0" t="n">
        <f aca="false">_xlfn.T.DIST.RT(-1.5,10)</f>
        <v>0.91774633677728</v>
      </c>
      <c r="B700" s="0" t="s">
        <v>734</v>
      </c>
    </row>
    <row r="701" customFormat="false" ht="15" hidden="false" customHeight="false" outlineLevel="0" collapsed="false">
      <c r="A701" s="0" t="n">
        <f aca="false">_xlfn.T.DIST.2T(1.5,10)</f>
        <v>0.16450732644544</v>
      </c>
      <c r="B701" s="0" t="s">
        <v>735</v>
      </c>
    </row>
    <row r="702" customFormat="false" ht="15" hidden="false" customHeight="false" outlineLevel="0" collapsed="false">
      <c r="A702" s="0" t="e">
        <f aca="false">_xlfn.T.DIST.2T(-1.5,10)</f>
        <v>#VALUE!</v>
      </c>
      <c r="B702" s="0" t="s">
        <v>736</v>
      </c>
    </row>
    <row r="703" customFormat="false" ht="15" hidden="false" customHeight="false" outlineLevel="0" collapsed="false">
      <c r="A703" s="0" t="n">
        <f aca="false">_xlfn.T.DIST.2T(0,10)</f>
        <v>1</v>
      </c>
      <c r="B703" s="0" t="s">
        <v>737</v>
      </c>
    </row>
    <row r="704" customFormat="false" ht="15" hidden="false" customHeight="false" outlineLevel="0" collapsed="false">
      <c r="A704" s="0" t="n">
        <f aca="false">TDIST(1.5,10,1)</f>
        <v>0.0822536632227202</v>
      </c>
      <c r="B704" s="0" t="s">
        <v>738</v>
      </c>
    </row>
    <row r="705" customFormat="false" ht="15" hidden="false" customHeight="false" outlineLevel="0" collapsed="false">
      <c r="A705" s="0" t="n">
        <f aca="false">TDIST(1.5,10,2)</f>
        <v>0.16450732644544</v>
      </c>
      <c r="B705" s="0" t="s">
        <v>739</v>
      </c>
    </row>
    <row r="706" customFormat="false" ht="15" hidden="false" customHeight="false" outlineLevel="0" collapsed="false">
      <c r="A706" s="0" t="e">
        <f aca="false">TDIST(-1.5,10,2)</f>
        <v>#VALUE!</v>
      </c>
      <c r="B706" s="0" t="s">
        <v>740</v>
      </c>
    </row>
    <row r="707" customFormat="false" ht="15" hidden="false" customHeight="false" outlineLevel="0" collapsed="false">
      <c r="A707" s="0" t="e">
        <f aca="false">TDIST(1.5,10,3)</f>
        <v>#VALUE!</v>
      </c>
      <c r="B707" s="0" t="s">
        <v>741</v>
      </c>
    </row>
    <row r="708" customFormat="false" ht="15" hidden="false" customHeight="false" outlineLevel="0" collapsed="false">
      <c r="A708" s="0" t="e">
        <f aca="false">TDIST(1.5,0,1)</f>
        <v>#VALUE!</v>
      </c>
      <c r="B708" s="0" t="s">
        <v>742</v>
      </c>
    </row>
    <row r="709" customFormat="false" ht="15" hidden="false" customHeight="false" outlineLevel="0" collapsed="false">
      <c r="A709" s="0" t="n">
        <f aca="false">TDIST(1.5,10.9,2)</f>
        <v>0.16450732644544</v>
      </c>
      <c r="B709" s="0" t="s">
        <v>743</v>
      </c>
    </row>
    <row r="710" customFormat="false" ht="15" hidden="false" customHeight="false" outlineLevel="0" collapsed="false">
      <c r="A710" s="0" t="n">
        <f aca="false">_xlfn.T.INV(0.9,10)</f>
        <v>1.37218364111034</v>
      </c>
      <c r="B710" s="0" t="s">
        <v>744</v>
      </c>
    </row>
    <row r="711" customFormat="false" ht="15" hidden="false" customHeight="false" outlineLevel="0" collapsed="false">
      <c r="A711" s="0" t="n">
        <f aca="false">_xlfn.T.INV(0.1,10)</f>
        <v>-1.37218364111034</v>
      </c>
      <c r="B711" s="0" t="s">
        <v>745</v>
      </c>
    </row>
    <row r="712" customFormat="false" ht="15" hidden="false" customHeight="false" outlineLevel="0" collapsed="false">
      <c r="A712" s="0" t="n">
        <f aca="false">_xlfn.T.INV(0.5,10)</f>
        <v>0</v>
      </c>
      <c r="B712" s="0" t="s">
        <v>746</v>
      </c>
    </row>
    <row r="713" customFormat="false" ht="15" hidden="false" customHeight="false" outlineLevel="0" collapsed="false">
      <c r="A713" s="0" t="n">
        <f aca="false">_xlfn.T.INV.2T(0.1,10)</f>
        <v>1.81246112281168</v>
      </c>
      <c r="B713" s="0" t="s">
        <v>747</v>
      </c>
    </row>
    <row r="714" customFormat="false" ht="15" hidden="false" customHeight="false" outlineLevel="0" collapsed="false">
      <c r="A714" s="0" t="n">
        <f aca="false">TINV(0.05,10)</f>
        <v>2.22813885198628</v>
      </c>
      <c r="B714" s="0" t="s">
        <v>748</v>
      </c>
    </row>
    <row r="715" customFormat="false" ht="15" hidden="false" customHeight="false" outlineLevel="0" collapsed="false">
      <c r="A715" s="0" t="n">
        <f aca="false">TINV(0.05,1)</f>
        <v>12.7062047361747</v>
      </c>
      <c r="B715" s="0" t="s">
        <v>749</v>
      </c>
    </row>
    <row r="716" customFormat="false" ht="15" hidden="false" customHeight="false" outlineLevel="0" collapsed="false">
      <c r="A716" s="0" t="e">
        <f aca="false">_xlfn.T.INV(0,10)</f>
        <v>#VALUE!</v>
      </c>
      <c r="B716" s="0" t="s">
        <v>750</v>
      </c>
    </row>
    <row r="717" customFormat="false" ht="15" hidden="false" customHeight="false" outlineLevel="0" collapsed="false">
      <c r="A717" s="0" t="e">
        <f aca="false">_xlfn.T.INV(1,10)</f>
        <v>#VALUE!</v>
      </c>
      <c r="B717" s="0" t="s">
        <v>751</v>
      </c>
    </row>
    <row r="718" customFormat="false" ht="15" hidden="false" customHeight="false" outlineLevel="0" collapsed="false">
      <c r="A718" s="0" t="e">
        <f aca="false">TINV(0,10)</f>
        <v>#VALUE!</v>
      </c>
      <c r="B718" s="0" t="s">
        <v>752</v>
      </c>
    </row>
    <row r="719" customFormat="false" ht="15" hidden="false" customHeight="false" outlineLevel="0" collapsed="false">
      <c r="A719" s="0" t="e">
        <f aca="false">TINV(1.5,10)</f>
        <v>#VALUE!</v>
      </c>
      <c r="B719" s="0" t="s">
        <v>753</v>
      </c>
    </row>
    <row r="720" customFormat="false" ht="15" hidden="false" customHeight="false" outlineLevel="0" collapsed="false">
      <c r="A720" s="0" t="e">
        <f aca="false">TINV(0.05,0)</f>
        <v>#VALUE!</v>
      </c>
      <c r="B720" s="0" t="s">
        <v>754</v>
      </c>
    </row>
    <row r="721" customFormat="false" ht="15" hidden="false" customHeight="false" outlineLevel="0" collapsed="false">
      <c r="A721" s="0" t="n">
        <f aca="false">_xlfn.T.INV(0.975,2.9)</f>
        <v>4.30265272974946</v>
      </c>
      <c r="B721" s="0" t="s">
        <v>755</v>
      </c>
    </row>
    <row r="722" customFormat="false" ht="15" hidden="false" customHeight="false" outlineLevel="0" collapsed="false">
      <c r="A722" s="0" t="n">
        <f aca="false">_xlfn.T.TEST(Data!A1:A8,Data!K1:K8,2,1)</f>
        <v>0.640496987540955</v>
      </c>
      <c r="B722" s="0" t="s">
        <v>756</v>
      </c>
    </row>
    <row r="723" customFormat="false" ht="15" hidden="false" customHeight="false" outlineLevel="0" collapsed="false">
      <c r="A723" s="0" t="n">
        <f aca="false">_xlfn.T.TEST(Data!A1:A8,Data!K1:K8,1,2)</f>
        <v>0.320989620951537</v>
      </c>
      <c r="B723" s="0" t="s">
        <v>757</v>
      </c>
    </row>
    <row r="724" customFormat="false" ht="15" hidden="false" customHeight="false" outlineLevel="0" collapsed="false">
      <c r="A724" s="0" t="n">
        <f aca="false">TTEST(Data!A1:A8,Data!K1:K8,2,3)</f>
        <v>0.642315165387721</v>
      </c>
      <c r="B724" s="0" t="s">
        <v>758</v>
      </c>
    </row>
    <row r="725" customFormat="false" ht="15" hidden="false" customHeight="false" outlineLevel="0" collapsed="false">
      <c r="A725" s="0" t="n">
        <f aca="false">TTEST(Data!A1:A5,Data!K1:K8,2,2)</f>
        <v>0.851389458942483</v>
      </c>
      <c r="B725" s="0" t="s">
        <v>759</v>
      </c>
    </row>
    <row r="726" customFormat="false" ht="15" hidden="false" customHeight="false" outlineLevel="0" collapsed="false">
      <c r="A726" s="0" t="n">
        <f aca="false">TTEST(Data!A1:A5,Data!K1:K8,2,3)</f>
        <v>0.86598725703785</v>
      </c>
      <c r="B726" s="0" t="s">
        <v>760</v>
      </c>
    </row>
    <row r="727" customFormat="false" ht="15" hidden="false" customHeight="false" outlineLevel="0" collapsed="false">
      <c r="A727" s="0" t="e">
        <f aca="false">TTEST(Data!A1:A5,Data!K1:K8,2,1)</f>
        <v>#VALUE!</v>
      </c>
      <c r="B727" s="0" t="s">
        <v>761</v>
      </c>
    </row>
    <row r="728" customFormat="false" ht="15" hidden="false" customHeight="false" outlineLevel="0" collapsed="false">
      <c r="A728" s="0" t="e">
        <f aca="false">TTEST(Data!A1:A8,Data!K1:K8,3,2)</f>
        <v>#VALUE!</v>
      </c>
      <c r="B728" s="0" t="s">
        <v>762</v>
      </c>
    </row>
    <row r="729" customFormat="false" ht="15" hidden="false" customHeight="false" outlineLevel="0" collapsed="false">
      <c r="A729" s="0" t="e">
        <f aca="false">TTEST(Data!A1:A8,Data!K1:K8,2,4)</f>
        <v>#VALUE!</v>
      </c>
      <c r="B729" s="0" t="s">
        <v>763</v>
      </c>
    </row>
    <row r="730" customFormat="false" ht="15" hidden="false" customHeight="false" outlineLevel="0" collapsed="false">
      <c r="A730" s="0" t="n">
        <f aca="false">_xlfn.F.DIST(2,5,8,TRUE())</f>
        <v>0.817002262774272</v>
      </c>
      <c r="B730" s="0" t="s">
        <v>764</v>
      </c>
    </row>
    <row r="731" customFormat="false" ht="15" hidden="false" customHeight="false" outlineLevel="0" collapsed="false">
      <c r="A731" s="0" t="n">
        <f aca="false">_xlfn.F.DIST(2,5,8,FALSE())</f>
        <v>0.161990921162917</v>
      </c>
      <c r="B731" s="0" t="s">
        <v>765</v>
      </c>
    </row>
    <row r="732" customFormat="false" ht="15" hidden="false" customHeight="false" outlineLevel="0" collapsed="false">
      <c r="A732" s="0" t="n">
        <f aca="false">_xlfn.F.DIST.RT(2,5,8)</f>
        <v>0.182997737225728</v>
      </c>
      <c r="B732" s="0" t="s">
        <v>766</v>
      </c>
    </row>
    <row r="733" customFormat="false" ht="15" hidden="false" customHeight="false" outlineLevel="0" collapsed="false">
      <c r="A733" s="0" t="n">
        <f aca="false">FDIST(2,5,8)</f>
        <v>0.182997737225728</v>
      </c>
      <c r="B733" s="0" t="s">
        <v>767</v>
      </c>
    </row>
    <row r="734" customFormat="false" ht="15" hidden="false" customHeight="false" outlineLevel="0" collapsed="false">
      <c r="A734" s="0" t="n">
        <f aca="false">_xlfn.F.DIST(0,5,8,TRUE())</f>
        <v>0</v>
      </c>
      <c r="B734" s="0" t="s">
        <v>768</v>
      </c>
    </row>
    <row r="735" customFormat="false" ht="15" hidden="false" customHeight="false" outlineLevel="0" collapsed="false">
      <c r="A735" s="0" t="n">
        <f aca="false">_xlfn.F.DIST(0,2,8,FALSE())</f>
        <v>1</v>
      </c>
      <c r="B735" s="0" t="s">
        <v>769</v>
      </c>
    </row>
    <row r="736" customFormat="false" ht="15" hidden="false" customHeight="false" outlineLevel="0" collapsed="false">
      <c r="A736" s="0" t="e">
        <f aca="false">_xlfn.F.DIST(-1,5,8,TRUE())</f>
        <v>#VALUE!</v>
      </c>
      <c r="B736" s="0" t="s">
        <v>770</v>
      </c>
    </row>
    <row r="737" customFormat="false" ht="15" hidden="false" customHeight="false" outlineLevel="0" collapsed="false">
      <c r="A737" s="0" t="e">
        <f aca="false">_xlfn.F.DIST(2,0,8,TRUE())</f>
        <v>#VALUE!</v>
      </c>
      <c r="B737" s="0" t="s">
        <v>771</v>
      </c>
    </row>
    <row r="738" customFormat="false" ht="15" hidden="false" customHeight="false" outlineLevel="0" collapsed="false">
      <c r="A738" s="0" t="e">
        <f aca="false">_xlfn.F.DIST(2,5,100000000000,TRUE())</f>
        <v>#VALUE!</v>
      </c>
      <c r="B738" s="0" t="s">
        <v>772</v>
      </c>
    </row>
    <row r="739" customFormat="false" ht="15" hidden="false" customHeight="false" outlineLevel="0" collapsed="false">
      <c r="A739" s="0" t="n">
        <f aca="false">_xlfn.F.DIST(2,5.9,8.9,TRUE())</f>
        <v>0.817002262774272</v>
      </c>
      <c r="B739" s="0" t="s">
        <v>773</v>
      </c>
    </row>
    <row r="740" customFormat="false" ht="15" hidden="false" customHeight="false" outlineLevel="0" collapsed="false">
      <c r="A740" s="0" t="n">
        <f aca="false">FDIST(0,5,8)</f>
        <v>1</v>
      </c>
      <c r="B740" s="0" t="s">
        <v>774</v>
      </c>
    </row>
    <row r="741" customFormat="false" ht="15" hidden="false" customHeight="false" outlineLevel="0" collapsed="false">
      <c r="A741" s="0" t="n">
        <f aca="false">_xlfn.F.INV(0.9,5,8)</f>
        <v>2.72644691539053</v>
      </c>
      <c r="B741" s="0" t="s">
        <v>775</v>
      </c>
    </row>
    <row r="742" customFormat="false" ht="15" hidden="false" customHeight="false" outlineLevel="0" collapsed="false">
      <c r="A742" s="0" t="n">
        <f aca="false">_xlfn.F.INV.RT(0.05,5,8)</f>
        <v>3.68749866634003</v>
      </c>
      <c r="B742" s="0" t="s">
        <v>776</v>
      </c>
    </row>
    <row r="743" customFormat="false" ht="15" hidden="false" customHeight="false" outlineLevel="0" collapsed="false">
      <c r="A743" s="0" t="n">
        <f aca="false">FINV(0.05,5,8)</f>
        <v>3.68749866634003</v>
      </c>
      <c r="B743" s="0" t="s">
        <v>777</v>
      </c>
    </row>
    <row r="744" customFormat="false" ht="15" hidden="false" customHeight="false" outlineLevel="0" collapsed="false">
      <c r="A744" s="0" t="e">
        <f aca="false">_xlfn.F.INV(0,5,8)</f>
        <v>#VALUE!</v>
      </c>
      <c r="B744" s="0" t="s">
        <v>778</v>
      </c>
    </row>
    <row r="745" customFormat="false" ht="15" hidden="false" customHeight="false" outlineLevel="0" collapsed="false">
      <c r="A745" s="0" t="n">
        <f aca="false">_xlfn.F.INV(1,5,8)</f>
        <v>2.37142198758024E+081</v>
      </c>
      <c r="B745" s="0" t="s">
        <v>779</v>
      </c>
    </row>
    <row r="746" customFormat="false" ht="15" hidden="false" customHeight="false" outlineLevel="0" collapsed="false">
      <c r="A746" s="0" t="e">
        <f aca="false">FINV(1.5,5,8)</f>
        <v>#VALUE!</v>
      </c>
      <c r="B746" s="0" t="s">
        <v>780</v>
      </c>
    </row>
    <row r="747" customFormat="false" ht="15" hidden="false" customHeight="false" outlineLevel="0" collapsed="false">
      <c r="A747" s="0" t="e">
        <f aca="false">FINV(0.05,0,8)</f>
        <v>#VALUE!</v>
      </c>
      <c r="B747" s="0" t="s">
        <v>781</v>
      </c>
    </row>
    <row r="748" customFormat="false" ht="15" hidden="false" customHeight="false" outlineLevel="0" collapsed="false">
      <c r="A748" s="0" t="n">
        <f aca="false">_xlfn.F.TEST(Data!A1:A8,Data!K1:K8)</f>
        <v>0.577652989638666</v>
      </c>
      <c r="B748" s="0" t="s">
        <v>782</v>
      </c>
    </row>
    <row r="749" customFormat="false" ht="15" hidden="false" customHeight="false" outlineLevel="0" collapsed="false">
      <c r="A749" s="0" t="n">
        <f aca="false">FTEST(Data!A1:A5,Data!K1:K8)</f>
        <v>0.37898575118785</v>
      </c>
      <c r="B749" s="0" t="s">
        <v>783</v>
      </c>
    </row>
    <row r="750" customFormat="false" ht="15" hidden="false" customHeight="false" outlineLevel="0" collapsed="false">
      <c r="A750" s="0" t="e">
        <f aca="false">FTEST(Data!A1,Data!K1:K8)</f>
        <v>#VALUE!</v>
      </c>
      <c r="B750" s="0" t="s">
        <v>784</v>
      </c>
    </row>
    <row r="751" customFormat="false" ht="15" hidden="false" customHeight="false" outlineLevel="0" collapsed="false">
      <c r="A751" s="0" t="n">
        <f aca="false">_xlfn.BETA.DIST(0.4,2,3,TRUE())</f>
        <v>0.5248</v>
      </c>
      <c r="B751" s="0" t="s">
        <v>785</v>
      </c>
    </row>
    <row r="752" customFormat="false" ht="15" hidden="false" customHeight="false" outlineLevel="0" collapsed="false">
      <c r="A752" s="0" t="n">
        <f aca="false">_xlfn.BETA.DIST(0.4,2,3,FALSE())</f>
        <v>1.728</v>
      </c>
      <c r="B752" s="0" t="s">
        <v>786</v>
      </c>
    </row>
    <row r="753" customFormat="false" ht="15" hidden="false" customHeight="false" outlineLevel="0" collapsed="false">
      <c r="A753" s="0" t="n">
        <f aca="false">_xlfn.BETA.DIST(5,2,3,TRUE(),1,10)</f>
        <v>0.599908550525835</v>
      </c>
      <c r="B753" s="0" t="s">
        <v>787</v>
      </c>
    </row>
    <row r="754" customFormat="false" ht="15" hidden="false" customHeight="false" outlineLevel="0" collapsed="false">
      <c r="A754" s="0" t="n">
        <f aca="false">_xlfn.BETA.DIST(5,2,3,FALSE(),1,10)</f>
        <v>0.182898948331047</v>
      </c>
      <c r="B754" s="0" t="s">
        <v>788</v>
      </c>
    </row>
    <row r="755" customFormat="false" ht="15" hidden="false" customHeight="false" outlineLevel="0" collapsed="false">
      <c r="A755" s="0" t="n">
        <f aca="false">BETADIST(0.4,2,3)</f>
        <v>0.5248</v>
      </c>
      <c r="B755" s="0" t="s">
        <v>789</v>
      </c>
    </row>
    <row r="756" customFormat="false" ht="15" hidden="false" customHeight="false" outlineLevel="0" collapsed="false">
      <c r="A756" s="0" t="n">
        <f aca="false">BETADIST(5,2,3,1,10)</f>
        <v>0.599908550525835</v>
      </c>
      <c r="B756" s="0" t="s">
        <v>790</v>
      </c>
    </row>
    <row r="757" customFormat="false" ht="15" hidden="false" customHeight="false" outlineLevel="0" collapsed="false">
      <c r="A757" s="0" t="n">
        <f aca="false">_xlfn.BETA.DIST(0,2,3,TRUE())</f>
        <v>0</v>
      </c>
      <c r="B757" s="0" t="s">
        <v>791</v>
      </c>
    </row>
    <row r="758" customFormat="false" ht="15" hidden="false" customHeight="false" outlineLevel="0" collapsed="false">
      <c r="A758" s="0" t="n">
        <f aca="false">_xlfn.BETA.DIST(1,2,3,TRUE())</f>
        <v>1</v>
      </c>
      <c r="B758" s="0" t="s">
        <v>792</v>
      </c>
    </row>
    <row r="759" customFormat="false" ht="15" hidden="false" customHeight="false" outlineLevel="0" collapsed="false">
      <c r="A759" s="0" t="n">
        <f aca="false">_xlfn.BETA.DIST(0,1,3,FALSE())</f>
        <v>3</v>
      </c>
      <c r="B759" s="0" t="s">
        <v>793</v>
      </c>
    </row>
    <row r="760" customFormat="false" ht="15" hidden="false" customHeight="false" outlineLevel="0" collapsed="false">
      <c r="A760" s="0" t="e">
        <f aca="false">_xlfn.BETA.DIST(1.5,2,3,TRUE())</f>
        <v>#VALUE!</v>
      </c>
      <c r="B760" s="0" t="s">
        <v>794</v>
      </c>
    </row>
    <row r="761" customFormat="false" ht="15" hidden="false" customHeight="false" outlineLevel="0" collapsed="false">
      <c r="A761" s="0" t="e">
        <f aca="false">_xlfn.BETA.DIST(0.4,0,3,TRUE())</f>
        <v>#VALUE!</v>
      </c>
      <c r="B761" s="0" t="s">
        <v>795</v>
      </c>
    </row>
    <row r="762" customFormat="false" ht="15" hidden="false" customHeight="false" outlineLevel="0" collapsed="false">
      <c r="A762" s="0" t="e">
        <f aca="false">_xlfn.BETA.DIST(0.4,2,3,TRUE(),1,1)</f>
        <v>#VALUE!</v>
      </c>
      <c r="B762" s="0" t="s">
        <v>796</v>
      </c>
    </row>
    <row r="763" customFormat="false" ht="15" hidden="false" customHeight="false" outlineLevel="0" collapsed="false">
      <c r="A763" s="0" t="e">
        <f aca="false">BETADIST(0.4,2,3,0.5,0.3)</f>
        <v>#VALUE!</v>
      </c>
      <c r="B763" s="0" t="s">
        <v>797</v>
      </c>
    </row>
    <row r="764" customFormat="false" ht="15" hidden="false" customHeight="false" outlineLevel="0" collapsed="false">
      <c r="A764" s="0" t="n">
        <f aca="false">_xlfn.BETA.INV(0.5,2,3)</f>
        <v>0.38572756813239</v>
      </c>
      <c r="B764" s="0" t="s">
        <v>798</v>
      </c>
    </row>
    <row r="765" customFormat="false" ht="15" hidden="false" customHeight="false" outlineLevel="0" collapsed="false">
      <c r="A765" s="0" t="n">
        <f aca="false">BETAINV(0.9,2,3,1,10)</f>
        <v>7.11585474650364</v>
      </c>
      <c r="B765" s="0" t="s">
        <v>799</v>
      </c>
    </row>
    <row r="766" customFormat="false" ht="15" hidden="false" customHeight="false" outlineLevel="0" collapsed="false">
      <c r="A766" s="0" t="n">
        <f aca="false">_xlfn.BETA.INV(0,2,3)</f>
        <v>0</v>
      </c>
      <c r="B766" s="0" t="s">
        <v>800</v>
      </c>
    </row>
    <row r="767" customFormat="false" ht="15" hidden="false" customHeight="false" outlineLevel="0" collapsed="false">
      <c r="A767" s="0" t="n">
        <f aca="false">_xlfn.BETA.INV(1,2,3)</f>
        <v>1</v>
      </c>
      <c r="B767" s="0" t="s">
        <v>801</v>
      </c>
    </row>
    <row r="768" customFormat="false" ht="15" hidden="false" customHeight="false" outlineLevel="0" collapsed="false">
      <c r="A768" s="0" t="e">
        <f aca="false">BETAINV(1.5,2,3)</f>
        <v>#VALUE!</v>
      </c>
      <c r="B768" s="0" t="s">
        <v>802</v>
      </c>
    </row>
    <row r="769" customFormat="false" ht="15" hidden="false" customHeight="false" outlineLevel="0" collapsed="false">
      <c r="A769" s="0" t="e">
        <f aca="false">BETAINV(0.5,0,3)</f>
        <v>#VALUE!</v>
      </c>
      <c r="B769" s="0" t="s">
        <v>803</v>
      </c>
    </row>
    <row r="770" customFormat="false" ht="15" hidden="false" customHeight="false" outlineLevel="0" collapsed="false">
      <c r="A770" s="0" t="e">
        <f aca="false">BETAINV(0.5,2,3,1,1)</f>
        <v>#VALUE!</v>
      </c>
      <c r="B770" s="0" t="s">
        <v>804</v>
      </c>
    </row>
    <row r="771" customFormat="false" ht="15" hidden="false" customHeight="false" outlineLevel="0" collapsed="false">
      <c r="A771" s="0" t="n">
        <f aca="false">_xlfn.LOGNORM.DIST(4,1.3,0.7,TRUE())</f>
        <v>0.549056384192777</v>
      </c>
      <c r="B771" s="0" t="s">
        <v>805</v>
      </c>
    </row>
    <row r="772" customFormat="false" ht="15" hidden="false" customHeight="false" outlineLevel="0" collapsed="false">
      <c r="A772" s="0" t="n">
        <f aca="false">_xlfn.LOGNORM.DIST(4,1.3,0.7,FALSE())</f>
        <v>0.141400832079415</v>
      </c>
      <c r="B772" s="0" t="s">
        <v>806</v>
      </c>
    </row>
    <row r="773" customFormat="false" ht="15" hidden="false" customHeight="false" outlineLevel="0" collapsed="false">
      <c r="A773" s="0" t="n">
        <f aca="false">LOGNORMDIST(4,1.3,0.7)</f>
        <v>0.549056384192777</v>
      </c>
      <c r="B773" s="0" t="s">
        <v>807</v>
      </c>
    </row>
    <row r="774" customFormat="false" ht="15" hidden="false" customHeight="false" outlineLevel="0" collapsed="false">
      <c r="A774" s="0" t="n">
        <f aca="false">_xlfn.LOGNORM.DIST(0,1.3,0.7,TRUE())</f>
        <v>0</v>
      </c>
      <c r="B774" s="0" t="s">
        <v>808</v>
      </c>
    </row>
    <row r="775" customFormat="false" ht="15" hidden="false" customHeight="false" outlineLevel="0" collapsed="false">
      <c r="A775" s="0" t="n">
        <f aca="false">_xlfn.LOGNORM.DIST(-1,1.3,0.7,TRUE())</f>
        <v>0</v>
      </c>
      <c r="B775" s="0" t="s">
        <v>809</v>
      </c>
    </row>
    <row r="776" customFormat="false" ht="15" hidden="false" customHeight="false" outlineLevel="0" collapsed="false">
      <c r="A776" s="0" t="e">
        <f aca="false">_xlfn.LOGNORM.DIST(4,1.3,0,TRUE())</f>
        <v>#VALUE!</v>
      </c>
      <c r="B776" s="0" t="s">
        <v>810</v>
      </c>
    </row>
    <row r="777" customFormat="false" ht="15" hidden="false" customHeight="false" outlineLevel="0" collapsed="false">
      <c r="A777" s="0" t="n">
        <f aca="false">_xlfn.LOGNORM.INV(0.5,1.3,0.7)</f>
        <v>3.66929666761924</v>
      </c>
      <c r="B777" s="0" t="s">
        <v>811</v>
      </c>
    </row>
    <row r="778" customFormat="false" ht="15" hidden="false" customHeight="false" outlineLevel="0" collapsed="false">
      <c r="A778" s="0" t="n">
        <f aca="false">LOGINV(0.9,0,1)</f>
        <v>3.60222447927916</v>
      </c>
      <c r="B778" s="0" t="s">
        <v>812</v>
      </c>
    </row>
    <row r="779" customFormat="false" ht="15" hidden="false" customHeight="false" outlineLevel="0" collapsed="false">
      <c r="A779" s="0" t="e">
        <f aca="false">LOGINV(0,0,1)</f>
        <v>#VALUE!</v>
      </c>
      <c r="B779" s="0" t="s">
        <v>813</v>
      </c>
    </row>
    <row r="780" customFormat="false" ht="15" hidden="false" customHeight="false" outlineLevel="0" collapsed="false">
      <c r="A780" s="0" t="e">
        <f aca="false">LOGINV(1,0,1)</f>
        <v>#VALUE!</v>
      </c>
      <c r="B780" s="0" t="s">
        <v>814</v>
      </c>
    </row>
    <row r="781" customFormat="false" ht="15" hidden="false" customHeight="false" outlineLevel="0" collapsed="false">
      <c r="A781" s="0" t="e">
        <f aca="false">LOGINV(0.5,0,0)</f>
        <v>#VALUE!</v>
      </c>
      <c r="B781" s="0" t="s">
        <v>815</v>
      </c>
    </row>
    <row r="782" customFormat="false" ht="15" hidden="false" customHeight="false" outlineLevel="0" collapsed="false">
      <c r="A782" s="0" t="n">
        <f aca="false">_xlfn.WEIBULL.DIST(2,1.5,3,TRUE())</f>
        <v>0.419770204025327</v>
      </c>
      <c r="B782" s="0" t="s">
        <v>816</v>
      </c>
    </row>
    <row r="783" customFormat="false" ht="15" hidden="false" customHeight="false" outlineLevel="0" collapsed="false">
      <c r="A783" s="0" t="n">
        <f aca="false">_xlfn.WEIBULL.DIST(2,1.5,3,FALSE())</f>
        <v>0.236877822282856</v>
      </c>
      <c r="B783" s="0" t="s">
        <v>817</v>
      </c>
    </row>
    <row r="784" customFormat="false" ht="15" hidden="false" customHeight="false" outlineLevel="0" collapsed="false">
      <c r="A784" s="0" t="n">
        <f aca="false">WEIBULL(2,1.5,3,TRUE())</f>
        <v>0.419770204025327</v>
      </c>
      <c r="B784" s="0" t="s">
        <v>818</v>
      </c>
    </row>
    <row r="785" customFormat="false" ht="15" hidden="false" customHeight="false" outlineLevel="0" collapsed="false">
      <c r="A785" s="0" t="n">
        <f aca="false">WEIBULL(0,1.5,3,TRUE())</f>
        <v>0</v>
      </c>
      <c r="B785" s="0" t="s">
        <v>819</v>
      </c>
    </row>
    <row r="786" customFormat="false" ht="15" hidden="false" customHeight="false" outlineLevel="0" collapsed="false">
      <c r="A786" s="0" t="n">
        <f aca="false">WEIBULL(0,1,3,FALSE())</f>
        <v>0.333333333333333</v>
      </c>
      <c r="B786" s="0" t="s">
        <v>820</v>
      </c>
    </row>
    <row r="787" customFormat="false" ht="15" hidden="false" customHeight="false" outlineLevel="0" collapsed="false">
      <c r="A787" s="0" t="e">
        <f aca="false">WEIBULL(-1,1.5,3,TRUE())</f>
        <v>#VALUE!</v>
      </c>
      <c r="B787" s="0" t="s">
        <v>821</v>
      </c>
    </row>
    <row r="788" customFormat="false" ht="15" hidden="false" customHeight="false" outlineLevel="0" collapsed="false">
      <c r="A788" s="0" t="e">
        <f aca="false">WEIBULL(2,0,3,TRUE())</f>
        <v>#VALUE!</v>
      </c>
      <c r="B788" s="0" t="s">
        <v>822</v>
      </c>
    </row>
    <row r="789" customFormat="false" ht="15" hidden="false" customHeight="false" outlineLevel="0" collapsed="false">
      <c r="A789" s="0" t="e">
        <f aca="false">WEIBULL(2,1.5,0,TRUE())</f>
        <v>#VALUE!</v>
      </c>
      <c r="B789" s="0" t="s">
        <v>823</v>
      </c>
    </row>
    <row r="790" customFormat="false" ht="15" hidden="false" customHeight="false" outlineLevel="0" collapsed="false">
      <c r="A790" s="0" t="n">
        <f aca="false">_xlfn.HYPGEOM.DIST(2,5,4,12,TRUE())</f>
        <v>0.848484848484848</v>
      </c>
      <c r="B790" s="0" t="s">
        <v>824</v>
      </c>
    </row>
    <row r="791" customFormat="false" ht="15" hidden="false" customHeight="false" outlineLevel="0" collapsed="false">
      <c r="A791" s="0" t="n">
        <f aca="false">_xlfn.HYPGEOM.DIST(2,5,4,12,FALSE())</f>
        <v>0.424242424242424</v>
      </c>
      <c r="B791" s="0" t="s">
        <v>825</v>
      </c>
    </row>
    <row r="792" customFormat="false" ht="15" hidden="false" customHeight="false" outlineLevel="0" collapsed="false">
      <c r="A792" s="0" t="n">
        <f aca="false">_xlfn.HYPGEOM.DIST(2,5,4,12,0)</f>
        <v>0.424242424242424</v>
      </c>
      <c r="B792" s="0" t="s">
        <v>826</v>
      </c>
    </row>
    <row r="793" customFormat="false" ht="15" hidden="false" customHeight="false" outlineLevel="0" collapsed="false">
      <c r="A793" s="0" t="n">
        <f aca="false">_xlfn.HYPGEOM.DIST(0,5,4,12,0)</f>
        <v>0.0707070707070707</v>
      </c>
      <c r="B793" s="0" t="s">
        <v>827</v>
      </c>
    </row>
    <row r="794" customFormat="false" ht="15" hidden="false" customHeight="false" outlineLevel="0" collapsed="false">
      <c r="A794" s="0" t="e">
        <f aca="false">_xlfn.HYPGEOM.DIST(6,5,4,12,0)</f>
        <v>#VALUE!</v>
      </c>
      <c r="B794" s="0" t="s">
        <v>828</v>
      </c>
    </row>
    <row r="795" customFormat="false" ht="15" hidden="false" customHeight="false" outlineLevel="0" collapsed="false">
      <c r="A795" s="0" t="e">
        <f aca="false">_xlfn.HYPGEOM.DIST(2,5,4,3,0)</f>
        <v>#VALUE!</v>
      </c>
      <c r="B795" s="0" t="s">
        <v>829</v>
      </c>
    </row>
    <row r="796" customFormat="false" ht="15" hidden="false" customHeight="false" outlineLevel="0" collapsed="false">
      <c r="A796" s="0" t="e">
        <f aca="false">_xlfn.HYPGEOM.DIST(2,5,4,2,0)</f>
        <v>#VALUE!</v>
      </c>
      <c r="B796" s="0" t="s">
        <v>830</v>
      </c>
    </row>
    <row r="797" customFormat="false" ht="15" hidden="false" customHeight="false" outlineLevel="0" collapsed="false">
      <c r="A797" s="0" t="n">
        <f aca="false">_xlfn.HYPGEOM.DIST(2.9,5.9,4.9,12.9,0)</f>
        <v>0.424242424242424</v>
      </c>
      <c r="B797" s="0" t="s">
        <v>831</v>
      </c>
    </row>
    <row r="798" customFormat="false" ht="15" hidden="false" customHeight="false" outlineLevel="0" collapsed="false">
      <c r="A798" s="0" t="n">
        <f aca="false">_xlfn.NEGBINOM.DIST(3,2,0.4,TRUE())</f>
        <v>0.66304</v>
      </c>
      <c r="B798" s="0" t="s">
        <v>832</v>
      </c>
    </row>
    <row r="799" customFormat="false" ht="15" hidden="false" customHeight="false" outlineLevel="0" collapsed="false">
      <c r="A799" s="0" t="n">
        <f aca="false">_xlfn.NEGBINOM.DIST(3,2,0.4,FALSE())</f>
        <v>0.13824</v>
      </c>
      <c r="B799" s="0" t="s">
        <v>833</v>
      </c>
    </row>
    <row r="800" customFormat="false" ht="15" hidden="false" customHeight="false" outlineLevel="0" collapsed="false">
      <c r="A800" s="0" t="n">
        <f aca="false">NEGBINOMDIST(3,2,0.4)</f>
        <v>0.13824</v>
      </c>
      <c r="B800" s="0" t="s">
        <v>834</v>
      </c>
    </row>
    <row r="801" customFormat="false" ht="15" hidden="false" customHeight="false" outlineLevel="0" collapsed="false">
      <c r="A801" s="0" t="e">
        <f aca="false">NEGBINOMDIST(0,1,0.4)</f>
        <v>#VALUE!</v>
      </c>
      <c r="B801" s="0" t="s">
        <v>835</v>
      </c>
    </row>
    <row r="802" customFormat="false" ht="15" hidden="false" customHeight="false" outlineLevel="0" collapsed="false">
      <c r="A802" s="0" t="e">
        <f aca="false">NEGBINOMDIST(-1,2,0.4)</f>
        <v>#VALUE!</v>
      </c>
      <c r="B802" s="0" t="s">
        <v>836</v>
      </c>
    </row>
    <row r="803" customFormat="false" ht="15" hidden="false" customHeight="false" outlineLevel="0" collapsed="false">
      <c r="A803" s="0" t="n">
        <f aca="false">NEGBINOMDIST(3,0,0.4)</f>
        <v>0</v>
      </c>
      <c r="B803" s="0" t="s">
        <v>837</v>
      </c>
    </row>
    <row r="804" customFormat="false" ht="15" hidden="false" customHeight="false" outlineLevel="0" collapsed="false">
      <c r="A804" s="0" t="n">
        <f aca="false">NEGBINOMDIST(3,2,0)</f>
        <v>0</v>
      </c>
      <c r="B804" s="0" t="s">
        <v>838</v>
      </c>
    </row>
    <row r="805" customFormat="false" ht="15" hidden="false" customHeight="false" outlineLevel="0" collapsed="false">
      <c r="A805" s="0" t="n">
        <f aca="false">NEGBINOMDIST(3,2,1)</f>
        <v>0</v>
      </c>
      <c r="B805" s="0" t="s">
        <v>839</v>
      </c>
    </row>
    <row r="806" customFormat="false" ht="15" hidden="false" customHeight="false" outlineLevel="0" collapsed="false">
      <c r="A806" s="0" t="n">
        <f aca="false">_xlfn.BINOM.INV(10,0.4,0.5)</f>
        <v>4</v>
      </c>
      <c r="B806" s="0" t="s">
        <v>840</v>
      </c>
    </row>
    <row r="807" customFormat="false" ht="15" hidden="false" customHeight="false" outlineLevel="0" collapsed="false">
      <c r="A807" s="0" t="n">
        <f aca="false">CRITBINOM(10,0.4,0.9)</f>
        <v>6</v>
      </c>
      <c r="B807" s="0" t="s">
        <v>841</v>
      </c>
    </row>
    <row r="808" customFormat="false" ht="15" hidden="false" customHeight="false" outlineLevel="0" collapsed="false">
      <c r="A808" s="0" t="n">
        <f aca="false">CRITBINOM(10,0.4,0)</f>
        <v>0</v>
      </c>
      <c r="B808" s="0" t="s">
        <v>842</v>
      </c>
    </row>
    <row r="809" customFormat="false" ht="15" hidden="false" customHeight="false" outlineLevel="0" collapsed="false">
      <c r="A809" s="0" t="n">
        <f aca="false">CRITBINOM(10,0.4,1)</f>
        <v>10</v>
      </c>
      <c r="B809" s="0" t="s">
        <v>843</v>
      </c>
    </row>
    <row r="810" customFormat="false" ht="15" hidden="false" customHeight="false" outlineLevel="0" collapsed="false">
      <c r="A810" s="0" t="e">
        <f aca="false">CRITBINOM(10,0.4,1.5)</f>
        <v>#VALUE!</v>
      </c>
      <c r="B810" s="0" t="s">
        <v>844</v>
      </c>
    </row>
    <row r="811" customFormat="false" ht="15" hidden="false" customHeight="false" outlineLevel="0" collapsed="false">
      <c r="A811" s="0" t="e">
        <f aca="false">CRITBINOM(-1,0.4,0.5)</f>
        <v>#VALUE!</v>
      </c>
      <c r="B811" s="0" t="s">
        <v>845</v>
      </c>
    </row>
    <row r="812" customFormat="false" ht="15" hidden="false" customHeight="false" outlineLevel="0" collapsed="false">
      <c r="A812" s="0" t="e">
        <f aca="false">CRITBINOM(10,1.5,0.5)</f>
        <v>#VALUE!</v>
      </c>
      <c r="B812" s="0" t="s">
        <v>846</v>
      </c>
    </row>
    <row r="813" customFormat="false" ht="15" hidden="false" customHeight="false" outlineLevel="0" collapsed="false">
      <c r="A813" s="0" t="n">
        <f aca="false">CRITBINOM(10.9,0.4,0.5)</f>
        <v>4</v>
      </c>
      <c r="B813" s="0" t="s">
        <v>847</v>
      </c>
    </row>
    <row r="814" customFormat="false" ht="15" hidden="false" customHeight="false" outlineLevel="0" collapsed="false">
      <c r="A814" s="0" t="n">
        <f aca="false">CRITBINOM(1000,0.5,0.999)</f>
        <v>549</v>
      </c>
      <c r="B814" s="0" t="s">
        <v>848</v>
      </c>
    </row>
    <row r="815" customFormat="false" ht="15" hidden="false" customHeight="false" outlineLevel="0" collapsed="false">
      <c r="A815" s="0" t="n">
        <f aca="false">_xlfn.CONFIDENCE.NORM(0.05,2.5,50)</f>
        <v>0.692951912174839</v>
      </c>
      <c r="B815" s="0" t="s">
        <v>849</v>
      </c>
    </row>
    <row r="816" customFormat="false" ht="15" hidden="false" customHeight="false" outlineLevel="0" collapsed="false">
      <c r="A816" s="0" t="n">
        <f aca="false">CONFIDENCE(0.05,2.5,50)</f>
        <v>0.692951912174839</v>
      </c>
      <c r="B816" s="0" t="s">
        <v>850</v>
      </c>
    </row>
    <row r="817" customFormat="false" ht="15" hidden="false" customHeight="false" outlineLevel="0" collapsed="false">
      <c r="A817" s="0" t="n">
        <f aca="false">_xlfn.CONFIDENCE.T(0.05,2.5,50)</f>
        <v>0.710492138739324</v>
      </c>
      <c r="B817" s="0" t="s">
        <v>851</v>
      </c>
    </row>
    <row r="818" customFormat="false" ht="15" hidden="false" customHeight="false" outlineLevel="0" collapsed="false">
      <c r="A818" s="0" t="e">
        <f aca="false">_xlfn.CONFIDENCE.T(0.05,2.5,1)</f>
        <v>#DIV/0!</v>
      </c>
      <c r="B818" s="0" t="s">
        <v>852</v>
      </c>
    </row>
    <row r="819" customFormat="false" ht="15" hidden="false" customHeight="false" outlineLevel="0" collapsed="false">
      <c r="A819" s="0" t="n">
        <f aca="false">_xlfn.CONFIDENCE.T(0.05,2.5,2)</f>
        <v>22.4616088302344</v>
      </c>
      <c r="B819" s="0" t="s">
        <v>853</v>
      </c>
    </row>
    <row r="820" customFormat="false" ht="15" hidden="false" customHeight="false" outlineLevel="0" collapsed="false">
      <c r="A820" s="0" t="e">
        <f aca="false">CONFIDENCE(0,2.5,50)</f>
        <v>#VALUE!</v>
      </c>
      <c r="B820" s="0" t="s">
        <v>854</v>
      </c>
    </row>
    <row r="821" customFormat="false" ht="15" hidden="false" customHeight="false" outlineLevel="0" collapsed="false">
      <c r="A821" s="0" t="e">
        <f aca="false">CONFIDENCE(1,2.5,50)</f>
        <v>#VALUE!</v>
      </c>
      <c r="B821" s="0" t="s">
        <v>855</v>
      </c>
    </row>
    <row r="822" customFormat="false" ht="15" hidden="false" customHeight="false" outlineLevel="0" collapsed="false">
      <c r="A822" s="0" t="e">
        <f aca="false">CONFIDENCE(0.05,0,50)</f>
        <v>#VALUE!</v>
      </c>
      <c r="B822" s="0" t="s">
        <v>856</v>
      </c>
    </row>
    <row r="823" customFormat="false" ht="15" hidden="false" customHeight="false" outlineLevel="0" collapsed="false">
      <c r="A823" s="0" t="e">
        <f aca="false">CONFIDENCE(0.05,2.5,0.5)</f>
        <v>#VALUE!</v>
      </c>
      <c r="B823" s="0" t="s">
        <v>857</v>
      </c>
    </row>
    <row r="824" customFormat="false" ht="15" hidden="false" customHeight="false" outlineLevel="0" collapsed="false">
      <c r="A824" s="0" t="n">
        <f aca="false">CONFIDENCE(0.05,2.5,50.9)</f>
        <v>0.692951912174839</v>
      </c>
      <c r="B824" s="0" t="s">
        <v>858</v>
      </c>
    </row>
    <row r="825" customFormat="false" ht="15" hidden="false" customHeight="false" outlineLevel="0" collapsed="false">
      <c r="A825" s="0" t="n">
        <f aca="false">_xlfn.Z.TEST(Data!A1:A8,4)</f>
        <v>0.196727492851127</v>
      </c>
      <c r="B825" s="0" t="s">
        <v>859</v>
      </c>
    </row>
    <row r="826" customFormat="false" ht="15" hidden="false" customHeight="false" outlineLevel="0" collapsed="false">
      <c r="A826" s="0" t="n">
        <f aca="false">ZTEST(Data!A1:A8,6,2)</f>
        <v>0.944194115850854</v>
      </c>
      <c r="B826" s="0" t="s">
        <v>860</v>
      </c>
    </row>
    <row r="827" customFormat="false" ht="15" hidden="false" customHeight="false" outlineLevel="0" collapsed="false">
      <c r="A827" s="0" t="e">
        <f aca="false">ZTEST(Data!A1:A8,6,0)</f>
        <v>#VALUE!</v>
      </c>
      <c r="B827" s="0" t="s">
        <v>861</v>
      </c>
    </row>
    <row r="828" customFormat="false" ht="15" hidden="false" customHeight="false" outlineLevel="0" collapsed="false">
      <c r="A828" s="0" t="e">
        <f aca="false">ZTEST(Data!A1,6)</f>
        <v>#DIV/0!</v>
      </c>
      <c r="B828" s="0" t="s">
        <v>862</v>
      </c>
    </row>
    <row r="829" customFormat="false" ht="15" hidden="false" customHeight="false" outlineLevel="0" collapsed="false">
      <c r="A829" s="0" t="n">
        <f aca="false">ZTEST(Data!H1:H5,2)</f>
        <v>0.0169474267623446</v>
      </c>
      <c r="B829" s="0" t="s">
        <v>863</v>
      </c>
    </row>
    <row r="830" customFormat="false" ht="15" hidden="false" customHeight="false" outlineLevel="0" collapsed="false">
      <c r="A830" s="0" t="e">
        <f aca="false">PROB(Data!H1:H5,Data!I1:I5,3,7)</f>
        <v>#VALUE!</v>
      </c>
      <c r="B830" s="0" t="s">
        <v>864</v>
      </c>
    </row>
    <row r="831" customFormat="false" ht="15" hidden="false" customHeight="false" outlineLevel="0" collapsed="false">
      <c r="A831" s="0" t="e">
        <f aca="false">PROB(Data!H1:H5,Data!I1:I5,3)</f>
        <v>#VALUE!</v>
      </c>
      <c r="B831" s="0" t="s">
        <v>865</v>
      </c>
    </row>
    <row r="832" customFormat="false" ht="15" hidden="false" customHeight="false" outlineLevel="0" collapsed="false">
      <c r="A832" s="0" t="e">
        <f aca="false">PROB(Data!H1:H5,Data!I1:I5,10)</f>
        <v>#VALUE!</v>
      </c>
      <c r="B832" s="0" t="s">
        <v>866</v>
      </c>
    </row>
    <row r="833" customFormat="false" ht="15" hidden="false" customHeight="false" outlineLevel="0" collapsed="false">
      <c r="A833" s="0" t="e">
        <f aca="false">PROB(Data!H1:H5,Data!A1:A5,3)</f>
        <v>#VALUE!</v>
      </c>
      <c r="B833" s="0" t="s">
        <v>867</v>
      </c>
    </row>
    <row r="834" customFormat="false" ht="15" hidden="false" customHeight="false" outlineLevel="0" collapsed="false">
      <c r="A834" s="0" t="e">
        <f aca="false">PROB(Data!H1:H5,Data!A1:A5,3,7)</f>
        <v>#VALUE!</v>
      </c>
      <c r="B834" s="0" t="s">
        <v>868</v>
      </c>
    </row>
    <row r="835" customFormat="false" ht="15" hidden="false" customHeight="false" outlineLevel="0" collapsed="false">
      <c r="A835" s="0" t="e">
        <f aca="false">PROB(Data!H1:H3,Data!I1:I5,3)</f>
        <v>#N/A</v>
      </c>
      <c r="B835" s="0" t="s">
        <v>869</v>
      </c>
    </row>
    <row r="836" customFormat="false" ht="15" hidden="false" customHeight="false" outlineLevel="0" collapsed="false">
      <c r="A836" s="0" t="e">
        <f aca="false">PROB(Data!H1:H5,Data!I1:I5,7,3)</f>
        <v>#VALUE!</v>
      </c>
      <c r="B836" s="0" t="s">
        <v>870</v>
      </c>
    </row>
    <row r="837" customFormat="false" ht="15" hidden="false" customHeight="false" outlineLevel="0" collapsed="false">
      <c r="A837" s="0" t="e">
        <f aca="false">PROB(Data!H1:H5,Data!K1:K5,3,7)</f>
        <v>#VALUE!</v>
      </c>
      <c r="B837" s="0" t="s">
        <v>871</v>
      </c>
    </row>
    <row r="838" customFormat="false" ht="15" hidden="false" customHeight="false" outlineLevel="0" collapsed="false">
      <c r="A838" s="0" t="n">
        <f aca="false">B(10,0.4,3)</f>
        <v>0.214990848</v>
      </c>
      <c r="B838" s="0" t="s">
        <v>872</v>
      </c>
    </row>
    <row r="839" customFormat="false" ht="15" hidden="false" customHeight="false" outlineLevel="0" collapsed="false">
      <c r="A839" s="0" t="n">
        <f aca="false">B(10,0.4,3,5)</f>
        <v>0.6664716288</v>
      </c>
      <c r="B839" s="0" t="s">
        <v>873</v>
      </c>
    </row>
    <row r="840" customFormat="false" ht="15" hidden="false" customHeight="false" outlineLevel="0" collapsed="false">
      <c r="A840" s="0" t="e">
        <f aca="false">B(10,0.4,5,3)</f>
        <v>#VALUE!</v>
      </c>
      <c r="B840" s="0" t="s">
        <v>874</v>
      </c>
    </row>
    <row r="841" customFormat="false" ht="15" hidden="false" customHeight="false" outlineLevel="0" collapsed="false">
      <c r="A841" s="0" t="e">
        <f aca="false">B(10,0.4,11)</f>
        <v>#VALUE!</v>
      </c>
      <c r="B841" s="0" t="s">
        <v>875</v>
      </c>
    </row>
    <row r="842" customFormat="false" ht="15" hidden="false" customHeight="false" outlineLevel="0" collapsed="false">
      <c r="A842" s="0" t="e">
        <f aca="false">B(10,1.5,3)</f>
        <v>#VALUE!</v>
      </c>
      <c r="B842" s="0" t="s">
        <v>876</v>
      </c>
    </row>
    <row r="843" customFormat="false" ht="15" hidden="false" customHeight="false" outlineLevel="0" collapsed="false">
      <c r="A843" s="0" t="e">
        <f aca="false">B(10,0.4,3,11)</f>
        <v>#VALUE!</v>
      </c>
      <c r="B843" s="0" t="s">
        <v>877</v>
      </c>
    </row>
    <row r="844" customFormat="false" ht="15" hidden="false" customHeight="false" outlineLevel="0" collapsed="false">
      <c r="A844" s="0" t="e">
        <f aca="false">B(10,0.4,-1)</f>
        <v>#VALUE!</v>
      </c>
      <c r="B844" s="0" t="s">
        <v>878</v>
      </c>
    </row>
    <row r="845" customFormat="false" ht="15" hidden="false" customHeight="false" outlineLevel="0" collapsed="false">
      <c r="A845" s="0" t="n">
        <f aca="false">_xlfn.T.DIST(2,100,TRUE())</f>
        <v>0.975893910634433</v>
      </c>
      <c r="B845" s="0" t="s">
        <v>879</v>
      </c>
    </row>
    <row r="846" customFormat="false" ht="15" hidden="false" customHeight="false" outlineLevel="0" collapsed="false">
      <c r="A846" s="0" t="n">
        <f aca="false">_xlfn.T.DIST(2,1000,TRUE())</f>
        <v>0.977114826753375</v>
      </c>
      <c r="B846" s="0" t="s">
        <v>880</v>
      </c>
    </row>
    <row r="847" customFormat="false" ht="15" hidden="false" customHeight="false" outlineLevel="0" collapsed="false">
      <c r="A847" s="0" t="n">
        <f aca="false">_xlfn.T.DIST(2,10000,TRUE())</f>
        <v>0.97723636966929</v>
      </c>
      <c r="B847" s="0" t="s">
        <v>881</v>
      </c>
    </row>
    <row r="848" customFormat="false" ht="15" hidden="false" customHeight="false" outlineLevel="0" collapsed="false">
      <c r="A848" s="0" t="n">
        <f aca="false">_xlfn.T.DIST(2,100000,TRUE())</f>
        <v>0.977248518271081</v>
      </c>
      <c r="B848" s="0" t="s">
        <v>882</v>
      </c>
    </row>
    <row r="849" customFormat="false" ht="15" hidden="false" customHeight="false" outlineLevel="0" collapsed="false">
      <c r="A849" s="0" t="n">
        <f aca="false">_xlfn.T.DIST(2,1000000,TRUE())</f>
        <v>0.97724973307442</v>
      </c>
      <c r="B849" s="0" t="s">
        <v>883</v>
      </c>
    </row>
    <row r="850" customFormat="false" ht="15" hidden="false" customHeight="false" outlineLevel="0" collapsed="false">
      <c r="A850" s="0" t="n">
        <f aca="false">_xlfn.T.DIST(2,10000000,TRUE())</f>
        <v>0.97724985455926</v>
      </c>
      <c r="B850" s="0" t="s">
        <v>884</v>
      </c>
    </row>
    <row r="851" customFormat="false" ht="15" hidden="false" customHeight="false" outlineLevel="0" collapsed="false">
      <c r="A851" s="0" t="n">
        <f aca="false">_xlfn.CHISQ.DIST(1000,1000,TRUE())</f>
        <v>0.505947146170733</v>
      </c>
      <c r="B851" s="0" t="s">
        <v>885</v>
      </c>
    </row>
    <row r="852" customFormat="false" ht="15" hidden="false" customHeight="false" outlineLevel="0" collapsed="false">
      <c r="A852" s="0" t="n">
        <f aca="false">_xlfn.CHISQ.DIST(100000,100000,TRUE())</f>
        <v>0.500594708124668</v>
      </c>
      <c r="B852" s="0" t="s">
        <v>886</v>
      </c>
    </row>
    <row r="853" customFormat="false" ht="15" hidden="false" customHeight="false" outlineLevel="0" collapsed="false">
      <c r="A853" s="0" t="e">
        <f aca="false">_xlfn.CHISQ.DIST(10000000,10000000,TRUE())</f>
        <v>#N/A</v>
      </c>
      <c r="B853" s="0" t="s">
        <v>887</v>
      </c>
    </row>
    <row r="854" customFormat="false" ht="15" hidden="false" customHeight="false" outlineLevel="0" collapsed="false">
      <c r="A854" s="0" t="e">
        <f aca="false">_xlfn.CHISQ.DIST(1000000000,1000000000,TRUE())</f>
        <v>#N/A</v>
      </c>
      <c r="B854" s="0" t="s">
        <v>888</v>
      </c>
    </row>
    <row r="855" customFormat="false" ht="15" hidden="false" customHeight="false" outlineLevel="0" collapsed="false">
      <c r="A855" s="0" t="e">
        <f aca="false">_xlfn.CHISQ.DIST(10000000000,10000000000,TRUE())</f>
        <v>#N/A</v>
      </c>
      <c r="B855" s="0" t="s">
        <v>889</v>
      </c>
    </row>
    <row r="856" customFormat="false" ht="15" hidden="false" customHeight="false" outlineLevel="0" collapsed="false">
      <c r="A856" s="0" t="n">
        <f aca="false">_xlfn.F.DIST(2,1000,1000,TRUE())</f>
        <v>1</v>
      </c>
      <c r="B856" s="0" t="s">
        <v>890</v>
      </c>
    </row>
    <row r="857" customFormat="false" ht="15" hidden="false" customHeight="false" outlineLevel="0" collapsed="false">
      <c r="A857" s="0" t="n">
        <f aca="false">_xlfn.F.DIST(2,100000,100000,TRUE())</f>
        <v>1</v>
      </c>
      <c r="B857" s="0" t="s">
        <v>891</v>
      </c>
    </row>
    <row r="858" customFormat="false" ht="15" hidden="false" customHeight="false" outlineLevel="0" collapsed="false">
      <c r="A858" s="0" t="n">
        <f aca="false">_xlfn.F.DIST(2,10000000,10000000,TRUE())</f>
        <v>1</v>
      </c>
      <c r="B858" s="0" t="s">
        <v>892</v>
      </c>
    </row>
    <row r="859" customFormat="false" ht="15" hidden="false" customHeight="false" outlineLevel="0" collapsed="false">
      <c r="A859" s="0" t="e">
        <f aca="false">_xlfn.F.DIST(2,5,10000000000,TRUE())</f>
        <v>#VALUE!</v>
      </c>
      <c r="B859" s="0" t="s">
        <v>893</v>
      </c>
    </row>
    <row r="860" customFormat="false" ht="15" hidden="false" customHeight="false" outlineLevel="0" collapsed="false">
      <c r="A860" s="0" t="e">
        <f aca="false">_xlfn.CHISQ.DIST(3,10000000001,TRUE())</f>
        <v>#VALUE!</v>
      </c>
      <c r="B860" s="0" t="s">
        <v>894</v>
      </c>
    </row>
    <row r="861" customFormat="false" ht="15" hidden="false" customHeight="false" outlineLevel="0" collapsed="false">
      <c r="A861" s="0" t="n">
        <f aca="false">CHIDIST(3,10000000000)</f>
        <v>1</v>
      </c>
      <c r="B861" s="0" t="s">
        <v>895</v>
      </c>
    </row>
    <row r="862" customFormat="false" ht="15" hidden="false" customHeight="false" outlineLevel="0" collapsed="false">
      <c r="A862" s="0" t="n">
        <f aca="false">CHIDIST(3,10000000001)</f>
        <v>1</v>
      </c>
      <c r="B862" s="0" t="s">
        <v>896</v>
      </c>
    </row>
    <row r="863" customFormat="false" ht="15" hidden="false" customHeight="false" outlineLevel="0" collapsed="false">
      <c r="A863" s="0" t="n">
        <f aca="false">_xlfn.CHISQ.DIST.RT(3,10000000001)</f>
        <v>1</v>
      </c>
      <c r="B863" s="0" t="s">
        <v>897</v>
      </c>
    </row>
    <row r="864" customFormat="false" ht="15" hidden="false" customHeight="false" outlineLevel="0" collapsed="false">
      <c r="A864" s="0" t="e">
        <f aca="false">_xlfn.CHISQ.INV(0.5,10000000001)</f>
        <v>#N/A</v>
      </c>
      <c r="B864" s="0" t="s">
        <v>898</v>
      </c>
    </row>
    <row r="865" customFormat="false" ht="15" hidden="false" customHeight="false" outlineLevel="0" collapsed="false">
      <c r="A865" s="0" t="e">
        <f aca="false">CHIINV(0.5,10000000001)</f>
        <v>#N/A</v>
      </c>
      <c r="B865" s="0" t="s">
        <v>899</v>
      </c>
    </row>
    <row r="866" customFormat="false" ht="15" hidden="false" customHeight="false" outlineLevel="0" collapsed="false">
      <c r="A866" s="0" t="e">
        <f aca="false">_xlfn.CHISQ.INV(0.5,10000000000)</f>
        <v>#N/A</v>
      </c>
      <c r="B866" s="0" t="s">
        <v>900</v>
      </c>
    </row>
    <row r="867" customFormat="false" ht="15" hidden="false" customHeight="false" outlineLevel="0" collapsed="false">
      <c r="A867" s="0" t="e">
        <f aca="false">_xlfn.CHISQ.INV.RT(0.5,10000000000)</f>
        <v>#N/A</v>
      </c>
      <c r="B867" s="0" t="s">
        <v>901</v>
      </c>
    </row>
    <row r="868" customFormat="false" ht="15" hidden="false" customHeight="false" outlineLevel="0" collapsed="false">
      <c r="A868" s="0" t="n">
        <f aca="false">_xlfn.GAMMA.DIST(1000,1000,1,TRUE())</f>
        <v>0.504205244180185</v>
      </c>
      <c r="B868" s="0" t="s">
        <v>902</v>
      </c>
    </row>
    <row r="869" customFormat="false" ht="15" hidden="false" customHeight="false" outlineLevel="0" collapsed="false">
      <c r="A869" s="0" t="n">
        <f aca="false">_xlfn.GAMMA.DIST(100000,100000,1,TRUE())</f>
        <v>0.500420522299272</v>
      </c>
      <c r="B869" s="0" t="s">
        <v>903</v>
      </c>
    </row>
    <row r="870" customFormat="false" ht="15" hidden="false" customHeight="false" outlineLevel="0" collapsed="false">
      <c r="A870" s="0" t="e">
        <f aca="false">_xlfn.GAMMA.DIST(10000000,10000000,1,TRUE())</f>
        <v>#N/A</v>
      </c>
      <c r="B870" s="0" t="s">
        <v>904</v>
      </c>
    </row>
    <row r="871" customFormat="false" ht="15" hidden="false" customHeight="false" outlineLevel="0" collapsed="false">
      <c r="A871" s="0" t="e">
        <f aca="false">_xlfn.GAMMA.DIST(1000000000,1000000000,1,TRUE())</f>
        <v>#N/A</v>
      </c>
      <c r="B871" s="0" t="s">
        <v>905</v>
      </c>
    </row>
    <row r="872" customFormat="false" ht="15" hidden="false" customHeight="false" outlineLevel="0" collapsed="false">
      <c r="A872" s="0" t="n">
        <f aca="false">_xlfn.BETA.DIST(0.5,1000,1000,TRUE())</f>
        <v>0.500000000000009</v>
      </c>
      <c r="B872" s="0" t="s">
        <v>906</v>
      </c>
    </row>
    <row r="873" customFormat="false" ht="15" hidden="false" customHeight="false" outlineLevel="0" collapsed="false">
      <c r="A873" s="0" t="n">
        <f aca="false">_xlfn.BETA.DIST(0.5,1000000,1000000,TRUE())</f>
        <v>0.500000000033987</v>
      </c>
      <c r="B873" s="0" t="s">
        <v>907</v>
      </c>
    </row>
    <row r="874" customFormat="false" ht="15" hidden="false" customHeight="false" outlineLevel="0" collapsed="false">
      <c r="A874" s="0" t="n">
        <f aca="false">_xlfn.BETA.DIST(0.5,10000000,10000000,TRUE())</f>
        <v>0.49999999973981</v>
      </c>
      <c r="B874" s="0" t="s">
        <v>908</v>
      </c>
    </row>
    <row r="875" customFormat="false" ht="15" hidden="false" customHeight="false" outlineLevel="0" collapsed="false">
      <c r="A875" s="0" t="n">
        <f aca="false">CHIINV(1,4)</f>
        <v>0</v>
      </c>
      <c r="B875" s="0" t="s">
        <v>909</v>
      </c>
    </row>
    <row r="876" customFormat="false" ht="15" hidden="false" customHeight="false" outlineLevel="0" collapsed="false">
      <c r="A876" s="0" t="e">
        <f aca="false">CHIINV(0,4)</f>
        <v>#VALUE!</v>
      </c>
      <c r="B876" s="0" t="s">
        <v>910</v>
      </c>
    </row>
    <row r="877" customFormat="false" ht="15" hidden="false" customHeight="false" outlineLevel="0" collapsed="false">
      <c r="A877" s="0" t="n">
        <f aca="false">TINV(1,10)</f>
        <v>0</v>
      </c>
      <c r="B877" s="0" t="s">
        <v>911</v>
      </c>
    </row>
    <row r="878" customFormat="false" ht="15" hidden="false" customHeight="false" outlineLevel="0" collapsed="false">
      <c r="A878" s="0" t="n">
        <f aca="false">TINV(0.5,10)</f>
        <v>0.699812061312432</v>
      </c>
      <c r="B878" s="0" t="s">
        <v>912</v>
      </c>
    </row>
    <row r="879" customFormat="false" ht="15" hidden="false" customHeight="false" outlineLevel="0" collapsed="false">
      <c r="A879" s="0" t="n">
        <f aca="false">FINV(1,5,8)</f>
        <v>0</v>
      </c>
      <c r="B879" s="0" t="s">
        <v>913</v>
      </c>
    </row>
    <row r="880" customFormat="false" ht="15" hidden="false" customHeight="false" outlineLevel="0" collapsed="false">
      <c r="A880" s="0" t="n">
        <f aca="false">_xlfn.F.INV.RT(1,5,8)</f>
        <v>0</v>
      </c>
      <c r="B880" s="0" t="s">
        <v>914</v>
      </c>
    </row>
    <row r="881" customFormat="false" ht="15" hidden="false" customHeight="false" outlineLevel="0" collapsed="false">
      <c r="A881" s="0" t="e">
        <f aca="false">_xlfn.F.INV.RT(0,5,8)</f>
        <v>#VALUE!</v>
      </c>
      <c r="B881" s="0" t="s">
        <v>915</v>
      </c>
    </row>
    <row r="882" customFormat="false" ht="15" hidden="false" customHeight="false" outlineLevel="0" collapsed="false">
      <c r="A882" s="0" t="e">
        <f aca="false">_xlfn.BETA.DIST(0,0.5,3,FALSE())</f>
        <v>#VALUE!</v>
      </c>
      <c r="B882" s="0" t="s">
        <v>916</v>
      </c>
    </row>
    <row r="883" customFormat="false" ht="15" hidden="false" customHeight="false" outlineLevel="0" collapsed="false">
      <c r="A883" s="0" t="n">
        <f aca="false">_xlfn.BETA.DIST(1,2,1,FALSE())</f>
        <v>2</v>
      </c>
      <c r="B883" s="0" t="s">
        <v>917</v>
      </c>
    </row>
    <row r="884" customFormat="false" ht="15" hidden="false" customHeight="false" outlineLevel="0" collapsed="false">
      <c r="A884" s="0" t="e">
        <f aca="false">_xlfn.LOGNORM.DIST(0,1.3,0.7,FALSE())</f>
        <v>#VALUE!</v>
      </c>
      <c r="B884" s="0" t="s">
        <v>918</v>
      </c>
    </row>
    <row r="885" customFormat="false" ht="15" hidden="false" customHeight="false" outlineLevel="0" collapsed="false">
      <c r="A885" s="0" t="e">
        <f aca="false">_xlfn.LOGNORM.DIST(-1,1.3,0.7,FALSE())</f>
        <v>#VALUE!</v>
      </c>
      <c r="B885" s="0" t="s">
        <v>919</v>
      </c>
    </row>
    <row r="886" customFormat="false" ht="15" hidden="false" customHeight="false" outlineLevel="0" collapsed="false">
      <c r="A886" s="0" t="e">
        <f aca="false">WEIBULL(0,0.5,3,FALSE())</f>
        <v>#NUM!</v>
      </c>
      <c r="B886" s="0" t="s">
        <v>920</v>
      </c>
    </row>
    <row r="887" customFormat="false" ht="15" hidden="false" customHeight="false" outlineLevel="0" collapsed="false">
      <c r="A887" s="0" t="n">
        <f aca="false">WEIBULL(0,2,3,FALSE())</f>
        <v>0</v>
      </c>
      <c r="B887" s="0" t="s">
        <v>921</v>
      </c>
    </row>
    <row r="888" customFormat="false" ht="15" hidden="false" customHeight="false" outlineLevel="0" collapsed="false">
      <c r="A888" s="0" t="e">
        <f aca="false">_xlfn.NEGBINOM.DIST(3,0,0.4,TRUE())</f>
        <v>#VALUE!</v>
      </c>
      <c r="B888" s="0" t="s">
        <v>922</v>
      </c>
    </row>
    <row r="889" customFormat="false" ht="15" hidden="false" customHeight="false" outlineLevel="0" collapsed="false">
      <c r="A889" s="0" t="n">
        <f aca="false">_xlfn.NEGBINOM.DIST(0,2,0.4,TRUE())</f>
        <v>0.16</v>
      </c>
      <c r="B889" s="0" t="s">
        <v>923</v>
      </c>
    </row>
    <row r="890" customFormat="false" ht="15" hidden="false" customHeight="false" outlineLevel="0" collapsed="false">
      <c r="A890" s="0" t="n">
        <f aca="false">_xlfn.NEGBINOM.DIST(3.9,2.9,0.4,FALSE())</f>
        <v>0.13824</v>
      </c>
      <c r="B890" s="0" t="s">
        <v>924</v>
      </c>
    </row>
    <row r="891" customFormat="false" ht="15" hidden="false" customHeight="false" outlineLevel="0" collapsed="false">
      <c r="A891" s="0" t="n">
        <f aca="false">_xlfn.NEGBINOM.DIST(0,2,0.4,FALSE())</f>
        <v>0.16</v>
      </c>
      <c r="B891" s="0" t="s">
        <v>925</v>
      </c>
    </row>
    <row r="892" customFormat="false" ht="15" hidden="false" customHeight="false" outlineLevel="0" collapsed="false">
      <c r="A892" s="0" t="n">
        <f aca="false">_xlfn.NEGBINOM.DIST(0,2,1,FALSE())</f>
        <v>1</v>
      </c>
      <c r="B892" s="0" t="s">
        <v>926</v>
      </c>
    </row>
    <row r="893" customFormat="false" ht="15" hidden="false" customHeight="false" outlineLevel="0" collapsed="false">
      <c r="A893" s="0" t="n">
        <f aca="false">_xlfn.HYPGEOM.DIST(0,0,4,12,FALSE())</f>
        <v>1</v>
      </c>
      <c r="B893" s="0" t="s">
        <v>927</v>
      </c>
    </row>
    <row r="894" customFormat="false" ht="15" hidden="false" customHeight="false" outlineLevel="0" collapsed="false">
      <c r="A894" s="0" t="n">
        <f aca="false">_xlfn.HYPGEOM.DIST(0,0,0,12,TRUE())</f>
        <v>1</v>
      </c>
      <c r="B894" s="0" t="s">
        <v>928</v>
      </c>
    </row>
    <row r="895" customFormat="false" ht="15" hidden="false" customHeight="false" outlineLevel="0" collapsed="false">
      <c r="A895" s="0" t="n">
        <f aca="false">_xlfn.HYPGEOM.DIST(4,5,4,12,TRUE())</f>
        <v>1</v>
      </c>
      <c r="B895" s="0" t="s">
        <v>929</v>
      </c>
    </row>
    <row r="896" customFormat="false" ht="15" hidden="false" customHeight="false" outlineLevel="0" collapsed="false">
      <c r="A896" s="0" t="n">
        <f aca="false">_xlfn.HYPGEOM.DIST(1,5,4,12,TRUE())</f>
        <v>0.424242424242424</v>
      </c>
      <c r="B896" s="0" t="s">
        <v>930</v>
      </c>
    </row>
    <row r="897" customFormat="false" ht="15" hidden="false" customHeight="false" outlineLevel="0" collapsed="false">
      <c r="A897" s="0" t="n">
        <f aca="false">_xlfn.HYPGEOM.DIST(5,5,5,5,FALSE())</f>
        <v>1</v>
      </c>
      <c r="B897" s="0" t="s">
        <v>931</v>
      </c>
    </row>
    <row r="898" customFormat="false" ht="15" hidden="false" customHeight="false" outlineLevel="0" collapsed="false">
      <c r="A898" s="0" t="n">
        <f aca="false">B(0,0.4,0)</f>
        <v>1</v>
      </c>
      <c r="B898" s="0" t="s">
        <v>932</v>
      </c>
    </row>
    <row r="899" customFormat="false" ht="15" hidden="false" customHeight="false" outlineLevel="0" collapsed="false">
      <c r="A899" s="0" t="n">
        <f aca="false">B(10,0,0)</f>
        <v>1</v>
      </c>
      <c r="B899" s="0" t="s">
        <v>933</v>
      </c>
    </row>
    <row r="900" customFormat="false" ht="15" hidden="false" customHeight="false" outlineLevel="0" collapsed="false">
      <c r="A900" s="0" t="n">
        <f aca="false">B(10,1,10)</f>
        <v>1</v>
      </c>
      <c r="B900" s="0" t="s">
        <v>934</v>
      </c>
    </row>
    <row r="901" customFormat="false" ht="15" hidden="false" customHeight="false" outlineLevel="0" collapsed="false">
      <c r="A901" s="0" t="n">
        <f aca="false">B(10,0.4,0,10)</f>
        <v>1</v>
      </c>
      <c r="B901" s="0" t="s">
        <v>935</v>
      </c>
    </row>
    <row r="902" customFormat="false" ht="15" hidden="false" customHeight="false" outlineLevel="0" collapsed="false">
      <c r="A902" s="0" t="n">
        <f aca="false">B(10.9,0.4,3.9)</f>
        <v>0.214990848</v>
      </c>
      <c r="B902" s="0" t="s">
        <v>936</v>
      </c>
    </row>
    <row r="903" customFormat="false" ht="15" hidden="false" customHeight="false" outlineLevel="0" collapsed="false">
      <c r="A903" s="0" t="n">
        <f aca="false">_xlfn.CONFIDENCE.T(0.05,2.5,3.9)</f>
        <v>6.21034427937583</v>
      </c>
      <c r="B903" s="0" t="s">
        <v>937</v>
      </c>
    </row>
    <row r="904" customFormat="false" ht="15" hidden="false" customHeight="false" outlineLevel="0" collapsed="false">
      <c r="A904" s="0" t="n">
        <f aca="false">_xlfn.CONFIDENCE.NORM(0.05,2.5,1)</f>
        <v>4.89990996135013</v>
      </c>
      <c r="B904" s="0" t="s">
        <v>938</v>
      </c>
    </row>
    <row r="905" customFormat="false" ht="15" hidden="false" customHeight="false" outlineLevel="0" collapsed="false">
      <c r="A905" s="0" t="e">
        <f aca="false">_xlfn.CONFIDENCE.T(0.05,2.5,0.9)</f>
        <v>#VALUE!</v>
      </c>
      <c r="B905" s="0" t="s">
        <v>939</v>
      </c>
    </row>
    <row r="906" customFormat="false" ht="15" hidden="false" customHeight="false" outlineLevel="0" collapsed="false">
      <c r="A906" s="0" t="e">
        <f aca="false">TTEST({1;1;1},{1;1;1},2,2)</f>
        <v>#NUM!</v>
      </c>
      <c r="B906" s="0" t="s">
        <v>940</v>
      </c>
    </row>
    <row r="907" customFormat="false" ht="15" hidden="false" customHeight="false" outlineLevel="0" collapsed="false">
      <c r="A907" s="0" t="e">
        <f aca="false">TTEST({1;2;3},{1;2;3},2,1)</f>
        <v>#DIV/0!</v>
      </c>
      <c r="B907" s="0" t="s">
        <v>941</v>
      </c>
    </row>
    <row r="908" customFormat="false" ht="15" hidden="false" customHeight="false" outlineLevel="0" collapsed="false">
      <c r="A908" s="0" t="n">
        <f aca="false">TTEST({1;2;3},{2;3;5},2,1)</f>
        <v>0.0571909584179366</v>
      </c>
      <c r="B908" s="0" t="s">
        <v>942</v>
      </c>
    </row>
    <row r="909" customFormat="false" ht="15" hidden="false" customHeight="false" outlineLevel="0" collapsed="false">
      <c r="A909" s="0" t="n">
        <f aca="false">TTEST({1;2},{1;2;3},1,3)</f>
        <v>0.280575440620043</v>
      </c>
      <c r="B909" s="0" t="s">
        <v>943</v>
      </c>
    </row>
    <row r="910" customFormat="false" ht="15" hidden="false" customHeight="false" outlineLevel="0" collapsed="false">
      <c r="A910" s="0" t="e">
        <f aca="false">TTEST({1},{1;2;3},1,2)</f>
        <v>#VALUE!</v>
      </c>
      <c r="B910" s="0" t="s">
        <v>944</v>
      </c>
    </row>
    <row r="911" customFormat="false" ht="15" hidden="false" customHeight="false" outlineLevel="0" collapsed="false">
      <c r="A911" s="0" t="e">
        <f aca="false">FTEST({1;1;1},{1;2;3})</f>
        <v>#VALUE!</v>
      </c>
      <c r="B911" s="0" t="s">
        <v>945</v>
      </c>
    </row>
    <row r="912" customFormat="false" ht="15" hidden="false" customHeight="false" outlineLevel="0" collapsed="false">
      <c r="A912" s="0" t="e">
        <f aca="false">FTEST({1;2;3},{1;1;1})</f>
        <v>#VALUE!</v>
      </c>
      <c r="B912" s="0" t="s">
        <v>946</v>
      </c>
    </row>
    <row r="913" customFormat="false" ht="15" hidden="false" customHeight="false" outlineLevel="0" collapsed="false">
      <c r="A913" s="0" t="n">
        <f aca="false">FTEST({1;2;3},{1;2;3.5})</f>
        <v>0.774193548387097</v>
      </c>
      <c r="B913" s="0" t="s">
        <v>947</v>
      </c>
    </row>
    <row r="914" customFormat="false" ht="15" hidden="false" customHeight="false" outlineLevel="0" collapsed="false">
      <c r="A914" s="0" t="n">
        <f aca="false">ZTEST({1;2;3},2)</f>
        <v>0.5</v>
      </c>
      <c r="B914" s="0" t="s">
        <v>948</v>
      </c>
    </row>
    <row r="915" customFormat="false" ht="15" hidden="false" customHeight="false" outlineLevel="0" collapsed="false">
      <c r="A915" s="0" t="n">
        <f aca="false">ZTEST({1;2;3},2,1)</f>
        <v>0.5</v>
      </c>
      <c r="B915" s="0" t="s">
        <v>949</v>
      </c>
    </row>
    <row r="916" customFormat="false" ht="15" hidden="false" customHeight="false" outlineLevel="0" collapsed="false">
      <c r="A916" s="0" t="e">
        <f aca="false">ZTEST({1;1;1},2)</f>
        <v>#DIV/0!</v>
      </c>
      <c r="B916" s="0" t="s">
        <v>950</v>
      </c>
    </row>
    <row r="917" customFormat="false" ht="15" hidden="false" customHeight="false" outlineLevel="0" collapsed="false">
      <c r="A917" s="0" t="e">
        <f aca="false">ZTEST({1},2,3)</f>
        <v>#DIV/0!</v>
      </c>
      <c r="B917" s="0" t="s">
        <v>951</v>
      </c>
    </row>
    <row r="918" customFormat="false" ht="15" hidden="false" customHeight="false" outlineLevel="0" collapsed="false">
      <c r="A918" s="0" t="n">
        <f aca="false">PROB({1;2;3;4},{0.1;0.2;0.3;0.4},2,3)</f>
        <v>0.5</v>
      </c>
      <c r="B918" s="0" t="s">
        <v>952</v>
      </c>
    </row>
    <row r="919" customFormat="false" ht="15" hidden="false" customHeight="false" outlineLevel="0" collapsed="false">
      <c r="A919" s="0" t="n">
        <f aca="false">PROB({1;2;3;4},{0.1;0.2;0.3;0.4},2)</f>
        <v>0.2</v>
      </c>
      <c r="B919" s="0" t="s">
        <v>953</v>
      </c>
    </row>
    <row r="920" customFormat="false" ht="15" hidden="false" customHeight="false" outlineLevel="0" collapsed="false">
      <c r="A920" s="0" t="n">
        <f aca="false">PROB({1;2;3;4},{0.1;0.2;0.3;0.4},2.5)</f>
        <v>0</v>
      </c>
      <c r="B920" s="0" t="s">
        <v>954</v>
      </c>
    </row>
    <row r="921" customFormat="false" ht="15" hidden="false" customHeight="false" outlineLevel="0" collapsed="false">
      <c r="A921" s="0" t="n">
        <f aca="false">PROB({1;2;3;4},{0.1;0.2;0.3;0.4},0,10)</f>
        <v>1</v>
      </c>
      <c r="B921" s="0" t="s">
        <v>955</v>
      </c>
    </row>
    <row r="922" customFormat="false" ht="15" hidden="false" customHeight="false" outlineLevel="0" collapsed="false">
      <c r="A922" s="0" t="n">
        <f aca="false">PROB({1;2;3;4},{0.1;0.2;0.3;0.4},3,2)</f>
        <v>0.5</v>
      </c>
      <c r="B922" s="0" t="s">
        <v>956</v>
      </c>
    </row>
    <row r="923" customFormat="false" ht="15" hidden="false" customHeight="false" outlineLevel="0" collapsed="false">
      <c r="A923" s="0" t="e">
        <f aca="false">PROB({1;2;3;4},{0.1;0.2;0.3;0.5},2,3)</f>
        <v>#VALUE!</v>
      </c>
      <c r="B923" s="0" t="s">
        <v>957</v>
      </c>
    </row>
    <row r="924" customFormat="false" ht="15" hidden="false" customHeight="false" outlineLevel="0" collapsed="false">
      <c r="A924" s="0" t="e">
        <f aca="false">PROB({1;2;3;4},{0.1;0.2;0.3;0.3},2,3)</f>
        <v>#VALUE!</v>
      </c>
      <c r="B924" s="0" t="s">
        <v>958</v>
      </c>
    </row>
    <row r="925" customFormat="false" ht="15" hidden="false" customHeight="false" outlineLevel="0" collapsed="false">
      <c r="A925" s="0" t="e">
        <f aca="false">PROB({1;2;3;4},{-0.1;0.4;0.3;0.4},2,3)</f>
        <v>#VALUE!</v>
      </c>
      <c r="B925" s="0" t="s">
        <v>959</v>
      </c>
    </row>
    <row r="926" customFormat="false" ht="15" hidden="false" customHeight="false" outlineLevel="0" collapsed="false">
      <c r="A926" s="0" t="e">
        <f aca="false">PROB({1;2;3;4},{0.1;0.2;0.3},2,3)</f>
        <v>#N/A</v>
      </c>
      <c r="B926" s="0" t="s">
        <v>960</v>
      </c>
    </row>
    <row r="927" customFormat="false" ht="15" hidden="false" customHeight="false" outlineLevel="0" collapsed="false">
      <c r="A927" s="0" t="n">
        <f aca="false">PROB({1;2},{0.5;0.5},1.5,2.5)</f>
        <v>0.5</v>
      </c>
      <c r="B927" s="0" t="s">
        <v>961</v>
      </c>
    </row>
    <row r="928" customFormat="false" ht="15" hidden="false" customHeight="false" outlineLevel="0" collapsed="false">
      <c r="A928" s="0" t="n">
        <f aca="false">PROB({1;2;3;4},{0.1;0.2;0.3;0.4},4,4)</f>
        <v>0.4</v>
      </c>
      <c r="B928" s="0" t="s">
        <v>962</v>
      </c>
    </row>
    <row r="929" customFormat="false" ht="15" hidden="false" customHeight="false" outlineLevel="0" collapsed="false">
      <c r="A929" s="0" t="n">
        <f aca="false">PROB({1;2;3;4},{0.1;0.2;0.3;0.4},1)</f>
        <v>0.1</v>
      </c>
      <c r="B929" s="0" t="s">
        <v>963</v>
      </c>
    </row>
    <row r="930" customFormat="false" ht="15" hidden="false" customHeight="false" outlineLevel="0" collapsed="false">
      <c r="A930" s="0" t="n">
        <f aca="false">CHITEST({1;2;3},{1;2;3})</f>
        <v>1</v>
      </c>
      <c r="B930" s="0" t="s">
        <v>964</v>
      </c>
    </row>
    <row r="931" customFormat="false" ht="15" hidden="false" customHeight="false" outlineLevel="0" collapsed="false">
      <c r="A931" s="0" t="n">
        <f aca="false">CHITEST({1,2;3,4},{2,2;2,3})</f>
        <v>0.248213078989924</v>
      </c>
      <c r="B931" s="0" t="s">
        <v>965</v>
      </c>
    </row>
    <row r="932" customFormat="false" ht="15" hidden="false" customHeight="false" outlineLevel="0" collapsed="false">
      <c r="A932" s="0" t="e">
        <f aca="false">CHITEST({1,2;3,4},{1,0;3,4})</f>
        <v>#DIV/0!</v>
      </c>
      <c r="B932" s="0" t="s">
        <v>966</v>
      </c>
    </row>
    <row r="933" customFormat="false" ht="15" hidden="false" customHeight="false" outlineLevel="0" collapsed="false">
      <c r="A933" s="0" t="e">
        <f aca="false">CHITEST({5},{5})</f>
        <v>#VALUE!</v>
      </c>
      <c r="B933" s="0" t="s">
        <v>967</v>
      </c>
    </row>
    <row r="934" customFormat="false" ht="15" hidden="false" customHeight="false" outlineLevel="0" collapsed="false">
      <c r="A934" s="0" t="n">
        <f aca="false">_xlfn.GAMMALN.PRECISE(0.1)</f>
        <v>2.25271265173421</v>
      </c>
      <c r="B934" s="0" t="s">
        <v>968</v>
      </c>
    </row>
    <row r="935" customFormat="false" ht="15" hidden="false" customHeight="false" outlineLevel="0" collapsed="false">
      <c r="A935" s="0" t="n">
        <f aca="false">GAMMALN(10000000000)</f>
        <v>220258509288.811</v>
      </c>
      <c r="B935" s="0" t="s">
        <v>969</v>
      </c>
    </row>
    <row r="936" customFormat="false" ht="15" hidden="false" customHeight="false" outlineLevel="0" collapsed="false">
      <c r="A936" s="0" t="n">
        <f aca="false">_xlfn.GAMMA(0.00001)</f>
        <v>99999.4227942256</v>
      </c>
      <c r="B936" s="0" t="s">
        <v>970</v>
      </c>
    </row>
    <row r="937" customFormat="false" ht="15" hidden="false" customHeight="false" outlineLevel="0" collapsed="false">
      <c r="A937" s="0" t="n">
        <f aca="false">_xlfn.GAMMA(-0.5)</f>
        <v>-3.54490770181103</v>
      </c>
      <c r="B937" s="0" t="s">
        <v>971</v>
      </c>
    </row>
    <row r="938" customFormat="false" ht="15" hidden="false" customHeight="false" outlineLevel="0" collapsed="false">
      <c r="A938" s="0" t="n">
        <f aca="false">_xlfn.GAMMA(-170.5)</f>
        <v>-3.31273952153868E-308</v>
      </c>
      <c r="B938" s="0" t="s">
        <v>972</v>
      </c>
    </row>
    <row r="939" customFormat="false" ht="15" hidden="false" customHeight="false" outlineLevel="0" collapsed="false">
      <c r="A939" s="0" t="n">
        <f aca="false">_xlfn.GAMMA(100.5)</f>
        <v>9.32096310408272E+156</v>
      </c>
      <c r="B939" s="0" t="s">
        <v>973</v>
      </c>
    </row>
    <row r="940" customFormat="false" ht="15" hidden="false" customHeight="false" outlineLevel="0" collapsed="false">
      <c r="A940" s="0" t="n">
        <f aca="false">_xlfn.GAMMA(170.5)</f>
        <v>5.56209241456E+305</v>
      </c>
      <c r="B940" s="0" t="s">
        <v>974</v>
      </c>
    </row>
    <row r="941" customFormat="false" ht="15" hidden="false" customHeight="false" outlineLevel="0" collapsed="false">
      <c r="A941" s="0" t="n">
        <f aca="false">_xlfn.GAMMA(171.5)</f>
        <v>9.4833675668248E+307</v>
      </c>
      <c r="B941" s="0" t="s">
        <v>975</v>
      </c>
    </row>
    <row r="942" customFormat="false" ht="15" hidden="false" customHeight="false" outlineLevel="0" collapsed="false">
      <c r="A942" s="0" t="n">
        <f aca="false">FISHER(0.999999)</f>
        <v>7.25432861924767</v>
      </c>
      <c r="B942" s="0" t="s">
        <v>976</v>
      </c>
    </row>
    <row r="943" customFormat="false" ht="15" hidden="false" customHeight="false" outlineLevel="0" collapsed="false">
      <c r="A943" s="0" t="n">
        <f aca="false">FISHERINV(-30)</f>
        <v>-1</v>
      </c>
      <c r="B943" s="0" t="s">
        <v>977</v>
      </c>
    </row>
    <row r="944" customFormat="false" ht="15" hidden="false" customHeight="false" outlineLevel="0" collapsed="false">
      <c r="A944" s="0" t="n">
        <f aca="false">_xlfn.GAMMA.INV(0.5,0.01,1)</f>
        <v>4.4655350189104E-031</v>
      </c>
      <c r="B944" s="0" t="s">
        <v>978</v>
      </c>
    </row>
    <row r="945" customFormat="false" ht="15" hidden="false" customHeight="false" outlineLevel="0" collapsed="false">
      <c r="A945" s="0" t="n">
        <f aca="false">_xlfn.GAMMA.INV(0.999999,50,2)</f>
        <v>182.12677711949</v>
      </c>
      <c r="B945" s="0" t="s">
        <v>979</v>
      </c>
    </row>
    <row r="946" customFormat="false" ht="15" hidden="false" customHeight="false" outlineLevel="0" collapsed="false">
      <c r="A946" s="0" t="n">
        <f aca="false">_xlfn.CHISQ.INV(0.000001,3)</f>
        <v>0.000241810487201243</v>
      </c>
      <c r="B946" s="0" t="s">
        <v>980</v>
      </c>
    </row>
    <row r="947" customFormat="false" ht="15" hidden="false" customHeight="false" outlineLevel="0" collapsed="false">
      <c r="A947" s="0" t="n">
        <f aca="false">_xlfn.CHISQ.INV.RT(0.000001,3)</f>
        <v>30.6648497062136</v>
      </c>
      <c r="B947" s="0" t="s">
        <v>981</v>
      </c>
    </row>
    <row r="948" customFormat="false" ht="15" hidden="false" customHeight="false" outlineLevel="0" collapsed="false">
      <c r="A948" s="0" t="n">
        <f aca="false">_xlfn.T.INV(0.000001,3)</f>
        <v>-103.299467778861</v>
      </c>
      <c r="B948" s="0" t="s">
        <v>982</v>
      </c>
    </row>
    <row r="949" customFormat="false" ht="15" hidden="false" customHeight="false" outlineLevel="0" collapsed="false">
      <c r="A949" s="0" t="n">
        <f aca="false">_xlfn.T.INV(0.999999,3)</f>
        <v>103.299467778861</v>
      </c>
      <c r="B949" s="0" t="s">
        <v>983</v>
      </c>
    </row>
    <row r="950" customFormat="false" ht="15" hidden="false" customHeight="false" outlineLevel="0" collapsed="false">
      <c r="A950" s="0" t="n">
        <f aca="false">_xlfn.T.INV.2T(0.000001,3)</f>
        <v>130.154589558358</v>
      </c>
      <c r="B950" s="0" t="s">
        <v>984</v>
      </c>
    </row>
    <row r="951" customFormat="false" ht="15" hidden="false" customHeight="false" outlineLevel="0" collapsed="false">
      <c r="A951" s="0" t="n">
        <f aca="false">_xlfn.F.INV(0.000001,3,4)</f>
        <v>7.23899717258256E-005</v>
      </c>
      <c r="B951" s="0" t="s">
        <v>985</v>
      </c>
    </row>
    <row r="952" customFormat="false" ht="15" hidden="false" customHeight="false" outlineLevel="0" collapsed="false">
      <c r="A952" s="0" t="n">
        <f aca="false">_xlfn.F.INV.RT(0.000001,3,4)</f>
        <v>1824.18623175703</v>
      </c>
      <c r="B952" s="0" t="s">
        <v>986</v>
      </c>
    </row>
    <row r="953" customFormat="false" ht="15" hidden="false" customHeight="false" outlineLevel="0" collapsed="false">
      <c r="A953" s="0" t="n">
        <f aca="false">_xlfn.BETA.INV(0.000001,2,3)</f>
        <v>0.000408359460204257</v>
      </c>
      <c r="B953" s="0" t="s">
        <v>987</v>
      </c>
    </row>
    <row r="954" customFormat="false" ht="15" hidden="false" customHeight="false" outlineLevel="0" collapsed="false">
      <c r="A954" s="0" t="n">
        <f aca="false">_xlfn.BETA.INV(0.999999,0.5,0.5)</f>
        <v>0.999999999997533</v>
      </c>
      <c r="B954" s="0" t="s">
        <v>988</v>
      </c>
    </row>
    <row r="955" customFormat="false" ht="15" hidden="false" customHeight="false" outlineLevel="0" collapsed="false">
      <c r="A955" s="0" t="str">
        <f aca="false">_xlfn.TEXTJOIN(",",TRUE(),_xlfn.SEQUENCE(5))</f>
        <v>1,2,3,4,5</v>
      </c>
      <c r="B955" s="0" t="s">
        <v>989</v>
      </c>
    </row>
    <row r="956" customFormat="false" ht="15" hidden="false" customHeight="false" outlineLevel="0" collapsed="false">
      <c r="A956" s="0" t="str">
        <f aca="false">_xlfn.TEXTJOIN(",",TRUE(),_xlfn.SEQUENCE(2,3))</f>
        <v>1,2,3,4,5,6</v>
      </c>
      <c r="B956" s="0" t="s">
        <v>990</v>
      </c>
    </row>
    <row r="957" customFormat="false" ht="15" hidden="false" customHeight="false" outlineLevel="0" collapsed="false">
      <c r="A957" s="0" t="str">
        <f aca="false">_xlfn.TEXTJOIN(",",TRUE(),_xlfn.SEQUENCE(3,1,10,-2))</f>
        <v>10,8,6</v>
      </c>
      <c r="B957" s="0" t="s">
        <v>991</v>
      </c>
    </row>
    <row r="958" customFormat="false" ht="15" hidden="false" customHeight="false" outlineLevel="0" collapsed="false">
      <c r="A958" s="0" t="str">
        <f aca="false">_xlfn.TEXTJOIN(",",TRUE(),_xlfn.SEQUENCE(2,2,0.5,0.25))</f>
        <v>0.5,0.75,1,1.25</v>
      </c>
      <c r="B958" s="0" t="s">
        <v>992</v>
      </c>
    </row>
    <row r="959" customFormat="false" ht="15" hidden="false" customHeight="false" outlineLevel="0" collapsed="false">
      <c r="A959" s="0" t="str">
        <f aca="false">_xlfn.TEXTJOIN(",",TRUE(),_xlfn.SEQUENCE(2.9,1.9))</f>
        <v>1,2</v>
      </c>
      <c r="B959" s="0" t="s">
        <v>993</v>
      </c>
    </row>
    <row r="960" customFormat="false" ht="15" hidden="false" customHeight="false" outlineLevel="0" collapsed="false">
      <c r="A960" s="0" t="e">
        <f aca="false">_xlfn.SEQUENCE(0)</f>
        <v>#VALUE!</v>
      </c>
      <c r="B960" s="0" t="s">
        <v>994</v>
      </c>
    </row>
    <row r="961" customFormat="false" ht="15" hidden="false" customHeight="false" outlineLevel="0" collapsed="false">
      <c r="A961" s="0" t="e">
        <f aca="false">_xlfn.SEQUENCE(1,0)</f>
        <v>#VALUE!</v>
      </c>
      <c r="B961" s="0" t="s">
        <v>995</v>
      </c>
    </row>
    <row r="962" customFormat="false" ht="15" hidden="false" customHeight="false" outlineLevel="0" collapsed="false">
      <c r="A962" s="0" t="e">
        <f aca="false">_xlfn.SEQUENCE(-1)</f>
        <v>#VALUE!</v>
      </c>
      <c r="B962" s="0" t="s">
        <v>996</v>
      </c>
    </row>
    <row r="963" customFormat="false" ht="15" hidden="false" customHeight="false" outlineLevel="0" collapsed="false">
      <c r="A963" s="0" t="e">
        <f aca="false">_xlfn.SEQUENCE("a")</f>
        <v>#VALUE!</v>
      </c>
      <c r="B963" s="0" t="s">
        <v>997</v>
      </c>
    </row>
    <row r="964" customFormat="false" ht="15" hidden="false" customHeight="false" outlineLevel="0" collapsed="false">
      <c r="A964" s="0" t="n">
        <f aca="false">ROWS(_xlfn.SEQUENCE(4,3))</f>
        <v>4</v>
      </c>
      <c r="B964" s="0" t="s">
        <v>998</v>
      </c>
    </row>
    <row r="965" customFormat="false" ht="15" hidden="false" customHeight="false" outlineLevel="0" collapsed="false">
      <c r="A965" s="0" t="n">
        <f aca="false">COLUMNS(_xlfn.SEQUENCE(4,3))</f>
        <v>3</v>
      </c>
      <c r="B965" s="0" t="s">
        <v>999</v>
      </c>
    </row>
    <row r="966" customFormat="false" ht="15" hidden="false" customHeight="false" outlineLevel="0" collapsed="false">
      <c r="A966" s="0" t="n">
        <f aca="false">SUM(_xlfn.SEQUENCE(100))</f>
        <v>5050</v>
      </c>
      <c r="B966" s="0" t="s">
        <v>1000</v>
      </c>
    </row>
    <row r="967" customFormat="false" ht="15" hidden="false" customHeight="false" outlineLevel="0" collapsed="false">
      <c r="A967" s="0" t="str">
        <f aca="false">_xlfn.TEXTJOIN(",",TRUE(),_xlfn.SEQUENCE(3,2,5,0))</f>
        <v>5,5,5,5,5,5</v>
      </c>
      <c r="B967" s="0" t="s">
        <v>1001</v>
      </c>
    </row>
    <row r="968" customFormat="false" ht="15" hidden="false" customHeight="false" outlineLevel="0" collapsed="false">
      <c r="A968" s="0" t="str">
        <f aca="false">_xlfn.TEXTJOIN(",",TRUE(),_xlfn.SEQUENCE(1,3,TRUE()))</f>
        <v>1,2,3</v>
      </c>
      <c r="B968" s="0" t="s">
        <v>1002</v>
      </c>
    </row>
    <row r="969" customFormat="false" ht="15" hidden="false" customHeight="false" outlineLevel="0" collapsed="false">
      <c r="A969" s="0" t="str">
        <f aca="false">_xlfn.TEXTJOIN(",",TRUE(),_xlfn.SEQUENCE(2,,3))</f>
        <v>3,4</v>
      </c>
      <c r="B969" s="0" t="s">
        <v>1003</v>
      </c>
    </row>
    <row r="970" customFormat="false" ht="15" hidden="false" customHeight="false" outlineLevel="0" collapsed="false">
      <c r="A970" s="0" t="n">
        <f aca="false">_xlfn.XMATCH(5,Data!A1:A8)</f>
        <v>1</v>
      </c>
      <c r="B970" s="0" t="s">
        <v>1004</v>
      </c>
    </row>
    <row r="971" customFormat="false" ht="15" hidden="false" customHeight="false" outlineLevel="0" collapsed="false">
      <c r="A971" s="0" t="e">
        <f aca="false">_xlfn.XMATCH(6,Data!A1:A8)</f>
        <v>#N/A</v>
      </c>
      <c r="B971" s="0" t="s">
        <v>1005</v>
      </c>
    </row>
    <row r="972" customFormat="false" ht="15" hidden="false" customHeight="false" outlineLevel="0" collapsed="false">
      <c r="A972" s="0" t="n">
        <f aca="false">_xlfn.XMATCH(6,Data!A1:A8,-1)</f>
        <v>1</v>
      </c>
      <c r="B972" s="0" t="s">
        <v>1006</v>
      </c>
    </row>
    <row r="973" customFormat="false" ht="15" hidden="false" customHeight="false" outlineLevel="0" collapsed="false">
      <c r="A973" s="0" t="n">
        <f aca="false">_xlfn.XMATCH(6,Data!A1:A8,1)</f>
        <v>7</v>
      </c>
      <c r="B973" s="0" t="s">
        <v>1007</v>
      </c>
    </row>
    <row r="974" customFormat="false" ht="15" hidden="false" customHeight="false" outlineLevel="0" collapsed="false">
      <c r="A974" s="0" t="e">
        <f aca="false">_xlfn.XMATCH(0,Data!A1:A8,-1)</f>
        <v>#N/A</v>
      </c>
      <c r="B974" s="0" t="s">
        <v>1008</v>
      </c>
    </row>
    <row r="975" customFormat="false" ht="15" hidden="false" customHeight="false" outlineLevel="0" collapsed="false">
      <c r="A975" s="0" t="e">
        <f aca="false">_xlfn.XMATCH(100,Data!A1:A8,1)</f>
        <v>#N/A</v>
      </c>
      <c r="B975" s="0" t="s">
        <v>1009</v>
      </c>
    </row>
    <row r="976" customFormat="false" ht="15" hidden="false" customHeight="false" outlineLevel="0" collapsed="false">
      <c r="A976" s="0" t="n">
        <f aca="false">_xlfn.XMATCH("a*",Data!B1:B8,2)</f>
        <v>1</v>
      </c>
      <c r="B976" s="0" t="s">
        <v>1010</v>
      </c>
    </row>
    <row r="977" customFormat="false" ht="15" hidden="false" customHeight="false" outlineLevel="0" collapsed="false">
      <c r="A977" s="0" t="n">
        <f aca="false">_xlfn.XMATCH("*e",Data!B1:B8,2)</f>
        <v>1</v>
      </c>
      <c r="B977" s="0" t="s">
        <v>1011</v>
      </c>
    </row>
    <row r="978" customFormat="false" ht="15" hidden="false" customHeight="false" outlineLevel="0" collapsed="false">
      <c r="A978" s="0" t="n">
        <f aca="false">_xlfn.XMATCH("apple",Data!B1:B8,0,-1)</f>
        <v>7</v>
      </c>
      <c r="B978" s="0" t="s">
        <v>1012</v>
      </c>
    </row>
    <row r="979" customFormat="false" ht="15" hidden="false" customHeight="false" outlineLevel="0" collapsed="false">
      <c r="A979" s="0" t="n">
        <f aca="false">_xlfn.XMATCH("APPLE",Data!B1:B8)</f>
        <v>1</v>
      </c>
      <c r="B979" s="0" t="s">
        <v>1013</v>
      </c>
    </row>
    <row r="980" customFormat="false" ht="15" hidden="false" customHeight="false" outlineLevel="0" collapsed="false">
      <c r="A980" s="0" t="n">
        <f aca="false">_xlfn.XMATCH("fig",Data!B1:B8,0,1)</f>
        <v>8</v>
      </c>
      <c r="B980" s="0" t="s">
        <v>1014</v>
      </c>
    </row>
    <row r="981" customFormat="false" ht="15" hidden="false" customHeight="false" outlineLevel="0" collapsed="false">
      <c r="A981" s="0" t="e">
        <f aca="false">_xlfn.XMATCH(3,{1;2;3;4},0,2)</f>
        <v>#N/A</v>
      </c>
      <c r="B981" s="0" t="s">
        <v>1015</v>
      </c>
    </row>
    <row r="982" customFormat="false" ht="15" hidden="false" customHeight="false" outlineLevel="0" collapsed="false">
      <c r="A982" s="0" t="n">
        <f aca="false">_xlfn.XMATCH(3,{4;3;2;1},0,-2)</f>
        <v>2</v>
      </c>
      <c r="B982" s="0" t="s">
        <v>1016</v>
      </c>
    </row>
    <row r="983" customFormat="false" ht="15" hidden="false" customHeight="false" outlineLevel="0" collapsed="false">
      <c r="A983" s="0" t="e">
        <f aca="false">_xlfn.XMATCH(2.5,{1;2;3;4},1,2)</f>
        <v>#N/A</v>
      </c>
      <c r="B983" s="0" t="s">
        <v>1017</v>
      </c>
    </row>
    <row r="984" customFormat="false" ht="15" hidden="false" customHeight="false" outlineLevel="0" collapsed="false">
      <c r="A984" s="0" t="n">
        <f aca="false">_xlfn.XMATCH(2.5,{1;2;3;4},-1,2)</f>
        <v>2</v>
      </c>
      <c r="B984" s="0" t="s">
        <v>1018</v>
      </c>
    </row>
    <row r="985" customFormat="false" ht="15" hidden="false" customHeight="false" outlineLevel="0" collapsed="false">
      <c r="A985" s="0" t="n">
        <f aca="false">_xlfn.XMATCH(3,{1,2,3,4})</f>
        <v>3</v>
      </c>
      <c r="B985" s="0" t="s">
        <v>1019</v>
      </c>
    </row>
    <row r="986" customFormat="false" ht="15" hidden="false" customHeight="false" outlineLevel="0" collapsed="false">
      <c r="A986" s="0" t="e">
        <f aca="false">_xlfn.XMATCH(3,{1,2;3,4})</f>
        <v>#VALUE!</v>
      </c>
      <c r="B986" s="0" t="s">
        <v>1020</v>
      </c>
    </row>
    <row r="987" customFormat="false" ht="15" hidden="false" customHeight="false" outlineLevel="0" collapsed="false">
      <c r="A987" s="0" t="n">
        <f aca="false">_xlfn.XMATCH(5,Data!A1:A8,3)</f>
        <v>1</v>
      </c>
      <c r="B987" s="0" t="s">
        <v>1021</v>
      </c>
    </row>
    <row r="988" customFormat="false" ht="15" hidden="false" customHeight="false" outlineLevel="0" collapsed="false">
      <c r="A988" s="0" t="e">
        <f aca="false">_xlfn.XMATCH(5,Data!A1:A8,0,0)</f>
        <v>#VALUE!</v>
      </c>
      <c r="B988" s="0" t="s">
        <v>1022</v>
      </c>
    </row>
    <row r="989" customFormat="false" ht="15" hidden="false" customHeight="false" outlineLevel="0" collapsed="false">
      <c r="A989" s="0" t="e">
        <f aca="false">_xlfn.XMATCH(5,Data!A1:A8,0,3)</f>
        <v>#VALUE!</v>
      </c>
      <c r="B989" s="0" t="s">
        <v>1023</v>
      </c>
    </row>
    <row r="990" customFormat="false" ht="15" hidden="false" customHeight="false" outlineLevel="0" collapsed="false">
      <c r="A990" s="0" t="n">
        <f aca="false">_xlfn.XMATCH(5,Data!A1)</f>
        <v>1</v>
      </c>
      <c r="B990" s="0" t="s">
        <v>1024</v>
      </c>
    </row>
    <row r="991" customFormat="false" ht="15" hidden="false" customHeight="false" outlineLevel="0" collapsed="false">
      <c r="A991" s="0" t="n">
        <f aca="false">_xlfn.XMATCH(TRUE(),{1;TRUE;3})</f>
        <v>1</v>
      </c>
      <c r="B991" s="0" t="s">
        <v>1025</v>
      </c>
    </row>
    <row r="992" customFormat="false" ht="15" hidden="false" customHeight="false" outlineLevel="0" collapsed="false">
      <c r="A992" s="0" t="n">
        <f aca="false">_xlfn.XMATCH("5",Data!A1:A8)</f>
        <v>1</v>
      </c>
      <c r="B992" s="0" t="s">
        <v>1026</v>
      </c>
    </row>
    <row r="993" customFormat="false" ht="15" hidden="false" customHeight="false" outlineLevel="0" collapsed="false">
      <c r="A993" s="0" t="e">
        <f aca="false">_xlfn.XMATCH("?e*",Data!B1:B8,2)</f>
        <v>#N/A</v>
      </c>
      <c r="B993" s="0" t="s">
        <v>1027</v>
      </c>
    </row>
    <row r="994" customFormat="false" ht="15" hidden="false" customHeight="false" outlineLevel="0" collapsed="false">
      <c r="A994" s="0" t="n">
        <f aca="false">_xlfn.XMATCH("a~*",{"a*";"ab"},2)</f>
        <v>1</v>
      </c>
      <c r="B994" s="0" t="s">
        <v>1028</v>
      </c>
    </row>
    <row r="995" customFormat="false" ht="15" hidden="false" customHeight="false" outlineLevel="0" collapsed="false">
      <c r="A995" s="0" t="n">
        <f aca="false">_xlfn.XMATCH(5,{"a";5})</f>
        <v>2</v>
      </c>
      <c r="B995" s="0" t="s">
        <v>1029</v>
      </c>
    </row>
    <row r="996" customFormat="false" ht="15" hidden="false" customHeight="false" outlineLevel="0" collapsed="false">
      <c r="A996" s="0" t="str">
        <f aca="false">_xlfn.TEXTJOIN(",",TRUE(),_xlfn._xlws.FILTER(Data!A1:A8,Data!A1:A8&gt;4))</f>
        <v>5,8,9,7</v>
      </c>
      <c r="B996" s="0" t="s">
        <v>1030</v>
      </c>
    </row>
    <row r="997" customFormat="false" ht="15" hidden="false" customHeight="false" outlineLevel="0" collapsed="false">
      <c r="A997" s="0" t="str">
        <f aca="false">_xlfn.TEXTJOIN(",",TRUE(),_xlfn._xlws.FILTER(Data!B1:B8,Data!A1:A8&gt;4))</f>
        <v>apple,cherry,date,apple</v>
      </c>
      <c r="B997" s="0" t="s">
        <v>1031</v>
      </c>
    </row>
    <row r="998" customFormat="false" ht="15" hidden="false" customHeight="false" outlineLevel="0" collapsed="false">
      <c r="A998" s="0" t="str">
        <f aca="false">_xlfn.TEXTJOIN(",",TRUE(),_xlfn._xlws.FILTER(Data!A1:B8,Data!A1:A8&gt;4))</f>
        <v>5,apple,8,cherry,9,date,7,apple</v>
      </c>
      <c r="B998" s="0" t="s">
        <v>1032</v>
      </c>
    </row>
    <row r="999" customFormat="false" ht="15" hidden="false" customHeight="false" outlineLevel="0" collapsed="false">
      <c r="A999" s="0" t="str">
        <f aca="false">_xlfn._xlws.FILTER(Data!A1:A8,Data!A1:A8&gt;100,"none")</f>
        <v>none</v>
      </c>
      <c r="B999" s="0" t="s">
        <v>1033</v>
      </c>
    </row>
    <row r="1000" customFormat="false" ht="15" hidden="false" customHeight="false" outlineLevel="0" collapsed="false">
      <c r="A1000" s="0" t="e">
        <f aca="false">_xlfn._xlws.FILTER(Data!A1:A8,Data!A1:A8&gt;100)</f>
        <v>#N/A</v>
      </c>
      <c r="B1000" s="0" t="s">
        <v>1034</v>
      </c>
    </row>
    <row r="1001" customFormat="false" ht="15" hidden="false" customHeight="false" outlineLevel="0" collapsed="false">
      <c r="A1001" s="0" t="str">
        <f aca="false">_xlfn.TEXTJOIN(",",TRUE(),_xlfn._xlws.FILTER(Data!A1:A8,Data!K1:K8))</f>
        <v>5,3,8,1,9,2,7,4</v>
      </c>
      <c r="B1001" s="0" t="s">
        <v>1035</v>
      </c>
    </row>
    <row r="1002" customFormat="false" ht="15" hidden="false" customHeight="false" outlineLevel="0" collapsed="false">
      <c r="A1002" s="0" t="e">
        <f aca="false">_xlfn.TEXTJOIN(",",TRUE(),_xlfn._xlws.FILTER(Data!A1:A8,{1;0;1}))</f>
        <v>#VALUE!</v>
      </c>
      <c r="B1002" s="0" t="s">
        <v>1036</v>
      </c>
    </row>
    <row r="1003" customFormat="false" ht="15" hidden="false" customHeight="false" outlineLevel="0" collapsed="false">
      <c r="A1003" s="0" t="str">
        <f aca="false">_xlfn.TEXTJOIN(",",TRUE(),_xlfn._xlws.FILTER(Data!E2:G2,Data!E2:G2&gt;15))</f>
        <v>20,30</v>
      </c>
      <c r="B1003" s="0" t="s">
        <v>1037</v>
      </c>
    </row>
    <row r="1004" customFormat="false" ht="15" hidden="false" customHeight="false" outlineLevel="0" collapsed="false">
      <c r="A1004" s="0" t="n">
        <f aca="false">COUNTA(_xlfn._xlws.FILTER(Data!A1:A8,Data!B1:B8="apple"))</f>
        <v>3</v>
      </c>
      <c r="B1004" s="0" t="s">
        <v>1038</v>
      </c>
    </row>
    <row r="1005" customFormat="false" ht="15" hidden="false" customHeight="false" outlineLevel="0" collapsed="false">
      <c r="A1005" s="0" t="str">
        <f aca="false">_xlfn.TEXTJOIN(",",TRUE(),_xlfn._xlws.FILTER(Data!A1:A8,(Data!B1:B8="apple")+(Data!A1:A8&gt;8)))</f>
        <v>5,1,9,7</v>
      </c>
      <c r="B1005" s="0" t="s">
        <v>1039</v>
      </c>
    </row>
    <row r="1006" customFormat="false" ht="15" hidden="false" customHeight="false" outlineLevel="0" collapsed="false">
      <c r="A1006" s="0" t="str">
        <f aca="false">_xlfn.TEXTJOIN(",",TRUE(),_xlfn._xlws.FILTER(Data!A1:A8,(Data!B1:B8="apple")*(Data!A1:A8&gt;4)))</f>
        <v>5,7</v>
      </c>
      <c r="B1006" s="0" t="s">
        <v>1040</v>
      </c>
    </row>
    <row r="1007" customFormat="false" ht="15" hidden="false" customHeight="false" outlineLevel="0" collapsed="false">
      <c r="A1007" s="0" t="e">
        <f aca="false">_xlfn.TEXTJOIN(",",TRUE(),_xlfn._xlws.FILTER(Data!A1:A8,Data!B1:B8))</f>
        <v>#N/A</v>
      </c>
      <c r="B1007" s="0" t="s">
        <v>1041</v>
      </c>
    </row>
    <row r="1008" customFormat="false" ht="15" hidden="false" customHeight="false" outlineLevel="0" collapsed="false">
      <c r="A1008" s="0" t="str">
        <f aca="false">_xlfn.TEXTJOIN(",",TRUE(),_xlfn._xlws.FILTER(Data!A1:A8,{TRUE;FALSE;TRUE;FALSE;TRUE;FALSE;TRUE;FALSE}))</f>
        <v>5,8,9,7</v>
      </c>
      <c r="B1008" s="0" t="s">
        <v>1042</v>
      </c>
    </row>
    <row r="1009" customFormat="false" ht="15" hidden="false" customHeight="false" outlineLevel="0" collapsed="false">
      <c r="A1009" s="0" t="str">
        <f aca="false">_xlfn.TEXTJOIN(",",TRUE(),_xlfn._xlws.FILTER(Data!A1:B3,{TRUE;FALSE;TRUE}))</f>
        <v>5,apple,8,cherry</v>
      </c>
      <c r="B1009" s="0" t="s">
        <v>1043</v>
      </c>
    </row>
    <row r="1010" customFormat="false" ht="15" hidden="false" customHeight="false" outlineLevel="0" collapsed="false">
      <c r="A1010" s="0" t="e">
        <f aca="false">_xlfn._xlws.FILTER(Data!A1:A8,{1;0})</f>
        <v>#VALUE!</v>
      </c>
      <c r="B1010" s="0" t="s">
        <v>1044</v>
      </c>
    </row>
    <row r="1011" customFormat="false" ht="15" hidden="false" customHeight="false" outlineLevel="0" collapsed="false">
      <c r="A1011" s="0" t="str">
        <f aca="false">_xlfn.TEXTJOIN(",",TRUE(),_xlfn._xlws.FILTER(Data!A1:A8,Data!A1:A8&gt;4,"x"))</f>
        <v>5,8,9,7</v>
      </c>
      <c r="B1011" s="0" t="s">
        <v>1045</v>
      </c>
    </row>
    <row r="1012" customFormat="false" ht="15" hidden="false" customHeight="false" outlineLevel="0" collapsed="false">
      <c r="A1012" s="0" t="str">
        <f aca="false">_xlfn.TEXTJOIN(",",TRUE(),_xlfn._xlws.FILTER(Data!A1:A3,{1;1;1},0))</f>
        <v>5,3,8</v>
      </c>
      <c r="B1012" s="0" t="s">
        <v>1046</v>
      </c>
    </row>
    <row r="1013" customFormat="false" ht="15" hidden="false" customHeight="false" outlineLevel="0" collapsed="false">
      <c r="A1013" s="0" t="e">
        <f aca="false">_xlfn._xlws.FILTER(Data!A1:A8,Data!A1:A8&gt;100,)</f>
        <v>#N/A</v>
      </c>
      <c r="B1013" s="0" t="s">
        <v>1047</v>
      </c>
    </row>
    <row r="1014" customFormat="false" ht="15" hidden="false" customHeight="false" outlineLevel="0" collapsed="false">
      <c r="A1014" s="0" t="str">
        <f aca="false">_xlfn.TEXTJOIN(",",TRUE(),_xlfn._xlws.SORT(Data!A1:A8))</f>
        <v>1,2,3,4,5,7,8,9</v>
      </c>
      <c r="B1014" s="0" t="s">
        <v>1048</v>
      </c>
    </row>
    <row r="1015" customFormat="false" ht="15" hidden="false" customHeight="false" outlineLevel="0" collapsed="false">
      <c r="A1015" s="0" t="str">
        <f aca="false">_xlfn.TEXTJOIN(",",TRUE(),_xlfn._xlws.SORT(Data!A1:A8,1,-1))</f>
        <v>9,8,7,5,4,3,2,1</v>
      </c>
      <c r="B1015" s="0" t="s">
        <v>1049</v>
      </c>
    </row>
    <row r="1016" customFormat="false" ht="15" hidden="false" customHeight="false" outlineLevel="0" collapsed="false">
      <c r="A1016" s="0" t="str">
        <f aca="false">_xlfn.TEXTJOIN(",",TRUE(),_xlfn._xlws.SORT(Data!B1:B8))</f>
        <v>apple,apple,apple,banana,banana,cherry,date,fig</v>
      </c>
      <c r="B1016" s="0" t="s">
        <v>1050</v>
      </c>
    </row>
    <row r="1017" customFormat="false" ht="15" hidden="false" customHeight="false" outlineLevel="0" collapsed="false">
      <c r="A1017" s="0" t="str">
        <f aca="false">_xlfn.TEXTJOIN(",",TRUE(),_xlfn._xlws.SORT(Data!A1:B8,2))</f>
        <v>5,apple,1,apple,7,apple,3,banana,2,banana,8,cherry,9,date,4,fig</v>
      </c>
      <c r="B1017" s="0" t="s">
        <v>1051</v>
      </c>
    </row>
    <row r="1018" customFormat="false" ht="15" hidden="false" customHeight="false" outlineLevel="0" collapsed="false">
      <c r="A1018" s="0" t="str">
        <f aca="false">_xlfn.TEXTJOIN(",",TRUE(),_xlfn._xlws.SORT(Data!A1:B8,2,-1))</f>
        <v>4,fig,9,date,8,cherry,3,banana,2,banana,5,apple,1,apple,7,apple</v>
      </c>
      <c r="B1018" s="0" t="s">
        <v>1052</v>
      </c>
    </row>
    <row r="1019" customFormat="false" ht="15" hidden="false" customHeight="false" outlineLevel="0" collapsed="false">
      <c r="A1019" s="0" t="str">
        <f aca="false">_xlfn.TEXTJOIN(",",TRUE(),_xlfn._xlws.SORT(Data!A1:B8,1,1,FALSE()))</f>
        <v>1,apple,2,banana,3,banana,4,fig,5,apple,7,apple,8,cherry,9,date</v>
      </c>
      <c r="B1019" s="0" t="s">
        <v>1053</v>
      </c>
    </row>
    <row r="1020" customFormat="false" ht="15" hidden="false" customHeight="false" outlineLevel="0" collapsed="false">
      <c r="A1020" s="0" t="str">
        <f aca="false">_xlfn.TEXTJOIN(",",TRUE(),_xlfn._xlws.SORT(Data!E2:G2,1,-1,TRUE()))</f>
        <v>30,20,10</v>
      </c>
      <c r="B1020" s="0" t="s">
        <v>1054</v>
      </c>
    </row>
    <row r="1021" customFormat="false" ht="15" hidden="false" customHeight="false" outlineLevel="0" collapsed="false">
      <c r="A1021" s="0" t="e">
        <f aca="false">_xlfn._xlws.SORT(Data!A1:B8,3)</f>
        <v>#VALUE!</v>
      </c>
      <c r="B1021" s="0" t="s">
        <v>1055</v>
      </c>
    </row>
    <row r="1022" customFormat="false" ht="15" hidden="false" customHeight="false" outlineLevel="0" collapsed="false">
      <c r="A1022" s="0" t="e">
        <f aca="false">_xlfn._xlws.SORT(Data!A1:A8,1,0)</f>
        <v>#VALUE!</v>
      </c>
      <c r="B1022" s="0" t="s">
        <v>1056</v>
      </c>
    </row>
    <row r="1023" customFormat="false" ht="15" hidden="false" customHeight="false" outlineLevel="0" collapsed="false">
      <c r="A1023" s="0" t="e">
        <f aca="false">_xlfn._xlws.SORT(Data!A1:A8,0)</f>
        <v>#VALUE!</v>
      </c>
      <c r="B1023" s="0" t="s">
        <v>1057</v>
      </c>
    </row>
    <row r="1024" customFormat="false" ht="15" hidden="false" customHeight="false" outlineLevel="0" collapsed="false">
      <c r="A1024" s="0" t="e">
        <f aca="false">_xlfn._xlws.SORT(Data!A1:A8,1,2)</f>
        <v>#VALUE!</v>
      </c>
      <c r="B1024" s="0" t="s">
        <v>1058</v>
      </c>
    </row>
    <row r="1025" customFormat="false" ht="15" hidden="false" customHeight="false" outlineLevel="0" collapsed="false">
      <c r="A1025" s="0" t="str">
        <f aca="false">_xlfn.TEXTJOIN(",",TRUE(),_xlfn._xlws.SORT({3;"a";TRUE;2;"B";1}))</f>
        <v>1,1,2,3,a,B</v>
      </c>
      <c r="B1025" s="0" t="s">
        <v>1059</v>
      </c>
    </row>
    <row r="1026" customFormat="false" ht="15" hidden="false" customHeight="false" outlineLevel="0" collapsed="false">
      <c r="A1026" s="0" t="str">
        <f aca="false">_xlfn.TEXTJOIN(",",TRUE(),_xlfn._xlws.SORT({3;"b";"A";"a";"B"}))</f>
        <v>3,A,a,b,B</v>
      </c>
      <c r="B1026" s="0" t="s">
        <v>1060</v>
      </c>
    </row>
    <row r="1027" customFormat="false" ht="15" hidden="false" customHeight="false" outlineLevel="0" collapsed="false">
      <c r="A1027" s="0" t="str">
        <f aca="false">_xlfn.TEXTJOIN(",",TRUE(),_xlfn._xlws.SORT({3;1;2},1,-1))</f>
        <v>3,2,1</v>
      </c>
      <c r="B1027" s="0" t="s">
        <v>1061</v>
      </c>
    </row>
    <row r="1028" customFormat="false" ht="15" hidden="false" customHeight="false" outlineLevel="0" collapsed="false">
      <c r="A1028" s="0" t="str">
        <f aca="false">_xlfn.TEXTJOIN(",",TRUE(),_xlfn._xlws.SORT(Data!A1:K3,11))</f>
        <v>5,apple,45306,x,y,z,1,9,-100,2,3,banana,45338,10,20,30,3,7,30,4,8,cherry,45368,5,5,40,5</v>
      </c>
      <c r="B1028" s="0" t="s">
        <v>1062</v>
      </c>
    </row>
    <row r="1029" customFormat="false" ht="15" hidden="false" customHeight="false" outlineLevel="0" collapsed="false">
      <c r="A1029" s="0" t="str">
        <f aca="false">_xlfn.TEXTJOIN(",",TRUE(),_xlfn._xlws.SORT({1;5;3},1,1,TRUE()))</f>
        <v>1,5,3</v>
      </c>
      <c r="B1029" s="0" t="s">
        <v>1063</v>
      </c>
    </row>
    <row r="1030" customFormat="false" ht="15" hidden="false" customHeight="false" outlineLevel="0" collapsed="false">
      <c r="A1030" s="0" t="str">
        <f aca="false">_xlfn.TEXTJOIN(",",TRUE(),_xlfn._xlws.SORT(Data!A1:A8,1,-1,FALSE()))</f>
        <v>9,8,7,5,4,3,2,1</v>
      </c>
      <c r="B1030" s="0" t="s">
        <v>1064</v>
      </c>
    </row>
    <row r="1031" customFormat="false" ht="15" hidden="false" customHeight="false" outlineLevel="0" collapsed="false">
      <c r="A1031" s="0" t="str">
        <f aca="false">_xlfn.TEXTJOIN(",",TRUE(),_xlfn._xlws.SORT(Data!B1:B8,1,-1))</f>
        <v>fig,date,cherry,banana,banana,apple,apple,apple</v>
      </c>
      <c r="B1031" s="0" t="s">
        <v>1065</v>
      </c>
    </row>
    <row r="1032" customFormat="false" ht="15" hidden="false" customHeight="false" outlineLevel="0" collapsed="false">
      <c r="A1032" s="0" t="str">
        <f aca="false">_xlfn.TEXTJOIN(",",TRUE(),_xlfn._xlws.SORT({"é";"e";"f";"E";"z";"Z"}))</f>
        <v>e,E,é,f,z,Z</v>
      </c>
      <c r="B1032" s="0" t="s">
        <v>1066</v>
      </c>
    </row>
    <row r="1033" customFormat="false" ht="15" hidden="false" customHeight="false" outlineLevel="0" collapsed="false">
      <c r="A1033" s="0" t="str">
        <f aca="false">_xlfn.TEXTJOIN(",",TRUE(),_xlfn._xlws.SORT({10;9;"10";"9"}))</f>
        <v>9,10,10,9</v>
      </c>
      <c r="B1033" s="0" t="s">
        <v>1067</v>
      </c>
    </row>
    <row r="1034" customFormat="false" ht="15" hidden="false" customHeight="false" outlineLevel="0" collapsed="false">
      <c r="A1034" s="0" t="str">
        <f aca="false">_xlfn.TEXTJOIN(",",TRUE(),_xlfn.SORTBY(Data!B1:B8,Data!A1:A8))</f>
        <v>apple,banana,banana,fig,apple,apple,cherry,date</v>
      </c>
      <c r="B1034" s="0" t="s">
        <v>1068</v>
      </c>
    </row>
    <row r="1035" customFormat="false" ht="15" hidden="false" customHeight="false" outlineLevel="0" collapsed="false">
      <c r="A1035" s="0" t="str">
        <f aca="false">_xlfn.TEXTJOIN(",",TRUE(),_xlfn.SORTBY(Data!A1:A8,Data!B1:B8,1,Data!A1:A8,-1))</f>
        <v>7,5,1,3,2,8,9,4</v>
      </c>
      <c r="B1035" s="0" t="s">
        <v>1069</v>
      </c>
    </row>
    <row r="1036" customFormat="false" ht="15" hidden="false" customHeight="false" outlineLevel="0" collapsed="false">
      <c r="A1036" s="0" t="str">
        <f aca="false">_xlfn.TEXTJOIN(",",TRUE(),_xlfn.SORTBY(Data!A1:A8,Data!B1:B8,-1))</f>
        <v>4,9,8,3,2,5,1,7</v>
      </c>
      <c r="B1036" s="0" t="s">
        <v>1070</v>
      </c>
    </row>
    <row r="1037" customFormat="false" ht="15" hidden="false" customHeight="false" outlineLevel="0" collapsed="false">
      <c r="A1037" s="0" t="e">
        <f aca="false">_xlfn.SORTBY(Data!A1:A8,Data!B1:B7)</f>
        <v>#VALUE!</v>
      </c>
      <c r="B1037" s="0" t="s">
        <v>1071</v>
      </c>
    </row>
    <row r="1038" customFormat="false" ht="15" hidden="false" customHeight="false" outlineLevel="0" collapsed="false">
      <c r="A1038" s="0" t="str">
        <f aca="false">_xlfn.TEXTJOIN(",",TRUE(),_xlfn.SORTBY(Data!A1:B8,Data!A1:A8,-1))</f>
        <v>9,date,8,cherry,7,apple,5,apple,4,fig,3,banana,2,banana,1,apple</v>
      </c>
      <c r="B1038" s="0" t="s">
        <v>1072</v>
      </c>
    </row>
    <row r="1039" customFormat="false" ht="15" hidden="false" customHeight="false" outlineLevel="0" collapsed="false">
      <c r="A1039" s="0" t="str">
        <f aca="false">_xlfn.TEXTJOIN(",",TRUE(),_xlfn.SORTBY(Data!A1:A8,Data!A1:A8))</f>
        <v>1,2,3,4,5,7,8,9</v>
      </c>
      <c r="B1039" s="0" t="s">
        <v>1073</v>
      </c>
    </row>
    <row r="1040" customFormat="false" ht="15" hidden="false" customHeight="false" outlineLevel="0" collapsed="false">
      <c r="A1040" s="0" t="e">
        <f aca="false">_xlfn.SORTBY(Data!A1:A8,Data!B1:B8,0)</f>
        <v>#VALUE!</v>
      </c>
      <c r="B1040" s="0" t="s">
        <v>1074</v>
      </c>
    </row>
    <row r="1041" customFormat="false" ht="15" hidden="false" customHeight="false" outlineLevel="0" collapsed="false">
      <c r="A1041" s="0" t="str">
        <f aca="false">_xlfn.TEXTJOIN(",",TRUE(),_xlfn.SORTBY(Data!E1:G2,{3,1,2}))</f>
        <v>y,z,x,20,30,10</v>
      </c>
      <c r="B1041" s="0" t="s">
        <v>1075</v>
      </c>
    </row>
    <row r="1042" customFormat="false" ht="15" hidden="false" customHeight="false" outlineLevel="0" collapsed="false">
      <c r="A1042" s="0" t="str">
        <f aca="false">_xlfn.TEXTJOIN(",",TRUE(),_xlfn.SORTBY(Data!A1:A8,Data!B1:B8,1,Data!K1:K8))</f>
        <v>5,1,7,3,2,8,9,4</v>
      </c>
      <c r="B1042" s="0" t="s">
        <v>1076</v>
      </c>
    </row>
    <row r="1043" customFormat="false" ht="15" hidden="false" customHeight="false" outlineLevel="0" collapsed="false">
      <c r="A1043" s="0" t="str">
        <f aca="false">_xlfn.TEXTJOIN(",",TRUE(),_xlfn.TAKE(Data!A1:A8,3))</f>
        <v>5,3,8</v>
      </c>
      <c r="B1043" s="0" t="s">
        <v>1077</v>
      </c>
    </row>
    <row r="1044" customFormat="false" ht="15" hidden="false" customHeight="false" outlineLevel="0" collapsed="false">
      <c r="A1044" s="0" t="str">
        <f aca="false">_xlfn.TEXTJOIN(",",TRUE(),_xlfn.TAKE(Data!A1:A8,-3))</f>
        <v>2,7,4</v>
      </c>
      <c r="B1044" s="0" t="s">
        <v>1078</v>
      </c>
    </row>
    <row r="1045" customFormat="false" ht="15" hidden="false" customHeight="false" outlineLevel="0" collapsed="false">
      <c r="A1045" s="0" t="str">
        <f aca="false">_xlfn.TEXTJOIN(",",TRUE(),_xlfn.TAKE(Data!A1:B8,2,1))</f>
        <v>5,3</v>
      </c>
      <c r="B1045" s="0" t="s">
        <v>1079</v>
      </c>
    </row>
    <row r="1046" customFormat="false" ht="15" hidden="false" customHeight="false" outlineLevel="0" collapsed="false">
      <c r="A1046" s="0" t="str">
        <f aca="false">_xlfn.TEXTJOIN(",",TRUE(),_xlfn.TAKE(Data!A1:B8,,1))</f>
        <v>5,3,8,1,9,2,7,4</v>
      </c>
      <c r="B1046" s="0" t="s">
        <v>1080</v>
      </c>
    </row>
    <row r="1047" customFormat="false" ht="15" hidden="false" customHeight="false" outlineLevel="0" collapsed="false">
      <c r="A1047" s="0" t="e">
        <f aca="false">_xlfn.TAKE(Data!A1:A8,0)</f>
        <v>#N/A</v>
      </c>
      <c r="B1047" s="0" t="s">
        <v>1081</v>
      </c>
    </row>
    <row r="1048" customFormat="false" ht="15" hidden="false" customHeight="false" outlineLevel="0" collapsed="false">
      <c r="A1048" s="0" t="str">
        <f aca="false">_xlfn.TEXTJOIN(",",TRUE(),_xlfn.TAKE(Data!A1:A8,100))</f>
        <v>5,3,8,1,9,2,7,4</v>
      </c>
      <c r="B1048" s="0" t="s">
        <v>1082</v>
      </c>
    </row>
    <row r="1049" customFormat="false" ht="15" hidden="false" customHeight="false" outlineLevel="0" collapsed="false">
      <c r="A1049" s="0" t="str">
        <f aca="false">_xlfn.TEXTJOIN(",",TRUE(),_xlfn.TAKE(Data!A1:B8,2,-1))</f>
        <v>apple,banana</v>
      </c>
      <c r="B1049" s="0" t="s">
        <v>1083</v>
      </c>
    </row>
    <row r="1050" customFormat="false" ht="15" hidden="false" customHeight="false" outlineLevel="0" collapsed="false">
      <c r="A1050" s="0" t="str">
        <f aca="false">_xlfn.TEXTJOIN(",",TRUE(),_xlfn.TAKE(Data!A1:B3,-2,-1))</f>
        <v>banana,cherry</v>
      </c>
      <c r="B1050" s="0" t="s">
        <v>1084</v>
      </c>
    </row>
    <row r="1051" customFormat="false" ht="15" hidden="false" customHeight="false" outlineLevel="0" collapsed="false">
      <c r="A1051" s="0" t="e">
        <f aca="false">_xlfn.TAKE(Data!A1:A8,2,0)</f>
        <v>#N/A</v>
      </c>
      <c r="B1051" s="0" t="s">
        <v>1085</v>
      </c>
    </row>
    <row r="1052" customFormat="false" ht="15" hidden="false" customHeight="false" outlineLevel="0" collapsed="false">
      <c r="A1052" s="0" t="str">
        <f aca="false">_xlfn.TEXTJOIN(",",TRUE(),_xlfn.TAKE(Data!A1:A8,2,5))</f>
        <v>5,3</v>
      </c>
      <c r="B1052" s="0" t="s">
        <v>1086</v>
      </c>
    </row>
    <row r="1053" customFormat="false" ht="15" hidden="false" customHeight="false" outlineLevel="0" collapsed="false">
      <c r="A1053" s="0" t="str">
        <f aca="false">_xlfn.TEXTJOIN(",",TRUE(),_xlfn.TAKE(Data!E1:G2,1))</f>
        <v>x,y,z</v>
      </c>
      <c r="B1053" s="0" t="s">
        <v>1087</v>
      </c>
    </row>
    <row r="1054" customFormat="false" ht="15" hidden="false" customHeight="false" outlineLevel="0" collapsed="false">
      <c r="A1054" s="0" t="str">
        <f aca="false">_xlfn.TEXTJOIN(",",TRUE(),_xlfn.DROP(Data!A1:A8,5))</f>
        <v>2,7,4</v>
      </c>
      <c r="B1054" s="0" t="s">
        <v>1088</v>
      </c>
    </row>
    <row r="1055" customFormat="false" ht="15" hidden="false" customHeight="false" outlineLevel="0" collapsed="false">
      <c r="A1055" s="0" t="str">
        <f aca="false">_xlfn.TEXTJOIN(",",TRUE(),_xlfn.DROP(Data!A1:A8,-5))</f>
        <v>5,3,8</v>
      </c>
      <c r="B1055" s="0" t="s">
        <v>1089</v>
      </c>
    </row>
    <row r="1056" customFormat="false" ht="15" hidden="false" customHeight="false" outlineLevel="0" collapsed="false">
      <c r="A1056" s="0" t="str">
        <f aca="false">_xlfn.TEXTJOIN(",",TRUE(),_xlfn.DROP(Data!A1:B8,1,1))</f>
        <v>banana,cherry,apple,date,banana,apple,fig</v>
      </c>
      <c r="B1056" s="0" t="s">
        <v>1090</v>
      </c>
    </row>
    <row r="1057" customFormat="false" ht="15" hidden="false" customHeight="false" outlineLevel="0" collapsed="false">
      <c r="A1057" s="0" t="e">
        <f aca="false">_xlfn.DROP(Data!A1:A8,8)</f>
        <v>#VALUE!</v>
      </c>
      <c r="B1057" s="0" t="s">
        <v>1091</v>
      </c>
    </row>
    <row r="1058" customFormat="false" ht="15" hidden="false" customHeight="false" outlineLevel="0" collapsed="false">
      <c r="A1058" s="0" t="str">
        <f aca="false">_xlfn.TEXTJOIN(",",TRUE(),_xlfn.DROP(Data!A1:A8,0))</f>
        <v>5,3,8,1,9,2,7,4</v>
      </c>
      <c r="B1058" s="0" t="s">
        <v>1092</v>
      </c>
    </row>
    <row r="1059" customFormat="false" ht="15" hidden="false" customHeight="false" outlineLevel="0" collapsed="false">
      <c r="A1059" s="0" t="e">
        <f aca="false">_xlfn.DROP(Data!A1:A8,100)</f>
        <v>#VALUE!</v>
      </c>
      <c r="B1059" s="0" t="s">
        <v>1093</v>
      </c>
    </row>
    <row r="1060" customFormat="false" ht="15" hidden="false" customHeight="false" outlineLevel="0" collapsed="false">
      <c r="A1060" s="0" t="str">
        <f aca="false">_xlfn.TEXTJOIN(",",TRUE(),_xlfn.DROP(Data!A1:B3,,1))</f>
        <v>apple,banana,cherry</v>
      </c>
      <c r="B1060" s="0" t="s">
        <v>1094</v>
      </c>
    </row>
    <row r="1061" customFormat="false" ht="15" hidden="false" customHeight="false" outlineLevel="0" collapsed="false">
      <c r="A1061" s="0" t="str">
        <f aca="false">_xlfn.TEXTJOIN(",",TRUE(),_xlfn.DROP(Data!A1:B3,-1,-1))</f>
        <v>5,3</v>
      </c>
      <c r="B1061" s="0" t="s">
        <v>1095</v>
      </c>
    </row>
    <row r="1062" customFormat="false" ht="15" hidden="false" customHeight="false" outlineLevel="0" collapsed="false">
      <c r="A1062" s="0" t="str">
        <f aca="false">_xlfn.TEXTJOIN(",",TRUE(),_xlfn.CHOOSECOLS(Data!A1:B3,2))</f>
        <v>apple,banana,cherry</v>
      </c>
      <c r="B1062" s="0" t="s">
        <v>1096</v>
      </c>
    </row>
    <row r="1063" customFormat="false" ht="15" hidden="false" customHeight="false" outlineLevel="0" collapsed="false">
      <c r="A1063" s="0" t="str">
        <f aca="false">_xlfn.TEXTJOIN(",",TRUE(),_xlfn.CHOOSECOLS(Data!A1:B3,2,1))</f>
        <v>apple,5,banana,3,cherry,8</v>
      </c>
      <c r="B1063" s="0" t="s">
        <v>1097</v>
      </c>
    </row>
    <row r="1064" customFormat="false" ht="15" hidden="false" customHeight="false" outlineLevel="0" collapsed="false">
      <c r="A1064" s="0" t="str">
        <f aca="false">_xlfn.TEXTJOIN(",",TRUE(),_xlfn.CHOOSECOLS(Data!A1:B3,-1))</f>
        <v>apple,banana,cherry</v>
      </c>
      <c r="B1064" s="0" t="s">
        <v>1098</v>
      </c>
    </row>
    <row r="1065" customFormat="false" ht="15" hidden="false" customHeight="false" outlineLevel="0" collapsed="false">
      <c r="A1065" s="0" t="e">
        <f aca="false">_xlfn.CHOOSECOLS(Data!A1:B3,3)</f>
        <v>#VALUE!</v>
      </c>
      <c r="B1065" s="0" t="s">
        <v>1099</v>
      </c>
    </row>
    <row r="1066" customFormat="false" ht="15" hidden="false" customHeight="false" outlineLevel="0" collapsed="false">
      <c r="A1066" s="0" t="e">
        <f aca="false">_xlfn.CHOOSECOLS(Data!A1:B3,0)</f>
        <v>#VALUE!</v>
      </c>
      <c r="B1066" s="0" t="s">
        <v>1100</v>
      </c>
    </row>
    <row r="1067" customFormat="false" ht="15" hidden="false" customHeight="false" outlineLevel="0" collapsed="false">
      <c r="A1067" s="0" t="str">
        <f aca="false">_xlfn.TEXTJOIN(",",TRUE(),_xlfn.CHOOSECOLS(Data!A1:B3,1,1,2.9))</f>
        <v>5,5,apple,3,3,banana,8,8,cherry</v>
      </c>
      <c r="B1067" s="0" t="s">
        <v>1101</v>
      </c>
    </row>
    <row r="1068" customFormat="false" ht="15" hidden="false" customHeight="false" outlineLevel="0" collapsed="false">
      <c r="A1068" s="0" t="str">
        <f aca="false">_xlfn.TEXTJOIN(",",TRUE(),_xlfn.CHOOSEROWS(Data!A1:B8,1,-1))</f>
        <v>5,apple,4,fig</v>
      </c>
      <c r="B1068" s="0" t="s">
        <v>1102</v>
      </c>
    </row>
    <row r="1069" customFormat="false" ht="15" hidden="false" customHeight="false" outlineLevel="0" collapsed="false">
      <c r="A1069" s="0" t="e">
        <f aca="false">_xlfn.CHOOSEROWS(Data!A1:B8,9)</f>
        <v>#VALUE!</v>
      </c>
      <c r="B1069" s="0" t="s">
        <v>1103</v>
      </c>
    </row>
    <row r="1070" customFormat="false" ht="15" hidden="false" customHeight="false" outlineLevel="0" collapsed="false">
      <c r="A1070" s="0" t="e">
        <f aca="false">_xlfn.CHOOSEROWS(Data!A1:B8,0)</f>
        <v>#VALUE!</v>
      </c>
      <c r="B1070" s="0" t="s">
        <v>1104</v>
      </c>
    </row>
    <row r="1071" customFormat="false" ht="15" hidden="false" customHeight="false" outlineLevel="0" collapsed="false">
      <c r="A1071" s="0" t="str">
        <f aca="false">_xlfn.TEXTJOIN(",",TRUE(),_xlfn.CHOOSEROWS(Data!A1:B3,{1,3}))</f>
        <v>5,apple,8,cherry</v>
      </c>
      <c r="B1071" s="0" t="s">
        <v>1105</v>
      </c>
    </row>
    <row r="1072" customFormat="false" ht="15" hidden="false" customHeight="false" outlineLevel="0" collapsed="false">
      <c r="A1072" s="0" t="str">
        <f aca="false">_xlfn.TEXTJOIN(",",TRUE(),_xlfn.CHOOSEROWS(Data!A1:A8,-8,8))</f>
        <v>5,4</v>
      </c>
      <c r="B1072" s="0" t="s">
        <v>1106</v>
      </c>
    </row>
    <row r="1073" customFormat="false" ht="15" hidden="false" customHeight="false" outlineLevel="0" collapsed="false">
      <c r="A1073" s="0" t="e">
        <f aca="false">_xlfn.CHOOSEROWS(Data!A1:A8,"a")</f>
        <v>#VALUE!</v>
      </c>
      <c r="B1073" s="0" t="s">
        <v>1107</v>
      </c>
    </row>
    <row r="1074" customFormat="false" ht="15" hidden="false" customHeight="false" outlineLevel="0" collapsed="false">
      <c r="A1074" s="0" t="str">
        <f aca="false">_xlfn.TEXTJOIN(",",TRUE(),_xlfn.CHOOSECOLS(Data!A1:G1,{7,1}))</f>
        <v>z,5</v>
      </c>
      <c r="B1074" s="0" t="s">
        <v>1108</v>
      </c>
    </row>
    <row r="1075" customFormat="false" ht="15" hidden="false" customHeight="false" outlineLevel="0" collapsed="false">
      <c r="A1075" s="0" t="str">
        <f aca="false">_xlfn.TEXTJOIN(",",TRUE(),_xlfn.HSTACK(Data!A1:A3,Data!B1:B3))</f>
        <v>5,apple,3,banana,8,cherry</v>
      </c>
      <c r="B1075" s="0" t="s">
        <v>1109</v>
      </c>
    </row>
    <row r="1076" customFormat="false" ht="15" hidden="false" customHeight="false" outlineLevel="0" collapsed="false">
      <c r="A1076" s="0" t="str">
        <f aca="false">_xlfn.TEXTJOIN(",",TRUE(),_xlfn.VSTACK(Data!A1:A2,Data!B1:B3))</f>
        <v>5,3,apple,banana,cherry</v>
      </c>
      <c r="B1076" s="0" t="s">
        <v>1110</v>
      </c>
    </row>
    <row r="1077" customFormat="false" ht="15" hidden="false" customHeight="false" outlineLevel="0" collapsed="false">
      <c r="A1077" s="0" t="n">
        <f aca="false">SUMPRODUCT(--ISNA(_xlfn.HSTACK(Data!A1:A3,{1;2})))</f>
        <v>1</v>
      </c>
      <c r="B1077" s="0" t="s">
        <v>1111</v>
      </c>
    </row>
    <row r="1078" customFormat="false" ht="15" hidden="false" customHeight="false" outlineLevel="0" collapsed="false">
      <c r="A1078" s="0" t="n">
        <f aca="false">SUMPRODUCT(--ISNA(_xlfn.VSTACK(Data!A1:B2,{1;2;3})))</f>
        <v>3</v>
      </c>
      <c r="B1078" s="0" t="s">
        <v>1112</v>
      </c>
    </row>
    <row r="1079" customFormat="false" ht="15" hidden="false" customHeight="false" outlineLevel="0" collapsed="false">
      <c r="A1079" s="0" t="n">
        <f aca="false">ROWS(_xlfn.VSTACK(Data!A1:A2,Data!B1:B3))</f>
        <v>5</v>
      </c>
      <c r="B1079" s="0" t="s">
        <v>1113</v>
      </c>
    </row>
    <row r="1080" customFormat="false" ht="15" hidden="false" customHeight="false" outlineLevel="0" collapsed="false">
      <c r="A1080" s="0" t="n">
        <f aca="false">COLUMNS(_xlfn.HSTACK(Data!A1:A3,Data!B1:B3,Data!A1))</f>
        <v>3</v>
      </c>
      <c r="B1080" s="0" t="s">
        <v>1114</v>
      </c>
    </row>
    <row r="1081" customFormat="false" ht="15" hidden="false" customHeight="false" outlineLevel="0" collapsed="false">
      <c r="A1081" s="0" t="str">
        <f aca="false">_xlfn.TEXTJOIN(",",TRUE(),_xlfn.VSTACK(1,2,3))</f>
        <v>1,2,3</v>
      </c>
      <c r="B1081" s="0" t="s">
        <v>1115</v>
      </c>
    </row>
    <row r="1082" customFormat="false" ht="15" hidden="false" customHeight="false" outlineLevel="0" collapsed="false">
      <c r="A1082" s="0" t="str">
        <f aca="false">_xlfn.TEXTJOIN(",",TRUE(),_xlfn.HSTACK(1,2,3))</f>
        <v>1,2,3</v>
      </c>
      <c r="B1082" s="0" t="s">
        <v>1116</v>
      </c>
    </row>
    <row r="1083" customFormat="false" ht="15" hidden="false" customHeight="false" outlineLevel="0" collapsed="false">
      <c r="A1083" s="0" t="e">
        <f aca="false">_xlfn.TEXTJOIN(",",TRUE(),_xlfn.HSTACK({1;2},"a"))</f>
        <v>#N/A</v>
      </c>
      <c r="B1083" s="0" t="s">
        <v>1117</v>
      </c>
    </row>
    <row r="1084" customFormat="false" ht="15" hidden="false" customHeight="false" outlineLevel="0" collapsed="false">
      <c r="A1084" s="0" t="n">
        <f aca="false">ROWS(_xlfn.HSTACK(Data!A1:A3,Data!A1:A8))</f>
        <v>8</v>
      </c>
      <c r="B1084" s="0" t="s">
        <v>1118</v>
      </c>
    </row>
    <row r="1085" customFormat="false" ht="15" hidden="false" customHeight="false" outlineLevel="0" collapsed="false">
      <c r="A1085" s="0" t="n">
        <f aca="false">SUMPRODUCT(--ISNA(_xlfn.EXPAND(Data!A1:A3,5)))</f>
        <v>2</v>
      </c>
      <c r="B1085" s="0" t="s">
        <v>1119</v>
      </c>
    </row>
    <row r="1086" customFormat="false" ht="15" hidden="false" customHeight="false" outlineLevel="0" collapsed="false">
      <c r="A1086" s="0" t="str">
        <f aca="false">_xlfn.TEXTJOIN(",",TRUE(),_xlfn.EXPAND(Data!A1:A3,5,2,0))</f>
        <v>5,0,3,0,8,0,0,0,0,0</v>
      </c>
      <c r="B1086" s="0" t="s">
        <v>1120</v>
      </c>
    </row>
    <row r="1087" customFormat="false" ht="15" hidden="false" customHeight="false" outlineLevel="0" collapsed="false">
      <c r="A1087" s="0" t="e">
        <f aca="false">_xlfn.EXPAND(Data!A1:A3,2)</f>
        <v>#VALUE!</v>
      </c>
      <c r="B1087" s="0" t="s">
        <v>1121</v>
      </c>
    </row>
    <row r="1088" customFormat="false" ht="15" hidden="false" customHeight="false" outlineLevel="0" collapsed="false">
      <c r="A1088" s="0" t="str">
        <f aca="false">_xlfn.TEXTJOIN(",",TRUE(),_xlfn.EXPAND(Data!A1:A3,4,,"x"))</f>
        <v>5,3,8,x</v>
      </c>
      <c r="B1088" s="0" t="s">
        <v>1122</v>
      </c>
    </row>
    <row r="1089" customFormat="false" ht="15" hidden="false" customHeight="false" outlineLevel="0" collapsed="false">
      <c r="A1089" s="0" t="e">
        <f aca="false">_xlfn.EXPAND(Data!A1:A3,5,0)</f>
        <v>#VALUE!</v>
      </c>
      <c r="B1089" s="0" t="s">
        <v>1123</v>
      </c>
    </row>
    <row r="1090" customFormat="false" ht="15" hidden="false" customHeight="false" outlineLevel="0" collapsed="false">
      <c r="A1090" s="0" t="n">
        <f aca="false">ROWS(_xlfn.EXPAND(Data!A1:B2,3,3))</f>
        <v>3</v>
      </c>
      <c r="B1090" s="0" t="s">
        <v>1124</v>
      </c>
    </row>
    <row r="1091" customFormat="false" ht="15" hidden="false" customHeight="false" outlineLevel="0" collapsed="false">
      <c r="A1091" s="0" t="n">
        <f aca="false">COLUMNS(_xlfn.EXPAND(Data!A1:B2,3,3))</f>
        <v>3</v>
      </c>
      <c r="B1091" s="0" t="s">
        <v>1125</v>
      </c>
    </row>
    <row r="1092" customFormat="false" ht="15" hidden="false" customHeight="false" outlineLevel="0" collapsed="false">
      <c r="A1092" s="0" t="n">
        <f aca="false">_xlfn.EXPAND(Data!A1:A3,3,1.9)</f>
        <v>5</v>
      </c>
      <c r="B1092" s="0" t="s">
        <v>1126</v>
      </c>
    </row>
    <row r="1093" customFormat="false" ht="15" hidden="false" customHeight="false" outlineLevel="0" collapsed="false">
      <c r="A1093" s="0" t="str">
        <f aca="false">_xlfn.TEXTJOIN(",",TRUE(),_xlfn.TOCOL(Data!A1:B3))</f>
        <v>5,apple,3,banana,8,cherry</v>
      </c>
      <c r="B1093" s="0" t="s">
        <v>1127</v>
      </c>
    </row>
    <row r="1094" customFormat="false" ht="15" hidden="false" customHeight="false" outlineLevel="0" collapsed="false">
      <c r="A1094" s="0" t="str">
        <f aca="false">_xlfn.TEXTJOIN(",",TRUE(),_xlfn.TOCOL(Data!A1:B3,0,TRUE()))</f>
        <v>5,3,8,apple,banana,cherry</v>
      </c>
      <c r="B1094" s="0" t="s">
        <v>1128</v>
      </c>
    </row>
    <row r="1095" customFormat="false" ht="15" hidden="false" customHeight="false" outlineLevel="0" collapsed="false">
      <c r="A1095" s="0" t="str">
        <f aca="false">_xlfn.TEXTJOIN(",",TRUE(),_xlfn.TOROW(Data!A1:B3))</f>
        <v>5,apple,3,banana,8,cherry</v>
      </c>
      <c r="B1095" s="0" t="s">
        <v>1129</v>
      </c>
    </row>
    <row r="1096" customFormat="false" ht="15" hidden="false" customHeight="false" outlineLevel="0" collapsed="false">
      <c r="A1096" s="0" t="str">
        <f aca="false">_xlfn.TEXTJOIN(",",TRUE(),_xlfn.TOROW(Data!A1:B3,0,TRUE()))</f>
        <v>5,3,8,apple,banana,cherry</v>
      </c>
      <c r="B1096" s="0" t="s">
        <v>1130</v>
      </c>
    </row>
    <row r="1097" customFormat="false" ht="15" hidden="false" customHeight="false" outlineLevel="0" collapsed="false">
      <c r="A1097" s="0" t="n">
        <f aca="false">ROWS(_xlfn.TOCOL(Data!A1:B3))</f>
        <v>6</v>
      </c>
      <c r="B1097" s="0" t="s">
        <v>1131</v>
      </c>
    </row>
    <row r="1098" customFormat="false" ht="15" hidden="false" customHeight="false" outlineLevel="0" collapsed="false">
      <c r="A1098" s="0" t="n">
        <f aca="false">COLUMNS(_xlfn.TOROW(Data!A1:B3))</f>
        <v>6</v>
      </c>
      <c r="B1098" s="0" t="s">
        <v>1132</v>
      </c>
    </row>
    <row r="1099" customFormat="false" ht="15" hidden="false" customHeight="false" outlineLevel="0" collapsed="false">
      <c r="A1099" s="0" t="str">
        <f aca="false">_xlfn.TEXTJOIN(",",TRUE(),_xlfn.TOCOL({1,"";2,3},1))</f>
        <v>1,2,3</v>
      </c>
      <c r="B1099" s="0" t="s">
        <v>1133</v>
      </c>
    </row>
    <row r="1100" customFormat="false" ht="15" hidden="false" customHeight="false" outlineLevel="0" collapsed="false">
      <c r="A1100" s="0" t="e">
        <f aca="false">_xlfn.TOCOL(Data!A1:B3,4)</f>
        <v>#VALUE!</v>
      </c>
      <c r="B1100" s="0" t="s">
        <v>1134</v>
      </c>
    </row>
    <row r="1101" customFormat="false" ht="15" hidden="false" customHeight="false" outlineLevel="0" collapsed="false">
      <c r="A1101" s="0" t="e">
        <f aca="false">_xlfn.TEXTJOIN(",",TRUE(),_xlfn.TOCOL(5))</f>
        <v>#VALUE!</v>
      </c>
      <c r="B1101" s="0" t="s">
        <v>1135</v>
      </c>
    </row>
    <row r="1102" customFormat="false" ht="15" hidden="false" customHeight="false" outlineLevel="0" collapsed="false">
      <c r="A1102" s="0" t="e">
        <f aca="false">_xlfn.TEXTJOIN(",",TRUE(),_xlfn.WRAPCOLS(Data!A1:A8,3))</f>
        <v>#N/A</v>
      </c>
      <c r="B1102" s="0" t="s">
        <v>1136</v>
      </c>
    </row>
    <row r="1103" customFormat="false" ht="15" hidden="false" customHeight="false" outlineLevel="0" collapsed="false">
      <c r="A1103" s="0" t="e">
        <f aca="false">_xlfn.TEXTJOIN(",",TRUE(),_xlfn.WRAPROWS(Data!A1:A8,3))</f>
        <v>#N/A</v>
      </c>
      <c r="B1103" s="0" t="s">
        <v>1137</v>
      </c>
    </row>
    <row r="1104" customFormat="false" ht="15" hidden="false" customHeight="false" outlineLevel="0" collapsed="false">
      <c r="A1104" s="0" t="str">
        <f aca="false">_xlfn.TEXTJOIN(",",TRUE(),_xlfn.WRAPROWS(Data!A1:A8,3,0))</f>
        <v>5,3,8,1,9,2,7,4,0</v>
      </c>
      <c r="B1104" s="0" t="s">
        <v>1138</v>
      </c>
    </row>
    <row r="1105" customFormat="false" ht="15" hidden="false" customHeight="false" outlineLevel="0" collapsed="false">
      <c r="A1105" s="0" t="str">
        <f aca="false">_xlfn.TEXTJOIN(",",TRUE(),_xlfn.WRAPCOLS(Data!A1:A8,3,0))</f>
        <v>5,1,7,3,9,4,8,2,0</v>
      </c>
      <c r="B1105" s="0" t="s">
        <v>1139</v>
      </c>
    </row>
    <row r="1106" customFormat="false" ht="15" hidden="false" customHeight="false" outlineLevel="0" collapsed="false">
      <c r="A1106" s="0" t="n">
        <f aca="false">ROWS(_xlfn.WRAPCOLS(Data!A1:A8,3))</f>
        <v>3</v>
      </c>
      <c r="B1106" s="0" t="s">
        <v>1140</v>
      </c>
    </row>
    <row r="1107" customFormat="false" ht="15" hidden="false" customHeight="false" outlineLevel="0" collapsed="false">
      <c r="A1107" s="0" t="n">
        <f aca="false">COLUMNS(_xlfn.WRAPCOLS(Data!A1:A8,3))</f>
        <v>3</v>
      </c>
      <c r="B1107" s="0" t="s">
        <v>1141</v>
      </c>
    </row>
    <row r="1108" customFormat="false" ht="15" hidden="false" customHeight="false" outlineLevel="0" collapsed="false">
      <c r="A1108" s="0" t="n">
        <f aca="false">ROWS(_xlfn.WRAPROWS(Data!A1:A8,3))</f>
        <v>3</v>
      </c>
      <c r="B1108" s="0" t="s">
        <v>1142</v>
      </c>
    </row>
    <row r="1109" customFormat="false" ht="15" hidden="false" customHeight="false" outlineLevel="0" collapsed="false">
      <c r="A1109" s="0" t="n">
        <f aca="false">COLUMNS(_xlfn.WRAPROWS(Data!A1:A8,3))</f>
        <v>3</v>
      </c>
      <c r="B1109" s="0" t="s">
        <v>1143</v>
      </c>
    </row>
    <row r="1110" customFormat="false" ht="15" hidden="false" customHeight="false" outlineLevel="0" collapsed="false">
      <c r="A1110" s="0" t="e">
        <f aca="false">_xlfn.WRAPROWS(Data!A1:A8,0)</f>
        <v>#VALUE!</v>
      </c>
      <c r="B1110" s="0" t="s">
        <v>1144</v>
      </c>
    </row>
    <row r="1111" customFormat="false" ht="15" hidden="false" customHeight="false" outlineLevel="0" collapsed="false">
      <c r="A1111" s="0" t="e">
        <f aca="false">_xlfn.WRAPROWS(Data!A1:B3,2)</f>
        <v>#VALUE!</v>
      </c>
      <c r="B1111" s="0" t="s">
        <v>1145</v>
      </c>
    </row>
    <row r="1112" customFormat="false" ht="15" hidden="false" customHeight="false" outlineLevel="0" collapsed="false">
      <c r="A1112" s="0" t="e">
        <f aca="false">_xlfn.TEXTJOIN(",",TRUE(),_xlfn.WRAPROWS(Data!A1:A8,100))</f>
        <v>#N/A</v>
      </c>
      <c r="B1112" s="0" t="s">
        <v>1146</v>
      </c>
    </row>
    <row r="1113" customFormat="false" ht="15" hidden="false" customHeight="false" outlineLevel="0" collapsed="false">
      <c r="A1113" s="0" t="e">
        <f aca="false">_xlfn.TEXTJOIN(",",TRUE(),_xlfn.WRAPROWS(Data!A1:C1,2))</f>
        <v>#N/A</v>
      </c>
      <c r="B1113" s="0" t="s">
        <v>1147</v>
      </c>
    </row>
    <row r="1114" customFormat="false" ht="15" hidden="false" customHeight="false" outlineLevel="0" collapsed="false">
      <c r="A1114" s="0" t="n">
        <f aca="false">SUMPRODUCT(--ISNA(_xlfn.WRAPROWS(Data!A1:A8,3)))</f>
        <v>1</v>
      </c>
      <c r="B1114" s="0" t="s">
        <v>1148</v>
      </c>
    </row>
    <row r="1115" customFormat="false" ht="15" hidden="false" customHeight="false" outlineLevel="0" collapsed="false">
      <c r="A1115" s="0" t="str">
        <f aca="false">_xlfn.TEXTJOIN(",",TRUE(),_xlfn.TEXTSPLIT("a,b,c",","))</f>
        <v>a,b,c</v>
      </c>
      <c r="B1115" s="0" t="s">
        <v>1149</v>
      </c>
    </row>
    <row r="1116" customFormat="false" ht="15" hidden="false" customHeight="false" outlineLevel="0" collapsed="false">
      <c r="A1116" s="0" t="str">
        <f aca="false">_xlfn.TEXTJOIN(",",TRUE(),_xlfn.TEXTSPLIT("a,b;c,d",",",";"))</f>
        <v>a,b,c,d</v>
      </c>
      <c r="B1116" s="0" t="s">
        <v>1150</v>
      </c>
    </row>
    <row r="1117" customFormat="false" ht="15" hidden="false" customHeight="false" outlineLevel="0" collapsed="false">
      <c r="A1117" s="0" t="str">
        <f aca="false">_xlfn.TEXTJOIN(",",TRUE(),_xlfn.TEXTSPLIT("a,,b",",",,TRUE()))</f>
        <v>a,b</v>
      </c>
      <c r="B1117" s="0" t="s">
        <v>1151</v>
      </c>
    </row>
    <row r="1118" customFormat="false" ht="15" hidden="false" customHeight="false" outlineLevel="0" collapsed="false">
      <c r="A1118" s="0" t="str">
        <f aca="false">_xlfn.TEXTJOIN(",",TRUE(),_xlfn.TEXTSPLIT("a,,b",","))</f>
        <v>a,b</v>
      </c>
      <c r="B1118" s="0" t="s">
        <v>1152</v>
      </c>
    </row>
    <row r="1119" customFormat="false" ht="15" hidden="false" customHeight="false" outlineLevel="0" collapsed="false">
      <c r="A1119" s="0" t="str">
        <f aca="false">_xlfn.TEXTJOIN(",",TRUE(),_xlfn.TEXTSPLIT("aXbxc","x",,FALSE(),1))</f>
        <v>a,b,c</v>
      </c>
      <c r="B1119" s="0" t="s">
        <v>1153</v>
      </c>
    </row>
    <row r="1120" customFormat="false" ht="15" hidden="false" customHeight="false" outlineLevel="0" collapsed="false">
      <c r="A1120" s="0" t="str">
        <f aca="false">_xlfn.TEXTJOIN(",",TRUE(),_xlfn.TEXTSPLIT("aXbxc","x"))</f>
        <v>aXb,c</v>
      </c>
      <c r="B1120" s="0" t="s">
        <v>1154</v>
      </c>
    </row>
    <row r="1121" customFormat="false" ht="15" hidden="false" customHeight="false" outlineLevel="0" collapsed="false">
      <c r="A1121" s="0" t="str">
        <f aca="false">_xlfn.TEXTJOIN(",",TRUE(),_xlfn.TEXTSPLIT("a,b;c",",",";",FALSE(),0,"-"))</f>
        <v>a,b,c,-</v>
      </c>
      <c r="B1121" s="0" t="s">
        <v>1155</v>
      </c>
    </row>
    <row r="1122" customFormat="false" ht="15" hidden="false" customHeight="false" outlineLevel="0" collapsed="false">
      <c r="A1122" s="0" t="n">
        <f aca="false">ROWS(_xlfn.TEXTSPLIT("a,b;c,d",",",";"))</f>
        <v>2</v>
      </c>
      <c r="B1122" s="0" t="s">
        <v>1156</v>
      </c>
    </row>
    <row r="1123" customFormat="false" ht="15" hidden="false" customHeight="false" outlineLevel="0" collapsed="false">
      <c r="A1123" s="0" t="n">
        <f aca="false">COLUMNS(_xlfn.TEXTSPLIT("a,b;c,d",",",";"))</f>
        <v>2</v>
      </c>
      <c r="B1123" s="0" t="s">
        <v>1157</v>
      </c>
    </row>
    <row r="1124" customFormat="false" ht="15" hidden="false" customHeight="false" outlineLevel="0" collapsed="false">
      <c r="A1124" s="0" t="n">
        <f aca="false">SUMPRODUCT(--ISNA(_xlfn.TEXTSPLIT("a,b;c",",",";")))</f>
        <v>1</v>
      </c>
      <c r="B1124" s="0" t="s">
        <v>1158</v>
      </c>
    </row>
    <row r="1125" customFormat="false" ht="15" hidden="false" customHeight="false" outlineLevel="0" collapsed="false">
      <c r="A1125" s="0" t="str">
        <f aca="false">_xlfn.TEXTJOIN(",",TRUE(),_xlfn.TEXTSPLIT("a1b2c",{"1","2"}))</f>
        <v>a,b,c</v>
      </c>
      <c r="B1125" s="0" t="s">
        <v>1159</v>
      </c>
    </row>
    <row r="1126" customFormat="false" ht="15" hidden="false" customHeight="false" outlineLevel="0" collapsed="false">
      <c r="A1126" s="0" t="str">
        <f aca="false">_xlfn.TEXTJOIN(",",TRUE(),_xlfn.TEXTSPLIT("a,b|c",{",","|"}))</f>
        <v>a,b,c</v>
      </c>
      <c r="B1126" s="0" t="s">
        <v>1160</v>
      </c>
    </row>
    <row r="1127" customFormat="false" ht="15" hidden="false" customHeight="false" outlineLevel="0" collapsed="false">
      <c r="A1127" s="0" t="str">
        <f aca="false">_xlfn.TEXTSPLIT("abc","")</f>
        <v>abc</v>
      </c>
      <c r="B1127" s="0" t="s">
        <v>1161</v>
      </c>
    </row>
    <row r="1128" customFormat="false" ht="15" hidden="false" customHeight="false" outlineLevel="0" collapsed="false">
      <c r="A1128" s="0" t="str">
        <f aca="false">_xlfn.TEXTJOIN(",",TRUE(),_xlfn.TEXTSPLIT("abc","x"))</f>
        <v>abc</v>
      </c>
      <c r="B1128" s="0" t="s">
        <v>1162</v>
      </c>
    </row>
    <row r="1129" customFormat="false" ht="15" hidden="false" customHeight="false" outlineLevel="0" collapsed="false">
      <c r="A1129" s="0" t="e">
        <f aca="false">_xlfn.TEXTJOIN(",",TRUE(),_xlfn.TEXTSPLIT("",","))</f>
        <v>#VALUE!</v>
      </c>
      <c r="B1129" s="0" t="s">
        <v>1163</v>
      </c>
    </row>
    <row r="1130" customFormat="false" ht="15" hidden="false" customHeight="false" outlineLevel="0" collapsed="false">
      <c r="A1130" s="0" t="str">
        <f aca="false">_xlfn.TEXTJOIN(",",TRUE(),_xlfn.TEXTSPLIT("a,b",,","))</f>
        <v>a,b</v>
      </c>
      <c r="B1130" s="0" t="s">
        <v>1164</v>
      </c>
    </row>
    <row r="1131" customFormat="false" ht="15" hidden="false" customHeight="false" outlineLevel="0" collapsed="false">
      <c r="A1131" s="0" t="str">
        <f aca="false">_xlfn.TEXTJOIN(",",TRUE(),_xlfn.TEXTSPLIT("a,b",",",,FALSE(),2))</f>
        <v>a,b</v>
      </c>
      <c r="B1131" s="0" t="s">
        <v>1165</v>
      </c>
    </row>
    <row r="1132" customFormat="false" ht="15" hidden="false" customHeight="false" outlineLevel="0" collapsed="false">
      <c r="A1132" s="0" t="str">
        <f aca="false">_xlfn.TEXTJOIN(",",TRUE(),_xlfn.TEXTSPLIT(123,2))</f>
        <v>1,3</v>
      </c>
      <c r="B1132" s="0" t="s">
        <v>1166</v>
      </c>
    </row>
    <row r="1133" customFormat="false" ht="15" hidden="false" customHeight="false" outlineLevel="0" collapsed="false">
      <c r="A1133" s="0" t="str">
        <f aca="false">_xlfn.TEXTJOIN(",",TRUE(),_xlfn.TEXTSPLIT(",a,",",",,TRUE()))</f>
        <v>a</v>
      </c>
      <c r="B1133" s="0" t="s">
        <v>1167</v>
      </c>
    </row>
    <row r="1134" customFormat="false" ht="15" hidden="false" customHeight="false" outlineLevel="0" collapsed="false">
      <c r="A1134" s="0" t="str">
        <f aca="false">_xlfn.TEXTJOIN(",",TRUE(),_xlfn.TEXTSPLIT("a  b"," "))</f>
        <v>a,b</v>
      </c>
      <c r="B1134" s="0" t="s">
        <v>1168</v>
      </c>
    </row>
    <row r="1135" customFormat="false" ht="15" hidden="false" customHeight="false" outlineLevel="0" collapsed="false">
      <c r="A1135" s="0" t="e">
        <f aca="false">_xlfn.TEXTJOIN(",",TRUE(),_xlfn.TEXTSPLIT("a;;b,c",",",";",TRUE()))</f>
        <v>#N/A</v>
      </c>
      <c r="B1135" s="0" t="s">
        <v>1169</v>
      </c>
    </row>
    <row r="1136" customFormat="false" ht="15" hidden="false" customHeight="false" outlineLevel="0" collapsed="false">
      <c r="A1136" s="0" t="str">
        <f aca="false">_xlfn.TEXTBEFORE("a-b-c","-")</f>
        <v>a</v>
      </c>
      <c r="B1136" s="0" t="s">
        <v>1170</v>
      </c>
    </row>
    <row r="1137" customFormat="false" ht="15" hidden="false" customHeight="false" outlineLevel="0" collapsed="false">
      <c r="A1137" s="0" t="str">
        <f aca="false">_xlfn.TEXTBEFORE("a-b-c","-",2)</f>
        <v>a-b</v>
      </c>
      <c r="B1137" s="0" t="s">
        <v>1171</v>
      </c>
    </row>
    <row r="1138" customFormat="false" ht="15" hidden="false" customHeight="false" outlineLevel="0" collapsed="false">
      <c r="A1138" s="0" t="str">
        <f aca="false">_xlfn.TEXTBEFORE("a-b-c","-",-1)</f>
        <v>a-b</v>
      </c>
      <c r="B1138" s="0" t="s">
        <v>1172</v>
      </c>
    </row>
    <row r="1139" customFormat="false" ht="15" hidden="false" customHeight="false" outlineLevel="0" collapsed="false">
      <c r="A1139" s="0" t="str">
        <f aca="false">_xlfn.TEXTBEFORE("a-b-c","-",-2)</f>
        <v>a</v>
      </c>
      <c r="B1139" s="0" t="s">
        <v>1173</v>
      </c>
    </row>
    <row r="1140" customFormat="false" ht="15" hidden="false" customHeight="false" outlineLevel="0" collapsed="false">
      <c r="A1140" s="0" t="e">
        <f aca="false">_xlfn.TEXTBEFORE("a-b-c","-",4)</f>
        <v>#N/A</v>
      </c>
      <c r="B1140" s="0" t="s">
        <v>1174</v>
      </c>
    </row>
    <row r="1141" customFormat="false" ht="15" hidden="false" customHeight="false" outlineLevel="0" collapsed="false">
      <c r="A1141" s="0" t="str">
        <f aca="false">_xlfn.TEXTBEFORE("a-b-c","x",1,0,0,"none")</f>
        <v>none</v>
      </c>
      <c r="B1141" s="0" t="s">
        <v>1175</v>
      </c>
    </row>
    <row r="1142" customFormat="false" ht="15" hidden="false" customHeight="false" outlineLevel="0" collapsed="false">
      <c r="A1142" s="0" t="str">
        <f aca="false">_xlfn.TEXTBEFORE("A-b","a",1,1)</f>
        <v/>
      </c>
      <c r="B1142" s="0" t="s">
        <v>1176</v>
      </c>
    </row>
    <row r="1143" customFormat="false" ht="15" hidden="false" customHeight="false" outlineLevel="0" collapsed="false">
      <c r="A1143" s="0" t="e">
        <f aca="false">_xlfn.TEXTBEFORE("A-b","a")</f>
        <v>#N/A</v>
      </c>
      <c r="B1143" s="0" t="s">
        <v>1177</v>
      </c>
    </row>
    <row r="1144" customFormat="false" ht="15" hidden="false" customHeight="false" outlineLevel="0" collapsed="false">
      <c r="A1144" s="0" t="str">
        <f aca="false">_xlfn.TEXTBEFORE("abc","c",1,0,1)</f>
        <v>ab</v>
      </c>
      <c r="B1144" s="0" t="s">
        <v>1178</v>
      </c>
    </row>
    <row r="1145" customFormat="false" ht="15" hidden="false" customHeight="false" outlineLevel="0" collapsed="false">
      <c r="A1145" s="0" t="str">
        <f aca="false">_xlfn.TEXTBEFORE("abc","d",1,0,1)</f>
        <v>abc</v>
      </c>
      <c r="B1145" s="0" t="s">
        <v>1179</v>
      </c>
    </row>
    <row r="1146" customFormat="false" ht="15" hidden="false" customHeight="false" outlineLevel="0" collapsed="false">
      <c r="A1146" s="0" t="e">
        <f aca="false">_xlfn.TEXTBEFORE("a-b-c","-",0)</f>
        <v>#N/A</v>
      </c>
      <c r="B1146" s="0" t="s">
        <v>1180</v>
      </c>
    </row>
    <row r="1147" customFormat="false" ht="15" hidden="false" customHeight="false" outlineLevel="0" collapsed="false">
      <c r="A1147" s="0" t="e">
        <f aca="false">_xlfn.TEXTBEFORE("a-b-c","")</f>
        <v>#N/A</v>
      </c>
      <c r="B1147" s="0" t="s">
        <v>1181</v>
      </c>
    </row>
    <row r="1148" customFormat="false" ht="15" hidden="false" customHeight="false" outlineLevel="0" collapsed="false">
      <c r="A1148" s="0" t="e">
        <f aca="false">_xlfn.TEXTBEFORE("abc","",-1)</f>
        <v>#N/A</v>
      </c>
      <c r="B1148" s="0" t="s">
        <v>1182</v>
      </c>
    </row>
    <row r="1149" customFormat="false" ht="15" hidden="false" customHeight="false" outlineLevel="0" collapsed="false">
      <c r="A1149" s="0" t="e">
        <f aca="false">_xlfn.TEXTBEFORE("a-b-c","-",5,0,1)</f>
        <v>#N/A</v>
      </c>
      <c r="B1149" s="0" t="s">
        <v>1183</v>
      </c>
    </row>
    <row r="1150" customFormat="false" ht="15" hidden="false" customHeight="false" outlineLevel="0" collapsed="false">
      <c r="A1150" s="0" t="str">
        <f aca="false">_xlfn.TEXTBEFORE("a-b-c",{"-","b"})</f>
        <v>a</v>
      </c>
      <c r="B1150" s="0" t="s">
        <v>1184</v>
      </c>
    </row>
    <row r="1151" customFormat="false" ht="15" hidden="false" customHeight="false" outlineLevel="0" collapsed="false">
      <c r="A1151" s="0" t="e">
        <f aca="false">_xlfn.TEXTBEFORE("a-b-c","-",-3)</f>
        <v>#N/A</v>
      </c>
      <c r="B1151" s="0" t="s">
        <v>1185</v>
      </c>
    </row>
    <row r="1152" customFormat="false" ht="15" hidden="false" customHeight="false" outlineLevel="0" collapsed="false">
      <c r="A1152" s="0" t="str">
        <f aca="false">_xlfn.TEXTBEFORE("a--b","--")</f>
        <v>a</v>
      </c>
      <c r="B1152" s="0" t="s">
        <v>1186</v>
      </c>
    </row>
    <row r="1153" customFormat="false" ht="15" hidden="false" customHeight="false" outlineLevel="0" collapsed="false">
      <c r="A1153" s="0" t="str">
        <f aca="false">_xlfn.TEXTBEFORE(12345,3)</f>
        <v>12</v>
      </c>
      <c r="B1153" s="0" t="s">
        <v>1187</v>
      </c>
    </row>
    <row r="1154" customFormat="false" ht="15" hidden="false" customHeight="false" outlineLevel="0" collapsed="false">
      <c r="A1154" s="0" t="e">
        <f aca="false">_xlfn.TEXTBEFORE("","a")</f>
        <v>#VALUE!</v>
      </c>
      <c r="B1154" s="0" t="s">
        <v>1188</v>
      </c>
    </row>
    <row r="1155" customFormat="false" ht="15" hidden="false" customHeight="false" outlineLevel="0" collapsed="false">
      <c r="A1155" s="0" t="e">
        <f aca="false">_xlfn.TEXTBEFORE("aaa","aa",2)</f>
        <v>#N/A</v>
      </c>
      <c r="B1155" s="0" t="s">
        <v>1189</v>
      </c>
    </row>
    <row r="1156" customFormat="false" ht="15" hidden="false" customHeight="false" outlineLevel="0" collapsed="false">
      <c r="A1156" s="0" t="str">
        <f aca="false">_xlfn.TEXTAFTER("a-b-c","-")</f>
        <v>b-c</v>
      </c>
      <c r="B1156" s="0" t="s">
        <v>1190</v>
      </c>
    </row>
    <row r="1157" customFormat="false" ht="15" hidden="false" customHeight="false" outlineLevel="0" collapsed="false">
      <c r="A1157" s="0" t="str">
        <f aca="false">_xlfn.TEXTAFTER("a-b-c","-",2)</f>
        <v>c</v>
      </c>
      <c r="B1157" s="0" t="s">
        <v>1191</v>
      </c>
    </row>
    <row r="1158" customFormat="false" ht="15" hidden="false" customHeight="false" outlineLevel="0" collapsed="false">
      <c r="A1158" s="0" t="str">
        <f aca="false">_xlfn.TEXTAFTER("a-b-c","-",-1)</f>
        <v>c</v>
      </c>
      <c r="B1158" s="0" t="s">
        <v>1192</v>
      </c>
    </row>
    <row r="1159" customFormat="false" ht="15" hidden="false" customHeight="false" outlineLevel="0" collapsed="false">
      <c r="A1159" s="0" t="str">
        <f aca="false">_xlfn.TEXTAFTER("a-b-c","-",-2)</f>
        <v>b-c</v>
      </c>
      <c r="B1159" s="0" t="s">
        <v>1193</v>
      </c>
    </row>
    <row r="1160" customFormat="false" ht="15" hidden="false" customHeight="false" outlineLevel="0" collapsed="false">
      <c r="A1160" s="0" t="e">
        <f aca="false">_xlfn.TEXTAFTER("a-b-c","-",4)</f>
        <v>#N/A</v>
      </c>
      <c r="B1160" s="0" t="s">
        <v>1194</v>
      </c>
    </row>
    <row r="1161" customFormat="false" ht="15" hidden="false" customHeight="false" outlineLevel="0" collapsed="false">
      <c r="A1161" s="0" t="str">
        <f aca="false">_xlfn.TEXTAFTER("a-b-c","x",1,0,0,"none")</f>
        <v>none</v>
      </c>
      <c r="B1161" s="0" t="s">
        <v>1195</v>
      </c>
    </row>
    <row r="1162" customFormat="false" ht="15" hidden="false" customHeight="false" outlineLevel="0" collapsed="false">
      <c r="A1162" s="0" t="str">
        <f aca="false">_xlfn.TEXTAFTER("A-b","a",1,1)</f>
        <v>-b</v>
      </c>
      <c r="B1162" s="0" t="s">
        <v>1196</v>
      </c>
    </row>
    <row r="1163" customFormat="false" ht="15" hidden="false" customHeight="false" outlineLevel="0" collapsed="false">
      <c r="A1163" s="0" t="str">
        <f aca="false">_xlfn.TEXTAFTER("abc","c",1,0,1)</f>
        <v/>
      </c>
      <c r="B1163" s="0" t="s">
        <v>1197</v>
      </c>
    </row>
    <row r="1164" customFormat="false" ht="15" hidden="false" customHeight="false" outlineLevel="0" collapsed="false">
      <c r="A1164" s="0" t="str">
        <f aca="false">_xlfn.TEXTAFTER("abc","d",1,0,1)</f>
        <v/>
      </c>
      <c r="B1164" s="0" t="s">
        <v>1198</v>
      </c>
    </row>
    <row r="1165" customFormat="false" ht="15" hidden="false" customHeight="false" outlineLevel="0" collapsed="false">
      <c r="A1165" s="0" t="e">
        <f aca="false">_xlfn.TEXTAFTER("a-b-c","-",0)</f>
        <v>#N/A</v>
      </c>
      <c r="B1165" s="0" t="s">
        <v>1199</v>
      </c>
    </row>
    <row r="1166" customFormat="false" ht="15" hidden="false" customHeight="false" outlineLevel="0" collapsed="false">
      <c r="A1166" s="0" t="e">
        <f aca="false">_xlfn.TEXTAFTER("a-b-c","")</f>
        <v>#N/A</v>
      </c>
      <c r="B1166" s="0" t="s">
        <v>1200</v>
      </c>
    </row>
    <row r="1167" customFormat="false" ht="15" hidden="false" customHeight="false" outlineLevel="0" collapsed="false">
      <c r="A1167" s="0" t="e">
        <f aca="false">_xlfn.TEXTAFTER("abc","",-1)</f>
        <v>#N/A</v>
      </c>
      <c r="B1167" s="0" t="s">
        <v>1201</v>
      </c>
    </row>
    <row r="1168" customFormat="false" ht="15" hidden="false" customHeight="false" outlineLevel="0" collapsed="false">
      <c r="A1168" s="0" t="e">
        <f aca="false">_xlfn.TEXTAFTER("a-b-c","-",5,0,1)</f>
        <v>#N/A</v>
      </c>
      <c r="B1168" s="0" t="s">
        <v>1202</v>
      </c>
    </row>
    <row r="1169" customFormat="false" ht="15" hidden="false" customHeight="false" outlineLevel="0" collapsed="false">
      <c r="A1169" s="0" t="str">
        <f aca="false">_xlfn.TEXTAFTER("a-b-c",{"-","b"})</f>
        <v>b-c</v>
      </c>
      <c r="B1169" s="0" t="s">
        <v>1203</v>
      </c>
    </row>
    <row r="1170" customFormat="false" ht="15" hidden="false" customHeight="false" outlineLevel="0" collapsed="false">
      <c r="A1170" s="0" t="str">
        <f aca="false">_xlfn.TEXTAFTER("a--b","--")</f>
        <v>b</v>
      </c>
      <c r="B1170" s="0" t="s">
        <v>1204</v>
      </c>
    </row>
    <row r="1171" customFormat="false" ht="15" hidden="false" customHeight="false" outlineLevel="0" collapsed="false">
      <c r="A1171" s="0" t="e">
        <f aca="false">_xlfn.TEXTAFTER("aaa","aa",2)</f>
        <v>#N/A</v>
      </c>
      <c r="B1171" s="0" t="s">
        <v>1205</v>
      </c>
    </row>
    <row r="1172" customFormat="false" ht="15" hidden="false" customHeight="false" outlineLevel="0" collapsed="false">
      <c r="A1172" s="0" t="n">
        <f aca="false">ROWS(_xlfn.RANDARRAY(3))</f>
        <v>3</v>
      </c>
      <c r="B1172" s="0" t="s">
        <v>1206</v>
      </c>
    </row>
    <row r="1173" customFormat="false" ht="15" hidden="false" customHeight="false" outlineLevel="0" collapsed="false">
      <c r="A1173" s="0" t="n">
        <f aca="false">COLUMNS(_xlfn.RANDARRAY(2,4))</f>
        <v>4</v>
      </c>
      <c r="B1173" s="0" t="s">
        <v>1207</v>
      </c>
    </row>
    <row r="1174" customFormat="false" ht="15" hidden="false" customHeight="false" outlineLevel="0" collapsed="false">
      <c r="A1174" s="0" t="n">
        <f aca="false">SUMPRODUCT(--(_xlfn.RANDARRAY(5,5,10,20)&gt;=10))</f>
        <v>25</v>
      </c>
      <c r="B1174" s="0" t="s">
        <v>1208</v>
      </c>
    </row>
    <row r="1175" customFormat="false" ht="15" hidden="false" customHeight="false" outlineLevel="0" collapsed="false">
      <c r="A1175" s="0" t="n">
        <f aca="false">MAX(_xlfn.RANDARRAY(100,1,5,5,TRUE()))</f>
        <v>5</v>
      </c>
      <c r="B1175" s="0" t="s">
        <v>1209</v>
      </c>
    </row>
    <row r="1176" customFormat="false" ht="15" hidden="false" customHeight="false" outlineLevel="0" collapsed="false">
      <c r="A1176" s="0" t="n">
        <f aca="false">SUMPRODUCT(--(_xlfn.RANDARRAY(20,5,1,3,TRUE())&lt;&gt;INT(_xlfn.RANDARRAY(20,5,1,3,TRUE())*0)))</f>
        <v>100</v>
      </c>
      <c r="B1176" s="0" t="s">
        <v>1210</v>
      </c>
    </row>
    <row r="1177" customFormat="false" ht="15" hidden="false" customHeight="false" outlineLevel="0" collapsed="false">
      <c r="A1177" s="0" t="e">
        <f aca="false">_xlfn.RANDARRAY(0)</f>
        <v>#VALUE!</v>
      </c>
      <c r="B1177" s="0" t="s">
        <v>1211</v>
      </c>
    </row>
    <row r="1178" customFormat="false" ht="15" hidden="false" customHeight="false" outlineLevel="0" collapsed="false">
      <c r="A1178" s="0" t="e">
        <f aca="false">_xlfn.RANDARRAY(2,2,5,1)</f>
        <v>#VALUE!</v>
      </c>
      <c r="B1178" s="0" t="s">
        <v>1212</v>
      </c>
    </row>
    <row r="1179" customFormat="false" ht="15" hidden="false" customHeight="false" outlineLevel="0" collapsed="false">
      <c r="A1179" s="0" t="n">
        <f aca="false">SUMPRODUCT(--(_xlfn.RANDARRAY(10,10,1,2,TRUE())&gt;2))</f>
        <v>0</v>
      </c>
      <c r="B1179" s="0" t="s">
        <v>1213</v>
      </c>
    </row>
    <row r="1180" customFormat="false" ht="15" hidden="false" customHeight="false" outlineLevel="0" collapsed="false">
      <c r="A1180" s="0" t="str">
        <f aca="false">_xlfn.ENCODEURL("a b&amp;c/ñ")</f>
        <v>a%20b%26c%2F%C3%B1</v>
      </c>
      <c r="B1180" s="0" t="s">
        <v>1214</v>
      </c>
    </row>
    <row r="1181" customFormat="false" ht="15" hidden="false" customHeight="false" outlineLevel="0" collapsed="false">
      <c r="A1181" s="0" t="str">
        <f aca="false">_xlfn.ENCODEURL("-._~")</f>
        <v>-%2E_%7E</v>
      </c>
      <c r="B1181" s="0" t="s">
        <v>1215</v>
      </c>
    </row>
    <row r="1182" customFormat="false" ht="15" hidden="false" customHeight="false" outlineLevel="0" collapsed="false">
      <c r="A1182" s="0" t="str">
        <f aca="false">_xlfn.ENCODEURL("€")</f>
        <v>%E2%82%AC</v>
      </c>
      <c r="B1182" s="0" t="s">
        <v>1216</v>
      </c>
    </row>
    <row r="1183" customFormat="false" ht="15" hidden="false" customHeight="false" outlineLevel="0" collapsed="false">
      <c r="A1183" s="0" t="e">
        <f aca="false">_xlfn.ENCODEURL("")</f>
        <v>#VALUE!</v>
      </c>
      <c r="B1183" s="0" t="s">
        <v>1217</v>
      </c>
    </row>
    <row r="1184" customFormat="false" ht="15" hidden="false" customHeight="false" outlineLevel="0" collapsed="false">
      <c r="A1184" s="0" t="str">
        <f aca="false">_xlfn.ENCODEURL("100%")</f>
        <v>100%25</v>
      </c>
      <c r="B1184" s="0" t="s">
        <v>1218</v>
      </c>
    </row>
    <row r="1185" customFormat="false" ht="15" hidden="false" customHeight="false" outlineLevel="0" collapsed="false">
      <c r="A1185" s="0" t="str">
        <f aca="false">_xlfn.ENCODEURL("a+b=c?d#e")</f>
        <v>a%2Bb%3Dc%3Fd%23e</v>
      </c>
      <c r="B1185" s="0" t="s">
        <v>1219</v>
      </c>
    </row>
    <row r="1186" customFormat="false" ht="15" hidden="false" customHeight="false" outlineLevel="0" collapsed="false">
      <c r="A1186" s="0" t="str">
        <f aca="false">_xlfn.ENCODEURL(123.5)</f>
        <v>123%2E5</v>
      </c>
      <c r="B1186" s="0" t="s">
        <v>1220</v>
      </c>
    </row>
    <row r="1187" customFormat="false" ht="15" hidden="false" customHeight="false" outlineLevel="0" collapsed="false">
      <c r="A1187" s="0" t="str">
        <f aca="false">_xlfn.ENCODEURL("日本")</f>
        <v>%E6%97%A5%E6%9C%AC</v>
      </c>
      <c r="B1187" s="0" t="s">
        <v>1221</v>
      </c>
    </row>
    <row r="1188" customFormat="false" ht="15" hidden="false" customHeight="false" outlineLevel="0" collapsed="false">
      <c r="A1188" s="0" t="str">
        <f aca="false">_xlfn.ENCODEURL("a,b;c:d@e!f*g(h)i'j")</f>
        <v>a%2Cb%3Bc%3Ad%40e%21f%2Ag%28h%29i%27j</v>
      </c>
      <c r="B1188" s="0" t="s">
        <v>1222</v>
      </c>
    </row>
    <row r="1189" customFormat="false" ht="15" hidden="false" customHeight="false" outlineLevel="0" collapsed="false">
      <c r="A1189" s="0" t="str">
        <f aca="false">_xlfn.ENCODEURL("😀")</f>
        <v>%F0%9F%98%80</v>
      </c>
      <c r="B1189" s="0" t="s">
        <v>1223</v>
      </c>
    </row>
    <row r="1190" customFormat="false" ht="15" hidden="false" customHeight="false" outlineLevel="0" collapsed="false">
      <c r="A1190" s="0" t="str">
        <f aca="false">_xlfn.ENCODEURL("\\[]{}|&lt;&gt;^`")</f>
        <v>%5C%5C%5B%5D%7B%7D%7C%3C%3E%5E%60</v>
      </c>
      <c r="B1190" s="0" t="s">
        <v>1224</v>
      </c>
    </row>
    <row r="1191" customFormat="false" ht="15" hidden="false" customHeight="false" outlineLevel="0" collapsed="false">
      <c r="A1191" s="0" t="str">
        <f aca="false">_xlfn.ENCODEURL(CHAR(10))</f>
        <v>%0A</v>
      </c>
      <c r="B1191" s="0" t="s">
        <v>1225</v>
      </c>
    </row>
    <row r="1192" customFormat="false" ht="15" hidden="false" customHeight="false" outlineLevel="0" collapsed="false">
      <c r="A1192" s="0" t="str">
        <f aca="false">ROT13("Hello, World!")</f>
        <v>Uryyb, Jbeyq!</v>
      </c>
      <c r="B1192" s="0" t="s">
        <v>1226</v>
      </c>
    </row>
    <row r="1193" customFormat="false" ht="15" hidden="false" customHeight="false" outlineLevel="0" collapsed="false">
      <c r="A1193" s="0" t="str">
        <f aca="false">ROT13("abcxyzABCXYZ123")</f>
        <v>nopklmNOPKLM123</v>
      </c>
      <c r="B1193" s="0" t="s">
        <v>1227</v>
      </c>
    </row>
    <row r="1194" customFormat="false" ht="15" hidden="false" customHeight="false" outlineLevel="0" collapsed="false">
      <c r="A1194" s="0" t="str">
        <f aca="false">ROT13("ñ")</f>
        <v>ñ</v>
      </c>
      <c r="B1194" s="0" t="s">
        <v>1228</v>
      </c>
    </row>
    <row r="1195" customFormat="false" ht="15" hidden="false" customHeight="false" outlineLevel="0" collapsed="false">
      <c r="A1195" s="0" t="str">
        <f aca="false">ROT13("")</f>
        <v/>
      </c>
      <c r="B1195" s="0" t="s">
        <v>1229</v>
      </c>
    </row>
    <row r="1196" customFormat="false" ht="15" hidden="false" customHeight="false" outlineLevel="0" collapsed="false">
      <c r="A1196" s="0" t="str">
        <f aca="false">ROT13(123)</f>
        <v>123</v>
      </c>
      <c r="B1196" s="0" t="s">
        <v>1230</v>
      </c>
    </row>
    <row r="1197" customFormat="false" ht="15" hidden="false" customHeight="false" outlineLevel="0" collapsed="false">
      <c r="A1197" s="0" t="n">
        <f aca="false">INDEX(_xlfn._xlws.SORT(Data!E1:E3),1)</f>
        <v>10</v>
      </c>
      <c r="B1197" s="0" t="s">
        <v>1231</v>
      </c>
    </row>
    <row r="1198" customFormat="false" ht="15" hidden="false" customHeight="false" outlineLevel="0" collapsed="false">
      <c r="A1198" s="0" t="str">
        <f aca="false">INDEX(_xlfn._xlws.SORT(Data!E1:E3),2)</f>
        <v>x</v>
      </c>
      <c r="B1198" s="0" t="s">
        <v>1232</v>
      </c>
    </row>
    <row r="1199" customFormat="false" ht="15" hidden="false" customHeight="false" outlineLevel="0" collapsed="false">
      <c r="A1199" s="0" t="str">
        <f aca="false">INDEX(_xlfn._xlws.SORT(Data!E1:E3),3)</f>
        <v/>
      </c>
      <c r="B1199" s="0" t="s">
        <v>1233</v>
      </c>
    </row>
    <row r="1200" customFormat="false" ht="15" hidden="false" customHeight="false" outlineLevel="0" collapsed="false">
      <c r="A1200" s="0" t="str">
        <f aca="false">INDEX(_xlfn._xlws.SORT(Data!E1:E3,1,-1),1)</f>
        <v>x</v>
      </c>
      <c r="B1200" s="0" t="s">
        <v>1234</v>
      </c>
    </row>
    <row r="1201" customFormat="false" ht="15" hidden="false" customHeight="false" outlineLevel="0" collapsed="false">
      <c r="A1201" s="0" t="n">
        <f aca="false">INDEX(_xlfn._xlws.SORT(Data!E1:E3,1,-1),2)</f>
        <v>10</v>
      </c>
      <c r="B1201" s="0" t="s">
        <v>1235</v>
      </c>
    </row>
    <row r="1202" customFormat="false" ht="15" hidden="false" customHeight="false" outlineLevel="0" collapsed="false">
      <c r="A1202" s="0" t="str">
        <f aca="false">INDEX(_xlfn._xlws.SORT(Data!E1:E3,1,-1),3)</f>
        <v/>
      </c>
      <c r="B1202" s="0" t="s">
        <v>1236</v>
      </c>
    </row>
    <row r="1203" customFormat="false" ht="15" hidden="false" customHeight="false" outlineLevel="0" collapsed="false">
      <c r="A1203" s="2" t="b">
        <f aca="false">ISBLANK(INDEX(_xlfn._xlws.SORT(Data!E1:E3),3))</f>
        <v>0</v>
      </c>
      <c r="B1203" s="0" t="s">
        <v>1237</v>
      </c>
    </row>
    <row r="1204" customFormat="false" ht="15" hidden="false" customHeight="false" outlineLevel="0" collapsed="false">
      <c r="A1204" s="0" t="e">
        <f aca="false">_xlfn.TOCOL(Data!D1:D2,1)</f>
        <v>#N/A</v>
      </c>
      <c r="B1204" s="0" t="s">
        <v>1238</v>
      </c>
    </row>
    <row r="1205" customFormat="false" ht="15" hidden="false" customHeight="false" outlineLevel="0" collapsed="false">
      <c r="A1205" s="0" t="n">
        <f aca="false">_xlfn.TOCOL(Data!D1:D2)</f>
        <v>0</v>
      </c>
      <c r="B1205" s="0" t="s">
        <v>1239</v>
      </c>
    </row>
    <row r="1206" customFormat="false" ht="15" hidden="false" customHeight="false" outlineLevel="0" collapsed="false">
      <c r="A1206" s="0" t="n">
        <f aca="false">ROWS(_xlfn.TOCOL(Data!D1:D2))</f>
        <v>2</v>
      </c>
      <c r="B1206" s="0" t="s">
        <v>1240</v>
      </c>
    </row>
    <row r="1207" customFormat="false" ht="15" hidden="false" customHeight="false" outlineLevel="0" collapsed="false">
      <c r="A1207" s="0" t="str">
        <f aca="false">_xlfn.TEXTJOIN(",",FALSE(),_xlfn.TOCOL(Data!E1:E3))</f>
        <v>x,10,</v>
      </c>
      <c r="B1207" s="0" t="s">
        <v>1241</v>
      </c>
    </row>
    <row r="1208" customFormat="false" ht="15" hidden="false" customHeight="false" outlineLevel="0" collapsed="false">
      <c r="A1208" s="0" t="n">
        <f aca="false">ROWS(_xlfn.TOCOL(Data!E1:E3,1))</f>
        <v>2</v>
      </c>
      <c r="B1208" s="0" t="s">
        <v>1242</v>
      </c>
    </row>
    <row r="1209" customFormat="false" ht="15" hidden="false" customHeight="false" outlineLevel="0" collapsed="false">
      <c r="A1209" s="0" t="e">
        <f aca="false">_xlfn.TOROW(Data!D1:D2,3)</f>
        <v>#N/A</v>
      </c>
      <c r="B1209" s="0" t="s">
        <v>1243</v>
      </c>
    </row>
    <row r="1210" customFormat="false" ht="15" hidden="false" customHeight="false" outlineLevel="0" collapsed="false">
      <c r="A1210" s="0" t="n">
        <f aca="false">COUNTA(_xlfn._xlws.FILTER(Data!E1:E3,Data!E1:E3&lt;&gt;""))</f>
        <v>2</v>
      </c>
      <c r="B1210" s="0" t="s">
        <v>1244</v>
      </c>
    </row>
    <row r="1211" customFormat="false" ht="15" hidden="false" customHeight="false" outlineLevel="0" collapsed="false">
      <c r="A1211" s="0" t="str">
        <f aca="false">_xlfn.TEXTJOIN(",",TRUE(),_xlfn._xlws.FILTER(Data!E1:E3,Data!E1:E3=""))</f>
        <v/>
      </c>
      <c r="B1211" s="0" t="s">
        <v>1245</v>
      </c>
    </row>
    <row r="1212" customFormat="false" ht="15" hidden="false" customHeight="false" outlineLevel="0" collapsed="false">
      <c r="A1212" s="0" t="e">
        <f aca="false">_xlfn.TEXTJOIN(",",TRUE(),_xlfn._xlws.FILTER(Data!A1:A3,Data!D1:D3))</f>
        <v>#N/A</v>
      </c>
      <c r="B1212" s="0" t="s">
        <v>1246</v>
      </c>
    </row>
    <row r="1213" customFormat="false" ht="15" hidden="false" customHeight="false" outlineLevel="0" collapsed="false">
      <c r="A1213" s="0" t="e">
        <f aca="false">ROWS(_xlfn._xlws.FILTER(Data!A1:A3,Data!D1:D3,"x"))</f>
        <v>#VALUE!</v>
      </c>
      <c r="B1213" s="0" t="s">
        <v>1247</v>
      </c>
    </row>
    <row r="1214" customFormat="false" ht="15" hidden="false" customHeight="false" outlineLevel="0" collapsed="false">
      <c r="A1214" s="0" t="e">
        <f aca="false">_xlfn.TEXTJOIN(",",TRUE(),_xlfn._xlws.FILTER(Data!A1:A3,{1;"a";1}))</f>
        <v>#N/A</v>
      </c>
      <c r="B1214" s="0" t="s">
        <v>1248</v>
      </c>
    </row>
    <row r="1215" customFormat="false" ht="15" hidden="false" customHeight="false" outlineLevel="0" collapsed="false">
      <c r="A1215" s="0" t="e">
        <f aca="false">_xlfn.SEQUENCE(2,2,"a")</f>
        <v>#VALUE!</v>
      </c>
      <c r="B1215" s="0" t="s">
        <v>1249</v>
      </c>
    </row>
    <row r="1216" customFormat="false" ht="15" hidden="false" customHeight="false" outlineLevel="0" collapsed="false">
      <c r="A1216" s="0" t="str">
        <f aca="false">_xlfn.TEXTJOIN(",",TRUE(),_xlfn.SEQUENCE(2,2,5.5,-1.5))</f>
        <v>5.5,4,2.5,1</v>
      </c>
      <c r="B1216" s="0" t="s">
        <v>1250</v>
      </c>
    </row>
    <row r="1217" customFormat="false" ht="15" hidden="false" customHeight="false" outlineLevel="0" collapsed="false">
      <c r="A1217" s="0" t="n">
        <f aca="false">SUM(_xlfn.SEQUENCE(3,3))</f>
        <v>45</v>
      </c>
      <c r="B1217" s="0" t="s">
        <v>1251</v>
      </c>
    </row>
    <row r="1218" customFormat="false" ht="15" hidden="false" customHeight="false" outlineLevel="0" collapsed="false">
      <c r="A1218" s="0" t="str">
        <f aca="false">_xlfn.TEXTJOIN(",",TRUE(),_xlfn.TAKE(_xlfn._xlws.SORT(Data!A1:A8),3))</f>
        <v>1,2,3</v>
      </c>
      <c r="B1218" s="0" t="s">
        <v>1252</v>
      </c>
    </row>
    <row r="1219" customFormat="false" ht="15" hidden="false" customHeight="false" outlineLevel="0" collapsed="false">
      <c r="A1219" s="0" t="str">
        <f aca="false">_xlfn.TEXTJOIN(",",TRUE(),_xlfn.DROP(_xlfn.TAKE(Data!A1:A8,5),2))</f>
        <v>8,1,9</v>
      </c>
      <c r="B1219" s="0" t="s">
        <v>1253</v>
      </c>
    </row>
    <row r="1220" customFormat="false" ht="15" hidden="false" customHeight="false" outlineLevel="0" collapsed="false">
      <c r="A1220" s="0" t="n">
        <f aca="false">_xlfn.XMATCH("b*",Data!B1:B8,2,-1)</f>
        <v>6</v>
      </c>
      <c r="B1220" s="0" t="s">
        <v>1254</v>
      </c>
    </row>
    <row r="1221" customFormat="false" ht="15" hidden="false" customHeight="false" outlineLevel="0" collapsed="false">
      <c r="A1221" s="0" t="n">
        <f aca="false">_xlfn.XMATCH(5,Data!A1:A8,0,-1)</f>
        <v>1</v>
      </c>
      <c r="B1221" s="0" t="s">
        <v>1255</v>
      </c>
    </row>
    <row r="1222" customFormat="false" ht="15" hidden="false" customHeight="false" outlineLevel="0" collapsed="false">
      <c r="A1222" s="0" t="n">
        <f aca="false">_xlfn.XMATCH("~",{"a";"~"},2)</f>
        <v>2</v>
      </c>
      <c r="B1222" s="0" t="s">
        <v>1256</v>
      </c>
    </row>
    <row r="1223" customFormat="false" ht="15" hidden="false" customHeight="false" outlineLevel="0" collapsed="false">
      <c r="A1223" s="0" t="n">
        <f aca="false">_xlfn.XMATCH(4,{5;4;3;2;1},-1,-2)</f>
        <v>5</v>
      </c>
      <c r="B1223" s="0" t="s">
        <v>1257</v>
      </c>
    </row>
    <row r="1224" customFormat="false" ht="15" hidden="false" customHeight="false" outlineLevel="0" collapsed="false">
      <c r="A1224" s="0" t="n">
        <f aca="false">_xlfn.XMATCH(4,{5;4;3;2;1},1,-2)</f>
        <v>2</v>
      </c>
      <c r="B1224" s="0" t="s">
        <v>1258</v>
      </c>
    </row>
    <row r="1225" customFormat="false" ht="15" hidden="false" customHeight="false" outlineLevel="0" collapsed="false">
      <c r="A1225" s="0" t="e">
        <f aca="false">_xlfn.XMATCH(4,{1;2;3;4;5},0,2)</f>
        <v>#N/A</v>
      </c>
      <c r="B1225" s="0" t="s">
        <v>1259</v>
      </c>
    </row>
    <row r="1226" customFormat="false" ht="15" hidden="false" customHeight="false" outlineLevel="0" collapsed="false">
      <c r="A1226" s="0" t="e">
        <f aca="false">_xlfn.XMATCH("x",{"a";"b";"x"},0,2)</f>
        <v>#N/A</v>
      </c>
      <c r="B1226" s="0" t="s">
        <v>1260</v>
      </c>
    </row>
    <row r="1227" customFormat="false" ht="15" hidden="false" customHeight="false" outlineLevel="0" collapsed="false">
      <c r="A1227" s="0" t="n">
        <f aca="false">_xlfn.XMATCH("b",{"a";"b";"c"},0,2)</f>
        <v>2</v>
      </c>
      <c r="B1227" s="0" t="s">
        <v>1261</v>
      </c>
    </row>
    <row r="1228" customFormat="false" ht="15" hidden="false" customHeight="false" outlineLevel="0" collapsed="false">
      <c r="A1228" s="0" t="n">
        <f aca="false">_xlfn.XMATCH("B",{"a";"b";"c"},-1)</f>
        <v>2</v>
      </c>
      <c r="B1228" s="0" t="s">
        <v>1262</v>
      </c>
    </row>
    <row r="1229" customFormat="false" ht="15" hidden="false" customHeight="false" outlineLevel="0" collapsed="false">
      <c r="A1229" s="0" t="n">
        <f aca="false">_xlfn.XMATCH("bb",{"a";"b";"c"},1)</f>
        <v>3</v>
      </c>
      <c r="B1229" s="0" t="s">
        <v>1263</v>
      </c>
    </row>
    <row r="1230" customFormat="false" ht="15" hidden="false" customHeight="false" outlineLevel="0" collapsed="false">
      <c r="A1230" s="0" t="str">
        <f aca="false">_xlfn.XLOOKUP("5",Data!A1:A8,Data!B1:B8)</f>
        <v>apple</v>
      </c>
      <c r="B1230" s="0" t="s">
        <v>1264</v>
      </c>
    </row>
    <row r="1231" customFormat="false" ht="15" hidden="false" customHeight="false" outlineLevel="0" collapsed="false">
      <c r="A1231" s="0" t="e">
        <f aca="false">_xlfn.XMATCH("5.0",Data!A1:A8)</f>
        <v>#N/A</v>
      </c>
      <c r="B1231" s="0" t="s">
        <v>1265</v>
      </c>
    </row>
    <row r="1232" customFormat="false" ht="15" hidden="false" customHeight="false" outlineLevel="0" collapsed="false">
      <c r="A1232" s="0" t="e">
        <f aca="false">_xlfn.XMATCH(" 5",Data!A1:A8)</f>
        <v>#N/A</v>
      </c>
      <c r="B1232" s="0" t="s">
        <v>1266</v>
      </c>
    </row>
    <row r="1233" customFormat="false" ht="15" hidden="false" customHeight="false" outlineLevel="0" collapsed="false">
      <c r="A1233" s="0" t="e">
        <f aca="false">_xlfn.XMATCH("5",Data!A1:A8,1)</f>
        <v>#N/A</v>
      </c>
      <c r="B1233" s="0" t="s">
        <v>1267</v>
      </c>
    </row>
    <row r="1234" customFormat="false" ht="15" hidden="false" customHeight="false" outlineLevel="0" collapsed="false">
      <c r="A1234" s="0" t="e">
        <f aca="false">_xlfn.XMATCH("5",Data!A1:A8,-1)</f>
        <v>#N/A</v>
      </c>
      <c r="B1234" s="0" t="s">
        <v>1268</v>
      </c>
    </row>
    <row r="1235" customFormat="false" ht="15" hidden="false" customHeight="false" outlineLevel="0" collapsed="false">
      <c r="A1235" s="0" t="n">
        <f aca="false">_xlfn.XMATCH("5",Data!A1:A8,2)</f>
        <v>1</v>
      </c>
      <c r="B1235" s="0" t="s">
        <v>1269</v>
      </c>
    </row>
    <row r="1236" customFormat="false" ht="15" hidden="false" customHeight="false" outlineLevel="0" collapsed="false">
      <c r="A1236" s="0" t="n">
        <f aca="false">_xlfn.XMATCH("5",Data!A1:A8,3)</f>
        <v>1</v>
      </c>
      <c r="B1236" s="0" t="s">
        <v>1270</v>
      </c>
    </row>
    <row r="1237" customFormat="false" ht="15" hidden="false" customHeight="false" outlineLevel="0" collapsed="false">
      <c r="A1237" s="0" t="e">
        <f aca="false">_xlfn.XMATCH(5,{"5";"a"})</f>
        <v>#N/A</v>
      </c>
      <c r="B1237" s="0" t="s">
        <v>1271</v>
      </c>
    </row>
    <row r="1238" customFormat="false" ht="15" hidden="false" customHeight="false" outlineLevel="0" collapsed="false">
      <c r="A1238" s="0" t="e">
        <f aca="false">_xlfn.XMATCH("5",{5;6})</f>
        <v>#N/A</v>
      </c>
      <c r="B1238" s="0" t="s">
        <v>1272</v>
      </c>
    </row>
    <row r="1239" customFormat="false" ht="15" hidden="false" customHeight="false" outlineLevel="0" collapsed="false">
      <c r="A1239" s="0" t="e">
        <f aca="false">_xlfn.XMATCH("5",{"a";5},0,-1)</f>
        <v>#N/A</v>
      </c>
      <c r="B1239" s="0" t="s">
        <v>1273</v>
      </c>
    </row>
    <row r="1240" customFormat="false" ht="15" hidden="false" customHeight="false" outlineLevel="0" collapsed="false">
      <c r="A1240" s="0" t="e">
        <f aca="false">_xlfn.XMATCH("a",Data!A1:A8)</f>
        <v>#N/A</v>
      </c>
      <c r="B1240" s="0" t="s">
        <v>1274</v>
      </c>
    </row>
    <row r="1241" customFormat="false" ht="15" hidden="false" customHeight="false" outlineLevel="0" collapsed="false">
      <c r="A1241" s="0" t="e">
        <f aca="false">_xlfn.XMATCH("1e0",{1;2})</f>
        <v>#N/A</v>
      </c>
      <c r="B1241" s="0" t="s">
        <v>1275</v>
      </c>
    </row>
    <row r="1242" customFormat="false" ht="15" hidden="false" customHeight="false" outlineLevel="0" collapsed="false">
      <c r="A1242" s="0" t="n">
        <f aca="false">_xlfn.XMATCH(TRUE(),Data!A1:A8)</f>
        <v>4</v>
      </c>
      <c r="B1242" s="0" t="s">
        <v>1276</v>
      </c>
    </row>
    <row r="1243" customFormat="false" ht="15" hidden="false" customHeight="false" outlineLevel="0" collapsed="false">
      <c r="A1243" s="0" t="n">
        <f aca="false">MATCH("5",Data!A1:A8,0)</f>
        <v>1</v>
      </c>
      <c r="B1243" s="0" t="s">
        <v>1277</v>
      </c>
    </row>
    <row r="1244" customFormat="false" ht="15" hidden="false" customHeight="false" outlineLevel="0" collapsed="false">
      <c r="A1244" s="0" t="e">
        <f aca="false">MATCH("5",{5;6},0)</f>
        <v>#N/A</v>
      </c>
      <c r="B1244" s="0" t="s">
        <v>1278</v>
      </c>
    </row>
    <row r="1245" customFormat="false" ht="15" hidden="false" customHeight="false" outlineLevel="0" collapsed="false">
      <c r="A1245" s="0" t="e">
        <f aca="false">_xlfn.XLOOKUP("5",{5;6},{"a";"b"})</f>
        <v>#N/A</v>
      </c>
      <c r="B1245" s="0" t="s">
        <v>1279</v>
      </c>
    </row>
    <row r="1246" customFormat="false" ht="15" hidden="false" customHeight="false" outlineLevel="0" collapsed="false">
      <c r="A1246" s="0" t="e">
        <f aca="false">_xlfn.XMATCH("5",Data!B1:B8)</f>
        <v>#N/A</v>
      </c>
      <c r="B1246" s="0" t="s">
        <v>1280</v>
      </c>
    </row>
    <row r="1247" customFormat="false" ht="15" hidden="false" customHeight="false" outlineLevel="0" collapsed="false">
      <c r="A1247" s="0" t="e">
        <f aca="false">_xlfn.XMATCH("apple",Data!A1:B8)</f>
        <v>#VALUE!</v>
      </c>
      <c r="B1247" s="0" t="s">
        <v>1281</v>
      </c>
    </row>
    <row r="1248" customFormat="false" ht="15" hidden="false" customHeight="false" outlineLevel="0" collapsed="false">
      <c r="A1248" s="0" t="str">
        <f aca="false">_xlfn.TEXTJOIN(",",TRUE(),_xlfn.TEXTSPLIT("aXb","x",,FALSE(),2))</f>
        <v>a,b</v>
      </c>
      <c r="B1248" s="0" t="s">
        <v>1282</v>
      </c>
    </row>
    <row r="1249" customFormat="false" ht="15" hidden="false" customHeight="false" outlineLevel="0" collapsed="false">
      <c r="A1249" s="0" t="str">
        <f aca="false">_xlfn.TEXTJOIN(",",TRUE(),_xlfn.TEXTSPLIT("aXb","x",,FALSE(),-1))</f>
        <v>a,b</v>
      </c>
      <c r="B1249" s="0" t="s">
        <v>1283</v>
      </c>
    </row>
    <row r="1250" customFormat="false" ht="15" hidden="false" customHeight="false" outlineLevel="0" collapsed="false">
      <c r="A1250" s="0" t="str">
        <f aca="false">_xlfn.TEXTJOIN(",",TRUE(),_xlfn.TEXTSPLIT("aXb","x",,FALSE(),5))</f>
        <v>a,b</v>
      </c>
      <c r="B1250" s="0" t="s">
        <v>1284</v>
      </c>
    </row>
    <row r="1251" customFormat="false" ht="15" hidden="false" customHeight="false" outlineLevel="0" collapsed="false">
      <c r="A1251" s="0" t="str">
        <f aca="false">_xlfn.TEXTBEFORE("A-b","a",1,2)</f>
        <v/>
      </c>
      <c r="B1251" s="0" t="s">
        <v>1285</v>
      </c>
    </row>
    <row r="1252" customFormat="false" ht="15" hidden="false" customHeight="false" outlineLevel="0" collapsed="false">
      <c r="A1252" s="0" t="str">
        <f aca="false">_xlfn.TEXTBEFORE("A-b","a",1,-1)</f>
        <v/>
      </c>
      <c r="B1252" s="0" t="s">
        <v>1286</v>
      </c>
    </row>
    <row r="1253" customFormat="false" ht="15" hidden="false" customHeight="false" outlineLevel="0" collapsed="false">
      <c r="A1253" s="0" t="str">
        <f aca="false">_xlfn.TEXTBEFORE("A-b","a",1,5)</f>
        <v/>
      </c>
      <c r="B1253" s="0" t="s">
        <v>1287</v>
      </c>
    </row>
    <row r="1254" customFormat="false" ht="15" hidden="false" customHeight="false" outlineLevel="0" collapsed="false">
      <c r="A1254" s="0" t="str">
        <f aca="false">_xlfn.TEXTAFTER("A-b","a",1,2)</f>
        <v>-b</v>
      </c>
      <c r="B1254" s="0" t="s">
        <v>1288</v>
      </c>
    </row>
    <row r="1255" customFormat="false" ht="15" hidden="false" customHeight="false" outlineLevel="0" collapsed="false">
      <c r="A1255" s="0" t="str">
        <f aca="false">_xlfn.TEXTBEFORE("a-b","-",1,0,2)</f>
        <v>a</v>
      </c>
      <c r="B1255" s="0" t="s">
        <v>1289</v>
      </c>
    </row>
    <row r="1256" customFormat="false" ht="15" hidden="false" customHeight="false" outlineLevel="0" collapsed="false">
      <c r="A1256" s="0" t="str">
        <f aca="false">_xlfn.TEXTBEFORE("a-b","-",1,0,-1)</f>
        <v>a</v>
      </c>
      <c r="B1256" s="0" t="s">
        <v>1290</v>
      </c>
    </row>
    <row r="1257" customFormat="false" ht="15" hidden="false" customHeight="false" outlineLevel="0" collapsed="false">
      <c r="A1257" s="0" t="str">
        <f aca="false">_xlfn.TEXTAFTER("a-b","-",1,0,2)</f>
        <v>b</v>
      </c>
      <c r="B1257" s="0" t="s">
        <v>1291</v>
      </c>
    </row>
    <row r="1258" customFormat="false" ht="15" hidden="false" customHeight="false" outlineLevel="0" collapsed="false">
      <c r="A1258" s="0" t="str">
        <f aca="false">_xlfn.TEXTBEFORE("a-b","-",1.9)</f>
        <v>a</v>
      </c>
      <c r="B1258" s="0" t="s">
        <v>1292</v>
      </c>
    </row>
    <row r="1259" customFormat="false" ht="15" hidden="false" customHeight="false" outlineLevel="0" collapsed="false">
      <c r="A1259" s="0" t="e">
        <f aca="false">_xlfn.TEXTBEFORE("a-b","-","x")</f>
        <v>#VALUE!</v>
      </c>
      <c r="B1259" s="0" t="s">
        <v>1293</v>
      </c>
    </row>
    <row r="1260" customFormat="false" ht="15" hidden="false" customHeight="false" outlineLevel="0" collapsed="false">
      <c r="A1260" s="0" t="str">
        <f aca="false">_xlfn.TEXTJOIN(",",TRUE(),_xlfn.TOCOL(_xlfn.HSTACK(Data!E1:E3,Data!D1:D3),1))</f>
        <v>x,10</v>
      </c>
      <c r="B1260" s="0" t="s">
        <v>1294</v>
      </c>
    </row>
    <row r="1261" customFormat="false" ht="15" hidden="false" customHeight="false" outlineLevel="0" collapsed="false">
      <c r="A1261" s="0" t="str">
        <f aca="false">_xlfn.TEXTJOIN(",",FALSE(),_xlfn.TOROW(_xlfn.HSTACK(Data!E1:E3,Data!D1:D3),1))</f>
        <v>x,10</v>
      </c>
      <c r="B1261" s="0" t="s">
        <v>1295</v>
      </c>
    </row>
    <row r="1262" customFormat="false" ht="15" hidden="false" customHeight="false" outlineLevel="0" collapsed="false">
      <c r="A1262" s="0" t="str">
        <f aca="false">_xlfn.TEXTJOIN(",",TRUE(),_xlfn.TOCOL(_xlfn.HSTACK(Data!E1:E3,Data!D1:D3),1,TRUE()))</f>
        <v>x,10</v>
      </c>
      <c r="B1262" s="0" t="s">
        <v>1296</v>
      </c>
    </row>
    <row r="1263" customFormat="false" ht="15" hidden="false" customHeight="false" outlineLevel="0" collapsed="false">
      <c r="A1263" s="0" t="n">
        <f aca="false">ROWS(_xlfn._xlws.SORT(Data!E1:E3))</f>
        <v>3</v>
      </c>
      <c r="B1263" s="0" t="s">
        <v>1297</v>
      </c>
    </row>
    <row r="1264" customFormat="false" ht="15" hidden="false" customHeight="false" outlineLevel="0" collapsed="false">
      <c r="A1264" s="0" t="str">
        <f aca="false">_xlfn.TEXTJOIN(",",FALSE(),_xlfn._xlws.SORT(_xlfn.HSTACK(Data!E1:E3,Data!A1:A3)))</f>
        <v>10,3,x,5,,8</v>
      </c>
      <c r="B1264" s="0" t="s">
        <v>1298</v>
      </c>
    </row>
    <row r="1265" customFormat="false" ht="15" hidden="false" customHeight="false" outlineLevel="0" collapsed="false">
      <c r="A1265" s="0" t="n">
        <f aca="false">_xlfn._xlws.FILTER(Data!A1:A3,Data!E1:E3=10)</f>
        <v>3</v>
      </c>
      <c r="B1265" s="0" t="s">
        <v>1299</v>
      </c>
    </row>
    <row r="1266" customFormat="false" ht="15" hidden="false" customHeight="false" outlineLevel="0" collapsed="false">
      <c r="A1266" s="0" t="str">
        <f aca="false">_xlfn.TEXTJOIN(",",TRUE(),_xlfn._xlws.FILTER(Data!A1:A3,Data!E1:E3&lt;&gt;10))</f>
        <v>5,8</v>
      </c>
      <c r="B1266" s="0" t="s">
        <v>1300</v>
      </c>
    </row>
    <row r="1267" customFormat="false" ht="15" hidden="false" customHeight="false" outlineLevel="0" collapsed="false">
      <c r="A1267" s="0" t="n">
        <f aca="false">INDEX(_xlfn._xlws.SORT(Data!M1:M4),1)</f>
        <v>1</v>
      </c>
      <c r="B1267" s="0" t="s">
        <v>1301</v>
      </c>
    </row>
    <row r="1268" customFormat="false" ht="15" hidden="false" customHeight="false" outlineLevel="0" collapsed="false">
      <c r="A1268" s="0" t="n">
        <f aca="false">INDEX(_xlfn._xlws.SORT(Data!M1:M4),4)</f>
        <v>0</v>
      </c>
      <c r="B1268" s="0" t="s">
        <v>1302</v>
      </c>
    </row>
    <row r="1269" customFormat="false" ht="15" hidden="false" customHeight="false" outlineLevel="0" collapsed="false">
      <c r="A1269" s="0" t="n">
        <f aca="false">INDEX(_xlfn._xlws.SORT(Data!M1:M3),1)</f>
        <v>1</v>
      </c>
      <c r="B1269" s="0" t="s">
        <v>1303</v>
      </c>
    </row>
    <row r="1270" customFormat="false" ht="15" hidden="false" customHeight="false" outlineLevel="0" collapsed="false">
      <c r="A1270" s="0" t="n">
        <f aca="false">INDEX(_xlfn._xlws.SORT(_xlfn.HSTACK(Data!A1:A4,Data!M1:M4),1),1,1)</f>
        <v>1</v>
      </c>
      <c r="B1270" s="0" t="s">
        <v>1304</v>
      </c>
    </row>
    <row r="1271" customFormat="false" ht="15" hidden="false" customHeight="false" outlineLevel="0" collapsed="false">
      <c r="A1271" s="2" t="b">
        <f aca="false">ISERROR(INDEX(_xlfn._xlws.SORT(_xlfn.HSTACK(Data!A1:A4,Data!M1:M4),1),1,2))</f>
        <v>0</v>
      </c>
      <c r="B1271" s="0" t="s">
        <v>1305</v>
      </c>
    </row>
    <row r="1272" customFormat="false" ht="15" hidden="false" customHeight="false" outlineLevel="0" collapsed="false">
      <c r="A1272" s="0" t="n">
        <f aca="false">INDEX(_xlfn._xlws.SORT(_xlfn.HSTACK(Data!A1:A4,Data!M1:M4),1,-1),1,1)</f>
        <v>8</v>
      </c>
      <c r="B1272" s="0" t="s">
        <v>1306</v>
      </c>
    </row>
    <row r="1273" customFormat="false" ht="15" hidden="false" customHeight="false" outlineLevel="0" collapsed="false">
      <c r="A1273" s="0" t="e">
        <f aca="false">_xlfn._xlws.FILTER(Data!A1:A4,Data!M1:M4)</f>
        <v>#N/A</v>
      </c>
      <c r="B1273" s="0" t="s">
        <v>1307</v>
      </c>
    </row>
    <row r="1274" customFormat="false" ht="15" hidden="false" customHeight="false" outlineLevel="0" collapsed="false">
      <c r="A1274" s="0" t="str">
        <f aca="false">_xlfn.TEXTJOIN(",",TRUE(),_xlfn._xlws.FILTER(Data!M1:M4,Data!A1:A4&gt;3))</f>
        <v>1,3</v>
      </c>
      <c r="B1274" s="0" t="s">
        <v>1308</v>
      </c>
    </row>
    <row r="1275" customFormat="false" ht="15" hidden="false" customHeight="false" outlineLevel="0" collapsed="false">
      <c r="A1275" s="0" t="str">
        <f aca="false">_xlfn.TEXTJOIN(",",TRUE(),_xlfn._xlws.FILTER(Data!A1:A4,Data!A1:A4&gt;3))</f>
        <v>5,8</v>
      </c>
      <c r="B1275" s="0" t="s">
        <v>1309</v>
      </c>
    </row>
    <row r="1276" customFormat="false" ht="15" hidden="false" customHeight="false" outlineLevel="0" collapsed="false">
      <c r="A1276" s="0" t="str">
        <f aca="false">_xlfn.TEXTJOIN(",",TRUE(),_xlfn.TOCOL(Data!M1:M4,2))</f>
        <v>1,3,a</v>
      </c>
      <c r="B1276" s="0" t="s">
        <v>1310</v>
      </c>
    </row>
    <row r="1277" customFormat="false" ht="15" hidden="false" customHeight="false" outlineLevel="0" collapsed="false">
      <c r="A1277" s="0" t="str">
        <f aca="false">_xlfn.TEXTJOIN(",",TRUE(),_xlfn.TOCOL(Data!M1:M4,3))</f>
        <v>1,3,a</v>
      </c>
      <c r="B1277" s="0" t="s">
        <v>1311</v>
      </c>
    </row>
    <row r="1278" customFormat="false" ht="15" hidden="false" customHeight="false" outlineLevel="0" collapsed="false">
      <c r="A1278" s="0" t="e">
        <f aca="false">_xlfn.TEXTJOIN(",",TRUE(),_xlfn.TOROW(Data!M1:M4,0))</f>
        <v>#N/A</v>
      </c>
      <c r="B1278" s="0" t="s">
        <v>1312</v>
      </c>
    </row>
    <row r="1279" customFormat="false" ht="15" hidden="false" customHeight="false" outlineLevel="0" collapsed="false">
      <c r="A1279" s="0" t="e">
        <f aca="false">_xlfn.TEXTJOIN(",",TRUE(),_xlfn.TOROW(Data!M1:M4,1))</f>
        <v>#N/A</v>
      </c>
      <c r="B1279" s="0" t="s">
        <v>1313</v>
      </c>
    </row>
    <row r="1280" customFormat="false" ht="15" hidden="false" customHeight="false" outlineLevel="0" collapsed="false">
      <c r="A1280" s="0" t="n">
        <f aca="false">COUNT(_xlfn.TOCOL(Data!M1:M4,2))</f>
        <v>2</v>
      </c>
      <c r="B1280" s="0" t="s">
        <v>1314</v>
      </c>
    </row>
    <row r="1281" customFormat="false" ht="15" hidden="false" customHeight="false" outlineLevel="0" collapsed="false">
      <c r="A1281" s="0" t="n">
        <f aca="false">ROWS(_xlfn.TOCOL(Data!M1:M4,2))</f>
        <v>3</v>
      </c>
      <c r="B1281" s="0" t="s">
        <v>1315</v>
      </c>
    </row>
    <row r="1282" customFormat="false" ht="15" hidden="false" customHeight="false" outlineLevel="0" collapsed="false">
      <c r="A1282" s="0" t="n">
        <f aca="false">ROWS(_xlfn.TOCOL(Data!M1:M4,0))</f>
        <v>4</v>
      </c>
      <c r="B1282" s="0" t="s">
        <v>1316</v>
      </c>
    </row>
    <row r="1283" customFormat="false" ht="15" hidden="false" customHeight="false" outlineLevel="0" collapsed="false">
      <c r="A1283" s="0" t="str">
        <f aca="false">_xlfn.TEXTJOIN(",",TRUE(),_xlfn.TAKE(Data!M1:M4,1))</f>
        <v>1</v>
      </c>
      <c r="B1283" s="0" t="s">
        <v>1317</v>
      </c>
    </row>
    <row r="1284" customFormat="false" ht="15" hidden="false" customHeight="false" outlineLevel="0" collapsed="false">
      <c r="A1284" s="0" t="e">
        <f aca="false">_xlfn.TEXTJOIN(",",TRUE(),_xlfn.TAKE(Data!M1:M4,2))</f>
        <v>#N/A</v>
      </c>
      <c r="B1284" s="0" t="s">
        <v>1318</v>
      </c>
    </row>
    <row r="1285" customFormat="false" ht="15" hidden="false" customHeight="false" outlineLevel="0" collapsed="false">
      <c r="A1285" s="2" t="b">
        <f aca="false">ISERROR(INDEX(_xlfn.TAKE(Data!M1:M4,2),2))</f>
        <v>1</v>
      </c>
      <c r="B1285" s="0" t="s">
        <v>1319</v>
      </c>
    </row>
    <row r="1286" customFormat="false" ht="15" hidden="false" customHeight="false" outlineLevel="0" collapsed="false">
      <c r="A1286" s="0" t="str">
        <f aca="false">_xlfn.TEXTJOIN(",",TRUE(),_xlfn.DROP(Data!M1:M4,2))</f>
        <v>3,a</v>
      </c>
      <c r="B1286" s="0" t="s">
        <v>1320</v>
      </c>
    </row>
    <row r="1287" customFormat="false" ht="15" hidden="false" customHeight="false" outlineLevel="0" collapsed="false">
      <c r="A1287" s="2" t="b">
        <f aca="false">ISERROR(INDEX(_xlfn.VSTACK(Data!M1:M4,Data!A1:A2),2))</f>
        <v>1</v>
      </c>
      <c r="B1287" s="0" t="s">
        <v>1321</v>
      </c>
    </row>
    <row r="1288" customFormat="false" ht="15" hidden="false" customHeight="false" outlineLevel="0" collapsed="false">
      <c r="A1288" s="0" t="e">
        <f aca="false">INDEX(_xlfn.VSTACK(Data!M1:M4,Data!D1),2)</f>
        <v>#N/A</v>
      </c>
      <c r="B1288" s="0" t="s">
        <v>1322</v>
      </c>
    </row>
    <row r="1289" customFormat="false" ht="15" hidden="false" customHeight="false" outlineLevel="0" collapsed="false">
      <c r="A1289" s="2" t="b">
        <f aca="false">ISERROR(INDEX(_xlfn.HSTACK(Data!M1:M4,Data!A1:A4),2,1))</f>
        <v>1</v>
      </c>
      <c r="B1289" s="0" t="s">
        <v>1323</v>
      </c>
    </row>
    <row r="1290" customFormat="false" ht="15" hidden="false" customHeight="false" outlineLevel="0" collapsed="false">
      <c r="A1290" s="2" t="b">
        <f aca="false">ISNUMBER(INDEX(_xlfn.VSTACK(Data!M1:M4,Data!D1),5))</f>
        <v>0</v>
      </c>
      <c r="B1290" s="0" t="s">
        <v>1324</v>
      </c>
    </row>
    <row r="1291" customFormat="false" ht="15" hidden="false" customHeight="false" outlineLevel="0" collapsed="false">
      <c r="A1291" s="0" t="str">
        <f aca="false">INDEX(_xlfn.VSTACK(Data!M1:M4,Data!D1),5)&amp;"|"</f>
        <v>|</v>
      </c>
      <c r="B1291" s="0" t="s">
        <v>1325</v>
      </c>
    </row>
    <row r="1292" customFormat="false" ht="15" hidden="false" customHeight="false" outlineLevel="0" collapsed="false">
      <c r="A1292" s="2" t="b">
        <f aca="false">ISBLANK(INDEX(_xlfn.VSTACK(Data!M1:M4,Data!D1),5))</f>
        <v>0</v>
      </c>
      <c r="B1292" s="0" t="s">
        <v>1326</v>
      </c>
    </row>
    <row r="1293" customFormat="false" ht="15" hidden="false" customHeight="false" outlineLevel="0" collapsed="false">
      <c r="A1293" s="0" t="n">
        <f aca="false">_xlfn.XMATCH(3,Data!M1:M4)</f>
        <v>3</v>
      </c>
      <c r="B1293" s="0" t="s">
        <v>1327</v>
      </c>
    </row>
    <row r="1294" customFormat="false" ht="15" hidden="false" customHeight="false" outlineLevel="0" collapsed="false">
      <c r="A1294" s="0" t="n">
        <f aca="false">_xlfn.XMATCH("a",Data!M1:M4)</f>
        <v>4</v>
      </c>
      <c r="B1294" s="0" t="s">
        <v>1328</v>
      </c>
    </row>
    <row r="1295" customFormat="false" ht="15" hidden="false" customHeight="false" outlineLevel="0" collapsed="false">
      <c r="A1295" s="0" t="e">
        <f aca="false">_xlfn.XMATCH(NA(),Data!M1:M4)</f>
        <v>#N/A</v>
      </c>
      <c r="B1295" s="0" t="s">
        <v>1329</v>
      </c>
    </row>
    <row r="1296" customFormat="false" ht="15" hidden="false" customHeight="false" outlineLevel="0" collapsed="false">
      <c r="A1296" s="0" t="n">
        <f aca="false">_xlfn.XMATCH("A",Data!M1:M4)</f>
        <v>4</v>
      </c>
      <c r="B1296" s="0" t="s">
        <v>1330</v>
      </c>
    </row>
    <row r="1297" customFormat="false" ht="15" hidden="false" customHeight="false" outlineLevel="0" collapsed="false">
      <c r="A1297" s="2" t="b">
        <f aca="false">ISERROR(INDEX(_xlfn._xlws.SORT(Data!M1:M4),4))</f>
        <v>0</v>
      </c>
      <c r="B1297" s="0" t="s">
        <v>1331</v>
      </c>
    </row>
    <row r="1298" customFormat="false" ht="15" hidden="false" customHeight="false" outlineLevel="0" collapsed="false">
      <c r="A1298" s="2" t="b">
        <f aca="false">ISBLANK(INDEX(_xlfn._xlws.SORT(Data!M1:M4),4))</f>
        <v>0</v>
      </c>
      <c r="B1298" s="0" t="s">
        <v>1332</v>
      </c>
    </row>
    <row r="1299" customFormat="false" ht="15" hidden="false" customHeight="false" outlineLevel="0" collapsed="false">
      <c r="A1299" s="2" t="b">
        <f aca="false">ISNA(INDEX(_xlfn._xlws.SORT(Data!M1:M4),4))</f>
        <v>0</v>
      </c>
      <c r="B1299" s="0" t="s">
        <v>1333</v>
      </c>
    </row>
    <row r="1300" customFormat="false" ht="15" hidden="false" customHeight="false" outlineLevel="0" collapsed="false">
      <c r="A1300" s="0" t="str">
        <f aca="false">_xlfn.TEXTJOIN(",",FALSE(),_xlfn._xlws.SORT(Data!M1:M4))</f>
        <v>1,3,a,0</v>
      </c>
      <c r="B1300" s="0" t="s">
        <v>1334</v>
      </c>
    </row>
    <row r="1301" customFormat="false" ht="15" hidden="false" customHeight="false" outlineLevel="0" collapsed="false">
      <c r="A1301" s="0" t="n">
        <f aca="false">ROWS(_xlfn._xlws.SORT(Data!M1:M4))</f>
        <v>4</v>
      </c>
      <c r="B1301" s="0" t="s">
        <v>1335</v>
      </c>
    </row>
    <row r="1302" customFormat="false" ht="15" hidden="false" customHeight="false" outlineLevel="0" collapsed="false">
      <c r="A1302" s="0" t="n">
        <f aca="false">COUNT(_xlfn._xlws.SORT(Data!M1:M4))</f>
        <v>3</v>
      </c>
      <c r="B1302" s="0" t="s">
        <v>1336</v>
      </c>
    </row>
    <row r="1303" customFormat="false" ht="15" hidden="false" customHeight="false" outlineLevel="0" collapsed="false">
      <c r="A1303" s="2" t="b">
        <f aca="false">ISERROR(INDEX(_xlfn._xlws.SORT(Data!M1:M4,1,-1),1))</f>
        <v>0</v>
      </c>
      <c r="B1303" s="0" t="s">
        <v>1337</v>
      </c>
    </row>
    <row r="1304" customFormat="false" ht="15" hidden="false" customHeight="false" outlineLevel="0" collapsed="false">
      <c r="A1304" s="2" t="b">
        <f aca="false">ISERROR(INDEX(_xlfn._xlws.SORT(Data!M1:M4,1,-1),4))</f>
        <v>0</v>
      </c>
      <c r="B1304" s="0" t="s">
        <v>1338</v>
      </c>
    </row>
    <row r="1305" customFormat="false" ht="15" hidden="false" customHeight="false" outlineLevel="0" collapsed="false">
      <c r="A1305" s="0" t="n">
        <f aca="false">INDEX(_xlfn._xlws.SORT(Data!M1:M4,1,-1),1)</f>
        <v>0</v>
      </c>
      <c r="B1305" s="0" t="s">
        <v>1339</v>
      </c>
    </row>
    <row r="1306" customFormat="false" ht="15" hidden="false" customHeight="false" outlineLevel="0" collapsed="false">
      <c r="A1306" s="0" t="str">
        <f aca="false">INDEX(_xlfn._xlws.SORT(Data!M1:M4,1,-1),2)</f>
        <v>a</v>
      </c>
      <c r="B1306" s="0" t="s">
        <v>1340</v>
      </c>
    </row>
    <row r="1307" customFormat="false" ht="15" hidden="false" customHeight="false" outlineLevel="0" collapsed="false">
      <c r="A1307" s="0" t="e">
        <f aca="false">INDEX(_xlfn._xlws.SORT(Data!E1:E3),3)+1</f>
        <v>#VALUE!</v>
      </c>
      <c r="B1307" s="0" t="s">
        <v>1341</v>
      </c>
    </row>
    <row r="1308" customFormat="false" ht="15" hidden="false" customHeight="false" outlineLevel="0" collapsed="false">
      <c r="A1308" s="0" t="str">
        <f aca="false">INDEX(_xlfn._xlws.SORT(Data!E1:E3),3)&amp;"x"</f>
        <v>x</v>
      </c>
      <c r="B1308" s="0" t="s">
        <v>1342</v>
      </c>
    </row>
    <row r="1309" customFormat="false" ht="15" hidden="false" customHeight="false" outlineLevel="0" collapsed="false">
      <c r="A1309" s="2" t="b">
        <f aca="false">ISTEXT(INDEX(_xlfn._xlws.SORT(Data!E1:E3),3))</f>
        <v>1</v>
      </c>
      <c r="B1309" s="0" t="s">
        <v>1343</v>
      </c>
    </row>
    <row r="1310" customFormat="false" ht="15" hidden="false" customHeight="false" outlineLevel="0" collapsed="false">
      <c r="A1310" s="2" t="b">
        <f aca="false">ISNUMBER(INDEX(_xlfn._xlws.SORT(Data!E1:E3),3))</f>
        <v>0</v>
      </c>
      <c r="B1310" s="0" t="s">
        <v>1344</v>
      </c>
    </row>
    <row r="1311" customFormat="false" ht="15" hidden="false" customHeight="false" outlineLevel="0" collapsed="false">
      <c r="A1311" s="0" t="n">
        <f aca="false">LEN(INDEX(_xlfn._xlws.SORT(Data!E1:E3),3))</f>
        <v>0</v>
      </c>
      <c r="B1311" s="0" t="s">
        <v>1345</v>
      </c>
    </row>
    <row r="1312" customFormat="false" ht="15" hidden="false" customHeight="false" outlineLevel="0" collapsed="false">
      <c r="A1312" s="0" t="n">
        <f aca="false">COUNTA(_xlfn._xlws.SORT(Data!E1:E3))</f>
        <v>2</v>
      </c>
      <c r="B1312" s="0" t="s">
        <v>1346</v>
      </c>
    </row>
    <row r="1313" customFormat="false" ht="15" hidden="false" customHeight="false" outlineLevel="0" collapsed="false">
      <c r="A1313" s="0" t="n">
        <f aca="false">COUNTBLANK(_xlfn._xlws.SORT(Data!E1:E3))</f>
        <v>1</v>
      </c>
      <c r="B1313" s="0" t="s">
        <v>1347</v>
      </c>
    </row>
    <row r="1314" customFormat="false" ht="15" hidden="false" customHeight="false" outlineLevel="0" collapsed="false">
      <c r="A1314" s="2" t="b">
        <f aca="false">INDEX(_xlfn._xlws.SORT(Data!E1:E3),3)=0</f>
        <v>0</v>
      </c>
      <c r="B1314" s="0" t="s">
        <v>1348</v>
      </c>
    </row>
    <row r="1315" customFormat="false" ht="15" hidden="false" customHeight="false" outlineLevel="0" collapsed="false">
      <c r="A1315" s="2" t="b">
        <f aca="false">INDEX(_xlfn._xlws.SORT(Data!E1:E3),3)=""</f>
        <v>1</v>
      </c>
      <c r="B1315" s="0" t="s">
        <v>1349</v>
      </c>
    </row>
    <row r="1316" customFormat="false" ht="15" hidden="false" customHeight="false" outlineLevel="0" collapsed="false">
      <c r="A1316" s="0" t="e">
        <f aca="false">INDEX(_xlfn.TAKE(Data!E1:E3,3),3)+1</f>
        <v>#VALUE!</v>
      </c>
      <c r="B1316" s="0" t="s">
        <v>1350</v>
      </c>
    </row>
    <row r="1317" customFormat="false" ht="15" hidden="false" customHeight="false" outlineLevel="0" collapsed="false">
      <c r="A1317" s="0" t="str">
        <f aca="false">INDEX(_xlfn.TAKE(Data!E1:E3,3),3)&amp;"x"</f>
        <v>x</v>
      </c>
      <c r="B1317" s="0" t="s">
        <v>1351</v>
      </c>
    </row>
    <row r="1318" customFormat="false" ht="15" hidden="false" customHeight="false" outlineLevel="0" collapsed="false">
      <c r="A1318" s="2" t="b">
        <f aca="false">ISBLANK(INDEX(_xlfn.TAKE(Data!E1:E3,3),3))</f>
        <v>0</v>
      </c>
      <c r="B1318" s="0" t="s">
        <v>1352</v>
      </c>
    </row>
    <row r="1319" customFormat="false" ht="15" hidden="false" customHeight="false" outlineLevel="0" collapsed="false">
      <c r="A1319" s="0" t="str">
        <f aca="false">INDEX(_xlfn.TAKE(Data!E1:E3,3),3)</f>
        <v/>
      </c>
      <c r="B1319" s="0" t="s">
        <v>1353</v>
      </c>
    </row>
    <row r="1320" customFormat="false" ht="15" hidden="false" customHeight="false" outlineLevel="0" collapsed="false">
      <c r="A1320" s="0" t="n">
        <f aca="false">COUNTA(_xlfn.TAKE(Data!E1:E3,3))</f>
        <v>2</v>
      </c>
      <c r="B1320" s="0" t="s">
        <v>1354</v>
      </c>
    </row>
    <row r="1321" customFormat="false" ht="15" hidden="false" customHeight="false" outlineLevel="0" collapsed="false">
      <c r="A1321" s="2" t="b">
        <f aca="false">ISTEXT(INDEX(_xlfn.TAKE(Data!E1:E3,3),3))</f>
        <v>1</v>
      </c>
      <c r="B1321" s="0" t="s">
        <v>1355</v>
      </c>
    </row>
    <row r="1322" customFormat="false" ht="15" hidden="false" customHeight="false" outlineLevel="0" collapsed="false">
      <c r="A1322" s="0" t="str">
        <f aca="false">INDEX(_xlfn.VSTACK(Data!E1:E3),3)</f>
        <v/>
      </c>
      <c r="B1322" s="0" t="s">
        <v>1356</v>
      </c>
    </row>
    <row r="1323" customFormat="false" ht="15" hidden="false" customHeight="false" outlineLevel="0" collapsed="false">
      <c r="A1323" s="2" t="b">
        <f aca="false">ISBLANK(INDEX(_xlfn.VSTACK(Data!E1:E3),3))</f>
        <v>0</v>
      </c>
      <c r="B1323" s="0" t="s">
        <v>1357</v>
      </c>
    </row>
    <row r="1324" customFormat="false" ht="15" hidden="false" customHeight="false" outlineLevel="0" collapsed="false">
      <c r="A1324" s="0" t="str">
        <f aca="false">INDEX(_xlfn.TOCOL(Data!E1:E3),3)</f>
        <v/>
      </c>
      <c r="B1324" s="0" t="s">
        <v>1358</v>
      </c>
    </row>
    <row r="1325" customFormat="false" ht="15" hidden="false" customHeight="false" outlineLevel="0" collapsed="false">
      <c r="A1325" s="2" t="b">
        <f aca="false">ISBLANK(INDEX(_xlfn.TOCOL(Data!E1:E3),3))</f>
        <v>0</v>
      </c>
      <c r="B1325" s="0" t="s">
        <v>1359</v>
      </c>
    </row>
    <row r="1326" customFormat="false" ht="15" hidden="false" customHeight="false" outlineLevel="0" collapsed="false">
      <c r="A1326" s="0" t="str">
        <f aca="false">INDEX(_xlfn.CHOOSEROWS(Data!E1:E3,3),1)</f>
        <v/>
      </c>
      <c r="B1326" s="0" t="s">
        <v>1360</v>
      </c>
    </row>
    <row r="1327" customFormat="false" ht="15" hidden="false" customHeight="false" outlineLevel="0" collapsed="false">
      <c r="A1327" s="0" t="str">
        <f aca="false">INDEX(_xlfn._xlws.FILTER(Data!E1:E3,Data!A1:A3&gt;0),3)</f>
        <v/>
      </c>
      <c r="B1327" s="0" t="s">
        <v>1361</v>
      </c>
    </row>
    <row r="1328" customFormat="false" ht="15" hidden="false" customHeight="false" outlineLevel="0" collapsed="false">
      <c r="A1328" s="2" t="b">
        <f aca="false">ISBLANK(INDEX(_xlfn._xlws.FILTER(Data!E1:E3,Data!A1:A3&gt;0),3))</f>
        <v>0</v>
      </c>
      <c r="B1328" s="0" t="s">
        <v>1362</v>
      </c>
    </row>
    <row r="1329" customFormat="false" ht="15" hidden="false" customHeight="false" outlineLevel="0" collapsed="false">
      <c r="A1329" s="0" t="e">
        <f aca="false">INDEX(_xlfn._xlws.SORT(_xlfn.HSTACK(Data!A1:A4,Data!M1:M4),1),2,2)</f>
        <v>#N/A</v>
      </c>
      <c r="B1329" s="0" t="s">
        <v>1363</v>
      </c>
    </row>
    <row r="1330" customFormat="false" ht="15" hidden="false" customHeight="false" outlineLevel="0" collapsed="false">
      <c r="A1330" s="2" t="b">
        <f aca="false">ISERROR(INDEX(_xlfn._xlws.SORT(_xlfn.HSTACK(Data!A1:A4,Data!M1:M4),1),2,2))</f>
        <v>1</v>
      </c>
      <c r="B1330" s="0" t="s">
        <v>1364</v>
      </c>
    </row>
    <row r="1331" customFormat="false" ht="15" hidden="false" customHeight="false" outlineLevel="0" collapsed="false">
      <c r="A1331" s="2" t="b">
        <f aca="false">ISNA(INDEX(_xlfn._xlws.SORT(_xlfn.HSTACK(Data!A1:A4,Data!M1:M4),1),2,2))</f>
        <v>1</v>
      </c>
      <c r="B1331" s="0" t="s">
        <v>1365</v>
      </c>
    </row>
    <row r="1332" customFormat="false" ht="15" hidden="false" customHeight="false" outlineLevel="0" collapsed="false">
      <c r="A1332" s="0" t="n">
        <f aca="false">INDEX(_xlfn.SORTBY(Data!M1:M4,Data!A1:A4),2)</f>
        <v>0</v>
      </c>
      <c r="B1332" s="0" t="s">
        <v>1366</v>
      </c>
    </row>
    <row r="1333" customFormat="false" ht="15" hidden="false" customHeight="false" outlineLevel="0" collapsed="false">
      <c r="A1333" s="2" t="b">
        <f aca="false">ISERROR(INDEX(_xlfn.SORTBY(Data!M1:M4,Data!A1:A4),2))</f>
        <v>0</v>
      </c>
      <c r="B1333" s="0" t="s">
        <v>1367</v>
      </c>
    </row>
    <row r="1334" customFormat="false" ht="15" hidden="false" customHeight="false" outlineLevel="0" collapsed="false">
      <c r="A1334" s="0" t="e">
        <f aca="false">MATCH("5",Data!A1:A8,1)</f>
        <v>#N/A</v>
      </c>
      <c r="B1334" s="0" t="s">
        <v>1368</v>
      </c>
    </row>
    <row r="1335" customFormat="false" ht="15" hidden="false" customHeight="false" outlineLevel="0" collapsed="false">
      <c r="A1335" s="0" t="e">
        <f aca="false">MATCH("5",Data!A1:A8,-1)</f>
        <v>#N/A</v>
      </c>
      <c r="B1335" s="0" t="s">
        <v>1369</v>
      </c>
    </row>
    <row r="1336" customFormat="false" ht="15" hidden="false" customHeight="false" outlineLevel="0" collapsed="false">
      <c r="A1336" s="0" t="e">
        <f aca="false">MATCH("5",Data!A1:A8)</f>
        <v>#N/A</v>
      </c>
      <c r="B1336" s="0" t="s">
        <v>1370</v>
      </c>
    </row>
    <row r="1337" customFormat="false" ht="15" hidden="false" customHeight="false" outlineLevel="0" collapsed="false">
      <c r="A1337" s="0" t="str">
        <f aca="false">VLOOKUP("5",Data!A1:B8,2,FALSE())</f>
        <v>apple</v>
      </c>
      <c r="B1337" s="0" t="s">
        <v>1371</v>
      </c>
    </row>
    <row r="1338" customFormat="false" ht="15" hidden="false" customHeight="false" outlineLevel="0" collapsed="false">
      <c r="A1338" s="0" t="e">
        <f aca="false">VLOOKUP("5",Data!A1:B8,2,TRUE())</f>
        <v>#N/A</v>
      </c>
      <c r="B1338" s="0" t="s">
        <v>1372</v>
      </c>
    </row>
    <row r="1339" customFormat="false" ht="15" hidden="false" customHeight="false" outlineLevel="0" collapsed="false">
      <c r="A1339" s="0" t="n">
        <f aca="false">HLOOKUP("20",Data!E2:G2,1,FALSE())</f>
        <v>20</v>
      </c>
      <c r="B1339" s="0" t="s">
        <v>1373</v>
      </c>
    </row>
    <row r="1340" customFormat="false" ht="15" hidden="false" customHeight="false" outlineLevel="0" collapsed="false">
      <c r="A1340" s="0" t="e">
        <f aca="false">LOOKUP("5",Data!A1:A8)</f>
        <v>#N/A</v>
      </c>
      <c r="B1340" s="0" t="s">
        <v>1374</v>
      </c>
    </row>
    <row r="1341" customFormat="false" ht="15" hidden="false" customHeight="false" outlineLevel="0" collapsed="false">
      <c r="A1341" s="0" t="n">
        <f aca="false">COUNTIF(Data!A1:A8,"5")</f>
        <v>1</v>
      </c>
      <c r="B1341" s="0" t="s">
        <v>1375</v>
      </c>
    </row>
    <row r="1342" customFormat="false" ht="15" hidden="false" customHeight="false" outlineLevel="0" collapsed="false">
      <c r="A1342" s="0" t="str">
        <f aca="false">_xlfn.XLOOKUP("5",Data!A1:A8,Data!B1:B8,"nf",1)</f>
        <v>nf</v>
      </c>
      <c r="B1342" s="0" t="s">
        <v>1376</v>
      </c>
    </row>
    <row r="1343" customFormat="false" ht="15" hidden="false" customHeight="false" outlineLevel="0" collapsed="false">
      <c r="A1343" s="0" t="str">
        <f aca="false">_xlfn.XLOOKUP("5",Data!A1:A8,Data!B1:B8,"nf",2)</f>
        <v>apple</v>
      </c>
      <c r="B1343" s="0" t="s">
        <v>1377</v>
      </c>
    </row>
    <row r="1344" customFormat="false" ht="15" hidden="false" customHeight="false" outlineLevel="0" collapsed="false">
      <c r="A1344" s="0" t="str">
        <f aca="false">_xlfn.XLOOKUP("5.0",Data!A1:A8,Data!B1:B8,"nf")</f>
        <v>nf</v>
      </c>
      <c r="B1344" s="0" t="s">
        <v>1378</v>
      </c>
    </row>
    <row r="1345" customFormat="false" ht="15" hidden="false" customHeight="false" outlineLevel="0" collapsed="false">
      <c r="A1345" s="0" t="e">
        <f aca="false">MATCH("5.0",Data!A1:A8,0)</f>
        <v>#N/A</v>
      </c>
      <c r="B1345" s="0" t="s">
        <v>1379</v>
      </c>
    </row>
    <row r="1346" customFormat="false" ht="15" hidden="false" customHeight="false" outlineLevel="0" collapsed="false">
      <c r="A1346" s="0" t="n">
        <f aca="false">MATCH("*",Data!A1:A8,0)</f>
        <v>1</v>
      </c>
      <c r="B1346" s="0" t="s">
        <v>1380</v>
      </c>
    </row>
    <row r="1347" customFormat="false" ht="15" hidden="false" customHeight="false" outlineLevel="0" collapsed="false">
      <c r="A1347" s="0" t="n">
        <f aca="false">MATCH("?",Data!A1:A8,0)</f>
        <v>1</v>
      </c>
      <c r="B1347" s="0" t="s">
        <v>1381</v>
      </c>
    </row>
    <row r="1348" customFormat="false" ht="15" hidden="false" customHeight="false" outlineLevel="0" collapsed="false">
      <c r="A1348" s="0" t="str">
        <f aca="false">VLOOKUP("*",Data!A1:B8,2,FALSE())</f>
        <v>apple</v>
      </c>
      <c r="B1348" s="0" t="s">
        <v>1382</v>
      </c>
    </row>
    <row r="1349" customFormat="false" ht="15" hidden="false" customHeight="false" outlineLevel="0" collapsed="false">
      <c r="A1349" s="0" t="n">
        <f aca="false">MATCH("5",Data!K1:K8,0)</f>
        <v>3</v>
      </c>
      <c r="B1349" s="0" t="s">
        <v>1383</v>
      </c>
    </row>
    <row r="1350" customFormat="false" ht="15" hidden="false" customHeight="false" outlineLevel="0" collapsed="false">
      <c r="A1350" s="0" t="str">
        <f aca="false">CHAR(65)</f>
        <v>A</v>
      </c>
      <c r="B1350" s="0" t="s">
        <v>165</v>
      </c>
    </row>
    <row r="1351" customFormat="false" ht="15" hidden="false" customHeight="false" outlineLevel="0" collapsed="false">
      <c r="A1351" s="0" t="str">
        <f aca="false">CHAR(127)</f>
        <v></v>
      </c>
      <c r="B1351" s="0" t="s">
        <v>1384</v>
      </c>
    </row>
    <row r="1352" customFormat="false" ht="15" hidden="false" customHeight="false" outlineLevel="0" collapsed="false">
      <c r="A1352" s="0" t="str">
        <f aca="false">CHAR(128)</f>
        <v>�</v>
      </c>
      <c r="B1352" s="0" t="s">
        <v>1385</v>
      </c>
    </row>
    <row r="1353" customFormat="false" ht="15" hidden="false" customHeight="false" outlineLevel="0" collapsed="false">
      <c r="A1353" s="0" t="str">
        <f aca="false">CHAR(200)</f>
        <v>�</v>
      </c>
      <c r="B1353" s="0" t="s">
        <v>1386</v>
      </c>
    </row>
    <row r="1354" customFormat="false" ht="15" hidden="false" customHeight="false" outlineLevel="0" collapsed="false">
      <c r="A1354" s="0" t="str">
        <f aca="false">CHAR(255)</f>
        <v>�</v>
      </c>
      <c r="B1354" s="0" t="s">
        <v>1387</v>
      </c>
    </row>
    <row r="1355" customFormat="false" ht="15" hidden="false" customHeight="false" outlineLevel="0" collapsed="false">
      <c r="A1355" s="0" t="e">
        <f aca="false">CHAR(256)</f>
        <v>#VALUE!</v>
      </c>
      <c r="B1355" s="0" t="s">
        <v>1388</v>
      </c>
    </row>
    <row r="1356" customFormat="false" ht="15" hidden="false" customHeight="false" outlineLevel="0" collapsed="false">
      <c r="A1356" s="0" t="str">
        <f aca="false">CHAR(65.9)</f>
        <v>A</v>
      </c>
      <c r="B1356" s="0" t="s">
        <v>1389</v>
      </c>
    </row>
    <row r="1357" customFormat="false" ht="15" hidden="false" customHeight="false" outlineLevel="0" collapsed="false">
      <c r="A1357" s="0" t="e">
        <f aca="false">CHAR(-1)</f>
        <v>#VALUE!</v>
      </c>
      <c r="B1357" s="0" t="s">
        <v>1390</v>
      </c>
    </row>
    <row r="1358" customFormat="false" ht="15" hidden="false" customHeight="false" outlineLevel="0" collapsed="false">
      <c r="A1358" s="0" t="n">
        <f aca="false">CODE("A")</f>
        <v>65</v>
      </c>
      <c r="B1358" s="0" t="s">
        <v>166</v>
      </c>
    </row>
    <row r="1359" customFormat="false" ht="15" hidden="false" customHeight="false" outlineLevel="0" collapsed="false">
      <c r="A1359" s="0" t="n">
        <f aca="false">CODE("€")</f>
        <v>226</v>
      </c>
      <c r="B1359" s="0" t="s">
        <v>1391</v>
      </c>
    </row>
    <row r="1360" customFormat="false" ht="15" hidden="false" customHeight="false" outlineLevel="0" collapsed="false">
      <c r="A1360" s="0" t="n">
        <f aca="false">CODE("ñ")</f>
        <v>195</v>
      </c>
      <c r="B1360" s="0" t="s">
        <v>1392</v>
      </c>
    </row>
    <row r="1361" customFormat="false" ht="15" hidden="false" customHeight="false" outlineLevel="0" collapsed="false">
      <c r="A1361" s="0" t="n">
        <f aca="false">CODE("漢")</f>
        <v>230</v>
      </c>
      <c r="B1361" s="0" t="s">
        <v>1393</v>
      </c>
    </row>
    <row r="1362" customFormat="false" ht="15" hidden="false" customHeight="false" outlineLevel="0" collapsed="false">
      <c r="A1362" s="0" t="n">
        <f aca="false">CODE("😀")</f>
        <v>0</v>
      </c>
      <c r="B1362" s="0" t="s">
        <v>1394</v>
      </c>
    </row>
    <row r="1363" customFormat="false" ht="15" hidden="false" customHeight="false" outlineLevel="0" collapsed="false">
      <c r="A1363" s="0" t="n">
        <f aca="false">CODE("")</f>
        <v>0</v>
      </c>
      <c r="B1363" s="0" t="s">
        <v>1395</v>
      </c>
    </row>
    <row r="1364" customFormat="false" ht="15" hidden="false" customHeight="false" outlineLevel="0" collapsed="false">
      <c r="A1364" s="0" t="n">
        <f aca="false">CODE("ab")</f>
        <v>97</v>
      </c>
      <c r="B1364" s="0" t="s">
        <v>1396</v>
      </c>
    </row>
    <row r="1365" customFormat="false" ht="15" hidden="false" customHeight="false" outlineLevel="0" collapsed="false">
      <c r="A1365" s="0" t="n">
        <f aca="false">CODE(CHAR(200))</f>
        <v>239</v>
      </c>
      <c r="B1365" s="0" t="s">
        <v>1397</v>
      </c>
    </row>
    <row r="1366" customFormat="false" ht="15" hidden="false" customHeight="false" outlineLevel="0" collapsed="false">
      <c r="A1366" s="0" t="n">
        <f aca="false">CODE(1)</f>
        <v>49</v>
      </c>
      <c r="B1366" s="0" t="s">
        <v>1398</v>
      </c>
    </row>
    <row r="1367" customFormat="false" ht="15" hidden="false" customHeight="false" outlineLevel="0" collapsed="false">
      <c r="A1367" s="0" t="n">
        <f aca="false">CODE(TRUE())</f>
        <v>49</v>
      </c>
      <c r="B1367" s="0" t="s">
        <v>1399</v>
      </c>
    </row>
    <row r="1368" customFormat="false" ht="15" hidden="false" customHeight="false" outlineLevel="0" collapsed="false">
      <c r="A1368" s="0" t="n">
        <f aca="false">LEN(CHAR(0))</f>
        <v>1</v>
      </c>
      <c r="B1368" s="0" t="s">
        <v>1400</v>
      </c>
    </row>
    <row r="1369" customFormat="false" ht="15" hidden="false" customHeight="false" outlineLevel="0" collapsed="false">
      <c r="A1369" s="0" t="n">
        <f aca="false">_xlfn.UNICODE("€")</f>
        <v>8364</v>
      </c>
      <c r="B1369" s="0" t="s">
        <v>1401</v>
      </c>
    </row>
    <row r="1370" customFormat="false" ht="15" hidden="false" customHeight="false" outlineLevel="0" collapsed="false">
      <c r="A1370" s="0" t="str">
        <f aca="false">_xlfn.UNICHAR(8364)</f>
        <v>€</v>
      </c>
      <c r="B1370" s="0" t="s">
        <v>1402</v>
      </c>
    </row>
    <row r="1371" customFormat="false" ht="15" hidden="false" customHeight="false" outlineLevel="0" collapsed="false">
      <c r="A1371" s="3" t="n">
        <f aca="false">DATE(10000,1,1)</f>
        <v>2958466</v>
      </c>
      <c r="B1371" s="0" t="s">
        <v>1403</v>
      </c>
    </row>
    <row r="1372" customFormat="false" ht="15" hidden="false" customHeight="false" outlineLevel="0" collapsed="false">
      <c r="A1372" s="3" t="n">
        <f aca="false">DATE(12345,1,1)</f>
        <v>3814960</v>
      </c>
      <c r="B1372" s="0" t="s">
        <v>1404</v>
      </c>
    </row>
    <row r="1373" customFormat="false" ht="15" hidden="false" customHeight="false" outlineLevel="0" collapsed="false">
      <c r="A1373" s="3" t="n">
        <f aca="false">DATE(32767,12,31)</f>
        <v>11274306</v>
      </c>
      <c r="B1373" s="0" t="s">
        <v>1405</v>
      </c>
    </row>
    <row r="1374" customFormat="false" ht="15" hidden="false" customHeight="false" outlineLevel="0" collapsed="false">
      <c r="A1374" s="3" t="e">
        <f aca="false">DATE(32768,1,1)</f>
        <v>#VALUE!</v>
      </c>
      <c r="B1374" s="0" t="s">
        <v>1406</v>
      </c>
    </row>
    <row r="1375" customFormat="false" ht="15" hidden="false" customHeight="false" outlineLevel="0" collapsed="false">
      <c r="A1375" s="0" t="n">
        <f aca="false">YEAR(3815019)</f>
        <v>12345</v>
      </c>
      <c r="B1375" s="0" t="s">
        <v>1407</v>
      </c>
    </row>
    <row r="1376" customFormat="false" ht="15" hidden="false" customHeight="false" outlineLevel="0" collapsed="false">
      <c r="A1376" s="0" t="n">
        <f aca="false">YEAR(2958466)</f>
        <v>10000</v>
      </c>
      <c r="B1376" s="0" t="s">
        <v>1408</v>
      </c>
    </row>
    <row r="1377" customFormat="false" ht="15" hidden="false" customHeight="false" outlineLevel="0" collapsed="false">
      <c r="A1377" s="0" t="str">
        <f aca="false">TEXT(3815019,"yyyy-mm-dd")</f>
        <v>12345-03-01</v>
      </c>
      <c r="B1377" s="0" t="s">
        <v>1409</v>
      </c>
    </row>
    <row r="1378" customFormat="false" ht="15" hidden="false" customHeight="false" outlineLevel="0" collapsed="false">
      <c r="A1378" s="0" t="n">
        <f aca="false">DATEVALUE("3/1/12345")</f>
        <v>3815019</v>
      </c>
      <c r="B1378" s="0" t="s">
        <v>1410</v>
      </c>
    </row>
    <row r="1379" customFormat="false" ht="15" hidden="false" customHeight="false" outlineLevel="0" collapsed="false">
      <c r="A1379" s="0" t="n">
        <f aca="false">DATEVALUE("3/1/32767")</f>
        <v>11274001</v>
      </c>
      <c r="B1379" s="0" t="s">
        <v>1411</v>
      </c>
    </row>
    <row r="1380" customFormat="false" ht="15" hidden="false" customHeight="false" outlineLevel="0" collapsed="false">
      <c r="A1380" s="0" t="e">
        <f aca="false">DATEVALUE("3/1/32768")</f>
        <v>#VALUE!</v>
      </c>
      <c r="B1380" s="0" t="s">
        <v>1412</v>
      </c>
    </row>
    <row r="1381" customFormat="false" ht="15" hidden="false" customHeight="false" outlineLevel="0" collapsed="false">
      <c r="A1381" s="0" t="n">
        <f aca="false">DATEVALUE("12345-3-1")</f>
        <v>3815019</v>
      </c>
      <c r="B1381" s="0" t="s">
        <v>1413</v>
      </c>
    </row>
    <row r="1382" customFormat="false" ht="15" hidden="false" customHeight="false" outlineLevel="0" collapsed="false">
      <c r="A1382" s="0" t="e">
        <f aca="false">TEXT(45367,"[$-en-US]dddd")</f>
        <v>#VALUE!</v>
      </c>
      <c r="B1382" s="0" t="s">
        <v>1414</v>
      </c>
    </row>
    <row r="1383" customFormat="false" ht="15" hidden="false" customHeight="false" outlineLevel="0" collapsed="false">
      <c r="A1383" s="0" t="e">
        <f aca="false">TEXT(45367,"[$-ZZZ]dddd")</f>
        <v>#VALUE!</v>
      </c>
      <c r="B1383" s="0" t="s">
        <v>1415</v>
      </c>
    </row>
    <row r="1384" customFormat="false" ht="15" hidden="false" customHeight="false" outlineLevel="0" collapsed="false">
      <c r="A1384" s="0" t="str">
        <f aca="false">TEXT(45367,"[$-]dddd")</f>
        <v>Saturday</v>
      </c>
      <c r="B1384" s="0" t="s">
        <v>1416</v>
      </c>
    </row>
    <row r="1385" customFormat="false" ht="15" hidden="false" customHeight="false" outlineLevel="0" collapsed="false">
      <c r="A1385" s="0" t="str">
        <f aca="false">TEXT(45367,"[$-409]dddd")</f>
        <v>Saturday</v>
      </c>
      <c r="B1385" s="0" t="s">
        <v>1417</v>
      </c>
    </row>
    <row r="1386" customFormat="false" ht="15" hidden="false" customHeight="false" outlineLevel="0" collapsed="false">
      <c r="A1386" s="0" t="str">
        <f aca="false">TEXT(45367,"[$-0409]dddd")</f>
        <v>Saturday</v>
      </c>
      <c r="B1386" s="0" t="s">
        <v>1418</v>
      </c>
    </row>
    <row r="1387" customFormat="false" ht="15" hidden="false" customHeight="false" outlineLevel="0" collapsed="false">
      <c r="A1387" s="0" t="str">
        <f aca="false">TEXT(45367,"[$$-en-US]#,##0")</f>
        <v>$45,367</v>
      </c>
      <c r="B1387" s="0" t="s">
        <v>1419</v>
      </c>
    </row>
    <row r="1388" customFormat="false" ht="15" hidden="false" customHeight="false" outlineLevel="0" collapsed="false">
      <c r="A1388" s="0" t="e">
        <f aca="false">TEXT(45367,"[$-en-US]#,##0")</f>
        <v>#VALUE!</v>
      </c>
      <c r="B1388" s="0" t="s">
        <v>1420</v>
      </c>
    </row>
    <row r="1389" customFormat="false" ht="15" hidden="false" customHeight="false" outlineLevel="0" collapsed="false">
      <c r="A1389" s="0" t="str">
        <f aca="false">TEXT(1234.5678,"0")</f>
        <v>1235</v>
      </c>
      <c r="B1389" s="0" t="s">
        <v>1421</v>
      </c>
    </row>
    <row r="1390" customFormat="false" ht="15" hidden="false" customHeight="false" outlineLevel="0" collapsed="false">
      <c r="A1390" s="0" t="str">
        <f aca="false">TEXT(-1234.5678,"0")</f>
        <v>-1235</v>
      </c>
      <c r="B1390" s="0" t="s">
        <v>1422</v>
      </c>
    </row>
    <row r="1391" customFormat="false" ht="15" hidden="false" customHeight="false" outlineLevel="0" collapsed="false">
      <c r="A1391" s="0" t="str">
        <f aca="false">TEXT(0,"0")</f>
        <v>0</v>
      </c>
      <c r="B1391" s="0" t="s">
        <v>1423</v>
      </c>
    </row>
    <row r="1392" customFormat="false" ht="15" hidden="false" customHeight="false" outlineLevel="0" collapsed="false">
      <c r="A1392" s="0" t="str">
        <f aca="false">TEXT(0.5,"0")</f>
        <v>1</v>
      </c>
      <c r="B1392" s="0" t="s">
        <v>1424</v>
      </c>
    </row>
    <row r="1393" customFormat="false" ht="15" hidden="false" customHeight="false" outlineLevel="0" collapsed="false">
      <c r="A1393" s="0" t="str">
        <f aca="false">TEXT(1000000,"0")</f>
        <v>1000000</v>
      </c>
      <c r="B1393" s="0" t="s">
        <v>1425</v>
      </c>
    </row>
    <row r="1394" customFormat="false" ht="15" hidden="false" customHeight="false" outlineLevel="0" collapsed="false">
      <c r="A1394" s="0" t="str">
        <f aca="false">TEXT(12345678.9,"0")</f>
        <v>12345679</v>
      </c>
      <c r="B1394" s="0" t="s">
        <v>1426</v>
      </c>
    </row>
    <row r="1395" customFormat="false" ht="15" hidden="false" customHeight="false" outlineLevel="0" collapsed="false">
      <c r="A1395" s="0" t="str">
        <f aca="false">TEXT(0.000123,"0")</f>
        <v>0</v>
      </c>
      <c r="B1395" s="0" t="s">
        <v>1427</v>
      </c>
    </row>
    <row r="1396" customFormat="false" ht="15" hidden="false" customHeight="false" outlineLevel="0" collapsed="false">
      <c r="A1396" s="0" t="str">
        <f aca="false">TEXT(1234.5678,"0.00")</f>
        <v>1234.57</v>
      </c>
      <c r="B1396" s="0" t="s">
        <v>1428</v>
      </c>
    </row>
    <row r="1397" customFormat="false" ht="15" hidden="false" customHeight="false" outlineLevel="0" collapsed="false">
      <c r="A1397" s="0" t="str">
        <f aca="false">TEXT(-1234.5678,"0.00")</f>
        <v>-1234.57</v>
      </c>
      <c r="B1397" s="0" t="s">
        <v>1429</v>
      </c>
    </row>
    <row r="1398" customFormat="false" ht="15" hidden="false" customHeight="false" outlineLevel="0" collapsed="false">
      <c r="A1398" s="0" t="str">
        <f aca="false">TEXT(0,"0.00")</f>
        <v>0.00</v>
      </c>
      <c r="B1398" s="0" t="s">
        <v>1430</v>
      </c>
    </row>
    <row r="1399" customFormat="false" ht="15" hidden="false" customHeight="false" outlineLevel="0" collapsed="false">
      <c r="A1399" s="0" t="str">
        <f aca="false">TEXT(0.5,"0.00")</f>
        <v>0.50</v>
      </c>
      <c r="B1399" s="0" t="s">
        <v>1431</v>
      </c>
    </row>
    <row r="1400" customFormat="false" ht="15" hidden="false" customHeight="false" outlineLevel="0" collapsed="false">
      <c r="A1400" s="0" t="str">
        <f aca="false">TEXT(1000000,"0.00")</f>
        <v>1000000.00</v>
      </c>
      <c r="B1400" s="0" t="s">
        <v>1432</v>
      </c>
    </row>
    <row r="1401" customFormat="false" ht="15" hidden="false" customHeight="false" outlineLevel="0" collapsed="false">
      <c r="A1401" s="0" t="str">
        <f aca="false">TEXT(12345678.9,"0.00")</f>
        <v>12345678.90</v>
      </c>
      <c r="B1401" s="0" t="s">
        <v>1433</v>
      </c>
    </row>
    <row r="1402" customFormat="false" ht="15" hidden="false" customHeight="false" outlineLevel="0" collapsed="false">
      <c r="A1402" s="0" t="str">
        <f aca="false">TEXT(0.000123,"0.00")</f>
        <v>0.00</v>
      </c>
      <c r="B1402" s="0" t="s">
        <v>1434</v>
      </c>
    </row>
    <row r="1403" customFormat="false" ht="15" hidden="false" customHeight="false" outlineLevel="0" collapsed="false">
      <c r="A1403" s="0" t="str">
        <f aca="false">TEXT(1234.5678,"#,##0")</f>
        <v>1,235</v>
      </c>
      <c r="B1403" s="0" t="s">
        <v>1435</v>
      </c>
    </row>
    <row r="1404" customFormat="false" ht="15" hidden="false" customHeight="false" outlineLevel="0" collapsed="false">
      <c r="A1404" s="0" t="str">
        <f aca="false">TEXT(-1234.5678,"#,##0")</f>
        <v>-1,235</v>
      </c>
      <c r="B1404" s="0" t="s">
        <v>1436</v>
      </c>
    </row>
    <row r="1405" customFormat="false" ht="15" hidden="false" customHeight="false" outlineLevel="0" collapsed="false">
      <c r="A1405" s="0" t="str">
        <f aca="false">TEXT(0,"#,##0")</f>
        <v>0</v>
      </c>
      <c r="B1405" s="0" t="s">
        <v>1437</v>
      </c>
    </row>
    <row r="1406" customFormat="false" ht="15" hidden="false" customHeight="false" outlineLevel="0" collapsed="false">
      <c r="A1406" s="0" t="str">
        <f aca="false">TEXT(0.5,"#,##0")</f>
        <v>1</v>
      </c>
      <c r="B1406" s="0" t="s">
        <v>1438</v>
      </c>
    </row>
    <row r="1407" customFormat="false" ht="15" hidden="false" customHeight="false" outlineLevel="0" collapsed="false">
      <c r="A1407" s="0" t="str">
        <f aca="false">TEXT(1000000,"#,##0")</f>
        <v>1,000,000</v>
      </c>
      <c r="B1407" s="0" t="s">
        <v>1439</v>
      </c>
    </row>
    <row r="1408" customFormat="false" ht="15" hidden="false" customHeight="false" outlineLevel="0" collapsed="false">
      <c r="A1408" s="0" t="str">
        <f aca="false">TEXT(12345678.9,"#,##0")</f>
        <v>12,345,679</v>
      </c>
      <c r="B1408" s="0" t="s">
        <v>1440</v>
      </c>
    </row>
    <row r="1409" customFormat="false" ht="15" hidden="false" customHeight="false" outlineLevel="0" collapsed="false">
      <c r="A1409" s="0" t="str">
        <f aca="false">TEXT(0.000123,"#,##0")</f>
        <v>0</v>
      </c>
      <c r="B1409" s="0" t="s">
        <v>1441</v>
      </c>
    </row>
    <row r="1410" customFormat="false" ht="15" hidden="false" customHeight="false" outlineLevel="0" collapsed="false">
      <c r="A1410" s="0" t="str">
        <f aca="false">TEXT(1234.5678,"#,##0.00")</f>
        <v>1,234.57</v>
      </c>
      <c r="B1410" s="0" t="s">
        <v>1442</v>
      </c>
    </row>
    <row r="1411" customFormat="false" ht="15" hidden="false" customHeight="false" outlineLevel="0" collapsed="false">
      <c r="A1411" s="0" t="str">
        <f aca="false">TEXT(-1234.5678,"#,##0.00")</f>
        <v>-1,234.57</v>
      </c>
      <c r="B1411" s="0" t="s">
        <v>1443</v>
      </c>
    </row>
    <row r="1412" customFormat="false" ht="15" hidden="false" customHeight="false" outlineLevel="0" collapsed="false">
      <c r="A1412" s="0" t="str">
        <f aca="false">TEXT(0,"#,##0.00")</f>
        <v>0.00</v>
      </c>
      <c r="B1412" s="0" t="s">
        <v>1444</v>
      </c>
    </row>
    <row r="1413" customFormat="false" ht="15" hidden="false" customHeight="false" outlineLevel="0" collapsed="false">
      <c r="A1413" s="0" t="str">
        <f aca="false">TEXT(0.5,"#,##0.00")</f>
        <v>0.50</v>
      </c>
      <c r="B1413" s="0" t="s">
        <v>1445</v>
      </c>
    </row>
    <row r="1414" customFormat="false" ht="15" hidden="false" customHeight="false" outlineLevel="0" collapsed="false">
      <c r="A1414" s="0" t="str">
        <f aca="false">TEXT(1000000,"#,##0.00")</f>
        <v>1,000,000.00</v>
      </c>
      <c r="B1414" s="0" t="s">
        <v>1446</v>
      </c>
    </row>
    <row r="1415" customFormat="false" ht="15" hidden="false" customHeight="false" outlineLevel="0" collapsed="false">
      <c r="A1415" s="0" t="str">
        <f aca="false">TEXT(12345678.9,"#,##0.00")</f>
        <v>12,345,678.90</v>
      </c>
      <c r="B1415" s="0" t="s">
        <v>1447</v>
      </c>
    </row>
    <row r="1416" customFormat="false" ht="15" hidden="false" customHeight="false" outlineLevel="0" collapsed="false">
      <c r="A1416" s="0" t="str">
        <f aca="false">TEXT(0.000123,"#,##0.00")</f>
        <v>0.00</v>
      </c>
      <c r="B1416" s="0" t="s">
        <v>1448</v>
      </c>
    </row>
    <row r="1417" customFormat="false" ht="15" hidden="false" customHeight="false" outlineLevel="0" collapsed="false">
      <c r="A1417" s="0" t="str">
        <f aca="false">TEXT(1234.5678,"#.##")</f>
        <v>1234.57</v>
      </c>
      <c r="B1417" s="0" t="s">
        <v>1449</v>
      </c>
    </row>
    <row r="1418" customFormat="false" ht="15" hidden="false" customHeight="false" outlineLevel="0" collapsed="false">
      <c r="A1418" s="0" t="str">
        <f aca="false">TEXT(-1234.5678,"#.##")</f>
        <v>-1234.57</v>
      </c>
      <c r="B1418" s="0" t="s">
        <v>1450</v>
      </c>
    </row>
    <row r="1419" customFormat="false" ht="15" hidden="false" customHeight="false" outlineLevel="0" collapsed="false">
      <c r="A1419" s="0" t="str">
        <f aca="false">TEXT(0,"#.##")</f>
        <v/>
      </c>
      <c r="B1419" s="0" t="s">
        <v>1451</v>
      </c>
    </row>
    <row r="1420" customFormat="false" ht="15" hidden="false" customHeight="false" outlineLevel="0" collapsed="false">
      <c r="A1420" s="0" t="str">
        <f aca="false">TEXT(0.5,"#.##")</f>
        <v>.5</v>
      </c>
      <c r="B1420" s="0" t="s">
        <v>1452</v>
      </c>
    </row>
    <row r="1421" customFormat="false" ht="15" hidden="false" customHeight="false" outlineLevel="0" collapsed="false">
      <c r="A1421" s="0" t="str">
        <f aca="false">TEXT(1000000,"#.##")</f>
        <v>1000000</v>
      </c>
      <c r="B1421" s="0" t="s">
        <v>1453</v>
      </c>
    </row>
    <row r="1422" customFormat="false" ht="15" hidden="false" customHeight="false" outlineLevel="0" collapsed="false">
      <c r="A1422" s="0" t="str">
        <f aca="false">TEXT(12345678.9,"#.##")</f>
        <v>12345678.9</v>
      </c>
      <c r="B1422" s="0" t="s">
        <v>1454</v>
      </c>
    </row>
    <row r="1423" customFormat="false" ht="15" hidden="false" customHeight="false" outlineLevel="0" collapsed="false">
      <c r="A1423" s="0" t="str">
        <f aca="false">TEXT(0.000123,"#.##")</f>
        <v/>
      </c>
      <c r="B1423" s="0" t="s">
        <v>1455</v>
      </c>
    </row>
    <row r="1424" customFormat="false" ht="15" hidden="false" customHeight="false" outlineLevel="0" collapsed="false">
      <c r="A1424" s="0" t="str">
        <f aca="false">TEXT(1234.5678,"0.0%")</f>
        <v>123456.8%</v>
      </c>
      <c r="B1424" s="0" t="s">
        <v>1456</v>
      </c>
    </row>
    <row r="1425" customFormat="false" ht="15" hidden="false" customHeight="false" outlineLevel="0" collapsed="false">
      <c r="A1425" s="0" t="str">
        <f aca="false">TEXT(-1234.5678,"0.0%")</f>
        <v>-123456.8%</v>
      </c>
      <c r="B1425" s="0" t="s">
        <v>1457</v>
      </c>
    </row>
    <row r="1426" customFormat="false" ht="15" hidden="false" customHeight="false" outlineLevel="0" collapsed="false">
      <c r="A1426" s="0" t="str">
        <f aca="false">TEXT(0,"0.0%")</f>
        <v>0.0%</v>
      </c>
      <c r="B1426" s="0" t="s">
        <v>1458</v>
      </c>
    </row>
    <row r="1427" customFormat="false" ht="15" hidden="false" customHeight="false" outlineLevel="0" collapsed="false">
      <c r="A1427" s="0" t="str">
        <f aca="false">TEXT(0.5,"0.0%")</f>
        <v>50.0%</v>
      </c>
      <c r="B1427" s="0" t="s">
        <v>1459</v>
      </c>
    </row>
    <row r="1428" customFormat="false" ht="15" hidden="false" customHeight="false" outlineLevel="0" collapsed="false">
      <c r="A1428" s="0" t="str">
        <f aca="false">TEXT(1000000,"0.0%")</f>
        <v>100000000.0%</v>
      </c>
      <c r="B1428" s="0" t="s">
        <v>1460</v>
      </c>
    </row>
    <row r="1429" customFormat="false" ht="15" hidden="false" customHeight="false" outlineLevel="0" collapsed="false">
      <c r="A1429" s="0" t="str">
        <f aca="false">TEXT(12345678.9,"0.0%")</f>
        <v>1234567890.0%</v>
      </c>
      <c r="B1429" s="0" t="s">
        <v>1461</v>
      </c>
    </row>
    <row r="1430" customFormat="false" ht="15" hidden="false" customHeight="false" outlineLevel="0" collapsed="false">
      <c r="A1430" s="0" t="str">
        <f aca="false">TEXT(0.000123,"0.0%")</f>
        <v>0.0%</v>
      </c>
      <c r="B1430" s="0" t="s">
        <v>1462</v>
      </c>
    </row>
    <row r="1431" customFormat="false" ht="15" hidden="false" customHeight="false" outlineLevel="0" collapsed="false">
      <c r="A1431" s="0" t="str">
        <f aca="false">TEXT(1234.5678,"0.00E+00")</f>
        <v>1.23E+03</v>
      </c>
      <c r="B1431" s="0" t="s">
        <v>1463</v>
      </c>
    </row>
    <row r="1432" customFormat="false" ht="15" hidden="false" customHeight="false" outlineLevel="0" collapsed="false">
      <c r="A1432" s="0" t="str">
        <f aca="false">TEXT(-1234.5678,"0.00E+00")</f>
        <v>-1.23E+03</v>
      </c>
      <c r="B1432" s="0" t="s">
        <v>1464</v>
      </c>
    </row>
    <row r="1433" customFormat="false" ht="15" hidden="false" customHeight="false" outlineLevel="0" collapsed="false">
      <c r="A1433" s="0" t="str">
        <f aca="false">TEXT(0,"0.00E+00")</f>
        <v>0.00E+00</v>
      </c>
      <c r="B1433" s="0" t="s">
        <v>1465</v>
      </c>
    </row>
    <row r="1434" customFormat="false" ht="15" hidden="false" customHeight="false" outlineLevel="0" collapsed="false">
      <c r="A1434" s="0" t="str">
        <f aca="false">TEXT(0.5,"0.00E+00")</f>
        <v>5.00E-01</v>
      </c>
      <c r="B1434" s="0" t="s">
        <v>1466</v>
      </c>
    </row>
    <row r="1435" customFormat="false" ht="15" hidden="false" customHeight="false" outlineLevel="0" collapsed="false">
      <c r="A1435" s="0" t="str">
        <f aca="false">TEXT(1000000,"0.00E+00")</f>
        <v>1.00E+06</v>
      </c>
      <c r="B1435" s="0" t="s">
        <v>1467</v>
      </c>
    </row>
    <row r="1436" customFormat="false" ht="15" hidden="false" customHeight="false" outlineLevel="0" collapsed="false">
      <c r="A1436" s="0" t="str">
        <f aca="false">TEXT(12345678.9,"0.00E+00")</f>
        <v>1.23E+07</v>
      </c>
      <c r="B1436" s="0" t="s">
        <v>1468</v>
      </c>
    </row>
    <row r="1437" customFormat="false" ht="15" hidden="false" customHeight="false" outlineLevel="0" collapsed="false">
      <c r="A1437" s="0" t="str">
        <f aca="false">TEXT(0.000123,"0.00E+00")</f>
        <v>1.23E-04</v>
      </c>
      <c r="B1437" s="0" t="s">
        <v>1469</v>
      </c>
    </row>
    <row r="1438" customFormat="false" ht="15" hidden="false" customHeight="false" outlineLevel="0" collapsed="false">
      <c r="A1438" s="0" t="str">
        <f aca="false">TEXT(1234.5678,"# ?/?")</f>
        <v>1234 4/7</v>
      </c>
      <c r="B1438" s="0" t="s">
        <v>1470</v>
      </c>
    </row>
    <row r="1439" customFormat="false" ht="15" hidden="false" customHeight="false" outlineLevel="0" collapsed="false">
      <c r="A1439" s="0" t="str">
        <f aca="false">TEXT(-1234.5678,"# ?/?")</f>
        <v>-1234 4/7</v>
      </c>
      <c r="B1439" s="0" t="s">
        <v>1471</v>
      </c>
    </row>
    <row r="1440" customFormat="false" ht="15" hidden="false" customHeight="false" outlineLevel="0" collapsed="false">
      <c r="A1440" s="0" t="str">
        <f aca="false">TEXT(0,"# ?/?")</f>
        <v>0    </v>
      </c>
      <c r="B1440" s="0" t="s">
        <v>1472</v>
      </c>
    </row>
    <row r="1441" customFormat="false" ht="15" hidden="false" customHeight="false" outlineLevel="0" collapsed="false">
      <c r="A1441" s="0" t="str">
        <f aca="false">TEXT(0.5,"# ?/?")</f>
        <v> 1/2</v>
      </c>
      <c r="B1441" s="0" t="s">
        <v>1473</v>
      </c>
    </row>
    <row r="1442" customFormat="false" ht="15" hidden="false" customHeight="false" outlineLevel="0" collapsed="false">
      <c r="A1442" s="0" t="str">
        <f aca="false">TEXT(1000000,"# ?/?")</f>
        <v>1000000    </v>
      </c>
      <c r="B1442" s="0" t="s">
        <v>1474</v>
      </c>
    </row>
    <row r="1443" customFormat="false" ht="15" hidden="false" customHeight="false" outlineLevel="0" collapsed="false">
      <c r="A1443" s="0" t="str">
        <f aca="false">TEXT(12345678.9,"# ?/?")</f>
        <v>12345678 8/9</v>
      </c>
      <c r="B1443" s="0" t="s">
        <v>1475</v>
      </c>
    </row>
    <row r="1444" customFormat="false" ht="15" hidden="false" customHeight="false" outlineLevel="0" collapsed="false">
      <c r="A1444" s="0" t="str">
        <f aca="false">TEXT(0.000123,"# ?/?")</f>
        <v>0    </v>
      </c>
      <c r="B1444" s="0" t="s">
        <v>1476</v>
      </c>
    </row>
    <row r="1445" customFormat="false" ht="15" hidden="false" customHeight="false" outlineLevel="0" collapsed="false">
      <c r="A1445" s="0" t="str">
        <f aca="false">TEXT(1234.5678,"# ??/??")</f>
        <v>1234 46/81</v>
      </c>
      <c r="B1445" s="0" t="s">
        <v>1477</v>
      </c>
    </row>
    <row r="1446" customFormat="false" ht="15" hidden="false" customHeight="false" outlineLevel="0" collapsed="false">
      <c r="A1446" s="0" t="str">
        <f aca="false">TEXT(-1234.5678,"# ??/??")</f>
        <v>-1234 46/81</v>
      </c>
      <c r="B1446" s="0" t="s">
        <v>1478</v>
      </c>
    </row>
    <row r="1447" customFormat="false" ht="15" hidden="false" customHeight="false" outlineLevel="0" collapsed="false">
      <c r="A1447" s="0" t="str">
        <f aca="false">TEXT(0,"# ??/??")</f>
        <v>0      </v>
      </c>
      <c r="B1447" s="0" t="s">
        <v>1479</v>
      </c>
    </row>
    <row r="1448" customFormat="false" ht="15" hidden="false" customHeight="false" outlineLevel="0" collapsed="false">
      <c r="A1448" s="0" t="str">
        <f aca="false">TEXT(0.5,"# ??/??")</f>
        <v>  1/2 </v>
      </c>
      <c r="B1448" s="0" t="s">
        <v>1480</v>
      </c>
    </row>
    <row r="1449" customFormat="false" ht="15" hidden="false" customHeight="false" outlineLevel="0" collapsed="false">
      <c r="A1449" s="0" t="str">
        <f aca="false">TEXT(1000000,"# ??/??")</f>
        <v>1000000      </v>
      </c>
      <c r="B1449" s="0" t="s">
        <v>1481</v>
      </c>
    </row>
    <row r="1450" customFormat="false" ht="15" hidden="false" customHeight="false" outlineLevel="0" collapsed="false">
      <c r="A1450" s="0" t="str">
        <f aca="false">TEXT(12345678.9,"# ??/??")</f>
        <v>12345678  9/10</v>
      </c>
      <c r="B1450" s="0" t="s">
        <v>1482</v>
      </c>
    </row>
    <row r="1451" customFormat="false" ht="15" hidden="false" customHeight="false" outlineLevel="0" collapsed="false">
      <c r="A1451" s="0" t="str">
        <f aca="false">TEXT(0.000123,"# ??/??")</f>
        <v>0      </v>
      </c>
      <c r="B1451" s="0" t="s">
        <v>1483</v>
      </c>
    </row>
    <row r="1452" customFormat="false" ht="15" hidden="false" customHeight="false" outlineLevel="0" collapsed="false">
      <c r="A1452" s="0" t="str">
        <f aca="false">TEXT(1234.5678,"General")</f>
        <v>1234.5678</v>
      </c>
      <c r="B1452" s="0" t="s">
        <v>1484</v>
      </c>
    </row>
    <row r="1453" customFormat="false" ht="15" hidden="false" customHeight="false" outlineLevel="0" collapsed="false">
      <c r="A1453" s="0" t="str">
        <f aca="false">TEXT(-1234.5678,"General")</f>
        <v>-1234.5678</v>
      </c>
      <c r="B1453" s="0" t="s">
        <v>1485</v>
      </c>
    </row>
    <row r="1454" customFormat="false" ht="15" hidden="false" customHeight="false" outlineLevel="0" collapsed="false">
      <c r="A1454" s="0" t="str">
        <f aca="false">TEXT(0,"General")</f>
        <v>0</v>
      </c>
      <c r="B1454" s="0" t="s">
        <v>1486</v>
      </c>
    </row>
    <row r="1455" customFormat="false" ht="15" hidden="false" customHeight="false" outlineLevel="0" collapsed="false">
      <c r="A1455" s="0" t="str">
        <f aca="false">TEXT(0.5,"General")</f>
        <v>0.5</v>
      </c>
      <c r="B1455" s="0" t="s">
        <v>1487</v>
      </c>
    </row>
    <row r="1456" customFormat="false" ht="15" hidden="false" customHeight="false" outlineLevel="0" collapsed="false">
      <c r="A1456" s="0" t="str">
        <f aca="false">TEXT(1000000,"General")</f>
        <v>1000000</v>
      </c>
      <c r="B1456" s="0" t="s">
        <v>1488</v>
      </c>
    </row>
    <row r="1457" customFormat="false" ht="15" hidden="false" customHeight="false" outlineLevel="0" collapsed="false">
      <c r="A1457" s="0" t="str">
        <f aca="false">TEXT(12345678.9,"General")</f>
        <v>12345678.9</v>
      </c>
      <c r="B1457" s="0" t="s">
        <v>1489</v>
      </c>
    </row>
    <row r="1458" customFormat="false" ht="15" hidden="false" customHeight="false" outlineLevel="0" collapsed="false">
      <c r="A1458" s="0" t="str">
        <f aca="false">TEXT(0.000123,"General")</f>
        <v>0.000123</v>
      </c>
      <c r="B1458" s="0" t="s">
        <v>1490</v>
      </c>
    </row>
    <row r="1459" customFormat="false" ht="15" hidden="false" customHeight="false" outlineLevel="0" collapsed="false">
      <c r="A1459" s="0" t="str">
        <f aca="false">TEXT(1234.5678,"[$$-409]#,##0.00")</f>
        <v>$1,234.57</v>
      </c>
      <c r="B1459" s="0" t="s">
        <v>1491</v>
      </c>
    </row>
    <row r="1460" customFormat="false" ht="15" hidden="false" customHeight="false" outlineLevel="0" collapsed="false">
      <c r="A1460" s="0" t="str">
        <f aca="false">TEXT(-1234.5678,"[$$-409]#,##0.00")</f>
        <v>-$1,234.57</v>
      </c>
      <c r="B1460" s="0" t="s">
        <v>1492</v>
      </c>
    </row>
    <row r="1461" customFormat="false" ht="15" hidden="false" customHeight="false" outlineLevel="0" collapsed="false">
      <c r="A1461" s="0" t="str">
        <f aca="false">TEXT(0,"[$$-409]#,##0.00")</f>
        <v>$0.00</v>
      </c>
      <c r="B1461" s="0" t="s">
        <v>1493</v>
      </c>
    </row>
    <row r="1462" customFormat="false" ht="15" hidden="false" customHeight="false" outlineLevel="0" collapsed="false">
      <c r="A1462" s="0" t="str">
        <f aca="false">TEXT(0.5,"[$$-409]#,##0.00")</f>
        <v>$0.50</v>
      </c>
      <c r="B1462" s="0" t="s">
        <v>1494</v>
      </c>
    </row>
    <row r="1463" customFormat="false" ht="15" hidden="false" customHeight="false" outlineLevel="0" collapsed="false">
      <c r="A1463" s="0" t="str">
        <f aca="false">TEXT(1000000,"[$$-409]#,##0.00")</f>
        <v>$1,000,000.00</v>
      </c>
      <c r="B1463" s="0" t="s">
        <v>1495</v>
      </c>
    </row>
    <row r="1464" customFormat="false" ht="15" hidden="false" customHeight="false" outlineLevel="0" collapsed="false">
      <c r="A1464" s="0" t="str">
        <f aca="false">TEXT(12345678.9,"[$$-409]#,##0.00")</f>
        <v>$12,345,678.90</v>
      </c>
      <c r="B1464" s="0" t="s">
        <v>1496</v>
      </c>
    </row>
    <row r="1465" customFormat="false" ht="15" hidden="false" customHeight="false" outlineLevel="0" collapsed="false">
      <c r="A1465" s="0" t="str">
        <f aca="false">TEXT(0.000123,"[$$-409]#,##0.00")</f>
        <v>$0.00</v>
      </c>
      <c r="B1465" s="0" t="s">
        <v>1497</v>
      </c>
    </row>
    <row r="1466" customFormat="false" ht="15" hidden="false" customHeight="false" outlineLevel="0" collapsed="false">
      <c r="A1466" s="0" t="str">
        <f aca="false">TEXT(1234.5678,"[$€-407]#,##0.00")</f>
        <v>€1,234.57</v>
      </c>
      <c r="B1466" s="0" t="s">
        <v>1498</v>
      </c>
    </row>
    <row r="1467" customFormat="false" ht="15" hidden="false" customHeight="false" outlineLevel="0" collapsed="false">
      <c r="A1467" s="0" t="str">
        <f aca="false">TEXT(-1234.5678,"[$€-407]#,##0.00")</f>
        <v>-€1,234.57</v>
      </c>
      <c r="B1467" s="0" t="s">
        <v>1499</v>
      </c>
    </row>
    <row r="1468" customFormat="false" ht="15" hidden="false" customHeight="false" outlineLevel="0" collapsed="false">
      <c r="A1468" s="0" t="str">
        <f aca="false">TEXT(0,"[$€-407]#,##0.00")</f>
        <v>€0.00</v>
      </c>
      <c r="B1468" s="0" t="s">
        <v>1500</v>
      </c>
    </row>
    <row r="1469" customFormat="false" ht="15" hidden="false" customHeight="false" outlineLevel="0" collapsed="false">
      <c r="A1469" s="0" t="str">
        <f aca="false">TEXT(0.5,"[$€-407]#,##0.00")</f>
        <v>€0.50</v>
      </c>
      <c r="B1469" s="0" t="s">
        <v>1501</v>
      </c>
    </row>
    <row r="1470" customFormat="false" ht="15" hidden="false" customHeight="false" outlineLevel="0" collapsed="false">
      <c r="A1470" s="0" t="str">
        <f aca="false">TEXT(1000000,"[$€-407]#,##0.00")</f>
        <v>€1,000,000.00</v>
      </c>
      <c r="B1470" s="0" t="s">
        <v>1502</v>
      </c>
    </row>
    <row r="1471" customFormat="false" ht="15" hidden="false" customHeight="false" outlineLevel="0" collapsed="false">
      <c r="A1471" s="0" t="str">
        <f aca="false">TEXT(12345678.9,"[$€-407]#,##0.00")</f>
        <v>€12,345,678.90</v>
      </c>
      <c r="B1471" s="0" t="s">
        <v>1503</v>
      </c>
    </row>
    <row r="1472" customFormat="false" ht="15" hidden="false" customHeight="false" outlineLevel="0" collapsed="false">
      <c r="A1472" s="0" t="str">
        <f aca="false">TEXT(0.000123,"[$€-407]#,##0.00")</f>
        <v>€0.00</v>
      </c>
      <c r="B1472" s="0" t="s">
        <v>1504</v>
      </c>
    </row>
    <row r="1473" customFormat="false" ht="15" hidden="false" customHeight="false" outlineLevel="0" collapsed="false">
      <c r="A1473" s="0" t="str">
        <f aca="false">TEXT(1234.5678,"[$$-en-US]#,##0")</f>
        <v>$1,235</v>
      </c>
      <c r="B1473" s="0" t="s">
        <v>1505</v>
      </c>
    </row>
    <row r="1474" customFormat="false" ht="15" hidden="false" customHeight="false" outlineLevel="0" collapsed="false">
      <c r="A1474" s="0" t="str">
        <f aca="false">TEXT(-1234.5678,"[$$-en-US]#,##0")</f>
        <v>-$1,235</v>
      </c>
      <c r="B1474" s="0" t="s">
        <v>1506</v>
      </c>
    </row>
    <row r="1475" customFormat="false" ht="15" hidden="false" customHeight="false" outlineLevel="0" collapsed="false">
      <c r="A1475" s="0" t="str">
        <f aca="false">TEXT(0,"[$$-en-US]#,##0")</f>
        <v>$0</v>
      </c>
      <c r="B1475" s="0" t="s">
        <v>1507</v>
      </c>
    </row>
    <row r="1476" customFormat="false" ht="15" hidden="false" customHeight="false" outlineLevel="0" collapsed="false">
      <c r="A1476" s="0" t="str">
        <f aca="false">TEXT(0.5,"[$$-en-US]#,##0")</f>
        <v>$1</v>
      </c>
      <c r="B1476" s="0" t="s">
        <v>1508</v>
      </c>
    </row>
    <row r="1477" customFormat="false" ht="15" hidden="false" customHeight="false" outlineLevel="0" collapsed="false">
      <c r="A1477" s="0" t="str">
        <f aca="false">TEXT(1000000,"[$$-en-US]#,##0")</f>
        <v>$1,000,000</v>
      </c>
      <c r="B1477" s="0" t="s">
        <v>1509</v>
      </c>
    </row>
    <row r="1478" customFormat="false" ht="15" hidden="false" customHeight="false" outlineLevel="0" collapsed="false">
      <c r="A1478" s="0" t="str">
        <f aca="false">TEXT(12345678.9,"[$$-en-US]#,##0")</f>
        <v>$12,345,679</v>
      </c>
      <c r="B1478" s="0" t="s">
        <v>1510</v>
      </c>
    </row>
    <row r="1479" customFormat="false" ht="15" hidden="false" customHeight="false" outlineLevel="0" collapsed="false">
      <c r="A1479" s="0" t="str">
        <f aca="false">TEXT(0.000123,"[$$-en-US]#,##0")</f>
        <v>$0</v>
      </c>
      <c r="B1479" s="0" t="s">
        <v>1511</v>
      </c>
    </row>
    <row r="1480" customFormat="false" ht="15" hidden="false" customHeight="false" outlineLevel="0" collapsed="false">
      <c r="A1480" s="0" t="str">
        <f aca="false">TEXT(1234.5678,"$#,##0")</f>
        <v>$1,235</v>
      </c>
      <c r="B1480" s="0" t="s">
        <v>1512</v>
      </c>
    </row>
    <row r="1481" customFormat="false" ht="15" hidden="false" customHeight="false" outlineLevel="0" collapsed="false">
      <c r="A1481" s="0" t="str">
        <f aca="false">TEXT(-1234.5678,"$#,##0")</f>
        <v>-$1,235</v>
      </c>
      <c r="B1481" s="0" t="s">
        <v>1513</v>
      </c>
    </row>
    <row r="1482" customFormat="false" ht="15" hidden="false" customHeight="false" outlineLevel="0" collapsed="false">
      <c r="A1482" s="0" t="str">
        <f aca="false">TEXT(0,"$#,##0")</f>
        <v>$0</v>
      </c>
      <c r="B1482" s="0" t="s">
        <v>1514</v>
      </c>
    </row>
    <row r="1483" customFormat="false" ht="15" hidden="false" customHeight="false" outlineLevel="0" collapsed="false">
      <c r="A1483" s="0" t="str">
        <f aca="false">TEXT(0.5,"$#,##0")</f>
        <v>$1</v>
      </c>
      <c r="B1483" s="0" t="s">
        <v>1515</v>
      </c>
    </row>
    <row r="1484" customFormat="false" ht="15" hidden="false" customHeight="false" outlineLevel="0" collapsed="false">
      <c r="A1484" s="0" t="str">
        <f aca="false">TEXT(1000000,"$#,##0")</f>
        <v>$1,000,000</v>
      </c>
      <c r="B1484" s="0" t="s">
        <v>1516</v>
      </c>
    </row>
    <row r="1485" customFormat="false" ht="15" hidden="false" customHeight="false" outlineLevel="0" collapsed="false">
      <c r="A1485" s="0" t="str">
        <f aca="false">TEXT(12345678.9,"$#,##0")</f>
        <v>$12,345,679</v>
      </c>
      <c r="B1485" s="0" t="s">
        <v>1517</v>
      </c>
    </row>
    <row r="1486" customFormat="false" ht="15" hidden="false" customHeight="false" outlineLevel="0" collapsed="false">
      <c r="A1486" s="0" t="str">
        <f aca="false">TEXT(0.000123,"$#,##0")</f>
        <v>$0</v>
      </c>
      <c r="B1486" s="0" t="s">
        <v>1518</v>
      </c>
    </row>
    <row r="1487" customFormat="false" ht="15" hidden="false" customHeight="false" outlineLevel="0" collapsed="false">
      <c r="A1487" s="0" t="str">
        <f aca="false">TEXT(1234.5678,"#,##0;(#,##0)")</f>
        <v>1,235</v>
      </c>
      <c r="B1487" s="0" t="s">
        <v>1519</v>
      </c>
    </row>
    <row r="1488" customFormat="false" ht="15" hidden="false" customHeight="false" outlineLevel="0" collapsed="false">
      <c r="A1488" s="0" t="str">
        <f aca="false">TEXT(-1234.5678,"#,##0;(#,##0)")</f>
        <v>(1,235)</v>
      </c>
      <c r="B1488" s="0" t="s">
        <v>1520</v>
      </c>
    </row>
    <row r="1489" customFormat="false" ht="15" hidden="false" customHeight="false" outlineLevel="0" collapsed="false">
      <c r="A1489" s="0" t="str">
        <f aca="false">TEXT(0,"#,##0;(#,##0)")</f>
        <v>0</v>
      </c>
      <c r="B1489" s="0" t="s">
        <v>1521</v>
      </c>
    </row>
    <row r="1490" customFormat="false" ht="15" hidden="false" customHeight="false" outlineLevel="0" collapsed="false">
      <c r="A1490" s="0" t="str">
        <f aca="false">TEXT(0.5,"#,##0;(#,##0)")</f>
        <v>1</v>
      </c>
      <c r="B1490" s="0" t="s">
        <v>1522</v>
      </c>
    </row>
    <row r="1491" customFormat="false" ht="15" hidden="false" customHeight="false" outlineLevel="0" collapsed="false">
      <c r="A1491" s="0" t="str">
        <f aca="false">TEXT(1000000,"#,##0;(#,##0)")</f>
        <v>1,000,000</v>
      </c>
      <c r="B1491" s="0" t="s">
        <v>1523</v>
      </c>
    </row>
    <row r="1492" customFormat="false" ht="15" hidden="false" customHeight="false" outlineLevel="0" collapsed="false">
      <c r="A1492" s="0" t="str">
        <f aca="false">TEXT(12345678.9,"#,##0;(#,##0)")</f>
        <v>12,345,679</v>
      </c>
      <c r="B1492" s="0" t="s">
        <v>1524</v>
      </c>
    </row>
    <row r="1493" customFormat="false" ht="15" hidden="false" customHeight="false" outlineLevel="0" collapsed="false">
      <c r="A1493" s="0" t="str">
        <f aca="false">TEXT(0.000123,"#,##0;(#,##0)")</f>
        <v>0</v>
      </c>
      <c r="B1493" s="0" t="s">
        <v>1525</v>
      </c>
    </row>
    <row r="1494" customFormat="false" ht="15" hidden="false" customHeight="false" outlineLevel="0" collapsed="false">
      <c r="A1494" s="0" t="str">
        <f aca="false">TEXT(1234.5678,"#,##0;[Red]-#,##0")</f>
        <v>1,235</v>
      </c>
      <c r="B1494" s="0" t="s">
        <v>1526</v>
      </c>
    </row>
    <row r="1495" customFormat="false" ht="15" hidden="false" customHeight="false" outlineLevel="0" collapsed="false">
      <c r="A1495" s="0" t="str">
        <f aca="false">TEXT(-1234.5678,"#,##0;[Red]-#,##0")</f>
        <v>-1,235</v>
      </c>
      <c r="B1495" s="0" t="s">
        <v>1527</v>
      </c>
    </row>
    <row r="1496" customFormat="false" ht="15" hidden="false" customHeight="false" outlineLevel="0" collapsed="false">
      <c r="A1496" s="0" t="str">
        <f aca="false">TEXT(0,"#,##0;[Red]-#,##0")</f>
        <v>0</v>
      </c>
      <c r="B1496" s="0" t="s">
        <v>1528</v>
      </c>
    </row>
    <row r="1497" customFormat="false" ht="15" hidden="false" customHeight="false" outlineLevel="0" collapsed="false">
      <c r="A1497" s="0" t="str">
        <f aca="false">TEXT(0.5,"#,##0;[Red]-#,##0")</f>
        <v>1</v>
      </c>
      <c r="B1497" s="0" t="s">
        <v>1529</v>
      </c>
    </row>
    <row r="1498" customFormat="false" ht="15" hidden="false" customHeight="false" outlineLevel="0" collapsed="false">
      <c r="A1498" s="0" t="str">
        <f aca="false">TEXT(1000000,"#,##0;[Red]-#,##0")</f>
        <v>1,000,000</v>
      </c>
      <c r="B1498" s="0" t="s">
        <v>1530</v>
      </c>
    </row>
    <row r="1499" customFormat="false" ht="15" hidden="false" customHeight="false" outlineLevel="0" collapsed="false">
      <c r="A1499" s="0" t="str">
        <f aca="false">TEXT(12345678.9,"#,##0;[Red]-#,##0")</f>
        <v>12,345,679</v>
      </c>
      <c r="B1499" s="0" t="s">
        <v>1531</v>
      </c>
    </row>
    <row r="1500" customFormat="false" ht="15" hidden="false" customHeight="false" outlineLevel="0" collapsed="false">
      <c r="A1500" s="0" t="str">
        <f aca="false">TEXT(0.000123,"#,##0;[Red]-#,##0")</f>
        <v>0</v>
      </c>
      <c r="B1500" s="0" t="s">
        <v>1532</v>
      </c>
    </row>
    <row r="1501" customFormat="false" ht="15" hidden="false" customHeight="false" outlineLevel="0" collapsed="false">
      <c r="A1501" s="0" t="str">
        <f aca="false">TEXT(1234.5678,"[&gt;100]0.0;0")</f>
        <v>1234.6</v>
      </c>
      <c r="B1501" s="0" t="s">
        <v>1533</v>
      </c>
    </row>
    <row r="1502" customFormat="false" ht="15" hidden="false" customHeight="false" outlineLevel="0" collapsed="false">
      <c r="A1502" s="0" t="str">
        <f aca="false">TEXT(-1234.5678,"[&gt;100]0.0;0")</f>
        <v>1235</v>
      </c>
      <c r="B1502" s="0" t="s">
        <v>1534</v>
      </c>
    </row>
    <row r="1503" customFormat="false" ht="15" hidden="false" customHeight="false" outlineLevel="0" collapsed="false">
      <c r="A1503" s="0" t="str">
        <f aca="false">TEXT(0,"[&gt;100]0.0;0")</f>
        <v>0</v>
      </c>
      <c r="B1503" s="0" t="s">
        <v>1535</v>
      </c>
    </row>
    <row r="1504" customFormat="false" ht="15" hidden="false" customHeight="false" outlineLevel="0" collapsed="false">
      <c r="A1504" s="0" t="str">
        <f aca="false">TEXT(0.5,"[&gt;100]0.0;0")</f>
        <v>1</v>
      </c>
      <c r="B1504" s="0" t="s">
        <v>1536</v>
      </c>
    </row>
    <row r="1505" customFormat="false" ht="15" hidden="false" customHeight="false" outlineLevel="0" collapsed="false">
      <c r="A1505" s="0" t="str">
        <f aca="false">TEXT(1000000,"[&gt;100]0.0;0")</f>
        <v>1000000.0</v>
      </c>
      <c r="B1505" s="0" t="s">
        <v>1537</v>
      </c>
    </row>
    <row r="1506" customFormat="false" ht="15" hidden="false" customHeight="false" outlineLevel="0" collapsed="false">
      <c r="A1506" s="0" t="str">
        <f aca="false">TEXT(12345678.9,"[&gt;100]0.0;0")</f>
        <v>12345678.9</v>
      </c>
      <c r="B1506" s="0" t="s">
        <v>1538</v>
      </c>
    </row>
    <row r="1507" customFormat="false" ht="15" hidden="false" customHeight="false" outlineLevel="0" collapsed="false">
      <c r="A1507" s="0" t="str">
        <f aca="false">TEXT(0.000123,"[&gt;100]0.0;0")</f>
        <v>0</v>
      </c>
      <c r="B1507" s="0" t="s">
        <v>1539</v>
      </c>
    </row>
    <row r="1508" customFormat="false" ht="15" hidden="false" customHeight="false" outlineLevel="0" collapsed="false">
      <c r="A1508" s="0" t="str">
        <f aca="false">TEXT(1234.5678,"0,")</f>
        <v>1</v>
      </c>
      <c r="B1508" s="0" t="s">
        <v>1540</v>
      </c>
    </row>
    <row r="1509" customFormat="false" ht="15" hidden="false" customHeight="false" outlineLevel="0" collapsed="false">
      <c r="A1509" s="0" t="str">
        <f aca="false">TEXT(-1234.5678,"0,")</f>
        <v>-1</v>
      </c>
      <c r="B1509" s="0" t="s">
        <v>1541</v>
      </c>
    </row>
    <row r="1510" customFormat="false" ht="15" hidden="false" customHeight="false" outlineLevel="0" collapsed="false">
      <c r="A1510" s="0" t="str">
        <f aca="false">TEXT(0,"0,")</f>
        <v>0</v>
      </c>
      <c r="B1510" s="0" t="s">
        <v>1542</v>
      </c>
    </row>
    <row r="1511" customFormat="false" ht="15" hidden="false" customHeight="false" outlineLevel="0" collapsed="false">
      <c r="A1511" s="0" t="str">
        <f aca="false">TEXT(0.5,"0,")</f>
        <v>0</v>
      </c>
      <c r="B1511" s="0" t="s">
        <v>1543</v>
      </c>
    </row>
    <row r="1512" customFormat="false" ht="15" hidden="false" customHeight="false" outlineLevel="0" collapsed="false">
      <c r="A1512" s="0" t="str">
        <f aca="false">TEXT(1000000,"0,")</f>
        <v>1000</v>
      </c>
      <c r="B1512" s="0" t="s">
        <v>1544</v>
      </c>
    </row>
    <row r="1513" customFormat="false" ht="15" hidden="false" customHeight="false" outlineLevel="0" collapsed="false">
      <c r="A1513" s="0" t="str">
        <f aca="false">TEXT(12345678.9,"0,")</f>
        <v>12346</v>
      </c>
      <c r="B1513" s="0" t="s">
        <v>1545</v>
      </c>
    </row>
    <row r="1514" customFormat="false" ht="15" hidden="false" customHeight="false" outlineLevel="0" collapsed="false">
      <c r="A1514" s="0" t="str">
        <f aca="false">TEXT(0.000123,"0,")</f>
        <v>0</v>
      </c>
      <c r="B1514" s="0" t="s">
        <v>1546</v>
      </c>
    </row>
    <row r="1515" customFormat="false" ht="15" hidden="false" customHeight="false" outlineLevel="0" collapsed="false">
      <c r="A1515" s="0" t="str">
        <f aca="false">TEXT(1234.5678,"0.0,,")</f>
        <v>0.0</v>
      </c>
      <c r="B1515" s="0" t="s">
        <v>1547</v>
      </c>
    </row>
    <row r="1516" customFormat="false" ht="15" hidden="false" customHeight="false" outlineLevel="0" collapsed="false">
      <c r="A1516" s="0" t="str">
        <f aca="false">TEXT(-1234.5678,"0.0,,")</f>
        <v>0.0</v>
      </c>
      <c r="B1516" s="0" t="s">
        <v>1548</v>
      </c>
    </row>
    <row r="1517" customFormat="false" ht="15" hidden="false" customHeight="false" outlineLevel="0" collapsed="false">
      <c r="A1517" s="0" t="str">
        <f aca="false">TEXT(0,"0.0,,")</f>
        <v>0.0</v>
      </c>
      <c r="B1517" s="0" t="s">
        <v>1549</v>
      </c>
    </row>
    <row r="1518" customFormat="false" ht="15" hidden="false" customHeight="false" outlineLevel="0" collapsed="false">
      <c r="A1518" s="0" t="str">
        <f aca="false">TEXT(0.5,"0.0,,")</f>
        <v>0.0</v>
      </c>
      <c r="B1518" s="0" t="s">
        <v>1550</v>
      </c>
    </row>
    <row r="1519" customFormat="false" ht="15" hidden="false" customHeight="false" outlineLevel="0" collapsed="false">
      <c r="A1519" s="0" t="str">
        <f aca="false">TEXT(1000000,"0.0,,")</f>
        <v>1.0</v>
      </c>
      <c r="B1519" s="0" t="s">
        <v>1551</v>
      </c>
    </row>
    <row r="1520" customFormat="false" ht="15" hidden="false" customHeight="false" outlineLevel="0" collapsed="false">
      <c r="A1520" s="0" t="str">
        <f aca="false">TEXT(12345678.9,"0.0,,")</f>
        <v>12.3</v>
      </c>
      <c r="B1520" s="0" t="s">
        <v>1552</v>
      </c>
    </row>
    <row r="1521" customFormat="false" ht="15" hidden="false" customHeight="false" outlineLevel="0" collapsed="false">
      <c r="A1521" s="0" t="str">
        <f aca="false">TEXT(0.000123,"0.0,,")</f>
        <v>0.0</v>
      </c>
      <c r="B1521" s="0" t="s">
        <v>1553</v>
      </c>
    </row>
    <row r="1522" customFormat="false" ht="15" hidden="false" customHeight="false" outlineLevel="0" collapsed="false">
      <c r="A1522" s="0" t="str">
        <f aca="false">TEXT(1234.5678,"00000")</f>
        <v>01235</v>
      </c>
      <c r="B1522" s="0" t="s">
        <v>1554</v>
      </c>
    </row>
    <row r="1523" customFormat="false" ht="15" hidden="false" customHeight="false" outlineLevel="0" collapsed="false">
      <c r="A1523" s="0" t="str">
        <f aca="false">TEXT(-1234.5678,"00000")</f>
        <v>-01235</v>
      </c>
      <c r="B1523" s="0" t="s">
        <v>1555</v>
      </c>
    </row>
    <row r="1524" customFormat="false" ht="15" hidden="false" customHeight="false" outlineLevel="0" collapsed="false">
      <c r="A1524" s="0" t="str">
        <f aca="false">TEXT(0,"00000")</f>
        <v>00000</v>
      </c>
      <c r="B1524" s="0" t="s">
        <v>1556</v>
      </c>
    </row>
    <row r="1525" customFormat="false" ht="15" hidden="false" customHeight="false" outlineLevel="0" collapsed="false">
      <c r="A1525" s="0" t="str">
        <f aca="false">TEXT(0.5,"00000")</f>
        <v>00001</v>
      </c>
      <c r="B1525" s="0" t="s">
        <v>1557</v>
      </c>
    </row>
    <row r="1526" customFormat="false" ht="15" hidden="false" customHeight="false" outlineLevel="0" collapsed="false">
      <c r="A1526" s="0" t="str">
        <f aca="false">TEXT(1000000,"00000")</f>
        <v>1000000</v>
      </c>
      <c r="B1526" s="0" t="s">
        <v>1558</v>
      </c>
    </row>
    <row r="1527" customFormat="false" ht="15" hidden="false" customHeight="false" outlineLevel="0" collapsed="false">
      <c r="A1527" s="0" t="str">
        <f aca="false">TEXT(12345678.9,"00000")</f>
        <v>12345679</v>
      </c>
      <c r="B1527" s="0" t="s">
        <v>1559</v>
      </c>
    </row>
    <row r="1528" customFormat="false" ht="15" hidden="false" customHeight="false" outlineLevel="0" collapsed="false">
      <c r="A1528" s="0" t="str">
        <f aca="false">TEXT(0.000123,"00000")</f>
        <v>00000</v>
      </c>
      <c r="B1528" s="0" t="s">
        <v>1560</v>
      </c>
    </row>
    <row r="1529" customFormat="false" ht="15" hidden="false" customHeight="false" outlineLevel="0" collapsed="false">
      <c r="A1529" s="0" t="str">
        <f aca="false">TEXT(1234.5678,"""abc""0")</f>
        <v>abc1235</v>
      </c>
      <c r="B1529" s="0" t="s">
        <v>1561</v>
      </c>
    </row>
    <row r="1530" customFormat="false" ht="15" hidden="false" customHeight="false" outlineLevel="0" collapsed="false">
      <c r="A1530" s="0" t="str">
        <f aca="false">TEXT(-1234.5678,"""abc""0")</f>
        <v>-abc1235</v>
      </c>
      <c r="B1530" s="0" t="s">
        <v>1562</v>
      </c>
    </row>
    <row r="1531" customFormat="false" ht="15" hidden="false" customHeight="false" outlineLevel="0" collapsed="false">
      <c r="A1531" s="0" t="str">
        <f aca="false">TEXT(0,"""abc""0")</f>
        <v>abc0</v>
      </c>
      <c r="B1531" s="0" t="s">
        <v>1563</v>
      </c>
    </row>
    <row r="1532" customFormat="false" ht="15" hidden="false" customHeight="false" outlineLevel="0" collapsed="false">
      <c r="A1532" s="0" t="str">
        <f aca="false">TEXT(0.5,"""abc""0")</f>
        <v>abc1</v>
      </c>
      <c r="B1532" s="0" t="s">
        <v>1564</v>
      </c>
    </row>
    <row r="1533" customFormat="false" ht="15" hidden="false" customHeight="false" outlineLevel="0" collapsed="false">
      <c r="A1533" s="0" t="str">
        <f aca="false">TEXT(1000000,"""abc""0")</f>
        <v>abc1000000</v>
      </c>
      <c r="B1533" s="0" t="s">
        <v>1565</v>
      </c>
    </row>
    <row r="1534" customFormat="false" ht="15" hidden="false" customHeight="false" outlineLevel="0" collapsed="false">
      <c r="A1534" s="0" t="str">
        <f aca="false">TEXT(12345678.9,"""abc""0")</f>
        <v>abc12345679</v>
      </c>
      <c r="B1534" s="0" t="s">
        <v>1566</v>
      </c>
    </row>
    <row r="1535" customFormat="false" ht="15" hidden="false" customHeight="false" outlineLevel="0" collapsed="false">
      <c r="A1535" s="0" t="str">
        <f aca="false">TEXT(0.000123,"""abc""0")</f>
        <v>abc0</v>
      </c>
      <c r="B1535" s="0" t="s">
        <v>1567</v>
      </c>
    </row>
    <row r="1536" customFormat="false" ht="15" hidden="false" customHeight="false" outlineLevel="0" collapsed="false">
      <c r="A1536" s="0" t="str">
        <f aca="false">TEXT(1234.5678,"0"" units""")</f>
        <v>1235 units</v>
      </c>
      <c r="B1536" s="0" t="s">
        <v>1568</v>
      </c>
    </row>
    <row r="1537" customFormat="false" ht="15" hidden="false" customHeight="false" outlineLevel="0" collapsed="false">
      <c r="A1537" s="0" t="str">
        <f aca="false">TEXT(-1234.5678,"0"" units""")</f>
        <v>-1235 units</v>
      </c>
      <c r="B1537" s="0" t="s">
        <v>1569</v>
      </c>
    </row>
    <row r="1538" customFormat="false" ht="15" hidden="false" customHeight="false" outlineLevel="0" collapsed="false">
      <c r="A1538" s="0" t="str">
        <f aca="false">TEXT(0,"0"" units""")</f>
        <v>0 units</v>
      </c>
      <c r="B1538" s="0" t="s">
        <v>1570</v>
      </c>
    </row>
    <row r="1539" customFormat="false" ht="15" hidden="false" customHeight="false" outlineLevel="0" collapsed="false">
      <c r="A1539" s="0" t="str">
        <f aca="false">TEXT(0.5,"0"" units""")</f>
        <v>1 units</v>
      </c>
      <c r="B1539" s="0" t="s">
        <v>1571</v>
      </c>
    </row>
    <row r="1540" customFormat="false" ht="15" hidden="false" customHeight="false" outlineLevel="0" collapsed="false">
      <c r="A1540" s="0" t="str">
        <f aca="false">TEXT(1000000,"0"" units""")</f>
        <v>1000000 units</v>
      </c>
      <c r="B1540" s="0" t="s">
        <v>1572</v>
      </c>
    </row>
    <row r="1541" customFormat="false" ht="15" hidden="false" customHeight="false" outlineLevel="0" collapsed="false">
      <c r="A1541" s="0" t="str">
        <f aca="false">TEXT(12345678.9,"0"" units""")</f>
        <v>12345679 units</v>
      </c>
      <c r="B1541" s="0" t="s">
        <v>1573</v>
      </c>
    </row>
    <row r="1542" customFormat="false" ht="15" hidden="false" customHeight="false" outlineLevel="0" collapsed="false">
      <c r="A1542" s="0" t="str">
        <f aca="false">TEXT(0.000123,"0"" units""")</f>
        <v>0 units</v>
      </c>
      <c r="B1542" s="0" t="s">
        <v>1574</v>
      </c>
    </row>
    <row r="1543" customFormat="false" ht="15" hidden="false" customHeight="false" outlineLevel="0" collapsed="false">
      <c r="A1543" s="0" t="str">
        <f aca="false">TEXT(1234.5678,"#,##0_);(#,##0)")</f>
        <v>1,235 </v>
      </c>
      <c r="B1543" s="0" t="s">
        <v>1575</v>
      </c>
    </row>
    <row r="1544" customFormat="false" ht="15" hidden="false" customHeight="false" outlineLevel="0" collapsed="false">
      <c r="A1544" s="0" t="str">
        <f aca="false">TEXT(-1234.5678,"#,##0_);(#,##0)")</f>
        <v>(1,235)</v>
      </c>
      <c r="B1544" s="0" t="s">
        <v>1576</v>
      </c>
    </row>
    <row r="1545" customFormat="false" ht="15" hidden="false" customHeight="false" outlineLevel="0" collapsed="false">
      <c r="A1545" s="0" t="str">
        <f aca="false">TEXT(0,"#,##0_);(#,##0)")</f>
        <v>0 </v>
      </c>
      <c r="B1545" s="0" t="s">
        <v>1577</v>
      </c>
    </row>
    <row r="1546" customFormat="false" ht="15" hidden="false" customHeight="false" outlineLevel="0" collapsed="false">
      <c r="A1546" s="0" t="str">
        <f aca="false">TEXT(0.5,"#,##0_);(#,##0)")</f>
        <v>1 </v>
      </c>
      <c r="B1546" s="0" t="s">
        <v>1578</v>
      </c>
    </row>
    <row r="1547" customFormat="false" ht="15" hidden="false" customHeight="false" outlineLevel="0" collapsed="false">
      <c r="A1547" s="0" t="str">
        <f aca="false">TEXT(1000000,"#,##0_);(#,##0)")</f>
        <v>1,000,000 </v>
      </c>
      <c r="B1547" s="0" t="s">
        <v>1579</v>
      </c>
    </row>
    <row r="1548" customFormat="false" ht="15" hidden="false" customHeight="false" outlineLevel="0" collapsed="false">
      <c r="A1548" s="0" t="str">
        <f aca="false">TEXT(12345678.9,"#,##0_);(#,##0)")</f>
        <v>12,345,679 </v>
      </c>
      <c r="B1548" s="0" t="s">
        <v>1580</v>
      </c>
    </row>
    <row r="1549" customFormat="false" ht="15" hidden="false" customHeight="false" outlineLevel="0" collapsed="false">
      <c r="A1549" s="0" t="str">
        <f aca="false">TEXT(0.000123,"#,##0_);(#,##0)")</f>
        <v>0 </v>
      </c>
      <c r="B1549" s="0" t="s">
        <v>1581</v>
      </c>
    </row>
    <row r="1550" customFormat="false" ht="15" hidden="false" customHeight="false" outlineLevel="0" collapsed="false">
      <c r="A1550" s="0" t="str">
        <f aca="false">TEXT(1234.5678,"#.##0")</f>
        <v>1234.568</v>
      </c>
      <c r="B1550" s="0" t="s">
        <v>1582</v>
      </c>
    </row>
    <row r="1551" customFormat="false" ht="15" hidden="false" customHeight="false" outlineLevel="0" collapsed="false">
      <c r="A1551" s="0" t="str">
        <f aca="false">TEXT(-1234.5678,"#.##0")</f>
        <v>-1234.568</v>
      </c>
      <c r="B1551" s="0" t="s">
        <v>1583</v>
      </c>
    </row>
    <row r="1552" customFormat="false" ht="15" hidden="false" customHeight="false" outlineLevel="0" collapsed="false">
      <c r="A1552" s="0" t="str">
        <f aca="false">TEXT(0,"#.##0")</f>
        <v>.000</v>
      </c>
      <c r="B1552" s="0" t="s">
        <v>1584</v>
      </c>
    </row>
    <row r="1553" customFormat="false" ht="15" hidden="false" customHeight="false" outlineLevel="0" collapsed="false">
      <c r="A1553" s="0" t="str">
        <f aca="false">TEXT(0.5,"#.##0")</f>
        <v>.500</v>
      </c>
      <c r="B1553" s="0" t="s">
        <v>1585</v>
      </c>
    </row>
    <row r="1554" customFormat="false" ht="15" hidden="false" customHeight="false" outlineLevel="0" collapsed="false">
      <c r="A1554" s="0" t="str">
        <f aca="false">TEXT(1000000,"#.##0")</f>
        <v>1000000.000</v>
      </c>
      <c r="B1554" s="0" t="s">
        <v>1586</v>
      </c>
    </row>
    <row r="1555" customFormat="false" ht="15" hidden="false" customHeight="false" outlineLevel="0" collapsed="false">
      <c r="A1555" s="0" t="str">
        <f aca="false">TEXT(12345678.9,"#.##0")</f>
        <v>12345678.900</v>
      </c>
      <c r="B1555" s="0" t="s">
        <v>1587</v>
      </c>
    </row>
    <row r="1556" customFormat="false" ht="15" hidden="false" customHeight="false" outlineLevel="0" collapsed="false">
      <c r="A1556" s="0" t="str">
        <f aca="false">TEXT(0.000123,"#.##0")</f>
        <v>.000</v>
      </c>
      <c r="B1556" s="0" t="s">
        <v>1588</v>
      </c>
    </row>
    <row r="1557" customFormat="false" ht="15" hidden="false" customHeight="false" outlineLevel="0" collapsed="false">
      <c r="A1557" s="0" t="str">
        <f aca="false">TEXT(1234.5678,"#.###.##0")</f>
        <v>1234.567.800</v>
      </c>
      <c r="B1557" s="0" t="s">
        <v>1589</v>
      </c>
    </row>
    <row r="1558" customFormat="false" ht="15" hidden="false" customHeight="false" outlineLevel="0" collapsed="false">
      <c r="A1558" s="0" t="str">
        <f aca="false">TEXT(-1234.5678,"#.###.##0")</f>
        <v>-1234.567.800</v>
      </c>
      <c r="B1558" s="0" t="s">
        <v>1590</v>
      </c>
    </row>
    <row r="1559" customFormat="false" ht="15" hidden="false" customHeight="false" outlineLevel="0" collapsed="false">
      <c r="A1559" s="0" t="str">
        <f aca="false">TEXT(0,"#.###.##0")</f>
        <v>.000.000</v>
      </c>
      <c r="B1559" s="0" t="s">
        <v>1591</v>
      </c>
    </row>
    <row r="1560" customFormat="false" ht="15" hidden="false" customHeight="false" outlineLevel="0" collapsed="false">
      <c r="A1560" s="0" t="str">
        <f aca="false">TEXT(0.5,"#.###.##0")</f>
        <v>.500.000</v>
      </c>
      <c r="B1560" s="0" t="s">
        <v>1592</v>
      </c>
    </row>
    <row r="1561" customFormat="false" ht="15" hidden="false" customHeight="false" outlineLevel="0" collapsed="false">
      <c r="A1561" s="0" t="str">
        <f aca="false">TEXT(1000000,"#.###.##0")</f>
        <v>1000000.000.000</v>
      </c>
      <c r="B1561" s="0" t="s">
        <v>1593</v>
      </c>
    </row>
    <row r="1562" customFormat="false" ht="15" hidden="false" customHeight="false" outlineLevel="0" collapsed="false">
      <c r="A1562" s="0" t="str">
        <f aca="false">TEXT(12345678.9,"#.###.##0")</f>
        <v>12345678.900.000</v>
      </c>
      <c r="B1562" s="0" t="s">
        <v>1594</v>
      </c>
    </row>
    <row r="1563" customFormat="false" ht="15" hidden="false" customHeight="false" outlineLevel="0" collapsed="false">
      <c r="A1563" s="0" t="str">
        <f aca="false">TEXT(0.000123,"#.###.##0")</f>
        <v>.000.123</v>
      </c>
      <c r="B1563" s="0" t="s">
        <v>1595</v>
      </c>
    </row>
    <row r="1564" customFormat="false" ht="15" hidden="false" customHeight="false" outlineLevel="0" collapsed="false">
      <c r="A1564" s="0" t="str">
        <f aca="false">TEXT(1234.5678,"0,00")</f>
        <v>1,235</v>
      </c>
      <c r="B1564" s="0" t="s">
        <v>1596</v>
      </c>
    </row>
    <row r="1565" customFormat="false" ht="15" hidden="false" customHeight="false" outlineLevel="0" collapsed="false">
      <c r="A1565" s="0" t="str">
        <f aca="false">TEXT(-1234.5678,"0,00")</f>
        <v>-1,235</v>
      </c>
      <c r="B1565" s="0" t="s">
        <v>1597</v>
      </c>
    </row>
    <row r="1566" customFormat="false" ht="15" hidden="false" customHeight="false" outlineLevel="0" collapsed="false">
      <c r="A1566" s="0" t="str">
        <f aca="false">TEXT(0,"0,00")</f>
        <v>000</v>
      </c>
      <c r="B1566" s="0" t="s">
        <v>1598</v>
      </c>
    </row>
    <row r="1567" customFormat="false" ht="15" hidden="false" customHeight="false" outlineLevel="0" collapsed="false">
      <c r="A1567" s="0" t="str">
        <f aca="false">TEXT(0.5,"0,00")</f>
        <v>001</v>
      </c>
      <c r="B1567" s="0" t="s">
        <v>1599</v>
      </c>
    </row>
    <row r="1568" customFormat="false" ht="15" hidden="false" customHeight="false" outlineLevel="0" collapsed="false">
      <c r="A1568" s="0" t="str">
        <f aca="false">TEXT(1000000,"0,00")</f>
        <v>1,000,000</v>
      </c>
      <c r="B1568" s="0" t="s">
        <v>1600</v>
      </c>
    </row>
    <row r="1569" customFormat="false" ht="15" hidden="false" customHeight="false" outlineLevel="0" collapsed="false">
      <c r="A1569" s="0" t="str">
        <f aca="false">TEXT(12345678.9,"0,00")</f>
        <v>12,345,679</v>
      </c>
      <c r="B1569" s="0" t="s">
        <v>1601</v>
      </c>
    </row>
    <row r="1570" customFormat="false" ht="15" hidden="false" customHeight="false" outlineLevel="0" collapsed="false">
      <c r="A1570" s="0" t="str">
        <f aca="false">TEXT(0.000123,"0,00")</f>
        <v>000</v>
      </c>
      <c r="B1570" s="0" t="s">
        <v>1602</v>
      </c>
    </row>
    <row r="1571" customFormat="false" ht="15" hidden="false" customHeight="false" outlineLevel="0" collapsed="false">
      <c r="A1571" s="0" t="str">
        <f aca="false">TEXT(1234.5678,"#.##0,00")</f>
        <v>1,234.56780</v>
      </c>
      <c r="B1571" s="0" t="s">
        <v>1603</v>
      </c>
    </row>
    <row r="1572" customFormat="false" ht="15" hidden="false" customHeight="false" outlineLevel="0" collapsed="false">
      <c r="A1572" s="0" t="str">
        <f aca="false">TEXT(-1234.5678,"#.##0,00")</f>
        <v>-1,234.56780</v>
      </c>
      <c r="B1572" s="0" t="s">
        <v>1604</v>
      </c>
    </row>
    <row r="1573" customFormat="false" ht="15" hidden="false" customHeight="false" outlineLevel="0" collapsed="false">
      <c r="A1573" s="0" t="str">
        <f aca="false">TEXT(0,"#.##0,00")</f>
        <v>.00000</v>
      </c>
      <c r="B1573" s="0" t="s">
        <v>1605</v>
      </c>
    </row>
    <row r="1574" customFormat="false" ht="15" hidden="false" customHeight="false" outlineLevel="0" collapsed="false">
      <c r="A1574" s="0" t="str">
        <f aca="false">TEXT(0.5,"#.##0,00")</f>
        <v>.50000</v>
      </c>
      <c r="B1574" s="0" t="s">
        <v>1606</v>
      </c>
    </row>
    <row r="1575" customFormat="false" ht="15" hidden="false" customHeight="false" outlineLevel="0" collapsed="false">
      <c r="A1575" s="0" t="str">
        <f aca="false">TEXT(1000000,"#.##0,00")</f>
        <v>1,000,000.00000</v>
      </c>
      <c r="B1575" s="0" t="s">
        <v>1607</v>
      </c>
    </row>
    <row r="1576" customFormat="false" ht="15" hidden="false" customHeight="false" outlineLevel="0" collapsed="false">
      <c r="A1576" s="0" t="str">
        <f aca="false">TEXT(12345678.9,"#.##0,00")</f>
        <v>12,345,678.90000</v>
      </c>
      <c r="B1576" s="0" t="s">
        <v>1608</v>
      </c>
    </row>
    <row r="1577" customFormat="false" ht="15" hidden="false" customHeight="false" outlineLevel="0" collapsed="false">
      <c r="A1577" s="0" t="str">
        <f aca="false">TEXT(0.000123,"#.##0,00")</f>
        <v>.00012</v>
      </c>
      <c r="B1577" s="0" t="s">
        <v>1609</v>
      </c>
    </row>
    <row r="1578" customFormat="false" ht="15" hidden="false" customHeight="false" outlineLevel="0" collapsed="false">
      <c r="A1578" s="0" t="str">
        <f aca="false">TEXT(1234.5678,"@")</f>
        <v>1234.5678</v>
      </c>
      <c r="B1578" s="0" t="s">
        <v>1610</v>
      </c>
    </row>
    <row r="1579" customFormat="false" ht="15" hidden="false" customHeight="false" outlineLevel="0" collapsed="false">
      <c r="A1579" s="0" t="str">
        <f aca="false">TEXT(-1234.5678,"@")</f>
        <v>-1234.5678</v>
      </c>
      <c r="B1579" s="0" t="s">
        <v>1611</v>
      </c>
    </row>
    <row r="1580" customFormat="false" ht="15" hidden="false" customHeight="false" outlineLevel="0" collapsed="false">
      <c r="A1580" s="0" t="str">
        <f aca="false">TEXT(0,"@")</f>
        <v>0</v>
      </c>
      <c r="B1580" s="0" t="s">
        <v>1612</v>
      </c>
    </row>
    <row r="1581" customFormat="false" ht="15" hidden="false" customHeight="false" outlineLevel="0" collapsed="false">
      <c r="A1581" s="0" t="str">
        <f aca="false">TEXT(0.5,"@")</f>
        <v>0.5</v>
      </c>
      <c r="B1581" s="0" t="s">
        <v>1613</v>
      </c>
    </row>
    <row r="1582" customFormat="false" ht="15" hidden="false" customHeight="false" outlineLevel="0" collapsed="false">
      <c r="A1582" s="0" t="str">
        <f aca="false">TEXT(1000000,"@")</f>
        <v>1000000</v>
      </c>
      <c r="B1582" s="0" t="s">
        <v>1614</v>
      </c>
    </row>
    <row r="1583" customFormat="false" ht="15" hidden="false" customHeight="false" outlineLevel="0" collapsed="false">
      <c r="A1583" s="0" t="str">
        <f aca="false">TEXT(12345678.9,"@")</f>
        <v>12345678.9</v>
      </c>
      <c r="B1583" s="0" t="s">
        <v>1615</v>
      </c>
    </row>
    <row r="1584" customFormat="false" ht="15" hidden="false" customHeight="false" outlineLevel="0" collapsed="false">
      <c r="A1584" s="0" t="str">
        <f aca="false">TEXT(0.000123,"@")</f>
        <v>0.000123</v>
      </c>
      <c r="B1584" s="0" t="s">
        <v>1616</v>
      </c>
    </row>
    <row r="1585" customFormat="false" ht="15" hidden="false" customHeight="false" outlineLevel="0" collapsed="false">
      <c r="A1585" s="0" t="str">
        <f aca="false">TEXT(1234.5678,"0.0E+0")</f>
        <v>1.2E+3</v>
      </c>
      <c r="B1585" s="0" t="s">
        <v>1617</v>
      </c>
    </row>
    <row r="1586" customFormat="false" ht="15" hidden="false" customHeight="false" outlineLevel="0" collapsed="false">
      <c r="A1586" s="0" t="str">
        <f aca="false">TEXT(-1234.5678,"0.0E+0")</f>
        <v>-1.2E+3</v>
      </c>
      <c r="B1586" s="0" t="s">
        <v>1618</v>
      </c>
    </row>
    <row r="1587" customFormat="false" ht="15" hidden="false" customHeight="false" outlineLevel="0" collapsed="false">
      <c r="A1587" s="0" t="str">
        <f aca="false">TEXT(0,"0.0E+0")</f>
        <v>0.0E+0</v>
      </c>
      <c r="B1587" s="0" t="s">
        <v>1619</v>
      </c>
    </row>
    <row r="1588" customFormat="false" ht="15" hidden="false" customHeight="false" outlineLevel="0" collapsed="false">
      <c r="A1588" s="0" t="str">
        <f aca="false">TEXT(0.5,"0.0E+0")</f>
        <v>5.0E-1</v>
      </c>
      <c r="B1588" s="0" t="s">
        <v>1620</v>
      </c>
    </row>
    <row r="1589" customFormat="false" ht="15" hidden="false" customHeight="false" outlineLevel="0" collapsed="false">
      <c r="A1589" s="0" t="str">
        <f aca="false">TEXT(1000000,"0.0E+0")</f>
        <v>1.0E+6</v>
      </c>
      <c r="B1589" s="0" t="s">
        <v>1621</v>
      </c>
    </row>
    <row r="1590" customFormat="false" ht="15" hidden="false" customHeight="false" outlineLevel="0" collapsed="false">
      <c r="A1590" s="0" t="str">
        <f aca="false">TEXT(12345678.9,"0.0E+0")</f>
        <v>1.2E+7</v>
      </c>
      <c r="B1590" s="0" t="s">
        <v>1622</v>
      </c>
    </row>
    <row r="1591" customFormat="false" ht="15" hidden="false" customHeight="false" outlineLevel="0" collapsed="false">
      <c r="A1591" s="0" t="str">
        <f aca="false">TEXT(0.000123,"0.0E+0")</f>
        <v>1.2E-4</v>
      </c>
      <c r="B1591" s="0" t="s">
        <v>1623</v>
      </c>
    </row>
    <row r="1592" customFormat="false" ht="15" hidden="false" customHeight="false" outlineLevel="0" collapsed="false">
      <c r="A1592" s="0" t="str">
        <f aca="false">TEXT(1234.5678,"##0.0E+0")</f>
        <v>1.2E+3</v>
      </c>
      <c r="B1592" s="0" t="s">
        <v>1624</v>
      </c>
    </row>
    <row r="1593" customFormat="false" ht="15" hidden="false" customHeight="false" outlineLevel="0" collapsed="false">
      <c r="A1593" s="0" t="str">
        <f aca="false">TEXT(-1234.5678,"##0.0E+0")</f>
        <v>-1.2E+3</v>
      </c>
      <c r="B1593" s="0" t="s">
        <v>1625</v>
      </c>
    </row>
    <row r="1594" customFormat="false" ht="15" hidden="false" customHeight="false" outlineLevel="0" collapsed="false">
      <c r="A1594" s="0" t="str">
        <f aca="false">TEXT(0,"##0.0E+0")</f>
        <v>0.0E+0</v>
      </c>
      <c r="B1594" s="0" t="s">
        <v>1626</v>
      </c>
    </row>
    <row r="1595" customFormat="false" ht="15" hidden="false" customHeight="false" outlineLevel="0" collapsed="false">
      <c r="A1595" s="0" t="str">
        <f aca="false">TEXT(0.5,"##0.0E+0")</f>
        <v>500.0E-3</v>
      </c>
      <c r="B1595" s="0" t="s">
        <v>1627</v>
      </c>
    </row>
    <row r="1596" customFormat="false" ht="15" hidden="false" customHeight="false" outlineLevel="0" collapsed="false">
      <c r="A1596" s="0" t="str">
        <f aca="false">TEXT(1000000,"##0.0E+0")</f>
        <v>1.0E+6</v>
      </c>
      <c r="B1596" s="0" t="s">
        <v>1628</v>
      </c>
    </row>
    <row r="1597" customFormat="false" ht="15" hidden="false" customHeight="false" outlineLevel="0" collapsed="false">
      <c r="A1597" s="0" t="str">
        <f aca="false">TEXT(12345678.9,"##0.0E+0")</f>
        <v>12.3E+6</v>
      </c>
      <c r="B1597" s="0" t="s">
        <v>1629</v>
      </c>
    </row>
    <row r="1598" customFormat="false" ht="15" hidden="false" customHeight="false" outlineLevel="0" collapsed="false">
      <c r="A1598" s="0" t="str">
        <f aca="false">TEXT(0.000123,"##0.0E+0")</f>
        <v>123.0E-6</v>
      </c>
      <c r="B1598" s="0" t="s">
        <v>1630</v>
      </c>
    </row>
    <row r="1599" customFormat="false" ht="15" hidden="false" customHeight="false" outlineLevel="0" collapsed="false">
      <c r="A1599" s="0" t="str">
        <f aca="false">TEXT(1234.5678,"\$0")</f>
        <v>$1235</v>
      </c>
      <c r="B1599" s="0" t="s">
        <v>1631</v>
      </c>
    </row>
    <row r="1600" customFormat="false" ht="15" hidden="false" customHeight="false" outlineLevel="0" collapsed="false">
      <c r="A1600" s="0" t="str">
        <f aca="false">TEXT(-1234.5678,"\$0")</f>
        <v>-$1235</v>
      </c>
      <c r="B1600" s="0" t="s">
        <v>1632</v>
      </c>
    </row>
    <row r="1601" customFormat="false" ht="15" hidden="false" customHeight="false" outlineLevel="0" collapsed="false">
      <c r="A1601" s="0" t="str">
        <f aca="false">TEXT(0,"\$0")</f>
        <v>$0</v>
      </c>
      <c r="B1601" s="0" t="s">
        <v>1633</v>
      </c>
    </row>
    <row r="1602" customFormat="false" ht="15" hidden="false" customHeight="false" outlineLevel="0" collapsed="false">
      <c r="A1602" s="0" t="str">
        <f aca="false">TEXT(0.5,"\$0")</f>
        <v>$1</v>
      </c>
      <c r="B1602" s="0" t="s">
        <v>1634</v>
      </c>
    </row>
    <row r="1603" customFormat="false" ht="15" hidden="false" customHeight="false" outlineLevel="0" collapsed="false">
      <c r="A1603" s="0" t="str">
        <f aca="false">TEXT(1000000,"\$0")</f>
        <v>$1000000</v>
      </c>
      <c r="B1603" s="0" t="s">
        <v>1635</v>
      </c>
    </row>
    <row r="1604" customFormat="false" ht="15" hidden="false" customHeight="false" outlineLevel="0" collapsed="false">
      <c r="A1604" s="0" t="str">
        <f aca="false">TEXT(12345678.9,"\$0")</f>
        <v>$12345679</v>
      </c>
      <c r="B1604" s="0" t="s">
        <v>1636</v>
      </c>
    </row>
    <row r="1605" customFormat="false" ht="15" hidden="false" customHeight="false" outlineLevel="0" collapsed="false">
      <c r="A1605" s="0" t="str">
        <f aca="false">TEXT(0.000123,"\$0")</f>
        <v>$0</v>
      </c>
      <c r="B1605" s="0" t="s">
        <v>1637</v>
      </c>
    </row>
    <row r="1606" customFormat="false" ht="15" hidden="false" customHeight="false" outlineLevel="0" collapsed="false">
      <c r="A1606" s="0" t="str">
        <f aca="false">TEXT(1234.5678,"000-00")</f>
        <v>012-35</v>
      </c>
      <c r="B1606" s="0" t="s">
        <v>1638</v>
      </c>
    </row>
    <row r="1607" customFormat="false" ht="15" hidden="false" customHeight="false" outlineLevel="0" collapsed="false">
      <c r="A1607" s="0" t="str">
        <f aca="false">TEXT(-1234.5678,"000-00")</f>
        <v>-012-35</v>
      </c>
      <c r="B1607" s="0" t="s">
        <v>1639</v>
      </c>
    </row>
    <row r="1608" customFormat="false" ht="15" hidden="false" customHeight="false" outlineLevel="0" collapsed="false">
      <c r="A1608" s="0" t="str">
        <f aca="false">TEXT(0,"000-00")</f>
        <v>000-00</v>
      </c>
      <c r="B1608" s="0" t="s">
        <v>1640</v>
      </c>
    </row>
    <row r="1609" customFormat="false" ht="15" hidden="false" customHeight="false" outlineLevel="0" collapsed="false">
      <c r="A1609" s="0" t="str">
        <f aca="false">TEXT(0.5,"000-00")</f>
        <v>000-01</v>
      </c>
      <c r="B1609" s="0" t="s">
        <v>1641</v>
      </c>
    </row>
    <row r="1610" customFormat="false" ht="15" hidden="false" customHeight="false" outlineLevel="0" collapsed="false">
      <c r="A1610" s="0" t="str">
        <f aca="false">TEXT(1000000,"000-00")</f>
        <v>10000-00</v>
      </c>
      <c r="B1610" s="0" t="s">
        <v>1642</v>
      </c>
    </row>
    <row r="1611" customFormat="false" ht="15" hidden="false" customHeight="false" outlineLevel="0" collapsed="false">
      <c r="A1611" s="0" t="str">
        <f aca="false">TEXT(12345678.9,"000-00")</f>
        <v>123456-79</v>
      </c>
      <c r="B1611" s="0" t="s">
        <v>1643</v>
      </c>
    </row>
    <row r="1612" customFormat="false" ht="15" hidden="false" customHeight="false" outlineLevel="0" collapsed="false">
      <c r="A1612" s="0" t="str">
        <f aca="false">TEXT(0.000123,"000-00")</f>
        <v>000-00</v>
      </c>
      <c r="B1612" s="0" t="s">
        <v>1644</v>
      </c>
    </row>
    <row r="1613" customFormat="false" ht="15" hidden="false" customHeight="false" outlineLevel="0" collapsed="false">
      <c r="A1613" s="0" t="str">
        <f aca="false">TEXT(1234.5678,"#,###")</f>
        <v>1,235</v>
      </c>
      <c r="B1613" s="0" t="s">
        <v>1645</v>
      </c>
    </row>
    <row r="1614" customFormat="false" ht="15" hidden="false" customHeight="false" outlineLevel="0" collapsed="false">
      <c r="A1614" s="0" t="str">
        <f aca="false">TEXT(-1234.5678,"#,###")</f>
        <v>-1,235</v>
      </c>
      <c r="B1614" s="0" t="s">
        <v>1646</v>
      </c>
    </row>
    <row r="1615" customFormat="false" ht="15" hidden="false" customHeight="false" outlineLevel="0" collapsed="false">
      <c r="A1615" s="0" t="str">
        <f aca="false">TEXT(0,"#,###")</f>
        <v/>
      </c>
      <c r="B1615" s="0" t="s">
        <v>1647</v>
      </c>
    </row>
    <row r="1616" customFormat="false" ht="15" hidden="false" customHeight="false" outlineLevel="0" collapsed="false">
      <c r="A1616" s="0" t="str">
        <f aca="false">TEXT(0.5,"#,###")</f>
        <v>1</v>
      </c>
      <c r="B1616" s="0" t="s">
        <v>1648</v>
      </c>
    </row>
    <row r="1617" customFormat="false" ht="15" hidden="false" customHeight="false" outlineLevel="0" collapsed="false">
      <c r="A1617" s="0" t="str">
        <f aca="false">TEXT(1000000,"#,###")</f>
        <v>1,000,000</v>
      </c>
      <c r="B1617" s="0" t="s">
        <v>1649</v>
      </c>
    </row>
    <row r="1618" customFormat="false" ht="15" hidden="false" customHeight="false" outlineLevel="0" collapsed="false">
      <c r="A1618" s="0" t="str">
        <f aca="false">TEXT(12345678.9,"#,###")</f>
        <v>12,345,679</v>
      </c>
      <c r="B1618" s="0" t="s">
        <v>1650</v>
      </c>
    </row>
    <row r="1619" customFormat="false" ht="15" hidden="false" customHeight="false" outlineLevel="0" collapsed="false">
      <c r="A1619" s="0" t="str">
        <f aca="false">TEXT(0.000123,"#,###")</f>
        <v/>
      </c>
      <c r="B1619" s="0" t="s">
        <v>1651</v>
      </c>
    </row>
    <row r="1620" customFormat="false" ht="15" hidden="false" customHeight="false" outlineLevel="0" collapsed="false">
      <c r="A1620" s="0" t="str">
        <f aca="false">TEXT(1234.5678,"0.0")</f>
        <v>1234.6</v>
      </c>
      <c r="B1620" s="0" t="s">
        <v>1652</v>
      </c>
    </row>
    <row r="1621" customFormat="false" ht="15" hidden="false" customHeight="false" outlineLevel="0" collapsed="false">
      <c r="A1621" s="0" t="str">
        <f aca="false">TEXT(-1234.5678,"0.0")</f>
        <v>-1234.6</v>
      </c>
      <c r="B1621" s="0" t="s">
        <v>1653</v>
      </c>
    </row>
    <row r="1622" customFormat="false" ht="15" hidden="false" customHeight="false" outlineLevel="0" collapsed="false">
      <c r="A1622" s="0" t="str">
        <f aca="false">TEXT(0,"0.0")</f>
        <v>0.0</v>
      </c>
      <c r="B1622" s="0" t="s">
        <v>1654</v>
      </c>
    </row>
    <row r="1623" customFormat="false" ht="15" hidden="false" customHeight="false" outlineLevel="0" collapsed="false">
      <c r="A1623" s="0" t="str">
        <f aca="false">TEXT(0.5,"0.0")</f>
        <v>0.5</v>
      </c>
      <c r="B1623" s="0" t="s">
        <v>1655</v>
      </c>
    </row>
    <row r="1624" customFormat="false" ht="15" hidden="false" customHeight="false" outlineLevel="0" collapsed="false">
      <c r="A1624" s="0" t="str">
        <f aca="false">TEXT(1000000,"0.0")</f>
        <v>1000000.0</v>
      </c>
      <c r="B1624" s="0" t="s">
        <v>1656</v>
      </c>
    </row>
    <row r="1625" customFormat="false" ht="15" hidden="false" customHeight="false" outlineLevel="0" collapsed="false">
      <c r="A1625" s="0" t="str">
        <f aca="false">TEXT(12345678.9,"0.0")</f>
        <v>12345678.9</v>
      </c>
      <c r="B1625" s="0" t="s">
        <v>1657</v>
      </c>
    </row>
    <row r="1626" customFormat="false" ht="15" hidden="false" customHeight="false" outlineLevel="0" collapsed="false">
      <c r="A1626" s="0" t="str">
        <f aca="false">TEXT(0.000123,"0.0")</f>
        <v>0.0</v>
      </c>
      <c r="B1626" s="0" t="s">
        <v>1658</v>
      </c>
    </row>
    <row r="1627" customFormat="false" ht="15" hidden="false" customHeight="false" outlineLevel="0" collapsed="false">
      <c r="A1627" s="0" t="str">
        <f aca="false">TEXT(1234.5678,"0.000")</f>
        <v>1234.568</v>
      </c>
      <c r="B1627" s="0" t="s">
        <v>1659</v>
      </c>
    </row>
    <row r="1628" customFormat="false" ht="15" hidden="false" customHeight="false" outlineLevel="0" collapsed="false">
      <c r="A1628" s="0" t="str">
        <f aca="false">TEXT(-1234.5678,"0.000")</f>
        <v>-1234.568</v>
      </c>
      <c r="B1628" s="0" t="s">
        <v>1660</v>
      </c>
    </row>
    <row r="1629" customFormat="false" ht="15" hidden="false" customHeight="false" outlineLevel="0" collapsed="false">
      <c r="A1629" s="0" t="str">
        <f aca="false">TEXT(0,"0.000")</f>
        <v>0.000</v>
      </c>
      <c r="B1629" s="0" t="s">
        <v>1661</v>
      </c>
    </row>
    <row r="1630" customFormat="false" ht="15" hidden="false" customHeight="false" outlineLevel="0" collapsed="false">
      <c r="A1630" s="0" t="str">
        <f aca="false">TEXT(0.5,"0.000")</f>
        <v>0.500</v>
      </c>
      <c r="B1630" s="0" t="s">
        <v>1662</v>
      </c>
    </row>
    <row r="1631" customFormat="false" ht="15" hidden="false" customHeight="false" outlineLevel="0" collapsed="false">
      <c r="A1631" s="0" t="str">
        <f aca="false">TEXT(1000000,"0.000")</f>
        <v>1000000.000</v>
      </c>
      <c r="B1631" s="0" t="s">
        <v>1663</v>
      </c>
    </row>
    <row r="1632" customFormat="false" ht="15" hidden="false" customHeight="false" outlineLevel="0" collapsed="false">
      <c r="A1632" s="0" t="str">
        <f aca="false">TEXT(12345678.9,"0.000")</f>
        <v>12345678.900</v>
      </c>
      <c r="B1632" s="0" t="s">
        <v>1664</v>
      </c>
    </row>
    <row r="1633" customFormat="false" ht="15" hidden="false" customHeight="false" outlineLevel="0" collapsed="false">
      <c r="A1633" s="0" t="str">
        <f aca="false">TEXT(0.000123,"0.000")</f>
        <v>0.000</v>
      </c>
      <c r="B1633" s="0" t="s">
        <v>1665</v>
      </c>
    </row>
    <row r="1634" customFormat="false" ht="15" hidden="false" customHeight="false" outlineLevel="0" collapsed="false">
      <c r="A1634" s="0" t="str">
        <f aca="false">TEXT(1234.5678,"#.#")</f>
        <v>1234.6</v>
      </c>
      <c r="B1634" s="0" t="s">
        <v>1666</v>
      </c>
    </row>
    <row r="1635" customFormat="false" ht="15" hidden="false" customHeight="false" outlineLevel="0" collapsed="false">
      <c r="A1635" s="0" t="str">
        <f aca="false">TEXT(-1234.5678,"#.#")</f>
        <v>-1234.6</v>
      </c>
      <c r="B1635" s="0" t="s">
        <v>1667</v>
      </c>
    </row>
    <row r="1636" customFormat="false" ht="15" hidden="false" customHeight="false" outlineLevel="0" collapsed="false">
      <c r="A1636" s="0" t="str">
        <f aca="false">TEXT(0,"#.#")</f>
        <v/>
      </c>
      <c r="B1636" s="0" t="s">
        <v>1668</v>
      </c>
    </row>
    <row r="1637" customFormat="false" ht="15" hidden="false" customHeight="false" outlineLevel="0" collapsed="false">
      <c r="A1637" s="0" t="str">
        <f aca="false">TEXT(0.5,"#.#")</f>
        <v>.5</v>
      </c>
      <c r="B1637" s="0" t="s">
        <v>1669</v>
      </c>
    </row>
    <row r="1638" customFormat="false" ht="15" hidden="false" customHeight="false" outlineLevel="0" collapsed="false">
      <c r="A1638" s="0" t="str">
        <f aca="false">TEXT(1000000,"#.#")</f>
        <v>1000000</v>
      </c>
      <c r="B1638" s="0" t="s">
        <v>1670</v>
      </c>
    </row>
    <row r="1639" customFormat="false" ht="15" hidden="false" customHeight="false" outlineLevel="0" collapsed="false">
      <c r="A1639" s="0" t="str">
        <f aca="false">TEXT(12345678.9,"#.#")</f>
        <v>12345678.9</v>
      </c>
      <c r="B1639" s="0" t="s">
        <v>1671</v>
      </c>
    </row>
    <row r="1640" customFormat="false" ht="15" hidden="false" customHeight="false" outlineLevel="0" collapsed="false">
      <c r="A1640" s="0" t="str">
        <f aca="false">TEXT(0.000123,"#.#")</f>
        <v/>
      </c>
      <c r="B1640" s="0" t="s">
        <v>1672</v>
      </c>
    </row>
    <row r="1641" customFormat="false" ht="15" hidden="false" customHeight="false" outlineLevel="0" collapsed="false">
      <c r="A1641" s="0" t="str">
        <f aca="false">TEXT(1234.5678,"00.00")</f>
        <v>1234.57</v>
      </c>
      <c r="B1641" s="0" t="s">
        <v>1673</v>
      </c>
    </row>
    <row r="1642" customFormat="false" ht="15" hidden="false" customHeight="false" outlineLevel="0" collapsed="false">
      <c r="A1642" s="0" t="str">
        <f aca="false">TEXT(-1234.5678,"00.00")</f>
        <v>-1234.57</v>
      </c>
      <c r="B1642" s="0" t="s">
        <v>1674</v>
      </c>
    </row>
    <row r="1643" customFormat="false" ht="15" hidden="false" customHeight="false" outlineLevel="0" collapsed="false">
      <c r="A1643" s="0" t="str">
        <f aca="false">TEXT(0,"00.00")</f>
        <v>00.00</v>
      </c>
      <c r="B1643" s="0" t="s">
        <v>1675</v>
      </c>
    </row>
    <row r="1644" customFormat="false" ht="15" hidden="false" customHeight="false" outlineLevel="0" collapsed="false">
      <c r="A1644" s="0" t="str">
        <f aca="false">TEXT(0.5,"00.00")</f>
        <v>00.50</v>
      </c>
      <c r="B1644" s="0" t="s">
        <v>1676</v>
      </c>
    </row>
    <row r="1645" customFormat="false" ht="15" hidden="false" customHeight="false" outlineLevel="0" collapsed="false">
      <c r="A1645" s="0" t="str">
        <f aca="false">TEXT(1000000,"00.00")</f>
        <v>1000000.00</v>
      </c>
      <c r="B1645" s="0" t="s">
        <v>1677</v>
      </c>
    </row>
    <row r="1646" customFormat="false" ht="15" hidden="false" customHeight="false" outlineLevel="0" collapsed="false">
      <c r="A1646" s="0" t="str">
        <f aca="false">TEXT(12345678.9,"00.00")</f>
        <v>12345678.90</v>
      </c>
      <c r="B1646" s="0" t="s">
        <v>1678</v>
      </c>
    </row>
    <row r="1647" customFormat="false" ht="15" hidden="false" customHeight="false" outlineLevel="0" collapsed="false">
      <c r="A1647" s="0" t="str">
        <f aca="false">TEXT(0.000123,"00.00")</f>
        <v>00.00</v>
      </c>
      <c r="B1647" s="0" t="s">
        <v>1679</v>
      </c>
    </row>
    <row r="1648" customFormat="false" ht="15" hidden="false" customHeight="false" outlineLevel="0" collapsed="false">
      <c r="A1648" s="0" t="str">
        <f aca="false">TEXT(1234.5678,"0.#")</f>
        <v>1234.6</v>
      </c>
      <c r="B1648" s="0" t="s">
        <v>1680</v>
      </c>
    </row>
    <row r="1649" customFormat="false" ht="15" hidden="false" customHeight="false" outlineLevel="0" collapsed="false">
      <c r="A1649" s="0" t="str">
        <f aca="false">TEXT(-1234.5678,"0.#")</f>
        <v>-1234.6</v>
      </c>
      <c r="B1649" s="0" t="s">
        <v>1681</v>
      </c>
    </row>
    <row r="1650" customFormat="false" ht="15" hidden="false" customHeight="false" outlineLevel="0" collapsed="false">
      <c r="A1650" s="0" t="str">
        <f aca="false">TEXT(0,"0.#")</f>
        <v>0</v>
      </c>
      <c r="B1650" s="0" t="s">
        <v>1682</v>
      </c>
    </row>
    <row r="1651" customFormat="false" ht="15" hidden="false" customHeight="false" outlineLevel="0" collapsed="false">
      <c r="A1651" s="0" t="str">
        <f aca="false">TEXT(0.5,"0.#")</f>
        <v>0.5</v>
      </c>
      <c r="B1651" s="0" t="s">
        <v>1683</v>
      </c>
    </row>
    <row r="1652" customFormat="false" ht="15" hidden="false" customHeight="false" outlineLevel="0" collapsed="false">
      <c r="A1652" s="0" t="str">
        <f aca="false">TEXT(1000000,"0.#")</f>
        <v>1000000</v>
      </c>
      <c r="B1652" s="0" t="s">
        <v>1684</v>
      </c>
    </row>
    <row r="1653" customFormat="false" ht="15" hidden="false" customHeight="false" outlineLevel="0" collapsed="false">
      <c r="A1653" s="0" t="str">
        <f aca="false">TEXT(12345678.9,"0.#")</f>
        <v>12345678.9</v>
      </c>
      <c r="B1653" s="0" t="s">
        <v>1685</v>
      </c>
    </row>
    <row r="1654" customFormat="false" ht="15" hidden="false" customHeight="false" outlineLevel="0" collapsed="false">
      <c r="A1654" s="0" t="str">
        <f aca="false">TEXT(0.000123,"0.#")</f>
        <v>0</v>
      </c>
      <c r="B1654" s="0" t="s">
        <v>1686</v>
      </c>
    </row>
    <row r="1655" customFormat="false" ht="15" hidden="false" customHeight="false" outlineLevel="0" collapsed="false">
      <c r="A1655" s="0" t="str">
        <f aca="false">TEXT(1234.5678,"#,#")</f>
        <v>1,235</v>
      </c>
      <c r="B1655" s="0" t="s">
        <v>1687</v>
      </c>
    </row>
    <row r="1656" customFormat="false" ht="15" hidden="false" customHeight="false" outlineLevel="0" collapsed="false">
      <c r="A1656" s="0" t="str">
        <f aca="false">TEXT(-1234.5678,"#,#")</f>
        <v>-1,235</v>
      </c>
      <c r="B1656" s="0" t="s">
        <v>1688</v>
      </c>
    </row>
    <row r="1657" customFormat="false" ht="15" hidden="false" customHeight="false" outlineLevel="0" collapsed="false">
      <c r="A1657" s="0" t="str">
        <f aca="false">TEXT(0,"#,#")</f>
        <v/>
      </c>
      <c r="B1657" s="0" t="s">
        <v>1689</v>
      </c>
    </row>
    <row r="1658" customFormat="false" ht="15" hidden="false" customHeight="false" outlineLevel="0" collapsed="false">
      <c r="A1658" s="0" t="str">
        <f aca="false">TEXT(0.5,"#,#")</f>
        <v>1</v>
      </c>
      <c r="B1658" s="0" t="s">
        <v>1690</v>
      </c>
    </row>
    <row r="1659" customFormat="false" ht="15" hidden="false" customHeight="false" outlineLevel="0" collapsed="false">
      <c r="A1659" s="0" t="str">
        <f aca="false">TEXT(1000000,"#,#")</f>
        <v>1,000,000</v>
      </c>
      <c r="B1659" s="0" t="s">
        <v>1691</v>
      </c>
    </row>
    <row r="1660" customFormat="false" ht="15" hidden="false" customHeight="false" outlineLevel="0" collapsed="false">
      <c r="A1660" s="0" t="str">
        <f aca="false">TEXT(12345678.9,"#,#")</f>
        <v>12,345,679</v>
      </c>
      <c r="B1660" s="0" t="s">
        <v>1692</v>
      </c>
    </row>
    <row r="1661" customFormat="false" ht="15" hidden="false" customHeight="false" outlineLevel="0" collapsed="false">
      <c r="A1661" s="0" t="str">
        <f aca="false">TEXT(0.000123,"#,#")</f>
        <v/>
      </c>
      <c r="B1661" s="0" t="s">
        <v>1693</v>
      </c>
    </row>
    <row r="1662" customFormat="false" ht="15" hidden="false" customHeight="false" outlineLevel="0" collapsed="false">
      <c r="A1662" s="0" t="str">
        <f aca="false">TEXT(1234.5678,"#,##")</f>
        <v>1,235</v>
      </c>
      <c r="B1662" s="0" t="s">
        <v>1694</v>
      </c>
    </row>
    <row r="1663" customFormat="false" ht="15" hidden="false" customHeight="false" outlineLevel="0" collapsed="false">
      <c r="A1663" s="0" t="str">
        <f aca="false">TEXT(-1234.5678,"#,##")</f>
        <v>-1,235</v>
      </c>
      <c r="B1663" s="0" t="s">
        <v>1695</v>
      </c>
    </row>
    <row r="1664" customFormat="false" ht="15" hidden="false" customHeight="false" outlineLevel="0" collapsed="false">
      <c r="A1664" s="0" t="str">
        <f aca="false">TEXT(0,"#,##")</f>
        <v/>
      </c>
      <c r="B1664" s="0" t="s">
        <v>1696</v>
      </c>
    </row>
    <row r="1665" customFormat="false" ht="15" hidden="false" customHeight="false" outlineLevel="0" collapsed="false">
      <c r="A1665" s="0" t="str">
        <f aca="false">TEXT(0.5,"#,##")</f>
        <v>1</v>
      </c>
      <c r="B1665" s="0" t="s">
        <v>1697</v>
      </c>
    </row>
    <row r="1666" customFormat="false" ht="15" hidden="false" customHeight="false" outlineLevel="0" collapsed="false">
      <c r="A1666" s="0" t="str">
        <f aca="false">TEXT(1000000,"#,##")</f>
        <v>1,000,000</v>
      </c>
      <c r="B1666" s="0" t="s">
        <v>1698</v>
      </c>
    </row>
    <row r="1667" customFormat="false" ht="15" hidden="false" customHeight="false" outlineLevel="0" collapsed="false">
      <c r="A1667" s="0" t="str">
        <f aca="false">TEXT(12345678.9,"#,##")</f>
        <v>12,345,679</v>
      </c>
      <c r="B1667" s="0" t="s">
        <v>1699</v>
      </c>
    </row>
    <row r="1668" customFormat="false" ht="15" hidden="false" customHeight="false" outlineLevel="0" collapsed="false">
      <c r="A1668" s="0" t="str">
        <f aca="false">TEXT(0.000123,"#,##")</f>
        <v/>
      </c>
      <c r="B1668" s="0" t="s">
        <v>1700</v>
      </c>
    </row>
    <row r="1669" customFormat="false" ht="15" hidden="false" customHeight="false" outlineLevel="0" collapsed="false">
      <c r="A1669" s="0" t="str">
        <f aca="false">TEXT(1234.5678,"0,0")</f>
        <v>1,235</v>
      </c>
      <c r="B1669" s="0" t="s">
        <v>1701</v>
      </c>
    </row>
    <row r="1670" customFormat="false" ht="15" hidden="false" customHeight="false" outlineLevel="0" collapsed="false">
      <c r="A1670" s="0" t="str">
        <f aca="false">TEXT(-1234.5678,"0,0")</f>
        <v>-1,235</v>
      </c>
      <c r="B1670" s="0" t="s">
        <v>1702</v>
      </c>
    </row>
    <row r="1671" customFormat="false" ht="15" hidden="false" customHeight="false" outlineLevel="0" collapsed="false">
      <c r="A1671" s="0" t="str">
        <f aca="false">TEXT(0,"0,0")</f>
        <v>00</v>
      </c>
      <c r="B1671" s="0" t="s">
        <v>1703</v>
      </c>
    </row>
    <row r="1672" customFormat="false" ht="15" hidden="false" customHeight="false" outlineLevel="0" collapsed="false">
      <c r="A1672" s="0" t="str">
        <f aca="false">TEXT(0.5,"0,0")</f>
        <v>01</v>
      </c>
      <c r="B1672" s="0" t="s">
        <v>1704</v>
      </c>
    </row>
    <row r="1673" customFormat="false" ht="15" hidden="false" customHeight="false" outlineLevel="0" collapsed="false">
      <c r="A1673" s="0" t="str">
        <f aca="false">TEXT(1000000,"0,0")</f>
        <v>1,000,000</v>
      </c>
      <c r="B1673" s="0" t="s">
        <v>1705</v>
      </c>
    </row>
    <row r="1674" customFormat="false" ht="15" hidden="false" customHeight="false" outlineLevel="0" collapsed="false">
      <c r="A1674" s="0" t="str">
        <f aca="false">TEXT(12345678.9,"0,0")</f>
        <v>12,345,679</v>
      </c>
      <c r="B1674" s="0" t="s">
        <v>1706</v>
      </c>
    </row>
    <row r="1675" customFormat="false" ht="15" hidden="false" customHeight="false" outlineLevel="0" collapsed="false">
      <c r="A1675" s="0" t="str">
        <f aca="false">TEXT(0.000123,"0,0")</f>
        <v>00</v>
      </c>
      <c r="B1675" s="0" t="s">
        <v>1707</v>
      </c>
    </row>
    <row r="1676" customFormat="false" ht="15" hidden="false" customHeight="false" outlineLevel="0" collapsed="false">
      <c r="A1676" s="0" t="str">
        <f aca="false">TEXT(1234.5678,"0,000")</f>
        <v>1,235</v>
      </c>
      <c r="B1676" s="0" t="s">
        <v>1708</v>
      </c>
    </row>
    <row r="1677" customFormat="false" ht="15" hidden="false" customHeight="false" outlineLevel="0" collapsed="false">
      <c r="A1677" s="0" t="str">
        <f aca="false">TEXT(-1234.5678,"0,000")</f>
        <v>-1,235</v>
      </c>
      <c r="B1677" s="0" t="s">
        <v>1709</v>
      </c>
    </row>
    <row r="1678" customFormat="false" ht="15" hidden="false" customHeight="false" outlineLevel="0" collapsed="false">
      <c r="A1678" s="0" t="str">
        <f aca="false">TEXT(0,"0,000")</f>
        <v>0,000</v>
      </c>
      <c r="B1678" s="0" t="s">
        <v>1710</v>
      </c>
    </row>
    <row r="1679" customFormat="false" ht="15" hidden="false" customHeight="false" outlineLevel="0" collapsed="false">
      <c r="A1679" s="0" t="str">
        <f aca="false">TEXT(0.5,"0,000")</f>
        <v>0,001</v>
      </c>
      <c r="B1679" s="0" t="s">
        <v>1711</v>
      </c>
    </row>
    <row r="1680" customFormat="false" ht="15" hidden="false" customHeight="false" outlineLevel="0" collapsed="false">
      <c r="A1680" s="0" t="str">
        <f aca="false">TEXT(1000000,"0,000")</f>
        <v>1,000,000</v>
      </c>
      <c r="B1680" s="0" t="s">
        <v>1712</v>
      </c>
    </row>
    <row r="1681" customFormat="false" ht="15" hidden="false" customHeight="false" outlineLevel="0" collapsed="false">
      <c r="A1681" s="0" t="str">
        <f aca="false">TEXT(12345678.9,"0,000")</f>
        <v>12,345,679</v>
      </c>
      <c r="B1681" s="0" t="s">
        <v>1713</v>
      </c>
    </row>
    <row r="1682" customFormat="false" ht="15" hidden="false" customHeight="false" outlineLevel="0" collapsed="false">
      <c r="A1682" s="0" t="str">
        <f aca="false">TEXT(0.000123,"0,000")</f>
        <v>0,000</v>
      </c>
      <c r="B1682" s="0" t="s">
        <v>1714</v>
      </c>
    </row>
    <row r="1683" customFormat="false" ht="15" hidden="false" customHeight="false" outlineLevel="0" collapsed="false">
      <c r="A1683" s="0" t="str">
        <f aca="false">TEXT(1234.5678,"#,##0.0")</f>
        <v>1,234.6</v>
      </c>
      <c r="B1683" s="0" t="s">
        <v>1715</v>
      </c>
    </row>
    <row r="1684" customFormat="false" ht="15" hidden="false" customHeight="false" outlineLevel="0" collapsed="false">
      <c r="A1684" s="0" t="str">
        <f aca="false">TEXT(-1234.5678,"#,##0.0")</f>
        <v>-1,234.6</v>
      </c>
      <c r="B1684" s="0" t="s">
        <v>1716</v>
      </c>
    </row>
    <row r="1685" customFormat="false" ht="15" hidden="false" customHeight="false" outlineLevel="0" collapsed="false">
      <c r="A1685" s="0" t="str">
        <f aca="false">TEXT(0,"#,##0.0")</f>
        <v>0.0</v>
      </c>
      <c r="B1685" s="0" t="s">
        <v>1717</v>
      </c>
    </row>
    <row r="1686" customFormat="false" ht="15" hidden="false" customHeight="false" outlineLevel="0" collapsed="false">
      <c r="A1686" s="0" t="str">
        <f aca="false">TEXT(0.5,"#,##0.0")</f>
        <v>0.5</v>
      </c>
      <c r="B1686" s="0" t="s">
        <v>1718</v>
      </c>
    </row>
    <row r="1687" customFormat="false" ht="15" hidden="false" customHeight="false" outlineLevel="0" collapsed="false">
      <c r="A1687" s="0" t="str">
        <f aca="false">TEXT(1000000,"#,##0.0")</f>
        <v>1,000,000.0</v>
      </c>
      <c r="B1687" s="0" t="s">
        <v>1719</v>
      </c>
    </row>
    <row r="1688" customFormat="false" ht="15" hidden="false" customHeight="false" outlineLevel="0" collapsed="false">
      <c r="A1688" s="0" t="str">
        <f aca="false">TEXT(12345678.9,"#,##0.0")</f>
        <v>12,345,678.9</v>
      </c>
      <c r="B1688" s="0" t="s">
        <v>1720</v>
      </c>
    </row>
    <row r="1689" customFormat="false" ht="15" hidden="false" customHeight="false" outlineLevel="0" collapsed="false">
      <c r="A1689" s="0" t="str">
        <f aca="false">TEXT(0.000123,"#,##0.0")</f>
        <v>0.0</v>
      </c>
      <c r="B1689" s="0" t="s">
        <v>1721</v>
      </c>
    </row>
    <row r="1690" customFormat="false" ht="15" hidden="false" customHeight="false" outlineLevel="0" collapsed="false">
      <c r="A1690" s="0" t="str">
        <f aca="false">TEXT(1234.5678,"0.0.0")</f>
        <v>1234.5.7</v>
      </c>
      <c r="B1690" s="0" t="s">
        <v>1722</v>
      </c>
    </row>
    <row r="1691" customFormat="false" ht="15" hidden="false" customHeight="false" outlineLevel="0" collapsed="false">
      <c r="A1691" s="0" t="str">
        <f aca="false">TEXT(-1234.5678,"0.0.0")</f>
        <v>-1234.5.7</v>
      </c>
      <c r="B1691" s="0" t="s">
        <v>1723</v>
      </c>
    </row>
    <row r="1692" customFormat="false" ht="15" hidden="false" customHeight="false" outlineLevel="0" collapsed="false">
      <c r="A1692" s="0" t="str">
        <f aca="false">TEXT(0,"0.0.0")</f>
        <v>0.0.0</v>
      </c>
      <c r="B1692" s="0" t="s">
        <v>1724</v>
      </c>
    </row>
    <row r="1693" customFormat="false" ht="15" hidden="false" customHeight="false" outlineLevel="0" collapsed="false">
      <c r="A1693" s="0" t="str">
        <f aca="false">TEXT(0.5,"0.0.0")</f>
        <v>0.5.0</v>
      </c>
      <c r="B1693" s="0" t="s">
        <v>1725</v>
      </c>
    </row>
    <row r="1694" customFormat="false" ht="15" hidden="false" customHeight="false" outlineLevel="0" collapsed="false">
      <c r="A1694" s="0" t="str">
        <f aca="false">TEXT(1000000,"0.0.0")</f>
        <v>1000000.0.0</v>
      </c>
      <c r="B1694" s="0" t="s">
        <v>1726</v>
      </c>
    </row>
    <row r="1695" customFormat="false" ht="15" hidden="false" customHeight="false" outlineLevel="0" collapsed="false">
      <c r="A1695" s="0" t="str">
        <f aca="false">TEXT(12345678.9,"0.0.0")</f>
        <v>12345678.9.0</v>
      </c>
      <c r="B1695" s="0" t="s">
        <v>1727</v>
      </c>
    </row>
    <row r="1696" customFormat="false" ht="15" hidden="false" customHeight="false" outlineLevel="0" collapsed="false">
      <c r="A1696" s="0" t="str">
        <f aca="false">TEXT(0.000123,"0.0.0")</f>
        <v>0.0.0</v>
      </c>
      <c r="B1696" s="0" t="s">
        <v>1728</v>
      </c>
    </row>
    <row r="1697" customFormat="false" ht="15" hidden="false" customHeight="false" outlineLevel="0" collapsed="false">
      <c r="A1697" s="0" t="str">
        <f aca="false">TEXT(1234.5678,"0,0,0")</f>
        <v>1,235</v>
      </c>
      <c r="B1697" s="0" t="s">
        <v>1729</v>
      </c>
    </row>
    <row r="1698" customFormat="false" ht="15" hidden="false" customHeight="false" outlineLevel="0" collapsed="false">
      <c r="A1698" s="0" t="str">
        <f aca="false">TEXT(-1234.5678,"0,0,0")</f>
        <v>-1,235</v>
      </c>
      <c r="B1698" s="0" t="s">
        <v>1730</v>
      </c>
    </row>
    <row r="1699" customFormat="false" ht="15" hidden="false" customHeight="false" outlineLevel="0" collapsed="false">
      <c r="A1699" s="0" t="str">
        <f aca="false">TEXT(0,"0,0,0")</f>
        <v>000</v>
      </c>
      <c r="B1699" s="0" t="s">
        <v>1731</v>
      </c>
    </row>
    <row r="1700" customFormat="false" ht="15" hidden="false" customHeight="false" outlineLevel="0" collapsed="false">
      <c r="A1700" s="0" t="str">
        <f aca="false">TEXT(0.5,"0,0,0")</f>
        <v>001</v>
      </c>
      <c r="B1700" s="0" t="s">
        <v>1732</v>
      </c>
    </row>
    <row r="1701" customFormat="false" ht="15" hidden="false" customHeight="false" outlineLevel="0" collapsed="false">
      <c r="A1701" s="0" t="str">
        <f aca="false">TEXT(1000000,"0,0,0")</f>
        <v>1,000,000</v>
      </c>
      <c r="B1701" s="0" t="s">
        <v>1733</v>
      </c>
    </row>
    <row r="1702" customFormat="false" ht="15" hidden="false" customHeight="false" outlineLevel="0" collapsed="false">
      <c r="A1702" s="0" t="str">
        <f aca="false">TEXT(12345678.9,"0,0,0")</f>
        <v>12,345,679</v>
      </c>
      <c r="B1702" s="0" t="s">
        <v>1734</v>
      </c>
    </row>
    <row r="1703" customFormat="false" ht="15" hidden="false" customHeight="false" outlineLevel="0" collapsed="false">
      <c r="A1703" s="0" t="str">
        <f aca="false">TEXT(0.000123,"0,0,0")</f>
        <v>000</v>
      </c>
      <c r="B1703" s="0" t="s">
        <v>1735</v>
      </c>
    </row>
    <row r="1704" customFormat="false" ht="15" hidden="false" customHeight="false" outlineLevel="0" collapsed="false">
      <c r="A1704" s="0" t="str">
        <f aca="false">TEXT(1234.5678,"0.00%")</f>
        <v>123456.78%</v>
      </c>
      <c r="B1704" s="0" t="s">
        <v>1736</v>
      </c>
    </row>
    <row r="1705" customFormat="false" ht="15" hidden="false" customHeight="false" outlineLevel="0" collapsed="false">
      <c r="A1705" s="0" t="str">
        <f aca="false">TEXT(-1234.5678,"0.00%")</f>
        <v>-123456.78%</v>
      </c>
      <c r="B1705" s="0" t="s">
        <v>1737</v>
      </c>
    </row>
    <row r="1706" customFormat="false" ht="15" hidden="false" customHeight="false" outlineLevel="0" collapsed="false">
      <c r="A1706" s="0" t="str">
        <f aca="false">TEXT(0,"0.00%")</f>
        <v>0.00%</v>
      </c>
      <c r="B1706" s="0" t="s">
        <v>1738</v>
      </c>
    </row>
    <row r="1707" customFormat="false" ht="15" hidden="false" customHeight="false" outlineLevel="0" collapsed="false">
      <c r="A1707" s="0" t="str">
        <f aca="false">TEXT(0.5,"0.00%")</f>
        <v>50.00%</v>
      </c>
      <c r="B1707" s="0" t="s">
        <v>1739</v>
      </c>
    </row>
    <row r="1708" customFormat="false" ht="15" hidden="false" customHeight="false" outlineLevel="0" collapsed="false">
      <c r="A1708" s="0" t="str">
        <f aca="false">TEXT(1000000,"0.00%")</f>
        <v>100000000.00%</v>
      </c>
      <c r="B1708" s="0" t="s">
        <v>1740</v>
      </c>
    </row>
    <row r="1709" customFormat="false" ht="15" hidden="false" customHeight="false" outlineLevel="0" collapsed="false">
      <c r="A1709" s="0" t="str">
        <f aca="false">TEXT(12345678.9,"0.00%")</f>
        <v>1234567890.00%</v>
      </c>
      <c r="B1709" s="0" t="s">
        <v>1741</v>
      </c>
    </row>
    <row r="1710" customFormat="false" ht="15" hidden="false" customHeight="false" outlineLevel="0" collapsed="false">
      <c r="A1710" s="0" t="str">
        <f aca="false">TEXT(0.000123,"0.00%")</f>
        <v>0.01%</v>
      </c>
      <c r="B1710" s="0" t="s">
        <v>1742</v>
      </c>
    </row>
    <row r="1711" customFormat="false" ht="15" hidden="false" customHeight="false" outlineLevel="0" collapsed="false">
      <c r="A1711" s="0" t="str">
        <f aca="false">TEXT(1234.5678,"#,##0.00_);(#,##0.00)")</f>
        <v>1,234.57 </v>
      </c>
      <c r="B1711" s="0" t="s">
        <v>1743</v>
      </c>
    </row>
    <row r="1712" customFormat="false" ht="15" hidden="false" customHeight="false" outlineLevel="0" collapsed="false">
      <c r="A1712" s="0" t="str">
        <f aca="false">TEXT(-1234.5678,"#,##0.00_);(#,##0.00)")</f>
        <v>(1,234.57)</v>
      </c>
      <c r="B1712" s="0" t="s">
        <v>1744</v>
      </c>
    </row>
    <row r="1713" customFormat="false" ht="15" hidden="false" customHeight="false" outlineLevel="0" collapsed="false">
      <c r="A1713" s="0" t="str">
        <f aca="false">TEXT(0,"#,##0.00_);(#,##0.00)")</f>
        <v>0.00 </v>
      </c>
      <c r="B1713" s="0" t="s">
        <v>1745</v>
      </c>
    </row>
    <row r="1714" customFormat="false" ht="15" hidden="false" customHeight="false" outlineLevel="0" collapsed="false">
      <c r="A1714" s="0" t="str">
        <f aca="false">TEXT(0.5,"#,##0.00_);(#,##0.00)")</f>
        <v>0.50 </v>
      </c>
      <c r="B1714" s="0" t="s">
        <v>1746</v>
      </c>
    </row>
    <row r="1715" customFormat="false" ht="15" hidden="false" customHeight="false" outlineLevel="0" collapsed="false">
      <c r="A1715" s="0" t="str">
        <f aca="false">TEXT(1000000,"#,##0.00_);(#,##0.00)")</f>
        <v>1,000,000.00 </v>
      </c>
      <c r="B1715" s="0" t="s">
        <v>1747</v>
      </c>
    </row>
    <row r="1716" customFormat="false" ht="15" hidden="false" customHeight="false" outlineLevel="0" collapsed="false">
      <c r="A1716" s="0" t="str">
        <f aca="false">TEXT(12345678.9,"#,##0.00_);(#,##0.00)")</f>
        <v>12,345,678.90 </v>
      </c>
      <c r="B1716" s="0" t="s">
        <v>1748</v>
      </c>
    </row>
    <row r="1717" customFormat="false" ht="15" hidden="false" customHeight="false" outlineLevel="0" collapsed="false">
      <c r="A1717" s="0" t="str">
        <f aca="false">TEXT(0.000123,"#,##0.00_);(#,##0.00)")</f>
        <v>0.00 </v>
      </c>
      <c r="B1717" s="0" t="s">
        <v>1749</v>
      </c>
    </row>
    <row r="1718" customFormat="false" ht="15" hidden="false" customHeight="false" outlineLevel="0" collapsed="false">
      <c r="A1718" s="0" t="str">
        <f aca="false">TEXT(1234.5678,"$#,##0.00")</f>
        <v>$1,234.57</v>
      </c>
      <c r="B1718" s="0" t="s">
        <v>1750</v>
      </c>
    </row>
    <row r="1719" customFormat="false" ht="15" hidden="false" customHeight="false" outlineLevel="0" collapsed="false">
      <c r="A1719" s="0" t="str">
        <f aca="false">TEXT(-1234.5678,"$#,##0.00")</f>
        <v>-$1,234.57</v>
      </c>
      <c r="B1719" s="0" t="s">
        <v>1751</v>
      </c>
    </row>
    <row r="1720" customFormat="false" ht="15" hidden="false" customHeight="false" outlineLevel="0" collapsed="false">
      <c r="A1720" s="0" t="str">
        <f aca="false">TEXT(0,"$#,##0.00")</f>
        <v>$0.00</v>
      </c>
      <c r="B1720" s="0" t="s">
        <v>1752</v>
      </c>
    </row>
    <row r="1721" customFormat="false" ht="15" hidden="false" customHeight="false" outlineLevel="0" collapsed="false">
      <c r="A1721" s="0" t="str">
        <f aca="false">TEXT(0.5,"$#,##0.00")</f>
        <v>$0.50</v>
      </c>
      <c r="B1721" s="0" t="s">
        <v>1753</v>
      </c>
    </row>
    <row r="1722" customFormat="false" ht="15" hidden="false" customHeight="false" outlineLevel="0" collapsed="false">
      <c r="A1722" s="0" t="str">
        <f aca="false">TEXT(1000000,"$#,##0.00")</f>
        <v>$1,000,000.00</v>
      </c>
      <c r="B1722" s="0" t="s">
        <v>1754</v>
      </c>
    </row>
    <row r="1723" customFormat="false" ht="15" hidden="false" customHeight="false" outlineLevel="0" collapsed="false">
      <c r="A1723" s="0" t="str">
        <f aca="false">TEXT(12345678.9,"$#,##0.00")</f>
        <v>$12,345,678.90</v>
      </c>
      <c r="B1723" s="0" t="s">
        <v>1755</v>
      </c>
    </row>
    <row r="1724" customFormat="false" ht="15" hidden="false" customHeight="false" outlineLevel="0" collapsed="false">
      <c r="A1724" s="0" t="str">
        <f aca="false">TEXT(0.000123,"$#,##0.00")</f>
        <v>$0.00</v>
      </c>
      <c r="B1724" s="0" t="s">
        <v>1756</v>
      </c>
    </row>
    <row r="1725" customFormat="false" ht="15" hidden="false" customHeight="false" outlineLevel="0" collapsed="false">
      <c r="A1725" s="0" t="str">
        <f aca="false">TEXT(1234.5678,"#,##0.00;-#,##0.00")</f>
        <v>1,234.57</v>
      </c>
      <c r="B1725" s="0" t="s">
        <v>1757</v>
      </c>
    </row>
    <row r="1726" customFormat="false" ht="15" hidden="false" customHeight="false" outlineLevel="0" collapsed="false">
      <c r="A1726" s="0" t="str">
        <f aca="false">TEXT(-1234.5678,"#,##0.00;-#,##0.00")</f>
        <v>-1,234.57</v>
      </c>
      <c r="B1726" s="0" t="s">
        <v>1758</v>
      </c>
    </row>
    <row r="1727" customFormat="false" ht="15" hidden="false" customHeight="false" outlineLevel="0" collapsed="false">
      <c r="A1727" s="0" t="str">
        <f aca="false">TEXT(0,"#,##0.00;-#,##0.00")</f>
        <v>0.00</v>
      </c>
      <c r="B1727" s="0" t="s">
        <v>1759</v>
      </c>
    </row>
    <row r="1728" customFormat="false" ht="15" hidden="false" customHeight="false" outlineLevel="0" collapsed="false">
      <c r="A1728" s="0" t="str">
        <f aca="false">TEXT(0.5,"#,##0.00;-#,##0.00")</f>
        <v>0.50</v>
      </c>
      <c r="B1728" s="0" t="s">
        <v>1760</v>
      </c>
    </row>
    <row r="1729" customFormat="false" ht="15" hidden="false" customHeight="false" outlineLevel="0" collapsed="false">
      <c r="A1729" s="0" t="str">
        <f aca="false">TEXT(1000000,"#,##0.00;-#,##0.00")</f>
        <v>1,000,000.00</v>
      </c>
      <c r="B1729" s="0" t="s">
        <v>1761</v>
      </c>
    </row>
    <row r="1730" customFormat="false" ht="15" hidden="false" customHeight="false" outlineLevel="0" collapsed="false">
      <c r="A1730" s="0" t="str">
        <f aca="false">TEXT(12345678.9,"#,##0.00;-#,##0.00")</f>
        <v>12,345,678.90</v>
      </c>
      <c r="B1730" s="0" t="s">
        <v>1762</v>
      </c>
    </row>
    <row r="1731" customFormat="false" ht="15" hidden="false" customHeight="false" outlineLevel="0" collapsed="false">
      <c r="A1731" s="0" t="str">
        <f aca="false">TEXT(0.000123,"#,##0.00;-#,##0.00")</f>
        <v>0.00</v>
      </c>
      <c r="B1731" s="0" t="s">
        <v>1763</v>
      </c>
    </row>
    <row r="1732" customFormat="false" ht="15" hidden="false" customHeight="false" outlineLevel="0" collapsed="false">
      <c r="A1732" s="0" t="str">
        <f aca="false">TEXT(1234.5678,"#,##0.000")</f>
        <v>1,234.568</v>
      </c>
      <c r="B1732" s="0" t="s">
        <v>1764</v>
      </c>
    </row>
    <row r="1733" customFormat="false" ht="15" hidden="false" customHeight="false" outlineLevel="0" collapsed="false">
      <c r="A1733" s="0" t="str">
        <f aca="false">TEXT(-1234.5678,"#,##0.000")</f>
        <v>-1,234.568</v>
      </c>
      <c r="B1733" s="0" t="s">
        <v>1765</v>
      </c>
    </row>
    <row r="1734" customFormat="false" ht="15" hidden="false" customHeight="false" outlineLevel="0" collapsed="false">
      <c r="A1734" s="0" t="str">
        <f aca="false">TEXT(0,"#,##0.000")</f>
        <v>0.000</v>
      </c>
      <c r="B1734" s="0" t="s">
        <v>1766</v>
      </c>
    </row>
    <row r="1735" customFormat="false" ht="15" hidden="false" customHeight="false" outlineLevel="0" collapsed="false">
      <c r="A1735" s="0" t="str">
        <f aca="false">TEXT(0.5,"#,##0.000")</f>
        <v>0.500</v>
      </c>
      <c r="B1735" s="0" t="s">
        <v>1767</v>
      </c>
    </row>
    <row r="1736" customFormat="false" ht="15" hidden="false" customHeight="false" outlineLevel="0" collapsed="false">
      <c r="A1736" s="0" t="str">
        <f aca="false">TEXT(1000000,"#,##0.000")</f>
        <v>1,000,000.000</v>
      </c>
      <c r="B1736" s="0" t="s">
        <v>1768</v>
      </c>
    </row>
    <row r="1737" customFormat="false" ht="15" hidden="false" customHeight="false" outlineLevel="0" collapsed="false">
      <c r="A1737" s="0" t="str">
        <f aca="false">TEXT(12345678.9,"#,##0.000")</f>
        <v>12,345,678.900</v>
      </c>
      <c r="B1737" s="0" t="s">
        <v>1769</v>
      </c>
    </row>
    <row r="1738" customFormat="false" ht="15" hidden="false" customHeight="false" outlineLevel="0" collapsed="false">
      <c r="A1738" s="0" t="str">
        <f aca="false">TEXT(0.000123,"#,##0.000")</f>
        <v>0.000</v>
      </c>
      <c r="B1738" s="0" t="s">
        <v>1770</v>
      </c>
    </row>
    <row r="1739" customFormat="false" ht="15" hidden="false" customHeight="false" outlineLevel="0" collapsed="false">
      <c r="A1739" s="0" t="str">
        <f aca="false">TEXT(1234.5678,"0.00 ""x""")</f>
        <v>1234.57 x</v>
      </c>
      <c r="B1739" s="0" t="s">
        <v>1771</v>
      </c>
    </row>
    <row r="1740" customFormat="false" ht="15" hidden="false" customHeight="false" outlineLevel="0" collapsed="false">
      <c r="A1740" s="0" t="str">
        <f aca="false">TEXT(-1234.5678,"0.00 ""x""")</f>
        <v>-1234.57 x</v>
      </c>
      <c r="B1740" s="0" t="s">
        <v>1772</v>
      </c>
    </row>
    <row r="1741" customFormat="false" ht="15" hidden="false" customHeight="false" outlineLevel="0" collapsed="false">
      <c r="A1741" s="0" t="str">
        <f aca="false">TEXT(0,"0.00 ""x""")</f>
        <v>0.00 x</v>
      </c>
      <c r="B1741" s="0" t="s">
        <v>1773</v>
      </c>
    </row>
    <row r="1742" customFormat="false" ht="15" hidden="false" customHeight="false" outlineLevel="0" collapsed="false">
      <c r="A1742" s="0" t="str">
        <f aca="false">TEXT(0.5,"0.00 ""x""")</f>
        <v>0.50 x</v>
      </c>
      <c r="B1742" s="0" t="s">
        <v>1774</v>
      </c>
    </row>
    <row r="1743" customFormat="false" ht="15" hidden="false" customHeight="false" outlineLevel="0" collapsed="false">
      <c r="A1743" s="0" t="str">
        <f aca="false">TEXT(1000000,"0.00 ""x""")</f>
        <v>1000000.00 x</v>
      </c>
      <c r="B1743" s="0" t="s">
        <v>1775</v>
      </c>
    </row>
    <row r="1744" customFormat="false" ht="15" hidden="false" customHeight="false" outlineLevel="0" collapsed="false">
      <c r="A1744" s="0" t="str">
        <f aca="false">TEXT(12345678.9,"0.00 ""x""")</f>
        <v>12345678.90 x</v>
      </c>
      <c r="B1744" s="0" t="s">
        <v>1776</v>
      </c>
    </row>
    <row r="1745" customFormat="false" ht="15" hidden="false" customHeight="false" outlineLevel="0" collapsed="false">
      <c r="A1745" s="0" t="str">
        <f aca="false">TEXT(0.000123,"0.00 ""x""")</f>
        <v>0.00 x</v>
      </c>
      <c r="B1745" s="0" t="s">
        <v>1777</v>
      </c>
    </row>
    <row r="1746" customFormat="false" ht="15" hidden="false" customHeight="false" outlineLevel="0" collapsed="false">
      <c r="A1746" s="0" t="str">
        <f aca="false">TEXT(1234.5678,"0.000%")</f>
        <v>123456.780%</v>
      </c>
      <c r="B1746" s="0" t="s">
        <v>1778</v>
      </c>
    </row>
    <row r="1747" customFormat="false" ht="15" hidden="false" customHeight="false" outlineLevel="0" collapsed="false">
      <c r="A1747" s="0" t="str">
        <f aca="false">TEXT(-1234.5678,"0.000%")</f>
        <v>-123456.780%</v>
      </c>
      <c r="B1747" s="0" t="s">
        <v>1779</v>
      </c>
    </row>
    <row r="1748" customFormat="false" ht="15" hidden="false" customHeight="false" outlineLevel="0" collapsed="false">
      <c r="A1748" s="0" t="str">
        <f aca="false">TEXT(0,"0.000%")</f>
        <v>0.000%</v>
      </c>
      <c r="B1748" s="0" t="s">
        <v>1780</v>
      </c>
    </row>
    <row r="1749" customFormat="false" ht="15" hidden="false" customHeight="false" outlineLevel="0" collapsed="false">
      <c r="A1749" s="0" t="str">
        <f aca="false">TEXT(0.5,"0.000%")</f>
        <v>50.000%</v>
      </c>
      <c r="B1749" s="0" t="s">
        <v>1781</v>
      </c>
    </row>
    <row r="1750" customFormat="false" ht="15" hidden="false" customHeight="false" outlineLevel="0" collapsed="false">
      <c r="A1750" s="0" t="str">
        <f aca="false">TEXT(1000000,"0.000%")</f>
        <v>100000000.000%</v>
      </c>
      <c r="B1750" s="0" t="s">
        <v>1782</v>
      </c>
    </row>
    <row r="1751" customFormat="false" ht="15" hidden="false" customHeight="false" outlineLevel="0" collapsed="false">
      <c r="A1751" s="0" t="str">
        <f aca="false">TEXT(12345678.9,"0.000%")</f>
        <v>1234567890.000%</v>
      </c>
      <c r="B1751" s="0" t="s">
        <v>1783</v>
      </c>
    </row>
    <row r="1752" customFormat="false" ht="15" hidden="false" customHeight="false" outlineLevel="0" collapsed="false">
      <c r="A1752" s="0" t="str">
        <f aca="false">TEXT(0.000123,"0.000%")</f>
        <v>0.012%</v>
      </c>
      <c r="B1752" s="0" t="s">
        <v>1784</v>
      </c>
    </row>
    <row r="1753" customFormat="false" ht="15" hidden="false" customHeight="false" outlineLevel="0" collapsed="false">
      <c r="A1753" s="0" t="str">
        <f aca="false">TEXT(1234.5678,"0.0000")</f>
        <v>1234.5678</v>
      </c>
      <c r="B1753" s="0" t="s">
        <v>1785</v>
      </c>
    </row>
    <row r="1754" customFormat="false" ht="15" hidden="false" customHeight="false" outlineLevel="0" collapsed="false">
      <c r="A1754" s="0" t="str">
        <f aca="false">TEXT(-1234.5678,"0.0000")</f>
        <v>-1234.5678</v>
      </c>
      <c r="B1754" s="0" t="s">
        <v>1786</v>
      </c>
    </row>
    <row r="1755" customFormat="false" ht="15" hidden="false" customHeight="false" outlineLevel="0" collapsed="false">
      <c r="A1755" s="0" t="str">
        <f aca="false">TEXT(0,"0.0000")</f>
        <v>0.0000</v>
      </c>
      <c r="B1755" s="0" t="s">
        <v>1787</v>
      </c>
    </row>
    <row r="1756" customFormat="false" ht="15" hidden="false" customHeight="false" outlineLevel="0" collapsed="false">
      <c r="A1756" s="0" t="str">
        <f aca="false">TEXT(0.5,"0.0000")</f>
        <v>0.5000</v>
      </c>
      <c r="B1756" s="0" t="s">
        <v>1788</v>
      </c>
    </row>
    <row r="1757" customFormat="false" ht="15" hidden="false" customHeight="false" outlineLevel="0" collapsed="false">
      <c r="A1757" s="0" t="str">
        <f aca="false">TEXT(1000000,"0.0000")</f>
        <v>1000000.0000</v>
      </c>
      <c r="B1757" s="0" t="s">
        <v>1789</v>
      </c>
    </row>
    <row r="1758" customFormat="false" ht="15" hidden="false" customHeight="false" outlineLevel="0" collapsed="false">
      <c r="A1758" s="0" t="str">
        <f aca="false">TEXT(12345678.9,"0.0000")</f>
        <v>12345678.9000</v>
      </c>
      <c r="B1758" s="0" t="s">
        <v>1790</v>
      </c>
    </row>
    <row r="1759" customFormat="false" ht="15" hidden="false" customHeight="false" outlineLevel="0" collapsed="false">
      <c r="A1759" s="0" t="str">
        <f aca="false">TEXT(0.000123,"0.0000")</f>
        <v>0.0001</v>
      </c>
      <c r="B1759" s="0" t="s">
        <v>1791</v>
      </c>
    </row>
    <row r="1760" customFormat="false" ht="15" hidden="false" customHeight="false" outlineLevel="0" collapsed="false">
      <c r="A1760" s="0" t="str">
        <f aca="false">TEXT(1234.5678,"0.00;0.00")</f>
        <v>1234.57</v>
      </c>
      <c r="B1760" s="0" t="s">
        <v>1792</v>
      </c>
    </row>
    <row r="1761" customFormat="false" ht="15" hidden="false" customHeight="false" outlineLevel="0" collapsed="false">
      <c r="A1761" s="0" t="str">
        <f aca="false">TEXT(-1234.5678,"0.00;0.00")</f>
        <v>1234.57</v>
      </c>
      <c r="B1761" s="0" t="s">
        <v>1793</v>
      </c>
    </row>
    <row r="1762" customFormat="false" ht="15" hidden="false" customHeight="false" outlineLevel="0" collapsed="false">
      <c r="A1762" s="0" t="str">
        <f aca="false">TEXT(0,"0.00;0.00")</f>
        <v>0.00</v>
      </c>
      <c r="B1762" s="0" t="s">
        <v>1794</v>
      </c>
    </row>
    <row r="1763" customFormat="false" ht="15" hidden="false" customHeight="false" outlineLevel="0" collapsed="false">
      <c r="A1763" s="0" t="str">
        <f aca="false">TEXT(0.5,"0.00;0.00")</f>
        <v>0.50</v>
      </c>
      <c r="B1763" s="0" t="s">
        <v>1795</v>
      </c>
    </row>
    <row r="1764" customFormat="false" ht="15" hidden="false" customHeight="false" outlineLevel="0" collapsed="false">
      <c r="A1764" s="0" t="str">
        <f aca="false">TEXT(1000000,"0.00;0.00")</f>
        <v>1000000.00</v>
      </c>
      <c r="B1764" s="0" t="s">
        <v>1796</v>
      </c>
    </row>
    <row r="1765" customFormat="false" ht="15" hidden="false" customHeight="false" outlineLevel="0" collapsed="false">
      <c r="A1765" s="0" t="str">
        <f aca="false">TEXT(12345678.9,"0.00;0.00")</f>
        <v>12345678.90</v>
      </c>
      <c r="B1765" s="0" t="s">
        <v>1797</v>
      </c>
    </row>
    <row r="1766" customFormat="false" ht="15" hidden="false" customHeight="false" outlineLevel="0" collapsed="false">
      <c r="A1766" s="0" t="str">
        <f aca="false">TEXT(0.000123,"0.00;0.00")</f>
        <v>0.00</v>
      </c>
      <c r="B1766" s="0" t="s">
        <v>1798</v>
      </c>
    </row>
    <row r="1767" customFormat="false" ht="15" hidden="false" customHeight="false" outlineLevel="0" collapsed="false">
      <c r="A1767" s="0" t="str">
        <f aca="false">TEXT(1234.5678,"#,##0.00;[Red](#,##0.00)")</f>
        <v>1,234.57</v>
      </c>
      <c r="B1767" s="0" t="s">
        <v>1799</v>
      </c>
    </row>
    <row r="1768" customFormat="false" ht="15" hidden="false" customHeight="false" outlineLevel="0" collapsed="false">
      <c r="A1768" s="0" t="str">
        <f aca="false">TEXT(-1234.5678,"#,##0.00;[Red](#,##0.00)")</f>
        <v>(1,234.57)</v>
      </c>
      <c r="B1768" s="0" t="s">
        <v>1800</v>
      </c>
    </row>
    <row r="1769" customFormat="false" ht="15" hidden="false" customHeight="false" outlineLevel="0" collapsed="false">
      <c r="A1769" s="0" t="str">
        <f aca="false">TEXT(0,"#,##0.00;[Red](#,##0.00)")</f>
        <v>0.00</v>
      </c>
      <c r="B1769" s="0" t="s">
        <v>1801</v>
      </c>
    </row>
    <row r="1770" customFormat="false" ht="15" hidden="false" customHeight="false" outlineLevel="0" collapsed="false">
      <c r="A1770" s="0" t="str">
        <f aca="false">TEXT(0.5,"#,##0.00;[Red](#,##0.00)")</f>
        <v>0.50</v>
      </c>
      <c r="B1770" s="0" t="s">
        <v>1802</v>
      </c>
    </row>
    <row r="1771" customFormat="false" ht="15" hidden="false" customHeight="false" outlineLevel="0" collapsed="false">
      <c r="A1771" s="0" t="str">
        <f aca="false">TEXT(1000000,"#,##0.00;[Red](#,##0.00)")</f>
        <v>1,000,000.00</v>
      </c>
      <c r="B1771" s="0" t="s">
        <v>1803</v>
      </c>
    </row>
    <row r="1772" customFormat="false" ht="15" hidden="false" customHeight="false" outlineLevel="0" collapsed="false">
      <c r="A1772" s="0" t="str">
        <f aca="false">TEXT(12345678.9,"#,##0.00;[Red](#,##0.00)")</f>
        <v>12,345,678.90</v>
      </c>
      <c r="B1772" s="0" t="s">
        <v>1804</v>
      </c>
    </row>
    <row r="1773" customFormat="false" ht="15" hidden="false" customHeight="false" outlineLevel="0" collapsed="false">
      <c r="A1773" s="0" t="str">
        <f aca="false">TEXT(0.000123,"#,##0.00;[Red](#,##0.00)")</f>
        <v>0.00</v>
      </c>
      <c r="B1773" s="0" t="s">
        <v>1805</v>
      </c>
    </row>
    <row r="1774" customFormat="false" ht="15" hidden="false" customHeight="false" outlineLevel="0" collapsed="false">
      <c r="A1774" s="0" t="str">
        <f aca="false">TEXT(1234.5678,"0.00E+000")</f>
        <v>1.23E+003</v>
      </c>
      <c r="B1774" s="0" t="s">
        <v>1806</v>
      </c>
    </row>
    <row r="1775" customFormat="false" ht="15" hidden="false" customHeight="false" outlineLevel="0" collapsed="false">
      <c r="A1775" s="0" t="str">
        <f aca="false">TEXT(-1234.5678,"0.00E+000")</f>
        <v>-1.23E+003</v>
      </c>
      <c r="B1775" s="0" t="s">
        <v>1807</v>
      </c>
    </row>
    <row r="1776" customFormat="false" ht="15" hidden="false" customHeight="false" outlineLevel="0" collapsed="false">
      <c r="A1776" s="0" t="str">
        <f aca="false">TEXT(0,"0.00E+000")</f>
        <v>0.00E+000</v>
      </c>
      <c r="B1776" s="0" t="s">
        <v>1808</v>
      </c>
    </row>
    <row r="1777" customFormat="false" ht="15" hidden="false" customHeight="false" outlineLevel="0" collapsed="false">
      <c r="A1777" s="0" t="str">
        <f aca="false">TEXT(0.5,"0.00E+000")</f>
        <v>5.00E-001</v>
      </c>
      <c r="B1777" s="0" t="s">
        <v>1809</v>
      </c>
    </row>
    <row r="1778" customFormat="false" ht="15" hidden="false" customHeight="false" outlineLevel="0" collapsed="false">
      <c r="A1778" s="0" t="str">
        <f aca="false">TEXT(1000000,"0.00E+000")</f>
        <v>1.00E+006</v>
      </c>
      <c r="B1778" s="0" t="s">
        <v>1810</v>
      </c>
    </row>
    <row r="1779" customFormat="false" ht="15" hidden="false" customHeight="false" outlineLevel="0" collapsed="false">
      <c r="A1779" s="0" t="str">
        <f aca="false">TEXT(12345678.9,"0.00E+000")</f>
        <v>1.23E+007</v>
      </c>
      <c r="B1779" s="0" t="s">
        <v>1811</v>
      </c>
    </row>
    <row r="1780" customFormat="false" ht="15" hidden="false" customHeight="false" outlineLevel="0" collapsed="false">
      <c r="A1780" s="0" t="str">
        <f aca="false">TEXT(0.000123,"0.00E+000")</f>
        <v>1.23E-004</v>
      </c>
      <c r="B1780" s="0" t="s">
        <v>1812</v>
      </c>
    </row>
    <row r="1781" customFormat="false" ht="15" hidden="false" customHeight="false" outlineLevel="0" collapsed="false">
      <c r="A1781" s="0" t="str">
        <f aca="false">TEXT(1234.5678,"0.000E+00")</f>
        <v>1.235E+03</v>
      </c>
      <c r="B1781" s="0" t="s">
        <v>1813</v>
      </c>
    </row>
    <row r="1782" customFormat="false" ht="15" hidden="false" customHeight="false" outlineLevel="0" collapsed="false">
      <c r="A1782" s="0" t="str">
        <f aca="false">TEXT(-1234.5678,"0.000E+00")</f>
        <v>-1.235E+03</v>
      </c>
      <c r="B1782" s="0" t="s">
        <v>1814</v>
      </c>
    </row>
    <row r="1783" customFormat="false" ht="15" hidden="false" customHeight="false" outlineLevel="0" collapsed="false">
      <c r="A1783" s="0" t="str">
        <f aca="false">TEXT(0,"0.000E+00")</f>
        <v>0.000E+00</v>
      </c>
      <c r="B1783" s="0" t="s">
        <v>1815</v>
      </c>
    </row>
    <row r="1784" customFormat="false" ht="15" hidden="false" customHeight="false" outlineLevel="0" collapsed="false">
      <c r="A1784" s="0" t="str">
        <f aca="false">TEXT(0.5,"0.000E+00")</f>
        <v>5.000E-01</v>
      </c>
      <c r="B1784" s="0" t="s">
        <v>1816</v>
      </c>
    </row>
    <row r="1785" customFormat="false" ht="15" hidden="false" customHeight="false" outlineLevel="0" collapsed="false">
      <c r="A1785" s="0" t="str">
        <f aca="false">TEXT(1000000,"0.000E+00")</f>
        <v>1.000E+06</v>
      </c>
      <c r="B1785" s="0" t="s">
        <v>1817</v>
      </c>
    </row>
    <row r="1786" customFormat="false" ht="15" hidden="false" customHeight="false" outlineLevel="0" collapsed="false">
      <c r="A1786" s="0" t="str">
        <f aca="false">TEXT(12345678.9,"0.000E+00")</f>
        <v>1.235E+07</v>
      </c>
      <c r="B1786" s="0" t="s">
        <v>1818</v>
      </c>
    </row>
    <row r="1787" customFormat="false" ht="15" hidden="false" customHeight="false" outlineLevel="0" collapsed="false">
      <c r="A1787" s="0" t="str">
        <f aca="false">TEXT(0.000123,"0.000E+00")</f>
        <v>1.230E-04</v>
      </c>
      <c r="B1787" s="0" t="s">
        <v>1819</v>
      </c>
    </row>
    <row r="1788" customFormat="false" ht="15" hidden="false" customHeight="false" outlineLevel="0" collapsed="false">
      <c r="A1788" s="0" t="str">
        <f aca="false">TEXT(1234.5678,"#,##0.00E+00")</f>
        <v>1,234.57E+00</v>
      </c>
      <c r="B1788" s="0" t="s">
        <v>1820</v>
      </c>
    </row>
    <row r="1789" customFormat="false" ht="15" hidden="false" customHeight="false" outlineLevel="0" collapsed="false">
      <c r="A1789" s="0" t="str">
        <f aca="false">TEXT(-1234.5678,"#,##0.00E+00")</f>
        <v>-1,234.57E+00</v>
      </c>
      <c r="B1789" s="0" t="s">
        <v>1821</v>
      </c>
    </row>
    <row r="1790" customFormat="false" ht="15" hidden="false" customHeight="false" outlineLevel="0" collapsed="false">
      <c r="A1790" s="0" t="str">
        <f aca="false">TEXT(0,"#,##0.00E+00")</f>
        <v>0.00E+00</v>
      </c>
      <c r="B1790" s="0" t="s">
        <v>1822</v>
      </c>
    </row>
    <row r="1791" customFormat="false" ht="15" hidden="false" customHeight="false" outlineLevel="0" collapsed="false">
      <c r="A1791" s="0" t="str">
        <f aca="false">TEXT(0.5,"#,##0.00E+00")</f>
        <v>5,000.00E-04</v>
      </c>
      <c r="B1791" s="0" t="s">
        <v>1823</v>
      </c>
    </row>
    <row r="1792" customFormat="false" ht="15" hidden="false" customHeight="false" outlineLevel="0" collapsed="false">
      <c r="A1792" s="0" t="str">
        <f aca="false">TEXT(1000000,"#,##0.00E+00")</f>
        <v>100.00E+04</v>
      </c>
      <c r="B1792" s="0" t="s">
        <v>1824</v>
      </c>
    </row>
    <row r="1793" customFormat="false" ht="15" hidden="false" customHeight="false" outlineLevel="0" collapsed="false">
      <c r="A1793" s="0" t="str">
        <f aca="false">TEXT(12345678.9,"#,##0.00E+00")</f>
        <v>1,234.57E+04</v>
      </c>
      <c r="B1793" s="0" t="s">
        <v>1825</v>
      </c>
    </row>
    <row r="1794" customFormat="false" ht="15" hidden="false" customHeight="false" outlineLevel="0" collapsed="false">
      <c r="A1794" s="0" t="str">
        <f aca="false">TEXT(0.000123,"#,##0.00E+00")</f>
        <v>1.23E-04</v>
      </c>
      <c r="B1794" s="0" t="s">
        <v>1826</v>
      </c>
    </row>
    <row r="1795" customFormat="false" ht="15" hidden="false" customHeight="false" outlineLevel="0" collapsed="false">
      <c r="A1795" s="0" t="str">
        <f aca="false">TEXT(45292.5,"yyyy-mm-dd")</f>
        <v>2024-01-01</v>
      </c>
      <c r="B1795" s="0" t="s">
        <v>1827</v>
      </c>
    </row>
    <row r="1796" customFormat="false" ht="15" hidden="false" customHeight="false" outlineLevel="0" collapsed="false">
      <c r="A1796" s="0" t="str">
        <f aca="false">TEXT(45658.75123,"yyyy-mm-dd")</f>
        <v>2025-01-01</v>
      </c>
      <c r="B1796" s="0" t="s">
        <v>1828</v>
      </c>
    </row>
    <row r="1797" customFormat="false" ht="15" hidden="false" customHeight="false" outlineLevel="0" collapsed="false">
      <c r="A1797" s="0" t="str">
        <f aca="false">TEXT(0.5,"yyyy-mm-dd")</f>
        <v>1899-12-30</v>
      </c>
      <c r="B1797" s="0" t="s">
        <v>1829</v>
      </c>
    </row>
    <row r="1798" customFormat="false" ht="15" hidden="false" customHeight="false" outlineLevel="0" collapsed="false">
      <c r="A1798" s="0" t="str">
        <f aca="false">TEXT(1.999,"yyyy-mm-dd")</f>
        <v>1899-12-31</v>
      </c>
      <c r="B1798" s="0" t="s">
        <v>1830</v>
      </c>
    </row>
    <row r="1799" customFormat="false" ht="15" hidden="false" customHeight="false" outlineLevel="0" collapsed="false">
      <c r="A1799" s="0" t="str">
        <f aca="false">TEXT(61,"yyyy-mm-dd")</f>
        <v>1900-03-01</v>
      </c>
      <c r="B1799" s="0" t="s">
        <v>1831</v>
      </c>
    </row>
    <row r="1800" customFormat="false" ht="15" hidden="false" customHeight="false" outlineLevel="0" collapsed="false">
      <c r="A1800" s="0" t="str">
        <f aca="false">TEXT(36526.12345,"yyyy-mm-dd")</f>
        <v>2000-01-01</v>
      </c>
      <c r="B1800" s="0" t="s">
        <v>1832</v>
      </c>
    </row>
    <row r="1801" customFormat="false" ht="15" hidden="false" customHeight="false" outlineLevel="0" collapsed="false">
      <c r="A1801" s="0" t="str">
        <f aca="false">TEXT(0.999999,"yyyy-mm-dd")</f>
        <v>1899-12-30</v>
      </c>
      <c r="B1801" s="0" t="s">
        <v>1833</v>
      </c>
    </row>
    <row r="1802" customFormat="false" ht="15" hidden="false" customHeight="false" outlineLevel="0" collapsed="false">
      <c r="A1802" s="0" t="str">
        <f aca="false">TEXT(-1.5,"yyyy-mm-dd")</f>
        <v>1899-12-28</v>
      </c>
      <c r="B1802" s="0" t="s">
        <v>1834</v>
      </c>
    </row>
    <row r="1803" customFormat="false" ht="15" hidden="false" customHeight="false" outlineLevel="0" collapsed="false">
      <c r="A1803" s="0" t="str">
        <f aca="false">TEXT(45292.5,"dd/mm/yyyy")</f>
        <v>01/01/2024</v>
      </c>
      <c r="B1803" s="0" t="s">
        <v>1835</v>
      </c>
    </row>
    <row r="1804" customFormat="false" ht="15" hidden="false" customHeight="false" outlineLevel="0" collapsed="false">
      <c r="A1804" s="0" t="str">
        <f aca="false">TEXT(45658.75123,"dd/mm/yyyy")</f>
        <v>01/01/2025</v>
      </c>
      <c r="B1804" s="0" t="s">
        <v>1836</v>
      </c>
    </row>
    <row r="1805" customFormat="false" ht="15" hidden="false" customHeight="false" outlineLevel="0" collapsed="false">
      <c r="A1805" s="0" t="str">
        <f aca="false">TEXT(0.5,"dd/mm/yyyy")</f>
        <v>30/12/1899</v>
      </c>
      <c r="B1805" s="0" t="s">
        <v>1837</v>
      </c>
    </row>
    <row r="1806" customFormat="false" ht="15" hidden="false" customHeight="false" outlineLevel="0" collapsed="false">
      <c r="A1806" s="0" t="str">
        <f aca="false">TEXT(1.999,"dd/mm/yyyy")</f>
        <v>31/12/1899</v>
      </c>
      <c r="B1806" s="0" t="s">
        <v>1838</v>
      </c>
    </row>
    <row r="1807" customFormat="false" ht="15" hidden="false" customHeight="false" outlineLevel="0" collapsed="false">
      <c r="A1807" s="0" t="str">
        <f aca="false">TEXT(61,"dd/mm/yyyy")</f>
        <v>01/03/1900</v>
      </c>
      <c r="B1807" s="0" t="s">
        <v>1839</v>
      </c>
    </row>
    <row r="1808" customFormat="false" ht="15" hidden="false" customHeight="false" outlineLevel="0" collapsed="false">
      <c r="A1808" s="0" t="str">
        <f aca="false">TEXT(36526.12345,"dd/mm/yyyy")</f>
        <v>01/01/2000</v>
      </c>
      <c r="B1808" s="0" t="s">
        <v>1840</v>
      </c>
    </row>
    <row r="1809" customFormat="false" ht="15" hidden="false" customHeight="false" outlineLevel="0" collapsed="false">
      <c r="A1809" s="0" t="str">
        <f aca="false">TEXT(0.999999,"dd/mm/yyyy")</f>
        <v>30/12/1899</v>
      </c>
      <c r="B1809" s="0" t="s">
        <v>1841</v>
      </c>
    </row>
    <row r="1810" customFormat="false" ht="15" hidden="false" customHeight="false" outlineLevel="0" collapsed="false">
      <c r="A1810" s="0" t="str">
        <f aca="false">TEXT(-1.5,"dd/mm/yyyy")</f>
        <v>28/12/1899</v>
      </c>
      <c r="B1810" s="0" t="s">
        <v>1842</v>
      </c>
    </row>
    <row r="1811" customFormat="false" ht="15" hidden="false" customHeight="false" outlineLevel="0" collapsed="false">
      <c r="A1811" s="0" t="str">
        <f aca="false">TEXT(45292.5,"d-mmm-yy")</f>
        <v>1-Jan-24</v>
      </c>
      <c r="B1811" s="0" t="s">
        <v>1843</v>
      </c>
    </row>
    <row r="1812" customFormat="false" ht="15" hidden="false" customHeight="false" outlineLevel="0" collapsed="false">
      <c r="A1812" s="0" t="str">
        <f aca="false">TEXT(45658.75123,"d-mmm-yy")</f>
        <v>1-Jan-25</v>
      </c>
      <c r="B1812" s="0" t="s">
        <v>1844</v>
      </c>
    </row>
    <row r="1813" customFormat="false" ht="15" hidden="false" customHeight="false" outlineLevel="0" collapsed="false">
      <c r="A1813" s="0" t="str">
        <f aca="false">TEXT(0.5,"d-mmm-yy")</f>
        <v>30-Dec-99</v>
      </c>
      <c r="B1813" s="0" t="s">
        <v>1845</v>
      </c>
    </row>
    <row r="1814" customFormat="false" ht="15" hidden="false" customHeight="false" outlineLevel="0" collapsed="false">
      <c r="A1814" s="0" t="str">
        <f aca="false">TEXT(1.999,"d-mmm-yy")</f>
        <v>31-Dec-99</v>
      </c>
      <c r="B1814" s="0" t="s">
        <v>1846</v>
      </c>
    </row>
    <row r="1815" customFormat="false" ht="15" hidden="false" customHeight="false" outlineLevel="0" collapsed="false">
      <c r="A1815" s="0" t="str">
        <f aca="false">TEXT(61,"d-mmm-yy")</f>
        <v>1-Mar-00</v>
      </c>
      <c r="B1815" s="0" t="s">
        <v>1847</v>
      </c>
    </row>
    <row r="1816" customFormat="false" ht="15" hidden="false" customHeight="false" outlineLevel="0" collapsed="false">
      <c r="A1816" s="0" t="str">
        <f aca="false">TEXT(36526.12345,"d-mmm-yy")</f>
        <v>1-Jan-00</v>
      </c>
      <c r="B1816" s="0" t="s">
        <v>1848</v>
      </c>
    </row>
    <row r="1817" customFormat="false" ht="15" hidden="false" customHeight="false" outlineLevel="0" collapsed="false">
      <c r="A1817" s="0" t="str">
        <f aca="false">TEXT(0.999999,"d-mmm-yy")</f>
        <v>30-Dec-99</v>
      </c>
      <c r="B1817" s="0" t="s">
        <v>1849</v>
      </c>
    </row>
    <row r="1818" customFormat="false" ht="15" hidden="false" customHeight="false" outlineLevel="0" collapsed="false">
      <c r="A1818" s="0" t="str">
        <f aca="false">TEXT(-1.5,"d-mmm-yy")</f>
        <v>28-Dec-99</v>
      </c>
      <c r="B1818" s="0" t="s">
        <v>1850</v>
      </c>
    </row>
    <row r="1819" customFormat="false" ht="15" hidden="false" customHeight="false" outlineLevel="0" collapsed="false">
      <c r="A1819" s="0" t="str">
        <f aca="false">TEXT(45292.5,"mmmm")</f>
        <v>January</v>
      </c>
      <c r="B1819" s="0" t="s">
        <v>1851</v>
      </c>
    </row>
    <row r="1820" customFormat="false" ht="15" hidden="false" customHeight="false" outlineLevel="0" collapsed="false">
      <c r="A1820" s="0" t="str">
        <f aca="false">TEXT(45658.75123,"mmmm")</f>
        <v>January</v>
      </c>
      <c r="B1820" s="0" t="s">
        <v>1852</v>
      </c>
    </row>
    <row r="1821" customFormat="false" ht="15" hidden="false" customHeight="false" outlineLevel="0" collapsed="false">
      <c r="A1821" s="0" t="str">
        <f aca="false">TEXT(0.5,"mmmm")</f>
        <v>December</v>
      </c>
      <c r="B1821" s="0" t="s">
        <v>1853</v>
      </c>
    </row>
    <row r="1822" customFormat="false" ht="15" hidden="false" customHeight="false" outlineLevel="0" collapsed="false">
      <c r="A1822" s="0" t="str">
        <f aca="false">TEXT(1.999,"mmmm")</f>
        <v>December</v>
      </c>
      <c r="B1822" s="0" t="s">
        <v>1854</v>
      </c>
    </row>
    <row r="1823" customFormat="false" ht="15" hidden="false" customHeight="false" outlineLevel="0" collapsed="false">
      <c r="A1823" s="0" t="str">
        <f aca="false">TEXT(61,"mmmm")</f>
        <v>March</v>
      </c>
      <c r="B1823" s="0" t="s">
        <v>1855</v>
      </c>
    </row>
    <row r="1824" customFormat="false" ht="15" hidden="false" customHeight="false" outlineLevel="0" collapsed="false">
      <c r="A1824" s="0" t="str">
        <f aca="false">TEXT(36526.12345,"mmmm")</f>
        <v>January</v>
      </c>
      <c r="B1824" s="0" t="s">
        <v>1856</v>
      </c>
    </row>
    <row r="1825" customFormat="false" ht="15" hidden="false" customHeight="false" outlineLevel="0" collapsed="false">
      <c r="A1825" s="0" t="str">
        <f aca="false">TEXT(0.999999,"mmmm")</f>
        <v>December</v>
      </c>
      <c r="B1825" s="0" t="s">
        <v>1857</v>
      </c>
    </row>
    <row r="1826" customFormat="false" ht="15" hidden="false" customHeight="false" outlineLevel="0" collapsed="false">
      <c r="A1826" s="0" t="str">
        <f aca="false">TEXT(-1.5,"mmmm")</f>
        <v>December</v>
      </c>
      <c r="B1826" s="0" t="s">
        <v>1858</v>
      </c>
    </row>
    <row r="1827" customFormat="false" ht="15" hidden="false" customHeight="false" outlineLevel="0" collapsed="false">
      <c r="A1827" s="0" t="str">
        <f aca="false">TEXT(45292.5,"mmm")</f>
        <v>Jan</v>
      </c>
      <c r="B1827" s="0" t="s">
        <v>1859</v>
      </c>
    </row>
    <row r="1828" customFormat="false" ht="15" hidden="false" customHeight="false" outlineLevel="0" collapsed="false">
      <c r="A1828" s="0" t="str">
        <f aca="false">TEXT(45658.75123,"mmm")</f>
        <v>Jan</v>
      </c>
      <c r="B1828" s="0" t="s">
        <v>1860</v>
      </c>
    </row>
    <row r="1829" customFormat="false" ht="15" hidden="false" customHeight="false" outlineLevel="0" collapsed="false">
      <c r="A1829" s="0" t="str">
        <f aca="false">TEXT(0.5,"mmm")</f>
        <v>Dec</v>
      </c>
      <c r="B1829" s="0" t="s">
        <v>1861</v>
      </c>
    </row>
    <row r="1830" customFormat="false" ht="15" hidden="false" customHeight="false" outlineLevel="0" collapsed="false">
      <c r="A1830" s="0" t="str">
        <f aca="false">TEXT(1.999,"mmm")</f>
        <v>Dec</v>
      </c>
      <c r="B1830" s="0" t="s">
        <v>1862</v>
      </c>
    </row>
    <row r="1831" customFormat="false" ht="15" hidden="false" customHeight="false" outlineLevel="0" collapsed="false">
      <c r="A1831" s="0" t="str">
        <f aca="false">TEXT(61,"mmm")</f>
        <v>Mar</v>
      </c>
      <c r="B1831" s="0" t="s">
        <v>1863</v>
      </c>
    </row>
    <row r="1832" customFormat="false" ht="15" hidden="false" customHeight="false" outlineLevel="0" collapsed="false">
      <c r="A1832" s="0" t="str">
        <f aca="false">TEXT(36526.12345,"mmm")</f>
        <v>Jan</v>
      </c>
      <c r="B1832" s="0" t="s">
        <v>1864</v>
      </c>
    </row>
    <row r="1833" customFormat="false" ht="15" hidden="false" customHeight="false" outlineLevel="0" collapsed="false">
      <c r="A1833" s="0" t="str">
        <f aca="false">TEXT(0.999999,"mmm")</f>
        <v>Dec</v>
      </c>
      <c r="B1833" s="0" t="s">
        <v>1865</v>
      </c>
    </row>
    <row r="1834" customFormat="false" ht="15" hidden="false" customHeight="false" outlineLevel="0" collapsed="false">
      <c r="A1834" s="0" t="str">
        <f aca="false">TEXT(-1.5,"mmm")</f>
        <v>Dec</v>
      </c>
      <c r="B1834" s="0" t="s">
        <v>1866</v>
      </c>
    </row>
    <row r="1835" customFormat="false" ht="15" hidden="false" customHeight="false" outlineLevel="0" collapsed="false">
      <c r="A1835" s="0" t="str">
        <f aca="false">TEXT(45292.5,"dddd")</f>
        <v>Monday</v>
      </c>
      <c r="B1835" s="0" t="s">
        <v>1867</v>
      </c>
    </row>
    <row r="1836" customFormat="false" ht="15" hidden="false" customHeight="false" outlineLevel="0" collapsed="false">
      <c r="A1836" s="0" t="str">
        <f aca="false">TEXT(45658.75123,"dddd")</f>
        <v>Wednesday</v>
      </c>
      <c r="B1836" s="0" t="s">
        <v>1868</v>
      </c>
    </row>
    <row r="1837" customFormat="false" ht="15" hidden="false" customHeight="false" outlineLevel="0" collapsed="false">
      <c r="A1837" s="0" t="str">
        <f aca="false">TEXT(0.5,"dddd")</f>
        <v>Saturday</v>
      </c>
      <c r="B1837" s="0" t="s">
        <v>1869</v>
      </c>
    </row>
    <row r="1838" customFormat="false" ht="15" hidden="false" customHeight="false" outlineLevel="0" collapsed="false">
      <c r="A1838" s="0" t="str">
        <f aca="false">TEXT(1.999,"dddd")</f>
        <v>Sunday</v>
      </c>
      <c r="B1838" s="0" t="s">
        <v>1870</v>
      </c>
    </row>
    <row r="1839" customFormat="false" ht="15" hidden="false" customHeight="false" outlineLevel="0" collapsed="false">
      <c r="A1839" s="0" t="str">
        <f aca="false">TEXT(61,"dddd")</f>
        <v>Thursday</v>
      </c>
      <c r="B1839" s="0" t="s">
        <v>1871</v>
      </c>
    </row>
    <row r="1840" customFormat="false" ht="15" hidden="false" customHeight="false" outlineLevel="0" collapsed="false">
      <c r="A1840" s="0" t="str">
        <f aca="false">TEXT(36526.12345,"dddd")</f>
        <v>Saturday</v>
      </c>
      <c r="B1840" s="0" t="s">
        <v>1872</v>
      </c>
    </row>
    <row r="1841" customFormat="false" ht="15" hidden="false" customHeight="false" outlineLevel="0" collapsed="false">
      <c r="A1841" s="0" t="str">
        <f aca="false">TEXT(0.999999,"dddd")</f>
        <v>Saturday</v>
      </c>
      <c r="B1841" s="0" t="s">
        <v>1873</v>
      </c>
    </row>
    <row r="1842" customFormat="false" ht="15" hidden="false" customHeight="false" outlineLevel="0" collapsed="false">
      <c r="A1842" s="0" t="str">
        <f aca="false">TEXT(-1.5,"dddd")</f>
        <v>Thursday</v>
      </c>
      <c r="B1842" s="0" t="s">
        <v>1874</v>
      </c>
    </row>
    <row r="1843" customFormat="false" ht="15" hidden="false" customHeight="false" outlineLevel="0" collapsed="false">
      <c r="A1843" s="0" t="str">
        <f aca="false">TEXT(45292.5,"ddd")</f>
        <v>Mon</v>
      </c>
      <c r="B1843" s="0" t="s">
        <v>1875</v>
      </c>
    </row>
    <row r="1844" customFormat="false" ht="15" hidden="false" customHeight="false" outlineLevel="0" collapsed="false">
      <c r="A1844" s="0" t="str">
        <f aca="false">TEXT(45658.75123,"ddd")</f>
        <v>Wed</v>
      </c>
      <c r="B1844" s="0" t="s">
        <v>1876</v>
      </c>
    </row>
    <row r="1845" customFormat="false" ht="15" hidden="false" customHeight="false" outlineLevel="0" collapsed="false">
      <c r="A1845" s="0" t="str">
        <f aca="false">TEXT(0.5,"ddd")</f>
        <v>Sat</v>
      </c>
      <c r="B1845" s="0" t="s">
        <v>1877</v>
      </c>
    </row>
    <row r="1846" customFormat="false" ht="15" hidden="false" customHeight="false" outlineLevel="0" collapsed="false">
      <c r="A1846" s="0" t="str">
        <f aca="false">TEXT(1.999,"ddd")</f>
        <v>Sun</v>
      </c>
      <c r="B1846" s="0" t="s">
        <v>1878</v>
      </c>
    </row>
    <row r="1847" customFormat="false" ht="15" hidden="false" customHeight="false" outlineLevel="0" collapsed="false">
      <c r="A1847" s="0" t="str">
        <f aca="false">TEXT(61,"ddd")</f>
        <v>Thu</v>
      </c>
      <c r="B1847" s="0" t="s">
        <v>1879</v>
      </c>
    </row>
    <row r="1848" customFormat="false" ht="15" hidden="false" customHeight="false" outlineLevel="0" collapsed="false">
      <c r="A1848" s="0" t="str">
        <f aca="false">TEXT(36526.12345,"ddd")</f>
        <v>Sat</v>
      </c>
      <c r="B1848" s="0" t="s">
        <v>1880</v>
      </c>
    </row>
    <row r="1849" customFormat="false" ht="15" hidden="false" customHeight="false" outlineLevel="0" collapsed="false">
      <c r="A1849" s="0" t="str">
        <f aca="false">TEXT(0.999999,"ddd")</f>
        <v>Sat</v>
      </c>
      <c r="B1849" s="0" t="s">
        <v>1881</v>
      </c>
    </row>
    <row r="1850" customFormat="false" ht="15" hidden="false" customHeight="false" outlineLevel="0" collapsed="false">
      <c r="A1850" s="0" t="str">
        <f aca="false">TEXT(-1.5,"ddd")</f>
        <v>Thu</v>
      </c>
      <c r="B1850" s="0" t="s">
        <v>1882</v>
      </c>
    </row>
    <row r="1851" customFormat="false" ht="15" hidden="false" customHeight="false" outlineLevel="0" collapsed="false">
      <c r="A1851" s="0" t="str">
        <f aca="false">TEXT(45292.5,"h:mm")</f>
        <v>12:00</v>
      </c>
      <c r="B1851" s="0" t="s">
        <v>1883</v>
      </c>
    </row>
    <row r="1852" customFormat="false" ht="15" hidden="false" customHeight="false" outlineLevel="0" collapsed="false">
      <c r="A1852" s="0" t="str">
        <f aca="false">TEXT(45658.75123,"h:mm")</f>
        <v>18:01</v>
      </c>
      <c r="B1852" s="0" t="s">
        <v>1884</v>
      </c>
    </row>
    <row r="1853" customFormat="false" ht="15" hidden="false" customHeight="false" outlineLevel="0" collapsed="false">
      <c r="A1853" s="0" t="str">
        <f aca="false">TEXT(0.5,"h:mm")</f>
        <v>12:00</v>
      </c>
      <c r="B1853" s="0" t="s">
        <v>1885</v>
      </c>
    </row>
    <row r="1854" customFormat="false" ht="15" hidden="false" customHeight="false" outlineLevel="0" collapsed="false">
      <c r="A1854" s="0" t="str">
        <f aca="false">TEXT(1.999,"h:mm")</f>
        <v>23:58</v>
      </c>
      <c r="B1854" s="0" t="s">
        <v>1886</v>
      </c>
    </row>
    <row r="1855" customFormat="false" ht="15" hidden="false" customHeight="false" outlineLevel="0" collapsed="false">
      <c r="A1855" s="0" t="str">
        <f aca="false">TEXT(61,"h:mm")</f>
        <v>0:00</v>
      </c>
      <c r="B1855" s="0" t="s">
        <v>1887</v>
      </c>
    </row>
    <row r="1856" customFormat="false" ht="15" hidden="false" customHeight="false" outlineLevel="0" collapsed="false">
      <c r="A1856" s="0" t="str">
        <f aca="false">TEXT(36526.12345,"h:mm")</f>
        <v>2:57</v>
      </c>
      <c r="B1856" s="0" t="s">
        <v>1888</v>
      </c>
    </row>
    <row r="1857" customFormat="false" ht="15" hidden="false" customHeight="false" outlineLevel="0" collapsed="false">
      <c r="A1857" s="0" t="str">
        <f aca="false">TEXT(0.999999,"h:mm")</f>
        <v>23:59</v>
      </c>
      <c r="B1857" s="0" t="s">
        <v>1889</v>
      </c>
    </row>
    <row r="1858" customFormat="false" ht="15" hidden="false" customHeight="false" outlineLevel="0" collapsed="false">
      <c r="A1858" s="0" t="str">
        <f aca="false">TEXT(-1.5,"h:mm")</f>
        <v>12:00</v>
      </c>
      <c r="B1858" s="0" t="s">
        <v>1890</v>
      </c>
    </row>
    <row r="1859" customFormat="false" ht="15" hidden="false" customHeight="false" outlineLevel="0" collapsed="false">
      <c r="A1859" s="0" t="str">
        <f aca="false">TEXT(45292.5,"hh:mm:ss")</f>
        <v>12:00:00</v>
      </c>
      <c r="B1859" s="0" t="s">
        <v>1891</v>
      </c>
    </row>
    <row r="1860" customFormat="false" ht="15" hidden="false" customHeight="false" outlineLevel="0" collapsed="false">
      <c r="A1860" s="0" t="str">
        <f aca="false">TEXT(45658.75123,"hh:mm:ss")</f>
        <v>18:01:46</v>
      </c>
      <c r="B1860" s="0" t="s">
        <v>1892</v>
      </c>
    </row>
    <row r="1861" customFormat="false" ht="15" hidden="false" customHeight="false" outlineLevel="0" collapsed="false">
      <c r="A1861" s="0" t="str">
        <f aca="false">TEXT(0.5,"hh:mm:ss")</f>
        <v>12:00:00</v>
      </c>
      <c r="B1861" s="0" t="s">
        <v>1893</v>
      </c>
    </row>
    <row r="1862" customFormat="false" ht="15" hidden="false" customHeight="false" outlineLevel="0" collapsed="false">
      <c r="A1862" s="0" t="str">
        <f aca="false">TEXT(1.999,"hh:mm:ss")</f>
        <v>23:58:33</v>
      </c>
      <c r="B1862" s="0" t="s">
        <v>1894</v>
      </c>
    </row>
    <row r="1863" customFormat="false" ht="15" hidden="false" customHeight="false" outlineLevel="0" collapsed="false">
      <c r="A1863" s="0" t="str">
        <f aca="false">TEXT(61,"hh:mm:ss")</f>
        <v>00:00:00</v>
      </c>
      <c r="B1863" s="0" t="s">
        <v>1895</v>
      </c>
    </row>
    <row r="1864" customFormat="false" ht="15" hidden="false" customHeight="false" outlineLevel="0" collapsed="false">
      <c r="A1864" s="0" t="str">
        <f aca="false">TEXT(36526.12345,"hh:mm:ss")</f>
        <v>02:57:46</v>
      </c>
      <c r="B1864" s="0" t="s">
        <v>1896</v>
      </c>
    </row>
    <row r="1865" customFormat="false" ht="15" hidden="false" customHeight="false" outlineLevel="0" collapsed="false">
      <c r="A1865" s="0" t="str">
        <f aca="false">TEXT(0.999999,"hh:mm:ss")</f>
        <v>23:59:59</v>
      </c>
      <c r="B1865" s="0" t="s">
        <v>1897</v>
      </c>
    </row>
    <row r="1866" customFormat="false" ht="15" hidden="false" customHeight="false" outlineLevel="0" collapsed="false">
      <c r="A1866" s="0" t="str">
        <f aca="false">TEXT(-1.5,"hh:mm:ss")</f>
        <v>12:00:00</v>
      </c>
      <c r="B1866" s="0" t="s">
        <v>1898</v>
      </c>
    </row>
    <row r="1867" customFormat="false" ht="15" hidden="false" customHeight="false" outlineLevel="0" collapsed="false">
      <c r="A1867" s="0" t="str">
        <f aca="false">TEXT(45292.5,"h:mm AM/PM")</f>
        <v>12:00 PM</v>
      </c>
      <c r="B1867" s="0" t="s">
        <v>1899</v>
      </c>
    </row>
    <row r="1868" customFormat="false" ht="15" hidden="false" customHeight="false" outlineLevel="0" collapsed="false">
      <c r="A1868" s="0" t="str">
        <f aca="false">TEXT(45658.75123,"h:mm AM/PM")</f>
        <v>6:01 PM</v>
      </c>
      <c r="B1868" s="0" t="s">
        <v>1900</v>
      </c>
    </row>
    <row r="1869" customFormat="false" ht="15" hidden="false" customHeight="false" outlineLevel="0" collapsed="false">
      <c r="A1869" s="0" t="str">
        <f aca="false">TEXT(0.5,"h:mm AM/PM")</f>
        <v>12:00 PM</v>
      </c>
      <c r="B1869" s="0" t="s">
        <v>1901</v>
      </c>
    </row>
    <row r="1870" customFormat="false" ht="15" hidden="false" customHeight="false" outlineLevel="0" collapsed="false">
      <c r="A1870" s="0" t="str">
        <f aca="false">TEXT(1.999,"h:mm AM/PM")</f>
        <v>11:58 PM</v>
      </c>
      <c r="B1870" s="0" t="s">
        <v>1902</v>
      </c>
    </row>
    <row r="1871" customFormat="false" ht="15" hidden="false" customHeight="false" outlineLevel="0" collapsed="false">
      <c r="A1871" s="0" t="str">
        <f aca="false">TEXT(61,"h:mm AM/PM")</f>
        <v>12:00 AM</v>
      </c>
      <c r="B1871" s="0" t="s">
        <v>1903</v>
      </c>
    </row>
    <row r="1872" customFormat="false" ht="15" hidden="false" customHeight="false" outlineLevel="0" collapsed="false">
      <c r="A1872" s="0" t="str">
        <f aca="false">TEXT(36526.12345,"h:mm AM/PM")</f>
        <v>2:57 AM</v>
      </c>
      <c r="B1872" s="0" t="s">
        <v>1904</v>
      </c>
    </row>
    <row r="1873" customFormat="false" ht="15" hidden="false" customHeight="false" outlineLevel="0" collapsed="false">
      <c r="A1873" s="0" t="str">
        <f aca="false">TEXT(0.999999,"h:mm AM/PM")</f>
        <v>11:59 PM</v>
      </c>
      <c r="B1873" s="0" t="s">
        <v>1905</v>
      </c>
    </row>
    <row r="1874" customFormat="false" ht="15" hidden="false" customHeight="false" outlineLevel="0" collapsed="false">
      <c r="A1874" s="0" t="str">
        <f aca="false">TEXT(-1.5,"h:mm AM/PM")</f>
        <v>12:00 PM</v>
      </c>
      <c r="B1874" s="0" t="s">
        <v>1906</v>
      </c>
    </row>
    <row r="1875" customFormat="false" ht="15" hidden="false" customHeight="false" outlineLevel="0" collapsed="false">
      <c r="A1875" s="0" t="str">
        <f aca="false">TEXT(45292.5,"hh:mm:ss.000")</f>
        <v>12:00:00.000</v>
      </c>
      <c r="B1875" s="0" t="s">
        <v>1907</v>
      </c>
    </row>
    <row r="1876" customFormat="false" ht="15" hidden="false" customHeight="false" outlineLevel="0" collapsed="false">
      <c r="A1876" s="0" t="str">
        <f aca="false">TEXT(45658.75123,"hh:mm:ss.000")</f>
        <v>18:01:46.272</v>
      </c>
      <c r="B1876" s="0" t="s">
        <v>1908</v>
      </c>
    </row>
    <row r="1877" customFormat="false" ht="15" hidden="false" customHeight="false" outlineLevel="0" collapsed="false">
      <c r="A1877" s="0" t="str">
        <f aca="false">TEXT(0.5,"hh:mm:ss.000")</f>
        <v>12:00:00.000</v>
      </c>
      <c r="B1877" s="0" t="s">
        <v>1909</v>
      </c>
    </row>
    <row r="1878" customFormat="false" ht="15" hidden="false" customHeight="false" outlineLevel="0" collapsed="false">
      <c r="A1878" s="0" t="str">
        <f aca="false">TEXT(1.999,"hh:mm:ss.000")</f>
        <v>23:58:33.600</v>
      </c>
      <c r="B1878" s="0" t="s">
        <v>1910</v>
      </c>
    </row>
    <row r="1879" customFormat="false" ht="15" hidden="false" customHeight="false" outlineLevel="0" collapsed="false">
      <c r="A1879" s="0" t="str">
        <f aca="false">TEXT(61,"hh:mm:ss.000")</f>
        <v>00:00:00.000</v>
      </c>
      <c r="B1879" s="0" t="s">
        <v>1911</v>
      </c>
    </row>
    <row r="1880" customFormat="false" ht="15" hidden="false" customHeight="false" outlineLevel="0" collapsed="false">
      <c r="A1880" s="0" t="str">
        <f aca="false">TEXT(36526.12345,"hh:mm:ss.000")</f>
        <v>02:57:46.080</v>
      </c>
      <c r="B1880" s="0" t="s">
        <v>1912</v>
      </c>
    </row>
    <row r="1881" customFormat="false" ht="15" hidden="false" customHeight="false" outlineLevel="0" collapsed="false">
      <c r="A1881" s="0" t="str">
        <f aca="false">TEXT(0.999999,"hh:mm:ss.000")</f>
        <v>23:59:59.914</v>
      </c>
      <c r="B1881" s="0" t="s">
        <v>1913</v>
      </c>
    </row>
    <row r="1882" customFormat="false" ht="15" hidden="false" customHeight="false" outlineLevel="0" collapsed="false">
      <c r="A1882" s="0" t="str">
        <f aca="false">TEXT(-1.5,"hh:mm:ss.000")</f>
        <v>12:00:00.000</v>
      </c>
      <c r="B1882" s="0" t="s">
        <v>1914</v>
      </c>
    </row>
    <row r="1883" customFormat="false" ht="15" hidden="false" customHeight="false" outlineLevel="0" collapsed="false">
      <c r="A1883" s="0" t="str">
        <f aca="false">TEXT(45292.5,"hh:mm:ss.0")</f>
        <v>12:00:00.0</v>
      </c>
      <c r="B1883" s="0" t="s">
        <v>1915</v>
      </c>
    </row>
    <row r="1884" customFormat="false" ht="15" hidden="false" customHeight="false" outlineLevel="0" collapsed="false">
      <c r="A1884" s="0" t="str">
        <f aca="false">TEXT(45658.75123,"hh:mm:ss.0")</f>
        <v>18:01:46.3</v>
      </c>
      <c r="B1884" s="0" t="s">
        <v>1916</v>
      </c>
    </row>
    <row r="1885" customFormat="false" ht="15" hidden="false" customHeight="false" outlineLevel="0" collapsed="false">
      <c r="A1885" s="0" t="str">
        <f aca="false">TEXT(0.5,"hh:mm:ss.0")</f>
        <v>12:00:00.0</v>
      </c>
      <c r="B1885" s="0" t="s">
        <v>1917</v>
      </c>
    </row>
    <row r="1886" customFormat="false" ht="15" hidden="false" customHeight="false" outlineLevel="0" collapsed="false">
      <c r="A1886" s="0" t="str">
        <f aca="false">TEXT(1.999,"hh:mm:ss.0")</f>
        <v>23:58:33.6</v>
      </c>
      <c r="B1886" s="0" t="s">
        <v>1918</v>
      </c>
    </row>
    <row r="1887" customFormat="false" ht="15" hidden="false" customHeight="false" outlineLevel="0" collapsed="false">
      <c r="A1887" s="0" t="str">
        <f aca="false">TEXT(61,"hh:mm:ss.0")</f>
        <v>00:00:00.0</v>
      </c>
      <c r="B1887" s="0" t="s">
        <v>1919</v>
      </c>
    </row>
    <row r="1888" customFormat="false" ht="15" hidden="false" customHeight="false" outlineLevel="0" collapsed="false">
      <c r="A1888" s="0" t="str">
        <f aca="false">TEXT(36526.12345,"hh:mm:ss.0")</f>
        <v>02:57:46.1</v>
      </c>
      <c r="B1888" s="0" t="s">
        <v>1920</v>
      </c>
    </row>
    <row r="1889" customFormat="false" ht="15" hidden="false" customHeight="false" outlineLevel="0" collapsed="false">
      <c r="A1889" s="0" t="str">
        <f aca="false">TEXT(0.999999,"hh:mm:ss.0")</f>
        <v>23:59:59.9</v>
      </c>
      <c r="B1889" s="0" t="s">
        <v>1921</v>
      </c>
    </row>
    <row r="1890" customFormat="false" ht="15" hidden="false" customHeight="false" outlineLevel="0" collapsed="false">
      <c r="A1890" s="0" t="str">
        <f aca="false">TEXT(-1.5,"hh:mm:ss.0")</f>
        <v>12:00:00.0</v>
      </c>
      <c r="B1890" s="0" t="s">
        <v>1922</v>
      </c>
    </row>
    <row r="1891" customFormat="false" ht="15" hidden="false" customHeight="false" outlineLevel="0" collapsed="false">
      <c r="A1891" s="0" t="str">
        <f aca="false">TEXT(45292.5,"[h]:mm")</f>
        <v>1087020:00</v>
      </c>
      <c r="B1891" s="0" t="s">
        <v>1923</v>
      </c>
    </row>
    <row r="1892" customFormat="false" ht="15" hidden="false" customHeight="false" outlineLevel="0" collapsed="false">
      <c r="A1892" s="0" t="str">
        <f aca="false">TEXT(45658.75123,"[h]:mm")</f>
        <v>1095810:01</v>
      </c>
      <c r="B1892" s="0" t="s">
        <v>1924</v>
      </c>
    </row>
    <row r="1893" customFormat="false" ht="15" hidden="false" customHeight="false" outlineLevel="0" collapsed="false">
      <c r="A1893" s="0" t="str">
        <f aca="false">TEXT(0.5,"[h]:mm")</f>
        <v>12:00</v>
      </c>
      <c r="B1893" s="0" t="s">
        <v>1925</v>
      </c>
    </row>
    <row r="1894" customFormat="false" ht="15" hidden="false" customHeight="false" outlineLevel="0" collapsed="false">
      <c r="A1894" s="0" t="str">
        <f aca="false">TEXT(1.999,"[h]:mm")</f>
        <v>47:58</v>
      </c>
      <c r="B1894" s="0" t="s">
        <v>1926</v>
      </c>
    </row>
    <row r="1895" customFormat="false" ht="15" hidden="false" customHeight="false" outlineLevel="0" collapsed="false">
      <c r="A1895" s="0" t="str">
        <f aca="false">TEXT(61,"[h]:mm")</f>
        <v>1464:00</v>
      </c>
      <c r="B1895" s="0" t="s">
        <v>1927</v>
      </c>
    </row>
    <row r="1896" customFormat="false" ht="15" hidden="false" customHeight="false" outlineLevel="0" collapsed="false">
      <c r="A1896" s="0" t="str">
        <f aca="false">TEXT(36526.12345,"[h]:mm")</f>
        <v>876626:57</v>
      </c>
      <c r="B1896" s="0" t="s">
        <v>1928</v>
      </c>
    </row>
    <row r="1897" customFormat="false" ht="15" hidden="false" customHeight="false" outlineLevel="0" collapsed="false">
      <c r="A1897" s="0" t="str">
        <f aca="false">TEXT(0.999999,"[h]:mm")</f>
        <v>24:00</v>
      </c>
      <c r="B1897" s="0" t="s">
        <v>1929</v>
      </c>
    </row>
    <row r="1898" customFormat="false" ht="15" hidden="false" customHeight="false" outlineLevel="0" collapsed="false">
      <c r="A1898" s="0" t="str">
        <f aca="false">TEXT(-1.5,"[h]:mm")</f>
        <v>-36:00</v>
      </c>
      <c r="B1898" s="0" t="s">
        <v>1930</v>
      </c>
    </row>
    <row r="1899" customFormat="false" ht="15" hidden="false" customHeight="false" outlineLevel="0" collapsed="false">
      <c r="A1899" s="0" t="str">
        <f aca="false">TEXT(45292.5,"[m]")</f>
        <v>65221200</v>
      </c>
      <c r="B1899" s="0" t="s">
        <v>1931</v>
      </c>
    </row>
    <row r="1900" customFormat="false" ht="15" hidden="false" customHeight="false" outlineLevel="0" collapsed="false">
      <c r="A1900" s="0" t="str">
        <f aca="false">TEXT(45658.75123,"[m]")</f>
        <v>65748601</v>
      </c>
      <c r="B1900" s="0" t="s">
        <v>1932</v>
      </c>
    </row>
    <row r="1901" customFormat="false" ht="15" hidden="false" customHeight="false" outlineLevel="0" collapsed="false">
      <c r="A1901" s="0" t="str">
        <f aca="false">TEXT(0.5,"[m]")</f>
        <v>720</v>
      </c>
      <c r="B1901" s="0" t="s">
        <v>1933</v>
      </c>
    </row>
    <row r="1902" customFormat="false" ht="15" hidden="false" customHeight="false" outlineLevel="0" collapsed="false">
      <c r="A1902" s="0" t="str">
        <f aca="false">TEXT(1.999,"[m]")</f>
        <v>2878</v>
      </c>
      <c r="B1902" s="0" t="s">
        <v>1934</v>
      </c>
    </row>
    <row r="1903" customFormat="false" ht="15" hidden="false" customHeight="false" outlineLevel="0" collapsed="false">
      <c r="A1903" s="0" t="str">
        <f aca="false">TEXT(61,"[m]")</f>
        <v>87840</v>
      </c>
      <c r="B1903" s="0" t="s">
        <v>1935</v>
      </c>
    </row>
    <row r="1904" customFormat="false" ht="15" hidden="false" customHeight="false" outlineLevel="0" collapsed="false">
      <c r="A1904" s="0" t="str">
        <f aca="false">TEXT(36526.12345,"[m]")</f>
        <v>52597617</v>
      </c>
      <c r="B1904" s="0" t="s">
        <v>1936</v>
      </c>
    </row>
    <row r="1905" customFormat="false" ht="15" hidden="false" customHeight="false" outlineLevel="0" collapsed="false">
      <c r="A1905" s="0" t="str">
        <f aca="false">TEXT(0.999999,"[m]")</f>
        <v>1440</v>
      </c>
      <c r="B1905" s="0" t="s">
        <v>1937</v>
      </c>
    </row>
    <row r="1906" customFormat="false" ht="15" hidden="false" customHeight="false" outlineLevel="0" collapsed="false">
      <c r="A1906" s="0" t="str">
        <f aca="false">TEXT(-1.5,"[m]")</f>
        <v>-2160</v>
      </c>
      <c r="B1906" s="0" t="s">
        <v>1938</v>
      </c>
    </row>
    <row r="1907" customFormat="false" ht="15" hidden="false" customHeight="false" outlineLevel="0" collapsed="false">
      <c r="A1907" s="0" t="str">
        <f aca="false">TEXT(45292.5,"[s]")</f>
        <v>3913272000</v>
      </c>
      <c r="B1907" s="0" t="s">
        <v>1939</v>
      </c>
    </row>
    <row r="1908" customFormat="false" ht="15" hidden="false" customHeight="false" outlineLevel="0" collapsed="false">
      <c r="A1908" s="0" t="str">
        <f aca="false">TEXT(45658.75123,"[s]")</f>
        <v>3944916106</v>
      </c>
      <c r="B1908" s="0" t="s">
        <v>1940</v>
      </c>
    </row>
    <row r="1909" customFormat="false" ht="15" hidden="false" customHeight="false" outlineLevel="0" collapsed="false">
      <c r="A1909" s="0" t="str">
        <f aca="false">TEXT(0.5,"[s]")</f>
        <v>43200</v>
      </c>
      <c r="B1909" s="0" t="s">
        <v>1941</v>
      </c>
    </row>
    <row r="1910" customFormat="false" ht="15" hidden="false" customHeight="false" outlineLevel="0" collapsed="false">
      <c r="A1910" s="0" t="str">
        <f aca="false">TEXT(1.999,"[s]")</f>
        <v>172714</v>
      </c>
      <c r="B1910" s="0" t="s">
        <v>1942</v>
      </c>
    </row>
    <row r="1911" customFormat="false" ht="15" hidden="false" customHeight="false" outlineLevel="0" collapsed="false">
      <c r="A1911" s="0" t="str">
        <f aca="false">TEXT(61,"[s]")</f>
        <v>5270400</v>
      </c>
      <c r="B1911" s="0" t="s">
        <v>1943</v>
      </c>
    </row>
    <row r="1912" customFormat="false" ht="15" hidden="false" customHeight="false" outlineLevel="0" collapsed="false">
      <c r="A1912" s="0" t="str">
        <f aca="false">TEXT(36526.12345,"[s]")</f>
        <v>3155857066</v>
      </c>
      <c r="B1912" s="0" t="s">
        <v>1944</v>
      </c>
    </row>
    <row r="1913" customFormat="false" ht="15" hidden="false" customHeight="false" outlineLevel="0" collapsed="false">
      <c r="A1913" s="0" t="str">
        <f aca="false">TEXT(0.999999,"[s]")</f>
        <v>86400</v>
      </c>
      <c r="B1913" s="0" t="s">
        <v>1945</v>
      </c>
    </row>
    <row r="1914" customFormat="false" ht="15" hidden="false" customHeight="false" outlineLevel="0" collapsed="false">
      <c r="A1914" s="0" t="str">
        <f aca="false">TEXT(-1.5,"[s]")</f>
        <v>-129600</v>
      </c>
      <c r="B1914" s="0" t="s">
        <v>1946</v>
      </c>
    </row>
    <row r="1915" customFormat="false" ht="15" hidden="false" customHeight="false" outlineLevel="0" collapsed="false">
      <c r="A1915" s="0" t="str">
        <f aca="false">TEXT(45292.5,"mm:ss")</f>
        <v>00:00</v>
      </c>
      <c r="B1915" s="0" t="s">
        <v>1947</v>
      </c>
    </row>
    <row r="1916" customFormat="false" ht="15" hidden="false" customHeight="false" outlineLevel="0" collapsed="false">
      <c r="A1916" s="0" t="str">
        <f aca="false">TEXT(45658.75123,"mm:ss")</f>
        <v>01:46</v>
      </c>
      <c r="B1916" s="0" t="s">
        <v>1948</v>
      </c>
    </row>
    <row r="1917" customFormat="false" ht="15" hidden="false" customHeight="false" outlineLevel="0" collapsed="false">
      <c r="A1917" s="0" t="str">
        <f aca="false">TEXT(0.5,"mm:ss")</f>
        <v>00:00</v>
      </c>
      <c r="B1917" s="0" t="s">
        <v>1949</v>
      </c>
    </row>
    <row r="1918" customFormat="false" ht="15" hidden="false" customHeight="false" outlineLevel="0" collapsed="false">
      <c r="A1918" s="0" t="str">
        <f aca="false">TEXT(1.999,"mm:ss")</f>
        <v>58:33</v>
      </c>
      <c r="B1918" s="0" t="s">
        <v>1950</v>
      </c>
    </row>
    <row r="1919" customFormat="false" ht="15" hidden="false" customHeight="false" outlineLevel="0" collapsed="false">
      <c r="A1919" s="0" t="str">
        <f aca="false">TEXT(61,"mm:ss")</f>
        <v>00:00</v>
      </c>
      <c r="B1919" s="0" t="s">
        <v>1951</v>
      </c>
    </row>
    <row r="1920" customFormat="false" ht="15" hidden="false" customHeight="false" outlineLevel="0" collapsed="false">
      <c r="A1920" s="0" t="str">
        <f aca="false">TEXT(36526.12345,"mm:ss")</f>
        <v>57:46</v>
      </c>
      <c r="B1920" s="0" t="s">
        <v>1952</v>
      </c>
    </row>
    <row r="1921" customFormat="false" ht="15" hidden="false" customHeight="false" outlineLevel="0" collapsed="false">
      <c r="A1921" s="0" t="str">
        <f aca="false">TEXT(0.999999,"mm:ss")</f>
        <v>59:59</v>
      </c>
      <c r="B1921" s="0" t="s">
        <v>1953</v>
      </c>
    </row>
    <row r="1922" customFormat="false" ht="15" hidden="false" customHeight="false" outlineLevel="0" collapsed="false">
      <c r="A1922" s="0" t="str">
        <f aca="false">TEXT(-1.5,"mm:ss")</f>
        <v>00:00</v>
      </c>
      <c r="B1922" s="0" t="s">
        <v>1954</v>
      </c>
    </row>
    <row r="1923" customFormat="false" ht="15" hidden="false" customHeight="false" outlineLevel="0" collapsed="false">
      <c r="A1923" s="0" t="str">
        <f aca="false">TEXT(45292.5,"yy")</f>
        <v>24</v>
      </c>
      <c r="B1923" s="0" t="s">
        <v>1955</v>
      </c>
    </row>
    <row r="1924" customFormat="false" ht="15" hidden="false" customHeight="false" outlineLevel="0" collapsed="false">
      <c r="A1924" s="0" t="str">
        <f aca="false">TEXT(45658.75123,"yy")</f>
        <v>25</v>
      </c>
      <c r="B1924" s="0" t="s">
        <v>1956</v>
      </c>
    </row>
    <row r="1925" customFormat="false" ht="15" hidden="false" customHeight="false" outlineLevel="0" collapsed="false">
      <c r="A1925" s="0" t="str">
        <f aca="false">TEXT(0.5,"yy")</f>
        <v>99</v>
      </c>
      <c r="B1925" s="0" t="s">
        <v>1957</v>
      </c>
    </row>
    <row r="1926" customFormat="false" ht="15" hidden="false" customHeight="false" outlineLevel="0" collapsed="false">
      <c r="A1926" s="0" t="str">
        <f aca="false">TEXT(1.999,"yy")</f>
        <v>99</v>
      </c>
      <c r="B1926" s="0" t="s">
        <v>1958</v>
      </c>
    </row>
    <row r="1927" customFormat="false" ht="15" hidden="false" customHeight="false" outlineLevel="0" collapsed="false">
      <c r="A1927" s="0" t="str">
        <f aca="false">TEXT(61,"yy")</f>
        <v>00</v>
      </c>
      <c r="B1927" s="0" t="s">
        <v>1959</v>
      </c>
    </row>
    <row r="1928" customFormat="false" ht="15" hidden="false" customHeight="false" outlineLevel="0" collapsed="false">
      <c r="A1928" s="0" t="str">
        <f aca="false">TEXT(36526.12345,"yy")</f>
        <v>00</v>
      </c>
      <c r="B1928" s="0" t="s">
        <v>1960</v>
      </c>
    </row>
    <row r="1929" customFormat="false" ht="15" hidden="false" customHeight="false" outlineLevel="0" collapsed="false">
      <c r="A1929" s="0" t="str">
        <f aca="false">TEXT(0.999999,"yy")</f>
        <v>99</v>
      </c>
      <c r="B1929" s="0" t="s">
        <v>1961</v>
      </c>
    </row>
    <row r="1930" customFormat="false" ht="15" hidden="false" customHeight="false" outlineLevel="0" collapsed="false">
      <c r="A1930" s="0" t="str">
        <f aca="false">TEXT(-1.5,"yy")</f>
        <v>99</v>
      </c>
      <c r="B1930" s="0" t="s">
        <v>1962</v>
      </c>
    </row>
    <row r="1931" customFormat="false" ht="15" hidden="false" customHeight="false" outlineLevel="0" collapsed="false">
      <c r="A1931" s="0" t="str">
        <f aca="false">TEXT(45292.5,"yyyy")</f>
        <v>2024</v>
      </c>
      <c r="B1931" s="0" t="s">
        <v>1963</v>
      </c>
    </row>
    <row r="1932" customFormat="false" ht="15" hidden="false" customHeight="false" outlineLevel="0" collapsed="false">
      <c r="A1932" s="0" t="str">
        <f aca="false">TEXT(45658.75123,"yyyy")</f>
        <v>2025</v>
      </c>
      <c r="B1932" s="0" t="s">
        <v>1964</v>
      </c>
    </row>
    <row r="1933" customFormat="false" ht="15" hidden="false" customHeight="false" outlineLevel="0" collapsed="false">
      <c r="A1933" s="0" t="str">
        <f aca="false">TEXT(0.5,"yyyy")</f>
        <v>1899</v>
      </c>
      <c r="B1933" s="0" t="s">
        <v>1965</v>
      </c>
    </row>
    <row r="1934" customFormat="false" ht="15" hidden="false" customHeight="false" outlineLevel="0" collapsed="false">
      <c r="A1934" s="0" t="str">
        <f aca="false">TEXT(1.999,"yyyy")</f>
        <v>1899</v>
      </c>
      <c r="B1934" s="0" t="s">
        <v>1966</v>
      </c>
    </row>
    <row r="1935" customFormat="false" ht="15" hidden="false" customHeight="false" outlineLevel="0" collapsed="false">
      <c r="A1935" s="0" t="str">
        <f aca="false">TEXT(61,"yyyy")</f>
        <v>1900</v>
      </c>
      <c r="B1935" s="0" t="s">
        <v>1967</v>
      </c>
    </row>
    <row r="1936" customFormat="false" ht="15" hidden="false" customHeight="false" outlineLevel="0" collapsed="false">
      <c r="A1936" s="0" t="str">
        <f aca="false">TEXT(36526.12345,"yyyy")</f>
        <v>2000</v>
      </c>
      <c r="B1936" s="0" t="s">
        <v>1968</v>
      </c>
    </row>
    <row r="1937" customFormat="false" ht="15" hidden="false" customHeight="false" outlineLevel="0" collapsed="false">
      <c r="A1937" s="0" t="str">
        <f aca="false">TEXT(0.999999,"yyyy")</f>
        <v>1899</v>
      </c>
      <c r="B1937" s="0" t="s">
        <v>1969</v>
      </c>
    </row>
    <row r="1938" customFormat="false" ht="15" hidden="false" customHeight="false" outlineLevel="0" collapsed="false">
      <c r="A1938" s="0" t="str">
        <f aca="false">TEXT(-1.5,"yyyy")</f>
        <v>1899</v>
      </c>
      <c r="B1938" s="0" t="s">
        <v>1970</v>
      </c>
    </row>
    <row r="1939" customFormat="false" ht="15" hidden="false" customHeight="false" outlineLevel="0" collapsed="false">
      <c r="A1939" s="0" t="str">
        <f aca="false">TEXT(45292.5,"m/d/yy")</f>
        <v>1/1/24</v>
      </c>
      <c r="B1939" s="0" t="s">
        <v>1971</v>
      </c>
    </row>
    <row r="1940" customFormat="false" ht="15" hidden="false" customHeight="false" outlineLevel="0" collapsed="false">
      <c r="A1940" s="0" t="str">
        <f aca="false">TEXT(45658.75123,"m/d/yy")</f>
        <v>1/1/25</v>
      </c>
      <c r="B1940" s="0" t="s">
        <v>1972</v>
      </c>
    </row>
    <row r="1941" customFormat="false" ht="15" hidden="false" customHeight="false" outlineLevel="0" collapsed="false">
      <c r="A1941" s="0" t="str">
        <f aca="false">TEXT(0.5,"m/d/yy")</f>
        <v>12/30/99</v>
      </c>
      <c r="B1941" s="0" t="s">
        <v>1973</v>
      </c>
    </row>
    <row r="1942" customFormat="false" ht="15" hidden="false" customHeight="false" outlineLevel="0" collapsed="false">
      <c r="A1942" s="0" t="str">
        <f aca="false">TEXT(1.999,"m/d/yy")</f>
        <v>12/31/99</v>
      </c>
      <c r="B1942" s="0" t="s">
        <v>1974</v>
      </c>
    </row>
    <row r="1943" customFormat="false" ht="15" hidden="false" customHeight="false" outlineLevel="0" collapsed="false">
      <c r="A1943" s="0" t="str">
        <f aca="false">TEXT(61,"m/d/yy")</f>
        <v>3/1/00</v>
      </c>
      <c r="B1943" s="0" t="s">
        <v>1975</v>
      </c>
    </row>
    <row r="1944" customFormat="false" ht="15" hidden="false" customHeight="false" outlineLevel="0" collapsed="false">
      <c r="A1944" s="0" t="str">
        <f aca="false">TEXT(36526.12345,"m/d/yy")</f>
        <v>1/1/00</v>
      </c>
      <c r="B1944" s="0" t="s">
        <v>1976</v>
      </c>
    </row>
    <row r="1945" customFormat="false" ht="15" hidden="false" customHeight="false" outlineLevel="0" collapsed="false">
      <c r="A1945" s="0" t="str">
        <f aca="false">TEXT(0.999999,"m/d/yy")</f>
        <v>12/30/99</v>
      </c>
      <c r="B1945" s="0" t="s">
        <v>1977</v>
      </c>
    </row>
    <row r="1946" customFormat="false" ht="15" hidden="false" customHeight="false" outlineLevel="0" collapsed="false">
      <c r="A1946" s="0" t="str">
        <f aca="false">TEXT(-1.5,"m/d/yy")</f>
        <v>12/28/99</v>
      </c>
      <c r="B1946" s="0" t="s">
        <v>1978</v>
      </c>
    </row>
    <row r="1947" customFormat="false" ht="15" hidden="false" customHeight="false" outlineLevel="0" collapsed="false">
      <c r="A1947" s="0" t="str">
        <f aca="false">TEXT(45292.5,"d")</f>
        <v>1</v>
      </c>
      <c r="B1947" s="0" t="s">
        <v>1979</v>
      </c>
    </row>
    <row r="1948" customFormat="false" ht="15" hidden="false" customHeight="false" outlineLevel="0" collapsed="false">
      <c r="A1948" s="0" t="str">
        <f aca="false">TEXT(45658.75123,"d")</f>
        <v>1</v>
      </c>
      <c r="B1948" s="0" t="s">
        <v>1980</v>
      </c>
    </row>
    <row r="1949" customFormat="false" ht="15" hidden="false" customHeight="false" outlineLevel="0" collapsed="false">
      <c r="A1949" s="0" t="str">
        <f aca="false">TEXT(0.5,"d")</f>
        <v>30</v>
      </c>
      <c r="B1949" s="0" t="s">
        <v>1981</v>
      </c>
    </row>
    <row r="1950" customFormat="false" ht="15" hidden="false" customHeight="false" outlineLevel="0" collapsed="false">
      <c r="A1950" s="0" t="str">
        <f aca="false">TEXT(1.999,"d")</f>
        <v>31</v>
      </c>
      <c r="B1950" s="0" t="s">
        <v>1982</v>
      </c>
    </row>
    <row r="1951" customFormat="false" ht="15" hidden="false" customHeight="false" outlineLevel="0" collapsed="false">
      <c r="A1951" s="0" t="str">
        <f aca="false">TEXT(61,"d")</f>
        <v>1</v>
      </c>
      <c r="B1951" s="0" t="s">
        <v>1983</v>
      </c>
    </row>
    <row r="1952" customFormat="false" ht="15" hidden="false" customHeight="false" outlineLevel="0" collapsed="false">
      <c r="A1952" s="0" t="str">
        <f aca="false">TEXT(36526.12345,"d")</f>
        <v>1</v>
      </c>
      <c r="B1952" s="0" t="s">
        <v>1984</v>
      </c>
    </row>
    <row r="1953" customFormat="false" ht="15" hidden="false" customHeight="false" outlineLevel="0" collapsed="false">
      <c r="A1953" s="0" t="str">
        <f aca="false">TEXT(0.999999,"d")</f>
        <v>30</v>
      </c>
      <c r="B1953" s="0" t="s">
        <v>1985</v>
      </c>
    </row>
    <row r="1954" customFormat="false" ht="15" hidden="false" customHeight="false" outlineLevel="0" collapsed="false">
      <c r="A1954" s="0" t="str">
        <f aca="false">TEXT(-1.5,"d")</f>
        <v>28</v>
      </c>
      <c r="B1954" s="0" t="s">
        <v>1986</v>
      </c>
    </row>
    <row r="1955" customFormat="false" ht="15" hidden="false" customHeight="false" outlineLevel="0" collapsed="false">
      <c r="A1955" s="0" t="str">
        <f aca="false">TEXT(45292.5,"dd")</f>
        <v>01</v>
      </c>
      <c r="B1955" s="0" t="s">
        <v>1987</v>
      </c>
    </row>
    <row r="1956" customFormat="false" ht="15" hidden="false" customHeight="false" outlineLevel="0" collapsed="false">
      <c r="A1956" s="0" t="str">
        <f aca="false">TEXT(45658.75123,"dd")</f>
        <v>01</v>
      </c>
      <c r="B1956" s="0" t="s">
        <v>1988</v>
      </c>
    </row>
    <row r="1957" customFormat="false" ht="15" hidden="false" customHeight="false" outlineLevel="0" collapsed="false">
      <c r="A1957" s="0" t="str">
        <f aca="false">TEXT(0.5,"dd")</f>
        <v>30</v>
      </c>
      <c r="B1957" s="0" t="s">
        <v>1989</v>
      </c>
    </row>
    <row r="1958" customFormat="false" ht="15" hidden="false" customHeight="false" outlineLevel="0" collapsed="false">
      <c r="A1958" s="0" t="str">
        <f aca="false">TEXT(1.999,"dd")</f>
        <v>31</v>
      </c>
      <c r="B1958" s="0" t="s">
        <v>1990</v>
      </c>
    </row>
    <row r="1959" customFormat="false" ht="15" hidden="false" customHeight="false" outlineLevel="0" collapsed="false">
      <c r="A1959" s="0" t="str">
        <f aca="false">TEXT(61,"dd")</f>
        <v>01</v>
      </c>
      <c r="B1959" s="0" t="s">
        <v>1991</v>
      </c>
    </row>
    <row r="1960" customFormat="false" ht="15" hidden="false" customHeight="false" outlineLevel="0" collapsed="false">
      <c r="A1960" s="0" t="str">
        <f aca="false">TEXT(36526.12345,"dd")</f>
        <v>01</v>
      </c>
      <c r="B1960" s="0" t="s">
        <v>1992</v>
      </c>
    </row>
    <row r="1961" customFormat="false" ht="15" hidden="false" customHeight="false" outlineLevel="0" collapsed="false">
      <c r="A1961" s="0" t="str">
        <f aca="false">TEXT(0.999999,"dd")</f>
        <v>30</v>
      </c>
      <c r="B1961" s="0" t="s">
        <v>1993</v>
      </c>
    </row>
    <row r="1962" customFormat="false" ht="15" hidden="false" customHeight="false" outlineLevel="0" collapsed="false">
      <c r="A1962" s="0" t="str">
        <f aca="false">TEXT(-1.5,"dd")</f>
        <v>28</v>
      </c>
      <c r="B1962" s="0" t="s">
        <v>1994</v>
      </c>
    </row>
    <row r="1963" customFormat="false" ht="15" hidden="false" customHeight="false" outlineLevel="0" collapsed="false">
      <c r="A1963" s="0" t="str">
        <f aca="false">TEXT(45292.5,"mmmmm")</f>
        <v>J</v>
      </c>
      <c r="B1963" s="0" t="s">
        <v>1995</v>
      </c>
    </row>
    <row r="1964" customFormat="false" ht="15" hidden="false" customHeight="false" outlineLevel="0" collapsed="false">
      <c r="A1964" s="0" t="str">
        <f aca="false">TEXT(45658.75123,"mmmmm")</f>
        <v>J</v>
      </c>
      <c r="B1964" s="0" t="s">
        <v>1996</v>
      </c>
    </row>
    <row r="1965" customFormat="false" ht="15" hidden="false" customHeight="false" outlineLevel="0" collapsed="false">
      <c r="A1965" s="0" t="str">
        <f aca="false">TEXT(0.5,"mmmmm")</f>
        <v>D</v>
      </c>
      <c r="B1965" s="0" t="s">
        <v>1997</v>
      </c>
    </row>
    <row r="1966" customFormat="false" ht="15" hidden="false" customHeight="false" outlineLevel="0" collapsed="false">
      <c r="A1966" s="0" t="str">
        <f aca="false">TEXT(1.999,"mmmmm")</f>
        <v>D</v>
      </c>
      <c r="B1966" s="0" t="s">
        <v>1998</v>
      </c>
    </row>
    <row r="1967" customFormat="false" ht="15" hidden="false" customHeight="false" outlineLevel="0" collapsed="false">
      <c r="A1967" s="0" t="str">
        <f aca="false">TEXT(61,"mmmmm")</f>
        <v>M</v>
      </c>
      <c r="B1967" s="0" t="s">
        <v>1999</v>
      </c>
    </row>
    <row r="1968" customFormat="false" ht="15" hidden="false" customHeight="false" outlineLevel="0" collapsed="false">
      <c r="A1968" s="0" t="str">
        <f aca="false">TEXT(36526.12345,"mmmmm")</f>
        <v>J</v>
      </c>
      <c r="B1968" s="0" t="s">
        <v>2000</v>
      </c>
    </row>
    <row r="1969" customFormat="false" ht="15" hidden="false" customHeight="false" outlineLevel="0" collapsed="false">
      <c r="A1969" s="0" t="str">
        <f aca="false">TEXT(0.999999,"mmmmm")</f>
        <v>D</v>
      </c>
      <c r="B1969" s="0" t="s">
        <v>2001</v>
      </c>
    </row>
    <row r="1970" customFormat="false" ht="15" hidden="false" customHeight="false" outlineLevel="0" collapsed="false">
      <c r="A1970" s="0" t="str">
        <f aca="false">TEXT(-1.5,"mmmmm")</f>
        <v>D</v>
      </c>
      <c r="B1970" s="0" t="s">
        <v>2002</v>
      </c>
    </row>
    <row r="1971" customFormat="false" ht="15" hidden="false" customHeight="false" outlineLevel="0" collapsed="false">
      <c r="A1971" s="0" t="str">
        <f aca="false">TEXT(45292.5,"yyyy-mm-dd hh:mm")</f>
        <v>2024-01-01 12:00</v>
      </c>
      <c r="B1971" s="0" t="s">
        <v>2003</v>
      </c>
    </row>
    <row r="1972" customFormat="false" ht="15" hidden="false" customHeight="false" outlineLevel="0" collapsed="false">
      <c r="A1972" s="0" t="str">
        <f aca="false">TEXT(45658.75123,"yyyy-mm-dd hh:mm")</f>
        <v>2025-01-01 18:01</v>
      </c>
      <c r="B1972" s="0" t="s">
        <v>2004</v>
      </c>
    </row>
    <row r="1973" customFormat="false" ht="15" hidden="false" customHeight="false" outlineLevel="0" collapsed="false">
      <c r="A1973" s="0" t="str">
        <f aca="false">TEXT(0.5,"yyyy-mm-dd hh:mm")</f>
        <v>1899-12-30 12:00</v>
      </c>
      <c r="B1973" s="0" t="s">
        <v>2005</v>
      </c>
    </row>
    <row r="1974" customFormat="false" ht="15" hidden="false" customHeight="false" outlineLevel="0" collapsed="false">
      <c r="A1974" s="0" t="str">
        <f aca="false">TEXT(1.999,"yyyy-mm-dd hh:mm")</f>
        <v>1899-12-31 23:58</v>
      </c>
      <c r="B1974" s="0" t="s">
        <v>2006</v>
      </c>
    </row>
    <row r="1975" customFormat="false" ht="15" hidden="false" customHeight="false" outlineLevel="0" collapsed="false">
      <c r="A1975" s="0" t="str">
        <f aca="false">TEXT(61,"yyyy-mm-dd hh:mm")</f>
        <v>1900-03-01 00:00</v>
      </c>
      <c r="B1975" s="0" t="s">
        <v>2007</v>
      </c>
    </row>
    <row r="1976" customFormat="false" ht="15" hidden="false" customHeight="false" outlineLevel="0" collapsed="false">
      <c r="A1976" s="0" t="str">
        <f aca="false">TEXT(36526.12345,"yyyy-mm-dd hh:mm")</f>
        <v>2000-01-01 02:57</v>
      </c>
      <c r="B1976" s="0" t="s">
        <v>2008</v>
      </c>
    </row>
    <row r="1977" customFormat="false" ht="15" hidden="false" customHeight="false" outlineLevel="0" collapsed="false">
      <c r="A1977" s="0" t="str">
        <f aca="false">TEXT(0.999999,"yyyy-mm-dd hh:mm")</f>
        <v>1899-12-30 23:59</v>
      </c>
      <c r="B1977" s="0" t="s">
        <v>2009</v>
      </c>
    </row>
    <row r="1978" customFormat="false" ht="15" hidden="false" customHeight="false" outlineLevel="0" collapsed="false">
      <c r="A1978" s="0" t="str">
        <f aca="false">TEXT(-1.5,"yyyy-mm-dd hh:mm")</f>
        <v>1899-12-28 12:00</v>
      </c>
      <c r="B1978" s="0" t="s">
        <v>2010</v>
      </c>
    </row>
    <row r="1979" customFormat="false" ht="15" hidden="false" customHeight="false" outlineLevel="0" collapsed="false">
      <c r="A1979" s="0" t="str">
        <f aca="false">TEXT(45292.5,"AM/PM")</f>
        <v>PM</v>
      </c>
      <c r="B1979" s="0" t="s">
        <v>2011</v>
      </c>
    </row>
    <row r="1980" customFormat="false" ht="15" hidden="false" customHeight="false" outlineLevel="0" collapsed="false">
      <c r="A1980" s="0" t="str">
        <f aca="false">TEXT(45658.75123,"AM/PM")</f>
        <v>PM</v>
      </c>
      <c r="B1980" s="0" t="s">
        <v>2012</v>
      </c>
    </row>
    <row r="1981" customFormat="false" ht="15" hidden="false" customHeight="false" outlineLevel="0" collapsed="false">
      <c r="A1981" s="0" t="str">
        <f aca="false">TEXT(0.5,"AM/PM")</f>
        <v>PM</v>
      </c>
      <c r="B1981" s="0" t="s">
        <v>2013</v>
      </c>
    </row>
    <row r="1982" customFormat="false" ht="15" hidden="false" customHeight="false" outlineLevel="0" collapsed="false">
      <c r="A1982" s="0" t="str">
        <f aca="false">TEXT(1.999,"AM/PM")</f>
        <v>PM</v>
      </c>
      <c r="B1982" s="0" t="s">
        <v>2014</v>
      </c>
    </row>
    <row r="1983" customFormat="false" ht="15" hidden="false" customHeight="false" outlineLevel="0" collapsed="false">
      <c r="A1983" s="0" t="str">
        <f aca="false">TEXT(61,"AM/PM")</f>
        <v>AM</v>
      </c>
      <c r="B1983" s="0" t="s">
        <v>2015</v>
      </c>
    </row>
    <row r="1984" customFormat="false" ht="15" hidden="false" customHeight="false" outlineLevel="0" collapsed="false">
      <c r="A1984" s="0" t="str">
        <f aca="false">TEXT(36526.12345,"AM/PM")</f>
        <v>AM</v>
      </c>
      <c r="B1984" s="0" t="s">
        <v>2016</v>
      </c>
    </row>
    <row r="1985" customFormat="false" ht="15" hidden="false" customHeight="false" outlineLevel="0" collapsed="false">
      <c r="A1985" s="0" t="str">
        <f aca="false">TEXT(0.999999,"AM/PM")</f>
        <v>PM</v>
      </c>
      <c r="B1985" s="0" t="s">
        <v>2017</v>
      </c>
    </row>
    <row r="1986" customFormat="false" ht="15" hidden="false" customHeight="false" outlineLevel="0" collapsed="false">
      <c r="A1986" s="0" t="str">
        <f aca="false">TEXT(-1.5,"AM/PM")</f>
        <v>PM</v>
      </c>
      <c r="B1986" s="0" t="s">
        <v>2018</v>
      </c>
    </row>
    <row r="1987" customFormat="false" ht="15" hidden="false" customHeight="false" outlineLevel="0" collapsed="false">
      <c r="A1987" s="0" t="str">
        <f aca="false">TEXT(45292.5,"h A/P")</f>
        <v>12 p</v>
      </c>
      <c r="B1987" s="0" t="s">
        <v>2019</v>
      </c>
    </row>
    <row r="1988" customFormat="false" ht="15" hidden="false" customHeight="false" outlineLevel="0" collapsed="false">
      <c r="A1988" s="0" t="str">
        <f aca="false">TEXT(45658.75123,"h A/P")</f>
        <v>6 p</v>
      </c>
      <c r="B1988" s="0" t="s">
        <v>2020</v>
      </c>
    </row>
    <row r="1989" customFormat="false" ht="15" hidden="false" customHeight="false" outlineLevel="0" collapsed="false">
      <c r="A1989" s="0" t="str">
        <f aca="false">TEXT(0.5,"h A/P")</f>
        <v>12 p</v>
      </c>
      <c r="B1989" s="0" t="s">
        <v>2021</v>
      </c>
    </row>
    <row r="1990" customFormat="false" ht="15" hidden="false" customHeight="false" outlineLevel="0" collapsed="false">
      <c r="A1990" s="0" t="str">
        <f aca="false">TEXT(1.999,"h A/P")</f>
        <v>11 p</v>
      </c>
      <c r="B1990" s="0" t="s">
        <v>2022</v>
      </c>
    </row>
    <row r="1991" customFormat="false" ht="15" hidden="false" customHeight="false" outlineLevel="0" collapsed="false">
      <c r="A1991" s="0" t="str">
        <f aca="false">TEXT(61,"h A/P")</f>
        <v>12 a</v>
      </c>
      <c r="B1991" s="0" t="s">
        <v>2023</v>
      </c>
    </row>
    <row r="1992" customFormat="false" ht="15" hidden="false" customHeight="false" outlineLevel="0" collapsed="false">
      <c r="A1992" s="0" t="str">
        <f aca="false">TEXT(36526.12345,"h A/P")</f>
        <v>2 a</v>
      </c>
      <c r="B1992" s="0" t="s">
        <v>2024</v>
      </c>
    </row>
    <row r="1993" customFormat="false" ht="15" hidden="false" customHeight="false" outlineLevel="0" collapsed="false">
      <c r="A1993" s="0" t="str">
        <f aca="false">TEXT(0.999999,"h A/P")</f>
        <v>11 p</v>
      </c>
      <c r="B1993" s="0" t="s">
        <v>2025</v>
      </c>
    </row>
    <row r="1994" customFormat="false" ht="15" hidden="false" customHeight="false" outlineLevel="0" collapsed="false">
      <c r="A1994" s="0" t="str">
        <f aca="false">TEXT(-1.5,"h A/P")</f>
        <v>12 p</v>
      </c>
      <c r="B1994" s="0" t="s">
        <v>2026</v>
      </c>
    </row>
    <row r="1995" customFormat="false" ht="15" hidden="false" customHeight="false" outlineLevel="0" collapsed="false">
      <c r="A1995" s="0" t="str">
        <f aca="false">TEXT(45292.5,"mm")</f>
        <v>01</v>
      </c>
      <c r="B1995" s="0" t="s">
        <v>2027</v>
      </c>
    </row>
    <row r="1996" customFormat="false" ht="15" hidden="false" customHeight="false" outlineLevel="0" collapsed="false">
      <c r="A1996" s="0" t="str">
        <f aca="false">TEXT(45658.75123,"mm")</f>
        <v>01</v>
      </c>
      <c r="B1996" s="0" t="s">
        <v>2028</v>
      </c>
    </row>
    <row r="1997" customFormat="false" ht="15" hidden="false" customHeight="false" outlineLevel="0" collapsed="false">
      <c r="A1997" s="0" t="str">
        <f aca="false">TEXT(0.5,"mm")</f>
        <v>12</v>
      </c>
      <c r="B1997" s="0" t="s">
        <v>2029</v>
      </c>
    </row>
    <row r="1998" customFormat="false" ht="15" hidden="false" customHeight="false" outlineLevel="0" collapsed="false">
      <c r="A1998" s="0" t="str">
        <f aca="false">TEXT(1.999,"mm")</f>
        <v>12</v>
      </c>
      <c r="B1998" s="0" t="s">
        <v>2030</v>
      </c>
    </row>
    <row r="1999" customFormat="false" ht="15" hidden="false" customHeight="false" outlineLevel="0" collapsed="false">
      <c r="A1999" s="0" t="str">
        <f aca="false">TEXT(61,"mm")</f>
        <v>03</v>
      </c>
      <c r="B1999" s="0" t="s">
        <v>2031</v>
      </c>
    </row>
    <row r="2000" customFormat="false" ht="15" hidden="false" customHeight="false" outlineLevel="0" collapsed="false">
      <c r="A2000" s="0" t="str">
        <f aca="false">TEXT(36526.12345,"mm")</f>
        <v>01</v>
      </c>
      <c r="B2000" s="0" t="s">
        <v>2032</v>
      </c>
    </row>
    <row r="2001" customFormat="false" ht="15" hidden="false" customHeight="false" outlineLevel="0" collapsed="false">
      <c r="A2001" s="0" t="str">
        <f aca="false">TEXT(0.999999,"mm")</f>
        <v>12</v>
      </c>
      <c r="B2001" s="0" t="s">
        <v>2033</v>
      </c>
    </row>
    <row r="2002" customFormat="false" ht="15" hidden="false" customHeight="false" outlineLevel="0" collapsed="false">
      <c r="A2002" s="0" t="str">
        <f aca="false">TEXT(-1.5,"mm")</f>
        <v>12</v>
      </c>
      <c r="B2002" s="0" t="s">
        <v>2034</v>
      </c>
    </row>
    <row r="2003" customFormat="false" ht="15" hidden="false" customHeight="false" outlineLevel="0" collapsed="false">
      <c r="A2003" s="0" t="str">
        <f aca="false">TEXT(45292.5,"m")</f>
        <v>1</v>
      </c>
      <c r="B2003" s="0" t="s">
        <v>2035</v>
      </c>
    </row>
    <row r="2004" customFormat="false" ht="15" hidden="false" customHeight="false" outlineLevel="0" collapsed="false">
      <c r="A2004" s="0" t="str">
        <f aca="false">TEXT(45658.75123,"m")</f>
        <v>1</v>
      </c>
      <c r="B2004" s="0" t="s">
        <v>2036</v>
      </c>
    </row>
    <row r="2005" customFormat="false" ht="15" hidden="false" customHeight="false" outlineLevel="0" collapsed="false">
      <c r="A2005" s="0" t="str">
        <f aca="false">TEXT(0.5,"m")</f>
        <v>12</v>
      </c>
      <c r="B2005" s="0" t="s">
        <v>2037</v>
      </c>
    </row>
    <row r="2006" customFormat="false" ht="15" hidden="false" customHeight="false" outlineLevel="0" collapsed="false">
      <c r="A2006" s="0" t="str">
        <f aca="false">TEXT(1.999,"m")</f>
        <v>12</v>
      </c>
      <c r="B2006" s="0" t="s">
        <v>2038</v>
      </c>
    </row>
    <row r="2007" customFormat="false" ht="15" hidden="false" customHeight="false" outlineLevel="0" collapsed="false">
      <c r="A2007" s="0" t="str">
        <f aca="false">TEXT(61,"m")</f>
        <v>3</v>
      </c>
      <c r="B2007" s="0" t="s">
        <v>2039</v>
      </c>
    </row>
    <row r="2008" customFormat="false" ht="15" hidden="false" customHeight="false" outlineLevel="0" collapsed="false">
      <c r="A2008" s="0" t="str">
        <f aca="false">TEXT(36526.12345,"m")</f>
        <v>1</v>
      </c>
      <c r="B2008" s="0" t="s">
        <v>2040</v>
      </c>
    </row>
    <row r="2009" customFormat="false" ht="15" hidden="false" customHeight="false" outlineLevel="0" collapsed="false">
      <c r="A2009" s="0" t="str">
        <f aca="false">TEXT(0.999999,"m")</f>
        <v>12</v>
      </c>
      <c r="B2009" s="0" t="s">
        <v>2041</v>
      </c>
    </row>
    <row r="2010" customFormat="false" ht="15" hidden="false" customHeight="false" outlineLevel="0" collapsed="false">
      <c r="A2010" s="0" t="str">
        <f aca="false">TEXT(-1.5,"m")</f>
        <v>12</v>
      </c>
      <c r="B2010" s="0" t="s">
        <v>2042</v>
      </c>
    </row>
    <row r="2011" customFormat="false" ht="15" hidden="false" customHeight="false" outlineLevel="0" collapsed="false">
      <c r="A2011" s="0" t="str">
        <f aca="false">TEXT(45292.5,"mm-dd")</f>
        <v>01-01</v>
      </c>
      <c r="B2011" s="0" t="s">
        <v>2043</v>
      </c>
    </row>
    <row r="2012" customFormat="false" ht="15" hidden="false" customHeight="false" outlineLevel="0" collapsed="false">
      <c r="A2012" s="0" t="str">
        <f aca="false">TEXT(45658.75123,"mm-dd")</f>
        <v>01-01</v>
      </c>
      <c r="B2012" s="0" t="s">
        <v>2044</v>
      </c>
    </row>
    <row r="2013" customFormat="false" ht="15" hidden="false" customHeight="false" outlineLevel="0" collapsed="false">
      <c r="A2013" s="0" t="str">
        <f aca="false">TEXT(0.5,"mm-dd")</f>
        <v>12-30</v>
      </c>
      <c r="B2013" s="0" t="s">
        <v>2045</v>
      </c>
    </row>
    <row r="2014" customFormat="false" ht="15" hidden="false" customHeight="false" outlineLevel="0" collapsed="false">
      <c r="A2014" s="0" t="str">
        <f aca="false">TEXT(1.999,"mm-dd")</f>
        <v>12-31</v>
      </c>
      <c r="B2014" s="0" t="s">
        <v>2046</v>
      </c>
    </row>
    <row r="2015" customFormat="false" ht="15" hidden="false" customHeight="false" outlineLevel="0" collapsed="false">
      <c r="A2015" s="0" t="str">
        <f aca="false">TEXT(61,"mm-dd")</f>
        <v>03-01</v>
      </c>
      <c r="B2015" s="0" t="s">
        <v>2047</v>
      </c>
    </row>
    <row r="2016" customFormat="false" ht="15" hidden="false" customHeight="false" outlineLevel="0" collapsed="false">
      <c r="A2016" s="0" t="str">
        <f aca="false">TEXT(36526.12345,"mm-dd")</f>
        <v>01-01</v>
      </c>
      <c r="B2016" s="0" t="s">
        <v>2048</v>
      </c>
    </row>
    <row r="2017" customFormat="false" ht="15" hidden="false" customHeight="false" outlineLevel="0" collapsed="false">
      <c r="A2017" s="0" t="str">
        <f aca="false">TEXT(0.999999,"mm-dd")</f>
        <v>12-30</v>
      </c>
      <c r="B2017" s="0" t="s">
        <v>2049</v>
      </c>
    </row>
    <row r="2018" customFormat="false" ht="15" hidden="false" customHeight="false" outlineLevel="0" collapsed="false">
      <c r="A2018" s="0" t="str">
        <f aca="false">TEXT(-1.5,"mm-dd")</f>
        <v>12-28</v>
      </c>
      <c r="B2018" s="0" t="s">
        <v>2050</v>
      </c>
    </row>
    <row r="2019" customFormat="false" ht="15" hidden="false" customHeight="false" outlineLevel="0" collapsed="false">
      <c r="A2019" s="0" t="str">
        <f aca="false">TEXT(45292.5,"dd/mm/yyyy hh:mm:ss")</f>
        <v>01/01/2024 12:00:00</v>
      </c>
      <c r="B2019" s="0" t="s">
        <v>2051</v>
      </c>
    </row>
    <row r="2020" customFormat="false" ht="15" hidden="false" customHeight="false" outlineLevel="0" collapsed="false">
      <c r="A2020" s="0" t="str">
        <f aca="false">TEXT(45658.75123,"dd/mm/yyyy hh:mm:ss")</f>
        <v>01/01/2025 18:01:46</v>
      </c>
      <c r="B2020" s="0" t="s">
        <v>2052</v>
      </c>
    </row>
    <row r="2021" customFormat="false" ht="15" hidden="false" customHeight="false" outlineLevel="0" collapsed="false">
      <c r="A2021" s="0" t="str">
        <f aca="false">TEXT(0.5,"dd/mm/yyyy hh:mm:ss")</f>
        <v>30/12/1899 12:00:00</v>
      </c>
      <c r="B2021" s="0" t="s">
        <v>2053</v>
      </c>
    </row>
    <row r="2022" customFormat="false" ht="15" hidden="false" customHeight="false" outlineLevel="0" collapsed="false">
      <c r="A2022" s="0" t="str">
        <f aca="false">TEXT(1.999,"dd/mm/yyyy hh:mm:ss")</f>
        <v>31/12/1899 23:58:33</v>
      </c>
      <c r="B2022" s="0" t="s">
        <v>2054</v>
      </c>
    </row>
    <row r="2023" customFormat="false" ht="15" hidden="false" customHeight="false" outlineLevel="0" collapsed="false">
      <c r="A2023" s="0" t="str">
        <f aca="false">TEXT(61,"dd/mm/yyyy hh:mm:ss")</f>
        <v>01/03/1900 00:00:00</v>
      </c>
      <c r="B2023" s="0" t="s">
        <v>2055</v>
      </c>
    </row>
    <row r="2024" customFormat="false" ht="15" hidden="false" customHeight="false" outlineLevel="0" collapsed="false">
      <c r="A2024" s="0" t="str">
        <f aca="false">TEXT(36526.12345,"dd/mm/yyyy hh:mm:ss")</f>
        <v>01/01/2000 02:57:46</v>
      </c>
      <c r="B2024" s="0" t="s">
        <v>2056</v>
      </c>
    </row>
    <row r="2025" customFormat="false" ht="15" hidden="false" customHeight="false" outlineLevel="0" collapsed="false">
      <c r="A2025" s="0" t="str">
        <f aca="false">TEXT(0.999999,"dd/mm/yyyy hh:mm:ss")</f>
        <v>30/12/1899 23:59:59</v>
      </c>
      <c r="B2025" s="0" t="s">
        <v>2057</v>
      </c>
    </row>
    <row r="2026" customFormat="false" ht="15" hidden="false" customHeight="false" outlineLevel="0" collapsed="false">
      <c r="A2026" s="0" t="str">
        <f aca="false">TEXT(-1.5,"dd/mm/yyyy hh:mm:ss")</f>
        <v>28/12/1899 12:00:00</v>
      </c>
      <c r="B2026" s="0" t="s">
        <v>2058</v>
      </c>
    </row>
    <row r="2027" customFormat="false" ht="15" hidden="false" customHeight="false" outlineLevel="0" collapsed="false">
      <c r="A2027" s="0" t="str">
        <f aca="false">TEXT(45292.5,"[hh]:mm:ss")</f>
        <v>1087020:00:00</v>
      </c>
      <c r="B2027" s="0" t="s">
        <v>2059</v>
      </c>
    </row>
    <row r="2028" customFormat="false" ht="15" hidden="false" customHeight="false" outlineLevel="0" collapsed="false">
      <c r="A2028" s="0" t="str">
        <f aca="false">TEXT(45658.75123,"[hh]:mm:ss")</f>
        <v>1095810:01:46</v>
      </c>
      <c r="B2028" s="0" t="s">
        <v>2060</v>
      </c>
    </row>
    <row r="2029" customFormat="false" ht="15" hidden="false" customHeight="false" outlineLevel="0" collapsed="false">
      <c r="A2029" s="0" t="str">
        <f aca="false">TEXT(0.5,"[hh]:mm:ss")</f>
        <v>12:00:00</v>
      </c>
      <c r="B2029" s="0" t="s">
        <v>2061</v>
      </c>
    </row>
    <row r="2030" customFormat="false" ht="15" hidden="false" customHeight="false" outlineLevel="0" collapsed="false">
      <c r="A2030" s="0" t="str">
        <f aca="false">TEXT(1.999,"[hh]:mm:ss")</f>
        <v>47:58:34</v>
      </c>
      <c r="B2030" s="0" t="s">
        <v>2062</v>
      </c>
    </row>
    <row r="2031" customFormat="false" ht="15" hidden="false" customHeight="false" outlineLevel="0" collapsed="false">
      <c r="A2031" s="0" t="str">
        <f aca="false">TEXT(61,"[hh]:mm:ss")</f>
        <v>1464:00:00</v>
      </c>
      <c r="B2031" s="0" t="s">
        <v>2063</v>
      </c>
    </row>
    <row r="2032" customFormat="false" ht="15" hidden="false" customHeight="false" outlineLevel="0" collapsed="false">
      <c r="A2032" s="0" t="str">
        <f aca="false">TEXT(36526.12345,"[hh]:mm:ss")</f>
        <v>876626:57:46</v>
      </c>
      <c r="B2032" s="0" t="s">
        <v>2064</v>
      </c>
    </row>
    <row r="2033" customFormat="false" ht="15" hidden="false" customHeight="false" outlineLevel="0" collapsed="false">
      <c r="A2033" s="0" t="str">
        <f aca="false">TEXT(0.999999,"[hh]:mm:ss")</f>
        <v>24:00:00</v>
      </c>
      <c r="B2033" s="0" t="s">
        <v>2065</v>
      </c>
    </row>
    <row r="2034" customFormat="false" ht="15" hidden="false" customHeight="false" outlineLevel="0" collapsed="false">
      <c r="A2034" s="0" t="str">
        <f aca="false">TEXT(-1.5,"[hh]:mm:ss")</f>
        <v>-36:00:00</v>
      </c>
      <c r="B2034" s="0" t="s">
        <v>2066</v>
      </c>
    </row>
    <row r="2035" customFormat="false" ht="15" hidden="false" customHeight="false" outlineLevel="0" collapsed="false">
      <c r="A2035" s="0" t="str">
        <f aca="false">TEXT(45292.5,"yyyy""/""mm")</f>
        <v>2024/01</v>
      </c>
      <c r="B2035" s="0" t="s">
        <v>2067</v>
      </c>
    </row>
    <row r="2036" customFormat="false" ht="15" hidden="false" customHeight="false" outlineLevel="0" collapsed="false">
      <c r="A2036" s="0" t="str">
        <f aca="false">TEXT(45658.75123,"yyyy""/""mm")</f>
        <v>2025/01</v>
      </c>
      <c r="B2036" s="0" t="s">
        <v>2068</v>
      </c>
    </row>
    <row r="2037" customFormat="false" ht="15" hidden="false" customHeight="false" outlineLevel="0" collapsed="false">
      <c r="A2037" s="0" t="str">
        <f aca="false">TEXT(0.5,"yyyy""/""mm")</f>
        <v>1899/12</v>
      </c>
      <c r="B2037" s="0" t="s">
        <v>2069</v>
      </c>
    </row>
    <row r="2038" customFormat="false" ht="15" hidden="false" customHeight="false" outlineLevel="0" collapsed="false">
      <c r="A2038" s="0" t="str">
        <f aca="false">TEXT(1.999,"yyyy""/""mm")</f>
        <v>1899/12</v>
      </c>
      <c r="B2038" s="0" t="s">
        <v>2070</v>
      </c>
    </row>
    <row r="2039" customFormat="false" ht="15" hidden="false" customHeight="false" outlineLevel="0" collapsed="false">
      <c r="A2039" s="0" t="str">
        <f aca="false">TEXT(61,"yyyy""/""mm")</f>
        <v>1900/03</v>
      </c>
      <c r="B2039" s="0" t="s">
        <v>2071</v>
      </c>
    </row>
    <row r="2040" customFormat="false" ht="15" hidden="false" customHeight="false" outlineLevel="0" collapsed="false">
      <c r="A2040" s="0" t="str">
        <f aca="false">TEXT(36526.12345,"yyyy""/""mm")</f>
        <v>2000/01</v>
      </c>
      <c r="B2040" s="0" t="s">
        <v>2072</v>
      </c>
    </row>
    <row r="2041" customFormat="false" ht="15" hidden="false" customHeight="false" outlineLevel="0" collapsed="false">
      <c r="A2041" s="0" t="str">
        <f aca="false">TEXT(0.999999,"yyyy""/""mm")</f>
        <v>1899/12</v>
      </c>
      <c r="B2041" s="0" t="s">
        <v>2073</v>
      </c>
    </row>
    <row r="2042" customFormat="false" ht="15" hidden="false" customHeight="false" outlineLevel="0" collapsed="false">
      <c r="A2042" s="0" t="str">
        <f aca="false">TEXT(-1.5,"yyyy""/""mm")</f>
        <v>1899/12</v>
      </c>
      <c r="B2042" s="0" t="s">
        <v>2074</v>
      </c>
    </row>
    <row r="2043" customFormat="false" ht="15" hidden="false" customHeight="false" outlineLevel="0" collapsed="false">
      <c r="A2043" s="0" t="str">
        <f aca="false">TEXT(45292.5,"ddd, d mmm yyyy")</f>
        <v>Mon, 1 Jan 2024</v>
      </c>
      <c r="B2043" s="0" t="s">
        <v>2075</v>
      </c>
    </row>
    <row r="2044" customFormat="false" ht="15" hidden="false" customHeight="false" outlineLevel="0" collapsed="false">
      <c r="A2044" s="0" t="str">
        <f aca="false">TEXT(45658.75123,"ddd, d mmm yyyy")</f>
        <v>Wed, 1 Jan 2025</v>
      </c>
      <c r="B2044" s="0" t="s">
        <v>2076</v>
      </c>
    </row>
    <row r="2045" customFormat="false" ht="15" hidden="false" customHeight="false" outlineLevel="0" collapsed="false">
      <c r="A2045" s="0" t="str">
        <f aca="false">TEXT(0.5,"ddd, d mmm yyyy")</f>
        <v>Sat, 30 Dec 1899</v>
      </c>
      <c r="B2045" s="0" t="s">
        <v>2077</v>
      </c>
    </row>
    <row r="2046" customFormat="false" ht="15" hidden="false" customHeight="false" outlineLevel="0" collapsed="false">
      <c r="A2046" s="0" t="str">
        <f aca="false">TEXT(1.999,"ddd, d mmm yyyy")</f>
        <v>Sun, 31 Dec 1899</v>
      </c>
      <c r="B2046" s="0" t="s">
        <v>2078</v>
      </c>
    </row>
    <row r="2047" customFormat="false" ht="15" hidden="false" customHeight="false" outlineLevel="0" collapsed="false">
      <c r="A2047" s="0" t="str">
        <f aca="false">TEXT(61,"ddd, d mmm yyyy")</f>
        <v>Thu, 1 Mar 1900</v>
      </c>
      <c r="B2047" s="0" t="s">
        <v>2079</v>
      </c>
    </row>
    <row r="2048" customFormat="false" ht="15" hidden="false" customHeight="false" outlineLevel="0" collapsed="false">
      <c r="A2048" s="0" t="str">
        <f aca="false">TEXT(36526.12345,"ddd, d mmm yyyy")</f>
        <v>Sat, 1 Jan 2000</v>
      </c>
      <c r="B2048" s="0" t="s">
        <v>2080</v>
      </c>
    </row>
    <row r="2049" customFormat="false" ht="15" hidden="false" customHeight="false" outlineLevel="0" collapsed="false">
      <c r="A2049" s="0" t="str">
        <f aca="false">TEXT(0.999999,"ddd, d mmm yyyy")</f>
        <v>Sat, 30 Dec 1899</v>
      </c>
      <c r="B2049" s="0" t="s">
        <v>2081</v>
      </c>
    </row>
    <row r="2050" customFormat="false" ht="15" hidden="false" customHeight="false" outlineLevel="0" collapsed="false">
      <c r="A2050" s="0" t="str">
        <f aca="false">TEXT(-1.5,"ddd, d mmm yyyy")</f>
        <v>Thu, 28 Dec 1899</v>
      </c>
      <c r="B2050" s="0" t="s">
        <v>2082</v>
      </c>
    </row>
    <row r="2051" customFormat="false" ht="15" hidden="false" customHeight="false" outlineLevel="0" collapsed="false">
      <c r="A2051" s="0" t="str">
        <f aca="false">TEXT(45292.5,"mm/dd/yy;@")</f>
        <v>01/01/24</v>
      </c>
      <c r="B2051" s="0" t="s">
        <v>2083</v>
      </c>
    </row>
    <row r="2052" customFormat="false" ht="15" hidden="false" customHeight="false" outlineLevel="0" collapsed="false">
      <c r="A2052" s="0" t="str">
        <f aca="false">TEXT(45658.75123,"mm/dd/yy;@")</f>
        <v>01/01/25</v>
      </c>
      <c r="B2052" s="0" t="s">
        <v>2084</v>
      </c>
    </row>
    <row r="2053" customFormat="false" ht="15" hidden="false" customHeight="false" outlineLevel="0" collapsed="false">
      <c r="A2053" s="0" t="str">
        <f aca="false">TEXT(0.5,"mm/dd/yy;@")</f>
        <v>12/30/99</v>
      </c>
      <c r="B2053" s="0" t="s">
        <v>2085</v>
      </c>
    </row>
    <row r="2054" customFormat="false" ht="15" hidden="false" customHeight="false" outlineLevel="0" collapsed="false">
      <c r="A2054" s="0" t="str">
        <f aca="false">TEXT(1.999,"mm/dd/yy;@")</f>
        <v>12/31/99</v>
      </c>
      <c r="B2054" s="0" t="s">
        <v>2086</v>
      </c>
    </row>
    <row r="2055" customFormat="false" ht="15" hidden="false" customHeight="false" outlineLevel="0" collapsed="false">
      <c r="A2055" s="0" t="str">
        <f aca="false">TEXT(61,"mm/dd/yy;@")</f>
        <v>03/01/00</v>
      </c>
      <c r="B2055" s="0" t="s">
        <v>2087</v>
      </c>
    </row>
    <row r="2056" customFormat="false" ht="15" hidden="false" customHeight="false" outlineLevel="0" collapsed="false">
      <c r="A2056" s="0" t="str">
        <f aca="false">TEXT(36526.12345,"mm/dd/yy;@")</f>
        <v>01/01/00</v>
      </c>
      <c r="B2056" s="0" t="s">
        <v>2088</v>
      </c>
    </row>
    <row r="2057" customFormat="false" ht="15" hidden="false" customHeight="false" outlineLevel="0" collapsed="false">
      <c r="A2057" s="0" t="str">
        <f aca="false">TEXT(0.999999,"mm/dd/yy;@")</f>
        <v>12/30/99</v>
      </c>
      <c r="B2057" s="0" t="s">
        <v>2089</v>
      </c>
    </row>
    <row r="2058" customFormat="false" ht="15" hidden="false" customHeight="false" outlineLevel="0" collapsed="false">
      <c r="A2058" s="0" t="str">
        <f aca="false">TEXT(-1.5,"mm/dd/yy;@")</f>
        <v>12/28/99</v>
      </c>
      <c r="B2058" s="0" t="s">
        <v>2090</v>
      </c>
    </row>
    <row r="2059" customFormat="false" ht="15" hidden="false" customHeight="false" outlineLevel="0" collapsed="false">
      <c r="A2059" s="0" t="str">
        <f aca="false">TEXT(45292.5,"[$-409]dddd")</f>
        <v>Monday</v>
      </c>
      <c r="B2059" s="0" t="s">
        <v>2091</v>
      </c>
    </row>
    <row r="2060" customFormat="false" ht="15" hidden="false" customHeight="false" outlineLevel="0" collapsed="false">
      <c r="A2060" s="0" t="str">
        <f aca="false">TEXT(45658.75123,"[$-409]dddd")</f>
        <v>Wednesday</v>
      </c>
      <c r="B2060" s="0" t="s">
        <v>2092</v>
      </c>
    </row>
    <row r="2061" customFormat="false" ht="15" hidden="false" customHeight="false" outlineLevel="0" collapsed="false">
      <c r="A2061" s="0" t="str">
        <f aca="false">TEXT(0.5,"[$-409]dddd")</f>
        <v>Saturday</v>
      </c>
      <c r="B2061" s="0" t="s">
        <v>2093</v>
      </c>
    </row>
    <row r="2062" customFormat="false" ht="15" hidden="false" customHeight="false" outlineLevel="0" collapsed="false">
      <c r="A2062" s="0" t="str">
        <f aca="false">TEXT(1.999,"[$-409]dddd")</f>
        <v>Sunday</v>
      </c>
      <c r="B2062" s="0" t="s">
        <v>2094</v>
      </c>
    </row>
    <row r="2063" customFormat="false" ht="15" hidden="false" customHeight="false" outlineLevel="0" collapsed="false">
      <c r="A2063" s="0" t="str">
        <f aca="false">TEXT(61,"[$-409]dddd")</f>
        <v>Thursday</v>
      </c>
      <c r="B2063" s="0" t="s">
        <v>2095</v>
      </c>
    </row>
    <row r="2064" customFormat="false" ht="15" hidden="false" customHeight="false" outlineLevel="0" collapsed="false">
      <c r="A2064" s="0" t="str">
        <f aca="false">TEXT(36526.12345,"[$-409]dddd")</f>
        <v>Saturday</v>
      </c>
      <c r="B2064" s="0" t="s">
        <v>2096</v>
      </c>
    </row>
    <row r="2065" customFormat="false" ht="15" hidden="false" customHeight="false" outlineLevel="0" collapsed="false">
      <c r="A2065" s="0" t="str">
        <f aca="false">TEXT(0.999999,"[$-409]dddd")</f>
        <v>Saturday</v>
      </c>
      <c r="B2065" s="0" t="s">
        <v>2097</v>
      </c>
    </row>
    <row r="2066" customFormat="false" ht="15" hidden="false" customHeight="false" outlineLevel="0" collapsed="false">
      <c r="A2066" s="0" t="str">
        <f aca="false">TEXT(-1.5,"[$-409]dddd")</f>
        <v>Thursday</v>
      </c>
      <c r="B2066" s="0" t="s">
        <v>2098</v>
      </c>
    </row>
    <row r="2067" customFormat="false" ht="15" hidden="false" customHeight="false" outlineLevel="0" collapsed="false">
      <c r="A2067" s="0" t="str">
        <f aca="false">TEXT(45292.5,"[$-40A]dddd")</f>
        <v>Monday</v>
      </c>
      <c r="B2067" s="0" t="s">
        <v>2099</v>
      </c>
    </row>
    <row r="2068" customFormat="false" ht="15" hidden="false" customHeight="false" outlineLevel="0" collapsed="false">
      <c r="A2068" s="0" t="str">
        <f aca="false">TEXT(45658.75123,"[$-40A]dddd")</f>
        <v>Wednesday</v>
      </c>
      <c r="B2068" s="0" t="s">
        <v>2100</v>
      </c>
    </row>
    <row r="2069" customFormat="false" ht="15" hidden="false" customHeight="false" outlineLevel="0" collapsed="false">
      <c r="A2069" s="0" t="str">
        <f aca="false">TEXT(0.5,"[$-40A]dddd")</f>
        <v>Saturday</v>
      </c>
      <c r="B2069" s="0" t="s">
        <v>2101</v>
      </c>
    </row>
    <row r="2070" customFormat="false" ht="15" hidden="false" customHeight="false" outlineLevel="0" collapsed="false">
      <c r="A2070" s="0" t="str">
        <f aca="false">TEXT(1.999,"[$-40A]dddd")</f>
        <v>Sunday</v>
      </c>
      <c r="B2070" s="0" t="s">
        <v>2102</v>
      </c>
    </row>
    <row r="2071" customFormat="false" ht="15" hidden="false" customHeight="false" outlineLevel="0" collapsed="false">
      <c r="A2071" s="0" t="str">
        <f aca="false">TEXT(61,"[$-40A]dddd")</f>
        <v>Thursday</v>
      </c>
      <c r="B2071" s="0" t="s">
        <v>2103</v>
      </c>
    </row>
    <row r="2072" customFormat="false" ht="15" hidden="false" customHeight="false" outlineLevel="0" collapsed="false">
      <c r="A2072" s="0" t="str">
        <f aca="false">TEXT(36526.12345,"[$-40A]dddd")</f>
        <v>Saturday</v>
      </c>
      <c r="B2072" s="0" t="s">
        <v>2104</v>
      </c>
    </row>
    <row r="2073" customFormat="false" ht="15" hidden="false" customHeight="false" outlineLevel="0" collapsed="false">
      <c r="A2073" s="0" t="str">
        <f aca="false">TEXT(0.999999,"[$-40A]dddd")</f>
        <v>Saturday</v>
      </c>
      <c r="B2073" s="0" t="s">
        <v>2105</v>
      </c>
    </row>
    <row r="2074" customFormat="false" ht="15" hidden="false" customHeight="false" outlineLevel="0" collapsed="false">
      <c r="A2074" s="0" t="str">
        <f aca="false">TEXT(-1.5,"[$-40A]dddd")</f>
        <v>Thursday</v>
      </c>
      <c r="B2074" s="0" t="s">
        <v>2106</v>
      </c>
    </row>
    <row r="2075" customFormat="false" ht="15" hidden="false" customHeight="false" outlineLevel="0" collapsed="false">
      <c r="A2075" s="0" t="str">
        <f aca="false">TEXT(45292.5,"h:mm:ss;@")</f>
        <v>12:00:00</v>
      </c>
      <c r="B2075" s="0" t="s">
        <v>2107</v>
      </c>
    </row>
    <row r="2076" customFormat="false" ht="15" hidden="false" customHeight="false" outlineLevel="0" collapsed="false">
      <c r="A2076" s="0" t="str">
        <f aca="false">TEXT(45658.75123,"h:mm:ss;@")</f>
        <v>18:01:46</v>
      </c>
      <c r="B2076" s="0" t="s">
        <v>2108</v>
      </c>
    </row>
    <row r="2077" customFormat="false" ht="15" hidden="false" customHeight="false" outlineLevel="0" collapsed="false">
      <c r="A2077" s="0" t="str">
        <f aca="false">TEXT(0.5,"h:mm:ss;@")</f>
        <v>12:00:00</v>
      </c>
      <c r="B2077" s="0" t="s">
        <v>2109</v>
      </c>
    </row>
    <row r="2078" customFormat="false" ht="15" hidden="false" customHeight="false" outlineLevel="0" collapsed="false">
      <c r="A2078" s="0" t="str">
        <f aca="false">TEXT(1.999,"h:mm:ss;@")</f>
        <v>23:58:33</v>
      </c>
      <c r="B2078" s="0" t="s">
        <v>2110</v>
      </c>
    </row>
    <row r="2079" customFormat="false" ht="15" hidden="false" customHeight="false" outlineLevel="0" collapsed="false">
      <c r="A2079" s="0" t="str">
        <f aca="false">TEXT(61,"h:mm:ss;@")</f>
        <v>0:00:00</v>
      </c>
      <c r="B2079" s="0" t="s">
        <v>2111</v>
      </c>
    </row>
    <row r="2080" customFormat="false" ht="15" hidden="false" customHeight="false" outlineLevel="0" collapsed="false">
      <c r="A2080" s="0" t="str">
        <f aca="false">TEXT(36526.12345,"h:mm:ss;@")</f>
        <v>2:57:46</v>
      </c>
      <c r="B2080" s="0" t="s">
        <v>2112</v>
      </c>
    </row>
    <row r="2081" customFormat="false" ht="15" hidden="false" customHeight="false" outlineLevel="0" collapsed="false">
      <c r="A2081" s="0" t="str">
        <f aca="false">TEXT(0.999999,"h:mm:ss;@")</f>
        <v>23:59:59</v>
      </c>
      <c r="B2081" s="0" t="s">
        <v>2113</v>
      </c>
    </row>
    <row r="2082" customFormat="false" ht="15" hidden="false" customHeight="false" outlineLevel="0" collapsed="false">
      <c r="A2082" s="0" t="str">
        <f aca="false">TEXT(-1.5,"h:mm:ss;@")</f>
        <v>12:00:00</v>
      </c>
      <c r="B2082" s="0" t="s">
        <v>2114</v>
      </c>
    </row>
    <row r="2083" customFormat="false" ht="15" hidden="false" customHeight="false" outlineLevel="0" collapsed="false">
      <c r="A2083" s="0" t="str">
        <f aca="false">TEXT(45292.5,"[Red]yyyy")</f>
        <v>2024</v>
      </c>
      <c r="B2083" s="0" t="s">
        <v>2115</v>
      </c>
    </row>
    <row r="2084" customFormat="false" ht="15" hidden="false" customHeight="false" outlineLevel="0" collapsed="false">
      <c r="A2084" s="0" t="str">
        <f aca="false">TEXT(45658.75123,"[Red]yyyy")</f>
        <v>2025</v>
      </c>
      <c r="B2084" s="0" t="s">
        <v>2116</v>
      </c>
    </row>
    <row r="2085" customFormat="false" ht="15" hidden="false" customHeight="false" outlineLevel="0" collapsed="false">
      <c r="A2085" s="0" t="str">
        <f aca="false">TEXT(0.5,"[Red]yyyy")</f>
        <v>1899</v>
      </c>
      <c r="B2085" s="0" t="s">
        <v>2117</v>
      </c>
    </row>
    <row r="2086" customFormat="false" ht="15" hidden="false" customHeight="false" outlineLevel="0" collapsed="false">
      <c r="A2086" s="0" t="str">
        <f aca="false">TEXT(1.999,"[Red]yyyy")</f>
        <v>1899</v>
      </c>
      <c r="B2086" s="0" t="s">
        <v>2118</v>
      </c>
    </row>
    <row r="2087" customFormat="false" ht="15" hidden="false" customHeight="false" outlineLevel="0" collapsed="false">
      <c r="A2087" s="0" t="str">
        <f aca="false">TEXT(61,"[Red]yyyy")</f>
        <v>1900</v>
      </c>
      <c r="B2087" s="0" t="s">
        <v>2119</v>
      </c>
    </row>
    <row r="2088" customFormat="false" ht="15" hidden="false" customHeight="false" outlineLevel="0" collapsed="false">
      <c r="A2088" s="0" t="str">
        <f aca="false">TEXT(36526.12345,"[Red]yyyy")</f>
        <v>2000</v>
      </c>
      <c r="B2088" s="0" t="s">
        <v>2120</v>
      </c>
    </row>
    <row r="2089" customFormat="false" ht="15" hidden="false" customHeight="false" outlineLevel="0" collapsed="false">
      <c r="A2089" s="0" t="str">
        <f aca="false">TEXT(0.999999,"[Red]yyyy")</f>
        <v>1899</v>
      </c>
      <c r="B2089" s="0" t="s">
        <v>2121</v>
      </c>
    </row>
    <row r="2090" customFormat="false" ht="15" hidden="false" customHeight="false" outlineLevel="0" collapsed="false">
      <c r="A2090" s="0" t="str">
        <f aca="false">TEXT(-1.5,"[Red]yyyy")</f>
        <v>1899</v>
      </c>
      <c r="B2090" s="0" t="s">
        <v>2122</v>
      </c>
    </row>
    <row r="2091" customFormat="false" ht="15" hidden="false" customHeight="false" outlineLevel="0" collapsed="false">
      <c r="A2091" s="0" t="e">
        <f aca="false">TEXT(45292.5,"yyyy [Blue]")</f>
        <v>#VALUE!</v>
      </c>
      <c r="B2091" s="0" t="s">
        <v>2123</v>
      </c>
    </row>
    <row r="2092" customFormat="false" ht="15" hidden="false" customHeight="false" outlineLevel="0" collapsed="false">
      <c r="A2092" s="0" t="e">
        <f aca="false">TEXT(45658.75123,"yyyy [Blue]")</f>
        <v>#VALUE!</v>
      </c>
      <c r="B2092" s="0" t="s">
        <v>2124</v>
      </c>
    </row>
    <row r="2093" customFormat="false" ht="15" hidden="false" customHeight="false" outlineLevel="0" collapsed="false">
      <c r="A2093" s="0" t="e">
        <f aca="false">TEXT(0.5,"yyyy [Blue]")</f>
        <v>#VALUE!</v>
      </c>
      <c r="B2093" s="0" t="s">
        <v>2125</v>
      </c>
    </row>
    <row r="2094" customFormat="false" ht="15" hidden="false" customHeight="false" outlineLevel="0" collapsed="false">
      <c r="A2094" s="0" t="e">
        <f aca="false">TEXT(1.999,"yyyy [Blue]")</f>
        <v>#VALUE!</v>
      </c>
      <c r="B2094" s="0" t="s">
        <v>2126</v>
      </c>
    </row>
    <row r="2095" customFormat="false" ht="15" hidden="false" customHeight="false" outlineLevel="0" collapsed="false">
      <c r="A2095" s="0" t="e">
        <f aca="false">TEXT(61,"yyyy [Blue]")</f>
        <v>#VALUE!</v>
      </c>
      <c r="B2095" s="0" t="s">
        <v>2127</v>
      </c>
    </row>
    <row r="2096" customFormat="false" ht="15" hidden="false" customHeight="false" outlineLevel="0" collapsed="false">
      <c r="A2096" s="0" t="e">
        <f aca="false">TEXT(36526.12345,"yyyy [Blue]")</f>
        <v>#VALUE!</v>
      </c>
      <c r="B2096" s="0" t="s">
        <v>2128</v>
      </c>
    </row>
    <row r="2097" customFormat="false" ht="15" hidden="false" customHeight="false" outlineLevel="0" collapsed="false">
      <c r="A2097" s="0" t="e">
        <f aca="false">TEXT(0.999999,"yyyy [Blue]")</f>
        <v>#VALUE!</v>
      </c>
      <c r="B2097" s="0" t="s">
        <v>2129</v>
      </c>
    </row>
    <row r="2098" customFormat="false" ht="15" hidden="false" customHeight="false" outlineLevel="0" collapsed="false">
      <c r="A2098" s="0" t="e">
        <f aca="false">TEXT(-1.5,"yyyy [Blue]")</f>
        <v>#VALUE!</v>
      </c>
      <c r="B2098" s="0" t="s">
        <v>2130</v>
      </c>
    </row>
    <row r="2099" customFormat="false" ht="15" hidden="false" customHeight="false" outlineLevel="0" collapsed="false">
      <c r="A2099" s="0" t="str">
        <f aca="false">TEXT(45292.5,"0.0 ""h""")</f>
        <v>45292.5 h</v>
      </c>
      <c r="B2099" s="0" t="s">
        <v>2131</v>
      </c>
    </row>
    <row r="2100" customFormat="false" ht="15" hidden="false" customHeight="false" outlineLevel="0" collapsed="false">
      <c r="A2100" s="0" t="str">
        <f aca="false">TEXT(45658.75123,"0.0 ""h""")</f>
        <v>45658.8 h</v>
      </c>
      <c r="B2100" s="0" t="s">
        <v>2132</v>
      </c>
    </row>
    <row r="2101" customFormat="false" ht="15" hidden="false" customHeight="false" outlineLevel="0" collapsed="false">
      <c r="A2101" s="0" t="str">
        <f aca="false">TEXT(0.5,"0.0 ""h""")</f>
        <v>0.5 h</v>
      </c>
      <c r="B2101" s="0" t="s">
        <v>2133</v>
      </c>
    </row>
    <row r="2102" customFormat="false" ht="15" hidden="false" customHeight="false" outlineLevel="0" collapsed="false">
      <c r="A2102" s="0" t="str">
        <f aca="false">TEXT(1.999,"0.0 ""h""")</f>
        <v>2.0 h</v>
      </c>
      <c r="B2102" s="0" t="s">
        <v>2134</v>
      </c>
    </row>
    <row r="2103" customFormat="false" ht="15" hidden="false" customHeight="false" outlineLevel="0" collapsed="false">
      <c r="A2103" s="0" t="str">
        <f aca="false">TEXT(61,"0.0 ""h""")</f>
        <v>61.0 h</v>
      </c>
      <c r="B2103" s="0" t="s">
        <v>2135</v>
      </c>
    </row>
    <row r="2104" customFormat="false" ht="15" hidden="false" customHeight="false" outlineLevel="0" collapsed="false">
      <c r="A2104" s="0" t="str">
        <f aca="false">TEXT(36526.12345,"0.0 ""h""")</f>
        <v>36526.1 h</v>
      </c>
      <c r="B2104" s="0" t="s">
        <v>2136</v>
      </c>
    </row>
    <row r="2105" customFormat="false" ht="15" hidden="false" customHeight="false" outlineLevel="0" collapsed="false">
      <c r="A2105" s="0" t="str">
        <f aca="false">TEXT(0.999999,"0.0 ""h""")</f>
        <v>1.0 h</v>
      </c>
      <c r="B2105" s="0" t="s">
        <v>2137</v>
      </c>
    </row>
    <row r="2106" customFormat="false" ht="15" hidden="false" customHeight="false" outlineLevel="0" collapsed="false">
      <c r="A2106" s="0" t="str">
        <f aca="false">TEXT(-1.5,"0.0 ""h""")</f>
        <v>-1.5 h</v>
      </c>
      <c r="B2106" s="0" t="s">
        <v>2138</v>
      </c>
    </row>
    <row r="2107" customFormat="false" ht="15" hidden="false" customHeight="false" outlineLevel="0" collapsed="false">
      <c r="A2107" s="0" t="str">
        <f aca="false">TEXT(45292.5,"d ""de"" mmmm ""de"" yyyy")</f>
        <v>1 de January de 2024</v>
      </c>
      <c r="B2107" s="0" t="s">
        <v>2139</v>
      </c>
    </row>
    <row r="2108" customFormat="false" ht="15" hidden="false" customHeight="false" outlineLevel="0" collapsed="false">
      <c r="A2108" s="0" t="str">
        <f aca="false">TEXT(45658.75123,"d ""de"" mmmm ""de"" yyyy")</f>
        <v>1 de January de 2025</v>
      </c>
      <c r="B2108" s="0" t="s">
        <v>2140</v>
      </c>
    </row>
    <row r="2109" customFormat="false" ht="15" hidden="false" customHeight="false" outlineLevel="0" collapsed="false">
      <c r="A2109" s="0" t="str">
        <f aca="false">TEXT(0.5,"d ""de"" mmmm ""de"" yyyy")</f>
        <v>30 de December de 1899</v>
      </c>
      <c r="B2109" s="0" t="s">
        <v>2141</v>
      </c>
    </row>
    <row r="2110" customFormat="false" ht="15" hidden="false" customHeight="false" outlineLevel="0" collapsed="false">
      <c r="A2110" s="0" t="str">
        <f aca="false">TEXT(1.999,"d ""de"" mmmm ""de"" yyyy")</f>
        <v>31 de December de 1899</v>
      </c>
      <c r="B2110" s="0" t="s">
        <v>2142</v>
      </c>
    </row>
    <row r="2111" customFormat="false" ht="15" hidden="false" customHeight="false" outlineLevel="0" collapsed="false">
      <c r="A2111" s="0" t="str">
        <f aca="false">TEXT(61,"d ""de"" mmmm ""de"" yyyy")</f>
        <v>1 de March de 1900</v>
      </c>
      <c r="B2111" s="0" t="s">
        <v>2143</v>
      </c>
    </row>
    <row r="2112" customFormat="false" ht="15" hidden="false" customHeight="false" outlineLevel="0" collapsed="false">
      <c r="A2112" s="0" t="str">
        <f aca="false">TEXT(36526.12345,"d ""de"" mmmm ""de"" yyyy")</f>
        <v>1 de January de 2000</v>
      </c>
      <c r="B2112" s="0" t="s">
        <v>2144</v>
      </c>
    </row>
    <row r="2113" customFormat="false" ht="15" hidden="false" customHeight="false" outlineLevel="0" collapsed="false">
      <c r="A2113" s="0" t="str">
        <f aca="false">TEXT(0.999999,"d ""de"" mmmm ""de"" yyyy")</f>
        <v>30 de December de 1899</v>
      </c>
      <c r="B2113" s="0" t="s">
        <v>2145</v>
      </c>
    </row>
    <row r="2114" customFormat="false" ht="15" hidden="false" customHeight="false" outlineLevel="0" collapsed="false">
      <c r="A2114" s="0" t="str">
        <f aca="false">TEXT(-1.5,"d ""de"" mmmm ""de"" yyyy")</f>
        <v>28 de December de 1899</v>
      </c>
      <c r="B2114" s="0" t="s">
        <v>2146</v>
      </c>
    </row>
    <row r="2115" customFormat="false" ht="15" hidden="false" customHeight="false" outlineLevel="0" collapsed="false">
      <c r="A2115" s="0" t="str">
        <f aca="false">TEXT(45292.5,"hh""h""mm")</f>
        <v>12h00</v>
      </c>
      <c r="B2115" s="0" t="s">
        <v>2147</v>
      </c>
    </row>
    <row r="2116" customFormat="false" ht="15" hidden="false" customHeight="false" outlineLevel="0" collapsed="false">
      <c r="A2116" s="0" t="str">
        <f aca="false">TEXT(45658.75123,"hh""h""mm")</f>
        <v>18h01</v>
      </c>
      <c r="B2116" s="0" t="s">
        <v>2148</v>
      </c>
    </row>
    <row r="2117" customFormat="false" ht="15" hidden="false" customHeight="false" outlineLevel="0" collapsed="false">
      <c r="A2117" s="0" t="str">
        <f aca="false">TEXT(0.5,"hh""h""mm")</f>
        <v>12h00</v>
      </c>
      <c r="B2117" s="0" t="s">
        <v>2149</v>
      </c>
    </row>
    <row r="2118" customFormat="false" ht="15" hidden="false" customHeight="false" outlineLevel="0" collapsed="false">
      <c r="A2118" s="0" t="str">
        <f aca="false">TEXT(1.999,"hh""h""mm")</f>
        <v>23h58</v>
      </c>
      <c r="B2118" s="0" t="s">
        <v>2150</v>
      </c>
    </row>
    <row r="2119" customFormat="false" ht="15" hidden="false" customHeight="false" outlineLevel="0" collapsed="false">
      <c r="A2119" s="0" t="str">
        <f aca="false">TEXT(61,"hh""h""mm")</f>
        <v>00h00</v>
      </c>
      <c r="B2119" s="0" t="s">
        <v>2151</v>
      </c>
    </row>
    <row r="2120" customFormat="false" ht="15" hidden="false" customHeight="false" outlineLevel="0" collapsed="false">
      <c r="A2120" s="0" t="str">
        <f aca="false">TEXT(36526.12345,"hh""h""mm")</f>
        <v>02h57</v>
      </c>
      <c r="B2120" s="0" t="s">
        <v>2152</v>
      </c>
    </row>
    <row r="2121" customFormat="false" ht="15" hidden="false" customHeight="false" outlineLevel="0" collapsed="false">
      <c r="A2121" s="0" t="str">
        <f aca="false">TEXT(0.999999,"hh""h""mm")</f>
        <v>23h59</v>
      </c>
      <c r="B2121" s="0" t="s">
        <v>2153</v>
      </c>
    </row>
    <row r="2122" customFormat="false" ht="15" hidden="false" customHeight="false" outlineLevel="0" collapsed="false">
      <c r="A2122" s="0" t="str">
        <f aca="false">TEXT(-1.5,"hh""h""mm")</f>
        <v>12h00</v>
      </c>
      <c r="B2122" s="0" t="s">
        <v>2154</v>
      </c>
    </row>
    <row r="2123" customFormat="false" ht="15" hidden="false" customHeight="false" outlineLevel="0" collapsed="false">
      <c r="A2123" s="0" t="str">
        <f aca="false">TEXT(45292.5,"nn")</f>
        <v>Mon</v>
      </c>
      <c r="B2123" s="0" t="s">
        <v>2155</v>
      </c>
    </row>
    <row r="2124" customFormat="false" ht="15" hidden="false" customHeight="false" outlineLevel="0" collapsed="false">
      <c r="A2124" s="0" t="str">
        <f aca="false">TEXT(45658.75123,"nn")</f>
        <v>Wed</v>
      </c>
      <c r="B2124" s="0" t="s">
        <v>2156</v>
      </c>
    </row>
    <row r="2125" customFormat="false" ht="15" hidden="false" customHeight="false" outlineLevel="0" collapsed="false">
      <c r="A2125" s="0" t="str">
        <f aca="false">TEXT(0.5,"nn")</f>
        <v>Sat</v>
      </c>
      <c r="B2125" s="0" t="s">
        <v>2157</v>
      </c>
    </row>
    <row r="2126" customFormat="false" ht="15" hidden="false" customHeight="false" outlineLevel="0" collapsed="false">
      <c r="A2126" s="0" t="str">
        <f aca="false">TEXT(1.999,"nn")</f>
        <v>Sun</v>
      </c>
      <c r="B2126" s="0" t="s">
        <v>2158</v>
      </c>
    </row>
    <row r="2127" customFormat="false" ht="15" hidden="false" customHeight="false" outlineLevel="0" collapsed="false">
      <c r="A2127" s="0" t="str">
        <f aca="false">TEXT(61,"nn")</f>
        <v>Thu</v>
      </c>
      <c r="B2127" s="0" t="s">
        <v>2159</v>
      </c>
    </row>
    <row r="2128" customFormat="false" ht="15" hidden="false" customHeight="false" outlineLevel="0" collapsed="false">
      <c r="A2128" s="0" t="str">
        <f aca="false">TEXT(36526.12345,"nn")</f>
        <v>Sat</v>
      </c>
      <c r="B2128" s="0" t="s">
        <v>2160</v>
      </c>
    </row>
    <row r="2129" customFormat="false" ht="15" hidden="false" customHeight="false" outlineLevel="0" collapsed="false">
      <c r="A2129" s="0" t="str">
        <f aca="false">TEXT(0.999999,"nn")</f>
        <v>Sat</v>
      </c>
      <c r="B2129" s="0" t="s">
        <v>2161</v>
      </c>
    </row>
    <row r="2130" customFormat="false" ht="15" hidden="false" customHeight="false" outlineLevel="0" collapsed="false">
      <c r="A2130" s="0" t="str">
        <f aca="false">TEXT(-1.5,"nn")</f>
        <v>Thu</v>
      </c>
      <c r="B2130" s="0" t="s">
        <v>2162</v>
      </c>
    </row>
    <row r="2131" customFormat="false" ht="15" hidden="false" customHeight="false" outlineLevel="0" collapsed="false">
      <c r="A2131" s="0" t="str">
        <f aca="false">TEXT(45292.5,"NN")</f>
        <v>Mon</v>
      </c>
      <c r="B2131" s="0" t="s">
        <v>2163</v>
      </c>
    </row>
    <row r="2132" customFormat="false" ht="15" hidden="false" customHeight="false" outlineLevel="0" collapsed="false">
      <c r="A2132" s="0" t="str">
        <f aca="false">TEXT(45658.75123,"NN")</f>
        <v>Wed</v>
      </c>
      <c r="B2132" s="0" t="s">
        <v>2164</v>
      </c>
    </row>
    <row r="2133" customFormat="false" ht="15" hidden="false" customHeight="false" outlineLevel="0" collapsed="false">
      <c r="A2133" s="0" t="str">
        <f aca="false">TEXT(0.5,"NN")</f>
        <v>Sat</v>
      </c>
      <c r="B2133" s="0" t="s">
        <v>2165</v>
      </c>
    </row>
    <row r="2134" customFormat="false" ht="15" hidden="false" customHeight="false" outlineLevel="0" collapsed="false">
      <c r="A2134" s="0" t="str">
        <f aca="false">TEXT(1.999,"NN")</f>
        <v>Sun</v>
      </c>
      <c r="B2134" s="0" t="s">
        <v>2166</v>
      </c>
    </row>
    <row r="2135" customFormat="false" ht="15" hidden="false" customHeight="false" outlineLevel="0" collapsed="false">
      <c r="A2135" s="0" t="str">
        <f aca="false">TEXT(61,"NN")</f>
        <v>Thu</v>
      </c>
      <c r="B2135" s="0" t="s">
        <v>2167</v>
      </c>
    </row>
    <row r="2136" customFormat="false" ht="15" hidden="false" customHeight="false" outlineLevel="0" collapsed="false">
      <c r="A2136" s="0" t="str">
        <f aca="false">TEXT(36526.12345,"NN")</f>
        <v>Sat</v>
      </c>
      <c r="B2136" s="0" t="s">
        <v>2168</v>
      </c>
    </row>
    <row r="2137" customFormat="false" ht="15" hidden="false" customHeight="false" outlineLevel="0" collapsed="false">
      <c r="A2137" s="0" t="str">
        <f aca="false">TEXT(0.999999,"NN")</f>
        <v>Sat</v>
      </c>
      <c r="B2137" s="0" t="s">
        <v>2169</v>
      </c>
    </row>
    <row r="2138" customFormat="false" ht="15" hidden="false" customHeight="false" outlineLevel="0" collapsed="false">
      <c r="A2138" s="0" t="str">
        <f aca="false">TEXT(-1.5,"NN")</f>
        <v>Thu</v>
      </c>
      <c r="B2138" s="0" t="s">
        <v>2170</v>
      </c>
    </row>
    <row r="2139" customFormat="false" ht="15" hidden="false" customHeight="false" outlineLevel="0" collapsed="false">
      <c r="A2139" s="0" t="str">
        <f aca="false">TEXT(45292.5,"DDDD")</f>
        <v>Monday</v>
      </c>
      <c r="B2139" s="0" t="s">
        <v>2171</v>
      </c>
    </row>
    <row r="2140" customFormat="false" ht="15" hidden="false" customHeight="false" outlineLevel="0" collapsed="false">
      <c r="A2140" s="0" t="str">
        <f aca="false">TEXT(45658.75123,"DDDD")</f>
        <v>Wednesday</v>
      </c>
      <c r="B2140" s="0" t="s">
        <v>2172</v>
      </c>
    </row>
    <row r="2141" customFormat="false" ht="15" hidden="false" customHeight="false" outlineLevel="0" collapsed="false">
      <c r="A2141" s="0" t="str">
        <f aca="false">TEXT(0.5,"DDDD")</f>
        <v>Saturday</v>
      </c>
      <c r="B2141" s="0" t="s">
        <v>2173</v>
      </c>
    </row>
    <row r="2142" customFormat="false" ht="15" hidden="false" customHeight="false" outlineLevel="0" collapsed="false">
      <c r="A2142" s="0" t="str">
        <f aca="false">TEXT(1.999,"DDDD")</f>
        <v>Sunday</v>
      </c>
      <c r="B2142" s="0" t="s">
        <v>2174</v>
      </c>
    </row>
    <row r="2143" customFormat="false" ht="15" hidden="false" customHeight="false" outlineLevel="0" collapsed="false">
      <c r="A2143" s="0" t="str">
        <f aca="false">TEXT(61,"DDDD")</f>
        <v>Thursday</v>
      </c>
      <c r="B2143" s="0" t="s">
        <v>2175</v>
      </c>
    </row>
    <row r="2144" customFormat="false" ht="15" hidden="false" customHeight="false" outlineLevel="0" collapsed="false">
      <c r="A2144" s="0" t="str">
        <f aca="false">TEXT(36526.12345,"DDDD")</f>
        <v>Saturday</v>
      </c>
      <c r="B2144" s="0" t="s">
        <v>2176</v>
      </c>
    </row>
    <row r="2145" customFormat="false" ht="15" hidden="false" customHeight="false" outlineLevel="0" collapsed="false">
      <c r="A2145" s="0" t="str">
        <f aca="false">TEXT(0.999999,"DDDD")</f>
        <v>Saturday</v>
      </c>
      <c r="B2145" s="0" t="s">
        <v>2177</v>
      </c>
    </row>
    <row r="2146" customFormat="false" ht="15" hidden="false" customHeight="false" outlineLevel="0" collapsed="false">
      <c r="A2146" s="0" t="str">
        <f aca="false">TEXT(-1.5,"DDDD")</f>
        <v>Thursday</v>
      </c>
      <c r="B2146" s="0" t="s">
        <v>2178</v>
      </c>
    </row>
    <row r="2147" customFormat="false" ht="15" hidden="false" customHeight="false" outlineLevel="0" collapsed="false">
      <c r="A2147" s="0" t="str">
        <f aca="false">TEXT(45292.5,"MMMM")</f>
        <v>January</v>
      </c>
      <c r="B2147" s="0" t="s">
        <v>2179</v>
      </c>
    </row>
    <row r="2148" customFormat="false" ht="15" hidden="false" customHeight="false" outlineLevel="0" collapsed="false">
      <c r="A2148" s="0" t="str">
        <f aca="false">TEXT(45658.75123,"MMMM")</f>
        <v>January</v>
      </c>
      <c r="B2148" s="0" t="s">
        <v>2180</v>
      </c>
    </row>
    <row r="2149" customFormat="false" ht="15" hidden="false" customHeight="false" outlineLevel="0" collapsed="false">
      <c r="A2149" s="0" t="str">
        <f aca="false">TEXT(0.5,"MMMM")</f>
        <v>December</v>
      </c>
      <c r="B2149" s="0" t="s">
        <v>2181</v>
      </c>
    </row>
    <row r="2150" customFormat="false" ht="15" hidden="false" customHeight="false" outlineLevel="0" collapsed="false">
      <c r="A2150" s="0" t="str">
        <f aca="false">TEXT(1.999,"MMMM")</f>
        <v>December</v>
      </c>
      <c r="B2150" s="0" t="s">
        <v>2182</v>
      </c>
    </row>
    <row r="2151" customFormat="false" ht="15" hidden="false" customHeight="false" outlineLevel="0" collapsed="false">
      <c r="A2151" s="0" t="str">
        <f aca="false">TEXT(61,"MMMM")</f>
        <v>March</v>
      </c>
      <c r="B2151" s="0" t="s">
        <v>2183</v>
      </c>
    </row>
    <row r="2152" customFormat="false" ht="15" hidden="false" customHeight="false" outlineLevel="0" collapsed="false">
      <c r="A2152" s="0" t="str">
        <f aca="false">TEXT(36526.12345,"MMMM")</f>
        <v>January</v>
      </c>
      <c r="B2152" s="0" t="s">
        <v>2184</v>
      </c>
    </row>
    <row r="2153" customFormat="false" ht="15" hidden="false" customHeight="false" outlineLevel="0" collapsed="false">
      <c r="A2153" s="0" t="str">
        <f aca="false">TEXT(0.999999,"MMMM")</f>
        <v>December</v>
      </c>
      <c r="B2153" s="0" t="s">
        <v>2185</v>
      </c>
    </row>
    <row r="2154" customFormat="false" ht="15" hidden="false" customHeight="false" outlineLevel="0" collapsed="false">
      <c r="A2154" s="0" t="str">
        <f aca="false">TEXT(-1.5,"MMMM")</f>
        <v>December</v>
      </c>
      <c r="B2154" s="0" t="s">
        <v>2186</v>
      </c>
    </row>
    <row r="2155" customFormat="false" ht="15" hidden="false" customHeight="false" outlineLevel="0" collapsed="false">
      <c r="A2155" s="0" t="str">
        <f aca="false">TEXT(45292.5,"YYYY")</f>
        <v>2024</v>
      </c>
      <c r="B2155" s="0" t="s">
        <v>2187</v>
      </c>
    </row>
    <row r="2156" customFormat="false" ht="15" hidden="false" customHeight="false" outlineLevel="0" collapsed="false">
      <c r="A2156" s="0" t="str">
        <f aca="false">TEXT(45658.75123,"YYYY")</f>
        <v>2025</v>
      </c>
      <c r="B2156" s="0" t="s">
        <v>2188</v>
      </c>
    </row>
    <row r="2157" customFormat="false" ht="15" hidden="false" customHeight="false" outlineLevel="0" collapsed="false">
      <c r="A2157" s="0" t="str">
        <f aca="false">TEXT(0.5,"YYYY")</f>
        <v>1899</v>
      </c>
      <c r="B2157" s="0" t="s">
        <v>2189</v>
      </c>
    </row>
    <row r="2158" customFormat="false" ht="15" hidden="false" customHeight="false" outlineLevel="0" collapsed="false">
      <c r="A2158" s="0" t="str">
        <f aca="false">TEXT(1.999,"YYYY")</f>
        <v>1899</v>
      </c>
      <c r="B2158" s="0" t="s">
        <v>2190</v>
      </c>
    </row>
    <row r="2159" customFormat="false" ht="15" hidden="false" customHeight="false" outlineLevel="0" collapsed="false">
      <c r="A2159" s="0" t="str">
        <f aca="false">TEXT(61,"YYYY")</f>
        <v>1900</v>
      </c>
      <c r="B2159" s="0" t="s">
        <v>2191</v>
      </c>
    </row>
    <row r="2160" customFormat="false" ht="15" hidden="false" customHeight="false" outlineLevel="0" collapsed="false">
      <c r="A2160" s="0" t="str">
        <f aca="false">TEXT(36526.12345,"YYYY")</f>
        <v>2000</v>
      </c>
      <c r="B2160" s="0" t="s">
        <v>2192</v>
      </c>
    </row>
    <row r="2161" customFormat="false" ht="15" hidden="false" customHeight="false" outlineLevel="0" collapsed="false">
      <c r="A2161" s="0" t="str">
        <f aca="false">TEXT(0.999999,"YYYY")</f>
        <v>1899</v>
      </c>
      <c r="B2161" s="0" t="s">
        <v>2193</v>
      </c>
    </row>
    <row r="2162" customFormat="false" ht="15" hidden="false" customHeight="false" outlineLevel="0" collapsed="false">
      <c r="A2162" s="0" t="str">
        <f aca="false">TEXT(-1.5,"YYYY")</f>
        <v>1899</v>
      </c>
      <c r="B2162" s="0" t="s">
        <v>2194</v>
      </c>
    </row>
    <row r="2163" customFormat="false" ht="15" hidden="false" customHeight="false" outlineLevel="0" collapsed="false">
      <c r="A2163" s="0" t="str">
        <f aca="false">TEXT(45292.5,"H:MM")</f>
        <v>12:00</v>
      </c>
      <c r="B2163" s="0" t="s">
        <v>2195</v>
      </c>
    </row>
    <row r="2164" customFormat="false" ht="15" hidden="false" customHeight="false" outlineLevel="0" collapsed="false">
      <c r="A2164" s="0" t="str">
        <f aca="false">TEXT(45658.75123,"H:MM")</f>
        <v>18:01</v>
      </c>
      <c r="B2164" s="0" t="s">
        <v>2196</v>
      </c>
    </row>
    <row r="2165" customFormat="false" ht="15" hidden="false" customHeight="false" outlineLevel="0" collapsed="false">
      <c r="A2165" s="0" t="str">
        <f aca="false">TEXT(0.5,"H:MM")</f>
        <v>12:00</v>
      </c>
      <c r="B2165" s="0" t="s">
        <v>2197</v>
      </c>
    </row>
    <row r="2166" customFormat="false" ht="15" hidden="false" customHeight="false" outlineLevel="0" collapsed="false">
      <c r="A2166" s="0" t="str">
        <f aca="false">TEXT(1.999,"H:MM")</f>
        <v>23:58</v>
      </c>
      <c r="B2166" s="0" t="s">
        <v>2198</v>
      </c>
    </row>
    <row r="2167" customFormat="false" ht="15" hidden="false" customHeight="false" outlineLevel="0" collapsed="false">
      <c r="A2167" s="0" t="str">
        <f aca="false">TEXT(61,"H:MM")</f>
        <v>0:00</v>
      </c>
      <c r="B2167" s="0" t="s">
        <v>2199</v>
      </c>
    </row>
    <row r="2168" customFormat="false" ht="15" hidden="false" customHeight="false" outlineLevel="0" collapsed="false">
      <c r="A2168" s="0" t="str">
        <f aca="false">TEXT(36526.12345,"H:MM")</f>
        <v>2:57</v>
      </c>
      <c r="B2168" s="0" t="s">
        <v>2200</v>
      </c>
    </row>
    <row r="2169" customFormat="false" ht="15" hidden="false" customHeight="false" outlineLevel="0" collapsed="false">
      <c r="A2169" s="0" t="str">
        <f aca="false">TEXT(0.999999,"H:MM")</f>
        <v>23:59</v>
      </c>
      <c r="B2169" s="0" t="s">
        <v>2201</v>
      </c>
    </row>
    <row r="2170" customFormat="false" ht="15" hidden="false" customHeight="false" outlineLevel="0" collapsed="false">
      <c r="A2170" s="0" t="str">
        <f aca="false">TEXT(-1.5,"H:MM")</f>
        <v>12:00</v>
      </c>
      <c r="B2170" s="0" t="s">
        <v>2202</v>
      </c>
    </row>
    <row r="2171" customFormat="false" ht="15" hidden="false" customHeight="false" outlineLevel="0" collapsed="false">
      <c r="A2171" s="0" t="str">
        <f aca="false">TEXT(45292.5,"ss")</f>
        <v>00</v>
      </c>
      <c r="B2171" s="0" t="s">
        <v>2203</v>
      </c>
    </row>
    <row r="2172" customFormat="false" ht="15" hidden="false" customHeight="false" outlineLevel="0" collapsed="false">
      <c r="A2172" s="0" t="str">
        <f aca="false">TEXT(45658.75123,"ss")</f>
        <v>46</v>
      </c>
      <c r="B2172" s="0" t="s">
        <v>2204</v>
      </c>
    </row>
    <row r="2173" customFormat="false" ht="15" hidden="false" customHeight="false" outlineLevel="0" collapsed="false">
      <c r="A2173" s="0" t="str">
        <f aca="false">TEXT(0.5,"ss")</f>
        <v>00</v>
      </c>
      <c r="B2173" s="0" t="s">
        <v>2205</v>
      </c>
    </row>
    <row r="2174" customFormat="false" ht="15" hidden="false" customHeight="false" outlineLevel="0" collapsed="false">
      <c r="A2174" s="0" t="str">
        <f aca="false">TEXT(1.999,"ss")</f>
        <v>33</v>
      </c>
      <c r="B2174" s="0" t="s">
        <v>2206</v>
      </c>
    </row>
    <row r="2175" customFormat="false" ht="15" hidden="false" customHeight="false" outlineLevel="0" collapsed="false">
      <c r="A2175" s="0" t="str">
        <f aca="false">TEXT(61,"ss")</f>
        <v>00</v>
      </c>
      <c r="B2175" s="0" t="s">
        <v>2207</v>
      </c>
    </row>
    <row r="2176" customFormat="false" ht="15" hidden="false" customHeight="false" outlineLevel="0" collapsed="false">
      <c r="A2176" s="0" t="str">
        <f aca="false">TEXT(36526.12345,"ss")</f>
        <v>46</v>
      </c>
      <c r="B2176" s="0" t="s">
        <v>2208</v>
      </c>
    </row>
    <row r="2177" customFormat="false" ht="15" hidden="false" customHeight="false" outlineLevel="0" collapsed="false">
      <c r="A2177" s="0" t="str">
        <f aca="false">TEXT(0.999999,"ss")</f>
        <v>59</v>
      </c>
      <c r="B2177" s="0" t="s">
        <v>2209</v>
      </c>
    </row>
    <row r="2178" customFormat="false" ht="15" hidden="false" customHeight="false" outlineLevel="0" collapsed="false">
      <c r="A2178" s="0" t="str">
        <f aca="false">TEXT(-1.5,"ss")</f>
        <v>00</v>
      </c>
      <c r="B2178" s="0" t="s">
        <v>2210</v>
      </c>
    </row>
    <row r="2179" customFormat="false" ht="15" hidden="false" customHeight="false" outlineLevel="0" collapsed="false">
      <c r="A2179" s="0" t="str">
        <f aca="false">TEXT(45292.5,"s.00")</f>
        <v>0.00</v>
      </c>
      <c r="B2179" s="0" t="s">
        <v>2211</v>
      </c>
    </row>
    <row r="2180" customFormat="false" ht="15" hidden="false" customHeight="false" outlineLevel="0" collapsed="false">
      <c r="A2180" s="0" t="str">
        <f aca="false">TEXT(45658.75123,"s.00")</f>
        <v>46.27</v>
      </c>
      <c r="B2180" s="0" t="s">
        <v>2212</v>
      </c>
    </row>
    <row r="2181" customFormat="false" ht="15" hidden="false" customHeight="false" outlineLevel="0" collapsed="false">
      <c r="A2181" s="0" t="str">
        <f aca="false">TEXT(0.5,"s.00")</f>
        <v>0.00</v>
      </c>
      <c r="B2181" s="0" t="s">
        <v>2213</v>
      </c>
    </row>
    <row r="2182" customFormat="false" ht="15" hidden="false" customHeight="false" outlineLevel="0" collapsed="false">
      <c r="A2182" s="0" t="str">
        <f aca="false">TEXT(1.999,"s.00")</f>
        <v>33.60</v>
      </c>
      <c r="B2182" s="0" t="s">
        <v>2214</v>
      </c>
    </row>
    <row r="2183" customFormat="false" ht="15" hidden="false" customHeight="false" outlineLevel="0" collapsed="false">
      <c r="A2183" s="0" t="str">
        <f aca="false">TEXT(61,"s.00")</f>
        <v>0.00</v>
      </c>
      <c r="B2183" s="0" t="s">
        <v>2215</v>
      </c>
    </row>
    <row r="2184" customFormat="false" ht="15" hidden="false" customHeight="false" outlineLevel="0" collapsed="false">
      <c r="A2184" s="0" t="str">
        <f aca="false">TEXT(36526.12345,"s.00")</f>
        <v>46.08</v>
      </c>
      <c r="B2184" s="0" t="s">
        <v>2216</v>
      </c>
    </row>
    <row r="2185" customFormat="false" ht="15" hidden="false" customHeight="false" outlineLevel="0" collapsed="false">
      <c r="A2185" s="0" t="str">
        <f aca="false">TEXT(0.999999,"s.00")</f>
        <v>59.91</v>
      </c>
      <c r="B2185" s="0" t="s">
        <v>2217</v>
      </c>
    </row>
    <row r="2186" customFormat="false" ht="15" hidden="false" customHeight="false" outlineLevel="0" collapsed="false">
      <c r="A2186" s="0" t="str">
        <f aca="false">TEXT(-1.5,"s.00")</f>
        <v>0.00</v>
      </c>
      <c r="B2186" s="0" t="s">
        <v>2218</v>
      </c>
    </row>
    <row r="2187" customFormat="false" ht="15" hidden="false" customHeight="false" outlineLevel="0" collapsed="false">
      <c r="A2187" s="0" t="str">
        <f aca="false">TEXT(45292.5,"[h]")</f>
        <v>1087020</v>
      </c>
      <c r="B2187" s="0" t="s">
        <v>2219</v>
      </c>
    </row>
    <row r="2188" customFormat="false" ht="15" hidden="false" customHeight="false" outlineLevel="0" collapsed="false">
      <c r="A2188" s="0" t="str">
        <f aca="false">TEXT(45658.75123,"[h]")</f>
        <v>1095810</v>
      </c>
      <c r="B2188" s="0" t="s">
        <v>2220</v>
      </c>
    </row>
    <row r="2189" customFormat="false" ht="15" hidden="false" customHeight="false" outlineLevel="0" collapsed="false">
      <c r="A2189" s="0" t="str">
        <f aca="false">TEXT(0.5,"[h]")</f>
        <v>12</v>
      </c>
      <c r="B2189" s="0" t="s">
        <v>2221</v>
      </c>
    </row>
    <row r="2190" customFormat="false" ht="15" hidden="false" customHeight="false" outlineLevel="0" collapsed="false">
      <c r="A2190" s="0" t="str">
        <f aca="false">TEXT(1.999,"[h]")</f>
        <v>47</v>
      </c>
      <c r="B2190" s="0" t="s">
        <v>2222</v>
      </c>
    </row>
    <row r="2191" customFormat="false" ht="15" hidden="false" customHeight="false" outlineLevel="0" collapsed="false">
      <c r="A2191" s="0" t="str">
        <f aca="false">TEXT(61,"[h]")</f>
        <v>1464</v>
      </c>
      <c r="B2191" s="0" t="s">
        <v>2223</v>
      </c>
    </row>
    <row r="2192" customFormat="false" ht="15" hidden="false" customHeight="false" outlineLevel="0" collapsed="false">
      <c r="A2192" s="0" t="str">
        <f aca="false">TEXT(36526.12345,"[h]")</f>
        <v>876626</v>
      </c>
      <c r="B2192" s="0" t="s">
        <v>2224</v>
      </c>
    </row>
    <row r="2193" customFormat="false" ht="15" hidden="false" customHeight="false" outlineLevel="0" collapsed="false">
      <c r="A2193" s="0" t="str">
        <f aca="false">TEXT(0.999999,"[h]")</f>
        <v>24</v>
      </c>
      <c r="B2193" s="0" t="s">
        <v>2225</v>
      </c>
    </row>
    <row r="2194" customFormat="false" ht="15" hidden="false" customHeight="false" outlineLevel="0" collapsed="false">
      <c r="A2194" s="0" t="str">
        <f aca="false">TEXT(-1.5,"[h]")</f>
        <v>-36</v>
      </c>
      <c r="B2194" s="0" t="s">
        <v>2226</v>
      </c>
    </row>
    <row r="2195" customFormat="false" ht="15" hidden="false" customHeight="false" outlineLevel="0" collapsed="false">
      <c r="A2195" s="0" t="str">
        <f aca="false">TEXT(45292.5,"m:ss")</f>
        <v>0:00</v>
      </c>
      <c r="B2195" s="0" t="s">
        <v>2227</v>
      </c>
    </row>
    <row r="2196" customFormat="false" ht="15" hidden="false" customHeight="false" outlineLevel="0" collapsed="false">
      <c r="A2196" s="0" t="str">
        <f aca="false">TEXT(45658.75123,"m:ss")</f>
        <v>1:46</v>
      </c>
      <c r="B2196" s="0" t="s">
        <v>2228</v>
      </c>
    </row>
    <row r="2197" customFormat="false" ht="15" hidden="false" customHeight="false" outlineLevel="0" collapsed="false">
      <c r="A2197" s="0" t="str">
        <f aca="false">TEXT(0.5,"m:ss")</f>
        <v>0:00</v>
      </c>
      <c r="B2197" s="0" t="s">
        <v>2229</v>
      </c>
    </row>
    <row r="2198" customFormat="false" ht="15" hidden="false" customHeight="false" outlineLevel="0" collapsed="false">
      <c r="A2198" s="0" t="str">
        <f aca="false">TEXT(1.999,"m:ss")</f>
        <v>58:33</v>
      </c>
      <c r="B2198" s="0" t="s">
        <v>2230</v>
      </c>
    </row>
    <row r="2199" customFormat="false" ht="15" hidden="false" customHeight="false" outlineLevel="0" collapsed="false">
      <c r="A2199" s="0" t="str">
        <f aca="false">TEXT(61,"m:ss")</f>
        <v>0:00</v>
      </c>
      <c r="B2199" s="0" t="s">
        <v>2231</v>
      </c>
    </row>
    <row r="2200" customFormat="false" ht="15" hidden="false" customHeight="false" outlineLevel="0" collapsed="false">
      <c r="A2200" s="0" t="str">
        <f aca="false">TEXT(36526.12345,"m:ss")</f>
        <v>57:46</v>
      </c>
      <c r="B2200" s="0" t="s">
        <v>2232</v>
      </c>
    </row>
    <row r="2201" customFormat="false" ht="15" hidden="false" customHeight="false" outlineLevel="0" collapsed="false">
      <c r="A2201" s="0" t="str">
        <f aca="false">TEXT(0.999999,"m:ss")</f>
        <v>59:59</v>
      </c>
      <c r="B2201" s="0" t="s">
        <v>2233</v>
      </c>
    </row>
    <row r="2202" customFormat="false" ht="15" hidden="false" customHeight="false" outlineLevel="0" collapsed="false">
      <c r="A2202" s="0" t="str">
        <f aca="false">TEXT(-1.5,"m:ss")</f>
        <v>0:00</v>
      </c>
      <c r="B2202" s="0" t="s">
        <v>2234</v>
      </c>
    </row>
    <row r="2203" customFormat="false" ht="15" hidden="false" customHeight="false" outlineLevel="0" collapsed="false">
      <c r="A2203" s="0" t="str">
        <f aca="false">TEXT(45292.5,"mm:ss.0")</f>
        <v>00:00.0</v>
      </c>
      <c r="B2203" s="0" t="s">
        <v>2235</v>
      </c>
    </row>
    <row r="2204" customFormat="false" ht="15" hidden="false" customHeight="false" outlineLevel="0" collapsed="false">
      <c r="A2204" s="0" t="str">
        <f aca="false">TEXT(45658.75123,"mm:ss.0")</f>
        <v>01:46.3</v>
      </c>
      <c r="B2204" s="0" t="s">
        <v>2236</v>
      </c>
    </row>
    <row r="2205" customFormat="false" ht="15" hidden="false" customHeight="false" outlineLevel="0" collapsed="false">
      <c r="A2205" s="0" t="str">
        <f aca="false">TEXT(0.5,"mm:ss.0")</f>
        <v>00:00.0</v>
      </c>
      <c r="B2205" s="0" t="s">
        <v>2237</v>
      </c>
    </row>
    <row r="2206" customFormat="false" ht="15" hidden="false" customHeight="false" outlineLevel="0" collapsed="false">
      <c r="A2206" s="0" t="str">
        <f aca="false">TEXT(1.999,"mm:ss.0")</f>
        <v>58:33.6</v>
      </c>
      <c r="B2206" s="0" t="s">
        <v>2238</v>
      </c>
    </row>
    <row r="2207" customFormat="false" ht="15" hidden="false" customHeight="false" outlineLevel="0" collapsed="false">
      <c r="A2207" s="0" t="str">
        <f aca="false">TEXT(61,"mm:ss.0")</f>
        <v>00:00.0</v>
      </c>
      <c r="B2207" s="0" t="s">
        <v>2239</v>
      </c>
    </row>
    <row r="2208" customFormat="false" ht="15" hidden="false" customHeight="false" outlineLevel="0" collapsed="false">
      <c r="A2208" s="0" t="str">
        <f aca="false">TEXT(36526.12345,"mm:ss.0")</f>
        <v>57:46.1</v>
      </c>
      <c r="B2208" s="0" t="s">
        <v>2240</v>
      </c>
    </row>
    <row r="2209" customFormat="false" ht="15" hidden="false" customHeight="false" outlineLevel="0" collapsed="false">
      <c r="A2209" s="0" t="str">
        <f aca="false">TEXT(0.999999,"mm:ss.0")</f>
        <v>59:59.9</v>
      </c>
      <c r="B2209" s="0" t="s">
        <v>2241</v>
      </c>
    </row>
    <row r="2210" customFormat="false" ht="15" hidden="false" customHeight="false" outlineLevel="0" collapsed="false">
      <c r="A2210" s="0" t="str">
        <f aca="false">TEXT(-1.5,"mm:ss.0")</f>
        <v>00:00.0</v>
      </c>
      <c r="B2210" s="0" t="s">
        <v>2242</v>
      </c>
    </row>
    <row r="2211" customFormat="false" ht="15" hidden="false" customHeight="false" outlineLevel="0" collapsed="false">
      <c r="A2211" s="0" t="str">
        <f aca="false">TEXT(45292.5,"yyyy-mm-dd""T""hh:mm:ss")</f>
        <v>2024-01-01T12:00:00</v>
      </c>
      <c r="B2211" s="0" t="s">
        <v>2243</v>
      </c>
    </row>
    <row r="2212" customFormat="false" ht="15" hidden="false" customHeight="false" outlineLevel="0" collapsed="false">
      <c r="A2212" s="0" t="str">
        <f aca="false">TEXT(45658.75123,"yyyy-mm-dd""T""hh:mm:ss")</f>
        <v>2025-01-01T18:01:46</v>
      </c>
      <c r="B2212" s="0" t="s">
        <v>2244</v>
      </c>
    </row>
    <row r="2213" customFormat="false" ht="15" hidden="false" customHeight="false" outlineLevel="0" collapsed="false">
      <c r="A2213" s="0" t="str">
        <f aca="false">TEXT(0.5,"yyyy-mm-dd""T""hh:mm:ss")</f>
        <v>1899-12-30T12:00:00</v>
      </c>
      <c r="B2213" s="0" t="s">
        <v>2245</v>
      </c>
    </row>
    <row r="2214" customFormat="false" ht="15" hidden="false" customHeight="false" outlineLevel="0" collapsed="false">
      <c r="A2214" s="0" t="str">
        <f aca="false">TEXT(1.999,"yyyy-mm-dd""T""hh:mm:ss")</f>
        <v>1899-12-31T23:58:33</v>
      </c>
      <c r="B2214" s="0" t="s">
        <v>2246</v>
      </c>
    </row>
    <row r="2215" customFormat="false" ht="15" hidden="false" customHeight="false" outlineLevel="0" collapsed="false">
      <c r="A2215" s="0" t="str">
        <f aca="false">TEXT(61,"yyyy-mm-dd""T""hh:mm:ss")</f>
        <v>1900-03-01T00:00:00</v>
      </c>
      <c r="B2215" s="0" t="s">
        <v>2247</v>
      </c>
    </row>
    <row r="2216" customFormat="false" ht="15" hidden="false" customHeight="false" outlineLevel="0" collapsed="false">
      <c r="A2216" s="0" t="str">
        <f aca="false">TEXT(36526.12345,"yyyy-mm-dd""T""hh:mm:ss")</f>
        <v>2000-01-01T02:57:46</v>
      </c>
      <c r="B2216" s="0" t="s">
        <v>2248</v>
      </c>
    </row>
    <row r="2217" customFormat="false" ht="15" hidden="false" customHeight="false" outlineLevel="0" collapsed="false">
      <c r="A2217" s="0" t="str">
        <f aca="false">TEXT(0.999999,"yyyy-mm-dd""T""hh:mm:ss")</f>
        <v>1899-12-30T23:59:59</v>
      </c>
      <c r="B2217" s="0" t="s">
        <v>2249</v>
      </c>
    </row>
    <row r="2218" customFormat="false" ht="15" hidden="false" customHeight="false" outlineLevel="0" collapsed="false">
      <c r="A2218" s="0" t="str">
        <f aca="false">TEXT(-1.5,"yyyy-mm-dd""T""hh:mm:ss")</f>
        <v>1899-12-28T12:00:00</v>
      </c>
      <c r="B2218" s="0" t="s">
        <v>2250</v>
      </c>
    </row>
    <row r="2219" customFormat="false" ht="15" hidden="false" customHeight="false" outlineLevel="0" collapsed="false">
      <c r="A2219" s="0" t="str">
        <f aca="false">TEXT("abc","0;0;0;""t:""@")</f>
        <v>t:abc</v>
      </c>
      <c r="B2219" s="0" t="s">
        <v>2251</v>
      </c>
    </row>
    <row r="2220" customFormat="false" ht="15" hidden="false" customHeight="false" outlineLevel="0" collapsed="false">
      <c r="A2220" s="0" t="str">
        <f aca="false">TEXT("abc","@@")</f>
        <v>abcabc</v>
      </c>
      <c r="B2220" s="0" t="s">
        <v>2252</v>
      </c>
    </row>
    <row r="2221" customFormat="false" ht="15" hidden="false" customHeight="false" outlineLevel="0" collapsed="false">
      <c r="A2221" s="0" t="str">
        <f aca="false">TEXT("abc","0.00")</f>
        <v>abc</v>
      </c>
      <c r="B2221" s="0" t="s">
        <v>2253</v>
      </c>
    </row>
    <row r="2222" customFormat="false" ht="15" hidden="false" customHeight="false" outlineLevel="0" collapsed="false">
      <c r="A2222" s="0" t="n">
        <f aca="false">DATEVALUE("Mar 1 2024")</f>
        <v>45352</v>
      </c>
      <c r="B2222" s="0" t="s">
        <v>2254</v>
      </c>
    </row>
    <row r="2223" customFormat="false" ht="15" hidden="false" customHeight="false" outlineLevel="0" collapsed="false">
      <c r="A2223" s="0" t="n">
        <f aca="false">DATEVALUE("Mar 1, 2024")</f>
        <v>45352</v>
      </c>
      <c r="B2223" s="0" t="s">
        <v>2255</v>
      </c>
    </row>
    <row r="2224" customFormat="false" ht="15" hidden="false" customHeight="false" outlineLevel="0" collapsed="false">
      <c r="A2224" s="0" t="n">
        <f aca="false">DATEVALUE("March 1, 2024")</f>
        <v>45352</v>
      </c>
      <c r="B2224" s="0" t="s">
        <v>2256</v>
      </c>
    </row>
    <row r="2225" customFormat="false" ht="15" hidden="false" customHeight="false" outlineLevel="0" collapsed="false">
      <c r="A2225" s="0" t="n">
        <f aca="false">DATEVALUE("March 1 2024")</f>
        <v>45352</v>
      </c>
      <c r="B2225" s="0" t="s">
        <v>2257</v>
      </c>
    </row>
    <row r="2226" customFormat="false" ht="15" hidden="false" customHeight="false" outlineLevel="0" collapsed="false">
      <c r="A2226" s="0" t="n">
        <f aca="false">DATEVALUE("Mar. 1, 2024")</f>
        <v>45352</v>
      </c>
      <c r="B2226" s="0" t="s">
        <v>2258</v>
      </c>
    </row>
    <row r="2227" customFormat="false" ht="15" hidden="false" customHeight="false" outlineLevel="0" collapsed="false">
      <c r="A2227" s="0" t="n">
        <f aca="false">DATEVALUE("Mar. 1 2024")</f>
        <v>45352</v>
      </c>
      <c r="B2227" s="0" t="s">
        <v>2259</v>
      </c>
    </row>
    <row r="2228" customFormat="false" ht="15" hidden="false" customHeight="false" outlineLevel="0" collapsed="false">
      <c r="A2228" s="0" t="n">
        <f aca="false">DATEVALUE("1-Mar-2024")</f>
        <v>45352</v>
      </c>
      <c r="B2228" s="0" t="s">
        <v>2260</v>
      </c>
    </row>
    <row r="2229" customFormat="false" ht="15" hidden="false" customHeight="false" outlineLevel="0" collapsed="false">
      <c r="A2229" s="0" t="n">
        <f aca="false">DATEVALUE("1-Mar-24")</f>
        <v>45352</v>
      </c>
      <c r="B2229" s="0" t="s">
        <v>2261</v>
      </c>
    </row>
    <row r="2230" customFormat="false" ht="15" hidden="false" customHeight="false" outlineLevel="0" collapsed="false">
      <c r="A2230" s="0" t="n">
        <f aca="false">DATEVALUE("2024-Mar-1")</f>
        <v>45352</v>
      </c>
      <c r="B2230" s="0" t="s">
        <v>2262</v>
      </c>
    </row>
    <row r="2231" customFormat="false" ht="15" hidden="false" customHeight="false" outlineLevel="0" collapsed="false">
      <c r="A2231" s="0" t="n">
        <f aca="false">DATEVALUE("Mar 2024")</f>
        <v>45352</v>
      </c>
      <c r="B2231" s="0" t="s">
        <v>2263</v>
      </c>
    </row>
    <row r="2232" customFormat="false" ht="15" hidden="false" customHeight="false" outlineLevel="0" collapsed="false">
      <c r="A2232" s="0" t="n">
        <f aca="false">DATEVALUE("March 2024")</f>
        <v>45352</v>
      </c>
      <c r="B2232" s="0" t="s">
        <v>2264</v>
      </c>
    </row>
    <row r="2233" customFormat="false" ht="15" hidden="false" customHeight="false" outlineLevel="0" collapsed="false">
      <c r="A2233" s="0" t="n">
        <f aca="false">DATEVALUE("Mar-2024")</f>
        <v>45352</v>
      </c>
      <c r="B2233" s="0" t="s">
        <v>2265</v>
      </c>
    </row>
    <row r="2234" customFormat="false" ht="15" hidden="false" customHeight="false" outlineLevel="0" collapsed="false">
      <c r="A2234" s="0" t="n">
        <f aca="false">DATEVALUE("MAR 1 2024")</f>
        <v>45352</v>
      </c>
      <c r="B2234" s="0" t="s">
        <v>2266</v>
      </c>
    </row>
    <row r="2235" customFormat="false" ht="15" hidden="false" customHeight="false" outlineLevel="0" collapsed="false">
      <c r="A2235" s="0" t="n">
        <f aca="false">DATEVALUE("mar 1 2024")</f>
        <v>45352</v>
      </c>
      <c r="B2235" s="0" t="s">
        <v>2267</v>
      </c>
    </row>
    <row r="2236" customFormat="false" ht="15" hidden="false" customHeight="false" outlineLevel="0" collapsed="false">
      <c r="A2236" s="0" t="n">
        <f aca="false">DATEVALUE("  Mar 1 2024  ")</f>
        <v>45352</v>
      </c>
      <c r="B2236" s="0" t="s">
        <v>2268</v>
      </c>
    </row>
    <row r="2237" customFormat="false" ht="15" hidden="false" customHeight="false" outlineLevel="0" collapsed="false">
      <c r="A2237" s="0" t="n">
        <f aca="false">DATEVALUE("Mar  1  2024")</f>
        <v>45352</v>
      </c>
      <c r="B2237" s="0" t="s">
        <v>2269</v>
      </c>
    </row>
    <row r="2238" customFormat="false" ht="15" hidden="false" customHeight="false" outlineLevel="0" collapsed="false">
      <c r="A2238" s="0" t="n">
        <f aca="false">DATEVALUE("Mar 1 2024 Monday")</f>
        <v>45352</v>
      </c>
      <c r="B2238" s="0" t="s">
        <v>2270</v>
      </c>
    </row>
    <row r="2239" customFormat="false" ht="15" hidden="false" customHeight="false" outlineLevel="0" collapsed="false">
      <c r="A2239" s="0" t="n">
        <f aca="false">DATEVALUE("Monday Mar 1 2024")</f>
        <v>45352</v>
      </c>
      <c r="B2239" s="0" t="s">
        <v>2271</v>
      </c>
    </row>
    <row r="2240" customFormat="false" ht="15" hidden="false" customHeight="false" outlineLevel="0" collapsed="false">
      <c r="A2240" s="0" t="n">
        <f aca="false">DATEVALUE("Mar 31 2024")</f>
        <v>45382</v>
      </c>
      <c r="B2240" s="0" t="s">
        <v>2272</v>
      </c>
    </row>
    <row r="2241" customFormat="false" ht="15" hidden="false" customHeight="false" outlineLevel="0" collapsed="false">
      <c r="A2241" s="0" t="n">
        <f aca="false">DATEVALUE("Mar 12 12")</f>
        <v>40980</v>
      </c>
      <c r="B2241" s="0" t="s">
        <v>2273</v>
      </c>
    </row>
    <row r="2242" customFormat="false" ht="15" hidden="false" customHeight="false" outlineLevel="0" collapsed="false">
      <c r="A2242" s="0" t="n">
        <f aca="false">DATEVALUE("Mar 1 24")</f>
        <v>45352</v>
      </c>
      <c r="B2242" s="0" t="s">
        <v>2274</v>
      </c>
    </row>
    <row r="2243" customFormat="false" ht="15" hidden="false" customHeight="false" outlineLevel="0" collapsed="false">
      <c r="A2243" s="0" t="n">
        <f aca="false">DATEVALUE("Mar/1/2024")</f>
        <v>45352</v>
      </c>
      <c r="B2243" s="0" t="s">
        <v>2275</v>
      </c>
    </row>
    <row r="2244" customFormat="false" ht="15" hidden="false" customHeight="false" outlineLevel="0" collapsed="false">
      <c r="A2244" s="0" t="n">
        <f aca="false">DATEVALUE("Mar 1 2024 10:30")</f>
        <v>45352</v>
      </c>
      <c r="B2244" s="0" t="s">
        <v>2276</v>
      </c>
    </row>
    <row r="2245" customFormat="false" ht="15" hidden="false" customHeight="false" outlineLevel="0" collapsed="false">
      <c r="A2245" s="0" t="n">
        <f aca="false">DATEVALUE("Mar 1, 2024 10:30")</f>
        <v>45352</v>
      </c>
      <c r="B2245" s="0" t="s">
        <v>2277</v>
      </c>
    </row>
    <row r="2246" customFormat="false" ht="15" hidden="false" customHeight="false" outlineLevel="0" collapsed="false">
      <c r="A2246" s="0" t="e">
        <f aca="false">DATEVALUE("1 Mar 2024")</f>
        <v>#VALUE!</v>
      </c>
      <c r="B2246" s="0" t="s">
        <v>2278</v>
      </c>
    </row>
    <row r="2247" customFormat="false" ht="15" hidden="false" customHeight="false" outlineLevel="0" collapsed="false">
      <c r="A2247" s="0" t="e">
        <f aca="false">DATEVALUE("1 March 2024")</f>
        <v>#VALUE!</v>
      </c>
      <c r="B2247" s="0" t="s">
        <v>2279</v>
      </c>
    </row>
    <row r="2248" customFormat="false" ht="15" hidden="false" customHeight="false" outlineLevel="0" collapsed="false">
      <c r="A2248" s="0" t="e">
        <f aca="false">DATEVALUE("1/Mar/2024")</f>
        <v>#VALUE!</v>
      </c>
      <c r="B2248" s="0" t="s">
        <v>2280</v>
      </c>
    </row>
    <row r="2249" customFormat="false" ht="15" hidden="false" customHeight="false" outlineLevel="0" collapsed="false">
      <c r="A2249" s="0" t="e">
        <f aca="false">DATEVALUE("2024 Mar")</f>
        <v>#VALUE!</v>
      </c>
      <c r="B2249" s="0" t="s">
        <v>2281</v>
      </c>
    </row>
    <row r="2250" customFormat="false" ht="15" hidden="false" customHeight="false" outlineLevel="0" collapsed="false">
      <c r="A2250" s="0" t="e">
        <f aca="false">DATEVALUE("2024 Mar 1")</f>
        <v>#VALUE!</v>
      </c>
      <c r="B2250" s="0" t="s">
        <v>2282</v>
      </c>
    </row>
    <row r="2251" customFormat="false" ht="15" hidden="false" customHeight="false" outlineLevel="0" collapsed="false">
      <c r="A2251" s="0" t="e">
        <f aca="false">DATEVALUE("Mar-1-2024")</f>
        <v>#VALUE!</v>
      </c>
      <c r="B2251" s="0" t="s">
        <v>2283</v>
      </c>
    </row>
    <row r="2252" customFormat="false" ht="15" hidden="false" customHeight="false" outlineLevel="0" collapsed="false">
      <c r="A2252" s="0" t="e">
        <f aca="false">DATEVALUE("1 Mar, 2024")</f>
        <v>#VALUE!</v>
      </c>
      <c r="B2252" s="0" t="s">
        <v>2284</v>
      </c>
    </row>
    <row r="2253" customFormat="false" ht="15" hidden="false" customHeight="false" outlineLevel="0" collapsed="false">
      <c r="A2253" s="0" t="e">
        <f aca="false">DATEVALUE("Mar 32 2024")</f>
        <v>#VALUE!</v>
      </c>
      <c r="B2253" s="0" t="s">
        <v>2285</v>
      </c>
    </row>
    <row r="2254" customFormat="false" ht="15" hidden="false" customHeight="false" outlineLevel="0" collapsed="false">
      <c r="A2254" s="0" t="e">
        <f aca="false">DATEVALUE("Feb 30 2024")</f>
        <v>#VALUE!</v>
      </c>
      <c r="B2254" s="0" t="s">
        <v>2286</v>
      </c>
    </row>
    <row r="2255" customFormat="false" ht="15" hidden="false" customHeight="false" outlineLevel="0" collapsed="false">
      <c r="A2255" s="0" t="e">
        <f aca="false">DATEVALUE("29 Feb 2023")</f>
        <v>#VALUE!</v>
      </c>
      <c r="B2255" s="0" t="s">
        <v>2287</v>
      </c>
    </row>
    <row r="2256" customFormat="false" ht="15" hidden="false" customHeight="false" outlineLevel="0" collapsed="false">
      <c r="A2256" s="0" t="e">
        <f aca="false">DATEVALUE("1st Mar 2024")</f>
        <v>#VALUE!</v>
      </c>
      <c r="B2256" s="0" t="s">
        <v>2288</v>
      </c>
    </row>
    <row r="2257" customFormat="false" ht="15" hidden="false" customHeight="false" outlineLevel="0" collapsed="false">
      <c r="A2257" s="0" t="e">
        <f aca="false">DATEVALUE("1 Mar 2024 x")</f>
        <v>#VALUE!</v>
      </c>
      <c r="B2257" s="0" t="s">
        <v>2289</v>
      </c>
    </row>
    <row r="2258" customFormat="false" ht="15" hidden="false" customHeight="false" outlineLevel="0" collapsed="false">
      <c r="A2258" s="0" t="e">
        <f aca="false">DATEVALUE("1 de marzo de 2024")</f>
        <v>#VALUE!</v>
      </c>
      <c r="B2258" s="0" t="s">
        <v>2290</v>
      </c>
    </row>
    <row r="2259" customFormat="false" ht="15" hidden="false" customHeight="false" outlineLevel="0" collapsed="false">
      <c r="A2259" s="0" t="e">
        <f aca="false">DATEVALUE("1 Mar 24")</f>
        <v>#VALUE!</v>
      </c>
      <c r="B2259" s="0" t="s">
        <v>2291</v>
      </c>
    </row>
    <row r="2260" customFormat="false" ht="15" hidden="false" customHeight="false" outlineLevel="0" collapsed="false">
      <c r="A2260" s="0" t="n">
        <f aca="false">WEEKS(45292,45299,0)</f>
        <v>1</v>
      </c>
      <c r="B2260" s="0" t="s">
        <v>2292</v>
      </c>
    </row>
    <row r="2261" customFormat="false" ht="15" hidden="false" customHeight="false" outlineLevel="0" collapsed="false">
      <c r="A2261" s="0" t="n">
        <f aca="false">WEEKS(45292,45299,1)</f>
        <v>1</v>
      </c>
      <c r="B2261" s="0" t="s">
        <v>2293</v>
      </c>
    </row>
    <row r="2262" customFormat="false" ht="15" hidden="false" customHeight="false" outlineLevel="0" collapsed="false">
      <c r="A2262" s="0" t="n">
        <f aca="false">WEEKS(45292,45298,0)</f>
        <v>0</v>
      </c>
      <c r="B2262" s="0" t="s">
        <v>2294</v>
      </c>
    </row>
    <row r="2263" customFormat="false" ht="15" hidden="false" customHeight="false" outlineLevel="0" collapsed="false">
      <c r="A2263" s="0" t="n">
        <f aca="false">WEEKS(45299,45292,0)</f>
        <v>-1</v>
      </c>
      <c r="B2263" s="0" t="s">
        <v>2295</v>
      </c>
    </row>
    <row r="2264" customFormat="false" ht="15" hidden="false" customHeight="false" outlineLevel="0" collapsed="false">
      <c r="A2264" s="0" t="n">
        <f aca="false">WEEKS(45299,45292,1)</f>
        <v>-1</v>
      </c>
      <c r="B2264" s="0" t="s">
        <v>2296</v>
      </c>
    </row>
    <row r="2265" customFormat="false" ht="15" hidden="false" customHeight="false" outlineLevel="0" collapsed="false">
      <c r="A2265" s="0" t="n">
        <f aca="false">WEEKS(45292,45292,0)</f>
        <v>0</v>
      </c>
      <c r="B2265" s="0" t="s">
        <v>2297</v>
      </c>
    </row>
    <row r="2266" customFormat="false" ht="15" hidden="false" customHeight="false" outlineLevel="0" collapsed="false">
      <c r="A2266" s="0" t="n">
        <f aca="false">WEEKS(45292,45292,1)</f>
        <v>0</v>
      </c>
      <c r="B2266" s="0" t="s">
        <v>2298</v>
      </c>
    </row>
    <row r="2267" customFormat="false" ht="15" hidden="false" customHeight="false" outlineLevel="0" collapsed="false">
      <c r="A2267" s="0" t="n">
        <f aca="false">WEEKS(45293,45300,1)</f>
        <v>1</v>
      </c>
      <c r="B2267" s="0" t="s">
        <v>2299</v>
      </c>
    </row>
    <row r="2268" customFormat="false" ht="15" hidden="false" customHeight="false" outlineLevel="0" collapsed="false">
      <c r="A2268" s="0" t="n">
        <f aca="false">WEEKS(45292.9,45299.1,0)</f>
        <v>1</v>
      </c>
      <c r="B2268" s="0" t="s">
        <v>2300</v>
      </c>
    </row>
    <row r="2269" customFormat="false" ht="15" hidden="false" customHeight="false" outlineLevel="0" collapsed="false">
      <c r="A2269" s="0" t="n">
        <f aca="false">WEEKS(45292,45499,1)</f>
        <v>29</v>
      </c>
      <c r="B2269" s="0" t="s">
        <v>2301</v>
      </c>
    </row>
    <row r="2270" customFormat="false" ht="15" hidden="false" customHeight="false" outlineLevel="0" collapsed="false">
      <c r="A2270" s="0" t="e">
        <f aca="false">WEEKS(45292,45299,2)</f>
        <v>#VALUE!</v>
      </c>
      <c r="B2270" s="0" t="s">
        <v>2302</v>
      </c>
    </row>
    <row r="2271" customFormat="false" ht="15" hidden="false" customHeight="false" outlineLevel="0" collapsed="false">
      <c r="A2271" s="0" t="e">
        <f aca="false">WEEKS(45292,45299,-1)</f>
        <v>#VALUE!</v>
      </c>
      <c r="B2271" s="0" t="s">
        <v>2303</v>
      </c>
    </row>
    <row r="2272" customFormat="false" ht="15" hidden="false" customHeight="false" outlineLevel="0" collapsed="false">
      <c r="A2272" s="0" t="e">
        <f aca="false">WEEKS(45292,45299)</f>
        <v>#VALUE!</v>
      </c>
      <c r="B2272" s="0" t="s">
        <v>2304</v>
      </c>
    </row>
    <row r="2273" customFormat="false" ht="15" hidden="false" customHeight="false" outlineLevel="0" collapsed="false">
      <c r="A2273" s="0" t="n">
        <f aca="false">WEEKS("2024-01-01","2024-01-15",0)</f>
        <v>2</v>
      </c>
      <c r="B2273" s="0" t="s">
        <v>2305</v>
      </c>
    </row>
    <row r="2274" customFormat="false" ht="15" hidden="false" customHeight="false" outlineLevel="0" collapsed="false">
      <c r="A2274" s="0" t="n">
        <f aca="false">WEEKS(45292,45299,TRUE())</f>
        <v>1</v>
      </c>
      <c r="B2274" s="0" t="s">
        <v>2306</v>
      </c>
    </row>
    <row r="2275" customFormat="false" ht="15" hidden="false" customHeight="false" outlineLevel="0" collapsed="false">
      <c r="A2275" s="0" t="n">
        <f aca="false">WEEKS(0,7,0)</f>
        <v>1</v>
      </c>
      <c r="B2275" s="0" t="s">
        <v>2307</v>
      </c>
    </row>
    <row r="2276" customFormat="false" ht="15" hidden="false" customHeight="false" outlineLevel="0" collapsed="false">
      <c r="A2276" s="0" t="n">
        <f aca="false">WEEKS(-1,7,0)</f>
        <v>1</v>
      </c>
      <c r="B2276" s="0" t="s">
        <v>2308</v>
      </c>
    </row>
    <row r="2277" customFormat="false" ht="15" hidden="false" customHeight="false" outlineLevel="0" collapsed="false">
      <c r="A2277" s="0" t="e">
        <f aca="false">WEEKS(45292,45299,"x")</f>
        <v>#VALUE!</v>
      </c>
      <c r="B2277" s="0" t="s">
        <v>2309</v>
      </c>
    </row>
    <row r="2278" customFormat="false" ht="15" hidden="false" customHeight="false" outlineLevel="0" collapsed="false">
      <c r="A2278" s="0" t="n">
        <f aca="false">WEEKS(45290,45299,1)</f>
        <v>2</v>
      </c>
      <c r="B2278" s="0" t="s">
        <v>2310</v>
      </c>
    </row>
    <row r="2279" customFormat="false" ht="15" hidden="false" customHeight="false" outlineLevel="0" collapsed="false">
      <c r="A2279" s="0" t="n">
        <f aca="false">WEEKS(45291,45298,1)</f>
        <v>1</v>
      </c>
      <c r="B2279" s="0" t="s">
        <v>2311</v>
      </c>
    </row>
    <row r="2280" customFormat="false" ht="15" hidden="false" customHeight="false" outlineLevel="0" collapsed="false">
      <c r="A2280" s="0" t="n">
        <f aca="false">WEEKS(45297,45298,1)</f>
        <v>0</v>
      </c>
      <c r="B2280" s="0" t="s">
        <v>2312</v>
      </c>
    </row>
    <row r="2281" customFormat="false" ht="15" hidden="false" customHeight="false" outlineLevel="0" collapsed="false">
      <c r="A2281" s="0" t="n">
        <f aca="false">MONTHS(45292,45323,0)</f>
        <v>1</v>
      </c>
      <c r="B2281" s="0" t="s">
        <v>2313</v>
      </c>
    </row>
    <row r="2282" customFormat="false" ht="15" hidden="false" customHeight="false" outlineLevel="0" collapsed="false">
      <c r="A2282" s="0" t="n">
        <f aca="false">MONTHS(45292,45322,0)</f>
        <v>0</v>
      </c>
      <c r="B2282" s="0" t="s">
        <v>2314</v>
      </c>
    </row>
    <row r="2283" customFormat="false" ht="15" hidden="false" customHeight="false" outlineLevel="0" collapsed="false">
      <c r="A2283" s="0" t="n">
        <f aca="false">MONTHS(45292,45323,1)</f>
        <v>1</v>
      </c>
      <c r="B2283" s="0" t="s">
        <v>2315</v>
      </c>
    </row>
    <row r="2284" customFormat="false" ht="15" hidden="false" customHeight="false" outlineLevel="0" collapsed="false">
      <c r="A2284" s="0" t="n">
        <f aca="false">MONTHS(45323,45292,0)</f>
        <v>-1</v>
      </c>
      <c r="B2284" s="0" t="s">
        <v>2316</v>
      </c>
    </row>
    <row r="2285" customFormat="false" ht="15" hidden="false" customHeight="false" outlineLevel="0" collapsed="false">
      <c r="A2285" s="0" t="n">
        <f aca="false">MONTHS(45323,45292,1)</f>
        <v>-1</v>
      </c>
      <c r="B2285" s="0" t="s">
        <v>2317</v>
      </c>
    </row>
    <row r="2286" customFormat="false" ht="15" hidden="false" customHeight="false" outlineLevel="0" collapsed="false">
      <c r="A2286" s="0" t="n">
        <f aca="false">MONTHS(45306,45337,0)</f>
        <v>1</v>
      </c>
      <c r="B2286" s="0" t="s">
        <v>2318</v>
      </c>
    </row>
    <row r="2287" customFormat="false" ht="15" hidden="false" customHeight="false" outlineLevel="0" collapsed="false">
      <c r="A2287" s="0" t="n">
        <f aca="false">MONTHS(45306,45337,1)</f>
        <v>1</v>
      </c>
      <c r="B2287" s="0" t="s">
        <v>2319</v>
      </c>
    </row>
    <row r="2288" customFormat="false" ht="15" hidden="false" customHeight="false" outlineLevel="0" collapsed="false">
      <c r="A2288" s="0" t="n">
        <f aca="false">MONTHS(45322,45323,1)</f>
        <v>1</v>
      </c>
      <c r="B2288" s="0" t="s">
        <v>2320</v>
      </c>
    </row>
    <row r="2289" customFormat="false" ht="15" hidden="false" customHeight="false" outlineLevel="0" collapsed="false">
      <c r="A2289" s="0" t="n">
        <f aca="false">MONTHS(45322,45351,0)</f>
        <v>0</v>
      </c>
      <c r="B2289" s="0" t="s">
        <v>2321</v>
      </c>
    </row>
    <row r="2290" customFormat="false" ht="15" hidden="false" customHeight="false" outlineLevel="0" collapsed="false">
      <c r="A2290" s="0" t="n">
        <f aca="false">MONTHS(45322,45352,0)</f>
        <v>1</v>
      </c>
      <c r="B2290" s="0" t="s">
        <v>2322</v>
      </c>
    </row>
    <row r="2291" customFormat="false" ht="15" hidden="false" customHeight="false" outlineLevel="0" collapsed="false">
      <c r="A2291" s="0" t="n">
        <f aca="false">MONTHS(45322,45351,1)</f>
        <v>1</v>
      </c>
      <c r="B2291" s="0" t="s">
        <v>2323</v>
      </c>
    </row>
    <row r="2292" customFormat="false" ht="15" hidden="false" customHeight="false" outlineLevel="0" collapsed="false">
      <c r="A2292" s="0" t="n">
        <f aca="false">MONTHS(45292,45292,0)</f>
        <v>0</v>
      </c>
      <c r="B2292" s="0" t="s">
        <v>2324</v>
      </c>
    </row>
    <row r="2293" customFormat="false" ht="15" hidden="false" customHeight="false" outlineLevel="0" collapsed="false">
      <c r="A2293" s="0" t="n">
        <f aca="false">MONTHS(45292,45292,1)</f>
        <v>0</v>
      </c>
      <c r="B2293" s="0" t="s">
        <v>2325</v>
      </c>
    </row>
    <row r="2294" customFormat="false" ht="15" hidden="false" customHeight="false" outlineLevel="0" collapsed="false">
      <c r="A2294" s="0" t="n">
        <f aca="false">MONTHS(45292.5,45323.5,0)</f>
        <v>1</v>
      </c>
      <c r="B2294" s="0" t="s">
        <v>2326</v>
      </c>
    </row>
    <row r="2295" customFormat="false" ht="15" hidden="false" customHeight="false" outlineLevel="0" collapsed="false">
      <c r="A2295" s="0" t="n">
        <f aca="false">MONTHS(45291,45292,1)</f>
        <v>1</v>
      </c>
      <c r="B2295" s="0" t="s">
        <v>2327</v>
      </c>
    </row>
    <row r="2296" customFormat="false" ht="15" hidden="false" customHeight="false" outlineLevel="0" collapsed="false">
      <c r="A2296" s="0" t="n">
        <f aca="false">MONTHS(45292,45657,0)</f>
        <v>11</v>
      </c>
      <c r="B2296" s="0" t="s">
        <v>2328</v>
      </c>
    </row>
    <row r="2297" customFormat="false" ht="15" hidden="false" customHeight="false" outlineLevel="0" collapsed="false">
      <c r="A2297" s="0" t="n">
        <f aca="false">MONTHS(45292,45657,1)</f>
        <v>11</v>
      </c>
      <c r="B2297" s="0" t="s">
        <v>2329</v>
      </c>
    </row>
    <row r="2298" customFormat="false" ht="15" hidden="false" customHeight="false" outlineLevel="0" collapsed="false">
      <c r="A2298" s="0" t="e">
        <f aca="false">MONTHS(45292,45323,2)</f>
        <v>#VALUE!</v>
      </c>
      <c r="B2298" s="0" t="s">
        <v>2330</v>
      </c>
    </row>
    <row r="2299" customFormat="false" ht="15" hidden="false" customHeight="false" outlineLevel="0" collapsed="false">
      <c r="A2299" s="0" t="e">
        <f aca="false">MONTHS(45292,45323)</f>
        <v>#VALUE!</v>
      </c>
      <c r="B2299" s="0" t="s">
        <v>2331</v>
      </c>
    </row>
    <row r="2300" customFormat="false" ht="15" hidden="false" customHeight="false" outlineLevel="0" collapsed="false">
      <c r="A2300" s="0" t="n">
        <f aca="false">MONTHS(45322,45351,0)</f>
        <v>0</v>
      </c>
      <c r="B2300" s="0" t="s">
        <v>2321</v>
      </c>
    </row>
    <row r="2301" customFormat="false" ht="15" hidden="false" customHeight="false" outlineLevel="0" collapsed="false">
      <c r="A2301" s="0" t="n">
        <f aca="false">MONTHS(DATE(2024,1,31),DATE(2024,2,29),0)</f>
        <v>0</v>
      </c>
      <c r="B2301" s="0" t="s">
        <v>2332</v>
      </c>
    </row>
    <row r="2302" customFormat="false" ht="15" hidden="false" customHeight="false" outlineLevel="0" collapsed="false">
      <c r="A2302" s="0" t="n">
        <f aca="false">MONTHS(DATE(2024,1,31),DATE(2024,3,1),0)</f>
        <v>1</v>
      </c>
      <c r="B2302" s="0" t="s">
        <v>2333</v>
      </c>
    </row>
    <row r="2303" customFormat="false" ht="15" hidden="false" customHeight="false" outlineLevel="0" collapsed="false">
      <c r="A2303" s="0" t="n">
        <f aca="false">MONTHS(DATE(2024,2,29),DATE(2025,2,28),0)</f>
        <v>11</v>
      </c>
      <c r="B2303" s="0" t="s">
        <v>2334</v>
      </c>
    </row>
    <row r="2304" customFormat="false" ht="15" hidden="false" customHeight="false" outlineLevel="0" collapsed="false">
      <c r="A2304" s="0" t="n">
        <f aca="false">MONTHS(DATE(2024,2,29),DATE(2025,2,28),1)</f>
        <v>12</v>
      </c>
      <c r="B2304" s="0" t="s">
        <v>2335</v>
      </c>
    </row>
    <row r="2305" customFormat="false" ht="15" hidden="false" customHeight="false" outlineLevel="0" collapsed="false">
      <c r="A2305" s="0" t="n">
        <f aca="false">MONTHS(DATE(2024,2,29),DATE(2025,3,1),0)</f>
        <v>12</v>
      </c>
      <c r="B2305" s="0" t="s">
        <v>2336</v>
      </c>
    </row>
    <row r="2306" customFormat="false" ht="15" hidden="false" customHeight="false" outlineLevel="0" collapsed="false">
      <c r="A2306" s="0" t="n">
        <f aca="false">YEARS(45292,45658,0)</f>
        <v>1</v>
      </c>
      <c r="B2306" s="0" t="s">
        <v>2337</v>
      </c>
    </row>
    <row r="2307" customFormat="false" ht="15" hidden="false" customHeight="false" outlineLevel="0" collapsed="false">
      <c r="A2307" s="0" t="n">
        <f aca="false">YEARS(45292,45657,0)</f>
        <v>0</v>
      </c>
      <c r="B2307" s="0" t="s">
        <v>2338</v>
      </c>
    </row>
    <row r="2308" customFormat="false" ht="15" hidden="false" customHeight="false" outlineLevel="0" collapsed="false">
      <c r="A2308" s="0" t="n">
        <f aca="false">YEARS(45292,45658,1)</f>
        <v>1</v>
      </c>
      <c r="B2308" s="0" t="s">
        <v>2339</v>
      </c>
    </row>
    <row r="2309" customFormat="false" ht="15" hidden="false" customHeight="false" outlineLevel="0" collapsed="false">
      <c r="A2309" s="0" t="n">
        <f aca="false">YEARS(45658,45292,0)</f>
        <v>-1</v>
      </c>
      <c r="B2309" s="0" t="s">
        <v>2340</v>
      </c>
    </row>
    <row r="2310" customFormat="false" ht="15" hidden="false" customHeight="false" outlineLevel="0" collapsed="false">
      <c r="A2310" s="0" t="n">
        <f aca="false">YEARS(45658,45292,1)</f>
        <v>-1</v>
      </c>
      <c r="B2310" s="0" t="s">
        <v>2341</v>
      </c>
    </row>
    <row r="2311" customFormat="false" ht="15" hidden="false" customHeight="false" outlineLevel="0" collapsed="false">
      <c r="A2311" s="0" t="n">
        <f aca="false">YEARS(DATE(2024,2,29),DATE(2025,2,28),0)</f>
        <v>0</v>
      </c>
      <c r="B2311" s="0" t="s">
        <v>2342</v>
      </c>
    </row>
    <row r="2312" customFormat="false" ht="15" hidden="false" customHeight="false" outlineLevel="0" collapsed="false">
      <c r="A2312" s="0" t="n">
        <f aca="false">YEARS(DATE(2024,2,29),DATE(2025,3,1),0)</f>
        <v>1</v>
      </c>
      <c r="B2312" s="0" t="s">
        <v>2343</v>
      </c>
    </row>
    <row r="2313" customFormat="false" ht="15" hidden="false" customHeight="false" outlineLevel="0" collapsed="false">
      <c r="A2313" s="0" t="n">
        <f aca="false">YEARS(DATE(2024,2,29),DATE(2028,2,29),0)</f>
        <v>4</v>
      </c>
      <c r="B2313" s="0" t="s">
        <v>2344</v>
      </c>
    </row>
    <row r="2314" customFormat="false" ht="15" hidden="false" customHeight="false" outlineLevel="0" collapsed="false">
      <c r="A2314" s="0" t="n">
        <f aca="false">YEARS(DATE(2024,2,29),DATE(2025,2,28),1)</f>
        <v>1</v>
      </c>
      <c r="B2314" s="0" t="s">
        <v>2345</v>
      </c>
    </row>
    <row r="2315" customFormat="false" ht="15" hidden="false" customHeight="false" outlineLevel="0" collapsed="false">
      <c r="A2315" s="0" t="n">
        <f aca="false">YEARS(DATE(2024,12,31),DATE(2025,1,1),1)</f>
        <v>1</v>
      </c>
      <c r="B2315" s="0" t="s">
        <v>2346</v>
      </c>
    </row>
    <row r="2316" customFormat="false" ht="15" hidden="false" customHeight="false" outlineLevel="0" collapsed="false">
      <c r="A2316" s="0" t="n">
        <f aca="false">YEARS(45292,45292,0)</f>
        <v>0</v>
      </c>
      <c r="B2316" s="0" t="s">
        <v>2347</v>
      </c>
    </row>
    <row r="2317" customFormat="false" ht="15" hidden="false" customHeight="false" outlineLevel="0" collapsed="false">
      <c r="A2317" s="0" t="n">
        <f aca="false">YEARS(45292,45292,1)</f>
        <v>0</v>
      </c>
      <c r="B2317" s="0" t="s">
        <v>2348</v>
      </c>
    </row>
    <row r="2318" customFormat="false" ht="15" hidden="false" customHeight="false" outlineLevel="0" collapsed="false">
      <c r="A2318" s="0" t="n">
        <f aca="false">YEARS(45292,46388,0)</f>
        <v>3</v>
      </c>
      <c r="B2318" s="0" t="s">
        <v>2349</v>
      </c>
    </row>
    <row r="2319" customFormat="false" ht="15" hidden="false" customHeight="false" outlineLevel="0" collapsed="false">
      <c r="A2319" s="0" t="n">
        <f aca="false">YEARS(45292,46752,1)</f>
        <v>3</v>
      </c>
      <c r="B2319" s="0" t="s">
        <v>2350</v>
      </c>
    </row>
    <row r="2320" customFormat="false" ht="15" hidden="false" customHeight="false" outlineLevel="0" collapsed="false">
      <c r="A2320" s="0" t="e">
        <f aca="false">YEARS(45292,45658,2)</f>
        <v>#VALUE!</v>
      </c>
      <c r="B2320" s="0" t="s">
        <v>2351</v>
      </c>
    </row>
    <row r="2321" customFormat="false" ht="15" hidden="false" customHeight="false" outlineLevel="0" collapsed="false">
      <c r="A2321" s="0" t="e">
        <f aca="false">YEARS(45292,45658)</f>
        <v>#VALUE!</v>
      </c>
      <c r="B2321" s="0" t="s">
        <v>2352</v>
      </c>
    </row>
    <row r="2322" customFormat="false" ht="15" hidden="false" customHeight="false" outlineLevel="0" collapsed="false">
      <c r="A2322" s="0" t="n">
        <f aca="false">YEARS(45292.5,45658.5,0)</f>
        <v>1</v>
      </c>
      <c r="B2322" s="0" t="s">
        <v>2353</v>
      </c>
    </row>
    <row r="2323" customFormat="false" ht="15" hidden="false" customHeight="false" outlineLevel="0" collapsed="false">
      <c r="A2323" s="0" t="n">
        <f aca="false">ISLEAPYEAR(45292)</f>
        <v>1</v>
      </c>
      <c r="B2323" s="0" t="s">
        <v>2354</v>
      </c>
    </row>
    <row r="2324" customFormat="false" ht="15" hidden="false" customHeight="false" outlineLevel="0" collapsed="false">
      <c r="A2324" s="0" t="n">
        <f aca="false">ISLEAPYEAR(45658)</f>
        <v>0</v>
      </c>
      <c r="B2324" s="0" t="s">
        <v>2355</v>
      </c>
    </row>
    <row r="2325" customFormat="false" ht="15" hidden="false" customHeight="false" outlineLevel="0" collapsed="false">
      <c r="A2325" s="0" t="n">
        <f aca="false">ISLEAPYEAR(DATE(1900,1,1))</f>
        <v>0</v>
      </c>
      <c r="B2325" s="0" t="s">
        <v>2356</v>
      </c>
    </row>
    <row r="2326" customFormat="false" ht="15" hidden="false" customHeight="false" outlineLevel="0" collapsed="false">
      <c r="A2326" s="0" t="n">
        <f aca="false">ISLEAPYEAR(DATE(2000,6,1))</f>
        <v>1</v>
      </c>
      <c r="B2326" s="0" t="s">
        <v>2357</v>
      </c>
    </row>
    <row r="2327" customFormat="false" ht="15" hidden="false" customHeight="false" outlineLevel="0" collapsed="false">
      <c r="A2327" s="0" t="n">
        <f aca="false">ISLEAPYEAR(DATE(2100,6,1))</f>
        <v>0</v>
      </c>
      <c r="B2327" s="0" t="s">
        <v>2358</v>
      </c>
    </row>
    <row r="2328" customFormat="false" ht="15" hidden="false" customHeight="false" outlineLevel="0" collapsed="false">
      <c r="A2328" s="0" t="n">
        <f aca="false">ISLEAPYEAR(0)</f>
        <v>0</v>
      </c>
      <c r="B2328" s="0" t="s">
        <v>2359</v>
      </c>
    </row>
    <row r="2329" customFormat="false" ht="15" hidden="false" customHeight="false" outlineLevel="0" collapsed="false">
      <c r="A2329" s="0" t="n">
        <f aca="false">ISLEAPYEAR(1)</f>
        <v>0</v>
      </c>
      <c r="B2329" s="0" t="s">
        <v>2360</v>
      </c>
    </row>
    <row r="2330" customFormat="false" ht="15" hidden="false" customHeight="false" outlineLevel="0" collapsed="false">
      <c r="A2330" s="0" t="n">
        <f aca="false">ISLEAPYEAR(-1)</f>
        <v>0</v>
      </c>
      <c r="B2330" s="0" t="s">
        <v>2361</v>
      </c>
    </row>
    <row r="2331" customFormat="false" ht="15" hidden="false" customHeight="false" outlineLevel="0" collapsed="false">
      <c r="A2331" s="0" t="n">
        <f aca="false">ISLEAPYEAR(60)</f>
        <v>0</v>
      </c>
      <c r="B2331" s="0" t="s">
        <v>2362</v>
      </c>
    </row>
    <row r="2332" customFormat="false" ht="15" hidden="false" customHeight="false" outlineLevel="0" collapsed="false">
      <c r="A2332" s="0" t="n">
        <f aca="false">ISLEAPYEAR("2024-03-01")</f>
        <v>1</v>
      </c>
      <c r="B2332" s="0" t="s">
        <v>2363</v>
      </c>
    </row>
    <row r="2333" customFormat="false" ht="15" hidden="false" customHeight="false" outlineLevel="0" collapsed="false">
      <c r="A2333" s="0" t="n">
        <f aca="false">ISLEAPYEAR(TRUE())</f>
        <v>0</v>
      </c>
      <c r="B2333" s="0" t="s">
        <v>2364</v>
      </c>
    </row>
    <row r="2334" customFormat="false" ht="15" hidden="false" customHeight="false" outlineLevel="0" collapsed="false">
      <c r="A2334" s="0" t="e">
        <f aca="false">ISLEAPYEAR("x")</f>
        <v>#VALUE!</v>
      </c>
      <c r="B2334" s="0" t="s">
        <v>2365</v>
      </c>
    </row>
    <row r="2335" customFormat="false" ht="15" hidden="false" customHeight="false" outlineLevel="0" collapsed="false">
      <c r="A2335" s="0" t="n">
        <f aca="false">ISLEAPYEAR(2958465)</f>
        <v>0</v>
      </c>
      <c r="B2335" s="0" t="s">
        <v>2366</v>
      </c>
    </row>
    <row r="2336" customFormat="false" ht="15" hidden="false" customHeight="false" outlineLevel="0" collapsed="false">
      <c r="A2336" s="0" t="n">
        <f aca="false">ISLEAPYEAR(2958466)</f>
        <v>1</v>
      </c>
      <c r="B2336" s="0" t="s">
        <v>2367</v>
      </c>
    </row>
    <row r="2337" customFormat="false" ht="15" hidden="false" customHeight="false" outlineLevel="0" collapsed="false">
      <c r="A2337" s="0" t="n">
        <f aca="false">ISLEAPYEAR(45292.9)</f>
        <v>1</v>
      </c>
      <c r="B2337" s="0" t="s">
        <v>2368</v>
      </c>
    </row>
    <row r="2338" customFormat="false" ht="15" hidden="false" customHeight="false" outlineLevel="0" collapsed="false">
      <c r="A2338" s="0" t="n">
        <f aca="false">DAYSINMONTH(45292)</f>
        <v>31</v>
      </c>
      <c r="B2338" s="0" t="s">
        <v>2369</v>
      </c>
    </row>
    <row r="2339" customFormat="false" ht="15" hidden="false" customHeight="false" outlineLevel="0" collapsed="false">
      <c r="A2339" s="0" t="n">
        <f aca="false">DAYSINMONTH(DATE(2024,2,10))</f>
        <v>29</v>
      </c>
      <c r="B2339" s="0" t="s">
        <v>2370</v>
      </c>
    </row>
    <row r="2340" customFormat="false" ht="15" hidden="false" customHeight="false" outlineLevel="0" collapsed="false">
      <c r="A2340" s="0" t="n">
        <f aca="false">DAYSINMONTH(DATE(2023,2,10))</f>
        <v>28</v>
      </c>
      <c r="B2340" s="0" t="s">
        <v>2371</v>
      </c>
    </row>
    <row r="2341" customFormat="false" ht="15" hidden="false" customHeight="false" outlineLevel="0" collapsed="false">
      <c r="A2341" s="0" t="n">
        <f aca="false">DAYSINMONTH(DATE(1900,2,10))</f>
        <v>28</v>
      </c>
      <c r="B2341" s="0" t="s">
        <v>2372</v>
      </c>
    </row>
    <row r="2342" customFormat="false" ht="15" hidden="false" customHeight="false" outlineLevel="0" collapsed="false">
      <c r="A2342" s="0" t="n">
        <f aca="false">DAYSINMONTH(DATE(2024,4,30))</f>
        <v>30</v>
      </c>
      <c r="B2342" s="0" t="s">
        <v>2373</v>
      </c>
    </row>
    <row r="2343" customFormat="false" ht="15" hidden="false" customHeight="false" outlineLevel="0" collapsed="false">
      <c r="A2343" s="0" t="n">
        <f aca="false">DAYSINMONTH(0)</f>
        <v>31</v>
      </c>
      <c r="B2343" s="0" t="s">
        <v>2374</v>
      </c>
    </row>
    <row r="2344" customFormat="false" ht="15" hidden="false" customHeight="false" outlineLevel="0" collapsed="false">
      <c r="A2344" s="0" t="n">
        <f aca="false">DAYSINMONTH(-1)</f>
        <v>31</v>
      </c>
      <c r="B2344" s="0" t="s">
        <v>2375</v>
      </c>
    </row>
    <row r="2345" customFormat="false" ht="15" hidden="false" customHeight="false" outlineLevel="0" collapsed="false">
      <c r="A2345" s="0" t="n">
        <f aca="false">DAYSINMONTH("2024-02-01")</f>
        <v>29</v>
      </c>
      <c r="B2345" s="0" t="s">
        <v>2376</v>
      </c>
    </row>
    <row r="2346" customFormat="false" ht="15" hidden="false" customHeight="false" outlineLevel="0" collapsed="false">
      <c r="A2346" s="0" t="e">
        <f aca="false">DAYSINMONTH("x")</f>
        <v>#VALUE!</v>
      </c>
      <c r="B2346" s="0" t="s">
        <v>2377</v>
      </c>
    </row>
    <row r="2347" customFormat="false" ht="15" hidden="false" customHeight="false" outlineLevel="0" collapsed="false">
      <c r="A2347" s="0" t="n">
        <f aca="false">DAYSINMONTH(2958465)</f>
        <v>31</v>
      </c>
      <c r="B2347" s="0" t="s">
        <v>2378</v>
      </c>
    </row>
    <row r="2348" customFormat="false" ht="15" hidden="false" customHeight="false" outlineLevel="0" collapsed="false">
      <c r="A2348" s="0" t="n">
        <f aca="false">DAYSINMONTH(45292.9)</f>
        <v>31</v>
      </c>
      <c r="B2348" s="0" t="s">
        <v>2379</v>
      </c>
    </row>
    <row r="2349" customFormat="false" ht="15" hidden="false" customHeight="false" outlineLevel="0" collapsed="false">
      <c r="A2349" s="0" t="n">
        <f aca="false">DAYSINMONTH(TRUE())</f>
        <v>31</v>
      </c>
      <c r="B2349" s="0" t="s">
        <v>2380</v>
      </c>
    </row>
    <row r="2350" customFormat="false" ht="15" hidden="false" customHeight="false" outlineLevel="0" collapsed="false">
      <c r="A2350" s="0" t="n">
        <f aca="false">DAYSINYEAR(45292)</f>
        <v>366</v>
      </c>
      <c r="B2350" s="0" t="s">
        <v>2381</v>
      </c>
    </row>
    <row r="2351" customFormat="false" ht="15" hidden="false" customHeight="false" outlineLevel="0" collapsed="false">
      <c r="A2351" s="0" t="n">
        <f aca="false">DAYSINYEAR(45658)</f>
        <v>365</v>
      </c>
      <c r="B2351" s="0" t="s">
        <v>2382</v>
      </c>
    </row>
    <row r="2352" customFormat="false" ht="15" hidden="false" customHeight="false" outlineLevel="0" collapsed="false">
      <c r="A2352" s="0" t="n">
        <f aca="false">DAYSINYEAR(DATE(1900,3,1))</f>
        <v>365</v>
      </c>
      <c r="B2352" s="0" t="s">
        <v>2383</v>
      </c>
    </row>
    <row r="2353" customFormat="false" ht="15" hidden="false" customHeight="false" outlineLevel="0" collapsed="false">
      <c r="A2353" s="0" t="n">
        <f aca="false">DAYSINYEAR(0)</f>
        <v>365</v>
      </c>
      <c r="B2353" s="0" t="s">
        <v>2384</v>
      </c>
    </row>
    <row r="2354" customFormat="false" ht="15" hidden="false" customHeight="false" outlineLevel="0" collapsed="false">
      <c r="A2354" s="0" t="n">
        <f aca="false">DAYSINYEAR(-1)</f>
        <v>365</v>
      </c>
      <c r="B2354" s="0" t="s">
        <v>2385</v>
      </c>
    </row>
    <row r="2355" customFormat="false" ht="15" hidden="false" customHeight="false" outlineLevel="0" collapsed="false">
      <c r="A2355" s="0" t="n">
        <f aca="false">DAYSINYEAR("2024-02-01")</f>
        <v>366</v>
      </c>
      <c r="B2355" s="0" t="s">
        <v>2386</v>
      </c>
    </row>
    <row r="2356" customFormat="false" ht="15" hidden="false" customHeight="false" outlineLevel="0" collapsed="false">
      <c r="A2356" s="0" t="n">
        <f aca="false">WEEKSINYEAR(45292)</f>
        <v>52</v>
      </c>
      <c r="B2356" s="0" t="s">
        <v>2387</v>
      </c>
    </row>
    <row r="2357" customFormat="false" ht="15" hidden="false" customHeight="false" outlineLevel="0" collapsed="false">
      <c r="A2357" s="0" t="n">
        <f aca="false">WEEKSINYEAR(DATE(2020,6,1))</f>
        <v>53</v>
      </c>
      <c r="B2357" s="0" t="s">
        <v>2388</v>
      </c>
    </row>
    <row r="2358" customFormat="false" ht="15" hidden="false" customHeight="false" outlineLevel="0" collapsed="false">
      <c r="A2358" s="0" t="n">
        <f aca="false">WEEKSINYEAR(DATE(2015,6,1))</f>
        <v>53</v>
      </c>
      <c r="B2358" s="0" t="s">
        <v>2389</v>
      </c>
    </row>
    <row r="2359" customFormat="false" ht="15" hidden="false" customHeight="false" outlineLevel="0" collapsed="false">
      <c r="A2359" s="0" t="n">
        <f aca="false">WEEKSINYEAR(DATE(2026,6,1))</f>
        <v>53</v>
      </c>
      <c r="B2359" s="0" t="s">
        <v>2390</v>
      </c>
    </row>
    <row r="2360" customFormat="false" ht="15" hidden="false" customHeight="false" outlineLevel="0" collapsed="false">
      <c r="A2360" s="0" t="n">
        <f aca="false">WEEKSINYEAR(DATE(2021,6,1))</f>
        <v>52</v>
      </c>
      <c r="B2360" s="0" t="s">
        <v>2391</v>
      </c>
    </row>
    <row r="2361" customFormat="false" ht="15" hidden="false" customHeight="false" outlineLevel="0" collapsed="false">
      <c r="A2361" s="0" t="n">
        <f aca="false">WEEKSINYEAR(DATE(2004,6,1))</f>
        <v>53</v>
      </c>
      <c r="B2361" s="0" t="s">
        <v>2392</v>
      </c>
    </row>
    <row r="2362" customFormat="false" ht="15" hidden="false" customHeight="false" outlineLevel="0" collapsed="false">
      <c r="A2362" s="0" t="n">
        <f aca="false">WEEKSINYEAR(DATE(1900,6,1))</f>
        <v>52</v>
      </c>
      <c r="B2362" s="0" t="s">
        <v>2393</v>
      </c>
    </row>
    <row r="2363" customFormat="false" ht="15" hidden="false" customHeight="false" outlineLevel="0" collapsed="false">
      <c r="A2363" s="0" t="n">
        <f aca="false">WEEKSINYEAR(DATE(2099,6,1))</f>
        <v>53</v>
      </c>
      <c r="B2363" s="0" t="s">
        <v>2394</v>
      </c>
    </row>
    <row r="2364" customFormat="false" ht="15" hidden="false" customHeight="false" outlineLevel="0" collapsed="false">
      <c r="A2364" s="0" t="n">
        <f aca="false">WEEKSINYEAR(0)</f>
        <v>52</v>
      </c>
      <c r="B2364" s="0" t="s">
        <v>2395</v>
      </c>
    </row>
    <row r="2365" customFormat="false" ht="15" hidden="false" customHeight="false" outlineLevel="0" collapsed="false">
      <c r="A2365" s="0" t="n">
        <f aca="false">WEEKSINYEAR("2020-06-01")</f>
        <v>53</v>
      </c>
      <c r="B2365" s="0" t="s">
        <v>2396</v>
      </c>
    </row>
    <row r="2366" customFormat="false" ht="15" hidden="false" customHeight="false" outlineLevel="0" collapsed="false">
      <c r="A2366" s="0" t="n">
        <f aca="false">WEEKSINYEAR(-5)</f>
        <v>52</v>
      </c>
      <c r="B2366" s="0" t="s">
        <v>2397</v>
      </c>
    </row>
    <row r="2367" customFormat="false" ht="15" hidden="false" customHeight="false" outlineLevel="0" collapsed="false">
      <c r="A2367" s="0" t="n">
        <f aca="false">_xlfn.ORG.LIBREOFFICE.ROUNDSIG(1234.5678,2)</f>
        <v>1200</v>
      </c>
      <c r="B2367" s="0" t="s">
        <v>2398</v>
      </c>
    </row>
    <row r="2368" customFormat="false" ht="15" hidden="false" customHeight="false" outlineLevel="0" collapsed="false">
      <c r="A2368" s="0" t="n">
        <f aca="false">_xlfn.ORG.LIBREOFFICE.ROUNDSIG(1234.5678,6)</f>
        <v>1234.57</v>
      </c>
      <c r="B2368" s="0" t="s">
        <v>2399</v>
      </c>
    </row>
    <row r="2369" customFormat="false" ht="15" hidden="false" customHeight="false" outlineLevel="0" collapsed="false">
      <c r="A2369" s="0" t="n">
        <f aca="false">_xlfn.ORG.LIBREOFFICE.ROUNDSIG(0.00123456,3)</f>
        <v>0.00123</v>
      </c>
      <c r="B2369" s="0" t="s">
        <v>2400</v>
      </c>
    </row>
    <row r="2370" customFormat="false" ht="15" hidden="false" customHeight="false" outlineLevel="0" collapsed="false">
      <c r="A2370" s="0" t="n">
        <f aca="false">_xlfn.ORG.LIBREOFFICE.ROUNDSIG(-1234.5678,2)</f>
        <v>-1200</v>
      </c>
      <c r="B2370" s="0" t="s">
        <v>2401</v>
      </c>
    </row>
    <row r="2371" customFormat="false" ht="15" hidden="false" customHeight="false" outlineLevel="0" collapsed="false">
      <c r="A2371" s="0" t="e">
        <f aca="false">_xlfn.ORG.LIBREOFFICE.ROUNDSIG(1234.5678,0)</f>
        <v>#VALUE!</v>
      </c>
      <c r="B2371" s="0" t="s">
        <v>2402</v>
      </c>
    </row>
    <row r="2372" customFormat="false" ht="15" hidden="false" customHeight="false" outlineLevel="0" collapsed="false">
      <c r="A2372" s="0" t="e">
        <f aca="false">_xlfn.ORG.LIBREOFFICE.ROUNDSIG(1234.5678,-1)</f>
        <v>#VALUE!</v>
      </c>
      <c r="B2372" s="0" t="s">
        <v>2403</v>
      </c>
    </row>
    <row r="2373" customFormat="false" ht="15" hidden="false" customHeight="false" outlineLevel="0" collapsed="false">
      <c r="A2373" s="0" t="n">
        <f aca="false">_xlfn.ORG.LIBREOFFICE.ROUNDSIG(0,3)</f>
        <v>0</v>
      </c>
      <c r="B2373" s="0" t="s">
        <v>2404</v>
      </c>
    </row>
    <row r="2374" customFormat="false" ht="15" hidden="false" customHeight="false" outlineLevel="0" collapsed="false">
      <c r="A2374" s="0" t="n">
        <f aca="false">_xlfn.ORG.LIBREOFFICE.ROUNDSIG(1234.5678,1)</f>
        <v>1000</v>
      </c>
      <c r="B2374" s="0" t="s">
        <v>2405</v>
      </c>
    </row>
    <row r="2375" customFormat="false" ht="15" hidden="false" customHeight="false" outlineLevel="0" collapsed="false">
      <c r="A2375" s="0" t="n">
        <f aca="false">_xlfn.ORG.LIBREOFFICE.ROUNDSIG(1234.5678,15)</f>
        <v>1234.5678</v>
      </c>
      <c r="B2375" s="0" t="s">
        <v>2406</v>
      </c>
    </row>
    <row r="2376" customFormat="false" ht="15" hidden="false" customHeight="false" outlineLevel="0" collapsed="false">
      <c r="A2376" s="0" t="n">
        <f aca="false">_xlfn.ORG.LIBREOFFICE.ROUNDSIG(1234.5678,20)</f>
        <v>1234.5678</v>
      </c>
      <c r="B2376" s="0" t="s">
        <v>2407</v>
      </c>
    </row>
    <row r="2377" customFormat="false" ht="15" hidden="false" customHeight="false" outlineLevel="0" collapsed="false">
      <c r="A2377" s="0" t="n">
        <f aca="false">_xlfn.ORG.LIBREOFFICE.ROUNDSIG(2.5,1)</f>
        <v>3</v>
      </c>
      <c r="B2377" s="0" t="s">
        <v>2408</v>
      </c>
    </row>
    <row r="2378" customFormat="false" ht="15" hidden="false" customHeight="false" outlineLevel="0" collapsed="false">
      <c r="A2378" s="0" t="n">
        <f aca="false">_xlfn.ORG.LIBREOFFICE.ROUNDSIG(0.15,1)</f>
        <v>0.2</v>
      </c>
      <c r="B2378" s="0" t="s">
        <v>2409</v>
      </c>
    </row>
    <row r="2379" customFormat="false" ht="15" hidden="false" customHeight="false" outlineLevel="0" collapsed="false">
      <c r="A2379" s="0" t="n">
        <f aca="false">_xlfn.ORG.LIBREOFFICE.ROUNDSIG(1E+300,2)</f>
        <v>1E+300</v>
      </c>
      <c r="B2379" s="0" t="s">
        <v>2410</v>
      </c>
    </row>
    <row r="2380" customFormat="false" ht="15" hidden="false" customHeight="false" outlineLevel="0" collapsed="false">
      <c r="A2380" s="0" t="n">
        <f aca="false">_xlfn.ORG.LIBREOFFICE.ROUNDSIG(1E-300,2)</f>
        <v>1E-300</v>
      </c>
      <c r="B2380" s="0" t="s">
        <v>2411</v>
      </c>
    </row>
    <row r="2381" customFormat="false" ht="15" hidden="false" customHeight="false" outlineLevel="0" collapsed="false">
      <c r="A2381" s="0" t="n">
        <f aca="false">_xlfn.ORG.LIBREOFFICE.ROUNDSIG(9.99,2)</f>
        <v>10</v>
      </c>
      <c r="B2381" s="0" t="s">
        <v>2412</v>
      </c>
    </row>
    <row r="2382" customFormat="false" ht="15" hidden="false" customHeight="false" outlineLevel="0" collapsed="false">
      <c r="A2382" s="0" t="n">
        <f aca="false">_xlfn.ORG.LIBREOFFICE.ROUNDSIG(1234.5678,2.9)</f>
        <v>1200</v>
      </c>
      <c r="B2382" s="0" t="s">
        <v>2413</v>
      </c>
    </row>
    <row r="2383" customFormat="false" ht="15" hidden="false" customHeight="false" outlineLevel="0" collapsed="false">
      <c r="A2383" s="0" t="e">
        <f aca="false">_xlfn.ORG.LIBREOFFICE.ROUNDSIG("x",2)</f>
        <v>#VALUE!</v>
      </c>
      <c r="B2383" s="0" t="s">
        <v>2414</v>
      </c>
    </row>
    <row r="2384" customFormat="false" ht="15" hidden="false" customHeight="false" outlineLevel="0" collapsed="false">
      <c r="A2384" s="0" t="n">
        <f aca="false">_xlfn.ORG.LIBREOFFICE.ROUNDSIG(5,"2")</f>
        <v>5</v>
      </c>
      <c r="B2384" s="0" t="s">
        <v>2415</v>
      </c>
    </row>
    <row r="2385" customFormat="false" ht="15" hidden="false" customHeight="false" outlineLevel="0" collapsed="false">
      <c r="A2385" s="0" t="n">
        <f aca="false">_xlfn.ORG.LIBREOFFICE.ROUNDSIG(1.005,3)</f>
        <v>1.01</v>
      </c>
      <c r="B2385" s="0" t="s">
        <v>2416</v>
      </c>
    </row>
    <row r="2386" customFormat="false" ht="15" hidden="false" customHeight="false" outlineLevel="0" collapsed="false">
      <c r="A2386" s="0" t="n">
        <f aca="false">_xlfn.ORG.LIBREOFFICE.ROUNDSIG(123456789,3)</f>
        <v>123000000</v>
      </c>
      <c r="B2386" s="0" t="s">
        <v>2417</v>
      </c>
    </row>
    <row r="2387" customFormat="false" ht="15" hidden="false" customHeight="false" outlineLevel="0" collapsed="false">
      <c r="A2387" s="0" t="n">
        <f aca="false">SERIESSUM(2,0,1,{1,2,3})</f>
        <v>17</v>
      </c>
      <c r="B2387" s="0" t="s">
        <v>2418</v>
      </c>
    </row>
    <row r="2388" customFormat="false" ht="15" hidden="false" customHeight="false" outlineLevel="0" collapsed="false">
      <c r="A2388" s="0" t="n">
        <f aca="false">SERIESSUM(2,1,1,{1,2,3})</f>
        <v>34</v>
      </c>
      <c r="B2388" s="0" t="s">
        <v>2419</v>
      </c>
    </row>
    <row r="2389" customFormat="false" ht="15" hidden="false" customHeight="false" outlineLevel="0" collapsed="false">
      <c r="A2389" s="0" t="n">
        <f aca="false">SERIESSUM(2,0,2,{1,2,3})</f>
        <v>57</v>
      </c>
      <c r="B2389" s="0" t="s">
        <v>2420</v>
      </c>
    </row>
    <row r="2390" customFormat="false" ht="15" hidden="false" customHeight="false" outlineLevel="0" collapsed="false">
      <c r="A2390" s="0" t="e">
        <f aca="false">SERIESSUM(0,0,1,{1,2,3})</f>
        <v>#VALUE!</v>
      </c>
      <c r="B2390" s="0" t="s">
        <v>2421</v>
      </c>
    </row>
    <row r="2391" customFormat="false" ht="15" hidden="false" customHeight="false" outlineLevel="0" collapsed="false">
      <c r="A2391" s="0" t="n">
        <f aca="false">SERIESSUM(0,-1,1,{1,2,3})</f>
        <v>0</v>
      </c>
      <c r="B2391" s="0" t="s">
        <v>2422</v>
      </c>
    </row>
    <row r="2392" customFormat="false" ht="15" hidden="false" customHeight="false" outlineLevel="0" collapsed="false">
      <c r="A2392" s="0" t="n">
        <f aca="false">SERIESSUM(2,0.5,1,{1,2})</f>
        <v>7.07106781186548</v>
      </c>
      <c r="B2392" s="0" t="s">
        <v>2423</v>
      </c>
    </row>
    <row r="2393" customFormat="false" ht="15" hidden="false" customHeight="false" outlineLevel="0" collapsed="false">
      <c r="A2393" s="0" t="n">
        <f aca="false">SERIESSUM(2,0,1,5)</f>
        <v>5</v>
      </c>
      <c r="B2393" s="0" t="s">
        <v>2424</v>
      </c>
    </row>
    <row r="2394" customFormat="false" ht="15" hidden="false" customHeight="false" outlineLevel="0" collapsed="false">
      <c r="A2394" s="0" t="n">
        <f aca="false">SERIESSUM(2,0,1,Data!A1:A3)</f>
        <v>43</v>
      </c>
      <c r="B2394" s="0" t="s">
        <v>2425</v>
      </c>
    </row>
    <row r="2395" customFormat="false" ht="15" hidden="false" customHeight="false" outlineLevel="0" collapsed="false">
      <c r="A2395" s="0" t="n">
        <f aca="false">SERIESSUM(2,0,1,Data!B1:B3)</f>
        <v>0</v>
      </c>
      <c r="B2395" s="0" t="s">
        <v>2426</v>
      </c>
    </row>
    <row r="2396" customFormat="false" ht="15" hidden="false" customHeight="false" outlineLevel="0" collapsed="false">
      <c r="A2396" s="0" t="e">
        <f aca="false">SERIESSUM("x",0,1,{1})</f>
        <v>#VALUE!</v>
      </c>
      <c r="B2396" s="0" t="s">
        <v>2427</v>
      </c>
    </row>
    <row r="2397" customFormat="false" ht="15" hidden="false" customHeight="false" outlineLevel="0" collapsed="false">
      <c r="A2397" s="0" t="n">
        <f aca="false">SERIESSUM(2,0,1,{1;2;3})</f>
        <v>17</v>
      </c>
      <c r="B2397" s="0" t="s">
        <v>2428</v>
      </c>
    </row>
    <row r="2398" customFormat="false" ht="15" hidden="false" customHeight="false" outlineLevel="0" collapsed="false">
      <c r="A2398" s="0" t="n">
        <f aca="false">SERIESSUM(2,0,1,{1,"a",3})</f>
        <v>13</v>
      </c>
      <c r="B2398" s="0" t="s">
        <v>2429</v>
      </c>
    </row>
    <row r="2399" customFormat="false" ht="15" hidden="false" customHeight="false" outlineLevel="0" collapsed="false">
      <c r="A2399" s="0" t="n">
        <f aca="false">SERIESSUM(2,0,1,{1,TRUE,3})</f>
        <v>15</v>
      </c>
      <c r="B2399" s="0" t="s">
        <v>2430</v>
      </c>
    </row>
    <row r="2400" customFormat="false" ht="15" hidden="false" customHeight="false" outlineLevel="0" collapsed="false">
      <c r="A2400" s="0" t="n">
        <f aca="false">SERIESSUM(2,0,1,Data!D1:D3)</f>
        <v>0</v>
      </c>
      <c r="B2400" s="0" t="s">
        <v>2431</v>
      </c>
    </row>
    <row r="2401" customFormat="false" ht="15" hidden="false" customHeight="false" outlineLevel="0" collapsed="false">
      <c r="A2401" s="0" t="n">
        <f aca="false">SERIESSUM(2,0,1,{1,2;3,4})</f>
        <v>49</v>
      </c>
      <c r="B2401" s="0" t="s">
        <v>2432</v>
      </c>
    </row>
    <row r="2402" customFormat="false" ht="15" hidden="false" customHeight="false" outlineLevel="0" collapsed="false">
      <c r="A2402" s="0" t="e">
        <f aca="false">SERIESSUM(-2,0,0.5,{1,2,3})</f>
        <v>#VALUE!</v>
      </c>
      <c r="B2402" s="0" t="s">
        <v>2433</v>
      </c>
    </row>
    <row r="2403" customFormat="false" ht="15" hidden="false" customHeight="false" outlineLevel="0" collapsed="false">
      <c r="A2403" s="0" t="n">
        <f aca="false">SERIESSUM(2,-1,-1,{1,2,3})</f>
        <v>1.375</v>
      </c>
      <c r="B2403" s="0" t="s">
        <v>2434</v>
      </c>
    </row>
    <row r="2404" customFormat="false" ht="15" hidden="false" customHeight="false" outlineLevel="0" collapsed="false">
      <c r="A2404" s="0" t="n">
        <f aca="false">SERIESSUM(1,1,0,{1,2,3})</f>
        <v>6</v>
      </c>
      <c r="B2404" s="0" t="s">
        <v>2435</v>
      </c>
    </row>
    <row r="2405" customFormat="false" ht="15" hidden="false" customHeight="false" outlineLevel="0" collapsed="false">
      <c r="A2405" s="0" t="e">
        <f aca="false">SERIESSUM(2,0,1,Data!M1:M4)</f>
        <v>#VALUE!</v>
      </c>
      <c r="B2405" s="0" t="s">
        <v>2436</v>
      </c>
    </row>
    <row r="2406" customFormat="false" ht="15" hidden="false" customHeight="false" outlineLevel="0" collapsed="false">
      <c r="A2406" s="0" t="e">
        <f aca="false">SERIESSUM(0,0,0,{1,2})</f>
        <v>#VALUE!</v>
      </c>
      <c r="B2406" s="0" t="s">
        <v>2437</v>
      </c>
    </row>
    <row r="2407" customFormat="false" ht="15" hidden="false" customHeight="false" outlineLevel="0" collapsed="false">
      <c r="A2407" s="0" t="n">
        <f aca="false">_xlfn.ORG.LIBREOFFICE.RAWSUBTRACT(5,3)</f>
        <v>2</v>
      </c>
      <c r="B2407" s="0" t="s">
        <v>2438</v>
      </c>
    </row>
    <row r="2408" customFormat="false" ht="15" hidden="false" customHeight="false" outlineLevel="0" collapsed="false">
      <c r="A2408" s="0" t="n">
        <f aca="false">_xlfn.ORG.LIBREOFFICE.RAWSUBTRACT(5,3,1)</f>
        <v>1</v>
      </c>
      <c r="B2408" s="0" t="s">
        <v>2439</v>
      </c>
    </row>
    <row r="2409" customFormat="false" ht="15" hidden="false" customHeight="false" outlineLevel="0" collapsed="false">
      <c r="A2409" s="0" t="n">
        <f aca="false">_xlfn.ORG.LIBREOFFICE.RAWSUBTRACT(0.3,0.1,0.2)</f>
        <v>-2.77555756156289E-017</v>
      </c>
      <c r="B2409" s="0" t="s">
        <v>2440</v>
      </c>
    </row>
    <row r="2410" customFormat="false" ht="15" hidden="false" customHeight="false" outlineLevel="0" collapsed="false">
      <c r="A2410" s="0" t="n">
        <f aca="false">_xlfn.ORG.LIBREOFFICE.RAWSUBTRACT(1,0.9)</f>
        <v>0.1</v>
      </c>
      <c r="B2410" s="0" t="s">
        <v>2441</v>
      </c>
    </row>
    <row r="2411" customFormat="false" ht="15" hidden="false" customHeight="false" outlineLevel="0" collapsed="false">
      <c r="A2411" s="0" t="e">
        <f aca="false">_xlfn.ORG.LIBREOFFICE.RAWSUBTRACT(5)</f>
        <v>#VALUE!</v>
      </c>
      <c r="B2411" s="0" t="s">
        <v>2442</v>
      </c>
    </row>
    <row r="2412" customFormat="false" ht="15" hidden="false" customHeight="false" outlineLevel="0" collapsed="false">
      <c r="A2412" s="0" t="e">
        <f aca="false">_xlfn.ORG.LIBREOFFICE.RAWSUBTRACT("x",1)</f>
        <v>#VALUE!</v>
      </c>
      <c r="B2412" s="0" t="s">
        <v>2443</v>
      </c>
    </row>
    <row r="2413" customFormat="false" ht="15" hidden="false" customHeight="false" outlineLevel="0" collapsed="false">
      <c r="A2413" s="0" t="e">
        <f aca="false">_xlfn.ORG.LIBREOFFICE.RAWSUBTRACT(Data!A1:A3,1)</f>
        <v>#VALUE!</v>
      </c>
      <c r="B2413" s="0" t="s">
        <v>2444</v>
      </c>
    </row>
    <row r="2414" customFormat="false" ht="15" hidden="false" customHeight="false" outlineLevel="0" collapsed="false">
      <c r="A2414" s="0" t="n">
        <f aca="false">_xlfn.ORG.LIBREOFFICE.RAWSUBTRACT(1E+016,1)</f>
        <v>10000000000000000</v>
      </c>
      <c r="B2414" s="0" t="s">
        <v>2445</v>
      </c>
    </row>
    <row r="2415" customFormat="false" ht="15" hidden="false" customHeight="false" outlineLevel="0" collapsed="false">
      <c r="A2415" s="0" t="n">
        <f aca="false">1-0.9</f>
        <v>0.1</v>
      </c>
      <c r="B2415" s="0" t="s">
        <v>2446</v>
      </c>
    </row>
    <row r="2416" customFormat="false" ht="15" hidden="false" customHeight="false" outlineLevel="0" collapsed="false">
      <c r="A2416" s="0" t="n">
        <f aca="false">_xlfn.ORG.LIBREOFFICE.RAWSUBTRACT(0.1+0.2,0.3)</f>
        <v>5.55111512312578E-017</v>
      </c>
      <c r="B2416" s="0" t="s">
        <v>2447</v>
      </c>
    </row>
    <row r="2417" customFormat="false" ht="15" hidden="false" customHeight="false" outlineLevel="0" collapsed="false">
      <c r="A2417" s="0" t="n">
        <f aca="false">(0.1+0.2)-0.3</f>
        <v>0</v>
      </c>
      <c r="B2417" s="0" t="s">
        <v>2448</v>
      </c>
    </row>
    <row r="2418" customFormat="false" ht="15" hidden="false" customHeight="false" outlineLevel="0" collapsed="false">
      <c r="A2418" s="0" t="n">
        <f aca="false">_xlfn.ORG.LIBREOFFICE.RAWSUBTRACT(1E-020,1E-021)</f>
        <v>9E-021</v>
      </c>
      <c r="B2418" s="0" t="s">
        <v>2449</v>
      </c>
    </row>
    <row r="2419" customFormat="false" ht="15" hidden="false" customHeight="false" outlineLevel="0" collapsed="false">
      <c r="A2419" s="0" t="n">
        <f aca="false">_xlfn.ORG.LIBREOFFICE.RAWSUBTRACT(TRUE(),1)</f>
        <v>0</v>
      </c>
      <c r="B2419" s="0" t="s">
        <v>2450</v>
      </c>
    </row>
    <row r="2420" customFormat="false" ht="15" hidden="false" customHeight="false" outlineLevel="0" collapsed="false">
      <c r="A2420" s="0" t="n">
        <f aca="false">_xlfn.ORG.OPENOFFICE.ERRORTYPE(NA())</f>
        <v>32767</v>
      </c>
      <c r="B2420" s="0" t="s">
        <v>2451</v>
      </c>
    </row>
    <row r="2421" customFormat="false" ht="15" hidden="false" customHeight="false" outlineLevel="0" collapsed="false">
      <c r="A2421" s="0" t="n">
        <f aca="false">_xlfn.ORG.OPENOFFICE.ERRORTYPE(1/0)</f>
        <v>532</v>
      </c>
      <c r="B2421" s="0" t="s">
        <v>2452</v>
      </c>
    </row>
    <row r="2422" customFormat="false" ht="15" hidden="false" customHeight="false" outlineLevel="0" collapsed="false">
      <c r="A2422" s="0" t="e">
        <f aca="false">_xlfn.ORG.OPENOFFICE.ERRORTYPE(Data!A1)</f>
        <v>#N/A</v>
      </c>
      <c r="B2422" s="0" t="s">
        <v>2453</v>
      </c>
    </row>
    <row r="2423" customFormat="false" ht="15" hidden="false" customHeight="false" outlineLevel="0" collapsed="false">
      <c r="A2423" s="0" t="e">
        <f aca="false">_xlfn.ORG.OPENOFFICE.ERRORTYPE(5)</f>
        <v>#N/A</v>
      </c>
      <c r="B2423" s="0" t="s">
        <v>2454</v>
      </c>
    </row>
    <row r="2424" customFormat="false" ht="15" hidden="false" customHeight="false" outlineLevel="0" collapsed="false">
      <c r="A2424" s="0" t="e">
        <f aca="false">_xlfn.ORG.OPENOFFICE.ERRORTYPE("x")</f>
        <v>#N/A</v>
      </c>
      <c r="B2424" s="0" t="s">
        <v>2455</v>
      </c>
    </row>
    <row r="2425" customFormat="false" ht="15" hidden="false" customHeight="false" outlineLevel="0" collapsed="false">
      <c r="A2425" s="0" t="n">
        <f aca="false">_xlfn.ORG.OPENOFFICE.ERRORTYPE(Data!M2)</f>
        <v>32767</v>
      </c>
      <c r="B2425" s="0" t="s">
        <v>2456</v>
      </c>
    </row>
    <row r="2426" customFormat="false" ht="15" hidden="false" customHeight="false" outlineLevel="0" collapsed="false">
      <c r="A2426" s="0" t="n">
        <f aca="false">_xlfn.ORG.OPENOFFICE.ERRORTYPE(#NULL!)</f>
        <v>521</v>
      </c>
      <c r="B2426" s="0" t="s">
        <v>2457</v>
      </c>
    </row>
    <row r="2427" customFormat="false" ht="15" hidden="false" customHeight="false" outlineLevel="0" collapsed="false">
      <c r="A2427" s="0" t="n">
        <f aca="false">_xlfn.ORG.OPENOFFICE.ERRORTYPE(#NUM!)</f>
        <v>503</v>
      </c>
      <c r="B2427" s="0" t="s">
        <v>2458</v>
      </c>
    </row>
    <row r="2428" customFormat="false" ht="15" hidden="false" customHeight="false" outlineLevel="0" collapsed="false">
      <c r="A2428" s="0" t="n">
        <f aca="false">_xlfn.ORG.OPENOFFICE.ERRORTYPE(#DIV/0!)</f>
        <v>532</v>
      </c>
      <c r="B2428" s="0" t="s">
        <v>2459</v>
      </c>
    </row>
    <row r="2429" customFormat="false" ht="15" hidden="false" customHeight="false" outlineLevel="0" collapsed="false">
      <c r="A2429" s="0" t="n">
        <f aca="false">_xlfn.ORG.OPENOFFICE.ERRORTYPE(#N/A)</f>
        <v>32767</v>
      </c>
      <c r="B2429" s="0" t="s">
        <v>2460</v>
      </c>
    </row>
    <row r="2430" customFormat="false" ht="15" hidden="false" customHeight="false" outlineLevel="0" collapsed="false">
      <c r="A2430" s="0" t="n">
        <f aca="false">_xlfn.ORG.OPENOFFICE.ERRORTYPE(ACOS(2))</f>
        <v>503</v>
      </c>
      <c r="B2430" s="0" t="s">
        <v>2461</v>
      </c>
    </row>
    <row r="2431" customFormat="false" ht="15" hidden="false" customHeight="false" outlineLevel="0" collapsed="false">
      <c r="A2431" s="0" t="n">
        <f aca="false">_xlfn.ORG.OPENOFFICE.ERRORTYPE(1E+308*10)</f>
        <v>503</v>
      </c>
      <c r="B2431" s="0" t="s">
        <v>2462</v>
      </c>
    </row>
    <row r="2432" customFormat="false" ht="15" hidden="false" customHeight="false" outlineLevel="0" collapsed="false">
      <c r="A2432" s="0" t="n">
        <f aca="false">_xlfn.ORG.OPENOFFICE.ERRORTYPE(INDEX(Data!A1:A3,9))</f>
        <v>524</v>
      </c>
      <c r="B2432" s="0" t="s">
        <v>2463</v>
      </c>
    </row>
    <row r="2433" customFormat="false" ht="15" hidden="false" customHeight="false" outlineLevel="0" collapsed="false">
      <c r="A2433" s="0" t="n">
        <f aca="false">_xlfn.ORG.OPENOFFICE.ERRORTYPE(MATCH(99,Data!A1:A3,0))</f>
        <v>32767</v>
      </c>
      <c r="B2433" s="0" t="s">
        <v>2464</v>
      </c>
    </row>
    <row r="2434" customFormat="false" ht="15" hidden="false" customHeight="false" outlineLevel="0" collapsed="false">
      <c r="A2434" s="0" t="e">
        <f aca="false">_xlfn.ORG.OPENOFFICE.ERRORTYPE("")</f>
        <v>#N/A</v>
      </c>
      <c r="B2434" s="0" t="s">
        <v>2465</v>
      </c>
    </row>
    <row r="2435" customFormat="false" ht="15" hidden="false" customHeight="false" outlineLevel="0" collapsed="false">
      <c r="A2435" s="0" t="e">
        <f aca="false">_xlfn.ORG.OPENOFFICE.ERRORTYPE(TRUE())</f>
        <v>#N/A</v>
      </c>
      <c r="B2435" s="0" t="s">
        <v>2466</v>
      </c>
    </row>
    <row r="2436" customFormat="false" ht="15" hidden="false" customHeight="false" outlineLevel="0" collapsed="false">
      <c r="A2436" s="0" t="e">
        <f aca="false">_xlfn.ORG.OPENOFFICE.ERRORTYPE(DATE(2024,13,1))</f>
        <v>#N/A</v>
      </c>
      <c r="B2436" s="0" t="s">
        <v>2467</v>
      </c>
    </row>
    <row r="2437" customFormat="false" ht="15" hidden="false" customHeight="false" outlineLevel="0" collapsed="false">
      <c r="A2437" s="0" t="n">
        <f aca="true">_xlfn.ORG.OPENOFFICE.ERRORTYPE(INDIRECT("zz"))</f>
        <v>524</v>
      </c>
      <c r="B2437" s="0" t="s">
        <v>2468</v>
      </c>
    </row>
    <row r="2438" customFormat="false" ht="15" hidden="false" customHeight="false" outlineLevel="0" collapsed="false">
      <c r="A2438" s="0" t="e">
        <f aca="false">_xlfn.ORG.OPENOFFICE.ERRORTYPE(IFERROR(1/0,2))</f>
        <v>#N/A</v>
      </c>
      <c r="B2438" s="0" t="s">
        <v>2469</v>
      </c>
    </row>
    <row r="2439" customFormat="false" ht="15" hidden="false" customHeight="false" outlineLevel="0" collapsed="false">
      <c r="A2439" s="0" t="e">
        <f aca="false">_xlfn.ORG.OPENOFFICE.ERRORTYPE(ISNA(1))</f>
        <v>#N/A</v>
      </c>
      <c r="B2439" s="0" t="s">
        <v>2470</v>
      </c>
    </row>
    <row r="2440" customFormat="false" ht="15" hidden="false" customHeight="false" outlineLevel="0" collapsed="false">
      <c r="A2440" s="0" t="n">
        <f aca="false">AREAS(Data!A1:B2)</f>
        <v>1</v>
      </c>
      <c r="B2440" s="0" t="s">
        <v>2471</v>
      </c>
    </row>
    <row r="2441" customFormat="false" ht="15" hidden="false" customHeight="false" outlineLevel="0" collapsed="false">
      <c r="A2441" s="0" t="n">
        <f aca="false">AREAS(Data!A1)</f>
        <v>1</v>
      </c>
      <c r="B2441" s="0" t="s">
        <v>2472</v>
      </c>
    </row>
    <row r="2442" customFormat="false" ht="15" hidden="false" customHeight="false" outlineLevel="0" collapsed="false">
      <c r="A2442" s="0" t="n">
        <f aca="false">AREAS(Data!A:A)</f>
        <v>1</v>
      </c>
      <c r="B2442" s="0" t="s">
        <v>2473</v>
      </c>
    </row>
    <row r="2443" customFormat="false" ht="15" hidden="false" customHeight="false" outlineLevel="0" collapsed="false">
      <c r="A2443" s="0" t="e">
        <f aca="false">AREAS(5)</f>
        <v>#VALUE!</v>
      </c>
      <c r="B2443" s="0" t="s">
        <v>2474</v>
      </c>
    </row>
    <row r="2444" customFormat="false" ht="15" hidden="false" customHeight="false" outlineLevel="0" collapsed="false">
      <c r="A2444" s="0" t="n">
        <f aca="false">AREAS(Data!A1:A3)+AREAS(Data!A1:A2)</f>
        <v>2</v>
      </c>
      <c r="B2444" s="0" t="s">
        <v>2475</v>
      </c>
    </row>
    <row r="2445" customFormat="false" ht="15" hidden="false" customHeight="false" outlineLevel="0" collapsed="false">
      <c r="A2445" s="0" t="n">
        <f aca="true">AREAS(OFFSET(Data!A1,0,0,2,2))</f>
        <v>1</v>
      </c>
      <c r="B2445" s="0" t="s">
        <v>2476</v>
      </c>
    </row>
    <row r="2446" customFormat="false" ht="15" hidden="false" customHeight="false" outlineLevel="0" collapsed="false">
      <c r="A2446" s="0" t="n">
        <f aca="false">AREAS(INDEX(Data!A1:B4,1,1))</f>
        <v>1</v>
      </c>
      <c r="B2446" s="0" t="s">
        <v>2477</v>
      </c>
    </row>
    <row r="2447" customFormat="false" ht="15" hidden="false" customHeight="false" outlineLevel="0" collapsed="false">
      <c r="A2447" s="0" t="n">
        <f aca="false">AREAS(INDEX(Data!A1:B4,0,1))</f>
        <v>1</v>
      </c>
      <c r="B2447" s="0" t="s">
        <v>2478</v>
      </c>
    </row>
    <row r="2448" customFormat="false" ht="15" hidden="false" customHeight="false" outlineLevel="0" collapsed="false">
      <c r="A2448" s="0" t="e">
        <f aca="false">AREAS("x")</f>
        <v>#VALUE!</v>
      </c>
      <c r="B2448" s="0" t="s">
        <v>2479</v>
      </c>
    </row>
    <row r="2449" customFormat="false" ht="15" hidden="false" customHeight="false" outlineLevel="0" collapsed="false">
      <c r="A2449" s="0" t="n">
        <f aca="false">AREAS(Data!1:1)</f>
        <v>1</v>
      </c>
      <c r="B2449" s="0" t="s">
        <v>2480</v>
      </c>
    </row>
    <row r="2450" customFormat="false" ht="15" hidden="false" customHeight="false" outlineLevel="0" collapsed="false">
      <c r="A2450" s="0" t="e">
        <f aca="false">AREAS(NA())</f>
        <v>#N/A</v>
      </c>
      <c r="B2450" s="0" t="s">
        <v>2481</v>
      </c>
    </row>
    <row r="2451" customFormat="false" ht="15" hidden="false" customHeight="false" outlineLevel="0" collapsed="false">
      <c r="A2451" s="0" t="n">
        <f aca="true">AREAS(INDIRECT("Data!A1:A3"))</f>
        <v>1</v>
      </c>
      <c r="B2451" s="0" t="s">
        <v>2482</v>
      </c>
    </row>
    <row r="2452" customFormat="false" ht="15" hidden="false" customHeight="false" outlineLevel="0" collapsed="false">
      <c r="A2452" s="0" t="e">
        <f aca="false">AREAS(Data!A1:A3,Data!B1)</f>
        <v>#VALUE!</v>
      </c>
      <c r="B2452" s="0" t="s">
        <v>2483</v>
      </c>
    </row>
    <row r="2453" customFormat="false" ht="15" hidden="false" customHeight="false" outlineLevel="0" collapsed="false">
      <c r="A2453" s="0" t="n">
        <f aca="false">_xlfn.SHEET()</f>
        <v>2</v>
      </c>
      <c r="B2453" s="0" t="s">
        <v>2484</v>
      </c>
    </row>
    <row r="2454" customFormat="false" ht="15" hidden="false" customHeight="false" outlineLevel="0" collapsed="false">
      <c r="A2454" s="0" t="n">
        <f aca="false">_xlfn.SHEET(Data!A1)</f>
        <v>1</v>
      </c>
      <c r="B2454" s="0" t="s">
        <v>2485</v>
      </c>
    </row>
    <row r="2455" customFormat="false" ht="15" hidden="false" customHeight="false" outlineLevel="0" collapsed="false">
      <c r="A2455" s="0" t="n">
        <f aca="false">_xlfn.SHEET("Data")</f>
        <v>1</v>
      </c>
      <c r="B2455" s="0" t="s">
        <v>2486</v>
      </c>
    </row>
    <row r="2456" customFormat="false" ht="15" hidden="false" customHeight="false" outlineLevel="0" collapsed="false">
      <c r="A2456" s="0" t="e">
        <f aca="false">_xlfn.SHEET("nope")</f>
        <v>#VALUE!</v>
      </c>
      <c r="B2456" s="0" t="s">
        <v>2487</v>
      </c>
    </row>
    <row r="2457" customFormat="false" ht="15" hidden="false" customHeight="false" outlineLevel="0" collapsed="false">
      <c r="A2457" s="0" t="n">
        <f aca="false">_xlfn.SHEET(Data!A1:B2)</f>
        <v>1</v>
      </c>
      <c r="B2457" s="0" t="s">
        <v>2488</v>
      </c>
    </row>
    <row r="2458" customFormat="false" ht="15" hidden="false" customHeight="false" outlineLevel="0" collapsed="false">
      <c r="A2458" s="0" t="e">
        <f aca="false">_xlfn.SHEET(1)</f>
        <v>#VALUE!</v>
      </c>
      <c r="B2458" s="0" t="s">
        <v>2489</v>
      </c>
    </row>
    <row r="2459" customFormat="false" ht="15" hidden="false" customHeight="false" outlineLevel="0" collapsed="false">
      <c r="A2459" s="0" t="n">
        <f aca="false">_xlfn.SHEET("data")</f>
        <v>1</v>
      </c>
      <c r="B2459" s="0" t="s">
        <v>2490</v>
      </c>
    </row>
    <row r="2460" customFormat="false" ht="15" hidden="false" customHeight="false" outlineLevel="0" collapsed="false">
      <c r="A2460" s="0" t="e">
        <f aca="false">_xlfn.SHEET("Data!A1")</f>
        <v>#VALUE!</v>
      </c>
      <c r="B2460" s="0" t="s">
        <v>2491</v>
      </c>
    </row>
    <row r="2461" customFormat="false" ht="15" hidden="false" customHeight="false" outlineLevel="0" collapsed="false">
      <c r="A2461" s="0" t="e">
        <f aca="false">_xlfn.SHEET(NA())</f>
        <v>#N/A</v>
      </c>
      <c r="B2461" s="0" t="s">
        <v>2492</v>
      </c>
    </row>
    <row r="2462" customFormat="false" ht="15" hidden="false" customHeight="false" outlineLevel="0" collapsed="false">
      <c r="A2462" s="0" t="e">
        <f aca="false">_xlfn.SHEET("")</f>
        <v>#VALUE!</v>
      </c>
      <c r="B2462" s="0" t="s">
        <v>2493</v>
      </c>
    </row>
    <row r="2463" customFormat="false" ht="15" hidden="false" customHeight="false" outlineLevel="0" collapsed="false">
      <c r="A2463" s="0" t="n">
        <f aca="false">_xlfn.SHEETS()</f>
        <v>2</v>
      </c>
      <c r="B2463" s="0" t="s">
        <v>2494</v>
      </c>
    </row>
    <row r="2464" customFormat="false" ht="15" hidden="false" customHeight="false" outlineLevel="0" collapsed="false">
      <c r="A2464" s="0" t="n">
        <f aca="false">_xlfn.SHEETS(Data!A1)</f>
        <v>1</v>
      </c>
      <c r="B2464" s="0" t="s">
        <v>2495</v>
      </c>
    </row>
    <row r="2465" customFormat="false" ht="15" hidden="false" customHeight="false" outlineLevel="0" collapsed="false">
      <c r="A2465" s="0" t="n">
        <f aca="false">_xlfn.SHEETS(Data!A1:B2)</f>
        <v>1</v>
      </c>
      <c r="B2465" s="0" t="s">
        <v>2496</v>
      </c>
    </row>
    <row r="2466" customFormat="false" ht="15" hidden="false" customHeight="false" outlineLevel="0" collapsed="false">
      <c r="A2466" s="0" t="e">
        <f aca="false">_xlfn.SHEETS("Data")</f>
        <v>#VALUE!</v>
      </c>
      <c r="B2466" s="0" t="s">
        <v>2497</v>
      </c>
    </row>
    <row r="2467" customFormat="false" ht="15" hidden="false" customHeight="false" outlineLevel="0" collapsed="false">
      <c r="A2467" s="0" t="e">
        <f aca="false">_xlfn.SHEETS(1)</f>
        <v>#VALUE!</v>
      </c>
      <c r="B2467" s="0" t="s">
        <v>2498</v>
      </c>
    </row>
    <row r="2468" customFormat="false" ht="15" hidden="false" customHeight="false" outlineLevel="0" collapsed="false">
      <c r="A2468" s="0" t="n">
        <f aca="false">_xlfn.SHEETS(Data!A1:A3)+_xlfn.SHEETS()</f>
        <v>3</v>
      </c>
      <c r="B2468" s="0" t="s">
        <v>2499</v>
      </c>
    </row>
    <row r="2469" customFormat="false" ht="15" hidden="false" customHeight="false" outlineLevel="0" collapsed="false">
      <c r="A2469" s="0" t="e">
        <f aca="false">_xlfn.SHEETS("nope")</f>
        <v>#VALUE!</v>
      </c>
      <c r="B2469" s="0" t="s">
        <v>2500</v>
      </c>
    </row>
    <row r="2470" customFormat="false" ht="15" hidden="false" customHeight="false" outlineLevel="0" collapsed="false">
      <c r="A2470" s="0" t="e">
        <f aca="false">_xlfn.SHEETS(NA())</f>
        <v>#N/A</v>
      </c>
      <c r="B2470" s="0" t="s">
        <v>2501</v>
      </c>
    </row>
    <row r="2471" customFormat="false" ht="15" hidden="false" customHeight="false" outlineLevel="0" collapsed="false">
      <c r="A2471" s="0" t="n">
        <f aca="false">_xlfn.SHEET(Data!A1:A3)+_xlfn.SHEET("Data")</f>
        <v>2</v>
      </c>
      <c r="B2471" s="0" t="s">
        <v>2502</v>
      </c>
    </row>
    <row r="2472" customFormat="false" ht="15" hidden="false" customHeight="false" outlineLevel="0" collapsed="false">
      <c r="A2472" s="0" t="n">
        <f aca="false">_xlfn.SHEET(Data!M2)</f>
        <v>1</v>
      </c>
      <c r="B2472" s="0" t="s">
        <v>2503</v>
      </c>
    </row>
    <row r="2473" customFormat="false" ht="15" hidden="false" customHeight="false" outlineLevel="0" collapsed="false">
      <c r="A2473" s="0" t="n">
        <f aca="true">_xlfn.SHEET(INDIRECT("Data!A1"))</f>
        <v>1</v>
      </c>
      <c r="B2473" s="0" t="s">
        <v>2504</v>
      </c>
    </row>
    <row r="2474" customFormat="false" ht="15" hidden="false" customHeight="false" outlineLevel="0" collapsed="false">
      <c r="A2474" s="0" t="n">
        <f aca="true">_xlfn.SHEET(OFFSET(Data!A1,0,0))</f>
        <v>1</v>
      </c>
      <c r="B2474" s="0" t="s">
        <v>2505</v>
      </c>
    </row>
    <row r="2475" customFormat="false" ht="15" hidden="false" customHeight="false" outlineLevel="0" collapsed="false">
      <c r="A2475" s="0" t="n">
        <f aca="true">_xlfn.SHEETS(INDIRECT("Data!A1"))</f>
        <v>1</v>
      </c>
      <c r="B2475" s="0" t="s">
        <v>2506</v>
      </c>
    </row>
    <row r="2476" customFormat="false" ht="15" hidden="false" customHeight="false" outlineLevel="0" collapsed="false">
      <c r="A2476" s="0" t="e">
        <f aca="false">_xlfn.SHEET("Data!A1:B2")</f>
        <v>#VALUE!</v>
      </c>
      <c r="B2476" s="0" t="s">
        <v>2507</v>
      </c>
    </row>
    <row r="2477" customFormat="false" ht="15" hidden="false" customHeight="false" outlineLevel="0" collapsed="false">
      <c r="A2477" s="0" t="e">
        <f aca="false">_xlfn.SHEET(TRUE())</f>
        <v>#VALUE!</v>
      </c>
      <c r="B2477" s="0" t="s">
        <v>2508</v>
      </c>
    </row>
    <row r="2478" customFormat="false" ht="15" hidden="false" customHeight="false" outlineLevel="0" collapsed="false">
      <c r="A2478" s="0" t="n">
        <f aca="false">SERIESSUM(0,1,1,{1,2,3})</f>
        <v>0</v>
      </c>
      <c r="B2478" s="0" t="s">
        <v>2509</v>
      </c>
    </row>
    <row r="2479" customFormat="false" ht="15" hidden="false" customHeight="false" outlineLevel="0" collapsed="false">
      <c r="A2479" s="0" t="n">
        <f aca="false">SERIESSUM(0,2,1,{1,2,3})</f>
        <v>0</v>
      </c>
      <c r="B2479" s="0" t="s">
        <v>2510</v>
      </c>
    </row>
    <row r="2480" customFormat="false" ht="15" hidden="false" customHeight="false" outlineLevel="0" collapsed="false">
      <c r="A2480" s="0" t="n">
        <f aca="false">SERIESSUM(0,0.5,1,{1,2})</f>
        <v>0</v>
      </c>
      <c r="B2480" s="0" t="s">
        <v>2511</v>
      </c>
    </row>
    <row r="2481" customFormat="false" ht="15" hidden="false" customHeight="false" outlineLevel="0" collapsed="false">
      <c r="A2481" s="0" t="n">
        <f aca="false">SERIESSUM(0,-2,1,{1,2,3})</f>
        <v>0</v>
      </c>
      <c r="B2481" s="0" t="s">
        <v>2512</v>
      </c>
    </row>
    <row r="2482" customFormat="false" ht="15" hidden="false" customHeight="false" outlineLevel="0" collapsed="false">
      <c r="A2482" s="0" t="n">
        <f aca="false">SERIESSUM(0,1,-1,{1,2,3})</f>
        <v>0</v>
      </c>
      <c r="B2482" s="0" t="s">
        <v>2513</v>
      </c>
    </row>
    <row r="2483" customFormat="false" ht="15" hidden="false" customHeight="false" outlineLevel="0" collapsed="false">
      <c r="A2483" s="0" t="e">
        <f aca="false">SERIESSUM(0,0,-1,{1,2,3})</f>
        <v>#VALUE!</v>
      </c>
      <c r="B2483" s="0" t="s">
        <v>2514</v>
      </c>
    </row>
    <row r="2484" customFormat="false" ht="15" hidden="false" customHeight="false" outlineLevel="0" collapsed="false">
      <c r="A2484" s="0" t="n">
        <f aca="false">SERIESSUM(0,-1,1,{5})</f>
        <v>0</v>
      </c>
      <c r="B2484" s="0" t="s">
        <v>2515</v>
      </c>
    </row>
    <row r="2485" customFormat="false" ht="15" hidden="false" customHeight="false" outlineLevel="0" collapsed="false">
      <c r="A2485" s="0" t="n">
        <f aca="false">SERIESSUM(0,-1,-1,{1,2})</f>
        <v>0</v>
      </c>
      <c r="B2485" s="0" t="s">
        <v>2516</v>
      </c>
    </row>
    <row r="2486" customFormat="false" ht="15" hidden="false" customHeight="false" outlineLevel="0" collapsed="false">
      <c r="A2486" s="0" t="e">
        <f aca="false">SERIESSUM(0,0,1,{0})</f>
        <v>#VALUE!</v>
      </c>
      <c r="B2486" s="0" t="s">
        <v>2517</v>
      </c>
    </row>
    <row r="2487" customFormat="false" ht="15" hidden="false" customHeight="false" outlineLevel="0" collapsed="false">
      <c r="A2487" s="0" t="e">
        <f aca="false">SERIESSUM(0,0,1,5)</f>
        <v>#VALUE!</v>
      </c>
      <c r="B2487" s="0" t="s">
        <v>2518</v>
      </c>
    </row>
    <row r="2488" customFormat="false" ht="15" hidden="false" customHeight="false" outlineLevel="0" collapsed="false">
      <c r="A2488" s="0" t="n">
        <f aca="false">SERIESSUM(0,1,1,{0,0,5})</f>
        <v>0</v>
      </c>
      <c r="B2488" s="0" t="s">
        <v>2519</v>
      </c>
    </row>
    <row r="2489" customFormat="false" ht="15" hidden="false" customHeight="false" outlineLevel="0" collapsed="false">
      <c r="A2489" s="0" t="e">
        <f aca="false">SERIESSUM(0,0,0,{0})</f>
        <v>#VALUE!</v>
      </c>
      <c r="B2489" s="0" t="s">
        <v>2520</v>
      </c>
    </row>
    <row r="2490" customFormat="false" ht="15" hidden="false" customHeight="false" outlineLevel="0" collapsed="false">
      <c r="A2490" s="0" t="n">
        <f aca="false">SERIESSUM(0,-1,0,{1,2})</f>
        <v>0</v>
      </c>
      <c r="B2490" s="0" t="s">
        <v>2521</v>
      </c>
    </row>
    <row r="2491" customFormat="false" ht="15" hidden="false" customHeight="false" outlineLevel="0" collapsed="false">
      <c r="A2491" s="0" t="n">
        <f aca="false">SERIESSUM(0,3,0,{1,2})</f>
        <v>0</v>
      </c>
      <c r="B2491" s="0" t="s">
        <v>2522</v>
      </c>
    </row>
    <row r="2492" customFormat="false" ht="15" hidden="false" customHeight="false" outlineLevel="0" collapsed="false">
      <c r="A2492" s="0" t="n">
        <f aca="false">SERIESSUM(0,-1,1,Data!D1:D3)</f>
        <v>0</v>
      </c>
      <c r="B2492" s="0" t="s">
        <v>2523</v>
      </c>
    </row>
    <row r="2493" customFormat="false" ht="15" hidden="false" customHeight="false" outlineLevel="0" collapsed="false">
      <c r="A2493" s="0" t="e">
        <f aca="false">SERIESSUM(0,0,1,Data!D1:D3)</f>
        <v>#VALUE!</v>
      </c>
      <c r="B2493" s="0" t="s">
        <v>2524</v>
      </c>
    </row>
    <row r="2494" customFormat="false" ht="15" hidden="false" customHeight="false" outlineLevel="0" collapsed="false">
      <c r="A2494" s="0" t="n">
        <f aca="false">SERIESSUM(2,0,1,Data!A1:B3)</f>
        <v>145</v>
      </c>
      <c r="B2494" s="0" t="s">
        <v>2525</v>
      </c>
    </row>
    <row r="2495" customFormat="false" ht="15" hidden="false" customHeight="false" outlineLevel="0" collapsed="false">
      <c r="A2495" s="0" t="n">
        <f aca="false">SERIESSUM(2,0,1,"3")</f>
        <v>3</v>
      </c>
      <c r="B2495" s="0" t="s">
        <v>2526</v>
      </c>
    </row>
    <row r="2496" customFormat="false" ht="15" hidden="false" customHeight="false" outlineLevel="0" collapsed="false">
      <c r="A2496" s="0" t="e">
        <f aca="false">SERIESSUM(2,0,1,"x")</f>
        <v>#VALUE!</v>
      </c>
      <c r="B2496" s="0" t="s">
        <v>2527</v>
      </c>
    </row>
    <row r="2497" customFormat="false" ht="15" hidden="false" customHeight="false" outlineLevel="0" collapsed="false">
      <c r="A2497" s="0" t="n">
        <f aca="false">SERIESSUM(2,0,1,TRUE())</f>
        <v>1</v>
      </c>
      <c r="B2497" s="0" t="s">
        <v>2528</v>
      </c>
    </row>
    <row r="2498" customFormat="false" ht="15" hidden="false" customHeight="false" outlineLevel="0" collapsed="false">
      <c r="A2498" s="0" t="n">
        <f aca="false">SERIESSUM(2,0,1,Data!H1)</f>
        <v>1</v>
      </c>
      <c r="B2498" s="0" t="s">
        <v>2529</v>
      </c>
    </row>
    <row r="2499" customFormat="false" ht="15" hidden="false" customHeight="false" outlineLevel="0" collapsed="false">
      <c r="A2499" s="0" t="e">
        <f aca="false">SERIESSUM(2,0,1,NA())</f>
        <v>#N/A</v>
      </c>
      <c r="B2499" s="0" t="s">
        <v>2530</v>
      </c>
    </row>
    <row r="2500" customFormat="false" ht="15" hidden="false" customHeight="false" outlineLevel="0" collapsed="false">
      <c r="A2500" s="0" t="e">
        <f aca="false">SERIESSUM(Data!A1:A2,0,1,{1})</f>
        <v>#VALUE!</v>
      </c>
      <c r="B2500" s="0" t="s">
        <v>2531</v>
      </c>
    </row>
    <row r="2501" customFormat="false" ht="15" hidden="false" customHeight="false" outlineLevel="0" collapsed="false">
      <c r="A2501" s="0" t="e">
        <f aca="false">SERIESSUM(2,Data!A1:A2,1,{1})</f>
        <v>#VALUE!</v>
      </c>
      <c r="B2501" s="0" t="s">
        <v>2532</v>
      </c>
    </row>
    <row r="2502" customFormat="false" ht="15" hidden="false" customHeight="false" outlineLevel="0" collapsed="false">
      <c r="A2502" s="0" t="n">
        <f aca="false">SERIESSUM(2,0.5,0.5,{1,2,3})</f>
        <v>13.8994949366117</v>
      </c>
      <c r="B2502" s="0" t="s">
        <v>2533</v>
      </c>
    </row>
    <row r="2503" customFormat="false" ht="15" hidden="false" customHeight="false" outlineLevel="0" collapsed="false">
      <c r="A2503" s="0" t="n">
        <f aca="false">SERIESSUM(10,0,1,{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})</f>
        <v>1.11111111111111E+279</v>
      </c>
      <c r="B2503" s="0" t="s">
        <v>2534</v>
      </c>
    </row>
    <row r="2504" customFormat="false" ht="15" hidden="false" customHeight="false" outlineLevel="0" collapsed="false">
      <c r="A2504" s="0" t="n">
        <f aca="false">MONTHS(DATE(2024,3,1),DATE(2024,1,31),0)</f>
        <v>-1</v>
      </c>
      <c r="B2504" s="0" t="s">
        <v>2535</v>
      </c>
    </row>
    <row r="2505" customFormat="false" ht="15" hidden="false" customHeight="false" outlineLevel="0" collapsed="false">
      <c r="A2505" s="0" t="n">
        <f aca="false">MONTHS(DATE(2025,2,28),DATE(2024,2,29),0)</f>
        <v>-11</v>
      </c>
      <c r="B2505" s="0" t="s">
        <v>2536</v>
      </c>
    </row>
    <row r="2506" customFormat="false" ht="15" hidden="false" customHeight="false" outlineLevel="0" collapsed="false">
      <c r="A2506" s="0" t="n">
        <f aca="false">YEARS(DATE(2025,2,28),DATE(2024,2,29),0)</f>
        <v>0</v>
      </c>
      <c r="B2506" s="0" t="s">
        <v>2537</v>
      </c>
    </row>
    <row r="2507" customFormat="false" ht="15" hidden="false" customHeight="false" outlineLevel="0" collapsed="false">
      <c r="A2507" s="0" t="n">
        <f aca="false">YEARS(DATE(2025,3,1),DATE(2024,2,29),1)</f>
        <v>-1</v>
      </c>
      <c r="B2507" s="0" t="s">
        <v>2538</v>
      </c>
    </row>
    <row r="2508" customFormat="false" ht="15" hidden="false" customHeight="false" outlineLevel="0" collapsed="false">
      <c r="A2508" s="0" t="n">
        <f aca="false">MONTHS(DATE(2024,3,31),DATE(2024,2,29),0)</f>
        <v>-1</v>
      </c>
      <c r="B2508" s="0" t="s">
        <v>2539</v>
      </c>
    </row>
    <row r="2509" customFormat="false" ht="15" hidden="false" customHeight="false" outlineLevel="0" collapsed="false">
      <c r="A2509" s="0" t="n">
        <f aca="false">MONTHS(DATE(2024,2,29),DATE(2024,3,31),0)</f>
        <v>1</v>
      </c>
      <c r="B2509" s="0" t="s">
        <v>2540</v>
      </c>
    </row>
    <row r="2510" customFormat="false" ht="15" hidden="false" customHeight="false" outlineLevel="0" collapsed="false">
      <c r="A2510" s="0" t="n">
        <f aca="false">WEEKS(45298,45292,0)</f>
        <v>0</v>
      </c>
      <c r="B2510" s="0" t="s">
        <v>2541</v>
      </c>
    </row>
    <row r="2511" customFormat="false" ht="15" hidden="false" customHeight="false" outlineLevel="0" collapsed="false">
      <c r="A2511" s="0" t="n">
        <f aca="false">WEEKS(45292,45298,1)</f>
        <v>0</v>
      </c>
      <c r="B2511" s="0" t="s">
        <v>2542</v>
      </c>
    </row>
    <row r="2512" customFormat="false" ht="15" hidden="false" customHeight="false" outlineLevel="0" collapsed="false">
      <c r="A2512" s="0" t="n">
        <f aca="false">WEEKS(45298,45292,1)</f>
        <v>0</v>
      </c>
      <c r="B2512" s="0" t="s">
        <v>2543</v>
      </c>
    </row>
    <row r="2513" customFormat="false" ht="15" hidden="false" customHeight="false" outlineLevel="0" collapsed="false">
      <c r="A2513" s="0" t="n">
        <f aca="false">WEEKS(45290,45298,1)</f>
        <v>1</v>
      </c>
      <c r="B2513" s="0" t="s">
        <v>2544</v>
      </c>
    </row>
    <row r="2514" customFormat="false" ht="15" hidden="false" customHeight="false" outlineLevel="0" collapsed="false">
      <c r="A2514" s="0" t="n">
        <f aca="false">WEEKS(45298,45290,1)</f>
        <v>-1</v>
      </c>
      <c r="B2514" s="0" t="s">
        <v>2545</v>
      </c>
    </row>
    <row r="2515" customFormat="false" ht="15" hidden="false" customHeight="false" outlineLevel="0" collapsed="false">
      <c r="A2515" s="0" t="n">
        <f aca="false">MONTHS(DATE(2024,2,29),DATE(2024,3,29),0)</f>
        <v>1</v>
      </c>
      <c r="B2515" s="0" t="s">
        <v>2546</v>
      </c>
    </row>
    <row r="2516" customFormat="false" ht="15" hidden="false" customHeight="false" outlineLevel="0" collapsed="false">
      <c r="A2516" s="0" t="n">
        <f aca="false">MONTHS(DATE(2024,3,30),DATE(2024,2,29),0)</f>
        <v>-1</v>
      </c>
      <c r="B2516" s="0" t="s">
        <v>2547</v>
      </c>
    </row>
    <row r="2517" customFormat="false" ht="15" hidden="false" customHeight="false" outlineLevel="0" collapsed="false">
      <c r="A2517" s="0" t="n">
        <f aca="false">MONTHS(DATE(2024,1,31),DATE(2024,2,28),0)</f>
        <v>0</v>
      </c>
      <c r="B2517" s="0" t="s">
        <v>2548</v>
      </c>
    </row>
    <row r="2518" customFormat="false" ht="15" hidden="false" customHeight="false" outlineLevel="0" collapsed="false">
      <c r="A2518" s="0" t="n">
        <f aca="false">MONTHS(DATE(2023,12,31),DATE(2024,2,29),0)</f>
        <v>1</v>
      </c>
      <c r="B2518" s="0" t="s">
        <v>2549</v>
      </c>
    </row>
    <row r="2519" customFormat="false" ht="15" hidden="false" customHeight="false" outlineLevel="0" collapsed="false">
      <c r="A2519" s="0" t="n">
        <f aca="false">YEARS(DATE(2024,3,1),DATE(2024,2,29),0)</f>
        <v>0</v>
      </c>
      <c r="B2519" s="0" t="s">
        <v>2550</v>
      </c>
    </row>
    <row r="2520" customFormat="false" ht="15" hidden="false" customHeight="false" outlineLevel="0" collapsed="false">
      <c r="A2520" s="0" t="n">
        <f aca="false">YEARS(DATE(2020,2,29),DATE(2024,2,28),0)</f>
        <v>3</v>
      </c>
      <c r="B2520" s="0" t="s">
        <v>2551</v>
      </c>
    </row>
    <row r="2521" customFormat="false" ht="15" hidden="false" customHeight="false" outlineLevel="0" collapsed="false">
      <c r="A2521" s="0" t="n">
        <f aca="false">WEEKS(45292,45299,0.5)</f>
        <v>1</v>
      </c>
      <c r="B2521" s="0" t="s">
        <v>2552</v>
      </c>
    </row>
    <row r="2522" customFormat="false" ht="15" hidden="false" customHeight="false" outlineLevel="0" collapsed="false">
      <c r="A2522" s="0" t="n">
        <f aca="false">WEEKS(45292,45299,1.9)</f>
        <v>1</v>
      </c>
      <c r="B2522" s="0" t="s">
        <v>2553</v>
      </c>
    </row>
    <row r="2523" customFormat="false" ht="15" hidden="false" customHeight="false" outlineLevel="0" collapsed="false">
      <c r="A2523" s="0" t="n">
        <f aca="false">MONTHS(45292,45323,0.5)</f>
        <v>1</v>
      </c>
      <c r="B2523" s="0" t="s">
        <v>2554</v>
      </c>
    </row>
    <row r="2524" customFormat="false" ht="15" hidden="false" customHeight="false" outlineLevel="0" collapsed="false">
      <c r="A2524" s="0" t="n">
        <f aca="false">YEARS(45292,45658,1.5)</f>
        <v>1</v>
      </c>
      <c r="B2524" s="0" t="s">
        <v>2555</v>
      </c>
    </row>
    <row r="2525" customFormat="false" ht="15" hidden="false" customHeight="false" outlineLevel="0" collapsed="false">
      <c r="A2525" s="0" t="n">
        <f aca="false">WEEKS(45292,45299,"1")</f>
        <v>1</v>
      </c>
      <c r="B2525" s="0" t="s">
        <v>2556</v>
      </c>
    </row>
    <row r="2526" customFormat="false" ht="15" hidden="false" customHeight="false" outlineLevel="0" collapsed="false">
      <c r="A2526" s="0" t="e">
        <f aca="false">WEEKS("x",45299,0)</f>
        <v>#VALUE!</v>
      </c>
      <c r="B2526" s="0" t="s">
        <v>2557</v>
      </c>
    </row>
    <row r="2527" customFormat="false" ht="15" hidden="false" customHeight="false" outlineLevel="0" collapsed="false">
      <c r="A2527" s="0" t="e">
        <f aca="false">WEEKS(45292,45299,NA())</f>
        <v>#N/A</v>
      </c>
      <c r="B2527" s="0" t="s">
        <v>2558</v>
      </c>
    </row>
    <row r="2528" customFormat="false" ht="15" hidden="false" customHeight="false" outlineLevel="0" collapsed="false">
      <c r="A2528" s="0" t="n">
        <f aca="false">WEEKS(2958465,2958465,1)</f>
        <v>0</v>
      </c>
      <c r="B2528" s="0" t="s">
        <v>2559</v>
      </c>
    </row>
    <row r="2529" customFormat="false" ht="15" hidden="false" customHeight="false" outlineLevel="0" collapsed="false">
      <c r="A2529" s="0" t="n">
        <f aca="false">WEEKS(45292,2958466,0)</f>
        <v>416167</v>
      </c>
      <c r="B2529" s="0" t="s">
        <v>2560</v>
      </c>
    </row>
    <row r="2530" customFormat="false" ht="15" hidden="false" customHeight="false" outlineLevel="0" collapsed="false">
      <c r="A2530" s="0" t="n">
        <f aca="false">WEEKS(-1000000,45292,0)</f>
        <v>149327</v>
      </c>
      <c r="B2530" s="0" t="s">
        <v>2561</v>
      </c>
    </row>
    <row r="2531" customFormat="false" ht="15" hidden="false" customHeight="false" outlineLevel="0" collapsed="false">
      <c r="A2531" s="0" t="n">
        <f aca="false">MONTHS(0,45292,1)</f>
        <v>1489</v>
      </c>
      <c r="B2531" s="0" t="s">
        <v>2562</v>
      </c>
    </row>
    <row r="2532" customFormat="false" ht="15" hidden="false" customHeight="false" outlineLevel="0" collapsed="false">
      <c r="A2532" s="0" t="n">
        <f aca="false">MONTHS(-1,1,1)</f>
        <v>0</v>
      </c>
      <c r="B2532" s="0" t="s">
        <v>2563</v>
      </c>
    </row>
    <row r="2533" customFormat="false" ht="15" hidden="false" customHeight="false" outlineLevel="0" collapsed="false">
      <c r="A2533" s="0" t="n">
        <f aca="false">WEEKS(-5,5,1)</f>
        <v>1</v>
      </c>
      <c r="B2533" s="0" t="s">
        <v>2564</v>
      </c>
    </row>
    <row r="2534" customFormat="false" ht="15" hidden="false" customHeight="false" outlineLevel="0" collapsed="false">
      <c r="A2534" s="0" t="n">
        <f aca="false">YEARS(-1,1,1)</f>
        <v>0</v>
      </c>
      <c r="B2534" s="0" t="s">
        <v>2565</v>
      </c>
    </row>
    <row r="2535" customFormat="false" ht="15" hidden="false" customHeight="false" outlineLevel="0" collapsed="false">
      <c r="A2535" s="0" t="e">
        <f aca="false">WEEKS("",5,1)</f>
        <v>#VALUE!</v>
      </c>
      <c r="B2535" s="0" t="s">
        <v>2566</v>
      </c>
    </row>
    <row r="2536" customFormat="false" ht="15" hidden="false" customHeight="false" outlineLevel="0" collapsed="false">
      <c r="A2536" s="0" t="n">
        <f aca="false">WEEKS(Data!D1,7,0)</f>
        <v>1</v>
      </c>
      <c r="B2536" s="0" t="s">
        <v>2567</v>
      </c>
    </row>
    <row r="2537" customFormat="false" ht="15" hidden="false" customHeight="false" outlineLevel="0" collapsed="false">
      <c r="A2537" s="0" t="n">
        <f aca="false">ISLEAPYEAR(10000000)</f>
        <v>0</v>
      </c>
      <c r="B2537" s="0" t="s">
        <v>2568</v>
      </c>
    </row>
    <row r="2538" customFormat="false" ht="15" hidden="false" customHeight="false" outlineLevel="0" collapsed="false">
      <c r="A2538" s="0" t="n">
        <f aca="false">ISLEAPYEAR(Data!D1)</f>
        <v>0</v>
      </c>
      <c r="B2538" s="0" t="s">
        <v>2569</v>
      </c>
    </row>
    <row r="2539" customFormat="false" ht="15" hidden="false" customHeight="false" outlineLevel="0" collapsed="false">
      <c r="A2539" s="0" t="n">
        <f aca="false">DAYSINMONTH(Data!D1)</f>
        <v>31</v>
      </c>
      <c r="B2539" s="0" t="s">
        <v>2570</v>
      </c>
    </row>
    <row r="2540" customFormat="false" ht="15" hidden="false" customHeight="false" outlineLevel="0" collapsed="false">
      <c r="A2540" s="0" t="n">
        <f aca="false">DAYSINYEAR(2958466)</f>
        <v>366</v>
      </c>
      <c r="B2540" s="0" t="s">
        <v>2571</v>
      </c>
    </row>
    <row r="2541" customFormat="false" ht="15" hidden="false" customHeight="false" outlineLevel="0" collapsed="false">
      <c r="A2541" s="0" t="n">
        <f aca="false">WEEKSINYEAR(2958466)</f>
        <v>52</v>
      </c>
      <c r="B2541" s="0" t="s">
        <v>2572</v>
      </c>
    </row>
    <row r="2542" customFormat="false" ht="15" hidden="false" customHeight="false" outlineLevel="0" collapsed="false">
      <c r="A2542" s="0" t="e">
        <f aca="false">ISLEAPYEAR(Data!A1:A3)</f>
        <v>#VALUE!</v>
      </c>
      <c r="B2542" s="0" t="s">
        <v>2573</v>
      </c>
    </row>
    <row r="2543" customFormat="false" ht="15" hidden="false" customHeight="false" outlineLevel="0" collapsed="false">
      <c r="A2543" s="0" t="e">
        <f aca="false">ISLEAPYEAR(NA())</f>
        <v>#N/A</v>
      </c>
      <c r="B2543" s="0" t="s">
        <v>2574</v>
      </c>
    </row>
    <row r="2544" customFormat="false" ht="15" hidden="false" customHeight="false" outlineLevel="0" collapsed="false">
      <c r="A2544" s="0" t="n">
        <f aca="false">WEEKSINYEAR(1)</f>
        <v>52</v>
      </c>
      <c r="B2544" s="0" t="s">
        <v>2575</v>
      </c>
    </row>
    <row r="2545" customFormat="false" ht="15" hidden="false" customHeight="false" outlineLevel="0" collapsed="false">
      <c r="A2545" s="0" t="n">
        <f aca="false">WEEKSINYEAR(60)</f>
        <v>52</v>
      </c>
      <c r="B2545" s="0" t="s">
        <v>2576</v>
      </c>
    </row>
    <row r="2546" customFormat="false" ht="15" hidden="false" customHeight="false" outlineLevel="0" collapsed="false">
      <c r="A2546" s="0" t="n">
        <f aca="false">WEEKSINYEAR(DATE(2009,6,1))</f>
        <v>53</v>
      </c>
      <c r="B2546" s="0" t="s">
        <v>2577</v>
      </c>
    </row>
    <row r="2547" customFormat="false" ht="15" hidden="false" customHeight="false" outlineLevel="0" collapsed="false">
      <c r="A2547" s="0" t="n">
        <f aca="false">WEEKSINYEAR(DATE(2010,6,1))</f>
        <v>52</v>
      </c>
      <c r="B2547" s="0" t="s">
        <v>2578</v>
      </c>
    </row>
    <row r="2548" customFormat="false" ht="15" hidden="false" customHeight="false" outlineLevel="0" collapsed="false">
      <c r="A2548" s="0" t="n">
        <f aca="false">WEEKSINYEAR(DATE(2016,6,1))</f>
        <v>52</v>
      </c>
      <c r="B2548" s="0" t="s">
        <v>2579</v>
      </c>
    </row>
    <row r="2549" customFormat="false" ht="15" hidden="false" customHeight="false" outlineLevel="0" collapsed="false">
      <c r="A2549" s="0" t="n">
        <f aca="false">WEEKSINYEAR(DATE(2032,6,1))</f>
        <v>53</v>
      </c>
      <c r="B2549" s="0" t="s">
        <v>2580</v>
      </c>
    </row>
    <row r="2550" customFormat="false" ht="15" hidden="false" customHeight="false" outlineLevel="0" collapsed="false">
      <c r="A2550" s="0" t="n">
        <f aca="false">WEEKSINYEAR(DATE(2037,6,1))</f>
        <v>53</v>
      </c>
      <c r="B2550" s="0" t="s">
        <v>2581</v>
      </c>
    </row>
    <row r="2551" customFormat="false" ht="15" hidden="false" customHeight="false" outlineLevel="0" collapsed="false">
      <c r="A2551" s="0" t="n">
        <f aca="false">WEEKSINYEAR(DATE(1976,6,1))</f>
        <v>53</v>
      </c>
      <c r="B2551" s="0" t="s">
        <v>2582</v>
      </c>
    </row>
    <row r="2552" customFormat="false" ht="15" hidden="false" customHeight="false" outlineLevel="0" collapsed="false">
      <c r="A2552" s="0" t="str">
        <f aca="false">HYPERLINK("http://x","label")</f>
        <v>label</v>
      </c>
      <c r="B2552" s="0" t="s">
        <v>2583</v>
      </c>
    </row>
    <row r="2553" customFormat="false" ht="15" hidden="false" customHeight="false" outlineLevel="0" collapsed="false">
      <c r="A2553" s="0" t="str">
        <f aca="false">HYPERLINK("http://x")</f>
        <v>http://x</v>
      </c>
      <c r="B2553" s="0" t="s">
        <v>2584</v>
      </c>
    </row>
    <row r="2554" customFormat="false" ht="15" hidden="false" customHeight="false" outlineLevel="0" collapsed="false">
      <c r="A2554" s="0" t="n">
        <f aca="false">HYPERLINK("http://x",5)</f>
        <v>5</v>
      </c>
      <c r="B2554" s="0" t="s">
        <v>2585</v>
      </c>
    </row>
    <row r="2555" customFormat="false" ht="15" hidden="false" customHeight="false" outlineLevel="0" collapsed="false">
      <c r="A2555" s="0" t="n">
        <f aca="false">HYPERLINK("http://x",Data!A1)</f>
        <v>5</v>
      </c>
      <c r="B2555" s="0" t="s">
        <v>2586</v>
      </c>
    </row>
    <row r="2556" customFormat="false" ht="15" hidden="false" customHeight="false" outlineLevel="0" collapsed="false">
      <c r="A2556" s="0" t="n">
        <f aca="false">HYPERLINK(5,6)</f>
        <v>6</v>
      </c>
      <c r="B2556" s="0" t="s">
        <v>2587</v>
      </c>
    </row>
    <row r="2557" customFormat="false" ht="15" hidden="false" customHeight="false" outlineLevel="0" collapsed="false">
      <c r="A2557" s="0" t="str">
        <f aca="false">HYPERLINK("","")</f>
        <v/>
      </c>
      <c r="B2557" s="0" t="s">
        <v>2588</v>
      </c>
    </row>
    <row r="2558" customFormat="false" ht="15" hidden="false" customHeight="false" outlineLevel="0" collapsed="false">
      <c r="A2558" s="0" t="str">
        <f aca="false">HYPERLINK(Data!B1)</f>
        <v>apple</v>
      </c>
      <c r="B2558" s="0" t="s">
        <v>2589</v>
      </c>
    </row>
    <row r="2559" customFormat="false" ht="15" hidden="false" customHeight="false" outlineLevel="0" collapsed="false">
      <c r="A2559" s="0" t="e">
        <f aca="false">HYPERLINK("u",NA())</f>
        <v>#N/A</v>
      </c>
      <c r="B2559" s="0" t="s">
        <v>2590</v>
      </c>
    </row>
    <row r="2560" customFormat="false" ht="15" hidden="false" customHeight="false" outlineLevel="0" collapsed="false">
      <c r="A2560" s="0" t="e">
        <f aca="false">HYPERLINK(NA(),"x")</f>
        <v>#N/A</v>
      </c>
      <c r="B2560" s="0" t="s">
        <v>2591</v>
      </c>
    </row>
    <row r="2561" customFormat="false" ht="15" hidden="false" customHeight="false" outlineLevel="0" collapsed="false">
      <c r="A2561" s="0" t="n">
        <f aca="false">HYPERLINK("a",TRUE())</f>
        <v>1</v>
      </c>
      <c r="B2561" s="0" t="s">
        <v>2592</v>
      </c>
    </row>
    <row r="2562" customFormat="false" ht="15" hidden="false" customHeight="false" outlineLevel="0" collapsed="false">
      <c r="A2562" s="0" t="e">
        <f aca="false">HYPERLINK(Data!A1:A3,"t")</f>
        <v>#VALUE!</v>
      </c>
      <c r="B2562" s="0" t="s">
        <v>2593</v>
      </c>
    </row>
    <row r="2563" customFormat="false" ht="15" hidden="false" customHeight="false" outlineLevel="0" collapsed="false">
      <c r="A2563" s="0" t="n">
        <f aca="false">HYPERLINK("u",Data!D1)</f>
        <v>0</v>
      </c>
      <c r="B2563" s="0" t="s">
        <v>2594</v>
      </c>
    </row>
    <row r="2564" customFormat="false" ht="15" hidden="false" customHeight="false" outlineLevel="0" collapsed="false">
      <c r="A2564" s="0" t="str">
        <f aca="false">HYPERLINK("u","")</f>
        <v/>
      </c>
      <c r="B2564" s="0" t="s">
        <v>2595</v>
      </c>
    </row>
    <row r="2565" customFormat="false" ht="15" hidden="false" customHeight="false" outlineLevel="0" collapsed="false">
      <c r="A2565" s="0" t="n">
        <f aca="false">LEN(HYPERLINK("u"))</f>
        <v>1</v>
      </c>
      <c r="B2565" s="0" t="s">
        <v>2596</v>
      </c>
    </row>
    <row r="2566" customFormat="false" ht="15" hidden="false" customHeight="false" outlineLevel="0" collapsed="false">
      <c r="A2566" s="0" t="n">
        <f aca="false">DSUM(Data!$O$1:$R$9,"Age",Data!$T$1:$T$2)</f>
        <v>60</v>
      </c>
      <c r="B2566" s="0" t="s">
        <v>2597</v>
      </c>
    </row>
    <row r="2567" customFormat="false" ht="15" hidden="false" customHeight="false" outlineLevel="0" collapsed="false">
      <c r="A2567" s="0" t="n">
        <f aca="false">DSUM(Data!$O$1:$R$9,"Age",Data!$V$1:$W$2)</f>
        <v>52</v>
      </c>
      <c r="B2567" s="0" t="s">
        <v>2598</v>
      </c>
    </row>
    <row r="2568" customFormat="false" ht="15" hidden="false" customHeight="false" outlineLevel="0" collapsed="false">
      <c r="A2568" s="0" t="n">
        <f aca="false">DSUM(Data!$O$1:$R$9,"Age",Data!$Y$1:$Y$3)</f>
        <v>107</v>
      </c>
      <c r="B2568" s="0" t="s">
        <v>2599</v>
      </c>
    </row>
    <row r="2569" customFormat="false" ht="15" hidden="false" customHeight="false" outlineLevel="0" collapsed="false">
      <c r="A2569" s="0" t="n">
        <f aca="false">DSUM(Data!$O$1:$R$9,"Age",Data!$AA$1:$AB$3)</f>
        <v>178</v>
      </c>
      <c r="B2569" s="0" t="s">
        <v>2600</v>
      </c>
    </row>
    <row r="2570" customFormat="false" ht="15" hidden="false" customHeight="false" outlineLevel="0" collapsed="false">
      <c r="A2570" s="0" t="n">
        <f aca="false">DSUM(Data!$O$1:$R$9,"Age",Data!$AD$1:$AD$2)</f>
        <v>238</v>
      </c>
      <c r="B2570" s="0" t="s">
        <v>2601</v>
      </c>
    </row>
    <row r="2571" customFormat="false" ht="15" hidden="false" customHeight="false" outlineLevel="0" collapsed="false">
      <c r="A2571" s="0" t="e">
        <f aca="false">DSUM(Data!$O$1:$R$9,"Age",Data!$AF$1:$AF$2)</f>
        <v>#VALUE!</v>
      </c>
      <c r="B2571" s="0" t="s">
        <v>2602</v>
      </c>
    </row>
    <row r="2572" customFormat="false" ht="15" hidden="false" customHeight="false" outlineLevel="0" collapsed="false">
      <c r="A2572" s="0" t="n">
        <f aca="false">DSUM(Data!$O$1:$R$9,"Age",Data!$AH$1:$AI$2)</f>
        <v>96</v>
      </c>
      <c r="B2572" s="0" t="s">
        <v>2603</v>
      </c>
    </row>
    <row r="2573" customFormat="false" ht="15" hidden="false" customHeight="false" outlineLevel="0" collapsed="false">
      <c r="A2573" s="0" t="n">
        <f aca="false">DSUM(Data!$O$1:$R$9,"Age",Data!$AK$1:$AK$2)</f>
        <v>0</v>
      </c>
      <c r="B2573" s="0" t="s">
        <v>2604</v>
      </c>
    </row>
    <row r="2574" customFormat="false" ht="15" hidden="false" customHeight="false" outlineLevel="0" collapsed="false">
      <c r="A2574" s="0" t="n">
        <f aca="false">DSUM(Data!$O$1:$R$9,"Age",Data!$AM$1:$AM$2)</f>
        <v>50</v>
      </c>
      <c r="B2574" s="0" t="s">
        <v>2605</v>
      </c>
    </row>
    <row r="2575" customFormat="false" ht="15" hidden="false" customHeight="false" outlineLevel="0" collapsed="false">
      <c r="A2575" s="0" t="n">
        <f aca="false">DSUM(Data!$O$1:$R$9,"Age",Data!$AO$1:$AO$2)</f>
        <v>77</v>
      </c>
      <c r="B2575" s="0" t="s">
        <v>2606</v>
      </c>
    </row>
    <row r="2576" customFormat="false" ht="15" hidden="false" customHeight="false" outlineLevel="0" collapsed="false">
      <c r="A2576" s="0" t="n">
        <f aca="false">DSUM(Data!$O$1:$R$9,"Age",Data!$AQ$1:$AQ$2)</f>
        <v>66</v>
      </c>
      <c r="B2576" s="0" t="s">
        <v>2607</v>
      </c>
    </row>
    <row r="2577" customFormat="false" ht="15" hidden="false" customHeight="false" outlineLevel="0" collapsed="false">
      <c r="A2577" s="0" t="n">
        <f aca="false">DSUM(Data!$O$1:$R$9,"Age",Data!$AS$1:$AS$2)</f>
        <v>161</v>
      </c>
      <c r="B2577" s="0" t="s">
        <v>2608</v>
      </c>
    </row>
    <row r="2578" customFormat="false" ht="15" hidden="false" customHeight="false" outlineLevel="0" collapsed="false">
      <c r="A2578" s="0" t="n">
        <f aca="false">DSUM(Data!$O$1:$R$9,"Age",Data!$AU$1:$AU$3)</f>
        <v>238</v>
      </c>
      <c r="B2578" s="0" t="s">
        <v>2609</v>
      </c>
    </row>
    <row r="2579" customFormat="false" ht="15" hidden="false" customHeight="false" outlineLevel="0" collapsed="false">
      <c r="A2579" s="0" t="n">
        <f aca="false">DSUM(Data!$O$1:$R$9,"Age",Data!$AW$1:$AW$2)</f>
        <v>238</v>
      </c>
      <c r="B2579" s="0" t="s">
        <v>2610</v>
      </c>
    </row>
    <row r="2580" customFormat="false" ht="15" hidden="false" customHeight="false" outlineLevel="0" collapsed="false">
      <c r="A2580" s="0" t="n">
        <f aca="false">DSUM(Data!$O$1:$R$9,"Age",Data!$AY$1:$BA$3)</f>
        <v>188</v>
      </c>
      <c r="B2580" s="0" t="s">
        <v>2611</v>
      </c>
    </row>
    <row r="2581" customFormat="false" ht="15" hidden="false" customHeight="false" outlineLevel="0" collapsed="false">
      <c r="A2581" s="0" t="n">
        <f aca="false">DSUM(Data!$O$1:$R$9,"Age",Data!$BC$1:$BC$2)</f>
        <v>0</v>
      </c>
      <c r="B2581" s="0" t="s">
        <v>2612</v>
      </c>
    </row>
    <row r="2582" customFormat="false" ht="15" hidden="false" customHeight="false" outlineLevel="0" collapsed="false">
      <c r="A2582" s="0" t="n">
        <f aca="false">DSUM(Data!$O$1:$R$9,"Age",Data!$BE$1:$BE$2)</f>
        <v>25</v>
      </c>
      <c r="B2582" s="0" t="s">
        <v>2613</v>
      </c>
    </row>
    <row r="2583" customFormat="false" ht="15" hidden="false" customHeight="false" outlineLevel="0" collapsed="false">
      <c r="A2583" s="0" t="n">
        <f aca="false">DSUM(Data!$O$1:$R$9,3,Data!$T$1:$T$2)</f>
        <v>340</v>
      </c>
      <c r="B2583" s="0" t="s">
        <v>2614</v>
      </c>
    </row>
    <row r="2584" customFormat="false" ht="15" hidden="false" customHeight="false" outlineLevel="0" collapsed="false">
      <c r="A2584" s="0" t="n">
        <f aca="false">DSUM(Data!$O$1:$R$9,3,Data!$V$1:$W$2)</f>
        <v>182</v>
      </c>
      <c r="B2584" s="0" t="s">
        <v>2615</v>
      </c>
    </row>
    <row r="2585" customFormat="false" ht="15" hidden="false" customHeight="false" outlineLevel="0" collapsed="false">
      <c r="A2585" s="0" t="n">
        <f aca="false">DSUM(Data!$O$1:$R$9,3,Data!$Y$1:$Y$3)</f>
        <v>517</v>
      </c>
      <c r="B2585" s="0" t="s">
        <v>2616</v>
      </c>
    </row>
    <row r="2586" customFormat="false" ht="15" hidden="false" customHeight="false" outlineLevel="0" collapsed="false">
      <c r="A2586" s="0" t="n">
        <f aca="false">DSUM(Data!$O$1:$R$9,3,Data!$AA$1:$AB$3)</f>
        <v>850</v>
      </c>
      <c r="B2586" s="0" t="s">
        <v>2617</v>
      </c>
    </row>
    <row r="2587" customFormat="false" ht="15" hidden="false" customHeight="false" outlineLevel="0" collapsed="false">
      <c r="A2587" s="0" t="n">
        <f aca="false">DSUM(Data!$O$1:$R$9,3,Data!$AD$1:$AD$2)</f>
        <v>1360</v>
      </c>
      <c r="B2587" s="0" t="s">
        <v>2618</v>
      </c>
    </row>
    <row r="2588" customFormat="false" ht="15" hidden="false" customHeight="false" outlineLevel="0" collapsed="false">
      <c r="A2588" s="0" t="e">
        <f aca="false">DSUM(Data!$O$1:$R$9,3,Data!$AF$1:$AF$2)</f>
        <v>#VALUE!</v>
      </c>
      <c r="B2588" s="0" t="s">
        <v>2619</v>
      </c>
    </row>
    <row r="2589" customFormat="false" ht="15" hidden="false" customHeight="false" outlineLevel="0" collapsed="false">
      <c r="A2589" s="0" t="n">
        <f aca="false">DSUM(Data!$O$1:$R$9,3,Data!$AH$1:$AI$2)</f>
        <v>500</v>
      </c>
      <c r="B2589" s="0" t="s">
        <v>2620</v>
      </c>
    </row>
    <row r="2590" customFormat="false" ht="15" hidden="false" customHeight="false" outlineLevel="0" collapsed="false">
      <c r="A2590" s="0" t="n">
        <f aca="false">DSUM(Data!$O$1:$R$9,3,Data!$AK$1:$AK$2)</f>
        <v>0</v>
      </c>
      <c r="B2590" s="0" t="s">
        <v>2621</v>
      </c>
    </row>
    <row r="2591" customFormat="false" ht="15" hidden="false" customHeight="false" outlineLevel="0" collapsed="false">
      <c r="A2591" s="0" t="n">
        <f aca="false">DSUM(Data!$O$1:$R$9,3,Data!$AM$1:$AM$2)</f>
        <v>345</v>
      </c>
      <c r="B2591" s="0" t="s">
        <v>2622</v>
      </c>
    </row>
    <row r="2592" customFormat="false" ht="15" hidden="false" customHeight="false" outlineLevel="0" collapsed="false">
      <c r="A2592" s="0" t="n">
        <f aca="false">DSUM(Data!$O$1:$R$9,3,Data!$AO$1:$AO$2)</f>
        <v>357</v>
      </c>
      <c r="B2592" s="0" t="s">
        <v>2623</v>
      </c>
    </row>
    <row r="2593" customFormat="false" ht="15" hidden="false" customHeight="false" outlineLevel="0" collapsed="false">
      <c r="A2593" s="0" t="n">
        <f aca="false">DSUM(Data!$O$1:$R$9,3,Data!$AQ$1:$AQ$2)</f>
        <v>335</v>
      </c>
      <c r="B2593" s="0" t="s">
        <v>2624</v>
      </c>
    </row>
    <row r="2594" customFormat="false" ht="15" hidden="false" customHeight="false" outlineLevel="0" collapsed="false">
      <c r="A2594" s="0" t="n">
        <f aca="false">DSUM(Data!$O$1:$R$9,3,Data!$AS$1:$AS$2)</f>
        <v>1003</v>
      </c>
      <c r="B2594" s="0" t="s">
        <v>2625</v>
      </c>
    </row>
    <row r="2595" customFormat="false" ht="15" hidden="false" customHeight="false" outlineLevel="0" collapsed="false">
      <c r="A2595" s="0" t="n">
        <f aca="false">DSUM(Data!$O$1:$R$9,3,Data!$AU$1:$AU$3)</f>
        <v>1360</v>
      </c>
      <c r="B2595" s="0" t="s">
        <v>2626</v>
      </c>
    </row>
    <row r="2596" customFormat="false" ht="15" hidden="false" customHeight="false" outlineLevel="0" collapsed="false">
      <c r="A2596" s="0" t="n">
        <f aca="false">DSUM(Data!$O$1:$R$9,3,Data!$AW$1:$AW$2)</f>
        <v>1190</v>
      </c>
      <c r="B2596" s="0" t="s">
        <v>2627</v>
      </c>
    </row>
    <row r="2597" customFormat="false" ht="15" hidden="false" customHeight="false" outlineLevel="0" collapsed="false">
      <c r="A2597" s="0" t="n">
        <f aca="false">DSUM(Data!$O$1:$R$9,3,Data!$AY$1:$BA$3)</f>
        <v>845</v>
      </c>
      <c r="B2597" s="0" t="s">
        <v>2628</v>
      </c>
    </row>
    <row r="2598" customFormat="false" ht="15" hidden="false" customHeight="false" outlineLevel="0" collapsed="false">
      <c r="A2598" s="0" t="n">
        <f aca="false">DSUM(Data!$O$1:$R$9,3,Data!$BC$1:$BC$2)</f>
        <v>170</v>
      </c>
      <c r="B2598" s="0" t="s">
        <v>2629</v>
      </c>
    </row>
    <row r="2599" customFormat="false" ht="15" hidden="false" customHeight="false" outlineLevel="0" collapsed="false">
      <c r="A2599" s="0" t="n">
        <f aca="false">DSUM(Data!$O$1:$R$9,3,Data!$BE$1:$BE$2)</f>
        <v>170</v>
      </c>
      <c r="B2599" s="0" t="s">
        <v>2630</v>
      </c>
    </row>
    <row r="2600" customFormat="false" ht="15" hidden="false" customHeight="false" outlineLevel="0" collapsed="false">
      <c r="A2600" s="0" t="n">
        <f aca="false">DSUM(Data!$O$1:$R$9,"Score",Data!$T$1:$T$2)</f>
        <v>150</v>
      </c>
      <c r="B2600" s="0" t="s">
        <v>2631</v>
      </c>
    </row>
    <row r="2601" customFormat="false" ht="15" hidden="false" customHeight="false" outlineLevel="0" collapsed="false">
      <c r="A2601" s="0" t="n">
        <f aca="false">DSUM(Data!$O$1:$R$9,"Score",Data!$V$1:$W$2)</f>
        <v>77</v>
      </c>
      <c r="B2601" s="0" t="s">
        <v>2632</v>
      </c>
    </row>
    <row r="2602" customFormat="false" ht="15" hidden="false" customHeight="false" outlineLevel="0" collapsed="false">
      <c r="A2602" s="0" t="n">
        <f aca="false">DSUM(Data!$O$1:$R$9,"Score",Data!$Y$1:$Y$3)</f>
        <v>247</v>
      </c>
      <c r="B2602" s="0" t="s">
        <v>2633</v>
      </c>
    </row>
    <row r="2603" customFormat="false" ht="15" hidden="false" customHeight="false" outlineLevel="0" collapsed="false">
      <c r="A2603" s="0" t="n">
        <f aca="false">DSUM(Data!$O$1:$R$9,"Score",Data!$AA$1:$AB$3)</f>
        <v>407</v>
      </c>
      <c r="B2603" s="0" t="s">
        <v>2634</v>
      </c>
    </row>
    <row r="2604" customFormat="false" ht="15" hidden="false" customHeight="false" outlineLevel="0" collapsed="false">
      <c r="A2604" s="0" t="n">
        <f aca="false">DSUM(Data!$O$1:$R$9,"Score",Data!$AD$1:$AD$2)</f>
        <v>557</v>
      </c>
      <c r="B2604" s="0" t="s">
        <v>2635</v>
      </c>
    </row>
    <row r="2605" customFormat="false" ht="15" hidden="false" customHeight="false" outlineLevel="0" collapsed="false">
      <c r="A2605" s="0" t="e">
        <f aca="false">DSUM(Data!$O$1:$R$9,"Score",Data!$AF$1:$AF$2)</f>
        <v>#VALUE!</v>
      </c>
      <c r="B2605" s="0" t="s">
        <v>2636</v>
      </c>
    </row>
    <row r="2606" customFormat="false" ht="15" hidden="false" customHeight="false" outlineLevel="0" collapsed="false">
      <c r="A2606" s="0" t="n">
        <f aca="false">DSUM(Data!$O$1:$R$9,"Score",Data!$AH$1:$AI$2)</f>
        <v>255</v>
      </c>
      <c r="B2606" s="0" t="s">
        <v>2637</v>
      </c>
    </row>
    <row r="2607" customFormat="false" ht="15" hidden="false" customHeight="false" outlineLevel="0" collapsed="false">
      <c r="A2607" s="0" t="n">
        <f aca="false">DSUM(Data!$O$1:$R$9,"Score",Data!$AK$1:$AK$2)</f>
        <v>0</v>
      </c>
      <c r="B2607" s="0" t="s">
        <v>2638</v>
      </c>
    </row>
    <row r="2608" customFormat="false" ht="15" hidden="false" customHeight="false" outlineLevel="0" collapsed="false">
      <c r="A2608" s="0" t="n">
        <f aca="false">DSUM(Data!$O$1:$R$9,"Score",Data!$AM$1:$AM$2)</f>
        <v>150</v>
      </c>
      <c r="B2608" s="0" t="s">
        <v>2639</v>
      </c>
    </row>
    <row r="2609" customFormat="false" ht="15" hidden="false" customHeight="false" outlineLevel="0" collapsed="false">
      <c r="A2609" s="0" t="n">
        <f aca="false">DSUM(Data!$O$1:$R$9,"Score",Data!$AO$1:$AO$2)</f>
        <v>167</v>
      </c>
      <c r="B2609" s="0" t="s">
        <v>2640</v>
      </c>
    </row>
    <row r="2610" customFormat="false" ht="15" hidden="false" customHeight="false" outlineLevel="0" collapsed="false">
      <c r="A2610" s="0" t="n">
        <f aca="false">DSUM(Data!$O$1:$R$9,"Score",Data!$AQ$1:$AQ$2)</f>
        <v>145</v>
      </c>
      <c r="B2610" s="0" t="s">
        <v>2641</v>
      </c>
    </row>
    <row r="2611" customFormat="false" ht="15" hidden="false" customHeight="false" outlineLevel="0" collapsed="false">
      <c r="A2611" s="0" t="n">
        <f aca="false">DSUM(Data!$O$1:$R$9,"Score",Data!$AS$1:$AS$2)</f>
        <v>390</v>
      </c>
      <c r="B2611" s="0" t="s">
        <v>2642</v>
      </c>
    </row>
    <row r="2612" customFormat="false" ht="15" hidden="false" customHeight="false" outlineLevel="0" collapsed="false">
      <c r="A2612" s="0" t="n">
        <f aca="false">DSUM(Data!$O$1:$R$9,"Score",Data!$AU$1:$AU$3)</f>
        <v>557</v>
      </c>
      <c r="B2612" s="0" t="s">
        <v>2643</v>
      </c>
    </row>
    <row r="2613" customFormat="false" ht="15" hidden="false" customHeight="false" outlineLevel="0" collapsed="false">
      <c r="A2613" s="0" t="n">
        <f aca="false">DSUM(Data!$O$1:$R$9,"Score",Data!$AW$1:$AW$2)</f>
        <v>557</v>
      </c>
      <c r="B2613" s="0" t="s">
        <v>2644</v>
      </c>
    </row>
    <row r="2614" customFormat="false" ht="15" hidden="false" customHeight="false" outlineLevel="0" collapsed="false">
      <c r="A2614" s="0" t="n">
        <f aca="false">DSUM(Data!$O$1:$R$9,"Score",Data!$AY$1:$BA$3)</f>
        <v>407</v>
      </c>
      <c r="B2614" s="0" t="s">
        <v>2645</v>
      </c>
    </row>
    <row r="2615" customFormat="false" ht="15" hidden="false" customHeight="false" outlineLevel="0" collapsed="false">
      <c r="A2615" s="0" t="n">
        <f aca="false">DSUM(Data!$O$1:$R$9,"Score",Data!$BC$1:$BC$2)</f>
        <v>0</v>
      </c>
      <c r="B2615" s="0" t="s">
        <v>2646</v>
      </c>
    </row>
    <row r="2616" customFormat="false" ht="15" hidden="false" customHeight="false" outlineLevel="0" collapsed="false">
      <c r="A2616" s="0" t="n">
        <f aca="false">DSUM(Data!$O$1:$R$9,"Score",Data!$BE$1:$BE$2)</f>
        <v>60</v>
      </c>
      <c r="B2616" s="0" t="s">
        <v>2647</v>
      </c>
    </row>
    <row r="2617" customFormat="false" ht="15" hidden="false" customHeight="false" outlineLevel="0" collapsed="false">
      <c r="A2617" s="0" t="n">
        <f aca="false">DSUM(Data!$O$1:$R$9,"age",Data!$T$1:$T$2)</f>
        <v>60</v>
      </c>
      <c r="B2617" s="0" t="s">
        <v>2648</v>
      </c>
    </row>
    <row r="2618" customFormat="false" ht="15" hidden="false" customHeight="false" outlineLevel="0" collapsed="false">
      <c r="A2618" s="0" t="n">
        <f aca="false">DSUM(Data!$O$1:$R$9,"age",Data!$AD$1:$AD$2)</f>
        <v>238</v>
      </c>
      <c r="B2618" s="0" t="s">
        <v>2649</v>
      </c>
    </row>
    <row r="2619" customFormat="false" ht="15" hidden="false" customHeight="false" outlineLevel="0" collapsed="false">
      <c r="A2619" s="0" t="e">
        <f aca="false">DSUM(Data!$O$1:$R$9,0,Data!$T$1:$T$2)</f>
        <v>#VALUE!</v>
      </c>
      <c r="B2619" s="0" t="s">
        <v>2650</v>
      </c>
    </row>
    <row r="2620" customFormat="false" ht="15" hidden="false" customHeight="false" outlineLevel="0" collapsed="false">
      <c r="A2620" s="0" t="e">
        <f aca="false">DSUM(Data!$O$1:$R$9,0,Data!$AD$1:$AD$2)</f>
        <v>#VALUE!</v>
      </c>
      <c r="B2620" s="0" t="s">
        <v>2651</v>
      </c>
    </row>
    <row r="2621" customFormat="false" ht="15" hidden="false" customHeight="false" outlineLevel="0" collapsed="false">
      <c r="A2621" s="0" t="e">
        <f aca="false">DSUM(Data!$O$1:$R$9,5,Data!$T$1:$T$2)</f>
        <v>#VALUE!</v>
      </c>
      <c r="B2621" s="0" t="s">
        <v>2652</v>
      </c>
    </row>
    <row r="2622" customFormat="false" ht="15" hidden="false" customHeight="false" outlineLevel="0" collapsed="false">
      <c r="A2622" s="0" t="e">
        <f aca="false">DSUM(Data!$O$1:$R$9,5,Data!$AD$1:$AD$2)</f>
        <v>#VALUE!</v>
      </c>
      <c r="B2622" s="0" t="s">
        <v>2653</v>
      </c>
    </row>
    <row r="2623" customFormat="false" ht="15" hidden="false" customHeight="false" outlineLevel="0" collapsed="false">
      <c r="A2623" s="0" t="e">
        <f aca="false">DSUM(Data!$O$1:$R$9,"Nope",Data!$T$1:$T$2)</f>
        <v>#VALUE!</v>
      </c>
      <c r="B2623" s="0" t="s">
        <v>2654</v>
      </c>
    </row>
    <row r="2624" customFormat="false" ht="15" hidden="false" customHeight="false" outlineLevel="0" collapsed="false">
      <c r="A2624" s="0" t="e">
        <f aca="false">DSUM(Data!$O$1:$R$9,"Nope",Data!$AD$1:$AD$2)</f>
        <v>#VALUE!</v>
      </c>
      <c r="B2624" s="0" t="s">
        <v>2655</v>
      </c>
    </row>
    <row r="2625" customFormat="false" ht="15" hidden="false" customHeight="false" outlineLevel="0" collapsed="false">
      <c r="A2625" s="0" t="e">
        <f aca="false">DSUM(Data!$O$1:$R$9,-1,Data!$T$1:$T$2)</f>
        <v>#VALUE!</v>
      </c>
      <c r="B2625" s="0" t="s">
        <v>2656</v>
      </c>
    </row>
    <row r="2626" customFormat="false" ht="15" hidden="false" customHeight="false" outlineLevel="0" collapsed="false">
      <c r="A2626" s="0" t="e">
        <f aca="false">DSUM(Data!$O$1:$R$9,-1,Data!$AD$1:$AD$2)</f>
        <v>#VALUE!</v>
      </c>
      <c r="B2626" s="0" t="s">
        <v>2657</v>
      </c>
    </row>
    <row r="2627" customFormat="false" ht="15" hidden="false" customHeight="false" outlineLevel="0" collapsed="false">
      <c r="A2627" s="0" t="n">
        <f aca="false">DSUM(Data!$O$1:$R$9,2.9,Data!$T$1:$T$2)</f>
        <v>60</v>
      </c>
      <c r="B2627" s="0" t="s">
        <v>2658</v>
      </c>
    </row>
    <row r="2628" customFormat="false" ht="15" hidden="false" customHeight="false" outlineLevel="0" collapsed="false">
      <c r="A2628" s="0" t="n">
        <f aca="false">DSUM(Data!$O$1:$R$9,2.9,Data!$AD$1:$AD$2)</f>
        <v>238</v>
      </c>
      <c r="B2628" s="0" t="s">
        <v>2659</v>
      </c>
    </row>
    <row r="2629" customFormat="false" ht="15" hidden="false" customHeight="false" outlineLevel="0" collapsed="false">
      <c r="A2629" s="0" t="e">
        <f aca="false">DSUM(Data!$O$1:$R$9,"2",Data!$T$1:$T$2)</f>
        <v>#VALUE!</v>
      </c>
      <c r="B2629" s="0" t="s">
        <v>2660</v>
      </c>
    </row>
    <row r="2630" customFormat="false" ht="15" hidden="false" customHeight="false" outlineLevel="0" collapsed="false">
      <c r="A2630" s="0" t="e">
        <f aca="false">DSUM(Data!$O$1:$R$9,"2",Data!$AD$1:$AD$2)</f>
        <v>#VALUE!</v>
      </c>
      <c r="B2630" s="0" t="s">
        <v>2661</v>
      </c>
    </row>
    <row r="2631" customFormat="false" ht="15" hidden="false" customHeight="false" outlineLevel="0" collapsed="false">
      <c r="A2631" s="0" t="n">
        <f aca="false">DSUM(Data!$O$1:$R$9,TRUE(),Data!$T$1:$T$2)</f>
        <v>0</v>
      </c>
      <c r="B2631" s="0" t="s">
        <v>2662</v>
      </c>
    </row>
    <row r="2632" customFormat="false" ht="15" hidden="false" customHeight="false" outlineLevel="0" collapsed="false">
      <c r="A2632" s="0" t="n">
        <f aca="false">DSUM(Data!$O$1:$R$9,TRUE(),Data!$AD$1:$AD$2)</f>
        <v>0</v>
      </c>
      <c r="B2632" s="0" t="s">
        <v>2663</v>
      </c>
    </row>
    <row r="2633" customFormat="false" ht="15" hidden="false" customHeight="false" outlineLevel="0" collapsed="false">
      <c r="A2633" s="0" t="n">
        <f aca="false">DSUM(Data!$O$1:$R$9,Data!$P$1,Data!$T$1:$T$2)</f>
        <v>60</v>
      </c>
      <c r="B2633" s="0" t="s">
        <v>2664</v>
      </c>
    </row>
    <row r="2634" customFormat="false" ht="15" hidden="false" customHeight="false" outlineLevel="0" collapsed="false">
      <c r="A2634" s="0" t="n">
        <f aca="false">DSUM(Data!$O$1:$R$9,Data!$P$1,Data!$AD$1:$AD$2)</f>
        <v>238</v>
      </c>
      <c r="B2634" s="0" t="s">
        <v>2665</v>
      </c>
    </row>
    <row r="2635" customFormat="false" ht="15" hidden="false" customHeight="false" outlineLevel="0" collapsed="false">
      <c r="A2635" s="0" t="n">
        <f aca="false">DSUM(Data!$O$1:$R$9,"Name",Data!$T$1:$T$2)</f>
        <v>0</v>
      </c>
      <c r="B2635" s="0" t="s">
        <v>2666</v>
      </c>
    </row>
    <row r="2636" customFormat="false" ht="15" hidden="false" customHeight="false" outlineLevel="0" collapsed="false">
      <c r="A2636" s="0" t="n">
        <f aca="false">DSUM(Data!$O$1:$R$9,"Name",Data!$AD$1:$AD$2)</f>
        <v>0</v>
      </c>
      <c r="B2636" s="0" t="s">
        <v>2667</v>
      </c>
    </row>
    <row r="2637" customFormat="false" ht="15" hidden="false" customHeight="false" outlineLevel="0" collapsed="false">
      <c r="A2637" s="0" t="e">
        <f aca="false">DSUM(Data!$O$1:$R$9,Data!$O$2,Data!$T$1:$T$2)</f>
        <v>#VALUE!</v>
      </c>
      <c r="B2637" s="0" t="s">
        <v>2668</v>
      </c>
    </row>
    <row r="2638" customFormat="false" ht="15" hidden="false" customHeight="false" outlineLevel="0" collapsed="false">
      <c r="A2638" s="0" t="e">
        <f aca="false">DSUM(Data!$O$1:$R$9,Data!$O$2,Data!$AD$1:$AD$2)</f>
        <v>#VALUE!</v>
      </c>
      <c r="B2638" s="0" t="s">
        <v>2669</v>
      </c>
    </row>
    <row r="2639" customFormat="false" ht="15" hidden="false" customHeight="false" outlineLevel="0" collapsed="false">
      <c r="A2639" s="0" t="e">
        <f aca="false">DSUM(Data!$O$1:$R$9,"",Data!$T$1:$T$2)</f>
        <v>#VALUE!</v>
      </c>
      <c r="B2639" s="0" t="s">
        <v>2670</v>
      </c>
    </row>
    <row r="2640" customFormat="false" ht="15" hidden="false" customHeight="false" outlineLevel="0" collapsed="false">
      <c r="A2640" s="0" t="e">
        <f aca="false">DSUM(Data!$O$1:$R$9,"",Data!$AD$1:$AD$2)</f>
        <v>#VALUE!</v>
      </c>
      <c r="B2640" s="0" t="s">
        <v>2671</v>
      </c>
    </row>
    <row r="2641" customFormat="false" ht="15" hidden="false" customHeight="false" outlineLevel="0" collapsed="false">
      <c r="A2641" s="0" t="e">
        <f aca="false">DSUM(Data!$O$1:$R$9,NA(),Data!$T$1:$T$2)</f>
        <v>#N/A</v>
      </c>
      <c r="B2641" s="0" t="s">
        <v>2672</v>
      </c>
    </row>
    <row r="2642" customFormat="false" ht="15" hidden="false" customHeight="false" outlineLevel="0" collapsed="false">
      <c r="A2642" s="0" t="e">
        <f aca="false">DSUM(Data!$O$1:$R$9,NA(),Data!$AD$1:$AD$2)</f>
        <v>#N/A</v>
      </c>
      <c r="B2642" s="0" t="s">
        <v>2673</v>
      </c>
    </row>
    <row r="2643" customFormat="false" ht="15" hidden="false" customHeight="false" outlineLevel="0" collapsed="false">
      <c r="A2643" s="0" t="e">
        <f aca="false">DSUM(Data!$O$1:$R$9,3,Data!$T$2:$T$3)</f>
        <v>#VALUE!</v>
      </c>
      <c r="B2643" s="0" t="s">
        <v>2674</v>
      </c>
    </row>
    <row r="2644" customFormat="false" ht="15" hidden="false" customHeight="false" outlineLevel="0" collapsed="false">
      <c r="A2644" s="0" t="e">
        <f aca="false">DSUM(Data!$O$1:$R$9,3,Data!$T$1)</f>
        <v>#VALUE!</v>
      </c>
      <c r="B2644" s="0" t="s">
        <v>2675</v>
      </c>
    </row>
    <row r="2645" customFormat="false" ht="15" hidden="false" customHeight="false" outlineLevel="0" collapsed="false">
      <c r="A2645" s="0" t="e">
        <f aca="false">DSUM(Data!$O$2:$R$9,3,Data!$T$1:$T$2)</f>
        <v>#VALUE!</v>
      </c>
      <c r="B2645" s="0" t="s">
        <v>2676</v>
      </c>
    </row>
    <row r="2646" customFormat="false" ht="15" hidden="false" customHeight="false" outlineLevel="0" collapsed="false">
      <c r="A2646" s="0" t="e">
        <f aca="false">DSUM(Data!$O$1:$R$9,3,5)</f>
        <v>#VALUE!</v>
      </c>
      <c r="B2646" s="0" t="s">
        <v>2677</v>
      </c>
    </row>
    <row r="2647" customFormat="false" ht="15" hidden="false" customHeight="false" outlineLevel="0" collapsed="false">
      <c r="A2647" s="0" t="e">
        <f aca="false">DSUM(5,3,Data!$T$1:$T$2)</f>
        <v>#VALUE!</v>
      </c>
      <c r="B2647" s="0" t="s">
        <v>2678</v>
      </c>
    </row>
    <row r="2648" customFormat="false" ht="15" hidden="false" customHeight="false" outlineLevel="0" collapsed="false">
      <c r="A2648" s="0" t="e">
        <f aca="false">DSUM(Data!$O$1:$R$9,3,Data!$T$1:$T$2,1)</f>
        <v>#VALUE!</v>
      </c>
      <c r="B2648" s="0" t="s">
        <v>2679</v>
      </c>
    </row>
    <row r="2649" customFormat="false" ht="15" hidden="false" customHeight="false" outlineLevel="0" collapsed="false">
      <c r="A2649" s="0" t="e">
        <f aca="false">DSUM(Data!$O$1:$R$9,3)</f>
        <v>#VALUE!</v>
      </c>
      <c r="B2649" s="0" t="s">
        <v>2680</v>
      </c>
    </row>
    <row r="2650" customFormat="false" ht="15" hidden="false" customHeight="false" outlineLevel="0" collapsed="false">
      <c r="A2650" s="0" t="e">
        <f aca="false">DSUM(Data!$O$1:$O$9,1,Data!$T$1:$T$2)</f>
        <v>#VALUE!</v>
      </c>
      <c r="B2650" s="0" t="s">
        <v>2681</v>
      </c>
    </row>
    <row r="2651" customFormat="false" ht="15" hidden="false" customHeight="false" outlineLevel="0" collapsed="false">
      <c r="A2651" s="0" t="n">
        <f aca="false">DSUM(Data!$O$1:$R$9,3,Data!$AU$1:$AU$2)</f>
        <v>1360</v>
      </c>
      <c r="B2651" s="0" t="s">
        <v>2682</v>
      </c>
    </row>
    <row r="2652" customFormat="false" ht="15" hidden="false" customHeight="false" outlineLevel="0" collapsed="false">
      <c r="A2652" s="0" t="e">
        <f aca="false">DSUM(Data!$O$1:$R$9,3,Data!$T$1:$U$1)</f>
        <v>#VALUE!</v>
      </c>
      <c r="B2652" s="0" t="s">
        <v>2683</v>
      </c>
    </row>
    <row r="2653" customFormat="false" ht="15" hidden="false" customHeight="false" outlineLevel="0" collapsed="false">
      <c r="A2653" s="0" t="n">
        <f aca="false">DCOUNT(Data!$O$1:$R$9,"Age",Data!$T$1:$T$2)</f>
        <v>2</v>
      </c>
      <c r="B2653" s="0" t="s">
        <v>2684</v>
      </c>
    </row>
    <row r="2654" customFormat="false" ht="15" hidden="false" customHeight="false" outlineLevel="0" collapsed="false">
      <c r="A2654" s="0" t="n">
        <f aca="false">DCOUNT(Data!$O$1:$R$9,"Age",Data!$V$1:$W$2)</f>
        <v>1</v>
      </c>
      <c r="B2654" s="0" t="s">
        <v>2685</v>
      </c>
    </row>
    <row r="2655" customFormat="false" ht="15" hidden="false" customHeight="false" outlineLevel="0" collapsed="false">
      <c r="A2655" s="0" t="n">
        <f aca="false">DCOUNT(Data!$O$1:$R$9,"Age",Data!$Y$1:$Y$3)</f>
        <v>3</v>
      </c>
      <c r="B2655" s="0" t="s">
        <v>2686</v>
      </c>
    </row>
    <row r="2656" customFormat="false" ht="15" hidden="false" customHeight="false" outlineLevel="0" collapsed="false">
      <c r="A2656" s="0" t="n">
        <f aca="false">DCOUNT(Data!$O$1:$R$9,"Age",Data!$AA$1:$AB$3)</f>
        <v>5</v>
      </c>
      <c r="B2656" s="0" t="s">
        <v>2687</v>
      </c>
    </row>
    <row r="2657" customFormat="false" ht="15" hidden="false" customHeight="false" outlineLevel="0" collapsed="false">
      <c r="A2657" s="0" t="n">
        <f aca="false">DCOUNT(Data!$O$1:$R$9,"Age",Data!$AD$1:$AD$2)</f>
        <v>7</v>
      </c>
      <c r="B2657" s="0" t="s">
        <v>2688</v>
      </c>
    </row>
    <row r="2658" customFormat="false" ht="15" hidden="false" customHeight="false" outlineLevel="0" collapsed="false">
      <c r="A2658" s="0" t="e">
        <f aca="false">DCOUNT(Data!$O$1:$R$9,"Age",Data!$AF$1:$AF$2)</f>
        <v>#VALUE!</v>
      </c>
      <c r="B2658" s="0" t="s">
        <v>2689</v>
      </c>
    </row>
    <row r="2659" customFormat="false" ht="15" hidden="false" customHeight="false" outlineLevel="0" collapsed="false">
      <c r="A2659" s="0" t="n">
        <f aca="false">DCOUNT(Data!$O$1:$R$9,"Age",Data!$AH$1:$AI$2)</f>
        <v>3</v>
      </c>
      <c r="B2659" s="0" t="s">
        <v>2690</v>
      </c>
    </row>
    <row r="2660" customFormat="false" ht="15" hidden="false" customHeight="false" outlineLevel="0" collapsed="false">
      <c r="A2660" s="0" t="n">
        <f aca="false">DCOUNT(Data!$O$1:$R$9,"Age",Data!$AK$1:$AK$2)</f>
        <v>0</v>
      </c>
      <c r="B2660" s="0" t="s">
        <v>2691</v>
      </c>
    </row>
    <row r="2661" customFormat="false" ht="15" hidden="false" customHeight="false" outlineLevel="0" collapsed="false">
      <c r="A2661" s="0" t="n">
        <f aca="false">DCOUNT(Data!$O$1:$R$9,"Age",Data!$AM$1:$AM$2)</f>
        <v>2</v>
      </c>
      <c r="B2661" s="0" t="s">
        <v>2692</v>
      </c>
    </row>
    <row r="2662" customFormat="false" ht="15" hidden="false" customHeight="false" outlineLevel="0" collapsed="false">
      <c r="A2662" s="0" t="n">
        <f aca="false">DCOUNT(Data!$O$1:$R$9,"Age",Data!$AO$1:$AO$2)</f>
        <v>2</v>
      </c>
      <c r="B2662" s="0" t="s">
        <v>2693</v>
      </c>
    </row>
    <row r="2663" customFormat="false" ht="15" hidden="false" customHeight="false" outlineLevel="0" collapsed="false">
      <c r="A2663" s="0" t="n">
        <f aca="false">DCOUNT(Data!$O$1:$R$9,"Age",Data!$AQ$1:$AQ$2)</f>
        <v>2</v>
      </c>
      <c r="B2663" s="0" t="s">
        <v>2694</v>
      </c>
    </row>
    <row r="2664" customFormat="false" ht="15" hidden="false" customHeight="false" outlineLevel="0" collapsed="false">
      <c r="A2664" s="0" t="n">
        <f aca="false">DCOUNT(Data!$O$1:$R$9,"Age",Data!$AS$1:$AS$2)</f>
        <v>5</v>
      </c>
      <c r="B2664" s="0" t="s">
        <v>2695</v>
      </c>
    </row>
    <row r="2665" customFormat="false" ht="15" hidden="false" customHeight="false" outlineLevel="0" collapsed="false">
      <c r="A2665" s="0" t="n">
        <f aca="false">DCOUNT(Data!$O$1:$R$9,"Age",Data!$AU$1:$AU$3)</f>
        <v>7</v>
      </c>
      <c r="B2665" s="0" t="s">
        <v>2696</v>
      </c>
    </row>
    <row r="2666" customFormat="false" ht="15" hidden="false" customHeight="false" outlineLevel="0" collapsed="false">
      <c r="A2666" s="0" t="n">
        <f aca="false">DCOUNT(Data!$O$1:$R$9,"Age",Data!$AW$1:$AW$2)</f>
        <v>7</v>
      </c>
      <c r="B2666" s="0" t="s">
        <v>2697</v>
      </c>
    </row>
    <row r="2667" customFormat="false" ht="15" hidden="false" customHeight="false" outlineLevel="0" collapsed="false">
      <c r="A2667" s="0" t="n">
        <f aca="false">DCOUNT(Data!$O$1:$R$9,"Age",Data!$AY$1:$BA$3)</f>
        <v>5</v>
      </c>
      <c r="B2667" s="0" t="s">
        <v>2698</v>
      </c>
    </row>
    <row r="2668" customFormat="false" ht="15" hidden="false" customHeight="false" outlineLevel="0" collapsed="false">
      <c r="A2668" s="0" t="n">
        <f aca="false">DCOUNT(Data!$O$1:$R$9,"Age",Data!$BC$1:$BC$2)</f>
        <v>0</v>
      </c>
      <c r="B2668" s="0" t="s">
        <v>2699</v>
      </c>
    </row>
    <row r="2669" customFormat="false" ht="15" hidden="false" customHeight="false" outlineLevel="0" collapsed="false">
      <c r="A2669" s="0" t="n">
        <f aca="false">DCOUNT(Data!$O$1:$R$9,"Age",Data!$BE$1:$BE$2)</f>
        <v>1</v>
      </c>
      <c r="B2669" s="0" t="s">
        <v>2700</v>
      </c>
    </row>
    <row r="2670" customFormat="false" ht="15" hidden="false" customHeight="false" outlineLevel="0" collapsed="false">
      <c r="A2670" s="0" t="n">
        <f aca="false">DCOUNT(Data!$O$1:$R$9,3,Data!$T$1:$T$2)</f>
        <v>2</v>
      </c>
      <c r="B2670" s="0" t="s">
        <v>2701</v>
      </c>
    </row>
    <row r="2671" customFormat="false" ht="15" hidden="false" customHeight="false" outlineLevel="0" collapsed="false">
      <c r="A2671" s="0" t="n">
        <f aca="false">DCOUNT(Data!$O$1:$R$9,3,Data!$V$1:$W$2)</f>
        <v>1</v>
      </c>
      <c r="B2671" s="0" t="s">
        <v>2702</v>
      </c>
    </row>
    <row r="2672" customFormat="false" ht="15" hidden="false" customHeight="false" outlineLevel="0" collapsed="false">
      <c r="A2672" s="0" t="n">
        <f aca="false">DCOUNT(Data!$O$1:$R$9,3,Data!$Y$1:$Y$3)</f>
        <v>3</v>
      </c>
      <c r="B2672" s="0" t="s">
        <v>2703</v>
      </c>
    </row>
    <row r="2673" customFormat="false" ht="15" hidden="false" customHeight="false" outlineLevel="0" collapsed="false">
      <c r="A2673" s="0" t="n">
        <f aca="false">DCOUNT(Data!$O$1:$R$9,3,Data!$AA$1:$AB$3)</f>
        <v>5</v>
      </c>
      <c r="B2673" s="0" t="s">
        <v>2704</v>
      </c>
    </row>
    <row r="2674" customFormat="false" ht="15" hidden="false" customHeight="false" outlineLevel="0" collapsed="false">
      <c r="A2674" s="0" t="n">
        <f aca="false">DCOUNT(Data!$O$1:$R$9,3,Data!$AD$1:$AD$2)</f>
        <v>8</v>
      </c>
      <c r="B2674" s="0" t="s">
        <v>2705</v>
      </c>
    </row>
    <row r="2675" customFormat="false" ht="15" hidden="false" customHeight="false" outlineLevel="0" collapsed="false">
      <c r="A2675" s="0" t="e">
        <f aca="false">DCOUNT(Data!$O$1:$R$9,3,Data!$AF$1:$AF$2)</f>
        <v>#VALUE!</v>
      </c>
      <c r="B2675" s="0" t="s">
        <v>2706</v>
      </c>
    </row>
    <row r="2676" customFormat="false" ht="15" hidden="false" customHeight="false" outlineLevel="0" collapsed="false">
      <c r="A2676" s="0" t="n">
        <f aca="false">DCOUNT(Data!$O$1:$R$9,3,Data!$AH$1:$AI$2)</f>
        <v>3</v>
      </c>
      <c r="B2676" s="0" t="s">
        <v>2707</v>
      </c>
    </row>
    <row r="2677" customFormat="false" ht="15" hidden="false" customHeight="false" outlineLevel="0" collapsed="false">
      <c r="A2677" s="0" t="n">
        <f aca="false">DCOUNT(Data!$O$1:$R$9,3,Data!$AK$1:$AK$2)</f>
        <v>0</v>
      </c>
      <c r="B2677" s="0" t="s">
        <v>2708</v>
      </c>
    </row>
    <row r="2678" customFormat="false" ht="15" hidden="false" customHeight="false" outlineLevel="0" collapsed="false">
      <c r="A2678" s="0" t="n">
        <f aca="false">DCOUNT(Data!$O$1:$R$9,3,Data!$AM$1:$AM$2)</f>
        <v>2</v>
      </c>
      <c r="B2678" s="0" t="s">
        <v>2709</v>
      </c>
    </row>
    <row r="2679" customFormat="false" ht="15" hidden="false" customHeight="false" outlineLevel="0" collapsed="false">
      <c r="A2679" s="0" t="n">
        <f aca="false">DCOUNT(Data!$O$1:$R$9,3,Data!$AO$1:$AO$2)</f>
        <v>2</v>
      </c>
      <c r="B2679" s="0" t="s">
        <v>2710</v>
      </c>
    </row>
    <row r="2680" customFormat="false" ht="15" hidden="false" customHeight="false" outlineLevel="0" collapsed="false">
      <c r="A2680" s="0" t="n">
        <f aca="false">DCOUNT(Data!$O$1:$R$9,3,Data!$AQ$1:$AQ$2)</f>
        <v>2</v>
      </c>
      <c r="B2680" s="0" t="s">
        <v>2711</v>
      </c>
    </row>
    <row r="2681" customFormat="false" ht="15" hidden="false" customHeight="false" outlineLevel="0" collapsed="false">
      <c r="A2681" s="0" t="n">
        <f aca="false">DCOUNT(Data!$O$1:$R$9,3,Data!$AS$1:$AS$2)</f>
        <v>6</v>
      </c>
      <c r="B2681" s="0" t="s">
        <v>2712</v>
      </c>
    </row>
    <row r="2682" customFormat="false" ht="15" hidden="false" customHeight="false" outlineLevel="0" collapsed="false">
      <c r="A2682" s="0" t="n">
        <f aca="false">DCOUNT(Data!$O$1:$R$9,3,Data!$AU$1:$AU$3)</f>
        <v>8</v>
      </c>
      <c r="B2682" s="0" t="s">
        <v>2713</v>
      </c>
    </row>
    <row r="2683" customFormat="false" ht="15" hidden="false" customHeight="false" outlineLevel="0" collapsed="false">
      <c r="A2683" s="0" t="n">
        <f aca="false">DCOUNT(Data!$O$1:$R$9,3,Data!$AW$1:$AW$2)</f>
        <v>7</v>
      </c>
      <c r="B2683" s="0" t="s">
        <v>2714</v>
      </c>
    </row>
    <row r="2684" customFormat="false" ht="15" hidden="false" customHeight="false" outlineLevel="0" collapsed="false">
      <c r="A2684" s="0" t="n">
        <f aca="false">DCOUNT(Data!$O$1:$R$9,3,Data!$AY$1:$BA$3)</f>
        <v>5</v>
      </c>
      <c r="B2684" s="0" t="s">
        <v>2715</v>
      </c>
    </row>
    <row r="2685" customFormat="false" ht="15" hidden="false" customHeight="false" outlineLevel="0" collapsed="false">
      <c r="A2685" s="0" t="n">
        <f aca="false">DCOUNT(Data!$O$1:$R$9,3,Data!$BC$1:$BC$2)</f>
        <v>1</v>
      </c>
      <c r="B2685" s="0" t="s">
        <v>2716</v>
      </c>
    </row>
    <row r="2686" customFormat="false" ht="15" hidden="false" customHeight="false" outlineLevel="0" collapsed="false">
      <c r="A2686" s="0" t="n">
        <f aca="false">DCOUNT(Data!$O$1:$R$9,3,Data!$BE$1:$BE$2)</f>
        <v>1</v>
      </c>
      <c r="B2686" s="0" t="s">
        <v>2717</v>
      </c>
    </row>
    <row r="2687" customFormat="false" ht="15" hidden="false" customHeight="false" outlineLevel="0" collapsed="false">
      <c r="A2687" s="0" t="n">
        <f aca="false">DCOUNT(Data!$O$1:$R$9,"Score",Data!$T$1:$T$2)</f>
        <v>2</v>
      </c>
      <c r="B2687" s="0" t="s">
        <v>2718</v>
      </c>
    </row>
    <row r="2688" customFormat="false" ht="15" hidden="false" customHeight="false" outlineLevel="0" collapsed="false">
      <c r="A2688" s="0" t="n">
        <f aca="false">DCOUNT(Data!$O$1:$R$9,"Score",Data!$V$1:$W$2)</f>
        <v>1</v>
      </c>
      <c r="B2688" s="0" t="s">
        <v>2719</v>
      </c>
    </row>
    <row r="2689" customFormat="false" ht="15" hidden="false" customHeight="false" outlineLevel="0" collapsed="false">
      <c r="A2689" s="0" t="n">
        <f aca="false">DCOUNT(Data!$O$1:$R$9,"Score",Data!$Y$1:$Y$3)</f>
        <v>3</v>
      </c>
      <c r="B2689" s="0" t="s">
        <v>2720</v>
      </c>
    </row>
    <row r="2690" customFormat="false" ht="15" hidden="false" customHeight="false" outlineLevel="0" collapsed="false">
      <c r="A2690" s="0" t="n">
        <f aca="false">DCOUNT(Data!$O$1:$R$9,"Score",Data!$AA$1:$AB$3)</f>
        <v>5</v>
      </c>
      <c r="B2690" s="0" t="s">
        <v>2721</v>
      </c>
    </row>
    <row r="2691" customFormat="false" ht="15" hidden="false" customHeight="false" outlineLevel="0" collapsed="false">
      <c r="A2691" s="0" t="n">
        <f aca="false">DCOUNT(Data!$O$1:$R$9,"Score",Data!$AD$1:$AD$2)</f>
        <v>7</v>
      </c>
      <c r="B2691" s="0" t="s">
        <v>2722</v>
      </c>
    </row>
    <row r="2692" customFormat="false" ht="15" hidden="false" customHeight="false" outlineLevel="0" collapsed="false">
      <c r="A2692" s="0" t="e">
        <f aca="false">DCOUNT(Data!$O$1:$R$9,"Score",Data!$AF$1:$AF$2)</f>
        <v>#VALUE!</v>
      </c>
      <c r="B2692" s="0" t="s">
        <v>2723</v>
      </c>
    </row>
    <row r="2693" customFormat="false" ht="15" hidden="false" customHeight="false" outlineLevel="0" collapsed="false">
      <c r="A2693" s="0" t="n">
        <f aca="false">DCOUNT(Data!$O$1:$R$9,"Score",Data!$AH$1:$AI$2)</f>
        <v>3</v>
      </c>
      <c r="B2693" s="0" t="s">
        <v>2724</v>
      </c>
    </row>
    <row r="2694" customFormat="false" ht="15" hidden="false" customHeight="false" outlineLevel="0" collapsed="false">
      <c r="A2694" s="0" t="n">
        <f aca="false">DCOUNT(Data!$O$1:$R$9,"Score",Data!$AK$1:$AK$2)</f>
        <v>0</v>
      </c>
      <c r="B2694" s="0" t="s">
        <v>2725</v>
      </c>
    </row>
    <row r="2695" customFormat="false" ht="15" hidden="false" customHeight="false" outlineLevel="0" collapsed="false">
      <c r="A2695" s="0" t="n">
        <f aca="false">DCOUNT(Data!$O$1:$R$9,"Score",Data!$AM$1:$AM$2)</f>
        <v>2</v>
      </c>
      <c r="B2695" s="0" t="s">
        <v>2726</v>
      </c>
    </row>
    <row r="2696" customFormat="false" ht="15" hidden="false" customHeight="false" outlineLevel="0" collapsed="false">
      <c r="A2696" s="0" t="n">
        <f aca="false">DCOUNT(Data!$O$1:$R$9,"Score",Data!$AO$1:$AO$2)</f>
        <v>2</v>
      </c>
      <c r="B2696" s="0" t="s">
        <v>2727</v>
      </c>
    </row>
    <row r="2697" customFormat="false" ht="15" hidden="false" customHeight="false" outlineLevel="0" collapsed="false">
      <c r="A2697" s="0" t="n">
        <f aca="false">DCOUNT(Data!$O$1:$R$9,"Score",Data!$AQ$1:$AQ$2)</f>
        <v>2</v>
      </c>
      <c r="B2697" s="0" t="s">
        <v>2728</v>
      </c>
    </row>
    <row r="2698" customFormat="false" ht="15" hidden="false" customHeight="false" outlineLevel="0" collapsed="false">
      <c r="A2698" s="0" t="n">
        <f aca="false">DCOUNT(Data!$O$1:$R$9,"Score",Data!$AS$1:$AS$2)</f>
        <v>5</v>
      </c>
      <c r="B2698" s="0" t="s">
        <v>2729</v>
      </c>
    </row>
    <row r="2699" customFormat="false" ht="15" hidden="false" customHeight="false" outlineLevel="0" collapsed="false">
      <c r="A2699" s="0" t="n">
        <f aca="false">DCOUNT(Data!$O$1:$R$9,"Score",Data!$AU$1:$AU$3)</f>
        <v>7</v>
      </c>
      <c r="B2699" s="0" t="s">
        <v>2730</v>
      </c>
    </row>
    <row r="2700" customFormat="false" ht="15" hidden="false" customHeight="false" outlineLevel="0" collapsed="false">
      <c r="A2700" s="0" t="n">
        <f aca="false">DCOUNT(Data!$O$1:$R$9,"Score",Data!$AW$1:$AW$2)</f>
        <v>7</v>
      </c>
      <c r="B2700" s="0" t="s">
        <v>2731</v>
      </c>
    </row>
    <row r="2701" customFormat="false" ht="15" hidden="false" customHeight="false" outlineLevel="0" collapsed="false">
      <c r="A2701" s="0" t="n">
        <f aca="false">DCOUNT(Data!$O$1:$R$9,"Score",Data!$AY$1:$BA$3)</f>
        <v>5</v>
      </c>
      <c r="B2701" s="0" t="s">
        <v>2732</v>
      </c>
    </row>
    <row r="2702" customFormat="false" ht="15" hidden="false" customHeight="false" outlineLevel="0" collapsed="false">
      <c r="A2702" s="0" t="n">
        <f aca="false">DCOUNT(Data!$O$1:$R$9,"Score",Data!$BC$1:$BC$2)</f>
        <v>0</v>
      </c>
      <c r="B2702" s="0" t="s">
        <v>2733</v>
      </c>
    </row>
    <row r="2703" customFormat="false" ht="15" hidden="false" customHeight="false" outlineLevel="0" collapsed="false">
      <c r="A2703" s="0" t="n">
        <f aca="false">DCOUNT(Data!$O$1:$R$9,"Score",Data!$BE$1:$BE$2)</f>
        <v>1</v>
      </c>
      <c r="B2703" s="0" t="s">
        <v>2734</v>
      </c>
    </row>
    <row r="2704" customFormat="false" ht="15" hidden="false" customHeight="false" outlineLevel="0" collapsed="false">
      <c r="A2704" s="0" t="n">
        <f aca="false">DCOUNT(Data!$O$1:$R$9,"age",Data!$T$1:$T$2)</f>
        <v>2</v>
      </c>
      <c r="B2704" s="0" t="s">
        <v>2735</v>
      </c>
    </row>
    <row r="2705" customFormat="false" ht="15" hidden="false" customHeight="false" outlineLevel="0" collapsed="false">
      <c r="A2705" s="0" t="n">
        <f aca="false">DCOUNT(Data!$O$1:$R$9,"age",Data!$AD$1:$AD$2)</f>
        <v>7</v>
      </c>
      <c r="B2705" s="0" t="s">
        <v>2736</v>
      </c>
    </row>
    <row r="2706" customFormat="false" ht="15" hidden="false" customHeight="false" outlineLevel="0" collapsed="false">
      <c r="A2706" s="0" t="e">
        <f aca="false">DCOUNT(Data!$O$1:$R$9,5,Data!$T$1:$T$2)</f>
        <v>#VALUE!</v>
      </c>
      <c r="B2706" s="0" t="s">
        <v>2737</v>
      </c>
    </row>
    <row r="2707" customFormat="false" ht="15" hidden="false" customHeight="false" outlineLevel="0" collapsed="false">
      <c r="A2707" s="0" t="e">
        <f aca="false">DCOUNT(Data!$O$1:$R$9,5,Data!$AD$1:$AD$2)</f>
        <v>#VALUE!</v>
      </c>
      <c r="B2707" s="0" t="s">
        <v>2738</v>
      </c>
    </row>
    <row r="2708" customFormat="false" ht="15" hidden="false" customHeight="false" outlineLevel="0" collapsed="false">
      <c r="A2708" s="0" t="e">
        <f aca="false">DCOUNT(Data!$O$1:$R$9,"Nope",Data!$T$1:$T$2)</f>
        <v>#VALUE!</v>
      </c>
      <c r="B2708" s="0" t="s">
        <v>2739</v>
      </c>
    </row>
    <row r="2709" customFormat="false" ht="15" hidden="false" customHeight="false" outlineLevel="0" collapsed="false">
      <c r="A2709" s="0" t="e">
        <f aca="false">DCOUNT(Data!$O$1:$R$9,"Nope",Data!$AD$1:$AD$2)</f>
        <v>#VALUE!</v>
      </c>
      <c r="B2709" s="0" t="s">
        <v>2740</v>
      </c>
    </row>
    <row r="2710" customFormat="false" ht="15" hidden="false" customHeight="false" outlineLevel="0" collapsed="false">
      <c r="A2710" s="0" t="e">
        <f aca="false">DCOUNT(Data!$O$1:$R$9,-1,Data!$T$1:$T$2)</f>
        <v>#VALUE!</v>
      </c>
      <c r="B2710" s="0" t="s">
        <v>2741</v>
      </c>
    </row>
    <row r="2711" customFormat="false" ht="15" hidden="false" customHeight="false" outlineLevel="0" collapsed="false">
      <c r="A2711" s="0" t="e">
        <f aca="false">DCOUNT(Data!$O$1:$R$9,-1,Data!$AD$1:$AD$2)</f>
        <v>#VALUE!</v>
      </c>
      <c r="B2711" s="0" t="s">
        <v>2742</v>
      </c>
    </row>
    <row r="2712" customFormat="false" ht="15" hidden="false" customHeight="false" outlineLevel="0" collapsed="false">
      <c r="A2712" s="0" t="n">
        <f aca="false">DCOUNT(Data!$O$1:$R$9,2.9,Data!$T$1:$T$2)</f>
        <v>2</v>
      </c>
      <c r="B2712" s="0" t="s">
        <v>2743</v>
      </c>
    </row>
    <row r="2713" customFormat="false" ht="15" hidden="false" customHeight="false" outlineLevel="0" collapsed="false">
      <c r="A2713" s="0" t="n">
        <f aca="false">DCOUNT(Data!$O$1:$R$9,2.9,Data!$AD$1:$AD$2)</f>
        <v>7</v>
      </c>
      <c r="B2713" s="0" t="s">
        <v>2744</v>
      </c>
    </row>
    <row r="2714" customFormat="false" ht="15" hidden="false" customHeight="false" outlineLevel="0" collapsed="false">
      <c r="A2714" s="0" t="e">
        <f aca="false">DCOUNT(Data!$O$1:$R$9,"2",Data!$T$1:$T$2)</f>
        <v>#VALUE!</v>
      </c>
      <c r="B2714" s="0" t="s">
        <v>2745</v>
      </c>
    </row>
    <row r="2715" customFormat="false" ht="15" hidden="false" customHeight="false" outlineLevel="0" collapsed="false">
      <c r="A2715" s="0" t="e">
        <f aca="false">DCOUNT(Data!$O$1:$R$9,"2",Data!$AD$1:$AD$2)</f>
        <v>#VALUE!</v>
      </c>
      <c r="B2715" s="0" t="s">
        <v>2746</v>
      </c>
    </row>
    <row r="2716" customFormat="false" ht="15" hidden="false" customHeight="false" outlineLevel="0" collapsed="false">
      <c r="A2716" s="0" t="n">
        <f aca="false">DCOUNT(Data!$O$1:$R$9,TRUE(),Data!$T$1:$T$2)</f>
        <v>0</v>
      </c>
      <c r="B2716" s="0" t="s">
        <v>2747</v>
      </c>
    </row>
    <row r="2717" customFormat="false" ht="15" hidden="false" customHeight="false" outlineLevel="0" collapsed="false">
      <c r="A2717" s="0" t="n">
        <f aca="false">DCOUNT(Data!$O$1:$R$9,TRUE(),Data!$AD$1:$AD$2)</f>
        <v>0</v>
      </c>
      <c r="B2717" s="0" t="s">
        <v>2748</v>
      </c>
    </row>
    <row r="2718" customFormat="false" ht="15" hidden="false" customHeight="false" outlineLevel="0" collapsed="false">
      <c r="A2718" s="0" t="n">
        <f aca="false">DCOUNT(Data!$O$1:$R$9,Data!$P$1,Data!$T$1:$T$2)</f>
        <v>2</v>
      </c>
      <c r="B2718" s="0" t="s">
        <v>2749</v>
      </c>
    </row>
    <row r="2719" customFormat="false" ht="15" hidden="false" customHeight="false" outlineLevel="0" collapsed="false">
      <c r="A2719" s="0" t="n">
        <f aca="false">DCOUNT(Data!$O$1:$R$9,Data!$P$1,Data!$AD$1:$AD$2)</f>
        <v>7</v>
      </c>
      <c r="B2719" s="0" t="s">
        <v>2750</v>
      </c>
    </row>
    <row r="2720" customFormat="false" ht="15" hidden="false" customHeight="false" outlineLevel="0" collapsed="false">
      <c r="A2720" s="0" t="n">
        <f aca="false">DCOUNT(Data!$O$1:$R$9,"Name",Data!$T$1:$T$2)</f>
        <v>0</v>
      </c>
      <c r="B2720" s="0" t="s">
        <v>2751</v>
      </c>
    </row>
    <row r="2721" customFormat="false" ht="15" hidden="false" customHeight="false" outlineLevel="0" collapsed="false">
      <c r="A2721" s="0" t="n">
        <f aca="false">DCOUNT(Data!$O$1:$R$9,"Name",Data!$AD$1:$AD$2)</f>
        <v>0</v>
      </c>
      <c r="B2721" s="0" t="s">
        <v>2752</v>
      </c>
    </row>
    <row r="2722" customFormat="false" ht="15" hidden="false" customHeight="false" outlineLevel="0" collapsed="false">
      <c r="A2722" s="0" t="e">
        <f aca="false">DCOUNT(Data!$O$1:$R$9,Data!$O$2,Data!$T$1:$T$2)</f>
        <v>#VALUE!</v>
      </c>
      <c r="B2722" s="0" t="s">
        <v>2753</v>
      </c>
    </row>
    <row r="2723" customFormat="false" ht="15" hidden="false" customHeight="false" outlineLevel="0" collapsed="false">
      <c r="A2723" s="0" t="e">
        <f aca="false">DCOUNT(Data!$O$1:$R$9,Data!$O$2,Data!$AD$1:$AD$2)</f>
        <v>#VALUE!</v>
      </c>
      <c r="B2723" s="0" t="s">
        <v>2754</v>
      </c>
    </row>
    <row r="2724" customFormat="false" ht="15" hidden="false" customHeight="false" outlineLevel="0" collapsed="false">
      <c r="A2724" s="0" t="e">
        <f aca="false">DCOUNT(Data!$O$1:$R$9,"",Data!$T$1:$T$2)</f>
        <v>#VALUE!</v>
      </c>
      <c r="B2724" s="0" t="s">
        <v>2755</v>
      </c>
    </row>
    <row r="2725" customFormat="false" ht="15" hidden="false" customHeight="false" outlineLevel="0" collapsed="false">
      <c r="A2725" s="0" t="e">
        <f aca="false">DCOUNT(Data!$O$1:$R$9,"",Data!$AD$1:$AD$2)</f>
        <v>#VALUE!</v>
      </c>
      <c r="B2725" s="0" t="s">
        <v>2756</v>
      </c>
    </row>
    <row r="2726" customFormat="false" ht="15" hidden="false" customHeight="false" outlineLevel="0" collapsed="false">
      <c r="A2726" s="0" t="e">
        <f aca="false">DCOUNT(Data!$O$1:$R$9,NA(),Data!$T$1:$T$2)</f>
        <v>#N/A</v>
      </c>
      <c r="B2726" s="0" t="s">
        <v>2757</v>
      </c>
    </row>
    <row r="2727" customFormat="false" ht="15" hidden="false" customHeight="false" outlineLevel="0" collapsed="false">
      <c r="A2727" s="0" t="e">
        <f aca="false">DCOUNT(Data!$O$1:$R$9,NA(),Data!$AD$1:$AD$2)</f>
        <v>#N/A</v>
      </c>
      <c r="B2727" s="0" t="s">
        <v>2758</v>
      </c>
    </row>
    <row r="2728" customFormat="false" ht="15" hidden="false" customHeight="false" outlineLevel="0" collapsed="false">
      <c r="A2728" s="0" t="e">
        <f aca="false">DCOUNT(Data!$O$1:$R$9,3,Data!$T$2:$T$3)</f>
        <v>#VALUE!</v>
      </c>
      <c r="B2728" s="0" t="s">
        <v>2759</v>
      </c>
    </row>
    <row r="2729" customFormat="false" ht="15" hidden="false" customHeight="false" outlineLevel="0" collapsed="false">
      <c r="A2729" s="0" t="e">
        <f aca="false">DCOUNT(Data!$O$1:$R$9,3,Data!$T$1)</f>
        <v>#VALUE!</v>
      </c>
      <c r="B2729" s="0" t="s">
        <v>2760</v>
      </c>
    </row>
    <row r="2730" customFormat="false" ht="15" hidden="false" customHeight="false" outlineLevel="0" collapsed="false">
      <c r="A2730" s="0" t="e">
        <f aca="false">DCOUNT(Data!$O$2:$R$9,3,Data!$T$1:$T$2)</f>
        <v>#VALUE!</v>
      </c>
      <c r="B2730" s="0" t="s">
        <v>2761</v>
      </c>
    </row>
    <row r="2731" customFormat="false" ht="15" hidden="false" customHeight="false" outlineLevel="0" collapsed="false">
      <c r="A2731" s="0" t="e">
        <f aca="false">DCOUNT(Data!$O$1:$R$9,3,5)</f>
        <v>#VALUE!</v>
      </c>
      <c r="B2731" s="0" t="s">
        <v>2762</v>
      </c>
    </row>
    <row r="2732" customFormat="false" ht="15" hidden="false" customHeight="false" outlineLevel="0" collapsed="false">
      <c r="A2732" s="0" t="e">
        <f aca="false">DCOUNT(5,3,Data!$T$1:$T$2)</f>
        <v>#VALUE!</v>
      </c>
      <c r="B2732" s="0" t="s">
        <v>2763</v>
      </c>
    </row>
    <row r="2733" customFormat="false" ht="15" hidden="false" customHeight="false" outlineLevel="0" collapsed="false">
      <c r="A2733" s="0" t="e">
        <f aca="false">DCOUNT(Data!$O$1:$R$9,3,Data!$T$1:$T$2,1)</f>
        <v>#VALUE!</v>
      </c>
      <c r="B2733" s="0" t="s">
        <v>2764</v>
      </c>
    </row>
    <row r="2734" customFormat="false" ht="15" hidden="false" customHeight="false" outlineLevel="0" collapsed="false">
      <c r="A2734" s="0" t="e">
        <f aca="false">DCOUNT(Data!$O$1:$R$9,3)</f>
        <v>#VALUE!</v>
      </c>
      <c r="B2734" s="0" t="s">
        <v>2765</v>
      </c>
    </row>
    <row r="2735" customFormat="false" ht="15" hidden="false" customHeight="false" outlineLevel="0" collapsed="false">
      <c r="A2735" s="0" t="e">
        <f aca="false">DCOUNT(Data!$O$1:$O$9,1,Data!$T$1:$T$2)</f>
        <v>#VALUE!</v>
      </c>
      <c r="B2735" s="0" t="s">
        <v>2766</v>
      </c>
    </row>
    <row r="2736" customFormat="false" ht="15" hidden="false" customHeight="false" outlineLevel="0" collapsed="false">
      <c r="A2736" s="0" t="n">
        <f aca="false">DCOUNT(Data!$O$1:$R$9,3,Data!$AU$1:$AU$2)</f>
        <v>8</v>
      </c>
      <c r="B2736" s="0" t="s">
        <v>2767</v>
      </c>
    </row>
    <row r="2737" customFormat="false" ht="15" hidden="false" customHeight="false" outlineLevel="0" collapsed="false">
      <c r="A2737" s="0" t="e">
        <f aca="false">DCOUNT(Data!$O$1:$R$9,3,Data!$T$1:$U$1)</f>
        <v>#VALUE!</v>
      </c>
      <c r="B2737" s="0" t="s">
        <v>2768</v>
      </c>
    </row>
    <row r="2738" customFormat="false" ht="15" hidden="false" customHeight="false" outlineLevel="0" collapsed="false">
      <c r="A2738" s="0" t="n">
        <f aca="false">DCOUNTA(Data!$O$1:$R$9,"Age",Data!$T$1:$T$2)</f>
        <v>2</v>
      </c>
      <c r="B2738" s="0" t="s">
        <v>2769</v>
      </c>
    </row>
    <row r="2739" customFormat="false" ht="15" hidden="false" customHeight="false" outlineLevel="0" collapsed="false">
      <c r="A2739" s="0" t="n">
        <f aca="false">DCOUNTA(Data!$O$1:$R$9,"Age",Data!$V$1:$W$2)</f>
        <v>1</v>
      </c>
      <c r="B2739" s="0" t="s">
        <v>2770</v>
      </c>
    </row>
    <row r="2740" customFormat="false" ht="15" hidden="false" customHeight="false" outlineLevel="0" collapsed="false">
      <c r="A2740" s="0" t="n">
        <f aca="false">DCOUNTA(Data!$O$1:$R$9,"Age",Data!$Y$1:$Y$3)</f>
        <v>3</v>
      </c>
      <c r="B2740" s="0" t="s">
        <v>2771</v>
      </c>
    </row>
    <row r="2741" customFormat="false" ht="15" hidden="false" customHeight="false" outlineLevel="0" collapsed="false">
      <c r="A2741" s="0" t="n">
        <f aca="false">DCOUNTA(Data!$O$1:$R$9,"Age",Data!$AA$1:$AB$3)</f>
        <v>5</v>
      </c>
      <c r="B2741" s="0" t="s">
        <v>2772</v>
      </c>
    </row>
    <row r="2742" customFormat="false" ht="15" hidden="false" customHeight="false" outlineLevel="0" collapsed="false">
      <c r="A2742" s="0" t="n">
        <f aca="false">DCOUNTA(Data!$O$1:$R$9,"Age",Data!$AD$1:$AD$2)</f>
        <v>8</v>
      </c>
      <c r="B2742" s="0" t="s">
        <v>2773</v>
      </c>
    </row>
    <row r="2743" customFormat="false" ht="15" hidden="false" customHeight="false" outlineLevel="0" collapsed="false">
      <c r="A2743" s="0" t="e">
        <f aca="false">DCOUNTA(Data!$O$1:$R$9,"Age",Data!$AF$1:$AF$2)</f>
        <v>#VALUE!</v>
      </c>
      <c r="B2743" s="0" t="s">
        <v>2774</v>
      </c>
    </row>
    <row r="2744" customFormat="false" ht="15" hidden="false" customHeight="false" outlineLevel="0" collapsed="false">
      <c r="A2744" s="0" t="n">
        <f aca="false">DCOUNTA(Data!$O$1:$R$9,"Age",Data!$AH$1:$AI$2)</f>
        <v>3</v>
      </c>
      <c r="B2744" s="0" t="s">
        <v>2775</v>
      </c>
    </row>
    <row r="2745" customFormat="false" ht="15" hidden="false" customHeight="false" outlineLevel="0" collapsed="false">
      <c r="A2745" s="0" t="n">
        <f aca="false">DCOUNTA(Data!$O$1:$R$9,"Age",Data!$AK$1:$AK$2)</f>
        <v>0</v>
      </c>
      <c r="B2745" s="0" t="s">
        <v>2776</v>
      </c>
    </row>
    <row r="2746" customFormat="false" ht="15" hidden="false" customHeight="false" outlineLevel="0" collapsed="false">
      <c r="A2746" s="0" t="n">
        <f aca="false">DCOUNTA(Data!$O$1:$R$9,"Age",Data!$AM$1:$AM$2)</f>
        <v>2</v>
      </c>
      <c r="B2746" s="0" t="s">
        <v>2777</v>
      </c>
    </row>
    <row r="2747" customFormat="false" ht="15" hidden="false" customHeight="false" outlineLevel="0" collapsed="false">
      <c r="A2747" s="0" t="n">
        <f aca="false">DCOUNTA(Data!$O$1:$R$9,"Age",Data!$AO$1:$AO$2)</f>
        <v>2</v>
      </c>
      <c r="B2747" s="0" t="s">
        <v>2778</v>
      </c>
    </row>
    <row r="2748" customFormat="false" ht="15" hidden="false" customHeight="false" outlineLevel="0" collapsed="false">
      <c r="A2748" s="0" t="n">
        <f aca="false">DCOUNTA(Data!$O$1:$R$9,"Age",Data!$AQ$1:$AQ$2)</f>
        <v>2</v>
      </c>
      <c r="B2748" s="0" t="s">
        <v>2779</v>
      </c>
    </row>
    <row r="2749" customFormat="false" ht="15" hidden="false" customHeight="false" outlineLevel="0" collapsed="false">
      <c r="A2749" s="0" t="n">
        <f aca="false">DCOUNTA(Data!$O$1:$R$9,"Age",Data!$AS$1:$AS$2)</f>
        <v>6</v>
      </c>
      <c r="B2749" s="0" t="s">
        <v>2780</v>
      </c>
    </row>
    <row r="2750" customFormat="false" ht="15" hidden="false" customHeight="false" outlineLevel="0" collapsed="false">
      <c r="A2750" s="0" t="n">
        <f aca="false">DCOUNTA(Data!$O$1:$R$9,"Age",Data!$AU$1:$AU$3)</f>
        <v>8</v>
      </c>
      <c r="B2750" s="0" t="s">
        <v>2781</v>
      </c>
    </row>
    <row r="2751" customFormat="false" ht="15" hidden="false" customHeight="false" outlineLevel="0" collapsed="false">
      <c r="A2751" s="0" t="n">
        <f aca="false">DCOUNTA(Data!$O$1:$R$9,"Age",Data!$AW$1:$AW$2)</f>
        <v>7</v>
      </c>
      <c r="B2751" s="0" t="s">
        <v>2782</v>
      </c>
    </row>
    <row r="2752" customFormat="false" ht="15" hidden="false" customHeight="false" outlineLevel="0" collapsed="false">
      <c r="A2752" s="0" t="n">
        <f aca="false">DCOUNTA(Data!$O$1:$R$9,"Age",Data!$AY$1:$BA$3)</f>
        <v>5</v>
      </c>
      <c r="B2752" s="0" t="s">
        <v>2783</v>
      </c>
    </row>
    <row r="2753" customFormat="false" ht="15" hidden="false" customHeight="false" outlineLevel="0" collapsed="false">
      <c r="A2753" s="0" t="n">
        <f aca="false">DCOUNTA(Data!$O$1:$R$9,"Age",Data!$BC$1:$BC$2)</f>
        <v>1</v>
      </c>
      <c r="B2753" s="0" t="s">
        <v>2784</v>
      </c>
    </row>
    <row r="2754" customFormat="false" ht="15" hidden="false" customHeight="false" outlineLevel="0" collapsed="false">
      <c r="A2754" s="0" t="n">
        <f aca="false">DCOUNTA(Data!$O$1:$R$9,"Age",Data!$BE$1:$BE$2)</f>
        <v>1</v>
      </c>
      <c r="B2754" s="0" t="s">
        <v>2785</v>
      </c>
    </row>
    <row r="2755" customFormat="false" ht="15" hidden="false" customHeight="false" outlineLevel="0" collapsed="false">
      <c r="A2755" s="0" t="n">
        <f aca="false">DCOUNTA(Data!$O$1:$R$9,3,Data!$T$1:$T$2)</f>
        <v>2</v>
      </c>
      <c r="B2755" s="0" t="s">
        <v>2786</v>
      </c>
    </row>
    <row r="2756" customFormat="false" ht="15" hidden="false" customHeight="false" outlineLevel="0" collapsed="false">
      <c r="A2756" s="0" t="n">
        <f aca="false">DCOUNTA(Data!$O$1:$R$9,3,Data!$V$1:$W$2)</f>
        <v>1</v>
      </c>
      <c r="B2756" s="0" t="s">
        <v>2787</v>
      </c>
    </row>
    <row r="2757" customFormat="false" ht="15" hidden="false" customHeight="false" outlineLevel="0" collapsed="false">
      <c r="A2757" s="0" t="n">
        <f aca="false">DCOUNTA(Data!$O$1:$R$9,3,Data!$Y$1:$Y$3)</f>
        <v>3</v>
      </c>
      <c r="B2757" s="0" t="s">
        <v>2788</v>
      </c>
    </row>
    <row r="2758" customFormat="false" ht="15" hidden="false" customHeight="false" outlineLevel="0" collapsed="false">
      <c r="A2758" s="0" t="n">
        <f aca="false">DCOUNTA(Data!$O$1:$R$9,3,Data!$AA$1:$AB$3)</f>
        <v>5</v>
      </c>
      <c r="B2758" s="0" t="s">
        <v>2789</v>
      </c>
    </row>
    <row r="2759" customFormat="false" ht="15" hidden="false" customHeight="false" outlineLevel="0" collapsed="false">
      <c r="A2759" s="0" t="n">
        <f aca="false">DCOUNTA(Data!$O$1:$R$9,3,Data!$AD$1:$AD$2)</f>
        <v>8</v>
      </c>
      <c r="B2759" s="0" t="s">
        <v>2790</v>
      </c>
    </row>
    <row r="2760" customFormat="false" ht="15" hidden="false" customHeight="false" outlineLevel="0" collapsed="false">
      <c r="A2760" s="0" t="e">
        <f aca="false">DCOUNTA(Data!$O$1:$R$9,3,Data!$AF$1:$AF$2)</f>
        <v>#VALUE!</v>
      </c>
      <c r="B2760" s="0" t="s">
        <v>2791</v>
      </c>
    </row>
    <row r="2761" customFormat="false" ht="15" hidden="false" customHeight="false" outlineLevel="0" collapsed="false">
      <c r="A2761" s="0" t="n">
        <f aca="false">DCOUNTA(Data!$O$1:$R$9,3,Data!$AH$1:$AI$2)</f>
        <v>3</v>
      </c>
      <c r="B2761" s="0" t="s">
        <v>2792</v>
      </c>
    </row>
    <row r="2762" customFormat="false" ht="15" hidden="false" customHeight="false" outlineLevel="0" collapsed="false">
      <c r="A2762" s="0" t="n">
        <f aca="false">DCOUNTA(Data!$O$1:$R$9,3,Data!$AK$1:$AK$2)</f>
        <v>0</v>
      </c>
      <c r="B2762" s="0" t="s">
        <v>2793</v>
      </c>
    </row>
    <row r="2763" customFormat="false" ht="15" hidden="false" customHeight="false" outlineLevel="0" collapsed="false">
      <c r="A2763" s="0" t="n">
        <f aca="false">DCOUNTA(Data!$O$1:$R$9,3,Data!$AM$1:$AM$2)</f>
        <v>2</v>
      </c>
      <c r="B2763" s="0" t="s">
        <v>2794</v>
      </c>
    </row>
    <row r="2764" customFormat="false" ht="15" hidden="false" customHeight="false" outlineLevel="0" collapsed="false">
      <c r="A2764" s="0" t="n">
        <f aca="false">DCOUNTA(Data!$O$1:$R$9,3,Data!$AO$1:$AO$2)</f>
        <v>2</v>
      </c>
      <c r="B2764" s="0" t="s">
        <v>2795</v>
      </c>
    </row>
    <row r="2765" customFormat="false" ht="15" hidden="false" customHeight="false" outlineLevel="0" collapsed="false">
      <c r="A2765" s="0" t="n">
        <f aca="false">DCOUNTA(Data!$O$1:$R$9,3,Data!$AQ$1:$AQ$2)</f>
        <v>2</v>
      </c>
      <c r="B2765" s="0" t="s">
        <v>2796</v>
      </c>
    </row>
    <row r="2766" customFormat="false" ht="15" hidden="false" customHeight="false" outlineLevel="0" collapsed="false">
      <c r="A2766" s="0" t="n">
        <f aca="false">DCOUNTA(Data!$O$1:$R$9,3,Data!$AS$1:$AS$2)</f>
        <v>6</v>
      </c>
      <c r="B2766" s="0" t="s">
        <v>2797</v>
      </c>
    </row>
    <row r="2767" customFormat="false" ht="15" hidden="false" customHeight="false" outlineLevel="0" collapsed="false">
      <c r="A2767" s="0" t="n">
        <f aca="false">DCOUNTA(Data!$O$1:$R$9,3,Data!$AU$1:$AU$3)</f>
        <v>8</v>
      </c>
      <c r="B2767" s="0" t="s">
        <v>2798</v>
      </c>
    </row>
    <row r="2768" customFormat="false" ht="15" hidden="false" customHeight="false" outlineLevel="0" collapsed="false">
      <c r="A2768" s="0" t="n">
        <f aca="false">DCOUNTA(Data!$O$1:$R$9,3,Data!$AW$1:$AW$2)</f>
        <v>7</v>
      </c>
      <c r="B2768" s="0" t="s">
        <v>2799</v>
      </c>
    </row>
    <row r="2769" customFormat="false" ht="15" hidden="false" customHeight="false" outlineLevel="0" collapsed="false">
      <c r="A2769" s="0" t="n">
        <f aca="false">DCOUNTA(Data!$O$1:$R$9,3,Data!$AY$1:$BA$3)</f>
        <v>5</v>
      </c>
      <c r="B2769" s="0" t="s">
        <v>2800</v>
      </c>
    </row>
    <row r="2770" customFormat="false" ht="15" hidden="false" customHeight="false" outlineLevel="0" collapsed="false">
      <c r="A2770" s="0" t="n">
        <f aca="false">DCOUNTA(Data!$O$1:$R$9,3,Data!$BC$1:$BC$2)</f>
        <v>1</v>
      </c>
      <c r="B2770" s="0" t="s">
        <v>2801</v>
      </c>
    </row>
    <row r="2771" customFormat="false" ht="15" hidden="false" customHeight="false" outlineLevel="0" collapsed="false">
      <c r="A2771" s="0" t="n">
        <f aca="false">DCOUNTA(Data!$O$1:$R$9,3,Data!$BE$1:$BE$2)</f>
        <v>1</v>
      </c>
      <c r="B2771" s="0" t="s">
        <v>2802</v>
      </c>
    </row>
    <row r="2772" customFormat="false" ht="15" hidden="false" customHeight="false" outlineLevel="0" collapsed="false">
      <c r="A2772" s="0" t="n">
        <f aca="false">DCOUNTA(Data!$O$1:$R$9,"Score",Data!$T$1:$T$2)</f>
        <v>2</v>
      </c>
      <c r="B2772" s="0" t="s">
        <v>2803</v>
      </c>
    </row>
    <row r="2773" customFormat="false" ht="15" hidden="false" customHeight="false" outlineLevel="0" collapsed="false">
      <c r="A2773" s="0" t="n">
        <f aca="false">DCOUNTA(Data!$O$1:$R$9,"Score",Data!$V$1:$W$2)</f>
        <v>1</v>
      </c>
      <c r="B2773" s="0" t="s">
        <v>2804</v>
      </c>
    </row>
    <row r="2774" customFormat="false" ht="15" hidden="false" customHeight="false" outlineLevel="0" collapsed="false">
      <c r="A2774" s="0" t="n">
        <f aca="false">DCOUNTA(Data!$O$1:$R$9,"Score",Data!$Y$1:$Y$3)</f>
        <v>3</v>
      </c>
      <c r="B2774" s="0" t="s">
        <v>2805</v>
      </c>
    </row>
    <row r="2775" customFormat="false" ht="15" hidden="false" customHeight="false" outlineLevel="0" collapsed="false">
      <c r="A2775" s="0" t="n">
        <f aca="false">DCOUNTA(Data!$O$1:$R$9,"Score",Data!$AA$1:$AB$3)</f>
        <v>5</v>
      </c>
      <c r="B2775" s="0" t="s">
        <v>2806</v>
      </c>
    </row>
    <row r="2776" customFormat="false" ht="15" hidden="false" customHeight="false" outlineLevel="0" collapsed="false">
      <c r="A2776" s="0" t="n">
        <f aca="false">DCOUNTA(Data!$O$1:$R$9,"Score",Data!$AD$1:$AD$2)</f>
        <v>7</v>
      </c>
      <c r="B2776" s="0" t="s">
        <v>2807</v>
      </c>
    </row>
    <row r="2777" customFormat="false" ht="15" hidden="false" customHeight="false" outlineLevel="0" collapsed="false">
      <c r="A2777" s="0" t="e">
        <f aca="false">DCOUNTA(Data!$O$1:$R$9,"Score",Data!$AF$1:$AF$2)</f>
        <v>#VALUE!</v>
      </c>
      <c r="B2777" s="0" t="s">
        <v>2808</v>
      </c>
    </row>
    <row r="2778" customFormat="false" ht="15" hidden="false" customHeight="false" outlineLevel="0" collapsed="false">
      <c r="A2778" s="0" t="n">
        <f aca="false">DCOUNTA(Data!$O$1:$R$9,"Score",Data!$AH$1:$AI$2)</f>
        <v>3</v>
      </c>
      <c r="B2778" s="0" t="s">
        <v>2809</v>
      </c>
    </row>
    <row r="2779" customFormat="false" ht="15" hidden="false" customHeight="false" outlineLevel="0" collapsed="false">
      <c r="A2779" s="0" t="n">
        <f aca="false">DCOUNTA(Data!$O$1:$R$9,"Score",Data!$AK$1:$AK$2)</f>
        <v>0</v>
      </c>
      <c r="B2779" s="0" t="s">
        <v>2810</v>
      </c>
    </row>
    <row r="2780" customFormat="false" ht="15" hidden="false" customHeight="false" outlineLevel="0" collapsed="false">
      <c r="A2780" s="0" t="n">
        <f aca="false">DCOUNTA(Data!$O$1:$R$9,"Score",Data!$AM$1:$AM$2)</f>
        <v>2</v>
      </c>
      <c r="B2780" s="0" t="s">
        <v>2811</v>
      </c>
    </row>
    <row r="2781" customFormat="false" ht="15" hidden="false" customHeight="false" outlineLevel="0" collapsed="false">
      <c r="A2781" s="0" t="n">
        <f aca="false">DCOUNTA(Data!$O$1:$R$9,"Score",Data!$AO$1:$AO$2)</f>
        <v>2</v>
      </c>
      <c r="B2781" s="0" t="s">
        <v>2812</v>
      </c>
    </row>
    <row r="2782" customFormat="false" ht="15" hidden="false" customHeight="false" outlineLevel="0" collapsed="false">
      <c r="A2782" s="0" t="n">
        <f aca="false">DCOUNTA(Data!$O$1:$R$9,"Score",Data!$AQ$1:$AQ$2)</f>
        <v>2</v>
      </c>
      <c r="B2782" s="0" t="s">
        <v>2813</v>
      </c>
    </row>
    <row r="2783" customFormat="false" ht="15" hidden="false" customHeight="false" outlineLevel="0" collapsed="false">
      <c r="A2783" s="0" t="n">
        <f aca="false">DCOUNTA(Data!$O$1:$R$9,"Score",Data!$AS$1:$AS$2)</f>
        <v>5</v>
      </c>
      <c r="B2783" s="0" t="s">
        <v>2814</v>
      </c>
    </row>
    <row r="2784" customFormat="false" ht="15" hidden="false" customHeight="false" outlineLevel="0" collapsed="false">
      <c r="A2784" s="0" t="n">
        <f aca="false">DCOUNTA(Data!$O$1:$R$9,"Score",Data!$AU$1:$AU$3)</f>
        <v>7</v>
      </c>
      <c r="B2784" s="0" t="s">
        <v>2815</v>
      </c>
    </row>
    <row r="2785" customFormat="false" ht="15" hidden="false" customHeight="false" outlineLevel="0" collapsed="false">
      <c r="A2785" s="0" t="n">
        <f aca="false">DCOUNTA(Data!$O$1:$R$9,"Score",Data!$AW$1:$AW$2)</f>
        <v>7</v>
      </c>
      <c r="B2785" s="0" t="s">
        <v>2816</v>
      </c>
    </row>
    <row r="2786" customFormat="false" ht="15" hidden="false" customHeight="false" outlineLevel="0" collapsed="false">
      <c r="A2786" s="0" t="n">
        <f aca="false">DCOUNTA(Data!$O$1:$R$9,"Score",Data!$AY$1:$BA$3)</f>
        <v>5</v>
      </c>
      <c r="B2786" s="0" t="s">
        <v>2817</v>
      </c>
    </row>
    <row r="2787" customFormat="false" ht="15" hidden="false" customHeight="false" outlineLevel="0" collapsed="false">
      <c r="A2787" s="0" t="n">
        <f aca="false">DCOUNTA(Data!$O$1:$R$9,"Score",Data!$BC$1:$BC$2)</f>
        <v>0</v>
      </c>
      <c r="B2787" s="0" t="s">
        <v>2818</v>
      </c>
    </row>
    <row r="2788" customFormat="false" ht="15" hidden="false" customHeight="false" outlineLevel="0" collapsed="false">
      <c r="A2788" s="0" t="n">
        <f aca="false">DCOUNTA(Data!$O$1:$R$9,"Score",Data!$BE$1:$BE$2)</f>
        <v>1</v>
      </c>
      <c r="B2788" s="0" t="s">
        <v>2819</v>
      </c>
    </row>
    <row r="2789" customFormat="false" ht="15" hidden="false" customHeight="false" outlineLevel="0" collapsed="false">
      <c r="A2789" s="0" t="n">
        <f aca="false">DCOUNTA(Data!$O$1:$R$9,"age",Data!$T$1:$T$2)</f>
        <v>2</v>
      </c>
      <c r="B2789" s="0" t="s">
        <v>2820</v>
      </c>
    </row>
    <row r="2790" customFormat="false" ht="15" hidden="false" customHeight="false" outlineLevel="0" collapsed="false">
      <c r="A2790" s="0" t="n">
        <f aca="false">DCOUNTA(Data!$O$1:$R$9,"age",Data!$AD$1:$AD$2)</f>
        <v>8</v>
      </c>
      <c r="B2790" s="0" t="s">
        <v>2821</v>
      </c>
    </row>
    <row r="2791" customFormat="false" ht="15" hidden="false" customHeight="false" outlineLevel="0" collapsed="false">
      <c r="A2791" s="0" t="e">
        <f aca="false">DCOUNTA(Data!$O$1:$R$9,5,Data!$T$1:$T$2)</f>
        <v>#VALUE!</v>
      </c>
      <c r="B2791" s="0" t="s">
        <v>2822</v>
      </c>
    </row>
    <row r="2792" customFormat="false" ht="15" hidden="false" customHeight="false" outlineLevel="0" collapsed="false">
      <c r="A2792" s="0" t="e">
        <f aca="false">DCOUNTA(Data!$O$1:$R$9,5,Data!$AD$1:$AD$2)</f>
        <v>#VALUE!</v>
      </c>
      <c r="B2792" s="0" t="s">
        <v>2823</v>
      </c>
    </row>
    <row r="2793" customFormat="false" ht="15" hidden="false" customHeight="false" outlineLevel="0" collapsed="false">
      <c r="A2793" s="0" t="e">
        <f aca="false">DCOUNTA(Data!$O$1:$R$9,"Nope",Data!$T$1:$T$2)</f>
        <v>#VALUE!</v>
      </c>
      <c r="B2793" s="0" t="s">
        <v>2824</v>
      </c>
    </row>
    <row r="2794" customFormat="false" ht="15" hidden="false" customHeight="false" outlineLevel="0" collapsed="false">
      <c r="A2794" s="0" t="e">
        <f aca="false">DCOUNTA(Data!$O$1:$R$9,"Nope",Data!$AD$1:$AD$2)</f>
        <v>#VALUE!</v>
      </c>
      <c r="B2794" s="0" t="s">
        <v>2825</v>
      </c>
    </row>
    <row r="2795" customFormat="false" ht="15" hidden="false" customHeight="false" outlineLevel="0" collapsed="false">
      <c r="A2795" s="0" t="e">
        <f aca="false">DCOUNTA(Data!$O$1:$R$9,-1,Data!$T$1:$T$2)</f>
        <v>#VALUE!</v>
      </c>
      <c r="B2795" s="0" t="s">
        <v>2826</v>
      </c>
    </row>
    <row r="2796" customFormat="false" ht="15" hidden="false" customHeight="false" outlineLevel="0" collapsed="false">
      <c r="A2796" s="0" t="e">
        <f aca="false">DCOUNTA(Data!$O$1:$R$9,-1,Data!$AD$1:$AD$2)</f>
        <v>#VALUE!</v>
      </c>
      <c r="B2796" s="0" t="s">
        <v>2827</v>
      </c>
    </row>
    <row r="2797" customFormat="false" ht="15" hidden="false" customHeight="false" outlineLevel="0" collapsed="false">
      <c r="A2797" s="0" t="n">
        <f aca="false">DCOUNTA(Data!$O$1:$R$9,2.9,Data!$T$1:$T$2)</f>
        <v>2</v>
      </c>
      <c r="B2797" s="0" t="s">
        <v>2828</v>
      </c>
    </row>
    <row r="2798" customFormat="false" ht="15" hidden="false" customHeight="false" outlineLevel="0" collapsed="false">
      <c r="A2798" s="0" t="n">
        <f aca="false">DCOUNTA(Data!$O$1:$R$9,2.9,Data!$AD$1:$AD$2)</f>
        <v>8</v>
      </c>
      <c r="B2798" s="0" t="s">
        <v>2829</v>
      </c>
    </row>
    <row r="2799" customFormat="false" ht="15" hidden="false" customHeight="false" outlineLevel="0" collapsed="false">
      <c r="A2799" s="0" t="e">
        <f aca="false">DCOUNTA(Data!$O$1:$R$9,"2",Data!$T$1:$T$2)</f>
        <v>#VALUE!</v>
      </c>
      <c r="B2799" s="0" t="s">
        <v>2830</v>
      </c>
    </row>
    <row r="2800" customFormat="false" ht="15" hidden="false" customHeight="false" outlineLevel="0" collapsed="false">
      <c r="A2800" s="0" t="e">
        <f aca="false">DCOUNTA(Data!$O$1:$R$9,"2",Data!$AD$1:$AD$2)</f>
        <v>#VALUE!</v>
      </c>
      <c r="B2800" s="0" t="s">
        <v>2831</v>
      </c>
    </row>
    <row r="2801" customFormat="false" ht="15" hidden="false" customHeight="false" outlineLevel="0" collapsed="false">
      <c r="A2801" s="0" t="n">
        <f aca="false">DCOUNTA(Data!$O$1:$R$9,TRUE(),Data!$T$1:$T$2)</f>
        <v>2</v>
      </c>
      <c r="B2801" s="0" t="s">
        <v>2832</v>
      </c>
    </row>
    <row r="2802" customFormat="false" ht="15" hidden="false" customHeight="false" outlineLevel="0" collapsed="false">
      <c r="A2802" s="0" t="n">
        <f aca="false">DCOUNTA(Data!$O$1:$R$9,TRUE(),Data!$AD$1:$AD$2)</f>
        <v>8</v>
      </c>
      <c r="B2802" s="0" t="s">
        <v>2833</v>
      </c>
    </row>
    <row r="2803" customFormat="false" ht="15" hidden="false" customHeight="false" outlineLevel="0" collapsed="false">
      <c r="A2803" s="0" t="n">
        <f aca="false">DCOUNTA(Data!$O$1:$R$9,Data!$P$1,Data!$T$1:$T$2)</f>
        <v>2</v>
      </c>
      <c r="B2803" s="0" t="s">
        <v>2834</v>
      </c>
    </row>
    <row r="2804" customFormat="false" ht="15" hidden="false" customHeight="false" outlineLevel="0" collapsed="false">
      <c r="A2804" s="0" t="n">
        <f aca="false">DCOUNTA(Data!$O$1:$R$9,Data!$P$1,Data!$AD$1:$AD$2)</f>
        <v>8</v>
      </c>
      <c r="B2804" s="0" t="s">
        <v>2835</v>
      </c>
    </row>
    <row r="2805" customFormat="false" ht="15" hidden="false" customHeight="false" outlineLevel="0" collapsed="false">
      <c r="A2805" s="0" t="n">
        <f aca="false">DCOUNTA(Data!$O$1:$R$9,"Name",Data!$T$1:$T$2)</f>
        <v>2</v>
      </c>
      <c r="B2805" s="0" t="s">
        <v>2836</v>
      </c>
    </row>
    <row r="2806" customFormat="false" ht="15" hidden="false" customHeight="false" outlineLevel="0" collapsed="false">
      <c r="A2806" s="0" t="n">
        <f aca="false">DCOUNTA(Data!$O$1:$R$9,"Name",Data!$AD$1:$AD$2)</f>
        <v>8</v>
      </c>
      <c r="B2806" s="0" t="s">
        <v>2837</v>
      </c>
    </row>
    <row r="2807" customFormat="false" ht="15" hidden="false" customHeight="false" outlineLevel="0" collapsed="false">
      <c r="A2807" s="0" t="e">
        <f aca="false">DCOUNTA(Data!$O$1:$R$9,Data!$O$2,Data!$T$1:$T$2)</f>
        <v>#VALUE!</v>
      </c>
      <c r="B2807" s="0" t="s">
        <v>2838</v>
      </c>
    </row>
    <row r="2808" customFormat="false" ht="15" hidden="false" customHeight="false" outlineLevel="0" collapsed="false">
      <c r="A2808" s="0" t="e">
        <f aca="false">DCOUNTA(Data!$O$1:$R$9,Data!$O$2,Data!$AD$1:$AD$2)</f>
        <v>#VALUE!</v>
      </c>
      <c r="B2808" s="0" t="s">
        <v>2839</v>
      </c>
    </row>
    <row r="2809" customFormat="false" ht="15" hidden="false" customHeight="false" outlineLevel="0" collapsed="false">
      <c r="A2809" s="0" t="e">
        <f aca="false">DCOUNTA(Data!$O$1:$R$9,"",Data!$T$1:$T$2)</f>
        <v>#VALUE!</v>
      </c>
      <c r="B2809" s="0" t="s">
        <v>2840</v>
      </c>
    </row>
    <row r="2810" customFormat="false" ht="15" hidden="false" customHeight="false" outlineLevel="0" collapsed="false">
      <c r="A2810" s="0" t="e">
        <f aca="false">DCOUNTA(Data!$O$1:$R$9,"",Data!$AD$1:$AD$2)</f>
        <v>#VALUE!</v>
      </c>
      <c r="B2810" s="0" t="s">
        <v>2841</v>
      </c>
    </row>
    <row r="2811" customFormat="false" ht="15" hidden="false" customHeight="false" outlineLevel="0" collapsed="false">
      <c r="A2811" s="0" t="e">
        <f aca="false">DCOUNTA(Data!$O$1:$R$9,NA(),Data!$T$1:$T$2)</f>
        <v>#N/A</v>
      </c>
      <c r="B2811" s="0" t="s">
        <v>2842</v>
      </c>
    </row>
    <row r="2812" customFormat="false" ht="15" hidden="false" customHeight="false" outlineLevel="0" collapsed="false">
      <c r="A2812" s="0" t="e">
        <f aca="false">DCOUNTA(Data!$O$1:$R$9,NA(),Data!$AD$1:$AD$2)</f>
        <v>#N/A</v>
      </c>
      <c r="B2812" s="0" t="s">
        <v>2843</v>
      </c>
    </row>
    <row r="2813" customFormat="false" ht="15" hidden="false" customHeight="false" outlineLevel="0" collapsed="false">
      <c r="A2813" s="0" t="e">
        <f aca="false">DCOUNTA(Data!$O$1:$R$9,3,Data!$T$2:$T$3)</f>
        <v>#VALUE!</v>
      </c>
      <c r="B2813" s="0" t="s">
        <v>2844</v>
      </c>
    </row>
    <row r="2814" customFormat="false" ht="15" hidden="false" customHeight="false" outlineLevel="0" collapsed="false">
      <c r="A2814" s="0" t="e">
        <f aca="false">DCOUNTA(Data!$O$1:$R$9,3,Data!$T$1)</f>
        <v>#VALUE!</v>
      </c>
      <c r="B2814" s="0" t="s">
        <v>2845</v>
      </c>
    </row>
    <row r="2815" customFormat="false" ht="15" hidden="false" customHeight="false" outlineLevel="0" collapsed="false">
      <c r="A2815" s="0" t="e">
        <f aca="false">DCOUNTA(Data!$O$2:$R$9,3,Data!$T$1:$T$2)</f>
        <v>#VALUE!</v>
      </c>
      <c r="B2815" s="0" t="s">
        <v>2846</v>
      </c>
    </row>
    <row r="2816" customFormat="false" ht="15" hidden="false" customHeight="false" outlineLevel="0" collapsed="false">
      <c r="A2816" s="0" t="e">
        <f aca="false">DCOUNTA(Data!$O$1:$R$9,3,5)</f>
        <v>#VALUE!</v>
      </c>
      <c r="B2816" s="0" t="s">
        <v>2847</v>
      </c>
    </row>
    <row r="2817" customFormat="false" ht="15" hidden="false" customHeight="false" outlineLevel="0" collapsed="false">
      <c r="A2817" s="0" t="e">
        <f aca="false">DCOUNTA(5,3,Data!$T$1:$T$2)</f>
        <v>#VALUE!</v>
      </c>
      <c r="B2817" s="0" t="s">
        <v>2848</v>
      </c>
    </row>
    <row r="2818" customFormat="false" ht="15" hidden="false" customHeight="false" outlineLevel="0" collapsed="false">
      <c r="A2818" s="0" t="e">
        <f aca="false">DCOUNTA(Data!$O$1:$R$9,3,Data!$T$1:$T$2,1)</f>
        <v>#VALUE!</v>
      </c>
      <c r="B2818" s="0" t="s">
        <v>2849</v>
      </c>
    </row>
    <row r="2819" customFormat="false" ht="15" hidden="false" customHeight="false" outlineLevel="0" collapsed="false">
      <c r="A2819" s="0" t="e">
        <f aca="false">DCOUNTA(Data!$O$1:$R$9,3)</f>
        <v>#VALUE!</v>
      </c>
      <c r="B2819" s="0" t="s">
        <v>2850</v>
      </c>
    </row>
    <row r="2820" customFormat="false" ht="15" hidden="false" customHeight="false" outlineLevel="0" collapsed="false">
      <c r="A2820" s="0" t="e">
        <f aca="false">DCOUNTA(Data!$O$1:$O$9,1,Data!$T$1:$T$2)</f>
        <v>#VALUE!</v>
      </c>
      <c r="B2820" s="0" t="s">
        <v>2851</v>
      </c>
    </row>
    <row r="2821" customFormat="false" ht="15" hidden="false" customHeight="false" outlineLevel="0" collapsed="false">
      <c r="A2821" s="0" t="n">
        <f aca="false">DCOUNTA(Data!$O$1:$R$9,3,Data!$AU$1:$AU$2)</f>
        <v>8</v>
      </c>
      <c r="B2821" s="0" t="s">
        <v>2852</v>
      </c>
    </row>
    <row r="2822" customFormat="false" ht="15" hidden="false" customHeight="false" outlineLevel="0" collapsed="false">
      <c r="A2822" s="0" t="e">
        <f aca="false">DCOUNTA(Data!$O$1:$R$9,3,Data!$T$1:$U$1)</f>
        <v>#VALUE!</v>
      </c>
      <c r="B2822" s="0" t="s">
        <v>2853</v>
      </c>
    </row>
    <row r="2823" customFormat="false" ht="15" hidden="false" customHeight="false" outlineLevel="0" collapsed="false">
      <c r="A2823" s="0" t="n">
        <f aca="false">DAVERAGE(Data!$O$1:$R$9,"Age",Data!$T$1:$T$2)</f>
        <v>30</v>
      </c>
      <c r="B2823" s="0" t="s">
        <v>2854</v>
      </c>
    </row>
    <row r="2824" customFormat="false" ht="15" hidden="false" customHeight="false" outlineLevel="0" collapsed="false">
      <c r="A2824" s="0" t="n">
        <f aca="false">DAVERAGE(Data!$O$1:$R$9,"Age",Data!$V$1:$W$2)</f>
        <v>52</v>
      </c>
      <c r="B2824" s="0" t="s">
        <v>2855</v>
      </c>
    </row>
    <row r="2825" customFormat="false" ht="15" hidden="false" customHeight="false" outlineLevel="0" collapsed="false">
      <c r="A2825" s="0" t="n">
        <f aca="false">DAVERAGE(Data!$O$1:$R$9,"Age",Data!$Y$1:$Y$3)</f>
        <v>35.6666666666667</v>
      </c>
      <c r="B2825" s="0" t="s">
        <v>2856</v>
      </c>
    </row>
    <row r="2826" customFormat="false" ht="15" hidden="false" customHeight="false" outlineLevel="0" collapsed="false">
      <c r="A2826" s="0" t="n">
        <f aca="false">DAVERAGE(Data!$O$1:$R$9,"Age",Data!$AA$1:$AB$3)</f>
        <v>35.6</v>
      </c>
      <c r="B2826" s="0" t="s">
        <v>2857</v>
      </c>
    </row>
    <row r="2827" customFormat="false" ht="15" hidden="false" customHeight="false" outlineLevel="0" collapsed="false">
      <c r="A2827" s="0" t="n">
        <f aca="false">DAVERAGE(Data!$O$1:$R$9,"Age",Data!$AD$1:$AD$2)</f>
        <v>34</v>
      </c>
      <c r="B2827" s="0" t="s">
        <v>2858</v>
      </c>
    </row>
    <row r="2828" customFormat="false" ht="15" hidden="false" customHeight="false" outlineLevel="0" collapsed="false">
      <c r="A2828" s="0" t="e">
        <f aca="false">DAVERAGE(Data!$O$1:$R$9,"Age",Data!$AF$1:$AF$2)</f>
        <v>#VALUE!</v>
      </c>
      <c r="B2828" s="0" t="s">
        <v>2859</v>
      </c>
    </row>
    <row r="2829" customFormat="false" ht="15" hidden="false" customHeight="false" outlineLevel="0" collapsed="false">
      <c r="A2829" s="0" t="n">
        <f aca="false">DAVERAGE(Data!$O$1:$R$9,"Age",Data!$AH$1:$AI$2)</f>
        <v>32</v>
      </c>
      <c r="B2829" s="0" t="s">
        <v>2860</v>
      </c>
    </row>
    <row r="2830" customFormat="false" ht="15" hidden="false" customHeight="false" outlineLevel="0" collapsed="false">
      <c r="A2830" s="0" t="e">
        <f aca="false">DAVERAGE(Data!$O$1:$R$9,"Age",Data!$AK$1:$AK$2)</f>
        <v>#DIV/0!</v>
      </c>
      <c r="B2830" s="0" t="s">
        <v>2861</v>
      </c>
    </row>
    <row r="2831" customFormat="false" ht="15" hidden="false" customHeight="false" outlineLevel="0" collapsed="false">
      <c r="A2831" s="0" t="n">
        <f aca="false">DAVERAGE(Data!$O$1:$R$9,"Age",Data!$AM$1:$AM$2)</f>
        <v>25</v>
      </c>
      <c r="B2831" s="0" t="s">
        <v>2862</v>
      </c>
    </row>
    <row r="2832" customFormat="false" ht="15" hidden="false" customHeight="false" outlineLevel="0" collapsed="false">
      <c r="A2832" s="0" t="n">
        <f aca="false">DAVERAGE(Data!$O$1:$R$9,"Age",Data!$AO$1:$AO$2)</f>
        <v>38.5</v>
      </c>
      <c r="B2832" s="0" t="s">
        <v>2863</v>
      </c>
    </row>
    <row r="2833" customFormat="false" ht="15" hidden="false" customHeight="false" outlineLevel="0" collapsed="false">
      <c r="A2833" s="0" t="n">
        <f aca="false">DAVERAGE(Data!$O$1:$R$9,"Age",Data!$AQ$1:$AQ$2)</f>
        <v>33</v>
      </c>
      <c r="B2833" s="0" t="s">
        <v>2864</v>
      </c>
    </row>
    <row r="2834" customFormat="false" ht="15" hidden="false" customHeight="false" outlineLevel="0" collapsed="false">
      <c r="A2834" s="0" t="n">
        <f aca="false">DAVERAGE(Data!$O$1:$R$9,"Age",Data!$AS$1:$AS$2)</f>
        <v>32.2</v>
      </c>
      <c r="B2834" s="0" t="s">
        <v>2865</v>
      </c>
    </row>
    <row r="2835" customFormat="false" ht="15" hidden="false" customHeight="false" outlineLevel="0" collapsed="false">
      <c r="A2835" s="0" t="n">
        <f aca="false">DAVERAGE(Data!$O$1:$R$9,"Age",Data!$AU$1:$AU$3)</f>
        <v>34</v>
      </c>
      <c r="B2835" s="0" t="s">
        <v>2866</v>
      </c>
    </row>
    <row r="2836" customFormat="false" ht="15" hidden="false" customHeight="false" outlineLevel="0" collapsed="false">
      <c r="A2836" s="0" t="n">
        <f aca="false">DAVERAGE(Data!$O$1:$R$9,"Age",Data!$AW$1:$AW$2)</f>
        <v>34</v>
      </c>
      <c r="B2836" s="0" t="s">
        <v>2867</v>
      </c>
    </row>
    <row r="2837" customFormat="false" ht="15" hidden="false" customHeight="false" outlineLevel="0" collapsed="false">
      <c r="A2837" s="0" t="n">
        <f aca="false">DAVERAGE(Data!$O$1:$R$9,"Age",Data!$AY$1:$BA$3)</f>
        <v>37.6</v>
      </c>
      <c r="B2837" s="0" t="s">
        <v>2868</v>
      </c>
    </row>
    <row r="2838" customFormat="false" ht="15" hidden="false" customHeight="false" outlineLevel="0" collapsed="false">
      <c r="A2838" s="0" t="e">
        <f aca="false">DAVERAGE(Data!$O$1:$R$9,"Age",Data!$BC$1:$BC$2)</f>
        <v>#DIV/0!</v>
      </c>
      <c r="B2838" s="0" t="s">
        <v>2869</v>
      </c>
    </row>
    <row r="2839" customFormat="false" ht="15" hidden="false" customHeight="false" outlineLevel="0" collapsed="false">
      <c r="A2839" s="0" t="n">
        <f aca="false">DAVERAGE(Data!$O$1:$R$9,"Age",Data!$BE$1:$BE$2)</f>
        <v>25</v>
      </c>
      <c r="B2839" s="0" t="s">
        <v>2870</v>
      </c>
    </row>
    <row r="2840" customFormat="false" ht="15" hidden="false" customHeight="false" outlineLevel="0" collapsed="false">
      <c r="A2840" s="0" t="n">
        <f aca="false">DAVERAGE(Data!$O$1:$R$9,3,Data!$T$1:$T$2)</f>
        <v>170</v>
      </c>
      <c r="B2840" s="0" t="s">
        <v>2871</v>
      </c>
    </row>
    <row r="2841" customFormat="false" ht="15" hidden="false" customHeight="false" outlineLevel="0" collapsed="false">
      <c r="A2841" s="0" t="n">
        <f aca="false">DAVERAGE(Data!$O$1:$R$9,3,Data!$V$1:$W$2)</f>
        <v>182</v>
      </c>
      <c r="B2841" s="0" t="s">
        <v>2872</v>
      </c>
    </row>
    <row r="2842" customFormat="false" ht="15" hidden="false" customHeight="false" outlineLevel="0" collapsed="false">
      <c r="A2842" s="0" t="n">
        <f aca="false">DAVERAGE(Data!$O$1:$R$9,3,Data!$Y$1:$Y$3)</f>
        <v>172.333333333333</v>
      </c>
      <c r="B2842" s="0" t="s">
        <v>2873</v>
      </c>
    </row>
    <row r="2843" customFormat="false" ht="15" hidden="false" customHeight="false" outlineLevel="0" collapsed="false">
      <c r="A2843" s="0" t="n">
        <f aca="false">DAVERAGE(Data!$O$1:$R$9,3,Data!$AA$1:$AB$3)</f>
        <v>170</v>
      </c>
      <c r="B2843" s="0" t="s">
        <v>2874</v>
      </c>
    </row>
    <row r="2844" customFormat="false" ht="15" hidden="false" customHeight="false" outlineLevel="0" collapsed="false">
      <c r="A2844" s="0" t="n">
        <f aca="false">DAVERAGE(Data!$O$1:$R$9,3,Data!$AD$1:$AD$2)</f>
        <v>170</v>
      </c>
      <c r="B2844" s="0" t="s">
        <v>2875</v>
      </c>
    </row>
    <row r="2845" customFormat="false" ht="15" hidden="false" customHeight="false" outlineLevel="0" collapsed="false">
      <c r="A2845" s="0" t="e">
        <f aca="false">DAVERAGE(Data!$O$1:$R$9,3,Data!$AF$1:$AF$2)</f>
        <v>#VALUE!</v>
      </c>
      <c r="B2845" s="0" t="s">
        <v>2876</v>
      </c>
    </row>
    <row r="2846" customFormat="false" ht="15" hidden="false" customHeight="false" outlineLevel="0" collapsed="false">
      <c r="A2846" s="0" t="n">
        <f aca="false">DAVERAGE(Data!$O$1:$R$9,3,Data!$AH$1:$AI$2)</f>
        <v>166.666666666667</v>
      </c>
      <c r="B2846" s="0" t="s">
        <v>2877</v>
      </c>
    </row>
    <row r="2847" customFormat="false" ht="15" hidden="false" customHeight="false" outlineLevel="0" collapsed="false">
      <c r="A2847" s="0" t="e">
        <f aca="false">DAVERAGE(Data!$O$1:$R$9,3,Data!$AK$1:$AK$2)</f>
        <v>#DIV/0!</v>
      </c>
      <c r="B2847" s="0" t="s">
        <v>2878</v>
      </c>
    </row>
    <row r="2848" customFormat="false" ht="15" hidden="false" customHeight="false" outlineLevel="0" collapsed="false">
      <c r="A2848" s="0" t="n">
        <f aca="false">DAVERAGE(Data!$O$1:$R$9,3,Data!$AM$1:$AM$2)</f>
        <v>172.5</v>
      </c>
      <c r="B2848" s="0" t="s">
        <v>2879</v>
      </c>
    </row>
    <row r="2849" customFormat="false" ht="15" hidden="false" customHeight="false" outlineLevel="0" collapsed="false">
      <c r="A2849" s="0" t="n">
        <f aca="false">DAVERAGE(Data!$O$1:$R$9,3,Data!$AO$1:$AO$2)</f>
        <v>178.5</v>
      </c>
      <c r="B2849" s="0" t="s">
        <v>2880</v>
      </c>
    </row>
    <row r="2850" customFormat="false" ht="15" hidden="false" customHeight="false" outlineLevel="0" collapsed="false">
      <c r="A2850" s="0" t="n">
        <f aca="false">DAVERAGE(Data!$O$1:$R$9,3,Data!$AQ$1:$AQ$2)</f>
        <v>167.5</v>
      </c>
      <c r="B2850" s="0" t="s">
        <v>2881</v>
      </c>
    </row>
    <row r="2851" customFormat="false" ht="15" hidden="false" customHeight="false" outlineLevel="0" collapsed="false">
      <c r="A2851" s="0" t="n">
        <f aca="false">DAVERAGE(Data!$O$1:$R$9,3,Data!$AS$1:$AS$2)</f>
        <v>167.166666666667</v>
      </c>
      <c r="B2851" s="0" t="s">
        <v>2882</v>
      </c>
    </row>
    <row r="2852" customFormat="false" ht="15" hidden="false" customHeight="false" outlineLevel="0" collapsed="false">
      <c r="A2852" s="0" t="n">
        <f aca="false">DAVERAGE(Data!$O$1:$R$9,3,Data!$AU$1:$AU$3)</f>
        <v>170</v>
      </c>
      <c r="B2852" s="0" t="s">
        <v>2883</v>
      </c>
    </row>
    <row r="2853" customFormat="false" ht="15" hidden="false" customHeight="false" outlineLevel="0" collapsed="false">
      <c r="A2853" s="0" t="n">
        <f aca="false">DAVERAGE(Data!$O$1:$R$9,3,Data!$AW$1:$AW$2)</f>
        <v>170</v>
      </c>
      <c r="B2853" s="0" t="s">
        <v>2884</v>
      </c>
    </row>
    <row r="2854" customFormat="false" ht="15" hidden="false" customHeight="false" outlineLevel="0" collapsed="false">
      <c r="A2854" s="0" t="n">
        <f aca="false">DAVERAGE(Data!$O$1:$R$9,3,Data!$AY$1:$BA$3)</f>
        <v>169</v>
      </c>
      <c r="B2854" s="0" t="s">
        <v>2885</v>
      </c>
    </row>
    <row r="2855" customFormat="false" ht="15" hidden="false" customHeight="false" outlineLevel="0" collapsed="false">
      <c r="A2855" s="0" t="n">
        <f aca="false">DAVERAGE(Data!$O$1:$R$9,3,Data!$BC$1:$BC$2)</f>
        <v>170</v>
      </c>
      <c r="B2855" s="0" t="s">
        <v>2886</v>
      </c>
    </row>
    <row r="2856" customFormat="false" ht="15" hidden="false" customHeight="false" outlineLevel="0" collapsed="false">
      <c r="A2856" s="0" t="n">
        <f aca="false">DAVERAGE(Data!$O$1:$R$9,3,Data!$BE$1:$BE$2)</f>
        <v>170</v>
      </c>
      <c r="B2856" s="0" t="s">
        <v>2887</v>
      </c>
    </row>
    <row r="2857" customFormat="false" ht="15" hidden="false" customHeight="false" outlineLevel="0" collapsed="false">
      <c r="A2857" s="0" t="n">
        <f aca="false">DAVERAGE(Data!$O$1:$R$9,"Score",Data!$T$1:$T$2)</f>
        <v>75</v>
      </c>
      <c r="B2857" s="0" t="s">
        <v>2888</v>
      </c>
    </row>
    <row r="2858" customFormat="false" ht="15" hidden="false" customHeight="false" outlineLevel="0" collapsed="false">
      <c r="A2858" s="0" t="n">
        <f aca="false">DAVERAGE(Data!$O$1:$R$9,"Score",Data!$V$1:$W$2)</f>
        <v>77</v>
      </c>
      <c r="B2858" s="0" t="s">
        <v>2889</v>
      </c>
    </row>
    <row r="2859" customFormat="false" ht="15" hidden="false" customHeight="false" outlineLevel="0" collapsed="false">
      <c r="A2859" s="0" t="n">
        <f aca="false">DAVERAGE(Data!$O$1:$R$9,"Score",Data!$Y$1:$Y$3)</f>
        <v>82.3333333333333</v>
      </c>
      <c r="B2859" s="0" t="s">
        <v>2890</v>
      </c>
    </row>
    <row r="2860" customFormat="false" ht="15" hidden="false" customHeight="false" outlineLevel="0" collapsed="false">
      <c r="A2860" s="0" t="n">
        <f aca="false">DAVERAGE(Data!$O$1:$R$9,"Score",Data!$AA$1:$AB$3)</f>
        <v>81.4</v>
      </c>
      <c r="B2860" s="0" t="s">
        <v>2891</v>
      </c>
    </row>
    <row r="2861" customFormat="false" ht="15" hidden="false" customHeight="false" outlineLevel="0" collapsed="false">
      <c r="A2861" s="0" t="n">
        <f aca="false">DAVERAGE(Data!$O$1:$R$9,"Score",Data!$AD$1:$AD$2)</f>
        <v>79.5714285714286</v>
      </c>
      <c r="B2861" s="0" t="s">
        <v>2892</v>
      </c>
    </row>
    <row r="2862" customFormat="false" ht="15" hidden="false" customHeight="false" outlineLevel="0" collapsed="false">
      <c r="A2862" s="0" t="e">
        <f aca="false">DAVERAGE(Data!$O$1:$R$9,"Score",Data!$AF$1:$AF$2)</f>
        <v>#VALUE!</v>
      </c>
      <c r="B2862" s="0" t="s">
        <v>2893</v>
      </c>
    </row>
    <row r="2863" customFormat="false" ht="15" hidden="false" customHeight="false" outlineLevel="0" collapsed="false">
      <c r="A2863" s="0" t="n">
        <f aca="false">DAVERAGE(Data!$O$1:$R$9,"Score",Data!$AH$1:$AI$2)</f>
        <v>85</v>
      </c>
      <c r="B2863" s="0" t="s">
        <v>2894</v>
      </c>
    </row>
    <row r="2864" customFormat="false" ht="15" hidden="false" customHeight="false" outlineLevel="0" collapsed="false">
      <c r="A2864" s="0" t="e">
        <f aca="false">DAVERAGE(Data!$O$1:$R$9,"Score",Data!$AK$1:$AK$2)</f>
        <v>#DIV/0!</v>
      </c>
      <c r="B2864" s="0" t="s">
        <v>2895</v>
      </c>
    </row>
    <row r="2865" customFormat="false" ht="15" hidden="false" customHeight="false" outlineLevel="0" collapsed="false">
      <c r="A2865" s="0" t="n">
        <f aca="false">DAVERAGE(Data!$O$1:$R$9,"Score",Data!$AM$1:$AM$2)</f>
        <v>75</v>
      </c>
      <c r="B2865" s="0" t="s">
        <v>2896</v>
      </c>
    </row>
    <row r="2866" customFormat="false" ht="15" hidden="false" customHeight="false" outlineLevel="0" collapsed="false">
      <c r="A2866" s="0" t="n">
        <f aca="false">DAVERAGE(Data!$O$1:$R$9,"Score",Data!$AO$1:$AO$2)</f>
        <v>83.5</v>
      </c>
      <c r="B2866" s="0" t="s">
        <v>2897</v>
      </c>
    </row>
    <row r="2867" customFormat="false" ht="15" hidden="false" customHeight="false" outlineLevel="0" collapsed="false">
      <c r="A2867" s="0" t="n">
        <f aca="false">DAVERAGE(Data!$O$1:$R$9,"Score",Data!$AQ$1:$AQ$2)</f>
        <v>72.5</v>
      </c>
      <c r="B2867" s="0" t="s">
        <v>2898</v>
      </c>
    </row>
    <row r="2868" customFormat="false" ht="15" hidden="false" customHeight="false" outlineLevel="0" collapsed="false">
      <c r="A2868" s="0" t="n">
        <f aca="false">DAVERAGE(Data!$O$1:$R$9,"Score",Data!$AS$1:$AS$2)</f>
        <v>78</v>
      </c>
      <c r="B2868" s="0" t="s">
        <v>2899</v>
      </c>
    </row>
    <row r="2869" customFormat="false" ht="15" hidden="false" customHeight="false" outlineLevel="0" collapsed="false">
      <c r="A2869" s="0" t="n">
        <f aca="false">DAVERAGE(Data!$O$1:$R$9,"Score",Data!$AU$1:$AU$3)</f>
        <v>79.5714285714286</v>
      </c>
      <c r="B2869" s="0" t="s">
        <v>2900</v>
      </c>
    </row>
    <row r="2870" customFormat="false" ht="15" hidden="false" customHeight="false" outlineLevel="0" collapsed="false">
      <c r="A2870" s="0" t="n">
        <f aca="false">DAVERAGE(Data!$O$1:$R$9,"Score",Data!$AW$1:$AW$2)</f>
        <v>79.5714285714286</v>
      </c>
      <c r="B2870" s="0" t="s">
        <v>2901</v>
      </c>
    </row>
    <row r="2871" customFormat="false" ht="15" hidden="false" customHeight="false" outlineLevel="0" collapsed="false">
      <c r="A2871" s="0" t="n">
        <f aca="false">DAVERAGE(Data!$O$1:$R$9,"Score",Data!$AY$1:$BA$3)</f>
        <v>81.4</v>
      </c>
      <c r="B2871" s="0" t="s">
        <v>2902</v>
      </c>
    </row>
    <row r="2872" customFormat="false" ht="15" hidden="false" customHeight="false" outlineLevel="0" collapsed="false">
      <c r="A2872" s="0" t="e">
        <f aca="false">DAVERAGE(Data!$O$1:$R$9,"Score",Data!$BC$1:$BC$2)</f>
        <v>#DIV/0!</v>
      </c>
      <c r="B2872" s="0" t="s">
        <v>2903</v>
      </c>
    </row>
    <row r="2873" customFormat="false" ht="15" hidden="false" customHeight="false" outlineLevel="0" collapsed="false">
      <c r="A2873" s="0" t="n">
        <f aca="false">DAVERAGE(Data!$O$1:$R$9,"Score",Data!$BE$1:$BE$2)</f>
        <v>60</v>
      </c>
      <c r="B2873" s="0" t="s">
        <v>2904</v>
      </c>
    </row>
    <row r="2874" customFormat="false" ht="15" hidden="false" customHeight="false" outlineLevel="0" collapsed="false">
      <c r="A2874" s="0" t="n">
        <f aca="false">DAVERAGE(Data!$O$1:$R$9,"age",Data!$T$1:$T$2)</f>
        <v>30</v>
      </c>
      <c r="B2874" s="0" t="s">
        <v>2905</v>
      </c>
    </row>
    <row r="2875" customFormat="false" ht="15" hidden="false" customHeight="false" outlineLevel="0" collapsed="false">
      <c r="A2875" s="0" t="n">
        <f aca="false">DAVERAGE(Data!$O$1:$R$9,"age",Data!$AD$1:$AD$2)</f>
        <v>34</v>
      </c>
      <c r="B2875" s="0" t="s">
        <v>2906</v>
      </c>
    </row>
    <row r="2876" customFormat="false" ht="15" hidden="false" customHeight="false" outlineLevel="0" collapsed="false">
      <c r="A2876" s="0" t="e">
        <f aca="false">DAVERAGE(Data!$O$1:$R$9,0,Data!$T$1:$T$2)</f>
        <v>#VALUE!</v>
      </c>
      <c r="B2876" s="0" t="s">
        <v>2907</v>
      </c>
    </row>
    <row r="2877" customFormat="false" ht="15" hidden="false" customHeight="false" outlineLevel="0" collapsed="false">
      <c r="A2877" s="0" t="e">
        <f aca="false">DAVERAGE(Data!$O$1:$R$9,0,Data!$AD$1:$AD$2)</f>
        <v>#VALUE!</v>
      </c>
      <c r="B2877" s="0" t="s">
        <v>2908</v>
      </c>
    </row>
    <row r="2878" customFormat="false" ht="15" hidden="false" customHeight="false" outlineLevel="0" collapsed="false">
      <c r="A2878" s="0" t="e">
        <f aca="false">DAVERAGE(Data!$O$1:$R$9,5,Data!$T$1:$T$2)</f>
        <v>#VALUE!</v>
      </c>
      <c r="B2878" s="0" t="s">
        <v>2909</v>
      </c>
    </row>
    <row r="2879" customFormat="false" ht="15" hidden="false" customHeight="false" outlineLevel="0" collapsed="false">
      <c r="A2879" s="0" t="e">
        <f aca="false">DAVERAGE(Data!$O$1:$R$9,5,Data!$AD$1:$AD$2)</f>
        <v>#VALUE!</v>
      </c>
      <c r="B2879" s="0" t="s">
        <v>2910</v>
      </c>
    </row>
    <row r="2880" customFormat="false" ht="15" hidden="false" customHeight="false" outlineLevel="0" collapsed="false">
      <c r="A2880" s="0" t="e">
        <f aca="false">DAVERAGE(Data!$O$1:$R$9,"Nope",Data!$T$1:$T$2)</f>
        <v>#VALUE!</v>
      </c>
      <c r="B2880" s="0" t="s">
        <v>2911</v>
      </c>
    </row>
    <row r="2881" customFormat="false" ht="15" hidden="false" customHeight="false" outlineLevel="0" collapsed="false">
      <c r="A2881" s="0" t="e">
        <f aca="false">DAVERAGE(Data!$O$1:$R$9,"Nope",Data!$AD$1:$AD$2)</f>
        <v>#VALUE!</v>
      </c>
      <c r="B2881" s="0" t="s">
        <v>2912</v>
      </c>
    </row>
    <row r="2882" customFormat="false" ht="15" hidden="false" customHeight="false" outlineLevel="0" collapsed="false">
      <c r="A2882" s="0" t="e">
        <f aca="false">DAVERAGE(Data!$O$1:$R$9,-1,Data!$T$1:$T$2)</f>
        <v>#VALUE!</v>
      </c>
      <c r="B2882" s="0" t="s">
        <v>2913</v>
      </c>
    </row>
    <row r="2883" customFormat="false" ht="15" hidden="false" customHeight="false" outlineLevel="0" collapsed="false">
      <c r="A2883" s="0" t="e">
        <f aca="false">DAVERAGE(Data!$O$1:$R$9,-1,Data!$AD$1:$AD$2)</f>
        <v>#VALUE!</v>
      </c>
      <c r="B2883" s="0" t="s">
        <v>2914</v>
      </c>
    </row>
    <row r="2884" customFormat="false" ht="15" hidden="false" customHeight="false" outlineLevel="0" collapsed="false">
      <c r="A2884" s="0" t="n">
        <f aca="false">DAVERAGE(Data!$O$1:$R$9,2.9,Data!$T$1:$T$2)</f>
        <v>30</v>
      </c>
      <c r="B2884" s="0" t="s">
        <v>2915</v>
      </c>
    </row>
    <row r="2885" customFormat="false" ht="15" hidden="false" customHeight="false" outlineLevel="0" collapsed="false">
      <c r="A2885" s="0" t="n">
        <f aca="false">DAVERAGE(Data!$O$1:$R$9,2.9,Data!$AD$1:$AD$2)</f>
        <v>34</v>
      </c>
      <c r="B2885" s="0" t="s">
        <v>2916</v>
      </c>
    </row>
    <row r="2886" customFormat="false" ht="15" hidden="false" customHeight="false" outlineLevel="0" collapsed="false">
      <c r="A2886" s="0" t="e">
        <f aca="false">DAVERAGE(Data!$O$1:$R$9,"2",Data!$T$1:$T$2)</f>
        <v>#VALUE!</v>
      </c>
      <c r="B2886" s="0" t="s">
        <v>2917</v>
      </c>
    </row>
    <row r="2887" customFormat="false" ht="15" hidden="false" customHeight="false" outlineLevel="0" collapsed="false">
      <c r="A2887" s="0" t="e">
        <f aca="false">DAVERAGE(Data!$O$1:$R$9,"2",Data!$AD$1:$AD$2)</f>
        <v>#VALUE!</v>
      </c>
      <c r="B2887" s="0" t="s">
        <v>2918</v>
      </c>
    </row>
    <row r="2888" customFormat="false" ht="15" hidden="false" customHeight="false" outlineLevel="0" collapsed="false">
      <c r="A2888" s="0" t="e">
        <f aca="false">DAVERAGE(Data!$O$1:$R$9,TRUE(),Data!$T$1:$T$2)</f>
        <v>#DIV/0!</v>
      </c>
      <c r="B2888" s="0" t="s">
        <v>2919</v>
      </c>
    </row>
    <row r="2889" customFormat="false" ht="15" hidden="false" customHeight="false" outlineLevel="0" collapsed="false">
      <c r="A2889" s="0" t="e">
        <f aca="false">DAVERAGE(Data!$O$1:$R$9,TRUE(),Data!$AD$1:$AD$2)</f>
        <v>#DIV/0!</v>
      </c>
      <c r="B2889" s="0" t="s">
        <v>2920</v>
      </c>
    </row>
    <row r="2890" customFormat="false" ht="15" hidden="false" customHeight="false" outlineLevel="0" collapsed="false">
      <c r="A2890" s="0" t="n">
        <f aca="false">DAVERAGE(Data!$O$1:$R$9,Data!$P$1,Data!$T$1:$T$2)</f>
        <v>30</v>
      </c>
      <c r="B2890" s="0" t="s">
        <v>2921</v>
      </c>
    </row>
    <row r="2891" customFormat="false" ht="15" hidden="false" customHeight="false" outlineLevel="0" collapsed="false">
      <c r="A2891" s="0" t="n">
        <f aca="false">DAVERAGE(Data!$O$1:$R$9,Data!$P$1,Data!$AD$1:$AD$2)</f>
        <v>34</v>
      </c>
      <c r="B2891" s="0" t="s">
        <v>2922</v>
      </c>
    </row>
    <row r="2892" customFormat="false" ht="15" hidden="false" customHeight="false" outlineLevel="0" collapsed="false">
      <c r="A2892" s="0" t="e">
        <f aca="false">DAVERAGE(Data!$O$1:$R$9,"Name",Data!$T$1:$T$2)</f>
        <v>#DIV/0!</v>
      </c>
      <c r="B2892" s="0" t="s">
        <v>2923</v>
      </c>
    </row>
    <row r="2893" customFormat="false" ht="15" hidden="false" customHeight="false" outlineLevel="0" collapsed="false">
      <c r="A2893" s="0" t="e">
        <f aca="false">DAVERAGE(Data!$O$1:$R$9,"Name",Data!$AD$1:$AD$2)</f>
        <v>#DIV/0!</v>
      </c>
      <c r="B2893" s="0" t="s">
        <v>2924</v>
      </c>
    </row>
    <row r="2894" customFormat="false" ht="15" hidden="false" customHeight="false" outlineLevel="0" collapsed="false">
      <c r="A2894" s="0" t="e">
        <f aca="false">DAVERAGE(Data!$O$1:$R$9,Data!$O$2,Data!$T$1:$T$2)</f>
        <v>#VALUE!</v>
      </c>
      <c r="B2894" s="0" t="s">
        <v>2925</v>
      </c>
    </row>
    <row r="2895" customFormat="false" ht="15" hidden="false" customHeight="false" outlineLevel="0" collapsed="false">
      <c r="A2895" s="0" t="e">
        <f aca="false">DAVERAGE(Data!$O$1:$R$9,Data!$O$2,Data!$AD$1:$AD$2)</f>
        <v>#VALUE!</v>
      </c>
      <c r="B2895" s="0" t="s">
        <v>2926</v>
      </c>
    </row>
    <row r="2896" customFormat="false" ht="15" hidden="false" customHeight="false" outlineLevel="0" collapsed="false">
      <c r="A2896" s="0" t="e">
        <f aca="false">DAVERAGE(Data!$O$1:$R$9,"",Data!$T$1:$T$2)</f>
        <v>#VALUE!</v>
      </c>
      <c r="B2896" s="0" t="s">
        <v>2927</v>
      </c>
    </row>
    <row r="2897" customFormat="false" ht="15" hidden="false" customHeight="false" outlineLevel="0" collapsed="false">
      <c r="A2897" s="0" t="e">
        <f aca="false">DAVERAGE(Data!$O$1:$R$9,"",Data!$AD$1:$AD$2)</f>
        <v>#VALUE!</v>
      </c>
      <c r="B2897" s="0" t="s">
        <v>2928</v>
      </c>
    </row>
    <row r="2898" customFormat="false" ht="15" hidden="false" customHeight="false" outlineLevel="0" collapsed="false">
      <c r="A2898" s="0" t="e">
        <f aca="false">DAVERAGE(Data!$O$1:$R$9,NA(),Data!$T$1:$T$2)</f>
        <v>#N/A</v>
      </c>
      <c r="B2898" s="0" t="s">
        <v>2929</v>
      </c>
    </row>
    <row r="2899" customFormat="false" ht="15" hidden="false" customHeight="false" outlineLevel="0" collapsed="false">
      <c r="A2899" s="0" t="e">
        <f aca="false">DAVERAGE(Data!$O$1:$R$9,NA(),Data!$AD$1:$AD$2)</f>
        <v>#N/A</v>
      </c>
      <c r="B2899" s="0" t="s">
        <v>2930</v>
      </c>
    </row>
    <row r="2900" customFormat="false" ht="15" hidden="false" customHeight="false" outlineLevel="0" collapsed="false">
      <c r="A2900" s="0" t="e">
        <f aca="false">DAVERAGE(Data!$O$1:$R$9,3,Data!$T$2:$T$3)</f>
        <v>#VALUE!</v>
      </c>
      <c r="B2900" s="0" t="s">
        <v>2931</v>
      </c>
    </row>
    <row r="2901" customFormat="false" ht="15" hidden="false" customHeight="false" outlineLevel="0" collapsed="false">
      <c r="A2901" s="0" t="e">
        <f aca="false">DAVERAGE(Data!$O$1:$R$9,3,Data!$T$1)</f>
        <v>#VALUE!</v>
      </c>
      <c r="B2901" s="0" t="s">
        <v>2932</v>
      </c>
    </row>
    <row r="2902" customFormat="false" ht="15" hidden="false" customHeight="false" outlineLevel="0" collapsed="false">
      <c r="A2902" s="0" t="e">
        <f aca="false">DAVERAGE(Data!$O$2:$R$9,3,Data!$T$1:$T$2)</f>
        <v>#VALUE!</v>
      </c>
      <c r="B2902" s="0" t="s">
        <v>2933</v>
      </c>
    </row>
    <row r="2903" customFormat="false" ht="15" hidden="false" customHeight="false" outlineLevel="0" collapsed="false">
      <c r="A2903" s="0" t="e">
        <f aca="false">DAVERAGE(Data!$O$1:$R$9,3,5)</f>
        <v>#VALUE!</v>
      </c>
      <c r="B2903" s="0" t="s">
        <v>2934</v>
      </c>
    </row>
    <row r="2904" customFormat="false" ht="15" hidden="false" customHeight="false" outlineLevel="0" collapsed="false">
      <c r="A2904" s="0" t="e">
        <f aca="false">DAVERAGE(5,3,Data!$T$1:$T$2)</f>
        <v>#VALUE!</v>
      </c>
      <c r="B2904" s="0" t="s">
        <v>2935</v>
      </c>
    </row>
    <row r="2905" customFormat="false" ht="15" hidden="false" customHeight="false" outlineLevel="0" collapsed="false">
      <c r="A2905" s="0" t="e">
        <f aca="false">DAVERAGE(Data!$O$1:$R$9,3,Data!$T$1:$T$2,1)</f>
        <v>#VALUE!</v>
      </c>
      <c r="B2905" s="0" t="s">
        <v>2936</v>
      </c>
    </row>
    <row r="2906" customFormat="false" ht="15" hidden="false" customHeight="false" outlineLevel="0" collapsed="false">
      <c r="A2906" s="0" t="e">
        <f aca="false">DAVERAGE(Data!$O$1:$R$9,3)</f>
        <v>#VALUE!</v>
      </c>
      <c r="B2906" s="0" t="s">
        <v>2937</v>
      </c>
    </row>
    <row r="2907" customFormat="false" ht="15" hidden="false" customHeight="false" outlineLevel="0" collapsed="false">
      <c r="A2907" s="0" t="e">
        <f aca="false">DAVERAGE(Data!$O$1:$O$9,1,Data!$T$1:$T$2)</f>
        <v>#VALUE!</v>
      </c>
      <c r="B2907" s="0" t="s">
        <v>2938</v>
      </c>
    </row>
    <row r="2908" customFormat="false" ht="15" hidden="false" customHeight="false" outlineLevel="0" collapsed="false">
      <c r="A2908" s="0" t="n">
        <f aca="false">DAVERAGE(Data!$O$1:$R$9,3,Data!$AU$1:$AU$2)</f>
        <v>170</v>
      </c>
      <c r="B2908" s="0" t="s">
        <v>2939</v>
      </c>
    </row>
    <row r="2909" customFormat="false" ht="15" hidden="false" customHeight="false" outlineLevel="0" collapsed="false">
      <c r="A2909" s="0" t="e">
        <f aca="false">DAVERAGE(Data!$O$1:$R$9,3,Data!$T$1:$U$1)</f>
        <v>#VALUE!</v>
      </c>
      <c r="B2909" s="0" t="s">
        <v>2940</v>
      </c>
    </row>
    <row r="2910" customFormat="false" ht="15" hidden="false" customHeight="false" outlineLevel="0" collapsed="false">
      <c r="A2910" s="0" t="e">
        <f aca="false">DGET(Data!$O$1:$R$9,"Age",Data!$T$1:$T$2)</f>
        <v>#VALUE!</v>
      </c>
      <c r="B2910" s="0" t="s">
        <v>2941</v>
      </c>
    </row>
    <row r="2911" customFormat="false" ht="15" hidden="false" customHeight="false" outlineLevel="0" collapsed="false">
      <c r="A2911" s="0" t="n">
        <f aca="false">DGET(Data!$O$1:$R$9,"Age",Data!$V$1:$W$2)</f>
        <v>52</v>
      </c>
      <c r="B2911" s="0" t="s">
        <v>2942</v>
      </c>
    </row>
    <row r="2912" customFormat="false" ht="15" hidden="false" customHeight="false" outlineLevel="0" collapsed="false">
      <c r="A2912" s="0" t="e">
        <f aca="false">DGET(Data!$O$1:$R$9,"Age",Data!$Y$1:$Y$3)</f>
        <v>#VALUE!</v>
      </c>
      <c r="B2912" s="0" t="s">
        <v>2943</v>
      </c>
    </row>
    <row r="2913" customFormat="false" ht="15" hidden="false" customHeight="false" outlineLevel="0" collapsed="false">
      <c r="A2913" s="0" t="e">
        <f aca="false">DGET(Data!$O$1:$R$9,"Age",Data!$AA$1:$AB$3)</f>
        <v>#VALUE!</v>
      </c>
      <c r="B2913" s="0" t="s">
        <v>2944</v>
      </c>
    </row>
    <row r="2914" customFormat="false" ht="15" hidden="false" customHeight="false" outlineLevel="0" collapsed="false">
      <c r="A2914" s="0" t="e">
        <f aca="false">DGET(Data!$O$1:$R$9,"Age",Data!$AD$1:$AD$2)</f>
        <v>#VALUE!</v>
      </c>
      <c r="B2914" s="0" t="s">
        <v>2945</v>
      </c>
    </row>
    <row r="2915" customFormat="false" ht="15" hidden="false" customHeight="false" outlineLevel="0" collapsed="false">
      <c r="A2915" s="0" t="e">
        <f aca="false">DGET(Data!$O$1:$R$9,"Age",Data!$AF$1:$AF$2)</f>
        <v>#VALUE!</v>
      </c>
      <c r="B2915" s="0" t="s">
        <v>2946</v>
      </c>
    </row>
    <row r="2916" customFormat="false" ht="15" hidden="false" customHeight="false" outlineLevel="0" collapsed="false">
      <c r="A2916" s="0" t="e">
        <f aca="false">DGET(Data!$O$1:$R$9,"Age",Data!$AH$1:$AI$2)</f>
        <v>#VALUE!</v>
      </c>
      <c r="B2916" s="0" t="s">
        <v>2947</v>
      </c>
    </row>
    <row r="2917" customFormat="false" ht="15" hidden="false" customHeight="false" outlineLevel="0" collapsed="false">
      <c r="A2917" s="0" t="e">
        <f aca="false">DGET(Data!$O$1:$R$9,"Age",Data!$AK$1:$AK$2)</f>
        <v>#VALUE!</v>
      </c>
      <c r="B2917" s="0" t="s">
        <v>2948</v>
      </c>
    </row>
    <row r="2918" customFormat="false" ht="15" hidden="false" customHeight="false" outlineLevel="0" collapsed="false">
      <c r="A2918" s="0" t="e">
        <f aca="false">DGET(Data!$O$1:$R$9,"Age",Data!$AM$1:$AM$2)</f>
        <v>#VALUE!</v>
      </c>
      <c r="B2918" s="0" t="s">
        <v>2949</v>
      </c>
    </row>
    <row r="2919" customFormat="false" ht="15" hidden="false" customHeight="false" outlineLevel="0" collapsed="false">
      <c r="A2919" s="0" t="e">
        <f aca="false">DGET(Data!$O$1:$R$9,"Age",Data!$AO$1:$AO$2)</f>
        <v>#VALUE!</v>
      </c>
      <c r="B2919" s="0" t="s">
        <v>2950</v>
      </c>
    </row>
    <row r="2920" customFormat="false" ht="15" hidden="false" customHeight="false" outlineLevel="0" collapsed="false">
      <c r="A2920" s="0" t="e">
        <f aca="false">DGET(Data!$O$1:$R$9,"Age",Data!$AQ$1:$AQ$2)</f>
        <v>#VALUE!</v>
      </c>
      <c r="B2920" s="0" t="s">
        <v>2951</v>
      </c>
    </row>
    <row r="2921" customFormat="false" ht="15" hidden="false" customHeight="false" outlineLevel="0" collapsed="false">
      <c r="A2921" s="0" t="e">
        <f aca="false">DGET(Data!$O$1:$R$9,"Age",Data!$AS$1:$AS$2)</f>
        <v>#VALUE!</v>
      </c>
      <c r="B2921" s="0" t="s">
        <v>2952</v>
      </c>
    </row>
    <row r="2922" customFormat="false" ht="15" hidden="false" customHeight="false" outlineLevel="0" collapsed="false">
      <c r="A2922" s="0" t="e">
        <f aca="false">DGET(Data!$O$1:$R$9,"Age",Data!$AU$1:$AU$3)</f>
        <v>#VALUE!</v>
      </c>
      <c r="B2922" s="0" t="s">
        <v>2953</v>
      </c>
    </row>
    <row r="2923" customFormat="false" ht="15" hidden="false" customHeight="false" outlineLevel="0" collapsed="false">
      <c r="A2923" s="0" t="e">
        <f aca="false">DGET(Data!$O$1:$R$9,"Age",Data!$AW$1:$AW$2)</f>
        <v>#VALUE!</v>
      </c>
      <c r="B2923" s="0" t="s">
        <v>2954</v>
      </c>
    </row>
    <row r="2924" customFormat="false" ht="15" hidden="false" customHeight="false" outlineLevel="0" collapsed="false">
      <c r="A2924" s="0" t="e">
        <f aca="false">DGET(Data!$O$1:$R$9,"Age",Data!$AY$1:$BA$3)</f>
        <v>#VALUE!</v>
      </c>
      <c r="B2924" s="0" t="s">
        <v>2955</v>
      </c>
    </row>
    <row r="2925" customFormat="false" ht="15" hidden="false" customHeight="false" outlineLevel="0" collapsed="false">
      <c r="A2925" s="0" t="str">
        <f aca="false">DGET(Data!$O$1:$R$9,"Age",Data!$BC$1:$BC$2)</f>
        <v>n/a</v>
      </c>
      <c r="B2925" s="0" t="s">
        <v>2956</v>
      </c>
    </row>
    <row r="2926" customFormat="false" ht="15" hidden="false" customHeight="false" outlineLevel="0" collapsed="false">
      <c r="A2926" s="0" t="n">
        <f aca="false">DGET(Data!$O$1:$R$9,"Age",Data!$BE$1:$BE$2)</f>
        <v>25</v>
      </c>
      <c r="B2926" s="0" t="s">
        <v>2957</v>
      </c>
    </row>
    <row r="2927" customFormat="false" ht="15" hidden="false" customHeight="false" outlineLevel="0" collapsed="false">
      <c r="A2927" s="0" t="e">
        <f aca="false">DGET(Data!$O$1:$R$9,3,Data!$T$1:$T$2)</f>
        <v>#VALUE!</v>
      </c>
      <c r="B2927" s="0" t="s">
        <v>2958</v>
      </c>
    </row>
    <row r="2928" customFormat="false" ht="15" hidden="false" customHeight="false" outlineLevel="0" collapsed="false">
      <c r="A2928" s="0" t="n">
        <f aca="false">DGET(Data!$O$1:$R$9,3,Data!$V$1:$W$2)</f>
        <v>182</v>
      </c>
      <c r="B2928" s="0" t="s">
        <v>2959</v>
      </c>
    </row>
    <row r="2929" customFormat="false" ht="15" hidden="false" customHeight="false" outlineLevel="0" collapsed="false">
      <c r="A2929" s="0" t="e">
        <f aca="false">DGET(Data!$O$1:$R$9,3,Data!$Y$1:$Y$3)</f>
        <v>#VALUE!</v>
      </c>
      <c r="B2929" s="0" t="s">
        <v>2960</v>
      </c>
    </row>
    <row r="2930" customFormat="false" ht="15" hidden="false" customHeight="false" outlineLevel="0" collapsed="false">
      <c r="A2930" s="0" t="e">
        <f aca="false">DGET(Data!$O$1:$R$9,3,Data!$AA$1:$AB$3)</f>
        <v>#VALUE!</v>
      </c>
      <c r="B2930" s="0" t="s">
        <v>2961</v>
      </c>
    </row>
    <row r="2931" customFormat="false" ht="15" hidden="false" customHeight="false" outlineLevel="0" collapsed="false">
      <c r="A2931" s="0" t="e">
        <f aca="false">DGET(Data!$O$1:$R$9,3,Data!$AD$1:$AD$2)</f>
        <v>#VALUE!</v>
      </c>
      <c r="B2931" s="0" t="s">
        <v>2962</v>
      </c>
    </row>
    <row r="2932" customFormat="false" ht="15" hidden="false" customHeight="false" outlineLevel="0" collapsed="false">
      <c r="A2932" s="0" t="e">
        <f aca="false">DGET(Data!$O$1:$R$9,3,Data!$AF$1:$AF$2)</f>
        <v>#VALUE!</v>
      </c>
      <c r="B2932" s="0" t="s">
        <v>2963</v>
      </c>
    </row>
    <row r="2933" customFormat="false" ht="15" hidden="false" customHeight="false" outlineLevel="0" collapsed="false">
      <c r="A2933" s="0" t="e">
        <f aca="false">DGET(Data!$O$1:$R$9,3,Data!$AH$1:$AI$2)</f>
        <v>#VALUE!</v>
      </c>
      <c r="B2933" s="0" t="s">
        <v>2964</v>
      </c>
    </row>
    <row r="2934" customFormat="false" ht="15" hidden="false" customHeight="false" outlineLevel="0" collapsed="false">
      <c r="A2934" s="0" t="e">
        <f aca="false">DGET(Data!$O$1:$R$9,3,Data!$AK$1:$AK$2)</f>
        <v>#VALUE!</v>
      </c>
      <c r="B2934" s="0" t="s">
        <v>2965</v>
      </c>
    </row>
    <row r="2935" customFormat="false" ht="15" hidden="false" customHeight="false" outlineLevel="0" collapsed="false">
      <c r="A2935" s="0" t="e">
        <f aca="false">DGET(Data!$O$1:$R$9,3,Data!$AM$1:$AM$2)</f>
        <v>#VALUE!</v>
      </c>
      <c r="B2935" s="0" t="s">
        <v>2966</v>
      </c>
    </row>
    <row r="2936" customFormat="false" ht="15" hidden="false" customHeight="false" outlineLevel="0" collapsed="false">
      <c r="A2936" s="0" t="e">
        <f aca="false">DGET(Data!$O$1:$R$9,3,Data!$AO$1:$AO$2)</f>
        <v>#VALUE!</v>
      </c>
      <c r="B2936" s="0" t="s">
        <v>2967</v>
      </c>
    </row>
    <row r="2937" customFormat="false" ht="15" hidden="false" customHeight="false" outlineLevel="0" collapsed="false">
      <c r="A2937" s="0" t="e">
        <f aca="false">DGET(Data!$O$1:$R$9,3,Data!$AQ$1:$AQ$2)</f>
        <v>#VALUE!</v>
      </c>
      <c r="B2937" s="0" t="s">
        <v>2968</v>
      </c>
    </row>
    <row r="2938" customFormat="false" ht="15" hidden="false" customHeight="false" outlineLevel="0" collapsed="false">
      <c r="A2938" s="0" t="e">
        <f aca="false">DGET(Data!$O$1:$R$9,3,Data!$AS$1:$AS$2)</f>
        <v>#VALUE!</v>
      </c>
      <c r="B2938" s="0" t="s">
        <v>2969</v>
      </c>
    </row>
    <row r="2939" customFormat="false" ht="15" hidden="false" customHeight="false" outlineLevel="0" collapsed="false">
      <c r="A2939" s="0" t="e">
        <f aca="false">DGET(Data!$O$1:$R$9,3,Data!$AU$1:$AU$3)</f>
        <v>#VALUE!</v>
      </c>
      <c r="B2939" s="0" t="s">
        <v>2970</v>
      </c>
    </row>
    <row r="2940" customFormat="false" ht="15" hidden="false" customHeight="false" outlineLevel="0" collapsed="false">
      <c r="A2940" s="0" t="e">
        <f aca="false">DGET(Data!$O$1:$R$9,3,Data!$AW$1:$AW$2)</f>
        <v>#VALUE!</v>
      </c>
      <c r="B2940" s="0" t="s">
        <v>2971</v>
      </c>
    </row>
    <row r="2941" customFormat="false" ht="15" hidden="false" customHeight="false" outlineLevel="0" collapsed="false">
      <c r="A2941" s="0" t="e">
        <f aca="false">DGET(Data!$O$1:$R$9,3,Data!$AY$1:$BA$3)</f>
        <v>#VALUE!</v>
      </c>
      <c r="B2941" s="0" t="s">
        <v>2972</v>
      </c>
    </row>
    <row r="2942" customFormat="false" ht="15" hidden="false" customHeight="false" outlineLevel="0" collapsed="false">
      <c r="A2942" s="0" t="n">
        <f aca="false">DGET(Data!$O$1:$R$9,3,Data!$BC$1:$BC$2)</f>
        <v>170</v>
      </c>
      <c r="B2942" s="0" t="s">
        <v>2973</v>
      </c>
    </row>
    <row r="2943" customFormat="false" ht="15" hidden="false" customHeight="false" outlineLevel="0" collapsed="false">
      <c r="A2943" s="0" t="n">
        <f aca="false">DGET(Data!$O$1:$R$9,3,Data!$BE$1:$BE$2)</f>
        <v>170</v>
      </c>
      <c r="B2943" s="0" t="s">
        <v>2974</v>
      </c>
    </row>
    <row r="2944" customFormat="false" ht="15" hidden="false" customHeight="false" outlineLevel="0" collapsed="false">
      <c r="A2944" s="0" t="e">
        <f aca="false">DGET(Data!$O$1:$R$9,"Score",Data!$T$1:$T$2)</f>
        <v>#VALUE!</v>
      </c>
      <c r="B2944" s="0" t="s">
        <v>2975</v>
      </c>
    </row>
    <row r="2945" customFormat="false" ht="15" hidden="false" customHeight="false" outlineLevel="0" collapsed="false">
      <c r="A2945" s="0" t="n">
        <f aca="false">DGET(Data!$O$1:$R$9,"Score",Data!$V$1:$W$2)</f>
        <v>77</v>
      </c>
      <c r="B2945" s="0" t="s">
        <v>2976</v>
      </c>
    </row>
    <row r="2946" customFormat="false" ht="15" hidden="false" customHeight="false" outlineLevel="0" collapsed="false">
      <c r="A2946" s="0" t="e">
        <f aca="false">DGET(Data!$O$1:$R$9,"Score",Data!$Y$1:$Y$3)</f>
        <v>#VALUE!</v>
      </c>
      <c r="B2946" s="0" t="s">
        <v>2977</v>
      </c>
    </row>
    <row r="2947" customFormat="false" ht="15" hidden="false" customHeight="false" outlineLevel="0" collapsed="false">
      <c r="A2947" s="0" t="e">
        <f aca="false">DGET(Data!$O$1:$R$9,"Score",Data!$AA$1:$AB$3)</f>
        <v>#VALUE!</v>
      </c>
      <c r="B2947" s="0" t="s">
        <v>2978</v>
      </c>
    </row>
    <row r="2948" customFormat="false" ht="15" hidden="false" customHeight="false" outlineLevel="0" collapsed="false">
      <c r="A2948" s="0" t="e">
        <f aca="false">DGET(Data!$O$1:$R$9,"Score",Data!$AD$1:$AD$2)</f>
        <v>#VALUE!</v>
      </c>
      <c r="B2948" s="0" t="s">
        <v>2979</v>
      </c>
    </row>
    <row r="2949" customFormat="false" ht="15" hidden="false" customHeight="false" outlineLevel="0" collapsed="false">
      <c r="A2949" s="0" t="e">
        <f aca="false">DGET(Data!$O$1:$R$9,"Score",Data!$AF$1:$AF$2)</f>
        <v>#VALUE!</v>
      </c>
      <c r="B2949" s="0" t="s">
        <v>2980</v>
      </c>
    </row>
    <row r="2950" customFormat="false" ht="15" hidden="false" customHeight="false" outlineLevel="0" collapsed="false">
      <c r="A2950" s="0" t="e">
        <f aca="false">DGET(Data!$O$1:$R$9,"Score",Data!$AH$1:$AI$2)</f>
        <v>#VALUE!</v>
      </c>
      <c r="B2950" s="0" t="s">
        <v>2981</v>
      </c>
    </row>
    <row r="2951" customFormat="false" ht="15" hidden="false" customHeight="false" outlineLevel="0" collapsed="false">
      <c r="A2951" s="0" t="e">
        <f aca="false">DGET(Data!$O$1:$R$9,"Score",Data!$AK$1:$AK$2)</f>
        <v>#VALUE!</v>
      </c>
      <c r="B2951" s="0" t="s">
        <v>2982</v>
      </c>
    </row>
    <row r="2952" customFormat="false" ht="15" hidden="false" customHeight="false" outlineLevel="0" collapsed="false">
      <c r="A2952" s="0" t="e">
        <f aca="false">DGET(Data!$O$1:$R$9,"Score",Data!$AM$1:$AM$2)</f>
        <v>#VALUE!</v>
      </c>
      <c r="B2952" s="0" t="s">
        <v>2983</v>
      </c>
    </row>
    <row r="2953" customFormat="false" ht="15" hidden="false" customHeight="false" outlineLevel="0" collapsed="false">
      <c r="A2953" s="0" t="e">
        <f aca="false">DGET(Data!$O$1:$R$9,"Score",Data!$AO$1:$AO$2)</f>
        <v>#VALUE!</v>
      </c>
      <c r="B2953" s="0" t="s">
        <v>2984</v>
      </c>
    </row>
    <row r="2954" customFormat="false" ht="15" hidden="false" customHeight="false" outlineLevel="0" collapsed="false">
      <c r="A2954" s="0" t="e">
        <f aca="false">DGET(Data!$O$1:$R$9,"Score",Data!$AQ$1:$AQ$2)</f>
        <v>#VALUE!</v>
      </c>
      <c r="B2954" s="0" t="s">
        <v>2985</v>
      </c>
    </row>
    <row r="2955" customFormat="false" ht="15" hidden="false" customHeight="false" outlineLevel="0" collapsed="false">
      <c r="A2955" s="0" t="e">
        <f aca="false">DGET(Data!$O$1:$R$9,"Score",Data!$AS$1:$AS$2)</f>
        <v>#VALUE!</v>
      </c>
      <c r="B2955" s="0" t="s">
        <v>2986</v>
      </c>
    </row>
    <row r="2956" customFormat="false" ht="15" hidden="false" customHeight="false" outlineLevel="0" collapsed="false">
      <c r="A2956" s="0" t="e">
        <f aca="false">DGET(Data!$O$1:$R$9,"Score",Data!$AU$1:$AU$3)</f>
        <v>#VALUE!</v>
      </c>
      <c r="B2956" s="0" t="s">
        <v>2987</v>
      </c>
    </row>
    <row r="2957" customFormat="false" ht="15" hidden="false" customHeight="false" outlineLevel="0" collapsed="false">
      <c r="A2957" s="0" t="e">
        <f aca="false">DGET(Data!$O$1:$R$9,"Score",Data!$AW$1:$AW$2)</f>
        <v>#VALUE!</v>
      </c>
      <c r="B2957" s="0" t="s">
        <v>2988</v>
      </c>
    </row>
    <row r="2958" customFormat="false" ht="15" hidden="false" customHeight="false" outlineLevel="0" collapsed="false">
      <c r="A2958" s="0" t="e">
        <f aca="false">DGET(Data!$O$1:$R$9,"Score",Data!$AY$1:$BA$3)</f>
        <v>#VALUE!</v>
      </c>
      <c r="B2958" s="0" t="s">
        <v>2989</v>
      </c>
    </row>
    <row r="2959" customFormat="false" ht="15" hidden="false" customHeight="false" outlineLevel="0" collapsed="false">
      <c r="A2959" s="0" t="e">
        <f aca="false">DGET(Data!$O$1:$R$9,"Score",Data!$BC$1:$BC$2)</f>
        <v>#VALUE!</v>
      </c>
      <c r="B2959" s="0" t="s">
        <v>2990</v>
      </c>
    </row>
    <row r="2960" customFormat="false" ht="15" hidden="false" customHeight="false" outlineLevel="0" collapsed="false">
      <c r="A2960" s="0" t="n">
        <f aca="false">DGET(Data!$O$1:$R$9,"Score",Data!$BE$1:$BE$2)</f>
        <v>60</v>
      </c>
      <c r="B2960" s="0" t="s">
        <v>2991</v>
      </c>
    </row>
    <row r="2961" customFormat="false" ht="15" hidden="false" customHeight="false" outlineLevel="0" collapsed="false">
      <c r="A2961" s="0" t="e">
        <f aca="false">DGET(Data!$O$1:$R$9,"age",Data!$T$1:$T$2)</f>
        <v>#VALUE!</v>
      </c>
      <c r="B2961" s="0" t="s">
        <v>2992</v>
      </c>
    </row>
    <row r="2962" customFormat="false" ht="15" hidden="false" customHeight="false" outlineLevel="0" collapsed="false">
      <c r="A2962" s="0" t="e">
        <f aca="false">DGET(Data!$O$1:$R$9,"age",Data!$AD$1:$AD$2)</f>
        <v>#VALUE!</v>
      </c>
      <c r="B2962" s="0" t="s">
        <v>2993</v>
      </c>
    </row>
    <row r="2963" customFormat="false" ht="15" hidden="false" customHeight="false" outlineLevel="0" collapsed="false">
      <c r="A2963" s="0" t="e">
        <f aca="false">DGET(Data!$O$1:$R$9,0,Data!$T$1:$T$2)</f>
        <v>#VALUE!</v>
      </c>
      <c r="B2963" s="0" t="s">
        <v>2994</v>
      </c>
    </row>
    <row r="2964" customFormat="false" ht="15" hidden="false" customHeight="false" outlineLevel="0" collapsed="false">
      <c r="A2964" s="0" t="e">
        <f aca="false">DGET(Data!$O$1:$R$9,0,Data!$AD$1:$AD$2)</f>
        <v>#VALUE!</v>
      </c>
      <c r="B2964" s="0" t="s">
        <v>2995</v>
      </c>
    </row>
    <row r="2965" customFormat="false" ht="15" hidden="false" customHeight="false" outlineLevel="0" collapsed="false">
      <c r="A2965" s="0" t="e">
        <f aca="false">DGET(Data!$O$1:$R$9,5,Data!$T$1:$T$2)</f>
        <v>#VALUE!</v>
      </c>
      <c r="B2965" s="0" t="s">
        <v>2996</v>
      </c>
    </row>
    <row r="2966" customFormat="false" ht="15" hidden="false" customHeight="false" outlineLevel="0" collapsed="false">
      <c r="A2966" s="0" t="e">
        <f aca="false">DGET(Data!$O$1:$R$9,5,Data!$AD$1:$AD$2)</f>
        <v>#VALUE!</v>
      </c>
      <c r="B2966" s="0" t="s">
        <v>2997</v>
      </c>
    </row>
    <row r="2967" customFormat="false" ht="15" hidden="false" customHeight="false" outlineLevel="0" collapsed="false">
      <c r="A2967" s="0" t="e">
        <f aca="false">DGET(Data!$O$1:$R$9,"Nope",Data!$T$1:$T$2)</f>
        <v>#VALUE!</v>
      </c>
      <c r="B2967" s="0" t="s">
        <v>2998</v>
      </c>
    </row>
    <row r="2968" customFormat="false" ht="15" hidden="false" customHeight="false" outlineLevel="0" collapsed="false">
      <c r="A2968" s="0" t="e">
        <f aca="false">DGET(Data!$O$1:$R$9,"Nope",Data!$AD$1:$AD$2)</f>
        <v>#VALUE!</v>
      </c>
      <c r="B2968" s="0" t="s">
        <v>2999</v>
      </c>
    </row>
    <row r="2969" customFormat="false" ht="15" hidden="false" customHeight="false" outlineLevel="0" collapsed="false">
      <c r="A2969" s="0" t="e">
        <f aca="false">DGET(Data!$O$1:$R$9,-1,Data!$T$1:$T$2)</f>
        <v>#VALUE!</v>
      </c>
      <c r="B2969" s="0" t="s">
        <v>3000</v>
      </c>
    </row>
    <row r="2970" customFormat="false" ht="15" hidden="false" customHeight="false" outlineLevel="0" collapsed="false">
      <c r="A2970" s="0" t="e">
        <f aca="false">DGET(Data!$O$1:$R$9,-1,Data!$AD$1:$AD$2)</f>
        <v>#VALUE!</v>
      </c>
      <c r="B2970" s="0" t="s">
        <v>3001</v>
      </c>
    </row>
    <row r="2971" customFormat="false" ht="15" hidden="false" customHeight="false" outlineLevel="0" collapsed="false">
      <c r="A2971" s="0" t="e">
        <f aca="false">DGET(Data!$O$1:$R$9,2.9,Data!$T$1:$T$2)</f>
        <v>#VALUE!</v>
      </c>
      <c r="B2971" s="0" t="s">
        <v>3002</v>
      </c>
    </row>
    <row r="2972" customFormat="false" ht="15" hidden="false" customHeight="false" outlineLevel="0" collapsed="false">
      <c r="A2972" s="0" t="e">
        <f aca="false">DGET(Data!$O$1:$R$9,2.9,Data!$AD$1:$AD$2)</f>
        <v>#VALUE!</v>
      </c>
      <c r="B2972" s="0" t="s">
        <v>3003</v>
      </c>
    </row>
    <row r="2973" customFormat="false" ht="15" hidden="false" customHeight="false" outlineLevel="0" collapsed="false">
      <c r="A2973" s="0" t="e">
        <f aca="false">DGET(Data!$O$1:$R$9,"2",Data!$T$1:$T$2)</f>
        <v>#VALUE!</v>
      </c>
      <c r="B2973" s="0" t="s">
        <v>3004</v>
      </c>
    </row>
    <row r="2974" customFormat="false" ht="15" hidden="false" customHeight="false" outlineLevel="0" collapsed="false">
      <c r="A2974" s="0" t="e">
        <f aca="false">DGET(Data!$O$1:$R$9,"2",Data!$AD$1:$AD$2)</f>
        <v>#VALUE!</v>
      </c>
      <c r="B2974" s="0" t="s">
        <v>3005</v>
      </c>
    </row>
    <row r="2975" customFormat="false" ht="15" hidden="false" customHeight="false" outlineLevel="0" collapsed="false">
      <c r="A2975" s="0" t="e">
        <f aca="false">DGET(Data!$O$1:$R$9,TRUE(),Data!$T$1:$T$2)</f>
        <v>#VALUE!</v>
      </c>
      <c r="B2975" s="0" t="s">
        <v>3006</v>
      </c>
    </row>
    <row r="2976" customFormat="false" ht="15" hidden="false" customHeight="false" outlineLevel="0" collapsed="false">
      <c r="A2976" s="0" t="e">
        <f aca="false">DGET(Data!$O$1:$R$9,TRUE(),Data!$AD$1:$AD$2)</f>
        <v>#VALUE!</v>
      </c>
      <c r="B2976" s="0" t="s">
        <v>3007</v>
      </c>
    </row>
    <row r="2977" customFormat="false" ht="15" hidden="false" customHeight="false" outlineLevel="0" collapsed="false">
      <c r="A2977" s="0" t="e">
        <f aca="false">DGET(Data!$O$1:$R$9,Data!$P$1,Data!$T$1:$T$2)</f>
        <v>#VALUE!</v>
      </c>
      <c r="B2977" s="0" t="s">
        <v>3008</v>
      </c>
    </row>
    <row r="2978" customFormat="false" ht="15" hidden="false" customHeight="false" outlineLevel="0" collapsed="false">
      <c r="A2978" s="0" t="e">
        <f aca="false">DGET(Data!$O$1:$R$9,Data!$P$1,Data!$AD$1:$AD$2)</f>
        <v>#VALUE!</v>
      </c>
      <c r="B2978" s="0" t="s">
        <v>3009</v>
      </c>
    </row>
    <row r="2979" customFormat="false" ht="15" hidden="false" customHeight="false" outlineLevel="0" collapsed="false">
      <c r="A2979" s="0" t="e">
        <f aca="false">DGET(Data!$O$1:$R$9,"Name",Data!$T$1:$T$2)</f>
        <v>#VALUE!</v>
      </c>
      <c r="B2979" s="0" t="s">
        <v>3010</v>
      </c>
    </row>
    <row r="2980" customFormat="false" ht="15" hidden="false" customHeight="false" outlineLevel="0" collapsed="false">
      <c r="A2980" s="0" t="e">
        <f aca="false">DGET(Data!$O$1:$R$9,"Name",Data!$AD$1:$AD$2)</f>
        <v>#VALUE!</v>
      </c>
      <c r="B2980" s="0" t="s">
        <v>3011</v>
      </c>
    </row>
    <row r="2981" customFormat="false" ht="15" hidden="false" customHeight="false" outlineLevel="0" collapsed="false">
      <c r="A2981" s="0" t="e">
        <f aca="false">DGET(Data!$O$1:$R$9,Data!$O$2,Data!$T$1:$T$2)</f>
        <v>#VALUE!</v>
      </c>
      <c r="B2981" s="0" t="s">
        <v>3012</v>
      </c>
    </row>
    <row r="2982" customFormat="false" ht="15" hidden="false" customHeight="false" outlineLevel="0" collapsed="false">
      <c r="A2982" s="0" t="e">
        <f aca="false">DGET(Data!$O$1:$R$9,Data!$O$2,Data!$AD$1:$AD$2)</f>
        <v>#VALUE!</v>
      </c>
      <c r="B2982" s="0" t="s">
        <v>3013</v>
      </c>
    </row>
    <row r="2983" customFormat="false" ht="15" hidden="false" customHeight="false" outlineLevel="0" collapsed="false">
      <c r="A2983" s="0" t="e">
        <f aca="false">DGET(Data!$O$1:$R$9,"",Data!$T$1:$T$2)</f>
        <v>#VALUE!</v>
      </c>
      <c r="B2983" s="0" t="s">
        <v>3014</v>
      </c>
    </row>
    <row r="2984" customFormat="false" ht="15" hidden="false" customHeight="false" outlineLevel="0" collapsed="false">
      <c r="A2984" s="0" t="e">
        <f aca="false">DGET(Data!$O$1:$R$9,"",Data!$AD$1:$AD$2)</f>
        <v>#VALUE!</v>
      </c>
      <c r="B2984" s="0" t="s">
        <v>3015</v>
      </c>
    </row>
    <row r="2985" customFormat="false" ht="15" hidden="false" customHeight="false" outlineLevel="0" collapsed="false">
      <c r="A2985" s="0" t="e">
        <f aca="false">DGET(Data!$O$1:$R$9,NA(),Data!$T$1:$T$2)</f>
        <v>#N/A</v>
      </c>
      <c r="B2985" s="0" t="s">
        <v>3016</v>
      </c>
    </row>
    <row r="2986" customFormat="false" ht="15" hidden="false" customHeight="false" outlineLevel="0" collapsed="false">
      <c r="A2986" s="0" t="e">
        <f aca="false">DGET(Data!$O$1:$R$9,NA(),Data!$AD$1:$AD$2)</f>
        <v>#N/A</v>
      </c>
      <c r="B2986" s="0" t="s">
        <v>3017</v>
      </c>
    </row>
    <row r="2987" customFormat="false" ht="15" hidden="false" customHeight="false" outlineLevel="0" collapsed="false">
      <c r="A2987" s="0" t="e">
        <f aca="false">DGET(Data!$O$1:$R$9,3,Data!$T$2:$T$3)</f>
        <v>#VALUE!</v>
      </c>
      <c r="B2987" s="0" t="s">
        <v>3018</v>
      </c>
    </row>
    <row r="2988" customFormat="false" ht="15" hidden="false" customHeight="false" outlineLevel="0" collapsed="false">
      <c r="A2988" s="0" t="e">
        <f aca="false">DGET(Data!$O$1:$R$9,3,Data!$T$1)</f>
        <v>#VALUE!</v>
      </c>
      <c r="B2988" s="0" t="s">
        <v>3019</v>
      </c>
    </row>
    <row r="2989" customFormat="false" ht="15" hidden="false" customHeight="false" outlineLevel="0" collapsed="false">
      <c r="A2989" s="0" t="e">
        <f aca="false">DGET(Data!$O$2:$R$9,3,Data!$T$1:$T$2)</f>
        <v>#VALUE!</v>
      </c>
      <c r="B2989" s="0" t="s">
        <v>3020</v>
      </c>
    </row>
    <row r="2990" customFormat="false" ht="15" hidden="false" customHeight="false" outlineLevel="0" collapsed="false">
      <c r="A2990" s="0" t="e">
        <f aca="false">DGET(Data!$O$1:$R$9,3,5)</f>
        <v>#VALUE!</v>
      </c>
      <c r="B2990" s="0" t="s">
        <v>3021</v>
      </c>
    </row>
    <row r="2991" customFormat="false" ht="15" hidden="false" customHeight="false" outlineLevel="0" collapsed="false">
      <c r="A2991" s="0" t="e">
        <f aca="false">DGET(5,3,Data!$T$1:$T$2)</f>
        <v>#VALUE!</v>
      </c>
      <c r="B2991" s="0" t="s">
        <v>3022</v>
      </c>
    </row>
    <row r="2992" customFormat="false" ht="15" hidden="false" customHeight="false" outlineLevel="0" collapsed="false">
      <c r="A2992" s="0" t="e">
        <f aca="false">DGET(Data!$O$1:$R$9,3,Data!$T$1:$T$2,1)</f>
        <v>#VALUE!</v>
      </c>
      <c r="B2992" s="0" t="s">
        <v>3023</v>
      </c>
    </row>
    <row r="2993" customFormat="false" ht="15" hidden="false" customHeight="false" outlineLevel="0" collapsed="false">
      <c r="A2993" s="0" t="e">
        <f aca="false">DGET(Data!$O$1:$R$9,3)</f>
        <v>#VALUE!</v>
      </c>
      <c r="B2993" s="0" t="s">
        <v>3024</v>
      </c>
    </row>
    <row r="2994" customFormat="false" ht="15" hidden="false" customHeight="false" outlineLevel="0" collapsed="false">
      <c r="A2994" s="0" t="e">
        <f aca="false">DGET(Data!$O$1:$O$9,1,Data!$T$1:$T$2)</f>
        <v>#VALUE!</v>
      </c>
      <c r="B2994" s="0" t="s">
        <v>3025</v>
      </c>
    </row>
    <row r="2995" customFormat="false" ht="15" hidden="false" customHeight="false" outlineLevel="0" collapsed="false">
      <c r="A2995" s="0" t="e">
        <f aca="false">DGET(Data!$O$1:$R$9,3,Data!$AU$1:$AU$2)</f>
        <v>#VALUE!</v>
      </c>
      <c r="B2995" s="0" t="s">
        <v>3026</v>
      </c>
    </row>
    <row r="2996" customFormat="false" ht="15" hidden="false" customHeight="false" outlineLevel="0" collapsed="false">
      <c r="A2996" s="0" t="e">
        <f aca="false">DGET(Data!$O$1:$R$9,3,Data!$T$1:$U$1)</f>
        <v>#VALUE!</v>
      </c>
      <c r="B2996" s="0" t="s">
        <v>3027</v>
      </c>
    </row>
    <row r="2997" customFormat="false" ht="15" hidden="false" customHeight="false" outlineLevel="0" collapsed="false">
      <c r="A2997" s="0" t="n">
        <f aca="false">DMAX(Data!$O$1:$R$9,"Age",Data!$T$1:$T$2)</f>
        <v>30</v>
      </c>
      <c r="B2997" s="0" t="s">
        <v>3028</v>
      </c>
    </row>
    <row r="2998" customFormat="false" ht="15" hidden="false" customHeight="false" outlineLevel="0" collapsed="false">
      <c r="A2998" s="0" t="n">
        <f aca="false">DMAX(Data!$O$1:$R$9,"Age",Data!$V$1:$W$2)</f>
        <v>52</v>
      </c>
      <c r="B2998" s="0" t="s">
        <v>3029</v>
      </c>
    </row>
    <row r="2999" customFormat="false" ht="15" hidden="false" customHeight="false" outlineLevel="0" collapsed="false">
      <c r="A2999" s="0" t="n">
        <f aca="false">DMAX(Data!$O$1:$R$9,"Age",Data!$Y$1:$Y$3)</f>
        <v>52</v>
      </c>
      <c r="B2999" s="0" t="s">
        <v>3030</v>
      </c>
    </row>
    <row r="3000" customFormat="false" ht="15" hidden="false" customHeight="false" outlineLevel="0" collapsed="false">
      <c r="A3000" s="0" t="n">
        <f aca="false">DMAX(Data!$O$1:$R$9,"Age",Data!$AA$1:$AB$3)</f>
        <v>52</v>
      </c>
      <c r="B3000" s="0" t="s">
        <v>3031</v>
      </c>
    </row>
    <row r="3001" customFormat="false" ht="15" hidden="false" customHeight="false" outlineLevel="0" collapsed="false">
      <c r="A3001" s="0" t="n">
        <f aca="false">DMAX(Data!$O$1:$R$9,"Age",Data!$AD$1:$AD$2)</f>
        <v>52</v>
      </c>
      <c r="B3001" s="0" t="s">
        <v>3032</v>
      </c>
    </row>
    <row r="3002" customFormat="false" ht="15" hidden="false" customHeight="false" outlineLevel="0" collapsed="false">
      <c r="A3002" s="0" t="e">
        <f aca="false">DMAX(Data!$O$1:$R$9,"Age",Data!$AF$1:$AF$2)</f>
        <v>#VALUE!</v>
      </c>
      <c r="B3002" s="0" t="s">
        <v>3033</v>
      </c>
    </row>
    <row r="3003" customFormat="false" ht="15" hidden="false" customHeight="false" outlineLevel="0" collapsed="false">
      <c r="A3003" s="0" t="n">
        <f aca="false">DMAX(Data!$O$1:$R$9,"Age",Data!$AH$1:$AI$2)</f>
        <v>41</v>
      </c>
      <c r="B3003" s="0" t="s">
        <v>3034</v>
      </c>
    </row>
    <row r="3004" customFormat="false" ht="15" hidden="false" customHeight="false" outlineLevel="0" collapsed="false">
      <c r="A3004" s="0" t="n">
        <f aca="false">DMAX(Data!$O$1:$R$9,"Age",Data!$AK$1:$AK$2)</f>
        <v>0</v>
      </c>
      <c r="B3004" s="0" t="s">
        <v>3035</v>
      </c>
    </row>
    <row r="3005" customFormat="false" ht="15" hidden="false" customHeight="false" outlineLevel="0" collapsed="false">
      <c r="A3005" s="0" t="n">
        <f aca="false">DMAX(Data!$O$1:$R$9,"Age",Data!$AM$1:$AM$2)</f>
        <v>25</v>
      </c>
      <c r="B3005" s="0" t="s">
        <v>3036</v>
      </c>
    </row>
    <row r="3006" customFormat="false" ht="15" hidden="false" customHeight="false" outlineLevel="0" collapsed="false">
      <c r="A3006" s="0" t="n">
        <f aca="false">DMAX(Data!$O$1:$R$9,"Age",Data!$AO$1:$AO$2)</f>
        <v>52</v>
      </c>
      <c r="B3006" s="0" t="s">
        <v>3037</v>
      </c>
    </row>
    <row r="3007" customFormat="false" ht="15" hidden="false" customHeight="false" outlineLevel="0" collapsed="false">
      <c r="A3007" s="0" t="n">
        <f aca="false">DMAX(Data!$O$1:$R$9,"Age",Data!$AQ$1:$AQ$2)</f>
        <v>41</v>
      </c>
      <c r="B3007" s="0" t="s">
        <v>3038</v>
      </c>
    </row>
    <row r="3008" customFormat="false" ht="15" hidden="false" customHeight="false" outlineLevel="0" collapsed="false">
      <c r="A3008" s="0" t="n">
        <f aca="false">DMAX(Data!$O$1:$R$9,"Age",Data!$AS$1:$AS$2)</f>
        <v>41</v>
      </c>
      <c r="B3008" s="0" t="s">
        <v>3039</v>
      </c>
    </row>
    <row r="3009" customFormat="false" ht="15" hidden="false" customHeight="false" outlineLevel="0" collapsed="false">
      <c r="A3009" s="0" t="n">
        <f aca="false">DMAX(Data!$O$1:$R$9,"Age",Data!$AU$1:$AU$3)</f>
        <v>52</v>
      </c>
      <c r="B3009" s="0" t="s">
        <v>3040</v>
      </c>
    </row>
    <row r="3010" customFormat="false" ht="15" hidden="false" customHeight="false" outlineLevel="0" collapsed="false">
      <c r="A3010" s="0" t="n">
        <f aca="false">DMAX(Data!$O$1:$R$9,"Age",Data!$AW$1:$AW$2)</f>
        <v>52</v>
      </c>
      <c r="B3010" s="0" t="s">
        <v>3041</v>
      </c>
    </row>
    <row r="3011" customFormat="false" ht="15" hidden="false" customHeight="false" outlineLevel="0" collapsed="false">
      <c r="A3011" s="0" t="n">
        <f aca="false">DMAX(Data!$O$1:$R$9,"Age",Data!$AY$1:$BA$3)</f>
        <v>52</v>
      </c>
      <c r="B3011" s="0" t="s">
        <v>3042</v>
      </c>
    </row>
    <row r="3012" customFormat="false" ht="15" hidden="false" customHeight="false" outlineLevel="0" collapsed="false">
      <c r="A3012" s="0" t="n">
        <f aca="false">DMAX(Data!$O$1:$R$9,"Age",Data!$BC$1:$BC$2)</f>
        <v>0</v>
      </c>
      <c r="B3012" s="0" t="s">
        <v>3043</v>
      </c>
    </row>
    <row r="3013" customFormat="false" ht="15" hidden="false" customHeight="false" outlineLevel="0" collapsed="false">
      <c r="A3013" s="0" t="n">
        <f aca="false">DMAX(Data!$O$1:$R$9,"Age",Data!$BE$1:$BE$2)</f>
        <v>25</v>
      </c>
      <c r="B3013" s="0" t="s">
        <v>3044</v>
      </c>
    </row>
    <row r="3014" customFormat="false" ht="15" hidden="false" customHeight="false" outlineLevel="0" collapsed="false">
      <c r="A3014" s="0" t="n">
        <f aca="false">DMAX(Data!$O$1:$R$9,3,Data!$T$1:$T$2)</f>
        <v>180</v>
      </c>
      <c r="B3014" s="0" t="s">
        <v>3045</v>
      </c>
    </row>
    <row r="3015" customFormat="false" ht="15" hidden="false" customHeight="false" outlineLevel="0" collapsed="false">
      <c r="A3015" s="0" t="n">
        <f aca="false">DMAX(Data!$O$1:$R$9,3,Data!$V$1:$W$2)</f>
        <v>182</v>
      </c>
      <c r="B3015" s="0" t="s">
        <v>3046</v>
      </c>
    </row>
    <row r="3016" customFormat="false" ht="15" hidden="false" customHeight="false" outlineLevel="0" collapsed="false">
      <c r="A3016" s="0" t="n">
        <f aca="false">DMAX(Data!$O$1:$R$9,3,Data!$Y$1:$Y$3)</f>
        <v>182</v>
      </c>
      <c r="B3016" s="0" t="s">
        <v>3047</v>
      </c>
    </row>
    <row r="3017" customFormat="false" ht="15" hidden="false" customHeight="false" outlineLevel="0" collapsed="false">
      <c r="A3017" s="0" t="n">
        <f aca="false">DMAX(Data!$O$1:$R$9,3,Data!$AA$1:$AB$3)</f>
        <v>182</v>
      </c>
      <c r="B3017" s="0" t="s">
        <v>3048</v>
      </c>
    </row>
    <row r="3018" customFormat="false" ht="15" hidden="false" customHeight="false" outlineLevel="0" collapsed="false">
      <c r="A3018" s="0" t="n">
        <f aca="false">DMAX(Data!$O$1:$R$9,3,Data!$AD$1:$AD$2)</f>
        <v>182</v>
      </c>
      <c r="B3018" s="0" t="s">
        <v>3049</v>
      </c>
    </row>
    <row r="3019" customFormat="false" ht="15" hidden="false" customHeight="false" outlineLevel="0" collapsed="false">
      <c r="A3019" s="0" t="e">
        <f aca="false">DMAX(Data!$O$1:$R$9,3,Data!$AF$1:$AF$2)</f>
        <v>#VALUE!</v>
      </c>
      <c r="B3019" s="0" t="s">
        <v>3050</v>
      </c>
    </row>
    <row r="3020" customFormat="false" ht="15" hidden="false" customHeight="false" outlineLevel="0" collapsed="false">
      <c r="A3020" s="0" t="n">
        <f aca="false">DMAX(Data!$O$1:$R$9,3,Data!$AH$1:$AI$2)</f>
        <v>175</v>
      </c>
      <c r="B3020" s="0" t="s">
        <v>3051</v>
      </c>
    </row>
    <row r="3021" customFormat="false" ht="15" hidden="false" customHeight="false" outlineLevel="0" collapsed="false">
      <c r="A3021" s="0" t="n">
        <f aca="false">DMAX(Data!$O$1:$R$9,3,Data!$AK$1:$AK$2)</f>
        <v>0</v>
      </c>
      <c r="B3021" s="0" t="s">
        <v>3052</v>
      </c>
    </row>
    <row r="3022" customFormat="false" ht="15" hidden="false" customHeight="false" outlineLevel="0" collapsed="false">
      <c r="A3022" s="0" t="n">
        <f aca="false">DMAX(Data!$O$1:$R$9,3,Data!$AM$1:$AM$2)</f>
        <v>175</v>
      </c>
      <c r="B3022" s="0" t="s">
        <v>3053</v>
      </c>
    </row>
    <row r="3023" customFormat="false" ht="15" hidden="false" customHeight="false" outlineLevel="0" collapsed="false">
      <c r="A3023" s="0" t="n">
        <f aca="false">DMAX(Data!$O$1:$R$9,3,Data!$AO$1:$AO$2)</f>
        <v>182</v>
      </c>
      <c r="B3023" s="0" t="s">
        <v>3054</v>
      </c>
    </row>
    <row r="3024" customFormat="false" ht="15" hidden="false" customHeight="false" outlineLevel="0" collapsed="false">
      <c r="A3024" s="0" t="n">
        <f aca="false">DMAX(Data!$O$1:$R$9,3,Data!$AQ$1:$AQ$2)</f>
        <v>170</v>
      </c>
      <c r="B3024" s="0" t="s">
        <v>3055</v>
      </c>
    </row>
    <row r="3025" customFormat="false" ht="15" hidden="false" customHeight="false" outlineLevel="0" collapsed="false">
      <c r="A3025" s="0" t="n">
        <f aca="false">DMAX(Data!$O$1:$R$9,3,Data!$AS$1:$AS$2)</f>
        <v>180</v>
      </c>
      <c r="B3025" s="0" t="s">
        <v>3056</v>
      </c>
    </row>
    <row r="3026" customFormat="false" ht="15" hidden="false" customHeight="false" outlineLevel="0" collapsed="false">
      <c r="A3026" s="0" t="n">
        <f aca="false">DMAX(Data!$O$1:$R$9,3,Data!$AU$1:$AU$3)</f>
        <v>182</v>
      </c>
      <c r="B3026" s="0" t="s">
        <v>3057</v>
      </c>
    </row>
    <row r="3027" customFormat="false" ht="15" hidden="false" customHeight="false" outlineLevel="0" collapsed="false">
      <c r="A3027" s="0" t="n">
        <f aca="false">DMAX(Data!$O$1:$R$9,3,Data!$AW$1:$AW$2)</f>
        <v>182</v>
      </c>
      <c r="B3027" s="0" t="s">
        <v>3058</v>
      </c>
    </row>
    <row r="3028" customFormat="false" ht="15" hidden="false" customHeight="false" outlineLevel="0" collapsed="false">
      <c r="A3028" s="0" t="n">
        <f aca="false">DMAX(Data!$O$1:$R$9,3,Data!$AY$1:$BA$3)</f>
        <v>182</v>
      </c>
      <c r="B3028" s="0" t="s">
        <v>3059</v>
      </c>
    </row>
    <row r="3029" customFormat="false" ht="15" hidden="false" customHeight="false" outlineLevel="0" collapsed="false">
      <c r="A3029" s="0" t="n">
        <f aca="false">DMAX(Data!$O$1:$R$9,3,Data!$BC$1:$BC$2)</f>
        <v>170</v>
      </c>
      <c r="B3029" s="0" t="s">
        <v>3060</v>
      </c>
    </row>
    <row r="3030" customFormat="false" ht="15" hidden="false" customHeight="false" outlineLevel="0" collapsed="false">
      <c r="A3030" s="0" t="n">
        <f aca="false">DMAX(Data!$O$1:$R$9,3,Data!$BE$1:$BE$2)</f>
        <v>170</v>
      </c>
      <c r="B3030" s="0" t="s">
        <v>3061</v>
      </c>
    </row>
    <row r="3031" customFormat="false" ht="15" hidden="false" customHeight="false" outlineLevel="0" collapsed="false">
      <c r="A3031" s="0" t="n">
        <f aca="false">DMAX(Data!$O$1:$R$9,"Score",Data!$T$1:$T$2)</f>
        <v>80</v>
      </c>
      <c r="B3031" s="0" t="s">
        <v>3062</v>
      </c>
    </row>
    <row r="3032" customFormat="false" ht="15" hidden="false" customHeight="false" outlineLevel="0" collapsed="false">
      <c r="A3032" s="0" t="n">
        <f aca="false">DMAX(Data!$O$1:$R$9,"Score",Data!$V$1:$W$2)</f>
        <v>77</v>
      </c>
      <c r="B3032" s="0" t="s">
        <v>3063</v>
      </c>
    </row>
    <row r="3033" customFormat="false" ht="15" hidden="false" customHeight="false" outlineLevel="0" collapsed="false">
      <c r="A3033" s="0" t="n">
        <f aca="false">DMAX(Data!$O$1:$R$9,"Score",Data!$Y$1:$Y$3)</f>
        <v>90</v>
      </c>
      <c r="B3033" s="0" t="s">
        <v>3064</v>
      </c>
    </row>
    <row r="3034" customFormat="false" ht="15" hidden="false" customHeight="false" outlineLevel="0" collapsed="false">
      <c r="A3034" s="0" t="n">
        <f aca="false">DMAX(Data!$O$1:$R$9,"Score",Data!$AA$1:$AB$3)</f>
        <v>95</v>
      </c>
      <c r="B3034" s="0" t="s">
        <v>3065</v>
      </c>
    </row>
    <row r="3035" customFormat="false" ht="15" hidden="false" customHeight="false" outlineLevel="0" collapsed="false">
      <c r="A3035" s="0" t="n">
        <f aca="false">DMAX(Data!$O$1:$R$9,"Score",Data!$AD$1:$AD$2)</f>
        <v>95</v>
      </c>
      <c r="B3035" s="0" t="s">
        <v>3066</v>
      </c>
    </row>
    <row r="3036" customFormat="false" ht="15" hidden="false" customHeight="false" outlineLevel="0" collapsed="false">
      <c r="A3036" s="0" t="e">
        <f aca="false">DMAX(Data!$O$1:$R$9,"Score",Data!$AF$1:$AF$2)</f>
        <v>#VALUE!</v>
      </c>
      <c r="B3036" s="0" t="s">
        <v>3067</v>
      </c>
    </row>
    <row r="3037" customFormat="false" ht="15" hidden="false" customHeight="false" outlineLevel="0" collapsed="false">
      <c r="A3037" s="0" t="n">
        <f aca="false">DMAX(Data!$O$1:$R$9,"Score",Data!$AH$1:$AI$2)</f>
        <v>90</v>
      </c>
      <c r="B3037" s="0" t="s">
        <v>3068</v>
      </c>
    </row>
    <row r="3038" customFormat="false" ht="15" hidden="false" customHeight="false" outlineLevel="0" collapsed="false">
      <c r="A3038" s="0" t="n">
        <f aca="false">DMAX(Data!$O$1:$R$9,"Score",Data!$AK$1:$AK$2)</f>
        <v>0</v>
      </c>
      <c r="B3038" s="0" t="s">
        <v>3069</v>
      </c>
    </row>
    <row r="3039" customFormat="false" ht="15" hidden="false" customHeight="false" outlineLevel="0" collapsed="false">
      <c r="A3039" s="0" t="n">
        <f aca="false">DMAX(Data!$O$1:$R$9,"Score",Data!$AM$1:$AM$2)</f>
        <v>90</v>
      </c>
      <c r="B3039" s="0" t="s">
        <v>3070</v>
      </c>
    </row>
    <row r="3040" customFormat="false" ht="15" hidden="false" customHeight="false" outlineLevel="0" collapsed="false">
      <c r="A3040" s="0" t="n">
        <f aca="false">DMAX(Data!$O$1:$R$9,"Score",Data!$AO$1:$AO$2)</f>
        <v>90</v>
      </c>
      <c r="B3040" s="0" t="s">
        <v>3071</v>
      </c>
    </row>
    <row r="3041" customFormat="false" ht="15" hidden="false" customHeight="false" outlineLevel="0" collapsed="false">
      <c r="A3041" s="0" t="n">
        <f aca="false">DMAX(Data!$O$1:$R$9,"Score",Data!$AQ$1:$AQ$2)</f>
        <v>85</v>
      </c>
      <c r="B3041" s="0" t="s">
        <v>3072</v>
      </c>
    </row>
    <row r="3042" customFormat="false" ht="15" hidden="false" customHeight="false" outlineLevel="0" collapsed="false">
      <c r="A3042" s="0" t="n">
        <f aca="false">DMAX(Data!$O$1:$R$9,"Score",Data!$AS$1:$AS$2)</f>
        <v>95</v>
      </c>
      <c r="B3042" s="0" t="s">
        <v>3073</v>
      </c>
    </row>
    <row r="3043" customFormat="false" ht="15" hidden="false" customHeight="false" outlineLevel="0" collapsed="false">
      <c r="A3043" s="0" t="n">
        <f aca="false">DMAX(Data!$O$1:$R$9,"Score",Data!$AU$1:$AU$3)</f>
        <v>95</v>
      </c>
      <c r="B3043" s="0" t="s">
        <v>3074</v>
      </c>
    </row>
    <row r="3044" customFormat="false" ht="15" hidden="false" customHeight="false" outlineLevel="0" collapsed="false">
      <c r="A3044" s="0" t="n">
        <f aca="false">DMAX(Data!$O$1:$R$9,"Score",Data!$AW$1:$AW$2)</f>
        <v>95</v>
      </c>
      <c r="B3044" s="0" t="s">
        <v>3075</v>
      </c>
    </row>
    <row r="3045" customFormat="false" ht="15" hidden="false" customHeight="false" outlineLevel="0" collapsed="false">
      <c r="A3045" s="0" t="n">
        <f aca="false">DMAX(Data!$O$1:$R$9,"Score",Data!$AY$1:$BA$3)</f>
        <v>95</v>
      </c>
      <c r="B3045" s="0" t="s">
        <v>3076</v>
      </c>
    </row>
    <row r="3046" customFormat="false" ht="15" hidden="false" customHeight="false" outlineLevel="0" collapsed="false">
      <c r="A3046" s="0" t="n">
        <f aca="false">DMAX(Data!$O$1:$R$9,"Score",Data!$BC$1:$BC$2)</f>
        <v>0</v>
      </c>
      <c r="B3046" s="0" t="s">
        <v>3077</v>
      </c>
    </row>
    <row r="3047" customFormat="false" ht="15" hidden="false" customHeight="false" outlineLevel="0" collapsed="false">
      <c r="A3047" s="0" t="n">
        <f aca="false">DMAX(Data!$O$1:$R$9,"Score",Data!$BE$1:$BE$2)</f>
        <v>60</v>
      </c>
      <c r="B3047" s="0" t="s">
        <v>3078</v>
      </c>
    </row>
    <row r="3048" customFormat="false" ht="15" hidden="false" customHeight="false" outlineLevel="0" collapsed="false">
      <c r="A3048" s="0" t="n">
        <f aca="false">DMAX(Data!$O$1:$R$9,"age",Data!$T$1:$T$2)</f>
        <v>30</v>
      </c>
      <c r="B3048" s="0" t="s">
        <v>3079</v>
      </c>
    </row>
    <row r="3049" customFormat="false" ht="15" hidden="false" customHeight="false" outlineLevel="0" collapsed="false">
      <c r="A3049" s="0" t="n">
        <f aca="false">DMAX(Data!$O$1:$R$9,"age",Data!$AD$1:$AD$2)</f>
        <v>52</v>
      </c>
      <c r="B3049" s="0" t="s">
        <v>3080</v>
      </c>
    </row>
    <row r="3050" customFormat="false" ht="15" hidden="false" customHeight="false" outlineLevel="0" collapsed="false">
      <c r="A3050" s="0" t="e">
        <f aca="false">DMAX(Data!$O$1:$R$9,0,Data!$T$1:$T$2)</f>
        <v>#VALUE!</v>
      </c>
      <c r="B3050" s="0" t="s">
        <v>3081</v>
      </c>
    </row>
    <row r="3051" customFormat="false" ht="15" hidden="false" customHeight="false" outlineLevel="0" collapsed="false">
      <c r="A3051" s="0" t="e">
        <f aca="false">DMAX(Data!$O$1:$R$9,0,Data!$AD$1:$AD$2)</f>
        <v>#VALUE!</v>
      </c>
      <c r="B3051" s="0" t="s">
        <v>3082</v>
      </c>
    </row>
    <row r="3052" customFormat="false" ht="15" hidden="false" customHeight="false" outlineLevel="0" collapsed="false">
      <c r="A3052" s="0" t="e">
        <f aca="false">DMAX(Data!$O$1:$R$9,5,Data!$T$1:$T$2)</f>
        <v>#VALUE!</v>
      </c>
      <c r="B3052" s="0" t="s">
        <v>3083</v>
      </c>
    </row>
    <row r="3053" customFormat="false" ht="15" hidden="false" customHeight="false" outlineLevel="0" collapsed="false">
      <c r="A3053" s="0" t="e">
        <f aca="false">DMAX(Data!$O$1:$R$9,5,Data!$AD$1:$AD$2)</f>
        <v>#VALUE!</v>
      </c>
      <c r="B3053" s="0" t="s">
        <v>3084</v>
      </c>
    </row>
    <row r="3054" customFormat="false" ht="15" hidden="false" customHeight="false" outlineLevel="0" collapsed="false">
      <c r="A3054" s="0" t="e">
        <f aca="false">DMAX(Data!$O$1:$R$9,"Nope",Data!$T$1:$T$2)</f>
        <v>#VALUE!</v>
      </c>
      <c r="B3054" s="0" t="s">
        <v>3085</v>
      </c>
    </row>
    <row r="3055" customFormat="false" ht="15" hidden="false" customHeight="false" outlineLevel="0" collapsed="false">
      <c r="A3055" s="0" t="e">
        <f aca="false">DMAX(Data!$O$1:$R$9,"Nope",Data!$AD$1:$AD$2)</f>
        <v>#VALUE!</v>
      </c>
      <c r="B3055" s="0" t="s">
        <v>3086</v>
      </c>
    </row>
    <row r="3056" customFormat="false" ht="15" hidden="false" customHeight="false" outlineLevel="0" collapsed="false">
      <c r="A3056" s="0" t="e">
        <f aca="false">DMAX(Data!$O$1:$R$9,-1,Data!$T$1:$T$2)</f>
        <v>#VALUE!</v>
      </c>
      <c r="B3056" s="0" t="s">
        <v>3087</v>
      </c>
    </row>
    <row r="3057" customFormat="false" ht="15" hidden="false" customHeight="false" outlineLevel="0" collapsed="false">
      <c r="A3057" s="0" t="e">
        <f aca="false">DMAX(Data!$O$1:$R$9,-1,Data!$AD$1:$AD$2)</f>
        <v>#VALUE!</v>
      </c>
      <c r="B3057" s="0" t="s">
        <v>3088</v>
      </c>
    </row>
    <row r="3058" customFormat="false" ht="15" hidden="false" customHeight="false" outlineLevel="0" collapsed="false">
      <c r="A3058" s="0" t="n">
        <f aca="false">DMAX(Data!$O$1:$R$9,2.9,Data!$T$1:$T$2)</f>
        <v>30</v>
      </c>
      <c r="B3058" s="0" t="s">
        <v>3089</v>
      </c>
    </row>
    <row r="3059" customFormat="false" ht="15" hidden="false" customHeight="false" outlineLevel="0" collapsed="false">
      <c r="A3059" s="0" t="n">
        <f aca="false">DMAX(Data!$O$1:$R$9,2.9,Data!$AD$1:$AD$2)</f>
        <v>52</v>
      </c>
      <c r="B3059" s="0" t="s">
        <v>3090</v>
      </c>
    </row>
    <row r="3060" customFormat="false" ht="15" hidden="false" customHeight="false" outlineLevel="0" collapsed="false">
      <c r="A3060" s="0" t="e">
        <f aca="false">DMAX(Data!$O$1:$R$9,"2",Data!$T$1:$T$2)</f>
        <v>#VALUE!</v>
      </c>
      <c r="B3060" s="0" t="s">
        <v>3091</v>
      </c>
    </row>
    <row r="3061" customFormat="false" ht="15" hidden="false" customHeight="false" outlineLevel="0" collapsed="false">
      <c r="A3061" s="0" t="e">
        <f aca="false">DMAX(Data!$O$1:$R$9,"2",Data!$AD$1:$AD$2)</f>
        <v>#VALUE!</v>
      </c>
      <c r="B3061" s="0" t="s">
        <v>3092</v>
      </c>
    </row>
    <row r="3062" customFormat="false" ht="15" hidden="false" customHeight="false" outlineLevel="0" collapsed="false">
      <c r="A3062" s="0" t="n">
        <f aca="false">DMAX(Data!$O$1:$R$9,TRUE(),Data!$T$1:$T$2)</f>
        <v>0</v>
      </c>
      <c r="B3062" s="0" t="s">
        <v>3093</v>
      </c>
    </row>
    <row r="3063" customFormat="false" ht="15" hidden="false" customHeight="false" outlineLevel="0" collapsed="false">
      <c r="A3063" s="0" t="n">
        <f aca="false">DMAX(Data!$O$1:$R$9,TRUE(),Data!$AD$1:$AD$2)</f>
        <v>0</v>
      </c>
      <c r="B3063" s="0" t="s">
        <v>3094</v>
      </c>
    </row>
    <row r="3064" customFormat="false" ht="15" hidden="false" customHeight="false" outlineLevel="0" collapsed="false">
      <c r="A3064" s="0" t="n">
        <f aca="false">DMAX(Data!$O$1:$R$9,Data!$P$1,Data!$T$1:$T$2)</f>
        <v>30</v>
      </c>
      <c r="B3064" s="0" t="s">
        <v>3095</v>
      </c>
    </row>
    <row r="3065" customFormat="false" ht="15" hidden="false" customHeight="false" outlineLevel="0" collapsed="false">
      <c r="A3065" s="0" t="n">
        <f aca="false">DMAX(Data!$O$1:$R$9,Data!$P$1,Data!$AD$1:$AD$2)</f>
        <v>52</v>
      </c>
      <c r="B3065" s="0" t="s">
        <v>3096</v>
      </c>
    </row>
    <row r="3066" customFormat="false" ht="15" hidden="false" customHeight="false" outlineLevel="0" collapsed="false">
      <c r="A3066" s="0" t="n">
        <f aca="false">DMAX(Data!$O$1:$R$9,"Name",Data!$T$1:$T$2)</f>
        <v>0</v>
      </c>
      <c r="B3066" s="0" t="s">
        <v>3097</v>
      </c>
    </row>
    <row r="3067" customFormat="false" ht="15" hidden="false" customHeight="false" outlineLevel="0" collapsed="false">
      <c r="A3067" s="0" t="n">
        <f aca="false">DMAX(Data!$O$1:$R$9,"Name",Data!$AD$1:$AD$2)</f>
        <v>0</v>
      </c>
      <c r="B3067" s="0" t="s">
        <v>3098</v>
      </c>
    </row>
    <row r="3068" customFormat="false" ht="15" hidden="false" customHeight="false" outlineLevel="0" collapsed="false">
      <c r="A3068" s="0" t="e">
        <f aca="false">DMAX(Data!$O$1:$R$9,Data!$O$2,Data!$T$1:$T$2)</f>
        <v>#VALUE!</v>
      </c>
      <c r="B3068" s="0" t="s">
        <v>3099</v>
      </c>
    </row>
    <row r="3069" customFormat="false" ht="15" hidden="false" customHeight="false" outlineLevel="0" collapsed="false">
      <c r="A3069" s="0" t="e">
        <f aca="false">DMAX(Data!$O$1:$R$9,Data!$O$2,Data!$AD$1:$AD$2)</f>
        <v>#VALUE!</v>
      </c>
      <c r="B3069" s="0" t="s">
        <v>3100</v>
      </c>
    </row>
    <row r="3070" customFormat="false" ht="15" hidden="false" customHeight="false" outlineLevel="0" collapsed="false">
      <c r="A3070" s="0" t="e">
        <f aca="false">DMAX(Data!$O$1:$R$9,"",Data!$T$1:$T$2)</f>
        <v>#VALUE!</v>
      </c>
      <c r="B3070" s="0" t="s">
        <v>3101</v>
      </c>
    </row>
    <row r="3071" customFormat="false" ht="15" hidden="false" customHeight="false" outlineLevel="0" collapsed="false">
      <c r="A3071" s="0" t="e">
        <f aca="false">DMAX(Data!$O$1:$R$9,"",Data!$AD$1:$AD$2)</f>
        <v>#VALUE!</v>
      </c>
      <c r="B3071" s="0" t="s">
        <v>3102</v>
      </c>
    </row>
    <row r="3072" customFormat="false" ht="15" hidden="false" customHeight="false" outlineLevel="0" collapsed="false">
      <c r="A3072" s="0" t="e">
        <f aca="false">DMAX(Data!$O$1:$R$9,NA(),Data!$T$1:$T$2)</f>
        <v>#N/A</v>
      </c>
      <c r="B3072" s="0" t="s">
        <v>3103</v>
      </c>
    </row>
    <row r="3073" customFormat="false" ht="15" hidden="false" customHeight="false" outlineLevel="0" collapsed="false">
      <c r="A3073" s="0" t="e">
        <f aca="false">DMAX(Data!$O$1:$R$9,NA(),Data!$AD$1:$AD$2)</f>
        <v>#N/A</v>
      </c>
      <c r="B3073" s="0" t="s">
        <v>3104</v>
      </c>
    </row>
    <row r="3074" customFormat="false" ht="15" hidden="false" customHeight="false" outlineLevel="0" collapsed="false">
      <c r="A3074" s="0" t="e">
        <f aca="false">DMAX(Data!$O$1:$R$9,3,Data!$T$2:$T$3)</f>
        <v>#VALUE!</v>
      </c>
      <c r="B3074" s="0" t="s">
        <v>3105</v>
      </c>
    </row>
    <row r="3075" customFormat="false" ht="15" hidden="false" customHeight="false" outlineLevel="0" collapsed="false">
      <c r="A3075" s="0" t="e">
        <f aca="false">DMAX(Data!$O$1:$R$9,3,Data!$T$1)</f>
        <v>#VALUE!</v>
      </c>
      <c r="B3075" s="0" t="s">
        <v>3106</v>
      </c>
    </row>
    <row r="3076" customFormat="false" ht="15" hidden="false" customHeight="false" outlineLevel="0" collapsed="false">
      <c r="A3076" s="0" t="e">
        <f aca="false">DMAX(Data!$O$2:$R$9,3,Data!$T$1:$T$2)</f>
        <v>#VALUE!</v>
      </c>
      <c r="B3076" s="0" t="s">
        <v>3107</v>
      </c>
    </row>
    <row r="3077" customFormat="false" ht="15" hidden="false" customHeight="false" outlineLevel="0" collapsed="false">
      <c r="A3077" s="0" t="e">
        <f aca="false">DMAX(Data!$O$1:$R$9,3,5)</f>
        <v>#VALUE!</v>
      </c>
      <c r="B3077" s="0" t="s">
        <v>3108</v>
      </c>
    </row>
    <row r="3078" customFormat="false" ht="15" hidden="false" customHeight="false" outlineLevel="0" collapsed="false">
      <c r="A3078" s="0" t="e">
        <f aca="false">DMAX(5,3,Data!$T$1:$T$2)</f>
        <v>#VALUE!</v>
      </c>
      <c r="B3078" s="0" t="s">
        <v>3109</v>
      </c>
    </row>
    <row r="3079" customFormat="false" ht="15" hidden="false" customHeight="false" outlineLevel="0" collapsed="false">
      <c r="A3079" s="0" t="e">
        <f aca="false">DMAX(Data!$O$1:$R$9,3,Data!$T$1:$T$2,1)</f>
        <v>#VALUE!</v>
      </c>
      <c r="B3079" s="0" t="s">
        <v>3110</v>
      </c>
    </row>
    <row r="3080" customFormat="false" ht="15" hidden="false" customHeight="false" outlineLevel="0" collapsed="false">
      <c r="A3080" s="0" t="e">
        <f aca="false">DMAX(Data!$O$1:$R$9,3)</f>
        <v>#VALUE!</v>
      </c>
      <c r="B3080" s="0" t="s">
        <v>3111</v>
      </c>
    </row>
    <row r="3081" customFormat="false" ht="15" hidden="false" customHeight="false" outlineLevel="0" collapsed="false">
      <c r="A3081" s="0" t="e">
        <f aca="false">DMAX(Data!$O$1:$O$9,1,Data!$T$1:$T$2)</f>
        <v>#VALUE!</v>
      </c>
      <c r="B3081" s="0" t="s">
        <v>3112</v>
      </c>
    </row>
    <row r="3082" customFormat="false" ht="15" hidden="false" customHeight="false" outlineLevel="0" collapsed="false">
      <c r="A3082" s="0" t="n">
        <f aca="false">DMAX(Data!$O$1:$R$9,3,Data!$AU$1:$AU$2)</f>
        <v>182</v>
      </c>
      <c r="B3082" s="0" t="s">
        <v>3113</v>
      </c>
    </row>
    <row r="3083" customFormat="false" ht="15" hidden="false" customHeight="false" outlineLevel="0" collapsed="false">
      <c r="A3083" s="0" t="e">
        <f aca="false">DMAX(Data!$O$1:$R$9,3,Data!$T$1:$U$1)</f>
        <v>#VALUE!</v>
      </c>
      <c r="B3083" s="0" t="s">
        <v>3114</v>
      </c>
    </row>
    <row r="3084" customFormat="false" ht="15" hidden="false" customHeight="false" outlineLevel="0" collapsed="false">
      <c r="A3084" s="0" t="n">
        <f aca="false">DMIN(Data!$O$1:$R$9,"Age",Data!$T$1:$T$2)</f>
        <v>30</v>
      </c>
      <c r="B3084" s="0" t="s">
        <v>3115</v>
      </c>
    </row>
    <row r="3085" customFormat="false" ht="15" hidden="false" customHeight="false" outlineLevel="0" collapsed="false">
      <c r="A3085" s="0" t="n">
        <f aca="false">DMIN(Data!$O$1:$R$9,"Age",Data!$V$1:$W$2)</f>
        <v>52</v>
      </c>
      <c r="B3085" s="0" t="s">
        <v>3116</v>
      </c>
    </row>
    <row r="3086" customFormat="false" ht="15" hidden="false" customHeight="false" outlineLevel="0" collapsed="false">
      <c r="A3086" s="0" t="n">
        <f aca="false">DMIN(Data!$O$1:$R$9,"Age",Data!$Y$1:$Y$3)</f>
        <v>25</v>
      </c>
      <c r="B3086" s="0" t="s">
        <v>3117</v>
      </c>
    </row>
    <row r="3087" customFormat="false" ht="15" hidden="false" customHeight="false" outlineLevel="0" collapsed="false">
      <c r="A3087" s="0" t="n">
        <f aca="false">DMIN(Data!$O$1:$R$9,"Age",Data!$AA$1:$AB$3)</f>
        <v>25</v>
      </c>
      <c r="B3087" s="0" t="s">
        <v>3118</v>
      </c>
    </row>
    <row r="3088" customFormat="false" ht="15" hidden="false" customHeight="false" outlineLevel="0" collapsed="false">
      <c r="A3088" s="0" t="n">
        <f aca="false">DMIN(Data!$O$1:$R$9,"Age",Data!$AD$1:$AD$2)</f>
        <v>25</v>
      </c>
      <c r="B3088" s="0" t="s">
        <v>3119</v>
      </c>
    </row>
    <row r="3089" customFormat="false" ht="15" hidden="false" customHeight="false" outlineLevel="0" collapsed="false">
      <c r="A3089" s="0" t="e">
        <f aca="false">DMIN(Data!$O$1:$R$9,"Age",Data!$AF$1:$AF$2)</f>
        <v>#VALUE!</v>
      </c>
      <c r="B3089" s="0" t="s">
        <v>3120</v>
      </c>
    </row>
    <row r="3090" customFormat="false" ht="15" hidden="false" customHeight="false" outlineLevel="0" collapsed="false">
      <c r="A3090" s="0" t="n">
        <f aca="false">DMIN(Data!$O$1:$R$9,"Age",Data!$AH$1:$AI$2)</f>
        <v>25</v>
      </c>
      <c r="B3090" s="0" t="s">
        <v>3121</v>
      </c>
    </row>
    <row r="3091" customFormat="false" ht="15" hidden="false" customHeight="false" outlineLevel="0" collapsed="false">
      <c r="A3091" s="0" t="n">
        <f aca="false">DMIN(Data!$O$1:$R$9,"Age",Data!$AK$1:$AK$2)</f>
        <v>0</v>
      </c>
      <c r="B3091" s="0" t="s">
        <v>3122</v>
      </c>
    </row>
    <row r="3092" customFormat="false" ht="15" hidden="false" customHeight="false" outlineLevel="0" collapsed="false">
      <c r="A3092" s="0" t="n">
        <f aca="false">DMIN(Data!$O$1:$R$9,"Age",Data!$AM$1:$AM$2)</f>
        <v>25</v>
      </c>
      <c r="B3092" s="0" t="s">
        <v>3123</v>
      </c>
    </row>
    <row r="3093" customFormat="false" ht="15" hidden="false" customHeight="false" outlineLevel="0" collapsed="false">
      <c r="A3093" s="0" t="n">
        <f aca="false">DMIN(Data!$O$1:$R$9,"Age",Data!$AO$1:$AO$2)</f>
        <v>25</v>
      </c>
      <c r="B3093" s="0" t="s">
        <v>3124</v>
      </c>
    </row>
    <row r="3094" customFormat="false" ht="15" hidden="false" customHeight="false" outlineLevel="0" collapsed="false">
      <c r="A3094" s="0" t="n">
        <f aca="false">DMIN(Data!$O$1:$R$9,"Age",Data!$AQ$1:$AQ$2)</f>
        <v>25</v>
      </c>
      <c r="B3094" s="0" t="s">
        <v>3125</v>
      </c>
    </row>
    <row r="3095" customFormat="false" ht="15" hidden="false" customHeight="false" outlineLevel="0" collapsed="false">
      <c r="A3095" s="0" t="n">
        <f aca="false">DMIN(Data!$O$1:$R$9,"Age",Data!$AS$1:$AS$2)</f>
        <v>25</v>
      </c>
      <c r="B3095" s="0" t="s">
        <v>3126</v>
      </c>
    </row>
    <row r="3096" customFormat="false" ht="15" hidden="false" customHeight="false" outlineLevel="0" collapsed="false">
      <c r="A3096" s="0" t="n">
        <f aca="false">DMIN(Data!$O$1:$R$9,"Age",Data!$AU$1:$AU$3)</f>
        <v>25</v>
      </c>
      <c r="B3096" s="0" t="s">
        <v>3127</v>
      </c>
    </row>
    <row r="3097" customFormat="false" ht="15" hidden="false" customHeight="false" outlineLevel="0" collapsed="false">
      <c r="A3097" s="0" t="n">
        <f aca="false">DMIN(Data!$O$1:$R$9,"Age",Data!$AW$1:$AW$2)</f>
        <v>25</v>
      </c>
      <c r="B3097" s="0" t="s">
        <v>3128</v>
      </c>
    </row>
    <row r="3098" customFormat="false" ht="15" hidden="false" customHeight="false" outlineLevel="0" collapsed="false">
      <c r="A3098" s="0" t="n">
        <f aca="false">DMIN(Data!$O$1:$R$9,"Age",Data!$AY$1:$BA$3)</f>
        <v>30</v>
      </c>
      <c r="B3098" s="0" t="s">
        <v>3129</v>
      </c>
    </row>
    <row r="3099" customFormat="false" ht="15" hidden="false" customHeight="false" outlineLevel="0" collapsed="false">
      <c r="A3099" s="0" t="n">
        <f aca="false">DMIN(Data!$O$1:$R$9,"Age",Data!$BC$1:$BC$2)</f>
        <v>0</v>
      </c>
      <c r="B3099" s="0" t="s">
        <v>3130</v>
      </c>
    </row>
    <row r="3100" customFormat="false" ht="15" hidden="false" customHeight="false" outlineLevel="0" collapsed="false">
      <c r="A3100" s="0" t="n">
        <f aca="false">DMIN(Data!$O$1:$R$9,"Age",Data!$BE$1:$BE$2)</f>
        <v>25</v>
      </c>
      <c r="B3100" s="0" t="s">
        <v>3131</v>
      </c>
    </row>
    <row r="3101" customFormat="false" ht="15" hidden="false" customHeight="false" outlineLevel="0" collapsed="false">
      <c r="A3101" s="0" t="n">
        <f aca="false">DMIN(Data!$O$1:$R$9,3,Data!$T$1:$T$2)</f>
        <v>160</v>
      </c>
      <c r="B3101" s="0" t="s">
        <v>3132</v>
      </c>
    </row>
    <row r="3102" customFormat="false" ht="15" hidden="false" customHeight="false" outlineLevel="0" collapsed="false">
      <c r="A3102" s="0" t="n">
        <f aca="false">DMIN(Data!$O$1:$R$9,3,Data!$V$1:$W$2)</f>
        <v>182</v>
      </c>
      <c r="B3102" s="0" t="s">
        <v>3133</v>
      </c>
    </row>
    <row r="3103" customFormat="false" ht="15" hidden="false" customHeight="false" outlineLevel="0" collapsed="false">
      <c r="A3103" s="0" t="n">
        <f aca="false">DMIN(Data!$O$1:$R$9,3,Data!$Y$1:$Y$3)</f>
        <v>160</v>
      </c>
      <c r="B3103" s="0" t="s">
        <v>3134</v>
      </c>
    </row>
    <row r="3104" customFormat="false" ht="15" hidden="false" customHeight="false" outlineLevel="0" collapsed="false">
      <c r="A3104" s="0" t="n">
        <f aca="false">DMIN(Data!$O$1:$R$9,3,Data!$AA$1:$AB$3)</f>
        <v>158</v>
      </c>
      <c r="B3104" s="0" t="s">
        <v>3135</v>
      </c>
    </row>
    <row r="3105" customFormat="false" ht="15" hidden="false" customHeight="false" outlineLevel="0" collapsed="false">
      <c r="A3105" s="0" t="n">
        <f aca="false">DMIN(Data!$O$1:$R$9,3,Data!$AD$1:$AD$2)</f>
        <v>158</v>
      </c>
      <c r="B3105" s="0" t="s">
        <v>3136</v>
      </c>
    </row>
    <row r="3106" customFormat="false" ht="15" hidden="false" customHeight="false" outlineLevel="0" collapsed="false">
      <c r="A3106" s="0" t="e">
        <f aca="false">DMIN(Data!$O$1:$R$9,3,Data!$AF$1:$AF$2)</f>
        <v>#VALUE!</v>
      </c>
      <c r="B3106" s="0" t="s">
        <v>3137</v>
      </c>
    </row>
    <row r="3107" customFormat="false" ht="15" hidden="false" customHeight="false" outlineLevel="0" collapsed="false">
      <c r="A3107" s="0" t="n">
        <f aca="false">DMIN(Data!$O$1:$R$9,3,Data!$AH$1:$AI$2)</f>
        <v>160</v>
      </c>
      <c r="B3107" s="0" t="s">
        <v>3138</v>
      </c>
    </row>
    <row r="3108" customFormat="false" ht="15" hidden="false" customHeight="false" outlineLevel="0" collapsed="false">
      <c r="A3108" s="0" t="n">
        <f aca="false">DMIN(Data!$O$1:$R$9,3,Data!$AK$1:$AK$2)</f>
        <v>0</v>
      </c>
      <c r="B3108" s="0" t="s">
        <v>3139</v>
      </c>
    </row>
    <row r="3109" customFormat="false" ht="15" hidden="false" customHeight="false" outlineLevel="0" collapsed="false">
      <c r="A3109" s="0" t="n">
        <f aca="false">DMIN(Data!$O$1:$R$9,3,Data!$AM$1:$AM$2)</f>
        <v>170</v>
      </c>
      <c r="B3109" s="0" t="s">
        <v>3140</v>
      </c>
    </row>
    <row r="3110" customFormat="false" ht="15" hidden="false" customHeight="false" outlineLevel="0" collapsed="false">
      <c r="A3110" s="0" t="n">
        <f aca="false">DMIN(Data!$O$1:$R$9,3,Data!$AO$1:$AO$2)</f>
        <v>175</v>
      </c>
      <c r="B3110" s="0" t="s">
        <v>3141</v>
      </c>
    </row>
    <row r="3111" customFormat="false" ht="15" hidden="false" customHeight="false" outlineLevel="0" collapsed="false">
      <c r="A3111" s="0" t="n">
        <f aca="false">DMIN(Data!$O$1:$R$9,3,Data!$AQ$1:$AQ$2)</f>
        <v>165</v>
      </c>
      <c r="B3111" s="0" t="s">
        <v>3142</v>
      </c>
    </row>
    <row r="3112" customFormat="false" ht="15" hidden="false" customHeight="false" outlineLevel="0" collapsed="false">
      <c r="A3112" s="0" t="n">
        <f aca="false">DMIN(Data!$O$1:$R$9,3,Data!$AS$1:$AS$2)</f>
        <v>158</v>
      </c>
      <c r="B3112" s="0" t="s">
        <v>3143</v>
      </c>
    </row>
    <row r="3113" customFormat="false" ht="15" hidden="false" customHeight="false" outlineLevel="0" collapsed="false">
      <c r="A3113" s="0" t="n">
        <f aca="false">DMIN(Data!$O$1:$R$9,3,Data!$AU$1:$AU$3)</f>
        <v>158</v>
      </c>
      <c r="B3113" s="0" t="s">
        <v>3144</v>
      </c>
    </row>
    <row r="3114" customFormat="false" ht="15" hidden="false" customHeight="false" outlineLevel="0" collapsed="false">
      <c r="A3114" s="0" t="n">
        <f aca="false">DMIN(Data!$O$1:$R$9,3,Data!$AW$1:$AW$2)</f>
        <v>158</v>
      </c>
      <c r="B3114" s="0" t="s">
        <v>3145</v>
      </c>
    </row>
    <row r="3115" customFormat="false" ht="15" hidden="false" customHeight="false" outlineLevel="0" collapsed="false">
      <c r="A3115" s="0" t="n">
        <f aca="false">DMIN(Data!$O$1:$R$9,3,Data!$AY$1:$BA$3)</f>
        <v>158</v>
      </c>
      <c r="B3115" s="0" t="s">
        <v>3146</v>
      </c>
    </row>
    <row r="3116" customFormat="false" ht="15" hidden="false" customHeight="false" outlineLevel="0" collapsed="false">
      <c r="A3116" s="0" t="n">
        <f aca="false">DMIN(Data!$O$1:$R$9,3,Data!$BC$1:$BC$2)</f>
        <v>170</v>
      </c>
      <c r="B3116" s="0" t="s">
        <v>3147</v>
      </c>
    </row>
    <row r="3117" customFormat="false" ht="15" hidden="false" customHeight="false" outlineLevel="0" collapsed="false">
      <c r="A3117" s="0" t="n">
        <f aca="false">DMIN(Data!$O$1:$R$9,3,Data!$BE$1:$BE$2)</f>
        <v>170</v>
      </c>
      <c r="B3117" s="0" t="s">
        <v>3148</v>
      </c>
    </row>
    <row r="3118" customFormat="false" ht="15" hidden="false" customHeight="false" outlineLevel="0" collapsed="false">
      <c r="A3118" s="0" t="n">
        <f aca="false">DMIN(Data!$O$1:$R$9,"Score",Data!$T$1:$T$2)</f>
        <v>70</v>
      </c>
      <c r="B3118" s="0" t="s">
        <v>3149</v>
      </c>
    </row>
    <row r="3119" customFormat="false" ht="15" hidden="false" customHeight="false" outlineLevel="0" collapsed="false">
      <c r="A3119" s="0" t="n">
        <f aca="false">DMIN(Data!$O$1:$R$9,"Score",Data!$V$1:$W$2)</f>
        <v>77</v>
      </c>
      <c r="B3119" s="0" t="s">
        <v>3150</v>
      </c>
    </row>
    <row r="3120" customFormat="false" ht="15" hidden="false" customHeight="false" outlineLevel="0" collapsed="false">
      <c r="A3120" s="0" t="n">
        <f aca="false">DMIN(Data!$O$1:$R$9,"Score",Data!$Y$1:$Y$3)</f>
        <v>77</v>
      </c>
      <c r="B3120" s="0" t="s">
        <v>3151</v>
      </c>
    </row>
    <row r="3121" customFormat="false" ht="15" hidden="false" customHeight="false" outlineLevel="0" collapsed="false">
      <c r="A3121" s="0" t="n">
        <f aca="false">DMIN(Data!$O$1:$R$9,"Score",Data!$AA$1:$AB$3)</f>
        <v>60</v>
      </c>
      <c r="B3121" s="0" t="s">
        <v>3152</v>
      </c>
    </row>
    <row r="3122" customFormat="false" ht="15" hidden="false" customHeight="false" outlineLevel="0" collapsed="false">
      <c r="A3122" s="0" t="n">
        <f aca="false">DMIN(Data!$O$1:$R$9,"Score",Data!$AD$1:$AD$2)</f>
        <v>60</v>
      </c>
      <c r="B3122" s="0" t="s">
        <v>3153</v>
      </c>
    </row>
    <row r="3123" customFormat="false" ht="15" hidden="false" customHeight="false" outlineLevel="0" collapsed="false">
      <c r="A3123" s="0" t="e">
        <f aca="false">DMIN(Data!$O$1:$R$9,"Score",Data!$AF$1:$AF$2)</f>
        <v>#VALUE!</v>
      </c>
      <c r="B3123" s="0" t="s">
        <v>3154</v>
      </c>
    </row>
    <row r="3124" customFormat="false" ht="15" hidden="false" customHeight="false" outlineLevel="0" collapsed="false">
      <c r="A3124" s="0" t="n">
        <f aca="false">DMIN(Data!$O$1:$R$9,"Score",Data!$AH$1:$AI$2)</f>
        <v>80</v>
      </c>
      <c r="B3124" s="0" t="s">
        <v>3155</v>
      </c>
    </row>
    <row r="3125" customFormat="false" ht="15" hidden="false" customHeight="false" outlineLevel="0" collapsed="false">
      <c r="A3125" s="0" t="n">
        <f aca="false">DMIN(Data!$O$1:$R$9,"Score",Data!$AK$1:$AK$2)</f>
        <v>0</v>
      </c>
      <c r="B3125" s="0" t="s">
        <v>3156</v>
      </c>
    </row>
    <row r="3126" customFormat="false" ht="15" hidden="false" customHeight="false" outlineLevel="0" collapsed="false">
      <c r="A3126" s="0" t="n">
        <f aca="false">DMIN(Data!$O$1:$R$9,"Score",Data!$AM$1:$AM$2)</f>
        <v>60</v>
      </c>
      <c r="B3126" s="0" t="s">
        <v>3157</v>
      </c>
    </row>
    <row r="3127" customFormat="false" ht="15" hidden="false" customHeight="false" outlineLevel="0" collapsed="false">
      <c r="A3127" s="0" t="n">
        <f aca="false">DMIN(Data!$O$1:$R$9,"Score",Data!$AO$1:$AO$2)</f>
        <v>77</v>
      </c>
      <c r="B3127" s="0" t="s">
        <v>3158</v>
      </c>
    </row>
    <row r="3128" customFormat="false" ht="15" hidden="false" customHeight="false" outlineLevel="0" collapsed="false">
      <c r="A3128" s="0" t="n">
        <f aca="false">DMIN(Data!$O$1:$R$9,"Score",Data!$AQ$1:$AQ$2)</f>
        <v>60</v>
      </c>
      <c r="B3128" s="0" t="s">
        <v>3159</v>
      </c>
    </row>
    <row r="3129" customFormat="false" ht="15" hidden="false" customHeight="false" outlineLevel="0" collapsed="false">
      <c r="A3129" s="0" t="n">
        <f aca="false">DMIN(Data!$O$1:$R$9,"Score",Data!$AS$1:$AS$2)</f>
        <v>60</v>
      </c>
      <c r="B3129" s="0" t="s">
        <v>3160</v>
      </c>
    </row>
    <row r="3130" customFormat="false" ht="15" hidden="false" customHeight="false" outlineLevel="0" collapsed="false">
      <c r="A3130" s="0" t="n">
        <f aca="false">DMIN(Data!$O$1:$R$9,"Score",Data!$AU$1:$AU$3)</f>
        <v>60</v>
      </c>
      <c r="B3130" s="0" t="s">
        <v>3161</v>
      </c>
    </row>
    <row r="3131" customFormat="false" ht="15" hidden="false" customHeight="false" outlineLevel="0" collapsed="false">
      <c r="A3131" s="0" t="n">
        <f aca="false">DMIN(Data!$O$1:$R$9,"Score",Data!$AW$1:$AW$2)</f>
        <v>60</v>
      </c>
      <c r="B3131" s="0" t="s">
        <v>3162</v>
      </c>
    </row>
    <row r="3132" customFormat="false" ht="15" hidden="false" customHeight="false" outlineLevel="0" collapsed="false">
      <c r="A3132" s="0" t="n">
        <f aca="false">DMIN(Data!$O$1:$R$9,"Score",Data!$AY$1:$BA$3)</f>
        <v>70</v>
      </c>
      <c r="B3132" s="0" t="s">
        <v>3163</v>
      </c>
    </row>
    <row r="3133" customFormat="false" ht="15" hidden="false" customHeight="false" outlineLevel="0" collapsed="false">
      <c r="A3133" s="0" t="n">
        <f aca="false">DMIN(Data!$O$1:$R$9,"Score",Data!$BC$1:$BC$2)</f>
        <v>0</v>
      </c>
      <c r="B3133" s="0" t="s">
        <v>3164</v>
      </c>
    </row>
    <row r="3134" customFormat="false" ht="15" hidden="false" customHeight="false" outlineLevel="0" collapsed="false">
      <c r="A3134" s="0" t="n">
        <f aca="false">DMIN(Data!$O$1:$R$9,"Score",Data!$BE$1:$BE$2)</f>
        <v>60</v>
      </c>
      <c r="B3134" s="0" t="s">
        <v>3165</v>
      </c>
    </row>
    <row r="3135" customFormat="false" ht="15" hidden="false" customHeight="false" outlineLevel="0" collapsed="false">
      <c r="A3135" s="0" t="n">
        <f aca="false">DMIN(Data!$O$1:$R$9,"age",Data!$T$1:$T$2)</f>
        <v>30</v>
      </c>
      <c r="B3135" s="0" t="s">
        <v>3166</v>
      </c>
    </row>
    <row r="3136" customFormat="false" ht="15" hidden="false" customHeight="false" outlineLevel="0" collapsed="false">
      <c r="A3136" s="0" t="n">
        <f aca="false">DMIN(Data!$O$1:$R$9,"age",Data!$AD$1:$AD$2)</f>
        <v>25</v>
      </c>
      <c r="B3136" s="0" t="s">
        <v>3167</v>
      </c>
    </row>
    <row r="3137" customFormat="false" ht="15" hidden="false" customHeight="false" outlineLevel="0" collapsed="false">
      <c r="A3137" s="0" t="e">
        <f aca="false">DMIN(Data!$O$1:$R$9,0,Data!$T$1:$T$2)</f>
        <v>#VALUE!</v>
      </c>
      <c r="B3137" s="0" t="s">
        <v>3168</v>
      </c>
    </row>
    <row r="3138" customFormat="false" ht="15" hidden="false" customHeight="false" outlineLevel="0" collapsed="false">
      <c r="A3138" s="0" t="e">
        <f aca="false">DMIN(Data!$O$1:$R$9,0,Data!$AD$1:$AD$2)</f>
        <v>#VALUE!</v>
      </c>
      <c r="B3138" s="0" t="s">
        <v>3169</v>
      </c>
    </row>
    <row r="3139" customFormat="false" ht="15" hidden="false" customHeight="false" outlineLevel="0" collapsed="false">
      <c r="A3139" s="0" t="e">
        <f aca="false">DMIN(Data!$O$1:$R$9,5,Data!$T$1:$T$2)</f>
        <v>#VALUE!</v>
      </c>
      <c r="B3139" s="0" t="s">
        <v>3170</v>
      </c>
    </row>
    <row r="3140" customFormat="false" ht="15" hidden="false" customHeight="false" outlineLevel="0" collapsed="false">
      <c r="A3140" s="0" t="e">
        <f aca="false">DMIN(Data!$O$1:$R$9,5,Data!$AD$1:$AD$2)</f>
        <v>#VALUE!</v>
      </c>
      <c r="B3140" s="0" t="s">
        <v>3171</v>
      </c>
    </row>
    <row r="3141" customFormat="false" ht="15" hidden="false" customHeight="false" outlineLevel="0" collapsed="false">
      <c r="A3141" s="0" t="e">
        <f aca="false">DMIN(Data!$O$1:$R$9,"Nope",Data!$T$1:$T$2)</f>
        <v>#VALUE!</v>
      </c>
      <c r="B3141" s="0" t="s">
        <v>3172</v>
      </c>
    </row>
    <row r="3142" customFormat="false" ht="15" hidden="false" customHeight="false" outlineLevel="0" collapsed="false">
      <c r="A3142" s="0" t="e">
        <f aca="false">DMIN(Data!$O$1:$R$9,"Nope",Data!$AD$1:$AD$2)</f>
        <v>#VALUE!</v>
      </c>
      <c r="B3142" s="0" t="s">
        <v>3173</v>
      </c>
    </row>
    <row r="3143" customFormat="false" ht="15" hidden="false" customHeight="false" outlineLevel="0" collapsed="false">
      <c r="A3143" s="0" t="e">
        <f aca="false">DMIN(Data!$O$1:$R$9,-1,Data!$T$1:$T$2)</f>
        <v>#VALUE!</v>
      </c>
      <c r="B3143" s="0" t="s">
        <v>3174</v>
      </c>
    </row>
    <row r="3144" customFormat="false" ht="15" hidden="false" customHeight="false" outlineLevel="0" collapsed="false">
      <c r="A3144" s="0" t="e">
        <f aca="false">DMIN(Data!$O$1:$R$9,-1,Data!$AD$1:$AD$2)</f>
        <v>#VALUE!</v>
      </c>
      <c r="B3144" s="0" t="s">
        <v>3175</v>
      </c>
    </row>
    <row r="3145" customFormat="false" ht="15" hidden="false" customHeight="false" outlineLevel="0" collapsed="false">
      <c r="A3145" s="0" t="n">
        <f aca="false">DMIN(Data!$O$1:$R$9,2.9,Data!$T$1:$T$2)</f>
        <v>30</v>
      </c>
      <c r="B3145" s="0" t="s">
        <v>3176</v>
      </c>
    </row>
    <row r="3146" customFormat="false" ht="15" hidden="false" customHeight="false" outlineLevel="0" collapsed="false">
      <c r="A3146" s="0" t="n">
        <f aca="false">DMIN(Data!$O$1:$R$9,2.9,Data!$AD$1:$AD$2)</f>
        <v>25</v>
      </c>
      <c r="B3146" s="0" t="s">
        <v>3177</v>
      </c>
    </row>
    <row r="3147" customFormat="false" ht="15" hidden="false" customHeight="false" outlineLevel="0" collapsed="false">
      <c r="A3147" s="0" t="e">
        <f aca="false">DMIN(Data!$O$1:$R$9,"2",Data!$T$1:$T$2)</f>
        <v>#VALUE!</v>
      </c>
      <c r="B3147" s="0" t="s">
        <v>3178</v>
      </c>
    </row>
    <row r="3148" customFormat="false" ht="15" hidden="false" customHeight="false" outlineLevel="0" collapsed="false">
      <c r="A3148" s="0" t="e">
        <f aca="false">DMIN(Data!$O$1:$R$9,"2",Data!$AD$1:$AD$2)</f>
        <v>#VALUE!</v>
      </c>
      <c r="B3148" s="0" t="s">
        <v>3179</v>
      </c>
    </row>
    <row r="3149" customFormat="false" ht="15" hidden="false" customHeight="false" outlineLevel="0" collapsed="false">
      <c r="A3149" s="0" t="n">
        <f aca="false">DMIN(Data!$O$1:$R$9,TRUE(),Data!$T$1:$T$2)</f>
        <v>0</v>
      </c>
      <c r="B3149" s="0" t="s">
        <v>3180</v>
      </c>
    </row>
    <row r="3150" customFormat="false" ht="15" hidden="false" customHeight="false" outlineLevel="0" collapsed="false">
      <c r="A3150" s="0" t="n">
        <f aca="false">DMIN(Data!$O$1:$R$9,TRUE(),Data!$AD$1:$AD$2)</f>
        <v>0</v>
      </c>
      <c r="B3150" s="0" t="s">
        <v>3181</v>
      </c>
    </row>
    <row r="3151" customFormat="false" ht="15" hidden="false" customHeight="false" outlineLevel="0" collapsed="false">
      <c r="A3151" s="0" t="n">
        <f aca="false">DMIN(Data!$O$1:$R$9,Data!$P$1,Data!$T$1:$T$2)</f>
        <v>30</v>
      </c>
      <c r="B3151" s="0" t="s">
        <v>3182</v>
      </c>
    </row>
    <row r="3152" customFormat="false" ht="15" hidden="false" customHeight="false" outlineLevel="0" collapsed="false">
      <c r="A3152" s="0" t="n">
        <f aca="false">DMIN(Data!$O$1:$R$9,Data!$P$1,Data!$AD$1:$AD$2)</f>
        <v>25</v>
      </c>
      <c r="B3152" s="0" t="s">
        <v>3183</v>
      </c>
    </row>
    <row r="3153" customFormat="false" ht="15" hidden="false" customHeight="false" outlineLevel="0" collapsed="false">
      <c r="A3153" s="0" t="n">
        <f aca="false">DMIN(Data!$O$1:$R$9,"Name",Data!$T$1:$T$2)</f>
        <v>0</v>
      </c>
      <c r="B3153" s="0" t="s">
        <v>3184</v>
      </c>
    </row>
    <row r="3154" customFormat="false" ht="15" hidden="false" customHeight="false" outlineLevel="0" collapsed="false">
      <c r="A3154" s="0" t="n">
        <f aca="false">DMIN(Data!$O$1:$R$9,"Name",Data!$AD$1:$AD$2)</f>
        <v>0</v>
      </c>
      <c r="B3154" s="0" t="s">
        <v>3185</v>
      </c>
    </row>
    <row r="3155" customFormat="false" ht="15" hidden="false" customHeight="false" outlineLevel="0" collapsed="false">
      <c r="A3155" s="0" t="e">
        <f aca="false">DMIN(Data!$O$1:$R$9,Data!$O$2,Data!$T$1:$T$2)</f>
        <v>#VALUE!</v>
      </c>
      <c r="B3155" s="0" t="s">
        <v>3186</v>
      </c>
    </row>
    <row r="3156" customFormat="false" ht="15" hidden="false" customHeight="false" outlineLevel="0" collapsed="false">
      <c r="A3156" s="0" t="e">
        <f aca="false">DMIN(Data!$O$1:$R$9,Data!$O$2,Data!$AD$1:$AD$2)</f>
        <v>#VALUE!</v>
      </c>
      <c r="B3156" s="0" t="s">
        <v>3187</v>
      </c>
    </row>
    <row r="3157" customFormat="false" ht="15" hidden="false" customHeight="false" outlineLevel="0" collapsed="false">
      <c r="A3157" s="0" t="e">
        <f aca="false">DMIN(Data!$O$1:$R$9,"",Data!$T$1:$T$2)</f>
        <v>#VALUE!</v>
      </c>
      <c r="B3157" s="0" t="s">
        <v>3188</v>
      </c>
    </row>
    <row r="3158" customFormat="false" ht="15" hidden="false" customHeight="false" outlineLevel="0" collapsed="false">
      <c r="A3158" s="0" t="e">
        <f aca="false">DMIN(Data!$O$1:$R$9,"",Data!$AD$1:$AD$2)</f>
        <v>#VALUE!</v>
      </c>
      <c r="B3158" s="0" t="s">
        <v>3189</v>
      </c>
    </row>
    <row r="3159" customFormat="false" ht="15" hidden="false" customHeight="false" outlineLevel="0" collapsed="false">
      <c r="A3159" s="0" t="e">
        <f aca="false">DMIN(Data!$O$1:$R$9,NA(),Data!$T$1:$T$2)</f>
        <v>#N/A</v>
      </c>
      <c r="B3159" s="0" t="s">
        <v>3190</v>
      </c>
    </row>
    <row r="3160" customFormat="false" ht="15" hidden="false" customHeight="false" outlineLevel="0" collapsed="false">
      <c r="A3160" s="0" t="e">
        <f aca="false">DMIN(Data!$O$1:$R$9,NA(),Data!$AD$1:$AD$2)</f>
        <v>#N/A</v>
      </c>
      <c r="B3160" s="0" t="s">
        <v>3191</v>
      </c>
    </row>
    <row r="3161" customFormat="false" ht="15" hidden="false" customHeight="false" outlineLevel="0" collapsed="false">
      <c r="A3161" s="0" t="e">
        <f aca="false">DMIN(Data!$O$1:$R$9,3,Data!$T$2:$T$3)</f>
        <v>#VALUE!</v>
      </c>
      <c r="B3161" s="0" t="s">
        <v>3192</v>
      </c>
    </row>
    <row r="3162" customFormat="false" ht="15" hidden="false" customHeight="false" outlineLevel="0" collapsed="false">
      <c r="A3162" s="0" t="e">
        <f aca="false">DMIN(Data!$O$1:$R$9,3,Data!$T$1)</f>
        <v>#VALUE!</v>
      </c>
      <c r="B3162" s="0" t="s">
        <v>3193</v>
      </c>
    </row>
    <row r="3163" customFormat="false" ht="15" hidden="false" customHeight="false" outlineLevel="0" collapsed="false">
      <c r="A3163" s="0" t="e">
        <f aca="false">DMIN(Data!$O$2:$R$9,3,Data!$T$1:$T$2)</f>
        <v>#VALUE!</v>
      </c>
      <c r="B3163" s="0" t="s">
        <v>3194</v>
      </c>
    </row>
    <row r="3164" customFormat="false" ht="15" hidden="false" customHeight="false" outlineLevel="0" collapsed="false">
      <c r="A3164" s="0" t="e">
        <f aca="false">DMIN(Data!$O$1:$R$9,3,5)</f>
        <v>#VALUE!</v>
      </c>
      <c r="B3164" s="0" t="s">
        <v>3195</v>
      </c>
    </row>
    <row r="3165" customFormat="false" ht="15" hidden="false" customHeight="false" outlineLevel="0" collapsed="false">
      <c r="A3165" s="0" t="e">
        <f aca="false">DMIN(5,3,Data!$T$1:$T$2)</f>
        <v>#VALUE!</v>
      </c>
      <c r="B3165" s="0" t="s">
        <v>3196</v>
      </c>
    </row>
    <row r="3166" customFormat="false" ht="15" hidden="false" customHeight="false" outlineLevel="0" collapsed="false">
      <c r="A3166" s="0" t="e">
        <f aca="false">DMIN(Data!$O$1:$R$9,3,Data!$T$1:$T$2,1)</f>
        <v>#VALUE!</v>
      </c>
      <c r="B3166" s="0" t="s">
        <v>3197</v>
      </c>
    </row>
    <row r="3167" customFormat="false" ht="15" hidden="false" customHeight="false" outlineLevel="0" collapsed="false">
      <c r="A3167" s="0" t="e">
        <f aca="false">DMIN(Data!$O$1:$R$9,3)</f>
        <v>#VALUE!</v>
      </c>
      <c r="B3167" s="0" t="s">
        <v>3198</v>
      </c>
    </row>
    <row r="3168" customFormat="false" ht="15" hidden="false" customHeight="false" outlineLevel="0" collapsed="false">
      <c r="A3168" s="0" t="e">
        <f aca="false">DMIN(Data!$O$1:$O$9,1,Data!$T$1:$T$2)</f>
        <v>#VALUE!</v>
      </c>
      <c r="B3168" s="0" t="s">
        <v>3199</v>
      </c>
    </row>
    <row r="3169" customFormat="false" ht="15" hidden="false" customHeight="false" outlineLevel="0" collapsed="false">
      <c r="A3169" s="0" t="n">
        <f aca="false">DMIN(Data!$O$1:$R$9,3,Data!$AU$1:$AU$2)</f>
        <v>158</v>
      </c>
      <c r="B3169" s="0" t="s">
        <v>3200</v>
      </c>
    </row>
    <row r="3170" customFormat="false" ht="15" hidden="false" customHeight="false" outlineLevel="0" collapsed="false">
      <c r="A3170" s="0" t="e">
        <f aca="false">DMIN(Data!$O$1:$R$9,3,Data!$T$1:$U$1)</f>
        <v>#VALUE!</v>
      </c>
      <c r="B3170" s="0" t="s">
        <v>3201</v>
      </c>
    </row>
    <row r="3171" customFormat="false" ht="15" hidden="false" customHeight="false" outlineLevel="0" collapsed="false">
      <c r="A3171" s="0" t="n">
        <f aca="false">DPRODUCT(Data!$O$1:$R$9,"Age",Data!$T$1:$T$2)</f>
        <v>900</v>
      </c>
      <c r="B3171" s="0" t="s">
        <v>3202</v>
      </c>
    </row>
    <row r="3172" customFormat="false" ht="15" hidden="false" customHeight="false" outlineLevel="0" collapsed="false">
      <c r="A3172" s="0" t="n">
        <f aca="false">DPRODUCT(Data!$O$1:$R$9,"Age",Data!$V$1:$W$2)</f>
        <v>52</v>
      </c>
      <c r="B3172" s="0" t="s">
        <v>3203</v>
      </c>
    </row>
    <row r="3173" customFormat="false" ht="15" hidden="false" customHeight="false" outlineLevel="0" collapsed="false">
      <c r="A3173" s="0" t="n">
        <f aca="false">DPRODUCT(Data!$O$1:$R$9,"Age",Data!$Y$1:$Y$3)</f>
        <v>39000</v>
      </c>
      <c r="B3173" s="0" t="s">
        <v>3204</v>
      </c>
    </row>
    <row r="3174" customFormat="false" ht="15" hidden="false" customHeight="false" outlineLevel="0" collapsed="false">
      <c r="A3174" s="0" t="n">
        <f aca="false">DPRODUCT(Data!$O$1:$R$9,"Age",Data!$AA$1:$AB$3)</f>
        <v>46637500</v>
      </c>
      <c r="B3174" s="0" t="s">
        <v>3205</v>
      </c>
    </row>
    <row r="3175" customFormat="false" ht="15" hidden="false" customHeight="false" outlineLevel="0" collapsed="false">
      <c r="A3175" s="0" t="n">
        <f aca="false">DPRODUCT(Data!$O$1:$R$9,"Age",Data!$AD$1:$AD$2)</f>
        <v>41973750000</v>
      </c>
      <c r="B3175" s="0" t="s">
        <v>3206</v>
      </c>
    </row>
    <row r="3176" customFormat="false" ht="15" hidden="false" customHeight="false" outlineLevel="0" collapsed="false">
      <c r="A3176" s="0" t="e">
        <f aca="false">DPRODUCT(Data!$O$1:$R$9,"Age",Data!$AF$1:$AF$2)</f>
        <v>#VALUE!</v>
      </c>
      <c r="B3176" s="0" t="s">
        <v>3207</v>
      </c>
    </row>
    <row r="3177" customFormat="false" ht="15" hidden="false" customHeight="false" outlineLevel="0" collapsed="false">
      <c r="A3177" s="0" t="n">
        <f aca="false">DPRODUCT(Data!$O$1:$R$9,"Age",Data!$AH$1:$AI$2)</f>
        <v>30750</v>
      </c>
      <c r="B3177" s="0" t="s">
        <v>3208</v>
      </c>
    </row>
    <row r="3178" customFormat="false" ht="15" hidden="false" customHeight="false" outlineLevel="0" collapsed="false">
      <c r="A3178" s="0" t="n">
        <f aca="false">DPRODUCT(Data!$O$1:$R$9,"Age",Data!$AK$1:$AK$2)</f>
        <v>0</v>
      </c>
      <c r="B3178" s="0" t="s">
        <v>3209</v>
      </c>
    </row>
    <row r="3179" customFormat="false" ht="15" hidden="false" customHeight="false" outlineLevel="0" collapsed="false">
      <c r="A3179" s="0" t="n">
        <f aca="false">DPRODUCT(Data!$O$1:$R$9,"Age",Data!$AM$1:$AM$2)</f>
        <v>625</v>
      </c>
      <c r="B3179" s="0" t="s">
        <v>3210</v>
      </c>
    </row>
    <row r="3180" customFormat="false" ht="15" hidden="false" customHeight="false" outlineLevel="0" collapsed="false">
      <c r="A3180" s="0" t="n">
        <f aca="false">DPRODUCT(Data!$O$1:$R$9,"Age",Data!$AO$1:$AO$2)</f>
        <v>1300</v>
      </c>
      <c r="B3180" s="0" t="s">
        <v>3211</v>
      </c>
    </row>
    <row r="3181" customFormat="false" ht="15" hidden="false" customHeight="false" outlineLevel="0" collapsed="false">
      <c r="A3181" s="0" t="n">
        <f aca="false">DPRODUCT(Data!$O$1:$R$9,"Age",Data!$AQ$1:$AQ$2)</f>
        <v>1025</v>
      </c>
      <c r="B3181" s="0" t="s">
        <v>3212</v>
      </c>
    </row>
    <row r="3182" customFormat="false" ht="15" hidden="false" customHeight="false" outlineLevel="0" collapsed="false">
      <c r="A3182" s="0" t="n">
        <f aca="false">DPRODUCT(Data!$O$1:$R$9,"Age",Data!$AS$1:$AS$2)</f>
        <v>32287500</v>
      </c>
      <c r="B3182" s="0" t="s">
        <v>3213</v>
      </c>
    </row>
    <row r="3183" customFormat="false" ht="15" hidden="false" customHeight="false" outlineLevel="0" collapsed="false">
      <c r="A3183" s="0" t="n">
        <f aca="false">DPRODUCT(Data!$O$1:$R$9,"Age",Data!$AU$1:$AU$3)</f>
        <v>41973750000</v>
      </c>
      <c r="B3183" s="0" t="s">
        <v>3214</v>
      </c>
    </row>
    <row r="3184" customFormat="false" ht="15" hidden="false" customHeight="false" outlineLevel="0" collapsed="false">
      <c r="A3184" s="0" t="n">
        <f aca="false">DPRODUCT(Data!$O$1:$R$9,"Age",Data!$AW$1:$AW$2)</f>
        <v>41973750000</v>
      </c>
      <c r="B3184" s="0" t="s">
        <v>3215</v>
      </c>
    </row>
    <row r="3185" customFormat="false" ht="15" hidden="false" customHeight="false" outlineLevel="0" collapsed="false">
      <c r="A3185" s="0" t="n">
        <f aca="false">DPRODUCT(Data!$O$1:$R$9,"Age",Data!$AY$1:$BA$3)</f>
        <v>67158000</v>
      </c>
      <c r="B3185" s="0" t="s">
        <v>3216</v>
      </c>
    </row>
    <row r="3186" customFormat="false" ht="15" hidden="false" customHeight="false" outlineLevel="0" collapsed="false">
      <c r="A3186" s="0" t="n">
        <f aca="false">DPRODUCT(Data!$O$1:$R$9,"Age",Data!$BC$1:$BC$2)</f>
        <v>0</v>
      </c>
      <c r="B3186" s="0" t="s">
        <v>3217</v>
      </c>
    </row>
    <row r="3187" customFormat="false" ht="15" hidden="false" customHeight="false" outlineLevel="0" collapsed="false">
      <c r="A3187" s="0" t="n">
        <f aca="false">DPRODUCT(Data!$O$1:$R$9,"Age",Data!$BE$1:$BE$2)</f>
        <v>25</v>
      </c>
      <c r="B3187" s="0" t="s">
        <v>3218</v>
      </c>
    </row>
    <row r="3188" customFormat="false" ht="15" hidden="false" customHeight="false" outlineLevel="0" collapsed="false">
      <c r="A3188" s="0" t="n">
        <f aca="false">DPRODUCT(Data!$O$1:$R$9,3,Data!$T$1:$T$2)</f>
        <v>28800</v>
      </c>
      <c r="B3188" s="0" t="s">
        <v>3219</v>
      </c>
    </row>
    <row r="3189" customFormat="false" ht="15" hidden="false" customHeight="false" outlineLevel="0" collapsed="false">
      <c r="A3189" s="0" t="n">
        <f aca="false">DPRODUCT(Data!$O$1:$R$9,3,Data!$V$1:$W$2)</f>
        <v>182</v>
      </c>
      <c r="B3189" s="0" t="s">
        <v>3220</v>
      </c>
    </row>
    <row r="3190" customFormat="false" ht="15" hidden="false" customHeight="false" outlineLevel="0" collapsed="false">
      <c r="A3190" s="0" t="n">
        <f aca="false">DPRODUCT(Data!$O$1:$R$9,3,Data!$Y$1:$Y$3)</f>
        <v>5096000</v>
      </c>
      <c r="B3190" s="0" t="s">
        <v>3221</v>
      </c>
    </row>
    <row r="3191" customFormat="false" ht="15" hidden="false" customHeight="false" outlineLevel="0" collapsed="false">
      <c r="A3191" s="0" t="n">
        <f aca="false">DPRODUCT(Data!$O$1:$R$9,3,Data!$AA$1:$AB$3)</f>
        <v>141156015000</v>
      </c>
      <c r="B3191" s="0" t="s">
        <v>3222</v>
      </c>
    </row>
    <row r="3192" customFormat="false" ht="15" hidden="false" customHeight="false" outlineLevel="0" collapsed="false">
      <c r="A3192" s="0" t="n">
        <f aca="false">DPRODUCT(Data!$O$1:$R$9,3,Data!$AD$1:$AD$2)</f>
        <v>6.9109984944E+017</v>
      </c>
      <c r="B3192" s="0" t="s">
        <v>3223</v>
      </c>
    </row>
    <row r="3193" customFormat="false" ht="15" hidden="false" customHeight="false" outlineLevel="0" collapsed="false">
      <c r="A3193" s="0" t="e">
        <f aca="false">DPRODUCT(Data!$O$1:$R$9,3,Data!$AF$1:$AF$2)</f>
        <v>#VALUE!</v>
      </c>
      <c r="B3193" s="0" t="s">
        <v>3224</v>
      </c>
    </row>
    <row r="3194" customFormat="false" ht="15" hidden="false" customHeight="false" outlineLevel="0" collapsed="false">
      <c r="A3194" s="0" t="n">
        <f aca="false">DPRODUCT(Data!$O$1:$R$9,3,Data!$AH$1:$AI$2)</f>
        <v>4620000</v>
      </c>
      <c r="B3194" s="0" t="s">
        <v>3225</v>
      </c>
    </row>
    <row r="3195" customFormat="false" ht="15" hidden="false" customHeight="false" outlineLevel="0" collapsed="false">
      <c r="A3195" s="0" t="n">
        <f aca="false">DPRODUCT(Data!$O$1:$R$9,3,Data!$AK$1:$AK$2)</f>
        <v>0</v>
      </c>
      <c r="B3195" s="0" t="s">
        <v>3226</v>
      </c>
    </row>
    <row r="3196" customFormat="false" ht="15" hidden="false" customHeight="false" outlineLevel="0" collapsed="false">
      <c r="A3196" s="0" t="n">
        <f aca="false">DPRODUCT(Data!$O$1:$R$9,3,Data!$AM$1:$AM$2)</f>
        <v>29750</v>
      </c>
      <c r="B3196" s="0" t="s">
        <v>3227</v>
      </c>
    </row>
    <row r="3197" customFormat="false" ht="15" hidden="false" customHeight="false" outlineLevel="0" collapsed="false">
      <c r="A3197" s="0" t="n">
        <f aca="false">DPRODUCT(Data!$O$1:$R$9,3,Data!$AO$1:$AO$2)</f>
        <v>31850</v>
      </c>
      <c r="B3197" s="0" t="s">
        <v>3228</v>
      </c>
    </row>
    <row r="3198" customFormat="false" ht="15" hidden="false" customHeight="false" outlineLevel="0" collapsed="false">
      <c r="A3198" s="0" t="n">
        <f aca="false">DPRODUCT(Data!$O$1:$R$9,3,Data!$AQ$1:$AQ$2)</f>
        <v>28050</v>
      </c>
      <c r="B3198" s="0" t="s">
        <v>3229</v>
      </c>
    </row>
    <row r="3199" customFormat="false" ht="15" hidden="false" customHeight="false" outlineLevel="0" collapsed="false">
      <c r="A3199" s="0" t="n">
        <f aca="false">DPRODUCT(Data!$O$1:$R$9,3,Data!$AS$1:$AS$2)</f>
        <v>21698582400000</v>
      </c>
      <c r="B3199" s="0" t="s">
        <v>3230</v>
      </c>
    </row>
    <row r="3200" customFormat="false" ht="15" hidden="false" customHeight="false" outlineLevel="0" collapsed="false">
      <c r="A3200" s="0" t="n">
        <f aca="false">DPRODUCT(Data!$O$1:$R$9,3,Data!$AU$1:$AU$3)</f>
        <v>6.9109984944E+017</v>
      </c>
      <c r="B3200" s="0" t="s">
        <v>3231</v>
      </c>
    </row>
    <row r="3201" customFormat="false" ht="15" hidden="false" customHeight="false" outlineLevel="0" collapsed="false">
      <c r="A3201" s="0" t="n">
        <f aca="false">DPRODUCT(Data!$O$1:$R$9,3,Data!$AW$1:$AW$2)</f>
        <v>4065293232000000</v>
      </c>
      <c r="B3201" s="0" t="s">
        <v>3232</v>
      </c>
    </row>
    <row r="3202" customFormat="false" ht="15" hidden="false" customHeight="false" outlineLevel="0" collapsed="false">
      <c r="A3202" s="0" t="n">
        <f aca="false">DPRODUCT(Data!$O$1:$R$9,3,Data!$AY$1:$BA$3)</f>
        <v>136648512000</v>
      </c>
      <c r="B3202" s="0" t="s">
        <v>3233</v>
      </c>
    </row>
    <row r="3203" customFormat="false" ht="15" hidden="false" customHeight="false" outlineLevel="0" collapsed="false">
      <c r="A3203" s="0" t="n">
        <f aca="false">DPRODUCT(Data!$O$1:$R$9,3,Data!$BC$1:$BC$2)</f>
        <v>170</v>
      </c>
      <c r="B3203" s="0" t="s">
        <v>3234</v>
      </c>
    </row>
    <row r="3204" customFormat="false" ht="15" hidden="false" customHeight="false" outlineLevel="0" collapsed="false">
      <c r="A3204" s="0" t="n">
        <f aca="false">DPRODUCT(Data!$O$1:$R$9,3,Data!$BE$1:$BE$2)</f>
        <v>170</v>
      </c>
      <c r="B3204" s="0" t="s">
        <v>3235</v>
      </c>
    </row>
    <row r="3205" customFormat="false" ht="15" hidden="false" customHeight="false" outlineLevel="0" collapsed="false">
      <c r="A3205" s="0" t="n">
        <f aca="false">DPRODUCT(Data!$O$1:$R$9,"Score",Data!$T$1:$T$2)</f>
        <v>5600</v>
      </c>
      <c r="B3205" s="0" t="s">
        <v>3236</v>
      </c>
    </row>
    <row r="3206" customFormat="false" ht="15" hidden="false" customHeight="false" outlineLevel="0" collapsed="false">
      <c r="A3206" s="0" t="n">
        <f aca="false">DPRODUCT(Data!$O$1:$R$9,"Score",Data!$V$1:$W$2)</f>
        <v>77</v>
      </c>
      <c r="B3206" s="0" t="s">
        <v>3237</v>
      </c>
    </row>
    <row r="3207" customFormat="false" ht="15" hidden="false" customHeight="false" outlineLevel="0" collapsed="false">
      <c r="A3207" s="0" t="n">
        <f aca="false">DPRODUCT(Data!$O$1:$R$9,"Score",Data!$Y$1:$Y$3)</f>
        <v>554400</v>
      </c>
      <c r="B3207" s="0" t="s">
        <v>3238</v>
      </c>
    </row>
    <row r="3208" customFormat="false" ht="15" hidden="false" customHeight="false" outlineLevel="0" collapsed="false">
      <c r="A3208" s="0" t="n">
        <f aca="false">DPRODUCT(Data!$O$1:$R$9,"Score",Data!$AA$1:$AB$3)</f>
        <v>3357585000</v>
      </c>
      <c r="B3208" s="0" t="s">
        <v>3239</v>
      </c>
    </row>
    <row r="3209" customFormat="false" ht="15" hidden="false" customHeight="false" outlineLevel="0" collapsed="false">
      <c r="A3209" s="0" t="n">
        <f aca="false">DPRODUCT(Data!$O$1:$R$9,"Score",Data!$AD$1:$AD$2)</f>
        <v>18802476000000</v>
      </c>
      <c r="B3209" s="0" t="s">
        <v>3240</v>
      </c>
    </row>
    <row r="3210" customFormat="false" ht="15" hidden="false" customHeight="false" outlineLevel="0" collapsed="false">
      <c r="A3210" s="0" t="e">
        <f aca="false">DPRODUCT(Data!$O$1:$R$9,"Score",Data!$AF$1:$AF$2)</f>
        <v>#VALUE!</v>
      </c>
      <c r="B3210" s="0" t="s">
        <v>3241</v>
      </c>
    </row>
    <row r="3211" customFormat="false" ht="15" hidden="false" customHeight="false" outlineLevel="0" collapsed="false">
      <c r="A3211" s="0" t="n">
        <f aca="false">DPRODUCT(Data!$O$1:$R$9,"Score",Data!$AH$1:$AI$2)</f>
        <v>612000</v>
      </c>
      <c r="B3211" s="0" t="s">
        <v>3242</v>
      </c>
    </row>
    <row r="3212" customFormat="false" ht="15" hidden="false" customHeight="false" outlineLevel="0" collapsed="false">
      <c r="A3212" s="0" t="n">
        <f aca="false">DPRODUCT(Data!$O$1:$R$9,"Score",Data!$AK$1:$AK$2)</f>
        <v>0</v>
      </c>
      <c r="B3212" s="0" t="s">
        <v>3243</v>
      </c>
    </row>
    <row r="3213" customFormat="false" ht="15" hidden="false" customHeight="false" outlineLevel="0" collapsed="false">
      <c r="A3213" s="0" t="n">
        <f aca="false">DPRODUCT(Data!$O$1:$R$9,"Score",Data!$AM$1:$AM$2)</f>
        <v>5400</v>
      </c>
      <c r="B3213" s="0" t="s">
        <v>3244</v>
      </c>
    </row>
    <row r="3214" customFormat="false" ht="15" hidden="false" customHeight="false" outlineLevel="0" collapsed="false">
      <c r="A3214" s="0" t="n">
        <f aca="false">DPRODUCT(Data!$O$1:$R$9,"Score",Data!$AO$1:$AO$2)</f>
        <v>6930</v>
      </c>
      <c r="B3214" s="0" t="s">
        <v>3245</v>
      </c>
    </row>
    <row r="3215" customFormat="false" ht="15" hidden="false" customHeight="false" outlineLevel="0" collapsed="false">
      <c r="A3215" s="0" t="n">
        <f aca="false">DPRODUCT(Data!$O$1:$R$9,"Score",Data!$AQ$1:$AQ$2)</f>
        <v>5100</v>
      </c>
      <c r="B3215" s="0" t="s">
        <v>3246</v>
      </c>
    </row>
    <row r="3216" customFormat="false" ht="15" hidden="false" customHeight="false" outlineLevel="0" collapsed="false">
      <c r="A3216" s="0" t="n">
        <f aca="false">DPRODUCT(Data!$O$1:$R$9,"Score",Data!$AS$1:$AS$2)</f>
        <v>2713200000</v>
      </c>
      <c r="B3216" s="0" t="s">
        <v>3247</v>
      </c>
    </row>
    <row r="3217" customFormat="false" ht="15" hidden="false" customHeight="false" outlineLevel="0" collapsed="false">
      <c r="A3217" s="0" t="n">
        <f aca="false">DPRODUCT(Data!$O$1:$R$9,"Score",Data!$AU$1:$AU$3)</f>
        <v>18802476000000</v>
      </c>
      <c r="B3217" s="0" t="s">
        <v>3248</v>
      </c>
    </row>
    <row r="3218" customFormat="false" ht="15" hidden="false" customHeight="false" outlineLevel="0" collapsed="false">
      <c r="A3218" s="0" t="n">
        <f aca="false">DPRODUCT(Data!$O$1:$R$9,"Score",Data!$AW$1:$AW$2)</f>
        <v>18802476000000</v>
      </c>
      <c r="B3218" s="0" t="s">
        <v>3249</v>
      </c>
    </row>
    <row r="3219" customFormat="false" ht="15" hidden="false" customHeight="false" outlineLevel="0" collapsed="false">
      <c r="A3219" s="0" t="n">
        <f aca="false">DPRODUCT(Data!$O$1:$R$9,"Score",Data!$AY$1:$BA$3)</f>
        <v>3481940000</v>
      </c>
      <c r="B3219" s="0" t="s">
        <v>3250</v>
      </c>
    </row>
    <row r="3220" customFormat="false" ht="15" hidden="false" customHeight="false" outlineLevel="0" collapsed="false">
      <c r="A3220" s="0" t="n">
        <f aca="false">DPRODUCT(Data!$O$1:$R$9,"Score",Data!$BC$1:$BC$2)</f>
        <v>0</v>
      </c>
      <c r="B3220" s="0" t="s">
        <v>3251</v>
      </c>
    </row>
    <row r="3221" customFormat="false" ht="15" hidden="false" customHeight="false" outlineLevel="0" collapsed="false">
      <c r="A3221" s="0" t="n">
        <f aca="false">DPRODUCT(Data!$O$1:$R$9,"Score",Data!$BE$1:$BE$2)</f>
        <v>60</v>
      </c>
      <c r="B3221" s="0" t="s">
        <v>3252</v>
      </c>
    </row>
    <row r="3222" customFormat="false" ht="15" hidden="false" customHeight="false" outlineLevel="0" collapsed="false">
      <c r="A3222" s="0" t="n">
        <f aca="false">DPRODUCT(Data!$O$1:$R$9,"age",Data!$T$1:$T$2)</f>
        <v>900</v>
      </c>
      <c r="B3222" s="0" t="s">
        <v>3253</v>
      </c>
    </row>
    <row r="3223" customFormat="false" ht="15" hidden="false" customHeight="false" outlineLevel="0" collapsed="false">
      <c r="A3223" s="0" t="n">
        <f aca="false">DPRODUCT(Data!$O$1:$R$9,"age",Data!$AD$1:$AD$2)</f>
        <v>41973750000</v>
      </c>
      <c r="B3223" s="0" t="s">
        <v>3254</v>
      </c>
    </row>
    <row r="3224" customFormat="false" ht="15" hidden="false" customHeight="false" outlineLevel="0" collapsed="false">
      <c r="A3224" s="0" t="e">
        <f aca="false">DPRODUCT(Data!$O$1:$R$9,0,Data!$T$1:$T$2)</f>
        <v>#VALUE!</v>
      </c>
      <c r="B3224" s="0" t="s">
        <v>3255</v>
      </c>
    </row>
    <row r="3225" customFormat="false" ht="15" hidden="false" customHeight="false" outlineLevel="0" collapsed="false">
      <c r="A3225" s="0" t="e">
        <f aca="false">DPRODUCT(Data!$O$1:$R$9,0,Data!$AD$1:$AD$2)</f>
        <v>#VALUE!</v>
      </c>
      <c r="B3225" s="0" t="s">
        <v>3256</v>
      </c>
    </row>
    <row r="3226" customFormat="false" ht="15" hidden="false" customHeight="false" outlineLevel="0" collapsed="false">
      <c r="A3226" s="0" t="e">
        <f aca="false">DPRODUCT(Data!$O$1:$R$9,5,Data!$T$1:$T$2)</f>
        <v>#VALUE!</v>
      </c>
      <c r="B3226" s="0" t="s">
        <v>3257</v>
      </c>
    </row>
    <row r="3227" customFormat="false" ht="15" hidden="false" customHeight="false" outlineLevel="0" collapsed="false">
      <c r="A3227" s="0" t="e">
        <f aca="false">DPRODUCT(Data!$O$1:$R$9,5,Data!$AD$1:$AD$2)</f>
        <v>#VALUE!</v>
      </c>
      <c r="B3227" s="0" t="s">
        <v>3258</v>
      </c>
    </row>
    <row r="3228" customFormat="false" ht="15" hidden="false" customHeight="false" outlineLevel="0" collapsed="false">
      <c r="A3228" s="0" t="e">
        <f aca="false">DPRODUCT(Data!$O$1:$R$9,"Nope",Data!$T$1:$T$2)</f>
        <v>#VALUE!</v>
      </c>
      <c r="B3228" s="0" t="s">
        <v>3259</v>
      </c>
    </row>
    <row r="3229" customFormat="false" ht="15" hidden="false" customHeight="false" outlineLevel="0" collapsed="false">
      <c r="A3229" s="0" t="e">
        <f aca="false">DPRODUCT(Data!$O$1:$R$9,"Nope",Data!$AD$1:$AD$2)</f>
        <v>#VALUE!</v>
      </c>
      <c r="B3229" s="0" t="s">
        <v>3260</v>
      </c>
    </row>
    <row r="3230" customFormat="false" ht="15" hidden="false" customHeight="false" outlineLevel="0" collapsed="false">
      <c r="A3230" s="0" t="e">
        <f aca="false">DPRODUCT(Data!$O$1:$R$9,-1,Data!$T$1:$T$2)</f>
        <v>#VALUE!</v>
      </c>
      <c r="B3230" s="0" t="s">
        <v>3261</v>
      </c>
    </row>
    <row r="3231" customFormat="false" ht="15" hidden="false" customHeight="false" outlineLevel="0" collapsed="false">
      <c r="A3231" s="0" t="e">
        <f aca="false">DPRODUCT(Data!$O$1:$R$9,-1,Data!$AD$1:$AD$2)</f>
        <v>#VALUE!</v>
      </c>
      <c r="B3231" s="0" t="s">
        <v>3262</v>
      </c>
    </row>
    <row r="3232" customFormat="false" ht="15" hidden="false" customHeight="false" outlineLevel="0" collapsed="false">
      <c r="A3232" s="0" t="n">
        <f aca="false">DPRODUCT(Data!$O$1:$R$9,2.9,Data!$T$1:$T$2)</f>
        <v>900</v>
      </c>
      <c r="B3232" s="0" t="s">
        <v>3263</v>
      </c>
    </row>
    <row r="3233" customFormat="false" ht="15" hidden="false" customHeight="false" outlineLevel="0" collapsed="false">
      <c r="A3233" s="0" t="n">
        <f aca="false">DPRODUCT(Data!$O$1:$R$9,2.9,Data!$AD$1:$AD$2)</f>
        <v>41973750000</v>
      </c>
      <c r="B3233" s="0" t="s">
        <v>3264</v>
      </c>
    </row>
    <row r="3234" customFormat="false" ht="15" hidden="false" customHeight="false" outlineLevel="0" collapsed="false">
      <c r="A3234" s="0" t="e">
        <f aca="false">DPRODUCT(Data!$O$1:$R$9,"2",Data!$T$1:$T$2)</f>
        <v>#VALUE!</v>
      </c>
      <c r="B3234" s="0" t="s">
        <v>3265</v>
      </c>
    </row>
    <row r="3235" customFormat="false" ht="15" hidden="false" customHeight="false" outlineLevel="0" collapsed="false">
      <c r="A3235" s="0" t="e">
        <f aca="false">DPRODUCT(Data!$O$1:$R$9,"2",Data!$AD$1:$AD$2)</f>
        <v>#VALUE!</v>
      </c>
      <c r="B3235" s="0" t="s">
        <v>3266</v>
      </c>
    </row>
    <row r="3236" customFormat="false" ht="15" hidden="false" customHeight="false" outlineLevel="0" collapsed="false">
      <c r="A3236" s="0" t="n">
        <f aca="false">DPRODUCT(Data!$O$1:$R$9,TRUE(),Data!$T$1:$T$2)</f>
        <v>0</v>
      </c>
      <c r="B3236" s="0" t="s">
        <v>3267</v>
      </c>
    </row>
    <row r="3237" customFormat="false" ht="15" hidden="false" customHeight="false" outlineLevel="0" collapsed="false">
      <c r="A3237" s="0" t="n">
        <f aca="false">DPRODUCT(Data!$O$1:$R$9,TRUE(),Data!$AD$1:$AD$2)</f>
        <v>0</v>
      </c>
      <c r="B3237" s="0" t="s">
        <v>3268</v>
      </c>
    </row>
    <row r="3238" customFormat="false" ht="15" hidden="false" customHeight="false" outlineLevel="0" collapsed="false">
      <c r="A3238" s="0" t="n">
        <f aca="false">DPRODUCT(Data!$O$1:$R$9,Data!$P$1,Data!$T$1:$T$2)</f>
        <v>900</v>
      </c>
      <c r="B3238" s="0" t="s">
        <v>3269</v>
      </c>
    </row>
    <row r="3239" customFormat="false" ht="15" hidden="false" customHeight="false" outlineLevel="0" collapsed="false">
      <c r="A3239" s="0" t="n">
        <f aca="false">DPRODUCT(Data!$O$1:$R$9,Data!$P$1,Data!$AD$1:$AD$2)</f>
        <v>41973750000</v>
      </c>
      <c r="B3239" s="0" t="s">
        <v>3270</v>
      </c>
    </row>
    <row r="3240" customFormat="false" ht="15" hidden="false" customHeight="false" outlineLevel="0" collapsed="false">
      <c r="A3240" s="0" t="n">
        <f aca="false">DPRODUCT(Data!$O$1:$R$9,"Name",Data!$T$1:$T$2)</f>
        <v>0</v>
      </c>
      <c r="B3240" s="0" t="s">
        <v>3271</v>
      </c>
    </row>
    <row r="3241" customFormat="false" ht="15" hidden="false" customHeight="false" outlineLevel="0" collapsed="false">
      <c r="A3241" s="0" t="n">
        <f aca="false">DPRODUCT(Data!$O$1:$R$9,"Name",Data!$AD$1:$AD$2)</f>
        <v>0</v>
      </c>
      <c r="B3241" s="0" t="s">
        <v>3272</v>
      </c>
    </row>
    <row r="3242" customFormat="false" ht="15" hidden="false" customHeight="false" outlineLevel="0" collapsed="false">
      <c r="A3242" s="0" t="e">
        <f aca="false">DPRODUCT(Data!$O$1:$R$9,Data!$O$2,Data!$T$1:$T$2)</f>
        <v>#VALUE!</v>
      </c>
      <c r="B3242" s="0" t="s">
        <v>3273</v>
      </c>
    </row>
    <row r="3243" customFormat="false" ht="15" hidden="false" customHeight="false" outlineLevel="0" collapsed="false">
      <c r="A3243" s="0" t="e">
        <f aca="false">DPRODUCT(Data!$O$1:$R$9,Data!$O$2,Data!$AD$1:$AD$2)</f>
        <v>#VALUE!</v>
      </c>
      <c r="B3243" s="0" t="s">
        <v>3274</v>
      </c>
    </row>
    <row r="3244" customFormat="false" ht="15" hidden="false" customHeight="false" outlineLevel="0" collapsed="false">
      <c r="A3244" s="0" t="e">
        <f aca="false">DPRODUCT(Data!$O$1:$R$9,"",Data!$T$1:$T$2)</f>
        <v>#VALUE!</v>
      </c>
      <c r="B3244" s="0" t="s">
        <v>3275</v>
      </c>
    </row>
    <row r="3245" customFormat="false" ht="15" hidden="false" customHeight="false" outlineLevel="0" collapsed="false">
      <c r="A3245" s="0" t="e">
        <f aca="false">DPRODUCT(Data!$O$1:$R$9,"",Data!$AD$1:$AD$2)</f>
        <v>#VALUE!</v>
      </c>
      <c r="B3245" s="0" t="s">
        <v>3276</v>
      </c>
    </row>
    <row r="3246" customFormat="false" ht="15" hidden="false" customHeight="false" outlineLevel="0" collapsed="false">
      <c r="A3246" s="0" t="e">
        <f aca="false">DPRODUCT(Data!$O$1:$R$9,NA(),Data!$T$1:$T$2)</f>
        <v>#N/A</v>
      </c>
      <c r="B3246" s="0" t="s">
        <v>3277</v>
      </c>
    </row>
    <row r="3247" customFormat="false" ht="15" hidden="false" customHeight="false" outlineLevel="0" collapsed="false">
      <c r="A3247" s="0" t="e">
        <f aca="false">DPRODUCT(Data!$O$1:$R$9,NA(),Data!$AD$1:$AD$2)</f>
        <v>#N/A</v>
      </c>
      <c r="B3247" s="0" t="s">
        <v>3278</v>
      </c>
    </row>
    <row r="3248" customFormat="false" ht="15" hidden="false" customHeight="false" outlineLevel="0" collapsed="false">
      <c r="A3248" s="0" t="e">
        <f aca="false">DPRODUCT(Data!$O$1:$R$9,3,Data!$T$2:$T$3)</f>
        <v>#VALUE!</v>
      </c>
      <c r="B3248" s="0" t="s">
        <v>3279</v>
      </c>
    </row>
    <row r="3249" customFormat="false" ht="15" hidden="false" customHeight="false" outlineLevel="0" collapsed="false">
      <c r="A3249" s="0" t="e">
        <f aca="false">DPRODUCT(Data!$O$1:$R$9,3,Data!$T$1)</f>
        <v>#VALUE!</v>
      </c>
      <c r="B3249" s="0" t="s">
        <v>3280</v>
      </c>
    </row>
    <row r="3250" customFormat="false" ht="15" hidden="false" customHeight="false" outlineLevel="0" collapsed="false">
      <c r="A3250" s="0" t="e">
        <f aca="false">DPRODUCT(Data!$O$2:$R$9,3,Data!$T$1:$T$2)</f>
        <v>#VALUE!</v>
      </c>
      <c r="B3250" s="0" t="s">
        <v>3281</v>
      </c>
    </row>
    <row r="3251" customFormat="false" ht="15" hidden="false" customHeight="false" outlineLevel="0" collapsed="false">
      <c r="A3251" s="0" t="e">
        <f aca="false">DPRODUCT(Data!$O$1:$R$9,3,5)</f>
        <v>#VALUE!</v>
      </c>
      <c r="B3251" s="0" t="s">
        <v>3282</v>
      </c>
    </row>
    <row r="3252" customFormat="false" ht="15" hidden="false" customHeight="false" outlineLevel="0" collapsed="false">
      <c r="A3252" s="0" t="e">
        <f aca="false">DPRODUCT(5,3,Data!$T$1:$T$2)</f>
        <v>#VALUE!</v>
      </c>
      <c r="B3252" s="0" t="s">
        <v>3283</v>
      </c>
    </row>
    <row r="3253" customFormat="false" ht="15" hidden="false" customHeight="false" outlineLevel="0" collapsed="false">
      <c r="A3253" s="0" t="e">
        <f aca="false">DPRODUCT(Data!$O$1:$R$9,3,Data!$T$1:$T$2,1)</f>
        <v>#VALUE!</v>
      </c>
      <c r="B3253" s="0" t="s">
        <v>3284</v>
      </c>
    </row>
    <row r="3254" customFormat="false" ht="15" hidden="false" customHeight="false" outlineLevel="0" collapsed="false">
      <c r="A3254" s="0" t="e">
        <f aca="false">DPRODUCT(Data!$O$1:$R$9,3)</f>
        <v>#VALUE!</v>
      </c>
      <c r="B3254" s="0" t="s">
        <v>3285</v>
      </c>
    </row>
    <row r="3255" customFormat="false" ht="15" hidden="false" customHeight="false" outlineLevel="0" collapsed="false">
      <c r="A3255" s="0" t="e">
        <f aca="false">DPRODUCT(Data!$O$1:$O$9,1,Data!$T$1:$T$2)</f>
        <v>#VALUE!</v>
      </c>
      <c r="B3255" s="0" t="s">
        <v>3286</v>
      </c>
    </row>
    <row r="3256" customFormat="false" ht="15" hidden="false" customHeight="false" outlineLevel="0" collapsed="false">
      <c r="A3256" s="0" t="n">
        <f aca="false">DPRODUCT(Data!$O$1:$R$9,3,Data!$AU$1:$AU$2)</f>
        <v>6.9109984944E+017</v>
      </c>
      <c r="B3256" s="0" t="s">
        <v>3287</v>
      </c>
    </row>
    <row r="3257" customFormat="false" ht="15" hidden="false" customHeight="false" outlineLevel="0" collapsed="false">
      <c r="A3257" s="0" t="e">
        <f aca="false">DPRODUCT(Data!$O$1:$R$9,3,Data!$T$1:$U$1)</f>
        <v>#VALUE!</v>
      </c>
      <c r="B3257" s="0" t="s">
        <v>3288</v>
      </c>
    </row>
    <row r="3258" customFormat="false" ht="15" hidden="false" customHeight="false" outlineLevel="0" collapsed="false">
      <c r="A3258" s="0" t="n">
        <f aca="false">DSTDEV(Data!$O$1:$R$9,"Age",Data!$T$1:$T$2)</f>
        <v>0</v>
      </c>
      <c r="B3258" s="0" t="s">
        <v>3289</v>
      </c>
    </row>
    <row r="3259" customFormat="false" ht="15" hidden="false" customHeight="false" outlineLevel="0" collapsed="false">
      <c r="A3259" s="0" t="e">
        <f aca="false">DSTDEV(Data!$O$1:$R$9,"Age",Data!$V$1:$W$2)</f>
        <v>#NUM!</v>
      </c>
      <c r="B3259" s="0" t="s">
        <v>3290</v>
      </c>
    </row>
    <row r="3260" customFormat="false" ht="15" hidden="false" customHeight="false" outlineLevel="0" collapsed="false">
      <c r="A3260" s="0" t="n">
        <f aca="false">DSTDEV(Data!$O$1:$R$9,"Age",Data!$Y$1:$Y$3)</f>
        <v>14.3643076176102</v>
      </c>
      <c r="B3260" s="0" t="s">
        <v>3291</v>
      </c>
    </row>
    <row r="3261" customFormat="false" ht="15" hidden="false" customHeight="false" outlineLevel="0" collapsed="false">
      <c r="A3261" s="0" t="n">
        <f aca="false">DSTDEV(Data!$O$1:$R$9,"Age",Data!$AA$1:$AB$3)</f>
        <v>11.4367827643966</v>
      </c>
      <c r="B3261" s="0" t="s">
        <v>3292</v>
      </c>
    </row>
    <row r="3262" customFormat="false" ht="15" hidden="false" customHeight="false" outlineLevel="0" collapsed="false">
      <c r="A3262" s="0" t="n">
        <f aca="false">DSTDEV(Data!$O$1:$R$9,"Age",Data!$AD$1:$AD$2)</f>
        <v>9.72967967955095</v>
      </c>
      <c r="B3262" s="0" t="s">
        <v>3293</v>
      </c>
    </row>
    <row r="3263" customFormat="false" ht="15" hidden="false" customHeight="false" outlineLevel="0" collapsed="false">
      <c r="A3263" s="0" t="e">
        <f aca="false">DSTDEV(Data!$O$1:$R$9,"Age",Data!$AF$1:$AF$2)</f>
        <v>#VALUE!</v>
      </c>
      <c r="B3263" s="0" t="s">
        <v>3294</v>
      </c>
    </row>
    <row r="3264" customFormat="false" ht="15" hidden="false" customHeight="false" outlineLevel="0" collapsed="false">
      <c r="A3264" s="0" t="n">
        <f aca="false">DSTDEV(Data!$O$1:$R$9,"Age",Data!$AH$1:$AI$2)</f>
        <v>8.18535277187245</v>
      </c>
      <c r="B3264" s="0" t="s">
        <v>3295</v>
      </c>
    </row>
    <row r="3265" customFormat="false" ht="15" hidden="false" customHeight="false" outlineLevel="0" collapsed="false">
      <c r="A3265" s="0" t="n">
        <f aca="false">DSTDEV(Data!$O$1:$R$9,"Age",Data!$AK$1:$AK$2)</f>
        <v>-0</v>
      </c>
      <c r="B3265" s="0" t="s">
        <v>3296</v>
      </c>
    </row>
    <row r="3266" customFormat="false" ht="15" hidden="false" customHeight="false" outlineLevel="0" collapsed="false">
      <c r="A3266" s="0" t="n">
        <f aca="false">DSTDEV(Data!$O$1:$R$9,"Age",Data!$AM$1:$AM$2)</f>
        <v>0</v>
      </c>
      <c r="B3266" s="0" t="s">
        <v>3297</v>
      </c>
    </row>
    <row r="3267" customFormat="false" ht="15" hidden="false" customHeight="false" outlineLevel="0" collapsed="false">
      <c r="A3267" s="0" t="n">
        <f aca="false">DSTDEV(Data!$O$1:$R$9,"Age",Data!$AO$1:$AO$2)</f>
        <v>19.0918830920368</v>
      </c>
      <c r="B3267" s="0" t="s">
        <v>3298</v>
      </c>
    </row>
    <row r="3268" customFormat="false" ht="15" hidden="false" customHeight="false" outlineLevel="0" collapsed="false">
      <c r="A3268" s="0" t="n">
        <f aca="false">DSTDEV(Data!$O$1:$R$9,"Age",Data!$AQ$1:$AQ$2)</f>
        <v>11.3137084989848</v>
      </c>
      <c r="B3268" s="0" t="s">
        <v>3299</v>
      </c>
    </row>
    <row r="3269" customFormat="false" ht="15" hidden="false" customHeight="false" outlineLevel="0" collapsed="false">
      <c r="A3269" s="0" t="n">
        <f aca="false">DSTDEV(Data!$O$1:$R$9,"Age",Data!$AS$1:$AS$2)</f>
        <v>6.05805249234438</v>
      </c>
      <c r="B3269" s="0" t="s">
        <v>3300</v>
      </c>
    </row>
    <row r="3270" customFormat="false" ht="15" hidden="false" customHeight="false" outlineLevel="0" collapsed="false">
      <c r="A3270" s="0" t="n">
        <f aca="false">DSTDEV(Data!$O$1:$R$9,"Age",Data!$AU$1:$AU$3)</f>
        <v>9.72967967955095</v>
      </c>
      <c r="B3270" s="0" t="s">
        <v>3301</v>
      </c>
    </row>
    <row r="3271" customFormat="false" ht="15" hidden="false" customHeight="false" outlineLevel="0" collapsed="false">
      <c r="A3271" s="0" t="n">
        <f aca="false">DSTDEV(Data!$O$1:$R$9,"Age",Data!$AW$1:$AW$2)</f>
        <v>9.72967967955095</v>
      </c>
      <c r="B3271" s="0" t="s">
        <v>3302</v>
      </c>
    </row>
    <row r="3272" customFormat="false" ht="15" hidden="false" customHeight="false" outlineLevel="0" collapsed="false">
      <c r="A3272" s="0" t="n">
        <f aca="false">DSTDEV(Data!$O$1:$R$9,"Age",Data!$AY$1:$BA$3)</f>
        <v>9.23579991121505</v>
      </c>
      <c r="B3272" s="0" t="s">
        <v>3303</v>
      </c>
    </row>
    <row r="3273" customFormat="false" ht="15" hidden="false" customHeight="false" outlineLevel="0" collapsed="false">
      <c r="A3273" s="0" t="n">
        <f aca="false">DSTDEV(Data!$O$1:$R$9,"Age",Data!$BC$1:$BC$2)</f>
        <v>-0</v>
      </c>
      <c r="B3273" s="0" t="s">
        <v>3304</v>
      </c>
    </row>
    <row r="3274" customFormat="false" ht="15" hidden="false" customHeight="false" outlineLevel="0" collapsed="false">
      <c r="A3274" s="0" t="e">
        <f aca="false">DSTDEV(Data!$O$1:$R$9,"Age",Data!$BE$1:$BE$2)</f>
        <v>#NUM!</v>
      </c>
      <c r="B3274" s="0" t="s">
        <v>3305</v>
      </c>
    </row>
    <row r="3275" customFormat="false" ht="15" hidden="false" customHeight="false" outlineLevel="0" collapsed="false">
      <c r="A3275" s="0" t="n">
        <f aca="false">DSTDEV(Data!$O$1:$R$9,3,Data!$T$1:$T$2)</f>
        <v>14.142135623731</v>
      </c>
      <c r="B3275" s="0" t="s">
        <v>3306</v>
      </c>
    </row>
    <row r="3276" customFormat="false" ht="15" hidden="false" customHeight="false" outlineLevel="0" collapsed="false">
      <c r="A3276" s="0" t="e">
        <f aca="false">DSTDEV(Data!$O$1:$R$9,3,Data!$V$1:$W$2)</f>
        <v>#NUM!</v>
      </c>
      <c r="B3276" s="0" t="s">
        <v>3307</v>
      </c>
    </row>
    <row r="3277" customFormat="false" ht="15" hidden="false" customHeight="false" outlineLevel="0" collapsed="false">
      <c r="A3277" s="0" t="n">
        <f aca="false">DSTDEV(Data!$O$1:$R$9,3,Data!$Y$1:$Y$3)</f>
        <v>11.2398102000582</v>
      </c>
      <c r="B3277" s="0" t="s">
        <v>3308</v>
      </c>
    </row>
    <row r="3278" customFormat="false" ht="15" hidden="false" customHeight="false" outlineLevel="0" collapsed="false">
      <c r="A3278" s="0" t="n">
        <f aca="false">DSTDEV(Data!$O$1:$R$9,3,Data!$AA$1:$AB$3)</f>
        <v>9.19238815542512</v>
      </c>
      <c r="B3278" s="0" t="s">
        <v>3309</v>
      </c>
    </row>
    <row r="3279" customFormat="false" ht="15" hidden="false" customHeight="false" outlineLevel="0" collapsed="false">
      <c r="A3279" s="0" t="n">
        <f aca="false">DSTDEV(Data!$O$1:$R$9,3,Data!$AD$1:$AD$2)</f>
        <v>8.76682056718072</v>
      </c>
      <c r="B3279" s="0" t="s">
        <v>3310</v>
      </c>
    </row>
    <row r="3280" customFormat="false" ht="15" hidden="false" customHeight="false" outlineLevel="0" collapsed="false">
      <c r="A3280" s="0" t="e">
        <f aca="false">DSTDEV(Data!$O$1:$R$9,3,Data!$AF$1:$AF$2)</f>
        <v>#VALUE!</v>
      </c>
      <c r="B3280" s="0" t="s">
        <v>3311</v>
      </c>
    </row>
    <row r="3281" customFormat="false" ht="15" hidden="false" customHeight="false" outlineLevel="0" collapsed="false">
      <c r="A3281" s="0" t="n">
        <f aca="false">DSTDEV(Data!$O$1:$R$9,3,Data!$AH$1:$AI$2)</f>
        <v>7.63762615825973</v>
      </c>
      <c r="B3281" s="0" t="s">
        <v>3312</v>
      </c>
    </row>
    <row r="3282" customFormat="false" ht="15" hidden="false" customHeight="false" outlineLevel="0" collapsed="false">
      <c r="A3282" s="0" t="n">
        <f aca="false">DSTDEV(Data!$O$1:$R$9,3,Data!$AK$1:$AK$2)</f>
        <v>-0</v>
      </c>
      <c r="B3282" s="0" t="s">
        <v>3313</v>
      </c>
    </row>
    <row r="3283" customFormat="false" ht="15" hidden="false" customHeight="false" outlineLevel="0" collapsed="false">
      <c r="A3283" s="0" t="n">
        <f aca="false">DSTDEV(Data!$O$1:$R$9,3,Data!$AM$1:$AM$2)</f>
        <v>3.53553390593274</v>
      </c>
      <c r="B3283" s="0" t="s">
        <v>3314</v>
      </c>
    </row>
    <row r="3284" customFormat="false" ht="15" hidden="false" customHeight="false" outlineLevel="0" collapsed="false">
      <c r="A3284" s="0" t="n">
        <f aca="false">DSTDEV(Data!$O$1:$R$9,3,Data!$AO$1:$AO$2)</f>
        <v>4.94974746830583</v>
      </c>
      <c r="B3284" s="0" t="s">
        <v>3315</v>
      </c>
    </row>
    <row r="3285" customFormat="false" ht="15" hidden="false" customHeight="false" outlineLevel="0" collapsed="false">
      <c r="A3285" s="0" t="n">
        <f aca="false">DSTDEV(Data!$O$1:$R$9,3,Data!$AQ$1:$AQ$2)</f>
        <v>3.53553390593274</v>
      </c>
      <c r="B3285" s="0" t="s">
        <v>3316</v>
      </c>
    </row>
    <row r="3286" customFormat="false" ht="15" hidden="false" customHeight="false" outlineLevel="0" collapsed="false">
      <c r="A3286" s="0" t="n">
        <f aca="false">DSTDEV(Data!$O$1:$R$9,3,Data!$AS$1:$AS$2)</f>
        <v>8.01040989379861</v>
      </c>
      <c r="B3286" s="0" t="s">
        <v>3317</v>
      </c>
    </row>
    <row r="3287" customFormat="false" ht="15" hidden="false" customHeight="false" outlineLevel="0" collapsed="false">
      <c r="A3287" s="0" t="n">
        <f aca="false">DSTDEV(Data!$O$1:$R$9,3,Data!$AU$1:$AU$3)</f>
        <v>8.76682056718072</v>
      </c>
      <c r="B3287" s="0" t="s">
        <v>3318</v>
      </c>
    </row>
    <row r="3288" customFormat="false" ht="15" hidden="false" customHeight="false" outlineLevel="0" collapsed="false">
      <c r="A3288" s="0" t="n">
        <f aca="false">DSTDEV(Data!$O$1:$R$9,3,Data!$AW$1:$AW$2)</f>
        <v>9.46924847422786</v>
      </c>
      <c r="B3288" s="0" t="s">
        <v>3319</v>
      </c>
    </row>
    <row r="3289" customFormat="false" ht="15" hidden="false" customHeight="false" outlineLevel="0" collapsed="false">
      <c r="A3289" s="0" t="n">
        <f aca="false">DSTDEV(Data!$O$1:$R$9,3,Data!$AY$1:$BA$3)</f>
        <v>11.2694276695846</v>
      </c>
      <c r="B3289" s="0" t="s">
        <v>3320</v>
      </c>
    </row>
    <row r="3290" customFormat="false" ht="15" hidden="false" customHeight="false" outlineLevel="0" collapsed="false">
      <c r="A3290" s="0" t="e">
        <f aca="false">DSTDEV(Data!$O$1:$R$9,3,Data!$BC$1:$BC$2)</f>
        <v>#NUM!</v>
      </c>
      <c r="B3290" s="0" t="s">
        <v>3321</v>
      </c>
    </row>
    <row r="3291" customFormat="false" ht="15" hidden="false" customHeight="false" outlineLevel="0" collapsed="false">
      <c r="A3291" s="0" t="e">
        <f aca="false">DSTDEV(Data!$O$1:$R$9,3,Data!$BE$1:$BE$2)</f>
        <v>#NUM!</v>
      </c>
      <c r="B3291" s="0" t="s">
        <v>3322</v>
      </c>
    </row>
    <row r="3292" customFormat="false" ht="15" hidden="false" customHeight="false" outlineLevel="0" collapsed="false">
      <c r="A3292" s="0" t="n">
        <f aca="false">DSTDEV(Data!$O$1:$R$9,"Score",Data!$T$1:$T$2)</f>
        <v>7.07106781186548</v>
      </c>
      <c r="B3292" s="0" t="s">
        <v>3323</v>
      </c>
    </row>
    <row r="3293" customFormat="false" ht="15" hidden="false" customHeight="false" outlineLevel="0" collapsed="false">
      <c r="A3293" s="0" t="e">
        <f aca="false">DSTDEV(Data!$O$1:$R$9,"Score",Data!$V$1:$W$2)</f>
        <v>#NUM!</v>
      </c>
      <c r="B3293" s="0" t="s">
        <v>3324</v>
      </c>
    </row>
    <row r="3294" customFormat="false" ht="15" hidden="false" customHeight="false" outlineLevel="0" collapsed="false">
      <c r="A3294" s="0" t="n">
        <f aca="false">DSTDEV(Data!$O$1:$R$9,"Score",Data!$Y$1:$Y$3)</f>
        <v>6.80685928555405</v>
      </c>
      <c r="B3294" s="0" t="s">
        <v>3325</v>
      </c>
    </row>
    <row r="3295" customFormat="false" ht="15" hidden="false" customHeight="false" outlineLevel="0" collapsed="false">
      <c r="A3295" s="0" t="n">
        <f aca="false">DSTDEV(Data!$O$1:$R$9,"Score",Data!$AA$1:$AB$3)</f>
        <v>13.6857590216984</v>
      </c>
      <c r="B3295" s="0" t="s">
        <v>3326</v>
      </c>
    </row>
    <row r="3296" customFormat="false" ht="15" hidden="false" customHeight="false" outlineLevel="0" collapsed="false">
      <c r="A3296" s="0" t="n">
        <f aca="false">DSTDEV(Data!$O$1:$R$9,"Score",Data!$AD$1:$AD$2)</f>
        <v>11.9562695249137</v>
      </c>
      <c r="B3296" s="0" t="s">
        <v>3327</v>
      </c>
    </row>
    <row r="3297" customFormat="false" ht="15" hidden="false" customHeight="false" outlineLevel="0" collapsed="false">
      <c r="A3297" s="0" t="e">
        <f aca="false">DSTDEV(Data!$O$1:$R$9,"Score",Data!$AF$1:$AF$2)</f>
        <v>#VALUE!</v>
      </c>
      <c r="B3297" s="0" t="s">
        <v>3328</v>
      </c>
    </row>
    <row r="3298" customFormat="false" ht="15" hidden="false" customHeight="false" outlineLevel="0" collapsed="false">
      <c r="A3298" s="0" t="n">
        <f aca="false">DSTDEV(Data!$O$1:$R$9,"Score",Data!$AH$1:$AI$2)</f>
        <v>5</v>
      </c>
      <c r="B3298" s="0" t="s">
        <v>3329</v>
      </c>
    </row>
    <row r="3299" customFormat="false" ht="15" hidden="false" customHeight="false" outlineLevel="0" collapsed="false">
      <c r="A3299" s="0" t="n">
        <f aca="false">DSTDEV(Data!$O$1:$R$9,"Score",Data!$AK$1:$AK$2)</f>
        <v>-0</v>
      </c>
      <c r="B3299" s="0" t="s">
        <v>3330</v>
      </c>
    </row>
    <row r="3300" customFormat="false" ht="15" hidden="false" customHeight="false" outlineLevel="0" collapsed="false">
      <c r="A3300" s="0" t="n">
        <f aca="false">DSTDEV(Data!$O$1:$R$9,"Score",Data!$AM$1:$AM$2)</f>
        <v>21.2132034355964</v>
      </c>
      <c r="B3300" s="0" t="s">
        <v>3331</v>
      </c>
    </row>
    <row r="3301" customFormat="false" ht="15" hidden="false" customHeight="false" outlineLevel="0" collapsed="false">
      <c r="A3301" s="0" t="n">
        <f aca="false">DSTDEV(Data!$O$1:$R$9,"Score",Data!$AO$1:$AO$2)</f>
        <v>9.19238815542512</v>
      </c>
      <c r="B3301" s="0" t="s">
        <v>3332</v>
      </c>
    </row>
    <row r="3302" customFormat="false" ht="15" hidden="false" customHeight="false" outlineLevel="0" collapsed="false">
      <c r="A3302" s="0" t="n">
        <f aca="false">DSTDEV(Data!$O$1:$R$9,"Score",Data!$AQ$1:$AQ$2)</f>
        <v>17.6776695296637</v>
      </c>
      <c r="B3302" s="0" t="s">
        <v>3333</v>
      </c>
    </row>
    <row r="3303" customFormat="false" ht="15" hidden="false" customHeight="false" outlineLevel="0" collapsed="false">
      <c r="A3303" s="0" t="n">
        <f aca="false">DSTDEV(Data!$O$1:$R$9,"Score",Data!$AS$1:$AS$2)</f>
        <v>13.5092560861063</v>
      </c>
      <c r="B3303" s="0" t="s">
        <v>3334</v>
      </c>
    </row>
    <row r="3304" customFormat="false" ht="15" hidden="false" customHeight="false" outlineLevel="0" collapsed="false">
      <c r="A3304" s="0" t="n">
        <f aca="false">DSTDEV(Data!$O$1:$R$9,"Score",Data!$AU$1:$AU$3)</f>
        <v>11.9562695249137</v>
      </c>
      <c r="B3304" s="0" t="s">
        <v>3335</v>
      </c>
    </row>
    <row r="3305" customFormat="false" ht="15" hidden="false" customHeight="false" outlineLevel="0" collapsed="false">
      <c r="A3305" s="0" t="n">
        <f aca="false">DSTDEV(Data!$O$1:$R$9,"Score",Data!$AW$1:$AW$2)</f>
        <v>11.9562695249137</v>
      </c>
      <c r="B3305" s="0" t="s">
        <v>3336</v>
      </c>
    </row>
    <row r="3306" customFormat="false" ht="15" hidden="false" customHeight="false" outlineLevel="0" collapsed="false">
      <c r="A3306" s="0" t="n">
        <f aca="false">DSTDEV(Data!$O$1:$R$9,"Score",Data!$AY$1:$BA$3)</f>
        <v>9.34344690143846</v>
      </c>
      <c r="B3306" s="0" t="s">
        <v>3337</v>
      </c>
    </row>
    <row r="3307" customFormat="false" ht="15" hidden="false" customHeight="false" outlineLevel="0" collapsed="false">
      <c r="A3307" s="0" t="n">
        <f aca="false">DSTDEV(Data!$O$1:$R$9,"Score",Data!$BC$1:$BC$2)</f>
        <v>-0</v>
      </c>
      <c r="B3307" s="0" t="s">
        <v>3338</v>
      </c>
    </row>
    <row r="3308" customFormat="false" ht="15" hidden="false" customHeight="false" outlineLevel="0" collapsed="false">
      <c r="A3308" s="0" t="e">
        <f aca="false">DSTDEV(Data!$O$1:$R$9,"Score",Data!$BE$1:$BE$2)</f>
        <v>#NUM!</v>
      </c>
      <c r="B3308" s="0" t="s">
        <v>3339</v>
      </c>
    </row>
    <row r="3309" customFormat="false" ht="15" hidden="false" customHeight="false" outlineLevel="0" collapsed="false">
      <c r="A3309" s="0" t="n">
        <f aca="false">DSTDEV(Data!$O$1:$R$9,"age",Data!$T$1:$T$2)</f>
        <v>0</v>
      </c>
      <c r="B3309" s="0" t="s">
        <v>3340</v>
      </c>
    </row>
    <row r="3310" customFormat="false" ht="15" hidden="false" customHeight="false" outlineLevel="0" collapsed="false">
      <c r="A3310" s="0" t="n">
        <f aca="false">DSTDEV(Data!$O$1:$R$9,"age",Data!$AD$1:$AD$2)</f>
        <v>9.72967967955095</v>
      </c>
      <c r="B3310" s="0" t="s">
        <v>3341</v>
      </c>
    </row>
    <row r="3311" customFormat="false" ht="15" hidden="false" customHeight="false" outlineLevel="0" collapsed="false">
      <c r="A3311" s="0" t="e">
        <f aca="false">DSTDEV(Data!$O$1:$R$9,0,Data!$T$1:$T$2)</f>
        <v>#VALUE!</v>
      </c>
      <c r="B3311" s="0" t="s">
        <v>3342</v>
      </c>
    </row>
    <row r="3312" customFormat="false" ht="15" hidden="false" customHeight="false" outlineLevel="0" collapsed="false">
      <c r="A3312" s="0" t="e">
        <f aca="false">DSTDEV(Data!$O$1:$R$9,0,Data!$AD$1:$AD$2)</f>
        <v>#VALUE!</v>
      </c>
      <c r="B3312" s="0" t="s">
        <v>3343</v>
      </c>
    </row>
    <row r="3313" customFormat="false" ht="15" hidden="false" customHeight="false" outlineLevel="0" collapsed="false">
      <c r="A3313" s="0" t="e">
        <f aca="false">DSTDEV(Data!$O$1:$R$9,5,Data!$T$1:$T$2)</f>
        <v>#VALUE!</v>
      </c>
      <c r="B3313" s="0" t="s">
        <v>3344</v>
      </c>
    </row>
    <row r="3314" customFormat="false" ht="15" hidden="false" customHeight="false" outlineLevel="0" collapsed="false">
      <c r="A3314" s="0" t="e">
        <f aca="false">DSTDEV(Data!$O$1:$R$9,5,Data!$AD$1:$AD$2)</f>
        <v>#VALUE!</v>
      </c>
      <c r="B3314" s="0" t="s">
        <v>3345</v>
      </c>
    </row>
    <row r="3315" customFormat="false" ht="15" hidden="false" customHeight="false" outlineLevel="0" collapsed="false">
      <c r="A3315" s="0" t="e">
        <f aca="false">DSTDEV(Data!$O$1:$R$9,"Nope",Data!$T$1:$T$2)</f>
        <v>#VALUE!</v>
      </c>
      <c r="B3315" s="0" t="s">
        <v>3346</v>
      </c>
    </row>
    <row r="3316" customFormat="false" ht="15" hidden="false" customHeight="false" outlineLevel="0" collapsed="false">
      <c r="A3316" s="0" t="e">
        <f aca="false">DSTDEV(Data!$O$1:$R$9,"Nope",Data!$AD$1:$AD$2)</f>
        <v>#VALUE!</v>
      </c>
      <c r="B3316" s="0" t="s">
        <v>3347</v>
      </c>
    </row>
    <row r="3317" customFormat="false" ht="15" hidden="false" customHeight="false" outlineLevel="0" collapsed="false">
      <c r="A3317" s="0" t="e">
        <f aca="false">DSTDEV(Data!$O$1:$R$9,-1,Data!$T$1:$T$2)</f>
        <v>#VALUE!</v>
      </c>
      <c r="B3317" s="0" t="s">
        <v>3348</v>
      </c>
    </row>
    <row r="3318" customFormat="false" ht="15" hidden="false" customHeight="false" outlineLevel="0" collapsed="false">
      <c r="A3318" s="0" t="e">
        <f aca="false">DSTDEV(Data!$O$1:$R$9,-1,Data!$AD$1:$AD$2)</f>
        <v>#VALUE!</v>
      </c>
      <c r="B3318" s="0" t="s">
        <v>3349</v>
      </c>
    </row>
    <row r="3319" customFormat="false" ht="15" hidden="false" customHeight="false" outlineLevel="0" collapsed="false">
      <c r="A3319" s="0" t="n">
        <f aca="false">DSTDEV(Data!$O$1:$R$9,2.9,Data!$T$1:$T$2)</f>
        <v>0</v>
      </c>
      <c r="B3319" s="0" t="s">
        <v>3350</v>
      </c>
    </row>
    <row r="3320" customFormat="false" ht="15" hidden="false" customHeight="false" outlineLevel="0" collapsed="false">
      <c r="A3320" s="0" t="n">
        <f aca="false">DSTDEV(Data!$O$1:$R$9,2.9,Data!$AD$1:$AD$2)</f>
        <v>9.72967967955095</v>
      </c>
      <c r="B3320" s="0" t="s">
        <v>3351</v>
      </c>
    </row>
    <row r="3321" customFormat="false" ht="15" hidden="false" customHeight="false" outlineLevel="0" collapsed="false">
      <c r="A3321" s="0" t="e">
        <f aca="false">DSTDEV(Data!$O$1:$R$9,"2",Data!$T$1:$T$2)</f>
        <v>#VALUE!</v>
      </c>
      <c r="B3321" s="0" t="s">
        <v>3352</v>
      </c>
    </row>
    <row r="3322" customFormat="false" ht="15" hidden="false" customHeight="false" outlineLevel="0" collapsed="false">
      <c r="A3322" s="0" t="e">
        <f aca="false">DSTDEV(Data!$O$1:$R$9,"2",Data!$AD$1:$AD$2)</f>
        <v>#VALUE!</v>
      </c>
      <c r="B3322" s="0" t="s">
        <v>3353</v>
      </c>
    </row>
    <row r="3323" customFormat="false" ht="15" hidden="false" customHeight="false" outlineLevel="0" collapsed="false">
      <c r="A3323" s="0" t="n">
        <f aca="false">DSTDEV(Data!$O$1:$R$9,TRUE(),Data!$T$1:$T$2)</f>
        <v>-0</v>
      </c>
      <c r="B3323" s="0" t="s">
        <v>3354</v>
      </c>
    </row>
    <row r="3324" customFormat="false" ht="15" hidden="false" customHeight="false" outlineLevel="0" collapsed="false">
      <c r="A3324" s="0" t="n">
        <f aca="false">DSTDEV(Data!$O$1:$R$9,TRUE(),Data!$AD$1:$AD$2)</f>
        <v>-0</v>
      </c>
      <c r="B3324" s="0" t="s">
        <v>3355</v>
      </c>
    </row>
    <row r="3325" customFormat="false" ht="15" hidden="false" customHeight="false" outlineLevel="0" collapsed="false">
      <c r="A3325" s="0" t="n">
        <f aca="false">DSTDEV(Data!$O$1:$R$9,Data!$P$1,Data!$T$1:$T$2)</f>
        <v>0</v>
      </c>
      <c r="B3325" s="0" t="s">
        <v>3356</v>
      </c>
    </row>
    <row r="3326" customFormat="false" ht="15" hidden="false" customHeight="false" outlineLevel="0" collapsed="false">
      <c r="A3326" s="0" t="n">
        <f aca="false">DSTDEV(Data!$O$1:$R$9,Data!$P$1,Data!$AD$1:$AD$2)</f>
        <v>9.72967967955095</v>
      </c>
      <c r="B3326" s="0" t="s">
        <v>3357</v>
      </c>
    </row>
    <row r="3327" customFormat="false" ht="15" hidden="false" customHeight="false" outlineLevel="0" collapsed="false">
      <c r="A3327" s="0" t="n">
        <f aca="false">DSTDEV(Data!$O$1:$R$9,"Name",Data!$T$1:$T$2)</f>
        <v>-0</v>
      </c>
      <c r="B3327" s="0" t="s">
        <v>3358</v>
      </c>
    </row>
    <row r="3328" customFormat="false" ht="15" hidden="false" customHeight="false" outlineLevel="0" collapsed="false">
      <c r="A3328" s="0" t="n">
        <f aca="false">DSTDEV(Data!$O$1:$R$9,"Name",Data!$AD$1:$AD$2)</f>
        <v>-0</v>
      </c>
      <c r="B3328" s="0" t="s">
        <v>3359</v>
      </c>
    </row>
    <row r="3329" customFormat="false" ht="15" hidden="false" customHeight="false" outlineLevel="0" collapsed="false">
      <c r="A3329" s="0" t="e">
        <f aca="false">DSTDEV(Data!$O$1:$R$9,Data!$O$2,Data!$T$1:$T$2)</f>
        <v>#VALUE!</v>
      </c>
      <c r="B3329" s="0" t="s">
        <v>3360</v>
      </c>
    </row>
    <row r="3330" customFormat="false" ht="15" hidden="false" customHeight="false" outlineLevel="0" collapsed="false">
      <c r="A3330" s="0" t="e">
        <f aca="false">DSTDEV(Data!$O$1:$R$9,Data!$O$2,Data!$AD$1:$AD$2)</f>
        <v>#VALUE!</v>
      </c>
      <c r="B3330" s="0" t="s">
        <v>3361</v>
      </c>
    </row>
    <row r="3331" customFormat="false" ht="15" hidden="false" customHeight="false" outlineLevel="0" collapsed="false">
      <c r="A3331" s="0" t="e">
        <f aca="false">DSTDEV(Data!$O$1:$R$9,"",Data!$T$1:$T$2)</f>
        <v>#VALUE!</v>
      </c>
      <c r="B3331" s="0" t="s">
        <v>3362</v>
      </c>
    </row>
    <row r="3332" customFormat="false" ht="15" hidden="false" customHeight="false" outlineLevel="0" collapsed="false">
      <c r="A3332" s="0" t="e">
        <f aca="false">DSTDEV(Data!$O$1:$R$9,"",Data!$AD$1:$AD$2)</f>
        <v>#VALUE!</v>
      </c>
      <c r="B3332" s="0" t="s">
        <v>3363</v>
      </c>
    </row>
    <row r="3333" customFormat="false" ht="15" hidden="false" customHeight="false" outlineLevel="0" collapsed="false">
      <c r="A3333" s="0" t="e">
        <f aca="false">DSTDEV(Data!$O$1:$R$9,NA(),Data!$T$1:$T$2)</f>
        <v>#N/A</v>
      </c>
      <c r="B3333" s="0" t="s">
        <v>3364</v>
      </c>
    </row>
    <row r="3334" customFormat="false" ht="15" hidden="false" customHeight="false" outlineLevel="0" collapsed="false">
      <c r="A3334" s="0" t="e">
        <f aca="false">DSTDEV(Data!$O$1:$R$9,NA(),Data!$AD$1:$AD$2)</f>
        <v>#N/A</v>
      </c>
      <c r="B3334" s="0" t="s">
        <v>3365</v>
      </c>
    </row>
    <row r="3335" customFormat="false" ht="15" hidden="false" customHeight="false" outlineLevel="0" collapsed="false">
      <c r="A3335" s="0" t="e">
        <f aca="false">DSTDEV(Data!$O$1:$R$9,3,Data!$T$2:$T$3)</f>
        <v>#VALUE!</v>
      </c>
      <c r="B3335" s="0" t="s">
        <v>3366</v>
      </c>
    </row>
    <row r="3336" customFormat="false" ht="15" hidden="false" customHeight="false" outlineLevel="0" collapsed="false">
      <c r="A3336" s="0" t="e">
        <f aca="false">DSTDEV(Data!$O$1:$R$9,3,Data!$T$1)</f>
        <v>#VALUE!</v>
      </c>
      <c r="B3336" s="0" t="s">
        <v>3367</v>
      </c>
    </row>
    <row r="3337" customFormat="false" ht="15" hidden="false" customHeight="false" outlineLevel="0" collapsed="false">
      <c r="A3337" s="0" t="e">
        <f aca="false">DSTDEV(Data!$O$2:$R$9,3,Data!$T$1:$T$2)</f>
        <v>#VALUE!</v>
      </c>
      <c r="B3337" s="0" t="s">
        <v>3368</v>
      </c>
    </row>
    <row r="3338" customFormat="false" ht="15" hidden="false" customHeight="false" outlineLevel="0" collapsed="false">
      <c r="A3338" s="0" t="e">
        <f aca="false">DSTDEV(Data!$O$1:$R$9,3,5)</f>
        <v>#VALUE!</v>
      </c>
      <c r="B3338" s="0" t="s">
        <v>3369</v>
      </c>
    </row>
    <row r="3339" customFormat="false" ht="15" hidden="false" customHeight="false" outlineLevel="0" collapsed="false">
      <c r="A3339" s="0" t="e">
        <f aca="false">DSTDEV(5,3,Data!$T$1:$T$2)</f>
        <v>#VALUE!</v>
      </c>
      <c r="B3339" s="0" t="s">
        <v>3370</v>
      </c>
    </row>
    <row r="3340" customFormat="false" ht="15" hidden="false" customHeight="false" outlineLevel="0" collapsed="false">
      <c r="A3340" s="0" t="e">
        <f aca="false">DSTDEV(Data!$O$1:$R$9,3,Data!$T$1:$T$2,1)</f>
        <v>#VALUE!</v>
      </c>
      <c r="B3340" s="0" t="s">
        <v>3371</v>
      </c>
    </row>
    <row r="3341" customFormat="false" ht="15" hidden="false" customHeight="false" outlineLevel="0" collapsed="false">
      <c r="A3341" s="0" t="e">
        <f aca="false">DSTDEV(Data!$O$1:$R$9,3)</f>
        <v>#VALUE!</v>
      </c>
      <c r="B3341" s="0" t="s">
        <v>3372</v>
      </c>
    </row>
    <row r="3342" customFormat="false" ht="15" hidden="false" customHeight="false" outlineLevel="0" collapsed="false">
      <c r="A3342" s="0" t="e">
        <f aca="false">DSTDEV(Data!$O$1:$O$9,1,Data!$T$1:$T$2)</f>
        <v>#VALUE!</v>
      </c>
      <c r="B3342" s="0" t="s">
        <v>3373</v>
      </c>
    </row>
    <row r="3343" customFormat="false" ht="15" hidden="false" customHeight="false" outlineLevel="0" collapsed="false">
      <c r="A3343" s="0" t="n">
        <f aca="false">DSTDEV(Data!$O$1:$R$9,3,Data!$AU$1:$AU$2)</f>
        <v>8.76682056718072</v>
      </c>
      <c r="B3343" s="0" t="s">
        <v>3374</v>
      </c>
    </row>
    <row r="3344" customFormat="false" ht="15" hidden="false" customHeight="false" outlineLevel="0" collapsed="false">
      <c r="A3344" s="0" t="e">
        <f aca="false">DSTDEV(Data!$O$1:$R$9,3,Data!$T$1:$U$1)</f>
        <v>#VALUE!</v>
      </c>
      <c r="B3344" s="0" t="s">
        <v>3375</v>
      </c>
    </row>
    <row r="3345" customFormat="false" ht="15" hidden="false" customHeight="false" outlineLevel="0" collapsed="false">
      <c r="A3345" s="0" t="n">
        <f aca="false">DSTDEVP(Data!$O$1:$R$9,"Age",Data!$T$1:$T$2)</f>
        <v>0</v>
      </c>
      <c r="B3345" s="0" t="s">
        <v>3376</v>
      </c>
    </row>
    <row r="3346" customFormat="false" ht="15" hidden="false" customHeight="false" outlineLevel="0" collapsed="false">
      <c r="A3346" s="0" t="n">
        <f aca="false">DSTDEVP(Data!$O$1:$R$9,"Age",Data!$V$1:$W$2)</f>
        <v>0</v>
      </c>
      <c r="B3346" s="0" t="s">
        <v>3377</v>
      </c>
    </row>
    <row r="3347" customFormat="false" ht="15" hidden="false" customHeight="false" outlineLevel="0" collapsed="false">
      <c r="A3347" s="0" t="n">
        <f aca="false">DSTDEVP(Data!$O$1:$R$9,"Age",Data!$Y$1:$Y$3)</f>
        <v>11.7284080571728</v>
      </c>
      <c r="B3347" s="0" t="s">
        <v>3378</v>
      </c>
    </row>
    <row r="3348" customFormat="false" ht="15" hidden="false" customHeight="false" outlineLevel="0" collapsed="false">
      <c r="A3348" s="0" t="n">
        <f aca="false">DSTDEVP(Data!$O$1:$R$9,"Age",Data!$AA$1:$AB$3)</f>
        <v>10.2293694820355</v>
      </c>
      <c r="B3348" s="0" t="s">
        <v>3379</v>
      </c>
    </row>
    <row r="3349" customFormat="false" ht="15" hidden="false" customHeight="false" outlineLevel="0" collapsed="false">
      <c r="A3349" s="0" t="n">
        <f aca="false">DSTDEVP(Data!$O$1:$R$9,"Age",Data!$AD$1:$AD$2)</f>
        <v>9.00793301167683</v>
      </c>
      <c r="B3349" s="0" t="s">
        <v>3380</v>
      </c>
    </row>
    <row r="3350" customFormat="false" ht="15" hidden="false" customHeight="false" outlineLevel="0" collapsed="false">
      <c r="A3350" s="0" t="e">
        <f aca="false">DSTDEVP(Data!$O$1:$R$9,"Age",Data!$AF$1:$AF$2)</f>
        <v>#VALUE!</v>
      </c>
      <c r="B3350" s="0" t="s">
        <v>3381</v>
      </c>
    </row>
    <row r="3351" customFormat="false" ht="15" hidden="false" customHeight="false" outlineLevel="0" collapsed="false">
      <c r="A3351" s="0" t="n">
        <f aca="false">DSTDEVP(Data!$O$1:$R$9,"Age",Data!$AH$1:$AI$2)</f>
        <v>6.68331255192114</v>
      </c>
      <c r="B3351" s="0" t="s">
        <v>3382</v>
      </c>
    </row>
    <row r="3352" customFormat="false" ht="15" hidden="false" customHeight="false" outlineLevel="0" collapsed="false">
      <c r="A3352" s="0" t="e">
        <f aca="false">DSTDEVP(Data!$O$1:$R$9,"Age",Data!$AK$1:$AK$2)</f>
        <v>#NUM!</v>
      </c>
      <c r="B3352" s="0" t="s">
        <v>3383</v>
      </c>
    </row>
    <row r="3353" customFormat="false" ht="15" hidden="false" customHeight="false" outlineLevel="0" collapsed="false">
      <c r="A3353" s="0" t="n">
        <f aca="false">DSTDEVP(Data!$O$1:$R$9,"Age",Data!$AM$1:$AM$2)</f>
        <v>0</v>
      </c>
      <c r="B3353" s="0" t="s">
        <v>3384</v>
      </c>
    </row>
    <row r="3354" customFormat="false" ht="15" hidden="false" customHeight="false" outlineLevel="0" collapsed="false">
      <c r="A3354" s="0" t="n">
        <f aca="false">DSTDEVP(Data!$O$1:$R$9,"Age",Data!$AO$1:$AO$2)</f>
        <v>13.5</v>
      </c>
      <c r="B3354" s="0" t="s">
        <v>3385</v>
      </c>
    </row>
    <row r="3355" customFormat="false" ht="15" hidden="false" customHeight="false" outlineLevel="0" collapsed="false">
      <c r="A3355" s="0" t="n">
        <f aca="false">DSTDEVP(Data!$O$1:$R$9,"Age",Data!$AQ$1:$AQ$2)</f>
        <v>8</v>
      </c>
      <c r="B3355" s="0" t="s">
        <v>3386</v>
      </c>
    </row>
    <row r="3356" customFormat="false" ht="15" hidden="false" customHeight="false" outlineLevel="0" collapsed="false">
      <c r="A3356" s="0" t="n">
        <f aca="false">DSTDEVP(Data!$O$1:$R$9,"Age",Data!$AS$1:$AS$2)</f>
        <v>5.41848687365763</v>
      </c>
      <c r="B3356" s="0" t="s">
        <v>3387</v>
      </c>
    </row>
    <row r="3357" customFormat="false" ht="15" hidden="false" customHeight="false" outlineLevel="0" collapsed="false">
      <c r="A3357" s="0" t="n">
        <f aca="false">DSTDEVP(Data!$O$1:$R$9,"Age",Data!$AU$1:$AU$3)</f>
        <v>9.00793301167683</v>
      </c>
      <c r="B3357" s="0" t="s">
        <v>3388</v>
      </c>
    </row>
    <row r="3358" customFormat="false" ht="15" hidden="false" customHeight="false" outlineLevel="0" collapsed="false">
      <c r="A3358" s="0" t="n">
        <f aca="false">DSTDEVP(Data!$O$1:$R$9,"Age",Data!$AW$1:$AW$2)</f>
        <v>9.00793301167683</v>
      </c>
      <c r="B3358" s="0" t="s">
        <v>3389</v>
      </c>
    </row>
    <row r="3359" customFormat="false" ht="15" hidden="false" customHeight="false" outlineLevel="0" collapsed="false">
      <c r="A3359" s="0" t="n">
        <f aca="false">DSTDEVP(Data!$O$1:$R$9,"Age",Data!$AY$1:$BA$3)</f>
        <v>8.26075057122535</v>
      </c>
      <c r="B3359" s="0" t="s">
        <v>3390</v>
      </c>
    </row>
    <row r="3360" customFormat="false" ht="15" hidden="false" customHeight="false" outlineLevel="0" collapsed="false">
      <c r="A3360" s="0" t="e">
        <f aca="false">DSTDEVP(Data!$O$1:$R$9,"Age",Data!$BC$1:$BC$2)</f>
        <v>#NUM!</v>
      </c>
      <c r="B3360" s="0" t="s">
        <v>3391</v>
      </c>
    </row>
    <row r="3361" customFormat="false" ht="15" hidden="false" customHeight="false" outlineLevel="0" collapsed="false">
      <c r="A3361" s="0" t="n">
        <f aca="false">DSTDEVP(Data!$O$1:$R$9,"Age",Data!$BE$1:$BE$2)</f>
        <v>0</v>
      </c>
      <c r="B3361" s="0" t="s">
        <v>3392</v>
      </c>
    </row>
    <row r="3362" customFormat="false" ht="15" hidden="false" customHeight="false" outlineLevel="0" collapsed="false">
      <c r="A3362" s="0" t="n">
        <f aca="false">DSTDEVP(Data!$O$1:$R$9,3,Data!$T$1:$T$2)</f>
        <v>10</v>
      </c>
      <c r="B3362" s="0" t="s">
        <v>3393</v>
      </c>
    </row>
    <row r="3363" customFormat="false" ht="15" hidden="false" customHeight="false" outlineLevel="0" collapsed="false">
      <c r="A3363" s="0" t="n">
        <f aca="false">DSTDEVP(Data!$O$1:$R$9,3,Data!$V$1:$W$2)</f>
        <v>0</v>
      </c>
      <c r="B3363" s="0" t="s">
        <v>3394</v>
      </c>
    </row>
    <row r="3364" customFormat="false" ht="15" hidden="false" customHeight="false" outlineLevel="0" collapsed="false">
      <c r="A3364" s="0" t="n">
        <f aca="false">DSTDEVP(Data!$O$1:$R$9,3,Data!$Y$1:$Y$3)</f>
        <v>9.17726659862414</v>
      </c>
      <c r="B3364" s="0" t="s">
        <v>3395</v>
      </c>
    </row>
    <row r="3365" customFormat="false" ht="15" hidden="false" customHeight="false" outlineLevel="0" collapsed="false">
      <c r="A3365" s="0" t="n">
        <f aca="false">DSTDEVP(Data!$O$1:$R$9,3,Data!$AA$1:$AB$3)</f>
        <v>8.22192191643779</v>
      </c>
      <c r="B3365" s="0" t="s">
        <v>3396</v>
      </c>
    </row>
    <row r="3366" customFormat="false" ht="15" hidden="false" customHeight="false" outlineLevel="0" collapsed="false">
      <c r="A3366" s="0" t="n">
        <f aca="false">DSTDEVP(Data!$O$1:$R$9,3,Data!$AD$1:$AD$2)</f>
        <v>8.20060973342836</v>
      </c>
      <c r="B3366" s="0" t="s">
        <v>3397</v>
      </c>
    </row>
    <row r="3367" customFormat="false" ht="15" hidden="false" customHeight="false" outlineLevel="0" collapsed="false">
      <c r="A3367" s="0" t="e">
        <f aca="false">DSTDEVP(Data!$O$1:$R$9,3,Data!$AF$1:$AF$2)</f>
        <v>#VALUE!</v>
      </c>
      <c r="B3367" s="0" t="s">
        <v>3398</v>
      </c>
    </row>
    <row r="3368" customFormat="false" ht="15" hidden="false" customHeight="false" outlineLevel="0" collapsed="false">
      <c r="A3368" s="0" t="n">
        <f aca="false">DSTDEVP(Data!$O$1:$R$9,3,Data!$AH$1:$AI$2)</f>
        <v>6.23609564462324</v>
      </c>
      <c r="B3368" s="0" t="s">
        <v>3399</v>
      </c>
    </row>
    <row r="3369" customFormat="false" ht="15" hidden="false" customHeight="false" outlineLevel="0" collapsed="false">
      <c r="A3369" s="0" t="e">
        <f aca="false">DSTDEVP(Data!$O$1:$R$9,3,Data!$AK$1:$AK$2)</f>
        <v>#NUM!</v>
      </c>
      <c r="B3369" s="0" t="s">
        <v>3400</v>
      </c>
    </row>
    <row r="3370" customFormat="false" ht="15" hidden="false" customHeight="false" outlineLevel="0" collapsed="false">
      <c r="A3370" s="0" t="n">
        <f aca="false">DSTDEVP(Data!$O$1:$R$9,3,Data!$AM$1:$AM$2)</f>
        <v>2.5</v>
      </c>
      <c r="B3370" s="0" t="s">
        <v>3401</v>
      </c>
    </row>
    <row r="3371" customFormat="false" ht="15" hidden="false" customHeight="false" outlineLevel="0" collapsed="false">
      <c r="A3371" s="0" t="n">
        <f aca="false">DSTDEVP(Data!$O$1:$R$9,3,Data!$AO$1:$AO$2)</f>
        <v>3.5</v>
      </c>
      <c r="B3371" s="0" t="s">
        <v>3402</v>
      </c>
    </row>
    <row r="3372" customFormat="false" ht="15" hidden="false" customHeight="false" outlineLevel="0" collapsed="false">
      <c r="A3372" s="0" t="n">
        <f aca="false">DSTDEVP(Data!$O$1:$R$9,3,Data!$AQ$1:$AQ$2)</f>
        <v>2.5</v>
      </c>
      <c r="B3372" s="0" t="s">
        <v>3403</v>
      </c>
    </row>
    <row r="3373" customFormat="false" ht="15" hidden="false" customHeight="false" outlineLevel="0" collapsed="false">
      <c r="A3373" s="0" t="n">
        <f aca="false">DSTDEVP(Data!$O$1:$R$9,3,Data!$AS$1:$AS$2)</f>
        <v>7.31247032282677</v>
      </c>
      <c r="B3373" s="0" t="s">
        <v>3404</v>
      </c>
    </row>
    <row r="3374" customFormat="false" ht="15" hidden="false" customHeight="false" outlineLevel="0" collapsed="false">
      <c r="A3374" s="0" t="n">
        <f aca="false">DSTDEVP(Data!$O$1:$R$9,3,Data!$AU$1:$AU$3)</f>
        <v>8.20060973342836</v>
      </c>
      <c r="B3374" s="0" t="s">
        <v>3405</v>
      </c>
    </row>
    <row r="3375" customFormat="false" ht="15" hidden="false" customHeight="false" outlineLevel="0" collapsed="false">
      <c r="A3375" s="0" t="n">
        <f aca="false">DSTDEVP(Data!$O$1:$R$9,3,Data!$AW$1:$AW$2)</f>
        <v>8.76682056718072</v>
      </c>
      <c r="B3375" s="0" t="s">
        <v>3406</v>
      </c>
    </row>
    <row r="3376" customFormat="false" ht="15" hidden="false" customHeight="false" outlineLevel="0" collapsed="false">
      <c r="A3376" s="0" t="n">
        <f aca="false">DSTDEVP(Data!$O$1:$R$9,3,Data!$AY$1:$BA$3)</f>
        <v>10.0796825346833</v>
      </c>
      <c r="B3376" s="0" t="s">
        <v>3407</v>
      </c>
    </row>
    <row r="3377" customFormat="false" ht="15" hidden="false" customHeight="false" outlineLevel="0" collapsed="false">
      <c r="A3377" s="0" t="n">
        <f aca="false">DSTDEVP(Data!$O$1:$R$9,3,Data!$BC$1:$BC$2)</f>
        <v>0</v>
      </c>
      <c r="B3377" s="0" t="s">
        <v>3408</v>
      </c>
    </row>
    <row r="3378" customFormat="false" ht="15" hidden="false" customHeight="false" outlineLevel="0" collapsed="false">
      <c r="A3378" s="0" t="n">
        <f aca="false">DSTDEVP(Data!$O$1:$R$9,3,Data!$BE$1:$BE$2)</f>
        <v>0</v>
      </c>
      <c r="B3378" s="0" t="s">
        <v>3409</v>
      </c>
    </row>
    <row r="3379" customFormat="false" ht="15" hidden="false" customHeight="false" outlineLevel="0" collapsed="false">
      <c r="A3379" s="0" t="n">
        <f aca="false">DSTDEVP(Data!$O$1:$R$9,"Score",Data!$T$1:$T$2)</f>
        <v>5</v>
      </c>
      <c r="B3379" s="0" t="s">
        <v>3410</v>
      </c>
    </row>
    <row r="3380" customFormat="false" ht="15" hidden="false" customHeight="false" outlineLevel="0" collapsed="false">
      <c r="A3380" s="0" t="n">
        <f aca="false">DSTDEVP(Data!$O$1:$R$9,"Score",Data!$V$1:$W$2)</f>
        <v>0</v>
      </c>
      <c r="B3380" s="0" t="s">
        <v>3411</v>
      </c>
    </row>
    <row r="3381" customFormat="false" ht="15" hidden="false" customHeight="false" outlineLevel="0" collapsed="false">
      <c r="A3381" s="0" t="n">
        <f aca="false">DSTDEVP(Data!$O$1:$R$9,"Score",Data!$Y$1:$Y$3)</f>
        <v>5.55777733351102</v>
      </c>
      <c r="B3381" s="0" t="s">
        <v>3412</v>
      </c>
    </row>
    <row r="3382" customFormat="false" ht="15" hidden="false" customHeight="false" outlineLevel="0" collapsed="false">
      <c r="A3382" s="0" t="n">
        <f aca="false">DSTDEVP(Data!$O$1:$R$9,"Score",Data!$AA$1:$AB$3)</f>
        <v>12.2409149984795</v>
      </c>
      <c r="B3382" s="0" t="s">
        <v>3413</v>
      </c>
    </row>
    <row r="3383" customFormat="false" ht="15" hidden="false" customHeight="false" outlineLevel="0" collapsed="false">
      <c r="A3383" s="0" t="n">
        <f aca="false">DSTDEVP(Data!$O$1:$R$9,"Score",Data!$AD$1:$AD$2)</f>
        <v>11.0693546444632</v>
      </c>
      <c r="B3383" s="0" t="s">
        <v>3414</v>
      </c>
    </row>
    <row r="3384" customFormat="false" ht="15" hidden="false" customHeight="false" outlineLevel="0" collapsed="false">
      <c r="A3384" s="0" t="e">
        <f aca="false">DSTDEVP(Data!$O$1:$R$9,"Score",Data!$AF$1:$AF$2)</f>
        <v>#VALUE!</v>
      </c>
      <c r="B3384" s="0" t="s">
        <v>3415</v>
      </c>
    </row>
    <row r="3385" customFormat="false" ht="15" hidden="false" customHeight="false" outlineLevel="0" collapsed="false">
      <c r="A3385" s="0" t="n">
        <f aca="false">DSTDEVP(Data!$O$1:$R$9,"Score",Data!$AH$1:$AI$2)</f>
        <v>4.08248290463863</v>
      </c>
      <c r="B3385" s="0" t="s">
        <v>3416</v>
      </c>
    </row>
    <row r="3386" customFormat="false" ht="15" hidden="false" customHeight="false" outlineLevel="0" collapsed="false">
      <c r="A3386" s="0" t="e">
        <f aca="false">DSTDEVP(Data!$O$1:$R$9,"Score",Data!$AK$1:$AK$2)</f>
        <v>#NUM!</v>
      </c>
      <c r="B3386" s="0" t="s">
        <v>3417</v>
      </c>
    </row>
    <row r="3387" customFormat="false" ht="15" hidden="false" customHeight="false" outlineLevel="0" collapsed="false">
      <c r="A3387" s="0" t="n">
        <f aca="false">DSTDEVP(Data!$O$1:$R$9,"Score",Data!$AM$1:$AM$2)</f>
        <v>15</v>
      </c>
      <c r="B3387" s="0" t="s">
        <v>3418</v>
      </c>
    </row>
    <row r="3388" customFormat="false" ht="15" hidden="false" customHeight="false" outlineLevel="0" collapsed="false">
      <c r="A3388" s="0" t="n">
        <f aca="false">DSTDEVP(Data!$O$1:$R$9,"Score",Data!$AO$1:$AO$2)</f>
        <v>6.5</v>
      </c>
      <c r="B3388" s="0" t="s">
        <v>3419</v>
      </c>
    </row>
    <row r="3389" customFormat="false" ht="15" hidden="false" customHeight="false" outlineLevel="0" collapsed="false">
      <c r="A3389" s="0" t="n">
        <f aca="false">DSTDEVP(Data!$O$1:$R$9,"Score",Data!$AQ$1:$AQ$2)</f>
        <v>12.5</v>
      </c>
      <c r="B3389" s="0" t="s">
        <v>3420</v>
      </c>
    </row>
    <row r="3390" customFormat="false" ht="15" hidden="false" customHeight="false" outlineLevel="0" collapsed="false">
      <c r="A3390" s="0" t="n">
        <f aca="false">DSTDEVP(Data!$O$1:$R$9,"Score",Data!$AS$1:$AS$2)</f>
        <v>12.0830459735946</v>
      </c>
      <c r="B3390" s="0" t="s">
        <v>3421</v>
      </c>
    </row>
    <row r="3391" customFormat="false" ht="15" hidden="false" customHeight="false" outlineLevel="0" collapsed="false">
      <c r="A3391" s="0" t="n">
        <f aca="false">DSTDEVP(Data!$O$1:$R$9,"Score",Data!$AU$1:$AU$3)</f>
        <v>11.0693546444632</v>
      </c>
      <c r="B3391" s="0" t="s">
        <v>3422</v>
      </c>
    </row>
    <row r="3392" customFormat="false" ht="15" hidden="false" customHeight="false" outlineLevel="0" collapsed="false">
      <c r="A3392" s="0" t="n">
        <f aca="false">DSTDEVP(Data!$O$1:$R$9,"Score",Data!$AW$1:$AW$2)</f>
        <v>11.0693546444632</v>
      </c>
      <c r="B3392" s="0" t="s">
        <v>3423</v>
      </c>
    </row>
    <row r="3393" customFormat="false" ht="15" hidden="false" customHeight="false" outlineLevel="0" collapsed="false">
      <c r="A3393" s="0" t="n">
        <f aca="false">DSTDEVP(Data!$O$1:$R$9,"Score",Data!$AY$1:$BA$3)</f>
        <v>8.35703296631047</v>
      </c>
      <c r="B3393" s="0" t="s">
        <v>3424</v>
      </c>
    </row>
    <row r="3394" customFormat="false" ht="15" hidden="false" customHeight="false" outlineLevel="0" collapsed="false">
      <c r="A3394" s="0" t="e">
        <f aca="false">DSTDEVP(Data!$O$1:$R$9,"Score",Data!$BC$1:$BC$2)</f>
        <v>#NUM!</v>
      </c>
      <c r="B3394" s="0" t="s">
        <v>3425</v>
      </c>
    </row>
    <row r="3395" customFormat="false" ht="15" hidden="false" customHeight="false" outlineLevel="0" collapsed="false">
      <c r="A3395" s="0" t="n">
        <f aca="false">DSTDEVP(Data!$O$1:$R$9,"Score",Data!$BE$1:$BE$2)</f>
        <v>0</v>
      </c>
      <c r="B3395" s="0" t="s">
        <v>3426</v>
      </c>
    </row>
    <row r="3396" customFormat="false" ht="15" hidden="false" customHeight="false" outlineLevel="0" collapsed="false">
      <c r="A3396" s="0" t="n">
        <f aca="false">DSTDEVP(Data!$O$1:$R$9,"age",Data!$T$1:$T$2)</f>
        <v>0</v>
      </c>
      <c r="B3396" s="0" t="s">
        <v>3427</v>
      </c>
    </row>
    <row r="3397" customFormat="false" ht="15" hidden="false" customHeight="false" outlineLevel="0" collapsed="false">
      <c r="A3397" s="0" t="n">
        <f aca="false">DSTDEVP(Data!$O$1:$R$9,"age",Data!$AD$1:$AD$2)</f>
        <v>9.00793301167683</v>
      </c>
      <c r="B3397" s="0" t="s">
        <v>3428</v>
      </c>
    </row>
    <row r="3398" customFormat="false" ht="15" hidden="false" customHeight="false" outlineLevel="0" collapsed="false">
      <c r="A3398" s="0" t="e">
        <f aca="false">DSTDEVP(Data!$O$1:$R$9,0,Data!$T$1:$T$2)</f>
        <v>#VALUE!</v>
      </c>
      <c r="B3398" s="0" t="s">
        <v>3429</v>
      </c>
    </row>
    <row r="3399" customFormat="false" ht="15" hidden="false" customHeight="false" outlineLevel="0" collapsed="false">
      <c r="A3399" s="0" t="e">
        <f aca="false">DSTDEVP(Data!$O$1:$R$9,0,Data!$AD$1:$AD$2)</f>
        <v>#VALUE!</v>
      </c>
      <c r="B3399" s="0" t="s">
        <v>3430</v>
      </c>
    </row>
    <row r="3400" customFormat="false" ht="15" hidden="false" customHeight="false" outlineLevel="0" collapsed="false">
      <c r="A3400" s="0" t="e">
        <f aca="false">DSTDEVP(Data!$O$1:$R$9,5,Data!$T$1:$T$2)</f>
        <v>#VALUE!</v>
      </c>
      <c r="B3400" s="0" t="s">
        <v>3431</v>
      </c>
    </row>
    <row r="3401" customFormat="false" ht="15" hidden="false" customHeight="false" outlineLevel="0" collapsed="false">
      <c r="A3401" s="0" t="e">
        <f aca="false">DSTDEVP(Data!$O$1:$R$9,5,Data!$AD$1:$AD$2)</f>
        <v>#VALUE!</v>
      </c>
      <c r="B3401" s="0" t="s">
        <v>3432</v>
      </c>
    </row>
    <row r="3402" customFormat="false" ht="15" hidden="false" customHeight="false" outlineLevel="0" collapsed="false">
      <c r="A3402" s="0" t="e">
        <f aca="false">DSTDEVP(Data!$O$1:$R$9,"Nope",Data!$T$1:$T$2)</f>
        <v>#VALUE!</v>
      </c>
      <c r="B3402" s="0" t="s">
        <v>3433</v>
      </c>
    </row>
    <row r="3403" customFormat="false" ht="15" hidden="false" customHeight="false" outlineLevel="0" collapsed="false">
      <c r="A3403" s="0" t="e">
        <f aca="false">DSTDEVP(Data!$O$1:$R$9,"Nope",Data!$AD$1:$AD$2)</f>
        <v>#VALUE!</v>
      </c>
      <c r="B3403" s="0" t="s">
        <v>3434</v>
      </c>
    </row>
    <row r="3404" customFormat="false" ht="15" hidden="false" customHeight="false" outlineLevel="0" collapsed="false">
      <c r="A3404" s="0" t="e">
        <f aca="false">DSTDEVP(Data!$O$1:$R$9,-1,Data!$T$1:$T$2)</f>
        <v>#VALUE!</v>
      </c>
      <c r="B3404" s="0" t="s">
        <v>3435</v>
      </c>
    </row>
    <row r="3405" customFormat="false" ht="15" hidden="false" customHeight="false" outlineLevel="0" collapsed="false">
      <c r="A3405" s="0" t="e">
        <f aca="false">DSTDEVP(Data!$O$1:$R$9,-1,Data!$AD$1:$AD$2)</f>
        <v>#VALUE!</v>
      </c>
      <c r="B3405" s="0" t="s">
        <v>3436</v>
      </c>
    </row>
    <row r="3406" customFormat="false" ht="15" hidden="false" customHeight="false" outlineLevel="0" collapsed="false">
      <c r="A3406" s="0" t="n">
        <f aca="false">DSTDEVP(Data!$O$1:$R$9,2.9,Data!$T$1:$T$2)</f>
        <v>0</v>
      </c>
      <c r="B3406" s="0" t="s">
        <v>3437</v>
      </c>
    </row>
    <row r="3407" customFormat="false" ht="15" hidden="false" customHeight="false" outlineLevel="0" collapsed="false">
      <c r="A3407" s="0" t="n">
        <f aca="false">DSTDEVP(Data!$O$1:$R$9,2.9,Data!$AD$1:$AD$2)</f>
        <v>9.00793301167683</v>
      </c>
      <c r="B3407" s="0" t="s">
        <v>3438</v>
      </c>
    </row>
    <row r="3408" customFormat="false" ht="15" hidden="false" customHeight="false" outlineLevel="0" collapsed="false">
      <c r="A3408" s="0" t="e">
        <f aca="false">DSTDEVP(Data!$O$1:$R$9,"2",Data!$T$1:$T$2)</f>
        <v>#VALUE!</v>
      </c>
      <c r="B3408" s="0" t="s">
        <v>3439</v>
      </c>
    </row>
    <row r="3409" customFormat="false" ht="15" hidden="false" customHeight="false" outlineLevel="0" collapsed="false">
      <c r="A3409" s="0" t="e">
        <f aca="false">DSTDEVP(Data!$O$1:$R$9,"2",Data!$AD$1:$AD$2)</f>
        <v>#VALUE!</v>
      </c>
      <c r="B3409" s="0" t="s">
        <v>3440</v>
      </c>
    </row>
    <row r="3410" customFormat="false" ht="15" hidden="false" customHeight="false" outlineLevel="0" collapsed="false">
      <c r="A3410" s="0" t="e">
        <f aca="false">DSTDEVP(Data!$O$1:$R$9,TRUE(),Data!$T$1:$T$2)</f>
        <v>#NUM!</v>
      </c>
      <c r="B3410" s="0" t="s">
        <v>3441</v>
      </c>
    </row>
    <row r="3411" customFormat="false" ht="15" hidden="false" customHeight="false" outlineLevel="0" collapsed="false">
      <c r="A3411" s="0" t="e">
        <f aca="false">DSTDEVP(Data!$O$1:$R$9,TRUE(),Data!$AD$1:$AD$2)</f>
        <v>#NUM!</v>
      </c>
      <c r="B3411" s="0" t="s">
        <v>3442</v>
      </c>
    </row>
    <row r="3412" customFormat="false" ht="15" hidden="false" customHeight="false" outlineLevel="0" collapsed="false">
      <c r="A3412" s="0" t="n">
        <f aca="false">DSTDEVP(Data!$O$1:$R$9,Data!$P$1,Data!$T$1:$T$2)</f>
        <v>0</v>
      </c>
      <c r="B3412" s="0" t="s">
        <v>3443</v>
      </c>
    </row>
    <row r="3413" customFormat="false" ht="15" hidden="false" customHeight="false" outlineLevel="0" collapsed="false">
      <c r="A3413" s="0" t="n">
        <f aca="false">DSTDEVP(Data!$O$1:$R$9,Data!$P$1,Data!$AD$1:$AD$2)</f>
        <v>9.00793301167683</v>
      </c>
      <c r="B3413" s="0" t="s">
        <v>3444</v>
      </c>
    </row>
    <row r="3414" customFormat="false" ht="15" hidden="false" customHeight="false" outlineLevel="0" collapsed="false">
      <c r="A3414" s="0" t="e">
        <f aca="false">DSTDEVP(Data!$O$1:$R$9,"Name",Data!$T$1:$T$2)</f>
        <v>#NUM!</v>
      </c>
      <c r="B3414" s="0" t="s">
        <v>3445</v>
      </c>
    </row>
    <row r="3415" customFormat="false" ht="15" hidden="false" customHeight="false" outlineLevel="0" collapsed="false">
      <c r="A3415" s="0" t="e">
        <f aca="false">DSTDEVP(Data!$O$1:$R$9,"Name",Data!$AD$1:$AD$2)</f>
        <v>#NUM!</v>
      </c>
      <c r="B3415" s="0" t="s">
        <v>3446</v>
      </c>
    </row>
    <row r="3416" customFormat="false" ht="15" hidden="false" customHeight="false" outlineLevel="0" collapsed="false">
      <c r="A3416" s="0" t="e">
        <f aca="false">DSTDEVP(Data!$O$1:$R$9,Data!$O$2,Data!$T$1:$T$2)</f>
        <v>#VALUE!</v>
      </c>
      <c r="B3416" s="0" t="s">
        <v>3447</v>
      </c>
    </row>
    <row r="3417" customFormat="false" ht="15" hidden="false" customHeight="false" outlineLevel="0" collapsed="false">
      <c r="A3417" s="0" t="e">
        <f aca="false">DSTDEVP(Data!$O$1:$R$9,Data!$O$2,Data!$AD$1:$AD$2)</f>
        <v>#VALUE!</v>
      </c>
      <c r="B3417" s="0" t="s">
        <v>3448</v>
      </c>
    </row>
    <row r="3418" customFormat="false" ht="15" hidden="false" customHeight="false" outlineLevel="0" collapsed="false">
      <c r="A3418" s="0" t="e">
        <f aca="false">DSTDEVP(Data!$O$1:$R$9,"",Data!$T$1:$T$2)</f>
        <v>#VALUE!</v>
      </c>
      <c r="B3418" s="0" t="s">
        <v>3449</v>
      </c>
    </row>
    <row r="3419" customFormat="false" ht="15" hidden="false" customHeight="false" outlineLevel="0" collapsed="false">
      <c r="A3419" s="0" t="e">
        <f aca="false">DSTDEVP(Data!$O$1:$R$9,"",Data!$AD$1:$AD$2)</f>
        <v>#VALUE!</v>
      </c>
      <c r="B3419" s="0" t="s">
        <v>3450</v>
      </c>
    </row>
    <row r="3420" customFormat="false" ht="15" hidden="false" customHeight="false" outlineLevel="0" collapsed="false">
      <c r="A3420" s="0" t="e">
        <f aca="false">DSTDEVP(Data!$O$1:$R$9,NA(),Data!$T$1:$T$2)</f>
        <v>#N/A</v>
      </c>
      <c r="B3420" s="0" t="s">
        <v>3451</v>
      </c>
    </row>
    <row r="3421" customFormat="false" ht="15" hidden="false" customHeight="false" outlineLevel="0" collapsed="false">
      <c r="A3421" s="0" t="e">
        <f aca="false">DSTDEVP(Data!$O$1:$R$9,NA(),Data!$AD$1:$AD$2)</f>
        <v>#N/A</v>
      </c>
      <c r="B3421" s="0" t="s">
        <v>3452</v>
      </c>
    </row>
    <row r="3422" customFormat="false" ht="15" hidden="false" customHeight="false" outlineLevel="0" collapsed="false">
      <c r="A3422" s="0" t="e">
        <f aca="false">DSTDEVP(Data!$O$1:$R$9,3,Data!$T$2:$T$3)</f>
        <v>#VALUE!</v>
      </c>
      <c r="B3422" s="0" t="s">
        <v>3453</v>
      </c>
    </row>
    <row r="3423" customFormat="false" ht="15" hidden="false" customHeight="false" outlineLevel="0" collapsed="false">
      <c r="A3423" s="0" t="e">
        <f aca="false">DSTDEVP(Data!$O$1:$R$9,3,Data!$T$1)</f>
        <v>#VALUE!</v>
      </c>
      <c r="B3423" s="0" t="s">
        <v>3454</v>
      </c>
    </row>
    <row r="3424" customFormat="false" ht="15" hidden="false" customHeight="false" outlineLevel="0" collapsed="false">
      <c r="A3424" s="0" t="e">
        <f aca="false">DSTDEVP(Data!$O$2:$R$9,3,Data!$T$1:$T$2)</f>
        <v>#VALUE!</v>
      </c>
      <c r="B3424" s="0" t="s">
        <v>3455</v>
      </c>
    </row>
    <row r="3425" customFormat="false" ht="15" hidden="false" customHeight="false" outlineLevel="0" collapsed="false">
      <c r="A3425" s="0" t="e">
        <f aca="false">DSTDEVP(Data!$O$1:$R$9,3,5)</f>
        <v>#VALUE!</v>
      </c>
      <c r="B3425" s="0" t="s">
        <v>3456</v>
      </c>
    </row>
    <row r="3426" customFormat="false" ht="15" hidden="false" customHeight="false" outlineLevel="0" collapsed="false">
      <c r="A3426" s="0" t="e">
        <f aca="false">DSTDEVP(5,3,Data!$T$1:$T$2)</f>
        <v>#VALUE!</v>
      </c>
      <c r="B3426" s="0" t="s">
        <v>3457</v>
      </c>
    </row>
    <row r="3427" customFormat="false" ht="15" hidden="false" customHeight="false" outlineLevel="0" collapsed="false">
      <c r="A3427" s="0" t="e">
        <f aca="false">DSTDEVP(Data!$O$1:$R$9,3,Data!$T$1:$T$2,1)</f>
        <v>#VALUE!</v>
      </c>
      <c r="B3427" s="0" t="s">
        <v>3458</v>
      </c>
    </row>
    <row r="3428" customFormat="false" ht="15" hidden="false" customHeight="false" outlineLevel="0" collapsed="false">
      <c r="A3428" s="0" t="e">
        <f aca="false">DSTDEVP(Data!$O$1:$R$9,3)</f>
        <v>#VALUE!</v>
      </c>
      <c r="B3428" s="0" t="s">
        <v>3459</v>
      </c>
    </row>
    <row r="3429" customFormat="false" ht="15" hidden="false" customHeight="false" outlineLevel="0" collapsed="false">
      <c r="A3429" s="0" t="e">
        <f aca="false">DSTDEVP(Data!$O$1:$O$9,1,Data!$T$1:$T$2)</f>
        <v>#VALUE!</v>
      </c>
      <c r="B3429" s="0" t="s">
        <v>3460</v>
      </c>
    </row>
    <row r="3430" customFormat="false" ht="15" hidden="false" customHeight="false" outlineLevel="0" collapsed="false">
      <c r="A3430" s="0" t="n">
        <f aca="false">DSTDEVP(Data!$O$1:$R$9,3,Data!$AU$1:$AU$2)</f>
        <v>8.20060973342836</v>
      </c>
      <c r="B3430" s="0" t="s">
        <v>3461</v>
      </c>
    </row>
    <row r="3431" customFormat="false" ht="15" hidden="false" customHeight="false" outlineLevel="0" collapsed="false">
      <c r="A3431" s="0" t="e">
        <f aca="false">DSTDEVP(Data!$O$1:$R$9,3,Data!$T$1:$U$1)</f>
        <v>#VALUE!</v>
      </c>
      <c r="B3431" s="0" t="s">
        <v>3462</v>
      </c>
    </row>
    <row r="3432" customFormat="false" ht="15" hidden="false" customHeight="false" outlineLevel="0" collapsed="false">
      <c r="A3432" s="0" t="n">
        <f aca="false">DVAR(Data!$O$1:$R$9,"Age",Data!$T$1:$T$2)</f>
        <v>0</v>
      </c>
      <c r="B3432" s="0" t="s">
        <v>3463</v>
      </c>
    </row>
    <row r="3433" customFormat="false" ht="15" hidden="false" customHeight="false" outlineLevel="0" collapsed="false">
      <c r="A3433" s="0" t="e">
        <f aca="false">DVAR(Data!$O$1:$R$9,"Age",Data!$V$1:$W$2)</f>
        <v>#NUM!</v>
      </c>
      <c r="B3433" s="0" t="s">
        <v>3464</v>
      </c>
    </row>
    <row r="3434" customFormat="false" ht="15" hidden="false" customHeight="false" outlineLevel="0" collapsed="false">
      <c r="A3434" s="0" t="n">
        <f aca="false">DVAR(Data!$O$1:$R$9,"Age",Data!$Y$1:$Y$3)</f>
        <v>206.333333333333</v>
      </c>
      <c r="B3434" s="0" t="s">
        <v>3465</v>
      </c>
    </row>
    <row r="3435" customFormat="false" ht="15" hidden="false" customHeight="false" outlineLevel="0" collapsed="false">
      <c r="A3435" s="0" t="n">
        <f aca="false">DVAR(Data!$O$1:$R$9,"Age",Data!$AA$1:$AB$3)</f>
        <v>130.8</v>
      </c>
      <c r="B3435" s="0" t="s">
        <v>3466</v>
      </c>
    </row>
    <row r="3436" customFormat="false" ht="15" hidden="false" customHeight="false" outlineLevel="0" collapsed="false">
      <c r="A3436" s="0" t="n">
        <f aca="false">DVAR(Data!$O$1:$R$9,"Age",Data!$AD$1:$AD$2)</f>
        <v>94.6666666666667</v>
      </c>
      <c r="B3436" s="0" t="s">
        <v>3467</v>
      </c>
    </row>
    <row r="3437" customFormat="false" ht="15" hidden="false" customHeight="false" outlineLevel="0" collapsed="false">
      <c r="A3437" s="0" t="e">
        <f aca="false">DVAR(Data!$O$1:$R$9,"Age",Data!$AF$1:$AF$2)</f>
        <v>#VALUE!</v>
      </c>
      <c r="B3437" s="0" t="s">
        <v>3468</v>
      </c>
    </row>
    <row r="3438" customFormat="false" ht="15" hidden="false" customHeight="false" outlineLevel="0" collapsed="false">
      <c r="A3438" s="0" t="n">
        <f aca="false">DVAR(Data!$O$1:$R$9,"Age",Data!$AH$1:$AI$2)</f>
        <v>67</v>
      </c>
      <c r="B3438" s="0" t="s">
        <v>3469</v>
      </c>
    </row>
    <row r="3439" customFormat="false" ht="15" hidden="false" customHeight="false" outlineLevel="0" collapsed="false">
      <c r="A3439" s="0" t="n">
        <f aca="false">DVAR(Data!$O$1:$R$9,"Age",Data!$AK$1:$AK$2)</f>
        <v>-0</v>
      </c>
      <c r="B3439" s="0" t="s">
        <v>3470</v>
      </c>
    </row>
    <row r="3440" customFormat="false" ht="15" hidden="false" customHeight="false" outlineLevel="0" collapsed="false">
      <c r="A3440" s="0" t="n">
        <f aca="false">DVAR(Data!$O$1:$R$9,"Age",Data!$AM$1:$AM$2)</f>
        <v>0</v>
      </c>
      <c r="B3440" s="0" t="s">
        <v>3471</v>
      </c>
    </row>
    <row r="3441" customFormat="false" ht="15" hidden="false" customHeight="false" outlineLevel="0" collapsed="false">
      <c r="A3441" s="0" t="n">
        <f aca="false">DVAR(Data!$O$1:$R$9,"Age",Data!$AO$1:$AO$2)</f>
        <v>364.5</v>
      </c>
      <c r="B3441" s="0" t="s">
        <v>3472</v>
      </c>
    </row>
    <row r="3442" customFormat="false" ht="15" hidden="false" customHeight="false" outlineLevel="0" collapsed="false">
      <c r="A3442" s="0" t="n">
        <f aca="false">DVAR(Data!$O$1:$R$9,"Age",Data!$AQ$1:$AQ$2)</f>
        <v>128</v>
      </c>
      <c r="B3442" s="0" t="s">
        <v>3473</v>
      </c>
    </row>
    <row r="3443" customFormat="false" ht="15" hidden="false" customHeight="false" outlineLevel="0" collapsed="false">
      <c r="A3443" s="0" t="n">
        <f aca="false">DVAR(Data!$O$1:$R$9,"Age",Data!$AS$1:$AS$2)</f>
        <v>36.7</v>
      </c>
      <c r="B3443" s="0" t="s">
        <v>3474</v>
      </c>
    </row>
    <row r="3444" customFormat="false" ht="15" hidden="false" customHeight="false" outlineLevel="0" collapsed="false">
      <c r="A3444" s="0" t="n">
        <f aca="false">DVAR(Data!$O$1:$R$9,"Age",Data!$AU$1:$AU$3)</f>
        <v>94.6666666666667</v>
      </c>
      <c r="B3444" s="0" t="s">
        <v>3475</v>
      </c>
    </row>
    <row r="3445" customFormat="false" ht="15" hidden="false" customHeight="false" outlineLevel="0" collapsed="false">
      <c r="A3445" s="0" t="n">
        <f aca="false">DVAR(Data!$O$1:$R$9,"Age",Data!$AW$1:$AW$2)</f>
        <v>94.6666666666667</v>
      </c>
      <c r="B3445" s="0" t="s">
        <v>3476</v>
      </c>
    </row>
    <row r="3446" customFormat="false" ht="15" hidden="false" customHeight="false" outlineLevel="0" collapsed="false">
      <c r="A3446" s="0" t="n">
        <f aca="false">DVAR(Data!$O$1:$R$9,"Age",Data!$AY$1:$BA$3)</f>
        <v>85.3</v>
      </c>
      <c r="B3446" s="0" t="s">
        <v>3477</v>
      </c>
    </row>
    <row r="3447" customFormat="false" ht="15" hidden="false" customHeight="false" outlineLevel="0" collapsed="false">
      <c r="A3447" s="0" t="n">
        <f aca="false">DVAR(Data!$O$1:$R$9,"Age",Data!$BC$1:$BC$2)</f>
        <v>-0</v>
      </c>
      <c r="B3447" s="0" t="s">
        <v>3478</v>
      </c>
    </row>
    <row r="3448" customFormat="false" ht="15" hidden="false" customHeight="false" outlineLevel="0" collapsed="false">
      <c r="A3448" s="0" t="e">
        <f aca="false">DVAR(Data!$O$1:$R$9,"Age",Data!$BE$1:$BE$2)</f>
        <v>#NUM!</v>
      </c>
      <c r="B3448" s="0" t="s">
        <v>3479</v>
      </c>
    </row>
    <row r="3449" customFormat="false" ht="15" hidden="false" customHeight="false" outlineLevel="0" collapsed="false">
      <c r="A3449" s="0" t="n">
        <f aca="false">DVAR(Data!$O$1:$R$9,3,Data!$T$1:$T$2)</f>
        <v>200</v>
      </c>
      <c r="B3449" s="0" t="s">
        <v>3480</v>
      </c>
    </row>
    <row r="3450" customFormat="false" ht="15" hidden="false" customHeight="false" outlineLevel="0" collapsed="false">
      <c r="A3450" s="0" t="e">
        <f aca="false">DVAR(Data!$O$1:$R$9,3,Data!$V$1:$W$2)</f>
        <v>#NUM!</v>
      </c>
      <c r="B3450" s="0" t="s">
        <v>3481</v>
      </c>
    </row>
    <row r="3451" customFormat="false" ht="15" hidden="false" customHeight="false" outlineLevel="0" collapsed="false">
      <c r="A3451" s="0" t="n">
        <f aca="false">DVAR(Data!$O$1:$R$9,3,Data!$Y$1:$Y$3)</f>
        <v>126.333333333333</v>
      </c>
      <c r="B3451" s="0" t="s">
        <v>3482</v>
      </c>
    </row>
    <row r="3452" customFormat="false" ht="15" hidden="false" customHeight="false" outlineLevel="0" collapsed="false">
      <c r="A3452" s="0" t="n">
        <f aca="false">DVAR(Data!$O$1:$R$9,3,Data!$AA$1:$AB$3)</f>
        <v>84.5</v>
      </c>
      <c r="B3452" s="0" t="s">
        <v>3483</v>
      </c>
    </row>
    <row r="3453" customFormat="false" ht="15" hidden="false" customHeight="false" outlineLevel="0" collapsed="false">
      <c r="A3453" s="0" t="n">
        <f aca="false">DVAR(Data!$O$1:$R$9,3,Data!$AD$1:$AD$2)</f>
        <v>76.8571428571429</v>
      </c>
      <c r="B3453" s="0" t="s">
        <v>3484</v>
      </c>
    </row>
    <row r="3454" customFormat="false" ht="15" hidden="false" customHeight="false" outlineLevel="0" collapsed="false">
      <c r="A3454" s="0" t="e">
        <f aca="false">DVAR(Data!$O$1:$R$9,3,Data!$AF$1:$AF$2)</f>
        <v>#VALUE!</v>
      </c>
      <c r="B3454" s="0" t="s">
        <v>3485</v>
      </c>
    </row>
    <row r="3455" customFormat="false" ht="15" hidden="false" customHeight="false" outlineLevel="0" collapsed="false">
      <c r="A3455" s="0" t="n">
        <f aca="false">DVAR(Data!$O$1:$R$9,3,Data!$AH$1:$AI$2)</f>
        <v>58.3333333333333</v>
      </c>
      <c r="B3455" s="0" t="s">
        <v>3486</v>
      </c>
    </row>
    <row r="3456" customFormat="false" ht="15" hidden="false" customHeight="false" outlineLevel="0" collapsed="false">
      <c r="A3456" s="0" t="n">
        <f aca="false">DVAR(Data!$O$1:$R$9,3,Data!$AK$1:$AK$2)</f>
        <v>-0</v>
      </c>
      <c r="B3456" s="0" t="s">
        <v>3487</v>
      </c>
    </row>
    <row r="3457" customFormat="false" ht="15" hidden="false" customHeight="false" outlineLevel="0" collapsed="false">
      <c r="A3457" s="0" t="n">
        <f aca="false">DVAR(Data!$O$1:$R$9,3,Data!$AM$1:$AM$2)</f>
        <v>12.5</v>
      </c>
      <c r="B3457" s="0" t="s">
        <v>3488</v>
      </c>
    </row>
    <row r="3458" customFormat="false" ht="15" hidden="false" customHeight="false" outlineLevel="0" collapsed="false">
      <c r="A3458" s="0" t="n">
        <f aca="false">DVAR(Data!$O$1:$R$9,3,Data!$AO$1:$AO$2)</f>
        <v>24.5</v>
      </c>
      <c r="B3458" s="0" t="s">
        <v>3489</v>
      </c>
    </row>
    <row r="3459" customFormat="false" ht="15" hidden="false" customHeight="false" outlineLevel="0" collapsed="false">
      <c r="A3459" s="0" t="n">
        <f aca="false">DVAR(Data!$O$1:$R$9,3,Data!$AQ$1:$AQ$2)</f>
        <v>12.5</v>
      </c>
      <c r="B3459" s="0" t="s">
        <v>3490</v>
      </c>
    </row>
    <row r="3460" customFormat="false" ht="15" hidden="false" customHeight="false" outlineLevel="0" collapsed="false">
      <c r="A3460" s="0" t="n">
        <f aca="false">DVAR(Data!$O$1:$R$9,3,Data!$AS$1:$AS$2)</f>
        <v>64.1666666666667</v>
      </c>
      <c r="B3460" s="0" t="s">
        <v>3491</v>
      </c>
    </row>
    <row r="3461" customFormat="false" ht="15" hidden="false" customHeight="false" outlineLevel="0" collapsed="false">
      <c r="A3461" s="0" t="n">
        <f aca="false">DVAR(Data!$O$1:$R$9,3,Data!$AU$1:$AU$3)</f>
        <v>76.8571428571429</v>
      </c>
      <c r="B3461" s="0" t="s">
        <v>3492</v>
      </c>
    </row>
    <row r="3462" customFormat="false" ht="15" hidden="false" customHeight="false" outlineLevel="0" collapsed="false">
      <c r="A3462" s="0" t="n">
        <f aca="false">DVAR(Data!$O$1:$R$9,3,Data!$AW$1:$AW$2)</f>
        <v>89.6666666666667</v>
      </c>
      <c r="B3462" s="0" t="s">
        <v>3493</v>
      </c>
    </row>
    <row r="3463" customFormat="false" ht="15" hidden="false" customHeight="false" outlineLevel="0" collapsed="false">
      <c r="A3463" s="0" t="n">
        <f aca="false">DVAR(Data!$O$1:$R$9,3,Data!$AY$1:$BA$3)</f>
        <v>127</v>
      </c>
      <c r="B3463" s="0" t="s">
        <v>3494</v>
      </c>
    </row>
    <row r="3464" customFormat="false" ht="15" hidden="false" customHeight="false" outlineLevel="0" collapsed="false">
      <c r="A3464" s="0" t="e">
        <f aca="false">DVAR(Data!$O$1:$R$9,3,Data!$BC$1:$BC$2)</f>
        <v>#NUM!</v>
      </c>
      <c r="B3464" s="0" t="s">
        <v>3495</v>
      </c>
    </row>
    <row r="3465" customFormat="false" ht="15" hidden="false" customHeight="false" outlineLevel="0" collapsed="false">
      <c r="A3465" s="0" t="e">
        <f aca="false">DVAR(Data!$O$1:$R$9,3,Data!$BE$1:$BE$2)</f>
        <v>#NUM!</v>
      </c>
      <c r="B3465" s="0" t="s">
        <v>3496</v>
      </c>
    </row>
    <row r="3466" customFormat="false" ht="15" hidden="false" customHeight="false" outlineLevel="0" collapsed="false">
      <c r="A3466" s="0" t="n">
        <f aca="false">DVAR(Data!$O$1:$R$9,"Score",Data!$T$1:$T$2)</f>
        <v>50</v>
      </c>
      <c r="B3466" s="0" t="s">
        <v>3497</v>
      </c>
    </row>
    <row r="3467" customFormat="false" ht="15" hidden="false" customHeight="false" outlineLevel="0" collapsed="false">
      <c r="A3467" s="0" t="e">
        <f aca="false">DVAR(Data!$O$1:$R$9,"Score",Data!$V$1:$W$2)</f>
        <v>#NUM!</v>
      </c>
      <c r="B3467" s="0" t="s">
        <v>3498</v>
      </c>
    </row>
    <row r="3468" customFormat="false" ht="15" hidden="false" customHeight="false" outlineLevel="0" collapsed="false">
      <c r="A3468" s="0" t="n">
        <f aca="false">DVAR(Data!$O$1:$R$9,"Score",Data!$Y$1:$Y$3)</f>
        <v>46.3333333333333</v>
      </c>
      <c r="B3468" s="0" t="s">
        <v>3499</v>
      </c>
    </row>
    <row r="3469" customFormat="false" ht="15" hidden="false" customHeight="false" outlineLevel="0" collapsed="false">
      <c r="A3469" s="0" t="n">
        <f aca="false">DVAR(Data!$O$1:$R$9,"Score",Data!$AA$1:$AB$3)</f>
        <v>187.3</v>
      </c>
      <c r="B3469" s="0" t="s">
        <v>3500</v>
      </c>
    </row>
    <row r="3470" customFormat="false" ht="15" hidden="false" customHeight="false" outlineLevel="0" collapsed="false">
      <c r="A3470" s="0" t="n">
        <f aca="false">DVAR(Data!$O$1:$R$9,"Score",Data!$AD$1:$AD$2)</f>
        <v>142.952380952381</v>
      </c>
      <c r="B3470" s="0" t="s">
        <v>3501</v>
      </c>
    </row>
    <row r="3471" customFormat="false" ht="15" hidden="false" customHeight="false" outlineLevel="0" collapsed="false">
      <c r="A3471" s="0" t="e">
        <f aca="false">DVAR(Data!$O$1:$R$9,"Score",Data!$AF$1:$AF$2)</f>
        <v>#VALUE!</v>
      </c>
      <c r="B3471" s="0" t="s">
        <v>3502</v>
      </c>
    </row>
    <row r="3472" customFormat="false" ht="15" hidden="false" customHeight="false" outlineLevel="0" collapsed="false">
      <c r="A3472" s="0" t="n">
        <f aca="false">DVAR(Data!$O$1:$R$9,"Score",Data!$AH$1:$AI$2)</f>
        <v>25</v>
      </c>
      <c r="B3472" s="0" t="s">
        <v>3503</v>
      </c>
    </row>
    <row r="3473" customFormat="false" ht="15" hidden="false" customHeight="false" outlineLevel="0" collapsed="false">
      <c r="A3473" s="0" t="n">
        <f aca="false">DVAR(Data!$O$1:$R$9,"Score",Data!$AK$1:$AK$2)</f>
        <v>-0</v>
      </c>
      <c r="B3473" s="0" t="s">
        <v>3504</v>
      </c>
    </row>
    <row r="3474" customFormat="false" ht="15" hidden="false" customHeight="false" outlineLevel="0" collapsed="false">
      <c r="A3474" s="0" t="n">
        <f aca="false">DVAR(Data!$O$1:$R$9,"Score",Data!$AM$1:$AM$2)</f>
        <v>450</v>
      </c>
      <c r="B3474" s="0" t="s">
        <v>3505</v>
      </c>
    </row>
    <row r="3475" customFormat="false" ht="15" hidden="false" customHeight="false" outlineLevel="0" collapsed="false">
      <c r="A3475" s="0" t="n">
        <f aca="false">DVAR(Data!$O$1:$R$9,"Score",Data!$AO$1:$AO$2)</f>
        <v>84.5</v>
      </c>
      <c r="B3475" s="0" t="s">
        <v>3506</v>
      </c>
    </row>
    <row r="3476" customFormat="false" ht="15" hidden="false" customHeight="false" outlineLevel="0" collapsed="false">
      <c r="A3476" s="0" t="n">
        <f aca="false">DVAR(Data!$O$1:$R$9,"Score",Data!$AQ$1:$AQ$2)</f>
        <v>312.5</v>
      </c>
      <c r="B3476" s="0" t="s">
        <v>3507</v>
      </c>
    </row>
    <row r="3477" customFormat="false" ht="15" hidden="false" customHeight="false" outlineLevel="0" collapsed="false">
      <c r="A3477" s="0" t="n">
        <f aca="false">DVAR(Data!$O$1:$R$9,"Score",Data!$AS$1:$AS$2)</f>
        <v>182.5</v>
      </c>
      <c r="B3477" s="0" t="s">
        <v>3508</v>
      </c>
    </row>
    <row r="3478" customFormat="false" ht="15" hidden="false" customHeight="false" outlineLevel="0" collapsed="false">
      <c r="A3478" s="0" t="n">
        <f aca="false">DVAR(Data!$O$1:$R$9,"Score",Data!$AU$1:$AU$3)</f>
        <v>142.952380952381</v>
      </c>
      <c r="B3478" s="0" t="s">
        <v>3509</v>
      </c>
    </row>
    <row r="3479" customFormat="false" ht="15" hidden="false" customHeight="false" outlineLevel="0" collapsed="false">
      <c r="A3479" s="0" t="n">
        <f aca="false">DVAR(Data!$O$1:$R$9,"Score",Data!$AW$1:$AW$2)</f>
        <v>142.952380952381</v>
      </c>
      <c r="B3479" s="0" t="s">
        <v>3510</v>
      </c>
    </row>
    <row r="3480" customFormat="false" ht="15" hidden="false" customHeight="false" outlineLevel="0" collapsed="false">
      <c r="A3480" s="0" t="n">
        <f aca="false">DVAR(Data!$O$1:$R$9,"Score",Data!$AY$1:$BA$3)</f>
        <v>87.3</v>
      </c>
      <c r="B3480" s="0" t="s">
        <v>3511</v>
      </c>
    </row>
    <row r="3481" customFormat="false" ht="15" hidden="false" customHeight="false" outlineLevel="0" collapsed="false">
      <c r="A3481" s="0" t="n">
        <f aca="false">DVAR(Data!$O$1:$R$9,"Score",Data!$BC$1:$BC$2)</f>
        <v>-0</v>
      </c>
      <c r="B3481" s="0" t="s">
        <v>3512</v>
      </c>
    </row>
    <row r="3482" customFormat="false" ht="15" hidden="false" customHeight="false" outlineLevel="0" collapsed="false">
      <c r="A3482" s="0" t="e">
        <f aca="false">DVAR(Data!$O$1:$R$9,"Score",Data!$BE$1:$BE$2)</f>
        <v>#NUM!</v>
      </c>
      <c r="B3482" s="0" t="s">
        <v>3513</v>
      </c>
    </row>
    <row r="3483" customFormat="false" ht="15" hidden="false" customHeight="false" outlineLevel="0" collapsed="false">
      <c r="A3483" s="0" t="n">
        <f aca="false">DVAR(Data!$O$1:$R$9,"age",Data!$T$1:$T$2)</f>
        <v>0</v>
      </c>
      <c r="B3483" s="0" t="s">
        <v>3514</v>
      </c>
    </row>
    <row r="3484" customFormat="false" ht="15" hidden="false" customHeight="false" outlineLevel="0" collapsed="false">
      <c r="A3484" s="0" t="n">
        <f aca="false">DVAR(Data!$O$1:$R$9,"age",Data!$AD$1:$AD$2)</f>
        <v>94.6666666666667</v>
      </c>
      <c r="B3484" s="0" t="s">
        <v>3515</v>
      </c>
    </row>
    <row r="3485" customFormat="false" ht="15" hidden="false" customHeight="false" outlineLevel="0" collapsed="false">
      <c r="A3485" s="0" t="e">
        <f aca="false">DVAR(Data!$O$1:$R$9,0,Data!$T$1:$T$2)</f>
        <v>#VALUE!</v>
      </c>
      <c r="B3485" s="0" t="s">
        <v>3516</v>
      </c>
    </row>
    <row r="3486" customFormat="false" ht="15" hidden="false" customHeight="false" outlineLevel="0" collapsed="false">
      <c r="A3486" s="0" t="e">
        <f aca="false">DVAR(Data!$O$1:$R$9,0,Data!$AD$1:$AD$2)</f>
        <v>#VALUE!</v>
      </c>
      <c r="B3486" s="0" t="s">
        <v>3517</v>
      </c>
    </row>
    <row r="3487" customFormat="false" ht="15" hidden="false" customHeight="false" outlineLevel="0" collapsed="false">
      <c r="A3487" s="0" t="e">
        <f aca="false">DVAR(Data!$O$1:$R$9,5,Data!$T$1:$T$2)</f>
        <v>#VALUE!</v>
      </c>
      <c r="B3487" s="0" t="s">
        <v>3518</v>
      </c>
    </row>
    <row r="3488" customFormat="false" ht="15" hidden="false" customHeight="false" outlineLevel="0" collapsed="false">
      <c r="A3488" s="0" t="e">
        <f aca="false">DVAR(Data!$O$1:$R$9,5,Data!$AD$1:$AD$2)</f>
        <v>#VALUE!</v>
      </c>
      <c r="B3488" s="0" t="s">
        <v>3519</v>
      </c>
    </row>
    <row r="3489" customFormat="false" ht="15" hidden="false" customHeight="false" outlineLevel="0" collapsed="false">
      <c r="A3489" s="0" t="e">
        <f aca="false">DVAR(Data!$O$1:$R$9,"Nope",Data!$T$1:$T$2)</f>
        <v>#VALUE!</v>
      </c>
      <c r="B3489" s="0" t="s">
        <v>3520</v>
      </c>
    </row>
    <row r="3490" customFormat="false" ht="15" hidden="false" customHeight="false" outlineLevel="0" collapsed="false">
      <c r="A3490" s="0" t="e">
        <f aca="false">DVAR(Data!$O$1:$R$9,"Nope",Data!$AD$1:$AD$2)</f>
        <v>#VALUE!</v>
      </c>
      <c r="B3490" s="0" t="s">
        <v>3521</v>
      </c>
    </row>
    <row r="3491" customFormat="false" ht="15" hidden="false" customHeight="false" outlineLevel="0" collapsed="false">
      <c r="A3491" s="0" t="e">
        <f aca="false">DVAR(Data!$O$1:$R$9,-1,Data!$T$1:$T$2)</f>
        <v>#VALUE!</v>
      </c>
      <c r="B3491" s="0" t="s">
        <v>3522</v>
      </c>
    </row>
    <row r="3492" customFormat="false" ht="15" hidden="false" customHeight="false" outlineLevel="0" collapsed="false">
      <c r="A3492" s="0" t="e">
        <f aca="false">DVAR(Data!$O$1:$R$9,-1,Data!$AD$1:$AD$2)</f>
        <v>#VALUE!</v>
      </c>
      <c r="B3492" s="0" t="s">
        <v>3523</v>
      </c>
    </row>
    <row r="3493" customFormat="false" ht="15" hidden="false" customHeight="false" outlineLevel="0" collapsed="false">
      <c r="A3493" s="0" t="n">
        <f aca="false">DVAR(Data!$O$1:$R$9,2.9,Data!$T$1:$T$2)</f>
        <v>0</v>
      </c>
      <c r="B3493" s="0" t="s">
        <v>3524</v>
      </c>
    </row>
    <row r="3494" customFormat="false" ht="15" hidden="false" customHeight="false" outlineLevel="0" collapsed="false">
      <c r="A3494" s="0" t="n">
        <f aca="false">DVAR(Data!$O$1:$R$9,2.9,Data!$AD$1:$AD$2)</f>
        <v>94.6666666666667</v>
      </c>
      <c r="B3494" s="0" t="s">
        <v>3525</v>
      </c>
    </row>
    <row r="3495" customFormat="false" ht="15" hidden="false" customHeight="false" outlineLevel="0" collapsed="false">
      <c r="A3495" s="0" t="e">
        <f aca="false">DVAR(Data!$O$1:$R$9,"2",Data!$T$1:$T$2)</f>
        <v>#VALUE!</v>
      </c>
      <c r="B3495" s="0" t="s">
        <v>3526</v>
      </c>
    </row>
    <row r="3496" customFormat="false" ht="15" hidden="false" customHeight="false" outlineLevel="0" collapsed="false">
      <c r="A3496" s="0" t="e">
        <f aca="false">DVAR(Data!$O$1:$R$9,"2",Data!$AD$1:$AD$2)</f>
        <v>#VALUE!</v>
      </c>
      <c r="B3496" s="0" t="s">
        <v>3527</v>
      </c>
    </row>
    <row r="3497" customFormat="false" ht="15" hidden="false" customHeight="false" outlineLevel="0" collapsed="false">
      <c r="A3497" s="0" t="n">
        <f aca="false">DVAR(Data!$O$1:$R$9,TRUE(),Data!$T$1:$T$2)</f>
        <v>-0</v>
      </c>
      <c r="B3497" s="0" t="s">
        <v>3528</v>
      </c>
    </row>
    <row r="3498" customFormat="false" ht="15" hidden="false" customHeight="false" outlineLevel="0" collapsed="false">
      <c r="A3498" s="0" t="n">
        <f aca="false">DVAR(Data!$O$1:$R$9,TRUE(),Data!$AD$1:$AD$2)</f>
        <v>-0</v>
      </c>
      <c r="B3498" s="0" t="s">
        <v>3529</v>
      </c>
    </row>
    <row r="3499" customFormat="false" ht="15" hidden="false" customHeight="false" outlineLevel="0" collapsed="false">
      <c r="A3499" s="0" t="n">
        <f aca="false">DVAR(Data!$O$1:$R$9,Data!$P$1,Data!$T$1:$T$2)</f>
        <v>0</v>
      </c>
      <c r="B3499" s="0" t="s">
        <v>3530</v>
      </c>
    </row>
    <row r="3500" customFormat="false" ht="15" hidden="false" customHeight="false" outlineLevel="0" collapsed="false">
      <c r="A3500" s="0" t="n">
        <f aca="false">DVAR(Data!$O$1:$R$9,Data!$P$1,Data!$AD$1:$AD$2)</f>
        <v>94.6666666666667</v>
      </c>
      <c r="B3500" s="0" t="s">
        <v>3531</v>
      </c>
    </row>
    <row r="3501" customFormat="false" ht="15" hidden="false" customHeight="false" outlineLevel="0" collapsed="false">
      <c r="A3501" s="0" t="n">
        <f aca="false">DVAR(Data!$O$1:$R$9,"Name",Data!$T$1:$T$2)</f>
        <v>-0</v>
      </c>
      <c r="B3501" s="0" t="s">
        <v>3532</v>
      </c>
    </row>
    <row r="3502" customFormat="false" ht="15" hidden="false" customHeight="false" outlineLevel="0" collapsed="false">
      <c r="A3502" s="0" t="n">
        <f aca="false">DVAR(Data!$O$1:$R$9,"Name",Data!$AD$1:$AD$2)</f>
        <v>-0</v>
      </c>
      <c r="B3502" s="0" t="s">
        <v>3533</v>
      </c>
    </row>
    <row r="3503" customFormat="false" ht="15" hidden="false" customHeight="false" outlineLevel="0" collapsed="false">
      <c r="A3503" s="0" t="e">
        <f aca="false">DVAR(Data!$O$1:$R$9,Data!$O$2,Data!$T$1:$T$2)</f>
        <v>#VALUE!</v>
      </c>
      <c r="B3503" s="0" t="s">
        <v>3534</v>
      </c>
    </row>
    <row r="3504" customFormat="false" ht="15" hidden="false" customHeight="false" outlineLevel="0" collapsed="false">
      <c r="A3504" s="0" t="e">
        <f aca="false">DVAR(Data!$O$1:$R$9,Data!$O$2,Data!$AD$1:$AD$2)</f>
        <v>#VALUE!</v>
      </c>
      <c r="B3504" s="0" t="s">
        <v>3535</v>
      </c>
    </row>
    <row r="3505" customFormat="false" ht="15" hidden="false" customHeight="false" outlineLevel="0" collapsed="false">
      <c r="A3505" s="0" t="e">
        <f aca="false">DVAR(Data!$O$1:$R$9,"",Data!$T$1:$T$2)</f>
        <v>#VALUE!</v>
      </c>
      <c r="B3505" s="0" t="s">
        <v>3536</v>
      </c>
    </row>
    <row r="3506" customFormat="false" ht="15" hidden="false" customHeight="false" outlineLevel="0" collapsed="false">
      <c r="A3506" s="0" t="e">
        <f aca="false">DVAR(Data!$O$1:$R$9,"",Data!$AD$1:$AD$2)</f>
        <v>#VALUE!</v>
      </c>
      <c r="B3506" s="0" t="s">
        <v>3537</v>
      </c>
    </row>
    <row r="3507" customFormat="false" ht="15" hidden="false" customHeight="false" outlineLevel="0" collapsed="false">
      <c r="A3507" s="0" t="e">
        <f aca="false">DVAR(Data!$O$1:$R$9,NA(),Data!$T$1:$T$2)</f>
        <v>#N/A</v>
      </c>
      <c r="B3507" s="0" t="s">
        <v>3538</v>
      </c>
    </row>
    <row r="3508" customFormat="false" ht="15" hidden="false" customHeight="false" outlineLevel="0" collapsed="false">
      <c r="A3508" s="0" t="e">
        <f aca="false">DVAR(Data!$O$1:$R$9,NA(),Data!$AD$1:$AD$2)</f>
        <v>#N/A</v>
      </c>
      <c r="B3508" s="0" t="s">
        <v>3539</v>
      </c>
    </row>
    <row r="3509" customFormat="false" ht="15" hidden="false" customHeight="false" outlineLevel="0" collapsed="false">
      <c r="A3509" s="0" t="e">
        <f aca="false">DVAR(Data!$O$1:$R$9,3,Data!$T$2:$T$3)</f>
        <v>#VALUE!</v>
      </c>
      <c r="B3509" s="0" t="s">
        <v>3540</v>
      </c>
    </row>
    <row r="3510" customFormat="false" ht="15" hidden="false" customHeight="false" outlineLevel="0" collapsed="false">
      <c r="A3510" s="0" t="e">
        <f aca="false">DVAR(Data!$O$1:$R$9,3,Data!$T$1)</f>
        <v>#VALUE!</v>
      </c>
      <c r="B3510" s="0" t="s">
        <v>3541</v>
      </c>
    </row>
    <row r="3511" customFormat="false" ht="15" hidden="false" customHeight="false" outlineLevel="0" collapsed="false">
      <c r="A3511" s="0" t="e">
        <f aca="false">DVAR(Data!$O$2:$R$9,3,Data!$T$1:$T$2)</f>
        <v>#VALUE!</v>
      </c>
      <c r="B3511" s="0" t="s">
        <v>3542</v>
      </c>
    </row>
    <row r="3512" customFormat="false" ht="15" hidden="false" customHeight="false" outlineLevel="0" collapsed="false">
      <c r="A3512" s="0" t="e">
        <f aca="false">DVAR(Data!$O$1:$R$9,3,5)</f>
        <v>#VALUE!</v>
      </c>
      <c r="B3512" s="0" t="s">
        <v>3543</v>
      </c>
    </row>
    <row r="3513" customFormat="false" ht="15" hidden="false" customHeight="false" outlineLevel="0" collapsed="false">
      <c r="A3513" s="0" t="e">
        <f aca="false">DVAR(5,3,Data!$T$1:$T$2)</f>
        <v>#VALUE!</v>
      </c>
      <c r="B3513" s="0" t="s">
        <v>3544</v>
      </c>
    </row>
    <row r="3514" customFormat="false" ht="15" hidden="false" customHeight="false" outlineLevel="0" collapsed="false">
      <c r="A3514" s="0" t="e">
        <f aca="false">DVAR(Data!$O$1:$R$9,3,Data!$T$1:$T$2,1)</f>
        <v>#VALUE!</v>
      </c>
      <c r="B3514" s="0" t="s">
        <v>3545</v>
      </c>
    </row>
    <row r="3515" customFormat="false" ht="15" hidden="false" customHeight="false" outlineLevel="0" collapsed="false">
      <c r="A3515" s="0" t="e">
        <f aca="false">DVAR(Data!$O$1:$R$9,3)</f>
        <v>#VALUE!</v>
      </c>
      <c r="B3515" s="0" t="s">
        <v>3546</v>
      </c>
    </row>
    <row r="3516" customFormat="false" ht="15" hidden="false" customHeight="false" outlineLevel="0" collapsed="false">
      <c r="A3516" s="0" t="e">
        <f aca="false">DVAR(Data!$O$1:$O$9,1,Data!$T$1:$T$2)</f>
        <v>#VALUE!</v>
      </c>
      <c r="B3516" s="0" t="s">
        <v>3547</v>
      </c>
    </row>
    <row r="3517" customFormat="false" ht="15" hidden="false" customHeight="false" outlineLevel="0" collapsed="false">
      <c r="A3517" s="0" t="n">
        <f aca="false">DVAR(Data!$O$1:$R$9,3,Data!$AU$1:$AU$2)</f>
        <v>76.8571428571429</v>
      </c>
      <c r="B3517" s="0" t="s">
        <v>3548</v>
      </c>
    </row>
    <row r="3518" customFormat="false" ht="15" hidden="false" customHeight="false" outlineLevel="0" collapsed="false">
      <c r="A3518" s="0" t="e">
        <f aca="false">DVAR(Data!$O$1:$R$9,3,Data!$T$1:$U$1)</f>
        <v>#VALUE!</v>
      </c>
      <c r="B3518" s="0" t="s">
        <v>3549</v>
      </c>
    </row>
    <row r="3519" customFormat="false" ht="15" hidden="false" customHeight="false" outlineLevel="0" collapsed="false">
      <c r="A3519" s="0" t="n">
        <f aca="false">DVARP(Data!$O$1:$R$9,"Age",Data!$T$1:$T$2)</f>
        <v>0</v>
      </c>
      <c r="B3519" s="0" t="s">
        <v>3550</v>
      </c>
    </row>
    <row r="3520" customFormat="false" ht="15" hidden="false" customHeight="false" outlineLevel="0" collapsed="false">
      <c r="A3520" s="0" t="n">
        <f aca="false">DVARP(Data!$O$1:$R$9,"Age",Data!$V$1:$W$2)</f>
        <v>0</v>
      </c>
      <c r="B3520" s="0" t="s">
        <v>3551</v>
      </c>
    </row>
    <row r="3521" customFormat="false" ht="15" hidden="false" customHeight="false" outlineLevel="0" collapsed="false">
      <c r="A3521" s="0" t="n">
        <f aca="false">DVARP(Data!$O$1:$R$9,"Age",Data!$Y$1:$Y$3)</f>
        <v>137.555555555556</v>
      </c>
      <c r="B3521" s="0" t="s">
        <v>3552</v>
      </c>
    </row>
    <row r="3522" customFormat="false" ht="15" hidden="false" customHeight="false" outlineLevel="0" collapsed="false">
      <c r="A3522" s="0" t="n">
        <f aca="false">DVARP(Data!$O$1:$R$9,"Age",Data!$AA$1:$AB$3)</f>
        <v>104.64</v>
      </c>
      <c r="B3522" s="0" t="s">
        <v>3553</v>
      </c>
    </row>
    <row r="3523" customFormat="false" ht="15" hidden="false" customHeight="false" outlineLevel="0" collapsed="false">
      <c r="A3523" s="0" t="n">
        <f aca="false">DVARP(Data!$O$1:$R$9,"Age",Data!$AD$1:$AD$2)</f>
        <v>81.1428571428571</v>
      </c>
      <c r="B3523" s="0" t="s">
        <v>3554</v>
      </c>
    </row>
    <row r="3524" customFormat="false" ht="15" hidden="false" customHeight="false" outlineLevel="0" collapsed="false">
      <c r="A3524" s="0" t="e">
        <f aca="false">DVARP(Data!$O$1:$R$9,"Age",Data!$AF$1:$AF$2)</f>
        <v>#VALUE!</v>
      </c>
      <c r="B3524" s="0" t="s">
        <v>3555</v>
      </c>
    </row>
    <row r="3525" customFormat="false" ht="15" hidden="false" customHeight="false" outlineLevel="0" collapsed="false">
      <c r="A3525" s="0" t="n">
        <f aca="false">DVARP(Data!$O$1:$R$9,"Age",Data!$AH$1:$AI$2)</f>
        <v>44.6666666666667</v>
      </c>
      <c r="B3525" s="0" t="s">
        <v>3556</v>
      </c>
    </row>
    <row r="3526" customFormat="false" ht="15" hidden="false" customHeight="false" outlineLevel="0" collapsed="false">
      <c r="A3526" s="0" t="e">
        <f aca="false">DVARP(Data!$O$1:$R$9,"Age",Data!$AK$1:$AK$2)</f>
        <v>#NUM!</v>
      </c>
      <c r="B3526" s="0" t="s">
        <v>3557</v>
      </c>
    </row>
    <row r="3527" customFormat="false" ht="15" hidden="false" customHeight="false" outlineLevel="0" collapsed="false">
      <c r="A3527" s="0" t="n">
        <f aca="false">DVARP(Data!$O$1:$R$9,"Age",Data!$AM$1:$AM$2)</f>
        <v>0</v>
      </c>
      <c r="B3527" s="0" t="s">
        <v>3558</v>
      </c>
    </row>
    <row r="3528" customFormat="false" ht="15" hidden="false" customHeight="false" outlineLevel="0" collapsed="false">
      <c r="A3528" s="0" t="n">
        <f aca="false">DVARP(Data!$O$1:$R$9,"Age",Data!$AO$1:$AO$2)</f>
        <v>182.25</v>
      </c>
      <c r="B3528" s="0" t="s">
        <v>3559</v>
      </c>
    </row>
    <row r="3529" customFormat="false" ht="15" hidden="false" customHeight="false" outlineLevel="0" collapsed="false">
      <c r="A3529" s="0" t="n">
        <f aca="false">DVARP(Data!$O$1:$R$9,"Age",Data!$AQ$1:$AQ$2)</f>
        <v>64</v>
      </c>
      <c r="B3529" s="0" t="s">
        <v>3560</v>
      </c>
    </row>
    <row r="3530" customFormat="false" ht="15" hidden="false" customHeight="false" outlineLevel="0" collapsed="false">
      <c r="A3530" s="0" t="n">
        <f aca="false">DVARP(Data!$O$1:$R$9,"Age",Data!$AS$1:$AS$2)</f>
        <v>29.36</v>
      </c>
      <c r="B3530" s="0" t="s">
        <v>3561</v>
      </c>
    </row>
    <row r="3531" customFormat="false" ht="15" hidden="false" customHeight="false" outlineLevel="0" collapsed="false">
      <c r="A3531" s="0" t="n">
        <f aca="false">DVARP(Data!$O$1:$R$9,"Age",Data!$AU$1:$AU$3)</f>
        <v>81.1428571428571</v>
      </c>
      <c r="B3531" s="0" t="s">
        <v>3562</v>
      </c>
    </row>
    <row r="3532" customFormat="false" ht="15" hidden="false" customHeight="false" outlineLevel="0" collapsed="false">
      <c r="A3532" s="0" t="n">
        <f aca="false">DVARP(Data!$O$1:$R$9,"Age",Data!$AW$1:$AW$2)</f>
        <v>81.1428571428571</v>
      </c>
      <c r="B3532" s="0" t="s">
        <v>3563</v>
      </c>
    </row>
    <row r="3533" customFormat="false" ht="15" hidden="false" customHeight="false" outlineLevel="0" collapsed="false">
      <c r="A3533" s="0" t="n">
        <f aca="false">DVARP(Data!$O$1:$R$9,"Age",Data!$AY$1:$BA$3)</f>
        <v>68.24</v>
      </c>
      <c r="B3533" s="0" t="s">
        <v>3564</v>
      </c>
    </row>
    <row r="3534" customFormat="false" ht="15" hidden="false" customHeight="false" outlineLevel="0" collapsed="false">
      <c r="A3534" s="0" t="e">
        <f aca="false">DVARP(Data!$O$1:$R$9,"Age",Data!$BC$1:$BC$2)</f>
        <v>#NUM!</v>
      </c>
      <c r="B3534" s="0" t="s">
        <v>3565</v>
      </c>
    </row>
    <row r="3535" customFormat="false" ht="15" hidden="false" customHeight="false" outlineLevel="0" collapsed="false">
      <c r="A3535" s="0" t="n">
        <f aca="false">DVARP(Data!$O$1:$R$9,"Age",Data!$BE$1:$BE$2)</f>
        <v>0</v>
      </c>
      <c r="B3535" s="0" t="s">
        <v>3566</v>
      </c>
    </row>
    <row r="3536" customFormat="false" ht="15" hidden="false" customHeight="false" outlineLevel="0" collapsed="false">
      <c r="A3536" s="0" t="n">
        <f aca="false">DVARP(Data!$O$1:$R$9,3,Data!$T$1:$T$2)</f>
        <v>100</v>
      </c>
      <c r="B3536" s="0" t="s">
        <v>3567</v>
      </c>
    </row>
    <row r="3537" customFormat="false" ht="15" hidden="false" customHeight="false" outlineLevel="0" collapsed="false">
      <c r="A3537" s="0" t="n">
        <f aca="false">DVARP(Data!$O$1:$R$9,3,Data!$V$1:$W$2)</f>
        <v>0</v>
      </c>
      <c r="B3537" s="0" t="s">
        <v>3568</v>
      </c>
    </row>
    <row r="3538" customFormat="false" ht="15" hidden="false" customHeight="false" outlineLevel="0" collapsed="false">
      <c r="A3538" s="0" t="n">
        <f aca="false">DVARP(Data!$O$1:$R$9,3,Data!$Y$1:$Y$3)</f>
        <v>84.2222222222222</v>
      </c>
      <c r="B3538" s="0" t="s">
        <v>3569</v>
      </c>
    </row>
    <row r="3539" customFormat="false" ht="15" hidden="false" customHeight="false" outlineLevel="0" collapsed="false">
      <c r="A3539" s="0" t="n">
        <f aca="false">DVARP(Data!$O$1:$R$9,3,Data!$AA$1:$AB$3)</f>
        <v>67.6</v>
      </c>
      <c r="B3539" s="0" t="s">
        <v>3570</v>
      </c>
    </row>
    <row r="3540" customFormat="false" ht="15" hidden="false" customHeight="false" outlineLevel="0" collapsed="false">
      <c r="A3540" s="0" t="n">
        <f aca="false">DVARP(Data!$O$1:$R$9,3,Data!$AD$1:$AD$2)</f>
        <v>67.25</v>
      </c>
      <c r="B3540" s="0" t="s">
        <v>3571</v>
      </c>
    </row>
    <row r="3541" customFormat="false" ht="15" hidden="false" customHeight="false" outlineLevel="0" collapsed="false">
      <c r="A3541" s="0" t="e">
        <f aca="false">DVARP(Data!$O$1:$R$9,3,Data!$AF$1:$AF$2)</f>
        <v>#VALUE!</v>
      </c>
      <c r="B3541" s="0" t="s">
        <v>3572</v>
      </c>
    </row>
    <row r="3542" customFormat="false" ht="15" hidden="false" customHeight="false" outlineLevel="0" collapsed="false">
      <c r="A3542" s="0" t="n">
        <f aca="false">DVARP(Data!$O$1:$R$9,3,Data!$AH$1:$AI$2)</f>
        <v>38.8888888888889</v>
      </c>
      <c r="B3542" s="0" t="s">
        <v>3573</v>
      </c>
    </row>
    <row r="3543" customFormat="false" ht="15" hidden="false" customHeight="false" outlineLevel="0" collapsed="false">
      <c r="A3543" s="0" t="e">
        <f aca="false">DVARP(Data!$O$1:$R$9,3,Data!$AK$1:$AK$2)</f>
        <v>#NUM!</v>
      </c>
      <c r="B3543" s="0" t="s">
        <v>3574</v>
      </c>
    </row>
    <row r="3544" customFormat="false" ht="15" hidden="false" customHeight="false" outlineLevel="0" collapsed="false">
      <c r="A3544" s="0" t="n">
        <f aca="false">DVARP(Data!$O$1:$R$9,3,Data!$AM$1:$AM$2)</f>
        <v>6.25</v>
      </c>
      <c r="B3544" s="0" t="s">
        <v>3575</v>
      </c>
    </row>
    <row r="3545" customFormat="false" ht="15" hidden="false" customHeight="false" outlineLevel="0" collapsed="false">
      <c r="A3545" s="0" t="n">
        <f aca="false">DVARP(Data!$O$1:$R$9,3,Data!$AO$1:$AO$2)</f>
        <v>12.25</v>
      </c>
      <c r="B3545" s="0" t="s">
        <v>3576</v>
      </c>
    </row>
    <row r="3546" customFormat="false" ht="15" hidden="false" customHeight="false" outlineLevel="0" collapsed="false">
      <c r="A3546" s="0" t="n">
        <f aca="false">DVARP(Data!$O$1:$R$9,3,Data!$AQ$1:$AQ$2)</f>
        <v>6.25</v>
      </c>
      <c r="B3546" s="0" t="s">
        <v>3577</v>
      </c>
    </row>
    <row r="3547" customFormat="false" ht="15" hidden="false" customHeight="false" outlineLevel="0" collapsed="false">
      <c r="A3547" s="0" t="n">
        <f aca="false">DVARP(Data!$O$1:$R$9,3,Data!$AS$1:$AS$2)</f>
        <v>53.4722222222222</v>
      </c>
      <c r="B3547" s="0" t="s">
        <v>3578</v>
      </c>
    </row>
    <row r="3548" customFormat="false" ht="15" hidden="false" customHeight="false" outlineLevel="0" collapsed="false">
      <c r="A3548" s="0" t="n">
        <f aca="false">DVARP(Data!$O$1:$R$9,3,Data!$AU$1:$AU$3)</f>
        <v>67.25</v>
      </c>
      <c r="B3548" s="0" t="s">
        <v>3579</v>
      </c>
    </row>
    <row r="3549" customFormat="false" ht="15" hidden="false" customHeight="false" outlineLevel="0" collapsed="false">
      <c r="A3549" s="0" t="n">
        <f aca="false">DVARP(Data!$O$1:$R$9,3,Data!$AW$1:$AW$2)</f>
        <v>76.8571428571429</v>
      </c>
      <c r="B3549" s="0" t="s">
        <v>3580</v>
      </c>
    </row>
    <row r="3550" customFormat="false" ht="15" hidden="false" customHeight="false" outlineLevel="0" collapsed="false">
      <c r="A3550" s="0" t="n">
        <f aca="false">DVARP(Data!$O$1:$R$9,3,Data!$AY$1:$BA$3)</f>
        <v>101.6</v>
      </c>
      <c r="B3550" s="0" t="s">
        <v>3581</v>
      </c>
    </row>
    <row r="3551" customFormat="false" ht="15" hidden="false" customHeight="false" outlineLevel="0" collapsed="false">
      <c r="A3551" s="0" t="n">
        <f aca="false">DVARP(Data!$O$1:$R$9,3,Data!$BC$1:$BC$2)</f>
        <v>0</v>
      </c>
      <c r="B3551" s="0" t="s">
        <v>3582</v>
      </c>
    </row>
    <row r="3552" customFormat="false" ht="15" hidden="false" customHeight="false" outlineLevel="0" collapsed="false">
      <c r="A3552" s="0" t="n">
        <f aca="false">DVARP(Data!$O$1:$R$9,3,Data!$BE$1:$BE$2)</f>
        <v>0</v>
      </c>
      <c r="B3552" s="0" t="s">
        <v>3583</v>
      </c>
    </row>
    <row r="3553" customFormat="false" ht="15" hidden="false" customHeight="false" outlineLevel="0" collapsed="false">
      <c r="A3553" s="0" t="n">
        <f aca="false">DVARP(Data!$O$1:$R$9,"Score",Data!$T$1:$T$2)</f>
        <v>25</v>
      </c>
      <c r="B3553" s="0" t="s">
        <v>3584</v>
      </c>
    </row>
    <row r="3554" customFormat="false" ht="15" hidden="false" customHeight="false" outlineLevel="0" collapsed="false">
      <c r="A3554" s="0" t="n">
        <f aca="false">DVARP(Data!$O$1:$R$9,"Score",Data!$V$1:$W$2)</f>
        <v>0</v>
      </c>
      <c r="B3554" s="0" t="s">
        <v>3585</v>
      </c>
    </row>
    <row r="3555" customFormat="false" ht="15" hidden="false" customHeight="false" outlineLevel="0" collapsed="false">
      <c r="A3555" s="0" t="n">
        <f aca="false">DVARP(Data!$O$1:$R$9,"Score",Data!$Y$1:$Y$3)</f>
        <v>30.8888888888889</v>
      </c>
      <c r="B3555" s="0" t="s">
        <v>3586</v>
      </c>
    </row>
    <row r="3556" customFormat="false" ht="15" hidden="false" customHeight="false" outlineLevel="0" collapsed="false">
      <c r="A3556" s="0" t="n">
        <f aca="false">DVARP(Data!$O$1:$R$9,"Score",Data!$AA$1:$AB$3)</f>
        <v>149.84</v>
      </c>
      <c r="B3556" s="0" t="s">
        <v>3587</v>
      </c>
    </row>
    <row r="3557" customFormat="false" ht="15" hidden="false" customHeight="false" outlineLevel="0" collapsed="false">
      <c r="A3557" s="0" t="n">
        <f aca="false">DVARP(Data!$O$1:$R$9,"Score",Data!$AD$1:$AD$2)</f>
        <v>122.530612244898</v>
      </c>
      <c r="B3557" s="0" t="s">
        <v>3588</v>
      </c>
    </row>
    <row r="3558" customFormat="false" ht="15" hidden="false" customHeight="false" outlineLevel="0" collapsed="false">
      <c r="A3558" s="0" t="e">
        <f aca="false">DVARP(Data!$O$1:$R$9,"Score",Data!$AF$1:$AF$2)</f>
        <v>#VALUE!</v>
      </c>
      <c r="B3558" s="0" t="s">
        <v>3589</v>
      </c>
    </row>
    <row r="3559" customFormat="false" ht="15" hidden="false" customHeight="false" outlineLevel="0" collapsed="false">
      <c r="A3559" s="0" t="n">
        <f aca="false">DVARP(Data!$O$1:$R$9,"Score",Data!$AH$1:$AI$2)</f>
        <v>16.6666666666667</v>
      </c>
      <c r="B3559" s="0" t="s">
        <v>3590</v>
      </c>
    </row>
    <row r="3560" customFormat="false" ht="15" hidden="false" customHeight="false" outlineLevel="0" collapsed="false">
      <c r="A3560" s="0" t="e">
        <f aca="false">DVARP(Data!$O$1:$R$9,"Score",Data!$AK$1:$AK$2)</f>
        <v>#NUM!</v>
      </c>
      <c r="B3560" s="0" t="s">
        <v>3591</v>
      </c>
    </row>
    <row r="3561" customFormat="false" ht="15" hidden="false" customHeight="false" outlineLevel="0" collapsed="false">
      <c r="A3561" s="0" t="n">
        <f aca="false">DVARP(Data!$O$1:$R$9,"Score",Data!$AM$1:$AM$2)</f>
        <v>225</v>
      </c>
      <c r="B3561" s="0" t="s">
        <v>3592</v>
      </c>
    </row>
    <row r="3562" customFormat="false" ht="15" hidden="false" customHeight="false" outlineLevel="0" collapsed="false">
      <c r="A3562" s="0" t="n">
        <f aca="false">DVARP(Data!$O$1:$R$9,"Score",Data!$AO$1:$AO$2)</f>
        <v>42.25</v>
      </c>
      <c r="B3562" s="0" t="s">
        <v>3593</v>
      </c>
    </row>
    <row r="3563" customFormat="false" ht="15" hidden="false" customHeight="false" outlineLevel="0" collapsed="false">
      <c r="A3563" s="0" t="n">
        <f aca="false">DVARP(Data!$O$1:$R$9,"Score",Data!$AQ$1:$AQ$2)</f>
        <v>156.25</v>
      </c>
      <c r="B3563" s="0" t="s">
        <v>3594</v>
      </c>
    </row>
    <row r="3564" customFormat="false" ht="15" hidden="false" customHeight="false" outlineLevel="0" collapsed="false">
      <c r="A3564" s="0" t="n">
        <f aca="false">DVARP(Data!$O$1:$R$9,"Score",Data!$AS$1:$AS$2)</f>
        <v>146</v>
      </c>
      <c r="B3564" s="0" t="s">
        <v>3595</v>
      </c>
    </row>
    <row r="3565" customFormat="false" ht="15" hidden="false" customHeight="false" outlineLevel="0" collapsed="false">
      <c r="A3565" s="0" t="n">
        <f aca="false">DVARP(Data!$O$1:$R$9,"Score",Data!$AU$1:$AU$3)</f>
        <v>122.530612244898</v>
      </c>
      <c r="B3565" s="0" t="s">
        <v>3596</v>
      </c>
    </row>
    <row r="3566" customFormat="false" ht="15" hidden="false" customHeight="false" outlineLevel="0" collapsed="false">
      <c r="A3566" s="0" t="n">
        <f aca="false">DVARP(Data!$O$1:$R$9,"Score",Data!$AW$1:$AW$2)</f>
        <v>122.530612244898</v>
      </c>
      <c r="B3566" s="0" t="s">
        <v>3597</v>
      </c>
    </row>
    <row r="3567" customFormat="false" ht="15" hidden="false" customHeight="false" outlineLevel="0" collapsed="false">
      <c r="A3567" s="0" t="n">
        <f aca="false">DVARP(Data!$O$1:$R$9,"Score",Data!$AY$1:$BA$3)</f>
        <v>69.84</v>
      </c>
      <c r="B3567" s="0" t="s">
        <v>3598</v>
      </c>
    </row>
    <row r="3568" customFormat="false" ht="15" hidden="false" customHeight="false" outlineLevel="0" collapsed="false">
      <c r="A3568" s="0" t="e">
        <f aca="false">DVARP(Data!$O$1:$R$9,"Score",Data!$BC$1:$BC$2)</f>
        <v>#NUM!</v>
      </c>
      <c r="B3568" s="0" t="s">
        <v>3599</v>
      </c>
    </row>
    <row r="3569" customFormat="false" ht="15" hidden="false" customHeight="false" outlineLevel="0" collapsed="false">
      <c r="A3569" s="0" t="n">
        <f aca="false">DVARP(Data!$O$1:$R$9,"Score",Data!$BE$1:$BE$2)</f>
        <v>0</v>
      </c>
      <c r="B3569" s="0" t="s">
        <v>3600</v>
      </c>
    </row>
    <row r="3570" customFormat="false" ht="15" hidden="false" customHeight="false" outlineLevel="0" collapsed="false">
      <c r="A3570" s="0" t="n">
        <f aca="false">DVARP(Data!$O$1:$R$9,"age",Data!$T$1:$T$2)</f>
        <v>0</v>
      </c>
      <c r="B3570" s="0" t="s">
        <v>3601</v>
      </c>
    </row>
    <row r="3571" customFormat="false" ht="15" hidden="false" customHeight="false" outlineLevel="0" collapsed="false">
      <c r="A3571" s="0" t="n">
        <f aca="false">DVARP(Data!$O$1:$R$9,"age",Data!$AD$1:$AD$2)</f>
        <v>81.1428571428571</v>
      </c>
      <c r="B3571" s="0" t="s">
        <v>3602</v>
      </c>
    </row>
    <row r="3572" customFormat="false" ht="15" hidden="false" customHeight="false" outlineLevel="0" collapsed="false">
      <c r="A3572" s="0" t="e">
        <f aca="false">DVARP(Data!$O$1:$R$9,0,Data!$T$1:$T$2)</f>
        <v>#VALUE!</v>
      </c>
      <c r="B3572" s="0" t="s">
        <v>3603</v>
      </c>
    </row>
    <row r="3573" customFormat="false" ht="15" hidden="false" customHeight="false" outlineLevel="0" collapsed="false">
      <c r="A3573" s="0" t="e">
        <f aca="false">DVARP(Data!$O$1:$R$9,0,Data!$AD$1:$AD$2)</f>
        <v>#VALUE!</v>
      </c>
      <c r="B3573" s="0" t="s">
        <v>3604</v>
      </c>
    </row>
    <row r="3574" customFormat="false" ht="15" hidden="false" customHeight="false" outlineLevel="0" collapsed="false">
      <c r="A3574" s="0" t="e">
        <f aca="false">DVARP(Data!$O$1:$R$9,5,Data!$T$1:$T$2)</f>
        <v>#VALUE!</v>
      </c>
      <c r="B3574" s="0" t="s">
        <v>3605</v>
      </c>
    </row>
    <row r="3575" customFormat="false" ht="15" hidden="false" customHeight="false" outlineLevel="0" collapsed="false">
      <c r="A3575" s="0" t="e">
        <f aca="false">DVARP(Data!$O$1:$R$9,5,Data!$AD$1:$AD$2)</f>
        <v>#VALUE!</v>
      </c>
      <c r="B3575" s="0" t="s">
        <v>3606</v>
      </c>
    </row>
    <row r="3576" customFormat="false" ht="15" hidden="false" customHeight="false" outlineLevel="0" collapsed="false">
      <c r="A3576" s="0" t="e">
        <f aca="false">DVARP(Data!$O$1:$R$9,"Nope",Data!$T$1:$T$2)</f>
        <v>#VALUE!</v>
      </c>
      <c r="B3576" s="0" t="s">
        <v>3607</v>
      </c>
    </row>
    <row r="3577" customFormat="false" ht="15" hidden="false" customHeight="false" outlineLevel="0" collapsed="false">
      <c r="A3577" s="0" t="e">
        <f aca="false">DVARP(Data!$O$1:$R$9,"Nope",Data!$AD$1:$AD$2)</f>
        <v>#VALUE!</v>
      </c>
      <c r="B3577" s="0" t="s">
        <v>3608</v>
      </c>
    </row>
    <row r="3578" customFormat="false" ht="15" hidden="false" customHeight="false" outlineLevel="0" collapsed="false">
      <c r="A3578" s="0" t="e">
        <f aca="false">DVARP(Data!$O$1:$R$9,-1,Data!$T$1:$T$2)</f>
        <v>#VALUE!</v>
      </c>
      <c r="B3578" s="0" t="s">
        <v>3609</v>
      </c>
    </row>
    <row r="3579" customFormat="false" ht="15" hidden="false" customHeight="false" outlineLevel="0" collapsed="false">
      <c r="A3579" s="0" t="e">
        <f aca="false">DVARP(Data!$O$1:$R$9,-1,Data!$AD$1:$AD$2)</f>
        <v>#VALUE!</v>
      </c>
      <c r="B3579" s="0" t="s">
        <v>3610</v>
      </c>
    </row>
    <row r="3580" customFormat="false" ht="15" hidden="false" customHeight="false" outlineLevel="0" collapsed="false">
      <c r="A3580" s="0" t="n">
        <f aca="false">DVARP(Data!$O$1:$R$9,2.9,Data!$T$1:$T$2)</f>
        <v>0</v>
      </c>
      <c r="B3580" s="0" t="s">
        <v>3611</v>
      </c>
    </row>
    <row r="3581" customFormat="false" ht="15" hidden="false" customHeight="false" outlineLevel="0" collapsed="false">
      <c r="A3581" s="0" t="n">
        <f aca="false">DVARP(Data!$O$1:$R$9,2.9,Data!$AD$1:$AD$2)</f>
        <v>81.1428571428571</v>
      </c>
      <c r="B3581" s="0" t="s">
        <v>3612</v>
      </c>
    </row>
    <row r="3582" customFormat="false" ht="15" hidden="false" customHeight="false" outlineLevel="0" collapsed="false">
      <c r="A3582" s="0" t="e">
        <f aca="false">DVARP(Data!$O$1:$R$9,"2",Data!$T$1:$T$2)</f>
        <v>#VALUE!</v>
      </c>
      <c r="B3582" s="0" t="s">
        <v>3613</v>
      </c>
    </row>
    <row r="3583" customFormat="false" ht="15" hidden="false" customHeight="false" outlineLevel="0" collapsed="false">
      <c r="A3583" s="0" t="e">
        <f aca="false">DVARP(Data!$O$1:$R$9,"2",Data!$AD$1:$AD$2)</f>
        <v>#VALUE!</v>
      </c>
      <c r="B3583" s="0" t="s">
        <v>3614</v>
      </c>
    </row>
    <row r="3584" customFormat="false" ht="15" hidden="false" customHeight="false" outlineLevel="0" collapsed="false">
      <c r="A3584" s="0" t="e">
        <f aca="false">DVARP(Data!$O$1:$R$9,TRUE(),Data!$T$1:$T$2)</f>
        <v>#NUM!</v>
      </c>
      <c r="B3584" s="0" t="s">
        <v>3615</v>
      </c>
    </row>
    <row r="3585" customFormat="false" ht="15" hidden="false" customHeight="false" outlineLevel="0" collapsed="false">
      <c r="A3585" s="0" t="e">
        <f aca="false">DVARP(Data!$O$1:$R$9,TRUE(),Data!$AD$1:$AD$2)</f>
        <v>#NUM!</v>
      </c>
      <c r="B3585" s="0" t="s">
        <v>3616</v>
      </c>
    </row>
    <row r="3586" customFormat="false" ht="15" hidden="false" customHeight="false" outlineLevel="0" collapsed="false">
      <c r="A3586" s="0" t="n">
        <f aca="false">DVARP(Data!$O$1:$R$9,Data!$P$1,Data!$T$1:$T$2)</f>
        <v>0</v>
      </c>
      <c r="B3586" s="0" t="s">
        <v>3617</v>
      </c>
    </row>
    <row r="3587" customFormat="false" ht="15" hidden="false" customHeight="false" outlineLevel="0" collapsed="false">
      <c r="A3587" s="0" t="n">
        <f aca="false">DVARP(Data!$O$1:$R$9,Data!$P$1,Data!$AD$1:$AD$2)</f>
        <v>81.1428571428571</v>
      </c>
      <c r="B3587" s="0" t="s">
        <v>3618</v>
      </c>
    </row>
    <row r="3588" customFormat="false" ht="15" hidden="false" customHeight="false" outlineLevel="0" collapsed="false">
      <c r="A3588" s="0" t="e">
        <f aca="false">DVARP(Data!$O$1:$R$9,"Name",Data!$T$1:$T$2)</f>
        <v>#NUM!</v>
      </c>
      <c r="B3588" s="0" t="s">
        <v>3619</v>
      </c>
    </row>
    <row r="3589" customFormat="false" ht="15" hidden="false" customHeight="false" outlineLevel="0" collapsed="false">
      <c r="A3589" s="0" t="e">
        <f aca="false">DVARP(Data!$O$1:$R$9,"Name",Data!$AD$1:$AD$2)</f>
        <v>#NUM!</v>
      </c>
      <c r="B3589" s="0" t="s">
        <v>3620</v>
      </c>
    </row>
    <row r="3590" customFormat="false" ht="15" hidden="false" customHeight="false" outlineLevel="0" collapsed="false">
      <c r="A3590" s="0" t="e">
        <f aca="false">DVARP(Data!$O$1:$R$9,Data!$O$2,Data!$T$1:$T$2)</f>
        <v>#VALUE!</v>
      </c>
      <c r="B3590" s="0" t="s">
        <v>3621</v>
      </c>
    </row>
    <row r="3591" customFormat="false" ht="15" hidden="false" customHeight="false" outlineLevel="0" collapsed="false">
      <c r="A3591" s="0" t="e">
        <f aca="false">DVARP(Data!$O$1:$R$9,Data!$O$2,Data!$AD$1:$AD$2)</f>
        <v>#VALUE!</v>
      </c>
      <c r="B3591" s="0" t="s">
        <v>3622</v>
      </c>
    </row>
    <row r="3592" customFormat="false" ht="15" hidden="false" customHeight="false" outlineLevel="0" collapsed="false">
      <c r="A3592" s="0" t="e">
        <f aca="false">DVARP(Data!$O$1:$R$9,"",Data!$T$1:$T$2)</f>
        <v>#VALUE!</v>
      </c>
      <c r="B3592" s="0" t="s">
        <v>3623</v>
      </c>
    </row>
    <row r="3593" customFormat="false" ht="15" hidden="false" customHeight="false" outlineLevel="0" collapsed="false">
      <c r="A3593" s="0" t="e">
        <f aca="false">DVARP(Data!$O$1:$R$9,"",Data!$AD$1:$AD$2)</f>
        <v>#VALUE!</v>
      </c>
      <c r="B3593" s="0" t="s">
        <v>3624</v>
      </c>
    </row>
    <row r="3594" customFormat="false" ht="15" hidden="false" customHeight="false" outlineLevel="0" collapsed="false">
      <c r="A3594" s="0" t="e">
        <f aca="false">DVARP(Data!$O$1:$R$9,NA(),Data!$T$1:$T$2)</f>
        <v>#N/A</v>
      </c>
      <c r="B3594" s="0" t="s">
        <v>3625</v>
      </c>
    </row>
    <row r="3595" customFormat="false" ht="15" hidden="false" customHeight="false" outlineLevel="0" collapsed="false">
      <c r="A3595" s="0" t="e">
        <f aca="false">DVARP(Data!$O$1:$R$9,NA(),Data!$AD$1:$AD$2)</f>
        <v>#N/A</v>
      </c>
      <c r="B3595" s="0" t="s">
        <v>3626</v>
      </c>
    </row>
    <row r="3596" customFormat="false" ht="15" hidden="false" customHeight="false" outlineLevel="0" collapsed="false">
      <c r="A3596" s="0" t="e">
        <f aca="false">DVARP(Data!$O$1:$R$9,3,Data!$T$2:$T$3)</f>
        <v>#VALUE!</v>
      </c>
      <c r="B3596" s="0" t="s">
        <v>3627</v>
      </c>
    </row>
    <row r="3597" customFormat="false" ht="15" hidden="false" customHeight="false" outlineLevel="0" collapsed="false">
      <c r="A3597" s="0" t="e">
        <f aca="false">DVARP(Data!$O$1:$R$9,3,Data!$T$1)</f>
        <v>#VALUE!</v>
      </c>
      <c r="B3597" s="0" t="s">
        <v>3628</v>
      </c>
    </row>
    <row r="3598" customFormat="false" ht="15" hidden="false" customHeight="false" outlineLevel="0" collapsed="false">
      <c r="A3598" s="0" t="e">
        <f aca="false">DVARP(Data!$O$2:$R$9,3,Data!$T$1:$T$2)</f>
        <v>#VALUE!</v>
      </c>
      <c r="B3598" s="0" t="s">
        <v>3629</v>
      </c>
    </row>
    <row r="3599" customFormat="false" ht="15" hidden="false" customHeight="false" outlineLevel="0" collapsed="false">
      <c r="A3599" s="0" t="e">
        <f aca="false">DVARP(Data!$O$1:$R$9,3,5)</f>
        <v>#VALUE!</v>
      </c>
      <c r="B3599" s="0" t="s">
        <v>3630</v>
      </c>
    </row>
    <row r="3600" customFormat="false" ht="15" hidden="false" customHeight="false" outlineLevel="0" collapsed="false">
      <c r="A3600" s="0" t="e">
        <f aca="false">DVARP(5,3,Data!$T$1:$T$2)</f>
        <v>#VALUE!</v>
      </c>
      <c r="B3600" s="0" t="s">
        <v>3631</v>
      </c>
    </row>
    <row r="3601" customFormat="false" ht="15" hidden="false" customHeight="false" outlineLevel="0" collapsed="false">
      <c r="A3601" s="0" t="e">
        <f aca="false">DVARP(Data!$O$1:$R$9,3,Data!$T$1:$T$2,1)</f>
        <v>#VALUE!</v>
      </c>
      <c r="B3601" s="0" t="s">
        <v>3632</v>
      </c>
    </row>
    <row r="3602" customFormat="false" ht="15" hidden="false" customHeight="false" outlineLevel="0" collapsed="false">
      <c r="A3602" s="0" t="e">
        <f aca="false">DVARP(Data!$O$1:$R$9,3)</f>
        <v>#VALUE!</v>
      </c>
      <c r="B3602" s="0" t="s">
        <v>3633</v>
      </c>
    </row>
    <row r="3603" customFormat="false" ht="15" hidden="false" customHeight="false" outlineLevel="0" collapsed="false">
      <c r="A3603" s="0" t="e">
        <f aca="false">DVARP(Data!$O$1:$O$9,1,Data!$T$1:$T$2)</f>
        <v>#VALUE!</v>
      </c>
      <c r="B3603" s="0" t="s">
        <v>3634</v>
      </c>
    </row>
    <row r="3604" customFormat="false" ht="15" hidden="false" customHeight="false" outlineLevel="0" collapsed="false">
      <c r="A3604" s="0" t="n">
        <f aca="false">DVARP(Data!$O$1:$R$9,3,Data!$AU$1:$AU$2)</f>
        <v>67.25</v>
      </c>
      <c r="B3604" s="0" t="s">
        <v>3635</v>
      </c>
    </row>
    <row r="3605" customFormat="false" ht="15" hidden="false" customHeight="false" outlineLevel="0" collapsed="false">
      <c r="A3605" s="0" t="e">
        <f aca="false">DVARP(Data!$O$1:$R$9,3,Data!$T$1:$U$1)</f>
        <v>#VALUE!</v>
      </c>
      <c r="B3605" s="0" t="s">
        <v>3636</v>
      </c>
    </row>
    <row r="3606" customFormat="false" ht="15" hidden="false" customHeight="false" outlineLevel="0" collapsed="false">
      <c r="A3606" s="0" t="n">
        <f aca="false">INDEX(LINEST(Data!K1:K8,Data!A1:A8),1,1)</f>
        <v>0.0424628450106157</v>
      </c>
      <c r="B3606" s="0" t="s">
        <v>3637</v>
      </c>
    </row>
    <row r="3607" customFormat="false" ht="15" hidden="false" customHeight="false" outlineLevel="0" collapsed="false">
      <c r="A3607" s="0" t="n">
        <f aca="false">INDEX(LINEST(Data!K1:K8,Data!A1:A8),1,2)</f>
        <v>5.29299363057325</v>
      </c>
      <c r="B3607" s="0" t="s">
        <v>3638</v>
      </c>
    </row>
    <row r="3608" customFormat="false" ht="15" hidden="false" customHeight="false" outlineLevel="0" collapsed="false">
      <c r="A3608" s="0" t="n">
        <f aca="false">ROWS(LINEST(Data!K1:K8,Data!A1:A8))</f>
        <v>1</v>
      </c>
      <c r="B3608" s="0" t="s">
        <v>3639</v>
      </c>
    </row>
    <row r="3609" customFormat="false" ht="15" hidden="false" customHeight="false" outlineLevel="0" collapsed="false">
      <c r="A3609" s="0" t="n">
        <f aca="false">COLUMNS(LINEST(Data!K1:K8,Data!A1:A8))</f>
        <v>2</v>
      </c>
      <c r="B3609" s="0" t="s">
        <v>3640</v>
      </c>
    </row>
    <row r="3610" customFormat="false" ht="15" hidden="false" customHeight="false" outlineLevel="0" collapsed="false">
      <c r="A3610" s="0" t="n">
        <f aca="false">INDEX(LINEST(Data!K1:K8,Data!A1:A8,TRUE(),TRUE()),1,1)</f>
        <v>0.0424628450106157</v>
      </c>
      <c r="B3610" s="0" t="s">
        <v>3641</v>
      </c>
    </row>
    <row r="3611" customFormat="false" ht="15" hidden="false" customHeight="false" outlineLevel="0" collapsed="false">
      <c r="A3611" s="0" t="n">
        <f aca="false">INDEX(LINEST(Data!K1:K8,Data!A1:A8,TRUE(),TRUE()),1,2)</f>
        <v>5.29299363057325</v>
      </c>
      <c r="B3611" s="0" t="s">
        <v>3642</v>
      </c>
    </row>
    <row r="3612" customFormat="false" ht="15" hidden="false" customHeight="false" outlineLevel="0" collapsed="false">
      <c r="A3612" s="0" t="n">
        <f aca="false">INDEX(LINEST(Data!K1:K8,Data!A1:A8,TRUE(),TRUE()),2,1)</f>
        <v>0.327524083326953</v>
      </c>
      <c r="B3612" s="0" t="s">
        <v>3643</v>
      </c>
    </row>
    <row r="3613" customFormat="false" ht="15" hidden="false" customHeight="false" outlineLevel="0" collapsed="false">
      <c r="A3613" s="0" t="n">
        <f aca="false">INDEX(LINEST(Data!K1:K8,Data!A1:A8,TRUE(),TRUE()),2,2)</f>
        <v>1.8272497867229</v>
      </c>
      <c r="B3613" s="0" t="s">
        <v>3644</v>
      </c>
    </row>
    <row r="3614" customFormat="false" ht="15" hidden="false" customHeight="false" outlineLevel="0" collapsed="false">
      <c r="A3614" s="0" t="n">
        <f aca="false">INDEX(LINEST(Data!K1:K8,Data!A1:A8,TRUE(),TRUE()),3,1)</f>
        <v>0.00279360822438261</v>
      </c>
      <c r="B3614" s="0" t="s">
        <v>3645</v>
      </c>
    </row>
    <row r="3615" customFormat="false" ht="15" hidden="false" customHeight="false" outlineLevel="0" collapsed="false">
      <c r="A3615" s="0" t="n">
        <f aca="false">INDEX(LINEST(Data!K1:K8,Data!A1:A8,TRUE(),TRUE()),3,2)</f>
        <v>2.51309380669437</v>
      </c>
      <c r="B3615" s="0" t="s">
        <v>3646</v>
      </c>
    </row>
    <row r="3616" customFormat="false" ht="15" hidden="false" customHeight="false" outlineLevel="0" collapsed="false">
      <c r="A3616" s="0" t="n">
        <f aca="false">INDEX(LINEST(Data!K1:K8,Data!A1:A8,TRUE(),TRUE()),4,1)</f>
        <v>0.0168086060062752</v>
      </c>
      <c r="B3616" s="0" t="s">
        <v>3647</v>
      </c>
    </row>
    <row r="3617" customFormat="false" ht="15" hidden="false" customHeight="false" outlineLevel="0" collapsed="false">
      <c r="A3617" s="0" t="n">
        <f aca="false">INDEX(LINEST(Data!K1:K8,Data!A1:A8,TRUE(),TRUE()),4,2)</f>
        <v>6</v>
      </c>
      <c r="B3617" s="0" t="s">
        <v>3648</v>
      </c>
    </row>
    <row r="3618" customFormat="false" ht="15" hidden="false" customHeight="false" outlineLevel="0" collapsed="false">
      <c r="A3618" s="0" t="n">
        <f aca="false">INDEX(LINEST(Data!K1:K8,Data!A1:A8,TRUE(),TRUE()),5,1)</f>
        <v>0.106157112526539</v>
      </c>
      <c r="B3618" s="0" t="s">
        <v>3649</v>
      </c>
    </row>
    <row r="3619" customFormat="false" ht="15" hidden="false" customHeight="false" outlineLevel="0" collapsed="false">
      <c r="A3619" s="0" t="n">
        <f aca="false">INDEX(LINEST(Data!K1:K8,Data!A1:A8,TRUE(),TRUE()),5,2)</f>
        <v>37.8938428874735</v>
      </c>
      <c r="B3619" s="0" t="s">
        <v>3650</v>
      </c>
    </row>
    <row r="3620" customFormat="false" ht="15" hidden="false" customHeight="false" outlineLevel="0" collapsed="false">
      <c r="A3620" s="0" t="n">
        <f aca="false">ROWS(LINEST(Data!K1:K8,Data!A1:A8,TRUE(),TRUE()))</f>
        <v>5</v>
      </c>
      <c r="B3620" s="0" t="s">
        <v>3651</v>
      </c>
    </row>
    <row r="3621" customFormat="false" ht="15" hidden="false" customHeight="false" outlineLevel="0" collapsed="false">
      <c r="A3621" s="0" t="n">
        <f aca="false">COLUMNS(LINEST(Data!K1:K8,Data!A1:A8,TRUE(),TRUE()))</f>
        <v>2</v>
      </c>
      <c r="B3621" s="0" t="s">
        <v>3652</v>
      </c>
    </row>
    <row r="3622" customFormat="false" ht="15" hidden="false" customHeight="false" outlineLevel="0" collapsed="false">
      <c r="A3622" s="0" t="n">
        <f aca="false">INDEX(LINEST(Data!K1:K8,Data!A1:A8,FALSE(),TRUE()),1,1)</f>
        <v>0.8714859437751</v>
      </c>
      <c r="B3622" s="0" t="s">
        <v>3653</v>
      </c>
    </row>
    <row r="3623" customFormat="false" ht="15" hidden="false" customHeight="false" outlineLevel="0" collapsed="false">
      <c r="A3623" s="0" t="n">
        <f aca="false">INDEX(LINEST(Data!K1:K8,Data!A1:A8,FALSE(),TRUE()),1,2)</f>
        <v>0</v>
      </c>
      <c r="B3623" s="0" t="s">
        <v>3654</v>
      </c>
    </row>
    <row r="3624" customFormat="false" ht="15" hidden="false" customHeight="false" outlineLevel="0" collapsed="false">
      <c r="A3624" s="0" t="n">
        <f aca="false">INDEX(LINEST(Data!K1:K8,Data!A1:A8,FALSE(),TRUE()),2,1)</f>
        <v>0.228351308848667</v>
      </c>
      <c r="B3624" s="0" t="s">
        <v>3655</v>
      </c>
    </row>
    <row r="3625" customFormat="false" ht="15" hidden="false" customHeight="false" outlineLevel="0" collapsed="false">
      <c r="A3625" s="0" t="e">
        <f aca="false">INDEX(LINEST(Data!K1:K8,Data!A1:A8,FALSE(),TRUE()),2,2)</f>
        <v>#N/A</v>
      </c>
      <c r="B3625" s="0" t="s">
        <v>3656</v>
      </c>
    </row>
    <row r="3626" customFormat="false" ht="15" hidden="false" customHeight="false" outlineLevel="0" collapsed="false">
      <c r="A3626" s="0" t="n">
        <f aca="false">INDEX(LINEST(Data!K1:K8,Data!A1:A8,FALSE(),TRUE()),3,1)</f>
        <v>0.675401606425703</v>
      </c>
      <c r="B3626" s="0" t="s">
        <v>3657</v>
      </c>
    </row>
    <row r="3627" customFormat="false" ht="15" hidden="false" customHeight="false" outlineLevel="0" collapsed="false">
      <c r="A3627" s="0" t="n">
        <f aca="false">INDEX(LINEST(Data!K1:K8,Data!A1:A8,FALSE(),TRUE()),3,2)</f>
        <v>3.60332287520448</v>
      </c>
      <c r="B3627" s="0" t="s">
        <v>3658</v>
      </c>
    </row>
    <row r="3628" customFormat="false" ht="15" hidden="false" customHeight="false" outlineLevel="0" collapsed="false">
      <c r="A3628" s="0" t="n">
        <f aca="false">INDEX(LINEST(Data!K1:K8,Data!A1:A8,FALSE(),TRUE()),4,1)</f>
        <v>14.5651098051346</v>
      </c>
      <c r="B3628" s="0" t="s">
        <v>3659</v>
      </c>
    </row>
    <row r="3629" customFormat="false" ht="15" hidden="false" customHeight="false" outlineLevel="0" collapsed="false">
      <c r="A3629" s="0" t="n">
        <f aca="false">INDEX(LINEST(Data!K1:K8,Data!A1:A8,FALSE(),TRUE()),4,2)</f>
        <v>7</v>
      </c>
      <c r="B3629" s="0" t="s">
        <v>3660</v>
      </c>
    </row>
    <row r="3630" customFormat="false" ht="15" hidden="false" customHeight="false" outlineLevel="0" collapsed="false">
      <c r="A3630" s="0" t="n">
        <f aca="false">INDEX(LINEST(Data!K1:K8,Data!A1:A8,FALSE(),TRUE()),5,1)</f>
        <v>189.112449799197</v>
      </c>
      <c r="B3630" s="0" t="s">
        <v>3661</v>
      </c>
    </row>
    <row r="3631" customFormat="false" ht="15" hidden="false" customHeight="false" outlineLevel="0" collapsed="false">
      <c r="A3631" s="0" t="n">
        <f aca="false">INDEX(LINEST(Data!K1:K8,Data!A1:A8,FALSE(),TRUE()),5,2)</f>
        <v>90.8875502008032</v>
      </c>
      <c r="B3631" s="0" t="s">
        <v>3662</v>
      </c>
    </row>
    <row r="3632" customFormat="false" ht="15" hidden="false" customHeight="false" outlineLevel="0" collapsed="false">
      <c r="A3632" s="0" t="n">
        <f aca="false">ROWS(LINEST(Data!K1:K8,Data!A1:A8,FALSE(),TRUE()))</f>
        <v>5</v>
      </c>
      <c r="B3632" s="0" t="s">
        <v>3663</v>
      </c>
    </row>
    <row r="3633" customFormat="false" ht="15" hidden="false" customHeight="false" outlineLevel="0" collapsed="false">
      <c r="A3633" s="0" t="n">
        <f aca="false">COLUMNS(LINEST(Data!K1:K8,Data!A1:A8,FALSE(),TRUE()))</f>
        <v>2</v>
      </c>
      <c r="B3633" s="0" t="s">
        <v>3664</v>
      </c>
    </row>
    <row r="3634" customFormat="false" ht="15" hidden="false" customHeight="false" outlineLevel="0" collapsed="false">
      <c r="A3634" s="0" t="n">
        <f aca="false">INDEX(LINEST(Data!K1:K8,Data!A1:A8,FALSE()),1,1)</f>
        <v>0.8714859437751</v>
      </c>
      <c r="B3634" s="0" t="s">
        <v>3665</v>
      </c>
    </row>
    <row r="3635" customFormat="false" ht="15" hidden="false" customHeight="false" outlineLevel="0" collapsed="false">
      <c r="A3635" s="0" t="n">
        <f aca="false">INDEX(LINEST(Data!K1:K8,Data!A1:A8,FALSE()),1,2)</f>
        <v>0</v>
      </c>
      <c r="B3635" s="0" t="s">
        <v>3666</v>
      </c>
    </row>
    <row r="3636" customFormat="false" ht="15" hidden="false" customHeight="false" outlineLevel="0" collapsed="false">
      <c r="A3636" s="0" t="n">
        <f aca="false">ROWS(LINEST(Data!K1:K8,Data!A1:A8,FALSE()))</f>
        <v>1</v>
      </c>
      <c r="B3636" s="0" t="s">
        <v>3667</v>
      </c>
    </row>
    <row r="3637" customFormat="false" ht="15" hidden="false" customHeight="false" outlineLevel="0" collapsed="false">
      <c r="A3637" s="0" t="n">
        <f aca="false">COLUMNS(LINEST(Data!K1:K8,Data!A1:A8,FALSE()))</f>
        <v>2</v>
      </c>
      <c r="B3637" s="0" t="s">
        <v>3668</v>
      </c>
    </row>
    <row r="3638" customFormat="false" ht="15" hidden="false" customHeight="false" outlineLevel="0" collapsed="false">
      <c r="A3638" s="0" t="n">
        <f aca="false">INDEX(LINEST(Data!K1:K8),1,1)</f>
        <v>0.904761904761905</v>
      </c>
      <c r="B3638" s="0" t="s">
        <v>3669</v>
      </c>
    </row>
    <row r="3639" customFormat="false" ht="15" hidden="false" customHeight="false" outlineLevel="0" collapsed="false">
      <c r="A3639" s="0" t="n">
        <f aca="false">INDEX(LINEST(Data!K1:K8),1,2)</f>
        <v>1.42857142857143</v>
      </c>
      <c r="B3639" s="0" t="s">
        <v>3670</v>
      </c>
    </row>
    <row r="3640" customFormat="false" ht="15" hidden="false" customHeight="false" outlineLevel="0" collapsed="false">
      <c r="A3640" s="0" t="n">
        <f aca="false">ROWS(LINEST(Data!K1:K8))</f>
        <v>1</v>
      </c>
      <c r="B3640" s="0" t="s">
        <v>3671</v>
      </c>
    </row>
    <row r="3641" customFormat="false" ht="15" hidden="false" customHeight="false" outlineLevel="0" collapsed="false">
      <c r="A3641" s="0" t="n">
        <f aca="false">COLUMNS(LINEST(Data!K1:K8))</f>
        <v>2</v>
      </c>
      <c r="B3641" s="0" t="s">
        <v>3672</v>
      </c>
    </row>
    <row r="3642" customFormat="false" ht="15" hidden="false" customHeight="false" outlineLevel="0" collapsed="false">
      <c r="A3642" s="0" t="n">
        <f aca="false">INDEX(LINEST(Data!K1:K8,,TRUE(),TRUE()),1,1)</f>
        <v>0.904761904761905</v>
      </c>
      <c r="B3642" s="0" t="s">
        <v>3673</v>
      </c>
    </row>
    <row r="3643" customFormat="false" ht="15" hidden="false" customHeight="false" outlineLevel="0" collapsed="false">
      <c r="A3643" s="0" t="n">
        <f aca="false">INDEX(LINEST(Data!K1:K8,,TRUE(),TRUE()),1,2)</f>
        <v>1.42857142857143</v>
      </c>
      <c r="B3643" s="0" t="s">
        <v>3674</v>
      </c>
    </row>
    <row r="3644" customFormat="false" ht="15" hidden="false" customHeight="false" outlineLevel="0" collapsed="false">
      <c r="A3644" s="0" t="n">
        <f aca="false">INDEX(LINEST(Data!K1:K8,,TRUE(),TRUE()),2,1)</f>
        <v>0.119838641829694</v>
      </c>
      <c r="B3644" s="0" t="s">
        <v>3675</v>
      </c>
    </row>
    <row r="3645" customFormat="false" ht="15" hidden="false" customHeight="false" outlineLevel="0" collapsed="false">
      <c r="A3645" s="0" t="n">
        <f aca="false">INDEX(LINEST(Data!K1:K8,,TRUE(),TRUE()),2,2)</f>
        <v>0.605155477482802</v>
      </c>
      <c r="B3645" s="0" t="s">
        <v>3676</v>
      </c>
    </row>
    <row r="3646" customFormat="false" ht="15" hidden="false" customHeight="false" outlineLevel="0" collapsed="false">
      <c r="A3646" s="0" t="n">
        <f aca="false">INDEX(LINEST(Data!K1:K8,,TRUE(),TRUE()),3,1)</f>
        <v>0.904761904761905</v>
      </c>
      <c r="B3646" s="0" t="s">
        <v>3677</v>
      </c>
    </row>
    <row r="3647" customFormat="false" ht="15" hidden="false" customHeight="false" outlineLevel="0" collapsed="false">
      <c r="A3647" s="0" t="n">
        <f aca="false">INDEX(LINEST(Data!K1:K8,,TRUE(),TRUE()),3,2)</f>
        <v>0.776643163347623</v>
      </c>
      <c r="B3647" s="0" t="s">
        <v>3678</v>
      </c>
    </row>
    <row r="3648" customFormat="false" ht="15" hidden="false" customHeight="false" outlineLevel="0" collapsed="false">
      <c r="A3648" s="0" t="n">
        <f aca="false">INDEX(LINEST(Data!K1:K8,,TRUE(),TRUE()),4,1)</f>
        <v>57</v>
      </c>
      <c r="B3648" s="0" t="s">
        <v>3679</v>
      </c>
    </row>
    <row r="3649" customFormat="false" ht="15" hidden="false" customHeight="false" outlineLevel="0" collapsed="false">
      <c r="A3649" s="0" t="n">
        <f aca="false">INDEX(LINEST(Data!K1:K8,,TRUE(),TRUE()),4,2)</f>
        <v>6</v>
      </c>
      <c r="B3649" s="0" t="s">
        <v>3680</v>
      </c>
    </row>
    <row r="3650" customFormat="false" ht="15" hidden="false" customHeight="false" outlineLevel="0" collapsed="false">
      <c r="A3650" s="0" t="n">
        <f aca="false">INDEX(LINEST(Data!K1:K8,,TRUE(),TRUE()),5,1)</f>
        <v>34.3809523809524</v>
      </c>
      <c r="B3650" s="0" t="s">
        <v>3681</v>
      </c>
    </row>
    <row r="3651" customFormat="false" ht="15" hidden="false" customHeight="false" outlineLevel="0" collapsed="false">
      <c r="A3651" s="0" t="n">
        <f aca="false">INDEX(LINEST(Data!K1:K8,,TRUE(),TRUE()),5,2)</f>
        <v>3.61904761904762</v>
      </c>
      <c r="B3651" s="0" t="s">
        <v>3682</v>
      </c>
    </row>
    <row r="3652" customFormat="false" ht="15" hidden="false" customHeight="false" outlineLevel="0" collapsed="false">
      <c r="A3652" s="0" t="n">
        <f aca="false">ROWS(LINEST(Data!K1:K8,,TRUE(),TRUE()))</f>
        <v>5</v>
      </c>
      <c r="B3652" s="0" t="s">
        <v>3683</v>
      </c>
    </row>
    <row r="3653" customFormat="false" ht="15" hidden="false" customHeight="false" outlineLevel="0" collapsed="false">
      <c r="A3653" s="0" t="n">
        <f aca="false">COLUMNS(LINEST(Data!K1:K8,,TRUE(),TRUE()))</f>
        <v>2</v>
      </c>
      <c r="B3653" s="0" t="s">
        <v>3684</v>
      </c>
    </row>
    <row r="3654" customFormat="false" ht="15" hidden="false" customHeight="false" outlineLevel="0" collapsed="false">
      <c r="A3654" s="0" t="n">
        <f aca="false">INDEX(LINEST(Data!K1:K8,Data!A1:A8,TRUE(),FALSE()),1,1)</f>
        <v>0.0424628450106157</v>
      </c>
      <c r="B3654" s="0" t="s">
        <v>3685</v>
      </c>
    </row>
    <row r="3655" customFormat="false" ht="15" hidden="false" customHeight="false" outlineLevel="0" collapsed="false">
      <c r="A3655" s="0" t="n">
        <f aca="false">INDEX(LINEST(Data!K1:K8,Data!A1:A8,TRUE(),FALSE()),1,2)</f>
        <v>5.29299363057325</v>
      </c>
      <c r="B3655" s="0" t="s">
        <v>3686</v>
      </c>
    </row>
    <row r="3656" customFormat="false" ht="15" hidden="false" customHeight="false" outlineLevel="0" collapsed="false">
      <c r="A3656" s="0" t="n">
        <f aca="false">ROWS(LINEST(Data!K1:K8,Data!A1:A8,TRUE(),FALSE()))</f>
        <v>1</v>
      </c>
      <c r="B3656" s="0" t="s">
        <v>3687</v>
      </c>
    </row>
    <row r="3657" customFormat="false" ht="15" hidden="false" customHeight="false" outlineLevel="0" collapsed="false">
      <c r="A3657" s="0" t="n">
        <f aca="false">COLUMNS(LINEST(Data!K1:K8,Data!A1:A8,TRUE(),FALSE()))</f>
        <v>2</v>
      </c>
      <c r="B3657" s="0" t="s">
        <v>3688</v>
      </c>
    </row>
    <row r="3658" customFormat="false" ht="15" hidden="false" customHeight="false" outlineLevel="0" collapsed="false">
      <c r="A3658" s="0" t="n">
        <f aca="false">INDEX(LINEST(Data!K1:K8,Data!A1:A8,0,1),1,1)</f>
        <v>0.8714859437751</v>
      </c>
      <c r="B3658" s="0" t="s">
        <v>3689</v>
      </c>
    </row>
    <row r="3659" customFormat="false" ht="15" hidden="false" customHeight="false" outlineLevel="0" collapsed="false">
      <c r="A3659" s="0" t="n">
        <f aca="false">INDEX(LINEST(Data!K1:K8,Data!A1:A8,0,1),1,2)</f>
        <v>0</v>
      </c>
      <c r="B3659" s="0" t="s">
        <v>3690</v>
      </c>
    </row>
    <row r="3660" customFormat="false" ht="15" hidden="false" customHeight="false" outlineLevel="0" collapsed="false">
      <c r="A3660" s="0" t="n">
        <f aca="false">INDEX(LINEST(Data!K1:K8,Data!A1:A8,0,1),2,1)</f>
        <v>0.228351308848667</v>
      </c>
      <c r="B3660" s="0" t="s">
        <v>3691</v>
      </c>
    </row>
    <row r="3661" customFormat="false" ht="15" hidden="false" customHeight="false" outlineLevel="0" collapsed="false">
      <c r="A3661" s="0" t="e">
        <f aca="false">INDEX(LINEST(Data!K1:K8,Data!A1:A8,0,1),2,2)</f>
        <v>#N/A</v>
      </c>
      <c r="B3661" s="0" t="s">
        <v>3692</v>
      </c>
    </row>
    <row r="3662" customFormat="false" ht="15" hidden="false" customHeight="false" outlineLevel="0" collapsed="false">
      <c r="A3662" s="0" t="n">
        <f aca="false">INDEX(LINEST(Data!K1:K8,Data!A1:A8,0,1),3,1)</f>
        <v>0.675401606425703</v>
      </c>
      <c r="B3662" s="0" t="s">
        <v>3693</v>
      </c>
    </row>
    <row r="3663" customFormat="false" ht="15" hidden="false" customHeight="false" outlineLevel="0" collapsed="false">
      <c r="A3663" s="0" t="n">
        <f aca="false">INDEX(LINEST(Data!K1:K8,Data!A1:A8,0,1),3,2)</f>
        <v>3.60332287520448</v>
      </c>
      <c r="B3663" s="0" t="s">
        <v>3694</v>
      </c>
    </row>
    <row r="3664" customFormat="false" ht="15" hidden="false" customHeight="false" outlineLevel="0" collapsed="false">
      <c r="A3664" s="0" t="n">
        <f aca="false">INDEX(LINEST(Data!K1:K8,Data!A1:A8,0,1),4,1)</f>
        <v>14.5651098051346</v>
      </c>
      <c r="B3664" s="0" t="s">
        <v>3695</v>
      </c>
    </row>
    <row r="3665" customFormat="false" ht="15" hidden="false" customHeight="false" outlineLevel="0" collapsed="false">
      <c r="A3665" s="0" t="n">
        <f aca="false">INDEX(LINEST(Data!K1:K8,Data!A1:A8,0,1),4,2)</f>
        <v>7</v>
      </c>
      <c r="B3665" s="0" t="s">
        <v>3696</v>
      </c>
    </row>
    <row r="3666" customFormat="false" ht="15" hidden="false" customHeight="false" outlineLevel="0" collapsed="false">
      <c r="A3666" s="0" t="n">
        <f aca="false">INDEX(LINEST(Data!K1:K8,Data!A1:A8,0,1),5,1)</f>
        <v>189.112449799197</v>
      </c>
      <c r="B3666" s="0" t="s">
        <v>3697</v>
      </c>
    </row>
    <row r="3667" customFormat="false" ht="15" hidden="false" customHeight="false" outlineLevel="0" collapsed="false">
      <c r="A3667" s="0" t="n">
        <f aca="false">INDEX(LINEST(Data!K1:K8,Data!A1:A8,0,1),5,2)</f>
        <v>90.8875502008032</v>
      </c>
      <c r="B3667" s="0" t="s">
        <v>3698</v>
      </c>
    </row>
    <row r="3668" customFormat="false" ht="15" hidden="false" customHeight="false" outlineLevel="0" collapsed="false">
      <c r="A3668" s="0" t="n">
        <f aca="false">ROWS(LINEST(Data!K1:K8,Data!A1:A8,0,1))</f>
        <v>5</v>
      </c>
      <c r="B3668" s="0" t="s">
        <v>3699</v>
      </c>
    </row>
    <row r="3669" customFormat="false" ht="15" hidden="false" customHeight="false" outlineLevel="0" collapsed="false">
      <c r="A3669" s="0" t="n">
        <f aca="false">COLUMNS(LINEST(Data!K1:K8,Data!A1:A8,0,1))</f>
        <v>2</v>
      </c>
      <c r="B3669" s="0" t="s">
        <v>3700</v>
      </c>
    </row>
    <row r="3670" customFormat="false" ht="15" hidden="false" customHeight="false" outlineLevel="0" collapsed="false">
      <c r="A3670" s="0" t="n">
        <f aca="false">INDEX(LINEST(Data!K1:K8,Data!BG1:BG8),1,1)</f>
        <v>-0.320557491289199</v>
      </c>
      <c r="B3670" s="0" t="s">
        <v>3701</v>
      </c>
    </row>
    <row r="3671" customFormat="false" ht="15" hidden="false" customHeight="false" outlineLevel="0" collapsed="false">
      <c r="A3671" s="0" t="n">
        <f aca="false">INDEX(LINEST(Data!K1:K8,Data!BG1:BG8),1,2)</f>
        <v>6.90243902439024</v>
      </c>
      <c r="B3671" s="0" t="s">
        <v>3702</v>
      </c>
    </row>
    <row r="3672" customFormat="false" ht="15" hidden="false" customHeight="false" outlineLevel="0" collapsed="false">
      <c r="A3672" s="0" t="n">
        <f aca="false">ROWS(LINEST(Data!K1:K8,Data!BG1:BG8))</f>
        <v>1</v>
      </c>
      <c r="B3672" s="0" t="s">
        <v>3703</v>
      </c>
    </row>
    <row r="3673" customFormat="false" ht="15" hidden="false" customHeight="false" outlineLevel="0" collapsed="false">
      <c r="A3673" s="0" t="n">
        <f aca="false">COLUMNS(LINEST(Data!K1:K8,Data!BG1:BG8))</f>
        <v>2</v>
      </c>
      <c r="B3673" s="0" t="s">
        <v>3704</v>
      </c>
    </row>
    <row r="3674" customFormat="false" ht="15" hidden="false" customHeight="false" outlineLevel="0" collapsed="false">
      <c r="A3674" s="0" t="n">
        <f aca="false">INDEX(LINEST(Data!K1:K8,Data!A1:A8),1,1)</f>
        <v>0.0424628450106157</v>
      </c>
      <c r="B3674" s="0" t="s">
        <v>3637</v>
      </c>
    </row>
    <row r="3675" customFormat="false" ht="15" hidden="false" customHeight="false" outlineLevel="0" collapsed="false">
      <c r="A3675" s="0" t="n">
        <f aca="false">INDEX(LINEST(Data!K1:K8,Data!A1:A8),1,2)</f>
        <v>5.29299363057325</v>
      </c>
      <c r="B3675" s="0" t="s">
        <v>3638</v>
      </c>
    </row>
    <row r="3676" customFormat="false" ht="15" hidden="false" customHeight="false" outlineLevel="0" collapsed="false">
      <c r="A3676" s="0" t="n">
        <f aca="false">ROWS(LINEST(Data!K1:K8,Data!A1:A8))</f>
        <v>1</v>
      </c>
      <c r="B3676" s="0" t="s">
        <v>3639</v>
      </c>
    </row>
    <row r="3677" customFormat="false" ht="15" hidden="false" customHeight="false" outlineLevel="0" collapsed="false">
      <c r="A3677" s="0" t="n">
        <f aca="false">COLUMNS(LINEST(Data!K1:K8,Data!A1:A8))</f>
        <v>2</v>
      </c>
      <c r="B3677" s="0" t="s">
        <v>3640</v>
      </c>
    </row>
    <row r="3678" customFormat="false" ht="15" hidden="false" customHeight="false" outlineLevel="0" collapsed="false">
      <c r="A3678" s="0" t="n">
        <f aca="false">INDEX(LINEST(Data!K1:K8,Data!BF1:BG8,TRUE(),TRUE()),1,1)</f>
        <v>-0.304305283757339</v>
      </c>
      <c r="B3678" s="0" t="s">
        <v>3705</v>
      </c>
    </row>
    <row r="3679" customFormat="false" ht="15" hidden="false" customHeight="false" outlineLevel="0" collapsed="false">
      <c r="A3679" s="0" t="n">
        <f aca="false">INDEX(LINEST(Data!K1:K8,Data!BF1:BG8,TRUE(),TRUE()),1,2)</f>
        <v>0.666340508806262</v>
      </c>
      <c r="B3679" s="0" t="s">
        <v>3706</v>
      </c>
    </row>
    <row r="3680" customFormat="false" ht="15" hidden="false" customHeight="false" outlineLevel="0" collapsed="false">
      <c r="A3680" s="0" t="n">
        <f aca="false">INDEX(LINEST(Data!K1:K8,Data!BF1:BG8,TRUE(),TRUE()),1,3)</f>
        <v>3.74951076320939</v>
      </c>
      <c r="B3680" s="0" t="s">
        <v>3707</v>
      </c>
    </row>
    <row r="3681" customFormat="false" ht="15" hidden="false" customHeight="false" outlineLevel="0" collapsed="false">
      <c r="A3681" s="0" t="n">
        <f aca="false">INDEX(LINEST(Data!K1:K8,Data!BF1:BG8,TRUE(),TRUE()),2,1)</f>
        <v>0.260616213345717</v>
      </c>
      <c r="B3681" s="0" t="s">
        <v>3708</v>
      </c>
    </row>
    <row r="3682" customFormat="false" ht="15" hidden="false" customHeight="false" outlineLevel="0" collapsed="false">
      <c r="A3682" s="0" t="n">
        <f aca="false">INDEX(LINEST(Data!K1:K8,Data!BF1:BG8,TRUE(),TRUE()),2,2)</f>
        <v>0.221032395696779</v>
      </c>
      <c r="B3682" s="0" t="s">
        <v>3709</v>
      </c>
    </row>
    <row r="3683" customFormat="false" ht="15" hidden="false" customHeight="false" outlineLevel="0" collapsed="false">
      <c r="A3683" s="0" t="n">
        <f aca="false">INDEX(LINEST(Data!K1:K8,Data!BF1:BG8,TRUE(),TRUE()),2,3)</f>
        <v>1.64248803211323</v>
      </c>
      <c r="B3683" s="0" t="s">
        <v>3710</v>
      </c>
    </row>
    <row r="3684" customFormat="false" ht="15" hidden="false" customHeight="false" outlineLevel="0" collapsed="false">
      <c r="A3684" s="0" t="n">
        <f aca="false">INDEX(LINEST(Data!K1:K8,Data!BF1:BG8,TRUE(),TRUE()),3,1)</f>
        <v>0.679524152847873</v>
      </c>
      <c r="B3684" s="0" t="s">
        <v>3711</v>
      </c>
    </row>
    <row r="3685" customFormat="false" ht="15" hidden="false" customHeight="false" outlineLevel="0" collapsed="false">
      <c r="A3685" s="0" t="n">
        <f aca="false">INDEX(LINEST(Data!K1:K8,Data!BF1:BG8,TRUE(),TRUE()),3,2)</f>
        <v>1.56064616052331</v>
      </c>
      <c r="B3685" s="0" t="s">
        <v>3712</v>
      </c>
    </row>
    <row r="3686" customFormat="false" ht="15" hidden="false" customHeight="false" outlineLevel="0" collapsed="false">
      <c r="A3686" s="0" t="e">
        <f aca="false">INDEX(LINEST(Data!K1:K8,Data!BF1:BG8,TRUE(),TRUE()),3,3)</f>
        <v>#N/A</v>
      </c>
      <c r="B3686" s="0" t="s">
        <v>3713</v>
      </c>
    </row>
    <row r="3687" customFormat="false" ht="15" hidden="false" customHeight="false" outlineLevel="0" collapsed="false">
      <c r="A3687" s="0" t="n">
        <f aca="false">INDEX(LINEST(Data!K1:K8,Data!BF1:BG8,TRUE(),TRUE()),4,1)</f>
        <v>5.30089988751406</v>
      </c>
      <c r="B3687" s="0" t="s">
        <v>3714</v>
      </c>
    </row>
    <row r="3688" customFormat="false" ht="15" hidden="false" customHeight="false" outlineLevel="0" collapsed="false">
      <c r="A3688" s="0" t="n">
        <f aca="false">INDEX(LINEST(Data!K1:K8,Data!BF1:BG8,TRUE(),TRUE()),4,2)</f>
        <v>5</v>
      </c>
      <c r="B3688" s="0" t="s">
        <v>3715</v>
      </c>
    </row>
    <row r="3689" customFormat="false" ht="15" hidden="false" customHeight="false" outlineLevel="0" collapsed="false">
      <c r="A3689" s="0" t="e">
        <f aca="false">INDEX(LINEST(Data!K1:K8,Data!BF1:BG8,TRUE(),TRUE()),4,3)</f>
        <v>#N/A</v>
      </c>
      <c r="B3689" s="0" t="s">
        <v>3716</v>
      </c>
    </row>
    <row r="3690" customFormat="false" ht="15" hidden="false" customHeight="false" outlineLevel="0" collapsed="false">
      <c r="A3690" s="0" t="n">
        <f aca="false">INDEX(LINEST(Data!K1:K8,Data!BF1:BG8,TRUE(),TRUE()),5,1)</f>
        <v>25.8219178082192</v>
      </c>
      <c r="B3690" s="0" t="s">
        <v>3717</v>
      </c>
    </row>
    <row r="3691" customFormat="false" ht="15" hidden="false" customHeight="false" outlineLevel="0" collapsed="false">
      <c r="A3691" s="0" t="n">
        <f aca="false">INDEX(LINEST(Data!K1:K8,Data!BF1:BG8,TRUE(),TRUE()),5,2)</f>
        <v>12.1780821917808</v>
      </c>
      <c r="B3691" s="0" t="s">
        <v>3718</v>
      </c>
    </row>
    <row r="3692" customFormat="false" ht="15" hidden="false" customHeight="false" outlineLevel="0" collapsed="false">
      <c r="A3692" s="0" t="e">
        <f aca="false">INDEX(LINEST(Data!K1:K8,Data!BF1:BG8,TRUE(),TRUE()),5,3)</f>
        <v>#N/A</v>
      </c>
      <c r="B3692" s="0" t="s">
        <v>3719</v>
      </c>
    </row>
    <row r="3693" customFormat="false" ht="15" hidden="false" customHeight="false" outlineLevel="0" collapsed="false">
      <c r="A3693" s="0" t="n">
        <f aca="false">ROWS(LINEST(Data!K1:K8,Data!BF1:BG8,TRUE(),TRUE()))</f>
        <v>5</v>
      </c>
      <c r="B3693" s="0" t="s">
        <v>3720</v>
      </c>
    </row>
    <row r="3694" customFormat="false" ht="15" hidden="false" customHeight="false" outlineLevel="0" collapsed="false">
      <c r="A3694" s="0" t="n">
        <f aca="false">COLUMNS(LINEST(Data!K1:K8,Data!BF1:BG8,TRUE(),TRUE()))</f>
        <v>3</v>
      </c>
      <c r="B3694" s="0" t="s">
        <v>3721</v>
      </c>
    </row>
    <row r="3695" customFormat="false" ht="15" hidden="false" customHeight="false" outlineLevel="0" collapsed="false">
      <c r="A3695" s="0" t="n">
        <f aca="false">INDEX(LINEST(Data!K1:K8,Data!BF1:BG8),1,1)</f>
        <v>-0.304305283757339</v>
      </c>
      <c r="B3695" s="0" t="s">
        <v>3722</v>
      </c>
    </row>
    <row r="3696" customFormat="false" ht="15" hidden="false" customHeight="false" outlineLevel="0" collapsed="false">
      <c r="A3696" s="0" t="n">
        <f aca="false">INDEX(LINEST(Data!K1:K8,Data!BF1:BG8),1,2)</f>
        <v>0.666340508806262</v>
      </c>
      <c r="B3696" s="0" t="s">
        <v>3723</v>
      </c>
    </row>
    <row r="3697" customFormat="false" ht="15" hidden="false" customHeight="false" outlineLevel="0" collapsed="false">
      <c r="A3697" s="0" t="n">
        <f aca="false">INDEX(LINEST(Data!K1:K8,Data!BF1:BG8),1,3)</f>
        <v>3.74951076320939</v>
      </c>
      <c r="B3697" s="0" t="s">
        <v>3724</v>
      </c>
    </row>
    <row r="3698" customFormat="false" ht="15" hidden="false" customHeight="false" outlineLevel="0" collapsed="false">
      <c r="A3698" s="0" t="n">
        <f aca="false">ROWS(LINEST(Data!K1:K8,Data!BF1:BG8))</f>
        <v>1</v>
      </c>
      <c r="B3698" s="0" t="s">
        <v>3725</v>
      </c>
    </row>
    <row r="3699" customFormat="false" ht="15" hidden="false" customHeight="false" outlineLevel="0" collapsed="false">
      <c r="A3699" s="0" t="n">
        <f aca="false">COLUMNS(LINEST(Data!K1:K8,Data!BF1:BG8))</f>
        <v>3</v>
      </c>
      <c r="B3699" s="0" t="s">
        <v>3726</v>
      </c>
    </row>
    <row r="3700" customFormat="false" ht="15" hidden="false" customHeight="false" outlineLevel="0" collapsed="false">
      <c r="A3700" s="0" t="n">
        <f aca="false">INDEX(LINEST(Data!K1:K8,Data!BF1:BG8,FALSE(),TRUE()),1,1)</f>
        <v>0.116355376072691</v>
      </c>
      <c r="B3700" s="0" t="s">
        <v>3727</v>
      </c>
    </row>
    <row r="3701" customFormat="false" ht="15" hidden="false" customHeight="false" outlineLevel="0" collapsed="false">
      <c r="A3701" s="0" t="n">
        <f aca="false">INDEX(LINEST(Data!K1:K8,Data!BF1:BG8,FALSE(),TRUE()),1,2)</f>
        <v>0.987632508833922</v>
      </c>
      <c r="B3701" s="0" t="s">
        <v>3728</v>
      </c>
    </row>
    <row r="3702" customFormat="false" ht="15" hidden="false" customHeight="false" outlineLevel="0" collapsed="false">
      <c r="A3702" s="0" t="n">
        <f aca="false">INDEX(LINEST(Data!K1:K8,Data!BF1:BG8,FALSE(),TRUE()),1,3)</f>
        <v>0</v>
      </c>
      <c r="B3702" s="0" t="s">
        <v>3729</v>
      </c>
    </row>
    <row r="3703" customFormat="false" ht="15" hidden="false" customHeight="false" outlineLevel="0" collapsed="false">
      <c r="A3703" s="0" t="n">
        <f aca="false">INDEX(LINEST(Data!K1:K8,Data!BF1:BG8,FALSE(),TRUE()),2,1)</f>
        <v>0.240424054288393</v>
      </c>
      <c r="B3703" s="0" t="s">
        <v>3730</v>
      </c>
    </row>
    <row r="3704" customFormat="false" ht="15" hidden="false" customHeight="false" outlineLevel="0" collapsed="false">
      <c r="A3704" s="0" t="n">
        <f aca="false">INDEX(LINEST(Data!K1:K8,Data!BF1:BG8,FALSE(),TRUE()),2,2)</f>
        <v>0.222337481359381</v>
      </c>
      <c r="B3704" s="0" t="s">
        <v>3731</v>
      </c>
    </row>
    <row r="3705" customFormat="false" ht="15" hidden="false" customHeight="false" outlineLevel="0" collapsed="false">
      <c r="A3705" s="0" t="e">
        <f aca="false">INDEX(LINEST(Data!K1:K8,Data!BF1:BG8,FALSE(),TRUE()),2,3)</f>
        <v>#N/A</v>
      </c>
      <c r="B3705" s="0" t="s">
        <v>3732</v>
      </c>
    </row>
    <row r="3706" customFormat="false" ht="15" hidden="false" customHeight="false" outlineLevel="0" collapsed="false">
      <c r="A3706" s="0" t="n">
        <f aca="false">INDEX(LINEST(Data!K1:K8,Data!BF1:BG8,FALSE(),TRUE()),3,1)</f>
        <v>0.911175813081416</v>
      </c>
      <c r="B3706" s="0" t="s">
        <v>3733</v>
      </c>
    </row>
    <row r="3707" customFormat="false" ht="15" hidden="false" customHeight="false" outlineLevel="0" collapsed="false">
      <c r="A3707" s="0" t="n">
        <f aca="false">INDEX(LINEST(Data!K1:K8,Data!BF1:BG8,FALSE(),TRUE()),3,2)</f>
        <v>2.0359589197396</v>
      </c>
      <c r="B3707" s="0" t="s">
        <v>3734</v>
      </c>
    </row>
    <row r="3708" customFormat="false" ht="15" hidden="false" customHeight="false" outlineLevel="0" collapsed="false">
      <c r="A3708" s="0" t="e">
        <f aca="false">INDEX(LINEST(Data!K1:K8,Data!BF1:BG8,FALSE(),TRUE()),3,3)</f>
        <v>#N/A</v>
      </c>
      <c r="B3708" s="0" t="s">
        <v>3735</v>
      </c>
    </row>
    <row r="3709" customFormat="false" ht="15" hidden="false" customHeight="false" outlineLevel="0" collapsed="false">
      <c r="A3709" s="0" t="n">
        <f aca="false">INDEX(LINEST(Data!K1:K8,Data!BF1:BG8,FALSE(),TRUE()),4,1)</f>
        <v>30.774584424283</v>
      </c>
      <c r="B3709" s="0" t="s">
        <v>3736</v>
      </c>
    </row>
    <row r="3710" customFormat="false" ht="15" hidden="false" customHeight="false" outlineLevel="0" collapsed="false">
      <c r="A3710" s="0" t="n">
        <f aca="false">INDEX(LINEST(Data!K1:K8,Data!BF1:BG8,FALSE(),TRUE()),4,2)</f>
        <v>6</v>
      </c>
      <c r="B3710" s="0" t="s">
        <v>3737</v>
      </c>
    </row>
    <row r="3711" customFormat="false" ht="15" hidden="false" customHeight="false" outlineLevel="0" collapsed="false">
      <c r="A3711" s="0" t="e">
        <f aca="false">INDEX(LINEST(Data!K1:K8,Data!BF1:BG8,FALSE(),TRUE()),4,3)</f>
        <v>#N/A</v>
      </c>
      <c r="B3711" s="0" t="s">
        <v>3738</v>
      </c>
    </row>
    <row r="3712" customFormat="false" ht="15" hidden="false" customHeight="false" outlineLevel="0" collapsed="false">
      <c r="A3712" s="0" t="n">
        <f aca="false">INDEX(LINEST(Data!K1:K8,Data!BF1:BG8,FALSE(),TRUE()),5,1)</f>
        <v>255.129227662797</v>
      </c>
      <c r="B3712" s="0" t="s">
        <v>3739</v>
      </c>
    </row>
    <row r="3713" customFormat="false" ht="15" hidden="false" customHeight="false" outlineLevel="0" collapsed="false">
      <c r="A3713" s="0" t="n">
        <f aca="false">INDEX(LINEST(Data!K1:K8,Data!BF1:BG8,FALSE(),TRUE()),5,2)</f>
        <v>24.8707723372034</v>
      </c>
      <c r="B3713" s="0" t="s">
        <v>3740</v>
      </c>
    </row>
    <row r="3714" customFormat="false" ht="15" hidden="false" customHeight="false" outlineLevel="0" collapsed="false">
      <c r="A3714" s="0" t="e">
        <f aca="false">INDEX(LINEST(Data!K1:K8,Data!BF1:BG8,FALSE(),TRUE()),5,3)</f>
        <v>#N/A</v>
      </c>
      <c r="B3714" s="0" t="s">
        <v>3741</v>
      </c>
    </row>
    <row r="3715" customFormat="false" ht="15" hidden="false" customHeight="false" outlineLevel="0" collapsed="false">
      <c r="A3715" s="0" t="n">
        <f aca="false">ROWS(LINEST(Data!K1:K8,Data!BF1:BG8,FALSE(),TRUE()))</f>
        <v>5</v>
      </c>
      <c r="B3715" s="0" t="s">
        <v>3742</v>
      </c>
    </row>
    <row r="3716" customFormat="false" ht="15" hidden="false" customHeight="false" outlineLevel="0" collapsed="false">
      <c r="A3716" s="0" t="n">
        <f aca="false">COLUMNS(LINEST(Data!K1:K8,Data!BF1:BG8,FALSE(),TRUE()))</f>
        <v>3</v>
      </c>
      <c r="B3716" s="0" t="s">
        <v>3743</v>
      </c>
    </row>
    <row r="3717" customFormat="false" ht="15" hidden="false" customHeight="false" outlineLevel="0" collapsed="false">
      <c r="A3717" s="0" t="e">
        <f aca="false">INDEX(LINEST(Data!K1:K8,Data!BF1:BH8,TRUE(),TRUE()),1,1)</f>
        <v>#VALUE!</v>
      </c>
      <c r="B3717" s="0" t="s">
        <v>3744</v>
      </c>
    </row>
    <row r="3718" customFormat="false" ht="15" hidden="false" customHeight="false" outlineLevel="0" collapsed="false">
      <c r="A3718" s="0" t="e">
        <f aca="false">INDEX(LINEST(Data!K1:K8,Data!BF1:BH8,TRUE(),TRUE()),1,2)</f>
        <v>#VALUE!</v>
      </c>
      <c r="B3718" s="0" t="s">
        <v>3745</v>
      </c>
    </row>
    <row r="3719" customFormat="false" ht="15" hidden="false" customHeight="false" outlineLevel="0" collapsed="false">
      <c r="A3719" s="0" t="e">
        <f aca="false">INDEX(LINEST(Data!K1:K8,Data!BF1:BH8,TRUE(),TRUE()),1,3)</f>
        <v>#VALUE!</v>
      </c>
      <c r="B3719" s="0" t="s">
        <v>3746</v>
      </c>
    </row>
    <row r="3720" customFormat="false" ht="15" hidden="false" customHeight="false" outlineLevel="0" collapsed="false">
      <c r="A3720" s="0" t="e">
        <f aca="false">INDEX(LINEST(Data!K1:K8,Data!BF1:BH8,TRUE(),TRUE()),1,4)</f>
        <v>#VALUE!</v>
      </c>
      <c r="B3720" s="0" t="s">
        <v>3747</v>
      </c>
    </row>
    <row r="3721" customFormat="false" ht="15" hidden="false" customHeight="false" outlineLevel="0" collapsed="false">
      <c r="A3721" s="0" t="e">
        <f aca="false">INDEX(LINEST(Data!K1:K8,Data!BF1:BH8,TRUE(),TRUE()),2,1)</f>
        <v>#VALUE!</v>
      </c>
      <c r="B3721" s="0" t="s">
        <v>3748</v>
      </c>
    </row>
    <row r="3722" customFormat="false" ht="15" hidden="false" customHeight="false" outlineLevel="0" collapsed="false">
      <c r="A3722" s="0" t="e">
        <f aca="false">INDEX(LINEST(Data!K1:K8,Data!BF1:BH8,TRUE(),TRUE()),2,2)</f>
        <v>#VALUE!</v>
      </c>
      <c r="B3722" s="0" t="s">
        <v>3749</v>
      </c>
    </row>
    <row r="3723" customFormat="false" ht="15" hidden="false" customHeight="false" outlineLevel="0" collapsed="false">
      <c r="A3723" s="0" t="e">
        <f aca="false">INDEX(LINEST(Data!K1:K8,Data!BF1:BH8,TRUE(),TRUE()),2,3)</f>
        <v>#VALUE!</v>
      </c>
      <c r="B3723" s="0" t="s">
        <v>3750</v>
      </c>
    </row>
    <row r="3724" customFormat="false" ht="15" hidden="false" customHeight="false" outlineLevel="0" collapsed="false">
      <c r="A3724" s="0" t="e">
        <f aca="false">INDEX(LINEST(Data!K1:K8,Data!BF1:BH8,TRUE(),TRUE()),2,4)</f>
        <v>#VALUE!</v>
      </c>
      <c r="B3724" s="0" t="s">
        <v>3751</v>
      </c>
    </row>
    <row r="3725" customFormat="false" ht="15" hidden="false" customHeight="false" outlineLevel="0" collapsed="false">
      <c r="A3725" s="0" t="e">
        <f aca="false">INDEX(LINEST(Data!K1:K8,Data!BF1:BH8,TRUE(),TRUE()),3,1)</f>
        <v>#VALUE!</v>
      </c>
      <c r="B3725" s="0" t="s">
        <v>3752</v>
      </c>
    </row>
    <row r="3726" customFormat="false" ht="15" hidden="false" customHeight="false" outlineLevel="0" collapsed="false">
      <c r="A3726" s="0" t="e">
        <f aca="false">INDEX(LINEST(Data!K1:K8,Data!BF1:BH8,TRUE(),TRUE()),3,2)</f>
        <v>#VALUE!</v>
      </c>
      <c r="B3726" s="0" t="s">
        <v>3753</v>
      </c>
    </row>
    <row r="3727" customFormat="false" ht="15" hidden="false" customHeight="false" outlineLevel="0" collapsed="false">
      <c r="A3727" s="0" t="e">
        <f aca="false">INDEX(LINEST(Data!K1:K8,Data!BF1:BH8,TRUE(),TRUE()),3,3)</f>
        <v>#VALUE!</v>
      </c>
      <c r="B3727" s="0" t="s">
        <v>3754</v>
      </c>
    </row>
    <row r="3728" customFormat="false" ht="15" hidden="false" customHeight="false" outlineLevel="0" collapsed="false">
      <c r="A3728" s="0" t="e">
        <f aca="false">INDEX(LINEST(Data!K1:K8,Data!BF1:BH8,TRUE(),TRUE()),3,4)</f>
        <v>#VALUE!</v>
      </c>
      <c r="B3728" s="0" t="s">
        <v>3755</v>
      </c>
    </row>
    <row r="3729" customFormat="false" ht="15" hidden="false" customHeight="false" outlineLevel="0" collapsed="false">
      <c r="A3729" s="0" t="e">
        <f aca="false">INDEX(LINEST(Data!K1:K8,Data!BF1:BH8,TRUE(),TRUE()),4,1)</f>
        <v>#VALUE!</v>
      </c>
      <c r="B3729" s="0" t="s">
        <v>3756</v>
      </c>
    </row>
    <row r="3730" customFormat="false" ht="15" hidden="false" customHeight="false" outlineLevel="0" collapsed="false">
      <c r="A3730" s="0" t="e">
        <f aca="false">INDEX(LINEST(Data!K1:K8,Data!BF1:BH8,TRUE(),TRUE()),4,2)</f>
        <v>#VALUE!</v>
      </c>
      <c r="B3730" s="0" t="s">
        <v>3757</v>
      </c>
    </row>
    <row r="3731" customFormat="false" ht="15" hidden="false" customHeight="false" outlineLevel="0" collapsed="false">
      <c r="A3731" s="0" t="e">
        <f aca="false">INDEX(LINEST(Data!K1:K8,Data!BF1:BH8,TRUE(),TRUE()),4,3)</f>
        <v>#VALUE!</v>
      </c>
      <c r="B3731" s="0" t="s">
        <v>3758</v>
      </c>
    </row>
    <row r="3732" customFormat="false" ht="15" hidden="false" customHeight="false" outlineLevel="0" collapsed="false">
      <c r="A3732" s="0" t="e">
        <f aca="false">INDEX(LINEST(Data!K1:K8,Data!BF1:BH8,TRUE(),TRUE()),4,4)</f>
        <v>#VALUE!</v>
      </c>
      <c r="B3732" s="0" t="s">
        <v>3759</v>
      </c>
    </row>
    <row r="3733" customFormat="false" ht="15" hidden="false" customHeight="false" outlineLevel="0" collapsed="false">
      <c r="A3733" s="0" t="e">
        <f aca="false">INDEX(LINEST(Data!K1:K8,Data!BF1:BH8,TRUE(),TRUE()),5,1)</f>
        <v>#VALUE!</v>
      </c>
      <c r="B3733" s="0" t="s">
        <v>3760</v>
      </c>
    </row>
    <row r="3734" customFormat="false" ht="15" hidden="false" customHeight="false" outlineLevel="0" collapsed="false">
      <c r="A3734" s="0" t="e">
        <f aca="false">INDEX(LINEST(Data!K1:K8,Data!BF1:BH8,TRUE(),TRUE()),5,2)</f>
        <v>#VALUE!</v>
      </c>
      <c r="B3734" s="0" t="s">
        <v>3761</v>
      </c>
    </row>
    <row r="3735" customFormat="false" ht="15" hidden="false" customHeight="false" outlineLevel="0" collapsed="false">
      <c r="A3735" s="0" t="e">
        <f aca="false">INDEX(LINEST(Data!K1:K8,Data!BF1:BH8,TRUE(),TRUE()),5,3)</f>
        <v>#VALUE!</v>
      </c>
      <c r="B3735" s="0" t="s">
        <v>3762</v>
      </c>
    </row>
    <row r="3736" customFormat="false" ht="15" hidden="false" customHeight="false" outlineLevel="0" collapsed="false">
      <c r="A3736" s="0" t="e">
        <f aca="false">INDEX(LINEST(Data!K1:K8,Data!BF1:BH8,TRUE(),TRUE()),5,4)</f>
        <v>#VALUE!</v>
      </c>
      <c r="B3736" s="0" t="s">
        <v>3763</v>
      </c>
    </row>
    <row r="3737" customFormat="false" ht="15" hidden="false" customHeight="false" outlineLevel="0" collapsed="false">
      <c r="A3737" s="0" t="e">
        <f aca="false">ROWS(LINEST(Data!K1:K8,Data!BF1:BH8,TRUE(),TRUE()))</f>
        <v>#VALUE!</v>
      </c>
      <c r="B3737" s="0" t="s">
        <v>3764</v>
      </c>
    </row>
    <row r="3738" customFormat="false" ht="15" hidden="false" customHeight="false" outlineLevel="0" collapsed="false">
      <c r="A3738" s="0" t="e">
        <f aca="false">COLUMNS(LINEST(Data!K1:K8,Data!BF1:BH8,TRUE(),TRUE()))</f>
        <v>#VALUE!</v>
      </c>
      <c r="B3738" s="0" t="s">
        <v>3765</v>
      </c>
    </row>
    <row r="3739" customFormat="false" ht="15" hidden="false" customHeight="false" outlineLevel="0" collapsed="false">
      <c r="A3739" s="0" t="n">
        <f aca="false">INDEX(LINEST(Data!K1:K8,Data!BG1:BH8,TRUE(),TRUE()),1,1)</f>
        <v>0.333170254403131</v>
      </c>
      <c r="B3739" s="0" t="s">
        <v>3766</v>
      </c>
    </row>
    <row r="3740" customFormat="false" ht="15" hidden="false" customHeight="false" outlineLevel="0" collapsed="false">
      <c r="A3740" s="0" t="n">
        <f aca="false">INDEX(LINEST(Data!K1:K8,Data!BG1:BH8,TRUE(),TRUE()),1,2)</f>
        <v>-0.304305283757339</v>
      </c>
      <c r="B3740" s="0" t="s">
        <v>3767</v>
      </c>
    </row>
    <row r="3741" customFormat="false" ht="15" hidden="false" customHeight="false" outlineLevel="0" collapsed="false">
      <c r="A3741" s="0" t="n">
        <f aca="false">INDEX(LINEST(Data!K1:K8,Data!BG1:BH8,TRUE(),TRUE()),1,3)</f>
        <v>3.74951076320939</v>
      </c>
      <c r="B3741" s="0" t="s">
        <v>3768</v>
      </c>
    </row>
    <row r="3742" customFormat="false" ht="15" hidden="false" customHeight="false" outlineLevel="0" collapsed="false">
      <c r="A3742" s="0" t="n">
        <f aca="false">INDEX(LINEST(Data!K1:K8,Data!BG1:BH8,TRUE(),TRUE()),2,1)</f>
        <v>0.110516197848389</v>
      </c>
      <c r="B3742" s="0" t="s">
        <v>3769</v>
      </c>
    </row>
    <row r="3743" customFormat="false" ht="15" hidden="false" customHeight="false" outlineLevel="0" collapsed="false">
      <c r="A3743" s="0" t="n">
        <f aca="false">INDEX(LINEST(Data!K1:K8,Data!BG1:BH8,TRUE(),TRUE()),2,2)</f>
        <v>0.260616213345717</v>
      </c>
      <c r="B3743" s="0" t="s">
        <v>3770</v>
      </c>
    </row>
    <row r="3744" customFormat="false" ht="15" hidden="false" customHeight="false" outlineLevel="0" collapsed="false">
      <c r="A3744" s="0" t="n">
        <f aca="false">INDEX(LINEST(Data!K1:K8,Data!BG1:BH8,TRUE(),TRUE()),2,3)</f>
        <v>1.64248803211323</v>
      </c>
      <c r="B3744" s="0" t="s">
        <v>3771</v>
      </c>
    </row>
    <row r="3745" customFormat="false" ht="15" hidden="false" customHeight="false" outlineLevel="0" collapsed="false">
      <c r="A3745" s="0" t="n">
        <f aca="false">INDEX(LINEST(Data!K1:K8,Data!BG1:BH8,TRUE(),TRUE()),3,1)</f>
        <v>0.679524152847873</v>
      </c>
      <c r="B3745" s="0" t="s">
        <v>3772</v>
      </c>
    </row>
    <row r="3746" customFormat="false" ht="15" hidden="false" customHeight="false" outlineLevel="0" collapsed="false">
      <c r="A3746" s="0" t="n">
        <f aca="false">INDEX(LINEST(Data!K1:K8,Data!BG1:BH8,TRUE(),TRUE()),3,2)</f>
        <v>1.56064616052332</v>
      </c>
      <c r="B3746" s="0" t="s">
        <v>3773</v>
      </c>
    </row>
    <row r="3747" customFormat="false" ht="15" hidden="false" customHeight="false" outlineLevel="0" collapsed="false">
      <c r="A3747" s="0" t="e">
        <f aca="false">INDEX(LINEST(Data!K1:K8,Data!BG1:BH8,TRUE(),TRUE()),3,3)</f>
        <v>#N/A</v>
      </c>
      <c r="B3747" s="0" t="s">
        <v>3774</v>
      </c>
    </row>
    <row r="3748" customFormat="false" ht="15" hidden="false" customHeight="false" outlineLevel="0" collapsed="false">
      <c r="A3748" s="0" t="n">
        <f aca="false">INDEX(LINEST(Data!K1:K8,Data!BG1:BH8,TRUE(),TRUE()),4,1)</f>
        <v>5.30089988751406</v>
      </c>
      <c r="B3748" s="0" t="s">
        <v>3775</v>
      </c>
    </row>
    <row r="3749" customFormat="false" ht="15" hidden="false" customHeight="false" outlineLevel="0" collapsed="false">
      <c r="A3749" s="0" t="n">
        <f aca="false">INDEX(LINEST(Data!K1:K8,Data!BG1:BH8,TRUE(),TRUE()),4,2)</f>
        <v>5</v>
      </c>
      <c r="B3749" s="0" t="s">
        <v>3776</v>
      </c>
    </row>
    <row r="3750" customFormat="false" ht="15" hidden="false" customHeight="false" outlineLevel="0" collapsed="false">
      <c r="A3750" s="0" t="e">
        <f aca="false">INDEX(LINEST(Data!K1:K8,Data!BG1:BH8,TRUE(),TRUE()),4,3)</f>
        <v>#N/A</v>
      </c>
      <c r="B3750" s="0" t="s">
        <v>3777</v>
      </c>
    </row>
    <row r="3751" customFormat="false" ht="15" hidden="false" customHeight="false" outlineLevel="0" collapsed="false">
      <c r="A3751" s="0" t="n">
        <f aca="false">INDEX(LINEST(Data!K1:K8,Data!BG1:BH8,TRUE(),TRUE()),5,1)</f>
        <v>25.8219178082192</v>
      </c>
      <c r="B3751" s="0" t="s">
        <v>3778</v>
      </c>
    </row>
    <row r="3752" customFormat="false" ht="15" hidden="false" customHeight="false" outlineLevel="0" collapsed="false">
      <c r="A3752" s="0" t="n">
        <f aca="false">INDEX(LINEST(Data!K1:K8,Data!BG1:BH8,TRUE(),TRUE()),5,2)</f>
        <v>12.1780821917808</v>
      </c>
      <c r="B3752" s="0" t="s">
        <v>3779</v>
      </c>
    </row>
    <row r="3753" customFormat="false" ht="15" hidden="false" customHeight="false" outlineLevel="0" collapsed="false">
      <c r="A3753" s="0" t="e">
        <f aca="false">INDEX(LINEST(Data!K1:K8,Data!BG1:BH8,TRUE(),TRUE()),5,3)</f>
        <v>#N/A</v>
      </c>
      <c r="B3753" s="0" t="s">
        <v>3780</v>
      </c>
    </row>
    <row r="3754" customFormat="false" ht="15" hidden="false" customHeight="false" outlineLevel="0" collapsed="false">
      <c r="A3754" s="0" t="n">
        <f aca="false">ROWS(LINEST(Data!K1:K8,Data!BG1:BH8,TRUE(),TRUE()))</f>
        <v>5</v>
      </c>
      <c r="B3754" s="0" t="s">
        <v>3781</v>
      </c>
    </row>
    <row r="3755" customFormat="false" ht="15" hidden="false" customHeight="false" outlineLevel="0" collapsed="false">
      <c r="A3755" s="0" t="n">
        <f aca="false">COLUMNS(LINEST(Data!K1:K8,Data!BG1:BH8,TRUE(),TRUE()))</f>
        <v>3</v>
      </c>
      <c r="B3755" s="0" t="s">
        <v>3782</v>
      </c>
    </row>
    <row r="3756" customFormat="false" ht="15" hidden="false" customHeight="false" outlineLevel="0" collapsed="false">
      <c r="A3756" s="0" t="n">
        <f aca="false">INDEX(LINEST(Data!K1:K8,Data!A1:A8,TRUE(),TRUE()),1,1)</f>
        <v>0.0424628450106157</v>
      </c>
      <c r="B3756" s="0" t="s">
        <v>3641</v>
      </c>
    </row>
    <row r="3757" customFormat="false" ht="15" hidden="false" customHeight="false" outlineLevel="0" collapsed="false">
      <c r="A3757" s="0" t="n">
        <f aca="false">INDEX(LINEST(Data!K1:K8,Data!A1:A8,TRUE(),TRUE()),1,2)</f>
        <v>5.29299363057325</v>
      </c>
      <c r="B3757" s="0" t="s">
        <v>3642</v>
      </c>
    </row>
    <row r="3758" customFormat="false" ht="15" hidden="false" customHeight="false" outlineLevel="0" collapsed="false">
      <c r="A3758" s="0" t="n">
        <f aca="false">INDEX(LINEST(Data!K1:K8,Data!A1:A8,TRUE(),TRUE()),2,1)</f>
        <v>0.327524083326953</v>
      </c>
      <c r="B3758" s="0" t="s">
        <v>3643</v>
      </c>
    </row>
    <row r="3759" customFormat="false" ht="15" hidden="false" customHeight="false" outlineLevel="0" collapsed="false">
      <c r="A3759" s="0" t="n">
        <f aca="false">INDEX(LINEST(Data!K1:K8,Data!A1:A8,TRUE(),TRUE()),2,2)</f>
        <v>1.8272497867229</v>
      </c>
      <c r="B3759" s="0" t="s">
        <v>3644</v>
      </c>
    </row>
    <row r="3760" customFormat="false" ht="15" hidden="false" customHeight="false" outlineLevel="0" collapsed="false">
      <c r="A3760" s="0" t="n">
        <f aca="false">INDEX(LINEST(Data!K1:K8,Data!A1:A8,TRUE(),TRUE()),3,1)</f>
        <v>0.00279360822438261</v>
      </c>
      <c r="B3760" s="0" t="s">
        <v>3645</v>
      </c>
    </row>
    <row r="3761" customFormat="false" ht="15" hidden="false" customHeight="false" outlineLevel="0" collapsed="false">
      <c r="A3761" s="0" t="n">
        <f aca="false">INDEX(LINEST(Data!K1:K8,Data!A1:A8,TRUE(),TRUE()),3,2)</f>
        <v>2.51309380669437</v>
      </c>
      <c r="B3761" s="0" t="s">
        <v>3646</v>
      </c>
    </row>
    <row r="3762" customFormat="false" ht="15" hidden="false" customHeight="false" outlineLevel="0" collapsed="false">
      <c r="A3762" s="0" t="n">
        <f aca="false">INDEX(LINEST(Data!K1:K8,Data!A1:A8,TRUE(),TRUE()),4,1)</f>
        <v>0.0168086060062752</v>
      </c>
      <c r="B3762" s="0" t="s">
        <v>3647</v>
      </c>
    </row>
    <row r="3763" customFormat="false" ht="15" hidden="false" customHeight="false" outlineLevel="0" collapsed="false">
      <c r="A3763" s="0" t="n">
        <f aca="false">INDEX(LINEST(Data!K1:K8,Data!A1:A8,TRUE(),TRUE()),4,2)</f>
        <v>6</v>
      </c>
      <c r="B3763" s="0" t="s">
        <v>3648</v>
      </c>
    </row>
    <row r="3764" customFormat="false" ht="15" hidden="false" customHeight="false" outlineLevel="0" collapsed="false">
      <c r="A3764" s="0" t="n">
        <f aca="false">INDEX(LINEST(Data!K1:K8,Data!A1:A8,TRUE(),TRUE()),5,1)</f>
        <v>0.106157112526539</v>
      </c>
      <c r="B3764" s="0" t="s">
        <v>3649</v>
      </c>
    </row>
    <row r="3765" customFormat="false" ht="15" hidden="false" customHeight="false" outlineLevel="0" collapsed="false">
      <c r="A3765" s="0" t="n">
        <f aca="false">INDEX(LINEST(Data!K1:K8,Data!A1:A8,TRUE(),TRUE()),5,2)</f>
        <v>37.8938428874735</v>
      </c>
      <c r="B3765" s="0" t="s">
        <v>3650</v>
      </c>
    </row>
    <row r="3766" customFormat="false" ht="15" hidden="false" customHeight="false" outlineLevel="0" collapsed="false">
      <c r="A3766" s="0" t="n">
        <f aca="false">ROWS(LINEST(Data!K1:K8,Data!A1:A8,TRUE(),TRUE()))</f>
        <v>5</v>
      </c>
      <c r="B3766" s="0" t="s">
        <v>3651</v>
      </c>
    </row>
    <row r="3767" customFormat="false" ht="15" hidden="false" customHeight="false" outlineLevel="0" collapsed="false">
      <c r="A3767" s="0" t="n">
        <f aca="false">COLUMNS(LINEST(Data!K1:K8,Data!A1:A8,TRUE(),TRUE()))</f>
        <v>2</v>
      </c>
      <c r="B3767" s="0" t="s">
        <v>3652</v>
      </c>
    </row>
    <row r="3768" customFormat="false" ht="15" hidden="false" customHeight="false" outlineLevel="0" collapsed="false">
      <c r="A3768" s="0" t="n">
        <f aca="false">INDEX(LINEST(TRANSPOSE(Data!K1:K8),TRANSPOSE(Data!A1:A8),TRUE(),TRUE()),1,1)</f>
        <v>0.0424628450106157</v>
      </c>
      <c r="B3768" s="0" t="s">
        <v>3783</v>
      </c>
    </row>
    <row r="3769" customFormat="false" ht="15" hidden="false" customHeight="false" outlineLevel="0" collapsed="false">
      <c r="A3769" s="0" t="n">
        <f aca="false">INDEX(LINEST(TRANSPOSE(Data!K1:K8),TRANSPOSE(Data!A1:A8),TRUE(),TRUE()),1,2)</f>
        <v>5.29299363057325</v>
      </c>
      <c r="B3769" s="0" t="s">
        <v>3784</v>
      </c>
    </row>
    <row r="3770" customFormat="false" ht="15" hidden="false" customHeight="false" outlineLevel="0" collapsed="false">
      <c r="A3770" s="0" t="n">
        <f aca="false">INDEX(LINEST(TRANSPOSE(Data!K1:K8),TRANSPOSE(Data!A1:A8),TRUE(),TRUE()),2,1)</f>
        <v>0.327524083326953</v>
      </c>
      <c r="B3770" s="0" t="s">
        <v>3785</v>
      </c>
    </row>
    <row r="3771" customFormat="false" ht="15" hidden="false" customHeight="false" outlineLevel="0" collapsed="false">
      <c r="A3771" s="0" t="n">
        <f aca="false">INDEX(LINEST(TRANSPOSE(Data!K1:K8),TRANSPOSE(Data!A1:A8),TRUE(),TRUE()),2,2)</f>
        <v>1.8272497867229</v>
      </c>
      <c r="B3771" s="0" t="s">
        <v>3786</v>
      </c>
    </row>
    <row r="3772" customFormat="false" ht="15" hidden="false" customHeight="false" outlineLevel="0" collapsed="false">
      <c r="A3772" s="0" t="n">
        <f aca="false">INDEX(LINEST(TRANSPOSE(Data!K1:K8),TRANSPOSE(Data!A1:A8),TRUE(),TRUE()),3,1)</f>
        <v>0.00279360822438261</v>
      </c>
      <c r="B3772" s="0" t="s">
        <v>3787</v>
      </c>
    </row>
    <row r="3773" customFormat="false" ht="15" hidden="false" customHeight="false" outlineLevel="0" collapsed="false">
      <c r="A3773" s="0" t="n">
        <f aca="false">INDEX(LINEST(TRANSPOSE(Data!K1:K8),TRANSPOSE(Data!A1:A8),TRUE(),TRUE()),3,2)</f>
        <v>2.51309380669437</v>
      </c>
      <c r="B3773" s="0" t="s">
        <v>3788</v>
      </c>
    </row>
    <row r="3774" customFormat="false" ht="15" hidden="false" customHeight="false" outlineLevel="0" collapsed="false">
      <c r="A3774" s="0" t="n">
        <f aca="false">INDEX(LINEST(TRANSPOSE(Data!K1:K8),TRANSPOSE(Data!A1:A8),TRUE(),TRUE()),4,1)</f>
        <v>0.0168086060062752</v>
      </c>
      <c r="B3774" s="0" t="s">
        <v>3789</v>
      </c>
    </row>
    <row r="3775" customFormat="false" ht="15" hidden="false" customHeight="false" outlineLevel="0" collapsed="false">
      <c r="A3775" s="0" t="n">
        <f aca="false">INDEX(LINEST(TRANSPOSE(Data!K1:K8),TRANSPOSE(Data!A1:A8),TRUE(),TRUE()),4,2)</f>
        <v>6</v>
      </c>
      <c r="B3775" s="0" t="s">
        <v>3790</v>
      </c>
    </row>
    <row r="3776" customFormat="false" ht="15" hidden="false" customHeight="false" outlineLevel="0" collapsed="false">
      <c r="A3776" s="0" t="n">
        <f aca="false">INDEX(LINEST(TRANSPOSE(Data!K1:K8),TRANSPOSE(Data!A1:A8),TRUE(),TRUE()),5,1)</f>
        <v>0.106157112526539</v>
      </c>
      <c r="B3776" s="0" t="s">
        <v>3791</v>
      </c>
    </row>
    <row r="3777" customFormat="false" ht="15" hidden="false" customHeight="false" outlineLevel="0" collapsed="false">
      <c r="A3777" s="0" t="n">
        <f aca="false">INDEX(LINEST(TRANSPOSE(Data!K1:K8),TRANSPOSE(Data!A1:A8),TRUE(),TRUE()),5,2)</f>
        <v>37.8938428874735</v>
      </c>
      <c r="B3777" s="0" t="s">
        <v>3792</v>
      </c>
    </row>
    <row r="3778" customFormat="false" ht="15" hidden="false" customHeight="false" outlineLevel="0" collapsed="false">
      <c r="A3778" s="0" t="n">
        <f aca="false">ROWS(LINEST(TRANSPOSE(Data!K1:K8),TRANSPOSE(Data!A1:A8),TRUE(),TRUE()))</f>
        <v>5</v>
      </c>
      <c r="B3778" s="0" t="s">
        <v>3793</v>
      </c>
    </row>
    <row r="3779" customFormat="false" ht="15" hidden="false" customHeight="false" outlineLevel="0" collapsed="false">
      <c r="A3779" s="0" t="n">
        <f aca="false">COLUMNS(LINEST(TRANSPOSE(Data!K1:K8),TRANSPOSE(Data!A1:A8),TRUE(),TRUE()))</f>
        <v>2</v>
      </c>
      <c r="B3779" s="0" t="s">
        <v>3794</v>
      </c>
    </row>
    <row r="3780" customFormat="false" ht="15" hidden="false" customHeight="false" outlineLevel="0" collapsed="false">
      <c r="A3780" s="0" t="e">
        <f aca="false">INDEX(LINEST(TRANSPOSE(Data!K1:K8),Data!BF1:BG8),1,1)</f>
        <v>#VALUE!</v>
      </c>
      <c r="B3780" s="0" t="s">
        <v>3795</v>
      </c>
    </row>
    <row r="3781" customFormat="false" ht="15" hidden="false" customHeight="false" outlineLevel="0" collapsed="false">
      <c r="A3781" s="0" t="e">
        <f aca="false">INDEX(LINEST(TRANSPOSE(Data!K1:K8),Data!BF1:BG8),1,2)</f>
        <v>#VALUE!</v>
      </c>
      <c r="B3781" s="0" t="s">
        <v>3796</v>
      </c>
    </row>
    <row r="3782" customFormat="false" ht="15" hidden="false" customHeight="false" outlineLevel="0" collapsed="false">
      <c r="A3782" s="0" t="e">
        <f aca="false">INDEX(LINEST(TRANSPOSE(Data!K1:K8),Data!BF1:BG8),1,3)</f>
        <v>#VALUE!</v>
      </c>
      <c r="B3782" s="0" t="s">
        <v>3797</v>
      </c>
    </row>
    <row r="3783" customFormat="false" ht="15" hidden="false" customHeight="false" outlineLevel="0" collapsed="false">
      <c r="A3783" s="0" t="e">
        <f aca="false">ROWS(LINEST(TRANSPOSE(Data!K1:K8),Data!BF1:BG8))</f>
        <v>#VALUE!</v>
      </c>
      <c r="B3783" s="0" t="s">
        <v>3798</v>
      </c>
    </row>
    <row r="3784" customFormat="false" ht="15" hidden="false" customHeight="false" outlineLevel="0" collapsed="false">
      <c r="A3784" s="0" t="e">
        <f aca="false">COLUMNS(LINEST(TRANSPOSE(Data!K1:K8),Data!BF1:BG8))</f>
        <v>#VALUE!</v>
      </c>
      <c r="B3784" s="0" t="s">
        <v>3799</v>
      </c>
    </row>
    <row r="3785" customFormat="false" ht="15" hidden="false" customHeight="false" outlineLevel="0" collapsed="false">
      <c r="A3785" s="0" t="n">
        <f aca="false">INDEX(LINEST(Data!K1:K4,Data!A1:A4,TRUE(),TRUE()),1,1)</f>
        <v>0.0841121495327103</v>
      </c>
      <c r="B3785" s="0" t="s">
        <v>3800</v>
      </c>
    </row>
    <row r="3786" customFormat="false" ht="15" hidden="false" customHeight="false" outlineLevel="0" collapsed="false">
      <c r="A3786" s="0" t="n">
        <f aca="false">INDEX(LINEST(Data!K1:K4,Data!A1:A4,TRUE(),TRUE()),1,2)</f>
        <v>3.39252336448598</v>
      </c>
      <c r="B3786" s="0" t="s">
        <v>3801</v>
      </c>
    </row>
    <row r="3787" customFormat="false" ht="15" hidden="false" customHeight="false" outlineLevel="0" collapsed="false">
      <c r="A3787" s="0" t="n">
        <f aca="false">INDEX(LINEST(Data!K1:K4,Data!A1:A4,TRUE(),TRUE()),2,1)</f>
        <v>0.291971950501183</v>
      </c>
      <c r="B3787" s="0" t="s">
        <v>3802</v>
      </c>
    </row>
    <row r="3788" customFormat="false" ht="15" hidden="false" customHeight="false" outlineLevel="0" collapsed="false">
      <c r="A3788" s="0" t="n">
        <f aca="false">INDEX(LINEST(Data!K1:K4,Data!A1:A4,TRUE(),TRUE()),2,2)</f>
        <v>1.45254211368097</v>
      </c>
      <c r="B3788" s="0" t="s">
        <v>3803</v>
      </c>
    </row>
    <row r="3789" customFormat="false" ht="15" hidden="false" customHeight="false" outlineLevel="0" collapsed="false">
      <c r="A3789" s="0" t="n">
        <f aca="false">INDEX(LINEST(Data!K1:K4,Data!A1:A4,TRUE(),TRUE()),3,1)</f>
        <v>0.0398425971470733</v>
      </c>
      <c r="B3789" s="0" t="s">
        <v>3804</v>
      </c>
    </row>
    <row r="3790" customFormat="false" ht="15" hidden="false" customHeight="false" outlineLevel="0" collapsed="false">
      <c r="A3790" s="0" t="n">
        <f aca="false">INDEX(LINEST(Data!K1:K4,Data!A1:A4,TRUE(),TRUE()),3,2)</f>
        <v>1.51009067005121</v>
      </c>
      <c r="B3790" s="0" t="s">
        <v>3805</v>
      </c>
    </row>
    <row r="3791" customFormat="false" ht="15" hidden="false" customHeight="false" outlineLevel="0" collapsed="false">
      <c r="A3791" s="0" t="n">
        <f aca="false">INDEX(LINEST(Data!K1:K4,Data!A1:A4,TRUE(),TRUE()),4,1)</f>
        <v>0.0829918032786885</v>
      </c>
      <c r="B3791" s="0" t="s">
        <v>3806</v>
      </c>
    </row>
    <row r="3792" customFormat="false" ht="15" hidden="false" customHeight="false" outlineLevel="0" collapsed="false">
      <c r="A3792" s="0" t="n">
        <f aca="false">INDEX(LINEST(Data!K1:K4,Data!A1:A4,TRUE(),TRUE()),4,2)</f>
        <v>2</v>
      </c>
      <c r="B3792" s="0" t="s">
        <v>3807</v>
      </c>
    </row>
    <row r="3793" customFormat="false" ht="15" hidden="false" customHeight="false" outlineLevel="0" collapsed="false">
      <c r="A3793" s="0" t="n">
        <f aca="false">INDEX(LINEST(Data!K1:K4,Data!A1:A4,TRUE(),TRUE()),5,1)</f>
        <v>0.189252336448598</v>
      </c>
      <c r="B3793" s="0" t="s">
        <v>3808</v>
      </c>
    </row>
    <row r="3794" customFormat="false" ht="15" hidden="false" customHeight="false" outlineLevel="0" collapsed="false">
      <c r="A3794" s="0" t="n">
        <f aca="false">INDEX(LINEST(Data!K1:K4,Data!A1:A4,TRUE(),TRUE()),5,2)</f>
        <v>4.5607476635514</v>
      </c>
      <c r="B3794" s="0" t="s">
        <v>3809</v>
      </c>
    </row>
    <row r="3795" customFormat="false" ht="15" hidden="false" customHeight="false" outlineLevel="0" collapsed="false">
      <c r="A3795" s="0" t="n">
        <f aca="false">ROWS(LINEST(Data!K1:K4,Data!A1:A4,TRUE(),TRUE()))</f>
        <v>5</v>
      </c>
      <c r="B3795" s="0" t="s">
        <v>3810</v>
      </c>
    </row>
    <row r="3796" customFormat="false" ht="15" hidden="false" customHeight="false" outlineLevel="0" collapsed="false">
      <c r="A3796" s="0" t="n">
        <f aca="false">COLUMNS(LINEST(Data!K1:K4,Data!A1:A4,TRUE(),TRUE()))</f>
        <v>2</v>
      </c>
      <c r="B3796" s="0" t="s">
        <v>3811</v>
      </c>
    </row>
    <row r="3797" customFormat="false" ht="15" hidden="false" customHeight="false" outlineLevel="0" collapsed="false">
      <c r="A3797" s="0" t="n">
        <f aca="false">INDEX(LINEST(Data!K1:K2,Data!A1:A2,TRUE(),TRUE()),1,1)</f>
        <v>-1</v>
      </c>
      <c r="B3797" s="0" t="s">
        <v>3812</v>
      </c>
    </row>
    <row r="3798" customFormat="false" ht="15" hidden="false" customHeight="false" outlineLevel="0" collapsed="false">
      <c r="A3798" s="0" t="n">
        <f aca="false">INDEX(LINEST(Data!K1:K2,Data!A1:A2,TRUE(),TRUE()),1,2)</f>
        <v>7</v>
      </c>
      <c r="B3798" s="0" t="s">
        <v>3813</v>
      </c>
    </row>
    <row r="3799" customFormat="false" ht="15" hidden="false" customHeight="false" outlineLevel="0" collapsed="false">
      <c r="A3799" s="0" t="n">
        <f aca="false">INDEX(LINEST(Data!K1:K2,Data!A1:A2,TRUE(),TRUE()),2,1)</f>
        <v>0</v>
      </c>
      <c r="B3799" s="0" t="s">
        <v>3814</v>
      </c>
    </row>
    <row r="3800" customFormat="false" ht="15" hidden="false" customHeight="false" outlineLevel="0" collapsed="false">
      <c r="A3800" s="0" t="n">
        <f aca="false">INDEX(LINEST(Data!K1:K2,Data!A1:A2,TRUE(),TRUE()),2,2)</f>
        <v>0</v>
      </c>
      <c r="B3800" s="0" t="s">
        <v>3815</v>
      </c>
    </row>
    <row r="3801" customFormat="false" ht="15" hidden="false" customHeight="false" outlineLevel="0" collapsed="false">
      <c r="A3801" s="0" t="n">
        <f aca="false">INDEX(LINEST(Data!K1:K2,Data!A1:A2,TRUE(),TRUE()),3,1)</f>
        <v>1</v>
      </c>
      <c r="B3801" s="0" t="s">
        <v>3816</v>
      </c>
    </row>
    <row r="3802" customFormat="false" ht="15" hidden="false" customHeight="false" outlineLevel="0" collapsed="false">
      <c r="A3802" s="0" t="n">
        <f aca="false">INDEX(LINEST(Data!K1:K2,Data!A1:A2,TRUE(),TRUE()),3,2)</f>
        <v>0</v>
      </c>
      <c r="B3802" s="0" t="s">
        <v>3817</v>
      </c>
    </row>
    <row r="3803" customFormat="false" ht="15" hidden="false" customHeight="false" outlineLevel="0" collapsed="false">
      <c r="A3803" s="0" t="e">
        <f aca="false">INDEX(LINEST(Data!K1:K2,Data!A1:A2,TRUE(),TRUE()),4,1)</f>
        <v>#N/A</v>
      </c>
      <c r="B3803" s="0" t="s">
        <v>3818</v>
      </c>
    </row>
    <row r="3804" customFormat="false" ht="15" hidden="false" customHeight="false" outlineLevel="0" collapsed="false">
      <c r="A3804" s="0" t="n">
        <f aca="false">INDEX(LINEST(Data!K1:K2,Data!A1:A2,TRUE(),TRUE()),4,2)</f>
        <v>0</v>
      </c>
      <c r="B3804" s="0" t="s">
        <v>3819</v>
      </c>
    </row>
    <row r="3805" customFormat="false" ht="15" hidden="false" customHeight="false" outlineLevel="0" collapsed="false">
      <c r="A3805" s="0" t="n">
        <f aca="false">INDEX(LINEST(Data!K1:K2,Data!A1:A2,TRUE(),TRUE()),5,1)</f>
        <v>2</v>
      </c>
      <c r="B3805" s="0" t="s">
        <v>3820</v>
      </c>
    </row>
    <row r="3806" customFormat="false" ht="15" hidden="false" customHeight="false" outlineLevel="0" collapsed="false">
      <c r="A3806" s="0" t="n">
        <f aca="false">INDEX(LINEST(Data!K1:K2,Data!A1:A2,TRUE(),TRUE()),5,2)</f>
        <v>0</v>
      </c>
      <c r="B3806" s="0" t="s">
        <v>3821</v>
      </c>
    </row>
    <row r="3807" customFormat="false" ht="15" hidden="false" customHeight="false" outlineLevel="0" collapsed="false">
      <c r="A3807" s="0" t="n">
        <f aca="false">ROWS(LINEST(Data!K1:K2,Data!A1:A2,TRUE(),TRUE()))</f>
        <v>5</v>
      </c>
      <c r="B3807" s="0" t="s">
        <v>3822</v>
      </c>
    </row>
    <row r="3808" customFormat="false" ht="15" hidden="false" customHeight="false" outlineLevel="0" collapsed="false">
      <c r="A3808" s="0" t="n">
        <f aca="false">COLUMNS(LINEST(Data!K1:K2,Data!A1:A2,TRUE(),TRUE()))</f>
        <v>2</v>
      </c>
      <c r="B3808" s="0" t="s">
        <v>3823</v>
      </c>
    </row>
    <row r="3809" customFormat="false" ht="15" hidden="false" customHeight="false" outlineLevel="0" collapsed="false">
      <c r="A3809" s="0" t="n">
        <f aca="false">INDEX(LINEST(Data!K1:K3,Data!A1:A3,TRUE(),TRUE()),1,1)</f>
        <v>0.263157894736842</v>
      </c>
      <c r="B3809" s="0" t="s">
        <v>3824</v>
      </c>
    </row>
    <row r="3810" customFormat="false" ht="15" hidden="false" customHeight="false" outlineLevel="0" collapsed="false">
      <c r="A3810" s="0" t="n">
        <f aca="false">INDEX(LINEST(Data!K1:K3,Data!A1:A3,TRUE(),TRUE()),1,2)</f>
        <v>2.26315789473684</v>
      </c>
      <c r="B3810" s="0" t="s">
        <v>3825</v>
      </c>
    </row>
    <row r="3811" customFormat="false" ht="15" hidden="false" customHeight="false" outlineLevel="0" collapsed="false">
      <c r="A3811" s="0" t="n">
        <f aca="false">INDEX(LINEST(Data!K1:K3,Data!A1:A3,TRUE(),TRUE()),2,1)</f>
        <v>0.546963412916488</v>
      </c>
      <c r="B3811" s="0" t="s">
        <v>3826</v>
      </c>
    </row>
    <row r="3812" customFormat="false" ht="15" hidden="false" customHeight="false" outlineLevel="0" collapsed="false">
      <c r="A3812" s="0" t="n">
        <f aca="false">INDEX(LINEST(Data!K1:K3,Data!A1:A3,TRUE(),TRUE()),2,2)</f>
        <v>3.12615629577211</v>
      </c>
      <c r="B3812" s="0" t="s">
        <v>3827</v>
      </c>
    </row>
    <row r="3813" customFormat="false" ht="15" hidden="false" customHeight="false" outlineLevel="0" collapsed="false">
      <c r="A3813" s="0" t="n">
        <f aca="false">INDEX(LINEST(Data!K1:K3,Data!A1:A3,TRUE(),TRUE()),3,1)</f>
        <v>0.18796992481203</v>
      </c>
      <c r="B3813" s="0" t="s">
        <v>3828</v>
      </c>
    </row>
    <row r="3814" customFormat="false" ht="15" hidden="false" customHeight="false" outlineLevel="0" collapsed="false">
      <c r="A3814" s="0" t="n">
        <f aca="false">INDEX(LINEST(Data!K1:K3,Data!A1:A3,TRUE(),TRUE()),3,2)</f>
        <v>1.94665705356915</v>
      </c>
      <c r="B3814" s="0" t="s">
        <v>3829</v>
      </c>
    </row>
    <row r="3815" customFormat="false" ht="15" hidden="false" customHeight="false" outlineLevel="0" collapsed="false">
      <c r="A3815" s="0" t="n">
        <f aca="false">INDEX(LINEST(Data!K1:K3,Data!A1:A3,TRUE(),TRUE()),4,1)</f>
        <v>0.231481481481481</v>
      </c>
      <c r="B3815" s="0" t="s">
        <v>3830</v>
      </c>
    </row>
    <row r="3816" customFormat="false" ht="15" hidden="false" customHeight="false" outlineLevel="0" collapsed="false">
      <c r="A3816" s="0" t="n">
        <f aca="false">INDEX(LINEST(Data!K1:K3,Data!A1:A3,TRUE(),TRUE()),4,2)</f>
        <v>1</v>
      </c>
      <c r="B3816" s="0" t="s">
        <v>3831</v>
      </c>
    </row>
    <row r="3817" customFormat="false" ht="15" hidden="false" customHeight="false" outlineLevel="0" collapsed="false">
      <c r="A3817" s="0" t="n">
        <f aca="false">INDEX(LINEST(Data!K1:K3,Data!A1:A3,TRUE(),TRUE()),5,1)</f>
        <v>0.87719298245614</v>
      </c>
      <c r="B3817" s="0" t="s">
        <v>3832</v>
      </c>
    </row>
    <row r="3818" customFormat="false" ht="15" hidden="false" customHeight="false" outlineLevel="0" collapsed="false">
      <c r="A3818" s="0" t="n">
        <f aca="false">INDEX(LINEST(Data!K1:K3,Data!A1:A3,TRUE(),TRUE()),5,2)</f>
        <v>3.78947368421053</v>
      </c>
      <c r="B3818" s="0" t="s">
        <v>3833</v>
      </c>
    </row>
    <row r="3819" customFormat="false" ht="15" hidden="false" customHeight="false" outlineLevel="0" collapsed="false">
      <c r="A3819" s="0" t="n">
        <f aca="false">ROWS(LINEST(Data!K1:K3,Data!A1:A3,TRUE(),TRUE()))</f>
        <v>5</v>
      </c>
      <c r="B3819" s="0" t="s">
        <v>3834</v>
      </c>
    </row>
    <row r="3820" customFormat="false" ht="15" hidden="false" customHeight="false" outlineLevel="0" collapsed="false">
      <c r="A3820" s="0" t="n">
        <f aca="false">COLUMNS(LINEST(Data!K1:K3,Data!A1:A3,TRUE(),TRUE()))</f>
        <v>2</v>
      </c>
      <c r="B3820" s="0" t="s">
        <v>3835</v>
      </c>
    </row>
    <row r="3821" customFormat="false" ht="15" hidden="false" customHeight="false" outlineLevel="0" collapsed="false">
      <c r="A3821" s="0" t="e">
        <f aca="false">INDEX(LINEST(Data!K1,Data!A1,TRUE(),TRUE()),1,1)</f>
        <v>#VALUE!</v>
      </c>
      <c r="B3821" s="0" t="s">
        <v>3836</v>
      </c>
    </row>
    <row r="3822" customFormat="false" ht="15" hidden="false" customHeight="false" outlineLevel="0" collapsed="false">
      <c r="A3822" s="0" t="e">
        <f aca="false">INDEX(LINEST(Data!K1,Data!A1,TRUE(),TRUE()),1,2)</f>
        <v>#VALUE!</v>
      </c>
      <c r="B3822" s="0" t="s">
        <v>3837</v>
      </c>
    </row>
    <row r="3823" customFormat="false" ht="15" hidden="false" customHeight="false" outlineLevel="0" collapsed="false">
      <c r="A3823" s="0" t="e">
        <f aca="false">INDEX(LINEST(Data!K1,Data!A1,TRUE(),TRUE()),2,1)</f>
        <v>#VALUE!</v>
      </c>
      <c r="B3823" s="0" t="s">
        <v>3838</v>
      </c>
    </row>
    <row r="3824" customFormat="false" ht="15" hidden="false" customHeight="false" outlineLevel="0" collapsed="false">
      <c r="A3824" s="0" t="e">
        <f aca="false">INDEX(LINEST(Data!K1,Data!A1,TRUE(),TRUE()),2,2)</f>
        <v>#VALUE!</v>
      </c>
      <c r="B3824" s="0" t="s">
        <v>3839</v>
      </c>
    </row>
    <row r="3825" customFormat="false" ht="15" hidden="false" customHeight="false" outlineLevel="0" collapsed="false">
      <c r="A3825" s="0" t="e">
        <f aca="false">INDEX(LINEST(Data!K1,Data!A1,TRUE(),TRUE()),3,1)</f>
        <v>#VALUE!</v>
      </c>
      <c r="B3825" s="0" t="s">
        <v>3840</v>
      </c>
    </row>
    <row r="3826" customFormat="false" ht="15" hidden="false" customHeight="false" outlineLevel="0" collapsed="false">
      <c r="A3826" s="0" t="e">
        <f aca="false">INDEX(LINEST(Data!K1,Data!A1,TRUE(),TRUE()),3,2)</f>
        <v>#VALUE!</v>
      </c>
      <c r="B3826" s="0" t="s">
        <v>3841</v>
      </c>
    </row>
    <row r="3827" customFormat="false" ht="15" hidden="false" customHeight="false" outlineLevel="0" collapsed="false">
      <c r="A3827" s="0" t="e">
        <f aca="false">INDEX(LINEST(Data!K1,Data!A1,TRUE(),TRUE()),4,1)</f>
        <v>#VALUE!</v>
      </c>
      <c r="B3827" s="0" t="s">
        <v>3842</v>
      </c>
    </row>
    <row r="3828" customFormat="false" ht="15" hidden="false" customHeight="false" outlineLevel="0" collapsed="false">
      <c r="A3828" s="0" t="e">
        <f aca="false">INDEX(LINEST(Data!K1,Data!A1,TRUE(),TRUE()),4,2)</f>
        <v>#VALUE!</v>
      </c>
      <c r="B3828" s="0" t="s">
        <v>3843</v>
      </c>
    </row>
    <row r="3829" customFormat="false" ht="15" hidden="false" customHeight="false" outlineLevel="0" collapsed="false">
      <c r="A3829" s="0" t="e">
        <f aca="false">INDEX(LINEST(Data!K1,Data!A1,TRUE(),TRUE()),5,1)</f>
        <v>#VALUE!</v>
      </c>
      <c r="B3829" s="0" t="s">
        <v>3844</v>
      </c>
    </row>
    <row r="3830" customFormat="false" ht="15" hidden="false" customHeight="false" outlineLevel="0" collapsed="false">
      <c r="A3830" s="0" t="e">
        <f aca="false">INDEX(LINEST(Data!K1,Data!A1,TRUE(),TRUE()),5,2)</f>
        <v>#VALUE!</v>
      </c>
      <c r="B3830" s="0" t="s">
        <v>3845</v>
      </c>
    </row>
    <row r="3831" customFormat="false" ht="15" hidden="false" customHeight="false" outlineLevel="0" collapsed="false">
      <c r="A3831" s="0" t="e">
        <f aca="false">ROWS(LINEST(Data!K1,Data!A1,TRUE(),TRUE()))</f>
        <v>#VALUE!</v>
      </c>
      <c r="B3831" s="0" t="s">
        <v>3846</v>
      </c>
    </row>
    <row r="3832" customFormat="false" ht="15" hidden="false" customHeight="false" outlineLevel="0" collapsed="false">
      <c r="A3832" s="0" t="e">
        <f aca="false">COLUMNS(LINEST(Data!K1,Data!A1,TRUE(),TRUE()))</f>
        <v>#VALUE!</v>
      </c>
      <c r="B3832" s="0" t="s">
        <v>3847</v>
      </c>
    </row>
    <row r="3833" customFormat="false" ht="15" hidden="false" customHeight="false" outlineLevel="0" collapsed="false">
      <c r="A3833" s="0" t="e">
        <f aca="false">INDEX(LINEST(Data!K1:K8,Data!A1:A7),1,1)</f>
        <v>#VALUE!</v>
      </c>
      <c r="B3833" s="0" t="s">
        <v>3848</v>
      </c>
    </row>
    <row r="3834" customFormat="false" ht="15" hidden="false" customHeight="false" outlineLevel="0" collapsed="false">
      <c r="A3834" s="0" t="e">
        <f aca="false">INDEX(LINEST(Data!K1:K8,Data!A1:A7),1,2)</f>
        <v>#VALUE!</v>
      </c>
      <c r="B3834" s="0" t="s">
        <v>3849</v>
      </c>
    </row>
    <row r="3835" customFormat="false" ht="15" hidden="false" customHeight="false" outlineLevel="0" collapsed="false">
      <c r="A3835" s="0" t="e">
        <f aca="false">ROWS(LINEST(Data!K1:K8,Data!A1:A7))</f>
        <v>#VALUE!</v>
      </c>
      <c r="B3835" s="0" t="s">
        <v>3850</v>
      </c>
    </row>
    <row r="3836" customFormat="false" ht="15" hidden="false" customHeight="false" outlineLevel="0" collapsed="false">
      <c r="A3836" s="0" t="e">
        <f aca="false">COLUMNS(LINEST(Data!K1:K8,Data!A1:A7))</f>
        <v>#VALUE!</v>
      </c>
      <c r="B3836" s="0" t="s">
        <v>3851</v>
      </c>
    </row>
    <row r="3837" customFormat="false" ht="15" hidden="false" customHeight="false" outlineLevel="0" collapsed="false">
      <c r="A3837" s="0" t="e">
        <f aca="false">INDEX(LINEST(Data!K1:K8,Data!A1:A9),1,1)</f>
        <v>#VALUE!</v>
      </c>
      <c r="B3837" s="0" t="s">
        <v>3852</v>
      </c>
    </row>
    <row r="3838" customFormat="false" ht="15" hidden="false" customHeight="false" outlineLevel="0" collapsed="false">
      <c r="A3838" s="0" t="e">
        <f aca="false">INDEX(LINEST(Data!K1:K8,Data!A1:A9),1,2)</f>
        <v>#VALUE!</v>
      </c>
      <c r="B3838" s="0" t="s">
        <v>3853</v>
      </c>
    </row>
    <row r="3839" customFormat="false" ht="15" hidden="false" customHeight="false" outlineLevel="0" collapsed="false">
      <c r="A3839" s="0" t="e">
        <f aca="false">ROWS(LINEST(Data!K1:K8,Data!A1:A9))</f>
        <v>#VALUE!</v>
      </c>
      <c r="B3839" s="0" t="s">
        <v>3854</v>
      </c>
    </row>
    <row r="3840" customFormat="false" ht="15" hidden="false" customHeight="false" outlineLevel="0" collapsed="false">
      <c r="A3840" s="0" t="e">
        <f aca="false">COLUMNS(LINEST(Data!K1:K8,Data!A1:A9))</f>
        <v>#VALUE!</v>
      </c>
      <c r="B3840" s="0" t="s">
        <v>3855</v>
      </c>
    </row>
    <row r="3841" customFormat="false" ht="15" hidden="false" customHeight="false" outlineLevel="0" collapsed="false">
      <c r="A3841" s="0" t="n">
        <f aca="false">INDEX(LINEST(Data!K1:K8,Data!A1:A8,TRUE(),"x"),1,1)</f>
        <v>0.0424628450106157</v>
      </c>
      <c r="B3841" s="0" t="s">
        <v>3856</v>
      </c>
    </row>
    <row r="3842" customFormat="false" ht="15" hidden="false" customHeight="false" outlineLevel="0" collapsed="false">
      <c r="A3842" s="0" t="n">
        <f aca="false">INDEX(LINEST(Data!K1:K8,Data!A1:A8,TRUE(),"x"),1,2)</f>
        <v>5.29299363057325</v>
      </c>
      <c r="B3842" s="0" t="s">
        <v>3857</v>
      </c>
    </row>
    <row r="3843" customFormat="false" ht="15" hidden="false" customHeight="false" outlineLevel="0" collapsed="false">
      <c r="A3843" s="0" t="e">
        <f aca="false">INDEX(LINEST(Data!K1:K8,Data!A1:A8,TRUE(),"x"),2,1)</f>
        <v>#REF!</v>
      </c>
      <c r="B3843" s="0" t="s">
        <v>3858</v>
      </c>
    </row>
    <row r="3844" customFormat="false" ht="15" hidden="false" customHeight="false" outlineLevel="0" collapsed="false">
      <c r="A3844" s="0" t="e">
        <f aca="false">INDEX(LINEST(Data!K1:K8,Data!A1:A8,TRUE(),"x"),2,2)</f>
        <v>#REF!</v>
      </c>
      <c r="B3844" s="0" t="s">
        <v>3859</v>
      </c>
    </row>
    <row r="3845" customFormat="false" ht="15" hidden="false" customHeight="false" outlineLevel="0" collapsed="false">
      <c r="A3845" s="0" t="e">
        <f aca="false">INDEX(LINEST(Data!K1:K8,Data!A1:A8,TRUE(),"x"),3,1)</f>
        <v>#REF!</v>
      </c>
      <c r="B3845" s="0" t="s">
        <v>3860</v>
      </c>
    </row>
    <row r="3846" customFormat="false" ht="15" hidden="false" customHeight="false" outlineLevel="0" collapsed="false">
      <c r="A3846" s="0" t="e">
        <f aca="false">INDEX(LINEST(Data!K1:K8,Data!A1:A8,TRUE(),"x"),3,2)</f>
        <v>#REF!</v>
      </c>
      <c r="B3846" s="0" t="s">
        <v>3861</v>
      </c>
    </row>
    <row r="3847" customFormat="false" ht="15" hidden="false" customHeight="false" outlineLevel="0" collapsed="false">
      <c r="A3847" s="0" t="e">
        <f aca="false">INDEX(LINEST(Data!K1:K8,Data!A1:A8,TRUE(),"x"),4,1)</f>
        <v>#REF!</v>
      </c>
      <c r="B3847" s="0" t="s">
        <v>3862</v>
      </c>
    </row>
    <row r="3848" customFormat="false" ht="15" hidden="false" customHeight="false" outlineLevel="0" collapsed="false">
      <c r="A3848" s="0" t="e">
        <f aca="false">INDEX(LINEST(Data!K1:K8,Data!A1:A8,TRUE(),"x"),4,2)</f>
        <v>#REF!</v>
      </c>
      <c r="B3848" s="0" t="s">
        <v>3863</v>
      </c>
    </row>
    <row r="3849" customFormat="false" ht="15" hidden="false" customHeight="false" outlineLevel="0" collapsed="false">
      <c r="A3849" s="0" t="e">
        <f aca="false">INDEX(LINEST(Data!K1:K8,Data!A1:A8,TRUE(),"x"),5,1)</f>
        <v>#REF!</v>
      </c>
      <c r="B3849" s="0" t="s">
        <v>3864</v>
      </c>
    </row>
    <row r="3850" customFormat="false" ht="15" hidden="false" customHeight="false" outlineLevel="0" collapsed="false">
      <c r="A3850" s="0" t="e">
        <f aca="false">INDEX(LINEST(Data!K1:K8,Data!A1:A8,TRUE(),"x"),5,2)</f>
        <v>#REF!</v>
      </c>
      <c r="B3850" s="0" t="s">
        <v>3865</v>
      </c>
    </row>
    <row r="3851" customFormat="false" ht="15" hidden="false" customHeight="false" outlineLevel="0" collapsed="false">
      <c r="A3851" s="0" t="n">
        <f aca="false">ROWS(LINEST(Data!K1:K8,Data!A1:A8,TRUE(),"x"))</f>
        <v>1</v>
      </c>
      <c r="B3851" s="0" t="s">
        <v>3866</v>
      </c>
    </row>
    <row r="3852" customFormat="false" ht="15" hidden="false" customHeight="false" outlineLevel="0" collapsed="false">
      <c r="A3852" s="0" t="n">
        <f aca="false">COLUMNS(LINEST(Data!K1:K8,Data!A1:A8,TRUE(),"x"))</f>
        <v>2</v>
      </c>
      <c r="B3852" s="0" t="s">
        <v>3867</v>
      </c>
    </row>
    <row r="3853" customFormat="false" ht="15" hidden="false" customHeight="false" outlineLevel="0" collapsed="false">
      <c r="A3853" s="0" t="n">
        <f aca="false">INDEX(LINEST(Data!K1:K8,Data!A1:A8,"x"),1,1)</f>
        <v>0.8714859437751</v>
      </c>
      <c r="B3853" s="0" t="s">
        <v>3868</v>
      </c>
    </row>
    <row r="3854" customFormat="false" ht="15" hidden="false" customHeight="false" outlineLevel="0" collapsed="false">
      <c r="A3854" s="0" t="n">
        <f aca="false">INDEX(LINEST(Data!K1:K8,Data!A1:A8,"x"),1,2)</f>
        <v>0</v>
      </c>
      <c r="B3854" s="0" t="s">
        <v>3869</v>
      </c>
    </row>
    <row r="3855" customFormat="false" ht="15" hidden="false" customHeight="false" outlineLevel="0" collapsed="false">
      <c r="A3855" s="0" t="n">
        <f aca="false">ROWS(LINEST(Data!K1:K8,Data!A1:A8,"x"))</f>
        <v>1</v>
      </c>
      <c r="B3855" s="0" t="s">
        <v>3870</v>
      </c>
    </row>
    <row r="3856" customFormat="false" ht="15" hidden="false" customHeight="false" outlineLevel="0" collapsed="false">
      <c r="A3856" s="0" t="n">
        <f aca="false">COLUMNS(LINEST(Data!K1:K8,Data!A1:A8,"x"))</f>
        <v>2</v>
      </c>
      <c r="B3856" s="0" t="s">
        <v>3871</v>
      </c>
    </row>
    <row r="3857" customFormat="false" ht="15" hidden="false" customHeight="false" outlineLevel="0" collapsed="false">
      <c r="A3857" s="0" t="e">
        <f aca="false">INDEX(LINEST(Data!K1:K8,Data!A1:A8,NA()),1,1)</f>
        <v>#N/A</v>
      </c>
      <c r="B3857" s="0" t="s">
        <v>3872</v>
      </c>
    </row>
    <row r="3858" customFormat="false" ht="15" hidden="false" customHeight="false" outlineLevel="0" collapsed="false">
      <c r="A3858" s="0" t="e">
        <f aca="false">INDEX(LINEST(Data!K1:K8,Data!A1:A8,NA()),1,2)</f>
        <v>#N/A</v>
      </c>
      <c r="B3858" s="0" t="s">
        <v>3873</v>
      </c>
    </row>
    <row r="3859" customFormat="false" ht="15" hidden="false" customHeight="false" outlineLevel="0" collapsed="false">
      <c r="A3859" s="0" t="e">
        <f aca="false">ROWS(LINEST(Data!K1:K8,Data!A1:A8,NA()))</f>
        <v>#N/A</v>
      </c>
      <c r="B3859" s="0" t="s">
        <v>3874</v>
      </c>
    </row>
    <row r="3860" customFormat="false" ht="15" hidden="false" customHeight="false" outlineLevel="0" collapsed="false">
      <c r="A3860" s="0" t="e">
        <f aca="false">COLUMNS(LINEST(Data!K1:K8,Data!A1:A8,NA()))</f>
        <v>#N/A</v>
      </c>
      <c r="B3860" s="0" t="s">
        <v>3875</v>
      </c>
    </row>
    <row r="3861" customFormat="false" ht="15" hidden="false" customHeight="false" outlineLevel="0" collapsed="false">
      <c r="A3861" s="0" t="e">
        <f aca="false">INDEX(LINEST(Data!B1:B8,Data!A1:A8),1,1)</f>
        <v>#VALUE!</v>
      </c>
      <c r="B3861" s="0" t="s">
        <v>3876</v>
      </c>
    </row>
    <row r="3862" customFormat="false" ht="15" hidden="false" customHeight="false" outlineLevel="0" collapsed="false">
      <c r="A3862" s="0" t="e">
        <f aca="false">INDEX(LINEST(Data!B1:B8,Data!A1:A8),1,2)</f>
        <v>#VALUE!</v>
      </c>
      <c r="B3862" s="0" t="s">
        <v>3877</v>
      </c>
    </row>
    <row r="3863" customFormat="false" ht="15" hidden="false" customHeight="false" outlineLevel="0" collapsed="false">
      <c r="A3863" s="0" t="e">
        <f aca="false">ROWS(LINEST(Data!B1:B8,Data!A1:A8))</f>
        <v>#VALUE!</v>
      </c>
      <c r="B3863" s="0" t="s">
        <v>3878</v>
      </c>
    </row>
    <row r="3864" customFormat="false" ht="15" hidden="false" customHeight="false" outlineLevel="0" collapsed="false">
      <c r="A3864" s="0" t="e">
        <f aca="false">COLUMNS(LINEST(Data!B1:B8,Data!A1:A8))</f>
        <v>#VALUE!</v>
      </c>
      <c r="B3864" s="0" t="s">
        <v>3879</v>
      </c>
    </row>
    <row r="3865" customFormat="false" ht="15" hidden="false" customHeight="false" outlineLevel="0" collapsed="false">
      <c r="A3865" s="0" t="e">
        <f aca="false">INDEX(LINEST(Data!K1:K8,Data!B1:B8),1,1)</f>
        <v>#VALUE!</v>
      </c>
      <c r="B3865" s="0" t="s">
        <v>3880</v>
      </c>
    </row>
    <row r="3866" customFormat="false" ht="15" hidden="false" customHeight="false" outlineLevel="0" collapsed="false">
      <c r="A3866" s="0" t="e">
        <f aca="false">INDEX(LINEST(Data!K1:K8,Data!B1:B8),1,2)</f>
        <v>#VALUE!</v>
      </c>
      <c r="B3866" s="0" t="s">
        <v>3881</v>
      </c>
    </row>
    <row r="3867" customFormat="false" ht="15" hidden="false" customHeight="false" outlineLevel="0" collapsed="false">
      <c r="A3867" s="0" t="e">
        <f aca="false">ROWS(LINEST(Data!K1:K8,Data!B1:B8))</f>
        <v>#VALUE!</v>
      </c>
      <c r="B3867" s="0" t="s">
        <v>3882</v>
      </c>
    </row>
    <row r="3868" customFormat="false" ht="15" hidden="false" customHeight="false" outlineLevel="0" collapsed="false">
      <c r="A3868" s="0" t="e">
        <f aca="false">COLUMNS(LINEST(Data!K1:K8,Data!B1:B8))</f>
        <v>#VALUE!</v>
      </c>
      <c r="B3868" s="0" t="s">
        <v>3883</v>
      </c>
    </row>
    <row r="3869" customFormat="false" ht="15" hidden="false" customHeight="false" outlineLevel="0" collapsed="false">
      <c r="A3869" s="0" t="e">
        <f aca="false">INDEX(LINEST(Data!K1:K8,Data!M1:M4),1,1)</f>
        <v>#VALUE!</v>
      </c>
      <c r="B3869" s="0" t="s">
        <v>3884</v>
      </c>
    </row>
    <row r="3870" customFormat="false" ht="15" hidden="false" customHeight="false" outlineLevel="0" collapsed="false">
      <c r="A3870" s="0" t="e">
        <f aca="false">INDEX(LINEST(Data!K1:K8,Data!M1:M4),1,2)</f>
        <v>#VALUE!</v>
      </c>
      <c r="B3870" s="0" t="s">
        <v>3885</v>
      </c>
    </row>
    <row r="3871" customFormat="false" ht="15" hidden="false" customHeight="false" outlineLevel="0" collapsed="false">
      <c r="A3871" s="0" t="e">
        <f aca="false">ROWS(LINEST(Data!K1:K8,Data!M1:M4))</f>
        <v>#VALUE!</v>
      </c>
      <c r="B3871" s="0" t="s">
        <v>3886</v>
      </c>
    </row>
    <row r="3872" customFormat="false" ht="15" hidden="false" customHeight="false" outlineLevel="0" collapsed="false">
      <c r="A3872" s="0" t="e">
        <f aca="false">COLUMNS(LINEST(Data!K1:K8,Data!M1:M4))</f>
        <v>#VALUE!</v>
      </c>
      <c r="B3872" s="0" t="s">
        <v>3887</v>
      </c>
    </row>
    <row r="3873" customFormat="false" ht="15" hidden="false" customHeight="false" outlineLevel="0" collapsed="false">
      <c r="A3873" s="0" t="e">
        <f aca="false">INDEX(LINEST(Data!M1:M4,Data!K1:K4),1,1)</f>
        <v>#VALUE!</v>
      </c>
      <c r="B3873" s="0" t="s">
        <v>3888</v>
      </c>
    </row>
    <row r="3874" customFormat="false" ht="15" hidden="false" customHeight="false" outlineLevel="0" collapsed="false">
      <c r="A3874" s="0" t="e">
        <f aca="false">INDEX(LINEST(Data!M1:M4,Data!K1:K4),1,2)</f>
        <v>#VALUE!</v>
      </c>
      <c r="B3874" s="0" t="s">
        <v>3889</v>
      </c>
    </row>
    <row r="3875" customFormat="false" ht="15" hidden="false" customHeight="false" outlineLevel="0" collapsed="false">
      <c r="A3875" s="0" t="e">
        <f aca="false">ROWS(LINEST(Data!M1:M4,Data!K1:K4))</f>
        <v>#VALUE!</v>
      </c>
      <c r="B3875" s="0" t="s">
        <v>3890</v>
      </c>
    </row>
    <row r="3876" customFormat="false" ht="15" hidden="false" customHeight="false" outlineLevel="0" collapsed="false">
      <c r="A3876" s="0" t="e">
        <f aca="false">COLUMNS(LINEST(Data!M1:M4,Data!K1:K4))</f>
        <v>#VALUE!</v>
      </c>
      <c r="B3876" s="0" t="s">
        <v>3891</v>
      </c>
    </row>
    <row r="3877" customFormat="false" ht="15" hidden="false" customHeight="false" outlineLevel="0" collapsed="false">
      <c r="A3877" s="0" t="e">
        <f aca="false">INDEX(LINEST(Data!K1:K8,Data!D1:D8),1,1)</f>
        <v>#VALUE!</v>
      </c>
      <c r="B3877" s="0" t="s">
        <v>3892</v>
      </c>
    </row>
    <row r="3878" customFormat="false" ht="15" hidden="false" customHeight="false" outlineLevel="0" collapsed="false">
      <c r="A3878" s="0" t="e">
        <f aca="false">INDEX(LINEST(Data!K1:K8,Data!D1:D8),1,2)</f>
        <v>#VALUE!</v>
      </c>
      <c r="B3878" s="0" t="s">
        <v>3893</v>
      </c>
    </row>
    <row r="3879" customFormat="false" ht="15" hidden="false" customHeight="false" outlineLevel="0" collapsed="false">
      <c r="A3879" s="0" t="e">
        <f aca="false">ROWS(LINEST(Data!K1:K8,Data!D1:D8))</f>
        <v>#VALUE!</v>
      </c>
      <c r="B3879" s="0" t="s">
        <v>3894</v>
      </c>
    </row>
    <row r="3880" customFormat="false" ht="15" hidden="false" customHeight="false" outlineLevel="0" collapsed="false">
      <c r="A3880" s="0" t="e">
        <f aca="false">COLUMNS(LINEST(Data!K1:K8,Data!D1:D8))</f>
        <v>#VALUE!</v>
      </c>
      <c r="B3880" s="0" t="s">
        <v>3895</v>
      </c>
    </row>
    <row r="3881" customFormat="false" ht="15" hidden="false" customHeight="false" outlineLevel="0" collapsed="false">
      <c r="A3881" s="0" t="e">
        <f aca="false">INDEX(LINEST(Data!D1:D8,Data!A1:A8),1,1)</f>
        <v>#VALUE!</v>
      </c>
      <c r="B3881" s="0" t="s">
        <v>3896</v>
      </c>
    </row>
    <row r="3882" customFormat="false" ht="15" hidden="false" customHeight="false" outlineLevel="0" collapsed="false">
      <c r="A3882" s="0" t="e">
        <f aca="false">INDEX(LINEST(Data!D1:D8,Data!A1:A8),1,2)</f>
        <v>#VALUE!</v>
      </c>
      <c r="B3882" s="0" t="s">
        <v>3897</v>
      </c>
    </row>
    <row r="3883" customFormat="false" ht="15" hidden="false" customHeight="false" outlineLevel="0" collapsed="false">
      <c r="A3883" s="0" t="e">
        <f aca="false">ROWS(LINEST(Data!D1:D8,Data!A1:A8))</f>
        <v>#VALUE!</v>
      </c>
      <c r="B3883" s="0" t="s">
        <v>3898</v>
      </c>
    </row>
    <row r="3884" customFormat="false" ht="15" hidden="false" customHeight="false" outlineLevel="0" collapsed="false">
      <c r="A3884" s="0" t="e">
        <f aca="false">COLUMNS(LINEST(Data!D1:D8,Data!A1:A8))</f>
        <v>#VALUE!</v>
      </c>
      <c r="B3884" s="0" t="s">
        <v>3899</v>
      </c>
    </row>
    <row r="3885" customFormat="false" ht="15" hidden="false" customHeight="false" outlineLevel="0" collapsed="false">
      <c r="A3885" s="0" t="n">
        <f aca="false">INDEX(LINEST({1,2,3,4},{2,4,5,9}),1,1)</f>
        <v>0.423076923076923</v>
      </c>
      <c r="B3885" s="0" t="s">
        <v>3900</v>
      </c>
    </row>
    <row r="3886" customFormat="false" ht="15" hidden="false" customHeight="false" outlineLevel="0" collapsed="false">
      <c r="A3886" s="0" t="n">
        <f aca="false">INDEX(LINEST({1,2,3,4},{2,4,5,9}),1,2)</f>
        <v>0.384615384615385</v>
      </c>
      <c r="B3886" s="0" t="s">
        <v>3901</v>
      </c>
    </row>
    <row r="3887" customFormat="false" ht="15" hidden="false" customHeight="false" outlineLevel="0" collapsed="false">
      <c r="A3887" s="0" t="n">
        <f aca="false">ROWS(LINEST({1,2,3,4},{2,4,5,9}))</f>
        <v>1</v>
      </c>
      <c r="B3887" s="0" t="s">
        <v>3902</v>
      </c>
    </row>
    <row r="3888" customFormat="false" ht="15" hidden="false" customHeight="false" outlineLevel="0" collapsed="false">
      <c r="A3888" s="0" t="n">
        <f aca="false">COLUMNS(LINEST({1,2,3,4},{2,4,5,9}))</f>
        <v>2</v>
      </c>
      <c r="B3888" s="0" t="s">
        <v>3903</v>
      </c>
    </row>
    <row r="3889" customFormat="false" ht="15" hidden="false" customHeight="false" outlineLevel="0" collapsed="false">
      <c r="A3889" s="0" t="n">
        <f aca="false">INDEX(LINEST({1;2;3;4},{2;4;5;9},TRUE(),TRUE()),1,1)</f>
        <v>0.423076923076923</v>
      </c>
      <c r="B3889" s="0" t="s">
        <v>3904</v>
      </c>
    </row>
    <row r="3890" customFormat="false" ht="15" hidden="false" customHeight="false" outlineLevel="0" collapsed="false">
      <c r="A3890" s="0" t="n">
        <f aca="false">INDEX(LINEST({1;2;3;4},{2;4;5;9},TRUE(),TRUE()),1,2)</f>
        <v>0.384615384615385</v>
      </c>
      <c r="B3890" s="0" t="s">
        <v>3905</v>
      </c>
    </row>
    <row r="3891" customFormat="false" ht="15" hidden="false" customHeight="false" outlineLevel="0" collapsed="false">
      <c r="A3891" s="0" t="n">
        <f aca="false">INDEX(LINEST({1;2;3;4},{2;4;5;9},TRUE(),TRUE()),2,1)</f>
        <v>0.0815892439830632</v>
      </c>
      <c r="B3891" s="0" t="s">
        <v>3906</v>
      </c>
    </row>
    <row r="3892" customFormat="false" ht="15" hidden="false" customHeight="false" outlineLevel="0" collapsed="false">
      <c r="A3892" s="0" t="n">
        <f aca="false">INDEX(LINEST({1;2;3;4},{2;4;5;9},TRUE(),TRUE()),2,2)</f>
        <v>0.457918496145795</v>
      </c>
      <c r="B3892" s="0" t="s">
        <v>3907</v>
      </c>
    </row>
    <row r="3893" customFormat="false" ht="15" hidden="false" customHeight="false" outlineLevel="0" collapsed="false">
      <c r="A3893" s="0" t="n">
        <f aca="false">INDEX(LINEST({1;2;3;4},{2;4;5;9},TRUE(),TRUE()),3,1)</f>
        <v>0.930769230769231</v>
      </c>
      <c r="B3893" s="0" t="s">
        <v>3908</v>
      </c>
    </row>
    <row r="3894" customFormat="false" ht="15" hidden="false" customHeight="false" outlineLevel="0" collapsed="false">
      <c r="A3894" s="0" t="n">
        <f aca="false">INDEX(LINEST({1;2;3;4},{2;4;5;9},TRUE(),TRUE()),3,2)</f>
        <v>0.416025147168922</v>
      </c>
      <c r="B3894" s="0" t="s">
        <v>3909</v>
      </c>
    </row>
    <row r="3895" customFormat="false" ht="15" hidden="false" customHeight="false" outlineLevel="0" collapsed="false">
      <c r="A3895" s="0" t="n">
        <f aca="false">INDEX(LINEST({1;2;3;4},{2;4;5;9},TRUE(),TRUE()),4,1)</f>
        <v>26.8888888888889</v>
      </c>
      <c r="B3895" s="0" t="s">
        <v>3910</v>
      </c>
    </row>
    <row r="3896" customFormat="false" ht="15" hidden="false" customHeight="false" outlineLevel="0" collapsed="false">
      <c r="A3896" s="0" t="n">
        <f aca="false">INDEX(LINEST({1;2;3;4},{2;4;5;9},TRUE(),TRUE()),4,2)</f>
        <v>2</v>
      </c>
      <c r="B3896" s="0" t="s">
        <v>3911</v>
      </c>
    </row>
    <row r="3897" customFormat="false" ht="15" hidden="false" customHeight="false" outlineLevel="0" collapsed="false">
      <c r="A3897" s="0" t="n">
        <f aca="false">INDEX(LINEST({1;2;3;4},{2;4;5;9},TRUE(),TRUE()),5,1)</f>
        <v>4.65384615384615</v>
      </c>
      <c r="B3897" s="0" t="s">
        <v>3912</v>
      </c>
    </row>
    <row r="3898" customFormat="false" ht="15" hidden="false" customHeight="false" outlineLevel="0" collapsed="false">
      <c r="A3898" s="0" t="n">
        <f aca="false">INDEX(LINEST({1;2;3;4},{2;4;5;9},TRUE(),TRUE()),5,2)</f>
        <v>0.346153846153846</v>
      </c>
      <c r="B3898" s="0" t="s">
        <v>3913</v>
      </c>
    </row>
    <row r="3899" customFormat="false" ht="15" hidden="false" customHeight="false" outlineLevel="0" collapsed="false">
      <c r="A3899" s="0" t="n">
        <f aca="false">ROWS(LINEST({1;2;3;4},{2;4;5;9},TRUE(),TRUE()))</f>
        <v>5</v>
      </c>
      <c r="B3899" s="0" t="s">
        <v>3914</v>
      </c>
    </row>
    <row r="3900" customFormat="false" ht="15" hidden="false" customHeight="false" outlineLevel="0" collapsed="false">
      <c r="A3900" s="0" t="n">
        <f aca="false">COLUMNS(LINEST({1;2;3;4},{2;4;5;9},TRUE(),TRUE()))</f>
        <v>2</v>
      </c>
      <c r="B3900" s="0" t="s">
        <v>3915</v>
      </c>
    </row>
    <row r="3901" customFormat="false" ht="15" hidden="false" customHeight="false" outlineLevel="0" collapsed="false">
      <c r="A3901" s="0" t="n">
        <f aca="false">INDEX(LINEST({3;3;3;3},{2;4;5;9},TRUE(),TRUE()),1,1)</f>
        <v>0</v>
      </c>
      <c r="B3901" s="0" t="s">
        <v>3916</v>
      </c>
    </row>
    <row r="3902" customFormat="false" ht="15" hidden="false" customHeight="false" outlineLevel="0" collapsed="false">
      <c r="A3902" s="0" t="n">
        <f aca="false">INDEX(LINEST({3;3;3;3},{2;4;5;9},TRUE(),TRUE()),1,2)</f>
        <v>3</v>
      </c>
      <c r="B3902" s="0" t="s">
        <v>3917</v>
      </c>
    </row>
    <row r="3903" customFormat="false" ht="15" hidden="false" customHeight="false" outlineLevel="0" collapsed="false">
      <c r="A3903" s="0" t="n">
        <f aca="false">INDEX(LINEST({3;3;3;3},{2;4;5;9},TRUE(),TRUE()),2,1)</f>
        <v>0</v>
      </c>
      <c r="B3903" s="0" t="s">
        <v>3918</v>
      </c>
    </row>
    <row r="3904" customFormat="false" ht="15" hidden="false" customHeight="false" outlineLevel="0" collapsed="false">
      <c r="A3904" s="0" t="n">
        <f aca="false">INDEX(LINEST({3;3;3;3},{2;4;5;9},TRUE(),TRUE()),2,2)</f>
        <v>0</v>
      </c>
      <c r="B3904" s="0" t="s">
        <v>3919</v>
      </c>
    </row>
    <row r="3905" customFormat="false" ht="15" hidden="false" customHeight="false" outlineLevel="0" collapsed="false">
      <c r="A3905" s="0" t="n">
        <f aca="false">INDEX(LINEST({3;3;3;3},{2;4;5;9},TRUE(),TRUE()),3,1)</f>
        <v>1</v>
      </c>
      <c r="B3905" s="0" t="s">
        <v>3920</v>
      </c>
    </row>
    <row r="3906" customFormat="false" ht="15" hidden="false" customHeight="false" outlineLevel="0" collapsed="false">
      <c r="A3906" s="0" t="n">
        <f aca="false">INDEX(LINEST({3;3;3;3},{2;4;5;9},TRUE(),TRUE()),3,2)</f>
        <v>0</v>
      </c>
      <c r="B3906" s="0" t="s">
        <v>3921</v>
      </c>
    </row>
    <row r="3907" customFormat="false" ht="15" hidden="false" customHeight="false" outlineLevel="0" collapsed="false">
      <c r="A3907" s="0" t="e">
        <f aca="false">INDEX(LINEST({3;3;3;3},{2;4;5;9},TRUE(),TRUE()),4,1)</f>
        <v>#N/A</v>
      </c>
      <c r="B3907" s="0" t="s">
        <v>3922</v>
      </c>
    </row>
    <row r="3908" customFormat="false" ht="15" hidden="false" customHeight="false" outlineLevel="0" collapsed="false">
      <c r="A3908" s="0" t="n">
        <f aca="false">INDEX(LINEST({3;3;3;3},{2;4;5;9},TRUE(),TRUE()),4,2)</f>
        <v>2</v>
      </c>
      <c r="B3908" s="0" t="s">
        <v>3923</v>
      </c>
    </row>
    <row r="3909" customFormat="false" ht="15" hidden="false" customHeight="false" outlineLevel="0" collapsed="false">
      <c r="A3909" s="0" t="n">
        <f aca="false">INDEX(LINEST({3;3;3;3},{2;4;5;9},TRUE(),TRUE()),5,1)</f>
        <v>0</v>
      </c>
      <c r="B3909" s="0" t="s">
        <v>3924</v>
      </c>
    </row>
    <row r="3910" customFormat="false" ht="15" hidden="false" customHeight="false" outlineLevel="0" collapsed="false">
      <c r="A3910" s="0" t="n">
        <f aca="false">INDEX(LINEST({3;3;3;3},{2;4;5;9},TRUE(),TRUE()),5,2)</f>
        <v>0</v>
      </c>
      <c r="B3910" s="0" t="s">
        <v>3925</v>
      </c>
    </row>
    <row r="3911" customFormat="false" ht="15" hidden="false" customHeight="false" outlineLevel="0" collapsed="false">
      <c r="A3911" s="0" t="n">
        <f aca="false">ROWS(LINEST({3;3;3;3},{2;4;5;9},TRUE(),TRUE()))</f>
        <v>5</v>
      </c>
      <c r="B3911" s="0" t="s">
        <v>3926</v>
      </c>
    </row>
    <row r="3912" customFormat="false" ht="15" hidden="false" customHeight="false" outlineLevel="0" collapsed="false">
      <c r="A3912" s="0" t="n">
        <f aca="false">COLUMNS(LINEST({3;3;3;3},{2;4;5;9},TRUE(),TRUE()))</f>
        <v>2</v>
      </c>
      <c r="B3912" s="0" t="s">
        <v>3927</v>
      </c>
    </row>
    <row r="3913" customFormat="false" ht="15" hidden="false" customHeight="false" outlineLevel="0" collapsed="false">
      <c r="A3913" s="0" t="e">
        <f aca="false">INDEX(LINEST(Data!K1:K8,{1;1;1;1;1;1;1;1},TRUE(),TRUE()),1,1)</f>
        <v>#VALUE!</v>
      </c>
      <c r="B3913" s="0" t="s">
        <v>3928</v>
      </c>
    </row>
    <row r="3914" customFormat="false" ht="15" hidden="false" customHeight="false" outlineLevel="0" collapsed="false">
      <c r="A3914" s="0" t="e">
        <f aca="false">INDEX(LINEST(Data!K1:K8,{1;1;1;1;1;1;1;1},TRUE(),TRUE()),1,2)</f>
        <v>#VALUE!</v>
      </c>
      <c r="B3914" s="0" t="s">
        <v>3929</v>
      </c>
    </row>
    <row r="3915" customFormat="false" ht="15" hidden="false" customHeight="false" outlineLevel="0" collapsed="false">
      <c r="A3915" s="0" t="e">
        <f aca="false">INDEX(LINEST(Data!K1:K8,{1;1;1;1;1;1;1;1},TRUE(),TRUE()),2,1)</f>
        <v>#VALUE!</v>
      </c>
      <c r="B3915" s="0" t="s">
        <v>3930</v>
      </c>
    </row>
    <row r="3916" customFormat="false" ht="15" hidden="false" customHeight="false" outlineLevel="0" collapsed="false">
      <c r="A3916" s="0" t="e">
        <f aca="false">INDEX(LINEST(Data!K1:K8,{1;1;1;1;1;1;1;1},TRUE(),TRUE()),2,2)</f>
        <v>#VALUE!</v>
      </c>
      <c r="B3916" s="0" t="s">
        <v>3931</v>
      </c>
    </row>
    <row r="3917" customFormat="false" ht="15" hidden="false" customHeight="false" outlineLevel="0" collapsed="false">
      <c r="A3917" s="0" t="e">
        <f aca="false">INDEX(LINEST(Data!K1:K8,{1;1;1;1;1;1;1;1},TRUE(),TRUE()),3,1)</f>
        <v>#VALUE!</v>
      </c>
      <c r="B3917" s="0" t="s">
        <v>3932</v>
      </c>
    </row>
    <row r="3918" customFormat="false" ht="15" hidden="false" customHeight="false" outlineLevel="0" collapsed="false">
      <c r="A3918" s="0" t="e">
        <f aca="false">INDEX(LINEST(Data!K1:K8,{1;1;1;1;1;1;1;1},TRUE(),TRUE()),3,2)</f>
        <v>#VALUE!</v>
      </c>
      <c r="B3918" s="0" t="s">
        <v>3933</v>
      </c>
    </row>
    <row r="3919" customFormat="false" ht="15" hidden="false" customHeight="false" outlineLevel="0" collapsed="false">
      <c r="A3919" s="0" t="e">
        <f aca="false">INDEX(LINEST(Data!K1:K8,{1;1;1;1;1;1;1;1},TRUE(),TRUE()),4,1)</f>
        <v>#VALUE!</v>
      </c>
      <c r="B3919" s="0" t="s">
        <v>3934</v>
      </c>
    </row>
    <row r="3920" customFormat="false" ht="15" hidden="false" customHeight="false" outlineLevel="0" collapsed="false">
      <c r="A3920" s="0" t="e">
        <f aca="false">INDEX(LINEST(Data!K1:K8,{1;1;1;1;1;1;1;1},TRUE(),TRUE()),4,2)</f>
        <v>#VALUE!</v>
      </c>
      <c r="B3920" s="0" t="s">
        <v>3935</v>
      </c>
    </row>
    <row r="3921" customFormat="false" ht="15" hidden="false" customHeight="false" outlineLevel="0" collapsed="false">
      <c r="A3921" s="0" t="e">
        <f aca="false">INDEX(LINEST(Data!K1:K8,{1;1;1;1;1;1;1;1},TRUE(),TRUE()),5,1)</f>
        <v>#VALUE!</v>
      </c>
      <c r="B3921" s="0" t="s">
        <v>3936</v>
      </c>
    </row>
    <row r="3922" customFormat="false" ht="15" hidden="false" customHeight="false" outlineLevel="0" collapsed="false">
      <c r="A3922" s="0" t="e">
        <f aca="false">INDEX(LINEST(Data!K1:K8,{1;1;1;1;1;1;1;1},TRUE(),TRUE()),5,2)</f>
        <v>#VALUE!</v>
      </c>
      <c r="B3922" s="0" t="s">
        <v>3937</v>
      </c>
    </row>
    <row r="3923" customFormat="false" ht="15" hidden="false" customHeight="false" outlineLevel="0" collapsed="false">
      <c r="A3923" s="0" t="e">
        <f aca="false">ROWS(LINEST(Data!K1:K8,{1;1;1;1;1;1;1;1},TRUE(),TRUE()))</f>
        <v>#VALUE!</v>
      </c>
      <c r="B3923" s="0" t="s">
        <v>3938</v>
      </c>
    </row>
    <row r="3924" customFormat="false" ht="15" hidden="false" customHeight="false" outlineLevel="0" collapsed="false">
      <c r="A3924" s="0" t="e">
        <f aca="false">COLUMNS(LINEST(Data!K1:K8,{1;1;1;1;1;1;1;1},TRUE(),TRUE()))</f>
        <v>#VALUE!</v>
      </c>
      <c r="B3924" s="0" t="s">
        <v>3939</v>
      </c>
    </row>
    <row r="3925" customFormat="false" ht="15" hidden="false" customHeight="false" outlineLevel="0" collapsed="false">
      <c r="A3925" s="0" t="e">
        <f aca="false">INDEX(LINEST({2;4;5;9},{3;3;3;3}),1,1)</f>
        <v>#VALUE!</v>
      </c>
      <c r="B3925" s="0" t="s">
        <v>3940</v>
      </c>
    </row>
    <row r="3926" customFormat="false" ht="15" hidden="false" customHeight="false" outlineLevel="0" collapsed="false">
      <c r="A3926" s="0" t="e">
        <f aca="false">INDEX(LINEST({2;4;5;9},{3;3;3;3}),1,2)</f>
        <v>#VALUE!</v>
      </c>
      <c r="B3926" s="0" t="s">
        <v>3941</v>
      </c>
    </row>
    <row r="3927" customFormat="false" ht="15" hidden="false" customHeight="false" outlineLevel="0" collapsed="false">
      <c r="A3927" s="0" t="e">
        <f aca="false">ROWS(LINEST({2;4;5;9},{3;3;3;3}))</f>
        <v>#VALUE!</v>
      </c>
      <c r="B3927" s="0" t="s">
        <v>3942</v>
      </c>
    </row>
    <row r="3928" customFormat="false" ht="15" hidden="false" customHeight="false" outlineLevel="0" collapsed="false">
      <c r="A3928" s="0" t="e">
        <f aca="false">COLUMNS(LINEST({2;4;5;9},{3;3;3;3}))</f>
        <v>#VALUE!</v>
      </c>
      <c r="B3928" s="0" t="s">
        <v>3943</v>
      </c>
    </row>
    <row r="3929" customFormat="false" ht="15" hidden="false" customHeight="false" outlineLevel="0" collapsed="false">
      <c r="A3929" s="0" t="n">
        <f aca="false">INDEX(LINEST({1;2;4;8},{1;2;3;4},TRUE(),TRUE()),1,1)</f>
        <v>2.3</v>
      </c>
      <c r="B3929" s="0" t="s">
        <v>3944</v>
      </c>
    </row>
    <row r="3930" customFormat="false" ht="15" hidden="false" customHeight="false" outlineLevel="0" collapsed="false">
      <c r="A3930" s="0" t="n">
        <f aca="false">INDEX(LINEST({1;2;4;8},{1;2;3;4},TRUE(),TRUE()),1,2)</f>
        <v>-2</v>
      </c>
      <c r="B3930" s="0" t="s">
        <v>3945</v>
      </c>
    </row>
    <row r="3931" customFormat="false" ht="15" hidden="false" customHeight="false" outlineLevel="0" collapsed="false">
      <c r="A3931" s="0" t="n">
        <f aca="false">INDEX(LINEST({1;2;4;8},{1;2;3;4},TRUE(),TRUE()),2,1)</f>
        <v>0.479583152331272</v>
      </c>
      <c r="B3931" s="0" t="s">
        <v>3946</v>
      </c>
    </row>
    <row r="3932" customFormat="false" ht="15" hidden="false" customHeight="false" outlineLevel="0" collapsed="false">
      <c r="A3932" s="0" t="n">
        <f aca="false">INDEX(LINEST({1;2;4;8},{1;2;3;4},TRUE(),TRUE()),2,2)</f>
        <v>1.31339255365637</v>
      </c>
      <c r="B3932" s="0" t="s">
        <v>3947</v>
      </c>
    </row>
    <row r="3933" customFormat="false" ht="15" hidden="false" customHeight="false" outlineLevel="0" collapsed="false">
      <c r="A3933" s="0" t="n">
        <f aca="false">INDEX(LINEST({1;2;4;8},{1;2;3;4},TRUE(),TRUE()),3,1)</f>
        <v>0.92</v>
      </c>
      <c r="B3933" s="0" t="s">
        <v>3948</v>
      </c>
    </row>
    <row r="3934" customFormat="false" ht="15" hidden="false" customHeight="false" outlineLevel="0" collapsed="false">
      <c r="A3934" s="0" t="n">
        <f aca="false">INDEX(LINEST({1;2;4;8},{1;2;3;4},TRUE(),TRUE()),3,2)</f>
        <v>1.07238052947636</v>
      </c>
      <c r="B3934" s="0" t="s">
        <v>3949</v>
      </c>
    </row>
    <row r="3935" customFormat="false" ht="15" hidden="false" customHeight="false" outlineLevel="0" collapsed="false">
      <c r="A3935" s="0" t="n">
        <f aca="false">INDEX(LINEST({1;2;4;8},{1;2;3;4},TRUE(),TRUE()),4,1)</f>
        <v>23</v>
      </c>
      <c r="B3935" s="0" t="s">
        <v>3950</v>
      </c>
    </row>
    <row r="3936" customFormat="false" ht="15" hidden="false" customHeight="false" outlineLevel="0" collapsed="false">
      <c r="A3936" s="0" t="n">
        <f aca="false">INDEX(LINEST({1;2;4;8},{1;2;3;4},TRUE(),TRUE()),4,2)</f>
        <v>2</v>
      </c>
      <c r="B3936" s="0" t="s">
        <v>3951</v>
      </c>
    </row>
    <row r="3937" customFormat="false" ht="15" hidden="false" customHeight="false" outlineLevel="0" collapsed="false">
      <c r="A3937" s="0" t="n">
        <f aca="false">INDEX(LINEST({1;2;4;8},{1;2;3;4},TRUE(),TRUE()),5,1)</f>
        <v>26.45</v>
      </c>
      <c r="B3937" s="0" t="s">
        <v>3952</v>
      </c>
    </row>
    <row r="3938" customFormat="false" ht="15" hidden="false" customHeight="false" outlineLevel="0" collapsed="false">
      <c r="A3938" s="0" t="n">
        <f aca="false">INDEX(LINEST({1;2;4;8},{1;2;3;4},TRUE(),TRUE()),5,2)</f>
        <v>2.3</v>
      </c>
      <c r="B3938" s="0" t="s">
        <v>3953</v>
      </c>
    </row>
    <row r="3939" customFormat="false" ht="15" hidden="false" customHeight="false" outlineLevel="0" collapsed="false">
      <c r="A3939" s="0" t="n">
        <f aca="false">ROWS(LINEST({1;2;4;8},{1;2;3;4},TRUE(),TRUE()))</f>
        <v>5</v>
      </c>
      <c r="B3939" s="0" t="s">
        <v>3954</v>
      </c>
    </row>
    <row r="3940" customFormat="false" ht="15" hidden="false" customHeight="false" outlineLevel="0" collapsed="false">
      <c r="A3940" s="0" t="n">
        <f aca="false">COLUMNS(LINEST({1;2;4;8},{1;2;3;4},TRUE(),TRUE()))</f>
        <v>2</v>
      </c>
      <c r="B3940" s="0" t="s">
        <v>3955</v>
      </c>
    </row>
    <row r="3941" customFormat="false" ht="15" hidden="false" customHeight="false" outlineLevel="0" collapsed="false">
      <c r="A3941" s="0" t="n">
        <f aca="false">INDEX(LINEST({0;1;2;3},{1;2;3;4}),1,1)</f>
        <v>1</v>
      </c>
      <c r="B3941" s="0" t="s">
        <v>3956</v>
      </c>
    </row>
    <row r="3942" customFormat="false" ht="15" hidden="false" customHeight="false" outlineLevel="0" collapsed="false">
      <c r="A3942" s="0" t="n">
        <f aca="false">INDEX(LINEST({0;1;2;3},{1;2;3;4}),1,2)</f>
        <v>-1</v>
      </c>
      <c r="B3942" s="0" t="s">
        <v>3957</v>
      </c>
    </row>
    <row r="3943" customFormat="false" ht="15" hidden="false" customHeight="false" outlineLevel="0" collapsed="false">
      <c r="A3943" s="0" t="n">
        <f aca="false">ROWS(LINEST({0;1;2;3},{1;2;3;4}))</f>
        <v>1</v>
      </c>
      <c r="B3943" s="0" t="s">
        <v>3958</v>
      </c>
    </row>
    <row r="3944" customFormat="false" ht="15" hidden="false" customHeight="false" outlineLevel="0" collapsed="false">
      <c r="A3944" s="0" t="n">
        <f aca="false">COLUMNS(LINEST({0;1;2;3},{1;2;3;4}))</f>
        <v>2</v>
      </c>
      <c r="B3944" s="0" t="s">
        <v>3959</v>
      </c>
    </row>
    <row r="3945" customFormat="false" ht="15" hidden="false" customHeight="false" outlineLevel="0" collapsed="false">
      <c r="A3945" s="0" t="n">
        <f aca="false">INDEX(LINEST({-1;2;4;8},{1;2;3;4}),1,1)</f>
        <v>2.9</v>
      </c>
      <c r="B3945" s="0" t="s">
        <v>3960</v>
      </c>
    </row>
    <row r="3946" customFormat="false" ht="15" hidden="false" customHeight="false" outlineLevel="0" collapsed="false">
      <c r="A3946" s="0" t="n">
        <f aca="false">INDEX(LINEST({-1;2;4;8},{1;2;3;4}),1,2)</f>
        <v>-4</v>
      </c>
      <c r="B3946" s="0" t="s">
        <v>3961</v>
      </c>
    </row>
    <row r="3947" customFormat="false" ht="15" hidden="false" customHeight="false" outlineLevel="0" collapsed="false">
      <c r="A3947" s="0" t="n">
        <f aca="false">ROWS(LINEST({-1;2;4;8},{1;2;3;4}))</f>
        <v>1</v>
      </c>
      <c r="B3947" s="0" t="s">
        <v>3962</v>
      </c>
    </row>
    <row r="3948" customFormat="false" ht="15" hidden="false" customHeight="false" outlineLevel="0" collapsed="false">
      <c r="A3948" s="0" t="n">
        <f aca="false">COLUMNS(LINEST({-1;2;4;8},{1;2;3;4}))</f>
        <v>2</v>
      </c>
      <c r="B3948" s="0" t="s">
        <v>3963</v>
      </c>
    </row>
    <row r="3949" customFormat="false" ht="15" hidden="false" customHeight="false" outlineLevel="0" collapsed="false">
      <c r="A3949" s="0" t="n">
        <f aca="false">INDEX(LINEST({1;2;4;8},{1;2;3;4},TRUE(),TRUE()),1,1)</f>
        <v>2.3</v>
      </c>
      <c r="B3949" s="0" t="s">
        <v>3944</v>
      </c>
    </row>
    <row r="3950" customFormat="false" ht="15" hidden="false" customHeight="false" outlineLevel="0" collapsed="false">
      <c r="A3950" s="0" t="n">
        <f aca="false">INDEX(LINEST({1;2;4;8},{1;2;3;4},TRUE(),TRUE()),1,2)</f>
        <v>-2</v>
      </c>
      <c r="B3950" s="0" t="s">
        <v>3945</v>
      </c>
    </row>
    <row r="3951" customFormat="false" ht="15" hidden="false" customHeight="false" outlineLevel="0" collapsed="false">
      <c r="A3951" s="0" t="n">
        <f aca="false">INDEX(LINEST({1;2;4;8},{1;2;3;4},TRUE(),TRUE()),2,1)</f>
        <v>0.479583152331272</v>
      </c>
      <c r="B3951" s="0" t="s">
        <v>3946</v>
      </c>
    </row>
    <row r="3952" customFormat="false" ht="15" hidden="false" customHeight="false" outlineLevel="0" collapsed="false">
      <c r="A3952" s="0" t="n">
        <f aca="false">INDEX(LINEST({1;2;4;8},{1;2;3;4},TRUE(),TRUE()),2,2)</f>
        <v>1.31339255365637</v>
      </c>
      <c r="B3952" s="0" t="s">
        <v>3947</v>
      </c>
    </row>
    <row r="3953" customFormat="false" ht="15" hidden="false" customHeight="false" outlineLevel="0" collapsed="false">
      <c r="A3953" s="0" t="n">
        <f aca="false">INDEX(LINEST({1;2;4;8},{1;2;3;4},TRUE(),TRUE()),3,1)</f>
        <v>0.92</v>
      </c>
      <c r="B3953" s="0" t="s">
        <v>3948</v>
      </c>
    </row>
    <row r="3954" customFormat="false" ht="15" hidden="false" customHeight="false" outlineLevel="0" collapsed="false">
      <c r="A3954" s="0" t="n">
        <f aca="false">INDEX(LINEST({1;2;4;8},{1;2;3;4},TRUE(),TRUE()),3,2)</f>
        <v>1.07238052947636</v>
      </c>
      <c r="B3954" s="0" t="s">
        <v>3949</v>
      </c>
    </row>
    <row r="3955" customFormat="false" ht="15" hidden="false" customHeight="false" outlineLevel="0" collapsed="false">
      <c r="A3955" s="0" t="n">
        <f aca="false">INDEX(LINEST({1;2;4;8},{1;2;3;4},TRUE(),TRUE()),4,1)</f>
        <v>23</v>
      </c>
      <c r="B3955" s="0" t="s">
        <v>3950</v>
      </c>
    </row>
    <row r="3956" customFormat="false" ht="15" hidden="false" customHeight="false" outlineLevel="0" collapsed="false">
      <c r="A3956" s="0" t="n">
        <f aca="false">INDEX(LINEST({1;2;4;8},{1;2;3;4},TRUE(),TRUE()),4,2)</f>
        <v>2</v>
      </c>
      <c r="B3956" s="0" t="s">
        <v>3951</v>
      </c>
    </row>
    <row r="3957" customFormat="false" ht="15" hidden="false" customHeight="false" outlineLevel="0" collapsed="false">
      <c r="A3957" s="0" t="n">
        <f aca="false">INDEX(LINEST({1;2;4;8},{1;2;3;4},TRUE(),TRUE()),5,1)</f>
        <v>26.45</v>
      </c>
      <c r="B3957" s="0" t="s">
        <v>3952</v>
      </c>
    </row>
    <row r="3958" customFormat="false" ht="15" hidden="false" customHeight="false" outlineLevel="0" collapsed="false">
      <c r="A3958" s="0" t="n">
        <f aca="false">INDEX(LINEST({1;2;4;8},{1;2;3;4},TRUE(),TRUE()),5,2)</f>
        <v>2.3</v>
      </c>
      <c r="B3958" s="0" t="s">
        <v>3953</v>
      </c>
    </row>
    <row r="3959" customFormat="false" ht="15" hidden="false" customHeight="false" outlineLevel="0" collapsed="false">
      <c r="A3959" s="0" t="n">
        <f aca="false">ROWS(LINEST({1;2;4;8},{1;2;3;4},TRUE(),TRUE()))</f>
        <v>5</v>
      </c>
      <c r="B3959" s="0" t="s">
        <v>3954</v>
      </c>
    </row>
    <row r="3960" customFormat="false" ht="15" hidden="false" customHeight="false" outlineLevel="0" collapsed="false">
      <c r="A3960" s="0" t="n">
        <f aca="false">COLUMNS(LINEST({1;2;4;8},{1;2;3;4},TRUE(),TRUE()))</f>
        <v>2</v>
      </c>
      <c r="B3960" s="0" t="s">
        <v>3955</v>
      </c>
    </row>
    <row r="3961" customFormat="false" ht="15" hidden="false" customHeight="false" outlineLevel="0" collapsed="false">
      <c r="A3961" s="0" t="e">
        <f aca="false">INDEX(LINEST(Data!K1:K8,Data!A1:B8),1,1)</f>
        <v>#VALUE!</v>
      </c>
      <c r="B3961" s="0" t="s">
        <v>3964</v>
      </c>
    </row>
    <row r="3962" customFormat="false" ht="15" hidden="false" customHeight="false" outlineLevel="0" collapsed="false">
      <c r="A3962" s="0" t="e">
        <f aca="false">INDEX(LINEST(Data!K1:K8,Data!A1:B8),1,2)</f>
        <v>#VALUE!</v>
      </c>
      <c r="B3962" s="0" t="s">
        <v>3965</v>
      </c>
    </row>
    <row r="3963" customFormat="false" ht="15" hidden="false" customHeight="false" outlineLevel="0" collapsed="false">
      <c r="A3963" s="0" t="e">
        <f aca="false">INDEX(LINEST(Data!K1:K8,Data!A1:B8),1,3)</f>
        <v>#VALUE!</v>
      </c>
      <c r="B3963" s="0" t="s">
        <v>3966</v>
      </c>
    </row>
    <row r="3964" customFormat="false" ht="15" hidden="false" customHeight="false" outlineLevel="0" collapsed="false">
      <c r="A3964" s="0" t="e">
        <f aca="false">ROWS(LINEST(Data!K1:K8,Data!A1:B8))</f>
        <v>#VALUE!</v>
      </c>
      <c r="B3964" s="0" t="s">
        <v>3967</v>
      </c>
    </row>
    <row r="3965" customFormat="false" ht="15" hidden="false" customHeight="false" outlineLevel="0" collapsed="false">
      <c r="A3965" s="0" t="e">
        <f aca="false">COLUMNS(LINEST(Data!K1:K8,Data!A1:B8))</f>
        <v>#VALUE!</v>
      </c>
      <c r="B3965" s="0" t="s">
        <v>3968</v>
      </c>
    </row>
    <row r="3966" customFormat="false" ht="15" hidden="false" customHeight="false" outlineLevel="0" collapsed="false">
      <c r="A3966" s="0" t="e">
        <f aca="false">INDEX(LINEST(Data!A1:B8,Data!K1:K8),1,1)</f>
        <v>#VALUE!</v>
      </c>
      <c r="B3966" s="0" t="s">
        <v>3969</v>
      </c>
    </row>
    <row r="3967" customFormat="false" ht="15" hidden="false" customHeight="false" outlineLevel="0" collapsed="false">
      <c r="A3967" s="0" t="e">
        <f aca="false">INDEX(LINEST(Data!A1:B8,Data!K1:K8),1,2)</f>
        <v>#VALUE!</v>
      </c>
      <c r="B3967" s="0" t="s">
        <v>3970</v>
      </c>
    </row>
    <row r="3968" customFormat="false" ht="15" hidden="false" customHeight="false" outlineLevel="0" collapsed="false">
      <c r="A3968" s="0" t="e">
        <f aca="false">ROWS(LINEST(Data!A1:B8,Data!K1:K8))</f>
        <v>#VALUE!</v>
      </c>
      <c r="B3968" s="0" t="s">
        <v>3971</v>
      </c>
    </row>
    <row r="3969" customFormat="false" ht="15" hidden="false" customHeight="false" outlineLevel="0" collapsed="false">
      <c r="A3969" s="0" t="e">
        <f aca="false">COLUMNS(LINEST(Data!A1:B8,Data!K1:K8))</f>
        <v>#VALUE!</v>
      </c>
      <c r="B3969" s="0" t="s">
        <v>3972</v>
      </c>
    </row>
    <row r="3970" customFormat="false" ht="15" hidden="false" customHeight="false" outlineLevel="0" collapsed="false">
      <c r="A3970" s="0" t="n">
        <f aca="false">INDEX(LINEST(Data!K1:K3,Data!BF1:BG3,TRUE(),TRUE()),1,1)</f>
        <v>1</v>
      </c>
      <c r="B3970" s="0" t="s">
        <v>3973</v>
      </c>
    </row>
    <row r="3971" customFormat="false" ht="15" hidden="false" customHeight="false" outlineLevel="0" collapsed="false">
      <c r="A3971" s="0" t="n">
        <f aca="false">INDEX(LINEST(Data!K1:K3,Data!BF1:BG3,TRUE(),TRUE()),1,2)</f>
        <v>0</v>
      </c>
      <c r="B3971" s="0" t="s">
        <v>3974</v>
      </c>
    </row>
    <row r="3972" customFormat="false" ht="15" hidden="false" customHeight="false" outlineLevel="0" collapsed="false">
      <c r="A3972" s="0" t="n">
        <f aca="false">INDEX(LINEST(Data!K1:K3,Data!BF1:BG3,TRUE(),TRUE()),1,3)</f>
        <v>-2</v>
      </c>
      <c r="B3972" s="0" t="s">
        <v>3975</v>
      </c>
    </row>
    <row r="3973" customFormat="false" ht="15" hidden="false" customHeight="false" outlineLevel="0" collapsed="false">
      <c r="A3973" s="0" t="n">
        <f aca="false">INDEX(LINEST(Data!K1:K3,Data!BF1:BG3,TRUE(),TRUE()),2,1)</f>
        <v>0</v>
      </c>
      <c r="B3973" s="0" t="s">
        <v>3976</v>
      </c>
    </row>
    <row r="3974" customFormat="false" ht="15" hidden="false" customHeight="false" outlineLevel="0" collapsed="false">
      <c r="A3974" s="0" t="n">
        <f aca="false">INDEX(LINEST(Data!K1:K3,Data!BF1:BG3,TRUE(),TRUE()),2,2)</f>
        <v>0</v>
      </c>
      <c r="B3974" s="0" t="s">
        <v>3977</v>
      </c>
    </row>
    <row r="3975" customFormat="false" ht="15" hidden="false" customHeight="false" outlineLevel="0" collapsed="false">
      <c r="A3975" s="0" t="n">
        <f aca="false">INDEX(LINEST(Data!K1:K3,Data!BF1:BG3,TRUE(),TRUE()),2,3)</f>
        <v>0</v>
      </c>
      <c r="B3975" s="0" t="s">
        <v>3978</v>
      </c>
    </row>
    <row r="3976" customFormat="false" ht="15" hidden="false" customHeight="false" outlineLevel="0" collapsed="false">
      <c r="A3976" s="0" t="n">
        <f aca="false">INDEX(LINEST(Data!K1:K3,Data!BF1:BG3,TRUE(),TRUE()),3,1)</f>
        <v>1</v>
      </c>
      <c r="B3976" s="0" t="s">
        <v>3979</v>
      </c>
    </row>
    <row r="3977" customFormat="false" ht="15" hidden="false" customHeight="false" outlineLevel="0" collapsed="false">
      <c r="A3977" s="0" t="n">
        <f aca="false">INDEX(LINEST(Data!K1:K3,Data!BF1:BG3,TRUE(),TRUE()),3,2)</f>
        <v>0</v>
      </c>
      <c r="B3977" s="0" t="s">
        <v>3980</v>
      </c>
    </row>
    <row r="3978" customFormat="false" ht="15" hidden="false" customHeight="false" outlineLevel="0" collapsed="false">
      <c r="A3978" s="0" t="e">
        <f aca="false">INDEX(LINEST(Data!K1:K3,Data!BF1:BG3,TRUE(),TRUE()),3,3)</f>
        <v>#N/A</v>
      </c>
      <c r="B3978" s="0" t="s">
        <v>3981</v>
      </c>
    </row>
    <row r="3979" customFormat="false" ht="15" hidden="false" customHeight="false" outlineLevel="0" collapsed="false">
      <c r="A3979" s="0" t="e">
        <f aca="false">INDEX(LINEST(Data!K1:K3,Data!BF1:BG3,TRUE(),TRUE()),4,1)</f>
        <v>#N/A</v>
      </c>
      <c r="B3979" s="0" t="s">
        <v>3982</v>
      </c>
    </row>
    <row r="3980" customFormat="false" ht="15" hidden="false" customHeight="false" outlineLevel="0" collapsed="false">
      <c r="A3980" s="0" t="n">
        <f aca="false">INDEX(LINEST(Data!K1:K3,Data!BF1:BG3,TRUE(),TRUE()),4,2)</f>
        <v>0</v>
      </c>
      <c r="B3980" s="0" t="s">
        <v>3983</v>
      </c>
    </row>
    <row r="3981" customFormat="false" ht="15" hidden="false" customHeight="false" outlineLevel="0" collapsed="false">
      <c r="A3981" s="0" t="e">
        <f aca="false">INDEX(LINEST(Data!K1:K3,Data!BF1:BG3,TRUE(),TRUE()),4,3)</f>
        <v>#N/A</v>
      </c>
      <c r="B3981" s="0" t="s">
        <v>3984</v>
      </c>
    </row>
    <row r="3982" customFormat="false" ht="15" hidden="false" customHeight="false" outlineLevel="0" collapsed="false">
      <c r="A3982" s="0" t="n">
        <f aca="false">INDEX(LINEST(Data!K1:K3,Data!BF1:BG3,TRUE(),TRUE()),5,1)</f>
        <v>4.66666666666667</v>
      </c>
      <c r="B3982" s="0" t="s">
        <v>3985</v>
      </c>
    </row>
    <row r="3983" customFormat="false" ht="15" hidden="false" customHeight="false" outlineLevel="0" collapsed="false">
      <c r="A3983" s="0" t="n">
        <f aca="false">INDEX(LINEST(Data!K1:K3,Data!BF1:BG3,TRUE(),TRUE()),5,2)</f>
        <v>0</v>
      </c>
      <c r="B3983" s="0" t="s">
        <v>3986</v>
      </c>
    </row>
    <row r="3984" customFormat="false" ht="15" hidden="false" customHeight="false" outlineLevel="0" collapsed="false">
      <c r="A3984" s="0" t="e">
        <f aca="false">INDEX(LINEST(Data!K1:K3,Data!BF1:BG3,TRUE(),TRUE()),5,3)</f>
        <v>#N/A</v>
      </c>
      <c r="B3984" s="0" t="s">
        <v>3987</v>
      </c>
    </row>
    <row r="3985" customFormat="false" ht="15" hidden="false" customHeight="false" outlineLevel="0" collapsed="false">
      <c r="A3985" s="0" t="n">
        <f aca="false">ROWS(LINEST(Data!K1:K3,Data!BF1:BG3,TRUE(),TRUE()))</f>
        <v>5</v>
      </c>
      <c r="B3985" s="0" t="s">
        <v>3988</v>
      </c>
    </row>
    <row r="3986" customFormat="false" ht="15" hidden="false" customHeight="false" outlineLevel="0" collapsed="false">
      <c r="A3986" s="0" t="n">
        <f aca="false">COLUMNS(LINEST(Data!K1:K3,Data!BF1:BG3,TRUE(),TRUE()))</f>
        <v>3</v>
      </c>
      <c r="B3986" s="0" t="s">
        <v>3989</v>
      </c>
    </row>
    <row r="3987" customFormat="false" ht="15" hidden="false" customHeight="false" outlineLevel="0" collapsed="false">
      <c r="A3987" s="0" t="e">
        <f aca="false">INDEX(LINEST(Data!K1:K2,Data!BF1:BG2,TRUE(),TRUE()),1,1)</f>
        <v>#VALUE!</v>
      </c>
      <c r="B3987" s="0" t="s">
        <v>3990</v>
      </c>
    </row>
    <row r="3988" customFormat="false" ht="15" hidden="false" customHeight="false" outlineLevel="0" collapsed="false">
      <c r="A3988" s="0" t="e">
        <f aca="false">INDEX(LINEST(Data!K1:K2,Data!BF1:BG2,TRUE(),TRUE()),1,2)</f>
        <v>#VALUE!</v>
      </c>
      <c r="B3988" s="0" t="s">
        <v>3991</v>
      </c>
    </row>
    <row r="3989" customFormat="false" ht="15" hidden="false" customHeight="false" outlineLevel="0" collapsed="false">
      <c r="A3989" s="0" t="e">
        <f aca="false">INDEX(LINEST(Data!K1:K2,Data!BF1:BG2,TRUE(),TRUE()),1,3)</f>
        <v>#VALUE!</v>
      </c>
      <c r="B3989" s="0" t="s">
        <v>3992</v>
      </c>
    </row>
    <row r="3990" customFormat="false" ht="15" hidden="false" customHeight="false" outlineLevel="0" collapsed="false">
      <c r="A3990" s="0" t="e">
        <f aca="false">INDEX(LINEST(Data!K1:K2,Data!BF1:BG2,TRUE(),TRUE()),2,1)</f>
        <v>#VALUE!</v>
      </c>
      <c r="B3990" s="0" t="s">
        <v>3993</v>
      </c>
    </row>
    <row r="3991" customFormat="false" ht="15" hidden="false" customHeight="false" outlineLevel="0" collapsed="false">
      <c r="A3991" s="0" t="e">
        <f aca="false">INDEX(LINEST(Data!K1:K2,Data!BF1:BG2,TRUE(),TRUE()),2,2)</f>
        <v>#VALUE!</v>
      </c>
      <c r="B3991" s="0" t="s">
        <v>3994</v>
      </c>
    </row>
    <row r="3992" customFormat="false" ht="15" hidden="false" customHeight="false" outlineLevel="0" collapsed="false">
      <c r="A3992" s="0" t="e">
        <f aca="false">INDEX(LINEST(Data!K1:K2,Data!BF1:BG2,TRUE(),TRUE()),2,3)</f>
        <v>#VALUE!</v>
      </c>
      <c r="B3992" s="0" t="s">
        <v>3995</v>
      </c>
    </row>
    <row r="3993" customFormat="false" ht="15" hidden="false" customHeight="false" outlineLevel="0" collapsed="false">
      <c r="A3993" s="0" t="e">
        <f aca="false">INDEX(LINEST(Data!K1:K2,Data!BF1:BG2,TRUE(),TRUE()),3,1)</f>
        <v>#VALUE!</v>
      </c>
      <c r="B3993" s="0" t="s">
        <v>3996</v>
      </c>
    </row>
    <row r="3994" customFormat="false" ht="15" hidden="false" customHeight="false" outlineLevel="0" collapsed="false">
      <c r="A3994" s="0" t="e">
        <f aca="false">INDEX(LINEST(Data!K1:K2,Data!BF1:BG2,TRUE(),TRUE()),3,2)</f>
        <v>#VALUE!</v>
      </c>
      <c r="B3994" s="0" t="s">
        <v>3997</v>
      </c>
    </row>
    <row r="3995" customFormat="false" ht="15" hidden="false" customHeight="false" outlineLevel="0" collapsed="false">
      <c r="A3995" s="0" t="e">
        <f aca="false">INDEX(LINEST(Data!K1:K2,Data!BF1:BG2,TRUE(),TRUE()),3,3)</f>
        <v>#VALUE!</v>
      </c>
      <c r="B3995" s="0" t="s">
        <v>3998</v>
      </c>
    </row>
    <row r="3996" customFormat="false" ht="15" hidden="false" customHeight="false" outlineLevel="0" collapsed="false">
      <c r="A3996" s="0" t="e">
        <f aca="false">INDEX(LINEST(Data!K1:K2,Data!BF1:BG2,TRUE(),TRUE()),4,1)</f>
        <v>#VALUE!</v>
      </c>
      <c r="B3996" s="0" t="s">
        <v>3999</v>
      </c>
    </row>
    <row r="3997" customFormat="false" ht="15" hidden="false" customHeight="false" outlineLevel="0" collapsed="false">
      <c r="A3997" s="0" t="e">
        <f aca="false">INDEX(LINEST(Data!K1:K2,Data!BF1:BG2,TRUE(),TRUE()),4,2)</f>
        <v>#VALUE!</v>
      </c>
      <c r="B3997" s="0" t="s">
        <v>4000</v>
      </c>
    </row>
    <row r="3998" customFormat="false" ht="15" hidden="false" customHeight="false" outlineLevel="0" collapsed="false">
      <c r="A3998" s="0" t="e">
        <f aca="false">INDEX(LINEST(Data!K1:K2,Data!BF1:BG2,TRUE(),TRUE()),4,3)</f>
        <v>#VALUE!</v>
      </c>
      <c r="B3998" s="0" t="s">
        <v>4001</v>
      </c>
    </row>
    <row r="3999" customFormat="false" ht="15" hidden="false" customHeight="false" outlineLevel="0" collapsed="false">
      <c r="A3999" s="0" t="e">
        <f aca="false">INDEX(LINEST(Data!K1:K2,Data!BF1:BG2,TRUE(),TRUE()),5,1)</f>
        <v>#VALUE!</v>
      </c>
      <c r="B3999" s="0" t="s">
        <v>4002</v>
      </c>
    </row>
    <row r="4000" customFormat="false" ht="15" hidden="false" customHeight="false" outlineLevel="0" collapsed="false">
      <c r="A4000" s="0" t="e">
        <f aca="false">INDEX(LINEST(Data!K1:K2,Data!BF1:BG2,TRUE(),TRUE()),5,2)</f>
        <v>#VALUE!</v>
      </c>
      <c r="B4000" s="0" t="s">
        <v>4003</v>
      </c>
    </row>
    <row r="4001" customFormat="false" ht="15" hidden="false" customHeight="false" outlineLevel="0" collapsed="false">
      <c r="A4001" s="0" t="e">
        <f aca="false">INDEX(LINEST(Data!K1:K2,Data!BF1:BG2,TRUE(),TRUE()),5,3)</f>
        <v>#VALUE!</v>
      </c>
      <c r="B4001" s="0" t="s">
        <v>4004</v>
      </c>
    </row>
    <row r="4002" customFormat="false" ht="15" hidden="false" customHeight="false" outlineLevel="0" collapsed="false">
      <c r="A4002" s="0" t="e">
        <f aca="false">ROWS(LINEST(Data!K1:K2,Data!BF1:BG2,TRUE(),TRUE()))</f>
        <v>#VALUE!</v>
      </c>
      <c r="B4002" s="0" t="s">
        <v>4005</v>
      </c>
    </row>
    <row r="4003" customFormat="false" ht="15" hidden="false" customHeight="false" outlineLevel="0" collapsed="false">
      <c r="A4003" s="0" t="e">
        <f aca="false">COLUMNS(LINEST(Data!K1:K2,Data!BF1:BG2,TRUE(),TRUE()))</f>
        <v>#VALUE!</v>
      </c>
      <c r="B4003" s="0" t="s">
        <v>4006</v>
      </c>
    </row>
    <row r="4004" customFormat="false" ht="15" hidden="false" customHeight="false" outlineLevel="0" collapsed="false">
      <c r="A4004" s="0" t="n">
        <f aca="false">INDEX(LINEST(Data!K1:K3,Data!BF1:BG3),1,1)</f>
        <v>1</v>
      </c>
      <c r="B4004" s="0" t="s">
        <v>4007</v>
      </c>
    </row>
    <row r="4005" customFormat="false" ht="15" hidden="false" customHeight="false" outlineLevel="0" collapsed="false">
      <c r="A4005" s="0" t="n">
        <f aca="false">INDEX(LINEST(Data!K1:K3,Data!BF1:BG3),1,2)</f>
        <v>0</v>
      </c>
      <c r="B4005" s="0" t="s">
        <v>4008</v>
      </c>
    </row>
    <row r="4006" customFormat="false" ht="15" hidden="false" customHeight="false" outlineLevel="0" collapsed="false">
      <c r="A4006" s="0" t="n">
        <f aca="false">INDEX(LINEST(Data!K1:K3,Data!BF1:BG3),1,3)</f>
        <v>-2</v>
      </c>
      <c r="B4006" s="0" t="s">
        <v>4009</v>
      </c>
    </row>
    <row r="4007" customFormat="false" ht="15" hidden="false" customHeight="false" outlineLevel="0" collapsed="false">
      <c r="A4007" s="0" t="n">
        <f aca="false">ROWS(LINEST(Data!K1:K3,Data!BF1:BG3))</f>
        <v>1</v>
      </c>
      <c r="B4007" s="0" t="s">
        <v>4010</v>
      </c>
    </row>
    <row r="4008" customFormat="false" ht="15" hidden="false" customHeight="false" outlineLevel="0" collapsed="false">
      <c r="A4008" s="0" t="n">
        <f aca="false">COLUMNS(LINEST(Data!K1:K3,Data!BF1:BG3))</f>
        <v>3</v>
      </c>
      <c r="B4008" s="0" t="s">
        <v>4011</v>
      </c>
    </row>
    <row r="4009" customFormat="false" ht="15" hidden="false" customHeight="false" outlineLevel="0" collapsed="false">
      <c r="A4009" s="0" t="n">
        <f aca="false">INDEX(LINEST(Data!K1:K2,Data!BF1:BG2,FALSE(),TRUE()),1,1)</f>
        <v>0.4</v>
      </c>
      <c r="B4009" s="0" t="s">
        <v>4012</v>
      </c>
    </row>
    <row r="4010" customFormat="false" ht="15" hidden="false" customHeight="false" outlineLevel="0" collapsed="false">
      <c r="A4010" s="0" t="n">
        <f aca="false">INDEX(LINEST(Data!K1:K2,Data!BF1:BG2,FALSE(),TRUE()),1,2)</f>
        <v>0.4</v>
      </c>
      <c r="B4010" s="0" t="s">
        <v>4013</v>
      </c>
    </row>
    <row r="4011" customFormat="false" ht="15" hidden="false" customHeight="false" outlineLevel="0" collapsed="false">
      <c r="A4011" s="0" t="n">
        <f aca="false">INDEX(LINEST(Data!K1:K2,Data!BF1:BG2,FALSE(),TRUE()),1,3)</f>
        <v>0</v>
      </c>
      <c r="B4011" s="0" t="s">
        <v>4014</v>
      </c>
    </row>
    <row r="4012" customFormat="false" ht="15" hidden="false" customHeight="false" outlineLevel="0" collapsed="false">
      <c r="A4012" s="0" t="n">
        <f aca="false">INDEX(LINEST(Data!K1:K2,Data!BF1:BG2,FALSE(),TRUE()),2,1)</f>
        <v>0</v>
      </c>
      <c r="B4012" s="0" t="s">
        <v>4015</v>
      </c>
    </row>
    <row r="4013" customFormat="false" ht="15" hidden="false" customHeight="false" outlineLevel="0" collapsed="false">
      <c r="A4013" s="0" t="n">
        <f aca="false">INDEX(LINEST(Data!K1:K2,Data!BF1:BG2,FALSE(),TRUE()),2,2)</f>
        <v>0</v>
      </c>
      <c r="B4013" s="0" t="s">
        <v>4016</v>
      </c>
    </row>
    <row r="4014" customFormat="false" ht="15" hidden="false" customHeight="false" outlineLevel="0" collapsed="false">
      <c r="A4014" s="0" t="e">
        <f aca="false">INDEX(LINEST(Data!K1:K2,Data!BF1:BG2,FALSE(),TRUE()),2,3)</f>
        <v>#N/A</v>
      </c>
      <c r="B4014" s="0" t="s">
        <v>4017</v>
      </c>
    </row>
    <row r="4015" customFormat="false" ht="15" hidden="false" customHeight="false" outlineLevel="0" collapsed="false">
      <c r="A4015" s="0" t="n">
        <f aca="false">INDEX(LINEST(Data!K1:K2,Data!BF1:BG2,FALSE(),TRUE()),3,1)</f>
        <v>1</v>
      </c>
      <c r="B4015" s="0" t="s">
        <v>4018</v>
      </c>
    </row>
    <row r="4016" customFormat="false" ht="15" hidden="false" customHeight="false" outlineLevel="0" collapsed="false">
      <c r="A4016" s="0" t="n">
        <f aca="false">INDEX(LINEST(Data!K1:K2,Data!BF1:BG2,FALSE(),TRUE()),3,2)</f>
        <v>0</v>
      </c>
      <c r="B4016" s="0" t="s">
        <v>4019</v>
      </c>
    </row>
    <row r="4017" customFormat="false" ht="15" hidden="false" customHeight="false" outlineLevel="0" collapsed="false">
      <c r="A4017" s="0" t="e">
        <f aca="false">INDEX(LINEST(Data!K1:K2,Data!BF1:BG2,FALSE(),TRUE()),3,3)</f>
        <v>#N/A</v>
      </c>
      <c r="B4017" s="0" t="s">
        <v>4020</v>
      </c>
    </row>
    <row r="4018" customFormat="false" ht="15" hidden="false" customHeight="false" outlineLevel="0" collapsed="false">
      <c r="A4018" s="0" t="e">
        <f aca="false">INDEX(LINEST(Data!K1:K2,Data!BF1:BG2,FALSE(),TRUE()),4,1)</f>
        <v>#N/A</v>
      </c>
      <c r="B4018" s="0" t="s">
        <v>4021</v>
      </c>
    </row>
    <row r="4019" customFormat="false" ht="15" hidden="false" customHeight="false" outlineLevel="0" collapsed="false">
      <c r="A4019" s="0" t="n">
        <f aca="false">INDEX(LINEST(Data!K1:K2,Data!BF1:BG2,FALSE(),TRUE()),4,2)</f>
        <v>0</v>
      </c>
      <c r="B4019" s="0" t="s">
        <v>4022</v>
      </c>
    </row>
    <row r="4020" customFormat="false" ht="15" hidden="false" customHeight="false" outlineLevel="0" collapsed="false">
      <c r="A4020" s="0" t="e">
        <f aca="false">INDEX(LINEST(Data!K1:K2,Data!BF1:BG2,FALSE(),TRUE()),4,3)</f>
        <v>#N/A</v>
      </c>
      <c r="B4020" s="0" t="s">
        <v>4023</v>
      </c>
    </row>
    <row r="4021" customFormat="false" ht="15" hidden="false" customHeight="false" outlineLevel="0" collapsed="false">
      <c r="A4021" s="0" t="n">
        <f aca="false">INDEX(LINEST(Data!K1:K2,Data!BF1:BG2,FALSE(),TRUE()),5,1)</f>
        <v>20</v>
      </c>
      <c r="B4021" s="0" t="s">
        <v>4024</v>
      </c>
    </row>
    <row r="4022" customFormat="false" ht="15" hidden="false" customHeight="false" outlineLevel="0" collapsed="false">
      <c r="A4022" s="0" t="n">
        <f aca="false">INDEX(LINEST(Data!K1:K2,Data!BF1:BG2,FALSE(),TRUE()),5,2)</f>
        <v>0</v>
      </c>
      <c r="B4022" s="0" t="s">
        <v>4025</v>
      </c>
    </row>
    <row r="4023" customFormat="false" ht="15" hidden="false" customHeight="false" outlineLevel="0" collapsed="false">
      <c r="A4023" s="0" t="e">
        <f aca="false">INDEX(LINEST(Data!K1:K2,Data!BF1:BG2,FALSE(),TRUE()),5,3)</f>
        <v>#N/A</v>
      </c>
      <c r="B4023" s="0" t="s">
        <v>4026</v>
      </c>
    </row>
    <row r="4024" customFormat="false" ht="15" hidden="false" customHeight="false" outlineLevel="0" collapsed="false">
      <c r="A4024" s="0" t="n">
        <f aca="false">ROWS(LINEST(Data!K1:K2,Data!BF1:BG2,FALSE(),TRUE()))</f>
        <v>5</v>
      </c>
      <c r="B4024" s="0" t="s">
        <v>4027</v>
      </c>
    </row>
    <row r="4025" customFormat="false" ht="15" hidden="false" customHeight="false" outlineLevel="0" collapsed="false">
      <c r="A4025" s="0" t="n">
        <f aca="false">COLUMNS(LINEST(Data!K1:K2,Data!BF1:BG2,FALSE(),TRUE()))</f>
        <v>3</v>
      </c>
      <c r="B4025" s="0" t="s">
        <v>4028</v>
      </c>
    </row>
    <row r="4026" customFormat="false" ht="15" hidden="false" customHeight="false" outlineLevel="0" collapsed="false">
      <c r="A4026" s="0" t="n">
        <f aca="false">INDEX(LINEST({0;1;2;3},{1;2;3;4},TRUE(),TRUE()),1,1)</f>
        <v>1</v>
      </c>
      <c r="B4026" s="0" t="s">
        <v>4029</v>
      </c>
    </row>
    <row r="4027" customFormat="false" ht="15" hidden="false" customHeight="false" outlineLevel="0" collapsed="false">
      <c r="A4027" s="0" t="n">
        <f aca="false">INDEX(LINEST({0;1;2;3},{1;2;3;4},TRUE(),TRUE()),1,2)</f>
        <v>-1</v>
      </c>
      <c r="B4027" s="0" t="s">
        <v>4030</v>
      </c>
    </row>
    <row r="4028" customFormat="false" ht="15" hidden="false" customHeight="false" outlineLevel="0" collapsed="false">
      <c r="A4028" s="0" t="n">
        <f aca="false">INDEX(LINEST({0;1;2;3},{1;2;3;4},TRUE(),TRUE()),2,1)</f>
        <v>0</v>
      </c>
      <c r="B4028" s="0" t="s">
        <v>4031</v>
      </c>
    </row>
    <row r="4029" customFormat="false" ht="15" hidden="false" customHeight="false" outlineLevel="0" collapsed="false">
      <c r="A4029" s="0" t="n">
        <f aca="false">INDEX(LINEST({0;1;2;3},{1;2;3;4},TRUE(),TRUE()),2,2)</f>
        <v>0</v>
      </c>
      <c r="B4029" s="0" t="s">
        <v>4032</v>
      </c>
    </row>
    <row r="4030" customFormat="false" ht="15" hidden="false" customHeight="false" outlineLevel="0" collapsed="false">
      <c r="A4030" s="0" t="n">
        <f aca="false">INDEX(LINEST({0;1;2;3},{1;2;3;4},TRUE(),TRUE()),3,1)</f>
        <v>1</v>
      </c>
      <c r="B4030" s="0" t="s">
        <v>4033</v>
      </c>
    </row>
    <row r="4031" customFormat="false" ht="15" hidden="false" customHeight="false" outlineLevel="0" collapsed="false">
      <c r="A4031" s="0" t="n">
        <f aca="false">INDEX(LINEST({0;1;2;3},{1;2;3;4},TRUE(),TRUE()),3,2)</f>
        <v>0</v>
      </c>
      <c r="B4031" s="0" t="s">
        <v>4034</v>
      </c>
    </row>
    <row r="4032" customFormat="false" ht="15" hidden="false" customHeight="false" outlineLevel="0" collapsed="false">
      <c r="A4032" s="0" t="e">
        <f aca="false">INDEX(LINEST({0;1;2;3},{1;2;3;4},TRUE(),TRUE()),4,1)</f>
        <v>#N/A</v>
      </c>
      <c r="B4032" s="0" t="s">
        <v>4035</v>
      </c>
    </row>
    <row r="4033" customFormat="false" ht="15" hidden="false" customHeight="false" outlineLevel="0" collapsed="false">
      <c r="A4033" s="0" t="n">
        <f aca="false">INDEX(LINEST({0;1;2;3},{1;2;3;4},TRUE(),TRUE()),4,2)</f>
        <v>2</v>
      </c>
      <c r="B4033" s="0" t="s">
        <v>4036</v>
      </c>
    </row>
    <row r="4034" customFormat="false" ht="15" hidden="false" customHeight="false" outlineLevel="0" collapsed="false">
      <c r="A4034" s="0" t="n">
        <f aca="false">INDEX(LINEST({0;1;2;3},{1;2;3;4},TRUE(),TRUE()),5,1)</f>
        <v>5</v>
      </c>
      <c r="B4034" s="0" t="s">
        <v>4037</v>
      </c>
    </row>
    <row r="4035" customFormat="false" ht="15" hidden="false" customHeight="false" outlineLevel="0" collapsed="false">
      <c r="A4035" s="0" t="n">
        <f aca="false">INDEX(LINEST({0;1;2;3},{1;2;3;4},TRUE(),TRUE()),5,2)</f>
        <v>0</v>
      </c>
      <c r="B4035" s="0" t="s">
        <v>4038</v>
      </c>
    </row>
    <row r="4036" customFormat="false" ht="15" hidden="false" customHeight="false" outlineLevel="0" collapsed="false">
      <c r="A4036" s="0" t="n">
        <f aca="false">ROWS(LINEST({0;1;2;3},{1;2;3;4},TRUE(),TRUE()))</f>
        <v>5</v>
      </c>
      <c r="B4036" s="0" t="s">
        <v>4039</v>
      </c>
    </row>
    <row r="4037" customFormat="false" ht="15" hidden="false" customHeight="false" outlineLevel="0" collapsed="false">
      <c r="A4037" s="0" t="n">
        <f aca="false">COLUMNS(LINEST({0;1;2;3},{1;2;3;4},TRUE(),TRUE()))</f>
        <v>2</v>
      </c>
      <c r="B4037" s="0" t="s">
        <v>4040</v>
      </c>
    </row>
    <row r="4038" customFormat="false" ht="15" hidden="false" customHeight="false" outlineLevel="0" collapsed="false">
      <c r="A4038" s="0" t="n">
        <f aca="false">INDEX(LINEST({1;2;3},{1;2;3},TRUE(),TRUE()),1,1)</f>
        <v>1</v>
      </c>
      <c r="B4038" s="0" t="s">
        <v>4041</v>
      </c>
    </row>
    <row r="4039" customFormat="false" ht="15" hidden="false" customHeight="false" outlineLevel="0" collapsed="false">
      <c r="A4039" s="0" t="n">
        <f aca="false">INDEX(LINEST({1;2;3},{1;2;3},TRUE(),TRUE()),1,2)</f>
        <v>0</v>
      </c>
      <c r="B4039" s="0" t="s">
        <v>4042</v>
      </c>
    </row>
    <row r="4040" customFormat="false" ht="15" hidden="false" customHeight="false" outlineLevel="0" collapsed="false">
      <c r="A4040" s="0" t="n">
        <f aca="false">INDEX(LINEST({1;2;3},{1;2;3},TRUE(),TRUE()),2,1)</f>
        <v>0</v>
      </c>
      <c r="B4040" s="0" t="s">
        <v>4043</v>
      </c>
    </row>
    <row r="4041" customFormat="false" ht="15" hidden="false" customHeight="false" outlineLevel="0" collapsed="false">
      <c r="A4041" s="0" t="n">
        <f aca="false">INDEX(LINEST({1;2;3},{1;2;3},TRUE(),TRUE()),2,2)</f>
        <v>0</v>
      </c>
      <c r="B4041" s="0" t="s">
        <v>4044</v>
      </c>
    </row>
    <row r="4042" customFormat="false" ht="15" hidden="false" customHeight="false" outlineLevel="0" collapsed="false">
      <c r="A4042" s="0" t="n">
        <f aca="false">INDEX(LINEST({1;2;3},{1;2;3},TRUE(),TRUE()),3,1)</f>
        <v>1</v>
      </c>
      <c r="B4042" s="0" t="s">
        <v>4045</v>
      </c>
    </row>
    <row r="4043" customFormat="false" ht="15" hidden="false" customHeight="false" outlineLevel="0" collapsed="false">
      <c r="A4043" s="0" t="n">
        <f aca="false">INDEX(LINEST({1;2;3},{1;2;3},TRUE(),TRUE()),3,2)</f>
        <v>0</v>
      </c>
      <c r="B4043" s="0" t="s">
        <v>4046</v>
      </c>
    </row>
    <row r="4044" customFormat="false" ht="15" hidden="false" customHeight="false" outlineLevel="0" collapsed="false">
      <c r="A4044" s="0" t="e">
        <f aca="false">INDEX(LINEST({1;2;3},{1;2;3},TRUE(),TRUE()),4,1)</f>
        <v>#N/A</v>
      </c>
      <c r="B4044" s="0" t="s">
        <v>4047</v>
      </c>
    </row>
    <row r="4045" customFormat="false" ht="15" hidden="false" customHeight="false" outlineLevel="0" collapsed="false">
      <c r="A4045" s="0" t="n">
        <f aca="false">INDEX(LINEST({1;2;3},{1;2;3},TRUE(),TRUE()),4,2)</f>
        <v>1</v>
      </c>
      <c r="B4045" s="0" t="s">
        <v>4048</v>
      </c>
    </row>
    <row r="4046" customFormat="false" ht="15" hidden="false" customHeight="false" outlineLevel="0" collapsed="false">
      <c r="A4046" s="0" t="n">
        <f aca="false">INDEX(LINEST({1;2;3},{1;2;3},TRUE(),TRUE()),5,1)</f>
        <v>2</v>
      </c>
      <c r="B4046" s="0" t="s">
        <v>4049</v>
      </c>
    </row>
    <row r="4047" customFormat="false" ht="15" hidden="false" customHeight="false" outlineLevel="0" collapsed="false">
      <c r="A4047" s="0" t="n">
        <f aca="false">INDEX(LINEST({1;2;3},{1;2;3},TRUE(),TRUE()),5,2)</f>
        <v>0</v>
      </c>
      <c r="B4047" s="0" t="s">
        <v>4050</v>
      </c>
    </row>
    <row r="4048" customFormat="false" ht="15" hidden="false" customHeight="false" outlineLevel="0" collapsed="false">
      <c r="A4048" s="0" t="n">
        <f aca="false">ROWS(LINEST({1;2;3},{1;2;3},TRUE(),TRUE()))</f>
        <v>5</v>
      </c>
      <c r="B4048" s="0" t="s">
        <v>4051</v>
      </c>
    </row>
    <row r="4049" customFormat="false" ht="15" hidden="false" customHeight="false" outlineLevel="0" collapsed="false">
      <c r="A4049" s="0" t="n">
        <f aca="false">COLUMNS(LINEST({1;2;3},{1;2;3},TRUE(),TRUE()))</f>
        <v>2</v>
      </c>
      <c r="B4049" s="0" t="s">
        <v>4052</v>
      </c>
    </row>
    <row r="4050" customFormat="false" ht="15" hidden="false" customHeight="false" outlineLevel="0" collapsed="false">
      <c r="A4050" s="0" t="e">
        <f aca="false">INDEX(LINEST(Data!K1:K8,TRANSPOSE(Data!A1:A8),TRUE(),TRUE()),1,1)</f>
        <v>#VALUE!</v>
      </c>
      <c r="B4050" s="0" t="s">
        <v>4053</v>
      </c>
    </row>
    <row r="4051" customFormat="false" ht="15" hidden="false" customHeight="false" outlineLevel="0" collapsed="false">
      <c r="A4051" s="0" t="e">
        <f aca="false">INDEX(LINEST(Data!K1:K8,TRANSPOSE(Data!A1:A8),TRUE(),TRUE()),1,2)</f>
        <v>#VALUE!</v>
      </c>
      <c r="B4051" s="0" t="s">
        <v>4054</v>
      </c>
    </row>
    <row r="4052" customFormat="false" ht="15" hidden="false" customHeight="false" outlineLevel="0" collapsed="false">
      <c r="A4052" s="0" t="e">
        <f aca="false">INDEX(LINEST(Data!K1:K8,TRANSPOSE(Data!A1:A8),TRUE(),TRUE()),2,1)</f>
        <v>#VALUE!</v>
      </c>
      <c r="B4052" s="0" t="s">
        <v>4055</v>
      </c>
    </row>
    <row r="4053" customFormat="false" ht="15" hidden="false" customHeight="false" outlineLevel="0" collapsed="false">
      <c r="A4053" s="0" t="e">
        <f aca="false">INDEX(LINEST(Data!K1:K8,TRANSPOSE(Data!A1:A8),TRUE(),TRUE()),2,2)</f>
        <v>#VALUE!</v>
      </c>
      <c r="B4053" s="0" t="s">
        <v>4056</v>
      </c>
    </row>
    <row r="4054" customFormat="false" ht="15" hidden="false" customHeight="false" outlineLevel="0" collapsed="false">
      <c r="A4054" s="0" t="e">
        <f aca="false">INDEX(LINEST(Data!K1:K8,TRANSPOSE(Data!A1:A8),TRUE(),TRUE()),3,1)</f>
        <v>#VALUE!</v>
      </c>
      <c r="B4054" s="0" t="s">
        <v>4057</v>
      </c>
    </row>
    <row r="4055" customFormat="false" ht="15" hidden="false" customHeight="false" outlineLevel="0" collapsed="false">
      <c r="A4055" s="0" t="e">
        <f aca="false">INDEX(LINEST(Data!K1:K8,TRANSPOSE(Data!A1:A8),TRUE(),TRUE()),3,2)</f>
        <v>#VALUE!</v>
      </c>
      <c r="B4055" s="0" t="s">
        <v>4058</v>
      </c>
    </row>
    <row r="4056" customFormat="false" ht="15" hidden="false" customHeight="false" outlineLevel="0" collapsed="false">
      <c r="A4056" s="0" t="e">
        <f aca="false">INDEX(LINEST(Data!K1:K8,TRANSPOSE(Data!A1:A8),TRUE(),TRUE()),4,1)</f>
        <v>#VALUE!</v>
      </c>
      <c r="B4056" s="0" t="s">
        <v>4059</v>
      </c>
    </row>
    <row r="4057" customFormat="false" ht="15" hidden="false" customHeight="false" outlineLevel="0" collapsed="false">
      <c r="A4057" s="0" t="e">
        <f aca="false">INDEX(LINEST(Data!K1:K8,TRANSPOSE(Data!A1:A8),TRUE(),TRUE()),4,2)</f>
        <v>#VALUE!</v>
      </c>
      <c r="B4057" s="0" t="s">
        <v>4060</v>
      </c>
    </row>
    <row r="4058" customFormat="false" ht="15" hidden="false" customHeight="false" outlineLevel="0" collapsed="false">
      <c r="A4058" s="0" t="e">
        <f aca="false">INDEX(LINEST(Data!K1:K8,TRANSPOSE(Data!A1:A8),TRUE(),TRUE()),5,1)</f>
        <v>#VALUE!</v>
      </c>
      <c r="B4058" s="0" t="s">
        <v>4061</v>
      </c>
    </row>
    <row r="4059" customFormat="false" ht="15" hidden="false" customHeight="false" outlineLevel="0" collapsed="false">
      <c r="A4059" s="0" t="e">
        <f aca="false">INDEX(LINEST(Data!K1:K8,TRANSPOSE(Data!A1:A8),TRUE(),TRUE()),5,2)</f>
        <v>#VALUE!</v>
      </c>
      <c r="B4059" s="0" t="s">
        <v>4062</v>
      </c>
    </row>
    <row r="4060" customFormat="false" ht="15" hidden="false" customHeight="false" outlineLevel="0" collapsed="false">
      <c r="A4060" s="0" t="e">
        <f aca="false">ROWS(LINEST(Data!K1:K8,TRANSPOSE(Data!A1:A8),TRUE(),TRUE()))</f>
        <v>#VALUE!</v>
      </c>
      <c r="B4060" s="0" t="s">
        <v>4063</v>
      </c>
    </row>
    <row r="4061" customFormat="false" ht="15" hidden="false" customHeight="false" outlineLevel="0" collapsed="false">
      <c r="A4061" s="0" t="e">
        <f aca="false">COLUMNS(LINEST(Data!K1:K8,TRANSPOSE(Data!A1:A8),TRUE(),TRUE()))</f>
        <v>#VALUE!</v>
      </c>
      <c r="B4061" s="0" t="s">
        <v>4064</v>
      </c>
    </row>
    <row r="4062" customFormat="false" ht="15" hidden="false" customHeight="false" outlineLevel="0" collapsed="false">
      <c r="A4062" s="0" t="e">
        <f aca="false">INDEX(LINEST(TRANSPOSE(Data!K1:K8),Data!A1:A8,TRUE(),TRUE()),1,1)</f>
        <v>#VALUE!</v>
      </c>
      <c r="B4062" s="0" t="s">
        <v>4065</v>
      </c>
    </row>
    <row r="4063" customFormat="false" ht="15" hidden="false" customHeight="false" outlineLevel="0" collapsed="false">
      <c r="A4063" s="0" t="e">
        <f aca="false">INDEX(LINEST(TRANSPOSE(Data!K1:K8),Data!A1:A8,TRUE(),TRUE()),1,2)</f>
        <v>#VALUE!</v>
      </c>
      <c r="B4063" s="0" t="s">
        <v>4066</v>
      </c>
    </row>
    <row r="4064" customFormat="false" ht="15" hidden="false" customHeight="false" outlineLevel="0" collapsed="false">
      <c r="A4064" s="0" t="e">
        <f aca="false">INDEX(LINEST(TRANSPOSE(Data!K1:K8),Data!A1:A8,TRUE(),TRUE()),2,1)</f>
        <v>#VALUE!</v>
      </c>
      <c r="B4064" s="0" t="s">
        <v>4067</v>
      </c>
    </row>
    <row r="4065" customFormat="false" ht="15" hidden="false" customHeight="false" outlineLevel="0" collapsed="false">
      <c r="A4065" s="0" t="e">
        <f aca="false">INDEX(LINEST(TRANSPOSE(Data!K1:K8),Data!A1:A8,TRUE(),TRUE()),2,2)</f>
        <v>#VALUE!</v>
      </c>
      <c r="B4065" s="0" t="s">
        <v>4068</v>
      </c>
    </row>
    <row r="4066" customFormat="false" ht="15" hidden="false" customHeight="false" outlineLevel="0" collapsed="false">
      <c r="A4066" s="0" t="e">
        <f aca="false">INDEX(LINEST(TRANSPOSE(Data!K1:K8),Data!A1:A8,TRUE(),TRUE()),3,1)</f>
        <v>#VALUE!</v>
      </c>
      <c r="B4066" s="0" t="s">
        <v>4069</v>
      </c>
    </row>
    <row r="4067" customFormat="false" ht="15" hidden="false" customHeight="false" outlineLevel="0" collapsed="false">
      <c r="A4067" s="0" t="e">
        <f aca="false">INDEX(LINEST(TRANSPOSE(Data!K1:K8),Data!A1:A8,TRUE(),TRUE()),3,2)</f>
        <v>#VALUE!</v>
      </c>
      <c r="B4067" s="0" t="s">
        <v>4070</v>
      </c>
    </row>
    <row r="4068" customFormat="false" ht="15" hidden="false" customHeight="false" outlineLevel="0" collapsed="false">
      <c r="A4068" s="0" t="e">
        <f aca="false">INDEX(LINEST(TRANSPOSE(Data!K1:K8),Data!A1:A8,TRUE(),TRUE()),4,1)</f>
        <v>#VALUE!</v>
      </c>
      <c r="B4068" s="0" t="s">
        <v>4071</v>
      </c>
    </row>
    <row r="4069" customFormat="false" ht="15" hidden="false" customHeight="false" outlineLevel="0" collapsed="false">
      <c r="A4069" s="0" t="e">
        <f aca="false">INDEX(LINEST(TRANSPOSE(Data!K1:K8),Data!A1:A8,TRUE(),TRUE()),4,2)</f>
        <v>#VALUE!</v>
      </c>
      <c r="B4069" s="0" t="s">
        <v>4072</v>
      </c>
    </row>
    <row r="4070" customFormat="false" ht="15" hidden="false" customHeight="false" outlineLevel="0" collapsed="false">
      <c r="A4070" s="0" t="e">
        <f aca="false">INDEX(LINEST(TRANSPOSE(Data!K1:K8),Data!A1:A8,TRUE(),TRUE()),5,1)</f>
        <v>#VALUE!</v>
      </c>
      <c r="B4070" s="0" t="s">
        <v>4073</v>
      </c>
    </row>
    <row r="4071" customFormat="false" ht="15" hidden="false" customHeight="false" outlineLevel="0" collapsed="false">
      <c r="A4071" s="0" t="e">
        <f aca="false">INDEX(LINEST(TRANSPOSE(Data!K1:K8),Data!A1:A8,TRUE(),TRUE()),5,2)</f>
        <v>#VALUE!</v>
      </c>
      <c r="B4071" s="0" t="s">
        <v>4074</v>
      </c>
    </row>
    <row r="4072" customFormat="false" ht="15" hidden="false" customHeight="false" outlineLevel="0" collapsed="false">
      <c r="A4072" s="0" t="e">
        <f aca="false">ROWS(LINEST(TRANSPOSE(Data!K1:K8),Data!A1:A8,TRUE(),TRUE()))</f>
        <v>#VALUE!</v>
      </c>
      <c r="B4072" s="0" t="s">
        <v>4075</v>
      </c>
    </row>
    <row r="4073" customFormat="false" ht="15" hidden="false" customHeight="false" outlineLevel="0" collapsed="false">
      <c r="A4073" s="0" t="e">
        <f aca="false">COLUMNS(LINEST(TRANSPOSE(Data!K1:K8),Data!A1:A8,TRUE(),TRUE()))</f>
        <v>#VALUE!</v>
      </c>
      <c r="B4073" s="0" t="s">
        <v>4076</v>
      </c>
    </row>
    <row r="4074" customFormat="false" ht="15" hidden="false" customHeight="false" outlineLevel="0" collapsed="false">
      <c r="A4074" s="0" t="n">
        <f aca="false">INDEX(LINEST(TRANSPOSE(Data!K1:K8),TRANSPOSE(Data!BF1:BG8),TRUE(),TRUE()),1,1)</f>
        <v>-0.304305283757339</v>
      </c>
      <c r="B4074" s="0" t="s">
        <v>4077</v>
      </c>
    </row>
    <row r="4075" customFormat="false" ht="15" hidden="false" customHeight="false" outlineLevel="0" collapsed="false">
      <c r="A4075" s="0" t="n">
        <f aca="false">INDEX(LINEST(TRANSPOSE(Data!K1:K8),TRANSPOSE(Data!BF1:BG8),TRUE(),TRUE()),1,2)</f>
        <v>0.666340508806262</v>
      </c>
      <c r="B4075" s="0" t="s">
        <v>4078</v>
      </c>
    </row>
    <row r="4076" customFormat="false" ht="15" hidden="false" customHeight="false" outlineLevel="0" collapsed="false">
      <c r="A4076" s="0" t="n">
        <f aca="false">INDEX(LINEST(TRANSPOSE(Data!K1:K8),TRANSPOSE(Data!BF1:BG8),TRUE(),TRUE()),1,3)</f>
        <v>3.74951076320939</v>
      </c>
      <c r="B4076" s="0" t="s">
        <v>4079</v>
      </c>
    </row>
    <row r="4077" customFormat="false" ht="15" hidden="false" customHeight="false" outlineLevel="0" collapsed="false">
      <c r="A4077" s="0" t="n">
        <f aca="false">INDEX(LINEST(TRANSPOSE(Data!K1:K8),TRANSPOSE(Data!BF1:BG8),TRUE(),TRUE()),2,1)</f>
        <v>0.260616213345717</v>
      </c>
      <c r="B4077" s="0" t="s">
        <v>4080</v>
      </c>
    </row>
    <row r="4078" customFormat="false" ht="15" hidden="false" customHeight="false" outlineLevel="0" collapsed="false">
      <c r="A4078" s="0" t="n">
        <f aca="false">INDEX(LINEST(TRANSPOSE(Data!K1:K8),TRANSPOSE(Data!BF1:BG8),TRUE(),TRUE()),2,2)</f>
        <v>0.221032395696779</v>
      </c>
      <c r="B4078" s="0" t="s">
        <v>4081</v>
      </c>
    </row>
    <row r="4079" customFormat="false" ht="15" hidden="false" customHeight="false" outlineLevel="0" collapsed="false">
      <c r="A4079" s="0" t="n">
        <f aca="false">INDEX(LINEST(TRANSPOSE(Data!K1:K8),TRANSPOSE(Data!BF1:BG8),TRUE(),TRUE()),2,3)</f>
        <v>1.64248803211323</v>
      </c>
      <c r="B4079" s="0" t="s">
        <v>4082</v>
      </c>
    </row>
    <row r="4080" customFormat="false" ht="15" hidden="false" customHeight="false" outlineLevel="0" collapsed="false">
      <c r="A4080" s="0" t="n">
        <f aca="false">INDEX(LINEST(TRANSPOSE(Data!K1:K8),TRANSPOSE(Data!BF1:BG8),TRUE(),TRUE()),3,1)</f>
        <v>0.679524152847873</v>
      </c>
      <c r="B4080" s="0" t="s">
        <v>4083</v>
      </c>
    </row>
    <row r="4081" customFormat="false" ht="15" hidden="false" customHeight="false" outlineLevel="0" collapsed="false">
      <c r="A4081" s="0" t="n">
        <f aca="false">INDEX(LINEST(TRANSPOSE(Data!K1:K8),TRANSPOSE(Data!BF1:BG8),TRUE(),TRUE()),3,2)</f>
        <v>1.56064616052331</v>
      </c>
      <c r="B4081" s="0" t="s">
        <v>4084</v>
      </c>
    </row>
    <row r="4082" customFormat="false" ht="15" hidden="false" customHeight="false" outlineLevel="0" collapsed="false">
      <c r="A4082" s="0" t="e">
        <f aca="false">INDEX(LINEST(TRANSPOSE(Data!K1:K8),TRANSPOSE(Data!BF1:BG8),TRUE(),TRUE()),3,3)</f>
        <v>#N/A</v>
      </c>
      <c r="B4082" s="0" t="s">
        <v>4085</v>
      </c>
    </row>
    <row r="4083" customFormat="false" ht="15" hidden="false" customHeight="false" outlineLevel="0" collapsed="false">
      <c r="A4083" s="0" t="n">
        <f aca="false">INDEX(LINEST(TRANSPOSE(Data!K1:K8),TRANSPOSE(Data!BF1:BG8),TRUE(),TRUE()),4,1)</f>
        <v>5.30089988751406</v>
      </c>
      <c r="B4083" s="0" t="s">
        <v>4086</v>
      </c>
    </row>
    <row r="4084" customFormat="false" ht="15" hidden="false" customHeight="false" outlineLevel="0" collapsed="false">
      <c r="A4084" s="0" t="n">
        <f aca="false">INDEX(LINEST(TRANSPOSE(Data!K1:K8),TRANSPOSE(Data!BF1:BG8),TRUE(),TRUE()),4,2)</f>
        <v>5</v>
      </c>
      <c r="B4084" s="0" t="s">
        <v>4087</v>
      </c>
    </row>
    <row r="4085" customFormat="false" ht="15" hidden="false" customHeight="false" outlineLevel="0" collapsed="false">
      <c r="A4085" s="0" t="e">
        <f aca="false">INDEX(LINEST(TRANSPOSE(Data!K1:K8),TRANSPOSE(Data!BF1:BG8),TRUE(),TRUE()),4,3)</f>
        <v>#N/A</v>
      </c>
      <c r="B4085" s="0" t="s">
        <v>4088</v>
      </c>
    </row>
    <row r="4086" customFormat="false" ht="15" hidden="false" customHeight="false" outlineLevel="0" collapsed="false">
      <c r="A4086" s="0" t="n">
        <f aca="false">INDEX(LINEST(TRANSPOSE(Data!K1:K8),TRANSPOSE(Data!BF1:BG8),TRUE(),TRUE()),5,1)</f>
        <v>25.8219178082192</v>
      </c>
      <c r="B4086" s="0" t="s">
        <v>4089</v>
      </c>
    </row>
    <row r="4087" customFormat="false" ht="15" hidden="false" customHeight="false" outlineLevel="0" collapsed="false">
      <c r="A4087" s="0" t="n">
        <f aca="false">INDEX(LINEST(TRANSPOSE(Data!K1:K8),TRANSPOSE(Data!BF1:BG8),TRUE(),TRUE()),5,2)</f>
        <v>12.1780821917808</v>
      </c>
      <c r="B4087" s="0" t="s">
        <v>4090</v>
      </c>
    </row>
    <row r="4088" customFormat="false" ht="15" hidden="false" customHeight="false" outlineLevel="0" collapsed="false">
      <c r="A4088" s="0" t="e">
        <f aca="false">INDEX(LINEST(TRANSPOSE(Data!K1:K8),TRANSPOSE(Data!BF1:BG8),TRUE(),TRUE()),5,3)</f>
        <v>#N/A</v>
      </c>
      <c r="B4088" s="0" t="s">
        <v>4091</v>
      </c>
    </row>
    <row r="4089" customFormat="false" ht="15" hidden="false" customHeight="false" outlineLevel="0" collapsed="false">
      <c r="A4089" s="0" t="n">
        <f aca="false">ROWS(LINEST(TRANSPOSE(Data!K1:K8),TRANSPOSE(Data!BF1:BG8),TRUE(),TRUE()))</f>
        <v>5</v>
      </c>
      <c r="B4089" s="0" t="s">
        <v>4092</v>
      </c>
    </row>
    <row r="4090" customFormat="false" ht="15" hidden="false" customHeight="false" outlineLevel="0" collapsed="false">
      <c r="A4090" s="0" t="n">
        <f aca="false">COLUMNS(LINEST(TRANSPOSE(Data!K1:K8),TRANSPOSE(Data!BF1:BG8),TRUE(),TRUE()))</f>
        <v>3</v>
      </c>
      <c r="B4090" s="0" t="s">
        <v>4093</v>
      </c>
    </row>
    <row r="4091" customFormat="false" ht="15" hidden="false" customHeight="false" outlineLevel="0" collapsed="false">
      <c r="A4091" s="0" t="n">
        <f aca="false">INDEX(LINEST(TRANSPOSE(Data!K1:K8),TRANSPOSE(Data!BF1:BG8),FALSE()),1,1)</f>
        <v>0.116355376072691</v>
      </c>
      <c r="B4091" s="0" t="s">
        <v>4094</v>
      </c>
    </row>
    <row r="4092" customFormat="false" ht="15" hidden="false" customHeight="false" outlineLevel="0" collapsed="false">
      <c r="A4092" s="0" t="n">
        <f aca="false">INDEX(LINEST(TRANSPOSE(Data!K1:K8),TRANSPOSE(Data!BF1:BG8),FALSE()),1,2)</f>
        <v>0.987632508833922</v>
      </c>
      <c r="B4092" s="0" t="s">
        <v>4095</v>
      </c>
    </row>
    <row r="4093" customFormat="false" ht="15" hidden="false" customHeight="false" outlineLevel="0" collapsed="false">
      <c r="A4093" s="0" t="n">
        <f aca="false">INDEX(LINEST(TRANSPOSE(Data!K1:K8),TRANSPOSE(Data!BF1:BG8),FALSE()),1,3)</f>
        <v>0</v>
      </c>
      <c r="B4093" s="0" t="s">
        <v>4096</v>
      </c>
    </row>
    <row r="4094" customFormat="false" ht="15" hidden="false" customHeight="false" outlineLevel="0" collapsed="false">
      <c r="A4094" s="0" t="n">
        <f aca="false">ROWS(LINEST(TRANSPOSE(Data!K1:K8),TRANSPOSE(Data!BF1:BG8),FALSE()))</f>
        <v>1</v>
      </c>
      <c r="B4094" s="0" t="s">
        <v>4097</v>
      </c>
    </row>
    <row r="4095" customFormat="false" ht="15" hidden="false" customHeight="false" outlineLevel="0" collapsed="false">
      <c r="A4095" s="0" t="n">
        <f aca="false">COLUMNS(LINEST(TRANSPOSE(Data!K1:K8),TRANSPOSE(Data!BF1:BG8),FALSE()))</f>
        <v>3</v>
      </c>
      <c r="B4095" s="0" t="s">
        <v>4098</v>
      </c>
    </row>
    <row r="4096" customFormat="false" ht="15" hidden="false" customHeight="false" outlineLevel="0" collapsed="false">
      <c r="A4096" s="0" t="n">
        <f aca="false">INDEX(LINEST(TRANSPOSE(Data!K1:K8)),1,1)</f>
        <v>0.904761904761905</v>
      </c>
      <c r="B4096" s="0" t="s">
        <v>4099</v>
      </c>
    </row>
    <row r="4097" customFormat="false" ht="15" hidden="false" customHeight="false" outlineLevel="0" collapsed="false">
      <c r="A4097" s="0" t="n">
        <f aca="false">INDEX(LINEST(TRANSPOSE(Data!K1:K8)),1,2)</f>
        <v>1.42857142857143</v>
      </c>
      <c r="B4097" s="0" t="s">
        <v>4100</v>
      </c>
    </row>
    <row r="4098" customFormat="false" ht="15" hidden="false" customHeight="false" outlineLevel="0" collapsed="false">
      <c r="A4098" s="0" t="n">
        <f aca="false">ROWS(LINEST(TRANSPOSE(Data!K1:K8)))</f>
        <v>1</v>
      </c>
      <c r="B4098" s="0" t="s">
        <v>4101</v>
      </c>
    </row>
    <row r="4099" customFormat="false" ht="15" hidden="false" customHeight="false" outlineLevel="0" collapsed="false">
      <c r="A4099" s="0" t="n">
        <f aca="false">COLUMNS(LINEST(TRANSPOSE(Data!K1:K8)))</f>
        <v>2</v>
      </c>
      <c r="B4099" s="0" t="s">
        <v>4102</v>
      </c>
    </row>
    <row r="4100" customFormat="false" ht="15" hidden="false" customHeight="false" outlineLevel="0" collapsed="false">
      <c r="A4100" s="0" t="n">
        <f aca="false">INDEX(LINEST(Data!K1:K8,Data!A1:A8,TRUE(),2),1,1)</f>
        <v>0.0424628450106157</v>
      </c>
      <c r="B4100" s="0" t="s">
        <v>4103</v>
      </c>
    </row>
    <row r="4101" customFormat="false" ht="15" hidden="false" customHeight="false" outlineLevel="0" collapsed="false">
      <c r="A4101" s="0" t="n">
        <f aca="false">INDEX(LINEST(Data!K1:K8,Data!A1:A8,TRUE(),2),1,2)</f>
        <v>5.29299363057325</v>
      </c>
      <c r="B4101" s="0" t="s">
        <v>4104</v>
      </c>
    </row>
    <row r="4102" customFormat="false" ht="15" hidden="false" customHeight="false" outlineLevel="0" collapsed="false">
      <c r="A4102" s="0" t="n">
        <f aca="false">INDEX(LINEST(Data!K1:K8,Data!A1:A8,TRUE(),2),2,1)</f>
        <v>0.327524083326953</v>
      </c>
      <c r="B4102" s="0" t="s">
        <v>4105</v>
      </c>
    </row>
    <row r="4103" customFormat="false" ht="15" hidden="false" customHeight="false" outlineLevel="0" collapsed="false">
      <c r="A4103" s="0" t="n">
        <f aca="false">INDEX(LINEST(Data!K1:K8,Data!A1:A8,TRUE(),2),2,2)</f>
        <v>1.8272497867229</v>
      </c>
      <c r="B4103" s="0" t="s">
        <v>4106</v>
      </c>
    </row>
    <row r="4104" customFormat="false" ht="15" hidden="false" customHeight="false" outlineLevel="0" collapsed="false">
      <c r="A4104" s="0" t="n">
        <f aca="false">INDEX(LINEST(Data!K1:K8,Data!A1:A8,TRUE(),2),3,1)</f>
        <v>0.00279360822438261</v>
      </c>
      <c r="B4104" s="0" t="s">
        <v>4107</v>
      </c>
    </row>
    <row r="4105" customFormat="false" ht="15" hidden="false" customHeight="false" outlineLevel="0" collapsed="false">
      <c r="A4105" s="0" t="n">
        <f aca="false">INDEX(LINEST(Data!K1:K8,Data!A1:A8,TRUE(),2),3,2)</f>
        <v>2.51309380669437</v>
      </c>
      <c r="B4105" s="0" t="s">
        <v>4108</v>
      </c>
    </row>
    <row r="4106" customFormat="false" ht="15" hidden="false" customHeight="false" outlineLevel="0" collapsed="false">
      <c r="A4106" s="0" t="n">
        <f aca="false">INDEX(LINEST(Data!K1:K8,Data!A1:A8,TRUE(),2),4,1)</f>
        <v>0.0168086060062752</v>
      </c>
      <c r="B4106" s="0" t="s">
        <v>4109</v>
      </c>
    </row>
    <row r="4107" customFormat="false" ht="15" hidden="false" customHeight="false" outlineLevel="0" collapsed="false">
      <c r="A4107" s="0" t="n">
        <f aca="false">INDEX(LINEST(Data!K1:K8,Data!A1:A8,TRUE(),2),4,2)</f>
        <v>6</v>
      </c>
      <c r="B4107" s="0" t="s">
        <v>4110</v>
      </c>
    </row>
    <row r="4108" customFormat="false" ht="15" hidden="false" customHeight="false" outlineLevel="0" collapsed="false">
      <c r="A4108" s="0" t="n">
        <f aca="false">INDEX(LINEST(Data!K1:K8,Data!A1:A8,TRUE(),2),5,1)</f>
        <v>0.106157112526539</v>
      </c>
      <c r="B4108" s="0" t="s">
        <v>4111</v>
      </c>
    </row>
    <row r="4109" customFormat="false" ht="15" hidden="false" customHeight="false" outlineLevel="0" collapsed="false">
      <c r="A4109" s="0" t="n">
        <f aca="false">INDEX(LINEST(Data!K1:K8,Data!A1:A8,TRUE(),2),5,2)</f>
        <v>37.8938428874735</v>
      </c>
      <c r="B4109" s="0" t="s">
        <v>4112</v>
      </c>
    </row>
    <row r="4110" customFormat="false" ht="15" hidden="false" customHeight="false" outlineLevel="0" collapsed="false">
      <c r="A4110" s="0" t="n">
        <f aca="false">ROWS(LINEST(Data!K1:K8,Data!A1:A8,TRUE(),2))</f>
        <v>5</v>
      </c>
      <c r="B4110" s="0" t="s">
        <v>4113</v>
      </c>
    </row>
    <row r="4111" customFormat="false" ht="15" hidden="false" customHeight="false" outlineLevel="0" collapsed="false">
      <c r="A4111" s="0" t="n">
        <f aca="false">COLUMNS(LINEST(Data!K1:K8,Data!A1:A8,TRUE(),2))</f>
        <v>2</v>
      </c>
      <c r="B4111" s="0" t="s">
        <v>4114</v>
      </c>
    </row>
    <row r="4112" customFormat="false" ht="15" hidden="false" customHeight="false" outlineLevel="0" collapsed="false">
      <c r="A4112" s="0" t="n">
        <f aca="false">INDEX(LINEST(Data!K1:K8,Data!A1:A8,2,TRUE()),1,1)</f>
        <v>0.0424628450106157</v>
      </c>
      <c r="B4112" s="0" t="s">
        <v>4115</v>
      </c>
    </row>
    <row r="4113" customFormat="false" ht="15" hidden="false" customHeight="false" outlineLevel="0" collapsed="false">
      <c r="A4113" s="0" t="n">
        <f aca="false">INDEX(LINEST(Data!K1:K8,Data!A1:A8,2,TRUE()),1,2)</f>
        <v>5.29299363057325</v>
      </c>
      <c r="B4113" s="0" t="s">
        <v>4116</v>
      </c>
    </row>
    <row r="4114" customFormat="false" ht="15" hidden="false" customHeight="false" outlineLevel="0" collapsed="false">
      <c r="A4114" s="0" t="n">
        <f aca="false">INDEX(LINEST(Data!K1:K8,Data!A1:A8,2,TRUE()),2,1)</f>
        <v>0.327524083326953</v>
      </c>
      <c r="B4114" s="0" t="s">
        <v>4117</v>
      </c>
    </row>
    <row r="4115" customFormat="false" ht="15" hidden="false" customHeight="false" outlineLevel="0" collapsed="false">
      <c r="A4115" s="0" t="n">
        <f aca="false">INDEX(LINEST(Data!K1:K8,Data!A1:A8,2,TRUE()),2,2)</f>
        <v>1.8272497867229</v>
      </c>
      <c r="B4115" s="0" t="s">
        <v>4118</v>
      </c>
    </row>
    <row r="4116" customFormat="false" ht="15" hidden="false" customHeight="false" outlineLevel="0" collapsed="false">
      <c r="A4116" s="0" t="n">
        <f aca="false">INDEX(LINEST(Data!K1:K8,Data!A1:A8,2,TRUE()),3,1)</f>
        <v>0.00279360822438261</v>
      </c>
      <c r="B4116" s="0" t="s">
        <v>4119</v>
      </c>
    </row>
    <row r="4117" customFormat="false" ht="15" hidden="false" customHeight="false" outlineLevel="0" collapsed="false">
      <c r="A4117" s="0" t="n">
        <f aca="false">INDEX(LINEST(Data!K1:K8,Data!A1:A8,2,TRUE()),3,2)</f>
        <v>2.51309380669437</v>
      </c>
      <c r="B4117" s="0" t="s">
        <v>4120</v>
      </c>
    </row>
    <row r="4118" customFormat="false" ht="15" hidden="false" customHeight="false" outlineLevel="0" collapsed="false">
      <c r="A4118" s="0" t="n">
        <f aca="false">INDEX(LINEST(Data!K1:K8,Data!A1:A8,2,TRUE()),4,1)</f>
        <v>0.0168086060062752</v>
      </c>
      <c r="B4118" s="0" t="s">
        <v>4121</v>
      </c>
    </row>
    <row r="4119" customFormat="false" ht="15" hidden="false" customHeight="false" outlineLevel="0" collapsed="false">
      <c r="A4119" s="0" t="n">
        <f aca="false">INDEX(LINEST(Data!K1:K8,Data!A1:A8,2,TRUE()),4,2)</f>
        <v>6</v>
      </c>
      <c r="B4119" s="0" t="s">
        <v>4122</v>
      </c>
    </row>
    <row r="4120" customFormat="false" ht="15" hidden="false" customHeight="false" outlineLevel="0" collapsed="false">
      <c r="A4120" s="0" t="n">
        <f aca="false">INDEX(LINEST(Data!K1:K8,Data!A1:A8,2,TRUE()),5,1)</f>
        <v>0.106157112526539</v>
      </c>
      <c r="B4120" s="0" t="s">
        <v>4123</v>
      </c>
    </row>
    <row r="4121" customFormat="false" ht="15" hidden="false" customHeight="false" outlineLevel="0" collapsed="false">
      <c r="A4121" s="0" t="n">
        <f aca="false">INDEX(LINEST(Data!K1:K8,Data!A1:A8,2,TRUE()),5,2)</f>
        <v>37.8938428874735</v>
      </c>
      <c r="B4121" s="0" t="s">
        <v>4124</v>
      </c>
    </row>
    <row r="4122" customFormat="false" ht="15" hidden="false" customHeight="false" outlineLevel="0" collapsed="false">
      <c r="A4122" s="0" t="n">
        <f aca="false">ROWS(LINEST(Data!K1:K8,Data!A1:A8,2,TRUE()))</f>
        <v>5</v>
      </c>
      <c r="B4122" s="0" t="s">
        <v>4125</v>
      </c>
    </row>
    <row r="4123" customFormat="false" ht="15" hidden="false" customHeight="false" outlineLevel="0" collapsed="false">
      <c r="A4123" s="0" t="n">
        <f aca="false">COLUMNS(LINEST(Data!K1:K8,Data!A1:A8,2,TRUE()))</f>
        <v>2</v>
      </c>
      <c r="B4123" s="0" t="s">
        <v>4126</v>
      </c>
    </row>
    <row r="4124" customFormat="false" ht="15" hidden="false" customHeight="false" outlineLevel="0" collapsed="false">
      <c r="A4124" s="0" t="n">
        <f aca="false">INDEX(LINEST(Data!K1:K8,Data!A1:A8,-1,-1),1,1)</f>
        <v>0.0424628450106157</v>
      </c>
      <c r="B4124" s="0" t="s">
        <v>4127</v>
      </c>
    </row>
    <row r="4125" customFormat="false" ht="15" hidden="false" customHeight="false" outlineLevel="0" collapsed="false">
      <c r="A4125" s="0" t="n">
        <f aca="false">INDEX(LINEST(Data!K1:K8,Data!A1:A8,-1,-1),1,2)</f>
        <v>5.29299363057325</v>
      </c>
      <c r="B4125" s="0" t="s">
        <v>4128</v>
      </c>
    </row>
    <row r="4126" customFormat="false" ht="15" hidden="false" customHeight="false" outlineLevel="0" collapsed="false">
      <c r="A4126" s="0" t="n">
        <f aca="false">INDEX(LINEST(Data!K1:K8,Data!A1:A8,-1,-1),2,1)</f>
        <v>0.327524083326953</v>
      </c>
      <c r="B4126" s="0" t="s">
        <v>4129</v>
      </c>
    </row>
    <row r="4127" customFormat="false" ht="15" hidden="false" customHeight="false" outlineLevel="0" collapsed="false">
      <c r="A4127" s="0" t="n">
        <f aca="false">INDEX(LINEST(Data!K1:K8,Data!A1:A8,-1,-1),2,2)</f>
        <v>1.8272497867229</v>
      </c>
      <c r="B4127" s="0" t="s">
        <v>4130</v>
      </c>
    </row>
    <row r="4128" customFormat="false" ht="15" hidden="false" customHeight="false" outlineLevel="0" collapsed="false">
      <c r="A4128" s="0" t="n">
        <f aca="false">INDEX(LINEST(Data!K1:K8,Data!A1:A8,-1,-1),3,1)</f>
        <v>0.00279360822438261</v>
      </c>
      <c r="B4128" s="0" t="s">
        <v>4131</v>
      </c>
    </row>
    <row r="4129" customFormat="false" ht="15" hidden="false" customHeight="false" outlineLevel="0" collapsed="false">
      <c r="A4129" s="0" t="n">
        <f aca="false">INDEX(LINEST(Data!K1:K8,Data!A1:A8,-1,-1),3,2)</f>
        <v>2.51309380669437</v>
      </c>
      <c r="B4129" s="0" t="s">
        <v>4132</v>
      </c>
    </row>
    <row r="4130" customFormat="false" ht="15" hidden="false" customHeight="false" outlineLevel="0" collapsed="false">
      <c r="A4130" s="0" t="n">
        <f aca="false">INDEX(LINEST(Data!K1:K8,Data!A1:A8,-1,-1),4,1)</f>
        <v>0.0168086060062752</v>
      </c>
      <c r="B4130" s="0" t="s">
        <v>4133</v>
      </c>
    </row>
    <row r="4131" customFormat="false" ht="15" hidden="false" customHeight="false" outlineLevel="0" collapsed="false">
      <c r="A4131" s="0" t="n">
        <f aca="false">INDEX(LINEST(Data!K1:K8,Data!A1:A8,-1,-1),4,2)</f>
        <v>6</v>
      </c>
      <c r="B4131" s="0" t="s">
        <v>4134</v>
      </c>
    </row>
    <row r="4132" customFormat="false" ht="15" hidden="false" customHeight="false" outlineLevel="0" collapsed="false">
      <c r="A4132" s="0" t="n">
        <f aca="false">INDEX(LINEST(Data!K1:K8,Data!A1:A8,-1,-1),5,1)</f>
        <v>0.106157112526539</v>
      </c>
      <c r="B4132" s="0" t="s">
        <v>4135</v>
      </c>
    </row>
    <row r="4133" customFormat="false" ht="15" hidden="false" customHeight="false" outlineLevel="0" collapsed="false">
      <c r="A4133" s="0" t="n">
        <f aca="false">INDEX(LINEST(Data!K1:K8,Data!A1:A8,-1,-1),5,2)</f>
        <v>37.8938428874735</v>
      </c>
      <c r="B4133" s="0" t="s">
        <v>4136</v>
      </c>
    </row>
    <row r="4134" customFormat="false" ht="15" hidden="false" customHeight="false" outlineLevel="0" collapsed="false">
      <c r="A4134" s="0" t="n">
        <f aca="false">ROWS(LINEST(Data!K1:K8,Data!A1:A8,-1,-1))</f>
        <v>5</v>
      </c>
      <c r="B4134" s="0" t="s">
        <v>4137</v>
      </c>
    </row>
    <row r="4135" customFormat="false" ht="15" hidden="false" customHeight="false" outlineLevel="0" collapsed="false">
      <c r="A4135" s="0" t="n">
        <f aca="false">COLUMNS(LINEST(Data!K1:K8,Data!A1:A8,-1,-1))</f>
        <v>2</v>
      </c>
      <c r="B4135" s="0" t="s">
        <v>4138</v>
      </c>
    </row>
    <row r="4136" customFormat="false" ht="15" hidden="false" customHeight="false" outlineLevel="0" collapsed="false">
      <c r="A4136" s="0" t="n">
        <f aca="false">INDEX(LINEST(Data!K1:K8,Data!A1:A8,,TRUE()),1,1)</f>
        <v>0.0424628450106157</v>
      </c>
      <c r="B4136" s="0" t="s">
        <v>4139</v>
      </c>
    </row>
    <row r="4137" customFormat="false" ht="15" hidden="false" customHeight="false" outlineLevel="0" collapsed="false">
      <c r="A4137" s="0" t="n">
        <f aca="false">INDEX(LINEST(Data!K1:K8,Data!A1:A8,,TRUE()),1,2)</f>
        <v>5.29299363057325</v>
      </c>
      <c r="B4137" s="0" t="s">
        <v>4140</v>
      </c>
    </row>
    <row r="4138" customFormat="false" ht="15" hidden="false" customHeight="false" outlineLevel="0" collapsed="false">
      <c r="A4138" s="0" t="n">
        <f aca="false">INDEX(LINEST(Data!K1:K8,Data!A1:A8,,TRUE()),2,1)</f>
        <v>0.327524083326953</v>
      </c>
      <c r="B4138" s="0" t="s">
        <v>4141</v>
      </c>
    </row>
    <row r="4139" customFormat="false" ht="15" hidden="false" customHeight="false" outlineLevel="0" collapsed="false">
      <c r="A4139" s="0" t="n">
        <f aca="false">INDEX(LINEST(Data!K1:K8,Data!A1:A8,,TRUE()),2,2)</f>
        <v>1.8272497867229</v>
      </c>
      <c r="B4139" s="0" t="s">
        <v>4142</v>
      </c>
    </row>
    <row r="4140" customFormat="false" ht="15" hidden="false" customHeight="false" outlineLevel="0" collapsed="false">
      <c r="A4140" s="0" t="n">
        <f aca="false">INDEX(LINEST(Data!K1:K8,Data!A1:A8,,TRUE()),3,1)</f>
        <v>0.00279360822438261</v>
      </c>
      <c r="B4140" s="0" t="s">
        <v>4143</v>
      </c>
    </row>
    <row r="4141" customFormat="false" ht="15" hidden="false" customHeight="false" outlineLevel="0" collapsed="false">
      <c r="A4141" s="0" t="n">
        <f aca="false">INDEX(LINEST(Data!K1:K8,Data!A1:A8,,TRUE()),3,2)</f>
        <v>2.51309380669437</v>
      </c>
      <c r="B4141" s="0" t="s">
        <v>4144</v>
      </c>
    </row>
    <row r="4142" customFormat="false" ht="15" hidden="false" customHeight="false" outlineLevel="0" collapsed="false">
      <c r="A4142" s="0" t="n">
        <f aca="false">INDEX(LINEST(Data!K1:K8,Data!A1:A8,,TRUE()),4,1)</f>
        <v>0.0168086060062752</v>
      </c>
      <c r="B4142" s="0" t="s">
        <v>4145</v>
      </c>
    </row>
    <row r="4143" customFormat="false" ht="15" hidden="false" customHeight="false" outlineLevel="0" collapsed="false">
      <c r="A4143" s="0" t="n">
        <f aca="false">INDEX(LINEST(Data!K1:K8,Data!A1:A8,,TRUE()),4,2)</f>
        <v>6</v>
      </c>
      <c r="B4143" s="0" t="s">
        <v>4146</v>
      </c>
    </row>
    <row r="4144" customFormat="false" ht="15" hidden="false" customHeight="false" outlineLevel="0" collapsed="false">
      <c r="A4144" s="0" t="n">
        <f aca="false">INDEX(LINEST(Data!K1:K8,Data!A1:A8,,TRUE()),5,1)</f>
        <v>0.106157112526539</v>
      </c>
      <c r="B4144" s="0" t="s">
        <v>4147</v>
      </c>
    </row>
    <row r="4145" customFormat="false" ht="15" hidden="false" customHeight="false" outlineLevel="0" collapsed="false">
      <c r="A4145" s="0" t="n">
        <f aca="false">INDEX(LINEST(Data!K1:K8,Data!A1:A8,,TRUE()),5,2)</f>
        <v>37.8938428874735</v>
      </c>
      <c r="B4145" s="0" t="s">
        <v>4148</v>
      </c>
    </row>
    <row r="4146" customFormat="false" ht="15" hidden="false" customHeight="false" outlineLevel="0" collapsed="false">
      <c r="A4146" s="0" t="n">
        <f aca="false">ROWS(LINEST(Data!K1:K8,Data!A1:A8,,TRUE()))</f>
        <v>5</v>
      </c>
      <c r="B4146" s="0" t="s">
        <v>4149</v>
      </c>
    </row>
    <row r="4147" customFormat="false" ht="15" hidden="false" customHeight="false" outlineLevel="0" collapsed="false">
      <c r="A4147" s="0" t="n">
        <f aca="false">COLUMNS(LINEST(Data!K1:K8,Data!A1:A8,,TRUE()))</f>
        <v>2</v>
      </c>
      <c r="B4147" s="0" t="s">
        <v>4150</v>
      </c>
    </row>
    <row r="4148" customFormat="false" ht="15" hidden="false" customHeight="false" outlineLevel="0" collapsed="false">
      <c r="A4148" s="0" t="n">
        <f aca="false">INDEX(LINEST(Data!K1:K8,Data!A1:A8,TRUE(),),1,1)</f>
        <v>0.0424628450106157</v>
      </c>
      <c r="B4148" s="0" t="s">
        <v>4151</v>
      </c>
    </row>
    <row r="4149" customFormat="false" ht="15" hidden="false" customHeight="false" outlineLevel="0" collapsed="false">
      <c r="A4149" s="0" t="n">
        <f aca="false">INDEX(LINEST(Data!K1:K8,Data!A1:A8,TRUE(),),1,2)</f>
        <v>5.29299363057325</v>
      </c>
      <c r="B4149" s="0" t="s">
        <v>4152</v>
      </c>
    </row>
    <row r="4150" customFormat="false" ht="15" hidden="false" customHeight="false" outlineLevel="0" collapsed="false">
      <c r="A4150" s="0" t="n">
        <f aca="false">ROWS(LINEST(Data!K1:K8,Data!A1:A8,TRUE(),))</f>
        <v>1</v>
      </c>
      <c r="B4150" s="0" t="s">
        <v>4153</v>
      </c>
    </row>
    <row r="4151" customFormat="false" ht="15" hidden="false" customHeight="false" outlineLevel="0" collapsed="false">
      <c r="A4151" s="0" t="n">
        <f aca="false">COLUMNS(LINEST(Data!K1:K8,Data!A1:A8,TRUE(),))</f>
        <v>2</v>
      </c>
      <c r="B4151" s="0" t="s">
        <v>4154</v>
      </c>
    </row>
    <row r="4152" customFormat="false" ht="15" hidden="false" customHeight="false" outlineLevel="0" collapsed="false">
      <c r="A4152" s="0" t="e">
        <f aca="false">INDEX(LINEST(Data!K1:K8,Data!A1:A8,TRUE(),TRUE(),1),1,1)</f>
        <v>#VALUE!</v>
      </c>
      <c r="B4152" s="0" t="s">
        <v>4155</v>
      </c>
    </row>
    <row r="4153" customFormat="false" ht="15" hidden="false" customHeight="false" outlineLevel="0" collapsed="false">
      <c r="A4153" s="0" t="e">
        <f aca="false">INDEX(LINEST(Data!K1:K8,Data!A1:A8,TRUE(),TRUE(),1),1,2)</f>
        <v>#VALUE!</v>
      </c>
      <c r="B4153" s="0" t="s">
        <v>4156</v>
      </c>
    </row>
    <row r="4154" customFormat="false" ht="15" hidden="false" customHeight="false" outlineLevel="0" collapsed="false">
      <c r="A4154" s="0" t="e">
        <f aca="false">INDEX(LINEST(Data!K1:K8,Data!A1:A8,TRUE(),TRUE(),1),2,1)</f>
        <v>#VALUE!</v>
      </c>
      <c r="B4154" s="0" t="s">
        <v>4157</v>
      </c>
    </row>
    <row r="4155" customFormat="false" ht="15" hidden="false" customHeight="false" outlineLevel="0" collapsed="false">
      <c r="A4155" s="0" t="e">
        <f aca="false">INDEX(LINEST(Data!K1:K8,Data!A1:A8,TRUE(),TRUE(),1),2,2)</f>
        <v>#VALUE!</v>
      </c>
      <c r="B4155" s="0" t="s">
        <v>4158</v>
      </c>
    </row>
    <row r="4156" customFormat="false" ht="15" hidden="false" customHeight="false" outlineLevel="0" collapsed="false">
      <c r="A4156" s="0" t="e">
        <f aca="false">INDEX(LINEST(Data!K1:K8,Data!A1:A8,TRUE(),TRUE(),1),3,1)</f>
        <v>#VALUE!</v>
      </c>
      <c r="B4156" s="0" t="s">
        <v>4159</v>
      </c>
    </row>
    <row r="4157" customFormat="false" ht="15" hidden="false" customHeight="false" outlineLevel="0" collapsed="false">
      <c r="A4157" s="0" t="e">
        <f aca="false">INDEX(LINEST(Data!K1:K8,Data!A1:A8,TRUE(),TRUE(),1),3,2)</f>
        <v>#VALUE!</v>
      </c>
      <c r="B4157" s="0" t="s">
        <v>4160</v>
      </c>
    </row>
    <row r="4158" customFormat="false" ht="15" hidden="false" customHeight="false" outlineLevel="0" collapsed="false">
      <c r="A4158" s="0" t="e">
        <f aca="false">INDEX(LINEST(Data!K1:K8,Data!A1:A8,TRUE(),TRUE(),1),4,1)</f>
        <v>#VALUE!</v>
      </c>
      <c r="B4158" s="0" t="s">
        <v>4161</v>
      </c>
    </row>
    <row r="4159" customFormat="false" ht="15" hidden="false" customHeight="false" outlineLevel="0" collapsed="false">
      <c r="A4159" s="0" t="e">
        <f aca="false">INDEX(LINEST(Data!K1:K8,Data!A1:A8,TRUE(),TRUE(),1),4,2)</f>
        <v>#VALUE!</v>
      </c>
      <c r="B4159" s="0" t="s">
        <v>4162</v>
      </c>
    </row>
    <row r="4160" customFormat="false" ht="15" hidden="false" customHeight="false" outlineLevel="0" collapsed="false">
      <c r="A4160" s="0" t="e">
        <f aca="false">INDEX(LINEST(Data!K1:K8,Data!A1:A8,TRUE(),TRUE(),1),5,1)</f>
        <v>#VALUE!</v>
      </c>
      <c r="B4160" s="0" t="s">
        <v>4163</v>
      </c>
    </row>
    <row r="4161" customFormat="false" ht="15" hidden="false" customHeight="false" outlineLevel="0" collapsed="false">
      <c r="A4161" s="0" t="e">
        <f aca="false">INDEX(LINEST(Data!K1:K8,Data!A1:A8,TRUE(),TRUE(),1),5,2)</f>
        <v>#VALUE!</v>
      </c>
      <c r="B4161" s="0" t="s">
        <v>4164</v>
      </c>
    </row>
    <row r="4162" customFormat="false" ht="15" hidden="false" customHeight="false" outlineLevel="0" collapsed="false">
      <c r="A4162" s="0" t="e">
        <f aca="false">ROWS(LINEST(Data!K1:K8,Data!A1:A8,TRUE(),TRUE(),1))</f>
        <v>#VALUE!</v>
      </c>
      <c r="B4162" s="0" t="s">
        <v>4165</v>
      </c>
    </row>
    <row r="4163" customFormat="false" ht="15" hidden="false" customHeight="false" outlineLevel="0" collapsed="false">
      <c r="A4163" s="0" t="e">
        <f aca="false">COLUMNS(LINEST(Data!K1:K8,Data!A1:A8,TRUE(),TRUE(),1))</f>
        <v>#VALUE!</v>
      </c>
      <c r="B4163" s="0" t="s">
        <v>4166</v>
      </c>
    </row>
    <row r="4164" customFormat="false" ht="15" hidden="false" customHeight="false" outlineLevel="0" collapsed="false">
      <c r="A4164" s="0" t="n">
        <f aca="false">INDEX(LINEST(Data!K1:K8,Data!A1:A8,Data!D1,TRUE()),1,1)</f>
        <v>0.8714859437751</v>
      </c>
      <c r="B4164" s="0" t="s">
        <v>4167</v>
      </c>
    </row>
    <row r="4165" customFormat="false" ht="15" hidden="false" customHeight="false" outlineLevel="0" collapsed="false">
      <c r="A4165" s="0" t="n">
        <f aca="false">INDEX(LINEST(Data!K1:K8,Data!A1:A8,Data!D1,TRUE()),1,2)</f>
        <v>0</v>
      </c>
      <c r="B4165" s="0" t="s">
        <v>4168</v>
      </c>
    </row>
    <row r="4166" customFormat="false" ht="15" hidden="false" customHeight="false" outlineLevel="0" collapsed="false">
      <c r="A4166" s="0" t="n">
        <f aca="false">INDEX(LINEST(Data!K1:K8,Data!A1:A8,Data!D1,TRUE()),2,1)</f>
        <v>0.228351308848667</v>
      </c>
      <c r="B4166" s="0" t="s">
        <v>4169</v>
      </c>
    </row>
    <row r="4167" customFormat="false" ht="15" hidden="false" customHeight="false" outlineLevel="0" collapsed="false">
      <c r="A4167" s="0" t="e">
        <f aca="false">INDEX(LINEST(Data!K1:K8,Data!A1:A8,Data!D1,TRUE()),2,2)</f>
        <v>#N/A</v>
      </c>
      <c r="B4167" s="0" t="s">
        <v>4170</v>
      </c>
    </row>
    <row r="4168" customFormat="false" ht="15" hidden="false" customHeight="false" outlineLevel="0" collapsed="false">
      <c r="A4168" s="0" t="n">
        <f aca="false">INDEX(LINEST(Data!K1:K8,Data!A1:A8,Data!D1,TRUE()),3,1)</f>
        <v>0.675401606425703</v>
      </c>
      <c r="B4168" s="0" t="s">
        <v>4171</v>
      </c>
    </row>
    <row r="4169" customFormat="false" ht="15" hidden="false" customHeight="false" outlineLevel="0" collapsed="false">
      <c r="A4169" s="0" t="n">
        <f aca="false">INDEX(LINEST(Data!K1:K8,Data!A1:A8,Data!D1,TRUE()),3,2)</f>
        <v>3.60332287520448</v>
      </c>
      <c r="B4169" s="0" t="s">
        <v>4172</v>
      </c>
    </row>
    <row r="4170" customFormat="false" ht="15" hidden="false" customHeight="false" outlineLevel="0" collapsed="false">
      <c r="A4170" s="0" t="n">
        <f aca="false">INDEX(LINEST(Data!K1:K8,Data!A1:A8,Data!D1,TRUE()),4,1)</f>
        <v>14.5651098051346</v>
      </c>
      <c r="B4170" s="0" t="s">
        <v>4173</v>
      </c>
    </row>
    <row r="4171" customFormat="false" ht="15" hidden="false" customHeight="false" outlineLevel="0" collapsed="false">
      <c r="A4171" s="0" t="n">
        <f aca="false">INDEX(LINEST(Data!K1:K8,Data!A1:A8,Data!D1,TRUE()),4,2)</f>
        <v>7</v>
      </c>
      <c r="B4171" s="0" t="s">
        <v>4174</v>
      </c>
    </row>
    <row r="4172" customFormat="false" ht="15" hidden="false" customHeight="false" outlineLevel="0" collapsed="false">
      <c r="A4172" s="0" t="n">
        <f aca="false">INDEX(LINEST(Data!K1:K8,Data!A1:A8,Data!D1,TRUE()),5,1)</f>
        <v>189.112449799197</v>
      </c>
      <c r="B4172" s="0" t="s">
        <v>4175</v>
      </c>
    </row>
    <row r="4173" customFormat="false" ht="15" hidden="false" customHeight="false" outlineLevel="0" collapsed="false">
      <c r="A4173" s="0" t="n">
        <f aca="false">INDEX(LINEST(Data!K1:K8,Data!A1:A8,Data!D1,TRUE()),5,2)</f>
        <v>90.8875502008032</v>
      </c>
      <c r="B4173" s="0" t="s">
        <v>4176</v>
      </c>
    </row>
    <row r="4174" customFormat="false" ht="15" hidden="false" customHeight="false" outlineLevel="0" collapsed="false">
      <c r="A4174" s="0" t="n">
        <f aca="false">ROWS(LINEST(Data!K1:K8,Data!A1:A8,Data!D1,TRUE()))</f>
        <v>5</v>
      </c>
      <c r="B4174" s="0" t="s">
        <v>4177</v>
      </c>
    </row>
    <row r="4175" customFormat="false" ht="15" hidden="false" customHeight="false" outlineLevel="0" collapsed="false">
      <c r="A4175" s="0" t="n">
        <f aca="false">COLUMNS(LINEST(Data!K1:K8,Data!A1:A8,Data!D1,TRUE()))</f>
        <v>2</v>
      </c>
      <c r="B4175" s="0" t="s">
        <v>4178</v>
      </c>
    </row>
    <row r="4176" customFormat="false" ht="15" hidden="false" customHeight="false" outlineLevel="0" collapsed="false">
      <c r="A4176" s="0" t="n">
        <f aca="false">INDEX(LINEST(Data!K1:K8,Data!A1:A8,TRUE(),Data!D1),1,1)</f>
        <v>0.0424628450106157</v>
      </c>
      <c r="B4176" s="0" t="s">
        <v>4179</v>
      </c>
    </row>
    <row r="4177" customFormat="false" ht="15" hidden="false" customHeight="false" outlineLevel="0" collapsed="false">
      <c r="A4177" s="0" t="n">
        <f aca="false">INDEX(LINEST(Data!K1:K8,Data!A1:A8,TRUE(),Data!D1),1,2)</f>
        <v>5.29299363057325</v>
      </c>
      <c r="B4177" s="0" t="s">
        <v>4180</v>
      </c>
    </row>
    <row r="4178" customFormat="false" ht="15" hidden="false" customHeight="false" outlineLevel="0" collapsed="false">
      <c r="A4178" s="0" t="e">
        <f aca="false">INDEX(LINEST(Data!K1:K8,Data!A1:A8,TRUE(),Data!D1),2,1)</f>
        <v>#REF!</v>
      </c>
      <c r="B4178" s="0" t="s">
        <v>4181</v>
      </c>
    </row>
    <row r="4179" customFormat="false" ht="15" hidden="false" customHeight="false" outlineLevel="0" collapsed="false">
      <c r="A4179" s="0" t="e">
        <f aca="false">INDEX(LINEST(Data!K1:K8,Data!A1:A8,TRUE(),Data!D1),2,2)</f>
        <v>#REF!</v>
      </c>
      <c r="B4179" s="0" t="s">
        <v>4182</v>
      </c>
    </row>
    <row r="4180" customFormat="false" ht="15" hidden="false" customHeight="false" outlineLevel="0" collapsed="false">
      <c r="A4180" s="0" t="e">
        <f aca="false">INDEX(LINEST(Data!K1:K8,Data!A1:A8,TRUE(),Data!D1),3,1)</f>
        <v>#REF!</v>
      </c>
      <c r="B4180" s="0" t="s">
        <v>4183</v>
      </c>
    </row>
    <row r="4181" customFormat="false" ht="15" hidden="false" customHeight="false" outlineLevel="0" collapsed="false">
      <c r="A4181" s="0" t="e">
        <f aca="false">INDEX(LINEST(Data!K1:K8,Data!A1:A8,TRUE(),Data!D1),3,2)</f>
        <v>#REF!</v>
      </c>
      <c r="B4181" s="0" t="s">
        <v>4184</v>
      </c>
    </row>
    <row r="4182" customFormat="false" ht="15" hidden="false" customHeight="false" outlineLevel="0" collapsed="false">
      <c r="A4182" s="0" t="e">
        <f aca="false">INDEX(LINEST(Data!K1:K8,Data!A1:A8,TRUE(),Data!D1),4,1)</f>
        <v>#REF!</v>
      </c>
      <c r="B4182" s="0" t="s">
        <v>4185</v>
      </c>
    </row>
    <row r="4183" customFormat="false" ht="15" hidden="false" customHeight="false" outlineLevel="0" collapsed="false">
      <c r="A4183" s="0" t="e">
        <f aca="false">INDEX(LINEST(Data!K1:K8,Data!A1:A8,TRUE(),Data!D1),4,2)</f>
        <v>#REF!</v>
      </c>
      <c r="B4183" s="0" t="s">
        <v>4186</v>
      </c>
    </row>
    <row r="4184" customFormat="false" ht="15" hidden="false" customHeight="false" outlineLevel="0" collapsed="false">
      <c r="A4184" s="0" t="e">
        <f aca="false">INDEX(LINEST(Data!K1:K8,Data!A1:A8,TRUE(),Data!D1),5,1)</f>
        <v>#REF!</v>
      </c>
      <c r="B4184" s="0" t="s">
        <v>4187</v>
      </c>
    </row>
    <row r="4185" customFormat="false" ht="15" hidden="false" customHeight="false" outlineLevel="0" collapsed="false">
      <c r="A4185" s="0" t="e">
        <f aca="false">INDEX(LINEST(Data!K1:K8,Data!A1:A8,TRUE(),Data!D1),5,2)</f>
        <v>#REF!</v>
      </c>
      <c r="B4185" s="0" t="s">
        <v>4188</v>
      </c>
    </row>
    <row r="4186" customFormat="false" ht="15" hidden="false" customHeight="false" outlineLevel="0" collapsed="false">
      <c r="A4186" s="0" t="n">
        <f aca="false">ROWS(LINEST(Data!K1:K8,Data!A1:A8,TRUE(),Data!D1))</f>
        <v>1</v>
      </c>
      <c r="B4186" s="0" t="s">
        <v>4189</v>
      </c>
    </row>
    <row r="4187" customFormat="false" ht="15" hidden="false" customHeight="false" outlineLevel="0" collapsed="false">
      <c r="A4187" s="0" t="n">
        <f aca="false">COLUMNS(LINEST(Data!K1:K8,Data!A1:A8,TRUE(),Data!D1))</f>
        <v>2</v>
      </c>
      <c r="B4187" s="0" t="s">
        <v>4190</v>
      </c>
    </row>
    <row r="4188" customFormat="false" ht="15" hidden="false" customHeight="false" outlineLevel="0" collapsed="false">
      <c r="A4188" s="0" t="n">
        <f aca="false">INDEX(LINEST(Data!K1:K8,Data!BF1:BG8,FALSE()),1,1)</f>
        <v>0.116355376072691</v>
      </c>
      <c r="B4188" s="0" t="s">
        <v>4191</v>
      </c>
    </row>
    <row r="4189" customFormat="false" ht="15" hidden="false" customHeight="false" outlineLevel="0" collapsed="false">
      <c r="A4189" s="0" t="n">
        <f aca="false">INDEX(LINEST(Data!K1:K8,Data!BF1:BG8,FALSE()),1,2)</f>
        <v>0.987632508833922</v>
      </c>
      <c r="B4189" s="0" t="s">
        <v>4192</v>
      </c>
    </row>
    <row r="4190" customFormat="false" ht="15" hidden="false" customHeight="false" outlineLevel="0" collapsed="false">
      <c r="A4190" s="0" t="n">
        <f aca="false">INDEX(LINEST(Data!K1:K8,Data!BF1:BG8,FALSE()),1,3)</f>
        <v>0</v>
      </c>
      <c r="B4190" s="0" t="s">
        <v>4193</v>
      </c>
    </row>
    <row r="4191" customFormat="false" ht="15" hidden="false" customHeight="false" outlineLevel="0" collapsed="false">
      <c r="A4191" s="0" t="n">
        <f aca="false">ROWS(LINEST(Data!K1:K8,Data!BF1:BG8,FALSE()))</f>
        <v>1</v>
      </c>
      <c r="B4191" s="0" t="s">
        <v>4194</v>
      </c>
    </row>
    <row r="4192" customFormat="false" ht="15" hidden="false" customHeight="false" outlineLevel="0" collapsed="false">
      <c r="A4192" s="0" t="n">
        <f aca="false">COLUMNS(LINEST(Data!K1:K8,Data!BF1:BG8,FALSE()))</f>
        <v>3</v>
      </c>
      <c r="B4192" s="0" t="s">
        <v>4195</v>
      </c>
    </row>
    <row r="4193" customFormat="false" ht="15" hidden="false" customHeight="false" outlineLevel="0" collapsed="false">
      <c r="A4193" s="0" t="n">
        <f aca="false">INDEX(LINEST(Data!K1:K8,Data!BF1:BG8,FALSE(),FALSE()),1,1)</f>
        <v>0.116355376072691</v>
      </c>
      <c r="B4193" s="0" t="s">
        <v>4196</v>
      </c>
    </row>
    <row r="4194" customFormat="false" ht="15" hidden="false" customHeight="false" outlineLevel="0" collapsed="false">
      <c r="A4194" s="0" t="n">
        <f aca="false">INDEX(LINEST(Data!K1:K8,Data!BF1:BG8,FALSE(),FALSE()),1,2)</f>
        <v>0.987632508833922</v>
      </c>
      <c r="B4194" s="0" t="s">
        <v>4197</v>
      </c>
    </row>
    <row r="4195" customFormat="false" ht="15" hidden="false" customHeight="false" outlineLevel="0" collapsed="false">
      <c r="A4195" s="0" t="n">
        <f aca="false">INDEX(LINEST(Data!K1:K8,Data!BF1:BG8,FALSE(),FALSE()),1,3)</f>
        <v>0</v>
      </c>
      <c r="B4195" s="0" t="s">
        <v>4198</v>
      </c>
    </row>
    <row r="4196" customFormat="false" ht="15" hidden="false" customHeight="false" outlineLevel="0" collapsed="false">
      <c r="A4196" s="0" t="n">
        <f aca="false">ROWS(LINEST(Data!K1:K8,Data!BF1:BG8,FALSE(),FALSE()))</f>
        <v>1</v>
      </c>
      <c r="B4196" s="0" t="s">
        <v>4199</v>
      </c>
    </row>
    <row r="4197" customFormat="false" ht="15" hidden="false" customHeight="false" outlineLevel="0" collapsed="false">
      <c r="A4197" s="0" t="n">
        <f aca="false">COLUMNS(LINEST(Data!K1:K8,Data!BF1:BG8,FALSE(),FALSE()))</f>
        <v>3</v>
      </c>
      <c r="B4197" s="0" t="s">
        <v>4200</v>
      </c>
    </row>
    <row r="4198" customFormat="false" ht="15" hidden="false" customHeight="false" outlineLevel="0" collapsed="false">
      <c r="A4198" s="0" t="n">
        <f aca="false">INDEX(LOGEST(Data!K1:K8,Data!A1:A8),1,1)</f>
        <v>1.01171352069179</v>
      </c>
      <c r="B4198" s="0" t="s">
        <v>4201</v>
      </c>
    </row>
    <row r="4199" customFormat="false" ht="15" hidden="false" customHeight="false" outlineLevel="0" collapsed="false">
      <c r="A4199" s="0" t="n">
        <f aca="false">INDEX(LOGEST(Data!K1:K8,Data!A1:A8),1,2)</f>
        <v>4.74279648832128</v>
      </c>
      <c r="B4199" s="0" t="s">
        <v>4202</v>
      </c>
    </row>
    <row r="4200" customFormat="false" ht="15" hidden="false" customHeight="false" outlineLevel="0" collapsed="false">
      <c r="A4200" s="0" t="n">
        <f aca="false">ROWS(LOGEST(Data!K1:K8,Data!A1:A8))</f>
        <v>1</v>
      </c>
      <c r="B4200" s="0" t="s">
        <v>4203</v>
      </c>
    </row>
    <row r="4201" customFormat="false" ht="15" hidden="false" customHeight="false" outlineLevel="0" collapsed="false">
      <c r="A4201" s="0" t="n">
        <f aca="false">COLUMNS(LOGEST(Data!K1:K8,Data!A1:A8))</f>
        <v>2</v>
      </c>
      <c r="B4201" s="0" t="s">
        <v>4204</v>
      </c>
    </row>
    <row r="4202" customFormat="false" ht="15" hidden="false" customHeight="false" outlineLevel="0" collapsed="false">
      <c r="A4202" s="0" t="n">
        <f aca="false">INDEX(LOGEST(Data!K1:K8,Data!A1:A8,TRUE(),TRUE()),1,1)</f>
        <v>1.01171352069179</v>
      </c>
      <c r="B4202" s="0" t="s">
        <v>4205</v>
      </c>
    </row>
    <row r="4203" customFormat="false" ht="15" hidden="false" customHeight="false" outlineLevel="0" collapsed="false">
      <c r="A4203" s="0" t="n">
        <f aca="false">INDEX(LOGEST(Data!K1:K8,Data!A1:A8,TRUE(),TRUE()),1,2)</f>
        <v>4.74279648832128</v>
      </c>
      <c r="B4203" s="0" t="s">
        <v>4206</v>
      </c>
    </row>
    <row r="4204" customFormat="false" ht="15" hidden="false" customHeight="false" outlineLevel="0" collapsed="false">
      <c r="A4204" s="0" t="n">
        <f aca="false">INDEX(LOGEST(Data!K1:K8,Data!A1:A8,TRUE(),TRUE()),2,1)</f>
        <v>0.0675247332336474</v>
      </c>
      <c r="B4204" s="0" t="s">
        <v>4207</v>
      </c>
    </row>
    <row r="4205" customFormat="false" ht="15" hidden="false" customHeight="false" outlineLevel="0" collapsed="false">
      <c r="A4205" s="0" t="n">
        <f aca="false">INDEX(LOGEST(Data!K1:K8,Data!A1:A8,TRUE(),TRUE()),2,2)</f>
        <v>0.376719028250919</v>
      </c>
      <c r="B4205" s="0" t="s">
        <v>4208</v>
      </c>
    </row>
    <row r="4206" customFormat="false" ht="15" hidden="false" customHeight="false" outlineLevel="0" collapsed="false">
      <c r="A4206" s="0" t="n">
        <f aca="false">INDEX(LOGEST(Data!K1:K8,Data!A1:A8,TRUE(),TRUE()),3,1)</f>
        <v>0.00493273597355299</v>
      </c>
      <c r="B4206" s="0" t="s">
        <v>4209</v>
      </c>
    </row>
    <row r="4207" customFormat="false" ht="15" hidden="false" customHeight="false" outlineLevel="0" collapsed="false">
      <c r="A4207" s="0" t="n">
        <f aca="false">INDEX(LOGEST(Data!K1:K8,Data!A1:A8,TRUE(),TRUE()),3,2)</f>
        <v>0.518117590512477</v>
      </c>
      <c r="B4207" s="0" t="s">
        <v>4210</v>
      </c>
    </row>
    <row r="4208" customFormat="false" ht="15" hidden="false" customHeight="false" outlineLevel="0" collapsed="false">
      <c r="A4208" s="0" t="n">
        <f aca="false">INDEX(LOGEST(Data!K1:K8,Data!A1:A8,TRUE(),TRUE()),4,1)</f>
        <v>0.0297431308528418</v>
      </c>
      <c r="B4208" s="0" t="s">
        <v>4211</v>
      </c>
    </row>
    <row r="4209" customFormat="false" ht="15" hidden="false" customHeight="false" outlineLevel="0" collapsed="false">
      <c r="A4209" s="0" t="n">
        <f aca="false">INDEX(LOGEST(Data!K1:K8,Data!A1:A8,TRUE(),TRUE()),4,2)</f>
        <v>6</v>
      </c>
      <c r="B4209" s="0" t="s">
        <v>4212</v>
      </c>
    </row>
    <row r="4210" customFormat="false" ht="15" hidden="false" customHeight="false" outlineLevel="0" collapsed="false">
      <c r="A4210" s="0" t="n">
        <f aca="false">INDEX(LOGEST(Data!K1:K8,Data!A1:A8,TRUE(),TRUE()),5,1)</f>
        <v>0.00798441967459158</v>
      </c>
      <c r="B4210" s="0" t="s">
        <v>4213</v>
      </c>
    </row>
    <row r="4211" customFormat="false" ht="15" hidden="false" customHeight="false" outlineLevel="0" collapsed="false">
      <c r="A4211" s="0" t="n">
        <f aca="false">INDEX(LOGEST(Data!K1:K8,Data!A1:A8,TRUE(),TRUE()),5,2)</f>
        <v>1.61067502559073</v>
      </c>
      <c r="B4211" s="0" t="s">
        <v>4214</v>
      </c>
    </row>
    <row r="4212" customFormat="false" ht="15" hidden="false" customHeight="false" outlineLevel="0" collapsed="false">
      <c r="A4212" s="0" t="n">
        <f aca="false">ROWS(LOGEST(Data!K1:K8,Data!A1:A8,TRUE(),TRUE()))</f>
        <v>5</v>
      </c>
      <c r="B4212" s="0" t="s">
        <v>4215</v>
      </c>
    </row>
    <row r="4213" customFormat="false" ht="15" hidden="false" customHeight="false" outlineLevel="0" collapsed="false">
      <c r="A4213" s="0" t="n">
        <f aca="false">COLUMNS(LOGEST(Data!K1:K8,Data!A1:A8,TRUE(),TRUE()))</f>
        <v>2</v>
      </c>
      <c r="B4213" s="0" t="s">
        <v>4216</v>
      </c>
    </row>
    <row r="4214" customFormat="false" ht="15" hidden="false" customHeight="false" outlineLevel="0" collapsed="false">
      <c r="A4214" s="0" t="n">
        <f aca="false">INDEX(LOGEST(Data!K1:K8,Data!A1:A8,FALSE(),TRUE()),1,1)</f>
        <v>1.29104825217505</v>
      </c>
      <c r="B4214" s="0" t="s">
        <v>4217</v>
      </c>
    </row>
    <row r="4215" customFormat="false" ht="15" hidden="false" customHeight="false" outlineLevel="0" collapsed="false">
      <c r="A4215" s="0" t="n">
        <f aca="false">INDEX(LOGEST(Data!K1:K8,Data!A1:A8,FALSE(),TRUE()),1,2)</f>
        <v>1</v>
      </c>
      <c r="B4215" s="0" t="s">
        <v>4218</v>
      </c>
    </row>
    <row r="4216" customFormat="false" ht="15" hidden="false" customHeight="false" outlineLevel="0" collapsed="false">
      <c r="A4216" s="0" t="n">
        <f aca="false">INDEX(LOGEST(Data!K1:K8,Data!A1:A8,FALSE(),TRUE()),2,1)</f>
        <v>0.0596129486456371</v>
      </c>
      <c r="B4216" s="0" t="s">
        <v>4219</v>
      </c>
    </row>
    <row r="4217" customFormat="false" ht="15" hidden="false" customHeight="false" outlineLevel="0" collapsed="false">
      <c r="A4217" s="0" t="e">
        <f aca="false">INDEX(LOGEST(Data!K1:K8,Data!A1:A8,FALSE(),TRUE()),2,2)</f>
        <v>#N/A</v>
      </c>
      <c r="B4217" s="0" t="s">
        <v>4220</v>
      </c>
    </row>
    <row r="4218" customFormat="false" ht="15" hidden="false" customHeight="false" outlineLevel="0" collapsed="false">
      <c r="A4218" s="0" t="n">
        <f aca="false">INDEX(LOGEST(Data!K1:K8,Data!A1:A8,FALSE(),TRUE()),3,1)</f>
        <v>0.724008437741286</v>
      </c>
      <c r="B4218" s="0" t="s">
        <v>4221</v>
      </c>
    </row>
    <row r="4219" customFormat="false" ht="15" hidden="false" customHeight="false" outlineLevel="0" collapsed="false">
      <c r="A4219" s="0" t="n">
        <f aca="false">INDEX(LOGEST(Data!K1:K8,Data!A1:A8,FALSE(),TRUE()),3,2)</f>
        <v>0.940676462930062</v>
      </c>
      <c r="B4219" s="0" t="s">
        <v>4222</v>
      </c>
    </row>
    <row r="4220" customFormat="false" ht="15" hidden="false" customHeight="false" outlineLevel="0" collapsed="false">
      <c r="A4220" s="0" t="n">
        <f aca="false">INDEX(LOGEST(Data!K1:K8,Data!A1:A8,FALSE(),TRUE()),4,1)</f>
        <v>18.3630942290845</v>
      </c>
      <c r="B4220" s="0" t="s">
        <v>4223</v>
      </c>
    </row>
    <row r="4221" customFormat="false" ht="15" hidden="false" customHeight="false" outlineLevel="0" collapsed="false">
      <c r="A4221" s="0" t="n">
        <f aca="false">INDEX(LOGEST(Data!K1:K8,Data!A1:A8,FALSE(),TRUE()),4,2)</f>
        <v>7</v>
      </c>
      <c r="B4221" s="0" t="s">
        <v>4224</v>
      </c>
    </row>
    <row r="4222" customFormat="false" ht="15" hidden="false" customHeight="false" outlineLevel="0" collapsed="false">
      <c r="A4222" s="0" t="n">
        <f aca="false">INDEX(LOGEST(Data!K1:K8,Data!A1:A8,FALSE(),TRUE()),5,1)</f>
        <v>16.2489917345606</v>
      </c>
      <c r="B4222" s="0" t="s">
        <v>4225</v>
      </c>
    </row>
    <row r="4223" customFormat="false" ht="15" hidden="false" customHeight="false" outlineLevel="0" collapsed="false">
      <c r="A4223" s="0" t="n">
        <f aca="false">INDEX(LOGEST(Data!K1:K8,Data!A1:A8,FALSE(),TRUE()),5,2)</f>
        <v>6.19410545537429</v>
      </c>
      <c r="B4223" s="0" t="s">
        <v>4226</v>
      </c>
    </row>
    <row r="4224" customFormat="false" ht="15" hidden="false" customHeight="false" outlineLevel="0" collapsed="false">
      <c r="A4224" s="0" t="n">
        <f aca="false">ROWS(LOGEST(Data!K1:K8,Data!A1:A8,FALSE(),TRUE()))</f>
        <v>5</v>
      </c>
      <c r="B4224" s="0" t="s">
        <v>4227</v>
      </c>
    </row>
    <row r="4225" customFormat="false" ht="15" hidden="false" customHeight="false" outlineLevel="0" collapsed="false">
      <c r="A4225" s="0" t="n">
        <f aca="false">COLUMNS(LOGEST(Data!K1:K8,Data!A1:A8,FALSE(),TRUE()))</f>
        <v>2</v>
      </c>
      <c r="B4225" s="0" t="s">
        <v>4228</v>
      </c>
    </row>
    <row r="4226" customFormat="false" ht="15" hidden="false" customHeight="false" outlineLevel="0" collapsed="false">
      <c r="A4226" s="0" t="n">
        <f aca="false">INDEX(LOGEST(Data!K1:K8,Data!A1:A8,FALSE()),1,1)</f>
        <v>1.29104825217505</v>
      </c>
      <c r="B4226" s="0" t="s">
        <v>4229</v>
      </c>
    </row>
    <row r="4227" customFormat="false" ht="15" hidden="false" customHeight="false" outlineLevel="0" collapsed="false">
      <c r="A4227" s="0" t="n">
        <f aca="false">INDEX(LOGEST(Data!K1:K8,Data!A1:A8,FALSE()),1,2)</f>
        <v>1</v>
      </c>
      <c r="B4227" s="0" t="s">
        <v>4230</v>
      </c>
    </row>
    <row r="4228" customFormat="false" ht="15" hidden="false" customHeight="false" outlineLevel="0" collapsed="false">
      <c r="A4228" s="0" t="n">
        <f aca="false">ROWS(LOGEST(Data!K1:K8,Data!A1:A8,FALSE()))</f>
        <v>1</v>
      </c>
      <c r="B4228" s="0" t="s">
        <v>4231</v>
      </c>
    </row>
    <row r="4229" customFormat="false" ht="15" hidden="false" customHeight="false" outlineLevel="0" collapsed="false">
      <c r="A4229" s="0" t="n">
        <f aca="false">COLUMNS(LOGEST(Data!K1:K8,Data!A1:A8,FALSE()))</f>
        <v>2</v>
      </c>
      <c r="B4229" s="0" t="s">
        <v>4232</v>
      </c>
    </row>
    <row r="4230" customFormat="false" ht="15" hidden="false" customHeight="false" outlineLevel="0" collapsed="false">
      <c r="A4230" s="0" t="n">
        <f aca="false">INDEX(LOGEST(Data!K1:K8),1,1)</f>
        <v>1.19874104901438</v>
      </c>
      <c r="B4230" s="0" t="s">
        <v>4233</v>
      </c>
    </row>
    <row r="4231" customFormat="false" ht="15" hidden="false" customHeight="false" outlineLevel="0" collapsed="false">
      <c r="A4231" s="0" t="n">
        <f aca="false">INDEX(LOGEST(Data!K1:K8),1,2)</f>
        <v>2.22037264147997</v>
      </c>
      <c r="B4231" s="0" t="s">
        <v>4234</v>
      </c>
    </row>
    <row r="4232" customFormat="false" ht="15" hidden="false" customHeight="false" outlineLevel="0" collapsed="false">
      <c r="A4232" s="0" t="n">
        <f aca="false">ROWS(LOGEST(Data!K1:K8))</f>
        <v>1</v>
      </c>
      <c r="B4232" s="0" t="s">
        <v>4235</v>
      </c>
    </row>
    <row r="4233" customFormat="false" ht="15" hidden="false" customHeight="false" outlineLevel="0" collapsed="false">
      <c r="A4233" s="0" t="n">
        <f aca="false">COLUMNS(LOGEST(Data!K1:K8))</f>
        <v>2</v>
      </c>
      <c r="B4233" s="0" t="s">
        <v>4236</v>
      </c>
    </row>
    <row r="4234" customFormat="false" ht="15" hidden="false" customHeight="false" outlineLevel="0" collapsed="false">
      <c r="A4234" s="0" t="n">
        <f aca="false">INDEX(LOGEST(Data!K1:K8,,TRUE(),TRUE()),1,1)</f>
        <v>1.19874104901438</v>
      </c>
      <c r="B4234" s="0" t="s">
        <v>4237</v>
      </c>
    </row>
    <row r="4235" customFormat="false" ht="15" hidden="false" customHeight="false" outlineLevel="0" collapsed="false">
      <c r="A4235" s="0" t="n">
        <f aca="false">INDEX(LOGEST(Data!K1:K8,,TRUE(),TRUE()),1,2)</f>
        <v>2.22037264147997</v>
      </c>
      <c r="B4235" s="0" t="s">
        <v>4238</v>
      </c>
    </row>
    <row r="4236" customFormat="false" ht="15" hidden="false" customHeight="false" outlineLevel="0" collapsed="false">
      <c r="A4236" s="0" t="n">
        <f aca="false">INDEX(LOGEST(Data!K1:K8,,TRUE(),TRUE()),2,1)</f>
        <v>0.0307679921087076</v>
      </c>
      <c r="B4236" s="0" t="s">
        <v>4239</v>
      </c>
    </row>
    <row r="4237" customFormat="false" ht="15" hidden="false" customHeight="false" outlineLevel="0" collapsed="false">
      <c r="A4237" s="0" t="n">
        <f aca="false">INDEX(LOGEST(Data!K1:K8,,TRUE(),TRUE()),2,2)</f>
        <v>0.155370744122689</v>
      </c>
      <c r="B4237" s="0" t="s">
        <v>4240</v>
      </c>
    </row>
    <row r="4238" customFormat="false" ht="15" hidden="false" customHeight="false" outlineLevel="0" collapsed="false">
      <c r="A4238" s="0" t="n">
        <f aca="false">INDEX(LOGEST(Data!K1:K8,,TRUE(),TRUE()),3,1)</f>
        <v>0.852618366405002</v>
      </c>
      <c r="B4238" s="0" t="s">
        <v>4241</v>
      </c>
    </row>
    <row r="4239" customFormat="false" ht="15" hidden="false" customHeight="false" outlineLevel="0" collapsed="false">
      <c r="A4239" s="0" t="n">
        <f aca="false">INDEX(LOGEST(Data!K1:K8,,TRUE(),TRUE()),3,2)</f>
        <v>0.199399378667193</v>
      </c>
      <c r="B4239" s="0" t="s">
        <v>4242</v>
      </c>
    </row>
    <row r="4240" customFormat="false" ht="15" hidden="false" customHeight="false" outlineLevel="0" collapsed="false">
      <c r="A4240" s="0" t="n">
        <f aca="false">INDEX(LOGEST(Data!K1:K8,,TRUE(),TRUE()),4,1)</f>
        <v>34.7106357396466</v>
      </c>
      <c r="B4240" s="0" t="s">
        <v>4243</v>
      </c>
    </row>
    <row r="4241" customFormat="false" ht="15" hidden="false" customHeight="false" outlineLevel="0" collapsed="false">
      <c r="A4241" s="0" t="n">
        <f aca="false">INDEX(LOGEST(Data!K1:K8,,TRUE(),TRUE()),4,2)</f>
        <v>6</v>
      </c>
      <c r="B4241" s="0" t="s">
        <v>4244</v>
      </c>
    </row>
    <row r="4242" customFormat="false" ht="15" hidden="false" customHeight="false" outlineLevel="0" collapsed="false">
      <c r="A4242" s="0" t="n">
        <f aca="false">INDEX(LOGEST(Data!K1:K8,,TRUE(),TRUE()),5,1)</f>
        <v>1.38009877198815</v>
      </c>
      <c r="B4242" s="0" t="s">
        <v>4245</v>
      </c>
    </row>
    <row r="4243" customFormat="false" ht="15" hidden="false" customHeight="false" outlineLevel="0" collapsed="false">
      <c r="A4243" s="0" t="n">
        <f aca="false">INDEX(LOGEST(Data!K1:K8,,TRUE(),TRUE()),5,2)</f>
        <v>0.238560673277176</v>
      </c>
      <c r="B4243" s="0" t="s">
        <v>4246</v>
      </c>
    </row>
    <row r="4244" customFormat="false" ht="15" hidden="false" customHeight="false" outlineLevel="0" collapsed="false">
      <c r="A4244" s="0" t="n">
        <f aca="false">ROWS(LOGEST(Data!K1:K8,,TRUE(),TRUE()))</f>
        <v>5</v>
      </c>
      <c r="B4244" s="0" t="s">
        <v>4247</v>
      </c>
    </row>
    <row r="4245" customFormat="false" ht="15" hidden="false" customHeight="false" outlineLevel="0" collapsed="false">
      <c r="A4245" s="0" t="n">
        <f aca="false">COLUMNS(LOGEST(Data!K1:K8,,TRUE(),TRUE()))</f>
        <v>2</v>
      </c>
      <c r="B4245" s="0" t="s">
        <v>4248</v>
      </c>
    </row>
    <row r="4246" customFormat="false" ht="15" hidden="false" customHeight="false" outlineLevel="0" collapsed="false">
      <c r="A4246" s="0" t="n">
        <f aca="false">INDEX(LOGEST(Data!K1:K8,Data!A1:A8,TRUE(),FALSE()),1,1)</f>
        <v>1.01171352069179</v>
      </c>
      <c r="B4246" s="0" t="s">
        <v>4249</v>
      </c>
    </row>
    <row r="4247" customFormat="false" ht="15" hidden="false" customHeight="false" outlineLevel="0" collapsed="false">
      <c r="A4247" s="0" t="n">
        <f aca="false">INDEX(LOGEST(Data!K1:K8,Data!A1:A8,TRUE(),FALSE()),1,2)</f>
        <v>4.74279648832128</v>
      </c>
      <c r="B4247" s="0" t="s">
        <v>4250</v>
      </c>
    </row>
    <row r="4248" customFormat="false" ht="15" hidden="false" customHeight="false" outlineLevel="0" collapsed="false">
      <c r="A4248" s="0" t="n">
        <f aca="false">ROWS(LOGEST(Data!K1:K8,Data!A1:A8,TRUE(),FALSE()))</f>
        <v>1</v>
      </c>
      <c r="B4248" s="0" t="s">
        <v>4251</v>
      </c>
    </row>
    <row r="4249" customFormat="false" ht="15" hidden="false" customHeight="false" outlineLevel="0" collapsed="false">
      <c r="A4249" s="0" t="n">
        <f aca="false">COLUMNS(LOGEST(Data!K1:K8,Data!A1:A8,TRUE(),FALSE()))</f>
        <v>2</v>
      </c>
      <c r="B4249" s="0" t="s">
        <v>4252</v>
      </c>
    </row>
    <row r="4250" customFormat="false" ht="15" hidden="false" customHeight="false" outlineLevel="0" collapsed="false">
      <c r="A4250" s="0" t="n">
        <f aca="false">INDEX(LOGEST(Data!K1:K8,Data!A1:A8,0,1),1,1)</f>
        <v>1.29104825217505</v>
      </c>
      <c r="B4250" s="0" t="s">
        <v>4253</v>
      </c>
    </row>
    <row r="4251" customFormat="false" ht="15" hidden="false" customHeight="false" outlineLevel="0" collapsed="false">
      <c r="A4251" s="0" t="n">
        <f aca="false">INDEX(LOGEST(Data!K1:K8,Data!A1:A8,0,1),1,2)</f>
        <v>1</v>
      </c>
      <c r="B4251" s="0" t="s">
        <v>4254</v>
      </c>
    </row>
    <row r="4252" customFormat="false" ht="15" hidden="false" customHeight="false" outlineLevel="0" collapsed="false">
      <c r="A4252" s="0" t="n">
        <f aca="false">INDEX(LOGEST(Data!K1:K8,Data!A1:A8,0,1),2,1)</f>
        <v>0.0596129486456371</v>
      </c>
      <c r="B4252" s="0" t="s">
        <v>4255</v>
      </c>
    </row>
    <row r="4253" customFormat="false" ht="15" hidden="false" customHeight="false" outlineLevel="0" collapsed="false">
      <c r="A4253" s="0" t="e">
        <f aca="false">INDEX(LOGEST(Data!K1:K8,Data!A1:A8,0,1),2,2)</f>
        <v>#N/A</v>
      </c>
      <c r="B4253" s="0" t="s">
        <v>4256</v>
      </c>
    </row>
    <row r="4254" customFormat="false" ht="15" hidden="false" customHeight="false" outlineLevel="0" collapsed="false">
      <c r="A4254" s="0" t="n">
        <f aca="false">INDEX(LOGEST(Data!K1:K8,Data!A1:A8,0,1),3,1)</f>
        <v>0.724008437741286</v>
      </c>
      <c r="B4254" s="0" t="s">
        <v>4257</v>
      </c>
    </row>
    <row r="4255" customFormat="false" ht="15" hidden="false" customHeight="false" outlineLevel="0" collapsed="false">
      <c r="A4255" s="0" t="n">
        <f aca="false">INDEX(LOGEST(Data!K1:K8,Data!A1:A8,0,1),3,2)</f>
        <v>0.940676462930062</v>
      </c>
      <c r="B4255" s="0" t="s">
        <v>4258</v>
      </c>
    </row>
    <row r="4256" customFormat="false" ht="15" hidden="false" customHeight="false" outlineLevel="0" collapsed="false">
      <c r="A4256" s="0" t="n">
        <f aca="false">INDEX(LOGEST(Data!K1:K8,Data!A1:A8,0,1),4,1)</f>
        <v>18.3630942290845</v>
      </c>
      <c r="B4256" s="0" t="s">
        <v>4259</v>
      </c>
    </row>
    <row r="4257" customFormat="false" ht="15" hidden="false" customHeight="false" outlineLevel="0" collapsed="false">
      <c r="A4257" s="0" t="n">
        <f aca="false">INDEX(LOGEST(Data!K1:K8,Data!A1:A8,0,1),4,2)</f>
        <v>7</v>
      </c>
      <c r="B4257" s="0" t="s">
        <v>4260</v>
      </c>
    </row>
    <row r="4258" customFormat="false" ht="15" hidden="false" customHeight="false" outlineLevel="0" collapsed="false">
      <c r="A4258" s="0" t="n">
        <f aca="false">INDEX(LOGEST(Data!K1:K8,Data!A1:A8,0,1),5,1)</f>
        <v>16.2489917345606</v>
      </c>
      <c r="B4258" s="0" t="s">
        <v>4261</v>
      </c>
    </row>
    <row r="4259" customFormat="false" ht="15" hidden="false" customHeight="false" outlineLevel="0" collapsed="false">
      <c r="A4259" s="0" t="n">
        <f aca="false">INDEX(LOGEST(Data!K1:K8,Data!A1:A8,0,1),5,2)</f>
        <v>6.19410545537429</v>
      </c>
      <c r="B4259" s="0" t="s">
        <v>4262</v>
      </c>
    </row>
    <row r="4260" customFormat="false" ht="15" hidden="false" customHeight="false" outlineLevel="0" collapsed="false">
      <c r="A4260" s="0" t="n">
        <f aca="false">ROWS(LOGEST(Data!K1:K8,Data!A1:A8,0,1))</f>
        <v>5</v>
      </c>
      <c r="B4260" s="0" t="s">
        <v>4263</v>
      </c>
    </row>
    <row r="4261" customFormat="false" ht="15" hidden="false" customHeight="false" outlineLevel="0" collapsed="false">
      <c r="A4261" s="0" t="n">
        <f aca="false">COLUMNS(LOGEST(Data!K1:K8,Data!A1:A8,0,1))</f>
        <v>2</v>
      </c>
      <c r="B4261" s="0" t="s">
        <v>4264</v>
      </c>
    </row>
    <row r="4262" customFormat="false" ht="15" hidden="false" customHeight="false" outlineLevel="0" collapsed="false">
      <c r="A4262" s="0" t="n">
        <f aca="false">INDEX(LOGEST(Data!K1:K8,Data!BG1:BG8),1,1)</f>
        <v>0.953516286448081</v>
      </c>
      <c r="B4262" s="0" t="s">
        <v>4265</v>
      </c>
    </row>
    <row r="4263" customFormat="false" ht="15" hidden="false" customHeight="false" outlineLevel="0" collapsed="false">
      <c r="A4263" s="0" t="n">
        <f aca="false">INDEX(LOGEST(Data!K1:K8,Data!BG1:BG8),1,2)</f>
        <v>6.1820079706127</v>
      </c>
      <c r="B4263" s="0" t="s">
        <v>4266</v>
      </c>
    </row>
    <row r="4264" customFormat="false" ht="15" hidden="false" customHeight="false" outlineLevel="0" collapsed="false">
      <c r="A4264" s="0" t="n">
        <f aca="false">ROWS(LOGEST(Data!K1:K8,Data!BG1:BG8))</f>
        <v>1</v>
      </c>
      <c r="B4264" s="0" t="s">
        <v>4267</v>
      </c>
    </row>
    <row r="4265" customFormat="false" ht="15" hidden="false" customHeight="false" outlineLevel="0" collapsed="false">
      <c r="A4265" s="0" t="n">
        <f aca="false">COLUMNS(LOGEST(Data!K1:K8,Data!BG1:BG8))</f>
        <v>2</v>
      </c>
      <c r="B4265" s="0" t="s">
        <v>4268</v>
      </c>
    </row>
    <row r="4266" customFormat="false" ht="15" hidden="false" customHeight="false" outlineLevel="0" collapsed="false">
      <c r="A4266" s="0" t="n">
        <f aca="false">INDEX(LOGEST(Data!K1:K8,Data!A1:A8),1,1)</f>
        <v>1.01171352069179</v>
      </c>
      <c r="B4266" s="0" t="s">
        <v>4201</v>
      </c>
    </row>
    <row r="4267" customFormat="false" ht="15" hidden="false" customHeight="false" outlineLevel="0" collapsed="false">
      <c r="A4267" s="0" t="n">
        <f aca="false">INDEX(LOGEST(Data!K1:K8,Data!A1:A8),1,2)</f>
        <v>4.74279648832128</v>
      </c>
      <c r="B4267" s="0" t="s">
        <v>4202</v>
      </c>
    </row>
    <row r="4268" customFormat="false" ht="15" hidden="false" customHeight="false" outlineLevel="0" collapsed="false">
      <c r="A4268" s="0" t="n">
        <f aca="false">ROWS(LOGEST(Data!K1:K8,Data!A1:A8))</f>
        <v>1</v>
      </c>
      <c r="B4268" s="0" t="s">
        <v>4203</v>
      </c>
    </row>
    <row r="4269" customFormat="false" ht="15" hidden="false" customHeight="false" outlineLevel="0" collapsed="false">
      <c r="A4269" s="0" t="n">
        <f aca="false">COLUMNS(LOGEST(Data!K1:K8,Data!A1:A8))</f>
        <v>2</v>
      </c>
      <c r="B4269" s="0" t="s">
        <v>4204</v>
      </c>
    </row>
    <row r="4270" customFormat="false" ht="15" hidden="false" customHeight="false" outlineLevel="0" collapsed="false">
      <c r="A4270" s="0" t="n">
        <f aca="false">INDEX(LOGEST(Data!K1:K8,Data!BF1:BG8,TRUE(),TRUE()),1,1)</f>
        <v>0.956642712852527</v>
      </c>
      <c r="B4270" s="0" t="s">
        <v>4269</v>
      </c>
    </row>
    <row r="4271" customFormat="false" ht="15" hidden="false" customHeight="false" outlineLevel="0" collapsed="false">
      <c r="A4271" s="0" t="n">
        <f aca="false">INDEX(LOGEST(Data!K1:K8,Data!BF1:BG8,TRUE(),TRUE()),1,2)</f>
        <v>1.14363580410221</v>
      </c>
      <c r="B4271" s="0" t="s">
        <v>4270</v>
      </c>
    </row>
    <row r="4272" customFormat="false" ht="15" hidden="false" customHeight="false" outlineLevel="0" collapsed="false">
      <c r="A4272" s="0" t="n">
        <f aca="false">INDEX(LOGEST(Data!K1:K8,Data!BF1:BG8,TRUE(),TRUE()),1,3)</f>
        <v>3.27588779821027</v>
      </c>
      <c r="B4272" s="0" t="s">
        <v>4271</v>
      </c>
    </row>
    <row r="4273" customFormat="false" ht="15" hidden="false" customHeight="false" outlineLevel="0" collapsed="false">
      <c r="A4273" s="0" t="n">
        <f aca="false">INDEX(LOGEST(Data!K1:K8,Data!BF1:BG8,TRUE(),TRUE()),2,1)</f>
        <v>0.0597154521100739</v>
      </c>
      <c r="B4273" s="0" t="s">
        <v>4272</v>
      </c>
    </row>
    <row r="4274" customFormat="false" ht="15" hidden="false" customHeight="false" outlineLevel="0" collapsed="false">
      <c r="A4274" s="0" t="n">
        <f aca="false">INDEX(LOGEST(Data!K1:K8,Data!BF1:BG8,TRUE(),TRUE()),2,2)</f>
        <v>0.0506455422345381</v>
      </c>
      <c r="B4274" s="0" t="s">
        <v>4273</v>
      </c>
    </row>
    <row r="4275" customFormat="false" ht="15" hidden="false" customHeight="false" outlineLevel="0" collapsed="false">
      <c r="A4275" s="0" t="n">
        <f aca="false">INDEX(LOGEST(Data!K1:K8,Data!BF1:BG8,TRUE(),TRUE()),2,3)</f>
        <v>0.376346176486411</v>
      </c>
      <c r="B4275" s="0" t="s">
        <v>4274</v>
      </c>
    </row>
    <row r="4276" customFormat="false" ht="15" hidden="false" customHeight="false" outlineLevel="0" collapsed="false">
      <c r="A4276" s="0" t="n">
        <f aca="false">INDEX(LOGEST(Data!K1:K8,Data!BF1:BG8,TRUE(),TRUE()),3,1)</f>
        <v>0.605002812100544</v>
      </c>
      <c r="B4276" s="0" t="s">
        <v>4275</v>
      </c>
    </row>
    <row r="4277" customFormat="false" ht="15" hidden="false" customHeight="false" outlineLevel="0" collapsed="false">
      <c r="A4277" s="0" t="n">
        <f aca="false">INDEX(LOGEST(Data!K1:K8,Data!BF1:BG8,TRUE(),TRUE()),3,2)</f>
        <v>0.357593604262351</v>
      </c>
      <c r="B4277" s="0" t="s">
        <v>4276</v>
      </c>
    </row>
    <row r="4278" customFormat="false" ht="15" hidden="false" customHeight="false" outlineLevel="0" collapsed="false">
      <c r="A4278" s="0" t="e">
        <f aca="false">INDEX(LOGEST(Data!K1:K8,Data!BF1:BG8,TRUE(),TRUE()),3,3)</f>
        <v>#N/A</v>
      </c>
      <c r="B4278" s="0" t="s">
        <v>4277</v>
      </c>
    </row>
    <row r="4279" customFormat="false" ht="15" hidden="false" customHeight="false" outlineLevel="0" collapsed="false">
      <c r="A4279" s="0" t="n">
        <f aca="false">INDEX(LOGEST(Data!K1:K8,Data!BF1:BG8,TRUE(),TRUE()),4,1)</f>
        <v>3.82915898286435</v>
      </c>
      <c r="B4279" s="0" t="s">
        <v>4278</v>
      </c>
    </row>
    <row r="4280" customFormat="false" ht="15" hidden="false" customHeight="false" outlineLevel="0" collapsed="false">
      <c r="A4280" s="0" t="n">
        <f aca="false">INDEX(LOGEST(Data!K1:K8,Data!BF1:BG8,TRUE(),TRUE()),4,2)</f>
        <v>5</v>
      </c>
      <c r="B4280" s="0" t="s">
        <v>4279</v>
      </c>
    </row>
    <row r="4281" customFormat="false" ht="15" hidden="false" customHeight="false" outlineLevel="0" collapsed="false">
      <c r="A4281" s="0" t="e">
        <f aca="false">INDEX(LOGEST(Data!K1:K8,Data!BF1:BG8,TRUE(),TRUE()),4,3)</f>
        <v>#N/A</v>
      </c>
      <c r="B4281" s="0" t="s">
        <v>4280</v>
      </c>
    </row>
    <row r="4282" customFormat="false" ht="15" hidden="false" customHeight="false" outlineLevel="0" collapsed="false">
      <c r="A4282" s="0" t="n">
        <f aca="false">INDEX(LOGEST(Data!K1:K8,Data!BF1:BG8,TRUE(),TRUE()),5,1)</f>
        <v>0.979293516218627</v>
      </c>
      <c r="B4282" s="0" t="s">
        <v>4281</v>
      </c>
    </row>
    <row r="4283" customFormat="false" ht="15" hidden="false" customHeight="false" outlineLevel="0" collapsed="false">
      <c r="A4283" s="0" t="n">
        <f aca="false">INDEX(LOGEST(Data!K1:K8,Data!BF1:BG8,TRUE(),TRUE()),5,2)</f>
        <v>0.639365929046696</v>
      </c>
      <c r="B4283" s="0" t="s">
        <v>4282</v>
      </c>
    </row>
    <row r="4284" customFormat="false" ht="15" hidden="false" customHeight="false" outlineLevel="0" collapsed="false">
      <c r="A4284" s="0" t="e">
        <f aca="false">INDEX(LOGEST(Data!K1:K8,Data!BF1:BG8,TRUE(),TRUE()),5,3)</f>
        <v>#N/A</v>
      </c>
      <c r="B4284" s="0" t="s">
        <v>4283</v>
      </c>
    </row>
    <row r="4285" customFormat="false" ht="15" hidden="false" customHeight="false" outlineLevel="0" collapsed="false">
      <c r="A4285" s="0" t="n">
        <f aca="false">ROWS(LOGEST(Data!K1:K8,Data!BF1:BG8,TRUE(),TRUE()))</f>
        <v>5</v>
      </c>
      <c r="B4285" s="0" t="s">
        <v>4284</v>
      </c>
    </row>
    <row r="4286" customFormat="false" ht="15" hidden="false" customHeight="false" outlineLevel="0" collapsed="false">
      <c r="A4286" s="0" t="n">
        <f aca="false">COLUMNS(LOGEST(Data!K1:K8,Data!BF1:BG8,TRUE(),TRUE()))</f>
        <v>3</v>
      </c>
      <c r="B4286" s="0" t="s">
        <v>4285</v>
      </c>
    </row>
    <row r="4287" customFormat="false" ht="15" hidden="false" customHeight="false" outlineLevel="0" collapsed="false">
      <c r="A4287" s="0" t="n">
        <f aca="false">INDEX(LOGEST(Data!K1:K8,Data!BF1:BG8),1,1)</f>
        <v>0.956642712852527</v>
      </c>
      <c r="B4287" s="0" t="s">
        <v>4286</v>
      </c>
    </row>
    <row r="4288" customFormat="false" ht="15" hidden="false" customHeight="false" outlineLevel="0" collapsed="false">
      <c r="A4288" s="0" t="n">
        <f aca="false">INDEX(LOGEST(Data!K1:K8,Data!BF1:BG8),1,2)</f>
        <v>1.14363580410221</v>
      </c>
      <c r="B4288" s="0" t="s">
        <v>4287</v>
      </c>
    </row>
    <row r="4289" customFormat="false" ht="15" hidden="false" customHeight="false" outlineLevel="0" collapsed="false">
      <c r="A4289" s="0" t="n">
        <f aca="false">INDEX(LOGEST(Data!K1:K8,Data!BF1:BG8),1,3)</f>
        <v>3.27588779821027</v>
      </c>
      <c r="B4289" s="0" t="s">
        <v>4288</v>
      </c>
    </row>
    <row r="4290" customFormat="false" ht="15" hidden="false" customHeight="false" outlineLevel="0" collapsed="false">
      <c r="A4290" s="0" t="n">
        <f aca="false">ROWS(LOGEST(Data!K1:K8,Data!BF1:BG8))</f>
        <v>1</v>
      </c>
      <c r="B4290" s="0" t="s">
        <v>4289</v>
      </c>
    </row>
    <row r="4291" customFormat="false" ht="15" hidden="false" customHeight="false" outlineLevel="0" collapsed="false">
      <c r="A4291" s="0" t="n">
        <f aca="false">COLUMNS(LOGEST(Data!K1:K8,Data!BF1:BG8))</f>
        <v>3</v>
      </c>
      <c r="B4291" s="0" t="s">
        <v>4290</v>
      </c>
    </row>
    <row r="4292" customFormat="false" ht="15" hidden="false" customHeight="false" outlineLevel="0" collapsed="false">
      <c r="A4292" s="0" t="n">
        <f aca="false">INDEX(LOGEST(Data!K1:K8,Data!BF1:BG8,FALSE(),TRUE()),1,1)</f>
        <v>1.09286105311017</v>
      </c>
      <c r="B4292" s="0" t="s">
        <v>4291</v>
      </c>
    </row>
    <row r="4293" customFormat="false" ht="15" hidden="false" customHeight="false" outlineLevel="0" collapsed="false">
      <c r="A4293" s="0" t="n">
        <f aca="false">INDEX(LOGEST(Data!K1:K8,Data!BF1:BG8,FALSE(),TRUE()),1,2)</f>
        <v>1.26603524289768</v>
      </c>
      <c r="B4293" s="0" t="s">
        <v>4292</v>
      </c>
    </row>
    <row r="4294" customFormat="false" ht="15" hidden="false" customHeight="false" outlineLevel="0" collapsed="false">
      <c r="A4294" s="0" t="n">
        <f aca="false">INDEX(LOGEST(Data!K1:K8,Data!BF1:BG8,FALSE(),TRUE()),1,3)</f>
        <v>1</v>
      </c>
      <c r="B4294" s="0" t="s">
        <v>4293</v>
      </c>
    </row>
    <row r="4295" customFormat="false" ht="15" hidden="false" customHeight="false" outlineLevel="0" collapsed="false">
      <c r="A4295" s="0" t="n">
        <f aca="false">INDEX(LOGEST(Data!K1:K8,Data!BF1:BG8,FALSE(),TRUE()),2,1)</f>
        <v>0.0666363734746276</v>
      </c>
      <c r="B4295" s="0" t="s">
        <v>4294</v>
      </c>
    </row>
    <row r="4296" customFormat="false" ht="15" hidden="false" customHeight="false" outlineLevel="0" collapsed="false">
      <c r="A4296" s="0" t="n">
        <f aca="false">INDEX(LOGEST(Data!K1:K8,Data!BF1:BG8,FALSE(),TRUE()),2,2)</f>
        <v>0.0616234656266963</v>
      </c>
      <c r="B4296" s="0" t="s">
        <v>4295</v>
      </c>
    </row>
    <row r="4297" customFormat="false" ht="15" hidden="false" customHeight="false" outlineLevel="0" collapsed="false">
      <c r="A4297" s="0" t="e">
        <f aca="false">INDEX(LOGEST(Data!K1:K8,Data!BF1:BG8,FALSE(),TRUE()),2,3)</f>
        <v>#N/A</v>
      </c>
      <c r="B4297" s="0" t="s">
        <v>4296</v>
      </c>
    </row>
    <row r="4298" customFormat="false" ht="15" hidden="false" customHeight="false" outlineLevel="0" collapsed="false">
      <c r="A4298" s="0" t="n">
        <f aca="false">INDEX(LOGEST(Data!K1:K8,Data!BF1:BG8,FALSE(),TRUE()),3,1)</f>
        <v>0.91487181847682</v>
      </c>
      <c r="B4298" s="0" t="s">
        <v>4297</v>
      </c>
    </row>
    <row r="4299" customFormat="false" ht="15" hidden="false" customHeight="false" outlineLevel="0" collapsed="false">
      <c r="A4299" s="0" t="n">
        <f aca="false">INDEX(LOGEST(Data!K1:K8,Data!BF1:BG8,FALSE(),TRUE()),3,2)</f>
        <v>0.564290122119104</v>
      </c>
      <c r="B4299" s="0" t="s">
        <v>4298</v>
      </c>
    </row>
    <row r="4300" customFormat="false" ht="15" hidden="false" customHeight="false" outlineLevel="0" collapsed="false">
      <c r="A4300" s="0" t="e">
        <f aca="false">INDEX(LOGEST(Data!K1:K8,Data!BF1:BG8,FALSE(),TRUE()),3,3)</f>
        <v>#N/A</v>
      </c>
      <c r="B4300" s="0" t="s">
        <v>4299</v>
      </c>
    </row>
    <row r="4301" customFormat="false" ht="15" hidden="false" customHeight="false" outlineLevel="0" collapsed="false">
      <c r="A4301" s="0" t="n">
        <f aca="false">INDEX(LOGEST(Data!K1:K8,Data!BF1:BG8,FALSE(),TRUE()),4,1)</f>
        <v>32.2409736273187</v>
      </c>
      <c r="B4301" s="0" t="s">
        <v>4300</v>
      </c>
    </row>
    <row r="4302" customFormat="false" ht="15" hidden="false" customHeight="false" outlineLevel="0" collapsed="false">
      <c r="A4302" s="0" t="n">
        <f aca="false">INDEX(LOGEST(Data!K1:K8,Data!BF1:BG8,FALSE(),TRUE()),4,2)</f>
        <v>6</v>
      </c>
      <c r="B4302" s="0" t="s">
        <v>4301</v>
      </c>
    </row>
    <row r="4303" customFormat="false" ht="15" hidden="false" customHeight="false" outlineLevel="0" collapsed="false">
      <c r="A4303" s="0" t="e">
        <f aca="false">INDEX(LOGEST(Data!K1:K8,Data!BF1:BG8,FALSE(),TRUE()),4,3)</f>
        <v>#N/A</v>
      </c>
      <c r="B4303" s="0" t="s">
        <v>4302</v>
      </c>
    </row>
    <row r="4304" customFormat="false" ht="15" hidden="false" customHeight="false" outlineLevel="0" collapsed="false">
      <c r="A4304" s="0" t="n">
        <f aca="false">INDEX(LOGEST(Data!K1:K8,Data!BF1:BG8,FALSE(),TRUE()),5,1)</f>
        <v>20.5325571384077</v>
      </c>
      <c r="B4304" s="0" t="s">
        <v>4303</v>
      </c>
    </row>
    <row r="4305" customFormat="false" ht="15" hidden="false" customHeight="false" outlineLevel="0" collapsed="false">
      <c r="A4305" s="0" t="n">
        <f aca="false">INDEX(LOGEST(Data!K1:K8,Data!BF1:BG8,FALSE(),TRUE()),5,2)</f>
        <v>1.91054005152716</v>
      </c>
      <c r="B4305" s="0" t="s">
        <v>4304</v>
      </c>
    </row>
    <row r="4306" customFormat="false" ht="15" hidden="false" customHeight="false" outlineLevel="0" collapsed="false">
      <c r="A4306" s="0" t="e">
        <f aca="false">INDEX(LOGEST(Data!K1:K8,Data!BF1:BG8,FALSE(),TRUE()),5,3)</f>
        <v>#N/A</v>
      </c>
      <c r="B4306" s="0" t="s">
        <v>4305</v>
      </c>
    </row>
    <row r="4307" customFormat="false" ht="15" hidden="false" customHeight="false" outlineLevel="0" collapsed="false">
      <c r="A4307" s="0" t="n">
        <f aca="false">ROWS(LOGEST(Data!K1:K8,Data!BF1:BG8,FALSE(),TRUE()))</f>
        <v>5</v>
      </c>
      <c r="B4307" s="0" t="s">
        <v>4306</v>
      </c>
    </row>
    <row r="4308" customFormat="false" ht="15" hidden="false" customHeight="false" outlineLevel="0" collapsed="false">
      <c r="A4308" s="0" t="n">
        <f aca="false">COLUMNS(LOGEST(Data!K1:K8,Data!BF1:BG8,FALSE(),TRUE()))</f>
        <v>3</v>
      </c>
      <c r="B4308" s="0" t="s">
        <v>4307</v>
      </c>
    </row>
    <row r="4309" customFormat="false" ht="15" hidden="false" customHeight="false" outlineLevel="0" collapsed="false">
      <c r="A4309" s="0" t="e">
        <f aca="false">INDEX(LOGEST(Data!K1:K8,Data!BF1:BH8,TRUE(),TRUE()),1,1)</f>
        <v>#VALUE!</v>
      </c>
      <c r="B4309" s="0" t="s">
        <v>4308</v>
      </c>
    </row>
    <row r="4310" customFormat="false" ht="15" hidden="false" customHeight="false" outlineLevel="0" collapsed="false">
      <c r="A4310" s="0" t="e">
        <f aca="false">INDEX(LOGEST(Data!K1:K8,Data!BF1:BH8,TRUE(),TRUE()),1,2)</f>
        <v>#VALUE!</v>
      </c>
      <c r="B4310" s="0" t="s">
        <v>4309</v>
      </c>
    </row>
    <row r="4311" customFormat="false" ht="15" hidden="false" customHeight="false" outlineLevel="0" collapsed="false">
      <c r="A4311" s="0" t="e">
        <f aca="false">INDEX(LOGEST(Data!K1:K8,Data!BF1:BH8,TRUE(),TRUE()),1,3)</f>
        <v>#VALUE!</v>
      </c>
      <c r="B4311" s="0" t="s">
        <v>4310</v>
      </c>
    </row>
    <row r="4312" customFormat="false" ht="15" hidden="false" customHeight="false" outlineLevel="0" collapsed="false">
      <c r="A4312" s="0" t="e">
        <f aca="false">INDEX(LOGEST(Data!K1:K8,Data!BF1:BH8,TRUE(),TRUE()),1,4)</f>
        <v>#VALUE!</v>
      </c>
      <c r="B4312" s="0" t="s">
        <v>4311</v>
      </c>
    </row>
    <row r="4313" customFormat="false" ht="15" hidden="false" customHeight="false" outlineLevel="0" collapsed="false">
      <c r="A4313" s="0" t="e">
        <f aca="false">INDEX(LOGEST(Data!K1:K8,Data!BF1:BH8,TRUE(),TRUE()),2,1)</f>
        <v>#VALUE!</v>
      </c>
      <c r="B4313" s="0" t="s">
        <v>4312</v>
      </c>
    </row>
    <row r="4314" customFormat="false" ht="15" hidden="false" customHeight="false" outlineLevel="0" collapsed="false">
      <c r="A4314" s="0" t="e">
        <f aca="false">INDEX(LOGEST(Data!K1:K8,Data!BF1:BH8,TRUE(),TRUE()),2,2)</f>
        <v>#VALUE!</v>
      </c>
      <c r="B4314" s="0" t="s">
        <v>4313</v>
      </c>
    </row>
    <row r="4315" customFormat="false" ht="15" hidden="false" customHeight="false" outlineLevel="0" collapsed="false">
      <c r="A4315" s="0" t="e">
        <f aca="false">INDEX(LOGEST(Data!K1:K8,Data!BF1:BH8,TRUE(),TRUE()),2,3)</f>
        <v>#VALUE!</v>
      </c>
      <c r="B4315" s="0" t="s">
        <v>4314</v>
      </c>
    </row>
    <row r="4316" customFormat="false" ht="15" hidden="false" customHeight="false" outlineLevel="0" collapsed="false">
      <c r="A4316" s="0" t="e">
        <f aca="false">INDEX(LOGEST(Data!K1:K8,Data!BF1:BH8,TRUE(),TRUE()),2,4)</f>
        <v>#VALUE!</v>
      </c>
      <c r="B4316" s="0" t="s">
        <v>4315</v>
      </c>
    </row>
    <row r="4317" customFormat="false" ht="15" hidden="false" customHeight="false" outlineLevel="0" collapsed="false">
      <c r="A4317" s="0" t="e">
        <f aca="false">INDEX(LOGEST(Data!K1:K8,Data!BF1:BH8,TRUE(),TRUE()),3,1)</f>
        <v>#VALUE!</v>
      </c>
      <c r="B4317" s="0" t="s">
        <v>4316</v>
      </c>
    </row>
    <row r="4318" customFormat="false" ht="15" hidden="false" customHeight="false" outlineLevel="0" collapsed="false">
      <c r="A4318" s="0" t="e">
        <f aca="false">INDEX(LOGEST(Data!K1:K8,Data!BF1:BH8,TRUE(),TRUE()),3,2)</f>
        <v>#VALUE!</v>
      </c>
      <c r="B4318" s="0" t="s">
        <v>4317</v>
      </c>
    </row>
    <row r="4319" customFormat="false" ht="15" hidden="false" customHeight="false" outlineLevel="0" collapsed="false">
      <c r="A4319" s="0" t="e">
        <f aca="false">INDEX(LOGEST(Data!K1:K8,Data!BF1:BH8,TRUE(),TRUE()),3,3)</f>
        <v>#VALUE!</v>
      </c>
      <c r="B4319" s="0" t="s">
        <v>4318</v>
      </c>
    </row>
    <row r="4320" customFormat="false" ht="15" hidden="false" customHeight="false" outlineLevel="0" collapsed="false">
      <c r="A4320" s="0" t="e">
        <f aca="false">INDEX(LOGEST(Data!K1:K8,Data!BF1:BH8,TRUE(),TRUE()),3,4)</f>
        <v>#VALUE!</v>
      </c>
      <c r="B4320" s="0" t="s">
        <v>4319</v>
      </c>
    </row>
    <row r="4321" customFormat="false" ht="15" hidden="false" customHeight="false" outlineLevel="0" collapsed="false">
      <c r="A4321" s="0" t="e">
        <f aca="false">INDEX(LOGEST(Data!K1:K8,Data!BF1:BH8,TRUE(),TRUE()),4,1)</f>
        <v>#VALUE!</v>
      </c>
      <c r="B4321" s="0" t="s">
        <v>4320</v>
      </c>
    </row>
    <row r="4322" customFormat="false" ht="15" hidden="false" customHeight="false" outlineLevel="0" collapsed="false">
      <c r="A4322" s="0" t="e">
        <f aca="false">INDEX(LOGEST(Data!K1:K8,Data!BF1:BH8,TRUE(),TRUE()),4,2)</f>
        <v>#VALUE!</v>
      </c>
      <c r="B4322" s="0" t="s">
        <v>4321</v>
      </c>
    </row>
    <row r="4323" customFormat="false" ht="15" hidden="false" customHeight="false" outlineLevel="0" collapsed="false">
      <c r="A4323" s="0" t="e">
        <f aca="false">INDEX(LOGEST(Data!K1:K8,Data!BF1:BH8,TRUE(),TRUE()),4,3)</f>
        <v>#VALUE!</v>
      </c>
      <c r="B4323" s="0" t="s">
        <v>4322</v>
      </c>
    </row>
    <row r="4324" customFormat="false" ht="15" hidden="false" customHeight="false" outlineLevel="0" collapsed="false">
      <c r="A4324" s="0" t="e">
        <f aca="false">INDEX(LOGEST(Data!K1:K8,Data!BF1:BH8,TRUE(),TRUE()),4,4)</f>
        <v>#VALUE!</v>
      </c>
      <c r="B4324" s="0" t="s">
        <v>4323</v>
      </c>
    </row>
    <row r="4325" customFormat="false" ht="15" hidden="false" customHeight="false" outlineLevel="0" collapsed="false">
      <c r="A4325" s="0" t="e">
        <f aca="false">INDEX(LOGEST(Data!K1:K8,Data!BF1:BH8,TRUE(),TRUE()),5,1)</f>
        <v>#VALUE!</v>
      </c>
      <c r="B4325" s="0" t="s">
        <v>4324</v>
      </c>
    </row>
    <row r="4326" customFormat="false" ht="15" hidden="false" customHeight="false" outlineLevel="0" collapsed="false">
      <c r="A4326" s="0" t="e">
        <f aca="false">INDEX(LOGEST(Data!K1:K8,Data!BF1:BH8,TRUE(),TRUE()),5,2)</f>
        <v>#VALUE!</v>
      </c>
      <c r="B4326" s="0" t="s">
        <v>4325</v>
      </c>
    </row>
    <row r="4327" customFormat="false" ht="15" hidden="false" customHeight="false" outlineLevel="0" collapsed="false">
      <c r="A4327" s="0" t="e">
        <f aca="false">INDEX(LOGEST(Data!K1:K8,Data!BF1:BH8,TRUE(),TRUE()),5,3)</f>
        <v>#VALUE!</v>
      </c>
      <c r="B4327" s="0" t="s">
        <v>4326</v>
      </c>
    </row>
    <row r="4328" customFormat="false" ht="15" hidden="false" customHeight="false" outlineLevel="0" collapsed="false">
      <c r="A4328" s="0" t="e">
        <f aca="false">INDEX(LOGEST(Data!K1:K8,Data!BF1:BH8,TRUE(),TRUE()),5,4)</f>
        <v>#VALUE!</v>
      </c>
      <c r="B4328" s="0" t="s">
        <v>4327</v>
      </c>
    </row>
    <row r="4329" customFormat="false" ht="15" hidden="false" customHeight="false" outlineLevel="0" collapsed="false">
      <c r="A4329" s="0" t="e">
        <f aca="false">ROWS(LOGEST(Data!K1:K8,Data!BF1:BH8,TRUE(),TRUE()))</f>
        <v>#VALUE!</v>
      </c>
      <c r="B4329" s="0" t="s">
        <v>4328</v>
      </c>
    </row>
    <row r="4330" customFormat="false" ht="15" hidden="false" customHeight="false" outlineLevel="0" collapsed="false">
      <c r="A4330" s="0" t="e">
        <f aca="false">COLUMNS(LOGEST(Data!K1:K8,Data!BF1:BH8,TRUE(),TRUE()))</f>
        <v>#VALUE!</v>
      </c>
      <c r="B4330" s="0" t="s">
        <v>4329</v>
      </c>
    </row>
    <row r="4331" customFormat="false" ht="15" hidden="false" customHeight="false" outlineLevel="0" collapsed="false">
      <c r="A4331" s="0" t="n">
        <f aca="false">INDEX(LOGEST(Data!K1:K8,Data!BG1:BH8,TRUE(),TRUE()),1,1)</f>
        <v>1.06940909108826</v>
      </c>
      <c r="B4331" s="0" t="s">
        <v>4330</v>
      </c>
    </row>
    <row r="4332" customFormat="false" ht="15" hidden="false" customHeight="false" outlineLevel="0" collapsed="false">
      <c r="A4332" s="0" t="n">
        <f aca="false">INDEX(LOGEST(Data!K1:K8,Data!BG1:BH8,TRUE(),TRUE()),1,2)</f>
        <v>0.956642712852527</v>
      </c>
      <c r="B4332" s="0" t="s">
        <v>4331</v>
      </c>
    </row>
    <row r="4333" customFormat="false" ht="15" hidden="false" customHeight="false" outlineLevel="0" collapsed="false">
      <c r="A4333" s="0" t="n">
        <f aca="false">INDEX(LOGEST(Data!K1:K8,Data!BG1:BH8,TRUE(),TRUE()),1,3)</f>
        <v>3.27588779821027</v>
      </c>
      <c r="B4333" s="0" t="s">
        <v>4332</v>
      </c>
    </row>
    <row r="4334" customFormat="false" ht="15" hidden="false" customHeight="false" outlineLevel="0" collapsed="false">
      <c r="A4334" s="0" t="n">
        <f aca="false">INDEX(LOGEST(Data!K1:K8,Data!BG1:BH8,TRUE(),TRUE()),2,1)</f>
        <v>0.0253227711172691</v>
      </c>
      <c r="B4334" s="0" t="s">
        <v>4333</v>
      </c>
    </row>
    <row r="4335" customFormat="false" ht="15" hidden="false" customHeight="false" outlineLevel="0" collapsed="false">
      <c r="A4335" s="0" t="n">
        <f aca="false">INDEX(LOGEST(Data!K1:K8,Data!BG1:BH8,TRUE(),TRUE()),2,2)</f>
        <v>0.0597154521100739</v>
      </c>
      <c r="B4335" s="0" t="s">
        <v>4334</v>
      </c>
    </row>
    <row r="4336" customFormat="false" ht="15" hidden="false" customHeight="false" outlineLevel="0" collapsed="false">
      <c r="A4336" s="0" t="n">
        <f aca="false">INDEX(LOGEST(Data!K1:K8,Data!BG1:BH8,TRUE(),TRUE()),2,3)</f>
        <v>0.376346176486411</v>
      </c>
      <c r="B4336" s="0" t="s">
        <v>4335</v>
      </c>
    </row>
    <row r="4337" customFormat="false" ht="15" hidden="false" customHeight="false" outlineLevel="0" collapsed="false">
      <c r="A4337" s="0" t="n">
        <f aca="false">INDEX(LOGEST(Data!K1:K8,Data!BG1:BH8,TRUE(),TRUE()),3,1)</f>
        <v>0.605002812100544</v>
      </c>
      <c r="B4337" s="0" t="s">
        <v>4336</v>
      </c>
    </row>
    <row r="4338" customFormat="false" ht="15" hidden="false" customHeight="false" outlineLevel="0" collapsed="false">
      <c r="A4338" s="0" t="n">
        <f aca="false">INDEX(LOGEST(Data!K1:K8,Data!BG1:BH8,TRUE(),TRUE()),3,2)</f>
        <v>0.357593604262351</v>
      </c>
      <c r="B4338" s="0" t="s">
        <v>4337</v>
      </c>
    </row>
    <row r="4339" customFormat="false" ht="15" hidden="false" customHeight="false" outlineLevel="0" collapsed="false">
      <c r="A4339" s="0" t="e">
        <f aca="false">INDEX(LOGEST(Data!K1:K8,Data!BG1:BH8,TRUE(),TRUE()),3,3)</f>
        <v>#N/A</v>
      </c>
      <c r="B4339" s="0" t="s">
        <v>4338</v>
      </c>
    </row>
    <row r="4340" customFormat="false" ht="15" hidden="false" customHeight="false" outlineLevel="0" collapsed="false">
      <c r="A4340" s="0" t="n">
        <f aca="false">INDEX(LOGEST(Data!K1:K8,Data!BG1:BH8,TRUE(),TRUE()),4,1)</f>
        <v>3.82915898286435</v>
      </c>
      <c r="B4340" s="0" t="s">
        <v>4339</v>
      </c>
    </row>
    <row r="4341" customFormat="false" ht="15" hidden="false" customHeight="false" outlineLevel="0" collapsed="false">
      <c r="A4341" s="0" t="n">
        <f aca="false">INDEX(LOGEST(Data!K1:K8,Data!BG1:BH8,TRUE(),TRUE()),4,2)</f>
        <v>5</v>
      </c>
      <c r="B4341" s="0" t="s">
        <v>4340</v>
      </c>
    </row>
    <row r="4342" customFormat="false" ht="15" hidden="false" customHeight="false" outlineLevel="0" collapsed="false">
      <c r="A4342" s="0" t="e">
        <f aca="false">INDEX(LOGEST(Data!K1:K8,Data!BG1:BH8,TRUE(),TRUE()),4,3)</f>
        <v>#N/A</v>
      </c>
      <c r="B4342" s="0" t="s">
        <v>4341</v>
      </c>
    </row>
    <row r="4343" customFormat="false" ht="15" hidden="false" customHeight="false" outlineLevel="0" collapsed="false">
      <c r="A4343" s="0" t="n">
        <f aca="false">INDEX(LOGEST(Data!K1:K8,Data!BG1:BH8,TRUE(),TRUE()),5,1)</f>
        <v>0.979293516218626</v>
      </c>
      <c r="B4343" s="0" t="s">
        <v>4342</v>
      </c>
    </row>
    <row r="4344" customFormat="false" ht="15" hidden="false" customHeight="false" outlineLevel="0" collapsed="false">
      <c r="A4344" s="0" t="n">
        <f aca="false">INDEX(LOGEST(Data!K1:K8,Data!BG1:BH8,TRUE(),TRUE()),5,2)</f>
        <v>0.639365929046696</v>
      </c>
      <c r="B4344" s="0" t="s">
        <v>4343</v>
      </c>
    </row>
    <row r="4345" customFormat="false" ht="15" hidden="false" customHeight="false" outlineLevel="0" collapsed="false">
      <c r="A4345" s="0" t="e">
        <f aca="false">INDEX(LOGEST(Data!K1:K8,Data!BG1:BH8,TRUE(),TRUE()),5,3)</f>
        <v>#N/A</v>
      </c>
      <c r="B4345" s="0" t="s">
        <v>4344</v>
      </c>
    </row>
    <row r="4346" customFormat="false" ht="15" hidden="false" customHeight="false" outlineLevel="0" collapsed="false">
      <c r="A4346" s="0" t="n">
        <f aca="false">ROWS(LOGEST(Data!K1:K8,Data!BG1:BH8,TRUE(),TRUE()))</f>
        <v>5</v>
      </c>
      <c r="B4346" s="0" t="s">
        <v>4345</v>
      </c>
    </row>
    <row r="4347" customFormat="false" ht="15" hidden="false" customHeight="false" outlineLevel="0" collapsed="false">
      <c r="A4347" s="0" t="n">
        <f aca="false">COLUMNS(LOGEST(Data!K1:K8,Data!BG1:BH8,TRUE(),TRUE()))</f>
        <v>3</v>
      </c>
      <c r="B4347" s="0" t="s">
        <v>4346</v>
      </c>
    </row>
    <row r="4348" customFormat="false" ht="15" hidden="false" customHeight="false" outlineLevel="0" collapsed="false">
      <c r="A4348" s="0" t="n">
        <f aca="false">INDEX(LOGEST(Data!K1:K8,Data!A1:A8,TRUE(),TRUE()),1,1)</f>
        <v>1.01171352069179</v>
      </c>
      <c r="B4348" s="0" t="s">
        <v>4205</v>
      </c>
    </row>
    <row r="4349" customFormat="false" ht="15" hidden="false" customHeight="false" outlineLevel="0" collapsed="false">
      <c r="A4349" s="0" t="n">
        <f aca="false">INDEX(LOGEST(Data!K1:K8,Data!A1:A8,TRUE(),TRUE()),1,2)</f>
        <v>4.74279648832128</v>
      </c>
      <c r="B4349" s="0" t="s">
        <v>4206</v>
      </c>
    </row>
    <row r="4350" customFormat="false" ht="15" hidden="false" customHeight="false" outlineLevel="0" collapsed="false">
      <c r="A4350" s="0" t="n">
        <f aca="false">INDEX(LOGEST(Data!K1:K8,Data!A1:A8,TRUE(),TRUE()),2,1)</f>
        <v>0.0675247332336474</v>
      </c>
      <c r="B4350" s="0" t="s">
        <v>4207</v>
      </c>
    </row>
    <row r="4351" customFormat="false" ht="15" hidden="false" customHeight="false" outlineLevel="0" collapsed="false">
      <c r="A4351" s="0" t="n">
        <f aca="false">INDEX(LOGEST(Data!K1:K8,Data!A1:A8,TRUE(),TRUE()),2,2)</f>
        <v>0.376719028250919</v>
      </c>
      <c r="B4351" s="0" t="s">
        <v>4208</v>
      </c>
    </row>
    <row r="4352" customFormat="false" ht="15" hidden="false" customHeight="false" outlineLevel="0" collapsed="false">
      <c r="A4352" s="0" t="n">
        <f aca="false">INDEX(LOGEST(Data!K1:K8,Data!A1:A8,TRUE(),TRUE()),3,1)</f>
        <v>0.00493273597355299</v>
      </c>
      <c r="B4352" s="0" t="s">
        <v>4209</v>
      </c>
    </row>
    <row r="4353" customFormat="false" ht="15" hidden="false" customHeight="false" outlineLevel="0" collapsed="false">
      <c r="A4353" s="0" t="n">
        <f aca="false">INDEX(LOGEST(Data!K1:K8,Data!A1:A8,TRUE(),TRUE()),3,2)</f>
        <v>0.518117590512477</v>
      </c>
      <c r="B4353" s="0" t="s">
        <v>4210</v>
      </c>
    </row>
    <row r="4354" customFormat="false" ht="15" hidden="false" customHeight="false" outlineLevel="0" collapsed="false">
      <c r="A4354" s="0" t="n">
        <f aca="false">INDEX(LOGEST(Data!K1:K8,Data!A1:A8,TRUE(),TRUE()),4,1)</f>
        <v>0.0297431308528418</v>
      </c>
      <c r="B4354" s="0" t="s">
        <v>4211</v>
      </c>
    </row>
    <row r="4355" customFormat="false" ht="15" hidden="false" customHeight="false" outlineLevel="0" collapsed="false">
      <c r="A4355" s="0" t="n">
        <f aca="false">INDEX(LOGEST(Data!K1:K8,Data!A1:A8,TRUE(),TRUE()),4,2)</f>
        <v>6</v>
      </c>
      <c r="B4355" s="0" t="s">
        <v>4212</v>
      </c>
    </row>
    <row r="4356" customFormat="false" ht="15" hidden="false" customHeight="false" outlineLevel="0" collapsed="false">
      <c r="A4356" s="0" t="n">
        <f aca="false">INDEX(LOGEST(Data!K1:K8,Data!A1:A8,TRUE(),TRUE()),5,1)</f>
        <v>0.00798441967459158</v>
      </c>
      <c r="B4356" s="0" t="s">
        <v>4213</v>
      </c>
    </row>
    <row r="4357" customFormat="false" ht="15" hidden="false" customHeight="false" outlineLevel="0" collapsed="false">
      <c r="A4357" s="0" t="n">
        <f aca="false">INDEX(LOGEST(Data!K1:K8,Data!A1:A8,TRUE(),TRUE()),5,2)</f>
        <v>1.61067502559073</v>
      </c>
      <c r="B4357" s="0" t="s">
        <v>4214</v>
      </c>
    </row>
    <row r="4358" customFormat="false" ht="15" hidden="false" customHeight="false" outlineLevel="0" collapsed="false">
      <c r="A4358" s="0" t="n">
        <f aca="false">ROWS(LOGEST(Data!K1:K8,Data!A1:A8,TRUE(),TRUE()))</f>
        <v>5</v>
      </c>
      <c r="B4358" s="0" t="s">
        <v>4215</v>
      </c>
    </row>
    <row r="4359" customFormat="false" ht="15" hidden="false" customHeight="false" outlineLevel="0" collapsed="false">
      <c r="A4359" s="0" t="n">
        <f aca="false">COLUMNS(LOGEST(Data!K1:K8,Data!A1:A8,TRUE(),TRUE()))</f>
        <v>2</v>
      </c>
      <c r="B4359" s="0" t="s">
        <v>4216</v>
      </c>
    </row>
    <row r="4360" customFormat="false" ht="15" hidden="false" customHeight="false" outlineLevel="0" collapsed="false">
      <c r="A4360" s="0" t="n">
        <f aca="false">INDEX(LOGEST(TRANSPOSE(Data!K1:K8),TRANSPOSE(Data!A1:A8),TRUE(),TRUE()),1,1)</f>
        <v>1.01171352069179</v>
      </c>
      <c r="B4360" s="0" t="s">
        <v>4347</v>
      </c>
    </row>
    <row r="4361" customFormat="false" ht="15" hidden="false" customHeight="false" outlineLevel="0" collapsed="false">
      <c r="A4361" s="0" t="n">
        <f aca="false">INDEX(LOGEST(TRANSPOSE(Data!K1:K8),TRANSPOSE(Data!A1:A8),TRUE(),TRUE()),1,2)</f>
        <v>4.74279648832128</v>
      </c>
      <c r="B4361" s="0" t="s">
        <v>4348</v>
      </c>
    </row>
    <row r="4362" customFormat="false" ht="15" hidden="false" customHeight="false" outlineLevel="0" collapsed="false">
      <c r="A4362" s="0" t="n">
        <f aca="false">INDEX(LOGEST(TRANSPOSE(Data!K1:K8),TRANSPOSE(Data!A1:A8),TRUE(),TRUE()),2,1)</f>
        <v>0.0675247332336474</v>
      </c>
      <c r="B4362" s="0" t="s">
        <v>4349</v>
      </c>
    </row>
    <row r="4363" customFormat="false" ht="15" hidden="false" customHeight="false" outlineLevel="0" collapsed="false">
      <c r="A4363" s="0" t="n">
        <f aca="false">INDEX(LOGEST(TRANSPOSE(Data!K1:K8),TRANSPOSE(Data!A1:A8),TRUE(),TRUE()),2,2)</f>
        <v>0.376719028250919</v>
      </c>
      <c r="B4363" s="0" t="s">
        <v>4350</v>
      </c>
    </row>
    <row r="4364" customFormat="false" ht="15" hidden="false" customHeight="false" outlineLevel="0" collapsed="false">
      <c r="A4364" s="0" t="n">
        <f aca="false">INDEX(LOGEST(TRANSPOSE(Data!K1:K8),TRANSPOSE(Data!A1:A8),TRUE(),TRUE()),3,1)</f>
        <v>0.00493273597355299</v>
      </c>
      <c r="B4364" s="0" t="s">
        <v>4351</v>
      </c>
    </row>
    <row r="4365" customFormat="false" ht="15" hidden="false" customHeight="false" outlineLevel="0" collapsed="false">
      <c r="A4365" s="0" t="n">
        <f aca="false">INDEX(LOGEST(TRANSPOSE(Data!K1:K8),TRANSPOSE(Data!A1:A8),TRUE(),TRUE()),3,2)</f>
        <v>0.518117590512477</v>
      </c>
      <c r="B4365" s="0" t="s">
        <v>4352</v>
      </c>
    </row>
    <row r="4366" customFormat="false" ht="15" hidden="false" customHeight="false" outlineLevel="0" collapsed="false">
      <c r="A4366" s="0" t="n">
        <f aca="false">INDEX(LOGEST(TRANSPOSE(Data!K1:K8),TRANSPOSE(Data!A1:A8),TRUE(),TRUE()),4,1)</f>
        <v>0.0297431308528418</v>
      </c>
      <c r="B4366" s="0" t="s">
        <v>4353</v>
      </c>
    </row>
    <row r="4367" customFormat="false" ht="15" hidden="false" customHeight="false" outlineLevel="0" collapsed="false">
      <c r="A4367" s="0" t="n">
        <f aca="false">INDEX(LOGEST(TRANSPOSE(Data!K1:K8),TRANSPOSE(Data!A1:A8),TRUE(),TRUE()),4,2)</f>
        <v>6</v>
      </c>
      <c r="B4367" s="0" t="s">
        <v>4354</v>
      </c>
    </row>
    <row r="4368" customFormat="false" ht="15" hidden="false" customHeight="false" outlineLevel="0" collapsed="false">
      <c r="A4368" s="0" t="n">
        <f aca="false">INDEX(LOGEST(TRANSPOSE(Data!K1:K8),TRANSPOSE(Data!A1:A8),TRUE(),TRUE()),5,1)</f>
        <v>0.00798441967459158</v>
      </c>
      <c r="B4368" s="0" t="s">
        <v>4355</v>
      </c>
    </row>
    <row r="4369" customFormat="false" ht="15" hidden="false" customHeight="false" outlineLevel="0" collapsed="false">
      <c r="A4369" s="0" t="n">
        <f aca="false">INDEX(LOGEST(TRANSPOSE(Data!K1:K8),TRANSPOSE(Data!A1:A8),TRUE(),TRUE()),5,2)</f>
        <v>1.61067502559073</v>
      </c>
      <c r="B4369" s="0" t="s">
        <v>4356</v>
      </c>
    </row>
    <row r="4370" customFormat="false" ht="15" hidden="false" customHeight="false" outlineLevel="0" collapsed="false">
      <c r="A4370" s="0" t="n">
        <f aca="false">ROWS(LOGEST(TRANSPOSE(Data!K1:K8),TRANSPOSE(Data!A1:A8),TRUE(),TRUE()))</f>
        <v>5</v>
      </c>
      <c r="B4370" s="0" t="s">
        <v>4357</v>
      </c>
    </row>
    <row r="4371" customFormat="false" ht="15" hidden="false" customHeight="false" outlineLevel="0" collapsed="false">
      <c r="A4371" s="0" t="n">
        <f aca="false">COLUMNS(LOGEST(TRANSPOSE(Data!K1:K8),TRANSPOSE(Data!A1:A8),TRUE(),TRUE()))</f>
        <v>2</v>
      </c>
      <c r="B4371" s="0" t="s">
        <v>4358</v>
      </c>
    </row>
    <row r="4372" customFormat="false" ht="15" hidden="false" customHeight="false" outlineLevel="0" collapsed="false">
      <c r="A4372" s="0" t="e">
        <f aca="false">INDEX(LOGEST(TRANSPOSE(Data!K1:K8),Data!BF1:BG8),1,1)</f>
        <v>#VALUE!</v>
      </c>
      <c r="B4372" s="0" t="s">
        <v>4359</v>
      </c>
    </row>
    <row r="4373" customFormat="false" ht="15" hidden="false" customHeight="false" outlineLevel="0" collapsed="false">
      <c r="A4373" s="0" t="e">
        <f aca="false">INDEX(LOGEST(TRANSPOSE(Data!K1:K8),Data!BF1:BG8),1,2)</f>
        <v>#VALUE!</v>
      </c>
      <c r="B4373" s="0" t="s">
        <v>4360</v>
      </c>
    </row>
    <row r="4374" customFormat="false" ht="15" hidden="false" customHeight="false" outlineLevel="0" collapsed="false">
      <c r="A4374" s="0" t="e">
        <f aca="false">INDEX(LOGEST(TRANSPOSE(Data!K1:K8),Data!BF1:BG8),1,3)</f>
        <v>#VALUE!</v>
      </c>
      <c r="B4374" s="0" t="s">
        <v>4361</v>
      </c>
    </row>
    <row r="4375" customFormat="false" ht="15" hidden="false" customHeight="false" outlineLevel="0" collapsed="false">
      <c r="A4375" s="0" t="e">
        <f aca="false">ROWS(LOGEST(TRANSPOSE(Data!K1:K8),Data!BF1:BG8))</f>
        <v>#VALUE!</v>
      </c>
      <c r="B4375" s="0" t="s">
        <v>4362</v>
      </c>
    </row>
    <row r="4376" customFormat="false" ht="15" hidden="false" customHeight="false" outlineLevel="0" collapsed="false">
      <c r="A4376" s="0" t="e">
        <f aca="false">COLUMNS(LOGEST(TRANSPOSE(Data!K1:K8),Data!BF1:BG8))</f>
        <v>#VALUE!</v>
      </c>
      <c r="B4376" s="0" t="s">
        <v>4363</v>
      </c>
    </row>
    <row r="4377" customFormat="false" ht="15" hidden="false" customHeight="false" outlineLevel="0" collapsed="false">
      <c r="A4377" s="0" t="n">
        <f aca="false">INDEX(LOGEST(Data!K1:K4,Data!A1:A4,TRUE(),TRUE()),1,1)</f>
        <v>1.01191823602466</v>
      </c>
      <c r="B4377" s="0" t="s">
        <v>4364</v>
      </c>
    </row>
    <row r="4378" customFormat="false" ht="15" hidden="false" customHeight="false" outlineLevel="0" collapsed="false">
      <c r="A4378" s="0" t="n">
        <f aca="false">INDEX(LOGEST(Data!K1:K4,Data!A1:A4,TRUE(),TRUE()),1,2)</f>
        <v>3.38190925338293</v>
      </c>
      <c r="B4378" s="0" t="s">
        <v>4365</v>
      </c>
    </row>
    <row r="4379" customFormat="false" ht="15" hidden="false" customHeight="false" outlineLevel="0" collapsed="false">
      <c r="A4379" s="0" t="n">
        <f aca="false">INDEX(LOGEST(Data!K1:K4,Data!A1:A4,TRUE(),TRUE()),2,1)</f>
        <v>0.0938546614827308</v>
      </c>
      <c r="B4379" s="0" t="s">
        <v>4366</v>
      </c>
    </row>
    <row r="4380" customFormat="false" ht="15" hidden="false" customHeight="false" outlineLevel="0" collapsed="false">
      <c r="A4380" s="0" t="n">
        <f aca="false">INDEX(LOGEST(Data!K1:K4,Data!A1:A4,TRUE(),TRUE()),2,2)</f>
        <v>0.466921045446058</v>
      </c>
      <c r="B4380" s="0" t="s">
        <v>4367</v>
      </c>
    </row>
    <row r="4381" customFormat="false" ht="15" hidden="false" customHeight="false" outlineLevel="0" collapsed="false">
      <c r="A4381" s="0" t="n">
        <f aca="false">INDEX(LOGEST(Data!K1:K4,Data!A1:A4,TRUE(),TRUE()),3,1)</f>
        <v>0.0079046958476526</v>
      </c>
      <c r="B4381" s="0" t="s">
        <v>4368</v>
      </c>
    </row>
    <row r="4382" customFormat="false" ht="15" hidden="false" customHeight="false" outlineLevel="0" collapsed="false">
      <c r="A4382" s="0" t="n">
        <f aca="false">INDEX(LOGEST(Data!K1:K4,Data!A1:A4,TRUE(),TRUE()),3,2)</f>
        <v>0.485420083684757</v>
      </c>
      <c r="B4382" s="0" t="s">
        <v>4369</v>
      </c>
    </row>
    <row r="4383" customFormat="false" ht="15" hidden="false" customHeight="false" outlineLevel="0" collapsed="false">
      <c r="A4383" s="0" t="n">
        <f aca="false">INDEX(LOGEST(Data!K1:K4,Data!A1:A4,TRUE(),TRUE()),4,1)</f>
        <v>0.0159353558364162</v>
      </c>
      <c r="B4383" s="0" t="s">
        <v>4370</v>
      </c>
    </row>
    <row r="4384" customFormat="false" ht="15" hidden="false" customHeight="false" outlineLevel="0" collapsed="false">
      <c r="A4384" s="0" t="n">
        <f aca="false">INDEX(LOGEST(Data!K1:K4,Data!A1:A4,TRUE(),TRUE()),4,2)</f>
        <v>2</v>
      </c>
      <c r="B4384" s="0" t="s">
        <v>4371</v>
      </c>
    </row>
    <row r="4385" customFormat="false" ht="15" hidden="false" customHeight="false" outlineLevel="0" collapsed="false">
      <c r="A4385" s="0" t="n">
        <f aca="false">INDEX(LOGEST(Data!K1:K4,Data!A1:A4,TRUE(),TRUE()),5,1)</f>
        <v>0.0037548902462458</v>
      </c>
      <c r="B4385" s="0" t="s">
        <v>4372</v>
      </c>
    </row>
    <row r="4386" customFormat="false" ht="15" hidden="false" customHeight="false" outlineLevel="0" collapsed="false">
      <c r="A4386" s="0" t="n">
        <f aca="false">INDEX(LOGEST(Data!K1:K4,Data!A1:A4,TRUE(),TRUE()),5,2)</f>
        <v>0.471265315289032</v>
      </c>
      <c r="B4386" s="0" t="s">
        <v>4373</v>
      </c>
    </row>
    <row r="4387" customFormat="false" ht="15" hidden="false" customHeight="false" outlineLevel="0" collapsed="false">
      <c r="A4387" s="0" t="n">
        <f aca="false">ROWS(LOGEST(Data!K1:K4,Data!A1:A4,TRUE(),TRUE()))</f>
        <v>5</v>
      </c>
      <c r="B4387" s="0" t="s">
        <v>4374</v>
      </c>
    </row>
    <row r="4388" customFormat="false" ht="15" hidden="false" customHeight="false" outlineLevel="0" collapsed="false">
      <c r="A4388" s="0" t="n">
        <f aca="false">COLUMNS(LOGEST(Data!K1:K4,Data!A1:A4,TRUE(),TRUE()))</f>
        <v>2</v>
      </c>
      <c r="B4388" s="0" t="s">
        <v>4375</v>
      </c>
    </row>
    <row r="4389" customFormat="false" ht="15" hidden="false" customHeight="false" outlineLevel="0" collapsed="false">
      <c r="A4389" s="0" t="n">
        <f aca="false">INDEX(LOGEST(Data!K1:K2,Data!A1:A2,TRUE(),TRUE()),1,1)</f>
        <v>0.707106781186548</v>
      </c>
      <c r="B4389" s="0" t="s">
        <v>4376</v>
      </c>
    </row>
    <row r="4390" customFormat="false" ht="15" hidden="false" customHeight="false" outlineLevel="0" collapsed="false">
      <c r="A4390" s="0" t="n">
        <f aca="false">INDEX(LOGEST(Data!K1:K2,Data!A1:A2,TRUE(),TRUE()),1,2)</f>
        <v>11.3137084989848</v>
      </c>
      <c r="B4390" s="0" t="s">
        <v>4377</v>
      </c>
    </row>
    <row r="4391" customFormat="false" ht="15" hidden="false" customHeight="false" outlineLevel="0" collapsed="false">
      <c r="A4391" s="0" t="n">
        <f aca="false">INDEX(LOGEST(Data!K1:K2,Data!A1:A2,TRUE(),TRUE()),2,1)</f>
        <v>0</v>
      </c>
      <c r="B4391" s="0" t="s">
        <v>4378</v>
      </c>
    </row>
    <row r="4392" customFormat="false" ht="15" hidden="false" customHeight="false" outlineLevel="0" collapsed="false">
      <c r="A4392" s="0" t="n">
        <f aca="false">INDEX(LOGEST(Data!K1:K2,Data!A1:A2,TRUE(),TRUE()),2,2)</f>
        <v>0</v>
      </c>
      <c r="B4392" s="0" t="s">
        <v>4379</v>
      </c>
    </row>
    <row r="4393" customFormat="false" ht="15" hidden="false" customHeight="false" outlineLevel="0" collapsed="false">
      <c r="A4393" s="0" t="n">
        <f aca="false">INDEX(LOGEST(Data!K1:K2,Data!A1:A2,TRUE(),TRUE()),3,1)</f>
        <v>1</v>
      </c>
      <c r="B4393" s="0" t="s">
        <v>4380</v>
      </c>
    </row>
    <row r="4394" customFormat="false" ht="15" hidden="false" customHeight="false" outlineLevel="0" collapsed="false">
      <c r="A4394" s="0" t="n">
        <f aca="false">INDEX(LOGEST(Data!K1:K2,Data!A1:A2,TRUE(),TRUE()),3,2)</f>
        <v>0</v>
      </c>
      <c r="B4394" s="0" t="s">
        <v>4381</v>
      </c>
    </row>
    <row r="4395" customFormat="false" ht="15" hidden="false" customHeight="false" outlineLevel="0" collapsed="false">
      <c r="A4395" s="0" t="e">
        <f aca="false">INDEX(LOGEST(Data!K1:K2,Data!A1:A2,TRUE(),TRUE()),4,1)</f>
        <v>#N/A</v>
      </c>
      <c r="B4395" s="0" t="s">
        <v>4382</v>
      </c>
    </row>
    <row r="4396" customFormat="false" ht="15" hidden="false" customHeight="false" outlineLevel="0" collapsed="false">
      <c r="A4396" s="0" t="n">
        <f aca="false">INDEX(LOGEST(Data!K1:K2,Data!A1:A2,TRUE(),TRUE()),4,2)</f>
        <v>0</v>
      </c>
      <c r="B4396" s="0" t="s">
        <v>4383</v>
      </c>
    </row>
    <row r="4397" customFormat="false" ht="15" hidden="false" customHeight="false" outlineLevel="0" collapsed="false">
      <c r="A4397" s="0" t="n">
        <f aca="false">INDEX(LOGEST(Data!K1:K2,Data!A1:A2,TRUE(),TRUE()),5,1)</f>
        <v>0.240226506959101</v>
      </c>
      <c r="B4397" s="0" t="s">
        <v>4384</v>
      </c>
    </row>
    <row r="4398" customFormat="false" ht="15" hidden="false" customHeight="false" outlineLevel="0" collapsed="false">
      <c r="A4398" s="0" t="n">
        <f aca="false">INDEX(LOGEST(Data!K1:K2,Data!A1:A2,TRUE(),TRUE()),5,2)</f>
        <v>0</v>
      </c>
      <c r="B4398" s="0" t="s">
        <v>4385</v>
      </c>
    </row>
    <row r="4399" customFormat="false" ht="15" hidden="false" customHeight="false" outlineLevel="0" collapsed="false">
      <c r="A4399" s="0" t="n">
        <f aca="false">ROWS(LOGEST(Data!K1:K2,Data!A1:A2,TRUE(),TRUE()))</f>
        <v>5</v>
      </c>
      <c r="B4399" s="0" t="s">
        <v>4386</v>
      </c>
    </row>
    <row r="4400" customFormat="false" ht="15" hidden="false" customHeight="false" outlineLevel="0" collapsed="false">
      <c r="A4400" s="0" t="n">
        <f aca="false">COLUMNS(LOGEST(Data!K1:K2,Data!A1:A2,TRUE(),TRUE()))</f>
        <v>2</v>
      </c>
      <c r="B4400" s="0" t="s">
        <v>4387</v>
      </c>
    </row>
    <row r="4401" customFormat="false" ht="15" hidden="false" customHeight="false" outlineLevel="0" collapsed="false">
      <c r="A4401" s="0" t="n">
        <f aca="false">INDEX(LOGEST(Data!K1:K3,Data!A1:A3,TRUE(),TRUE()),1,1)</f>
        <v>1.06739201599586</v>
      </c>
      <c r="B4401" s="0" t="s">
        <v>4388</v>
      </c>
    </row>
    <row r="4402" customFormat="false" ht="15" hidden="false" customHeight="false" outlineLevel="0" collapsed="false">
      <c r="A4402" s="0" t="n">
        <f aca="false">INDEX(LOGEST(Data!K1:K3,Data!A1:A3,TRUE(),TRUE()),1,2)</f>
        <v>2.41523242462416</v>
      </c>
      <c r="B4402" s="0" t="s">
        <v>4389</v>
      </c>
    </row>
    <row r="4403" customFormat="false" ht="15" hidden="false" customHeight="false" outlineLevel="0" collapsed="false">
      <c r="A4403" s="0" t="n">
        <f aca="false">INDEX(LOGEST(Data!K1:K3,Data!A1:A3,TRUE(),TRUE()),2,1)</f>
        <v>0.178311121204733</v>
      </c>
      <c r="B4403" s="0" t="s">
        <v>4390</v>
      </c>
    </row>
    <row r="4404" customFormat="false" ht="15" hidden="false" customHeight="false" outlineLevel="0" collapsed="false">
      <c r="A4404" s="0" t="n">
        <f aca="false">INDEX(LOGEST(Data!K1:K3,Data!A1:A3,TRUE(),TRUE()),2,2)</f>
        <v>1.01913294563538</v>
      </c>
      <c r="B4404" s="0" t="s">
        <v>4391</v>
      </c>
    </row>
    <row r="4405" customFormat="false" ht="15" hidden="false" customHeight="false" outlineLevel="0" collapsed="false">
      <c r="A4405" s="0" t="n">
        <f aca="false">INDEX(LOGEST(Data!K1:K3,Data!A1:A3,TRUE(),TRUE()),3,1)</f>
        <v>0.117992506898224</v>
      </c>
      <c r="B4405" s="0" t="s">
        <v>4392</v>
      </c>
    </row>
    <row r="4406" customFormat="false" ht="15" hidden="false" customHeight="false" outlineLevel="0" collapsed="false">
      <c r="A4406" s="0" t="n">
        <f aca="false">INDEX(LOGEST(Data!K1:K3,Data!A1:A3,TRUE(),TRUE()),3,2)</f>
        <v>0.634613931436791</v>
      </c>
      <c r="B4406" s="0" t="s">
        <v>4393</v>
      </c>
    </row>
    <row r="4407" customFormat="false" ht="15" hidden="false" customHeight="false" outlineLevel="0" collapsed="false">
      <c r="A4407" s="0" t="n">
        <f aca="false">INDEX(LOGEST(Data!K1:K3,Data!A1:A3,TRUE(),TRUE()),4,1)</f>
        <v>0.133777215977244</v>
      </c>
      <c r="B4407" s="0" t="s">
        <v>4394</v>
      </c>
    </row>
    <row r="4408" customFormat="false" ht="15" hidden="false" customHeight="false" outlineLevel="0" collapsed="false">
      <c r="A4408" s="0" t="n">
        <f aca="false">INDEX(LOGEST(Data!K1:K3,Data!A1:A3,TRUE(),TRUE()),4,2)</f>
        <v>1</v>
      </c>
      <c r="B4408" s="0" t="s">
        <v>4395</v>
      </c>
    </row>
    <row r="4409" customFormat="false" ht="15" hidden="false" customHeight="false" outlineLevel="0" collapsed="false">
      <c r="A4409" s="0" t="n">
        <f aca="false">INDEX(LOGEST(Data!K1:K3,Data!A1:A3,TRUE(),TRUE()),5,1)</f>
        <v>0.0538767459362716</v>
      </c>
      <c r="B4409" s="0" t="s">
        <v>4396</v>
      </c>
    </row>
    <row r="4410" customFormat="false" ht="15" hidden="false" customHeight="false" outlineLevel="0" collapsed="false">
      <c r="A4410" s="0" t="n">
        <f aca="false">INDEX(LOGEST(Data!K1:K3,Data!A1:A3,TRUE(),TRUE()),5,2)</f>
        <v>0.40273484197366</v>
      </c>
      <c r="B4410" s="0" t="s">
        <v>4397</v>
      </c>
    </row>
    <row r="4411" customFormat="false" ht="15" hidden="false" customHeight="false" outlineLevel="0" collapsed="false">
      <c r="A4411" s="0" t="n">
        <f aca="false">ROWS(LOGEST(Data!K1:K3,Data!A1:A3,TRUE(),TRUE()))</f>
        <v>5</v>
      </c>
      <c r="B4411" s="0" t="s">
        <v>4398</v>
      </c>
    </row>
    <row r="4412" customFormat="false" ht="15" hidden="false" customHeight="false" outlineLevel="0" collapsed="false">
      <c r="A4412" s="0" t="n">
        <f aca="false">COLUMNS(LOGEST(Data!K1:K3,Data!A1:A3,TRUE(),TRUE()))</f>
        <v>2</v>
      </c>
      <c r="B4412" s="0" t="s">
        <v>4399</v>
      </c>
    </row>
    <row r="4413" customFormat="false" ht="15" hidden="false" customHeight="false" outlineLevel="0" collapsed="false">
      <c r="A4413" s="0" t="e">
        <f aca="false">INDEX(LOGEST(Data!K1,Data!A1,TRUE(),TRUE()),1,1)</f>
        <v>#VALUE!</v>
      </c>
      <c r="B4413" s="0" t="s">
        <v>4400</v>
      </c>
    </row>
    <row r="4414" customFormat="false" ht="15" hidden="false" customHeight="false" outlineLevel="0" collapsed="false">
      <c r="A4414" s="0" t="e">
        <f aca="false">INDEX(LOGEST(Data!K1,Data!A1,TRUE(),TRUE()),1,2)</f>
        <v>#VALUE!</v>
      </c>
      <c r="B4414" s="0" t="s">
        <v>4401</v>
      </c>
    </row>
    <row r="4415" customFormat="false" ht="15" hidden="false" customHeight="false" outlineLevel="0" collapsed="false">
      <c r="A4415" s="0" t="e">
        <f aca="false">INDEX(LOGEST(Data!K1,Data!A1,TRUE(),TRUE()),2,1)</f>
        <v>#VALUE!</v>
      </c>
      <c r="B4415" s="0" t="s">
        <v>4402</v>
      </c>
    </row>
    <row r="4416" customFormat="false" ht="15" hidden="false" customHeight="false" outlineLevel="0" collapsed="false">
      <c r="A4416" s="0" t="e">
        <f aca="false">INDEX(LOGEST(Data!K1,Data!A1,TRUE(),TRUE()),2,2)</f>
        <v>#VALUE!</v>
      </c>
      <c r="B4416" s="0" t="s">
        <v>4403</v>
      </c>
    </row>
    <row r="4417" customFormat="false" ht="15" hidden="false" customHeight="false" outlineLevel="0" collapsed="false">
      <c r="A4417" s="0" t="e">
        <f aca="false">INDEX(LOGEST(Data!K1,Data!A1,TRUE(),TRUE()),3,1)</f>
        <v>#VALUE!</v>
      </c>
      <c r="B4417" s="0" t="s">
        <v>4404</v>
      </c>
    </row>
    <row r="4418" customFormat="false" ht="15" hidden="false" customHeight="false" outlineLevel="0" collapsed="false">
      <c r="A4418" s="0" t="e">
        <f aca="false">INDEX(LOGEST(Data!K1,Data!A1,TRUE(),TRUE()),3,2)</f>
        <v>#VALUE!</v>
      </c>
      <c r="B4418" s="0" t="s">
        <v>4405</v>
      </c>
    </row>
    <row r="4419" customFormat="false" ht="15" hidden="false" customHeight="false" outlineLevel="0" collapsed="false">
      <c r="A4419" s="0" t="e">
        <f aca="false">INDEX(LOGEST(Data!K1,Data!A1,TRUE(),TRUE()),4,1)</f>
        <v>#VALUE!</v>
      </c>
      <c r="B4419" s="0" t="s">
        <v>4406</v>
      </c>
    </row>
    <row r="4420" customFormat="false" ht="15" hidden="false" customHeight="false" outlineLevel="0" collapsed="false">
      <c r="A4420" s="0" t="e">
        <f aca="false">INDEX(LOGEST(Data!K1,Data!A1,TRUE(),TRUE()),4,2)</f>
        <v>#VALUE!</v>
      </c>
      <c r="B4420" s="0" t="s">
        <v>4407</v>
      </c>
    </row>
    <row r="4421" customFormat="false" ht="15" hidden="false" customHeight="false" outlineLevel="0" collapsed="false">
      <c r="A4421" s="0" t="e">
        <f aca="false">INDEX(LOGEST(Data!K1,Data!A1,TRUE(),TRUE()),5,1)</f>
        <v>#VALUE!</v>
      </c>
      <c r="B4421" s="0" t="s">
        <v>4408</v>
      </c>
    </row>
    <row r="4422" customFormat="false" ht="15" hidden="false" customHeight="false" outlineLevel="0" collapsed="false">
      <c r="A4422" s="0" t="e">
        <f aca="false">INDEX(LOGEST(Data!K1,Data!A1,TRUE(),TRUE()),5,2)</f>
        <v>#VALUE!</v>
      </c>
      <c r="B4422" s="0" t="s">
        <v>4409</v>
      </c>
    </row>
    <row r="4423" customFormat="false" ht="15" hidden="false" customHeight="false" outlineLevel="0" collapsed="false">
      <c r="A4423" s="0" t="e">
        <f aca="false">ROWS(LOGEST(Data!K1,Data!A1,TRUE(),TRUE()))</f>
        <v>#VALUE!</v>
      </c>
      <c r="B4423" s="0" t="s">
        <v>4410</v>
      </c>
    </row>
    <row r="4424" customFormat="false" ht="15" hidden="false" customHeight="false" outlineLevel="0" collapsed="false">
      <c r="A4424" s="0" t="e">
        <f aca="false">COLUMNS(LOGEST(Data!K1,Data!A1,TRUE(),TRUE()))</f>
        <v>#VALUE!</v>
      </c>
      <c r="B4424" s="0" t="s">
        <v>4411</v>
      </c>
    </row>
    <row r="4425" customFormat="false" ht="15" hidden="false" customHeight="false" outlineLevel="0" collapsed="false">
      <c r="A4425" s="0" t="e">
        <f aca="false">INDEX(LOGEST(Data!K1:K8,Data!A1:A7),1,1)</f>
        <v>#VALUE!</v>
      </c>
      <c r="B4425" s="0" t="s">
        <v>4412</v>
      </c>
    </row>
    <row r="4426" customFormat="false" ht="15" hidden="false" customHeight="false" outlineLevel="0" collapsed="false">
      <c r="A4426" s="0" t="e">
        <f aca="false">INDEX(LOGEST(Data!K1:K8,Data!A1:A7),1,2)</f>
        <v>#VALUE!</v>
      </c>
      <c r="B4426" s="0" t="s">
        <v>4413</v>
      </c>
    </row>
    <row r="4427" customFormat="false" ht="15" hidden="false" customHeight="false" outlineLevel="0" collapsed="false">
      <c r="A4427" s="0" t="e">
        <f aca="false">ROWS(LOGEST(Data!K1:K8,Data!A1:A7))</f>
        <v>#VALUE!</v>
      </c>
      <c r="B4427" s="0" t="s">
        <v>4414</v>
      </c>
    </row>
    <row r="4428" customFormat="false" ht="15" hidden="false" customHeight="false" outlineLevel="0" collapsed="false">
      <c r="A4428" s="0" t="e">
        <f aca="false">COLUMNS(LOGEST(Data!K1:K8,Data!A1:A7))</f>
        <v>#VALUE!</v>
      </c>
      <c r="B4428" s="0" t="s">
        <v>4415</v>
      </c>
    </row>
    <row r="4429" customFormat="false" ht="15" hidden="false" customHeight="false" outlineLevel="0" collapsed="false">
      <c r="A4429" s="0" t="e">
        <f aca="false">INDEX(LOGEST(Data!K1:K8,Data!A1:A9),1,1)</f>
        <v>#VALUE!</v>
      </c>
      <c r="B4429" s="0" t="s">
        <v>4416</v>
      </c>
    </row>
    <row r="4430" customFormat="false" ht="15" hidden="false" customHeight="false" outlineLevel="0" collapsed="false">
      <c r="A4430" s="0" t="e">
        <f aca="false">INDEX(LOGEST(Data!K1:K8,Data!A1:A9),1,2)</f>
        <v>#VALUE!</v>
      </c>
      <c r="B4430" s="0" t="s">
        <v>4417</v>
      </c>
    </row>
    <row r="4431" customFormat="false" ht="15" hidden="false" customHeight="false" outlineLevel="0" collapsed="false">
      <c r="A4431" s="0" t="e">
        <f aca="false">ROWS(LOGEST(Data!K1:K8,Data!A1:A9))</f>
        <v>#VALUE!</v>
      </c>
      <c r="B4431" s="0" t="s">
        <v>4418</v>
      </c>
    </row>
    <row r="4432" customFormat="false" ht="15" hidden="false" customHeight="false" outlineLevel="0" collapsed="false">
      <c r="A4432" s="0" t="e">
        <f aca="false">COLUMNS(LOGEST(Data!K1:K8,Data!A1:A9))</f>
        <v>#VALUE!</v>
      </c>
      <c r="B4432" s="0" t="s">
        <v>4419</v>
      </c>
    </row>
    <row r="4433" customFormat="false" ht="15" hidden="false" customHeight="false" outlineLevel="0" collapsed="false">
      <c r="A4433" s="0" t="n">
        <f aca="false">INDEX(LOGEST(Data!K1:K8,Data!A1:A8,TRUE(),"x"),1,1)</f>
        <v>1.01171352069179</v>
      </c>
      <c r="B4433" s="0" t="s">
        <v>4420</v>
      </c>
    </row>
    <row r="4434" customFormat="false" ht="15" hidden="false" customHeight="false" outlineLevel="0" collapsed="false">
      <c r="A4434" s="0" t="n">
        <f aca="false">INDEX(LOGEST(Data!K1:K8,Data!A1:A8,TRUE(),"x"),1,2)</f>
        <v>4.74279648832128</v>
      </c>
      <c r="B4434" s="0" t="s">
        <v>4421</v>
      </c>
    </row>
    <row r="4435" customFormat="false" ht="15" hidden="false" customHeight="false" outlineLevel="0" collapsed="false">
      <c r="A4435" s="0" t="e">
        <f aca="false">INDEX(LOGEST(Data!K1:K8,Data!A1:A8,TRUE(),"x"),2,1)</f>
        <v>#REF!</v>
      </c>
      <c r="B4435" s="0" t="s">
        <v>4422</v>
      </c>
    </row>
    <row r="4436" customFormat="false" ht="15" hidden="false" customHeight="false" outlineLevel="0" collapsed="false">
      <c r="A4436" s="0" t="e">
        <f aca="false">INDEX(LOGEST(Data!K1:K8,Data!A1:A8,TRUE(),"x"),2,2)</f>
        <v>#REF!</v>
      </c>
      <c r="B4436" s="0" t="s">
        <v>4423</v>
      </c>
    </row>
    <row r="4437" customFormat="false" ht="15" hidden="false" customHeight="false" outlineLevel="0" collapsed="false">
      <c r="A4437" s="0" t="e">
        <f aca="false">INDEX(LOGEST(Data!K1:K8,Data!A1:A8,TRUE(),"x"),3,1)</f>
        <v>#REF!</v>
      </c>
      <c r="B4437" s="0" t="s">
        <v>4424</v>
      </c>
    </row>
    <row r="4438" customFormat="false" ht="15" hidden="false" customHeight="false" outlineLevel="0" collapsed="false">
      <c r="A4438" s="0" t="e">
        <f aca="false">INDEX(LOGEST(Data!K1:K8,Data!A1:A8,TRUE(),"x"),3,2)</f>
        <v>#REF!</v>
      </c>
      <c r="B4438" s="0" t="s">
        <v>4425</v>
      </c>
    </row>
    <row r="4439" customFormat="false" ht="15" hidden="false" customHeight="false" outlineLevel="0" collapsed="false">
      <c r="A4439" s="0" t="e">
        <f aca="false">INDEX(LOGEST(Data!K1:K8,Data!A1:A8,TRUE(),"x"),4,1)</f>
        <v>#REF!</v>
      </c>
      <c r="B4439" s="0" t="s">
        <v>4426</v>
      </c>
    </row>
    <row r="4440" customFormat="false" ht="15" hidden="false" customHeight="false" outlineLevel="0" collapsed="false">
      <c r="A4440" s="0" t="e">
        <f aca="false">INDEX(LOGEST(Data!K1:K8,Data!A1:A8,TRUE(),"x"),4,2)</f>
        <v>#REF!</v>
      </c>
      <c r="B4440" s="0" t="s">
        <v>4427</v>
      </c>
    </row>
    <row r="4441" customFormat="false" ht="15" hidden="false" customHeight="false" outlineLevel="0" collapsed="false">
      <c r="A4441" s="0" t="e">
        <f aca="false">INDEX(LOGEST(Data!K1:K8,Data!A1:A8,TRUE(),"x"),5,1)</f>
        <v>#REF!</v>
      </c>
      <c r="B4441" s="0" t="s">
        <v>4428</v>
      </c>
    </row>
    <row r="4442" customFormat="false" ht="15" hidden="false" customHeight="false" outlineLevel="0" collapsed="false">
      <c r="A4442" s="0" t="e">
        <f aca="false">INDEX(LOGEST(Data!K1:K8,Data!A1:A8,TRUE(),"x"),5,2)</f>
        <v>#REF!</v>
      </c>
      <c r="B4442" s="0" t="s">
        <v>4429</v>
      </c>
    </row>
    <row r="4443" customFormat="false" ht="15" hidden="false" customHeight="false" outlineLevel="0" collapsed="false">
      <c r="A4443" s="0" t="n">
        <f aca="false">ROWS(LOGEST(Data!K1:K8,Data!A1:A8,TRUE(),"x"))</f>
        <v>1</v>
      </c>
      <c r="B4443" s="0" t="s">
        <v>4430</v>
      </c>
    </row>
    <row r="4444" customFormat="false" ht="15" hidden="false" customHeight="false" outlineLevel="0" collapsed="false">
      <c r="A4444" s="0" t="n">
        <f aca="false">COLUMNS(LOGEST(Data!K1:K8,Data!A1:A8,TRUE(),"x"))</f>
        <v>2</v>
      </c>
      <c r="B4444" s="0" t="s">
        <v>4431</v>
      </c>
    </row>
    <row r="4445" customFormat="false" ht="15" hidden="false" customHeight="false" outlineLevel="0" collapsed="false">
      <c r="A4445" s="0" t="n">
        <f aca="false">INDEX(LOGEST(Data!K1:K8,Data!A1:A8,"x"),1,1)</f>
        <v>1.29104825217505</v>
      </c>
      <c r="B4445" s="0" t="s">
        <v>4432</v>
      </c>
    </row>
    <row r="4446" customFormat="false" ht="15" hidden="false" customHeight="false" outlineLevel="0" collapsed="false">
      <c r="A4446" s="0" t="n">
        <f aca="false">INDEX(LOGEST(Data!K1:K8,Data!A1:A8,"x"),1,2)</f>
        <v>1</v>
      </c>
      <c r="B4446" s="0" t="s">
        <v>4433</v>
      </c>
    </row>
    <row r="4447" customFormat="false" ht="15" hidden="false" customHeight="false" outlineLevel="0" collapsed="false">
      <c r="A4447" s="0" t="n">
        <f aca="false">ROWS(LOGEST(Data!K1:K8,Data!A1:A8,"x"))</f>
        <v>1</v>
      </c>
      <c r="B4447" s="0" t="s">
        <v>4434</v>
      </c>
    </row>
    <row r="4448" customFormat="false" ht="15" hidden="false" customHeight="false" outlineLevel="0" collapsed="false">
      <c r="A4448" s="0" t="n">
        <f aca="false">COLUMNS(LOGEST(Data!K1:K8,Data!A1:A8,"x"))</f>
        <v>2</v>
      </c>
      <c r="B4448" s="0" t="s">
        <v>4435</v>
      </c>
    </row>
    <row r="4449" customFormat="false" ht="15" hidden="false" customHeight="false" outlineLevel="0" collapsed="false">
      <c r="A4449" s="0" t="e">
        <f aca="false">INDEX(LOGEST(Data!K1:K8,Data!A1:A8,NA()),1,1)</f>
        <v>#N/A</v>
      </c>
      <c r="B4449" s="0" t="s">
        <v>4436</v>
      </c>
    </row>
    <row r="4450" customFormat="false" ht="15" hidden="false" customHeight="false" outlineLevel="0" collapsed="false">
      <c r="A4450" s="0" t="e">
        <f aca="false">INDEX(LOGEST(Data!K1:K8,Data!A1:A8,NA()),1,2)</f>
        <v>#N/A</v>
      </c>
      <c r="B4450" s="0" t="s">
        <v>4437</v>
      </c>
    </row>
    <row r="4451" customFormat="false" ht="15" hidden="false" customHeight="false" outlineLevel="0" collapsed="false">
      <c r="A4451" s="0" t="e">
        <f aca="false">ROWS(LOGEST(Data!K1:K8,Data!A1:A8,NA()))</f>
        <v>#N/A</v>
      </c>
      <c r="B4451" s="0" t="s">
        <v>4438</v>
      </c>
    </row>
    <row r="4452" customFormat="false" ht="15" hidden="false" customHeight="false" outlineLevel="0" collapsed="false">
      <c r="A4452" s="0" t="e">
        <f aca="false">COLUMNS(LOGEST(Data!K1:K8,Data!A1:A8,NA()))</f>
        <v>#N/A</v>
      </c>
      <c r="B4452" s="0" t="s">
        <v>4439</v>
      </c>
    </row>
    <row r="4453" customFormat="false" ht="15" hidden="false" customHeight="false" outlineLevel="0" collapsed="false">
      <c r="A4453" s="0" t="e">
        <f aca="false">INDEX(LOGEST(Data!B1:B8,Data!A1:A8),1,1)</f>
        <v>#VALUE!</v>
      </c>
      <c r="B4453" s="0" t="s">
        <v>4440</v>
      </c>
    </row>
    <row r="4454" customFormat="false" ht="15" hidden="false" customHeight="false" outlineLevel="0" collapsed="false">
      <c r="A4454" s="0" t="e">
        <f aca="false">INDEX(LOGEST(Data!B1:B8,Data!A1:A8),1,2)</f>
        <v>#VALUE!</v>
      </c>
      <c r="B4454" s="0" t="s">
        <v>4441</v>
      </c>
    </row>
    <row r="4455" customFormat="false" ht="15" hidden="false" customHeight="false" outlineLevel="0" collapsed="false">
      <c r="A4455" s="0" t="e">
        <f aca="false">ROWS(LOGEST(Data!B1:B8,Data!A1:A8))</f>
        <v>#VALUE!</v>
      </c>
      <c r="B4455" s="0" t="s">
        <v>4442</v>
      </c>
    </row>
    <row r="4456" customFormat="false" ht="15" hidden="false" customHeight="false" outlineLevel="0" collapsed="false">
      <c r="A4456" s="0" t="e">
        <f aca="false">COLUMNS(LOGEST(Data!B1:B8,Data!A1:A8))</f>
        <v>#VALUE!</v>
      </c>
      <c r="B4456" s="0" t="s">
        <v>4443</v>
      </c>
    </row>
    <row r="4457" customFormat="false" ht="15" hidden="false" customHeight="false" outlineLevel="0" collapsed="false">
      <c r="A4457" s="0" t="e">
        <f aca="false">INDEX(LOGEST(Data!K1:K8,Data!B1:B8),1,1)</f>
        <v>#VALUE!</v>
      </c>
      <c r="B4457" s="0" t="s">
        <v>4444</v>
      </c>
    </row>
    <row r="4458" customFormat="false" ht="15" hidden="false" customHeight="false" outlineLevel="0" collapsed="false">
      <c r="A4458" s="0" t="e">
        <f aca="false">INDEX(LOGEST(Data!K1:K8,Data!B1:B8),1,2)</f>
        <v>#VALUE!</v>
      </c>
      <c r="B4458" s="0" t="s">
        <v>4445</v>
      </c>
    </row>
    <row r="4459" customFormat="false" ht="15" hidden="false" customHeight="false" outlineLevel="0" collapsed="false">
      <c r="A4459" s="0" t="e">
        <f aca="false">ROWS(LOGEST(Data!K1:K8,Data!B1:B8))</f>
        <v>#VALUE!</v>
      </c>
      <c r="B4459" s="0" t="s">
        <v>4446</v>
      </c>
    </row>
    <row r="4460" customFormat="false" ht="15" hidden="false" customHeight="false" outlineLevel="0" collapsed="false">
      <c r="A4460" s="0" t="e">
        <f aca="false">COLUMNS(LOGEST(Data!K1:K8,Data!B1:B8))</f>
        <v>#VALUE!</v>
      </c>
      <c r="B4460" s="0" t="s">
        <v>4447</v>
      </c>
    </row>
    <row r="4461" customFormat="false" ht="15" hidden="false" customHeight="false" outlineLevel="0" collapsed="false">
      <c r="A4461" s="0" t="e">
        <f aca="false">INDEX(LOGEST(Data!K1:K8,Data!M1:M4),1,1)</f>
        <v>#VALUE!</v>
      </c>
      <c r="B4461" s="0" t="s">
        <v>4448</v>
      </c>
    </row>
    <row r="4462" customFormat="false" ht="15" hidden="false" customHeight="false" outlineLevel="0" collapsed="false">
      <c r="A4462" s="0" t="e">
        <f aca="false">INDEX(LOGEST(Data!K1:K8,Data!M1:M4),1,2)</f>
        <v>#VALUE!</v>
      </c>
      <c r="B4462" s="0" t="s">
        <v>4449</v>
      </c>
    </row>
    <row r="4463" customFormat="false" ht="15" hidden="false" customHeight="false" outlineLevel="0" collapsed="false">
      <c r="A4463" s="0" t="e">
        <f aca="false">ROWS(LOGEST(Data!K1:K8,Data!M1:M4))</f>
        <v>#VALUE!</v>
      </c>
      <c r="B4463" s="0" t="s">
        <v>4450</v>
      </c>
    </row>
    <row r="4464" customFormat="false" ht="15" hidden="false" customHeight="false" outlineLevel="0" collapsed="false">
      <c r="A4464" s="0" t="e">
        <f aca="false">COLUMNS(LOGEST(Data!K1:K8,Data!M1:M4))</f>
        <v>#VALUE!</v>
      </c>
      <c r="B4464" s="0" t="s">
        <v>4451</v>
      </c>
    </row>
    <row r="4465" customFormat="false" ht="15" hidden="false" customHeight="false" outlineLevel="0" collapsed="false">
      <c r="A4465" s="0" t="e">
        <f aca="false">INDEX(LOGEST(Data!M1:M4,Data!K1:K4),1,1)</f>
        <v>#VALUE!</v>
      </c>
      <c r="B4465" s="0" t="s">
        <v>4452</v>
      </c>
    </row>
    <row r="4466" customFormat="false" ht="15" hidden="false" customHeight="false" outlineLevel="0" collapsed="false">
      <c r="A4466" s="0" t="e">
        <f aca="false">INDEX(LOGEST(Data!M1:M4,Data!K1:K4),1,2)</f>
        <v>#VALUE!</v>
      </c>
      <c r="B4466" s="0" t="s">
        <v>4453</v>
      </c>
    </row>
    <row r="4467" customFormat="false" ht="15" hidden="false" customHeight="false" outlineLevel="0" collapsed="false">
      <c r="A4467" s="0" t="e">
        <f aca="false">ROWS(LOGEST(Data!M1:M4,Data!K1:K4))</f>
        <v>#VALUE!</v>
      </c>
      <c r="B4467" s="0" t="s">
        <v>4454</v>
      </c>
    </row>
    <row r="4468" customFormat="false" ht="15" hidden="false" customHeight="false" outlineLevel="0" collapsed="false">
      <c r="A4468" s="0" t="e">
        <f aca="false">COLUMNS(LOGEST(Data!M1:M4,Data!K1:K4))</f>
        <v>#VALUE!</v>
      </c>
      <c r="B4468" s="0" t="s">
        <v>4455</v>
      </c>
    </row>
    <row r="4469" customFormat="false" ht="15" hidden="false" customHeight="false" outlineLevel="0" collapsed="false">
      <c r="A4469" s="0" t="e">
        <f aca="false">INDEX(LOGEST(Data!K1:K8,Data!D1:D8),1,1)</f>
        <v>#VALUE!</v>
      </c>
      <c r="B4469" s="0" t="s">
        <v>4456</v>
      </c>
    </row>
    <row r="4470" customFormat="false" ht="15" hidden="false" customHeight="false" outlineLevel="0" collapsed="false">
      <c r="A4470" s="0" t="e">
        <f aca="false">INDEX(LOGEST(Data!K1:K8,Data!D1:D8),1,2)</f>
        <v>#VALUE!</v>
      </c>
      <c r="B4470" s="0" t="s">
        <v>4457</v>
      </c>
    </row>
    <row r="4471" customFormat="false" ht="15" hidden="false" customHeight="false" outlineLevel="0" collapsed="false">
      <c r="A4471" s="0" t="e">
        <f aca="false">ROWS(LOGEST(Data!K1:K8,Data!D1:D8))</f>
        <v>#VALUE!</v>
      </c>
      <c r="B4471" s="0" t="s">
        <v>4458</v>
      </c>
    </row>
    <row r="4472" customFormat="false" ht="15" hidden="false" customHeight="false" outlineLevel="0" collapsed="false">
      <c r="A4472" s="0" t="e">
        <f aca="false">COLUMNS(LOGEST(Data!K1:K8,Data!D1:D8))</f>
        <v>#VALUE!</v>
      </c>
      <c r="B4472" s="0" t="s">
        <v>4459</v>
      </c>
    </row>
    <row r="4473" customFormat="false" ht="15" hidden="false" customHeight="false" outlineLevel="0" collapsed="false">
      <c r="A4473" s="0" t="e">
        <f aca="false">INDEX(LOGEST(Data!D1:D8,Data!A1:A8),1,1)</f>
        <v>#VALUE!</v>
      </c>
      <c r="B4473" s="0" t="s">
        <v>4460</v>
      </c>
    </row>
    <row r="4474" customFormat="false" ht="15" hidden="false" customHeight="false" outlineLevel="0" collapsed="false">
      <c r="A4474" s="0" t="e">
        <f aca="false">INDEX(LOGEST(Data!D1:D8,Data!A1:A8),1,2)</f>
        <v>#VALUE!</v>
      </c>
      <c r="B4474" s="0" t="s">
        <v>4461</v>
      </c>
    </row>
    <row r="4475" customFormat="false" ht="15" hidden="false" customHeight="false" outlineLevel="0" collapsed="false">
      <c r="A4475" s="0" t="e">
        <f aca="false">ROWS(LOGEST(Data!D1:D8,Data!A1:A8))</f>
        <v>#VALUE!</v>
      </c>
      <c r="B4475" s="0" t="s">
        <v>4462</v>
      </c>
    </row>
    <row r="4476" customFormat="false" ht="15" hidden="false" customHeight="false" outlineLevel="0" collapsed="false">
      <c r="A4476" s="0" t="e">
        <f aca="false">COLUMNS(LOGEST(Data!D1:D8,Data!A1:A8))</f>
        <v>#VALUE!</v>
      </c>
      <c r="B4476" s="0" t="s">
        <v>4463</v>
      </c>
    </row>
    <row r="4477" customFormat="false" ht="15" hidden="false" customHeight="false" outlineLevel="0" collapsed="false">
      <c r="A4477" s="0" t="n">
        <f aca="false">INDEX(LOGEST({1,2,3,4},{2,4,5,9}),1,1)</f>
        <v>1.20516507421777</v>
      </c>
      <c r="B4477" s="0" t="s">
        <v>4464</v>
      </c>
    </row>
    <row r="4478" customFormat="false" ht="15" hidden="false" customHeight="false" outlineLevel="0" collapsed="false">
      <c r="A4478" s="0" t="n">
        <f aca="false">INDEX(LOGEST({1,2,3,4},{2,4,5,9}),1,2)</f>
        <v>0.870602929042392</v>
      </c>
      <c r="B4478" s="0" t="s">
        <v>4465</v>
      </c>
    </row>
    <row r="4479" customFormat="false" ht="15" hidden="false" customHeight="false" outlineLevel="0" collapsed="false">
      <c r="A4479" s="0" t="n">
        <f aca="false">ROWS(LOGEST({1,2,3,4},{2,4,5,9}))</f>
        <v>1</v>
      </c>
      <c r="B4479" s="0" t="s">
        <v>4466</v>
      </c>
    </row>
    <row r="4480" customFormat="false" ht="15" hidden="false" customHeight="false" outlineLevel="0" collapsed="false">
      <c r="A4480" s="0" t="n">
        <f aca="false">COLUMNS(LOGEST({1,2,3,4},{2,4,5,9}))</f>
        <v>2</v>
      </c>
      <c r="B4480" s="0" t="s">
        <v>4467</v>
      </c>
    </row>
    <row r="4481" customFormat="false" ht="15" hidden="false" customHeight="false" outlineLevel="0" collapsed="false">
      <c r="A4481" s="0" t="n">
        <f aca="false">INDEX(LOGEST({1;2;3;4},{2;4;5;9},TRUE(),TRUE()),1,1)</f>
        <v>1.20516507421777</v>
      </c>
      <c r="B4481" s="0" t="s">
        <v>4468</v>
      </c>
    </row>
    <row r="4482" customFormat="false" ht="15" hidden="false" customHeight="false" outlineLevel="0" collapsed="false">
      <c r="A4482" s="0" t="n">
        <f aca="false">INDEX(LOGEST({1;2;3;4},{2;4;5;9},TRUE(),TRUE()),1,2)</f>
        <v>0.870602929042392</v>
      </c>
      <c r="B4482" s="0" t="s">
        <v>4469</v>
      </c>
    </row>
    <row r="4483" customFormat="false" ht="15" hidden="false" customHeight="false" outlineLevel="0" collapsed="false">
      <c r="A4483" s="0" t="n">
        <f aca="false">INDEX(LOGEST({1;2;3;4},{2;4;5;9},TRUE(),TRUE()),2,1)</f>
        <v>0.0586282866294087</v>
      </c>
      <c r="B4483" s="0" t="s">
        <v>4470</v>
      </c>
    </row>
    <row r="4484" customFormat="false" ht="15" hidden="false" customHeight="false" outlineLevel="0" collapsed="false">
      <c r="A4484" s="0" t="n">
        <f aca="false">INDEX(LOGEST({1;2;3;4},{2;4;5;9},TRUE(),TRUE()),2,2)</f>
        <v>0.32905044261124</v>
      </c>
      <c r="B4484" s="0" t="s">
        <v>4471</v>
      </c>
    </row>
    <row r="4485" customFormat="false" ht="15" hidden="false" customHeight="false" outlineLevel="0" collapsed="false">
      <c r="A4485" s="0" t="n">
        <f aca="false">INDEX(LOGEST({1;2;3;4},{2;4;5;9},TRUE(),TRUE()),3,1)</f>
        <v>0.835143777595202</v>
      </c>
      <c r="B4485" s="0" t="s">
        <v>4472</v>
      </c>
    </row>
    <row r="4486" customFormat="false" ht="15" hidden="false" customHeight="false" outlineLevel="0" collapsed="false">
      <c r="A4486" s="0" t="n">
        <f aca="false">INDEX(LOGEST({1;2;3;4},{2;4;5;9},TRUE(),TRUE()),3,2)</f>
        <v>0.298946777571866</v>
      </c>
      <c r="B4486" s="0" t="s">
        <v>4473</v>
      </c>
    </row>
    <row r="4487" customFormat="false" ht="15" hidden="false" customHeight="false" outlineLevel="0" collapsed="false">
      <c r="A4487" s="0" t="n">
        <f aca="false">INDEX(LOGEST({1;2;3;4},{2;4;5;9},TRUE(),TRUE()),4,1)</f>
        <v>10.1317835070191</v>
      </c>
      <c r="B4487" s="0" t="s">
        <v>4474</v>
      </c>
    </row>
    <row r="4488" customFormat="false" ht="15" hidden="false" customHeight="false" outlineLevel="0" collapsed="false">
      <c r="A4488" s="0" t="n">
        <f aca="false">INDEX(LOGEST({1;2;3;4},{2;4;5;9},TRUE(),TRUE()),4,2)</f>
        <v>2</v>
      </c>
      <c r="B4488" s="0" t="s">
        <v>4475</v>
      </c>
    </row>
    <row r="4489" customFormat="false" ht="15" hidden="false" customHeight="false" outlineLevel="0" collapsed="false">
      <c r="A4489" s="0" t="n">
        <f aca="false">INDEX(LOGEST({1;2;3;4},{2;4;5;9},TRUE(),TRUE()),5,1)</f>
        <v>0.905469141615072</v>
      </c>
      <c r="B4489" s="0" t="s">
        <v>4476</v>
      </c>
    </row>
    <row r="4490" customFormat="false" ht="15" hidden="false" customHeight="false" outlineLevel="0" collapsed="false">
      <c r="A4490" s="0" t="n">
        <f aca="false">INDEX(LOGEST({1;2;3;4},{2;4;5;9},TRUE(),TRUE()),5,2)</f>
        <v>0.178738351641205</v>
      </c>
      <c r="B4490" s="0" t="s">
        <v>4477</v>
      </c>
    </row>
    <row r="4491" customFormat="false" ht="15" hidden="false" customHeight="false" outlineLevel="0" collapsed="false">
      <c r="A4491" s="0" t="n">
        <f aca="false">ROWS(LOGEST({1;2;3;4},{2;4;5;9},TRUE(),TRUE()))</f>
        <v>5</v>
      </c>
      <c r="B4491" s="0" t="s">
        <v>4478</v>
      </c>
    </row>
    <row r="4492" customFormat="false" ht="15" hidden="false" customHeight="false" outlineLevel="0" collapsed="false">
      <c r="A4492" s="0" t="n">
        <f aca="false">COLUMNS(LOGEST({1;2;3;4},{2;4;5;9},TRUE(),TRUE()))</f>
        <v>2</v>
      </c>
      <c r="B4492" s="0" t="s">
        <v>4479</v>
      </c>
    </row>
    <row r="4493" customFormat="false" ht="15" hidden="false" customHeight="false" outlineLevel="0" collapsed="false">
      <c r="A4493" s="0" t="n">
        <f aca="false">INDEX(LOGEST({3;3;3;3},{2;4;5;9},TRUE(),TRUE()),1,1)</f>
        <v>1</v>
      </c>
      <c r="B4493" s="0" t="s">
        <v>4480</v>
      </c>
    </row>
    <row r="4494" customFormat="false" ht="15" hidden="false" customHeight="false" outlineLevel="0" collapsed="false">
      <c r="A4494" s="0" t="n">
        <f aca="false">INDEX(LOGEST({3;3;3;3},{2;4;5;9},TRUE(),TRUE()),1,2)</f>
        <v>3</v>
      </c>
      <c r="B4494" s="0" t="s">
        <v>4481</v>
      </c>
    </row>
    <row r="4495" customFormat="false" ht="15" hidden="false" customHeight="false" outlineLevel="0" collapsed="false">
      <c r="A4495" s="0" t="n">
        <f aca="false">INDEX(LOGEST({3;3;3;3},{2;4;5;9},TRUE(),TRUE()),2,1)</f>
        <v>0</v>
      </c>
      <c r="B4495" s="0" t="s">
        <v>4482</v>
      </c>
    </row>
    <row r="4496" customFormat="false" ht="15" hidden="false" customHeight="false" outlineLevel="0" collapsed="false">
      <c r="A4496" s="0" t="n">
        <f aca="false">INDEX(LOGEST({3;3;3;3},{2;4;5;9},TRUE(),TRUE()),2,2)</f>
        <v>0</v>
      </c>
      <c r="B4496" s="0" t="s">
        <v>4483</v>
      </c>
    </row>
    <row r="4497" customFormat="false" ht="15" hidden="false" customHeight="false" outlineLevel="0" collapsed="false">
      <c r="A4497" s="0" t="n">
        <f aca="false">INDEX(LOGEST({3;3;3;3},{2;4;5;9},TRUE(),TRUE()),3,1)</f>
        <v>1</v>
      </c>
      <c r="B4497" s="0" t="s">
        <v>4484</v>
      </c>
    </row>
    <row r="4498" customFormat="false" ht="15" hidden="false" customHeight="false" outlineLevel="0" collapsed="false">
      <c r="A4498" s="0" t="n">
        <f aca="false">INDEX(LOGEST({3;3;3;3},{2;4;5;9},TRUE(),TRUE()),3,2)</f>
        <v>0</v>
      </c>
      <c r="B4498" s="0" t="s">
        <v>4485</v>
      </c>
    </row>
    <row r="4499" customFormat="false" ht="15" hidden="false" customHeight="false" outlineLevel="0" collapsed="false">
      <c r="A4499" s="0" t="e">
        <f aca="false">INDEX(LOGEST({3;3;3;3},{2;4;5;9},TRUE(),TRUE()),4,1)</f>
        <v>#N/A</v>
      </c>
      <c r="B4499" s="0" t="s">
        <v>4486</v>
      </c>
    </row>
    <row r="4500" customFormat="false" ht="15" hidden="false" customHeight="false" outlineLevel="0" collapsed="false">
      <c r="A4500" s="0" t="n">
        <f aca="false">INDEX(LOGEST({3;3;3;3},{2;4;5;9},TRUE(),TRUE()),4,2)</f>
        <v>2</v>
      </c>
      <c r="B4500" s="0" t="s">
        <v>4487</v>
      </c>
    </row>
    <row r="4501" customFormat="false" ht="15" hidden="false" customHeight="false" outlineLevel="0" collapsed="false">
      <c r="A4501" s="0" t="n">
        <f aca="false">INDEX(LOGEST({3;3;3;3},{2;4;5;9},TRUE(),TRUE()),5,1)</f>
        <v>0</v>
      </c>
      <c r="B4501" s="0" t="s">
        <v>4488</v>
      </c>
    </row>
    <row r="4502" customFormat="false" ht="15" hidden="false" customHeight="false" outlineLevel="0" collapsed="false">
      <c r="A4502" s="0" t="n">
        <f aca="false">INDEX(LOGEST({3;3;3;3},{2;4;5;9},TRUE(),TRUE()),5,2)</f>
        <v>0</v>
      </c>
      <c r="B4502" s="0" t="s">
        <v>4489</v>
      </c>
    </row>
    <row r="4503" customFormat="false" ht="15" hidden="false" customHeight="false" outlineLevel="0" collapsed="false">
      <c r="A4503" s="0" t="n">
        <f aca="false">ROWS(LOGEST({3;3;3;3},{2;4;5;9},TRUE(),TRUE()))</f>
        <v>5</v>
      </c>
      <c r="B4503" s="0" t="s">
        <v>4490</v>
      </c>
    </row>
    <row r="4504" customFormat="false" ht="15" hidden="false" customHeight="false" outlineLevel="0" collapsed="false">
      <c r="A4504" s="0" t="n">
        <f aca="false">COLUMNS(LOGEST({3;3;3;3},{2;4;5;9},TRUE(),TRUE()))</f>
        <v>2</v>
      </c>
      <c r="B4504" s="0" t="s">
        <v>4491</v>
      </c>
    </row>
    <row r="4505" customFormat="false" ht="15" hidden="false" customHeight="false" outlineLevel="0" collapsed="false">
      <c r="A4505" s="0" t="e">
        <f aca="false">INDEX(LOGEST(Data!K1:K8,{1;1;1;1;1;1;1;1},TRUE(),TRUE()),1,1)</f>
        <v>#VALUE!</v>
      </c>
      <c r="B4505" s="0" t="s">
        <v>4492</v>
      </c>
    </row>
    <row r="4506" customFormat="false" ht="15" hidden="false" customHeight="false" outlineLevel="0" collapsed="false">
      <c r="A4506" s="0" t="e">
        <f aca="false">INDEX(LOGEST(Data!K1:K8,{1;1;1;1;1;1;1;1},TRUE(),TRUE()),1,2)</f>
        <v>#VALUE!</v>
      </c>
      <c r="B4506" s="0" t="s">
        <v>4493</v>
      </c>
    </row>
    <row r="4507" customFormat="false" ht="15" hidden="false" customHeight="false" outlineLevel="0" collapsed="false">
      <c r="A4507" s="0" t="e">
        <f aca="false">INDEX(LOGEST(Data!K1:K8,{1;1;1;1;1;1;1;1},TRUE(),TRUE()),2,1)</f>
        <v>#VALUE!</v>
      </c>
      <c r="B4507" s="0" t="s">
        <v>4494</v>
      </c>
    </row>
    <row r="4508" customFormat="false" ht="15" hidden="false" customHeight="false" outlineLevel="0" collapsed="false">
      <c r="A4508" s="0" t="e">
        <f aca="false">INDEX(LOGEST(Data!K1:K8,{1;1;1;1;1;1;1;1},TRUE(),TRUE()),2,2)</f>
        <v>#VALUE!</v>
      </c>
      <c r="B4508" s="0" t="s">
        <v>4495</v>
      </c>
    </row>
    <row r="4509" customFormat="false" ht="15" hidden="false" customHeight="false" outlineLevel="0" collapsed="false">
      <c r="A4509" s="0" t="e">
        <f aca="false">INDEX(LOGEST(Data!K1:K8,{1;1;1;1;1;1;1;1},TRUE(),TRUE()),3,1)</f>
        <v>#VALUE!</v>
      </c>
      <c r="B4509" s="0" t="s">
        <v>4496</v>
      </c>
    </row>
    <row r="4510" customFormat="false" ht="15" hidden="false" customHeight="false" outlineLevel="0" collapsed="false">
      <c r="A4510" s="0" t="e">
        <f aca="false">INDEX(LOGEST(Data!K1:K8,{1;1;1;1;1;1;1;1},TRUE(),TRUE()),3,2)</f>
        <v>#VALUE!</v>
      </c>
      <c r="B4510" s="0" t="s">
        <v>4497</v>
      </c>
    </row>
    <row r="4511" customFormat="false" ht="15" hidden="false" customHeight="false" outlineLevel="0" collapsed="false">
      <c r="A4511" s="0" t="e">
        <f aca="false">INDEX(LOGEST(Data!K1:K8,{1;1;1;1;1;1;1;1},TRUE(),TRUE()),4,1)</f>
        <v>#VALUE!</v>
      </c>
      <c r="B4511" s="0" t="s">
        <v>4498</v>
      </c>
    </row>
    <row r="4512" customFormat="false" ht="15" hidden="false" customHeight="false" outlineLevel="0" collapsed="false">
      <c r="A4512" s="0" t="e">
        <f aca="false">INDEX(LOGEST(Data!K1:K8,{1;1;1;1;1;1;1;1},TRUE(),TRUE()),4,2)</f>
        <v>#VALUE!</v>
      </c>
      <c r="B4512" s="0" t="s">
        <v>4499</v>
      </c>
    </row>
    <row r="4513" customFormat="false" ht="15" hidden="false" customHeight="false" outlineLevel="0" collapsed="false">
      <c r="A4513" s="0" t="e">
        <f aca="false">INDEX(LOGEST(Data!K1:K8,{1;1;1;1;1;1;1;1},TRUE(),TRUE()),5,1)</f>
        <v>#VALUE!</v>
      </c>
      <c r="B4513" s="0" t="s">
        <v>4500</v>
      </c>
    </row>
    <row r="4514" customFormat="false" ht="15" hidden="false" customHeight="false" outlineLevel="0" collapsed="false">
      <c r="A4514" s="0" t="e">
        <f aca="false">INDEX(LOGEST(Data!K1:K8,{1;1;1;1;1;1;1;1},TRUE(),TRUE()),5,2)</f>
        <v>#VALUE!</v>
      </c>
      <c r="B4514" s="0" t="s">
        <v>4501</v>
      </c>
    </row>
    <row r="4515" customFormat="false" ht="15" hidden="false" customHeight="false" outlineLevel="0" collapsed="false">
      <c r="A4515" s="0" t="e">
        <f aca="false">ROWS(LOGEST(Data!K1:K8,{1;1;1;1;1;1;1;1},TRUE(),TRUE()))</f>
        <v>#VALUE!</v>
      </c>
      <c r="B4515" s="0" t="s">
        <v>4502</v>
      </c>
    </row>
    <row r="4516" customFormat="false" ht="15" hidden="false" customHeight="false" outlineLevel="0" collapsed="false">
      <c r="A4516" s="0" t="e">
        <f aca="false">COLUMNS(LOGEST(Data!K1:K8,{1;1;1;1;1;1;1;1},TRUE(),TRUE()))</f>
        <v>#VALUE!</v>
      </c>
      <c r="B4516" s="0" t="s">
        <v>4503</v>
      </c>
    </row>
    <row r="4517" customFormat="false" ht="15" hidden="false" customHeight="false" outlineLevel="0" collapsed="false">
      <c r="A4517" s="0" t="e">
        <f aca="false">INDEX(LOGEST({2;4;5;9},{3;3;3;3}),1,1)</f>
        <v>#VALUE!</v>
      </c>
      <c r="B4517" s="0" t="s">
        <v>4504</v>
      </c>
    </row>
    <row r="4518" customFormat="false" ht="15" hidden="false" customHeight="false" outlineLevel="0" collapsed="false">
      <c r="A4518" s="0" t="e">
        <f aca="false">INDEX(LOGEST({2;4;5;9},{3;3;3;3}),1,2)</f>
        <v>#VALUE!</v>
      </c>
      <c r="B4518" s="0" t="s">
        <v>4505</v>
      </c>
    </row>
    <row r="4519" customFormat="false" ht="15" hidden="false" customHeight="false" outlineLevel="0" collapsed="false">
      <c r="A4519" s="0" t="e">
        <f aca="false">ROWS(LOGEST({2;4;5;9},{3;3;3;3}))</f>
        <v>#VALUE!</v>
      </c>
      <c r="B4519" s="0" t="s">
        <v>4506</v>
      </c>
    </row>
    <row r="4520" customFormat="false" ht="15" hidden="false" customHeight="false" outlineLevel="0" collapsed="false">
      <c r="A4520" s="0" t="e">
        <f aca="false">COLUMNS(LOGEST({2;4;5;9},{3;3;3;3}))</f>
        <v>#VALUE!</v>
      </c>
      <c r="B4520" s="0" t="s">
        <v>4507</v>
      </c>
    </row>
    <row r="4521" customFormat="false" ht="15" hidden="false" customHeight="false" outlineLevel="0" collapsed="false">
      <c r="A4521" s="0" t="e">
        <f aca="false">INDEX(LOGEST({0;1;2;3},{1;2;3;4}),1,1)</f>
        <v>#VALUE!</v>
      </c>
      <c r="B4521" s="0" t="s">
        <v>4508</v>
      </c>
    </row>
    <row r="4522" customFormat="false" ht="15" hidden="false" customHeight="false" outlineLevel="0" collapsed="false">
      <c r="A4522" s="0" t="e">
        <f aca="false">INDEX(LOGEST({0;1;2;3},{1;2;3;4}),1,2)</f>
        <v>#VALUE!</v>
      </c>
      <c r="B4522" s="0" t="s">
        <v>4509</v>
      </c>
    </row>
    <row r="4523" customFormat="false" ht="15" hidden="false" customHeight="false" outlineLevel="0" collapsed="false">
      <c r="A4523" s="0" t="e">
        <f aca="false">ROWS(LOGEST({0;1;2;3},{1;2;3;4}))</f>
        <v>#VALUE!</v>
      </c>
      <c r="B4523" s="0" t="s">
        <v>4510</v>
      </c>
    </row>
    <row r="4524" customFormat="false" ht="15" hidden="false" customHeight="false" outlineLevel="0" collapsed="false">
      <c r="A4524" s="0" t="e">
        <f aca="false">COLUMNS(LOGEST({0;1;2;3},{1;2;3;4}))</f>
        <v>#VALUE!</v>
      </c>
      <c r="B4524" s="0" t="s">
        <v>4511</v>
      </c>
    </row>
    <row r="4525" customFormat="false" ht="15" hidden="false" customHeight="false" outlineLevel="0" collapsed="false">
      <c r="A4525" s="0" t="e">
        <f aca="false">INDEX(LOGEST({-1;2;4;8},{1;2;3;4}),1,1)</f>
        <v>#VALUE!</v>
      </c>
      <c r="B4525" s="0" t="s">
        <v>4512</v>
      </c>
    </row>
    <row r="4526" customFormat="false" ht="15" hidden="false" customHeight="false" outlineLevel="0" collapsed="false">
      <c r="A4526" s="0" t="e">
        <f aca="false">INDEX(LOGEST({-1;2;4;8},{1;2;3;4}),1,2)</f>
        <v>#VALUE!</v>
      </c>
      <c r="B4526" s="0" t="s">
        <v>4513</v>
      </c>
    </row>
    <row r="4527" customFormat="false" ht="15" hidden="false" customHeight="false" outlineLevel="0" collapsed="false">
      <c r="A4527" s="0" t="e">
        <f aca="false">ROWS(LOGEST({-1;2;4;8},{1;2;3;4}))</f>
        <v>#VALUE!</v>
      </c>
      <c r="B4527" s="0" t="s">
        <v>4514</v>
      </c>
    </row>
    <row r="4528" customFormat="false" ht="15" hidden="false" customHeight="false" outlineLevel="0" collapsed="false">
      <c r="A4528" s="0" t="e">
        <f aca="false">COLUMNS(LOGEST({-1;2;4;8},{1;2;3;4}))</f>
        <v>#VALUE!</v>
      </c>
      <c r="B4528" s="0" t="s">
        <v>4515</v>
      </c>
    </row>
    <row r="4529" customFormat="false" ht="15" hidden="false" customHeight="false" outlineLevel="0" collapsed="false">
      <c r="A4529" s="0" t="e">
        <f aca="false">INDEX(LOGEST(Data!K1:K8,Data!A1:B8),1,1)</f>
        <v>#VALUE!</v>
      </c>
      <c r="B4529" s="0" t="s">
        <v>4516</v>
      </c>
    </row>
    <row r="4530" customFormat="false" ht="15" hidden="false" customHeight="false" outlineLevel="0" collapsed="false">
      <c r="A4530" s="0" t="e">
        <f aca="false">INDEX(LOGEST(Data!K1:K8,Data!A1:B8),1,2)</f>
        <v>#VALUE!</v>
      </c>
      <c r="B4530" s="0" t="s">
        <v>4517</v>
      </c>
    </row>
    <row r="4531" customFormat="false" ht="15" hidden="false" customHeight="false" outlineLevel="0" collapsed="false">
      <c r="A4531" s="0" t="e">
        <f aca="false">INDEX(LOGEST(Data!K1:K8,Data!A1:B8),1,3)</f>
        <v>#VALUE!</v>
      </c>
      <c r="B4531" s="0" t="s">
        <v>4518</v>
      </c>
    </row>
    <row r="4532" customFormat="false" ht="15" hidden="false" customHeight="false" outlineLevel="0" collapsed="false">
      <c r="A4532" s="0" t="e">
        <f aca="false">ROWS(LOGEST(Data!K1:K8,Data!A1:B8))</f>
        <v>#VALUE!</v>
      </c>
      <c r="B4532" s="0" t="s">
        <v>4519</v>
      </c>
    </row>
    <row r="4533" customFormat="false" ht="15" hidden="false" customHeight="false" outlineLevel="0" collapsed="false">
      <c r="A4533" s="0" t="e">
        <f aca="false">COLUMNS(LOGEST(Data!K1:K8,Data!A1:B8))</f>
        <v>#VALUE!</v>
      </c>
      <c r="B4533" s="0" t="s">
        <v>4520</v>
      </c>
    </row>
    <row r="4534" customFormat="false" ht="15" hidden="false" customHeight="false" outlineLevel="0" collapsed="false">
      <c r="A4534" s="0" t="e">
        <f aca="false">INDEX(LOGEST(Data!A1:B8,Data!K1:K8),1,1)</f>
        <v>#VALUE!</v>
      </c>
      <c r="B4534" s="0" t="s">
        <v>4521</v>
      </c>
    </row>
    <row r="4535" customFormat="false" ht="15" hidden="false" customHeight="false" outlineLevel="0" collapsed="false">
      <c r="A4535" s="0" t="e">
        <f aca="false">INDEX(LOGEST(Data!A1:B8,Data!K1:K8),1,2)</f>
        <v>#VALUE!</v>
      </c>
      <c r="B4535" s="0" t="s">
        <v>4522</v>
      </c>
    </row>
    <row r="4536" customFormat="false" ht="15" hidden="false" customHeight="false" outlineLevel="0" collapsed="false">
      <c r="A4536" s="0" t="e">
        <f aca="false">ROWS(LOGEST(Data!A1:B8,Data!K1:K8))</f>
        <v>#VALUE!</v>
      </c>
      <c r="B4536" s="0" t="s">
        <v>4523</v>
      </c>
    </row>
    <row r="4537" customFormat="false" ht="15" hidden="false" customHeight="false" outlineLevel="0" collapsed="false">
      <c r="A4537" s="0" t="e">
        <f aca="false">COLUMNS(LOGEST(Data!A1:B8,Data!K1:K8))</f>
        <v>#VALUE!</v>
      </c>
      <c r="B4537" s="0" t="s">
        <v>4524</v>
      </c>
    </row>
    <row r="4538" customFormat="false" ht="15" hidden="false" customHeight="false" outlineLevel="0" collapsed="false">
      <c r="A4538" s="0" t="n">
        <f aca="false">INDEX(LOGEST(Data!K1:K3,Data!BF1:BG3,TRUE(),TRUE()),1,1)</f>
        <v>1.34134789763986</v>
      </c>
      <c r="B4538" s="0" t="s">
        <v>4525</v>
      </c>
    </row>
    <row r="4539" customFormat="false" ht="15" hidden="false" customHeight="false" outlineLevel="0" collapsed="false">
      <c r="A4539" s="0" t="n">
        <f aca="false">INDEX(LOGEST(Data!K1:K3,Data!BF1:BG3,TRUE(),TRUE()),1,2)</f>
        <v>1.03589493584624</v>
      </c>
      <c r="B4539" s="0" t="s">
        <v>4526</v>
      </c>
    </row>
    <row r="4540" customFormat="false" ht="15" hidden="false" customHeight="false" outlineLevel="0" collapsed="false">
      <c r="A4540" s="0" t="n">
        <f aca="false">INDEX(LOGEST(Data!K1:K3,Data!BF1:BG3,TRUE(),TRUE()),1,3)</f>
        <v>0.59641499525039</v>
      </c>
      <c r="B4540" s="0" t="s">
        <v>4527</v>
      </c>
    </row>
    <row r="4541" customFormat="false" ht="15" hidden="false" customHeight="false" outlineLevel="0" collapsed="false">
      <c r="A4541" s="0" t="n">
        <f aca="false">INDEX(LOGEST(Data!K1:K3,Data!BF1:BG3,TRUE(),TRUE()),2,1)</f>
        <v>0</v>
      </c>
      <c r="B4541" s="0" t="s">
        <v>4528</v>
      </c>
    </row>
    <row r="4542" customFormat="false" ht="15" hidden="false" customHeight="false" outlineLevel="0" collapsed="false">
      <c r="A4542" s="0" t="n">
        <f aca="false">INDEX(LOGEST(Data!K1:K3,Data!BF1:BG3,TRUE(),TRUE()),2,2)</f>
        <v>0</v>
      </c>
      <c r="B4542" s="0" t="s">
        <v>4529</v>
      </c>
    </row>
    <row r="4543" customFormat="false" ht="15" hidden="false" customHeight="false" outlineLevel="0" collapsed="false">
      <c r="A4543" s="0" t="n">
        <f aca="false">INDEX(LOGEST(Data!K1:K3,Data!BF1:BG3,TRUE(),TRUE()),2,3)</f>
        <v>0</v>
      </c>
      <c r="B4543" s="0" t="s">
        <v>4530</v>
      </c>
    </row>
    <row r="4544" customFormat="false" ht="15" hidden="false" customHeight="false" outlineLevel="0" collapsed="false">
      <c r="A4544" s="0" t="n">
        <f aca="false">INDEX(LOGEST(Data!K1:K3,Data!BF1:BG3,TRUE(),TRUE()),3,1)</f>
        <v>1</v>
      </c>
      <c r="B4544" s="0" t="s">
        <v>4531</v>
      </c>
    </row>
    <row r="4545" customFormat="false" ht="15" hidden="false" customHeight="false" outlineLevel="0" collapsed="false">
      <c r="A4545" s="0" t="n">
        <f aca="false">INDEX(LOGEST(Data!K1:K3,Data!BF1:BG3,TRUE(),TRUE()),3,2)</f>
        <v>0</v>
      </c>
      <c r="B4545" s="0" t="s">
        <v>4532</v>
      </c>
    </row>
    <row r="4546" customFormat="false" ht="15" hidden="false" customHeight="false" outlineLevel="0" collapsed="false">
      <c r="A4546" s="0" t="e">
        <f aca="false">INDEX(LOGEST(Data!K1:K3,Data!BF1:BG3,TRUE(),TRUE()),3,3)</f>
        <v>#N/A</v>
      </c>
      <c r="B4546" s="0" t="s">
        <v>4533</v>
      </c>
    </row>
    <row r="4547" customFormat="false" ht="15" hidden="false" customHeight="false" outlineLevel="0" collapsed="false">
      <c r="A4547" s="0" t="e">
        <f aca="false">INDEX(LOGEST(Data!K1:K3,Data!BF1:BG3,TRUE(),TRUE()),4,1)</f>
        <v>#N/A</v>
      </c>
      <c r="B4547" s="0" t="s">
        <v>4534</v>
      </c>
    </row>
    <row r="4548" customFormat="false" ht="15" hidden="false" customHeight="false" outlineLevel="0" collapsed="false">
      <c r="A4548" s="0" t="n">
        <f aca="false">INDEX(LOGEST(Data!K1:K3,Data!BF1:BG3,TRUE(),TRUE()),4,2)</f>
        <v>0</v>
      </c>
      <c r="B4548" s="0" t="s">
        <v>4535</v>
      </c>
    </row>
    <row r="4549" customFormat="false" ht="15" hidden="false" customHeight="false" outlineLevel="0" collapsed="false">
      <c r="A4549" s="0" t="e">
        <f aca="false">INDEX(LOGEST(Data!K1:K3,Data!BF1:BG3,TRUE(),TRUE()),4,3)</f>
        <v>#N/A</v>
      </c>
      <c r="B4549" s="0" t="s">
        <v>4536</v>
      </c>
    </row>
    <row r="4550" customFormat="false" ht="15" hidden="false" customHeight="false" outlineLevel="0" collapsed="false">
      <c r="A4550" s="0" t="n">
        <f aca="false">INDEX(LOGEST(Data!K1:K3,Data!BF1:BG3,TRUE(),TRUE()),5,1)</f>
        <v>0.456611587909931</v>
      </c>
      <c r="B4550" s="0" t="s">
        <v>4537</v>
      </c>
    </row>
    <row r="4551" customFormat="false" ht="15" hidden="false" customHeight="false" outlineLevel="0" collapsed="false">
      <c r="A4551" s="0" t="n">
        <f aca="false">INDEX(LOGEST(Data!K1:K3,Data!BF1:BG3,TRUE(),TRUE()),5,2)</f>
        <v>0</v>
      </c>
      <c r="B4551" s="0" t="s">
        <v>4538</v>
      </c>
    </row>
    <row r="4552" customFormat="false" ht="15" hidden="false" customHeight="false" outlineLevel="0" collapsed="false">
      <c r="A4552" s="0" t="e">
        <f aca="false">INDEX(LOGEST(Data!K1:K3,Data!BF1:BG3,TRUE(),TRUE()),5,3)</f>
        <v>#N/A</v>
      </c>
      <c r="B4552" s="0" t="s">
        <v>4539</v>
      </c>
    </row>
    <row r="4553" customFormat="false" ht="15" hidden="false" customHeight="false" outlineLevel="0" collapsed="false">
      <c r="A4553" s="0" t="n">
        <f aca="false">ROWS(LOGEST(Data!K1:K3,Data!BF1:BG3,TRUE(),TRUE()))</f>
        <v>5</v>
      </c>
      <c r="B4553" s="0" t="s">
        <v>4540</v>
      </c>
    </row>
    <row r="4554" customFormat="false" ht="15" hidden="false" customHeight="false" outlineLevel="0" collapsed="false">
      <c r="A4554" s="0" t="n">
        <f aca="false">COLUMNS(LOGEST(Data!K1:K3,Data!BF1:BG3,TRUE(),TRUE()))</f>
        <v>3</v>
      </c>
      <c r="B4554" s="0" t="s">
        <v>4541</v>
      </c>
    </row>
    <row r="4555" customFormat="false" ht="15" hidden="false" customHeight="false" outlineLevel="0" collapsed="false">
      <c r="A4555" s="0" t="e">
        <f aca="false">INDEX(LOGEST(Data!K1:K2,Data!BF1:BG2,TRUE(),TRUE()),1,1)</f>
        <v>#VALUE!</v>
      </c>
      <c r="B4555" s="0" t="s">
        <v>4542</v>
      </c>
    </row>
    <row r="4556" customFormat="false" ht="15" hidden="false" customHeight="false" outlineLevel="0" collapsed="false">
      <c r="A4556" s="0" t="e">
        <f aca="false">INDEX(LOGEST(Data!K1:K2,Data!BF1:BG2,TRUE(),TRUE()),1,2)</f>
        <v>#VALUE!</v>
      </c>
      <c r="B4556" s="0" t="s">
        <v>4543</v>
      </c>
    </row>
    <row r="4557" customFormat="false" ht="15" hidden="false" customHeight="false" outlineLevel="0" collapsed="false">
      <c r="A4557" s="0" t="e">
        <f aca="false">INDEX(LOGEST(Data!K1:K2,Data!BF1:BG2,TRUE(),TRUE()),1,3)</f>
        <v>#VALUE!</v>
      </c>
      <c r="B4557" s="0" t="s">
        <v>4544</v>
      </c>
    </row>
    <row r="4558" customFormat="false" ht="15" hidden="false" customHeight="false" outlineLevel="0" collapsed="false">
      <c r="A4558" s="0" t="e">
        <f aca="false">INDEX(LOGEST(Data!K1:K2,Data!BF1:BG2,TRUE(),TRUE()),2,1)</f>
        <v>#VALUE!</v>
      </c>
      <c r="B4558" s="0" t="s">
        <v>4545</v>
      </c>
    </row>
    <row r="4559" customFormat="false" ht="15" hidden="false" customHeight="false" outlineLevel="0" collapsed="false">
      <c r="A4559" s="0" t="e">
        <f aca="false">INDEX(LOGEST(Data!K1:K2,Data!BF1:BG2,TRUE(),TRUE()),2,2)</f>
        <v>#VALUE!</v>
      </c>
      <c r="B4559" s="0" t="s">
        <v>4546</v>
      </c>
    </row>
    <row r="4560" customFormat="false" ht="15" hidden="false" customHeight="false" outlineLevel="0" collapsed="false">
      <c r="A4560" s="0" t="e">
        <f aca="false">INDEX(LOGEST(Data!K1:K2,Data!BF1:BG2,TRUE(),TRUE()),2,3)</f>
        <v>#VALUE!</v>
      </c>
      <c r="B4560" s="0" t="s">
        <v>4547</v>
      </c>
    </row>
    <row r="4561" customFormat="false" ht="15" hidden="false" customHeight="false" outlineLevel="0" collapsed="false">
      <c r="A4561" s="0" t="e">
        <f aca="false">INDEX(LOGEST(Data!K1:K2,Data!BF1:BG2,TRUE(),TRUE()),3,1)</f>
        <v>#VALUE!</v>
      </c>
      <c r="B4561" s="0" t="s">
        <v>4548</v>
      </c>
    </row>
    <row r="4562" customFormat="false" ht="15" hidden="false" customHeight="false" outlineLevel="0" collapsed="false">
      <c r="A4562" s="0" t="e">
        <f aca="false">INDEX(LOGEST(Data!K1:K2,Data!BF1:BG2,TRUE(),TRUE()),3,2)</f>
        <v>#VALUE!</v>
      </c>
      <c r="B4562" s="0" t="s">
        <v>4549</v>
      </c>
    </row>
    <row r="4563" customFormat="false" ht="15" hidden="false" customHeight="false" outlineLevel="0" collapsed="false">
      <c r="A4563" s="0" t="e">
        <f aca="false">INDEX(LOGEST(Data!K1:K2,Data!BF1:BG2,TRUE(),TRUE()),3,3)</f>
        <v>#VALUE!</v>
      </c>
      <c r="B4563" s="0" t="s">
        <v>4550</v>
      </c>
    </row>
    <row r="4564" customFormat="false" ht="15" hidden="false" customHeight="false" outlineLevel="0" collapsed="false">
      <c r="A4564" s="0" t="e">
        <f aca="false">INDEX(LOGEST(Data!K1:K2,Data!BF1:BG2,TRUE(),TRUE()),4,1)</f>
        <v>#VALUE!</v>
      </c>
      <c r="B4564" s="0" t="s">
        <v>4551</v>
      </c>
    </row>
    <row r="4565" customFormat="false" ht="15" hidden="false" customHeight="false" outlineLevel="0" collapsed="false">
      <c r="A4565" s="0" t="e">
        <f aca="false">INDEX(LOGEST(Data!K1:K2,Data!BF1:BG2,TRUE(),TRUE()),4,2)</f>
        <v>#VALUE!</v>
      </c>
      <c r="B4565" s="0" t="s">
        <v>4552</v>
      </c>
    </row>
    <row r="4566" customFormat="false" ht="15" hidden="false" customHeight="false" outlineLevel="0" collapsed="false">
      <c r="A4566" s="0" t="e">
        <f aca="false">INDEX(LOGEST(Data!K1:K2,Data!BF1:BG2,TRUE(),TRUE()),4,3)</f>
        <v>#VALUE!</v>
      </c>
      <c r="B4566" s="0" t="s">
        <v>4553</v>
      </c>
    </row>
    <row r="4567" customFormat="false" ht="15" hidden="false" customHeight="false" outlineLevel="0" collapsed="false">
      <c r="A4567" s="0" t="e">
        <f aca="false">INDEX(LOGEST(Data!K1:K2,Data!BF1:BG2,TRUE(),TRUE()),5,1)</f>
        <v>#VALUE!</v>
      </c>
      <c r="B4567" s="0" t="s">
        <v>4554</v>
      </c>
    </row>
    <row r="4568" customFormat="false" ht="15" hidden="false" customHeight="false" outlineLevel="0" collapsed="false">
      <c r="A4568" s="0" t="e">
        <f aca="false">INDEX(LOGEST(Data!K1:K2,Data!BF1:BG2,TRUE(),TRUE()),5,2)</f>
        <v>#VALUE!</v>
      </c>
      <c r="B4568" s="0" t="s">
        <v>4555</v>
      </c>
    </row>
    <row r="4569" customFormat="false" ht="15" hidden="false" customHeight="false" outlineLevel="0" collapsed="false">
      <c r="A4569" s="0" t="e">
        <f aca="false">INDEX(LOGEST(Data!K1:K2,Data!BF1:BG2,TRUE(),TRUE()),5,3)</f>
        <v>#VALUE!</v>
      </c>
      <c r="B4569" s="0" t="s">
        <v>4556</v>
      </c>
    </row>
    <row r="4570" customFormat="false" ht="15" hidden="false" customHeight="false" outlineLevel="0" collapsed="false">
      <c r="A4570" s="0" t="e">
        <f aca="false">ROWS(LOGEST(Data!K1:K2,Data!BF1:BG2,TRUE(),TRUE()))</f>
        <v>#VALUE!</v>
      </c>
      <c r="B4570" s="0" t="s">
        <v>4557</v>
      </c>
    </row>
    <row r="4571" customFormat="false" ht="15" hidden="false" customHeight="false" outlineLevel="0" collapsed="false">
      <c r="A4571" s="0" t="e">
        <f aca="false">COLUMNS(LOGEST(Data!K1:K2,Data!BF1:BG2,TRUE(),TRUE()))</f>
        <v>#VALUE!</v>
      </c>
      <c r="B4571" s="0" t="s">
        <v>4558</v>
      </c>
    </row>
    <row r="4572" customFormat="false" ht="15" hidden="false" customHeight="false" outlineLevel="0" collapsed="false">
      <c r="A4572" s="0" t="n">
        <f aca="false">INDEX(LOGEST(Data!K1:K3,Data!BF1:BG3),1,1)</f>
        <v>1.34134789763986</v>
      </c>
      <c r="B4572" s="0" t="s">
        <v>4559</v>
      </c>
    </row>
    <row r="4573" customFormat="false" ht="15" hidden="false" customHeight="false" outlineLevel="0" collapsed="false">
      <c r="A4573" s="0" t="n">
        <f aca="false">INDEX(LOGEST(Data!K1:K3,Data!BF1:BG3),1,2)</f>
        <v>1.03589493584624</v>
      </c>
      <c r="B4573" s="0" t="s">
        <v>4560</v>
      </c>
    </row>
    <row r="4574" customFormat="false" ht="15" hidden="false" customHeight="false" outlineLevel="0" collapsed="false">
      <c r="A4574" s="0" t="n">
        <f aca="false">INDEX(LOGEST(Data!K1:K3,Data!BF1:BG3),1,3)</f>
        <v>0.59641499525039</v>
      </c>
      <c r="B4574" s="0" t="s">
        <v>4561</v>
      </c>
    </row>
    <row r="4575" customFormat="false" ht="15" hidden="false" customHeight="false" outlineLevel="0" collapsed="false">
      <c r="A4575" s="0" t="n">
        <f aca="false">ROWS(LOGEST(Data!K1:K3,Data!BF1:BG3))</f>
        <v>1</v>
      </c>
      <c r="B4575" s="0" t="s">
        <v>4562</v>
      </c>
    </row>
    <row r="4576" customFormat="false" ht="15" hidden="false" customHeight="false" outlineLevel="0" collapsed="false">
      <c r="A4576" s="0" t="n">
        <f aca="false">COLUMNS(LOGEST(Data!K1:K3,Data!BF1:BG3))</f>
        <v>3</v>
      </c>
      <c r="B4576" s="0" t="s">
        <v>4563</v>
      </c>
    </row>
    <row r="4577" customFormat="false" ht="15" hidden="false" customHeight="false" outlineLevel="0" collapsed="false">
      <c r="A4577" s="0" t="n">
        <f aca="false">INDEX(LOGEST(Data!K1:K2,Data!BF1:BG2,FALSE(),TRUE()),1,1)</f>
        <v>1.14869835499703</v>
      </c>
      <c r="B4577" s="0" t="s">
        <v>4564</v>
      </c>
    </row>
    <row r="4578" customFormat="false" ht="15" hidden="false" customHeight="false" outlineLevel="0" collapsed="false">
      <c r="A4578" s="0" t="n">
        <f aca="false">INDEX(LOGEST(Data!K1:K2,Data!BF1:BG2,FALSE(),TRUE()),1,2)</f>
        <v>1.14869835499704</v>
      </c>
      <c r="B4578" s="0" t="s">
        <v>4565</v>
      </c>
    </row>
    <row r="4579" customFormat="false" ht="15" hidden="false" customHeight="false" outlineLevel="0" collapsed="false">
      <c r="A4579" s="0" t="n">
        <f aca="false">INDEX(LOGEST(Data!K1:K2,Data!BF1:BG2,FALSE(),TRUE()),1,3)</f>
        <v>1</v>
      </c>
      <c r="B4579" s="0" t="s">
        <v>4566</v>
      </c>
    </row>
    <row r="4580" customFormat="false" ht="15" hidden="false" customHeight="false" outlineLevel="0" collapsed="false">
      <c r="A4580" s="0" t="n">
        <f aca="false">INDEX(LOGEST(Data!K1:K2,Data!BF1:BG2,FALSE(),TRUE()),2,1)</f>
        <v>0</v>
      </c>
      <c r="B4580" s="0" t="s">
        <v>4567</v>
      </c>
    </row>
    <row r="4581" customFormat="false" ht="15" hidden="false" customHeight="false" outlineLevel="0" collapsed="false">
      <c r="A4581" s="0" t="n">
        <f aca="false">INDEX(LOGEST(Data!K1:K2,Data!BF1:BG2,FALSE(),TRUE()),2,2)</f>
        <v>0</v>
      </c>
      <c r="B4581" s="0" t="s">
        <v>4568</v>
      </c>
    </row>
    <row r="4582" customFormat="false" ht="15" hidden="false" customHeight="false" outlineLevel="0" collapsed="false">
      <c r="A4582" s="0" t="e">
        <f aca="false">INDEX(LOGEST(Data!K1:K2,Data!BF1:BG2,FALSE(),TRUE()),2,3)</f>
        <v>#N/A</v>
      </c>
      <c r="B4582" s="0" t="s">
        <v>4569</v>
      </c>
    </row>
    <row r="4583" customFormat="false" ht="15" hidden="false" customHeight="false" outlineLevel="0" collapsed="false">
      <c r="A4583" s="0" t="n">
        <f aca="false">INDEX(LOGEST(Data!K1:K2,Data!BF1:BG2,FALSE(),TRUE()),3,1)</f>
        <v>1</v>
      </c>
      <c r="B4583" s="0" t="s">
        <v>4570</v>
      </c>
    </row>
    <row r="4584" customFormat="false" ht="15" hidden="false" customHeight="false" outlineLevel="0" collapsed="false">
      <c r="A4584" s="0" t="n">
        <f aca="false">INDEX(LOGEST(Data!K1:K2,Data!BF1:BG2,FALSE(),TRUE()),3,2)</f>
        <v>0</v>
      </c>
      <c r="B4584" s="0" t="s">
        <v>4571</v>
      </c>
    </row>
    <row r="4585" customFormat="false" ht="15" hidden="false" customHeight="false" outlineLevel="0" collapsed="false">
      <c r="A4585" s="0" t="e">
        <f aca="false">INDEX(LOGEST(Data!K1:K2,Data!BF1:BG2,FALSE(),TRUE()),3,3)</f>
        <v>#N/A</v>
      </c>
      <c r="B4585" s="0" t="s">
        <v>4572</v>
      </c>
    </row>
    <row r="4586" customFormat="false" ht="15" hidden="false" customHeight="false" outlineLevel="0" collapsed="false">
      <c r="A4586" s="0" t="e">
        <f aca="false">INDEX(LOGEST(Data!K1:K2,Data!BF1:BG2,FALSE(),TRUE()),4,1)</f>
        <v>#N/A</v>
      </c>
      <c r="B4586" s="0" t="s">
        <v>4573</v>
      </c>
    </row>
    <row r="4587" customFormat="false" ht="15" hidden="false" customHeight="false" outlineLevel="0" collapsed="false">
      <c r="A4587" s="0" t="n">
        <f aca="false">INDEX(LOGEST(Data!K1:K2,Data!BF1:BG2,FALSE(),TRUE()),4,2)</f>
        <v>0</v>
      </c>
      <c r="B4587" s="0" t="s">
        <v>4574</v>
      </c>
    </row>
    <row r="4588" customFormat="false" ht="15" hidden="false" customHeight="false" outlineLevel="0" collapsed="false">
      <c r="A4588" s="0" t="e">
        <f aca="false">INDEX(LOGEST(Data!K1:K2,Data!BF1:BG2,FALSE(),TRUE()),4,3)</f>
        <v>#N/A</v>
      </c>
      <c r="B4588" s="0" t="s">
        <v>4575</v>
      </c>
    </row>
    <row r="4589" customFormat="false" ht="15" hidden="false" customHeight="false" outlineLevel="0" collapsed="false">
      <c r="A4589" s="0" t="n">
        <f aca="false">INDEX(LOGEST(Data!K1:K2,Data!BF1:BG2,FALSE(),TRUE()),5,1)</f>
        <v>2.40226506959101</v>
      </c>
      <c r="B4589" s="0" t="s">
        <v>4576</v>
      </c>
    </row>
    <row r="4590" customFormat="false" ht="15" hidden="false" customHeight="false" outlineLevel="0" collapsed="false">
      <c r="A4590" s="0" t="n">
        <f aca="false">INDEX(LOGEST(Data!K1:K2,Data!BF1:BG2,FALSE(),TRUE()),5,2)</f>
        <v>0</v>
      </c>
      <c r="B4590" s="0" t="s">
        <v>4577</v>
      </c>
    </row>
    <row r="4591" customFormat="false" ht="15" hidden="false" customHeight="false" outlineLevel="0" collapsed="false">
      <c r="A4591" s="0" t="e">
        <f aca="false">INDEX(LOGEST(Data!K1:K2,Data!BF1:BG2,FALSE(),TRUE()),5,3)</f>
        <v>#N/A</v>
      </c>
      <c r="B4591" s="0" t="s">
        <v>4578</v>
      </c>
    </row>
    <row r="4592" customFormat="false" ht="15" hidden="false" customHeight="false" outlineLevel="0" collapsed="false">
      <c r="A4592" s="0" t="n">
        <f aca="false">ROWS(LOGEST(Data!K1:K2,Data!BF1:BG2,FALSE(),TRUE()))</f>
        <v>5</v>
      </c>
      <c r="B4592" s="0" t="s">
        <v>4579</v>
      </c>
    </row>
    <row r="4593" customFormat="false" ht="15" hidden="false" customHeight="false" outlineLevel="0" collapsed="false">
      <c r="A4593" s="0" t="n">
        <f aca="false">COLUMNS(LOGEST(Data!K1:K2,Data!BF1:BG2,FALSE(),TRUE()))</f>
        <v>3</v>
      </c>
      <c r="B4593" s="0" t="s">
        <v>4580</v>
      </c>
    </row>
    <row r="4594" customFormat="false" ht="15" hidden="false" customHeight="false" outlineLevel="0" collapsed="false">
      <c r="A4594" s="0" t="e">
        <f aca="false">INDEX(LOGEST({0;1;2;3},{1;2;3;4},TRUE(),TRUE()),1,1)</f>
        <v>#VALUE!</v>
      </c>
      <c r="B4594" s="0" t="s">
        <v>4581</v>
      </c>
    </row>
    <row r="4595" customFormat="false" ht="15" hidden="false" customHeight="false" outlineLevel="0" collapsed="false">
      <c r="A4595" s="0" t="e">
        <f aca="false">INDEX(LOGEST({0;1;2;3},{1;2;3;4},TRUE(),TRUE()),1,2)</f>
        <v>#VALUE!</v>
      </c>
      <c r="B4595" s="0" t="s">
        <v>4582</v>
      </c>
    </row>
    <row r="4596" customFormat="false" ht="15" hidden="false" customHeight="false" outlineLevel="0" collapsed="false">
      <c r="A4596" s="0" t="e">
        <f aca="false">INDEX(LOGEST({0;1;2;3},{1;2;3;4},TRUE(),TRUE()),2,1)</f>
        <v>#VALUE!</v>
      </c>
      <c r="B4596" s="0" t="s">
        <v>4583</v>
      </c>
    </row>
    <row r="4597" customFormat="false" ht="15" hidden="false" customHeight="false" outlineLevel="0" collapsed="false">
      <c r="A4597" s="0" t="e">
        <f aca="false">INDEX(LOGEST({0;1;2;3},{1;2;3;4},TRUE(),TRUE()),2,2)</f>
        <v>#VALUE!</v>
      </c>
      <c r="B4597" s="0" t="s">
        <v>4584</v>
      </c>
    </row>
    <row r="4598" customFormat="false" ht="15" hidden="false" customHeight="false" outlineLevel="0" collapsed="false">
      <c r="A4598" s="0" t="e">
        <f aca="false">INDEX(LOGEST({0;1;2;3},{1;2;3;4},TRUE(),TRUE()),3,1)</f>
        <v>#VALUE!</v>
      </c>
      <c r="B4598" s="0" t="s">
        <v>4585</v>
      </c>
    </row>
    <row r="4599" customFormat="false" ht="15" hidden="false" customHeight="false" outlineLevel="0" collapsed="false">
      <c r="A4599" s="0" t="e">
        <f aca="false">INDEX(LOGEST({0;1;2;3},{1;2;3;4},TRUE(),TRUE()),3,2)</f>
        <v>#VALUE!</v>
      </c>
      <c r="B4599" s="0" t="s">
        <v>4586</v>
      </c>
    </row>
    <row r="4600" customFormat="false" ht="15" hidden="false" customHeight="false" outlineLevel="0" collapsed="false">
      <c r="A4600" s="0" t="e">
        <f aca="false">INDEX(LOGEST({0;1;2;3},{1;2;3;4},TRUE(),TRUE()),4,1)</f>
        <v>#VALUE!</v>
      </c>
      <c r="B4600" s="0" t="s">
        <v>4587</v>
      </c>
    </row>
    <row r="4601" customFormat="false" ht="15" hidden="false" customHeight="false" outlineLevel="0" collapsed="false">
      <c r="A4601" s="0" t="e">
        <f aca="false">INDEX(LOGEST({0;1;2;3},{1;2;3;4},TRUE(),TRUE()),4,2)</f>
        <v>#VALUE!</v>
      </c>
      <c r="B4601" s="0" t="s">
        <v>4588</v>
      </c>
    </row>
    <row r="4602" customFormat="false" ht="15" hidden="false" customHeight="false" outlineLevel="0" collapsed="false">
      <c r="A4602" s="0" t="e">
        <f aca="false">INDEX(LOGEST({0;1;2;3},{1;2;3;4},TRUE(),TRUE()),5,1)</f>
        <v>#VALUE!</v>
      </c>
      <c r="B4602" s="0" t="s">
        <v>4589</v>
      </c>
    </row>
    <row r="4603" customFormat="false" ht="15" hidden="false" customHeight="false" outlineLevel="0" collapsed="false">
      <c r="A4603" s="0" t="e">
        <f aca="false">INDEX(LOGEST({0;1;2;3},{1;2;3;4},TRUE(),TRUE()),5,2)</f>
        <v>#VALUE!</v>
      </c>
      <c r="B4603" s="0" t="s">
        <v>4590</v>
      </c>
    </row>
    <row r="4604" customFormat="false" ht="15" hidden="false" customHeight="false" outlineLevel="0" collapsed="false">
      <c r="A4604" s="0" t="e">
        <f aca="false">ROWS(LOGEST({0;1;2;3},{1;2;3;4},TRUE(),TRUE()))</f>
        <v>#VALUE!</v>
      </c>
      <c r="B4604" s="0" t="s">
        <v>4591</v>
      </c>
    </row>
    <row r="4605" customFormat="false" ht="15" hidden="false" customHeight="false" outlineLevel="0" collapsed="false">
      <c r="A4605" s="0" t="e">
        <f aca="false">COLUMNS(LOGEST({0;1;2;3},{1;2;3;4},TRUE(),TRUE()))</f>
        <v>#VALUE!</v>
      </c>
      <c r="B4605" s="0" t="s">
        <v>4592</v>
      </c>
    </row>
    <row r="4606" customFormat="false" ht="15" hidden="false" customHeight="false" outlineLevel="0" collapsed="false">
      <c r="A4606" s="0" t="n">
        <f aca="false">INDEX(LOGEST({1;2;3},{1;2;3},TRUE(),TRUE()),1,1)</f>
        <v>1.73205080756888</v>
      </c>
      <c r="B4606" s="0" t="s">
        <v>4593</v>
      </c>
    </row>
    <row r="4607" customFormat="false" ht="15" hidden="false" customHeight="false" outlineLevel="0" collapsed="false">
      <c r="A4607" s="0" t="n">
        <f aca="false">INDEX(LOGEST({1;2;3},{1;2;3},TRUE(),TRUE()),1,2)</f>
        <v>0.60570686427738</v>
      </c>
      <c r="B4607" s="0" t="s">
        <v>4594</v>
      </c>
    </row>
    <row r="4608" customFormat="false" ht="15" hidden="false" customHeight="false" outlineLevel="0" collapsed="false">
      <c r="A4608" s="0" t="n">
        <f aca="false">INDEX(LOGEST({1;2;3},{1;2;3},TRUE(),TRUE()),2,1)</f>
        <v>0.0830466609855325</v>
      </c>
      <c r="B4608" s="0" t="s">
        <v>4595</v>
      </c>
    </row>
    <row r="4609" customFormat="false" ht="15" hidden="false" customHeight="false" outlineLevel="0" collapsed="false">
      <c r="A4609" s="0" t="n">
        <f aca="false">INDEX(LOGEST({1;2;3},{1;2;3},TRUE(),TRUE()),2,2)</f>
        <v>0.179401291905274</v>
      </c>
      <c r="B4609" s="0" t="s">
        <v>4596</v>
      </c>
    </row>
    <row r="4610" customFormat="false" ht="15" hidden="false" customHeight="false" outlineLevel="0" collapsed="false">
      <c r="A4610" s="0" t="n">
        <f aca="false">INDEX(LOGEST({1;2;3},{1;2;3},TRUE(),TRUE()),3,1)</f>
        <v>0.977653958518262</v>
      </c>
      <c r="B4610" s="0" t="s">
        <v>4597</v>
      </c>
    </row>
    <row r="4611" customFormat="false" ht="15" hidden="false" customHeight="false" outlineLevel="0" collapsed="false">
      <c r="A4611" s="0" t="n">
        <f aca="false">INDEX(LOGEST({1;2;3},{1;2;3},TRUE(),TRUE()),3,2)</f>
        <v>0.117445714275541</v>
      </c>
      <c r="B4611" s="0" t="s">
        <v>4598</v>
      </c>
    </row>
    <row r="4612" customFormat="false" ht="15" hidden="false" customHeight="false" outlineLevel="0" collapsed="false">
      <c r="A4612" s="0" t="n">
        <f aca="false">INDEX(LOGEST({1;2;3},{1;2;3},TRUE(),TRUE()),4,1)</f>
        <v>43.7506553148236</v>
      </c>
      <c r="B4612" s="0" t="s">
        <v>4599</v>
      </c>
    </row>
    <row r="4613" customFormat="false" ht="15" hidden="false" customHeight="false" outlineLevel="0" collapsed="false">
      <c r="A4613" s="0" t="n">
        <f aca="false">INDEX(LOGEST({1;2;3},{1;2;3},TRUE(),TRUE()),4,2)</f>
        <v>1</v>
      </c>
      <c r="B4613" s="0" t="s">
        <v>4600</v>
      </c>
    </row>
    <row r="4614" customFormat="false" ht="15" hidden="false" customHeight="false" outlineLevel="0" collapsed="false">
      <c r="A4614" s="0" t="n">
        <f aca="false">INDEX(LOGEST({1;2;3},{1;2;3},TRUE(),TRUE()),5,1)</f>
        <v>0.603474480406291</v>
      </c>
      <c r="B4614" s="0" t="s">
        <v>4601</v>
      </c>
    </row>
    <row r="4615" customFormat="false" ht="15" hidden="false" customHeight="false" outlineLevel="0" collapsed="false">
      <c r="A4615" s="0" t="n">
        <f aca="false">INDEX(LOGEST({1;2;3},{1;2;3},TRUE(),TRUE()),5,2)</f>
        <v>0.0137934958016919</v>
      </c>
      <c r="B4615" s="0" t="s">
        <v>4602</v>
      </c>
    </row>
    <row r="4616" customFormat="false" ht="15" hidden="false" customHeight="false" outlineLevel="0" collapsed="false">
      <c r="A4616" s="0" t="n">
        <f aca="false">ROWS(LOGEST({1;2;3},{1;2;3},TRUE(),TRUE()))</f>
        <v>5</v>
      </c>
      <c r="B4616" s="0" t="s">
        <v>4603</v>
      </c>
    </row>
    <row r="4617" customFormat="false" ht="15" hidden="false" customHeight="false" outlineLevel="0" collapsed="false">
      <c r="A4617" s="0" t="n">
        <f aca="false">COLUMNS(LOGEST({1;2;3},{1;2;3},TRUE(),TRUE()))</f>
        <v>2</v>
      </c>
      <c r="B4617" s="0" t="s">
        <v>4604</v>
      </c>
    </row>
    <row r="4618" customFormat="false" ht="15" hidden="false" customHeight="false" outlineLevel="0" collapsed="false">
      <c r="A4618" s="0" t="e">
        <f aca="false">INDEX(LOGEST(Data!K1:K8,TRANSPOSE(Data!A1:A8),TRUE(),TRUE()),1,1)</f>
        <v>#VALUE!</v>
      </c>
      <c r="B4618" s="0" t="s">
        <v>4605</v>
      </c>
    </row>
    <row r="4619" customFormat="false" ht="15" hidden="false" customHeight="false" outlineLevel="0" collapsed="false">
      <c r="A4619" s="0" t="e">
        <f aca="false">INDEX(LOGEST(Data!K1:K8,TRANSPOSE(Data!A1:A8),TRUE(),TRUE()),1,2)</f>
        <v>#VALUE!</v>
      </c>
      <c r="B4619" s="0" t="s">
        <v>4606</v>
      </c>
    </row>
    <row r="4620" customFormat="false" ht="15" hidden="false" customHeight="false" outlineLevel="0" collapsed="false">
      <c r="A4620" s="0" t="e">
        <f aca="false">INDEX(LOGEST(Data!K1:K8,TRANSPOSE(Data!A1:A8),TRUE(),TRUE()),2,1)</f>
        <v>#VALUE!</v>
      </c>
      <c r="B4620" s="0" t="s">
        <v>4607</v>
      </c>
    </row>
    <row r="4621" customFormat="false" ht="15" hidden="false" customHeight="false" outlineLevel="0" collapsed="false">
      <c r="A4621" s="0" t="e">
        <f aca="false">INDEX(LOGEST(Data!K1:K8,TRANSPOSE(Data!A1:A8),TRUE(),TRUE()),2,2)</f>
        <v>#VALUE!</v>
      </c>
      <c r="B4621" s="0" t="s">
        <v>4608</v>
      </c>
    </row>
    <row r="4622" customFormat="false" ht="15" hidden="false" customHeight="false" outlineLevel="0" collapsed="false">
      <c r="A4622" s="0" t="e">
        <f aca="false">INDEX(LOGEST(Data!K1:K8,TRANSPOSE(Data!A1:A8),TRUE(),TRUE()),3,1)</f>
        <v>#VALUE!</v>
      </c>
      <c r="B4622" s="0" t="s">
        <v>4609</v>
      </c>
    </row>
    <row r="4623" customFormat="false" ht="15" hidden="false" customHeight="false" outlineLevel="0" collapsed="false">
      <c r="A4623" s="0" t="e">
        <f aca="false">INDEX(LOGEST(Data!K1:K8,TRANSPOSE(Data!A1:A8),TRUE(),TRUE()),3,2)</f>
        <v>#VALUE!</v>
      </c>
      <c r="B4623" s="0" t="s">
        <v>4610</v>
      </c>
    </row>
    <row r="4624" customFormat="false" ht="15" hidden="false" customHeight="false" outlineLevel="0" collapsed="false">
      <c r="A4624" s="0" t="e">
        <f aca="false">INDEX(LOGEST(Data!K1:K8,TRANSPOSE(Data!A1:A8),TRUE(),TRUE()),4,1)</f>
        <v>#VALUE!</v>
      </c>
      <c r="B4624" s="0" t="s">
        <v>4611</v>
      </c>
    </row>
    <row r="4625" customFormat="false" ht="15" hidden="false" customHeight="false" outlineLevel="0" collapsed="false">
      <c r="A4625" s="0" t="e">
        <f aca="false">INDEX(LOGEST(Data!K1:K8,TRANSPOSE(Data!A1:A8),TRUE(),TRUE()),4,2)</f>
        <v>#VALUE!</v>
      </c>
      <c r="B4625" s="0" t="s">
        <v>4612</v>
      </c>
    </row>
    <row r="4626" customFormat="false" ht="15" hidden="false" customHeight="false" outlineLevel="0" collapsed="false">
      <c r="A4626" s="0" t="e">
        <f aca="false">INDEX(LOGEST(Data!K1:K8,TRANSPOSE(Data!A1:A8),TRUE(),TRUE()),5,1)</f>
        <v>#VALUE!</v>
      </c>
      <c r="B4626" s="0" t="s">
        <v>4613</v>
      </c>
    </row>
    <row r="4627" customFormat="false" ht="15" hidden="false" customHeight="false" outlineLevel="0" collapsed="false">
      <c r="A4627" s="0" t="e">
        <f aca="false">INDEX(LOGEST(Data!K1:K8,TRANSPOSE(Data!A1:A8),TRUE(),TRUE()),5,2)</f>
        <v>#VALUE!</v>
      </c>
      <c r="B4627" s="0" t="s">
        <v>4614</v>
      </c>
    </row>
    <row r="4628" customFormat="false" ht="15" hidden="false" customHeight="false" outlineLevel="0" collapsed="false">
      <c r="A4628" s="0" t="e">
        <f aca="false">ROWS(LOGEST(Data!K1:K8,TRANSPOSE(Data!A1:A8),TRUE(),TRUE()))</f>
        <v>#VALUE!</v>
      </c>
      <c r="B4628" s="0" t="s">
        <v>4615</v>
      </c>
    </row>
    <row r="4629" customFormat="false" ht="15" hidden="false" customHeight="false" outlineLevel="0" collapsed="false">
      <c r="A4629" s="0" t="e">
        <f aca="false">COLUMNS(LOGEST(Data!K1:K8,TRANSPOSE(Data!A1:A8),TRUE(),TRUE()))</f>
        <v>#VALUE!</v>
      </c>
      <c r="B4629" s="0" t="s">
        <v>4616</v>
      </c>
    </row>
    <row r="4630" customFormat="false" ht="15" hidden="false" customHeight="false" outlineLevel="0" collapsed="false">
      <c r="A4630" s="0" t="e">
        <f aca="false">INDEX(LOGEST(TRANSPOSE(Data!K1:K8),Data!A1:A8,TRUE(),TRUE()),1,1)</f>
        <v>#VALUE!</v>
      </c>
      <c r="B4630" s="0" t="s">
        <v>4617</v>
      </c>
    </row>
    <row r="4631" customFormat="false" ht="15" hidden="false" customHeight="false" outlineLevel="0" collapsed="false">
      <c r="A4631" s="0" t="e">
        <f aca="false">INDEX(LOGEST(TRANSPOSE(Data!K1:K8),Data!A1:A8,TRUE(),TRUE()),1,2)</f>
        <v>#VALUE!</v>
      </c>
      <c r="B4631" s="0" t="s">
        <v>4618</v>
      </c>
    </row>
    <row r="4632" customFormat="false" ht="15" hidden="false" customHeight="false" outlineLevel="0" collapsed="false">
      <c r="A4632" s="0" t="e">
        <f aca="false">INDEX(LOGEST(TRANSPOSE(Data!K1:K8),Data!A1:A8,TRUE(),TRUE()),2,1)</f>
        <v>#VALUE!</v>
      </c>
      <c r="B4632" s="0" t="s">
        <v>4619</v>
      </c>
    </row>
    <row r="4633" customFormat="false" ht="15" hidden="false" customHeight="false" outlineLevel="0" collapsed="false">
      <c r="A4633" s="0" t="e">
        <f aca="false">INDEX(LOGEST(TRANSPOSE(Data!K1:K8),Data!A1:A8,TRUE(),TRUE()),2,2)</f>
        <v>#VALUE!</v>
      </c>
      <c r="B4633" s="0" t="s">
        <v>4620</v>
      </c>
    </row>
    <row r="4634" customFormat="false" ht="15" hidden="false" customHeight="false" outlineLevel="0" collapsed="false">
      <c r="A4634" s="0" t="e">
        <f aca="false">INDEX(LOGEST(TRANSPOSE(Data!K1:K8),Data!A1:A8,TRUE(),TRUE()),3,1)</f>
        <v>#VALUE!</v>
      </c>
      <c r="B4634" s="0" t="s">
        <v>4621</v>
      </c>
    </row>
    <row r="4635" customFormat="false" ht="15" hidden="false" customHeight="false" outlineLevel="0" collapsed="false">
      <c r="A4635" s="0" t="e">
        <f aca="false">INDEX(LOGEST(TRANSPOSE(Data!K1:K8),Data!A1:A8,TRUE(),TRUE()),3,2)</f>
        <v>#VALUE!</v>
      </c>
      <c r="B4635" s="0" t="s">
        <v>4622</v>
      </c>
    </row>
    <row r="4636" customFormat="false" ht="15" hidden="false" customHeight="false" outlineLevel="0" collapsed="false">
      <c r="A4636" s="0" t="e">
        <f aca="false">INDEX(LOGEST(TRANSPOSE(Data!K1:K8),Data!A1:A8,TRUE(),TRUE()),4,1)</f>
        <v>#VALUE!</v>
      </c>
      <c r="B4636" s="0" t="s">
        <v>4623</v>
      </c>
    </row>
    <row r="4637" customFormat="false" ht="15" hidden="false" customHeight="false" outlineLevel="0" collapsed="false">
      <c r="A4637" s="0" t="e">
        <f aca="false">INDEX(LOGEST(TRANSPOSE(Data!K1:K8),Data!A1:A8,TRUE(),TRUE()),4,2)</f>
        <v>#VALUE!</v>
      </c>
      <c r="B4637" s="0" t="s">
        <v>4624</v>
      </c>
    </row>
    <row r="4638" customFormat="false" ht="15" hidden="false" customHeight="false" outlineLevel="0" collapsed="false">
      <c r="A4638" s="0" t="e">
        <f aca="false">INDEX(LOGEST(TRANSPOSE(Data!K1:K8),Data!A1:A8,TRUE(),TRUE()),5,1)</f>
        <v>#VALUE!</v>
      </c>
      <c r="B4638" s="0" t="s">
        <v>4625</v>
      </c>
    </row>
    <row r="4639" customFormat="false" ht="15" hidden="false" customHeight="false" outlineLevel="0" collapsed="false">
      <c r="A4639" s="0" t="e">
        <f aca="false">INDEX(LOGEST(TRANSPOSE(Data!K1:K8),Data!A1:A8,TRUE(),TRUE()),5,2)</f>
        <v>#VALUE!</v>
      </c>
      <c r="B4639" s="0" t="s">
        <v>4626</v>
      </c>
    </row>
    <row r="4640" customFormat="false" ht="15" hidden="false" customHeight="false" outlineLevel="0" collapsed="false">
      <c r="A4640" s="0" t="e">
        <f aca="false">ROWS(LOGEST(TRANSPOSE(Data!K1:K8),Data!A1:A8,TRUE(),TRUE()))</f>
        <v>#VALUE!</v>
      </c>
      <c r="B4640" s="0" t="s">
        <v>4627</v>
      </c>
    </row>
    <row r="4641" customFormat="false" ht="15" hidden="false" customHeight="false" outlineLevel="0" collapsed="false">
      <c r="A4641" s="0" t="e">
        <f aca="false">COLUMNS(LOGEST(TRANSPOSE(Data!K1:K8),Data!A1:A8,TRUE(),TRUE()))</f>
        <v>#VALUE!</v>
      </c>
      <c r="B4641" s="0" t="s">
        <v>4628</v>
      </c>
    </row>
    <row r="4642" customFormat="false" ht="15" hidden="false" customHeight="false" outlineLevel="0" collapsed="false">
      <c r="A4642" s="0" t="n">
        <f aca="false">INDEX(LOGEST(TRANSPOSE(Data!K1:K8),TRANSPOSE(Data!BF1:BG8),TRUE(),TRUE()),1,1)</f>
        <v>0.956642712852527</v>
      </c>
      <c r="B4642" s="0" t="s">
        <v>4629</v>
      </c>
    </row>
    <row r="4643" customFormat="false" ht="15" hidden="false" customHeight="false" outlineLevel="0" collapsed="false">
      <c r="A4643" s="0" t="n">
        <f aca="false">INDEX(LOGEST(TRANSPOSE(Data!K1:K8),TRANSPOSE(Data!BF1:BG8),TRUE(),TRUE()),1,2)</f>
        <v>1.14363580410221</v>
      </c>
      <c r="B4643" s="0" t="s">
        <v>4630</v>
      </c>
    </row>
    <row r="4644" customFormat="false" ht="15" hidden="false" customHeight="false" outlineLevel="0" collapsed="false">
      <c r="A4644" s="0" t="n">
        <f aca="false">INDEX(LOGEST(TRANSPOSE(Data!K1:K8),TRANSPOSE(Data!BF1:BG8),TRUE(),TRUE()),1,3)</f>
        <v>3.27588779821027</v>
      </c>
      <c r="B4644" s="0" t="s">
        <v>4631</v>
      </c>
    </row>
    <row r="4645" customFormat="false" ht="15" hidden="false" customHeight="false" outlineLevel="0" collapsed="false">
      <c r="A4645" s="0" t="n">
        <f aca="false">INDEX(LOGEST(TRANSPOSE(Data!K1:K8),TRANSPOSE(Data!BF1:BG8),TRUE(),TRUE()),2,1)</f>
        <v>0.0597154521100739</v>
      </c>
      <c r="B4645" s="0" t="s">
        <v>4632</v>
      </c>
    </row>
    <row r="4646" customFormat="false" ht="15" hidden="false" customHeight="false" outlineLevel="0" collapsed="false">
      <c r="A4646" s="0" t="n">
        <f aca="false">INDEX(LOGEST(TRANSPOSE(Data!K1:K8),TRANSPOSE(Data!BF1:BG8),TRUE(),TRUE()),2,2)</f>
        <v>0.0506455422345381</v>
      </c>
      <c r="B4646" s="0" t="s">
        <v>4633</v>
      </c>
    </row>
    <row r="4647" customFormat="false" ht="15" hidden="false" customHeight="false" outlineLevel="0" collapsed="false">
      <c r="A4647" s="0" t="n">
        <f aca="false">INDEX(LOGEST(TRANSPOSE(Data!K1:K8),TRANSPOSE(Data!BF1:BG8),TRUE(),TRUE()),2,3)</f>
        <v>0.376346176486411</v>
      </c>
      <c r="B4647" s="0" t="s">
        <v>4634</v>
      </c>
    </row>
    <row r="4648" customFormat="false" ht="15" hidden="false" customHeight="false" outlineLevel="0" collapsed="false">
      <c r="A4648" s="0" t="n">
        <f aca="false">INDEX(LOGEST(TRANSPOSE(Data!K1:K8),TRANSPOSE(Data!BF1:BG8),TRUE(),TRUE()),3,1)</f>
        <v>0.605002812100544</v>
      </c>
      <c r="B4648" s="0" t="s">
        <v>4635</v>
      </c>
    </row>
    <row r="4649" customFormat="false" ht="15" hidden="false" customHeight="false" outlineLevel="0" collapsed="false">
      <c r="A4649" s="0" t="n">
        <f aca="false">INDEX(LOGEST(TRANSPOSE(Data!K1:K8),TRANSPOSE(Data!BF1:BG8),TRUE(),TRUE()),3,2)</f>
        <v>0.357593604262351</v>
      </c>
      <c r="B4649" s="0" t="s">
        <v>4636</v>
      </c>
    </row>
    <row r="4650" customFormat="false" ht="15" hidden="false" customHeight="false" outlineLevel="0" collapsed="false">
      <c r="A4650" s="0" t="e">
        <f aca="false">INDEX(LOGEST(TRANSPOSE(Data!K1:K8),TRANSPOSE(Data!BF1:BG8),TRUE(),TRUE()),3,3)</f>
        <v>#N/A</v>
      </c>
      <c r="B4650" s="0" t="s">
        <v>4637</v>
      </c>
    </row>
    <row r="4651" customFormat="false" ht="15" hidden="false" customHeight="false" outlineLevel="0" collapsed="false">
      <c r="A4651" s="0" t="n">
        <f aca="false">INDEX(LOGEST(TRANSPOSE(Data!K1:K8),TRANSPOSE(Data!BF1:BG8),TRUE(),TRUE()),4,1)</f>
        <v>3.82915898286435</v>
      </c>
      <c r="B4651" s="0" t="s">
        <v>4638</v>
      </c>
    </row>
    <row r="4652" customFormat="false" ht="15" hidden="false" customHeight="false" outlineLevel="0" collapsed="false">
      <c r="A4652" s="0" t="n">
        <f aca="false">INDEX(LOGEST(TRANSPOSE(Data!K1:K8),TRANSPOSE(Data!BF1:BG8),TRUE(),TRUE()),4,2)</f>
        <v>5</v>
      </c>
      <c r="B4652" s="0" t="s">
        <v>4639</v>
      </c>
    </row>
    <row r="4653" customFormat="false" ht="15" hidden="false" customHeight="false" outlineLevel="0" collapsed="false">
      <c r="A4653" s="0" t="e">
        <f aca="false">INDEX(LOGEST(TRANSPOSE(Data!K1:K8),TRANSPOSE(Data!BF1:BG8),TRUE(),TRUE()),4,3)</f>
        <v>#N/A</v>
      </c>
      <c r="B4653" s="0" t="s">
        <v>4640</v>
      </c>
    </row>
    <row r="4654" customFormat="false" ht="15" hidden="false" customHeight="false" outlineLevel="0" collapsed="false">
      <c r="A4654" s="0" t="n">
        <f aca="false">INDEX(LOGEST(TRANSPOSE(Data!K1:K8),TRANSPOSE(Data!BF1:BG8),TRUE(),TRUE()),5,1)</f>
        <v>0.979293516218627</v>
      </c>
      <c r="B4654" s="0" t="s">
        <v>4641</v>
      </c>
    </row>
    <row r="4655" customFormat="false" ht="15" hidden="false" customHeight="false" outlineLevel="0" collapsed="false">
      <c r="A4655" s="0" t="n">
        <f aca="false">INDEX(LOGEST(TRANSPOSE(Data!K1:K8),TRANSPOSE(Data!BF1:BG8),TRUE(),TRUE()),5,2)</f>
        <v>0.639365929046696</v>
      </c>
      <c r="B4655" s="0" t="s">
        <v>4642</v>
      </c>
    </row>
    <row r="4656" customFormat="false" ht="15" hidden="false" customHeight="false" outlineLevel="0" collapsed="false">
      <c r="A4656" s="0" t="e">
        <f aca="false">INDEX(LOGEST(TRANSPOSE(Data!K1:K8),TRANSPOSE(Data!BF1:BG8),TRUE(),TRUE()),5,3)</f>
        <v>#N/A</v>
      </c>
      <c r="B4656" s="0" t="s">
        <v>4643</v>
      </c>
    </row>
    <row r="4657" customFormat="false" ht="15" hidden="false" customHeight="false" outlineLevel="0" collapsed="false">
      <c r="A4657" s="0" t="n">
        <f aca="false">ROWS(LOGEST(TRANSPOSE(Data!K1:K8),TRANSPOSE(Data!BF1:BG8),TRUE(),TRUE()))</f>
        <v>5</v>
      </c>
      <c r="B4657" s="0" t="s">
        <v>4644</v>
      </c>
    </row>
    <row r="4658" customFormat="false" ht="15" hidden="false" customHeight="false" outlineLevel="0" collapsed="false">
      <c r="A4658" s="0" t="n">
        <f aca="false">COLUMNS(LOGEST(TRANSPOSE(Data!K1:K8),TRANSPOSE(Data!BF1:BG8),TRUE(),TRUE()))</f>
        <v>3</v>
      </c>
      <c r="B4658" s="0" t="s">
        <v>4645</v>
      </c>
    </row>
    <row r="4659" customFormat="false" ht="15" hidden="false" customHeight="false" outlineLevel="0" collapsed="false">
      <c r="A4659" s="0" t="n">
        <f aca="false">INDEX(LOGEST(TRANSPOSE(Data!K1:K8),TRANSPOSE(Data!BF1:BG8),FALSE()),1,1)</f>
        <v>1.09286105311017</v>
      </c>
      <c r="B4659" s="0" t="s">
        <v>4646</v>
      </c>
    </row>
    <row r="4660" customFormat="false" ht="15" hidden="false" customHeight="false" outlineLevel="0" collapsed="false">
      <c r="A4660" s="0" t="n">
        <f aca="false">INDEX(LOGEST(TRANSPOSE(Data!K1:K8),TRANSPOSE(Data!BF1:BG8),FALSE()),1,2)</f>
        <v>1.26603524289768</v>
      </c>
      <c r="B4660" s="0" t="s">
        <v>4647</v>
      </c>
    </row>
    <row r="4661" customFormat="false" ht="15" hidden="false" customHeight="false" outlineLevel="0" collapsed="false">
      <c r="A4661" s="0" t="n">
        <f aca="false">INDEX(LOGEST(TRANSPOSE(Data!K1:K8),TRANSPOSE(Data!BF1:BG8),FALSE()),1,3)</f>
        <v>1</v>
      </c>
      <c r="B4661" s="0" t="s">
        <v>4648</v>
      </c>
    </row>
    <row r="4662" customFormat="false" ht="15" hidden="false" customHeight="false" outlineLevel="0" collapsed="false">
      <c r="A4662" s="0" t="n">
        <f aca="false">ROWS(LOGEST(TRANSPOSE(Data!K1:K8),TRANSPOSE(Data!BF1:BG8),FALSE()))</f>
        <v>1</v>
      </c>
      <c r="B4662" s="0" t="s">
        <v>4649</v>
      </c>
    </row>
    <row r="4663" customFormat="false" ht="15" hidden="false" customHeight="false" outlineLevel="0" collapsed="false">
      <c r="A4663" s="0" t="n">
        <f aca="false">COLUMNS(LOGEST(TRANSPOSE(Data!K1:K8),TRANSPOSE(Data!BF1:BG8),FALSE()))</f>
        <v>3</v>
      </c>
      <c r="B4663" s="0" t="s">
        <v>4650</v>
      </c>
    </row>
    <row r="4664" customFormat="false" ht="15" hidden="false" customHeight="false" outlineLevel="0" collapsed="false">
      <c r="A4664" s="0" t="n">
        <f aca="false">INDEX(LOGEST(TRANSPOSE(Data!K1:K8)),1,1)</f>
        <v>1.19874104901438</v>
      </c>
      <c r="B4664" s="0" t="s">
        <v>4651</v>
      </c>
    </row>
    <row r="4665" customFormat="false" ht="15" hidden="false" customHeight="false" outlineLevel="0" collapsed="false">
      <c r="A4665" s="0" t="n">
        <f aca="false">INDEX(LOGEST(TRANSPOSE(Data!K1:K8)),1,2)</f>
        <v>2.22037264147997</v>
      </c>
      <c r="B4665" s="0" t="s">
        <v>4652</v>
      </c>
    </row>
    <row r="4666" customFormat="false" ht="15" hidden="false" customHeight="false" outlineLevel="0" collapsed="false">
      <c r="A4666" s="0" t="n">
        <f aca="false">ROWS(LOGEST(TRANSPOSE(Data!K1:K8)))</f>
        <v>1</v>
      </c>
      <c r="B4666" s="0" t="s">
        <v>4653</v>
      </c>
    </row>
    <row r="4667" customFormat="false" ht="15" hidden="false" customHeight="false" outlineLevel="0" collapsed="false">
      <c r="A4667" s="0" t="n">
        <f aca="false">COLUMNS(LOGEST(TRANSPOSE(Data!K1:K8)))</f>
        <v>2</v>
      </c>
      <c r="B4667" s="0" t="s">
        <v>4654</v>
      </c>
    </row>
    <row r="4668" customFormat="false" ht="15" hidden="false" customHeight="false" outlineLevel="0" collapsed="false">
      <c r="A4668" s="0" t="n">
        <f aca="false">INDEX(LOGEST(Data!K1:K8,Data!A1:A8,TRUE(),2),1,1)</f>
        <v>1.01171352069179</v>
      </c>
      <c r="B4668" s="0" t="s">
        <v>4655</v>
      </c>
    </row>
    <row r="4669" customFormat="false" ht="15" hidden="false" customHeight="false" outlineLevel="0" collapsed="false">
      <c r="A4669" s="0" t="n">
        <f aca="false">INDEX(LOGEST(Data!K1:K8,Data!A1:A8,TRUE(),2),1,2)</f>
        <v>4.74279648832128</v>
      </c>
      <c r="B4669" s="0" t="s">
        <v>4656</v>
      </c>
    </row>
    <row r="4670" customFormat="false" ht="15" hidden="false" customHeight="false" outlineLevel="0" collapsed="false">
      <c r="A4670" s="0" t="n">
        <f aca="false">INDEX(LOGEST(Data!K1:K8,Data!A1:A8,TRUE(),2),2,1)</f>
        <v>0.0675247332336474</v>
      </c>
      <c r="B4670" s="0" t="s">
        <v>4657</v>
      </c>
    </row>
    <row r="4671" customFormat="false" ht="15" hidden="false" customHeight="false" outlineLevel="0" collapsed="false">
      <c r="A4671" s="0" t="n">
        <f aca="false">INDEX(LOGEST(Data!K1:K8,Data!A1:A8,TRUE(),2),2,2)</f>
        <v>0.376719028250919</v>
      </c>
      <c r="B4671" s="0" t="s">
        <v>4658</v>
      </c>
    </row>
    <row r="4672" customFormat="false" ht="15" hidden="false" customHeight="false" outlineLevel="0" collapsed="false">
      <c r="A4672" s="0" t="n">
        <f aca="false">INDEX(LOGEST(Data!K1:K8,Data!A1:A8,TRUE(),2),3,1)</f>
        <v>0.00493273597355299</v>
      </c>
      <c r="B4672" s="0" t="s">
        <v>4659</v>
      </c>
    </row>
    <row r="4673" customFormat="false" ht="15" hidden="false" customHeight="false" outlineLevel="0" collapsed="false">
      <c r="A4673" s="0" t="n">
        <f aca="false">INDEX(LOGEST(Data!K1:K8,Data!A1:A8,TRUE(),2),3,2)</f>
        <v>0.518117590512477</v>
      </c>
      <c r="B4673" s="0" t="s">
        <v>4660</v>
      </c>
    </row>
    <row r="4674" customFormat="false" ht="15" hidden="false" customHeight="false" outlineLevel="0" collapsed="false">
      <c r="A4674" s="0" t="n">
        <f aca="false">INDEX(LOGEST(Data!K1:K8,Data!A1:A8,TRUE(),2),4,1)</f>
        <v>0.0297431308528418</v>
      </c>
      <c r="B4674" s="0" t="s">
        <v>4661</v>
      </c>
    </row>
    <row r="4675" customFormat="false" ht="15" hidden="false" customHeight="false" outlineLevel="0" collapsed="false">
      <c r="A4675" s="0" t="n">
        <f aca="false">INDEX(LOGEST(Data!K1:K8,Data!A1:A8,TRUE(),2),4,2)</f>
        <v>6</v>
      </c>
      <c r="B4675" s="0" t="s">
        <v>4662</v>
      </c>
    </row>
    <row r="4676" customFormat="false" ht="15" hidden="false" customHeight="false" outlineLevel="0" collapsed="false">
      <c r="A4676" s="0" t="n">
        <f aca="false">INDEX(LOGEST(Data!K1:K8,Data!A1:A8,TRUE(),2),5,1)</f>
        <v>0.00798441967459158</v>
      </c>
      <c r="B4676" s="0" t="s">
        <v>4663</v>
      </c>
    </row>
    <row r="4677" customFormat="false" ht="15" hidden="false" customHeight="false" outlineLevel="0" collapsed="false">
      <c r="A4677" s="0" t="n">
        <f aca="false">INDEX(LOGEST(Data!K1:K8,Data!A1:A8,TRUE(),2),5,2)</f>
        <v>1.61067502559073</v>
      </c>
      <c r="B4677" s="0" t="s">
        <v>4664</v>
      </c>
    </row>
    <row r="4678" customFormat="false" ht="15" hidden="false" customHeight="false" outlineLevel="0" collapsed="false">
      <c r="A4678" s="0" t="n">
        <f aca="false">ROWS(LOGEST(Data!K1:K8,Data!A1:A8,TRUE(),2))</f>
        <v>5</v>
      </c>
      <c r="B4678" s="0" t="s">
        <v>4665</v>
      </c>
    </row>
    <row r="4679" customFormat="false" ht="15" hidden="false" customHeight="false" outlineLevel="0" collapsed="false">
      <c r="A4679" s="0" t="n">
        <f aca="false">COLUMNS(LOGEST(Data!K1:K8,Data!A1:A8,TRUE(),2))</f>
        <v>2</v>
      </c>
      <c r="B4679" s="0" t="s">
        <v>4666</v>
      </c>
    </row>
    <row r="4680" customFormat="false" ht="15" hidden="false" customHeight="false" outlineLevel="0" collapsed="false">
      <c r="A4680" s="0" t="n">
        <f aca="false">INDEX(LOGEST(Data!K1:K8,Data!A1:A8,2,TRUE()),1,1)</f>
        <v>1.01171352069179</v>
      </c>
      <c r="B4680" s="0" t="s">
        <v>4667</v>
      </c>
    </row>
    <row r="4681" customFormat="false" ht="15" hidden="false" customHeight="false" outlineLevel="0" collapsed="false">
      <c r="A4681" s="0" t="n">
        <f aca="false">INDEX(LOGEST(Data!K1:K8,Data!A1:A8,2,TRUE()),1,2)</f>
        <v>4.74279648832128</v>
      </c>
      <c r="B4681" s="0" t="s">
        <v>4668</v>
      </c>
    </row>
    <row r="4682" customFormat="false" ht="15" hidden="false" customHeight="false" outlineLevel="0" collapsed="false">
      <c r="A4682" s="0" t="n">
        <f aca="false">INDEX(LOGEST(Data!K1:K8,Data!A1:A8,2,TRUE()),2,1)</f>
        <v>0.0675247332336474</v>
      </c>
      <c r="B4682" s="0" t="s">
        <v>4669</v>
      </c>
    </row>
    <row r="4683" customFormat="false" ht="15" hidden="false" customHeight="false" outlineLevel="0" collapsed="false">
      <c r="A4683" s="0" t="n">
        <f aca="false">INDEX(LOGEST(Data!K1:K8,Data!A1:A8,2,TRUE()),2,2)</f>
        <v>0.376719028250919</v>
      </c>
      <c r="B4683" s="0" t="s">
        <v>4670</v>
      </c>
    </row>
    <row r="4684" customFormat="false" ht="15" hidden="false" customHeight="false" outlineLevel="0" collapsed="false">
      <c r="A4684" s="0" t="n">
        <f aca="false">INDEX(LOGEST(Data!K1:K8,Data!A1:A8,2,TRUE()),3,1)</f>
        <v>0.00493273597355299</v>
      </c>
      <c r="B4684" s="0" t="s">
        <v>4671</v>
      </c>
    </row>
    <row r="4685" customFormat="false" ht="15" hidden="false" customHeight="false" outlineLevel="0" collapsed="false">
      <c r="A4685" s="0" t="n">
        <f aca="false">INDEX(LOGEST(Data!K1:K8,Data!A1:A8,2,TRUE()),3,2)</f>
        <v>0.518117590512477</v>
      </c>
      <c r="B4685" s="0" t="s">
        <v>4672</v>
      </c>
    </row>
    <row r="4686" customFormat="false" ht="15" hidden="false" customHeight="false" outlineLevel="0" collapsed="false">
      <c r="A4686" s="0" t="n">
        <f aca="false">INDEX(LOGEST(Data!K1:K8,Data!A1:A8,2,TRUE()),4,1)</f>
        <v>0.0297431308528418</v>
      </c>
      <c r="B4686" s="0" t="s">
        <v>4673</v>
      </c>
    </row>
    <row r="4687" customFormat="false" ht="15" hidden="false" customHeight="false" outlineLevel="0" collapsed="false">
      <c r="A4687" s="0" t="n">
        <f aca="false">INDEX(LOGEST(Data!K1:K8,Data!A1:A8,2,TRUE()),4,2)</f>
        <v>6</v>
      </c>
      <c r="B4687" s="0" t="s">
        <v>4674</v>
      </c>
    </row>
    <row r="4688" customFormat="false" ht="15" hidden="false" customHeight="false" outlineLevel="0" collapsed="false">
      <c r="A4688" s="0" t="n">
        <f aca="false">INDEX(LOGEST(Data!K1:K8,Data!A1:A8,2,TRUE()),5,1)</f>
        <v>0.00798441967459158</v>
      </c>
      <c r="B4688" s="0" t="s">
        <v>4675</v>
      </c>
    </row>
    <row r="4689" customFormat="false" ht="15" hidden="false" customHeight="false" outlineLevel="0" collapsed="false">
      <c r="A4689" s="0" t="n">
        <f aca="false">INDEX(LOGEST(Data!K1:K8,Data!A1:A8,2,TRUE()),5,2)</f>
        <v>1.61067502559073</v>
      </c>
      <c r="B4689" s="0" t="s">
        <v>4676</v>
      </c>
    </row>
    <row r="4690" customFormat="false" ht="15" hidden="false" customHeight="false" outlineLevel="0" collapsed="false">
      <c r="A4690" s="0" t="n">
        <f aca="false">ROWS(LOGEST(Data!K1:K8,Data!A1:A8,2,TRUE()))</f>
        <v>5</v>
      </c>
      <c r="B4690" s="0" t="s">
        <v>4677</v>
      </c>
    </row>
    <row r="4691" customFormat="false" ht="15" hidden="false" customHeight="false" outlineLevel="0" collapsed="false">
      <c r="A4691" s="0" t="n">
        <f aca="false">COLUMNS(LOGEST(Data!K1:K8,Data!A1:A8,2,TRUE()))</f>
        <v>2</v>
      </c>
      <c r="B4691" s="0" t="s">
        <v>4678</v>
      </c>
    </row>
    <row r="4692" customFormat="false" ht="15" hidden="false" customHeight="false" outlineLevel="0" collapsed="false">
      <c r="A4692" s="0" t="n">
        <f aca="false">INDEX(LOGEST(Data!K1:K8,Data!A1:A8,-1,-1),1,1)</f>
        <v>1.01171352069179</v>
      </c>
      <c r="B4692" s="0" t="s">
        <v>4679</v>
      </c>
    </row>
    <row r="4693" customFormat="false" ht="15" hidden="false" customHeight="false" outlineLevel="0" collapsed="false">
      <c r="A4693" s="0" t="n">
        <f aca="false">INDEX(LOGEST(Data!K1:K8,Data!A1:A8,-1,-1),1,2)</f>
        <v>4.74279648832128</v>
      </c>
      <c r="B4693" s="0" t="s">
        <v>4680</v>
      </c>
    </row>
    <row r="4694" customFormat="false" ht="15" hidden="false" customHeight="false" outlineLevel="0" collapsed="false">
      <c r="A4694" s="0" t="n">
        <f aca="false">INDEX(LOGEST(Data!K1:K8,Data!A1:A8,-1,-1),2,1)</f>
        <v>0.0675247332336474</v>
      </c>
      <c r="B4694" s="0" t="s">
        <v>4681</v>
      </c>
    </row>
    <row r="4695" customFormat="false" ht="15" hidden="false" customHeight="false" outlineLevel="0" collapsed="false">
      <c r="A4695" s="0" t="n">
        <f aca="false">INDEX(LOGEST(Data!K1:K8,Data!A1:A8,-1,-1),2,2)</f>
        <v>0.376719028250919</v>
      </c>
      <c r="B4695" s="0" t="s">
        <v>4682</v>
      </c>
    </row>
    <row r="4696" customFormat="false" ht="15" hidden="false" customHeight="false" outlineLevel="0" collapsed="false">
      <c r="A4696" s="0" t="n">
        <f aca="false">INDEX(LOGEST(Data!K1:K8,Data!A1:A8,-1,-1),3,1)</f>
        <v>0.00493273597355299</v>
      </c>
      <c r="B4696" s="0" t="s">
        <v>4683</v>
      </c>
    </row>
    <row r="4697" customFormat="false" ht="15" hidden="false" customHeight="false" outlineLevel="0" collapsed="false">
      <c r="A4697" s="0" t="n">
        <f aca="false">INDEX(LOGEST(Data!K1:K8,Data!A1:A8,-1,-1),3,2)</f>
        <v>0.518117590512477</v>
      </c>
      <c r="B4697" s="0" t="s">
        <v>4684</v>
      </c>
    </row>
    <row r="4698" customFormat="false" ht="15" hidden="false" customHeight="false" outlineLevel="0" collapsed="false">
      <c r="A4698" s="0" t="n">
        <f aca="false">INDEX(LOGEST(Data!K1:K8,Data!A1:A8,-1,-1),4,1)</f>
        <v>0.0297431308528418</v>
      </c>
      <c r="B4698" s="0" t="s">
        <v>4685</v>
      </c>
    </row>
    <row r="4699" customFormat="false" ht="15" hidden="false" customHeight="false" outlineLevel="0" collapsed="false">
      <c r="A4699" s="0" t="n">
        <f aca="false">INDEX(LOGEST(Data!K1:K8,Data!A1:A8,-1,-1),4,2)</f>
        <v>6</v>
      </c>
      <c r="B4699" s="0" t="s">
        <v>4686</v>
      </c>
    </row>
    <row r="4700" customFormat="false" ht="15" hidden="false" customHeight="false" outlineLevel="0" collapsed="false">
      <c r="A4700" s="0" t="n">
        <f aca="false">INDEX(LOGEST(Data!K1:K8,Data!A1:A8,-1,-1),5,1)</f>
        <v>0.00798441967459158</v>
      </c>
      <c r="B4700" s="0" t="s">
        <v>4687</v>
      </c>
    </row>
    <row r="4701" customFormat="false" ht="15" hidden="false" customHeight="false" outlineLevel="0" collapsed="false">
      <c r="A4701" s="0" t="n">
        <f aca="false">INDEX(LOGEST(Data!K1:K8,Data!A1:A8,-1,-1),5,2)</f>
        <v>1.61067502559073</v>
      </c>
      <c r="B4701" s="0" t="s">
        <v>4688</v>
      </c>
    </row>
    <row r="4702" customFormat="false" ht="15" hidden="false" customHeight="false" outlineLevel="0" collapsed="false">
      <c r="A4702" s="0" t="n">
        <f aca="false">ROWS(LOGEST(Data!K1:K8,Data!A1:A8,-1,-1))</f>
        <v>5</v>
      </c>
      <c r="B4702" s="0" t="s">
        <v>4689</v>
      </c>
    </row>
    <row r="4703" customFormat="false" ht="15" hidden="false" customHeight="false" outlineLevel="0" collapsed="false">
      <c r="A4703" s="0" t="n">
        <f aca="false">COLUMNS(LOGEST(Data!K1:K8,Data!A1:A8,-1,-1))</f>
        <v>2</v>
      </c>
      <c r="B4703" s="0" t="s">
        <v>4690</v>
      </c>
    </row>
    <row r="4704" customFormat="false" ht="15" hidden="false" customHeight="false" outlineLevel="0" collapsed="false">
      <c r="A4704" s="0" t="n">
        <f aca="false">INDEX(LOGEST(Data!K1:K8,Data!A1:A8,,TRUE()),1,1)</f>
        <v>1.01171352069179</v>
      </c>
      <c r="B4704" s="0" t="s">
        <v>4691</v>
      </c>
    </row>
    <row r="4705" customFormat="false" ht="15" hidden="false" customHeight="false" outlineLevel="0" collapsed="false">
      <c r="A4705" s="0" t="n">
        <f aca="false">INDEX(LOGEST(Data!K1:K8,Data!A1:A8,,TRUE()),1,2)</f>
        <v>4.74279648832128</v>
      </c>
      <c r="B4705" s="0" t="s">
        <v>4692</v>
      </c>
    </row>
    <row r="4706" customFormat="false" ht="15" hidden="false" customHeight="false" outlineLevel="0" collapsed="false">
      <c r="A4706" s="0" t="n">
        <f aca="false">INDEX(LOGEST(Data!K1:K8,Data!A1:A8,,TRUE()),2,1)</f>
        <v>0.0675247332336474</v>
      </c>
      <c r="B4706" s="0" t="s">
        <v>4693</v>
      </c>
    </row>
    <row r="4707" customFormat="false" ht="15" hidden="false" customHeight="false" outlineLevel="0" collapsed="false">
      <c r="A4707" s="0" t="n">
        <f aca="false">INDEX(LOGEST(Data!K1:K8,Data!A1:A8,,TRUE()),2,2)</f>
        <v>0.376719028250919</v>
      </c>
      <c r="B4707" s="0" t="s">
        <v>4694</v>
      </c>
    </row>
    <row r="4708" customFormat="false" ht="15" hidden="false" customHeight="false" outlineLevel="0" collapsed="false">
      <c r="A4708" s="0" t="n">
        <f aca="false">INDEX(LOGEST(Data!K1:K8,Data!A1:A8,,TRUE()),3,1)</f>
        <v>0.00493273597355299</v>
      </c>
      <c r="B4708" s="0" t="s">
        <v>4695</v>
      </c>
    </row>
    <row r="4709" customFormat="false" ht="15" hidden="false" customHeight="false" outlineLevel="0" collapsed="false">
      <c r="A4709" s="0" t="n">
        <f aca="false">INDEX(LOGEST(Data!K1:K8,Data!A1:A8,,TRUE()),3,2)</f>
        <v>0.518117590512477</v>
      </c>
      <c r="B4709" s="0" t="s">
        <v>4696</v>
      </c>
    </row>
    <row r="4710" customFormat="false" ht="15" hidden="false" customHeight="false" outlineLevel="0" collapsed="false">
      <c r="A4710" s="0" t="n">
        <f aca="false">INDEX(LOGEST(Data!K1:K8,Data!A1:A8,,TRUE()),4,1)</f>
        <v>0.0297431308528418</v>
      </c>
      <c r="B4710" s="0" t="s">
        <v>4697</v>
      </c>
    </row>
    <row r="4711" customFormat="false" ht="15" hidden="false" customHeight="false" outlineLevel="0" collapsed="false">
      <c r="A4711" s="0" t="n">
        <f aca="false">INDEX(LOGEST(Data!K1:K8,Data!A1:A8,,TRUE()),4,2)</f>
        <v>6</v>
      </c>
      <c r="B4711" s="0" t="s">
        <v>4698</v>
      </c>
    </row>
    <row r="4712" customFormat="false" ht="15" hidden="false" customHeight="false" outlineLevel="0" collapsed="false">
      <c r="A4712" s="0" t="n">
        <f aca="false">INDEX(LOGEST(Data!K1:K8,Data!A1:A8,,TRUE()),5,1)</f>
        <v>0.00798441967459158</v>
      </c>
      <c r="B4712" s="0" t="s">
        <v>4699</v>
      </c>
    </row>
    <row r="4713" customFormat="false" ht="15" hidden="false" customHeight="false" outlineLevel="0" collapsed="false">
      <c r="A4713" s="0" t="n">
        <f aca="false">INDEX(LOGEST(Data!K1:K8,Data!A1:A8,,TRUE()),5,2)</f>
        <v>1.61067502559073</v>
      </c>
      <c r="B4713" s="0" t="s">
        <v>4700</v>
      </c>
    </row>
    <row r="4714" customFormat="false" ht="15" hidden="false" customHeight="false" outlineLevel="0" collapsed="false">
      <c r="A4714" s="0" t="n">
        <f aca="false">ROWS(LOGEST(Data!K1:K8,Data!A1:A8,,TRUE()))</f>
        <v>5</v>
      </c>
      <c r="B4714" s="0" t="s">
        <v>4701</v>
      </c>
    </row>
    <row r="4715" customFormat="false" ht="15" hidden="false" customHeight="false" outlineLevel="0" collapsed="false">
      <c r="A4715" s="0" t="n">
        <f aca="false">COLUMNS(LOGEST(Data!K1:K8,Data!A1:A8,,TRUE()))</f>
        <v>2</v>
      </c>
      <c r="B4715" s="0" t="s">
        <v>4702</v>
      </c>
    </row>
    <row r="4716" customFormat="false" ht="15" hidden="false" customHeight="false" outlineLevel="0" collapsed="false">
      <c r="A4716" s="0" t="n">
        <f aca="false">INDEX(LOGEST(Data!K1:K8,Data!A1:A8,TRUE(),),1,1)</f>
        <v>1.01171352069179</v>
      </c>
      <c r="B4716" s="0" t="s">
        <v>4703</v>
      </c>
    </row>
    <row r="4717" customFormat="false" ht="15" hidden="false" customHeight="false" outlineLevel="0" collapsed="false">
      <c r="A4717" s="0" t="n">
        <f aca="false">INDEX(LOGEST(Data!K1:K8,Data!A1:A8,TRUE(),),1,2)</f>
        <v>4.74279648832128</v>
      </c>
      <c r="B4717" s="0" t="s">
        <v>4704</v>
      </c>
    </row>
    <row r="4718" customFormat="false" ht="15" hidden="false" customHeight="false" outlineLevel="0" collapsed="false">
      <c r="A4718" s="0" t="n">
        <f aca="false">ROWS(LOGEST(Data!K1:K8,Data!A1:A8,TRUE(),))</f>
        <v>1</v>
      </c>
      <c r="B4718" s="0" t="s">
        <v>4705</v>
      </c>
    </row>
    <row r="4719" customFormat="false" ht="15" hidden="false" customHeight="false" outlineLevel="0" collapsed="false">
      <c r="A4719" s="0" t="n">
        <f aca="false">COLUMNS(LOGEST(Data!K1:K8,Data!A1:A8,TRUE(),))</f>
        <v>2</v>
      </c>
      <c r="B4719" s="0" t="s">
        <v>4706</v>
      </c>
    </row>
    <row r="4720" customFormat="false" ht="15" hidden="false" customHeight="false" outlineLevel="0" collapsed="false">
      <c r="A4720" s="0" t="e">
        <f aca="false">INDEX(LOGEST(Data!K1:K8,Data!A1:A8,TRUE(),TRUE(),1),1,1)</f>
        <v>#VALUE!</v>
      </c>
      <c r="B4720" s="0" t="s">
        <v>4707</v>
      </c>
    </row>
    <row r="4721" customFormat="false" ht="15" hidden="false" customHeight="false" outlineLevel="0" collapsed="false">
      <c r="A4721" s="0" t="e">
        <f aca="false">INDEX(LOGEST(Data!K1:K8,Data!A1:A8,TRUE(),TRUE(),1),1,2)</f>
        <v>#VALUE!</v>
      </c>
      <c r="B4721" s="0" t="s">
        <v>4708</v>
      </c>
    </row>
    <row r="4722" customFormat="false" ht="15" hidden="false" customHeight="false" outlineLevel="0" collapsed="false">
      <c r="A4722" s="0" t="e">
        <f aca="false">INDEX(LOGEST(Data!K1:K8,Data!A1:A8,TRUE(),TRUE(),1),2,1)</f>
        <v>#VALUE!</v>
      </c>
      <c r="B4722" s="0" t="s">
        <v>4709</v>
      </c>
    </row>
    <row r="4723" customFormat="false" ht="15" hidden="false" customHeight="false" outlineLevel="0" collapsed="false">
      <c r="A4723" s="0" t="e">
        <f aca="false">INDEX(LOGEST(Data!K1:K8,Data!A1:A8,TRUE(),TRUE(),1),2,2)</f>
        <v>#VALUE!</v>
      </c>
      <c r="B4723" s="0" t="s">
        <v>4710</v>
      </c>
    </row>
    <row r="4724" customFormat="false" ht="15" hidden="false" customHeight="false" outlineLevel="0" collapsed="false">
      <c r="A4724" s="0" t="e">
        <f aca="false">INDEX(LOGEST(Data!K1:K8,Data!A1:A8,TRUE(),TRUE(),1),3,1)</f>
        <v>#VALUE!</v>
      </c>
      <c r="B4724" s="0" t="s">
        <v>4711</v>
      </c>
    </row>
    <row r="4725" customFormat="false" ht="15" hidden="false" customHeight="false" outlineLevel="0" collapsed="false">
      <c r="A4725" s="0" t="e">
        <f aca="false">INDEX(LOGEST(Data!K1:K8,Data!A1:A8,TRUE(),TRUE(),1),3,2)</f>
        <v>#VALUE!</v>
      </c>
      <c r="B4725" s="0" t="s">
        <v>4712</v>
      </c>
    </row>
    <row r="4726" customFormat="false" ht="15" hidden="false" customHeight="false" outlineLevel="0" collapsed="false">
      <c r="A4726" s="0" t="e">
        <f aca="false">INDEX(LOGEST(Data!K1:K8,Data!A1:A8,TRUE(),TRUE(),1),4,1)</f>
        <v>#VALUE!</v>
      </c>
      <c r="B4726" s="0" t="s">
        <v>4713</v>
      </c>
    </row>
    <row r="4727" customFormat="false" ht="15" hidden="false" customHeight="false" outlineLevel="0" collapsed="false">
      <c r="A4727" s="0" t="e">
        <f aca="false">INDEX(LOGEST(Data!K1:K8,Data!A1:A8,TRUE(),TRUE(),1),4,2)</f>
        <v>#VALUE!</v>
      </c>
      <c r="B4727" s="0" t="s">
        <v>4714</v>
      </c>
    </row>
    <row r="4728" customFormat="false" ht="15" hidden="false" customHeight="false" outlineLevel="0" collapsed="false">
      <c r="A4728" s="0" t="e">
        <f aca="false">INDEX(LOGEST(Data!K1:K8,Data!A1:A8,TRUE(),TRUE(),1),5,1)</f>
        <v>#VALUE!</v>
      </c>
      <c r="B4728" s="0" t="s">
        <v>4715</v>
      </c>
    </row>
    <row r="4729" customFormat="false" ht="15" hidden="false" customHeight="false" outlineLevel="0" collapsed="false">
      <c r="A4729" s="0" t="e">
        <f aca="false">INDEX(LOGEST(Data!K1:K8,Data!A1:A8,TRUE(),TRUE(),1),5,2)</f>
        <v>#VALUE!</v>
      </c>
      <c r="B4729" s="0" t="s">
        <v>4716</v>
      </c>
    </row>
    <row r="4730" customFormat="false" ht="15" hidden="false" customHeight="false" outlineLevel="0" collapsed="false">
      <c r="A4730" s="0" t="e">
        <f aca="false">ROWS(LOGEST(Data!K1:K8,Data!A1:A8,TRUE(),TRUE(),1))</f>
        <v>#VALUE!</v>
      </c>
      <c r="B4730" s="0" t="s">
        <v>4717</v>
      </c>
    </row>
    <row r="4731" customFormat="false" ht="15" hidden="false" customHeight="false" outlineLevel="0" collapsed="false">
      <c r="A4731" s="0" t="e">
        <f aca="false">COLUMNS(LOGEST(Data!K1:K8,Data!A1:A8,TRUE(),TRUE(),1))</f>
        <v>#VALUE!</v>
      </c>
      <c r="B4731" s="0" t="s">
        <v>4718</v>
      </c>
    </row>
    <row r="4732" customFormat="false" ht="15" hidden="false" customHeight="false" outlineLevel="0" collapsed="false">
      <c r="A4732" s="0" t="n">
        <f aca="false">INDEX(LOGEST(Data!K1:K8,Data!A1:A8,Data!D1,TRUE()),1,1)</f>
        <v>1.29104825217505</v>
      </c>
      <c r="B4732" s="0" t="s">
        <v>4719</v>
      </c>
    </row>
    <row r="4733" customFormat="false" ht="15" hidden="false" customHeight="false" outlineLevel="0" collapsed="false">
      <c r="A4733" s="0" t="n">
        <f aca="false">INDEX(LOGEST(Data!K1:K8,Data!A1:A8,Data!D1,TRUE()),1,2)</f>
        <v>1</v>
      </c>
      <c r="B4733" s="0" t="s">
        <v>4720</v>
      </c>
    </row>
    <row r="4734" customFormat="false" ht="15" hidden="false" customHeight="false" outlineLevel="0" collapsed="false">
      <c r="A4734" s="0" t="n">
        <f aca="false">INDEX(LOGEST(Data!K1:K8,Data!A1:A8,Data!D1,TRUE()),2,1)</f>
        <v>0.0596129486456371</v>
      </c>
      <c r="B4734" s="0" t="s">
        <v>4721</v>
      </c>
    </row>
    <row r="4735" customFormat="false" ht="15" hidden="false" customHeight="false" outlineLevel="0" collapsed="false">
      <c r="A4735" s="0" t="e">
        <f aca="false">INDEX(LOGEST(Data!K1:K8,Data!A1:A8,Data!D1,TRUE()),2,2)</f>
        <v>#N/A</v>
      </c>
      <c r="B4735" s="0" t="s">
        <v>4722</v>
      </c>
    </row>
    <row r="4736" customFormat="false" ht="15" hidden="false" customHeight="false" outlineLevel="0" collapsed="false">
      <c r="A4736" s="0" t="n">
        <f aca="false">INDEX(LOGEST(Data!K1:K8,Data!A1:A8,Data!D1,TRUE()),3,1)</f>
        <v>0.724008437741286</v>
      </c>
      <c r="B4736" s="0" t="s">
        <v>4723</v>
      </c>
    </row>
    <row r="4737" customFormat="false" ht="15" hidden="false" customHeight="false" outlineLevel="0" collapsed="false">
      <c r="A4737" s="0" t="n">
        <f aca="false">INDEX(LOGEST(Data!K1:K8,Data!A1:A8,Data!D1,TRUE()),3,2)</f>
        <v>0.940676462930062</v>
      </c>
      <c r="B4737" s="0" t="s">
        <v>4724</v>
      </c>
    </row>
    <row r="4738" customFormat="false" ht="15" hidden="false" customHeight="false" outlineLevel="0" collapsed="false">
      <c r="A4738" s="0" t="n">
        <f aca="false">INDEX(LOGEST(Data!K1:K8,Data!A1:A8,Data!D1,TRUE()),4,1)</f>
        <v>18.3630942290845</v>
      </c>
      <c r="B4738" s="0" t="s">
        <v>4725</v>
      </c>
    </row>
    <row r="4739" customFormat="false" ht="15" hidden="false" customHeight="false" outlineLevel="0" collapsed="false">
      <c r="A4739" s="0" t="n">
        <f aca="false">INDEX(LOGEST(Data!K1:K8,Data!A1:A8,Data!D1,TRUE()),4,2)</f>
        <v>7</v>
      </c>
      <c r="B4739" s="0" t="s">
        <v>4726</v>
      </c>
    </row>
    <row r="4740" customFormat="false" ht="15" hidden="false" customHeight="false" outlineLevel="0" collapsed="false">
      <c r="A4740" s="0" t="n">
        <f aca="false">INDEX(LOGEST(Data!K1:K8,Data!A1:A8,Data!D1,TRUE()),5,1)</f>
        <v>16.2489917345606</v>
      </c>
      <c r="B4740" s="0" t="s">
        <v>4727</v>
      </c>
    </row>
    <row r="4741" customFormat="false" ht="15" hidden="false" customHeight="false" outlineLevel="0" collapsed="false">
      <c r="A4741" s="0" t="n">
        <f aca="false">INDEX(LOGEST(Data!K1:K8,Data!A1:A8,Data!D1,TRUE()),5,2)</f>
        <v>6.19410545537429</v>
      </c>
      <c r="B4741" s="0" t="s">
        <v>4728</v>
      </c>
    </row>
    <row r="4742" customFormat="false" ht="15" hidden="false" customHeight="false" outlineLevel="0" collapsed="false">
      <c r="A4742" s="0" t="n">
        <f aca="false">ROWS(LOGEST(Data!K1:K8,Data!A1:A8,Data!D1,TRUE()))</f>
        <v>5</v>
      </c>
      <c r="B4742" s="0" t="s">
        <v>4729</v>
      </c>
    </row>
    <row r="4743" customFormat="false" ht="15" hidden="false" customHeight="false" outlineLevel="0" collapsed="false">
      <c r="A4743" s="0" t="n">
        <f aca="false">COLUMNS(LOGEST(Data!K1:K8,Data!A1:A8,Data!D1,TRUE()))</f>
        <v>2</v>
      </c>
      <c r="B4743" s="0" t="s">
        <v>4730</v>
      </c>
    </row>
    <row r="4744" customFormat="false" ht="15" hidden="false" customHeight="false" outlineLevel="0" collapsed="false">
      <c r="A4744" s="0" t="n">
        <f aca="false">INDEX(LOGEST(Data!K1:K8,Data!A1:A8,TRUE(),Data!D1),1,1)</f>
        <v>1.01171352069179</v>
      </c>
      <c r="B4744" s="0" t="s">
        <v>4731</v>
      </c>
    </row>
    <row r="4745" customFormat="false" ht="15" hidden="false" customHeight="false" outlineLevel="0" collapsed="false">
      <c r="A4745" s="0" t="n">
        <f aca="false">INDEX(LOGEST(Data!K1:K8,Data!A1:A8,TRUE(),Data!D1),1,2)</f>
        <v>4.74279648832128</v>
      </c>
      <c r="B4745" s="0" t="s">
        <v>4732</v>
      </c>
    </row>
    <row r="4746" customFormat="false" ht="15" hidden="false" customHeight="false" outlineLevel="0" collapsed="false">
      <c r="A4746" s="0" t="e">
        <f aca="false">INDEX(LOGEST(Data!K1:K8,Data!A1:A8,TRUE(),Data!D1),2,1)</f>
        <v>#REF!</v>
      </c>
      <c r="B4746" s="0" t="s">
        <v>4733</v>
      </c>
    </row>
    <row r="4747" customFormat="false" ht="15" hidden="false" customHeight="false" outlineLevel="0" collapsed="false">
      <c r="A4747" s="0" t="e">
        <f aca="false">INDEX(LOGEST(Data!K1:K8,Data!A1:A8,TRUE(),Data!D1),2,2)</f>
        <v>#REF!</v>
      </c>
      <c r="B4747" s="0" t="s">
        <v>4734</v>
      </c>
    </row>
    <row r="4748" customFormat="false" ht="15" hidden="false" customHeight="false" outlineLevel="0" collapsed="false">
      <c r="A4748" s="0" t="e">
        <f aca="false">INDEX(LOGEST(Data!K1:K8,Data!A1:A8,TRUE(),Data!D1),3,1)</f>
        <v>#REF!</v>
      </c>
      <c r="B4748" s="0" t="s">
        <v>4735</v>
      </c>
    </row>
    <row r="4749" customFormat="false" ht="15" hidden="false" customHeight="false" outlineLevel="0" collapsed="false">
      <c r="A4749" s="0" t="e">
        <f aca="false">INDEX(LOGEST(Data!K1:K8,Data!A1:A8,TRUE(),Data!D1),3,2)</f>
        <v>#REF!</v>
      </c>
      <c r="B4749" s="0" t="s">
        <v>4736</v>
      </c>
    </row>
    <row r="4750" customFormat="false" ht="15" hidden="false" customHeight="false" outlineLevel="0" collapsed="false">
      <c r="A4750" s="0" t="e">
        <f aca="false">INDEX(LOGEST(Data!K1:K8,Data!A1:A8,TRUE(),Data!D1),4,1)</f>
        <v>#REF!</v>
      </c>
      <c r="B4750" s="0" t="s">
        <v>4737</v>
      </c>
    </row>
    <row r="4751" customFormat="false" ht="15" hidden="false" customHeight="false" outlineLevel="0" collapsed="false">
      <c r="A4751" s="0" t="e">
        <f aca="false">INDEX(LOGEST(Data!K1:K8,Data!A1:A8,TRUE(),Data!D1),4,2)</f>
        <v>#REF!</v>
      </c>
      <c r="B4751" s="0" t="s">
        <v>4738</v>
      </c>
    </row>
    <row r="4752" customFormat="false" ht="15" hidden="false" customHeight="false" outlineLevel="0" collapsed="false">
      <c r="A4752" s="0" t="e">
        <f aca="false">INDEX(LOGEST(Data!K1:K8,Data!A1:A8,TRUE(),Data!D1),5,1)</f>
        <v>#REF!</v>
      </c>
      <c r="B4752" s="0" t="s">
        <v>4739</v>
      </c>
    </row>
    <row r="4753" customFormat="false" ht="15" hidden="false" customHeight="false" outlineLevel="0" collapsed="false">
      <c r="A4753" s="0" t="e">
        <f aca="false">INDEX(LOGEST(Data!K1:K8,Data!A1:A8,TRUE(),Data!D1),5,2)</f>
        <v>#REF!</v>
      </c>
      <c r="B4753" s="0" t="s">
        <v>4740</v>
      </c>
    </row>
    <row r="4754" customFormat="false" ht="15" hidden="false" customHeight="false" outlineLevel="0" collapsed="false">
      <c r="A4754" s="0" t="n">
        <f aca="false">ROWS(LOGEST(Data!K1:K8,Data!A1:A8,TRUE(),Data!D1))</f>
        <v>1</v>
      </c>
      <c r="B4754" s="0" t="s">
        <v>4741</v>
      </c>
    </row>
    <row r="4755" customFormat="false" ht="15" hidden="false" customHeight="false" outlineLevel="0" collapsed="false">
      <c r="A4755" s="0" t="n">
        <f aca="false">COLUMNS(LOGEST(Data!K1:K8,Data!A1:A8,TRUE(),Data!D1))</f>
        <v>2</v>
      </c>
      <c r="B4755" s="0" t="s">
        <v>4742</v>
      </c>
    </row>
    <row r="4756" customFormat="false" ht="15" hidden="false" customHeight="false" outlineLevel="0" collapsed="false">
      <c r="A4756" s="0" t="n">
        <f aca="false">INDEX(LOGEST(Data!K1:K8,Data!BF1:BG8,FALSE()),1,1)</f>
        <v>1.09286105311017</v>
      </c>
      <c r="B4756" s="0" t="s">
        <v>4743</v>
      </c>
    </row>
    <row r="4757" customFormat="false" ht="15" hidden="false" customHeight="false" outlineLevel="0" collapsed="false">
      <c r="A4757" s="0" t="n">
        <f aca="false">INDEX(LOGEST(Data!K1:K8,Data!BF1:BG8,FALSE()),1,2)</f>
        <v>1.26603524289768</v>
      </c>
      <c r="B4757" s="0" t="s">
        <v>4744</v>
      </c>
    </row>
    <row r="4758" customFormat="false" ht="15" hidden="false" customHeight="false" outlineLevel="0" collapsed="false">
      <c r="A4758" s="0" t="n">
        <f aca="false">INDEX(LOGEST(Data!K1:K8,Data!BF1:BG8,FALSE()),1,3)</f>
        <v>1</v>
      </c>
      <c r="B4758" s="0" t="s">
        <v>4745</v>
      </c>
    </row>
    <row r="4759" customFormat="false" ht="15" hidden="false" customHeight="false" outlineLevel="0" collapsed="false">
      <c r="A4759" s="0" t="n">
        <f aca="false">ROWS(LOGEST(Data!K1:K8,Data!BF1:BG8,FALSE()))</f>
        <v>1</v>
      </c>
      <c r="B4759" s="0" t="s">
        <v>4746</v>
      </c>
    </row>
    <row r="4760" customFormat="false" ht="15" hidden="false" customHeight="false" outlineLevel="0" collapsed="false">
      <c r="A4760" s="0" t="n">
        <f aca="false">COLUMNS(LOGEST(Data!K1:K8,Data!BF1:BG8,FALSE()))</f>
        <v>3</v>
      </c>
      <c r="B4760" s="0" t="s">
        <v>4747</v>
      </c>
    </row>
    <row r="4761" customFormat="false" ht="15" hidden="false" customHeight="false" outlineLevel="0" collapsed="false">
      <c r="A4761" s="0" t="n">
        <f aca="false">INDEX(LOGEST(Data!K1:K8,Data!BF1:BG8,FALSE(),FALSE()),1,1)</f>
        <v>1.09286105311017</v>
      </c>
      <c r="B4761" s="0" t="s">
        <v>4748</v>
      </c>
    </row>
    <row r="4762" customFormat="false" ht="15" hidden="false" customHeight="false" outlineLevel="0" collapsed="false">
      <c r="A4762" s="0" t="n">
        <f aca="false">INDEX(LOGEST(Data!K1:K8,Data!BF1:BG8,FALSE(),FALSE()),1,2)</f>
        <v>1.26603524289768</v>
      </c>
      <c r="B4762" s="0" t="s">
        <v>4749</v>
      </c>
    </row>
    <row r="4763" customFormat="false" ht="15" hidden="false" customHeight="false" outlineLevel="0" collapsed="false">
      <c r="A4763" s="0" t="n">
        <f aca="false">INDEX(LOGEST(Data!K1:K8,Data!BF1:BG8,FALSE(),FALSE()),1,3)</f>
        <v>1</v>
      </c>
      <c r="B4763" s="0" t="s">
        <v>4750</v>
      </c>
    </row>
    <row r="4764" customFormat="false" ht="15" hidden="false" customHeight="false" outlineLevel="0" collapsed="false">
      <c r="A4764" s="0" t="n">
        <f aca="false">ROWS(LOGEST(Data!K1:K8,Data!BF1:BG8,FALSE(),FALSE()))</f>
        <v>1</v>
      </c>
      <c r="B4764" s="0" t="s">
        <v>4751</v>
      </c>
    </row>
    <row r="4765" customFormat="false" ht="15" hidden="false" customHeight="false" outlineLevel="0" collapsed="false">
      <c r="A4765" s="0" t="n">
        <f aca="false">COLUMNS(LOGEST(Data!K1:K8,Data!BF1:BG8,FALSE(),FALSE()))</f>
        <v>3</v>
      </c>
      <c r="B4765" s="0" t="s">
        <v>4752</v>
      </c>
    </row>
    <row r="4766" customFormat="false" ht="15" hidden="false" customHeight="false" outlineLevel="0" collapsed="false">
      <c r="A4766" s="0" t="n">
        <f aca="false">ROWS(TREND(Data!K1:K8,Data!A1:A8,{10;11;0}))</f>
        <v>3</v>
      </c>
      <c r="B4766" s="0" t="s">
        <v>4753</v>
      </c>
    </row>
    <row r="4767" customFormat="false" ht="15" hidden="false" customHeight="false" outlineLevel="0" collapsed="false">
      <c r="A4767" s="0" t="n">
        <f aca="false">COLUMNS(TREND(Data!K1:K8,Data!A1:A8,{10;11;0}))</f>
        <v>1</v>
      </c>
      <c r="B4767" s="0" t="s">
        <v>4754</v>
      </c>
    </row>
    <row r="4768" customFormat="false" ht="15" hidden="false" customHeight="false" outlineLevel="0" collapsed="false">
      <c r="A4768" s="0" t="n">
        <f aca="false">INDEX(TREND(Data!K1:K8,Data!A1:A8,{10;11;0}),1,1)</f>
        <v>5.71762208067941</v>
      </c>
      <c r="B4768" s="0" t="s">
        <v>4755</v>
      </c>
    </row>
    <row r="4769" customFormat="false" ht="15" hidden="false" customHeight="false" outlineLevel="0" collapsed="false">
      <c r="A4769" s="0" t="e">
        <f aca="false">INDEX(TREND(Data!K1:K8,Data!A1:A8,{10;11;0}),1,2)</f>
        <v>#REF!</v>
      </c>
      <c r="B4769" s="0" t="s">
        <v>4756</v>
      </c>
    </row>
    <row r="4770" customFormat="false" ht="15" hidden="false" customHeight="false" outlineLevel="0" collapsed="false">
      <c r="A4770" s="0" t="n">
        <f aca="false">INDEX(TREND(Data!K1:K8,Data!A1:A8,{10;11;0}),2,1)</f>
        <v>5.76008492569002</v>
      </c>
      <c r="B4770" s="0" t="s">
        <v>4757</v>
      </c>
    </row>
    <row r="4771" customFormat="false" ht="15" hidden="false" customHeight="false" outlineLevel="0" collapsed="false">
      <c r="A4771" s="0" t="e">
        <f aca="false">INDEX(TREND(Data!K1:K8,Data!A1:A8,{10;11;0}),2,2)</f>
        <v>#REF!</v>
      </c>
      <c r="B4771" s="0" t="s">
        <v>4758</v>
      </c>
    </row>
    <row r="4772" customFormat="false" ht="15" hidden="false" customHeight="false" outlineLevel="0" collapsed="false">
      <c r="A4772" s="0" t="n">
        <f aca="false">INDEX(TREND(Data!K1:K8,Data!A1:A8,{10;11;0}),3,1)</f>
        <v>5.29299363057325</v>
      </c>
      <c r="B4772" s="0" t="s">
        <v>4759</v>
      </c>
    </row>
    <row r="4773" customFormat="false" ht="15" hidden="false" customHeight="false" outlineLevel="0" collapsed="false">
      <c r="A4773" s="0" t="e">
        <f aca="false">INDEX(TREND(Data!K1:K8,Data!A1:A8,{10;11;0}),3,2)</f>
        <v>#REF!</v>
      </c>
      <c r="B4773" s="0" t="s">
        <v>4760</v>
      </c>
    </row>
    <row r="4774" customFormat="false" ht="15" hidden="false" customHeight="false" outlineLevel="0" collapsed="false">
      <c r="A4774" s="0" t="n">
        <f aca="false">ROWS(TREND(Data!K1:K8,Data!A1:A8))</f>
        <v>8</v>
      </c>
      <c r="B4774" s="0" t="s">
        <v>4761</v>
      </c>
    </row>
    <row r="4775" customFormat="false" ht="15" hidden="false" customHeight="false" outlineLevel="0" collapsed="false">
      <c r="A4775" s="0" t="n">
        <f aca="false">COLUMNS(TREND(Data!K1:K8,Data!A1:A8))</f>
        <v>1</v>
      </c>
      <c r="B4775" s="0" t="s">
        <v>4762</v>
      </c>
    </row>
    <row r="4776" customFormat="false" ht="15" hidden="false" customHeight="false" outlineLevel="0" collapsed="false">
      <c r="A4776" s="0" t="n">
        <f aca="false">INDEX(TREND(Data!K1:K8,Data!A1:A8),1,1)</f>
        <v>5.50530785562633</v>
      </c>
      <c r="B4776" s="0" t="s">
        <v>4763</v>
      </c>
    </row>
    <row r="4777" customFormat="false" ht="15" hidden="false" customHeight="false" outlineLevel="0" collapsed="false">
      <c r="A4777" s="0" t="e">
        <f aca="false">INDEX(TREND(Data!K1:K8,Data!A1:A8),1,2)</f>
        <v>#REF!</v>
      </c>
      <c r="B4777" s="0" t="s">
        <v>4764</v>
      </c>
    </row>
    <row r="4778" customFormat="false" ht="15" hidden="false" customHeight="false" outlineLevel="0" collapsed="false">
      <c r="A4778" s="0" t="n">
        <f aca="false">INDEX(TREND(Data!K1:K8,Data!A1:A8),2,1)</f>
        <v>5.4203821656051</v>
      </c>
      <c r="B4778" s="0" t="s">
        <v>4765</v>
      </c>
    </row>
    <row r="4779" customFormat="false" ht="15" hidden="false" customHeight="false" outlineLevel="0" collapsed="false">
      <c r="A4779" s="0" t="e">
        <f aca="false">INDEX(TREND(Data!K1:K8,Data!A1:A8),2,2)</f>
        <v>#REF!</v>
      </c>
      <c r="B4779" s="0" t="s">
        <v>4766</v>
      </c>
    </row>
    <row r="4780" customFormat="false" ht="15" hidden="false" customHeight="false" outlineLevel="0" collapsed="false">
      <c r="A4780" s="0" t="n">
        <f aca="false">INDEX(TREND(Data!K1:K8,Data!A1:A8),3,1)</f>
        <v>5.63269639065817</v>
      </c>
      <c r="B4780" s="0" t="s">
        <v>4767</v>
      </c>
    </row>
    <row r="4781" customFormat="false" ht="15" hidden="false" customHeight="false" outlineLevel="0" collapsed="false">
      <c r="A4781" s="0" t="e">
        <f aca="false">INDEX(TREND(Data!K1:K8,Data!A1:A8),3,2)</f>
        <v>#REF!</v>
      </c>
      <c r="B4781" s="0" t="s">
        <v>4768</v>
      </c>
    </row>
    <row r="4782" customFormat="false" ht="15" hidden="false" customHeight="false" outlineLevel="0" collapsed="false">
      <c r="A4782" s="0" t="n">
        <f aca="false">ROWS(TREND(Data!K1:K8,Data!A1:A8,3))</f>
        <v>1</v>
      </c>
      <c r="B4782" s="0" t="s">
        <v>4769</v>
      </c>
    </row>
    <row r="4783" customFormat="false" ht="15" hidden="false" customHeight="false" outlineLevel="0" collapsed="false">
      <c r="A4783" s="0" t="n">
        <f aca="false">COLUMNS(TREND(Data!K1:K8,Data!A1:A8,3))</f>
        <v>1</v>
      </c>
      <c r="B4783" s="0" t="s">
        <v>4770</v>
      </c>
    </row>
    <row r="4784" customFormat="false" ht="15" hidden="false" customHeight="false" outlineLevel="0" collapsed="false">
      <c r="A4784" s="0" t="n">
        <f aca="false">INDEX(TREND(Data!K1:K8,Data!A1:A8,3),1,1)</f>
        <v>5.4203821656051</v>
      </c>
      <c r="B4784" s="0" t="s">
        <v>4771</v>
      </c>
    </row>
    <row r="4785" customFormat="false" ht="15" hidden="false" customHeight="false" outlineLevel="0" collapsed="false">
      <c r="A4785" s="0" t="e">
        <f aca="false">INDEX(TREND(Data!K1:K8,Data!A1:A8,3),1,2)</f>
        <v>#REF!</v>
      </c>
      <c r="B4785" s="0" t="s">
        <v>4772</v>
      </c>
    </row>
    <row r="4786" customFormat="false" ht="15" hidden="false" customHeight="false" outlineLevel="0" collapsed="false">
      <c r="A4786" s="0" t="e">
        <f aca="false">INDEX(TREND(Data!K1:K8,Data!A1:A8,3),2,1)</f>
        <v>#REF!</v>
      </c>
      <c r="B4786" s="0" t="s">
        <v>4773</v>
      </c>
    </row>
    <row r="4787" customFormat="false" ht="15" hidden="false" customHeight="false" outlineLevel="0" collapsed="false">
      <c r="A4787" s="0" t="e">
        <f aca="false">INDEX(TREND(Data!K1:K8,Data!A1:A8,3),2,2)</f>
        <v>#REF!</v>
      </c>
      <c r="B4787" s="0" t="s">
        <v>4774</v>
      </c>
    </row>
    <row r="4788" customFormat="false" ht="15" hidden="false" customHeight="false" outlineLevel="0" collapsed="false">
      <c r="A4788" s="0" t="e">
        <f aca="false">INDEX(TREND(Data!K1:K8,Data!A1:A8,3),3,1)</f>
        <v>#REF!</v>
      </c>
      <c r="B4788" s="0" t="s">
        <v>4775</v>
      </c>
    </row>
    <row r="4789" customFormat="false" ht="15" hidden="false" customHeight="false" outlineLevel="0" collapsed="false">
      <c r="A4789" s="0" t="e">
        <f aca="false">INDEX(TREND(Data!K1:K8,Data!A1:A8,3),3,2)</f>
        <v>#REF!</v>
      </c>
      <c r="B4789" s="0" t="s">
        <v>4776</v>
      </c>
    </row>
    <row r="4790" customFormat="false" ht="15" hidden="false" customHeight="false" outlineLevel="0" collapsed="false">
      <c r="A4790" s="0" t="n">
        <f aca="false">ROWS(TREND(Data!K1:K8,Data!A1:A8,3,FALSE()))</f>
        <v>1</v>
      </c>
      <c r="B4790" s="0" t="s">
        <v>4777</v>
      </c>
    </row>
    <row r="4791" customFormat="false" ht="15" hidden="false" customHeight="false" outlineLevel="0" collapsed="false">
      <c r="A4791" s="0" t="n">
        <f aca="false">COLUMNS(TREND(Data!K1:K8,Data!A1:A8,3,FALSE()))</f>
        <v>1</v>
      </c>
      <c r="B4791" s="0" t="s">
        <v>4778</v>
      </c>
    </row>
    <row r="4792" customFormat="false" ht="15" hidden="false" customHeight="false" outlineLevel="0" collapsed="false">
      <c r="A4792" s="0" t="n">
        <f aca="false">INDEX(TREND(Data!K1:K8,Data!A1:A8,3,FALSE()),1,1)</f>
        <v>2.6144578313253</v>
      </c>
      <c r="B4792" s="0" t="s">
        <v>4779</v>
      </c>
    </row>
    <row r="4793" customFormat="false" ht="15" hidden="false" customHeight="false" outlineLevel="0" collapsed="false">
      <c r="A4793" s="0" t="e">
        <f aca="false">INDEX(TREND(Data!K1:K8,Data!A1:A8,3,FALSE()),1,2)</f>
        <v>#REF!</v>
      </c>
      <c r="B4793" s="0" t="s">
        <v>4780</v>
      </c>
    </row>
    <row r="4794" customFormat="false" ht="15" hidden="false" customHeight="false" outlineLevel="0" collapsed="false">
      <c r="A4794" s="0" t="e">
        <f aca="false">INDEX(TREND(Data!K1:K8,Data!A1:A8,3,FALSE()),2,1)</f>
        <v>#REF!</v>
      </c>
      <c r="B4794" s="0" t="s">
        <v>4781</v>
      </c>
    </row>
    <row r="4795" customFormat="false" ht="15" hidden="false" customHeight="false" outlineLevel="0" collapsed="false">
      <c r="A4795" s="0" t="e">
        <f aca="false">INDEX(TREND(Data!K1:K8,Data!A1:A8,3,FALSE()),2,2)</f>
        <v>#REF!</v>
      </c>
      <c r="B4795" s="0" t="s">
        <v>4782</v>
      </c>
    </row>
    <row r="4796" customFormat="false" ht="15" hidden="false" customHeight="false" outlineLevel="0" collapsed="false">
      <c r="A4796" s="0" t="e">
        <f aca="false">INDEX(TREND(Data!K1:K8,Data!A1:A8,3,FALSE()),3,1)</f>
        <v>#REF!</v>
      </c>
      <c r="B4796" s="0" t="s">
        <v>4783</v>
      </c>
    </row>
    <row r="4797" customFormat="false" ht="15" hidden="false" customHeight="false" outlineLevel="0" collapsed="false">
      <c r="A4797" s="0" t="e">
        <f aca="false">INDEX(TREND(Data!K1:K8,Data!A1:A8,3,FALSE()),3,2)</f>
        <v>#REF!</v>
      </c>
      <c r="B4797" s="0" t="s">
        <v>4784</v>
      </c>
    </row>
    <row r="4798" customFormat="false" ht="15" hidden="false" customHeight="false" outlineLevel="0" collapsed="false">
      <c r="A4798" s="0" t="n">
        <f aca="false">ROWS(TREND(Data!K1:K8))</f>
        <v>8</v>
      </c>
      <c r="B4798" s="0" t="s">
        <v>4785</v>
      </c>
    </row>
    <row r="4799" customFormat="false" ht="15" hidden="false" customHeight="false" outlineLevel="0" collapsed="false">
      <c r="A4799" s="0" t="n">
        <f aca="false">COLUMNS(TREND(Data!K1:K8))</f>
        <v>1</v>
      </c>
      <c r="B4799" s="0" t="s">
        <v>4786</v>
      </c>
    </row>
    <row r="4800" customFormat="false" ht="15" hidden="false" customHeight="false" outlineLevel="0" collapsed="false">
      <c r="A4800" s="0" t="n">
        <f aca="false">INDEX(TREND(Data!K1:K8),1,1)</f>
        <v>2.33333333333333</v>
      </c>
      <c r="B4800" s="0" t="s">
        <v>4787</v>
      </c>
    </row>
    <row r="4801" customFormat="false" ht="15" hidden="false" customHeight="false" outlineLevel="0" collapsed="false">
      <c r="A4801" s="0" t="e">
        <f aca="false">INDEX(TREND(Data!K1:K8),1,2)</f>
        <v>#REF!</v>
      </c>
      <c r="B4801" s="0" t="s">
        <v>4788</v>
      </c>
    </row>
    <row r="4802" customFormat="false" ht="15" hidden="false" customHeight="false" outlineLevel="0" collapsed="false">
      <c r="A4802" s="0" t="n">
        <f aca="false">INDEX(TREND(Data!K1:K8),2,1)</f>
        <v>3.23809523809524</v>
      </c>
      <c r="B4802" s="0" t="s">
        <v>4789</v>
      </c>
    </row>
    <row r="4803" customFormat="false" ht="15" hidden="false" customHeight="false" outlineLevel="0" collapsed="false">
      <c r="A4803" s="0" t="e">
        <f aca="false">INDEX(TREND(Data!K1:K8),2,2)</f>
        <v>#REF!</v>
      </c>
      <c r="B4803" s="0" t="s">
        <v>4790</v>
      </c>
    </row>
    <row r="4804" customFormat="false" ht="15" hidden="false" customHeight="false" outlineLevel="0" collapsed="false">
      <c r="A4804" s="0" t="n">
        <f aca="false">INDEX(TREND(Data!K1:K8),3,1)</f>
        <v>4.14285714285714</v>
      </c>
      <c r="B4804" s="0" t="s">
        <v>4791</v>
      </c>
    </row>
    <row r="4805" customFormat="false" ht="15" hidden="false" customHeight="false" outlineLevel="0" collapsed="false">
      <c r="A4805" s="0" t="e">
        <f aca="false">INDEX(TREND(Data!K1:K8),3,2)</f>
        <v>#REF!</v>
      </c>
      <c r="B4805" s="0" t="s">
        <v>4792</v>
      </c>
    </row>
    <row r="4806" customFormat="false" ht="15" hidden="false" customHeight="false" outlineLevel="0" collapsed="false">
      <c r="A4806" s="0" t="n">
        <f aca="false">ROWS(TREND(Data!K1:K8,,{9;10}))</f>
        <v>2</v>
      </c>
      <c r="B4806" s="0" t="s">
        <v>4793</v>
      </c>
    </row>
    <row r="4807" customFormat="false" ht="15" hidden="false" customHeight="false" outlineLevel="0" collapsed="false">
      <c r="A4807" s="0" t="n">
        <f aca="false">COLUMNS(TREND(Data!K1:K8,,{9;10}))</f>
        <v>1</v>
      </c>
      <c r="B4807" s="0" t="s">
        <v>4794</v>
      </c>
    </row>
    <row r="4808" customFormat="false" ht="15" hidden="false" customHeight="false" outlineLevel="0" collapsed="false">
      <c r="A4808" s="0" t="n">
        <f aca="false">INDEX(TREND(Data!K1:K8,,{9;10}),1,1)</f>
        <v>9.57142857142857</v>
      </c>
      <c r="B4808" s="0" t="s">
        <v>4795</v>
      </c>
    </row>
    <row r="4809" customFormat="false" ht="15" hidden="false" customHeight="false" outlineLevel="0" collapsed="false">
      <c r="A4809" s="0" t="e">
        <f aca="false">INDEX(TREND(Data!K1:K8,,{9;10}),1,2)</f>
        <v>#REF!</v>
      </c>
      <c r="B4809" s="0" t="s">
        <v>4796</v>
      </c>
    </row>
    <row r="4810" customFormat="false" ht="15" hidden="false" customHeight="false" outlineLevel="0" collapsed="false">
      <c r="A4810" s="0" t="n">
        <f aca="false">INDEX(TREND(Data!K1:K8,,{9;10}),2,1)</f>
        <v>10.4761904761905</v>
      </c>
      <c r="B4810" s="0" t="s">
        <v>4797</v>
      </c>
    </row>
    <row r="4811" customFormat="false" ht="15" hidden="false" customHeight="false" outlineLevel="0" collapsed="false">
      <c r="A4811" s="0" t="e">
        <f aca="false">INDEX(TREND(Data!K1:K8,,{9;10}),2,2)</f>
        <v>#REF!</v>
      </c>
      <c r="B4811" s="0" t="s">
        <v>4798</v>
      </c>
    </row>
    <row r="4812" customFormat="false" ht="15" hidden="false" customHeight="false" outlineLevel="0" collapsed="false">
      <c r="A4812" s="0" t="e">
        <f aca="false">INDEX(TREND(Data!K1:K8,,{9;10}),3,1)</f>
        <v>#REF!</v>
      </c>
      <c r="B4812" s="0" t="s">
        <v>4799</v>
      </c>
    </row>
    <row r="4813" customFormat="false" ht="15" hidden="false" customHeight="false" outlineLevel="0" collapsed="false">
      <c r="A4813" s="0" t="e">
        <f aca="false">INDEX(TREND(Data!K1:K8,,{9;10}),3,2)</f>
        <v>#REF!</v>
      </c>
      <c r="B4813" s="0" t="s">
        <v>4800</v>
      </c>
    </row>
    <row r="4814" customFormat="false" ht="15" hidden="false" customHeight="false" outlineLevel="0" collapsed="false">
      <c r="A4814" s="0" t="n">
        <f aca="false">ROWS(TREND(Data!K1:K8,Data!A1:A8,Data!A1:A3))</f>
        <v>3</v>
      </c>
      <c r="B4814" s="0" t="s">
        <v>4801</v>
      </c>
    </row>
    <row r="4815" customFormat="false" ht="15" hidden="false" customHeight="false" outlineLevel="0" collapsed="false">
      <c r="A4815" s="0" t="n">
        <f aca="false">COLUMNS(TREND(Data!K1:K8,Data!A1:A8,Data!A1:A3))</f>
        <v>1</v>
      </c>
      <c r="B4815" s="0" t="s">
        <v>4802</v>
      </c>
    </row>
    <row r="4816" customFormat="false" ht="15" hidden="false" customHeight="false" outlineLevel="0" collapsed="false">
      <c r="A4816" s="0" t="n">
        <f aca="false">INDEX(TREND(Data!K1:K8,Data!A1:A8,Data!A1:A3),1,1)</f>
        <v>5.50530785562633</v>
      </c>
      <c r="B4816" s="0" t="s">
        <v>4803</v>
      </c>
    </row>
    <row r="4817" customFormat="false" ht="15" hidden="false" customHeight="false" outlineLevel="0" collapsed="false">
      <c r="A4817" s="0" t="e">
        <f aca="false">INDEX(TREND(Data!K1:K8,Data!A1:A8,Data!A1:A3),1,2)</f>
        <v>#REF!</v>
      </c>
      <c r="B4817" s="0" t="s">
        <v>4804</v>
      </c>
    </row>
    <row r="4818" customFormat="false" ht="15" hidden="false" customHeight="false" outlineLevel="0" collapsed="false">
      <c r="A4818" s="0" t="n">
        <f aca="false">INDEX(TREND(Data!K1:K8,Data!A1:A8,Data!A1:A3),2,1)</f>
        <v>5.4203821656051</v>
      </c>
      <c r="B4818" s="0" t="s">
        <v>4805</v>
      </c>
    </row>
    <row r="4819" customFormat="false" ht="15" hidden="false" customHeight="false" outlineLevel="0" collapsed="false">
      <c r="A4819" s="0" t="e">
        <f aca="false">INDEX(TREND(Data!K1:K8,Data!A1:A8,Data!A1:A3),2,2)</f>
        <v>#REF!</v>
      </c>
      <c r="B4819" s="0" t="s">
        <v>4806</v>
      </c>
    </row>
    <row r="4820" customFormat="false" ht="15" hidden="false" customHeight="false" outlineLevel="0" collapsed="false">
      <c r="A4820" s="0" t="n">
        <f aca="false">INDEX(TREND(Data!K1:K8,Data!A1:A8,Data!A1:A3),3,1)</f>
        <v>5.63269639065817</v>
      </c>
      <c r="B4820" s="0" t="s">
        <v>4807</v>
      </c>
    </row>
    <row r="4821" customFormat="false" ht="15" hidden="false" customHeight="false" outlineLevel="0" collapsed="false">
      <c r="A4821" s="0" t="e">
        <f aca="false">INDEX(TREND(Data!K1:K8,Data!A1:A8,Data!A1:A3),3,2)</f>
        <v>#REF!</v>
      </c>
      <c r="B4821" s="0" t="s">
        <v>4808</v>
      </c>
    </row>
    <row r="4822" customFormat="false" ht="15" hidden="false" customHeight="false" outlineLevel="0" collapsed="false">
      <c r="A4822" s="0" t="n">
        <f aca="false">ROWS(TREND(Data!K1:K8,Data!BF1:BG8,Data!BF1:BG2))</f>
        <v>2</v>
      </c>
      <c r="B4822" s="0" t="s">
        <v>4809</v>
      </c>
    </row>
    <row r="4823" customFormat="false" ht="15" hidden="false" customHeight="false" outlineLevel="0" collapsed="false">
      <c r="A4823" s="0" t="n">
        <f aca="false">COLUMNS(TREND(Data!K1:K8,Data!BF1:BG8,Data!BF1:BG2))</f>
        <v>1</v>
      </c>
      <c r="B4823" s="0" t="s">
        <v>4810</v>
      </c>
    </row>
    <row r="4824" customFormat="false" ht="15" hidden="false" customHeight="false" outlineLevel="0" collapsed="false">
      <c r="A4824" s="0" t="n">
        <f aca="false">INDEX(TREND(Data!K1:K8,Data!BF1:BG8,Data!BF1:BG2),1,1)</f>
        <v>3.1986301369863</v>
      </c>
      <c r="B4824" s="0" t="s">
        <v>4811</v>
      </c>
    </row>
    <row r="4825" customFormat="false" ht="15" hidden="false" customHeight="false" outlineLevel="0" collapsed="false">
      <c r="A4825" s="0" t="e">
        <f aca="false">INDEX(TREND(Data!K1:K8,Data!BF1:BG8,Data!BF1:BG2),1,2)</f>
        <v>#REF!</v>
      </c>
      <c r="B4825" s="0" t="s">
        <v>4812</v>
      </c>
    </row>
    <row r="4826" customFormat="false" ht="15" hidden="false" customHeight="false" outlineLevel="0" collapsed="false">
      <c r="A4826" s="0" t="n">
        <f aca="false">INDEX(TREND(Data!K1:K8,Data!BF1:BG8,Data!BF1:BG2),2,1)</f>
        <v>4.58904109589041</v>
      </c>
      <c r="B4826" s="0" t="s">
        <v>4813</v>
      </c>
    </row>
    <row r="4827" customFormat="false" ht="15" hidden="false" customHeight="false" outlineLevel="0" collapsed="false">
      <c r="A4827" s="0" t="e">
        <f aca="false">INDEX(TREND(Data!K1:K8,Data!BF1:BG8,Data!BF1:BG2),2,2)</f>
        <v>#REF!</v>
      </c>
      <c r="B4827" s="0" t="s">
        <v>4814</v>
      </c>
    </row>
    <row r="4828" customFormat="false" ht="15" hidden="false" customHeight="false" outlineLevel="0" collapsed="false">
      <c r="A4828" s="0" t="e">
        <f aca="false">INDEX(TREND(Data!K1:K8,Data!BF1:BG8,Data!BF1:BG2),3,1)</f>
        <v>#REF!</v>
      </c>
      <c r="B4828" s="0" t="s">
        <v>4815</v>
      </c>
    </row>
    <row r="4829" customFormat="false" ht="15" hidden="false" customHeight="false" outlineLevel="0" collapsed="false">
      <c r="A4829" s="0" t="e">
        <f aca="false">INDEX(TREND(Data!K1:K8,Data!BF1:BG8,Data!BF1:BG2),3,2)</f>
        <v>#REF!</v>
      </c>
      <c r="B4829" s="0" t="s">
        <v>4816</v>
      </c>
    </row>
    <row r="4830" customFormat="false" ht="15" hidden="false" customHeight="false" outlineLevel="0" collapsed="false">
      <c r="A4830" s="0" t="n">
        <f aca="false">ROWS(TREND(Data!K1:K8,Data!BF1:BG8))</f>
        <v>8</v>
      </c>
      <c r="B4830" s="0" t="s">
        <v>4817</v>
      </c>
    </row>
    <row r="4831" customFormat="false" ht="15" hidden="false" customHeight="false" outlineLevel="0" collapsed="false">
      <c r="A4831" s="0" t="n">
        <f aca="false">COLUMNS(TREND(Data!K1:K8,Data!BF1:BG8))</f>
        <v>1</v>
      </c>
      <c r="B4831" s="0" t="s">
        <v>4818</v>
      </c>
    </row>
    <row r="4832" customFormat="false" ht="15" hidden="false" customHeight="false" outlineLevel="0" collapsed="false">
      <c r="A4832" s="0" t="n">
        <f aca="false">INDEX(TREND(Data!K1:K8,Data!BF1:BG8),1,1)</f>
        <v>3.1986301369863</v>
      </c>
      <c r="B4832" s="0" t="s">
        <v>4819</v>
      </c>
    </row>
    <row r="4833" customFormat="false" ht="15" hidden="false" customHeight="false" outlineLevel="0" collapsed="false">
      <c r="A4833" s="0" t="e">
        <f aca="false">INDEX(TREND(Data!K1:K8,Data!BF1:BG8),1,2)</f>
        <v>#REF!</v>
      </c>
      <c r="B4833" s="0" t="s">
        <v>4820</v>
      </c>
    </row>
    <row r="4834" customFormat="false" ht="15" hidden="false" customHeight="false" outlineLevel="0" collapsed="false">
      <c r="A4834" s="0" t="n">
        <f aca="false">INDEX(TREND(Data!K1:K8,Data!BF1:BG8),2,1)</f>
        <v>4.58904109589041</v>
      </c>
      <c r="B4834" s="0" t="s">
        <v>4821</v>
      </c>
    </row>
    <row r="4835" customFormat="false" ht="15" hidden="false" customHeight="false" outlineLevel="0" collapsed="false">
      <c r="A4835" s="0" t="e">
        <f aca="false">INDEX(TREND(Data!K1:K8,Data!BF1:BG8),2,2)</f>
        <v>#REF!</v>
      </c>
      <c r="B4835" s="0" t="s">
        <v>4822</v>
      </c>
    </row>
    <row r="4836" customFormat="false" ht="15" hidden="false" customHeight="false" outlineLevel="0" collapsed="false">
      <c r="A4836" s="0" t="n">
        <f aca="false">INDEX(TREND(Data!K1:K8,Data!BF1:BG8),3,1)</f>
        <v>2.95205479452055</v>
      </c>
      <c r="B4836" s="0" t="s">
        <v>4823</v>
      </c>
    </row>
    <row r="4837" customFormat="false" ht="15" hidden="false" customHeight="false" outlineLevel="0" collapsed="false">
      <c r="A4837" s="0" t="e">
        <f aca="false">INDEX(TREND(Data!K1:K8,Data!BF1:BG8),3,2)</f>
        <v>#REF!</v>
      </c>
      <c r="B4837" s="0" t="s">
        <v>4824</v>
      </c>
    </row>
    <row r="4838" customFormat="false" ht="15" hidden="false" customHeight="false" outlineLevel="0" collapsed="false">
      <c r="A4838" s="0" t="n">
        <f aca="false">ROWS(TREND(Data!K1:K8,Data!BF1:BG8,{1,2}))</f>
        <v>1</v>
      </c>
      <c r="B4838" s="0" t="s">
        <v>4825</v>
      </c>
    </row>
    <row r="4839" customFormat="false" ht="15" hidden="false" customHeight="false" outlineLevel="0" collapsed="false">
      <c r="A4839" s="0" t="n">
        <f aca="false">COLUMNS(TREND(Data!K1:K8,Data!BF1:BG8,{1,2}))</f>
        <v>1</v>
      </c>
      <c r="B4839" s="0" t="s">
        <v>4826</v>
      </c>
    </row>
    <row r="4840" customFormat="false" ht="15" hidden="false" customHeight="false" outlineLevel="0" collapsed="false">
      <c r="A4840" s="0" t="n">
        <f aca="false">INDEX(TREND(Data!K1:K8,Data!BF1:BG8,{1,2}),1,1)</f>
        <v>3.80724070450098</v>
      </c>
      <c r="B4840" s="0" t="s">
        <v>4827</v>
      </c>
    </row>
    <row r="4841" customFormat="false" ht="15" hidden="false" customHeight="false" outlineLevel="0" collapsed="false">
      <c r="A4841" s="0" t="e">
        <f aca="false">INDEX(TREND(Data!K1:K8,Data!BF1:BG8,{1,2}),1,2)</f>
        <v>#REF!</v>
      </c>
      <c r="B4841" s="0" t="s">
        <v>4828</v>
      </c>
    </row>
    <row r="4842" customFormat="false" ht="15" hidden="false" customHeight="false" outlineLevel="0" collapsed="false">
      <c r="A4842" s="0" t="e">
        <f aca="false">INDEX(TREND(Data!K1:K8,Data!BF1:BG8,{1,2}),2,1)</f>
        <v>#REF!</v>
      </c>
      <c r="B4842" s="0" t="s">
        <v>4829</v>
      </c>
    </row>
    <row r="4843" customFormat="false" ht="15" hidden="false" customHeight="false" outlineLevel="0" collapsed="false">
      <c r="A4843" s="0" t="e">
        <f aca="false">INDEX(TREND(Data!K1:K8,Data!BF1:BG8,{1,2}),2,2)</f>
        <v>#REF!</v>
      </c>
      <c r="B4843" s="0" t="s">
        <v>4830</v>
      </c>
    </row>
    <row r="4844" customFormat="false" ht="15" hidden="false" customHeight="false" outlineLevel="0" collapsed="false">
      <c r="A4844" s="0" t="e">
        <f aca="false">INDEX(TREND(Data!K1:K8,Data!BF1:BG8,{1,2}),3,1)</f>
        <v>#REF!</v>
      </c>
      <c r="B4844" s="0" t="s">
        <v>4831</v>
      </c>
    </row>
    <row r="4845" customFormat="false" ht="15" hidden="false" customHeight="false" outlineLevel="0" collapsed="false">
      <c r="A4845" s="0" t="e">
        <f aca="false">INDEX(TREND(Data!K1:K8,Data!BF1:BG8,{1,2}),3,2)</f>
        <v>#REF!</v>
      </c>
      <c r="B4845" s="0" t="s">
        <v>4832</v>
      </c>
    </row>
    <row r="4846" customFormat="false" ht="15" hidden="false" customHeight="false" outlineLevel="0" collapsed="false">
      <c r="A4846" s="0" t="n">
        <f aca="false">ROWS(TREND(Data!K1:K8,Data!BF1:BG8,{1,2;3,4}))</f>
        <v>2</v>
      </c>
      <c r="B4846" s="0" t="s">
        <v>4833</v>
      </c>
    </row>
    <row r="4847" customFormat="false" ht="15" hidden="false" customHeight="false" outlineLevel="0" collapsed="false">
      <c r="A4847" s="0" t="n">
        <f aca="false">COLUMNS(TREND(Data!K1:K8,Data!BF1:BG8,{1,2;3,4}))</f>
        <v>1</v>
      </c>
      <c r="B4847" s="0" t="s">
        <v>4834</v>
      </c>
    </row>
    <row r="4848" customFormat="false" ht="15" hidden="false" customHeight="false" outlineLevel="0" collapsed="false">
      <c r="A4848" s="0" t="n">
        <f aca="false">INDEX(TREND(Data!K1:K8,Data!BF1:BG8,{1,2;3,4}),1,1)</f>
        <v>3.80724070450098</v>
      </c>
      <c r="B4848" s="0" t="s">
        <v>4835</v>
      </c>
    </row>
    <row r="4849" customFormat="false" ht="15" hidden="false" customHeight="false" outlineLevel="0" collapsed="false">
      <c r="A4849" s="0" t="e">
        <f aca="false">INDEX(TREND(Data!K1:K8,Data!BF1:BG8,{1,2;3,4}),1,2)</f>
        <v>#REF!</v>
      </c>
      <c r="B4849" s="0" t="s">
        <v>4836</v>
      </c>
    </row>
    <row r="4850" customFormat="false" ht="15" hidden="false" customHeight="false" outlineLevel="0" collapsed="false">
      <c r="A4850" s="0" t="n">
        <f aca="false">INDEX(TREND(Data!K1:K8,Data!BF1:BG8,{1,2;3,4}),2,1)</f>
        <v>4.53131115459883</v>
      </c>
      <c r="B4850" s="0" t="s">
        <v>4837</v>
      </c>
    </row>
    <row r="4851" customFormat="false" ht="15" hidden="false" customHeight="false" outlineLevel="0" collapsed="false">
      <c r="A4851" s="0" t="e">
        <f aca="false">INDEX(TREND(Data!K1:K8,Data!BF1:BG8,{1,2;3,4}),2,2)</f>
        <v>#REF!</v>
      </c>
      <c r="B4851" s="0" t="s">
        <v>4838</v>
      </c>
    </row>
    <row r="4852" customFormat="false" ht="15" hidden="false" customHeight="false" outlineLevel="0" collapsed="false">
      <c r="A4852" s="0" t="e">
        <f aca="false">INDEX(TREND(Data!K1:K8,Data!BF1:BG8,{1,2;3,4}),3,1)</f>
        <v>#REF!</v>
      </c>
      <c r="B4852" s="0" t="s">
        <v>4839</v>
      </c>
    </row>
    <row r="4853" customFormat="false" ht="15" hidden="false" customHeight="false" outlineLevel="0" collapsed="false">
      <c r="A4853" s="0" t="e">
        <f aca="false">INDEX(TREND(Data!K1:K8,Data!BF1:BG8,{1,2;3,4}),3,2)</f>
        <v>#REF!</v>
      </c>
      <c r="B4853" s="0" t="s">
        <v>4840</v>
      </c>
    </row>
    <row r="4854" customFormat="false" ht="15" hidden="false" customHeight="false" outlineLevel="0" collapsed="false">
      <c r="A4854" s="0" t="e">
        <f aca="false">ROWS(TREND(Data!K1:K8,Data!BF1:BG8,{1;2}))</f>
        <v>#VALUE!</v>
      </c>
      <c r="B4854" s="0" t="s">
        <v>4841</v>
      </c>
    </row>
    <row r="4855" customFormat="false" ht="15" hidden="false" customHeight="false" outlineLevel="0" collapsed="false">
      <c r="A4855" s="0" t="e">
        <f aca="false">COLUMNS(TREND(Data!K1:K8,Data!BF1:BG8,{1;2}))</f>
        <v>#VALUE!</v>
      </c>
      <c r="B4855" s="0" t="s">
        <v>4842</v>
      </c>
    </row>
    <row r="4856" customFormat="false" ht="15" hidden="false" customHeight="false" outlineLevel="0" collapsed="false">
      <c r="A4856" s="0" t="e">
        <f aca="false">INDEX(TREND(Data!K1:K8,Data!BF1:BG8,{1;2}),1,1)</f>
        <v>#VALUE!</v>
      </c>
      <c r="B4856" s="0" t="s">
        <v>4843</v>
      </c>
    </row>
    <row r="4857" customFormat="false" ht="15" hidden="false" customHeight="false" outlineLevel="0" collapsed="false">
      <c r="A4857" s="0" t="e">
        <f aca="false">INDEX(TREND(Data!K1:K8,Data!BF1:BG8,{1;2}),1,2)</f>
        <v>#VALUE!</v>
      </c>
      <c r="B4857" s="0" t="s">
        <v>4844</v>
      </c>
    </row>
    <row r="4858" customFormat="false" ht="15" hidden="false" customHeight="false" outlineLevel="0" collapsed="false">
      <c r="A4858" s="0" t="e">
        <f aca="false">INDEX(TREND(Data!K1:K8,Data!BF1:BG8,{1;2}),2,1)</f>
        <v>#VALUE!</v>
      </c>
      <c r="B4858" s="0" t="s">
        <v>4845</v>
      </c>
    </row>
    <row r="4859" customFormat="false" ht="15" hidden="false" customHeight="false" outlineLevel="0" collapsed="false">
      <c r="A4859" s="0" t="e">
        <f aca="false">INDEX(TREND(Data!K1:K8,Data!BF1:BG8,{1;2}),2,2)</f>
        <v>#VALUE!</v>
      </c>
      <c r="B4859" s="0" t="s">
        <v>4846</v>
      </c>
    </row>
    <row r="4860" customFormat="false" ht="15" hidden="false" customHeight="false" outlineLevel="0" collapsed="false">
      <c r="A4860" s="0" t="e">
        <f aca="false">INDEX(TREND(Data!K1:K8,Data!BF1:BG8,{1;2}),3,1)</f>
        <v>#VALUE!</v>
      </c>
      <c r="B4860" s="0" t="s">
        <v>4847</v>
      </c>
    </row>
    <row r="4861" customFormat="false" ht="15" hidden="false" customHeight="false" outlineLevel="0" collapsed="false">
      <c r="A4861" s="0" t="e">
        <f aca="false">INDEX(TREND(Data!K1:K8,Data!BF1:BG8,{1;2}),3,2)</f>
        <v>#VALUE!</v>
      </c>
      <c r="B4861" s="0" t="s">
        <v>4848</v>
      </c>
    </row>
    <row r="4862" customFormat="false" ht="15" hidden="false" customHeight="false" outlineLevel="0" collapsed="false">
      <c r="A4862" s="0" t="n">
        <f aca="false">ROWS(TREND(TRANSPOSE(Data!K1:K8),TRANSPOSE(Data!A1:A8),{1,2,3}))</f>
        <v>1</v>
      </c>
      <c r="B4862" s="0" t="s">
        <v>4849</v>
      </c>
    </row>
    <row r="4863" customFormat="false" ht="15" hidden="false" customHeight="false" outlineLevel="0" collapsed="false">
      <c r="A4863" s="0" t="n">
        <f aca="false">COLUMNS(TREND(TRANSPOSE(Data!K1:K8),TRANSPOSE(Data!A1:A8),{1,2,3}))</f>
        <v>3</v>
      </c>
      <c r="B4863" s="0" t="s">
        <v>4850</v>
      </c>
    </row>
    <row r="4864" customFormat="false" ht="15" hidden="false" customHeight="false" outlineLevel="0" collapsed="false">
      <c r="A4864" s="0" t="n">
        <f aca="false">INDEX(TREND(TRANSPOSE(Data!K1:K8),TRANSPOSE(Data!A1:A8),{1,2,3}),1,1)</f>
        <v>5.33545647558386</v>
      </c>
      <c r="B4864" s="0" t="s">
        <v>4851</v>
      </c>
    </row>
    <row r="4865" customFormat="false" ht="15" hidden="false" customHeight="false" outlineLevel="0" collapsed="false">
      <c r="A4865" s="0" t="n">
        <f aca="false">INDEX(TREND(TRANSPOSE(Data!K1:K8),TRANSPOSE(Data!A1:A8),{1,2,3}),1,2)</f>
        <v>5.37791932059448</v>
      </c>
      <c r="B4865" s="0" t="s">
        <v>4852</v>
      </c>
    </row>
    <row r="4866" customFormat="false" ht="15" hidden="false" customHeight="false" outlineLevel="0" collapsed="false">
      <c r="A4866" s="0" t="e">
        <f aca="false">INDEX(TREND(TRANSPOSE(Data!K1:K8),TRANSPOSE(Data!A1:A8),{1,2,3}),2,1)</f>
        <v>#REF!</v>
      </c>
      <c r="B4866" s="0" t="s">
        <v>4853</v>
      </c>
    </row>
    <row r="4867" customFormat="false" ht="15" hidden="false" customHeight="false" outlineLevel="0" collapsed="false">
      <c r="A4867" s="0" t="e">
        <f aca="false">INDEX(TREND(TRANSPOSE(Data!K1:K8),TRANSPOSE(Data!A1:A8),{1,2,3}),2,2)</f>
        <v>#REF!</v>
      </c>
      <c r="B4867" s="0" t="s">
        <v>4854</v>
      </c>
    </row>
    <row r="4868" customFormat="false" ht="15" hidden="false" customHeight="false" outlineLevel="0" collapsed="false">
      <c r="A4868" s="0" t="e">
        <f aca="false">INDEX(TREND(TRANSPOSE(Data!K1:K8),TRANSPOSE(Data!A1:A8),{1,2,3}),3,1)</f>
        <v>#REF!</v>
      </c>
      <c r="B4868" s="0" t="s">
        <v>4855</v>
      </c>
    </row>
    <row r="4869" customFormat="false" ht="15" hidden="false" customHeight="false" outlineLevel="0" collapsed="false">
      <c r="A4869" s="0" t="e">
        <f aca="false">INDEX(TREND(TRANSPOSE(Data!K1:K8),TRANSPOSE(Data!A1:A8),{1,2,3}),3,2)</f>
        <v>#REF!</v>
      </c>
      <c r="B4869" s="0" t="s">
        <v>4856</v>
      </c>
    </row>
    <row r="4870" customFormat="false" ht="15" hidden="false" customHeight="false" outlineLevel="0" collapsed="false">
      <c r="A4870" s="0" t="n">
        <f aca="false">ROWS(TREND(TRANSPOSE(Data!K1:K8),TRANSPOSE(Data!A1:A8),{1;2;3}))</f>
        <v>3</v>
      </c>
      <c r="B4870" s="0" t="s">
        <v>4857</v>
      </c>
    </row>
    <row r="4871" customFormat="false" ht="15" hidden="false" customHeight="false" outlineLevel="0" collapsed="false">
      <c r="A4871" s="0" t="n">
        <f aca="false">COLUMNS(TREND(TRANSPOSE(Data!K1:K8),TRANSPOSE(Data!A1:A8),{1;2;3}))</f>
        <v>1</v>
      </c>
      <c r="B4871" s="0" t="s">
        <v>4858</v>
      </c>
    </row>
    <row r="4872" customFormat="false" ht="15" hidden="false" customHeight="false" outlineLevel="0" collapsed="false">
      <c r="A4872" s="0" t="n">
        <f aca="false">INDEX(TREND(TRANSPOSE(Data!K1:K8),TRANSPOSE(Data!A1:A8),{1;2;3}),1,1)</f>
        <v>5.33545647558386</v>
      </c>
      <c r="B4872" s="0" t="s">
        <v>4859</v>
      </c>
    </row>
    <row r="4873" customFormat="false" ht="15" hidden="false" customHeight="false" outlineLevel="0" collapsed="false">
      <c r="A4873" s="0" t="e">
        <f aca="false">INDEX(TREND(TRANSPOSE(Data!K1:K8),TRANSPOSE(Data!A1:A8),{1;2;3}),1,2)</f>
        <v>#REF!</v>
      </c>
      <c r="B4873" s="0" t="s">
        <v>4860</v>
      </c>
    </row>
    <row r="4874" customFormat="false" ht="15" hidden="false" customHeight="false" outlineLevel="0" collapsed="false">
      <c r="A4874" s="0" t="n">
        <f aca="false">INDEX(TREND(TRANSPOSE(Data!K1:K8),TRANSPOSE(Data!A1:A8),{1;2;3}),2,1)</f>
        <v>5.37791932059448</v>
      </c>
      <c r="B4874" s="0" t="s">
        <v>4861</v>
      </c>
    </row>
    <row r="4875" customFormat="false" ht="15" hidden="false" customHeight="false" outlineLevel="0" collapsed="false">
      <c r="A4875" s="0" t="e">
        <f aca="false">INDEX(TREND(TRANSPOSE(Data!K1:K8),TRANSPOSE(Data!A1:A8),{1;2;3}),2,2)</f>
        <v>#REF!</v>
      </c>
      <c r="B4875" s="0" t="s">
        <v>4862</v>
      </c>
    </row>
    <row r="4876" customFormat="false" ht="15" hidden="false" customHeight="false" outlineLevel="0" collapsed="false">
      <c r="A4876" s="0" t="n">
        <f aca="false">INDEX(TREND(TRANSPOSE(Data!K1:K8),TRANSPOSE(Data!A1:A8),{1;2;3}),3,1)</f>
        <v>5.4203821656051</v>
      </c>
      <c r="B4876" s="0" t="s">
        <v>4863</v>
      </c>
    </row>
    <row r="4877" customFormat="false" ht="15" hidden="false" customHeight="false" outlineLevel="0" collapsed="false">
      <c r="A4877" s="0" t="e">
        <f aca="false">INDEX(TREND(TRANSPOSE(Data!K1:K8),TRANSPOSE(Data!A1:A8),{1;2;3}),3,2)</f>
        <v>#REF!</v>
      </c>
      <c r="B4877" s="0" t="s">
        <v>4864</v>
      </c>
    </row>
    <row r="4878" customFormat="false" ht="15" hidden="false" customHeight="false" outlineLevel="0" collapsed="false">
      <c r="A4878" s="0" t="n">
        <f aca="false">ROWS(TREND(TRANSPOSE(Data!K1:K8),TRANSPOSE(Data!A1:A8)))</f>
        <v>1</v>
      </c>
      <c r="B4878" s="0" t="s">
        <v>4865</v>
      </c>
    </row>
    <row r="4879" customFormat="false" ht="15" hidden="false" customHeight="false" outlineLevel="0" collapsed="false">
      <c r="A4879" s="0" t="n">
        <f aca="false">COLUMNS(TREND(TRANSPOSE(Data!K1:K8),TRANSPOSE(Data!A1:A8)))</f>
        <v>8</v>
      </c>
      <c r="B4879" s="0" t="s">
        <v>4866</v>
      </c>
    </row>
    <row r="4880" customFormat="false" ht="15" hidden="false" customHeight="false" outlineLevel="0" collapsed="false">
      <c r="A4880" s="0" t="n">
        <f aca="false">INDEX(TREND(TRANSPOSE(Data!K1:K8),TRANSPOSE(Data!A1:A8)),1,1)</f>
        <v>5.50530785562633</v>
      </c>
      <c r="B4880" s="0" t="s">
        <v>4867</v>
      </c>
    </row>
    <row r="4881" customFormat="false" ht="15" hidden="false" customHeight="false" outlineLevel="0" collapsed="false">
      <c r="A4881" s="0" t="n">
        <f aca="false">INDEX(TREND(TRANSPOSE(Data!K1:K8),TRANSPOSE(Data!A1:A8)),1,2)</f>
        <v>5.4203821656051</v>
      </c>
      <c r="B4881" s="0" t="s">
        <v>4868</v>
      </c>
    </row>
    <row r="4882" customFormat="false" ht="15" hidden="false" customHeight="false" outlineLevel="0" collapsed="false">
      <c r="A4882" s="0" t="e">
        <f aca="false">INDEX(TREND(TRANSPOSE(Data!K1:K8),TRANSPOSE(Data!A1:A8)),2,1)</f>
        <v>#REF!</v>
      </c>
      <c r="B4882" s="0" t="s">
        <v>4869</v>
      </c>
    </row>
    <row r="4883" customFormat="false" ht="15" hidden="false" customHeight="false" outlineLevel="0" collapsed="false">
      <c r="A4883" s="0" t="e">
        <f aca="false">INDEX(TREND(TRANSPOSE(Data!K1:K8),TRANSPOSE(Data!A1:A8)),2,2)</f>
        <v>#REF!</v>
      </c>
      <c r="B4883" s="0" t="s">
        <v>4870</v>
      </c>
    </row>
    <row r="4884" customFormat="false" ht="15" hidden="false" customHeight="false" outlineLevel="0" collapsed="false">
      <c r="A4884" s="0" t="e">
        <f aca="false">INDEX(TREND(TRANSPOSE(Data!K1:K8),TRANSPOSE(Data!A1:A8)),3,1)</f>
        <v>#REF!</v>
      </c>
      <c r="B4884" s="0" t="s">
        <v>4871</v>
      </c>
    </row>
    <row r="4885" customFormat="false" ht="15" hidden="false" customHeight="false" outlineLevel="0" collapsed="false">
      <c r="A4885" s="0" t="e">
        <f aca="false">INDEX(TREND(TRANSPOSE(Data!K1:K8),TRANSPOSE(Data!A1:A8)),3,2)</f>
        <v>#REF!</v>
      </c>
      <c r="B4885" s="0" t="s">
        <v>4872</v>
      </c>
    </row>
    <row r="4886" customFormat="false" ht="15" hidden="false" customHeight="false" outlineLevel="0" collapsed="false">
      <c r="A4886" s="0" t="e">
        <f aca="false">ROWS(TREND(Data!K1:K8,Data!A1:A7,3))</f>
        <v>#VALUE!</v>
      </c>
      <c r="B4886" s="0" t="s">
        <v>4873</v>
      </c>
    </row>
    <row r="4887" customFormat="false" ht="15" hidden="false" customHeight="false" outlineLevel="0" collapsed="false">
      <c r="A4887" s="0" t="e">
        <f aca="false">COLUMNS(TREND(Data!K1:K8,Data!A1:A7,3))</f>
        <v>#VALUE!</v>
      </c>
      <c r="B4887" s="0" t="s">
        <v>4874</v>
      </c>
    </row>
    <row r="4888" customFormat="false" ht="15" hidden="false" customHeight="false" outlineLevel="0" collapsed="false">
      <c r="A4888" s="0" t="e">
        <f aca="false">INDEX(TREND(Data!K1:K8,Data!A1:A7,3),1,1)</f>
        <v>#VALUE!</v>
      </c>
      <c r="B4888" s="0" t="s">
        <v>4875</v>
      </c>
    </row>
    <row r="4889" customFormat="false" ht="15" hidden="false" customHeight="false" outlineLevel="0" collapsed="false">
      <c r="A4889" s="0" t="e">
        <f aca="false">INDEX(TREND(Data!K1:K8,Data!A1:A7,3),1,2)</f>
        <v>#VALUE!</v>
      </c>
      <c r="B4889" s="0" t="s">
        <v>4876</v>
      </c>
    </row>
    <row r="4890" customFormat="false" ht="15" hidden="false" customHeight="false" outlineLevel="0" collapsed="false">
      <c r="A4890" s="0" t="e">
        <f aca="false">INDEX(TREND(Data!K1:K8,Data!A1:A7,3),2,1)</f>
        <v>#VALUE!</v>
      </c>
      <c r="B4890" s="0" t="s">
        <v>4877</v>
      </c>
    </row>
    <row r="4891" customFormat="false" ht="15" hidden="false" customHeight="false" outlineLevel="0" collapsed="false">
      <c r="A4891" s="0" t="e">
        <f aca="false">INDEX(TREND(Data!K1:K8,Data!A1:A7,3),2,2)</f>
        <v>#VALUE!</v>
      </c>
      <c r="B4891" s="0" t="s">
        <v>4878</v>
      </c>
    </row>
    <row r="4892" customFormat="false" ht="15" hidden="false" customHeight="false" outlineLevel="0" collapsed="false">
      <c r="A4892" s="0" t="e">
        <f aca="false">INDEX(TREND(Data!K1:K8,Data!A1:A7,3),3,1)</f>
        <v>#VALUE!</v>
      </c>
      <c r="B4892" s="0" t="s">
        <v>4879</v>
      </c>
    </row>
    <row r="4893" customFormat="false" ht="15" hidden="false" customHeight="false" outlineLevel="0" collapsed="false">
      <c r="A4893" s="0" t="e">
        <f aca="false">INDEX(TREND(Data!K1:K8,Data!A1:A7,3),3,2)</f>
        <v>#VALUE!</v>
      </c>
      <c r="B4893" s="0" t="s">
        <v>4880</v>
      </c>
    </row>
    <row r="4894" customFormat="false" ht="15" hidden="false" customHeight="false" outlineLevel="0" collapsed="false">
      <c r="A4894" s="0" t="e">
        <f aca="false">ROWS(TREND(Data!K1:K8,Data!A1:A8,Data!B1:B3))</f>
        <v>#VALUE!</v>
      </c>
      <c r="B4894" s="0" t="s">
        <v>4881</v>
      </c>
    </row>
    <row r="4895" customFormat="false" ht="15" hidden="false" customHeight="false" outlineLevel="0" collapsed="false">
      <c r="A4895" s="0" t="e">
        <f aca="false">COLUMNS(TREND(Data!K1:K8,Data!A1:A8,Data!B1:B3))</f>
        <v>#VALUE!</v>
      </c>
      <c r="B4895" s="0" t="s">
        <v>4882</v>
      </c>
    </row>
    <row r="4896" customFormat="false" ht="15" hidden="false" customHeight="false" outlineLevel="0" collapsed="false">
      <c r="A4896" s="0" t="e">
        <f aca="false">INDEX(TREND(Data!K1:K8,Data!A1:A8,Data!B1:B3),1,1)</f>
        <v>#VALUE!</v>
      </c>
      <c r="B4896" s="0" t="s">
        <v>4883</v>
      </c>
    </row>
    <row r="4897" customFormat="false" ht="15" hidden="false" customHeight="false" outlineLevel="0" collapsed="false">
      <c r="A4897" s="0" t="e">
        <f aca="false">INDEX(TREND(Data!K1:K8,Data!A1:A8,Data!B1:B3),1,2)</f>
        <v>#VALUE!</v>
      </c>
      <c r="B4897" s="0" t="s">
        <v>4884</v>
      </c>
    </row>
    <row r="4898" customFormat="false" ht="15" hidden="false" customHeight="false" outlineLevel="0" collapsed="false">
      <c r="A4898" s="0" t="e">
        <f aca="false">INDEX(TREND(Data!K1:K8,Data!A1:A8,Data!B1:B3),2,1)</f>
        <v>#VALUE!</v>
      </c>
      <c r="B4898" s="0" t="s">
        <v>4885</v>
      </c>
    </row>
    <row r="4899" customFormat="false" ht="15" hidden="false" customHeight="false" outlineLevel="0" collapsed="false">
      <c r="A4899" s="0" t="e">
        <f aca="false">INDEX(TREND(Data!K1:K8,Data!A1:A8,Data!B1:B3),2,2)</f>
        <v>#VALUE!</v>
      </c>
      <c r="B4899" s="0" t="s">
        <v>4886</v>
      </c>
    </row>
    <row r="4900" customFormat="false" ht="15" hidden="false" customHeight="false" outlineLevel="0" collapsed="false">
      <c r="A4900" s="0" t="e">
        <f aca="false">INDEX(TREND(Data!K1:K8,Data!A1:A8,Data!B1:B3),3,1)</f>
        <v>#VALUE!</v>
      </c>
      <c r="B4900" s="0" t="s">
        <v>4887</v>
      </c>
    </row>
    <row r="4901" customFormat="false" ht="15" hidden="false" customHeight="false" outlineLevel="0" collapsed="false">
      <c r="A4901" s="0" t="e">
        <f aca="false">INDEX(TREND(Data!K1:K8,Data!A1:A8,Data!B1:B3),3,2)</f>
        <v>#VALUE!</v>
      </c>
      <c r="B4901" s="0" t="s">
        <v>4888</v>
      </c>
    </row>
    <row r="4902" customFormat="false" ht="15" hidden="false" customHeight="false" outlineLevel="0" collapsed="false">
      <c r="A4902" s="0" t="e">
        <f aca="false">ROWS(TREND(Data!K1:K8,Data!A1:A8,"x"))</f>
        <v>#VALUE!</v>
      </c>
      <c r="B4902" s="0" t="s">
        <v>4889</v>
      </c>
    </row>
    <row r="4903" customFormat="false" ht="15" hidden="false" customHeight="false" outlineLevel="0" collapsed="false">
      <c r="A4903" s="0" t="e">
        <f aca="false">COLUMNS(TREND(Data!K1:K8,Data!A1:A8,"x"))</f>
        <v>#VALUE!</v>
      </c>
      <c r="B4903" s="0" t="s">
        <v>4890</v>
      </c>
    </row>
    <row r="4904" customFormat="false" ht="15" hidden="false" customHeight="false" outlineLevel="0" collapsed="false">
      <c r="A4904" s="0" t="e">
        <f aca="false">INDEX(TREND(Data!K1:K8,Data!A1:A8,"x"),1,1)</f>
        <v>#VALUE!</v>
      </c>
      <c r="B4904" s="0" t="s">
        <v>4891</v>
      </c>
    </row>
    <row r="4905" customFormat="false" ht="15" hidden="false" customHeight="false" outlineLevel="0" collapsed="false">
      <c r="A4905" s="0" t="e">
        <f aca="false">INDEX(TREND(Data!K1:K8,Data!A1:A8,"x"),1,2)</f>
        <v>#VALUE!</v>
      </c>
      <c r="B4905" s="0" t="s">
        <v>4892</v>
      </c>
    </row>
    <row r="4906" customFormat="false" ht="15" hidden="false" customHeight="false" outlineLevel="0" collapsed="false">
      <c r="A4906" s="0" t="e">
        <f aca="false">INDEX(TREND(Data!K1:K8,Data!A1:A8,"x"),2,1)</f>
        <v>#VALUE!</v>
      </c>
      <c r="B4906" s="0" t="s">
        <v>4893</v>
      </c>
    </row>
    <row r="4907" customFormat="false" ht="15" hidden="false" customHeight="false" outlineLevel="0" collapsed="false">
      <c r="A4907" s="0" t="e">
        <f aca="false">INDEX(TREND(Data!K1:K8,Data!A1:A8,"x"),2,2)</f>
        <v>#VALUE!</v>
      </c>
      <c r="B4907" s="0" t="s">
        <v>4894</v>
      </c>
    </row>
    <row r="4908" customFormat="false" ht="15" hidden="false" customHeight="false" outlineLevel="0" collapsed="false">
      <c r="A4908" s="0" t="e">
        <f aca="false">INDEX(TREND(Data!K1:K8,Data!A1:A8,"x"),3,1)</f>
        <v>#VALUE!</v>
      </c>
      <c r="B4908" s="0" t="s">
        <v>4895</v>
      </c>
    </row>
    <row r="4909" customFormat="false" ht="15" hidden="false" customHeight="false" outlineLevel="0" collapsed="false">
      <c r="A4909" s="0" t="e">
        <f aca="false">INDEX(TREND(Data!K1:K8,Data!A1:A8,"x"),3,2)</f>
        <v>#VALUE!</v>
      </c>
      <c r="B4909" s="0" t="s">
        <v>4896</v>
      </c>
    </row>
    <row r="4910" customFormat="false" ht="15" hidden="false" customHeight="false" outlineLevel="0" collapsed="false">
      <c r="A4910" s="0" t="n">
        <f aca="false">ROWS(TREND(Data!K1:K8,Data!A1:A8,3,"x"))</f>
        <v>1</v>
      </c>
      <c r="B4910" s="0" t="s">
        <v>4897</v>
      </c>
    </row>
    <row r="4911" customFormat="false" ht="15" hidden="false" customHeight="false" outlineLevel="0" collapsed="false">
      <c r="A4911" s="0" t="n">
        <f aca="false">COLUMNS(TREND(Data!K1:K8,Data!A1:A8,3,"x"))</f>
        <v>1</v>
      </c>
      <c r="B4911" s="0" t="s">
        <v>4898</v>
      </c>
    </row>
    <row r="4912" customFormat="false" ht="15" hidden="false" customHeight="false" outlineLevel="0" collapsed="false">
      <c r="A4912" s="0" t="e">
        <f aca="false">INDEX(TREND(Data!K1:K8,Data!A1:A8,3,"x"),1,1)</f>
        <v>#VALUE!</v>
      </c>
      <c r="B4912" s="0" t="s">
        <v>4899</v>
      </c>
    </row>
    <row r="4913" customFormat="false" ht="15" hidden="false" customHeight="false" outlineLevel="0" collapsed="false">
      <c r="A4913" s="0" t="e">
        <f aca="false">INDEX(TREND(Data!K1:K8,Data!A1:A8,3,"x"),1,2)</f>
        <v>#REF!</v>
      </c>
      <c r="B4913" s="0" t="s">
        <v>4900</v>
      </c>
    </row>
    <row r="4914" customFormat="false" ht="15" hidden="false" customHeight="false" outlineLevel="0" collapsed="false">
      <c r="A4914" s="0" t="e">
        <f aca="false">INDEX(TREND(Data!K1:K8,Data!A1:A8,3,"x"),2,1)</f>
        <v>#REF!</v>
      </c>
      <c r="B4914" s="0" t="s">
        <v>4901</v>
      </c>
    </row>
    <row r="4915" customFormat="false" ht="15" hidden="false" customHeight="false" outlineLevel="0" collapsed="false">
      <c r="A4915" s="0" t="e">
        <f aca="false">INDEX(TREND(Data!K1:K8,Data!A1:A8,3,"x"),2,2)</f>
        <v>#REF!</v>
      </c>
      <c r="B4915" s="0" t="s">
        <v>4902</v>
      </c>
    </row>
    <row r="4916" customFormat="false" ht="15" hidden="false" customHeight="false" outlineLevel="0" collapsed="false">
      <c r="A4916" s="0" t="e">
        <f aca="false">INDEX(TREND(Data!K1:K8,Data!A1:A8,3,"x"),3,1)</f>
        <v>#REF!</v>
      </c>
      <c r="B4916" s="0" t="s">
        <v>4903</v>
      </c>
    </row>
    <row r="4917" customFormat="false" ht="15" hidden="false" customHeight="false" outlineLevel="0" collapsed="false">
      <c r="A4917" s="0" t="e">
        <f aca="false">INDEX(TREND(Data!K1:K8,Data!A1:A8,3,"x"),3,2)</f>
        <v>#REF!</v>
      </c>
      <c r="B4917" s="0" t="s">
        <v>4904</v>
      </c>
    </row>
    <row r="4918" customFormat="false" ht="15" hidden="false" customHeight="false" outlineLevel="0" collapsed="false">
      <c r="A4918" s="0" t="e">
        <f aca="false">ROWS(TREND(Data!K1:K8,Data!A1:A8,NA()))</f>
        <v>#N/A</v>
      </c>
      <c r="B4918" s="0" t="s">
        <v>4905</v>
      </c>
    </row>
    <row r="4919" customFormat="false" ht="15" hidden="false" customHeight="false" outlineLevel="0" collapsed="false">
      <c r="A4919" s="0" t="e">
        <f aca="false">COLUMNS(TREND(Data!K1:K8,Data!A1:A8,NA()))</f>
        <v>#N/A</v>
      </c>
      <c r="B4919" s="0" t="s">
        <v>4906</v>
      </c>
    </row>
    <row r="4920" customFormat="false" ht="15" hidden="false" customHeight="false" outlineLevel="0" collapsed="false">
      <c r="A4920" s="0" t="e">
        <f aca="false">INDEX(TREND(Data!K1:K8,Data!A1:A8,NA()),1,1)</f>
        <v>#N/A</v>
      </c>
      <c r="B4920" s="0" t="s">
        <v>4907</v>
      </c>
    </row>
    <row r="4921" customFormat="false" ht="15" hidden="false" customHeight="false" outlineLevel="0" collapsed="false">
      <c r="A4921" s="0" t="e">
        <f aca="false">INDEX(TREND(Data!K1:K8,Data!A1:A8,NA()),1,2)</f>
        <v>#N/A</v>
      </c>
      <c r="B4921" s="0" t="s">
        <v>4908</v>
      </c>
    </row>
    <row r="4922" customFormat="false" ht="15" hidden="false" customHeight="false" outlineLevel="0" collapsed="false">
      <c r="A4922" s="0" t="e">
        <f aca="false">INDEX(TREND(Data!K1:K8,Data!A1:A8,NA()),2,1)</f>
        <v>#N/A</v>
      </c>
      <c r="B4922" s="0" t="s">
        <v>4909</v>
      </c>
    </row>
    <row r="4923" customFormat="false" ht="15" hidden="false" customHeight="false" outlineLevel="0" collapsed="false">
      <c r="A4923" s="0" t="e">
        <f aca="false">INDEX(TREND(Data!K1:K8,Data!A1:A8,NA()),2,2)</f>
        <v>#N/A</v>
      </c>
      <c r="B4923" s="0" t="s">
        <v>4910</v>
      </c>
    </row>
    <row r="4924" customFormat="false" ht="15" hidden="false" customHeight="false" outlineLevel="0" collapsed="false">
      <c r="A4924" s="0" t="e">
        <f aca="false">INDEX(TREND(Data!K1:K8,Data!A1:A8,NA()),3,1)</f>
        <v>#N/A</v>
      </c>
      <c r="B4924" s="0" t="s">
        <v>4911</v>
      </c>
    </row>
    <row r="4925" customFormat="false" ht="15" hidden="false" customHeight="false" outlineLevel="0" collapsed="false">
      <c r="A4925" s="0" t="e">
        <f aca="false">INDEX(TREND(Data!K1:K8,Data!A1:A8,NA()),3,2)</f>
        <v>#N/A</v>
      </c>
      <c r="B4925" s="0" t="s">
        <v>4912</v>
      </c>
    </row>
    <row r="4926" customFormat="false" ht="15" hidden="false" customHeight="false" outlineLevel="0" collapsed="false">
      <c r="A4926" s="0" t="e">
        <f aca="false">ROWS(TREND(Data!M1:M4,Data!K1:K4,3))</f>
        <v>#VALUE!</v>
      </c>
      <c r="B4926" s="0" t="s">
        <v>4913</v>
      </c>
    </row>
    <row r="4927" customFormat="false" ht="15" hidden="false" customHeight="false" outlineLevel="0" collapsed="false">
      <c r="A4927" s="0" t="e">
        <f aca="false">COLUMNS(TREND(Data!M1:M4,Data!K1:K4,3))</f>
        <v>#VALUE!</v>
      </c>
      <c r="B4927" s="0" t="s">
        <v>4914</v>
      </c>
    </row>
    <row r="4928" customFormat="false" ht="15" hidden="false" customHeight="false" outlineLevel="0" collapsed="false">
      <c r="A4928" s="0" t="e">
        <f aca="false">INDEX(TREND(Data!M1:M4,Data!K1:K4,3),1,1)</f>
        <v>#VALUE!</v>
      </c>
      <c r="B4928" s="0" t="s">
        <v>4915</v>
      </c>
    </row>
    <row r="4929" customFormat="false" ht="15" hidden="false" customHeight="false" outlineLevel="0" collapsed="false">
      <c r="A4929" s="0" t="e">
        <f aca="false">INDEX(TREND(Data!M1:M4,Data!K1:K4,3),1,2)</f>
        <v>#VALUE!</v>
      </c>
      <c r="B4929" s="0" t="s">
        <v>4916</v>
      </c>
    </row>
    <row r="4930" customFormat="false" ht="15" hidden="false" customHeight="false" outlineLevel="0" collapsed="false">
      <c r="A4930" s="0" t="e">
        <f aca="false">INDEX(TREND(Data!M1:M4,Data!K1:K4,3),2,1)</f>
        <v>#VALUE!</v>
      </c>
      <c r="B4930" s="0" t="s">
        <v>4917</v>
      </c>
    </row>
    <row r="4931" customFormat="false" ht="15" hidden="false" customHeight="false" outlineLevel="0" collapsed="false">
      <c r="A4931" s="0" t="e">
        <f aca="false">INDEX(TREND(Data!M1:M4,Data!K1:K4,3),2,2)</f>
        <v>#VALUE!</v>
      </c>
      <c r="B4931" s="0" t="s">
        <v>4918</v>
      </c>
    </row>
    <row r="4932" customFormat="false" ht="15" hidden="false" customHeight="false" outlineLevel="0" collapsed="false">
      <c r="A4932" s="0" t="e">
        <f aca="false">INDEX(TREND(Data!M1:M4,Data!K1:K4,3),3,1)</f>
        <v>#VALUE!</v>
      </c>
      <c r="B4932" s="0" t="s">
        <v>4919</v>
      </c>
    </row>
    <row r="4933" customFormat="false" ht="15" hidden="false" customHeight="false" outlineLevel="0" collapsed="false">
      <c r="A4933" s="0" t="e">
        <f aca="false">INDEX(TREND(Data!M1:M4,Data!K1:K4,3),3,2)</f>
        <v>#VALUE!</v>
      </c>
      <c r="B4933" s="0" t="s">
        <v>4920</v>
      </c>
    </row>
    <row r="4934" customFormat="false" ht="15" hidden="false" customHeight="false" outlineLevel="0" collapsed="false">
      <c r="A4934" s="0" t="e">
        <f aca="false">ROWS(TREND(Data!K1:K4,Data!M1:M4,3))</f>
        <v>#VALUE!</v>
      </c>
      <c r="B4934" s="0" t="s">
        <v>4921</v>
      </c>
    </row>
    <row r="4935" customFormat="false" ht="15" hidden="false" customHeight="false" outlineLevel="0" collapsed="false">
      <c r="A4935" s="0" t="e">
        <f aca="false">COLUMNS(TREND(Data!K1:K4,Data!M1:M4,3))</f>
        <v>#VALUE!</v>
      </c>
      <c r="B4935" s="0" t="s">
        <v>4922</v>
      </c>
    </row>
    <row r="4936" customFormat="false" ht="15" hidden="false" customHeight="false" outlineLevel="0" collapsed="false">
      <c r="A4936" s="0" t="e">
        <f aca="false">INDEX(TREND(Data!K1:K4,Data!M1:M4,3),1,1)</f>
        <v>#VALUE!</v>
      </c>
      <c r="B4936" s="0" t="s">
        <v>4923</v>
      </c>
    </row>
    <row r="4937" customFormat="false" ht="15" hidden="false" customHeight="false" outlineLevel="0" collapsed="false">
      <c r="A4937" s="0" t="e">
        <f aca="false">INDEX(TREND(Data!K1:K4,Data!M1:M4,3),1,2)</f>
        <v>#VALUE!</v>
      </c>
      <c r="B4937" s="0" t="s">
        <v>4924</v>
      </c>
    </row>
    <row r="4938" customFormat="false" ht="15" hidden="false" customHeight="false" outlineLevel="0" collapsed="false">
      <c r="A4938" s="0" t="e">
        <f aca="false">INDEX(TREND(Data!K1:K4,Data!M1:M4,3),2,1)</f>
        <v>#VALUE!</v>
      </c>
      <c r="B4938" s="0" t="s">
        <v>4925</v>
      </c>
    </row>
    <row r="4939" customFormat="false" ht="15" hidden="false" customHeight="false" outlineLevel="0" collapsed="false">
      <c r="A4939" s="0" t="e">
        <f aca="false">INDEX(TREND(Data!K1:K4,Data!M1:M4,3),2,2)</f>
        <v>#VALUE!</v>
      </c>
      <c r="B4939" s="0" t="s">
        <v>4926</v>
      </c>
    </row>
    <row r="4940" customFormat="false" ht="15" hidden="false" customHeight="false" outlineLevel="0" collapsed="false">
      <c r="A4940" s="0" t="e">
        <f aca="false">INDEX(TREND(Data!K1:K4,Data!M1:M4,3),3,1)</f>
        <v>#VALUE!</v>
      </c>
      <c r="B4940" s="0" t="s">
        <v>4927</v>
      </c>
    </row>
    <row r="4941" customFormat="false" ht="15" hidden="false" customHeight="false" outlineLevel="0" collapsed="false">
      <c r="A4941" s="0" t="e">
        <f aca="false">INDEX(TREND(Data!K1:K4,Data!M1:M4,3),3,2)</f>
        <v>#VALUE!</v>
      </c>
      <c r="B4941" s="0" t="s">
        <v>4928</v>
      </c>
    </row>
    <row r="4942" customFormat="false" ht="15" hidden="false" customHeight="false" outlineLevel="0" collapsed="false">
      <c r="A4942" s="0" t="e">
        <f aca="false">ROWS(TREND(Data!K1:K8,Data!A1:A8,Data!D1:D3))</f>
        <v>#VALUE!</v>
      </c>
      <c r="B4942" s="0" t="s">
        <v>4929</v>
      </c>
    </row>
    <row r="4943" customFormat="false" ht="15" hidden="false" customHeight="false" outlineLevel="0" collapsed="false">
      <c r="A4943" s="0" t="e">
        <f aca="false">COLUMNS(TREND(Data!K1:K8,Data!A1:A8,Data!D1:D3))</f>
        <v>#VALUE!</v>
      </c>
      <c r="B4943" s="0" t="s">
        <v>4930</v>
      </c>
    </row>
    <row r="4944" customFormat="false" ht="15" hidden="false" customHeight="false" outlineLevel="0" collapsed="false">
      <c r="A4944" s="0" t="e">
        <f aca="false">INDEX(TREND(Data!K1:K8,Data!A1:A8,Data!D1:D3),1,1)</f>
        <v>#VALUE!</v>
      </c>
      <c r="B4944" s="0" t="s">
        <v>4931</v>
      </c>
    </row>
    <row r="4945" customFormat="false" ht="15" hidden="false" customHeight="false" outlineLevel="0" collapsed="false">
      <c r="A4945" s="0" t="e">
        <f aca="false">INDEX(TREND(Data!K1:K8,Data!A1:A8,Data!D1:D3),1,2)</f>
        <v>#VALUE!</v>
      </c>
      <c r="B4945" s="0" t="s">
        <v>4932</v>
      </c>
    </row>
    <row r="4946" customFormat="false" ht="15" hidden="false" customHeight="false" outlineLevel="0" collapsed="false">
      <c r="A4946" s="0" t="e">
        <f aca="false">INDEX(TREND(Data!K1:K8,Data!A1:A8,Data!D1:D3),2,1)</f>
        <v>#VALUE!</v>
      </c>
      <c r="B4946" s="0" t="s">
        <v>4933</v>
      </c>
    </row>
    <row r="4947" customFormat="false" ht="15" hidden="false" customHeight="false" outlineLevel="0" collapsed="false">
      <c r="A4947" s="0" t="e">
        <f aca="false">INDEX(TREND(Data!K1:K8,Data!A1:A8,Data!D1:D3),2,2)</f>
        <v>#VALUE!</v>
      </c>
      <c r="B4947" s="0" t="s">
        <v>4934</v>
      </c>
    </row>
    <row r="4948" customFormat="false" ht="15" hidden="false" customHeight="false" outlineLevel="0" collapsed="false">
      <c r="A4948" s="0" t="e">
        <f aca="false">INDEX(TREND(Data!K1:K8,Data!A1:A8,Data!D1:D3),3,1)</f>
        <v>#VALUE!</v>
      </c>
      <c r="B4948" s="0" t="s">
        <v>4935</v>
      </c>
    </row>
    <row r="4949" customFormat="false" ht="15" hidden="false" customHeight="false" outlineLevel="0" collapsed="false">
      <c r="A4949" s="0" t="e">
        <f aca="false">INDEX(TREND(Data!K1:K8,Data!A1:A8,Data!D1:D3),3,2)</f>
        <v>#VALUE!</v>
      </c>
      <c r="B4949" s="0" t="s">
        <v>4936</v>
      </c>
    </row>
    <row r="4950" customFormat="false" ht="15" hidden="false" customHeight="false" outlineLevel="0" collapsed="false">
      <c r="A4950" s="0" t="n">
        <f aca="false">ROWS(TREND({1;2;4;8},{1;2;3;4},{5;6}))</f>
        <v>2</v>
      </c>
      <c r="B4950" s="0" t="s">
        <v>4937</v>
      </c>
    </row>
    <row r="4951" customFormat="false" ht="15" hidden="false" customHeight="false" outlineLevel="0" collapsed="false">
      <c r="A4951" s="0" t="n">
        <f aca="false">COLUMNS(TREND({1;2;4;8},{1;2;3;4},{5;6}))</f>
        <v>1</v>
      </c>
      <c r="B4951" s="0" t="s">
        <v>4938</v>
      </c>
    </row>
    <row r="4952" customFormat="false" ht="15" hidden="false" customHeight="false" outlineLevel="0" collapsed="false">
      <c r="A4952" s="0" t="n">
        <f aca="false">INDEX(TREND({1;2;4;8},{1;2;3;4},{5;6}),1,1)</f>
        <v>9.5</v>
      </c>
      <c r="B4952" s="0" t="s">
        <v>4939</v>
      </c>
    </row>
    <row r="4953" customFormat="false" ht="15" hidden="false" customHeight="false" outlineLevel="0" collapsed="false">
      <c r="A4953" s="0" t="e">
        <f aca="false">INDEX(TREND({1;2;4;8},{1;2;3;4},{5;6}),1,2)</f>
        <v>#REF!</v>
      </c>
      <c r="B4953" s="0" t="s">
        <v>4940</v>
      </c>
    </row>
    <row r="4954" customFormat="false" ht="15" hidden="false" customHeight="false" outlineLevel="0" collapsed="false">
      <c r="A4954" s="0" t="n">
        <f aca="false">INDEX(TREND({1;2;4;8},{1;2;3;4},{5;6}),2,1)</f>
        <v>11.8</v>
      </c>
      <c r="B4954" s="0" t="s">
        <v>4941</v>
      </c>
    </row>
    <row r="4955" customFormat="false" ht="15" hidden="false" customHeight="false" outlineLevel="0" collapsed="false">
      <c r="A4955" s="0" t="e">
        <f aca="false">INDEX(TREND({1;2;4;8},{1;2;3;4},{5;6}),2,2)</f>
        <v>#REF!</v>
      </c>
      <c r="B4955" s="0" t="s">
        <v>4942</v>
      </c>
    </row>
    <row r="4956" customFormat="false" ht="15" hidden="false" customHeight="false" outlineLevel="0" collapsed="false">
      <c r="A4956" s="0" t="e">
        <f aca="false">INDEX(TREND({1;2;4;8},{1;2;3;4},{5;6}),3,1)</f>
        <v>#REF!</v>
      </c>
      <c r="B4956" s="0" t="s">
        <v>4943</v>
      </c>
    </row>
    <row r="4957" customFormat="false" ht="15" hidden="false" customHeight="false" outlineLevel="0" collapsed="false">
      <c r="A4957" s="0" t="e">
        <f aca="false">INDEX(TREND({1;2;4;8},{1;2;3;4},{5;6}),3,2)</f>
        <v>#REF!</v>
      </c>
      <c r="B4957" s="0" t="s">
        <v>4944</v>
      </c>
    </row>
    <row r="4958" customFormat="false" ht="15" hidden="false" customHeight="false" outlineLevel="0" collapsed="false">
      <c r="A4958" s="0" t="n">
        <f aca="false">ROWS(TREND({-1;2;4;8},{1;2;3;4},{5;6}))</f>
        <v>2</v>
      </c>
      <c r="B4958" s="0" t="s">
        <v>4945</v>
      </c>
    </row>
    <row r="4959" customFormat="false" ht="15" hidden="false" customHeight="false" outlineLevel="0" collapsed="false">
      <c r="A4959" s="0" t="n">
        <f aca="false">COLUMNS(TREND({-1;2;4;8},{1;2;3;4},{5;6}))</f>
        <v>1</v>
      </c>
      <c r="B4959" s="0" t="s">
        <v>4946</v>
      </c>
    </row>
    <row r="4960" customFormat="false" ht="15" hidden="false" customHeight="false" outlineLevel="0" collapsed="false">
      <c r="A4960" s="0" t="n">
        <f aca="false">INDEX(TREND({-1;2;4;8},{1;2;3;4},{5;6}),1,1)</f>
        <v>10.5</v>
      </c>
      <c r="B4960" s="0" t="s">
        <v>4947</v>
      </c>
    </row>
    <row r="4961" customFormat="false" ht="15" hidden="false" customHeight="false" outlineLevel="0" collapsed="false">
      <c r="A4961" s="0" t="e">
        <f aca="false">INDEX(TREND({-1;2;4;8},{1;2;3;4},{5;6}),1,2)</f>
        <v>#REF!</v>
      </c>
      <c r="B4961" s="0" t="s">
        <v>4948</v>
      </c>
    </row>
    <row r="4962" customFormat="false" ht="15" hidden="false" customHeight="false" outlineLevel="0" collapsed="false">
      <c r="A4962" s="0" t="n">
        <f aca="false">INDEX(TREND({-1;2;4;8},{1;2;3;4},{5;6}),2,1)</f>
        <v>13.4</v>
      </c>
      <c r="B4962" s="0" t="s">
        <v>4949</v>
      </c>
    </row>
    <row r="4963" customFormat="false" ht="15" hidden="false" customHeight="false" outlineLevel="0" collapsed="false">
      <c r="A4963" s="0" t="e">
        <f aca="false">INDEX(TREND({-1;2;4;8},{1;2;3;4},{5;6}),2,2)</f>
        <v>#REF!</v>
      </c>
      <c r="B4963" s="0" t="s">
        <v>4950</v>
      </c>
    </row>
    <row r="4964" customFormat="false" ht="15" hidden="false" customHeight="false" outlineLevel="0" collapsed="false">
      <c r="A4964" s="0" t="e">
        <f aca="false">INDEX(TREND({-1;2;4;8},{1;2;3;4},{5;6}),3,1)</f>
        <v>#REF!</v>
      </c>
      <c r="B4964" s="0" t="s">
        <v>4951</v>
      </c>
    </row>
    <row r="4965" customFormat="false" ht="15" hidden="false" customHeight="false" outlineLevel="0" collapsed="false">
      <c r="A4965" s="0" t="e">
        <f aca="false">INDEX(TREND({-1;2;4;8},{1;2;3;4},{5;6}),3,2)</f>
        <v>#REF!</v>
      </c>
      <c r="B4965" s="0" t="s">
        <v>4952</v>
      </c>
    </row>
    <row r="4966" customFormat="false" ht="15" hidden="false" customHeight="false" outlineLevel="0" collapsed="false">
      <c r="A4966" s="0" t="n">
        <f aca="false">ROWS(TREND({3;3;3},{1;2;3},{4}))</f>
        <v>1</v>
      </c>
      <c r="B4966" s="0" t="s">
        <v>4953</v>
      </c>
    </row>
    <row r="4967" customFormat="false" ht="15" hidden="false" customHeight="false" outlineLevel="0" collapsed="false">
      <c r="A4967" s="0" t="n">
        <f aca="false">COLUMNS(TREND({3;3;3},{1;2;3},{4}))</f>
        <v>1</v>
      </c>
      <c r="B4967" s="0" t="s">
        <v>4954</v>
      </c>
    </row>
    <row r="4968" customFormat="false" ht="15" hidden="false" customHeight="false" outlineLevel="0" collapsed="false">
      <c r="A4968" s="0" t="n">
        <f aca="false">INDEX(TREND({3;3;3},{1;2;3},{4}),1,1)</f>
        <v>3</v>
      </c>
      <c r="B4968" s="0" t="s">
        <v>4955</v>
      </c>
    </row>
    <row r="4969" customFormat="false" ht="15" hidden="false" customHeight="false" outlineLevel="0" collapsed="false">
      <c r="A4969" s="0" t="e">
        <f aca="false">INDEX(TREND({3;3;3},{1;2;3},{4}),1,2)</f>
        <v>#REF!</v>
      </c>
      <c r="B4969" s="0" t="s">
        <v>4956</v>
      </c>
    </row>
    <row r="4970" customFormat="false" ht="15" hidden="false" customHeight="false" outlineLevel="0" collapsed="false">
      <c r="A4970" s="0" t="e">
        <f aca="false">INDEX(TREND({3;3;3},{1;2;3},{4}),2,1)</f>
        <v>#REF!</v>
      </c>
      <c r="B4970" s="0" t="s">
        <v>4957</v>
      </c>
    </row>
    <row r="4971" customFormat="false" ht="15" hidden="false" customHeight="false" outlineLevel="0" collapsed="false">
      <c r="A4971" s="0" t="e">
        <f aca="false">INDEX(TREND({3;3;3},{1;2;3},{4}),2,2)</f>
        <v>#REF!</v>
      </c>
      <c r="B4971" s="0" t="s">
        <v>4958</v>
      </c>
    </row>
    <row r="4972" customFormat="false" ht="15" hidden="false" customHeight="false" outlineLevel="0" collapsed="false">
      <c r="A4972" s="0" t="e">
        <f aca="false">INDEX(TREND({3;3;3},{1;2;3},{4}),3,1)</f>
        <v>#REF!</v>
      </c>
      <c r="B4972" s="0" t="s">
        <v>4959</v>
      </c>
    </row>
    <row r="4973" customFormat="false" ht="15" hidden="false" customHeight="false" outlineLevel="0" collapsed="false">
      <c r="A4973" s="0" t="e">
        <f aca="false">INDEX(TREND({3;3;3},{1;2;3},{4}),3,2)</f>
        <v>#REF!</v>
      </c>
      <c r="B4973" s="0" t="s">
        <v>4960</v>
      </c>
    </row>
    <row r="4974" customFormat="false" ht="15" hidden="false" customHeight="false" outlineLevel="0" collapsed="false">
      <c r="A4974" s="0" t="n">
        <f aca="false">ROWS(TREND(Data!K1:K8,Data!BG1:BH8,Data!BG1:BH2))</f>
        <v>2</v>
      </c>
      <c r="B4974" s="0" t="s">
        <v>4961</v>
      </c>
    </row>
    <row r="4975" customFormat="false" ht="15" hidden="false" customHeight="false" outlineLevel="0" collapsed="false">
      <c r="A4975" s="0" t="n">
        <f aca="false">COLUMNS(TREND(Data!K1:K8,Data!BG1:BH8,Data!BG1:BH2))</f>
        <v>1</v>
      </c>
      <c r="B4975" s="0" t="s">
        <v>4962</v>
      </c>
    </row>
    <row r="4976" customFormat="false" ht="15" hidden="false" customHeight="false" outlineLevel="0" collapsed="false">
      <c r="A4976" s="0" t="n">
        <f aca="false">INDEX(TREND(Data!K1:K8,Data!BG1:BH8,Data!BG1:BH2),1,1)</f>
        <v>3.1986301369863</v>
      </c>
      <c r="B4976" s="0" t="s">
        <v>4963</v>
      </c>
    </row>
    <row r="4977" customFormat="false" ht="15" hidden="false" customHeight="false" outlineLevel="0" collapsed="false">
      <c r="A4977" s="0" t="e">
        <f aca="false">INDEX(TREND(Data!K1:K8,Data!BG1:BH8,Data!BG1:BH2),1,2)</f>
        <v>#REF!</v>
      </c>
      <c r="B4977" s="0" t="s">
        <v>4964</v>
      </c>
    </row>
    <row r="4978" customFormat="false" ht="15" hidden="false" customHeight="false" outlineLevel="0" collapsed="false">
      <c r="A4978" s="0" t="n">
        <f aca="false">INDEX(TREND(Data!K1:K8,Data!BG1:BH8,Data!BG1:BH2),2,1)</f>
        <v>4.58904109589041</v>
      </c>
      <c r="B4978" s="0" t="s">
        <v>4965</v>
      </c>
    </row>
    <row r="4979" customFormat="false" ht="15" hidden="false" customHeight="false" outlineLevel="0" collapsed="false">
      <c r="A4979" s="0" t="e">
        <f aca="false">INDEX(TREND(Data!K1:K8,Data!BG1:BH8,Data!BG1:BH2),2,2)</f>
        <v>#REF!</v>
      </c>
      <c r="B4979" s="0" t="s">
        <v>4966</v>
      </c>
    </row>
    <row r="4980" customFormat="false" ht="15" hidden="false" customHeight="false" outlineLevel="0" collapsed="false">
      <c r="A4980" s="0" t="e">
        <f aca="false">INDEX(TREND(Data!K1:K8,Data!BG1:BH8,Data!BG1:BH2),3,1)</f>
        <v>#REF!</v>
      </c>
      <c r="B4980" s="0" t="s">
        <v>4967</v>
      </c>
    </row>
    <row r="4981" customFormat="false" ht="15" hidden="false" customHeight="false" outlineLevel="0" collapsed="false">
      <c r="A4981" s="0" t="e">
        <f aca="false">INDEX(TREND(Data!K1:K8,Data!BG1:BH8,Data!BG1:BH2),3,2)</f>
        <v>#REF!</v>
      </c>
      <c r="B4981" s="0" t="s">
        <v>4968</v>
      </c>
    </row>
    <row r="4982" customFormat="false" ht="15" hidden="false" customHeight="false" outlineLevel="0" collapsed="false">
      <c r="A4982" s="0" t="e">
        <f aca="false">ROWS(TREND(Data!K1:K8,Data!BG1:BH8,Data!BG1:BG2))</f>
        <v>#VALUE!</v>
      </c>
      <c r="B4982" s="0" t="s">
        <v>4969</v>
      </c>
    </row>
    <row r="4983" customFormat="false" ht="15" hidden="false" customHeight="false" outlineLevel="0" collapsed="false">
      <c r="A4983" s="0" t="e">
        <f aca="false">COLUMNS(TREND(Data!K1:K8,Data!BG1:BH8,Data!BG1:BG2))</f>
        <v>#VALUE!</v>
      </c>
      <c r="B4983" s="0" t="s">
        <v>4970</v>
      </c>
    </row>
    <row r="4984" customFormat="false" ht="15" hidden="false" customHeight="false" outlineLevel="0" collapsed="false">
      <c r="A4984" s="0" t="e">
        <f aca="false">INDEX(TREND(Data!K1:K8,Data!BG1:BH8,Data!BG1:BG2),1,1)</f>
        <v>#VALUE!</v>
      </c>
      <c r="B4984" s="0" t="s">
        <v>4971</v>
      </c>
    </row>
    <row r="4985" customFormat="false" ht="15" hidden="false" customHeight="false" outlineLevel="0" collapsed="false">
      <c r="A4985" s="0" t="e">
        <f aca="false">INDEX(TREND(Data!K1:K8,Data!BG1:BH8,Data!BG1:BG2),1,2)</f>
        <v>#VALUE!</v>
      </c>
      <c r="B4985" s="0" t="s">
        <v>4972</v>
      </c>
    </row>
    <row r="4986" customFormat="false" ht="15" hidden="false" customHeight="false" outlineLevel="0" collapsed="false">
      <c r="A4986" s="0" t="e">
        <f aca="false">INDEX(TREND(Data!K1:K8,Data!BG1:BH8,Data!BG1:BG2),2,1)</f>
        <v>#VALUE!</v>
      </c>
      <c r="B4986" s="0" t="s">
        <v>4973</v>
      </c>
    </row>
    <row r="4987" customFormat="false" ht="15" hidden="false" customHeight="false" outlineLevel="0" collapsed="false">
      <c r="A4987" s="0" t="e">
        <f aca="false">INDEX(TREND(Data!K1:K8,Data!BG1:BH8,Data!BG1:BG2),2,2)</f>
        <v>#VALUE!</v>
      </c>
      <c r="B4987" s="0" t="s">
        <v>4974</v>
      </c>
    </row>
    <row r="4988" customFormat="false" ht="15" hidden="false" customHeight="false" outlineLevel="0" collapsed="false">
      <c r="A4988" s="0" t="e">
        <f aca="false">INDEX(TREND(Data!K1:K8,Data!BG1:BH8,Data!BG1:BG2),3,1)</f>
        <v>#VALUE!</v>
      </c>
      <c r="B4988" s="0" t="s">
        <v>4975</v>
      </c>
    </row>
    <row r="4989" customFormat="false" ht="15" hidden="false" customHeight="false" outlineLevel="0" collapsed="false">
      <c r="A4989" s="0" t="e">
        <f aca="false">INDEX(TREND(Data!K1:K8,Data!BG1:BH8,Data!BG1:BG2),3,2)</f>
        <v>#VALUE!</v>
      </c>
      <c r="B4989" s="0" t="s">
        <v>4976</v>
      </c>
    </row>
    <row r="4990" customFormat="false" ht="15" hidden="false" customHeight="false" outlineLevel="0" collapsed="false">
      <c r="A4990" s="0" t="n">
        <f aca="false">ROWS(TREND(Data!K1:K8,Data!A1:A8,{10,11;12,13}))</f>
        <v>2</v>
      </c>
      <c r="B4990" s="0" t="s">
        <v>4977</v>
      </c>
    </row>
    <row r="4991" customFormat="false" ht="15" hidden="false" customHeight="false" outlineLevel="0" collapsed="false">
      <c r="A4991" s="0" t="n">
        <f aca="false">COLUMNS(TREND(Data!K1:K8,Data!A1:A8,{10,11;12,13}))</f>
        <v>2</v>
      </c>
      <c r="B4991" s="0" t="s">
        <v>4978</v>
      </c>
    </row>
    <row r="4992" customFormat="false" ht="15" hidden="false" customHeight="false" outlineLevel="0" collapsed="false">
      <c r="A4992" s="0" t="n">
        <f aca="false">INDEX(TREND(Data!K1:K8,Data!A1:A8,{10,11;12,13}),1,1)</f>
        <v>5.71762208067941</v>
      </c>
      <c r="B4992" s="0" t="s">
        <v>4979</v>
      </c>
    </row>
    <row r="4993" customFormat="false" ht="15" hidden="false" customHeight="false" outlineLevel="0" collapsed="false">
      <c r="A4993" s="0" t="n">
        <f aca="false">INDEX(TREND(Data!K1:K8,Data!A1:A8,{10,11;12,13}),1,2)</f>
        <v>5.76008492569002</v>
      </c>
      <c r="B4993" s="0" t="s">
        <v>4980</v>
      </c>
    </row>
    <row r="4994" customFormat="false" ht="15" hidden="false" customHeight="false" outlineLevel="0" collapsed="false">
      <c r="A4994" s="0" t="n">
        <f aca="false">INDEX(TREND(Data!K1:K8,Data!A1:A8,{10,11;12,13}),2,1)</f>
        <v>5.80254777070064</v>
      </c>
      <c r="B4994" s="0" t="s">
        <v>4981</v>
      </c>
    </row>
    <row r="4995" customFormat="false" ht="15" hidden="false" customHeight="false" outlineLevel="0" collapsed="false">
      <c r="A4995" s="0" t="n">
        <f aca="false">INDEX(TREND(Data!K1:K8,Data!A1:A8,{10,11;12,13}),2,2)</f>
        <v>5.84501061571125</v>
      </c>
      <c r="B4995" s="0" t="s">
        <v>4982</v>
      </c>
    </row>
    <row r="4996" customFormat="false" ht="15" hidden="false" customHeight="false" outlineLevel="0" collapsed="false">
      <c r="A4996" s="0" t="e">
        <f aca="false">INDEX(TREND(Data!K1:K8,Data!A1:A8,{10,11;12,13}),3,1)</f>
        <v>#REF!</v>
      </c>
      <c r="B4996" s="0" t="s">
        <v>4983</v>
      </c>
    </row>
    <row r="4997" customFormat="false" ht="15" hidden="false" customHeight="false" outlineLevel="0" collapsed="false">
      <c r="A4997" s="0" t="e">
        <f aca="false">INDEX(TREND(Data!K1:K8,Data!A1:A8,{10,11;12,13}),3,2)</f>
        <v>#REF!</v>
      </c>
      <c r="B4997" s="0" t="s">
        <v>4984</v>
      </c>
    </row>
    <row r="4998" customFormat="false" ht="15" hidden="false" customHeight="false" outlineLevel="0" collapsed="false">
      <c r="A4998" s="0" t="n">
        <f aca="false">ROWS(TREND(Data!K1:K8,Data!A1:A8,TRUE()))</f>
        <v>1</v>
      </c>
      <c r="B4998" s="0" t="s">
        <v>4985</v>
      </c>
    </row>
    <row r="4999" customFormat="false" ht="15" hidden="false" customHeight="false" outlineLevel="0" collapsed="false">
      <c r="A4999" s="0" t="n">
        <f aca="false">COLUMNS(TREND(Data!K1:K8,Data!A1:A8,TRUE()))</f>
        <v>1</v>
      </c>
      <c r="B4999" s="0" t="s">
        <v>4986</v>
      </c>
    </row>
    <row r="5000" customFormat="false" ht="15" hidden="false" customHeight="false" outlineLevel="0" collapsed="false">
      <c r="A5000" s="0" t="n">
        <f aca="false">INDEX(TREND(Data!K1:K8,Data!A1:A8,TRUE()),1,1)</f>
        <v>5.33545647558386</v>
      </c>
      <c r="B5000" s="0" t="s">
        <v>4987</v>
      </c>
    </row>
    <row r="5001" customFormat="false" ht="15" hidden="false" customHeight="false" outlineLevel="0" collapsed="false">
      <c r="A5001" s="0" t="e">
        <f aca="false">INDEX(TREND(Data!K1:K8,Data!A1:A8,TRUE()),1,2)</f>
        <v>#REF!</v>
      </c>
      <c r="B5001" s="0" t="s">
        <v>4988</v>
      </c>
    </row>
    <row r="5002" customFormat="false" ht="15" hidden="false" customHeight="false" outlineLevel="0" collapsed="false">
      <c r="A5002" s="0" t="e">
        <f aca="false">INDEX(TREND(Data!K1:K8,Data!A1:A8,TRUE()),2,1)</f>
        <v>#REF!</v>
      </c>
      <c r="B5002" s="0" t="s">
        <v>4989</v>
      </c>
    </row>
    <row r="5003" customFormat="false" ht="15" hidden="false" customHeight="false" outlineLevel="0" collapsed="false">
      <c r="A5003" s="0" t="e">
        <f aca="false">INDEX(TREND(Data!K1:K8,Data!A1:A8,TRUE()),2,2)</f>
        <v>#REF!</v>
      </c>
      <c r="B5003" s="0" t="s">
        <v>4990</v>
      </c>
    </row>
    <row r="5004" customFormat="false" ht="15" hidden="false" customHeight="false" outlineLevel="0" collapsed="false">
      <c r="A5004" s="0" t="e">
        <f aca="false">INDEX(TREND(Data!K1:K8,Data!A1:A8,TRUE()),3,1)</f>
        <v>#REF!</v>
      </c>
      <c r="B5004" s="0" t="s">
        <v>4991</v>
      </c>
    </row>
    <row r="5005" customFormat="false" ht="15" hidden="false" customHeight="false" outlineLevel="0" collapsed="false">
      <c r="A5005" s="0" t="e">
        <f aca="false">INDEX(TREND(Data!K1:K8,Data!A1:A8,TRUE()),3,2)</f>
        <v>#REF!</v>
      </c>
      <c r="B5005" s="0" t="s">
        <v>4992</v>
      </c>
    </row>
    <row r="5006" customFormat="false" ht="15" hidden="false" customHeight="false" outlineLevel="0" collapsed="false">
      <c r="A5006" s="0" t="n">
        <f aca="false">ROWS(TREND(Data!K1:K8,Data!A1:A8,{10;11},TRUE()))</f>
        <v>2</v>
      </c>
      <c r="B5006" s="0" t="s">
        <v>4993</v>
      </c>
    </row>
    <row r="5007" customFormat="false" ht="15" hidden="false" customHeight="false" outlineLevel="0" collapsed="false">
      <c r="A5007" s="0" t="n">
        <f aca="false">COLUMNS(TREND(Data!K1:K8,Data!A1:A8,{10;11},TRUE()))</f>
        <v>1</v>
      </c>
      <c r="B5007" s="0" t="s">
        <v>4994</v>
      </c>
    </row>
    <row r="5008" customFormat="false" ht="15" hidden="false" customHeight="false" outlineLevel="0" collapsed="false">
      <c r="A5008" s="0" t="n">
        <f aca="false">INDEX(TREND(Data!K1:K8,Data!A1:A8,{10;11},TRUE()),1,1)</f>
        <v>5.71762208067941</v>
      </c>
      <c r="B5008" s="0" t="s">
        <v>4995</v>
      </c>
    </row>
    <row r="5009" customFormat="false" ht="15" hidden="false" customHeight="false" outlineLevel="0" collapsed="false">
      <c r="A5009" s="0" t="e">
        <f aca="false">INDEX(TREND(Data!K1:K8,Data!A1:A8,{10;11},TRUE()),1,2)</f>
        <v>#REF!</v>
      </c>
      <c r="B5009" s="0" t="s">
        <v>4996</v>
      </c>
    </row>
    <row r="5010" customFormat="false" ht="15" hidden="false" customHeight="false" outlineLevel="0" collapsed="false">
      <c r="A5010" s="0" t="n">
        <f aca="false">INDEX(TREND(Data!K1:K8,Data!A1:A8,{10;11},TRUE()),2,1)</f>
        <v>5.76008492569002</v>
      </c>
      <c r="B5010" s="0" t="s">
        <v>4997</v>
      </c>
    </row>
    <row r="5011" customFormat="false" ht="15" hidden="false" customHeight="false" outlineLevel="0" collapsed="false">
      <c r="A5011" s="0" t="e">
        <f aca="false">INDEX(TREND(Data!K1:K8,Data!A1:A8,{10;11},TRUE()),2,2)</f>
        <v>#REF!</v>
      </c>
      <c r="B5011" s="0" t="s">
        <v>4998</v>
      </c>
    </row>
    <row r="5012" customFormat="false" ht="15" hidden="false" customHeight="false" outlineLevel="0" collapsed="false">
      <c r="A5012" s="0" t="e">
        <f aca="false">INDEX(TREND(Data!K1:K8,Data!A1:A8,{10;11},TRUE()),3,1)</f>
        <v>#REF!</v>
      </c>
      <c r="B5012" s="0" t="s">
        <v>4999</v>
      </c>
    </row>
    <row r="5013" customFormat="false" ht="15" hidden="false" customHeight="false" outlineLevel="0" collapsed="false">
      <c r="A5013" s="0" t="e">
        <f aca="false">INDEX(TREND(Data!K1:K8,Data!A1:A8,{10;11},TRUE()),3,2)</f>
        <v>#REF!</v>
      </c>
      <c r="B5013" s="0" t="s">
        <v>5000</v>
      </c>
    </row>
    <row r="5014" customFormat="false" ht="15" hidden="false" customHeight="false" outlineLevel="0" collapsed="false">
      <c r="A5014" s="0" t="n">
        <f aca="false">ROWS(TREND(Data!K1:K8,Data!A1:A8,{10;11},FALSE()))</f>
        <v>2</v>
      </c>
      <c r="B5014" s="0" t="s">
        <v>5001</v>
      </c>
    </row>
    <row r="5015" customFormat="false" ht="15" hidden="false" customHeight="false" outlineLevel="0" collapsed="false">
      <c r="A5015" s="0" t="n">
        <f aca="false">COLUMNS(TREND(Data!K1:K8,Data!A1:A8,{10;11},FALSE()))</f>
        <v>1</v>
      </c>
      <c r="B5015" s="0" t="s">
        <v>5002</v>
      </c>
    </row>
    <row r="5016" customFormat="false" ht="15" hidden="false" customHeight="false" outlineLevel="0" collapsed="false">
      <c r="A5016" s="0" t="n">
        <f aca="false">INDEX(TREND(Data!K1:K8,Data!A1:A8,{10;11},FALSE()),1,1)</f>
        <v>8.714859437751</v>
      </c>
      <c r="B5016" s="0" t="s">
        <v>5003</v>
      </c>
    </row>
    <row r="5017" customFormat="false" ht="15" hidden="false" customHeight="false" outlineLevel="0" collapsed="false">
      <c r="A5017" s="0" t="e">
        <f aca="false">INDEX(TREND(Data!K1:K8,Data!A1:A8,{10;11},FALSE()),1,2)</f>
        <v>#REF!</v>
      </c>
      <c r="B5017" s="0" t="s">
        <v>5004</v>
      </c>
    </row>
    <row r="5018" customFormat="false" ht="15" hidden="false" customHeight="false" outlineLevel="0" collapsed="false">
      <c r="A5018" s="0" t="n">
        <f aca="false">INDEX(TREND(Data!K1:K8,Data!A1:A8,{10;11},FALSE()),2,1)</f>
        <v>9.58634538152611</v>
      </c>
      <c r="B5018" s="0" t="s">
        <v>5005</v>
      </c>
    </row>
    <row r="5019" customFormat="false" ht="15" hidden="false" customHeight="false" outlineLevel="0" collapsed="false">
      <c r="A5019" s="0" t="e">
        <f aca="false">INDEX(TREND(Data!K1:K8,Data!A1:A8,{10;11},FALSE()),2,2)</f>
        <v>#REF!</v>
      </c>
      <c r="B5019" s="0" t="s">
        <v>5006</v>
      </c>
    </row>
    <row r="5020" customFormat="false" ht="15" hidden="false" customHeight="false" outlineLevel="0" collapsed="false">
      <c r="A5020" s="0" t="e">
        <f aca="false">INDEX(TREND(Data!K1:K8,Data!A1:A8,{10;11},FALSE()),3,1)</f>
        <v>#REF!</v>
      </c>
      <c r="B5020" s="0" t="s">
        <v>5007</v>
      </c>
    </row>
    <row r="5021" customFormat="false" ht="15" hidden="false" customHeight="false" outlineLevel="0" collapsed="false">
      <c r="A5021" s="0" t="e">
        <f aca="false">INDEX(TREND(Data!K1:K8,Data!A1:A8,{10;11},FALSE()),3,2)</f>
        <v>#REF!</v>
      </c>
      <c r="B5021" s="0" t="s">
        <v>5008</v>
      </c>
    </row>
    <row r="5022" customFormat="false" ht="15" hidden="false" customHeight="false" outlineLevel="0" collapsed="false">
      <c r="A5022" s="0" t="n">
        <f aca="false">ROWS(TREND(Data!K1:K8,Data!A1:A8,{10;11},0))</f>
        <v>2</v>
      </c>
      <c r="B5022" s="0" t="s">
        <v>5009</v>
      </c>
    </row>
    <row r="5023" customFormat="false" ht="15" hidden="false" customHeight="false" outlineLevel="0" collapsed="false">
      <c r="A5023" s="0" t="n">
        <f aca="false">COLUMNS(TREND(Data!K1:K8,Data!A1:A8,{10;11},0))</f>
        <v>1</v>
      </c>
      <c r="B5023" s="0" t="s">
        <v>5010</v>
      </c>
    </row>
    <row r="5024" customFormat="false" ht="15" hidden="false" customHeight="false" outlineLevel="0" collapsed="false">
      <c r="A5024" s="0" t="n">
        <f aca="false">INDEX(TREND(Data!K1:K8,Data!A1:A8,{10;11},0),1,1)</f>
        <v>8.714859437751</v>
      </c>
      <c r="B5024" s="0" t="s">
        <v>5011</v>
      </c>
    </row>
    <row r="5025" customFormat="false" ht="15" hidden="false" customHeight="false" outlineLevel="0" collapsed="false">
      <c r="A5025" s="0" t="e">
        <f aca="false">INDEX(TREND(Data!K1:K8,Data!A1:A8,{10;11},0),1,2)</f>
        <v>#REF!</v>
      </c>
      <c r="B5025" s="0" t="s">
        <v>5012</v>
      </c>
    </row>
    <row r="5026" customFormat="false" ht="15" hidden="false" customHeight="false" outlineLevel="0" collapsed="false">
      <c r="A5026" s="0" t="n">
        <f aca="false">INDEX(TREND(Data!K1:K8,Data!A1:A8,{10;11},0),2,1)</f>
        <v>9.58634538152611</v>
      </c>
      <c r="B5026" s="0" t="s">
        <v>5013</v>
      </c>
    </row>
    <row r="5027" customFormat="false" ht="15" hidden="false" customHeight="false" outlineLevel="0" collapsed="false">
      <c r="A5027" s="0" t="e">
        <f aca="false">INDEX(TREND(Data!K1:K8,Data!A1:A8,{10;11},0),2,2)</f>
        <v>#REF!</v>
      </c>
      <c r="B5027" s="0" t="s">
        <v>5014</v>
      </c>
    </row>
    <row r="5028" customFormat="false" ht="15" hidden="false" customHeight="false" outlineLevel="0" collapsed="false">
      <c r="A5028" s="0" t="e">
        <f aca="false">INDEX(TREND(Data!K1:K8,Data!A1:A8,{10;11},0),3,1)</f>
        <v>#REF!</v>
      </c>
      <c r="B5028" s="0" t="s">
        <v>5015</v>
      </c>
    </row>
    <row r="5029" customFormat="false" ht="15" hidden="false" customHeight="false" outlineLevel="0" collapsed="false">
      <c r="A5029" s="0" t="e">
        <f aca="false">INDEX(TREND(Data!K1:K8,Data!A1:A8,{10;11},0),3,2)</f>
        <v>#REF!</v>
      </c>
      <c r="B5029" s="0" t="s">
        <v>5016</v>
      </c>
    </row>
    <row r="5030" customFormat="false" ht="15" hidden="false" customHeight="false" outlineLevel="0" collapsed="false">
      <c r="A5030" s="0" t="e">
        <f aca="false">ROWS(TREND(Data!K1:K8,Data!A1:A8,{10;11},,))</f>
        <v>#VALUE!</v>
      </c>
      <c r="B5030" s="0" t="s">
        <v>5017</v>
      </c>
    </row>
    <row r="5031" customFormat="false" ht="15" hidden="false" customHeight="false" outlineLevel="0" collapsed="false">
      <c r="A5031" s="0" t="e">
        <f aca="false">COLUMNS(TREND(Data!K1:K8,Data!A1:A8,{10;11},,))</f>
        <v>#VALUE!</v>
      </c>
      <c r="B5031" s="0" t="s">
        <v>5018</v>
      </c>
    </row>
    <row r="5032" customFormat="false" ht="15" hidden="false" customHeight="false" outlineLevel="0" collapsed="false">
      <c r="A5032" s="0" t="e">
        <f aca="false">INDEX(TREND(Data!K1:K8,Data!A1:A8,{10;11},,),1,1)</f>
        <v>#VALUE!</v>
      </c>
      <c r="B5032" s="0" t="s">
        <v>5019</v>
      </c>
    </row>
    <row r="5033" customFormat="false" ht="15" hidden="false" customHeight="false" outlineLevel="0" collapsed="false">
      <c r="A5033" s="0" t="e">
        <f aca="false">INDEX(TREND(Data!K1:K8,Data!A1:A8,{10;11},,),1,2)</f>
        <v>#VALUE!</v>
      </c>
      <c r="B5033" s="0" t="s">
        <v>5020</v>
      </c>
    </row>
    <row r="5034" customFormat="false" ht="15" hidden="false" customHeight="false" outlineLevel="0" collapsed="false">
      <c r="A5034" s="0" t="e">
        <f aca="false">INDEX(TREND(Data!K1:K8,Data!A1:A8,{10;11},,),2,1)</f>
        <v>#VALUE!</v>
      </c>
      <c r="B5034" s="0" t="s">
        <v>5021</v>
      </c>
    </row>
    <row r="5035" customFormat="false" ht="15" hidden="false" customHeight="false" outlineLevel="0" collapsed="false">
      <c r="A5035" s="0" t="e">
        <f aca="false">INDEX(TREND(Data!K1:K8,Data!A1:A8,{10;11},,),2,2)</f>
        <v>#VALUE!</v>
      </c>
      <c r="B5035" s="0" t="s">
        <v>5022</v>
      </c>
    </row>
    <row r="5036" customFormat="false" ht="15" hidden="false" customHeight="false" outlineLevel="0" collapsed="false">
      <c r="A5036" s="0" t="e">
        <f aca="false">INDEX(TREND(Data!K1:K8,Data!A1:A8,{10;11},,),3,1)</f>
        <v>#VALUE!</v>
      </c>
      <c r="B5036" s="0" t="s">
        <v>5023</v>
      </c>
    </row>
    <row r="5037" customFormat="false" ht="15" hidden="false" customHeight="false" outlineLevel="0" collapsed="false">
      <c r="A5037" s="0" t="e">
        <f aca="false">INDEX(TREND(Data!K1:K8,Data!A1:A8,{10;11},,),3,2)</f>
        <v>#VALUE!</v>
      </c>
      <c r="B5037" s="0" t="s">
        <v>5024</v>
      </c>
    </row>
    <row r="5038" customFormat="false" ht="15" hidden="false" customHeight="false" outlineLevel="0" collapsed="false">
      <c r="A5038" s="0" t="n">
        <f aca="false">ROWS(GROWTH(Data!K1:K8,Data!A1:A8,{10;11;0}))</f>
        <v>3</v>
      </c>
      <c r="B5038" s="0" t="s">
        <v>5025</v>
      </c>
    </row>
    <row r="5039" customFormat="false" ht="15" hidden="false" customHeight="false" outlineLevel="0" collapsed="false">
      <c r="A5039" s="0" t="n">
        <f aca="false">COLUMNS(GROWTH(Data!K1:K8,Data!A1:A8,{10;11;0}))</f>
        <v>1</v>
      </c>
      <c r="B5039" s="0" t="s">
        <v>5026</v>
      </c>
    </row>
    <row r="5040" customFormat="false" ht="15" hidden="false" customHeight="false" outlineLevel="0" collapsed="false">
      <c r="A5040" s="0" t="n">
        <f aca="false">INDEX(GROWTH(Data!K1:K8,Data!A1:A8,{10;11;0}),1,1)</f>
        <v>5.32856207842536</v>
      </c>
      <c r="B5040" s="0" t="s">
        <v>5027</v>
      </c>
    </row>
    <row r="5041" customFormat="false" ht="15" hidden="false" customHeight="false" outlineLevel="0" collapsed="false">
      <c r="A5041" s="0" t="e">
        <f aca="false">INDEX(GROWTH(Data!K1:K8,Data!A1:A8,{10;11;0}),1,2)</f>
        <v>#REF!</v>
      </c>
      <c r="B5041" s="0" t="s">
        <v>5028</v>
      </c>
    </row>
    <row r="5042" customFormat="false" ht="15" hidden="false" customHeight="false" outlineLevel="0" collapsed="false">
      <c r="A5042" s="0" t="n">
        <f aca="false">INDEX(GROWTH(Data!K1:K8,Data!A1:A8,{10;11;0}),2,1)</f>
        <v>5.39097830058846</v>
      </c>
      <c r="B5042" s="0" t="s">
        <v>5029</v>
      </c>
    </row>
    <row r="5043" customFormat="false" ht="15" hidden="false" customHeight="false" outlineLevel="0" collapsed="false">
      <c r="A5043" s="0" t="e">
        <f aca="false">INDEX(GROWTH(Data!K1:K8,Data!A1:A8,{10;11;0}),2,2)</f>
        <v>#REF!</v>
      </c>
      <c r="B5043" s="0" t="s">
        <v>5030</v>
      </c>
    </row>
    <row r="5044" customFormat="false" ht="15" hidden="false" customHeight="false" outlineLevel="0" collapsed="false">
      <c r="A5044" s="0" t="n">
        <f aca="false">INDEX(GROWTH(Data!K1:K8,Data!A1:A8,{10;11;0}),3,1)</f>
        <v>4.74279648832128</v>
      </c>
      <c r="B5044" s="0" t="s">
        <v>5031</v>
      </c>
    </row>
    <row r="5045" customFormat="false" ht="15" hidden="false" customHeight="false" outlineLevel="0" collapsed="false">
      <c r="A5045" s="0" t="e">
        <f aca="false">INDEX(GROWTH(Data!K1:K8,Data!A1:A8,{10;11;0}),3,2)</f>
        <v>#REF!</v>
      </c>
      <c r="B5045" s="0" t="s">
        <v>5032</v>
      </c>
    </row>
    <row r="5046" customFormat="false" ht="15" hidden="false" customHeight="false" outlineLevel="0" collapsed="false">
      <c r="A5046" s="0" t="n">
        <f aca="false">ROWS(GROWTH(Data!K1:K8,Data!A1:A8))</f>
        <v>8</v>
      </c>
      <c r="B5046" s="0" t="s">
        <v>5033</v>
      </c>
    </row>
    <row r="5047" customFormat="false" ht="15" hidden="false" customHeight="false" outlineLevel="0" collapsed="false">
      <c r="A5047" s="0" t="n">
        <f aca="false">COLUMNS(GROWTH(Data!K1:K8,Data!A1:A8))</f>
        <v>1</v>
      </c>
      <c r="B5047" s="0" t="s">
        <v>5034</v>
      </c>
    </row>
    <row r="5048" customFormat="false" ht="15" hidden="false" customHeight="false" outlineLevel="0" collapsed="false">
      <c r="A5048" s="0" t="n">
        <f aca="false">INDEX(GROWTH(Data!K1:K8,Data!A1:A8),1,1)</f>
        <v>5.02715481294914</v>
      </c>
      <c r="B5048" s="0" t="s">
        <v>5035</v>
      </c>
    </row>
    <row r="5049" customFormat="false" ht="15" hidden="false" customHeight="false" outlineLevel="0" collapsed="false">
      <c r="A5049" s="0" t="e">
        <f aca="false">INDEX(GROWTH(Data!K1:K8,Data!A1:A8),1,2)</f>
        <v>#REF!</v>
      </c>
      <c r="B5049" s="0" t="s">
        <v>5036</v>
      </c>
    </row>
    <row r="5050" customFormat="false" ht="15" hidden="false" customHeight="false" outlineLevel="0" collapsed="false">
      <c r="A5050" s="0" t="n">
        <f aca="false">INDEX(GROWTH(Data!K1:K8,Data!A1:A8),2,1)</f>
        <v>4.91142087369185</v>
      </c>
      <c r="B5050" s="0" t="s">
        <v>5037</v>
      </c>
    </row>
    <row r="5051" customFormat="false" ht="15" hidden="false" customHeight="false" outlineLevel="0" collapsed="false">
      <c r="A5051" s="0" t="e">
        <f aca="false">INDEX(GROWTH(Data!K1:K8,Data!A1:A8),2,2)</f>
        <v>#REF!</v>
      </c>
      <c r="B5051" s="0" t="s">
        <v>5038</v>
      </c>
    </row>
    <row r="5052" customFormat="false" ht="15" hidden="false" customHeight="false" outlineLevel="0" collapsed="false">
      <c r="A5052" s="0" t="n">
        <f aca="false">INDEX(GROWTH(Data!K1:K8,Data!A1:A8),3,1)</f>
        <v>5.20588921417923</v>
      </c>
      <c r="B5052" s="0" t="s">
        <v>5039</v>
      </c>
    </row>
    <row r="5053" customFormat="false" ht="15" hidden="false" customHeight="false" outlineLevel="0" collapsed="false">
      <c r="A5053" s="0" t="e">
        <f aca="false">INDEX(GROWTH(Data!K1:K8,Data!A1:A8),3,2)</f>
        <v>#REF!</v>
      </c>
      <c r="B5053" s="0" t="s">
        <v>5040</v>
      </c>
    </row>
    <row r="5054" customFormat="false" ht="15" hidden="false" customHeight="false" outlineLevel="0" collapsed="false">
      <c r="A5054" s="0" t="n">
        <f aca="false">ROWS(GROWTH(Data!K1:K8,Data!A1:A8,3))</f>
        <v>1</v>
      </c>
      <c r="B5054" s="0" t="s">
        <v>5041</v>
      </c>
    </row>
    <row r="5055" customFormat="false" ht="15" hidden="false" customHeight="false" outlineLevel="0" collapsed="false">
      <c r="A5055" s="0" t="n">
        <f aca="false">COLUMNS(GROWTH(Data!K1:K8,Data!A1:A8,3))</f>
        <v>1</v>
      </c>
      <c r="B5055" s="0" t="s">
        <v>5042</v>
      </c>
    </row>
    <row r="5056" customFormat="false" ht="15" hidden="false" customHeight="false" outlineLevel="0" collapsed="false">
      <c r="A5056" s="0" t="n">
        <f aca="false">INDEX(GROWTH(Data!K1:K8,Data!A1:A8,3),1,1)</f>
        <v>4.91142087369185</v>
      </c>
      <c r="B5056" s="0" t="s">
        <v>5043</v>
      </c>
    </row>
    <row r="5057" customFormat="false" ht="15" hidden="false" customHeight="false" outlineLevel="0" collapsed="false">
      <c r="A5057" s="0" t="e">
        <f aca="false">INDEX(GROWTH(Data!K1:K8,Data!A1:A8,3),1,2)</f>
        <v>#REF!</v>
      </c>
      <c r="B5057" s="0" t="s">
        <v>5044</v>
      </c>
    </row>
    <row r="5058" customFormat="false" ht="15" hidden="false" customHeight="false" outlineLevel="0" collapsed="false">
      <c r="A5058" s="0" t="e">
        <f aca="false">INDEX(GROWTH(Data!K1:K8,Data!A1:A8,3),2,1)</f>
        <v>#REF!</v>
      </c>
      <c r="B5058" s="0" t="s">
        <v>5045</v>
      </c>
    </row>
    <row r="5059" customFormat="false" ht="15" hidden="false" customHeight="false" outlineLevel="0" collapsed="false">
      <c r="A5059" s="0" t="e">
        <f aca="false">INDEX(GROWTH(Data!K1:K8,Data!A1:A8,3),2,2)</f>
        <v>#REF!</v>
      </c>
      <c r="B5059" s="0" t="s">
        <v>5046</v>
      </c>
    </row>
    <row r="5060" customFormat="false" ht="15" hidden="false" customHeight="false" outlineLevel="0" collapsed="false">
      <c r="A5060" s="0" t="e">
        <f aca="false">INDEX(GROWTH(Data!K1:K8,Data!A1:A8,3),3,1)</f>
        <v>#REF!</v>
      </c>
      <c r="B5060" s="0" t="s">
        <v>5047</v>
      </c>
    </row>
    <row r="5061" customFormat="false" ht="15" hidden="false" customHeight="false" outlineLevel="0" collapsed="false">
      <c r="A5061" s="0" t="e">
        <f aca="false">INDEX(GROWTH(Data!K1:K8,Data!A1:A8,3),3,2)</f>
        <v>#REF!</v>
      </c>
      <c r="B5061" s="0" t="s">
        <v>5048</v>
      </c>
    </row>
    <row r="5062" customFormat="false" ht="15" hidden="false" customHeight="false" outlineLevel="0" collapsed="false">
      <c r="A5062" s="0" t="n">
        <f aca="false">ROWS(GROWTH(Data!K1:K8,Data!A1:A8,3,FALSE()))</f>
        <v>1</v>
      </c>
      <c r="B5062" s="0" t="s">
        <v>5049</v>
      </c>
    </row>
    <row r="5063" customFormat="false" ht="15" hidden="false" customHeight="false" outlineLevel="0" collapsed="false">
      <c r="A5063" s="0" t="n">
        <f aca="false">COLUMNS(GROWTH(Data!K1:K8,Data!A1:A8,3,FALSE()))</f>
        <v>1</v>
      </c>
      <c r="B5063" s="0" t="s">
        <v>5050</v>
      </c>
    </row>
    <row r="5064" customFormat="false" ht="15" hidden="false" customHeight="false" outlineLevel="0" collapsed="false">
      <c r="A5064" s="0" t="n">
        <f aca="false">INDEX(GROWTH(Data!K1:K8,Data!A1:A8,3,FALSE()),1,1)</f>
        <v>2.15192644296762</v>
      </c>
      <c r="B5064" s="0" t="s">
        <v>5051</v>
      </c>
    </row>
    <row r="5065" customFormat="false" ht="15" hidden="false" customHeight="false" outlineLevel="0" collapsed="false">
      <c r="A5065" s="0" t="e">
        <f aca="false">INDEX(GROWTH(Data!K1:K8,Data!A1:A8,3,FALSE()),1,2)</f>
        <v>#REF!</v>
      </c>
      <c r="B5065" s="0" t="s">
        <v>5052</v>
      </c>
    </row>
    <row r="5066" customFormat="false" ht="15" hidden="false" customHeight="false" outlineLevel="0" collapsed="false">
      <c r="A5066" s="0" t="e">
        <f aca="false">INDEX(GROWTH(Data!K1:K8,Data!A1:A8,3,FALSE()),2,1)</f>
        <v>#REF!</v>
      </c>
      <c r="B5066" s="0" t="s">
        <v>5053</v>
      </c>
    </row>
    <row r="5067" customFormat="false" ht="15" hidden="false" customHeight="false" outlineLevel="0" collapsed="false">
      <c r="A5067" s="0" t="e">
        <f aca="false">INDEX(GROWTH(Data!K1:K8,Data!A1:A8,3,FALSE()),2,2)</f>
        <v>#REF!</v>
      </c>
      <c r="B5067" s="0" t="s">
        <v>5054</v>
      </c>
    </row>
    <row r="5068" customFormat="false" ht="15" hidden="false" customHeight="false" outlineLevel="0" collapsed="false">
      <c r="A5068" s="0" t="e">
        <f aca="false">INDEX(GROWTH(Data!K1:K8,Data!A1:A8,3,FALSE()),3,1)</f>
        <v>#REF!</v>
      </c>
      <c r="B5068" s="0" t="s">
        <v>5055</v>
      </c>
    </row>
    <row r="5069" customFormat="false" ht="15" hidden="false" customHeight="false" outlineLevel="0" collapsed="false">
      <c r="A5069" s="0" t="e">
        <f aca="false">INDEX(GROWTH(Data!K1:K8,Data!A1:A8,3,FALSE()),3,2)</f>
        <v>#REF!</v>
      </c>
      <c r="B5069" s="0" t="s">
        <v>5056</v>
      </c>
    </row>
    <row r="5070" customFormat="false" ht="15" hidden="false" customHeight="false" outlineLevel="0" collapsed="false">
      <c r="A5070" s="0" t="n">
        <f aca="false">ROWS(GROWTH(Data!K1:K8))</f>
        <v>8</v>
      </c>
      <c r="B5070" s="0" t="s">
        <v>5057</v>
      </c>
    </row>
    <row r="5071" customFormat="false" ht="15" hidden="false" customHeight="false" outlineLevel="0" collapsed="false">
      <c r="A5071" s="0" t="n">
        <f aca="false">COLUMNS(GROWTH(Data!K1:K8))</f>
        <v>1</v>
      </c>
      <c r="B5071" s="0" t="s">
        <v>5058</v>
      </c>
    </row>
    <row r="5072" customFormat="false" ht="15" hidden="false" customHeight="false" outlineLevel="0" collapsed="false">
      <c r="A5072" s="0" t="n">
        <f aca="false">INDEX(GROWTH(Data!K1:K8),1,1)</f>
        <v>2.66165182945054</v>
      </c>
      <c r="B5072" s="0" t="s">
        <v>5059</v>
      </c>
    </row>
    <row r="5073" customFormat="false" ht="15" hidden="false" customHeight="false" outlineLevel="0" collapsed="false">
      <c r="A5073" s="0" t="e">
        <f aca="false">INDEX(GROWTH(Data!K1:K8),1,2)</f>
        <v>#REF!</v>
      </c>
      <c r="B5073" s="0" t="s">
        <v>5060</v>
      </c>
    </row>
    <row r="5074" customFormat="false" ht="15" hidden="false" customHeight="false" outlineLevel="0" collapsed="false">
      <c r="A5074" s="0" t="n">
        <f aca="false">INDEX(GROWTH(Data!K1:K8),2,1)</f>
        <v>3.1906313061466</v>
      </c>
      <c r="B5074" s="0" t="s">
        <v>5061</v>
      </c>
    </row>
    <row r="5075" customFormat="false" ht="15" hidden="false" customHeight="false" outlineLevel="0" collapsed="false">
      <c r="A5075" s="0" t="e">
        <f aca="false">INDEX(GROWTH(Data!K1:K8),2,2)</f>
        <v>#REF!</v>
      </c>
      <c r="B5075" s="0" t="s">
        <v>5062</v>
      </c>
    </row>
    <row r="5076" customFormat="false" ht="15" hidden="false" customHeight="false" outlineLevel="0" collapsed="false">
      <c r="A5076" s="0" t="n">
        <f aca="false">INDEX(GROWTH(Data!K1:K8),3,1)</f>
        <v>3.82474071894831</v>
      </c>
      <c r="B5076" s="0" t="s">
        <v>5063</v>
      </c>
    </row>
    <row r="5077" customFormat="false" ht="15" hidden="false" customHeight="false" outlineLevel="0" collapsed="false">
      <c r="A5077" s="0" t="e">
        <f aca="false">INDEX(GROWTH(Data!K1:K8),3,2)</f>
        <v>#REF!</v>
      </c>
      <c r="B5077" s="0" t="s">
        <v>5064</v>
      </c>
    </row>
    <row r="5078" customFormat="false" ht="15" hidden="false" customHeight="false" outlineLevel="0" collapsed="false">
      <c r="A5078" s="0" t="n">
        <f aca="false">ROWS(GROWTH(Data!K1:K8,,{9;10}))</f>
        <v>2</v>
      </c>
      <c r="B5078" s="0" t="s">
        <v>5065</v>
      </c>
    </row>
    <row r="5079" customFormat="false" ht="15" hidden="false" customHeight="false" outlineLevel="0" collapsed="false">
      <c r="A5079" s="0" t="n">
        <f aca="false">COLUMNS(GROWTH(Data!K1:K8,,{9;10}))</f>
        <v>1</v>
      </c>
      <c r="B5079" s="0" t="s">
        <v>5066</v>
      </c>
    </row>
    <row r="5080" customFormat="false" ht="15" hidden="false" customHeight="false" outlineLevel="0" collapsed="false">
      <c r="A5080" s="0" t="n">
        <f aca="false">INDEX(GROWTH(Data!K1:K8,,{9;10}),1,1)</f>
        <v>11.3489129114613</v>
      </c>
      <c r="B5080" s="0" t="s">
        <v>5067</v>
      </c>
    </row>
    <row r="5081" customFormat="false" ht="15" hidden="false" customHeight="false" outlineLevel="0" collapsed="false">
      <c r="A5081" s="0" t="e">
        <f aca="false">INDEX(GROWTH(Data!K1:K8,,{9;10}),1,2)</f>
        <v>#REF!</v>
      </c>
      <c r="B5081" s="0" t="s">
        <v>5068</v>
      </c>
    </row>
    <row r="5082" customFormat="false" ht="15" hidden="false" customHeight="false" outlineLevel="0" collapsed="false">
      <c r="A5082" s="0" t="n">
        <f aca="false">INDEX(GROWTH(Data!K1:K8,,{9;10}),2,1)</f>
        <v>13.604407768658</v>
      </c>
      <c r="B5082" s="0" t="s">
        <v>5069</v>
      </c>
    </row>
    <row r="5083" customFormat="false" ht="15" hidden="false" customHeight="false" outlineLevel="0" collapsed="false">
      <c r="A5083" s="0" t="e">
        <f aca="false">INDEX(GROWTH(Data!K1:K8,,{9;10}),2,2)</f>
        <v>#REF!</v>
      </c>
      <c r="B5083" s="0" t="s">
        <v>5070</v>
      </c>
    </row>
    <row r="5084" customFormat="false" ht="15" hidden="false" customHeight="false" outlineLevel="0" collapsed="false">
      <c r="A5084" s="0" t="e">
        <f aca="false">INDEX(GROWTH(Data!K1:K8,,{9;10}),3,1)</f>
        <v>#REF!</v>
      </c>
      <c r="B5084" s="0" t="s">
        <v>5071</v>
      </c>
    </row>
    <row r="5085" customFormat="false" ht="15" hidden="false" customHeight="false" outlineLevel="0" collapsed="false">
      <c r="A5085" s="0" t="e">
        <f aca="false">INDEX(GROWTH(Data!K1:K8,,{9;10}),3,2)</f>
        <v>#REF!</v>
      </c>
      <c r="B5085" s="0" t="s">
        <v>5072</v>
      </c>
    </row>
    <row r="5086" customFormat="false" ht="15" hidden="false" customHeight="false" outlineLevel="0" collapsed="false">
      <c r="A5086" s="0" t="n">
        <f aca="false">ROWS(GROWTH(Data!K1:K8,Data!A1:A8,Data!A1:A3))</f>
        <v>3</v>
      </c>
      <c r="B5086" s="0" t="s">
        <v>5073</v>
      </c>
    </row>
    <row r="5087" customFormat="false" ht="15" hidden="false" customHeight="false" outlineLevel="0" collapsed="false">
      <c r="A5087" s="0" t="n">
        <f aca="false">COLUMNS(GROWTH(Data!K1:K8,Data!A1:A8,Data!A1:A3))</f>
        <v>1</v>
      </c>
      <c r="B5087" s="0" t="s">
        <v>5074</v>
      </c>
    </row>
    <row r="5088" customFormat="false" ht="15" hidden="false" customHeight="false" outlineLevel="0" collapsed="false">
      <c r="A5088" s="0" t="n">
        <f aca="false">INDEX(GROWTH(Data!K1:K8,Data!A1:A8,Data!A1:A3),1,1)</f>
        <v>5.02715481294914</v>
      </c>
      <c r="B5088" s="0" t="s">
        <v>5075</v>
      </c>
    </row>
    <row r="5089" customFormat="false" ht="15" hidden="false" customHeight="false" outlineLevel="0" collapsed="false">
      <c r="A5089" s="0" t="e">
        <f aca="false">INDEX(GROWTH(Data!K1:K8,Data!A1:A8,Data!A1:A3),1,2)</f>
        <v>#REF!</v>
      </c>
      <c r="B5089" s="0" t="s">
        <v>5076</v>
      </c>
    </row>
    <row r="5090" customFormat="false" ht="15" hidden="false" customHeight="false" outlineLevel="0" collapsed="false">
      <c r="A5090" s="0" t="n">
        <f aca="false">INDEX(GROWTH(Data!K1:K8,Data!A1:A8,Data!A1:A3),2,1)</f>
        <v>4.91142087369185</v>
      </c>
      <c r="B5090" s="0" t="s">
        <v>5077</v>
      </c>
    </row>
    <row r="5091" customFormat="false" ht="15" hidden="false" customHeight="false" outlineLevel="0" collapsed="false">
      <c r="A5091" s="0" t="e">
        <f aca="false">INDEX(GROWTH(Data!K1:K8,Data!A1:A8,Data!A1:A3),2,2)</f>
        <v>#REF!</v>
      </c>
      <c r="B5091" s="0" t="s">
        <v>5078</v>
      </c>
    </row>
    <row r="5092" customFormat="false" ht="15" hidden="false" customHeight="false" outlineLevel="0" collapsed="false">
      <c r="A5092" s="0" t="n">
        <f aca="false">INDEX(GROWTH(Data!K1:K8,Data!A1:A8,Data!A1:A3),3,1)</f>
        <v>5.20588921417923</v>
      </c>
      <c r="B5092" s="0" t="s">
        <v>5079</v>
      </c>
    </row>
    <row r="5093" customFormat="false" ht="15" hidden="false" customHeight="false" outlineLevel="0" collapsed="false">
      <c r="A5093" s="0" t="e">
        <f aca="false">INDEX(GROWTH(Data!K1:K8,Data!A1:A8,Data!A1:A3),3,2)</f>
        <v>#REF!</v>
      </c>
      <c r="B5093" s="0" t="s">
        <v>5080</v>
      </c>
    </row>
    <row r="5094" customFormat="false" ht="15" hidden="false" customHeight="false" outlineLevel="0" collapsed="false">
      <c r="A5094" s="0" t="n">
        <f aca="false">ROWS(GROWTH(Data!K1:K8,Data!BF1:BG8,Data!BF1:BG2))</f>
        <v>2</v>
      </c>
      <c r="B5094" s="0" t="s">
        <v>5081</v>
      </c>
    </row>
    <row r="5095" customFormat="false" ht="15" hidden="false" customHeight="false" outlineLevel="0" collapsed="false">
      <c r="A5095" s="0" t="n">
        <f aca="false">COLUMNS(GROWTH(Data!K1:K8,Data!BF1:BG8,Data!BF1:BG2))</f>
        <v>1</v>
      </c>
      <c r="B5095" s="0" t="s">
        <v>5082</v>
      </c>
    </row>
    <row r="5096" customFormat="false" ht="15" hidden="false" customHeight="false" outlineLevel="0" collapsed="false">
      <c r="A5096" s="0" t="n">
        <f aca="false">INDEX(GROWTH(Data!K1:K8,Data!BF1:BG8,Data!BF1:BG2),1,1)</f>
        <v>3.13773189608081</v>
      </c>
      <c r="B5096" s="0" t="s">
        <v>5083</v>
      </c>
    </row>
    <row r="5097" customFormat="false" ht="15" hidden="false" customHeight="false" outlineLevel="0" collapsed="false">
      <c r="A5097" s="0" t="e">
        <f aca="false">INDEX(GROWTH(Data!K1:K8,Data!BF1:BG8,Data!BF1:BG2),1,2)</f>
        <v>#REF!</v>
      </c>
      <c r="B5097" s="0" t="s">
        <v>5084</v>
      </c>
    </row>
    <row r="5098" customFormat="false" ht="15" hidden="false" customHeight="false" outlineLevel="0" collapsed="false">
      <c r="A5098" s="0" t="n">
        <f aca="false">INDEX(GROWTH(Data!K1:K8,Data!BF1:BG8,Data!BF1:BG2),2,1)</f>
        <v>4.29515259957918</v>
      </c>
      <c r="B5098" s="0" t="s">
        <v>5085</v>
      </c>
    </row>
    <row r="5099" customFormat="false" ht="15" hidden="false" customHeight="false" outlineLevel="0" collapsed="false">
      <c r="A5099" s="0" t="e">
        <f aca="false">INDEX(GROWTH(Data!K1:K8,Data!BF1:BG8,Data!BF1:BG2),2,2)</f>
        <v>#REF!</v>
      </c>
      <c r="B5099" s="0" t="s">
        <v>5086</v>
      </c>
    </row>
    <row r="5100" customFormat="false" ht="15" hidden="false" customHeight="false" outlineLevel="0" collapsed="false">
      <c r="A5100" s="0" t="e">
        <f aca="false">INDEX(GROWTH(Data!K1:K8,Data!BF1:BG8,Data!BF1:BG2),3,1)</f>
        <v>#REF!</v>
      </c>
      <c r="B5100" s="0" t="s">
        <v>5087</v>
      </c>
    </row>
    <row r="5101" customFormat="false" ht="15" hidden="false" customHeight="false" outlineLevel="0" collapsed="false">
      <c r="A5101" s="0" t="e">
        <f aca="false">INDEX(GROWTH(Data!K1:K8,Data!BF1:BG8,Data!BF1:BG2),3,2)</f>
        <v>#REF!</v>
      </c>
      <c r="B5101" s="0" t="s">
        <v>5088</v>
      </c>
    </row>
    <row r="5102" customFormat="false" ht="15" hidden="false" customHeight="false" outlineLevel="0" collapsed="false">
      <c r="A5102" s="0" t="n">
        <f aca="false">ROWS(GROWTH(Data!K1:K8,Data!BF1:BG8))</f>
        <v>8</v>
      </c>
      <c r="B5102" s="0" t="s">
        <v>5089</v>
      </c>
    </row>
    <row r="5103" customFormat="false" ht="15" hidden="false" customHeight="false" outlineLevel="0" collapsed="false">
      <c r="A5103" s="0" t="n">
        <f aca="false">COLUMNS(GROWTH(Data!K1:K8,Data!BF1:BG8))</f>
        <v>1</v>
      </c>
      <c r="B5103" s="0" t="s">
        <v>5090</v>
      </c>
    </row>
    <row r="5104" customFormat="false" ht="15" hidden="false" customHeight="false" outlineLevel="0" collapsed="false">
      <c r="A5104" s="0" t="n">
        <f aca="false">INDEX(GROWTH(Data!K1:K8,Data!BF1:BG8),1,1)</f>
        <v>3.13773189608081</v>
      </c>
      <c r="B5104" s="0" t="s">
        <v>5091</v>
      </c>
    </row>
    <row r="5105" customFormat="false" ht="15" hidden="false" customHeight="false" outlineLevel="0" collapsed="false">
      <c r="A5105" s="0" t="e">
        <f aca="false">INDEX(GROWTH(Data!K1:K8,Data!BF1:BG8),1,2)</f>
        <v>#REF!</v>
      </c>
      <c r="B5105" s="0" t="s">
        <v>5092</v>
      </c>
    </row>
    <row r="5106" customFormat="false" ht="15" hidden="false" customHeight="false" outlineLevel="0" collapsed="false">
      <c r="A5106" s="0" t="n">
        <f aca="false">INDEX(GROWTH(Data!K1:K8,Data!BF1:BG8),2,1)</f>
        <v>4.29515259957918</v>
      </c>
      <c r="B5106" s="0" t="s">
        <v>5093</v>
      </c>
    </row>
    <row r="5107" customFormat="false" ht="15" hidden="false" customHeight="false" outlineLevel="0" collapsed="false">
      <c r="A5107" s="0" t="e">
        <f aca="false">INDEX(GROWTH(Data!K1:K8,Data!BF1:BG8),2,2)</f>
        <v>#REF!</v>
      </c>
      <c r="B5107" s="0" t="s">
        <v>5094</v>
      </c>
    </row>
    <row r="5108" customFormat="false" ht="15" hidden="false" customHeight="false" outlineLevel="0" collapsed="false">
      <c r="A5108" s="0" t="n">
        <f aca="false">INDEX(GROWTH(Data!K1:K8,Data!BF1:BG8),3,1)</f>
        <v>3.14161439999929</v>
      </c>
      <c r="B5108" s="0" t="s">
        <v>5095</v>
      </c>
    </row>
    <row r="5109" customFormat="false" ht="15" hidden="false" customHeight="false" outlineLevel="0" collapsed="false">
      <c r="A5109" s="0" t="e">
        <f aca="false">INDEX(GROWTH(Data!K1:K8,Data!BF1:BG8),3,2)</f>
        <v>#REF!</v>
      </c>
      <c r="B5109" s="0" t="s">
        <v>5096</v>
      </c>
    </row>
    <row r="5110" customFormat="false" ht="15" hidden="false" customHeight="false" outlineLevel="0" collapsed="false">
      <c r="A5110" s="0" t="n">
        <f aca="false">ROWS(GROWTH(Data!K1:K8,Data!BF1:BG8,{1,2}))</f>
        <v>1</v>
      </c>
      <c r="B5110" s="0" t="s">
        <v>5097</v>
      </c>
    </row>
    <row r="5111" customFormat="false" ht="15" hidden="false" customHeight="false" outlineLevel="0" collapsed="false">
      <c r="A5111" s="0" t="n">
        <f aca="false">COLUMNS(GROWTH(Data!K1:K8,Data!BF1:BG8,{1,2}))</f>
        <v>1</v>
      </c>
      <c r="B5111" s="0" t="s">
        <v>5098</v>
      </c>
    </row>
    <row r="5112" customFormat="false" ht="15" hidden="false" customHeight="false" outlineLevel="0" collapsed="false">
      <c r="A5112" s="0" t="n">
        <f aca="false">INDEX(GROWTH(Data!K1:K8,Data!BF1:BG8,{1,2}),1,1)</f>
        <v>3.4285958661983</v>
      </c>
      <c r="B5112" s="0" t="s">
        <v>5099</v>
      </c>
    </row>
    <row r="5113" customFormat="false" ht="15" hidden="false" customHeight="false" outlineLevel="0" collapsed="false">
      <c r="A5113" s="0" t="e">
        <f aca="false">INDEX(GROWTH(Data!K1:K8,Data!BF1:BG8,{1,2}),1,2)</f>
        <v>#REF!</v>
      </c>
      <c r="B5113" s="0" t="s">
        <v>5100</v>
      </c>
    </row>
    <row r="5114" customFormat="false" ht="15" hidden="false" customHeight="false" outlineLevel="0" collapsed="false">
      <c r="A5114" s="0" t="e">
        <f aca="false">INDEX(GROWTH(Data!K1:K8,Data!BF1:BG8,{1,2}),2,1)</f>
        <v>#REF!</v>
      </c>
      <c r="B5114" s="0" t="s">
        <v>5101</v>
      </c>
    </row>
    <row r="5115" customFormat="false" ht="15" hidden="false" customHeight="false" outlineLevel="0" collapsed="false">
      <c r="A5115" s="0" t="e">
        <f aca="false">INDEX(GROWTH(Data!K1:K8,Data!BF1:BG8,{1,2}),2,2)</f>
        <v>#REF!</v>
      </c>
      <c r="B5115" s="0" t="s">
        <v>5102</v>
      </c>
    </row>
    <row r="5116" customFormat="false" ht="15" hidden="false" customHeight="false" outlineLevel="0" collapsed="false">
      <c r="A5116" s="0" t="e">
        <f aca="false">INDEX(GROWTH(Data!K1:K8,Data!BF1:BG8,{1,2}),3,1)</f>
        <v>#REF!</v>
      </c>
      <c r="B5116" s="0" t="s">
        <v>5103</v>
      </c>
    </row>
    <row r="5117" customFormat="false" ht="15" hidden="false" customHeight="false" outlineLevel="0" collapsed="false">
      <c r="A5117" s="0" t="e">
        <f aca="false">INDEX(GROWTH(Data!K1:K8,Data!BF1:BG8,{1,2}),3,2)</f>
        <v>#REF!</v>
      </c>
      <c r="B5117" s="0" t="s">
        <v>5104</v>
      </c>
    </row>
    <row r="5118" customFormat="false" ht="15" hidden="false" customHeight="false" outlineLevel="0" collapsed="false">
      <c r="A5118" s="0" t="n">
        <f aca="false">ROWS(GROWTH(Data!K1:K8,Data!BF1:BG8,{1,2;3,4}))</f>
        <v>2</v>
      </c>
      <c r="B5118" s="0" t="s">
        <v>5105</v>
      </c>
    </row>
    <row r="5119" customFormat="false" ht="15" hidden="false" customHeight="false" outlineLevel="0" collapsed="false">
      <c r="A5119" s="0" t="n">
        <f aca="false">COLUMNS(GROWTH(Data!K1:K8,Data!BF1:BG8,{1,2;3,4}))</f>
        <v>1</v>
      </c>
      <c r="B5119" s="0" t="s">
        <v>5106</v>
      </c>
    </row>
    <row r="5120" customFormat="false" ht="15" hidden="false" customHeight="false" outlineLevel="0" collapsed="false">
      <c r="A5120" s="0" t="n">
        <f aca="false">INDEX(GROWTH(Data!K1:K8,Data!BF1:BG8,{1,2;3,4}),1,1)</f>
        <v>3.4285958661983</v>
      </c>
      <c r="B5120" s="0" t="s">
        <v>5107</v>
      </c>
    </row>
    <row r="5121" customFormat="false" ht="15" hidden="false" customHeight="false" outlineLevel="0" collapsed="false">
      <c r="A5121" s="0" t="e">
        <f aca="false">INDEX(GROWTH(Data!K1:K8,Data!BF1:BG8,{1,2;3,4}),1,2)</f>
        <v>#REF!</v>
      </c>
      <c r="B5121" s="0" t="s">
        <v>5108</v>
      </c>
    </row>
    <row r="5122" customFormat="false" ht="15" hidden="false" customHeight="false" outlineLevel="0" collapsed="false">
      <c r="A5122" s="0" t="n">
        <f aca="false">INDEX(GROWTH(Data!K1:K8,Data!BF1:BG8,{1,2;3,4}),2,1)</f>
        <v>4.10384849702749</v>
      </c>
      <c r="B5122" s="0" t="s">
        <v>5109</v>
      </c>
    </row>
    <row r="5123" customFormat="false" ht="15" hidden="false" customHeight="false" outlineLevel="0" collapsed="false">
      <c r="A5123" s="0" t="e">
        <f aca="false">INDEX(GROWTH(Data!K1:K8,Data!BF1:BG8,{1,2;3,4}),2,2)</f>
        <v>#REF!</v>
      </c>
      <c r="B5123" s="0" t="s">
        <v>5110</v>
      </c>
    </row>
    <row r="5124" customFormat="false" ht="15" hidden="false" customHeight="false" outlineLevel="0" collapsed="false">
      <c r="A5124" s="0" t="e">
        <f aca="false">INDEX(GROWTH(Data!K1:K8,Data!BF1:BG8,{1,2;3,4}),3,1)</f>
        <v>#REF!</v>
      </c>
      <c r="B5124" s="0" t="s">
        <v>5111</v>
      </c>
    </row>
    <row r="5125" customFormat="false" ht="15" hidden="false" customHeight="false" outlineLevel="0" collapsed="false">
      <c r="A5125" s="0" t="e">
        <f aca="false">INDEX(GROWTH(Data!K1:K8,Data!BF1:BG8,{1,2;3,4}),3,2)</f>
        <v>#REF!</v>
      </c>
      <c r="B5125" s="0" t="s">
        <v>5112</v>
      </c>
    </row>
    <row r="5126" customFormat="false" ht="15" hidden="false" customHeight="false" outlineLevel="0" collapsed="false">
      <c r="A5126" s="0" t="e">
        <f aca="false">ROWS(GROWTH(Data!K1:K8,Data!BF1:BG8,{1;2}))</f>
        <v>#VALUE!</v>
      </c>
      <c r="B5126" s="0" t="s">
        <v>5113</v>
      </c>
    </row>
    <row r="5127" customFormat="false" ht="15" hidden="false" customHeight="false" outlineLevel="0" collapsed="false">
      <c r="A5127" s="0" t="e">
        <f aca="false">COLUMNS(GROWTH(Data!K1:K8,Data!BF1:BG8,{1;2}))</f>
        <v>#VALUE!</v>
      </c>
      <c r="B5127" s="0" t="s">
        <v>5114</v>
      </c>
    </row>
    <row r="5128" customFormat="false" ht="15" hidden="false" customHeight="false" outlineLevel="0" collapsed="false">
      <c r="A5128" s="0" t="e">
        <f aca="false">INDEX(GROWTH(Data!K1:K8,Data!BF1:BG8,{1;2}),1,1)</f>
        <v>#VALUE!</v>
      </c>
      <c r="B5128" s="0" t="s">
        <v>5115</v>
      </c>
    </row>
    <row r="5129" customFormat="false" ht="15" hidden="false" customHeight="false" outlineLevel="0" collapsed="false">
      <c r="A5129" s="0" t="e">
        <f aca="false">INDEX(GROWTH(Data!K1:K8,Data!BF1:BG8,{1;2}),1,2)</f>
        <v>#VALUE!</v>
      </c>
      <c r="B5129" s="0" t="s">
        <v>5116</v>
      </c>
    </row>
    <row r="5130" customFormat="false" ht="15" hidden="false" customHeight="false" outlineLevel="0" collapsed="false">
      <c r="A5130" s="0" t="e">
        <f aca="false">INDEX(GROWTH(Data!K1:K8,Data!BF1:BG8,{1;2}),2,1)</f>
        <v>#VALUE!</v>
      </c>
      <c r="B5130" s="0" t="s">
        <v>5117</v>
      </c>
    </row>
    <row r="5131" customFormat="false" ht="15" hidden="false" customHeight="false" outlineLevel="0" collapsed="false">
      <c r="A5131" s="0" t="e">
        <f aca="false">INDEX(GROWTH(Data!K1:K8,Data!BF1:BG8,{1;2}),2,2)</f>
        <v>#VALUE!</v>
      </c>
      <c r="B5131" s="0" t="s">
        <v>5118</v>
      </c>
    </row>
    <row r="5132" customFormat="false" ht="15" hidden="false" customHeight="false" outlineLevel="0" collapsed="false">
      <c r="A5132" s="0" t="e">
        <f aca="false">INDEX(GROWTH(Data!K1:K8,Data!BF1:BG8,{1;2}),3,1)</f>
        <v>#VALUE!</v>
      </c>
      <c r="B5132" s="0" t="s">
        <v>5119</v>
      </c>
    </row>
    <row r="5133" customFormat="false" ht="15" hidden="false" customHeight="false" outlineLevel="0" collapsed="false">
      <c r="A5133" s="0" t="e">
        <f aca="false">INDEX(GROWTH(Data!K1:K8,Data!BF1:BG8,{1;2}),3,2)</f>
        <v>#VALUE!</v>
      </c>
      <c r="B5133" s="0" t="s">
        <v>5120</v>
      </c>
    </row>
    <row r="5134" customFormat="false" ht="15" hidden="false" customHeight="false" outlineLevel="0" collapsed="false">
      <c r="A5134" s="0" t="n">
        <f aca="false">ROWS(GROWTH(TRANSPOSE(Data!K1:K8),TRANSPOSE(Data!A1:A8),{1,2,3}))</f>
        <v>1</v>
      </c>
      <c r="B5134" s="0" t="s">
        <v>5121</v>
      </c>
    </row>
    <row r="5135" customFormat="false" ht="15" hidden="false" customHeight="false" outlineLevel="0" collapsed="false">
      <c r="A5135" s="0" t="n">
        <f aca="false">COLUMNS(GROWTH(TRANSPOSE(Data!K1:K8),TRANSPOSE(Data!A1:A8),{1,2,3}))</f>
        <v>3</v>
      </c>
      <c r="B5135" s="0" t="s">
        <v>5122</v>
      </c>
    </row>
    <row r="5136" customFormat="false" ht="15" hidden="false" customHeight="false" outlineLevel="0" collapsed="false">
      <c r="A5136" s="0" t="n">
        <f aca="false">INDEX(GROWTH(TRANSPOSE(Data!K1:K8),TRANSPOSE(Data!A1:A8),{1,2,3}),1,1)</f>
        <v>4.79835133312416</v>
      </c>
      <c r="B5136" s="0" t="s">
        <v>5123</v>
      </c>
    </row>
    <row r="5137" customFormat="false" ht="15" hidden="false" customHeight="false" outlineLevel="0" collapsed="false">
      <c r="A5137" s="0" t="n">
        <f aca="false">INDEX(GROWTH(TRANSPOSE(Data!K1:K8),TRANSPOSE(Data!A1:A8),{1,2,3}),1,2)</f>
        <v>4.85455692075118</v>
      </c>
      <c r="B5137" s="0" t="s">
        <v>5124</v>
      </c>
    </row>
    <row r="5138" customFormat="false" ht="15" hidden="false" customHeight="false" outlineLevel="0" collapsed="false">
      <c r="A5138" s="0" t="e">
        <f aca="false">INDEX(GROWTH(TRANSPOSE(Data!K1:K8),TRANSPOSE(Data!A1:A8),{1,2,3}),2,1)</f>
        <v>#REF!</v>
      </c>
      <c r="B5138" s="0" t="s">
        <v>5125</v>
      </c>
    </row>
    <row r="5139" customFormat="false" ht="15" hidden="false" customHeight="false" outlineLevel="0" collapsed="false">
      <c r="A5139" s="0" t="e">
        <f aca="false">INDEX(GROWTH(TRANSPOSE(Data!K1:K8),TRANSPOSE(Data!A1:A8),{1,2,3}),2,2)</f>
        <v>#REF!</v>
      </c>
      <c r="B5139" s="0" t="s">
        <v>5126</v>
      </c>
    </row>
    <row r="5140" customFormat="false" ht="15" hidden="false" customHeight="false" outlineLevel="0" collapsed="false">
      <c r="A5140" s="0" t="e">
        <f aca="false">INDEX(GROWTH(TRANSPOSE(Data!K1:K8),TRANSPOSE(Data!A1:A8),{1,2,3}),3,1)</f>
        <v>#REF!</v>
      </c>
      <c r="B5140" s="0" t="s">
        <v>5127</v>
      </c>
    </row>
    <row r="5141" customFormat="false" ht="15" hidden="false" customHeight="false" outlineLevel="0" collapsed="false">
      <c r="A5141" s="0" t="e">
        <f aca="false">INDEX(GROWTH(TRANSPOSE(Data!K1:K8),TRANSPOSE(Data!A1:A8),{1,2,3}),3,2)</f>
        <v>#REF!</v>
      </c>
      <c r="B5141" s="0" t="s">
        <v>5128</v>
      </c>
    </row>
    <row r="5142" customFormat="false" ht="15" hidden="false" customHeight="false" outlineLevel="0" collapsed="false">
      <c r="A5142" s="0" t="n">
        <f aca="false">ROWS(GROWTH(TRANSPOSE(Data!K1:K8),TRANSPOSE(Data!A1:A8),{1;2;3}))</f>
        <v>3</v>
      </c>
      <c r="B5142" s="0" t="s">
        <v>5129</v>
      </c>
    </row>
    <row r="5143" customFormat="false" ht="15" hidden="false" customHeight="false" outlineLevel="0" collapsed="false">
      <c r="A5143" s="0" t="n">
        <f aca="false">COLUMNS(GROWTH(TRANSPOSE(Data!K1:K8),TRANSPOSE(Data!A1:A8),{1;2;3}))</f>
        <v>1</v>
      </c>
      <c r="B5143" s="0" t="s">
        <v>5130</v>
      </c>
    </row>
    <row r="5144" customFormat="false" ht="15" hidden="false" customHeight="false" outlineLevel="0" collapsed="false">
      <c r="A5144" s="0" t="n">
        <f aca="false">INDEX(GROWTH(TRANSPOSE(Data!K1:K8),TRANSPOSE(Data!A1:A8),{1;2;3}),1,1)</f>
        <v>4.79835133312416</v>
      </c>
      <c r="B5144" s="0" t="s">
        <v>5131</v>
      </c>
    </row>
    <row r="5145" customFormat="false" ht="15" hidden="false" customHeight="false" outlineLevel="0" collapsed="false">
      <c r="A5145" s="0" t="e">
        <f aca="false">INDEX(GROWTH(TRANSPOSE(Data!K1:K8),TRANSPOSE(Data!A1:A8),{1;2;3}),1,2)</f>
        <v>#REF!</v>
      </c>
      <c r="B5145" s="0" t="s">
        <v>5132</v>
      </c>
    </row>
    <row r="5146" customFormat="false" ht="15" hidden="false" customHeight="false" outlineLevel="0" collapsed="false">
      <c r="A5146" s="0" t="n">
        <f aca="false">INDEX(GROWTH(TRANSPOSE(Data!K1:K8),TRANSPOSE(Data!A1:A8),{1;2;3}),2,1)</f>
        <v>4.85455692075118</v>
      </c>
      <c r="B5146" s="0" t="s">
        <v>5133</v>
      </c>
    </row>
    <row r="5147" customFormat="false" ht="15" hidden="false" customHeight="false" outlineLevel="0" collapsed="false">
      <c r="A5147" s="0" t="e">
        <f aca="false">INDEX(GROWTH(TRANSPOSE(Data!K1:K8),TRANSPOSE(Data!A1:A8),{1;2;3}),2,2)</f>
        <v>#REF!</v>
      </c>
      <c r="B5147" s="0" t="s">
        <v>5134</v>
      </c>
    </row>
    <row r="5148" customFormat="false" ht="15" hidden="false" customHeight="false" outlineLevel="0" collapsed="false">
      <c r="A5148" s="0" t="n">
        <f aca="false">INDEX(GROWTH(TRANSPOSE(Data!K1:K8),TRANSPOSE(Data!A1:A8),{1;2;3}),3,1)</f>
        <v>4.91142087369185</v>
      </c>
      <c r="B5148" s="0" t="s">
        <v>5135</v>
      </c>
    </row>
    <row r="5149" customFormat="false" ht="15" hidden="false" customHeight="false" outlineLevel="0" collapsed="false">
      <c r="A5149" s="0" t="e">
        <f aca="false">INDEX(GROWTH(TRANSPOSE(Data!K1:K8),TRANSPOSE(Data!A1:A8),{1;2;3}),3,2)</f>
        <v>#REF!</v>
      </c>
      <c r="B5149" s="0" t="s">
        <v>5136</v>
      </c>
    </row>
    <row r="5150" customFormat="false" ht="15" hidden="false" customHeight="false" outlineLevel="0" collapsed="false">
      <c r="A5150" s="0" t="n">
        <f aca="false">ROWS(GROWTH(TRANSPOSE(Data!K1:K8),TRANSPOSE(Data!A1:A8)))</f>
        <v>1</v>
      </c>
      <c r="B5150" s="0" t="s">
        <v>5137</v>
      </c>
    </row>
    <row r="5151" customFormat="false" ht="15" hidden="false" customHeight="false" outlineLevel="0" collapsed="false">
      <c r="A5151" s="0" t="n">
        <f aca="false">COLUMNS(GROWTH(TRANSPOSE(Data!K1:K8),TRANSPOSE(Data!A1:A8)))</f>
        <v>8</v>
      </c>
      <c r="B5151" s="0" t="s">
        <v>5138</v>
      </c>
    </row>
    <row r="5152" customFormat="false" ht="15" hidden="false" customHeight="false" outlineLevel="0" collapsed="false">
      <c r="A5152" s="0" t="n">
        <f aca="false">INDEX(GROWTH(TRANSPOSE(Data!K1:K8),TRANSPOSE(Data!A1:A8)),1,1)</f>
        <v>5.02715481294914</v>
      </c>
      <c r="B5152" s="0" t="s">
        <v>5139</v>
      </c>
    </row>
    <row r="5153" customFormat="false" ht="15" hidden="false" customHeight="false" outlineLevel="0" collapsed="false">
      <c r="A5153" s="0" t="n">
        <f aca="false">INDEX(GROWTH(TRANSPOSE(Data!K1:K8),TRANSPOSE(Data!A1:A8)),1,2)</f>
        <v>4.91142087369185</v>
      </c>
      <c r="B5153" s="0" t="s">
        <v>5140</v>
      </c>
    </row>
    <row r="5154" customFormat="false" ht="15" hidden="false" customHeight="false" outlineLevel="0" collapsed="false">
      <c r="A5154" s="0" t="e">
        <f aca="false">INDEX(GROWTH(TRANSPOSE(Data!K1:K8),TRANSPOSE(Data!A1:A8)),2,1)</f>
        <v>#REF!</v>
      </c>
      <c r="B5154" s="0" t="s">
        <v>5141</v>
      </c>
    </row>
    <row r="5155" customFormat="false" ht="15" hidden="false" customHeight="false" outlineLevel="0" collapsed="false">
      <c r="A5155" s="0" t="e">
        <f aca="false">INDEX(GROWTH(TRANSPOSE(Data!K1:K8),TRANSPOSE(Data!A1:A8)),2,2)</f>
        <v>#REF!</v>
      </c>
      <c r="B5155" s="0" t="s">
        <v>5142</v>
      </c>
    </row>
    <row r="5156" customFormat="false" ht="15" hidden="false" customHeight="false" outlineLevel="0" collapsed="false">
      <c r="A5156" s="0" t="e">
        <f aca="false">INDEX(GROWTH(TRANSPOSE(Data!K1:K8),TRANSPOSE(Data!A1:A8)),3,1)</f>
        <v>#REF!</v>
      </c>
      <c r="B5156" s="0" t="s">
        <v>5143</v>
      </c>
    </row>
    <row r="5157" customFormat="false" ht="15" hidden="false" customHeight="false" outlineLevel="0" collapsed="false">
      <c r="A5157" s="0" t="e">
        <f aca="false">INDEX(GROWTH(TRANSPOSE(Data!K1:K8),TRANSPOSE(Data!A1:A8)),3,2)</f>
        <v>#REF!</v>
      </c>
      <c r="B5157" s="0" t="s">
        <v>5144</v>
      </c>
    </row>
    <row r="5158" customFormat="false" ht="15" hidden="false" customHeight="false" outlineLevel="0" collapsed="false">
      <c r="A5158" s="0" t="e">
        <f aca="false">ROWS(GROWTH(Data!K1:K8,Data!A1:A7,3))</f>
        <v>#VALUE!</v>
      </c>
      <c r="B5158" s="0" t="s">
        <v>5145</v>
      </c>
    </row>
    <row r="5159" customFormat="false" ht="15" hidden="false" customHeight="false" outlineLevel="0" collapsed="false">
      <c r="A5159" s="0" t="e">
        <f aca="false">COLUMNS(GROWTH(Data!K1:K8,Data!A1:A7,3))</f>
        <v>#VALUE!</v>
      </c>
      <c r="B5159" s="0" t="s">
        <v>5146</v>
      </c>
    </row>
    <row r="5160" customFormat="false" ht="15" hidden="false" customHeight="false" outlineLevel="0" collapsed="false">
      <c r="A5160" s="0" t="e">
        <f aca="false">INDEX(GROWTH(Data!K1:K8,Data!A1:A7,3),1,1)</f>
        <v>#VALUE!</v>
      </c>
      <c r="B5160" s="0" t="s">
        <v>5147</v>
      </c>
    </row>
    <row r="5161" customFormat="false" ht="15" hidden="false" customHeight="false" outlineLevel="0" collapsed="false">
      <c r="A5161" s="0" t="e">
        <f aca="false">INDEX(GROWTH(Data!K1:K8,Data!A1:A7,3),1,2)</f>
        <v>#VALUE!</v>
      </c>
      <c r="B5161" s="0" t="s">
        <v>5148</v>
      </c>
    </row>
    <row r="5162" customFormat="false" ht="15" hidden="false" customHeight="false" outlineLevel="0" collapsed="false">
      <c r="A5162" s="0" t="e">
        <f aca="false">INDEX(GROWTH(Data!K1:K8,Data!A1:A7,3),2,1)</f>
        <v>#VALUE!</v>
      </c>
      <c r="B5162" s="0" t="s">
        <v>5149</v>
      </c>
    </row>
    <row r="5163" customFormat="false" ht="15" hidden="false" customHeight="false" outlineLevel="0" collapsed="false">
      <c r="A5163" s="0" t="e">
        <f aca="false">INDEX(GROWTH(Data!K1:K8,Data!A1:A7,3),2,2)</f>
        <v>#VALUE!</v>
      </c>
      <c r="B5163" s="0" t="s">
        <v>5150</v>
      </c>
    </row>
    <row r="5164" customFormat="false" ht="15" hidden="false" customHeight="false" outlineLevel="0" collapsed="false">
      <c r="A5164" s="0" t="e">
        <f aca="false">INDEX(GROWTH(Data!K1:K8,Data!A1:A7,3),3,1)</f>
        <v>#VALUE!</v>
      </c>
      <c r="B5164" s="0" t="s">
        <v>5151</v>
      </c>
    </row>
    <row r="5165" customFormat="false" ht="15" hidden="false" customHeight="false" outlineLevel="0" collapsed="false">
      <c r="A5165" s="0" t="e">
        <f aca="false">INDEX(GROWTH(Data!K1:K8,Data!A1:A7,3),3,2)</f>
        <v>#VALUE!</v>
      </c>
      <c r="B5165" s="0" t="s">
        <v>5152</v>
      </c>
    </row>
    <row r="5166" customFormat="false" ht="15" hidden="false" customHeight="false" outlineLevel="0" collapsed="false">
      <c r="A5166" s="0" t="e">
        <f aca="false">ROWS(GROWTH(Data!K1:K8,Data!A1:A8,Data!B1:B3))</f>
        <v>#VALUE!</v>
      </c>
      <c r="B5166" s="0" t="s">
        <v>5153</v>
      </c>
    </row>
    <row r="5167" customFormat="false" ht="15" hidden="false" customHeight="false" outlineLevel="0" collapsed="false">
      <c r="A5167" s="0" t="e">
        <f aca="false">COLUMNS(GROWTH(Data!K1:K8,Data!A1:A8,Data!B1:B3))</f>
        <v>#VALUE!</v>
      </c>
      <c r="B5167" s="0" t="s">
        <v>5154</v>
      </c>
    </row>
    <row r="5168" customFormat="false" ht="15" hidden="false" customHeight="false" outlineLevel="0" collapsed="false">
      <c r="A5168" s="0" t="e">
        <f aca="false">INDEX(GROWTH(Data!K1:K8,Data!A1:A8,Data!B1:B3),1,1)</f>
        <v>#VALUE!</v>
      </c>
      <c r="B5168" s="0" t="s">
        <v>5155</v>
      </c>
    </row>
    <row r="5169" customFormat="false" ht="15" hidden="false" customHeight="false" outlineLevel="0" collapsed="false">
      <c r="A5169" s="0" t="e">
        <f aca="false">INDEX(GROWTH(Data!K1:K8,Data!A1:A8,Data!B1:B3),1,2)</f>
        <v>#VALUE!</v>
      </c>
      <c r="B5169" s="0" t="s">
        <v>5156</v>
      </c>
    </row>
    <row r="5170" customFormat="false" ht="15" hidden="false" customHeight="false" outlineLevel="0" collapsed="false">
      <c r="A5170" s="0" t="e">
        <f aca="false">INDEX(GROWTH(Data!K1:K8,Data!A1:A8,Data!B1:B3),2,1)</f>
        <v>#VALUE!</v>
      </c>
      <c r="B5170" s="0" t="s">
        <v>5157</v>
      </c>
    </row>
    <row r="5171" customFormat="false" ht="15" hidden="false" customHeight="false" outlineLevel="0" collapsed="false">
      <c r="A5171" s="0" t="e">
        <f aca="false">INDEX(GROWTH(Data!K1:K8,Data!A1:A8,Data!B1:B3),2,2)</f>
        <v>#VALUE!</v>
      </c>
      <c r="B5171" s="0" t="s">
        <v>5158</v>
      </c>
    </row>
    <row r="5172" customFormat="false" ht="15" hidden="false" customHeight="false" outlineLevel="0" collapsed="false">
      <c r="A5172" s="0" t="e">
        <f aca="false">INDEX(GROWTH(Data!K1:K8,Data!A1:A8,Data!B1:B3),3,1)</f>
        <v>#VALUE!</v>
      </c>
      <c r="B5172" s="0" t="s">
        <v>5159</v>
      </c>
    </row>
    <row r="5173" customFormat="false" ht="15" hidden="false" customHeight="false" outlineLevel="0" collapsed="false">
      <c r="A5173" s="0" t="e">
        <f aca="false">INDEX(GROWTH(Data!K1:K8,Data!A1:A8,Data!B1:B3),3,2)</f>
        <v>#VALUE!</v>
      </c>
      <c r="B5173" s="0" t="s">
        <v>5160</v>
      </c>
    </row>
    <row r="5174" customFormat="false" ht="15" hidden="false" customHeight="false" outlineLevel="0" collapsed="false">
      <c r="A5174" s="0" t="e">
        <f aca="false">ROWS(GROWTH(Data!K1:K8,Data!A1:A8,"x"))</f>
        <v>#VALUE!</v>
      </c>
      <c r="B5174" s="0" t="s">
        <v>5161</v>
      </c>
    </row>
    <row r="5175" customFormat="false" ht="15" hidden="false" customHeight="false" outlineLevel="0" collapsed="false">
      <c r="A5175" s="0" t="e">
        <f aca="false">COLUMNS(GROWTH(Data!K1:K8,Data!A1:A8,"x"))</f>
        <v>#VALUE!</v>
      </c>
      <c r="B5175" s="0" t="s">
        <v>5162</v>
      </c>
    </row>
    <row r="5176" customFormat="false" ht="15" hidden="false" customHeight="false" outlineLevel="0" collapsed="false">
      <c r="A5176" s="0" t="e">
        <f aca="false">INDEX(GROWTH(Data!K1:K8,Data!A1:A8,"x"),1,1)</f>
        <v>#VALUE!</v>
      </c>
      <c r="B5176" s="0" t="s">
        <v>5163</v>
      </c>
    </row>
    <row r="5177" customFormat="false" ht="15" hidden="false" customHeight="false" outlineLevel="0" collapsed="false">
      <c r="A5177" s="0" t="e">
        <f aca="false">INDEX(GROWTH(Data!K1:K8,Data!A1:A8,"x"),1,2)</f>
        <v>#VALUE!</v>
      </c>
      <c r="B5177" s="0" t="s">
        <v>5164</v>
      </c>
    </row>
    <row r="5178" customFormat="false" ht="15" hidden="false" customHeight="false" outlineLevel="0" collapsed="false">
      <c r="A5178" s="0" t="e">
        <f aca="false">INDEX(GROWTH(Data!K1:K8,Data!A1:A8,"x"),2,1)</f>
        <v>#VALUE!</v>
      </c>
      <c r="B5178" s="0" t="s">
        <v>5165</v>
      </c>
    </row>
    <row r="5179" customFormat="false" ht="15" hidden="false" customHeight="false" outlineLevel="0" collapsed="false">
      <c r="A5179" s="0" t="e">
        <f aca="false">INDEX(GROWTH(Data!K1:K8,Data!A1:A8,"x"),2,2)</f>
        <v>#VALUE!</v>
      </c>
      <c r="B5179" s="0" t="s">
        <v>5166</v>
      </c>
    </row>
    <row r="5180" customFormat="false" ht="15" hidden="false" customHeight="false" outlineLevel="0" collapsed="false">
      <c r="A5180" s="0" t="e">
        <f aca="false">INDEX(GROWTH(Data!K1:K8,Data!A1:A8,"x"),3,1)</f>
        <v>#VALUE!</v>
      </c>
      <c r="B5180" s="0" t="s">
        <v>5167</v>
      </c>
    </row>
    <row r="5181" customFormat="false" ht="15" hidden="false" customHeight="false" outlineLevel="0" collapsed="false">
      <c r="A5181" s="0" t="e">
        <f aca="false">INDEX(GROWTH(Data!K1:K8,Data!A1:A8,"x"),3,2)</f>
        <v>#VALUE!</v>
      </c>
      <c r="B5181" s="0" t="s">
        <v>5168</v>
      </c>
    </row>
    <row r="5182" customFormat="false" ht="15" hidden="false" customHeight="false" outlineLevel="0" collapsed="false">
      <c r="A5182" s="0" t="n">
        <f aca="false">ROWS(GROWTH(Data!K1:K8,Data!A1:A8,3,"x"))</f>
        <v>1</v>
      </c>
      <c r="B5182" s="0" t="s">
        <v>5169</v>
      </c>
    </row>
    <row r="5183" customFormat="false" ht="15" hidden="false" customHeight="false" outlineLevel="0" collapsed="false">
      <c r="A5183" s="0" t="n">
        <f aca="false">COLUMNS(GROWTH(Data!K1:K8,Data!A1:A8,3,"x"))</f>
        <v>1</v>
      </c>
      <c r="B5183" s="0" t="s">
        <v>5170</v>
      </c>
    </row>
    <row r="5184" customFormat="false" ht="15" hidden="false" customHeight="false" outlineLevel="0" collapsed="false">
      <c r="A5184" s="0" t="e">
        <f aca="false">INDEX(GROWTH(Data!K1:K8,Data!A1:A8,3,"x"),1,1)</f>
        <v>#VALUE!</v>
      </c>
      <c r="B5184" s="0" t="s">
        <v>5171</v>
      </c>
    </row>
    <row r="5185" customFormat="false" ht="15" hidden="false" customHeight="false" outlineLevel="0" collapsed="false">
      <c r="A5185" s="0" t="e">
        <f aca="false">INDEX(GROWTH(Data!K1:K8,Data!A1:A8,3,"x"),1,2)</f>
        <v>#REF!</v>
      </c>
      <c r="B5185" s="0" t="s">
        <v>5172</v>
      </c>
    </row>
    <row r="5186" customFormat="false" ht="15" hidden="false" customHeight="false" outlineLevel="0" collapsed="false">
      <c r="A5186" s="0" t="e">
        <f aca="false">INDEX(GROWTH(Data!K1:K8,Data!A1:A8,3,"x"),2,1)</f>
        <v>#REF!</v>
      </c>
      <c r="B5186" s="0" t="s">
        <v>5173</v>
      </c>
    </row>
    <row r="5187" customFormat="false" ht="15" hidden="false" customHeight="false" outlineLevel="0" collapsed="false">
      <c r="A5187" s="0" t="e">
        <f aca="false">INDEX(GROWTH(Data!K1:K8,Data!A1:A8,3,"x"),2,2)</f>
        <v>#REF!</v>
      </c>
      <c r="B5187" s="0" t="s">
        <v>5174</v>
      </c>
    </row>
    <row r="5188" customFormat="false" ht="15" hidden="false" customHeight="false" outlineLevel="0" collapsed="false">
      <c r="A5188" s="0" t="e">
        <f aca="false">INDEX(GROWTH(Data!K1:K8,Data!A1:A8,3,"x"),3,1)</f>
        <v>#REF!</v>
      </c>
      <c r="B5188" s="0" t="s">
        <v>5175</v>
      </c>
    </row>
    <row r="5189" customFormat="false" ht="15" hidden="false" customHeight="false" outlineLevel="0" collapsed="false">
      <c r="A5189" s="0" t="e">
        <f aca="false">INDEX(GROWTH(Data!K1:K8,Data!A1:A8,3,"x"),3,2)</f>
        <v>#REF!</v>
      </c>
      <c r="B5189" s="0" t="s">
        <v>5176</v>
      </c>
    </row>
    <row r="5190" customFormat="false" ht="15" hidden="false" customHeight="false" outlineLevel="0" collapsed="false">
      <c r="A5190" s="0" t="e">
        <f aca="false">ROWS(GROWTH(Data!K1:K8,Data!A1:A8,NA()))</f>
        <v>#N/A</v>
      </c>
      <c r="B5190" s="0" t="s">
        <v>5177</v>
      </c>
    </row>
    <row r="5191" customFormat="false" ht="15" hidden="false" customHeight="false" outlineLevel="0" collapsed="false">
      <c r="A5191" s="0" t="e">
        <f aca="false">COLUMNS(GROWTH(Data!K1:K8,Data!A1:A8,NA()))</f>
        <v>#N/A</v>
      </c>
      <c r="B5191" s="0" t="s">
        <v>5178</v>
      </c>
    </row>
    <row r="5192" customFormat="false" ht="15" hidden="false" customHeight="false" outlineLevel="0" collapsed="false">
      <c r="A5192" s="0" t="e">
        <f aca="false">INDEX(GROWTH(Data!K1:K8,Data!A1:A8,NA()),1,1)</f>
        <v>#N/A</v>
      </c>
      <c r="B5192" s="0" t="s">
        <v>5179</v>
      </c>
    </row>
    <row r="5193" customFormat="false" ht="15" hidden="false" customHeight="false" outlineLevel="0" collapsed="false">
      <c r="A5193" s="0" t="e">
        <f aca="false">INDEX(GROWTH(Data!K1:K8,Data!A1:A8,NA()),1,2)</f>
        <v>#N/A</v>
      </c>
      <c r="B5193" s="0" t="s">
        <v>5180</v>
      </c>
    </row>
    <row r="5194" customFormat="false" ht="15" hidden="false" customHeight="false" outlineLevel="0" collapsed="false">
      <c r="A5194" s="0" t="e">
        <f aca="false">INDEX(GROWTH(Data!K1:K8,Data!A1:A8,NA()),2,1)</f>
        <v>#N/A</v>
      </c>
      <c r="B5194" s="0" t="s">
        <v>5181</v>
      </c>
    </row>
    <row r="5195" customFormat="false" ht="15" hidden="false" customHeight="false" outlineLevel="0" collapsed="false">
      <c r="A5195" s="0" t="e">
        <f aca="false">INDEX(GROWTH(Data!K1:K8,Data!A1:A8,NA()),2,2)</f>
        <v>#N/A</v>
      </c>
      <c r="B5195" s="0" t="s">
        <v>5182</v>
      </c>
    </row>
    <row r="5196" customFormat="false" ht="15" hidden="false" customHeight="false" outlineLevel="0" collapsed="false">
      <c r="A5196" s="0" t="e">
        <f aca="false">INDEX(GROWTH(Data!K1:K8,Data!A1:A8,NA()),3,1)</f>
        <v>#N/A</v>
      </c>
      <c r="B5196" s="0" t="s">
        <v>5183</v>
      </c>
    </row>
    <row r="5197" customFormat="false" ht="15" hidden="false" customHeight="false" outlineLevel="0" collapsed="false">
      <c r="A5197" s="0" t="e">
        <f aca="false">INDEX(GROWTH(Data!K1:K8,Data!A1:A8,NA()),3,2)</f>
        <v>#N/A</v>
      </c>
      <c r="B5197" s="0" t="s">
        <v>5184</v>
      </c>
    </row>
    <row r="5198" customFormat="false" ht="15" hidden="false" customHeight="false" outlineLevel="0" collapsed="false">
      <c r="A5198" s="0" t="e">
        <f aca="false">ROWS(GROWTH(Data!M1:M4,Data!K1:K4,3))</f>
        <v>#VALUE!</v>
      </c>
      <c r="B5198" s="0" t="s">
        <v>5185</v>
      </c>
    </row>
    <row r="5199" customFormat="false" ht="15" hidden="false" customHeight="false" outlineLevel="0" collapsed="false">
      <c r="A5199" s="0" t="e">
        <f aca="false">COLUMNS(GROWTH(Data!M1:M4,Data!K1:K4,3))</f>
        <v>#VALUE!</v>
      </c>
      <c r="B5199" s="0" t="s">
        <v>5186</v>
      </c>
    </row>
    <row r="5200" customFormat="false" ht="15" hidden="false" customHeight="false" outlineLevel="0" collapsed="false">
      <c r="A5200" s="0" t="e">
        <f aca="false">INDEX(GROWTH(Data!M1:M4,Data!K1:K4,3),1,1)</f>
        <v>#VALUE!</v>
      </c>
      <c r="B5200" s="0" t="s">
        <v>5187</v>
      </c>
    </row>
    <row r="5201" customFormat="false" ht="15" hidden="false" customHeight="false" outlineLevel="0" collapsed="false">
      <c r="A5201" s="0" t="e">
        <f aca="false">INDEX(GROWTH(Data!M1:M4,Data!K1:K4,3),1,2)</f>
        <v>#VALUE!</v>
      </c>
      <c r="B5201" s="0" t="s">
        <v>5188</v>
      </c>
    </row>
    <row r="5202" customFormat="false" ht="15" hidden="false" customHeight="false" outlineLevel="0" collapsed="false">
      <c r="A5202" s="0" t="e">
        <f aca="false">INDEX(GROWTH(Data!M1:M4,Data!K1:K4,3),2,1)</f>
        <v>#VALUE!</v>
      </c>
      <c r="B5202" s="0" t="s">
        <v>5189</v>
      </c>
    </row>
    <row r="5203" customFormat="false" ht="15" hidden="false" customHeight="false" outlineLevel="0" collapsed="false">
      <c r="A5203" s="0" t="e">
        <f aca="false">INDEX(GROWTH(Data!M1:M4,Data!K1:K4,3),2,2)</f>
        <v>#VALUE!</v>
      </c>
      <c r="B5203" s="0" t="s">
        <v>5190</v>
      </c>
    </row>
    <row r="5204" customFormat="false" ht="15" hidden="false" customHeight="false" outlineLevel="0" collapsed="false">
      <c r="A5204" s="0" t="e">
        <f aca="false">INDEX(GROWTH(Data!M1:M4,Data!K1:K4,3),3,1)</f>
        <v>#VALUE!</v>
      </c>
      <c r="B5204" s="0" t="s">
        <v>5191</v>
      </c>
    </row>
    <row r="5205" customFormat="false" ht="15" hidden="false" customHeight="false" outlineLevel="0" collapsed="false">
      <c r="A5205" s="0" t="e">
        <f aca="false">INDEX(GROWTH(Data!M1:M4,Data!K1:K4,3),3,2)</f>
        <v>#VALUE!</v>
      </c>
      <c r="B5205" s="0" t="s">
        <v>5192</v>
      </c>
    </row>
    <row r="5206" customFormat="false" ht="15" hidden="false" customHeight="false" outlineLevel="0" collapsed="false">
      <c r="A5206" s="0" t="e">
        <f aca="false">ROWS(GROWTH(Data!K1:K4,Data!M1:M4,3))</f>
        <v>#VALUE!</v>
      </c>
      <c r="B5206" s="0" t="s">
        <v>5193</v>
      </c>
    </row>
    <row r="5207" customFormat="false" ht="15" hidden="false" customHeight="false" outlineLevel="0" collapsed="false">
      <c r="A5207" s="0" t="e">
        <f aca="false">COLUMNS(GROWTH(Data!K1:K4,Data!M1:M4,3))</f>
        <v>#VALUE!</v>
      </c>
      <c r="B5207" s="0" t="s">
        <v>5194</v>
      </c>
    </row>
    <row r="5208" customFormat="false" ht="15" hidden="false" customHeight="false" outlineLevel="0" collapsed="false">
      <c r="A5208" s="0" t="e">
        <f aca="false">INDEX(GROWTH(Data!K1:K4,Data!M1:M4,3),1,1)</f>
        <v>#VALUE!</v>
      </c>
      <c r="B5208" s="0" t="s">
        <v>5195</v>
      </c>
    </row>
    <row r="5209" customFormat="false" ht="15" hidden="false" customHeight="false" outlineLevel="0" collapsed="false">
      <c r="A5209" s="0" t="e">
        <f aca="false">INDEX(GROWTH(Data!K1:K4,Data!M1:M4,3),1,2)</f>
        <v>#VALUE!</v>
      </c>
      <c r="B5209" s="0" t="s">
        <v>5196</v>
      </c>
    </row>
    <row r="5210" customFormat="false" ht="15" hidden="false" customHeight="false" outlineLevel="0" collapsed="false">
      <c r="A5210" s="0" t="e">
        <f aca="false">INDEX(GROWTH(Data!K1:K4,Data!M1:M4,3),2,1)</f>
        <v>#VALUE!</v>
      </c>
      <c r="B5210" s="0" t="s">
        <v>5197</v>
      </c>
    </row>
    <row r="5211" customFormat="false" ht="15" hidden="false" customHeight="false" outlineLevel="0" collapsed="false">
      <c r="A5211" s="0" t="e">
        <f aca="false">INDEX(GROWTH(Data!K1:K4,Data!M1:M4,3),2,2)</f>
        <v>#VALUE!</v>
      </c>
      <c r="B5211" s="0" t="s">
        <v>5198</v>
      </c>
    </row>
    <row r="5212" customFormat="false" ht="15" hidden="false" customHeight="false" outlineLevel="0" collapsed="false">
      <c r="A5212" s="0" t="e">
        <f aca="false">INDEX(GROWTH(Data!K1:K4,Data!M1:M4,3),3,1)</f>
        <v>#VALUE!</v>
      </c>
      <c r="B5212" s="0" t="s">
        <v>5199</v>
      </c>
    </row>
    <row r="5213" customFormat="false" ht="15" hidden="false" customHeight="false" outlineLevel="0" collapsed="false">
      <c r="A5213" s="0" t="e">
        <f aca="false">INDEX(GROWTH(Data!K1:K4,Data!M1:M4,3),3,2)</f>
        <v>#VALUE!</v>
      </c>
      <c r="B5213" s="0" t="s">
        <v>5200</v>
      </c>
    </row>
    <row r="5214" customFormat="false" ht="15" hidden="false" customHeight="false" outlineLevel="0" collapsed="false">
      <c r="A5214" s="0" t="e">
        <f aca="false">ROWS(GROWTH(Data!K1:K8,Data!A1:A8,Data!D1:D3))</f>
        <v>#VALUE!</v>
      </c>
      <c r="B5214" s="0" t="s">
        <v>5201</v>
      </c>
    </row>
    <row r="5215" customFormat="false" ht="15" hidden="false" customHeight="false" outlineLevel="0" collapsed="false">
      <c r="A5215" s="0" t="e">
        <f aca="false">COLUMNS(GROWTH(Data!K1:K8,Data!A1:A8,Data!D1:D3))</f>
        <v>#VALUE!</v>
      </c>
      <c r="B5215" s="0" t="s">
        <v>5202</v>
      </c>
    </row>
    <row r="5216" customFormat="false" ht="15" hidden="false" customHeight="false" outlineLevel="0" collapsed="false">
      <c r="A5216" s="0" t="e">
        <f aca="false">INDEX(GROWTH(Data!K1:K8,Data!A1:A8,Data!D1:D3),1,1)</f>
        <v>#VALUE!</v>
      </c>
      <c r="B5216" s="0" t="s">
        <v>5203</v>
      </c>
    </row>
    <row r="5217" customFormat="false" ht="15" hidden="false" customHeight="false" outlineLevel="0" collapsed="false">
      <c r="A5217" s="0" t="e">
        <f aca="false">INDEX(GROWTH(Data!K1:K8,Data!A1:A8,Data!D1:D3),1,2)</f>
        <v>#VALUE!</v>
      </c>
      <c r="B5217" s="0" t="s">
        <v>5204</v>
      </c>
    </row>
    <row r="5218" customFormat="false" ht="15" hidden="false" customHeight="false" outlineLevel="0" collapsed="false">
      <c r="A5218" s="0" t="e">
        <f aca="false">INDEX(GROWTH(Data!K1:K8,Data!A1:A8,Data!D1:D3),2,1)</f>
        <v>#VALUE!</v>
      </c>
      <c r="B5218" s="0" t="s">
        <v>5205</v>
      </c>
    </row>
    <row r="5219" customFormat="false" ht="15" hidden="false" customHeight="false" outlineLevel="0" collapsed="false">
      <c r="A5219" s="0" t="e">
        <f aca="false">INDEX(GROWTH(Data!K1:K8,Data!A1:A8,Data!D1:D3),2,2)</f>
        <v>#VALUE!</v>
      </c>
      <c r="B5219" s="0" t="s">
        <v>5206</v>
      </c>
    </row>
    <row r="5220" customFormat="false" ht="15" hidden="false" customHeight="false" outlineLevel="0" collapsed="false">
      <c r="A5220" s="0" t="e">
        <f aca="false">INDEX(GROWTH(Data!K1:K8,Data!A1:A8,Data!D1:D3),3,1)</f>
        <v>#VALUE!</v>
      </c>
      <c r="B5220" s="0" t="s">
        <v>5207</v>
      </c>
    </row>
    <row r="5221" customFormat="false" ht="15" hidden="false" customHeight="false" outlineLevel="0" collapsed="false">
      <c r="A5221" s="0" t="e">
        <f aca="false">INDEX(GROWTH(Data!K1:K8,Data!A1:A8,Data!D1:D3),3,2)</f>
        <v>#VALUE!</v>
      </c>
      <c r="B5221" s="0" t="s">
        <v>5208</v>
      </c>
    </row>
    <row r="5222" customFormat="false" ht="15" hidden="false" customHeight="false" outlineLevel="0" collapsed="false">
      <c r="A5222" s="0" t="n">
        <f aca="false">ROWS(GROWTH({1;2;4;8},{1;2;3;4},{5;6}))</f>
        <v>2</v>
      </c>
      <c r="B5222" s="0" t="s">
        <v>5209</v>
      </c>
    </row>
    <row r="5223" customFormat="false" ht="15" hidden="false" customHeight="false" outlineLevel="0" collapsed="false">
      <c r="A5223" s="0" t="n">
        <f aca="false">COLUMNS(GROWTH({1;2;4;8},{1;2;3;4},{5;6}))</f>
        <v>1</v>
      </c>
      <c r="B5223" s="0" t="s">
        <v>5210</v>
      </c>
    </row>
    <row r="5224" customFormat="false" ht="15" hidden="false" customHeight="false" outlineLevel="0" collapsed="false">
      <c r="A5224" s="0" t="n">
        <f aca="false">INDEX(GROWTH({1;2;4;8},{1;2;3;4},{5;6}),1,1)</f>
        <v>16</v>
      </c>
      <c r="B5224" s="0" t="s">
        <v>5211</v>
      </c>
    </row>
    <row r="5225" customFormat="false" ht="15" hidden="false" customHeight="false" outlineLevel="0" collapsed="false">
      <c r="A5225" s="0" t="e">
        <f aca="false">INDEX(GROWTH({1;2;4;8},{1;2;3;4},{5;6}),1,2)</f>
        <v>#REF!</v>
      </c>
      <c r="B5225" s="0" t="s">
        <v>5212</v>
      </c>
    </row>
    <row r="5226" customFormat="false" ht="15" hidden="false" customHeight="false" outlineLevel="0" collapsed="false">
      <c r="A5226" s="0" t="n">
        <f aca="false">INDEX(GROWTH({1;2;4;8},{1;2;3;4},{5;6}),2,1)</f>
        <v>32</v>
      </c>
      <c r="B5226" s="0" t="s">
        <v>5213</v>
      </c>
    </row>
    <row r="5227" customFormat="false" ht="15" hidden="false" customHeight="false" outlineLevel="0" collapsed="false">
      <c r="A5227" s="0" t="e">
        <f aca="false">INDEX(GROWTH({1;2;4;8},{1;2;3;4},{5;6}),2,2)</f>
        <v>#REF!</v>
      </c>
      <c r="B5227" s="0" t="s">
        <v>5214</v>
      </c>
    </row>
    <row r="5228" customFormat="false" ht="15" hidden="false" customHeight="false" outlineLevel="0" collapsed="false">
      <c r="A5228" s="0" t="e">
        <f aca="false">INDEX(GROWTH({1;2;4;8},{1;2;3;4},{5;6}),3,1)</f>
        <v>#REF!</v>
      </c>
      <c r="B5228" s="0" t="s">
        <v>5215</v>
      </c>
    </row>
    <row r="5229" customFormat="false" ht="15" hidden="false" customHeight="false" outlineLevel="0" collapsed="false">
      <c r="A5229" s="0" t="e">
        <f aca="false">INDEX(GROWTH({1;2;4;8},{1;2;3;4},{5;6}),3,2)</f>
        <v>#REF!</v>
      </c>
      <c r="B5229" s="0" t="s">
        <v>5216</v>
      </c>
    </row>
    <row r="5230" customFormat="false" ht="15" hidden="false" customHeight="false" outlineLevel="0" collapsed="false">
      <c r="A5230" s="0" t="e">
        <f aca="false">ROWS(GROWTH({-1;2;4;8},{1;2;3;4},{5;6}))</f>
        <v>#VALUE!</v>
      </c>
      <c r="B5230" s="0" t="s">
        <v>5217</v>
      </c>
    </row>
    <row r="5231" customFormat="false" ht="15" hidden="false" customHeight="false" outlineLevel="0" collapsed="false">
      <c r="A5231" s="0" t="e">
        <f aca="false">COLUMNS(GROWTH({-1;2;4;8},{1;2;3;4},{5;6}))</f>
        <v>#VALUE!</v>
      </c>
      <c r="B5231" s="0" t="s">
        <v>5218</v>
      </c>
    </row>
    <row r="5232" customFormat="false" ht="15" hidden="false" customHeight="false" outlineLevel="0" collapsed="false">
      <c r="A5232" s="0" t="e">
        <f aca="false">INDEX(GROWTH({-1;2;4;8},{1;2;3;4},{5;6}),1,1)</f>
        <v>#VALUE!</v>
      </c>
      <c r="B5232" s="0" t="s">
        <v>5219</v>
      </c>
    </row>
    <row r="5233" customFormat="false" ht="15" hidden="false" customHeight="false" outlineLevel="0" collapsed="false">
      <c r="A5233" s="0" t="e">
        <f aca="false">INDEX(GROWTH({-1;2;4;8},{1;2;3;4},{5;6}),1,2)</f>
        <v>#VALUE!</v>
      </c>
      <c r="B5233" s="0" t="s">
        <v>5220</v>
      </c>
    </row>
    <row r="5234" customFormat="false" ht="15" hidden="false" customHeight="false" outlineLevel="0" collapsed="false">
      <c r="A5234" s="0" t="e">
        <f aca="false">INDEX(GROWTH({-1;2;4;8},{1;2;3;4},{5;6}),2,1)</f>
        <v>#VALUE!</v>
      </c>
      <c r="B5234" s="0" t="s">
        <v>5221</v>
      </c>
    </row>
    <row r="5235" customFormat="false" ht="15" hidden="false" customHeight="false" outlineLevel="0" collapsed="false">
      <c r="A5235" s="0" t="e">
        <f aca="false">INDEX(GROWTH({-1;2;4;8},{1;2;3;4},{5;6}),2,2)</f>
        <v>#VALUE!</v>
      </c>
      <c r="B5235" s="0" t="s">
        <v>5222</v>
      </c>
    </row>
    <row r="5236" customFormat="false" ht="15" hidden="false" customHeight="false" outlineLevel="0" collapsed="false">
      <c r="A5236" s="0" t="e">
        <f aca="false">INDEX(GROWTH({-1;2;4;8},{1;2;3;4},{5;6}),3,1)</f>
        <v>#VALUE!</v>
      </c>
      <c r="B5236" s="0" t="s">
        <v>5223</v>
      </c>
    </row>
    <row r="5237" customFormat="false" ht="15" hidden="false" customHeight="false" outlineLevel="0" collapsed="false">
      <c r="A5237" s="0" t="e">
        <f aca="false">INDEX(GROWTH({-1;2;4;8},{1;2;3;4},{5;6}),3,2)</f>
        <v>#VALUE!</v>
      </c>
      <c r="B5237" s="0" t="s">
        <v>5224</v>
      </c>
    </row>
    <row r="5238" customFormat="false" ht="15" hidden="false" customHeight="false" outlineLevel="0" collapsed="false">
      <c r="A5238" s="0" t="n">
        <f aca="false">ROWS(GROWTH({3;3;3},{1;2;3},{4}))</f>
        <v>1</v>
      </c>
      <c r="B5238" s="0" t="s">
        <v>5225</v>
      </c>
    </row>
    <row r="5239" customFormat="false" ht="15" hidden="false" customHeight="false" outlineLevel="0" collapsed="false">
      <c r="A5239" s="0" t="n">
        <f aca="false">COLUMNS(GROWTH({3;3;3},{1;2;3},{4}))</f>
        <v>1</v>
      </c>
      <c r="B5239" s="0" t="s">
        <v>5226</v>
      </c>
    </row>
    <row r="5240" customFormat="false" ht="15" hidden="false" customHeight="false" outlineLevel="0" collapsed="false">
      <c r="A5240" s="0" t="n">
        <f aca="false">INDEX(GROWTH({3;3;3},{1;2;3},{4}),1,1)</f>
        <v>3</v>
      </c>
      <c r="B5240" s="0" t="s">
        <v>5227</v>
      </c>
    </row>
    <row r="5241" customFormat="false" ht="15" hidden="false" customHeight="false" outlineLevel="0" collapsed="false">
      <c r="A5241" s="0" t="e">
        <f aca="false">INDEX(GROWTH({3;3;3},{1;2;3},{4}),1,2)</f>
        <v>#REF!</v>
      </c>
      <c r="B5241" s="0" t="s">
        <v>5228</v>
      </c>
    </row>
    <row r="5242" customFormat="false" ht="15" hidden="false" customHeight="false" outlineLevel="0" collapsed="false">
      <c r="A5242" s="0" t="e">
        <f aca="false">INDEX(GROWTH({3;3;3},{1;2;3},{4}),2,1)</f>
        <v>#REF!</v>
      </c>
      <c r="B5242" s="0" t="s">
        <v>5229</v>
      </c>
    </row>
    <row r="5243" customFormat="false" ht="15" hidden="false" customHeight="false" outlineLevel="0" collapsed="false">
      <c r="A5243" s="0" t="e">
        <f aca="false">INDEX(GROWTH({3;3;3},{1;2;3},{4}),2,2)</f>
        <v>#REF!</v>
      </c>
      <c r="B5243" s="0" t="s">
        <v>5230</v>
      </c>
    </row>
    <row r="5244" customFormat="false" ht="15" hidden="false" customHeight="false" outlineLevel="0" collapsed="false">
      <c r="A5244" s="0" t="e">
        <f aca="false">INDEX(GROWTH({3;3;3},{1;2;3},{4}),3,1)</f>
        <v>#REF!</v>
      </c>
      <c r="B5244" s="0" t="s">
        <v>5231</v>
      </c>
    </row>
    <row r="5245" customFormat="false" ht="15" hidden="false" customHeight="false" outlineLevel="0" collapsed="false">
      <c r="A5245" s="0" t="e">
        <f aca="false">INDEX(GROWTH({3;3;3},{1;2;3},{4}),3,2)</f>
        <v>#REF!</v>
      </c>
      <c r="B5245" s="0" t="s">
        <v>5232</v>
      </c>
    </row>
    <row r="5246" customFormat="false" ht="15" hidden="false" customHeight="false" outlineLevel="0" collapsed="false">
      <c r="A5246" s="0" t="n">
        <f aca="false">ROWS(GROWTH(Data!K1:K8,Data!BG1:BH8,Data!BG1:BH2))</f>
        <v>2</v>
      </c>
      <c r="B5246" s="0" t="s">
        <v>5233</v>
      </c>
    </row>
    <row r="5247" customFormat="false" ht="15" hidden="false" customHeight="false" outlineLevel="0" collapsed="false">
      <c r="A5247" s="0" t="n">
        <f aca="false">COLUMNS(GROWTH(Data!K1:K8,Data!BG1:BH8,Data!BG1:BH2))</f>
        <v>1</v>
      </c>
      <c r="B5247" s="0" t="s">
        <v>5234</v>
      </c>
    </row>
    <row r="5248" customFormat="false" ht="15" hidden="false" customHeight="false" outlineLevel="0" collapsed="false">
      <c r="A5248" s="0" t="n">
        <f aca="false">INDEX(GROWTH(Data!K1:K8,Data!BG1:BH8,Data!BG1:BH2),1,1)</f>
        <v>3.13773189608081</v>
      </c>
      <c r="B5248" s="0" t="s">
        <v>5235</v>
      </c>
    </row>
    <row r="5249" customFormat="false" ht="15" hidden="false" customHeight="false" outlineLevel="0" collapsed="false">
      <c r="A5249" s="0" t="e">
        <f aca="false">INDEX(GROWTH(Data!K1:K8,Data!BG1:BH8,Data!BG1:BH2),1,2)</f>
        <v>#REF!</v>
      </c>
      <c r="B5249" s="0" t="s">
        <v>5236</v>
      </c>
    </row>
    <row r="5250" customFormat="false" ht="15" hidden="false" customHeight="false" outlineLevel="0" collapsed="false">
      <c r="A5250" s="0" t="n">
        <f aca="false">INDEX(GROWTH(Data!K1:K8,Data!BG1:BH8,Data!BG1:BH2),2,1)</f>
        <v>4.29515259957918</v>
      </c>
      <c r="B5250" s="0" t="s">
        <v>5237</v>
      </c>
    </row>
    <row r="5251" customFormat="false" ht="15" hidden="false" customHeight="false" outlineLevel="0" collapsed="false">
      <c r="A5251" s="0" t="e">
        <f aca="false">INDEX(GROWTH(Data!K1:K8,Data!BG1:BH8,Data!BG1:BH2),2,2)</f>
        <v>#REF!</v>
      </c>
      <c r="B5251" s="0" t="s">
        <v>5238</v>
      </c>
    </row>
    <row r="5252" customFormat="false" ht="15" hidden="false" customHeight="false" outlineLevel="0" collapsed="false">
      <c r="A5252" s="0" t="e">
        <f aca="false">INDEX(GROWTH(Data!K1:K8,Data!BG1:BH8,Data!BG1:BH2),3,1)</f>
        <v>#REF!</v>
      </c>
      <c r="B5252" s="0" t="s">
        <v>5239</v>
      </c>
    </row>
    <row r="5253" customFormat="false" ht="15" hidden="false" customHeight="false" outlineLevel="0" collapsed="false">
      <c r="A5253" s="0" t="e">
        <f aca="false">INDEX(GROWTH(Data!K1:K8,Data!BG1:BH8,Data!BG1:BH2),3,2)</f>
        <v>#REF!</v>
      </c>
      <c r="B5253" s="0" t="s">
        <v>5240</v>
      </c>
    </row>
    <row r="5254" customFormat="false" ht="15" hidden="false" customHeight="false" outlineLevel="0" collapsed="false">
      <c r="A5254" s="0" t="e">
        <f aca="false">ROWS(GROWTH(Data!K1:K8,Data!BG1:BH8,Data!BG1:BG2))</f>
        <v>#VALUE!</v>
      </c>
      <c r="B5254" s="0" t="s">
        <v>5241</v>
      </c>
    </row>
    <row r="5255" customFormat="false" ht="15" hidden="false" customHeight="false" outlineLevel="0" collapsed="false">
      <c r="A5255" s="0" t="e">
        <f aca="false">COLUMNS(GROWTH(Data!K1:K8,Data!BG1:BH8,Data!BG1:BG2))</f>
        <v>#VALUE!</v>
      </c>
      <c r="B5255" s="0" t="s">
        <v>5242</v>
      </c>
    </row>
    <row r="5256" customFormat="false" ht="15" hidden="false" customHeight="false" outlineLevel="0" collapsed="false">
      <c r="A5256" s="0" t="e">
        <f aca="false">INDEX(GROWTH(Data!K1:K8,Data!BG1:BH8,Data!BG1:BG2),1,1)</f>
        <v>#VALUE!</v>
      </c>
      <c r="B5256" s="0" t="s">
        <v>5243</v>
      </c>
    </row>
    <row r="5257" customFormat="false" ht="15" hidden="false" customHeight="false" outlineLevel="0" collapsed="false">
      <c r="A5257" s="0" t="e">
        <f aca="false">INDEX(GROWTH(Data!K1:K8,Data!BG1:BH8,Data!BG1:BG2),1,2)</f>
        <v>#VALUE!</v>
      </c>
      <c r="B5257" s="0" t="s">
        <v>5244</v>
      </c>
    </row>
    <row r="5258" customFormat="false" ht="15" hidden="false" customHeight="false" outlineLevel="0" collapsed="false">
      <c r="A5258" s="0" t="e">
        <f aca="false">INDEX(GROWTH(Data!K1:K8,Data!BG1:BH8,Data!BG1:BG2),2,1)</f>
        <v>#VALUE!</v>
      </c>
      <c r="B5258" s="0" t="s">
        <v>5245</v>
      </c>
    </row>
    <row r="5259" customFormat="false" ht="15" hidden="false" customHeight="false" outlineLevel="0" collapsed="false">
      <c r="A5259" s="0" t="e">
        <f aca="false">INDEX(GROWTH(Data!K1:K8,Data!BG1:BH8,Data!BG1:BG2),2,2)</f>
        <v>#VALUE!</v>
      </c>
      <c r="B5259" s="0" t="s">
        <v>5246</v>
      </c>
    </row>
    <row r="5260" customFormat="false" ht="15" hidden="false" customHeight="false" outlineLevel="0" collapsed="false">
      <c r="A5260" s="0" t="e">
        <f aca="false">INDEX(GROWTH(Data!K1:K8,Data!BG1:BH8,Data!BG1:BG2),3,1)</f>
        <v>#VALUE!</v>
      </c>
      <c r="B5260" s="0" t="s">
        <v>5247</v>
      </c>
    </row>
    <row r="5261" customFormat="false" ht="15" hidden="false" customHeight="false" outlineLevel="0" collapsed="false">
      <c r="A5261" s="0" t="e">
        <f aca="false">INDEX(GROWTH(Data!K1:K8,Data!BG1:BH8,Data!BG1:BG2),3,2)</f>
        <v>#VALUE!</v>
      </c>
      <c r="B5261" s="0" t="s">
        <v>5248</v>
      </c>
    </row>
    <row r="5262" customFormat="false" ht="15" hidden="false" customHeight="false" outlineLevel="0" collapsed="false">
      <c r="A5262" s="0" t="n">
        <f aca="false">ROWS(GROWTH(Data!K1:K8,Data!A1:A8,{10,11;12,13}))</f>
        <v>2</v>
      </c>
      <c r="B5262" s="0" t="s">
        <v>5249</v>
      </c>
    </row>
    <row r="5263" customFormat="false" ht="15" hidden="false" customHeight="false" outlineLevel="0" collapsed="false">
      <c r="A5263" s="0" t="n">
        <f aca="false">COLUMNS(GROWTH(Data!K1:K8,Data!A1:A8,{10,11;12,13}))</f>
        <v>2</v>
      </c>
      <c r="B5263" s="0" t="s">
        <v>5250</v>
      </c>
    </row>
    <row r="5264" customFormat="false" ht="15" hidden="false" customHeight="false" outlineLevel="0" collapsed="false">
      <c r="A5264" s="0" t="n">
        <f aca="false">INDEX(GROWTH(Data!K1:K8,Data!A1:A8,{10,11;12,13}),1,1)</f>
        <v>5.32856207842536</v>
      </c>
      <c r="B5264" s="0" t="s">
        <v>5251</v>
      </c>
    </row>
    <row r="5265" customFormat="false" ht="15" hidden="false" customHeight="false" outlineLevel="0" collapsed="false">
      <c r="A5265" s="0" t="n">
        <f aca="false">INDEX(GROWTH(Data!K1:K8,Data!A1:A8,{10,11;12,13}),1,2)</f>
        <v>5.39097830058846</v>
      </c>
      <c r="B5265" s="0" t="s">
        <v>5252</v>
      </c>
    </row>
    <row r="5266" customFormat="false" ht="15" hidden="false" customHeight="false" outlineLevel="0" collapsed="false">
      <c r="A5266" s="0" t="n">
        <f aca="false">INDEX(GROWTH(Data!K1:K8,Data!A1:A8,{10,11;12,13}),2,1)</f>
        <v>5.45412563646138</v>
      </c>
      <c r="B5266" s="0" t="s">
        <v>5253</v>
      </c>
    </row>
    <row r="5267" customFormat="false" ht="15" hidden="false" customHeight="false" outlineLevel="0" collapsed="false">
      <c r="A5267" s="0" t="n">
        <f aca="false">INDEX(GROWTH(Data!K1:K8,Data!A1:A8,{10,11;12,13}),2,2)</f>
        <v>5.51801264995968</v>
      </c>
      <c r="B5267" s="0" t="s">
        <v>5254</v>
      </c>
    </row>
    <row r="5268" customFormat="false" ht="15" hidden="false" customHeight="false" outlineLevel="0" collapsed="false">
      <c r="A5268" s="0" t="e">
        <f aca="false">INDEX(GROWTH(Data!K1:K8,Data!A1:A8,{10,11;12,13}),3,1)</f>
        <v>#REF!</v>
      </c>
      <c r="B5268" s="0" t="s">
        <v>5255</v>
      </c>
    </row>
    <row r="5269" customFormat="false" ht="15" hidden="false" customHeight="false" outlineLevel="0" collapsed="false">
      <c r="A5269" s="0" t="e">
        <f aca="false">INDEX(GROWTH(Data!K1:K8,Data!A1:A8,{10,11;12,13}),3,2)</f>
        <v>#REF!</v>
      </c>
      <c r="B5269" s="0" t="s">
        <v>5256</v>
      </c>
    </row>
    <row r="5270" customFormat="false" ht="15" hidden="false" customHeight="false" outlineLevel="0" collapsed="false">
      <c r="A5270" s="0" t="n">
        <f aca="false">ROWS(GROWTH(Data!K1:K8,Data!A1:A8,TRUE()))</f>
        <v>1</v>
      </c>
      <c r="B5270" s="0" t="s">
        <v>5257</v>
      </c>
    </row>
    <row r="5271" customFormat="false" ht="15" hidden="false" customHeight="false" outlineLevel="0" collapsed="false">
      <c r="A5271" s="0" t="n">
        <f aca="false">COLUMNS(GROWTH(Data!K1:K8,Data!A1:A8,TRUE()))</f>
        <v>1</v>
      </c>
      <c r="B5271" s="0" t="s">
        <v>5258</v>
      </c>
    </row>
    <row r="5272" customFormat="false" ht="15" hidden="false" customHeight="false" outlineLevel="0" collapsed="false">
      <c r="A5272" s="0" t="n">
        <f aca="false">INDEX(GROWTH(Data!K1:K8,Data!A1:A8,TRUE()),1,1)</f>
        <v>4.79835133312416</v>
      </c>
      <c r="B5272" s="0" t="s">
        <v>5259</v>
      </c>
    </row>
    <row r="5273" customFormat="false" ht="15" hidden="false" customHeight="false" outlineLevel="0" collapsed="false">
      <c r="A5273" s="0" t="e">
        <f aca="false">INDEX(GROWTH(Data!K1:K8,Data!A1:A8,TRUE()),1,2)</f>
        <v>#REF!</v>
      </c>
      <c r="B5273" s="0" t="s">
        <v>5260</v>
      </c>
    </row>
    <row r="5274" customFormat="false" ht="15" hidden="false" customHeight="false" outlineLevel="0" collapsed="false">
      <c r="A5274" s="0" t="e">
        <f aca="false">INDEX(GROWTH(Data!K1:K8,Data!A1:A8,TRUE()),2,1)</f>
        <v>#REF!</v>
      </c>
      <c r="B5274" s="0" t="s">
        <v>5261</v>
      </c>
    </row>
    <row r="5275" customFormat="false" ht="15" hidden="false" customHeight="false" outlineLevel="0" collapsed="false">
      <c r="A5275" s="0" t="e">
        <f aca="false">INDEX(GROWTH(Data!K1:K8,Data!A1:A8,TRUE()),2,2)</f>
        <v>#REF!</v>
      </c>
      <c r="B5275" s="0" t="s">
        <v>5262</v>
      </c>
    </row>
    <row r="5276" customFormat="false" ht="15" hidden="false" customHeight="false" outlineLevel="0" collapsed="false">
      <c r="A5276" s="0" t="e">
        <f aca="false">INDEX(GROWTH(Data!K1:K8,Data!A1:A8,TRUE()),3,1)</f>
        <v>#REF!</v>
      </c>
      <c r="B5276" s="0" t="s">
        <v>5263</v>
      </c>
    </row>
    <row r="5277" customFormat="false" ht="15" hidden="false" customHeight="false" outlineLevel="0" collapsed="false">
      <c r="A5277" s="0" t="e">
        <f aca="false">INDEX(GROWTH(Data!K1:K8,Data!A1:A8,TRUE()),3,2)</f>
        <v>#REF!</v>
      </c>
      <c r="B5277" s="0" t="s">
        <v>5264</v>
      </c>
    </row>
    <row r="5278" customFormat="false" ht="15" hidden="false" customHeight="false" outlineLevel="0" collapsed="false">
      <c r="A5278" s="0" t="n">
        <f aca="false">ROWS(GROWTH(Data!K1:K8,Data!A1:A8,{10;11},TRUE()))</f>
        <v>2</v>
      </c>
      <c r="B5278" s="0" t="s">
        <v>5265</v>
      </c>
    </row>
    <row r="5279" customFormat="false" ht="15" hidden="false" customHeight="false" outlineLevel="0" collapsed="false">
      <c r="A5279" s="0" t="n">
        <f aca="false">COLUMNS(GROWTH(Data!K1:K8,Data!A1:A8,{10;11},TRUE()))</f>
        <v>1</v>
      </c>
      <c r="B5279" s="0" t="s">
        <v>5266</v>
      </c>
    </row>
    <row r="5280" customFormat="false" ht="15" hidden="false" customHeight="false" outlineLevel="0" collapsed="false">
      <c r="A5280" s="0" t="n">
        <f aca="false">INDEX(GROWTH(Data!K1:K8,Data!A1:A8,{10;11},TRUE()),1,1)</f>
        <v>5.32856207842536</v>
      </c>
      <c r="B5280" s="0" t="s">
        <v>5267</v>
      </c>
    </row>
    <row r="5281" customFormat="false" ht="15" hidden="false" customHeight="false" outlineLevel="0" collapsed="false">
      <c r="A5281" s="0" t="e">
        <f aca="false">INDEX(GROWTH(Data!K1:K8,Data!A1:A8,{10;11},TRUE()),1,2)</f>
        <v>#REF!</v>
      </c>
      <c r="B5281" s="0" t="s">
        <v>5268</v>
      </c>
    </row>
    <row r="5282" customFormat="false" ht="15" hidden="false" customHeight="false" outlineLevel="0" collapsed="false">
      <c r="A5282" s="0" t="n">
        <f aca="false">INDEX(GROWTH(Data!K1:K8,Data!A1:A8,{10;11},TRUE()),2,1)</f>
        <v>5.39097830058846</v>
      </c>
      <c r="B5282" s="0" t="s">
        <v>5269</v>
      </c>
    </row>
    <row r="5283" customFormat="false" ht="15" hidden="false" customHeight="false" outlineLevel="0" collapsed="false">
      <c r="A5283" s="0" t="e">
        <f aca="false">INDEX(GROWTH(Data!K1:K8,Data!A1:A8,{10;11},TRUE()),2,2)</f>
        <v>#REF!</v>
      </c>
      <c r="B5283" s="0" t="s">
        <v>5270</v>
      </c>
    </row>
    <row r="5284" customFormat="false" ht="15" hidden="false" customHeight="false" outlineLevel="0" collapsed="false">
      <c r="A5284" s="0" t="e">
        <f aca="false">INDEX(GROWTH(Data!K1:K8,Data!A1:A8,{10;11},TRUE()),3,1)</f>
        <v>#REF!</v>
      </c>
      <c r="B5284" s="0" t="s">
        <v>5271</v>
      </c>
    </row>
    <row r="5285" customFormat="false" ht="15" hidden="false" customHeight="false" outlineLevel="0" collapsed="false">
      <c r="A5285" s="0" t="e">
        <f aca="false">INDEX(GROWTH(Data!K1:K8,Data!A1:A8,{10;11},TRUE()),3,2)</f>
        <v>#REF!</v>
      </c>
      <c r="B5285" s="0" t="s">
        <v>5272</v>
      </c>
    </row>
    <row r="5286" customFormat="false" ht="15" hidden="false" customHeight="false" outlineLevel="0" collapsed="false">
      <c r="A5286" s="0" t="n">
        <f aca="false">ROWS(GROWTH(Data!K1:K8,Data!A1:A8,{10;11},FALSE()))</f>
        <v>2</v>
      </c>
      <c r="B5286" s="0" t="s">
        <v>5273</v>
      </c>
    </row>
    <row r="5287" customFormat="false" ht="15" hidden="false" customHeight="false" outlineLevel="0" collapsed="false">
      <c r="A5287" s="0" t="n">
        <f aca="false">COLUMNS(GROWTH(Data!K1:K8,Data!A1:A8,{10;11},FALSE()))</f>
        <v>1</v>
      </c>
      <c r="B5287" s="0" t="s">
        <v>5274</v>
      </c>
    </row>
    <row r="5288" customFormat="false" ht="15" hidden="false" customHeight="false" outlineLevel="0" collapsed="false">
      <c r="A5288" s="0" t="n">
        <f aca="false">INDEX(GROWTH(Data!K1:K8,Data!A1:A8,{10;11},FALSE()),1,1)</f>
        <v>12.8654428731598</v>
      </c>
      <c r="B5288" s="0" t="s">
        <v>5275</v>
      </c>
    </row>
    <row r="5289" customFormat="false" ht="15" hidden="false" customHeight="false" outlineLevel="0" collapsed="false">
      <c r="A5289" s="0" t="e">
        <f aca="false">INDEX(GROWTH(Data!K1:K8,Data!A1:A8,{10;11},FALSE()),1,2)</f>
        <v>#REF!</v>
      </c>
      <c r="B5289" s="0" t="s">
        <v>5276</v>
      </c>
    </row>
    <row r="5290" customFormat="false" ht="15" hidden="false" customHeight="false" outlineLevel="0" collapsed="false">
      <c r="A5290" s="0" t="n">
        <f aca="false">INDEX(GROWTH(Data!K1:K8,Data!A1:A8,{10;11},FALSE()),2,1)</f>
        <v>16.6099075348509</v>
      </c>
      <c r="B5290" s="0" t="s">
        <v>5277</v>
      </c>
    </row>
    <row r="5291" customFormat="false" ht="15" hidden="false" customHeight="false" outlineLevel="0" collapsed="false">
      <c r="A5291" s="0" t="e">
        <f aca="false">INDEX(GROWTH(Data!K1:K8,Data!A1:A8,{10;11},FALSE()),2,2)</f>
        <v>#REF!</v>
      </c>
      <c r="B5291" s="0" t="s">
        <v>5278</v>
      </c>
    </row>
    <row r="5292" customFormat="false" ht="15" hidden="false" customHeight="false" outlineLevel="0" collapsed="false">
      <c r="A5292" s="0" t="e">
        <f aca="false">INDEX(GROWTH(Data!K1:K8,Data!A1:A8,{10;11},FALSE()),3,1)</f>
        <v>#REF!</v>
      </c>
      <c r="B5292" s="0" t="s">
        <v>5279</v>
      </c>
    </row>
    <row r="5293" customFormat="false" ht="15" hidden="false" customHeight="false" outlineLevel="0" collapsed="false">
      <c r="A5293" s="0" t="e">
        <f aca="false">INDEX(GROWTH(Data!K1:K8,Data!A1:A8,{10;11},FALSE()),3,2)</f>
        <v>#REF!</v>
      </c>
      <c r="B5293" s="0" t="s">
        <v>5280</v>
      </c>
    </row>
    <row r="5294" customFormat="false" ht="15" hidden="false" customHeight="false" outlineLevel="0" collapsed="false">
      <c r="A5294" s="0" t="n">
        <f aca="false">ROWS(GROWTH(Data!K1:K8,Data!A1:A8,{10;11},0))</f>
        <v>2</v>
      </c>
      <c r="B5294" s="0" t="s">
        <v>5281</v>
      </c>
    </row>
    <row r="5295" customFormat="false" ht="15" hidden="false" customHeight="false" outlineLevel="0" collapsed="false">
      <c r="A5295" s="0" t="n">
        <f aca="false">COLUMNS(GROWTH(Data!K1:K8,Data!A1:A8,{10;11},0))</f>
        <v>1</v>
      </c>
      <c r="B5295" s="0" t="s">
        <v>5282</v>
      </c>
    </row>
    <row r="5296" customFormat="false" ht="15" hidden="false" customHeight="false" outlineLevel="0" collapsed="false">
      <c r="A5296" s="0" t="n">
        <f aca="false">INDEX(GROWTH(Data!K1:K8,Data!A1:A8,{10;11},0),1,1)</f>
        <v>12.8654428731598</v>
      </c>
      <c r="B5296" s="0" t="s">
        <v>5283</v>
      </c>
    </row>
    <row r="5297" customFormat="false" ht="15" hidden="false" customHeight="false" outlineLevel="0" collapsed="false">
      <c r="A5297" s="0" t="e">
        <f aca="false">INDEX(GROWTH(Data!K1:K8,Data!A1:A8,{10;11},0),1,2)</f>
        <v>#REF!</v>
      </c>
      <c r="B5297" s="0" t="s">
        <v>5284</v>
      </c>
    </row>
    <row r="5298" customFormat="false" ht="15" hidden="false" customHeight="false" outlineLevel="0" collapsed="false">
      <c r="A5298" s="0" t="n">
        <f aca="false">INDEX(GROWTH(Data!K1:K8,Data!A1:A8,{10;11},0),2,1)</f>
        <v>16.6099075348509</v>
      </c>
      <c r="B5298" s="0" t="s">
        <v>5285</v>
      </c>
    </row>
    <row r="5299" customFormat="false" ht="15" hidden="false" customHeight="false" outlineLevel="0" collapsed="false">
      <c r="A5299" s="0" t="e">
        <f aca="false">INDEX(GROWTH(Data!K1:K8,Data!A1:A8,{10;11},0),2,2)</f>
        <v>#REF!</v>
      </c>
      <c r="B5299" s="0" t="s">
        <v>5286</v>
      </c>
    </row>
    <row r="5300" customFormat="false" ht="15" hidden="false" customHeight="false" outlineLevel="0" collapsed="false">
      <c r="A5300" s="0" t="e">
        <f aca="false">INDEX(GROWTH(Data!K1:K8,Data!A1:A8,{10;11},0),3,1)</f>
        <v>#REF!</v>
      </c>
      <c r="B5300" s="0" t="s">
        <v>5287</v>
      </c>
    </row>
    <row r="5301" customFormat="false" ht="15" hidden="false" customHeight="false" outlineLevel="0" collapsed="false">
      <c r="A5301" s="0" t="e">
        <f aca="false">INDEX(GROWTH(Data!K1:K8,Data!A1:A8,{10;11},0),3,2)</f>
        <v>#REF!</v>
      </c>
      <c r="B5301" s="0" t="s">
        <v>5288</v>
      </c>
    </row>
    <row r="5302" customFormat="false" ht="15" hidden="false" customHeight="false" outlineLevel="0" collapsed="false">
      <c r="A5302" s="0" t="e">
        <f aca="false">ROWS(GROWTH(Data!K1:K8,Data!A1:A8,{10;11},,))</f>
        <v>#VALUE!</v>
      </c>
      <c r="B5302" s="0" t="s">
        <v>5289</v>
      </c>
    </row>
    <row r="5303" customFormat="false" ht="15" hidden="false" customHeight="false" outlineLevel="0" collapsed="false">
      <c r="A5303" s="0" t="e">
        <f aca="false">COLUMNS(GROWTH(Data!K1:K8,Data!A1:A8,{10;11},,))</f>
        <v>#VALUE!</v>
      </c>
      <c r="B5303" s="0" t="s">
        <v>5290</v>
      </c>
    </row>
    <row r="5304" customFormat="false" ht="15" hidden="false" customHeight="false" outlineLevel="0" collapsed="false">
      <c r="A5304" s="0" t="e">
        <f aca="false">INDEX(GROWTH(Data!K1:K8,Data!A1:A8,{10;11},,),1,1)</f>
        <v>#VALUE!</v>
      </c>
      <c r="B5304" s="0" t="s">
        <v>5291</v>
      </c>
    </row>
    <row r="5305" customFormat="false" ht="15" hidden="false" customHeight="false" outlineLevel="0" collapsed="false">
      <c r="A5305" s="0" t="e">
        <f aca="false">INDEX(GROWTH(Data!K1:K8,Data!A1:A8,{10;11},,),1,2)</f>
        <v>#VALUE!</v>
      </c>
      <c r="B5305" s="0" t="s">
        <v>5292</v>
      </c>
    </row>
    <row r="5306" customFormat="false" ht="15" hidden="false" customHeight="false" outlineLevel="0" collapsed="false">
      <c r="A5306" s="0" t="e">
        <f aca="false">INDEX(GROWTH(Data!K1:K8,Data!A1:A8,{10;11},,),2,1)</f>
        <v>#VALUE!</v>
      </c>
      <c r="B5306" s="0" t="s">
        <v>5293</v>
      </c>
    </row>
    <row r="5307" customFormat="false" ht="15" hidden="false" customHeight="false" outlineLevel="0" collapsed="false">
      <c r="A5307" s="0" t="e">
        <f aca="false">INDEX(GROWTH(Data!K1:K8,Data!A1:A8,{10;11},,),2,2)</f>
        <v>#VALUE!</v>
      </c>
      <c r="B5307" s="0" t="s">
        <v>5294</v>
      </c>
    </row>
    <row r="5308" customFormat="false" ht="15" hidden="false" customHeight="false" outlineLevel="0" collapsed="false">
      <c r="A5308" s="0" t="e">
        <f aca="false">INDEX(GROWTH(Data!K1:K8,Data!A1:A8,{10;11},,),3,1)</f>
        <v>#VALUE!</v>
      </c>
      <c r="B5308" s="0" t="s">
        <v>5295</v>
      </c>
    </row>
    <row r="5309" customFormat="false" ht="15" hidden="false" customHeight="false" outlineLevel="0" collapsed="false">
      <c r="A5309" s="0" t="e">
        <f aca="false">INDEX(GROWTH(Data!K1:K8,Data!A1:A8,{10;11},,),3,2)</f>
        <v>#VALUE!</v>
      </c>
      <c r="B5309" s="0" t="s">
        <v>5296</v>
      </c>
    </row>
    <row r="5310" customFormat="false" ht="15" hidden="false" customHeight="false" outlineLevel="0" collapsed="false">
      <c r="A5310" s="0" t="n">
        <f aca="false">ROWS(FREQUENCY(Data!A1:A8,{3;6}))</f>
        <v>3</v>
      </c>
      <c r="B5310" s="0" t="s">
        <v>5297</v>
      </c>
    </row>
    <row r="5311" customFormat="false" ht="15" hidden="false" customHeight="false" outlineLevel="0" collapsed="false">
      <c r="A5311" s="0" t="n">
        <f aca="false">COLUMNS(FREQUENCY(Data!A1:A8,{3;6}))</f>
        <v>1</v>
      </c>
      <c r="B5311" s="0" t="s">
        <v>5298</v>
      </c>
    </row>
    <row r="5312" customFormat="false" ht="15" hidden="false" customHeight="false" outlineLevel="0" collapsed="false">
      <c r="A5312" s="0" t="n">
        <f aca="false">ROWS(FREQUENCY(Data!A1:A8,{3,6}))</f>
        <v>3</v>
      </c>
      <c r="B5312" s="0" t="s">
        <v>5299</v>
      </c>
    </row>
    <row r="5313" customFormat="false" ht="15" hidden="false" customHeight="false" outlineLevel="0" collapsed="false">
      <c r="A5313" s="0" t="n">
        <f aca="false">COLUMNS(FREQUENCY(Data!A1:A8,{3,6}))</f>
        <v>1</v>
      </c>
      <c r="B5313" s="0" t="s">
        <v>5300</v>
      </c>
    </row>
    <row r="5314" customFormat="false" ht="15" hidden="false" customHeight="false" outlineLevel="0" collapsed="false">
      <c r="A5314" s="0" t="n">
        <f aca="false">INDEX(FREQUENCY(Data!A1:A8,{3;6}),1,1)</f>
        <v>3</v>
      </c>
      <c r="B5314" s="0" t="s">
        <v>5301</v>
      </c>
    </row>
    <row r="5315" customFormat="false" ht="15" hidden="false" customHeight="false" outlineLevel="0" collapsed="false">
      <c r="A5315" s="0" t="n">
        <f aca="false">INDEX(FREQUENCY(Data!A1:A8,{3;6}),2,1)</f>
        <v>2</v>
      </c>
      <c r="B5315" s="0" t="s">
        <v>5302</v>
      </c>
    </row>
    <row r="5316" customFormat="false" ht="15" hidden="false" customHeight="false" outlineLevel="0" collapsed="false">
      <c r="A5316" s="0" t="n">
        <f aca="false">INDEX(FREQUENCY(Data!A1:A8,{3;6}),3,1)</f>
        <v>3</v>
      </c>
      <c r="B5316" s="0" t="s">
        <v>5303</v>
      </c>
    </row>
    <row r="5317" customFormat="false" ht="15" hidden="false" customHeight="false" outlineLevel="0" collapsed="false">
      <c r="A5317" s="0" t="e">
        <f aca="false">INDEX(FREQUENCY(Data!A1:A8,{3;6}),4,1)</f>
        <v>#REF!</v>
      </c>
      <c r="B5317" s="0" t="s">
        <v>5304</v>
      </c>
    </row>
    <row r="5318" customFormat="false" ht="15" hidden="false" customHeight="false" outlineLevel="0" collapsed="false">
      <c r="A5318" s="0" t="n">
        <f aca="false">ROWS(FREQUENCY(Data!A1:A8,{3;6}))</f>
        <v>3</v>
      </c>
      <c r="B5318" s="0" t="s">
        <v>5297</v>
      </c>
    </row>
    <row r="5319" customFormat="false" ht="15" hidden="false" customHeight="false" outlineLevel="0" collapsed="false">
      <c r="A5319" s="0" t="n">
        <f aca="false">COLUMNS(FREQUENCY(Data!A1:A8,{3;6}))</f>
        <v>1</v>
      </c>
      <c r="B5319" s="0" t="s">
        <v>5298</v>
      </c>
    </row>
    <row r="5320" customFormat="false" ht="15" hidden="false" customHeight="false" outlineLevel="0" collapsed="false">
      <c r="A5320" s="0" t="n">
        <f aca="false">INDEX(FREQUENCY(Data!A1:A8,{3;6}),1,1)</f>
        <v>3</v>
      </c>
      <c r="B5320" s="0" t="s">
        <v>5301</v>
      </c>
    </row>
    <row r="5321" customFormat="false" ht="15" hidden="false" customHeight="false" outlineLevel="0" collapsed="false">
      <c r="A5321" s="0" t="n">
        <f aca="false">INDEX(FREQUENCY(Data!A1:A8,{3;6}),2,1)</f>
        <v>2</v>
      </c>
      <c r="B5321" s="0" t="s">
        <v>5302</v>
      </c>
    </row>
    <row r="5322" customFormat="false" ht="15" hidden="false" customHeight="false" outlineLevel="0" collapsed="false">
      <c r="A5322" s="0" t="n">
        <f aca="false">INDEX(FREQUENCY(Data!A1:A8,{3;6}),3,1)</f>
        <v>3</v>
      </c>
      <c r="B5322" s="0" t="s">
        <v>5303</v>
      </c>
    </row>
    <row r="5323" customFormat="false" ht="15" hidden="false" customHeight="false" outlineLevel="0" collapsed="false">
      <c r="A5323" s="0" t="e">
        <f aca="false">INDEX(FREQUENCY(Data!A1:A8,{3;6}),4,1)</f>
        <v>#REF!</v>
      </c>
      <c r="B5323" s="0" t="s">
        <v>5304</v>
      </c>
    </row>
    <row r="5324" customFormat="false" ht="15" hidden="false" customHeight="false" outlineLevel="0" collapsed="false">
      <c r="A5324" s="0" t="n">
        <f aca="false">ROWS(FREQUENCY(Data!A1:A8,{6;3}))</f>
        <v>3</v>
      </c>
      <c r="B5324" s="0" t="s">
        <v>5305</v>
      </c>
    </row>
    <row r="5325" customFormat="false" ht="15" hidden="false" customHeight="false" outlineLevel="0" collapsed="false">
      <c r="A5325" s="0" t="n">
        <f aca="false">COLUMNS(FREQUENCY(Data!A1:A8,{6;3}))</f>
        <v>1</v>
      </c>
      <c r="B5325" s="0" t="s">
        <v>5306</v>
      </c>
    </row>
    <row r="5326" customFormat="false" ht="15" hidden="false" customHeight="false" outlineLevel="0" collapsed="false">
      <c r="A5326" s="0" t="n">
        <f aca="false">INDEX(FREQUENCY(Data!A1:A8,{6;3}),1,1)</f>
        <v>2</v>
      </c>
      <c r="B5326" s="0" t="s">
        <v>5307</v>
      </c>
    </row>
    <row r="5327" customFormat="false" ht="15" hidden="false" customHeight="false" outlineLevel="0" collapsed="false">
      <c r="A5327" s="0" t="n">
        <f aca="false">INDEX(FREQUENCY(Data!A1:A8,{6;3}),2,1)</f>
        <v>3</v>
      </c>
      <c r="B5327" s="0" t="s">
        <v>5308</v>
      </c>
    </row>
    <row r="5328" customFormat="false" ht="15" hidden="false" customHeight="false" outlineLevel="0" collapsed="false">
      <c r="A5328" s="0" t="n">
        <f aca="false">INDEX(FREQUENCY(Data!A1:A8,{6;3}),3,1)</f>
        <v>3</v>
      </c>
      <c r="B5328" s="0" t="s">
        <v>5309</v>
      </c>
    </row>
    <row r="5329" customFormat="false" ht="15" hidden="false" customHeight="false" outlineLevel="0" collapsed="false">
      <c r="A5329" s="0" t="e">
        <f aca="false">INDEX(FREQUENCY(Data!A1:A8,{6;3}),4,1)</f>
        <v>#REF!</v>
      </c>
      <c r="B5329" s="0" t="s">
        <v>5310</v>
      </c>
    </row>
    <row r="5330" customFormat="false" ht="15" hidden="false" customHeight="false" outlineLevel="0" collapsed="false">
      <c r="A5330" s="0" t="n">
        <f aca="false">ROWS(FREQUENCY(Data!A1:A8,{0;100}))</f>
        <v>3</v>
      </c>
      <c r="B5330" s="0" t="s">
        <v>5311</v>
      </c>
    </row>
    <row r="5331" customFormat="false" ht="15" hidden="false" customHeight="false" outlineLevel="0" collapsed="false">
      <c r="A5331" s="0" t="n">
        <f aca="false">COLUMNS(FREQUENCY(Data!A1:A8,{0;100}))</f>
        <v>1</v>
      </c>
      <c r="B5331" s="0" t="s">
        <v>5312</v>
      </c>
    </row>
    <row r="5332" customFormat="false" ht="15" hidden="false" customHeight="false" outlineLevel="0" collapsed="false">
      <c r="A5332" s="0" t="n">
        <f aca="false">INDEX(FREQUENCY(Data!A1:A8,{0;100}),1,1)</f>
        <v>0</v>
      </c>
      <c r="B5332" s="0" t="s">
        <v>5313</v>
      </c>
    </row>
    <row r="5333" customFormat="false" ht="15" hidden="false" customHeight="false" outlineLevel="0" collapsed="false">
      <c r="A5333" s="0" t="n">
        <f aca="false">INDEX(FREQUENCY(Data!A1:A8,{0;100}),2,1)</f>
        <v>8</v>
      </c>
      <c r="B5333" s="0" t="s">
        <v>5314</v>
      </c>
    </row>
    <row r="5334" customFormat="false" ht="15" hidden="false" customHeight="false" outlineLevel="0" collapsed="false">
      <c r="A5334" s="0" t="n">
        <f aca="false">INDEX(FREQUENCY(Data!A1:A8,{0;100}),3,1)</f>
        <v>0</v>
      </c>
      <c r="B5334" s="0" t="s">
        <v>5315</v>
      </c>
    </row>
    <row r="5335" customFormat="false" ht="15" hidden="false" customHeight="false" outlineLevel="0" collapsed="false">
      <c r="A5335" s="0" t="e">
        <f aca="false">INDEX(FREQUENCY(Data!A1:A8,{0;100}),4,1)</f>
        <v>#REF!</v>
      </c>
      <c r="B5335" s="0" t="s">
        <v>5316</v>
      </c>
    </row>
    <row r="5336" customFormat="false" ht="15" hidden="false" customHeight="false" outlineLevel="0" collapsed="false">
      <c r="A5336" s="0" t="n">
        <f aca="false">ROWS(FREQUENCY(Data!A1:A8,{5}))</f>
        <v>2</v>
      </c>
      <c r="B5336" s="0" t="s">
        <v>5317</v>
      </c>
    </row>
    <row r="5337" customFormat="false" ht="15" hidden="false" customHeight="false" outlineLevel="0" collapsed="false">
      <c r="A5337" s="0" t="n">
        <f aca="false">COLUMNS(FREQUENCY(Data!A1:A8,{5}))</f>
        <v>1</v>
      </c>
      <c r="B5337" s="0" t="s">
        <v>5318</v>
      </c>
    </row>
    <row r="5338" customFormat="false" ht="15" hidden="false" customHeight="false" outlineLevel="0" collapsed="false">
      <c r="A5338" s="0" t="n">
        <f aca="false">INDEX(FREQUENCY(Data!A1:A8,{5}),1,1)</f>
        <v>5</v>
      </c>
      <c r="B5338" s="0" t="s">
        <v>5319</v>
      </c>
    </row>
    <row r="5339" customFormat="false" ht="15" hidden="false" customHeight="false" outlineLevel="0" collapsed="false">
      <c r="A5339" s="0" t="n">
        <f aca="false">INDEX(FREQUENCY(Data!A1:A8,{5}),2,1)</f>
        <v>3</v>
      </c>
      <c r="B5339" s="0" t="s">
        <v>5320</v>
      </c>
    </row>
    <row r="5340" customFormat="false" ht="15" hidden="false" customHeight="false" outlineLevel="0" collapsed="false">
      <c r="A5340" s="0" t="e">
        <f aca="false">INDEX(FREQUENCY(Data!A1:A8,{5}),3,1)</f>
        <v>#REF!</v>
      </c>
      <c r="B5340" s="0" t="s">
        <v>5321</v>
      </c>
    </row>
    <row r="5341" customFormat="false" ht="15" hidden="false" customHeight="false" outlineLevel="0" collapsed="false">
      <c r="A5341" s="0" t="e">
        <f aca="false">INDEX(FREQUENCY(Data!A1:A8,{5}),4,1)</f>
        <v>#REF!</v>
      </c>
      <c r="B5341" s="0" t="s">
        <v>5322</v>
      </c>
    </row>
    <row r="5342" customFormat="false" ht="15" hidden="false" customHeight="false" outlineLevel="0" collapsed="false">
      <c r="A5342" s="0" t="n">
        <f aca="false">ROWS(FREQUENCY(Data!A1:A8,Data!A1:A3))</f>
        <v>4</v>
      </c>
      <c r="B5342" s="0" t="s">
        <v>5323</v>
      </c>
    </row>
    <row r="5343" customFormat="false" ht="15" hidden="false" customHeight="false" outlineLevel="0" collapsed="false">
      <c r="A5343" s="0" t="n">
        <f aca="false">COLUMNS(FREQUENCY(Data!A1:A8,Data!A1:A3))</f>
        <v>1</v>
      </c>
      <c r="B5343" s="0" t="s">
        <v>5324</v>
      </c>
    </row>
    <row r="5344" customFormat="false" ht="15" hidden="false" customHeight="false" outlineLevel="0" collapsed="false">
      <c r="A5344" s="0" t="n">
        <f aca="false">INDEX(FREQUENCY(Data!A1:A8,Data!A1:A3),1,1)</f>
        <v>2</v>
      </c>
      <c r="B5344" s="0" t="s">
        <v>5325</v>
      </c>
    </row>
    <row r="5345" customFormat="false" ht="15" hidden="false" customHeight="false" outlineLevel="0" collapsed="false">
      <c r="A5345" s="0" t="n">
        <f aca="false">INDEX(FREQUENCY(Data!A1:A8,Data!A1:A3),2,1)</f>
        <v>3</v>
      </c>
      <c r="B5345" s="0" t="s">
        <v>5326</v>
      </c>
    </row>
    <row r="5346" customFormat="false" ht="15" hidden="false" customHeight="false" outlineLevel="0" collapsed="false">
      <c r="A5346" s="0" t="n">
        <f aca="false">INDEX(FREQUENCY(Data!A1:A8,Data!A1:A3),3,1)</f>
        <v>2</v>
      </c>
      <c r="B5346" s="0" t="s">
        <v>5327</v>
      </c>
    </row>
    <row r="5347" customFormat="false" ht="15" hidden="false" customHeight="false" outlineLevel="0" collapsed="false">
      <c r="A5347" s="0" t="n">
        <f aca="false">INDEX(FREQUENCY(Data!A1:A8,Data!A1:A3),4,1)</f>
        <v>1</v>
      </c>
      <c r="B5347" s="0" t="s">
        <v>5328</v>
      </c>
    </row>
    <row r="5348" customFormat="false" ht="15" hidden="false" customHeight="false" outlineLevel="0" collapsed="false">
      <c r="A5348" s="0" t="n">
        <f aca="false">ROWS(FREQUENCY(Data!A1:B8,{3;6}))</f>
        <v>3</v>
      </c>
      <c r="B5348" s="0" t="s">
        <v>5329</v>
      </c>
    </row>
    <row r="5349" customFormat="false" ht="15" hidden="false" customHeight="false" outlineLevel="0" collapsed="false">
      <c r="A5349" s="0" t="n">
        <f aca="false">COLUMNS(FREQUENCY(Data!A1:B8,{3;6}))</f>
        <v>1</v>
      </c>
      <c r="B5349" s="0" t="s">
        <v>5330</v>
      </c>
    </row>
    <row r="5350" customFormat="false" ht="15" hidden="false" customHeight="false" outlineLevel="0" collapsed="false">
      <c r="A5350" s="0" t="n">
        <f aca="false">INDEX(FREQUENCY(Data!A1:B8,{3;6}),1,1)</f>
        <v>3</v>
      </c>
      <c r="B5350" s="0" t="s">
        <v>5331</v>
      </c>
    </row>
    <row r="5351" customFormat="false" ht="15" hidden="false" customHeight="false" outlineLevel="0" collapsed="false">
      <c r="A5351" s="0" t="n">
        <f aca="false">INDEX(FREQUENCY(Data!A1:B8,{3;6}),2,1)</f>
        <v>2</v>
      </c>
      <c r="B5351" s="0" t="s">
        <v>5332</v>
      </c>
    </row>
    <row r="5352" customFormat="false" ht="15" hidden="false" customHeight="false" outlineLevel="0" collapsed="false">
      <c r="A5352" s="0" t="n">
        <f aca="false">INDEX(FREQUENCY(Data!A1:B8,{3;6}),3,1)</f>
        <v>3</v>
      </c>
      <c r="B5352" s="0" t="s">
        <v>5333</v>
      </c>
    </row>
    <row r="5353" customFormat="false" ht="15" hidden="false" customHeight="false" outlineLevel="0" collapsed="false">
      <c r="A5353" s="0" t="e">
        <f aca="false">INDEX(FREQUENCY(Data!A1:B8,{3;6}),4,1)</f>
        <v>#REF!</v>
      </c>
      <c r="B5353" s="0" t="s">
        <v>5334</v>
      </c>
    </row>
    <row r="5354" customFormat="false" ht="15" hidden="false" customHeight="false" outlineLevel="0" collapsed="false">
      <c r="A5354" s="0" t="n">
        <f aca="false">ROWS(FREQUENCY(Data!K1:K8,{4;5;9}))</f>
        <v>4</v>
      </c>
      <c r="B5354" s="0" t="s">
        <v>5335</v>
      </c>
    </row>
    <row r="5355" customFormat="false" ht="15" hidden="false" customHeight="false" outlineLevel="0" collapsed="false">
      <c r="A5355" s="0" t="n">
        <f aca="false">COLUMNS(FREQUENCY(Data!K1:K8,{4;5;9}))</f>
        <v>1</v>
      </c>
      <c r="B5355" s="0" t="s">
        <v>5336</v>
      </c>
    </row>
    <row r="5356" customFormat="false" ht="15" hidden="false" customHeight="false" outlineLevel="0" collapsed="false">
      <c r="A5356" s="0" t="n">
        <f aca="false">INDEX(FREQUENCY(Data!K1:K8,{4;5;9}),1,1)</f>
        <v>3</v>
      </c>
      <c r="B5356" s="0" t="s">
        <v>5337</v>
      </c>
    </row>
    <row r="5357" customFormat="false" ht="15" hidden="false" customHeight="false" outlineLevel="0" collapsed="false">
      <c r="A5357" s="0" t="n">
        <f aca="false">INDEX(FREQUENCY(Data!K1:K8,{4;5;9}),2,1)</f>
        <v>2</v>
      </c>
      <c r="B5357" s="0" t="s">
        <v>5338</v>
      </c>
    </row>
    <row r="5358" customFormat="false" ht="15" hidden="false" customHeight="false" outlineLevel="0" collapsed="false">
      <c r="A5358" s="0" t="n">
        <f aca="false">INDEX(FREQUENCY(Data!K1:K8,{4;5;9}),3,1)</f>
        <v>3</v>
      </c>
      <c r="B5358" s="0" t="s">
        <v>5339</v>
      </c>
    </row>
    <row r="5359" customFormat="false" ht="15" hidden="false" customHeight="false" outlineLevel="0" collapsed="false">
      <c r="A5359" s="0" t="n">
        <f aca="false">INDEX(FREQUENCY(Data!K1:K8,{4;5;9}),4,1)</f>
        <v>0</v>
      </c>
      <c r="B5359" s="0" t="s">
        <v>5340</v>
      </c>
    </row>
    <row r="5360" customFormat="false" ht="15" hidden="false" customHeight="false" outlineLevel="0" collapsed="false">
      <c r="A5360" s="0" t="n">
        <f aca="false">ROWS(FREQUENCY(Data!K1:K8,Data!H1:H5))</f>
        <v>6</v>
      </c>
      <c r="B5360" s="0" t="s">
        <v>5341</v>
      </c>
    </row>
    <row r="5361" customFormat="false" ht="15" hidden="false" customHeight="false" outlineLevel="0" collapsed="false">
      <c r="A5361" s="0" t="n">
        <f aca="false">COLUMNS(FREQUENCY(Data!K1:K8,Data!H1:H5))</f>
        <v>1</v>
      </c>
      <c r="B5361" s="0" t="s">
        <v>5342</v>
      </c>
    </row>
    <row r="5362" customFormat="false" ht="15" hidden="false" customHeight="false" outlineLevel="0" collapsed="false">
      <c r="A5362" s="0" t="n">
        <f aca="false">INDEX(FREQUENCY(Data!K1:K8,Data!H1:H5),1,1)</f>
        <v>0</v>
      </c>
      <c r="B5362" s="0" t="s">
        <v>5343</v>
      </c>
    </row>
    <row r="5363" customFormat="false" ht="15" hidden="false" customHeight="false" outlineLevel="0" collapsed="false">
      <c r="A5363" s="0" t="n">
        <f aca="false">INDEX(FREQUENCY(Data!K1:K8,Data!H1:H5),2,1)</f>
        <v>1</v>
      </c>
      <c r="B5363" s="0" t="s">
        <v>5344</v>
      </c>
    </row>
    <row r="5364" customFormat="false" ht="15" hidden="false" customHeight="false" outlineLevel="0" collapsed="false">
      <c r="A5364" s="0" t="n">
        <f aca="false">INDEX(FREQUENCY(Data!K1:K8,Data!H1:H5),3,1)</f>
        <v>4</v>
      </c>
      <c r="B5364" s="0" t="s">
        <v>5345</v>
      </c>
    </row>
    <row r="5365" customFormat="false" ht="15" hidden="false" customHeight="false" outlineLevel="0" collapsed="false">
      <c r="A5365" s="0" t="n">
        <f aca="false">INDEX(FREQUENCY(Data!K1:K8,Data!H1:H5),4,1)</f>
        <v>1</v>
      </c>
      <c r="B5365" s="0" t="s">
        <v>5346</v>
      </c>
    </row>
    <row r="5366" customFormat="false" ht="15" hidden="false" customHeight="false" outlineLevel="0" collapsed="false">
      <c r="A5366" s="0" t="e">
        <f aca="false">ROWS(FREQUENCY(Data!M1:M4,{2}))</f>
        <v>#N/A</v>
      </c>
      <c r="B5366" s="0" t="s">
        <v>5347</v>
      </c>
    </row>
    <row r="5367" customFormat="false" ht="15" hidden="false" customHeight="false" outlineLevel="0" collapsed="false">
      <c r="A5367" s="0" t="e">
        <f aca="false">COLUMNS(FREQUENCY(Data!M1:M4,{2}))</f>
        <v>#N/A</v>
      </c>
      <c r="B5367" s="0" t="s">
        <v>5348</v>
      </c>
    </row>
    <row r="5368" customFormat="false" ht="15" hidden="false" customHeight="false" outlineLevel="0" collapsed="false">
      <c r="A5368" s="0" t="e">
        <f aca="false">INDEX(FREQUENCY(Data!M1:M4,{2}),1,1)</f>
        <v>#N/A</v>
      </c>
      <c r="B5368" s="0" t="s">
        <v>5349</v>
      </c>
    </row>
    <row r="5369" customFormat="false" ht="15" hidden="false" customHeight="false" outlineLevel="0" collapsed="false">
      <c r="A5369" s="0" t="e">
        <f aca="false">INDEX(FREQUENCY(Data!M1:M4,{2}),2,1)</f>
        <v>#N/A</v>
      </c>
      <c r="B5369" s="0" t="s">
        <v>5350</v>
      </c>
    </row>
    <row r="5370" customFormat="false" ht="15" hidden="false" customHeight="false" outlineLevel="0" collapsed="false">
      <c r="A5370" s="0" t="e">
        <f aca="false">INDEX(FREQUENCY(Data!M1:M4,{2}),3,1)</f>
        <v>#N/A</v>
      </c>
      <c r="B5370" s="0" t="s">
        <v>5351</v>
      </c>
    </row>
    <row r="5371" customFormat="false" ht="15" hidden="false" customHeight="false" outlineLevel="0" collapsed="false">
      <c r="A5371" s="0" t="e">
        <f aca="false">INDEX(FREQUENCY(Data!M1:M4,{2}),4,1)</f>
        <v>#N/A</v>
      </c>
      <c r="B5371" s="0" t="s">
        <v>5352</v>
      </c>
    </row>
    <row r="5372" customFormat="false" ht="15" hidden="false" customHeight="false" outlineLevel="0" collapsed="false">
      <c r="A5372" s="0" t="e">
        <f aca="false">ROWS(FREQUENCY(Data!A1:A8,{"a"}))</f>
        <v>#VALUE!</v>
      </c>
      <c r="B5372" s="0" t="s">
        <v>5353</v>
      </c>
    </row>
    <row r="5373" customFormat="false" ht="15" hidden="false" customHeight="false" outlineLevel="0" collapsed="false">
      <c r="A5373" s="0" t="e">
        <f aca="false">COLUMNS(FREQUENCY(Data!A1:A8,{"a"}))</f>
        <v>#VALUE!</v>
      </c>
      <c r="B5373" s="0" t="s">
        <v>5354</v>
      </c>
    </row>
    <row r="5374" customFormat="false" ht="15" hidden="false" customHeight="false" outlineLevel="0" collapsed="false">
      <c r="A5374" s="0" t="e">
        <f aca="false">INDEX(FREQUENCY(Data!A1:A8,{"a"}),1,1)</f>
        <v>#VALUE!</v>
      </c>
      <c r="B5374" s="0" t="s">
        <v>5355</v>
      </c>
    </row>
    <row r="5375" customFormat="false" ht="15" hidden="false" customHeight="false" outlineLevel="0" collapsed="false">
      <c r="A5375" s="0" t="e">
        <f aca="false">INDEX(FREQUENCY(Data!A1:A8,{"a"}),2,1)</f>
        <v>#VALUE!</v>
      </c>
      <c r="B5375" s="0" t="s">
        <v>5356</v>
      </c>
    </row>
    <row r="5376" customFormat="false" ht="15" hidden="false" customHeight="false" outlineLevel="0" collapsed="false">
      <c r="A5376" s="0" t="e">
        <f aca="false">INDEX(FREQUENCY(Data!A1:A8,{"a"}),3,1)</f>
        <v>#VALUE!</v>
      </c>
      <c r="B5376" s="0" t="s">
        <v>5357</v>
      </c>
    </row>
    <row r="5377" customFormat="false" ht="15" hidden="false" customHeight="false" outlineLevel="0" collapsed="false">
      <c r="A5377" s="0" t="e">
        <f aca="false">INDEX(FREQUENCY(Data!A1:A8,{"a"}),4,1)</f>
        <v>#VALUE!</v>
      </c>
      <c r="B5377" s="0" t="s">
        <v>5358</v>
      </c>
    </row>
    <row r="5378" customFormat="false" ht="15" hidden="false" customHeight="false" outlineLevel="0" collapsed="false">
      <c r="A5378" s="0" t="e">
        <f aca="false">ROWS(FREQUENCY(Data!D1:D8,{1}))</f>
        <v>#VALUE!</v>
      </c>
      <c r="B5378" s="0" t="s">
        <v>5359</v>
      </c>
    </row>
    <row r="5379" customFormat="false" ht="15" hidden="false" customHeight="false" outlineLevel="0" collapsed="false">
      <c r="A5379" s="0" t="e">
        <f aca="false">COLUMNS(FREQUENCY(Data!D1:D8,{1}))</f>
        <v>#VALUE!</v>
      </c>
      <c r="B5379" s="0" t="s">
        <v>5360</v>
      </c>
    </row>
    <row r="5380" customFormat="false" ht="15" hidden="false" customHeight="false" outlineLevel="0" collapsed="false">
      <c r="A5380" s="0" t="e">
        <f aca="false">INDEX(FREQUENCY(Data!D1:D8,{1}),1,1)</f>
        <v>#VALUE!</v>
      </c>
      <c r="B5380" s="0" t="s">
        <v>5361</v>
      </c>
    </row>
    <row r="5381" customFormat="false" ht="15" hidden="false" customHeight="false" outlineLevel="0" collapsed="false">
      <c r="A5381" s="0" t="e">
        <f aca="false">INDEX(FREQUENCY(Data!D1:D8,{1}),2,1)</f>
        <v>#VALUE!</v>
      </c>
      <c r="B5381" s="0" t="s">
        <v>5362</v>
      </c>
    </row>
    <row r="5382" customFormat="false" ht="15" hidden="false" customHeight="false" outlineLevel="0" collapsed="false">
      <c r="A5382" s="0" t="e">
        <f aca="false">INDEX(FREQUENCY(Data!D1:D8,{1}),3,1)</f>
        <v>#VALUE!</v>
      </c>
      <c r="B5382" s="0" t="s">
        <v>5363</v>
      </c>
    </row>
    <row r="5383" customFormat="false" ht="15" hidden="false" customHeight="false" outlineLevel="0" collapsed="false">
      <c r="A5383" s="0" t="e">
        <f aca="false">INDEX(FREQUENCY(Data!D1:D8,{1}),4,1)</f>
        <v>#VALUE!</v>
      </c>
      <c r="B5383" s="0" t="s">
        <v>5364</v>
      </c>
    </row>
    <row r="5384" customFormat="false" ht="15" hidden="false" customHeight="false" outlineLevel="0" collapsed="false">
      <c r="A5384" s="0" t="e">
        <f aca="false">ROWS(FREQUENCY(Data!A1:A8,Data!D1:D3))</f>
        <v>#VALUE!</v>
      </c>
      <c r="B5384" s="0" t="s">
        <v>5365</v>
      </c>
    </row>
    <row r="5385" customFormat="false" ht="15" hidden="false" customHeight="false" outlineLevel="0" collapsed="false">
      <c r="A5385" s="0" t="e">
        <f aca="false">COLUMNS(FREQUENCY(Data!A1:A8,Data!D1:D3))</f>
        <v>#VALUE!</v>
      </c>
      <c r="B5385" s="0" t="s">
        <v>5366</v>
      </c>
    </row>
    <row r="5386" customFormat="false" ht="15" hidden="false" customHeight="false" outlineLevel="0" collapsed="false">
      <c r="A5386" s="0" t="e">
        <f aca="false">INDEX(FREQUENCY(Data!A1:A8,Data!D1:D3),1,1)</f>
        <v>#VALUE!</v>
      </c>
      <c r="B5386" s="0" t="s">
        <v>5367</v>
      </c>
    </row>
    <row r="5387" customFormat="false" ht="15" hidden="false" customHeight="false" outlineLevel="0" collapsed="false">
      <c r="A5387" s="0" t="e">
        <f aca="false">INDEX(FREQUENCY(Data!A1:A8,Data!D1:D3),2,1)</f>
        <v>#VALUE!</v>
      </c>
      <c r="B5387" s="0" t="s">
        <v>5368</v>
      </c>
    </row>
    <row r="5388" customFormat="false" ht="15" hidden="false" customHeight="false" outlineLevel="0" collapsed="false">
      <c r="A5388" s="0" t="e">
        <f aca="false">INDEX(FREQUENCY(Data!A1:A8,Data!D1:D3),3,1)</f>
        <v>#VALUE!</v>
      </c>
      <c r="B5388" s="0" t="s">
        <v>5369</v>
      </c>
    </row>
    <row r="5389" customFormat="false" ht="15" hidden="false" customHeight="false" outlineLevel="0" collapsed="false">
      <c r="A5389" s="0" t="e">
        <f aca="false">INDEX(FREQUENCY(Data!A1:A8,Data!D1:D3),4,1)</f>
        <v>#VALUE!</v>
      </c>
      <c r="B5389" s="0" t="s">
        <v>5370</v>
      </c>
    </row>
    <row r="5390" customFormat="false" ht="15" hidden="false" customHeight="false" outlineLevel="0" collapsed="false">
      <c r="A5390" s="0" t="e">
        <f aca="false">ROWS(FREQUENCY(Data!A1:A8,Data!M1:M4))</f>
        <v>#N/A</v>
      </c>
      <c r="B5390" s="0" t="s">
        <v>5371</v>
      </c>
    </row>
    <row r="5391" customFormat="false" ht="15" hidden="false" customHeight="false" outlineLevel="0" collapsed="false">
      <c r="A5391" s="0" t="e">
        <f aca="false">COLUMNS(FREQUENCY(Data!A1:A8,Data!M1:M4))</f>
        <v>#N/A</v>
      </c>
      <c r="B5391" s="0" t="s">
        <v>5372</v>
      </c>
    </row>
    <row r="5392" customFormat="false" ht="15" hidden="false" customHeight="false" outlineLevel="0" collapsed="false">
      <c r="A5392" s="0" t="e">
        <f aca="false">INDEX(FREQUENCY(Data!A1:A8,Data!M1:M4),1,1)</f>
        <v>#N/A</v>
      </c>
      <c r="B5392" s="0" t="s">
        <v>5373</v>
      </c>
    </row>
    <row r="5393" customFormat="false" ht="15" hidden="false" customHeight="false" outlineLevel="0" collapsed="false">
      <c r="A5393" s="0" t="e">
        <f aca="false">INDEX(FREQUENCY(Data!A1:A8,Data!M1:M4),2,1)</f>
        <v>#N/A</v>
      </c>
      <c r="B5393" s="0" t="s">
        <v>5374</v>
      </c>
    </row>
    <row r="5394" customFormat="false" ht="15" hidden="false" customHeight="false" outlineLevel="0" collapsed="false">
      <c r="A5394" s="0" t="e">
        <f aca="false">INDEX(FREQUENCY(Data!A1:A8,Data!M1:M4),3,1)</f>
        <v>#N/A</v>
      </c>
      <c r="B5394" s="0" t="s">
        <v>5375</v>
      </c>
    </row>
    <row r="5395" customFormat="false" ht="15" hidden="false" customHeight="false" outlineLevel="0" collapsed="false">
      <c r="A5395" s="0" t="e">
        <f aca="false">INDEX(FREQUENCY(Data!A1:A8,Data!M1:M4),4,1)</f>
        <v>#N/A</v>
      </c>
      <c r="B5395" s="0" t="s">
        <v>5376</v>
      </c>
    </row>
    <row r="5396" customFormat="false" ht="15" hidden="false" customHeight="false" outlineLevel="0" collapsed="false">
      <c r="A5396" s="0" t="n">
        <f aca="false">ROWS(FREQUENCY({1,2,3,4,5},{2;4}))</f>
        <v>3</v>
      </c>
      <c r="B5396" s="0" t="s">
        <v>5377</v>
      </c>
    </row>
    <row r="5397" customFormat="false" ht="15" hidden="false" customHeight="false" outlineLevel="0" collapsed="false">
      <c r="A5397" s="0" t="n">
        <f aca="false">COLUMNS(FREQUENCY({1,2,3,4,5},{2;4}))</f>
        <v>1</v>
      </c>
      <c r="B5397" s="0" t="s">
        <v>5378</v>
      </c>
    </row>
    <row r="5398" customFormat="false" ht="15" hidden="false" customHeight="false" outlineLevel="0" collapsed="false">
      <c r="A5398" s="0" t="n">
        <f aca="false">INDEX(FREQUENCY({1,2,3,4,5},{2;4}),1,1)</f>
        <v>2</v>
      </c>
      <c r="B5398" s="0" t="s">
        <v>5379</v>
      </c>
    </row>
    <row r="5399" customFormat="false" ht="15" hidden="false" customHeight="false" outlineLevel="0" collapsed="false">
      <c r="A5399" s="0" t="n">
        <f aca="false">INDEX(FREQUENCY({1,2,3,4,5},{2;4}),2,1)</f>
        <v>2</v>
      </c>
      <c r="B5399" s="0" t="s">
        <v>5380</v>
      </c>
    </row>
    <row r="5400" customFormat="false" ht="15" hidden="false" customHeight="false" outlineLevel="0" collapsed="false">
      <c r="A5400" s="0" t="n">
        <f aca="false">INDEX(FREQUENCY({1,2,3,4,5},{2;4}),3,1)</f>
        <v>1</v>
      </c>
      <c r="B5400" s="0" t="s">
        <v>5381</v>
      </c>
    </row>
    <row r="5401" customFormat="false" ht="15" hidden="false" customHeight="false" outlineLevel="0" collapsed="false">
      <c r="A5401" s="0" t="e">
        <f aca="false">INDEX(FREQUENCY({1,2,3,4,5},{2;4}),4,1)</f>
        <v>#REF!</v>
      </c>
      <c r="B5401" s="0" t="s">
        <v>5382</v>
      </c>
    </row>
    <row r="5402" customFormat="false" ht="15" hidden="false" customHeight="false" outlineLevel="0" collapsed="false">
      <c r="A5402" s="0" t="n">
        <f aca="false">ROWS(FREQUENCY(5,{3}))</f>
        <v>2</v>
      </c>
      <c r="B5402" s="0" t="s">
        <v>5383</v>
      </c>
    </row>
    <row r="5403" customFormat="false" ht="15" hidden="false" customHeight="false" outlineLevel="0" collapsed="false">
      <c r="A5403" s="0" t="n">
        <f aca="false">COLUMNS(FREQUENCY(5,{3}))</f>
        <v>1</v>
      </c>
      <c r="B5403" s="0" t="s">
        <v>5384</v>
      </c>
    </row>
    <row r="5404" customFormat="false" ht="15" hidden="false" customHeight="false" outlineLevel="0" collapsed="false">
      <c r="A5404" s="0" t="n">
        <f aca="false">INDEX(FREQUENCY(5,{3}),1,1)</f>
        <v>0</v>
      </c>
      <c r="B5404" s="0" t="s">
        <v>5385</v>
      </c>
    </row>
    <row r="5405" customFormat="false" ht="15" hidden="false" customHeight="false" outlineLevel="0" collapsed="false">
      <c r="A5405" s="0" t="n">
        <f aca="false">INDEX(FREQUENCY(5,{3}),2,1)</f>
        <v>1</v>
      </c>
      <c r="B5405" s="0" t="s">
        <v>5386</v>
      </c>
    </row>
    <row r="5406" customFormat="false" ht="15" hidden="false" customHeight="false" outlineLevel="0" collapsed="false">
      <c r="A5406" s="0" t="e">
        <f aca="false">INDEX(FREQUENCY(5,{3}),3,1)</f>
        <v>#REF!</v>
      </c>
      <c r="B5406" s="0" t="s">
        <v>5387</v>
      </c>
    </row>
    <row r="5407" customFormat="false" ht="15" hidden="false" customHeight="false" outlineLevel="0" collapsed="false">
      <c r="A5407" s="0" t="e">
        <f aca="false">INDEX(FREQUENCY(5,{3}),4,1)</f>
        <v>#REF!</v>
      </c>
      <c r="B5407" s="0" t="s">
        <v>5388</v>
      </c>
    </row>
    <row r="5408" customFormat="false" ht="15" hidden="false" customHeight="false" outlineLevel="0" collapsed="false">
      <c r="A5408" s="0" t="n">
        <f aca="false">ROWS(FREQUENCY(Data!A1:A8,5))</f>
        <v>2</v>
      </c>
      <c r="B5408" s="0" t="s">
        <v>5389</v>
      </c>
    </row>
    <row r="5409" customFormat="false" ht="15" hidden="false" customHeight="false" outlineLevel="0" collapsed="false">
      <c r="A5409" s="0" t="n">
        <f aca="false">COLUMNS(FREQUENCY(Data!A1:A8,5))</f>
        <v>1</v>
      </c>
      <c r="B5409" s="0" t="s">
        <v>5390</v>
      </c>
    </row>
    <row r="5410" customFormat="false" ht="15" hidden="false" customHeight="false" outlineLevel="0" collapsed="false">
      <c r="A5410" s="0" t="n">
        <f aca="false">INDEX(FREQUENCY(Data!A1:A8,5),1,1)</f>
        <v>5</v>
      </c>
      <c r="B5410" s="0" t="s">
        <v>5391</v>
      </c>
    </row>
    <row r="5411" customFormat="false" ht="15" hidden="false" customHeight="false" outlineLevel="0" collapsed="false">
      <c r="A5411" s="0" t="n">
        <f aca="false">INDEX(FREQUENCY(Data!A1:A8,5),2,1)</f>
        <v>3</v>
      </c>
      <c r="B5411" s="0" t="s">
        <v>5392</v>
      </c>
    </row>
    <row r="5412" customFormat="false" ht="15" hidden="false" customHeight="false" outlineLevel="0" collapsed="false">
      <c r="A5412" s="0" t="e">
        <f aca="false">INDEX(FREQUENCY(Data!A1:A8,5),3,1)</f>
        <v>#REF!</v>
      </c>
      <c r="B5412" s="0" t="s">
        <v>5393</v>
      </c>
    </row>
    <row r="5413" customFormat="false" ht="15" hidden="false" customHeight="false" outlineLevel="0" collapsed="false">
      <c r="A5413" s="0" t="e">
        <f aca="false">INDEX(FREQUENCY(Data!A1:A8,5),4,1)</f>
        <v>#REF!</v>
      </c>
      <c r="B5413" s="0" t="s">
        <v>5394</v>
      </c>
    </row>
    <row r="5414" customFormat="false" ht="15" hidden="false" customHeight="false" outlineLevel="0" collapsed="false">
      <c r="A5414" s="0" t="n">
        <f aca="false">ROWS(FREQUENCY(Data!A1:A8,{3,6}))</f>
        <v>3</v>
      </c>
      <c r="B5414" s="0" t="s">
        <v>5299</v>
      </c>
    </row>
    <row r="5415" customFormat="false" ht="15" hidden="false" customHeight="false" outlineLevel="0" collapsed="false">
      <c r="A5415" s="0" t="n">
        <f aca="false">COLUMNS(FREQUENCY(Data!A1:A8,{3,6}))</f>
        <v>1</v>
      </c>
      <c r="B5415" s="0" t="s">
        <v>5300</v>
      </c>
    </row>
    <row r="5416" customFormat="false" ht="15" hidden="false" customHeight="false" outlineLevel="0" collapsed="false">
      <c r="A5416" s="0" t="n">
        <f aca="false">INDEX(FREQUENCY(Data!A1:A8,{3,6}),1,1)</f>
        <v>3</v>
      </c>
      <c r="B5416" s="0" t="s">
        <v>5395</v>
      </c>
    </row>
    <row r="5417" customFormat="false" ht="15" hidden="false" customHeight="false" outlineLevel="0" collapsed="false">
      <c r="A5417" s="0" t="n">
        <f aca="false">INDEX(FREQUENCY(Data!A1:A8,{3,6}),2,1)</f>
        <v>2</v>
      </c>
      <c r="B5417" s="0" t="s">
        <v>5396</v>
      </c>
    </row>
    <row r="5418" customFormat="false" ht="15" hidden="false" customHeight="false" outlineLevel="0" collapsed="false">
      <c r="A5418" s="0" t="n">
        <f aca="false">INDEX(FREQUENCY(Data!A1:A8,{3,6}),3,1)</f>
        <v>3</v>
      </c>
      <c r="B5418" s="0" t="s">
        <v>5397</v>
      </c>
    </row>
    <row r="5419" customFormat="false" ht="15" hidden="false" customHeight="false" outlineLevel="0" collapsed="false">
      <c r="A5419" s="0" t="e">
        <f aca="false">INDEX(FREQUENCY(Data!A1:A8,{3,6}),4,1)</f>
        <v>#REF!</v>
      </c>
      <c r="B5419" s="0" t="s">
        <v>5398</v>
      </c>
    </row>
    <row r="5420" customFormat="false" ht="15" hidden="false" customHeight="false" outlineLevel="0" collapsed="false">
      <c r="A5420" s="0" t="n">
        <f aca="false">ROWS(FREQUENCY(Data!A1:A8,{3.5;6.5}))</f>
        <v>3</v>
      </c>
      <c r="B5420" s="0" t="s">
        <v>5399</v>
      </c>
    </row>
    <row r="5421" customFormat="false" ht="15" hidden="false" customHeight="false" outlineLevel="0" collapsed="false">
      <c r="A5421" s="0" t="n">
        <f aca="false">COLUMNS(FREQUENCY(Data!A1:A8,{3.5;6.5}))</f>
        <v>1</v>
      </c>
      <c r="B5421" s="0" t="s">
        <v>5400</v>
      </c>
    </row>
    <row r="5422" customFormat="false" ht="15" hidden="false" customHeight="false" outlineLevel="0" collapsed="false">
      <c r="A5422" s="0" t="n">
        <f aca="false">INDEX(FREQUENCY(Data!A1:A8,{3.5;6.5}),1,1)</f>
        <v>3</v>
      </c>
      <c r="B5422" s="0" t="s">
        <v>5401</v>
      </c>
    </row>
    <row r="5423" customFormat="false" ht="15" hidden="false" customHeight="false" outlineLevel="0" collapsed="false">
      <c r="A5423" s="0" t="n">
        <f aca="false">INDEX(FREQUENCY(Data!A1:A8,{3.5;6.5}),2,1)</f>
        <v>2</v>
      </c>
      <c r="B5423" s="0" t="s">
        <v>5402</v>
      </c>
    </row>
    <row r="5424" customFormat="false" ht="15" hidden="false" customHeight="false" outlineLevel="0" collapsed="false">
      <c r="A5424" s="0" t="n">
        <f aca="false">INDEX(FREQUENCY(Data!A1:A8,{3.5;6.5}),3,1)</f>
        <v>3</v>
      </c>
      <c r="B5424" s="0" t="s">
        <v>5403</v>
      </c>
    </row>
    <row r="5425" customFormat="false" ht="15" hidden="false" customHeight="false" outlineLevel="0" collapsed="false">
      <c r="A5425" s="0" t="e">
        <f aca="false">INDEX(FREQUENCY(Data!A1:A8,{3.5;6.5}),4,1)</f>
        <v>#REF!</v>
      </c>
      <c r="B5425" s="0" t="s">
        <v>5404</v>
      </c>
    </row>
    <row r="5426" customFormat="false" ht="15" hidden="false" customHeight="false" outlineLevel="0" collapsed="false">
      <c r="A5426" s="0" t="n">
        <f aca="false">ROWS(FREQUENCY(Data!A1:A8,{-1;100}))</f>
        <v>3</v>
      </c>
      <c r="B5426" s="0" t="s">
        <v>5405</v>
      </c>
    </row>
    <row r="5427" customFormat="false" ht="15" hidden="false" customHeight="false" outlineLevel="0" collapsed="false">
      <c r="A5427" s="0" t="n">
        <f aca="false">COLUMNS(FREQUENCY(Data!A1:A8,{-1;100}))</f>
        <v>1</v>
      </c>
      <c r="B5427" s="0" t="s">
        <v>5406</v>
      </c>
    </row>
    <row r="5428" customFormat="false" ht="15" hidden="false" customHeight="false" outlineLevel="0" collapsed="false">
      <c r="A5428" s="0" t="n">
        <f aca="false">INDEX(FREQUENCY(Data!A1:A8,{-1;100}),1,1)</f>
        <v>0</v>
      </c>
      <c r="B5428" s="0" t="s">
        <v>5407</v>
      </c>
    </row>
    <row r="5429" customFormat="false" ht="15" hidden="false" customHeight="false" outlineLevel="0" collapsed="false">
      <c r="A5429" s="0" t="n">
        <f aca="false">INDEX(FREQUENCY(Data!A1:A8,{-1;100}),2,1)</f>
        <v>8</v>
      </c>
      <c r="B5429" s="0" t="s">
        <v>5408</v>
      </c>
    </row>
    <row r="5430" customFormat="false" ht="15" hidden="false" customHeight="false" outlineLevel="0" collapsed="false">
      <c r="A5430" s="0" t="n">
        <f aca="false">INDEX(FREQUENCY(Data!A1:A8,{-1;100}),3,1)</f>
        <v>0</v>
      </c>
      <c r="B5430" s="0" t="s">
        <v>5409</v>
      </c>
    </row>
    <row r="5431" customFormat="false" ht="15" hidden="false" customHeight="false" outlineLevel="0" collapsed="false">
      <c r="A5431" s="0" t="e">
        <f aca="false">INDEX(FREQUENCY(Data!A1:A8,{-1;100}),4,1)</f>
        <v>#REF!</v>
      </c>
      <c r="B5431" s="0" t="s">
        <v>5410</v>
      </c>
    </row>
    <row r="5432" customFormat="false" ht="15" hidden="false" customHeight="false" outlineLevel="0" collapsed="false">
      <c r="A5432" s="0" t="n">
        <f aca="false">ROWS(FREQUENCY(Data!A1:A8,{TRUE;6}))</f>
        <v>3</v>
      </c>
      <c r="B5432" s="0" t="s">
        <v>5411</v>
      </c>
    </row>
    <row r="5433" customFormat="false" ht="15" hidden="false" customHeight="false" outlineLevel="0" collapsed="false">
      <c r="A5433" s="0" t="n">
        <f aca="false">COLUMNS(FREQUENCY(Data!A1:A8,{TRUE;6}))</f>
        <v>1</v>
      </c>
      <c r="B5433" s="0" t="s">
        <v>5412</v>
      </c>
    </row>
    <row r="5434" customFormat="false" ht="15" hidden="false" customHeight="false" outlineLevel="0" collapsed="false">
      <c r="A5434" s="0" t="n">
        <f aca="false">INDEX(FREQUENCY(Data!A1:A8,{TRUE;6}),1,1)</f>
        <v>1</v>
      </c>
      <c r="B5434" s="0" t="s">
        <v>5413</v>
      </c>
    </row>
    <row r="5435" customFormat="false" ht="15" hidden="false" customHeight="false" outlineLevel="0" collapsed="false">
      <c r="A5435" s="0" t="n">
        <f aca="false">INDEX(FREQUENCY(Data!A1:A8,{TRUE;6}),2,1)</f>
        <v>4</v>
      </c>
      <c r="B5435" s="0" t="s">
        <v>5414</v>
      </c>
    </row>
    <row r="5436" customFormat="false" ht="15" hidden="false" customHeight="false" outlineLevel="0" collapsed="false">
      <c r="A5436" s="0" t="n">
        <f aca="false">INDEX(FREQUENCY(Data!A1:A8,{TRUE;6}),3,1)</f>
        <v>3</v>
      </c>
      <c r="B5436" s="0" t="s">
        <v>5415</v>
      </c>
    </row>
    <row r="5437" customFormat="false" ht="15" hidden="false" customHeight="false" outlineLevel="0" collapsed="false">
      <c r="A5437" s="0" t="e">
        <f aca="false">INDEX(FREQUENCY(Data!A1:A8,{TRUE;6}),4,1)</f>
        <v>#REF!</v>
      </c>
      <c r="B5437" s="0" t="s">
        <v>5416</v>
      </c>
    </row>
    <row r="5438" customFormat="false" ht="15" hidden="false" customHeight="false" outlineLevel="0" collapsed="false">
      <c r="A5438" s="0" t="n">
        <f aca="false">ROWS(FREQUENCY(Data!A1:A8,{"3";6}))</f>
        <v>2</v>
      </c>
      <c r="B5438" s="0" t="s">
        <v>5417</v>
      </c>
    </row>
    <row r="5439" customFormat="false" ht="15" hidden="false" customHeight="false" outlineLevel="0" collapsed="false">
      <c r="A5439" s="0" t="n">
        <f aca="false">COLUMNS(FREQUENCY(Data!A1:A8,{"3";6}))</f>
        <v>1</v>
      </c>
      <c r="B5439" s="0" t="s">
        <v>5418</v>
      </c>
    </row>
    <row r="5440" customFormat="false" ht="15" hidden="false" customHeight="false" outlineLevel="0" collapsed="false">
      <c r="A5440" s="0" t="n">
        <f aca="false">INDEX(FREQUENCY(Data!A1:A8,{"3";6}),1,1)</f>
        <v>5</v>
      </c>
      <c r="B5440" s="0" t="s">
        <v>5419</v>
      </c>
    </row>
    <row r="5441" customFormat="false" ht="15" hidden="false" customHeight="false" outlineLevel="0" collapsed="false">
      <c r="A5441" s="0" t="n">
        <f aca="false">INDEX(FREQUENCY(Data!A1:A8,{"3";6}),2,1)</f>
        <v>3</v>
      </c>
      <c r="B5441" s="0" t="s">
        <v>5420</v>
      </c>
    </row>
    <row r="5442" customFormat="false" ht="15" hidden="false" customHeight="false" outlineLevel="0" collapsed="false">
      <c r="A5442" s="0" t="e">
        <f aca="false">INDEX(FREQUENCY(Data!A1:A8,{"3";6}),3,1)</f>
        <v>#REF!</v>
      </c>
      <c r="B5442" s="0" t="s">
        <v>5421</v>
      </c>
    </row>
    <row r="5443" customFormat="false" ht="15" hidden="false" customHeight="false" outlineLevel="0" collapsed="false">
      <c r="A5443" s="0" t="e">
        <f aca="false">INDEX(FREQUENCY(Data!A1:A8,{"3";6}),4,1)</f>
        <v>#REF!</v>
      </c>
      <c r="B5443" s="0" t="s">
        <v>5422</v>
      </c>
    </row>
    <row r="5444" customFormat="false" ht="15" hidden="false" customHeight="false" outlineLevel="0" collapsed="false">
      <c r="A5444" s="0" t="n">
        <f aca="false">ROWS(FREQUENCY({1,"a",2},{1}))</f>
        <v>2</v>
      </c>
      <c r="B5444" s="0" t="s">
        <v>5423</v>
      </c>
    </row>
    <row r="5445" customFormat="false" ht="15" hidden="false" customHeight="false" outlineLevel="0" collapsed="false">
      <c r="A5445" s="0" t="n">
        <f aca="false">COLUMNS(FREQUENCY({1,"a",2},{1}))</f>
        <v>1</v>
      </c>
      <c r="B5445" s="0" t="s">
        <v>5424</v>
      </c>
    </row>
    <row r="5446" customFormat="false" ht="15" hidden="false" customHeight="false" outlineLevel="0" collapsed="false">
      <c r="A5446" s="0" t="n">
        <f aca="false">INDEX(FREQUENCY({1,"a",2},{1}),1,1)</f>
        <v>1</v>
      </c>
      <c r="B5446" s="0" t="s">
        <v>5425</v>
      </c>
    </row>
    <row r="5447" customFormat="false" ht="15" hidden="false" customHeight="false" outlineLevel="0" collapsed="false">
      <c r="A5447" s="0" t="n">
        <f aca="false">INDEX(FREQUENCY({1,"a",2},{1}),2,1)</f>
        <v>1</v>
      </c>
      <c r="B5447" s="0" t="s">
        <v>5426</v>
      </c>
    </row>
    <row r="5448" customFormat="false" ht="15" hidden="false" customHeight="false" outlineLevel="0" collapsed="false">
      <c r="A5448" s="0" t="e">
        <f aca="false">INDEX(FREQUENCY({1,"a",2},{1}),3,1)</f>
        <v>#REF!</v>
      </c>
      <c r="B5448" s="0" t="s">
        <v>5427</v>
      </c>
    </row>
    <row r="5449" customFormat="false" ht="15" hidden="false" customHeight="false" outlineLevel="0" collapsed="false">
      <c r="A5449" s="0" t="e">
        <f aca="false">INDEX(FREQUENCY({1,"a",2},{1}),4,1)</f>
        <v>#REF!</v>
      </c>
      <c r="B5449" s="0" t="s">
        <v>5428</v>
      </c>
    </row>
    <row r="5450" customFormat="false" ht="15" hidden="false" customHeight="false" outlineLevel="0" collapsed="false">
      <c r="A5450" s="0" t="e">
        <f aca="false">ROWS(FREQUENCY(Data!B1:B8,{1}))</f>
        <v>#VALUE!</v>
      </c>
      <c r="B5450" s="0" t="s">
        <v>5429</v>
      </c>
    </row>
    <row r="5451" customFormat="false" ht="15" hidden="false" customHeight="false" outlineLevel="0" collapsed="false">
      <c r="A5451" s="0" t="e">
        <f aca="false">COLUMNS(FREQUENCY(Data!B1:B8,{1}))</f>
        <v>#VALUE!</v>
      </c>
      <c r="B5451" s="0" t="s">
        <v>5430</v>
      </c>
    </row>
    <row r="5452" customFormat="false" ht="15" hidden="false" customHeight="false" outlineLevel="0" collapsed="false">
      <c r="A5452" s="0" t="e">
        <f aca="false">INDEX(FREQUENCY(Data!B1:B8,{1}),1,1)</f>
        <v>#VALUE!</v>
      </c>
      <c r="B5452" s="0" t="s">
        <v>5431</v>
      </c>
    </row>
    <row r="5453" customFormat="false" ht="15" hidden="false" customHeight="false" outlineLevel="0" collapsed="false">
      <c r="A5453" s="0" t="e">
        <f aca="false">INDEX(FREQUENCY(Data!B1:B8,{1}),2,1)</f>
        <v>#VALUE!</v>
      </c>
      <c r="B5453" s="0" t="s">
        <v>5432</v>
      </c>
    </row>
    <row r="5454" customFormat="false" ht="15" hidden="false" customHeight="false" outlineLevel="0" collapsed="false">
      <c r="A5454" s="0" t="e">
        <f aca="false">INDEX(FREQUENCY(Data!B1:B8,{1}),3,1)</f>
        <v>#VALUE!</v>
      </c>
      <c r="B5454" s="0" t="s">
        <v>5433</v>
      </c>
    </row>
    <row r="5455" customFormat="false" ht="15" hidden="false" customHeight="false" outlineLevel="0" collapsed="false">
      <c r="A5455" s="0" t="e">
        <f aca="false">INDEX(FREQUENCY(Data!B1:B8,{1}),4,1)</f>
        <v>#VALUE!</v>
      </c>
      <c r="B5455" s="0" t="s">
        <v>5434</v>
      </c>
    </row>
    <row r="5456" customFormat="false" ht="15" hidden="false" customHeight="false" outlineLevel="0" collapsed="false">
      <c r="A5456" s="0" t="n">
        <f aca="false">ROWS(FREQUENCY(Data!A1:A8,{1;"b";5}))</f>
        <v>3</v>
      </c>
      <c r="B5456" s="0" t="s">
        <v>5435</v>
      </c>
    </row>
    <row r="5457" customFormat="false" ht="15" hidden="false" customHeight="false" outlineLevel="0" collapsed="false">
      <c r="A5457" s="0" t="n">
        <f aca="false">COLUMNS(FREQUENCY(Data!A1:A8,{1;"b";5}))</f>
        <v>1</v>
      </c>
      <c r="B5457" s="0" t="s">
        <v>5436</v>
      </c>
    </row>
    <row r="5458" customFormat="false" ht="15" hidden="false" customHeight="false" outlineLevel="0" collapsed="false">
      <c r="A5458" s="0" t="n">
        <f aca="false">INDEX(FREQUENCY(Data!A1:A8,{1;"b";5}),1,1)</f>
        <v>1</v>
      </c>
      <c r="B5458" s="0" t="s">
        <v>5437</v>
      </c>
    </row>
    <row r="5459" customFormat="false" ht="15" hidden="false" customHeight="false" outlineLevel="0" collapsed="false">
      <c r="A5459" s="0" t="n">
        <f aca="false">INDEX(FREQUENCY(Data!A1:A8,{1;"b";5}),2,1)</f>
        <v>4</v>
      </c>
      <c r="B5459" s="0" t="s">
        <v>5438</v>
      </c>
    </row>
    <row r="5460" customFormat="false" ht="15" hidden="false" customHeight="false" outlineLevel="0" collapsed="false">
      <c r="A5460" s="0" t="n">
        <f aca="false">INDEX(FREQUENCY(Data!A1:A8,{1;"b";5}),3,1)</f>
        <v>3</v>
      </c>
      <c r="B5460" s="0" t="s">
        <v>5439</v>
      </c>
    </row>
    <row r="5461" customFormat="false" ht="15" hidden="false" customHeight="false" outlineLevel="0" collapsed="false">
      <c r="A5461" s="0" t="e">
        <f aca="false">INDEX(FREQUENCY(Data!A1:A8,{1;"b";5}),4,1)</f>
        <v>#REF!</v>
      </c>
      <c r="B5461" s="0" t="s">
        <v>5440</v>
      </c>
    </row>
    <row r="5462" customFormat="false" ht="15" hidden="false" customHeight="false" outlineLevel="0" collapsed="false">
      <c r="A5462" s="0" t="n">
        <f aca="false">ROWS(FREQUENCY(Data!A1:A8,{3;6;1}))</f>
        <v>4</v>
      </c>
      <c r="B5462" s="0" t="s">
        <v>5441</v>
      </c>
    </row>
    <row r="5463" customFormat="false" ht="15" hidden="false" customHeight="false" outlineLevel="0" collapsed="false">
      <c r="A5463" s="0" t="n">
        <f aca="false">COLUMNS(FREQUENCY(Data!A1:A8,{3;6;1}))</f>
        <v>1</v>
      </c>
      <c r="B5463" s="0" t="s">
        <v>5442</v>
      </c>
    </row>
    <row r="5464" customFormat="false" ht="15" hidden="false" customHeight="false" outlineLevel="0" collapsed="false">
      <c r="A5464" s="0" t="n">
        <f aca="false">INDEX(FREQUENCY(Data!A1:A8,{3;6;1}),1,1)</f>
        <v>2</v>
      </c>
      <c r="B5464" s="0" t="s">
        <v>5443</v>
      </c>
    </row>
    <row r="5465" customFormat="false" ht="15" hidden="false" customHeight="false" outlineLevel="0" collapsed="false">
      <c r="A5465" s="0" t="n">
        <f aca="false">INDEX(FREQUENCY(Data!A1:A8,{3;6;1}),2,1)</f>
        <v>2</v>
      </c>
      <c r="B5465" s="0" t="s">
        <v>5444</v>
      </c>
    </row>
    <row r="5466" customFormat="false" ht="15" hidden="false" customHeight="false" outlineLevel="0" collapsed="false">
      <c r="A5466" s="0" t="n">
        <f aca="false">INDEX(FREQUENCY(Data!A1:A8,{3;6;1}),3,1)</f>
        <v>1</v>
      </c>
      <c r="B5466" s="0" t="s">
        <v>5445</v>
      </c>
    </row>
    <row r="5467" customFormat="false" ht="15" hidden="false" customHeight="false" outlineLevel="0" collapsed="false">
      <c r="A5467" s="0" t="n">
        <f aca="false">INDEX(FREQUENCY(Data!A1:A8,{3;6;1}),4,1)</f>
        <v>3</v>
      </c>
      <c r="B5467" s="0" t="s">
        <v>5446</v>
      </c>
    </row>
    <row r="5468" customFormat="false" ht="15" hidden="false" customHeight="false" outlineLevel="0" collapsed="false">
      <c r="A5468" s="0" t="str">
        <f aca="false">_xlfn.TEXTJOIN(",",TRUE(),_xlfn.MODE.MULT(Data!K1:K8))</f>
        <v>4,5</v>
      </c>
      <c r="B5468" s="0" t="s">
        <v>5447</v>
      </c>
    </row>
    <row r="5469" customFormat="false" ht="15" hidden="false" customHeight="false" outlineLevel="0" collapsed="false">
      <c r="A5469" s="0" t="n">
        <f aca="false">ROWS(_xlfn.MODE.MULT(Data!K1:K8))</f>
        <v>2</v>
      </c>
      <c r="B5469" s="0" t="s">
        <v>5448</v>
      </c>
    </row>
    <row r="5470" customFormat="false" ht="15" hidden="false" customHeight="false" outlineLevel="0" collapsed="false">
      <c r="A5470" s="0" t="n">
        <f aca="false">COLUMNS(_xlfn.MODE.MULT(Data!K1:K8))</f>
        <v>1</v>
      </c>
      <c r="B5470" s="0" t="s">
        <v>5449</v>
      </c>
    </row>
    <row r="5471" customFormat="false" ht="15" hidden="false" customHeight="false" outlineLevel="0" collapsed="false">
      <c r="A5471" s="0" t="e">
        <f aca="false">_xlfn.MODE.MULT(Data!A1:A8)</f>
        <v>#VALUE!</v>
      </c>
      <c r="B5471" s="0" t="s">
        <v>5450</v>
      </c>
    </row>
    <row r="5472" customFormat="false" ht="15" hidden="false" customHeight="false" outlineLevel="0" collapsed="false">
      <c r="A5472" s="0" t="e">
        <f aca="false">INDEX(_xlfn.MODE.MULT(Data!A1:A8),1)</f>
        <v>#VALUE!</v>
      </c>
      <c r="B5472" s="0" t="s">
        <v>5451</v>
      </c>
    </row>
    <row r="5473" customFormat="false" ht="15" hidden="false" customHeight="false" outlineLevel="0" collapsed="false">
      <c r="A5473" s="0" t="str">
        <f aca="false">_xlfn.TEXTJOIN(",",TRUE(),_xlfn.MODE.MULT({1,1,2,2,3}))</f>
        <v>1,2</v>
      </c>
      <c r="B5473" s="0" t="s">
        <v>5452</v>
      </c>
    </row>
    <row r="5474" customFormat="false" ht="15" hidden="false" customHeight="false" outlineLevel="0" collapsed="false">
      <c r="A5474" s="0" t="str">
        <f aca="false">_xlfn.TEXTJOIN(",",TRUE(),_xlfn.MODE.MULT({1;1;2;2;3}))</f>
        <v>1,2</v>
      </c>
      <c r="B5474" s="0" t="s">
        <v>5453</v>
      </c>
    </row>
    <row r="5475" customFormat="false" ht="15" hidden="false" customHeight="false" outlineLevel="0" collapsed="false">
      <c r="A5475" s="0" t="n">
        <f aca="false">ROWS(_xlfn.MODE.MULT({1,1,2,2,3}))</f>
        <v>2</v>
      </c>
      <c r="B5475" s="0" t="s">
        <v>5454</v>
      </c>
    </row>
    <row r="5476" customFormat="false" ht="15" hidden="false" customHeight="false" outlineLevel="0" collapsed="false">
      <c r="A5476" s="0" t="n">
        <f aca="false">COLUMNS(_xlfn.MODE.MULT({1,1,2,2,3}))</f>
        <v>1</v>
      </c>
      <c r="B5476" s="0" t="s">
        <v>5455</v>
      </c>
    </row>
    <row r="5477" customFormat="false" ht="15" hidden="false" customHeight="false" outlineLevel="0" collapsed="false">
      <c r="A5477" s="0" t="n">
        <f aca="false">ROWS(_xlfn.MODE.MULT({1;1;2;2;3}))</f>
        <v>2</v>
      </c>
      <c r="B5477" s="0" t="s">
        <v>5456</v>
      </c>
    </row>
    <row r="5478" customFormat="false" ht="15" hidden="false" customHeight="false" outlineLevel="0" collapsed="false">
      <c r="A5478" s="0" t="e">
        <f aca="false">_xlfn.TEXTJOIN(",",TRUE(),_xlfn.MODE.MULT(Data!A1:B8))</f>
        <v>#VALUE!</v>
      </c>
      <c r="B5478" s="0" t="s">
        <v>5457</v>
      </c>
    </row>
    <row r="5479" customFormat="false" ht="15" hidden="false" customHeight="false" outlineLevel="0" collapsed="false">
      <c r="A5479" s="0" t="str">
        <f aca="false">_xlfn.TEXTJOIN(",",TRUE(),_xlfn.MODE.MULT(Data!K1:K8,Data!A1:A3))</f>
        <v>5</v>
      </c>
      <c r="B5479" s="0" t="s">
        <v>5458</v>
      </c>
    </row>
    <row r="5480" customFormat="false" ht="15" hidden="false" customHeight="false" outlineLevel="0" collapsed="false">
      <c r="A5480" s="0" t="str">
        <f aca="false">_xlfn.TEXTJOIN(",",TRUE(),_xlfn.MODE.MULT(3,3,4))</f>
        <v>3</v>
      </c>
      <c r="B5480" s="0" t="s">
        <v>5459</v>
      </c>
    </row>
    <row r="5481" customFormat="false" ht="15" hidden="false" customHeight="false" outlineLevel="0" collapsed="false">
      <c r="A5481" s="0" t="e">
        <f aca="false">_xlfn.TEXTJOIN(",",TRUE(),_xlfn.MODE.MULT(Data!M1:M4))</f>
        <v>#N/A</v>
      </c>
      <c r="B5481" s="0" t="s">
        <v>5460</v>
      </c>
    </row>
    <row r="5482" customFormat="false" ht="15" hidden="false" customHeight="false" outlineLevel="0" collapsed="false">
      <c r="A5482" s="0" t="e">
        <f aca="false">_xlfn.TEXTJOIN(",",TRUE(),_xlfn.MODE.MULT(Data!B1:B8))</f>
        <v>#VALUE!</v>
      </c>
      <c r="B5482" s="0" t="s">
        <v>5461</v>
      </c>
    </row>
    <row r="5483" customFormat="false" ht="15" hidden="false" customHeight="false" outlineLevel="0" collapsed="false">
      <c r="A5483" s="0" t="str">
        <f aca="false">_xlfn.TEXTJOIN(",",TRUE(),_xlfn.MODE.MULT({3,1,3,1,2}))</f>
        <v>3,1</v>
      </c>
      <c r="B5483" s="0" t="s">
        <v>5462</v>
      </c>
    </row>
    <row r="5484" customFormat="false" ht="15" hidden="false" customHeight="false" outlineLevel="0" collapsed="false">
      <c r="A5484" s="0" t="str">
        <f aca="false">_xlfn.TEXTJOIN(",",TRUE(),_xlfn.MODE.MULT({1,"a",1}))</f>
        <v>1</v>
      </c>
      <c r="B5484" s="0" t="s">
        <v>5463</v>
      </c>
    </row>
    <row r="5485" customFormat="false" ht="15" hidden="false" customHeight="false" outlineLevel="0" collapsed="false">
      <c r="A5485" s="0" t="str">
        <f aca="false">_xlfn.TEXTJOIN(",",TRUE(),_xlfn.MODE.MULT(Data!K1:K8,3,3))</f>
        <v>4,5,3</v>
      </c>
      <c r="B5485" s="0" t="s">
        <v>5464</v>
      </c>
    </row>
    <row r="5486" customFormat="false" ht="15" hidden="false" customHeight="false" outlineLevel="0" collapsed="false">
      <c r="A5486" s="0" t="e">
        <f aca="false">_xlfn.TEXTJOIN(",",TRUE(),_xlfn.MODE.MULT({5}))</f>
        <v>#VALUE!</v>
      </c>
      <c r="B5486" s="0" t="s">
        <v>5465</v>
      </c>
    </row>
    <row r="5487" customFormat="false" ht="15" hidden="false" customHeight="false" outlineLevel="0" collapsed="false">
      <c r="A5487" s="0" t="e">
        <f aca="false">_xlfn.TEXTJOIN(",",TRUE(),_xlfn.MODE.MULT(Data!D1:D3))</f>
        <v>#VALUE!</v>
      </c>
      <c r="B5487" s="0" t="s">
        <v>5466</v>
      </c>
    </row>
    <row r="5488" customFormat="false" ht="15" hidden="false" customHeight="false" outlineLevel="0" collapsed="false">
      <c r="A5488" s="0" t="e">
        <f aca="false">_xlfn.MODE.MULT(NA())</f>
        <v>#N/A</v>
      </c>
      <c r="B5488" s="0" t="s">
        <v>5467</v>
      </c>
    </row>
    <row r="5489" customFormat="false" ht="15" hidden="false" customHeight="false" outlineLevel="0" collapsed="false">
      <c r="A5489" s="0" t="n">
        <f aca="false">COUPPCD(DATE(2024,1,15),DATE(2029,6,30),1,0)</f>
        <v>45107</v>
      </c>
      <c r="B5489" s="0" t="s">
        <v>5468</v>
      </c>
    </row>
    <row r="5490" customFormat="false" ht="15" hidden="false" customHeight="false" outlineLevel="0" collapsed="false">
      <c r="A5490" s="0" t="n">
        <f aca="false">COUPNCD(DATE(2024,1,15),DATE(2029,6,30),1,0)</f>
        <v>45473</v>
      </c>
      <c r="B5490" s="0" t="s">
        <v>5469</v>
      </c>
    </row>
    <row r="5491" customFormat="false" ht="15" hidden="false" customHeight="false" outlineLevel="0" collapsed="false">
      <c r="A5491" s="0" t="n">
        <f aca="false">COUPNUM(DATE(2024,1,15),DATE(2029,6,30),1,0)</f>
        <v>6</v>
      </c>
      <c r="B5491" s="0" t="s">
        <v>5470</v>
      </c>
    </row>
    <row r="5492" customFormat="false" ht="15" hidden="false" customHeight="false" outlineLevel="0" collapsed="false">
      <c r="A5492" s="0" t="n">
        <f aca="false">COUPDAYBS(DATE(2024,1,15),DATE(2029,6,30),1,0)</f>
        <v>195</v>
      </c>
      <c r="B5492" s="0" t="s">
        <v>5471</v>
      </c>
    </row>
    <row r="5493" customFormat="false" ht="15" hidden="false" customHeight="false" outlineLevel="0" collapsed="false">
      <c r="A5493" s="0" t="n">
        <f aca="false">COUPDAYS(DATE(2024,1,15),DATE(2029,6,30),1,0)</f>
        <v>360</v>
      </c>
      <c r="B5493" s="0" t="s">
        <v>5472</v>
      </c>
    </row>
    <row r="5494" customFormat="false" ht="15" hidden="false" customHeight="false" outlineLevel="0" collapsed="false">
      <c r="A5494" s="0" t="n">
        <f aca="false">COUPDAYSNC(DATE(2024,1,15),DATE(2029,6,30),1,0)</f>
        <v>165</v>
      </c>
      <c r="B5494" s="0" t="s">
        <v>5473</v>
      </c>
    </row>
    <row r="5495" customFormat="false" ht="15" hidden="false" customHeight="false" outlineLevel="0" collapsed="false">
      <c r="A5495" s="0" t="n">
        <f aca="false">COUPPCD(DATE(2024,1,15),DATE(2029,6,30),1,1)</f>
        <v>45107</v>
      </c>
      <c r="B5495" s="0" t="s">
        <v>5474</v>
      </c>
    </row>
    <row r="5496" customFormat="false" ht="15" hidden="false" customHeight="false" outlineLevel="0" collapsed="false">
      <c r="A5496" s="0" t="n">
        <f aca="false">COUPNCD(DATE(2024,1,15),DATE(2029,6,30),1,1)</f>
        <v>45473</v>
      </c>
      <c r="B5496" s="0" t="s">
        <v>5475</v>
      </c>
    </row>
    <row r="5497" customFormat="false" ht="15" hidden="false" customHeight="false" outlineLevel="0" collapsed="false">
      <c r="A5497" s="0" t="n">
        <f aca="false">COUPNUM(DATE(2024,1,15),DATE(2029,6,30),1,1)</f>
        <v>6</v>
      </c>
      <c r="B5497" s="0" t="s">
        <v>5476</v>
      </c>
    </row>
    <row r="5498" customFormat="false" ht="15" hidden="false" customHeight="false" outlineLevel="0" collapsed="false">
      <c r="A5498" s="0" t="n">
        <f aca="false">COUPDAYBS(DATE(2024,1,15),DATE(2029,6,30),1,1)</f>
        <v>199</v>
      </c>
      <c r="B5498" s="0" t="s">
        <v>5477</v>
      </c>
    </row>
    <row r="5499" customFormat="false" ht="15" hidden="false" customHeight="false" outlineLevel="0" collapsed="false">
      <c r="A5499" s="0" t="n">
        <f aca="false">COUPDAYS(DATE(2024,1,15),DATE(2029,6,30),1,1)</f>
        <v>366</v>
      </c>
      <c r="B5499" s="0" t="s">
        <v>5478</v>
      </c>
    </row>
    <row r="5500" customFormat="false" ht="15" hidden="false" customHeight="false" outlineLevel="0" collapsed="false">
      <c r="A5500" s="0" t="n">
        <f aca="false">COUPDAYSNC(DATE(2024,1,15),DATE(2029,6,30),1,1)</f>
        <v>167</v>
      </c>
      <c r="B5500" s="0" t="s">
        <v>5479</v>
      </c>
    </row>
    <row r="5501" customFormat="false" ht="15" hidden="false" customHeight="false" outlineLevel="0" collapsed="false">
      <c r="A5501" s="0" t="n">
        <f aca="false">COUPPCD(DATE(2024,1,15),DATE(2029,6,30),1,2)</f>
        <v>45107</v>
      </c>
      <c r="B5501" s="0" t="s">
        <v>5480</v>
      </c>
    </row>
    <row r="5502" customFormat="false" ht="15" hidden="false" customHeight="false" outlineLevel="0" collapsed="false">
      <c r="A5502" s="0" t="n">
        <f aca="false">COUPNCD(DATE(2024,1,15),DATE(2029,6,30),1,2)</f>
        <v>45473</v>
      </c>
      <c r="B5502" s="0" t="s">
        <v>5481</v>
      </c>
    </row>
    <row r="5503" customFormat="false" ht="15" hidden="false" customHeight="false" outlineLevel="0" collapsed="false">
      <c r="A5503" s="0" t="n">
        <f aca="false">COUPNUM(DATE(2024,1,15),DATE(2029,6,30),1,2)</f>
        <v>6</v>
      </c>
      <c r="B5503" s="0" t="s">
        <v>5482</v>
      </c>
    </row>
    <row r="5504" customFormat="false" ht="15" hidden="false" customHeight="false" outlineLevel="0" collapsed="false">
      <c r="A5504" s="0" t="n">
        <f aca="false">COUPDAYBS(DATE(2024,1,15),DATE(2029,6,30),1,2)</f>
        <v>199</v>
      </c>
      <c r="B5504" s="0" t="s">
        <v>5483</v>
      </c>
    </row>
    <row r="5505" customFormat="false" ht="15" hidden="false" customHeight="false" outlineLevel="0" collapsed="false">
      <c r="A5505" s="0" t="n">
        <f aca="false">COUPDAYS(DATE(2024,1,15),DATE(2029,6,30),1,2)</f>
        <v>360</v>
      </c>
      <c r="B5505" s="0" t="s">
        <v>5484</v>
      </c>
    </row>
    <row r="5506" customFormat="false" ht="15" hidden="false" customHeight="false" outlineLevel="0" collapsed="false">
      <c r="A5506" s="0" t="n">
        <f aca="false">COUPDAYSNC(DATE(2024,1,15),DATE(2029,6,30),1,2)</f>
        <v>167</v>
      </c>
      <c r="B5506" s="0" t="s">
        <v>5485</v>
      </c>
    </row>
    <row r="5507" customFormat="false" ht="15" hidden="false" customHeight="false" outlineLevel="0" collapsed="false">
      <c r="A5507" s="0" t="n">
        <f aca="false">COUPPCD(DATE(2024,1,15),DATE(2029,6,30),1,3)</f>
        <v>45107</v>
      </c>
      <c r="B5507" s="0" t="s">
        <v>5486</v>
      </c>
    </row>
    <row r="5508" customFormat="false" ht="15" hidden="false" customHeight="false" outlineLevel="0" collapsed="false">
      <c r="A5508" s="0" t="n">
        <f aca="false">COUPNCD(DATE(2024,1,15),DATE(2029,6,30),1,3)</f>
        <v>45473</v>
      </c>
      <c r="B5508" s="0" t="s">
        <v>5487</v>
      </c>
    </row>
    <row r="5509" customFormat="false" ht="15" hidden="false" customHeight="false" outlineLevel="0" collapsed="false">
      <c r="A5509" s="0" t="n">
        <f aca="false">COUPNUM(DATE(2024,1,15),DATE(2029,6,30),1,3)</f>
        <v>6</v>
      </c>
      <c r="B5509" s="0" t="s">
        <v>5488</v>
      </c>
    </row>
    <row r="5510" customFormat="false" ht="15" hidden="false" customHeight="false" outlineLevel="0" collapsed="false">
      <c r="A5510" s="0" t="n">
        <f aca="false">COUPDAYBS(DATE(2024,1,15),DATE(2029,6,30),1,3)</f>
        <v>199</v>
      </c>
      <c r="B5510" s="0" t="s">
        <v>5489</v>
      </c>
    </row>
    <row r="5511" customFormat="false" ht="15" hidden="false" customHeight="false" outlineLevel="0" collapsed="false">
      <c r="A5511" s="0" t="n">
        <f aca="false">COUPDAYS(DATE(2024,1,15),DATE(2029,6,30),1,3)</f>
        <v>365</v>
      </c>
      <c r="B5511" s="0" t="s">
        <v>5490</v>
      </c>
    </row>
    <row r="5512" customFormat="false" ht="15" hidden="false" customHeight="false" outlineLevel="0" collapsed="false">
      <c r="A5512" s="0" t="n">
        <f aca="false">COUPDAYSNC(DATE(2024,1,15),DATE(2029,6,30),1,3)</f>
        <v>167</v>
      </c>
      <c r="B5512" s="0" t="s">
        <v>5491</v>
      </c>
    </row>
    <row r="5513" customFormat="false" ht="15" hidden="false" customHeight="false" outlineLevel="0" collapsed="false">
      <c r="A5513" s="0" t="n">
        <f aca="false">COUPPCD(DATE(2024,1,15),DATE(2029,6,30),1,4)</f>
        <v>45107</v>
      </c>
      <c r="B5513" s="0" t="s">
        <v>5492</v>
      </c>
    </row>
    <row r="5514" customFormat="false" ht="15" hidden="false" customHeight="false" outlineLevel="0" collapsed="false">
      <c r="A5514" s="0" t="n">
        <f aca="false">COUPNCD(DATE(2024,1,15),DATE(2029,6,30),1,4)</f>
        <v>45473</v>
      </c>
      <c r="B5514" s="0" t="s">
        <v>5493</v>
      </c>
    </row>
    <row r="5515" customFormat="false" ht="15" hidden="false" customHeight="false" outlineLevel="0" collapsed="false">
      <c r="A5515" s="0" t="n">
        <f aca="false">COUPNUM(DATE(2024,1,15),DATE(2029,6,30),1,4)</f>
        <v>6</v>
      </c>
      <c r="B5515" s="0" t="s">
        <v>5494</v>
      </c>
    </row>
    <row r="5516" customFormat="false" ht="15" hidden="false" customHeight="false" outlineLevel="0" collapsed="false">
      <c r="A5516" s="0" t="n">
        <f aca="false">COUPDAYBS(DATE(2024,1,15),DATE(2029,6,30),1,4)</f>
        <v>195</v>
      </c>
      <c r="B5516" s="0" t="s">
        <v>5495</v>
      </c>
    </row>
    <row r="5517" customFormat="false" ht="15" hidden="false" customHeight="false" outlineLevel="0" collapsed="false">
      <c r="A5517" s="0" t="n">
        <f aca="false">COUPDAYS(DATE(2024,1,15),DATE(2029,6,30),1,4)</f>
        <v>360</v>
      </c>
      <c r="B5517" s="0" t="s">
        <v>5496</v>
      </c>
    </row>
    <row r="5518" customFormat="false" ht="15" hidden="false" customHeight="false" outlineLevel="0" collapsed="false">
      <c r="A5518" s="0" t="n">
        <f aca="false">COUPDAYSNC(DATE(2024,1,15),DATE(2029,6,30),1,4)</f>
        <v>165</v>
      </c>
      <c r="B5518" s="0" t="s">
        <v>5497</v>
      </c>
    </row>
    <row r="5519" customFormat="false" ht="15" hidden="false" customHeight="false" outlineLevel="0" collapsed="false">
      <c r="A5519" s="0" t="n">
        <f aca="false">COUPPCD(DATE(2024,1,15),DATE(2029,6,30),2,0)</f>
        <v>45291</v>
      </c>
      <c r="B5519" s="0" t="s">
        <v>5498</v>
      </c>
    </row>
    <row r="5520" customFormat="false" ht="15" hidden="false" customHeight="false" outlineLevel="0" collapsed="false">
      <c r="A5520" s="0" t="n">
        <f aca="false">COUPNCD(DATE(2024,1,15),DATE(2029,6,30),2,0)</f>
        <v>45473</v>
      </c>
      <c r="B5520" s="0" t="s">
        <v>5499</v>
      </c>
    </row>
    <row r="5521" customFormat="false" ht="15" hidden="false" customHeight="false" outlineLevel="0" collapsed="false">
      <c r="A5521" s="0" t="n">
        <f aca="false">COUPNUM(DATE(2024,1,15),DATE(2029,6,30),2,0)</f>
        <v>11</v>
      </c>
      <c r="B5521" s="0" t="s">
        <v>5500</v>
      </c>
    </row>
    <row r="5522" customFormat="false" ht="15" hidden="false" customHeight="false" outlineLevel="0" collapsed="false">
      <c r="A5522" s="0" t="n">
        <f aca="false">COUPDAYBS(DATE(2024,1,15),DATE(2029,6,30),2,0)</f>
        <v>15</v>
      </c>
      <c r="B5522" s="0" t="s">
        <v>5501</v>
      </c>
    </row>
    <row r="5523" customFormat="false" ht="15" hidden="false" customHeight="false" outlineLevel="0" collapsed="false">
      <c r="A5523" s="0" t="n">
        <f aca="false">COUPDAYS(DATE(2024,1,15),DATE(2029,6,30),2,0)</f>
        <v>180</v>
      </c>
      <c r="B5523" s="0" t="s">
        <v>5502</v>
      </c>
    </row>
    <row r="5524" customFormat="false" ht="15" hidden="false" customHeight="false" outlineLevel="0" collapsed="false">
      <c r="A5524" s="0" t="n">
        <f aca="false">COUPDAYSNC(DATE(2024,1,15),DATE(2029,6,30),2,0)</f>
        <v>165</v>
      </c>
      <c r="B5524" s="0" t="s">
        <v>5503</v>
      </c>
    </row>
    <row r="5525" customFormat="false" ht="15" hidden="false" customHeight="false" outlineLevel="0" collapsed="false">
      <c r="A5525" s="0" t="n">
        <f aca="false">COUPPCD(DATE(2024,1,15),DATE(2029,6,30),2,1)</f>
        <v>45291</v>
      </c>
      <c r="B5525" s="0" t="s">
        <v>5504</v>
      </c>
    </row>
    <row r="5526" customFormat="false" ht="15" hidden="false" customHeight="false" outlineLevel="0" collapsed="false">
      <c r="A5526" s="0" t="n">
        <f aca="false">COUPNCD(DATE(2024,1,15),DATE(2029,6,30),2,1)</f>
        <v>45473</v>
      </c>
      <c r="B5526" s="0" t="s">
        <v>5505</v>
      </c>
    </row>
    <row r="5527" customFormat="false" ht="15" hidden="false" customHeight="false" outlineLevel="0" collapsed="false">
      <c r="A5527" s="0" t="n">
        <f aca="false">COUPNUM(DATE(2024,1,15),DATE(2029,6,30),2,1)</f>
        <v>11</v>
      </c>
      <c r="B5527" s="0" t="s">
        <v>5506</v>
      </c>
    </row>
    <row r="5528" customFormat="false" ht="15" hidden="false" customHeight="false" outlineLevel="0" collapsed="false">
      <c r="A5528" s="0" t="n">
        <f aca="false">COUPDAYBS(DATE(2024,1,15),DATE(2029,6,30),2,1)</f>
        <v>15</v>
      </c>
      <c r="B5528" s="0" t="s">
        <v>5507</v>
      </c>
    </row>
    <row r="5529" customFormat="false" ht="15" hidden="false" customHeight="false" outlineLevel="0" collapsed="false">
      <c r="A5529" s="0" t="n">
        <f aca="false">COUPDAYS(DATE(2024,1,15),DATE(2029,6,30),2,1)</f>
        <v>182</v>
      </c>
      <c r="B5529" s="0" t="s">
        <v>5508</v>
      </c>
    </row>
    <row r="5530" customFormat="false" ht="15" hidden="false" customHeight="false" outlineLevel="0" collapsed="false">
      <c r="A5530" s="0" t="n">
        <f aca="false">COUPDAYSNC(DATE(2024,1,15),DATE(2029,6,30),2,1)</f>
        <v>167</v>
      </c>
      <c r="B5530" s="0" t="s">
        <v>5509</v>
      </c>
    </row>
    <row r="5531" customFormat="false" ht="15" hidden="false" customHeight="false" outlineLevel="0" collapsed="false">
      <c r="A5531" s="0" t="n">
        <f aca="false">COUPPCD(DATE(2024,1,15),DATE(2029,6,30),2,2)</f>
        <v>45291</v>
      </c>
      <c r="B5531" s="0" t="s">
        <v>5510</v>
      </c>
    </row>
    <row r="5532" customFormat="false" ht="15" hidden="false" customHeight="false" outlineLevel="0" collapsed="false">
      <c r="A5532" s="0" t="n">
        <f aca="false">COUPNCD(DATE(2024,1,15),DATE(2029,6,30),2,2)</f>
        <v>45473</v>
      </c>
      <c r="B5532" s="0" t="s">
        <v>5511</v>
      </c>
    </row>
    <row r="5533" customFormat="false" ht="15" hidden="false" customHeight="false" outlineLevel="0" collapsed="false">
      <c r="A5533" s="0" t="n">
        <f aca="false">COUPNUM(DATE(2024,1,15),DATE(2029,6,30),2,2)</f>
        <v>11</v>
      </c>
      <c r="B5533" s="0" t="s">
        <v>5512</v>
      </c>
    </row>
    <row r="5534" customFormat="false" ht="15" hidden="false" customHeight="false" outlineLevel="0" collapsed="false">
      <c r="A5534" s="0" t="n">
        <f aca="false">COUPDAYBS(DATE(2024,1,15),DATE(2029,6,30),2,2)</f>
        <v>15</v>
      </c>
      <c r="B5534" s="0" t="s">
        <v>5513</v>
      </c>
    </row>
    <row r="5535" customFormat="false" ht="15" hidden="false" customHeight="false" outlineLevel="0" collapsed="false">
      <c r="A5535" s="0" t="n">
        <f aca="false">COUPDAYS(DATE(2024,1,15),DATE(2029,6,30),2,2)</f>
        <v>180</v>
      </c>
      <c r="B5535" s="0" t="s">
        <v>5514</v>
      </c>
    </row>
    <row r="5536" customFormat="false" ht="15" hidden="false" customHeight="false" outlineLevel="0" collapsed="false">
      <c r="A5536" s="0" t="n">
        <f aca="false">COUPDAYSNC(DATE(2024,1,15),DATE(2029,6,30),2,2)</f>
        <v>167</v>
      </c>
      <c r="B5536" s="0" t="s">
        <v>5515</v>
      </c>
    </row>
    <row r="5537" customFormat="false" ht="15" hidden="false" customHeight="false" outlineLevel="0" collapsed="false">
      <c r="A5537" s="0" t="n">
        <f aca="false">COUPPCD(DATE(2024,1,15),DATE(2029,6,30),2,3)</f>
        <v>45291</v>
      </c>
      <c r="B5537" s="0" t="s">
        <v>5516</v>
      </c>
    </row>
    <row r="5538" customFormat="false" ht="15" hidden="false" customHeight="false" outlineLevel="0" collapsed="false">
      <c r="A5538" s="0" t="n">
        <f aca="false">COUPNCD(DATE(2024,1,15),DATE(2029,6,30),2,3)</f>
        <v>45473</v>
      </c>
      <c r="B5538" s="0" t="s">
        <v>5517</v>
      </c>
    </row>
    <row r="5539" customFormat="false" ht="15" hidden="false" customHeight="false" outlineLevel="0" collapsed="false">
      <c r="A5539" s="0" t="n">
        <f aca="false">COUPNUM(DATE(2024,1,15),DATE(2029,6,30),2,3)</f>
        <v>11</v>
      </c>
      <c r="B5539" s="0" t="s">
        <v>5518</v>
      </c>
    </row>
    <row r="5540" customFormat="false" ht="15" hidden="false" customHeight="false" outlineLevel="0" collapsed="false">
      <c r="A5540" s="0" t="n">
        <f aca="false">COUPDAYBS(DATE(2024,1,15),DATE(2029,6,30),2,3)</f>
        <v>15</v>
      </c>
      <c r="B5540" s="0" t="s">
        <v>5519</v>
      </c>
    </row>
    <row r="5541" customFormat="false" ht="15" hidden="false" customHeight="false" outlineLevel="0" collapsed="false">
      <c r="A5541" s="0" t="n">
        <f aca="false">COUPDAYS(DATE(2024,1,15),DATE(2029,6,30),2,3)</f>
        <v>182.5</v>
      </c>
      <c r="B5541" s="0" t="s">
        <v>5520</v>
      </c>
    </row>
    <row r="5542" customFormat="false" ht="15" hidden="false" customHeight="false" outlineLevel="0" collapsed="false">
      <c r="A5542" s="0" t="n">
        <f aca="false">COUPDAYSNC(DATE(2024,1,15),DATE(2029,6,30),2,3)</f>
        <v>167</v>
      </c>
      <c r="B5542" s="0" t="s">
        <v>5521</v>
      </c>
    </row>
    <row r="5543" customFormat="false" ht="15" hidden="false" customHeight="false" outlineLevel="0" collapsed="false">
      <c r="A5543" s="0" t="n">
        <f aca="false">COUPPCD(DATE(2024,1,15),DATE(2029,6,30),2,4)</f>
        <v>45291</v>
      </c>
      <c r="B5543" s="0" t="s">
        <v>5522</v>
      </c>
    </row>
    <row r="5544" customFormat="false" ht="15" hidden="false" customHeight="false" outlineLevel="0" collapsed="false">
      <c r="A5544" s="0" t="n">
        <f aca="false">COUPNCD(DATE(2024,1,15),DATE(2029,6,30),2,4)</f>
        <v>45473</v>
      </c>
      <c r="B5544" s="0" t="s">
        <v>5523</v>
      </c>
    </row>
    <row r="5545" customFormat="false" ht="15" hidden="false" customHeight="false" outlineLevel="0" collapsed="false">
      <c r="A5545" s="0" t="n">
        <f aca="false">COUPNUM(DATE(2024,1,15),DATE(2029,6,30),2,4)</f>
        <v>11</v>
      </c>
      <c r="B5545" s="0" t="s">
        <v>5524</v>
      </c>
    </row>
    <row r="5546" customFormat="false" ht="15" hidden="false" customHeight="false" outlineLevel="0" collapsed="false">
      <c r="A5546" s="0" t="n">
        <f aca="false">COUPDAYBS(DATE(2024,1,15),DATE(2029,6,30),2,4)</f>
        <v>15</v>
      </c>
      <c r="B5546" s="0" t="s">
        <v>5525</v>
      </c>
    </row>
    <row r="5547" customFormat="false" ht="15" hidden="false" customHeight="false" outlineLevel="0" collapsed="false">
      <c r="A5547" s="0" t="n">
        <f aca="false">COUPDAYS(DATE(2024,1,15),DATE(2029,6,30),2,4)</f>
        <v>180</v>
      </c>
      <c r="B5547" s="0" t="s">
        <v>5526</v>
      </c>
    </row>
    <row r="5548" customFormat="false" ht="15" hidden="false" customHeight="false" outlineLevel="0" collapsed="false">
      <c r="A5548" s="0" t="n">
        <f aca="false">COUPDAYSNC(DATE(2024,1,15),DATE(2029,6,30),2,4)</f>
        <v>165</v>
      </c>
      <c r="B5548" s="0" t="s">
        <v>5527</v>
      </c>
    </row>
    <row r="5549" customFormat="false" ht="15" hidden="false" customHeight="false" outlineLevel="0" collapsed="false">
      <c r="A5549" s="0" t="n">
        <f aca="false">COUPPCD(DATE(2024,1,15),DATE(2029,6,30),4,0)</f>
        <v>45291</v>
      </c>
      <c r="B5549" s="0" t="s">
        <v>5528</v>
      </c>
    </row>
    <row r="5550" customFormat="false" ht="15" hidden="false" customHeight="false" outlineLevel="0" collapsed="false">
      <c r="A5550" s="0" t="n">
        <f aca="false">COUPNCD(DATE(2024,1,15),DATE(2029,6,30),4,0)</f>
        <v>45382</v>
      </c>
      <c r="B5550" s="0" t="s">
        <v>5529</v>
      </c>
    </row>
    <row r="5551" customFormat="false" ht="15" hidden="false" customHeight="false" outlineLevel="0" collapsed="false">
      <c r="A5551" s="0" t="n">
        <f aca="false">COUPNUM(DATE(2024,1,15),DATE(2029,6,30),4,0)</f>
        <v>22</v>
      </c>
      <c r="B5551" s="0" t="s">
        <v>5530</v>
      </c>
    </row>
    <row r="5552" customFormat="false" ht="15" hidden="false" customHeight="false" outlineLevel="0" collapsed="false">
      <c r="A5552" s="0" t="n">
        <f aca="false">COUPDAYBS(DATE(2024,1,15),DATE(2029,6,30),4,0)</f>
        <v>15</v>
      </c>
      <c r="B5552" s="0" t="s">
        <v>5531</v>
      </c>
    </row>
    <row r="5553" customFormat="false" ht="15" hidden="false" customHeight="false" outlineLevel="0" collapsed="false">
      <c r="A5553" s="0" t="n">
        <f aca="false">COUPDAYS(DATE(2024,1,15),DATE(2029,6,30),4,0)</f>
        <v>90</v>
      </c>
      <c r="B5553" s="0" t="s">
        <v>5532</v>
      </c>
    </row>
    <row r="5554" customFormat="false" ht="15" hidden="false" customHeight="false" outlineLevel="0" collapsed="false">
      <c r="A5554" s="0" t="n">
        <f aca="false">COUPDAYSNC(DATE(2024,1,15),DATE(2029,6,30),4,0)</f>
        <v>75</v>
      </c>
      <c r="B5554" s="0" t="s">
        <v>5533</v>
      </c>
    </row>
    <row r="5555" customFormat="false" ht="15" hidden="false" customHeight="false" outlineLevel="0" collapsed="false">
      <c r="A5555" s="0" t="n">
        <f aca="false">COUPPCD(DATE(2024,1,15),DATE(2029,6,30),4,1)</f>
        <v>45291</v>
      </c>
      <c r="B5555" s="0" t="s">
        <v>5534</v>
      </c>
    </row>
    <row r="5556" customFormat="false" ht="15" hidden="false" customHeight="false" outlineLevel="0" collapsed="false">
      <c r="A5556" s="0" t="n">
        <f aca="false">COUPNCD(DATE(2024,1,15),DATE(2029,6,30),4,1)</f>
        <v>45382</v>
      </c>
      <c r="B5556" s="0" t="s">
        <v>5535</v>
      </c>
    </row>
    <row r="5557" customFormat="false" ht="15" hidden="false" customHeight="false" outlineLevel="0" collapsed="false">
      <c r="A5557" s="0" t="n">
        <f aca="false">COUPNUM(DATE(2024,1,15),DATE(2029,6,30),4,1)</f>
        <v>22</v>
      </c>
      <c r="B5557" s="0" t="s">
        <v>5536</v>
      </c>
    </row>
    <row r="5558" customFormat="false" ht="15" hidden="false" customHeight="false" outlineLevel="0" collapsed="false">
      <c r="A5558" s="0" t="n">
        <f aca="false">COUPDAYBS(DATE(2024,1,15),DATE(2029,6,30),4,1)</f>
        <v>15</v>
      </c>
      <c r="B5558" s="0" t="s">
        <v>5537</v>
      </c>
    </row>
    <row r="5559" customFormat="false" ht="15" hidden="false" customHeight="false" outlineLevel="0" collapsed="false">
      <c r="A5559" s="0" t="n">
        <f aca="false">COUPDAYS(DATE(2024,1,15),DATE(2029,6,30),4,1)</f>
        <v>91</v>
      </c>
      <c r="B5559" s="0" t="s">
        <v>5538</v>
      </c>
    </row>
    <row r="5560" customFormat="false" ht="15" hidden="false" customHeight="false" outlineLevel="0" collapsed="false">
      <c r="A5560" s="0" t="n">
        <f aca="false">COUPDAYSNC(DATE(2024,1,15),DATE(2029,6,30),4,1)</f>
        <v>76</v>
      </c>
      <c r="B5560" s="0" t="s">
        <v>5539</v>
      </c>
    </row>
    <row r="5561" customFormat="false" ht="15" hidden="false" customHeight="false" outlineLevel="0" collapsed="false">
      <c r="A5561" s="0" t="n">
        <f aca="false">COUPPCD(DATE(2024,1,15),DATE(2029,6,30),4,2)</f>
        <v>45291</v>
      </c>
      <c r="B5561" s="0" t="s">
        <v>5540</v>
      </c>
    </row>
    <row r="5562" customFormat="false" ht="15" hidden="false" customHeight="false" outlineLevel="0" collapsed="false">
      <c r="A5562" s="0" t="n">
        <f aca="false">COUPNCD(DATE(2024,1,15),DATE(2029,6,30),4,2)</f>
        <v>45382</v>
      </c>
      <c r="B5562" s="0" t="s">
        <v>5541</v>
      </c>
    </row>
    <row r="5563" customFormat="false" ht="15" hidden="false" customHeight="false" outlineLevel="0" collapsed="false">
      <c r="A5563" s="0" t="n">
        <f aca="false">COUPNUM(DATE(2024,1,15),DATE(2029,6,30),4,2)</f>
        <v>22</v>
      </c>
      <c r="B5563" s="0" t="s">
        <v>5542</v>
      </c>
    </row>
    <row r="5564" customFormat="false" ht="15" hidden="false" customHeight="false" outlineLevel="0" collapsed="false">
      <c r="A5564" s="0" t="n">
        <f aca="false">COUPDAYBS(DATE(2024,1,15),DATE(2029,6,30),4,2)</f>
        <v>15</v>
      </c>
      <c r="B5564" s="0" t="s">
        <v>5543</v>
      </c>
    </row>
    <row r="5565" customFormat="false" ht="15" hidden="false" customHeight="false" outlineLevel="0" collapsed="false">
      <c r="A5565" s="0" t="n">
        <f aca="false">COUPDAYS(DATE(2024,1,15),DATE(2029,6,30),4,2)</f>
        <v>90</v>
      </c>
      <c r="B5565" s="0" t="s">
        <v>5544</v>
      </c>
    </row>
    <row r="5566" customFormat="false" ht="15" hidden="false" customHeight="false" outlineLevel="0" collapsed="false">
      <c r="A5566" s="0" t="n">
        <f aca="false">COUPDAYSNC(DATE(2024,1,15),DATE(2029,6,30),4,2)</f>
        <v>76</v>
      </c>
      <c r="B5566" s="0" t="s">
        <v>5545</v>
      </c>
    </row>
    <row r="5567" customFormat="false" ht="15" hidden="false" customHeight="false" outlineLevel="0" collapsed="false">
      <c r="A5567" s="0" t="n">
        <f aca="false">COUPPCD(DATE(2024,1,15),DATE(2029,6,30),4,3)</f>
        <v>45291</v>
      </c>
      <c r="B5567" s="0" t="s">
        <v>5546</v>
      </c>
    </row>
    <row r="5568" customFormat="false" ht="15" hidden="false" customHeight="false" outlineLevel="0" collapsed="false">
      <c r="A5568" s="0" t="n">
        <f aca="false">COUPNCD(DATE(2024,1,15),DATE(2029,6,30),4,3)</f>
        <v>45382</v>
      </c>
      <c r="B5568" s="0" t="s">
        <v>5547</v>
      </c>
    </row>
    <row r="5569" customFormat="false" ht="15" hidden="false" customHeight="false" outlineLevel="0" collapsed="false">
      <c r="A5569" s="0" t="n">
        <f aca="false">COUPNUM(DATE(2024,1,15),DATE(2029,6,30),4,3)</f>
        <v>22</v>
      </c>
      <c r="B5569" s="0" t="s">
        <v>5548</v>
      </c>
    </row>
    <row r="5570" customFormat="false" ht="15" hidden="false" customHeight="false" outlineLevel="0" collapsed="false">
      <c r="A5570" s="0" t="n">
        <f aca="false">COUPDAYBS(DATE(2024,1,15),DATE(2029,6,30),4,3)</f>
        <v>15</v>
      </c>
      <c r="B5570" s="0" t="s">
        <v>5549</v>
      </c>
    </row>
    <row r="5571" customFormat="false" ht="15" hidden="false" customHeight="false" outlineLevel="0" collapsed="false">
      <c r="A5571" s="0" t="n">
        <f aca="false">COUPDAYS(DATE(2024,1,15),DATE(2029,6,30),4,3)</f>
        <v>91.25</v>
      </c>
      <c r="B5571" s="0" t="s">
        <v>5550</v>
      </c>
    </row>
    <row r="5572" customFormat="false" ht="15" hidden="false" customHeight="false" outlineLevel="0" collapsed="false">
      <c r="A5572" s="0" t="n">
        <f aca="false">COUPDAYSNC(DATE(2024,1,15),DATE(2029,6,30),4,3)</f>
        <v>76</v>
      </c>
      <c r="B5572" s="0" t="s">
        <v>5551</v>
      </c>
    </row>
    <row r="5573" customFormat="false" ht="15" hidden="false" customHeight="false" outlineLevel="0" collapsed="false">
      <c r="A5573" s="0" t="n">
        <f aca="false">COUPPCD(DATE(2024,1,15),DATE(2029,6,30),4,4)</f>
        <v>45291</v>
      </c>
      <c r="B5573" s="0" t="s">
        <v>5552</v>
      </c>
    </row>
    <row r="5574" customFormat="false" ht="15" hidden="false" customHeight="false" outlineLevel="0" collapsed="false">
      <c r="A5574" s="0" t="n">
        <f aca="false">COUPNCD(DATE(2024,1,15),DATE(2029,6,30),4,4)</f>
        <v>45382</v>
      </c>
      <c r="B5574" s="0" t="s">
        <v>5553</v>
      </c>
    </row>
    <row r="5575" customFormat="false" ht="15" hidden="false" customHeight="false" outlineLevel="0" collapsed="false">
      <c r="A5575" s="0" t="n">
        <f aca="false">COUPNUM(DATE(2024,1,15),DATE(2029,6,30),4,4)</f>
        <v>22</v>
      </c>
      <c r="B5575" s="0" t="s">
        <v>5554</v>
      </c>
    </row>
    <row r="5576" customFormat="false" ht="15" hidden="false" customHeight="false" outlineLevel="0" collapsed="false">
      <c r="A5576" s="0" t="n">
        <f aca="false">COUPDAYBS(DATE(2024,1,15),DATE(2029,6,30),4,4)</f>
        <v>15</v>
      </c>
      <c r="B5576" s="0" t="s">
        <v>5555</v>
      </c>
    </row>
    <row r="5577" customFormat="false" ht="15" hidden="false" customHeight="false" outlineLevel="0" collapsed="false">
      <c r="A5577" s="0" t="n">
        <f aca="false">COUPDAYS(DATE(2024,1,15),DATE(2029,6,30),4,4)</f>
        <v>90</v>
      </c>
      <c r="B5577" s="0" t="s">
        <v>5556</v>
      </c>
    </row>
    <row r="5578" customFormat="false" ht="15" hidden="false" customHeight="false" outlineLevel="0" collapsed="false">
      <c r="A5578" s="0" t="n">
        <f aca="false">COUPDAYSNC(DATE(2024,1,15),DATE(2029,6,30),4,4)</f>
        <v>75</v>
      </c>
      <c r="B5578" s="0" t="s">
        <v>5557</v>
      </c>
    </row>
    <row r="5579" customFormat="false" ht="15" hidden="false" customHeight="false" outlineLevel="0" collapsed="false">
      <c r="A5579" s="0" t="n">
        <f aca="false">COUPNUM(DATE(2024,1,15),DATE(2029,6,30),2)</f>
        <v>11</v>
      </c>
      <c r="B5579" s="0" t="s">
        <v>5558</v>
      </c>
    </row>
    <row r="5580" customFormat="false" ht="15" hidden="false" customHeight="false" outlineLevel="0" collapsed="false">
      <c r="A5580" s="0" t="n">
        <f aca="false">COUPDAYS(DATE(2024,1,15),DATE(2029,6,30),2)</f>
        <v>180</v>
      </c>
      <c r="B5580" s="0" t="s">
        <v>5559</v>
      </c>
    </row>
    <row r="5581" customFormat="false" ht="15" hidden="false" customHeight="false" outlineLevel="0" collapsed="false">
      <c r="A5581" s="0" t="n">
        <f aca="false">COUPPCD(DATE(2024,3,31),DATE(2025,3,31),1,0)</f>
        <v>45382</v>
      </c>
      <c r="B5581" s="0" t="s">
        <v>5560</v>
      </c>
    </row>
    <row r="5582" customFormat="false" ht="15" hidden="false" customHeight="false" outlineLevel="0" collapsed="false">
      <c r="A5582" s="0" t="n">
        <f aca="false">COUPNCD(DATE(2024,3,31),DATE(2025,3,31),1,0)</f>
        <v>45747</v>
      </c>
      <c r="B5582" s="0" t="s">
        <v>5561</v>
      </c>
    </row>
    <row r="5583" customFormat="false" ht="15" hidden="false" customHeight="false" outlineLevel="0" collapsed="false">
      <c r="A5583" s="0" t="n">
        <f aca="false">COUPNUM(DATE(2024,3,31),DATE(2025,3,31),1,0)</f>
        <v>1</v>
      </c>
      <c r="B5583" s="0" t="s">
        <v>5562</v>
      </c>
    </row>
    <row r="5584" customFormat="false" ht="15" hidden="false" customHeight="false" outlineLevel="0" collapsed="false">
      <c r="A5584" s="0" t="n">
        <f aca="false">COUPDAYBS(DATE(2024,3,31),DATE(2025,3,31),1,0)</f>
        <v>0</v>
      </c>
      <c r="B5584" s="0" t="s">
        <v>5563</v>
      </c>
    </row>
    <row r="5585" customFormat="false" ht="15" hidden="false" customHeight="false" outlineLevel="0" collapsed="false">
      <c r="A5585" s="0" t="n">
        <f aca="false">COUPDAYS(DATE(2024,3,31),DATE(2025,3,31),1,0)</f>
        <v>360</v>
      </c>
      <c r="B5585" s="0" t="s">
        <v>5564</v>
      </c>
    </row>
    <row r="5586" customFormat="false" ht="15" hidden="false" customHeight="false" outlineLevel="0" collapsed="false">
      <c r="A5586" s="0" t="n">
        <f aca="false">COUPDAYSNC(DATE(2024,3,31),DATE(2025,3,31),1,0)</f>
        <v>360</v>
      </c>
      <c r="B5586" s="0" t="s">
        <v>5565</v>
      </c>
    </row>
    <row r="5587" customFormat="false" ht="15" hidden="false" customHeight="false" outlineLevel="0" collapsed="false">
      <c r="A5587" s="0" t="n">
        <f aca="false">COUPPCD(DATE(2024,3,31),DATE(2025,3,31),1,1)</f>
        <v>45382</v>
      </c>
      <c r="B5587" s="0" t="s">
        <v>5566</v>
      </c>
    </row>
    <row r="5588" customFormat="false" ht="15" hidden="false" customHeight="false" outlineLevel="0" collapsed="false">
      <c r="A5588" s="0" t="n">
        <f aca="false">COUPNCD(DATE(2024,3,31),DATE(2025,3,31),1,1)</f>
        <v>45747</v>
      </c>
      <c r="B5588" s="0" t="s">
        <v>5567</v>
      </c>
    </row>
    <row r="5589" customFormat="false" ht="15" hidden="false" customHeight="false" outlineLevel="0" collapsed="false">
      <c r="A5589" s="0" t="n">
        <f aca="false">COUPNUM(DATE(2024,3,31),DATE(2025,3,31),1,1)</f>
        <v>1</v>
      </c>
      <c r="B5589" s="0" t="s">
        <v>5568</v>
      </c>
    </row>
    <row r="5590" customFormat="false" ht="15" hidden="false" customHeight="false" outlineLevel="0" collapsed="false">
      <c r="A5590" s="0" t="n">
        <f aca="false">COUPDAYBS(DATE(2024,3,31),DATE(2025,3,31),1,1)</f>
        <v>0</v>
      </c>
      <c r="B5590" s="0" t="s">
        <v>5569</v>
      </c>
    </row>
    <row r="5591" customFormat="false" ht="15" hidden="false" customHeight="false" outlineLevel="0" collapsed="false">
      <c r="A5591" s="0" t="n">
        <f aca="false">COUPDAYS(DATE(2024,3,31),DATE(2025,3,31),1,1)</f>
        <v>365</v>
      </c>
      <c r="B5591" s="0" t="s">
        <v>5570</v>
      </c>
    </row>
    <row r="5592" customFormat="false" ht="15" hidden="false" customHeight="false" outlineLevel="0" collapsed="false">
      <c r="A5592" s="0" t="n">
        <f aca="false">COUPDAYSNC(DATE(2024,3,31),DATE(2025,3,31),1,1)</f>
        <v>365</v>
      </c>
      <c r="B5592" s="0" t="s">
        <v>5571</v>
      </c>
    </row>
    <row r="5593" customFormat="false" ht="15" hidden="false" customHeight="false" outlineLevel="0" collapsed="false">
      <c r="A5593" s="0" t="n">
        <f aca="false">COUPPCD(DATE(2024,3,31),DATE(2025,3,31),1,2)</f>
        <v>45382</v>
      </c>
      <c r="B5593" s="0" t="s">
        <v>5572</v>
      </c>
    </row>
    <row r="5594" customFormat="false" ht="15" hidden="false" customHeight="false" outlineLevel="0" collapsed="false">
      <c r="A5594" s="0" t="n">
        <f aca="false">COUPNCD(DATE(2024,3,31),DATE(2025,3,31),1,2)</f>
        <v>45747</v>
      </c>
      <c r="B5594" s="0" t="s">
        <v>5573</v>
      </c>
    </row>
    <row r="5595" customFormat="false" ht="15" hidden="false" customHeight="false" outlineLevel="0" collapsed="false">
      <c r="A5595" s="0" t="n">
        <f aca="false">COUPNUM(DATE(2024,3,31),DATE(2025,3,31),1,2)</f>
        <v>1</v>
      </c>
      <c r="B5595" s="0" t="s">
        <v>5574</v>
      </c>
    </row>
    <row r="5596" customFormat="false" ht="15" hidden="false" customHeight="false" outlineLevel="0" collapsed="false">
      <c r="A5596" s="0" t="n">
        <f aca="false">COUPDAYBS(DATE(2024,3,31),DATE(2025,3,31),1,2)</f>
        <v>0</v>
      </c>
      <c r="B5596" s="0" t="s">
        <v>5575</v>
      </c>
    </row>
    <row r="5597" customFormat="false" ht="15" hidden="false" customHeight="false" outlineLevel="0" collapsed="false">
      <c r="A5597" s="0" t="n">
        <f aca="false">COUPDAYS(DATE(2024,3,31),DATE(2025,3,31),1,2)</f>
        <v>360</v>
      </c>
      <c r="B5597" s="0" t="s">
        <v>5576</v>
      </c>
    </row>
    <row r="5598" customFormat="false" ht="15" hidden="false" customHeight="false" outlineLevel="0" collapsed="false">
      <c r="A5598" s="0" t="n">
        <f aca="false">COUPDAYSNC(DATE(2024,3,31),DATE(2025,3,31),1,2)</f>
        <v>365</v>
      </c>
      <c r="B5598" s="0" t="s">
        <v>5577</v>
      </c>
    </row>
    <row r="5599" customFormat="false" ht="15" hidden="false" customHeight="false" outlineLevel="0" collapsed="false">
      <c r="A5599" s="0" t="n">
        <f aca="false">COUPPCD(DATE(2024,3,31),DATE(2025,3,31),1,3)</f>
        <v>45382</v>
      </c>
      <c r="B5599" s="0" t="s">
        <v>5578</v>
      </c>
    </row>
    <row r="5600" customFormat="false" ht="15" hidden="false" customHeight="false" outlineLevel="0" collapsed="false">
      <c r="A5600" s="0" t="n">
        <f aca="false">COUPNCD(DATE(2024,3,31),DATE(2025,3,31),1,3)</f>
        <v>45747</v>
      </c>
      <c r="B5600" s="0" t="s">
        <v>5579</v>
      </c>
    </row>
    <row r="5601" customFormat="false" ht="15" hidden="false" customHeight="false" outlineLevel="0" collapsed="false">
      <c r="A5601" s="0" t="n">
        <f aca="false">COUPNUM(DATE(2024,3,31),DATE(2025,3,31),1,3)</f>
        <v>1</v>
      </c>
      <c r="B5601" s="0" t="s">
        <v>5580</v>
      </c>
    </row>
    <row r="5602" customFormat="false" ht="15" hidden="false" customHeight="false" outlineLevel="0" collapsed="false">
      <c r="A5602" s="0" t="n">
        <f aca="false">COUPDAYBS(DATE(2024,3,31),DATE(2025,3,31),1,3)</f>
        <v>0</v>
      </c>
      <c r="B5602" s="0" t="s">
        <v>5581</v>
      </c>
    </row>
    <row r="5603" customFormat="false" ht="15" hidden="false" customHeight="false" outlineLevel="0" collapsed="false">
      <c r="A5603" s="0" t="n">
        <f aca="false">COUPDAYS(DATE(2024,3,31),DATE(2025,3,31),1,3)</f>
        <v>365</v>
      </c>
      <c r="B5603" s="0" t="s">
        <v>5582</v>
      </c>
    </row>
    <row r="5604" customFormat="false" ht="15" hidden="false" customHeight="false" outlineLevel="0" collapsed="false">
      <c r="A5604" s="0" t="n">
        <f aca="false">COUPDAYSNC(DATE(2024,3,31),DATE(2025,3,31),1,3)</f>
        <v>365</v>
      </c>
      <c r="B5604" s="0" t="s">
        <v>5583</v>
      </c>
    </row>
    <row r="5605" customFormat="false" ht="15" hidden="false" customHeight="false" outlineLevel="0" collapsed="false">
      <c r="A5605" s="0" t="n">
        <f aca="false">COUPPCD(DATE(2024,3,31),DATE(2025,3,31),1,4)</f>
        <v>45382</v>
      </c>
      <c r="B5605" s="0" t="s">
        <v>5584</v>
      </c>
    </row>
    <row r="5606" customFormat="false" ht="15" hidden="false" customHeight="false" outlineLevel="0" collapsed="false">
      <c r="A5606" s="0" t="n">
        <f aca="false">COUPNCD(DATE(2024,3,31),DATE(2025,3,31),1,4)</f>
        <v>45747</v>
      </c>
      <c r="B5606" s="0" t="s">
        <v>5585</v>
      </c>
    </row>
    <row r="5607" customFormat="false" ht="15" hidden="false" customHeight="false" outlineLevel="0" collapsed="false">
      <c r="A5607" s="0" t="n">
        <f aca="false">COUPNUM(DATE(2024,3,31),DATE(2025,3,31),1,4)</f>
        <v>1</v>
      </c>
      <c r="B5607" s="0" t="s">
        <v>5586</v>
      </c>
    </row>
    <row r="5608" customFormat="false" ht="15" hidden="false" customHeight="false" outlineLevel="0" collapsed="false">
      <c r="A5608" s="0" t="n">
        <f aca="false">COUPDAYBS(DATE(2024,3,31),DATE(2025,3,31),1,4)</f>
        <v>0</v>
      </c>
      <c r="B5608" s="0" t="s">
        <v>5587</v>
      </c>
    </row>
    <row r="5609" customFormat="false" ht="15" hidden="false" customHeight="false" outlineLevel="0" collapsed="false">
      <c r="A5609" s="0" t="n">
        <f aca="false">COUPDAYS(DATE(2024,3,31),DATE(2025,3,31),1,4)</f>
        <v>360</v>
      </c>
      <c r="B5609" s="0" t="s">
        <v>5588</v>
      </c>
    </row>
    <row r="5610" customFormat="false" ht="15" hidden="false" customHeight="false" outlineLevel="0" collapsed="false">
      <c r="A5610" s="0" t="n">
        <f aca="false">COUPDAYSNC(DATE(2024,3,31),DATE(2025,3,31),1,4)</f>
        <v>360</v>
      </c>
      <c r="B5610" s="0" t="s">
        <v>5589</v>
      </c>
    </row>
    <row r="5611" customFormat="false" ht="15" hidden="false" customHeight="false" outlineLevel="0" collapsed="false">
      <c r="A5611" s="0" t="n">
        <f aca="false">COUPPCD(DATE(2024,3,31),DATE(2025,3,31),2,0)</f>
        <v>45382</v>
      </c>
      <c r="B5611" s="0" t="s">
        <v>5590</v>
      </c>
    </row>
    <row r="5612" customFormat="false" ht="15" hidden="false" customHeight="false" outlineLevel="0" collapsed="false">
      <c r="A5612" s="0" t="n">
        <f aca="false">COUPNCD(DATE(2024,3,31),DATE(2025,3,31),2,0)</f>
        <v>45565</v>
      </c>
      <c r="B5612" s="0" t="s">
        <v>5591</v>
      </c>
    </row>
    <row r="5613" customFormat="false" ht="15" hidden="false" customHeight="false" outlineLevel="0" collapsed="false">
      <c r="A5613" s="0" t="n">
        <f aca="false">COUPNUM(DATE(2024,3,31),DATE(2025,3,31),2,0)</f>
        <v>2</v>
      </c>
      <c r="B5613" s="0" t="s">
        <v>5592</v>
      </c>
    </row>
    <row r="5614" customFormat="false" ht="15" hidden="false" customHeight="false" outlineLevel="0" collapsed="false">
      <c r="A5614" s="0" t="n">
        <f aca="false">COUPDAYBS(DATE(2024,3,31),DATE(2025,3,31),2,0)</f>
        <v>0</v>
      </c>
      <c r="B5614" s="0" t="s">
        <v>5593</v>
      </c>
    </row>
    <row r="5615" customFormat="false" ht="15" hidden="false" customHeight="false" outlineLevel="0" collapsed="false">
      <c r="A5615" s="0" t="n">
        <f aca="false">COUPDAYS(DATE(2024,3,31),DATE(2025,3,31),2,0)</f>
        <v>180</v>
      </c>
      <c r="B5615" s="0" t="s">
        <v>5594</v>
      </c>
    </row>
    <row r="5616" customFormat="false" ht="15" hidden="false" customHeight="false" outlineLevel="0" collapsed="false">
      <c r="A5616" s="0" t="n">
        <f aca="false">COUPDAYSNC(DATE(2024,3,31),DATE(2025,3,31),2,0)</f>
        <v>180</v>
      </c>
      <c r="B5616" s="0" t="s">
        <v>5595</v>
      </c>
    </row>
    <row r="5617" customFormat="false" ht="15" hidden="false" customHeight="false" outlineLevel="0" collapsed="false">
      <c r="A5617" s="0" t="n">
        <f aca="false">COUPPCD(DATE(2024,3,31),DATE(2025,3,31),2,1)</f>
        <v>45382</v>
      </c>
      <c r="B5617" s="0" t="s">
        <v>5596</v>
      </c>
    </row>
    <row r="5618" customFormat="false" ht="15" hidden="false" customHeight="false" outlineLevel="0" collapsed="false">
      <c r="A5618" s="0" t="n">
        <f aca="false">COUPNCD(DATE(2024,3,31),DATE(2025,3,31),2,1)</f>
        <v>45565</v>
      </c>
      <c r="B5618" s="0" t="s">
        <v>5597</v>
      </c>
    </row>
    <row r="5619" customFormat="false" ht="15" hidden="false" customHeight="false" outlineLevel="0" collapsed="false">
      <c r="A5619" s="0" t="n">
        <f aca="false">COUPNUM(DATE(2024,3,31),DATE(2025,3,31),2,1)</f>
        <v>2</v>
      </c>
      <c r="B5619" s="0" t="s">
        <v>5598</v>
      </c>
    </row>
    <row r="5620" customFormat="false" ht="15" hidden="false" customHeight="false" outlineLevel="0" collapsed="false">
      <c r="A5620" s="0" t="n">
        <f aca="false">COUPDAYBS(DATE(2024,3,31),DATE(2025,3,31),2,1)</f>
        <v>0</v>
      </c>
      <c r="B5620" s="0" t="s">
        <v>5599</v>
      </c>
    </row>
    <row r="5621" customFormat="false" ht="15" hidden="false" customHeight="false" outlineLevel="0" collapsed="false">
      <c r="A5621" s="0" t="n">
        <f aca="false">COUPDAYS(DATE(2024,3,31),DATE(2025,3,31),2,1)</f>
        <v>183</v>
      </c>
      <c r="B5621" s="0" t="s">
        <v>5600</v>
      </c>
    </row>
    <row r="5622" customFormat="false" ht="15" hidden="false" customHeight="false" outlineLevel="0" collapsed="false">
      <c r="A5622" s="0" t="n">
        <f aca="false">COUPDAYSNC(DATE(2024,3,31),DATE(2025,3,31),2,1)</f>
        <v>183</v>
      </c>
      <c r="B5622" s="0" t="s">
        <v>5601</v>
      </c>
    </row>
    <row r="5623" customFormat="false" ht="15" hidden="false" customHeight="false" outlineLevel="0" collapsed="false">
      <c r="A5623" s="0" t="n">
        <f aca="false">COUPPCD(DATE(2024,3,31),DATE(2025,3,31),2,2)</f>
        <v>45382</v>
      </c>
      <c r="B5623" s="0" t="s">
        <v>5602</v>
      </c>
    </row>
    <row r="5624" customFormat="false" ht="15" hidden="false" customHeight="false" outlineLevel="0" collapsed="false">
      <c r="A5624" s="0" t="n">
        <f aca="false">COUPNCD(DATE(2024,3,31),DATE(2025,3,31),2,2)</f>
        <v>45565</v>
      </c>
      <c r="B5624" s="0" t="s">
        <v>5603</v>
      </c>
    </row>
    <row r="5625" customFormat="false" ht="15" hidden="false" customHeight="false" outlineLevel="0" collapsed="false">
      <c r="A5625" s="0" t="n">
        <f aca="false">COUPNUM(DATE(2024,3,31),DATE(2025,3,31),2,2)</f>
        <v>2</v>
      </c>
      <c r="B5625" s="0" t="s">
        <v>5604</v>
      </c>
    </row>
    <row r="5626" customFormat="false" ht="15" hidden="false" customHeight="false" outlineLevel="0" collapsed="false">
      <c r="A5626" s="0" t="n">
        <f aca="false">COUPDAYBS(DATE(2024,3,31),DATE(2025,3,31),2,2)</f>
        <v>0</v>
      </c>
      <c r="B5626" s="0" t="s">
        <v>5605</v>
      </c>
    </row>
    <row r="5627" customFormat="false" ht="15" hidden="false" customHeight="false" outlineLevel="0" collapsed="false">
      <c r="A5627" s="0" t="n">
        <f aca="false">COUPDAYS(DATE(2024,3,31),DATE(2025,3,31),2,2)</f>
        <v>180</v>
      </c>
      <c r="B5627" s="0" t="s">
        <v>5606</v>
      </c>
    </row>
    <row r="5628" customFormat="false" ht="15" hidden="false" customHeight="false" outlineLevel="0" collapsed="false">
      <c r="A5628" s="0" t="n">
        <f aca="false">COUPDAYSNC(DATE(2024,3,31),DATE(2025,3,31),2,2)</f>
        <v>183</v>
      </c>
      <c r="B5628" s="0" t="s">
        <v>5607</v>
      </c>
    </row>
    <row r="5629" customFormat="false" ht="15" hidden="false" customHeight="false" outlineLevel="0" collapsed="false">
      <c r="A5629" s="0" t="n">
        <f aca="false">COUPPCD(DATE(2024,3,31),DATE(2025,3,31),2,3)</f>
        <v>45382</v>
      </c>
      <c r="B5629" s="0" t="s">
        <v>5608</v>
      </c>
    </row>
    <row r="5630" customFormat="false" ht="15" hidden="false" customHeight="false" outlineLevel="0" collapsed="false">
      <c r="A5630" s="0" t="n">
        <f aca="false">COUPNCD(DATE(2024,3,31),DATE(2025,3,31),2,3)</f>
        <v>45565</v>
      </c>
      <c r="B5630" s="0" t="s">
        <v>5609</v>
      </c>
    </row>
    <row r="5631" customFormat="false" ht="15" hidden="false" customHeight="false" outlineLevel="0" collapsed="false">
      <c r="A5631" s="0" t="n">
        <f aca="false">COUPNUM(DATE(2024,3,31),DATE(2025,3,31),2,3)</f>
        <v>2</v>
      </c>
      <c r="B5631" s="0" t="s">
        <v>5610</v>
      </c>
    </row>
    <row r="5632" customFormat="false" ht="15" hidden="false" customHeight="false" outlineLevel="0" collapsed="false">
      <c r="A5632" s="0" t="n">
        <f aca="false">COUPDAYBS(DATE(2024,3,31),DATE(2025,3,31),2,3)</f>
        <v>0</v>
      </c>
      <c r="B5632" s="0" t="s">
        <v>5611</v>
      </c>
    </row>
    <row r="5633" customFormat="false" ht="15" hidden="false" customHeight="false" outlineLevel="0" collapsed="false">
      <c r="A5633" s="0" t="n">
        <f aca="false">COUPDAYS(DATE(2024,3,31),DATE(2025,3,31),2,3)</f>
        <v>182.5</v>
      </c>
      <c r="B5633" s="0" t="s">
        <v>5612</v>
      </c>
    </row>
    <row r="5634" customFormat="false" ht="15" hidden="false" customHeight="false" outlineLevel="0" collapsed="false">
      <c r="A5634" s="0" t="n">
        <f aca="false">COUPDAYSNC(DATE(2024,3,31),DATE(2025,3,31),2,3)</f>
        <v>183</v>
      </c>
      <c r="B5634" s="0" t="s">
        <v>5613</v>
      </c>
    </row>
    <row r="5635" customFormat="false" ht="15" hidden="false" customHeight="false" outlineLevel="0" collapsed="false">
      <c r="A5635" s="0" t="n">
        <f aca="false">COUPPCD(DATE(2024,3,31),DATE(2025,3,31),2,4)</f>
        <v>45382</v>
      </c>
      <c r="B5635" s="0" t="s">
        <v>5614</v>
      </c>
    </row>
    <row r="5636" customFormat="false" ht="15" hidden="false" customHeight="false" outlineLevel="0" collapsed="false">
      <c r="A5636" s="0" t="n">
        <f aca="false">COUPNCD(DATE(2024,3,31),DATE(2025,3,31),2,4)</f>
        <v>45565</v>
      </c>
      <c r="B5636" s="0" t="s">
        <v>5615</v>
      </c>
    </row>
    <row r="5637" customFormat="false" ht="15" hidden="false" customHeight="false" outlineLevel="0" collapsed="false">
      <c r="A5637" s="0" t="n">
        <f aca="false">COUPNUM(DATE(2024,3,31),DATE(2025,3,31),2,4)</f>
        <v>2</v>
      </c>
      <c r="B5637" s="0" t="s">
        <v>5616</v>
      </c>
    </row>
    <row r="5638" customFormat="false" ht="15" hidden="false" customHeight="false" outlineLevel="0" collapsed="false">
      <c r="A5638" s="0" t="n">
        <f aca="false">COUPDAYBS(DATE(2024,3,31),DATE(2025,3,31),2,4)</f>
        <v>0</v>
      </c>
      <c r="B5638" s="0" t="s">
        <v>5617</v>
      </c>
    </row>
    <row r="5639" customFormat="false" ht="15" hidden="false" customHeight="false" outlineLevel="0" collapsed="false">
      <c r="A5639" s="0" t="n">
        <f aca="false">COUPDAYS(DATE(2024,3,31),DATE(2025,3,31),2,4)</f>
        <v>180</v>
      </c>
      <c r="B5639" s="0" t="s">
        <v>5618</v>
      </c>
    </row>
    <row r="5640" customFormat="false" ht="15" hidden="false" customHeight="false" outlineLevel="0" collapsed="false">
      <c r="A5640" s="0" t="n">
        <f aca="false">COUPDAYSNC(DATE(2024,3,31),DATE(2025,3,31),2,4)</f>
        <v>180</v>
      </c>
      <c r="B5640" s="0" t="s">
        <v>5619</v>
      </c>
    </row>
    <row r="5641" customFormat="false" ht="15" hidden="false" customHeight="false" outlineLevel="0" collapsed="false">
      <c r="A5641" s="0" t="n">
        <f aca="false">COUPPCD(DATE(2024,3,31),DATE(2025,3,31),4,0)</f>
        <v>45382</v>
      </c>
      <c r="B5641" s="0" t="s">
        <v>5620</v>
      </c>
    </row>
    <row r="5642" customFormat="false" ht="15" hidden="false" customHeight="false" outlineLevel="0" collapsed="false">
      <c r="A5642" s="0" t="n">
        <f aca="false">COUPNCD(DATE(2024,3,31),DATE(2025,3,31),4,0)</f>
        <v>45473</v>
      </c>
      <c r="B5642" s="0" t="s">
        <v>5621</v>
      </c>
    </row>
    <row r="5643" customFormat="false" ht="15" hidden="false" customHeight="false" outlineLevel="0" collapsed="false">
      <c r="A5643" s="0" t="n">
        <f aca="false">COUPNUM(DATE(2024,3,31),DATE(2025,3,31),4,0)</f>
        <v>4</v>
      </c>
      <c r="B5643" s="0" t="s">
        <v>5622</v>
      </c>
    </row>
    <row r="5644" customFormat="false" ht="15" hidden="false" customHeight="false" outlineLevel="0" collapsed="false">
      <c r="A5644" s="0" t="n">
        <f aca="false">COUPDAYBS(DATE(2024,3,31),DATE(2025,3,31),4,0)</f>
        <v>0</v>
      </c>
      <c r="B5644" s="0" t="s">
        <v>5623</v>
      </c>
    </row>
    <row r="5645" customFormat="false" ht="15" hidden="false" customHeight="false" outlineLevel="0" collapsed="false">
      <c r="A5645" s="0" t="n">
        <f aca="false">COUPDAYS(DATE(2024,3,31),DATE(2025,3,31),4,0)</f>
        <v>90</v>
      </c>
      <c r="B5645" s="0" t="s">
        <v>5624</v>
      </c>
    </row>
    <row r="5646" customFormat="false" ht="15" hidden="false" customHeight="false" outlineLevel="0" collapsed="false">
      <c r="A5646" s="0" t="n">
        <f aca="false">COUPDAYSNC(DATE(2024,3,31),DATE(2025,3,31),4,0)</f>
        <v>90</v>
      </c>
      <c r="B5646" s="0" t="s">
        <v>5625</v>
      </c>
    </row>
    <row r="5647" customFormat="false" ht="15" hidden="false" customHeight="false" outlineLevel="0" collapsed="false">
      <c r="A5647" s="0" t="n">
        <f aca="false">COUPPCD(DATE(2024,3,31),DATE(2025,3,31),4,1)</f>
        <v>45382</v>
      </c>
      <c r="B5647" s="0" t="s">
        <v>5626</v>
      </c>
    </row>
    <row r="5648" customFormat="false" ht="15" hidden="false" customHeight="false" outlineLevel="0" collapsed="false">
      <c r="A5648" s="0" t="n">
        <f aca="false">COUPNCD(DATE(2024,3,31),DATE(2025,3,31),4,1)</f>
        <v>45473</v>
      </c>
      <c r="B5648" s="0" t="s">
        <v>5627</v>
      </c>
    </row>
    <row r="5649" customFormat="false" ht="15" hidden="false" customHeight="false" outlineLevel="0" collapsed="false">
      <c r="A5649" s="0" t="n">
        <f aca="false">COUPNUM(DATE(2024,3,31),DATE(2025,3,31),4,1)</f>
        <v>4</v>
      </c>
      <c r="B5649" s="0" t="s">
        <v>5628</v>
      </c>
    </row>
    <row r="5650" customFormat="false" ht="15" hidden="false" customHeight="false" outlineLevel="0" collapsed="false">
      <c r="A5650" s="0" t="n">
        <f aca="false">COUPDAYBS(DATE(2024,3,31),DATE(2025,3,31),4,1)</f>
        <v>0</v>
      </c>
      <c r="B5650" s="0" t="s">
        <v>5629</v>
      </c>
    </row>
    <row r="5651" customFormat="false" ht="15" hidden="false" customHeight="false" outlineLevel="0" collapsed="false">
      <c r="A5651" s="0" t="n">
        <f aca="false">COUPDAYS(DATE(2024,3,31),DATE(2025,3,31),4,1)</f>
        <v>91</v>
      </c>
      <c r="B5651" s="0" t="s">
        <v>5630</v>
      </c>
    </row>
    <row r="5652" customFormat="false" ht="15" hidden="false" customHeight="false" outlineLevel="0" collapsed="false">
      <c r="A5652" s="0" t="n">
        <f aca="false">COUPDAYSNC(DATE(2024,3,31),DATE(2025,3,31),4,1)</f>
        <v>91</v>
      </c>
      <c r="B5652" s="0" t="s">
        <v>5631</v>
      </c>
    </row>
    <row r="5653" customFormat="false" ht="15" hidden="false" customHeight="false" outlineLevel="0" collapsed="false">
      <c r="A5653" s="0" t="n">
        <f aca="false">COUPPCD(DATE(2024,3,31),DATE(2025,3,31),4,2)</f>
        <v>45382</v>
      </c>
      <c r="B5653" s="0" t="s">
        <v>5632</v>
      </c>
    </row>
    <row r="5654" customFormat="false" ht="15" hidden="false" customHeight="false" outlineLevel="0" collapsed="false">
      <c r="A5654" s="0" t="n">
        <f aca="false">COUPNCD(DATE(2024,3,31),DATE(2025,3,31),4,2)</f>
        <v>45473</v>
      </c>
      <c r="B5654" s="0" t="s">
        <v>5633</v>
      </c>
    </row>
    <row r="5655" customFormat="false" ht="15" hidden="false" customHeight="false" outlineLevel="0" collapsed="false">
      <c r="A5655" s="0" t="n">
        <f aca="false">COUPNUM(DATE(2024,3,31),DATE(2025,3,31),4,2)</f>
        <v>4</v>
      </c>
      <c r="B5655" s="0" t="s">
        <v>5634</v>
      </c>
    </row>
    <row r="5656" customFormat="false" ht="15" hidden="false" customHeight="false" outlineLevel="0" collapsed="false">
      <c r="A5656" s="0" t="n">
        <f aca="false">COUPDAYBS(DATE(2024,3,31),DATE(2025,3,31),4,2)</f>
        <v>0</v>
      </c>
      <c r="B5656" s="0" t="s">
        <v>5635</v>
      </c>
    </row>
    <row r="5657" customFormat="false" ht="15" hidden="false" customHeight="false" outlineLevel="0" collapsed="false">
      <c r="A5657" s="0" t="n">
        <f aca="false">COUPDAYS(DATE(2024,3,31),DATE(2025,3,31),4,2)</f>
        <v>90</v>
      </c>
      <c r="B5657" s="0" t="s">
        <v>5636</v>
      </c>
    </row>
    <row r="5658" customFormat="false" ht="15" hidden="false" customHeight="false" outlineLevel="0" collapsed="false">
      <c r="A5658" s="0" t="n">
        <f aca="false">COUPDAYSNC(DATE(2024,3,31),DATE(2025,3,31),4,2)</f>
        <v>91</v>
      </c>
      <c r="B5658" s="0" t="s">
        <v>5637</v>
      </c>
    </row>
    <row r="5659" customFormat="false" ht="15" hidden="false" customHeight="false" outlineLevel="0" collapsed="false">
      <c r="A5659" s="0" t="n">
        <f aca="false">COUPPCD(DATE(2024,3,31),DATE(2025,3,31),4,3)</f>
        <v>45382</v>
      </c>
      <c r="B5659" s="0" t="s">
        <v>5638</v>
      </c>
    </row>
    <row r="5660" customFormat="false" ht="15" hidden="false" customHeight="false" outlineLevel="0" collapsed="false">
      <c r="A5660" s="0" t="n">
        <f aca="false">COUPNCD(DATE(2024,3,31),DATE(2025,3,31),4,3)</f>
        <v>45473</v>
      </c>
      <c r="B5660" s="0" t="s">
        <v>5639</v>
      </c>
    </row>
    <row r="5661" customFormat="false" ht="15" hidden="false" customHeight="false" outlineLevel="0" collapsed="false">
      <c r="A5661" s="0" t="n">
        <f aca="false">COUPNUM(DATE(2024,3,31),DATE(2025,3,31),4,3)</f>
        <v>4</v>
      </c>
      <c r="B5661" s="0" t="s">
        <v>5640</v>
      </c>
    </row>
    <row r="5662" customFormat="false" ht="15" hidden="false" customHeight="false" outlineLevel="0" collapsed="false">
      <c r="A5662" s="0" t="n">
        <f aca="false">COUPDAYBS(DATE(2024,3,31),DATE(2025,3,31),4,3)</f>
        <v>0</v>
      </c>
      <c r="B5662" s="0" t="s">
        <v>5641</v>
      </c>
    </row>
    <row r="5663" customFormat="false" ht="15" hidden="false" customHeight="false" outlineLevel="0" collapsed="false">
      <c r="A5663" s="0" t="n">
        <f aca="false">COUPDAYS(DATE(2024,3,31),DATE(2025,3,31),4,3)</f>
        <v>91.25</v>
      </c>
      <c r="B5663" s="0" t="s">
        <v>5642</v>
      </c>
    </row>
    <row r="5664" customFormat="false" ht="15" hidden="false" customHeight="false" outlineLevel="0" collapsed="false">
      <c r="A5664" s="0" t="n">
        <f aca="false">COUPDAYSNC(DATE(2024,3,31),DATE(2025,3,31),4,3)</f>
        <v>91</v>
      </c>
      <c r="B5664" s="0" t="s">
        <v>5643</v>
      </c>
    </row>
    <row r="5665" customFormat="false" ht="15" hidden="false" customHeight="false" outlineLevel="0" collapsed="false">
      <c r="A5665" s="0" t="n">
        <f aca="false">COUPPCD(DATE(2024,3,31),DATE(2025,3,31),4,4)</f>
        <v>45382</v>
      </c>
      <c r="B5665" s="0" t="s">
        <v>5644</v>
      </c>
    </row>
    <row r="5666" customFormat="false" ht="15" hidden="false" customHeight="false" outlineLevel="0" collapsed="false">
      <c r="A5666" s="0" t="n">
        <f aca="false">COUPNCD(DATE(2024,3,31),DATE(2025,3,31),4,4)</f>
        <v>45473</v>
      </c>
      <c r="B5666" s="0" t="s">
        <v>5645</v>
      </c>
    </row>
    <row r="5667" customFormat="false" ht="15" hidden="false" customHeight="false" outlineLevel="0" collapsed="false">
      <c r="A5667" s="0" t="n">
        <f aca="false">COUPNUM(DATE(2024,3,31),DATE(2025,3,31),4,4)</f>
        <v>4</v>
      </c>
      <c r="B5667" s="0" t="s">
        <v>5646</v>
      </c>
    </row>
    <row r="5668" customFormat="false" ht="15" hidden="false" customHeight="false" outlineLevel="0" collapsed="false">
      <c r="A5668" s="0" t="n">
        <f aca="false">COUPDAYBS(DATE(2024,3,31),DATE(2025,3,31),4,4)</f>
        <v>0</v>
      </c>
      <c r="B5668" s="0" t="s">
        <v>5647</v>
      </c>
    </row>
    <row r="5669" customFormat="false" ht="15" hidden="false" customHeight="false" outlineLevel="0" collapsed="false">
      <c r="A5669" s="0" t="n">
        <f aca="false">COUPDAYS(DATE(2024,3,31),DATE(2025,3,31),4,4)</f>
        <v>90</v>
      </c>
      <c r="B5669" s="0" t="s">
        <v>5648</v>
      </c>
    </row>
    <row r="5670" customFormat="false" ht="15" hidden="false" customHeight="false" outlineLevel="0" collapsed="false">
      <c r="A5670" s="0" t="n">
        <f aca="false">COUPDAYSNC(DATE(2024,3,31),DATE(2025,3,31),4,4)</f>
        <v>90</v>
      </c>
      <c r="B5670" s="0" t="s">
        <v>5649</v>
      </c>
    </row>
    <row r="5671" customFormat="false" ht="15" hidden="false" customHeight="false" outlineLevel="0" collapsed="false">
      <c r="A5671" s="0" t="n">
        <f aca="false">COUPNUM(DATE(2024,3,31),DATE(2025,3,31),2)</f>
        <v>2</v>
      </c>
      <c r="B5671" s="0" t="s">
        <v>5650</v>
      </c>
    </row>
    <row r="5672" customFormat="false" ht="15" hidden="false" customHeight="false" outlineLevel="0" collapsed="false">
      <c r="A5672" s="0" t="n">
        <f aca="false">COUPDAYS(DATE(2024,3,31),DATE(2025,3,31),2)</f>
        <v>180</v>
      </c>
      <c r="B5672" s="0" t="s">
        <v>5651</v>
      </c>
    </row>
    <row r="5673" customFormat="false" ht="15" hidden="false" customHeight="false" outlineLevel="0" collapsed="false">
      <c r="A5673" s="0" t="n">
        <f aca="false">COUPPCD(DATE(2024,2,29),DATE(2026,8,31),1,0)</f>
        <v>45169</v>
      </c>
      <c r="B5673" s="0" t="s">
        <v>5652</v>
      </c>
    </row>
    <row r="5674" customFormat="false" ht="15" hidden="false" customHeight="false" outlineLevel="0" collapsed="false">
      <c r="A5674" s="0" t="n">
        <f aca="false">COUPNCD(DATE(2024,2,29),DATE(2026,8,31),1,0)</f>
        <v>45535</v>
      </c>
      <c r="B5674" s="0" t="s">
        <v>5653</v>
      </c>
    </row>
    <row r="5675" customFormat="false" ht="15" hidden="false" customHeight="false" outlineLevel="0" collapsed="false">
      <c r="A5675" s="0" t="n">
        <f aca="false">COUPNUM(DATE(2024,2,29),DATE(2026,8,31),1,0)</f>
        <v>3</v>
      </c>
      <c r="B5675" s="0" t="s">
        <v>5654</v>
      </c>
    </row>
    <row r="5676" customFormat="false" ht="15" hidden="false" customHeight="false" outlineLevel="0" collapsed="false">
      <c r="A5676" s="0" t="n">
        <f aca="false">COUPDAYBS(DATE(2024,2,29),DATE(2026,8,31),1,0)</f>
        <v>179</v>
      </c>
      <c r="B5676" s="0" t="s">
        <v>5655</v>
      </c>
    </row>
    <row r="5677" customFormat="false" ht="15" hidden="false" customHeight="false" outlineLevel="0" collapsed="false">
      <c r="A5677" s="0" t="n">
        <f aca="false">COUPDAYS(DATE(2024,2,29),DATE(2026,8,31),1,0)</f>
        <v>360</v>
      </c>
      <c r="B5677" s="0" t="s">
        <v>5656</v>
      </c>
    </row>
    <row r="5678" customFormat="false" ht="15" hidden="false" customHeight="false" outlineLevel="0" collapsed="false">
      <c r="A5678" s="0" t="n">
        <f aca="false">COUPDAYSNC(DATE(2024,2,29),DATE(2026,8,31),1,0)</f>
        <v>181</v>
      </c>
      <c r="B5678" s="0" t="s">
        <v>5657</v>
      </c>
    </row>
    <row r="5679" customFormat="false" ht="15" hidden="false" customHeight="false" outlineLevel="0" collapsed="false">
      <c r="A5679" s="0" t="n">
        <f aca="false">COUPPCD(DATE(2024,2,29),DATE(2026,8,31),1,1)</f>
        <v>45169</v>
      </c>
      <c r="B5679" s="0" t="s">
        <v>5658</v>
      </c>
    </row>
    <row r="5680" customFormat="false" ht="15" hidden="false" customHeight="false" outlineLevel="0" collapsed="false">
      <c r="A5680" s="0" t="n">
        <f aca="false">COUPNCD(DATE(2024,2,29),DATE(2026,8,31),1,1)</f>
        <v>45535</v>
      </c>
      <c r="B5680" s="0" t="s">
        <v>5659</v>
      </c>
    </row>
    <row r="5681" customFormat="false" ht="15" hidden="false" customHeight="false" outlineLevel="0" collapsed="false">
      <c r="A5681" s="0" t="n">
        <f aca="false">COUPNUM(DATE(2024,2,29),DATE(2026,8,31),1,1)</f>
        <v>3</v>
      </c>
      <c r="B5681" s="0" t="s">
        <v>5660</v>
      </c>
    </row>
    <row r="5682" customFormat="false" ht="15" hidden="false" customHeight="false" outlineLevel="0" collapsed="false">
      <c r="A5682" s="0" t="n">
        <f aca="false">COUPDAYBS(DATE(2024,2,29),DATE(2026,8,31),1,1)</f>
        <v>182</v>
      </c>
      <c r="B5682" s="0" t="s">
        <v>5661</v>
      </c>
    </row>
    <row r="5683" customFormat="false" ht="15" hidden="false" customHeight="false" outlineLevel="0" collapsed="false">
      <c r="A5683" s="0" t="n">
        <f aca="false">COUPDAYS(DATE(2024,2,29),DATE(2026,8,31),1,1)</f>
        <v>366</v>
      </c>
      <c r="B5683" s="0" t="s">
        <v>5662</v>
      </c>
    </row>
    <row r="5684" customFormat="false" ht="15" hidden="false" customHeight="false" outlineLevel="0" collapsed="false">
      <c r="A5684" s="0" t="n">
        <f aca="false">COUPDAYSNC(DATE(2024,2,29),DATE(2026,8,31),1,1)</f>
        <v>184</v>
      </c>
      <c r="B5684" s="0" t="s">
        <v>5663</v>
      </c>
    </row>
    <row r="5685" customFormat="false" ht="15" hidden="false" customHeight="false" outlineLevel="0" collapsed="false">
      <c r="A5685" s="0" t="n">
        <f aca="false">COUPPCD(DATE(2024,2,29),DATE(2026,8,31),1,2)</f>
        <v>45169</v>
      </c>
      <c r="B5685" s="0" t="s">
        <v>5664</v>
      </c>
    </row>
    <row r="5686" customFormat="false" ht="15" hidden="false" customHeight="false" outlineLevel="0" collapsed="false">
      <c r="A5686" s="0" t="n">
        <f aca="false">COUPNCD(DATE(2024,2,29),DATE(2026,8,31),1,2)</f>
        <v>45535</v>
      </c>
      <c r="B5686" s="0" t="s">
        <v>5665</v>
      </c>
    </row>
    <row r="5687" customFormat="false" ht="15" hidden="false" customHeight="false" outlineLevel="0" collapsed="false">
      <c r="A5687" s="0" t="n">
        <f aca="false">COUPNUM(DATE(2024,2,29),DATE(2026,8,31),1,2)</f>
        <v>3</v>
      </c>
      <c r="B5687" s="0" t="s">
        <v>5666</v>
      </c>
    </row>
    <row r="5688" customFormat="false" ht="15" hidden="false" customHeight="false" outlineLevel="0" collapsed="false">
      <c r="A5688" s="0" t="n">
        <f aca="false">COUPDAYBS(DATE(2024,2,29),DATE(2026,8,31),1,2)</f>
        <v>182</v>
      </c>
      <c r="B5688" s="0" t="s">
        <v>5667</v>
      </c>
    </row>
    <row r="5689" customFormat="false" ht="15" hidden="false" customHeight="false" outlineLevel="0" collapsed="false">
      <c r="A5689" s="0" t="n">
        <f aca="false">COUPDAYS(DATE(2024,2,29),DATE(2026,8,31),1,2)</f>
        <v>360</v>
      </c>
      <c r="B5689" s="0" t="s">
        <v>5668</v>
      </c>
    </row>
    <row r="5690" customFormat="false" ht="15" hidden="false" customHeight="false" outlineLevel="0" collapsed="false">
      <c r="A5690" s="0" t="n">
        <f aca="false">COUPDAYSNC(DATE(2024,2,29),DATE(2026,8,31),1,2)</f>
        <v>184</v>
      </c>
      <c r="B5690" s="0" t="s">
        <v>5669</v>
      </c>
    </row>
    <row r="5691" customFormat="false" ht="15" hidden="false" customHeight="false" outlineLevel="0" collapsed="false">
      <c r="A5691" s="0" t="n">
        <f aca="false">COUPPCD(DATE(2024,2,29),DATE(2026,8,31),1,3)</f>
        <v>45169</v>
      </c>
      <c r="B5691" s="0" t="s">
        <v>5670</v>
      </c>
    </row>
    <row r="5692" customFormat="false" ht="15" hidden="false" customHeight="false" outlineLevel="0" collapsed="false">
      <c r="A5692" s="0" t="n">
        <f aca="false">COUPNCD(DATE(2024,2,29),DATE(2026,8,31),1,3)</f>
        <v>45535</v>
      </c>
      <c r="B5692" s="0" t="s">
        <v>5671</v>
      </c>
    </row>
    <row r="5693" customFormat="false" ht="15" hidden="false" customHeight="false" outlineLevel="0" collapsed="false">
      <c r="A5693" s="0" t="n">
        <f aca="false">COUPNUM(DATE(2024,2,29),DATE(2026,8,31),1,3)</f>
        <v>3</v>
      </c>
      <c r="B5693" s="0" t="s">
        <v>5672</v>
      </c>
    </row>
    <row r="5694" customFormat="false" ht="15" hidden="false" customHeight="false" outlineLevel="0" collapsed="false">
      <c r="A5694" s="0" t="n">
        <f aca="false">COUPDAYBS(DATE(2024,2,29),DATE(2026,8,31),1,3)</f>
        <v>182</v>
      </c>
      <c r="B5694" s="0" t="s">
        <v>5673</v>
      </c>
    </row>
    <row r="5695" customFormat="false" ht="15" hidden="false" customHeight="false" outlineLevel="0" collapsed="false">
      <c r="A5695" s="0" t="n">
        <f aca="false">COUPDAYS(DATE(2024,2,29),DATE(2026,8,31),1,3)</f>
        <v>365</v>
      </c>
      <c r="B5695" s="0" t="s">
        <v>5674</v>
      </c>
    </row>
    <row r="5696" customFormat="false" ht="15" hidden="false" customHeight="false" outlineLevel="0" collapsed="false">
      <c r="A5696" s="0" t="n">
        <f aca="false">COUPDAYSNC(DATE(2024,2,29),DATE(2026,8,31),1,3)</f>
        <v>184</v>
      </c>
      <c r="B5696" s="0" t="s">
        <v>5675</v>
      </c>
    </row>
    <row r="5697" customFormat="false" ht="15" hidden="false" customHeight="false" outlineLevel="0" collapsed="false">
      <c r="A5697" s="0" t="n">
        <f aca="false">COUPPCD(DATE(2024,2,29),DATE(2026,8,31),1,4)</f>
        <v>45169</v>
      </c>
      <c r="B5697" s="0" t="s">
        <v>5676</v>
      </c>
    </row>
    <row r="5698" customFormat="false" ht="15" hidden="false" customHeight="false" outlineLevel="0" collapsed="false">
      <c r="A5698" s="0" t="n">
        <f aca="false">COUPNCD(DATE(2024,2,29),DATE(2026,8,31),1,4)</f>
        <v>45535</v>
      </c>
      <c r="B5698" s="0" t="s">
        <v>5677</v>
      </c>
    </row>
    <row r="5699" customFormat="false" ht="15" hidden="false" customHeight="false" outlineLevel="0" collapsed="false">
      <c r="A5699" s="0" t="n">
        <f aca="false">COUPNUM(DATE(2024,2,29),DATE(2026,8,31),1,4)</f>
        <v>3</v>
      </c>
      <c r="B5699" s="0" t="s">
        <v>5678</v>
      </c>
    </row>
    <row r="5700" customFormat="false" ht="15" hidden="false" customHeight="false" outlineLevel="0" collapsed="false">
      <c r="A5700" s="0" t="n">
        <f aca="false">COUPDAYBS(DATE(2024,2,29),DATE(2026,8,31),1,4)</f>
        <v>179</v>
      </c>
      <c r="B5700" s="0" t="s">
        <v>5679</v>
      </c>
    </row>
    <row r="5701" customFormat="false" ht="15" hidden="false" customHeight="false" outlineLevel="0" collapsed="false">
      <c r="A5701" s="0" t="n">
        <f aca="false">COUPDAYS(DATE(2024,2,29),DATE(2026,8,31),1,4)</f>
        <v>360</v>
      </c>
      <c r="B5701" s="0" t="s">
        <v>5680</v>
      </c>
    </row>
    <row r="5702" customFormat="false" ht="15" hidden="false" customHeight="false" outlineLevel="0" collapsed="false">
      <c r="A5702" s="0" t="n">
        <f aca="false">COUPDAYSNC(DATE(2024,2,29),DATE(2026,8,31),1,4)</f>
        <v>181</v>
      </c>
      <c r="B5702" s="0" t="s">
        <v>5681</v>
      </c>
    </row>
    <row r="5703" customFormat="false" ht="15" hidden="false" customHeight="false" outlineLevel="0" collapsed="false">
      <c r="A5703" s="0" t="n">
        <f aca="false">COUPPCD(DATE(2024,2,29),DATE(2026,8,31),2,0)</f>
        <v>45351</v>
      </c>
      <c r="B5703" s="0" t="s">
        <v>5682</v>
      </c>
    </row>
    <row r="5704" customFormat="false" ht="15" hidden="false" customHeight="false" outlineLevel="0" collapsed="false">
      <c r="A5704" s="0" t="n">
        <f aca="false">COUPNCD(DATE(2024,2,29),DATE(2026,8,31),2,0)</f>
        <v>45535</v>
      </c>
      <c r="B5704" s="0" t="s">
        <v>5683</v>
      </c>
    </row>
    <row r="5705" customFormat="false" ht="15" hidden="false" customHeight="false" outlineLevel="0" collapsed="false">
      <c r="A5705" s="0" t="n">
        <f aca="false">COUPNUM(DATE(2024,2,29),DATE(2026,8,31),2,0)</f>
        <v>5</v>
      </c>
      <c r="B5705" s="0" t="s">
        <v>5684</v>
      </c>
    </row>
    <row r="5706" customFormat="false" ht="15" hidden="false" customHeight="false" outlineLevel="0" collapsed="false">
      <c r="A5706" s="0" t="n">
        <f aca="false">COUPDAYBS(DATE(2024,2,29),DATE(2026,8,31),2,0)</f>
        <v>0</v>
      </c>
      <c r="B5706" s="0" t="s">
        <v>5685</v>
      </c>
    </row>
    <row r="5707" customFormat="false" ht="15" hidden="false" customHeight="false" outlineLevel="0" collapsed="false">
      <c r="A5707" s="0" t="n">
        <f aca="false">COUPDAYS(DATE(2024,2,29),DATE(2026,8,31),2,0)</f>
        <v>180</v>
      </c>
      <c r="B5707" s="0" t="s">
        <v>5686</v>
      </c>
    </row>
    <row r="5708" customFormat="false" ht="15" hidden="false" customHeight="false" outlineLevel="0" collapsed="false">
      <c r="A5708" s="0" t="n">
        <f aca="false">COUPDAYSNC(DATE(2024,2,29),DATE(2026,8,31),2,0)</f>
        <v>180</v>
      </c>
      <c r="B5708" s="0" t="s">
        <v>5687</v>
      </c>
    </row>
    <row r="5709" customFormat="false" ht="15" hidden="false" customHeight="false" outlineLevel="0" collapsed="false">
      <c r="A5709" s="0" t="n">
        <f aca="false">COUPPCD(DATE(2024,2,29),DATE(2026,8,31),2,1)</f>
        <v>45351</v>
      </c>
      <c r="B5709" s="0" t="s">
        <v>5688</v>
      </c>
    </row>
    <row r="5710" customFormat="false" ht="15" hidden="false" customHeight="false" outlineLevel="0" collapsed="false">
      <c r="A5710" s="0" t="n">
        <f aca="false">COUPNCD(DATE(2024,2,29),DATE(2026,8,31),2,1)</f>
        <v>45535</v>
      </c>
      <c r="B5710" s="0" t="s">
        <v>5689</v>
      </c>
    </row>
    <row r="5711" customFormat="false" ht="15" hidden="false" customHeight="false" outlineLevel="0" collapsed="false">
      <c r="A5711" s="0" t="n">
        <f aca="false">COUPNUM(DATE(2024,2,29),DATE(2026,8,31),2,1)</f>
        <v>5</v>
      </c>
      <c r="B5711" s="0" t="s">
        <v>5690</v>
      </c>
    </row>
    <row r="5712" customFormat="false" ht="15" hidden="false" customHeight="false" outlineLevel="0" collapsed="false">
      <c r="A5712" s="0" t="n">
        <f aca="false">COUPDAYBS(DATE(2024,2,29),DATE(2026,8,31),2,1)</f>
        <v>0</v>
      </c>
      <c r="B5712" s="0" t="s">
        <v>5691</v>
      </c>
    </row>
    <row r="5713" customFormat="false" ht="15" hidden="false" customHeight="false" outlineLevel="0" collapsed="false">
      <c r="A5713" s="0" t="n">
        <f aca="false">COUPDAYS(DATE(2024,2,29),DATE(2026,8,31),2,1)</f>
        <v>184</v>
      </c>
      <c r="B5713" s="0" t="s">
        <v>5692</v>
      </c>
    </row>
    <row r="5714" customFormat="false" ht="15" hidden="false" customHeight="false" outlineLevel="0" collapsed="false">
      <c r="A5714" s="0" t="n">
        <f aca="false">COUPDAYSNC(DATE(2024,2,29),DATE(2026,8,31),2,1)</f>
        <v>184</v>
      </c>
      <c r="B5714" s="0" t="s">
        <v>5693</v>
      </c>
    </row>
    <row r="5715" customFormat="false" ht="15" hidden="false" customHeight="false" outlineLevel="0" collapsed="false">
      <c r="A5715" s="0" t="n">
        <f aca="false">COUPPCD(DATE(2024,2,29),DATE(2026,8,31),2,2)</f>
        <v>45351</v>
      </c>
      <c r="B5715" s="0" t="s">
        <v>5694</v>
      </c>
    </row>
    <row r="5716" customFormat="false" ht="15" hidden="false" customHeight="false" outlineLevel="0" collapsed="false">
      <c r="A5716" s="0" t="n">
        <f aca="false">COUPNCD(DATE(2024,2,29),DATE(2026,8,31),2,2)</f>
        <v>45535</v>
      </c>
      <c r="B5716" s="0" t="s">
        <v>5695</v>
      </c>
    </row>
    <row r="5717" customFormat="false" ht="15" hidden="false" customHeight="false" outlineLevel="0" collapsed="false">
      <c r="A5717" s="0" t="n">
        <f aca="false">COUPNUM(DATE(2024,2,29),DATE(2026,8,31),2,2)</f>
        <v>5</v>
      </c>
      <c r="B5717" s="0" t="s">
        <v>5696</v>
      </c>
    </row>
    <row r="5718" customFormat="false" ht="15" hidden="false" customHeight="false" outlineLevel="0" collapsed="false">
      <c r="A5718" s="0" t="n">
        <f aca="false">COUPDAYBS(DATE(2024,2,29),DATE(2026,8,31),2,2)</f>
        <v>0</v>
      </c>
      <c r="B5718" s="0" t="s">
        <v>5697</v>
      </c>
    </row>
    <row r="5719" customFormat="false" ht="15" hidden="false" customHeight="false" outlineLevel="0" collapsed="false">
      <c r="A5719" s="0" t="n">
        <f aca="false">COUPDAYS(DATE(2024,2,29),DATE(2026,8,31),2,2)</f>
        <v>180</v>
      </c>
      <c r="B5719" s="0" t="s">
        <v>5698</v>
      </c>
    </row>
    <row r="5720" customFormat="false" ht="15" hidden="false" customHeight="false" outlineLevel="0" collapsed="false">
      <c r="A5720" s="0" t="n">
        <f aca="false">COUPDAYSNC(DATE(2024,2,29),DATE(2026,8,31),2,2)</f>
        <v>184</v>
      </c>
      <c r="B5720" s="0" t="s">
        <v>5699</v>
      </c>
    </row>
    <row r="5721" customFormat="false" ht="15" hidden="false" customHeight="false" outlineLevel="0" collapsed="false">
      <c r="A5721" s="0" t="n">
        <f aca="false">COUPPCD(DATE(2024,2,29),DATE(2026,8,31),2,3)</f>
        <v>45351</v>
      </c>
      <c r="B5721" s="0" t="s">
        <v>5700</v>
      </c>
    </row>
    <row r="5722" customFormat="false" ht="15" hidden="false" customHeight="false" outlineLevel="0" collapsed="false">
      <c r="A5722" s="0" t="n">
        <f aca="false">COUPNCD(DATE(2024,2,29),DATE(2026,8,31),2,3)</f>
        <v>45535</v>
      </c>
      <c r="B5722" s="0" t="s">
        <v>5701</v>
      </c>
    </row>
    <row r="5723" customFormat="false" ht="15" hidden="false" customHeight="false" outlineLevel="0" collapsed="false">
      <c r="A5723" s="0" t="n">
        <f aca="false">COUPNUM(DATE(2024,2,29),DATE(2026,8,31),2,3)</f>
        <v>5</v>
      </c>
      <c r="B5723" s="0" t="s">
        <v>5702</v>
      </c>
    </row>
    <row r="5724" customFormat="false" ht="15" hidden="false" customHeight="false" outlineLevel="0" collapsed="false">
      <c r="A5724" s="0" t="n">
        <f aca="false">COUPDAYBS(DATE(2024,2,29),DATE(2026,8,31),2,3)</f>
        <v>0</v>
      </c>
      <c r="B5724" s="0" t="s">
        <v>5703</v>
      </c>
    </row>
    <row r="5725" customFormat="false" ht="15" hidden="false" customHeight="false" outlineLevel="0" collapsed="false">
      <c r="A5725" s="0" t="n">
        <f aca="false">COUPDAYS(DATE(2024,2,29),DATE(2026,8,31),2,3)</f>
        <v>182.5</v>
      </c>
      <c r="B5725" s="0" t="s">
        <v>5704</v>
      </c>
    </row>
    <row r="5726" customFormat="false" ht="15" hidden="false" customHeight="false" outlineLevel="0" collapsed="false">
      <c r="A5726" s="0" t="n">
        <f aca="false">COUPDAYSNC(DATE(2024,2,29),DATE(2026,8,31),2,3)</f>
        <v>184</v>
      </c>
      <c r="B5726" s="0" t="s">
        <v>5705</v>
      </c>
    </row>
    <row r="5727" customFormat="false" ht="15" hidden="false" customHeight="false" outlineLevel="0" collapsed="false">
      <c r="A5727" s="0" t="n">
        <f aca="false">COUPPCD(DATE(2024,2,29),DATE(2026,8,31),2,4)</f>
        <v>45351</v>
      </c>
      <c r="B5727" s="0" t="s">
        <v>5706</v>
      </c>
    </row>
    <row r="5728" customFormat="false" ht="15" hidden="false" customHeight="false" outlineLevel="0" collapsed="false">
      <c r="A5728" s="0" t="n">
        <f aca="false">COUPNCD(DATE(2024,2,29),DATE(2026,8,31),2,4)</f>
        <v>45535</v>
      </c>
      <c r="B5728" s="0" t="s">
        <v>5707</v>
      </c>
    </row>
    <row r="5729" customFormat="false" ht="15" hidden="false" customHeight="false" outlineLevel="0" collapsed="false">
      <c r="A5729" s="0" t="n">
        <f aca="false">COUPNUM(DATE(2024,2,29),DATE(2026,8,31),2,4)</f>
        <v>5</v>
      </c>
      <c r="B5729" s="0" t="s">
        <v>5708</v>
      </c>
    </row>
    <row r="5730" customFormat="false" ht="15" hidden="false" customHeight="false" outlineLevel="0" collapsed="false">
      <c r="A5730" s="0" t="n">
        <f aca="false">COUPDAYBS(DATE(2024,2,29),DATE(2026,8,31),2,4)</f>
        <v>0</v>
      </c>
      <c r="B5730" s="0" t="s">
        <v>5709</v>
      </c>
    </row>
    <row r="5731" customFormat="false" ht="15" hidden="false" customHeight="false" outlineLevel="0" collapsed="false">
      <c r="A5731" s="0" t="n">
        <f aca="false">COUPDAYS(DATE(2024,2,29),DATE(2026,8,31),2,4)</f>
        <v>180</v>
      </c>
      <c r="B5731" s="0" t="s">
        <v>5710</v>
      </c>
    </row>
    <row r="5732" customFormat="false" ht="15" hidden="false" customHeight="false" outlineLevel="0" collapsed="false">
      <c r="A5732" s="0" t="n">
        <f aca="false">COUPDAYSNC(DATE(2024,2,29),DATE(2026,8,31),2,4)</f>
        <v>180</v>
      </c>
      <c r="B5732" s="0" t="s">
        <v>5711</v>
      </c>
    </row>
    <row r="5733" customFormat="false" ht="15" hidden="false" customHeight="false" outlineLevel="0" collapsed="false">
      <c r="A5733" s="0" t="n">
        <f aca="false">COUPPCD(DATE(2024,2,29),DATE(2026,8,31),4,0)</f>
        <v>45351</v>
      </c>
      <c r="B5733" s="0" t="s">
        <v>5712</v>
      </c>
    </row>
    <row r="5734" customFormat="false" ht="15" hidden="false" customHeight="false" outlineLevel="0" collapsed="false">
      <c r="A5734" s="0" t="n">
        <f aca="false">COUPNCD(DATE(2024,2,29),DATE(2026,8,31),4,0)</f>
        <v>45443</v>
      </c>
      <c r="B5734" s="0" t="s">
        <v>5713</v>
      </c>
    </row>
    <row r="5735" customFormat="false" ht="15" hidden="false" customHeight="false" outlineLevel="0" collapsed="false">
      <c r="A5735" s="0" t="n">
        <f aca="false">COUPNUM(DATE(2024,2,29),DATE(2026,8,31),4,0)</f>
        <v>10</v>
      </c>
      <c r="B5735" s="0" t="s">
        <v>5714</v>
      </c>
    </row>
    <row r="5736" customFormat="false" ht="15" hidden="false" customHeight="false" outlineLevel="0" collapsed="false">
      <c r="A5736" s="0" t="n">
        <f aca="false">COUPDAYBS(DATE(2024,2,29),DATE(2026,8,31),4,0)</f>
        <v>0</v>
      </c>
      <c r="B5736" s="0" t="s">
        <v>5715</v>
      </c>
    </row>
    <row r="5737" customFormat="false" ht="15" hidden="false" customHeight="false" outlineLevel="0" collapsed="false">
      <c r="A5737" s="0" t="n">
        <f aca="false">COUPDAYS(DATE(2024,2,29),DATE(2026,8,31),4,0)</f>
        <v>90</v>
      </c>
      <c r="B5737" s="0" t="s">
        <v>5716</v>
      </c>
    </row>
    <row r="5738" customFormat="false" ht="15" hidden="false" customHeight="false" outlineLevel="0" collapsed="false">
      <c r="A5738" s="0" t="n">
        <f aca="false">COUPDAYSNC(DATE(2024,2,29),DATE(2026,8,31),4,0)</f>
        <v>90</v>
      </c>
      <c r="B5738" s="0" t="s">
        <v>5717</v>
      </c>
    </row>
    <row r="5739" customFormat="false" ht="15" hidden="false" customHeight="false" outlineLevel="0" collapsed="false">
      <c r="A5739" s="0" t="n">
        <f aca="false">COUPPCD(DATE(2024,2,29),DATE(2026,8,31),4,1)</f>
        <v>45351</v>
      </c>
      <c r="B5739" s="0" t="s">
        <v>5718</v>
      </c>
    </row>
    <row r="5740" customFormat="false" ht="15" hidden="false" customHeight="false" outlineLevel="0" collapsed="false">
      <c r="A5740" s="0" t="n">
        <f aca="false">COUPNCD(DATE(2024,2,29),DATE(2026,8,31),4,1)</f>
        <v>45443</v>
      </c>
      <c r="B5740" s="0" t="s">
        <v>5719</v>
      </c>
    </row>
    <row r="5741" customFormat="false" ht="15" hidden="false" customHeight="false" outlineLevel="0" collapsed="false">
      <c r="A5741" s="0" t="n">
        <f aca="false">COUPNUM(DATE(2024,2,29),DATE(2026,8,31),4,1)</f>
        <v>10</v>
      </c>
      <c r="B5741" s="0" t="s">
        <v>5720</v>
      </c>
    </row>
    <row r="5742" customFormat="false" ht="15" hidden="false" customHeight="false" outlineLevel="0" collapsed="false">
      <c r="A5742" s="0" t="n">
        <f aca="false">COUPDAYBS(DATE(2024,2,29),DATE(2026,8,31),4,1)</f>
        <v>0</v>
      </c>
      <c r="B5742" s="0" t="s">
        <v>5721</v>
      </c>
    </row>
    <row r="5743" customFormat="false" ht="15" hidden="false" customHeight="false" outlineLevel="0" collapsed="false">
      <c r="A5743" s="0" t="n">
        <f aca="false">COUPDAYS(DATE(2024,2,29),DATE(2026,8,31),4,1)</f>
        <v>92</v>
      </c>
      <c r="B5743" s="0" t="s">
        <v>5722</v>
      </c>
    </row>
    <row r="5744" customFormat="false" ht="15" hidden="false" customHeight="false" outlineLevel="0" collapsed="false">
      <c r="A5744" s="0" t="n">
        <f aca="false">COUPDAYSNC(DATE(2024,2,29),DATE(2026,8,31),4,1)</f>
        <v>92</v>
      </c>
      <c r="B5744" s="0" t="s">
        <v>5723</v>
      </c>
    </row>
    <row r="5745" customFormat="false" ht="15" hidden="false" customHeight="false" outlineLevel="0" collapsed="false">
      <c r="A5745" s="0" t="n">
        <f aca="false">COUPPCD(DATE(2024,2,29),DATE(2026,8,31),4,2)</f>
        <v>45351</v>
      </c>
      <c r="B5745" s="0" t="s">
        <v>5724</v>
      </c>
    </row>
    <row r="5746" customFormat="false" ht="15" hidden="false" customHeight="false" outlineLevel="0" collapsed="false">
      <c r="A5746" s="0" t="n">
        <f aca="false">COUPNCD(DATE(2024,2,29),DATE(2026,8,31),4,2)</f>
        <v>45443</v>
      </c>
      <c r="B5746" s="0" t="s">
        <v>5725</v>
      </c>
    </row>
    <row r="5747" customFormat="false" ht="15" hidden="false" customHeight="false" outlineLevel="0" collapsed="false">
      <c r="A5747" s="0" t="n">
        <f aca="false">COUPNUM(DATE(2024,2,29),DATE(2026,8,31),4,2)</f>
        <v>10</v>
      </c>
      <c r="B5747" s="0" t="s">
        <v>5726</v>
      </c>
    </row>
    <row r="5748" customFormat="false" ht="15" hidden="false" customHeight="false" outlineLevel="0" collapsed="false">
      <c r="A5748" s="0" t="n">
        <f aca="false">COUPDAYBS(DATE(2024,2,29),DATE(2026,8,31),4,2)</f>
        <v>0</v>
      </c>
      <c r="B5748" s="0" t="s">
        <v>5727</v>
      </c>
    </row>
    <row r="5749" customFormat="false" ht="15" hidden="false" customHeight="false" outlineLevel="0" collapsed="false">
      <c r="A5749" s="0" t="n">
        <f aca="false">COUPDAYS(DATE(2024,2,29),DATE(2026,8,31),4,2)</f>
        <v>90</v>
      </c>
      <c r="B5749" s="0" t="s">
        <v>5728</v>
      </c>
    </row>
    <row r="5750" customFormat="false" ht="15" hidden="false" customHeight="false" outlineLevel="0" collapsed="false">
      <c r="A5750" s="0" t="n">
        <f aca="false">COUPDAYSNC(DATE(2024,2,29),DATE(2026,8,31),4,2)</f>
        <v>92</v>
      </c>
      <c r="B5750" s="0" t="s">
        <v>5729</v>
      </c>
    </row>
    <row r="5751" customFormat="false" ht="15" hidden="false" customHeight="false" outlineLevel="0" collapsed="false">
      <c r="A5751" s="0" t="n">
        <f aca="false">COUPPCD(DATE(2024,2,29),DATE(2026,8,31),4,3)</f>
        <v>45351</v>
      </c>
      <c r="B5751" s="0" t="s">
        <v>5730</v>
      </c>
    </row>
    <row r="5752" customFormat="false" ht="15" hidden="false" customHeight="false" outlineLevel="0" collapsed="false">
      <c r="A5752" s="0" t="n">
        <f aca="false">COUPNCD(DATE(2024,2,29),DATE(2026,8,31),4,3)</f>
        <v>45443</v>
      </c>
      <c r="B5752" s="0" t="s">
        <v>5731</v>
      </c>
    </row>
    <row r="5753" customFormat="false" ht="15" hidden="false" customHeight="false" outlineLevel="0" collapsed="false">
      <c r="A5753" s="0" t="n">
        <f aca="false">COUPNUM(DATE(2024,2,29),DATE(2026,8,31),4,3)</f>
        <v>10</v>
      </c>
      <c r="B5753" s="0" t="s">
        <v>5732</v>
      </c>
    </row>
    <row r="5754" customFormat="false" ht="15" hidden="false" customHeight="false" outlineLevel="0" collapsed="false">
      <c r="A5754" s="0" t="n">
        <f aca="false">COUPDAYBS(DATE(2024,2,29),DATE(2026,8,31),4,3)</f>
        <v>0</v>
      </c>
      <c r="B5754" s="0" t="s">
        <v>5733</v>
      </c>
    </row>
    <row r="5755" customFormat="false" ht="15" hidden="false" customHeight="false" outlineLevel="0" collapsed="false">
      <c r="A5755" s="0" t="n">
        <f aca="false">COUPDAYS(DATE(2024,2,29),DATE(2026,8,31),4,3)</f>
        <v>91.25</v>
      </c>
      <c r="B5755" s="0" t="s">
        <v>5734</v>
      </c>
    </row>
    <row r="5756" customFormat="false" ht="15" hidden="false" customHeight="false" outlineLevel="0" collapsed="false">
      <c r="A5756" s="0" t="n">
        <f aca="false">COUPDAYSNC(DATE(2024,2,29),DATE(2026,8,31),4,3)</f>
        <v>92</v>
      </c>
      <c r="B5756" s="0" t="s">
        <v>5735</v>
      </c>
    </row>
    <row r="5757" customFormat="false" ht="15" hidden="false" customHeight="false" outlineLevel="0" collapsed="false">
      <c r="A5757" s="0" t="n">
        <f aca="false">COUPPCD(DATE(2024,2,29),DATE(2026,8,31),4,4)</f>
        <v>45351</v>
      </c>
      <c r="B5757" s="0" t="s">
        <v>5736</v>
      </c>
    </row>
    <row r="5758" customFormat="false" ht="15" hidden="false" customHeight="false" outlineLevel="0" collapsed="false">
      <c r="A5758" s="0" t="n">
        <f aca="false">COUPNCD(DATE(2024,2,29),DATE(2026,8,31),4,4)</f>
        <v>45443</v>
      </c>
      <c r="B5758" s="0" t="s">
        <v>5737</v>
      </c>
    </row>
    <row r="5759" customFormat="false" ht="15" hidden="false" customHeight="false" outlineLevel="0" collapsed="false">
      <c r="A5759" s="0" t="n">
        <f aca="false">COUPNUM(DATE(2024,2,29),DATE(2026,8,31),4,4)</f>
        <v>10</v>
      </c>
      <c r="B5759" s="0" t="s">
        <v>5738</v>
      </c>
    </row>
    <row r="5760" customFormat="false" ht="15" hidden="false" customHeight="false" outlineLevel="0" collapsed="false">
      <c r="A5760" s="0" t="n">
        <f aca="false">COUPDAYBS(DATE(2024,2,29),DATE(2026,8,31),4,4)</f>
        <v>0</v>
      </c>
      <c r="B5760" s="0" t="s">
        <v>5739</v>
      </c>
    </row>
    <row r="5761" customFormat="false" ht="15" hidden="false" customHeight="false" outlineLevel="0" collapsed="false">
      <c r="A5761" s="0" t="n">
        <f aca="false">COUPDAYS(DATE(2024,2,29),DATE(2026,8,31),4,4)</f>
        <v>90</v>
      </c>
      <c r="B5761" s="0" t="s">
        <v>5740</v>
      </c>
    </row>
    <row r="5762" customFormat="false" ht="15" hidden="false" customHeight="false" outlineLevel="0" collapsed="false">
      <c r="A5762" s="0" t="n">
        <f aca="false">COUPDAYSNC(DATE(2024,2,29),DATE(2026,8,31),4,4)</f>
        <v>90</v>
      </c>
      <c r="B5762" s="0" t="s">
        <v>5741</v>
      </c>
    </row>
    <row r="5763" customFormat="false" ht="15" hidden="false" customHeight="false" outlineLevel="0" collapsed="false">
      <c r="A5763" s="0" t="n">
        <f aca="false">COUPNUM(DATE(2024,2,29),DATE(2026,8,31),2)</f>
        <v>5</v>
      </c>
      <c r="B5763" s="0" t="s">
        <v>5742</v>
      </c>
    </row>
    <row r="5764" customFormat="false" ht="15" hidden="false" customHeight="false" outlineLevel="0" collapsed="false">
      <c r="A5764" s="0" t="n">
        <f aca="false">COUPDAYS(DATE(2024,2,29),DATE(2026,8,31),2)</f>
        <v>180</v>
      </c>
      <c r="B5764" s="0" t="s">
        <v>5743</v>
      </c>
    </row>
    <row r="5765" customFormat="false" ht="15" hidden="false" customHeight="false" outlineLevel="0" collapsed="false">
      <c r="A5765" s="0" t="n">
        <f aca="false">COUPPCD(DATE(2023,12,31),DATE(2024,6,30),1,0)</f>
        <v>45107</v>
      </c>
      <c r="B5765" s="0" t="s">
        <v>5744</v>
      </c>
    </row>
    <row r="5766" customFormat="false" ht="15" hidden="false" customHeight="false" outlineLevel="0" collapsed="false">
      <c r="A5766" s="0" t="n">
        <f aca="false">COUPNCD(DATE(2023,12,31),DATE(2024,6,30),1,0)</f>
        <v>45473</v>
      </c>
      <c r="B5766" s="0" t="s">
        <v>5745</v>
      </c>
    </row>
    <row r="5767" customFormat="false" ht="15" hidden="false" customHeight="false" outlineLevel="0" collapsed="false">
      <c r="A5767" s="0" t="n">
        <f aca="false">COUPNUM(DATE(2023,12,31),DATE(2024,6,30),1,0)</f>
        <v>1</v>
      </c>
      <c r="B5767" s="0" t="s">
        <v>5746</v>
      </c>
    </row>
    <row r="5768" customFormat="false" ht="15" hidden="false" customHeight="false" outlineLevel="0" collapsed="false">
      <c r="A5768" s="0" t="n">
        <f aca="false">COUPDAYBS(DATE(2023,12,31),DATE(2024,6,30),1,0)</f>
        <v>180</v>
      </c>
      <c r="B5768" s="0" t="s">
        <v>5747</v>
      </c>
    </row>
    <row r="5769" customFormat="false" ht="15" hidden="false" customHeight="false" outlineLevel="0" collapsed="false">
      <c r="A5769" s="0" t="n">
        <f aca="false">COUPDAYS(DATE(2023,12,31),DATE(2024,6,30),1,0)</f>
        <v>360</v>
      </c>
      <c r="B5769" s="0" t="s">
        <v>5748</v>
      </c>
    </row>
    <row r="5770" customFormat="false" ht="15" hidden="false" customHeight="false" outlineLevel="0" collapsed="false">
      <c r="A5770" s="0" t="n">
        <f aca="false">COUPDAYSNC(DATE(2023,12,31),DATE(2024,6,30),1,0)</f>
        <v>180</v>
      </c>
      <c r="B5770" s="0" t="s">
        <v>5749</v>
      </c>
    </row>
    <row r="5771" customFormat="false" ht="15" hidden="false" customHeight="false" outlineLevel="0" collapsed="false">
      <c r="A5771" s="0" t="n">
        <f aca="false">COUPPCD(DATE(2023,12,31),DATE(2024,6,30),1,1)</f>
        <v>45107</v>
      </c>
      <c r="B5771" s="0" t="s">
        <v>5750</v>
      </c>
    </row>
    <row r="5772" customFormat="false" ht="15" hidden="false" customHeight="false" outlineLevel="0" collapsed="false">
      <c r="A5772" s="0" t="n">
        <f aca="false">COUPNCD(DATE(2023,12,31),DATE(2024,6,30),1,1)</f>
        <v>45473</v>
      </c>
      <c r="B5772" s="0" t="s">
        <v>5751</v>
      </c>
    </row>
    <row r="5773" customFormat="false" ht="15" hidden="false" customHeight="false" outlineLevel="0" collapsed="false">
      <c r="A5773" s="0" t="n">
        <f aca="false">COUPNUM(DATE(2023,12,31),DATE(2024,6,30),1,1)</f>
        <v>1</v>
      </c>
      <c r="B5773" s="0" t="s">
        <v>5752</v>
      </c>
    </row>
    <row r="5774" customFormat="false" ht="15" hidden="false" customHeight="false" outlineLevel="0" collapsed="false">
      <c r="A5774" s="0" t="n">
        <f aca="false">COUPDAYBS(DATE(2023,12,31),DATE(2024,6,30),1,1)</f>
        <v>184</v>
      </c>
      <c r="B5774" s="0" t="s">
        <v>5753</v>
      </c>
    </row>
    <row r="5775" customFormat="false" ht="15" hidden="false" customHeight="false" outlineLevel="0" collapsed="false">
      <c r="A5775" s="0" t="n">
        <f aca="false">COUPDAYS(DATE(2023,12,31),DATE(2024,6,30),1,1)</f>
        <v>366</v>
      </c>
      <c r="B5775" s="0" t="s">
        <v>5754</v>
      </c>
    </row>
    <row r="5776" customFormat="false" ht="15" hidden="false" customHeight="false" outlineLevel="0" collapsed="false">
      <c r="A5776" s="0" t="n">
        <f aca="false">COUPDAYSNC(DATE(2023,12,31),DATE(2024,6,30),1,1)</f>
        <v>182</v>
      </c>
      <c r="B5776" s="0" t="s">
        <v>5755</v>
      </c>
    </row>
    <row r="5777" customFormat="false" ht="15" hidden="false" customHeight="false" outlineLevel="0" collapsed="false">
      <c r="A5777" s="0" t="n">
        <f aca="false">COUPPCD(DATE(2023,12,31),DATE(2024,6,30),1,2)</f>
        <v>45107</v>
      </c>
      <c r="B5777" s="0" t="s">
        <v>5756</v>
      </c>
    </row>
    <row r="5778" customFormat="false" ht="15" hidden="false" customHeight="false" outlineLevel="0" collapsed="false">
      <c r="A5778" s="0" t="n">
        <f aca="false">COUPNCD(DATE(2023,12,31),DATE(2024,6,30),1,2)</f>
        <v>45473</v>
      </c>
      <c r="B5778" s="0" t="s">
        <v>5757</v>
      </c>
    </row>
    <row r="5779" customFormat="false" ht="15" hidden="false" customHeight="false" outlineLevel="0" collapsed="false">
      <c r="A5779" s="0" t="n">
        <f aca="false">COUPNUM(DATE(2023,12,31),DATE(2024,6,30),1,2)</f>
        <v>1</v>
      </c>
      <c r="B5779" s="0" t="s">
        <v>5758</v>
      </c>
    </row>
    <row r="5780" customFormat="false" ht="15" hidden="false" customHeight="false" outlineLevel="0" collapsed="false">
      <c r="A5780" s="0" t="n">
        <f aca="false">COUPDAYBS(DATE(2023,12,31),DATE(2024,6,30),1,2)</f>
        <v>184</v>
      </c>
      <c r="B5780" s="0" t="s">
        <v>5759</v>
      </c>
    </row>
    <row r="5781" customFormat="false" ht="15" hidden="false" customHeight="false" outlineLevel="0" collapsed="false">
      <c r="A5781" s="0" t="n">
        <f aca="false">COUPDAYS(DATE(2023,12,31),DATE(2024,6,30),1,2)</f>
        <v>360</v>
      </c>
      <c r="B5781" s="0" t="s">
        <v>5760</v>
      </c>
    </row>
    <row r="5782" customFormat="false" ht="15" hidden="false" customHeight="false" outlineLevel="0" collapsed="false">
      <c r="A5782" s="0" t="n">
        <f aca="false">COUPDAYSNC(DATE(2023,12,31),DATE(2024,6,30),1,2)</f>
        <v>182</v>
      </c>
      <c r="B5782" s="0" t="s">
        <v>5761</v>
      </c>
    </row>
    <row r="5783" customFormat="false" ht="15" hidden="false" customHeight="false" outlineLevel="0" collapsed="false">
      <c r="A5783" s="0" t="n">
        <f aca="false">COUPPCD(DATE(2023,12,31),DATE(2024,6,30),1,3)</f>
        <v>45107</v>
      </c>
      <c r="B5783" s="0" t="s">
        <v>5762</v>
      </c>
    </row>
    <row r="5784" customFormat="false" ht="15" hidden="false" customHeight="false" outlineLevel="0" collapsed="false">
      <c r="A5784" s="0" t="n">
        <f aca="false">COUPNCD(DATE(2023,12,31),DATE(2024,6,30),1,3)</f>
        <v>45473</v>
      </c>
      <c r="B5784" s="0" t="s">
        <v>5763</v>
      </c>
    </row>
    <row r="5785" customFormat="false" ht="15" hidden="false" customHeight="false" outlineLevel="0" collapsed="false">
      <c r="A5785" s="0" t="n">
        <f aca="false">COUPNUM(DATE(2023,12,31),DATE(2024,6,30),1,3)</f>
        <v>1</v>
      </c>
      <c r="B5785" s="0" t="s">
        <v>5764</v>
      </c>
    </row>
    <row r="5786" customFormat="false" ht="15" hidden="false" customHeight="false" outlineLevel="0" collapsed="false">
      <c r="A5786" s="0" t="n">
        <f aca="false">COUPDAYBS(DATE(2023,12,31),DATE(2024,6,30),1,3)</f>
        <v>184</v>
      </c>
      <c r="B5786" s="0" t="s">
        <v>5765</v>
      </c>
    </row>
    <row r="5787" customFormat="false" ht="15" hidden="false" customHeight="false" outlineLevel="0" collapsed="false">
      <c r="A5787" s="0" t="n">
        <f aca="false">COUPDAYS(DATE(2023,12,31),DATE(2024,6,30),1,3)</f>
        <v>365</v>
      </c>
      <c r="B5787" s="0" t="s">
        <v>5766</v>
      </c>
    </row>
    <row r="5788" customFormat="false" ht="15" hidden="false" customHeight="false" outlineLevel="0" collapsed="false">
      <c r="A5788" s="0" t="n">
        <f aca="false">COUPDAYSNC(DATE(2023,12,31),DATE(2024,6,30),1,3)</f>
        <v>182</v>
      </c>
      <c r="B5788" s="0" t="s">
        <v>5767</v>
      </c>
    </row>
    <row r="5789" customFormat="false" ht="15" hidden="false" customHeight="false" outlineLevel="0" collapsed="false">
      <c r="A5789" s="0" t="n">
        <f aca="false">COUPPCD(DATE(2023,12,31),DATE(2024,6,30),1,4)</f>
        <v>45107</v>
      </c>
      <c r="B5789" s="0" t="s">
        <v>5768</v>
      </c>
    </row>
    <row r="5790" customFormat="false" ht="15" hidden="false" customHeight="false" outlineLevel="0" collapsed="false">
      <c r="A5790" s="0" t="n">
        <f aca="false">COUPNCD(DATE(2023,12,31),DATE(2024,6,30),1,4)</f>
        <v>45473</v>
      </c>
      <c r="B5790" s="0" t="s">
        <v>5769</v>
      </c>
    </row>
    <row r="5791" customFormat="false" ht="15" hidden="false" customHeight="false" outlineLevel="0" collapsed="false">
      <c r="A5791" s="0" t="n">
        <f aca="false">COUPNUM(DATE(2023,12,31),DATE(2024,6,30),1,4)</f>
        <v>1</v>
      </c>
      <c r="B5791" s="0" t="s">
        <v>5770</v>
      </c>
    </row>
    <row r="5792" customFormat="false" ht="15" hidden="false" customHeight="false" outlineLevel="0" collapsed="false">
      <c r="A5792" s="0" t="n">
        <f aca="false">COUPDAYBS(DATE(2023,12,31),DATE(2024,6,30),1,4)</f>
        <v>180</v>
      </c>
      <c r="B5792" s="0" t="s">
        <v>5771</v>
      </c>
    </row>
    <row r="5793" customFormat="false" ht="15" hidden="false" customHeight="false" outlineLevel="0" collapsed="false">
      <c r="A5793" s="0" t="n">
        <f aca="false">COUPDAYS(DATE(2023,12,31),DATE(2024,6,30),1,4)</f>
        <v>360</v>
      </c>
      <c r="B5793" s="0" t="s">
        <v>5772</v>
      </c>
    </row>
    <row r="5794" customFormat="false" ht="15" hidden="false" customHeight="false" outlineLevel="0" collapsed="false">
      <c r="A5794" s="0" t="n">
        <f aca="false">COUPDAYSNC(DATE(2023,12,31),DATE(2024,6,30),1,4)</f>
        <v>180</v>
      </c>
      <c r="B5794" s="0" t="s">
        <v>5773</v>
      </c>
    </row>
    <row r="5795" customFormat="false" ht="15" hidden="false" customHeight="false" outlineLevel="0" collapsed="false">
      <c r="A5795" s="0" t="n">
        <f aca="false">COUPPCD(DATE(2023,12,31),DATE(2024,6,30),2,0)</f>
        <v>45291</v>
      </c>
      <c r="B5795" s="0" t="s">
        <v>5774</v>
      </c>
    </row>
    <row r="5796" customFormat="false" ht="15" hidden="false" customHeight="false" outlineLevel="0" collapsed="false">
      <c r="A5796" s="0" t="n">
        <f aca="false">COUPNCD(DATE(2023,12,31),DATE(2024,6,30),2,0)</f>
        <v>45473</v>
      </c>
      <c r="B5796" s="0" t="s">
        <v>5775</v>
      </c>
    </row>
    <row r="5797" customFormat="false" ht="15" hidden="false" customHeight="false" outlineLevel="0" collapsed="false">
      <c r="A5797" s="0" t="n">
        <f aca="false">COUPNUM(DATE(2023,12,31),DATE(2024,6,30),2,0)</f>
        <v>1</v>
      </c>
      <c r="B5797" s="0" t="s">
        <v>5776</v>
      </c>
    </row>
    <row r="5798" customFormat="false" ht="15" hidden="false" customHeight="false" outlineLevel="0" collapsed="false">
      <c r="A5798" s="0" t="n">
        <f aca="false">COUPDAYBS(DATE(2023,12,31),DATE(2024,6,30),2,0)</f>
        <v>0</v>
      </c>
      <c r="B5798" s="0" t="s">
        <v>5777</v>
      </c>
    </row>
    <row r="5799" customFormat="false" ht="15" hidden="false" customHeight="false" outlineLevel="0" collapsed="false">
      <c r="A5799" s="0" t="n">
        <f aca="false">COUPDAYS(DATE(2023,12,31),DATE(2024,6,30),2,0)</f>
        <v>180</v>
      </c>
      <c r="B5799" s="0" t="s">
        <v>5778</v>
      </c>
    </row>
    <row r="5800" customFormat="false" ht="15" hidden="false" customHeight="false" outlineLevel="0" collapsed="false">
      <c r="A5800" s="0" t="n">
        <f aca="false">COUPDAYSNC(DATE(2023,12,31),DATE(2024,6,30),2,0)</f>
        <v>180</v>
      </c>
      <c r="B5800" s="0" t="s">
        <v>5779</v>
      </c>
    </row>
    <row r="5801" customFormat="false" ht="15" hidden="false" customHeight="false" outlineLevel="0" collapsed="false">
      <c r="A5801" s="0" t="n">
        <f aca="false">COUPPCD(DATE(2023,12,31),DATE(2024,6,30),2,1)</f>
        <v>45291</v>
      </c>
      <c r="B5801" s="0" t="s">
        <v>5780</v>
      </c>
    </row>
    <row r="5802" customFormat="false" ht="15" hidden="false" customHeight="false" outlineLevel="0" collapsed="false">
      <c r="A5802" s="0" t="n">
        <f aca="false">COUPNCD(DATE(2023,12,31),DATE(2024,6,30),2,1)</f>
        <v>45473</v>
      </c>
      <c r="B5802" s="0" t="s">
        <v>5781</v>
      </c>
    </row>
    <row r="5803" customFormat="false" ht="15" hidden="false" customHeight="false" outlineLevel="0" collapsed="false">
      <c r="A5803" s="0" t="n">
        <f aca="false">COUPNUM(DATE(2023,12,31),DATE(2024,6,30),2,1)</f>
        <v>1</v>
      </c>
      <c r="B5803" s="0" t="s">
        <v>5782</v>
      </c>
    </row>
    <row r="5804" customFormat="false" ht="15" hidden="false" customHeight="false" outlineLevel="0" collapsed="false">
      <c r="A5804" s="0" t="n">
        <f aca="false">COUPDAYBS(DATE(2023,12,31),DATE(2024,6,30),2,1)</f>
        <v>0</v>
      </c>
      <c r="B5804" s="0" t="s">
        <v>5783</v>
      </c>
    </row>
    <row r="5805" customFormat="false" ht="15" hidden="false" customHeight="false" outlineLevel="0" collapsed="false">
      <c r="A5805" s="0" t="n">
        <f aca="false">COUPDAYS(DATE(2023,12,31),DATE(2024,6,30),2,1)</f>
        <v>182</v>
      </c>
      <c r="B5805" s="0" t="s">
        <v>5784</v>
      </c>
    </row>
    <row r="5806" customFormat="false" ht="15" hidden="false" customHeight="false" outlineLevel="0" collapsed="false">
      <c r="A5806" s="0" t="n">
        <f aca="false">COUPDAYSNC(DATE(2023,12,31),DATE(2024,6,30),2,1)</f>
        <v>182</v>
      </c>
      <c r="B5806" s="0" t="s">
        <v>5785</v>
      </c>
    </row>
    <row r="5807" customFormat="false" ht="15" hidden="false" customHeight="false" outlineLevel="0" collapsed="false">
      <c r="A5807" s="0" t="n">
        <f aca="false">COUPPCD(DATE(2023,12,31),DATE(2024,6,30),2,2)</f>
        <v>45291</v>
      </c>
      <c r="B5807" s="0" t="s">
        <v>5786</v>
      </c>
    </row>
    <row r="5808" customFormat="false" ht="15" hidden="false" customHeight="false" outlineLevel="0" collapsed="false">
      <c r="A5808" s="0" t="n">
        <f aca="false">COUPNCD(DATE(2023,12,31),DATE(2024,6,30),2,2)</f>
        <v>45473</v>
      </c>
      <c r="B5808" s="0" t="s">
        <v>5787</v>
      </c>
    </row>
    <row r="5809" customFormat="false" ht="15" hidden="false" customHeight="false" outlineLevel="0" collapsed="false">
      <c r="A5809" s="0" t="n">
        <f aca="false">COUPNUM(DATE(2023,12,31),DATE(2024,6,30),2,2)</f>
        <v>1</v>
      </c>
      <c r="B5809" s="0" t="s">
        <v>5788</v>
      </c>
    </row>
    <row r="5810" customFormat="false" ht="15" hidden="false" customHeight="false" outlineLevel="0" collapsed="false">
      <c r="A5810" s="0" t="n">
        <f aca="false">COUPDAYBS(DATE(2023,12,31),DATE(2024,6,30),2,2)</f>
        <v>0</v>
      </c>
      <c r="B5810" s="0" t="s">
        <v>5789</v>
      </c>
    </row>
    <row r="5811" customFormat="false" ht="15" hidden="false" customHeight="false" outlineLevel="0" collapsed="false">
      <c r="A5811" s="0" t="n">
        <f aca="false">COUPDAYS(DATE(2023,12,31),DATE(2024,6,30),2,2)</f>
        <v>180</v>
      </c>
      <c r="B5811" s="0" t="s">
        <v>5790</v>
      </c>
    </row>
    <row r="5812" customFormat="false" ht="15" hidden="false" customHeight="false" outlineLevel="0" collapsed="false">
      <c r="A5812" s="0" t="n">
        <f aca="false">COUPDAYSNC(DATE(2023,12,31),DATE(2024,6,30),2,2)</f>
        <v>182</v>
      </c>
      <c r="B5812" s="0" t="s">
        <v>5791</v>
      </c>
    </row>
    <row r="5813" customFormat="false" ht="15" hidden="false" customHeight="false" outlineLevel="0" collapsed="false">
      <c r="A5813" s="0" t="n">
        <f aca="false">COUPPCD(DATE(2023,12,31),DATE(2024,6,30),2,3)</f>
        <v>45291</v>
      </c>
      <c r="B5813" s="0" t="s">
        <v>5792</v>
      </c>
    </row>
    <row r="5814" customFormat="false" ht="15" hidden="false" customHeight="false" outlineLevel="0" collapsed="false">
      <c r="A5814" s="0" t="n">
        <f aca="false">COUPNCD(DATE(2023,12,31),DATE(2024,6,30),2,3)</f>
        <v>45473</v>
      </c>
      <c r="B5814" s="0" t="s">
        <v>5793</v>
      </c>
    </row>
    <row r="5815" customFormat="false" ht="15" hidden="false" customHeight="false" outlineLevel="0" collapsed="false">
      <c r="A5815" s="0" t="n">
        <f aca="false">COUPNUM(DATE(2023,12,31),DATE(2024,6,30),2,3)</f>
        <v>1</v>
      </c>
      <c r="B5815" s="0" t="s">
        <v>5794</v>
      </c>
    </row>
    <row r="5816" customFormat="false" ht="15" hidden="false" customHeight="false" outlineLevel="0" collapsed="false">
      <c r="A5816" s="0" t="n">
        <f aca="false">COUPDAYBS(DATE(2023,12,31),DATE(2024,6,30),2,3)</f>
        <v>0</v>
      </c>
      <c r="B5816" s="0" t="s">
        <v>5795</v>
      </c>
    </row>
    <row r="5817" customFormat="false" ht="15" hidden="false" customHeight="false" outlineLevel="0" collapsed="false">
      <c r="A5817" s="0" t="n">
        <f aca="false">COUPDAYS(DATE(2023,12,31),DATE(2024,6,30),2,3)</f>
        <v>182.5</v>
      </c>
      <c r="B5817" s="0" t="s">
        <v>5796</v>
      </c>
    </row>
    <row r="5818" customFormat="false" ht="15" hidden="false" customHeight="false" outlineLevel="0" collapsed="false">
      <c r="A5818" s="0" t="n">
        <f aca="false">COUPDAYSNC(DATE(2023,12,31),DATE(2024,6,30),2,3)</f>
        <v>182</v>
      </c>
      <c r="B5818" s="0" t="s">
        <v>5797</v>
      </c>
    </row>
    <row r="5819" customFormat="false" ht="15" hidden="false" customHeight="false" outlineLevel="0" collapsed="false">
      <c r="A5819" s="0" t="n">
        <f aca="false">COUPPCD(DATE(2023,12,31),DATE(2024,6,30),2,4)</f>
        <v>45291</v>
      </c>
      <c r="B5819" s="0" t="s">
        <v>5798</v>
      </c>
    </row>
    <row r="5820" customFormat="false" ht="15" hidden="false" customHeight="false" outlineLevel="0" collapsed="false">
      <c r="A5820" s="0" t="n">
        <f aca="false">COUPNCD(DATE(2023,12,31),DATE(2024,6,30),2,4)</f>
        <v>45473</v>
      </c>
      <c r="B5820" s="0" t="s">
        <v>5799</v>
      </c>
    </row>
    <row r="5821" customFormat="false" ht="15" hidden="false" customHeight="false" outlineLevel="0" collapsed="false">
      <c r="A5821" s="0" t="n">
        <f aca="false">COUPNUM(DATE(2023,12,31),DATE(2024,6,30),2,4)</f>
        <v>1</v>
      </c>
      <c r="B5821" s="0" t="s">
        <v>5800</v>
      </c>
    </row>
    <row r="5822" customFormat="false" ht="15" hidden="false" customHeight="false" outlineLevel="0" collapsed="false">
      <c r="A5822" s="0" t="n">
        <f aca="false">COUPDAYBS(DATE(2023,12,31),DATE(2024,6,30),2,4)</f>
        <v>0</v>
      </c>
      <c r="B5822" s="0" t="s">
        <v>5801</v>
      </c>
    </row>
    <row r="5823" customFormat="false" ht="15" hidden="false" customHeight="false" outlineLevel="0" collapsed="false">
      <c r="A5823" s="0" t="n">
        <f aca="false">COUPDAYS(DATE(2023,12,31),DATE(2024,6,30),2,4)</f>
        <v>180</v>
      </c>
      <c r="B5823" s="0" t="s">
        <v>5802</v>
      </c>
    </row>
    <row r="5824" customFormat="false" ht="15" hidden="false" customHeight="false" outlineLevel="0" collapsed="false">
      <c r="A5824" s="0" t="n">
        <f aca="false">COUPDAYSNC(DATE(2023,12,31),DATE(2024,6,30),2,4)</f>
        <v>180</v>
      </c>
      <c r="B5824" s="0" t="s">
        <v>5803</v>
      </c>
    </row>
    <row r="5825" customFormat="false" ht="15" hidden="false" customHeight="false" outlineLevel="0" collapsed="false">
      <c r="A5825" s="0" t="n">
        <f aca="false">COUPPCD(DATE(2023,12,31),DATE(2024,6,30),4,0)</f>
        <v>45291</v>
      </c>
      <c r="B5825" s="0" t="s">
        <v>5804</v>
      </c>
    </row>
    <row r="5826" customFormat="false" ht="15" hidden="false" customHeight="false" outlineLevel="0" collapsed="false">
      <c r="A5826" s="0" t="n">
        <f aca="false">COUPNCD(DATE(2023,12,31),DATE(2024,6,30),4,0)</f>
        <v>45382</v>
      </c>
      <c r="B5826" s="0" t="s">
        <v>5805</v>
      </c>
    </row>
    <row r="5827" customFormat="false" ht="15" hidden="false" customHeight="false" outlineLevel="0" collapsed="false">
      <c r="A5827" s="0" t="n">
        <f aca="false">COUPNUM(DATE(2023,12,31),DATE(2024,6,30),4,0)</f>
        <v>2</v>
      </c>
      <c r="B5827" s="0" t="s">
        <v>5806</v>
      </c>
    </row>
    <row r="5828" customFormat="false" ht="15" hidden="false" customHeight="false" outlineLevel="0" collapsed="false">
      <c r="A5828" s="0" t="n">
        <f aca="false">COUPDAYBS(DATE(2023,12,31),DATE(2024,6,30),4,0)</f>
        <v>0</v>
      </c>
      <c r="B5828" s="0" t="s">
        <v>5807</v>
      </c>
    </row>
    <row r="5829" customFormat="false" ht="15" hidden="false" customHeight="false" outlineLevel="0" collapsed="false">
      <c r="A5829" s="0" t="n">
        <f aca="false">COUPDAYS(DATE(2023,12,31),DATE(2024,6,30),4,0)</f>
        <v>90</v>
      </c>
      <c r="B5829" s="0" t="s">
        <v>5808</v>
      </c>
    </row>
    <row r="5830" customFormat="false" ht="15" hidden="false" customHeight="false" outlineLevel="0" collapsed="false">
      <c r="A5830" s="0" t="n">
        <f aca="false">COUPDAYSNC(DATE(2023,12,31),DATE(2024,6,30),4,0)</f>
        <v>90</v>
      </c>
      <c r="B5830" s="0" t="s">
        <v>5809</v>
      </c>
    </row>
    <row r="5831" customFormat="false" ht="15" hidden="false" customHeight="false" outlineLevel="0" collapsed="false">
      <c r="A5831" s="0" t="n">
        <f aca="false">COUPPCD(DATE(2023,12,31),DATE(2024,6,30),4,1)</f>
        <v>45291</v>
      </c>
      <c r="B5831" s="0" t="s">
        <v>5810</v>
      </c>
    </row>
    <row r="5832" customFormat="false" ht="15" hidden="false" customHeight="false" outlineLevel="0" collapsed="false">
      <c r="A5832" s="0" t="n">
        <f aca="false">COUPNCD(DATE(2023,12,31),DATE(2024,6,30),4,1)</f>
        <v>45382</v>
      </c>
      <c r="B5832" s="0" t="s">
        <v>5811</v>
      </c>
    </row>
    <row r="5833" customFormat="false" ht="15" hidden="false" customHeight="false" outlineLevel="0" collapsed="false">
      <c r="A5833" s="0" t="n">
        <f aca="false">COUPNUM(DATE(2023,12,31),DATE(2024,6,30),4,1)</f>
        <v>2</v>
      </c>
      <c r="B5833" s="0" t="s">
        <v>5812</v>
      </c>
    </row>
    <row r="5834" customFormat="false" ht="15" hidden="false" customHeight="false" outlineLevel="0" collapsed="false">
      <c r="A5834" s="0" t="n">
        <f aca="false">COUPDAYBS(DATE(2023,12,31),DATE(2024,6,30),4,1)</f>
        <v>0</v>
      </c>
      <c r="B5834" s="0" t="s">
        <v>5813</v>
      </c>
    </row>
    <row r="5835" customFormat="false" ht="15" hidden="false" customHeight="false" outlineLevel="0" collapsed="false">
      <c r="A5835" s="0" t="n">
        <f aca="false">COUPDAYS(DATE(2023,12,31),DATE(2024,6,30),4,1)</f>
        <v>91</v>
      </c>
      <c r="B5835" s="0" t="s">
        <v>5814</v>
      </c>
    </row>
    <row r="5836" customFormat="false" ht="15" hidden="false" customHeight="false" outlineLevel="0" collapsed="false">
      <c r="A5836" s="0" t="n">
        <f aca="false">COUPDAYSNC(DATE(2023,12,31),DATE(2024,6,30),4,1)</f>
        <v>91</v>
      </c>
      <c r="B5836" s="0" t="s">
        <v>5815</v>
      </c>
    </row>
    <row r="5837" customFormat="false" ht="15" hidden="false" customHeight="false" outlineLevel="0" collapsed="false">
      <c r="A5837" s="0" t="n">
        <f aca="false">COUPPCD(DATE(2023,12,31),DATE(2024,6,30),4,2)</f>
        <v>45291</v>
      </c>
      <c r="B5837" s="0" t="s">
        <v>5816</v>
      </c>
    </row>
    <row r="5838" customFormat="false" ht="15" hidden="false" customHeight="false" outlineLevel="0" collapsed="false">
      <c r="A5838" s="0" t="n">
        <f aca="false">COUPNCD(DATE(2023,12,31),DATE(2024,6,30),4,2)</f>
        <v>45382</v>
      </c>
      <c r="B5838" s="0" t="s">
        <v>5817</v>
      </c>
    </row>
    <row r="5839" customFormat="false" ht="15" hidden="false" customHeight="false" outlineLevel="0" collapsed="false">
      <c r="A5839" s="0" t="n">
        <f aca="false">COUPNUM(DATE(2023,12,31),DATE(2024,6,30),4,2)</f>
        <v>2</v>
      </c>
      <c r="B5839" s="0" t="s">
        <v>5818</v>
      </c>
    </row>
    <row r="5840" customFormat="false" ht="15" hidden="false" customHeight="false" outlineLevel="0" collapsed="false">
      <c r="A5840" s="0" t="n">
        <f aca="false">COUPDAYBS(DATE(2023,12,31),DATE(2024,6,30),4,2)</f>
        <v>0</v>
      </c>
      <c r="B5840" s="0" t="s">
        <v>5819</v>
      </c>
    </row>
    <row r="5841" customFormat="false" ht="15" hidden="false" customHeight="false" outlineLevel="0" collapsed="false">
      <c r="A5841" s="0" t="n">
        <f aca="false">COUPDAYS(DATE(2023,12,31),DATE(2024,6,30),4,2)</f>
        <v>90</v>
      </c>
      <c r="B5841" s="0" t="s">
        <v>5820</v>
      </c>
    </row>
    <row r="5842" customFormat="false" ht="15" hidden="false" customHeight="false" outlineLevel="0" collapsed="false">
      <c r="A5842" s="0" t="n">
        <f aca="false">COUPDAYSNC(DATE(2023,12,31),DATE(2024,6,30),4,2)</f>
        <v>91</v>
      </c>
      <c r="B5842" s="0" t="s">
        <v>5821</v>
      </c>
    </row>
    <row r="5843" customFormat="false" ht="15" hidden="false" customHeight="false" outlineLevel="0" collapsed="false">
      <c r="A5843" s="0" t="n">
        <f aca="false">COUPPCD(DATE(2023,12,31),DATE(2024,6,30),4,3)</f>
        <v>45291</v>
      </c>
      <c r="B5843" s="0" t="s">
        <v>5822</v>
      </c>
    </row>
    <row r="5844" customFormat="false" ht="15" hidden="false" customHeight="false" outlineLevel="0" collapsed="false">
      <c r="A5844" s="0" t="n">
        <f aca="false">COUPNCD(DATE(2023,12,31),DATE(2024,6,30),4,3)</f>
        <v>45382</v>
      </c>
      <c r="B5844" s="0" t="s">
        <v>5823</v>
      </c>
    </row>
    <row r="5845" customFormat="false" ht="15" hidden="false" customHeight="false" outlineLevel="0" collapsed="false">
      <c r="A5845" s="0" t="n">
        <f aca="false">COUPNUM(DATE(2023,12,31),DATE(2024,6,30),4,3)</f>
        <v>2</v>
      </c>
      <c r="B5845" s="0" t="s">
        <v>5824</v>
      </c>
    </row>
    <row r="5846" customFormat="false" ht="15" hidden="false" customHeight="false" outlineLevel="0" collapsed="false">
      <c r="A5846" s="0" t="n">
        <f aca="false">COUPDAYBS(DATE(2023,12,31),DATE(2024,6,30),4,3)</f>
        <v>0</v>
      </c>
      <c r="B5846" s="0" t="s">
        <v>5825</v>
      </c>
    </row>
    <row r="5847" customFormat="false" ht="15" hidden="false" customHeight="false" outlineLevel="0" collapsed="false">
      <c r="A5847" s="0" t="n">
        <f aca="false">COUPDAYS(DATE(2023,12,31),DATE(2024,6,30),4,3)</f>
        <v>91.25</v>
      </c>
      <c r="B5847" s="0" t="s">
        <v>5826</v>
      </c>
    </row>
    <row r="5848" customFormat="false" ht="15" hidden="false" customHeight="false" outlineLevel="0" collapsed="false">
      <c r="A5848" s="0" t="n">
        <f aca="false">COUPDAYSNC(DATE(2023,12,31),DATE(2024,6,30),4,3)</f>
        <v>91</v>
      </c>
      <c r="B5848" s="0" t="s">
        <v>5827</v>
      </c>
    </row>
    <row r="5849" customFormat="false" ht="15" hidden="false" customHeight="false" outlineLevel="0" collapsed="false">
      <c r="A5849" s="0" t="n">
        <f aca="false">COUPPCD(DATE(2023,12,31),DATE(2024,6,30),4,4)</f>
        <v>45291</v>
      </c>
      <c r="B5849" s="0" t="s">
        <v>5828</v>
      </c>
    </row>
    <row r="5850" customFormat="false" ht="15" hidden="false" customHeight="false" outlineLevel="0" collapsed="false">
      <c r="A5850" s="0" t="n">
        <f aca="false">COUPNCD(DATE(2023,12,31),DATE(2024,6,30),4,4)</f>
        <v>45382</v>
      </c>
      <c r="B5850" s="0" t="s">
        <v>5829</v>
      </c>
    </row>
    <row r="5851" customFormat="false" ht="15" hidden="false" customHeight="false" outlineLevel="0" collapsed="false">
      <c r="A5851" s="0" t="n">
        <f aca="false">COUPNUM(DATE(2023,12,31),DATE(2024,6,30),4,4)</f>
        <v>2</v>
      </c>
      <c r="B5851" s="0" t="s">
        <v>5830</v>
      </c>
    </row>
    <row r="5852" customFormat="false" ht="15" hidden="false" customHeight="false" outlineLevel="0" collapsed="false">
      <c r="A5852" s="0" t="n">
        <f aca="false">COUPDAYBS(DATE(2023,12,31),DATE(2024,6,30),4,4)</f>
        <v>0</v>
      </c>
      <c r="B5852" s="0" t="s">
        <v>5831</v>
      </c>
    </row>
    <row r="5853" customFormat="false" ht="15" hidden="false" customHeight="false" outlineLevel="0" collapsed="false">
      <c r="A5853" s="0" t="n">
        <f aca="false">COUPDAYS(DATE(2023,12,31),DATE(2024,6,30),4,4)</f>
        <v>90</v>
      </c>
      <c r="B5853" s="0" t="s">
        <v>5832</v>
      </c>
    </row>
    <row r="5854" customFormat="false" ht="15" hidden="false" customHeight="false" outlineLevel="0" collapsed="false">
      <c r="A5854" s="0" t="n">
        <f aca="false">COUPDAYSNC(DATE(2023,12,31),DATE(2024,6,30),4,4)</f>
        <v>90</v>
      </c>
      <c r="B5854" s="0" t="s">
        <v>5833</v>
      </c>
    </row>
    <row r="5855" customFormat="false" ht="15" hidden="false" customHeight="false" outlineLevel="0" collapsed="false">
      <c r="A5855" s="0" t="n">
        <f aca="false">COUPNUM(DATE(2023,12,31),DATE(2024,6,30),2)</f>
        <v>1</v>
      </c>
      <c r="B5855" s="0" t="s">
        <v>5834</v>
      </c>
    </row>
    <row r="5856" customFormat="false" ht="15" hidden="false" customHeight="false" outlineLevel="0" collapsed="false">
      <c r="A5856" s="0" t="n">
        <f aca="false">COUPDAYS(DATE(2023,12,31),DATE(2024,6,30),2)</f>
        <v>180</v>
      </c>
      <c r="B5856" s="0" t="s">
        <v>5835</v>
      </c>
    </row>
    <row r="5857" customFormat="false" ht="15" hidden="false" customHeight="false" outlineLevel="0" collapsed="false">
      <c r="A5857" s="0" t="n">
        <f aca="false">COUPPCD(DATE(2024,5,15),DATE(2024,11,15),1,0)</f>
        <v>45245</v>
      </c>
      <c r="B5857" s="0" t="s">
        <v>5836</v>
      </c>
    </row>
    <row r="5858" customFormat="false" ht="15" hidden="false" customHeight="false" outlineLevel="0" collapsed="false">
      <c r="A5858" s="0" t="n">
        <f aca="false">COUPNCD(DATE(2024,5,15),DATE(2024,11,15),1,0)</f>
        <v>45611</v>
      </c>
      <c r="B5858" s="0" t="s">
        <v>5837</v>
      </c>
    </row>
    <row r="5859" customFormat="false" ht="15" hidden="false" customHeight="false" outlineLevel="0" collapsed="false">
      <c r="A5859" s="0" t="n">
        <f aca="false">COUPNUM(DATE(2024,5,15),DATE(2024,11,15),1,0)</f>
        <v>1</v>
      </c>
      <c r="B5859" s="0" t="s">
        <v>5838</v>
      </c>
    </row>
    <row r="5860" customFormat="false" ht="15" hidden="false" customHeight="false" outlineLevel="0" collapsed="false">
      <c r="A5860" s="0" t="n">
        <f aca="false">COUPDAYBS(DATE(2024,5,15),DATE(2024,11,15),1,0)</f>
        <v>180</v>
      </c>
      <c r="B5860" s="0" t="s">
        <v>5839</v>
      </c>
    </row>
    <row r="5861" customFormat="false" ht="15" hidden="false" customHeight="false" outlineLevel="0" collapsed="false">
      <c r="A5861" s="0" t="n">
        <f aca="false">COUPDAYS(DATE(2024,5,15),DATE(2024,11,15),1,0)</f>
        <v>360</v>
      </c>
      <c r="B5861" s="0" t="s">
        <v>5840</v>
      </c>
    </row>
    <row r="5862" customFormat="false" ht="15" hidden="false" customHeight="false" outlineLevel="0" collapsed="false">
      <c r="A5862" s="0" t="n">
        <f aca="false">COUPDAYSNC(DATE(2024,5,15),DATE(2024,11,15),1,0)</f>
        <v>180</v>
      </c>
      <c r="B5862" s="0" t="s">
        <v>5841</v>
      </c>
    </row>
    <row r="5863" customFormat="false" ht="15" hidden="false" customHeight="false" outlineLevel="0" collapsed="false">
      <c r="A5863" s="0" t="n">
        <f aca="false">COUPPCD(DATE(2024,5,15),DATE(2024,11,15),1,1)</f>
        <v>45245</v>
      </c>
      <c r="B5863" s="0" t="s">
        <v>5842</v>
      </c>
    </row>
    <row r="5864" customFormat="false" ht="15" hidden="false" customHeight="false" outlineLevel="0" collapsed="false">
      <c r="A5864" s="0" t="n">
        <f aca="false">COUPNCD(DATE(2024,5,15),DATE(2024,11,15),1,1)</f>
        <v>45611</v>
      </c>
      <c r="B5864" s="0" t="s">
        <v>5843</v>
      </c>
    </row>
    <row r="5865" customFormat="false" ht="15" hidden="false" customHeight="false" outlineLevel="0" collapsed="false">
      <c r="A5865" s="0" t="n">
        <f aca="false">COUPNUM(DATE(2024,5,15),DATE(2024,11,15),1,1)</f>
        <v>1</v>
      </c>
      <c r="B5865" s="0" t="s">
        <v>5844</v>
      </c>
    </row>
    <row r="5866" customFormat="false" ht="15" hidden="false" customHeight="false" outlineLevel="0" collapsed="false">
      <c r="A5866" s="0" t="n">
        <f aca="false">COUPDAYBS(DATE(2024,5,15),DATE(2024,11,15),1,1)</f>
        <v>182</v>
      </c>
      <c r="B5866" s="0" t="s">
        <v>5845</v>
      </c>
    </row>
    <row r="5867" customFormat="false" ht="15" hidden="false" customHeight="false" outlineLevel="0" collapsed="false">
      <c r="A5867" s="0" t="n">
        <f aca="false">COUPDAYS(DATE(2024,5,15),DATE(2024,11,15),1,1)</f>
        <v>366</v>
      </c>
      <c r="B5867" s="0" t="s">
        <v>5846</v>
      </c>
    </row>
    <row r="5868" customFormat="false" ht="15" hidden="false" customHeight="false" outlineLevel="0" collapsed="false">
      <c r="A5868" s="0" t="n">
        <f aca="false">COUPDAYSNC(DATE(2024,5,15),DATE(2024,11,15),1,1)</f>
        <v>184</v>
      </c>
      <c r="B5868" s="0" t="s">
        <v>5847</v>
      </c>
    </row>
    <row r="5869" customFormat="false" ht="15" hidden="false" customHeight="false" outlineLevel="0" collapsed="false">
      <c r="A5869" s="0" t="n">
        <f aca="false">COUPPCD(DATE(2024,5,15),DATE(2024,11,15),1,2)</f>
        <v>45245</v>
      </c>
      <c r="B5869" s="0" t="s">
        <v>5848</v>
      </c>
    </row>
    <row r="5870" customFormat="false" ht="15" hidden="false" customHeight="false" outlineLevel="0" collapsed="false">
      <c r="A5870" s="0" t="n">
        <f aca="false">COUPNCD(DATE(2024,5,15),DATE(2024,11,15),1,2)</f>
        <v>45611</v>
      </c>
      <c r="B5870" s="0" t="s">
        <v>5849</v>
      </c>
    </row>
    <row r="5871" customFormat="false" ht="15" hidden="false" customHeight="false" outlineLevel="0" collapsed="false">
      <c r="A5871" s="0" t="n">
        <f aca="false">COUPNUM(DATE(2024,5,15),DATE(2024,11,15),1,2)</f>
        <v>1</v>
      </c>
      <c r="B5871" s="0" t="s">
        <v>5850</v>
      </c>
    </row>
    <row r="5872" customFormat="false" ht="15" hidden="false" customHeight="false" outlineLevel="0" collapsed="false">
      <c r="A5872" s="0" t="n">
        <f aca="false">COUPDAYBS(DATE(2024,5,15),DATE(2024,11,15),1,2)</f>
        <v>182</v>
      </c>
      <c r="B5872" s="0" t="s">
        <v>5851</v>
      </c>
    </row>
    <row r="5873" customFormat="false" ht="15" hidden="false" customHeight="false" outlineLevel="0" collapsed="false">
      <c r="A5873" s="0" t="n">
        <f aca="false">COUPDAYS(DATE(2024,5,15),DATE(2024,11,15),1,2)</f>
        <v>360</v>
      </c>
      <c r="B5873" s="0" t="s">
        <v>5852</v>
      </c>
    </row>
    <row r="5874" customFormat="false" ht="15" hidden="false" customHeight="false" outlineLevel="0" collapsed="false">
      <c r="A5874" s="0" t="n">
        <f aca="false">COUPDAYSNC(DATE(2024,5,15),DATE(2024,11,15),1,2)</f>
        <v>184</v>
      </c>
      <c r="B5874" s="0" t="s">
        <v>5853</v>
      </c>
    </row>
    <row r="5875" customFormat="false" ht="15" hidden="false" customHeight="false" outlineLevel="0" collapsed="false">
      <c r="A5875" s="0" t="n">
        <f aca="false">COUPPCD(DATE(2024,5,15),DATE(2024,11,15),1,3)</f>
        <v>45245</v>
      </c>
      <c r="B5875" s="0" t="s">
        <v>5854</v>
      </c>
    </row>
    <row r="5876" customFormat="false" ht="15" hidden="false" customHeight="false" outlineLevel="0" collapsed="false">
      <c r="A5876" s="0" t="n">
        <f aca="false">COUPNCD(DATE(2024,5,15),DATE(2024,11,15),1,3)</f>
        <v>45611</v>
      </c>
      <c r="B5876" s="0" t="s">
        <v>5855</v>
      </c>
    </row>
    <row r="5877" customFormat="false" ht="15" hidden="false" customHeight="false" outlineLevel="0" collapsed="false">
      <c r="A5877" s="0" t="n">
        <f aca="false">COUPNUM(DATE(2024,5,15),DATE(2024,11,15),1,3)</f>
        <v>1</v>
      </c>
      <c r="B5877" s="0" t="s">
        <v>5856</v>
      </c>
    </row>
    <row r="5878" customFormat="false" ht="15" hidden="false" customHeight="false" outlineLevel="0" collapsed="false">
      <c r="A5878" s="0" t="n">
        <f aca="false">COUPDAYBS(DATE(2024,5,15),DATE(2024,11,15),1,3)</f>
        <v>182</v>
      </c>
      <c r="B5878" s="0" t="s">
        <v>5857</v>
      </c>
    </row>
    <row r="5879" customFormat="false" ht="15" hidden="false" customHeight="false" outlineLevel="0" collapsed="false">
      <c r="A5879" s="0" t="n">
        <f aca="false">COUPDAYS(DATE(2024,5,15),DATE(2024,11,15),1,3)</f>
        <v>365</v>
      </c>
      <c r="B5879" s="0" t="s">
        <v>5858</v>
      </c>
    </row>
    <row r="5880" customFormat="false" ht="15" hidden="false" customHeight="false" outlineLevel="0" collapsed="false">
      <c r="A5880" s="0" t="n">
        <f aca="false">COUPDAYSNC(DATE(2024,5,15),DATE(2024,11,15),1,3)</f>
        <v>184</v>
      </c>
      <c r="B5880" s="0" t="s">
        <v>5859</v>
      </c>
    </row>
    <row r="5881" customFormat="false" ht="15" hidden="false" customHeight="false" outlineLevel="0" collapsed="false">
      <c r="A5881" s="0" t="n">
        <f aca="false">COUPPCD(DATE(2024,5,15),DATE(2024,11,15),1,4)</f>
        <v>45245</v>
      </c>
      <c r="B5881" s="0" t="s">
        <v>5860</v>
      </c>
    </row>
    <row r="5882" customFormat="false" ht="15" hidden="false" customHeight="false" outlineLevel="0" collapsed="false">
      <c r="A5882" s="0" t="n">
        <f aca="false">COUPNCD(DATE(2024,5,15),DATE(2024,11,15),1,4)</f>
        <v>45611</v>
      </c>
      <c r="B5882" s="0" t="s">
        <v>5861</v>
      </c>
    </row>
    <row r="5883" customFormat="false" ht="15" hidden="false" customHeight="false" outlineLevel="0" collapsed="false">
      <c r="A5883" s="0" t="n">
        <f aca="false">COUPNUM(DATE(2024,5,15),DATE(2024,11,15),1,4)</f>
        <v>1</v>
      </c>
      <c r="B5883" s="0" t="s">
        <v>5862</v>
      </c>
    </row>
    <row r="5884" customFormat="false" ht="15" hidden="false" customHeight="false" outlineLevel="0" collapsed="false">
      <c r="A5884" s="0" t="n">
        <f aca="false">COUPDAYBS(DATE(2024,5,15),DATE(2024,11,15),1,4)</f>
        <v>180</v>
      </c>
      <c r="B5884" s="0" t="s">
        <v>5863</v>
      </c>
    </row>
    <row r="5885" customFormat="false" ht="15" hidden="false" customHeight="false" outlineLevel="0" collapsed="false">
      <c r="A5885" s="0" t="n">
        <f aca="false">COUPDAYS(DATE(2024,5,15),DATE(2024,11,15),1,4)</f>
        <v>360</v>
      </c>
      <c r="B5885" s="0" t="s">
        <v>5864</v>
      </c>
    </row>
    <row r="5886" customFormat="false" ht="15" hidden="false" customHeight="false" outlineLevel="0" collapsed="false">
      <c r="A5886" s="0" t="n">
        <f aca="false">COUPDAYSNC(DATE(2024,5,15),DATE(2024,11,15),1,4)</f>
        <v>180</v>
      </c>
      <c r="B5886" s="0" t="s">
        <v>5865</v>
      </c>
    </row>
    <row r="5887" customFormat="false" ht="15" hidden="false" customHeight="false" outlineLevel="0" collapsed="false">
      <c r="A5887" s="0" t="n">
        <f aca="false">COUPPCD(DATE(2024,5,15),DATE(2024,11,15),2,0)</f>
        <v>45427</v>
      </c>
      <c r="B5887" s="0" t="s">
        <v>5866</v>
      </c>
    </row>
    <row r="5888" customFormat="false" ht="15" hidden="false" customHeight="false" outlineLevel="0" collapsed="false">
      <c r="A5888" s="0" t="n">
        <f aca="false">COUPNCD(DATE(2024,5,15),DATE(2024,11,15),2,0)</f>
        <v>45611</v>
      </c>
      <c r="B5888" s="0" t="s">
        <v>5867</v>
      </c>
    </row>
    <row r="5889" customFormat="false" ht="15" hidden="false" customHeight="false" outlineLevel="0" collapsed="false">
      <c r="A5889" s="0" t="n">
        <f aca="false">COUPNUM(DATE(2024,5,15),DATE(2024,11,15),2,0)</f>
        <v>1</v>
      </c>
      <c r="B5889" s="0" t="s">
        <v>5868</v>
      </c>
    </row>
    <row r="5890" customFormat="false" ht="15" hidden="false" customHeight="false" outlineLevel="0" collapsed="false">
      <c r="A5890" s="0" t="n">
        <f aca="false">COUPDAYBS(DATE(2024,5,15),DATE(2024,11,15),2,0)</f>
        <v>0</v>
      </c>
      <c r="B5890" s="0" t="s">
        <v>5869</v>
      </c>
    </row>
    <row r="5891" customFormat="false" ht="15" hidden="false" customHeight="false" outlineLevel="0" collapsed="false">
      <c r="A5891" s="0" t="n">
        <f aca="false">COUPDAYS(DATE(2024,5,15),DATE(2024,11,15),2,0)</f>
        <v>180</v>
      </c>
      <c r="B5891" s="0" t="s">
        <v>5870</v>
      </c>
    </row>
    <row r="5892" customFormat="false" ht="15" hidden="false" customHeight="false" outlineLevel="0" collapsed="false">
      <c r="A5892" s="0" t="n">
        <f aca="false">COUPDAYSNC(DATE(2024,5,15),DATE(2024,11,15),2,0)</f>
        <v>180</v>
      </c>
      <c r="B5892" s="0" t="s">
        <v>5871</v>
      </c>
    </row>
    <row r="5893" customFormat="false" ht="15" hidden="false" customHeight="false" outlineLevel="0" collapsed="false">
      <c r="A5893" s="0" t="n">
        <f aca="false">COUPPCD(DATE(2024,5,15),DATE(2024,11,15),2,1)</f>
        <v>45427</v>
      </c>
      <c r="B5893" s="0" t="s">
        <v>5872</v>
      </c>
    </row>
    <row r="5894" customFormat="false" ht="15" hidden="false" customHeight="false" outlineLevel="0" collapsed="false">
      <c r="A5894" s="0" t="n">
        <f aca="false">COUPNCD(DATE(2024,5,15),DATE(2024,11,15),2,1)</f>
        <v>45611</v>
      </c>
      <c r="B5894" s="0" t="s">
        <v>5873</v>
      </c>
    </row>
    <row r="5895" customFormat="false" ht="15" hidden="false" customHeight="false" outlineLevel="0" collapsed="false">
      <c r="A5895" s="0" t="n">
        <f aca="false">COUPNUM(DATE(2024,5,15),DATE(2024,11,15),2,1)</f>
        <v>1</v>
      </c>
      <c r="B5895" s="0" t="s">
        <v>5874</v>
      </c>
    </row>
    <row r="5896" customFormat="false" ht="15" hidden="false" customHeight="false" outlineLevel="0" collapsed="false">
      <c r="A5896" s="0" t="n">
        <f aca="false">COUPDAYBS(DATE(2024,5,15),DATE(2024,11,15),2,1)</f>
        <v>0</v>
      </c>
      <c r="B5896" s="0" t="s">
        <v>5875</v>
      </c>
    </row>
    <row r="5897" customFormat="false" ht="15" hidden="false" customHeight="false" outlineLevel="0" collapsed="false">
      <c r="A5897" s="0" t="n">
        <f aca="false">COUPDAYS(DATE(2024,5,15),DATE(2024,11,15),2,1)</f>
        <v>184</v>
      </c>
      <c r="B5897" s="0" t="s">
        <v>5876</v>
      </c>
    </row>
    <row r="5898" customFormat="false" ht="15" hidden="false" customHeight="false" outlineLevel="0" collapsed="false">
      <c r="A5898" s="0" t="n">
        <f aca="false">COUPDAYSNC(DATE(2024,5,15),DATE(2024,11,15),2,1)</f>
        <v>184</v>
      </c>
      <c r="B5898" s="0" t="s">
        <v>5877</v>
      </c>
    </row>
    <row r="5899" customFormat="false" ht="15" hidden="false" customHeight="false" outlineLevel="0" collapsed="false">
      <c r="A5899" s="0" t="n">
        <f aca="false">COUPPCD(DATE(2024,5,15),DATE(2024,11,15),2,2)</f>
        <v>45427</v>
      </c>
      <c r="B5899" s="0" t="s">
        <v>5878</v>
      </c>
    </row>
    <row r="5900" customFormat="false" ht="15" hidden="false" customHeight="false" outlineLevel="0" collapsed="false">
      <c r="A5900" s="0" t="n">
        <f aca="false">COUPNCD(DATE(2024,5,15),DATE(2024,11,15),2,2)</f>
        <v>45611</v>
      </c>
      <c r="B5900" s="0" t="s">
        <v>5879</v>
      </c>
    </row>
    <row r="5901" customFormat="false" ht="15" hidden="false" customHeight="false" outlineLevel="0" collapsed="false">
      <c r="A5901" s="0" t="n">
        <f aca="false">COUPNUM(DATE(2024,5,15),DATE(2024,11,15),2,2)</f>
        <v>1</v>
      </c>
      <c r="B5901" s="0" t="s">
        <v>5880</v>
      </c>
    </row>
    <row r="5902" customFormat="false" ht="15" hidden="false" customHeight="false" outlineLevel="0" collapsed="false">
      <c r="A5902" s="0" t="n">
        <f aca="false">COUPDAYBS(DATE(2024,5,15),DATE(2024,11,15),2,2)</f>
        <v>0</v>
      </c>
      <c r="B5902" s="0" t="s">
        <v>5881</v>
      </c>
    </row>
    <row r="5903" customFormat="false" ht="15" hidden="false" customHeight="false" outlineLevel="0" collapsed="false">
      <c r="A5903" s="0" t="n">
        <f aca="false">COUPDAYS(DATE(2024,5,15),DATE(2024,11,15),2,2)</f>
        <v>180</v>
      </c>
      <c r="B5903" s="0" t="s">
        <v>5882</v>
      </c>
    </row>
    <row r="5904" customFormat="false" ht="15" hidden="false" customHeight="false" outlineLevel="0" collapsed="false">
      <c r="A5904" s="0" t="n">
        <f aca="false">COUPDAYSNC(DATE(2024,5,15),DATE(2024,11,15),2,2)</f>
        <v>184</v>
      </c>
      <c r="B5904" s="0" t="s">
        <v>5883</v>
      </c>
    </row>
    <row r="5905" customFormat="false" ht="15" hidden="false" customHeight="false" outlineLevel="0" collapsed="false">
      <c r="A5905" s="0" t="n">
        <f aca="false">COUPPCD(DATE(2024,5,15),DATE(2024,11,15),2,3)</f>
        <v>45427</v>
      </c>
      <c r="B5905" s="0" t="s">
        <v>5884</v>
      </c>
    </row>
    <row r="5906" customFormat="false" ht="15" hidden="false" customHeight="false" outlineLevel="0" collapsed="false">
      <c r="A5906" s="0" t="n">
        <f aca="false">COUPNCD(DATE(2024,5,15),DATE(2024,11,15),2,3)</f>
        <v>45611</v>
      </c>
      <c r="B5906" s="0" t="s">
        <v>5885</v>
      </c>
    </row>
    <row r="5907" customFormat="false" ht="15" hidden="false" customHeight="false" outlineLevel="0" collapsed="false">
      <c r="A5907" s="0" t="n">
        <f aca="false">COUPNUM(DATE(2024,5,15),DATE(2024,11,15),2,3)</f>
        <v>1</v>
      </c>
      <c r="B5907" s="0" t="s">
        <v>5886</v>
      </c>
    </row>
    <row r="5908" customFormat="false" ht="15" hidden="false" customHeight="false" outlineLevel="0" collapsed="false">
      <c r="A5908" s="0" t="n">
        <f aca="false">COUPDAYBS(DATE(2024,5,15),DATE(2024,11,15),2,3)</f>
        <v>0</v>
      </c>
      <c r="B5908" s="0" t="s">
        <v>5887</v>
      </c>
    </row>
    <row r="5909" customFormat="false" ht="15" hidden="false" customHeight="false" outlineLevel="0" collapsed="false">
      <c r="A5909" s="0" t="n">
        <f aca="false">COUPDAYS(DATE(2024,5,15),DATE(2024,11,15),2,3)</f>
        <v>182.5</v>
      </c>
      <c r="B5909" s="0" t="s">
        <v>5888</v>
      </c>
    </row>
    <row r="5910" customFormat="false" ht="15" hidden="false" customHeight="false" outlineLevel="0" collapsed="false">
      <c r="A5910" s="0" t="n">
        <f aca="false">COUPDAYSNC(DATE(2024,5,15),DATE(2024,11,15),2,3)</f>
        <v>184</v>
      </c>
      <c r="B5910" s="0" t="s">
        <v>5889</v>
      </c>
    </row>
    <row r="5911" customFormat="false" ht="15" hidden="false" customHeight="false" outlineLevel="0" collapsed="false">
      <c r="A5911" s="0" t="n">
        <f aca="false">COUPPCD(DATE(2024,5,15),DATE(2024,11,15),2,4)</f>
        <v>45427</v>
      </c>
      <c r="B5911" s="0" t="s">
        <v>5890</v>
      </c>
    </row>
    <row r="5912" customFormat="false" ht="15" hidden="false" customHeight="false" outlineLevel="0" collapsed="false">
      <c r="A5912" s="0" t="n">
        <f aca="false">COUPNCD(DATE(2024,5,15),DATE(2024,11,15),2,4)</f>
        <v>45611</v>
      </c>
      <c r="B5912" s="0" t="s">
        <v>5891</v>
      </c>
    </row>
    <row r="5913" customFormat="false" ht="15" hidden="false" customHeight="false" outlineLevel="0" collapsed="false">
      <c r="A5913" s="0" t="n">
        <f aca="false">COUPNUM(DATE(2024,5,15),DATE(2024,11,15),2,4)</f>
        <v>1</v>
      </c>
      <c r="B5913" s="0" t="s">
        <v>5892</v>
      </c>
    </row>
    <row r="5914" customFormat="false" ht="15" hidden="false" customHeight="false" outlineLevel="0" collapsed="false">
      <c r="A5914" s="0" t="n">
        <f aca="false">COUPDAYBS(DATE(2024,5,15),DATE(2024,11,15),2,4)</f>
        <v>0</v>
      </c>
      <c r="B5914" s="0" t="s">
        <v>5893</v>
      </c>
    </row>
    <row r="5915" customFormat="false" ht="15" hidden="false" customHeight="false" outlineLevel="0" collapsed="false">
      <c r="A5915" s="0" t="n">
        <f aca="false">COUPDAYS(DATE(2024,5,15),DATE(2024,11,15),2,4)</f>
        <v>180</v>
      </c>
      <c r="B5915" s="0" t="s">
        <v>5894</v>
      </c>
    </row>
    <row r="5916" customFormat="false" ht="15" hidden="false" customHeight="false" outlineLevel="0" collapsed="false">
      <c r="A5916" s="0" t="n">
        <f aca="false">COUPDAYSNC(DATE(2024,5,15),DATE(2024,11,15),2,4)</f>
        <v>180</v>
      </c>
      <c r="B5916" s="0" t="s">
        <v>5895</v>
      </c>
    </row>
    <row r="5917" customFormat="false" ht="15" hidden="false" customHeight="false" outlineLevel="0" collapsed="false">
      <c r="A5917" s="0" t="n">
        <f aca="false">COUPPCD(DATE(2024,5,15),DATE(2024,11,15),4,0)</f>
        <v>45427</v>
      </c>
      <c r="B5917" s="0" t="s">
        <v>5896</v>
      </c>
    </row>
    <row r="5918" customFormat="false" ht="15" hidden="false" customHeight="false" outlineLevel="0" collapsed="false">
      <c r="A5918" s="0" t="n">
        <f aca="false">COUPNCD(DATE(2024,5,15),DATE(2024,11,15),4,0)</f>
        <v>45519</v>
      </c>
      <c r="B5918" s="0" t="s">
        <v>5897</v>
      </c>
    </row>
    <row r="5919" customFormat="false" ht="15" hidden="false" customHeight="false" outlineLevel="0" collapsed="false">
      <c r="A5919" s="0" t="n">
        <f aca="false">COUPNUM(DATE(2024,5,15),DATE(2024,11,15),4,0)</f>
        <v>2</v>
      </c>
      <c r="B5919" s="0" t="s">
        <v>5898</v>
      </c>
    </row>
    <row r="5920" customFormat="false" ht="15" hidden="false" customHeight="false" outlineLevel="0" collapsed="false">
      <c r="A5920" s="0" t="n">
        <f aca="false">COUPDAYBS(DATE(2024,5,15),DATE(2024,11,15),4,0)</f>
        <v>0</v>
      </c>
      <c r="B5920" s="0" t="s">
        <v>5899</v>
      </c>
    </row>
    <row r="5921" customFormat="false" ht="15" hidden="false" customHeight="false" outlineLevel="0" collapsed="false">
      <c r="A5921" s="0" t="n">
        <f aca="false">COUPDAYS(DATE(2024,5,15),DATE(2024,11,15),4,0)</f>
        <v>90</v>
      </c>
      <c r="B5921" s="0" t="s">
        <v>5900</v>
      </c>
    </row>
    <row r="5922" customFormat="false" ht="15" hidden="false" customHeight="false" outlineLevel="0" collapsed="false">
      <c r="A5922" s="0" t="n">
        <f aca="false">COUPDAYSNC(DATE(2024,5,15),DATE(2024,11,15),4,0)</f>
        <v>90</v>
      </c>
      <c r="B5922" s="0" t="s">
        <v>5901</v>
      </c>
    </row>
    <row r="5923" customFormat="false" ht="15" hidden="false" customHeight="false" outlineLevel="0" collapsed="false">
      <c r="A5923" s="0" t="n">
        <f aca="false">COUPPCD(DATE(2024,5,15),DATE(2024,11,15),4,1)</f>
        <v>45427</v>
      </c>
      <c r="B5923" s="0" t="s">
        <v>5902</v>
      </c>
    </row>
    <row r="5924" customFormat="false" ht="15" hidden="false" customHeight="false" outlineLevel="0" collapsed="false">
      <c r="A5924" s="0" t="n">
        <f aca="false">COUPNCD(DATE(2024,5,15),DATE(2024,11,15),4,1)</f>
        <v>45519</v>
      </c>
      <c r="B5924" s="0" t="s">
        <v>5903</v>
      </c>
    </row>
    <row r="5925" customFormat="false" ht="15" hidden="false" customHeight="false" outlineLevel="0" collapsed="false">
      <c r="A5925" s="0" t="n">
        <f aca="false">COUPNUM(DATE(2024,5,15),DATE(2024,11,15),4,1)</f>
        <v>2</v>
      </c>
      <c r="B5925" s="0" t="s">
        <v>5904</v>
      </c>
    </row>
    <row r="5926" customFormat="false" ht="15" hidden="false" customHeight="false" outlineLevel="0" collapsed="false">
      <c r="A5926" s="0" t="n">
        <f aca="false">COUPDAYBS(DATE(2024,5,15),DATE(2024,11,15),4,1)</f>
        <v>0</v>
      </c>
      <c r="B5926" s="0" t="s">
        <v>5905</v>
      </c>
    </row>
    <row r="5927" customFormat="false" ht="15" hidden="false" customHeight="false" outlineLevel="0" collapsed="false">
      <c r="A5927" s="0" t="n">
        <f aca="false">COUPDAYS(DATE(2024,5,15),DATE(2024,11,15),4,1)</f>
        <v>92</v>
      </c>
      <c r="B5927" s="0" t="s">
        <v>5906</v>
      </c>
    </row>
    <row r="5928" customFormat="false" ht="15" hidden="false" customHeight="false" outlineLevel="0" collapsed="false">
      <c r="A5928" s="0" t="n">
        <f aca="false">COUPDAYSNC(DATE(2024,5,15),DATE(2024,11,15),4,1)</f>
        <v>92</v>
      </c>
      <c r="B5928" s="0" t="s">
        <v>5907</v>
      </c>
    </row>
    <row r="5929" customFormat="false" ht="15" hidden="false" customHeight="false" outlineLevel="0" collapsed="false">
      <c r="A5929" s="0" t="n">
        <f aca="false">COUPPCD(DATE(2024,5,15),DATE(2024,11,15),4,2)</f>
        <v>45427</v>
      </c>
      <c r="B5929" s="0" t="s">
        <v>5908</v>
      </c>
    </row>
    <row r="5930" customFormat="false" ht="15" hidden="false" customHeight="false" outlineLevel="0" collapsed="false">
      <c r="A5930" s="0" t="n">
        <f aca="false">COUPNCD(DATE(2024,5,15),DATE(2024,11,15),4,2)</f>
        <v>45519</v>
      </c>
      <c r="B5930" s="0" t="s">
        <v>5909</v>
      </c>
    </row>
    <row r="5931" customFormat="false" ht="15" hidden="false" customHeight="false" outlineLevel="0" collapsed="false">
      <c r="A5931" s="0" t="n">
        <f aca="false">COUPNUM(DATE(2024,5,15),DATE(2024,11,15),4,2)</f>
        <v>2</v>
      </c>
      <c r="B5931" s="0" t="s">
        <v>5910</v>
      </c>
    </row>
    <row r="5932" customFormat="false" ht="15" hidden="false" customHeight="false" outlineLevel="0" collapsed="false">
      <c r="A5932" s="0" t="n">
        <f aca="false">COUPDAYBS(DATE(2024,5,15),DATE(2024,11,15),4,2)</f>
        <v>0</v>
      </c>
      <c r="B5932" s="0" t="s">
        <v>5911</v>
      </c>
    </row>
    <row r="5933" customFormat="false" ht="15" hidden="false" customHeight="false" outlineLevel="0" collapsed="false">
      <c r="A5933" s="0" t="n">
        <f aca="false">COUPDAYS(DATE(2024,5,15),DATE(2024,11,15),4,2)</f>
        <v>90</v>
      </c>
      <c r="B5933" s="0" t="s">
        <v>5912</v>
      </c>
    </row>
    <row r="5934" customFormat="false" ht="15" hidden="false" customHeight="false" outlineLevel="0" collapsed="false">
      <c r="A5934" s="0" t="n">
        <f aca="false">COUPDAYSNC(DATE(2024,5,15),DATE(2024,11,15),4,2)</f>
        <v>92</v>
      </c>
      <c r="B5934" s="0" t="s">
        <v>5913</v>
      </c>
    </row>
    <row r="5935" customFormat="false" ht="15" hidden="false" customHeight="false" outlineLevel="0" collapsed="false">
      <c r="A5935" s="0" t="n">
        <f aca="false">COUPPCD(DATE(2024,5,15),DATE(2024,11,15),4,3)</f>
        <v>45427</v>
      </c>
      <c r="B5935" s="0" t="s">
        <v>5914</v>
      </c>
    </row>
    <row r="5936" customFormat="false" ht="15" hidden="false" customHeight="false" outlineLevel="0" collapsed="false">
      <c r="A5936" s="0" t="n">
        <f aca="false">COUPNCD(DATE(2024,5,15),DATE(2024,11,15),4,3)</f>
        <v>45519</v>
      </c>
      <c r="B5936" s="0" t="s">
        <v>5915</v>
      </c>
    </row>
    <row r="5937" customFormat="false" ht="15" hidden="false" customHeight="false" outlineLevel="0" collapsed="false">
      <c r="A5937" s="0" t="n">
        <f aca="false">COUPNUM(DATE(2024,5,15),DATE(2024,11,15),4,3)</f>
        <v>2</v>
      </c>
      <c r="B5937" s="0" t="s">
        <v>5916</v>
      </c>
    </row>
    <row r="5938" customFormat="false" ht="15" hidden="false" customHeight="false" outlineLevel="0" collapsed="false">
      <c r="A5938" s="0" t="n">
        <f aca="false">COUPDAYBS(DATE(2024,5,15),DATE(2024,11,15),4,3)</f>
        <v>0</v>
      </c>
      <c r="B5938" s="0" t="s">
        <v>5917</v>
      </c>
    </row>
    <row r="5939" customFormat="false" ht="15" hidden="false" customHeight="false" outlineLevel="0" collapsed="false">
      <c r="A5939" s="0" t="n">
        <f aca="false">COUPDAYS(DATE(2024,5,15),DATE(2024,11,15),4,3)</f>
        <v>91.25</v>
      </c>
      <c r="B5939" s="0" t="s">
        <v>5918</v>
      </c>
    </row>
    <row r="5940" customFormat="false" ht="15" hidden="false" customHeight="false" outlineLevel="0" collapsed="false">
      <c r="A5940" s="0" t="n">
        <f aca="false">COUPDAYSNC(DATE(2024,5,15),DATE(2024,11,15),4,3)</f>
        <v>92</v>
      </c>
      <c r="B5940" s="0" t="s">
        <v>5919</v>
      </c>
    </row>
    <row r="5941" customFormat="false" ht="15" hidden="false" customHeight="false" outlineLevel="0" collapsed="false">
      <c r="A5941" s="0" t="n">
        <f aca="false">COUPPCD(DATE(2024,5,15),DATE(2024,11,15),4,4)</f>
        <v>45427</v>
      </c>
      <c r="B5941" s="0" t="s">
        <v>5920</v>
      </c>
    </row>
    <row r="5942" customFormat="false" ht="15" hidden="false" customHeight="false" outlineLevel="0" collapsed="false">
      <c r="A5942" s="0" t="n">
        <f aca="false">COUPNCD(DATE(2024,5,15),DATE(2024,11,15),4,4)</f>
        <v>45519</v>
      </c>
      <c r="B5942" s="0" t="s">
        <v>5921</v>
      </c>
    </row>
    <row r="5943" customFormat="false" ht="15" hidden="false" customHeight="false" outlineLevel="0" collapsed="false">
      <c r="A5943" s="0" t="n">
        <f aca="false">COUPNUM(DATE(2024,5,15),DATE(2024,11,15),4,4)</f>
        <v>2</v>
      </c>
      <c r="B5943" s="0" t="s">
        <v>5922</v>
      </c>
    </row>
    <row r="5944" customFormat="false" ht="15" hidden="false" customHeight="false" outlineLevel="0" collapsed="false">
      <c r="A5944" s="0" t="n">
        <f aca="false">COUPDAYBS(DATE(2024,5,15),DATE(2024,11,15),4,4)</f>
        <v>0</v>
      </c>
      <c r="B5944" s="0" t="s">
        <v>5923</v>
      </c>
    </row>
    <row r="5945" customFormat="false" ht="15" hidden="false" customHeight="false" outlineLevel="0" collapsed="false">
      <c r="A5945" s="0" t="n">
        <f aca="false">COUPDAYS(DATE(2024,5,15),DATE(2024,11,15),4,4)</f>
        <v>90</v>
      </c>
      <c r="B5945" s="0" t="s">
        <v>5924</v>
      </c>
    </row>
    <row r="5946" customFormat="false" ht="15" hidden="false" customHeight="false" outlineLevel="0" collapsed="false">
      <c r="A5946" s="0" t="n">
        <f aca="false">COUPDAYSNC(DATE(2024,5,15),DATE(2024,11,15),4,4)</f>
        <v>90</v>
      </c>
      <c r="B5946" s="0" t="s">
        <v>5925</v>
      </c>
    </row>
    <row r="5947" customFormat="false" ht="15" hidden="false" customHeight="false" outlineLevel="0" collapsed="false">
      <c r="A5947" s="0" t="n">
        <f aca="false">COUPNUM(DATE(2024,5,15),DATE(2024,11,15),2)</f>
        <v>1</v>
      </c>
      <c r="B5947" s="0" t="s">
        <v>5926</v>
      </c>
    </row>
    <row r="5948" customFormat="false" ht="15" hidden="false" customHeight="false" outlineLevel="0" collapsed="false">
      <c r="A5948" s="0" t="n">
        <f aca="false">COUPDAYS(DATE(2024,5,15),DATE(2024,11,15),2)</f>
        <v>180</v>
      </c>
      <c r="B5948" s="0" t="s">
        <v>5927</v>
      </c>
    </row>
    <row r="5949" customFormat="false" ht="15" hidden="false" customHeight="false" outlineLevel="0" collapsed="false">
      <c r="A5949" s="0" t="n">
        <f aca="false">COUPPCD(DATE(2024,2,15),DATE(2024,2,29),1,0)</f>
        <v>44985</v>
      </c>
      <c r="B5949" s="0" t="s">
        <v>5928</v>
      </c>
    </row>
    <row r="5950" customFormat="false" ht="15" hidden="false" customHeight="false" outlineLevel="0" collapsed="false">
      <c r="A5950" s="0" t="n">
        <f aca="false">COUPNCD(DATE(2024,2,15),DATE(2024,2,29),1,0)</f>
        <v>45351</v>
      </c>
      <c r="B5950" s="0" t="s">
        <v>5929</v>
      </c>
    </row>
    <row r="5951" customFormat="false" ht="15" hidden="false" customHeight="false" outlineLevel="0" collapsed="false">
      <c r="A5951" s="0" t="n">
        <f aca="false">COUPNUM(DATE(2024,2,15),DATE(2024,2,29),1,0)</f>
        <v>1</v>
      </c>
      <c r="B5951" s="0" t="s">
        <v>5930</v>
      </c>
    </row>
    <row r="5952" customFormat="false" ht="15" hidden="false" customHeight="false" outlineLevel="0" collapsed="false">
      <c r="A5952" s="0" t="n">
        <f aca="false">COUPDAYBS(DATE(2024,2,15),DATE(2024,2,29),1,0)</f>
        <v>345</v>
      </c>
      <c r="B5952" s="0" t="s">
        <v>5931</v>
      </c>
    </row>
    <row r="5953" customFormat="false" ht="15" hidden="false" customHeight="false" outlineLevel="0" collapsed="false">
      <c r="A5953" s="0" t="n">
        <f aca="false">COUPDAYS(DATE(2024,2,15),DATE(2024,2,29),1,0)</f>
        <v>360</v>
      </c>
      <c r="B5953" s="0" t="s">
        <v>5932</v>
      </c>
    </row>
    <row r="5954" customFormat="false" ht="15" hidden="false" customHeight="false" outlineLevel="0" collapsed="false">
      <c r="A5954" s="0" t="n">
        <f aca="false">COUPDAYSNC(DATE(2024,2,15),DATE(2024,2,29),1,0)</f>
        <v>15</v>
      </c>
      <c r="B5954" s="0" t="s">
        <v>5933</v>
      </c>
    </row>
    <row r="5955" customFormat="false" ht="15" hidden="false" customHeight="false" outlineLevel="0" collapsed="false">
      <c r="A5955" s="0" t="n">
        <f aca="false">COUPPCD(DATE(2024,2,15),DATE(2024,2,29),1,1)</f>
        <v>44985</v>
      </c>
      <c r="B5955" s="0" t="s">
        <v>5934</v>
      </c>
    </row>
    <row r="5956" customFormat="false" ht="15" hidden="false" customHeight="false" outlineLevel="0" collapsed="false">
      <c r="A5956" s="0" t="n">
        <f aca="false">COUPNCD(DATE(2024,2,15),DATE(2024,2,29),1,1)</f>
        <v>45351</v>
      </c>
      <c r="B5956" s="0" t="s">
        <v>5935</v>
      </c>
    </row>
    <row r="5957" customFormat="false" ht="15" hidden="false" customHeight="false" outlineLevel="0" collapsed="false">
      <c r="A5957" s="0" t="n">
        <f aca="false">COUPNUM(DATE(2024,2,15),DATE(2024,2,29),1,1)</f>
        <v>1</v>
      </c>
      <c r="B5957" s="0" t="s">
        <v>5936</v>
      </c>
    </row>
    <row r="5958" customFormat="false" ht="15" hidden="false" customHeight="false" outlineLevel="0" collapsed="false">
      <c r="A5958" s="0" t="n">
        <f aca="false">COUPDAYBS(DATE(2024,2,15),DATE(2024,2,29),1,1)</f>
        <v>352</v>
      </c>
      <c r="B5958" s="0" t="s">
        <v>5937</v>
      </c>
    </row>
    <row r="5959" customFormat="false" ht="15" hidden="false" customHeight="false" outlineLevel="0" collapsed="false">
      <c r="A5959" s="0" t="n">
        <f aca="false">COUPDAYS(DATE(2024,2,15),DATE(2024,2,29),1,1)</f>
        <v>366</v>
      </c>
      <c r="B5959" s="0" t="s">
        <v>5938</v>
      </c>
    </row>
    <row r="5960" customFormat="false" ht="15" hidden="false" customHeight="false" outlineLevel="0" collapsed="false">
      <c r="A5960" s="0" t="n">
        <f aca="false">COUPDAYSNC(DATE(2024,2,15),DATE(2024,2,29),1,1)</f>
        <v>14</v>
      </c>
      <c r="B5960" s="0" t="s">
        <v>5939</v>
      </c>
    </row>
    <row r="5961" customFormat="false" ht="15" hidden="false" customHeight="false" outlineLevel="0" collapsed="false">
      <c r="A5961" s="0" t="n">
        <f aca="false">COUPPCD(DATE(2024,2,15),DATE(2024,2,29),1,2)</f>
        <v>44985</v>
      </c>
      <c r="B5961" s="0" t="s">
        <v>5940</v>
      </c>
    </row>
    <row r="5962" customFormat="false" ht="15" hidden="false" customHeight="false" outlineLevel="0" collapsed="false">
      <c r="A5962" s="0" t="n">
        <f aca="false">COUPNCD(DATE(2024,2,15),DATE(2024,2,29),1,2)</f>
        <v>45351</v>
      </c>
      <c r="B5962" s="0" t="s">
        <v>5941</v>
      </c>
    </row>
    <row r="5963" customFormat="false" ht="15" hidden="false" customHeight="false" outlineLevel="0" collapsed="false">
      <c r="A5963" s="0" t="n">
        <f aca="false">COUPNUM(DATE(2024,2,15),DATE(2024,2,29),1,2)</f>
        <v>1</v>
      </c>
      <c r="B5963" s="0" t="s">
        <v>5942</v>
      </c>
    </row>
    <row r="5964" customFormat="false" ht="15" hidden="false" customHeight="false" outlineLevel="0" collapsed="false">
      <c r="A5964" s="0" t="n">
        <f aca="false">COUPDAYBS(DATE(2024,2,15),DATE(2024,2,29),1,2)</f>
        <v>352</v>
      </c>
      <c r="B5964" s="0" t="s">
        <v>5943</v>
      </c>
    </row>
    <row r="5965" customFormat="false" ht="15" hidden="false" customHeight="false" outlineLevel="0" collapsed="false">
      <c r="A5965" s="0" t="n">
        <f aca="false">COUPDAYS(DATE(2024,2,15),DATE(2024,2,29),1,2)</f>
        <v>360</v>
      </c>
      <c r="B5965" s="0" t="s">
        <v>5944</v>
      </c>
    </row>
    <row r="5966" customFormat="false" ht="15" hidden="false" customHeight="false" outlineLevel="0" collapsed="false">
      <c r="A5966" s="0" t="n">
        <f aca="false">COUPDAYSNC(DATE(2024,2,15),DATE(2024,2,29),1,2)</f>
        <v>14</v>
      </c>
      <c r="B5966" s="0" t="s">
        <v>5945</v>
      </c>
    </row>
    <row r="5967" customFormat="false" ht="15" hidden="false" customHeight="false" outlineLevel="0" collapsed="false">
      <c r="A5967" s="0" t="n">
        <f aca="false">COUPPCD(DATE(2024,2,15),DATE(2024,2,29),1,3)</f>
        <v>44985</v>
      </c>
      <c r="B5967" s="0" t="s">
        <v>5946</v>
      </c>
    </row>
    <row r="5968" customFormat="false" ht="15" hidden="false" customHeight="false" outlineLevel="0" collapsed="false">
      <c r="A5968" s="0" t="n">
        <f aca="false">COUPNCD(DATE(2024,2,15),DATE(2024,2,29),1,3)</f>
        <v>45351</v>
      </c>
      <c r="B5968" s="0" t="s">
        <v>5947</v>
      </c>
    </row>
    <row r="5969" customFormat="false" ht="15" hidden="false" customHeight="false" outlineLevel="0" collapsed="false">
      <c r="A5969" s="0" t="n">
        <f aca="false">COUPNUM(DATE(2024,2,15),DATE(2024,2,29),1,3)</f>
        <v>1</v>
      </c>
      <c r="B5969" s="0" t="s">
        <v>5948</v>
      </c>
    </row>
    <row r="5970" customFormat="false" ht="15" hidden="false" customHeight="false" outlineLevel="0" collapsed="false">
      <c r="A5970" s="0" t="n">
        <f aca="false">COUPDAYBS(DATE(2024,2,15),DATE(2024,2,29),1,3)</f>
        <v>352</v>
      </c>
      <c r="B5970" s="0" t="s">
        <v>5949</v>
      </c>
    </row>
    <row r="5971" customFormat="false" ht="15" hidden="false" customHeight="false" outlineLevel="0" collapsed="false">
      <c r="A5971" s="0" t="n">
        <f aca="false">COUPDAYS(DATE(2024,2,15),DATE(2024,2,29),1,3)</f>
        <v>365</v>
      </c>
      <c r="B5971" s="0" t="s">
        <v>5950</v>
      </c>
    </row>
    <row r="5972" customFormat="false" ht="15" hidden="false" customHeight="false" outlineLevel="0" collapsed="false">
      <c r="A5972" s="0" t="n">
        <f aca="false">COUPDAYSNC(DATE(2024,2,15),DATE(2024,2,29),1,3)</f>
        <v>14</v>
      </c>
      <c r="B5972" s="0" t="s">
        <v>5951</v>
      </c>
    </row>
    <row r="5973" customFormat="false" ht="15" hidden="false" customHeight="false" outlineLevel="0" collapsed="false">
      <c r="A5973" s="0" t="n">
        <f aca="false">COUPPCD(DATE(2024,2,15),DATE(2024,2,29),1,4)</f>
        <v>44985</v>
      </c>
      <c r="B5973" s="0" t="s">
        <v>5952</v>
      </c>
    </row>
    <row r="5974" customFormat="false" ht="15" hidden="false" customHeight="false" outlineLevel="0" collapsed="false">
      <c r="A5974" s="0" t="n">
        <f aca="false">COUPNCD(DATE(2024,2,15),DATE(2024,2,29),1,4)</f>
        <v>45351</v>
      </c>
      <c r="B5974" s="0" t="s">
        <v>5953</v>
      </c>
    </row>
    <row r="5975" customFormat="false" ht="15" hidden="false" customHeight="false" outlineLevel="0" collapsed="false">
      <c r="A5975" s="0" t="n">
        <f aca="false">COUPNUM(DATE(2024,2,15),DATE(2024,2,29),1,4)</f>
        <v>1</v>
      </c>
      <c r="B5975" s="0" t="s">
        <v>5954</v>
      </c>
    </row>
    <row r="5976" customFormat="false" ht="15" hidden="false" customHeight="false" outlineLevel="0" collapsed="false">
      <c r="A5976" s="0" t="n">
        <f aca="false">COUPDAYBS(DATE(2024,2,15),DATE(2024,2,29),1,4)</f>
        <v>347</v>
      </c>
      <c r="B5976" s="0" t="s">
        <v>5955</v>
      </c>
    </row>
    <row r="5977" customFormat="false" ht="15" hidden="false" customHeight="false" outlineLevel="0" collapsed="false">
      <c r="A5977" s="0" t="n">
        <f aca="false">COUPDAYS(DATE(2024,2,15),DATE(2024,2,29),1,4)</f>
        <v>360</v>
      </c>
      <c r="B5977" s="0" t="s">
        <v>5956</v>
      </c>
    </row>
    <row r="5978" customFormat="false" ht="15" hidden="false" customHeight="false" outlineLevel="0" collapsed="false">
      <c r="A5978" s="0" t="n">
        <f aca="false">COUPDAYSNC(DATE(2024,2,15),DATE(2024,2,29),1,4)</f>
        <v>13</v>
      </c>
      <c r="B5978" s="0" t="s">
        <v>5957</v>
      </c>
    </row>
    <row r="5979" customFormat="false" ht="15" hidden="false" customHeight="false" outlineLevel="0" collapsed="false">
      <c r="A5979" s="0" t="n">
        <f aca="false">COUPPCD(DATE(2024,2,15),DATE(2024,2,29),2,0)</f>
        <v>45169</v>
      </c>
      <c r="B5979" s="0" t="s">
        <v>5958</v>
      </c>
    </row>
    <row r="5980" customFormat="false" ht="15" hidden="false" customHeight="false" outlineLevel="0" collapsed="false">
      <c r="A5980" s="0" t="n">
        <f aca="false">COUPNCD(DATE(2024,2,15),DATE(2024,2,29),2,0)</f>
        <v>45351</v>
      </c>
      <c r="B5980" s="0" t="s">
        <v>5959</v>
      </c>
    </row>
    <row r="5981" customFormat="false" ht="15" hidden="false" customHeight="false" outlineLevel="0" collapsed="false">
      <c r="A5981" s="0" t="n">
        <f aca="false">COUPNUM(DATE(2024,2,15),DATE(2024,2,29),2,0)</f>
        <v>1</v>
      </c>
      <c r="B5981" s="0" t="s">
        <v>5960</v>
      </c>
    </row>
    <row r="5982" customFormat="false" ht="15" hidden="false" customHeight="false" outlineLevel="0" collapsed="false">
      <c r="A5982" s="0" t="n">
        <f aca="false">COUPDAYBS(DATE(2024,2,15),DATE(2024,2,29),2,0)</f>
        <v>165</v>
      </c>
      <c r="B5982" s="0" t="s">
        <v>5961</v>
      </c>
    </row>
    <row r="5983" customFormat="false" ht="15" hidden="false" customHeight="false" outlineLevel="0" collapsed="false">
      <c r="A5983" s="0" t="n">
        <f aca="false">COUPDAYS(DATE(2024,2,15),DATE(2024,2,29),2,0)</f>
        <v>180</v>
      </c>
      <c r="B5983" s="0" t="s">
        <v>5962</v>
      </c>
    </row>
    <row r="5984" customFormat="false" ht="15" hidden="false" customHeight="false" outlineLevel="0" collapsed="false">
      <c r="A5984" s="0" t="n">
        <f aca="false">COUPDAYSNC(DATE(2024,2,15),DATE(2024,2,29),2,0)</f>
        <v>15</v>
      </c>
      <c r="B5984" s="0" t="s">
        <v>5963</v>
      </c>
    </row>
    <row r="5985" customFormat="false" ht="15" hidden="false" customHeight="false" outlineLevel="0" collapsed="false">
      <c r="A5985" s="0" t="n">
        <f aca="false">COUPPCD(DATE(2024,2,15),DATE(2024,2,29),2,1)</f>
        <v>45169</v>
      </c>
      <c r="B5985" s="0" t="s">
        <v>5964</v>
      </c>
    </row>
    <row r="5986" customFormat="false" ht="15" hidden="false" customHeight="false" outlineLevel="0" collapsed="false">
      <c r="A5986" s="0" t="n">
        <f aca="false">COUPNCD(DATE(2024,2,15),DATE(2024,2,29),2,1)</f>
        <v>45351</v>
      </c>
      <c r="B5986" s="0" t="s">
        <v>5965</v>
      </c>
    </row>
    <row r="5987" customFormat="false" ht="15" hidden="false" customHeight="false" outlineLevel="0" collapsed="false">
      <c r="A5987" s="0" t="n">
        <f aca="false">COUPNUM(DATE(2024,2,15),DATE(2024,2,29),2,1)</f>
        <v>1</v>
      </c>
      <c r="B5987" s="0" t="s">
        <v>5966</v>
      </c>
    </row>
    <row r="5988" customFormat="false" ht="15" hidden="false" customHeight="false" outlineLevel="0" collapsed="false">
      <c r="A5988" s="0" t="n">
        <f aca="false">COUPDAYBS(DATE(2024,2,15),DATE(2024,2,29),2,1)</f>
        <v>168</v>
      </c>
      <c r="B5988" s="0" t="s">
        <v>5967</v>
      </c>
    </row>
    <row r="5989" customFormat="false" ht="15" hidden="false" customHeight="false" outlineLevel="0" collapsed="false">
      <c r="A5989" s="0" t="n">
        <f aca="false">COUPDAYS(DATE(2024,2,15),DATE(2024,2,29),2,1)</f>
        <v>182</v>
      </c>
      <c r="B5989" s="0" t="s">
        <v>5968</v>
      </c>
    </row>
    <row r="5990" customFormat="false" ht="15" hidden="false" customHeight="false" outlineLevel="0" collapsed="false">
      <c r="A5990" s="0" t="n">
        <f aca="false">COUPDAYSNC(DATE(2024,2,15),DATE(2024,2,29),2,1)</f>
        <v>14</v>
      </c>
      <c r="B5990" s="0" t="s">
        <v>5969</v>
      </c>
    </row>
    <row r="5991" customFormat="false" ht="15" hidden="false" customHeight="false" outlineLevel="0" collapsed="false">
      <c r="A5991" s="0" t="n">
        <f aca="false">COUPPCD(DATE(2024,2,15),DATE(2024,2,29),2,2)</f>
        <v>45169</v>
      </c>
      <c r="B5991" s="0" t="s">
        <v>5970</v>
      </c>
    </row>
    <row r="5992" customFormat="false" ht="15" hidden="false" customHeight="false" outlineLevel="0" collapsed="false">
      <c r="A5992" s="0" t="n">
        <f aca="false">COUPNCD(DATE(2024,2,15),DATE(2024,2,29),2,2)</f>
        <v>45351</v>
      </c>
      <c r="B5992" s="0" t="s">
        <v>5971</v>
      </c>
    </row>
    <row r="5993" customFormat="false" ht="15" hidden="false" customHeight="false" outlineLevel="0" collapsed="false">
      <c r="A5993" s="0" t="n">
        <f aca="false">COUPNUM(DATE(2024,2,15),DATE(2024,2,29),2,2)</f>
        <v>1</v>
      </c>
      <c r="B5993" s="0" t="s">
        <v>5972</v>
      </c>
    </row>
    <row r="5994" customFormat="false" ht="15" hidden="false" customHeight="false" outlineLevel="0" collapsed="false">
      <c r="A5994" s="0" t="n">
        <f aca="false">COUPDAYBS(DATE(2024,2,15),DATE(2024,2,29),2,2)</f>
        <v>168</v>
      </c>
      <c r="B5994" s="0" t="s">
        <v>5973</v>
      </c>
    </row>
    <row r="5995" customFormat="false" ht="15" hidden="false" customHeight="false" outlineLevel="0" collapsed="false">
      <c r="A5995" s="0" t="n">
        <f aca="false">COUPDAYS(DATE(2024,2,15),DATE(2024,2,29),2,2)</f>
        <v>180</v>
      </c>
      <c r="B5995" s="0" t="s">
        <v>5974</v>
      </c>
    </row>
    <row r="5996" customFormat="false" ht="15" hidden="false" customHeight="false" outlineLevel="0" collapsed="false">
      <c r="A5996" s="0" t="n">
        <f aca="false">COUPDAYSNC(DATE(2024,2,15),DATE(2024,2,29),2,2)</f>
        <v>14</v>
      </c>
      <c r="B5996" s="0" t="s">
        <v>5975</v>
      </c>
    </row>
    <row r="5997" customFormat="false" ht="15" hidden="false" customHeight="false" outlineLevel="0" collapsed="false">
      <c r="A5997" s="0" t="n">
        <f aca="false">COUPPCD(DATE(2024,2,15),DATE(2024,2,29),2,3)</f>
        <v>45169</v>
      </c>
      <c r="B5997" s="0" t="s">
        <v>5976</v>
      </c>
    </row>
    <row r="5998" customFormat="false" ht="15" hidden="false" customHeight="false" outlineLevel="0" collapsed="false">
      <c r="A5998" s="0" t="n">
        <f aca="false">COUPNCD(DATE(2024,2,15),DATE(2024,2,29),2,3)</f>
        <v>45351</v>
      </c>
      <c r="B5998" s="0" t="s">
        <v>5977</v>
      </c>
    </row>
    <row r="5999" customFormat="false" ht="15" hidden="false" customHeight="false" outlineLevel="0" collapsed="false">
      <c r="A5999" s="0" t="n">
        <f aca="false">COUPNUM(DATE(2024,2,15),DATE(2024,2,29),2,3)</f>
        <v>1</v>
      </c>
      <c r="B5999" s="0" t="s">
        <v>5978</v>
      </c>
    </row>
    <row r="6000" customFormat="false" ht="15" hidden="false" customHeight="false" outlineLevel="0" collapsed="false">
      <c r="A6000" s="0" t="n">
        <f aca="false">COUPDAYBS(DATE(2024,2,15),DATE(2024,2,29),2,3)</f>
        <v>168</v>
      </c>
      <c r="B6000" s="0" t="s">
        <v>5979</v>
      </c>
    </row>
    <row r="6001" customFormat="false" ht="15" hidden="false" customHeight="false" outlineLevel="0" collapsed="false">
      <c r="A6001" s="0" t="n">
        <f aca="false">COUPDAYS(DATE(2024,2,15),DATE(2024,2,29),2,3)</f>
        <v>182.5</v>
      </c>
      <c r="B6001" s="0" t="s">
        <v>5980</v>
      </c>
    </row>
    <row r="6002" customFormat="false" ht="15" hidden="false" customHeight="false" outlineLevel="0" collapsed="false">
      <c r="A6002" s="0" t="n">
        <f aca="false">COUPDAYSNC(DATE(2024,2,15),DATE(2024,2,29),2,3)</f>
        <v>14</v>
      </c>
      <c r="B6002" s="0" t="s">
        <v>5981</v>
      </c>
    </row>
    <row r="6003" customFormat="false" ht="15" hidden="false" customHeight="false" outlineLevel="0" collapsed="false">
      <c r="A6003" s="0" t="n">
        <f aca="false">COUPPCD(DATE(2024,2,15),DATE(2024,2,29),2,4)</f>
        <v>45169</v>
      </c>
      <c r="B6003" s="0" t="s">
        <v>5982</v>
      </c>
    </row>
    <row r="6004" customFormat="false" ht="15" hidden="false" customHeight="false" outlineLevel="0" collapsed="false">
      <c r="A6004" s="0" t="n">
        <f aca="false">COUPNCD(DATE(2024,2,15),DATE(2024,2,29),2,4)</f>
        <v>45351</v>
      </c>
      <c r="B6004" s="0" t="s">
        <v>5983</v>
      </c>
    </row>
    <row r="6005" customFormat="false" ht="15" hidden="false" customHeight="false" outlineLevel="0" collapsed="false">
      <c r="A6005" s="0" t="n">
        <f aca="false">COUPNUM(DATE(2024,2,15),DATE(2024,2,29),2,4)</f>
        <v>1</v>
      </c>
      <c r="B6005" s="0" t="s">
        <v>5984</v>
      </c>
    </row>
    <row r="6006" customFormat="false" ht="15" hidden="false" customHeight="false" outlineLevel="0" collapsed="false">
      <c r="A6006" s="0" t="n">
        <f aca="false">COUPDAYBS(DATE(2024,2,15),DATE(2024,2,29),2,4)</f>
        <v>165</v>
      </c>
      <c r="B6006" s="0" t="s">
        <v>5985</v>
      </c>
    </row>
    <row r="6007" customFormat="false" ht="15" hidden="false" customHeight="false" outlineLevel="0" collapsed="false">
      <c r="A6007" s="0" t="n">
        <f aca="false">COUPDAYS(DATE(2024,2,15),DATE(2024,2,29),2,4)</f>
        <v>180</v>
      </c>
      <c r="B6007" s="0" t="s">
        <v>5986</v>
      </c>
    </row>
    <row r="6008" customFormat="false" ht="15" hidden="false" customHeight="false" outlineLevel="0" collapsed="false">
      <c r="A6008" s="0" t="n">
        <f aca="false">COUPDAYSNC(DATE(2024,2,15),DATE(2024,2,29),2,4)</f>
        <v>15</v>
      </c>
      <c r="B6008" s="0" t="s">
        <v>5987</v>
      </c>
    </row>
    <row r="6009" customFormat="false" ht="15" hidden="false" customHeight="false" outlineLevel="0" collapsed="false">
      <c r="A6009" s="0" t="n">
        <f aca="false">COUPPCD(DATE(2024,2,15),DATE(2024,2,29),4,0)</f>
        <v>45260</v>
      </c>
      <c r="B6009" s="0" t="s">
        <v>5988</v>
      </c>
    </row>
    <row r="6010" customFormat="false" ht="15" hidden="false" customHeight="false" outlineLevel="0" collapsed="false">
      <c r="A6010" s="0" t="n">
        <f aca="false">COUPNCD(DATE(2024,2,15),DATE(2024,2,29),4,0)</f>
        <v>45351</v>
      </c>
      <c r="B6010" s="0" t="s">
        <v>5989</v>
      </c>
    </row>
    <row r="6011" customFormat="false" ht="15" hidden="false" customHeight="false" outlineLevel="0" collapsed="false">
      <c r="A6011" s="0" t="n">
        <f aca="false">COUPNUM(DATE(2024,2,15),DATE(2024,2,29),4,0)</f>
        <v>1</v>
      </c>
      <c r="B6011" s="0" t="s">
        <v>5990</v>
      </c>
    </row>
    <row r="6012" customFormat="false" ht="15" hidden="false" customHeight="false" outlineLevel="0" collapsed="false">
      <c r="A6012" s="0" t="n">
        <f aca="false">COUPDAYBS(DATE(2024,2,15),DATE(2024,2,29),4,0)</f>
        <v>75</v>
      </c>
      <c r="B6012" s="0" t="s">
        <v>5991</v>
      </c>
    </row>
    <row r="6013" customFormat="false" ht="15" hidden="false" customHeight="false" outlineLevel="0" collapsed="false">
      <c r="A6013" s="0" t="n">
        <f aca="false">COUPDAYS(DATE(2024,2,15),DATE(2024,2,29),4,0)</f>
        <v>90</v>
      </c>
      <c r="B6013" s="0" t="s">
        <v>5992</v>
      </c>
    </row>
    <row r="6014" customFormat="false" ht="15" hidden="false" customHeight="false" outlineLevel="0" collapsed="false">
      <c r="A6014" s="0" t="n">
        <f aca="false">COUPDAYSNC(DATE(2024,2,15),DATE(2024,2,29),4,0)</f>
        <v>15</v>
      </c>
      <c r="B6014" s="0" t="s">
        <v>5993</v>
      </c>
    </row>
    <row r="6015" customFormat="false" ht="15" hidden="false" customHeight="false" outlineLevel="0" collapsed="false">
      <c r="A6015" s="0" t="n">
        <f aca="false">COUPPCD(DATE(2024,2,15),DATE(2024,2,29),4,1)</f>
        <v>45260</v>
      </c>
      <c r="B6015" s="0" t="s">
        <v>5994</v>
      </c>
    </row>
    <row r="6016" customFormat="false" ht="15" hidden="false" customHeight="false" outlineLevel="0" collapsed="false">
      <c r="A6016" s="0" t="n">
        <f aca="false">COUPNCD(DATE(2024,2,15),DATE(2024,2,29),4,1)</f>
        <v>45351</v>
      </c>
      <c r="B6016" s="0" t="s">
        <v>5995</v>
      </c>
    </row>
    <row r="6017" customFormat="false" ht="15" hidden="false" customHeight="false" outlineLevel="0" collapsed="false">
      <c r="A6017" s="0" t="n">
        <f aca="false">COUPNUM(DATE(2024,2,15),DATE(2024,2,29),4,1)</f>
        <v>1</v>
      </c>
      <c r="B6017" s="0" t="s">
        <v>5996</v>
      </c>
    </row>
    <row r="6018" customFormat="false" ht="15" hidden="false" customHeight="false" outlineLevel="0" collapsed="false">
      <c r="A6018" s="0" t="n">
        <f aca="false">COUPDAYBS(DATE(2024,2,15),DATE(2024,2,29),4,1)</f>
        <v>77</v>
      </c>
      <c r="B6018" s="0" t="s">
        <v>5997</v>
      </c>
    </row>
    <row r="6019" customFormat="false" ht="15" hidden="false" customHeight="false" outlineLevel="0" collapsed="false">
      <c r="A6019" s="0" t="n">
        <f aca="false">COUPDAYS(DATE(2024,2,15),DATE(2024,2,29),4,1)</f>
        <v>91</v>
      </c>
      <c r="B6019" s="0" t="s">
        <v>5998</v>
      </c>
    </row>
    <row r="6020" customFormat="false" ht="15" hidden="false" customHeight="false" outlineLevel="0" collapsed="false">
      <c r="A6020" s="0" t="n">
        <f aca="false">COUPDAYSNC(DATE(2024,2,15),DATE(2024,2,29),4,1)</f>
        <v>14</v>
      </c>
      <c r="B6020" s="0" t="s">
        <v>5999</v>
      </c>
    </row>
    <row r="6021" customFormat="false" ht="15" hidden="false" customHeight="false" outlineLevel="0" collapsed="false">
      <c r="A6021" s="0" t="n">
        <f aca="false">COUPPCD(DATE(2024,2,15),DATE(2024,2,29),4,2)</f>
        <v>45260</v>
      </c>
      <c r="B6021" s="0" t="s">
        <v>6000</v>
      </c>
    </row>
    <row r="6022" customFormat="false" ht="15" hidden="false" customHeight="false" outlineLevel="0" collapsed="false">
      <c r="A6022" s="0" t="n">
        <f aca="false">COUPNCD(DATE(2024,2,15),DATE(2024,2,29),4,2)</f>
        <v>45351</v>
      </c>
      <c r="B6022" s="0" t="s">
        <v>6001</v>
      </c>
    </row>
    <row r="6023" customFormat="false" ht="15" hidden="false" customHeight="false" outlineLevel="0" collapsed="false">
      <c r="A6023" s="0" t="n">
        <f aca="false">COUPNUM(DATE(2024,2,15),DATE(2024,2,29),4,2)</f>
        <v>1</v>
      </c>
      <c r="B6023" s="0" t="s">
        <v>6002</v>
      </c>
    </row>
    <row r="6024" customFormat="false" ht="15" hidden="false" customHeight="false" outlineLevel="0" collapsed="false">
      <c r="A6024" s="0" t="n">
        <f aca="false">COUPDAYBS(DATE(2024,2,15),DATE(2024,2,29),4,2)</f>
        <v>77</v>
      </c>
      <c r="B6024" s="0" t="s">
        <v>6003</v>
      </c>
    </row>
    <row r="6025" customFormat="false" ht="15" hidden="false" customHeight="false" outlineLevel="0" collapsed="false">
      <c r="A6025" s="0" t="n">
        <f aca="false">COUPDAYS(DATE(2024,2,15),DATE(2024,2,29),4,2)</f>
        <v>90</v>
      </c>
      <c r="B6025" s="0" t="s">
        <v>6004</v>
      </c>
    </row>
    <row r="6026" customFormat="false" ht="15" hidden="false" customHeight="false" outlineLevel="0" collapsed="false">
      <c r="A6026" s="0" t="n">
        <f aca="false">COUPDAYSNC(DATE(2024,2,15),DATE(2024,2,29),4,2)</f>
        <v>14</v>
      </c>
      <c r="B6026" s="0" t="s">
        <v>6005</v>
      </c>
    </row>
    <row r="6027" customFormat="false" ht="15" hidden="false" customHeight="false" outlineLevel="0" collapsed="false">
      <c r="A6027" s="0" t="n">
        <f aca="false">COUPPCD(DATE(2024,2,15),DATE(2024,2,29),4,3)</f>
        <v>45260</v>
      </c>
      <c r="B6027" s="0" t="s">
        <v>6006</v>
      </c>
    </row>
    <row r="6028" customFormat="false" ht="15" hidden="false" customHeight="false" outlineLevel="0" collapsed="false">
      <c r="A6028" s="0" t="n">
        <f aca="false">COUPNCD(DATE(2024,2,15),DATE(2024,2,29),4,3)</f>
        <v>45351</v>
      </c>
      <c r="B6028" s="0" t="s">
        <v>6007</v>
      </c>
    </row>
    <row r="6029" customFormat="false" ht="15" hidden="false" customHeight="false" outlineLevel="0" collapsed="false">
      <c r="A6029" s="0" t="n">
        <f aca="false">COUPNUM(DATE(2024,2,15),DATE(2024,2,29),4,3)</f>
        <v>1</v>
      </c>
      <c r="B6029" s="0" t="s">
        <v>6008</v>
      </c>
    </row>
    <row r="6030" customFormat="false" ht="15" hidden="false" customHeight="false" outlineLevel="0" collapsed="false">
      <c r="A6030" s="0" t="n">
        <f aca="false">COUPDAYBS(DATE(2024,2,15),DATE(2024,2,29),4,3)</f>
        <v>77</v>
      </c>
      <c r="B6030" s="0" t="s">
        <v>6009</v>
      </c>
    </row>
    <row r="6031" customFormat="false" ht="15" hidden="false" customHeight="false" outlineLevel="0" collapsed="false">
      <c r="A6031" s="0" t="n">
        <f aca="false">COUPDAYS(DATE(2024,2,15),DATE(2024,2,29),4,3)</f>
        <v>91.25</v>
      </c>
      <c r="B6031" s="0" t="s">
        <v>6010</v>
      </c>
    </row>
    <row r="6032" customFormat="false" ht="15" hidden="false" customHeight="false" outlineLevel="0" collapsed="false">
      <c r="A6032" s="0" t="n">
        <f aca="false">COUPDAYSNC(DATE(2024,2,15),DATE(2024,2,29),4,3)</f>
        <v>14</v>
      </c>
      <c r="B6032" s="0" t="s">
        <v>6011</v>
      </c>
    </row>
    <row r="6033" customFormat="false" ht="15" hidden="false" customHeight="false" outlineLevel="0" collapsed="false">
      <c r="A6033" s="0" t="n">
        <f aca="false">COUPPCD(DATE(2024,2,15),DATE(2024,2,29),4,4)</f>
        <v>45260</v>
      </c>
      <c r="B6033" s="0" t="s">
        <v>6012</v>
      </c>
    </row>
    <row r="6034" customFormat="false" ht="15" hidden="false" customHeight="false" outlineLevel="0" collapsed="false">
      <c r="A6034" s="0" t="n">
        <f aca="false">COUPNCD(DATE(2024,2,15),DATE(2024,2,29),4,4)</f>
        <v>45351</v>
      </c>
      <c r="B6034" s="0" t="s">
        <v>6013</v>
      </c>
    </row>
    <row r="6035" customFormat="false" ht="15" hidden="false" customHeight="false" outlineLevel="0" collapsed="false">
      <c r="A6035" s="0" t="n">
        <f aca="false">COUPNUM(DATE(2024,2,15),DATE(2024,2,29),4,4)</f>
        <v>1</v>
      </c>
      <c r="B6035" s="0" t="s">
        <v>6014</v>
      </c>
    </row>
    <row r="6036" customFormat="false" ht="15" hidden="false" customHeight="false" outlineLevel="0" collapsed="false">
      <c r="A6036" s="0" t="n">
        <f aca="false">COUPDAYBS(DATE(2024,2,15),DATE(2024,2,29),4,4)</f>
        <v>75</v>
      </c>
      <c r="B6036" s="0" t="s">
        <v>6015</v>
      </c>
    </row>
    <row r="6037" customFormat="false" ht="15" hidden="false" customHeight="false" outlineLevel="0" collapsed="false">
      <c r="A6037" s="0" t="n">
        <f aca="false">COUPDAYS(DATE(2024,2,15),DATE(2024,2,29),4,4)</f>
        <v>90</v>
      </c>
      <c r="B6037" s="0" t="s">
        <v>6016</v>
      </c>
    </row>
    <row r="6038" customFormat="false" ht="15" hidden="false" customHeight="false" outlineLevel="0" collapsed="false">
      <c r="A6038" s="0" t="n">
        <f aca="false">COUPDAYSNC(DATE(2024,2,15),DATE(2024,2,29),4,4)</f>
        <v>15</v>
      </c>
      <c r="B6038" s="0" t="s">
        <v>6017</v>
      </c>
    </row>
    <row r="6039" customFormat="false" ht="15" hidden="false" customHeight="false" outlineLevel="0" collapsed="false">
      <c r="A6039" s="0" t="n">
        <f aca="false">COUPNUM(DATE(2024,2,15),DATE(2024,2,29),2)</f>
        <v>1</v>
      </c>
      <c r="B6039" s="0" t="s">
        <v>6018</v>
      </c>
    </row>
    <row r="6040" customFormat="false" ht="15" hidden="false" customHeight="false" outlineLevel="0" collapsed="false">
      <c r="A6040" s="0" t="n">
        <f aca="false">COUPDAYS(DATE(2024,2,15),DATE(2024,2,29),2)</f>
        <v>180</v>
      </c>
      <c r="B6040" s="0" t="s">
        <v>6019</v>
      </c>
    </row>
    <row r="6041" customFormat="false" ht="15" hidden="false" customHeight="false" outlineLevel="0" collapsed="false">
      <c r="A6041" s="0" t="n">
        <f aca="false">COUPPCD(DATE(2025,1,31),DATE(2030,1,31),1,0)</f>
        <v>45688</v>
      </c>
      <c r="B6041" s="0" t="s">
        <v>6020</v>
      </c>
    </row>
    <row r="6042" customFormat="false" ht="15" hidden="false" customHeight="false" outlineLevel="0" collapsed="false">
      <c r="A6042" s="0" t="n">
        <f aca="false">COUPNCD(DATE(2025,1,31),DATE(2030,1,31),1,0)</f>
        <v>46053</v>
      </c>
      <c r="B6042" s="0" t="s">
        <v>6021</v>
      </c>
    </row>
    <row r="6043" customFormat="false" ht="15" hidden="false" customHeight="false" outlineLevel="0" collapsed="false">
      <c r="A6043" s="0" t="n">
        <f aca="false">COUPNUM(DATE(2025,1,31),DATE(2030,1,31),1,0)</f>
        <v>5</v>
      </c>
      <c r="B6043" s="0" t="s">
        <v>6022</v>
      </c>
    </row>
    <row r="6044" customFormat="false" ht="15" hidden="false" customHeight="false" outlineLevel="0" collapsed="false">
      <c r="A6044" s="0" t="n">
        <f aca="false">COUPDAYBS(DATE(2025,1,31),DATE(2030,1,31),1,0)</f>
        <v>0</v>
      </c>
      <c r="B6044" s="0" t="s">
        <v>6023</v>
      </c>
    </row>
    <row r="6045" customFormat="false" ht="15" hidden="false" customHeight="false" outlineLevel="0" collapsed="false">
      <c r="A6045" s="0" t="n">
        <f aca="false">COUPDAYS(DATE(2025,1,31),DATE(2030,1,31),1,0)</f>
        <v>360</v>
      </c>
      <c r="B6045" s="0" t="s">
        <v>6024</v>
      </c>
    </row>
    <row r="6046" customFormat="false" ht="15" hidden="false" customHeight="false" outlineLevel="0" collapsed="false">
      <c r="A6046" s="0" t="n">
        <f aca="false">COUPDAYSNC(DATE(2025,1,31),DATE(2030,1,31),1,0)</f>
        <v>360</v>
      </c>
      <c r="B6046" s="0" t="s">
        <v>6025</v>
      </c>
    </row>
    <row r="6047" customFormat="false" ht="15" hidden="false" customHeight="false" outlineLevel="0" collapsed="false">
      <c r="A6047" s="0" t="n">
        <f aca="false">COUPPCD(DATE(2025,1,31),DATE(2030,1,31),1,1)</f>
        <v>45688</v>
      </c>
      <c r="B6047" s="0" t="s">
        <v>6026</v>
      </c>
    </row>
    <row r="6048" customFormat="false" ht="15" hidden="false" customHeight="false" outlineLevel="0" collapsed="false">
      <c r="A6048" s="0" t="n">
        <f aca="false">COUPNCD(DATE(2025,1,31),DATE(2030,1,31),1,1)</f>
        <v>46053</v>
      </c>
      <c r="B6048" s="0" t="s">
        <v>6027</v>
      </c>
    </row>
    <row r="6049" customFormat="false" ht="15" hidden="false" customHeight="false" outlineLevel="0" collapsed="false">
      <c r="A6049" s="0" t="n">
        <f aca="false">COUPNUM(DATE(2025,1,31),DATE(2030,1,31),1,1)</f>
        <v>5</v>
      </c>
      <c r="B6049" s="0" t="s">
        <v>6028</v>
      </c>
    </row>
    <row r="6050" customFormat="false" ht="15" hidden="false" customHeight="false" outlineLevel="0" collapsed="false">
      <c r="A6050" s="0" t="n">
        <f aca="false">COUPDAYBS(DATE(2025,1,31),DATE(2030,1,31),1,1)</f>
        <v>0</v>
      </c>
      <c r="B6050" s="0" t="s">
        <v>6029</v>
      </c>
    </row>
    <row r="6051" customFormat="false" ht="15" hidden="false" customHeight="false" outlineLevel="0" collapsed="false">
      <c r="A6051" s="0" t="n">
        <f aca="false">COUPDAYS(DATE(2025,1,31),DATE(2030,1,31),1,1)</f>
        <v>365</v>
      </c>
      <c r="B6051" s="0" t="s">
        <v>6030</v>
      </c>
    </row>
    <row r="6052" customFormat="false" ht="15" hidden="false" customHeight="false" outlineLevel="0" collapsed="false">
      <c r="A6052" s="0" t="n">
        <f aca="false">COUPDAYSNC(DATE(2025,1,31),DATE(2030,1,31),1,1)</f>
        <v>365</v>
      </c>
      <c r="B6052" s="0" t="s">
        <v>6031</v>
      </c>
    </row>
    <row r="6053" customFormat="false" ht="15" hidden="false" customHeight="false" outlineLevel="0" collapsed="false">
      <c r="A6053" s="0" t="n">
        <f aca="false">COUPPCD(DATE(2025,1,31),DATE(2030,1,31),1,2)</f>
        <v>45688</v>
      </c>
      <c r="B6053" s="0" t="s">
        <v>6032</v>
      </c>
    </row>
    <row r="6054" customFormat="false" ht="15" hidden="false" customHeight="false" outlineLevel="0" collapsed="false">
      <c r="A6054" s="0" t="n">
        <f aca="false">COUPNCD(DATE(2025,1,31),DATE(2030,1,31),1,2)</f>
        <v>46053</v>
      </c>
      <c r="B6054" s="0" t="s">
        <v>6033</v>
      </c>
    </row>
    <row r="6055" customFormat="false" ht="15" hidden="false" customHeight="false" outlineLevel="0" collapsed="false">
      <c r="A6055" s="0" t="n">
        <f aca="false">COUPNUM(DATE(2025,1,31),DATE(2030,1,31),1,2)</f>
        <v>5</v>
      </c>
      <c r="B6055" s="0" t="s">
        <v>6034</v>
      </c>
    </row>
    <row r="6056" customFormat="false" ht="15" hidden="false" customHeight="false" outlineLevel="0" collapsed="false">
      <c r="A6056" s="0" t="n">
        <f aca="false">COUPDAYBS(DATE(2025,1,31),DATE(2030,1,31),1,2)</f>
        <v>0</v>
      </c>
      <c r="B6056" s="0" t="s">
        <v>6035</v>
      </c>
    </row>
    <row r="6057" customFormat="false" ht="15" hidden="false" customHeight="false" outlineLevel="0" collapsed="false">
      <c r="A6057" s="0" t="n">
        <f aca="false">COUPDAYS(DATE(2025,1,31),DATE(2030,1,31),1,2)</f>
        <v>360</v>
      </c>
      <c r="B6057" s="0" t="s">
        <v>6036</v>
      </c>
    </row>
    <row r="6058" customFormat="false" ht="15" hidden="false" customHeight="false" outlineLevel="0" collapsed="false">
      <c r="A6058" s="0" t="n">
        <f aca="false">COUPDAYSNC(DATE(2025,1,31),DATE(2030,1,31),1,2)</f>
        <v>365</v>
      </c>
      <c r="B6058" s="0" t="s">
        <v>6037</v>
      </c>
    </row>
    <row r="6059" customFormat="false" ht="15" hidden="false" customHeight="false" outlineLevel="0" collapsed="false">
      <c r="A6059" s="0" t="n">
        <f aca="false">COUPPCD(DATE(2025,1,31),DATE(2030,1,31),1,3)</f>
        <v>45688</v>
      </c>
      <c r="B6059" s="0" t="s">
        <v>6038</v>
      </c>
    </row>
    <row r="6060" customFormat="false" ht="15" hidden="false" customHeight="false" outlineLevel="0" collapsed="false">
      <c r="A6060" s="0" t="n">
        <f aca="false">COUPNCD(DATE(2025,1,31),DATE(2030,1,31),1,3)</f>
        <v>46053</v>
      </c>
      <c r="B6060" s="0" t="s">
        <v>6039</v>
      </c>
    </row>
    <row r="6061" customFormat="false" ht="15" hidden="false" customHeight="false" outlineLevel="0" collapsed="false">
      <c r="A6061" s="0" t="n">
        <f aca="false">COUPNUM(DATE(2025,1,31),DATE(2030,1,31),1,3)</f>
        <v>5</v>
      </c>
      <c r="B6061" s="0" t="s">
        <v>6040</v>
      </c>
    </row>
    <row r="6062" customFormat="false" ht="15" hidden="false" customHeight="false" outlineLevel="0" collapsed="false">
      <c r="A6062" s="0" t="n">
        <f aca="false">COUPDAYBS(DATE(2025,1,31),DATE(2030,1,31),1,3)</f>
        <v>0</v>
      </c>
      <c r="B6062" s="0" t="s">
        <v>6041</v>
      </c>
    </row>
    <row r="6063" customFormat="false" ht="15" hidden="false" customHeight="false" outlineLevel="0" collapsed="false">
      <c r="A6063" s="0" t="n">
        <f aca="false">COUPDAYS(DATE(2025,1,31),DATE(2030,1,31),1,3)</f>
        <v>365</v>
      </c>
      <c r="B6063" s="0" t="s">
        <v>6042</v>
      </c>
    </row>
    <row r="6064" customFormat="false" ht="15" hidden="false" customHeight="false" outlineLevel="0" collapsed="false">
      <c r="A6064" s="0" t="n">
        <f aca="false">COUPDAYSNC(DATE(2025,1,31),DATE(2030,1,31),1,3)</f>
        <v>365</v>
      </c>
      <c r="B6064" s="0" t="s">
        <v>6043</v>
      </c>
    </row>
    <row r="6065" customFormat="false" ht="15" hidden="false" customHeight="false" outlineLevel="0" collapsed="false">
      <c r="A6065" s="0" t="n">
        <f aca="false">COUPPCD(DATE(2025,1,31),DATE(2030,1,31),1,4)</f>
        <v>45688</v>
      </c>
      <c r="B6065" s="0" t="s">
        <v>6044</v>
      </c>
    </row>
    <row r="6066" customFormat="false" ht="15" hidden="false" customHeight="false" outlineLevel="0" collapsed="false">
      <c r="A6066" s="0" t="n">
        <f aca="false">COUPNCD(DATE(2025,1,31),DATE(2030,1,31),1,4)</f>
        <v>46053</v>
      </c>
      <c r="B6066" s="0" t="s">
        <v>6045</v>
      </c>
    </row>
    <row r="6067" customFormat="false" ht="15" hidden="false" customHeight="false" outlineLevel="0" collapsed="false">
      <c r="A6067" s="0" t="n">
        <f aca="false">COUPNUM(DATE(2025,1,31),DATE(2030,1,31),1,4)</f>
        <v>5</v>
      </c>
      <c r="B6067" s="0" t="s">
        <v>6046</v>
      </c>
    </row>
    <row r="6068" customFormat="false" ht="15" hidden="false" customHeight="false" outlineLevel="0" collapsed="false">
      <c r="A6068" s="0" t="n">
        <f aca="false">COUPDAYBS(DATE(2025,1,31),DATE(2030,1,31),1,4)</f>
        <v>0</v>
      </c>
      <c r="B6068" s="0" t="s">
        <v>6047</v>
      </c>
    </row>
    <row r="6069" customFormat="false" ht="15" hidden="false" customHeight="false" outlineLevel="0" collapsed="false">
      <c r="A6069" s="0" t="n">
        <f aca="false">COUPDAYS(DATE(2025,1,31),DATE(2030,1,31),1,4)</f>
        <v>360</v>
      </c>
      <c r="B6069" s="0" t="s">
        <v>6048</v>
      </c>
    </row>
    <row r="6070" customFormat="false" ht="15" hidden="false" customHeight="false" outlineLevel="0" collapsed="false">
      <c r="A6070" s="0" t="n">
        <f aca="false">COUPDAYSNC(DATE(2025,1,31),DATE(2030,1,31),1,4)</f>
        <v>360</v>
      </c>
      <c r="B6070" s="0" t="s">
        <v>6049</v>
      </c>
    </row>
    <row r="6071" customFormat="false" ht="15" hidden="false" customHeight="false" outlineLevel="0" collapsed="false">
      <c r="A6071" s="0" t="n">
        <f aca="false">COUPPCD(DATE(2025,1,31),DATE(2030,1,31),2,0)</f>
        <v>45688</v>
      </c>
      <c r="B6071" s="0" t="s">
        <v>6050</v>
      </c>
    </row>
    <row r="6072" customFormat="false" ht="15" hidden="false" customHeight="false" outlineLevel="0" collapsed="false">
      <c r="A6072" s="0" t="n">
        <f aca="false">COUPNCD(DATE(2025,1,31),DATE(2030,1,31),2,0)</f>
        <v>45869</v>
      </c>
      <c r="B6072" s="0" t="s">
        <v>6051</v>
      </c>
    </row>
    <row r="6073" customFormat="false" ht="15" hidden="false" customHeight="false" outlineLevel="0" collapsed="false">
      <c r="A6073" s="0" t="n">
        <f aca="false">COUPNUM(DATE(2025,1,31),DATE(2030,1,31),2,0)</f>
        <v>10</v>
      </c>
      <c r="B6073" s="0" t="s">
        <v>6052</v>
      </c>
    </row>
    <row r="6074" customFormat="false" ht="15" hidden="false" customHeight="false" outlineLevel="0" collapsed="false">
      <c r="A6074" s="0" t="n">
        <f aca="false">COUPDAYBS(DATE(2025,1,31),DATE(2030,1,31),2,0)</f>
        <v>0</v>
      </c>
      <c r="B6074" s="0" t="s">
        <v>6053</v>
      </c>
    </row>
    <row r="6075" customFormat="false" ht="15" hidden="false" customHeight="false" outlineLevel="0" collapsed="false">
      <c r="A6075" s="0" t="n">
        <f aca="false">COUPDAYS(DATE(2025,1,31),DATE(2030,1,31),2,0)</f>
        <v>180</v>
      </c>
      <c r="B6075" s="0" t="s">
        <v>6054</v>
      </c>
    </row>
    <row r="6076" customFormat="false" ht="15" hidden="false" customHeight="false" outlineLevel="0" collapsed="false">
      <c r="A6076" s="0" t="n">
        <f aca="false">COUPDAYSNC(DATE(2025,1,31),DATE(2030,1,31),2,0)</f>
        <v>180</v>
      </c>
      <c r="B6076" s="0" t="s">
        <v>6055</v>
      </c>
    </row>
    <row r="6077" customFormat="false" ht="15" hidden="false" customHeight="false" outlineLevel="0" collapsed="false">
      <c r="A6077" s="0" t="n">
        <f aca="false">COUPPCD(DATE(2025,1,31),DATE(2030,1,31),2,1)</f>
        <v>45688</v>
      </c>
      <c r="B6077" s="0" t="s">
        <v>6056</v>
      </c>
    </row>
    <row r="6078" customFormat="false" ht="15" hidden="false" customHeight="false" outlineLevel="0" collapsed="false">
      <c r="A6078" s="0" t="n">
        <f aca="false">COUPNCD(DATE(2025,1,31),DATE(2030,1,31),2,1)</f>
        <v>45869</v>
      </c>
      <c r="B6078" s="0" t="s">
        <v>6057</v>
      </c>
    </row>
    <row r="6079" customFormat="false" ht="15" hidden="false" customHeight="false" outlineLevel="0" collapsed="false">
      <c r="A6079" s="0" t="n">
        <f aca="false">COUPNUM(DATE(2025,1,31),DATE(2030,1,31),2,1)</f>
        <v>10</v>
      </c>
      <c r="B6079" s="0" t="s">
        <v>6058</v>
      </c>
    </row>
    <row r="6080" customFormat="false" ht="15" hidden="false" customHeight="false" outlineLevel="0" collapsed="false">
      <c r="A6080" s="0" t="n">
        <f aca="false">COUPDAYBS(DATE(2025,1,31),DATE(2030,1,31),2,1)</f>
        <v>0</v>
      </c>
      <c r="B6080" s="0" t="s">
        <v>6059</v>
      </c>
    </row>
    <row r="6081" customFormat="false" ht="15" hidden="false" customHeight="false" outlineLevel="0" collapsed="false">
      <c r="A6081" s="0" t="n">
        <f aca="false">COUPDAYS(DATE(2025,1,31),DATE(2030,1,31),2,1)</f>
        <v>181</v>
      </c>
      <c r="B6081" s="0" t="s">
        <v>6060</v>
      </c>
    </row>
    <row r="6082" customFormat="false" ht="15" hidden="false" customHeight="false" outlineLevel="0" collapsed="false">
      <c r="A6082" s="0" t="n">
        <f aca="false">COUPDAYSNC(DATE(2025,1,31),DATE(2030,1,31),2,1)</f>
        <v>181</v>
      </c>
      <c r="B6082" s="0" t="s">
        <v>6061</v>
      </c>
    </row>
    <row r="6083" customFormat="false" ht="15" hidden="false" customHeight="false" outlineLevel="0" collapsed="false">
      <c r="A6083" s="0" t="n">
        <f aca="false">COUPPCD(DATE(2025,1,31),DATE(2030,1,31),2,2)</f>
        <v>45688</v>
      </c>
      <c r="B6083" s="0" t="s">
        <v>6062</v>
      </c>
    </row>
    <row r="6084" customFormat="false" ht="15" hidden="false" customHeight="false" outlineLevel="0" collapsed="false">
      <c r="A6084" s="0" t="n">
        <f aca="false">COUPNCD(DATE(2025,1,31),DATE(2030,1,31),2,2)</f>
        <v>45869</v>
      </c>
      <c r="B6084" s="0" t="s">
        <v>6063</v>
      </c>
    </row>
    <row r="6085" customFormat="false" ht="15" hidden="false" customHeight="false" outlineLevel="0" collapsed="false">
      <c r="A6085" s="0" t="n">
        <f aca="false">COUPNUM(DATE(2025,1,31),DATE(2030,1,31),2,2)</f>
        <v>10</v>
      </c>
      <c r="B6085" s="0" t="s">
        <v>6064</v>
      </c>
    </row>
    <row r="6086" customFormat="false" ht="15" hidden="false" customHeight="false" outlineLevel="0" collapsed="false">
      <c r="A6086" s="0" t="n">
        <f aca="false">COUPDAYBS(DATE(2025,1,31),DATE(2030,1,31),2,2)</f>
        <v>0</v>
      </c>
      <c r="B6086" s="0" t="s">
        <v>6065</v>
      </c>
    </row>
    <row r="6087" customFormat="false" ht="15" hidden="false" customHeight="false" outlineLevel="0" collapsed="false">
      <c r="A6087" s="0" t="n">
        <f aca="false">COUPDAYS(DATE(2025,1,31),DATE(2030,1,31),2,2)</f>
        <v>180</v>
      </c>
      <c r="B6087" s="0" t="s">
        <v>6066</v>
      </c>
    </row>
    <row r="6088" customFormat="false" ht="15" hidden="false" customHeight="false" outlineLevel="0" collapsed="false">
      <c r="A6088" s="0" t="n">
        <f aca="false">COUPDAYSNC(DATE(2025,1,31),DATE(2030,1,31),2,2)</f>
        <v>181</v>
      </c>
      <c r="B6088" s="0" t="s">
        <v>6067</v>
      </c>
    </row>
    <row r="6089" customFormat="false" ht="15" hidden="false" customHeight="false" outlineLevel="0" collapsed="false">
      <c r="A6089" s="0" t="n">
        <f aca="false">COUPPCD(DATE(2025,1,31),DATE(2030,1,31),2,3)</f>
        <v>45688</v>
      </c>
      <c r="B6089" s="0" t="s">
        <v>6068</v>
      </c>
    </row>
    <row r="6090" customFormat="false" ht="15" hidden="false" customHeight="false" outlineLevel="0" collapsed="false">
      <c r="A6090" s="0" t="n">
        <f aca="false">COUPNCD(DATE(2025,1,31),DATE(2030,1,31),2,3)</f>
        <v>45869</v>
      </c>
      <c r="B6090" s="0" t="s">
        <v>6069</v>
      </c>
    </row>
    <row r="6091" customFormat="false" ht="15" hidden="false" customHeight="false" outlineLevel="0" collapsed="false">
      <c r="A6091" s="0" t="n">
        <f aca="false">COUPNUM(DATE(2025,1,31),DATE(2030,1,31),2,3)</f>
        <v>10</v>
      </c>
      <c r="B6091" s="0" t="s">
        <v>6070</v>
      </c>
    </row>
    <row r="6092" customFormat="false" ht="15" hidden="false" customHeight="false" outlineLevel="0" collapsed="false">
      <c r="A6092" s="0" t="n">
        <f aca="false">COUPDAYBS(DATE(2025,1,31),DATE(2030,1,31),2,3)</f>
        <v>0</v>
      </c>
      <c r="B6092" s="0" t="s">
        <v>6071</v>
      </c>
    </row>
    <row r="6093" customFormat="false" ht="15" hidden="false" customHeight="false" outlineLevel="0" collapsed="false">
      <c r="A6093" s="0" t="n">
        <f aca="false">COUPDAYS(DATE(2025,1,31),DATE(2030,1,31),2,3)</f>
        <v>182.5</v>
      </c>
      <c r="B6093" s="0" t="s">
        <v>6072</v>
      </c>
    </row>
    <row r="6094" customFormat="false" ht="15" hidden="false" customHeight="false" outlineLevel="0" collapsed="false">
      <c r="A6094" s="0" t="n">
        <f aca="false">COUPDAYSNC(DATE(2025,1,31),DATE(2030,1,31),2,3)</f>
        <v>181</v>
      </c>
      <c r="B6094" s="0" t="s">
        <v>6073</v>
      </c>
    </row>
    <row r="6095" customFormat="false" ht="15" hidden="false" customHeight="false" outlineLevel="0" collapsed="false">
      <c r="A6095" s="0" t="n">
        <f aca="false">COUPPCD(DATE(2025,1,31),DATE(2030,1,31),2,4)</f>
        <v>45688</v>
      </c>
      <c r="B6095" s="0" t="s">
        <v>6074</v>
      </c>
    </row>
    <row r="6096" customFormat="false" ht="15" hidden="false" customHeight="false" outlineLevel="0" collapsed="false">
      <c r="A6096" s="0" t="n">
        <f aca="false">COUPNCD(DATE(2025,1,31),DATE(2030,1,31),2,4)</f>
        <v>45869</v>
      </c>
      <c r="B6096" s="0" t="s">
        <v>6075</v>
      </c>
    </row>
    <row r="6097" customFormat="false" ht="15" hidden="false" customHeight="false" outlineLevel="0" collapsed="false">
      <c r="A6097" s="0" t="n">
        <f aca="false">COUPNUM(DATE(2025,1,31),DATE(2030,1,31),2,4)</f>
        <v>10</v>
      </c>
      <c r="B6097" s="0" t="s">
        <v>6076</v>
      </c>
    </row>
    <row r="6098" customFormat="false" ht="15" hidden="false" customHeight="false" outlineLevel="0" collapsed="false">
      <c r="A6098" s="0" t="n">
        <f aca="false">COUPDAYBS(DATE(2025,1,31),DATE(2030,1,31),2,4)</f>
        <v>0</v>
      </c>
      <c r="B6098" s="0" t="s">
        <v>6077</v>
      </c>
    </row>
    <row r="6099" customFormat="false" ht="15" hidden="false" customHeight="false" outlineLevel="0" collapsed="false">
      <c r="A6099" s="0" t="n">
        <f aca="false">COUPDAYS(DATE(2025,1,31),DATE(2030,1,31),2,4)</f>
        <v>180</v>
      </c>
      <c r="B6099" s="0" t="s">
        <v>6078</v>
      </c>
    </row>
    <row r="6100" customFormat="false" ht="15" hidden="false" customHeight="false" outlineLevel="0" collapsed="false">
      <c r="A6100" s="0" t="n">
        <f aca="false">COUPDAYSNC(DATE(2025,1,31),DATE(2030,1,31),2,4)</f>
        <v>180</v>
      </c>
      <c r="B6100" s="0" t="s">
        <v>6079</v>
      </c>
    </row>
    <row r="6101" customFormat="false" ht="15" hidden="false" customHeight="false" outlineLevel="0" collapsed="false">
      <c r="A6101" s="0" t="n">
        <f aca="false">COUPPCD(DATE(2025,1,31),DATE(2030,1,31),4,0)</f>
        <v>45688</v>
      </c>
      <c r="B6101" s="0" t="s">
        <v>6080</v>
      </c>
    </row>
    <row r="6102" customFormat="false" ht="15" hidden="false" customHeight="false" outlineLevel="0" collapsed="false">
      <c r="A6102" s="0" t="n">
        <f aca="false">COUPNCD(DATE(2025,1,31),DATE(2030,1,31),4,0)</f>
        <v>45777</v>
      </c>
      <c r="B6102" s="0" t="s">
        <v>6081</v>
      </c>
    </row>
    <row r="6103" customFormat="false" ht="15" hidden="false" customHeight="false" outlineLevel="0" collapsed="false">
      <c r="A6103" s="0" t="n">
        <f aca="false">COUPNUM(DATE(2025,1,31),DATE(2030,1,31),4,0)</f>
        <v>20</v>
      </c>
      <c r="B6103" s="0" t="s">
        <v>6082</v>
      </c>
    </row>
    <row r="6104" customFormat="false" ht="15" hidden="false" customHeight="false" outlineLevel="0" collapsed="false">
      <c r="A6104" s="0" t="n">
        <f aca="false">COUPDAYBS(DATE(2025,1,31),DATE(2030,1,31),4,0)</f>
        <v>0</v>
      </c>
      <c r="B6104" s="0" t="s">
        <v>6083</v>
      </c>
    </row>
    <row r="6105" customFormat="false" ht="15" hidden="false" customHeight="false" outlineLevel="0" collapsed="false">
      <c r="A6105" s="0" t="n">
        <f aca="false">COUPDAYS(DATE(2025,1,31),DATE(2030,1,31),4,0)</f>
        <v>90</v>
      </c>
      <c r="B6105" s="0" t="s">
        <v>6084</v>
      </c>
    </row>
    <row r="6106" customFormat="false" ht="15" hidden="false" customHeight="false" outlineLevel="0" collapsed="false">
      <c r="A6106" s="0" t="n">
        <f aca="false">COUPDAYSNC(DATE(2025,1,31),DATE(2030,1,31),4,0)</f>
        <v>90</v>
      </c>
      <c r="B6106" s="0" t="s">
        <v>6085</v>
      </c>
    </row>
    <row r="6107" customFormat="false" ht="15" hidden="false" customHeight="false" outlineLevel="0" collapsed="false">
      <c r="A6107" s="0" t="n">
        <f aca="false">COUPPCD(DATE(2025,1,31),DATE(2030,1,31),4,1)</f>
        <v>45688</v>
      </c>
      <c r="B6107" s="0" t="s">
        <v>6086</v>
      </c>
    </row>
    <row r="6108" customFormat="false" ht="15" hidden="false" customHeight="false" outlineLevel="0" collapsed="false">
      <c r="A6108" s="0" t="n">
        <f aca="false">COUPNCD(DATE(2025,1,31),DATE(2030,1,31),4,1)</f>
        <v>45777</v>
      </c>
      <c r="B6108" s="0" t="s">
        <v>6087</v>
      </c>
    </row>
    <row r="6109" customFormat="false" ht="15" hidden="false" customHeight="false" outlineLevel="0" collapsed="false">
      <c r="A6109" s="0" t="n">
        <f aca="false">COUPNUM(DATE(2025,1,31),DATE(2030,1,31),4,1)</f>
        <v>20</v>
      </c>
      <c r="B6109" s="0" t="s">
        <v>6088</v>
      </c>
    </row>
    <row r="6110" customFormat="false" ht="15" hidden="false" customHeight="false" outlineLevel="0" collapsed="false">
      <c r="A6110" s="0" t="n">
        <f aca="false">COUPDAYBS(DATE(2025,1,31),DATE(2030,1,31),4,1)</f>
        <v>0</v>
      </c>
      <c r="B6110" s="0" t="s">
        <v>6089</v>
      </c>
    </row>
    <row r="6111" customFormat="false" ht="15" hidden="false" customHeight="false" outlineLevel="0" collapsed="false">
      <c r="A6111" s="0" t="n">
        <f aca="false">COUPDAYS(DATE(2025,1,31),DATE(2030,1,31),4,1)</f>
        <v>89</v>
      </c>
      <c r="B6111" s="0" t="s">
        <v>6090</v>
      </c>
    </row>
    <row r="6112" customFormat="false" ht="15" hidden="false" customHeight="false" outlineLevel="0" collapsed="false">
      <c r="A6112" s="0" t="n">
        <f aca="false">COUPDAYSNC(DATE(2025,1,31),DATE(2030,1,31),4,1)</f>
        <v>89</v>
      </c>
      <c r="B6112" s="0" t="s">
        <v>6091</v>
      </c>
    </row>
    <row r="6113" customFormat="false" ht="15" hidden="false" customHeight="false" outlineLevel="0" collapsed="false">
      <c r="A6113" s="0" t="n">
        <f aca="false">COUPPCD(DATE(2025,1,31),DATE(2030,1,31),4,2)</f>
        <v>45688</v>
      </c>
      <c r="B6113" s="0" t="s">
        <v>6092</v>
      </c>
    </row>
    <row r="6114" customFormat="false" ht="15" hidden="false" customHeight="false" outlineLevel="0" collapsed="false">
      <c r="A6114" s="0" t="n">
        <f aca="false">COUPNCD(DATE(2025,1,31),DATE(2030,1,31),4,2)</f>
        <v>45777</v>
      </c>
      <c r="B6114" s="0" t="s">
        <v>6093</v>
      </c>
    </row>
    <row r="6115" customFormat="false" ht="15" hidden="false" customHeight="false" outlineLevel="0" collapsed="false">
      <c r="A6115" s="0" t="n">
        <f aca="false">COUPNUM(DATE(2025,1,31),DATE(2030,1,31),4,2)</f>
        <v>20</v>
      </c>
      <c r="B6115" s="0" t="s">
        <v>6094</v>
      </c>
    </row>
    <row r="6116" customFormat="false" ht="15" hidden="false" customHeight="false" outlineLevel="0" collapsed="false">
      <c r="A6116" s="0" t="n">
        <f aca="false">COUPDAYBS(DATE(2025,1,31),DATE(2030,1,31),4,2)</f>
        <v>0</v>
      </c>
      <c r="B6116" s="0" t="s">
        <v>6095</v>
      </c>
    </row>
    <row r="6117" customFormat="false" ht="15" hidden="false" customHeight="false" outlineLevel="0" collapsed="false">
      <c r="A6117" s="0" t="n">
        <f aca="false">COUPDAYS(DATE(2025,1,31),DATE(2030,1,31),4,2)</f>
        <v>90</v>
      </c>
      <c r="B6117" s="0" t="s">
        <v>6096</v>
      </c>
    </row>
    <row r="6118" customFormat="false" ht="15" hidden="false" customHeight="false" outlineLevel="0" collapsed="false">
      <c r="A6118" s="0" t="n">
        <f aca="false">COUPDAYSNC(DATE(2025,1,31),DATE(2030,1,31),4,2)</f>
        <v>89</v>
      </c>
      <c r="B6118" s="0" t="s">
        <v>6097</v>
      </c>
    </row>
    <row r="6119" customFormat="false" ht="15" hidden="false" customHeight="false" outlineLevel="0" collapsed="false">
      <c r="A6119" s="0" t="n">
        <f aca="false">COUPPCD(DATE(2025,1,31),DATE(2030,1,31),4,3)</f>
        <v>45688</v>
      </c>
      <c r="B6119" s="0" t="s">
        <v>6098</v>
      </c>
    </row>
    <row r="6120" customFormat="false" ht="15" hidden="false" customHeight="false" outlineLevel="0" collapsed="false">
      <c r="A6120" s="0" t="n">
        <f aca="false">COUPNCD(DATE(2025,1,31),DATE(2030,1,31),4,3)</f>
        <v>45777</v>
      </c>
      <c r="B6120" s="0" t="s">
        <v>6099</v>
      </c>
    </row>
    <row r="6121" customFormat="false" ht="15" hidden="false" customHeight="false" outlineLevel="0" collapsed="false">
      <c r="A6121" s="0" t="n">
        <f aca="false">COUPNUM(DATE(2025,1,31),DATE(2030,1,31),4,3)</f>
        <v>20</v>
      </c>
      <c r="B6121" s="0" t="s">
        <v>6100</v>
      </c>
    </row>
    <row r="6122" customFormat="false" ht="15" hidden="false" customHeight="false" outlineLevel="0" collapsed="false">
      <c r="A6122" s="0" t="n">
        <f aca="false">COUPDAYBS(DATE(2025,1,31),DATE(2030,1,31),4,3)</f>
        <v>0</v>
      </c>
      <c r="B6122" s="0" t="s">
        <v>6101</v>
      </c>
    </row>
    <row r="6123" customFormat="false" ht="15" hidden="false" customHeight="false" outlineLevel="0" collapsed="false">
      <c r="A6123" s="0" t="n">
        <f aca="false">COUPDAYS(DATE(2025,1,31),DATE(2030,1,31),4,3)</f>
        <v>91.25</v>
      </c>
      <c r="B6123" s="0" t="s">
        <v>6102</v>
      </c>
    </row>
    <row r="6124" customFormat="false" ht="15" hidden="false" customHeight="false" outlineLevel="0" collapsed="false">
      <c r="A6124" s="0" t="n">
        <f aca="false">COUPDAYSNC(DATE(2025,1,31),DATE(2030,1,31),4,3)</f>
        <v>89</v>
      </c>
      <c r="B6124" s="0" t="s">
        <v>6103</v>
      </c>
    </row>
    <row r="6125" customFormat="false" ht="15" hidden="false" customHeight="false" outlineLevel="0" collapsed="false">
      <c r="A6125" s="0" t="n">
        <f aca="false">COUPPCD(DATE(2025,1,31),DATE(2030,1,31),4,4)</f>
        <v>45688</v>
      </c>
      <c r="B6125" s="0" t="s">
        <v>6104</v>
      </c>
    </row>
    <row r="6126" customFormat="false" ht="15" hidden="false" customHeight="false" outlineLevel="0" collapsed="false">
      <c r="A6126" s="0" t="n">
        <f aca="false">COUPNCD(DATE(2025,1,31),DATE(2030,1,31),4,4)</f>
        <v>45777</v>
      </c>
      <c r="B6126" s="0" t="s">
        <v>6105</v>
      </c>
    </row>
    <row r="6127" customFormat="false" ht="15" hidden="false" customHeight="false" outlineLevel="0" collapsed="false">
      <c r="A6127" s="0" t="n">
        <f aca="false">COUPNUM(DATE(2025,1,31),DATE(2030,1,31),4,4)</f>
        <v>20</v>
      </c>
      <c r="B6127" s="0" t="s">
        <v>6106</v>
      </c>
    </row>
    <row r="6128" customFormat="false" ht="15" hidden="false" customHeight="false" outlineLevel="0" collapsed="false">
      <c r="A6128" s="0" t="n">
        <f aca="false">COUPDAYBS(DATE(2025,1,31),DATE(2030,1,31),4,4)</f>
        <v>0</v>
      </c>
      <c r="B6128" s="0" t="s">
        <v>6107</v>
      </c>
    </row>
    <row r="6129" customFormat="false" ht="15" hidden="false" customHeight="false" outlineLevel="0" collapsed="false">
      <c r="A6129" s="0" t="n">
        <f aca="false">COUPDAYS(DATE(2025,1,31),DATE(2030,1,31),4,4)</f>
        <v>90</v>
      </c>
      <c r="B6129" s="0" t="s">
        <v>6108</v>
      </c>
    </row>
    <row r="6130" customFormat="false" ht="15" hidden="false" customHeight="false" outlineLevel="0" collapsed="false">
      <c r="A6130" s="0" t="n">
        <f aca="false">COUPDAYSNC(DATE(2025,1,31),DATE(2030,1,31),4,4)</f>
        <v>90</v>
      </c>
      <c r="B6130" s="0" t="s">
        <v>6109</v>
      </c>
    </row>
    <row r="6131" customFormat="false" ht="15" hidden="false" customHeight="false" outlineLevel="0" collapsed="false">
      <c r="A6131" s="0" t="n">
        <f aca="false">COUPNUM(DATE(2025,1,31),DATE(2030,1,31),2)</f>
        <v>10</v>
      </c>
      <c r="B6131" s="0" t="s">
        <v>6110</v>
      </c>
    </row>
    <row r="6132" customFormat="false" ht="15" hidden="false" customHeight="false" outlineLevel="0" collapsed="false">
      <c r="A6132" s="0" t="n">
        <f aca="false">COUPDAYS(DATE(2025,1,31),DATE(2030,1,31),2)</f>
        <v>180</v>
      </c>
      <c r="B6132" s="0" t="s">
        <v>6111</v>
      </c>
    </row>
    <row r="6133" customFormat="false" ht="15" hidden="false" customHeight="false" outlineLevel="0" collapsed="false">
      <c r="A6133" s="0" t="e">
        <f aca="false">COUPPCD(DATE(2024,7,1),DATE(2024,7,1),1,0)</f>
        <v>#VALUE!</v>
      </c>
      <c r="B6133" s="0" t="s">
        <v>6112</v>
      </c>
    </row>
    <row r="6134" customFormat="false" ht="15" hidden="false" customHeight="false" outlineLevel="0" collapsed="false">
      <c r="A6134" s="0" t="e">
        <f aca="false">COUPNCD(DATE(2024,7,1),DATE(2024,7,1),1,0)</f>
        <v>#VALUE!</v>
      </c>
      <c r="B6134" s="0" t="s">
        <v>6113</v>
      </c>
    </row>
    <row r="6135" customFormat="false" ht="15" hidden="false" customHeight="false" outlineLevel="0" collapsed="false">
      <c r="A6135" s="0" t="e">
        <f aca="false">COUPNUM(DATE(2024,7,1),DATE(2024,7,1),1,0)</f>
        <v>#VALUE!</v>
      </c>
      <c r="B6135" s="0" t="s">
        <v>6114</v>
      </c>
    </row>
    <row r="6136" customFormat="false" ht="15" hidden="false" customHeight="false" outlineLevel="0" collapsed="false">
      <c r="A6136" s="0" t="e">
        <f aca="false">COUPDAYBS(DATE(2024,7,1),DATE(2024,7,1),1,0)</f>
        <v>#VALUE!</v>
      </c>
      <c r="B6136" s="0" t="s">
        <v>6115</v>
      </c>
    </row>
    <row r="6137" customFormat="false" ht="15" hidden="false" customHeight="false" outlineLevel="0" collapsed="false">
      <c r="A6137" s="0" t="e">
        <f aca="false">COUPDAYS(DATE(2024,7,1),DATE(2024,7,1),1,0)</f>
        <v>#VALUE!</v>
      </c>
      <c r="B6137" s="0" t="s">
        <v>6116</v>
      </c>
    </row>
    <row r="6138" customFormat="false" ht="15" hidden="false" customHeight="false" outlineLevel="0" collapsed="false">
      <c r="A6138" s="0" t="e">
        <f aca="false">COUPDAYSNC(DATE(2024,7,1),DATE(2024,7,1),1,0)</f>
        <v>#VALUE!</v>
      </c>
      <c r="B6138" s="0" t="s">
        <v>6117</v>
      </c>
    </row>
    <row r="6139" customFormat="false" ht="15" hidden="false" customHeight="false" outlineLevel="0" collapsed="false">
      <c r="A6139" s="0" t="e">
        <f aca="false">COUPPCD(DATE(2024,7,1),DATE(2024,7,1),1,1)</f>
        <v>#VALUE!</v>
      </c>
      <c r="B6139" s="0" t="s">
        <v>6118</v>
      </c>
    </row>
    <row r="6140" customFormat="false" ht="15" hidden="false" customHeight="false" outlineLevel="0" collapsed="false">
      <c r="A6140" s="0" t="e">
        <f aca="false">COUPNCD(DATE(2024,7,1),DATE(2024,7,1),1,1)</f>
        <v>#VALUE!</v>
      </c>
      <c r="B6140" s="0" t="s">
        <v>6119</v>
      </c>
    </row>
    <row r="6141" customFormat="false" ht="15" hidden="false" customHeight="false" outlineLevel="0" collapsed="false">
      <c r="A6141" s="0" t="e">
        <f aca="false">COUPNUM(DATE(2024,7,1),DATE(2024,7,1),1,1)</f>
        <v>#VALUE!</v>
      </c>
      <c r="B6141" s="0" t="s">
        <v>6120</v>
      </c>
    </row>
    <row r="6142" customFormat="false" ht="15" hidden="false" customHeight="false" outlineLevel="0" collapsed="false">
      <c r="A6142" s="0" t="e">
        <f aca="false">COUPDAYBS(DATE(2024,7,1),DATE(2024,7,1),1,1)</f>
        <v>#VALUE!</v>
      </c>
      <c r="B6142" s="0" t="s">
        <v>6121</v>
      </c>
    </row>
    <row r="6143" customFormat="false" ht="15" hidden="false" customHeight="false" outlineLevel="0" collapsed="false">
      <c r="A6143" s="0" t="e">
        <f aca="false">COUPDAYS(DATE(2024,7,1),DATE(2024,7,1),1,1)</f>
        <v>#VALUE!</v>
      </c>
      <c r="B6143" s="0" t="s">
        <v>6122</v>
      </c>
    </row>
    <row r="6144" customFormat="false" ht="15" hidden="false" customHeight="false" outlineLevel="0" collapsed="false">
      <c r="A6144" s="0" t="e">
        <f aca="false">COUPDAYSNC(DATE(2024,7,1),DATE(2024,7,1),1,1)</f>
        <v>#VALUE!</v>
      </c>
      <c r="B6144" s="0" t="s">
        <v>6123</v>
      </c>
    </row>
    <row r="6145" customFormat="false" ht="15" hidden="false" customHeight="false" outlineLevel="0" collapsed="false">
      <c r="A6145" s="0" t="e">
        <f aca="false">COUPPCD(DATE(2024,7,1),DATE(2024,7,1),1,2)</f>
        <v>#VALUE!</v>
      </c>
      <c r="B6145" s="0" t="s">
        <v>6124</v>
      </c>
    </row>
    <row r="6146" customFormat="false" ht="15" hidden="false" customHeight="false" outlineLevel="0" collapsed="false">
      <c r="A6146" s="0" t="e">
        <f aca="false">COUPNCD(DATE(2024,7,1),DATE(2024,7,1),1,2)</f>
        <v>#VALUE!</v>
      </c>
      <c r="B6146" s="0" t="s">
        <v>6125</v>
      </c>
    </row>
    <row r="6147" customFormat="false" ht="15" hidden="false" customHeight="false" outlineLevel="0" collapsed="false">
      <c r="A6147" s="0" t="e">
        <f aca="false">COUPNUM(DATE(2024,7,1),DATE(2024,7,1),1,2)</f>
        <v>#VALUE!</v>
      </c>
      <c r="B6147" s="0" t="s">
        <v>6126</v>
      </c>
    </row>
    <row r="6148" customFormat="false" ht="15" hidden="false" customHeight="false" outlineLevel="0" collapsed="false">
      <c r="A6148" s="0" t="e">
        <f aca="false">COUPDAYBS(DATE(2024,7,1),DATE(2024,7,1),1,2)</f>
        <v>#VALUE!</v>
      </c>
      <c r="B6148" s="0" t="s">
        <v>6127</v>
      </c>
    </row>
    <row r="6149" customFormat="false" ht="15" hidden="false" customHeight="false" outlineLevel="0" collapsed="false">
      <c r="A6149" s="0" t="e">
        <f aca="false">COUPDAYS(DATE(2024,7,1),DATE(2024,7,1),1,2)</f>
        <v>#VALUE!</v>
      </c>
      <c r="B6149" s="0" t="s">
        <v>6128</v>
      </c>
    </row>
    <row r="6150" customFormat="false" ht="15" hidden="false" customHeight="false" outlineLevel="0" collapsed="false">
      <c r="A6150" s="0" t="e">
        <f aca="false">COUPDAYSNC(DATE(2024,7,1),DATE(2024,7,1),1,2)</f>
        <v>#VALUE!</v>
      </c>
      <c r="B6150" s="0" t="s">
        <v>6129</v>
      </c>
    </row>
    <row r="6151" customFormat="false" ht="15" hidden="false" customHeight="false" outlineLevel="0" collapsed="false">
      <c r="A6151" s="0" t="e">
        <f aca="false">COUPPCD(DATE(2024,7,1),DATE(2024,7,1),1,3)</f>
        <v>#VALUE!</v>
      </c>
      <c r="B6151" s="0" t="s">
        <v>6130</v>
      </c>
    </row>
    <row r="6152" customFormat="false" ht="15" hidden="false" customHeight="false" outlineLevel="0" collapsed="false">
      <c r="A6152" s="0" t="e">
        <f aca="false">COUPNCD(DATE(2024,7,1),DATE(2024,7,1),1,3)</f>
        <v>#VALUE!</v>
      </c>
      <c r="B6152" s="0" t="s">
        <v>6131</v>
      </c>
    </row>
    <row r="6153" customFormat="false" ht="15" hidden="false" customHeight="false" outlineLevel="0" collapsed="false">
      <c r="A6153" s="0" t="e">
        <f aca="false">COUPNUM(DATE(2024,7,1),DATE(2024,7,1),1,3)</f>
        <v>#VALUE!</v>
      </c>
      <c r="B6153" s="0" t="s">
        <v>6132</v>
      </c>
    </row>
    <row r="6154" customFormat="false" ht="15" hidden="false" customHeight="false" outlineLevel="0" collapsed="false">
      <c r="A6154" s="0" t="e">
        <f aca="false">COUPDAYBS(DATE(2024,7,1),DATE(2024,7,1),1,3)</f>
        <v>#VALUE!</v>
      </c>
      <c r="B6154" s="0" t="s">
        <v>6133</v>
      </c>
    </row>
    <row r="6155" customFormat="false" ht="15" hidden="false" customHeight="false" outlineLevel="0" collapsed="false">
      <c r="A6155" s="0" t="e">
        <f aca="false">COUPDAYS(DATE(2024,7,1),DATE(2024,7,1),1,3)</f>
        <v>#VALUE!</v>
      </c>
      <c r="B6155" s="0" t="s">
        <v>6134</v>
      </c>
    </row>
    <row r="6156" customFormat="false" ht="15" hidden="false" customHeight="false" outlineLevel="0" collapsed="false">
      <c r="A6156" s="0" t="e">
        <f aca="false">COUPDAYSNC(DATE(2024,7,1),DATE(2024,7,1),1,3)</f>
        <v>#VALUE!</v>
      </c>
      <c r="B6156" s="0" t="s">
        <v>6135</v>
      </c>
    </row>
    <row r="6157" customFormat="false" ht="15" hidden="false" customHeight="false" outlineLevel="0" collapsed="false">
      <c r="A6157" s="0" t="e">
        <f aca="false">COUPPCD(DATE(2024,7,1),DATE(2024,7,1),1,4)</f>
        <v>#VALUE!</v>
      </c>
      <c r="B6157" s="0" t="s">
        <v>6136</v>
      </c>
    </row>
    <row r="6158" customFormat="false" ht="15" hidden="false" customHeight="false" outlineLevel="0" collapsed="false">
      <c r="A6158" s="0" t="e">
        <f aca="false">COUPNCD(DATE(2024,7,1),DATE(2024,7,1),1,4)</f>
        <v>#VALUE!</v>
      </c>
      <c r="B6158" s="0" t="s">
        <v>6137</v>
      </c>
    </row>
    <row r="6159" customFormat="false" ht="15" hidden="false" customHeight="false" outlineLevel="0" collapsed="false">
      <c r="A6159" s="0" t="e">
        <f aca="false">COUPNUM(DATE(2024,7,1),DATE(2024,7,1),1,4)</f>
        <v>#VALUE!</v>
      </c>
      <c r="B6159" s="0" t="s">
        <v>6138</v>
      </c>
    </row>
    <row r="6160" customFormat="false" ht="15" hidden="false" customHeight="false" outlineLevel="0" collapsed="false">
      <c r="A6160" s="0" t="e">
        <f aca="false">COUPDAYBS(DATE(2024,7,1),DATE(2024,7,1),1,4)</f>
        <v>#VALUE!</v>
      </c>
      <c r="B6160" s="0" t="s">
        <v>6139</v>
      </c>
    </row>
    <row r="6161" customFormat="false" ht="15" hidden="false" customHeight="false" outlineLevel="0" collapsed="false">
      <c r="A6161" s="0" t="e">
        <f aca="false">COUPDAYS(DATE(2024,7,1),DATE(2024,7,1),1,4)</f>
        <v>#VALUE!</v>
      </c>
      <c r="B6161" s="0" t="s">
        <v>6140</v>
      </c>
    </row>
    <row r="6162" customFormat="false" ht="15" hidden="false" customHeight="false" outlineLevel="0" collapsed="false">
      <c r="A6162" s="0" t="e">
        <f aca="false">COUPDAYSNC(DATE(2024,7,1),DATE(2024,7,1),1,4)</f>
        <v>#VALUE!</v>
      </c>
      <c r="B6162" s="0" t="s">
        <v>6141</v>
      </c>
    </row>
    <row r="6163" customFormat="false" ht="15" hidden="false" customHeight="false" outlineLevel="0" collapsed="false">
      <c r="A6163" s="0" t="e">
        <f aca="false">COUPPCD(DATE(2024,7,1),DATE(2024,7,1),2,0)</f>
        <v>#VALUE!</v>
      </c>
      <c r="B6163" s="0" t="s">
        <v>6142</v>
      </c>
    </row>
    <row r="6164" customFormat="false" ht="15" hidden="false" customHeight="false" outlineLevel="0" collapsed="false">
      <c r="A6164" s="0" t="e">
        <f aca="false">COUPNCD(DATE(2024,7,1),DATE(2024,7,1),2,0)</f>
        <v>#VALUE!</v>
      </c>
      <c r="B6164" s="0" t="s">
        <v>6143</v>
      </c>
    </row>
    <row r="6165" customFormat="false" ht="15" hidden="false" customHeight="false" outlineLevel="0" collapsed="false">
      <c r="A6165" s="0" t="e">
        <f aca="false">COUPNUM(DATE(2024,7,1),DATE(2024,7,1),2,0)</f>
        <v>#VALUE!</v>
      </c>
      <c r="B6165" s="0" t="s">
        <v>6144</v>
      </c>
    </row>
    <row r="6166" customFormat="false" ht="15" hidden="false" customHeight="false" outlineLevel="0" collapsed="false">
      <c r="A6166" s="0" t="e">
        <f aca="false">COUPDAYBS(DATE(2024,7,1),DATE(2024,7,1),2,0)</f>
        <v>#VALUE!</v>
      </c>
      <c r="B6166" s="0" t="s">
        <v>6145</v>
      </c>
    </row>
    <row r="6167" customFormat="false" ht="15" hidden="false" customHeight="false" outlineLevel="0" collapsed="false">
      <c r="A6167" s="0" t="e">
        <f aca="false">COUPDAYS(DATE(2024,7,1),DATE(2024,7,1),2,0)</f>
        <v>#VALUE!</v>
      </c>
      <c r="B6167" s="0" t="s">
        <v>6146</v>
      </c>
    </row>
    <row r="6168" customFormat="false" ht="15" hidden="false" customHeight="false" outlineLevel="0" collapsed="false">
      <c r="A6168" s="0" t="e">
        <f aca="false">COUPDAYSNC(DATE(2024,7,1),DATE(2024,7,1),2,0)</f>
        <v>#VALUE!</v>
      </c>
      <c r="B6168" s="0" t="s">
        <v>6147</v>
      </c>
    </row>
    <row r="6169" customFormat="false" ht="15" hidden="false" customHeight="false" outlineLevel="0" collapsed="false">
      <c r="A6169" s="0" t="e">
        <f aca="false">COUPPCD(DATE(2024,7,1),DATE(2024,7,1),2,1)</f>
        <v>#VALUE!</v>
      </c>
      <c r="B6169" s="0" t="s">
        <v>6148</v>
      </c>
    </row>
    <row r="6170" customFormat="false" ht="15" hidden="false" customHeight="false" outlineLevel="0" collapsed="false">
      <c r="A6170" s="0" t="e">
        <f aca="false">COUPNCD(DATE(2024,7,1),DATE(2024,7,1),2,1)</f>
        <v>#VALUE!</v>
      </c>
      <c r="B6170" s="0" t="s">
        <v>6149</v>
      </c>
    </row>
    <row r="6171" customFormat="false" ht="15" hidden="false" customHeight="false" outlineLevel="0" collapsed="false">
      <c r="A6171" s="0" t="e">
        <f aca="false">COUPNUM(DATE(2024,7,1),DATE(2024,7,1),2,1)</f>
        <v>#VALUE!</v>
      </c>
      <c r="B6171" s="0" t="s">
        <v>6150</v>
      </c>
    </row>
    <row r="6172" customFormat="false" ht="15" hidden="false" customHeight="false" outlineLevel="0" collapsed="false">
      <c r="A6172" s="0" t="e">
        <f aca="false">COUPDAYBS(DATE(2024,7,1),DATE(2024,7,1),2,1)</f>
        <v>#VALUE!</v>
      </c>
      <c r="B6172" s="0" t="s">
        <v>6151</v>
      </c>
    </row>
    <row r="6173" customFormat="false" ht="15" hidden="false" customHeight="false" outlineLevel="0" collapsed="false">
      <c r="A6173" s="0" t="e">
        <f aca="false">COUPDAYS(DATE(2024,7,1),DATE(2024,7,1),2,1)</f>
        <v>#VALUE!</v>
      </c>
      <c r="B6173" s="0" t="s">
        <v>6152</v>
      </c>
    </row>
    <row r="6174" customFormat="false" ht="15" hidden="false" customHeight="false" outlineLevel="0" collapsed="false">
      <c r="A6174" s="0" t="e">
        <f aca="false">COUPDAYSNC(DATE(2024,7,1),DATE(2024,7,1),2,1)</f>
        <v>#VALUE!</v>
      </c>
      <c r="B6174" s="0" t="s">
        <v>6153</v>
      </c>
    </row>
    <row r="6175" customFormat="false" ht="15" hidden="false" customHeight="false" outlineLevel="0" collapsed="false">
      <c r="A6175" s="0" t="e">
        <f aca="false">COUPPCD(DATE(2024,7,1),DATE(2024,7,1),2,2)</f>
        <v>#VALUE!</v>
      </c>
      <c r="B6175" s="0" t="s">
        <v>6154</v>
      </c>
    </row>
    <row r="6176" customFormat="false" ht="15" hidden="false" customHeight="false" outlineLevel="0" collapsed="false">
      <c r="A6176" s="0" t="e">
        <f aca="false">COUPNCD(DATE(2024,7,1),DATE(2024,7,1),2,2)</f>
        <v>#VALUE!</v>
      </c>
      <c r="B6176" s="0" t="s">
        <v>6155</v>
      </c>
    </row>
    <row r="6177" customFormat="false" ht="15" hidden="false" customHeight="false" outlineLevel="0" collapsed="false">
      <c r="A6177" s="0" t="e">
        <f aca="false">COUPNUM(DATE(2024,7,1),DATE(2024,7,1),2,2)</f>
        <v>#VALUE!</v>
      </c>
      <c r="B6177" s="0" t="s">
        <v>6156</v>
      </c>
    </row>
    <row r="6178" customFormat="false" ht="15" hidden="false" customHeight="false" outlineLevel="0" collapsed="false">
      <c r="A6178" s="0" t="e">
        <f aca="false">COUPDAYBS(DATE(2024,7,1),DATE(2024,7,1),2,2)</f>
        <v>#VALUE!</v>
      </c>
      <c r="B6178" s="0" t="s">
        <v>6157</v>
      </c>
    </row>
    <row r="6179" customFormat="false" ht="15" hidden="false" customHeight="false" outlineLevel="0" collapsed="false">
      <c r="A6179" s="0" t="e">
        <f aca="false">COUPDAYS(DATE(2024,7,1),DATE(2024,7,1),2,2)</f>
        <v>#VALUE!</v>
      </c>
      <c r="B6179" s="0" t="s">
        <v>6158</v>
      </c>
    </row>
    <row r="6180" customFormat="false" ht="15" hidden="false" customHeight="false" outlineLevel="0" collapsed="false">
      <c r="A6180" s="0" t="e">
        <f aca="false">COUPDAYSNC(DATE(2024,7,1),DATE(2024,7,1),2,2)</f>
        <v>#VALUE!</v>
      </c>
      <c r="B6180" s="0" t="s">
        <v>6159</v>
      </c>
    </row>
    <row r="6181" customFormat="false" ht="15" hidden="false" customHeight="false" outlineLevel="0" collapsed="false">
      <c r="A6181" s="0" t="e">
        <f aca="false">COUPPCD(DATE(2024,7,1),DATE(2024,7,1),2,3)</f>
        <v>#VALUE!</v>
      </c>
      <c r="B6181" s="0" t="s">
        <v>6160</v>
      </c>
    </row>
    <row r="6182" customFormat="false" ht="15" hidden="false" customHeight="false" outlineLevel="0" collapsed="false">
      <c r="A6182" s="0" t="e">
        <f aca="false">COUPNCD(DATE(2024,7,1),DATE(2024,7,1),2,3)</f>
        <v>#VALUE!</v>
      </c>
      <c r="B6182" s="0" t="s">
        <v>6161</v>
      </c>
    </row>
    <row r="6183" customFormat="false" ht="15" hidden="false" customHeight="false" outlineLevel="0" collapsed="false">
      <c r="A6183" s="0" t="e">
        <f aca="false">COUPNUM(DATE(2024,7,1),DATE(2024,7,1),2,3)</f>
        <v>#VALUE!</v>
      </c>
      <c r="B6183" s="0" t="s">
        <v>6162</v>
      </c>
    </row>
    <row r="6184" customFormat="false" ht="15" hidden="false" customHeight="false" outlineLevel="0" collapsed="false">
      <c r="A6184" s="0" t="e">
        <f aca="false">COUPDAYBS(DATE(2024,7,1),DATE(2024,7,1),2,3)</f>
        <v>#VALUE!</v>
      </c>
      <c r="B6184" s="0" t="s">
        <v>6163</v>
      </c>
    </row>
    <row r="6185" customFormat="false" ht="15" hidden="false" customHeight="false" outlineLevel="0" collapsed="false">
      <c r="A6185" s="0" t="e">
        <f aca="false">COUPDAYS(DATE(2024,7,1),DATE(2024,7,1),2,3)</f>
        <v>#VALUE!</v>
      </c>
      <c r="B6185" s="0" t="s">
        <v>6164</v>
      </c>
    </row>
    <row r="6186" customFormat="false" ht="15" hidden="false" customHeight="false" outlineLevel="0" collapsed="false">
      <c r="A6186" s="0" t="e">
        <f aca="false">COUPDAYSNC(DATE(2024,7,1),DATE(2024,7,1),2,3)</f>
        <v>#VALUE!</v>
      </c>
      <c r="B6186" s="0" t="s">
        <v>6165</v>
      </c>
    </row>
    <row r="6187" customFormat="false" ht="15" hidden="false" customHeight="false" outlineLevel="0" collapsed="false">
      <c r="A6187" s="0" t="e">
        <f aca="false">COUPPCD(DATE(2024,7,1),DATE(2024,7,1),2,4)</f>
        <v>#VALUE!</v>
      </c>
      <c r="B6187" s="0" t="s">
        <v>6166</v>
      </c>
    </row>
    <row r="6188" customFormat="false" ht="15" hidden="false" customHeight="false" outlineLevel="0" collapsed="false">
      <c r="A6188" s="0" t="e">
        <f aca="false">COUPNCD(DATE(2024,7,1),DATE(2024,7,1),2,4)</f>
        <v>#VALUE!</v>
      </c>
      <c r="B6188" s="0" t="s">
        <v>6167</v>
      </c>
    </row>
    <row r="6189" customFormat="false" ht="15" hidden="false" customHeight="false" outlineLevel="0" collapsed="false">
      <c r="A6189" s="0" t="e">
        <f aca="false">COUPNUM(DATE(2024,7,1),DATE(2024,7,1),2,4)</f>
        <v>#VALUE!</v>
      </c>
      <c r="B6189" s="0" t="s">
        <v>6168</v>
      </c>
    </row>
    <row r="6190" customFormat="false" ht="15" hidden="false" customHeight="false" outlineLevel="0" collapsed="false">
      <c r="A6190" s="0" t="e">
        <f aca="false">COUPDAYBS(DATE(2024,7,1),DATE(2024,7,1),2,4)</f>
        <v>#VALUE!</v>
      </c>
      <c r="B6190" s="0" t="s">
        <v>6169</v>
      </c>
    </row>
    <row r="6191" customFormat="false" ht="15" hidden="false" customHeight="false" outlineLevel="0" collapsed="false">
      <c r="A6191" s="0" t="e">
        <f aca="false">COUPDAYS(DATE(2024,7,1),DATE(2024,7,1),2,4)</f>
        <v>#VALUE!</v>
      </c>
      <c r="B6191" s="0" t="s">
        <v>6170</v>
      </c>
    </row>
    <row r="6192" customFormat="false" ht="15" hidden="false" customHeight="false" outlineLevel="0" collapsed="false">
      <c r="A6192" s="0" t="e">
        <f aca="false">COUPDAYSNC(DATE(2024,7,1),DATE(2024,7,1),2,4)</f>
        <v>#VALUE!</v>
      </c>
      <c r="B6192" s="0" t="s">
        <v>6171</v>
      </c>
    </row>
    <row r="6193" customFormat="false" ht="15" hidden="false" customHeight="false" outlineLevel="0" collapsed="false">
      <c r="A6193" s="0" t="e">
        <f aca="false">COUPPCD(DATE(2024,7,1),DATE(2024,7,1),4,0)</f>
        <v>#VALUE!</v>
      </c>
      <c r="B6193" s="0" t="s">
        <v>6172</v>
      </c>
    </row>
    <row r="6194" customFormat="false" ht="15" hidden="false" customHeight="false" outlineLevel="0" collapsed="false">
      <c r="A6194" s="0" t="e">
        <f aca="false">COUPNCD(DATE(2024,7,1),DATE(2024,7,1),4,0)</f>
        <v>#VALUE!</v>
      </c>
      <c r="B6194" s="0" t="s">
        <v>6173</v>
      </c>
    </row>
    <row r="6195" customFormat="false" ht="15" hidden="false" customHeight="false" outlineLevel="0" collapsed="false">
      <c r="A6195" s="0" t="e">
        <f aca="false">COUPNUM(DATE(2024,7,1),DATE(2024,7,1),4,0)</f>
        <v>#VALUE!</v>
      </c>
      <c r="B6195" s="0" t="s">
        <v>6174</v>
      </c>
    </row>
    <row r="6196" customFormat="false" ht="15" hidden="false" customHeight="false" outlineLevel="0" collapsed="false">
      <c r="A6196" s="0" t="e">
        <f aca="false">COUPDAYBS(DATE(2024,7,1),DATE(2024,7,1),4,0)</f>
        <v>#VALUE!</v>
      </c>
      <c r="B6196" s="0" t="s">
        <v>6175</v>
      </c>
    </row>
    <row r="6197" customFormat="false" ht="15" hidden="false" customHeight="false" outlineLevel="0" collapsed="false">
      <c r="A6197" s="0" t="e">
        <f aca="false">COUPDAYS(DATE(2024,7,1),DATE(2024,7,1),4,0)</f>
        <v>#VALUE!</v>
      </c>
      <c r="B6197" s="0" t="s">
        <v>6176</v>
      </c>
    </row>
    <row r="6198" customFormat="false" ht="15" hidden="false" customHeight="false" outlineLevel="0" collapsed="false">
      <c r="A6198" s="0" t="e">
        <f aca="false">COUPDAYSNC(DATE(2024,7,1),DATE(2024,7,1),4,0)</f>
        <v>#VALUE!</v>
      </c>
      <c r="B6198" s="0" t="s">
        <v>6177</v>
      </c>
    </row>
    <row r="6199" customFormat="false" ht="15" hidden="false" customHeight="false" outlineLevel="0" collapsed="false">
      <c r="A6199" s="0" t="e">
        <f aca="false">COUPPCD(DATE(2024,7,1),DATE(2024,7,1),4,1)</f>
        <v>#VALUE!</v>
      </c>
      <c r="B6199" s="0" t="s">
        <v>6178</v>
      </c>
    </row>
    <row r="6200" customFormat="false" ht="15" hidden="false" customHeight="false" outlineLevel="0" collapsed="false">
      <c r="A6200" s="0" t="e">
        <f aca="false">COUPNCD(DATE(2024,7,1),DATE(2024,7,1),4,1)</f>
        <v>#VALUE!</v>
      </c>
      <c r="B6200" s="0" t="s">
        <v>6179</v>
      </c>
    </row>
    <row r="6201" customFormat="false" ht="15" hidden="false" customHeight="false" outlineLevel="0" collapsed="false">
      <c r="A6201" s="0" t="e">
        <f aca="false">COUPNUM(DATE(2024,7,1),DATE(2024,7,1),4,1)</f>
        <v>#VALUE!</v>
      </c>
      <c r="B6201" s="0" t="s">
        <v>6180</v>
      </c>
    </row>
    <row r="6202" customFormat="false" ht="15" hidden="false" customHeight="false" outlineLevel="0" collapsed="false">
      <c r="A6202" s="0" t="e">
        <f aca="false">COUPDAYBS(DATE(2024,7,1),DATE(2024,7,1),4,1)</f>
        <v>#VALUE!</v>
      </c>
      <c r="B6202" s="0" t="s">
        <v>6181</v>
      </c>
    </row>
    <row r="6203" customFormat="false" ht="15" hidden="false" customHeight="false" outlineLevel="0" collapsed="false">
      <c r="A6203" s="0" t="e">
        <f aca="false">COUPDAYS(DATE(2024,7,1),DATE(2024,7,1),4,1)</f>
        <v>#VALUE!</v>
      </c>
      <c r="B6203" s="0" t="s">
        <v>6182</v>
      </c>
    </row>
    <row r="6204" customFormat="false" ht="15" hidden="false" customHeight="false" outlineLevel="0" collapsed="false">
      <c r="A6204" s="0" t="e">
        <f aca="false">COUPDAYSNC(DATE(2024,7,1),DATE(2024,7,1),4,1)</f>
        <v>#VALUE!</v>
      </c>
      <c r="B6204" s="0" t="s">
        <v>6183</v>
      </c>
    </row>
    <row r="6205" customFormat="false" ht="15" hidden="false" customHeight="false" outlineLevel="0" collapsed="false">
      <c r="A6205" s="0" t="e">
        <f aca="false">COUPPCD(DATE(2024,7,1),DATE(2024,7,1),4,2)</f>
        <v>#VALUE!</v>
      </c>
      <c r="B6205" s="0" t="s">
        <v>6184</v>
      </c>
    </row>
    <row r="6206" customFormat="false" ht="15" hidden="false" customHeight="false" outlineLevel="0" collapsed="false">
      <c r="A6206" s="0" t="e">
        <f aca="false">COUPNCD(DATE(2024,7,1),DATE(2024,7,1),4,2)</f>
        <v>#VALUE!</v>
      </c>
      <c r="B6206" s="0" t="s">
        <v>6185</v>
      </c>
    </row>
    <row r="6207" customFormat="false" ht="15" hidden="false" customHeight="false" outlineLevel="0" collapsed="false">
      <c r="A6207" s="0" t="e">
        <f aca="false">COUPNUM(DATE(2024,7,1),DATE(2024,7,1),4,2)</f>
        <v>#VALUE!</v>
      </c>
      <c r="B6207" s="0" t="s">
        <v>6186</v>
      </c>
    </row>
    <row r="6208" customFormat="false" ht="15" hidden="false" customHeight="false" outlineLevel="0" collapsed="false">
      <c r="A6208" s="0" t="e">
        <f aca="false">COUPDAYBS(DATE(2024,7,1),DATE(2024,7,1),4,2)</f>
        <v>#VALUE!</v>
      </c>
      <c r="B6208" s="0" t="s">
        <v>6187</v>
      </c>
    </row>
    <row r="6209" customFormat="false" ht="15" hidden="false" customHeight="false" outlineLevel="0" collapsed="false">
      <c r="A6209" s="0" t="e">
        <f aca="false">COUPDAYS(DATE(2024,7,1),DATE(2024,7,1),4,2)</f>
        <v>#VALUE!</v>
      </c>
      <c r="B6209" s="0" t="s">
        <v>6188</v>
      </c>
    </row>
    <row r="6210" customFormat="false" ht="15" hidden="false" customHeight="false" outlineLevel="0" collapsed="false">
      <c r="A6210" s="0" t="e">
        <f aca="false">COUPDAYSNC(DATE(2024,7,1),DATE(2024,7,1),4,2)</f>
        <v>#VALUE!</v>
      </c>
      <c r="B6210" s="0" t="s">
        <v>6189</v>
      </c>
    </row>
    <row r="6211" customFormat="false" ht="15" hidden="false" customHeight="false" outlineLevel="0" collapsed="false">
      <c r="A6211" s="0" t="e">
        <f aca="false">COUPPCD(DATE(2024,7,1),DATE(2024,7,1),4,3)</f>
        <v>#VALUE!</v>
      </c>
      <c r="B6211" s="0" t="s">
        <v>6190</v>
      </c>
    </row>
    <row r="6212" customFormat="false" ht="15" hidden="false" customHeight="false" outlineLevel="0" collapsed="false">
      <c r="A6212" s="0" t="e">
        <f aca="false">COUPNCD(DATE(2024,7,1),DATE(2024,7,1),4,3)</f>
        <v>#VALUE!</v>
      </c>
      <c r="B6212" s="0" t="s">
        <v>6191</v>
      </c>
    </row>
    <row r="6213" customFormat="false" ht="15" hidden="false" customHeight="false" outlineLevel="0" collapsed="false">
      <c r="A6213" s="0" t="e">
        <f aca="false">COUPNUM(DATE(2024,7,1),DATE(2024,7,1),4,3)</f>
        <v>#VALUE!</v>
      </c>
      <c r="B6213" s="0" t="s">
        <v>6192</v>
      </c>
    </row>
    <row r="6214" customFormat="false" ht="15" hidden="false" customHeight="false" outlineLevel="0" collapsed="false">
      <c r="A6214" s="0" t="e">
        <f aca="false">COUPDAYBS(DATE(2024,7,1),DATE(2024,7,1),4,3)</f>
        <v>#VALUE!</v>
      </c>
      <c r="B6214" s="0" t="s">
        <v>6193</v>
      </c>
    </row>
    <row r="6215" customFormat="false" ht="15" hidden="false" customHeight="false" outlineLevel="0" collapsed="false">
      <c r="A6215" s="0" t="e">
        <f aca="false">COUPDAYS(DATE(2024,7,1),DATE(2024,7,1),4,3)</f>
        <v>#VALUE!</v>
      </c>
      <c r="B6215" s="0" t="s">
        <v>6194</v>
      </c>
    </row>
    <row r="6216" customFormat="false" ht="15" hidden="false" customHeight="false" outlineLevel="0" collapsed="false">
      <c r="A6216" s="0" t="e">
        <f aca="false">COUPDAYSNC(DATE(2024,7,1),DATE(2024,7,1),4,3)</f>
        <v>#VALUE!</v>
      </c>
      <c r="B6216" s="0" t="s">
        <v>6195</v>
      </c>
    </row>
    <row r="6217" customFormat="false" ht="15" hidden="false" customHeight="false" outlineLevel="0" collapsed="false">
      <c r="A6217" s="0" t="e">
        <f aca="false">COUPPCD(DATE(2024,7,1),DATE(2024,7,1),4,4)</f>
        <v>#VALUE!</v>
      </c>
      <c r="B6217" s="0" t="s">
        <v>6196</v>
      </c>
    </row>
    <row r="6218" customFormat="false" ht="15" hidden="false" customHeight="false" outlineLevel="0" collapsed="false">
      <c r="A6218" s="0" t="e">
        <f aca="false">COUPNCD(DATE(2024,7,1),DATE(2024,7,1),4,4)</f>
        <v>#VALUE!</v>
      </c>
      <c r="B6218" s="0" t="s">
        <v>6197</v>
      </c>
    </row>
    <row r="6219" customFormat="false" ht="15" hidden="false" customHeight="false" outlineLevel="0" collapsed="false">
      <c r="A6219" s="0" t="e">
        <f aca="false">COUPNUM(DATE(2024,7,1),DATE(2024,7,1),4,4)</f>
        <v>#VALUE!</v>
      </c>
      <c r="B6219" s="0" t="s">
        <v>6198</v>
      </c>
    </row>
    <row r="6220" customFormat="false" ht="15" hidden="false" customHeight="false" outlineLevel="0" collapsed="false">
      <c r="A6220" s="0" t="e">
        <f aca="false">COUPDAYBS(DATE(2024,7,1),DATE(2024,7,1),4,4)</f>
        <v>#VALUE!</v>
      </c>
      <c r="B6220" s="0" t="s">
        <v>6199</v>
      </c>
    </row>
    <row r="6221" customFormat="false" ht="15" hidden="false" customHeight="false" outlineLevel="0" collapsed="false">
      <c r="A6221" s="0" t="e">
        <f aca="false">COUPDAYS(DATE(2024,7,1),DATE(2024,7,1),4,4)</f>
        <v>#VALUE!</v>
      </c>
      <c r="B6221" s="0" t="s">
        <v>6200</v>
      </c>
    </row>
    <row r="6222" customFormat="false" ht="15" hidden="false" customHeight="false" outlineLevel="0" collapsed="false">
      <c r="A6222" s="0" t="e">
        <f aca="false">COUPDAYSNC(DATE(2024,7,1),DATE(2024,7,1),4,4)</f>
        <v>#VALUE!</v>
      </c>
      <c r="B6222" s="0" t="s">
        <v>6201</v>
      </c>
    </row>
    <row r="6223" customFormat="false" ht="15" hidden="false" customHeight="false" outlineLevel="0" collapsed="false">
      <c r="A6223" s="0" t="e">
        <f aca="false">COUPNUM(DATE(2024,7,1),DATE(2024,7,1),2)</f>
        <v>#VALUE!</v>
      </c>
      <c r="B6223" s="0" t="s">
        <v>6202</v>
      </c>
    </row>
    <row r="6224" customFormat="false" ht="15" hidden="false" customHeight="false" outlineLevel="0" collapsed="false">
      <c r="A6224" s="0" t="e">
        <f aca="false">COUPDAYS(DATE(2024,7,1),DATE(2024,7,1),2)</f>
        <v>#VALUE!</v>
      </c>
      <c r="B6224" s="0" t="s">
        <v>6203</v>
      </c>
    </row>
    <row r="6225" customFormat="false" ht="15" hidden="false" customHeight="false" outlineLevel="0" collapsed="false">
      <c r="A6225" s="0" t="e">
        <f aca="false">COUPPCD(DATE(2024,8,1),DATE(2024,7,1),1,0)</f>
        <v>#VALUE!</v>
      </c>
      <c r="B6225" s="0" t="s">
        <v>6204</v>
      </c>
    </row>
    <row r="6226" customFormat="false" ht="15" hidden="false" customHeight="false" outlineLevel="0" collapsed="false">
      <c r="A6226" s="0" t="e">
        <f aca="false">COUPNCD(DATE(2024,8,1),DATE(2024,7,1),1,0)</f>
        <v>#VALUE!</v>
      </c>
      <c r="B6226" s="0" t="s">
        <v>6205</v>
      </c>
    </row>
    <row r="6227" customFormat="false" ht="15" hidden="false" customHeight="false" outlineLevel="0" collapsed="false">
      <c r="A6227" s="0" t="e">
        <f aca="false">COUPNUM(DATE(2024,8,1),DATE(2024,7,1),1,0)</f>
        <v>#VALUE!</v>
      </c>
      <c r="B6227" s="0" t="s">
        <v>6206</v>
      </c>
    </row>
    <row r="6228" customFormat="false" ht="15" hidden="false" customHeight="false" outlineLevel="0" collapsed="false">
      <c r="A6228" s="0" t="e">
        <f aca="false">COUPDAYBS(DATE(2024,8,1),DATE(2024,7,1),1,0)</f>
        <v>#VALUE!</v>
      </c>
      <c r="B6228" s="0" t="s">
        <v>6207</v>
      </c>
    </row>
    <row r="6229" customFormat="false" ht="15" hidden="false" customHeight="false" outlineLevel="0" collapsed="false">
      <c r="A6229" s="0" t="e">
        <f aca="false">COUPDAYS(DATE(2024,8,1),DATE(2024,7,1),1,0)</f>
        <v>#VALUE!</v>
      </c>
      <c r="B6229" s="0" t="s">
        <v>6208</v>
      </c>
    </row>
    <row r="6230" customFormat="false" ht="15" hidden="false" customHeight="false" outlineLevel="0" collapsed="false">
      <c r="A6230" s="0" t="e">
        <f aca="false">COUPDAYSNC(DATE(2024,8,1),DATE(2024,7,1),1,0)</f>
        <v>#VALUE!</v>
      </c>
      <c r="B6230" s="0" t="s">
        <v>6209</v>
      </c>
    </row>
    <row r="6231" customFormat="false" ht="15" hidden="false" customHeight="false" outlineLevel="0" collapsed="false">
      <c r="A6231" s="0" t="e">
        <f aca="false">COUPPCD(DATE(2024,8,1),DATE(2024,7,1),1,1)</f>
        <v>#VALUE!</v>
      </c>
      <c r="B6231" s="0" t="s">
        <v>6210</v>
      </c>
    </row>
    <row r="6232" customFormat="false" ht="15" hidden="false" customHeight="false" outlineLevel="0" collapsed="false">
      <c r="A6232" s="0" t="e">
        <f aca="false">COUPNCD(DATE(2024,8,1),DATE(2024,7,1),1,1)</f>
        <v>#VALUE!</v>
      </c>
      <c r="B6232" s="0" t="s">
        <v>6211</v>
      </c>
    </row>
    <row r="6233" customFormat="false" ht="15" hidden="false" customHeight="false" outlineLevel="0" collapsed="false">
      <c r="A6233" s="0" t="e">
        <f aca="false">COUPNUM(DATE(2024,8,1),DATE(2024,7,1),1,1)</f>
        <v>#VALUE!</v>
      </c>
      <c r="B6233" s="0" t="s">
        <v>6212</v>
      </c>
    </row>
    <row r="6234" customFormat="false" ht="15" hidden="false" customHeight="false" outlineLevel="0" collapsed="false">
      <c r="A6234" s="0" t="e">
        <f aca="false">COUPDAYBS(DATE(2024,8,1),DATE(2024,7,1),1,1)</f>
        <v>#VALUE!</v>
      </c>
      <c r="B6234" s="0" t="s">
        <v>6213</v>
      </c>
    </row>
    <row r="6235" customFormat="false" ht="15" hidden="false" customHeight="false" outlineLevel="0" collapsed="false">
      <c r="A6235" s="0" t="e">
        <f aca="false">COUPDAYS(DATE(2024,8,1),DATE(2024,7,1),1,1)</f>
        <v>#VALUE!</v>
      </c>
      <c r="B6235" s="0" t="s">
        <v>6214</v>
      </c>
    </row>
    <row r="6236" customFormat="false" ht="15" hidden="false" customHeight="false" outlineLevel="0" collapsed="false">
      <c r="A6236" s="0" t="e">
        <f aca="false">COUPDAYSNC(DATE(2024,8,1),DATE(2024,7,1),1,1)</f>
        <v>#VALUE!</v>
      </c>
      <c r="B6236" s="0" t="s">
        <v>6215</v>
      </c>
    </row>
    <row r="6237" customFormat="false" ht="15" hidden="false" customHeight="false" outlineLevel="0" collapsed="false">
      <c r="A6237" s="0" t="e">
        <f aca="false">COUPPCD(DATE(2024,8,1),DATE(2024,7,1),1,2)</f>
        <v>#VALUE!</v>
      </c>
      <c r="B6237" s="0" t="s">
        <v>6216</v>
      </c>
    </row>
    <row r="6238" customFormat="false" ht="15" hidden="false" customHeight="false" outlineLevel="0" collapsed="false">
      <c r="A6238" s="0" t="e">
        <f aca="false">COUPNCD(DATE(2024,8,1),DATE(2024,7,1),1,2)</f>
        <v>#VALUE!</v>
      </c>
      <c r="B6238" s="0" t="s">
        <v>6217</v>
      </c>
    </row>
    <row r="6239" customFormat="false" ht="15" hidden="false" customHeight="false" outlineLevel="0" collapsed="false">
      <c r="A6239" s="0" t="e">
        <f aca="false">COUPNUM(DATE(2024,8,1),DATE(2024,7,1),1,2)</f>
        <v>#VALUE!</v>
      </c>
      <c r="B6239" s="0" t="s">
        <v>6218</v>
      </c>
    </row>
    <row r="6240" customFormat="false" ht="15" hidden="false" customHeight="false" outlineLevel="0" collapsed="false">
      <c r="A6240" s="0" t="e">
        <f aca="false">COUPDAYBS(DATE(2024,8,1),DATE(2024,7,1),1,2)</f>
        <v>#VALUE!</v>
      </c>
      <c r="B6240" s="0" t="s">
        <v>6219</v>
      </c>
    </row>
    <row r="6241" customFormat="false" ht="15" hidden="false" customHeight="false" outlineLevel="0" collapsed="false">
      <c r="A6241" s="0" t="e">
        <f aca="false">COUPDAYS(DATE(2024,8,1),DATE(2024,7,1),1,2)</f>
        <v>#VALUE!</v>
      </c>
      <c r="B6241" s="0" t="s">
        <v>6220</v>
      </c>
    </row>
    <row r="6242" customFormat="false" ht="15" hidden="false" customHeight="false" outlineLevel="0" collapsed="false">
      <c r="A6242" s="0" t="e">
        <f aca="false">COUPDAYSNC(DATE(2024,8,1),DATE(2024,7,1),1,2)</f>
        <v>#VALUE!</v>
      </c>
      <c r="B6242" s="0" t="s">
        <v>6221</v>
      </c>
    </row>
    <row r="6243" customFormat="false" ht="15" hidden="false" customHeight="false" outlineLevel="0" collapsed="false">
      <c r="A6243" s="0" t="e">
        <f aca="false">COUPPCD(DATE(2024,8,1),DATE(2024,7,1),1,3)</f>
        <v>#VALUE!</v>
      </c>
      <c r="B6243" s="0" t="s">
        <v>6222</v>
      </c>
    </row>
    <row r="6244" customFormat="false" ht="15" hidden="false" customHeight="false" outlineLevel="0" collapsed="false">
      <c r="A6244" s="0" t="e">
        <f aca="false">COUPNCD(DATE(2024,8,1),DATE(2024,7,1),1,3)</f>
        <v>#VALUE!</v>
      </c>
      <c r="B6244" s="0" t="s">
        <v>6223</v>
      </c>
    </row>
    <row r="6245" customFormat="false" ht="15" hidden="false" customHeight="false" outlineLevel="0" collapsed="false">
      <c r="A6245" s="0" t="e">
        <f aca="false">COUPNUM(DATE(2024,8,1),DATE(2024,7,1),1,3)</f>
        <v>#VALUE!</v>
      </c>
      <c r="B6245" s="0" t="s">
        <v>6224</v>
      </c>
    </row>
    <row r="6246" customFormat="false" ht="15" hidden="false" customHeight="false" outlineLevel="0" collapsed="false">
      <c r="A6246" s="0" t="e">
        <f aca="false">COUPDAYBS(DATE(2024,8,1),DATE(2024,7,1),1,3)</f>
        <v>#VALUE!</v>
      </c>
      <c r="B6246" s="0" t="s">
        <v>6225</v>
      </c>
    </row>
    <row r="6247" customFormat="false" ht="15" hidden="false" customHeight="false" outlineLevel="0" collapsed="false">
      <c r="A6247" s="0" t="e">
        <f aca="false">COUPDAYS(DATE(2024,8,1),DATE(2024,7,1),1,3)</f>
        <v>#VALUE!</v>
      </c>
      <c r="B6247" s="0" t="s">
        <v>6226</v>
      </c>
    </row>
    <row r="6248" customFormat="false" ht="15" hidden="false" customHeight="false" outlineLevel="0" collapsed="false">
      <c r="A6248" s="0" t="e">
        <f aca="false">COUPDAYSNC(DATE(2024,8,1),DATE(2024,7,1),1,3)</f>
        <v>#VALUE!</v>
      </c>
      <c r="B6248" s="0" t="s">
        <v>6227</v>
      </c>
    </row>
    <row r="6249" customFormat="false" ht="15" hidden="false" customHeight="false" outlineLevel="0" collapsed="false">
      <c r="A6249" s="0" t="e">
        <f aca="false">COUPPCD(DATE(2024,8,1),DATE(2024,7,1),1,4)</f>
        <v>#VALUE!</v>
      </c>
      <c r="B6249" s="0" t="s">
        <v>6228</v>
      </c>
    </row>
    <row r="6250" customFormat="false" ht="15" hidden="false" customHeight="false" outlineLevel="0" collapsed="false">
      <c r="A6250" s="0" t="e">
        <f aca="false">COUPNCD(DATE(2024,8,1),DATE(2024,7,1),1,4)</f>
        <v>#VALUE!</v>
      </c>
      <c r="B6250" s="0" t="s">
        <v>6229</v>
      </c>
    </row>
    <row r="6251" customFormat="false" ht="15" hidden="false" customHeight="false" outlineLevel="0" collapsed="false">
      <c r="A6251" s="0" t="e">
        <f aca="false">COUPNUM(DATE(2024,8,1),DATE(2024,7,1),1,4)</f>
        <v>#VALUE!</v>
      </c>
      <c r="B6251" s="0" t="s">
        <v>6230</v>
      </c>
    </row>
    <row r="6252" customFormat="false" ht="15" hidden="false" customHeight="false" outlineLevel="0" collapsed="false">
      <c r="A6252" s="0" t="e">
        <f aca="false">COUPDAYBS(DATE(2024,8,1),DATE(2024,7,1),1,4)</f>
        <v>#VALUE!</v>
      </c>
      <c r="B6252" s="0" t="s">
        <v>6231</v>
      </c>
    </row>
    <row r="6253" customFormat="false" ht="15" hidden="false" customHeight="false" outlineLevel="0" collapsed="false">
      <c r="A6253" s="0" t="e">
        <f aca="false">COUPDAYS(DATE(2024,8,1),DATE(2024,7,1),1,4)</f>
        <v>#VALUE!</v>
      </c>
      <c r="B6253" s="0" t="s">
        <v>6232</v>
      </c>
    </row>
    <row r="6254" customFormat="false" ht="15" hidden="false" customHeight="false" outlineLevel="0" collapsed="false">
      <c r="A6254" s="0" t="e">
        <f aca="false">COUPDAYSNC(DATE(2024,8,1),DATE(2024,7,1),1,4)</f>
        <v>#VALUE!</v>
      </c>
      <c r="B6254" s="0" t="s">
        <v>6233</v>
      </c>
    </row>
    <row r="6255" customFormat="false" ht="15" hidden="false" customHeight="false" outlineLevel="0" collapsed="false">
      <c r="A6255" s="0" t="e">
        <f aca="false">COUPPCD(DATE(2024,8,1),DATE(2024,7,1),2,0)</f>
        <v>#VALUE!</v>
      </c>
      <c r="B6255" s="0" t="s">
        <v>6234</v>
      </c>
    </row>
    <row r="6256" customFormat="false" ht="15" hidden="false" customHeight="false" outlineLevel="0" collapsed="false">
      <c r="A6256" s="0" t="e">
        <f aca="false">COUPNCD(DATE(2024,8,1),DATE(2024,7,1),2,0)</f>
        <v>#VALUE!</v>
      </c>
      <c r="B6256" s="0" t="s">
        <v>6235</v>
      </c>
    </row>
    <row r="6257" customFormat="false" ht="15" hidden="false" customHeight="false" outlineLevel="0" collapsed="false">
      <c r="A6257" s="0" t="e">
        <f aca="false">COUPNUM(DATE(2024,8,1),DATE(2024,7,1),2,0)</f>
        <v>#VALUE!</v>
      </c>
      <c r="B6257" s="0" t="s">
        <v>6236</v>
      </c>
    </row>
    <row r="6258" customFormat="false" ht="15" hidden="false" customHeight="false" outlineLevel="0" collapsed="false">
      <c r="A6258" s="0" t="e">
        <f aca="false">COUPDAYBS(DATE(2024,8,1),DATE(2024,7,1),2,0)</f>
        <v>#VALUE!</v>
      </c>
      <c r="B6258" s="0" t="s">
        <v>6237</v>
      </c>
    </row>
    <row r="6259" customFormat="false" ht="15" hidden="false" customHeight="false" outlineLevel="0" collapsed="false">
      <c r="A6259" s="0" t="e">
        <f aca="false">COUPDAYS(DATE(2024,8,1),DATE(2024,7,1),2,0)</f>
        <v>#VALUE!</v>
      </c>
      <c r="B6259" s="0" t="s">
        <v>6238</v>
      </c>
    </row>
    <row r="6260" customFormat="false" ht="15" hidden="false" customHeight="false" outlineLevel="0" collapsed="false">
      <c r="A6260" s="0" t="e">
        <f aca="false">COUPDAYSNC(DATE(2024,8,1),DATE(2024,7,1),2,0)</f>
        <v>#VALUE!</v>
      </c>
      <c r="B6260" s="0" t="s">
        <v>6239</v>
      </c>
    </row>
    <row r="6261" customFormat="false" ht="15" hidden="false" customHeight="false" outlineLevel="0" collapsed="false">
      <c r="A6261" s="0" t="e">
        <f aca="false">COUPPCD(DATE(2024,8,1),DATE(2024,7,1),2,1)</f>
        <v>#VALUE!</v>
      </c>
      <c r="B6261" s="0" t="s">
        <v>6240</v>
      </c>
    </row>
    <row r="6262" customFormat="false" ht="15" hidden="false" customHeight="false" outlineLevel="0" collapsed="false">
      <c r="A6262" s="0" t="e">
        <f aca="false">COUPNCD(DATE(2024,8,1),DATE(2024,7,1),2,1)</f>
        <v>#VALUE!</v>
      </c>
      <c r="B6262" s="0" t="s">
        <v>6241</v>
      </c>
    </row>
    <row r="6263" customFormat="false" ht="15" hidden="false" customHeight="false" outlineLevel="0" collapsed="false">
      <c r="A6263" s="0" t="e">
        <f aca="false">COUPNUM(DATE(2024,8,1),DATE(2024,7,1),2,1)</f>
        <v>#VALUE!</v>
      </c>
      <c r="B6263" s="0" t="s">
        <v>6242</v>
      </c>
    </row>
    <row r="6264" customFormat="false" ht="15" hidden="false" customHeight="false" outlineLevel="0" collapsed="false">
      <c r="A6264" s="0" t="e">
        <f aca="false">COUPDAYBS(DATE(2024,8,1),DATE(2024,7,1),2,1)</f>
        <v>#VALUE!</v>
      </c>
      <c r="B6264" s="0" t="s">
        <v>6243</v>
      </c>
    </row>
    <row r="6265" customFormat="false" ht="15" hidden="false" customHeight="false" outlineLevel="0" collapsed="false">
      <c r="A6265" s="0" t="e">
        <f aca="false">COUPDAYS(DATE(2024,8,1),DATE(2024,7,1),2,1)</f>
        <v>#VALUE!</v>
      </c>
      <c r="B6265" s="0" t="s">
        <v>6244</v>
      </c>
    </row>
    <row r="6266" customFormat="false" ht="15" hidden="false" customHeight="false" outlineLevel="0" collapsed="false">
      <c r="A6266" s="0" t="e">
        <f aca="false">COUPDAYSNC(DATE(2024,8,1),DATE(2024,7,1),2,1)</f>
        <v>#VALUE!</v>
      </c>
      <c r="B6266" s="0" t="s">
        <v>6245</v>
      </c>
    </row>
    <row r="6267" customFormat="false" ht="15" hidden="false" customHeight="false" outlineLevel="0" collapsed="false">
      <c r="A6267" s="0" t="e">
        <f aca="false">COUPPCD(DATE(2024,8,1),DATE(2024,7,1),2,2)</f>
        <v>#VALUE!</v>
      </c>
      <c r="B6267" s="0" t="s">
        <v>6246</v>
      </c>
    </row>
    <row r="6268" customFormat="false" ht="15" hidden="false" customHeight="false" outlineLevel="0" collapsed="false">
      <c r="A6268" s="0" t="e">
        <f aca="false">COUPNCD(DATE(2024,8,1),DATE(2024,7,1),2,2)</f>
        <v>#VALUE!</v>
      </c>
      <c r="B6268" s="0" t="s">
        <v>6247</v>
      </c>
    </row>
    <row r="6269" customFormat="false" ht="15" hidden="false" customHeight="false" outlineLevel="0" collapsed="false">
      <c r="A6269" s="0" t="e">
        <f aca="false">COUPNUM(DATE(2024,8,1),DATE(2024,7,1),2,2)</f>
        <v>#VALUE!</v>
      </c>
      <c r="B6269" s="0" t="s">
        <v>6248</v>
      </c>
    </row>
    <row r="6270" customFormat="false" ht="15" hidden="false" customHeight="false" outlineLevel="0" collapsed="false">
      <c r="A6270" s="0" t="e">
        <f aca="false">COUPDAYBS(DATE(2024,8,1),DATE(2024,7,1),2,2)</f>
        <v>#VALUE!</v>
      </c>
      <c r="B6270" s="0" t="s">
        <v>6249</v>
      </c>
    </row>
    <row r="6271" customFormat="false" ht="15" hidden="false" customHeight="false" outlineLevel="0" collapsed="false">
      <c r="A6271" s="0" t="e">
        <f aca="false">COUPDAYS(DATE(2024,8,1),DATE(2024,7,1),2,2)</f>
        <v>#VALUE!</v>
      </c>
      <c r="B6271" s="0" t="s">
        <v>6250</v>
      </c>
    </row>
    <row r="6272" customFormat="false" ht="15" hidden="false" customHeight="false" outlineLevel="0" collapsed="false">
      <c r="A6272" s="0" t="e">
        <f aca="false">COUPDAYSNC(DATE(2024,8,1),DATE(2024,7,1),2,2)</f>
        <v>#VALUE!</v>
      </c>
      <c r="B6272" s="0" t="s">
        <v>6251</v>
      </c>
    </row>
    <row r="6273" customFormat="false" ht="15" hidden="false" customHeight="false" outlineLevel="0" collapsed="false">
      <c r="A6273" s="0" t="e">
        <f aca="false">COUPPCD(DATE(2024,8,1),DATE(2024,7,1),2,3)</f>
        <v>#VALUE!</v>
      </c>
      <c r="B6273" s="0" t="s">
        <v>6252</v>
      </c>
    </row>
    <row r="6274" customFormat="false" ht="15" hidden="false" customHeight="false" outlineLevel="0" collapsed="false">
      <c r="A6274" s="0" t="e">
        <f aca="false">COUPNCD(DATE(2024,8,1),DATE(2024,7,1),2,3)</f>
        <v>#VALUE!</v>
      </c>
      <c r="B6274" s="0" t="s">
        <v>6253</v>
      </c>
    </row>
    <row r="6275" customFormat="false" ht="15" hidden="false" customHeight="false" outlineLevel="0" collapsed="false">
      <c r="A6275" s="0" t="e">
        <f aca="false">COUPNUM(DATE(2024,8,1),DATE(2024,7,1),2,3)</f>
        <v>#VALUE!</v>
      </c>
      <c r="B6275" s="0" t="s">
        <v>6254</v>
      </c>
    </row>
    <row r="6276" customFormat="false" ht="15" hidden="false" customHeight="false" outlineLevel="0" collapsed="false">
      <c r="A6276" s="0" t="e">
        <f aca="false">COUPDAYBS(DATE(2024,8,1),DATE(2024,7,1),2,3)</f>
        <v>#VALUE!</v>
      </c>
      <c r="B6276" s="0" t="s">
        <v>6255</v>
      </c>
    </row>
    <row r="6277" customFormat="false" ht="15" hidden="false" customHeight="false" outlineLevel="0" collapsed="false">
      <c r="A6277" s="0" t="e">
        <f aca="false">COUPDAYS(DATE(2024,8,1),DATE(2024,7,1),2,3)</f>
        <v>#VALUE!</v>
      </c>
      <c r="B6277" s="0" t="s">
        <v>6256</v>
      </c>
    </row>
    <row r="6278" customFormat="false" ht="15" hidden="false" customHeight="false" outlineLevel="0" collapsed="false">
      <c r="A6278" s="0" t="e">
        <f aca="false">COUPDAYSNC(DATE(2024,8,1),DATE(2024,7,1),2,3)</f>
        <v>#VALUE!</v>
      </c>
      <c r="B6278" s="0" t="s">
        <v>6257</v>
      </c>
    </row>
    <row r="6279" customFormat="false" ht="15" hidden="false" customHeight="false" outlineLevel="0" collapsed="false">
      <c r="A6279" s="0" t="e">
        <f aca="false">COUPPCD(DATE(2024,8,1),DATE(2024,7,1),2,4)</f>
        <v>#VALUE!</v>
      </c>
      <c r="B6279" s="0" t="s">
        <v>6258</v>
      </c>
    </row>
    <row r="6280" customFormat="false" ht="15" hidden="false" customHeight="false" outlineLevel="0" collapsed="false">
      <c r="A6280" s="0" t="e">
        <f aca="false">COUPNCD(DATE(2024,8,1),DATE(2024,7,1),2,4)</f>
        <v>#VALUE!</v>
      </c>
      <c r="B6280" s="0" t="s">
        <v>6259</v>
      </c>
    </row>
    <row r="6281" customFormat="false" ht="15" hidden="false" customHeight="false" outlineLevel="0" collapsed="false">
      <c r="A6281" s="0" t="e">
        <f aca="false">COUPNUM(DATE(2024,8,1),DATE(2024,7,1),2,4)</f>
        <v>#VALUE!</v>
      </c>
      <c r="B6281" s="0" t="s">
        <v>6260</v>
      </c>
    </row>
    <row r="6282" customFormat="false" ht="15" hidden="false" customHeight="false" outlineLevel="0" collapsed="false">
      <c r="A6282" s="0" t="e">
        <f aca="false">COUPDAYBS(DATE(2024,8,1),DATE(2024,7,1),2,4)</f>
        <v>#VALUE!</v>
      </c>
      <c r="B6282" s="0" t="s">
        <v>6261</v>
      </c>
    </row>
    <row r="6283" customFormat="false" ht="15" hidden="false" customHeight="false" outlineLevel="0" collapsed="false">
      <c r="A6283" s="0" t="e">
        <f aca="false">COUPDAYS(DATE(2024,8,1),DATE(2024,7,1),2,4)</f>
        <v>#VALUE!</v>
      </c>
      <c r="B6283" s="0" t="s">
        <v>6262</v>
      </c>
    </row>
    <row r="6284" customFormat="false" ht="15" hidden="false" customHeight="false" outlineLevel="0" collapsed="false">
      <c r="A6284" s="0" t="e">
        <f aca="false">COUPDAYSNC(DATE(2024,8,1),DATE(2024,7,1),2,4)</f>
        <v>#VALUE!</v>
      </c>
      <c r="B6284" s="0" t="s">
        <v>6263</v>
      </c>
    </row>
    <row r="6285" customFormat="false" ht="15" hidden="false" customHeight="false" outlineLevel="0" collapsed="false">
      <c r="A6285" s="0" t="e">
        <f aca="false">COUPPCD(DATE(2024,8,1),DATE(2024,7,1),4,0)</f>
        <v>#VALUE!</v>
      </c>
      <c r="B6285" s="0" t="s">
        <v>6264</v>
      </c>
    </row>
    <row r="6286" customFormat="false" ht="15" hidden="false" customHeight="false" outlineLevel="0" collapsed="false">
      <c r="A6286" s="0" t="e">
        <f aca="false">COUPNCD(DATE(2024,8,1),DATE(2024,7,1),4,0)</f>
        <v>#VALUE!</v>
      </c>
      <c r="B6286" s="0" t="s">
        <v>6265</v>
      </c>
    </row>
    <row r="6287" customFormat="false" ht="15" hidden="false" customHeight="false" outlineLevel="0" collapsed="false">
      <c r="A6287" s="0" t="e">
        <f aca="false">COUPNUM(DATE(2024,8,1),DATE(2024,7,1),4,0)</f>
        <v>#VALUE!</v>
      </c>
      <c r="B6287" s="0" t="s">
        <v>6266</v>
      </c>
    </row>
    <row r="6288" customFormat="false" ht="15" hidden="false" customHeight="false" outlineLevel="0" collapsed="false">
      <c r="A6288" s="0" t="e">
        <f aca="false">COUPDAYBS(DATE(2024,8,1),DATE(2024,7,1),4,0)</f>
        <v>#VALUE!</v>
      </c>
      <c r="B6288" s="0" t="s">
        <v>6267</v>
      </c>
    </row>
    <row r="6289" customFormat="false" ht="15" hidden="false" customHeight="false" outlineLevel="0" collapsed="false">
      <c r="A6289" s="0" t="e">
        <f aca="false">COUPDAYS(DATE(2024,8,1),DATE(2024,7,1),4,0)</f>
        <v>#VALUE!</v>
      </c>
      <c r="B6289" s="0" t="s">
        <v>6268</v>
      </c>
    </row>
    <row r="6290" customFormat="false" ht="15" hidden="false" customHeight="false" outlineLevel="0" collapsed="false">
      <c r="A6290" s="0" t="e">
        <f aca="false">COUPDAYSNC(DATE(2024,8,1),DATE(2024,7,1),4,0)</f>
        <v>#VALUE!</v>
      </c>
      <c r="B6290" s="0" t="s">
        <v>6269</v>
      </c>
    </row>
    <row r="6291" customFormat="false" ht="15" hidden="false" customHeight="false" outlineLevel="0" collapsed="false">
      <c r="A6291" s="0" t="e">
        <f aca="false">COUPPCD(DATE(2024,8,1),DATE(2024,7,1),4,1)</f>
        <v>#VALUE!</v>
      </c>
      <c r="B6291" s="0" t="s">
        <v>6270</v>
      </c>
    </row>
    <row r="6292" customFormat="false" ht="15" hidden="false" customHeight="false" outlineLevel="0" collapsed="false">
      <c r="A6292" s="0" t="e">
        <f aca="false">COUPNCD(DATE(2024,8,1),DATE(2024,7,1),4,1)</f>
        <v>#VALUE!</v>
      </c>
      <c r="B6292" s="0" t="s">
        <v>6271</v>
      </c>
    </row>
    <row r="6293" customFormat="false" ht="15" hidden="false" customHeight="false" outlineLevel="0" collapsed="false">
      <c r="A6293" s="0" t="e">
        <f aca="false">COUPNUM(DATE(2024,8,1),DATE(2024,7,1),4,1)</f>
        <v>#VALUE!</v>
      </c>
      <c r="B6293" s="0" t="s">
        <v>6272</v>
      </c>
    </row>
    <row r="6294" customFormat="false" ht="15" hidden="false" customHeight="false" outlineLevel="0" collapsed="false">
      <c r="A6294" s="0" t="e">
        <f aca="false">COUPDAYBS(DATE(2024,8,1),DATE(2024,7,1),4,1)</f>
        <v>#VALUE!</v>
      </c>
      <c r="B6294" s="0" t="s">
        <v>6273</v>
      </c>
    </row>
    <row r="6295" customFormat="false" ht="15" hidden="false" customHeight="false" outlineLevel="0" collapsed="false">
      <c r="A6295" s="0" t="e">
        <f aca="false">COUPDAYS(DATE(2024,8,1),DATE(2024,7,1),4,1)</f>
        <v>#VALUE!</v>
      </c>
      <c r="B6295" s="0" t="s">
        <v>6274</v>
      </c>
    </row>
    <row r="6296" customFormat="false" ht="15" hidden="false" customHeight="false" outlineLevel="0" collapsed="false">
      <c r="A6296" s="0" t="e">
        <f aca="false">COUPDAYSNC(DATE(2024,8,1),DATE(2024,7,1),4,1)</f>
        <v>#VALUE!</v>
      </c>
      <c r="B6296" s="0" t="s">
        <v>6275</v>
      </c>
    </row>
    <row r="6297" customFormat="false" ht="15" hidden="false" customHeight="false" outlineLevel="0" collapsed="false">
      <c r="A6297" s="0" t="e">
        <f aca="false">COUPPCD(DATE(2024,8,1),DATE(2024,7,1),4,2)</f>
        <v>#VALUE!</v>
      </c>
      <c r="B6297" s="0" t="s">
        <v>6276</v>
      </c>
    </row>
    <row r="6298" customFormat="false" ht="15" hidden="false" customHeight="false" outlineLevel="0" collapsed="false">
      <c r="A6298" s="0" t="e">
        <f aca="false">COUPNCD(DATE(2024,8,1),DATE(2024,7,1),4,2)</f>
        <v>#VALUE!</v>
      </c>
      <c r="B6298" s="0" t="s">
        <v>6277</v>
      </c>
    </row>
    <row r="6299" customFormat="false" ht="15" hidden="false" customHeight="false" outlineLevel="0" collapsed="false">
      <c r="A6299" s="0" t="e">
        <f aca="false">COUPNUM(DATE(2024,8,1),DATE(2024,7,1),4,2)</f>
        <v>#VALUE!</v>
      </c>
      <c r="B6299" s="0" t="s">
        <v>6278</v>
      </c>
    </row>
    <row r="6300" customFormat="false" ht="15" hidden="false" customHeight="false" outlineLevel="0" collapsed="false">
      <c r="A6300" s="0" t="e">
        <f aca="false">COUPDAYBS(DATE(2024,8,1),DATE(2024,7,1),4,2)</f>
        <v>#VALUE!</v>
      </c>
      <c r="B6300" s="0" t="s">
        <v>6279</v>
      </c>
    </row>
    <row r="6301" customFormat="false" ht="15" hidden="false" customHeight="false" outlineLevel="0" collapsed="false">
      <c r="A6301" s="0" t="e">
        <f aca="false">COUPDAYS(DATE(2024,8,1),DATE(2024,7,1),4,2)</f>
        <v>#VALUE!</v>
      </c>
      <c r="B6301" s="0" t="s">
        <v>6280</v>
      </c>
    </row>
    <row r="6302" customFormat="false" ht="15" hidden="false" customHeight="false" outlineLevel="0" collapsed="false">
      <c r="A6302" s="0" t="e">
        <f aca="false">COUPDAYSNC(DATE(2024,8,1),DATE(2024,7,1),4,2)</f>
        <v>#VALUE!</v>
      </c>
      <c r="B6302" s="0" t="s">
        <v>6281</v>
      </c>
    </row>
    <row r="6303" customFormat="false" ht="15" hidden="false" customHeight="false" outlineLevel="0" collapsed="false">
      <c r="A6303" s="0" t="e">
        <f aca="false">COUPPCD(DATE(2024,8,1),DATE(2024,7,1),4,3)</f>
        <v>#VALUE!</v>
      </c>
      <c r="B6303" s="0" t="s">
        <v>6282</v>
      </c>
    </row>
    <row r="6304" customFormat="false" ht="15" hidden="false" customHeight="false" outlineLevel="0" collapsed="false">
      <c r="A6304" s="0" t="e">
        <f aca="false">COUPNCD(DATE(2024,8,1),DATE(2024,7,1),4,3)</f>
        <v>#VALUE!</v>
      </c>
      <c r="B6304" s="0" t="s">
        <v>6283</v>
      </c>
    </row>
    <row r="6305" customFormat="false" ht="15" hidden="false" customHeight="false" outlineLevel="0" collapsed="false">
      <c r="A6305" s="0" t="e">
        <f aca="false">COUPNUM(DATE(2024,8,1),DATE(2024,7,1),4,3)</f>
        <v>#VALUE!</v>
      </c>
      <c r="B6305" s="0" t="s">
        <v>6284</v>
      </c>
    </row>
    <row r="6306" customFormat="false" ht="15" hidden="false" customHeight="false" outlineLevel="0" collapsed="false">
      <c r="A6306" s="0" t="e">
        <f aca="false">COUPDAYBS(DATE(2024,8,1),DATE(2024,7,1),4,3)</f>
        <v>#VALUE!</v>
      </c>
      <c r="B6306" s="0" t="s">
        <v>6285</v>
      </c>
    </row>
    <row r="6307" customFormat="false" ht="15" hidden="false" customHeight="false" outlineLevel="0" collapsed="false">
      <c r="A6307" s="0" t="e">
        <f aca="false">COUPDAYS(DATE(2024,8,1),DATE(2024,7,1),4,3)</f>
        <v>#VALUE!</v>
      </c>
      <c r="B6307" s="0" t="s">
        <v>6286</v>
      </c>
    </row>
    <row r="6308" customFormat="false" ht="15" hidden="false" customHeight="false" outlineLevel="0" collapsed="false">
      <c r="A6308" s="0" t="e">
        <f aca="false">COUPDAYSNC(DATE(2024,8,1),DATE(2024,7,1),4,3)</f>
        <v>#VALUE!</v>
      </c>
      <c r="B6308" s="0" t="s">
        <v>6287</v>
      </c>
    </row>
    <row r="6309" customFormat="false" ht="15" hidden="false" customHeight="false" outlineLevel="0" collapsed="false">
      <c r="A6309" s="0" t="e">
        <f aca="false">COUPPCD(DATE(2024,8,1),DATE(2024,7,1),4,4)</f>
        <v>#VALUE!</v>
      </c>
      <c r="B6309" s="0" t="s">
        <v>6288</v>
      </c>
    </row>
    <row r="6310" customFormat="false" ht="15" hidden="false" customHeight="false" outlineLevel="0" collapsed="false">
      <c r="A6310" s="0" t="e">
        <f aca="false">COUPNCD(DATE(2024,8,1),DATE(2024,7,1),4,4)</f>
        <v>#VALUE!</v>
      </c>
      <c r="B6310" s="0" t="s">
        <v>6289</v>
      </c>
    </row>
    <row r="6311" customFormat="false" ht="15" hidden="false" customHeight="false" outlineLevel="0" collapsed="false">
      <c r="A6311" s="0" t="e">
        <f aca="false">COUPNUM(DATE(2024,8,1),DATE(2024,7,1),4,4)</f>
        <v>#VALUE!</v>
      </c>
      <c r="B6311" s="0" t="s">
        <v>6290</v>
      </c>
    </row>
    <row r="6312" customFormat="false" ht="15" hidden="false" customHeight="false" outlineLevel="0" collapsed="false">
      <c r="A6312" s="0" t="e">
        <f aca="false">COUPDAYBS(DATE(2024,8,1),DATE(2024,7,1),4,4)</f>
        <v>#VALUE!</v>
      </c>
      <c r="B6312" s="0" t="s">
        <v>6291</v>
      </c>
    </row>
    <row r="6313" customFormat="false" ht="15" hidden="false" customHeight="false" outlineLevel="0" collapsed="false">
      <c r="A6313" s="0" t="e">
        <f aca="false">COUPDAYS(DATE(2024,8,1),DATE(2024,7,1),4,4)</f>
        <v>#VALUE!</v>
      </c>
      <c r="B6313" s="0" t="s">
        <v>6292</v>
      </c>
    </row>
    <row r="6314" customFormat="false" ht="15" hidden="false" customHeight="false" outlineLevel="0" collapsed="false">
      <c r="A6314" s="0" t="e">
        <f aca="false">COUPDAYSNC(DATE(2024,8,1),DATE(2024,7,1),4,4)</f>
        <v>#VALUE!</v>
      </c>
      <c r="B6314" s="0" t="s">
        <v>6293</v>
      </c>
    </row>
    <row r="6315" customFormat="false" ht="15" hidden="false" customHeight="false" outlineLevel="0" collapsed="false">
      <c r="A6315" s="0" t="e">
        <f aca="false">COUPNUM(DATE(2024,8,1),DATE(2024,7,1),2)</f>
        <v>#VALUE!</v>
      </c>
      <c r="B6315" s="0" t="s">
        <v>6294</v>
      </c>
    </row>
    <row r="6316" customFormat="false" ht="15" hidden="false" customHeight="false" outlineLevel="0" collapsed="false">
      <c r="A6316" s="0" t="e">
        <f aca="false">COUPDAYS(DATE(2024,8,1),DATE(2024,7,1),2)</f>
        <v>#VALUE!</v>
      </c>
      <c r="B6316" s="0" t="s">
        <v>6295</v>
      </c>
    </row>
    <row r="6317" customFormat="false" ht="15" hidden="false" customHeight="false" outlineLevel="0" collapsed="false">
      <c r="A6317" s="0" t="n">
        <f aca="false">COUPPCD(DATE(2024,6,30),DATE(2025,2,28),1,0)</f>
        <v>45351</v>
      </c>
      <c r="B6317" s="0" t="s">
        <v>6296</v>
      </c>
    </row>
    <row r="6318" customFormat="false" ht="15" hidden="false" customHeight="false" outlineLevel="0" collapsed="false">
      <c r="A6318" s="0" t="n">
        <f aca="false">COUPNCD(DATE(2024,6,30),DATE(2025,2,28),1,0)</f>
        <v>45716</v>
      </c>
      <c r="B6318" s="0" t="s">
        <v>6297</v>
      </c>
    </row>
    <row r="6319" customFormat="false" ht="15" hidden="false" customHeight="false" outlineLevel="0" collapsed="false">
      <c r="A6319" s="0" t="n">
        <f aca="false">COUPNUM(DATE(2024,6,30),DATE(2025,2,28),1,0)</f>
        <v>1</v>
      </c>
      <c r="B6319" s="0" t="s">
        <v>6298</v>
      </c>
    </row>
    <row r="6320" customFormat="false" ht="15" hidden="false" customHeight="false" outlineLevel="0" collapsed="false">
      <c r="A6320" s="0" t="n">
        <f aca="false">COUPDAYBS(DATE(2024,6,30),DATE(2025,2,28),1,0)</f>
        <v>120</v>
      </c>
      <c r="B6320" s="0" t="s">
        <v>6299</v>
      </c>
    </row>
    <row r="6321" customFormat="false" ht="15" hidden="false" customHeight="false" outlineLevel="0" collapsed="false">
      <c r="A6321" s="0" t="n">
        <f aca="false">COUPDAYS(DATE(2024,6,30),DATE(2025,2,28),1,0)</f>
        <v>360</v>
      </c>
      <c r="B6321" s="0" t="s">
        <v>6300</v>
      </c>
    </row>
    <row r="6322" customFormat="false" ht="15" hidden="false" customHeight="false" outlineLevel="0" collapsed="false">
      <c r="A6322" s="0" t="n">
        <f aca="false">COUPDAYSNC(DATE(2024,6,30),DATE(2025,2,28),1,0)</f>
        <v>240</v>
      </c>
      <c r="B6322" s="0" t="s">
        <v>6301</v>
      </c>
    </row>
    <row r="6323" customFormat="false" ht="15" hidden="false" customHeight="false" outlineLevel="0" collapsed="false">
      <c r="A6323" s="0" t="n">
        <f aca="false">COUPPCD(DATE(2024,6,30),DATE(2025,2,28),1,1)</f>
        <v>45351</v>
      </c>
      <c r="B6323" s="0" t="s">
        <v>6302</v>
      </c>
    </row>
    <row r="6324" customFormat="false" ht="15" hidden="false" customHeight="false" outlineLevel="0" collapsed="false">
      <c r="A6324" s="0" t="n">
        <f aca="false">COUPNCD(DATE(2024,6,30),DATE(2025,2,28),1,1)</f>
        <v>45716</v>
      </c>
      <c r="B6324" s="0" t="s">
        <v>6303</v>
      </c>
    </row>
    <row r="6325" customFormat="false" ht="15" hidden="false" customHeight="false" outlineLevel="0" collapsed="false">
      <c r="A6325" s="0" t="n">
        <f aca="false">COUPNUM(DATE(2024,6,30),DATE(2025,2,28),1,1)</f>
        <v>1</v>
      </c>
      <c r="B6325" s="0" t="s">
        <v>6304</v>
      </c>
    </row>
    <row r="6326" customFormat="false" ht="15" hidden="false" customHeight="false" outlineLevel="0" collapsed="false">
      <c r="A6326" s="0" t="n">
        <f aca="false">COUPDAYBS(DATE(2024,6,30),DATE(2025,2,28),1,1)</f>
        <v>122</v>
      </c>
      <c r="B6326" s="0" t="s">
        <v>6305</v>
      </c>
    </row>
    <row r="6327" customFormat="false" ht="15" hidden="false" customHeight="false" outlineLevel="0" collapsed="false">
      <c r="A6327" s="0" t="n">
        <f aca="false">COUPDAYS(DATE(2024,6,30),DATE(2025,2,28),1,1)</f>
        <v>365</v>
      </c>
      <c r="B6327" s="0" t="s">
        <v>6306</v>
      </c>
    </row>
    <row r="6328" customFormat="false" ht="15" hidden="false" customHeight="false" outlineLevel="0" collapsed="false">
      <c r="A6328" s="0" t="n">
        <f aca="false">COUPDAYSNC(DATE(2024,6,30),DATE(2025,2,28),1,1)</f>
        <v>243</v>
      </c>
      <c r="B6328" s="0" t="s">
        <v>6307</v>
      </c>
    </row>
    <row r="6329" customFormat="false" ht="15" hidden="false" customHeight="false" outlineLevel="0" collapsed="false">
      <c r="A6329" s="0" t="n">
        <f aca="false">COUPPCD(DATE(2024,6,30),DATE(2025,2,28),1,2)</f>
        <v>45351</v>
      </c>
      <c r="B6329" s="0" t="s">
        <v>6308</v>
      </c>
    </row>
    <row r="6330" customFormat="false" ht="15" hidden="false" customHeight="false" outlineLevel="0" collapsed="false">
      <c r="A6330" s="0" t="n">
        <f aca="false">COUPNCD(DATE(2024,6,30),DATE(2025,2,28),1,2)</f>
        <v>45716</v>
      </c>
      <c r="B6330" s="0" t="s">
        <v>6309</v>
      </c>
    </row>
    <row r="6331" customFormat="false" ht="15" hidden="false" customHeight="false" outlineLevel="0" collapsed="false">
      <c r="A6331" s="0" t="n">
        <f aca="false">COUPNUM(DATE(2024,6,30),DATE(2025,2,28),1,2)</f>
        <v>1</v>
      </c>
      <c r="B6331" s="0" t="s">
        <v>6310</v>
      </c>
    </row>
    <row r="6332" customFormat="false" ht="15" hidden="false" customHeight="false" outlineLevel="0" collapsed="false">
      <c r="A6332" s="0" t="n">
        <f aca="false">COUPDAYBS(DATE(2024,6,30),DATE(2025,2,28),1,2)</f>
        <v>122</v>
      </c>
      <c r="B6332" s="0" t="s">
        <v>6311</v>
      </c>
    </row>
    <row r="6333" customFormat="false" ht="15" hidden="false" customHeight="false" outlineLevel="0" collapsed="false">
      <c r="A6333" s="0" t="n">
        <f aca="false">COUPDAYS(DATE(2024,6,30),DATE(2025,2,28),1,2)</f>
        <v>360</v>
      </c>
      <c r="B6333" s="0" t="s">
        <v>6312</v>
      </c>
    </row>
    <row r="6334" customFormat="false" ht="15" hidden="false" customHeight="false" outlineLevel="0" collapsed="false">
      <c r="A6334" s="0" t="n">
        <f aca="false">COUPDAYSNC(DATE(2024,6,30),DATE(2025,2,28),1,2)</f>
        <v>243</v>
      </c>
      <c r="B6334" s="0" t="s">
        <v>6313</v>
      </c>
    </row>
    <row r="6335" customFormat="false" ht="15" hidden="false" customHeight="false" outlineLevel="0" collapsed="false">
      <c r="A6335" s="0" t="n">
        <f aca="false">COUPPCD(DATE(2024,6,30),DATE(2025,2,28),1,3)</f>
        <v>45351</v>
      </c>
      <c r="B6335" s="0" t="s">
        <v>6314</v>
      </c>
    </row>
    <row r="6336" customFormat="false" ht="15" hidden="false" customHeight="false" outlineLevel="0" collapsed="false">
      <c r="A6336" s="0" t="n">
        <f aca="false">COUPNCD(DATE(2024,6,30),DATE(2025,2,28),1,3)</f>
        <v>45716</v>
      </c>
      <c r="B6336" s="0" t="s">
        <v>6315</v>
      </c>
    </row>
    <row r="6337" customFormat="false" ht="15" hidden="false" customHeight="false" outlineLevel="0" collapsed="false">
      <c r="A6337" s="0" t="n">
        <f aca="false">COUPNUM(DATE(2024,6,30),DATE(2025,2,28),1,3)</f>
        <v>1</v>
      </c>
      <c r="B6337" s="0" t="s">
        <v>6316</v>
      </c>
    </row>
    <row r="6338" customFormat="false" ht="15" hidden="false" customHeight="false" outlineLevel="0" collapsed="false">
      <c r="A6338" s="0" t="n">
        <f aca="false">COUPDAYBS(DATE(2024,6,30),DATE(2025,2,28),1,3)</f>
        <v>122</v>
      </c>
      <c r="B6338" s="0" t="s">
        <v>6317</v>
      </c>
    </row>
    <row r="6339" customFormat="false" ht="15" hidden="false" customHeight="false" outlineLevel="0" collapsed="false">
      <c r="A6339" s="0" t="n">
        <f aca="false">COUPDAYS(DATE(2024,6,30),DATE(2025,2,28),1,3)</f>
        <v>365</v>
      </c>
      <c r="B6339" s="0" t="s">
        <v>6318</v>
      </c>
    </row>
    <row r="6340" customFormat="false" ht="15" hidden="false" customHeight="false" outlineLevel="0" collapsed="false">
      <c r="A6340" s="0" t="n">
        <f aca="false">COUPDAYSNC(DATE(2024,6,30),DATE(2025,2,28),1,3)</f>
        <v>243</v>
      </c>
      <c r="B6340" s="0" t="s">
        <v>6319</v>
      </c>
    </row>
    <row r="6341" customFormat="false" ht="15" hidden="false" customHeight="false" outlineLevel="0" collapsed="false">
      <c r="A6341" s="0" t="n">
        <f aca="false">COUPPCD(DATE(2024,6,30),DATE(2025,2,28),1,4)</f>
        <v>45351</v>
      </c>
      <c r="B6341" s="0" t="s">
        <v>6320</v>
      </c>
    </row>
    <row r="6342" customFormat="false" ht="15" hidden="false" customHeight="false" outlineLevel="0" collapsed="false">
      <c r="A6342" s="0" t="n">
        <f aca="false">COUPNCD(DATE(2024,6,30),DATE(2025,2,28),1,4)</f>
        <v>45716</v>
      </c>
      <c r="B6342" s="0" t="s">
        <v>6321</v>
      </c>
    </row>
    <row r="6343" customFormat="false" ht="15" hidden="false" customHeight="false" outlineLevel="0" collapsed="false">
      <c r="A6343" s="0" t="n">
        <f aca="false">COUPNUM(DATE(2024,6,30),DATE(2025,2,28),1,4)</f>
        <v>1</v>
      </c>
      <c r="B6343" s="0" t="s">
        <v>6322</v>
      </c>
    </row>
    <row r="6344" customFormat="false" ht="15" hidden="false" customHeight="false" outlineLevel="0" collapsed="false">
      <c r="A6344" s="0" t="n">
        <f aca="false">COUPDAYBS(DATE(2024,6,30),DATE(2025,2,28),1,4)</f>
        <v>121</v>
      </c>
      <c r="B6344" s="0" t="s">
        <v>6323</v>
      </c>
    </row>
    <row r="6345" customFormat="false" ht="15" hidden="false" customHeight="false" outlineLevel="0" collapsed="false">
      <c r="A6345" s="0" t="n">
        <f aca="false">COUPDAYS(DATE(2024,6,30),DATE(2025,2,28),1,4)</f>
        <v>360</v>
      </c>
      <c r="B6345" s="0" t="s">
        <v>6324</v>
      </c>
    </row>
    <row r="6346" customFormat="false" ht="15" hidden="false" customHeight="false" outlineLevel="0" collapsed="false">
      <c r="A6346" s="0" t="n">
        <f aca="false">COUPDAYSNC(DATE(2024,6,30),DATE(2025,2,28),1,4)</f>
        <v>239</v>
      </c>
      <c r="B6346" s="0" t="s">
        <v>6325</v>
      </c>
    </row>
    <row r="6347" customFormat="false" ht="15" hidden="false" customHeight="false" outlineLevel="0" collapsed="false">
      <c r="A6347" s="0" t="n">
        <f aca="false">COUPPCD(DATE(2024,6,30),DATE(2025,2,28),2,0)</f>
        <v>45351</v>
      </c>
      <c r="B6347" s="0" t="s">
        <v>6326</v>
      </c>
    </row>
    <row r="6348" customFormat="false" ht="15" hidden="false" customHeight="false" outlineLevel="0" collapsed="false">
      <c r="A6348" s="0" t="n">
        <f aca="false">COUPNCD(DATE(2024,6,30),DATE(2025,2,28),2,0)</f>
        <v>45535</v>
      </c>
      <c r="B6348" s="0" t="s">
        <v>6327</v>
      </c>
    </row>
    <row r="6349" customFormat="false" ht="15" hidden="false" customHeight="false" outlineLevel="0" collapsed="false">
      <c r="A6349" s="0" t="n">
        <f aca="false">COUPNUM(DATE(2024,6,30),DATE(2025,2,28),2,0)</f>
        <v>2</v>
      </c>
      <c r="B6349" s="0" t="s">
        <v>6328</v>
      </c>
    </row>
    <row r="6350" customFormat="false" ht="15" hidden="false" customHeight="false" outlineLevel="0" collapsed="false">
      <c r="A6350" s="0" t="n">
        <f aca="false">COUPDAYBS(DATE(2024,6,30),DATE(2025,2,28),2,0)</f>
        <v>120</v>
      </c>
      <c r="B6350" s="0" t="s">
        <v>6329</v>
      </c>
    </row>
    <row r="6351" customFormat="false" ht="15" hidden="false" customHeight="false" outlineLevel="0" collapsed="false">
      <c r="A6351" s="0" t="n">
        <f aca="false">COUPDAYS(DATE(2024,6,30),DATE(2025,2,28),2,0)</f>
        <v>180</v>
      </c>
      <c r="B6351" s="0" t="s">
        <v>6330</v>
      </c>
    </row>
    <row r="6352" customFormat="false" ht="15" hidden="false" customHeight="false" outlineLevel="0" collapsed="false">
      <c r="A6352" s="0" t="n">
        <f aca="false">COUPDAYSNC(DATE(2024,6,30),DATE(2025,2,28),2,0)</f>
        <v>60</v>
      </c>
      <c r="B6352" s="0" t="s">
        <v>6331</v>
      </c>
    </row>
    <row r="6353" customFormat="false" ht="15" hidden="false" customHeight="false" outlineLevel="0" collapsed="false">
      <c r="A6353" s="0" t="n">
        <f aca="false">COUPPCD(DATE(2024,6,30),DATE(2025,2,28),2,1)</f>
        <v>45351</v>
      </c>
      <c r="B6353" s="0" t="s">
        <v>6332</v>
      </c>
    </row>
    <row r="6354" customFormat="false" ht="15" hidden="false" customHeight="false" outlineLevel="0" collapsed="false">
      <c r="A6354" s="0" t="n">
        <f aca="false">COUPNCD(DATE(2024,6,30),DATE(2025,2,28),2,1)</f>
        <v>45535</v>
      </c>
      <c r="B6354" s="0" t="s">
        <v>6333</v>
      </c>
    </row>
    <row r="6355" customFormat="false" ht="15" hidden="false" customHeight="false" outlineLevel="0" collapsed="false">
      <c r="A6355" s="0" t="n">
        <f aca="false">COUPNUM(DATE(2024,6,30),DATE(2025,2,28),2,1)</f>
        <v>2</v>
      </c>
      <c r="B6355" s="0" t="s">
        <v>6334</v>
      </c>
    </row>
    <row r="6356" customFormat="false" ht="15" hidden="false" customHeight="false" outlineLevel="0" collapsed="false">
      <c r="A6356" s="0" t="n">
        <f aca="false">COUPDAYBS(DATE(2024,6,30),DATE(2025,2,28),2,1)</f>
        <v>122</v>
      </c>
      <c r="B6356" s="0" t="s">
        <v>6335</v>
      </c>
    </row>
    <row r="6357" customFormat="false" ht="15" hidden="false" customHeight="false" outlineLevel="0" collapsed="false">
      <c r="A6357" s="0" t="n">
        <f aca="false">COUPDAYS(DATE(2024,6,30),DATE(2025,2,28),2,1)</f>
        <v>184</v>
      </c>
      <c r="B6357" s="0" t="s">
        <v>6336</v>
      </c>
    </row>
    <row r="6358" customFormat="false" ht="15" hidden="false" customHeight="false" outlineLevel="0" collapsed="false">
      <c r="A6358" s="0" t="n">
        <f aca="false">COUPDAYSNC(DATE(2024,6,30),DATE(2025,2,28),2,1)</f>
        <v>62</v>
      </c>
      <c r="B6358" s="0" t="s">
        <v>6337</v>
      </c>
    </row>
    <row r="6359" customFormat="false" ht="15" hidden="false" customHeight="false" outlineLevel="0" collapsed="false">
      <c r="A6359" s="0" t="n">
        <f aca="false">COUPPCD(DATE(2024,6,30),DATE(2025,2,28),2,2)</f>
        <v>45351</v>
      </c>
      <c r="B6359" s="0" t="s">
        <v>6338</v>
      </c>
    </row>
    <row r="6360" customFormat="false" ht="15" hidden="false" customHeight="false" outlineLevel="0" collapsed="false">
      <c r="A6360" s="0" t="n">
        <f aca="false">COUPNCD(DATE(2024,6,30),DATE(2025,2,28),2,2)</f>
        <v>45535</v>
      </c>
      <c r="B6360" s="0" t="s">
        <v>6339</v>
      </c>
    </row>
    <row r="6361" customFormat="false" ht="15" hidden="false" customHeight="false" outlineLevel="0" collapsed="false">
      <c r="A6361" s="0" t="n">
        <f aca="false">COUPNUM(DATE(2024,6,30),DATE(2025,2,28),2,2)</f>
        <v>2</v>
      </c>
      <c r="B6361" s="0" t="s">
        <v>6340</v>
      </c>
    </row>
    <row r="6362" customFormat="false" ht="15" hidden="false" customHeight="false" outlineLevel="0" collapsed="false">
      <c r="A6362" s="0" t="n">
        <f aca="false">COUPDAYBS(DATE(2024,6,30),DATE(2025,2,28),2,2)</f>
        <v>122</v>
      </c>
      <c r="B6362" s="0" t="s">
        <v>6341</v>
      </c>
    </row>
    <row r="6363" customFormat="false" ht="15" hidden="false" customHeight="false" outlineLevel="0" collapsed="false">
      <c r="A6363" s="0" t="n">
        <f aca="false">COUPDAYS(DATE(2024,6,30),DATE(2025,2,28),2,2)</f>
        <v>180</v>
      </c>
      <c r="B6363" s="0" t="s">
        <v>6342</v>
      </c>
    </row>
    <row r="6364" customFormat="false" ht="15" hidden="false" customHeight="false" outlineLevel="0" collapsed="false">
      <c r="A6364" s="0" t="n">
        <f aca="false">COUPDAYSNC(DATE(2024,6,30),DATE(2025,2,28),2,2)</f>
        <v>62</v>
      </c>
      <c r="B6364" s="0" t="s">
        <v>6343</v>
      </c>
    </row>
    <row r="6365" customFormat="false" ht="15" hidden="false" customHeight="false" outlineLevel="0" collapsed="false">
      <c r="A6365" s="0" t="n">
        <f aca="false">COUPPCD(DATE(2024,6,30),DATE(2025,2,28),2,3)</f>
        <v>45351</v>
      </c>
      <c r="B6365" s="0" t="s">
        <v>6344</v>
      </c>
    </row>
    <row r="6366" customFormat="false" ht="15" hidden="false" customHeight="false" outlineLevel="0" collapsed="false">
      <c r="A6366" s="0" t="n">
        <f aca="false">COUPNCD(DATE(2024,6,30),DATE(2025,2,28),2,3)</f>
        <v>45535</v>
      </c>
      <c r="B6366" s="0" t="s">
        <v>6345</v>
      </c>
    </row>
    <row r="6367" customFormat="false" ht="15" hidden="false" customHeight="false" outlineLevel="0" collapsed="false">
      <c r="A6367" s="0" t="n">
        <f aca="false">COUPNUM(DATE(2024,6,30),DATE(2025,2,28),2,3)</f>
        <v>2</v>
      </c>
      <c r="B6367" s="0" t="s">
        <v>6346</v>
      </c>
    </row>
    <row r="6368" customFormat="false" ht="15" hidden="false" customHeight="false" outlineLevel="0" collapsed="false">
      <c r="A6368" s="0" t="n">
        <f aca="false">COUPDAYBS(DATE(2024,6,30),DATE(2025,2,28),2,3)</f>
        <v>122</v>
      </c>
      <c r="B6368" s="0" t="s">
        <v>6347</v>
      </c>
    </row>
    <row r="6369" customFormat="false" ht="15" hidden="false" customHeight="false" outlineLevel="0" collapsed="false">
      <c r="A6369" s="0" t="n">
        <f aca="false">COUPDAYS(DATE(2024,6,30),DATE(2025,2,28),2,3)</f>
        <v>182.5</v>
      </c>
      <c r="B6369" s="0" t="s">
        <v>6348</v>
      </c>
    </row>
    <row r="6370" customFormat="false" ht="15" hidden="false" customHeight="false" outlineLevel="0" collapsed="false">
      <c r="A6370" s="0" t="n">
        <f aca="false">COUPDAYSNC(DATE(2024,6,30),DATE(2025,2,28),2,3)</f>
        <v>62</v>
      </c>
      <c r="B6370" s="0" t="s">
        <v>6349</v>
      </c>
    </row>
    <row r="6371" customFormat="false" ht="15" hidden="false" customHeight="false" outlineLevel="0" collapsed="false">
      <c r="A6371" s="0" t="n">
        <f aca="false">COUPPCD(DATE(2024,6,30),DATE(2025,2,28),2,4)</f>
        <v>45351</v>
      </c>
      <c r="B6371" s="0" t="s">
        <v>6350</v>
      </c>
    </row>
    <row r="6372" customFormat="false" ht="15" hidden="false" customHeight="false" outlineLevel="0" collapsed="false">
      <c r="A6372" s="0" t="n">
        <f aca="false">COUPNCD(DATE(2024,6,30),DATE(2025,2,28),2,4)</f>
        <v>45535</v>
      </c>
      <c r="B6372" s="0" t="s">
        <v>6351</v>
      </c>
    </row>
    <row r="6373" customFormat="false" ht="15" hidden="false" customHeight="false" outlineLevel="0" collapsed="false">
      <c r="A6373" s="0" t="n">
        <f aca="false">COUPNUM(DATE(2024,6,30),DATE(2025,2,28),2,4)</f>
        <v>2</v>
      </c>
      <c r="B6373" s="0" t="s">
        <v>6352</v>
      </c>
    </row>
    <row r="6374" customFormat="false" ht="15" hidden="false" customHeight="false" outlineLevel="0" collapsed="false">
      <c r="A6374" s="0" t="n">
        <f aca="false">COUPDAYBS(DATE(2024,6,30),DATE(2025,2,28),2,4)</f>
        <v>121</v>
      </c>
      <c r="B6374" s="0" t="s">
        <v>6353</v>
      </c>
    </row>
    <row r="6375" customFormat="false" ht="15" hidden="false" customHeight="false" outlineLevel="0" collapsed="false">
      <c r="A6375" s="0" t="n">
        <f aca="false">COUPDAYS(DATE(2024,6,30),DATE(2025,2,28),2,4)</f>
        <v>180</v>
      </c>
      <c r="B6375" s="0" t="s">
        <v>6354</v>
      </c>
    </row>
    <row r="6376" customFormat="false" ht="15" hidden="false" customHeight="false" outlineLevel="0" collapsed="false">
      <c r="A6376" s="0" t="n">
        <f aca="false">COUPDAYSNC(DATE(2024,6,30),DATE(2025,2,28),2,4)</f>
        <v>59</v>
      </c>
      <c r="B6376" s="0" t="s">
        <v>6355</v>
      </c>
    </row>
    <row r="6377" customFormat="false" ht="15" hidden="false" customHeight="false" outlineLevel="0" collapsed="false">
      <c r="A6377" s="0" t="n">
        <f aca="false">COUPPCD(DATE(2024,6,30),DATE(2025,2,28),4,0)</f>
        <v>45443</v>
      </c>
      <c r="B6377" s="0" t="s">
        <v>6356</v>
      </c>
    </row>
    <row r="6378" customFormat="false" ht="15" hidden="false" customHeight="false" outlineLevel="0" collapsed="false">
      <c r="A6378" s="0" t="n">
        <f aca="false">COUPNCD(DATE(2024,6,30),DATE(2025,2,28),4,0)</f>
        <v>45535</v>
      </c>
      <c r="B6378" s="0" t="s">
        <v>6357</v>
      </c>
    </row>
    <row r="6379" customFormat="false" ht="15" hidden="false" customHeight="false" outlineLevel="0" collapsed="false">
      <c r="A6379" s="0" t="n">
        <f aca="false">COUPNUM(DATE(2024,6,30),DATE(2025,2,28),4,0)</f>
        <v>3</v>
      </c>
      <c r="B6379" s="0" t="s">
        <v>6358</v>
      </c>
    </row>
    <row r="6380" customFormat="false" ht="15" hidden="false" customHeight="false" outlineLevel="0" collapsed="false">
      <c r="A6380" s="0" t="n">
        <f aca="false">COUPDAYBS(DATE(2024,6,30),DATE(2025,2,28),4,0)</f>
        <v>30</v>
      </c>
      <c r="B6380" s="0" t="s">
        <v>6359</v>
      </c>
    </row>
    <row r="6381" customFormat="false" ht="15" hidden="false" customHeight="false" outlineLevel="0" collapsed="false">
      <c r="A6381" s="0" t="n">
        <f aca="false">COUPDAYS(DATE(2024,6,30),DATE(2025,2,28),4,0)</f>
        <v>90</v>
      </c>
      <c r="B6381" s="0" t="s">
        <v>6360</v>
      </c>
    </row>
    <row r="6382" customFormat="false" ht="15" hidden="false" customHeight="false" outlineLevel="0" collapsed="false">
      <c r="A6382" s="0" t="n">
        <f aca="false">COUPDAYSNC(DATE(2024,6,30),DATE(2025,2,28),4,0)</f>
        <v>60</v>
      </c>
      <c r="B6382" s="0" t="s">
        <v>6361</v>
      </c>
    </row>
    <row r="6383" customFormat="false" ht="15" hidden="false" customHeight="false" outlineLevel="0" collapsed="false">
      <c r="A6383" s="0" t="n">
        <f aca="false">COUPPCD(DATE(2024,6,30),DATE(2025,2,28),4,1)</f>
        <v>45443</v>
      </c>
      <c r="B6383" s="0" t="s">
        <v>6362</v>
      </c>
    </row>
    <row r="6384" customFormat="false" ht="15" hidden="false" customHeight="false" outlineLevel="0" collapsed="false">
      <c r="A6384" s="0" t="n">
        <f aca="false">COUPNCD(DATE(2024,6,30),DATE(2025,2,28),4,1)</f>
        <v>45535</v>
      </c>
      <c r="B6384" s="0" t="s">
        <v>6363</v>
      </c>
    </row>
    <row r="6385" customFormat="false" ht="15" hidden="false" customHeight="false" outlineLevel="0" collapsed="false">
      <c r="A6385" s="0" t="n">
        <f aca="false">COUPNUM(DATE(2024,6,30),DATE(2025,2,28),4,1)</f>
        <v>3</v>
      </c>
      <c r="B6385" s="0" t="s">
        <v>6364</v>
      </c>
    </row>
    <row r="6386" customFormat="false" ht="15" hidden="false" customHeight="false" outlineLevel="0" collapsed="false">
      <c r="A6386" s="0" t="n">
        <f aca="false">COUPDAYBS(DATE(2024,6,30),DATE(2025,2,28),4,1)</f>
        <v>30</v>
      </c>
      <c r="B6386" s="0" t="s">
        <v>6365</v>
      </c>
    </row>
    <row r="6387" customFormat="false" ht="15" hidden="false" customHeight="false" outlineLevel="0" collapsed="false">
      <c r="A6387" s="0" t="n">
        <f aca="false">COUPDAYS(DATE(2024,6,30),DATE(2025,2,28),4,1)</f>
        <v>92</v>
      </c>
      <c r="B6387" s="0" t="s">
        <v>6366</v>
      </c>
    </row>
    <row r="6388" customFormat="false" ht="15" hidden="false" customHeight="false" outlineLevel="0" collapsed="false">
      <c r="A6388" s="0" t="n">
        <f aca="false">COUPDAYSNC(DATE(2024,6,30),DATE(2025,2,28),4,1)</f>
        <v>62</v>
      </c>
      <c r="B6388" s="0" t="s">
        <v>6367</v>
      </c>
    </row>
    <row r="6389" customFormat="false" ht="15" hidden="false" customHeight="false" outlineLevel="0" collapsed="false">
      <c r="A6389" s="0" t="n">
        <f aca="false">COUPPCD(DATE(2024,6,30),DATE(2025,2,28),4,2)</f>
        <v>45443</v>
      </c>
      <c r="B6389" s="0" t="s">
        <v>6368</v>
      </c>
    </row>
    <row r="6390" customFormat="false" ht="15" hidden="false" customHeight="false" outlineLevel="0" collapsed="false">
      <c r="A6390" s="0" t="n">
        <f aca="false">COUPNCD(DATE(2024,6,30),DATE(2025,2,28),4,2)</f>
        <v>45535</v>
      </c>
      <c r="B6390" s="0" t="s">
        <v>6369</v>
      </c>
    </row>
    <row r="6391" customFormat="false" ht="15" hidden="false" customHeight="false" outlineLevel="0" collapsed="false">
      <c r="A6391" s="0" t="n">
        <f aca="false">COUPNUM(DATE(2024,6,30),DATE(2025,2,28),4,2)</f>
        <v>3</v>
      </c>
      <c r="B6391" s="0" t="s">
        <v>6370</v>
      </c>
    </row>
    <row r="6392" customFormat="false" ht="15" hidden="false" customHeight="false" outlineLevel="0" collapsed="false">
      <c r="A6392" s="0" t="n">
        <f aca="false">COUPDAYBS(DATE(2024,6,30),DATE(2025,2,28),4,2)</f>
        <v>30</v>
      </c>
      <c r="B6392" s="0" t="s">
        <v>6371</v>
      </c>
    </row>
    <row r="6393" customFormat="false" ht="15" hidden="false" customHeight="false" outlineLevel="0" collapsed="false">
      <c r="A6393" s="0" t="n">
        <f aca="false">COUPDAYS(DATE(2024,6,30),DATE(2025,2,28),4,2)</f>
        <v>90</v>
      </c>
      <c r="B6393" s="0" t="s">
        <v>6372</v>
      </c>
    </row>
    <row r="6394" customFormat="false" ht="15" hidden="false" customHeight="false" outlineLevel="0" collapsed="false">
      <c r="A6394" s="0" t="n">
        <f aca="false">COUPDAYSNC(DATE(2024,6,30),DATE(2025,2,28),4,2)</f>
        <v>62</v>
      </c>
      <c r="B6394" s="0" t="s">
        <v>6373</v>
      </c>
    </row>
    <row r="6395" customFormat="false" ht="15" hidden="false" customHeight="false" outlineLevel="0" collapsed="false">
      <c r="A6395" s="0" t="n">
        <f aca="false">COUPPCD(DATE(2024,6,30),DATE(2025,2,28),4,3)</f>
        <v>45443</v>
      </c>
      <c r="B6395" s="0" t="s">
        <v>6374</v>
      </c>
    </row>
    <row r="6396" customFormat="false" ht="15" hidden="false" customHeight="false" outlineLevel="0" collapsed="false">
      <c r="A6396" s="0" t="n">
        <f aca="false">COUPNCD(DATE(2024,6,30),DATE(2025,2,28),4,3)</f>
        <v>45535</v>
      </c>
      <c r="B6396" s="0" t="s">
        <v>6375</v>
      </c>
    </row>
    <row r="6397" customFormat="false" ht="15" hidden="false" customHeight="false" outlineLevel="0" collapsed="false">
      <c r="A6397" s="0" t="n">
        <f aca="false">COUPNUM(DATE(2024,6,30),DATE(2025,2,28),4,3)</f>
        <v>3</v>
      </c>
      <c r="B6397" s="0" t="s">
        <v>6376</v>
      </c>
    </row>
    <row r="6398" customFormat="false" ht="15" hidden="false" customHeight="false" outlineLevel="0" collapsed="false">
      <c r="A6398" s="0" t="n">
        <f aca="false">COUPDAYBS(DATE(2024,6,30),DATE(2025,2,28),4,3)</f>
        <v>30</v>
      </c>
      <c r="B6398" s="0" t="s">
        <v>6377</v>
      </c>
    </row>
    <row r="6399" customFormat="false" ht="15" hidden="false" customHeight="false" outlineLevel="0" collapsed="false">
      <c r="A6399" s="0" t="n">
        <f aca="false">COUPDAYS(DATE(2024,6,30),DATE(2025,2,28),4,3)</f>
        <v>91.25</v>
      </c>
      <c r="B6399" s="0" t="s">
        <v>6378</v>
      </c>
    </row>
    <row r="6400" customFormat="false" ht="15" hidden="false" customHeight="false" outlineLevel="0" collapsed="false">
      <c r="A6400" s="0" t="n">
        <f aca="false">COUPDAYSNC(DATE(2024,6,30),DATE(2025,2,28),4,3)</f>
        <v>62</v>
      </c>
      <c r="B6400" s="0" t="s">
        <v>6379</v>
      </c>
    </row>
    <row r="6401" customFormat="false" ht="15" hidden="false" customHeight="false" outlineLevel="0" collapsed="false">
      <c r="A6401" s="0" t="n">
        <f aca="false">COUPPCD(DATE(2024,6,30),DATE(2025,2,28),4,4)</f>
        <v>45443</v>
      </c>
      <c r="B6401" s="0" t="s">
        <v>6380</v>
      </c>
    </row>
    <row r="6402" customFormat="false" ht="15" hidden="false" customHeight="false" outlineLevel="0" collapsed="false">
      <c r="A6402" s="0" t="n">
        <f aca="false">COUPNCD(DATE(2024,6,30),DATE(2025,2,28),4,4)</f>
        <v>45535</v>
      </c>
      <c r="B6402" s="0" t="s">
        <v>6381</v>
      </c>
    </row>
    <row r="6403" customFormat="false" ht="15" hidden="false" customHeight="false" outlineLevel="0" collapsed="false">
      <c r="A6403" s="0" t="n">
        <f aca="false">COUPNUM(DATE(2024,6,30),DATE(2025,2,28),4,4)</f>
        <v>3</v>
      </c>
      <c r="B6403" s="0" t="s">
        <v>6382</v>
      </c>
    </row>
    <row r="6404" customFormat="false" ht="15" hidden="false" customHeight="false" outlineLevel="0" collapsed="false">
      <c r="A6404" s="0" t="n">
        <f aca="false">COUPDAYBS(DATE(2024,6,30),DATE(2025,2,28),4,4)</f>
        <v>30</v>
      </c>
      <c r="B6404" s="0" t="s">
        <v>6383</v>
      </c>
    </row>
    <row r="6405" customFormat="false" ht="15" hidden="false" customHeight="false" outlineLevel="0" collapsed="false">
      <c r="A6405" s="0" t="n">
        <f aca="false">COUPDAYS(DATE(2024,6,30),DATE(2025,2,28),4,4)</f>
        <v>90</v>
      </c>
      <c r="B6405" s="0" t="s">
        <v>6384</v>
      </c>
    </row>
    <row r="6406" customFormat="false" ht="15" hidden="false" customHeight="false" outlineLevel="0" collapsed="false">
      <c r="A6406" s="0" t="n">
        <f aca="false">COUPDAYSNC(DATE(2024,6,30),DATE(2025,2,28),4,4)</f>
        <v>60</v>
      </c>
      <c r="B6406" s="0" t="s">
        <v>6385</v>
      </c>
    </row>
    <row r="6407" customFormat="false" ht="15" hidden="false" customHeight="false" outlineLevel="0" collapsed="false">
      <c r="A6407" s="0" t="n">
        <f aca="false">COUPNUM(DATE(2024,6,30),DATE(2025,2,28),2)</f>
        <v>2</v>
      </c>
      <c r="B6407" s="0" t="s">
        <v>6386</v>
      </c>
    </row>
    <row r="6408" customFormat="false" ht="15" hidden="false" customHeight="false" outlineLevel="0" collapsed="false">
      <c r="A6408" s="0" t="n">
        <f aca="false">COUPDAYS(DATE(2024,6,30),DATE(2025,2,28),2)</f>
        <v>180</v>
      </c>
      <c r="B6408" s="0" t="s">
        <v>6387</v>
      </c>
    </row>
    <row r="6409" customFormat="false" ht="15" hidden="false" customHeight="false" outlineLevel="0" collapsed="false">
      <c r="A6409" s="0" t="n">
        <f aca="false">COUPPCD(DATE(2024,11,30),DATE(2027,2,28),1,0)</f>
        <v>45351</v>
      </c>
      <c r="B6409" s="0" t="s">
        <v>6388</v>
      </c>
    </row>
    <row r="6410" customFormat="false" ht="15" hidden="false" customHeight="false" outlineLevel="0" collapsed="false">
      <c r="A6410" s="0" t="n">
        <f aca="false">COUPNCD(DATE(2024,11,30),DATE(2027,2,28),1,0)</f>
        <v>45716</v>
      </c>
      <c r="B6410" s="0" t="s">
        <v>6389</v>
      </c>
    </row>
    <row r="6411" customFormat="false" ht="15" hidden="false" customHeight="false" outlineLevel="0" collapsed="false">
      <c r="A6411" s="0" t="n">
        <f aca="false">COUPNUM(DATE(2024,11,30),DATE(2027,2,28),1,0)</f>
        <v>3</v>
      </c>
      <c r="B6411" s="0" t="s">
        <v>6390</v>
      </c>
    </row>
    <row r="6412" customFormat="false" ht="15" hidden="false" customHeight="false" outlineLevel="0" collapsed="false">
      <c r="A6412" s="0" t="n">
        <f aca="false">COUPDAYBS(DATE(2024,11,30),DATE(2027,2,28),1,0)</f>
        <v>270</v>
      </c>
      <c r="B6412" s="0" t="s">
        <v>6391</v>
      </c>
    </row>
    <row r="6413" customFormat="false" ht="15" hidden="false" customHeight="false" outlineLevel="0" collapsed="false">
      <c r="A6413" s="0" t="n">
        <f aca="false">COUPDAYS(DATE(2024,11,30),DATE(2027,2,28),1,0)</f>
        <v>360</v>
      </c>
      <c r="B6413" s="0" t="s">
        <v>6392</v>
      </c>
    </row>
    <row r="6414" customFormat="false" ht="15" hidden="false" customHeight="false" outlineLevel="0" collapsed="false">
      <c r="A6414" s="0" t="n">
        <f aca="false">COUPDAYSNC(DATE(2024,11,30),DATE(2027,2,28),1,0)</f>
        <v>90</v>
      </c>
      <c r="B6414" s="0" t="s">
        <v>6393</v>
      </c>
    </row>
    <row r="6415" customFormat="false" ht="15" hidden="false" customHeight="false" outlineLevel="0" collapsed="false">
      <c r="A6415" s="0" t="n">
        <f aca="false">COUPPCD(DATE(2024,11,30),DATE(2027,2,28),1,1)</f>
        <v>45351</v>
      </c>
      <c r="B6415" s="0" t="s">
        <v>6394</v>
      </c>
    </row>
    <row r="6416" customFormat="false" ht="15" hidden="false" customHeight="false" outlineLevel="0" collapsed="false">
      <c r="A6416" s="0" t="n">
        <f aca="false">COUPNCD(DATE(2024,11,30),DATE(2027,2,28),1,1)</f>
        <v>45716</v>
      </c>
      <c r="B6416" s="0" t="s">
        <v>6395</v>
      </c>
    </row>
    <row r="6417" customFormat="false" ht="15" hidden="false" customHeight="false" outlineLevel="0" collapsed="false">
      <c r="A6417" s="0" t="n">
        <f aca="false">COUPNUM(DATE(2024,11,30),DATE(2027,2,28),1,1)</f>
        <v>3</v>
      </c>
      <c r="B6417" s="0" t="s">
        <v>6396</v>
      </c>
    </row>
    <row r="6418" customFormat="false" ht="15" hidden="false" customHeight="false" outlineLevel="0" collapsed="false">
      <c r="A6418" s="0" t="n">
        <f aca="false">COUPDAYBS(DATE(2024,11,30),DATE(2027,2,28),1,1)</f>
        <v>275</v>
      </c>
      <c r="B6418" s="0" t="s">
        <v>6397</v>
      </c>
    </row>
    <row r="6419" customFormat="false" ht="15" hidden="false" customHeight="false" outlineLevel="0" collapsed="false">
      <c r="A6419" s="0" t="n">
        <f aca="false">COUPDAYS(DATE(2024,11,30),DATE(2027,2,28),1,1)</f>
        <v>365</v>
      </c>
      <c r="B6419" s="0" t="s">
        <v>6398</v>
      </c>
    </row>
    <row r="6420" customFormat="false" ht="15" hidden="false" customHeight="false" outlineLevel="0" collapsed="false">
      <c r="A6420" s="0" t="n">
        <f aca="false">COUPDAYSNC(DATE(2024,11,30),DATE(2027,2,28),1,1)</f>
        <v>90</v>
      </c>
      <c r="B6420" s="0" t="s">
        <v>6399</v>
      </c>
    </row>
    <row r="6421" customFormat="false" ht="15" hidden="false" customHeight="false" outlineLevel="0" collapsed="false">
      <c r="A6421" s="0" t="n">
        <f aca="false">COUPPCD(DATE(2024,11,30),DATE(2027,2,28),1,2)</f>
        <v>45351</v>
      </c>
      <c r="B6421" s="0" t="s">
        <v>6400</v>
      </c>
    </row>
    <row r="6422" customFormat="false" ht="15" hidden="false" customHeight="false" outlineLevel="0" collapsed="false">
      <c r="A6422" s="0" t="n">
        <f aca="false">COUPNCD(DATE(2024,11,30),DATE(2027,2,28),1,2)</f>
        <v>45716</v>
      </c>
      <c r="B6422" s="0" t="s">
        <v>6401</v>
      </c>
    </row>
    <row r="6423" customFormat="false" ht="15" hidden="false" customHeight="false" outlineLevel="0" collapsed="false">
      <c r="A6423" s="0" t="n">
        <f aca="false">COUPNUM(DATE(2024,11,30),DATE(2027,2,28),1,2)</f>
        <v>3</v>
      </c>
      <c r="B6423" s="0" t="s">
        <v>6402</v>
      </c>
    </row>
    <row r="6424" customFormat="false" ht="15" hidden="false" customHeight="false" outlineLevel="0" collapsed="false">
      <c r="A6424" s="0" t="n">
        <f aca="false">COUPDAYBS(DATE(2024,11,30),DATE(2027,2,28),1,2)</f>
        <v>275</v>
      </c>
      <c r="B6424" s="0" t="s">
        <v>6403</v>
      </c>
    </row>
    <row r="6425" customFormat="false" ht="15" hidden="false" customHeight="false" outlineLevel="0" collapsed="false">
      <c r="A6425" s="0" t="n">
        <f aca="false">COUPDAYS(DATE(2024,11,30),DATE(2027,2,28),1,2)</f>
        <v>360</v>
      </c>
      <c r="B6425" s="0" t="s">
        <v>6404</v>
      </c>
    </row>
    <row r="6426" customFormat="false" ht="15" hidden="false" customHeight="false" outlineLevel="0" collapsed="false">
      <c r="A6426" s="0" t="n">
        <f aca="false">COUPDAYSNC(DATE(2024,11,30),DATE(2027,2,28),1,2)</f>
        <v>90</v>
      </c>
      <c r="B6426" s="0" t="s">
        <v>6405</v>
      </c>
    </row>
    <row r="6427" customFormat="false" ht="15" hidden="false" customHeight="false" outlineLevel="0" collapsed="false">
      <c r="A6427" s="0" t="n">
        <f aca="false">COUPPCD(DATE(2024,11,30),DATE(2027,2,28),1,3)</f>
        <v>45351</v>
      </c>
      <c r="B6427" s="0" t="s">
        <v>6406</v>
      </c>
    </row>
    <row r="6428" customFormat="false" ht="15" hidden="false" customHeight="false" outlineLevel="0" collapsed="false">
      <c r="A6428" s="0" t="n">
        <f aca="false">COUPNCD(DATE(2024,11,30),DATE(2027,2,28),1,3)</f>
        <v>45716</v>
      </c>
      <c r="B6428" s="0" t="s">
        <v>6407</v>
      </c>
    </row>
    <row r="6429" customFormat="false" ht="15" hidden="false" customHeight="false" outlineLevel="0" collapsed="false">
      <c r="A6429" s="0" t="n">
        <f aca="false">COUPNUM(DATE(2024,11,30),DATE(2027,2,28),1,3)</f>
        <v>3</v>
      </c>
      <c r="B6429" s="0" t="s">
        <v>6408</v>
      </c>
    </row>
    <row r="6430" customFormat="false" ht="15" hidden="false" customHeight="false" outlineLevel="0" collapsed="false">
      <c r="A6430" s="0" t="n">
        <f aca="false">COUPDAYBS(DATE(2024,11,30),DATE(2027,2,28),1,3)</f>
        <v>275</v>
      </c>
      <c r="B6430" s="0" t="s">
        <v>6409</v>
      </c>
    </row>
    <row r="6431" customFormat="false" ht="15" hidden="false" customHeight="false" outlineLevel="0" collapsed="false">
      <c r="A6431" s="0" t="n">
        <f aca="false">COUPDAYS(DATE(2024,11,30),DATE(2027,2,28),1,3)</f>
        <v>365</v>
      </c>
      <c r="B6431" s="0" t="s">
        <v>6410</v>
      </c>
    </row>
    <row r="6432" customFormat="false" ht="15" hidden="false" customHeight="false" outlineLevel="0" collapsed="false">
      <c r="A6432" s="0" t="n">
        <f aca="false">COUPDAYSNC(DATE(2024,11,30),DATE(2027,2,28),1,3)</f>
        <v>90</v>
      </c>
      <c r="B6432" s="0" t="s">
        <v>6411</v>
      </c>
    </row>
    <row r="6433" customFormat="false" ht="15" hidden="false" customHeight="false" outlineLevel="0" collapsed="false">
      <c r="A6433" s="0" t="n">
        <f aca="false">COUPPCD(DATE(2024,11,30),DATE(2027,2,28),1,4)</f>
        <v>45351</v>
      </c>
      <c r="B6433" s="0" t="s">
        <v>6412</v>
      </c>
    </row>
    <row r="6434" customFormat="false" ht="15" hidden="false" customHeight="false" outlineLevel="0" collapsed="false">
      <c r="A6434" s="0" t="n">
        <f aca="false">COUPNCD(DATE(2024,11,30),DATE(2027,2,28),1,4)</f>
        <v>45716</v>
      </c>
      <c r="B6434" s="0" t="s">
        <v>6413</v>
      </c>
    </row>
    <row r="6435" customFormat="false" ht="15" hidden="false" customHeight="false" outlineLevel="0" collapsed="false">
      <c r="A6435" s="0" t="n">
        <f aca="false">COUPNUM(DATE(2024,11,30),DATE(2027,2,28),1,4)</f>
        <v>3</v>
      </c>
      <c r="B6435" s="0" t="s">
        <v>6414</v>
      </c>
    </row>
    <row r="6436" customFormat="false" ht="15" hidden="false" customHeight="false" outlineLevel="0" collapsed="false">
      <c r="A6436" s="0" t="n">
        <f aca="false">COUPDAYBS(DATE(2024,11,30),DATE(2027,2,28),1,4)</f>
        <v>271</v>
      </c>
      <c r="B6436" s="0" t="s">
        <v>6415</v>
      </c>
    </row>
    <row r="6437" customFormat="false" ht="15" hidden="false" customHeight="false" outlineLevel="0" collapsed="false">
      <c r="A6437" s="0" t="n">
        <f aca="false">COUPDAYS(DATE(2024,11,30),DATE(2027,2,28),1,4)</f>
        <v>360</v>
      </c>
      <c r="B6437" s="0" t="s">
        <v>6416</v>
      </c>
    </row>
    <row r="6438" customFormat="false" ht="15" hidden="false" customHeight="false" outlineLevel="0" collapsed="false">
      <c r="A6438" s="0" t="n">
        <f aca="false">COUPDAYSNC(DATE(2024,11,30),DATE(2027,2,28),1,4)</f>
        <v>89</v>
      </c>
      <c r="B6438" s="0" t="s">
        <v>6417</v>
      </c>
    </row>
    <row r="6439" customFormat="false" ht="15" hidden="false" customHeight="false" outlineLevel="0" collapsed="false">
      <c r="A6439" s="0" t="n">
        <f aca="false">COUPPCD(DATE(2024,11,30),DATE(2027,2,28),2,0)</f>
        <v>45535</v>
      </c>
      <c r="B6439" s="0" t="s">
        <v>6418</v>
      </c>
    </row>
    <row r="6440" customFormat="false" ht="15" hidden="false" customHeight="false" outlineLevel="0" collapsed="false">
      <c r="A6440" s="0" t="n">
        <f aca="false">COUPNCD(DATE(2024,11,30),DATE(2027,2,28),2,0)</f>
        <v>45716</v>
      </c>
      <c r="B6440" s="0" t="s">
        <v>6419</v>
      </c>
    </row>
    <row r="6441" customFormat="false" ht="15" hidden="false" customHeight="false" outlineLevel="0" collapsed="false">
      <c r="A6441" s="0" t="n">
        <f aca="false">COUPNUM(DATE(2024,11,30),DATE(2027,2,28),2,0)</f>
        <v>5</v>
      </c>
      <c r="B6441" s="0" t="s">
        <v>6420</v>
      </c>
    </row>
    <row r="6442" customFormat="false" ht="15" hidden="false" customHeight="false" outlineLevel="0" collapsed="false">
      <c r="A6442" s="0" t="n">
        <f aca="false">COUPDAYBS(DATE(2024,11,30),DATE(2027,2,28),2,0)</f>
        <v>90</v>
      </c>
      <c r="B6442" s="0" t="s">
        <v>6421</v>
      </c>
    </row>
    <row r="6443" customFormat="false" ht="15" hidden="false" customHeight="false" outlineLevel="0" collapsed="false">
      <c r="A6443" s="0" t="n">
        <f aca="false">COUPDAYS(DATE(2024,11,30),DATE(2027,2,28),2,0)</f>
        <v>180</v>
      </c>
      <c r="B6443" s="0" t="s">
        <v>6422</v>
      </c>
    </row>
    <row r="6444" customFormat="false" ht="15" hidden="false" customHeight="false" outlineLevel="0" collapsed="false">
      <c r="A6444" s="0" t="n">
        <f aca="false">COUPDAYSNC(DATE(2024,11,30),DATE(2027,2,28),2,0)</f>
        <v>90</v>
      </c>
      <c r="B6444" s="0" t="s">
        <v>6423</v>
      </c>
    </row>
    <row r="6445" customFormat="false" ht="15" hidden="false" customHeight="false" outlineLevel="0" collapsed="false">
      <c r="A6445" s="0" t="n">
        <f aca="false">COUPPCD(DATE(2024,11,30),DATE(2027,2,28),2,1)</f>
        <v>45535</v>
      </c>
      <c r="B6445" s="0" t="s">
        <v>6424</v>
      </c>
    </row>
    <row r="6446" customFormat="false" ht="15" hidden="false" customHeight="false" outlineLevel="0" collapsed="false">
      <c r="A6446" s="0" t="n">
        <f aca="false">COUPNCD(DATE(2024,11,30),DATE(2027,2,28),2,1)</f>
        <v>45716</v>
      </c>
      <c r="B6446" s="0" t="s">
        <v>6425</v>
      </c>
    </row>
    <row r="6447" customFormat="false" ht="15" hidden="false" customHeight="false" outlineLevel="0" collapsed="false">
      <c r="A6447" s="0" t="n">
        <f aca="false">COUPNUM(DATE(2024,11,30),DATE(2027,2,28),2,1)</f>
        <v>5</v>
      </c>
      <c r="B6447" s="0" t="s">
        <v>6426</v>
      </c>
    </row>
    <row r="6448" customFormat="false" ht="15" hidden="false" customHeight="false" outlineLevel="0" collapsed="false">
      <c r="A6448" s="0" t="n">
        <f aca="false">COUPDAYBS(DATE(2024,11,30),DATE(2027,2,28),2,1)</f>
        <v>91</v>
      </c>
      <c r="B6448" s="0" t="s">
        <v>6427</v>
      </c>
    </row>
    <row r="6449" customFormat="false" ht="15" hidden="false" customHeight="false" outlineLevel="0" collapsed="false">
      <c r="A6449" s="0" t="n">
        <f aca="false">COUPDAYS(DATE(2024,11,30),DATE(2027,2,28),2,1)</f>
        <v>181</v>
      </c>
      <c r="B6449" s="0" t="s">
        <v>6428</v>
      </c>
    </row>
    <row r="6450" customFormat="false" ht="15" hidden="false" customHeight="false" outlineLevel="0" collapsed="false">
      <c r="A6450" s="0" t="n">
        <f aca="false">COUPDAYSNC(DATE(2024,11,30),DATE(2027,2,28),2,1)</f>
        <v>90</v>
      </c>
      <c r="B6450" s="0" t="s">
        <v>6429</v>
      </c>
    </row>
    <row r="6451" customFormat="false" ht="15" hidden="false" customHeight="false" outlineLevel="0" collapsed="false">
      <c r="A6451" s="0" t="n">
        <f aca="false">COUPPCD(DATE(2024,11,30),DATE(2027,2,28),2,2)</f>
        <v>45535</v>
      </c>
      <c r="B6451" s="0" t="s">
        <v>6430</v>
      </c>
    </row>
    <row r="6452" customFormat="false" ht="15" hidden="false" customHeight="false" outlineLevel="0" collapsed="false">
      <c r="A6452" s="0" t="n">
        <f aca="false">COUPNCD(DATE(2024,11,30),DATE(2027,2,28),2,2)</f>
        <v>45716</v>
      </c>
      <c r="B6452" s="0" t="s">
        <v>6431</v>
      </c>
    </row>
    <row r="6453" customFormat="false" ht="15" hidden="false" customHeight="false" outlineLevel="0" collapsed="false">
      <c r="A6453" s="0" t="n">
        <f aca="false">COUPNUM(DATE(2024,11,30),DATE(2027,2,28),2,2)</f>
        <v>5</v>
      </c>
      <c r="B6453" s="0" t="s">
        <v>6432</v>
      </c>
    </row>
    <row r="6454" customFormat="false" ht="15" hidden="false" customHeight="false" outlineLevel="0" collapsed="false">
      <c r="A6454" s="0" t="n">
        <f aca="false">COUPDAYBS(DATE(2024,11,30),DATE(2027,2,28),2,2)</f>
        <v>91</v>
      </c>
      <c r="B6454" s="0" t="s">
        <v>6433</v>
      </c>
    </row>
    <row r="6455" customFormat="false" ht="15" hidden="false" customHeight="false" outlineLevel="0" collapsed="false">
      <c r="A6455" s="0" t="n">
        <f aca="false">COUPDAYS(DATE(2024,11,30),DATE(2027,2,28),2,2)</f>
        <v>180</v>
      </c>
      <c r="B6455" s="0" t="s">
        <v>6434</v>
      </c>
    </row>
    <row r="6456" customFormat="false" ht="15" hidden="false" customHeight="false" outlineLevel="0" collapsed="false">
      <c r="A6456" s="0" t="n">
        <f aca="false">COUPDAYSNC(DATE(2024,11,30),DATE(2027,2,28),2,2)</f>
        <v>90</v>
      </c>
      <c r="B6456" s="0" t="s">
        <v>6435</v>
      </c>
    </row>
    <row r="6457" customFormat="false" ht="15" hidden="false" customHeight="false" outlineLevel="0" collapsed="false">
      <c r="A6457" s="0" t="n">
        <f aca="false">COUPPCD(DATE(2024,11,30),DATE(2027,2,28),2,3)</f>
        <v>45535</v>
      </c>
      <c r="B6457" s="0" t="s">
        <v>6436</v>
      </c>
    </row>
    <row r="6458" customFormat="false" ht="15" hidden="false" customHeight="false" outlineLevel="0" collapsed="false">
      <c r="A6458" s="0" t="n">
        <f aca="false">COUPNCD(DATE(2024,11,30),DATE(2027,2,28),2,3)</f>
        <v>45716</v>
      </c>
      <c r="B6458" s="0" t="s">
        <v>6437</v>
      </c>
    </row>
    <row r="6459" customFormat="false" ht="15" hidden="false" customHeight="false" outlineLevel="0" collapsed="false">
      <c r="A6459" s="0" t="n">
        <f aca="false">COUPNUM(DATE(2024,11,30),DATE(2027,2,28),2,3)</f>
        <v>5</v>
      </c>
      <c r="B6459" s="0" t="s">
        <v>6438</v>
      </c>
    </row>
    <row r="6460" customFormat="false" ht="15" hidden="false" customHeight="false" outlineLevel="0" collapsed="false">
      <c r="A6460" s="0" t="n">
        <f aca="false">COUPDAYBS(DATE(2024,11,30),DATE(2027,2,28),2,3)</f>
        <v>91</v>
      </c>
      <c r="B6460" s="0" t="s">
        <v>6439</v>
      </c>
    </row>
    <row r="6461" customFormat="false" ht="15" hidden="false" customHeight="false" outlineLevel="0" collapsed="false">
      <c r="A6461" s="0" t="n">
        <f aca="false">COUPDAYS(DATE(2024,11,30),DATE(2027,2,28),2,3)</f>
        <v>182.5</v>
      </c>
      <c r="B6461" s="0" t="s">
        <v>6440</v>
      </c>
    </row>
    <row r="6462" customFormat="false" ht="15" hidden="false" customHeight="false" outlineLevel="0" collapsed="false">
      <c r="A6462" s="0" t="n">
        <f aca="false">COUPDAYSNC(DATE(2024,11,30),DATE(2027,2,28),2,3)</f>
        <v>90</v>
      </c>
      <c r="B6462" s="0" t="s">
        <v>6441</v>
      </c>
    </row>
    <row r="6463" customFormat="false" ht="15" hidden="false" customHeight="false" outlineLevel="0" collapsed="false">
      <c r="A6463" s="0" t="n">
        <f aca="false">COUPPCD(DATE(2024,11,30),DATE(2027,2,28),2,4)</f>
        <v>45535</v>
      </c>
      <c r="B6463" s="0" t="s">
        <v>6442</v>
      </c>
    </row>
    <row r="6464" customFormat="false" ht="15" hidden="false" customHeight="false" outlineLevel="0" collapsed="false">
      <c r="A6464" s="0" t="n">
        <f aca="false">COUPNCD(DATE(2024,11,30),DATE(2027,2,28),2,4)</f>
        <v>45716</v>
      </c>
      <c r="B6464" s="0" t="s">
        <v>6443</v>
      </c>
    </row>
    <row r="6465" customFormat="false" ht="15" hidden="false" customHeight="false" outlineLevel="0" collapsed="false">
      <c r="A6465" s="0" t="n">
        <f aca="false">COUPNUM(DATE(2024,11,30),DATE(2027,2,28),2,4)</f>
        <v>5</v>
      </c>
      <c r="B6465" s="0" t="s">
        <v>6444</v>
      </c>
    </row>
    <row r="6466" customFormat="false" ht="15" hidden="false" customHeight="false" outlineLevel="0" collapsed="false">
      <c r="A6466" s="0" t="n">
        <f aca="false">COUPDAYBS(DATE(2024,11,30),DATE(2027,2,28),2,4)</f>
        <v>90</v>
      </c>
      <c r="B6466" s="0" t="s">
        <v>6445</v>
      </c>
    </row>
    <row r="6467" customFormat="false" ht="15" hidden="false" customHeight="false" outlineLevel="0" collapsed="false">
      <c r="A6467" s="0" t="n">
        <f aca="false">COUPDAYS(DATE(2024,11,30),DATE(2027,2,28),2,4)</f>
        <v>180</v>
      </c>
      <c r="B6467" s="0" t="s">
        <v>6446</v>
      </c>
    </row>
    <row r="6468" customFormat="false" ht="15" hidden="false" customHeight="false" outlineLevel="0" collapsed="false">
      <c r="A6468" s="0" t="n">
        <f aca="false">COUPDAYSNC(DATE(2024,11,30),DATE(2027,2,28),2,4)</f>
        <v>90</v>
      </c>
      <c r="B6468" s="0" t="s">
        <v>6447</v>
      </c>
    </row>
    <row r="6469" customFormat="false" ht="15" hidden="false" customHeight="false" outlineLevel="0" collapsed="false">
      <c r="A6469" s="0" t="n">
        <f aca="false">COUPPCD(DATE(2024,11,30),DATE(2027,2,28),4,0)</f>
        <v>45626</v>
      </c>
      <c r="B6469" s="0" t="s">
        <v>6448</v>
      </c>
    </row>
    <row r="6470" customFormat="false" ht="15" hidden="false" customHeight="false" outlineLevel="0" collapsed="false">
      <c r="A6470" s="0" t="n">
        <f aca="false">COUPNCD(DATE(2024,11,30),DATE(2027,2,28),4,0)</f>
        <v>45716</v>
      </c>
      <c r="B6470" s="0" t="s">
        <v>6449</v>
      </c>
    </row>
    <row r="6471" customFormat="false" ht="15" hidden="false" customHeight="false" outlineLevel="0" collapsed="false">
      <c r="A6471" s="0" t="n">
        <f aca="false">COUPNUM(DATE(2024,11,30),DATE(2027,2,28),4,0)</f>
        <v>9</v>
      </c>
      <c r="B6471" s="0" t="s">
        <v>6450</v>
      </c>
    </row>
    <row r="6472" customFormat="false" ht="15" hidden="false" customHeight="false" outlineLevel="0" collapsed="false">
      <c r="A6472" s="0" t="n">
        <f aca="false">COUPDAYBS(DATE(2024,11,30),DATE(2027,2,28),4,0)</f>
        <v>0</v>
      </c>
      <c r="B6472" s="0" t="s">
        <v>6451</v>
      </c>
    </row>
    <row r="6473" customFormat="false" ht="15" hidden="false" customHeight="false" outlineLevel="0" collapsed="false">
      <c r="A6473" s="0" t="n">
        <f aca="false">COUPDAYS(DATE(2024,11,30),DATE(2027,2,28),4,0)</f>
        <v>90</v>
      </c>
      <c r="B6473" s="0" t="s">
        <v>6452</v>
      </c>
    </row>
    <row r="6474" customFormat="false" ht="15" hidden="false" customHeight="false" outlineLevel="0" collapsed="false">
      <c r="A6474" s="0" t="n">
        <f aca="false">COUPDAYSNC(DATE(2024,11,30),DATE(2027,2,28),4,0)</f>
        <v>90</v>
      </c>
      <c r="B6474" s="0" t="s">
        <v>6453</v>
      </c>
    </row>
    <row r="6475" customFormat="false" ht="15" hidden="false" customHeight="false" outlineLevel="0" collapsed="false">
      <c r="A6475" s="0" t="n">
        <f aca="false">COUPPCD(DATE(2024,11,30),DATE(2027,2,28),4,1)</f>
        <v>45626</v>
      </c>
      <c r="B6475" s="0" t="s">
        <v>6454</v>
      </c>
    </row>
    <row r="6476" customFormat="false" ht="15" hidden="false" customHeight="false" outlineLevel="0" collapsed="false">
      <c r="A6476" s="0" t="n">
        <f aca="false">COUPNCD(DATE(2024,11,30),DATE(2027,2,28),4,1)</f>
        <v>45716</v>
      </c>
      <c r="B6476" s="0" t="s">
        <v>6455</v>
      </c>
    </row>
    <row r="6477" customFormat="false" ht="15" hidden="false" customHeight="false" outlineLevel="0" collapsed="false">
      <c r="A6477" s="0" t="n">
        <f aca="false">COUPNUM(DATE(2024,11,30),DATE(2027,2,28),4,1)</f>
        <v>9</v>
      </c>
      <c r="B6477" s="0" t="s">
        <v>6456</v>
      </c>
    </row>
    <row r="6478" customFormat="false" ht="15" hidden="false" customHeight="false" outlineLevel="0" collapsed="false">
      <c r="A6478" s="0" t="n">
        <f aca="false">COUPDAYBS(DATE(2024,11,30),DATE(2027,2,28),4,1)</f>
        <v>0</v>
      </c>
      <c r="B6478" s="0" t="s">
        <v>6457</v>
      </c>
    </row>
    <row r="6479" customFormat="false" ht="15" hidden="false" customHeight="false" outlineLevel="0" collapsed="false">
      <c r="A6479" s="0" t="n">
        <f aca="false">COUPDAYS(DATE(2024,11,30),DATE(2027,2,28),4,1)</f>
        <v>90</v>
      </c>
      <c r="B6479" s="0" t="s">
        <v>6458</v>
      </c>
    </row>
    <row r="6480" customFormat="false" ht="15" hidden="false" customHeight="false" outlineLevel="0" collapsed="false">
      <c r="A6480" s="0" t="n">
        <f aca="false">COUPDAYSNC(DATE(2024,11,30),DATE(2027,2,28),4,1)</f>
        <v>90</v>
      </c>
      <c r="B6480" s="0" t="s">
        <v>6459</v>
      </c>
    </row>
    <row r="6481" customFormat="false" ht="15" hidden="false" customHeight="false" outlineLevel="0" collapsed="false">
      <c r="A6481" s="0" t="n">
        <f aca="false">COUPPCD(DATE(2024,11,30),DATE(2027,2,28),4,2)</f>
        <v>45626</v>
      </c>
      <c r="B6481" s="0" t="s">
        <v>6460</v>
      </c>
    </row>
    <row r="6482" customFormat="false" ht="15" hidden="false" customHeight="false" outlineLevel="0" collapsed="false">
      <c r="A6482" s="0" t="n">
        <f aca="false">COUPNCD(DATE(2024,11,30),DATE(2027,2,28),4,2)</f>
        <v>45716</v>
      </c>
      <c r="B6482" s="0" t="s">
        <v>6461</v>
      </c>
    </row>
    <row r="6483" customFormat="false" ht="15" hidden="false" customHeight="false" outlineLevel="0" collapsed="false">
      <c r="A6483" s="0" t="n">
        <f aca="false">COUPNUM(DATE(2024,11,30),DATE(2027,2,28),4,2)</f>
        <v>9</v>
      </c>
      <c r="B6483" s="0" t="s">
        <v>6462</v>
      </c>
    </row>
    <row r="6484" customFormat="false" ht="15" hidden="false" customHeight="false" outlineLevel="0" collapsed="false">
      <c r="A6484" s="0" t="n">
        <f aca="false">COUPDAYBS(DATE(2024,11,30),DATE(2027,2,28),4,2)</f>
        <v>0</v>
      </c>
      <c r="B6484" s="0" t="s">
        <v>6463</v>
      </c>
    </row>
    <row r="6485" customFormat="false" ht="15" hidden="false" customHeight="false" outlineLevel="0" collapsed="false">
      <c r="A6485" s="0" t="n">
        <f aca="false">COUPDAYS(DATE(2024,11,30),DATE(2027,2,28),4,2)</f>
        <v>90</v>
      </c>
      <c r="B6485" s="0" t="s">
        <v>6464</v>
      </c>
    </row>
    <row r="6486" customFormat="false" ht="15" hidden="false" customHeight="false" outlineLevel="0" collapsed="false">
      <c r="A6486" s="0" t="n">
        <f aca="false">COUPDAYSNC(DATE(2024,11,30),DATE(2027,2,28),4,2)</f>
        <v>90</v>
      </c>
      <c r="B6486" s="0" t="s">
        <v>6465</v>
      </c>
    </row>
    <row r="6487" customFormat="false" ht="15" hidden="false" customHeight="false" outlineLevel="0" collapsed="false">
      <c r="A6487" s="0" t="n">
        <f aca="false">COUPPCD(DATE(2024,11,30),DATE(2027,2,28),4,3)</f>
        <v>45626</v>
      </c>
      <c r="B6487" s="0" t="s">
        <v>6466</v>
      </c>
    </row>
    <row r="6488" customFormat="false" ht="15" hidden="false" customHeight="false" outlineLevel="0" collapsed="false">
      <c r="A6488" s="0" t="n">
        <f aca="false">COUPNCD(DATE(2024,11,30),DATE(2027,2,28),4,3)</f>
        <v>45716</v>
      </c>
      <c r="B6488" s="0" t="s">
        <v>6467</v>
      </c>
    </row>
    <row r="6489" customFormat="false" ht="15" hidden="false" customHeight="false" outlineLevel="0" collapsed="false">
      <c r="A6489" s="0" t="n">
        <f aca="false">COUPNUM(DATE(2024,11,30),DATE(2027,2,28),4,3)</f>
        <v>9</v>
      </c>
      <c r="B6489" s="0" t="s">
        <v>6468</v>
      </c>
    </row>
    <row r="6490" customFormat="false" ht="15" hidden="false" customHeight="false" outlineLevel="0" collapsed="false">
      <c r="A6490" s="0" t="n">
        <f aca="false">COUPDAYBS(DATE(2024,11,30),DATE(2027,2,28),4,3)</f>
        <v>0</v>
      </c>
      <c r="B6490" s="0" t="s">
        <v>6469</v>
      </c>
    </row>
    <row r="6491" customFormat="false" ht="15" hidden="false" customHeight="false" outlineLevel="0" collapsed="false">
      <c r="A6491" s="0" t="n">
        <f aca="false">COUPDAYS(DATE(2024,11,30),DATE(2027,2,28),4,3)</f>
        <v>91.25</v>
      </c>
      <c r="B6491" s="0" t="s">
        <v>6470</v>
      </c>
    </row>
    <row r="6492" customFormat="false" ht="15" hidden="false" customHeight="false" outlineLevel="0" collapsed="false">
      <c r="A6492" s="0" t="n">
        <f aca="false">COUPDAYSNC(DATE(2024,11,30),DATE(2027,2,28),4,3)</f>
        <v>90</v>
      </c>
      <c r="B6492" s="0" t="s">
        <v>6471</v>
      </c>
    </row>
    <row r="6493" customFormat="false" ht="15" hidden="false" customHeight="false" outlineLevel="0" collapsed="false">
      <c r="A6493" s="0" t="n">
        <f aca="false">COUPPCD(DATE(2024,11,30),DATE(2027,2,28),4,4)</f>
        <v>45626</v>
      </c>
      <c r="B6493" s="0" t="s">
        <v>6472</v>
      </c>
    </row>
    <row r="6494" customFormat="false" ht="15" hidden="false" customHeight="false" outlineLevel="0" collapsed="false">
      <c r="A6494" s="0" t="n">
        <f aca="false">COUPNCD(DATE(2024,11,30),DATE(2027,2,28),4,4)</f>
        <v>45716</v>
      </c>
      <c r="B6494" s="0" t="s">
        <v>6473</v>
      </c>
    </row>
    <row r="6495" customFormat="false" ht="15" hidden="false" customHeight="false" outlineLevel="0" collapsed="false">
      <c r="A6495" s="0" t="n">
        <f aca="false">COUPNUM(DATE(2024,11,30),DATE(2027,2,28),4,4)</f>
        <v>9</v>
      </c>
      <c r="B6495" s="0" t="s">
        <v>6474</v>
      </c>
    </row>
    <row r="6496" customFormat="false" ht="15" hidden="false" customHeight="false" outlineLevel="0" collapsed="false">
      <c r="A6496" s="0" t="n">
        <f aca="false">COUPDAYBS(DATE(2024,11,30),DATE(2027,2,28),4,4)</f>
        <v>0</v>
      </c>
      <c r="B6496" s="0" t="s">
        <v>6475</v>
      </c>
    </row>
    <row r="6497" customFormat="false" ht="15" hidden="false" customHeight="false" outlineLevel="0" collapsed="false">
      <c r="A6497" s="0" t="n">
        <f aca="false">COUPDAYS(DATE(2024,11,30),DATE(2027,2,28),4,4)</f>
        <v>90</v>
      </c>
      <c r="B6497" s="0" t="s">
        <v>6476</v>
      </c>
    </row>
    <row r="6498" customFormat="false" ht="15" hidden="false" customHeight="false" outlineLevel="0" collapsed="false">
      <c r="A6498" s="0" t="n">
        <f aca="false">COUPDAYSNC(DATE(2024,11,30),DATE(2027,2,28),4,4)</f>
        <v>90</v>
      </c>
      <c r="B6498" s="0" t="s">
        <v>6477</v>
      </c>
    </row>
    <row r="6499" customFormat="false" ht="15" hidden="false" customHeight="false" outlineLevel="0" collapsed="false">
      <c r="A6499" s="0" t="n">
        <f aca="false">COUPNUM(DATE(2024,11,30),DATE(2027,2,28),2)</f>
        <v>5</v>
      </c>
      <c r="B6499" s="0" t="s">
        <v>6478</v>
      </c>
    </row>
    <row r="6500" customFormat="false" ht="15" hidden="false" customHeight="false" outlineLevel="0" collapsed="false">
      <c r="A6500" s="0" t="n">
        <f aca="false">COUPDAYS(DATE(2024,11,30),DATE(2027,2,28),2)</f>
        <v>180</v>
      </c>
      <c r="B6500" s="0" t="s">
        <v>6479</v>
      </c>
    </row>
    <row r="6501" customFormat="false" ht="15" hidden="false" customHeight="false" outlineLevel="0" collapsed="false">
      <c r="A6501" s="0" t="n">
        <f aca="false">COUPPCD(DATE(2020,2,29),DATE(2024,2,29),1,0)</f>
        <v>43890</v>
      </c>
      <c r="B6501" s="0" t="s">
        <v>6480</v>
      </c>
    </row>
    <row r="6502" customFormat="false" ht="15" hidden="false" customHeight="false" outlineLevel="0" collapsed="false">
      <c r="A6502" s="0" t="n">
        <f aca="false">COUPNCD(DATE(2020,2,29),DATE(2024,2,29),1,0)</f>
        <v>44255</v>
      </c>
      <c r="B6502" s="0" t="s">
        <v>6481</v>
      </c>
    </row>
    <row r="6503" customFormat="false" ht="15" hidden="false" customHeight="false" outlineLevel="0" collapsed="false">
      <c r="A6503" s="0" t="n">
        <f aca="false">COUPNUM(DATE(2020,2,29),DATE(2024,2,29),1,0)</f>
        <v>4</v>
      </c>
      <c r="B6503" s="0" t="s">
        <v>6482</v>
      </c>
    </row>
    <row r="6504" customFormat="false" ht="15" hidden="false" customHeight="false" outlineLevel="0" collapsed="false">
      <c r="A6504" s="0" t="n">
        <f aca="false">COUPDAYBS(DATE(2020,2,29),DATE(2024,2,29),1,0)</f>
        <v>0</v>
      </c>
      <c r="B6504" s="0" t="s">
        <v>6483</v>
      </c>
    </row>
    <row r="6505" customFormat="false" ht="15" hidden="false" customHeight="false" outlineLevel="0" collapsed="false">
      <c r="A6505" s="0" t="n">
        <f aca="false">COUPDAYS(DATE(2020,2,29),DATE(2024,2,29),1,0)</f>
        <v>360</v>
      </c>
      <c r="B6505" s="0" t="s">
        <v>6484</v>
      </c>
    </row>
    <row r="6506" customFormat="false" ht="15" hidden="false" customHeight="false" outlineLevel="0" collapsed="false">
      <c r="A6506" s="0" t="n">
        <f aca="false">COUPDAYSNC(DATE(2020,2,29),DATE(2024,2,29),1,0)</f>
        <v>360</v>
      </c>
      <c r="B6506" s="0" t="s">
        <v>6485</v>
      </c>
    </row>
    <row r="6507" customFormat="false" ht="15" hidden="false" customHeight="false" outlineLevel="0" collapsed="false">
      <c r="A6507" s="0" t="n">
        <f aca="false">COUPPCD(DATE(2020,2,29),DATE(2024,2,29),1,1)</f>
        <v>43890</v>
      </c>
      <c r="B6507" s="0" t="s">
        <v>6486</v>
      </c>
    </row>
    <row r="6508" customFormat="false" ht="15" hidden="false" customHeight="false" outlineLevel="0" collapsed="false">
      <c r="A6508" s="0" t="n">
        <f aca="false">COUPNCD(DATE(2020,2,29),DATE(2024,2,29),1,1)</f>
        <v>44255</v>
      </c>
      <c r="B6508" s="0" t="s">
        <v>6487</v>
      </c>
    </row>
    <row r="6509" customFormat="false" ht="15" hidden="false" customHeight="false" outlineLevel="0" collapsed="false">
      <c r="A6509" s="0" t="n">
        <f aca="false">COUPNUM(DATE(2020,2,29),DATE(2024,2,29),1,1)</f>
        <v>4</v>
      </c>
      <c r="B6509" s="0" t="s">
        <v>6488</v>
      </c>
    </row>
    <row r="6510" customFormat="false" ht="15" hidden="false" customHeight="false" outlineLevel="0" collapsed="false">
      <c r="A6510" s="0" t="n">
        <f aca="false">COUPDAYBS(DATE(2020,2,29),DATE(2024,2,29),1,1)</f>
        <v>0</v>
      </c>
      <c r="B6510" s="0" t="s">
        <v>6489</v>
      </c>
    </row>
    <row r="6511" customFormat="false" ht="15" hidden="false" customHeight="false" outlineLevel="0" collapsed="false">
      <c r="A6511" s="0" t="n">
        <f aca="false">COUPDAYS(DATE(2020,2,29),DATE(2024,2,29),1,1)</f>
        <v>365</v>
      </c>
      <c r="B6511" s="0" t="s">
        <v>6490</v>
      </c>
    </row>
    <row r="6512" customFormat="false" ht="15" hidden="false" customHeight="false" outlineLevel="0" collapsed="false">
      <c r="A6512" s="0" t="n">
        <f aca="false">COUPDAYSNC(DATE(2020,2,29),DATE(2024,2,29),1,1)</f>
        <v>365</v>
      </c>
      <c r="B6512" s="0" t="s">
        <v>6491</v>
      </c>
    </row>
    <row r="6513" customFormat="false" ht="15" hidden="false" customHeight="false" outlineLevel="0" collapsed="false">
      <c r="A6513" s="0" t="n">
        <f aca="false">COUPPCD(DATE(2020,2,29),DATE(2024,2,29),1,2)</f>
        <v>43890</v>
      </c>
      <c r="B6513" s="0" t="s">
        <v>6492</v>
      </c>
    </row>
    <row r="6514" customFormat="false" ht="15" hidden="false" customHeight="false" outlineLevel="0" collapsed="false">
      <c r="A6514" s="0" t="n">
        <f aca="false">COUPNCD(DATE(2020,2,29),DATE(2024,2,29),1,2)</f>
        <v>44255</v>
      </c>
      <c r="B6514" s="0" t="s">
        <v>6493</v>
      </c>
    </row>
    <row r="6515" customFormat="false" ht="15" hidden="false" customHeight="false" outlineLevel="0" collapsed="false">
      <c r="A6515" s="0" t="n">
        <f aca="false">COUPNUM(DATE(2020,2,29),DATE(2024,2,29),1,2)</f>
        <v>4</v>
      </c>
      <c r="B6515" s="0" t="s">
        <v>6494</v>
      </c>
    </row>
    <row r="6516" customFormat="false" ht="15" hidden="false" customHeight="false" outlineLevel="0" collapsed="false">
      <c r="A6516" s="0" t="n">
        <f aca="false">COUPDAYBS(DATE(2020,2,29),DATE(2024,2,29),1,2)</f>
        <v>0</v>
      </c>
      <c r="B6516" s="0" t="s">
        <v>6495</v>
      </c>
    </row>
    <row r="6517" customFormat="false" ht="15" hidden="false" customHeight="false" outlineLevel="0" collapsed="false">
      <c r="A6517" s="0" t="n">
        <f aca="false">COUPDAYS(DATE(2020,2,29),DATE(2024,2,29),1,2)</f>
        <v>360</v>
      </c>
      <c r="B6517" s="0" t="s">
        <v>6496</v>
      </c>
    </row>
    <row r="6518" customFormat="false" ht="15" hidden="false" customHeight="false" outlineLevel="0" collapsed="false">
      <c r="A6518" s="0" t="n">
        <f aca="false">COUPDAYSNC(DATE(2020,2,29),DATE(2024,2,29),1,2)</f>
        <v>365</v>
      </c>
      <c r="B6518" s="0" t="s">
        <v>6497</v>
      </c>
    </row>
    <row r="6519" customFormat="false" ht="15" hidden="false" customHeight="false" outlineLevel="0" collapsed="false">
      <c r="A6519" s="0" t="n">
        <f aca="false">COUPPCD(DATE(2020,2,29),DATE(2024,2,29),1,3)</f>
        <v>43890</v>
      </c>
      <c r="B6519" s="0" t="s">
        <v>6498</v>
      </c>
    </row>
    <row r="6520" customFormat="false" ht="15" hidden="false" customHeight="false" outlineLevel="0" collapsed="false">
      <c r="A6520" s="0" t="n">
        <f aca="false">COUPNCD(DATE(2020,2,29),DATE(2024,2,29),1,3)</f>
        <v>44255</v>
      </c>
      <c r="B6520" s="0" t="s">
        <v>6499</v>
      </c>
    </row>
    <row r="6521" customFormat="false" ht="15" hidden="false" customHeight="false" outlineLevel="0" collapsed="false">
      <c r="A6521" s="0" t="n">
        <f aca="false">COUPNUM(DATE(2020,2,29),DATE(2024,2,29),1,3)</f>
        <v>4</v>
      </c>
      <c r="B6521" s="0" t="s">
        <v>6500</v>
      </c>
    </row>
    <row r="6522" customFormat="false" ht="15" hidden="false" customHeight="false" outlineLevel="0" collapsed="false">
      <c r="A6522" s="0" t="n">
        <f aca="false">COUPDAYBS(DATE(2020,2,29),DATE(2024,2,29),1,3)</f>
        <v>0</v>
      </c>
      <c r="B6522" s="0" t="s">
        <v>6501</v>
      </c>
    </row>
    <row r="6523" customFormat="false" ht="15" hidden="false" customHeight="false" outlineLevel="0" collapsed="false">
      <c r="A6523" s="0" t="n">
        <f aca="false">COUPDAYS(DATE(2020,2,29),DATE(2024,2,29),1,3)</f>
        <v>365</v>
      </c>
      <c r="B6523" s="0" t="s">
        <v>6502</v>
      </c>
    </row>
    <row r="6524" customFormat="false" ht="15" hidden="false" customHeight="false" outlineLevel="0" collapsed="false">
      <c r="A6524" s="0" t="n">
        <f aca="false">COUPDAYSNC(DATE(2020,2,29),DATE(2024,2,29),1,3)</f>
        <v>365</v>
      </c>
      <c r="B6524" s="0" t="s">
        <v>6503</v>
      </c>
    </row>
    <row r="6525" customFormat="false" ht="15" hidden="false" customHeight="false" outlineLevel="0" collapsed="false">
      <c r="A6525" s="0" t="n">
        <f aca="false">COUPPCD(DATE(2020,2,29),DATE(2024,2,29),1,4)</f>
        <v>43890</v>
      </c>
      <c r="B6525" s="0" t="s">
        <v>6504</v>
      </c>
    </row>
    <row r="6526" customFormat="false" ht="15" hidden="false" customHeight="false" outlineLevel="0" collapsed="false">
      <c r="A6526" s="0" t="n">
        <f aca="false">COUPNCD(DATE(2020,2,29),DATE(2024,2,29),1,4)</f>
        <v>44255</v>
      </c>
      <c r="B6526" s="0" t="s">
        <v>6505</v>
      </c>
    </row>
    <row r="6527" customFormat="false" ht="15" hidden="false" customHeight="false" outlineLevel="0" collapsed="false">
      <c r="A6527" s="0" t="n">
        <f aca="false">COUPNUM(DATE(2020,2,29),DATE(2024,2,29),1,4)</f>
        <v>4</v>
      </c>
      <c r="B6527" s="0" t="s">
        <v>6506</v>
      </c>
    </row>
    <row r="6528" customFormat="false" ht="15" hidden="false" customHeight="false" outlineLevel="0" collapsed="false">
      <c r="A6528" s="0" t="n">
        <f aca="false">COUPDAYBS(DATE(2020,2,29),DATE(2024,2,29),1,4)</f>
        <v>0</v>
      </c>
      <c r="B6528" s="0" t="s">
        <v>6507</v>
      </c>
    </row>
    <row r="6529" customFormat="false" ht="15" hidden="false" customHeight="false" outlineLevel="0" collapsed="false">
      <c r="A6529" s="0" t="n">
        <f aca="false">COUPDAYS(DATE(2020,2,29),DATE(2024,2,29),1,4)</f>
        <v>360</v>
      </c>
      <c r="B6529" s="0" t="s">
        <v>6508</v>
      </c>
    </row>
    <row r="6530" customFormat="false" ht="15" hidden="false" customHeight="false" outlineLevel="0" collapsed="false">
      <c r="A6530" s="0" t="n">
        <f aca="false">COUPDAYSNC(DATE(2020,2,29),DATE(2024,2,29),1,4)</f>
        <v>360</v>
      </c>
      <c r="B6530" s="0" t="s">
        <v>6509</v>
      </c>
    </row>
    <row r="6531" customFormat="false" ht="15" hidden="false" customHeight="false" outlineLevel="0" collapsed="false">
      <c r="A6531" s="0" t="n">
        <f aca="false">COUPPCD(DATE(2020,2,29),DATE(2024,2,29),2,0)</f>
        <v>43890</v>
      </c>
      <c r="B6531" s="0" t="s">
        <v>6510</v>
      </c>
    </row>
    <row r="6532" customFormat="false" ht="15" hidden="false" customHeight="false" outlineLevel="0" collapsed="false">
      <c r="A6532" s="0" t="n">
        <f aca="false">COUPNCD(DATE(2020,2,29),DATE(2024,2,29),2,0)</f>
        <v>44074</v>
      </c>
      <c r="B6532" s="0" t="s">
        <v>6511</v>
      </c>
    </row>
    <row r="6533" customFormat="false" ht="15" hidden="false" customHeight="false" outlineLevel="0" collapsed="false">
      <c r="A6533" s="0" t="n">
        <f aca="false">COUPNUM(DATE(2020,2,29),DATE(2024,2,29),2,0)</f>
        <v>8</v>
      </c>
      <c r="B6533" s="0" t="s">
        <v>6512</v>
      </c>
    </row>
    <row r="6534" customFormat="false" ht="15" hidden="false" customHeight="false" outlineLevel="0" collapsed="false">
      <c r="A6534" s="0" t="n">
        <f aca="false">COUPDAYBS(DATE(2020,2,29),DATE(2024,2,29),2,0)</f>
        <v>0</v>
      </c>
      <c r="B6534" s="0" t="s">
        <v>6513</v>
      </c>
    </row>
    <row r="6535" customFormat="false" ht="15" hidden="false" customHeight="false" outlineLevel="0" collapsed="false">
      <c r="A6535" s="0" t="n">
        <f aca="false">COUPDAYS(DATE(2020,2,29),DATE(2024,2,29),2,0)</f>
        <v>180</v>
      </c>
      <c r="B6535" s="0" t="s">
        <v>6514</v>
      </c>
    </row>
    <row r="6536" customFormat="false" ht="15" hidden="false" customHeight="false" outlineLevel="0" collapsed="false">
      <c r="A6536" s="0" t="n">
        <f aca="false">COUPDAYSNC(DATE(2020,2,29),DATE(2024,2,29),2,0)</f>
        <v>180</v>
      </c>
      <c r="B6536" s="0" t="s">
        <v>6515</v>
      </c>
    </row>
    <row r="6537" customFormat="false" ht="15" hidden="false" customHeight="false" outlineLevel="0" collapsed="false">
      <c r="A6537" s="0" t="n">
        <f aca="false">COUPPCD(DATE(2020,2,29),DATE(2024,2,29),2,1)</f>
        <v>43890</v>
      </c>
      <c r="B6537" s="0" t="s">
        <v>6516</v>
      </c>
    </row>
    <row r="6538" customFormat="false" ht="15" hidden="false" customHeight="false" outlineLevel="0" collapsed="false">
      <c r="A6538" s="0" t="n">
        <f aca="false">COUPNCD(DATE(2020,2,29),DATE(2024,2,29),2,1)</f>
        <v>44074</v>
      </c>
      <c r="B6538" s="0" t="s">
        <v>6517</v>
      </c>
    </row>
    <row r="6539" customFormat="false" ht="15" hidden="false" customHeight="false" outlineLevel="0" collapsed="false">
      <c r="A6539" s="0" t="n">
        <f aca="false">COUPNUM(DATE(2020,2,29),DATE(2024,2,29),2,1)</f>
        <v>8</v>
      </c>
      <c r="B6539" s="0" t="s">
        <v>6518</v>
      </c>
    </row>
    <row r="6540" customFormat="false" ht="15" hidden="false" customHeight="false" outlineLevel="0" collapsed="false">
      <c r="A6540" s="0" t="n">
        <f aca="false">COUPDAYBS(DATE(2020,2,29),DATE(2024,2,29),2,1)</f>
        <v>0</v>
      </c>
      <c r="B6540" s="0" t="s">
        <v>6519</v>
      </c>
    </row>
    <row r="6541" customFormat="false" ht="15" hidden="false" customHeight="false" outlineLevel="0" collapsed="false">
      <c r="A6541" s="0" t="n">
        <f aca="false">COUPDAYS(DATE(2020,2,29),DATE(2024,2,29),2,1)</f>
        <v>184</v>
      </c>
      <c r="B6541" s="0" t="s">
        <v>6520</v>
      </c>
    </row>
    <row r="6542" customFormat="false" ht="15" hidden="false" customHeight="false" outlineLevel="0" collapsed="false">
      <c r="A6542" s="0" t="n">
        <f aca="false">COUPDAYSNC(DATE(2020,2,29),DATE(2024,2,29),2,1)</f>
        <v>184</v>
      </c>
      <c r="B6542" s="0" t="s">
        <v>6521</v>
      </c>
    </row>
    <row r="6543" customFormat="false" ht="15" hidden="false" customHeight="false" outlineLevel="0" collapsed="false">
      <c r="A6543" s="0" t="n">
        <f aca="false">COUPPCD(DATE(2020,2,29),DATE(2024,2,29),2,2)</f>
        <v>43890</v>
      </c>
      <c r="B6543" s="0" t="s">
        <v>6522</v>
      </c>
    </row>
    <row r="6544" customFormat="false" ht="15" hidden="false" customHeight="false" outlineLevel="0" collapsed="false">
      <c r="A6544" s="0" t="n">
        <f aca="false">COUPNCD(DATE(2020,2,29),DATE(2024,2,29),2,2)</f>
        <v>44074</v>
      </c>
      <c r="B6544" s="0" t="s">
        <v>6523</v>
      </c>
    </row>
    <row r="6545" customFormat="false" ht="15" hidden="false" customHeight="false" outlineLevel="0" collapsed="false">
      <c r="A6545" s="0" t="n">
        <f aca="false">COUPNUM(DATE(2020,2,29),DATE(2024,2,29),2,2)</f>
        <v>8</v>
      </c>
      <c r="B6545" s="0" t="s">
        <v>6524</v>
      </c>
    </row>
    <row r="6546" customFormat="false" ht="15" hidden="false" customHeight="false" outlineLevel="0" collapsed="false">
      <c r="A6546" s="0" t="n">
        <f aca="false">COUPDAYBS(DATE(2020,2,29),DATE(2024,2,29),2,2)</f>
        <v>0</v>
      </c>
      <c r="B6546" s="0" t="s">
        <v>6525</v>
      </c>
    </row>
    <row r="6547" customFormat="false" ht="15" hidden="false" customHeight="false" outlineLevel="0" collapsed="false">
      <c r="A6547" s="0" t="n">
        <f aca="false">COUPDAYS(DATE(2020,2,29),DATE(2024,2,29),2,2)</f>
        <v>180</v>
      </c>
      <c r="B6547" s="0" t="s">
        <v>6526</v>
      </c>
    </row>
    <row r="6548" customFormat="false" ht="15" hidden="false" customHeight="false" outlineLevel="0" collapsed="false">
      <c r="A6548" s="0" t="n">
        <f aca="false">COUPDAYSNC(DATE(2020,2,29),DATE(2024,2,29),2,2)</f>
        <v>184</v>
      </c>
      <c r="B6548" s="0" t="s">
        <v>6527</v>
      </c>
    </row>
    <row r="6549" customFormat="false" ht="15" hidden="false" customHeight="false" outlineLevel="0" collapsed="false">
      <c r="A6549" s="0" t="n">
        <f aca="false">COUPPCD(DATE(2020,2,29),DATE(2024,2,29),2,3)</f>
        <v>43890</v>
      </c>
      <c r="B6549" s="0" t="s">
        <v>6528</v>
      </c>
    </row>
    <row r="6550" customFormat="false" ht="15" hidden="false" customHeight="false" outlineLevel="0" collapsed="false">
      <c r="A6550" s="0" t="n">
        <f aca="false">COUPNCD(DATE(2020,2,29),DATE(2024,2,29),2,3)</f>
        <v>44074</v>
      </c>
      <c r="B6550" s="0" t="s">
        <v>6529</v>
      </c>
    </row>
    <row r="6551" customFormat="false" ht="15" hidden="false" customHeight="false" outlineLevel="0" collapsed="false">
      <c r="A6551" s="0" t="n">
        <f aca="false">COUPNUM(DATE(2020,2,29),DATE(2024,2,29),2,3)</f>
        <v>8</v>
      </c>
      <c r="B6551" s="0" t="s">
        <v>6530</v>
      </c>
    </row>
    <row r="6552" customFormat="false" ht="15" hidden="false" customHeight="false" outlineLevel="0" collapsed="false">
      <c r="A6552" s="0" t="n">
        <f aca="false">COUPDAYBS(DATE(2020,2,29),DATE(2024,2,29),2,3)</f>
        <v>0</v>
      </c>
      <c r="B6552" s="0" t="s">
        <v>6531</v>
      </c>
    </row>
    <row r="6553" customFormat="false" ht="15" hidden="false" customHeight="false" outlineLevel="0" collapsed="false">
      <c r="A6553" s="0" t="n">
        <f aca="false">COUPDAYS(DATE(2020,2,29),DATE(2024,2,29),2,3)</f>
        <v>182.5</v>
      </c>
      <c r="B6553" s="0" t="s">
        <v>6532</v>
      </c>
    </row>
    <row r="6554" customFormat="false" ht="15" hidden="false" customHeight="false" outlineLevel="0" collapsed="false">
      <c r="A6554" s="0" t="n">
        <f aca="false">COUPDAYSNC(DATE(2020,2,29),DATE(2024,2,29),2,3)</f>
        <v>184</v>
      </c>
      <c r="B6554" s="0" t="s">
        <v>6533</v>
      </c>
    </row>
    <row r="6555" customFormat="false" ht="15" hidden="false" customHeight="false" outlineLevel="0" collapsed="false">
      <c r="A6555" s="0" t="n">
        <f aca="false">COUPPCD(DATE(2020,2,29),DATE(2024,2,29),2,4)</f>
        <v>43890</v>
      </c>
      <c r="B6555" s="0" t="s">
        <v>6534</v>
      </c>
    </row>
    <row r="6556" customFormat="false" ht="15" hidden="false" customHeight="false" outlineLevel="0" collapsed="false">
      <c r="A6556" s="0" t="n">
        <f aca="false">COUPNCD(DATE(2020,2,29),DATE(2024,2,29),2,4)</f>
        <v>44074</v>
      </c>
      <c r="B6556" s="0" t="s">
        <v>6535</v>
      </c>
    </row>
    <row r="6557" customFormat="false" ht="15" hidden="false" customHeight="false" outlineLevel="0" collapsed="false">
      <c r="A6557" s="0" t="n">
        <f aca="false">COUPNUM(DATE(2020,2,29),DATE(2024,2,29),2,4)</f>
        <v>8</v>
      </c>
      <c r="B6557" s="0" t="s">
        <v>6536</v>
      </c>
    </row>
    <row r="6558" customFormat="false" ht="15" hidden="false" customHeight="false" outlineLevel="0" collapsed="false">
      <c r="A6558" s="0" t="n">
        <f aca="false">COUPDAYBS(DATE(2020,2,29),DATE(2024,2,29),2,4)</f>
        <v>0</v>
      </c>
      <c r="B6558" s="0" t="s">
        <v>6537</v>
      </c>
    </row>
    <row r="6559" customFormat="false" ht="15" hidden="false" customHeight="false" outlineLevel="0" collapsed="false">
      <c r="A6559" s="0" t="n">
        <f aca="false">COUPDAYS(DATE(2020,2,29),DATE(2024,2,29),2,4)</f>
        <v>180</v>
      </c>
      <c r="B6559" s="0" t="s">
        <v>6538</v>
      </c>
    </row>
    <row r="6560" customFormat="false" ht="15" hidden="false" customHeight="false" outlineLevel="0" collapsed="false">
      <c r="A6560" s="0" t="n">
        <f aca="false">COUPDAYSNC(DATE(2020,2,29),DATE(2024,2,29),2,4)</f>
        <v>180</v>
      </c>
      <c r="B6560" s="0" t="s">
        <v>6539</v>
      </c>
    </row>
    <row r="6561" customFormat="false" ht="15" hidden="false" customHeight="false" outlineLevel="0" collapsed="false">
      <c r="A6561" s="0" t="n">
        <f aca="false">COUPPCD(DATE(2020,2,29),DATE(2024,2,29),4,0)</f>
        <v>43890</v>
      </c>
      <c r="B6561" s="0" t="s">
        <v>6540</v>
      </c>
    </row>
    <row r="6562" customFormat="false" ht="15" hidden="false" customHeight="false" outlineLevel="0" collapsed="false">
      <c r="A6562" s="0" t="n">
        <f aca="false">COUPNCD(DATE(2020,2,29),DATE(2024,2,29),4,0)</f>
        <v>43982</v>
      </c>
      <c r="B6562" s="0" t="s">
        <v>6541</v>
      </c>
    </row>
    <row r="6563" customFormat="false" ht="15" hidden="false" customHeight="false" outlineLevel="0" collapsed="false">
      <c r="A6563" s="0" t="n">
        <f aca="false">COUPNUM(DATE(2020,2,29),DATE(2024,2,29),4,0)</f>
        <v>16</v>
      </c>
      <c r="B6563" s="0" t="s">
        <v>6542</v>
      </c>
    </row>
    <row r="6564" customFormat="false" ht="15" hidden="false" customHeight="false" outlineLevel="0" collapsed="false">
      <c r="A6564" s="0" t="n">
        <f aca="false">COUPDAYBS(DATE(2020,2,29),DATE(2024,2,29),4,0)</f>
        <v>0</v>
      </c>
      <c r="B6564" s="0" t="s">
        <v>6543</v>
      </c>
    </row>
    <row r="6565" customFormat="false" ht="15" hidden="false" customHeight="false" outlineLevel="0" collapsed="false">
      <c r="A6565" s="0" t="n">
        <f aca="false">COUPDAYS(DATE(2020,2,29),DATE(2024,2,29),4,0)</f>
        <v>90</v>
      </c>
      <c r="B6565" s="0" t="s">
        <v>6544</v>
      </c>
    </row>
    <row r="6566" customFormat="false" ht="15" hidden="false" customHeight="false" outlineLevel="0" collapsed="false">
      <c r="A6566" s="0" t="n">
        <f aca="false">COUPDAYSNC(DATE(2020,2,29),DATE(2024,2,29),4,0)</f>
        <v>90</v>
      </c>
      <c r="B6566" s="0" t="s">
        <v>6545</v>
      </c>
    </row>
    <row r="6567" customFormat="false" ht="15" hidden="false" customHeight="false" outlineLevel="0" collapsed="false">
      <c r="A6567" s="0" t="n">
        <f aca="false">COUPPCD(DATE(2020,2,29),DATE(2024,2,29),4,1)</f>
        <v>43890</v>
      </c>
      <c r="B6567" s="0" t="s">
        <v>6546</v>
      </c>
    </row>
    <row r="6568" customFormat="false" ht="15" hidden="false" customHeight="false" outlineLevel="0" collapsed="false">
      <c r="A6568" s="0" t="n">
        <f aca="false">COUPNCD(DATE(2020,2,29),DATE(2024,2,29),4,1)</f>
        <v>43982</v>
      </c>
      <c r="B6568" s="0" t="s">
        <v>6547</v>
      </c>
    </row>
    <row r="6569" customFormat="false" ht="15" hidden="false" customHeight="false" outlineLevel="0" collapsed="false">
      <c r="A6569" s="0" t="n">
        <f aca="false">COUPNUM(DATE(2020,2,29),DATE(2024,2,29),4,1)</f>
        <v>16</v>
      </c>
      <c r="B6569" s="0" t="s">
        <v>6548</v>
      </c>
    </row>
    <row r="6570" customFormat="false" ht="15" hidden="false" customHeight="false" outlineLevel="0" collapsed="false">
      <c r="A6570" s="0" t="n">
        <f aca="false">COUPDAYBS(DATE(2020,2,29),DATE(2024,2,29),4,1)</f>
        <v>0</v>
      </c>
      <c r="B6570" s="0" t="s">
        <v>6549</v>
      </c>
    </row>
    <row r="6571" customFormat="false" ht="15" hidden="false" customHeight="false" outlineLevel="0" collapsed="false">
      <c r="A6571" s="0" t="n">
        <f aca="false">COUPDAYS(DATE(2020,2,29),DATE(2024,2,29),4,1)</f>
        <v>92</v>
      </c>
      <c r="B6571" s="0" t="s">
        <v>6550</v>
      </c>
    </row>
    <row r="6572" customFormat="false" ht="15" hidden="false" customHeight="false" outlineLevel="0" collapsed="false">
      <c r="A6572" s="0" t="n">
        <f aca="false">COUPDAYSNC(DATE(2020,2,29),DATE(2024,2,29),4,1)</f>
        <v>92</v>
      </c>
      <c r="B6572" s="0" t="s">
        <v>6551</v>
      </c>
    </row>
    <row r="6573" customFormat="false" ht="15" hidden="false" customHeight="false" outlineLevel="0" collapsed="false">
      <c r="A6573" s="0" t="n">
        <f aca="false">COUPPCD(DATE(2020,2,29),DATE(2024,2,29),4,2)</f>
        <v>43890</v>
      </c>
      <c r="B6573" s="0" t="s">
        <v>6552</v>
      </c>
    </row>
    <row r="6574" customFormat="false" ht="15" hidden="false" customHeight="false" outlineLevel="0" collapsed="false">
      <c r="A6574" s="0" t="n">
        <f aca="false">COUPNCD(DATE(2020,2,29),DATE(2024,2,29),4,2)</f>
        <v>43982</v>
      </c>
      <c r="B6574" s="0" t="s">
        <v>6553</v>
      </c>
    </row>
    <row r="6575" customFormat="false" ht="15" hidden="false" customHeight="false" outlineLevel="0" collapsed="false">
      <c r="A6575" s="0" t="n">
        <f aca="false">COUPNUM(DATE(2020,2,29),DATE(2024,2,29),4,2)</f>
        <v>16</v>
      </c>
      <c r="B6575" s="0" t="s">
        <v>6554</v>
      </c>
    </row>
    <row r="6576" customFormat="false" ht="15" hidden="false" customHeight="false" outlineLevel="0" collapsed="false">
      <c r="A6576" s="0" t="n">
        <f aca="false">COUPDAYBS(DATE(2020,2,29),DATE(2024,2,29),4,2)</f>
        <v>0</v>
      </c>
      <c r="B6576" s="0" t="s">
        <v>6555</v>
      </c>
    </row>
    <row r="6577" customFormat="false" ht="15" hidden="false" customHeight="false" outlineLevel="0" collapsed="false">
      <c r="A6577" s="0" t="n">
        <f aca="false">COUPDAYS(DATE(2020,2,29),DATE(2024,2,29),4,2)</f>
        <v>90</v>
      </c>
      <c r="B6577" s="0" t="s">
        <v>6556</v>
      </c>
    </row>
    <row r="6578" customFormat="false" ht="15" hidden="false" customHeight="false" outlineLevel="0" collapsed="false">
      <c r="A6578" s="0" t="n">
        <f aca="false">COUPDAYSNC(DATE(2020,2,29),DATE(2024,2,29),4,2)</f>
        <v>92</v>
      </c>
      <c r="B6578" s="0" t="s">
        <v>6557</v>
      </c>
    </row>
    <row r="6579" customFormat="false" ht="15" hidden="false" customHeight="false" outlineLevel="0" collapsed="false">
      <c r="A6579" s="0" t="n">
        <f aca="false">COUPPCD(DATE(2020,2,29),DATE(2024,2,29),4,3)</f>
        <v>43890</v>
      </c>
      <c r="B6579" s="0" t="s">
        <v>6558</v>
      </c>
    </row>
    <row r="6580" customFormat="false" ht="15" hidden="false" customHeight="false" outlineLevel="0" collapsed="false">
      <c r="A6580" s="0" t="n">
        <f aca="false">COUPNCD(DATE(2020,2,29),DATE(2024,2,29),4,3)</f>
        <v>43982</v>
      </c>
      <c r="B6580" s="0" t="s">
        <v>6559</v>
      </c>
    </row>
    <row r="6581" customFormat="false" ht="15" hidden="false" customHeight="false" outlineLevel="0" collapsed="false">
      <c r="A6581" s="0" t="n">
        <f aca="false">COUPNUM(DATE(2020,2,29),DATE(2024,2,29),4,3)</f>
        <v>16</v>
      </c>
      <c r="B6581" s="0" t="s">
        <v>6560</v>
      </c>
    </row>
    <row r="6582" customFormat="false" ht="15" hidden="false" customHeight="false" outlineLevel="0" collapsed="false">
      <c r="A6582" s="0" t="n">
        <f aca="false">COUPDAYBS(DATE(2020,2,29),DATE(2024,2,29),4,3)</f>
        <v>0</v>
      </c>
      <c r="B6582" s="0" t="s">
        <v>6561</v>
      </c>
    </row>
    <row r="6583" customFormat="false" ht="15" hidden="false" customHeight="false" outlineLevel="0" collapsed="false">
      <c r="A6583" s="0" t="n">
        <f aca="false">COUPDAYS(DATE(2020,2,29),DATE(2024,2,29),4,3)</f>
        <v>91.25</v>
      </c>
      <c r="B6583" s="0" t="s">
        <v>6562</v>
      </c>
    </row>
    <row r="6584" customFormat="false" ht="15" hidden="false" customHeight="false" outlineLevel="0" collapsed="false">
      <c r="A6584" s="0" t="n">
        <f aca="false">COUPDAYSNC(DATE(2020,2,29),DATE(2024,2,29),4,3)</f>
        <v>92</v>
      </c>
      <c r="B6584" s="0" t="s">
        <v>6563</v>
      </c>
    </row>
    <row r="6585" customFormat="false" ht="15" hidden="false" customHeight="false" outlineLevel="0" collapsed="false">
      <c r="A6585" s="0" t="n">
        <f aca="false">COUPPCD(DATE(2020,2,29),DATE(2024,2,29),4,4)</f>
        <v>43890</v>
      </c>
      <c r="B6585" s="0" t="s">
        <v>6564</v>
      </c>
    </row>
    <row r="6586" customFormat="false" ht="15" hidden="false" customHeight="false" outlineLevel="0" collapsed="false">
      <c r="A6586" s="0" t="n">
        <f aca="false">COUPNCD(DATE(2020,2,29),DATE(2024,2,29),4,4)</f>
        <v>43982</v>
      </c>
      <c r="B6586" s="0" t="s">
        <v>6565</v>
      </c>
    </row>
    <row r="6587" customFormat="false" ht="15" hidden="false" customHeight="false" outlineLevel="0" collapsed="false">
      <c r="A6587" s="0" t="n">
        <f aca="false">COUPNUM(DATE(2020,2,29),DATE(2024,2,29),4,4)</f>
        <v>16</v>
      </c>
      <c r="B6587" s="0" t="s">
        <v>6566</v>
      </c>
    </row>
    <row r="6588" customFormat="false" ht="15" hidden="false" customHeight="false" outlineLevel="0" collapsed="false">
      <c r="A6588" s="0" t="n">
        <f aca="false">COUPDAYBS(DATE(2020,2,29),DATE(2024,2,29),4,4)</f>
        <v>0</v>
      </c>
      <c r="B6588" s="0" t="s">
        <v>6567</v>
      </c>
    </row>
    <row r="6589" customFormat="false" ht="15" hidden="false" customHeight="false" outlineLevel="0" collapsed="false">
      <c r="A6589" s="0" t="n">
        <f aca="false">COUPDAYS(DATE(2020,2,29),DATE(2024,2,29),4,4)</f>
        <v>90</v>
      </c>
      <c r="B6589" s="0" t="s">
        <v>6568</v>
      </c>
    </row>
    <row r="6590" customFormat="false" ht="15" hidden="false" customHeight="false" outlineLevel="0" collapsed="false">
      <c r="A6590" s="0" t="n">
        <f aca="false">COUPDAYSNC(DATE(2020,2,29),DATE(2024,2,29),4,4)</f>
        <v>90</v>
      </c>
      <c r="B6590" s="0" t="s">
        <v>6569</v>
      </c>
    </row>
    <row r="6591" customFormat="false" ht="15" hidden="false" customHeight="false" outlineLevel="0" collapsed="false">
      <c r="A6591" s="0" t="n">
        <f aca="false">COUPNUM(DATE(2020,2,29),DATE(2024,2,29),2)</f>
        <v>8</v>
      </c>
      <c r="B6591" s="0" t="s">
        <v>6570</v>
      </c>
    </row>
    <row r="6592" customFormat="false" ht="15" hidden="false" customHeight="false" outlineLevel="0" collapsed="false">
      <c r="A6592" s="0" t="n">
        <f aca="false">COUPDAYS(DATE(2020,2,29),DATE(2024,2,29),2)</f>
        <v>180</v>
      </c>
      <c r="B6592" s="0" t="s">
        <v>6571</v>
      </c>
    </row>
    <row r="6593" customFormat="false" ht="15" hidden="false" customHeight="false" outlineLevel="0" collapsed="false">
      <c r="A6593" s="0" t="n">
        <f aca="false">COUPPCD(DATE(2024,1,1),DATE(2024,1,2),1,0)</f>
        <v>44928</v>
      </c>
      <c r="B6593" s="0" t="s">
        <v>6572</v>
      </c>
    </row>
    <row r="6594" customFormat="false" ht="15" hidden="false" customHeight="false" outlineLevel="0" collapsed="false">
      <c r="A6594" s="0" t="n">
        <f aca="false">COUPNCD(DATE(2024,1,1),DATE(2024,1,2),1,0)</f>
        <v>45293</v>
      </c>
      <c r="B6594" s="0" t="s">
        <v>6573</v>
      </c>
    </row>
    <row r="6595" customFormat="false" ht="15" hidden="false" customHeight="false" outlineLevel="0" collapsed="false">
      <c r="A6595" s="0" t="n">
        <f aca="false">COUPNUM(DATE(2024,1,1),DATE(2024,1,2),1,0)</f>
        <v>1</v>
      </c>
      <c r="B6595" s="0" t="s">
        <v>6574</v>
      </c>
    </row>
    <row r="6596" customFormat="false" ht="15" hidden="false" customHeight="false" outlineLevel="0" collapsed="false">
      <c r="A6596" s="0" t="n">
        <f aca="false">COUPDAYBS(DATE(2024,1,1),DATE(2024,1,2),1,0)</f>
        <v>359</v>
      </c>
      <c r="B6596" s="0" t="s">
        <v>6575</v>
      </c>
    </row>
    <row r="6597" customFormat="false" ht="15" hidden="false" customHeight="false" outlineLevel="0" collapsed="false">
      <c r="A6597" s="0" t="n">
        <f aca="false">COUPDAYS(DATE(2024,1,1),DATE(2024,1,2),1,0)</f>
        <v>360</v>
      </c>
      <c r="B6597" s="0" t="s">
        <v>6576</v>
      </c>
    </row>
    <row r="6598" customFormat="false" ht="15" hidden="false" customHeight="false" outlineLevel="0" collapsed="false">
      <c r="A6598" s="0" t="n">
        <f aca="false">COUPDAYSNC(DATE(2024,1,1),DATE(2024,1,2),1,0)</f>
        <v>1</v>
      </c>
      <c r="B6598" s="0" t="s">
        <v>6577</v>
      </c>
    </row>
    <row r="6599" customFormat="false" ht="15" hidden="false" customHeight="false" outlineLevel="0" collapsed="false">
      <c r="A6599" s="0" t="n">
        <f aca="false">COUPPCD(DATE(2024,1,1),DATE(2024,1,2),1,1)</f>
        <v>44928</v>
      </c>
      <c r="B6599" s="0" t="s">
        <v>6578</v>
      </c>
    </row>
    <row r="6600" customFormat="false" ht="15" hidden="false" customHeight="false" outlineLevel="0" collapsed="false">
      <c r="A6600" s="0" t="n">
        <f aca="false">COUPNCD(DATE(2024,1,1),DATE(2024,1,2),1,1)</f>
        <v>45293</v>
      </c>
      <c r="B6600" s="0" t="s">
        <v>6579</v>
      </c>
    </row>
    <row r="6601" customFormat="false" ht="15" hidden="false" customHeight="false" outlineLevel="0" collapsed="false">
      <c r="A6601" s="0" t="n">
        <f aca="false">COUPNUM(DATE(2024,1,1),DATE(2024,1,2),1,1)</f>
        <v>1</v>
      </c>
      <c r="B6601" s="0" t="s">
        <v>6580</v>
      </c>
    </row>
    <row r="6602" customFormat="false" ht="15" hidden="false" customHeight="false" outlineLevel="0" collapsed="false">
      <c r="A6602" s="0" t="n">
        <f aca="false">COUPDAYBS(DATE(2024,1,1),DATE(2024,1,2),1,1)</f>
        <v>364</v>
      </c>
      <c r="B6602" s="0" t="s">
        <v>6581</v>
      </c>
    </row>
    <row r="6603" customFormat="false" ht="15" hidden="false" customHeight="false" outlineLevel="0" collapsed="false">
      <c r="A6603" s="0" t="n">
        <f aca="false">COUPDAYS(DATE(2024,1,1),DATE(2024,1,2),1,1)</f>
        <v>365</v>
      </c>
      <c r="B6603" s="0" t="s">
        <v>6582</v>
      </c>
    </row>
    <row r="6604" customFormat="false" ht="15" hidden="false" customHeight="false" outlineLevel="0" collapsed="false">
      <c r="A6604" s="0" t="n">
        <f aca="false">COUPDAYSNC(DATE(2024,1,1),DATE(2024,1,2),1,1)</f>
        <v>1</v>
      </c>
      <c r="B6604" s="0" t="s">
        <v>6583</v>
      </c>
    </row>
    <row r="6605" customFormat="false" ht="15" hidden="false" customHeight="false" outlineLevel="0" collapsed="false">
      <c r="A6605" s="0" t="n">
        <f aca="false">COUPPCD(DATE(2024,1,1),DATE(2024,1,2),1,2)</f>
        <v>44928</v>
      </c>
      <c r="B6605" s="0" t="s">
        <v>6584</v>
      </c>
    </row>
    <row r="6606" customFormat="false" ht="15" hidden="false" customHeight="false" outlineLevel="0" collapsed="false">
      <c r="A6606" s="0" t="n">
        <f aca="false">COUPNCD(DATE(2024,1,1),DATE(2024,1,2),1,2)</f>
        <v>45293</v>
      </c>
      <c r="B6606" s="0" t="s">
        <v>6585</v>
      </c>
    </row>
    <row r="6607" customFormat="false" ht="15" hidden="false" customHeight="false" outlineLevel="0" collapsed="false">
      <c r="A6607" s="0" t="n">
        <f aca="false">COUPNUM(DATE(2024,1,1),DATE(2024,1,2),1,2)</f>
        <v>1</v>
      </c>
      <c r="B6607" s="0" t="s">
        <v>6586</v>
      </c>
    </row>
    <row r="6608" customFormat="false" ht="15" hidden="false" customHeight="false" outlineLevel="0" collapsed="false">
      <c r="A6608" s="0" t="n">
        <f aca="false">COUPDAYBS(DATE(2024,1,1),DATE(2024,1,2),1,2)</f>
        <v>364</v>
      </c>
      <c r="B6608" s="0" t="s">
        <v>6587</v>
      </c>
    </row>
    <row r="6609" customFormat="false" ht="15" hidden="false" customHeight="false" outlineLevel="0" collapsed="false">
      <c r="A6609" s="0" t="n">
        <f aca="false">COUPDAYS(DATE(2024,1,1),DATE(2024,1,2),1,2)</f>
        <v>360</v>
      </c>
      <c r="B6609" s="0" t="s">
        <v>6588</v>
      </c>
    </row>
    <row r="6610" customFormat="false" ht="15" hidden="false" customHeight="false" outlineLevel="0" collapsed="false">
      <c r="A6610" s="0" t="n">
        <f aca="false">COUPDAYSNC(DATE(2024,1,1),DATE(2024,1,2),1,2)</f>
        <v>1</v>
      </c>
      <c r="B6610" s="0" t="s">
        <v>6589</v>
      </c>
    </row>
    <row r="6611" customFormat="false" ht="15" hidden="false" customHeight="false" outlineLevel="0" collapsed="false">
      <c r="A6611" s="0" t="n">
        <f aca="false">COUPPCD(DATE(2024,1,1),DATE(2024,1,2),1,3)</f>
        <v>44928</v>
      </c>
      <c r="B6611" s="0" t="s">
        <v>6590</v>
      </c>
    </row>
    <row r="6612" customFormat="false" ht="15" hidden="false" customHeight="false" outlineLevel="0" collapsed="false">
      <c r="A6612" s="0" t="n">
        <f aca="false">COUPNCD(DATE(2024,1,1),DATE(2024,1,2),1,3)</f>
        <v>45293</v>
      </c>
      <c r="B6612" s="0" t="s">
        <v>6591</v>
      </c>
    </row>
    <row r="6613" customFormat="false" ht="15" hidden="false" customHeight="false" outlineLevel="0" collapsed="false">
      <c r="A6613" s="0" t="n">
        <f aca="false">COUPNUM(DATE(2024,1,1),DATE(2024,1,2),1,3)</f>
        <v>1</v>
      </c>
      <c r="B6613" s="0" t="s">
        <v>6592</v>
      </c>
    </row>
    <row r="6614" customFormat="false" ht="15" hidden="false" customHeight="false" outlineLevel="0" collapsed="false">
      <c r="A6614" s="0" t="n">
        <f aca="false">COUPDAYBS(DATE(2024,1,1),DATE(2024,1,2),1,3)</f>
        <v>364</v>
      </c>
      <c r="B6614" s="0" t="s">
        <v>6593</v>
      </c>
    </row>
    <row r="6615" customFormat="false" ht="15" hidden="false" customHeight="false" outlineLevel="0" collapsed="false">
      <c r="A6615" s="0" t="n">
        <f aca="false">COUPDAYS(DATE(2024,1,1),DATE(2024,1,2),1,3)</f>
        <v>365</v>
      </c>
      <c r="B6615" s="0" t="s">
        <v>6594</v>
      </c>
    </row>
    <row r="6616" customFormat="false" ht="15" hidden="false" customHeight="false" outlineLevel="0" collapsed="false">
      <c r="A6616" s="0" t="n">
        <f aca="false">COUPDAYSNC(DATE(2024,1,1),DATE(2024,1,2),1,3)</f>
        <v>1</v>
      </c>
      <c r="B6616" s="0" t="s">
        <v>6595</v>
      </c>
    </row>
    <row r="6617" customFormat="false" ht="15" hidden="false" customHeight="false" outlineLevel="0" collapsed="false">
      <c r="A6617" s="0" t="n">
        <f aca="false">COUPPCD(DATE(2024,1,1),DATE(2024,1,2),1,4)</f>
        <v>44928</v>
      </c>
      <c r="B6617" s="0" t="s">
        <v>6596</v>
      </c>
    </row>
    <row r="6618" customFormat="false" ht="15" hidden="false" customHeight="false" outlineLevel="0" collapsed="false">
      <c r="A6618" s="0" t="n">
        <f aca="false">COUPNCD(DATE(2024,1,1),DATE(2024,1,2),1,4)</f>
        <v>45293</v>
      </c>
      <c r="B6618" s="0" t="s">
        <v>6597</v>
      </c>
    </row>
    <row r="6619" customFormat="false" ht="15" hidden="false" customHeight="false" outlineLevel="0" collapsed="false">
      <c r="A6619" s="0" t="n">
        <f aca="false">COUPNUM(DATE(2024,1,1),DATE(2024,1,2),1,4)</f>
        <v>1</v>
      </c>
      <c r="B6619" s="0" t="s">
        <v>6598</v>
      </c>
    </row>
    <row r="6620" customFormat="false" ht="15" hidden="false" customHeight="false" outlineLevel="0" collapsed="false">
      <c r="A6620" s="0" t="n">
        <f aca="false">COUPDAYBS(DATE(2024,1,1),DATE(2024,1,2),1,4)</f>
        <v>359</v>
      </c>
      <c r="B6620" s="0" t="s">
        <v>6599</v>
      </c>
    </row>
    <row r="6621" customFormat="false" ht="15" hidden="false" customHeight="false" outlineLevel="0" collapsed="false">
      <c r="A6621" s="0" t="n">
        <f aca="false">COUPDAYS(DATE(2024,1,1),DATE(2024,1,2),1,4)</f>
        <v>360</v>
      </c>
      <c r="B6621" s="0" t="s">
        <v>6600</v>
      </c>
    </row>
    <row r="6622" customFormat="false" ht="15" hidden="false" customHeight="false" outlineLevel="0" collapsed="false">
      <c r="A6622" s="0" t="n">
        <f aca="false">COUPDAYSNC(DATE(2024,1,1),DATE(2024,1,2),1,4)</f>
        <v>1</v>
      </c>
      <c r="B6622" s="0" t="s">
        <v>6601</v>
      </c>
    </row>
    <row r="6623" customFormat="false" ht="15" hidden="false" customHeight="false" outlineLevel="0" collapsed="false">
      <c r="A6623" s="0" t="n">
        <f aca="false">COUPPCD(DATE(2024,1,1),DATE(2024,1,2),2,0)</f>
        <v>45109</v>
      </c>
      <c r="B6623" s="0" t="s">
        <v>6602</v>
      </c>
    </row>
    <row r="6624" customFormat="false" ht="15" hidden="false" customHeight="false" outlineLevel="0" collapsed="false">
      <c r="A6624" s="0" t="n">
        <f aca="false">COUPNCD(DATE(2024,1,1),DATE(2024,1,2),2,0)</f>
        <v>45293</v>
      </c>
      <c r="B6624" s="0" t="s">
        <v>6603</v>
      </c>
    </row>
    <row r="6625" customFormat="false" ht="15" hidden="false" customHeight="false" outlineLevel="0" collapsed="false">
      <c r="A6625" s="0" t="n">
        <f aca="false">COUPNUM(DATE(2024,1,1),DATE(2024,1,2),2,0)</f>
        <v>1</v>
      </c>
      <c r="B6625" s="0" t="s">
        <v>6604</v>
      </c>
    </row>
    <row r="6626" customFormat="false" ht="15" hidden="false" customHeight="false" outlineLevel="0" collapsed="false">
      <c r="A6626" s="0" t="n">
        <f aca="false">COUPDAYBS(DATE(2024,1,1),DATE(2024,1,2),2,0)</f>
        <v>179</v>
      </c>
      <c r="B6626" s="0" t="s">
        <v>6605</v>
      </c>
    </row>
    <row r="6627" customFormat="false" ht="15" hidden="false" customHeight="false" outlineLevel="0" collapsed="false">
      <c r="A6627" s="0" t="n">
        <f aca="false">COUPDAYS(DATE(2024,1,1),DATE(2024,1,2),2,0)</f>
        <v>180</v>
      </c>
      <c r="B6627" s="0" t="s">
        <v>6606</v>
      </c>
    </row>
    <row r="6628" customFormat="false" ht="15" hidden="false" customHeight="false" outlineLevel="0" collapsed="false">
      <c r="A6628" s="0" t="n">
        <f aca="false">COUPDAYSNC(DATE(2024,1,1),DATE(2024,1,2),2,0)</f>
        <v>1</v>
      </c>
      <c r="B6628" s="0" t="s">
        <v>6607</v>
      </c>
    </row>
    <row r="6629" customFormat="false" ht="15" hidden="false" customHeight="false" outlineLevel="0" collapsed="false">
      <c r="A6629" s="0" t="n">
        <f aca="false">COUPPCD(DATE(2024,1,1),DATE(2024,1,2),2,1)</f>
        <v>45109</v>
      </c>
      <c r="B6629" s="0" t="s">
        <v>6608</v>
      </c>
    </row>
    <row r="6630" customFormat="false" ht="15" hidden="false" customHeight="false" outlineLevel="0" collapsed="false">
      <c r="A6630" s="0" t="n">
        <f aca="false">COUPNCD(DATE(2024,1,1),DATE(2024,1,2),2,1)</f>
        <v>45293</v>
      </c>
      <c r="B6630" s="0" t="s">
        <v>6609</v>
      </c>
    </row>
    <row r="6631" customFormat="false" ht="15" hidden="false" customHeight="false" outlineLevel="0" collapsed="false">
      <c r="A6631" s="0" t="n">
        <f aca="false">COUPNUM(DATE(2024,1,1),DATE(2024,1,2),2,1)</f>
        <v>1</v>
      </c>
      <c r="B6631" s="0" t="s">
        <v>6610</v>
      </c>
    </row>
    <row r="6632" customFormat="false" ht="15" hidden="false" customHeight="false" outlineLevel="0" collapsed="false">
      <c r="A6632" s="0" t="n">
        <f aca="false">COUPDAYBS(DATE(2024,1,1),DATE(2024,1,2),2,1)</f>
        <v>183</v>
      </c>
      <c r="B6632" s="0" t="s">
        <v>6611</v>
      </c>
    </row>
    <row r="6633" customFormat="false" ht="15" hidden="false" customHeight="false" outlineLevel="0" collapsed="false">
      <c r="A6633" s="0" t="n">
        <f aca="false">COUPDAYS(DATE(2024,1,1),DATE(2024,1,2),2,1)</f>
        <v>184</v>
      </c>
      <c r="B6633" s="0" t="s">
        <v>6612</v>
      </c>
    </row>
    <row r="6634" customFormat="false" ht="15" hidden="false" customHeight="false" outlineLevel="0" collapsed="false">
      <c r="A6634" s="0" t="n">
        <f aca="false">COUPDAYSNC(DATE(2024,1,1),DATE(2024,1,2),2,1)</f>
        <v>1</v>
      </c>
      <c r="B6634" s="0" t="s">
        <v>6613</v>
      </c>
    </row>
    <row r="6635" customFormat="false" ht="15" hidden="false" customHeight="false" outlineLevel="0" collapsed="false">
      <c r="A6635" s="0" t="n">
        <f aca="false">COUPPCD(DATE(2024,1,1),DATE(2024,1,2),2,2)</f>
        <v>45109</v>
      </c>
      <c r="B6635" s="0" t="s">
        <v>6614</v>
      </c>
    </row>
    <row r="6636" customFormat="false" ht="15" hidden="false" customHeight="false" outlineLevel="0" collapsed="false">
      <c r="A6636" s="0" t="n">
        <f aca="false">COUPNCD(DATE(2024,1,1),DATE(2024,1,2),2,2)</f>
        <v>45293</v>
      </c>
      <c r="B6636" s="0" t="s">
        <v>6615</v>
      </c>
    </row>
    <row r="6637" customFormat="false" ht="15" hidden="false" customHeight="false" outlineLevel="0" collapsed="false">
      <c r="A6637" s="0" t="n">
        <f aca="false">COUPNUM(DATE(2024,1,1),DATE(2024,1,2),2,2)</f>
        <v>1</v>
      </c>
      <c r="B6637" s="0" t="s">
        <v>6616</v>
      </c>
    </row>
    <row r="6638" customFormat="false" ht="15" hidden="false" customHeight="false" outlineLevel="0" collapsed="false">
      <c r="A6638" s="0" t="n">
        <f aca="false">COUPDAYBS(DATE(2024,1,1),DATE(2024,1,2),2,2)</f>
        <v>183</v>
      </c>
      <c r="B6638" s="0" t="s">
        <v>6617</v>
      </c>
    </row>
    <row r="6639" customFormat="false" ht="15" hidden="false" customHeight="false" outlineLevel="0" collapsed="false">
      <c r="A6639" s="0" t="n">
        <f aca="false">COUPDAYS(DATE(2024,1,1),DATE(2024,1,2),2,2)</f>
        <v>180</v>
      </c>
      <c r="B6639" s="0" t="s">
        <v>6618</v>
      </c>
    </row>
    <row r="6640" customFormat="false" ht="15" hidden="false" customHeight="false" outlineLevel="0" collapsed="false">
      <c r="A6640" s="0" t="n">
        <f aca="false">COUPDAYSNC(DATE(2024,1,1),DATE(2024,1,2),2,2)</f>
        <v>1</v>
      </c>
      <c r="B6640" s="0" t="s">
        <v>6619</v>
      </c>
    </row>
    <row r="6641" customFormat="false" ht="15" hidden="false" customHeight="false" outlineLevel="0" collapsed="false">
      <c r="A6641" s="0" t="n">
        <f aca="false">COUPPCD(DATE(2024,1,1),DATE(2024,1,2),2,3)</f>
        <v>45109</v>
      </c>
      <c r="B6641" s="0" t="s">
        <v>6620</v>
      </c>
    </row>
    <row r="6642" customFormat="false" ht="15" hidden="false" customHeight="false" outlineLevel="0" collapsed="false">
      <c r="A6642" s="0" t="n">
        <f aca="false">COUPNCD(DATE(2024,1,1),DATE(2024,1,2),2,3)</f>
        <v>45293</v>
      </c>
      <c r="B6642" s="0" t="s">
        <v>6621</v>
      </c>
    </row>
    <row r="6643" customFormat="false" ht="15" hidden="false" customHeight="false" outlineLevel="0" collapsed="false">
      <c r="A6643" s="0" t="n">
        <f aca="false">COUPNUM(DATE(2024,1,1),DATE(2024,1,2),2,3)</f>
        <v>1</v>
      </c>
      <c r="B6643" s="0" t="s">
        <v>6622</v>
      </c>
    </row>
    <row r="6644" customFormat="false" ht="15" hidden="false" customHeight="false" outlineLevel="0" collapsed="false">
      <c r="A6644" s="0" t="n">
        <f aca="false">COUPDAYBS(DATE(2024,1,1),DATE(2024,1,2),2,3)</f>
        <v>183</v>
      </c>
      <c r="B6644" s="0" t="s">
        <v>6623</v>
      </c>
    </row>
    <row r="6645" customFormat="false" ht="15" hidden="false" customHeight="false" outlineLevel="0" collapsed="false">
      <c r="A6645" s="0" t="n">
        <f aca="false">COUPDAYS(DATE(2024,1,1),DATE(2024,1,2),2,3)</f>
        <v>182.5</v>
      </c>
      <c r="B6645" s="0" t="s">
        <v>6624</v>
      </c>
    </row>
    <row r="6646" customFormat="false" ht="15" hidden="false" customHeight="false" outlineLevel="0" collapsed="false">
      <c r="A6646" s="0" t="n">
        <f aca="false">COUPDAYSNC(DATE(2024,1,1),DATE(2024,1,2),2,3)</f>
        <v>1</v>
      </c>
      <c r="B6646" s="0" t="s">
        <v>6625</v>
      </c>
    </row>
    <row r="6647" customFormat="false" ht="15" hidden="false" customHeight="false" outlineLevel="0" collapsed="false">
      <c r="A6647" s="0" t="n">
        <f aca="false">COUPPCD(DATE(2024,1,1),DATE(2024,1,2),2,4)</f>
        <v>45109</v>
      </c>
      <c r="B6647" s="0" t="s">
        <v>6626</v>
      </c>
    </row>
    <row r="6648" customFormat="false" ht="15" hidden="false" customHeight="false" outlineLevel="0" collapsed="false">
      <c r="A6648" s="0" t="n">
        <f aca="false">COUPNCD(DATE(2024,1,1),DATE(2024,1,2),2,4)</f>
        <v>45293</v>
      </c>
      <c r="B6648" s="0" t="s">
        <v>6627</v>
      </c>
    </row>
    <row r="6649" customFormat="false" ht="15" hidden="false" customHeight="false" outlineLevel="0" collapsed="false">
      <c r="A6649" s="0" t="n">
        <f aca="false">COUPNUM(DATE(2024,1,1),DATE(2024,1,2),2,4)</f>
        <v>1</v>
      </c>
      <c r="B6649" s="0" t="s">
        <v>6628</v>
      </c>
    </row>
    <row r="6650" customFormat="false" ht="15" hidden="false" customHeight="false" outlineLevel="0" collapsed="false">
      <c r="A6650" s="0" t="n">
        <f aca="false">COUPDAYBS(DATE(2024,1,1),DATE(2024,1,2),2,4)</f>
        <v>179</v>
      </c>
      <c r="B6650" s="0" t="s">
        <v>6629</v>
      </c>
    </row>
    <row r="6651" customFormat="false" ht="15" hidden="false" customHeight="false" outlineLevel="0" collapsed="false">
      <c r="A6651" s="0" t="n">
        <f aca="false">COUPDAYS(DATE(2024,1,1),DATE(2024,1,2),2,4)</f>
        <v>180</v>
      </c>
      <c r="B6651" s="0" t="s">
        <v>6630</v>
      </c>
    </row>
    <row r="6652" customFormat="false" ht="15" hidden="false" customHeight="false" outlineLevel="0" collapsed="false">
      <c r="A6652" s="0" t="n">
        <f aca="false">COUPDAYSNC(DATE(2024,1,1),DATE(2024,1,2),2,4)</f>
        <v>1</v>
      </c>
      <c r="B6652" s="0" t="s">
        <v>6631</v>
      </c>
    </row>
    <row r="6653" customFormat="false" ht="15" hidden="false" customHeight="false" outlineLevel="0" collapsed="false">
      <c r="A6653" s="0" t="n">
        <f aca="false">COUPPCD(DATE(2024,1,1),DATE(2024,1,2),4,0)</f>
        <v>45201</v>
      </c>
      <c r="B6653" s="0" t="s">
        <v>6632</v>
      </c>
    </row>
    <row r="6654" customFormat="false" ht="15" hidden="false" customHeight="false" outlineLevel="0" collapsed="false">
      <c r="A6654" s="0" t="n">
        <f aca="false">COUPNCD(DATE(2024,1,1),DATE(2024,1,2),4,0)</f>
        <v>45293</v>
      </c>
      <c r="B6654" s="0" t="s">
        <v>6633</v>
      </c>
    </row>
    <row r="6655" customFormat="false" ht="15" hidden="false" customHeight="false" outlineLevel="0" collapsed="false">
      <c r="A6655" s="0" t="n">
        <f aca="false">COUPNUM(DATE(2024,1,1),DATE(2024,1,2),4,0)</f>
        <v>1</v>
      </c>
      <c r="B6655" s="0" t="s">
        <v>6634</v>
      </c>
    </row>
    <row r="6656" customFormat="false" ht="15" hidden="false" customHeight="false" outlineLevel="0" collapsed="false">
      <c r="A6656" s="0" t="n">
        <f aca="false">COUPDAYBS(DATE(2024,1,1),DATE(2024,1,2),4,0)</f>
        <v>89</v>
      </c>
      <c r="B6656" s="0" t="s">
        <v>6635</v>
      </c>
    </row>
    <row r="6657" customFormat="false" ht="15" hidden="false" customHeight="false" outlineLevel="0" collapsed="false">
      <c r="A6657" s="0" t="n">
        <f aca="false">COUPDAYS(DATE(2024,1,1),DATE(2024,1,2),4,0)</f>
        <v>90</v>
      </c>
      <c r="B6657" s="0" t="s">
        <v>6636</v>
      </c>
    </row>
    <row r="6658" customFormat="false" ht="15" hidden="false" customHeight="false" outlineLevel="0" collapsed="false">
      <c r="A6658" s="0" t="n">
        <f aca="false">COUPDAYSNC(DATE(2024,1,1),DATE(2024,1,2),4,0)</f>
        <v>1</v>
      </c>
      <c r="B6658" s="0" t="s">
        <v>6637</v>
      </c>
    </row>
    <row r="6659" customFormat="false" ht="15" hidden="false" customHeight="false" outlineLevel="0" collapsed="false">
      <c r="A6659" s="0" t="n">
        <f aca="false">COUPPCD(DATE(2024,1,1),DATE(2024,1,2),4,1)</f>
        <v>45201</v>
      </c>
      <c r="B6659" s="0" t="s">
        <v>6638</v>
      </c>
    </row>
    <row r="6660" customFormat="false" ht="15" hidden="false" customHeight="false" outlineLevel="0" collapsed="false">
      <c r="A6660" s="0" t="n">
        <f aca="false">COUPNCD(DATE(2024,1,1),DATE(2024,1,2),4,1)</f>
        <v>45293</v>
      </c>
      <c r="B6660" s="0" t="s">
        <v>6639</v>
      </c>
    </row>
    <row r="6661" customFormat="false" ht="15" hidden="false" customHeight="false" outlineLevel="0" collapsed="false">
      <c r="A6661" s="0" t="n">
        <f aca="false">COUPNUM(DATE(2024,1,1),DATE(2024,1,2),4,1)</f>
        <v>1</v>
      </c>
      <c r="B6661" s="0" t="s">
        <v>6640</v>
      </c>
    </row>
    <row r="6662" customFormat="false" ht="15" hidden="false" customHeight="false" outlineLevel="0" collapsed="false">
      <c r="A6662" s="0" t="n">
        <f aca="false">COUPDAYBS(DATE(2024,1,1),DATE(2024,1,2),4,1)</f>
        <v>91</v>
      </c>
      <c r="B6662" s="0" t="s">
        <v>6641</v>
      </c>
    </row>
    <row r="6663" customFormat="false" ht="15" hidden="false" customHeight="false" outlineLevel="0" collapsed="false">
      <c r="A6663" s="0" t="n">
        <f aca="false">COUPDAYS(DATE(2024,1,1),DATE(2024,1,2),4,1)</f>
        <v>92</v>
      </c>
      <c r="B6663" s="0" t="s">
        <v>6642</v>
      </c>
    </row>
    <row r="6664" customFormat="false" ht="15" hidden="false" customHeight="false" outlineLevel="0" collapsed="false">
      <c r="A6664" s="0" t="n">
        <f aca="false">COUPDAYSNC(DATE(2024,1,1),DATE(2024,1,2),4,1)</f>
        <v>1</v>
      </c>
      <c r="B6664" s="0" t="s">
        <v>6643</v>
      </c>
    </row>
    <row r="6665" customFormat="false" ht="15" hidden="false" customHeight="false" outlineLevel="0" collapsed="false">
      <c r="A6665" s="0" t="n">
        <f aca="false">COUPPCD(DATE(2024,1,1),DATE(2024,1,2),4,2)</f>
        <v>45201</v>
      </c>
      <c r="B6665" s="0" t="s">
        <v>6644</v>
      </c>
    </row>
    <row r="6666" customFormat="false" ht="15" hidden="false" customHeight="false" outlineLevel="0" collapsed="false">
      <c r="A6666" s="0" t="n">
        <f aca="false">COUPNCD(DATE(2024,1,1),DATE(2024,1,2),4,2)</f>
        <v>45293</v>
      </c>
      <c r="B6666" s="0" t="s">
        <v>6645</v>
      </c>
    </row>
    <row r="6667" customFormat="false" ht="15" hidden="false" customHeight="false" outlineLevel="0" collapsed="false">
      <c r="A6667" s="0" t="n">
        <f aca="false">COUPNUM(DATE(2024,1,1),DATE(2024,1,2),4,2)</f>
        <v>1</v>
      </c>
      <c r="B6667" s="0" t="s">
        <v>6646</v>
      </c>
    </row>
    <row r="6668" customFormat="false" ht="15" hidden="false" customHeight="false" outlineLevel="0" collapsed="false">
      <c r="A6668" s="0" t="n">
        <f aca="false">COUPDAYBS(DATE(2024,1,1),DATE(2024,1,2),4,2)</f>
        <v>91</v>
      </c>
      <c r="B6668" s="0" t="s">
        <v>6647</v>
      </c>
    </row>
    <row r="6669" customFormat="false" ht="15" hidden="false" customHeight="false" outlineLevel="0" collapsed="false">
      <c r="A6669" s="0" t="n">
        <f aca="false">COUPDAYS(DATE(2024,1,1),DATE(2024,1,2),4,2)</f>
        <v>90</v>
      </c>
      <c r="B6669" s="0" t="s">
        <v>6648</v>
      </c>
    </row>
    <row r="6670" customFormat="false" ht="15" hidden="false" customHeight="false" outlineLevel="0" collapsed="false">
      <c r="A6670" s="0" t="n">
        <f aca="false">COUPDAYSNC(DATE(2024,1,1),DATE(2024,1,2),4,2)</f>
        <v>1</v>
      </c>
      <c r="B6670" s="0" t="s">
        <v>6649</v>
      </c>
    </row>
    <row r="6671" customFormat="false" ht="15" hidden="false" customHeight="false" outlineLevel="0" collapsed="false">
      <c r="A6671" s="0" t="n">
        <f aca="false">COUPPCD(DATE(2024,1,1),DATE(2024,1,2),4,3)</f>
        <v>45201</v>
      </c>
      <c r="B6671" s="0" t="s">
        <v>6650</v>
      </c>
    </row>
    <row r="6672" customFormat="false" ht="15" hidden="false" customHeight="false" outlineLevel="0" collapsed="false">
      <c r="A6672" s="0" t="n">
        <f aca="false">COUPNCD(DATE(2024,1,1),DATE(2024,1,2),4,3)</f>
        <v>45293</v>
      </c>
      <c r="B6672" s="0" t="s">
        <v>6651</v>
      </c>
    </row>
    <row r="6673" customFormat="false" ht="15" hidden="false" customHeight="false" outlineLevel="0" collapsed="false">
      <c r="A6673" s="0" t="n">
        <f aca="false">COUPNUM(DATE(2024,1,1),DATE(2024,1,2),4,3)</f>
        <v>1</v>
      </c>
      <c r="B6673" s="0" t="s">
        <v>6652</v>
      </c>
    </row>
    <row r="6674" customFormat="false" ht="15" hidden="false" customHeight="false" outlineLevel="0" collapsed="false">
      <c r="A6674" s="0" t="n">
        <f aca="false">COUPDAYBS(DATE(2024,1,1),DATE(2024,1,2),4,3)</f>
        <v>91</v>
      </c>
      <c r="B6674" s="0" t="s">
        <v>6653</v>
      </c>
    </row>
    <row r="6675" customFormat="false" ht="15" hidden="false" customHeight="false" outlineLevel="0" collapsed="false">
      <c r="A6675" s="0" t="n">
        <f aca="false">COUPDAYS(DATE(2024,1,1),DATE(2024,1,2),4,3)</f>
        <v>91.25</v>
      </c>
      <c r="B6675" s="0" t="s">
        <v>6654</v>
      </c>
    </row>
    <row r="6676" customFormat="false" ht="15" hidden="false" customHeight="false" outlineLevel="0" collapsed="false">
      <c r="A6676" s="0" t="n">
        <f aca="false">COUPDAYSNC(DATE(2024,1,1),DATE(2024,1,2),4,3)</f>
        <v>1</v>
      </c>
      <c r="B6676" s="0" t="s">
        <v>6655</v>
      </c>
    </row>
    <row r="6677" customFormat="false" ht="15" hidden="false" customHeight="false" outlineLevel="0" collapsed="false">
      <c r="A6677" s="0" t="n">
        <f aca="false">COUPPCD(DATE(2024,1,1),DATE(2024,1,2),4,4)</f>
        <v>45201</v>
      </c>
      <c r="B6677" s="0" t="s">
        <v>6656</v>
      </c>
    </row>
    <row r="6678" customFormat="false" ht="15" hidden="false" customHeight="false" outlineLevel="0" collapsed="false">
      <c r="A6678" s="0" t="n">
        <f aca="false">COUPNCD(DATE(2024,1,1),DATE(2024,1,2),4,4)</f>
        <v>45293</v>
      </c>
      <c r="B6678" s="0" t="s">
        <v>6657</v>
      </c>
    </row>
    <row r="6679" customFormat="false" ht="15" hidden="false" customHeight="false" outlineLevel="0" collapsed="false">
      <c r="A6679" s="0" t="n">
        <f aca="false">COUPNUM(DATE(2024,1,1),DATE(2024,1,2),4,4)</f>
        <v>1</v>
      </c>
      <c r="B6679" s="0" t="s">
        <v>6658</v>
      </c>
    </row>
    <row r="6680" customFormat="false" ht="15" hidden="false" customHeight="false" outlineLevel="0" collapsed="false">
      <c r="A6680" s="0" t="n">
        <f aca="false">COUPDAYBS(DATE(2024,1,1),DATE(2024,1,2),4,4)</f>
        <v>89</v>
      </c>
      <c r="B6680" s="0" t="s">
        <v>6659</v>
      </c>
    </row>
    <row r="6681" customFormat="false" ht="15" hidden="false" customHeight="false" outlineLevel="0" collapsed="false">
      <c r="A6681" s="0" t="n">
        <f aca="false">COUPDAYS(DATE(2024,1,1),DATE(2024,1,2),4,4)</f>
        <v>90</v>
      </c>
      <c r="B6681" s="0" t="s">
        <v>6660</v>
      </c>
    </row>
    <row r="6682" customFormat="false" ht="15" hidden="false" customHeight="false" outlineLevel="0" collapsed="false">
      <c r="A6682" s="0" t="n">
        <f aca="false">COUPDAYSNC(DATE(2024,1,1),DATE(2024,1,2),4,4)</f>
        <v>1</v>
      </c>
      <c r="B6682" s="0" t="s">
        <v>6661</v>
      </c>
    </row>
    <row r="6683" customFormat="false" ht="15" hidden="false" customHeight="false" outlineLevel="0" collapsed="false">
      <c r="A6683" s="0" t="n">
        <f aca="false">COUPNUM(DATE(2024,1,1),DATE(2024,1,2),2)</f>
        <v>1</v>
      </c>
      <c r="B6683" s="0" t="s">
        <v>6662</v>
      </c>
    </row>
    <row r="6684" customFormat="false" ht="15" hidden="false" customHeight="false" outlineLevel="0" collapsed="false">
      <c r="A6684" s="0" t="n">
        <f aca="false">COUPDAYS(DATE(2024,1,1),DATE(2024,1,2),2)</f>
        <v>180</v>
      </c>
      <c r="B6684" s="0" t="s">
        <v>6663</v>
      </c>
    </row>
    <row r="6685" customFormat="false" ht="15" hidden="false" customHeight="false" outlineLevel="0" collapsed="false">
      <c r="A6685" s="0" t="n">
        <f aca="false">COUPPCD(DATE(2024,9,30),DATE(2034,3,31),1,0)</f>
        <v>45382</v>
      </c>
      <c r="B6685" s="0" t="s">
        <v>6664</v>
      </c>
    </row>
    <row r="6686" customFormat="false" ht="15" hidden="false" customHeight="false" outlineLevel="0" collapsed="false">
      <c r="A6686" s="0" t="n">
        <f aca="false">COUPNCD(DATE(2024,9,30),DATE(2034,3,31),1,0)</f>
        <v>45747</v>
      </c>
      <c r="B6686" s="0" t="s">
        <v>6665</v>
      </c>
    </row>
    <row r="6687" customFormat="false" ht="15" hidden="false" customHeight="false" outlineLevel="0" collapsed="false">
      <c r="A6687" s="0" t="n">
        <f aca="false">COUPNUM(DATE(2024,9,30),DATE(2034,3,31),1,0)</f>
        <v>10</v>
      </c>
      <c r="B6687" s="0" t="s">
        <v>6666</v>
      </c>
    </row>
    <row r="6688" customFormat="false" ht="15" hidden="false" customHeight="false" outlineLevel="0" collapsed="false">
      <c r="A6688" s="0" t="n">
        <f aca="false">COUPDAYBS(DATE(2024,9,30),DATE(2034,3,31),1,0)</f>
        <v>180</v>
      </c>
      <c r="B6688" s="0" t="s">
        <v>6667</v>
      </c>
    </row>
    <row r="6689" customFormat="false" ht="15" hidden="false" customHeight="false" outlineLevel="0" collapsed="false">
      <c r="A6689" s="0" t="n">
        <f aca="false">COUPDAYS(DATE(2024,9,30),DATE(2034,3,31),1,0)</f>
        <v>360</v>
      </c>
      <c r="B6689" s="0" t="s">
        <v>6668</v>
      </c>
    </row>
    <row r="6690" customFormat="false" ht="15" hidden="false" customHeight="false" outlineLevel="0" collapsed="false">
      <c r="A6690" s="0" t="n">
        <f aca="false">COUPDAYSNC(DATE(2024,9,30),DATE(2034,3,31),1,0)</f>
        <v>180</v>
      </c>
      <c r="B6690" s="0" t="s">
        <v>6669</v>
      </c>
    </row>
    <row r="6691" customFormat="false" ht="15" hidden="false" customHeight="false" outlineLevel="0" collapsed="false">
      <c r="A6691" s="0" t="n">
        <f aca="false">COUPPCD(DATE(2024,9,30),DATE(2034,3,31),1,1)</f>
        <v>45382</v>
      </c>
      <c r="B6691" s="0" t="s">
        <v>6670</v>
      </c>
    </row>
    <row r="6692" customFormat="false" ht="15" hidden="false" customHeight="false" outlineLevel="0" collapsed="false">
      <c r="A6692" s="0" t="n">
        <f aca="false">COUPNCD(DATE(2024,9,30),DATE(2034,3,31),1,1)</f>
        <v>45747</v>
      </c>
      <c r="B6692" s="0" t="s">
        <v>6671</v>
      </c>
    </row>
    <row r="6693" customFormat="false" ht="15" hidden="false" customHeight="false" outlineLevel="0" collapsed="false">
      <c r="A6693" s="0" t="n">
        <f aca="false">COUPNUM(DATE(2024,9,30),DATE(2034,3,31),1,1)</f>
        <v>10</v>
      </c>
      <c r="B6693" s="0" t="s">
        <v>6672</v>
      </c>
    </row>
    <row r="6694" customFormat="false" ht="15" hidden="false" customHeight="false" outlineLevel="0" collapsed="false">
      <c r="A6694" s="0" t="n">
        <f aca="false">COUPDAYBS(DATE(2024,9,30),DATE(2034,3,31),1,1)</f>
        <v>183</v>
      </c>
      <c r="B6694" s="0" t="s">
        <v>6673</v>
      </c>
    </row>
    <row r="6695" customFormat="false" ht="15" hidden="false" customHeight="false" outlineLevel="0" collapsed="false">
      <c r="A6695" s="0" t="n">
        <f aca="false">COUPDAYS(DATE(2024,9,30),DATE(2034,3,31),1,1)</f>
        <v>365</v>
      </c>
      <c r="B6695" s="0" t="s">
        <v>6674</v>
      </c>
    </row>
    <row r="6696" customFormat="false" ht="15" hidden="false" customHeight="false" outlineLevel="0" collapsed="false">
      <c r="A6696" s="0" t="n">
        <f aca="false">COUPDAYSNC(DATE(2024,9,30),DATE(2034,3,31),1,1)</f>
        <v>182</v>
      </c>
      <c r="B6696" s="0" t="s">
        <v>6675</v>
      </c>
    </row>
    <row r="6697" customFormat="false" ht="15" hidden="false" customHeight="false" outlineLevel="0" collapsed="false">
      <c r="A6697" s="0" t="n">
        <f aca="false">COUPPCD(DATE(2024,9,30),DATE(2034,3,31),1,2)</f>
        <v>45382</v>
      </c>
      <c r="B6697" s="0" t="s">
        <v>6676</v>
      </c>
    </row>
    <row r="6698" customFormat="false" ht="15" hidden="false" customHeight="false" outlineLevel="0" collapsed="false">
      <c r="A6698" s="0" t="n">
        <f aca="false">COUPNCD(DATE(2024,9,30),DATE(2034,3,31),1,2)</f>
        <v>45747</v>
      </c>
      <c r="B6698" s="0" t="s">
        <v>6677</v>
      </c>
    </row>
    <row r="6699" customFormat="false" ht="15" hidden="false" customHeight="false" outlineLevel="0" collapsed="false">
      <c r="A6699" s="0" t="n">
        <f aca="false">COUPNUM(DATE(2024,9,30),DATE(2034,3,31),1,2)</f>
        <v>10</v>
      </c>
      <c r="B6699" s="0" t="s">
        <v>6678</v>
      </c>
    </row>
    <row r="6700" customFormat="false" ht="15" hidden="false" customHeight="false" outlineLevel="0" collapsed="false">
      <c r="A6700" s="0" t="n">
        <f aca="false">COUPDAYBS(DATE(2024,9,30),DATE(2034,3,31),1,2)</f>
        <v>183</v>
      </c>
      <c r="B6700" s="0" t="s">
        <v>6679</v>
      </c>
    </row>
    <row r="6701" customFormat="false" ht="15" hidden="false" customHeight="false" outlineLevel="0" collapsed="false">
      <c r="A6701" s="0" t="n">
        <f aca="false">COUPDAYS(DATE(2024,9,30),DATE(2034,3,31),1,2)</f>
        <v>360</v>
      </c>
      <c r="B6701" s="0" t="s">
        <v>6680</v>
      </c>
    </row>
    <row r="6702" customFormat="false" ht="15" hidden="false" customHeight="false" outlineLevel="0" collapsed="false">
      <c r="A6702" s="0" t="n">
        <f aca="false">COUPDAYSNC(DATE(2024,9,30),DATE(2034,3,31),1,2)</f>
        <v>182</v>
      </c>
      <c r="B6702" s="0" t="s">
        <v>6681</v>
      </c>
    </row>
    <row r="6703" customFormat="false" ht="15" hidden="false" customHeight="false" outlineLevel="0" collapsed="false">
      <c r="A6703" s="0" t="n">
        <f aca="false">COUPPCD(DATE(2024,9,30),DATE(2034,3,31),1,3)</f>
        <v>45382</v>
      </c>
      <c r="B6703" s="0" t="s">
        <v>6682</v>
      </c>
    </row>
    <row r="6704" customFormat="false" ht="15" hidden="false" customHeight="false" outlineLevel="0" collapsed="false">
      <c r="A6704" s="0" t="n">
        <f aca="false">COUPNCD(DATE(2024,9,30),DATE(2034,3,31),1,3)</f>
        <v>45747</v>
      </c>
      <c r="B6704" s="0" t="s">
        <v>6683</v>
      </c>
    </row>
    <row r="6705" customFormat="false" ht="15" hidden="false" customHeight="false" outlineLevel="0" collapsed="false">
      <c r="A6705" s="0" t="n">
        <f aca="false">COUPNUM(DATE(2024,9,30),DATE(2034,3,31),1,3)</f>
        <v>10</v>
      </c>
      <c r="B6705" s="0" t="s">
        <v>6684</v>
      </c>
    </row>
    <row r="6706" customFormat="false" ht="15" hidden="false" customHeight="false" outlineLevel="0" collapsed="false">
      <c r="A6706" s="0" t="n">
        <f aca="false">COUPDAYBS(DATE(2024,9,30),DATE(2034,3,31),1,3)</f>
        <v>183</v>
      </c>
      <c r="B6706" s="0" t="s">
        <v>6685</v>
      </c>
    </row>
    <row r="6707" customFormat="false" ht="15" hidden="false" customHeight="false" outlineLevel="0" collapsed="false">
      <c r="A6707" s="0" t="n">
        <f aca="false">COUPDAYS(DATE(2024,9,30),DATE(2034,3,31),1,3)</f>
        <v>365</v>
      </c>
      <c r="B6707" s="0" t="s">
        <v>6686</v>
      </c>
    </row>
    <row r="6708" customFormat="false" ht="15" hidden="false" customHeight="false" outlineLevel="0" collapsed="false">
      <c r="A6708" s="0" t="n">
        <f aca="false">COUPDAYSNC(DATE(2024,9,30),DATE(2034,3,31),1,3)</f>
        <v>182</v>
      </c>
      <c r="B6708" s="0" t="s">
        <v>6687</v>
      </c>
    </row>
    <row r="6709" customFormat="false" ht="15" hidden="false" customHeight="false" outlineLevel="0" collapsed="false">
      <c r="A6709" s="0" t="n">
        <f aca="false">COUPPCD(DATE(2024,9,30),DATE(2034,3,31),1,4)</f>
        <v>45382</v>
      </c>
      <c r="B6709" s="0" t="s">
        <v>6688</v>
      </c>
    </row>
    <row r="6710" customFormat="false" ht="15" hidden="false" customHeight="false" outlineLevel="0" collapsed="false">
      <c r="A6710" s="0" t="n">
        <f aca="false">COUPNCD(DATE(2024,9,30),DATE(2034,3,31),1,4)</f>
        <v>45747</v>
      </c>
      <c r="B6710" s="0" t="s">
        <v>6689</v>
      </c>
    </row>
    <row r="6711" customFormat="false" ht="15" hidden="false" customHeight="false" outlineLevel="0" collapsed="false">
      <c r="A6711" s="0" t="n">
        <f aca="false">COUPNUM(DATE(2024,9,30),DATE(2034,3,31),1,4)</f>
        <v>10</v>
      </c>
      <c r="B6711" s="0" t="s">
        <v>6690</v>
      </c>
    </row>
    <row r="6712" customFormat="false" ht="15" hidden="false" customHeight="false" outlineLevel="0" collapsed="false">
      <c r="A6712" s="0" t="n">
        <f aca="false">COUPDAYBS(DATE(2024,9,30),DATE(2034,3,31),1,4)</f>
        <v>180</v>
      </c>
      <c r="B6712" s="0" t="s">
        <v>6691</v>
      </c>
    </row>
    <row r="6713" customFormat="false" ht="15" hidden="false" customHeight="false" outlineLevel="0" collapsed="false">
      <c r="A6713" s="0" t="n">
        <f aca="false">COUPDAYS(DATE(2024,9,30),DATE(2034,3,31),1,4)</f>
        <v>360</v>
      </c>
      <c r="B6713" s="0" t="s">
        <v>6692</v>
      </c>
    </row>
    <row r="6714" customFormat="false" ht="15" hidden="false" customHeight="false" outlineLevel="0" collapsed="false">
      <c r="A6714" s="0" t="n">
        <f aca="false">COUPDAYSNC(DATE(2024,9,30),DATE(2034,3,31),1,4)</f>
        <v>180</v>
      </c>
      <c r="B6714" s="0" t="s">
        <v>6693</v>
      </c>
    </row>
    <row r="6715" customFormat="false" ht="15" hidden="false" customHeight="false" outlineLevel="0" collapsed="false">
      <c r="A6715" s="0" t="n">
        <f aca="false">COUPPCD(DATE(2024,9,30),DATE(2034,3,31),2,0)</f>
        <v>45565</v>
      </c>
      <c r="B6715" s="0" t="s">
        <v>6694</v>
      </c>
    </row>
    <row r="6716" customFormat="false" ht="15" hidden="false" customHeight="false" outlineLevel="0" collapsed="false">
      <c r="A6716" s="0" t="n">
        <f aca="false">COUPNCD(DATE(2024,9,30),DATE(2034,3,31),2,0)</f>
        <v>45747</v>
      </c>
      <c r="B6716" s="0" t="s">
        <v>6695</v>
      </c>
    </row>
    <row r="6717" customFormat="false" ht="15" hidden="false" customHeight="false" outlineLevel="0" collapsed="false">
      <c r="A6717" s="0" t="n">
        <f aca="false">COUPNUM(DATE(2024,9,30),DATE(2034,3,31),2,0)</f>
        <v>19</v>
      </c>
      <c r="B6717" s="0" t="s">
        <v>6696</v>
      </c>
    </row>
    <row r="6718" customFormat="false" ht="15" hidden="false" customHeight="false" outlineLevel="0" collapsed="false">
      <c r="A6718" s="0" t="n">
        <f aca="false">COUPDAYBS(DATE(2024,9,30),DATE(2034,3,31),2,0)</f>
        <v>0</v>
      </c>
      <c r="B6718" s="0" t="s">
        <v>6697</v>
      </c>
    </row>
    <row r="6719" customFormat="false" ht="15" hidden="false" customHeight="false" outlineLevel="0" collapsed="false">
      <c r="A6719" s="0" t="n">
        <f aca="false">COUPDAYS(DATE(2024,9,30),DATE(2034,3,31),2,0)</f>
        <v>180</v>
      </c>
      <c r="B6719" s="0" t="s">
        <v>6698</v>
      </c>
    </row>
    <row r="6720" customFormat="false" ht="15" hidden="false" customHeight="false" outlineLevel="0" collapsed="false">
      <c r="A6720" s="0" t="n">
        <f aca="false">COUPDAYSNC(DATE(2024,9,30),DATE(2034,3,31),2,0)</f>
        <v>180</v>
      </c>
      <c r="B6720" s="0" t="s">
        <v>6699</v>
      </c>
    </row>
    <row r="6721" customFormat="false" ht="15" hidden="false" customHeight="false" outlineLevel="0" collapsed="false">
      <c r="A6721" s="0" t="n">
        <f aca="false">COUPPCD(DATE(2024,9,30),DATE(2034,3,31),2,1)</f>
        <v>45565</v>
      </c>
      <c r="B6721" s="0" t="s">
        <v>6700</v>
      </c>
    </row>
    <row r="6722" customFormat="false" ht="15" hidden="false" customHeight="false" outlineLevel="0" collapsed="false">
      <c r="A6722" s="0" t="n">
        <f aca="false">COUPNCD(DATE(2024,9,30),DATE(2034,3,31),2,1)</f>
        <v>45747</v>
      </c>
      <c r="B6722" s="0" t="s">
        <v>6701</v>
      </c>
    </row>
    <row r="6723" customFormat="false" ht="15" hidden="false" customHeight="false" outlineLevel="0" collapsed="false">
      <c r="A6723" s="0" t="n">
        <f aca="false">COUPNUM(DATE(2024,9,30),DATE(2034,3,31),2,1)</f>
        <v>19</v>
      </c>
      <c r="B6723" s="0" t="s">
        <v>6702</v>
      </c>
    </row>
    <row r="6724" customFormat="false" ht="15" hidden="false" customHeight="false" outlineLevel="0" collapsed="false">
      <c r="A6724" s="0" t="n">
        <f aca="false">COUPDAYBS(DATE(2024,9,30),DATE(2034,3,31),2,1)</f>
        <v>0</v>
      </c>
      <c r="B6724" s="0" t="s">
        <v>6703</v>
      </c>
    </row>
    <row r="6725" customFormat="false" ht="15" hidden="false" customHeight="false" outlineLevel="0" collapsed="false">
      <c r="A6725" s="0" t="n">
        <f aca="false">COUPDAYS(DATE(2024,9,30),DATE(2034,3,31),2,1)</f>
        <v>182</v>
      </c>
      <c r="B6725" s="0" t="s">
        <v>6704</v>
      </c>
    </row>
    <row r="6726" customFormat="false" ht="15" hidden="false" customHeight="false" outlineLevel="0" collapsed="false">
      <c r="A6726" s="0" t="n">
        <f aca="false">COUPDAYSNC(DATE(2024,9,30),DATE(2034,3,31),2,1)</f>
        <v>182</v>
      </c>
      <c r="B6726" s="0" t="s">
        <v>6705</v>
      </c>
    </row>
    <row r="6727" customFormat="false" ht="15" hidden="false" customHeight="false" outlineLevel="0" collapsed="false">
      <c r="A6727" s="0" t="n">
        <f aca="false">COUPPCD(DATE(2024,9,30),DATE(2034,3,31),2,2)</f>
        <v>45565</v>
      </c>
      <c r="B6727" s="0" t="s">
        <v>6706</v>
      </c>
    </row>
    <row r="6728" customFormat="false" ht="15" hidden="false" customHeight="false" outlineLevel="0" collapsed="false">
      <c r="A6728" s="0" t="n">
        <f aca="false">COUPNCD(DATE(2024,9,30),DATE(2034,3,31),2,2)</f>
        <v>45747</v>
      </c>
      <c r="B6728" s="0" t="s">
        <v>6707</v>
      </c>
    </row>
    <row r="6729" customFormat="false" ht="15" hidden="false" customHeight="false" outlineLevel="0" collapsed="false">
      <c r="A6729" s="0" t="n">
        <f aca="false">COUPNUM(DATE(2024,9,30),DATE(2034,3,31),2,2)</f>
        <v>19</v>
      </c>
      <c r="B6729" s="0" t="s">
        <v>6708</v>
      </c>
    </row>
    <row r="6730" customFormat="false" ht="15" hidden="false" customHeight="false" outlineLevel="0" collapsed="false">
      <c r="A6730" s="0" t="n">
        <f aca="false">COUPDAYBS(DATE(2024,9,30),DATE(2034,3,31),2,2)</f>
        <v>0</v>
      </c>
      <c r="B6730" s="0" t="s">
        <v>6709</v>
      </c>
    </row>
    <row r="6731" customFormat="false" ht="15" hidden="false" customHeight="false" outlineLevel="0" collapsed="false">
      <c r="A6731" s="0" t="n">
        <f aca="false">COUPDAYS(DATE(2024,9,30),DATE(2034,3,31),2,2)</f>
        <v>180</v>
      </c>
      <c r="B6731" s="0" t="s">
        <v>6710</v>
      </c>
    </row>
    <row r="6732" customFormat="false" ht="15" hidden="false" customHeight="false" outlineLevel="0" collapsed="false">
      <c r="A6732" s="0" t="n">
        <f aca="false">COUPDAYSNC(DATE(2024,9,30),DATE(2034,3,31),2,2)</f>
        <v>182</v>
      </c>
      <c r="B6732" s="0" t="s">
        <v>6711</v>
      </c>
    </row>
    <row r="6733" customFormat="false" ht="15" hidden="false" customHeight="false" outlineLevel="0" collapsed="false">
      <c r="A6733" s="0" t="n">
        <f aca="false">COUPPCD(DATE(2024,9,30),DATE(2034,3,31),2,3)</f>
        <v>45565</v>
      </c>
      <c r="B6733" s="0" t="s">
        <v>6712</v>
      </c>
    </row>
    <row r="6734" customFormat="false" ht="15" hidden="false" customHeight="false" outlineLevel="0" collapsed="false">
      <c r="A6734" s="0" t="n">
        <f aca="false">COUPNCD(DATE(2024,9,30),DATE(2034,3,31),2,3)</f>
        <v>45747</v>
      </c>
      <c r="B6734" s="0" t="s">
        <v>6713</v>
      </c>
    </row>
    <row r="6735" customFormat="false" ht="15" hidden="false" customHeight="false" outlineLevel="0" collapsed="false">
      <c r="A6735" s="0" t="n">
        <f aca="false">COUPNUM(DATE(2024,9,30),DATE(2034,3,31),2,3)</f>
        <v>19</v>
      </c>
      <c r="B6735" s="0" t="s">
        <v>6714</v>
      </c>
    </row>
    <row r="6736" customFormat="false" ht="15" hidden="false" customHeight="false" outlineLevel="0" collapsed="false">
      <c r="A6736" s="0" t="n">
        <f aca="false">COUPDAYBS(DATE(2024,9,30),DATE(2034,3,31),2,3)</f>
        <v>0</v>
      </c>
      <c r="B6736" s="0" t="s">
        <v>6715</v>
      </c>
    </row>
    <row r="6737" customFormat="false" ht="15" hidden="false" customHeight="false" outlineLevel="0" collapsed="false">
      <c r="A6737" s="0" t="n">
        <f aca="false">COUPDAYS(DATE(2024,9,30),DATE(2034,3,31),2,3)</f>
        <v>182.5</v>
      </c>
      <c r="B6737" s="0" t="s">
        <v>6716</v>
      </c>
    </row>
    <row r="6738" customFormat="false" ht="15" hidden="false" customHeight="false" outlineLevel="0" collapsed="false">
      <c r="A6738" s="0" t="n">
        <f aca="false">COUPDAYSNC(DATE(2024,9,30),DATE(2034,3,31),2,3)</f>
        <v>182</v>
      </c>
      <c r="B6738" s="0" t="s">
        <v>6717</v>
      </c>
    </row>
    <row r="6739" customFormat="false" ht="15" hidden="false" customHeight="false" outlineLevel="0" collapsed="false">
      <c r="A6739" s="0" t="n">
        <f aca="false">COUPPCD(DATE(2024,9,30),DATE(2034,3,31),2,4)</f>
        <v>45565</v>
      </c>
      <c r="B6739" s="0" t="s">
        <v>6718</v>
      </c>
    </row>
    <row r="6740" customFormat="false" ht="15" hidden="false" customHeight="false" outlineLevel="0" collapsed="false">
      <c r="A6740" s="0" t="n">
        <f aca="false">COUPNCD(DATE(2024,9,30),DATE(2034,3,31),2,4)</f>
        <v>45747</v>
      </c>
      <c r="B6740" s="0" t="s">
        <v>6719</v>
      </c>
    </row>
    <row r="6741" customFormat="false" ht="15" hidden="false" customHeight="false" outlineLevel="0" collapsed="false">
      <c r="A6741" s="0" t="n">
        <f aca="false">COUPNUM(DATE(2024,9,30),DATE(2034,3,31),2,4)</f>
        <v>19</v>
      </c>
      <c r="B6741" s="0" t="s">
        <v>6720</v>
      </c>
    </row>
    <row r="6742" customFormat="false" ht="15" hidden="false" customHeight="false" outlineLevel="0" collapsed="false">
      <c r="A6742" s="0" t="n">
        <f aca="false">COUPDAYBS(DATE(2024,9,30),DATE(2034,3,31),2,4)</f>
        <v>0</v>
      </c>
      <c r="B6742" s="0" t="s">
        <v>6721</v>
      </c>
    </row>
    <row r="6743" customFormat="false" ht="15" hidden="false" customHeight="false" outlineLevel="0" collapsed="false">
      <c r="A6743" s="0" t="n">
        <f aca="false">COUPDAYS(DATE(2024,9,30),DATE(2034,3,31),2,4)</f>
        <v>180</v>
      </c>
      <c r="B6743" s="0" t="s">
        <v>6722</v>
      </c>
    </row>
    <row r="6744" customFormat="false" ht="15" hidden="false" customHeight="false" outlineLevel="0" collapsed="false">
      <c r="A6744" s="0" t="n">
        <f aca="false">COUPDAYSNC(DATE(2024,9,30),DATE(2034,3,31),2,4)</f>
        <v>180</v>
      </c>
      <c r="B6744" s="0" t="s">
        <v>6723</v>
      </c>
    </row>
    <row r="6745" customFormat="false" ht="15" hidden="false" customHeight="false" outlineLevel="0" collapsed="false">
      <c r="A6745" s="0" t="n">
        <f aca="false">COUPPCD(DATE(2024,9,30),DATE(2034,3,31),4,0)</f>
        <v>45565</v>
      </c>
      <c r="B6745" s="0" t="s">
        <v>6724</v>
      </c>
    </row>
    <row r="6746" customFormat="false" ht="15" hidden="false" customHeight="false" outlineLevel="0" collapsed="false">
      <c r="A6746" s="0" t="n">
        <f aca="false">COUPNCD(DATE(2024,9,30),DATE(2034,3,31),4,0)</f>
        <v>45657</v>
      </c>
      <c r="B6746" s="0" t="s">
        <v>6725</v>
      </c>
    </row>
    <row r="6747" customFormat="false" ht="15" hidden="false" customHeight="false" outlineLevel="0" collapsed="false">
      <c r="A6747" s="0" t="n">
        <f aca="false">COUPNUM(DATE(2024,9,30),DATE(2034,3,31),4,0)</f>
        <v>38</v>
      </c>
      <c r="B6747" s="0" t="s">
        <v>6726</v>
      </c>
    </row>
    <row r="6748" customFormat="false" ht="15" hidden="false" customHeight="false" outlineLevel="0" collapsed="false">
      <c r="A6748" s="0" t="n">
        <f aca="false">COUPDAYBS(DATE(2024,9,30),DATE(2034,3,31),4,0)</f>
        <v>0</v>
      </c>
      <c r="B6748" s="0" t="s">
        <v>6727</v>
      </c>
    </row>
    <row r="6749" customFormat="false" ht="15" hidden="false" customHeight="false" outlineLevel="0" collapsed="false">
      <c r="A6749" s="0" t="n">
        <f aca="false">COUPDAYS(DATE(2024,9,30),DATE(2034,3,31),4,0)</f>
        <v>90</v>
      </c>
      <c r="B6749" s="0" t="s">
        <v>6728</v>
      </c>
    </row>
    <row r="6750" customFormat="false" ht="15" hidden="false" customHeight="false" outlineLevel="0" collapsed="false">
      <c r="A6750" s="0" t="n">
        <f aca="false">COUPDAYSNC(DATE(2024,9,30),DATE(2034,3,31),4,0)</f>
        <v>90</v>
      </c>
      <c r="B6750" s="0" t="s">
        <v>6729</v>
      </c>
    </row>
    <row r="6751" customFormat="false" ht="15" hidden="false" customHeight="false" outlineLevel="0" collapsed="false">
      <c r="A6751" s="0" t="n">
        <f aca="false">COUPPCD(DATE(2024,9,30),DATE(2034,3,31),4,1)</f>
        <v>45565</v>
      </c>
      <c r="B6751" s="0" t="s">
        <v>6730</v>
      </c>
    </row>
    <row r="6752" customFormat="false" ht="15" hidden="false" customHeight="false" outlineLevel="0" collapsed="false">
      <c r="A6752" s="0" t="n">
        <f aca="false">COUPNCD(DATE(2024,9,30),DATE(2034,3,31),4,1)</f>
        <v>45657</v>
      </c>
      <c r="B6752" s="0" t="s">
        <v>6731</v>
      </c>
    </row>
    <row r="6753" customFormat="false" ht="15" hidden="false" customHeight="false" outlineLevel="0" collapsed="false">
      <c r="A6753" s="0" t="n">
        <f aca="false">COUPNUM(DATE(2024,9,30),DATE(2034,3,31),4,1)</f>
        <v>38</v>
      </c>
      <c r="B6753" s="0" t="s">
        <v>6732</v>
      </c>
    </row>
    <row r="6754" customFormat="false" ht="15" hidden="false" customHeight="false" outlineLevel="0" collapsed="false">
      <c r="A6754" s="0" t="n">
        <f aca="false">COUPDAYBS(DATE(2024,9,30),DATE(2034,3,31),4,1)</f>
        <v>0</v>
      </c>
      <c r="B6754" s="0" t="s">
        <v>6733</v>
      </c>
    </row>
    <row r="6755" customFormat="false" ht="15" hidden="false" customHeight="false" outlineLevel="0" collapsed="false">
      <c r="A6755" s="0" t="n">
        <f aca="false">COUPDAYS(DATE(2024,9,30),DATE(2034,3,31),4,1)</f>
        <v>92</v>
      </c>
      <c r="B6755" s="0" t="s">
        <v>6734</v>
      </c>
    </row>
    <row r="6756" customFormat="false" ht="15" hidden="false" customHeight="false" outlineLevel="0" collapsed="false">
      <c r="A6756" s="0" t="n">
        <f aca="false">COUPDAYSNC(DATE(2024,9,30),DATE(2034,3,31),4,1)</f>
        <v>92</v>
      </c>
      <c r="B6756" s="0" t="s">
        <v>6735</v>
      </c>
    </row>
    <row r="6757" customFormat="false" ht="15" hidden="false" customHeight="false" outlineLevel="0" collapsed="false">
      <c r="A6757" s="0" t="n">
        <f aca="false">COUPPCD(DATE(2024,9,30),DATE(2034,3,31),4,2)</f>
        <v>45565</v>
      </c>
      <c r="B6757" s="0" t="s">
        <v>6736</v>
      </c>
    </row>
    <row r="6758" customFormat="false" ht="15" hidden="false" customHeight="false" outlineLevel="0" collapsed="false">
      <c r="A6758" s="0" t="n">
        <f aca="false">COUPNCD(DATE(2024,9,30),DATE(2034,3,31),4,2)</f>
        <v>45657</v>
      </c>
      <c r="B6758" s="0" t="s">
        <v>6737</v>
      </c>
    </row>
    <row r="6759" customFormat="false" ht="15" hidden="false" customHeight="false" outlineLevel="0" collapsed="false">
      <c r="A6759" s="0" t="n">
        <f aca="false">COUPNUM(DATE(2024,9,30),DATE(2034,3,31),4,2)</f>
        <v>38</v>
      </c>
      <c r="B6759" s="0" t="s">
        <v>6738</v>
      </c>
    </row>
    <row r="6760" customFormat="false" ht="15" hidden="false" customHeight="false" outlineLevel="0" collapsed="false">
      <c r="A6760" s="0" t="n">
        <f aca="false">COUPDAYBS(DATE(2024,9,30),DATE(2034,3,31),4,2)</f>
        <v>0</v>
      </c>
      <c r="B6760" s="0" t="s">
        <v>6739</v>
      </c>
    </row>
    <row r="6761" customFormat="false" ht="15" hidden="false" customHeight="false" outlineLevel="0" collapsed="false">
      <c r="A6761" s="0" t="n">
        <f aca="false">COUPDAYS(DATE(2024,9,30),DATE(2034,3,31),4,2)</f>
        <v>90</v>
      </c>
      <c r="B6761" s="0" t="s">
        <v>6740</v>
      </c>
    </row>
    <row r="6762" customFormat="false" ht="15" hidden="false" customHeight="false" outlineLevel="0" collapsed="false">
      <c r="A6762" s="0" t="n">
        <f aca="false">COUPDAYSNC(DATE(2024,9,30),DATE(2034,3,31),4,2)</f>
        <v>92</v>
      </c>
      <c r="B6762" s="0" t="s">
        <v>6741</v>
      </c>
    </row>
    <row r="6763" customFormat="false" ht="15" hidden="false" customHeight="false" outlineLevel="0" collapsed="false">
      <c r="A6763" s="0" t="n">
        <f aca="false">COUPPCD(DATE(2024,9,30),DATE(2034,3,31),4,3)</f>
        <v>45565</v>
      </c>
      <c r="B6763" s="0" t="s">
        <v>6742</v>
      </c>
    </row>
    <row r="6764" customFormat="false" ht="15" hidden="false" customHeight="false" outlineLevel="0" collapsed="false">
      <c r="A6764" s="0" t="n">
        <f aca="false">COUPNCD(DATE(2024,9,30),DATE(2034,3,31),4,3)</f>
        <v>45657</v>
      </c>
      <c r="B6764" s="0" t="s">
        <v>6743</v>
      </c>
    </row>
    <row r="6765" customFormat="false" ht="15" hidden="false" customHeight="false" outlineLevel="0" collapsed="false">
      <c r="A6765" s="0" t="n">
        <f aca="false">COUPNUM(DATE(2024,9,30),DATE(2034,3,31),4,3)</f>
        <v>38</v>
      </c>
      <c r="B6765" s="0" t="s">
        <v>6744</v>
      </c>
    </row>
    <row r="6766" customFormat="false" ht="15" hidden="false" customHeight="false" outlineLevel="0" collapsed="false">
      <c r="A6766" s="0" t="n">
        <f aca="false">COUPDAYBS(DATE(2024,9,30),DATE(2034,3,31),4,3)</f>
        <v>0</v>
      </c>
      <c r="B6766" s="0" t="s">
        <v>6745</v>
      </c>
    </row>
    <row r="6767" customFormat="false" ht="15" hidden="false" customHeight="false" outlineLevel="0" collapsed="false">
      <c r="A6767" s="0" t="n">
        <f aca="false">COUPDAYS(DATE(2024,9,30),DATE(2034,3,31),4,3)</f>
        <v>91.25</v>
      </c>
      <c r="B6767" s="0" t="s">
        <v>6746</v>
      </c>
    </row>
    <row r="6768" customFormat="false" ht="15" hidden="false" customHeight="false" outlineLevel="0" collapsed="false">
      <c r="A6768" s="0" t="n">
        <f aca="false">COUPDAYSNC(DATE(2024,9,30),DATE(2034,3,31),4,3)</f>
        <v>92</v>
      </c>
      <c r="B6768" s="0" t="s">
        <v>6747</v>
      </c>
    </row>
    <row r="6769" customFormat="false" ht="15" hidden="false" customHeight="false" outlineLevel="0" collapsed="false">
      <c r="A6769" s="0" t="n">
        <f aca="false">COUPPCD(DATE(2024,9,30),DATE(2034,3,31),4,4)</f>
        <v>45565</v>
      </c>
      <c r="B6769" s="0" t="s">
        <v>6748</v>
      </c>
    </row>
    <row r="6770" customFormat="false" ht="15" hidden="false" customHeight="false" outlineLevel="0" collapsed="false">
      <c r="A6770" s="0" t="n">
        <f aca="false">COUPNCD(DATE(2024,9,30),DATE(2034,3,31),4,4)</f>
        <v>45657</v>
      </c>
      <c r="B6770" s="0" t="s">
        <v>6749</v>
      </c>
    </row>
    <row r="6771" customFormat="false" ht="15" hidden="false" customHeight="false" outlineLevel="0" collapsed="false">
      <c r="A6771" s="0" t="n">
        <f aca="false">COUPNUM(DATE(2024,9,30),DATE(2034,3,31),4,4)</f>
        <v>38</v>
      </c>
      <c r="B6771" s="0" t="s">
        <v>6750</v>
      </c>
    </row>
    <row r="6772" customFormat="false" ht="15" hidden="false" customHeight="false" outlineLevel="0" collapsed="false">
      <c r="A6772" s="0" t="n">
        <f aca="false">COUPDAYBS(DATE(2024,9,30),DATE(2034,3,31),4,4)</f>
        <v>0</v>
      </c>
      <c r="B6772" s="0" t="s">
        <v>6751</v>
      </c>
    </row>
    <row r="6773" customFormat="false" ht="15" hidden="false" customHeight="false" outlineLevel="0" collapsed="false">
      <c r="A6773" s="0" t="n">
        <f aca="false">COUPDAYS(DATE(2024,9,30),DATE(2034,3,31),4,4)</f>
        <v>90</v>
      </c>
      <c r="B6773" s="0" t="s">
        <v>6752</v>
      </c>
    </row>
    <row r="6774" customFormat="false" ht="15" hidden="false" customHeight="false" outlineLevel="0" collapsed="false">
      <c r="A6774" s="0" t="n">
        <f aca="false">COUPDAYSNC(DATE(2024,9,30),DATE(2034,3,31),4,4)</f>
        <v>90</v>
      </c>
      <c r="B6774" s="0" t="s">
        <v>6753</v>
      </c>
    </row>
    <row r="6775" customFormat="false" ht="15" hidden="false" customHeight="false" outlineLevel="0" collapsed="false">
      <c r="A6775" s="0" t="n">
        <f aca="false">COUPNUM(DATE(2024,9,30),DATE(2034,3,31),2)</f>
        <v>19</v>
      </c>
      <c r="B6775" s="0" t="s">
        <v>6754</v>
      </c>
    </row>
    <row r="6776" customFormat="false" ht="15" hidden="false" customHeight="false" outlineLevel="0" collapsed="false">
      <c r="A6776" s="0" t="n">
        <f aca="false">COUPDAYS(DATE(2024,9,30),DATE(2034,3,31),2)</f>
        <v>180</v>
      </c>
      <c r="B6776" s="0" t="s">
        <v>6755</v>
      </c>
    </row>
    <row r="6777" customFormat="false" ht="15" hidden="false" customHeight="false" outlineLevel="0" collapsed="false">
      <c r="A6777" s="0" t="n">
        <f aca="false">COUPPCD(DATE(2024,4,30),DATE(2024,10,31),1,0)</f>
        <v>45230</v>
      </c>
      <c r="B6777" s="0" t="s">
        <v>6756</v>
      </c>
    </row>
    <row r="6778" customFormat="false" ht="15" hidden="false" customHeight="false" outlineLevel="0" collapsed="false">
      <c r="A6778" s="0" t="n">
        <f aca="false">COUPNCD(DATE(2024,4,30),DATE(2024,10,31),1,0)</f>
        <v>45596</v>
      </c>
      <c r="B6778" s="0" t="s">
        <v>6757</v>
      </c>
    </row>
    <row r="6779" customFormat="false" ht="15" hidden="false" customHeight="false" outlineLevel="0" collapsed="false">
      <c r="A6779" s="0" t="n">
        <f aca="false">COUPNUM(DATE(2024,4,30),DATE(2024,10,31),1,0)</f>
        <v>1</v>
      </c>
      <c r="B6779" s="0" t="s">
        <v>6758</v>
      </c>
    </row>
    <row r="6780" customFormat="false" ht="15" hidden="false" customHeight="false" outlineLevel="0" collapsed="false">
      <c r="A6780" s="0" t="n">
        <f aca="false">COUPDAYBS(DATE(2024,4,30),DATE(2024,10,31),1,0)</f>
        <v>180</v>
      </c>
      <c r="B6780" s="0" t="s">
        <v>6759</v>
      </c>
    </row>
    <row r="6781" customFormat="false" ht="15" hidden="false" customHeight="false" outlineLevel="0" collapsed="false">
      <c r="A6781" s="0" t="n">
        <f aca="false">COUPDAYS(DATE(2024,4,30),DATE(2024,10,31),1,0)</f>
        <v>360</v>
      </c>
      <c r="B6781" s="0" t="s">
        <v>6760</v>
      </c>
    </row>
    <row r="6782" customFormat="false" ht="15" hidden="false" customHeight="false" outlineLevel="0" collapsed="false">
      <c r="A6782" s="0" t="n">
        <f aca="false">COUPDAYSNC(DATE(2024,4,30),DATE(2024,10,31),1,0)</f>
        <v>180</v>
      </c>
      <c r="B6782" s="0" t="s">
        <v>6761</v>
      </c>
    </row>
    <row r="6783" customFormat="false" ht="15" hidden="false" customHeight="false" outlineLevel="0" collapsed="false">
      <c r="A6783" s="0" t="n">
        <f aca="false">COUPPCD(DATE(2024,4,30),DATE(2024,10,31),1,1)</f>
        <v>45230</v>
      </c>
      <c r="B6783" s="0" t="s">
        <v>6762</v>
      </c>
    </row>
    <row r="6784" customFormat="false" ht="15" hidden="false" customHeight="false" outlineLevel="0" collapsed="false">
      <c r="A6784" s="0" t="n">
        <f aca="false">COUPNCD(DATE(2024,4,30),DATE(2024,10,31),1,1)</f>
        <v>45596</v>
      </c>
      <c r="B6784" s="0" t="s">
        <v>6763</v>
      </c>
    </row>
    <row r="6785" customFormat="false" ht="15" hidden="false" customHeight="false" outlineLevel="0" collapsed="false">
      <c r="A6785" s="0" t="n">
        <f aca="false">COUPNUM(DATE(2024,4,30),DATE(2024,10,31),1,1)</f>
        <v>1</v>
      </c>
      <c r="B6785" s="0" t="s">
        <v>6764</v>
      </c>
    </row>
    <row r="6786" customFormat="false" ht="15" hidden="false" customHeight="false" outlineLevel="0" collapsed="false">
      <c r="A6786" s="0" t="n">
        <f aca="false">COUPDAYBS(DATE(2024,4,30),DATE(2024,10,31),1,1)</f>
        <v>182</v>
      </c>
      <c r="B6786" s="0" t="s">
        <v>6765</v>
      </c>
    </row>
    <row r="6787" customFormat="false" ht="15" hidden="false" customHeight="false" outlineLevel="0" collapsed="false">
      <c r="A6787" s="0" t="n">
        <f aca="false">COUPDAYS(DATE(2024,4,30),DATE(2024,10,31),1,1)</f>
        <v>366</v>
      </c>
      <c r="B6787" s="0" t="s">
        <v>6766</v>
      </c>
    </row>
    <row r="6788" customFormat="false" ht="15" hidden="false" customHeight="false" outlineLevel="0" collapsed="false">
      <c r="A6788" s="0" t="n">
        <f aca="false">COUPDAYSNC(DATE(2024,4,30),DATE(2024,10,31),1,1)</f>
        <v>184</v>
      </c>
      <c r="B6788" s="0" t="s">
        <v>6767</v>
      </c>
    </row>
    <row r="6789" customFormat="false" ht="15" hidden="false" customHeight="false" outlineLevel="0" collapsed="false">
      <c r="A6789" s="0" t="n">
        <f aca="false">COUPPCD(DATE(2024,4,30),DATE(2024,10,31),1,2)</f>
        <v>45230</v>
      </c>
      <c r="B6789" s="0" t="s">
        <v>6768</v>
      </c>
    </row>
    <row r="6790" customFormat="false" ht="15" hidden="false" customHeight="false" outlineLevel="0" collapsed="false">
      <c r="A6790" s="0" t="n">
        <f aca="false">COUPNCD(DATE(2024,4,30),DATE(2024,10,31),1,2)</f>
        <v>45596</v>
      </c>
      <c r="B6790" s="0" t="s">
        <v>6769</v>
      </c>
    </row>
    <row r="6791" customFormat="false" ht="15" hidden="false" customHeight="false" outlineLevel="0" collapsed="false">
      <c r="A6791" s="0" t="n">
        <f aca="false">COUPNUM(DATE(2024,4,30),DATE(2024,10,31),1,2)</f>
        <v>1</v>
      </c>
      <c r="B6791" s="0" t="s">
        <v>6770</v>
      </c>
    </row>
    <row r="6792" customFormat="false" ht="15" hidden="false" customHeight="false" outlineLevel="0" collapsed="false">
      <c r="A6792" s="0" t="n">
        <f aca="false">COUPDAYBS(DATE(2024,4,30),DATE(2024,10,31),1,2)</f>
        <v>182</v>
      </c>
      <c r="B6792" s="0" t="s">
        <v>6771</v>
      </c>
    </row>
    <row r="6793" customFormat="false" ht="15" hidden="false" customHeight="false" outlineLevel="0" collapsed="false">
      <c r="A6793" s="0" t="n">
        <f aca="false">COUPDAYS(DATE(2024,4,30),DATE(2024,10,31),1,2)</f>
        <v>360</v>
      </c>
      <c r="B6793" s="0" t="s">
        <v>6772</v>
      </c>
    </row>
    <row r="6794" customFormat="false" ht="15" hidden="false" customHeight="false" outlineLevel="0" collapsed="false">
      <c r="A6794" s="0" t="n">
        <f aca="false">COUPDAYSNC(DATE(2024,4,30),DATE(2024,10,31),1,2)</f>
        <v>184</v>
      </c>
      <c r="B6794" s="0" t="s">
        <v>6773</v>
      </c>
    </row>
    <row r="6795" customFormat="false" ht="15" hidden="false" customHeight="false" outlineLevel="0" collapsed="false">
      <c r="A6795" s="0" t="n">
        <f aca="false">COUPPCD(DATE(2024,4,30),DATE(2024,10,31),1,3)</f>
        <v>45230</v>
      </c>
      <c r="B6795" s="0" t="s">
        <v>6774</v>
      </c>
    </row>
    <row r="6796" customFormat="false" ht="15" hidden="false" customHeight="false" outlineLevel="0" collapsed="false">
      <c r="A6796" s="0" t="n">
        <f aca="false">COUPNCD(DATE(2024,4,30),DATE(2024,10,31),1,3)</f>
        <v>45596</v>
      </c>
      <c r="B6796" s="0" t="s">
        <v>6775</v>
      </c>
    </row>
    <row r="6797" customFormat="false" ht="15" hidden="false" customHeight="false" outlineLevel="0" collapsed="false">
      <c r="A6797" s="0" t="n">
        <f aca="false">COUPNUM(DATE(2024,4,30),DATE(2024,10,31),1,3)</f>
        <v>1</v>
      </c>
      <c r="B6797" s="0" t="s">
        <v>6776</v>
      </c>
    </row>
    <row r="6798" customFormat="false" ht="15" hidden="false" customHeight="false" outlineLevel="0" collapsed="false">
      <c r="A6798" s="0" t="n">
        <f aca="false">COUPDAYBS(DATE(2024,4,30),DATE(2024,10,31),1,3)</f>
        <v>182</v>
      </c>
      <c r="B6798" s="0" t="s">
        <v>6777</v>
      </c>
    </row>
    <row r="6799" customFormat="false" ht="15" hidden="false" customHeight="false" outlineLevel="0" collapsed="false">
      <c r="A6799" s="0" t="n">
        <f aca="false">COUPDAYS(DATE(2024,4,30),DATE(2024,10,31),1,3)</f>
        <v>365</v>
      </c>
      <c r="B6799" s="0" t="s">
        <v>6778</v>
      </c>
    </row>
    <row r="6800" customFormat="false" ht="15" hidden="false" customHeight="false" outlineLevel="0" collapsed="false">
      <c r="A6800" s="0" t="n">
        <f aca="false">COUPDAYSNC(DATE(2024,4,30),DATE(2024,10,31),1,3)</f>
        <v>184</v>
      </c>
      <c r="B6800" s="0" t="s">
        <v>6779</v>
      </c>
    </row>
    <row r="6801" customFormat="false" ht="15" hidden="false" customHeight="false" outlineLevel="0" collapsed="false">
      <c r="A6801" s="0" t="n">
        <f aca="false">COUPPCD(DATE(2024,4,30),DATE(2024,10,31),1,4)</f>
        <v>45230</v>
      </c>
      <c r="B6801" s="0" t="s">
        <v>6780</v>
      </c>
    </row>
    <row r="6802" customFormat="false" ht="15" hidden="false" customHeight="false" outlineLevel="0" collapsed="false">
      <c r="A6802" s="0" t="n">
        <f aca="false">COUPNCD(DATE(2024,4,30),DATE(2024,10,31),1,4)</f>
        <v>45596</v>
      </c>
      <c r="B6802" s="0" t="s">
        <v>6781</v>
      </c>
    </row>
    <row r="6803" customFormat="false" ht="15" hidden="false" customHeight="false" outlineLevel="0" collapsed="false">
      <c r="A6803" s="0" t="n">
        <f aca="false">COUPNUM(DATE(2024,4,30),DATE(2024,10,31),1,4)</f>
        <v>1</v>
      </c>
      <c r="B6803" s="0" t="s">
        <v>6782</v>
      </c>
    </row>
    <row r="6804" customFormat="false" ht="15" hidden="false" customHeight="false" outlineLevel="0" collapsed="false">
      <c r="A6804" s="0" t="n">
        <f aca="false">COUPDAYBS(DATE(2024,4,30),DATE(2024,10,31),1,4)</f>
        <v>180</v>
      </c>
      <c r="B6804" s="0" t="s">
        <v>6783</v>
      </c>
    </row>
    <row r="6805" customFormat="false" ht="15" hidden="false" customHeight="false" outlineLevel="0" collapsed="false">
      <c r="A6805" s="0" t="n">
        <f aca="false">COUPDAYS(DATE(2024,4,30),DATE(2024,10,31),1,4)</f>
        <v>360</v>
      </c>
      <c r="B6805" s="0" t="s">
        <v>6784</v>
      </c>
    </row>
    <row r="6806" customFormat="false" ht="15" hidden="false" customHeight="false" outlineLevel="0" collapsed="false">
      <c r="A6806" s="0" t="n">
        <f aca="false">COUPDAYSNC(DATE(2024,4,30),DATE(2024,10,31),1,4)</f>
        <v>180</v>
      </c>
      <c r="B6806" s="0" t="s">
        <v>6785</v>
      </c>
    </row>
    <row r="6807" customFormat="false" ht="15" hidden="false" customHeight="false" outlineLevel="0" collapsed="false">
      <c r="A6807" s="0" t="n">
        <f aca="false">COUPPCD(DATE(2024,4,30),DATE(2024,10,31),2,0)</f>
        <v>45412</v>
      </c>
      <c r="B6807" s="0" t="s">
        <v>6786</v>
      </c>
    </row>
    <row r="6808" customFormat="false" ht="15" hidden="false" customHeight="false" outlineLevel="0" collapsed="false">
      <c r="A6808" s="0" t="n">
        <f aca="false">COUPNCD(DATE(2024,4,30),DATE(2024,10,31),2,0)</f>
        <v>45596</v>
      </c>
      <c r="B6808" s="0" t="s">
        <v>6787</v>
      </c>
    </row>
    <row r="6809" customFormat="false" ht="15" hidden="false" customHeight="false" outlineLevel="0" collapsed="false">
      <c r="A6809" s="0" t="n">
        <f aca="false">COUPNUM(DATE(2024,4,30),DATE(2024,10,31),2,0)</f>
        <v>1</v>
      </c>
      <c r="B6809" s="0" t="s">
        <v>6788</v>
      </c>
    </row>
    <row r="6810" customFormat="false" ht="15" hidden="false" customHeight="false" outlineLevel="0" collapsed="false">
      <c r="A6810" s="0" t="n">
        <f aca="false">COUPDAYBS(DATE(2024,4,30),DATE(2024,10,31),2,0)</f>
        <v>0</v>
      </c>
      <c r="B6810" s="0" t="s">
        <v>6789</v>
      </c>
    </row>
    <row r="6811" customFormat="false" ht="15" hidden="false" customHeight="false" outlineLevel="0" collapsed="false">
      <c r="A6811" s="0" t="n">
        <f aca="false">COUPDAYS(DATE(2024,4,30),DATE(2024,10,31),2,0)</f>
        <v>180</v>
      </c>
      <c r="B6811" s="0" t="s">
        <v>6790</v>
      </c>
    </row>
    <row r="6812" customFormat="false" ht="15" hidden="false" customHeight="false" outlineLevel="0" collapsed="false">
      <c r="A6812" s="0" t="n">
        <f aca="false">COUPDAYSNC(DATE(2024,4,30),DATE(2024,10,31),2,0)</f>
        <v>180</v>
      </c>
      <c r="B6812" s="0" t="s">
        <v>6791</v>
      </c>
    </row>
    <row r="6813" customFormat="false" ht="15" hidden="false" customHeight="false" outlineLevel="0" collapsed="false">
      <c r="A6813" s="0" t="n">
        <f aca="false">COUPPCD(DATE(2024,4,30),DATE(2024,10,31),2,1)</f>
        <v>45412</v>
      </c>
      <c r="B6813" s="0" t="s">
        <v>6792</v>
      </c>
    </row>
    <row r="6814" customFormat="false" ht="15" hidden="false" customHeight="false" outlineLevel="0" collapsed="false">
      <c r="A6814" s="0" t="n">
        <f aca="false">COUPNCD(DATE(2024,4,30),DATE(2024,10,31),2,1)</f>
        <v>45596</v>
      </c>
      <c r="B6814" s="0" t="s">
        <v>6793</v>
      </c>
    </row>
    <row r="6815" customFormat="false" ht="15" hidden="false" customHeight="false" outlineLevel="0" collapsed="false">
      <c r="A6815" s="0" t="n">
        <f aca="false">COUPNUM(DATE(2024,4,30),DATE(2024,10,31),2,1)</f>
        <v>1</v>
      </c>
      <c r="B6815" s="0" t="s">
        <v>6794</v>
      </c>
    </row>
    <row r="6816" customFormat="false" ht="15" hidden="false" customHeight="false" outlineLevel="0" collapsed="false">
      <c r="A6816" s="0" t="n">
        <f aca="false">COUPDAYBS(DATE(2024,4,30),DATE(2024,10,31),2,1)</f>
        <v>0</v>
      </c>
      <c r="B6816" s="0" t="s">
        <v>6795</v>
      </c>
    </row>
    <row r="6817" customFormat="false" ht="15" hidden="false" customHeight="false" outlineLevel="0" collapsed="false">
      <c r="A6817" s="0" t="n">
        <f aca="false">COUPDAYS(DATE(2024,4,30),DATE(2024,10,31),2,1)</f>
        <v>184</v>
      </c>
      <c r="B6817" s="0" t="s">
        <v>6796</v>
      </c>
    </row>
    <row r="6818" customFormat="false" ht="15" hidden="false" customHeight="false" outlineLevel="0" collapsed="false">
      <c r="A6818" s="0" t="n">
        <f aca="false">COUPDAYSNC(DATE(2024,4,30),DATE(2024,10,31),2,1)</f>
        <v>184</v>
      </c>
      <c r="B6818" s="0" t="s">
        <v>6797</v>
      </c>
    </row>
    <row r="6819" customFormat="false" ht="15" hidden="false" customHeight="false" outlineLevel="0" collapsed="false">
      <c r="A6819" s="0" t="n">
        <f aca="false">COUPPCD(DATE(2024,4,30),DATE(2024,10,31),2,2)</f>
        <v>45412</v>
      </c>
      <c r="B6819" s="0" t="s">
        <v>6798</v>
      </c>
    </row>
    <row r="6820" customFormat="false" ht="15" hidden="false" customHeight="false" outlineLevel="0" collapsed="false">
      <c r="A6820" s="0" t="n">
        <f aca="false">COUPNCD(DATE(2024,4,30),DATE(2024,10,31),2,2)</f>
        <v>45596</v>
      </c>
      <c r="B6820" s="0" t="s">
        <v>6799</v>
      </c>
    </row>
    <row r="6821" customFormat="false" ht="15" hidden="false" customHeight="false" outlineLevel="0" collapsed="false">
      <c r="A6821" s="0" t="n">
        <f aca="false">COUPNUM(DATE(2024,4,30),DATE(2024,10,31),2,2)</f>
        <v>1</v>
      </c>
      <c r="B6821" s="0" t="s">
        <v>6800</v>
      </c>
    </row>
    <row r="6822" customFormat="false" ht="15" hidden="false" customHeight="false" outlineLevel="0" collapsed="false">
      <c r="A6822" s="0" t="n">
        <f aca="false">COUPDAYBS(DATE(2024,4,30),DATE(2024,10,31),2,2)</f>
        <v>0</v>
      </c>
      <c r="B6822" s="0" t="s">
        <v>6801</v>
      </c>
    </row>
    <row r="6823" customFormat="false" ht="15" hidden="false" customHeight="false" outlineLevel="0" collapsed="false">
      <c r="A6823" s="0" t="n">
        <f aca="false">COUPDAYS(DATE(2024,4,30),DATE(2024,10,31),2,2)</f>
        <v>180</v>
      </c>
      <c r="B6823" s="0" t="s">
        <v>6802</v>
      </c>
    </row>
    <row r="6824" customFormat="false" ht="15" hidden="false" customHeight="false" outlineLevel="0" collapsed="false">
      <c r="A6824" s="0" t="n">
        <f aca="false">COUPDAYSNC(DATE(2024,4,30),DATE(2024,10,31),2,2)</f>
        <v>184</v>
      </c>
      <c r="B6824" s="0" t="s">
        <v>6803</v>
      </c>
    </row>
    <row r="6825" customFormat="false" ht="15" hidden="false" customHeight="false" outlineLevel="0" collapsed="false">
      <c r="A6825" s="0" t="n">
        <f aca="false">COUPPCD(DATE(2024,4,30),DATE(2024,10,31),2,3)</f>
        <v>45412</v>
      </c>
      <c r="B6825" s="0" t="s">
        <v>6804</v>
      </c>
    </row>
    <row r="6826" customFormat="false" ht="15" hidden="false" customHeight="false" outlineLevel="0" collapsed="false">
      <c r="A6826" s="0" t="n">
        <f aca="false">COUPNCD(DATE(2024,4,30),DATE(2024,10,31),2,3)</f>
        <v>45596</v>
      </c>
      <c r="B6826" s="0" t="s">
        <v>6805</v>
      </c>
    </row>
    <row r="6827" customFormat="false" ht="15" hidden="false" customHeight="false" outlineLevel="0" collapsed="false">
      <c r="A6827" s="0" t="n">
        <f aca="false">COUPNUM(DATE(2024,4,30),DATE(2024,10,31),2,3)</f>
        <v>1</v>
      </c>
      <c r="B6827" s="0" t="s">
        <v>6806</v>
      </c>
    </row>
    <row r="6828" customFormat="false" ht="15" hidden="false" customHeight="false" outlineLevel="0" collapsed="false">
      <c r="A6828" s="0" t="n">
        <f aca="false">COUPDAYBS(DATE(2024,4,30),DATE(2024,10,31),2,3)</f>
        <v>0</v>
      </c>
      <c r="B6828" s="0" t="s">
        <v>6807</v>
      </c>
    </row>
    <row r="6829" customFormat="false" ht="15" hidden="false" customHeight="false" outlineLevel="0" collapsed="false">
      <c r="A6829" s="0" t="n">
        <f aca="false">COUPDAYS(DATE(2024,4,30),DATE(2024,10,31),2,3)</f>
        <v>182.5</v>
      </c>
      <c r="B6829" s="0" t="s">
        <v>6808</v>
      </c>
    </row>
    <row r="6830" customFormat="false" ht="15" hidden="false" customHeight="false" outlineLevel="0" collapsed="false">
      <c r="A6830" s="0" t="n">
        <f aca="false">COUPDAYSNC(DATE(2024,4,30),DATE(2024,10,31),2,3)</f>
        <v>184</v>
      </c>
      <c r="B6830" s="0" t="s">
        <v>6809</v>
      </c>
    </row>
    <row r="6831" customFormat="false" ht="15" hidden="false" customHeight="false" outlineLevel="0" collapsed="false">
      <c r="A6831" s="0" t="n">
        <f aca="false">COUPPCD(DATE(2024,4,30),DATE(2024,10,31),2,4)</f>
        <v>45412</v>
      </c>
      <c r="B6831" s="0" t="s">
        <v>6810</v>
      </c>
    </row>
    <row r="6832" customFormat="false" ht="15" hidden="false" customHeight="false" outlineLevel="0" collapsed="false">
      <c r="A6832" s="0" t="n">
        <f aca="false">COUPNCD(DATE(2024,4,30),DATE(2024,10,31),2,4)</f>
        <v>45596</v>
      </c>
      <c r="B6832" s="0" t="s">
        <v>6811</v>
      </c>
    </row>
    <row r="6833" customFormat="false" ht="15" hidden="false" customHeight="false" outlineLevel="0" collapsed="false">
      <c r="A6833" s="0" t="n">
        <f aca="false">COUPNUM(DATE(2024,4,30),DATE(2024,10,31),2,4)</f>
        <v>1</v>
      </c>
      <c r="B6833" s="0" t="s">
        <v>6812</v>
      </c>
    </row>
    <row r="6834" customFormat="false" ht="15" hidden="false" customHeight="false" outlineLevel="0" collapsed="false">
      <c r="A6834" s="0" t="n">
        <f aca="false">COUPDAYBS(DATE(2024,4,30),DATE(2024,10,31),2,4)</f>
        <v>0</v>
      </c>
      <c r="B6834" s="0" t="s">
        <v>6813</v>
      </c>
    </row>
    <row r="6835" customFormat="false" ht="15" hidden="false" customHeight="false" outlineLevel="0" collapsed="false">
      <c r="A6835" s="0" t="n">
        <f aca="false">COUPDAYS(DATE(2024,4,30),DATE(2024,10,31),2,4)</f>
        <v>180</v>
      </c>
      <c r="B6835" s="0" t="s">
        <v>6814</v>
      </c>
    </row>
    <row r="6836" customFormat="false" ht="15" hidden="false" customHeight="false" outlineLevel="0" collapsed="false">
      <c r="A6836" s="0" t="n">
        <f aca="false">COUPDAYSNC(DATE(2024,4,30),DATE(2024,10,31),2,4)</f>
        <v>180</v>
      </c>
      <c r="B6836" s="0" t="s">
        <v>6815</v>
      </c>
    </row>
    <row r="6837" customFormat="false" ht="15" hidden="false" customHeight="false" outlineLevel="0" collapsed="false">
      <c r="A6837" s="0" t="n">
        <f aca="false">COUPPCD(DATE(2024,4,30),DATE(2024,10,31),4,0)</f>
        <v>45412</v>
      </c>
      <c r="B6837" s="0" t="s">
        <v>6816</v>
      </c>
    </row>
    <row r="6838" customFormat="false" ht="15" hidden="false" customHeight="false" outlineLevel="0" collapsed="false">
      <c r="A6838" s="0" t="n">
        <f aca="false">COUPNCD(DATE(2024,4,30),DATE(2024,10,31),4,0)</f>
        <v>45504</v>
      </c>
      <c r="B6838" s="0" t="s">
        <v>6817</v>
      </c>
    </row>
    <row r="6839" customFormat="false" ht="15" hidden="false" customHeight="false" outlineLevel="0" collapsed="false">
      <c r="A6839" s="0" t="n">
        <f aca="false">COUPNUM(DATE(2024,4,30),DATE(2024,10,31),4,0)</f>
        <v>2</v>
      </c>
      <c r="B6839" s="0" t="s">
        <v>6818</v>
      </c>
    </row>
    <row r="6840" customFormat="false" ht="15" hidden="false" customHeight="false" outlineLevel="0" collapsed="false">
      <c r="A6840" s="0" t="n">
        <f aca="false">COUPDAYBS(DATE(2024,4,30),DATE(2024,10,31),4,0)</f>
        <v>0</v>
      </c>
      <c r="B6840" s="0" t="s">
        <v>6819</v>
      </c>
    </row>
    <row r="6841" customFormat="false" ht="15" hidden="false" customHeight="false" outlineLevel="0" collapsed="false">
      <c r="A6841" s="0" t="n">
        <f aca="false">COUPDAYS(DATE(2024,4,30),DATE(2024,10,31),4,0)</f>
        <v>90</v>
      </c>
      <c r="B6841" s="0" t="s">
        <v>6820</v>
      </c>
    </row>
    <row r="6842" customFormat="false" ht="15" hidden="false" customHeight="false" outlineLevel="0" collapsed="false">
      <c r="A6842" s="0" t="n">
        <f aca="false">COUPDAYSNC(DATE(2024,4,30),DATE(2024,10,31),4,0)</f>
        <v>90</v>
      </c>
      <c r="B6842" s="0" t="s">
        <v>6821</v>
      </c>
    </row>
    <row r="6843" customFormat="false" ht="15" hidden="false" customHeight="false" outlineLevel="0" collapsed="false">
      <c r="A6843" s="0" t="n">
        <f aca="false">COUPPCD(DATE(2024,4,30),DATE(2024,10,31),4,1)</f>
        <v>45412</v>
      </c>
      <c r="B6843" s="0" t="s">
        <v>6822</v>
      </c>
    </row>
    <row r="6844" customFormat="false" ht="15" hidden="false" customHeight="false" outlineLevel="0" collapsed="false">
      <c r="A6844" s="0" t="n">
        <f aca="false">COUPNCD(DATE(2024,4,30),DATE(2024,10,31),4,1)</f>
        <v>45504</v>
      </c>
      <c r="B6844" s="0" t="s">
        <v>6823</v>
      </c>
    </row>
    <row r="6845" customFormat="false" ht="15" hidden="false" customHeight="false" outlineLevel="0" collapsed="false">
      <c r="A6845" s="0" t="n">
        <f aca="false">COUPNUM(DATE(2024,4,30),DATE(2024,10,31),4,1)</f>
        <v>2</v>
      </c>
      <c r="B6845" s="0" t="s">
        <v>6824</v>
      </c>
    </row>
    <row r="6846" customFormat="false" ht="15" hidden="false" customHeight="false" outlineLevel="0" collapsed="false">
      <c r="A6846" s="0" t="n">
        <f aca="false">COUPDAYBS(DATE(2024,4,30),DATE(2024,10,31),4,1)</f>
        <v>0</v>
      </c>
      <c r="B6846" s="0" t="s">
        <v>6825</v>
      </c>
    </row>
    <row r="6847" customFormat="false" ht="15" hidden="false" customHeight="false" outlineLevel="0" collapsed="false">
      <c r="A6847" s="0" t="n">
        <f aca="false">COUPDAYS(DATE(2024,4,30),DATE(2024,10,31),4,1)</f>
        <v>92</v>
      </c>
      <c r="B6847" s="0" t="s">
        <v>6826</v>
      </c>
    </row>
    <row r="6848" customFormat="false" ht="15" hidden="false" customHeight="false" outlineLevel="0" collapsed="false">
      <c r="A6848" s="0" t="n">
        <f aca="false">COUPDAYSNC(DATE(2024,4,30),DATE(2024,10,31),4,1)</f>
        <v>92</v>
      </c>
      <c r="B6848" s="0" t="s">
        <v>6827</v>
      </c>
    </row>
    <row r="6849" customFormat="false" ht="15" hidden="false" customHeight="false" outlineLevel="0" collapsed="false">
      <c r="A6849" s="0" t="n">
        <f aca="false">COUPPCD(DATE(2024,4,30),DATE(2024,10,31),4,2)</f>
        <v>45412</v>
      </c>
      <c r="B6849" s="0" t="s">
        <v>6828</v>
      </c>
    </row>
    <row r="6850" customFormat="false" ht="15" hidden="false" customHeight="false" outlineLevel="0" collapsed="false">
      <c r="A6850" s="0" t="n">
        <f aca="false">COUPNCD(DATE(2024,4,30),DATE(2024,10,31),4,2)</f>
        <v>45504</v>
      </c>
      <c r="B6850" s="0" t="s">
        <v>6829</v>
      </c>
    </row>
    <row r="6851" customFormat="false" ht="15" hidden="false" customHeight="false" outlineLevel="0" collapsed="false">
      <c r="A6851" s="0" t="n">
        <f aca="false">COUPNUM(DATE(2024,4,30),DATE(2024,10,31),4,2)</f>
        <v>2</v>
      </c>
      <c r="B6851" s="0" t="s">
        <v>6830</v>
      </c>
    </row>
    <row r="6852" customFormat="false" ht="15" hidden="false" customHeight="false" outlineLevel="0" collapsed="false">
      <c r="A6852" s="0" t="n">
        <f aca="false">COUPDAYBS(DATE(2024,4,30),DATE(2024,10,31),4,2)</f>
        <v>0</v>
      </c>
      <c r="B6852" s="0" t="s">
        <v>6831</v>
      </c>
    </row>
    <row r="6853" customFormat="false" ht="15" hidden="false" customHeight="false" outlineLevel="0" collapsed="false">
      <c r="A6853" s="0" t="n">
        <f aca="false">COUPDAYS(DATE(2024,4,30),DATE(2024,10,31),4,2)</f>
        <v>90</v>
      </c>
      <c r="B6853" s="0" t="s">
        <v>6832</v>
      </c>
    </row>
    <row r="6854" customFormat="false" ht="15" hidden="false" customHeight="false" outlineLevel="0" collapsed="false">
      <c r="A6854" s="0" t="n">
        <f aca="false">COUPDAYSNC(DATE(2024,4,30),DATE(2024,10,31),4,2)</f>
        <v>92</v>
      </c>
      <c r="B6854" s="0" t="s">
        <v>6833</v>
      </c>
    </row>
    <row r="6855" customFormat="false" ht="15" hidden="false" customHeight="false" outlineLevel="0" collapsed="false">
      <c r="A6855" s="0" t="n">
        <f aca="false">COUPPCD(DATE(2024,4,30),DATE(2024,10,31),4,3)</f>
        <v>45412</v>
      </c>
      <c r="B6855" s="0" t="s">
        <v>6834</v>
      </c>
    </row>
    <row r="6856" customFormat="false" ht="15" hidden="false" customHeight="false" outlineLevel="0" collapsed="false">
      <c r="A6856" s="0" t="n">
        <f aca="false">COUPNCD(DATE(2024,4,30),DATE(2024,10,31),4,3)</f>
        <v>45504</v>
      </c>
      <c r="B6856" s="0" t="s">
        <v>6835</v>
      </c>
    </row>
    <row r="6857" customFormat="false" ht="15" hidden="false" customHeight="false" outlineLevel="0" collapsed="false">
      <c r="A6857" s="0" t="n">
        <f aca="false">COUPNUM(DATE(2024,4,30),DATE(2024,10,31),4,3)</f>
        <v>2</v>
      </c>
      <c r="B6857" s="0" t="s">
        <v>6836</v>
      </c>
    </row>
    <row r="6858" customFormat="false" ht="15" hidden="false" customHeight="false" outlineLevel="0" collapsed="false">
      <c r="A6858" s="0" t="n">
        <f aca="false">COUPDAYBS(DATE(2024,4,30),DATE(2024,10,31),4,3)</f>
        <v>0</v>
      </c>
      <c r="B6858" s="0" t="s">
        <v>6837</v>
      </c>
    </row>
    <row r="6859" customFormat="false" ht="15" hidden="false" customHeight="false" outlineLevel="0" collapsed="false">
      <c r="A6859" s="0" t="n">
        <f aca="false">COUPDAYS(DATE(2024,4,30),DATE(2024,10,31),4,3)</f>
        <v>91.25</v>
      </c>
      <c r="B6859" s="0" t="s">
        <v>6838</v>
      </c>
    </row>
    <row r="6860" customFormat="false" ht="15" hidden="false" customHeight="false" outlineLevel="0" collapsed="false">
      <c r="A6860" s="0" t="n">
        <f aca="false">COUPDAYSNC(DATE(2024,4,30),DATE(2024,10,31),4,3)</f>
        <v>92</v>
      </c>
      <c r="B6860" s="0" t="s">
        <v>6839</v>
      </c>
    </row>
    <row r="6861" customFormat="false" ht="15" hidden="false" customHeight="false" outlineLevel="0" collapsed="false">
      <c r="A6861" s="0" t="n">
        <f aca="false">COUPPCD(DATE(2024,4,30),DATE(2024,10,31),4,4)</f>
        <v>45412</v>
      </c>
      <c r="B6861" s="0" t="s">
        <v>6840</v>
      </c>
    </row>
    <row r="6862" customFormat="false" ht="15" hidden="false" customHeight="false" outlineLevel="0" collapsed="false">
      <c r="A6862" s="0" t="n">
        <f aca="false">COUPNCD(DATE(2024,4,30),DATE(2024,10,31),4,4)</f>
        <v>45504</v>
      </c>
      <c r="B6862" s="0" t="s">
        <v>6841</v>
      </c>
    </row>
    <row r="6863" customFormat="false" ht="15" hidden="false" customHeight="false" outlineLevel="0" collapsed="false">
      <c r="A6863" s="0" t="n">
        <f aca="false">COUPNUM(DATE(2024,4,30),DATE(2024,10,31),4,4)</f>
        <v>2</v>
      </c>
      <c r="B6863" s="0" t="s">
        <v>6842</v>
      </c>
    </row>
    <row r="6864" customFormat="false" ht="15" hidden="false" customHeight="false" outlineLevel="0" collapsed="false">
      <c r="A6864" s="0" t="n">
        <f aca="false">COUPDAYBS(DATE(2024,4,30),DATE(2024,10,31),4,4)</f>
        <v>0</v>
      </c>
      <c r="B6864" s="0" t="s">
        <v>6843</v>
      </c>
    </row>
    <row r="6865" customFormat="false" ht="15" hidden="false" customHeight="false" outlineLevel="0" collapsed="false">
      <c r="A6865" s="0" t="n">
        <f aca="false">COUPDAYS(DATE(2024,4,30),DATE(2024,10,31),4,4)</f>
        <v>90</v>
      </c>
      <c r="B6865" s="0" t="s">
        <v>6844</v>
      </c>
    </row>
    <row r="6866" customFormat="false" ht="15" hidden="false" customHeight="false" outlineLevel="0" collapsed="false">
      <c r="A6866" s="0" t="n">
        <f aca="false">COUPDAYSNC(DATE(2024,4,30),DATE(2024,10,31),4,4)</f>
        <v>90</v>
      </c>
      <c r="B6866" s="0" t="s">
        <v>6845</v>
      </c>
    </row>
    <row r="6867" customFormat="false" ht="15" hidden="false" customHeight="false" outlineLevel="0" collapsed="false">
      <c r="A6867" s="0" t="n">
        <f aca="false">COUPNUM(DATE(2024,4,30),DATE(2024,10,31),2)</f>
        <v>1</v>
      </c>
      <c r="B6867" s="0" t="s">
        <v>6846</v>
      </c>
    </row>
    <row r="6868" customFormat="false" ht="15" hidden="false" customHeight="false" outlineLevel="0" collapsed="false">
      <c r="A6868" s="0" t="n">
        <f aca="false">COUPDAYS(DATE(2024,4,30),DATE(2024,10,31),2)</f>
        <v>180</v>
      </c>
      <c r="B6868" s="0" t="s">
        <v>6847</v>
      </c>
    </row>
    <row r="6869" customFormat="false" ht="15" hidden="false" customHeight="false" outlineLevel="0" collapsed="false">
      <c r="A6869" s="0" t="n">
        <f aca="false">COUPPCD(DATE(2023,8,31),DATE(2025,2,28),1,0)</f>
        <v>44985</v>
      </c>
      <c r="B6869" s="0" t="s">
        <v>6848</v>
      </c>
    </row>
    <row r="6870" customFormat="false" ht="15" hidden="false" customHeight="false" outlineLevel="0" collapsed="false">
      <c r="A6870" s="0" t="n">
        <f aca="false">COUPNCD(DATE(2023,8,31),DATE(2025,2,28),1,0)</f>
        <v>45351</v>
      </c>
      <c r="B6870" s="0" t="s">
        <v>6849</v>
      </c>
    </row>
    <row r="6871" customFormat="false" ht="15" hidden="false" customHeight="false" outlineLevel="0" collapsed="false">
      <c r="A6871" s="0" t="n">
        <f aca="false">COUPNUM(DATE(2023,8,31),DATE(2025,2,28),1,0)</f>
        <v>2</v>
      </c>
      <c r="B6871" s="0" t="s">
        <v>6850</v>
      </c>
    </row>
    <row r="6872" customFormat="false" ht="15" hidden="false" customHeight="false" outlineLevel="0" collapsed="false">
      <c r="A6872" s="0" t="n">
        <f aca="false">COUPDAYBS(DATE(2023,8,31),DATE(2025,2,28),1,0)</f>
        <v>181</v>
      </c>
      <c r="B6872" s="0" t="s">
        <v>6851</v>
      </c>
    </row>
    <row r="6873" customFormat="false" ht="15" hidden="false" customHeight="false" outlineLevel="0" collapsed="false">
      <c r="A6873" s="0" t="n">
        <f aca="false">COUPDAYS(DATE(2023,8,31),DATE(2025,2,28),1,0)</f>
        <v>360</v>
      </c>
      <c r="B6873" s="0" t="s">
        <v>6852</v>
      </c>
    </row>
    <row r="6874" customFormat="false" ht="15" hidden="false" customHeight="false" outlineLevel="0" collapsed="false">
      <c r="A6874" s="0" t="n">
        <f aca="false">COUPDAYSNC(DATE(2023,8,31),DATE(2025,2,28),1,0)</f>
        <v>179</v>
      </c>
      <c r="B6874" s="0" t="s">
        <v>6853</v>
      </c>
    </row>
    <row r="6875" customFormat="false" ht="15" hidden="false" customHeight="false" outlineLevel="0" collapsed="false">
      <c r="A6875" s="0" t="n">
        <f aca="false">COUPPCD(DATE(2023,8,31),DATE(2025,2,28),1,1)</f>
        <v>44985</v>
      </c>
      <c r="B6875" s="0" t="s">
        <v>6854</v>
      </c>
    </row>
    <row r="6876" customFormat="false" ht="15" hidden="false" customHeight="false" outlineLevel="0" collapsed="false">
      <c r="A6876" s="0" t="n">
        <f aca="false">COUPNCD(DATE(2023,8,31),DATE(2025,2,28),1,1)</f>
        <v>45351</v>
      </c>
      <c r="B6876" s="0" t="s">
        <v>6855</v>
      </c>
    </row>
    <row r="6877" customFormat="false" ht="15" hidden="false" customHeight="false" outlineLevel="0" collapsed="false">
      <c r="A6877" s="0" t="n">
        <f aca="false">COUPNUM(DATE(2023,8,31),DATE(2025,2,28),1,1)</f>
        <v>2</v>
      </c>
      <c r="B6877" s="0" t="s">
        <v>6856</v>
      </c>
    </row>
    <row r="6878" customFormat="false" ht="15" hidden="false" customHeight="false" outlineLevel="0" collapsed="false">
      <c r="A6878" s="0" t="n">
        <f aca="false">COUPDAYBS(DATE(2023,8,31),DATE(2025,2,28),1,1)</f>
        <v>184</v>
      </c>
      <c r="B6878" s="0" t="s">
        <v>6857</v>
      </c>
    </row>
    <row r="6879" customFormat="false" ht="15" hidden="false" customHeight="false" outlineLevel="0" collapsed="false">
      <c r="A6879" s="0" t="n">
        <f aca="false">COUPDAYS(DATE(2023,8,31),DATE(2025,2,28),1,1)</f>
        <v>366</v>
      </c>
      <c r="B6879" s="0" t="s">
        <v>6858</v>
      </c>
    </row>
    <row r="6880" customFormat="false" ht="15" hidden="false" customHeight="false" outlineLevel="0" collapsed="false">
      <c r="A6880" s="0" t="n">
        <f aca="false">COUPDAYSNC(DATE(2023,8,31),DATE(2025,2,28),1,1)</f>
        <v>182</v>
      </c>
      <c r="B6880" s="0" t="s">
        <v>6859</v>
      </c>
    </row>
    <row r="6881" customFormat="false" ht="15" hidden="false" customHeight="false" outlineLevel="0" collapsed="false">
      <c r="A6881" s="0" t="n">
        <f aca="false">COUPPCD(DATE(2023,8,31),DATE(2025,2,28),1,2)</f>
        <v>44985</v>
      </c>
      <c r="B6881" s="0" t="s">
        <v>6860</v>
      </c>
    </row>
    <row r="6882" customFormat="false" ht="15" hidden="false" customHeight="false" outlineLevel="0" collapsed="false">
      <c r="A6882" s="0" t="n">
        <f aca="false">COUPNCD(DATE(2023,8,31),DATE(2025,2,28),1,2)</f>
        <v>45351</v>
      </c>
      <c r="B6882" s="0" t="s">
        <v>6861</v>
      </c>
    </row>
    <row r="6883" customFormat="false" ht="15" hidden="false" customHeight="false" outlineLevel="0" collapsed="false">
      <c r="A6883" s="0" t="n">
        <f aca="false">COUPNUM(DATE(2023,8,31),DATE(2025,2,28),1,2)</f>
        <v>2</v>
      </c>
      <c r="B6883" s="0" t="s">
        <v>6862</v>
      </c>
    </row>
    <row r="6884" customFormat="false" ht="15" hidden="false" customHeight="false" outlineLevel="0" collapsed="false">
      <c r="A6884" s="0" t="n">
        <f aca="false">COUPDAYBS(DATE(2023,8,31),DATE(2025,2,28),1,2)</f>
        <v>184</v>
      </c>
      <c r="B6884" s="0" t="s">
        <v>6863</v>
      </c>
    </row>
    <row r="6885" customFormat="false" ht="15" hidden="false" customHeight="false" outlineLevel="0" collapsed="false">
      <c r="A6885" s="0" t="n">
        <f aca="false">COUPDAYS(DATE(2023,8,31),DATE(2025,2,28),1,2)</f>
        <v>360</v>
      </c>
      <c r="B6885" s="0" t="s">
        <v>6864</v>
      </c>
    </row>
    <row r="6886" customFormat="false" ht="15" hidden="false" customHeight="false" outlineLevel="0" collapsed="false">
      <c r="A6886" s="0" t="n">
        <f aca="false">COUPDAYSNC(DATE(2023,8,31),DATE(2025,2,28),1,2)</f>
        <v>182</v>
      </c>
      <c r="B6886" s="0" t="s">
        <v>6865</v>
      </c>
    </row>
    <row r="6887" customFormat="false" ht="15" hidden="false" customHeight="false" outlineLevel="0" collapsed="false">
      <c r="A6887" s="0" t="n">
        <f aca="false">COUPPCD(DATE(2023,8,31),DATE(2025,2,28),1,3)</f>
        <v>44985</v>
      </c>
      <c r="B6887" s="0" t="s">
        <v>6866</v>
      </c>
    </row>
    <row r="6888" customFormat="false" ht="15" hidden="false" customHeight="false" outlineLevel="0" collapsed="false">
      <c r="A6888" s="0" t="n">
        <f aca="false">COUPNCD(DATE(2023,8,31),DATE(2025,2,28),1,3)</f>
        <v>45351</v>
      </c>
      <c r="B6888" s="0" t="s">
        <v>6867</v>
      </c>
    </row>
    <row r="6889" customFormat="false" ht="15" hidden="false" customHeight="false" outlineLevel="0" collapsed="false">
      <c r="A6889" s="0" t="n">
        <f aca="false">COUPNUM(DATE(2023,8,31),DATE(2025,2,28),1,3)</f>
        <v>2</v>
      </c>
      <c r="B6889" s="0" t="s">
        <v>6868</v>
      </c>
    </row>
    <row r="6890" customFormat="false" ht="15" hidden="false" customHeight="false" outlineLevel="0" collapsed="false">
      <c r="A6890" s="0" t="n">
        <f aca="false">COUPDAYBS(DATE(2023,8,31),DATE(2025,2,28),1,3)</f>
        <v>184</v>
      </c>
      <c r="B6890" s="0" t="s">
        <v>6869</v>
      </c>
    </row>
    <row r="6891" customFormat="false" ht="15" hidden="false" customHeight="false" outlineLevel="0" collapsed="false">
      <c r="A6891" s="0" t="n">
        <f aca="false">COUPDAYS(DATE(2023,8,31),DATE(2025,2,28),1,3)</f>
        <v>365</v>
      </c>
      <c r="B6891" s="0" t="s">
        <v>6870</v>
      </c>
    </row>
    <row r="6892" customFormat="false" ht="15" hidden="false" customHeight="false" outlineLevel="0" collapsed="false">
      <c r="A6892" s="0" t="n">
        <f aca="false">COUPDAYSNC(DATE(2023,8,31),DATE(2025,2,28),1,3)</f>
        <v>182</v>
      </c>
      <c r="B6892" s="0" t="s">
        <v>6871</v>
      </c>
    </row>
    <row r="6893" customFormat="false" ht="15" hidden="false" customHeight="false" outlineLevel="0" collapsed="false">
      <c r="A6893" s="0" t="n">
        <f aca="false">COUPPCD(DATE(2023,8,31),DATE(2025,2,28),1,4)</f>
        <v>44985</v>
      </c>
      <c r="B6893" s="0" t="s">
        <v>6872</v>
      </c>
    </row>
    <row r="6894" customFormat="false" ht="15" hidden="false" customHeight="false" outlineLevel="0" collapsed="false">
      <c r="A6894" s="0" t="n">
        <f aca="false">COUPNCD(DATE(2023,8,31),DATE(2025,2,28),1,4)</f>
        <v>45351</v>
      </c>
      <c r="B6894" s="0" t="s">
        <v>6873</v>
      </c>
    </row>
    <row r="6895" customFormat="false" ht="15" hidden="false" customHeight="false" outlineLevel="0" collapsed="false">
      <c r="A6895" s="0" t="n">
        <f aca="false">COUPNUM(DATE(2023,8,31),DATE(2025,2,28),1,4)</f>
        <v>2</v>
      </c>
      <c r="B6895" s="0" t="s">
        <v>6874</v>
      </c>
    </row>
    <row r="6896" customFormat="false" ht="15" hidden="false" customHeight="false" outlineLevel="0" collapsed="false">
      <c r="A6896" s="0" t="n">
        <f aca="false">COUPDAYBS(DATE(2023,8,31),DATE(2025,2,28),1,4)</f>
        <v>182</v>
      </c>
      <c r="B6896" s="0" t="s">
        <v>6875</v>
      </c>
    </row>
    <row r="6897" customFormat="false" ht="15" hidden="false" customHeight="false" outlineLevel="0" collapsed="false">
      <c r="A6897" s="0" t="n">
        <f aca="false">COUPDAYS(DATE(2023,8,31),DATE(2025,2,28),1,4)</f>
        <v>360</v>
      </c>
      <c r="B6897" s="0" t="s">
        <v>6876</v>
      </c>
    </row>
    <row r="6898" customFormat="false" ht="15" hidden="false" customHeight="false" outlineLevel="0" collapsed="false">
      <c r="A6898" s="0" t="n">
        <f aca="false">COUPDAYSNC(DATE(2023,8,31),DATE(2025,2,28),1,4)</f>
        <v>178</v>
      </c>
      <c r="B6898" s="0" t="s">
        <v>6877</v>
      </c>
    </row>
    <row r="6899" customFormat="false" ht="15" hidden="false" customHeight="false" outlineLevel="0" collapsed="false">
      <c r="A6899" s="0" t="n">
        <f aca="false">COUPPCD(DATE(2023,8,31),DATE(2025,2,28),2,0)</f>
        <v>45169</v>
      </c>
      <c r="B6899" s="0" t="s">
        <v>6878</v>
      </c>
    </row>
    <row r="6900" customFormat="false" ht="15" hidden="false" customHeight="false" outlineLevel="0" collapsed="false">
      <c r="A6900" s="0" t="n">
        <f aca="false">COUPNCD(DATE(2023,8,31),DATE(2025,2,28),2,0)</f>
        <v>45351</v>
      </c>
      <c r="B6900" s="0" t="s">
        <v>6879</v>
      </c>
    </row>
    <row r="6901" customFormat="false" ht="15" hidden="false" customHeight="false" outlineLevel="0" collapsed="false">
      <c r="A6901" s="0" t="n">
        <f aca="false">COUPNUM(DATE(2023,8,31),DATE(2025,2,28),2,0)</f>
        <v>3</v>
      </c>
      <c r="B6901" s="0" t="s">
        <v>6880</v>
      </c>
    </row>
    <row r="6902" customFormat="false" ht="15" hidden="false" customHeight="false" outlineLevel="0" collapsed="false">
      <c r="A6902" s="0" t="n">
        <f aca="false">COUPDAYBS(DATE(2023,8,31),DATE(2025,2,28),2,0)</f>
        <v>0</v>
      </c>
      <c r="B6902" s="0" t="s">
        <v>6881</v>
      </c>
    </row>
    <row r="6903" customFormat="false" ht="15" hidden="false" customHeight="false" outlineLevel="0" collapsed="false">
      <c r="A6903" s="0" t="n">
        <f aca="false">COUPDAYS(DATE(2023,8,31),DATE(2025,2,28),2,0)</f>
        <v>180</v>
      </c>
      <c r="B6903" s="0" t="s">
        <v>6882</v>
      </c>
    </row>
    <row r="6904" customFormat="false" ht="15" hidden="false" customHeight="false" outlineLevel="0" collapsed="false">
      <c r="A6904" s="0" t="n">
        <f aca="false">COUPDAYSNC(DATE(2023,8,31),DATE(2025,2,28),2,0)</f>
        <v>180</v>
      </c>
      <c r="B6904" s="0" t="s">
        <v>6883</v>
      </c>
    </row>
    <row r="6905" customFormat="false" ht="15" hidden="false" customHeight="false" outlineLevel="0" collapsed="false">
      <c r="A6905" s="0" t="n">
        <f aca="false">COUPPCD(DATE(2023,8,31),DATE(2025,2,28),2,1)</f>
        <v>45169</v>
      </c>
      <c r="B6905" s="0" t="s">
        <v>6884</v>
      </c>
    </row>
    <row r="6906" customFormat="false" ht="15" hidden="false" customHeight="false" outlineLevel="0" collapsed="false">
      <c r="A6906" s="0" t="n">
        <f aca="false">COUPNCD(DATE(2023,8,31),DATE(2025,2,28),2,1)</f>
        <v>45351</v>
      </c>
      <c r="B6906" s="0" t="s">
        <v>6885</v>
      </c>
    </row>
    <row r="6907" customFormat="false" ht="15" hidden="false" customHeight="false" outlineLevel="0" collapsed="false">
      <c r="A6907" s="0" t="n">
        <f aca="false">COUPNUM(DATE(2023,8,31),DATE(2025,2,28),2,1)</f>
        <v>3</v>
      </c>
      <c r="B6907" s="0" t="s">
        <v>6886</v>
      </c>
    </row>
    <row r="6908" customFormat="false" ht="15" hidden="false" customHeight="false" outlineLevel="0" collapsed="false">
      <c r="A6908" s="0" t="n">
        <f aca="false">COUPDAYBS(DATE(2023,8,31),DATE(2025,2,28),2,1)</f>
        <v>0</v>
      </c>
      <c r="B6908" s="0" t="s">
        <v>6887</v>
      </c>
    </row>
    <row r="6909" customFormat="false" ht="15" hidden="false" customHeight="false" outlineLevel="0" collapsed="false">
      <c r="A6909" s="0" t="n">
        <f aca="false">COUPDAYS(DATE(2023,8,31),DATE(2025,2,28),2,1)</f>
        <v>182</v>
      </c>
      <c r="B6909" s="0" t="s">
        <v>6888</v>
      </c>
    </row>
    <row r="6910" customFormat="false" ht="15" hidden="false" customHeight="false" outlineLevel="0" collapsed="false">
      <c r="A6910" s="0" t="n">
        <f aca="false">COUPDAYSNC(DATE(2023,8,31),DATE(2025,2,28),2,1)</f>
        <v>182</v>
      </c>
      <c r="B6910" s="0" t="s">
        <v>6889</v>
      </c>
    </row>
    <row r="6911" customFormat="false" ht="15" hidden="false" customHeight="false" outlineLevel="0" collapsed="false">
      <c r="A6911" s="0" t="n">
        <f aca="false">COUPPCD(DATE(2023,8,31),DATE(2025,2,28),2,2)</f>
        <v>45169</v>
      </c>
      <c r="B6911" s="0" t="s">
        <v>6890</v>
      </c>
    </row>
    <row r="6912" customFormat="false" ht="15" hidden="false" customHeight="false" outlineLevel="0" collapsed="false">
      <c r="A6912" s="0" t="n">
        <f aca="false">COUPNCD(DATE(2023,8,31),DATE(2025,2,28),2,2)</f>
        <v>45351</v>
      </c>
      <c r="B6912" s="0" t="s">
        <v>6891</v>
      </c>
    </row>
    <row r="6913" customFormat="false" ht="15" hidden="false" customHeight="false" outlineLevel="0" collapsed="false">
      <c r="A6913" s="0" t="n">
        <f aca="false">COUPNUM(DATE(2023,8,31),DATE(2025,2,28),2,2)</f>
        <v>3</v>
      </c>
      <c r="B6913" s="0" t="s">
        <v>6892</v>
      </c>
    </row>
    <row r="6914" customFormat="false" ht="15" hidden="false" customHeight="false" outlineLevel="0" collapsed="false">
      <c r="A6914" s="0" t="n">
        <f aca="false">COUPDAYBS(DATE(2023,8,31),DATE(2025,2,28),2,2)</f>
        <v>0</v>
      </c>
      <c r="B6914" s="0" t="s">
        <v>6893</v>
      </c>
    </row>
    <row r="6915" customFormat="false" ht="15" hidden="false" customHeight="false" outlineLevel="0" collapsed="false">
      <c r="A6915" s="0" t="n">
        <f aca="false">COUPDAYS(DATE(2023,8,31),DATE(2025,2,28),2,2)</f>
        <v>180</v>
      </c>
      <c r="B6915" s="0" t="s">
        <v>6894</v>
      </c>
    </row>
    <row r="6916" customFormat="false" ht="15" hidden="false" customHeight="false" outlineLevel="0" collapsed="false">
      <c r="A6916" s="0" t="n">
        <f aca="false">COUPDAYSNC(DATE(2023,8,31),DATE(2025,2,28),2,2)</f>
        <v>182</v>
      </c>
      <c r="B6916" s="0" t="s">
        <v>6895</v>
      </c>
    </row>
    <row r="6917" customFormat="false" ht="15" hidden="false" customHeight="false" outlineLevel="0" collapsed="false">
      <c r="A6917" s="0" t="n">
        <f aca="false">COUPPCD(DATE(2023,8,31),DATE(2025,2,28),2,3)</f>
        <v>45169</v>
      </c>
      <c r="B6917" s="0" t="s">
        <v>6896</v>
      </c>
    </row>
    <row r="6918" customFormat="false" ht="15" hidden="false" customHeight="false" outlineLevel="0" collapsed="false">
      <c r="A6918" s="0" t="n">
        <f aca="false">COUPNCD(DATE(2023,8,31),DATE(2025,2,28),2,3)</f>
        <v>45351</v>
      </c>
      <c r="B6918" s="0" t="s">
        <v>6897</v>
      </c>
    </row>
    <row r="6919" customFormat="false" ht="15" hidden="false" customHeight="false" outlineLevel="0" collapsed="false">
      <c r="A6919" s="0" t="n">
        <f aca="false">COUPNUM(DATE(2023,8,31),DATE(2025,2,28),2,3)</f>
        <v>3</v>
      </c>
      <c r="B6919" s="0" t="s">
        <v>6898</v>
      </c>
    </row>
    <row r="6920" customFormat="false" ht="15" hidden="false" customHeight="false" outlineLevel="0" collapsed="false">
      <c r="A6920" s="0" t="n">
        <f aca="false">COUPDAYBS(DATE(2023,8,31),DATE(2025,2,28),2,3)</f>
        <v>0</v>
      </c>
      <c r="B6920" s="0" t="s">
        <v>6899</v>
      </c>
    </row>
    <row r="6921" customFormat="false" ht="15" hidden="false" customHeight="false" outlineLevel="0" collapsed="false">
      <c r="A6921" s="0" t="n">
        <f aca="false">COUPDAYS(DATE(2023,8,31),DATE(2025,2,28),2,3)</f>
        <v>182.5</v>
      </c>
      <c r="B6921" s="0" t="s">
        <v>6900</v>
      </c>
    </row>
    <row r="6922" customFormat="false" ht="15" hidden="false" customHeight="false" outlineLevel="0" collapsed="false">
      <c r="A6922" s="0" t="n">
        <f aca="false">COUPDAYSNC(DATE(2023,8,31),DATE(2025,2,28),2,3)</f>
        <v>182</v>
      </c>
      <c r="B6922" s="0" t="s">
        <v>6901</v>
      </c>
    </row>
    <row r="6923" customFormat="false" ht="15" hidden="false" customHeight="false" outlineLevel="0" collapsed="false">
      <c r="A6923" s="0" t="n">
        <f aca="false">COUPPCD(DATE(2023,8,31),DATE(2025,2,28),2,4)</f>
        <v>45169</v>
      </c>
      <c r="B6923" s="0" t="s">
        <v>6902</v>
      </c>
    </row>
    <row r="6924" customFormat="false" ht="15" hidden="false" customHeight="false" outlineLevel="0" collapsed="false">
      <c r="A6924" s="0" t="n">
        <f aca="false">COUPNCD(DATE(2023,8,31),DATE(2025,2,28),2,4)</f>
        <v>45351</v>
      </c>
      <c r="B6924" s="0" t="s">
        <v>6903</v>
      </c>
    </row>
    <row r="6925" customFormat="false" ht="15" hidden="false" customHeight="false" outlineLevel="0" collapsed="false">
      <c r="A6925" s="0" t="n">
        <f aca="false">COUPNUM(DATE(2023,8,31),DATE(2025,2,28),2,4)</f>
        <v>3</v>
      </c>
      <c r="B6925" s="0" t="s">
        <v>6904</v>
      </c>
    </row>
    <row r="6926" customFormat="false" ht="15" hidden="false" customHeight="false" outlineLevel="0" collapsed="false">
      <c r="A6926" s="0" t="n">
        <f aca="false">COUPDAYBS(DATE(2023,8,31),DATE(2025,2,28),2,4)</f>
        <v>0</v>
      </c>
      <c r="B6926" s="0" t="s">
        <v>6905</v>
      </c>
    </row>
    <row r="6927" customFormat="false" ht="15" hidden="false" customHeight="false" outlineLevel="0" collapsed="false">
      <c r="A6927" s="0" t="n">
        <f aca="false">COUPDAYS(DATE(2023,8,31),DATE(2025,2,28),2,4)</f>
        <v>180</v>
      </c>
      <c r="B6927" s="0" t="s">
        <v>6906</v>
      </c>
    </row>
    <row r="6928" customFormat="false" ht="15" hidden="false" customHeight="false" outlineLevel="0" collapsed="false">
      <c r="A6928" s="0" t="n">
        <f aca="false">COUPDAYSNC(DATE(2023,8,31),DATE(2025,2,28),2,4)</f>
        <v>180</v>
      </c>
      <c r="B6928" s="0" t="s">
        <v>6907</v>
      </c>
    </row>
    <row r="6929" customFormat="false" ht="15" hidden="false" customHeight="false" outlineLevel="0" collapsed="false">
      <c r="A6929" s="0" t="n">
        <f aca="false">COUPPCD(DATE(2023,8,31),DATE(2025,2,28),4,0)</f>
        <v>45169</v>
      </c>
      <c r="B6929" s="0" t="s">
        <v>6908</v>
      </c>
    </row>
    <row r="6930" customFormat="false" ht="15" hidden="false" customHeight="false" outlineLevel="0" collapsed="false">
      <c r="A6930" s="0" t="n">
        <f aca="false">COUPNCD(DATE(2023,8,31),DATE(2025,2,28),4,0)</f>
        <v>45260</v>
      </c>
      <c r="B6930" s="0" t="s">
        <v>6909</v>
      </c>
    </row>
    <row r="6931" customFormat="false" ht="15" hidden="false" customHeight="false" outlineLevel="0" collapsed="false">
      <c r="A6931" s="0" t="n">
        <f aca="false">COUPNUM(DATE(2023,8,31),DATE(2025,2,28),4,0)</f>
        <v>6</v>
      </c>
      <c r="B6931" s="0" t="s">
        <v>6910</v>
      </c>
    </row>
    <row r="6932" customFormat="false" ht="15" hidden="false" customHeight="false" outlineLevel="0" collapsed="false">
      <c r="A6932" s="0" t="n">
        <f aca="false">COUPDAYBS(DATE(2023,8,31),DATE(2025,2,28),4,0)</f>
        <v>0</v>
      </c>
      <c r="B6932" s="0" t="s">
        <v>6911</v>
      </c>
    </row>
    <row r="6933" customFormat="false" ht="15" hidden="false" customHeight="false" outlineLevel="0" collapsed="false">
      <c r="A6933" s="0" t="n">
        <f aca="false">COUPDAYS(DATE(2023,8,31),DATE(2025,2,28),4,0)</f>
        <v>90</v>
      </c>
      <c r="B6933" s="0" t="s">
        <v>6912</v>
      </c>
    </row>
    <row r="6934" customFormat="false" ht="15" hidden="false" customHeight="false" outlineLevel="0" collapsed="false">
      <c r="A6934" s="0" t="n">
        <f aca="false">COUPDAYSNC(DATE(2023,8,31),DATE(2025,2,28),4,0)</f>
        <v>90</v>
      </c>
      <c r="B6934" s="0" t="s">
        <v>6913</v>
      </c>
    </row>
    <row r="6935" customFormat="false" ht="15" hidden="false" customHeight="false" outlineLevel="0" collapsed="false">
      <c r="A6935" s="0" t="n">
        <f aca="false">COUPPCD(DATE(2023,8,31),DATE(2025,2,28),4,1)</f>
        <v>45169</v>
      </c>
      <c r="B6935" s="0" t="s">
        <v>6914</v>
      </c>
    </row>
    <row r="6936" customFormat="false" ht="15" hidden="false" customHeight="false" outlineLevel="0" collapsed="false">
      <c r="A6936" s="0" t="n">
        <f aca="false">COUPNCD(DATE(2023,8,31),DATE(2025,2,28),4,1)</f>
        <v>45260</v>
      </c>
      <c r="B6936" s="0" t="s">
        <v>6915</v>
      </c>
    </row>
    <row r="6937" customFormat="false" ht="15" hidden="false" customHeight="false" outlineLevel="0" collapsed="false">
      <c r="A6937" s="0" t="n">
        <f aca="false">COUPNUM(DATE(2023,8,31),DATE(2025,2,28),4,1)</f>
        <v>6</v>
      </c>
      <c r="B6937" s="0" t="s">
        <v>6916</v>
      </c>
    </row>
    <row r="6938" customFormat="false" ht="15" hidden="false" customHeight="false" outlineLevel="0" collapsed="false">
      <c r="A6938" s="0" t="n">
        <f aca="false">COUPDAYBS(DATE(2023,8,31),DATE(2025,2,28),4,1)</f>
        <v>0</v>
      </c>
      <c r="B6938" s="0" t="s">
        <v>6917</v>
      </c>
    </row>
    <row r="6939" customFormat="false" ht="15" hidden="false" customHeight="false" outlineLevel="0" collapsed="false">
      <c r="A6939" s="0" t="n">
        <f aca="false">COUPDAYS(DATE(2023,8,31),DATE(2025,2,28),4,1)</f>
        <v>91</v>
      </c>
      <c r="B6939" s="0" t="s">
        <v>6918</v>
      </c>
    </row>
    <row r="6940" customFormat="false" ht="15" hidden="false" customHeight="false" outlineLevel="0" collapsed="false">
      <c r="A6940" s="0" t="n">
        <f aca="false">COUPDAYSNC(DATE(2023,8,31),DATE(2025,2,28),4,1)</f>
        <v>91</v>
      </c>
      <c r="B6940" s="0" t="s">
        <v>6919</v>
      </c>
    </row>
    <row r="6941" customFormat="false" ht="15" hidden="false" customHeight="false" outlineLevel="0" collapsed="false">
      <c r="A6941" s="0" t="n">
        <f aca="false">COUPPCD(DATE(2023,8,31),DATE(2025,2,28),4,2)</f>
        <v>45169</v>
      </c>
      <c r="B6941" s="0" t="s">
        <v>6920</v>
      </c>
    </row>
    <row r="6942" customFormat="false" ht="15" hidden="false" customHeight="false" outlineLevel="0" collapsed="false">
      <c r="A6942" s="0" t="n">
        <f aca="false">COUPNCD(DATE(2023,8,31),DATE(2025,2,28),4,2)</f>
        <v>45260</v>
      </c>
      <c r="B6942" s="0" t="s">
        <v>6921</v>
      </c>
    </row>
    <row r="6943" customFormat="false" ht="15" hidden="false" customHeight="false" outlineLevel="0" collapsed="false">
      <c r="A6943" s="0" t="n">
        <f aca="false">COUPNUM(DATE(2023,8,31),DATE(2025,2,28),4,2)</f>
        <v>6</v>
      </c>
      <c r="B6943" s="0" t="s">
        <v>6922</v>
      </c>
    </row>
    <row r="6944" customFormat="false" ht="15" hidden="false" customHeight="false" outlineLevel="0" collapsed="false">
      <c r="A6944" s="0" t="n">
        <f aca="false">COUPDAYBS(DATE(2023,8,31),DATE(2025,2,28),4,2)</f>
        <v>0</v>
      </c>
      <c r="B6944" s="0" t="s">
        <v>6923</v>
      </c>
    </row>
    <row r="6945" customFormat="false" ht="15" hidden="false" customHeight="false" outlineLevel="0" collapsed="false">
      <c r="A6945" s="0" t="n">
        <f aca="false">COUPDAYS(DATE(2023,8,31),DATE(2025,2,28),4,2)</f>
        <v>90</v>
      </c>
      <c r="B6945" s="0" t="s">
        <v>6924</v>
      </c>
    </row>
    <row r="6946" customFormat="false" ht="15" hidden="false" customHeight="false" outlineLevel="0" collapsed="false">
      <c r="A6946" s="0" t="n">
        <f aca="false">COUPDAYSNC(DATE(2023,8,31),DATE(2025,2,28),4,2)</f>
        <v>91</v>
      </c>
      <c r="B6946" s="0" t="s">
        <v>6925</v>
      </c>
    </row>
    <row r="6947" customFormat="false" ht="15" hidden="false" customHeight="false" outlineLevel="0" collapsed="false">
      <c r="A6947" s="0" t="n">
        <f aca="false">COUPPCD(DATE(2023,8,31),DATE(2025,2,28),4,3)</f>
        <v>45169</v>
      </c>
      <c r="B6947" s="0" t="s">
        <v>6926</v>
      </c>
    </row>
    <row r="6948" customFormat="false" ht="15" hidden="false" customHeight="false" outlineLevel="0" collapsed="false">
      <c r="A6948" s="0" t="n">
        <f aca="false">COUPNCD(DATE(2023,8,31),DATE(2025,2,28),4,3)</f>
        <v>45260</v>
      </c>
      <c r="B6948" s="0" t="s">
        <v>6927</v>
      </c>
    </row>
    <row r="6949" customFormat="false" ht="15" hidden="false" customHeight="false" outlineLevel="0" collapsed="false">
      <c r="A6949" s="0" t="n">
        <f aca="false">COUPNUM(DATE(2023,8,31),DATE(2025,2,28),4,3)</f>
        <v>6</v>
      </c>
      <c r="B6949" s="0" t="s">
        <v>6928</v>
      </c>
    </row>
    <row r="6950" customFormat="false" ht="15" hidden="false" customHeight="false" outlineLevel="0" collapsed="false">
      <c r="A6950" s="0" t="n">
        <f aca="false">COUPDAYBS(DATE(2023,8,31),DATE(2025,2,28),4,3)</f>
        <v>0</v>
      </c>
      <c r="B6950" s="0" t="s">
        <v>6929</v>
      </c>
    </row>
    <row r="6951" customFormat="false" ht="15" hidden="false" customHeight="false" outlineLevel="0" collapsed="false">
      <c r="A6951" s="0" t="n">
        <f aca="false">COUPDAYS(DATE(2023,8,31),DATE(2025,2,28),4,3)</f>
        <v>91.25</v>
      </c>
      <c r="B6951" s="0" t="s">
        <v>6930</v>
      </c>
    </row>
    <row r="6952" customFormat="false" ht="15" hidden="false" customHeight="false" outlineLevel="0" collapsed="false">
      <c r="A6952" s="0" t="n">
        <f aca="false">COUPDAYSNC(DATE(2023,8,31),DATE(2025,2,28),4,3)</f>
        <v>91</v>
      </c>
      <c r="B6952" s="0" t="s">
        <v>6931</v>
      </c>
    </row>
    <row r="6953" customFormat="false" ht="15" hidden="false" customHeight="false" outlineLevel="0" collapsed="false">
      <c r="A6953" s="0" t="n">
        <f aca="false">COUPPCD(DATE(2023,8,31),DATE(2025,2,28),4,4)</f>
        <v>45169</v>
      </c>
      <c r="B6953" s="0" t="s">
        <v>6932</v>
      </c>
    </row>
    <row r="6954" customFormat="false" ht="15" hidden="false" customHeight="false" outlineLevel="0" collapsed="false">
      <c r="A6954" s="0" t="n">
        <f aca="false">COUPNCD(DATE(2023,8,31),DATE(2025,2,28),4,4)</f>
        <v>45260</v>
      </c>
      <c r="B6954" s="0" t="s">
        <v>6933</v>
      </c>
    </row>
    <row r="6955" customFormat="false" ht="15" hidden="false" customHeight="false" outlineLevel="0" collapsed="false">
      <c r="A6955" s="0" t="n">
        <f aca="false">COUPNUM(DATE(2023,8,31),DATE(2025,2,28),4,4)</f>
        <v>6</v>
      </c>
      <c r="B6955" s="0" t="s">
        <v>6934</v>
      </c>
    </row>
    <row r="6956" customFormat="false" ht="15" hidden="false" customHeight="false" outlineLevel="0" collapsed="false">
      <c r="A6956" s="0" t="n">
        <f aca="false">COUPDAYBS(DATE(2023,8,31),DATE(2025,2,28),4,4)</f>
        <v>0</v>
      </c>
      <c r="B6956" s="0" t="s">
        <v>6935</v>
      </c>
    </row>
    <row r="6957" customFormat="false" ht="15" hidden="false" customHeight="false" outlineLevel="0" collapsed="false">
      <c r="A6957" s="0" t="n">
        <f aca="false">COUPDAYS(DATE(2023,8,31),DATE(2025,2,28),4,4)</f>
        <v>90</v>
      </c>
      <c r="B6957" s="0" t="s">
        <v>6936</v>
      </c>
    </row>
    <row r="6958" customFormat="false" ht="15" hidden="false" customHeight="false" outlineLevel="0" collapsed="false">
      <c r="A6958" s="0" t="n">
        <f aca="false">COUPDAYSNC(DATE(2023,8,31),DATE(2025,2,28),4,4)</f>
        <v>90</v>
      </c>
      <c r="B6958" s="0" t="s">
        <v>6937</v>
      </c>
    </row>
    <row r="6959" customFormat="false" ht="15" hidden="false" customHeight="false" outlineLevel="0" collapsed="false">
      <c r="A6959" s="0" t="n">
        <f aca="false">COUPNUM(DATE(2023,8,31),DATE(2025,2,28),2)</f>
        <v>3</v>
      </c>
      <c r="B6959" s="0" t="s">
        <v>6938</v>
      </c>
    </row>
    <row r="6960" customFormat="false" ht="15" hidden="false" customHeight="false" outlineLevel="0" collapsed="false">
      <c r="A6960" s="0" t="n">
        <f aca="false">COUPDAYS(DATE(2023,8,31),DATE(2025,2,28),2)</f>
        <v>180</v>
      </c>
      <c r="B6960" s="0" t="s">
        <v>6939</v>
      </c>
    </row>
    <row r="6961" customFormat="false" ht="15" hidden="false" customHeight="false" outlineLevel="0" collapsed="false">
      <c r="A6961" s="0" t="n">
        <f aca="false">COUPPCD(DATE(2024,2,28),DATE(2024,8,31),1,0)</f>
        <v>45169</v>
      </c>
      <c r="B6961" s="0" t="s">
        <v>6940</v>
      </c>
    </row>
    <row r="6962" customFormat="false" ht="15" hidden="false" customHeight="false" outlineLevel="0" collapsed="false">
      <c r="A6962" s="0" t="n">
        <f aca="false">COUPNCD(DATE(2024,2,28),DATE(2024,8,31),1,0)</f>
        <v>45535</v>
      </c>
      <c r="B6962" s="0" t="s">
        <v>6941</v>
      </c>
    </row>
    <row r="6963" customFormat="false" ht="15" hidden="false" customHeight="false" outlineLevel="0" collapsed="false">
      <c r="A6963" s="0" t="n">
        <f aca="false">COUPNUM(DATE(2024,2,28),DATE(2024,8,31),1,0)</f>
        <v>1</v>
      </c>
      <c r="B6963" s="0" t="s">
        <v>6942</v>
      </c>
    </row>
    <row r="6964" customFormat="false" ht="15" hidden="false" customHeight="false" outlineLevel="0" collapsed="false">
      <c r="A6964" s="0" t="n">
        <f aca="false">COUPDAYBS(DATE(2024,2,28),DATE(2024,8,31),1,0)</f>
        <v>178</v>
      </c>
      <c r="B6964" s="0" t="s">
        <v>6943</v>
      </c>
    </row>
    <row r="6965" customFormat="false" ht="15" hidden="false" customHeight="false" outlineLevel="0" collapsed="false">
      <c r="A6965" s="0" t="n">
        <f aca="false">COUPDAYS(DATE(2024,2,28),DATE(2024,8,31),1,0)</f>
        <v>360</v>
      </c>
      <c r="B6965" s="0" t="s">
        <v>6944</v>
      </c>
    </row>
    <row r="6966" customFormat="false" ht="15" hidden="false" customHeight="false" outlineLevel="0" collapsed="false">
      <c r="A6966" s="0" t="n">
        <f aca="false">COUPDAYSNC(DATE(2024,2,28),DATE(2024,8,31),1,0)</f>
        <v>182</v>
      </c>
      <c r="B6966" s="0" t="s">
        <v>6945</v>
      </c>
    </row>
    <row r="6967" customFormat="false" ht="15" hidden="false" customHeight="false" outlineLevel="0" collapsed="false">
      <c r="A6967" s="0" t="n">
        <f aca="false">COUPPCD(DATE(2024,2,28),DATE(2024,8,31),1,1)</f>
        <v>45169</v>
      </c>
      <c r="B6967" s="0" t="s">
        <v>6946</v>
      </c>
    </row>
    <row r="6968" customFormat="false" ht="15" hidden="false" customHeight="false" outlineLevel="0" collapsed="false">
      <c r="A6968" s="0" t="n">
        <f aca="false">COUPNCD(DATE(2024,2,28),DATE(2024,8,31),1,1)</f>
        <v>45535</v>
      </c>
      <c r="B6968" s="0" t="s">
        <v>6947</v>
      </c>
    </row>
    <row r="6969" customFormat="false" ht="15" hidden="false" customHeight="false" outlineLevel="0" collapsed="false">
      <c r="A6969" s="0" t="n">
        <f aca="false">COUPNUM(DATE(2024,2,28),DATE(2024,8,31),1,1)</f>
        <v>1</v>
      </c>
      <c r="B6969" s="0" t="s">
        <v>6948</v>
      </c>
    </row>
    <row r="6970" customFormat="false" ht="15" hidden="false" customHeight="false" outlineLevel="0" collapsed="false">
      <c r="A6970" s="0" t="n">
        <f aca="false">COUPDAYBS(DATE(2024,2,28),DATE(2024,8,31),1,1)</f>
        <v>181</v>
      </c>
      <c r="B6970" s="0" t="s">
        <v>6949</v>
      </c>
    </row>
    <row r="6971" customFormat="false" ht="15" hidden="false" customHeight="false" outlineLevel="0" collapsed="false">
      <c r="A6971" s="0" t="n">
        <f aca="false">COUPDAYS(DATE(2024,2,28),DATE(2024,8,31),1,1)</f>
        <v>366</v>
      </c>
      <c r="B6971" s="0" t="s">
        <v>6950</v>
      </c>
    </row>
    <row r="6972" customFormat="false" ht="15" hidden="false" customHeight="false" outlineLevel="0" collapsed="false">
      <c r="A6972" s="0" t="n">
        <f aca="false">COUPDAYSNC(DATE(2024,2,28),DATE(2024,8,31),1,1)</f>
        <v>185</v>
      </c>
      <c r="B6972" s="0" t="s">
        <v>6951</v>
      </c>
    </row>
    <row r="6973" customFormat="false" ht="15" hidden="false" customHeight="false" outlineLevel="0" collapsed="false">
      <c r="A6973" s="0" t="n">
        <f aca="false">COUPPCD(DATE(2024,2,28),DATE(2024,8,31),1,2)</f>
        <v>45169</v>
      </c>
      <c r="B6973" s="0" t="s">
        <v>6952</v>
      </c>
    </row>
    <row r="6974" customFormat="false" ht="15" hidden="false" customHeight="false" outlineLevel="0" collapsed="false">
      <c r="A6974" s="0" t="n">
        <f aca="false">COUPNCD(DATE(2024,2,28),DATE(2024,8,31),1,2)</f>
        <v>45535</v>
      </c>
      <c r="B6974" s="0" t="s">
        <v>6953</v>
      </c>
    </row>
    <row r="6975" customFormat="false" ht="15" hidden="false" customHeight="false" outlineLevel="0" collapsed="false">
      <c r="A6975" s="0" t="n">
        <f aca="false">COUPNUM(DATE(2024,2,28),DATE(2024,8,31),1,2)</f>
        <v>1</v>
      </c>
      <c r="B6975" s="0" t="s">
        <v>6954</v>
      </c>
    </row>
    <row r="6976" customFormat="false" ht="15" hidden="false" customHeight="false" outlineLevel="0" collapsed="false">
      <c r="A6976" s="0" t="n">
        <f aca="false">COUPDAYBS(DATE(2024,2,28),DATE(2024,8,31),1,2)</f>
        <v>181</v>
      </c>
      <c r="B6976" s="0" t="s">
        <v>6955</v>
      </c>
    </row>
    <row r="6977" customFormat="false" ht="15" hidden="false" customHeight="false" outlineLevel="0" collapsed="false">
      <c r="A6977" s="0" t="n">
        <f aca="false">COUPDAYS(DATE(2024,2,28),DATE(2024,8,31),1,2)</f>
        <v>360</v>
      </c>
      <c r="B6977" s="0" t="s">
        <v>6956</v>
      </c>
    </row>
    <row r="6978" customFormat="false" ht="15" hidden="false" customHeight="false" outlineLevel="0" collapsed="false">
      <c r="A6978" s="0" t="n">
        <f aca="false">COUPDAYSNC(DATE(2024,2,28),DATE(2024,8,31),1,2)</f>
        <v>185</v>
      </c>
      <c r="B6978" s="0" t="s">
        <v>6957</v>
      </c>
    </row>
    <row r="6979" customFormat="false" ht="15" hidden="false" customHeight="false" outlineLevel="0" collapsed="false">
      <c r="A6979" s="0" t="n">
        <f aca="false">COUPPCD(DATE(2024,2,28),DATE(2024,8,31),1,3)</f>
        <v>45169</v>
      </c>
      <c r="B6979" s="0" t="s">
        <v>6958</v>
      </c>
    </row>
    <row r="6980" customFormat="false" ht="15" hidden="false" customHeight="false" outlineLevel="0" collapsed="false">
      <c r="A6980" s="0" t="n">
        <f aca="false">COUPNCD(DATE(2024,2,28),DATE(2024,8,31),1,3)</f>
        <v>45535</v>
      </c>
      <c r="B6980" s="0" t="s">
        <v>6959</v>
      </c>
    </row>
    <row r="6981" customFormat="false" ht="15" hidden="false" customHeight="false" outlineLevel="0" collapsed="false">
      <c r="A6981" s="0" t="n">
        <f aca="false">COUPNUM(DATE(2024,2,28),DATE(2024,8,31),1,3)</f>
        <v>1</v>
      </c>
      <c r="B6981" s="0" t="s">
        <v>6960</v>
      </c>
    </row>
    <row r="6982" customFormat="false" ht="15" hidden="false" customHeight="false" outlineLevel="0" collapsed="false">
      <c r="A6982" s="0" t="n">
        <f aca="false">COUPDAYBS(DATE(2024,2,28),DATE(2024,8,31),1,3)</f>
        <v>181</v>
      </c>
      <c r="B6982" s="0" t="s">
        <v>6961</v>
      </c>
    </row>
    <row r="6983" customFormat="false" ht="15" hidden="false" customHeight="false" outlineLevel="0" collapsed="false">
      <c r="A6983" s="0" t="n">
        <f aca="false">COUPDAYS(DATE(2024,2,28),DATE(2024,8,31),1,3)</f>
        <v>365</v>
      </c>
      <c r="B6983" s="0" t="s">
        <v>6962</v>
      </c>
    </row>
    <row r="6984" customFormat="false" ht="15" hidden="false" customHeight="false" outlineLevel="0" collapsed="false">
      <c r="A6984" s="0" t="n">
        <f aca="false">COUPDAYSNC(DATE(2024,2,28),DATE(2024,8,31),1,3)</f>
        <v>185</v>
      </c>
      <c r="B6984" s="0" t="s">
        <v>6963</v>
      </c>
    </row>
    <row r="6985" customFormat="false" ht="15" hidden="false" customHeight="false" outlineLevel="0" collapsed="false">
      <c r="A6985" s="0" t="n">
        <f aca="false">COUPPCD(DATE(2024,2,28),DATE(2024,8,31),1,4)</f>
        <v>45169</v>
      </c>
      <c r="B6985" s="0" t="s">
        <v>6964</v>
      </c>
    </row>
    <row r="6986" customFormat="false" ht="15" hidden="false" customHeight="false" outlineLevel="0" collapsed="false">
      <c r="A6986" s="0" t="n">
        <f aca="false">COUPNCD(DATE(2024,2,28),DATE(2024,8,31),1,4)</f>
        <v>45535</v>
      </c>
      <c r="B6986" s="0" t="s">
        <v>6965</v>
      </c>
    </row>
    <row r="6987" customFormat="false" ht="15" hidden="false" customHeight="false" outlineLevel="0" collapsed="false">
      <c r="A6987" s="0" t="n">
        <f aca="false">COUPNUM(DATE(2024,2,28),DATE(2024,8,31),1,4)</f>
        <v>1</v>
      </c>
      <c r="B6987" s="0" t="s">
        <v>6966</v>
      </c>
    </row>
    <row r="6988" customFormat="false" ht="15" hidden="false" customHeight="false" outlineLevel="0" collapsed="false">
      <c r="A6988" s="0" t="n">
        <f aca="false">COUPDAYBS(DATE(2024,2,28),DATE(2024,8,31),1,4)</f>
        <v>178</v>
      </c>
      <c r="B6988" s="0" t="s">
        <v>6967</v>
      </c>
    </row>
    <row r="6989" customFormat="false" ht="15" hidden="false" customHeight="false" outlineLevel="0" collapsed="false">
      <c r="A6989" s="0" t="n">
        <f aca="false">COUPDAYS(DATE(2024,2,28),DATE(2024,8,31),1,4)</f>
        <v>360</v>
      </c>
      <c r="B6989" s="0" t="s">
        <v>6968</v>
      </c>
    </row>
    <row r="6990" customFormat="false" ht="15" hidden="false" customHeight="false" outlineLevel="0" collapsed="false">
      <c r="A6990" s="0" t="n">
        <f aca="false">COUPDAYSNC(DATE(2024,2,28),DATE(2024,8,31),1,4)</f>
        <v>182</v>
      </c>
      <c r="B6990" s="0" t="s">
        <v>6969</v>
      </c>
    </row>
    <row r="6991" customFormat="false" ht="15" hidden="false" customHeight="false" outlineLevel="0" collapsed="false">
      <c r="A6991" s="0" t="n">
        <f aca="false">COUPPCD(DATE(2024,2,28),DATE(2024,8,31),2,0)</f>
        <v>45169</v>
      </c>
      <c r="B6991" s="0" t="s">
        <v>6970</v>
      </c>
    </row>
    <row r="6992" customFormat="false" ht="15" hidden="false" customHeight="false" outlineLevel="0" collapsed="false">
      <c r="A6992" s="0" t="n">
        <f aca="false">COUPNCD(DATE(2024,2,28),DATE(2024,8,31),2,0)</f>
        <v>45351</v>
      </c>
      <c r="B6992" s="0" t="s">
        <v>6971</v>
      </c>
    </row>
    <row r="6993" customFormat="false" ht="15" hidden="false" customHeight="false" outlineLevel="0" collapsed="false">
      <c r="A6993" s="0" t="n">
        <f aca="false">COUPNUM(DATE(2024,2,28),DATE(2024,8,31),2,0)</f>
        <v>2</v>
      </c>
      <c r="B6993" s="0" t="s">
        <v>6972</v>
      </c>
    </row>
    <row r="6994" customFormat="false" ht="15" hidden="false" customHeight="false" outlineLevel="0" collapsed="false">
      <c r="A6994" s="0" t="n">
        <f aca="false">COUPDAYBS(DATE(2024,2,28),DATE(2024,8,31),2,0)</f>
        <v>178</v>
      </c>
      <c r="B6994" s="0" t="s">
        <v>6973</v>
      </c>
    </row>
    <row r="6995" customFormat="false" ht="15" hidden="false" customHeight="false" outlineLevel="0" collapsed="false">
      <c r="A6995" s="0" t="n">
        <f aca="false">COUPDAYS(DATE(2024,2,28),DATE(2024,8,31),2,0)</f>
        <v>180</v>
      </c>
      <c r="B6995" s="0" t="s">
        <v>6974</v>
      </c>
    </row>
    <row r="6996" customFormat="false" ht="15" hidden="false" customHeight="false" outlineLevel="0" collapsed="false">
      <c r="A6996" s="0" t="n">
        <f aca="false">COUPDAYSNC(DATE(2024,2,28),DATE(2024,8,31),2,0)</f>
        <v>2</v>
      </c>
      <c r="B6996" s="0" t="s">
        <v>6975</v>
      </c>
    </row>
    <row r="6997" customFormat="false" ht="15" hidden="false" customHeight="false" outlineLevel="0" collapsed="false">
      <c r="A6997" s="0" t="n">
        <f aca="false">COUPPCD(DATE(2024,2,28),DATE(2024,8,31),2,1)</f>
        <v>45169</v>
      </c>
      <c r="B6997" s="0" t="s">
        <v>6976</v>
      </c>
    </row>
    <row r="6998" customFormat="false" ht="15" hidden="false" customHeight="false" outlineLevel="0" collapsed="false">
      <c r="A6998" s="0" t="n">
        <f aca="false">COUPNCD(DATE(2024,2,28),DATE(2024,8,31),2,1)</f>
        <v>45351</v>
      </c>
      <c r="B6998" s="0" t="s">
        <v>6977</v>
      </c>
    </row>
    <row r="6999" customFormat="false" ht="15" hidden="false" customHeight="false" outlineLevel="0" collapsed="false">
      <c r="A6999" s="0" t="n">
        <f aca="false">COUPNUM(DATE(2024,2,28),DATE(2024,8,31),2,1)</f>
        <v>2</v>
      </c>
      <c r="B6999" s="0" t="s">
        <v>6978</v>
      </c>
    </row>
    <row r="7000" customFormat="false" ht="15" hidden="false" customHeight="false" outlineLevel="0" collapsed="false">
      <c r="A7000" s="0" t="n">
        <f aca="false">COUPDAYBS(DATE(2024,2,28),DATE(2024,8,31),2,1)</f>
        <v>181</v>
      </c>
      <c r="B7000" s="0" t="s">
        <v>6979</v>
      </c>
    </row>
    <row r="7001" customFormat="false" ht="15" hidden="false" customHeight="false" outlineLevel="0" collapsed="false">
      <c r="A7001" s="0" t="n">
        <f aca="false">COUPDAYS(DATE(2024,2,28),DATE(2024,8,31),2,1)</f>
        <v>182</v>
      </c>
      <c r="B7001" s="0" t="s">
        <v>6980</v>
      </c>
    </row>
    <row r="7002" customFormat="false" ht="15" hidden="false" customHeight="false" outlineLevel="0" collapsed="false">
      <c r="A7002" s="0" t="n">
        <f aca="false">COUPDAYSNC(DATE(2024,2,28),DATE(2024,8,31),2,1)</f>
        <v>1</v>
      </c>
      <c r="B7002" s="0" t="s">
        <v>6981</v>
      </c>
    </row>
    <row r="7003" customFormat="false" ht="15" hidden="false" customHeight="false" outlineLevel="0" collapsed="false">
      <c r="A7003" s="0" t="n">
        <f aca="false">COUPPCD(DATE(2024,2,28),DATE(2024,8,31),2,2)</f>
        <v>45169</v>
      </c>
      <c r="B7003" s="0" t="s">
        <v>6982</v>
      </c>
    </row>
    <row r="7004" customFormat="false" ht="15" hidden="false" customHeight="false" outlineLevel="0" collapsed="false">
      <c r="A7004" s="0" t="n">
        <f aca="false">COUPNCD(DATE(2024,2,28),DATE(2024,8,31),2,2)</f>
        <v>45351</v>
      </c>
      <c r="B7004" s="0" t="s">
        <v>6983</v>
      </c>
    </row>
    <row r="7005" customFormat="false" ht="15" hidden="false" customHeight="false" outlineLevel="0" collapsed="false">
      <c r="A7005" s="0" t="n">
        <f aca="false">COUPNUM(DATE(2024,2,28),DATE(2024,8,31),2,2)</f>
        <v>2</v>
      </c>
      <c r="B7005" s="0" t="s">
        <v>6984</v>
      </c>
    </row>
    <row r="7006" customFormat="false" ht="15" hidden="false" customHeight="false" outlineLevel="0" collapsed="false">
      <c r="A7006" s="0" t="n">
        <f aca="false">COUPDAYBS(DATE(2024,2,28),DATE(2024,8,31),2,2)</f>
        <v>181</v>
      </c>
      <c r="B7006" s="0" t="s">
        <v>6985</v>
      </c>
    </row>
    <row r="7007" customFormat="false" ht="15" hidden="false" customHeight="false" outlineLevel="0" collapsed="false">
      <c r="A7007" s="0" t="n">
        <f aca="false">COUPDAYS(DATE(2024,2,28),DATE(2024,8,31),2,2)</f>
        <v>180</v>
      </c>
      <c r="B7007" s="0" t="s">
        <v>6986</v>
      </c>
    </row>
    <row r="7008" customFormat="false" ht="15" hidden="false" customHeight="false" outlineLevel="0" collapsed="false">
      <c r="A7008" s="0" t="n">
        <f aca="false">COUPDAYSNC(DATE(2024,2,28),DATE(2024,8,31),2,2)</f>
        <v>1</v>
      </c>
      <c r="B7008" s="0" t="s">
        <v>6987</v>
      </c>
    </row>
    <row r="7009" customFormat="false" ht="15" hidden="false" customHeight="false" outlineLevel="0" collapsed="false">
      <c r="A7009" s="0" t="n">
        <f aca="false">COUPPCD(DATE(2024,2,28),DATE(2024,8,31),2,3)</f>
        <v>45169</v>
      </c>
      <c r="B7009" s="0" t="s">
        <v>6988</v>
      </c>
    </row>
    <row r="7010" customFormat="false" ht="15" hidden="false" customHeight="false" outlineLevel="0" collapsed="false">
      <c r="A7010" s="0" t="n">
        <f aca="false">COUPNCD(DATE(2024,2,28),DATE(2024,8,31),2,3)</f>
        <v>45351</v>
      </c>
      <c r="B7010" s="0" t="s">
        <v>6989</v>
      </c>
    </row>
    <row r="7011" customFormat="false" ht="15" hidden="false" customHeight="false" outlineLevel="0" collapsed="false">
      <c r="A7011" s="0" t="n">
        <f aca="false">COUPNUM(DATE(2024,2,28),DATE(2024,8,31),2,3)</f>
        <v>2</v>
      </c>
      <c r="B7011" s="0" t="s">
        <v>6990</v>
      </c>
    </row>
    <row r="7012" customFormat="false" ht="15" hidden="false" customHeight="false" outlineLevel="0" collapsed="false">
      <c r="A7012" s="0" t="n">
        <f aca="false">COUPDAYBS(DATE(2024,2,28),DATE(2024,8,31),2,3)</f>
        <v>181</v>
      </c>
      <c r="B7012" s="0" t="s">
        <v>6991</v>
      </c>
    </row>
    <row r="7013" customFormat="false" ht="15" hidden="false" customHeight="false" outlineLevel="0" collapsed="false">
      <c r="A7013" s="0" t="n">
        <f aca="false">COUPDAYS(DATE(2024,2,28),DATE(2024,8,31),2,3)</f>
        <v>182.5</v>
      </c>
      <c r="B7013" s="0" t="s">
        <v>6992</v>
      </c>
    </row>
    <row r="7014" customFormat="false" ht="15" hidden="false" customHeight="false" outlineLevel="0" collapsed="false">
      <c r="A7014" s="0" t="n">
        <f aca="false">COUPDAYSNC(DATE(2024,2,28),DATE(2024,8,31),2,3)</f>
        <v>1</v>
      </c>
      <c r="B7014" s="0" t="s">
        <v>6993</v>
      </c>
    </row>
    <row r="7015" customFormat="false" ht="15" hidden="false" customHeight="false" outlineLevel="0" collapsed="false">
      <c r="A7015" s="0" t="n">
        <f aca="false">COUPPCD(DATE(2024,2,28),DATE(2024,8,31),2,4)</f>
        <v>45169</v>
      </c>
      <c r="B7015" s="0" t="s">
        <v>6994</v>
      </c>
    </row>
    <row r="7016" customFormat="false" ht="15" hidden="false" customHeight="false" outlineLevel="0" collapsed="false">
      <c r="A7016" s="0" t="n">
        <f aca="false">COUPNCD(DATE(2024,2,28),DATE(2024,8,31),2,4)</f>
        <v>45351</v>
      </c>
      <c r="B7016" s="0" t="s">
        <v>6995</v>
      </c>
    </row>
    <row r="7017" customFormat="false" ht="15" hidden="false" customHeight="false" outlineLevel="0" collapsed="false">
      <c r="A7017" s="0" t="n">
        <f aca="false">COUPNUM(DATE(2024,2,28),DATE(2024,8,31),2,4)</f>
        <v>2</v>
      </c>
      <c r="B7017" s="0" t="s">
        <v>6996</v>
      </c>
    </row>
    <row r="7018" customFormat="false" ht="15" hidden="false" customHeight="false" outlineLevel="0" collapsed="false">
      <c r="A7018" s="0" t="n">
        <f aca="false">COUPDAYBS(DATE(2024,2,28),DATE(2024,8,31),2,4)</f>
        <v>178</v>
      </c>
      <c r="B7018" s="0" t="s">
        <v>6997</v>
      </c>
    </row>
    <row r="7019" customFormat="false" ht="15" hidden="false" customHeight="false" outlineLevel="0" collapsed="false">
      <c r="A7019" s="0" t="n">
        <f aca="false">COUPDAYS(DATE(2024,2,28),DATE(2024,8,31),2,4)</f>
        <v>180</v>
      </c>
      <c r="B7019" s="0" t="s">
        <v>6998</v>
      </c>
    </row>
    <row r="7020" customFormat="false" ht="15" hidden="false" customHeight="false" outlineLevel="0" collapsed="false">
      <c r="A7020" s="0" t="n">
        <f aca="false">COUPDAYSNC(DATE(2024,2,28),DATE(2024,8,31),2,4)</f>
        <v>2</v>
      </c>
      <c r="B7020" s="0" t="s">
        <v>6999</v>
      </c>
    </row>
    <row r="7021" customFormat="false" ht="15" hidden="false" customHeight="false" outlineLevel="0" collapsed="false">
      <c r="A7021" s="0" t="n">
        <f aca="false">COUPPCD(DATE(2024,2,28),DATE(2024,8,31),4,0)</f>
        <v>45260</v>
      </c>
      <c r="B7021" s="0" t="s">
        <v>7000</v>
      </c>
    </row>
    <row r="7022" customFormat="false" ht="15" hidden="false" customHeight="false" outlineLevel="0" collapsed="false">
      <c r="A7022" s="0" t="n">
        <f aca="false">COUPNCD(DATE(2024,2,28),DATE(2024,8,31),4,0)</f>
        <v>45351</v>
      </c>
      <c r="B7022" s="0" t="s">
        <v>7001</v>
      </c>
    </row>
    <row r="7023" customFormat="false" ht="15" hidden="false" customHeight="false" outlineLevel="0" collapsed="false">
      <c r="A7023" s="0" t="n">
        <f aca="false">COUPNUM(DATE(2024,2,28),DATE(2024,8,31),4,0)</f>
        <v>3</v>
      </c>
      <c r="B7023" s="0" t="s">
        <v>7002</v>
      </c>
    </row>
    <row r="7024" customFormat="false" ht="15" hidden="false" customHeight="false" outlineLevel="0" collapsed="false">
      <c r="A7024" s="0" t="n">
        <f aca="false">COUPDAYBS(DATE(2024,2,28),DATE(2024,8,31),4,0)</f>
        <v>88</v>
      </c>
      <c r="B7024" s="0" t="s">
        <v>7003</v>
      </c>
    </row>
    <row r="7025" customFormat="false" ht="15" hidden="false" customHeight="false" outlineLevel="0" collapsed="false">
      <c r="A7025" s="0" t="n">
        <f aca="false">COUPDAYS(DATE(2024,2,28),DATE(2024,8,31),4,0)</f>
        <v>90</v>
      </c>
      <c r="B7025" s="0" t="s">
        <v>7004</v>
      </c>
    </row>
    <row r="7026" customFormat="false" ht="15" hidden="false" customHeight="false" outlineLevel="0" collapsed="false">
      <c r="A7026" s="0" t="n">
        <f aca="false">COUPDAYSNC(DATE(2024,2,28),DATE(2024,8,31),4,0)</f>
        <v>2</v>
      </c>
      <c r="B7026" s="0" t="s">
        <v>7005</v>
      </c>
    </row>
    <row r="7027" customFormat="false" ht="15" hidden="false" customHeight="false" outlineLevel="0" collapsed="false">
      <c r="A7027" s="0" t="n">
        <f aca="false">COUPPCD(DATE(2024,2,28),DATE(2024,8,31),4,1)</f>
        <v>45260</v>
      </c>
      <c r="B7027" s="0" t="s">
        <v>7006</v>
      </c>
    </row>
    <row r="7028" customFormat="false" ht="15" hidden="false" customHeight="false" outlineLevel="0" collapsed="false">
      <c r="A7028" s="0" t="n">
        <f aca="false">COUPNCD(DATE(2024,2,28),DATE(2024,8,31),4,1)</f>
        <v>45351</v>
      </c>
      <c r="B7028" s="0" t="s">
        <v>7007</v>
      </c>
    </row>
    <row r="7029" customFormat="false" ht="15" hidden="false" customHeight="false" outlineLevel="0" collapsed="false">
      <c r="A7029" s="0" t="n">
        <f aca="false">COUPNUM(DATE(2024,2,28),DATE(2024,8,31),4,1)</f>
        <v>3</v>
      </c>
      <c r="B7029" s="0" t="s">
        <v>7008</v>
      </c>
    </row>
    <row r="7030" customFormat="false" ht="15" hidden="false" customHeight="false" outlineLevel="0" collapsed="false">
      <c r="A7030" s="0" t="n">
        <f aca="false">COUPDAYBS(DATE(2024,2,28),DATE(2024,8,31),4,1)</f>
        <v>90</v>
      </c>
      <c r="B7030" s="0" t="s">
        <v>7009</v>
      </c>
    </row>
    <row r="7031" customFormat="false" ht="15" hidden="false" customHeight="false" outlineLevel="0" collapsed="false">
      <c r="A7031" s="0" t="n">
        <f aca="false">COUPDAYS(DATE(2024,2,28),DATE(2024,8,31),4,1)</f>
        <v>91</v>
      </c>
      <c r="B7031" s="0" t="s">
        <v>7010</v>
      </c>
    </row>
    <row r="7032" customFormat="false" ht="15" hidden="false" customHeight="false" outlineLevel="0" collapsed="false">
      <c r="A7032" s="0" t="n">
        <f aca="false">COUPDAYSNC(DATE(2024,2,28),DATE(2024,8,31),4,1)</f>
        <v>1</v>
      </c>
      <c r="B7032" s="0" t="s">
        <v>7011</v>
      </c>
    </row>
    <row r="7033" customFormat="false" ht="15" hidden="false" customHeight="false" outlineLevel="0" collapsed="false">
      <c r="A7033" s="0" t="n">
        <f aca="false">COUPPCD(DATE(2024,2,28),DATE(2024,8,31),4,2)</f>
        <v>45260</v>
      </c>
      <c r="B7033" s="0" t="s">
        <v>7012</v>
      </c>
    </row>
    <row r="7034" customFormat="false" ht="15" hidden="false" customHeight="false" outlineLevel="0" collapsed="false">
      <c r="A7034" s="0" t="n">
        <f aca="false">COUPNCD(DATE(2024,2,28),DATE(2024,8,31),4,2)</f>
        <v>45351</v>
      </c>
      <c r="B7034" s="0" t="s">
        <v>7013</v>
      </c>
    </row>
    <row r="7035" customFormat="false" ht="15" hidden="false" customHeight="false" outlineLevel="0" collapsed="false">
      <c r="A7035" s="0" t="n">
        <f aca="false">COUPNUM(DATE(2024,2,28),DATE(2024,8,31),4,2)</f>
        <v>3</v>
      </c>
      <c r="B7035" s="0" t="s">
        <v>7014</v>
      </c>
    </row>
    <row r="7036" customFormat="false" ht="15" hidden="false" customHeight="false" outlineLevel="0" collapsed="false">
      <c r="A7036" s="0" t="n">
        <f aca="false">COUPDAYBS(DATE(2024,2,28),DATE(2024,8,31),4,2)</f>
        <v>90</v>
      </c>
      <c r="B7036" s="0" t="s">
        <v>7015</v>
      </c>
    </row>
    <row r="7037" customFormat="false" ht="15" hidden="false" customHeight="false" outlineLevel="0" collapsed="false">
      <c r="A7037" s="0" t="n">
        <f aca="false">COUPDAYS(DATE(2024,2,28),DATE(2024,8,31),4,2)</f>
        <v>90</v>
      </c>
      <c r="B7037" s="0" t="s">
        <v>7016</v>
      </c>
    </row>
    <row r="7038" customFormat="false" ht="15" hidden="false" customHeight="false" outlineLevel="0" collapsed="false">
      <c r="A7038" s="0" t="n">
        <f aca="false">COUPDAYSNC(DATE(2024,2,28),DATE(2024,8,31),4,2)</f>
        <v>1</v>
      </c>
      <c r="B7038" s="0" t="s">
        <v>7017</v>
      </c>
    </row>
    <row r="7039" customFormat="false" ht="15" hidden="false" customHeight="false" outlineLevel="0" collapsed="false">
      <c r="A7039" s="0" t="n">
        <f aca="false">COUPPCD(DATE(2024,2,28),DATE(2024,8,31),4,3)</f>
        <v>45260</v>
      </c>
      <c r="B7039" s="0" t="s">
        <v>7018</v>
      </c>
    </row>
    <row r="7040" customFormat="false" ht="15" hidden="false" customHeight="false" outlineLevel="0" collapsed="false">
      <c r="A7040" s="0" t="n">
        <f aca="false">COUPNCD(DATE(2024,2,28),DATE(2024,8,31),4,3)</f>
        <v>45351</v>
      </c>
      <c r="B7040" s="0" t="s">
        <v>7019</v>
      </c>
    </row>
    <row r="7041" customFormat="false" ht="15" hidden="false" customHeight="false" outlineLevel="0" collapsed="false">
      <c r="A7041" s="0" t="n">
        <f aca="false">COUPNUM(DATE(2024,2,28),DATE(2024,8,31),4,3)</f>
        <v>3</v>
      </c>
      <c r="B7041" s="0" t="s">
        <v>7020</v>
      </c>
    </row>
    <row r="7042" customFormat="false" ht="15" hidden="false" customHeight="false" outlineLevel="0" collapsed="false">
      <c r="A7042" s="0" t="n">
        <f aca="false">COUPDAYBS(DATE(2024,2,28),DATE(2024,8,31),4,3)</f>
        <v>90</v>
      </c>
      <c r="B7042" s="0" t="s">
        <v>7021</v>
      </c>
    </row>
    <row r="7043" customFormat="false" ht="15" hidden="false" customHeight="false" outlineLevel="0" collapsed="false">
      <c r="A7043" s="0" t="n">
        <f aca="false">COUPDAYS(DATE(2024,2,28),DATE(2024,8,31),4,3)</f>
        <v>91.25</v>
      </c>
      <c r="B7043" s="0" t="s">
        <v>7022</v>
      </c>
    </row>
    <row r="7044" customFormat="false" ht="15" hidden="false" customHeight="false" outlineLevel="0" collapsed="false">
      <c r="A7044" s="0" t="n">
        <f aca="false">COUPDAYSNC(DATE(2024,2,28),DATE(2024,8,31),4,3)</f>
        <v>1</v>
      </c>
      <c r="B7044" s="0" t="s">
        <v>7023</v>
      </c>
    </row>
    <row r="7045" customFormat="false" ht="15" hidden="false" customHeight="false" outlineLevel="0" collapsed="false">
      <c r="A7045" s="0" t="n">
        <f aca="false">COUPPCD(DATE(2024,2,28),DATE(2024,8,31),4,4)</f>
        <v>45260</v>
      </c>
      <c r="B7045" s="0" t="s">
        <v>7024</v>
      </c>
    </row>
    <row r="7046" customFormat="false" ht="15" hidden="false" customHeight="false" outlineLevel="0" collapsed="false">
      <c r="A7046" s="0" t="n">
        <f aca="false">COUPNCD(DATE(2024,2,28),DATE(2024,8,31),4,4)</f>
        <v>45351</v>
      </c>
      <c r="B7046" s="0" t="s">
        <v>7025</v>
      </c>
    </row>
    <row r="7047" customFormat="false" ht="15" hidden="false" customHeight="false" outlineLevel="0" collapsed="false">
      <c r="A7047" s="0" t="n">
        <f aca="false">COUPNUM(DATE(2024,2,28),DATE(2024,8,31),4,4)</f>
        <v>3</v>
      </c>
      <c r="B7047" s="0" t="s">
        <v>7026</v>
      </c>
    </row>
    <row r="7048" customFormat="false" ht="15" hidden="false" customHeight="false" outlineLevel="0" collapsed="false">
      <c r="A7048" s="0" t="n">
        <f aca="false">COUPDAYBS(DATE(2024,2,28),DATE(2024,8,31),4,4)</f>
        <v>88</v>
      </c>
      <c r="B7048" s="0" t="s">
        <v>7027</v>
      </c>
    </row>
    <row r="7049" customFormat="false" ht="15" hidden="false" customHeight="false" outlineLevel="0" collapsed="false">
      <c r="A7049" s="0" t="n">
        <f aca="false">COUPDAYS(DATE(2024,2,28),DATE(2024,8,31),4,4)</f>
        <v>90</v>
      </c>
      <c r="B7049" s="0" t="s">
        <v>7028</v>
      </c>
    </row>
    <row r="7050" customFormat="false" ht="15" hidden="false" customHeight="false" outlineLevel="0" collapsed="false">
      <c r="A7050" s="0" t="n">
        <f aca="false">COUPDAYSNC(DATE(2024,2,28),DATE(2024,8,31),4,4)</f>
        <v>2</v>
      </c>
      <c r="B7050" s="0" t="s">
        <v>7029</v>
      </c>
    </row>
    <row r="7051" customFormat="false" ht="15" hidden="false" customHeight="false" outlineLevel="0" collapsed="false">
      <c r="A7051" s="0" t="n">
        <f aca="false">COUPNUM(DATE(2024,2,28),DATE(2024,8,31),2)</f>
        <v>2</v>
      </c>
      <c r="B7051" s="0" t="s">
        <v>7030</v>
      </c>
    </row>
    <row r="7052" customFormat="false" ht="15" hidden="false" customHeight="false" outlineLevel="0" collapsed="false">
      <c r="A7052" s="0" t="n">
        <f aca="false">COUPDAYS(DATE(2024,2,28),DATE(2024,8,31),2)</f>
        <v>180</v>
      </c>
      <c r="B7052" s="0" t="s">
        <v>7031</v>
      </c>
    </row>
    <row r="7053" customFormat="false" ht="15" hidden="false" customHeight="false" outlineLevel="0" collapsed="false">
      <c r="A7053" s="0" t="n">
        <f aca="false">COUPPCD(DATE(2024,3,15),DATE(2024,9,15),1,0)</f>
        <v>45184</v>
      </c>
      <c r="B7053" s="0" t="s">
        <v>7032</v>
      </c>
    </row>
    <row r="7054" customFormat="false" ht="15" hidden="false" customHeight="false" outlineLevel="0" collapsed="false">
      <c r="A7054" s="0" t="n">
        <f aca="false">COUPNCD(DATE(2024,3,15),DATE(2024,9,15),1,0)</f>
        <v>45550</v>
      </c>
      <c r="B7054" s="0" t="s">
        <v>7033</v>
      </c>
    </row>
    <row r="7055" customFormat="false" ht="15" hidden="false" customHeight="false" outlineLevel="0" collapsed="false">
      <c r="A7055" s="0" t="n">
        <f aca="false">COUPNUM(DATE(2024,3,15),DATE(2024,9,15),1,0)</f>
        <v>1</v>
      </c>
      <c r="B7055" s="0" t="s">
        <v>7034</v>
      </c>
    </row>
    <row r="7056" customFormat="false" ht="15" hidden="false" customHeight="false" outlineLevel="0" collapsed="false">
      <c r="A7056" s="0" t="n">
        <f aca="false">COUPDAYBS(DATE(2024,3,15),DATE(2024,9,15),1,0)</f>
        <v>180</v>
      </c>
      <c r="B7056" s="0" t="s">
        <v>7035</v>
      </c>
    </row>
    <row r="7057" customFormat="false" ht="15" hidden="false" customHeight="false" outlineLevel="0" collapsed="false">
      <c r="A7057" s="0" t="n">
        <f aca="false">COUPDAYS(DATE(2024,3,15),DATE(2024,9,15),1,0)</f>
        <v>360</v>
      </c>
      <c r="B7057" s="0" t="s">
        <v>7036</v>
      </c>
    </row>
    <row r="7058" customFormat="false" ht="15" hidden="false" customHeight="false" outlineLevel="0" collapsed="false">
      <c r="A7058" s="0" t="n">
        <f aca="false">COUPDAYSNC(DATE(2024,3,15),DATE(2024,9,15),1,0)</f>
        <v>180</v>
      </c>
      <c r="B7058" s="0" t="s">
        <v>7037</v>
      </c>
    </row>
    <row r="7059" customFormat="false" ht="15" hidden="false" customHeight="false" outlineLevel="0" collapsed="false">
      <c r="A7059" s="0" t="n">
        <f aca="false">COUPPCD(DATE(2024,3,15),DATE(2024,9,15),1,1)</f>
        <v>45184</v>
      </c>
      <c r="B7059" s="0" t="s">
        <v>7038</v>
      </c>
    </row>
    <row r="7060" customFormat="false" ht="15" hidden="false" customHeight="false" outlineLevel="0" collapsed="false">
      <c r="A7060" s="0" t="n">
        <f aca="false">COUPNCD(DATE(2024,3,15),DATE(2024,9,15),1,1)</f>
        <v>45550</v>
      </c>
      <c r="B7060" s="0" t="s">
        <v>7039</v>
      </c>
    </row>
    <row r="7061" customFormat="false" ht="15" hidden="false" customHeight="false" outlineLevel="0" collapsed="false">
      <c r="A7061" s="0" t="n">
        <f aca="false">COUPNUM(DATE(2024,3,15),DATE(2024,9,15),1,1)</f>
        <v>1</v>
      </c>
      <c r="B7061" s="0" t="s">
        <v>7040</v>
      </c>
    </row>
    <row r="7062" customFormat="false" ht="15" hidden="false" customHeight="false" outlineLevel="0" collapsed="false">
      <c r="A7062" s="0" t="n">
        <f aca="false">COUPDAYBS(DATE(2024,3,15),DATE(2024,9,15),1,1)</f>
        <v>182</v>
      </c>
      <c r="B7062" s="0" t="s">
        <v>7041</v>
      </c>
    </row>
    <row r="7063" customFormat="false" ht="15" hidden="false" customHeight="false" outlineLevel="0" collapsed="false">
      <c r="A7063" s="0" t="n">
        <f aca="false">COUPDAYS(DATE(2024,3,15),DATE(2024,9,15),1,1)</f>
        <v>366</v>
      </c>
      <c r="B7063" s="0" t="s">
        <v>7042</v>
      </c>
    </row>
    <row r="7064" customFormat="false" ht="15" hidden="false" customHeight="false" outlineLevel="0" collapsed="false">
      <c r="A7064" s="0" t="n">
        <f aca="false">COUPDAYSNC(DATE(2024,3,15),DATE(2024,9,15),1,1)</f>
        <v>184</v>
      </c>
      <c r="B7064" s="0" t="s">
        <v>7043</v>
      </c>
    </row>
    <row r="7065" customFormat="false" ht="15" hidden="false" customHeight="false" outlineLevel="0" collapsed="false">
      <c r="A7065" s="0" t="n">
        <f aca="false">COUPPCD(DATE(2024,3,15),DATE(2024,9,15),1,2)</f>
        <v>45184</v>
      </c>
      <c r="B7065" s="0" t="s">
        <v>7044</v>
      </c>
    </row>
    <row r="7066" customFormat="false" ht="15" hidden="false" customHeight="false" outlineLevel="0" collapsed="false">
      <c r="A7066" s="0" t="n">
        <f aca="false">COUPNCD(DATE(2024,3,15),DATE(2024,9,15),1,2)</f>
        <v>45550</v>
      </c>
      <c r="B7066" s="0" t="s">
        <v>7045</v>
      </c>
    </row>
    <row r="7067" customFormat="false" ht="15" hidden="false" customHeight="false" outlineLevel="0" collapsed="false">
      <c r="A7067" s="0" t="n">
        <f aca="false">COUPNUM(DATE(2024,3,15),DATE(2024,9,15),1,2)</f>
        <v>1</v>
      </c>
      <c r="B7067" s="0" t="s">
        <v>7046</v>
      </c>
    </row>
    <row r="7068" customFormat="false" ht="15" hidden="false" customHeight="false" outlineLevel="0" collapsed="false">
      <c r="A7068" s="0" t="n">
        <f aca="false">COUPDAYBS(DATE(2024,3,15),DATE(2024,9,15),1,2)</f>
        <v>182</v>
      </c>
      <c r="B7068" s="0" t="s">
        <v>7047</v>
      </c>
    </row>
    <row r="7069" customFormat="false" ht="15" hidden="false" customHeight="false" outlineLevel="0" collapsed="false">
      <c r="A7069" s="0" t="n">
        <f aca="false">COUPDAYS(DATE(2024,3,15),DATE(2024,9,15),1,2)</f>
        <v>360</v>
      </c>
      <c r="B7069" s="0" t="s">
        <v>7048</v>
      </c>
    </row>
    <row r="7070" customFormat="false" ht="15" hidden="false" customHeight="false" outlineLevel="0" collapsed="false">
      <c r="A7070" s="0" t="n">
        <f aca="false">COUPDAYSNC(DATE(2024,3,15),DATE(2024,9,15),1,2)</f>
        <v>184</v>
      </c>
      <c r="B7070" s="0" t="s">
        <v>7049</v>
      </c>
    </row>
    <row r="7071" customFormat="false" ht="15" hidden="false" customHeight="false" outlineLevel="0" collapsed="false">
      <c r="A7071" s="0" t="n">
        <f aca="false">COUPPCD(DATE(2024,3,15),DATE(2024,9,15),1,3)</f>
        <v>45184</v>
      </c>
      <c r="B7071" s="0" t="s">
        <v>7050</v>
      </c>
    </row>
    <row r="7072" customFormat="false" ht="15" hidden="false" customHeight="false" outlineLevel="0" collapsed="false">
      <c r="A7072" s="0" t="n">
        <f aca="false">COUPNCD(DATE(2024,3,15),DATE(2024,9,15),1,3)</f>
        <v>45550</v>
      </c>
      <c r="B7072" s="0" t="s">
        <v>7051</v>
      </c>
    </row>
    <row r="7073" customFormat="false" ht="15" hidden="false" customHeight="false" outlineLevel="0" collapsed="false">
      <c r="A7073" s="0" t="n">
        <f aca="false">COUPNUM(DATE(2024,3,15),DATE(2024,9,15),1,3)</f>
        <v>1</v>
      </c>
      <c r="B7073" s="0" t="s">
        <v>7052</v>
      </c>
    </row>
    <row r="7074" customFormat="false" ht="15" hidden="false" customHeight="false" outlineLevel="0" collapsed="false">
      <c r="A7074" s="0" t="n">
        <f aca="false">COUPDAYBS(DATE(2024,3,15),DATE(2024,9,15),1,3)</f>
        <v>182</v>
      </c>
      <c r="B7074" s="0" t="s">
        <v>7053</v>
      </c>
    </row>
    <row r="7075" customFormat="false" ht="15" hidden="false" customHeight="false" outlineLevel="0" collapsed="false">
      <c r="A7075" s="0" t="n">
        <f aca="false">COUPDAYS(DATE(2024,3,15),DATE(2024,9,15),1,3)</f>
        <v>365</v>
      </c>
      <c r="B7075" s="0" t="s">
        <v>7054</v>
      </c>
    </row>
    <row r="7076" customFormat="false" ht="15" hidden="false" customHeight="false" outlineLevel="0" collapsed="false">
      <c r="A7076" s="0" t="n">
        <f aca="false">COUPDAYSNC(DATE(2024,3,15),DATE(2024,9,15),1,3)</f>
        <v>184</v>
      </c>
      <c r="B7076" s="0" t="s">
        <v>7055</v>
      </c>
    </row>
    <row r="7077" customFormat="false" ht="15" hidden="false" customHeight="false" outlineLevel="0" collapsed="false">
      <c r="A7077" s="0" t="n">
        <f aca="false">COUPPCD(DATE(2024,3,15),DATE(2024,9,15),1,4)</f>
        <v>45184</v>
      </c>
      <c r="B7077" s="0" t="s">
        <v>7056</v>
      </c>
    </row>
    <row r="7078" customFormat="false" ht="15" hidden="false" customHeight="false" outlineLevel="0" collapsed="false">
      <c r="A7078" s="0" t="n">
        <f aca="false">COUPNCD(DATE(2024,3,15),DATE(2024,9,15),1,4)</f>
        <v>45550</v>
      </c>
      <c r="B7078" s="0" t="s">
        <v>7057</v>
      </c>
    </row>
    <row r="7079" customFormat="false" ht="15" hidden="false" customHeight="false" outlineLevel="0" collapsed="false">
      <c r="A7079" s="0" t="n">
        <f aca="false">COUPNUM(DATE(2024,3,15),DATE(2024,9,15),1,4)</f>
        <v>1</v>
      </c>
      <c r="B7079" s="0" t="s">
        <v>7058</v>
      </c>
    </row>
    <row r="7080" customFormat="false" ht="15" hidden="false" customHeight="false" outlineLevel="0" collapsed="false">
      <c r="A7080" s="0" t="n">
        <f aca="false">COUPDAYBS(DATE(2024,3,15),DATE(2024,9,15),1,4)</f>
        <v>180</v>
      </c>
      <c r="B7080" s="0" t="s">
        <v>7059</v>
      </c>
    </row>
    <row r="7081" customFormat="false" ht="15" hidden="false" customHeight="false" outlineLevel="0" collapsed="false">
      <c r="A7081" s="0" t="n">
        <f aca="false">COUPDAYS(DATE(2024,3,15),DATE(2024,9,15),1,4)</f>
        <v>360</v>
      </c>
      <c r="B7081" s="0" t="s">
        <v>7060</v>
      </c>
    </row>
    <row r="7082" customFormat="false" ht="15" hidden="false" customHeight="false" outlineLevel="0" collapsed="false">
      <c r="A7082" s="0" t="n">
        <f aca="false">COUPDAYSNC(DATE(2024,3,15),DATE(2024,9,15),1,4)</f>
        <v>180</v>
      </c>
      <c r="B7082" s="0" t="s">
        <v>7061</v>
      </c>
    </row>
    <row r="7083" customFormat="false" ht="15" hidden="false" customHeight="false" outlineLevel="0" collapsed="false">
      <c r="A7083" s="0" t="n">
        <f aca="false">COUPPCD(DATE(2024,3,15),DATE(2024,9,15),2,0)</f>
        <v>45366</v>
      </c>
      <c r="B7083" s="0" t="s">
        <v>7062</v>
      </c>
    </row>
    <row r="7084" customFormat="false" ht="15" hidden="false" customHeight="false" outlineLevel="0" collapsed="false">
      <c r="A7084" s="0" t="n">
        <f aca="false">COUPNCD(DATE(2024,3,15),DATE(2024,9,15),2,0)</f>
        <v>45550</v>
      </c>
      <c r="B7084" s="0" t="s">
        <v>7063</v>
      </c>
    </row>
    <row r="7085" customFormat="false" ht="15" hidden="false" customHeight="false" outlineLevel="0" collapsed="false">
      <c r="A7085" s="0" t="n">
        <f aca="false">COUPNUM(DATE(2024,3,15),DATE(2024,9,15),2,0)</f>
        <v>1</v>
      </c>
      <c r="B7085" s="0" t="s">
        <v>7064</v>
      </c>
    </row>
    <row r="7086" customFormat="false" ht="15" hidden="false" customHeight="false" outlineLevel="0" collapsed="false">
      <c r="A7086" s="0" t="n">
        <f aca="false">COUPDAYBS(DATE(2024,3,15),DATE(2024,9,15),2,0)</f>
        <v>0</v>
      </c>
      <c r="B7086" s="0" t="s">
        <v>7065</v>
      </c>
    </row>
    <row r="7087" customFormat="false" ht="15" hidden="false" customHeight="false" outlineLevel="0" collapsed="false">
      <c r="A7087" s="0" t="n">
        <f aca="false">COUPDAYS(DATE(2024,3,15),DATE(2024,9,15),2,0)</f>
        <v>180</v>
      </c>
      <c r="B7087" s="0" t="s">
        <v>7066</v>
      </c>
    </row>
    <row r="7088" customFormat="false" ht="15" hidden="false" customHeight="false" outlineLevel="0" collapsed="false">
      <c r="A7088" s="0" t="n">
        <f aca="false">COUPDAYSNC(DATE(2024,3,15),DATE(2024,9,15),2,0)</f>
        <v>180</v>
      </c>
      <c r="B7088" s="0" t="s">
        <v>7067</v>
      </c>
    </row>
    <row r="7089" customFormat="false" ht="15" hidden="false" customHeight="false" outlineLevel="0" collapsed="false">
      <c r="A7089" s="0" t="n">
        <f aca="false">COUPPCD(DATE(2024,3,15),DATE(2024,9,15),2,1)</f>
        <v>45366</v>
      </c>
      <c r="B7089" s="0" t="s">
        <v>7068</v>
      </c>
    </row>
    <row r="7090" customFormat="false" ht="15" hidden="false" customHeight="false" outlineLevel="0" collapsed="false">
      <c r="A7090" s="0" t="n">
        <f aca="false">COUPNCD(DATE(2024,3,15),DATE(2024,9,15),2,1)</f>
        <v>45550</v>
      </c>
      <c r="B7090" s="0" t="s">
        <v>7069</v>
      </c>
    </row>
    <row r="7091" customFormat="false" ht="15" hidden="false" customHeight="false" outlineLevel="0" collapsed="false">
      <c r="A7091" s="0" t="n">
        <f aca="false">COUPNUM(DATE(2024,3,15),DATE(2024,9,15),2,1)</f>
        <v>1</v>
      </c>
      <c r="B7091" s="0" t="s">
        <v>7070</v>
      </c>
    </row>
    <row r="7092" customFormat="false" ht="15" hidden="false" customHeight="false" outlineLevel="0" collapsed="false">
      <c r="A7092" s="0" t="n">
        <f aca="false">COUPDAYBS(DATE(2024,3,15),DATE(2024,9,15),2,1)</f>
        <v>0</v>
      </c>
      <c r="B7092" s="0" t="s">
        <v>7071</v>
      </c>
    </row>
    <row r="7093" customFormat="false" ht="15" hidden="false" customHeight="false" outlineLevel="0" collapsed="false">
      <c r="A7093" s="0" t="n">
        <f aca="false">COUPDAYS(DATE(2024,3,15),DATE(2024,9,15),2,1)</f>
        <v>184</v>
      </c>
      <c r="B7093" s="0" t="s">
        <v>7072</v>
      </c>
    </row>
    <row r="7094" customFormat="false" ht="15" hidden="false" customHeight="false" outlineLevel="0" collapsed="false">
      <c r="A7094" s="0" t="n">
        <f aca="false">COUPDAYSNC(DATE(2024,3,15),DATE(2024,9,15),2,1)</f>
        <v>184</v>
      </c>
      <c r="B7094" s="0" t="s">
        <v>7073</v>
      </c>
    </row>
    <row r="7095" customFormat="false" ht="15" hidden="false" customHeight="false" outlineLevel="0" collapsed="false">
      <c r="A7095" s="0" t="n">
        <f aca="false">COUPPCD(DATE(2024,3,15),DATE(2024,9,15),2,2)</f>
        <v>45366</v>
      </c>
      <c r="B7095" s="0" t="s">
        <v>7074</v>
      </c>
    </row>
    <row r="7096" customFormat="false" ht="15" hidden="false" customHeight="false" outlineLevel="0" collapsed="false">
      <c r="A7096" s="0" t="n">
        <f aca="false">COUPNCD(DATE(2024,3,15),DATE(2024,9,15),2,2)</f>
        <v>45550</v>
      </c>
      <c r="B7096" s="0" t="s">
        <v>7075</v>
      </c>
    </row>
    <row r="7097" customFormat="false" ht="15" hidden="false" customHeight="false" outlineLevel="0" collapsed="false">
      <c r="A7097" s="0" t="n">
        <f aca="false">COUPNUM(DATE(2024,3,15),DATE(2024,9,15),2,2)</f>
        <v>1</v>
      </c>
      <c r="B7097" s="0" t="s">
        <v>7076</v>
      </c>
    </row>
    <row r="7098" customFormat="false" ht="15" hidden="false" customHeight="false" outlineLevel="0" collapsed="false">
      <c r="A7098" s="0" t="n">
        <f aca="false">COUPDAYBS(DATE(2024,3,15),DATE(2024,9,15),2,2)</f>
        <v>0</v>
      </c>
      <c r="B7098" s="0" t="s">
        <v>7077</v>
      </c>
    </row>
    <row r="7099" customFormat="false" ht="15" hidden="false" customHeight="false" outlineLevel="0" collapsed="false">
      <c r="A7099" s="0" t="n">
        <f aca="false">COUPDAYS(DATE(2024,3,15),DATE(2024,9,15),2,2)</f>
        <v>180</v>
      </c>
      <c r="B7099" s="0" t="s">
        <v>7078</v>
      </c>
    </row>
    <row r="7100" customFormat="false" ht="15" hidden="false" customHeight="false" outlineLevel="0" collapsed="false">
      <c r="A7100" s="0" t="n">
        <f aca="false">COUPDAYSNC(DATE(2024,3,15),DATE(2024,9,15),2,2)</f>
        <v>184</v>
      </c>
      <c r="B7100" s="0" t="s">
        <v>7079</v>
      </c>
    </row>
    <row r="7101" customFormat="false" ht="15" hidden="false" customHeight="false" outlineLevel="0" collapsed="false">
      <c r="A7101" s="0" t="n">
        <f aca="false">COUPPCD(DATE(2024,3,15),DATE(2024,9,15),2,3)</f>
        <v>45366</v>
      </c>
      <c r="B7101" s="0" t="s">
        <v>7080</v>
      </c>
    </row>
    <row r="7102" customFormat="false" ht="15" hidden="false" customHeight="false" outlineLevel="0" collapsed="false">
      <c r="A7102" s="0" t="n">
        <f aca="false">COUPNCD(DATE(2024,3,15),DATE(2024,9,15),2,3)</f>
        <v>45550</v>
      </c>
      <c r="B7102" s="0" t="s">
        <v>7081</v>
      </c>
    </row>
    <row r="7103" customFormat="false" ht="15" hidden="false" customHeight="false" outlineLevel="0" collapsed="false">
      <c r="A7103" s="0" t="n">
        <f aca="false">COUPNUM(DATE(2024,3,15),DATE(2024,9,15),2,3)</f>
        <v>1</v>
      </c>
      <c r="B7103" s="0" t="s">
        <v>7082</v>
      </c>
    </row>
    <row r="7104" customFormat="false" ht="15" hidden="false" customHeight="false" outlineLevel="0" collapsed="false">
      <c r="A7104" s="0" t="n">
        <f aca="false">COUPDAYBS(DATE(2024,3,15),DATE(2024,9,15),2,3)</f>
        <v>0</v>
      </c>
      <c r="B7104" s="0" t="s">
        <v>7083</v>
      </c>
    </row>
    <row r="7105" customFormat="false" ht="15" hidden="false" customHeight="false" outlineLevel="0" collapsed="false">
      <c r="A7105" s="0" t="n">
        <f aca="false">COUPDAYS(DATE(2024,3,15),DATE(2024,9,15),2,3)</f>
        <v>182.5</v>
      </c>
      <c r="B7105" s="0" t="s">
        <v>7084</v>
      </c>
    </row>
    <row r="7106" customFormat="false" ht="15" hidden="false" customHeight="false" outlineLevel="0" collapsed="false">
      <c r="A7106" s="0" t="n">
        <f aca="false">COUPDAYSNC(DATE(2024,3,15),DATE(2024,9,15),2,3)</f>
        <v>184</v>
      </c>
      <c r="B7106" s="0" t="s">
        <v>7085</v>
      </c>
    </row>
    <row r="7107" customFormat="false" ht="15" hidden="false" customHeight="false" outlineLevel="0" collapsed="false">
      <c r="A7107" s="0" t="n">
        <f aca="false">COUPPCD(DATE(2024,3,15),DATE(2024,9,15),2,4)</f>
        <v>45366</v>
      </c>
      <c r="B7107" s="0" t="s">
        <v>7086</v>
      </c>
    </row>
    <row r="7108" customFormat="false" ht="15" hidden="false" customHeight="false" outlineLevel="0" collapsed="false">
      <c r="A7108" s="0" t="n">
        <f aca="false">COUPNCD(DATE(2024,3,15),DATE(2024,9,15),2,4)</f>
        <v>45550</v>
      </c>
      <c r="B7108" s="0" t="s">
        <v>7087</v>
      </c>
    </row>
    <row r="7109" customFormat="false" ht="15" hidden="false" customHeight="false" outlineLevel="0" collapsed="false">
      <c r="A7109" s="0" t="n">
        <f aca="false">COUPNUM(DATE(2024,3,15),DATE(2024,9,15),2,4)</f>
        <v>1</v>
      </c>
      <c r="B7109" s="0" t="s">
        <v>7088</v>
      </c>
    </row>
    <row r="7110" customFormat="false" ht="15" hidden="false" customHeight="false" outlineLevel="0" collapsed="false">
      <c r="A7110" s="0" t="n">
        <f aca="false">COUPDAYBS(DATE(2024,3,15),DATE(2024,9,15),2,4)</f>
        <v>0</v>
      </c>
      <c r="B7110" s="0" t="s">
        <v>7089</v>
      </c>
    </row>
    <row r="7111" customFormat="false" ht="15" hidden="false" customHeight="false" outlineLevel="0" collapsed="false">
      <c r="A7111" s="0" t="n">
        <f aca="false">COUPDAYS(DATE(2024,3,15),DATE(2024,9,15),2,4)</f>
        <v>180</v>
      </c>
      <c r="B7111" s="0" t="s">
        <v>7090</v>
      </c>
    </row>
    <row r="7112" customFormat="false" ht="15" hidden="false" customHeight="false" outlineLevel="0" collapsed="false">
      <c r="A7112" s="0" t="n">
        <f aca="false">COUPDAYSNC(DATE(2024,3,15),DATE(2024,9,15),2,4)</f>
        <v>180</v>
      </c>
      <c r="B7112" s="0" t="s">
        <v>7091</v>
      </c>
    </row>
    <row r="7113" customFormat="false" ht="15" hidden="false" customHeight="false" outlineLevel="0" collapsed="false">
      <c r="A7113" s="0" t="n">
        <f aca="false">COUPPCD(DATE(2024,3,15),DATE(2024,9,15),4,0)</f>
        <v>45366</v>
      </c>
      <c r="B7113" s="0" t="s">
        <v>7092</v>
      </c>
    </row>
    <row r="7114" customFormat="false" ht="15" hidden="false" customHeight="false" outlineLevel="0" collapsed="false">
      <c r="A7114" s="0" t="n">
        <f aca="false">COUPNCD(DATE(2024,3,15),DATE(2024,9,15),4,0)</f>
        <v>45458</v>
      </c>
      <c r="B7114" s="0" t="s">
        <v>7093</v>
      </c>
    </row>
    <row r="7115" customFormat="false" ht="15" hidden="false" customHeight="false" outlineLevel="0" collapsed="false">
      <c r="A7115" s="0" t="n">
        <f aca="false">COUPNUM(DATE(2024,3,15),DATE(2024,9,15),4,0)</f>
        <v>2</v>
      </c>
      <c r="B7115" s="0" t="s">
        <v>7094</v>
      </c>
    </row>
    <row r="7116" customFormat="false" ht="15" hidden="false" customHeight="false" outlineLevel="0" collapsed="false">
      <c r="A7116" s="0" t="n">
        <f aca="false">COUPDAYBS(DATE(2024,3,15),DATE(2024,9,15),4,0)</f>
        <v>0</v>
      </c>
      <c r="B7116" s="0" t="s">
        <v>7095</v>
      </c>
    </row>
    <row r="7117" customFormat="false" ht="15" hidden="false" customHeight="false" outlineLevel="0" collapsed="false">
      <c r="A7117" s="0" t="n">
        <f aca="false">COUPDAYS(DATE(2024,3,15),DATE(2024,9,15),4,0)</f>
        <v>90</v>
      </c>
      <c r="B7117" s="0" t="s">
        <v>7096</v>
      </c>
    </row>
    <row r="7118" customFormat="false" ht="15" hidden="false" customHeight="false" outlineLevel="0" collapsed="false">
      <c r="A7118" s="0" t="n">
        <f aca="false">COUPDAYSNC(DATE(2024,3,15),DATE(2024,9,15),4,0)</f>
        <v>90</v>
      </c>
      <c r="B7118" s="0" t="s">
        <v>7097</v>
      </c>
    </row>
    <row r="7119" customFormat="false" ht="15" hidden="false" customHeight="false" outlineLevel="0" collapsed="false">
      <c r="A7119" s="0" t="n">
        <f aca="false">COUPPCD(DATE(2024,3,15),DATE(2024,9,15),4,1)</f>
        <v>45366</v>
      </c>
      <c r="B7119" s="0" t="s">
        <v>7098</v>
      </c>
    </row>
    <row r="7120" customFormat="false" ht="15" hidden="false" customHeight="false" outlineLevel="0" collapsed="false">
      <c r="A7120" s="0" t="n">
        <f aca="false">COUPNCD(DATE(2024,3,15),DATE(2024,9,15),4,1)</f>
        <v>45458</v>
      </c>
      <c r="B7120" s="0" t="s">
        <v>7099</v>
      </c>
    </row>
    <row r="7121" customFormat="false" ht="15" hidden="false" customHeight="false" outlineLevel="0" collapsed="false">
      <c r="A7121" s="0" t="n">
        <f aca="false">COUPNUM(DATE(2024,3,15),DATE(2024,9,15),4,1)</f>
        <v>2</v>
      </c>
      <c r="B7121" s="0" t="s">
        <v>7100</v>
      </c>
    </row>
    <row r="7122" customFormat="false" ht="15" hidden="false" customHeight="false" outlineLevel="0" collapsed="false">
      <c r="A7122" s="0" t="n">
        <f aca="false">COUPDAYBS(DATE(2024,3,15),DATE(2024,9,15),4,1)</f>
        <v>0</v>
      </c>
      <c r="B7122" s="0" t="s">
        <v>7101</v>
      </c>
    </row>
    <row r="7123" customFormat="false" ht="15" hidden="false" customHeight="false" outlineLevel="0" collapsed="false">
      <c r="A7123" s="0" t="n">
        <f aca="false">COUPDAYS(DATE(2024,3,15),DATE(2024,9,15),4,1)</f>
        <v>92</v>
      </c>
      <c r="B7123" s="0" t="s">
        <v>7102</v>
      </c>
    </row>
    <row r="7124" customFormat="false" ht="15" hidden="false" customHeight="false" outlineLevel="0" collapsed="false">
      <c r="A7124" s="0" t="n">
        <f aca="false">COUPDAYSNC(DATE(2024,3,15),DATE(2024,9,15),4,1)</f>
        <v>92</v>
      </c>
      <c r="B7124" s="0" t="s">
        <v>7103</v>
      </c>
    </row>
    <row r="7125" customFormat="false" ht="15" hidden="false" customHeight="false" outlineLevel="0" collapsed="false">
      <c r="A7125" s="0" t="n">
        <f aca="false">COUPPCD(DATE(2024,3,15),DATE(2024,9,15),4,2)</f>
        <v>45366</v>
      </c>
      <c r="B7125" s="0" t="s">
        <v>7104</v>
      </c>
    </row>
    <row r="7126" customFormat="false" ht="15" hidden="false" customHeight="false" outlineLevel="0" collapsed="false">
      <c r="A7126" s="0" t="n">
        <f aca="false">COUPNCD(DATE(2024,3,15),DATE(2024,9,15),4,2)</f>
        <v>45458</v>
      </c>
      <c r="B7126" s="0" t="s">
        <v>7105</v>
      </c>
    </row>
    <row r="7127" customFormat="false" ht="15" hidden="false" customHeight="false" outlineLevel="0" collapsed="false">
      <c r="A7127" s="0" t="n">
        <f aca="false">COUPNUM(DATE(2024,3,15),DATE(2024,9,15),4,2)</f>
        <v>2</v>
      </c>
      <c r="B7127" s="0" t="s">
        <v>7106</v>
      </c>
    </row>
    <row r="7128" customFormat="false" ht="15" hidden="false" customHeight="false" outlineLevel="0" collapsed="false">
      <c r="A7128" s="0" t="n">
        <f aca="false">COUPDAYBS(DATE(2024,3,15),DATE(2024,9,15),4,2)</f>
        <v>0</v>
      </c>
      <c r="B7128" s="0" t="s">
        <v>7107</v>
      </c>
    </row>
    <row r="7129" customFormat="false" ht="15" hidden="false" customHeight="false" outlineLevel="0" collapsed="false">
      <c r="A7129" s="0" t="n">
        <f aca="false">COUPDAYS(DATE(2024,3,15),DATE(2024,9,15),4,2)</f>
        <v>90</v>
      </c>
      <c r="B7129" s="0" t="s">
        <v>7108</v>
      </c>
    </row>
    <row r="7130" customFormat="false" ht="15" hidden="false" customHeight="false" outlineLevel="0" collapsed="false">
      <c r="A7130" s="0" t="n">
        <f aca="false">COUPDAYSNC(DATE(2024,3,15),DATE(2024,9,15),4,2)</f>
        <v>92</v>
      </c>
      <c r="B7130" s="0" t="s">
        <v>7109</v>
      </c>
    </row>
    <row r="7131" customFormat="false" ht="15" hidden="false" customHeight="false" outlineLevel="0" collapsed="false">
      <c r="A7131" s="0" t="n">
        <f aca="false">COUPPCD(DATE(2024,3,15),DATE(2024,9,15),4,3)</f>
        <v>45366</v>
      </c>
      <c r="B7131" s="0" t="s">
        <v>7110</v>
      </c>
    </row>
    <row r="7132" customFormat="false" ht="15" hidden="false" customHeight="false" outlineLevel="0" collapsed="false">
      <c r="A7132" s="0" t="n">
        <f aca="false">COUPNCD(DATE(2024,3,15),DATE(2024,9,15),4,3)</f>
        <v>45458</v>
      </c>
      <c r="B7132" s="0" t="s">
        <v>7111</v>
      </c>
    </row>
    <row r="7133" customFormat="false" ht="15" hidden="false" customHeight="false" outlineLevel="0" collapsed="false">
      <c r="A7133" s="0" t="n">
        <f aca="false">COUPNUM(DATE(2024,3,15),DATE(2024,9,15),4,3)</f>
        <v>2</v>
      </c>
      <c r="B7133" s="0" t="s">
        <v>7112</v>
      </c>
    </row>
    <row r="7134" customFormat="false" ht="15" hidden="false" customHeight="false" outlineLevel="0" collapsed="false">
      <c r="A7134" s="0" t="n">
        <f aca="false">COUPDAYBS(DATE(2024,3,15),DATE(2024,9,15),4,3)</f>
        <v>0</v>
      </c>
      <c r="B7134" s="0" t="s">
        <v>7113</v>
      </c>
    </row>
    <row r="7135" customFormat="false" ht="15" hidden="false" customHeight="false" outlineLevel="0" collapsed="false">
      <c r="A7135" s="0" t="n">
        <f aca="false">COUPDAYS(DATE(2024,3,15),DATE(2024,9,15),4,3)</f>
        <v>91.25</v>
      </c>
      <c r="B7135" s="0" t="s">
        <v>7114</v>
      </c>
    </row>
    <row r="7136" customFormat="false" ht="15" hidden="false" customHeight="false" outlineLevel="0" collapsed="false">
      <c r="A7136" s="0" t="n">
        <f aca="false">COUPDAYSNC(DATE(2024,3,15),DATE(2024,9,15),4,3)</f>
        <v>92</v>
      </c>
      <c r="B7136" s="0" t="s">
        <v>7115</v>
      </c>
    </row>
    <row r="7137" customFormat="false" ht="15" hidden="false" customHeight="false" outlineLevel="0" collapsed="false">
      <c r="A7137" s="0" t="n">
        <f aca="false">COUPPCD(DATE(2024,3,15),DATE(2024,9,15),4,4)</f>
        <v>45366</v>
      </c>
      <c r="B7137" s="0" t="s">
        <v>7116</v>
      </c>
    </row>
    <row r="7138" customFormat="false" ht="15" hidden="false" customHeight="false" outlineLevel="0" collapsed="false">
      <c r="A7138" s="0" t="n">
        <f aca="false">COUPNCD(DATE(2024,3,15),DATE(2024,9,15),4,4)</f>
        <v>45458</v>
      </c>
      <c r="B7138" s="0" t="s">
        <v>7117</v>
      </c>
    </row>
    <row r="7139" customFormat="false" ht="15" hidden="false" customHeight="false" outlineLevel="0" collapsed="false">
      <c r="A7139" s="0" t="n">
        <f aca="false">COUPNUM(DATE(2024,3,15),DATE(2024,9,15),4,4)</f>
        <v>2</v>
      </c>
      <c r="B7139" s="0" t="s">
        <v>7118</v>
      </c>
    </row>
    <row r="7140" customFormat="false" ht="15" hidden="false" customHeight="false" outlineLevel="0" collapsed="false">
      <c r="A7140" s="0" t="n">
        <f aca="false">COUPDAYBS(DATE(2024,3,15),DATE(2024,9,15),4,4)</f>
        <v>0</v>
      </c>
      <c r="B7140" s="0" t="s">
        <v>7119</v>
      </c>
    </row>
    <row r="7141" customFormat="false" ht="15" hidden="false" customHeight="false" outlineLevel="0" collapsed="false">
      <c r="A7141" s="0" t="n">
        <f aca="false">COUPDAYS(DATE(2024,3,15),DATE(2024,9,15),4,4)</f>
        <v>90</v>
      </c>
      <c r="B7141" s="0" t="s">
        <v>7120</v>
      </c>
    </row>
    <row r="7142" customFormat="false" ht="15" hidden="false" customHeight="false" outlineLevel="0" collapsed="false">
      <c r="A7142" s="0" t="n">
        <f aca="false">COUPDAYSNC(DATE(2024,3,15),DATE(2024,9,15),4,4)</f>
        <v>90</v>
      </c>
      <c r="B7142" s="0" t="s">
        <v>7121</v>
      </c>
    </row>
    <row r="7143" customFormat="false" ht="15" hidden="false" customHeight="false" outlineLevel="0" collapsed="false">
      <c r="A7143" s="0" t="n">
        <f aca="false">COUPNUM(DATE(2024,3,15),DATE(2024,9,15),2)</f>
        <v>1</v>
      </c>
      <c r="B7143" s="0" t="s">
        <v>7122</v>
      </c>
    </row>
    <row r="7144" customFormat="false" ht="15" hidden="false" customHeight="false" outlineLevel="0" collapsed="false">
      <c r="A7144" s="0" t="n">
        <f aca="false">COUPDAYS(DATE(2024,3,15),DATE(2024,9,15),2)</f>
        <v>180</v>
      </c>
      <c r="B7144" s="0" t="s">
        <v>7123</v>
      </c>
    </row>
    <row r="7145" customFormat="false" ht="15" hidden="false" customHeight="false" outlineLevel="0" collapsed="false">
      <c r="A7145" s="0" t="n">
        <f aca="false">COUPPCD(DATE(2024,3,1),DATE(2025,9,1),1,0)</f>
        <v>45170</v>
      </c>
      <c r="B7145" s="0" t="s">
        <v>7124</v>
      </c>
    </row>
    <row r="7146" customFormat="false" ht="15" hidden="false" customHeight="false" outlineLevel="0" collapsed="false">
      <c r="A7146" s="0" t="n">
        <f aca="false">COUPNCD(DATE(2024,3,1),DATE(2025,9,1),1,0)</f>
        <v>45536</v>
      </c>
      <c r="B7146" s="0" t="s">
        <v>7125</v>
      </c>
    </row>
    <row r="7147" customFormat="false" ht="15" hidden="false" customHeight="false" outlineLevel="0" collapsed="false">
      <c r="A7147" s="0" t="n">
        <f aca="false">COUPNUM(DATE(2024,3,1),DATE(2025,9,1),1,0)</f>
        <v>2</v>
      </c>
      <c r="B7147" s="0" t="s">
        <v>7126</v>
      </c>
    </row>
    <row r="7148" customFormat="false" ht="15" hidden="false" customHeight="false" outlineLevel="0" collapsed="false">
      <c r="A7148" s="0" t="n">
        <f aca="false">COUPDAYBS(DATE(2024,3,1),DATE(2025,9,1),1,0)</f>
        <v>180</v>
      </c>
      <c r="B7148" s="0" t="s">
        <v>7127</v>
      </c>
    </row>
    <row r="7149" customFormat="false" ht="15" hidden="false" customHeight="false" outlineLevel="0" collapsed="false">
      <c r="A7149" s="0" t="n">
        <f aca="false">COUPDAYS(DATE(2024,3,1),DATE(2025,9,1),1,0)</f>
        <v>360</v>
      </c>
      <c r="B7149" s="0" t="s">
        <v>7128</v>
      </c>
    </row>
    <row r="7150" customFormat="false" ht="15" hidden="false" customHeight="false" outlineLevel="0" collapsed="false">
      <c r="A7150" s="0" t="n">
        <f aca="false">COUPDAYSNC(DATE(2024,3,1),DATE(2025,9,1),1,0)</f>
        <v>180</v>
      </c>
      <c r="B7150" s="0" t="s">
        <v>7129</v>
      </c>
    </row>
    <row r="7151" customFormat="false" ht="15" hidden="false" customHeight="false" outlineLevel="0" collapsed="false">
      <c r="A7151" s="0" t="n">
        <f aca="false">COUPPCD(DATE(2024,3,1),DATE(2025,9,1),1,1)</f>
        <v>45170</v>
      </c>
      <c r="B7151" s="0" t="s">
        <v>7130</v>
      </c>
    </row>
    <row r="7152" customFormat="false" ht="15" hidden="false" customHeight="false" outlineLevel="0" collapsed="false">
      <c r="A7152" s="0" t="n">
        <f aca="false">COUPNCD(DATE(2024,3,1),DATE(2025,9,1),1,1)</f>
        <v>45536</v>
      </c>
      <c r="B7152" s="0" t="s">
        <v>7131</v>
      </c>
    </row>
    <row r="7153" customFormat="false" ht="15" hidden="false" customHeight="false" outlineLevel="0" collapsed="false">
      <c r="A7153" s="0" t="n">
        <f aca="false">COUPNUM(DATE(2024,3,1),DATE(2025,9,1),1,1)</f>
        <v>2</v>
      </c>
      <c r="B7153" s="0" t="s">
        <v>7132</v>
      </c>
    </row>
    <row r="7154" customFormat="false" ht="15" hidden="false" customHeight="false" outlineLevel="0" collapsed="false">
      <c r="A7154" s="0" t="n">
        <f aca="false">COUPDAYBS(DATE(2024,3,1),DATE(2025,9,1),1,1)</f>
        <v>182</v>
      </c>
      <c r="B7154" s="0" t="s">
        <v>7133</v>
      </c>
    </row>
    <row r="7155" customFormat="false" ht="15" hidden="false" customHeight="false" outlineLevel="0" collapsed="false">
      <c r="A7155" s="0" t="n">
        <f aca="false">COUPDAYS(DATE(2024,3,1),DATE(2025,9,1),1,1)</f>
        <v>366</v>
      </c>
      <c r="B7155" s="0" t="s">
        <v>7134</v>
      </c>
    </row>
    <row r="7156" customFormat="false" ht="15" hidden="false" customHeight="false" outlineLevel="0" collapsed="false">
      <c r="A7156" s="0" t="n">
        <f aca="false">COUPDAYSNC(DATE(2024,3,1),DATE(2025,9,1),1,1)</f>
        <v>184</v>
      </c>
      <c r="B7156" s="0" t="s">
        <v>7135</v>
      </c>
    </row>
    <row r="7157" customFormat="false" ht="15" hidden="false" customHeight="false" outlineLevel="0" collapsed="false">
      <c r="A7157" s="0" t="n">
        <f aca="false">COUPPCD(DATE(2024,3,1),DATE(2025,9,1),1,2)</f>
        <v>45170</v>
      </c>
      <c r="B7157" s="0" t="s">
        <v>7136</v>
      </c>
    </row>
    <row r="7158" customFormat="false" ht="15" hidden="false" customHeight="false" outlineLevel="0" collapsed="false">
      <c r="A7158" s="0" t="n">
        <f aca="false">COUPNCD(DATE(2024,3,1),DATE(2025,9,1),1,2)</f>
        <v>45536</v>
      </c>
      <c r="B7158" s="0" t="s">
        <v>7137</v>
      </c>
    </row>
    <row r="7159" customFormat="false" ht="15" hidden="false" customHeight="false" outlineLevel="0" collapsed="false">
      <c r="A7159" s="0" t="n">
        <f aca="false">COUPNUM(DATE(2024,3,1),DATE(2025,9,1),1,2)</f>
        <v>2</v>
      </c>
      <c r="B7159" s="0" t="s">
        <v>7138</v>
      </c>
    </row>
    <row r="7160" customFormat="false" ht="15" hidden="false" customHeight="false" outlineLevel="0" collapsed="false">
      <c r="A7160" s="0" t="n">
        <f aca="false">COUPDAYBS(DATE(2024,3,1),DATE(2025,9,1),1,2)</f>
        <v>182</v>
      </c>
      <c r="B7160" s="0" t="s">
        <v>7139</v>
      </c>
    </row>
    <row r="7161" customFormat="false" ht="15" hidden="false" customHeight="false" outlineLevel="0" collapsed="false">
      <c r="A7161" s="0" t="n">
        <f aca="false">COUPDAYS(DATE(2024,3,1),DATE(2025,9,1),1,2)</f>
        <v>360</v>
      </c>
      <c r="B7161" s="0" t="s">
        <v>7140</v>
      </c>
    </row>
    <row r="7162" customFormat="false" ht="15" hidden="false" customHeight="false" outlineLevel="0" collapsed="false">
      <c r="A7162" s="0" t="n">
        <f aca="false">COUPDAYSNC(DATE(2024,3,1),DATE(2025,9,1),1,2)</f>
        <v>184</v>
      </c>
      <c r="B7162" s="0" t="s">
        <v>7141</v>
      </c>
    </row>
    <row r="7163" customFormat="false" ht="15" hidden="false" customHeight="false" outlineLevel="0" collapsed="false">
      <c r="A7163" s="0" t="n">
        <f aca="false">COUPPCD(DATE(2024,3,1),DATE(2025,9,1),1,3)</f>
        <v>45170</v>
      </c>
      <c r="B7163" s="0" t="s">
        <v>7142</v>
      </c>
    </row>
    <row r="7164" customFormat="false" ht="15" hidden="false" customHeight="false" outlineLevel="0" collapsed="false">
      <c r="A7164" s="0" t="n">
        <f aca="false">COUPNCD(DATE(2024,3,1),DATE(2025,9,1),1,3)</f>
        <v>45536</v>
      </c>
      <c r="B7164" s="0" t="s">
        <v>7143</v>
      </c>
    </row>
    <row r="7165" customFormat="false" ht="15" hidden="false" customHeight="false" outlineLevel="0" collapsed="false">
      <c r="A7165" s="0" t="n">
        <f aca="false">COUPNUM(DATE(2024,3,1),DATE(2025,9,1),1,3)</f>
        <v>2</v>
      </c>
      <c r="B7165" s="0" t="s">
        <v>7144</v>
      </c>
    </row>
    <row r="7166" customFormat="false" ht="15" hidden="false" customHeight="false" outlineLevel="0" collapsed="false">
      <c r="A7166" s="0" t="n">
        <f aca="false">COUPDAYBS(DATE(2024,3,1),DATE(2025,9,1),1,3)</f>
        <v>182</v>
      </c>
      <c r="B7166" s="0" t="s">
        <v>7145</v>
      </c>
    </row>
    <row r="7167" customFormat="false" ht="15" hidden="false" customHeight="false" outlineLevel="0" collapsed="false">
      <c r="A7167" s="0" t="n">
        <f aca="false">COUPDAYS(DATE(2024,3,1),DATE(2025,9,1),1,3)</f>
        <v>365</v>
      </c>
      <c r="B7167" s="0" t="s">
        <v>7146</v>
      </c>
    </row>
    <row r="7168" customFormat="false" ht="15" hidden="false" customHeight="false" outlineLevel="0" collapsed="false">
      <c r="A7168" s="0" t="n">
        <f aca="false">COUPDAYSNC(DATE(2024,3,1),DATE(2025,9,1),1,3)</f>
        <v>184</v>
      </c>
      <c r="B7168" s="0" t="s">
        <v>7147</v>
      </c>
    </row>
    <row r="7169" customFormat="false" ht="15" hidden="false" customHeight="false" outlineLevel="0" collapsed="false">
      <c r="A7169" s="0" t="n">
        <f aca="false">COUPPCD(DATE(2024,3,1),DATE(2025,9,1),1,4)</f>
        <v>45170</v>
      </c>
      <c r="B7169" s="0" t="s">
        <v>7148</v>
      </c>
    </row>
    <row r="7170" customFormat="false" ht="15" hidden="false" customHeight="false" outlineLevel="0" collapsed="false">
      <c r="A7170" s="0" t="n">
        <f aca="false">COUPNCD(DATE(2024,3,1),DATE(2025,9,1),1,4)</f>
        <v>45536</v>
      </c>
      <c r="B7170" s="0" t="s">
        <v>7149</v>
      </c>
    </row>
    <row r="7171" customFormat="false" ht="15" hidden="false" customHeight="false" outlineLevel="0" collapsed="false">
      <c r="A7171" s="0" t="n">
        <f aca="false">COUPNUM(DATE(2024,3,1),DATE(2025,9,1),1,4)</f>
        <v>2</v>
      </c>
      <c r="B7171" s="0" t="s">
        <v>7150</v>
      </c>
    </row>
    <row r="7172" customFormat="false" ht="15" hidden="false" customHeight="false" outlineLevel="0" collapsed="false">
      <c r="A7172" s="0" t="n">
        <f aca="false">COUPDAYBS(DATE(2024,3,1),DATE(2025,9,1),1,4)</f>
        <v>180</v>
      </c>
      <c r="B7172" s="0" t="s">
        <v>7151</v>
      </c>
    </row>
    <row r="7173" customFormat="false" ht="15" hidden="false" customHeight="false" outlineLevel="0" collapsed="false">
      <c r="A7173" s="0" t="n">
        <f aca="false">COUPDAYS(DATE(2024,3,1),DATE(2025,9,1),1,4)</f>
        <v>360</v>
      </c>
      <c r="B7173" s="0" t="s">
        <v>7152</v>
      </c>
    </row>
    <row r="7174" customFormat="false" ht="15" hidden="false" customHeight="false" outlineLevel="0" collapsed="false">
      <c r="A7174" s="0" t="n">
        <f aca="false">COUPDAYSNC(DATE(2024,3,1),DATE(2025,9,1),1,4)</f>
        <v>180</v>
      </c>
      <c r="B7174" s="0" t="s">
        <v>7153</v>
      </c>
    </row>
    <row r="7175" customFormat="false" ht="15" hidden="false" customHeight="false" outlineLevel="0" collapsed="false">
      <c r="A7175" s="0" t="n">
        <f aca="false">COUPPCD(DATE(2024,3,1),DATE(2025,9,1),2,0)</f>
        <v>45352</v>
      </c>
      <c r="B7175" s="0" t="s">
        <v>7154</v>
      </c>
    </row>
    <row r="7176" customFormat="false" ht="15" hidden="false" customHeight="false" outlineLevel="0" collapsed="false">
      <c r="A7176" s="0" t="n">
        <f aca="false">COUPNCD(DATE(2024,3,1),DATE(2025,9,1),2,0)</f>
        <v>45536</v>
      </c>
      <c r="B7176" s="0" t="s">
        <v>7155</v>
      </c>
    </row>
    <row r="7177" customFormat="false" ht="15" hidden="false" customHeight="false" outlineLevel="0" collapsed="false">
      <c r="A7177" s="0" t="n">
        <f aca="false">COUPNUM(DATE(2024,3,1),DATE(2025,9,1),2,0)</f>
        <v>3</v>
      </c>
      <c r="B7177" s="0" t="s">
        <v>7156</v>
      </c>
    </row>
    <row r="7178" customFormat="false" ht="15" hidden="false" customHeight="false" outlineLevel="0" collapsed="false">
      <c r="A7178" s="0" t="n">
        <f aca="false">COUPDAYBS(DATE(2024,3,1),DATE(2025,9,1),2,0)</f>
        <v>0</v>
      </c>
      <c r="B7178" s="0" t="s">
        <v>7157</v>
      </c>
    </row>
    <row r="7179" customFormat="false" ht="15" hidden="false" customHeight="false" outlineLevel="0" collapsed="false">
      <c r="A7179" s="0" t="n">
        <f aca="false">COUPDAYS(DATE(2024,3,1),DATE(2025,9,1),2,0)</f>
        <v>180</v>
      </c>
      <c r="B7179" s="0" t="s">
        <v>7158</v>
      </c>
    </row>
    <row r="7180" customFormat="false" ht="15" hidden="false" customHeight="false" outlineLevel="0" collapsed="false">
      <c r="A7180" s="0" t="n">
        <f aca="false">COUPDAYSNC(DATE(2024,3,1),DATE(2025,9,1),2,0)</f>
        <v>180</v>
      </c>
      <c r="B7180" s="0" t="s">
        <v>7159</v>
      </c>
    </row>
    <row r="7181" customFormat="false" ht="15" hidden="false" customHeight="false" outlineLevel="0" collapsed="false">
      <c r="A7181" s="0" t="n">
        <f aca="false">COUPPCD(DATE(2024,3,1),DATE(2025,9,1),2,1)</f>
        <v>45352</v>
      </c>
      <c r="B7181" s="0" t="s">
        <v>7160</v>
      </c>
    </row>
    <row r="7182" customFormat="false" ht="15" hidden="false" customHeight="false" outlineLevel="0" collapsed="false">
      <c r="A7182" s="0" t="n">
        <f aca="false">COUPNCD(DATE(2024,3,1),DATE(2025,9,1),2,1)</f>
        <v>45536</v>
      </c>
      <c r="B7182" s="0" t="s">
        <v>7161</v>
      </c>
    </row>
    <row r="7183" customFormat="false" ht="15" hidden="false" customHeight="false" outlineLevel="0" collapsed="false">
      <c r="A7183" s="0" t="n">
        <f aca="false">COUPNUM(DATE(2024,3,1),DATE(2025,9,1),2,1)</f>
        <v>3</v>
      </c>
      <c r="B7183" s="0" t="s">
        <v>7162</v>
      </c>
    </row>
    <row r="7184" customFormat="false" ht="15" hidden="false" customHeight="false" outlineLevel="0" collapsed="false">
      <c r="A7184" s="0" t="n">
        <f aca="false">COUPDAYBS(DATE(2024,3,1),DATE(2025,9,1),2,1)</f>
        <v>0</v>
      </c>
      <c r="B7184" s="0" t="s">
        <v>7163</v>
      </c>
    </row>
    <row r="7185" customFormat="false" ht="15" hidden="false" customHeight="false" outlineLevel="0" collapsed="false">
      <c r="A7185" s="0" t="n">
        <f aca="false">COUPDAYS(DATE(2024,3,1),DATE(2025,9,1),2,1)</f>
        <v>184</v>
      </c>
      <c r="B7185" s="0" t="s">
        <v>7164</v>
      </c>
    </row>
    <row r="7186" customFormat="false" ht="15" hidden="false" customHeight="false" outlineLevel="0" collapsed="false">
      <c r="A7186" s="0" t="n">
        <f aca="false">COUPDAYSNC(DATE(2024,3,1),DATE(2025,9,1),2,1)</f>
        <v>184</v>
      </c>
      <c r="B7186" s="0" t="s">
        <v>7165</v>
      </c>
    </row>
    <row r="7187" customFormat="false" ht="15" hidden="false" customHeight="false" outlineLevel="0" collapsed="false">
      <c r="A7187" s="0" t="n">
        <f aca="false">COUPPCD(DATE(2024,3,1),DATE(2025,9,1),2,2)</f>
        <v>45352</v>
      </c>
      <c r="B7187" s="0" t="s">
        <v>7166</v>
      </c>
    </row>
    <row r="7188" customFormat="false" ht="15" hidden="false" customHeight="false" outlineLevel="0" collapsed="false">
      <c r="A7188" s="0" t="n">
        <f aca="false">COUPNCD(DATE(2024,3,1),DATE(2025,9,1),2,2)</f>
        <v>45536</v>
      </c>
      <c r="B7188" s="0" t="s">
        <v>7167</v>
      </c>
    </row>
    <row r="7189" customFormat="false" ht="15" hidden="false" customHeight="false" outlineLevel="0" collapsed="false">
      <c r="A7189" s="0" t="n">
        <f aca="false">COUPNUM(DATE(2024,3,1),DATE(2025,9,1),2,2)</f>
        <v>3</v>
      </c>
      <c r="B7189" s="0" t="s">
        <v>7168</v>
      </c>
    </row>
    <row r="7190" customFormat="false" ht="15" hidden="false" customHeight="false" outlineLevel="0" collapsed="false">
      <c r="A7190" s="0" t="n">
        <f aca="false">COUPDAYBS(DATE(2024,3,1),DATE(2025,9,1),2,2)</f>
        <v>0</v>
      </c>
      <c r="B7190" s="0" t="s">
        <v>7169</v>
      </c>
    </row>
    <row r="7191" customFormat="false" ht="15" hidden="false" customHeight="false" outlineLevel="0" collapsed="false">
      <c r="A7191" s="0" t="n">
        <f aca="false">COUPDAYS(DATE(2024,3,1),DATE(2025,9,1),2,2)</f>
        <v>180</v>
      </c>
      <c r="B7191" s="0" t="s">
        <v>7170</v>
      </c>
    </row>
    <row r="7192" customFormat="false" ht="15" hidden="false" customHeight="false" outlineLevel="0" collapsed="false">
      <c r="A7192" s="0" t="n">
        <f aca="false">COUPDAYSNC(DATE(2024,3,1),DATE(2025,9,1),2,2)</f>
        <v>184</v>
      </c>
      <c r="B7192" s="0" t="s">
        <v>7171</v>
      </c>
    </row>
    <row r="7193" customFormat="false" ht="15" hidden="false" customHeight="false" outlineLevel="0" collapsed="false">
      <c r="A7193" s="0" t="n">
        <f aca="false">COUPPCD(DATE(2024,3,1),DATE(2025,9,1),2,3)</f>
        <v>45352</v>
      </c>
      <c r="B7193" s="0" t="s">
        <v>7172</v>
      </c>
    </row>
    <row r="7194" customFormat="false" ht="15" hidden="false" customHeight="false" outlineLevel="0" collapsed="false">
      <c r="A7194" s="0" t="n">
        <f aca="false">COUPNCD(DATE(2024,3,1),DATE(2025,9,1),2,3)</f>
        <v>45536</v>
      </c>
      <c r="B7194" s="0" t="s">
        <v>7173</v>
      </c>
    </row>
    <row r="7195" customFormat="false" ht="15" hidden="false" customHeight="false" outlineLevel="0" collapsed="false">
      <c r="A7195" s="0" t="n">
        <f aca="false">COUPNUM(DATE(2024,3,1),DATE(2025,9,1),2,3)</f>
        <v>3</v>
      </c>
      <c r="B7195" s="0" t="s">
        <v>7174</v>
      </c>
    </row>
    <row r="7196" customFormat="false" ht="15" hidden="false" customHeight="false" outlineLevel="0" collapsed="false">
      <c r="A7196" s="0" t="n">
        <f aca="false">COUPDAYBS(DATE(2024,3,1),DATE(2025,9,1),2,3)</f>
        <v>0</v>
      </c>
      <c r="B7196" s="0" t="s">
        <v>7175</v>
      </c>
    </row>
    <row r="7197" customFormat="false" ht="15" hidden="false" customHeight="false" outlineLevel="0" collapsed="false">
      <c r="A7197" s="0" t="n">
        <f aca="false">COUPDAYS(DATE(2024,3,1),DATE(2025,9,1),2,3)</f>
        <v>182.5</v>
      </c>
      <c r="B7197" s="0" t="s">
        <v>7176</v>
      </c>
    </row>
    <row r="7198" customFormat="false" ht="15" hidden="false" customHeight="false" outlineLevel="0" collapsed="false">
      <c r="A7198" s="0" t="n">
        <f aca="false">COUPDAYSNC(DATE(2024,3,1),DATE(2025,9,1),2,3)</f>
        <v>184</v>
      </c>
      <c r="B7198" s="0" t="s">
        <v>7177</v>
      </c>
    </row>
    <row r="7199" customFormat="false" ht="15" hidden="false" customHeight="false" outlineLevel="0" collapsed="false">
      <c r="A7199" s="0" t="n">
        <f aca="false">COUPPCD(DATE(2024,3,1),DATE(2025,9,1),2,4)</f>
        <v>45352</v>
      </c>
      <c r="B7199" s="0" t="s">
        <v>7178</v>
      </c>
    </row>
    <row r="7200" customFormat="false" ht="15" hidden="false" customHeight="false" outlineLevel="0" collapsed="false">
      <c r="A7200" s="0" t="n">
        <f aca="false">COUPNCD(DATE(2024,3,1),DATE(2025,9,1),2,4)</f>
        <v>45536</v>
      </c>
      <c r="B7200" s="0" t="s">
        <v>7179</v>
      </c>
    </row>
    <row r="7201" customFormat="false" ht="15" hidden="false" customHeight="false" outlineLevel="0" collapsed="false">
      <c r="A7201" s="0" t="n">
        <f aca="false">COUPNUM(DATE(2024,3,1),DATE(2025,9,1),2,4)</f>
        <v>3</v>
      </c>
      <c r="B7201" s="0" t="s">
        <v>7180</v>
      </c>
    </row>
    <row r="7202" customFormat="false" ht="15" hidden="false" customHeight="false" outlineLevel="0" collapsed="false">
      <c r="A7202" s="0" t="n">
        <f aca="false">COUPDAYBS(DATE(2024,3,1),DATE(2025,9,1),2,4)</f>
        <v>0</v>
      </c>
      <c r="B7202" s="0" t="s">
        <v>7181</v>
      </c>
    </row>
    <row r="7203" customFormat="false" ht="15" hidden="false" customHeight="false" outlineLevel="0" collapsed="false">
      <c r="A7203" s="0" t="n">
        <f aca="false">COUPDAYS(DATE(2024,3,1),DATE(2025,9,1),2,4)</f>
        <v>180</v>
      </c>
      <c r="B7203" s="0" t="s">
        <v>7182</v>
      </c>
    </row>
    <row r="7204" customFormat="false" ht="15" hidden="false" customHeight="false" outlineLevel="0" collapsed="false">
      <c r="A7204" s="0" t="n">
        <f aca="false">COUPDAYSNC(DATE(2024,3,1),DATE(2025,9,1),2,4)</f>
        <v>180</v>
      </c>
      <c r="B7204" s="0" t="s">
        <v>7183</v>
      </c>
    </row>
    <row r="7205" customFormat="false" ht="15" hidden="false" customHeight="false" outlineLevel="0" collapsed="false">
      <c r="A7205" s="0" t="n">
        <f aca="false">COUPPCD(DATE(2024,3,1),DATE(2025,9,1),4,0)</f>
        <v>45352</v>
      </c>
      <c r="B7205" s="0" t="s">
        <v>7184</v>
      </c>
    </row>
    <row r="7206" customFormat="false" ht="15" hidden="false" customHeight="false" outlineLevel="0" collapsed="false">
      <c r="A7206" s="0" t="n">
        <f aca="false">COUPNCD(DATE(2024,3,1),DATE(2025,9,1),4,0)</f>
        <v>45444</v>
      </c>
      <c r="B7206" s="0" t="s">
        <v>7185</v>
      </c>
    </row>
    <row r="7207" customFormat="false" ht="15" hidden="false" customHeight="false" outlineLevel="0" collapsed="false">
      <c r="A7207" s="0" t="n">
        <f aca="false">COUPNUM(DATE(2024,3,1),DATE(2025,9,1),4,0)</f>
        <v>6</v>
      </c>
      <c r="B7207" s="0" t="s">
        <v>7186</v>
      </c>
    </row>
    <row r="7208" customFormat="false" ht="15" hidden="false" customHeight="false" outlineLevel="0" collapsed="false">
      <c r="A7208" s="0" t="n">
        <f aca="false">COUPDAYBS(DATE(2024,3,1),DATE(2025,9,1),4,0)</f>
        <v>0</v>
      </c>
      <c r="B7208" s="0" t="s">
        <v>7187</v>
      </c>
    </row>
    <row r="7209" customFormat="false" ht="15" hidden="false" customHeight="false" outlineLevel="0" collapsed="false">
      <c r="A7209" s="0" t="n">
        <f aca="false">COUPDAYS(DATE(2024,3,1),DATE(2025,9,1),4,0)</f>
        <v>90</v>
      </c>
      <c r="B7209" s="0" t="s">
        <v>7188</v>
      </c>
    </row>
    <row r="7210" customFormat="false" ht="15" hidden="false" customHeight="false" outlineLevel="0" collapsed="false">
      <c r="A7210" s="0" t="n">
        <f aca="false">COUPDAYSNC(DATE(2024,3,1),DATE(2025,9,1),4,0)</f>
        <v>90</v>
      </c>
      <c r="B7210" s="0" t="s">
        <v>7189</v>
      </c>
    </row>
    <row r="7211" customFormat="false" ht="15" hidden="false" customHeight="false" outlineLevel="0" collapsed="false">
      <c r="A7211" s="0" t="n">
        <f aca="false">COUPPCD(DATE(2024,3,1),DATE(2025,9,1),4,1)</f>
        <v>45352</v>
      </c>
      <c r="B7211" s="0" t="s">
        <v>7190</v>
      </c>
    </row>
    <row r="7212" customFormat="false" ht="15" hidden="false" customHeight="false" outlineLevel="0" collapsed="false">
      <c r="A7212" s="0" t="n">
        <f aca="false">COUPNCD(DATE(2024,3,1),DATE(2025,9,1),4,1)</f>
        <v>45444</v>
      </c>
      <c r="B7212" s="0" t="s">
        <v>7191</v>
      </c>
    </row>
    <row r="7213" customFormat="false" ht="15" hidden="false" customHeight="false" outlineLevel="0" collapsed="false">
      <c r="A7213" s="0" t="n">
        <f aca="false">COUPNUM(DATE(2024,3,1),DATE(2025,9,1),4,1)</f>
        <v>6</v>
      </c>
      <c r="B7213" s="0" t="s">
        <v>7192</v>
      </c>
    </row>
    <row r="7214" customFormat="false" ht="15" hidden="false" customHeight="false" outlineLevel="0" collapsed="false">
      <c r="A7214" s="0" t="n">
        <f aca="false">COUPDAYBS(DATE(2024,3,1),DATE(2025,9,1),4,1)</f>
        <v>0</v>
      </c>
      <c r="B7214" s="0" t="s">
        <v>7193</v>
      </c>
    </row>
    <row r="7215" customFormat="false" ht="15" hidden="false" customHeight="false" outlineLevel="0" collapsed="false">
      <c r="A7215" s="0" t="n">
        <f aca="false">COUPDAYS(DATE(2024,3,1),DATE(2025,9,1),4,1)</f>
        <v>92</v>
      </c>
      <c r="B7215" s="0" t="s">
        <v>7194</v>
      </c>
    </row>
    <row r="7216" customFormat="false" ht="15" hidden="false" customHeight="false" outlineLevel="0" collapsed="false">
      <c r="A7216" s="0" t="n">
        <f aca="false">COUPDAYSNC(DATE(2024,3,1),DATE(2025,9,1),4,1)</f>
        <v>92</v>
      </c>
      <c r="B7216" s="0" t="s">
        <v>7195</v>
      </c>
    </row>
    <row r="7217" customFormat="false" ht="15" hidden="false" customHeight="false" outlineLevel="0" collapsed="false">
      <c r="A7217" s="0" t="n">
        <f aca="false">COUPPCD(DATE(2024,3,1),DATE(2025,9,1),4,2)</f>
        <v>45352</v>
      </c>
      <c r="B7217" s="0" t="s">
        <v>7196</v>
      </c>
    </row>
    <row r="7218" customFormat="false" ht="15" hidden="false" customHeight="false" outlineLevel="0" collapsed="false">
      <c r="A7218" s="0" t="n">
        <f aca="false">COUPNCD(DATE(2024,3,1),DATE(2025,9,1),4,2)</f>
        <v>45444</v>
      </c>
      <c r="B7218" s="0" t="s">
        <v>7197</v>
      </c>
    </row>
    <row r="7219" customFormat="false" ht="15" hidden="false" customHeight="false" outlineLevel="0" collapsed="false">
      <c r="A7219" s="0" t="n">
        <f aca="false">COUPNUM(DATE(2024,3,1),DATE(2025,9,1),4,2)</f>
        <v>6</v>
      </c>
      <c r="B7219" s="0" t="s">
        <v>7198</v>
      </c>
    </row>
    <row r="7220" customFormat="false" ht="15" hidden="false" customHeight="false" outlineLevel="0" collapsed="false">
      <c r="A7220" s="0" t="n">
        <f aca="false">COUPDAYBS(DATE(2024,3,1),DATE(2025,9,1),4,2)</f>
        <v>0</v>
      </c>
      <c r="B7220" s="0" t="s">
        <v>7199</v>
      </c>
    </row>
    <row r="7221" customFormat="false" ht="15" hidden="false" customHeight="false" outlineLevel="0" collapsed="false">
      <c r="A7221" s="0" t="n">
        <f aca="false">COUPDAYS(DATE(2024,3,1),DATE(2025,9,1),4,2)</f>
        <v>90</v>
      </c>
      <c r="B7221" s="0" t="s">
        <v>7200</v>
      </c>
    </row>
    <row r="7222" customFormat="false" ht="15" hidden="false" customHeight="false" outlineLevel="0" collapsed="false">
      <c r="A7222" s="0" t="n">
        <f aca="false">COUPDAYSNC(DATE(2024,3,1),DATE(2025,9,1),4,2)</f>
        <v>92</v>
      </c>
      <c r="B7222" s="0" t="s">
        <v>7201</v>
      </c>
    </row>
    <row r="7223" customFormat="false" ht="15" hidden="false" customHeight="false" outlineLevel="0" collapsed="false">
      <c r="A7223" s="0" t="n">
        <f aca="false">COUPPCD(DATE(2024,3,1),DATE(2025,9,1),4,3)</f>
        <v>45352</v>
      </c>
      <c r="B7223" s="0" t="s">
        <v>7202</v>
      </c>
    </row>
    <row r="7224" customFormat="false" ht="15" hidden="false" customHeight="false" outlineLevel="0" collapsed="false">
      <c r="A7224" s="0" t="n">
        <f aca="false">COUPNCD(DATE(2024,3,1),DATE(2025,9,1),4,3)</f>
        <v>45444</v>
      </c>
      <c r="B7224" s="0" t="s">
        <v>7203</v>
      </c>
    </row>
    <row r="7225" customFormat="false" ht="15" hidden="false" customHeight="false" outlineLevel="0" collapsed="false">
      <c r="A7225" s="0" t="n">
        <f aca="false">COUPNUM(DATE(2024,3,1),DATE(2025,9,1),4,3)</f>
        <v>6</v>
      </c>
      <c r="B7225" s="0" t="s">
        <v>7204</v>
      </c>
    </row>
    <row r="7226" customFormat="false" ht="15" hidden="false" customHeight="false" outlineLevel="0" collapsed="false">
      <c r="A7226" s="0" t="n">
        <f aca="false">COUPDAYBS(DATE(2024,3,1),DATE(2025,9,1),4,3)</f>
        <v>0</v>
      </c>
      <c r="B7226" s="0" t="s">
        <v>7205</v>
      </c>
    </row>
    <row r="7227" customFormat="false" ht="15" hidden="false" customHeight="false" outlineLevel="0" collapsed="false">
      <c r="A7227" s="0" t="n">
        <f aca="false">COUPDAYS(DATE(2024,3,1),DATE(2025,9,1),4,3)</f>
        <v>91.25</v>
      </c>
      <c r="B7227" s="0" t="s">
        <v>7206</v>
      </c>
    </row>
    <row r="7228" customFormat="false" ht="15" hidden="false" customHeight="false" outlineLevel="0" collapsed="false">
      <c r="A7228" s="0" t="n">
        <f aca="false">COUPDAYSNC(DATE(2024,3,1),DATE(2025,9,1),4,3)</f>
        <v>92</v>
      </c>
      <c r="B7228" s="0" t="s">
        <v>7207</v>
      </c>
    </row>
    <row r="7229" customFormat="false" ht="15" hidden="false" customHeight="false" outlineLevel="0" collapsed="false">
      <c r="A7229" s="0" t="n">
        <f aca="false">COUPPCD(DATE(2024,3,1),DATE(2025,9,1),4,4)</f>
        <v>45352</v>
      </c>
      <c r="B7229" s="0" t="s">
        <v>7208</v>
      </c>
    </row>
    <row r="7230" customFormat="false" ht="15" hidden="false" customHeight="false" outlineLevel="0" collapsed="false">
      <c r="A7230" s="0" t="n">
        <f aca="false">COUPNCD(DATE(2024,3,1),DATE(2025,9,1),4,4)</f>
        <v>45444</v>
      </c>
      <c r="B7230" s="0" t="s">
        <v>7209</v>
      </c>
    </row>
    <row r="7231" customFormat="false" ht="15" hidden="false" customHeight="false" outlineLevel="0" collapsed="false">
      <c r="A7231" s="0" t="n">
        <f aca="false">COUPNUM(DATE(2024,3,1),DATE(2025,9,1),4,4)</f>
        <v>6</v>
      </c>
      <c r="B7231" s="0" t="s">
        <v>7210</v>
      </c>
    </row>
    <row r="7232" customFormat="false" ht="15" hidden="false" customHeight="false" outlineLevel="0" collapsed="false">
      <c r="A7232" s="0" t="n">
        <f aca="false">COUPDAYBS(DATE(2024,3,1),DATE(2025,9,1),4,4)</f>
        <v>0</v>
      </c>
      <c r="B7232" s="0" t="s">
        <v>7211</v>
      </c>
    </row>
    <row r="7233" customFormat="false" ht="15" hidden="false" customHeight="false" outlineLevel="0" collapsed="false">
      <c r="A7233" s="0" t="n">
        <f aca="false">COUPDAYS(DATE(2024,3,1),DATE(2025,9,1),4,4)</f>
        <v>90</v>
      </c>
      <c r="B7233" s="0" t="s">
        <v>7212</v>
      </c>
    </row>
    <row r="7234" customFormat="false" ht="15" hidden="false" customHeight="false" outlineLevel="0" collapsed="false">
      <c r="A7234" s="0" t="n">
        <f aca="false">COUPDAYSNC(DATE(2024,3,1),DATE(2025,9,1),4,4)</f>
        <v>90</v>
      </c>
      <c r="B7234" s="0" t="s">
        <v>7213</v>
      </c>
    </row>
    <row r="7235" customFormat="false" ht="15" hidden="false" customHeight="false" outlineLevel="0" collapsed="false">
      <c r="A7235" s="0" t="n">
        <f aca="false">COUPNUM(DATE(2024,3,1),DATE(2025,9,1),2)</f>
        <v>3</v>
      </c>
      <c r="B7235" s="0" t="s">
        <v>7214</v>
      </c>
    </row>
    <row r="7236" customFormat="false" ht="15" hidden="false" customHeight="false" outlineLevel="0" collapsed="false">
      <c r="A7236" s="0" t="n">
        <f aca="false">COUPDAYS(DATE(2024,3,1),DATE(2025,9,1),2)</f>
        <v>180</v>
      </c>
      <c r="B7236" s="0" t="s">
        <v>7215</v>
      </c>
    </row>
    <row r="7237" customFormat="false" ht="15" hidden="false" customHeight="false" outlineLevel="0" collapsed="false">
      <c r="A7237" s="0" t="e">
        <f aca="false">COUPNUM(DATE(2024,1,15),DATE(2029,6,30),3,0)</f>
        <v>#VALUE!</v>
      </c>
      <c r="B7237" s="0" t="s">
        <v>7216</v>
      </c>
    </row>
    <row r="7238" customFormat="false" ht="15" hidden="false" customHeight="false" outlineLevel="0" collapsed="false">
      <c r="A7238" s="0" t="e">
        <f aca="false">COUPNUM(DATE(2024,1,15),DATE(2029,6,30),0,0)</f>
        <v>#VALUE!</v>
      </c>
      <c r="B7238" s="0" t="s">
        <v>7217</v>
      </c>
    </row>
    <row r="7239" customFormat="false" ht="15" hidden="false" customHeight="false" outlineLevel="0" collapsed="false">
      <c r="A7239" s="0" t="e">
        <f aca="false">COUPNUM(DATE(2024,1,15),DATE(2029,6,30),2,5)</f>
        <v>#VALUE!</v>
      </c>
      <c r="B7239" s="0" t="s">
        <v>7218</v>
      </c>
    </row>
    <row r="7240" customFormat="false" ht="15" hidden="false" customHeight="false" outlineLevel="0" collapsed="false">
      <c r="A7240" s="0" t="e">
        <f aca="false">COUPNUM(DATE(2024,1,15),DATE(2029,6,30),2,-1)</f>
        <v>#VALUE!</v>
      </c>
      <c r="B7240" s="0" t="s">
        <v>7219</v>
      </c>
    </row>
    <row r="7241" customFormat="false" ht="15" hidden="false" customHeight="false" outlineLevel="0" collapsed="false">
      <c r="A7241" s="0" t="n">
        <f aca="false">COUPNUM(DATE(2024,1,15),DATE(2029,6,30),2.9,0.9)</f>
        <v>11</v>
      </c>
      <c r="B7241" s="0" t="s">
        <v>7220</v>
      </c>
    </row>
    <row r="7242" customFormat="false" ht="15" hidden="false" customHeight="false" outlineLevel="0" collapsed="false">
      <c r="A7242" s="0" t="n">
        <f aca="false">COUPNUM("2024-01-15","2029-06-30",2,0)</f>
        <v>11</v>
      </c>
      <c r="B7242" s="0" t="s">
        <v>7221</v>
      </c>
    </row>
    <row r="7243" customFormat="false" ht="15" hidden="false" customHeight="false" outlineLevel="0" collapsed="false">
      <c r="A7243" s="0" t="e">
        <f aca="false">COUPNUM(DATE(2024,1,15),DATE(2029,6,30),2,"x")</f>
        <v>#VALUE!</v>
      </c>
      <c r="B7243" s="0" t="s">
        <v>7222</v>
      </c>
    </row>
    <row r="7244" customFormat="false" ht="15" hidden="false" customHeight="false" outlineLevel="0" collapsed="false">
      <c r="A7244" s="0" t="n">
        <f aca="false">COUPNUM(DATE(2024,1,15),DATE(2029,6,30),TRUE(),0)</f>
        <v>6</v>
      </c>
      <c r="B7244" s="0" t="s">
        <v>7223</v>
      </c>
    </row>
    <row r="7245" customFormat="false" ht="15" hidden="false" customHeight="false" outlineLevel="0" collapsed="false">
      <c r="A7245" s="0" t="n">
        <f aca="false">COUPNUM(DATE(2024,1,15),DATE(2029,6,30),2,Data!D1)</f>
        <v>11</v>
      </c>
      <c r="B7245" s="0" t="s">
        <v>7224</v>
      </c>
    </row>
    <row r="7246" customFormat="false" ht="15" hidden="false" customHeight="false" outlineLevel="0" collapsed="false">
      <c r="A7246" s="0" t="n">
        <f aca="false">COUPNUM(45306.9,47300.1,2,0)</f>
        <v>11</v>
      </c>
      <c r="B7246" s="0" t="s">
        <v>7225</v>
      </c>
    </row>
    <row r="7247" customFormat="false" ht="15" hidden="false" customHeight="false" outlineLevel="0" collapsed="false">
      <c r="A7247" s="0" t="e">
        <f aca="false">COUPNUM(DATE(2024,1,15),NA(),2,0)</f>
        <v>#N/A</v>
      </c>
      <c r="B7247" s="0" t="s">
        <v>7226</v>
      </c>
    </row>
    <row r="7248" customFormat="false" ht="15" hidden="false" customHeight="false" outlineLevel="0" collapsed="false">
      <c r="A7248" s="0" t="e">
        <f aca="false">COUPNUM(DATE(2024,1,15),DATE(2029,6,30),2,0,1)</f>
        <v>#VALUE!</v>
      </c>
      <c r="B7248" s="0" t="s">
        <v>7227</v>
      </c>
    </row>
    <row r="7249" customFormat="false" ht="15" hidden="false" customHeight="false" outlineLevel="0" collapsed="false">
      <c r="A7249" s="0" t="e">
        <f aca="false">COUPNUM(DATE(2024,1,15),DATE(2029,6,30))</f>
        <v>#VALUE!</v>
      </c>
      <c r="B7249" s="0" t="s">
        <v>7228</v>
      </c>
    </row>
    <row r="7250" customFormat="false" ht="15" hidden="false" customHeight="false" outlineLevel="0" collapsed="false">
      <c r="A7250" s="0" t="n">
        <f aca="false">COUPPCD(DATE(2024,1,15),DATE(2029,6,30),2)</f>
        <v>45291</v>
      </c>
      <c r="B7250" s="0" t="s">
        <v>7229</v>
      </c>
    </row>
    <row r="7251" customFormat="false" ht="15" hidden="false" customHeight="false" outlineLevel="0" collapsed="false">
      <c r="A7251" s="0" t="n">
        <f aca="false">COUPPCD(0,DATE(2029,6,30),2,0)</f>
        <v>-183</v>
      </c>
      <c r="B7251" s="0" t="s">
        <v>7230</v>
      </c>
    </row>
    <row r="7252" customFormat="false" ht="15" hidden="false" customHeight="false" outlineLevel="0" collapsed="false">
      <c r="A7252" s="0" t="n">
        <f aca="false">COUPPCD(-5,DATE(2029,6,30),2,0)</f>
        <v>-183</v>
      </c>
      <c r="B7252" s="0" t="s">
        <v>7231</v>
      </c>
    </row>
    <row r="7253" customFormat="false" ht="15" hidden="false" customHeight="false" outlineLevel="0" collapsed="false">
      <c r="A7253" s="0" t="n">
        <f aca="false">COUPNCD(DATE(2024,1,15),DATE(9999,12,31),2,0)</f>
        <v>45473</v>
      </c>
      <c r="B7253" s="0" t="s">
        <v>7232</v>
      </c>
    </row>
    <row r="7254" customFormat="false" ht="15" hidden="false" customHeight="false" outlineLevel="0" collapsed="false">
      <c r="A7254" s="0" t="n">
        <f aca="false">COUPPCD(DATE(2024,1,15),DATE(2029,6,30),2,Data!D1)</f>
        <v>45291</v>
      </c>
      <c r="B7254" s="0" t="s">
        <v>7233</v>
      </c>
    </row>
    <row r="7255" customFormat="false" ht="15" hidden="false" customHeight="false" outlineLevel="0" collapsed="false">
      <c r="A7255" s="0" t="n">
        <f aca="false">COUPPCD(Data!D1,DATE(2029,6,30),2,0)</f>
        <v>-183</v>
      </c>
      <c r="B7255" s="0" t="s">
        <v>7234</v>
      </c>
    </row>
    <row r="7256" customFormat="false" ht="15" hidden="false" customHeight="false" outlineLevel="0" collapsed="false">
      <c r="A7256" s="0" t="n">
        <f aca="false">PRICE(DATE(2024,1,15),DATE(2029,6,30),0.05,0.08,100,1,0)</f>
        <v>87.0894971044755</v>
      </c>
      <c r="B7256" s="0" t="s">
        <v>7235</v>
      </c>
    </row>
    <row r="7257" customFormat="false" ht="15" hidden="false" customHeight="false" outlineLevel="0" collapsed="false">
      <c r="A7257" s="0" t="n">
        <f aca="false">PRICE(DATE(2024,1,15),DATE(2029,6,30),0.1,0.03,105,1,0)</f>
        <v>138.984697089386</v>
      </c>
      <c r="B7257" s="0" t="s">
        <v>7236</v>
      </c>
    </row>
    <row r="7258" customFormat="false" ht="15" hidden="false" customHeight="false" outlineLevel="0" collapsed="false">
      <c r="A7258" s="0" t="n">
        <f aca="false">PRICE(DATE(2024,1,15),DATE(2029,6,30),0,0.05,100,1,0)</f>
        <v>76.6199285358523</v>
      </c>
      <c r="B7258" s="0" t="s">
        <v>7237</v>
      </c>
    </row>
    <row r="7259" customFormat="false" ht="15" hidden="false" customHeight="false" outlineLevel="0" collapsed="false">
      <c r="A7259" s="0" t="n">
        <f aca="false">YIELD(DATE(2024,1,15),DATE(2029,6,30),0.05,95,100,1,0)</f>
        <v>0.0609615289792041</v>
      </c>
      <c r="B7259" s="0" t="s">
        <v>7238</v>
      </c>
    </row>
    <row r="7260" customFormat="false" ht="15" hidden="false" customHeight="false" outlineLevel="0" collapsed="false">
      <c r="A7260" s="0" t="n">
        <f aca="false">YIELD(DATE(2024,1,15),DATE(2029,6,30),0.1,101.5,100,1,0)</f>
        <v>0.0960635790459005</v>
      </c>
      <c r="B7260" s="0" t="s">
        <v>7239</v>
      </c>
    </row>
    <row r="7261" customFormat="false" ht="15" hidden="false" customHeight="false" outlineLevel="0" collapsed="false">
      <c r="A7261" s="0" t="n">
        <f aca="false">YIELD(DATE(2024,1,15),DATE(2029,6,30),0.05,100,100,1,0)</f>
        <v>0.0499352931455671</v>
      </c>
      <c r="B7261" s="0" t="s">
        <v>7240</v>
      </c>
    </row>
    <row r="7262" customFormat="false" ht="15" hidden="false" customHeight="false" outlineLevel="0" collapsed="false">
      <c r="A7262" s="0" t="n">
        <f aca="false">DURATION(DATE(2024,1,15),DATE(2029,6,30),0.05,0.08,1,0)</f>
        <v>4.72740766414895</v>
      </c>
      <c r="B7262" s="0" t="s">
        <v>7241</v>
      </c>
    </row>
    <row r="7263" customFormat="false" ht="15" hidden="false" customHeight="false" outlineLevel="0" collapsed="false">
      <c r="A7263" s="0" t="n">
        <f aca="false">DURATION(DATE(2024,1,15),DATE(2029,6,30),0.1,0.03,1,0)</f>
        <v>4.44254694417819</v>
      </c>
      <c r="B7263" s="0" t="s">
        <v>7242</v>
      </c>
    </row>
    <row r="7264" customFormat="false" ht="15" hidden="false" customHeight="false" outlineLevel="0" collapsed="false">
      <c r="A7264" s="0" t="n">
        <f aca="false">DURATION(DATE(2024,1,15),DATE(2029,6,30),0,0.05,1,0)</f>
        <v>5.45833333333333</v>
      </c>
      <c r="B7264" s="0" t="s">
        <v>7243</v>
      </c>
    </row>
    <row r="7265" customFormat="false" ht="15" hidden="false" customHeight="false" outlineLevel="0" collapsed="false">
      <c r="A7265" s="0" t="n">
        <f aca="false">MDURATION(DATE(2024,1,15),DATE(2029,6,30),0.05,0.08,1,0)</f>
        <v>4.37722931865643</v>
      </c>
      <c r="B7265" s="0" t="s">
        <v>7244</v>
      </c>
    </row>
    <row r="7266" customFormat="false" ht="15" hidden="false" customHeight="false" outlineLevel="0" collapsed="false">
      <c r="A7266" s="0" t="n">
        <f aca="false">MDURATION(DATE(2024,1,15),DATE(2029,6,30),0.1,0.03,1,0)</f>
        <v>4.31315237298853</v>
      </c>
      <c r="B7266" s="0" t="s">
        <v>7245</v>
      </c>
    </row>
    <row r="7267" customFormat="false" ht="15" hidden="false" customHeight="false" outlineLevel="0" collapsed="false">
      <c r="A7267" s="0" t="n">
        <f aca="false">PRICE(DATE(2024,1,15),DATE(2029,6,30),0.05,0.08,100,1,1)</f>
        <v>87.0934140706691</v>
      </c>
      <c r="B7267" s="0" t="s">
        <v>7246</v>
      </c>
    </row>
    <row r="7268" customFormat="false" ht="15" hidden="false" customHeight="false" outlineLevel="0" collapsed="false">
      <c r="A7268" s="0" t="n">
        <f aca="false">PRICE(DATE(2024,1,15),DATE(2029,6,30),0.1,0.03,105,1,1)</f>
        <v>138.972952131653</v>
      </c>
      <c r="B7268" s="0" t="s">
        <v>7247</v>
      </c>
    </row>
    <row r="7269" customFormat="false" ht="15" hidden="false" customHeight="false" outlineLevel="0" collapsed="false">
      <c r="A7269" s="0" t="n">
        <f aca="false">PRICE(DATE(2024,1,15),DATE(2029,6,30),0,0.05,100,1,1)</f>
        <v>76.6275893673593</v>
      </c>
      <c r="B7269" s="0" t="s">
        <v>7248</v>
      </c>
    </row>
    <row r="7270" customFormat="false" ht="15" hidden="false" customHeight="false" outlineLevel="0" collapsed="false">
      <c r="A7270" s="0" t="n">
        <f aca="false">YIELD(DATE(2024,1,15),DATE(2029,6,30),0.05,95,100,1,1)</f>
        <v>0.0609651823742613</v>
      </c>
      <c r="B7270" s="0" t="s">
        <v>7249</v>
      </c>
    </row>
    <row r="7271" customFormat="false" ht="15" hidden="false" customHeight="false" outlineLevel="0" collapsed="false">
      <c r="A7271" s="0" t="n">
        <f aca="false">YIELD(DATE(2024,1,15),DATE(2029,6,30),0.1,101.5,100,1,1)</f>
        <v>0.0960626314194319</v>
      </c>
      <c r="B7271" s="0" t="s">
        <v>7250</v>
      </c>
    </row>
    <row r="7272" customFormat="false" ht="15" hidden="false" customHeight="false" outlineLevel="0" collapsed="false">
      <c r="A7272" s="0" t="n">
        <f aca="false">YIELD(DATE(2024,1,15),DATE(2029,6,30),0.05,100,100,1,1)</f>
        <v>0.0499353153638438</v>
      </c>
      <c r="B7272" s="0" t="s">
        <v>7251</v>
      </c>
    </row>
    <row r="7273" customFormat="false" ht="15" hidden="false" customHeight="false" outlineLevel="0" collapsed="false">
      <c r="A7273" s="0" t="n">
        <f aca="false">DURATION(DATE(2024,1,15),DATE(2029,6,30),0.05,0.08,1,1)</f>
        <v>4.72436630161853</v>
      </c>
      <c r="B7273" s="0" t="s">
        <v>7252</v>
      </c>
    </row>
    <row r="7274" customFormat="false" ht="15" hidden="false" customHeight="false" outlineLevel="0" collapsed="false">
      <c r="A7274" s="0" t="n">
        <f aca="false">DURATION(DATE(2024,1,15),DATE(2029,6,30),0.1,0.03,1,1)</f>
        <v>4.43950558164777</v>
      </c>
      <c r="B7274" s="0" t="s">
        <v>7253</v>
      </c>
    </row>
    <row r="7275" customFormat="false" ht="15" hidden="false" customHeight="false" outlineLevel="0" collapsed="false">
      <c r="A7275" s="0" t="n">
        <f aca="false">DURATION(DATE(2024,1,15),DATE(2029,6,30),0,0.05,1,1)</f>
        <v>5.45529197080292</v>
      </c>
      <c r="B7275" s="0" t="s">
        <v>7254</v>
      </c>
    </row>
    <row r="7276" customFormat="false" ht="15" hidden="false" customHeight="false" outlineLevel="0" collapsed="false">
      <c r="A7276" s="0" t="n">
        <f aca="false">MDURATION(DATE(2024,1,15),DATE(2029,6,30),0.05,0.08,1,1)</f>
        <v>4.37441324223938</v>
      </c>
      <c r="B7276" s="0" t="s">
        <v>7255</v>
      </c>
    </row>
    <row r="7277" customFormat="false" ht="15" hidden="false" customHeight="false" outlineLevel="0" collapsed="false">
      <c r="A7277" s="0" t="n">
        <f aca="false">MDURATION(DATE(2024,1,15),DATE(2029,6,30),0.1,0.03,1,1)</f>
        <v>4.31019959383279</v>
      </c>
      <c r="B7277" s="0" t="s">
        <v>7256</v>
      </c>
    </row>
    <row r="7278" customFormat="false" ht="15" hidden="false" customHeight="false" outlineLevel="0" collapsed="false">
      <c r="A7278" s="0" t="n">
        <f aca="false">PRICE(DATE(2024,1,15),DATE(2029,6,30),0.05,0.08,100,1,2)</f>
        <v>86.9955556749834</v>
      </c>
      <c r="B7278" s="0" t="s">
        <v>7257</v>
      </c>
    </row>
    <row r="7279" customFormat="false" ht="15" hidden="false" customHeight="false" outlineLevel="0" collapsed="false">
      <c r="A7279" s="0" t="n">
        <f aca="false">PRICE(DATE(2024,1,15),DATE(2029,6,30),0.1,0.03,105,1,2)</f>
        <v>138.849874973215</v>
      </c>
      <c r="B7279" s="0" t="s">
        <v>7258</v>
      </c>
    </row>
    <row r="7280" customFormat="false" ht="15" hidden="false" customHeight="false" outlineLevel="0" collapsed="false">
      <c r="A7280" s="0" t="n">
        <f aca="false">PRICE(DATE(2024,1,15),DATE(2029,6,30),0,0.05,100,1,2)</f>
        <v>76.5991630231154</v>
      </c>
      <c r="B7280" s="0" t="s">
        <v>7259</v>
      </c>
    </row>
    <row r="7281" customFormat="false" ht="15" hidden="false" customHeight="false" outlineLevel="0" collapsed="false">
      <c r="A7281" s="0" t="n">
        <f aca="false">YIELD(DATE(2024,1,15),DATE(2029,6,30),0.05,95,100,1,2)</f>
        <v>0.0607620718743608</v>
      </c>
      <c r="B7281" s="0" t="s">
        <v>7260</v>
      </c>
    </row>
    <row r="7282" customFormat="false" ht="15" hidden="false" customHeight="false" outlineLevel="0" collapsed="false">
      <c r="A7282" s="0" t="n">
        <f aca="false">YIELD(DATE(2024,1,15),DATE(2029,6,30),0.1,101.5,100,1,2)</f>
        <v>0.0956658969397846</v>
      </c>
      <c r="B7282" s="0" t="s">
        <v>7261</v>
      </c>
    </row>
    <row r="7283" customFormat="false" ht="15" hidden="false" customHeight="false" outlineLevel="0" collapsed="false">
      <c r="A7283" s="0" t="n">
        <f aca="false">YIELD(DATE(2024,1,15),DATE(2029,6,30),0.05,100,100,1,2)</f>
        <v>0.0497575747072228</v>
      </c>
      <c r="B7283" s="0" t="s">
        <v>7262</v>
      </c>
    </row>
    <row r="7284" customFormat="false" ht="15" hidden="false" customHeight="false" outlineLevel="0" collapsed="false">
      <c r="A7284" s="0" t="n">
        <f aca="false">DURATION(DATE(2024,1,15),DATE(2029,6,30),0.05,0.08,1,2)</f>
        <v>4.80518544192672</v>
      </c>
      <c r="B7284" s="0" t="s">
        <v>7263</v>
      </c>
    </row>
    <row r="7285" customFormat="false" ht="15" hidden="false" customHeight="false" outlineLevel="0" collapsed="false">
      <c r="A7285" s="0" t="n">
        <f aca="false">DURATION(DATE(2024,1,15),DATE(2029,6,30),0.1,0.03,1,2)</f>
        <v>4.52032472195597</v>
      </c>
      <c r="B7285" s="0" t="s">
        <v>7264</v>
      </c>
    </row>
    <row r="7286" customFormat="false" ht="15" hidden="false" customHeight="false" outlineLevel="0" collapsed="false">
      <c r="A7286" s="0" t="n">
        <f aca="false">DURATION(DATE(2024,1,15),DATE(2029,6,30),0,0.05,1,2)</f>
        <v>5.53611111111111</v>
      </c>
      <c r="B7286" s="0" t="s">
        <v>7265</v>
      </c>
    </row>
    <row r="7287" customFormat="false" ht="15" hidden="false" customHeight="false" outlineLevel="0" collapsed="false">
      <c r="A7287" s="0" t="n">
        <f aca="false">MDURATION(DATE(2024,1,15),DATE(2029,6,30),0.05,0.08,1,2)</f>
        <v>4.44924577956178</v>
      </c>
      <c r="B7287" s="0" t="s">
        <v>7266</v>
      </c>
    </row>
    <row r="7288" customFormat="false" ht="15" hidden="false" customHeight="false" outlineLevel="0" collapsed="false">
      <c r="A7288" s="0" t="n">
        <f aca="false">MDURATION(DATE(2024,1,15),DATE(2029,6,30),0.1,0.03,1,2)</f>
        <v>4.38866477859803</v>
      </c>
      <c r="B7288" s="0" t="s">
        <v>7267</v>
      </c>
    </row>
    <row r="7289" customFormat="false" ht="15" hidden="false" customHeight="false" outlineLevel="0" collapsed="false">
      <c r="A7289" s="0" t="n">
        <f aca="false">PRICE(DATE(2024,1,15),DATE(2029,6,30),0.05,0.08,100,1,3)</f>
        <v>87.0773256466251</v>
      </c>
      <c r="B7289" s="0" t="s">
        <v>7268</v>
      </c>
    </row>
    <row r="7290" customFormat="false" ht="15" hidden="false" customHeight="false" outlineLevel="0" collapsed="false">
      <c r="A7290" s="0" t="n">
        <f aca="false">PRICE(DATE(2024,1,15),DATE(2029,6,30),0.1,0.03,105,1,3)</f>
        <v>138.952719768877</v>
      </c>
      <c r="B7290" s="0" t="s">
        <v>7269</v>
      </c>
    </row>
    <row r="7291" customFormat="false" ht="15" hidden="false" customHeight="false" outlineLevel="0" collapsed="false">
      <c r="A7291" s="0" t="n">
        <f aca="false">PRICE(DATE(2024,1,15),DATE(2029,6,30),0,0.05,100,1,3)</f>
        <v>76.6229158192273</v>
      </c>
      <c r="B7291" s="0" t="s">
        <v>7270</v>
      </c>
    </row>
    <row r="7292" customFormat="false" ht="15" hidden="false" customHeight="false" outlineLevel="0" collapsed="false">
      <c r="A7292" s="0" t="n">
        <f aca="false">YIELD(DATE(2024,1,15),DATE(2029,6,30),0.05,95,100,1,3)</f>
        <v>0.0609317426750731</v>
      </c>
      <c r="B7292" s="0" t="s">
        <v>7271</v>
      </c>
    </row>
    <row r="7293" customFormat="false" ht="15" hidden="false" customHeight="false" outlineLevel="0" collapsed="false">
      <c r="A7293" s="0" t="n">
        <f aca="false">YIELD(DATE(2024,1,15),DATE(2029,6,30),0.1,101.5,100,1,3)</f>
        <v>0.0959972877155539</v>
      </c>
      <c r="B7293" s="0" t="s">
        <v>7272</v>
      </c>
    </row>
    <row r="7294" customFormat="false" ht="15" hidden="false" customHeight="false" outlineLevel="0" collapsed="false">
      <c r="A7294" s="0" t="n">
        <f aca="false">YIELD(DATE(2024,1,15),DATE(2029,6,30),0.05,100,100,1,3)</f>
        <v>0.0499060530500423</v>
      </c>
      <c r="B7294" s="0" t="s">
        <v>7273</v>
      </c>
    </row>
    <row r="7295" customFormat="false" ht="15" hidden="false" customHeight="false" outlineLevel="0" collapsed="false">
      <c r="A7295" s="0" t="n">
        <f aca="false">DURATION(DATE(2024,1,15),DATE(2029,6,30),0.05,0.08,1,3)</f>
        <v>4.72934830341835</v>
      </c>
      <c r="B7295" s="0" t="s">
        <v>7274</v>
      </c>
    </row>
    <row r="7296" customFormat="false" ht="15" hidden="false" customHeight="false" outlineLevel="0" collapsed="false">
      <c r="A7296" s="0" t="n">
        <f aca="false">DURATION(DATE(2024,1,15),DATE(2029,6,30),0.1,0.03,1,3)</f>
        <v>4.4444875834476</v>
      </c>
      <c r="B7296" s="0" t="s">
        <v>7275</v>
      </c>
    </row>
    <row r="7297" customFormat="false" ht="15" hidden="false" customHeight="false" outlineLevel="0" collapsed="false">
      <c r="A7297" s="0" t="n">
        <f aca="false">DURATION(DATE(2024,1,15),DATE(2029,6,30),0,0.05,1,3)</f>
        <v>5.46027397260274</v>
      </c>
      <c r="B7297" s="0" t="s">
        <v>7276</v>
      </c>
    </row>
    <row r="7298" customFormat="false" ht="15" hidden="false" customHeight="false" outlineLevel="0" collapsed="false">
      <c r="A7298" s="0" t="n">
        <f aca="false">MDURATION(DATE(2024,1,15),DATE(2029,6,30),0.05,0.08,1,3)</f>
        <v>4.37902620686884</v>
      </c>
      <c r="B7298" s="0" t="s">
        <v>7277</v>
      </c>
    </row>
    <row r="7299" customFormat="false" ht="15" hidden="false" customHeight="false" outlineLevel="0" collapsed="false">
      <c r="A7299" s="0" t="n">
        <f aca="false">MDURATION(DATE(2024,1,15),DATE(2029,6,30),0.1,0.03,1,3)</f>
        <v>4.31503648878407</v>
      </c>
      <c r="B7299" s="0" t="s">
        <v>7278</v>
      </c>
    </row>
    <row r="7300" customFormat="false" ht="15" hidden="false" customHeight="false" outlineLevel="0" collapsed="false">
      <c r="A7300" s="0" t="n">
        <f aca="false">PRICE(DATE(2024,1,15),DATE(2029,6,30),0.05,0.08,100,1,4)</f>
        <v>87.0894971044755</v>
      </c>
      <c r="B7300" s="0" t="s">
        <v>7279</v>
      </c>
    </row>
    <row r="7301" customFormat="false" ht="15" hidden="false" customHeight="false" outlineLevel="0" collapsed="false">
      <c r="A7301" s="0" t="n">
        <f aca="false">PRICE(DATE(2024,1,15),DATE(2029,6,30),0.1,0.03,105,1,4)</f>
        <v>138.984697089386</v>
      </c>
      <c r="B7301" s="0" t="s">
        <v>7280</v>
      </c>
    </row>
    <row r="7302" customFormat="false" ht="15" hidden="false" customHeight="false" outlineLevel="0" collapsed="false">
      <c r="A7302" s="0" t="n">
        <f aca="false">PRICE(DATE(2024,1,15),DATE(2029,6,30),0,0.05,100,1,4)</f>
        <v>76.6199285358523</v>
      </c>
      <c r="B7302" s="0" t="s">
        <v>7281</v>
      </c>
    </row>
    <row r="7303" customFormat="false" ht="15" hidden="false" customHeight="false" outlineLevel="0" collapsed="false">
      <c r="A7303" s="0" t="n">
        <f aca="false">YIELD(DATE(2024,1,15),DATE(2029,6,30),0.05,95,100,1,4)</f>
        <v>0.0609615289792041</v>
      </c>
      <c r="B7303" s="0" t="s">
        <v>7282</v>
      </c>
    </row>
    <row r="7304" customFormat="false" ht="15" hidden="false" customHeight="false" outlineLevel="0" collapsed="false">
      <c r="A7304" s="0" t="n">
        <f aca="false">YIELD(DATE(2024,1,15),DATE(2029,6,30),0.1,101.5,100,1,4)</f>
        <v>0.0960635790459005</v>
      </c>
      <c r="B7304" s="0" t="s">
        <v>7283</v>
      </c>
    </row>
    <row r="7305" customFormat="false" ht="15" hidden="false" customHeight="false" outlineLevel="0" collapsed="false">
      <c r="A7305" s="0" t="n">
        <f aca="false">YIELD(DATE(2024,1,15),DATE(2029,6,30),0.05,100,100,1,4)</f>
        <v>0.0499352931455671</v>
      </c>
      <c r="B7305" s="0" t="s">
        <v>7284</v>
      </c>
    </row>
    <row r="7306" customFormat="false" ht="15" hidden="false" customHeight="false" outlineLevel="0" collapsed="false">
      <c r="A7306" s="0" t="n">
        <f aca="false">DURATION(DATE(2024,1,15),DATE(2029,6,30),0.05,0.08,1,4)</f>
        <v>4.72740766414895</v>
      </c>
      <c r="B7306" s="0" t="s">
        <v>7285</v>
      </c>
    </row>
    <row r="7307" customFormat="false" ht="15" hidden="false" customHeight="false" outlineLevel="0" collapsed="false">
      <c r="A7307" s="0" t="n">
        <f aca="false">DURATION(DATE(2024,1,15),DATE(2029,6,30),0.1,0.03,1,4)</f>
        <v>4.44254694417819</v>
      </c>
      <c r="B7307" s="0" t="s">
        <v>7286</v>
      </c>
    </row>
    <row r="7308" customFormat="false" ht="15" hidden="false" customHeight="false" outlineLevel="0" collapsed="false">
      <c r="A7308" s="0" t="n">
        <f aca="false">DURATION(DATE(2024,1,15),DATE(2029,6,30),0,0.05,1,4)</f>
        <v>5.45833333333333</v>
      </c>
      <c r="B7308" s="0" t="s">
        <v>7287</v>
      </c>
    </row>
    <row r="7309" customFormat="false" ht="15" hidden="false" customHeight="false" outlineLevel="0" collapsed="false">
      <c r="A7309" s="0" t="n">
        <f aca="false">MDURATION(DATE(2024,1,15),DATE(2029,6,30),0.05,0.08,1,4)</f>
        <v>4.37722931865643</v>
      </c>
      <c r="B7309" s="0" t="s">
        <v>7288</v>
      </c>
    </row>
    <row r="7310" customFormat="false" ht="15" hidden="false" customHeight="false" outlineLevel="0" collapsed="false">
      <c r="A7310" s="0" t="n">
        <f aca="false">MDURATION(DATE(2024,1,15),DATE(2029,6,30),0.1,0.03,1,4)</f>
        <v>4.31315237298853</v>
      </c>
      <c r="B7310" s="0" t="s">
        <v>7289</v>
      </c>
    </row>
    <row r="7311" customFormat="false" ht="15" hidden="false" customHeight="false" outlineLevel="0" collapsed="false">
      <c r="A7311" s="0" t="n">
        <f aca="false">PRICE(DATE(2024,1,15),DATE(2029,6,30),0.05,0.08,100,2,0)</f>
        <v>86.9353062968297</v>
      </c>
      <c r="B7311" s="0" t="s">
        <v>7290</v>
      </c>
    </row>
    <row r="7312" customFormat="false" ht="15" hidden="false" customHeight="false" outlineLevel="0" collapsed="false">
      <c r="A7312" s="0" t="n">
        <f aca="false">PRICE(DATE(2024,1,15),DATE(2029,6,30),0.1,0.03,105,2,0)</f>
        <v>139.250091311351</v>
      </c>
      <c r="B7312" s="0" t="s">
        <v>7291</v>
      </c>
    </row>
    <row r="7313" customFormat="false" ht="15" hidden="false" customHeight="false" outlineLevel="0" collapsed="false">
      <c r="A7313" s="0" t="n">
        <f aca="false">PRICE(DATE(2024,1,15),DATE(2029,6,30),0,0.05,100,2,0)</f>
        <v>76.371467563663</v>
      </c>
      <c r="B7313" s="0" t="s">
        <v>7292</v>
      </c>
    </row>
    <row r="7314" customFormat="false" ht="15" hidden="false" customHeight="false" outlineLevel="0" collapsed="false">
      <c r="A7314" s="0" t="n">
        <f aca="false">YIELD(DATE(2024,1,15),DATE(2029,6,30),0.05,95,100,2,0)</f>
        <v>0.0608982437754127</v>
      </c>
      <c r="B7314" s="0" t="s">
        <v>7293</v>
      </c>
    </row>
    <row r="7315" customFormat="false" ht="15" hidden="false" customHeight="false" outlineLevel="0" collapsed="false">
      <c r="A7315" s="0" t="n">
        <f aca="false">YIELD(DATE(2024,1,15),DATE(2029,6,30),0.1,101.5,100,2,0)</f>
        <v>0.0963803113308958</v>
      </c>
      <c r="B7315" s="0" t="s">
        <v>7294</v>
      </c>
    </row>
    <row r="7316" customFormat="false" ht="15" hidden="false" customHeight="false" outlineLevel="0" collapsed="false">
      <c r="A7316" s="0" t="n">
        <f aca="false">YIELD(DATE(2024,1,15),DATE(2029,6,30),0.05,100,100,2,0)</f>
        <v>0.0499950283755272</v>
      </c>
      <c r="B7316" s="0" t="s">
        <v>7295</v>
      </c>
    </row>
    <row r="7317" customFormat="false" ht="15" hidden="false" customHeight="false" outlineLevel="0" collapsed="false">
      <c r="A7317" s="0" t="n">
        <f aca="false">DURATION(DATE(2024,1,15),DATE(2029,6,30),0.05,0.08,2,0)</f>
        <v>4.7786764959524</v>
      </c>
      <c r="B7317" s="0" t="s">
        <v>7296</v>
      </c>
    </row>
    <row r="7318" customFormat="false" ht="15" hidden="false" customHeight="false" outlineLevel="0" collapsed="false">
      <c r="A7318" s="0" t="n">
        <f aca="false">DURATION(DATE(2024,1,15),DATE(2029,6,30),0.1,0.03,2,0)</f>
        <v>4.49983462255058</v>
      </c>
      <c r="B7318" s="0" t="s">
        <v>7297</v>
      </c>
    </row>
    <row r="7319" customFormat="false" ht="15" hidden="false" customHeight="false" outlineLevel="0" collapsed="false">
      <c r="A7319" s="0" t="n">
        <f aca="false">DURATION(DATE(2024,1,15),DATE(2029,6,30),0,0.05,2,0)</f>
        <v>5.45833333333333</v>
      </c>
      <c r="B7319" s="0" t="s">
        <v>7298</v>
      </c>
    </row>
    <row r="7320" customFormat="false" ht="15" hidden="false" customHeight="false" outlineLevel="0" collapsed="false">
      <c r="A7320" s="0" t="n">
        <f aca="false">MDURATION(DATE(2024,1,15),DATE(2029,6,30),0.05,0.08,2,0)</f>
        <v>4.59488124610808</v>
      </c>
      <c r="B7320" s="0" t="s">
        <v>7299</v>
      </c>
    </row>
    <row r="7321" customFormat="false" ht="15" hidden="false" customHeight="false" outlineLevel="0" collapsed="false">
      <c r="A7321" s="0" t="n">
        <f aca="false">MDURATION(DATE(2024,1,15),DATE(2029,6,30),0.1,0.03,2,0)</f>
        <v>4.43333460349811</v>
      </c>
      <c r="B7321" s="0" t="s">
        <v>7300</v>
      </c>
    </row>
    <row r="7322" customFormat="false" ht="15" hidden="false" customHeight="false" outlineLevel="0" collapsed="false">
      <c r="A7322" s="0" t="n">
        <f aca="false">PRICE(DATE(2024,1,15),DATE(2029,6,30),0.05,0.08,100,2,1)</f>
        <v>86.9344658441598</v>
      </c>
      <c r="B7322" s="0" t="s">
        <v>7301</v>
      </c>
    </row>
    <row r="7323" customFormat="false" ht="15" hidden="false" customHeight="false" outlineLevel="0" collapsed="false">
      <c r="A7323" s="0" t="n">
        <f aca="false">PRICE(DATE(2024,1,15),DATE(2029,6,30),0.1,0.03,105,2,1)</f>
        <v>139.252765825946</v>
      </c>
      <c r="B7323" s="0" t="s">
        <v>7302</v>
      </c>
    </row>
    <row r="7324" customFormat="false" ht="15" hidden="false" customHeight="false" outlineLevel="0" collapsed="false">
      <c r="A7324" s="0" t="n">
        <f aca="false">PRICE(DATE(2024,1,15),DATE(2029,6,30),0,0.05,100,2,1)</f>
        <v>76.3697406499813</v>
      </c>
      <c r="B7324" s="0" t="s">
        <v>7303</v>
      </c>
    </row>
    <row r="7325" customFormat="false" ht="15" hidden="false" customHeight="false" outlineLevel="0" collapsed="false">
      <c r="A7325" s="0" t="n">
        <f aca="false">YIELD(DATE(2024,1,15),DATE(2029,6,30),0.05,95,100,2,1)</f>
        <v>0.0608975115597627</v>
      </c>
      <c r="B7325" s="0" t="s">
        <v>7304</v>
      </c>
    </row>
    <row r="7326" customFormat="false" ht="15" hidden="false" customHeight="false" outlineLevel="0" collapsed="false">
      <c r="A7326" s="0" t="n">
        <f aca="false">YIELD(DATE(2024,1,15),DATE(2029,6,30),0.1,101.5,100,2,1)</f>
        <v>0.0963807538128239</v>
      </c>
      <c r="B7326" s="0" t="s">
        <v>7305</v>
      </c>
    </row>
    <row r="7327" customFormat="false" ht="15" hidden="false" customHeight="false" outlineLevel="0" collapsed="false">
      <c r="A7327" s="0" t="n">
        <f aca="false">YIELD(DATE(2024,1,15),DATE(2029,6,30),0.05,100,100,2,1)</f>
        <v>0.0499950784878694</v>
      </c>
      <c r="B7327" s="0" t="s">
        <v>7306</v>
      </c>
    </row>
    <row r="7328" customFormat="false" ht="15" hidden="false" customHeight="false" outlineLevel="0" collapsed="false">
      <c r="A7328" s="0" t="n">
        <f aca="false">DURATION(DATE(2024,1,15),DATE(2029,6,30),0.05,0.08,2,1)</f>
        <v>4.77563513342198</v>
      </c>
      <c r="B7328" s="0" t="s">
        <v>7307</v>
      </c>
    </row>
    <row r="7329" customFormat="false" ht="15" hidden="false" customHeight="false" outlineLevel="0" collapsed="false">
      <c r="A7329" s="0" t="n">
        <f aca="false">DURATION(DATE(2024,1,15),DATE(2029,6,30),0.1,0.03,2,1)</f>
        <v>4.49679326002017</v>
      </c>
      <c r="B7329" s="0" t="s">
        <v>7308</v>
      </c>
    </row>
    <row r="7330" customFormat="false" ht="15" hidden="false" customHeight="false" outlineLevel="0" collapsed="false">
      <c r="A7330" s="0" t="n">
        <f aca="false">DURATION(DATE(2024,1,15),DATE(2029,6,30),0,0.05,2,1)</f>
        <v>5.45529197080292</v>
      </c>
      <c r="B7330" s="0" t="s">
        <v>7309</v>
      </c>
    </row>
    <row r="7331" customFormat="false" ht="15" hidden="false" customHeight="false" outlineLevel="0" collapsed="false">
      <c r="A7331" s="0" t="n">
        <f aca="false">MDURATION(DATE(2024,1,15),DATE(2029,6,30),0.05,0.08,2,1)</f>
        <v>4.5919568590596</v>
      </c>
      <c r="B7331" s="0" t="s">
        <v>7310</v>
      </c>
    </row>
    <row r="7332" customFormat="false" ht="15" hidden="false" customHeight="false" outlineLevel="0" collapsed="false">
      <c r="A7332" s="0" t="n">
        <f aca="false">MDURATION(DATE(2024,1,15),DATE(2029,6,30),0.1,0.03,2,1)</f>
        <v>4.43033818721199</v>
      </c>
      <c r="B7332" s="0" t="s">
        <v>7311</v>
      </c>
    </row>
    <row r="7333" customFormat="false" ht="15" hidden="false" customHeight="false" outlineLevel="0" collapsed="false">
      <c r="A7333" s="0" t="n">
        <f aca="false">PRICE(DATE(2024,1,15),DATE(2029,6,30),0.05,0.08,100,2,2)</f>
        <v>86.8973386181712</v>
      </c>
      <c r="B7333" s="0" t="s">
        <v>7312</v>
      </c>
    </row>
    <row r="7334" customFormat="false" ht="15" hidden="false" customHeight="false" outlineLevel="0" collapsed="false">
      <c r="A7334" s="0" t="n">
        <f aca="false">PRICE(DATE(2024,1,15),DATE(2029,6,30),0.1,0.03,105,2,2)</f>
        <v>139.226988286384</v>
      </c>
      <c r="B7334" s="0" t="s">
        <v>7313</v>
      </c>
    </row>
    <row r="7335" customFormat="false" ht="15" hidden="false" customHeight="false" outlineLevel="0" collapsed="false">
      <c r="A7335" s="0" t="n">
        <f aca="false">PRICE(DATE(2024,1,15),DATE(2029,6,30),0,0.05,100,2,2)</f>
        <v>76.350516981581</v>
      </c>
      <c r="B7335" s="0" t="s">
        <v>7314</v>
      </c>
    </row>
    <row r="7336" customFormat="false" ht="15" hidden="false" customHeight="false" outlineLevel="0" collapsed="false">
      <c r="A7336" s="0" t="n">
        <f aca="false">YIELD(DATE(2024,1,15),DATE(2029,6,30),0.05,95,100,2,2)</f>
        <v>0.0608269981276645</v>
      </c>
      <c r="B7336" s="0" t="s">
        <v>7315</v>
      </c>
    </row>
    <row r="7337" customFormat="false" ht="15" hidden="false" customHeight="false" outlineLevel="0" collapsed="false">
      <c r="A7337" s="0" t="n">
        <f aca="false">YIELD(DATE(2024,1,15),DATE(2029,6,30),0.1,101.5,100,2,2)</f>
        <v>0.0962538607640586</v>
      </c>
      <c r="B7337" s="0" t="s">
        <v>7316</v>
      </c>
    </row>
    <row r="7338" customFormat="false" ht="15" hidden="false" customHeight="false" outlineLevel="0" collapsed="false">
      <c r="A7338" s="0" t="n">
        <f aca="false">YIELD(DATE(2024,1,15),DATE(2029,6,30),0.05,100,100,2,2)</f>
        <v>0.0499369312298945</v>
      </c>
      <c r="B7338" s="0" t="s">
        <v>7317</v>
      </c>
    </row>
    <row r="7339" customFormat="false" ht="15" hidden="false" customHeight="false" outlineLevel="0" collapsed="false">
      <c r="A7339" s="0" t="n">
        <f aca="false">DURATION(DATE(2024,1,15),DATE(2029,6,30),0.05,0.08,2,2)</f>
        <v>4.85645427373018</v>
      </c>
      <c r="B7339" s="0" t="s">
        <v>7318</v>
      </c>
    </row>
    <row r="7340" customFormat="false" ht="15" hidden="false" customHeight="false" outlineLevel="0" collapsed="false">
      <c r="A7340" s="0" t="n">
        <f aca="false">DURATION(DATE(2024,1,15),DATE(2029,6,30),0.1,0.03,2,2)</f>
        <v>4.57761240032836</v>
      </c>
      <c r="B7340" s="0" t="s">
        <v>7319</v>
      </c>
    </row>
    <row r="7341" customFormat="false" ht="15" hidden="false" customHeight="false" outlineLevel="0" collapsed="false">
      <c r="A7341" s="0" t="n">
        <f aca="false">DURATION(DATE(2024,1,15),DATE(2029,6,30),0,0.05,2,2)</f>
        <v>5.53611111111111</v>
      </c>
      <c r="B7341" s="0" t="s">
        <v>7320</v>
      </c>
    </row>
    <row r="7342" customFormat="false" ht="15" hidden="false" customHeight="false" outlineLevel="0" collapsed="false">
      <c r="A7342" s="0" t="n">
        <f aca="false">MDURATION(DATE(2024,1,15),DATE(2029,6,30),0.05,0.08,2,2)</f>
        <v>4.6696675708944</v>
      </c>
      <c r="B7342" s="0" t="s">
        <v>7321</v>
      </c>
    </row>
    <row r="7343" customFormat="false" ht="15" hidden="false" customHeight="false" outlineLevel="0" collapsed="false">
      <c r="A7343" s="0" t="n">
        <f aca="false">MDURATION(DATE(2024,1,15),DATE(2029,6,30),0.1,0.03,2,2)</f>
        <v>4.50996295598853</v>
      </c>
      <c r="B7343" s="0" t="s">
        <v>7322</v>
      </c>
    </row>
    <row r="7344" customFormat="false" ht="15" hidden="false" customHeight="false" outlineLevel="0" collapsed="false">
      <c r="A7344" s="0" t="n">
        <f aca="false">PRICE(DATE(2024,1,15),DATE(2029,6,30),0.05,0.08,100,2,3)</f>
        <v>86.9436226437909</v>
      </c>
      <c r="B7344" s="0" t="s">
        <v>7323</v>
      </c>
    </row>
    <row r="7345" customFormat="false" ht="15" hidden="false" customHeight="false" outlineLevel="0" collapsed="false">
      <c r="A7345" s="0" t="n">
        <f aca="false">PRICE(DATE(2024,1,15),DATE(2029,6,30),0.1,0.03,105,2,3)</f>
        <v>139.259122426156</v>
      </c>
      <c r="B7345" s="0" t="s">
        <v>7324</v>
      </c>
    </row>
    <row r="7346" customFormat="false" ht="15" hidden="false" customHeight="false" outlineLevel="0" collapsed="false">
      <c r="A7346" s="0" t="n">
        <f aca="false">PRICE(DATE(2024,1,15),DATE(2029,6,30),0,0.05,100,2,3)</f>
        <v>76.3744814764263</v>
      </c>
      <c r="B7346" s="0" t="s">
        <v>7325</v>
      </c>
    </row>
    <row r="7347" customFormat="false" ht="15" hidden="false" customHeight="false" outlineLevel="0" collapsed="false">
      <c r="A7347" s="0" t="n">
        <f aca="false">YIELD(DATE(2024,1,15),DATE(2029,6,30),0.05,95,100,2,3)</f>
        <v>0.0609149220683792</v>
      </c>
      <c r="B7347" s="0" t="s">
        <v>7326</v>
      </c>
    </row>
    <row r="7348" customFormat="false" ht="15" hidden="false" customHeight="false" outlineLevel="0" collapsed="false">
      <c r="A7348" s="0" t="n">
        <f aca="false">YIELD(DATE(2024,1,15),DATE(2029,6,30),0.1,101.5,100,2,3)</f>
        <v>0.0964120912506877</v>
      </c>
      <c r="B7348" s="0" t="s">
        <v>7327</v>
      </c>
    </row>
    <row r="7349" customFormat="false" ht="15" hidden="false" customHeight="false" outlineLevel="0" collapsed="false">
      <c r="A7349" s="0" t="n">
        <f aca="false">YIELD(DATE(2024,1,15),DATE(2029,6,30),0.05,100,100,2,3)</f>
        <v>0.0500094354814667</v>
      </c>
      <c r="B7349" s="0" t="s">
        <v>7328</v>
      </c>
    </row>
    <row r="7350" customFormat="false" ht="15" hidden="false" customHeight="false" outlineLevel="0" collapsed="false">
      <c r="A7350" s="0" t="n">
        <f aca="false">DURATION(DATE(2024,1,15),DATE(2029,6,30),0.05,0.08,2,3)</f>
        <v>4.78061713522181</v>
      </c>
      <c r="B7350" s="0" t="s">
        <v>7329</v>
      </c>
    </row>
    <row r="7351" customFormat="false" ht="15" hidden="false" customHeight="false" outlineLevel="0" collapsed="false">
      <c r="A7351" s="0" t="n">
        <f aca="false">DURATION(DATE(2024,1,15),DATE(2029,6,30),0.1,0.03,2,3)</f>
        <v>4.50177526181999</v>
      </c>
      <c r="B7351" s="0" t="s">
        <v>7330</v>
      </c>
    </row>
    <row r="7352" customFormat="false" ht="15" hidden="false" customHeight="false" outlineLevel="0" collapsed="false">
      <c r="A7352" s="0" t="n">
        <f aca="false">DURATION(DATE(2024,1,15),DATE(2029,6,30),0,0.05,2,3)</f>
        <v>5.46027397260274</v>
      </c>
      <c r="B7352" s="0" t="s">
        <v>7331</v>
      </c>
    </row>
    <row r="7353" customFormat="false" ht="15" hidden="false" customHeight="false" outlineLevel="0" collapsed="false">
      <c r="A7353" s="0" t="n">
        <f aca="false">MDURATION(DATE(2024,1,15),DATE(2029,6,30),0.05,0.08,2,3)</f>
        <v>4.59674724540558</v>
      </c>
      <c r="B7353" s="0" t="s">
        <v>7332</v>
      </c>
    </row>
    <row r="7354" customFormat="false" ht="15" hidden="false" customHeight="false" outlineLevel="0" collapsed="false">
      <c r="A7354" s="0" t="n">
        <f aca="false">MDURATION(DATE(2024,1,15),DATE(2029,6,30),0.1,0.03,2,3)</f>
        <v>4.43524656336945</v>
      </c>
      <c r="B7354" s="0" t="s">
        <v>7333</v>
      </c>
    </row>
    <row r="7355" customFormat="false" ht="15" hidden="false" customHeight="false" outlineLevel="0" collapsed="false">
      <c r="A7355" s="0" t="n">
        <f aca="false">PRICE(DATE(2024,1,15),DATE(2029,6,30),0.05,0.08,100,2,4)</f>
        <v>86.9353062968297</v>
      </c>
      <c r="B7355" s="0" t="s">
        <v>7334</v>
      </c>
    </row>
    <row r="7356" customFormat="false" ht="15" hidden="false" customHeight="false" outlineLevel="0" collapsed="false">
      <c r="A7356" s="0" t="n">
        <f aca="false">PRICE(DATE(2024,1,15),DATE(2029,6,30),0.1,0.03,105,2,4)</f>
        <v>139.250091311351</v>
      </c>
      <c r="B7356" s="0" t="s">
        <v>7335</v>
      </c>
    </row>
    <row r="7357" customFormat="false" ht="15" hidden="false" customHeight="false" outlineLevel="0" collapsed="false">
      <c r="A7357" s="0" t="n">
        <f aca="false">PRICE(DATE(2024,1,15),DATE(2029,6,30),0,0.05,100,2,4)</f>
        <v>76.371467563663</v>
      </c>
      <c r="B7357" s="0" t="s">
        <v>7336</v>
      </c>
    </row>
    <row r="7358" customFormat="false" ht="15" hidden="false" customHeight="false" outlineLevel="0" collapsed="false">
      <c r="A7358" s="0" t="n">
        <f aca="false">YIELD(DATE(2024,1,15),DATE(2029,6,30),0.05,95,100,2,4)</f>
        <v>0.0608982437754127</v>
      </c>
      <c r="B7358" s="0" t="s">
        <v>7337</v>
      </c>
    </row>
    <row r="7359" customFormat="false" ht="15" hidden="false" customHeight="false" outlineLevel="0" collapsed="false">
      <c r="A7359" s="0" t="n">
        <f aca="false">YIELD(DATE(2024,1,15),DATE(2029,6,30),0.1,101.5,100,2,4)</f>
        <v>0.0963803113308958</v>
      </c>
      <c r="B7359" s="0" t="s">
        <v>7338</v>
      </c>
    </row>
    <row r="7360" customFormat="false" ht="15" hidden="false" customHeight="false" outlineLevel="0" collapsed="false">
      <c r="A7360" s="0" t="n">
        <f aca="false">YIELD(DATE(2024,1,15),DATE(2029,6,30),0.05,100,100,2,4)</f>
        <v>0.0499950283755272</v>
      </c>
      <c r="B7360" s="0" t="s">
        <v>7339</v>
      </c>
    </row>
    <row r="7361" customFormat="false" ht="15" hidden="false" customHeight="false" outlineLevel="0" collapsed="false">
      <c r="A7361" s="0" t="n">
        <f aca="false">DURATION(DATE(2024,1,15),DATE(2029,6,30),0.05,0.08,2,4)</f>
        <v>4.7786764959524</v>
      </c>
      <c r="B7361" s="0" t="s">
        <v>7340</v>
      </c>
    </row>
    <row r="7362" customFormat="false" ht="15" hidden="false" customHeight="false" outlineLevel="0" collapsed="false">
      <c r="A7362" s="0" t="n">
        <f aca="false">DURATION(DATE(2024,1,15),DATE(2029,6,30),0.1,0.03,2,4)</f>
        <v>4.49983462255058</v>
      </c>
      <c r="B7362" s="0" t="s">
        <v>7341</v>
      </c>
    </row>
    <row r="7363" customFormat="false" ht="15" hidden="false" customHeight="false" outlineLevel="0" collapsed="false">
      <c r="A7363" s="0" t="n">
        <f aca="false">DURATION(DATE(2024,1,15),DATE(2029,6,30),0,0.05,2,4)</f>
        <v>5.45833333333333</v>
      </c>
      <c r="B7363" s="0" t="s">
        <v>7342</v>
      </c>
    </row>
    <row r="7364" customFormat="false" ht="15" hidden="false" customHeight="false" outlineLevel="0" collapsed="false">
      <c r="A7364" s="0" t="n">
        <f aca="false">MDURATION(DATE(2024,1,15),DATE(2029,6,30),0.05,0.08,2,4)</f>
        <v>4.59488124610808</v>
      </c>
      <c r="B7364" s="0" t="s">
        <v>7343</v>
      </c>
    </row>
    <row r="7365" customFormat="false" ht="15" hidden="false" customHeight="false" outlineLevel="0" collapsed="false">
      <c r="A7365" s="0" t="n">
        <f aca="false">MDURATION(DATE(2024,1,15),DATE(2029,6,30),0.1,0.03,2,4)</f>
        <v>4.43333460349811</v>
      </c>
      <c r="B7365" s="0" t="s">
        <v>7344</v>
      </c>
    </row>
    <row r="7366" customFormat="false" ht="15" hidden="false" customHeight="false" outlineLevel="0" collapsed="false">
      <c r="A7366" s="0" t="n">
        <f aca="false">PRICE(DATE(2024,1,15),DATE(2029,6,30),0.05,0.08,100,4,0)</f>
        <v>86.8349378730485</v>
      </c>
      <c r="B7366" s="0" t="s">
        <v>7345</v>
      </c>
    </row>
    <row r="7367" customFormat="false" ht="15" hidden="false" customHeight="false" outlineLevel="0" collapsed="false">
      <c r="A7367" s="0" t="n">
        <f aca="false">PRICE(DATE(2024,1,15),DATE(2029,6,30),0.1,0.03,105,4,0)</f>
        <v>139.369010084879</v>
      </c>
      <c r="B7367" s="0" t="s">
        <v>7346</v>
      </c>
    </row>
    <row r="7368" customFormat="false" ht="15" hidden="false" customHeight="false" outlineLevel="0" collapsed="false">
      <c r="A7368" s="0" t="n">
        <f aca="false">PRICE(DATE(2024,1,15),DATE(2029,6,30),0,0.05,100,4,0)</f>
        <v>76.2444911770778</v>
      </c>
      <c r="B7368" s="0" t="s">
        <v>7347</v>
      </c>
    </row>
    <row r="7369" customFormat="false" ht="15" hidden="false" customHeight="false" outlineLevel="0" collapsed="false">
      <c r="A7369" s="0" t="n">
        <f aca="false">YIELD(DATE(2024,1,15),DATE(2029,6,30),0.05,95,100,4,0)</f>
        <v>0.0608311021173654</v>
      </c>
      <c r="B7369" s="0" t="s">
        <v>7348</v>
      </c>
    </row>
    <row r="7370" customFormat="false" ht="15" hidden="false" customHeight="false" outlineLevel="0" collapsed="false">
      <c r="A7370" s="0" t="n">
        <f aca="false">YIELD(DATE(2024,1,15),DATE(2029,6,30),0.1,101.5,100,4,0)</f>
        <v>0.0964235310863704</v>
      </c>
      <c r="B7370" s="0" t="s">
        <v>7349</v>
      </c>
    </row>
    <row r="7371" customFormat="false" ht="15" hidden="false" customHeight="false" outlineLevel="0" collapsed="false">
      <c r="A7371" s="0" t="n">
        <f aca="false">YIELD(DATE(2024,1,15),DATE(2029,6,30),0.05,100,100,4,0)</f>
        <v>0.0499977335817247</v>
      </c>
      <c r="B7371" s="0" t="s">
        <v>7350</v>
      </c>
    </row>
    <row r="7372" customFormat="false" ht="15" hidden="false" customHeight="false" outlineLevel="0" collapsed="false">
      <c r="A7372" s="0" t="n">
        <f aca="false">DURATION(DATE(2024,1,15),DATE(2029,6,30),0.05,0.08,4,0)</f>
        <v>4.73994470744412</v>
      </c>
      <c r="B7372" s="0" t="s">
        <v>7351</v>
      </c>
    </row>
    <row r="7373" customFormat="false" ht="15" hidden="false" customHeight="false" outlineLevel="0" collapsed="false">
      <c r="A7373" s="0" t="n">
        <f aca="false">DURATION(DATE(2024,1,15),DATE(2029,6,30),0.1,0.03,4,0)</f>
        <v>4.45047473257543</v>
      </c>
      <c r="B7373" s="0" t="s">
        <v>7352</v>
      </c>
    </row>
    <row r="7374" customFormat="false" ht="15" hidden="false" customHeight="false" outlineLevel="0" collapsed="false">
      <c r="A7374" s="0" t="n">
        <f aca="false">DURATION(DATE(2024,1,15),DATE(2029,6,30),0,0.05,4,0)</f>
        <v>5.45833333333333</v>
      </c>
      <c r="B7374" s="0" t="s">
        <v>7353</v>
      </c>
    </row>
    <row r="7375" customFormat="false" ht="15" hidden="false" customHeight="false" outlineLevel="0" collapsed="false">
      <c r="A7375" s="0" t="n">
        <f aca="false">MDURATION(DATE(2024,1,15),DATE(2029,6,30),0.05,0.08,4,0)</f>
        <v>4.64700461514129</v>
      </c>
      <c r="B7375" s="0" t="s">
        <v>7354</v>
      </c>
    </row>
    <row r="7376" customFormat="false" ht="15" hidden="false" customHeight="false" outlineLevel="0" collapsed="false">
      <c r="A7376" s="0" t="n">
        <f aca="false">MDURATION(DATE(2024,1,15),DATE(2029,6,30),0.1,0.03,4,0)</f>
        <v>4.41734464771755</v>
      </c>
      <c r="B7376" s="0" t="s">
        <v>7355</v>
      </c>
    </row>
    <row r="7377" customFormat="false" ht="15" hidden="false" customHeight="false" outlineLevel="0" collapsed="false">
      <c r="A7377" s="0" t="n">
        <f aca="false">PRICE(DATE(2024,1,15),DATE(2029,6,30),0.05,0.08,100,4,1)</f>
        <v>86.834070374512</v>
      </c>
      <c r="B7377" s="0" t="s">
        <v>7356</v>
      </c>
    </row>
    <row r="7378" customFormat="false" ht="15" hidden="false" customHeight="false" outlineLevel="0" collapsed="false">
      <c r="A7378" s="0" t="n">
        <f aca="false">PRICE(DATE(2024,1,15),DATE(2029,6,30),0.1,0.03,105,4,1)</f>
        <v>139.371675884322</v>
      </c>
      <c r="B7378" s="0" t="s">
        <v>7357</v>
      </c>
    </row>
    <row r="7379" customFormat="false" ht="15" hidden="false" customHeight="false" outlineLevel="0" collapsed="false">
      <c r="A7379" s="0" t="n">
        <f aca="false">PRICE(DATE(2024,1,15),DATE(2029,6,30),0,0.05,100,4,1)</f>
        <v>76.2427564922027</v>
      </c>
      <c r="B7379" s="0" t="s">
        <v>7358</v>
      </c>
    </row>
    <row r="7380" customFormat="false" ht="15" hidden="false" customHeight="false" outlineLevel="0" collapsed="false">
      <c r="A7380" s="0" t="n">
        <f aca="false">YIELD(DATE(2024,1,15),DATE(2029,6,30),0.05,95,100,4,1)</f>
        <v>0.0608303381007981</v>
      </c>
      <c r="B7380" s="0" t="s">
        <v>7359</v>
      </c>
    </row>
    <row r="7381" customFormat="false" ht="15" hidden="false" customHeight="false" outlineLevel="0" collapsed="false">
      <c r="A7381" s="0" t="n">
        <f aca="false">YIELD(DATE(2024,1,15),DATE(2029,6,30),0.1,101.5,100,4,1)</f>
        <v>0.0964238434978101</v>
      </c>
      <c r="B7381" s="0" t="s">
        <v>7360</v>
      </c>
    </row>
    <row r="7382" customFormat="false" ht="15" hidden="false" customHeight="false" outlineLevel="0" collapsed="false">
      <c r="A7382" s="0" t="n">
        <f aca="false">YIELD(DATE(2024,1,15),DATE(2029,6,30),0.05,100,100,4,1)</f>
        <v>0.0499977537410506</v>
      </c>
      <c r="B7382" s="0" t="s">
        <v>7361</v>
      </c>
    </row>
    <row r="7383" customFormat="false" ht="15" hidden="false" customHeight="false" outlineLevel="0" collapsed="false">
      <c r="A7383" s="0" t="n">
        <f aca="false">DURATION(DATE(2024,1,15),DATE(2029,6,30),0.05,0.08,4,1)</f>
        <v>4.73690334491371</v>
      </c>
      <c r="B7383" s="0" t="s">
        <v>7362</v>
      </c>
    </row>
    <row r="7384" customFormat="false" ht="15" hidden="false" customHeight="false" outlineLevel="0" collapsed="false">
      <c r="A7384" s="0" t="n">
        <f aca="false">DURATION(DATE(2024,1,15),DATE(2029,6,30),0.1,0.03,4,1)</f>
        <v>4.44743337004501</v>
      </c>
      <c r="B7384" s="0" t="s">
        <v>7363</v>
      </c>
    </row>
    <row r="7385" customFormat="false" ht="15" hidden="false" customHeight="false" outlineLevel="0" collapsed="false">
      <c r="A7385" s="0" t="n">
        <f aca="false">DURATION(DATE(2024,1,15),DATE(2029,6,30),0,0.05,4,1)</f>
        <v>5.45529197080292</v>
      </c>
      <c r="B7385" s="0" t="s">
        <v>7364</v>
      </c>
    </row>
    <row r="7386" customFormat="false" ht="15" hidden="false" customHeight="false" outlineLevel="0" collapsed="false">
      <c r="A7386" s="0" t="n">
        <f aca="false">MDURATION(DATE(2024,1,15),DATE(2029,6,30),0.05,0.08,4,1)</f>
        <v>4.6440228871703</v>
      </c>
      <c r="B7386" s="0" t="s">
        <v>7365</v>
      </c>
    </row>
    <row r="7387" customFormat="false" ht="15" hidden="false" customHeight="false" outlineLevel="0" collapsed="false">
      <c r="A7387" s="0" t="n">
        <f aca="false">MDURATION(DATE(2024,1,15),DATE(2029,6,30),0.1,0.03,4,1)</f>
        <v>4.41432592560299</v>
      </c>
      <c r="B7387" s="0" t="s">
        <v>7366</v>
      </c>
    </row>
    <row r="7388" customFormat="false" ht="15" hidden="false" customHeight="false" outlineLevel="0" collapsed="false">
      <c r="A7388" s="0" t="n">
        <f aca="false">PRICE(DATE(2024,1,15),DATE(2029,6,30),0.05,0.08,100,4,2)</f>
        <v>86.815787919252</v>
      </c>
      <c r="B7388" s="0" t="s">
        <v>7367</v>
      </c>
    </row>
    <row r="7389" customFormat="false" ht="15" hidden="false" customHeight="false" outlineLevel="0" collapsed="false">
      <c r="A7389" s="0" t="n">
        <f aca="false">PRICE(DATE(2024,1,15),DATE(2029,6,30),0.1,0.03,105,4,2)</f>
        <v>139.357405226052</v>
      </c>
      <c r="B7389" s="0" t="s">
        <v>7368</v>
      </c>
    </row>
    <row r="7390" customFormat="false" ht="15" hidden="false" customHeight="false" outlineLevel="0" collapsed="false">
      <c r="A7390" s="0" t="n">
        <f aca="false">PRICE(DATE(2024,1,15),DATE(2029,6,30),0,0.05,100,4,2)</f>
        <v>76.2339680287121</v>
      </c>
      <c r="B7390" s="0" t="s">
        <v>7369</v>
      </c>
    </row>
    <row r="7391" customFormat="false" ht="15" hidden="false" customHeight="false" outlineLevel="0" collapsed="false">
      <c r="A7391" s="0" t="n">
        <f aca="false">YIELD(DATE(2024,1,15),DATE(2029,6,30),0.05,95,100,4,2)</f>
        <v>0.0607955003268173</v>
      </c>
      <c r="B7391" s="0" t="s">
        <v>7370</v>
      </c>
    </row>
    <row r="7392" customFormat="false" ht="15" hidden="false" customHeight="false" outlineLevel="0" collapsed="false">
      <c r="A7392" s="0" t="n">
        <f aca="false">YIELD(DATE(2024,1,15),DATE(2029,6,30),0.1,101.5,100,4,2)</f>
        <v>0.0963600242398692</v>
      </c>
      <c r="B7392" s="0" t="s">
        <v>7371</v>
      </c>
    </row>
    <row r="7393" customFormat="false" ht="15" hidden="false" customHeight="false" outlineLevel="0" collapsed="false">
      <c r="A7393" s="0" t="n">
        <f aca="false">YIELD(DATE(2024,1,15),DATE(2029,6,30),0.05,100,100,4,2)</f>
        <v>0.0499686413559874</v>
      </c>
      <c r="B7393" s="0" t="s">
        <v>7372</v>
      </c>
    </row>
    <row r="7394" customFormat="false" ht="15" hidden="false" customHeight="false" outlineLevel="0" collapsed="false">
      <c r="A7394" s="0" t="n">
        <f aca="false">DURATION(DATE(2024,1,15),DATE(2029,6,30),0.05,0.08,4,2)</f>
        <v>4.8177224852219</v>
      </c>
      <c r="B7394" s="0" t="s">
        <v>7373</v>
      </c>
    </row>
    <row r="7395" customFormat="false" ht="15" hidden="false" customHeight="false" outlineLevel="0" collapsed="false">
      <c r="A7395" s="0" t="n">
        <f aca="false">DURATION(DATE(2024,1,15),DATE(2029,6,30),0.1,0.03,4,2)</f>
        <v>4.52825251035321</v>
      </c>
      <c r="B7395" s="0" t="s">
        <v>7374</v>
      </c>
    </row>
    <row r="7396" customFormat="false" ht="15" hidden="false" customHeight="false" outlineLevel="0" collapsed="false">
      <c r="A7396" s="0" t="n">
        <f aca="false">DURATION(DATE(2024,1,15),DATE(2029,6,30),0,0.05,4,2)</f>
        <v>5.53611111111111</v>
      </c>
      <c r="B7396" s="0" t="s">
        <v>7375</v>
      </c>
    </row>
    <row r="7397" customFormat="false" ht="15" hidden="false" customHeight="false" outlineLevel="0" collapsed="false">
      <c r="A7397" s="0" t="n">
        <f aca="false">MDURATION(DATE(2024,1,15),DATE(2029,6,30),0.05,0.08,4,2)</f>
        <v>4.72325733845284</v>
      </c>
      <c r="B7397" s="0" t="s">
        <v>7376</v>
      </c>
    </row>
    <row r="7398" customFormat="false" ht="15" hidden="false" customHeight="false" outlineLevel="0" collapsed="false">
      <c r="A7398" s="0" t="n">
        <f aca="false">MDURATION(DATE(2024,1,15),DATE(2029,6,30),0.1,0.03,4,2)</f>
        <v>4.49454343459375</v>
      </c>
      <c r="B7398" s="0" t="s">
        <v>7377</v>
      </c>
    </row>
    <row r="7399" customFormat="false" ht="15" hidden="false" customHeight="false" outlineLevel="0" collapsed="false">
      <c r="A7399" s="0" t="n">
        <f aca="false">PRICE(DATE(2024,1,15),DATE(2029,6,30),0.05,0.08,100,4,3)</f>
        <v>86.8385788288711</v>
      </c>
      <c r="B7399" s="0" t="s">
        <v>7378</v>
      </c>
    </row>
    <row r="7400" customFormat="false" ht="15" hidden="false" customHeight="false" outlineLevel="0" collapsed="false">
      <c r="A7400" s="0" t="n">
        <f aca="false">PRICE(DATE(2024,1,15),DATE(2029,6,30),0.1,0.03,105,4,3)</f>
        <v>139.375194780054</v>
      </c>
      <c r="B7400" s="0" t="s">
        <v>7379</v>
      </c>
    </row>
    <row r="7401" customFormat="false" ht="15" hidden="false" customHeight="false" outlineLevel="0" collapsed="false">
      <c r="A7401" s="0" t="n">
        <f aca="false">PRICE(DATE(2024,1,15),DATE(2029,6,30),0,0.05,100,4,3)</f>
        <v>76.2449236663028</v>
      </c>
      <c r="B7401" s="0" t="s">
        <v>7380</v>
      </c>
    </row>
    <row r="7402" customFormat="false" ht="15" hidden="false" customHeight="false" outlineLevel="0" collapsed="false">
      <c r="A7402" s="0" t="n">
        <f aca="false">YIELD(DATE(2024,1,15),DATE(2029,6,30),0.05,95,100,4,3)</f>
        <v>0.060838933577925</v>
      </c>
      <c r="B7402" s="0" t="s">
        <v>7381</v>
      </c>
    </row>
    <row r="7403" customFormat="false" ht="15" hidden="false" customHeight="false" outlineLevel="0" collapsed="false">
      <c r="A7403" s="0" t="n">
        <f aca="false">YIELD(DATE(2024,1,15),DATE(2029,6,30),0.1,101.5,100,4,3)</f>
        <v>0.0964395910848128</v>
      </c>
      <c r="B7403" s="0" t="s">
        <v>7382</v>
      </c>
    </row>
    <row r="7404" customFormat="false" ht="15" hidden="false" customHeight="false" outlineLevel="0" collapsed="false">
      <c r="A7404" s="0" t="n">
        <f aca="false">YIELD(DATE(2024,1,15),DATE(2029,6,30),0.05,100,100,4,3)</f>
        <v>0.0500049365637128</v>
      </c>
      <c r="B7404" s="0" t="s">
        <v>7383</v>
      </c>
    </row>
    <row r="7405" customFormat="false" ht="15" hidden="false" customHeight="false" outlineLevel="0" collapsed="false">
      <c r="A7405" s="0" t="n">
        <f aca="false">DURATION(DATE(2024,1,15),DATE(2029,6,30),0.05,0.08,4,3)</f>
        <v>4.74188534671353</v>
      </c>
      <c r="B7405" s="0" t="s">
        <v>7384</v>
      </c>
    </row>
    <row r="7406" customFormat="false" ht="15" hidden="false" customHeight="false" outlineLevel="0" collapsed="false">
      <c r="A7406" s="0" t="n">
        <f aca="false">DURATION(DATE(2024,1,15),DATE(2029,6,30),0.1,0.03,4,3)</f>
        <v>4.45241537184483</v>
      </c>
      <c r="B7406" s="0" t="s">
        <v>7385</v>
      </c>
    </row>
    <row r="7407" customFormat="false" ht="15" hidden="false" customHeight="false" outlineLevel="0" collapsed="false">
      <c r="A7407" s="0" t="n">
        <f aca="false">DURATION(DATE(2024,1,15),DATE(2029,6,30),0,0.05,4,3)</f>
        <v>5.46027397260274</v>
      </c>
      <c r="B7407" s="0" t="s">
        <v>7386</v>
      </c>
    </row>
    <row r="7408" customFormat="false" ht="15" hidden="false" customHeight="false" outlineLevel="0" collapsed="false">
      <c r="A7408" s="0" t="n">
        <f aca="false">MDURATION(DATE(2024,1,15),DATE(2029,6,30),0.05,0.08,4,3)</f>
        <v>4.64890720266032</v>
      </c>
      <c r="B7408" s="0" t="s">
        <v>7387</v>
      </c>
    </row>
    <row r="7409" customFormat="false" ht="15" hidden="false" customHeight="false" outlineLevel="0" collapsed="false">
      <c r="A7409" s="0" t="n">
        <f aca="false">MDURATION(DATE(2024,1,15),DATE(2029,6,30),0.1,0.03,4,3)</f>
        <v>4.41927084054078</v>
      </c>
      <c r="B7409" s="0" t="s">
        <v>7388</v>
      </c>
    </row>
    <row r="7410" customFormat="false" ht="15" hidden="false" customHeight="false" outlineLevel="0" collapsed="false">
      <c r="A7410" s="0" t="n">
        <f aca="false">PRICE(DATE(2024,1,15),DATE(2029,6,30),0.05,0.08,100,4,4)</f>
        <v>86.8349378730485</v>
      </c>
      <c r="B7410" s="0" t="s">
        <v>7389</v>
      </c>
    </row>
    <row r="7411" customFormat="false" ht="15" hidden="false" customHeight="false" outlineLevel="0" collapsed="false">
      <c r="A7411" s="0" t="n">
        <f aca="false">PRICE(DATE(2024,1,15),DATE(2029,6,30),0.1,0.03,105,4,4)</f>
        <v>139.369010084879</v>
      </c>
      <c r="B7411" s="0" t="s">
        <v>7390</v>
      </c>
    </row>
    <row r="7412" customFormat="false" ht="15" hidden="false" customHeight="false" outlineLevel="0" collapsed="false">
      <c r="A7412" s="0" t="n">
        <f aca="false">PRICE(DATE(2024,1,15),DATE(2029,6,30),0,0.05,100,4,4)</f>
        <v>76.2444911770778</v>
      </c>
      <c r="B7412" s="0" t="s">
        <v>7391</v>
      </c>
    </row>
    <row r="7413" customFormat="false" ht="15" hidden="false" customHeight="false" outlineLevel="0" collapsed="false">
      <c r="A7413" s="0" t="n">
        <f aca="false">YIELD(DATE(2024,1,15),DATE(2029,6,30),0.05,95,100,4,4)</f>
        <v>0.0608311021173654</v>
      </c>
      <c r="B7413" s="0" t="s">
        <v>7392</v>
      </c>
    </row>
    <row r="7414" customFormat="false" ht="15" hidden="false" customHeight="false" outlineLevel="0" collapsed="false">
      <c r="A7414" s="0" t="n">
        <f aca="false">YIELD(DATE(2024,1,15),DATE(2029,6,30),0.1,101.5,100,4,4)</f>
        <v>0.0964235310863704</v>
      </c>
      <c r="B7414" s="0" t="s">
        <v>7393</v>
      </c>
    </row>
    <row r="7415" customFormat="false" ht="15" hidden="false" customHeight="false" outlineLevel="0" collapsed="false">
      <c r="A7415" s="0" t="n">
        <f aca="false">YIELD(DATE(2024,1,15),DATE(2029,6,30),0.05,100,100,4,4)</f>
        <v>0.0499977335817247</v>
      </c>
      <c r="B7415" s="0" t="s">
        <v>7394</v>
      </c>
    </row>
    <row r="7416" customFormat="false" ht="15" hidden="false" customHeight="false" outlineLevel="0" collapsed="false">
      <c r="A7416" s="0" t="n">
        <f aca="false">DURATION(DATE(2024,1,15),DATE(2029,6,30),0.05,0.08,4,4)</f>
        <v>4.73994470744412</v>
      </c>
      <c r="B7416" s="0" t="s">
        <v>7395</v>
      </c>
    </row>
    <row r="7417" customFormat="false" ht="15" hidden="false" customHeight="false" outlineLevel="0" collapsed="false">
      <c r="A7417" s="0" t="n">
        <f aca="false">DURATION(DATE(2024,1,15),DATE(2029,6,30),0.1,0.03,4,4)</f>
        <v>4.45047473257543</v>
      </c>
      <c r="B7417" s="0" t="s">
        <v>7396</v>
      </c>
    </row>
    <row r="7418" customFormat="false" ht="15" hidden="false" customHeight="false" outlineLevel="0" collapsed="false">
      <c r="A7418" s="0" t="n">
        <f aca="false">DURATION(DATE(2024,1,15),DATE(2029,6,30),0,0.05,4,4)</f>
        <v>5.45833333333333</v>
      </c>
      <c r="B7418" s="0" t="s">
        <v>7397</v>
      </c>
    </row>
    <row r="7419" customFormat="false" ht="15" hidden="false" customHeight="false" outlineLevel="0" collapsed="false">
      <c r="A7419" s="0" t="n">
        <f aca="false">MDURATION(DATE(2024,1,15),DATE(2029,6,30),0.05,0.08,4,4)</f>
        <v>4.64700461514129</v>
      </c>
      <c r="B7419" s="0" t="s">
        <v>7398</v>
      </c>
    </row>
    <row r="7420" customFormat="false" ht="15" hidden="false" customHeight="false" outlineLevel="0" collapsed="false">
      <c r="A7420" s="0" t="n">
        <f aca="false">MDURATION(DATE(2024,1,15),DATE(2029,6,30),0.1,0.03,4,4)</f>
        <v>4.41734464771755</v>
      </c>
      <c r="B7420" s="0" t="s">
        <v>7399</v>
      </c>
    </row>
    <row r="7421" customFormat="false" ht="15" hidden="false" customHeight="false" outlineLevel="0" collapsed="false">
      <c r="A7421" s="0" t="n">
        <f aca="false">PRICE(DATE(2024,3,31),DATE(2025,3,31),0.05,0.08,100,1,0)</f>
        <v>97.2222222222222</v>
      </c>
      <c r="B7421" s="0" t="s">
        <v>7400</v>
      </c>
    </row>
    <row r="7422" customFormat="false" ht="15" hidden="false" customHeight="false" outlineLevel="0" collapsed="false">
      <c r="A7422" s="0" t="n">
        <f aca="false">PRICE(DATE(2024,3,31),DATE(2025,3,31),0.1,0.03,105,1,0)</f>
        <v>111.650485436893</v>
      </c>
      <c r="B7422" s="0" t="s">
        <v>7401</v>
      </c>
    </row>
    <row r="7423" customFormat="false" ht="15" hidden="false" customHeight="false" outlineLevel="0" collapsed="false">
      <c r="A7423" s="0" t="n">
        <f aca="false">PRICE(DATE(2024,3,31),DATE(2025,3,31),0,0.05,100,1,0)</f>
        <v>95.2380952380952</v>
      </c>
      <c r="B7423" s="0" t="s">
        <v>7402</v>
      </c>
    </row>
    <row r="7424" customFormat="false" ht="15" hidden="false" customHeight="false" outlineLevel="0" collapsed="false">
      <c r="A7424" s="0" t="n">
        <f aca="false">YIELD(DATE(2024,3,31),DATE(2025,3,31),0.05,95,100,1,0)</f>
        <v>0.105263157894739</v>
      </c>
      <c r="B7424" s="0" t="s">
        <v>7403</v>
      </c>
    </row>
    <row r="7425" customFormat="false" ht="15" hidden="false" customHeight="false" outlineLevel="0" collapsed="false">
      <c r="A7425" s="0" t="n">
        <f aca="false">YIELD(DATE(2024,3,31),DATE(2025,3,31),0.1,101.5,100,1,0)</f>
        <v>0.0837438423645333</v>
      </c>
      <c r="B7425" s="0" t="s">
        <v>7404</v>
      </c>
    </row>
    <row r="7426" customFormat="false" ht="15" hidden="false" customHeight="false" outlineLevel="0" collapsed="false">
      <c r="A7426" s="0" t="n">
        <f aca="false">YIELD(DATE(2024,3,31),DATE(2025,3,31),0.05,100,100,1,0)</f>
        <v>0.0500000000000014</v>
      </c>
      <c r="B7426" s="0" t="s">
        <v>7405</v>
      </c>
    </row>
    <row r="7427" customFormat="false" ht="15" hidden="false" customHeight="false" outlineLevel="0" collapsed="false">
      <c r="A7427" s="0" t="n">
        <f aca="false">DURATION(DATE(2024,3,31),DATE(2025,3,31),0.05,0.08,1,0)</f>
        <v>1</v>
      </c>
      <c r="B7427" s="0" t="s">
        <v>7406</v>
      </c>
    </row>
    <row r="7428" customFormat="false" ht="15" hidden="false" customHeight="false" outlineLevel="0" collapsed="false">
      <c r="A7428" s="0" t="n">
        <f aca="false">DURATION(DATE(2024,3,31),DATE(2025,3,31),0.1,0.03,1,0)</f>
        <v>1</v>
      </c>
      <c r="B7428" s="0" t="s">
        <v>7407</v>
      </c>
    </row>
    <row r="7429" customFormat="false" ht="15" hidden="false" customHeight="false" outlineLevel="0" collapsed="false">
      <c r="A7429" s="0" t="n">
        <f aca="false">DURATION(DATE(2024,3,31),DATE(2025,3,31),0,0.05,1,0)</f>
        <v>1</v>
      </c>
      <c r="B7429" s="0" t="s">
        <v>7408</v>
      </c>
    </row>
    <row r="7430" customFormat="false" ht="15" hidden="false" customHeight="false" outlineLevel="0" collapsed="false">
      <c r="A7430" s="0" t="n">
        <f aca="false">MDURATION(DATE(2024,3,31),DATE(2025,3,31),0.05,0.08,1,0)</f>
        <v>0.925925925925926</v>
      </c>
      <c r="B7430" s="0" t="s">
        <v>7409</v>
      </c>
    </row>
    <row r="7431" customFormat="false" ht="15" hidden="false" customHeight="false" outlineLevel="0" collapsed="false">
      <c r="A7431" s="0" t="n">
        <f aca="false">MDURATION(DATE(2024,3,31),DATE(2025,3,31),0.1,0.03,1,0)</f>
        <v>0.970873786407767</v>
      </c>
      <c r="B7431" s="0" t="s">
        <v>7410</v>
      </c>
    </row>
    <row r="7432" customFormat="false" ht="15" hidden="false" customHeight="false" outlineLevel="0" collapsed="false">
      <c r="A7432" s="0" t="n">
        <f aca="false">PRICE(DATE(2024,3,31),DATE(2025,3,31),0.05,0.08,100,1,1)</f>
        <v>97.2222222222222</v>
      </c>
      <c r="B7432" s="0" t="s">
        <v>7411</v>
      </c>
    </row>
    <row r="7433" customFormat="false" ht="15" hidden="false" customHeight="false" outlineLevel="0" collapsed="false">
      <c r="A7433" s="0" t="n">
        <f aca="false">PRICE(DATE(2024,3,31),DATE(2025,3,31),0.1,0.03,105,1,1)</f>
        <v>111.650485436893</v>
      </c>
      <c r="B7433" s="0" t="s">
        <v>7412</v>
      </c>
    </row>
    <row r="7434" customFormat="false" ht="15" hidden="false" customHeight="false" outlineLevel="0" collapsed="false">
      <c r="A7434" s="0" t="n">
        <f aca="false">PRICE(DATE(2024,3,31),DATE(2025,3,31),0,0.05,100,1,1)</f>
        <v>95.2380952380952</v>
      </c>
      <c r="B7434" s="0" t="s">
        <v>7413</v>
      </c>
    </row>
    <row r="7435" customFormat="false" ht="15" hidden="false" customHeight="false" outlineLevel="0" collapsed="false">
      <c r="A7435" s="0" t="n">
        <f aca="false">YIELD(DATE(2024,3,31),DATE(2025,3,31),0.05,95,100,1,1)</f>
        <v>0.105263157894739</v>
      </c>
      <c r="B7435" s="0" t="s">
        <v>7414</v>
      </c>
    </row>
    <row r="7436" customFormat="false" ht="15" hidden="false" customHeight="false" outlineLevel="0" collapsed="false">
      <c r="A7436" s="0" t="n">
        <f aca="false">YIELD(DATE(2024,3,31),DATE(2025,3,31),0.1,101.5,100,1,1)</f>
        <v>0.0837438423645333</v>
      </c>
      <c r="B7436" s="0" t="s">
        <v>7415</v>
      </c>
    </row>
    <row r="7437" customFormat="false" ht="15" hidden="false" customHeight="false" outlineLevel="0" collapsed="false">
      <c r="A7437" s="0" t="n">
        <f aca="false">YIELD(DATE(2024,3,31),DATE(2025,3,31),0.05,100,100,1,1)</f>
        <v>0.0500000000000014</v>
      </c>
      <c r="B7437" s="0" t="s">
        <v>7416</v>
      </c>
    </row>
    <row r="7438" customFormat="false" ht="15" hidden="false" customHeight="false" outlineLevel="0" collapsed="false">
      <c r="A7438" s="0" t="n">
        <f aca="false">DURATION(DATE(2024,3,31),DATE(2025,3,31),0.05,0.08,1,1)</f>
        <v>1</v>
      </c>
      <c r="B7438" s="0" t="s">
        <v>7417</v>
      </c>
    </row>
    <row r="7439" customFormat="false" ht="15" hidden="false" customHeight="false" outlineLevel="0" collapsed="false">
      <c r="A7439" s="0" t="n">
        <f aca="false">DURATION(DATE(2024,3,31),DATE(2025,3,31),0.1,0.03,1,1)</f>
        <v>1</v>
      </c>
      <c r="B7439" s="0" t="s">
        <v>7418</v>
      </c>
    </row>
    <row r="7440" customFormat="false" ht="15" hidden="false" customHeight="false" outlineLevel="0" collapsed="false">
      <c r="A7440" s="0" t="n">
        <f aca="false">DURATION(DATE(2024,3,31),DATE(2025,3,31),0,0.05,1,1)</f>
        <v>1</v>
      </c>
      <c r="B7440" s="0" t="s">
        <v>7419</v>
      </c>
    </row>
    <row r="7441" customFormat="false" ht="15" hidden="false" customHeight="false" outlineLevel="0" collapsed="false">
      <c r="A7441" s="0" t="n">
        <f aca="false">MDURATION(DATE(2024,3,31),DATE(2025,3,31),0.05,0.08,1,1)</f>
        <v>0.925925925925926</v>
      </c>
      <c r="B7441" s="0" t="s">
        <v>7420</v>
      </c>
    </row>
    <row r="7442" customFormat="false" ht="15" hidden="false" customHeight="false" outlineLevel="0" collapsed="false">
      <c r="A7442" s="0" t="n">
        <f aca="false">MDURATION(DATE(2024,3,31),DATE(2025,3,31),0.1,0.03,1,1)</f>
        <v>0.970873786407767</v>
      </c>
      <c r="B7442" s="0" t="s">
        <v>7421</v>
      </c>
    </row>
    <row r="7443" customFormat="false" ht="15" hidden="false" customHeight="false" outlineLevel="0" collapsed="false">
      <c r="A7443" s="0" t="n">
        <f aca="false">PRICE(DATE(2024,3,31),DATE(2025,3,31),0.05,0.08,100,1,2)</f>
        <v>97.1183565843341</v>
      </c>
      <c r="B7443" s="0" t="s">
        <v>7422</v>
      </c>
    </row>
    <row r="7444" customFormat="false" ht="15" hidden="false" customHeight="false" outlineLevel="0" collapsed="false">
      <c r="A7444" s="0" t="n">
        <f aca="false">PRICE(DATE(2024,3,31),DATE(2025,3,31),0.1,0.03,105,1,2)</f>
        <v>111.604657974804</v>
      </c>
      <c r="B7444" s="0" t="s">
        <v>7423</v>
      </c>
    </row>
    <row r="7445" customFormat="false" ht="15" hidden="false" customHeight="false" outlineLevel="0" collapsed="false">
      <c r="A7445" s="0" t="n">
        <f aca="false">PRICE(DATE(2024,3,31),DATE(2025,3,31),0,0.05,100,1,2)</f>
        <v>95.1735798455147</v>
      </c>
      <c r="B7445" s="0" t="s">
        <v>7424</v>
      </c>
    </row>
    <row r="7446" customFormat="false" ht="15" hidden="false" customHeight="false" outlineLevel="0" collapsed="false">
      <c r="A7446" s="0" t="n">
        <f aca="false">YIELD(DATE(2024,3,31),DATE(2025,3,31),0.05,95,100,1,2)</f>
        <v>0.103748873446381</v>
      </c>
      <c r="B7446" s="0" t="s">
        <v>7425</v>
      </c>
    </row>
    <row r="7447" customFormat="false" ht="15" hidden="false" customHeight="false" outlineLevel="0" collapsed="false">
      <c r="A7447" s="0" t="n">
        <f aca="false">YIELD(DATE(2024,3,31),DATE(2025,3,31),0.1,101.5,100,1,2)</f>
        <v>0.0825505767835474</v>
      </c>
      <c r="B7447" s="0" t="s">
        <v>7426</v>
      </c>
    </row>
    <row r="7448" customFormat="false" ht="15" hidden="false" customHeight="false" outlineLevel="0" collapsed="false">
      <c r="A7448" s="0" t="n">
        <f aca="false">YIELD(DATE(2024,3,31),DATE(2025,3,31),0.05,100,100,1,2)</f>
        <v>0.0492984581328771</v>
      </c>
      <c r="B7448" s="0" t="s">
        <v>7427</v>
      </c>
    </row>
    <row r="7449" customFormat="false" ht="15" hidden="false" customHeight="false" outlineLevel="0" collapsed="false">
      <c r="A7449" s="0" t="n">
        <f aca="false">DURATION(DATE(2024,3,31),DATE(2025,3,31),0.05,0.08,1,2)</f>
        <v>1.01388888888889</v>
      </c>
      <c r="B7449" s="0" t="s">
        <v>7428</v>
      </c>
    </row>
    <row r="7450" customFormat="false" ht="15" hidden="false" customHeight="false" outlineLevel="0" collapsed="false">
      <c r="A7450" s="0" t="n">
        <f aca="false">DURATION(DATE(2024,3,31),DATE(2025,3,31),0.1,0.03,1,2)</f>
        <v>1.01388888888889</v>
      </c>
      <c r="B7450" s="0" t="s">
        <v>7429</v>
      </c>
    </row>
    <row r="7451" customFormat="false" ht="15" hidden="false" customHeight="false" outlineLevel="0" collapsed="false">
      <c r="A7451" s="0" t="n">
        <f aca="false">DURATION(DATE(2024,3,31),DATE(2025,3,31),0,0.05,1,2)</f>
        <v>1.01388888888889</v>
      </c>
      <c r="B7451" s="0" t="s">
        <v>7430</v>
      </c>
    </row>
    <row r="7452" customFormat="false" ht="15" hidden="false" customHeight="false" outlineLevel="0" collapsed="false">
      <c r="A7452" s="0" t="n">
        <f aca="false">MDURATION(DATE(2024,3,31),DATE(2025,3,31),0.05,0.08,1,2)</f>
        <v>0.938786008230453</v>
      </c>
      <c r="B7452" s="0" t="s">
        <v>7431</v>
      </c>
    </row>
    <row r="7453" customFormat="false" ht="15" hidden="false" customHeight="false" outlineLevel="0" collapsed="false">
      <c r="A7453" s="0" t="n">
        <f aca="false">MDURATION(DATE(2024,3,31),DATE(2025,3,31),0.1,0.03,1,2)</f>
        <v>0.984358144552319</v>
      </c>
      <c r="B7453" s="0" t="s">
        <v>7432</v>
      </c>
    </row>
    <row r="7454" customFormat="false" ht="15" hidden="false" customHeight="false" outlineLevel="0" collapsed="false">
      <c r="A7454" s="0" t="n">
        <f aca="false">PRICE(DATE(2024,3,31),DATE(2025,3,31),0.05,0.08,100,1,3)</f>
        <v>97.2222222222222</v>
      </c>
      <c r="B7454" s="0" t="s">
        <v>7433</v>
      </c>
    </row>
    <row r="7455" customFormat="false" ht="15" hidden="false" customHeight="false" outlineLevel="0" collapsed="false">
      <c r="A7455" s="0" t="n">
        <f aca="false">PRICE(DATE(2024,3,31),DATE(2025,3,31),0.1,0.03,105,1,3)</f>
        <v>111.650485436893</v>
      </c>
      <c r="B7455" s="0" t="s">
        <v>7434</v>
      </c>
    </row>
    <row r="7456" customFormat="false" ht="15" hidden="false" customHeight="false" outlineLevel="0" collapsed="false">
      <c r="A7456" s="0" t="n">
        <f aca="false">PRICE(DATE(2024,3,31),DATE(2025,3,31),0,0.05,100,1,3)</f>
        <v>95.2380952380952</v>
      </c>
      <c r="B7456" s="0" t="s">
        <v>7435</v>
      </c>
    </row>
    <row r="7457" customFormat="false" ht="15" hidden="false" customHeight="false" outlineLevel="0" collapsed="false">
      <c r="A7457" s="0" t="n">
        <f aca="false">YIELD(DATE(2024,3,31),DATE(2025,3,31),0.05,95,100,1,3)</f>
        <v>0.105263157894739</v>
      </c>
      <c r="B7457" s="0" t="s">
        <v>7436</v>
      </c>
    </row>
    <row r="7458" customFormat="false" ht="15" hidden="false" customHeight="false" outlineLevel="0" collapsed="false">
      <c r="A7458" s="0" t="n">
        <f aca="false">YIELD(DATE(2024,3,31),DATE(2025,3,31),0.1,101.5,100,1,3)</f>
        <v>0.0837438423645333</v>
      </c>
      <c r="B7458" s="0" t="s">
        <v>7437</v>
      </c>
    </row>
    <row r="7459" customFormat="false" ht="15" hidden="false" customHeight="false" outlineLevel="0" collapsed="false">
      <c r="A7459" s="0" t="n">
        <f aca="false">YIELD(DATE(2024,3,31),DATE(2025,3,31),0.05,100,100,1,3)</f>
        <v>0.0500000000000014</v>
      </c>
      <c r="B7459" s="0" t="s">
        <v>7438</v>
      </c>
    </row>
    <row r="7460" customFormat="false" ht="15" hidden="false" customHeight="false" outlineLevel="0" collapsed="false">
      <c r="A7460" s="0" t="n">
        <f aca="false">DURATION(DATE(2024,3,31),DATE(2025,3,31),0.05,0.08,1,3)</f>
        <v>1</v>
      </c>
      <c r="B7460" s="0" t="s">
        <v>7439</v>
      </c>
    </row>
    <row r="7461" customFormat="false" ht="15" hidden="false" customHeight="false" outlineLevel="0" collapsed="false">
      <c r="A7461" s="0" t="n">
        <f aca="false">DURATION(DATE(2024,3,31),DATE(2025,3,31),0.1,0.03,1,3)</f>
        <v>1</v>
      </c>
      <c r="B7461" s="0" t="s">
        <v>7440</v>
      </c>
    </row>
    <row r="7462" customFormat="false" ht="15" hidden="false" customHeight="false" outlineLevel="0" collapsed="false">
      <c r="A7462" s="0" t="n">
        <f aca="false">DURATION(DATE(2024,3,31),DATE(2025,3,31),0,0.05,1,3)</f>
        <v>1</v>
      </c>
      <c r="B7462" s="0" t="s">
        <v>7441</v>
      </c>
    </row>
    <row r="7463" customFormat="false" ht="15" hidden="false" customHeight="false" outlineLevel="0" collapsed="false">
      <c r="A7463" s="0" t="n">
        <f aca="false">MDURATION(DATE(2024,3,31),DATE(2025,3,31),0.05,0.08,1,3)</f>
        <v>0.925925925925926</v>
      </c>
      <c r="B7463" s="0" t="s">
        <v>7442</v>
      </c>
    </row>
    <row r="7464" customFormat="false" ht="15" hidden="false" customHeight="false" outlineLevel="0" collapsed="false">
      <c r="A7464" s="0" t="n">
        <f aca="false">MDURATION(DATE(2024,3,31),DATE(2025,3,31),0.1,0.03,1,3)</f>
        <v>0.970873786407767</v>
      </c>
      <c r="B7464" s="0" t="s">
        <v>7443</v>
      </c>
    </row>
    <row r="7465" customFormat="false" ht="15" hidden="false" customHeight="false" outlineLevel="0" collapsed="false">
      <c r="A7465" s="0" t="n">
        <f aca="false">PRICE(DATE(2024,3,31),DATE(2025,3,31),0.05,0.08,100,1,4)</f>
        <v>97.2222222222222</v>
      </c>
      <c r="B7465" s="0" t="s">
        <v>7444</v>
      </c>
    </row>
    <row r="7466" customFormat="false" ht="15" hidden="false" customHeight="false" outlineLevel="0" collapsed="false">
      <c r="A7466" s="0" t="n">
        <f aca="false">PRICE(DATE(2024,3,31),DATE(2025,3,31),0.1,0.03,105,1,4)</f>
        <v>111.650485436893</v>
      </c>
      <c r="B7466" s="0" t="s">
        <v>7445</v>
      </c>
    </row>
    <row r="7467" customFormat="false" ht="15" hidden="false" customHeight="false" outlineLevel="0" collapsed="false">
      <c r="A7467" s="0" t="n">
        <f aca="false">PRICE(DATE(2024,3,31),DATE(2025,3,31),0,0.05,100,1,4)</f>
        <v>95.2380952380952</v>
      </c>
      <c r="B7467" s="0" t="s">
        <v>7446</v>
      </c>
    </row>
    <row r="7468" customFormat="false" ht="15" hidden="false" customHeight="false" outlineLevel="0" collapsed="false">
      <c r="A7468" s="0" t="n">
        <f aca="false">YIELD(DATE(2024,3,31),DATE(2025,3,31),0.05,95,100,1,4)</f>
        <v>0.105263157894739</v>
      </c>
      <c r="B7468" s="0" t="s">
        <v>7447</v>
      </c>
    </row>
    <row r="7469" customFormat="false" ht="15" hidden="false" customHeight="false" outlineLevel="0" collapsed="false">
      <c r="A7469" s="0" t="n">
        <f aca="false">YIELD(DATE(2024,3,31),DATE(2025,3,31),0.1,101.5,100,1,4)</f>
        <v>0.0837438423645333</v>
      </c>
      <c r="B7469" s="0" t="s">
        <v>7448</v>
      </c>
    </row>
    <row r="7470" customFormat="false" ht="15" hidden="false" customHeight="false" outlineLevel="0" collapsed="false">
      <c r="A7470" s="0" t="n">
        <f aca="false">YIELD(DATE(2024,3,31),DATE(2025,3,31),0.05,100,100,1,4)</f>
        <v>0.0500000000000014</v>
      </c>
      <c r="B7470" s="0" t="s">
        <v>7449</v>
      </c>
    </row>
    <row r="7471" customFormat="false" ht="15" hidden="false" customHeight="false" outlineLevel="0" collapsed="false">
      <c r="A7471" s="0" t="n">
        <f aca="false">DURATION(DATE(2024,3,31),DATE(2025,3,31),0.05,0.08,1,4)</f>
        <v>1</v>
      </c>
      <c r="B7471" s="0" t="s">
        <v>7450</v>
      </c>
    </row>
    <row r="7472" customFormat="false" ht="15" hidden="false" customHeight="false" outlineLevel="0" collapsed="false">
      <c r="A7472" s="0" t="n">
        <f aca="false">DURATION(DATE(2024,3,31),DATE(2025,3,31),0.1,0.03,1,4)</f>
        <v>1</v>
      </c>
      <c r="B7472" s="0" t="s">
        <v>7451</v>
      </c>
    </row>
    <row r="7473" customFormat="false" ht="15" hidden="false" customHeight="false" outlineLevel="0" collapsed="false">
      <c r="A7473" s="0" t="n">
        <f aca="false">DURATION(DATE(2024,3,31),DATE(2025,3,31),0,0.05,1,4)</f>
        <v>1</v>
      </c>
      <c r="B7473" s="0" t="s">
        <v>7452</v>
      </c>
    </row>
    <row r="7474" customFormat="false" ht="15" hidden="false" customHeight="false" outlineLevel="0" collapsed="false">
      <c r="A7474" s="0" t="n">
        <f aca="false">MDURATION(DATE(2024,3,31),DATE(2025,3,31),0.05,0.08,1,4)</f>
        <v>0.925925925925926</v>
      </c>
      <c r="B7474" s="0" t="s">
        <v>7453</v>
      </c>
    </row>
    <row r="7475" customFormat="false" ht="15" hidden="false" customHeight="false" outlineLevel="0" collapsed="false">
      <c r="A7475" s="0" t="n">
        <f aca="false">MDURATION(DATE(2024,3,31),DATE(2025,3,31),0.1,0.03,1,4)</f>
        <v>0.970873786407767</v>
      </c>
      <c r="B7475" s="0" t="s">
        <v>7454</v>
      </c>
    </row>
    <row r="7476" customFormat="false" ht="15" hidden="false" customHeight="false" outlineLevel="0" collapsed="false">
      <c r="A7476" s="0" t="n">
        <f aca="false">PRICE(DATE(2024,3,31),DATE(2025,3,31),0.05,0.08,100,2,0)</f>
        <v>97.1708579881657</v>
      </c>
      <c r="B7476" s="0" t="s">
        <v>7455</v>
      </c>
    </row>
    <row r="7477" customFormat="false" ht="15" hidden="false" customHeight="false" outlineLevel="0" collapsed="false">
      <c r="A7477" s="0" t="n">
        <f aca="false">PRICE(DATE(2024,3,31),DATE(2025,3,31),0.1,0.03,105,2,0)</f>
        <v>111.69890072557</v>
      </c>
      <c r="B7477" s="0" t="s">
        <v>7456</v>
      </c>
    </row>
    <row r="7478" customFormat="false" ht="15" hidden="false" customHeight="false" outlineLevel="0" collapsed="false">
      <c r="A7478" s="0" t="n">
        <f aca="false">PRICE(DATE(2024,3,31),DATE(2025,3,31),0,0.05,100,2,0)</f>
        <v>95.1814396192742</v>
      </c>
      <c r="B7478" s="0" t="s">
        <v>7457</v>
      </c>
    </row>
    <row r="7479" customFormat="false" ht="15" hidden="false" customHeight="false" outlineLevel="0" collapsed="false">
      <c r="A7479" s="0" t="n">
        <f aca="false">YIELD(DATE(2024,3,31),DATE(2025,3,31),0.05,95,100,2,0)</f>
        <v>0.103930285586916</v>
      </c>
      <c r="B7479" s="0" t="s">
        <v>7458</v>
      </c>
    </row>
    <row r="7480" customFormat="false" ht="15" hidden="false" customHeight="false" outlineLevel="0" collapsed="false">
      <c r="A7480" s="0" t="n">
        <f aca="false">YIELD(DATE(2024,3,31),DATE(2025,3,31),0.1,101.5,100,2,0)</f>
        <v>0.0840479740236034</v>
      </c>
      <c r="B7480" s="0" t="s">
        <v>7459</v>
      </c>
    </row>
    <row r="7481" customFormat="false" ht="15" hidden="false" customHeight="false" outlineLevel="0" collapsed="false">
      <c r="A7481" s="0" t="n">
        <f aca="false">YIELD(DATE(2024,3,31),DATE(2025,3,31),0.05,100,100,2,0)</f>
        <v>0.050000000000002</v>
      </c>
      <c r="B7481" s="0" t="s">
        <v>7460</v>
      </c>
    </row>
    <row r="7482" customFormat="false" ht="15" hidden="false" customHeight="false" outlineLevel="0" collapsed="false">
      <c r="A7482" s="0" t="n">
        <f aca="false">DURATION(DATE(2024,3,31),DATE(2025,3,31),0.05,0.08,2,0)</f>
        <v>0.987630827783064</v>
      </c>
      <c r="B7482" s="0" t="s">
        <v>7461</v>
      </c>
    </row>
    <row r="7483" customFormat="false" ht="15" hidden="false" customHeight="false" outlineLevel="0" collapsed="false">
      <c r="A7483" s="0" t="n">
        <f aca="false">DURATION(DATE(2024,3,31),DATE(2025,3,31),0.1,0.03,2,0)</f>
        <v>0.976947535771065</v>
      </c>
      <c r="B7483" s="0" t="s">
        <v>7462</v>
      </c>
    </row>
    <row r="7484" customFormat="false" ht="15" hidden="false" customHeight="false" outlineLevel="0" collapsed="false">
      <c r="A7484" s="0" t="n">
        <f aca="false">DURATION(DATE(2024,3,31),DATE(2025,3,31),0,0.05,2,0)</f>
        <v>1</v>
      </c>
      <c r="B7484" s="0" t="s">
        <v>7463</v>
      </c>
    </row>
    <row r="7485" customFormat="false" ht="15" hidden="false" customHeight="false" outlineLevel="0" collapsed="false">
      <c r="A7485" s="0" t="n">
        <f aca="false">MDURATION(DATE(2024,3,31),DATE(2025,3,31),0.05,0.08,2,0)</f>
        <v>0.949645026714484</v>
      </c>
      <c r="B7485" s="0" t="s">
        <v>7464</v>
      </c>
    </row>
    <row r="7486" customFormat="false" ht="15" hidden="false" customHeight="false" outlineLevel="0" collapsed="false">
      <c r="A7486" s="0" t="n">
        <f aca="false">MDURATION(DATE(2024,3,31),DATE(2025,3,31),0.1,0.03,2,0)</f>
        <v>0.962509887459178</v>
      </c>
      <c r="B7486" s="0" t="s">
        <v>7465</v>
      </c>
    </row>
    <row r="7487" customFormat="false" ht="15" hidden="false" customHeight="false" outlineLevel="0" collapsed="false">
      <c r="A7487" s="0" t="n">
        <f aca="false">PRICE(DATE(2024,3,31),DATE(2025,3,31),0.05,0.08,100,2,1)</f>
        <v>97.1708579881657</v>
      </c>
      <c r="B7487" s="0" t="s">
        <v>7466</v>
      </c>
    </row>
    <row r="7488" customFormat="false" ht="15" hidden="false" customHeight="false" outlineLevel="0" collapsed="false">
      <c r="A7488" s="0" t="n">
        <f aca="false">PRICE(DATE(2024,3,31),DATE(2025,3,31),0.1,0.03,105,2,1)</f>
        <v>111.69890072557</v>
      </c>
      <c r="B7488" s="0" t="s">
        <v>7467</v>
      </c>
    </row>
    <row r="7489" customFormat="false" ht="15" hidden="false" customHeight="false" outlineLevel="0" collapsed="false">
      <c r="A7489" s="0" t="n">
        <f aca="false">PRICE(DATE(2024,3,31),DATE(2025,3,31),0,0.05,100,2,1)</f>
        <v>95.1814396192742</v>
      </c>
      <c r="B7489" s="0" t="s">
        <v>7468</v>
      </c>
    </row>
    <row r="7490" customFormat="false" ht="15" hidden="false" customHeight="false" outlineLevel="0" collapsed="false">
      <c r="A7490" s="0" t="n">
        <f aca="false">YIELD(DATE(2024,3,31),DATE(2025,3,31),0.05,95,100,2,1)</f>
        <v>0.103930285586916</v>
      </c>
      <c r="B7490" s="0" t="s">
        <v>7469</v>
      </c>
    </row>
    <row r="7491" customFormat="false" ht="15" hidden="false" customHeight="false" outlineLevel="0" collapsed="false">
      <c r="A7491" s="0" t="n">
        <f aca="false">YIELD(DATE(2024,3,31),DATE(2025,3,31),0.1,101.5,100,2,1)</f>
        <v>0.0840479740236034</v>
      </c>
      <c r="B7491" s="0" t="s">
        <v>7470</v>
      </c>
    </row>
    <row r="7492" customFormat="false" ht="15" hidden="false" customHeight="false" outlineLevel="0" collapsed="false">
      <c r="A7492" s="0" t="n">
        <f aca="false">YIELD(DATE(2024,3,31),DATE(2025,3,31),0.05,100,100,2,1)</f>
        <v>0.050000000000002</v>
      </c>
      <c r="B7492" s="0" t="s">
        <v>7471</v>
      </c>
    </row>
    <row r="7493" customFormat="false" ht="15" hidden="false" customHeight="false" outlineLevel="0" collapsed="false">
      <c r="A7493" s="0" t="n">
        <f aca="false">DURATION(DATE(2024,3,31),DATE(2025,3,31),0.05,0.08,2,1)</f>
        <v>0.987630827783064</v>
      </c>
      <c r="B7493" s="0" t="s">
        <v>7472</v>
      </c>
    </row>
    <row r="7494" customFormat="false" ht="15" hidden="false" customHeight="false" outlineLevel="0" collapsed="false">
      <c r="A7494" s="0" t="n">
        <f aca="false">DURATION(DATE(2024,3,31),DATE(2025,3,31),0.1,0.03,2,1)</f>
        <v>0.976947535771065</v>
      </c>
      <c r="B7494" s="0" t="s">
        <v>7473</v>
      </c>
    </row>
    <row r="7495" customFormat="false" ht="15" hidden="false" customHeight="false" outlineLevel="0" collapsed="false">
      <c r="A7495" s="0" t="n">
        <f aca="false">DURATION(DATE(2024,3,31),DATE(2025,3,31),0,0.05,2,1)</f>
        <v>1</v>
      </c>
      <c r="B7495" s="0" t="s">
        <v>7474</v>
      </c>
    </row>
    <row r="7496" customFormat="false" ht="15" hidden="false" customHeight="false" outlineLevel="0" collapsed="false">
      <c r="A7496" s="0" t="n">
        <f aca="false">MDURATION(DATE(2024,3,31),DATE(2025,3,31),0.05,0.08,2,1)</f>
        <v>0.949645026714484</v>
      </c>
      <c r="B7496" s="0" t="s">
        <v>7475</v>
      </c>
    </row>
    <row r="7497" customFormat="false" ht="15" hidden="false" customHeight="false" outlineLevel="0" collapsed="false">
      <c r="A7497" s="0" t="n">
        <f aca="false">MDURATION(DATE(2024,3,31),DATE(2025,3,31),0.1,0.03,2,1)</f>
        <v>0.962509887459178</v>
      </c>
      <c r="B7497" s="0" t="s">
        <v>7476</v>
      </c>
    </row>
    <row r="7498" customFormat="false" ht="15" hidden="false" customHeight="false" outlineLevel="0" collapsed="false">
      <c r="A7498" s="0" t="n">
        <f aca="false">PRICE(DATE(2024,3,31),DATE(2025,3,31),0.05,0.08,100,2,2)</f>
        <v>97.1073602381852</v>
      </c>
      <c r="B7498" s="0" t="s">
        <v>7477</v>
      </c>
    </row>
    <row r="7499" customFormat="false" ht="15" hidden="false" customHeight="false" outlineLevel="0" collapsed="false">
      <c r="A7499" s="0" t="n">
        <f aca="false">PRICE(DATE(2024,3,31),DATE(2025,3,31),0.1,0.03,105,2,2)</f>
        <v>111.671186803413</v>
      </c>
      <c r="B7499" s="0" t="s">
        <v>7478</v>
      </c>
    </row>
    <row r="7500" customFormat="false" ht="15" hidden="false" customHeight="false" outlineLevel="0" collapsed="false">
      <c r="A7500" s="0" t="n">
        <f aca="false">PRICE(DATE(2024,3,31),DATE(2025,3,31),0,0.05,100,2,2)</f>
        <v>95.1422763716127</v>
      </c>
      <c r="B7500" s="0" t="s">
        <v>7479</v>
      </c>
    </row>
    <row r="7501" customFormat="false" ht="15" hidden="false" customHeight="false" outlineLevel="0" collapsed="false">
      <c r="A7501" s="0" t="n">
        <f aca="false">YIELD(DATE(2024,3,31),DATE(2025,3,31),0.05,95,100,2,2)</f>
        <v>0.103038544610704</v>
      </c>
      <c r="B7501" s="0" t="s">
        <v>7480</v>
      </c>
    </row>
    <row r="7502" customFormat="false" ht="15" hidden="false" customHeight="false" outlineLevel="0" collapsed="false">
      <c r="A7502" s="0" t="n">
        <f aca="false">YIELD(DATE(2024,3,31),DATE(2025,3,31),0.1,101.5,100,2,2)</f>
        <v>0.0833220777031268</v>
      </c>
      <c r="B7502" s="0" t="s">
        <v>7481</v>
      </c>
    </row>
    <row r="7503" customFormat="false" ht="15" hidden="false" customHeight="false" outlineLevel="0" collapsed="false">
      <c r="A7503" s="0" t="n">
        <f aca="false">YIELD(DATE(2024,3,31),DATE(2025,3,31),0.05,100,100,2,2)</f>
        <v>0.049576576783352</v>
      </c>
      <c r="B7503" s="0" t="s">
        <v>7482</v>
      </c>
    </row>
    <row r="7504" customFormat="false" ht="15" hidden="false" customHeight="false" outlineLevel="0" collapsed="false">
      <c r="A7504" s="0" t="n">
        <f aca="false">DURATION(DATE(2024,3,31),DATE(2025,3,31),0.05,0.08,2,2)</f>
        <v>1.00151971667195</v>
      </c>
      <c r="B7504" s="0" t="s">
        <v>7483</v>
      </c>
    </row>
    <row r="7505" customFormat="false" ht="15" hidden="false" customHeight="false" outlineLevel="0" collapsed="false">
      <c r="A7505" s="0" t="n">
        <f aca="false">DURATION(DATE(2024,3,31),DATE(2025,3,31),0.1,0.03,2,2)</f>
        <v>0.990836424659954</v>
      </c>
      <c r="B7505" s="0" t="s">
        <v>7484</v>
      </c>
    </row>
    <row r="7506" customFormat="false" ht="15" hidden="false" customHeight="false" outlineLevel="0" collapsed="false">
      <c r="A7506" s="0" t="n">
        <f aca="false">DURATION(DATE(2024,3,31),DATE(2025,3,31),0,0.05,2,2)</f>
        <v>1.01388888888889</v>
      </c>
      <c r="B7506" s="0" t="s">
        <v>7485</v>
      </c>
    </row>
    <row r="7507" customFormat="false" ht="15" hidden="false" customHeight="false" outlineLevel="0" collapsed="false">
      <c r="A7507" s="0" t="n">
        <f aca="false">MDURATION(DATE(2024,3,31),DATE(2025,3,31),0.05,0.08,2,2)</f>
        <v>0.962999727569185</v>
      </c>
      <c r="B7507" s="0" t="s">
        <v>7486</v>
      </c>
    </row>
    <row r="7508" customFormat="false" ht="15" hidden="false" customHeight="false" outlineLevel="0" collapsed="false">
      <c r="A7508" s="0" t="n">
        <f aca="false">MDURATION(DATE(2024,3,31),DATE(2025,3,31),0.1,0.03,2,2)</f>
        <v>0.976193521832467</v>
      </c>
      <c r="B7508" s="0" t="s">
        <v>7487</v>
      </c>
    </row>
    <row r="7509" customFormat="false" ht="15" hidden="false" customHeight="false" outlineLevel="0" collapsed="false">
      <c r="A7509" s="0" t="n">
        <f aca="false">PRICE(DATE(2024,3,31),DATE(2025,3,31),0.05,0.08,100,2,3)</f>
        <v>97.1604171509169</v>
      </c>
      <c r="B7509" s="0" t="s">
        <v>7488</v>
      </c>
    </row>
    <row r="7510" customFormat="false" ht="15" hidden="false" customHeight="false" outlineLevel="0" collapsed="false">
      <c r="A7510" s="0" t="n">
        <f aca="false">PRICE(DATE(2024,3,31),DATE(2025,3,31),0.1,0.03,105,2,3)</f>
        <v>111.694344540005</v>
      </c>
      <c r="B7510" s="0" t="s">
        <v>7489</v>
      </c>
    </row>
    <row r="7511" customFormat="false" ht="15" hidden="false" customHeight="false" outlineLevel="0" collapsed="false">
      <c r="A7511" s="0" t="n">
        <f aca="false">PRICE(DATE(2024,3,31),DATE(2025,3,31),0,0.05,100,2,3)</f>
        <v>95.1750007181324</v>
      </c>
      <c r="B7511" s="0" t="s">
        <v>7490</v>
      </c>
    </row>
    <row r="7512" customFormat="false" ht="15" hidden="false" customHeight="false" outlineLevel="0" collapsed="false">
      <c r="A7512" s="0" t="n">
        <f aca="false">YIELD(DATE(2024,3,31),DATE(2025,3,31),0.05,95,100,2,3)</f>
        <v>0.103782639342488</v>
      </c>
      <c r="B7512" s="0" t="s">
        <v>7491</v>
      </c>
    </row>
    <row r="7513" customFormat="false" ht="15" hidden="false" customHeight="false" outlineLevel="0" collapsed="false">
      <c r="A7513" s="0" t="n">
        <f aca="false">YIELD(DATE(2024,3,31),DATE(2025,3,31),0.1,101.5,100,2,3)</f>
        <v>0.0839277808913943</v>
      </c>
      <c r="B7513" s="0" t="s">
        <v>7492</v>
      </c>
    </row>
    <row r="7514" customFormat="false" ht="15" hidden="false" customHeight="false" outlineLevel="0" collapsed="false">
      <c r="A7514" s="0" t="n">
        <f aca="false">YIELD(DATE(2024,3,31),DATE(2025,3,31),0.05,100,100,2,3)</f>
        <v>0.049929900081852</v>
      </c>
      <c r="B7514" s="0" t="s">
        <v>7493</v>
      </c>
    </row>
    <row r="7515" customFormat="false" ht="15" hidden="false" customHeight="false" outlineLevel="0" collapsed="false">
      <c r="A7515" s="0" t="n">
        <f aca="false">DURATION(DATE(2024,3,31),DATE(2025,3,31),0.05,0.08,2,3)</f>
        <v>0.987630827783064</v>
      </c>
      <c r="B7515" s="0" t="s">
        <v>7494</v>
      </c>
    </row>
    <row r="7516" customFormat="false" ht="15" hidden="false" customHeight="false" outlineLevel="0" collapsed="false">
      <c r="A7516" s="0" t="n">
        <f aca="false">DURATION(DATE(2024,3,31),DATE(2025,3,31),0.1,0.03,2,3)</f>
        <v>0.976947535771065</v>
      </c>
      <c r="B7516" s="0" t="s">
        <v>7495</v>
      </c>
    </row>
    <row r="7517" customFormat="false" ht="15" hidden="false" customHeight="false" outlineLevel="0" collapsed="false">
      <c r="A7517" s="0" t="n">
        <f aca="false">DURATION(DATE(2024,3,31),DATE(2025,3,31),0,0.05,2,3)</f>
        <v>1</v>
      </c>
      <c r="B7517" s="0" t="s">
        <v>7496</v>
      </c>
    </row>
    <row r="7518" customFormat="false" ht="15" hidden="false" customHeight="false" outlineLevel="0" collapsed="false">
      <c r="A7518" s="0" t="n">
        <f aca="false">MDURATION(DATE(2024,3,31),DATE(2025,3,31),0.05,0.08,2,3)</f>
        <v>0.949645026714484</v>
      </c>
      <c r="B7518" s="0" t="s">
        <v>7497</v>
      </c>
    </row>
    <row r="7519" customFormat="false" ht="15" hidden="false" customHeight="false" outlineLevel="0" collapsed="false">
      <c r="A7519" s="0" t="n">
        <f aca="false">MDURATION(DATE(2024,3,31),DATE(2025,3,31),0.1,0.03,2,3)</f>
        <v>0.962509887459178</v>
      </c>
      <c r="B7519" s="0" t="s">
        <v>7498</v>
      </c>
    </row>
    <row r="7520" customFormat="false" ht="15" hidden="false" customHeight="false" outlineLevel="0" collapsed="false">
      <c r="A7520" s="0" t="n">
        <f aca="false">PRICE(DATE(2024,3,31),DATE(2025,3,31),0.05,0.08,100,2,4)</f>
        <v>97.1708579881657</v>
      </c>
      <c r="B7520" s="0" t="s">
        <v>7499</v>
      </c>
    </row>
    <row r="7521" customFormat="false" ht="15" hidden="false" customHeight="false" outlineLevel="0" collapsed="false">
      <c r="A7521" s="0" t="n">
        <f aca="false">PRICE(DATE(2024,3,31),DATE(2025,3,31),0.1,0.03,105,2,4)</f>
        <v>111.69890072557</v>
      </c>
      <c r="B7521" s="0" t="s">
        <v>7500</v>
      </c>
    </row>
    <row r="7522" customFormat="false" ht="15" hidden="false" customHeight="false" outlineLevel="0" collapsed="false">
      <c r="A7522" s="0" t="n">
        <f aca="false">PRICE(DATE(2024,3,31),DATE(2025,3,31),0,0.05,100,2,4)</f>
        <v>95.1814396192742</v>
      </c>
      <c r="B7522" s="0" t="s">
        <v>7501</v>
      </c>
    </row>
    <row r="7523" customFormat="false" ht="15" hidden="false" customHeight="false" outlineLevel="0" collapsed="false">
      <c r="A7523" s="0" t="n">
        <f aca="false">YIELD(DATE(2024,3,31),DATE(2025,3,31),0.05,95,100,2,4)</f>
        <v>0.103930285586916</v>
      </c>
      <c r="B7523" s="0" t="s">
        <v>7502</v>
      </c>
    </row>
    <row r="7524" customFormat="false" ht="15" hidden="false" customHeight="false" outlineLevel="0" collapsed="false">
      <c r="A7524" s="0" t="n">
        <f aca="false">YIELD(DATE(2024,3,31),DATE(2025,3,31),0.1,101.5,100,2,4)</f>
        <v>0.0840479740236034</v>
      </c>
      <c r="B7524" s="0" t="s">
        <v>7503</v>
      </c>
    </row>
    <row r="7525" customFormat="false" ht="15" hidden="false" customHeight="false" outlineLevel="0" collapsed="false">
      <c r="A7525" s="0" t="n">
        <f aca="false">YIELD(DATE(2024,3,31),DATE(2025,3,31),0.05,100,100,2,4)</f>
        <v>0.050000000000002</v>
      </c>
      <c r="B7525" s="0" t="s">
        <v>7504</v>
      </c>
    </row>
    <row r="7526" customFormat="false" ht="15" hidden="false" customHeight="false" outlineLevel="0" collapsed="false">
      <c r="A7526" s="0" t="n">
        <f aca="false">DURATION(DATE(2024,3,31),DATE(2025,3,31),0.05,0.08,2,4)</f>
        <v>0.987630827783064</v>
      </c>
      <c r="B7526" s="0" t="s">
        <v>7505</v>
      </c>
    </row>
    <row r="7527" customFormat="false" ht="15" hidden="false" customHeight="false" outlineLevel="0" collapsed="false">
      <c r="A7527" s="0" t="n">
        <f aca="false">DURATION(DATE(2024,3,31),DATE(2025,3,31),0.1,0.03,2,4)</f>
        <v>0.976947535771065</v>
      </c>
      <c r="B7527" s="0" t="s">
        <v>7506</v>
      </c>
    </row>
    <row r="7528" customFormat="false" ht="15" hidden="false" customHeight="false" outlineLevel="0" collapsed="false">
      <c r="A7528" s="0" t="n">
        <f aca="false">DURATION(DATE(2024,3,31),DATE(2025,3,31),0,0.05,2,4)</f>
        <v>1</v>
      </c>
      <c r="B7528" s="0" t="s">
        <v>7507</v>
      </c>
    </row>
    <row r="7529" customFormat="false" ht="15" hidden="false" customHeight="false" outlineLevel="0" collapsed="false">
      <c r="A7529" s="0" t="n">
        <f aca="false">MDURATION(DATE(2024,3,31),DATE(2025,3,31),0.05,0.08,2,4)</f>
        <v>0.949645026714484</v>
      </c>
      <c r="B7529" s="0" t="s">
        <v>7508</v>
      </c>
    </row>
    <row r="7530" customFormat="false" ht="15" hidden="false" customHeight="false" outlineLevel="0" collapsed="false">
      <c r="A7530" s="0" t="n">
        <f aca="false">MDURATION(DATE(2024,3,31),DATE(2025,3,31),0.1,0.03,2,4)</f>
        <v>0.962509887459178</v>
      </c>
      <c r="B7530" s="0" t="s">
        <v>7509</v>
      </c>
    </row>
    <row r="7531" customFormat="false" ht="15" hidden="false" customHeight="false" outlineLevel="0" collapsed="false">
      <c r="A7531" s="0" t="n">
        <f aca="false">PRICE(DATE(2024,3,31),DATE(2025,3,31),0.05,0.08,100,4,0)</f>
        <v>97.1442034759943</v>
      </c>
      <c r="B7531" s="0" t="s">
        <v>7510</v>
      </c>
    </row>
    <row r="7532" customFormat="false" ht="15" hidden="false" customHeight="false" outlineLevel="0" collapsed="false">
      <c r="A7532" s="0" t="n">
        <f aca="false">PRICE(DATE(2024,3,31),DATE(2025,3,31),0.1,0.03,105,4,0)</f>
        <v>111.723464076423</v>
      </c>
      <c r="B7532" s="0" t="s">
        <v>7511</v>
      </c>
    </row>
    <row r="7533" customFormat="false" ht="15" hidden="false" customHeight="false" outlineLevel="0" collapsed="false">
      <c r="A7533" s="0" t="n">
        <f aca="false">PRICE(DATE(2024,3,31),DATE(2025,3,31),0,0.05,100,4,0)</f>
        <v>95.1524275217153</v>
      </c>
      <c r="B7533" s="0" t="s">
        <v>7512</v>
      </c>
    </row>
    <row r="7534" customFormat="false" ht="15" hidden="false" customHeight="false" outlineLevel="0" collapsed="false">
      <c r="A7534" s="0" t="n">
        <f aca="false">YIELD(DATE(2024,3,31),DATE(2025,3,31),0.05,95,100,4,0)</f>
        <v>0.103268254266546</v>
      </c>
      <c r="B7534" s="0" t="s">
        <v>7513</v>
      </c>
    </row>
    <row r="7535" customFormat="false" ht="15" hidden="false" customHeight="false" outlineLevel="0" collapsed="false">
      <c r="A7535" s="0" t="n">
        <f aca="false">YIELD(DATE(2024,3,31),DATE(2025,3,31),0.1,101.5,100,4,0)</f>
        <v>0.084202381287199</v>
      </c>
      <c r="B7535" s="0" t="s">
        <v>7514</v>
      </c>
    </row>
    <row r="7536" customFormat="false" ht="15" hidden="false" customHeight="false" outlineLevel="0" collapsed="false">
      <c r="A7536" s="0" t="n">
        <f aca="false">YIELD(DATE(2024,3,31),DATE(2025,3,31),0.05,100,100,4,0)</f>
        <v>0.0500000000000001</v>
      </c>
      <c r="B7536" s="0" t="s">
        <v>7515</v>
      </c>
    </row>
    <row r="7537" customFormat="false" ht="15" hidden="false" customHeight="false" outlineLevel="0" collapsed="false">
      <c r="A7537" s="0" t="n">
        <f aca="false">DURATION(DATE(2024,3,31),DATE(2025,3,31),0.05,0.08,4,0)</f>
        <v>0.981323395529957</v>
      </c>
      <c r="B7537" s="0" t="s">
        <v>7516</v>
      </c>
    </row>
    <row r="7538" customFormat="false" ht="15" hidden="false" customHeight="false" outlineLevel="0" collapsed="false">
      <c r="A7538" s="0" t="n">
        <f aca="false">DURATION(DATE(2024,3,31),DATE(2025,3,31),0.1,0.03,4,0)</f>
        <v>0.965344597756374</v>
      </c>
      <c r="B7538" s="0" t="s">
        <v>7517</v>
      </c>
    </row>
    <row r="7539" customFormat="false" ht="15" hidden="false" customHeight="false" outlineLevel="0" collapsed="false">
      <c r="A7539" s="0" t="n">
        <f aca="false">DURATION(DATE(2024,3,31),DATE(2025,3,31),0,0.05,4,0)</f>
        <v>1</v>
      </c>
      <c r="B7539" s="0" t="s">
        <v>7518</v>
      </c>
    </row>
    <row r="7540" customFormat="false" ht="15" hidden="false" customHeight="false" outlineLevel="0" collapsed="false">
      <c r="A7540" s="0" t="n">
        <f aca="false">MDURATION(DATE(2024,3,31),DATE(2025,3,31),0.05,0.08,4,0)</f>
        <v>0.962081760323487</v>
      </c>
      <c r="B7540" s="0" t="s">
        <v>7519</v>
      </c>
    </row>
    <row r="7541" customFormat="false" ht="15" hidden="false" customHeight="false" outlineLevel="0" collapsed="false">
      <c r="A7541" s="0" t="n">
        <f aca="false">MDURATION(DATE(2024,3,31),DATE(2025,3,31),0.1,0.03,4,0)</f>
        <v>0.958158409683746</v>
      </c>
      <c r="B7541" s="0" t="s">
        <v>7520</v>
      </c>
    </row>
    <row r="7542" customFormat="false" ht="15" hidden="false" customHeight="false" outlineLevel="0" collapsed="false">
      <c r="A7542" s="0" t="n">
        <f aca="false">PRICE(DATE(2024,3,31),DATE(2025,3,31),0.05,0.08,100,4,1)</f>
        <v>97.1442034759943</v>
      </c>
      <c r="B7542" s="0" t="s">
        <v>7521</v>
      </c>
    </row>
    <row r="7543" customFormat="false" ht="15" hidden="false" customHeight="false" outlineLevel="0" collapsed="false">
      <c r="A7543" s="0" t="n">
        <f aca="false">PRICE(DATE(2024,3,31),DATE(2025,3,31),0.1,0.03,105,4,1)</f>
        <v>111.723464076423</v>
      </c>
      <c r="B7543" s="0" t="s">
        <v>7522</v>
      </c>
    </row>
    <row r="7544" customFormat="false" ht="15" hidden="false" customHeight="false" outlineLevel="0" collapsed="false">
      <c r="A7544" s="0" t="n">
        <f aca="false">PRICE(DATE(2024,3,31),DATE(2025,3,31),0,0.05,100,4,1)</f>
        <v>95.1524275217153</v>
      </c>
      <c r="B7544" s="0" t="s">
        <v>7523</v>
      </c>
    </row>
    <row r="7545" customFormat="false" ht="15" hidden="false" customHeight="false" outlineLevel="0" collapsed="false">
      <c r="A7545" s="0" t="n">
        <f aca="false">YIELD(DATE(2024,3,31),DATE(2025,3,31),0.05,95,100,4,1)</f>
        <v>0.103268254266546</v>
      </c>
      <c r="B7545" s="0" t="s">
        <v>7524</v>
      </c>
    </row>
    <row r="7546" customFormat="false" ht="15" hidden="false" customHeight="false" outlineLevel="0" collapsed="false">
      <c r="A7546" s="0" t="n">
        <f aca="false">YIELD(DATE(2024,3,31),DATE(2025,3,31),0.1,101.5,100,4,1)</f>
        <v>0.084202381287199</v>
      </c>
      <c r="B7546" s="0" t="s">
        <v>7525</v>
      </c>
    </row>
    <row r="7547" customFormat="false" ht="15" hidden="false" customHeight="false" outlineLevel="0" collapsed="false">
      <c r="A7547" s="0" t="n">
        <f aca="false">YIELD(DATE(2024,3,31),DATE(2025,3,31),0.05,100,100,4,1)</f>
        <v>0.0500000000000001</v>
      </c>
      <c r="B7547" s="0" t="s">
        <v>7526</v>
      </c>
    </row>
    <row r="7548" customFormat="false" ht="15" hidden="false" customHeight="false" outlineLevel="0" collapsed="false">
      <c r="A7548" s="0" t="n">
        <f aca="false">DURATION(DATE(2024,3,31),DATE(2025,3,31),0.05,0.08,4,1)</f>
        <v>0.981323395529957</v>
      </c>
      <c r="B7548" s="0" t="s">
        <v>7527</v>
      </c>
    </row>
    <row r="7549" customFormat="false" ht="15" hidden="false" customHeight="false" outlineLevel="0" collapsed="false">
      <c r="A7549" s="0" t="n">
        <f aca="false">DURATION(DATE(2024,3,31),DATE(2025,3,31),0.1,0.03,4,1)</f>
        <v>0.965344597756374</v>
      </c>
      <c r="B7549" s="0" t="s">
        <v>7528</v>
      </c>
    </row>
    <row r="7550" customFormat="false" ht="15" hidden="false" customHeight="false" outlineLevel="0" collapsed="false">
      <c r="A7550" s="0" t="n">
        <f aca="false">DURATION(DATE(2024,3,31),DATE(2025,3,31),0,0.05,4,1)</f>
        <v>1</v>
      </c>
      <c r="B7550" s="0" t="s">
        <v>7529</v>
      </c>
    </row>
    <row r="7551" customFormat="false" ht="15" hidden="false" customHeight="false" outlineLevel="0" collapsed="false">
      <c r="A7551" s="0" t="n">
        <f aca="false">MDURATION(DATE(2024,3,31),DATE(2025,3,31),0.05,0.08,4,1)</f>
        <v>0.962081760323487</v>
      </c>
      <c r="B7551" s="0" t="s">
        <v>7530</v>
      </c>
    </row>
    <row r="7552" customFormat="false" ht="15" hidden="false" customHeight="false" outlineLevel="0" collapsed="false">
      <c r="A7552" s="0" t="n">
        <f aca="false">MDURATION(DATE(2024,3,31),DATE(2025,3,31),0.1,0.03,4,1)</f>
        <v>0.958158409683746</v>
      </c>
      <c r="B7552" s="0" t="s">
        <v>7531</v>
      </c>
    </row>
    <row r="7553" customFormat="false" ht="15" hidden="false" customHeight="false" outlineLevel="0" collapsed="false">
      <c r="A7553" s="0" t="n">
        <f aca="false">PRICE(DATE(2024,3,31),DATE(2025,3,31),0.05,0.08,100,4,2)</f>
        <v>97.1228312667197</v>
      </c>
      <c r="B7553" s="0" t="s">
        <v>7532</v>
      </c>
    </row>
    <row r="7554" customFormat="false" ht="15" hidden="false" customHeight="false" outlineLevel="0" collapsed="false">
      <c r="A7554" s="0" t="n">
        <f aca="false">PRICE(DATE(2024,3,31),DATE(2025,3,31),0.1,0.03,105,4,2)</f>
        <v>111.714188912769</v>
      </c>
      <c r="B7554" s="0" t="s">
        <v>7533</v>
      </c>
    </row>
    <row r="7555" customFormat="false" ht="15" hidden="false" customHeight="false" outlineLevel="0" collapsed="false">
      <c r="A7555" s="0" t="n">
        <f aca="false">PRICE(DATE(2024,3,31),DATE(2025,3,31),0,0.05,100,4,2)</f>
        <v>95.1392947288183</v>
      </c>
      <c r="B7555" s="0" t="s">
        <v>7534</v>
      </c>
    </row>
    <row r="7556" customFormat="false" ht="15" hidden="false" customHeight="false" outlineLevel="0" collapsed="false">
      <c r="A7556" s="0" t="n">
        <f aca="false">YIELD(DATE(2024,3,31),DATE(2025,3,31),0.05,95,100,4,2)</f>
        <v>0.102972971153476</v>
      </c>
      <c r="B7556" s="0" t="s">
        <v>7535</v>
      </c>
    </row>
    <row r="7557" customFormat="false" ht="15" hidden="false" customHeight="false" outlineLevel="0" collapsed="false">
      <c r="A7557" s="0" t="n">
        <f aca="false">YIELD(DATE(2024,3,31),DATE(2025,3,31),0.1,101.5,100,4,2)</f>
        <v>0.083958005926493</v>
      </c>
      <c r="B7557" s="0" t="s">
        <v>7536</v>
      </c>
    </row>
    <row r="7558" customFormat="false" ht="15" hidden="false" customHeight="false" outlineLevel="0" collapsed="false">
      <c r="A7558" s="0" t="n">
        <f aca="false">YIELD(DATE(2024,3,31),DATE(2025,3,31),0.05,100,100,4,2)</f>
        <v>0.0498580361577016</v>
      </c>
      <c r="B7558" s="0" t="s">
        <v>7537</v>
      </c>
    </row>
    <row r="7559" customFormat="false" ht="15" hidden="false" customHeight="false" outlineLevel="0" collapsed="false">
      <c r="A7559" s="0" t="n">
        <f aca="false">DURATION(DATE(2024,3,31),DATE(2025,3,31),0.05,0.08,4,2)</f>
        <v>0.995212284418846</v>
      </c>
      <c r="B7559" s="0" t="s">
        <v>7538</v>
      </c>
    </row>
    <row r="7560" customFormat="false" ht="15" hidden="false" customHeight="false" outlineLevel="0" collapsed="false">
      <c r="A7560" s="0" t="n">
        <f aca="false">DURATION(DATE(2024,3,31),DATE(2025,3,31),0.1,0.03,4,2)</f>
        <v>0.979233486645263</v>
      </c>
      <c r="B7560" s="0" t="s">
        <v>7539</v>
      </c>
    </row>
    <row r="7561" customFormat="false" ht="15" hidden="false" customHeight="false" outlineLevel="0" collapsed="false">
      <c r="A7561" s="0" t="n">
        <f aca="false">DURATION(DATE(2024,3,31),DATE(2025,3,31),0,0.05,4,2)</f>
        <v>1.01388888888889</v>
      </c>
      <c r="B7561" s="0" t="s">
        <v>7540</v>
      </c>
    </row>
    <row r="7562" customFormat="false" ht="15" hidden="false" customHeight="false" outlineLevel="0" collapsed="false">
      <c r="A7562" s="0" t="n">
        <f aca="false">MDURATION(DATE(2024,3,31),DATE(2025,3,31),0.05,0.08,4,2)</f>
        <v>0.975698318057692</v>
      </c>
      <c r="B7562" s="0" t="s">
        <v>7541</v>
      </c>
    </row>
    <row r="7563" customFormat="false" ht="15" hidden="false" customHeight="false" outlineLevel="0" collapsed="false">
      <c r="A7563" s="0" t="n">
        <f aca="false">MDURATION(DATE(2024,3,31),DATE(2025,3,31),0.1,0.03,4,2)</f>
        <v>0.971943907340211</v>
      </c>
      <c r="B7563" s="0" t="s">
        <v>7542</v>
      </c>
    </row>
    <row r="7564" customFormat="false" ht="15" hidden="false" customHeight="false" outlineLevel="0" collapsed="false">
      <c r="A7564" s="0" t="n">
        <f aca="false">PRICE(DATE(2024,3,31),DATE(2025,3,31),0.05,0.08,100,4,3)</f>
        <v>97.1494740585714</v>
      </c>
      <c r="B7564" s="0" t="s">
        <v>7543</v>
      </c>
    </row>
    <row r="7565" customFormat="false" ht="15" hidden="false" customHeight="false" outlineLevel="0" collapsed="false">
      <c r="A7565" s="0" t="n">
        <f aca="false">PRICE(DATE(2024,3,31),DATE(2025,3,31),0.1,0.03,105,4,3)</f>
        <v>111.725751221427</v>
      </c>
      <c r="B7565" s="0" t="s">
        <v>7544</v>
      </c>
    </row>
    <row r="7566" customFormat="false" ht="15" hidden="false" customHeight="false" outlineLevel="0" collapsed="false">
      <c r="A7566" s="0" t="n">
        <f aca="false">PRICE(DATE(2024,3,31),DATE(2025,3,31),0,0.05,100,4,3)</f>
        <v>95.1556660232191</v>
      </c>
      <c r="B7566" s="0" t="s">
        <v>7545</v>
      </c>
    </row>
    <row r="7567" customFormat="false" ht="15" hidden="false" customHeight="false" outlineLevel="0" collapsed="false">
      <c r="A7567" s="0" t="n">
        <f aca="false">YIELD(DATE(2024,3,31),DATE(2025,3,31),0.05,95,100,4,3)</f>
        <v>0.103341324384101</v>
      </c>
      <c r="B7567" s="0" t="s">
        <v>7546</v>
      </c>
    </row>
    <row r="7568" customFormat="false" ht="15" hidden="false" customHeight="false" outlineLevel="0" collapsed="false">
      <c r="A7568" s="0" t="n">
        <f aca="false">YIELD(DATE(2024,3,31),DATE(2025,3,31),0.1,101.5,100,4,3)</f>
        <v>0.0842628571943249</v>
      </c>
      <c r="B7568" s="0" t="s">
        <v>7547</v>
      </c>
    </row>
    <row r="7569" customFormat="false" ht="15" hidden="false" customHeight="false" outlineLevel="0" collapsed="false">
      <c r="A7569" s="0" t="n">
        <f aca="false">YIELD(DATE(2024,3,31),DATE(2025,3,31),0.05,100,100,4,3)</f>
        <v>0.0500351291490729</v>
      </c>
      <c r="B7569" s="0" t="s">
        <v>7548</v>
      </c>
    </row>
    <row r="7570" customFormat="false" ht="15" hidden="false" customHeight="false" outlineLevel="0" collapsed="false">
      <c r="A7570" s="0" t="n">
        <f aca="false">DURATION(DATE(2024,3,31),DATE(2025,3,31),0.05,0.08,4,3)</f>
        <v>0.981323395529957</v>
      </c>
      <c r="B7570" s="0" t="s">
        <v>7549</v>
      </c>
    </row>
    <row r="7571" customFormat="false" ht="15" hidden="false" customHeight="false" outlineLevel="0" collapsed="false">
      <c r="A7571" s="0" t="n">
        <f aca="false">DURATION(DATE(2024,3,31),DATE(2025,3,31),0.1,0.03,4,3)</f>
        <v>0.965344597756374</v>
      </c>
      <c r="B7571" s="0" t="s">
        <v>7550</v>
      </c>
    </row>
    <row r="7572" customFormat="false" ht="15" hidden="false" customHeight="false" outlineLevel="0" collapsed="false">
      <c r="A7572" s="0" t="n">
        <f aca="false">DURATION(DATE(2024,3,31),DATE(2025,3,31),0,0.05,4,3)</f>
        <v>1</v>
      </c>
      <c r="B7572" s="0" t="s">
        <v>7551</v>
      </c>
    </row>
    <row r="7573" customFormat="false" ht="15" hidden="false" customHeight="false" outlineLevel="0" collapsed="false">
      <c r="A7573" s="0" t="n">
        <f aca="false">MDURATION(DATE(2024,3,31),DATE(2025,3,31),0.05,0.08,4,3)</f>
        <v>0.962081760323487</v>
      </c>
      <c r="B7573" s="0" t="s">
        <v>7552</v>
      </c>
    </row>
    <row r="7574" customFormat="false" ht="15" hidden="false" customHeight="false" outlineLevel="0" collapsed="false">
      <c r="A7574" s="0" t="n">
        <f aca="false">MDURATION(DATE(2024,3,31),DATE(2025,3,31),0.1,0.03,4,3)</f>
        <v>0.958158409683746</v>
      </c>
      <c r="B7574" s="0" t="s">
        <v>7553</v>
      </c>
    </row>
    <row r="7575" customFormat="false" ht="15" hidden="false" customHeight="false" outlineLevel="0" collapsed="false">
      <c r="A7575" s="0" t="n">
        <f aca="false">PRICE(DATE(2024,3,31),DATE(2025,3,31),0.05,0.08,100,4,4)</f>
        <v>97.1442034759943</v>
      </c>
      <c r="B7575" s="0" t="s">
        <v>7554</v>
      </c>
    </row>
    <row r="7576" customFormat="false" ht="15" hidden="false" customHeight="false" outlineLevel="0" collapsed="false">
      <c r="A7576" s="0" t="n">
        <f aca="false">PRICE(DATE(2024,3,31),DATE(2025,3,31),0.1,0.03,105,4,4)</f>
        <v>111.723464076423</v>
      </c>
      <c r="B7576" s="0" t="s">
        <v>7555</v>
      </c>
    </row>
    <row r="7577" customFormat="false" ht="15" hidden="false" customHeight="false" outlineLevel="0" collapsed="false">
      <c r="A7577" s="0" t="n">
        <f aca="false">PRICE(DATE(2024,3,31),DATE(2025,3,31),0,0.05,100,4,4)</f>
        <v>95.1524275217153</v>
      </c>
      <c r="B7577" s="0" t="s">
        <v>7556</v>
      </c>
    </row>
    <row r="7578" customFormat="false" ht="15" hidden="false" customHeight="false" outlineLevel="0" collapsed="false">
      <c r="A7578" s="0" t="n">
        <f aca="false">YIELD(DATE(2024,3,31),DATE(2025,3,31),0.05,95,100,4,4)</f>
        <v>0.103268254266546</v>
      </c>
      <c r="B7578" s="0" t="s">
        <v>7557</v>
      </c>
    </row>
    <row r="7579" customFormat="false" ht="15" hidden="false" customHeight="false" outlineLevel="0" collapsed="false">
      <c r="A7579" s="0" t="n">
        <f aca="false">YIELD(DATE(2024,3,31),DATE(2025,3,31),0.1,101.5,100,4,4)</f>
        <v>0.084202381287199</v>
      </c>
      <c r="B7579" s="0" t="s">
        <v>7558</v>
      </c>
    </row>
    <row r="7580" customFormat="false" ht="15" hidden="false" customHeight="false" outlineLevel="0" collapsed="false">
      <c r="A7580" s="0" t="n">
        <f aca="false">YIELD(DATE(2024,3,31),DATE(2025,3,31),0.05,100,100,4,4)</f>
        <v>0.0500000000000001</v>
      </c>
      <c r="B7580" s="0" t="s">
        <v>7559</v>
      </c>
    </row>
    <row r="7581" customFormat="false" ht="15" hidden="false" customHeight="false" outlineLevel="0" collapsed="false">
      <c r="A7581" s="0" t="n">
        <f aca="false">DURATION(DATE(2024,3,31),DATE(2025,3,31),0.05,0.08,4,4)</f>
        <v>0.981323395529957</v>
      </c>
      <c r="B7581" s="0" t="s">
        <v>7560</v>
      </c>
    </row>
    <row r="7582" customFormat="false" ht="15" hidden="false" customHeight="false" outlineLevel="0" collapsed="false">
      <c r="A7582" s="0" t="n">
        <f aca="false">DURATION(DATE(2024,3,31),DATE(2025,3,31),0.1,0.03,4,4)</f>
        <v>0.965344597756374</v>
      </c>
      <c r="B7582" s="0" t="s">
        <v>7561</v>
      </c>
    </row>
    <row r="7583" customFormat="false" ht="15" hidden="false" customHeight="false" outlineLevel="0" collapsed="false">
      <c r="A7583" s="0" t="n">
        <f aca="false">DURATION(DATE(2024,3,31),DATE(2025,3,31),0,0.05,4,4)</f>
        <v>1</v>
      </c>
      <c r="B7583" s="0" t="s">
        <v>7562</v>
      </c>
    </row>
    <row r="7584" customFormat="false" ht="15" hidden="false" customHeight="false" outlineLevel="0" collapsed="false">
      <c r="A7584" s="0" t="n">
        <f aca="false">MDURATION(DATE(2024,3,31),DATE(2025,3,31),0.05,0.08,4,4)</f>
        <v>0.962081760323487</v>
      </c>
      <c r="B7584" s="0" t="s">
        <v>7563</v>
      </c>
    </row>
    <row r="7585" customFormat="false" ht="15" hidden="false" customHeight="false" outlineLevel="0" collapsed="false">
      <c r="A7585" s="0" t="n">
        <f aca="false">MDURATION(DATE(2024,3,31),DATE(2025,3,31),0.1,0.03,4,4)</f>
        <v>0.958158409683746</v>
      </c>
      <c r="B7585" s="0" t="s">
        <v>7564</v>
      </c>
    </row>
    <row r="7586" customFormat="false" ht="15" hidden="false" customHeight="false" outlineLevel="0" collapsed="false">
      <c r="A7586" s="0" t="n">
        <f aca="false">PRICE(DATE(2024,2,29),DATE(2026,8,31),0.05,0.08,100,1,0)</f>
        <v>93.3818471835367</v>
      </c>
      <c r="B7586" s="0" t="s">
        <v>7565</v>
      </c>
    </row>
    <row r="7587" customFormat="false" ht="15" hidden="false" customHeight="false" outlineLevel="0" collapsed="false">
      <c r="A7587" s="0" t="n">
        <f aca="false">PRICE(DATE(2024,2,29),DATE(2026,8,31),0.1,0.03,105,1,0)</f>
        <v>121.245255244019</v>
      </c>
      <c r="B7587" s="0" t="s">
        <v>7566</v>
      </c>
    </row>
    <row r="7588" customFormat="false" ht="15" hidden="false" customHeight="false" outlineLevel="0" collapsed="false">
      <c r="A7588" s="0" t="n">
        <f aca="false">PRICE(DATE(2024,2,29),DATE(2026,8,31),0,0.05,100,1,0)</f>
        <v>88.505017677777</v>
      </c>
      <c r="B7588" s="0" t="s">
        <v>7567</v>
      </c>
    </row>
    <row r="7589" customFormat="false" ht="15" hidden="false" customHeight="false" outlineLevel="0" collapsed="false">
      <c r="A7589" s="0" t="n">
        <f aca="false">YIELD(DATE(2024,2,29),DATE(2026,8,31),0.05,95,100,1,0)</f>
        <v>0.0723568513532875</v>
      </c>
      <c r="B7589" s="0" t="s">
        <v>7568</v>
      </c>
    </row>
    <row r="7590" customFormat="false" ht="15" hidden="false" customHeight="false" outlineLevel="0" collapsed="false">
      <c r="A7590" s="0" t="n">
        <f aca="false">YIELD(DATE(2024,2,29),DATE(2026,8,31),0.1,101.5,100,1,0)</f>
        <v>0.0924993578571852</v>
      </c>
      <c r="B7590" s="0" t="s">
        <v>7569</v>
      </c>
    </row>
    <row r="7591" customFormat="false" ht="15" hidden="false" customHeight="false" outlineLevel="0" collapsed="false">
      <c r="A7591" s="0" t="n">
        <f aca="false">YIELD(DATE(2024,2,29),DATE(2026,8,31),0.05,100,100,1,0)</f>
        <v>0.0498677479903176</v>
      </c>
      <c r="B7591" s="0" t="s">
        <v>7570</v>
      </c>
    </row>
    <row r="7592" customFormat="false" ht="15" hidden="false" customHeight="false" outlineLevel="0" collapsed="false">
      <c r="A7592" s="0" t="n">
        <f aca="false">DURATION(DATE(2024,2,29),DATE(2026,8,31),0.05,0.08,1,0)</f>
        <v>2.35596794915915</v>
      </c>
      <c r="B7592" s="0" t="s">
        <v>7571</v>
      </c>
    </row>
    <row r="7593" customFormat="false" ht="15" hidden="false" customHeight="false" outlineLevel="0" collapsed="false">
      <c r="A7593" s="0" t="n">
        <f aca="false">DURATION(DATE(2024,2,29),DATE(2026,8,31),0.1,0.03,1,0)</f>
        <v>2.26201511058148</v>
      </c>
      <c r="B7593" s="0" t="s">
        <v>7572</v>
      </c>
    </row>
    <row r="7594" customFormat="false" ht="15" hidden="false" customHeight="false" outlineLevel="0" collapsed="false">
      <c r="A7594" s="0" t="n">
        <f aca="false">DURATION(DATE(2024,2,29),DATE(2026,8,31),0,0.05,1,0)</f>
        <v>2.50277777777778</v>
      </c>
      <c r="B7594" s="0" t="s">
        <v>7573</v>
      </c>
    </row>
    <row r="7595" customFormat="false" ht="15" hidden="false" customHeight="false" outlineLevel="0" collapsed="false">
      <c r="A7595" s="0" t="n">
        <f aca="false">MDURATION(DATE(2024,2,29),DATE(2026,8,31),0.05,0.08,1,0)</f>
        <v>2.18145180477699</v>
      </c>
      <c r="B7595" s="0" t="s">
        <v>7574</v>
      </c>
    </row>
    <row r="7596" customFormat="false" ht="15" hidden="false" customHeight="false" outlineLevel="0" collapsed="false">
      <c r="A7596" s="0" t="n">
        <f aca="false">MDURATION(DATE(2024,2,29),DATE(2026,8,31),0.1,0.03,1,0)</f>
        <v>2.19613117532183</v>
      </c>
      <c r="B7596" s="0" t="s">
        <v>7575</v>
      </c>
    </row>
    <row r="7597" customFormat="false" ht="15" hidden="false" customHeight="false" outlineLevel="0" collapsed="false">
      <c r="A7597" s="0" t="n">
        <f aca="false">PRICE(DATE(2024,2,29),DATE(2026,8,31),0.05,0.08,100,1,1)</f>
        <v>93.3819554763787</v>
      </c>
      <c r="B7597" s="0" t="s">
        <v>7576</v>
      </c>
    </row>
    <row r="7598" customFormat="false" ht="15" hidden="false" customHeight="false" outlineLevel="0" collapsed="false">
      <c r="A7598" s="0" t="n">
        <f aca="false">PRICE(DATE(2024,2,29),DATE(2026,8,31),0.1,0.03,105,1,1)</f>
        <v>121.244969763143</v>
      </c>
      <c r="B7598" s="0" t="s">
        <v>7577</v>
      </c>
    </row>
    <row r="7599" customFormat="false" ht="15" hidden="false" customHeight="false" outlineLevel="0" collapsed="false">
      <c r="A7599" s="0" t="n">
        <f aca="false">PRICE(DATE(2024,2,29),DATE(2026,8,31),0,0.05,100,1,1)</f>
        <v>88.5052143161713</v>
      </c>
      <c r="B7599" s="0" t="s">
        <v>7578</v>
      </c>
    </row>
    <row r="7600" customFormat="false" ht="15" hidden="false" customHeight="false" outlineLevel="0" collapsed="false">
      <c r="A7600" s="0" t="n">
        <f aca="false">YIELD(DATE(2024,2,29),DATE(2026,8,31),0.05,95,100,1,1)</f>
        <v>0.0723572359936194</v>
      </c>
      <c r="B7600" s="0" t="s">
        <v>7579</v>
      </c>
    </row>
    <row r="7601" customFormat="false" ht="15" hidden="false" customHeight="false" outlineLevel="0" collapsed="false">
      <c r="A7601" s="0" t="n">
        <f aca="false">YIELD(DATE(2024,2,29),DATE(2026,8,31),0.1,101.5,100,1,1)</f>
        <v>0.0924992367943526</v>
      </c>
      <c r="B7601" s="0" t="s">
        <v>7580</v>
      </c>
    </row>
    <row r="7602" customFormat="false" ht="15" hidden="false" customHeight="false" outlineLevel="0" collapsed="false">
      <c r="A7602" s="0" t="n">
        <f aca="false">YIELD(DATE(2024,2,29),DATE(2026,8,31),0.05,100,100,1,1)</f>
        <v>0.0498677455040986</v>
      </c>
      <c r="B7602" s="0" t="s">
        <v>7581</v>
      </c>
    </row>
    <row r="7603" customFormat="false" ht="15" hidden="false" customHeight="false" outlineLevel="0" collapsed="false">
      <c r="A7603" s="0" t="n">
        <f aca="false">DURATION(DATE(2024,2,29),DATE(2026,8,31),0.05,0.08,1,1)</f>
        <v>2.35501498889962</v>
      </c>
      <c r="B7603" s="0" t="s">
        <v>7582</v>
      </c>
    </row>
    <row r="7604" customFormat="false" ht="15" hidden="false" customHeight="false" outlineLevel="0" collapsed="false">
      <c r="A7604" s="0" t="n">
        <f aca="false">DURATION(DATE(2024,2,29),DATE(2026,8,31),0.1,0.03,1,1)</f>
        <v>2.26106215032195</v>
      </c>
      <c r="B7604" s="0" t="s">
        <v>7583</v>
      </c>
    </row>
    <row r="7605" customFormat="false" ht="15" hidden="false" customHeight="false" outlineLevel="0" collapsed="false">
      <c r="A7605" s="0" t="n">
        <f aca="false">DURATION(DATE(2024,2,29),DATE(2026,8,31),0,0.05,1,1)</f>
        <v>2.50182481751825</v>
      </c>
      <c r="B7605" s="0" t="s">
        <v>7584</v>
      </c>
    </row>
    <row r="7606" customFormat="false" ht="15" hidden="false" customHeight="false" outlineLevel="0" collapsed="false">
      <c r="A7606" s="0" t="n">
        <f aca="false">MDURATION(DATE(2024,2,29),DATE(2026,8,31),0.05,0.08,1,1)</f>
        <v>2.18056943416632</v>
      </c>
      <c r="B7606" s="0" t="s">
        <v>7585</v>
      </c>
    </row>
    <row r="7607" customFormat="false" ht="15" hidden="false" customHeight="false" outlineLevel="0" collapsed="false">
      <c r="A7607" s="0" t="n">
        <f aca="false">MDURATION(DATE(2024,2,29),DATE(2026,8,31),0.1,0.03,1,1)</f>
        <v>2.19520597118636</v>
      </c>
      <c r="B7607" s="0" t="s">
        <v>7586</v>
      </c>
    </row>
    <row r="7608" customFormat="false" ht="15" hidden="false" customHeight="false" outlineLevel="0" collapsed="false">
      <c r="A7608" s="0" t="n">
        <f aca="false">PRICE(DATE(2024,2,29),DATE(2026,8,31),0.05,0.08,100,1,2)</f>
        <v>93.2787160798234</v>
      </c>
      <c r="B7608" s="0" t="s">
        <v>7587</v>
      </c>
    </row>
    <row r="7609" customFormat="false" ht="15" hidden="false" customHeight="false" outlineLevel="0" collapsed="false">
      <c r="A7609" s="0" t="n">
        <f aca="false">PRICE(DATE(2024,2,29),DATE(2026,8,31),0.1,0.03,105,1,2)</f>
        <v>121.130835427374</v>
      </c>
      <c r="B7609" s="0" t="s">
        <v>7588</v>
      </c>
    </row>
    <row r="7610" customFormat="false" ht="15" hidden="false" customHeight="false" outlineLevel="0" collapsed="false">
      <c r="A7610" s="0" t="n">
        <f aca="false">PRICE(DATE(2024,2,29),DATE(2026,8,31),0,0.05,100,1,2)</f>
        <v>88.4690402060314</v>
      </c>
      <c r="B7610" s="0" t="s">
        <v>7589</v>
      </c>
    </row>
    <row r="7611" customFormat="false" ht="15" hidden="false" customHeight="false" outlineLevel="0" collapsed="false">
      <c r="A7611" s="0" t="n">
        <f aca="false">YIELD(DATE(2024,2,29),DATE(2026,8,31),0.05,95,100,1,2)</f>
        <v>0.0718994061178056</v>
      </c>
      <c r="B7611" s="0" t="s">
        <v>7590</v>
      </c>
    </row>
    <row r="7612" customFormat="false" ht="15" hidden="false" customHeight="false" outlineLevel="0" collapsed="false">
      <c r="A7612" s="0" t="n">
        <f aca="false">YIELD(DATE(2024,2,29),DATE(2026,8,31),0.1,101.5,100,1,2)</f>
        <v>0.0917615379067531</v>
      </c>
      <c r="B7612" s="0" t="s">
        <v>7591</v>
      </c>
    </row>
    <row r="7613" customFormat="false" ht="15" hidden="false" customHeight="false" outlineLevel="0" collapsed="false">
      <c r="A7613" s="0" t="n">
        <f aca="false">YIELD(DATE(2024,2,29),DATE(2026,8,31),0.05,100,100,1,2)</f>
        <v>0.0495081918147003</v>
      </c>
      <c r="B7613" s="0" t="s">
        <v>7592</v>
      </c>
    </row>
    <row r="7614" customFormat="false" ht="15" hidden="false" customHeight="false" outlineLevel="0" collapsed="false">
      <c r="A7614" s="0" t="n">
        <f aca="false">DURATION(DATE(2024,2,29),DATE(2026,8,31),0.05,0.08,1,2)</f>
        <v>2.39207906027026</v>
      </c>
      <c r="B7614" s="0" t="s">
        <v>7593</v>
      </c>
    </row>
    <row r="7615" customFormat="false" ht="15" hidden="false" customHeight="false" outlineLevel="0" collapsed="false">
      <c r="A7615" s="0" t="n">
        <f aca="false">DURATION(DATE(2024,2,29),DATE(2026,8,31),0.1,0.03,1,2)</f>
        <v>2.29812622169259</v>
      </c>
      <c r="B7615" s="0" t="s">
        <v>7594</v>
      </c>
    </row>
    <row r="7616" customFormat="false" ht="15" hidden="false" customHeight="false" outlineLevel="0" collapsed="false">
      <c r="A7616" s="0" t="n">
        <f aca="false">DURATION(DATE(2024,2,29),DATE(2026,8,31),0,0.05,1,2)</f>
        <v>2.53888888888889</v>
      </c>
      <c r="B7616" s="0" t="s">
        <v>7595</v>
      </c>
    </row>
    <row r="7617" customFormat="false" ht="15" hidden="false" customHeight="false" outlineLevel="0" collapsed="false">
      <c r="A7617" s="0" t="n">
        <f aca="false">MDURATION(DATE(2024,2,29),DATE(2026,8,31),0.05,0.08,1,2)</f>
        <v>2.21488801876876</v>
      </c>
      <c r="B7617" s="0" t="s">
        <v>7596</v>
      </c>
    </row>
    <row r="7618" customFormat="false" ht="15" hidden="false" customHeight="false" outlineLevel="0" collapsed="false">
      <c r="A7618" s="0" t="n">
        <f aca="false">MDURATION(DATE(2024,2,29),DATE(2026,8,31),0.1,0.03,1,2)</f>
        <v>2.23119050649766</v>
      </c>
      <c r="B7618" s="0" t="s">
        <v>7597</v>
      </c>
    </row>
    <row r="7619" customFormat="false" ht="15" hidden="false" customHeight="false" outlineLevel="0" collapsed="false">
      <c r="A7619" s="0" t="n">
        <f aca="false">PRICE(DATE(2024,2,29),DATE(2026,8,31),0.05,0.08,100,1,3)</f>
        <v>93.3649818794207</v>
      </c>
      <c r="B7619" s="0" t="s">
        <v>7598</v>
      </c>
    </row>
    <row r="7620" customFormat="false" ht="15" hidden="false" customHeight="false" outlineLevel="0" collapsed="false">
      <c r="A7620" s="0" t="n">
        <f aca="false">PRICE(DATE(2024,2,29),DATE(2026,8,31),0.1,0.03,105,1,3)</f>
        <v>121.226207422833</v>
      </c>
      <c r="B7620" s="0" t="s">
        <v>7599</v>
      </c>
    </row>
    <row r="7621" customFormat="false" ht="15" hidden="false" customHeight="false" outlineLevel="0" collapsed="false">
      <c r="A7621" s="0" t="n">
        <f aca="false">PRICE(DATE(2024,2,29),DATE(2026,8,31),0,0.05,100,1,3)</f>
        <v>88.4992668713946</v>
      </c>
      <c r="B7621" s="0" t="s">
        <v>7600</v>
      </c>
    </row>
    <row r="7622" customFormat="false" ht="15" hidden="false" customHeight="false" outlineLevel="0" collapsed="false">
      <c r="A7622" s="0" t="n">
        <f aca="false">YIELD(DATE(2024,2,29),DATE(2026,8,31),0.05,95,100,1,3)</f>
        <v>0.0722817325386509</v>
      </c>
      <c r="B7622" s="0" t="s">
        <v>7601</v>
      </c>
    </row>
    <row r="7623" customFormat="false" ht="15" hidden="false" customHeight="false" outlineLevel="0" collapsed="false">
      <c r="A7623" s="0" t="n">
        <f aca="false">YIELD(DATE(2024,2,29),DATE(2026,8,31),0.1,101.5,100,1,3)</f>
        <v>0.0923775323025398</v>
      </c>
      <c r="B7623" s="0" t="s">
        <v>7602</v>
      </c>
    </row>
    <row r="7624" customFormat="false" ht="15" hidden="false" customHeight="false" outlineLevel="0" collapsed="false">
      <c r="A7624" s="0" t="n">
        <f aca="false">YIELD(DATE(2024,2,29),DATE(2026,8,31),0.05,100,100,1,3)</f>
        <v>0.049808451465512</v>
      </c>
      <c r="B7624" s="0" t="s">
        <v>7603</v>
      </c>
    </row>
    <row r="7625" customFormat="false" ht="15" hidden="false" customHeight="false" outlineLevel="0" collapsed="false">
      <c r="A7625" s="0" t="n">
        <f aca="false">DURATION(DATE(2024,2,29),DATE(2026,8,31),0.05,0.08,1,3)</f>
        <v>2.35729976042247</v>
      </c>
      <c r="B7625" s="0" t="s">
        <v>7604</v>
      </c>
    </row>
    <row r="7626" customFormat="false" ht="15" hidden="false" customHeight="false" outlineLevel="0" collapsed="false">
      <c r="A7626" s="0" t="n">
        <f aca="false">DURATION(DATE(2024,2,29),DATE(2026,8,31),0.1,0.03,1,3)</f>
        <v>2.2633469218448</v>
      </c>
      <c r="B7626" s="0" t="s">
        <v>7605</v>
      </c>
    </row>
    <row r="7627" customFormat="false" ht="15" hidden="false" customHeight="false" outlineLevel="0" collapsed="false">
      <c r="A7627" s="0" t="n">
        <f aca="false">DURATION(DATE(2024,2,29),DATE(2026,8,31),0,0.05,1,3)</f>
        <v>2.5041095890411</v>
      </c>
      <c r="B7627" s="0" t="s">
        <v>7606</v>
      </c>
    </row>
    <row r="7628" customFormat="false" ht="15" hidden="false" customHeight="false" outlineLevel="0" collapsed="false">
      <c r="A7628" s="0" t="n">
        <f aca="false">MDURATION(DATE(2024,2,29),DATE(2026,8,31),0.05,0.08,1,3)</f>
        <v>2.18268496335414</v>
      </c>
      <c r="B7628" s="0" t="s">
        <v>7607</v>
      </c>
    </row>
    <row r="7629" customFormat="false" ht="15" hidden="false" customHeight="false" outlineLevel="0" collapsed="false">
      <c r="A7629" s="0" t="n">
        <f aca="false">MDURATION(DATE(2024,2,29),DATE(2026,8,31),0.1,0.03,1,3)</f>
        <v>2.19742419596582</v>
      </c>
      <c r="B7629" s="0" t="s">
        <v>7608</v>
      </c>
    </row>
    <row r="7630" customFormat="false" ht="15" hidden="false" customHeight="false" outlineLevel="0" collapsed="false">
      <c r="A7630" s="0" t="n">
        <f aca="false">PRICE(DATE(2024,2,29),DATE(2026,8,31),0.05,0.08,100,1,4)</f>
        <v>93.3818471835367</v>
      </c>
      <c r="B7630" s="0" t="s">
        <v>7609</v>
      </c>
    </row>
    <row r="7631" customFormat="false" ht="15" hidden="false" customHeight="false" outlineLevel="0" collapsed="false">
      <c r="A7631" s="0" t="n">
        <f aca="false">PRICE(DATE(2024,2,29),DATE(2026,8,31),0.1,0.03,105,1,4)</f>
        <v>121.245255244019</v>
      </c>
      <c r="B7631" s="0" t="s">
        <v>7610</v>
      </c>
    </row>
    <row r="7632" customFormat="false" ht="15" hidden="false" customHeight="false" outlineLevel="0" collapsed="false">
      <c r="A7632" s="0" t="n">
        <f aca="false">PRICE(DATE(2024,2,29),DATE(2026,8,31),0,0.05,100,1,4)</f>
        <v>88.505017677777</v>
      </c>
      <c r="B7632" s="0" t="s">
        <v>7611</v>
      </c>
    </row>
    <row r="7633" customFormat="false" ht="15" hidden="false" customHeight="false" outlineLevel="0" collapsed="false">
      <c r="A7633" s="0" t="n">
        <f aca="false">YIELD(DATE(2024,2,29),DATE(2026,8,31),0.05,95,100,1,4)</f>
        <v>0.0723568513532875</v>
      </c>
      <c r="B7633" s="0" t="s">
        <v>7612</v>
      </c>
    </row>
    <row r="7634" customFormat="false" ht="15" hidden="false" customHeight="false" outlineLevel="0" collapsed="false">
      <c r="A7634" s="0" t="n">
        <f aca="false">YIELD(DATE(2024,2,29),DATE(2026,8,31),0.1,101.5,100,1,4)</f>
        <v>0.0924993578571852</v>
      </c>
      <c r="B7634" s="0" t="s">
        <v>7613</v>
      </c>
    </row>
    <row r="7635" customFormat="false" ht="15" hidden="false" customHeight="false" outlineLevel="0" collapsed="false">
      <c r="A7635" s="0" t="n">
        <f aca="false">YIELD(DATE(2024,2,29),DATE(2026,8,31),0.05,100,100,1,4)</f>
        <v>0.0498677479903176</v>
      </c>
      <c r="B7635" s="0" t="s">
        <v>7614</v>
      </c>
    </row>
    <row r="7636" customFormat="false" ht="15" hidden="false" customHeight="false" outlineLevel="0" collapsed="false">
      <c r="A7636" s="0" t="n">
        <f aca="false">DURATION(DATE(2024,2,29),DATE(2026,8,31),0.05,0.08,1,4)</f>
        <v>2.35596794915915</v>
      </c>
      <c r="B7636" s="0" t="s">
        <v>7615</v>
      </c>
    </row>
    <row r="7637" customFormat="false" ht="15" hidden="false" customHeight="false" outlineLevel="0" collapsed="false">
      <c r="A7637" s="0" t="n">
        <f aca="false">DURATION(DATE(2024,2,29),DATE(2026,8,31),0.1,0.03,1,4)</f>
        <v>2.26201511058148</v>
      </c>
      <c r="B7637" s="0" t="s">
        <v>7616</v>
      </c>
    </row>
    <row r="7638" customFormat="false" ht="15" hidden="false" customHeight="false" outlineLevel="0" collapsed="false">
      <c r="A7638" s="0" t="n">
        <f aca="false">DURATION(DATE(2024,2,29),DATE(2026,8,31),0,0.05,1,4)</f>
        <v>2.50277777777778</v>
      </c>
      <c r="B7638" s="0" t="s">
        <v>7617</v>
      </c>
    </row>
    <row r="7639" customFormat="false" ht="15" hidden="false" customHeight="false" outlineLevel="0" collapsed="false">
      <c r="A7639" s="0" t="n">
        <f aca="false">MDURATION(DATE(2024,2,29),DATE(2026,8,31),0.05,0.08,1,4)</f>
        <v>2.18145180477699</v>
      </c>
      <c r="B7639" s="0" t="s">
        <v>7618</v>
      </c>
    </row>
    <row r="7640" customFormat="false" ht="15" hidden="false" customHeight="false" outlineLevel="0" collapsed="false">
      <c r="A7640" s="0" t="n">
        <f aca="false">MDURATION(DATE(2024,2,29),DATE(2026,8,31),0.1,0.03,1,4)</f>
        <v>2.19613117532183</v>
      </c>
      <c r="B7640" s="0" t="s">
        <v>7619</v>
      </c>
    </row>
    <row r="7641" customFormat="false" ht="15" hidden="false" customHeight="false" outlineLevel="0" collapsed="false">
      <c r="A7641" s="0" t="n">
        <f aca="false">PRICE(DATE(2024,2,29),DATE(2026,8,31),0.05,0.08,100,2,0)</f>
        <v>93.3222665034757</v>
      </c>
      <c r="B7641" s="0" t="s">
        <v>7620</v>
      </c>
    </row>
    <row r="7642" customFormat="false" ht="15" hidden="false" customHeight="false" outlineLevel="0" collapsed="false">
      <c r="A7642" s="0" t="n">
        <f aca="false">PRICE(DATE(2024,2,29),DATE(2026,8,31),0.1,0.03,105,2,0)</f>
        <v>121.380559032379</v>
      </c>
      <c r="B7642" s="0" t="s">
        <v>7621</v>
      </c>
    </row>
    <row r="7643" customFormat="false" ht="15" hidden="false" customHeight="false" outlineLevel="0" collapsed="false">
      <c r="A7643" s="0" t="n">
        <f aca="false">PRICE(DATE(2024,2,29),DATE(2026,8,31),0,0.05,100,2,0)</f>
        <v>88.3854287609517</v>
      </c>
      <c r="B7643" s="0" t="s">
        <v>7622</v>
      </c>
    </row>
    <row r="7644" customFormat="false" ht="15" hidden="false" customHeight="false" outlineLevel="0" collapsed="false">
      <c r="A7644" s="0" t="n">
        <f aca="false">YIELD(DATE(2024,2,29),DATE(2026,8,31),0.05,95,100,2,0)</f>
        <v>0.0722177387237664</v>
      </c>
      <c r="B7644" s="0" t="s">
        <v>7623</v>
      </c>
    </row>
    <row r="7645" customFormat="false" ht="15" hidden="false" customHeight="false" outlineLevel="0" collapsed="false">
      <c r="A7645" s="0" t="n">
        <f aca="false">YIELD(DATE(2024,2,29),DATE(2026,8,31),0.1,101.5,100,2,0)</f>
        <v>0.093136360167802</v>
      </c>
      <c r="B7645" s="0" t="s">
        <v>7624</v>
      </c>
    </row>
    <row r="7646" customFormat="false" ht="15" hidden="false" customHeight="false" outlineLevel="0" collapsed="false">
      <c r="A7646" s="0" t="n">
        <f aca="false">YIELD(DATE(2024,2,29),DATE(2026,8,31),0.05,100,100,2,0)</f>
        <v>0.0500000000000004</v>
      </c>
      <c r="B7646" s="0" t="s">
        <v>7625</v>
      </c>
    </row>
    <row r="7647" customFormat="false" ht="15" hidden="false" customHeight="false" outlineLevel="0" collapsed="false">
      <c r="A7647" s="0" t="n">
        <f aca="false">DURATION(DATE(2024,2,29),DATE(2026,8,31),0.05,0.08,2,0)</f>
        <v>2.37884407282921</v>
      </c>
      <c r="B7647" s="0" t="s">
        <v>7626</v>
      </c>
    </row>
    <row r="7648" customFormat="false" ht="15" hidden="false" customHeight="false" outlineLevel="0" collapsed="false">
      <c r="A7648" s="0" t="n">
        <f aca="false">DURATION(DATE(2024,2,29),DATE(2026,8,31),0.1,0.03,2,0)</f>
        <v>2.29488519778839</v>
      </c>
      <c r="B7648" s="0" t="s">
        <v>7627</v>
      </c>
    </row>
    <row r="7649" customFormat="false" ht="15" hidden="false" customHeight="false" outlineLevel="0" collapsed="false">
      <c r="A7649" s="0" t="n">
        <f aca="false">DURATION(DATE(2024,2,29),DATE(2026,8,31),0,0.05,2,0)</f>
        <v>2.50277777777778</v>
      </c>
      <c r="B7649" s="0" t="s">
        <v>7628</v>
      </c>
    </row>
    <row r="7650" customFormat="false" ht="15" hidden="false" customHeight="false" outlineLevel="0" collapsed="false">
      <c r="A7650" s="0" t="n">
        <f aca="false">MDURATION(DATE(2024,2,29),DATE(2026,8,31),0.05,0.08,2,0)</f>
        <v>2.28735007002809</v>
      </c>
      <c r="B7650" s="0" t="s">
        <v>7629</v>
      </c>
    </row>
    <row r="7651" customFormat="false" ht="15" hidden="false" customHeight="false" outlineLevel="0" collapsed="false">
      <c r="A7651" s="0" t="n">
        <f aca="false">MDURATION(DATE(2024,2,29),DATE(2026,8,31),0.1,0.03,2,0)</f>
        <v>2.26097063821516</v>
      </c>
      <c r="B7651" s="0" t="s">
        <v>7630</v>
      </c>
    </row>
    <row r="7652" customFormat="false" ht="15" hidden="false" customHeight="false" outlineLevel="0" collapsed="false">
      <c r="A7652" s="0" t="n">
        <f aca="false">PRICE(DATE(2024,2,29),DATE(2026,8,31),0.05,0.08,100,2,1)</f>
        <v>93.3222665034757</v>
      </c>
      <c r="B7652" s="0" t="s">
        <v>7631</v>
      </c>
    </row>
    <row r="7653" customFormat="false" ht="15" hidden="false" customHeight="false" outlineLevel="0" collapsed="false">
      <c r="A7653" s="0" t="n">
        <f aca="false">PRICE(DATE(2024,2,29),DATE(2026,8,31),0.1,0.03,105,2,1)</f>
        <v>121.380559032379</v>
      </c>
      <c r="B7653" s="0" t="s">
        <v>7632</v>
      </c>
    </row>
    <row r="7654" customFormat="false" ht="15" hidden="false" customHeight="false" outlineLevel="0" collapsed="false">
      <c r="A7654" s="0" t="n">
        <f aca="false">PRICE(DATE(2024,2,29),DATE(2026,8,31),0,0.05,100,2,1)</f>
        <v>88.3854287609517</v>
      </c>
      <c r="B7654" s="0" t="s">
        <v>7633</v>
      </c>
    </row>
    <row r="7655" customFormat="false" ht="15" hidden="false" customHeight="false" outlineLevel="0" collapsed="false">
      <c r="A7655" s="0" t="n">
        <f aca="false">YIELD(DATE(2024,2,29),DATE(2026,8,31),0.05,95,100,2,1)</f>
        <v>0.0722177387237664</v>
      </c>
      <c r="B7655" s="0" t="s">
        <v>7634</v>
      </c>
    </row>
    <row r="7656" customFormat="false" ht="15" hidden="false" customHeight="false" outlineLevel="0" collapsed="false">
      <c r="A7656" s="0" t="n">
        <f aca="false">YIELD(DATE(2024,2,29),DATE(2026,8,31),0.1,101.5,100,2,1)</f>
        <v>0.093136360167802</v>
      </c>
      <c r="B7656" s="0" t="s">
        <v>7635</v>
      </c>
    </row>
    <row r="7657" customFormat="false" ht="15" hidden="false" customHeight="false" outlineLevel="0" collapsed="false">
      <c r="A7657" s="0" t="n">
        <f aca="false">YIELD(DATE(2024,2,29),DATE(2026,8,31),0.05,100,100,2,1)</f>
        <v>0.0500000000000004</v>
      </c>
      <c r="B7657" s="0" t="s">
        <v>7636</v>
      </c>
    </row>
    <row r="7658" customFormat="false" ht="15" hidden="false" customHeight="false" outlineLevel="0" collapsed="false">
      <c r="A7658" s="0" t="n">
        <f aca="false">DURATION(DATE(2024,2,29),DATE(2026,8,31),0.05,0.08,2,1)</f>
        <v>2.37789111256968</v>
      </c>
      <c r="B7658" s="0" t="s">
        <v>7637</v>
      </c>
    </row>
    <row r="7659" customFormat="false" ht="15" hidden="false" customHeight="false" outlineLevel="0" collapsed="false">
      <c r="A7659" s="0" t="n">
        <f aca="false">DURATION(DATE(2024,2,29),DATE(2026,8,31),0.1,0.03,2,1)</f>
        <v>2.29393223752886</v>
      </c>
      <c r="B7659" s="0" t="s">
        <v>7638</v>
      </c>
    </row>
    <row r="7660" customFormat="false" ht="15" hidden="false" customHeight="false" outlineLevel="0" collapsed="false">
      <c r="A7660" s="0" t="n">
        <f aca="false">DURATION(DATE(2024,2,29),DATE(2026,8,31),0,0.05,2,1)</f>
        <v>2.50182481751825</v>
      </c>
      <c r="B7660" s="0" t="s">
        <v>7639</v>
      </c>
    </row>
    <row r="7661" customFormat="false" ht="15" hidden="false" customHeight="false" outlineLevel="0" collapsed="false">
      <c r="A7661" s="0" t="n">
        <f aca="false">MDURATION(DATE(2024,2,29),DATE(2026,8,31),0.05,0.08,2,1)</f>
        <v>2.28643376208623</v>
      </c>
      <c r="B7661" s="0" t="s">
        <v>7640</v>
      </c>
    </row>
    <row r="7662" customFormat="false" ht="15" hidden="false" customHeight="false" outlineLevel="0" collapsed="false">
      <c r="A7662" s="0" t="n">
        <f aca="false">MDURATION(DATE(2024,2,29),DATE(2026,8,31),0.1,0.03,2,1)</f>
        <v>2.26003176111218</v>
      </c>
      <c r="B7662" s="0" t="s">
        <v>7641</v>
      </c>
    </row>
    <row r="7663" customFormat="false" ht="15" hidden="false" customHeight="false" outlineLevel="0" collapsed="false">
      <c r="A7663" s="0" t="n">
        <f aca="false">PRICE(DATE(2024,2,29),DATE(2026,8,31),0.05,0.08,100,2,2)</f>
        <v>93.2409649199045</v>
      </c>
      <c r="B7663" s="0" t="s">
        <v>7642</v>
      </c>
    </row>
    <row r="7664" customFormat="false" ht="15" hidden="false" customHeight="false" outlineLevel="0" collapsed="false">
      <c r="A7664" s="0" t="n">
        <f aca="false">PRICE(DATE(2024,2,29),DATE(2026,8,31),0.1,0.03,105,2,2)</f>
        <v>121.340405939506</v>
      </c>
      <c r="B7664" s="0" t="s">
        <v>7643</v>
      </c>
    </row>
    <row r="7665" customFormat="false" ht="15" hidden="false" customHeight="false" outlineLevel="0" collapsed="false">
      <c r="A7665" s="0" t="n">
        <f aca="false">PRICE(DATE(2024,2,29),DATE(2026,8,31),0,0.05,100,2,2)</f>
        <v>88.3369427948697</v>
      </c>
      <c r="B7665" s="0" t="s">
        <v>7644</v>
      </c>
    </row>
    <row r="7666" customFormat="false" ht="15" hidden="false" customHeight="false" outlineLevel="0" collapsed="false">
      <c r="A7666" s="0" t="n">
        <f aca="false">YIELD(DATE(2024,2,29),DATE(2026,8,31),0.05,95,100,2,2)</f>
        <v>0.0718758214015686</v>
      </c>
      <c r="B7666" s="0" t="s">
        <v>7645</v>
      </c>
    </row>
    <row r="7667" customFormat="false" ht="15" hidden="false" customHeight="false" outlineLevel="0" collapsed="false">
      <c r="A7667" s="0" t="n">
        <f aca="false">YIELD(DATE(2024,2,29),DATE(2026,8,31),0.1,101.5,100,2,2)</f>
        <v>0.0926733555952989</v>
      </c>
      <c r="B7667" s="0" t="s">
        <v>7646</v>
      </c>
    </row>
    <row r="7668" customFormat="false" ht="15" hidden="false" customHeight="false" outlineLevel="0" collapsed="false">
      <c r="A7668" s="0" t="n">
        <f aca="false">YIELD(DATE(2024,2,29),DATE(2026,8,31),0.05,100,100,2,2)</f>
        <v>0.0497648900389193</v>
      </c>
      <c r="B7668" s="0" t="s">
        <v>7647</v>
      </c>
    </row>
    <row r="7669" customFormat="false" ht="15" hidden="false" customHeight="false" outlineLevel="0" collapsed="false">
      <c r="A7669" s="0" t="n">
        <f aca="false">DURATION(DATE(2024,2,29),DATE(2026,8,31),0.05,0.08,2,2)</f>
        <v>2.41495518394032</v>
      </c>
      <c r="B7669" s="0" t="s">
        <v>7648</v>
      </c>
    </row>
    <row r="7670" customFormat="false" ht="15" hidden="false" customHeight="false" outlineLevel="0" collapsed="false">
      <c r="A7670" s="0" t="n">
        <f aca="false">DURATION(DATE(2024,2,29),DATE(2026,8,31),0.1,0.03,2,2)</f>
        <v>2.3309963088995</v>
      </c>
      <c r="B7670" s="0" t="s">
        <v>7649</v>
      </c>
    </row>
    <row r="7671" customFormat="false" ht="15" hidden="false" customHeight="false" outlineLevel="0" collapsed="false">
      <c r="A7671" s="0" t="n">
        <f aca="false">DURATION(DATE(2024,2,29),DATE(2026,8,31),0,0.05,2,2)</f>
        <v>2.53888888888889</v>
      </c>
      <c r="B7671" s="0" t="s">
        <v>7650</v>
      </c>
    </row>
    <row r="7672" customFormat="false" ht="15" hidden="false" customHeight="false" outlineLevel="0" collapsed="false">
      <c r="A7672" s="0" t="n">
        <f aca="false">MDURATION(DATE(2024,2,29),DATE(2026,8,31),0.05,0.08,2,2)</f>
        <v>2.32207229225031</v>
      </c>
      <c r="B7672" s="0" t="s">
        <v>7651</v>
      </c>
    </row>
    <row r="7673" customFormat="false" ht="15" hidden="false" customHeight="false" outlineLevel="0" collapsed="false">
      <c r="A7673" s="0" t="n">
        <f aca="false">MDURATION(DATE(2024,2,29),DATE(2026,8,31),0.1,0.03,2,2)</f>
        <v>2.29654808758571</v>
      </c>
      <c r="B7673" s="0" t="s">
        <v>7652</v>
      </c>
    </row>
    <row r="7674" customFormat="false" ht="15" hidden="false" customHeight="false" outlineLevel="0" collapsed="false">
      <c r="A7674" s="0" t="n">
        <f aca="false">PRICE(DATE(2024,2,29),DATE(2026,8,31),0.05,0.08,100,2,3)</f>
        <v>93.2921877969593</v>
      </c>
      <c r="B7674" s="0" t="s">
        <v>7653</v>
      </c>
    </row>
    <row r="7675" customFormat="false" ht="15" hidden="false" customHeight="false" outlineLevel="0" collapsed="false">
      <c r="A7675" s="0" t="n">
        <f aca="false">PRICE(DATE(2024,2,29),DATE(2026,8,31),0.1,0.03,105,2,3)</f>
        <v>121.36570634029</v>
      </c>
      <c r="B7675" s="0" t="s">
        <v>7654</v>
      </c>
    </row>
    <row r="7676" customFormat="false" ht="15" hidden="false" customHeight="false" outlineLevel="0" collapsed="false">
      <c r="A7676" s="0" t="n">
        <f aca="false">PRICE(DATE(2024,2,29),DATE(2026,8,31),0,0.05,100,2,3)</f>
        <v>88.3674924949498</v>
      </c>
      <c r="B7676" s="0" t="s">
        <v>7655</v>
      </c>
    </row>
    <row r="7677" customFormat="false" ht="15" hidden="false" customHeight="false" outlineLevel="0" collapsed="false">
      <c r="A7677" s="0" t="n">
        <f aca="false">YIELD(DATE(2024,2,29),DATE(2026,8,31),0.05,95,100,2,3)</f>
        <v>0.0720908968277894</v>
      </c>
      <c r="B7677" s="0" t="s">
        <v>7656</v>
      </c>
    </row>
    <row r="7678" customFormat="false" ht="15" hidden="false" customHeight="false" outlineLevel="0" collapsed="false">
      <c r="A7678" s="0" t="n">
        <f aca="false">YIELD(DATE(2024,2,29),DATE(2026,8,31),0.1,101.5,100,2,3)</f>
        <v>0.0929645707964071</v>
      </c>
      <c r="B7678" s="0" t="s">
        <v>7657</v>
      </c>
    </row>
    <row r="7679" customFormat="false" ht="15" hidden="false" customHeight="false" outlineLevel="0" collapsed="false">
      <c r="A7679" s="0" t="n">
        <f aca="false">YIELD(DATE(2024,2,29),DATE(2026,8,31),0.05,100,100,2,3)</f>
        <v>0.0499127826705087</v>
      </c>
      <c r="B7679" s="0" t="s">
        <v>7658</v>
      </c>
    </row>
    <row r="7680" customFormat="false" ht="15" hidden="false" customHeight="false" outlineLevel="0" collapsed="false">
      <c r="A7680" s="0" t="n">
        <f aca="false">DURATION(DATE(2024,2,29),DATE(2026,8,31),0.05,0.08,2,3)</f>
        <v>2.38017588409253</v>
      </c>
      <c r="B7680" s="0" t="s">
        <v>7659</v>
      </c>
    </row>
    <row r="7681" customFormat="false" ht="15" hidden="false" customHeight="false" outlineLevel="0" collapsed="false">
      <c r="A7681" s="0" t="n">
        <f aca="false">DURATION(DATE(2024,2,29),DATE(2026,8,31),0.1,0.03,2,3)</f>
        <v>2.29621700905171</v>
      </c>
      <c r="B7681" s="0" t="s">
        <v>7660</v>
      </c>
    </row>
    <row r="7682" customFormat="false" ht="15" hidden="false" customHeight="false" outlineLevel="0" collapsed="false">
      <c r="A7682" s="0" t="n">
        <f aca="false">DURATION(DATE(2024,2,29),DATE(2026,8,31),0,0.05,2,3)</f>
        <v>2.5041095890411</v>
      </c>
      <c r="B7682" s="0" t="s">
        <v>7661</v>
      </c>
    </row>
    <row r="7683" customFormat="false" ht="15" hidden="false" customHeight="false" outlineLevel="0" collapsed="false">
      <c r="A7683" s="0" t="n">
        <f aca="false">MDURATION(DATE(2024,2,29),DATE(2026,8,31),0.05,0.08,2,3)</f>
        <v>2.28863065778128</v>
      </c>
      <c r="B7683" s="0" t="s">
        <v>7662</v>
      </c>
    </row>
    <row r="7684" customFormat="false" ht="15" hidden="false" customHeight="false" outlineLevel="0" collapsed="false">
      <c r="A7684" s="0" t="n">
        <f aca="false">MDURATION(DATE(2024,2,29),DATE(2026,8,31),0.1,0.03,2,3)</f>
        <v>2.26228276753863</v>
      </c>
      <c r="B7684" s="0" t="s">
        <v>7663</v>
      </c>
    </row>
    <row r="7685" customFormat="false" ht="15" hidden="false" customHeight="false" outlineLevel="0" collapsed="false">
      <c r="A7685" s="0" t="n">
        <f aca="false">PRICE(DATE(2024,2,29),DATE(2026,8,31),0.05,0.08,100,2,4)</f>
        <v>93.3222665034757</v>
      </c>
      <c r="B7685" s="0" t="s">
        <v>7664</v>
      </c>
    </row>
    <row r="7686" customFormat="false" ht="15" hidden="false" customHeight="false" outlineLevel="0" collapsed="false">
      <c r="A7686" s="0" t="n">
        <f aca="false">PRICE(DATE(2024,2,29),DATE(2026,8,31),0.1,0.03,105,2,4)</f>
        <v>121.380559032379</v>
      </c>
      <c r="B7686" s="0" t="s">
        <v>7665</v>
      </c>
    </row>
    <row r="7687" customFormat="false" ht="15" hidden="false" customHeight="false" outlineLevel="0" collapsed="false">
      <c r="A7687" s="0" t="n">
        <f aca="false">PRICE(DATE(2024,2,29),DATE(2026,8,31),0,0.05,100,2,4)</f>
        <v>88.3854287609517</v>
      </c>
      <c r="B7687" s="0" t="s">
        <v>7666</v>
      </c>
    </row>
    <row r="7688" customFormat="false" ht="15" hidden="false" customHeight="false" outlineLevel="0" collapsed="false">
      <c r="A7688" s="0" t="n">
        <f aca="false">YIELD(DATE(2024,2,29),DATE(2026,8,31),0.05,95,100,2,4)</f>
        <v>0.0722177387237664</v>
      </c>
      <c r="B7688" s="0" t="s">
        <v>7667</v>
      </c>
    </row>
    <row r="7689" customFormat="false" ht="15" hidden="false" customHeight="false" outlineLevel="0" collapsed="false">
      <c r="A7689" s="0" t="n">
        <f aca="false">YIELD(DATE(2024,2,29),DATE(2026,8,31),0.1,101.5,100,2,4)</f>
        <v>0.093136360167802</v>
      </c>
      <c r="B7689" s="0" t="s">
        <v>7668</v>
      </c>
    </row>
    <row r="7690" customFormat="false" ht="15" hidden="false" customHeight="false" outlineLevel="0" collapsed="false">
      <c r="A7690" s="0" t="n">
        <f aca="false">YIELD(DATE(2024,2,29),DATE(2026,8,31),0.05,100,100,2,4)</f>
        <v>0.0500000000000004</v>
      </c>
      <c r="B7690" s="0" t="s">
        <v>7669</v>
      </c>
    </row>
    <row r="7691" customFormat="false" ht="15" hidden="false" customHeight="false" outlineLevel="0" collapsed="false">
      <c r="A7691" s="0" t="n">
        <f aca="false">DURATION(DATE(2024,2,29),DATE(2026,8,31),0.05,0.08,2,4)</f>
        <v>2.37884407282921</v>
      </c>
      <c r="B7691" s="0" t="s">
        <v>7670</v>
      </c>
    </row>
    <row r="7692" customFormat="false" ht="15" hidden="false" customHeight="false" outlineLevel="0" collapsed="false">
      <c r="A7692" s="0" t="n">
        <f aca="false">DURATION(DATE(2024,2,29),DATE(2026,8,31),0.1,0.03,2,4)</f>
        <v>2.29488519778839</v>
      </c>
      <c r="B7692" s="0" t="s">
        <v>7671</v>
      </c>
    </row>
    <row r="7693" customFormat="false" ht="15" hidden="false" customHeight="false" outlineLevel="0" collapsed="false">
      <c r="A7693" s="0" t="n">
        <f aca="false">DURATION(DATE(2024,2,29),DATE(2026,8,31),0,0.05,2,4)</f>
        <v>2.50277777777778</v>
      </c>
      <c r="B7693" s="0" t="s">
        <v>7672</v>
      </c>
    </row>
    <row r="7694" customFormat="false" ht="15" hidden="false" customHeight="false" outlineLevel="0" collapsed="false">
      <c r="A7694" s="0" t="n">
        <f aca="false">MDURATION(DATE(2024,2,29),DATE(2026,8,31),0.05,0.08,2,4)</f>
        <v>2.28735007002809</v>
      </c>
      <c r="B7694" s="0" t="s">
        <v>7673</v>
      </c>
    </row>
    <row r="7695" customFormat="false" ht="15" hidden="false" customHeight="false" outlineLevel="0" collapsed="false">
      <c r="A7695" s="0" t="n">
        <f aca="false">MDURATION(DATE(2024,2,29),DATE(2026,8,31),0.1,0.03,2,4)</f>
        <v>2.26097063821516</v>
      </c>
      <c r="B7695" s="0" t="s">
        <v>7674</v>
      </c>
    </row>
    <row r="7696" customFormat="false" ht="15" hidden="false" customHeight="false" outlineLevel="0" collapsed="false">
      <c r="A7696" s="0" t="n">
        <f aca="false">PRICE(DATE(2024,2,29),DATE(2026,8,31),0.05,0.08,100,4,0)</f>
        <v>93.2630612453183</v>
      </c>
      <c r="B7696" s="0" t="s">
        <v>7675</v>
      </c>
    </row>
    <row r="7697" customFormat="false" ht="15" hidden="false" customHeight="false" outlineLevel="0" collapsed="false">
      <c r="A7697" s="0" t="n">
        <f aca="false">PRICE(DATE(2024,2,29),DATE(2026,8,31),0.1,0.03,105,4,0)</f>
        <v>121.439280025717</v>
      </c>
      <c r="B7697" s="0" t="s">
        <v>7676</v>
      </c>
    </row>
    <row r="7698" customFormat="false" ht="15" hidden="false" customHeight="false" outlineLevel="0" collapsed="false">
      <c r="A7698" s="0" t="n">
        <f aca="false">PRICE(DATE(2024,2,29),DATE(2026,8,31),0,0.05,100,4,0)</f>
        <v>88.3180926153968</v>
      </c>
      <c r="B7698" s="0" t="s">
        <v>7677</v>
      </c>
    </row>
    <row r="7699" customFormat="false" ht="15" hidden="false" customHeight="false" outlineLevel="0" collapsed="false">
      <c r="A7699" s="0" t="n">
        <f aca="false">YIELD(DATE(2024,2,29),DATE(2026,8,31),0.05,95,100,4,0)</f>
        <v>0.0720339392089782</v>
      </c>
      <c r="B7699" s="0" t="s">
        <v>7678</v>
      </c>
    </row>
    <row r="7700" customFormat="false" ht="15" hidden="false" customHeight="false" outlineLevel="0" collapsed="false">
      <c r="A7700" s="0" t="n">
        <f aca="false">YIELD(DATE(2024,2,29),DATE(2026,8,31),0.1,101.5,100,4,0)</f>
        <v>0.0932045190899147</v>
      </c>
      <c r="B7700" s="0" t="s">
        <v>7679</v>
      </c>
    </row>
    <row r="7701" customFormat="false" ht="15" hidden="false" customHeight="false" outlineLevel="0" collapsed="false">
      <c r="A7701" s="0" t="n">
        <f aca="false">YIELD(DATE(2024,2,29),DATE(2026,8,31),0.05,100,100,4,0)</f>
        <v>0.0500000000000001</v>
      </c>
      <c r="B7701" s="0" t="s">
        <v>7680</v>
      </c>
    </row>
    <row r="7702" customFormat="false" ht="15" hidden="false" customHeight="false" outlineLevel="0" collapsed="false">
      <c r="A7702" s="0" t="n">
        <f aca="false">DURATION(DATE(2024,2,29),DATE(2026,8,31),0.05,0.08,4,0)</f>
        <v>2.36242155004703</v>
      </c>
      <c r="B7702" s="0" t="s">
        <v>7681</v>
      </c>
    </row>
    <row r="7703" customFormat="false" ht="15" hidden="false" customHeight="false" outlineLevel="0" collapsed="false">
      <c r="A7703" s="0" t="n">
        <f aca="false">DURATION(DATE(2024,2,29),DATE(2026,8,31),0.1,0.03,4,0)</f>
        <v>2.26845582792648</v>
      </c>
      <c r="B7703" s="0" t="s">
        <v>7682</v>
      </c>
    </row>
    <row r="7704" customFormat="false" ht="15" hidden="false" customHeight="false" outlineLevel="0" collapsed="false">
      <c r="A7704" s="0" t="n">
        <f aca="false">DURATION(DATE(2024,2,29),DATE(2026,8,31),0,0.05,4,0)</f>
        <v>2.50277777777778</v>
      </c>
      <c r="B7704" s="0" t="s">
        <v>7683</v>
      </c>
    </row>
    <row r="7705" customFormat="false" ht="15" hidden="false" customHeight="false" outlineLevel="0" collapsed="false">
      <c r="A7705" s="0" t="n">
        <f aca="false">MDURATION(DATE(2024,2,29),DATE(2026,8,31),0.05,0.08,4,0)</f>
        <v>2.31609955886964</v>
      </c>
      <c r="B7705" s="0" t="s">
        <v>7684</v>
      </c>
    </row>
    <row r="7706" customFormat="false" ht="15" hidden="false" customHeight="false" outlineLevel="0" collapsed="false">
      <c r="A7706" s="0" t="n">
        <f aca="false">MDURATION(DATE(2024,2,29),DATE(2026,8,31),0.1,0.03,4,0)</f>
        <v>2.25156905997665</v>
      </c>
      <c r="B7706" s="0" t="s">
        <v>7685</v>
      </c>
    </row>
    <row r="7707" customFormat="false" ht="15" hidden="false" customHeight="false" outlineLevel="0" collapsed="false">
      <c r="A7707" s="0" t="n">
        <f aca="false">PRICE(DATE(2024,2,29),DATE(2026,8,31),0.05,0.08,100,4,1)</f>
        <v>93.2630612453183</v>
      </c>
      <c r="B7707" s="0" t="s">
        <v>7686</v>
      </c>
    </row>
    <row r="7708" customFormat="false" ht="15" hidden="false" customHeight="false" outlineLevel="0" collapsed="false">
      <c r="A7708" s="0" t="n">
        <f aca="false">PRICE(DATE(2024,2,29),DATE(2026,8,31),0.1,0.03,105,4,1)</f>
        <v>121.439280025717</v>
      </c>
      <c r="B7708" s="0" t="s">
        <v>7687</v>
      </c>
    </row>
    <row r="7709" customFormat="false" ht="15" hidden="false" customHeight="false" outlineLevel="0" collapsed="false">
      <c r="A7709" s="0" t="n">
        <f aca="false">PRICE(DATE(2024,2,29),DATE(2026,8,31),0,0.05,100,4,1)</f>
        <v>88.3180926153968</v>
      </c>
      <c r="B7709" s="0" t="s">
        <v>7688</v>
      </c>
    </row>
    <row r="7710" customFormat="false" ht="15" hidden="false" customHeight="false" outlineLevel="0" collapsed="false">
      <c r="A7710" s="0" t="n">
        <f aca="false">YIELD(DATE(2024,2,29),DATE(2026,8,31),0.05,95,100,4,1)</f>
        <v>0.0720339392089782</v>
      </c>
      <c r="B7710" s="0" t="s">
        <v>7689</v>
      </c>
    </row>
    <row r="7711" customFormat="false" ht="15" hidden="false" customHeight="false" outlineLevel="0" collapsed="false">
      <c r="A7711" s="0" t="n">
        <f aca="false">YIELD(DATE(2024,2,29),DATE(2026,8,31),0.1,101.5,100,4,1)</f>
        <v>0.0932045190899147</v>
      </c>
      <c r="B7711" s="0" t="s">
        <v>7690</v>
      </c>
    </row>
    <row r="7712" customFormat="false" ht="15" hidden="false" customHeight="false" outlineLevel="0" collapsed="false">
      <c r="A7712" s="0" t="n">
        <f aca="false">YIELD(DATE(2024,2,29),DATE(2026,8,31),0.05,100,100,4,1)</f>
        <v>0.0500000000000001</v>
      </c>
      <c r="B7712" s="0" t="s">
        <v>7691</v>
      </c>
    </row>
    <row r="7713" customFormat="false" ht="15" hidden="false" customHeight="false" outlineLevel="0" collapsed="false">
      <c r="A7713" s="0" t="n">
        <f aca="false">DURATION(DATE(2024,2,29),DATE(2026,8,31),0.05,0.08,4,1)</f>
        <v>2.3614685897875</v>
      </c>
      <c r="B7713" s="0" t="s">
        <v>7692</v>
      </c>
    </row>
    <row r="7714" customFormat="false" ht="15" hidden="false" customHeight="false" outlineLevel="0" collapsed="false">
      <c r="A7714" s="0" t="n">
        <f aca="false">DURATION(DATE(2024,2,29),DATE(2026,8,31),0.1,0.03,4,1)</f>
        <v>2.26750286766695</v>
      </c>
      <c r="B7714" s="0" t="s">
        <v>7693</v>
      </c>
    </row>
    <row r="7715" customFormat="false" ht="15" hidden="false" customHeight="false" outlineLevel="0" collapsed="false">
      <c r="A7715" s="0" t="n">
        <f aca="false">DURATION(DATE(2024,2,29),DATE(2026,8,31),0,0.05,4,1)</f>
        <v>2.50182481751825</v>
      </c>
      <c r="B7715" s="0" t="s">
        <v>7694</v>
      </c>
    </row>
    <row r="7716" customFormat="false" ht="15" hidden="false" customHeight="false" outlineLevel="0" collapsed="false">
      <c r="A7716" s="0" t="n">
        <f aca="false">MDURATION(DATE(2024,2,29),DATE(2026,8,31),0.05,0.08,4,1)</f>
        <v>2.31516528410539</v>
      </c>
      <c r="B7716" s="0" t="s">
        <v>7695</v>
      </c>
    </row>
    <row r="7717" customFormat="false" ht="15" hidden="false" customHeight="false" outlineLevel="0" collapsed="false">
      <c r="A7717" s="0" t="n">
        <f aca="false">MDURATION(DATE(2024,2,29),DATE(2026,8,31),0.1,0.03,4,1)</f>
        <v>2.25062319371409</v>
      </c>
      <c r="B7717" s="0" t="s">
        <v>7696</v>
      </c>
    </row>
    <row r="7718" customFormat="false" ht="15" hidden="false" customHeight="false" outlineLevel="0" collapsed="false">
      <c r="A7718" s="0" t="n">
        <f aca="false">PRICE(DATE(2024,2,29),DATE(2026,8,31),0.05,0.08,100,4,2)</f>
        <v>93.2220290822021</v>
      </c>
      <c r="B7718" s="0" t="s">
        <v>7697</v>
      </c>
    </row>
    <row r="7719" customFormat="false" ht="15" hidden="false" customHeight="false" outlineLevel="0" collapsed="false">
      <c r="A7719" s="0" t="n">
        <f aca="false">PRICE(DATE(2024,2,29),DATE(2026,8,31),0.1,0.03,105,4,2)</f>
        <v>121.419117341888</v>
      </c>
      <c r="B7719" s="0" t="s">
        <v>7698</v>
      </c>
    </row>
    <row r="7720" customFormat="false" ht="15" hidden="false" customHeight="false" outlineLevel="0" collapsed="false">
      <c r="A7720" s="0" t="n">
        <f aca="false">PRICE(DATE(2024,2,29),DATE(2026,8,31),0,0.05,100,4,2)</f>
        <v>88.2937152409397</v>
      </c>
      <c r="B7720" s="0" t="s">
        <v>7699</v>
      </c>
    </row>
    <row r="7721" customFormat="false" ht="15" hidden="false" customHeight="false" outlineLevel="0" collapsed="false">
      <c r="A7721" s="0" t="n">
        <f aca="false">YIELD(DATE(2024,2,29),DATE(2026,8,31),0.05,95,100,4,2)</f>
        <v>0.0718633463106977</v>
      </c>
      <c r="B7721" s="0" t="s">
        <v>7700</v>
      </c>
    </row>
    <row r="7722" customFormat="false" ht="15" hidden="false" customHeight="false" outlineLevel="0" collapsed="false">
      <c r="A7722" s="0" t="n">
        <f aca="false">YIELD(DATE(2024,2,29),DATE(2026,8,31),0.1,101.5,100,4,2)</f>
        <v>0.092971794155511</v>
      </c>
      <c r="B7722" s="0" t="s">
        <v>7701</v>
      </c>
    </row>
    <row r="7723" customFormat="false" ht="15" hidden="false" customHeight="false" outlineLevel="0" collapsed="false">
      <c r="A7723" s="0" t="n">
        <f aca="false">YIELD(DATE(2024,2,29),DATE(2026,8,31),0.05,100,100,4,2)</f>
        <v>0.0498821237590621</v>
      </c>
      <c r="B7723" s="0" t="s">
        <v>7702</v>
      </c>
    </row>
    <row r="7724" customFormat="false" ht="15" hidden="false" customHeight="false" outlineLevel="0" collapsed="false">
      <c r="A7724" s="0" t="n">
        <f aca="false">DURATION(DATE(2024,2,29),DATE(2026,8,31),0.05,0.08,4,2)</f>
        <v>2.39853266115814</v>
      </c>
      <c r="B7724" s="0" t="s">
        <v>7703</v>
      </c>
    </row>
    <row r="7725" customFormat="false" ht="15" hidden="false" customHeight="false" outlineLevel="0" collapsed="false">
      <c r="A7725" s="0" t="n">
        <f aca="false">DURATION(DATE(2024,2,29),DATE(2026,8,31),0.1,0.03,4,2)</f>
        <v>2.30456693903759</v>
      </c>
      <c r="B7725" s="0" t="s">
        <v>7704</v>
      </c>
    </row>
    <row r="7726" customFormat="false" ht="15" hidden="false" customHeight="false" outlineLevel="0" collapsed="false">
      <c r="A7726" s="0" t="n">
        <f aca="false">DURATION(DATE(2024,2,29),DATE(2026,8,31),0,0.05,4,2)</f>
        <v>2.53888888888889</v>
      </c>
      <c r="B7726" s="0" t="s">
        <v>7705</v>
      </c>
    </row>
    <row r="7727" customFormat="false" ht="15" hidden="false" customHeight="false" outlineLevel="0" collapsed="false">
      <c r="A7727" s="0" t="n">
        <f aca="false">MDURATION(DATE(2024,2,29),DATE(2026,8,31),0.05,0.08,4,2)</f>
        <v>2.35150260897857</v>
      </c>
      <c r="B7727" s="0" t="s">
        <v>7706</v>
      </c>
    </row>
    <row r="7728" customFormat="false" ht="15" hidden="false" customHeight="false" outlineLevel="0" collapsed="false">
      <c r="A7728" s="0" t="n">
        <f aca="false">MDURATION(DATE(2024,2,29),DATE(2026,8,31),0.1,0.03,4,2)</f>
        <v>2.28741135388346</v>
      </c>
      <c r="B7728" s="0" t="s">
        <v>7707</v>
      </c>
    </row>
    <row r="7729" customFormat="false" ht="15" hidden="false" customHeight="false" outlineLevel="0" collapsed="false">
      <c r="A7729" s="0" t="n">
        <f aca="false">PRICE(DATE(2024,2,29),DATE(2026,8,31),0.05,0.08,100,4,3)</f>
        <v>93.2478828616005</v>
      </c>
      <c r="B7729" s="0" t="s">
        <v>7708</v>
      </c>
    </row>
    <row r="7730" customFormat="false" ht="15" hidden="false" customHeight="false" outlineLevel="0" collapsed="false">
      <c r="A7730" s="0" t="n">
        <f aca="false">PRICE(DATE(2024,2,29),DATE(2026,8,31),0.1,0.03,105,4,3)</f>
        <v>121.43182220457</v>
      </c>
      <c r="B7730" s="0" t="s">
        <v>7709</v>
      </c>
    </row>
    <row r="7731" customFormat="false" ht="15" hidden="false" customHeight="false" outlineLevel="0" collapsed="false">
      <c r="A7731" s="0" t="n">
        <f aca="false">PRICE(DATE(2024,2,29),DATE(2026,8,31),0,0.05,100,4,3)</f>
        <v>88.3090755419989</v>
      </c>
      <c r="B7731" s="0" t="s">
        <v>7710</v>
      </c>
    </row>
    <row r="7732" customFormat="false" ht="15" hidden="false" customHeight="false" outlineLevel="0" collapsed="false">
      <c r="A7732" s="0" t="n">
        <f aca="false">YIELD(DATE(2024,2,29),DATE(2026,8,31),0.05,95,100,4,3)</f>
        <v>0.0719707486216117</v>
      </c>
      <c r="B7732" s="0" t="s">
        <v>7711</v>
      </c>
    </row>
    <row r="7733" customFormat="false" ht="15" hidden="false" customHeight="false" outlineLevel="0" collapsed="false">
      <c r="A7733" s="0" t="n">
        <f aca="false">YIELD(DATE(2024,2,29),DATE(2026,8,31),0.1,101.5,100,4,3)</f>
        <v>0.0931183061541473</v>
      </c>
      <c r="B7733" s="0" t="s">
        <v>7712</v>
      </c>
    </row>
    <row r="7734" customFormat="false" ht="15" hidden="false" customHeight="false" outlineLevel="0" collapsed="false">
      <c r="A7734" s="0" t="n">
        <f aca="false">YIELD(DATE(2024,2,29),DATE(2026,8,31),0.05,100,100,4,3)</f>
        <v>0.0499563369420738</v>
      </c>
      <c r="B7734" s="0" t="s">
        <v>7713</v>
      </c>
    </row>
    <row r="7735" customFormat="false" ht="15" hidden="false" customHeight="false" outlineLevel="0" collapsed="false">
      <c r="A7735" s="0" t="n">
        <f aca="false">DURATION(DATE(2024,2,29),DATE(2026,8,31),0.05,0.08,4,3)</f>
        <v>2.36375336131035</v>
      </c>
      <c r="B7735" s="0" t="s">
        <v>7714</v>
      </c>
    </row>
    <row r="7736" customFormat="false" ht="15" hidden="false" customHeight="false" outlineLevel="0" collapsed="false">
      <c r="A7736" s="0" t="n">
        <f aca="false">DURATION(DATE(2024,2,29),DATE(2026,8,31),0.1,0.03,4,3)</f>
        <v>2.26978763918979</v>
      </c>
      <c r="B7736" s="0" t="s">
        <v>7715</v>
      </c>
    </row>
    <row r="7737" customFormat="false" ht="15" hidden="false" customHeight="false" outlineLevel="0" collapsed="false">
      <c r="A7737" s="0" t="n">
        <f aca="false">DURATION(DATE(2024,2,29),DATE(2026,8,31),0,0.05,4,3)</f>
        <v>2.5041095890411</v>
      </c>
      <c r="B7737" s="0" t="s">
        <v>7716</v>
      </c>
    </row>
    <row r="7738" customFormat="false" ht="15" hidden="false" customHeight="false" outlineLevel="0" collapsed="false">
      <c r="A7738" s="0" t="n">
        <f aca="false">MDURATION(DATE(2024,2,29),DATE(2026,8,31),0.05,0.08,4,3)</f>
        <v>2.31740525618662</v>
      </c>
      <c r="B7738" s="0" t="s">
        <v>7717</v>
      </c>
    </row>
    <row r="7739" customFormat="false" ht="15" hidden="false" customHeight="false" outlineLevel="0" collapsed="false">
      <c r="A7739" s="0" t="n">
        <f aca="false">MDURATION(DATE(2024,2,29),DATE(2026,8,31),0.1,0.03,4,3)</f>
        <v>2.2528909570122</v>
      </c>
      <c r="B7739" s="0" t="s">
        <v>7718</v>
      </c>
    </row>
    <row r="7740" customFormat="false" ht="15" hidden="false" customHeight="false" outlineLevel="0" collapsed="false">
      <c r="A7740" s="0" t="n">
        <f aca="false">PRICE(DATE(2024,2,29),DATE(2026,8,31),0.05,0.08,100,4,4)</f>
        <v>93.2630612453183</v>
      </c>
      <c r="B7740" s="0" t="s">
        <v>7719</v>
      </c>
    </row>
    <row r="7741" customFormat="false" ht="15" hidden="false" customHeight="false" outlineLevel="0" collapsed="false">
      <c r="A7741" s="0" t="n">
        <f aca="false">PRICE(DATE(2024,2,29),DATE(2026,8,31),0.1,0.03,105,4,4)</f>
        <v>121.439280025717</v>
      </c>
      <c r="B7741" s="0" t="s">
        <v>7720</v>
      </c>
    </row>
    <row r="7742" customFormat="false" ht="15" hidden="false" customHeight="false" outlineLevel="0" collapsed="false">
      <c r="A7742" s="0" t="n">
        <f aca="false">PRICE(DATE(2024,2,29),DATE(2026,8,31),0,0.05,100,4,4)</f>
        <v>88.3180926153968</v>
      </c>
      <c r="B7742" s="0" t="s">
        <v>7721</v>
      </c>
    </row>
    <row r="7743" customFormat="false" ht="15" hidden="false" customHeight="false" outlineLevel="0" collapsed="false">
      <c r="A7743" s="0" t="n">
        <f aca="false">YIELD(DATE(2024,2,29),DATE(2026,8,31),0.05,95,100,4,4)</f>
        <v>0.0720339392089782</v>
      </c>
      <c r="B7743" s="0" t="s">
        <v>7722</v>
      </c>
    </row>
    <row r="7744" customFormat="false" ht="15" hidden="false" customHeight="false" outlineLevel="0" collapsed="false">
      <c r="A7744" s="0" t="n">
        <f aca="false">YIELD(DATE(2024,2,29),DATE(2026,8,31),0.1,101.5,100,4,4)</f>
        <v>0.0932045190899147</v>
      </c>
      <c r="B7744" s="0" t="s">
        <v>7723</v>
      </c>
    </row>
    <row r="7745" customFormat="false" ht="15" hidden="false" customHeight="false" outlineLevel="0" collapsed="false">
      <c r="A7745" s="0" t="n">
        <f aca="false">YIELD(DATE(2024,2,29),DATE(2026,8,31),0.05,100,100,4,4)</f>
        <v>0.0500000000000001</v>
      </c>
      <c r="B7745" s="0" t="s">
        <v>7724</v>
      </c>
    </row>
    <row r="7746" customFormat="false" ht="15" hidden="false" customHeight="false" outlineLevel="0" collapsed="false">
      <c r="A7746" s="0" t="n">
        <f aca="false">DURATION(DATE(2024,2,29),DATE(2026,8,31),0.05,0.08,4,4)</f>
        <v>2.36242155004703</v>
      </c>
      <c r="B7746" s="0" t="s">
        <v>7725</v>
      </c>
    </row>
    <row r="7747" customFormat="false" ht="15" hidden="false" customHeight="false" outlineLevel="0" collapsed="false">
      <c r="A7747" s="0" t="n">
        <f aca="false">DURATION(DATE(2024,2,29),DATE(2026,8,31),0.1,0.03,4,4)</f>
        <v>2.26845582792648</v>
      </c>
      <c r="B7747" s="0" t="s">
        <v>7726</v>
      </c>
    </row>
    <row r="7748" customFormat="false" ht="15" hidden="false" customHeight="false" outlineLevel="0" collapsed="false">
      <c r="A7748" s="0" t="n">
        <f aca="false">DURATION(DATE(2024,2,29),DATE(2026,8,31),0,0.05,4,4)</f>
        <v>2.50277777777778</v>
      </c>
      <c r="B7748" s="0" t="s">
        <v>7727</v>
      </c>
    </row>
    <row r="7749" customFormat="false" ht="15" hidden="false" customHeight="false" outlineLevel="0" collapsed="false">
      <c r="A7749" s="0" t="n">
        <f aca="false">MDURATION(DATE(2024,2,29),DATE(2026,8,31),0.05,0.08,4,4)</f>
        <v>2.31609955886964</v>
      </c>
      <c r="B7749" s="0" t="s">
        <v>7728</v>
      </c>
    </row>
    <row r="7750" customFormat="false" ht="15" hidden="false" customHeight="false" outlineLevel="0" collapsed="false">
      <c r="A7750" s="0" t="n">
        <f aca="false">MDURATION(DATE(2024,2,29),DATE(2026,8,31),0.1,0.03,4,4)</f>
        <v>2.25156905997665</v>
      </c>
      <c r="B7750" s="0" t="s">
        <v>7729</v>
      </c>
    </row>
    <row r="7751" customFormat="false" ht="15" hidden="false" customHeight="false" outlineLevel="0" collapsed="false">
      <c r="A7751" s="0" t="n">
        <f aca="false">PRICE(DATE(2024,5,15),DATE(2024,11,15),0.05,0.08,100,1,0)</f>
        <v>98.5362971081845</v>
      </c>
      <c r="B7751" s="0" t="s">
        <v>7730</v>
      </c>
    </row>
    <row r="7752" customFormat="false" ht="15" hidden="false" customHeight="false" outlineLevel="0" collapsed="false">
      <c r="A7752" s="0" t="n">
        <f aca="false">PRICE(DATE(2024,5,15),DATE(2024,11,15),0.1,0.03,105,1,0)</f>
        <v>108.312866988894</v>
      </c>
      <c r="B7752" s="0" t="s">
        <v>7731</v>
      </c>
    </row>
    <row r="7753" customFormat="false" ht="15" hidden="false" customHeight="false" outlineLevel="0" collapsed="false">
      <c r="A7753" s="0" t="n">
        <f aca="false">PRICE(DATE(2024,5,15),DATE(2024,11,15),0,0.05,100,1,0)</f>
        <v>97.5900072948533</v>
      </c>
      <c r="B7753" s="0" t="s">
        <v>7732</v>
      </c>
    </row>
    <row r="7754" customFormat="false" ht="15" hidden="false" customHeight="false" outlineLevel="0" collapsed="false">
      <c r="A7754" s="0" t="n">
        <f aca="false">YIELD(DATE(2024,5,15),DATE(2024,11,15),0.05,95,100,1,0)</f>
        <v>0.159763313609474</v>
      </c>
      <c r="B7754" s="0" t="s">
        <v>7733</v>
      </c>
    </row>
    <row r="7755" customFormat="false" ht="15" hidden="false" customHeight="false" outlineLevel="0" collapsed="false">
      <c r="A7755" s="0" t="n">
        <f aca="false">YIELD(DATE(2024,5,15),DATE(2024,11,15),0.1,101.5,100,1,0)</f>
        <v>0.0668077321519106</v>
      </c>
      <c r="B7755" s="0" t="s">
        <v>7734</v>
      </c>
    </row>
    <row r="7756" customFormat="false" ht="15" hidden="false" customHeight="false" outlineLevel="0" collapsed="false">
      <c r="A7756" s="0" t="n">
        <f aca="false">YIELD(DATE(2024,5,15),DATE(2024,11,15),0.05,100,100,1,0)</f>
        <v>0.0493753718024998</v>
      </c>
      <c r="B7756" s="0" t="s">
        <v>7735</v>
      </c>
    </row>
    <row r="7757" customFormat="false" ht="15" hidden="false" customHeight="false" outlineLevel="0" collapsed="false">
      <c r="A7757" s="0" t="n">
        <f aca="false">DURATION(DATE(2024,5,15),DATE(2024,11,15),0.05,0.08,1,0)</f>
        <v>0.5</v>
      </c>
      <c r="B7757" s="0" t="s">
        <v>7736</v>
      </c>
    </row>
    <row r="7758" customFormat="false" ht="15" hidden="false" customHeight="false" outlineLevel="0" collapsed="false">
      <c r="A7758" s="0" t="n">
        <f aca="false">DURATION(DATE(2024,5,15),DATE(2024,11,15),0.1,0.03,1,0)</f>
        <v>0.5</v>
      </c>
      <c r="B7758" s="0" t="s">
        <v>7737</v>
      </c>
    </row>
    <row r="7759" customFormat="false" ht="15" hidden="false" customHeight="false" outlineLevel="0" collapsed="false">
      <c r="A7759" s="0" t="n">
        <f aca="false">DURATION(DATE(2024,5,15),DATE(2024,11,15),0,0.05,1,0)</f>
        <v>0.5</v>
      </c>
      <c r="B7759" s="0" t="s">
        <v>7738</v>
      </c>
    </row>
    <row r="7760" customFormat="false" ht="15" hidden="false" customHeight="false" outlineLevel="0" collapsed="false">
      <c r="A7760" s="0" t="n">
        <f aca="false">MDURATION(DATE(2024,5,15),DATE(2024,11,15),0.05,0.08,1,0)</f>
        <v>0.462962962962963</v>
      </c>
      <c r="B7760" s="0" t="s">
        <v>7739</v>
      </c>
    </row>
    <row r="7761" customFormat="false" ht="15" hidden="false" customHeight="false" outlineLevel="0" collapsed="false">
      <c r="A7761" s="0" t="n">
        <f aca="false">MDURATION(DATE(2024,5,15),DATE(2024,11,15),0.1,0.03,1,0)</f>
        <v>0.485436893203884</v>
      </c>
      <c r="B7761" s="0" t="s">
        <v>7740</v>
      </c>
    </row>
    <row r="7762" customFormat="false" ht="15" hidden="false" customHeight="false" outlineLevel="0" collapsed="false">
      <c r="A7762" s="0" t="n">
        <f aca="false">PRICE(DATE(2024,5,15),DATE(2024,11,15),0.05,0.08,100,1,1)</f>
        <v>98.5287150285758</v>
      </c>
      <c r="B7762" s="0" t="s">
        <v>7741</v>
      </c>
    </row>
    <row r="7763" customFormat="false" ht="15" hidden="false" customHeight="false" outlineLevel="0" collapsed="false">
      <c r="A7763" s="0" t="n">
        <f aca="false">PRICE(DATE(2024,5,15),DATE(2024,11,15),0.1,0.03,105,1,1)</f>
        <v>108.33103841682</v>
      </c>
      <c r="B7763" s="0" t="s">
        <v>7742</v>
      </c>
    </row>
    <row r="7764" customFormat="false" ht="15" hidden="false" customHeight="false" outlineLevel="0" collapsed="false">
      <c r="A7764" s="0" t="n">
        <f aca="false">PRICE(DATE(2024,5,15),DATE(2024,11,15),0,0.05,100,1,1)</f>
        <v>97.5769987835788</v>
      </c>
      <c r="B7764" s="0" t="s">
        <v>7743</v>
      </c>
    </row>
    <row r="7765" customFormat="false" ht="15" hidden="false" customHeight="false" outlineLevel="0" collapsed="false">
      <c r="A7765" s="0" t="n">
        <f aca="false">YIELD(DATE(2024,5,15),DATE(2024,11,15),0.05,95,100,1,1)</f>
        <v>0.159152516865112</v>
      </c>
      <c r="B7765" s="0" t="s">
        <v>7744</v>
      </c>
    </row>
    <row r="7766" customFormat="false" ht="15" hidden="false" customHeight="false" outlineLevel="0" collapsed="false">
      <c r="A7766" s="0" t="n">
        <f aca="false">YIELD(DATE(2024,5,15),DATE(2024,11,15),0.1,101.5,100,1,1)</f>
        <v>0.0669772636825153</v>
      </c>
      <c r="B7766" s="0" t="s">
        <v>7745</v>
      </c>
    </row>
    <row r="7767" customFormat="false" ht="15" hidden="false" customHeight="false" outlineLevel="0" collapsed="false">
      <c r="A7767" s="0" t="n">
        <f aca="false">YIELD(DATE(2024,5,15),DATE(2024,11,15),0.05,100,100,1,1)</f>
        <v>0.0493787288718525</v>
      </c>
      <c r="B7767" s="0" t="s">
        <v>7746</v>
      </c>
    </row>
    <row r="7768" customFormat="false" ht="15" hidden="false" customHeight="false" outlineLevel="0" collapsed="false">
      <c r="A7768" s="0" t="n">
        <f aca="false">DURATION(DATE(2024,5,15),DATE(2024,11,15),0.05,0.08,1,1)</f>
        <v>0.502732240437159</v>
      </c>
      <c r="B7768" s="0" t="s">
        <v>7747</v>
      </c>
    </row>
    <row r="7769" customFormat="false" ht="15" hidden="false" customHeight="false" outlineLevel="0" collapsed="false">
      <c r="A7769" s="0" t="n">
        <f aca="false">DURATION(DATE(2024,5,15),DATE(2024,11,15),0.1,0.03,1,1)</f>
        <v>0.502732240437159</v>
      </c>
      <c r="B7769" s="0" t="s">
        <v>7748</v>
      </c>
    </row>
    <row r="7770" customFormat="false" ht="15" hidden="false" customHeight="false" outlineLevel="0" collapsed="false">
      <c r="A7770" s="0" t="n">
        <f aca="false">DURATION(DATE(2024,5,15),DATE(2024,11,15),0,0.05,1,1)</f>
        <v>0.502732240437159</v>
      </c>
      <c r="B7770" s="0" t="s">
        <v>7749</v>
      </c>
    </row>
    <row r="7771" customFormat="false" ht="15" hidden="false" customHeight="false" outlineLevel="0" collapsed="false">
      <c r="A7771" s="0" t="n">
        <f aca="false">MDURATION(DATE(2024,5,15),DATE(2024,11,15),0.05,0.08,1,1)</f>
        <v>0.465492815219591</v>
      </c>
      <c r="B7771" s="0" t="s">
        <v>7750</v>
      </c>
    </row>
    <row r="7772" customFormat="false" ht="15" hidden="false" customHeight="false" outlineLevel="0" collapsed="false">
      <c r="A7772" s="0" t="n">
        <f aca="false">MDURATION(DATE(2024,5,15),DATE(2024,11,15),0.1,0.03,1,1)</f>
        <v>0.488089553822484</v>
      </c>
      <c r="B7772" s="0" t="s">
        <v>7751</v>
      </c>
    </row>
    <row r="7773" customFormat="false" ht="15" hidden="false" customHeight="false" outlineLevel="0" collapsed="false">
      <c r="A7773" s="0" t="n">
        <f aca="false">PRICE(DATE(2024,5,15),DATE(2024,11,15),0.05,0.08,100,1,2)</f>
        <v>98.4221578314188</v>
      </c>
      <c r="B7773" s="0" t="s">
        <v>7752</v>
      </c>
    </row>
    <row r="7774" customFormat="false" ht="15" hidden="false" customHeight="false" outlineLevel="0" collapsed="false">
      <c r="A7774" s="0" t="n">
        <f aca="false">PRICE(DATE(2024,5,15),DATE(2024,11,15),0.1,0.03,105,1,2)</f>
        <v>108.220102070399</v>
      </c>
      <c r="B7774" s="0" t="s">
        <v>7753</v>
      </c>
    </row>
    <row r="7775" customFormat="false" ht="15" hidden="false" customHeight="false" outlineLevel="0" collapsed="false">
      <c r="A7775" s="0" t="n">
        <f aca="false">PRICE(DATE(2024,5,15),DATE(2024,11,15),0,0.05,100,1,2)</f>
        <v>97.5371168271496</v>
      </c>
      <c r="B7775" s="0" t="s">
        <v>7754</v>
      </c>
    </row>
    <row r="7776" customFormat="false" ht="15" hidden="false" customHeight="false" outlineLevel="0" collapsed="false">
      <c r="A7776" s="0" t="n">
        <f aca="false">YIELD(DATE(2024,5,15),DATE(2024,11,15),0.05,95,100,1,2)</f>
        <v>0.155388353608539</v>
      </c>
      <c r="B7776" s="0" t="s">
        <v>7755</v>
      </c>
    </row>
    <row r="7777" customFormat="false" ht="15" hidden="false" customHeight="false" outlineLevel="0" collapsed="false">
      <c r="A7777" s="0" t="n">
        <f aca="false">YIELD(DATE(2024,5,15),DATE(2024,11,15),0.1,101.5,100,1,2)</f>
        <v>0.0642225417479287</v>
      </c>
      <c r="B7777" s="0" t="s">
        <v>7756</v>
      </c>
    </row>
    <row r="7778" customFormat="false" ht="15" hidden="false" customHeight="false" outlineLevel="0" collapsed="false">
      <c r="A7778" s="0" t="n">
        <f aca="false">YIELD(DATE(2024,5,15),DATE(2024,11,15),0.05,100,100,1,2)</f>
        <v>0.0477208989808734</v>
      </c>
      <c r="B7778" s="0" t="s">
        <v>7757</v>
      </c>
    </row>
    <row r="7779" customFormat="false" ht="15" hidden="false" customHeight="false" outlineLevel="0" collapsed="false">
      <c r="A7779" s="0" t="n">
        <f aca="false">DURATION(DATE(2024,5,15),DATE(2024,11,15),0.05,0.08,1,2)</f>
        <v>0.511111111111111</v>
      </c>
      <c r="B7779" s="0" t="s">
        <v>7758</v>
      </c>
    </row>
    <row r="7780" customFormat="false" ht="15" hidden="false" customHeight="false" outlineLevel="0" collapsed="false">
      <c r="A7780" s="0" t="n">
        <f aca="false">DURATION(DATE(2024,5,15),DATE(2024,11,15),0.1,0.03,1,2)</f>
        <v>0.511111111111111</v>
      </c>
      <c r="B7780" s="0" t="s">
        <v>7759</v>
      </c>
    </row>
    <row r="7781" customFormat="false" ht="15" hidden="false" customHeight="false" outlineLevel="0" collapsed="false">
      <c r="A7781" s="0" t="n">
        <f aca="false">DURATION(DATE(2024,5,15),DATE(2024,11,15),0,0.05,1,2)</f>
        <v>0.511111111111111</v>
      </c>
      <c r="B7781" s="0" t="s">
        <v>7760</v>
      </c>
    </row>
    <row r="7782" customFormat="false" ht="15" hidden="false" customHeight="false" outlineLevel="0" collapsed="false">
      <c r="A7782" s="0" t="n">
        <f aca="false">MDURATION(DATE(2024,5,15),DATE(2024,11,15),0.05,0.08,1,2)</f>
        <v>0.473251028806584</v>
      </c>
      <c r="B7782" s="0" t="s">
        <v>7761</v>
      </c>
    </row>
    <row r="7783" customFormat="false" ht="15" hidden="false" customHeight="false" outlineLevel="0" collapsed="false">
      <c r="A7783" s="0" t="n">
        <f aca="false">MDURATION(DATE(2024,5,15),DATE(2024,11,15),0.1,0.03,1,2)</f>
        <v>0.496224379719525</v>
      </c>
      <c r="B7783" s="0" t="s">
        <v>7762</v>
      </c>
    </row>
    <row r="7784" customFormat="false" ht="15" hidden="false" customHeight="false" outlineLevel="0" collapsed="false">
      <c r="A7784" s="0" t="n">
        <f aca="false">PRICE(DATE(2024,5,15),DATE(2024,11,15),0.05,0.08,100,1,3)</f>
        <v>98.5111958927867</v>
      </c>
      <c r="B7784" s="0" t="s">
        <v>7763</v>
      </c>
    </row>
    <row r="7785" customFormat="false" ht="15" hidden="false" customHeight="false" outlineLevel="0" collapsed="false">
      <c r="A7785" s="0" t="n">
        <f aca="false">PRICE(DATE(2024,5,15),DATE(2024,11,15),0.1,0.03,105,1,3)</f>
        <v>108.312801827789</v>
      </c>
      <c r="B7785" s="0" t="s">
        <v>7764</v>
      </c>
    </row>
    <row r="7786" customFormat="false" ht="15" hidden="false" customHeight="false" outlineLevel="0" collapsed="false">
      <c r="A7786" s="0" t="n">
        <f aca="false">PRICE(DATE(2024,5,15),DATE(2024,11,15),0,0.05,100,1,3)</f>
        <v>97.5704417257125</v>
      </c>
      <c r="B7786" s="0" t="s">
        <v>7765</v>
      </c>
    </row>
    <row r="7787" customFormat="false" ht="15" hidden="false" customHeight="false" outlineLevel="0" collapsed="false">
      <c r="A7787" s="0" t="n">
        <f aca="false">YIELD(DATE(2024,5,15),DATE(2024,11,15),0.05,95,100,1,3)</f>
        <v>0.158524277267934</v>
      </c>
      <c r="B7787" s="0" t="s">
        <v>7766</v>
      </c>
    </row>
    <row r="7788" customFormat="false" ht="15" hidden="false" customHeight="false" outlineLevel="0" collapsed="false">
      <c r="A7788" s="0" t="n">
        <f aca="false">YIELD(DATE(2024,5,15),DATE(2024,11,15),0.1,101.5,100,1,3)</f>
        <v>0.0665175606938398</v>
      </c>
      <c r="B7788" s="0" t="s">
        <v>7767</v>
      </c>
    </row>
    <row r="7789" customFormat="false" ht="15" hidden="false" customHeight="false" outlineLevel="0" collapsed="false">
      <c r="A7789" s="0" t="n">
        <f aca="false">YIELD(DATE(2024,5,15),DATE(2024,11,15),0.05,100,100,1,3)</f>
        <v>0.0491022184738487</v>
      </c>
      <c r="B7789" s="0" t="s">
        <v>7768</v>
      </c>
    </row>
    <row r="7790" customFormat="false" ht="15" hidden="false" customHeight="false" outlineLevel="0" collapsed="false">
      <c r="A7790" s="0" t="n">
        <f aca="false">DURATION(DATE(2024,5,15),DATE(2024,11,15),0.05,0.08,1,3)</f>
        <v>0.504109589041096</v>
      </c>
      <c r="B7790" s="0" t="s">
        <v>7769</v>
      </c>
    </row>
    <row r="7791" customFormat="false" ht="15" hidden="false" customHeight="false" outlineLevel="0" collapsed="false">
      <c r="A7791" s="0" t="n">
        <f aca="false">DURATION(DATE(2024,5,15),DATE(2024,11,15),0.1,0.03,1,3)</f>
        <v>0.504109589041096</v>
      </c>
      <c r="B7791" s="0" t="s">
        <v>7770</v>
      </c>
    </row>
    <row r="7792" customFormat="false" ht="15" hidden="false" customHeight="false" outlineLevel="0" collapsed="false">
      <c r="A7792" s="0" t="n">
        <f aca="false">DURATION(DATE(2024,5,15),DATE(2024,11,15),0,0.05,1,3)</f>
        <v>0.504109589041096</v>
      </c>
      <c r="B7792" s="0" t="s">
        <v>7771</v>
      </c>
    </row>
    <row r="7793" customFormat="false" ht="15" hidden="false" customHeight="false" outlineLevel="0" collapsed="false">
      <c r="A7793" s="0" t="n">
        <f aca="false">MDURATION(DATE(2024,5,15),DATE(2024,11,15),0.05,0.08,1,3)</f>
        <v>0.466768138001015</v>
      </c>
      <c r="B7793" s="0" t="s">
        <v>7772</v>
      </c>
    </row>
    <row r="7794" customFormat="false" ht="15" hidden="false" customHeight="false" outlineLevel="0" collapsed="false">
      <c r="A7794" s="0" t="n">
        <f aca="false">MDURATION(DATE(2024,5,15),DATE(2024,11,15),0.1,0.03,1,3)</f>
        <v>0.489426785476792</v>
      </c>
      <c r="B7794" s="0" t="s">
        <v>7773</v>
      </c>
    </row>
    <row r="7795" customFormat="false" ht="15" hidden="false" customHeight="false" outlineLevel="0" collapsed="false">
      <c r="A7795" s="0" t="n">
        <f aca="false">PRICE(DATE(2024,5,15),DATE(2024,11,15),0.05,0.08,100,1,4)</f>
        <v>98.5362971081845</v>
      </c>
      <c r="B7795" s="0" t="s">
        <v>7774</v>
      </c>
    </row>
    <row r="7796" customFormat="false" ht="15" hidden="false" customHeight="false" outlineLevel="0" collapsed="false">
      <c r="A7796" s="0" t="n">
        <f aca="false">PRICE(DATE(2024,5,15),DATE(2024,11,15),0.1,0.03,105,1,4)</f>
        <v>108.312866988894</v>
      </c>
      <c r="B7796" s="0" t="s">
        <v>7775</v>
      </c>
    </row>
    <row r="7797" customFormat="false" ht="15" hidden="false" customHeight="false" outlineLevel="0" collapsed="false">
      <c r="A7797" s="0" t="n">
        <f aca="false">PRICE(DATE(2024,5,15),DATE(2024,11,15),0,0.05,100,1,4)</f>
        <v>97.5900072948533</v>
      </c>
      <c r="B7797" s="0" t="s">
        <v>7776</v>
      </c>
    </row>
    <row r="7798" customFormat="false" ht="15" hidden="false" customHeight="false" outlineLevel="0" collapsed="false">
      <c r="A7798" s="0" t="n">
        <f aca="false">YIELD(DATE(2024,5,15),DATE(2024,11,15),0.05,95,100,1,4)</f>
        <v>0.159763313609474</v>
      </c>
      <c r="B7798" s="0" t="s">
        <v>7777</v>
      </c>
    </row>
    <row r="7799" customFormat="false" ht="15" hidden="false" customHeight="false" outlineLevel="0" collapsed="false">
      <c r="A7799" s="0" t="n">
        <f aca="false">YIELD(DATE(2024,5,15),DATE(2024,11,15),0.1,101.5,100,1,4)</f>
        <v>0.0668077321519106</v>
      </c>
      <c r="B7799" s="0" t="s">
        <v>7778</v>
      </c>
    </row>
    <row r="7800" customFormat="false" ht="15" hidden="false" customHeight="false" outlineLevel="0" collapsed="false">
      <c r="A7800" s="0" t="n">
        <f aca="false">YIELD(DATE(2024,5,15),DATE(2024,11,15),0.05,100,100,1,4)</f>
        <v>0.0493753718024998</v>
      </c>
      <c r="B7800" s="0" t="s">
        <v>7779</v>
      </c>
    </row>
    <row r="7801" customFormat="false" ht="15" hidden="false" customHeight="false" outlineLevel="0" collapsed="false">
      <c r="A7801" s="0" t="n">
        <f aca="false">DURATION(DATE(2024,5,15),DATE(2024,11,15),0.05,0.08,1,4)</f>
        <v>0.5</v>
      </c>
      <c r="B7801" s="0" t="s">
        <v>7780</v>
      </c>
    </row>
    <row r="7802" customFormat="false" ht="15" hidden="false" customHeight="false" outlineLevel="0" collapsed="false">
      <c r="A7802" s="0" t="n">
        <f aca="false">DURATION(DATE(2024,5,15),DATE(2024,11,15),0.1,0.03,1,4)</f>
        <v>0.5</v>
      </c>
      <c r="B7802" s="0" t="s">
        <v>7781</v>
      </c>
    </row>
    <row r="7803" customFormat="false" ht="15" hidden="false" customHeight="false" outlineLevel="0" collapsed="false">
      <c r="A7803" s="0" t="n">
        <f aca="false">DURATION(DATE(2024,5,15),DATE(2024,11,15),0,0.05,1,4)</f>
        <v>0.5</v>
      </c>
      <c r="B7803" s="0" t="s">
        <v>7782</v>
      </c>
    </row>
    <row r="7804" customFormat="false" ht="15" hidden="false" customHeight="false" outlineLevel="0" collapsed="false">
      <c r="A7804" s="0" t="n">
        <f aca="false">MDURATION(DATE(2024,5,15),DATE(2024,11,15),0.05,0.08,1,4)</f>
        <v>0.462962962962963</v>
      </c>
      <c r="B7804" s="0" t="s">
        <v>7783</v>
      </c>
    </row>
    <row r="7805" customFormat="false" ht="15" hidden="false" customHeight="false" outlineLevel="0" collapsed="false">
      <c r="A7805" s="0" t="n">
        <f aca="false">MDURATION(DATE(2024,5,15),DATE(2024,11,15),0.1,0.03,1,4)</f>
        <v>0.485436893203884</v>
      </c>
      <c r="B7805" s="0" t="s">
        <v>7784</v>
      </c>
    </row>
    <row r="7806" customFormat="false" ht="15" hidden="false" customHeight="false" outlineLevel="0" collapsed="false">
      <c r="A7806" s="0" t="n">
        <f aca="false">PRICE(DATE(2024,5,15),DATE(2024,11,15),0.05,0.08,100,2,0)</f>
        <v>98.5576923076923</v>
      </c>
      <c r="B7806" s="0" t="s">
        <v>7785</v>
      </c>
    </row>
    <row r="7807" customFormat="false" ht="15" hidden="false" customHeight="false" outlineLevel="0" collapsed="false">
      <c r="A7807" s="0" t="n">
        <f aca="false">PRICE(DATE(2024,5,15),DATE(2024,11,15),0.1,0.03,105,2,0)</f>
        <v>108.374384236453</v>
      </c>
      <c r="B7807" s="0" t="s">
        <v>7786</v>
      </c>
    </row>
    <row r="7808" customFormat="false" ht="15" hidden="false" customHeight="false" outlineLevel="0" collapsed="false">
      <c r="A7808" s="0" t="n">
        <f aca="false">PRICE(DATE(2024,5,15),DATE(2024,11,15),0,0.05,100,2,0)</f>
        <v>97.5609756097561</v>
      </c>
      <c r="B7808" s="0" t="s">
        <v>7787</v>
      </c>
    </row>
    <row r="7809" customFormat="false" ht="15" hidden="false" customHeight="false" outlineLevel="0" collapsed="false">
      <c r="A7809" s="0" t="n">
        <f aca="false">YIELD(DATE(2024,5,15),DATE(2024,11,15),0.05,95,100,2,0)</f>
        <v>0.157894736842106</v>
      </c>
      <c r="B7809" s="0" t="s">
        <v>7788</v>
      </c>
    </row>
    <row r="7810" customFormat="false" ht="15" hidden="false" customHeight="false" outlineLevel="0" collapsed="false">
      <c r="A7810" s="0" t="n">
        <f aca="false">YIELD(DATE(2024,5,15),DATE(2024,11,15),0.1,101.5,100,2,0)</f>
        <v>0.0689655172413801</v>
      </c>
      <c r="B7810" s="0" t="s">
        <v>7789</v>
      </c>
    </row>
    <row r="7811" customFormat="false" ht="15" hidden="false" customHeight="false" outlineLevel="0" collapsed="false">
      <c r="A7811" s="0" t="n">
        <f aca="false">YIELD(DATE(2024,5,15),DATE(2024,11,15),0.05,100,100,2,0)</f>
        <v>0.050000000000001</v>
      </c>
      <c r="B7811" s="0" t="s">
        <v>7790</v>
      </c>
    </row>
    <row r="7812" customFormat="false" ht="15" hidden="false" customHeight="false" outlineLevel="0" collapsed="false">
      <c r="A7812" s="0" t="n">
        <f aca="false">DURATION(DATE(2024,5,15),DATE(2024,11,15),0.05,0.08,2,0)</f>
        <v>0.5</v>
      </c>
      <c r="B7812" s="0" t="s">
        <v>7791</v>
      </c>
    </row>
    <row r="7813" customFormat="false" ht="15" hidden="false" customHeight="false" outlineLevel="0" collapsed="false">
      <c r="A7813" s="0" t="n">
        <f aca="false">DURATION(DATE(2024,5,15),DATE(2024,11,15),0.1,0.03,2,0)</f>
        <v>0.5</v>
      </c>
      <c r="B7813" s="0" t="s">
        <v>7792</v>
      </c>
    </row>
    <row r="7814" customFormat="false" ht="15" hidden="false" customHeight="false" outlineLevel="0" collapsed="false">
      <c r="A7814" s="0" t="n">
        <f aca="false">DURATION(DATE(2024,5,15),DATE(2024,11,15),0,0.05,2,0)</f>
        <v>0.5</v>
      </c>
      <c r="B7814" s="0" t="s">
        <v>7793</v>
      </c>
    </row>
    <row r="7815" customFormat="false" ht="15" hidden="false" customHeight="false" outlineLevel="0" collapsed="false">
      <c r="A7815" s="0" t="n">
        <f aca="false">MDURATION(DATE(2024,5,15),DATE(2024,11,15),0.05,0.08,2,0)</f>
        <v>0.480769230769231</v>
      </c>
      <c r="B7815" s="0" t="s">
        <v>7794</v>
      </c>
    </row>
    <row r="7816" customFormat="false" ht="15" hidden="false" customHeight="false" outlineLevel="0" collapsed="false">
      <c r="A7816" s="0" t="n">
        <f aca="false">MDURATION(DATE(2024,5,15),DATE(2024,11,15),0.1,0.03,2,0)</f>
        <v>0.492610837438424</v>
      </c>
      <c r="B7816" s="0" t="s">
        <v>7795</v>
      </c>
    </row>
    <row r="7817" customFormat="false" ht="15" hidden="false" customHeight="false" outlineLevel="0" collapsed="false">
      <c r="A7817" s="0" t="n">
        <f aca="false">PRICE(DATE(2024,5,15),DATE(2024,11,15),0.05,0.08,100,2,1)</f>
        <v>98.5576923076923</v>
      </c>
      <c r="B7817" s="0" t="s">
        <v>7796</v>
      </c>
    </row>
    <row r="7818" customFormat="false" ht="15" hidden="false" customHeight="false" outlineLevel="0" collapsed="false">
      <c r="A7818" s="0" t="n">
        <f aca="false">PRICE(DATE(2024,5,15),DATE(2024,11,15),0.1,0.03,105,2,1)</f>
        <v>108.374384236453</v>
      </c>
      <c r="B7818" s="0" t="s">
        <v>7797</v>
      </c>
    </row>
    <row r="7819" customFormat="false" ht="15" hidden="false" customHeight="false" outlineLevel="0" collapsed="false">
      <c r="A7819" s="0" t="n">
        <f aca="false">PRICE(DATE(2024,5,15),DATE(2024,11,15),0,0.05,100,2,1)</f>
        <v>97.5609756097561</v>
      </c>
      <c r="B7819" s="0" t="s">
        <v>7798</v>
      </c>
    </row>
    <row r="7820" customFormat="false" ht="15" hidden="false" customHeight="false" outlineLevel="0" collapsed="false">
      <c r="A7820" s="0" t="n">
        <f aca="false">YIELD(DATE(2024,5,15),DATE(2024,11,15),0.05,95,100,2,1)</f>
        <v>0.157894736842106</v>
      </c>
      <c r="B7820" s="0" t="s">
        <v>7799</v>
      </c>
    </row>
    <row r="7821" customFormat="false" ht="15" hidden="false" customHeight="false" outlineLevel="0" collapsed="false">
      <c r="A7821" s="0" t="n">
        <f aca="false">YIELD(DATE(2024,5,15),DATE(2024,11,15),0.1,101.5,100,2,1)</f>
        <v>0.0689655172413801</v>
      </c>
      <c r="B7821" s="0" t="s">
        <v>7800</v>
      </c>
    </row>
    <row r="7822" customFormat="false" ht="15" hidden="false" customHeight="false" outlineLevel="0" collapsed="false">
      <c r="A7822" s="0" t="n">
        <f aca="false">YIELD(DATE(2024,5,15),DATE(2024,11,15),0.05,100,100,2,1)</f>
        <v>0.050000000000001</v>
      </c>
      <c r="B7822" s="0" t="s">
        <v>7801</v>
      </c>
    </row>
    <row r="7823" customFormat="false" ht="15" hidden="false" customHeight="false" outlineLevel="0" collapsed="false">
      <c r="A7823" s="0" t="n">
        <f aca="false">DURATION(DATE(2024,5,15),DATE(2024,11,15),0.05,0.08,2,1)</f>
        <v>0.502732240437159</v>
      </c>
      <c r="B7823" s="0" t="s">
        <v>7802</v>
      </c>
    </row>
    <row r="7824" customFormat="false" ht="15" hidden="false" customHeight="false" outlineLevel="0" collapsed="false">
      <c r="A7824" s="0" t="n">
        <f aca="false">DURATION(DATE(2024,5,15),DATE(2024,11,15),0.1,0.03,2,1)</f>
        <v>0.502732240437159</v>
      </c>
      <c r="B7824" s="0" t="s">
        <v>7803</v>
      </c>
    </row>
    <row r="7825" customFormat="false" ht="15" hidden="false" customHeight="false" outlineLevel="0" collapsed="false">
      <c r="A7825" s="0" t="n">
        <f aca="false">DURATION(DATE(2024,5,15),DATE(2024,11,15),0,0.05,2,1)</f>
        <v>0.502732240437159</v>
      </c>
      <c r="B7825" s="0" t="s">
        <v>7804</v>
      </c>
    </row>
    <row r="7826" customFormat="false" ht="15" hidden="false" customHeight="false" outlineLevel="0" collapsed="false">
      <c r="A7826" s="0" t="n">
        <f aca="false">MDURATION(DATE(2024,5,15),DATE(2024,11,15),0.05,0.08,2,1)</f>
        <v>0.483396385035729</v>
      </c>
      <c r="B7826" s="0" t="s">
        <v>7805</v>
      </c>
    </row>
    <row r="7827" customFormat="false" ht="15" hidden="false" customHeight="false" outlineLevel="0" collapsed="false">
      <c r="A7827" s="0" t="n">
        <f aca="false">MDURATION(DATE(2024,5,15),DATE(2024,11,15),0.1,0.03,2,1)</f>
        <v>0.495302699938087</v>
      </c>
      <c r="B7827" s="0" t="s">
        <v>7806</v>
      </c>
    </row>
    <row r="7828" customFormat="false" ht="15" hidden="false" customHeight="false" outlineLevel="0" collapsed="false">
      <c r="A7828" s="0" t="n">
        <f aca="false">PRICE(DATE(2024,5,15),DATE(2024,11,15),0.05,0.08,100,2,2)</f>
        <v>98.4718296646387</v>
      </c>
      <c r="B7828" s="0" t="s">
        <v>7807</v>
      </c>
    </row>
    <row r="7829" customFormat="false" ht="15" hidden="false" customHeight="false" outlineLevel="0" collapsed="false">
      <c r="A7829" s="0" t="n">
        <f aca="false">PRICE(DATE(2024,5,15),DATE(2024,11,15),0.1,0.03,105,2,2)</f>
        <v>108.338533629486</v>
      </c>
      <c r="B7829" s="0" t="s">
        <v>7808</v>
      </c>
    </row>
    <row r="7830" customFormat="false" ht="15" hidden="false" customHeight="false" outlineLevel="0" collapsed="false">
      <c r="A7830" s="0" t="n">
        <f aca="false">PRICE(DATE(2024,5,15),DATE(2024,11,15),0,0.05,100,2,2)</f>
        <v>97.5074561753803</v>
      </c>
      <c r="B7830" s="0" t="s">
        <v>7809</v>
      </c>
    </row>
    <row r="7831" customFormat="false" ht="15" hidden="false" customHeight="false" outlineLevel="0" collapsed="false">
      <c r="A7831" s="0" t="n">
        <f aca="false">YIELD(DATE(2024,5,15),DATE(2024,11,15),0.05,95,100,2,2)</f>
        <v>0.154333123032114</v>
      </c>
      <c r="B7831" s="0" t="s">
        <v>7810</v>
      </c>
    </row>
    <row r="7832" customFormat="false" ht="15" hidden="false" customHeight="false" outlineLevel="0" collapsed="false">
      <c r="A7832" s="0" t="n">
        <f aca="false">YIELD(DATE(2024,5,15),DATE(2024,11,15),0.1,101.5,100,2,2)</f>
        <v>0.0674412715657808</v>
      </c>
      <c r="B7832" s="0" t="s">
        <v>7811</v>
      </c>
    </row>
    <row r="7833" customFormat="false" ht="15" hidden="false" customHeight="false" outlineLevel="0" collapsed="false">
      <c r="A7833" s="0" t="n">
        <f aca="false">YIELD(DATE(2024,5,15),DATE(2024,11,15),0.05,100,100,2,2)</f>
        <v>0.0488998636527237</v>
      </c>
      <c r="B7833" s="0" t="s">
        <v>7812</v>
      </c>
    </row>
    <row r="7834" customFormat="false" ht="15" hidden="false" customHeight="false" outlineLevel="0" collapsed="false">
      <c r="A7834" s="0" t="n">
        <f aca="false">DURATION(DATE(2024,5,15),DATE(2024,11,15),0.05,0.08,2,2)</f>
        <v>0.511111111111111</v>
      </c>
      <c r="B7834" s="0" t="s">
        <v>7813</v>
      </c>
    </row>
    <row r="7835" customFormat="false" ht="15" hidden="false" customHeight="false" outlineLevel="0" collapsed="false">
      <c r="A7835" s="0" t="n">
        <f aca="false">DURATION(DATE(2024,5,15),DATE(2024,11,15),0.1,0.03,2,2)</f>
        <v>0.511111111111111</v>
      </c>
      <c r="B7835" s="0" t="s">
        <v>7814</v>
      </c>
    </row>
    <row r="7836" customFormat="false" ht="15" hidden="false" customHeight="false" outlineLevel="0" collapsed="false">
      <c r="A7836" s="0" t="n">
        <f aca="false">DURATION(DATE(2024,5,15),DATE(2024,11,15),0,0.05,2,2)</f>
        <v>0.511111111111111</v>
      </c>
      <c r="B7836" s="0" t="s">
        <v>7815</v>
      </c>
    </row>
    <row r="7837" customFormat="false" ht="15" hidden="false" customHeight="false" outlineLevel="0" collapsed="false">
      <c r="A7837" s="0" t="n">
        <f aca="false">MDURATION(DATE(2024,5,15),DATE(2024,11,15),0.05,0.08,2,2)</f>
        <v>0.491452991452991</v>
      </c>
      <c r="B7837" s="0" t="s">
        <v>7816</v>
      </c>
    </row>
    <row r="7838" customFormat="false" ht="15" hidden="false" customHeight="false" outlineLevel="0" collapsed="false">
      <c r="A7838" s="0" t="n">
        <f aca="false">MDURATION(DATE(2024,5,15),DATE(2024,11,15),0.1,0.03,2,2)</f>
        <v>0.503557744937055</v>
      </c>
      <c r="B7838" s="0" t="s">
        <v>7817</v>
      </c>
    </row>
    <row r="7839" customFormat="false" ht="15" hidden="false" customHeight="false" outlineLevel="0" collapsed="false">
      <c r="A7839" s="0" t="n">
        <f aca="false">PRICE(DATE(2024,5,15),DATE(2024,11,15),0.05,0.08,100,2,3)</f>
        <v>98.5259261707035</v>
      </c>
      <c r="B7839" s="0" t="s">
        <v>7818</v>
      </c>
    </row>
    <row r="7840" customFormat="false" ht="15" hidden="false" customHeight="false" outlineLevel="0" collapsed="false">
      <c r="A7840" s="0" t="n">
        <f aca="false">PRICE(DATE(2024,5,15),DATE(2024,11,15),0.1,0.03,105,2,3)</f>
        <v>108.361123040655</v>
      </c>
      <c r="B7840" s="0" t="s">
        <v>7819</v>
      </c>
    </row>
    <row r="7841" customFormat="false" ht="15" hidden="false" customHeight="false" outlineLevel="0" collapsed="false">
      <c r="A7841" s="0" t="n">
        <f aca="false">PRICE(DATE(2024,5,15),DATE(2024,11,15),0,0.05,100,2,3)</f>
        <v>97.5411773281335</v>
      </c>
      <c r="B7841" s="0" t="s">
        <v>7820</v>
      </c>
    </row>
    <row r="7842" customFormat="false" ht="15" hidden="false" customHeight="false" outlineLevel="0" collapsed="false">
      <c r="A7842" s="0" t="n">
        <f aca="false">YIELD(DATE(2024,5,15),DATE(2024,11,15),0.05,95,100,2,3)</f>
        <v>0.156558442165058</v>
      </c>
      <c r="B7842" s="0" t="s">
        <v>7821</v>
      </c>
    </row>
    <row r="7843" customFormat="false" ht="15" hidden="false" customHeight="false" outlineLevel="0" collapsed="false">
      <c r="A7843" s="0" t="n">
        <f aca="false">YIELD(DATE(2024,5,15),DATE(2024,11,15),0.1,101.5,100,2,3)</f>
        <v>0.0683937934659184</v>
      </c>
      <c r="B7843" s="0" t="s">
        <v>7822</v>
      </c>
    </row>
    <row r="7844" customFormat="false" ht="15" hidden="false" customHeight="false" outlineLevel="0" collapsed="false">
      <c r="A7844" s="0" t="n">
        <f aca="false">YIELD(DATE(2024,5,15),DATE(2024,11,15),0.05,100,100,2,3)</f>
        <v>0.0495873796632978</v>
      </c>
      <c r="B7844" s="0" t="s">
        <v>7823</v>
      </c>
    </row>
    <row r="7845" customFormat="false" ht="15" hidden="false" customHeight="false" outlineLevel="0" collapsed="false">
      <c r="A7845" s="0" t="n">
        <f aca="false">DURATION(DATE(2024,5,15),DATE(2024,11,15),0.05,0.08,2,3)</f>
        <v>0.504109589041096</v>
      </c>
      <c r="B7845" s="0" t="s">
        <v>7824</v>
      </c>
    </row>
    <row r="7846" customFormat="false" ht="15" hidden="false" customHeight="false" outlineLevel="0" collapsed="false">
      <c r="A7846" s="0" t="n">
        <f aca="false">DURATION(DATE(2024,5,15),DATE(2024,11,15),0.1,0.03,2,3)</f>
        <v>0.504109589041096</v>
      </c>
      <c r="B7846" s="0" t="s">
        <v>7825</v>
      </c>
    </row>
    <row r="7847" customFormat="false" ht="15" hidden="false" customHeight="false" outlineLevel="0" collapsed="false">
      <c r="A7847" s="0" t="n">
        <f aca="false">DURATION(DATE(2024,5,15),DATE(2024,11,15),0,0.05,2,3)</f>
        <v>0.504109589041096</v>
      </c>
      <c r="B7847" s="0" t="s">
        <v>7826</v>
      </c>
    </row>
    <row r="7848" customFormat="false" ht="15" hidden="false" customHeight="false" outlineLevel="0" collapsed="false">
      <c r="A7848" s="0" t="n">
        <f aca="false">MDURATION(DATE(2024,5,15),DATE(2024,11,15),0.05,0.08,2,3)</f>
        <v>0.484720758693361</v>
      </c>
      <c r="B7848" s="0" t="s">
        <v>7827</v>
      </c>
    </row>
    <row r="7849" customFormat="false" ht="15" hidden="false" customHeight="false" outlineLevel="0" collapsed="false">
      <c r="A7849" s="0" t="n">
        <f aca="false">MDURATION(DATE(2024,5,15),DATE(2024,11,15),0.1,0.03,2,3)</f>
        <v>0.496659693636548</v>
      </c>
      <c r="B7849" s="0" t="s">
        <v>7828</v>
      </c>
    </row>
    <row r="7850" customFormat="false" ht="15" hidden="false" customHeight="false" outlineLevel="0" collapsed="false">
      <c r="A7850" s="0" t="n">
        <f aca="false">PRICE(DATE(2024,5,15),DATE(2024,11,15),0.05,0.08,100,2,4)</f>
        <v>98.5576923076923</v>
      </c>
      <c r="B7850" s="0" t="s">
        <v>7829</v>
      </c>
    </row>
    <row r="7851" customFormat="false" ht="15" hidden="false" customHeight="false" outlineLevel="0" collapsed="false">
      <c r="A7851" s="0" t="n">
        <f aca="false">PRICE(DATE(2024,5,15),DATE(2024,11,15),0.1,0.03,105,2,4)</f>
        <v>108.374384236453</v>
      </c>
      <c r="B7851" s="0" t="s">
        <v>7830</v>
      </c>
    </row>
    <row r="7852" customFormat="false" ht="15" hidden="false" customHeight="false" outlineLevel="0" collapsed="false">
      <c r="A7852" s="0" t="n">
        <f aca="false">PRICE(DATE(2024,5,15),DATE(2024,11,15),0,0.05,100,2,4)</f>
        <v>97.5609756097561</v>
      </c>
      <c r="B7852" s="0" t="s">
        <v>7831</v>
      </c>
    </row>
    <row r="7853" customFormat="false" ht="15" hidden="false" customHeight="false" outlineLevel="0" collapsed="false">
      <c r="A7853" s="0" t="n">
        <f aca="false">YIELD(DATE(2024,5,15),DATE(2024,11,15),0.05,95,100,2,4)</f>
        <v>0.157894736842106</v>
      </c>
      <c r="B7853" s="0" t="s">
        <v>7832</v>
      </c>
    </row>
    <row r="7854" customFormat="false" ht="15" hidden="false" customHeight="false" outlineLevel="0" collapsed="false">
      <c r="A7854" s="0" t="n">
        <f aca="false">YIELD(DATE(2024,5,15),DATE(2024,11,15),0.1,101.5,100,2,4)</f>
        <v>0.0689655172413801</v>
      </c>
      <c r="B7854" s="0" t="s">
        <v>7833</v>
      </c>
    </row>
    <row r="7855" customFormat="false" ht="15" hidden="false" customHeight="false" outlineLevel="0" collapsed="false">
      <c r="A7855" s="0" t="n">
        <f aca="false">YIELD(DATE(2024,5,15),DATE(2024,11,15),0.05,100,100,2,4)</f>
        <v>0.050000000000001</v>
      </c>
      <c r="B7855" s="0" t="s">
        <v>7834</v>
      </c>
    </row>
    <row r="7856" customFormat="false" ht="15" hidden="false" customHeight="false" outlineLevel="0" collapsed="false">
      <c r="A7856" s="0" t="n">
        <f aca="false">DURATION(DATE(2024,5,15),DATE(2024,11,15),0.05,0.08,2,4)</f>
        <v>0.5</v>
      </c>
      <c r="B7856" s="0" t="s">
        <v>7835</v>
      </c>
    </row>
    <row r="7857" customFormat="false" ht="15" hidden="false" customHeight="false" outlineLevel="0" collapsed="false">
      <c r="A7857" s="0" t="n">
        <f aca="false">DURATION(DATE(2024,5,15),DATE(2024,11,15),0.1,0.03,2,4)</f>
        <v>0.5</v>
      </c>
      <c r="B7857" s="0" t="s">
        <v>7836</v>
      </c>
    </row>
    <row r="7858" customFormat="false" ht="15" hidden="false" customHeight="false" outlineLevel="0" collapsed="false">
      <c r="A7858" s="0" t="n">
        <f aca="false">DURATION(DATE(2024,5,15),DATE(2024,11,15),0,0.05,2,4)</f>
        <v>0.5</v>
      </c>
      <c r="B7858" s="0" t="s">
        <v>7837</v>
      </c>
    </row>
    <row r="7859" customFormat="false" ht="15" hidden="false" customHeight="false" outlineLevel="0" collapsed="false">
      <c r="A7859" s="0" t="n">
        <f aca="false">MDURATION(DATE(2024,5,15),DATE(2024,11,15),0.05,0.08,2,4)</f>
        <v>0.480769230769231</v>
      </c>
      <c r="B7859" s="0" t="s">
        <v>7838</v>
      </c>
    </row>
    <row r="7860" customFormat="false" ht="15" hidden="false" customHeight="false" outlineLevel="0" collapsed="false">
      <c r="A7860" s="0" t="n">
        <f aca="false">MDURATION(DATE(2024,5,15),DATE(2024,11,15),0.1,0.03,2,4)</f>
        <v>0.492610837438424</v>
      </c>
      <c r="B7860" s="0" t="s">
        <v>7839</v>
      </c>
    </row>
    <row r="7861" customFormat="false" ht="15" hidden="false" customHeight="false" outlineLevel="0" collapsed="false">
      <c r="A7861" s="0" t="n">
        <f aca="false">PRICE(DATE(2024,5,15),DATE(2024,11,15),0.05,0.08,100,4,0)</f>
        <v>98.5438292964245</v>
      </c>
      <c r="B7861" s="0" t="s">
        <v>7840</v>
      </c>
    </row>
    <row r="7862" customFormat="false" ht="15" hidden="false" customHeight="false" outlineLevel="0" collapsed="false">
      <c r="A7862" s="0" t="n">
        <f aca="false">PRICE(DATE(2024,5,15),DATE(2024,11,15),0.1,0.03,105,4,0)</f>
        <v>108.386850482424</v>
      </c>
      <c r="B7862" s="0" t="s">
        <v>7841</v>
      </c>
    </row>
    <row r="7863" customFormat="false" ht="15" hidden="false" customHeight="false" outlineLevel="0" collapsed="false">
      <c r="A7863" s="0" t="n">
        <f aca="false">PRICE(DATE(2024,5,15),DATE(2024,11,15),0,0.05,100,4,0)</f>
        <v>97.5461057765585</v>
      </c>
      <c r="B7863" s="0" t="s">
        <v>7842</v>
      </c>
    </row>
    <row r="7864" customFormat="false" ht="15" hidden="false" customHeight="false" outlineLevel="0" collapsed="false">
      <c r="A7864" s="0" t="n">
        <f aca="false">YIELD(DATE(2024,5,15),DATE(2024,11,15),0.05,95,100,4,0)</f>
        <v>0.155882849072431</v>
      </c>
      <c r="B7864" s="0" t="s">
        <v>7843</v>
      </c>
    </row>
    <row r="7865" customFormat="false" ht="15" hidden="false" customHeight="false" outlineLevel="0" collapsed="false">
      <c r="A7865" s="0" t="n">
        <f aca="false">YIELD(DATE(2024,5,15),DATE(2024,11,15),0.1,101.5,100,4,0)</f>
        <v>0.0692190589410868</v>
      </c>
      <c r="B7865" s="0" t="s">
        <v>7844</v>
      </c>
    </row>
    <row r="7866" customFormat="false" ht="15" hidden="false" customHeight="false" outlineLevel="0" collapsed="false">
      <c r="A7866" s="0" t="n">
        <f aca="false">YIELD(DATE(2024,5,15),DATE(2024,11,15),0.05,100,100,4,0)</f>
        <v>0.0500000000000065</v>
      </c>
      <c r="B7866" s="0" t="s">
        <v>7845</v>
      </c>
    </row>
    <row r="7867" customFormat="false" ht="15" hidden="false" customHeight="false" outlineLevel="0" collapsed="false">
      <c r="A7867" s="0" t="n">
        <f aca="false">DURATION(DATE(2024,5,15),DATE(2024,11,15),0.05,0.08,4,0)</f>
        <v>0.496891002194587</v>
      </c>
      <c r="B7867" s="0" t="s">
        <v>7846</v>
      </c>
    </row>
    <row r="7868" customFormat="false" ht="15" hidden="false" customHeight="false" outlineLevel="0" collapsed="false">
      <c r="A7868" s="0" t="n">
        <f aca="false">DURATION(DATE(2024,5,15),DATE(2024,11,15),0.1,0.03,4,0)</f>
        <v>0.494004046896388</v>
      </c>
      <c r="B7868" s="0" t="s">
        <v>7847</v>
      </c>
    </row>
    <row r="7869" customFormat="false" ht="15" hidden="false" customHeight="false" outlineLevel="0" collapsed="false">
      <c r="A7869" s="0" t="n">
        <f aca="false">DURATION(DATE(2024,5,15),DATE(2024,11,15),0,0.05,4,0)</f>
        <v>0.5</v>
      </c>
      <c r="B7869" s="0" t="s">
        <v>7848</v>
      </c>
    </row>
    <row r="7870" customFormat="false" ht="15" hidden="false" customHeight="false" outlineLevel="0" collapsed="false">
      <c r="A7870" s="0" t="n">
        <f aca="false">MDURATION(DATE(2024,5,15),DATE(2024,11,15),0.05,0.08,4,0)</f>
        <v>0.487148041367242</v>
      </c>
      <c r="B7870" s="0" t="s">
        <v>7849</v>
      </c>
    </row>
    <row r="7871" customFormat="false" ht="15" hidden="false" customHeight="false" outlineLevel="0" collapsed="false">
      <c r="A7871" s="0" t="n">
        <f aca="false">MDURATION(DATE(2024,5,15),DATE(2024,11,15),0.1,0.03,4,0)</f>
        <v>0.490326597415769</v>
      </c>
      <c r="B7871" s="0" t="s">
        <v>7850</v>
      </c>
    </row>
    <row r="7872" customFormat="false" ht="15" hidden="false" customHeight="false" outlineLevel="0" collapsed="false">
      <c r="A7872" s="0" t="n">
        <f aca="false">PRICE(DATE(2024,5,15),DATE(2024,11,15),0.05,0.08,100,4,1)</f>
        <v>98.5438292964245</v>
      </c>
      <c r="B7872" s="0" t="s">
        <v>7851</v>
      </c>
    </row>
    <row r="7873" customFormat="false" ht="15" hidden="false" customHeight="false" outlineLevel="0" collapsed="false">
      <c r="A7873" s="0" t="n">
        <f aca="false">PRICE(DATE(2024,5,15),DATE(2024,11,15),0.1,0.03,105,4,1)</f>
        <v>108.386850482424</v>
      </c>
      <c r="B7873" s="0" t="s">
        <v>7852</v>
      </c>
    </row>
    <row r="7874" customFormat="false" ht="15" hidden="false" customHeight="false" outlineLevel="0" collapsed="false">
      <c r="A7874" s="0" t="n">
        <f aca="false">PRICE(DATE(2024,5,15),DATE(2024,11,15),0,0.05,100,4,1)</f>
        <v>97.5461057765585</v>
      </c>
      <c r="B7874" s="0" t="s">
        <v>7853</v>
      </c>
    </row>
    <row r="7875" customFormat="false" ht="15" hidden="false" customHeight="false" outlineLevel="0" collapsed="false">
      <c r="A7875" s="0" t="n">
        <f aca="false">YIELD(DATE(2024,5,15),DATE(2024,11,15),0.05,95,100,4,1)</f>
        <v>0.155882849072431</v>
      </c>
      <c r="B7875" s="0" t="s">
        <v>7854</v>
      </c>
    </row>
    <row r="7876" customFormat="false" ht="15" hidden="false" customHeight="false" outlineLevel="0" collapsed="false">
      <c r="A7876" s="0" t="n">
        <f aca="false">YIELD(DATE(2024,5,15),DATE(2024,11,15),0.1,101.5,100,4,1)</f>
        <v>0.0692190589410868</v>
      </c>
      <c r="B7876" s="0" t="s">
        <v>7855</v>
      </c>
    </row>
    <row r="7877" customFormat="false" ht="15" hidden="false" customHeight="false" outlineLevel="0" collapsed="false">
      <c r="A7877" s="0" t="n">
        <f aca="false">YIELD(DATE(2024,5,15),DATE(2024,11,15),0.05,100,100,4,1)</f>
        <v>0.0500000000000065</v>
      </c>
      <c r="B7877" s="0" t="s">
        <v>7856</v>
      </c>
    </row>
    <row r="7878" customFormat="false" ht="15" hidden="false" customHeight="false" outlineLevel="0" collapsed="false">
      <c r="A7878" s="0" t="n">
        <f aca="false">DURATION(DATE(2024,5,15),DATE(2024,11,15),0.05,0.08,4,1)</f>
        <v>0.499623242631745</v>
      </c>
      <c r="B7878" s="0" t="s">
        <v>7857</v>
      </c>
    </row>
    <row r="7879" customFormat="false" ht="15" hidden="false" customHeight="false" outlineLevel="0" collapsed="false">
      <c r="A7879" s="0" t="n">
        <f aca="false">DURATION(DATE(2024,5,15),DATE(2024,11,15),0.1,0.03,4,1)</f>
        <v>0.496736287333546</v>
      </c>
      <c r="B7879" s="0" t="s">
        <v>7858</v>
      </c>
    </row>
    <row r="7880" customFormat="false" ht="15" hidden="false" customHeight="false" outlineLevel="0" collapsed="false">
      <c r="A7880" s="0" t="n">
        <f aca="false">DURATION(DATE(2024,5,15),DATE(2024,11,15),0,0.05,4,1)</f>
        <v>0.502732240437159</v>
      </c>
      <c r="B7880" s="0" t="s">
        <v>7859</v>
      </c>
    </row>
    <row r="7881" customFormat="false" ht="15" hidden="false" customHeight="false" outlineLevel="0" collapsed="false">
      <c r="A7881" s="0" t="n">
        <f aca="false">MDURATION(DATE(2024,5,15),DATE(2024,11,15),0.05,0.08,4,1)</f>
        <v>0.489826708462495</v>
      </c>
      <c r="B7881" s="0" t="s">
        <v>7860</v>
      </c>
    </row>
    <row r="7882" customFormat="false" ht="15" hidden="false" customHeight="false" outlineLevel="0" collapsed="false">
      <c r="A7882" s="0" t="n">
        <f aca="false">MDURATION(DATE(2024,5,15),DATE(2024,11,15),0.1,0.03,4,1)</f>
        <v>0.49303849859409</v>
      </c>
      <c r="B7882" s="0" t="s">
        <v>7861</v>
      </c>
    </row>
    <row r="7883" customFormat="false" ht="15" hidden="false" customHeight="false" outlineLevel="0" collapsed="false">
      <c r="A7883" s="0" t="n">
        <f aca="false">PRICE(DATE(2024,5,15),DATE(2024,11,15),0.05,0.08,100,4,2)</f>
        <v>98.5004737982905</v>
      </c>
      <c r="B7883" s="0" t="s">
        <v>7862</v>
      </c>
    </row>
    <row r="7884" customFormat="false" ht="15" hidden="false" customHeight="false" outlineLevel="0" collapsed="false">
      <c r="A7884" s="0" t="n">
        <f aca="false">PRICE(DATE(2024,5,15),DATE(2024,11,15),0.1,0.03,105,4,2)</f>
        <v>108.368854906387</v>
      </c>
      <c r="B7884" s="0" t="s">
        <v>7863</v>
      </c>
    </row>
    <row r="7885" customFormat="false" ht="15" hidden="false" customHeight="false" outlineLevel="0" collapsed="false">
      <c r="A7885" s="0" t="n">
        <f aca="false">PRICE(DATE(2024,5,15),DATE(2024,11,15),0,0.05,100,4,2)</f>
        <v>97.5191813052872</v>
      </c>
      <c r="B7885" s="0" t="s">
        <v>7864</v>
      </c>
    </row>
    <row r="7886" customFormat="false" ht="15" hidden="false" customHeight="false" outlineLevel="0" collapsed="false">
      <c r="A7886" s="0" t="n">
        <f aca="false">YIELD(DATE(2024,5,15),DATE(2024,11,15),0.05,95,100,4,2)</f>
        <v>0.154126268238587</v>
      </c>
      <c r="B7886" s="0" t="s">
        <v>7865</v>
      </c>
    </row>
    <row r="7887" customFormat="false" ht="15" hidden="false" customHeight="false" outlineLevel="0" collapsed="false">
      <c r="A7887" s="0" t="n">
        <f aca="false">YIELD(DATE(2024,5,15),DATE(2024,11,15),0.1,101.5,100,4,2)</f>
        <v>0.0684426443932928</v>
      </c>
      <c r="B7887" s="0" t="s">
        <v>7866</v>
      </c>
    </row>
    <row r="7888" customFormat="false" ht="15" hidden="false" customHeight="false" outlineLevel="0" collapsed="false">
      <c r="A7888" s="0" t="n">
        <f aca="false">YIELD(DATE(2024,5,15),DATE(2024,11,15),0.05,100,100,4,2)</f>
        <v>0.0494437720261503</v>
      </c>
      <c r="B7888" s="0" t="s">
        <v>7867</v>
      </c>
    </row>
    <row r="7889" customFormat="false" ht="15" hidden="false" customHeight="false" outlineLevel="0" collapsed="false">
      <c r="A7889" s="0" t="n">
        <f aca="false">DURATION(DATE(2024,5,15),DATE(2024,11,15),0.05,0.08,4,2)</f>
        <v>0.508002113305698</v>
      </c>
      <c r="B7889" s="0" t="s">
        <v>7868</v>
      </c>
    </row>
    <row r="7890" customFormat="false" ht="15" hidden="false" customHeight="false" outlineLevel="0" collapsed="false">
      <c r="A7890" s="0" t="n">
        <f aca="false">DURATION(DATE(2024,5,15),DATE(2024,11,15),0.1,0.03,4,2)</f>
        <v>0.505115158007499</v>
      </c>
      <c r="B7890" s="0" t="s">
        <v>7869</v>
      </c>
    </row>
    <row r="7891" customFormat="false" ht="15" hidden="false" customHeight="false" outlineLevel="0" collapsed="false">
      <c r="A7891" s="0" t="n">
        <f aca="false">DURATION(DATE(2024,5,15),DATE(2024,11,15),0,0.05,4,2)</f>
        <v>0.511111111111111</v>
      </c>
      <c r="B7891" s="0" t="s">
        <v>7870</v>
      </c>
    </row>
    <row r="7892" customFormat="false" ht="15" hidden="false" customHeight="false" outlineLevel="0" collapsed="false">
      <c r="A7892" s="0" t="n">
        <f aca="false">MDURATION(DATE(2024,5,15),DATE(2024,11,15),0.05,0.08,4,2)</f>
        <v>0.498041287554606</v>
      </c>
      <c r="B7892" s="0" t="s">
        <v>7871</v>
      </c>
    </row>
    <row r="7893" customFormat="false" ht="15" hidden="false" customHeight="false" outlineLevel="0" collapsed="false">
      <c r="A7893" s="0" t="n">
        <f aca="false">MDURATION(DATE(2024,5,15),DATE(2024,11,15),0.1,0.03,4,2)</f>
        <v>0.501354995540942</v>
      </c>
      <c r="B7893" s="0" t="s">
        <v>7872</v>
      </c>
    </row>
    <row r="7894" customFormat="false" ht="15" hidden="false" customHeight="false" outlineLevel="0" collapsed="false">
      <c r="A7894" s="0" t="n">
        <f aca="false">PRICE(DATE(2024,5,15),DATE(2024,11,15),0.05,0.08,100,4,3)</f>
        <v>98.5277914778701</v>
      </c>
      <c r="B7894" s="0" t="s">
        <v>7873</v>
      </c>
    </row>
    <row r="7895" customFormat="false" ht="15" hidden="false" customHeight="false" outlineLevel="0" collapsed="false">
      <c r="A7895" s="0" t="n">
        <f aca="false">PRICE(DATE(2024,5,15),DATE(2024,11,15),0.1,0.03,105,4,3)</f>
        <v>108.380194236229</v>
      </c>
      <c r="B7895" s="0" t="s">
        <v>7874</v>
      </c>
    </row>
    <row r="7896" customFormat="false" ht="15" hidden="false" customHeight="false" outlineLevel="0" collapsed="false">
      <c r="A7896" s="0" t="n">
        <f aca="false">PRICE(DATE(2024,5,15),DATE(2024,11,15),0,0.05,100,4,3)</f>
        <v>97.5361465443172</v>
      </c>
      <c r="B7896" s="0" t="s">
        <v>7875</v>
      </c>
    </row>
    <row r="7897" customFormat="false" ht="15" hidden="false" customHeight="false" outlineLevel="0" collapsed="false">
      <c r="A7897" s="0" t="n">
        <f aca="false">YIELD(DATE(2024,5,15),DATE(2024,11,15),0.05,95,100,4,3)</f>
        <v>0.155228508483504</v>
      </c>
      <c r="B7897" s="0" t="s">
        <v>7876</v>
      </c>
    </row>
    <row r="7898" customFormat="false" ht="15" hidden="false" customHeight="false" outlineLevel="0" collapsed="false">
      <c r="A7898" s="0" t="n">
        <f aca="false">YIELD(DATE(2024,5,15),DATE(2024,11,15),0.1,101.5,100,4,3)</f>
        <v>0.068929847584795</v>
      </c>
      <c r="B7898" s="0" t="s">
        <v>7877</v>
      </c>
    </row>
    <row r="7899" customFormat="false" ht="15" hidden="false" customHeight="false" outlineLevel="0" collapsed="false">
      <c r="A7899" s="0" t="n">
        <f aca="false">YIELD(DATE(2024,5,15),DATE(2024,11,15),0.05,100,100,4,3)</f>
        <v>0.0497928194746793</v>
      </c>
      <c r="B7899" s="0" t="s">
        <v>7878</v>
      </c>
    </row>
    <row r="7900" customFormat="false" ht="15" hidden="false" customHeight="false" outlineLevel="0" collapsed="false">
      <c r="A7900" s="0" t="n">
        <f aca="false">DURATION(DATE(2024,5,15),DATE(2024,11,15),0.05,0.08,4,3)</f>
        <v>0.501000591235683</v>
      </c>
      <c r="B7900" s="0" t="s">
        <v>7879</v>
      </c>
    </row>
    <row r="7901" customFormat="false" ht="15" hidden="false" customHeight="false" outlineLevel="0" collapsed="false">
      <c r="A7901" s="0" t="n">
        <f aca="false">DURATION(DATE(2024,5,15),DATE(2024,11,15),0.1,0.03,4,3)</f>
        <v>0.498113635937484</v>
      </c>
      <c r="B7901" s="0" t="s">
        <v>7880</v>
      </c>
    </row>
    <row r="7902" customFormat="false" ht="15" hidden="false" customHeight="false" outlineLevel="0" collapsed="false">
      <c r="A7902" s="0" t="n">
        <f aca="false">DURATION(DATE(2024,5,15),DATE(2024,11,15),0,0.05,4,3)</f>
        <v>0.504109589041096</v>
      </c>
      <c r="B7902" s="0" t="s">
        <v>7881</v>
      </c>
    </row>
    <row r="7903" customFormat="false" ht="15" hidden="false" customHeight="false" outlineLevel="0" collapsed="false">
      <c r="A7903" s="0" t="n">
        <f aca="false">MDURATION(DATE(2024,5,15),DATE(2024,11,15),0.05,0.08,4,3)</f>
        <v>0.491177050231061</v>
      </c>
      <c r="B7903" s="0" t="s">
        <v>7882</v>
      </c>
    </row>
    <row r="7904" customFormat="false" ht="15" hidden="false" customHeight="false" outlineLevel="0" collapsed="false">
      <c r="A7904" s="0" t="n">
        <f aca="false">MDURATION(DATE(2024,5,15),DATE(2024,11,15),0.1,0.03,4,3)</f>
        <v>0.494405593982614</v>
      </c>
      <c r="B7904" s="0" t="s">
        <v>7883</v>
      </c>
    </row>
    <row r="7905" customFormat="false" ht="15" hidden="false" customHeight="false" outlineLevel="0" collapsed="false">
      <c r="A7905" s="0" t="n">
        <f aca="false">PRICE(DATE(2024,5,15),DATE(2024,11,15),0.05,0.08,100,4,4)</f>
        <v>98.5438292964245</v>
      </c>
      <c r="B7905" s="0" t="s">
        <v>7884</v>
      </c>
    </row>
    <row r="7906" customFormat="false" ht="15" hidden="false" customHeight="false" outlineLevel="0" collapsed="false">
      <c r="A7906" s="0" t="n">
        <f aca="false">PRICE(DATE(2024,5,15),DATE(2024,11,15),0.1,0.03,105,4,4)</f>
        <v>108.386850482424</v>
      </c>
      <c r="B7906" s="0" t="s">
        <v>7885</v>
      </c>
    </row>
    <row r="7907" customFormat="false" ht="15" hidden="false" customHeight="false" outlineLevel="0" collapsed="false">
      <c r="A7907" s="0" t="n">
        <f aca="false">PRICE(DATE(2024,5,15),DATE(2024,11,15),0,0.05,100,4,4)</f>
        <v>97.5461057765585</v>
      </c>
      <c r="B7907" s="0" t="s">
        <v>7886</v>
      </c>
    </row>
    <row r="7908" customFormat="false" ht="15" hidden="false" customHeight="false" outlineLevel="0" collapsed="false">
      <c r="A7908" s="0" t="n">
        <f aca="false">YIELD(DATE(2024,5,15),DATE(2024,11,15),0.05,95,100,4,4)</f>
        <v>0.155882849072431</v>
      </c>
      <c r="B7908" s="0" t="s">
        <v>7887</v>
      </c>
    </row>
    <row r="7909" customFormat="false" ht="15" hidden="false" customHeight="false" outlineLevel="0" collapsed="false">
      <c r="A7909" s="0" t="n">
        <f aca="false">YIELD(DATE(2024,5,15),DATE(2024,11,15),0.1,101.5,100,4,4)</f>
        <v>0.0692190589410868</v>
      </c>
      <c r="B7909" s="0" t="s">
        <v>7888</v>
      </c>
    </row>
    <row r="7910" customFormat="false" ht="15" hidden="false" customHeight="false" outlineLevel="0" collapsed="false">
      <c r="A7910" s="0" t="n">
        <f aca="false">YIELD(DATE(2024,5,15),DATE(2024,11,15),0.05,100,100,4,4)</f>
        <v>0.0500000000000065</v>
      </c>
      <c r="B7910" s="0" t="s">
        <v>7889</v>
      </c>
    </row>
    <row r="7911" customFormat="false" ht="15" hidden="false" customHeight="false" outlineLevel="0" collapsed="false">
      <c r="A7911" s="0" t="n">
        <f aca="false">DURATION(DATE(2024,5,15),DATE(2024,11,15),0.05,0.08,4,4)</f>
        <v>0.496891002194587</v>
      </c>
      <c r="B7911" s="0" t="s">
        <v>7890</v>
      </c>
    </row>
    <row r="7912" customFormat="false" ht="15" hidden="false" customHeight="false" outlineLevel="0" collapsed="false">
      <c r="A7912" s="0" t="n">
        <f aca="false">DURATION(DATE(2024,5,15),DATE(2024,11,15),0.1,0.03,4,4)</f>
        <v>0.494004046896388</v>
      </c>
      <c r="B7912" s="0" t="s">
        <v>7891</v>
      </c>
    </row>
    <row r="7913" customFormat="false" ht="15" hidden="false" customHeight="false" outlineLevel="0" collapsed="false">
      <c r="A7913" s="0" t="n">
        <f aca="false">DURATION(DATE(2024,5,15),DATE(2024,11,15),0,0.05,4,4)</f>
        <v>0.5</v>
      </c>
      <c r="B7913" s="0" t="s">
        <v>7892</v>
      </c>
    </row>
    <row r="7914" customFormat="false" ht="15" hidden="false" customHeight="false" outlineLevel="0" collapsed="false">
      <c r="A7914" s="0" t="n">
        <f aca="false">MDURATION(DATE(2024,5,15),DATE(2024,11,15),0.05,0.08,4,4)</f>
        <v>0.487148041367242</v>
      </c>
      <c r="B7914" s="0" t="s">
        <v>7893</v>
      </c>
    </row>
    <row r="7915" customFormat="false" ht="15" hidden="false" customHeight="false" outlineLevel="0" collapsed="false">
      <c r="A7915" s="0" t="n">
        <f aca="false">MDURATION(DATE(2024,5,15),DATE(2024,11,15),0.1,0.03,4,4)</f>
        <v>0.490326597415769</v>
      </c>
      <c r="B7915" s="0" t="s">
        <v>7894</v>
      </c>
    </row>
    <row r="7916" customFormat="false" ht="15" hidden="false" customHeight="false" outlineLevel="0" collapsed="false">
      <c r="A7916" s="0" t="n">
        <f aca="false">PRICE(DATE(2024,6,30),DATE(2025,2,28),0.05,0.08,100,1,0)</f>
        <v>98.0819302228073</v>
      </c>
      <c r="B7916" s="0" t="s">
        <v>7895</v>
      </c>
    </row>
    <row r="7917" customFormat="false" ht="15" hidden="false" customHeight="false" outlineLevel="0" collapsed="false">
      <c r="A7917" s="0" t="n">
        <f aca="false">PRICE(DATE(2024,6,30),DATE(2025,2,28),0.1,0.03,105,1,0)</f>
        <v>109.422674351856</v>
      </c>
      <c r="B7917" s="0" t="s">
        <v>7896</v>
      </c>
    </row>
    <row r="7918" customFormat="false" ht="15" hidden="false" customHeight="false" outlineLevel="0" collapsed="false">
      <c r="A7918" s="0" t="n">
        <f aca="false">PRICE(DATE(2024,6,30),DATE(2025,2,28),0,0.05,100,1,0)</f>
        <v>96.799653029986</v>
      </c>
      <c r="B7918" s="0" t="s">
        <v>7897</v>
      </c>
    </row>
    <row r="7919" customFormat="false" ht="15" hidden="false" customHeight="false" outlineLevel="0" collapsed="false">
      <c r="A7919" s="0" t="n">
        <f aca="false">YIELD(DATE(2024,6,30),DATE(2025,2,28),0.05,95,100,1,0)</f>
        <v>0.132058405899607</v>
      </c>
      <c r="B7919" s="0" t="s">
        <v>7898</v>
      </c>
    </row>
    <row r="7920" customFormat="false" ht="15" hidden="false" customHeight="false" outlineLevel="0" collapsed="false">
      <c r="A7920" s="0" t="n">
        <f aca="false">YIELD(DATE(2024,6,30),DATE(2025,2,28),0.1,101.5,100,1,0)</f>
        <v>0.0748303847254487</v>
      </c>
      <c r="B7920" s="0" t="s">
        <v>7899</v>
      </c>
    </row>
    <row r="7921" customFormat="false" ht="15" hidden="false" customHeight="false" outlineLevel="0" collapsed="false">
      <c r="A7921" s="0" t="n">
        <f aca="false">YIELD(DATE(2024,6,30),DATE(2025,2,28),0.05,100,100,1,0)</f>
        <v>0.0495812691311181</v>
      </c>
      <c r="B7921" s="0" t="s">
        <v>7900</v>
      </c>
    </row>
    <row r="7922" customFormat="false" ht="15" hidden="false" customHeight="false" outlineLevel="0" collapsed="false">
      <c r="A7922" s="0" t="n">
        <f aca="false">DURATION(DATE(2024,6,30),DATE(2025,2,28),0.05,0.08,1,0)</f>
        <v>0.661111111111111</v>
      </c>
      <c r="B7922" s="0" t="s">
        <v>7901</v>
      </c>
    </row>
    <row r="7923" customFormat="false" ht="15" hidden="false" customHeight="false" outlineLevel="0" collapsed="false">
      <c r="A7923" s="0" t="n">
        <f aca="false">DURATION(DATE(2024,6,30),DATE(2025,2,28),0.1,0.03,1,0)</f>
        <v>0.661111111111111</v>
      </c>
      <c r="B7923" s="0" t="s">
        <v>7902</v>
      </c>
    </row>
    <row r="7924" customFormat="false" ht="15" hidden="false" customHeight="false" outlineLevel="0" collapsed="false">
      <c r="A7924" s="0" t="n">
        <f aca="false">DURATION(DATE(2024,6,30),DATE(2025,2,28),0,0.05,1,0)</f>
        <v>0.661111111111111</v>
      </c>
      <c r="B7924" s="0" t="s">
        <v>7903</v>
      </c>
    </row>
    <row r="7925" customFormat="false" ht="15" hidden="false" customHeight="false" outlineLevel="0" collapsed="false">
      <c r="A7925" s="0" t="n">
        <f aca="false">MDURATION(DATE(2024,6,30),DATE(2025,2,28),0.05,0.08,1,0)</f>
        <v>0.612139917695473</v>
      </c>
      <c r="B7925" s="0" t="s">
        <v>7904</v>
      </c>
    </row>
    <row r="7926" customFormat="false" ht="15" hidden="false" customHeight="false" outlineLevel="0" collapsed="false">
      <c r="A7926" s="0" t="n">
        <f aca="false">MDURATION(DATE(2024,6,30),DATE(2025,2,28),0.1,0.03,1,0)</f>
        <v>0.64185544768069</v>
      </c>
      <c r="B7926" s="0" t="s">
        <v>7905</v>
      </c>
    </row>
    <row r="7927" customFormat="false" ht="15" hidden="false" customHeight="false" outlineLevel="0" collapsed="false">
      <c r="A7927" s="0" t="n">
        <f aca="false">PRICE(DATE(2024,6,30),DATE(2025,2,28),0.05,0.08,100,1,1)</f>
        <v>98.0843749950919</v>
      </c>
      <c r="B7927" s="0" t="s">
        <v>7906</v>
      </c>
    </row>
    <row r="7928" customFormat="false" ht="15" hidden="false" customHeight="false" outlineLevel="0" collapsed="false">
      <c r="A7928" s="0" t="n">
        <f aca="false">PRICE(DATE(2024,6,30),DATE(2025,2,28),0.1,0.03,105,1,1)</f>
        <v>109.41658574685</v>
      </c>
      <c r="B7928" s="0" t="s">
        <v>7907</v>
      </c>
    </row>
    <row r="7929" customFormat="false" ht="15" hidden="false" customHeight="false" outlineLevel="0" collapsed="false">
      <c r="A7929" s="0" t="n">
        <f aca="false">PRICE(DATE(2024,6,30),DATE(2025,2,28),0,0.05,100,1,1)</f>
        <v>96.8039662502449</v>
      </c>
      <c r="B7929" s="0" t="s">
        <v>7908</v>
      </c>
    </row>
    <row r="7930" customFormat="false" ht="15" hidden="false" customHeight="false" outlineLevel="0" collapsed="false">
      <c r="A7930" s="0" t="n">
        <f aca="false">YIELD(DATE(2024,6,30),DATE(2025,2,28),0.05,95,100,1,1)</f>
        <v>0.132170708336245</v>
      </c>
      <c r="B7930" s="0" t="s">
        <v>7909</v>
      </c>
    </row>
    <row r="7931" customFormat="false" ht="15" hidden="false" customHeight="false" outlineLevel="0" collapsed="false">
      <c r="A7931" s="0" t="n">
        <f aca="false">YIELD(DATE(2024,6,30),DATE(2025,2,28),0.1,101.5,100,1,1)</f>
        <v>0.0747961462686775</v>
      </c>
      <c r="B7931" s="0" t="s">
        <v>7910</v>
      </c>
    </row>
    <row r="7932" customFormat="false" ht="15" hidden="false" customHeight="false" outlineLevel="0" collapsed="false">
      <c r="A7932" s="0" t="n">
        <f aca="false">YIELD(DATE(2024,6,30),DATE(2025,2,28),0.05,100,100,1,1)</f>
        <v>0.0495801347055039</v>
      </c>
      <c r="B7932" s="0" t="s">
        <v>7911</v>
      </c>
    </row>
    <row r="7933" customFormat="false" ht="15" hidden="false" customHeight="false" outlineLevel="0" collapsed="false">
      <c r="A7933" s="0" t="n">
        <f aca="false">DURATION(DATE(2024,6,30),DATE(2025,2,28),0.05,0.08,1,1)</f>
        <v>0.665753424657534</v>
      </c>
      <c r="B7933" s="0" t="s">
        <v>7912</v>
      </c>
    </row>
    <row r="7934" customFormat="false" ht="15" hidden="false" customHeight="false" outlineLevel="0" collapsed="false">
      <c r="A7934" s="0" t="n">
        <f aca="false">DURATION(DATE(2024,6,30),DATE(2025,2,28),0.1,0.03,1,1)</f>
        <v>0.665753424657534</v>
      </c>
      <c r="B7934" s="0" t="s">
        <v>7913</v>
      </c>
    </row>
    <row r="7935" customFormat="false" ht="15" hidden="false" customHeight="false" outlineLevel="0" collapsed="false">
      <c r="A7935" s="0" t="n">
        <f aca="false">DURATION(DATE(2024,6,30),DATE(2025,2,28),0,0.05,1,1)</f>
        <v>0.665753424657534</v>
      </c>
      <c r="B7935" s="0" t="s">
        <v>7914</v>
      </c>
    </row>
    <row r="7936" customFormat="false" ht="15" hidden="false" customHeight="false" outlineLevel="0" collapsed="false">
      <c r="A7936" s="0" t="n">
        <f aca="false">MDURATION(DATE(2024,6,30),DATE(2025,2,28),0.05,0.08,1,1)</f>
        <v>0.616438356164384</v>
      </c>
      <c r="B7936" s="0" t="s">
        <v>7915</v>
      </c>
    </row>
    <row r="7937" customFormat="false" ht="15" hidden="false" customHeight="false" outlineLevel="0" collapsed="false">
      <c r="A7937" s="0" t="n">
        <f aca="false">MDURATION(DATE(2024,6,30),DATE(2025,2,28),0.1,0.03,1,1)</f>
        <v>0.646362548211198</v>
      </c>
      <c r="B7937" s="0" t="s">
        <v>7916</v>
      </c>
    </row>
    <row r="7938" customFormat="false" ht="15" hidden="false" customHeight="false" outlineLevel="0" collapsed="false">
      <c r="A7938" s="0" t="n">
        <f aca="false">PRICE(DATE(2024,6,30),DATE(2025,2,28),0.05,0.08,100,1,2)</f>
        <v>97.9901999893492</v>
      </c>
      <c r="B7938" s="0" t="s">
        <v>7917</v>
      </c>
    </row>
    <row r="7939" customFormat="false" ht="15" hidden="false" customHeight="false" outlineLevel="0" collapsed="false">
      <c r="A7939" s="0" t="n">
        <f aca="false">PRICE(DATE(2024,6,30),DATE(2025,2,28),0.1,0.03,105,1,2)</f>
        <v>109.339347778994</v>
      </c>
      <c r="B7939" s="0" t="s">
        <v>7918</v>
      </c>
    </row>
    <row r="7940" customFormat="false" ht="15" hidden="false" customHeight="false" outlineLevel="0" collapsed="false">
      <c r="A7940" s="0" t="n">
        <f aca="false">PRICE(DATE(2024,6,30),DATE(2025,2,28),0,0.05,100,1,2)</f>
        <v>96.7603037719073</v>
      </c>
      <c r="B7940" s="0" t="s">
        <v>7919</v>
      </c>
    </row>
    <row r="7941" customFormat="false" ht="15" hidden="false" customHeight="false" outlineLevel="0" collapsed="false">
      <c r="A7941" s="0" t="n">
        <f aca="false">YIELD(DATE(2024,6,30),DATE(2025,2,28),0.05,95,100,1,2)</f>
        <v>0.129845156604193</v>
      </c>
      <c r="B7941" s="0" t="s">
        <v>7920</v>
      </c>
    </row>
    <row r="7942" customFormat="false" ht="15" hidden="false" customHeight="false" outlineLevel="0" collapsed="false">
      <c r="A7942" s="0" t="n">
        <f aca="false">YIELD(DATE(2024,6,30),DATE(2025,2,28),0.1,101.5,100,1,2)</f>
        <v>0.0730307025782756</v>
      </c>
      <c r="B7942" s="0" t="s">
        <v>7921</v>
      </c>
    </row>
    <row r="7943" customFormat="false" ht="15" hidden="false" customHeight="false" outlineLevel="0" collapsed="false">
      <c r="A7943" s="0" t="n">
        <f aca="false">YIELD(DATE(2024,6,30),DATE(2025,2,28),0.05,100,100,1,2)</f>
        <v>0.0485299639571028</v>
      </c>
      <c r="B7943" s="0" t="s">
        <v>7922</v>
      </c>
    </row>
    <row r="7944" customFormat="false" ht="15" hidden="false" customHeight="false" outlineLevel="0" collapsed="false">
      <c r="A7944" s="0" t="n">
        <f aca="false">DURATION(DATE(2024,6,30),DATE(2025,2,28),0.05,0.08,1,2)</f>
        <v>0.675</v>
      </c>
      <c r="B7944" s="0" t="s">
        <v>7923</v>
      </c>
    </row>
    <row r="7945" customFormat="false" ht="15" hidden="false" customHeight="false" outlineLevel="0" collapsed="false">
      <c r="A7945" s="0" t="n">
        <f aca="false">DURATION(DATE(2024,6,30),DATE(2025,2,28),0.1,0.03,1,2)</f>
        <v>0.675</v>
      </c>
      <c r="B7945" s="0" t="s">
        <v>7924</v>
      </c>
    </row>
    <row r="7946" customFormat="false" ht="15" hidden="false" customHeight="false" outlineLevel="0" collapsed="false">
      <c r="A7946" s="0" t="n">
        <f aca="false">DURATION(DATE(2024,6,30),DATE(2025,2,28),0,0.05,1,2)</f>
        <v>0.675</v>
      </c>
      <c r="B7946" s="0" t="s">
        <v>7925</v>
      </c>
    </row>
    <row r="7947" customFormat="false" ht="15" hidden="false" customHeight="false" outlineLevel="0" collapsed="false">
      <c r="A7947" s="0" t="n">
        <f aca="false">MDURATION(DATE(2024,6,30),DATE(2025,2,28),0.05,0.08,1,2)</f>
        <v>0.625</v>
      </c>
      <c r="B7947" s="0" t="s">
        <v>7926</v>
      </c>
    </row>
    <row r="7948" customFormat="false" ht="15" hidden="false" customHeight="false" outlineLevel="0" collapsed="false">
      <c r="A7948" s="0" t="n">
        <f aca="false">MDURATION(DATE(2024,6,30),DATE(2025,2,28),0.1,0.03,1,2)</f>
        <v>0.655339805825243</v>
      </c>
      <c r="B7948" s="0" t="s">
        <v>7927</v>
      </c>
    </row>
    <row r="7949" customFormat="false" ht="15" hidden="false" customHeight="false" outlineLevel="0" collapsed="false">
      <c r="A7949" s="0" t="n">
        <f aca="false">PRICE(DATE(2024,6,30),DATE(2025,2,28),0.05,0.08,100,1,3)</f>
        <v>98.0843749950919</v>
      </c>
      <c r="B7949" s="0" t="s">
        <v>7928</v>
      </c>
    </row>
    <row r="7950" customFormat="false" ht="15" hidden="false" customHeight="false" outlineLevel="0" collapsed="false">
      <c r="A7950" s="0" t="n">
        <f aca="false">PRICE(DATE(2024,6,30),DATE(2025,2,28),0.1,0.03,105,1,3)</f>
        <v>109.41658574685</v>
      </c>
      <c r="B7950" s="0" t="s">
        <v>7929</v>
      </c>
    </row>
    <row r="7951" customFormat="false" ht="15" hidden="false" customHeight="false" outlineLevel="0" collapsed="false">
      <c r="A7951" s="0" t="n">
        <f aca="false">PRICE(DATE(2024,6,30),DATE(2025,2,28),0,0.05,100,1,3)</f>
        <v>96.8039662502449</v>
      </c>
      <c r="B7951" s="0" t="s">
        <v>7930</v>
      </c>
    </row>
    <row r="7952" customFormat="false" ht="15" hidden="false" customHeight="false" outlineLevel="0" collapsed="false">
      <c r="A7952" s="0" t="n">
        <f aca="false">YIELD(DATE(2024,6,30),DATE(2025,2,28),0.05,95,100,1,3)</f>
        <v>0.132170708336245</v>
      </c>
      <c r="B7952" s="0" t="s">
        <v>7931</v>
      </c>
    </row>
    <row r="7953" customFormat="false" ht="15" hidden="false" customHeight="false" outlineLevel="0" collapsed="false">
      <c r="A7953" s="0" t="n">
        <f aca="false">YIELD(DATE(2024,6,30),DATE(2025,2,28),0.1,101.5,100,1,3)</f>
        <v>0.0747961462686775</v>
      </c>
      <c r="B7953" s="0" t="s">
        <v>7932</v>
      </c>
    </row>
    <row r="7954" customFormat="false" ht="15" hidden="false" customHeight="false" outlineLevel="0" collapsed="false">
      <c r="A7954" s="0" t="n">
        <f aca="false">YIELD(DATE(2024,6,30),DATE(2025,2,28),0.05,100,100,1,3)</f>
        <v>0.0495801347055039</v>
      </c>
      <c r="B7954" s="0" t="s">
        <v>7933</v>
      </c>
    </row>
    <row r="7955" customFormat="false" ht="15" hidden="false" customHeight="false" outlineLevel="0" collapsed="false">
      <c r="A7955" s="0" t="n">
        <f aca="false">DURATION(DATE(2024,6,30),DATE(2025,2,28),0.05,0.08,1,3)</f>
        <v>0.665753424657534</v>
      </c>
      <c r="B7955" s="0" t="s">
        <v>7934</v>
      </c>
    </row>
    <row r="7956" customFormat="false" ht="15" hidden="false" customHeight="false" outlineLevel="0" collapsed="false">
      <c r="A7956" s="0" t="n">
        <f aca="false">DURATION(DATE(2024,6,30),DATE(2025,2,28),0.1,0.03,1,3)</f>
        <v>0.665753424657534</v>
      </c>
      <c r="B7956" s="0" t="s">
        <v>7935</v>
      </c>
    </row>
    <row r="7957" customFormat="false" ht="15" hidden="false" customHeight="false" outlineLevel="0" collapsed="false">
      <c r="A7957" s="0" t="n">
        <f aca="false">DURATION(DATE(2024,6,30),DATE(2025,2,28),0,0.05,1,3)</f>
        <v>0.665753424657534</v>
      </c>
      <c r="B7957" s="0" t="s">
        <v>7936</v>
      </c>
    </row>
    <row r="7958" customFormat="false" ht="15" hidden="false" customHeight="false" outlineLevel="0" collapsed="false">
      <c r="A7958" s="0" t="n">
        <f aca="false">MDURATION(DATE(2024,6,30),DATE(2025,2,28),0.05,0.08,1,3)</f>
        <v>0.616438356164384</v>
      </c>
      <c r="B7958" s="0" t="s">
        <v>7937</v>
      </c>
    </row>
    <row r="7959" customFormat="false" ht="15" hidden="false" customHeight="false" outlineLevel="0" collapsed="false">
      <c r="A7959" s="0" t="n">
        <f aca="false">MDURATION(DATE(2024,6,30),DATE(2025,2,28),0.1,0.03,1,3)</f>
        <v>0.646362548211198</v>
      </c>
      <c r="B7959" s="0" t="s">
        <v>7938</v>
      </c>
    </row>
    <row r="7960" customFormat="false" ht="15" hidden="false" customHeight="false" outlineLevel="0" collapsed="false">
      <c r="A7960" s="0" t="n">
        <f aca="false">PRICE(DATE(2024,6,30),DATE(2025,2,28),0.05,0.08,100,1,4)</f>
        <v>98.0893679353017</v>
      </c>
      <c r="B7960" s="0" t="s">
        <v>7939</v>
      </c>
    </row>
    <row r="7961" customFormat="false" ht="15" hidden="false" customHeight="false" outlineLevel="0" collapsed="false">
      <c r="A7961" s="0" t="n">
        <f aca="false">PRICE(DATE(2024,6,30),DATE(2025,2,28),0.1,0.03,105,1,4)</f>
        <v>109.404155100096</v>
      </c>
      <c r="B7961" s="0" t="s">
        <v>7940</v>
      </c>
    </row>
    <row r="7962" customFormat="false" ht="15" hidden="false" customHeight="false" outlineLevel="0" collapsed="false">
      <c r="A7962" s="0" t="n">
        <f aca="false">PRICE(DATE(2024,6,30),DATE(2025,2,28),0,0.05,100,1,4)</f>
        <v>96.8127730050375</v>
      </c>
      <c r="B7962" s="0" t="s">
        <v>7941</v>
      </c>
    </row>
    <row r="7963" customFormat="false" ht="15" hidden="false" customHeight="false" outlineLevel="0" collapsed="false">
      <c r="A7963" s="0" t="n">
        <f aca="false">YIELD(DATE(2024,6,30),DATE(2025,2,28),0.05,95,100,1,4)</f>
        <v>0.132400998477219</v>
      </c>
      <c r="B7963" s="0" t="s">
        <v>7942</v>
      </c>
    </row>
    <row r="7964" customFormat="false" ht="15" hidden="false" customHeight="false" outlineLevel="0" collapsed="false">
      <c r="A7964" s="0" t="n">
        <f aca="false">YIELD(DATE(2024,6,30),DATE(2025,2,28),0.1,101.5,100,1,4)</f>
        <v>0.0747259918160657</v>
      </c>
      <c r="B7964" s="0" t="s">
        <v>7943</v>
      </c>
    </row>
    <row r="7965" customFormat="false" ht="15" hidden="false" customHeight="false" outlineLevel="0" collapsed="false">
      <c r="A7965" s="0" t="n">
        <f aca="false">YIELD(DATE(2024,6,30),DATE(2025,2,28),0.05,100,100,1,4)</f>
        <v>0.0495778188006988</v>
      </c>
      <c r="B7965" s="0" t="s">
        <v>7944</v>
      </c>
    </row>
    <row r="7966" customFormat="false" ht="15" hidden="false" customHeight="false" outlineLevel="0" collapsed="false">
      <c r="A7966" s="0" t="n">
        <f aca="false">DURATION(DATE(2024,6,30),DATE(2025,2,28),0.05,0.08,1,4)</f>
        <v>0.661111111111111</v>
      </c>
      <c r="B7966" s="0" t="s">
        <v>7945</v>
      </c>
    </row>
    <row r="7967" customFormat="false" ht="15" hidden="false" customHeight="false" outlineLevel="0" collapsed="false">
      <c r="A7967" s="0" t="n">
        <f aca="false">DURATION(DATE(2024,6,30),DATE(2025,2,28),0.1,0.03,1,4)</f>
        <v>0.661111111111111</v>
      </c>
      <c r="B7967" s="0" t="s">
        <v>7946</v>
      </c>
    </row>
    <row r="7968" customFormat="false" ht="15" hidden="false" customHeight="false" outlineLevel="0" collapsed="false">
      <c r="A7968" s="0" t="n">
        <f aca="false">DURATION(DATE(2024,6,30),DATE(2025,2,28),0,0.05,1,4)</f>
        <v>0.661111111111111</v>
      </c>
      <c r="B7968" s="0" t="s">
        <v>7947</v>
      </c>
    </row>
    <row r="7969" customFormat="false" ht="15" hidden="false" customHeight="false" outlineLevel="0" collapsed="false">
      <c r="A7969" s="0" t="n">
        <f aca="false">MDURATION(DATE(2024,6,30),DATE(2025,2,28),0.05,0.08,1,4)</f>
        <v>0.612139917695473</v>
      </c>
      <c r="B7969" s="0" t="s">
        <v>7948</v>
      </c>
    </row>
    <row r="7970" customFormat="false" ht="15" hidden="false" customHeight="false" outlineLevel="0" collapsed="false">
      <c r="A7970" s="0" t="n">
        <f aca="false">MDURATION(DATE(2024,6,30),DATE(2025,2,28),0.1,0.03,1,4)</f>
        <v>0.64185544768069</v>
      </c>
      <c r="B7970" s="0" t="s">
        <v>7949</v>
      </c>
    </row>
    <row r="7971" customFormat="false" ht="15" hidden="false" customHeight="false" outlineLevel="0" collapsed="false">
      <c r="A7971" s="0" t="n">
        <f aca="false">PRICE(DATE(2024,6,30),DATE(2025,2,28),0.05,0.08,100,2,0)</f>
        <v>98.0784395097635</v>
      </c>
      <c r="B7971" s="0" t="s">
        <v>7950</v>
      </c>
    </row>
    <row r="7972" customFormat="false" ht="15" hidden="false" customHeight="false" outlineLevel="0" collapsed="false">
      <c r="A7972" s="0" t="n">
        <f aca="false">PRICE(DATE(2024,6,30),DATE(2025,2,28),0.1,0.03,105,2,0)</f>
        <v>109.479782382175</v>
      </c>
      <c r="B7972" s="0" t="s">
        <v>7951</v>
      </c>
    </row>
    <row r="7973" customFormat="false" ht="15" hidden="false" customHeight="false" outlineLevel="0" collapsed="false">
      <c r="A7973" s="0" t="n">
        <f aca="false">PRICE(DATE(2024,6,30),DATE(2025,2,28),0,0.05,100,2,0)</f>
        <v>96.7612595130335</v>
      </c>
      <c r="B7973" s="0" t="s">
        <v>7952</v>
      </c>
    </row>
    <row r="7974" customFormat="false" ht="15" hidden="false" customHeight="false" outlineLevel="0" collapsed="false">
      <c r="A7974" s="0" t="n">
        <f aca="false">YIELD(DATE(2024,6,30),DATE(2025,2,28),0.05,95,100,2,0)</f>
        <v>0.130442553503648</v>
      </c>
      <c r="B7974" s="0" t="s">
        <v>7953</v>
      </c>
    </row>
    <row r="7975" customFormat="false" ht="15" hidden="false" customHeight="false" outlineLevel="0" collapsed="false">
      <c r="A7975" s="0" t="n">
        <f aca="false">YIELD(DATE(2024,6,30),DATE(2025,2,28),0.1,101.5,100,2,0)</f>
        <v>0.0761721389855009</v>
      </c>
      <c r="B7975" s="0" t="s">
        <v>7954</v>
      </c>
    </row>
    <row r="7976" customFormat="false" ht="15" hidden="false" customHeight="false" outlineLevel="0" collapsed="false">
      <c r="A7976" s="0" t="n">
        <f aca="false">YIELD(DATE(2024,6,30),DATE(2025,2,28),0.05,100,100,2,0)</f>
        <v>0.049894193397893</v>
      </c>
      <c r="B7976" s="0" t="s">
        <v>7955</v>
      </c>
    </row>
    <row r="7977" customFormat="false" ht="15" hidden="false" customHeight="false" outlineLevel="0" collapsed="false">
      <c r="A7977" s="0" t="n">
        <f aca="false">DURATION(DATE(2024,6,30),DATE(2025,2,28),0.05,0.08,2,0)</f>
        <v>0.648741938894175</v>
      </c>
      <c r="B7977" s="0" t="s">
        <v>7956</v>
      </c>
    </row>
    <row r="7978" customFormat="false" ht="15" hidden="false" customHeight="false" outlineLevel="0" collapsed="false">
      <c r="A7978" s="0" t="n">
        <f aca="false">DURATION(DATE(2024,6,30),DATE(2025,2,28),0.1,0.03,2,0)</f>
        <v>0.638058646882176</v>
      </c>
      <c r="B7978" s="0" t="s">
        <v>7957</v>
      </c>
    </row>
    <row r="7979" customFormat="false" ht="15" hidden="false" customHeight="false" outlineLevel="0" collapsed="false">
      <c r="A7979" s="0" t="n">
        <f aca="false">DURATION(DATE(2024,6,30),DATE(2025,2,28),0,0.05,2,0)</f>
        <v>0.661111111111111</v>
      </c>
      <c r="B7979" s="0" t="s">
        <v>7958</v>
      </c>
    </row>
    <row r="7980" customFormat="false" ht="15" hidden="false" customHeight="false" outlineLevel="0" collapsed="false">
      <c r="A7980" s="0" t="n">
        <f aca="false">MDURATION(DATE(2024,6,30),DATE(2025,2,28),0.05,0.08,2,0)</f>
        <v>0.623790325859784</v>
      </c>
      <c r="B7980" s="0" t="s">
        <v>7959</v>
      </c>
    </row>
    <row r="7981" customFormat="false" ht="15" hidden="false" customHeight="false" outlineLevel="0" collapsed="false">
      <c r="A7981" s="0" t="n">
        <f aca="false">MDURATION(DATE(2024,6,30),DATE(2025,2,28),0.1,0.03,2,0)</f>
        <v>0.628629208750913</v>
      </c>
      <c r="B7981" s="0" t="s">
        <v>7960</v>
      </c>
    </row>
    <row r="7982" customFormat="false" ht="15" hidden="false" customHeight="false" outlineLevel="0" collapsed="false">
      <c r="A7982" s="0" t="n">
        <f aca="false">PRICE(DATE(2024,6,30),DATE(2025,2,28),0.05,0.08,100,2,1)</f>
        <v>98.0733243059585</v>
      </c>
      <c r="B7982" s="0" t="s">
        <v>7961</v>
      </c>
    </row>
    <row r="7983" customFormat="false" ht="15" hidden="false" customHeight="false" outlineLevel="0" collapsed="false">
      <c r="A7983" s="0" t="n">
        <f aca="false">PRICE(DATE(2024,6,30),DATE(2025,2,28),0.1,0.03,105,2,1)</f>
        <v>109.491812869632</v>
      </c>
      <c r="B7983" s="0" t="s">
        <v>7962</v>
      </c>
    </row>
    <row r="7984" customFormat="false" ht="15" hidden="false" customHeight="false" outlineLevel="0" collapsed="false">
      <c r="A7984" s="0" t="n">
        <f aca="false">PRICE(DATE(2024,6,30),DATE(2025,2,28),0,0.05,100,2,1)</f>
        <v>96.7526030586202</v>
      </c>
      <c r="B7984" s="0" t="s">
        <v>7963</v>
      </c>
    </row>
    <row r="7985" customFormat="false" ht="15" hidden="false" customHeight="false" outlineLevel="0" collapsed="false">
      <c r="A7985" s="0" t="n">
        <f aca="false">YIELD(DATE(2024,6,30),DATE(2025,2,28),0.05,95,100,2,1)</f>
        <v>0.130222940231379</v>
      </c>
      <c r="B7985" s="0" t="s">
        <v>7964</v>
      </c>
    </row>
    <row r="7986" customFormat="false" ht="15" hidden="false" customHeight="false" outlineLevel="0" collapsed="false">
      <c r="A7986" s="0" t="n">
        <f aca="false">YIELD(DATE(2024,6,30),DATE(2025,2,28),0.1,101.5,100,2,1)</f>
        <v>0.0762323267016269</v>
      </c>
      <c r="B7986" s="0" t="s">
        <v>7965</v>
      </c>
    </row>
    <row r="7987" customFormat="false" ht="15" hidden="false" customHeight="false" outlineLevel="0" collapsed="false">
      <c r="A7987" s="0" t="n">
        <f aca="false">YIELD(DATE(2024,6,30),DATE(2025,2,28),0.05,100,100,2,1)</f>
        <v>0.0498939119510029</v>
      </c>
      <c r="B7987" s="0" t="s">
        <v>7966</v>
      </c>
    </row>
    <row r="7988" customFormat="false" ht="15" hidden="false" customHeight="false" outlineLevel="0" collapsed="false">
      <c r="A7988" s="0" t="n">
        <f aca="false">DURATION(DATE(2024,6,30),DATE(2025,2,28),0.05,0.08,2,1)</f>
        <v>0.653384252440598</v>
      </c>
      <c r="B7988" s="0" t="s">
        <v>7967</v>
      </c>
    </row>
    <row r="7989" customFormat="false" ht="15" hidden="false" customHeight="false" outlineLevel="0" collapsed="false">
      <c r="A7989" s="0" t="n">
        <f aca="false">DURATION(DATE(2024,6,30),DATE(2025,2,28),0.1,0.03,2,1)</f>
        <v>0.6427009604286</v>
      </c>
      <c r="B7989" s="0" t="s">
        <v>7968</v>
      </c>
    </row>
    <row r="7990" customFormat="false" ht="15" hidden="false" customHeight="false" outlineLevel="0" collapsed="false">
      <c r="A7990" s="0" t="n">
        <f aca="false">DURATION(DATE(2024,6,30),DATE(2025,2,28),0,0.05,2,1)</f>
        <v>0.665753424657534</v>
      </c>
      <c r="B7990" s="0" t="s">
        <v>7969</v>
      </c>
    </row>
    <row r="7991" customFormat="false" ht="15" hidden="false" customHeight="false" outlineLevel="0" collapsed="false">
      <c r="A7991" s="0" t="n">
        <f aca="false">MDURATION(DATE(2024,6,30),DATE(2025,2,28),0.05,0.08,2,1)</f>
        <v>0.62825408888519</v>
      </c>
      <c r="B7991" s="0" t="s">
        <v>7970</v>
      </c>
    </row>
    <row r="7992" customFormat="false" ht="15" hidden="false" customHeight="false" outlineLevel="0" collapsed="false">
      <c r="A7992" s="0" t="n">
        <f aca="false">MDURATION(DATE(2024,6,30),DATE(2025,2,28),0.1,0.03,2,1)</f>
        <v>0.633202916678423</v>
      </c>
      <c r="B7992" s="0" t="s">
        <v>7971</v>
      </c>
    </row>
    <row r="7993" customFormat="false" ht="15" hidden="false" customHeight="false" outlineLevel="0" collapsed="false">
      <c r="A7993" s="0" t="n">
        <f aca="false">PRICE(DATE(2024,6,30),DATE(2025,2,28),0.05,0.08,100,2,2)</f>
        <v>98.0072037107791</v>
      </c>
      <c r="B7993" s="0" t="s">
        <v>7972</v>
      </c>
    </row>
    <row r="7994" customFormat="false" ht="15" hidden="false" customHeight="false" outlineLevel="0" collapsed="false">
      <c r="A7994" s="0" t="n">
        <f aca="false">PRICE(DATE(2024,6,30),DATE(2025,2,28),0.1,0.03,105,2,2)</f>
        <v>109.405565806153</v>
      </c>
      <c r="B7994" s="0" t="s">
        <v>7973</v>
      </c>
    </row>
    <row r="7995" customFormat="false" ht="15" hidden="false" customHeight="false" outlineLevel="0" collapsed="false">
      <c r="A7995" s="0" t="n">
        <f aca="false">PRICE(DATE(2024,6,30),DATE(2025,2,28),0,0.05,100,2,2)</f>
        <v>96.7347155068169</v>
      </c>
      <c r="B7995" s="0" t="s">
        <v>7974</v>
      </c>
    </row>
    <row r="7996" customFormat="false" ht="15" hidden="false" customHeight="false" outlineLevel="0" collapsed="false">
      <c r="A7996" s="0" t="n">
        <f aca="false">YIELD(DATE(2024,6,30),DATE(2025,2,28),0.05,95,100,2,2)</f>
        <v>0.128845328034333</v>
      </c>
      <c r="B7996" s="0" t="s">
        <v>7975</v>
      </c>
    </row>
    <row r="7997" customFormat="false" ht="15" hidden="false" customHeight="false" outlineLevel="0" collapsed="false">
      <c r="A7997" s="0" t="n">
        <f aca="false">YIELD(DATE(2024,6,30),DATE(2025,2,28),0.1,101.5,100,2,2)</f>
        <v>0.0746602048705087</v>
      </c>
      <c r="B7997" s="0" t="s">
        <v>7976</v>
      </c>
    </row>
    <row r="7998" customFormat="false" ht="15" hidden="false" customHeight="false" outlineLevel="0" collapsed="false">
      <c r="A7998" s="0" t="n">
        <f aca="false">YIELD(DATE(2024,6,30),DATE(2025,2,28),0.05,100,100,2,2)</f>
        <v>0.0490449823569612</v>
      </c>
      <c r="B7998" s="0" t="s">
        <v>7977</v>
      </c>
    </row>
    <row r="7999" customFormat="false" ht="15" hidden="false" customHeight="false" outlineLevel="0" collapsed="false">
      <c r="A7999" s="0" t="n">
        <f aca="false">DURATION(DATE(2024,6,30),DATE(2025,2,28),0.05,0.08,2,2)</f>
        <v>0.662630827783064</v>
      </c>
      <c r="B7999" s="0" t="s">
        <v>7978</v>
      </c>
    </row>
    <row r="8000" customFormat="false" ht="15" hidden="false" customHeight="false" outlineLevel="0" collapsed="false">
      <c r="A8000" s="0" t="n">
        <f aca="false">DURATION(DATE(2024,6,30),DATE(2025,2,28),0.1,0.03,2,2)</f>
        <v>0.651947535771065</v>
      </c>
      <c r="B8000" s="0" t="s">
        <v>7979</v>
      </c>
    </row>
    <row r="8001" customFormat="false" ht="15" hidden="false" customHeight="false" outlineLevel="0" collapsed="false">
      <c r="A8001" s="0" t="n">
        <f aca="false">DURATION(DATE(2024,6,30),DATE(2025,2,28),0,0.05,2,2)</f>
        <v>0.675</v>
      </c>
      <c r="B8001" s="0" t="s">
        <v>7980</v>
      </c>
    </row>
    <row r="8002" customFormat="false" ht="15" hidden="false" customHeight="false" outlineLevel="0" collapsed="false">
      <c r="A8002" s="0" t="n">
        <f aca="false">MDURATION(DATE(2024,6,30),DATE(2025,2,28),0.05,0.08,2,2)</f>
        <v>0.637145026714484</v>
      </c>
      <c r="B8002" s="0" t="s">
        <v>7981</v>
      </c>
    </row>
    <row r="8003" customFormat="false" ht="15" hidden="false" customHeight="false" outlineLevel="0" collapsed="false">
      <c r="A8003" s="0" t="n">
        <f aca="false">MDURATION(DATE(2024,6,30),DATE(2025,2,28),0.1,0.03,2,2)</f>
        <v>0.642312843124202</v>
      </c>
      <c r="B8003" s="0" t="s">
        <v>7982</v>
      </c>
    </row>
    <row r="8004" customFormat="false" ht="15" hidden="false" customHeight="false" outlineLevel="0" collapsed="false">
      <c r="A8004" s="0" t="n">
        <f aca="false">PRICE(DATE(2024,6,30),DATE(2025,2,28),0.05,0.08,100,2,3)</f>
        <v>98.0488677411191</v>
      </c>
      <c r="B8004" s="0" t="s">
        <v>7983</v>
      </c>
    </row>
    <row r="8005" customFormat="false" ht="15" hidden="false" customHeight="false" outlineLevel="0" collapsed="false">
      <c r="A8005" s="0" t="n">
        <f aca="false">PRICE(DATE(2024,6,30),DATE(2025,2,28),0.1,0.03,105,2,3)</f>
        <v>109.459913107434</v>
      </c>
      <c r="B8005" s="0" t="s">
        <v>7984</v>
      </c>
    </row>
    <row r="8006" customFormat="false" ht="15" hidden="false" customHeight="false" outlineLevel="0" collapsed="false">
      <c r="A8006" s="0" t="n">
        <f aca="false">PRICE(DATE(2024,6,30),DATE(2025,2,28),0,0.05,100,2,3)</f>
        <v>96.7459867293875</v>
      </c>
      <c r="B8006" s="0" t="s">
        <v>7985</v>
      </c>
    </row>
    <row r="8007" customFormat="false" ht="15" hidden="false" customHeight="false" outlineLevel="0" collapsed="false">
      <c r="A8007" s="0" t="n">
        <f aca="false">YIELD(DATE(2024,6,30),DATE(2025,2,28),0.05,95,100,2,3)</f>
        <v>0.129711449981294</v>
      </c>
      <c r="B8007" s="0" t="s">
        <v>7986</v>
      </c>
    </row>
    <row r="8008" customFormat="false" ht="15" hidden="false" customHeight="false" outlineLevel="0" collapsed="false">
      <c r="A8008" s="0" t="n">
        <f aca="false">YIELD(DATE(2024,6,30),DATE(2025,2,28),0.1,101.5,100,2,3)</f>
        <v>0.075648498293155</v>
      </c>
      <c r="B8008" s="0" t="s">
        <v>7987</v>
      </c>
    </row>
    <row r="8009" customFormat="false" ht="15" hidden="false" customHeight="false" outlineLevel="0" collapsed="false">
      <c r="A8009" s="0" t="n">
        <f aca="false">YIELD(DATE(2024,6,30),DATE(2025,2,28),0.05,100,100,2,3)</f>
        <v>0.0495787323364229</v>
      </c>
      <c r="B8009" s="0" t="s">
        <v>7988</v>
      </c>
    </row>
    <row r="8010" customFormat="false" ht="15" hidden="false" customHeight="false" outlineLevel="0" collapsed="false">
      <c r="A8010" s="0" t="n">
        <f aca="false">DURATION(DATE(2024,6,30),DATE(2025,2,28),0.05,0.08,2,3)</f>
        <v>0.653384252440598</v>
      </c>
      <c r="B8010" s="0" t="s">
        <v>7989</v>
      </c>
    </row>
    <row r="8011" customFormat="false" ht="15" hidden="false" customHeight="false" outlineLevel="0" collapsed="false">
      <c r="A8011" s="0" t="n">
        <f aca="false">DURATION(DATE(2024,6,30),DATE(2025,2,28),0.1,0.03,2,3)</f>
        <v>0.6427009604286</v>
      </c>
      <c r="B8011" s="0" t="s">
        <v>7990</v>
      </c>
    </row>
    <row r="8012" customFormat="false" ht="15" hidden="false" customHeight="false" outlineLevel="0" collapsed="false">
      <c r="A8012" s="0" t="n">
        <f aca="false">DURATION(DATE(2024,6,30),DATE(2025,2,28),0,0.05,2,3)</f>
        <v>0.665753424657534</v>
      </c>
      <c r="B8012" s="0" t="s">
        <v>7991</v>
      </c>
    </row>
    <row r="8013" customFormat="false" ht="15" hidden="false" customHeight="false" outlineLevel="0" collapsed="false">
      <c r="A8013" s="0" t="n">
        <f aca="false">MDURATION(DATE(2024,6,30),DATE(2025,2,28),0.05,0.08,2,3)</f>
        <v>0.62825408888519</v>
      </c>
      <c r="B8013" s="0" t="s">
        <v>7992</v>
      </c>
    </row>
    <row r="8014" customFormat="false" ht="15" hidden="false" customHeight="false" outlineLevel="0" collapsed="false">
      <c r="A8014" s="0" t="n">
        <f aca="false">MDURATION(DATE(2024,6,30),DATE(2025,2,28),0.1,0.03,2,3)</f>
        <v>0.633202916678423</v>
      </c>
      <c r="B8014" s="0" t="s">
        <v>7993</v>
      </c>
    </row>
    <row r="8015" customFormat="false" ht="15" hidden="false" customHeight="false" outlineLevel="0" collapsed="false">
      <c r="A8015" s="0" t="n">
        <f aca="false">PRICE(DATE(2024,6,30),DATE(2025,2,28),0.05,0.08,100,2,4)</f>
        <v>98.0862867344038</v>
      </c>
      <c r="B8015" s="0" t="s">
        <v>7994</v>
      </c>
    </row>
    <row r="8016" customFormat="false" ht="15" hidden="false" customHeight="false" outlineLevel="0" collapsed="false">
      <c r="A8016" s="0" t="n">
        <f aca="false">PRICE(DATE(2024,6,30),DATE(2025,2,28),0.1,0.03,105,2,4)</f>
        <v>109.461336272346</v>
      </c>
      <c r="B8016" s="0" t="s">
        <v>7995</v>
      </c>
    </row>
    <row r="8017" customFormat="false" ht="15" hidden="false" customHeight="false" outlineLevel="0" collapsed="false">
      <c r="A8017" s="0" t="n">
        <f aca="false">PRICE(DATE(2024,6,30),DATE(2025,2,28),0,0.05,100,2,4)</f>
        <v>96.7745342473952</v>
      </c>
      <c r="B8017" s="0" t="s">
        <v>7996</v>
      </c>
    </row>
    <row r="8018" customFormat="false" ht="15" hidden="false" customHeight="false" outlineLevel="0" collapsed="false">
      <c r="A8018" s="0" t="n">
        <f aca="false">YIELD(DATE(2024,6,30),DATE(2025,2,28),0.05,95,100,2,4)</f>
        <v>0.130781740164652</v>
      </c>
      <c r="B8018" s="0" t="s">
        <v>7997</v>
      </c>
    </row>
    <row r="8019" customFormat="false" ht="15" hidden="false" customHeight="false" outlineLevel="0" collapsed="false">
      <c r="A8019" s="0" t="n">
        <f aca="false">YIELD(DATE(2024,6,30),DATE(2025,2,28),0.1,101.5,100,2,4)</f>
        <v>0.0760792872792152</v>
      </c>
      <c r="B8019" s="0" t="s">
        <v>7998</v>
      </c>
    </row>
    <row r="8020" customFormat="false" ht="15" hidden="false" customHeight="false" outlineLevel="0" collapsed="false">
      <c r="A8020" s="0" t="n">
        <f aca="false">YIELD(DATE(2024,6,30),DATE(2025,2,28),0.05,100,100,2,4)</f>
        <v>0.0498946522353716</v>
      </c>
      <c r="B8020" s="0" t="s">
        <v>7999</v>
      </c>
    </row>
    <row r="8021" customFormat="false" ht="15" hidden="false" customHeight="false" outlineLevel="0" collapsed="false">
      <c r="A8021" s="0" t="n">
        <f aca="false">DURATION(DATE(2024,6,30),DATE(2025,2,28),0.05,0.08,2,4)</f>
        <v>0.648741938894175</v>
      </c>
      <c r="B8021" s="0" t="s">
        <v>8000</v>
      </c>
    </row>
    <row r="8022" customFormat="false" ht="15" hidden="false" customHeight="false" outlineLevel="0" collapsed="false">
      <c r="A8022" s="0" t="n">
        <f aca="false">DURATION(DATE(2024,6,30),DATE(2025,2,28),0.1,0.03,2,4)</f>
        <v>0.638058646882176</v>
      </c>
      <c r="B8022" s="0" t="s">
        <v>8001</v>
      </c>
    </row>
    <row r="8023" customFormat="false" ht="15" hidden="false" customHeight="false" outlineLevel="0" collapsed="false">
      <c r="A8023" s="0" t="n">
        <f aca="false">DURATION(DATE(2024,6,30),DATE(2025,2,28),0,0.05,2,4)</f>
        <v>0.661111111111111</v>
      </c>
      <c r="B8023" s="0" t="s">
        <v>8002</v>
      </c>
    </row>
    <row r="8024" customFormat="false" ht="15" hidden="false" customHeight="false" outlineLevel="0" collapsed="false">
      <c r="A8024" s="0" t="n">
        <f aca="false">MDURATION(DATE(2024,6,30),DATE(2025,2,28),0.05,0.08,2,4)</f>
        <v>0.623790325859784</v>
      </c>
      <c r="B8024" s="0" t="s">
        <v>8003</v>
      </c>
    </row>
    <row r="8025" customFormat="false" ht="15" hidden="false" customHeight="false" outlineLevel="0" collapsed="false">
      <c r="A8025" s="0" t="n">
        <f aca="false">MDURATION(DATE(2024,6,30),DATE(2025,2,28),0.1,0.03,2,4)</f>
        <v>0.628629208750913</v>
      </c>
      <c r="B8025" s="0" t="s">
        <v>8004</v>
      </c>
    </row>
    <row r="8026" customFormat="false" ht="15" hidden="false" customHeight="false" outlineLevel="0" collapsed="false">
      <c r="A8026" s="0" t="n">
        <f aca="false">PRICE(DATE(2024,6,30),DATE(2025,2,28),0.05,0.08,100,4,0)</f>
        <v>98.0683674938688</v>
      </c>
      <c r="B8026" s="0" t="s">
        <v>8005</v>
      </c>
    </row>
    <row r="8027" customFormat="false" ht="15" hidden="false" customHeight="false" outlineLevel="0" collapsed="false">
      <c r="A8027" s="0" t="n">
        <f aca="false">PRICE(DATE(2024,6,30),DATE(2025,2,28),0.1,0.03,105,4,0)</f>
        <v>109.502525167047</v>
      </c>
      <c r="B8027" s="0" t="s">
        <v>8006</v>
      </c>
    </row>
    <row r="8028" customFormat="false" ht="15" hidden="false" customHeight="false" outlineLevel="0" collapsed="false">
      <c r="A8028" s="0" t="n">
        <f aca="false">PRICE(DATE(2024,6,30),DATE(2025,2,28),0,0.05,100,4,0)</f>
        <v>96.7415960874502</v>
      </c>
      <c r="B8028" s="0" t="s">
        <v>8007</v>
      </c>
    </row>
    <row r="8029" customFormat="false" ht="15" hidden="false" customHeight="false" outlineLevel="0" collapsed="false">
      <c r="A8029" s="0" t="n">
        <f aca="false">YIELD(DATE(2024,6,30),DATE(2025,2,28),0.05,95,100,4,0)</f>
        <v>0.129417902505518</v>
      </c>
      <c r="B8029" s="0" t="s">
        <v>8008</v>
      </c>
    </row>
    <row r="8030" customFormat="false" ht="15" hidden="false" customHeight="false" outlineLevel="0" collapsed="false">
      <c r="A8030" s="0" t="n">
        <f aca="false">YIELD(DATE(2024,6,30),DATE(2025,2,28),0.1,101.5,100,4,0)</f>
        <v>0.0766238854162802</v>
      </c>
      <c r="B8030" s="0" t="s">
        <v>8009</v>
      </c>
    </row>
    <row r="8031" customFormat="false" ht="15" hidden="false" customHeight="false" outlineLevel="0" collapsed="false">
      <c r="A8031" s="0" t="n">
        <f aca="false">YIELD(DATE(2024,6,30),DATE(2025,2,28),0.05,100,100,4,0)</f>
        <v>0.0499735571729442</v>
      </c>
      <c r="B8031" s="0" t="s">
        <v>8010</v>
      </c>
    </row>
    <row r="8032" customFormat="false" ht="15" hidden="false" customHeight="false" outlineLevel="0" collapsed="false">
      <c r="A8032" s="0" t="n">
        <f aca="false">DURATION(DATE(2024,6,30),DATE(2025,2,28),0.05,0.08,4,0)</f>
        <v>0.651778143776497</v>
      </c>
      <c r="B8032" s="0" t="s">
        <v>8011</v>
      </c>
    </row>
    <row r="8033" customFormat="false" ht="15" hidden="false" customHeight="false" outlineLevel="0" collapsed="false">
      <c r="A8033" s="0" t="n">
        <f aca="false">DURATION(DATE(2024,6,30),DATE(2025,2,28),0.1,0.03,4,0)</f>
        <v>0.643459832544882</v>
      </c>
      <c r="B8033" s="0" t="s">
        <v>8012</v>
      </c>
    </row>
    <row r="8034" customFormat="false" ht="15" hidden="false" customHeight="false" outlineLevel="0" collapsed="false">
      <c r="A8034" s="0" t="n">
        <f aca="false">DURATION(DATE(2024,6,30),DATE(2025,2,28),0,0.05,4,0)</f>
        <v>0.661111111111111</v>
      </c>
      <c r="B8034" s="0" t="s">
        <v>8013</v>
      </c>
    </row>
    <row r="8035" customFormat="false" ht="15" hidden="false" customHeight="false" outlineLevel="0" collapsed="false">
      <c r="A8035" s="0" t="n">
        <f aca="false">MDURATION(DATE(2024,6,30),DATE(2025,2,28),0.05,0.08,4,0)</f>
        <v>0.638998180173036</v>
      </c>
      <c r="B8035" s="0" t="s">
        <v>8014</v>
      </c>
    </row>
    <row r="8036" customFormat="false" ht="15" hidden="false" customHeight="false" outlineLevel="0" collapsed="false">
      <c r="A8036" s="0" t="n">
        <f aca="false">MDURATION(DATE(2024,6,30),DATE(2025,2,28),0.1,0.03,4,0)</f>
        <v>0.638669808977551</v>
      </c>
      <c r="B8036" s="0" t="s">
        <v>8015</v>
      </c>
    </row>
    <row r="8037" customFormat="false" ht="15" hidden="false" customHeight="false" outlineLevel="0" collapsed="false">
      <c r="A8037" s="0" t="n">
        <f aca="false">PRICE(DATE(2024,6,30),DATE(2025,2,28),0.05,0.08,100,4,1)</f>
        <v>98.0632941423925</v>
      </c>
      <c r="B8037" s="0" t="s">
        <v>8016</v>
      </c>
    </row>
    <row r="8038" customFormat="false" ht="15" hidden="false" customHeight="false" outlineLevel="0" collapsed="false">
      <c r="A8038" s="0" t="n">
        <f aca="false">PRICE(DATE(2024,6,30),DATE(2025,2,28),0.1,0.03,105,4,1)</f>
        <v>109.514667131881</v>
      </c>
      <c r="B8038" s="0" t="s">
        <v>8017</v>
      </c>
    </row>
    <row r="8039" customFormat="false" ht="15" hidden="false" customHeight="false" outlineLevel="0" collapsed="false">
      <c r="A8039" s="0" t="n">
        <f aca="false">PRICE(DATE(2024,6,30),DATE(2025,2,28),0,0.05,100,4,1)</f>
        <v>96.7328879691684</v>
      </c>
      <c r="B8039" s="0" t="s">
        <v>8018</v>
      </c>
    </row>
    <row r="8040" customFormat="false" ht="15" hidden="false" customHeight="false" outlineLevel="0" collapsed="false">
      <c r="A8040" s="0" t="n">
        <f aca="false">YIELD(DATE(2024,6,30),DATE(2025,2,28),0.05,95,100,4,1)</f>
        <v>0.129205150859219</v>
      </c>
      <c r="B8040" s="0" t="s">
        <v>8019</v>
      </c>
    </row>
    <row r="8041" customFormat="false" ht="15" hidden="false" customHeight="false" outlineLevel="0" collapsed="false">
      <c r="A8041" s="0" t="n">
        <f aca="false">YIELD(DATE(2024,6,30),DATE(2025,2,28),0.1,101.5,100,4,1)</f>
        <v>0.0766858434813562</v>
      </c>
      <c r="B8041" s="0" t="s">
        <v>8020</v>
      </c>
    </row>
    <row r="8042" customFormat="false" ht="15" hidden="false" customHeight="false" outlineLevel="0" collapsed="false">
      <c r="A8042" s="0" t="n">
        <f aca="false">YIELD(DATE(2024,6,30),DATE(2025,2,28),0.05,100,100,4,1)</f>
        <v>0.0499739211304506</v>
      </c>
      <c r="B8042" s="0" t="s">
        <v>8021</v>
      </c>
    </row>
    <row r="8043" customFormat="false" ht="15" hidden="false" customHeight="false" outlineLevel="0" collapsed="false">
      <c r="A8043" s="0" t="n">
        <f aca="false">DURATION(DATE(2024,6,30),DATE(2025,2,28),0.05,0.08,4,1)</f>
        <v>0.65642045732292</v>
      </c>
      <c r="B8043" s="0" t="s">
        <v>8022</v>
      </c>
    </row>
    <row r="8044" customFormat="false" ht="15" hidden="false" customHeight="false" outlineLevel="0" collapsed="false">
      <c r="A8044" s="0" t="n">
        <f aca="false">DURATION(DATE(2024,6,30),DATE(2025,2,28),0.1,0.03,4,1)</f>
        <v>0.648102146091306</v>
      </c>
      <c r="B8044" s="0" t="s">
        <v>8023</v>
      </c>
    </row>
    <row r="8045" customFormat="false" ht="15" hidden="false" customHeight="false" outlineLevel="0" collapsed="false">
      <c r="A8045" s="0" t="n">
        <f aca="false">DURATION(DATE(2024,6,30),DATE(2025,2,28),0,0.05,4,1)</f>
        <v>0.665753424657534</v>
      </c>
      <c r="B8045" s="0" t="s">
        <v>8024</v>
      </c>
    </row>
    <row r="8046" customFormat="false" ht="15" hidden="false" customHeight="false" outlineLevel="0" collapsed="false">
      <c r="A8046" s="0" t="n">
        <f aca="false">MDURATION(DATE(2024,6,30),DATE(2025,2,28),0.05,0.08,4,1)</f>
        <v>0.643549467963647</v>
      </c>
      <c r="B8046" s="0" t="s">
        <v>8025</v>
      </c>
    </row>
    <row r="8047" customFormat="false" ht="15" hidden="false" customHeight="false" outlineLevel="0" collapsed="false">
      <c r="A8047" s="0" t="n">
        <f aca="false">MDURATION(DATE(2024,6,30),DATE(2025,2,28),0.1,0.03,4,1)</f>
        <v>0.643277564358616</v>
      </c>
      <c r="B8047" s="0" t="s">
        <v>8026</v>
      </c>
    </row>
    <row r="8048" customFormat="false" ht="15" hidden="false" customHeight="false" outlineLevel="0" collapsed="false">
      <c r="A8048" s="0" t="n">
        <f aca="false">PRICE(DATE(2024,6,30),DATE(2025,2,28),0.05,0.08,100,4,2)</f>
        <v>98.0250378633353</v>
      </c>
      <c r="B8048" s="0" t="s">
        <v>8027</v>
      </c>
    </row>
    <row r="8049" customFormat="false" ht="15" hidden="false" customHeight="false" outlineLevel="0" collapsed="false">
      <c r="A8049" s="0" t="n">
        <f aca="false">PRICE(DATE(2024,6,30),DATE(2025,2,28),0.1,0.03,105,4,2)</f>
        <v>109.484205995281</v>
      </c>
      <c r="B8049" s="0" t="s">
        <v>8028</v>
      </c>
    </row>
    <row r="8050" customFormat="false" ht="15" hidden="false" customHeight="false" outlineLevel="0" collapsed="false">
      <c r="A8050" s="0" t="n">
        <f aca="false">PRICE(DATE(2024,6,30),DATE(2025,2,28),0,0.05,100,4,2)</f>
        <v>96.7148936752539</v>
      </c>
      <c r="B8050" s="0" t="s">
        <v>8029</v>
      </c>
    </row>
    <row r="8051" customFormat="false" ht="15" hidden="false" customHeight="false" outlineLevel="0" collapsed="false">
      <c r="A8051" s="0" t="n">
        <f aca="false">YIELD(DATE(2024,6,30),DATE(2025,2,28),0.05,95,100,4,2)</f>
        <v>0.128315756401929</v>
      </c>
      <c r="B8051" s="0" t="s">
        <v>8030</v>
      </c>
    </row>
    <row r="8052" customFormat="false" ht="15" hidden="false" customHeight="false" outlineLevel="0" collapsed="false">
      <c r="A8052" s="0" t="n">
        <f aca="false">YIELD(DATE(2024,6,30),DATE(2025,2,28),0.1,101.5,100,4,2)</f>
        <v>0.0759670907901619</v>
      </c>
      <c r="B8052" s="0" t="s">
        <v>8031</v>
      </c>
    </row>
    <row r="8053" customFormat="false" ht="15" hidden="false" customHeight="false" outlineLevel="0" collapsed="false">
      <c r="A8053" s="0" t="n">
        <f aca="false">YIELD(DATE(2024,6,30),DATE(2025,2,28),0.05,100,100,4,2)</f>
        <v>0.0495522259231893</v>
      </c>
      <c r="B8053" s="0" t="s">
        <v>8032</v>
      </c>
    </row>
    <row r="8054" customFormat="false" ht="15" hidden="false" customHeight="false" outlineLevel="0" collapsed="false">
      <c r="A8054" s="0" t="n">
        <f aca="false">DURATION(DATE(2024,6,30),DATE(2025,2,28),0.05,0.08,4,2)</f>
        <v>0.665667032665386</v>
      </c>
      <c r="B8054" s="0" t="s">
        <v>8033</v>
      </c>
    </row>
    <row r="8055" customFormat="false" ht="15" hidden="false" customHeight="false" outlineLevel="0" collapsed="false">
      <c r="A8055" s="0" t="n">
        <f aca="false">DURATION(DATE(2024,6,30),DATE(2025,2,28),0.1,0.03,4,2)</f>
        <v>0.657348721433771</v>
      </c>
      <c r="B8055" s="0" t="s">
        <v>8034</v>
      </c>
    </row>
    <row r="8056" customFormat="false" ht="15" hidden="false" customHeight="false" outlineLevel="0" collapsed="false">
      <c r="A8056" s="0" t="n">
        <f aca="false">DURATION(DATE(2024,6,30),DATE(2025,2,28),0,0.05,4,2)</f>
        <v>0.675</v>
      </c>
      <c r="B8056" s="0" t="s">
        <v>8035</v>
      </c>
    </row>
    <row r="8057" customFormat="false" ht="15" hidden="false" customHeight="false" outlineLevel="0" collapsed="false">
      <c r="A8057" s="0" t="n">
        <f aca="false">MDURATION(DATE(2024,6,30),DATE(2025,2,28),0.05,0.08,4,2)</f>
        <v>0.652614737907241</v>
      </c>
      <c r="B8057" s="0" t="s">
        <v>8036</v>
      </c>
    </row>
    <row r="8058" customFormat="false" ht="15" hidden="false" customHeight="false" outlineLevel="0" collapsed="false">
      <c r="A8058" s="0" t="n">
        <f aca="false">MDURATION(DATE(2024,6,30),DATE(2025,2,28),0.1,0.03,4,2)</f>
        <v>0.652455306634016</v>
      </c>
      <c r="B8058" s="0" t="s">
        <v>8037</v>
      </c>
    </row>
    <row r="8059" customFormat="false" ht="15" hidden="false" customHeight="false" outlineLevel="0" collapsed="false">
      <c r="A8059" s="0" t="n">
        <f aca="false">PRICE(DATE(2024,6,30),DATE(2025,2,28),0.05,0.08,100,4,3)</f>
        <v>98.0491435506528</v>
      </c>
      <c r="B8059" s="0" t="s">
        <v>8038</v>
      </c>
    </row>
    <row r="8060" customFormat="false" ht="15" hidden="false" customHeight="false" outlineLevel="0" collapsed="false">
      <c r="A8060" s="0" t="n">
        <f aca="false">PRICE(DATE(2024,6,30),DATE(2025,2,28),0.1,0.03,105,4,3)</f>
        <v>109.503400523116</v>
      </c>
      <c r="B8060" s="0" t="s">
        <v>8039</v>
      </c>
    </row>
    <row r="8061" customFormat="false" ht="15" hidden="false" customHeight="false" outlineLevel="0" collapsed="false">
      <c r="A8061" s="0" t="n">
        <f aca="false">PRICE(DATE(2024,6,30),DATE(2025,2,28),0,0.05,100,4,3)</f>
        <v>96.7262321552834</v>
      </c>
      <c r="B8061" s="0" t="s">
        <v>8040</v>
      </c>
    </row>
    <row r="8062" customFormat="false" ht="15" hidden="false" customHeight="false" outlineLevel="0" collapsed="false">
      <c r="A8062" s="0" t="n">
        <f aca="false">YIELD(DATE(2024,6,30),DATE(2025,2,28),0.05,95,100,4,3)</f>
        <v>0.128874996969179</v>
      </c>
      <c r="B8062" s="0" t="s">
        <v>8041</v>
      </c>
    </row>
    <row r="8063" customFormat="false" ht="15" hidden="false" customHeight="false" outlineLevel="0" collapsed="false">
      <c r="A8063" s="0" t="n">
        <f aca="false">YIELD(DATE(2024,6,30),DATE(2025,2,28),0.1,101.5,100,4,3)</f>
        <v>0.0764190202036386</v>
      </c>
      <c r="B8063" s="0" t="s">
        <v>8042</v>
      </c>
    </row>
    <row r="8064" customFormat="false" ht="15" hidden="false" customHeight="false" outlineLevel="0" collapsed="false">
      <c r="A8064" s="0" t="n">
        <f aca="false">YIELD(DATE(2024,6,30),DATE(2025,2,28),0.05,100,100,4,3)</f>
        <v>0.0498173879961576</v>
      </c>
      <c r="B8064" s="0" t="s">
        <v>8043</v>
      </c>
    </row>
    <row r="8065" customFormat="false" ht="15" hidden="false" customHeight="false" outlineLevel="0" collapsed="false">
      <c r="A8065" s="0" t="n">
        <f aca="false">DURATION(DATE(2024,6,30),DATE(2025,2,28),0.05,0.08,4,3)</f>
        <v>0.65642045732292</v>
      </c>
      <c r="B8065" s="0" t="s">
        <v>8044</v>
      </c>
    </row>
    <row r="8066" customFormat="false" ht="15" hidden="false" customHeight="false" outlineLevel="0" collapsed="false">
      <c r="A8066" s="0" t="n">
        <f aca="false">DURATION(DATE(2024,6,30),DATE(2025,2,28),0.1,0.03,4,3)</f>
        <v>0.648102146091306</v>
      </c>
      <c r="B8066" s="0" t="s">
        <v>8045</v>
      </c>
    </row>
    <row r="8067" customFormat="false" ht="15" hidden="false" customHeight="false" outlineLevel="0" collapsed="false">
      <c r="A8067" s="0" t="n">
        <f aca="false">DURATION(DATE(2024,6,30),DATE(2025,2,28),0,0.05,4,3)</f>
        <v>0.665753424657534</v>
      </c>
      <c r="B8067" s="0" t="s">
        <v>8046</v>
      </c>
    </row>
    <row r="8068" customFormat="false" ht="15" hidden="false" customHeight="false" outlineLevel="0" collapsed="false">
      <c r="A8068" s="0" t="n">
        <f aca="false">MDURATION(DATE(2024,6,30),DATE(2025,2,28),0.05,0.08,4,3)</f>
        <v>0.643549467963647</v>
      </c>
      <c r="B8068" s="0" t="s">
        <v>8047</v>
      </c>
    </row>
    <row r="8069" customFormat="false" ht="15" hidden="false" customHeight="false" outlineLevel="0" collapsed="false">
      <c r="A8069" s="0" t="n">
        <f aca="false">MDURATION(DATE(2024,6,30),DATE(2025,2,28),0.1,0.03,4,3)</f>
        <v>0.643277564358616</v>
      </c>
      <c r="B8069" s="0" t="s">
        <v>8048</v>
      </c>
    </row>
    <row r="8070" customFormat="false" ht="15" hidden="false" customHeight="false" outlineLevel="0" collapsed="false">
      <c r="A8070" s="0" t="n">
        <f aca="false">PRICE(DATE(2024,6,30),DATE(2025,2,28),0.05,0.08,100,4,4)</f>
        <v>98.0683674938688</v>
      </c>
      <c r="B8070" s="0" t="s">
        <v>8049</v>
      </c>
    </row>
    <row r="8071" customFormat="false" ht="15" hidden="false" customHeight="false" outlineLevel="0" collapsed="false">
      <c r="A8071" s="0" t="n">
        <f aca="false">PRICE(DATE(2024,6,30),DATE(2025,2,28),0.1,0.03,105,4,4)</f>
        <v>109.502525167047</v>
      </c>
      <c r="B8071" s="0" t="s">
        <v>8050</v>
      </c>
    </row>
    <row r="8072" customFormat="false" ht="15" hidden="false" customHeight="false" outlineLevel="0" collapsed="false">
      <c r="A8072" s="0" t="n">
        <f aca="false">PRICE(DATE(2024,6,30),DATE(2025,2,28),0,0.05,100,4,4)</f>
        <v>96.7415960874502</v>
      </c>
      <c r="B8072" s="0" t="s">
        <v>8051</v>
      </c>
    </row>
    <row r="8073" customFormat="false" ht="15" hidden="false" customHeight="false" outlineLevel="0" collapsed="false">
      <c r="A8073" s="0" t="n">
        <f aca="false">YIELD(DATE(2024,6,30),DATE(2025,2,28),0.05,95,100,4,4)</f>
        <v>0.129417902505518</v>
      </c>
      <c r="B8073" s="0" t="s">
        <v>8052</v>
      </c>
    </row>
    <row r="8074" customFormat="false" ht="15" hidden="false" customHeight="false" outlineLevel="0" collapsed="false">
      <c r="A8074" s="0" t="n">
        <f aca="false">YIELD(DATE(2024,6,30),DATE(2025,2,28),0.1,101.5,100,4,4)</f>
        <v>0.0766238854162802</v>
      </c>
      <c r="B8074" s="0" t="s">
        <v>8053</v>
      </c>
    </row>
    <row r="8075" customFormat="false" ht="15" hidden="false" customHeight="false" outlineLevel="0" collapsed="false">
      <c r="A8075" s="0" t="n">
        <f aca="false">YIELD(DATE(2024,6,30),DATE(2025,2,28),0.05,100,100,4,4)</f>
        <v>0.0499735571729442</v>
      </c>
      <c r="B8075" s="0" t="s">
        <v>8054</v>
      </c>
    </row>
    <row r="8076" customFormat="false" ht="15" hidden="false" customHeight="false" outlineLevel="0" collapsed="false">
      <c r="A8076" s="0" t="n">
        <f aca="false">DURATION(DATE(2024,6,30),DATE(2025,2,28),0.05,0.08,4,4)</f>
        <v>0.651778143776497</v>
      </c>
      <c r="B8076" s="0" t="s">
        <v>8055</v>
      </c>
    </row>
    <row r="8077" customFormat="false" ht="15" hidden="false" customHeight="false" outlineLevel="0" collapsed="false">
      <c r="A8077" s="0" t="n">
        <f aca="false">DURATION(DATE(2024,6,30),DATE(2025,2,28),0.1,0.03,4,4)</f>
        <v>0.643459832544882</v>
      </c>
      <c r="B8077" s="0" t="s">
        <v>8056</v>
      </c>
    </row>
    <row r="8078" customFormat="false" ht="15" hidden="false" customHeight="false" outlineLevel="0" collapsed="false">
      <c r="A8078" s="0" t="n">
        <f aca="false">DURATION(DATE(2024,6,30),DATE(2025,2,28),0,0.05,4,4)</f>
        <v>0.661111111111111</v>
      </c>
      <c r="B8078" s="0" t="s">
        <v>8057</v>
      </c>
    </row>
    <row r="8079" customFormat="false" ht="15" hidden="false" customHeight="false" outlineLevel="0" collapsed="false">
      <c r="A8079" s="0" t="n">
        <f aca="false">MDURATION(DATE(2024,6,30),DATE(2025,2,28),0.05,0.08,4,4)</f>
        <v>0.638998180173036</v>
      </c>
      <c r="B8079" s="0" t="s">
        <v>8058</v>
      </c>
    </row>
    <row r="8080" customFormat="false" ht="15" hidden="false" customHeight="false" outlineLevel="0" collapsed="false">
      <c r="A8080" s="0" t="n">
        <f aca="false">MDURATION(DATE(2024,6,30),DATE(2025,2,28),0.1,0.03,4,4)</f>
        <v>0.638669808977551</v>
      </c>
      <c r="B8080" s="0" t="s">
        <v>8059</v>
      </c>
    </row>
    <row r="8081" customFormat="false" ht="15" hidden="false" customHeight="false" outlineLevel="0" collapsed="false">
      <c r="A8081" s="0" t="n">
        <f aca="false">PRICE(DATE(2023,8,31),DATE(2025,2,28),0.05,0.08,100,1,0)</f>
        <v>95.8705207433414</v>
      </c>
      <c r="B8081" s="0" t="s">
        <v>8060</v>
      </c>
    </row>
    <row r="8082" customFormat="false" ht="15" hidden="false" customHeight="false" outlineLevel="0" collapsed="false">
      <c r="A8082" s="0" t="n">
        <f aca="false">PRICE(DATE(2023,8,31),DATE(2025,2,28),0.1,0.03,105,1,0)</f>
        <v>114.847849544137</v>
      </c>
      <c r="B8082" s="0" t="s">
        <v>8061</v>
      </c>
    </row>
    <row r="8083" customFormat="false" ht="15" hidden="false" customHeight="false" outlineLevel="0" collapsed="false">
      <c r="A8083" s="0" t="n">
        <f aca="false">PRICE(DATE(2023,8,31),DATE(2025,2,28),0,0.05,100,1,0)</f>
        <v>92.9554613261726</v>
      </c>
      <c r="B8083" s="0" t="s">
        <v>8062</v>
      </c>
    </row>
    <row r="8084" customFormat="false" ht="15" hidden="false" customHeight="false" outlineLevel="0" collapsed="false">
      <c r="A8084" s="0" t="n">
        <f aca="false">YIELD(DATE(2023,8,31),DATE(2025,2,28),0.05,95,100,1,0)</f>
        <v>0.0866484439064043</v>
      </c>
      <c r="B8084" s="0" t="s">
        <v>8063</v>
      </c>
    </row>
    <row r="8085" customFormat="false" ht="15" hidden="false" customHeight="false" outlineLevel="0" collapsed="false">
      <c r="A8085" s="0" t="n">
        <f aca="false">YIELD(DATE(2023,8,31),DATE(2025,2,28),0.1,101.5,100,1,0)</f>
        <v>0.0880889950610825</v>
      </c>
      <c r="B8085" s="0" t="s">
        <v>8064</v>
      </c>
    </row>
    <row r="8086" customFormat="false" ht="15" hidden="false" customHeight="false" outlineLevel="0" collapsed="false">
      <c r="A8086" s="0" t="n">
        <f aca="false">YIELD(DATE(2023,8,31),DATE(2025,2,28),0.05,100,100,1,0)</f>
        <v>0.0497845368153436</v>
      </c>
      <c r="B8086" s="0" t="s">
        <v>8065</v>
      </c>
    </row>
    <row r="8087" customFormat="false" ht="15" hidden="false" customHeight="false" outlineLevel="0" collapsed="false">
      <c r="A8087" s="0" t="n">
        <f aca="false">DURATION(DATE(2023,8,31),DATE(2025,2,28),0.05,0.08,1,0)</f>
        <v>1.44553140096618</v>
      </c>
      <c r="B8087" s="0" t="s">
        <v>8066</v>
      </c>
    </row>
    <row r="8088" customFormat="false" ht="15" hidden="false" customHeight="false" outlineLevel="0" collapsed="false">
      <c r="A8088" s="0" t="n">
        <f aca="false">DURATION(DATE(2023,8,31),DATE(2025,2,28),0.1,0.03,1,0)</f>
        <v>1.40882515932391</v>
      </c>
      <c r="B8088" s="0" t="s">
        <v>8067</v>
      </c>
    </row>
    <row r="8089" customFormat="false" ht="15" hidden="false" customHeight="false" outlineLevel="0" collapsed="false">
      <c r="A8089" s="0" t="n">
        <f aca="false">DURATION(DATE(2023,8,31),DATE(2025,2,28),0,0.05,1,0)</f>
        <v>1.49444444444444</v>
      </c>
      <c r="B8089" s="0" t="s">
        <v>8068</v>
      </c>
    </row>
    <row r="8090" customFormat="false" ht="15" hidden="false" customHeight="false" outlineLevel="0" collapsed="false">
      <c r="A8090" s="0" t="n">
        <f aca="false">MDURATION(DATE(2023,8,31),DATE(2025,2,28),0.05,0.08,1,0)</f>
        <v>1.33845500089461</v>
      </c>
      <c r="B8090" s="0" t="s">
        <v>8069</v>
      </c>
    </row>
    <row r="8091" customFormat="false" ht="15" hidden="false" customHeight="false" outlineLevel="0" collapsed="false">
      <c r="A8091" s="0" t="n">
        <f aca="false">MDURATION(DATE(2023,8,31),DATE(2025,2,28),0.1,0.03,1,0)</f>
        <v>1.36779141681933</v>
      </c>
      <c r="B8091" s="0" t="s">
        <v>8070</v>
      </c>
    </row>
    <row r="8092" customFormat="false" ht="15" hidden="false" customHeight="false" outlineLevel="0" collapsed="false">
      <c r="A8092" s="0" t="n">
        <f aca="false">PRICE(DATE(2023,8,31),DATE(2025,2,28),0.05,0.08,100,1,1)</f>
        <v>95.8704036325341</v>
      </c>
      <c r="B8092" s="0" t="s">
        <v>8071</v>
      </c>
    </row>
    <row r="8093" customFormat="false" ht="15" hidden="false" customHeight="false" outlineLevel="0" collapsed="false">
      <c r="A8093" s="0" t="n">
        <f aca="false">PRICE(DATE(2023,8,31),DATE(2025,2,28),0.1,0.03,105,1,1)</f>
        <v>114.848143561551</v>
      </c>
      <c r="B8093" s="0" t="s">
        <v>8072</v>
      </c>
    </row>
    <row r="8094" customFormat="false" ht="15" hidden="false" customHeight="false" outlineLevel="0" collapsed="false">
      <c r="A8094" s="0" t="n">
        <f aca="false">PRICE(DATE(2023,8,31),DATE(2025,2,28),0,0.05,100,1,1)</f>
        <v>92.9552548003447</v>
      </c>
      <c r="B8094" s="0" t="s">
        <v>8073</v>
      </c>
    </row>
    <row r="8095" customFormat="false" ht="15" hidden="false" customHeight="false" outlineLevel="0" collapsed="false">
      <c r="A8095" s="0" t="n">
        <f aca="false">YIELD(DATE(2023,8,31),DATE(2025,2,28),0.05,95,100,1,1)</f>
        <v>0.0866473564470265</v>
      </c>
      <c r="B8095" s="0" t="s">
        <v>8074</v>
      </c>
    </row>
    <row r="8096" customFormat="false" ht="15" hidden="false" customHeight="false" outlineLevel="0" collapsed="false">
      <c r="A8096" s="0" t="n">
        <f aca="false">YIELD(DATE(2023,8,31),DATE(2025,2,28),0.1,101.5,100,1,1)</f>
        <v>0.0880893277725777</v>
      </c>
      <c r="B8096" s="0" t="s">
        <v>8075</v>
      </c>
    </row>
    <row r="8097" customFormat="false" ht="15" hidden="false" customHeight="false" outlineLevel="0" collapsed="false">
      <c r="A8097" s="0" t="n">
        <f aca="false">YIELD(DATE(2023,8,31),DATE(2025,2,28),0.05,100,100,1,1)</f>
        <v>0.0497845430476372</v>
      </c>
      <c r="B8097" s="0" t="s">
        <v>8076</v>
      </c>
    </row>
    <row r="8098" customFormat="false" ht="15" hidden="false" customHeight="false" outlineLevel="0" collapsed="false">
      <c r="A8098" s="0" t="n">
        <f aca="false">DURATION(DATE(2023,8,31),DATE(2025,2,28),0.05,0.08,1,1)</f>
        <v>1.44834973024437</v>
      </c>
      <c r="B8098" s="0" t="s">
        <v>8077</v>
      </c>
    </row>
    <row r="8099" customFormat="false" ht="15" hidden="false" customHeight="false" outlineLevel="0" collapsed="false">
      <c r="A8099" s="0" t="n">
        <f aca="false">DURATION(DATE(2023,8,31),DATE(2025,2,28),0.1,0.03,1,1)</f>
        <v>1.4116434886021</v>
      </c>
      <c r="B8099" s="0" t="s">
        <v>8078</v>
      </c>
    </row>
    <row r="8100" customFormat="false" ht="15" hidden="false" customHeight="false" outlineLevel="0" collapsed="false">
      <c r="A8100" s="0" t="n">
        <f aca="false">DURATION(DATE(2023,8,31),DATE(2025,2,28),0,0.05,1,1)</f>
        <v>1.49726277372263</v>
      </c>
      <c r="B8100" s="0" t="s">
        <v>8079</v>
      </c>
    </row>
    <row r="8101" customFormat="false" ht="15" hidden="false" customHeight="false" outlineLevel="0" collapsed="false">
      <c r="A8101" s="0" t="n">
        <f aca="false">MDURATION(DATE(2023,8,31),DATE(2025,2,28),0.05,0.08,1,1)</f>
        <v>1.34106456504108</v>
      </c>
      <c r="B8101" s="0" t="s">
        <v>8080</v>
      </c>
    </row>
    <row r="8102" customFormat="false" ht="15" hidden="false" customHeight="false" outlineLevel="0" collapsed="false">
      <c r="A8102" s="0" t="n">
        <f aca="false">MDURATION(DATE(2023,8,31),DATE(2025,2,28),0.1,0.03,1,1)</f>
        <v>1.37052765883699</v>
      </c>
      <c r="B8102" s="0" t="s">
        <v>8081</v>
      </c>
    </row>
    <row r="8103" customFormat="false" ht="15" hidden="false" customHeight="false" outlineLevel="0" collapsed="false">
      <c r="A8103" s="0" t="n">
        <f aca="false">PRICE(DATE(2023,8,31),DATE(2025,2,28),0.05,0.08,100,1,2)</f>
        <v>95.7657762510927</v>
      </c>
      <c r="B8103" s="0" t="s">
        <v>8082</v>
      </c>
    </row>
    <row r="8104" customFormat="false" ht="15" hidden="false" customHeight="false" outlineLevel="0" collapsed="false">
      <c r="A8104" s="0" t="n">
        <f aca="false">PRICE(DATE(2023,8,31),DATE(2025,2,28),0.1,0.03,105,1,2)</f>
        <v>114.734991680897</v>
      </c>
      <c r="B8104" s="0" t="s">
        <v>8083</v>
      </c>
    </row>
    <row r="8105" customFormat="false" ht="15" hidden="false" customHeight="false" outlineLevel="0" collapsed="false">
      <c r="A8105" s="0" t="n">
        <f aca="false">PRICE(DATE(2023,8,31),DATE(2025,2,28),0,0.05,100,1,2)</f>
        <v>92.9176747399292</v>
      </c>
      <c r="B8105" s="0" t="s">
        <v>8084</v>
      </c>
    </row>
    <row r="8106" customFormat="false" ht="15" hidden="false" customHeight="false" outlineLevel="0" collapsed="false">
      <c r="A8106" s="0" t="n">
        <f aca="false">YIELD(DATE(2023,8,31),DATE(2025,2,28),0.05,95,100,1,2)</f>
        <v>0.0858133330146992</v>
      </c>
      <c r="B8106" s="0" t="s">
        <v>8085</v>
      </c>
    </row>
    <row r="8107" customFormat="false" ht="15" hidden="false" customHeight="false" outlineLevel="0" collapsed="false">
      <c r="A8107" s="0" t="n">
        <f aca="false">YIELD(DATE(2023,8,31),DATE(2025,2,28),0.1,101.5,100,1,2)</f>
        <v>0.0869477747524651</v>
      </c>
      <c r="B8107" s="0" t="s">
        <v>8086</v>
      </c>
    </row>
    <row r="8108" customFormat="false" ht="15" hidden="false" customHeight="false" outlineLevel="0" collapsed="false">
      <c r="A8108" s="0" t="n">
        <f aca="false">YIELD(DATE(2023,8,31),DATE(2025,2,28),0.05,100,100,1,2)</f>
        <v>0.0492005755295034</v>
      </c>
      <c r="B8108" s="0" t="s">
        <v>8087</v>
      </c>
    </row>
    <row r="8109" customFormat="false" ht="15" hidden="false" customHeight="false" outlineLevel="0" collapsed="false">
      <c r="A8109" s="0" t="n">
        <f aca="false">DURATION(DATE(2023,8,31),DATE(2025,2,28),0.05,0.08,1,2)</f>
        <v>1.47053140096618</v>
      </c>
      <c r="B8109" s="0" t="s">
        <v>8088</v>
      </c>
    </row>
    <row r="8110" customFormat="false" ht="15" hidden="false" customHeight="false" outlineLevel="0" collapsed="false">
      <c r="A8110" s="0" t="n">
        <f aca="false">DURATION(DATE(2023,8,31),DATE(2025,2,28),0.1,0.03,1,2)</f>
        <v>1.43382515932391</v>
      </c>
      <c r="B8110" s="0" t="s">
        <v>8089</v>
      </c>
    </row>
    <row r="8111" customFormat="false" ht="15" hidden="false" customHeight="false" outlineLevel="0" collapsed="false">
      <c r="A8111" s="0" t="n">
        <f aca="false">DURATION(DATE(2023,8,31),DATE(2025,2,28),0,0.05,1,2)</f>
        <v>1.51944444444444</v>
      </c>
      <c r="B8111" s="0" t="s">
        <v>8090</v>
      </c>
    </row>
    <row r="8112" customFormat="false" ht="15" hidden="false" customHeight="false" outlineLevel="0" collapsed="false">
      <c r="A8112" s="0" t="n">
        <f aca="false">MDURATION(DATE(2023,8,31),DATE(2025,2,28),0.05,0.08,1,2)</f>
        <v>1.36160314904276</v>
      </c>
      <c r="B8112" s="0" t="s">
        <v>8091</v>
      </c>
    </row>
    <row r="8113" customFormat="false" ht="15" hidden="false" customHeight="false" outlineLevel="0" collapsed="false">
      <c r="A8113" s="0" t="n">
        <f aca="false">MDURATION(DATE(2023,8,31),DATE(2025,2,28),0.1,0.03,1,2)</f>
        <v>1.39206326147953</v>
      </c>
      <c r="B8113" s="0" t="s">
        <v>8092</v>
      </c>
    </row>
    <row r="8114" customFormat="false" ht="15" hidden="false" customHeight="false" outlineLevel="0" collapsed="false">
      <c r="A8114" s="0" t="n">
        <f aca="false">PRICE(DATE(2023,8,31),DATE(2025,2,28),0.05,0.08,100,1,3)</f>
        <v>95.8532018625738</v>
      </c>
      <c r="B8114" s="0" t="s">
        <v>8093</v>
      </c>
    </row>
    <row r="8115" customFormat="false" ht="15" hidden="false" customHeight="false" outlineLevel="0" collapsed="false">
      <c r="A8115" s="0" t="n">
        <f aca="false">PRICE(DATE(2023,8,31),DATE(2025,2,28),0.1,0.03,105,1,3)</f>
        <v>114.829542758346</v>
      </c>
      <c r="B8115" s="0" t="s">
        <v>8094</v>
      </c>
    </row>
    <row r="8116" customFormat="false" ht="15" hidden="false" customHeight="false" outlineLevel="0" collapsed="false">
      <c r="A8116" s="0" t="n">
        <f aca="false">PRICE(DATE(2023,8,31),DATE(2025,2,28),0,0.05,100,1,3)</f>
        <v>92.9490762124473</v>
      </c>
      <c r="B8116" s="0" t="s">
        <v>8095</v>
      </c>
    </row>
    <row r="8117" customFormat="false" ht="15" hidden="false" customHeight="false" outlineLevel="0" collapsed="false">
      <c r="A8117" s="0" t="n">
        <f aca="false">YIELD(DATE(2023,8,31),DATE(2025,2,28),0.05,95,100,1,3)</f>
        <v>0.0865095465683372</v>
      </c>
      <c r="B8117" s="0" t="s">
        <v>8096</v>
      </c>
    </row>
    <row r="8118" customFormat="false" ht="15" hidden="false" customHeight="false" outlineLevel="0" collapsed="false">
      <c r="A8118" s="0" t="n">
        <f aca="false">YIELD(DATE(2023,8,31),DATE(2025,2,28),0.1,101.5,100,1,3)</f>
        <v>0.0879006324293945</v>
      </c>
      <c r="B8118" s="0" t="s">
        <v>8097</v>
      </c>
    </row>
    <row r="8119" customFormat="false" ht="15" hidden="false" customHeight="false" outlineLevel="0" collapsed="false">
      <c r="A8119" s="0" t="n">
        <f aca="false">YIELD(DATE(2023,8,31),DATE(2025,2,28),0.05,100,100,1,3)</f>
        <v>0.049688058829513</v>
      </c>
      <c r="B8119" s="0" t="s">
        <v>8098</v>
      </c>
    </row>
    <row r="8120" customFormat="false" ht="15" hidden="false" customHeight="false" outlineLevel="0" collapsed="false">
      <c r="A8120" s="0" t="n">
        <f aca="false">DURATION(DATE(2023,8,31),DATE(2025,2,28),0.05,0.08,1,3)</f>
        <v>1.44971709350804</v>
      </c>
      <c r="B8120" s="0" t="s">
        <v>8099</v>
      </c>
    </row>
    <row r="8121" customFormat="false" ht="15" hidden="false" customHeight="false" outlineLevel="0" collapsed="false">
      <c r="A8121" s="0" t="n">
        <f aca="false">DURATION(DATE(2023,8,31),DATE(2025,2,28),0.1,0.03,1,3)</f>
        <v>1.41301085186577</v>
      </c>
      <c r="B8121" s="0" t="s">
        <v>8100</v>
      </c>
    </row>
    <row r="8122" customFormat="false" ht="15" hidden="false" customHeight="false" outlineLevel="0" collapsed="false">
      <c r="A8122" s="0" t="n">
        <f aca="false">DURATION(DATE(2023,8,31),DATE(2025,2,28),0,0.05,1,3)</f>
        <v>1.4986301369863</v>
      </c>
      <c r="B8122" s="0" t="s">
        <v>8101</v>
      </c>
    </row>
    <row r="8123" customFormat="false" ht="15" hidden="false" customHeight="false" outlineLevel="0" collapsed="false">
      <c r="A8123" s="0" t="n">
        <f aca="false">MDURATION(DATE(2023,8,31),DATE(2025,2,28),0.05,0.08,1,3)</f>
        <v>1.34233064213707</v>
      </c>
      <c r="B8123" s="0" t="s">
        <v>8102</v>
      </c>
    </row>
    <row r="8124" customFormat="false" ht="15" hidden="false" customHeight="false" outlineLevel="0" collapsed="false">
      <c r="A8124" s="0" t="n">
        <f aca="false">MDURATION(DATE(2023,8,31),DATE(2025,2,28),0.1,0.03,1,3)</f>
        <v>1.37185519598618</v>
      </c>
      <c r="B8124" s="0" t="s">
        <v>8103</v>
      </c>
    </row>
    <row r="8125" customFormat="false" ht="15" hidden="false" customHeight="false" outlineLevel="0" collapsed="false">
      <c r="A8125" s="0" t="n">
        <f aca="false">PRICE(DATE(2023,8,31),DATE(2025,2,28),0.05,0.08,100,1,4)</f>
        <v>95.8776667877948</v>
      </c>
      <c r="B8125" s="0" t="s">
        <v>8104</v>
      </c>
    </row>
    <row r="8126" customFormat="false" ht="15" hidden="false" customHeight="false" outlineLevel="0" collapsed="false">
      <c r="A8126" s="0" t="n">
        <f aca="false">PRICE(DATE(2023,8,31),DATE(2025,2,28),0.1,0.03,105,1,4)</f>
        <v>114.829914892567</v>
      </c>
      <c r="B8126" s="0" t="s">
        <v>8105</v>
      </c>
    </row>
    <row r="8127" customFormat="false" ht="15" hidden="false" customHeight="false" outlineLevel="0" collapsed="false">
      <c r="A8127" s="0" t="n">
        <f aca="false">PRICE(DATE(2023,8,31),DATE(2025,2,28),0,0.05,100,1,4)</f>
        <v>92.9680602694056</v>
      </c>
      <c r="B8127" s="0" t="s">
        <v>8106</v>
      </c>
    </row>
    <row r="8128" customFormat="false" ht="15" hidden="false" customHeight="false" outlineLevel="0" collapsed="false">
      <c r="A8128" s="0" t="n">
        <f aca="false">YIELD(DATE(2023,8,31),DATE(2025,2,28),0.05,95,100,1,4)</f>
        <v>0.0867149183992456</v>
      </c>
      <c r="B8128" s="0" t="s">
        <v>8107</v>
      </c>
    </row>
    <row r="8129" customFormat="false" ht="15" hidden="false" customHeight="false" outlineLevel="0" collapsed="false">
      <c r="A8129" s="0" t="n">
        <f aca="false">YIELD(DATE(2023,8,31),DATE(2025,2,28),0.1,101.5,100,1,4)</f>
        <v>0.0880686858305618</v>
      </c>
      <c r="B8129" s="0" t="s">
        <v>8108</v>
      </c>
    </row>
    <row r="8130" customFormat="false" ht="15" hidden="false" customHeight="false" outlineLevel="0" collapsed="false">
      <c r="A8130" s="0" t="n">
        <f aca="false">YIELD(DATE(2023,8,31),DATE(2025,2,28),0.05,100,100,1,4)</f>
        <v>0.0497841626713936</v>
      </c>
      <c r="B8130" s="0" t="s">
        <v>8109</v>
      </c>
    </row>
    <row r="8131" customFormat="false" ht="15" hidden="false" customHeight="false" outlineLevel="0" collapsed="false">
      <c r="A8131" s="0" t="n">
        <f aca="false">DURATION(DATE(2023,8,31),DATE(2025,2,28),0.05,0.08,1,4)</f>
        <v>1.44553140096618</v>
      </c>
      <c r="B8131" s="0" t="s">
        <v>8110</v>
      </c>
    </row>
    <row r="8132" customFormat="false" ht="15" hidden="false" customHeight="false" outlineLevel="0" collapsed="false">
      <c r="A8132" s="0" t="n">
        <f aca="false">DURATION(DATE(2023,8,31),DATE(2025,2,28),0.1,0.03,1,4)</f>
        <v>1.40882515932391</v>
      </c>
      <c r="B8132" s="0" t="s">
        <v>8111</v>
      </c>
    </row>
    <row r="8133" customFormat="false" ht="15" hidden="false" customHeight="false" outlineLevel="0" collapsed="false">
      <c r="A8133" s="0" t="n">
        <f aca="false">DURATION(DATE(2023,8,31),DATE(2025,2,28),0,0.05,1,4)</f>
        <v>1.49444444444444</v>
      </c>
      <c r="B8133" s="0" t="s">
        <v>8112</v>
      </c>
    </row>
    <row r="8134" customFormat="false" ht="15" hidden="false" customHeight="false" outlineLevel="0" collapsed="false">
      <c r="A8134" s="0" t="n">
        <f aca="false">MDURATION(DATE(2023,8,31),DATE(2025,2,28),0.05,0.08,1,4)</f>
        <v>1.33845500089461</v>
      </c>
      <c r="B8134" s="0" t="s">
        <v>8113</v>
      </c>
    </row>
    <row r="8135" customFormat="false" ht="15" hidden="false" customHeight="false" outlineLevel="0" collapsed="false">
      <c r="A8135" s="0" t="n">
        <f aca="false">MDURATION(DATE(2023,8,31),DATE(2025,2,28),0.1,0.03,1,4)</f>
        <v>1.36779141681933</v>
      </c>
      <c r="B8135" s="0" t="s">
        <v>8114</v>
      </c>
    </row>
    <row r="8136" customFormat="false" ht="15" hidden="false" customHeight="false" outlineLevel="0" collapsed="false">
      <c r="A8136" s="0" t="n">
        <f aca="false">PRICE(DATE(2023,8,31),DATE(2025,2,28),0.05,0.08,100,2,0)</f>
        <v>95.8373634501593</v>
      </c>
      <c r="B8136" s="0" t="s">
        <v>8115</v>
      </c>
    </row>
    <row r="8137" customFormat="false" ht="15" hidden="false" customHeight="false" outlineLevel="0" collapsed="false">
      <c r="A8137" s="0" t="n">
        <f aca="false">PRICE(DATE(2023,8,31),DATE(2025,2,28),0.1,0.03,105,2,0)</f>
        <v>114.974286429133</v>
      </c>
      <c r="B8137" s="0" t="s">
        <v>8116</v>
      </c>
    </row>
    <row r="8138" customFormat="false" ht="15" hidden="false" customHeight="false" outlineLevel="0" collapsed="false">
      <c r="A8138" s="0" t="n">
        <f aca="false">PRICE(DATE(2023,8,31),DATE(2025,2,28),0,0.05,100,2,0)</f>
        <v>92.8599410919749</v>
      </c>
      <c r="B8138" s="0" t="s">
        <v>8117</v>
      </c>
    </row>
    <row r="8139" customFormat="false" ht="15" hidden="false" customHeight="false" outlineLevel="0" collapsed="false">
      <c r="A8139" s="0" t="n">
        <f aca="false">YIELD(DATE(2023,8,31),DATE(2025,2,28),0.05,95,100,2,0)</f>
        <v>0.0862487399523156</v>
      </c>
      <c r="B8139" s="0" t="s">
        <v>8118</v>
      </c>
    </row>
    <row r="8140" customFormat="false" ht="15" hidden="false" customHeight="false" outlineLevel="0" collapsed="false">
      <c r="A8140" s="0" t="n">
        <f aca="false">YIELD(DATE(2023,8,31),DATE(2025,2,28),0.1,101.5,100,2,0)</f>
        <v>0.0890960991336292</v>
      </c>
      <c r="B8140" s="0" t="s">
        <v>8119</v>
      </c>
    </row>
    <row r="8141" customFormat="false" ht="15" hidden="false" customHeight="false" outlineLevel="0" collapsed="false">
      <c r="A8141" s="0" t="n">
        <f aca="false">YIELD(DATE(2023,8,31),DATE(2025,2,28),0.05,100,100,2,0)</f>
        <v>0.0500000000000015</v>
      </c>
      <c r="B8141" s="0" t="s">
        <v>8120</v>
      </c>
    </row>
    <row r="8142" customFormat="false" ht="15" hidden="false" customHeight="false" outlineLevel="0" collapsed="false">
      <c r="A8142" s="0" t="n">
        <f aca="false">DURATION(DATE(2023,8,31),DATE(2025,2,28),0.05,0.08,2,0)</f>
        <v>1.45730296546407</v>
      </c>
      <c r="B8142" s="0" t="s">
        <v>8121</v>
      </c>
    </row>
    <row r="8143" customFormat="false" ht="15" hidden="false" customHeight="false" outlineLevel="0" collapsed="false">
      <c r="A8143" s="0" t="n">
        <f aca="false">DURATION(DATE(2023,8,31),DATE(2025,2,28),0.1,0.03,2,0)</f>
        <v>1.42771804016764</v>
      </c>
      <c r="B8143" s="0" t="s">
        <v>8122</v>
      </c>
    </row>
    <row r="8144" customFormat="false" ht="15" hidden="false" customHeight="false" outlineLevel="0" collapsed="false">
      <c r="A8144" s="0" t="n">
        <f aca="false">DURATION(DATE(2023,8,31),DATE(2025,2,28),0,0.05,2,0)</f>
        <v>1.49444444444444</v>
      </c>
      <c r="B8144" s="0" t="s">
        <v>8123</v>
      </c>
    </row>
    <row r="8145" customFormat="false" ht="15" hidden="false" customHeight="false" outlineLevel="0" collapsed="false">
      <c r="A8145" s="0" t="n">
        <f aca="false">MDURATION(DATE(2023,8,31),DATE(2025,2,28),0.05,0.08,2,0)</f>
        <v>1.40125285140776</v>
      </c>
      <c r="B8145" s="0" t="s">
        <v>8124</v>
      </c>
    </row>
    <row r="8146" customFormat="false" ht="15" hidden="false" customHeight="false" outlineLevel="0" collapsed="false">
      <c r="A8146" s="0" t="n">
        <f aca="false">MDURATION(DATE(2023,8,31),DATE(2025,2,28),0.1,0.03,2,0)</f>
        <v>1.40661875878585</v>
      </c>
      <c r="B8146" s="0" t="s">
        <v>8125</v>
      </c>
    </row>
    <row r="8147" customFormat="false" ht="15" hidden="false" customHeight="false" outlineLevel="0" collapsed="false">
      <c r="A8147" s="0" t="n">
        <f aca="false">PRICE(DATE(2023,8,31),DATE(2025,2,28),0.05,0.08,100,2,1)</f>
        <v>95.8373634501593</v>
      </c>
      <c r="B8147" s="0" t="s">
        <v>8126</v>
      </c>
    </row>
    <row r="8148" customFormat="false" ht="15" hidden="false" customHeight="false" outlineLevel="0" collapsed="false">
      <c r="A8148" s="0" t="n">
        <f aca="false">PRICE(DATE(2023,8,31),DATE(2025,2,28),0.1,0.03,105,2,1)</f>
        <v>114.974286429133</v>
      </c>
      <c r="B8148" s="0" t="s">
        <v>8127</v>
      </c>
    </row>
    <row r="8149" customFormat="false" ht="15" hidden="false" customHeight="false" outlineLevel="0" collapsed="false">
      <c r="A8149" s="0" t="n">
        <f aca="false">PRICE(DATE(2023,8,31),DATE(2025,2,28),0,0.05,100,2,1)</f>
        <v>92.8599410919749</v>
      </c>
      <c r="B8149" s="0" t="s">
        <v>8128</v>
      </c>
    </row>
    <row r="8150" customFormat="false" ht="15" hidden="false" customHeight="false" outlineLevel="0" collapsed="false">
      <c r="A8150" s="0" t="n">
        <f aca="false">YIELD(DATE(2023,8,31),DATE(2025,2,28),0.05,95,100,2,1)</f>
        <v>0.0862487399523156</v>
      </c>
      <c r="B8150" s="0" t="s">
        <v>8129</v>
      </c>
    </row>
    <row r="8151" customFormat="false" ht="15" hidden="false" customHeight="false" outlineLevel="0" collapsed="false">
      <c r="A8151" s="0" t="n">
        <f aca="false">YIELD(DATE(2023,8,31),DATE(2025,2,28),0.1,101.5,100,2,1)</f>
        <v>0.0890960991336292</v>
      </c>
      <c r="B8151" s="0" t="s">
        <v>8130</v>
      </c>
    </row>
    <row r="8152" customFormat="false" ht="15" hidden="false" customHeight="false" outlineLevel="0" collapsed="false">
      <c r="A8152" s="0" t="n">
        <f aca="false">YIELD(DATE(2023,8,31),DATE(2025,2,28),0.05,100,100,2,1)</f>
        <v>0.0500000000000015</v>
      </c>
      <c r="B8152" s="0" t="s">
        <v>8131</v>
      </c>
    </row>
    <row r="8153" customFormat="false" ht="15" hidden="false" customHeight="false" outlineLevel="0" collapsed="false">
      <c r="A8153" s="0" t="n">
        <f aca="false">DURATION(DATE(2023,8,31),DATE(2025,2,28),0.05,0.08,2,1)</f>
        <v>1.46012129474226</v>
      </c>
      <c r="B8153" s="0" t="s">
        <v>8132</v>
      </c>
    </row>
    <row r="8154" customFormat="false" ht="15" hidden="false" customHeight="false" outlineLevel="0" collapsed="false">
      <c r="A8154" s="0" t="n">
        <f aca="false">DURATION(DATE(2023,8,31),DATE(2025,2,28),0.1,0.03,2,1)</f>
        <v>1.43053636944582</v>
      </c>
      <c r="B8154" s="0" t="s">
        <v>8133</v>
      </c>
    </row>
    <row r="8155" customFormat="false" ht="15" hidden="false" customHeight="false" outlineLevel="0" collapsed="false">
      <c r="A8155" s="0" t="n">
        <f aca="false">DURATION(DATE(2023,8,31),DATE(2025,2,28),0,0.05,2,1)</f>
        <v>1.49726277372263</v>
      </c>
      <c r="B8155" s="0" t="s">
        <v>8134</v>
      </c>
    </row>
    <row r="8156" customFormat="false" ht="15" hidden="false" customHeight="false" outlineLevel="0" collapsed="false">
      <c r="A8156" s="0" t="n">
        <f aca="false">MDURATION(DATE(2023,8,31),DATE(2025,2,28),0.05,0.08,2,1)</f>
        <v>1.40396278340602</v>
      </c>
      <c r="B8156" s="0" t="s">
        <v>8135</v>
      </c>
    </row>
    <row r="8157" customFormat="false" ht="15" hidden="false" customHeight="false" outlineLevel="0" collapsed="false">
      <c r="A8157" s="0" t="n">
        <f aca="false">MDURATION(DATE(2023,8,31),DATE(2025,2,28),0.1,0.03,2,1)</f>
        <v>1.40939543787766</v>
      </c>
      <c r="B8157" s="0" t="s">
        <v>8136</v>
      </c>
    </row>
    <row r="8158" customFormat="false" ht="15" hidden="false" customHeight="false" outlineLevel="0" collapsed="false">
      <c r="A8158" s="0" t="n">
        <f aca="false">PRICE(DATE(2023,8,31),DATE(2025,2,28),0.05,0.08,100,2,2)</f>
        <v>95.7956079963545</v>
      </c>
      <c r="B8158" s="0" t="s">
        <v>8137</v>
      </c>
    </row>
    <row r="8159" customFormat="false" ht="15" hidden="false" customHeight="false" outlineLevel="0" collapsed="false">
      <c r="A8159" s="0" t="n">
        <f aca="false">PRICE(DATE(2023,8,31),DATE(2025,2,28),0.1,0.03,105,2,2)</f>
        <v>114.955267917868</v>
      </c>
      <c r="B8159" s="0" t="s">
        <v>8138</v>
      </c>
    </row>
    <row r="8160" customFormat="false" ht="15" hidden="false" customHeight="false" outlineLevel="0" collapsed="false">
      <c r="A8160" s="0" t="n">
        <f aca="false">PRICE(DATE(2023,8,31),DATE(2025,2,28),0,0.05,100,2,2)</f>
        <v>92.8344673138738</v>
      </c>
      <c r="B8160" s="0" t="s">
        <v>8139</v>
      </c>
    </row>
    <row r="8161" customFormat="false" ht="15" hidden="false" customHeight="false" outlineLevel="0" collapsed="false">
      <c r="A8161" s="0" t="n">
        <f aca="false">YIELD(DATE(2023,8,31),DATE(2025,2,28),0.05,95,100,2,2)</f>
        <v>0.0859154791048472</v>
      </c>
      <c r="B8161" s="0" t="s">
        <v>8140</v>
      </c>
    </row>
    <row r="8162" customFormat="false" ht="15" hidden="false" customHeight="false" outlineLevel="0" collapsed="false">
      <c r="A8162" s="0" t="n">
        <f aca="false">YIELD(DATE(2023,8,31),DATE(2025,2,28),0.1,101.5,100,2,2)</f>
        <v>0.0887438285376729</v>
      </c>
      <c r="B8162" s="0" t="s">
        <v>8141</v>
      </c>
    </row>
    <row r="8163" customFormat="false" ht="15" hidden="false" customHeight="false" outlineLevel="0" collapsed="false">
      <c r="A8163" s="0" t="n">
        <f aca="false">YIELD(DATE(2023,8,31),DATE(2025,2,28),0.05,100,100,2,2)</f>
        <v>0.0498086068402179</v>
      </c>
      <c r="B8163" s="0" t="s">
        <v>8142</v>
      </c>
    </row>
    <row r="8164" customFormat="false" ht="15" hidden="false" customHeight="false" outlineLevel="0" collapsed="false">
      <c r="A8164" s="0" t="n">
        <f aca="false">DURATION(DATE(2023,8,31),DATE(2025,2,28),0.05,0.08,2,2)</f>
        <v>1.48230296546407</v>
      </c>
      <c r="B8164" s="0" t="s">
        <v>8143</v>
      </c>
    </row>
    <row r="8165" customFormat="false" ht="15" hidden="false" customHeight="false" outlineLevel="0" collapsed="false">
      <c r="A8165" s="0" t="n">
        <f aca="false">DURATION(DATE(2023,8,31),DATE(2025,2,28),0.1,0.03,2,2)</f>
        <v>1.45271804016764</v>
      </c>
      <c r="B8165" s="0" t="s">
        <v>8144</v>
      </c>
    </row>
    <row r="8166" customFormat="false" ht="15" hidden="false" customHeight="false" outlineLevel="0" collapsed="false">
      <c r="A8166" s="0" t="n">
        <f aca="false">DURATION(DATE(2023,8,31),DATE(2025,2,28),0,0.05,2,2)</f>
        <v>1.51944444444444</v>
      </c>
      <c r="B8166" s="0" t="s">
        <v>8145</v>
      </c>
    </row>
    <row r="8167" customFormat="false" ht="15" hidden="false" customHeight="false" outlineLevel="0" collapsed="false">
      <c r="A8167" s="0" t="n">
        <f aca="false">MDURATION(DATE(2023,8,31),DATE(2025,2,28),0.05,0.08,2,2)</f>
        <v>1.42529131294622</v>
      </c>
      <c r="B8167" s="0" t="s">
        <v>8146</v>
      </c>
    </row>
    <row r="8168" customFormat="false" ht="15" hidden="false" customHeight="false" outlineLevel="0" collapsed="false">
      <c r="A8168" s="0" t="n">
        <f aca="false">MDURATION(DATE(2023,8,31),DATE(2025,2,28),0.1,0.03,2,2)</f>
        <v>1.43124930065777</v>
      </c>
      <c r="B8168" s="0" t="s">
        <v>8147</v>
      </c>
    </row>
    <row r="8169" customFormat="false" ht="15" hidden="false" customHeight="false" outlineLevel="0" collapsed="false">
      <c r="A8169" s="0" t="n">
        <f aca="false">PRICE(DATE(2023,8,31),DATE(2025,2,28),0.05,0.08,100,2,3)</f>
        <v>95.8476621123458</v>
      </c>
      <c r="B8169" s="0" t="s">
        <v>8148</v>
      </c>
    </row>
    <row r="8170" customFormat="false" ht="15" hidden="false" customHeight="false" outlineLevel="0" collapsed="false">
      <c r="A8170" s="0" t="n">
        <f aca="false">PRICE(DATE(2023,8,31),DATE(2025,2,28),0.1,0.03,105,2,3)</f>
        <v>114.978976408614</v>
      </c>
      <c r="B8170" s="0" t="s">
        <v>8149</v>
      </c>
    </row>
    <row r="8171" customFormat="false" ht="15" hidden="false" customHeight="false" outlineLevel="0" collapsed="false">
      <c r="A8171" s="0" t="n">
        <f aca="false">PRICE(DATE(2023,8,31),DATE(2025,2,28),0,0.05,100,2,3)</f>
        <v>92.8662233717355</v>
      </c>
      <c r="B8171" s="0" t="s">
        <v>8150</v>
      </c>
    </row>
    <row r="8172" customFormat="false" ht="15" hidden="false" customHeight="false" outlineLevel="0" collapsed="false">
      <c r="A8172" s="0" t="n">
        <f aca="false">YIELD(DATE(2023,8,31),DATE(2025,2,28),0.05,95,100,2,3)</f>
        <v>0.0863313118616992</v>
      </c>
      <c r="B8172" s="0" t="s">
        <v>8151</v>
      </c>
    </row>
    <row r="8173" customFormat="false" ht="15" hidden="false" customHeight="false" outlineLevel="0" collapsed="false">
      <c r="A8173" s="0" t="n">
        <f aca="false">YIELD(DATE(2023,8,31),DATE(2025,2,28),0.1,101.5,100,2,3)</f>
        <v>0.0891833912358108</v>
      </c>
      <c r="B8173" s="0" t="s">
        <v>8152</v>
      </c>
    </row>
    <row r="8174" customFormat="false" ht="15" hidden="false" customHeight="false" outlineLevel="0" collapsed="false">
      <c r="A8174" s="0" t="n">
        <f aca="false">YIELD(DATE(2023,8,31),DATE(2025,2,28),0.05,100,100,2,3)</f>
        <v>0.0500474192028597</v>
      </c>
      <c r="B8174" s="0" t="s">
        <v>8153</v>
      </c>
    </row>
    <row r="8175" customFormat="false" ht="15" hidden="false" customHeight="false" outlineLevel="0" collapsed="false">
      <c r="A8175" s="0" t="n">
        <f aca="false">DURATION(DATE(2023,8,31),DATE(2025,2,28),0.05,0.08,2,3)</f>
        <v>1.46148865800593</v>
      </c>
      <c r="B8175" s="0" t="s">
        <v>8154</v>
      </c>
    </row>
    <row r="8176" customFormat="false" ht="15" hidden="false" customHeight="false" outlineLevel="0" collapsed="false">
      <c r="A8176" s="0" t="n">
        <f aca="false">DURATION(DATE(2023,8,31),DATE(2025,2,28),0.1,0.03,2,3)</f>
        <v>1.43190373270949</v>
      </c>
      <c r="B8176" s="0" t="s">
        <v>8155</v>
      </c>
    </row>
    <row r="8177" customFormat="false" ht="15" hidden="false" customHeight="false" outlineLevel="0" collapsed="false">
      <c r="A8177" s="0" t="n">
        <f aca="false">DURATION(DATE(2023,8,31),DATE(2025,2,28),0,0.05,2,3)</f>
        <v>1.4986301369863</v>
      </c>
      <c r="B8177" s="0" t="s">
        <v>8156</v>
      </c>
    </row>
    <row r="8178" customFormat="false" ht="15" hidden="false" customHeight="false" outlineLevel="0" collapsed="false">
      <c r="A8178" s="0" t="n">
        <f aca="false">MDURATION(DATE(2023,8,31),DATE(2025,2,28),0.05,0.08,2,3)</f>
        <v>1.40527755577493</v>
      </c>
      <c r="B8178" s="0" t="s">
        <v>8157</v>
      </c>
    </row>
    <row r="8179" customFormat="false" ht="15" hidden="false" customHeight="false" outlineLevel="0" collapsed="false">
      <c r="A8179" s="0" t="n">
        <f aca="false">MDURATION(DATE(2023,8,31),DATE(2025,2,28),0.1,0.03,2,3)</f>
        <v>1.41074259380246</v>
      </c>
      <c r="B8179" s="0" t="s">
        <v>8158</v>
      </c>
    </row>
    <row r="8180" customFormat="false" ht="15" hidden="false" customHeight="false" outlineLevel="0" collapsed="false">
      <c r="A8180" s="0" t="n">
        <f aca="false">PRICE(DATE(2023,8,31),DATE(2025,2,28),0.05,0.08,100,2,4)</f>
        <v>95.8373634501593</v>
      </c>
      <c r="B8180" s="0" t="s">
        <v>8159</v>
      </c>
    </row>
    <row r="8181" customFormat="false" ht="15" hidden="false" customHeight="false" outlineLevel="0" collapsed="false">
      <c r="A8181" s="0" t="n">
        <f aca="false">PRICE(DATE(2023,8,31),DATE(2025,2,28),0.1,0.03,105,2,4)</f>
        <v>114.974286429133</v>
      </c>
      <c r="B8181" s="0" t="s">
        <v>8160</v>
      </c>
    </row>
    <row r="8182" customFormat="false" ht="15" hidden="false" customHeight="false" outlineLevel="0" collapsed="false">
      <c r="A8182" s="0" t="n">
        <f aca="false">PRICE(DATE(2023,8,31),DATE(2025,2,28),0,0.05,100,2,4)</f>
        <v>92.8599410919749</v>
      </c>
      <c r="B8182" s="0" t="s">
        <v>8161</v>
      </c>
    </row>
    <row r="8183" customFormat="false" ht="15" hidden="false" customHeight="false" outlineLevel="0" collapsed="false">
      <c r="A8183" s="0" t="n">
        <f aca="false">YIELD(DATE(2023,8,31),DATE(2025,2,28),0.05,95,100,2,4)</f>
        <v>0.0862487399523156</v>
      </c>
      <c r="B8183" s="0" t="s">
        <v>8162</v>
      </c>
    </row>
    <row r="8184" customFormat="false" ht="15" hidden="false" customHeight="false" outlineLevel="0" collapsed="false">
      <c r="A8184" s="0" t="n">
        <f aca="false">YIELD(DATE(2023,8,31),DATE(2025,2,28),0.1,101.5,100,2,4)</f>
        <v>0.0890960991336292</v>
      </c>
      <c r="B8184" s="0" t="s">
        <v>8163</v>
      </c>
    </row>
    <row r="8185" customFormat="false" ht="15" hidden="false" customHeight="false" outlineLevel="0" collapsed="false">
      <c r="A8185" s="0" t="n">
        <f aca="false">YIELD(DATE(2023,8,31),DATE(2025,2,28),0.05,100,100,2,4)</f>
        <v>0.0500000000000015</v>
      </c>
      <c r="B8185" s="0" t="s">
        <v>8164</v>
      </c>
    </row>
    <row r="8186" customFormat="false" ht="15" hidden="false" customHeight="false" outlineLevel="0" collapsed="false">
      <c r="A8186" s="0" t="n">
        <f aca="false">DURATION(DATE(2023,8,31),DATE(2025,2,28),0.05,0.08,2,4)</f>
        <v>1.45730296546407</v>
      </c>
      <c r="B8186" s="0" t="s">
        <v>8165</v>
      </c>
    </row>
    <row r="8187" customFormat="false" ht="15" hidden="false" customHeight="false" outlineLevel="0" collapsed="false">
      <c r="A8187" s="0" t="n">
        <f aca="false">DURATION(DATE(2023,8,31),DATE(2025,2,28),0.1,0.03,2,4)</f>
        <v>1.42771804016764</v>
      </c>
      <c r="B8187" s="0" t="s">
        <v>8166</v>
      </c>
    </row>
    <row r="8188" customFormat="false" ht="15" hidden="false" customHeight="false" outlineLevel="0" collapsed="false">
      <c r="A8188" s="0" t="n">
        <f aca="false">DURATION(DATE(2023,8,31),DATE(2025,2,28),0,0.05,2,4)</f>
        <v>1.49444444444444</v>
      </c>
      <c r="B8188" s="0" t="s">
        <v>8167</v>
      </c>
    </row>
    <row r="8189" customFormat="false" ht="15" hidden="false" customHeight="false" outlineLevel="0" collapsed="false">
      <c r="A8189" s="0" t="n">
        <f aca="false">MDURATION(DATE(2023,8,31),DATE(2025,2,28),0.05,0.08,2,4)</f>
        <v>1.40125285140776</v>
      </c>
      <c r="B8189" s="0" t="s">
        <v>8168</v>
      </c>
    </row>
    <row r="8190" customFormat="false" ht="15" hidden="false" customHeight="false" outlineLevel="0" collapsed="false">
      <c r="A8190" s="0" t="n">
        <f aca="false">MDURATION(DATE(2023,8,31),DATE(2025,2,28),0.1,0.03,2,4)</f>
        <v>1.40661875878585</v>
      </c>
      <c r="B8190" s="0" t="s">
        <v>8169</v>
      </c>
    </row>
    <row r="8191" customFormat="false" ht="15" hidden="false" customHeight="false" outlineLevel="0" collapsed="false">
      <c r="A8191" s="0" t="n">
        <f aca="false">PRICE(DATE(2023,8,31),DATE(2025,2,28),0.05,0.08,100,4,0)</f>
        <v>95.7989268319822</v>
      </c>
      <c r="B8191" s="0" t="s">
        <v>8170</v>
      </c>
    </row>
    <row r="8192" customFormat="false" ht="15" hidden="false" customHeight="false" outlineLevel="0" collapsed="false">
      <c r="A8192" s="0" t="n">
        <f aca="false">PRICE(DATE(2023,8,31),DATE(2025,2,28),0.1,0.03,105,4,0)</f>
        <v>115.010585941837</v>
      </c>
      <c r="B8192" s="0" t="s">
        <v>8171</v>
      </c>
    </row>
    <row r="8193" customFormat="false" ht="15" hidden="false" customHeight="false" outlineLevel="0" collapsed="false">
      <c r="A8193" s="0" t="n">
        <f aca="false">PRICE(DATE(2023,8,31),DATE(2025,2,28),0,0.05,100,4,0)</f>
        <v>92.8174875992956</v>
      </c>
      <c r="B8193" s="0" t="s">
        <v>8172</v>
      </c>
    </row>
    <row r="8194" customFormat="false" ht="15" hidden="false" customHeight="false" outlineLevel="0" collapsed="false">
      <c r="A8194" s="0" t="n">
        <f aca="false">YIELD(DATE(2023,8,31),DATE(2025,2,28),0.05,95,100,4,0)</f>
        <v>0.0858825733546785</v>
      </c>
      <c r="B8194" s="0" t="s">
        <v>8173</v>
      </c>
    </row>
    <row r="8195" customFormat="false" ht="15" hidden="false" customHeight="false" outlineLevel="0" collapsed="false">
      <c r="A8195" s="0" t="n">
        <f aca="false">YIELD(DATE(2023,8,31),DATE(2025,2,28),0.1,101.5,100,4,0)</f>
        <v>0.0892051129942483</v>
      </c>
      <c r="B8195" s="0" t="s">
        <v>8174</v>
      </c>
    </row>
    <row r="8196" customFormat="false" ht="15" hidden="false" customHeight="false" outlineLevel="0" collapsed="false">
      <c r="A8196" s="0" t="n">
        <f aca="false">YIELD(DATE(2023,8,31),DATE(2025,2,28),0.05,100,100,4,0)</f>
        <v>0.0500000000000009</v>
      </c>
      <c r="B8196" s="0" t="s">
        <v>8175</v>
      </c>
    </row>
    <row r="8197" customFormat="false" ht="15" hidden="false" customHeight="false" outlineLevel="0" collapsed="false">
      <c r="A8197" s="0" t="n">
        <f aca="false">DURATION(DATE(2023,8,31),DATE(2025,2,28),0.05,0.08,4,0)</f>
        <v>1.44770910692366</v>
      </c>
      <c r="B8197" s="0" t="s">
        <v>8176</v>
      </c>
    </row>
    <row r="8198" customFormat="false" ht="15" hidden="false" customHeight="false" outlineLevel="0" collapsed="false">
      <c r="A8198" s="0" t="n">
        <f aca="false">DURATION(DATE(2023,8,31),DATE(2025,2,28),0.1,0.03,4,0)</f>
        <v>1.410861185</v>
      </c>
      <c r="B8198" s="0" t="s">
        <v>8177</v>
      </c>
    </row>
    <row r="8199" customFormat="false" ht="15" hidden="false" customHeight="false" outlineLevel="0" collapsed="false">
      <c r="A8199" s="0" t="n">
        <f aca="false">DURATION(DATE(2023,8,31),DATE(2025,2,28),0,0.05,4,0)</f>
        <v>1.49444444444444</v>
      </c>
      <c r="B8199" s="0" t="s">
        <v>8178</v>
      </c>
    </row>
    <row r="8200" customFormat="false" ht="15" hidden="false" customHeight="false" outlineLevel="0" collapsed="false">
      <c r="A8200" s="0" t="n">
        <f aca="false">MDURATION(DATE(2023,8,31),DATE(2025,2,28),0.05,0.08,4,0)</f>
        <v>1.41932265384672</v>
      </c>
      <c r="B8200" s="0" t="s">
        <v>8179</v>
      </c>
    </row>
    <row r="8201" customFormat="false" ht="15" hidden="false" customHeight="false" outlineLevel="0" collapsed="false">
      <c r="A8201" s="0" t="n">
        <f aca="false">MDURATION(DATE(2023,8,31),DATE(2025,2,28),0.1,0.03,4,0)</f>
        <v>1.40035849627792</v>
      </c>
      <c r="B8201" s="0" t="s">
        <v>8180</v>
      </c>
    </row>
    <row r="8202" customFormat="false" ht="15" hidden="false" customHeight="false" outlineLevel="0" collapsed="false">
      <c r="A8202" s="0" t="n">
        <f aca="false">PRICE(DATE(2023,8,31),DATE(2025,2,28),0.05,0.08,100,4,1)</f>
        <v>95.7989268319822</v>
      </c>
      <c r="B8202" s="0" t="s">
        <v>8181</v>
      </c>
    </row>
    <row r="8203" customFormat="false" ht="15" hidden="false" customHeight="false" outlineLevel="0" collapsed="false">
      <c r="A8203" s="0" t="n">
        <f aca="false">PRICE(DATE(2023,8,31),DATE(2025,2,28),0.1,0.03,105,4,1)</f>
        <v>115.010585941837</v>
      </c>
      <c r="B8203" s="0" t="s">
        <v>8182</v>
      </c>
    </row>
    <row r="8204" customFormat="false" ht="15" hidden="false" customHeight="false" outlineLevel="0" collapsed="false">
      <c r="A8204" s="0" t="n">
        <f aca="false">PRICE(DATE(2023,8,31),DATE(2025,2,28),0,0.05,100,4,1)</f>
        <v>92.8174875992956</v>
      </c>
      <c r="B8204" s="0" t="s">
        <v>8183</v>
      </c>
    </row>
    <row r="8205" customFormat="false" ht="15" hidden="false" customHeight="false" outlineLevel="0" collapsed="false">
      <c r="A8205" s="0" t="n">
        <f aca="false">YIELD(DATE(2023,8,31),DATE(2025,2,28),0.05,95,100,4,1)</f>
        <v>0.0858825733546785</v>
      </c>
      <c r="B8205" s="0" t="s">
        <v>8184</v>
      </c>
    </row>
    <row r="8206" customFormat="false" ht="15" hidden="false" customHeight="false" outlineLevel="0" collapsed="false">
      <c r="A8206" s="0" t="n">
        <f aca="false">YIELD(DATE(2023,8,31),DATE(2025,2,28),0.1,101.5,100,4,1)</f>
        <v>0.0892051129942483</v>
      </c>
      <c r="B8206" s="0" t="s">
        <v>8185</v>
      </c>
    </row>
    <row r="8207" customFormat="false" ht="15" hidden="false" customHeight="false" outlineLevel="0" collapsed="false">
      <c r="A8207" s="0" t="n">
        <f aca="false">YIELD(DATE(2023,8,31),DATE(2025,2,28),0.05,100,100,4,1)</f>
        <v>0.0500000000000009</v>
      </c>
      <c r="B8207" s="0" t="s">
        <v>8186</v>
      </c>
    </row>
    <row r="8208" customFormat="false" ht="15" hidden="false" customHeight="false" outlineLevel="0" collapsed="false">
      <c r="A8208" s="0" t="n">
        <f aca="false">DURATION(DATE(2023,8,31),DATE(2025,2,28),0.05,0.08,4,1)</f>
        <v>1.45052743620184</v>
      </c>
      <c r="B8208" s="0" t="s">
        <v>8187</v>
      </c>
    </row>
    <row r="8209" customFormat="false" ht="15" hidden="false" customHeight="false" outlineLevel="0" collapsed="false">
      <c r="A8209" s="0" t="n">
        <f aca="false">DURATION(DATE(2023,8,31),DATE(2025,2,28),0.1,0.03,4,1)</f>
        <v>1.41367951427818</v>
      </c>
      <c r="B8209" s="0" t="s">
        <v>8188</v>
      </c>
    </row>
    <row r="8210" customFormat="false" ht="15" hidden="false" customHeight="false" outlineLevel="0" collapsed="false">
      <c r="A8210" s="0" t="n">
        <f aca="false">DURATION(DATE(2023,8,31),DATE(2025,2,28),0,0.05,4,1)</f>
        <v>1.49726277372263</v>
      </c>
      <c r="B8210" s="0" t="s">
        <v>8189</v>
      </c>
    </row>
    <row r="8211" customFormat="false" ht="15" hidden="false" customHeight="false" outlineLevel="0" collapsed="false">
      <c r="A8211" s="0" t="n">
        <f aca="false">MDURATION(DATE(2023,8,31),DATE(2025,2,28),0.05,0.08,4,1)</f>
        <v>1.42208572176651</v>
      </c>
      <c r="B8211" s="0" t="s">
        <v>8190</v>
      </c>
    </row>
    <row r="8212" customFormat="false" ht="15" hidden="false" customHeight="false" outlineLevel="0" collapsed="false">
      <c r="A8212" s="0" t="n">
        <f aca="false">MDURATION(DATE(2023,8,31),DATE(2025,2,28),0.1,0.03,4,1)</f>
        <v>1.4031558454374</v>
      </c>
      <c r="B8212" s="0" t="s">
        <v>8191</v>
      </c>
    </row>
    <row r="8213" customFormat="false" ht="15" hidden="false" customHeight="false" outlineLevel="0" collapsed="false">
      <c r="A8213" s="0" t="n">
        <f aca="false">PRICE(DATE(2023,8,31),DATE(2025,2,28),0.05,0.08,100,4,2)</f>
        <v>95.7778505902789</v>
      </c>
      <c r="B8213" s="0" t="s">
        <v>8192</v>
      </c>
    </row>
    <row r="8214" customFormat="false" ht="15" hidden="false" customHeight="false" outlineLevel="0" collapsed="false">
      <c r="A8214" s="0" t="n">
        <f aca="false">PRICE(DATE(2023,8,31),DATE(2025,2,28),0.1,0.03,105,4,2)</f>
        <v>115.001037884807</v>
      </c>
      <c r="B8214" s="0" t="s">
        <v>8193</v>
      </c>
    </row>
    <row r="8215" customFormat="false" ht="15" hidden="false" customHeight="false" outlineLevel="0" collapsed="false">
      <c r="A8215" s="0" t="n">
        <f aca="false">PRICE(DATE(2023,8,31),DATE(2025,2,28),0,0.05,100,4,2)</f>
        <v>92.8046770712448</v>
      </c>
      <c r="B8215" s="0" t="s">
        <v>8194</v>
      </c>
    </row>
    <row r="8216" customFormat="false" ht="15" hidden="false" customHeight="false" outlineLevel="0" collapsed="false">
      <c r="A8216" s="0" t="n">
        <f aca="false">YIELD(DATE(2023,8,31),DATE(2025,2,28),0.05,95,100,4,2)</f>
        <v>0.0857169604432445</v>
      </c>
      <c r="B8216" s="0" t="s">
        <v>8195</v>
      </c>
    </row>
    <row r="8217" customFormat="false" ht="15" hidden="false" customHeight="false" outlineLevel="0" collapsed="false">
      <c r="A8217" s="0" t="n">
        <f aca="false">YIELD(DATE(2023,8,31),DATE(2025,2,28),0.1,101.5,100,4,2)</f>
        <v>0.0890280629808932</v>
      </c>
      <c r="B8217" s="0" t="s">
        <v>8196</v>
      </c>
    </row>
    <row r="8218" customFormat="false" ht="15" hidden="false" customHeight="false" outlineLevel="0" collapsed="false">
      <c r="A8218" s="0" t="n">
        <f aca="false">YIELD(DATE(2023,8,31),DATE(2025,2,28),0.05,100,100,4,2)</f>
        <v>0.0499040982637824</v>
      </c>
      <c r="B8218" s="0" t="s">
        <v>8197</v>
      </c>
    </row>
    <row r="8219" customFormat="false" ht="15" hidden="false" customHeight="false" outlineLevel="0" collapsed="false">
      <c r="A8219" s="0" t="n">
        <f aca="false">DURATION(DATE(2023,8,31),DATE(2025,2,28),0.05,0.08,4,2)</f>
        <v>1.47270910692366</v>
      </c>
      <c r="B8219" s="0" t="s">
        <v>8198</v>
      </c>
    </row>
    <row r="8220" customFormat="false" ht="15" hidden="false" customHeight="false" outlineLevel="0" collapsed="false">
      <c r="A8220" s="0" t="n">
        <f aca="false">DURATION(DATE(2023,8,31),DATE(2025,2,28),0.1,0.03,4,2)</f>
        <v>1.435861185</v>
      </c>
      <c r="B8220" s="0" t="s">
        <v>8199</v>
      </c>
    </row>
    <row r="8221" customFormat="false" ht="15" hidden="false" customHeight="false" outlineLevel="0" collapsed="false">
      <c r="A8221" s="0" t="n">
        <f aca="false">DURATION(DATE(2023,8,31),DATE(2025,2,28),0,0.05,4,2)</f>
        <v>1.51944444444444</v>
      </c>
      <c r="B8221" s="0" t="s">
        <v>8200</v>
      </c>
    </row>
    <row r="8222" customFormat="false" ht="15" hidden="false" customHeight="false" outlineLevel="0" collapsed="false">
      <c r="A8222" s="0" t="n">
        <f aca="false">MDURATION(DATE(2023,8,31),DATE(2025,2,28),0.05,0.08,4,2)</f>
        <v>1.44383245776829</v>
      </c>
      <c r="B8222" s="0" t="s">
        <v>8201</v>
      </c>
    </row>
    <row r="8223" customFormat="false" ht="15" hidden="false" customHeight="false" outlineLevel="0" collapsed="false">
      <c r="A8223" s="0" t="n">
        <f aca="false">MDURATION(DATE(2023,8,31),DATE(2025,2,28),0.1,0.03,4,2)</f>
        <v>1.42517239205955</v>
      </c>
      <c r="B8223" s="0" t="s">
        <v>8202</v>
      </c>
    </row>
    <row r="8224" customFormat="false" ht="15" hidden="false" customHeight="false" outlineLevel="0" collapsed="false">
      <c r="A8224" s="0" t="n">
        <f aca="false">PRICE(DATE(2023,8,31),DATE(2025,2,28),0.05,0.08,100,4,3)</f>
        <v>95.8041244262451</v>
      </c>
      <c r="B8224" s="0" t="s">
        <v>8203</v>
      </c>
    </row>
    <row r="8225" customFormat="false" ht="15" hidden="false" customHeight="false" outlineLevel="0" collapsed="false">
      <c r="A8225" s="0" t="n">
        <f aca="false">PRICE(DATE(2023,8,31),DATE(2025,2,28),0.1,0.03,105,4,3)</f>
        <v>115.012940379099</v>
      </c>
      <c r="B8225" s="0" t="s">
        <v>8204</v>
      </c>
    </row>
    <row r="8226" customFormat="false" ht="15" hidden="false" customHeight="false" outlineLevel="0" collapsed="false">
      <c r="A8226" s="0" t="n">
        <f aca="false">PRICE(DATE(2023,8,31),DATE(2025,2,28),0,0.05,100,4,3)</f>
        <v>92.820646631398</v>
      </c>
      <c r="B8226" s="0" t="s">
        <v>8205</v>
      </c>
    </row>
    <row r="8227" customFormat="false" ht="15" hidden="false" customHeight="false" outlineLevel="0" collapsed="false">
      <c r="A8227" s="0" t="n">
        <f aca="false">YIELD(DATE(2023,8,31),DATE(2025,2,28),0.05,95,100,4,3)</f>
        <v>0.0859235079292471</v>
      </c>
      <c r="B8227" s="0" t="s">
        <v>8206</v>
      </c>
    </row>
    <row r="8228" customFormat="false" ht="15" hidden="false" customHeight="false" outlineLevel="0" collapsed="false">
      <c r="A8228" s="0" t="n">
        <f aca="false">YIELD(DATE(2023,8,31),DATE(2025,2,28),0.1,101.5,100,4,3)</f>
        <v>0.0892488776831571</v>
      </c>
      <c r="B8228" s="0" t="s">
        <v>8207</v>
      </c>
    </row>
    <row r="8229" customFormat="false" ht="15" hidden="false" customHeight="false" outlineLevel="0" collapsed="false">
      <c r="A8229" s="0" t="n">
        <f aca="false">YIELD(DATE(2023,8,31),DATE(2025,2,28),0.05,100,100,4,3)</f>
        <v>0.0500237037160403</v>
      </c>
      <c r="B8229" s="0" t="s">
        <v>8208</v>
      </c>
    </row>
    <row r="8230" customFormat="false" ht="15" hidden="false" customHeight="false" outlineLevel="0" collapsed="false">
      <c r="A8230" s="0" t="n">
        <f aca="false">DURATION(DATE(2023,8,31),DATE(2025,2,28),0.05,0.08,4,3)</f>
        <v>1.45189479946552</v>
      </c>
      <c r="B8230" s="0" t="s">
        <v>8209</v>
      </c>
    </row>
    <row r="8231" customFormat="false" ht="15" hidden="false" customHeight="false" outlineLevel="0" collapsed="false">
      <c r="A8231" s="0" t="n">
        <f aca="false">DURATION(DATE(2023,8,31),DATE(2025,2,28),0.1,0.03,4,3)</f>
        <v>1.41504687754186</v>
      </c>
      <c r="B8231" s="0" t="s">
        <v>8210</v>
      </c>
    </row>
    <row r="8232" customFormat="false" ht="15" hidden="false" customHeight="false" outlineLevel="0" collapsed="false">
      <c r="A8232" s="0" t="n">
        <f aca="false">DURATION(DATE(2023,8,31),DATE(2025,2,28),0,0.05,4,3)</f>
        <v>1.4986301369863</v>
      </c>
      <c r="B8232" s="0" t="s">
        <v>8211</v>
      </c>
    </row>
    <row r="8233" customFormat="false" ht="15" hidden="false" customHeight="false" outlineLevel="0" collapsed="false">
      <c r="A8233" s="0" t="n">
        <f aca="false">MDURATION(DATE(2023,8,31),DATE(2025,2,28),0.05,0.08,4,3)</f>
        <v>1.4234262739858</v>
      </c>
      <c r="B8233" s="0" t="s">
        <v>8212</v>
      </c>
    </row>
    <row r="8234" customFormat="false" ht="15" hidden="false" customHeight="false" outlineLevel="0" collapsed="false">
      <c r="A8234" s="0" t="n">
        <f aca="false">MDURATION(DATE(2023,8,31),DATE(2025,2,28),0.1,0.03,4,3)</f>
        <v>1.40451302981822</v>
      </c>
      <c r="B8234" s="0" t="s">
        <v>8213</v>
      </c>
    </row>
    <row r="8235" customFormat="false" ht="15" hidden="false" customHeight="false" outlineLevel="0" collapsed="false">
      <c r="A8235" s="0" t="n">
        <f aca="false">PRICE(DATE(2023,8,31),DATE(2025,2,28),0.05,0.08,100,4,4)</f>
        <v>95.7989268319822</v>
      </c>
      <c r="B8235" s="0" t="s">
        <v>8214</v>
      </c>
    </row>
    <row r="8236" customFormat="false" ht="15" hidden="false" customHeight="false" outlineLevel="0" collapsed="false">
      <c r="A8236" s="0" t="n">
        <f aca="false">PRICE(DATE(2023,8,31),DATE(2025,2,28),0.1,0.03,105,4,4)</f>
        <v>115.010585941837</v>
      </c>
      <c r="B8236" s="0" t="s">
        <v>8215</v>
      </c>
    </row>
    <row r="8237" customFormat="false" ht="15" hidden="false" customHeight="false" outlineLevel="0" collapsed="false">
      <c r="A8237" s="0" t="n">
        <f aca="false">PRICE(DATE(2023,8,31),DATE(2025,2,28),0,0.05,100,4,4)</f>
        <v>92.8174875992956</v>
      </c>
      <c r="B8237" s="0" t="s">
        <v>8216</v>
      </c>
    </row>
    <row r="8238" customFormat="false" ht="15" hidden="false" customHeight="false" outlineLevel="0" collapsed="false">
      <c r="A8238" s="0" t="n">
        <f aca="false">YIELD(DATE(2023,8,31),DATE(2025,2,28),0.05,95,100,4,4)</f>
        <v>0.0858825733546785</v>
      </c>
      <c r="B8238" s="0" t="s">
        <v>8217</v>
      </c>
    </row>
    <row r="8239" customFormat="false" ht="15" hidden="false" customHeight="false" outlineLevel="0" collapsed="false">
      <c r="A8239" s="0" t="n">
        <f aca="false">YIELD(DATE(2023,8,31),DATE(2025,2,28),0.1,101.5,100,4,4)</f>
        <v>0.0892051129942483</v>
      </c>
      <c r="B8239" s="0" t="s">
        <v>8218</v>
      </c>
    </row>
    <row r="8240" customFormat="false" ht="15" hidden="false" customHeight="false" outlineLevel="0" collapsed="false">
      <c r="A8240" s="0" t="n">
        <f aca="false">YIELD(DATE(2023,8,31),DATE(2025,2,28),0.05,100,100,4,4)</f>
        <v>0.0500000000000009</v>
      </c>
      <c r="B8240" s="0" t="s">
        <v>8219</v>
      </c>
    </row>
    <row r="8241" customFormat="false" ht="15" hidden="false" customHeight="false" outlineLevel="0" collapsed="false">
      <c r="A8241" s="0" t="n">
        <f aca="false">DURATION(DATE(2023,8,31),DATE(2025,2,28),0.05,0.08,4,4)</f>
        <v>1.44770910692366</v>
      </c>
      <c r="B8241" s="0" t="s">
        <v>8220</v>
      </c>
    </row>
    <row r="8242" customFormat="false" ht="15" hidden="false" customHeight="false" outlineLevel="0" collapsed="false">
      <c r="A8242" s="0" t="n">
        <f aca="false">DURATION(DATE(2023,8,31),DATE(2025,2,28),0.1,0.03,4,4)</f>
        <v>1.410861185</v>
      </c>
      <c r="B8242" s="0" t="s">
        <v>8221</v>
      </c>
    </row>
    <row r="8243" customFormat="false" ht="15" hidden="false" customHeight="false" outlineLevel="0" collapsed="false">
      <c r="A8243" s="0" t="n">
        <f aca="false">DURATION(DATE(2023,8,31),DATE(2025,2,28),0,0.05,4,4)</f>
        <v>1.49444444444444</v>
      </c>
      <c r="B8243" s="0" t="s">
        <v>8222</v>
      </c>
    </row>
    <row r="8244" customFormat="false" ht="15" hidden="false" customHeight="false" outlineLevel="0" collapsed="false">
      <c r="A8244" s="0" t="n">
        <f aca="false">MDURATION(DATE(2023,8,31),DATE(2025,2,28),0.05,0.08,4,4)</f>
        <v>1.41932265384672</v>
      </c>
      <c r="B8244" s="0" t="s">
        <v>8223</v>
      </c>
    </row>
    <row r="8245" customFormat="false" ht="15" hidden="false" customHeight="false" outlineLevel="0" collapsed="false">
      <c r="A8245" s="0" t="n">
        <f aca="false">MDURATION(DATE(2023,8,31),DATE(2025,2,28),0.1,0.03,4,4)</f>
        <v>1.40035849627792</v>
      </c>
      <c r="B8245" s="0" t="s">
        <v>8224</v>
      </c>
    </row>
    <row r="8246" customFormat="false" ht="15" hidden="false" customHeight="false" outlineLevel="0" collapsed="false">
      <c r="A8246" s="0" t="n">
        <f aca="false">PRICE(DATE(2024,2,15),DATE(2024,2,29),0.05,0.08,100,1,0)</f>
        <v>99.8721680587099</v>
      </c>
      <c r="B8246" s="0" t="s">
        <v>8225</v>
      </c>
    </row>
    <row r="8247" customFormat="false" ht="15" hidden="false" customHeight="false" outlineLevel="0" collapsed="false">
      <c r="A8247" s="0" t="n">
        <f aca="false">PRICE(DATE(2024,2,15),DATE(2024,2,29),0.1,0.03,105,1,0)</f>
        <v>105.275117924054</v>
      </c>
      <c r="B8247" s="0" t="s">
        <v>8226</v>
      </c>
    </row>
    <row r="8248" customFormat="false" ht="15" hidden="false" customHeight="false" outlineLevel="0" collapsed="false">
      <c r="A8248" s="0" t="n">
        <f aca="false">PRICE(DATE(2024,2,15),DATE(2024,2,29),0,0.05,100,1,0)</f>
        <v>99.7969141482374</v>
      </c>
      <c r="B8248" s="0" t="s">
        <v>8227</v>
      </c>
    </row>
    <row r="8249" customFormat="false" ht="15" hidden="false" customHeight="false" outlineLevel="0" collapsed="false">
      <c r="A8249" s="0" t="n">
        <f aca="false">YIELD(DATE(2024,2,15),DATE(2024,2,29),0.05,95,100,1,0)</f>
        <v>2.39063119016836</v>
      </c>
      <c r="B8249" s="0" t="s">
        <v>8228</v>
      </c>
    </row>
    <row r="8250" customFormat="false" ht="15" hidden="false" customHeight="false" outlineLevel="0" collapsed="false">
      <c r="A8250" s="0" t="n">
        <f aca="false">YIELD(DATE(2024,2,15),DATE(2024,2,29),0.1,101.5,100,1,0)</f>
        <v>-0.209593026910673</v>
      </c>
      <c r="B8250" s="0" t="s">
        <v>8229</v>
      </c>
    </row>
    <row r="8251" customFormat="false" ht="15" hidden="false" customHeight="false" outlineLevel="0" collapsed="false">
      <c r="A8251" s="0" t="n">
        <f aca="false">YIELD(DATE(2024,2,15),DATE(2024,2,29),0.05,100,100,1,0)</f>
        <v>0.0488206593104408</v>
      </c>
      <c r="B8251" s="0" t="s">
        <v>8230</v>
      </c>
    </row>
    <row r="8252" customFormat="false" ht="15" hidden="false" customHeight="false" outlineLevel="0" collapsed="false">
      <c r="A8252" s="0" t="n">
        <f aca="false">DURATION(DATE(2024,2,15),DATE(2024,2,29),0.05,0.08,1,0)</f>
        <v>0.0388888888888889</v>
      </c>
      <c r="B8252" s="0" t="s">
        <v>8231</v>
      </c>
    </row>
    <row r="8253" customFormat="false" ht="15" hidden="false" customHeight="false" outlineLevel="0" collapsed="false">
      <c r="A8253" s="0" t="n">
        <f aca="false">DURATION(DATE(2024,2,15),DATE(2024,2,29),0.1,0.03,1,0)</f>
        <v>0.0388888888888889</v>
      </c>
      <c r="B8253" s="0" t="s">
        <v>8232</v>
      </c>
    </row>
    <row r="8254" customFormat="false" ht="15" hidden="false" customHeight="false" outlineLevel="0" collapsed="false">
      <c r="A8254" s="0" t="n">
        <f aca="false">DURATION(DATE(2024,2,15),DATE(2024,2,29),0,0.05,1,0)</f>
        <v>0.0388888888888889</v>
      </c>
      <c r="B8254" s="0" t="s">
        <v>8233</v>
      </c>
    </row>
    <row r="8255" customFormat="false" ht="15" hidden="false" customHeight="false" outlineLevel="0" collapsed="false">
      <c r="A8255" s="0" t="n">
        <f aca="false">MDURATION(DATE(2024,2,15),DATE(2024,2,29),0.05,0.08,1,0)</f>
        <v>0.0360082304526749</v>
      </c>
      <c r="B8255" s="0" t="s">
        <v>8234</v>
      </c>
    </row>
    <row r="8256" customFormat="false" ht="15" hidden="false" customHeight="false" outlineLevel="0" collapsed="false">
      <c r="A8256" s="0" t="n">
        <f aca="false">MDURATION(DATE(2024,2,15),DATE(2024,2,29),0.1,0.03,1,0)</f>
        <v>0.0377562028047465</v>
      </c>
      <c r="B8256" s="0" t="s">
        <v>8235</v>
      </c>
    </row>
    <row r="8257" customFormat="false" ht="15" hidden="false" customHeight="false" outlineLevel="0" collapsed="false">
      <c r="A8257" s="0" t="n">
        <f aca="false">PRICE(DATE(2024,2,15),DATE(2024,2,29),0.05,0.08,100,1,1)</f>
        <v>99.8826055464014</v>
      </c>
      <c r="B8257" s="0" t="s">
        <v>8236</v>
      </c>
    </row>
    <row r="8258" customFormat="false" ht="15" hidden="false" customHeight="false" outlineLevel="0" collapsed="false">
      <c r="A8258" s="0" t="n">
        <f aca="false">PRICE(DATE(2024,2,15),DATE(2024,2,29),0.1,0.03,105,1,1)</f>
        <v>105.252560716481</v>
      </c>
      <c r="B8258" s="0" t="s">
        <v>8237</v>
      </c>
    </row>
    <row r="8259" customFormat="false" ht="15" hidden="false" customHeight="false" outlineLevel="0" collapsed="false">
      <c r="A8259" s="0" t="n">
        <f aca="false">PRICE(DATE(2024,2,15),DATE(2024,2,29),0,0.05,100,1,1)</f>
        <v>99.813545000439</v>
      </c>
      <c r="B8259" s="0" t="s">
        <v>8238</v>
      </c>
    </row>
    <row r="8260" customFormat="false" ht="15" hidden="false" customHeight="false" outlineLevel="0" collapsed="false">
      <c r="A8260" s="0" t="n">
        <f aca="false">YIELD(DATE(2024,2,15),DATE(2024,2,29),0.05,95,100,1,1)</f>
        <v>2.76430092649701</v>
      </c>
      <c r="B8260" s="0" t="s">
        <v>8239</v>
      </c>
    </row>
    <row r="8261" customFormat="false" ht="15" hidden="false" customHeight="false" outlineLevel="0" collapsed="false">
      <c r="A8261" s="0" t="n">
        <f aca="false">YIELD(DATE(2024,2,15),DATE(2024,2,29),0.1,101.5,100,1,1)</f>
        <v>-0.232214169625258</v>
      </c>
      <c r="B8261" s="0" t="s">
        <v>8240</v>
      </c>
    </row>
    <row r="8262" customFormat="false" ht="15" hidden="false" customHeight="false" outlineLevel="0" collapsed="false">
      <c r="A8262" s="0" t="n">
        <f aca="false">YIELD(DATE(2024,2,15),DATE(2024,2,29),0.05,100,100,1,1)</f>
        <v>0.0488165877251545</v>
      </c>
      <c r="B8262" s="0" t="s">
        <v>8241</v>
      </c>
    </row>
    <row r="8263" customFormat="false" ht="15" hidden="false" customHeight="false" outlineLevel="0" collapsed="false">
      <c r="A8263" s="0" t="n">
        <f aca="false">DURATION(DATE(2024,2,15),DATE(2024,2,29),0.05,0.08,1,1)</f>
        <v>0.0382513661202186</v>
      </c>
      <c r="B8263" s="0" t="s">
        <v>8242</v>
      </c>
    </row>
    <row r="8264" customFormat="false" ht="15" hidden="false" customHeight="false" outlineLevel="0" collapsed="false">
      <c r="A8264" s="0" t="n">
        <f aca="false">DURATION(DATE(2024,2,15),DATE(2024,2,29),0.1,0.03,1,1)</f>
        <v>0.0382513661202186</v>
      </c>
      <c r="B8264" s="0" t="s">
        <v>8243</v>
      </c>
    </row>
    <row r="8265" customFormat="false" ht="15" hidden="false" customHeight="false" outlineLevel="0" collapsed="false">
      <c r="A8265" s="0" t="n">
        <f aca="false">DURATION(DATE(2024,2,15),DATE(2024,2,29),0,0.05,1,1)</f>
        <v>0.0382513661202186</v>
      </c>
      <c r="B8265" s="0" t="s">
        <v>8244</v>
      </c>
    </row>
    <row r="8266" customFormat="false" ht="15" hidden="false" customHeight="false" outlineLevel="0" collapsed="false">
      <c r="A8266" s="0" t="n">
        <f aca="false">MDURATION(DATE(2024,2,15),DATE(2024,2,29),0.05,0.08,1,1)</f>
        <v>0.035417931592795</v>
      </c>
      <c r="B8266" s="0" t="s">
        <v>8245</v>
      </c>
    </row>
    <row r="8267" customFormat="false" ht="15" hidden="false" customHeight="false" outlineLevel="0" collapsed="false">
      <c r="A8267" s="0" t="n">
        <f aca="false">MDURATION(DATE(2024,2,15),DATE(2024,2,29),0.1,0.03,1,1)</f>
        <v>0.0371372486604064</v>
      </c>
      <c r="B8267" s="0" t="s">
        <v>8246</v>
      </c>
    </row>
    <row r="8268" customFormat="false" ht="15" hidden="false" customHeight="false" outlineLevel="0" collapsed="false">
      <c r="A8268" s="0" t="n">
        <f aca="false">PRICE(DATE(2024,2,15),DATE(2024,2,29),0.05,0.08,100,1,2)</f>
        <v>99.7973233330344</v>
      </c>
      <c r="B8268" s="0" t="s">
        <v>8247</v>
      </c>
    </row>
    <row r="8269" customFormat="false" ht="15" hidden="false" customHeight="false" outlineLevel="0" collapsed="false">
      <c r="A8269" s="0" t="n">
        <f aca="false">PRICE(DATE(2024,2,15),DATE(2024,2,29),0.1,0.03,105,1,2)</f>
        <v>105.090104639697</v>
      </c>
      <c r="B8269" s="0" t="s">
        <v>8248</v>
      </c>
    </row>
    <row r="8270" customFormat="false" ht="15" hidden="false" customHeight="false" outlineLevel="0" collapsed="false">
      <c r="A8270" s="0" t="n">
        <f aca="false">PRICE(DATE(2024,2,15),DATE(2024,2,29),0,0.05,100,1,2)</f>
        <v>99.8104403643224</v>
      </c>
      <c r="B8270" s="0" t="s">
        <v>8249</v>
      </c>
    </row>
    <row r="8271" customFormat="false" ht="15" hidden="false" customHeight="false" outlineLevel="0" collapsed="false">
      <c r="A8271" s="0" t="n">
        <f aca="false">YIELD(DATE(2024,2,15),DATE(2024,2,29),0.05,95,100,1,2)</f>
        <v>2.60813686361217</v>
      </c>
      <c r="B8271" s="0" t="s">
        <v>8250</v>
      </c>
    </row>
    <row r="8272" customFormat="false" ht="15" hidden="false" customHeight="false" outlineLevel="0" collapsed="false">
      <c r="A8272" s="0" t="n">
        <f aca="false">YIELD(DATE(2024,2,15),DATE(2024,2,29),0.1,101.5,100,1,2)</f>
        <v>-0.256940930855853</v>
      </c>
      <c r="B8272" s="0" t="s">
        <v>8251</v>
      </c>
    </row>
    <row r="8273" customFormat="false" ht="15" hidden="false" customHeight="false" outlineLevel="0" collapsed="false">
      <c r="A8273" s="0" t="n">
        <f aca="false">YIELD(DATE(2024,2,15),DATE(2024,2,29),0.05,100,100,1,2)</f>
        <v>0.0275992863920555</v>
      </c>
      <c r="B8273" s="0" t="s">
        <v>8252</v>
      </c>
    </row>
    <row r="8274" customFormat="false" ht="15" hidden="false" customHeight="false" outlineLevel="0" collapsed="false">
      <c r="A8274" s="0" t="n">
        <f aca="false">DURATION(DATE(2024,2,15),DATE(2024,2,29),0.05,0.08,1,2)</f>
        <v>0.0388888888888889</v>
      </c>
      <c r="B8274" s="0" t="s">
        <v>8253</v>
      </c>
    </row>
    <row r="8275" customFormat="false" ht="15" hidden="false" customHeight="false" outlineLevel="0" collapsed="false">
      <c r="A8275" s="0" t="n">
        <f aca="false">DURATION(DATE(2024,2,15),DATE(2024,2,29),0.1,0.03,1,2)</f>
        <v>0.0388888888888889</v>
      </c>
      <c r="B8275" s="0" t="s">
        <v>8254</v>
      </c>
    </row>
    <row r="8276" customFormat="false" ht="15" hidden="false" customHeight="false" outlineLevel="0" collapsed="false">
      <c r="A8276" s="0" t="n">
        <f aca="false">DURATION(DATE(2024,2,15),DATE(2024,2,29),0,0.05,1,2)</f>
        <v>0.0388888888888889</v>
      </c>
      <c r="B8276" s="0" t="s">
        <v>8255</v>
      </c>
    </row>
    <row r="8277" customFormat="false" ht="15" hidden="false" customHeight="false" outlineLevel="0" collapsed="false">
      <c r="A8277" s="0" t="n">
        <f aca="false">MDURATION(DATE(2024,2,15),DATE(2024,2,29),0.05,0.08,1,2)</f>
        <v>0.0360082304526749</v>
      </c>
      <c r="B8277" s="0" t="s">
        <v>8256</v>
      </c>
    </row>
    <row r="8278" customFormat="false" ht="15" hidden="false" customHeight="false" outlineLevel="0" collapsed="false">
      <c r="A8278" s="0" t="n">
        <f aca="false">MDURATION(DATE(2024,2,15),DATE(2024,2,29),0.1,0.03,1,2)</f>
        <v>0.0377562028047465</v>
      </c>
      <c r="B8278" s="0" t="s">
        <v>8257</v>
      </c>
    </row>
    <row r="8279" customFormat="false" ht="15" hidden="false" customHeight="false" outlineLevel="0" collapsed="false">
      <c r="A8279" s="0" t="n">
        <f aca="false">PRICE(DATE(2024,2,15),DATE(2024,2,29),0.05,0.08,100,1,3)</f>
        <v>99.8685865351142</v>
      </c>
      <c r="B8279" s="0" t="s">
        <v>8258</v>
      </c>
    </row>
    <row r="8280" customFormat="false" ht="15" hidden="false" customHeight="false" outlineLevel="0" collapsed="false">
      <c r="A8280" s="0" t="n">
        <f aca="false">PRICE(DATE(2024,2,15),DATE(2024,2,29),0.1,0.03,105,1,3)</f>
        <v>105.225855605167</v>
      </c>
      <c r="B8280" s="0" t="s">
        <v>8259</v>
      </c>
    </row>
    <row r="8281" customFormat="false" ht="15" hidden="false" customHeight="false" outlineLevel="0" collapsed="false">
      <c r="A8281" s="0" t="n">
        <f aca="false">PRICE(DATE(2024,2,15),DATE(2024,2,29),0,0.05,100,1,3)</f>
        <v>99.8130346426641</v>
      </c>
      <c r="B8281" s="0" t="s">
        <v>8260</v>
      </c>
    </row>
    <row r="8282" customFormat="false" ht="15" hidden="false" customHeight="false" outlineLevel="0" collapsed="false">
      <c r="A8282" s="0" t="n">
        <f aca="false">YIELD(DATE(2024,2,15),DATE(2024,2,29),0.05,95,100,1,3)</f>
        <v>2.73780761824483</v>
      </c>
      <c r="B8282" s="0" t="s">
        <v>8261</v>
      </c>
    </row>
    <row r="8283" customFormat="false" ht="15" hidden="false" customHeight="false" outlineLevel="0" collapsed="false">
      <c r="A8283" s="0" t="n">
        <f aca="false">YIELD(DATE(2024,2,15),DATE(2024,2,29),0.1,101.5,100,1,3)</f>
        <v>-0.236394553294225</v>
      </c>
      <c r="B8283" s="0" t="s">
        <v>8262</v>
      </c>
    </row>
    <row r="8284" customFormat="false" ht="15" hidden="false" customHeight="false" outlineLevel="0" collapsed="false">
      <c r="A8284" s="0" t="n">
        <f aca="false">YIELD(DATE(2024,2,15),DATE(2024,2,29),0.05,100,100,1,3)</f>
        <v>0.0452490962058158</v>
      </c>
      <c r="B8284" s="0" t="s">
        <v>8263</v>
      </c>
    </row>
    <row r="8285" customFormat="false" ht="15" hidden="false" customHeight="false" outlineLevel="0" collapsed="false">
      <c r="A8285" s="0" t="n">
        <f aca="false">DURATION(DATE(2024,2,15),DATE(2024,2,29),0.05,0.08,1,3)</f>
        <v>0.0383561643835616</v>
      </c>
      <c r="B8285" s="0" t="s">
        <v>8264</v>
      </c>
    </row>
    <row r="8286" customFormat="false" ht="15" hidden="false" customHeight="false" outlineLevel="0" collapsed="false">
      <c r="A8286" s="0" t="n">
        <f aca="false">DURATION(DATE(2024,2,15),DATE(2024,2,29),0.1,0.03,1,3)</f>
        <v>0.0383561643835616</v>
      </c>
      <c r="B8286" s="0" t="s">
        <v>8265</v>
      </c>
    </row>
    <row r="8287" customFormat="false" ht="15" hidden="false" customHeight="false" outlineLevel="0" collapsed="false">
      <c r="A8287" s="0" t="n">
        <f aca="false">DURATION(DATE(2024,2,15),DATE(2024,2,29),0,0.05,1,3)</f>
        <v>0.0383561643835616</v>
      </c>
      <c r="B8287" s="0" t="s">
        <v>8266</v>
      </c>
    </row>
    <row r="8288" customFormat="false" ht="15" hidden="false" customHeight="false" outlineLevel="0" collapsed="false">
      <c r="A8288" s="0" t="n">
        <f aca="false">MDURATION(DATE(2024,2,15),DATE(2024,2,29),0.05,0.08,1,3)</f>
        <v>0.0355149670218163</v>
      </c>
      <c r="B8288" s="0" t="s">
        <v>8267</v>
      </c>
    </row>
    <row r="8289" customFormat="false" ht="15" hidden="false" customHeight="false" outlineLevel="0" collapsed="false">
      <c r="A8289" s="0" t="n">
        <f aca="false">MDURATION(DATE(2024,2,15),DATE(2024,2,29),0.1,0.03,1,3)</f>
        <v>0.0372389945471472</v>
      </c>
      <c r="B8289" s="0" t="s">
        <v>8268</v>
      </c>
    </row>
    <row r="8290" customFormat="false" ht="15" hidden="false" customHeight="false" outlineLevel="0" collapsed="false">
      <c r="A8290" s="0" t="n">
        <f aca="false">PRICE(DATE(2024,2,15),DATE(2024,2,29),0.05,0.08,100,1,4)</f>
        <v>99.889150058413</v>
      </c>
      <c r="B8290" s="0" t="s">
        <v>8269</v>
      </c>
    </row>
    <row r="8291" customFormat="false" ht="15" hidden="false" customHeight="false" outlineLevel="0" collapsed="false">
      <c r="A8291" s="0" t="n">
        <f aca="false">PRICE(DATE(2024,2,15),DATE(2024,2,29),0.1,0.03,105,1,4)</f>
        <v>105.238425463077</v>
      </c>
      <c r="B8291" s="0" t="s">
        <v>8270</v>
      </c>
    </row>
    <row r="8292" customFormat="false" ht="15" hidden="false" customHeight="false" outlineLevel="0" collapsed="false">
      <c r="A8292" s="0" t="n">
        <f aca="false">PRICE(DATE(2024,2,15),DATE(2024,2,29),0,0.05,100,1,4)</f>
        <v>99.8239684137158</v>
      </c>
      <c r="B8292" s="0" t="s">
        <v>8271</v>
      </c>
    </row>
    <row r="8293" customFormat="false" ht="15" hidden="false" customHeight="false" outlineLevel="0" collapsed="false">
      <c r="A8293" s="0" t="n">
        <f aca="false">YIELD(DATE(2024,2,15),DATE(2024,2,29),0.05,95,100,1,4)</f>
        <v>3.05989630170133</v>
      </c>
      <c r="B8293" s="0" t="s">
        <v>8272</v>
      </c>
    </row>
    <row r="8294" customFormat="false" ht="15" hidden="false" customHeight="false" outlineLevel="0" collapsed="false">
      <c r="A8294" s="0" t="n">
        <f aca="false">YIELD(DATE(2024,2,15),DATE(2024,2,29),0.1,101.5,100,1,4)</f>
        <v>-0.248165609398063</v>
      </c>
      <c r="B8294" s="0" t="s">
        <v>8273</v>
      </c>
    </row>
    <row r="8295" customFormat="false" ht="15" hidden="false" customHeight="false" outlineLevel="0" collapsed="false">
      <c r="A8295" s="0" t="n">
        <f aca="false">YIELD(DATE(2024,2,15),DATE(2024,2,29),0.05,100,100,1,4)</f>
        <v>0.0488140366571589</v>
      </c>
      <c r="B8295" s="0" t="s">
        <v>8274</v>
      </c>
    </row>
    <row r="8296" customFormat="false" ht="15" hidden="false" customHeight="false" outlineLevel="0" collapsed="false">
      <c r="A8296" s="0" t="n">
        <f aca="false">DURATION(DATE(2024,2,15),DATE(2024,2,29),0.05,0.08,1,4)</f>
        <v>0.0388888888888889</v>
      </c>
      <c r="B8296" s="0" t="s">
        <v>8275</v>
      </c>
    </row>
    <row r="8297" customFormat="false" ht="15" hidden="false" customHeight="false" outlineLevel="0" collapsed="false">
      <c r="A8297" s="0" t="n">
        <f aca="false">DURATION(DATE(2024,2,15),DATE(2024,2,29),0.1,0.03,1,4)</f>
        <v>0.0388888888888889</v>
      </c>
      <c r="B8297" s="0" t="s">
        <v>8276</v>
      </c>
    </row>
    <row r="8298" customFormat="false" ht="15" hidden="false" customHeight="false" outlineLevel="0" collapsed="false">
      <c r="A8298" s="0" t="n">
        <f aca="false">DURATION(DATE(2024,2,15),DATE(2024,2,29),0,0.05,1,4)</f>
        <v>0.0388888888888889</v>
      </c>
      <c r="B8298" s="0" t="s">
        <v>8277</v>
      </c>
    </row>
    <row r="8299" customFormat="false" ht="15" hidden="false" customHeight="false" outlineLevel="0" collapsed="false">
      <c r="A8299" s="0" t="n">
        <f aca="false">MDURATION(DATE(2024,2,15),DATE(2024,2,29),0.05,0.08,1,4)</f>
        <v>0.0360082304526749</v>
      </c>
      <c r="B8299" s="0" t="s">
        <v>8278</v>
      </c>
    </row>
    <row r="8300" customFormat="false" ht="15" hidden="false" customHeight="false" outlineLevel="0" collapsed="false">
      <c r="A8300" s="0" t="n">
        <f aca="false">MDURATION(DATE(2024,2,15),DATE(2024,2,29),0.1,0.03,1,4)</f>
        <v>0.0377562028047465</v>
      </c>
      <c r="B8300" s="0" t="s">
        <v>8279</v>
      </c>
    </row>
    <row r="8301" customFormat="false" ht="15" hidden="false" customHeight="false" outlineLevel="0" collapsed="false">
      <c r="A8301" s="0" t="n">
        <f aca="false">PRICE(DATE(2024,2,15),DATE(2024,2,29),0.05,0.08,100,2,0)</f>
        <v>99.873869951736</v>
      </c>
      <c r="B8301" s="0" t="s">
        <v>8280</v>
      </c>
    </row>
    <row r="8302" customFormat="false" ht="15" hidden="false" customHeight="false" outlineLevel="0" collapsed="false">
      <c r="A8302" s="0" t="n">
        <f aca="false">PRICE(DATE(2024,2,15),DATE(2024,2,29),0.1,0.03,105,2,0)</f>
        <v>105.280272349726</v>
      </c>
      <c r="B8302" s="0" t="s">
        <v>8281</v>
      </c>
    </row>
    <row r="8303" customFormat="false" ht="15" hidden="false" customHeight="false" outlineLevel="0" collapsed="false">
      <c r="A8303" s="0" t="n">
        <f aca="false">PRICE(DATE(2024,2,15),DATE(2024,2,29),0,0.05,100,2,0)</f>
        <v>99.794439793385</v>
      </c>
      <c r="B8303" s="0" t="s">
        <v>8282</v>
      </c>
    </row>
    <row r="8304" customFormat="false" ht="15" hidden="false" customHeight="false" outlineLevel="0" collapsed="false">
      <c r="A8304" s="0" t="n">
        <f aca="false">YIELD(DATE(2024,2,15),DATE(2024,2,29),0.05,95,100,2,0)</f>
        <v>1.73945801982826</v>
      </c>
      <c r="B8304" s="0" t="s">
        <v>8283</v>
      </c>
    </row>
    <row r="8305" customFormat="false" ht="15" hidden="false" customHeight="false" outlineLevel="0" collapsed="false">
      <c r="A8305" s="0" t="n">
        <f aca="false">YIELD(DATE(2024,2,15),DATE(2024,2,29),0.1,101.5,100,2,0)</f>
        <v>-0.231782464270877</v>
      </c>
      <c r="B8305" s="0" t="s">
        <v>8284</v>
      </c>
    </row>
    <row r="8306" customFormat="false" ht="15" hidden="false" customHeight="false" outlineLevel="0" collapsed="false">
      <c r="A8306" s="0" t="n">
        <f aca="false">YIELD(DATE(2024,2,15),DATE(2024,2,29),0.05,100,100,2,0)</f>
        <v>0.0494311051068738</v>
      </c>
      <c r="B8306" s="0" t="s">
        <v>8285</v>
      </c>
    </row>
    <row r="8307" customFormat="false" ht="15" hidden="false" customHeight="false" outlineLevel="0" collapsed="false">
      <c r="A8307" s="0" t="n">
        <f aca="false">DURATION(DATE(2024,2,15),DATE(2024,2,29),0.05,0.08,2,0)</f>
        <v>0.0388888888888889</v>
      </c>
      <c r="B8307" s="0" t="s">
        <v>8286</v>
      </c>
    </row>
    <row r="8308" customFormat="false" ht="15" hidden="false" customHeight="false" outlineLevel="0" collapsed="false">
      <c r="A8308" s="0" t="n">
        <f aca="false">DURATION(DATE(2024,2,15),DATE(2024,2,29),0.1,0.03,2,0)</f>
        <v>0.0388888888888889</v>
      </c>
      <c r="B8308" s="0" t="s">
        <v>8287</v>
      </c>
    </row>
    <row r="8309" customFormat="false" ht="15" hidden="false" customHeight="false" outlineLevel="0" collapsed="false">
      <c r="A8309" s="0" t="n">
        <f aca="false">DURATION(DATE(2024,2,15),DATE(2024,2,29),0,0.05,2,0)</f>
        <v>0.0388888888888889</v>
      </c>
      <c r="B8309" s="0" t="s">
        <v>8288</v>
      </c>
    </row>
    <row r="8310" customFormat="false" ht="15" hidden="false" customHeight="false" outlineLevel="0" collapsed="false">
      <c r="A8310" s="0" t="n">
        <f aca="false">MDURATION(DATE(2024,2,15),DATE(2024,2,29),0.05,0.08,2,0)</f>
        <v>0.0373931623931624</v>
      </c>
      <c r="B8310" s="0" t="s">
        <v>8289</v>
      </c>
    </row>
    <row r="8311" customFormat="false" ht="15" hidden="false" customHeight="false" outlineLevel="0" collapsed="false">
      <c r="A8311" s="0" t="n">
        <f aca="false">MDURATION(DATE(2024,2,15),DATE(2024,2,29),0.1,0.03,2,0)</f>
        <v>0.0383141762452107</v>
      </c>
      <c r="B8311" s="0" t="s">
        <v>8290</v>
      </c>
    </row>
    <row r="8312" customFormat="false" ht="15" hidden="false" customHeight="false" outlineLevel="0" collapsed="false">
      <c r="A8312" s="0" t="n">
        <f aca="false">PRICE(DATE(2024,2,15),DATE(2024,2,29),0.05,0.08,100,2,1)</f>
        <v>99.8835334706997</v>
      </c>
      <c r="B8312" s="0" t="s">
        <v>8291</v>
      </c>
    </row>
    <row r="8313" customFormat="false" ht="15" hidden="false" customHeight="false" outlineLevel="0" collapsed="false">
      <c r="A8313" s="0" t="n">
        <f aca="false">PRICE(DATE(2024,2,15),DATE(2024,2,29),0.1,0.03,105,2,1)</f>
        <v>105.258706931207</v>
      </c>
      <c r="B8313" s="0" t="s">
        <v>8292</v>
      </c>
    </row>
    <row r="8314" customFormat="false" ht="15" hidden="false" customHeight="false" outlineLevel="0" collapsed="false">
      <c r="A8314" s="0" t="n">
        <f aca="false">PRICE(DATE(2024,2,15),DATE(2024,2,29),0,0.05,100,2,1)</f>
        <v>99.8102371041143</v>
      </c>
      <c r="B8314" s="0" t="s">
        <v>8293</v>
      </c>
    </row>
    <row r="8315" customFormat="false" ht="15" hidden="false" customHeight="false" outlineLevel="0" collapsed="false">
      <c r="A8315" s="0" t="n">
        <f aca="false">YIELD(DATE(2024,2,15),DATE(2024,2,29),0.05,95,100,2,1)</f>
        <v>1.93121679095412</v>
      </c>
      <c r="B8315" s="0" t="s">
        <v>8294</v>
      </c>
    </row>
    <row r="8316" customFormat="false" ht="15" hidden="false" customHeight="false" outlineLevel="0" collapsed="false">
      <c r="A8316" s="0" t="n">
        <f aca="false">YIELD(DATE(2024,2,15),DATE(2024,2,29),0.1,101.5,100,2,1)</f>
        <v>-0.256699314368225</v>
      </c>
      <c r="B8316" s="0" t="s">
        <v>8295</v>
      </c>
    </row>
    <row r="8317" customFormat="false" ht="15" hidden="false" customHeight="false" outlineLevel="0" collapsed="false">
      <c r="A8317" s="0" t="n">
        <f aca="false">YIELD(DATE(2024,2,15),DATE(2024,2,29),0.05,100,100,2,1)</f>
        <v>0.0494271872975126</v>
      </c>
      <c r="B8317" s="0" t="s">
        <v>8296</v>
      </c>
    </row>
    <row r="8318" customFormat="false" ht="15" hidden="false" customHeight="false" outlineLevel="0" collapsed="false">
      <c r="A8318" s="0" t="n">
        <f aca="false">DURATION(DATE(2024,2,15),DATE(2024,2,29),0.05,0.08,2,1)</f>
        <v>0.0382513661202186</v>
      </c>
      <c r="B8318" s="0" t="s">
        <v>8297</v>
      </c>
    </row>
    <row r="8319" customFormat="false" ht="15" hidden="false" customHeight="false" outlineLevel="0" collapsed="false">
      <c r="A8319" s="0" t="n">
        <f aca="false">DURATION(DATE(2024,2,15),DATE(2024,2,29),0.1,0.03,2,1)</f>
        <v>0.0382513661202186</v>
      </c>
      <c r="B8319" s="0" t="s">
        <v>8298</v>
      </c>
    </row>
    <row r="8320" customFormat="false" ht="15" hidden="false" customHeight="false" outlineLevel="0" collapsed="false">
      <c r="A8320" s="0" t="n">
        <f aca="false">DURATION(DATE(2024,2,15),DATE(2024,2,29),0,0.05,2,1)</f>
        <v>0.0382513661202186</v>
      </c>
      <c r="B8320" s="0" t="s">
        <v>8299</v>
      </c>
    </row>
    <row r="8321" customFormat="false" ht="15" hidden="false" customHeight="false" outlineLevel="0" collapsed="false">
      <c r="A8321" s="0" t="n">
        <f aca="false">MDURATION(DATE(2024,2,15),DATE(2024,2,29),0.05,0.08,2,1)</f>
        <v>0.0367801597309794</v>
      </c>
      <c r="B8321" s="0" t="s">
        <v>8300</v>
      </c>
    </row>
    <row r="8322" customFormat="false" ht="15" hidden="false" customHeight="false" outlineLevel="0" collapsed="false">
      <c r="A8322" s="0" t="n">
        <f aca="false">MDURATION(DATE(2024,2,15),DATE(2024,2,29),0.1,0.03,2,1)</f>
        <v>0.0376860749952892</v>
      </c>
      <c r="B8322" s="0" t="s">
        <v>8301</v>
      </c>
    </row>
    <row r="8323" customFormat="false" ht="15" hidden="false" customHeight="false" outlineLevel="0" collapsed="false">
      <c r="A8323" s="0" t="n">
        <f aca="false">PRICE(DATE(2024,2,15),DATE(2024,2,29),0.05,0.08,100,2,2)</f>
        <v>99.8544668505497</v>
      </c>
      <c r="B8323" s="0" t="s">
        <v>8302</v>
      </c>
    </row>
    <row r="8324" customFormat="false" ht="15" hidden="false" customHeight="false" outlineLevel="0" collapsed="false">
      <c r="A8324" s="0" t="n">
        <f aca="false">PRICE(DATE(2024,2,15),DATE(2024,2,29),0.1,0.03,105,2,2)</f>
        <v>105.206026706964</v>
      </c>
      <c r="B8324" s="0" t="s">
        <v>8303</v>
      </c>
    </row>
    <row r="8325" customFormat="false" ht="15" hidden="false" customHeight="false" outlineLevel="0" collapsed="false">
      <c r="A8325" s="0" t="n">
        <f aca="false">PRICE(DATE(2024,2,15),DATE(2024,2,29),0,0.05,100,2,2)</f>
        <v>99.8081306515414</v>
      </c>
      <c r="B8325" s="0" t="s">
        <v>8304</v>
      </c>
    </row>
    <row r="8326" customFormat="false" ht="15" hidden="false" customHeight="false" outlineLevel="0" collapsed="false">
      <c r="A8326" s="0" t="n">
        <f aca="false">YIELD(DATE(2024,2,15),DATE(2024,2,29),0.05,95,100,2,2)</f>
        <v>1.888934179649</v>
      </c>
      <c r="B8326" s="0" t="s">
        <v>8305</v>
      </c>
    </row>
    <row r="8327" customFormat="false" ht="15" hidden="false" customHeight="false" outlineLevel="0" collapsed="false">
      <c r="A8327" s="0" t="n">
        <f aca="false">YIELD(DATE(2024,2,15),DATE(2024,2,29),0.1,101.5,100,2,2)</f>
        <v>-0.264877774032584</v>
      </c>
      <c r="B8327" s="0" t="s">
        <v>8306</v>
      </c>
    </row>
    <row r="8328" customFormat="false" ht="15" hidden="false" customHeight="false" outlineLevel="0" collapsed="false">
      <c r="A8328" s="0" t="n">
        <f aca="false">YIELD(DATE(2024,2,15),DATE(2024,2,29),0.05,100,100,2,2)</f>
        <v>0.0422867154875758</v>
      </c>
      <c r="B8328" s="0" t="s">
        <v>8307</v>
      </c>
    </row>
    <row r="8329" customFormat="false" ht="15" hidden="false" customHeight="false" outlineLevel="0" collapsed="false">
      <c r="A8329" s="0" t="n">
        <f aca="false">DURATION(DATE(2024,2,15),DATE(2024,2,29),0.05,0.08,2,2)</f>
        <v>0.0388888888888889</v>
      </c>
      <c r="B8329" s="0" t="s">
        <v>8308</v>
      </c>
    </row>
    <row r="8330" customFormat="false" ht="15" hidden="false" customHeight="false" outlineLevel="0" collapsed="false">
      <c r="A8330" s="0" t="n">
        <f aca="false">DURATION(DATE(2024,2,15),DATE(2024,2,29),0.1,0.03,2,2)</f>
        <v>0.0388888888888889</v>
      </c>
      <c r="B8330" s="0" t="s">
        <v>8309</v>
      </c>
    </row>
    <row r="8331" customFormat="false" ht="15" hidden="false" customHeight="false" outlineLevel="0" collapsed="false">
      <c r="A8331" s="0" t="n">
        <f aca="false">DURATION(DATE(2024,2,15),DATE(2024,2,29),0,0.05,2,2)</f>
        <v>0.0388888888888889</v>
      </c>
      <c r="B8331" s="0" t="s">
        <v>8310</v>
      </c>
    </row>
    <row r="8332" customFormat="false" ht="15" hidden="false" customHeight="false" outlineLevel="0" collapsed="false">
      <c r="A8332" s="0" t="n">
        <f aca="false">MDURATION(DATE(2024,2,15),DATE(2024,2,29),0.05,0.08,2,2)</f>
        <v>0.0373931623931624</v>
      </c>
      <c r="B8332" s="0" t="s">
        <v>8311</v>
      </c>
    </row>
    <row r="8333" customFormat="false" ht="15" hidden="false" customHeight="false" outlineLevel="0" collapsed="false">
      <c r="A8333" s="0" t="n">
        <f aca="false">MDURATION(DATE(2024,2,15),DATE(2024,2,29),0.1,0.03,2,2)</f>
        <v>0.0383141762452107</v>
      </c>
      <c r="B8333" s="0" t="s">
        <v>8312</v>
      </c>
    </row>
    <row r="8334" customFormat="false" ht="15" hidden="false" customHeight="false" outlineLevel="0" collapsed="false">
      <c r="A8334" s="0" t="n">
        <f aca="false">PRICE(DATE(2024,2,15),DATE(2024,2,29),0.05,0.08,100,2,3)</f>
        <v>99.890700600166</v>
      </c>
      <c r="B8334" s="0" t="s">
        <v>8313</v>
      </c>
    </row>
    <row r="8335" customFormat="false" ht="15" hidden="false" customHeight="false" outlineLevel="0" collapsed="false">
      <c r="A8335" s="0" t="n">
        <f aca="false">PRICE(DATE(2024,2,15),DATE(2024,2,29),0.1,0.03,105,2,3)</f>
        <v>105.271696578275</v>
      </c>
      <c r="B8335" s="0" t="s">
        <v>8314</v>
      </c>
    </row>
    <row r="8336" customFormat="false" ht="15" hidden="false" customHeight="false" outlineLevel="0" collapsed="false">
      <c r="A8336" s="0" t="n">
        <f aca="false">PRICE(DATE(2024,2,15),DATE(2024,2,29),0,0.05,100,2,3)</f>
        <v>99.8107565102113</v>
      </c>
      <c r="B8336" s="0" t="s">
        <v>8315</v>
      </c>
    </row>
    <row r="8337" customFormat="false" ht="15" hidden="false" customHeight="false" outlineLevel="0" collapsed="false">
      <c r="A8337" s="0" t="n">
        <f aca="false">YIELD(DATE(2024,2,15),DATE(2024,2,29),0.05,95,100,2,3)</f>
        <v>1.94185962891056</v>
      </c>
      <c r="B8337" s="0" t="s">
        <v>8316</v>
      </c>
    </row>
    <row r="8338" customFormat="false" ht="15" hidden="false" customHeight="false" outlineLevel="0" collapsed="false">
      <c r="A8338" s="0" t="n">
        <f aca="false">YIELD(DATE(2024,2,15),DATE(2024,2,29),0.1,101.5,100,2,3)</f>
        <v>-0.254647866815397</v>
      </c>
      <c r="B8338" s="0" t="s">
        <v>8317</v>
      </c>
    </row>
    <row r="8339" customFormat="false" ht="15" hidden="false" customHeight="false" outlineLevel="0" collapsed="false">
      <c r="A8339" s="0" t="n">
        <f aca="false">YIELD(DATE(2024,2,15),DATE(2024,2,29),0.05,100,100,2,3)</f>
        <v>0.0512164607741729</v>
      </c>
      <c r="B8339" s="0" t="s">
        <v>8318</v>
      </c>
    </row>
    <row r="8340" customFormat="false" ht="15" hidden="false" customHeight="false" outlineLevel="0" collapsed="false">
      <c r="A8340" s="0" t="n">
        <f aca="false">DURATION(DATE(2024,2,15),DATE(2024,2,29),0.05,0.08,2,3)</f>
        <v>0.0383561643835617</v>
      </c>
      <c r="B8340" s="0" t="s">
        <v>8319</v>
      </c>
    </row>
    <row r="8341" customFormat="false" ht="15" hidden="false" customHeight="false" outlineLevel="0" collapsed="false">
      <c r="A8341" s="0" t="n">
        <f aca="false">DURATION(DATE(2024,2,15),DATE(2024,2,29),0.1,0.03,2,3)</f>
        <v>0.0383561643835616</v>
      </c>
      <c r="B8341" s="0" t="s">
        <v>8320</v>
      </c>
    </row>
    <row r="8342" customFormat="false" ht="15" hidden="false" customHeight="false" outlineLevel="0" collapsed="false">
      <c r="A8342" s="0" t="n">
        <f aca="false">DURATION(DATE(2024,2,15),DATE(2024,2,29),0,0.05,2,3)</f>
        <v>0.0383561643835617</v>
      </c>
      <c r="B8342" s="0" t="s">
        <v>8321</v>
      </c>
    </row>
    <row r="8343" customFormat="false" ht="15" hidden="false" customHeight="false" outlineLevel="0" collapsed="false">
      <c r="A8343" s="0" t="n">
        <f aca="false">MDURATION(DATE(2024,2,15),DATE(2024,2,29),0.05,0.08,2,3)</f>
        <v>0.0368809272918862</v>
      </c>
      <c r="B8343" s="0" t="s">
        <v>8322</v>
      </c>
    </row>
    <row r="8344" customFormat="false" ht="15" hidden="false" customHeight="false" outlineLevel="0" collapsed="false">
      <c r="A8344" s="0" t="n">
        <f aca="false">MDURATION(DATE(2024,2,15),DATE(2024,2,29),0.1,0.03,2,3)</f>
        <v>0.0377893245158243</v>
      </c>
      <c r="B8344" s="0" t="s">
        <v>8323</v>
      </c>
    </row>
    <row r="8345" customFormat="false" ht="15" hidden="false" customHeight="false" outlineLevel="0" collapsed="false">
      <c r="A8345" s="0" t="n">
        <f aca="false">PRICE(DATE(2024,2,15),DATE(2024,2,29),0.05,0.08,100,2,4)</f>
        <v>99.873869951736</v>
      </c>
      <c r="B8345" s="0" t="s">
        <v>8324</v>
      </c>
    </row>
    <row r="8346" customFormat="false" ht="15" hidden="false" customHeight="false" outlineLevel="0" collapsed="false">
      <c r="A8346" s="0" t="n">
        <f aca="false">PRICE(DATE(2024,2,15),DATE(2024,2,29),0.1,0.03,105,2,4)</f>
        <v>105.280272349726</v>
      </c>
      <c r="B8346" s="0" t="s">
        <v>8325</v>
      </c>
    </row>
    <row r="8347" customFormat="false" ht="15" hidden="false" customHeight="false" outlineLevel="0" collapsed="false">
      <c r="A8347" s="0" t="n">
        <f aca="false">PRICE(DATE(2024,2,15),DATE(2024,2,29),0,0.05,100,2,4)</f>
        <v>99.794439793385</v>
      </c>
      <c r="B8347" s="0" t="s">
        <v>8326</v>
      </c>
    </row>
    <row r="8348" customFormat="false" ht="15" hidden="false" customHeight="false" outlineLevel="0" collapsed="false">
      <c r="A8348" s="0" t="n">
        <f aca="false">YIELD(DATE(2024,2,15),DATE(2024,2,29),0.05,95,100,2,4)</f>
        <v>1.73945801982826</v>
      </c>
      <c r="B8348" s="0" t="s">
        <v>8327</v>
      </c>
    </row>
    <row r="8349" customFormat="false" ht="15" hidden="false" customHeight="false" outlineLevel="0" collapsed="false">
      <c r="A8349" s="0" t="n">
        <f aca="false">YIELD(DATE(2024,2,15),DATE(2024,2,29),0.1,101.5,100,2,4)</f>
        <v>-0.231782464270877</v>
      </c>
      <c r="B8349" s="0" t="s">
        <v>8328</v>
      </c>
    </row>
    <row r="8350" customFormat="false" ht="15" hidden="false" customHeight="false" outlineLevel="0" collapsed="false">
      <c r="A8350" s="0" t="n">
        <f aca="false">YIELD(DATE(2024,2,15),DATE(2024,2,29),0.05,100,100,2,4)</f>
        <v>0.0494311051068738</v>
      </c>
      <c r="B8350" s="0" t="s">
        <v>8329</v>
      </c>
    </row>
    <row r="8351" customFormat="false" ht="15" hidden="false" customHeight="false" outlineLevel="0" collapsed="false">
      <c r="A8351" s="0" t="n">
        <f aca="false">DURATION(DATE(2024,2,15),DATE(2024,2,29),0.05,0.08,2,4)</f>
        <v>0.0388888888888889</v>
      </c>
      <c r="B8351" s="0" t="s">
        <v>8330</v>
      </c>
    </row>
    <row r="8352" customFormat="false" ht="15" hidden="false" customHeight="false" outlineLevel="0" collapsed="false">
      <c r="A8352" s="0" t="n">
        <f aca="false">DURATION(DATE(2024,2,15),DATE(2024,2,29),0.1,0.03,2,4)</f>
        <v>0.0388888888888889</v>
      </c>
      <c r="B8352" s="0" t="s">
        <v>8331</v>
      </c>
    </row>
    <row r="8353" customFormat="false" ht="15" hidden="false" customHeight="false" outlineLevel="0" collapsed="false">
      <c r="A8353" s="0" t="n">
        <f aca="false">DURATION(DATE(2024,2,15),DATE(2024,2,29),0,0.05,2,4)</f>
        <v>0.0388888888888889</v>
      </c>
      <c r="B8353" s="0" t="s">
        <v>8332</v>
      </c>
    </row>
    <row r="8354" customFormat="false" ht="15" hidden="false" customHeight="false" outlineLevel="0" collapsed="false">
      <c r="A8354" s="0" t="n">
        <f aca="false">MDURATION(DATE(2024,2,15),DATE(2024,2,29),0.05,0.08,2,4)</f>
        <v>0.0373931623931624</v>
      </c>
      <c r="B8354" s="0" t="s">
        <v>8333</v>
      </c>
    </row>
    <row r="8355" customFormat="false" ht="15" hidden="false" customHeight="false" outlineLevel="0" collapsed="false">
      <c r="A8355" s="0" t="n">
        <f aca="false">MDURATION(DATE(2024,2,15),DATE(2024,2,29),0.1,0.03,2,4)</f>
        <v>0.0383141762452107</v>
      </c>
      <c r="B8355" s="0" t="s">
        <v>8334</v>
      </c>
    </row>
    <row r="8356" customFormat="false" ht="15" hidden="false" customHeight="false" outlineLevel="0" collapsed="false">
      <c r="A8356" s="0" t="n">
        <f aca="false">PRICE(DATE(2024,2,15),DATE(2024,2,29),0.05,0.08,100,4,0)</f>
        <v>99.8747148440995</v>
      </c>
      <c r="B8356" s="0" t="s">
        <v>8335</v>
      </c>
    </row>
    <row r="8357" customFormat="false" ht="15" hidden="false" customHeight="false" outlineLevel="0" collapsed="false">
      <c r="A8357" s="0" t="n">
        <f aca="false">PRICE(DATE(2024,2,15),DATE(2024,2,29),0.1,0.03,105,4,0)</f>
        <v>105.282876391674</v>
      </c>
      <c r="B8357" s="0" t="s">
        <v>8336</v>
      </c>
    </row>
    <row r="8358" customFormat="false" ht="15" hidden="false" customHeight="false" outlineLevel="0" collapsed="false">
      <c r="A8358" s="0" t="n">
        <f aca="false">PRICE(DATE(2024,2,15),DATE(2024,2,29),0,0.05,100,4,0)</f>
        <v>99.7931721841303</v>
      </c>
      <c r="B8358" s="0" t="s">
        <v>8337</v>
      </c>
    </row>
    <row r="8359" customFormat="false" ht="15" hidden="false" customHeight="false" outlineLevel="0" collapsed="false">
      <c r="A8359" s="0" t="n">
        <f aca="false">YIELD(DATE(2024,2,15),DATE(2024,2,29),0.05,95,100,4,0)</f>
        <v>1.49126059941386</v>
      </c>
      <c r="B8359" s="0" t="s">
        <v>8338</v>
      </c>
    </row>
    <row r="8360" customFormat="false" ht="15" hidden="false" customHeight="false" outlineLevel="0" collapsed="false">
      <c r="A8360" s="0" t="n">
        <f aca="false">YIELD(DATE(2024,2,15),DATE(2024,2,29),0.1,101.5,100,4,0)</f>
        <v>-0.244533536050372</v>
      </c>
      <c r="B8360" s="0" t="s">
        <v>8339</v>
      </c>
    </row>
    <row r="8361" customFormat="false" ht="15" hidden="false" customHeight="false" outlineLevel="0" collapsed="false">
      <c r="A8361" s="0" t="n">
        <f aca="false">YIELD(DATE(2024,2,15),DATE(2024,2,29),0.05,100,100,4,0)</f>
        <v>0.0497403133329884</v>
      </c>
      <c r="B8361" s="0" t="s">
        <v>8340</v>
      </c>
    </row>
    <row r="8362" customFormat="false" ht="15" hidden="false" customHeight="false" outlineLevel="0" collapsed="false">
      <c r="A8362" s="0" t="n">
        <f aca="false">DURATION(DATE(2024,2,15),DATE(2024,2,29),0.05,0.08,4,0)</f>
        <v>0.0388888888888889</v>
      </c>
      <c r="B8362" s="0" t="s">
        <v>8341</v>
      </c>
    </row>
    <row r="8363" customFormat="false" ht="15" hidden="false" customHeight="false" outlineLevel="0" collapsed="false">
      <c r="A8363" s="0" t="n">
        <f aca="false">DURATION(DATE(2024,2,15),DATE(2024,2,29),0.1,0.03,4,0)</f>
        <v>0.0388888888888889</v>
      </c>
      <c r="B8363" s="0" t="s">
        <v>8342</v>
      </c>
    </row>
    <row r="8364" customFormat="false" ht="15" hidden="false" customHeight="false" outlineLevel="0" collapsed="false">
      <c r="A8364" s="0" t="n">
        <f aca="false">DURATION(DATE(2024,2,15),DATE(2024,2,29),0,0.05,4,0)</f>
        <v>0.0388888888888889</v>
      </c>
      <c r="B8364" s="0" t="s">
        <v>8343</v>
      </c>
    </row>
    <row r="8365" customFormat="false" ht="15" hidden="false" customHeight="false" outlineLevel="0" collapsed="false">
      <c r="A8365" s="0" t="n">
        <f aca="false">MDURATION(DATE(2024,2,15),DATE(2024,2,29),0.05,0.08,4,0)</f>
        <v>0.0381263616557734</v>
      </c>
      <c r="B8365" s="0" t="s">
        <v>8344</v>
      </c>
    </row>
    <row r="8366" customFormat="false" ht="15" hidden="false" customHeight="false" outlineLevel="0" collapsed="false">
      <c r="A8366" s="0" t="n">
        <f aca="false">MDURATION(DATE(2024,2,15),DATE(2024,2,29),0.1,0.03,4,0)</f>
        <v>0.0385993934381031</v>
      </c>
      <c r="B8366" s="0" t="s">
        <v>8345</v>
      </c>
    </row>
    <row r="8367" customFormat="false" ht="15" hidden="false" customHeight="false" outlineLevel="0" collapsed="false">
      <c r="A8367" s="0" t="n">
        <f aca="false">PRICE(DATE(2024,2,15),DATE(2024,2,29),0.05,0.08,100,4,1)</f>
        <v>99.8843130901321</v>
      </c>
      <c r="B8367" s="0" t="s">
        <v>8346</v>
      </c>
    </row>
    <row r="8368" customFormat="false" ht="15" hidden="false" customHeight="false" outlineLevel="0" collapsed="false">
      <c r="A8368" s="0" t="n">
        <f aca="false">PRICE(DATE(2024,2,15),DATE(2024,2,29),0.1,0.03,105,4,1)</f>
        <v>105.261110754993</v>
      </c>
      <c r="B8368" s="0" t="s">
        <v>8347</v>
      </c>
    </row>
    <row r="8369" customFormat="false" ht="15" hidden="false" customHeight="false" outlineLevel="0" collapsed="false">
      <c r="A8369" s="0" t="n">
        <f aca="false">PRICE(DATE(2024,2,15),DATE(2024,2,29),0,0.05,100,4,1)</f>
        <v>99.8090668174669</v>
      </c>
      <c r="B8369" s="0" t="s">
        <v>8348</v>
      </c>
    </row>
    <row r="8370" customFormat="false" ht="15" hidden="false" customHeight="false" outlineLevel="0" collapsed="false">
      <c r="A8370" s="0" t="n">
        <f aca="false">YIELD(DATE(2024,2,15),DATE(2024,2,29),0.05,95,100,4,1)</f>
        <v>1.63207890441878</v>
      </c>
      <c r="B8370" s="0" t="s">
        <v>8349</v>
      </c>
    </row>
    <row r="8371" customFormat="false" ht="15" hidden="false" customHeight="false" outlineLevel="0" collapsed="false">
      <c r="A8371" s="0" t="n">
        <f aca="false">YIELD(DATE(2024,2,15),DATE(2024,2,29),0.1,101.5,100,4,1)</f>
        <v>-0.271728472829341</v>
      </c>
      <c r="B8371" s="0" t="s">
        <v>8350</v>
      </c>
    </row>
    <row r="8372" customFormat="false" ht="15" hidden="false" customHeight="false" outlineLevel="0" collapsed="false">
      <c r="A8372" s="0" t="n">
        <f aca="false">YIELD(DATE(2024,2,15),DATE(2024,2,29),0.05,100,100,4,1)</f>
        <v>0.0497363461793354</v>
      </c>
      <c r="B8372" s="0" t="s">
        <v>8351</v>
      </c>
    </row>
    <row r="8373" customFormat="false" ht="15" hidden="false" customHeight="false" outlineLevel="0" collapsed="false">
      <c r="A8373" s="0" t="n">
        <f aca="false">DURATION(DATE(2024,2,15),DATE(2024,2,29),0.05,0.08,4,1)</f>
        <v>0.0382513661202186</v>
      </c>
      <c r="B8373" s="0" t="s">
        <v>8352</v>
      </c>
    </row>
    <row r="8374" customFormat="false" ht="15" hidden="false" customHeight="false" outlineLevel="0" collapsed="false">
      <c r="A8374" s="0" t="n">
        <f aca="false">DURATION(DATE(2024,2,15),DATE(2024,2,29),0.1,0.03,4,1)</f>
        <v>0.0382513661202186</v>
      </c>
      <c r="B8374" s="0" t="s">
        <v>8353</v>
      </c>
    </row>
    <row r="8375" customFormat="false" ht="15" hidden="false" customHeight="false" outlineLevel="0" collapsed="false">
      <c r="A8375" s="0" t="n">
        <f aca="false">DURATION(DATE(2024,2,15),DATE(2024,2,29),0,0.05,4,1)</f>
        <v>0.0382513661202186</v>
      </c>
      <c r="B8375" s="0" t="s">
        <v>8354</v>
      </c>
    </row>
    <row r="8376" customFormat="false" ht="15" hidden="false" customHeight="false" outlineLevel="0" collapsed="false">
      <c r="A8376" s="0" t="n">
        <f aca="false">MDURATION(DATE(2024,2,15),DATE(2024,2,29),0.05,0.08,4,1)</f>
        <v>0.0375013393335476</v>
      </c>
      <c r="B8376" s="0" t="s">
        <v>8355</v>
      </c>
    </row>
    <row r="8377" customFormat="false" ht="15" hidden="false" customHeight="false" outlineLevel="0" collapsed="false">
      <c r="A8377" s="0" t="n">
        <f aca="false">MDURATION(DATE(2024,2,15),DATE(2024,2,29),0.1,0.03,4,1)</f>
        <v>0.0379666164964949</v>
      </c>
      <c r="B8377" s="0" t="s">
        <v>8356</v>
      </c>
    </row>
    <row r="8378" customFormat="false" ht="15" hidden="false" customHeight="false" outlineLevel="0" collapsed="false">
      <c r="A8378" s="0" t="n">
        <f aca="false">PRICE(DATE(2024,2,15),DATE(2024,2,29),0.05,0.08,100,4,2)</f>
        <v>99.869144059227</v>
      </c>
      <c r="B8378" s="0" t="s">
        <v>8357</v>
      </c>
    </row>
    <row r="8379" customFormat="false" ht="15" hidden="false" customHeight="false" outlineLevel="0" collapsed="false">
      <c r="A8379" s="0" t="n">
        <f aca="false">PRICE(DATE(2024,2,15),DATE(2024,2,29),0.1,0.03,105,4,2)</f>
        <v>105.236235005176</v>
      </c>
      <c r="B8379" s="0" t="s">
        <v>8358</v>
      </c>
    </row>
    <row r="8380" customFormat="false" ht="15" hidden="false" customHeight="false" outlineLevel="0" collapsed="false">
      <c r="A8380" s="0" t="n">
        <f aca="false">PRICE(DATE(2024,2,15),DATE(2024,2,29),0,0.05,100,4,2)</f>
        <v>99.8069473867589</v>
      </c>
      <c r="B8380" s="0" t="s">
        <v>8359</v>
      </c>
    </row>
    <row r="8381" customFormat="false" ht="15" hidden="false" customHeight="false" outlineLevel="0" collapsed="false">
      <c r="A8381" s="0" t="n">
        <f aca="false">YIELD(DATE(2024,2,15),DATE(2024,2,29),0.05,95,100,4,2)</f>
        <v>1.60652954913855</v>
      </c>
      <c r="B8381" s="0" t="s">
        <v>8360</v>
      </c>
    </row>
    <row r="8382" customFormat="false" ht="15" hidden="false" customHeight="false" outlineLevel="0" collapsed="false">
      <c r="A8382" s="0" t="n">
        <f aca="false">YIELD(DATE(2024,2,15),DATE(2024,2,29),0.1,101.5,100,4,2)</f>
        <v>-0.274281571597317</v>
      </c>
      <c r="B8382" s="0" t="s">
        <v>8361</v>
      </c>
    </row>
    <row r="8383" customFormat="false" ht="15" hidden="false" customHeight="false" outlineLevel="0" collapsed="false">
      <c r="A8383" s="0" t="n">
        <f aca="false">YIELD(DATE(2024,2,15),DATE(2024,2,29),0.05,100,100,4,2)</f>
        <v>0.0461606329278274</v>
      </c>
      <c r="B8383" s="0" t="s">
        <v>8362</v>
      </c>
    </row>
    <row r="8384" customFormat="false" ht="15" hidden="false" customHeight="false" outlineLevel="0" collapsed="false">
      <c r="A8384" s="0" t="n">
        <f aca="false">DURATION(DATE(2024,2,15),DATE(2024,2,29),0.05,0.08,4,2)</f>
        <v>0.0388888888888889</v>
      </c>
      <c r="B8384" s="0" t="s">
        <v>8363</v>
      </c>
    </row>
    <row r="8385" customFormat="false" ht="15" hidden="false" customHeight="false" outlineLevel="0" collapsed="false">
      <c r="A8385" s="0" t="n">
        <f aca="false">DURATION(DATE(2024,2,15),DATE(2024,2,29),0.1,0.03,4,2)</f>
        <v>0.0388888888888889</v>
      </c>
      <c r="B8385" s="0" t="s">
        <v>8364</v>
      </c>
    </row>
    <row r="8386" customFormat="false" ht="15" hidden="false" customHeight="false" outlineLevel="0" collapsed="false">
      <c r="A8386" s="0" t="n">
        <f aca="false">DURATION(DATE(2024,2,15),DATE(2024,2,29),0,0.05,4,2)</f>
        <v>0.0388888888888889</v>
      </c>
      <c r="B8386" s="0" t="s">
        <v>8365</v>
      </c>
    </row>
    <row r="8387" customFormat="false" ht="15" hidden="false" customHeight="false" outlineLevel="0" collapsed="false">
      <c r="A8387" s="0" t="n">
        <f aca="false">MDURATION(DATE(2024,2,15),DATE(2024,2,29),0.05,0.08,4,2)</f>
        <v>0.0381263616557734</v>
      </c>
      <c r="B8387" s="0" t="s">
        <v>8366</v>
      </c>
    </row>
    <row r="8388" customFormat="false" ht="15" hidden="false" customHeight="false" outlineLevel="0" collapsed="false">
      <c r="A8388" s="0" t="n">
        <f aca="false">MDURATION(DATE(2024,2,15),DATE(2024,2,29),0.1,0.03,4,2)</f>
        <v>0.0385993934381031</v>
      </c>
      <c r="B8388" s="0" t="s">
        <v>8367</v>
      </c>
    </row>
    <row r="8389" customFormat="false" ht="15" hidden="false" customHeight="false" outlineLevel="0" collapsed="false">
      <c r="A8389" s="0" t="n">
        <f aca="false">PRICE(DATE(2024,2,15),DATE(2024,2,29),0.05,0.08,100,4,3)</f>
        <v>99.8880534168987</v>
      </c>
      <c r="B8389" s="0" t="s">
        <v>8368</v>
      </c>
    </row>
    <row r="8390" customFormat="false" ht="15" hidden="false" customHeight="false" outlineLevel="0" collapsed="false">
      <c r="A8390" s="0" t="n">
        <f aca="false">PRICE(DATE(2024,2,15),DATE(2024,2,29),0.1,0.03,105,4,3)</f>
        <v>105.267244504215</v>
      </c>
      <c r="B8390" s="0" t="s">
        <v>8369</v>
      </c>
    </row>
    <row r="8391" customFormat="false" ht="15" hidden="false" customHeight="false" outlineLevel="0" collapsed="false">
      <c r="A8391" s="0" t="n">
        <f aca="false">PRICE(DATE(2024,2,15),DATE(2024,2,29),0,0.05,100,4,3)</f>
        <v>99.8095894237365</v>
      </c>
      <c r="B8391" s="0" t="s">
        <v>8370</v>
      </c>
    </row>
    <row r="8392" customFormat="false" ht="15" hidden="false" customHeight="false" outlineLevel="0" collapsed="false">
      <c r="A8392" s="0" t="n">
        <f aca="false">YIELD(DATE(2024,2,15),DATE(2024,2,29),0.05,95,100,4,3)</f>
        <v>1.63848449931576</v>
      </c>
      <c r="B8392" s="0" t="s">
        <v>8371</v>
      </c>
    </row>
    <row r="8393" customFormat="false" ht="15" hidden="false" customHeight="false" outlineLevel="0" collapsed="false">
      <c r="A8393" s="0" t="n">
        <f aca="false">YIELD(DATE(2024,2,15),DATE(2024,2,29),0.1,101.5,100,4,3)</f>
        <v>-0.271089732632191</v>
      </c>
      <c r="B8393" s="0" t="s">
        <v>8372</v>
      </c>
    </row>
    <row r="8394" customFormat="false" ht="15" hidden="false" customHeight="false" outlineLevel="0" collapsed="false">
      <c r="A8394" s="0" t="n">
        <f aca="false">YIELD(DATE(2024,2,15),DATE(2024,2,29),0.05,100,100,4,3)</f>
        <v>0.0506308229977087</v>
      </c>
      <c r="B8394" s="0" t="s">
        <v>8373</v>
      </c>
    </row>
    <row r="8395" customFormat="false" ht="15" hidden="false" customHeight="false" outlineLevel="0" collapsed="false">
      <c r="A8395" s="0" t="n">
        <f aca="false">DURATION(DATE(2024,2,15),DATE(2024,2,29),0.05,0.08,4,3)</f>
        <v>0.0383561643835617</v>
      </c>
      <c r="B8395" s="0" t="s">
        <v>8374</v>
      </c>
    </row>
    <row r="8396" customFormat="false" ht="15" hidden="false" customHeight="false" outlineLevel="0" collapsed="false">
      <c r="A8396" s="0" t="n">
        <f aca="false">DURATION(DATE(2024,2,15),DATE(2024,2,29),0.1,0.03,4,3)</f>
        <v>0.0383561643835617</v>
      </c>
      <c r="B8396" s="0" t="s">
        <v>8375</v>
      </c>
    </row>
    <row r="8397" customFormat="false" ht="15" hidden="false" customHeight="false" outlineLevel="0" collapsed="false">
      <c r="A8397" s="0" t="n">
        <f aca="false">DURATION(DATE(2024,2,15),DATE(2024,2,29),0,0.05,4,3)</f>
        <v>0.0383561643835617</v>
      </c>
      <c r="B8397" s="0" t="s">
        <v>8376</v>
      </c>
    </row>
    <row r="8398" customFormat="false" ht="15" hidden="false" customHeight="false" outlineLevel="0" collapsed="false">
      <c r="A8398" s="0" t="n">
        <f aca="false">MDURATION(DATE(2024,2,15),DATE(2024,2,29),0.05,0.08,4,3)</f>
        <v>0.037604082728982</v>
      </c>
      <c r="B8398" s="0" t="s">
        <v>8377</v>
      </c>
    </row>
    <row r="8399" customFormat="false" ht="15" hidden="false" customHeight="false" outlineLevel="0" collapsed="false">
      <c r="A8399" s="0" t="n">
        <f aca="false">MDURATION(DATE(2024,2,15),DATE(2024,2,29),0.1,0.03,4,3)</f>
        <v>0.0380706346238825</v>
      </c>
      <c r="B8399" s="0" t="s">
        <v>8378</v>
      </c>
    </row>
    <row r="8400" customFormat="false" ht="15" hidden="false" customHeight="false" outlineLevel="0" collapsed="false">
      <c r="A8400" s="0" t="n">
        <f aca="false">PRICE(DATE(2024,2,15),DATE(2024,2,29),0.05,0.08,100,4,4)</f>
        <v>99.8747148440995</v>
      </c>
      <c r="B8400" s="0" t="s">
        <v>8379</v>
      </c>
    </row>
    <row r="8401" customFormat="false" ht="15" hidden="false" customHeight="false" outlineLevel="0" collapsed="false">
      <c r="A8401" s="0" t="n">
        <f aca="false">PRICE(DATE(2024,2,15),DATE(2024,2,29),0.1,0.03,105,4,4)</f>
        <v>105.282876391674</v>
      </c>
      <c r="B8401" s="0" t="s">
        <v>8380</v>
      </c>
    </row>
    <row r="8402" customFormat="false" ht="15" hidden="false" customHeight="false" outlineLevel="0" collapsed="false">
      <c r="A8402" s="0" t="n">
        <f aca="false">PRICE(DATE(2024,2,15),DATE(2024,2,29),0,0.05,100,4,4)</f>
        <v>99.7931721841303</v>
      </c>
      <c r="B8402" s="0" t="s">
        <v>8381</v>
      </c>
    </row>
    <row r="8403" customFormat="false" ht="15" hidden="false" customHeight="false" outlineLevel="0" collapsed="false">
      <c r="A8403" s="0" t="n">
        <f aca="false">YIELD(DATE(2024,2,15),DATE(2024,2,29),0.05,95,100,4,4)</f>
        <v>1.49126059941386</v>
      </c>
      <c r="B8403" s="0" t="s">
        <v>8382</v>
      </c>
    </row>
    <row r="8404" customFormat="false" ht="15" hidden="false" customHeight="false" outlineLevel="0" collapsed="false">
      <c r="A8404" s="0" t="n">
        <f aca="false">YIELD(DATE(2024,2,15),DATE(2024,2,29),0.1,101.5,100,4,4)</f>
        <v>-0.244533536050372</v>
      </c>
      <c r="B8404" s="0" t="s">
        <v>8383</v>
      </c>
    </row>
    <row r="8405" customFormat="false" ht="15" hidden="false" customHeight="false" outlineLevel="0" collapsed="false">
      <c r="A8405" s="0" t="n">
        <f aca="false">YIELD(DATE(2024,2,15),DATE(2024,2,29),0.05,100,100,4,4)</f>
        <v>0.0497403133329884</v>
      </c>
      <c r="B8405" s="0" t="s">
        <v>8384</v>
      </c>
    </row>
    <row r="8406" customFormat="false" ht="15" hidden="false" customHeight="false" outlineLevel="0" collapsed="false">
      <c r="A8406" s="0" t="n">
        <f aca="false">DURATION(DATE(2024,2,15),DATE(2024,2,29),0.05,0.08,4,4)</f>
        <v>0.0388888888888889</v>
      </c>
      <c r="B8406" s="0" t="s">
        <v>8385</v>
      </c>
    </row>
    <row r="8407" customFormat="false" ht="15" hidden="false" customHeight="false" outlineLevel="0" collapsed="false">
      <c r="A8407" s="0" t="n">
        <f aca="false">DURATION(DATE(2024,2,15),DATE(2024,2,29),0.1,0.03,4,4)</f>
        <v>0.0388888888888889</v>
      </c>
      <c r="B8407" s="0" t="s">
        <v>8386</v>
      </c>
    </row>
    <row r="8408" customFormat="false" ht="15" hidden="false" customHeight="false" outlineLevel="0" collapsed="false">
      <c r="A8408" s="0" t="n">
        <f aca="false">DURATION(DATE(2024,2,15),DATE(2024,2,29),0,0.05,4,4)</f>
        <v>0.0388888888888889</v>
      </c>
      <c r="B8408" s="0" t="s">
        <v>8387</v>
      </c>
    </row>
    <row r="8409" customFormat="false" ht="15" hidden="false" customHeight="false" outlineLevel="0" collapsed="false">
      <c r="A8409" s="0" t="n">
        <f aca="false">MDURATION(DATE(2024,2,15),DATE(2024,2,29),0.05,0.08,4,4)</f>
        <v>0.0381263616557734</v>
      </c>
      <c r="B8409" s="0" t="s">
        <v>8388</v>
      </c>
    </row>
    <row r="8410" customFormat="false" ht="15" hidden="false" customHeight="false" outlineLevel="0" collapsed="false">
      <c r="A8410" s="0" t="n">
        <f aca="false">MDURATION(DATE(2024,2,15),DATE(2024,2,29),0.1,0.03,4,4)</f>
        <v>0.0385993934381031</v>
      </c>
      <c r="B8410" s="0" t="s">
        <v>8389</v>
      </c>
    </row>
    <row r="8411" customFormat="false" ht="15" hidden="false" customHeight="false" outlineLevel="0" collapsed="false">
      <c r="A8411" s="0" t="n">
        <f aca="false">PRICE(DATE(2024,1,1),DATE(2034,1,1),0.05,0.08,100,1,0)</f>
        <v>79.8697558031756</v>
      </c>
      <c r="B8411" s="0" t="s">
        <v>8390</v>
      </c>
    </row>
    <row r="8412" customFormat="false" ht="15" hidden="false" customHeight="false" outlineLevel="0" collapsed="false">
      <c r="A8412" s="0" t="n">
        <f aca="false">PRICE(DATE(2024,1,1),DATE(2034,1,1),0.1,0.03,105,1,0)</f>
        <v>163.431889431914</v>
      </c>
      <c r="B8412" s="0" t="s">
        <v>8391</v>
      </c>
    </row>
    <row r="8413" customFormat="false" ht="15" hidden="false" customHeight="false" outlineLevel="0" collapsed="false">
      <c r="A8413" s="0" t="n">
        <f aca="false">PRICE(DATE(2024,1,1),DATE(2034,1,1),0,0.05,100,1,0)</f>
        <v>61.3913253540759</v>
      </c>
      <c r="B8413" s="0" t="s">
        <v>8392</v>
      </c>
    </row>
    <row r="8414" customFormat="false" ht="15" hidden="false" customHeight="false" outlineLevel="0" collapsed="false">
      <c r="A8414" s="0" t="n">
        <f aca="false">YIELD(DATE(2024,1,1),DATE(2034,1,1),0.05,95,100,1,0)</f>
        <v>0.0566871755917034</v>
      </c>
      <c r="B8414" s="0" t="s">
        <v>8393</v>
      </c>
    </row>
    <row r="8415" customFormat="false" ht="15" hidden="false" customHeight="false" outlineLevel="0" collapsed="false">
      <c r="A8415" s="0" t="n">
        <f aca="false">YIELD(DATE(2024,1,1),DATE(2034,1,1),0.1,101.5,100,1,0)</f>
        <v>0.097584097289614</v>
      </c>
      <c r="B8415" s="0" t="s">
        <v>8394</v>
      </c>
    </row>
    <row r="8416" customFormat="false" ht="15" hidden="false" customHeight="false" outlineLevel="0" collapsed="false">
      <c r="A8416" s="0" t="n">
        <f aca="false">YIELD(DATE(2024,1,1),DATE(2034,1,1),0.05,100,100,1,0)</f>
        <v>0.0500000000000003</v>
      </c>
      <c r="B8416" s="0" t="s">
        <v>8395</v>
      </c>
    </row>
    <row r="8417" customFormat="false" ht="15" hidden="false" customHeight="false" outlineLevel="0" collapsed="false">
      <c r="A8417" s="0" t="n">
        <f aca="false">DURATION(DATE(2024,1,1),DATE(2034,1,1),0.05,0.08,1,0)</f>
        <v>7.84562374279087</v>
      </c>
      <c r="B8417" s="0" t="s">
        <v>8396</v>
      </c>
    </row>
    <row r="8418" customFormat="false" ht="15" hidden="false" customHeight="false" outlineLevel="0" collapsed="false">
      <c r="A8418" s="0" t="n">
        <f aca="false">DURATION(DATE(2024,1,1),DATE(2034,1,1),0.1,0.03,1,0)</f>
        <v>7.46649075103814</v>
      </c>
      <c r="B8418" s="0" t="s">
        <v>8397</v>
      </c>
    </row>
    <row r="8419" customFormat="false" ht="15" hidden="false" customHeight="false" outlineLevel="0" collapsed="false">
      <c r="A8419" s="0" t="n">
        <f aca="false">DURATION(DATE(2024,1,1),DATE(2034,1,1),0,0.05,1,0)</f>
        <v>10</v>
      </c>
      <c r="B8419" s="0" t="s">
        <v>8398</v>
      </c>
    </row>
    <row r="8420" customFormat="false" ht="15" hidden="false" customHeight="false" outlineLevel="0" collapsed="false">
      <c r="A8420" s="0" t="n">
        <f aca="false">MDURATION(DATE(2024,1,1),DATE(2034,1,1),0.05,0.08,1,0)</f>
        <v>7.26446642851007</v>
      </c>
      <c r="B8420" s="0" t="s">
        <v>8399</v>
      </c>
    </row>
    <row r="8421" customFormat="false" ht="15" hidden="false" customHeight="false" outlineLevel="0" collapsed="false">
      <c r="A8421" s="0" t="n">
        <f aca="false">MDURATION(DATE(2024,1,1),DATE(2034,1,1),0.1,0.03,1,0)</f>
        <v>7.24902014663897</v>
      </c>
      <c r="B8421" s="0" t="s">
        <v>8400</v>
      </c>
    </row>
    <row r="8422" customFormat="false" ht="15" hidden="false" customHeight="false" outlineLevel="0" collapsed="false">
      <c r="A8422" s="0" t="n">
        <f aca="false">PRICE(DATE(2024,1,1),DATE(2034,1,1),0.05,0.08,100,1,1)</f>
        <v>79.8697558031756</v>
      </c>
      <c r="B8422" s="0" t="s">
        <v>8401</v>
      </c>
    </row>
    <row r="8423" customFormat="false" ht="15" hidden="false" customHeight="false" outlineLevel="0" collapsed="false">
      <c r="A8423" s="0" t="n">
        <f aca="false">PRICE(DATE(2024,1,1),DATE(2034,1,1),0.1,0.03,105,1,1)</f>
        <v>163.431889431914</v>
      </c>
      <c r="B8423" s="0" t="s">
        <v>8402</v>
      </c>
    </row>
    <row r="8424" customFormat="false" ht="15" hidden="false" customHeight="false" outlineLevel="0" collapsed="false">
      <c r="A8424" s="0" t="n">
        <f aca="false">PRICE(DATE(2024,1,1),DATE(2034,1,1),0,0.05,100,1,1)</f>
        <v>61.3913253540759</v>
      </c>
      <c r="B8424" s="0" t="s">
        <v>8403</v>
      </c>
    </row>
    <row r="8425" customFormat="false" ht="15" hidden="false" customHeight="false" outlineLevel="0" collapsed="false">
      <c r="A8425" s="0" t="n">
        <f aca="false">YIELD(DATE(2024,1,1),DATE(2034,1,1),0.05,95,100,1,1)</f>
        <v>0.0566871755917034</v>
      </c>
      <c r="B8425" s="0" t="s">
        <v>8404</v>
      </c>
    </row>
    <row r="8426" customFormat="false" ht="15" hidden="false" customHeight="false" outlineLevel="0" collapsed="false">
      <c r="A8426" s="0" t="n">
        <f aca="false">YIELD(DATE(2024,1,1),DATE(2034,1,1),0.1,101.5,100,1,1)</f>
        <v>0.097584097289614</v>
      </c>
      <c r="B8426" s="0" t="s">
        <v>8405</v>
      </c>
    </row>
    <row r="8427" customFormat="false" ht="15" hidden="false" customHeight="false" outlineLevel="0" collapsed="false">
      <c r="A8427" s="0" t="n">
        <f aca="false">YIELD(DATE(2024,1,1),DATE(2034,1,1),0.05,100,100,1,1)</f>
        <v>0.0500000000000003</v>
      </c>
      <c r="B8427" s="0" t="s">
        <v>8406</v>
      </c>
    </row>
    <row r="8428" customFormat="false" ht="15" hidden="false" customHeight="false" outlineLevel="0" collapsed="false">
      <c r="A8428" s="0" t="n">
        <f aca="false">DURATION(DATE(2024,1,1),DATE(2034,1,1),0.05,0.08,1,1)</f>
        <v>7.84637038291034</v>
      </c>
      <c r="B8428" s="0" t="s">
        <v>8407</v>
      </c>
    </row>
    <row r="8429" customFormat="false" ht="15" hidden="false" customHeight="false" outlineLevel="0" collapsed="false">
      <c r="A8429" s="0" t="n">
        <f aca="false">DURATION(DATE(2024,1,1),DATE(2034,1,1),0.1,0.03,1,1)</f>
        <v>7.4672373911576</v>
      </c>
      <c r="B8429" s="0" t="s">
        <v>8408</v>
      </c>
    </row>
    <row r="8430" customFormat="false" ht="15" hidden="false" customHeight="false" outlineLevel="0" collapsed="false">
      <c r="A8430" s="0" t="n">
        <f aca="false">DURATION(DATE(2024,1,1),DATE(2034,1,1),0,0.05,1,1)</f>
        <v>10.0007466401195</v>
      </c>
      <c r="B8430" s="0" t="s">
        <v>8409</v>
      </c>
    </row>
    <row r="8431" customFormat="false" ht="15" hidden="false" customHeight="false" outlineLevel="0" collapsed="false">
      <c r="A8431" s="0" t="n">
        <f aca="false">MDURATION(DATE(2024,1,1),DATE(2034,1,1),0.05,0.08,1,1)</f>
        <v>7.26515776195401</v>
      </c>
      <c r="B8431" s="0" t="s">
        <v>8410</v>
      </c>
    </row>
    <row r="8432" customFormat="false" ht="15" hidden="false" customHeight="false" outlineLevel="0" collapsed="false">
      <c r="A8432" s="0" t="n">
        <f aca="false">MDURATION(DATE(2024,1,1),DATE(2034,1,1),0.1,0.03,1,1)</f>
        <v>7.24974503995884</v>
      </c>
      <c r="B8432" s="0" t="s">
        <v>8411</v>
      </c>
    </row>
    <row r="8433" customFormat="false" ht="15" hidden="false" customHeight="false" outlineLevel="0" collapsed="false">
      <c r="A8433" s="0" t="n">
        <f aca="false">PRICE(DATE(2024,1,1),DATE(2034,1,1),0.05,0.08,100,1,2)</f>
        <v>79.7673738197149</v>
      </c>
      <c r="B8433" s="0" t="s">
        <v>8412</v>
      </c>
    </row>
    <row r="8434" customFormat="false" ht="15" hidden="false" customHeight="false" outlineLevel="0" collapsed="false">
      <c r="A8434" s="0" t="n">
        <f aca="false">PRICE(DATE(2024,1,1),DATE(2034,1,1),0.1,0.03,105,1,2)</f>
        <v>163.35139507952</v>
      </c>
      <c r="B8434" s="0" t="s">
        <v>8413</v>
      </c>
    </row>
    <row r="8435" customFormat="false" ht="15" hidden="false" customHeight="false" outlineLevel="0" collapsed="false">
      <c r="A8435" s="0" t="n">
        <f aca="false">PRICE(DATE(2024,1,1),DATE(2034,1,1),0,0.05,100,1,2)</f>
        <v>61.341424098536</v>
      </c>
      <c r="B8435" s="0" t="s">
        <v>8414</v>
      </c>
    </row>
    <row r="8436" customFormat="false" ht="15" hidden="false" customHeight="false" outlineLevel="0" collapsed="false">
      <c r="A8436" s="0" t="n">
        <f aca="false">YIELD(DATE(2024,1,1),DATE(2034,1,1),0.05,95,100,1,2)</f>
        <v>0.0565668245638703</v>
      </c>
      <c r="B8436" s="0" t="s">
        <v>8415</v>
      </c>
    </row>
    <row r="8437" customFormat="false" ht="15" hidden="false" customHeight="false" outlineLevel="0" collapsed="false">
      <c r="A8437" s="0" t="n">
        <f aca="false">YIELD(DATE(2024,1,1),DATE(2034,1,1),0.1,101.5,100,1,2)</f>
        <v>0.0973337183633373</v>
      </c>
      <c r="B8437" s="0" t="s">
        <v>8416</v>
      </c>
    </row>
    <row r="8438" customFormat="false" ht="15" hidden="false" customHeight="false" outlineLevel="0" collapsed="false">
      <c r="A8438" s="0" t="n">
        <f aca="false">YIELD(DATE(2024,1,1),DATE(2034,1,1),0.05,100,100,1,2)</f>
        <v>0.0498949178544538</v>
      </c>
      <c r="B8438" s="0" t="s">
        <v>8417</v>
      </c>
    </row>
    <row r="8439" customFormat="false" ht="15" hidden="false" customHeight="false" outlineLevel="0" collapsed="false">
      <c r="A8439" s="0" t="n">
        <f aca="false">DURATION(DATE(2024,1,1),DATE(2034,1,1),0.05,0.08,1,2)</f>
        <v>7.99284596501309</v>
      </c>
      <c r="B8439" s="0" t="s">
        <v>8418</v>
      </c>
    </row>
    <row r="8440" customFormat="false" ht="15" hidden="false" customHeight="false" outlineLevel="0" collapsed="false">
      <c r="A8440" s="0" t="n">
        <f aca="false">DURATION(DATE(2024,1,1),DATE(2034,1,1),0.1,0.03,1,2)</f>
        <v>7.61371297326036</v>
      </c>
      <c r="B8440" s="0" t="s">
        <v>8419</v>
      </c>
    </row>
    <row r="8441" customFormat="false" ht="15" hidden="false" customHeight="false" outlineLevel="0" collapsed="false">
      <c r="A8441" s="0" t="n">
        <f aca="false">DURATION(DATE(2024,1,1),DATE(2034,1,1),0,0.05,1,2)</f>
        <v>10.1472222222222</v>
      </c>
      <c r="B8441" s="0" t="s">
        <v>8420</v>
      </c>
    </row>
    <row r="8442" customFormat="false" ht="15" hidden="false" customHeight="false" outlineLevel="0" collapsed="false">
      <c r="A8442" s="0" t="n">
        <f aca="false">MDURATION(DATE(2024,1,1),DATE(2034,1,1),0.05,0.08,1,2)</f>
        <v>7.40078330093805</v>
      </c>
      <c r="B8442" s="0" t="s">
        <v>8421</v>
      </c>
    </row>
    <row r="8443" customFormat="false" ht="15" hidden="false" customHeight="false" outlineLevel="0" collapsed="false">
      <c r="A8443" s="0" t="n">
        <f aca="false">MDURATION(DATE(2024,1,1),DATE(2034,1,1),0.1,0.03,1,2)</f>
        <v>7.39195434297123</v>
      </c>
      <c r="B8443" s="0" t="s">
        <v>8422</v>
      </c>
    </row>
    <row r="8444" customFormat="false" ht="15" hidden="false" customHeight="false" outlineLevel="0" collapsed="false">
      <c r="A8444" s="0" t="n">
        <f aca="false">PRICE(DATE(2024,1,1),DATE(2034,1,1),0.05,0.08,100,1,3)</f>
        <v>79.8529168673726</v>
      </c>
      <c r="B8444" s="0" t="s">
        <v>8423</v>
      </c>
    </row>
    <row r="8445" customFormat="false" ht="15" hidden="false" customHeight="false" outlineLevel="0" collapsed="false">
      <c r="A8445" s="0" t="n">
        <f aca="false">PRICE(DATE(2024,1,1),DATE(2034,1,1),0.1,0.03,105,1,3)</f>
        <v>163.418654759869</v>
      </c>
      <c r="B8445" s="0" t="s">
        <v>8424</v>
      </c>
    </row>
    <row r="8446" customFormat="false" ht="15" hidden="false" customHeight="false" outlineLevel="0" collapsed="false">
      <c r="A8446" s="0" t="n">
        <f aca="false">PRICE(DATE(2024,1,1),DATE(2034,1,1),0,0.05,100,1,3)</f>
        <v>61.3831196207647</v>
      </c>
      <c r="B8446" s="0" t="s">
        <v>8425</v>
      </c>
    </row>
    <row r="8447" customFormat="false" ht="15" hidden="false" customHeight="false" outlineLevel="0" collapsed="false">
      <c r="A8447" s="0" t="n">
        <f aca="false">YIELD(DATE(2024,1,1),DATE(2034,1,1),0.05,95,100,1,3)</f>
        <v>0.0566673556501539</v>
      </c>
      <c r="B8447" s="0" t="s">
        <v>8426</v>
      </c>
    </row>
    <row r="8448" customFormat="false" ht="15" hidden="false" customHeight="false" outlineLevel="0" collapsed="false">
      <c r="A8448" s="0" t="n">
        <f aca="false">YIELD(DATE(2024,1,1),DATE(2034,1,1),0.1,101.5,100,1,3)</f>
        <v>0.0975428441394117</v>
      </c>
      <c r="B8448" s="0" t="s">
        <v>8427</v>
      </c>
    </row>
    <row r="8449" customFormat="false" ht="15" hidden="false" customHeight="false" outlineLevel="0" collapsed="false">
      <c r="A8449" s="0" t="n">
        <f aca="false">YIELD(DATE(2024,1,1),DATE(2034,1,1),0.05,100,100,1,3)</f>
        <v>0.0499826950512278</v>
      </c>
      <c r="B8449" s="0" t="s">
        <v>8428</v>
      </c>
    </row>
    <row r="8450" customFormat="false" ht="15" hidden="false" customHeight="false" outlineLevel="0" collapsed="false">
      <c r="A8450" s="0" t="n">
        <f aca="false">DURATION(DATE(2024,1,1),DATE(2034,1,1),0.05,0.08,1,3)</f>
        <v>7.85384292087306</v>
      </c>
      <c r="B8450" s="0" t="s">
        <v>8429</v>
      </c>
    </row>
    <row r="8451" customFormat="false" ht="15" hidden="false" customHeight="false" outlineLevel="0" collapsed="false">
      <c r="A8451" s="0" t="n">
        <f aca="false">DURATION(DATE(2024,1,1),DATE(2034,1,1),0.1,0.03,1,3)</f>
        <v>7.47470992912033</v>
      </c>
      <c r="B8451" s="0" t="s">
        <v>8430</v>
      </c>
    </row>
    <row r="8452" customFormat="false" ht="15" hidden="false" customHeight="false" outlineLevel="0" collapsed="false">
      <c r="A8452" s="0" t="n">
        <f aca="false">DURATION(DATE(2024,1,1),DATE(2034,1,1),0,0.05,1,3)</f>
        <v>10.0082191780822</v>
      </c>
      <c r="B8452" s="0" t="s">
        <v>8431</v>
      </c>
    </row>
    <row r="8453" customFormat="false" ht="15" hidden="false" customHeight="false" outlineLevel="0" collapsed="false">
      <c r="A8453" s="0" t="n">
        <f aca="false">MDURATION(DATE(2024,1,1),DATE(2034,1,1),0.05,0.08,1,3)</f>
        <v>7.27207677858617</v>
      </c>
      <c r="B8453" s="0" t="s">
        <v>8432</v>
      </c>
    </row>
    <row r="8454" customFormat="false" ht="15" hidden="false" customHeight="false" outlineLevel="0" collapsed="false">
      <c r="A8454" s="0" t="n">
        <f aca="false">MDURATION(DATE(2024,1,1),DATE(2034,1,1),0.1,0.03,1,3)</f>
        <v>7.25699993118479</v>
      </c>
      <c r="B8454" s="0" t="s">
        <v>8433</v>
      </c>
    </row>
    <row r="8455" customFormat="false" ht="15" hidden="false" customHeight="false" outlineLevel="0" collapsed="false">
      <c r="A8455" s="0" t="n">
        <f aca="false">PRICE(DATE(2024,1,1),DATE(2034,1,1),0.05,0.08,100,1,4)</f>
        <v>79.8697558031756</v>
      </c>
      <c r="B8455" s="0" t="s">
        <v>8434</v>
      </c>
    </row>
    <row r="8456" customFormat="false" ht="15" hidden="false" customHeight="false" outlineLevel="0" collapsed="false">
      <c r="A8456" s="0" t="n">
        <f aca="false">PRICE(DATE(2024,1,1),DATE(2034,1,1),0.1,0.03,105,1,4)</f>
        <v>163.431889431914</v>
      </c>
      <c r="B8456" s="0" t="s">
        <v>8435</v>
      </c>
    </row>
    <row r="8457" customFormat="false" ht="15" hidden="false" customHeight="false" outlineLevel="0" collapsed="false">
      <c r="A8457" s="0" t="n">
        <f aca="false">PRICE(DATE(2024,1,1),DATE(2034,1,1),0,0.05,100,1,4)</f>
        <v>61.3913253540759</v>
      </c>
      <c r="B8457" s="0" t="s">
        <v>8436</v>
      </c>
    </row>
    <row r="8458" customFormat="false" ht="15" hidden="false" customHeight="false" outlineLevel="0" collapsed="false">
      <c r="A8458" s="0" t="n">
        <f aca="false">YIELD(DATE(2024,1,1),DATE(2034,1,1),0.05,95,100,1,4)</f>
        <v>0.0566871755917034</v>
      </c>
      <c r="B8458" s="0" t="s">
        <v>8437</v>
      </c>
    </row>
    <row r="8459" customFormat="false" ht="15" hidden="false" customHeight="false" outlineLevel="0" collapsed="false">
      <c r="A8459" s="0" t="n">
        <f aca="false">YIELD(DATE(2024,1,1),DATE(2034,1,1),0.1,101.5,100,1,4)</f>
        <v>0.097584097289614</v>
      </c>
      <c r="B8459" s="0" t="s">
        <v>8438</v>
      </c>
    </row>
    <row r="8460" customFormat="false" ht="15" hidden="false" customHeight="false" outlineLevel="0" collapsed="false">
      <c r="A8460" s="0" t="n">
        <f aca="false">YIELD(DATE(2024,1,1),DATE(2034,1,1),0.05,100,100,1,4)</f>
        <v>0.0500000000000003</v>
      </c>
      <c r="B8460" s="0" t="s">
        <v>8439</v>
      </c>
    </row>
    <row r="8461" customFormat="false" ht="15" hidden="false" customHeight="false" outlineLevel="0" collapsed="false">
      <c r="A8461" s="0" t="n">
        <f aca="false">DURATION(DATE(2024,1,1),DATE(2034,1,1),0.05,0.08,1,4)</f>
        <v>7.84562374279087</v>
      </c>
      <c r="B8461" s="0" t="s">
        <v>8440</v>
      </c>
    </row>
    <row r="8462" customFormat="false" ht="15" hidden="false" customHeight="false" outlineLevel="0" collapsed="false">
      <c r="A8462" s="0" t="n">
        <f aca="false">DURATION(DATE(2024,1,1),DATE(2034,1,1),0.1,0.03,1,4)</f>
        <v>7.46649075103814</v>
      </c>
      <c r="B8462" s="0" t="s">
        <v>8441</v>
      </c>
    </row>
    <row r="8463" customFormat="false" ht="15" hidden="false" customHeight="false" outlineLevel="0" collapsed="false">
      <c r="A8463" s="0" t="n">
        <f aca="false">DURATION(DATE(2024,1,1),DATE(2034,1,1),0,0.05,1,4)</f>
        <v>10</v>
      </c>
      <c r="B8463" s="0" t="s">
        <v>8442</v>
      </c>
    </row>
    <row r="8464" customFormat="false" ht="15" hidden="false" customHeight="false" outlineLevel="0" collapsed="false">
      <c r="A8464" s="0" t="n">
        <f aca="false">MDURATION(DATE(2024,1,1),DATE(2034,1,1),0.05,0.08,1,4)</f>
        <v>7.26446642851007</v>
      </c>
      <c r="B8464" s="0" t="s">
        <v>8443</v>
      </c>
    </row>
    <row r="8465" customFormat="false" ht="15" hidden="false" customHeight="false" outlineLevel="0" collapsed="false">
      <c r="A8465" s="0" t="n">
        <f aca="false">MDURATION(DATE(2024,1,1),DATE(2034,1,1),0.1,0.03,1,4)</f>
        <v>7.24902014663897</v>
      </c>
      <c r="B8465" s="0" t="s">
        <v>8444</v>
      </c>
    </row>
    <row r="8466" customFormat="false" ht="15" hidden="false" customHeight="false" outlineLevel="0" collapsed="false">
      <c r="A8466" s="0" t="n">
        <f aca="false">PRICE(DATE(2024,1,1),DATE(2034,1,1),0.05,0.08,100,2,0)</f>
        <v>79.6145104825484</v>
      </c>
      <c r="B8466" s="0" t="s">
        <v>8445</v>
      </c>
    </row>
    <row r="8467" customFormat="false" ht="15" hidden="false" customHeight="false" outlineLevel="0" collapsed="false">
      <c r="A8467" s="0" t="n">
        <f aca="false">PRICE(DATE(2024,1,1),DATE(2034,1,1),0.1,0.03,105,2,0)</f>
        <v>163.802587838906</v>
      </c>
      <c r="B8467" s="0" t="s">
        <v>8446</v>
      </c>
    </row>
    <row r="8468" customFormat="false" ht="15" hidden="false" customHeight="false" outlineLevel="0" collapsed="false">
      <c r="A8468" s="0" t="n">
        <f aca="false">PRICE(DATE(2024,1,1),DATE(2034,1,1),0,0.05,100,2,0)</f>
        <v>61.0270942858831</v>
      </c>
      <c r="B8468" s="0" t="s">
        <v>8447</v>
      </c>
    </row>
    <row r="8469" customFormat="false" ht="15" hidden="false" customHeight="false" outlineLevel="0" collapsed="false">
      <c r="A8469" s="0" t="n">
        <f aca="false">YIELD(DATE(2024,1,1),DATE(2034,1,1),0.05,95,100,2,0)</f>
        <v>0.0566168907697847</v>
      </c>
      <c r="B8469" s="0" t="s">
        <v>8448</v>
      </c>
    </row>
    <row r="8470" customFormat="false" ht="15" hidden="false" customHeight="false" outlineLevel="0" collapsed="false">
      <c r="A8470" s="0" t="n">
        <f aca="false">YIELD(DATE(2024,1,1),DATE(2034,1,1),0.1,101.5,100,2,0)</f>
        <v>0.0976169826667805</v>
      </c>
      <c r="B8470" s="0" t="s">
        <v>8449</v>
      </c>
    </row>
    <row r="8471" customFormat="false" ht="15" hidden="false" customHeight="false" outlineLevel="0" collapsed="false">
      <c r="A8471" s="0" t="n">
        <f aca="false">YIELD(DATE(2024,1,1),DATE(2034,1,1),0.05,100,100,2,0)</f>
        <v>0.05</v>
      </c>
      <c r="B8471" s="0" t="s">
        <v>8450</v>
      </c>
    </row>
    <row r="8472" customFormat="false" ht="15" hidden="false" customHeight="false" outlineLevel="0" collapsed="false">
      <c r="A8472" s="0" t="n">
        <f aca="false">DURATION(DATE(2024,1,1),DATE(2034,1,1),0.05,0.08,2,0)</f>
        <v>7.69747508742476</v>
      </c>
      <c r="B8472" s="0" t="s">
        <v>8451</v>
      </c>
    </row>
    <row r="8473" customFormat="false" ht="15" hidden="false" customHeight="false" outlineLevel="0" collapsed="false">
      <c r="A8473" s="0" t="n">
        <f aca="false">DURATION(DATE(2024,1,1),DATE(2034,1,1),0.1,0.03,2,0)</f>
        <v>7.32043658469718</v>
      </c>
      <c r="B8473" s="0" t="s">
        <v>8452</v>
      </c>
    </row>
    <row r="8474" customFormat="false" ht="15" hidden="false" customHeight="false" outlineLevel="0" collapsed="false">
      <c r="A8474" s="0" t="n">
        <f aca="false">DURATION(DATE(2024,1,1),DATE(2034,1,1),0,0.05,2,0)</f>
        <v>10</v>
      </c>
      <c r="B8474" s="0" t="s">
        <v>8453</v>
      </c>
    </row>
    <row r="8475" customFormat="false" ht="15" hidden="false" customHeight="false" outlineLevel="0" collapsed="false">
      <c r="A8475" s="0" t="n">
        <f aca="false">MDURATION(DATE(2024,1,1),DATE(2034,1,1),0.05,0.08,2,0)</f>
        <v>7.40141835329304</v>
      </c>
      <c r="B8475" s="0" t="s">
        <v>8454</v>
      </c>
    </row>
    <row r="8476" customFormat="false" ht="15" hidden="false" customHeight="false" outlineLevel="0" collapsed="false">
      <c r="A8476" s="0" t="n">
        <f aca="false">MDURATION(DATE(2024,1,1),DATE(2034,1,1),0.1,0.03,2,0)</f>
        <v>7.2122527928051</v>
      </c>
      <c r="B8476" s="0" t="s">
        <v>8455</v>
      </c>
    </row>
    <row r="8477" customFormat="false" ht="15" hidden="false" customHeight="false" outlineLevel="0" collapsed="false">
      <c r="A8477" s="0" t="n">
        <f aca="false">PRICE(DATE(2024,1,1),DATE(2034,1,1),0.05,0.08,100,2,1)</f>
        <v>79.6145104825484</v>
      </c>
      <c r="B8477" s="0" t="s">
        <v>8456</v>
      </c>
    </row>
    <row r="8478" customFormat="false" ht="15" hidden="false" customHeight="false" outlineLevel="0" collapsed="false">
      <c r="A8478" s="0" t="n">
        <f aca="false">PRICE(DATE(2024,1,1),DATE(2034,1,1),0.1,0.03,105,2,1)</f>
        <v>163.802587838906</v>
      </c>
      <c r="B8478" s="0" t="s">
        <v>8457</v>
      </c>
    </row>
    <row r="8479" customFormat="false" ht="15" hidden="false" customHeight="false" outlineLevel="0" collapsed="false">
      <c r="A8479" s="0" t="n">
        <f aca="false">PRICE(DATE(2024,1,1),DATE(2034,1,1),0,0.05,100,2,1)</f>
        <v>61.0270942858831</v>
      </c>
      <c r="B8479" s="0" t="s">
        <v>8458</v>
      </c>
    </row>
    <row r="8480" customFormat="false" ht="15" hidden="false" customHeight="false" outlineLevel="0" collapsed="false">
      <c r="A8480" s="0" t="n">
        <f aca="false">YIELD(DATE(2024,1,1),DATE(2034,1,1),0.05,95,100,2,1)</f>
        <v>0.0566168907697847</v>
      </c>
      <c r="B8480" s="0" t="s">
        <v>8459</v>
      </c>
    </row>
    <row r="8481" customFormat="false" ht="15" hidden="false" customHeight="false" outlineLevel="0" collapsed="false">
      <c r="A8481" s="0" t="n">
        <f aca="false">YIELD(DATE(2024,1,1),DATE(2034,1,1),0.1,101.5,100,2,1)</f>
        <v>0.0976169826667805</v>
      </c>
      <c r="B8481" s="0" t="s">
        <v>8460</v>
      </c>
    </row>
    <row r="8482" customFormat="false" ht="15" hidden="false" customHeight="false" outlineLevel="0" collapsed="false">
      <c r="A8482" s="0" t="n">
        <f aca="false">YIELD(DATE(2024,1,1),DATE(2034,1,1),0.05,100,100,2,1)</f>
        <v>0.05</v>
      </c>
      <c r="B8482" s="0" t="s">
        <v>8461</v>
      </c>
    </row>
    <row r="8483" customFormat="false" ht="15" hidden="false" customHeight="false" outlineLevel="0" collapsed="false">
      <c r="A8483" s="0" t="n">
        <f aca="false">DURATION(DATE(2024,1,1),DATE(2034,1,1),0.05,0.08,2,1)</f>
        <v>7.69822172754422</v>
      </c>
      <c r="B8483" s="0" t="s">
        <v>8462</v>
      </c>
    </row>
    <row r="8484" customFormat="false" ht="15" hidden="false" customHeight="false" outlineLevel="0" collapsed="false">
      <c r="A8484" s="0" t="n">
        <f aca="false">DURATION(DATE(2024,1,1),DATE(2034,1,1),0.1,0.03,2,1)</f>
        <v>7.32118322481664</v>
      </c>
      <c r="B8484" s="0" t="s">
        <v>8463</v>
      </c>
    </row>
    <row r="8485" customFormat="false" ht="15" hidden="false" customHeight="false" outlineLevel="0" collapsed="false">
      <c r="A8485" s="0" t="n">
        <f aca="false">DURATION(DATE(2024,1,1),DATE(2034,1,1),0,0.05,2,1)</f>
        <v>10.0007466401195</v>
      </c>
      <c r="B8485" s="0" t="s">
        <v>8464</v>
      </c>
    </row>
    <row r="8486" customFormat="false" ht="15" hidden="false" customHeight="false" outlineLevel="0" collapsed="false">
      <c r="A8486" s="0" t="n">
        <f aca="false">MDURATION(DATE(2024,1,1),DATE(2034,1,1),0.05,0.08,2,1)</f>
        <v>7.40213627648483</v>
      </c>
      <c r="B8486" s="0" t="s">
        <v>8465</v>
      </c>
    </row>
    <row r="8487" customFormat="false" ht="15" hidden="false" customHeight="false" outlineLevel="0" collapsed="false">
      <c r="A8487" s="0" t="n">
        <f aca="false">MDURATION(DATE(2024,1,1),DATE(2034,1,1),0.1,0.03,2,1)</f>
        <v>7.21298839883413</v>
      </c>
      <c r="B8487" s="0" t="s">
        <v>8466</v>
      </c>
    </row>
    <row r="8488" customFormat="false" ht="15" hidden="false" customHeight="false" outlineLevel="0" collapsed="false">
      <c r="A8488" s="0" t="n">
        <f aca="false">PRICE(DATE(2024,1,1),DATE(2034,1,1),0.05,0.08,100,2,2)</f>
        <v>79.5798231758972</v>
      </c>
      <c r="B8488" s="0" t="s">
        <v>8467</v>
      </c>
    </row>
    <row r="8489" customFormat="false" ht="15" hidden="false" customHeight="false" outlineLevel="0" collapsed="false">
      <c r="A8489" s="0" t="n">
        <f aca="false">PRICE(DATE(2024,1,1),DATE(2034,1,1),0.1,0.03,105,2,2)</f>
        <v>163.775492377313</v>
      </c>
      <c r="B8489" s="0" t="s">
        <v>8468</v>
      </c>
    </row>
    <row r="8490" customFormat="false" ht="15" hidden="false" customHeight="false" outlineLevel="0" collapsed="false">
      <c r="A8490" s="0" t="n">
        <f aca="false">PRICE(DATE(2024,1,1),DATE(2034,1,1),0,0.05,100,2,2)</f>
        <v>61.01035304483</v>
      </c>
      <c r="B8490" s="0" t="s">
        <v>8469</v>
      </c>
    </row>
    <row r="8491" customFormat="false" ht="15" hidden="false" customHeight="false" outlineLevel="0" collapsed="false">
      <c r="A8491" s="0" t="n">
        <f aca="false">YIELD(DATE(2024,1,1),DATE(2034,1,1),0.05,95,100,2,2)</f>
        <v>0.0565766859540961</v>
      </c>
      <c r="B8491" s="0" t="s">
        <v>8470</v>
      </c>
    </row>
    <row r="8492" customFormat="false" ht="15" hidden="false" customHeight="false" outlineLevel="0" collapsed="false">
      <c r="A8492" s="0" t="n">
        <f aca="false">YIELD(DATE(2024,1,1),DATE(2034,1,1),0.1,101.5,100,2,2)</f>
        <v>0.0975325385356538</v>
      </c>
      <c r="B8492" s="0" t="s">
        <v>8471</v>
      </c>
    </row>
    <row r="8493" customFormat="false" ht="15" hidden="false" customHeight="false" outlineLevel="0" collapsed="false">
      <c r="A8493" s="0" t="n">
        <f aca="false">YIELD(DATE(2024,1,1),DATE(2034,1,1),0.05,100,100,2,2)</f>
        <v>0.049964826364717</v>
      </c>
      <c r="B8493" s="0" t="s">
        <v>8472</v>
      </c>
    </row>
    <row r="8494" customFormat="false" ht="15" hidden="false" customHeight="false" outlineLevel="0" collapsed="false">
      <c r="A8494" s="0" t="n">
        <f aca="false">DURATION(DATE(2024,1,1),DATE(2034,1,1),0.05,0.08,2,2)</f>
        <v>7.84469730964698</v>
      </c>
      <c r="B8494" s="0" t="s">
        <v>8473</v>
      </c>
    </row>
    <row r="8495" customFormat="false" ht="15" hidden="false" customHeight="false" outlineLevel="0" collapsed="false">
      <c r="A8495" s="0" t="n">
        <f aca="false">DURATION(DATE(2024,1,1),DATE(2034,1,1),0.1,0.03,2,2)</f>
        <v>7.4676588069194</v>
      </c>
      <c r="B8495" s="0" t="s">
        <v>8474</v>
      </c>
    </row>
    <row r="8496" customFormat="false" ht="15" hidden="false" customHeight="false" outlineLevel="0" collapsed="false">
      <c r="A8496" s="0" t="n">
        <f aca="false">DURATION(DATE(2024,1,1),DATE(2034,1,1),0,0.05,2,2)</f>
        <v>10.1472222222222</v>
      </c>
      <c r="B8496" s="0" t="s">
        <v>8475</v>
      </c>
    </row>
    <row r="8497" customFormat="false" ht="15" hidden="false" customHeight="false" outlineLevel="0" collapsed="false">
      <c r="A8497" s="0" t="n">
        <f aca="false">MDURATION(DATE(2024,1,1),DATE(2034,1,1),0.05,0.08,2,2)</f>
        <v>7.54297818235287</v>
      </c>
      <c r="B8497" s="0" t="s">
        <v>8476</v>
      </c>
    </row>
    <row r="8498" customFormat="false" ht="15" hidden="false" customHeight="false" outlineLevel="0" collapsed="false">
      <c r="A8498" s="0" t="n">
        <f aca="false">MDURATION(DATE(2024,1,1),DATE(2034,1,1),0.1,0.03,2,2)</f>
        <v>7.35729931716197</v>
      </c>
      <c r="B8498" s="0" t="s">
        <v>8477</v>
      </c>
    </row>
    <row r="8499" customFormat="false" ht="15" hidden="false" customHeight="false" outlineLevel="0" collapsed="false">
      <c r="A8499" s="0" t="n">
        <f aca="false">PRICE(DATE(2024,1,1),DATE(2034,1,1),0.05,0.08,100,2,3)</f>
        <v>79.6230658404911</v>
      </c>
      <c r="B8499" s="0" t="s">
        <v>8478</v>
      </c>
    </row>
    <row r="8500" customFormat="false" ht="15" hidden="false" customHeight="false" outlineLevel="0" collapsed="false">
      <c r="A8500" s="0" t="n">
        <f aca="false">PRICE(DATE(2024,1,1),DATE(2034,1,1),0.1,0.03,105,2,3)</f>
        <v>163.80926960054</v>
      </c>
      <c r="B8500" s="0" t="s">
        <v>8479</v>
      </c>
    </row>
    <row r="8501" customFormat="false" ht="15" hidden="false" customHeight="false" outlineLevel="0" collapsed="false">
      <c r="A8501" s="0" t="n">
        <f aca="false">PRICE(DATE(2024,1,1),DATE(2034,1,1),0,0.05,100,2,3)</f>
        <v>61.0312229690889</v>
      </c>
      <c r="B8501" s="0" t="s">
        <v>8480</v>
      </c>
    </row>
    <row r="8502" customFormat="false" ht="15" hidden="false" customHeight="false" outlineLevel="0" collapsed="false">
      <c r="A8502" s="0" t="n">
        <f aca="false">YIELD(DATE(2024,1,1),DATE(2034,1,1),0.05,95,100,2,3)</f>
        <v>0.0566268133666597</v>
      </c>
      <c r="B8502" s="0" t="s">
        <v>8481</v>
      </c>
    </row>
    <row r="8503" customFormat="false" ht="15" hidden="false" customHeight="false" outlineLevel="0" collapsed="false">
      <c r="A8503" s="0" t="n">
        <f aca="false">YIELD(DATE(2024,1,1),DATE(2034,1,1),0.1,101.5,100,2,3)</f>
        <v>0.0976378289134287</v>
      </c>
      <c r="B8503" s="0" t="s">
        <v>8482</v>
      </c>
    </row>
    <row r="8504" customFormat="false" ht="15" hidden="false" customHeight="false" outlineLevel="0" collapsed="false">
      <c r="A8504" s="0" t="n">
        <f aca="false">YIELD(DATE(2024,1,1),DATE(2034,1,1),0.05,100,100,2,3)</f>
        <v>0.0500086807845892</v>
      </c>
      <c r="B8504" s="0" t="s">
        <v>8483</v>
      </c>
    </row>
    <row r="8505" customFormat="false" ht="15" hidden="false" customHeight="false" outlineLevel="0" collapsed="false">
      <c r="A8505" s="0" t="n">
        <f aca="false">DURATION(DATE(2024,1,1),DATE(2034,1,1),0.05,0.08,2,3)</f>
        <v>7.70569426550696</v>
      </c>
      <c r="B8505" s="0" t="s">
        <v>8484</v>
      </c>
    </row>
    <row r="8506" customFormat="false" ht="15" hidden="false" customHeight="false" outlineLevel="0" collapsed="false">
      <c r="A8506" s="0" t="n">
        <f aca="false">DURATION(DATE(2024,1,1),DATE(2034,1,1),0.1,0.03,2,3)</f>
        <v>7.32865576277937</v>
      </c>
      <c r="B8506" s="0" t="s">
        <v>8485</v>
      </c>
    </row>
    <row r="8507" customFormat="false" ht="15" hidden="false" customHeight="false" outlineLevel="0" collapsed="false">
      <c r="A8507" s="0" t="n">
        <f aca="false">DURATION(DATE(2024,1,1),DATE(2034,1,1),0,0.05,2,3)</f>
        <v>10.0082191780822</v>
      </c>
      <c r="B8507" s="0" t="s">
        <v>8486</v>
      </c>
    </row>
    <row r="8508" customFormat="false" ht="15" hidden="false" customHeight="false" outlineLevel="0" collapsed="false">
      <c r="A8508" s="0" t="n">
        <f aca="false">MDURATION(DATE(2024,1,1),DATE(2034,1,1),0.05,0.08,2,3)</f>
        <v>7.4093214091413</v>
      </c>
      <c r="B8508" s="0" t="s">
        <v>8487</v>
      </c>
    </row>
    <row r="8509" customFormat="false" ht="15" hidden="false" customHeight="false" outlineLevel="0" collapsed="false">
      <c r="A8509" s="0" t="n">
        <f aca="false">MDURATION(DATE(2024,1,1),DATE(2034,1,1),0.1,0.03,2,3)</f>
        <v>7.22035050520135</v>
      </c>
      <c r="B8509" s="0" t="s">
        <v>8488</v>
      </c>
    </row>
    <row r="8510" customFormat="false" ht="15" hidden="false" customHeight="false" outlineLevel="0" collapsed="false">
      <c r="A8510" s="0" t="n">
        <f aca="false">PRICE(DATE(2024,1,1),DATE(2034,1,1),0.05,0.08,100,2,4)</f>
        <v>79.6145104825484</v>
      </c>
      <c r="B8510" s="0" t="s">
        <v>8489</v>
      </c>
    </row>
    <row r="8511" customFormat="false" ht="15" hidden="false" customHeight="false" outlineLevel="0" collapsed="false">
      <c r="A8511" s="0" t="n">
        <f aca="false">PRICE(DATE(2024,1,1),DATE(2034,1,1),0.1,0.03,105,2,4)</f>
        <v>163.802587838906</v>
      </c>
      <c r="B8511" s="0" t="s">
        <v>8490</v>
      </c>
    </row>
    <row r="8512" customFormat="false" ht="15" hidden="false" customHeight="false" outlineLevel="0" collapsed="false">
      <c r="A8512" s="0" t="n">
        <f aca="false">PRICE(DATE(2024,1,1),DATE(2034,1,1),0,0.05,100,2,4)</f>
        <v>61.0270942858831</v>
      </c>
      <c r="B8512" s="0" t="s">
        <v>8491</v>
      </c>
    </row>
    <row r="8513" customFormat="false" ht="15" hidden="false" customHeight="false" outlineLevel="0" collapsed="false">
      <c r="A8513" s="0" t="n">
        <f aca="false">YIELD(DATE(2024,1,1),DATE(2034,1,1),0.05,95,100,2,4)</f>
        <v>0.0566168907697847</v>
      </c>
      <c r="B8513" s="0" t="s">
        <v>8492</v>
      </c>
    </row>
    <row r="8514" customFormat="false" ht="15" hidden="false" customHeight="false" outlineLevel="0" collapsed="false">
      <c r="A8514" s="0" t="n">
        <f aca="false">YIELD(DATE(2024,1,1),DATE(2034,1,1),0.1,101.5,100,2,4)</f>
        <v>0.0976169826667805</v>
      </c>
      <c r="B8514" s="0" t="s">
        <v>8493</v>
      </c>
    </row>
    <row r="8515" customFormat="false" ht="15" hidden="false" customHeight="false" outlineLevel="0" collapsed="false">
      <c r="A8515" s="0" t="n">
        <f aca="false">YIELD(DATE(2024,1,1),DATE(2034,1,1),0.05,100,100,2,4)</f>
        <v>0.05</v>
      </c>
      <c r="B8515" s="0" t="s">
        <v>8494</v>
      </c>
    </row>
    <row r="8516" customFormat="false" ht="15" hidden="false" customHeight="false" outlineLevel="0" collapsed="false">
      <c r="A8516" s="0" t="n">
        <f aca="false">DURATION(DATE(2024,1,1),DATE(2034,1,1),0.05,0.08,2,4)</f>
        <v>7.69747508742476</v>
      </c>
      <c r="B8516" s="0" t="s">
        <v>8495</v>
      </c>
    </row>
    <row r="8517" customFormat="false" ht="15" hidden="false" customHeight="false" outlineLevel="0" collapsed="false">
      <c r="A8517" s="0" t="n">
        <f aca="false">DURATION(DATE(2024,1,1),DATE(2034,1,1),0.1,0.03,2,4)</f>
        <v>7.32043658469718</v>
      </c>
      <c r="B8517" s="0" t="s">
        <v>8496</v>
      </c>
    </row>
    <row r="8518" customFormat="false" ht="15" hidden="false" customHeight="false" outlineLevel="0" collapsed="false">
      <c r="A8518" s="0" t="n">
        <f aca="false">DURATION(DATE(2024,1,1),DATE(2034,1,1),0,0.05,2,4)</f>
        <v>10</v>
      </c>
      <c r="B8518" s="0" t="s">
        <v>8497</v>
      </c>
    </row>
    <row r="8519" customFormat="false" ht="15" hidden="false" customHeight="false" outlineLevel="0" collapsed="false">
      <c r="A8519" s="0" t="n">
        <f aca="false">MDURATION(DATE(2024,1,1),DATE(2034,1,1),0.05,0.08,2,4)</f>
        <v>7.40141835329304</v>
      </c>
      <c r="B8519" s="0" t="s">
        <v>8498</v>
      </c>
    </row>
    <row r="8520" customFormat="false" ht="15" hidden="false" customHeight="false" outlineLevel="0" collapsed="false">
      <c r="A8520" s="0" t="n">
        <f aca="false">MDURATION(DATE(2024,1,1),DATE(2034,1,1),0.1,0.03,2,4)</f>
        <v>7.2122527928051</v>
      </c>
      <c r="B8520" s="0" t="s">
        <v>8499</v>
      </c>
    </row>
    <row r="8521" customFormat="false" ht="15" hidden="false" customHeight="false" outlineLevel="0" collapsed="false">
      <c r="A8521" s="0" t="n">
        <f aca="false">PRICE(DATE(2024,1,1),DATE(2034,1,1),0.05,0.08,100,4,0)</f>
        <v>79.4833905694463</v>
      </c>
      <c r="B8521" s="0" t="s">
        <v>8500</v>
      </c>
    </row>
    <row r="8522" customFormat="false" ht="15" hidden="false" customHeight="false" outlineLevel="0" collapsed="false">
      <c r="A8522" s="0" t="n">
        <f aca="false">PRICE(DATE(2024,1,1),DATE(2034,1,1),0.1,0.03,105,4,0)</f>
        <v>163.990382078555</v>
      </c>
      <c r="B8522" s="0" t="s">
        <v>8501</v>
      </c>
    </row>
    <row r="8523" customFormat="false" ht="15" hidden="false" customHeight="false" outlineLevel="0" collapsed="false">
      <c r="A8523" s="0" t="n">
        <f aca="false">PRICE(DATE(2024,1,1),DATE(2034,1,1),0,0.05,100,4,0)</f>
        <v>60.8413335455676</v>
      </c>
      <c r="B8523" s="0" t="s">
        <v>8502</v>
      </c>
    </row>
    <row r="8524" customFormat="false" ht="15" hidden="false" customHeight="false" outlineLevel="0" collapsed="false">
      <c r="A8524" s="0" t="n">
        <f aca="false">YIELD(DATE(2024,1,1),DATE(2034,1,1),0.05,95,100,4,0)</f>
        <v>0.0565815888987315</v>
      </c>
      <c r="B8524" s="0" t="s">
        <v>8503</v>
      </c>
    </row>
    <row r="8525" customFormat="false" ht="15" hidden="false" customHeight="false" outlineLevel="0" collapsed="false">
      <c r="A8525" s="0" t="n">
        <f aca="false">YIELD(DATE(2024,1,1),DATE(2034,1,1),0.1,101.5,100,4,0)</f>
        <v>0.0976335785461366</v>
      </c>
      <c r="B8525" s="0" t="s">
        <v>8504</v>
      </c>
    </row>
    <row r="8526" customFormat="false" ht="15" hidden="false" customHeight="false" outlineLevel="0" collapsed="false">
      <c r="A8526" s="0" t="n">
        <f aca="false">YIELD(DATE(2024,1,1),DATE(2034,1,1),0.05,100,100,4,0)</f>
        <v>0.0499999999999999</v>
      </c>
      <c r="B8526" s="0" t="s">
        <v>8505</v>
      </c>
    </row>
    <row r="8527" customFormat="false" ht="15" hidden="false" customHeight="false" outlineLevel="0" collapsed="false">
      <c r="A8527" s="0" t="n">
        <f aca="false">DURATION(DATE(2024,1,1),DATE(2034,1,1),0.05,0.08,4,0)</f>
        <v>7.62186730779203</v>
      </c>
      <c r="B8527" s="0" t="s">
        <v>8506</v>
      </c>
    </row>
    <row r="8528" customFormat="false" ht="15" hidden="false" customHeight="false" outlineLevel="0" collapsed="false">
      <c r="A8528" s="0" t="n">
        <f aca="false">DURATION(DATE(2024,1,1),DATE(2034,1,1),0.1,0.03,4,0)</f>
        <v>7.24719306079092</v>
      </c>
      <c r="B8528" s="0" t="s">
        <v>8507</v>
      </c>
    </row>
    <row r="8529" customFormat="false" ht="15" hidden="false" customHeight="false" outlineLevel="0" collapsed="false">
      <c r="A8529" s="0" t="n">
        <f aca="false">DURATION(DATE(2024,1,1),DATE(2034,1,1),0,0.05,4,0)</f>
        <v>10</v>
      </c>
      <c r="B8529" s="0" t="s">
        <v>8508</v>
      </c>
    </row>
    <row r="8530" customFormat="false" ht="15" hidden="false" customHeight="false" outlineLevel="0" collapsed="false">
      <c r="A8530" s="0" t="n">
        <f aca="false">MDURATION(DATE(2024,1,1),DATE(2034,1,1),0.05,0.08,4,0)</f>
        <v>7.47241892920787</v>
      </c>
      <c r="B8530" s="0" t="s">
        <v>8509</v>
      </c>
    </row>
    <row r="8531" customFormat="false" ht="15" hidden="false" customHeight="false" outlineLevel="0" collapsed="false">
      <c r="A8531" s="0" t="n">
        <f aca="false">MDURATION(DATE(2024,1,1),DATE(2034,1,1),0.1,0.03,4,0)</f>
        <v>7.19324373279495</v>
      </c>
      <c r="B8531" s="0" t="s">
        <v>8510</v>
      </c>
    </row>
    <row r="8532" customFormat="false" ht="15" hidden="false" customHeight="false" outlineLevel="0" collapsed="false">
      <c r="A8532" s="0" t="n">
        <f aca="false">PRICE(DATE(2024,1,1),DATE(2034,1,1),0.05,0.08,100,4,1)</f>
        <v>79.4833905694463</v>
      </c>
      <c r="B8532" s="0" t="s">
        <v>8511</v>
      </c>
    </row>
    <row r="8533" customFormat="false" ht="15" hidden="false" customHeight="false" outlineLevel="0" collapsed="false">
      <c r="A8533" s="0" t="n">
        <f aca="false">PRICE(DATE(2024,1,1),DATE(2034,1,1),0.1,0.03,105,4,1)</f>
        <v>163.990382078555</v>
      </c>
      <c r="B8533" s="0" t="s">
        <v>8512</v>
      </c>
    </row>
    <row r="8534" customFormat="false" ht="15" hidden="false" customHeight="false" outlineLevel="0" collapsed="false">
      <c r="A8534" s="0" t="n">
        <f aca="false">PRICE(DATE(2024,1,1),DATE(2034,1,1),0,0.05,100,4,1)</f>
        <v>60.8413335455676</v>
      </c>
      <c r="B8534" s="0" t="s">
        <v>8513</v>
      </c>
    </row>
    <row r="8535" customFormat="false" ht="15" hidden="false" customHeight="false" outlineLevel="0" collapsed="false">
      <c r="A8535" s="0" t="n">
        <f aca="false">YIELD(DATE(2024,1,1),DATE(2034,1,1),0.05,95,100,4,1)</f>
        <v>0.0565815888987315</v>
      </c>
      <c r="B8535" s="0" t="s">
        <v>8514</v>
      </c>
    </row>
    <row r="8536" customFormat="false" ht="15" hidden="false" customHeight="false" outlineLevel="0" collapsed="false">
      <c r="A8536" s="0" t="n">
        <f aca="false">YIELD(DATE(2024,1,1),DATE(2034,1,1),0.1,101.5,100,4,1)</f>
        <v>0.0976335785461366</v>
      </c>
      <c r="B8536" s="0" t="s">
        <v>8515</v>
      </c>
    </row>
    <row r="8537" customFormat="false" ht="15" hidden="false" customHeight="false" outlineLevel="0" collapsed="false">
      <c r="A8537" s="0" t="n">
        <f aca="false">YIELD(DATE(2024,1,1),DATE(2034,1,1),0.05,100,100,4,1)</f>
        <v>0.0499999999999999</v>
      </c>
      <c r="B8537" s="0" t="s">
        <v>8516</v>
      </c>
    </row>
    <row r="8538" customFormat="false" ht="15" hidden="false" customHeight="false" outlineLevel="0" collapsed="false">
      <c r="A8538" s="0" t="n">
        <f aca="false">DURATION(DATE(2024,1,1),DATE(2034,1,1),0.05,0.08,4,1)</f>
        <v>7.62261394791149</v>
      </c>
      <c r="B8538" s="0" t="s">
        <v>8517</v>
      </c>
    </row>
    <row r="8539" customFormat="false" ht="15" hidden="false" customHeight="false" outlineLevel="0" collapsed="false">
      <c r="A8539" s="0" t="n">
        <f aca="false">DURATION(DATE(2024,1,1),DATE(2034,1,1),0.1,0.03,4,1)</f>
        <v>7.24793970091038</v>
      </c>
      <c r="B8539" s="0" t="s">
        <v>8518</v>
      </c>
    </row>
    <row r="8540" customFormat="false" ht="15" hidden="false" customHeight="false" outlineLevel="0" collapsed="false">
      <c r="A8540" s="0" t="n">
        <f aca="false">DURATION(DATE(2024,1,1),DATE(2034,1,1),0,0.05,4,1)</f>
        <v>10.0007466401195</v>
      </c>
      <c r="B8540" s="0" t="s">
        <v>8519</v>
      </c>
    </row>
    <row r="8541" customFormat="false" ht="15" hidden="false" customHeight="false" outlineLevel="0" collapsed="false">
      <c r="A8541" s="0" t="n">
        <f aca="false">MDURATION(DATE(2024,1,1),DATE(2034,1,1),0.05,0.08,4,1)</f>
        <v>7.47315092932499</v>
      </c>
      <c r="B8541" s="0" t="s">
        <v>8520</v>
      </c>
    </row>
    <row r="8542" customFormat="false" ht="15" hidden="false" customHeight="false" outlineLevel="0" collapsed="false">
      <c r="A8542" s="0" t="n">
        <f aca="false">MDURATION(DATE(2024,1,1),DATE(2034,1,1),0.1,0.03,4,1)</f>
        <v>7.19398481479938</v>
      </c>
      <c r="B8542" s="0" t="s">
        <v>8521</v>
      </c>
    </row>
    <row r="8543" customFormat="false" ht="15" hidden="false" customHeight="false" outlineLevel="0" collapsed="false">
      <c r="A8543" s="0" t="n">
        <f aca="false">PRICE(DATE(2024,1,1),DATE(2034,1,1),0.05,0.08,100,4,2)</f>
        <v>79.465903827095</v>
      </c>
      <c r="B8543" s="0" t="s">
        <v>8522</v>
      </c>
    </row>
    <row r="8544" customFormat="false" ht="15" hidden="false" customHeight="false" outlineLevel="0" collapsed="false">
      <c r="A8544" s="0" t="n">
        <f aca="false">PRICE(DATE(2024,1,1),DATE(2034,1,1),0.1,0.03,105,4,2)</f>
        <v>163.976767770728</v>
      </c>
      <c r="B8544" s="0" t="s">
        <v>8523</v>
      </c>
    </row>
    <row r="8545" customFormat="false" ht="15" hidden="false" customHeight="false" outlineLevel="0" collapsed="false">
      <c r="A8545" s="0" t="n">
        <f aca="false">PRICE(DATE(2024,1,1),DATE(2034,1,1),0,0.05,100,4,2)</f>
        <v>60.8329363175215</v>
      </c>
      <c r="B8545" s="0" t="s">
        <v>8524</v>
      </c>
    </row>
    <row r="8546" customFormat="false" ht="15" hidden="false" customHeight="false" outlineLevel="0" collapsed="false">
      <c r="A8546" s="0" t="n">
        <f aca="false">YIELD(DATE(2024,1,1),DATE(2034,1,1),0.05,95,100,4,2)</f>
        <v>0.0565614711783156</v>
      </c>
      <c r="B8546" s="0" t="s">
        <v>8525</v>
      </c>
    </row>
    <row r="8547" customFormat="false" ht="15" hidden="false" customHeight="false" outlineLevel="0" collapsed="false">
      <c r="A8547" s="0" t="n">
        <f aca="false">YIELD(DATE(2024,1,1),DATE(2034,1,1),0.1,101.5,100,4,2)</f>
        <v>0.0975911181615211</v>
      </c>
      <c r="B8547" s="0" t="s">
        <v>8526</v>
      </c>
    </row>
    <row r="8548" customFormat="false" ht="15" hidden="false" customHeight="false" outlineLevel="0" collapsed="false">
      <c r="A8548" s="0" t="n">
        <f aca="false">YIELD(DATE(2024,1,1),DATE(2034,1,1),0.05,100,100,4,2)</f>
        <v>0.049982382205233</v>
      </c>
      <c r="B8548" s="0" t="s">
        <v>8527</v>
      </c>
    </row>
    <row r="8549" customFormat="false" ht="15" hidden="false" customHeight="false" outlineLevel="0" collapsed="false">
      <c r="A8549" s="0" t="n">
        <f aca="false">DURATION(DATE(2024,1,1),DATE(2034,1,1),0.05,0.08,4,2)</f>
        <v>7.76908953001425</v>
      </c>
      <c r="B8549" s="0" t="s">
        <v>8528</v>
      </c>
    </row>
    <row r="8550" customFormat="false" ht="15" hidden="false" customHeight="false" outlineLevel="0" collapsed="false">
      <c r="A8550" s="0" t="n">
        <f aca="false">DURATION(DATE(2024,1,1),DATE(2034,1,1),0.1,0.03,4,2)</f>
        <v>7.39441528301314</v>
      </c>
      <c r="B8550" s="0" t="s">
        <v>8529</v>
      </c>
    </row>
    <row r="8551" customFormat="false" ht="15" hidden="false" customHeight="false" outlineLevel="0" collapsed="false">
      <c r="A8551" s="0" t="n">
        <f aca="false">DURATION(DATE(2024,1,1),DATE(2034,1,1),0,0.05,4,2)</f>
        <v>10.1472222222222</v>
      </c>
      <c r="B8551" s="0" t="s">
        <v>8530</v>
      </c>
    </row>
    <row r="8552" customFormat="false" ht="15" hidden="false" customHeight="false" outlineLevel="0" collapsed="false">
      <c r="A8552" s="0" t="n">
        <f aca="false">MDURATION(DATE(2024,1,1),DATE(2034,1,1),0.05,0.08,4,2)</f>
        <v>7.61675444119044</v>
      </c>
      <c r="B8552" s="0" t="s">
        <v>8531</v>
      </c>
    </row>
    <row r="8553" customFormat="false" ht="15" hidden="false" customHeight="false" outlineLevel="0" collapsed="false">
      <c r="A8553" s="0" t="n">
        <f aca="false">MDURATION(DATE(2024,1,1),DATE(2034,1,1),0.1,0.03,4,2)</f>
        <v>7.33937000795349</v>
      </c>
      <c r="B8553" s="0" t="s">
        <v>8532</v>
      </c>
    </row>
    <row r="8554" customFormat="false" ht="15" hidden="false" customHeight="false" outlineLevel="0" collapsed="false">
      <c r="A8554" s="0" t="n">
        <f aca="false">PRICE(DATE(2024,1,1),DATE(2034,1,1),0.05,0.08,100,4,3)</f>
        <v>79.4877029602891</v>
      </c>
      <c r="B8554" s="0" t="s">
        <v>8533</v>
      </c>
    </row>
    <row r="8555" customFormat="false" ht="15" hidden="false" customHeight="false" outlineLevel="0" collapsed="false">
      <c r="A8555" s="0" t="n">
        <f aca="false">PRICE(DATE(2024,1,1),DATE(2034,1,1),0.1,0.03,105,4,3)</f>
        <v>163.993739204885</v>
      </c>
      <c r="B8555" s="0" t="s">
        <v>8534</v>
      </c>
    </row>
    <row r="8556" customFormat="false" ht="15" hidden="false" customHeight="false" outlineLevel="0" collapsed="false">
      <c r="A8556" s="0" t="n">
        <f aca="false">PRICE(DATE(2024,1,1),DATE(2034,1,1),0,0.05,100,4,3)</f>
        <v>60.8434042730866</v>
      </c>
      <c r="B8556" s="0" t="s">
        <v>8535</v>
      </c>
    </row>
    <row r="8557" customFormat="false" ht="15" hidden="false" customHeight="false" outlineLevel="0" collapsed="false">
      <c r="A8557" s="0" t="n">
        <f aca="false">YIELD(DATE(2024,1,1),DATE(2034,1,1),0.05,95,100,4,3)</f>
        <v>0.0565865517110788</v>
      </c>
      <c r="B8557" s="0" t="s">
        <v>8536</v>
      </c>
    </row>
    <row r="8558" customFormat="false" ht="15" hidden="false" customHeight="false" outlineLevel="0" collapsed="false">
      <c r="A8558" s="0" t="n">
        <f aca="false">YIELD(DATE(2024,1,1),DATE(2034,1,1),0.1,101.5,100,4,3)</f>
        <v>0.0976440544322383</v>
      </c>
      <c r="B8558" s="0" t="s">
        <v>8537</v>
      </c>
    </row>
    <row r="8559" customFormat="false" ht="15" hidden="false" customHeight="false" outlineLevel="0" collapsed="false">
      <c r="A8559" s="0" t="n">
        <f aca="false">YIELD(DATE(2024,1,1),DATE(2034,1,1),0.05,100,100,4,3)</f>
        <v>0.050004346081437</v>
      </c>
      <c r="B8559" s="0" t="s">
        <v>8538</v>
      </c>
    </row>
    <row r="8560" customFormat="false" ht="15" hidden="false" customHeight="false" outlineLevel="0" collapsed="false">
      <c r="A8560" s="0" t="n">
        <f aca="false">DURATION(DATE(2024,1,1),DATE(2034,1,1),0.05,0.08,4,3)</f>
        <v>7.63008648587422</v>
      </c>
      <c r="B8560" s="0" t="s">
        <v>8539</v>
      </c>
    </row>
    <row r="8561" customFormat="false" ht="15" hidden="false" customHeight="false" outlineLevel="0" collapsed="false">
      <c r="A8561" s="0" t="n">
        <f aca="false">DURATION(DATE(2024,1,1),DATE(2034,1,1),0.1,0.03,4,3)</f>
        <v>7.25541223887311</v>
      </c>
      <c r="B8561" s="0" t="s">
        <v>8540</v>
      </c>
    </row>
    <row r="8562" customFormat="false" ht="15" hidden="false" customHeight="false" outlineLevel="0" collapsed="false">
      <c r="A8562" s="0" t="n">
        <f aca="false">DURATION(DATE(2024,1,1),DATE(2034,1,1),0,0.05,4,3)</f>
        <v>10.0082191780822</v>
      </c>
      <c r="B8562" s="0" t="s">
        <v>8541</v>
      </c>
    </row>
    <row r="8563" customFormat="false" ht="15" hidden="false" customHeight="false" outlineLevel="0" collapsed="false">
      <c r="A8563" s="0" t="n">
        <f aca="false">MDURATION(DATE(2024,1,1),DATE(2034,1,1),0.05,0.08,4,3)</f>
        <v>7.48047694693551</v>
      </c>
      <c r="B8563" s="0" t="s">
        <v>8542</v>
      </c>
    </row>
    <row r="8564" customFormat="false" ht="15" hidden="false" customHeight="false" outlineLevel="0" collapsed="false">
      <c r="A8564" s="0" t="n">
        <f aca="false">MDURATION(DATE(2024,1,1),DATE(2034,1,1),0.1,0.03,4,3)</f>
        <v>7.20140172592864</v>
      </c>
      <c r="B8564" s="0" t="s">
        <v>8543</v>
      </c>
    </row>
    <row r="8565" customFormat="false" ht="15" hidden="false" customHeight="false" outlineLevel="0" collapsed="false">
      <c r="A8565" s="0" t="n">
        <f aca="false">PRICE(DATE(2024,1,1),DATE(2034,1,1),0.05,0.08,100,4,4)</f>
        <v>79.4833905694463</v>
      </c>
      <c r="B8565" s="0" t="s">
        <v>8544</v>
      </c>
    </row>
    <row r="8566" customFormat="false" ht="15" hidden="false" customHeight="false" outlineLevel="0" collapsed="false">
      <c r="A8566" s="0" t="n">
        <f aca="false">PRICE(DATE(2024,1,1),DATE(2034,1,1),0.1,0.03,105,4,4)</f>
        <v>163.990382078555</v>
      </c>
      <c r="B8566" s="0" t="s">
        <v>8545</v>
      </c>
    </row>
    <row r="8567" customFormat="false" ht="15" hidden="false" customHeight="false" outlineLevel="0" collapsed="false">
      <c r="A8567" s="0" t="n">
        <f aca="false">PRICE(DATE(2024,1,1),DATE(2034,1,1),0,0.05,100,4,4)</f>
        <v>60.8413335455676</v>
      </c>
      <c r="B8567" s="0" t="s">
        <v>8546</v>
      </c>
    </row>
    <row r="8568" customFormat="false" ht="15" hidden="false" customHeight="false" outlineLevel="0" collapsed="false">
      <c r="A8568" s="0" t="n">
        <f aca="false">YIELD(DATE(2024,1,1),DATE(2034,1,1),0.05,95,100,4,4)</f>
        <v>0.0565815888987315</v>
      </c>
      <c r="B8568" s="0" t="s">
        <v>8547</v>
      </c>
    </row>
    <row r="8569" customFormat="false" ht="15" hidden="false" customHeight="false" outlineLevel="0" collapsed="false">
      <c r="A8569" s="0" t="n">
        <f aca="false">YIELD(DATE(2024,1,1),DATE(2034,1,1),0.1,101.5,100,4,4)</f>
        <v>0.0976335785461366</v>
      </c>
      <c r="B8569" s="0" t="s">
        <v>8548</v>
      </c>
    </row>
    <row r="8570" customFormat="false" ht="15" hidden="false" customHeight="false" outlineLevel="0" collapsed="false">
      <c r="A8570" s="0" t="n">
        <f aca="false">YIELD(DATE(2024,1,1),DATE(2034,1,1),0.05,100,100,4,4)</f>
        <v>0.0499999999999999</v>
      </c>
      <c r="B8570" s="0" t="s">
        <v>8549</v>
      </c>
    </row>
    <row r="8571" customFormat="false" ht="15" hidden="false" customHeight="false" outlineLevel="0" collapsed="false">
      <c r="A8571" s="0" t="n">
        <f aca="false">DURATION(DATE(2024,1,1),DATE(2034,1,1),0.05,0.08,4,4)</f>
        <v>7.62186730779203</v>
      </c>
      <c r="B8571" s="0" t="s">
        <v>8550</v>
      </c>
    </row>
    <row r="8572" customFormat="false" ht="15" hidden="false" customHeight="false" outlineLevel="0" collapsed="false">
      <c r="A8572" s="0" t="n">
        <f aca="false">DURATION(DATE(2024,1,1),DATE(2034,1,1),0.1,0.03,4,4)</f>
        <v>7.24719306079092</v>
      </c>
      <c r="B8572" s="0" t="s">
        <v>8551</v>
      </c>
    </row>
    <row r="8573" customFormat="false" ht="15" hidden="false" customHeight="false" outlineLevel="0" collapsed="false">
      <c r="A8573" s="0" t="n">
        <f aca="false">DURATION(DATE(2024,1,1),DATE(2034,1,1),0,0.05,4,4)</f>
        <v>10</v>
      </c>
      <c r="B8573" s="0" t="s">
        <v>8552</v>
      </c>
    </row>
    <row r="8574" customFormat="false" ht="15" hidden="false" customHeight="false" outlineLevel="0" collapsed="false">
      <c r="A8574" s="0" t="n">
        <f aca="false">MDURATION(DATE(2024,1,1),DATE(2034,1,1),0.05,0.08,4,4)</f>
        <v>7.47241892920787</v>
      </c>
      <c r="B8574" s="0" t="s">
        <v>8553</v>
      </c>
    </row>
    <row r="8575" customFormat="false" ht="15" hidden="false" customHeight="false" outlineLevel="0" collapsed="false">
      <c r="A8575" s="0" t="n">
        <f aca="false">MDURATION(DATE(2024,1,1),DATE(2034,1,1),0.1,0.03,4,4)</f>
        <v>7.19324373279495</v>
      </c>
      <c r="B8575" s="0" t="s">
        <v>8554</v>
      </c>
    </row>
    <row r="8576" customFormat="false" ht="15" hidden="false" customHeight="false" outlineLevel="0" collapsed="false">
      <c r="A8576" s="0" t="n">
        <f aca="false">DISC(DATE(2024,1,15),DATE(2029,6,30),95,100,0)</f>
        <v>0.00916030534351146</v>
      </c>
      <c r="B8576" s="0" t="s">
        <v>8555</v>
      </c>
    </row>
    <row r="8577" customFormat="false" ht="15" hidden="false" customHeight="false" outlineLevel="0" collapsed="false">
      <c r="A8577" s="0" t="n">
        <f aca="false">DISC(DATE(2024,1,15),DATE(2029,6,30),100,100,0)</f>
        <v>0</v>
      </c>
      <c r="B8577" s="0" t="s">
        <v>8556</v>
      </c>
    </row>
    <row r="8578" customFormat="false" ht="15" hidden="false" customHeight="false" outlineLevel="0" collapsed="false">
      <c r="A8578" s="0" t="n">
        <f aca="false">DISC(DATE(2024,1,15),DATE(2029,6,30),99.5,100.5,0)</f>
        <v>0.0018229463370172</v>
      </c>
      <c r="B8578" s="0" t="s">
        <v>8557</v>
      </c>
    </row>
    <row r="8579" customFormat="false" ht="15" hidden="false" customHeight="false" outlineLevel="0" collapsed="false">
      <c r="A8579" s="0" t="n">
        <f aca="false">PRICEDISC(DATE(2024,1,15),DATE(2029,6,30),0.05,100,0)</f>
        <v>72.7083333333333</v>
      </c>
      <c r="B8579" s="0" t="s">
        <v>8558</v>
      </c>
    </row>
    <row r="8580" customFormat="false" ht="15" hidden="false" customHeight="false" outlineLevel="0" collapsed="false">
      <c r="A8580" s="0" t="n">
        <f aca="false">PRICEDISC(DATE(2024,1,15),DATE(2029,6,30),0.1,105,0)</f>
        <v>47.6875</v>
      </c>
      <c r="B8580" s="0" t="s">
        <v>8559</v>
      </c>
    </row>
    <row r="8581" customFormat="false" ht="15" hidden="false" customHeight="false" outlineLevel="0" collapsed="false">
      <c r="A8581" s="0" t="n">
        <f aca="false">YIELDDISC(DATE(2024,1,15),DATE(2029,6,30),95,100,0)</f>
        <v>0.00964242667738046</v>
      </c>
      <c r="B8581" s="0" t="s">
        <v>8560</v>
      </c>
    </row>
    <row r="8582" customFormat="false" ht="15" hidden="false" customHeight="false" outlineLevel="0" collapsed="false">
      <c r="A8582" s="0" t="n">
        <f aca="false">YIELDDISC(DATE(2024,1,15),DATE(2029,6,30),99.5,100.5,0)</f>
        <v>0.00184126740573095</v>
      </c>
      <c r="B8582" s="0" t="s">
        <v>8561</v>
      </c>
    </row>
    <row r="8583" customFormat="false" ht="15" hidden="false" customHeight="false" outlineLevel="0" collapsed="false">
      <c r="A8583" s="0" t="n">
        <f aca="false">RECEIVED(DATE(2024,1,15),DATE(2029,6,30),1000,0.05,0)</f>
        <v>1375.35816618911</v>
      </c>
      <c r="B8583" s="0" t="s">
        <v>8562</v>
      </c>
    </row>
    <row r="8584" customFormat="false" ht="15" hidden="false" customHeight="false" outlineLevel="0" collapsed="false">
      <c r="A8584" s="0" t="n">
        <f aca="false">RECEIVED(DATE(2024,1,15),DATE(2029,6,30),5000,0.12,0)</f>
        <v>14492.7536231884</v>
      </c>
      <c r="B8584" s="0" t="s">
        <v>8563</v>
      </c>
    </row>
    <row r="8585" customFormat="false" ht="15" hidden="false" customHeight="false" outlineLevel="0" collapsed="false">
      <c r="A8585" s="0" t="n">
        <f aca="false">INTRATE(DATE(2024,1,15),DATE(2029,6,30),1000,1050,0)</f>
        <v>0.00916030534351146</v>
      </c>
      <c r="B8585" s="0" t="s">
        <v>8564</v>
      </c>
    </row>
    <row r="8586" customFormat="false" ht="15" hidden="false" customHeight="false" outlineLevel="0" collapsed="false">
      <c r="A8586" s="0" t="n">
        <f aca="false">INTRATE(DATE(2024,1,15),DATE(2029,6,30),950,1000,0)</f>
        <v>0.00964242667738046</v>
      </c>
      <c r="B8586" s="0" t="s">
        <v>8565</v>
      </c>
    </row>
    <row r="8587" customFormat="false" ht="15" hidden="false" customHeight="false" outlineLevel="0" collapsed="false">
      <c r="A8587" s="0" t="n">
        <f aca="false">PRICEMAT(DATE(2024,1,15),DATE(2029,6,30),DATE(2023,10,1),0.05,0.06,0)</f>
        <v>95.531910441515</v>
      </c>
      <c r="B8587" s="0" t="s">
        <v>8566</v>
      </c>
    </row>
    <row r="8588" customFormat="false" ht="15" hidden="false" customHeight="false" outlineLevel="0" collapsed="false">
      <c r="A8588" s="0" t="n">
        <f aca="false">PRICEMAT(DATE(2024,1,15),DATE(2029,6,30),DATE(2024,1,1),0.1,0.03,0)</f>
        <v>132.777360066834</v>
      </c>
      <c r="B8588" s="0" t="s">
        <v>8567</v>
      </c>
    </row>
    <row r="8589" customFormat="false" ht="15" hidden="false" customHeight="false" outlineLevel="0" collapsed="false">
      <c r="A8589" s="0" t="n">
        <f aca="false">YIELDMAT(DATE(2024,1,15),DATE(2029,6,30),DATE(2023,10,1),0.05,98,0)</f>
        <v>0.053963921702418</v>
      </c>
      <c r="B8589" s="0" t="s">
        <v>8568</v>
      </c>
    </row>
    <row r="8590" customFormat="false" ht="15" hidden="false" customHeight="false" outlineLevel="0" collapsed="false">
      <c r="A8590" s="0" t="n">
        <f aca="false">YIELDMAT(DATE(2024,1,15),DATE(2029,6,30),DATE(2024,1,1),0.1,101,0)</f>
        <v>0.0968231726445676</v>
      </c>
      <c r="B8590" s="0" t="s">
        <v>8569</v>
      </c>
    </row>
    <row r="8591" customFormat="false" ht="15" hidden="false" customHeight="false" outlineLevel="0" collapsed="false">
      <c r="A8591" s="0" t="n">
        <f aca="false">ACCRINTM(DATE(2023,10,1),DATE(2029,6,30),0.05,1000,0)</f>
        <v>287.361111111111</v>
      </c>
      <c r="B8591" s="0" t="s">
        <v>8570</v>
      </c>
    </row>
    <row r="8592" customFormat="false" ht="15" hidden="false" customHeight="false" outlineLevel="0" collapsed="false">
      <c r="A8592" s="0" t="n">
        <f aca="false">ACCRINTM(DATE(2024,1,1),DATE(2024,1,15),0.08,5000,0)</f>
        <v>15.5555555555556</v>
      </c>
      <c r="B8592" s="0" t="s">
        <v>8571</v>
      </c>
    </row>
    <row r="8593" customFormat="false" ht="15" hidden="false" customHeight="false" outlineLevel="0" collapsed="false">
      <c r="A8593" s="0" t="n">
        <f aca="false">DISC(DATE(2024,1,15),DATE(2029,6,30),95,100,1)</f>
        <v>0.00916541227630039</v>
      </c>
      <c r="B8593" s="0" t="s">
        <v>8572</v>
      </c>
    </row>
    <row r="8594" customFormat="false" ht="15" hidden="false" customHeight="false" outlineLevel="0" collapsed="false">
      <c r="A8594" s="0" t="n">
        <f aca="false">DISC(DATE(2024,1,15),DATE(2029,6,30),100,100,1)</f>
        <v>0</v>
      </c>
      <c r="B8594" s="0" t="s">
        <v>8573</v>
      </c>
    </row>
    <row r="8595" customFormat="false" ht="15" hidden="false" customHeight="false" outlineLevel="0" collapsed="false">
      <c r="A8595" s="0" t="n">
        <f aca="false">DISC(DATE(2024,1,15),DATE(2029,6,30),99.5,100.5,1)</f>
        <v>0.00182396264204982</v>
      </c>
      <c r="B8595" s="0" t="s">
        <v>8574</v>
      </c>
    </row>
    <row r="8596" customFormat="false" ht="15" hidden="false" customHeight="false" outlineLevel="0" collapsed="false">
      <c r="A8596" s="0" t="n">
        <f aca="false">PRICEDISC(DATE(2024,1,15),DATE(2029,6,30),0.05,100,1)</f>
        <v>72.7732240437158</v>
      </c>
      <c r="B8596" s="0" t="s">
        <v>8575</v>
      </c>
    </row>
    <row r="8597" customFormat="false" ht="15" hidden="false" customHeight="false" outlineLevel="0" collapsed="false">
      <c r="A8597" s="0" t="n">
        <f aca="false">PRICEDISC(DATE(2024,1,15),DATE(2029,6,30),0.1,105,1)</f>
        <v>47.8237704918033</v>
      </c>
      <c r="B8597" s="0" t="s">
        <v>8576</v>
      </c>
    </row>
    <row r="8598" customFormat="false" ht="15" hidden="false" customHeight="false" outlineLevel="0" collapsed="false">
      <c r="A8598" s="0" t="n">
        <f aca="false">YIELDDISC(DATE(2024,1,15),DATE(2029,6,30),95,100,1)</f>
        <v>0.00964780239610566</v>
      </c>
      <c r="B8598" s="0" t="s">
        <v>8577</v>
      </c>
    </row>
    <row r="8599" customFormat="false" ht="15" hidden="false" customHeight="false" outlineLevel="0" collapsed="false">
      <c r="A8599" s="0" t="n">
        <f aca="false">YIELDDISC(DATE(2024,1,15),DATE(2029,6,30),99.5,100.5,1)</f>
        <v>0.00184229392488451</v>
      </c>
      <c r="B8599" s="0" t="s">
        <v>8578</v>
      </c>
    </row>
    <row r="8600" customFormat="false" ht="15" hidden="false" customHeight="false" outlineLevel="0" collapsed="false">
      <c r="A8600" s="0" t="n">
        <f aca="false">RECEIVED(DATE(2024,1,15),DATE(2029,6,30),1000,0.05,1)</f>
        <v>1374.13178149052</v>
      </c>
      <c r="B8600" s="0" t="s">
        <v>8579</v>
      </c>
    </row>
    <row r="8601" customFormat="false" ht="15" hidden="false" customHeight="false" outlineLevel="0" collapsed="false">
      <c r="A8601" s="0" t="n">
        <f aca="false">RECEIVED(DATE(2024,1,15),DATE(2029,6,30),5000,0.12,1)</f>
        <v>14427.6253547777</v>
      </c>
      <c r="B8601" s="0" t="s">
        <v>8580</v>
      </c>
    </row>
    <row r="8602" customFormat="false" ht="15" hidden="false" customHeight="false" outlineLevel="0" collapsed="false">
      <c r="A8602" s="0" t="n">
        <f aca="false">INTRATE(DATE(2024,1,15),DATE(2029,6,30),1000,1050,1)</f>
        <v>0.00918213748118415</v>
      </c>
      <c r="B8602" s="0" t="s">
        <v>8581</v>
      </c>
    </row>
    <row r="8603" customFormat="false" ht="15" hidden="false" customHeight="false" outlineLevel="0" collapsed="false">
      <c r="A8603" s="0" t="n">
        <f aca="false">INTRATE(DATE(2024,1,15),DATE(2029,6,30),950,1000,1)</f>
        <v>0.00966540787493067</v>
      </c>
      <c r="B8603" s="0" t="s">
        <v>8582</v>
      </c>
    </row>
    <row r="8604" customFormat="false" ht="15" hidden="false" customHeight="false" outlineLevel="0" collapsed="false">
      <c r="A8604" s="0" t="n">
        <f aca="false">PRICEMAT(DATE(2024,1,15),DATE(2029,6,30),DATE(2023,10,1),0.05,0.06,1)</f>
        <v>95.5337326446379</v>
      </c>
      <c r="B8604" s="0" t="s">
        <v>8583</v>
      </c>
    </row>
    <row r="8605" customFormat="false" ht="15" hidden="false" customHeight="false" outlineLevel="0" collapsed="false">
      <c r="A8605" s="0" t="n">
        <f aca="false">PRICEMAT(DATE(2024,1,15),DATE(2029,6,30),DATE(2024,1,1),0.1,0.03,1)</f>
        <v>132.763161711435</v>
      </c>
      <c r="B8605" s="0" t="s">
        <v>8584</v>
      </c>
    </row>
    <row r="8606" customFormat="false" ht="15" hidden="false" customHeight="false" outlineLevel="0" collapsed="false">
      <c r="A8606" s="0" t="n">
        <f aca="false">YIELDMAT(DATE(2024,1,15),DATE(2029,6,30),DATE(2023,10,1),0.05,98,1)</f>
        <v>0.0539663068352783</v>
      </c>
      <c r="B8606" s="0" t="s">
        <v>8585</v>
      </c>
    </row>
    <row r="8607" customFormat="false" ht="15" hidden="false" customHeight="false" outlineLevel="0" collapsed="false">
      <c r="A8607" s="0" t="n">
        <f aca="false">YIELDMAT(DATE(2024,1,15),DATE(2029,6,30),DATE(2024,1,1),0.1,101,1)</f>
        <v>0.0968295157848099</v>
      </c>
      <c r="B8607" s="0" t="s">
        <v>8586</v>
      </c>
    </row>
    <row r="8608" customFormat="false" ht="15" hidden="false" customHeight="false" outlineLevel="0" collapsed="false">
      <c r="A8608" s="0" t="n">
        <f aca="false">ACCRINTM(DATE(2023,10,1),DATE(2029,6,30),0.05,1000,1)</f>
        <v>287.534246575343</v>
      </c>
      <c r="B8608" s="0" t="s">
        <v>8587</v>
      </c>
    </row>
    <row r="8609" customFormat="false" ht="15" hidden="false" customHeight="false" outlineLevel="0" collapsed="false">
      <c r="A8609" s="0" t="n">
        <f aca="false">ACCRINTM(DATE(2024,1,1),DATE(2024,1,15),0.08,5000,1)</f>
        <v>15.3005464480874</v>
      </c>
      <c r="B8609" s="0" t="s">
        <v>8588</v>
      </c>
    </row>
    <row r="8610" customFormat="false" ht="15" hidden="false" customHeight="false" outlineLevel="0" collapsed="false">
      <c r="A8610" s="0" t="n">
        <f aca="false">DISC(DATE(2024,1,15),DATE(2029,6,30),95,100,2)</f>
        <v>0.00903161063723031</v>
      </c>
      <c r="B8610" s="0" t="s">
        <v>8589</v>
      </c>
    </row>
    <row r="8611" customFormat="false" ht="15" hidden="false" customHeight="false" outlineLevel="0" collapsed="false">
      <c r="A8611" s="0" t="n">
        <f aca="false">DISC(DATE(2024,1,15),DATE(2029,6,30),100,100,2)</f>
        <v>0</v>
      </c>
      <c r="B8611" s="0" t="s">
        <v>8590</v>
      </c>
    </row>
    <row r="8612" customFormat="false" ht="15" hidden="false" customHeight="false" outlineLevel="0" collapsed="false">
      <c r="A8612" s="0" t="n">
        <f aca="false">DISC(DATE(2024,1,15),DATE(2029,6,30),99.5,100.5,2)</f>
        <v>0.00179733545019508</v>
      </c>
      <c r="B8612" s="0" t="s">
        <v>8591</v>
      </c>
    </row>
    <row r="8613" customFormat="false" ht="15" hidden="false" customHeight="false" outlineLevel="0" collapsed="false">
      <c r="A8613" s="0" t="n">
        <f aca="false">PRICEDISC(DATE(2024,1,15),DATE(2029,6,30),0.05,100,2)</f>
        <v>72.3194444444444</v>
      </c>
      <c r="B8613" s="0" t="s">
        <v>8592</v>
      </c>
    </row>
    <row r="8614" customFormat="false" ht="15" hidden="false" customHeight="false" outlineLevel="0" collapsed="false">
      <c r="A8614" s="0" t="n">
        <f aca="false">PRICEDISC(DATE(2024,1,15),DATE(2029,6,30),0.1,105,2)</f>
        <v>46.8708333333333</v>
      </c>
      <c r="B8614" s="0" t="s">
        <v>8593</v>
      </c>
    </row>
    <row r="8615" customFormat="false" ht="15" hidden="false" customHeight="false" outlineLevel="0" collapsed="false">
      <c r="A8615" s="0" t="n">
        <f aca="false">YIELDDISC(DATE(2024,1,15),DATE(2029,6,30),95,100,2)</f>
        <v>0.00950695856550557</v>
      </c>
      <c r="B8615" s="0" t="s">
        <v>8594</v>
      </c>
    </row>
    <row r="8616" customFormat="false" ht="15" hidden="false" customHeight="false" outlineLevel="0" collapsed="false">
      <c r="A8616" s="0" t="n">
        <f aca="false">YIELDDISC(DATE(2024,1,15),DATE(2029,6,30),99.5,100.5,2)</f>
        <v>0.00181539912306138</v>
      </c>
      <c r="B8616" s="0" t="s">
        <v>8595</v>
      </c>
    </row>
    <row r="8617" customFormat="false" ht="15" hidden="false" customHeight="false" outlineLevel="0" collapsed="false">
      <c r="A8617" s="0" t="n">
        <f aca="false">RECEIVED(DATE(2024,1,15),DATE(2029,6,30),1000,0.05,2)</f>
        <v>1382.75398502017</v>
      </c>
      <c r="B8617" s="0" t="s">
        <v>8596</v>
      </c>
    </row>
    <row r="8618" customFormat="false" ht="15" hidden="false" customHeight="false" outlineLevel="0" collapsed="false">
      <c r="A8618" s="0" t="n">
        <f aca="false">RECEIVED(DATE(2024,1,15),DATE(2029,6,30),5000,0.12,2)</f>
        <v>14895.7298907646</v>
      </c>
      <c r="B8618" s="0" t="s">
        <v>8597</v>
      </c>
    </row>
    <row r="8619" customFormat="false" ht="15" hidden="false" customHeight="false" outlineLevel="0" collapsed="false">
      <c r="A8619" s="0" t="n">
        <f aca="false">INTRATE(DATE(2024,1,15),DATE(2029,6,30),1000,1050,2)</f>
        <v>0.00903161063723031</v>
      </c>
      <c r="B8619" s="0" t="s">
        <v>8598</v>
      </c>
    </row>
    <row r="8620" customFormat="false" ht="15" hidden="false" customHeight="false" outlineLevel="0" collapsed="false">
      <c r="A8620" s="0" t="n">
        <f aca="false">INTRATE(DATE(2024,1,15),DATE(2029,6,30),950,1000,2)</f>
        <v>0.00950695856550557</v>
      </c>
      <c r="B8620" s="0" t="s">
        <v>8599</v>
      </c>
    </row>
    <row r="8621" customFormat="false" ht="15" hidden="false" customHeight="false" outlineLevel="0" collapsed="false">
      <c r="A8621" s="0" t="n">
        <f aca="false">PRICEMAT(DATE(2024,1,15),DATE(2029,6,30),DATE(2023,10,1),0.05,0.06,2)</f>
        <v>95.4771918484229</v>
      </c>
      <c r="B8621" s="0" t="s">
        <v>8600</v>
      </c>
    </row>
    <row r="8622" customFormat="false" ht="15" hidden="false" customHeight="false" outlineLevel="0" collapsed="false">
      <c r="A8622" s="0" t="n">
        <f aca="false">PRICEMAT(DATE(2024,1,15),DATE(2029,6,30),DATE(2024,1,1),0.1,0.03,2)</f>
        <v>133.177894502807</v>
      </c>
      <c r="B8622" s="0" t="s">
        <v>8601</v>
      </c>
    </row>
    <row r="8623" customFormat="false" ht="15" hidden="false" customHeight="false" outlineLevel="0" collapsed="false">
      <c r="A8623" s="0" t="n">
        <f aca="false">YIELDMAT(DATE(2024,1,15),DATE(2029,6,30),DATE(2023,10,1),0.05,98,2)</f>
        <v>0.0538971011777748</v>
      </c>
      <c r="B8623" s="0" t="s">
        <v>8602</v>
      </c>
    </row>
    <row r="8624" customFormat="false" ht="15" hidden="false" customHeight="false" outlineLevel="0" collapsed="false">
      <c r="A8624" s="0" t="n">
        <f aca="false">YIELDMAT(DATE(2024,1,15),DATE(2029,6,30),DATE(2024,1,1),0.1,101,2)</f>
        <v>0.0968485589975875</v>
      </c>
      <c r="B8624" s="0" t="s">
        <v>8603</v>
      </c>
    </row>
    <row r="8625" customFormat="false" ht="15" hidden="false" customHeight="false" outlineLevel="0" collapsed="false">
      <c r="A8625" s="0" t="n">
        <f aca="false">ACCRINTM(DATE(2023,10,1),DATE(2029,6,30),0.05,1000,2)</f>
        <v>291.527777777778</v>
      </c>
      <c r="B8625" s="0" t="s">
        <v>8604</v>
      </c>
    </row>
    <row r="8626" customFormat="false" ht="15" hidden="false" customHeight="false" outlineLevel="0" collapsed="false">
      <c r="A8626" s="0" t="n">
        <f aca="false">ACCRINTM(DATE(2024,1,1),DATE(2024,1,15),0.08,5000,2)</f>
        <v>15.5555555555556</v>
      </c>
      <c r="B8626" s="0" t="s">
        <v>8605</v>
      </c>
    </row>
    <row r="8627" customFormat="false" ht="15" hidden="false" customHeight="false" outlineLevel="0" collapsed="false">
      <c r="A8627" s="0" t="n">
        <f aca="false">DISC(DATE(2024,1,15),DATE(2029,6,30),95,100,3)</f>
        <v>0.00915704967385851</v>
      </c>
      <c r="B8627" s="0" t="s">
        <v>8606</v>
      </c>
    </row>
    <row r="8628" customFormat="false" ht="15" hidden="false" customHeight="false" outlineLevel="0" collapsed="false">
      <c r="A8628" s="0" t="n">
        <f aca="false">DISC(DATE(2024,1,15),DATE(2029,6,30),100,100,3)</f>
        <v>0</v>
      </c>
      <c r="B8628" s="0" t="s">
        <v>8607</v>
      </c>
    </row>
    <row r="8629" customFormat="false" ht="15" hidden="false" customHeight="false" outlineLevel="0" collapsed="false">
      <c r="A8629" s="0" t="n">
        <f aca="false">DISC(DATE(2024,1,15),DATE(2029,6,30),99.5,100.5,3)</f>
        <v>0.0018222984425589</v>
      </c>
      <c r="B8629" s="0" t="s">
        <v>8608</v>
      </c>
    </row>
    <row r="8630" customFormat="false" ht="15" hidden="false" customHeight="false" outlineLevel="0" collapsed="false">
      <c r="A8630" s="0" t="n">
        <f aca="false">PRICEDISC(DATE(2024,1,15),DATE(2029,6,30),0.05,100,3)</f>
        <v>72.6986301369863</v>
      </c>
      <c r="B8630" s="0" t="s">
        <v>8609</v>
      </c>
    </row>
    <row r="8631" customFormat="false" ht="15" hidden="false" customHeight="false" outlineLevel="0" collapsed="false">
      <c r="A8631" s="0" t="n">
        <f aca="false">PRICEDISC(DATE(2024,1,15),DATE(2029,6,30),0.1,105,3)</f>
        <v>47.6671232876712</v>
      </c>
      <c r="B8631" s="0" t="s">
        <v>8610</v>
      </c>
    </row>
    <row r="8632" customFormat="false" ht="15" hidden="false" customHeight="false" outlineLevel="0" collapsed="false">
      <c r="A8632" s="0" t="n">
        <f aca="false">YIELDDISC(DATE(2024,1,15),DATE(2029,6,30),95,100,3)</f>
        <v>0.00963899965669315</v>
      </c>
      <c r="B8632" s="0" t="s">
        <v>8611</v>
      </c>
    </row>
    <row r="8633" customFormat="false" ht="15" hidden="false" customHeight="false" outlineLevel="0" collapsed="false">
      <c r="A8633" s="0" t="n">
        <f aca="false">YIELDDISC(DATE(2024,1,15),DATE(2029,6,30),99.5,100.5,3)</f>
        <v>0.00184061299977056</v>
      </c>
      <c r="B8633" s="0" t="s">
        <v>8612</v>
      </c>
    </row>
    <row r="8634" customFormat="false" ht="15" hidden="false" customHeight="false" outlineLevel="0" collapsed="false">
      <c r="A8634" s="0" t="n">
        <f aca="false">RECEIVED(DATE(2024,1,15),DATE(2029,6,30),1000,0.05,3)</f>
        <v>1375.54173732806</v>
      </c>
      <c r="B8634" s="0" t="s">
        <v>8613</v>
      </c>
    </row>
    <row r="8635" customFormat="false" ht="15" hidden="false" customHeight="false" outlineLevel="0" collapsed="false">
      <c r="A8635" s="0" t="n">
        <f aca="false">RECEIVED(DATE(2024,1,15),DATE(2029,6,30),5000,0.12,3)</f>
        <v>14502.5429116338</v>
      </c>
      <c r="B8635" s="0" t="s">
        <v>8614</v>
      </c>
    </row>
    <row r="8636" customFormat="false" ht="15" hidden="false" customHeight="false" outlineLevel="0" collapsed="false">
      <c r="A8636" s="0" t="n">
        <f aca="false">INTRATE(DATE(2024,1,15),DATE(2029,6,30),1000,1050,3)</f>
        <v>0.00915704967385851</v>
      </c>
      <c r="B8636" s="0" t="s">
        <v>8615</v>
      </c>
    </row>
    <row r="8637" customFormat="false" ht="15" hidden="false" customHeight="false" outlineLevel="0" collapsed="false">
      <c r="A8637" s="0" t="n">
        <f aca="false">INTRATE(DATE(2024,1,15),DATE(2029,6,30),950,1000,3)</f>
        <v>0.00963899965669315</v>
      </c>
      <c r="B8637" s="0" t="s">
        <v>8616</v>
      </c>
    </row>
    <row r="8638" customFormat="false" ht="15" hidden="false" customHeight="false" outlineLevel="0" collapsed="false">
      <c r="A8638" s="0" t="n">
        <f aca="false">PRICEMAT(DATE(2024,1,15),DATE(2029,6,30),DATE(2023,10,1),0.05,0.06,3)</f>
        <v>95.528835873687</v>
      </c>
      <c r="B8638" s="0" t="s">
        <v>8617</v>
      </c>
    </row>
    <row r="8639" customFormat="false" ht="15" hidden="false" customHeight="false" outlineLevel="0" collapsed="false">
      <c r="A8639" s="0" t="n">
        <f aca="false">PRICEMAT(DATE(2024,1,15),DATE(2029,6,30),DATE(2024,1,1),0.1,0.03,3)</f>
        <v>132.78812318867</v>
      </c>
      <c r="B8639" s="0" t="s">
        <v>8618</v>
      </c>
    </row>
    <row r="8640" customFormat="false" ht="15" hidden="false" customHeight="false" outlineLevel="0" collapsed="false">
      <c r="A8640" s="0" t="n">
        <f aca="false">YIELDMAT(DATE(2024,1,15),DATE(2029,6,30),DATE(2023,10,1),0.05,98,3)</f>
        <v>0.0539584827889348</v>
      </c>
      <c r="B8640" s="0" t="s">
        <v>8619</v>
      </c>
    </row>
    <row r="8641" customFormat="false" ht="15" hidden="false" customHeight="false" outlineLevel="0" collapsed="false">
      <c r="A8641" s="0" t="n">
        <f aca="false">YIELDMAT(DATE(2024,1,15),DATE(2029,6,30),DATE(2024,1,1),0.1,101,3)</f>
        <v>0.0968289025099536</v>
      </c>
      <c r="B8641" s="0" t="s">
        <v>8620</v>
      </c>
    </row>
    <row r="8642" customFormat="false" ht="15" hidden="false" customHeight="false" outlineLevel="0" collapsed="false">
      <c r="A8642" s="0" t="n">
        <f aca="false">ACCRINTM(DATE(2023,10,1),DATE(2029,6,30),0.05,1000,3)</f>
        <v>287.534246575343</v>
      </c>
      <c r="B8642" s="0" t="s">
        <v>8621</v>
      </c>
    </row>
    <row r="8643" customFormat="false" ht="15" hidden="false" customHeight="false" outlineLevel="0" collapsed="false">
      <c r="A8643" s="0" t="n">
        <f aca="false">ACCRINTM(DATE(2024,1,1),DATE(2024,1,15),0.08,5000,3)</f>
        <v>15.3424657534247</v>
      </c>
      <c r="B8643" s="0" t="s">
        <v>8622</v>
      </c>
    </row>
    <row r="8644" customFormat="false" ht="15" hidden="false" customHeight="false" outlineLevel="0" collapsed="false">
      <c r="A8644" s="0" t="n">
        <f aca="false">DISC(DATE(2024,1,15),DATE(2029,6,30),95,100,4)</f>
        <v>0.00916030534351146</v>
      </c>
      <c r="B8644" s="0" t="s">
        <v>8623</v>
      </c>
    </row>
    <row r="8645" customFormat="false" ht="15" hidden="false" customHeight="false" outlineLevel="0" collapsed="false">
      <c r="A8645" s="0" t="n">
        <f aca="false">DISC(DATE(2024,1,15),DATE(2029,6,30),100,100,4)</f>
        <v>0</v>
      </c>
      <c r="B8645" s="0" t="s">
        <v>8624</v>
      </c>
    </row>
    <row r="8646" customFormat="false" ht="15" hidden="false" customHeight="false" outlineLevel="0" collapsed="false">
      <c r="A8646" s="0" t="n">
        <f aca="false">DISC(DATE(2024,1,15),DATE(2029,6,30),99.5,100.5,4)</f>
        <v>0.0018229463370172</v>
      </c>
      <c r="B8646" s="0" t="s">
        <v>8625</v>
      </c>
    </row>
    <row r="8647" customFormat="false" ht="15" hidden="false" customHeight="false" outlineLevel="0" collapsed="false">
      <c r="A8647" s="0" t="n">
        <f aca="false">PRICEDISC(DATE(2024,1,15),DATE(2029,6,30),0.05,100,4)</f>
        <v>72.7083333333333</v>
      </c>
      <c r="B8647" s="0" t="s">
        <v>8626</v>
      </c>
    </row>
    <row r="8648" customFormat="false" ht="15" hidden="false" customHeight="false" outlineLevel="0" collapsed="false">
      <c r="A8648" s="0" t="n">
        <f aca="false">PRICEDISC(DATE(2024,1,15),DATE(2029,6,30),0.1,105,4)</f>
        <v>47.6875</v>
      </c>
      <c r="B8648" s="0" t="s">
        <v>8627</v>
      </c>
    </row>
    <row r="8649" customFormat="false" ht="15" hidden="false" customHeight="false" outlineLevel="0" collapsed="false">
      <c r="A8649" s="0" t="n">
        <f aca="false">YIELDDISC(DATE(2024,1,15),DATE(2029,6,30),95,100,4)</f>
        <v>0.00964242667738046</v>
      </c>
      <c r="B8649" s="0" t="s">
        <v>8628</v>
      </c>
    </row>
    <row r="8650" customFormat="false" ht="15" hidden="false" customHeight="false" outlineLevel="0" collapsed="false">
      <c r="A8650" s="0" t="n">
        <f aca="false">YIELDDISC(DATE(2024,1,15),DATE(2029,6,30),99.5,100.5,4)</f>
        <v>0.00184126740573095</v>
      </c>
      <c r="B8650" s="0" t="s">
        <v>8629</v>
      </c>
    </row>
    <row r="8651" customFormat="false" ht="15" hidden="false" customHeight="false" outlineLevel="0" collapsed="false">
      <c r="A8651" s="0" t="n">
        <f aca="false">RECEIVED(DATE(2024,1,15),DATE(2029,6,30),1000,0.05,4)</f>
        <v>1375.35816618911</v>
      </c>
      <c r="B8651" s="0" t="s">
        <v>8630</v>
      </c>
    </row>
    <row r="8652" customFormat="false" ht="15" hidden="false" customHeight="false" outlineLevel="0" collapsed="false">
      <c r="A8652" s="0" t="n">
        <f aca="false">RECEIVED(DATE(2024,1,15),DATE(2029,6,30),5000,0.12,4)</f>
        <v>14492.7536231884</v>
      </c>
      <c r="B8652" s="0" t="s">
        <v>8631</v>
      </c>
    </row>
    <row r="8653" customFormat="false" ht="15" hidden="false" customHeight="false" outlineLevel="0" collapsed="false">
      <c r="A8653" s="0" t="n">
        <f aca="false">INTRATE(DATE(2024,1,15),DATE(2029,6,30),1000,1050,4)</f>
        <v>0.00916030534351146</v>
      </c>
      <c r="B8653" s="0" t="s">
        <v>8632</v>
      </c>
    </row>
    <row r="8654" customFormat="false" ht="15" hidden="false" customHeight="false" outlineLevel="0" collapsed="false">
      <c r="A8654" s="0" t="n">
        <f aca="false">INTRATE(DATE(2024,1,15),DATE(2029,6,30),950,1000,4)</f>
        <v>0.00964242667738046</v>
      </c>
      <c r="B8654" s="0" t="s">
        <v>8633</v>
      </c>
    </row>
    <row r="8655" customFormat="false" ht="15" hidden="false" customHeight="false" outlineLevel="0" collapsed="false">
      <c r="A8655" s="0" t="n">
        <f aca="false">PRICEMAT(DATE(2024,1,15),DATE(2029,6,30),DATE(2023,10,1),0.05,0.06,4)</f>
        <v>95.531910441515</v>
      </c>
      <c r="B8655" s="0" t="s">
        <v>8634</v>
      </c>
    </row>
    <row r="8656" customFormat="false" ht="15" hidden="false" customHeight="false" outlineLevel="0" collapsed="false">
      <c r="A8656" s="0" t="n">
        <f aca="false">PRICEMAT(DATE(2024,1,15),DATE(2029,6,30),DATE(2024,1,1),0.1,0.03,4)</f>
        <v>132.777360066834</v>
      </c>
      <c r="B8656" s="0" t="s">
        <v>8635</v>
      </c>
    </row>
    <row r="8657" customFormat="false" ht="15" hidden="false" customHeight="false" outlineLevel="0" collapsed="false">
      <c r="A8657" s="0" t="n">
        <f aca="false">YIELDMAT(DATE(2024,1,15),DATE(2029,6,30),DATE(2023,10,1),0.05,98,4)</f>
        <v>0.053963921702418</v>
      </c>
      <c r="B8657" s="0" t="s">
        <v>8636</v>
      </c>
    </row>
    <row r="8658" customFormat="false" ht="15" hidden="false" customHeight="false" outlineLevel="0" collapsed="false">
      <c r="A8658" s="0" t="n">
        <f aca="false">YIELDMAT(DATE(2024,1,15),DATE(2029,6,30),DATE(2024,1,1),0.1,101,4)</f>
        <v>0.0968231726445676</v>
      </c>
      <c r="B8658" s="0" t="s">
        <v>8637</v>
      </c>
    </row>
    <row r="8659" customFormat="false" ht="15" hidden="false" customHeight="false" outlineLevel="0" collapsed="false">
      <c r="A8659" s="0" t="n">
        <f aca="false">ACCRINTM(DATE(2023,10,1),DATE(2029,6,30),0.05,1000,4)</f>
        <v>287.361111111111</v>
      </c>
      <c r="B8659" s="0" t="s">
        <v>8638</v>
      </c>
    </row>
    <row r="8660" customFormat="false" ht="15" hidden="false" customHeight="false" outlineLevel="0" collapsed="false">
      <c r="A8660" s="0" t="n">
        <f aca="false">ACCRINTM(DATE(2024,1,1),DATE(2024,1,15),0.08,5000,4)</f>
        <v>15.5555555555556</v>
      </c>
      <c r="B8660" s="0" t="s">
        <v>8639</v>
      </c>
    </row>
    <row r="8661" customFormat="false" ht="15" hidden="false" customHeight="false" outlineLevel="0" collapsed="false">
      <c r="A8661" s="0" t="n">
        <f aca="false">TBILLPRICE(DATE(2024,1,15),DATE(2029,6,30),0.05)</f>
        <v>72.6944444444444</v>
      </c>
      <c r="B8661" s="0" t="s">
        <v>8640</v>
      </c>
    </row>
    <row r="8662" customFormat="false" ht="15" hidden="false" customHeight="false" outlineLevel="0" collapsed="false">
      <c r="A8662" s="0" t="e">
        <f aca="false">TBILLYIELD(DATE(2024,1,15),DATE(2029,6,30),98)</f>
        <v>#VALUE!</v>
      </c>
      <c r="B8662" s="0" t="s">
        <v>8641</v>
      </c>
    </row>
    <row r="8663" customFormat="false" ht="15" hidden="false" customHeight="false" outlineLevel="0" collapsed="false">
      <c r="A8663" s="0" t="e">
        <f aca="false">TBILLEQ(DATE(2024,1,15),DATE(2029,6,30),0.05)</f>
        <v>#VALUE!</v>
      </c>
      <c r="B8663" s="0" t="s">
        <v>8642</v>
      </c>
    </row>
    <row r="8664" customFormat="false" ht="15" hidden="false" customHeight="false" outlineLevel="0" collapsed="false">
      <c r="A8664" s="0" t="e">
        <f aca="false">TBILLEQ(DATE(2024,1,15),DATE(2029,6,30),0.12)</f>
        <v>#VALUE!</v>
      </c>
      <c r="B8664" s="0" t="s">
        <v>8643</v>
      </c>
    </row>
    <row r="8665" customFormat="false" ht="15" hidden="false" customHeight="false" outlineLevel="0" collapsed="false">
      <c r="A8665" s="0" t="n">
        <f aca="false">DISC(DATE(2024,3,31),DATE(2025,3,31),95,100,0)</f>
        <v>0.05</v>
      </c>
      <c r="B8665" s="0" t="s">
        <v>8644</v>
      </c>
    </row>
    <row r="8666" customFormat="false" ht="15" hidden="false" customHeight="false" outlineLevel="0" collapsed="false">
      <c r="A8666" s="0" t="n">
        <f aca="false">DISC(DATE(2024,3,31),DATE(2025,3,31),100,100,0)</f>
        <v>0</v>
      </c>
      <c r="B8666" s="0" t="s">
        <v>8645</v>
      </c>
    </row>
    <row r="8667" customFormat="false" ht="15" hidden="false" customHeight="false" outlineLevel="0" collapsed="false">
      <c r="A8667" s="0" t="n">
        <f aca="false">DISC(DATE(2024,3,31),DATE(2025,3,31),99.5,100.5,0)</f>
        <v>0.00995024875621886</v>
      </c>
      <c r="B8667" s="0" t="s">
        <v>8646</v>
      </c>
    </row>
    <row r="8668" customFormat="false" ht="15" hidden="false" customHeight="false" outlineLevel="0" collapsed="false">
      <c r="A8668" s="0" t="n">
        <f aca="false">PRICEDISC(DATE(2024,3,31),DATE(2025,3,31),0.05,100,0)</f>
        <v>95</v>
      </c>
      <c r="B8668" s="0" t="s">
        <v>8647</v>
      </c>
    </row>
    <row r="8669" customFormat="false" ht="15" hidden="false" customHeight="false" outlineLevel="0" collapsed="false">
      <c r="A8669" s="0" t="n">
        <f aca="false">PRICEDISC(DATE(2024,3,31),DATE(2025,3,31),0.1,105,0)</f>
        <v>94.5</v>
      </c>
      <c r="B8669" s="0" t="s">
        <v>8648</v>
      </c>
    </row>
    <row r="8670" customFormat="false" ht="15" hidden="false" customHeight="false" outlineLevel="0" collapsed="false">
      <c r="A8670" s="0" t="n">
        <f aca="false">YIELDDISC(DATE(2024,3,31),DATE(2025,3,31),95,100,0)</f>
        <v>0.0526315789473684</v>
      </c>
      <c r="B8670" s="0" t="s">
        <v>8649</v>
      </c>
    </row>
    <row r="8671" customFormat="false" ht="15" hidden="false" customHeight="false" outlineLevel="0" collapsed="false">
      <c r="A8671" s="0" t="n">
        <f aca="false">YIELDDISC(DATE(2024,3,31),DATE(2025,3,31),99.5,100.5,0)</f>
        <v>0.0100502512562815</v>
      </c>
      <c r="B8671" s="0" t="s">
        <v>8650</v>
      </c>
    </row>
    <row r="8672" customFormat="false" ht="15" hidden="false" customHeight="false" outlineLevel="0" collapsed="false">
      <c r="A8672" s="0" t="n">
        <f aca="false">RECEIVED(DATE(2024,3,31),DATE(2025,3,31),1000,0.05,0)</f>
        <v>1052.63157894737</v>
      </c>
      <c r="B8672" s="0" t="s">
        <v>8651</v>
      </c>
    </row>
    <row r="8673" customFormat="false" ht="15" hidden="false" customHeight="false" outlineLevel="0" collapsed="false">
      <c r="A8673" s="0" t="n">
        <f aca="false">RECEIVED(DATE(2024,3,31),DATE(2025,3,31),5000,0.12,0)</f>
        <v>5681.81818181818</v>
      </c>
      <c r="B8673" s="0" t="s">
        <v>8652</v>
      </c>
    </row>
    <row r="8674" customFormat="false" ht="15" hidden="false" customHeight="false" outlineLevel="0" collapsed="false">
      <c r="A8674" s="0" t="n">
        <f aca="false">INTRATE(DATE(2024,3,31),DATE(2025,3,31),1000,1050,0)</f>
        <v>0.05</v>
      </c>
      <c r="B8674" s="0" t="s">
        <v>8653</v>
      </c>
    </row>
    <row r="8675" customFormat="false" ht="15" hidden="false" customHeight="false" outlineLevel="0" collapsed="false">
      <c r="A8675" s="0" t="n">
        <f aca="false">INTRATE(DATE(2024,3,31),DATE(2025,3,31),950,1000,0)</f>
        <v>0.0526315789473684</v>
      </c>
      <c r="B8675" s="0" t="s">
        <v>8654</v>
      </c>
    </row>
    <row r="8676" customFormat="false" ht="15" hidden="false" customHeight="false" outlineLevel="0" collapsed="false">
      <c r="A8676" s="0" t="n">
        <f aca="false">PRICEMAT(DATE(2024,3,31),DATE(2025,3,31),DATE(2023,10,1),0.05,0.06,0)</f>
        <v>98.9150943396226</v>
      </c>
      <c r="B8676" s="0" t="s">
        <v>8655</v>
      </c>
    </row>
    <row r="8677" customFormat="false" ht="15" hidden="false" customHeight="false" outlineLevel="0" collapsed="false">
      <c r="A8677" s="0" t="n">
        <f aca="false">PRICEMAT(DATE(2024,3,31),DATE(2025,3,31),DATE(2024,1,1),0.1,0.03,0)</f>
        <v>106.723300970874</v>
      </c>
      <c r="B8677" s="0" t="s">
        <v>8656</v>
      </c>
    </row>
    <row r="8678" customFormat="false" ht="15" hidden="false" customHeight="false" outlineLevel="0" collapsed="false">
      <c r="A8678" s="0" t="n">
        <f aca="false">YIELDMAT(DATE(2024,3,31),DATE(2025,3,31),DATE(2023,10,1),0.05,98,0)</f>
        <v>0.0696517412935325</v>
      </c>
      <c r="B8678" s="0" t="s">
        <v>8657</v>
      </c>
    </row>
    <row r="8679" customFormat="false" ht="15" hidden="false" customHeight="false" outlineLevel="0" collapsed="false">
      <c r="A8679" s="0" t="n">
        <f aca="false">YIELDMAT(DATE(2024,3,31),DATE(2025,3,31),DATE(2024,1,1),0.1,101,0)</f>
        <v>0.0869565217391306</v>
      </c>
      <c r="B8679" s="0" t="s">
        <v>8658</v>
      </c>
    </row>
    <row r="8680" customFormat="false" ht="15" hidden="false" customHeight="false" outlineLevel="0" collapsed="false">
      <c r="A8680" s="0" t="n">
        <f aca="false">ACCRINTM(DATE(2023,10,1),DATE(2025,3,31),0.05,1000,0)</f>
        <v>75</v>
      </c>
      <c r="B8680" s="0" t="s">
        <v>8659</v>
      </c>
    </row>
    <row r="8681" customFormat="false" ht="15" hidden="false" customHeight="false" outlineLevel="0" collapsed="false">
      <c r="A8681" s="0" t="n">
        <f aca="false">ACCRINTM(DATE(2024,1,1),DATE(2024,3,31),0.08,5000,0)</f>
        <v>100</v>
      </c>
      <c r="B8681" s="0" t="s">
        <v>8660</v>
      </c>
    </row>
    <row r="8682" customFormat="false" ht="15" hidden="false" customHeight="false" outlineLevel="0" collapsed="false">
      <c r="A8682" s="0" t="n">
        <f aca="false">DISC(DATE(2024,3,31),DATE(2025,3,31),95,100,1)</f>
        <v>0.05</v>
      </c>
      <c r="B8682" s="0" t="s">
        <v>8661</v>
      </c>
    </row>
    <row r="8683" customFormat="false" ht="15" hidden="false" customHeight="false" outlineLevel="0" collapsed="false">
      <c r="A8683" s="0" t="n">
        <f aca="false">DISC(DATE(2024,3,31),DATE(2025,3,31),100,100,1)</f>
        <v>0</v>
      </c>
      <c r="B8683" s="0" t="s">
        <v>8662</v>
      </c>
    </row>
    <row r="8684" customFormat="false" ht="15" hidden="false" customHeight="false" outlineLevel="0" collapsed="false">
      <c r="A8684" s="0" t="n">
        <f aca="false">DISC(DATE(2024,3,31),DATE(2025,3,31),99.5,100.5,1)</f>
        <v>0.00995024875621886</v>
      </c>
      <c r="B8684" s="0" t="s">
        <v>8663</v>
      </c>
    </row>
    <row r="8685" customFormat="false" ht="15" hidden="false" customHeight="false" outlineLevel="0" collapsed="false">
      <c r="A8685" s="0" t="n">
        <f aca="false">PRICEDISC(DATE(2024,3,31),DATE(2025,3,31),0.05,100,1)</f>
        <v>95.0136612021858</v>
      </c>
      <c r="B8685" s="0" t="s">
        <v>8664</v>
      </c>
    </row>
    <row r="8686" customFormat="false" ht="15" hidden="false" customHeight="false" outlineLevel="0" collapsed="false">
      <c r="A8686" s="0" t="n">
        <f aca="false">PRICEDISC(DATE(2024,3,31),DATE(2025,3,31),0.1,105,1)</f>
        <v>94.5286885245902</v>
      </c>
      <c r="B8686" s="0" t="s">
        <v>8665</v>
      </c>
    </row>
    <row r="8687" customFormat="false" ht="15" hidden="false" customHeight="false" outlineLevel="0" collapsed="false">
      <c r="A8687" s="0" t="n">
        <f aca="false">YIELDDISC(DATE(2024,3,31),DATE(2025,3,31),95,100,1)</f>
        <v>0.0526315789473684</v>
      </c>
      <c r="B8687" s="0" t="s">
        <v>8666</v>
      </c>
    </row>
    <row r="8688" customFormat="false" ht="15" hidden="false" customHeight="false" outlineLevel="0" collapsed="false">
      <c r="A8688" s="0" t="n">
        <f aca="false">YIELDDISC(DATE(2024,3,31),DATE(2025,3,31),99.5,100.5,1)</f>
        <v>0.0100502512562815</v>
      </c>
      <c r="B8688" s="0" t="s">
        <v>8667</v>
      </c>
    </row>
    <row r="8689" customFormat="false" ht="15" hidden="false" customHeight="false" outlineLevel="0" collapsed="false">
      <c r="A8689" s="0" t="n">
        <f aca="false">RECEIVED(DATE(2024,3,31),DATE(2025,3,31),1000,0.05,1)</f>
        <v>1052.48023005032</v>
      </c>
      <c r="B8689" s="0" t="s">
        <v>8668</v>
      </c>
    </row>
    <row r="8690" customFormat="false" ht="15" hidden="false" customHeight="false" outlineLevel="0" collapsed="false">
      <c r="A8690" s="0" t="n">
        <f aca="false">RECEIVED(DATE(2024,3,31),DATE(2025,3,31),5000,0.12,1)</f>
        <v>5679.70204841713</v>
      </c>
      <c r="B8690" s="0" t="s">
        <v>8669</v>
      </c>
    </row>
    <row r="8691" customFormat="false" ht="15" hidden="false" customHeight="false" outlineLevel="0" collapsed="false">
      <c r="A8691" s="0" t="n">
        <f aca="false">INTRATE(DATE(2024,3,31),DATE(2025,3,31),1000,1050,1)</f>
        <v>0.0501369863013699</v>
      </c>
      <c r="B8691" s="0" t="s">
        <v>8670</v>
      </c>
    </row>
    <row r="8692" customFormat="false" ht="15" hidden="false" customHeight="false" outlineLevel="0" collapsed="false">
      <c r="A8692" s="0" t="n">
        <f aca="false">INTRATE(DATE(2024,3,31),DATE(2025,3,31),950,1000,1)</f>
        <v>0.0527757750540735</v>
      </c>
      <c r="B8692" s="0" t="s">
        <v>8671</v>
      </c>
    </row>
    <row r="8693" customFormat="false" ht="15" hidden="false" customHeight="false" outlineLevel="0" collapsed="false">
      <c r="A8693" s="0" t="n">
        <f aca="false">PRICEMAT(DATE(2024,3,31),DATE(2025,3,31),DATE(2023,10,1),0.05,0.06,1)</f>
        <v>98.9158440971038</v>
      </c>
      <c r="B8693" s="0" t="s">
        <v>8672</v>
      </c>
    </row>
    <row r="8694" customFormat="false" ht="15" hidden="false" customHeight="false" outlineLevel="0" collapsed="false">
      <c r="A8694" s="0" t="n">
        <f aca="false">PRICEMAT(DATE(2024,3,31),DATE(2025,3,31),DATE(2024,1,1),0.1,0.03,1)</f>
        <v>106.714479150632</v>
      </c>
      <c r="B8694" s="0" t="s">
        <v>8673</v>
      </c>
    </row>
    <row r="8695" customFormat="false" ht="15" hidden="false" customHeight="false" outlineLevel="0" collapsed="false">
      <c r="A8695" s="0" t="n">
        <f aca="false">YIELDMAT(DATE(2024,3,31),DATE(2025,3,31),DATE(2023,10,1),0.05,98,1)</f>
        <v>0.069660962420806</v>
      </c>
      <c r="B8695" s="0" t="s">
        <v>8674</v>
      </c>
    </row>
    <row r="8696" customFormat="false" ht="15" hidden="false" customHeight="false" outlineLevel="0" collapsed="false">
      <c r="A8696" s="0" t="n">
        <f aca="false">YIELDMAT(DATE(2024,3,31),DATE(2025,3,31),DATE(2024,1,1),0.1,101,1)</f>
        <v>0.0868912573338934</v>
      </c>
      <c r="B8696" s="0" t="s">
        <v>8675</v>
      </c>
    </row>
    <row r="8697" customFormat="false" ht="15" hidden="false" customHeight="false" outlineLevel="0" collapsed="false">
      <c r="A8697" s="0" t="n">
        <f aca="false">ACCRINTM(DATE(2023,10,1),DATE(2025,3,31),0.05,1000,1)</f>
        <v>74.9315068493151</v>
      </c>
      <c r="B8697" s="0" t="s">
        <v>8676</v>
      </c>
    </row>
    <row r="8698" customFormat="false" ht="15" hidden="false" customHeight="false" outlineLevel="0" collapsed="false">
      <c r="A8698" s="0" t="n">
        <f aca="false">ACCRINTM(DATE(2024,1,1),DATE(2024,3,31),0.08,5000,1)</f>
        <v>98.3606557377049</v>
      </c>
      <c r="B8698" s="0" t="s">
        <v>8677</v>
      </c>
    </row>
    <row r="8699" customFormat="false" ht="15" hidden="false" customHeight="false" outlineLevel="0" collapsed="false">
      <c r="A8699" s="0" t="n">
        <f aca="false">DISC(DATE(2024,3,31),DATE(2025,3,31),95,100,2)</f>
        <v>0.0493150684931507</v>
      </c>
      <c r="B8699" s="0" t="s">
        <v>8678</v>
      </c>
    </row>
    <row r="8700" customFormat="false" ht="15" hidden="false" customHeight="false" outlineLevel="0" collapsed="false">
      <c r="A8700" s="0" t="n">
        <f aca="false">DISC(DATE(2024,3,31),DATE(2025,3,31),100,100,2)</f>
        <v>0</v>
      </c>
      <c r="B8700" s="0" t="s">
        <v>8679</v>
      </c>
    </row>
    <row r="8701" customFormat="false" ht="15" hidden="false" customHeight="false" outlineLevel="0" collapsed="false">
      <c r="A8701" s="0" t="n">
        <f aca="false">DISC(DATE(2024,3,31),DATE(2025,3,31),99.5,100.5,2)</f>
        <v>0.00981394397873641</v>
      </c>
      <c r="B8701" s="0" t="s">
        <v>8680</v>
      </c>
    </row>
    <row r="8702" customFormat="false" ht="15" hidden="false" customHeight="false" outlineLevel="0" collapsed="false">
      <c r="A8702" s="0" t="n">
        <f aca="false">PRICEDISC(DATE(2024,3,31),DATE(2025,3,31),0.05,100,2)</f>
        <v>94.9305555555556</v>
      </c>
      <c r="B8702" s="0" t="s">
        <v>8681</v>
      </c>
    </row>
    <row r="8703" customFormat="false" ht="15" hidden="false" customHeight="false" outlineLevel="0" collapsed="false">
      <c r="A8703" s="0" t="n">
        <f aca="false">PRICEDISC(DATE(2024,3,31),DATE(2025,3,31),0.1,105,2)</f>
        <v>94.3541666666667</v>
      </c>
      <c r="B8703" s="0" t="s">
        <v>8682</v>
      </c>
    </row>
    <row r="8704" customFormat="false" ht="15" hidden="false" customHeight="false" outlineLevel="0" collapsed="false">
      <c r="A8704" s="0" t="n">
        <f aca="false">YIELDDISC(DATE(2024,3,31),DATE(2025,3,31),95,100,2)</f>
        <v>0.0519105984138428</v>
      </c>
      <c r="B8704" s="0" t="s">
        <v>8683</v>
      </c>
    </row>
    <row r="8705" customFormat="false" ht="15" hidden="false" customHeight="false" outlineLevel="0" collapsed="false">
      <c r="A8705" s="0" t="n">
        <f aca="false">YIELDDISC(DATE(2024,3,31),DATE(2025,3,31),99.5,100.5,2)</f>
        <v>0.00991257658153787</v>
      </c>
      <c r="B8705" s="0" t="s">
        <v>8684</v>
      </c>
    </row>
    <row r="8706" customFormat="false" ht="15" hidden="false" customHeight="false" outlineLevel="0" collapsed="false">
      <c r="A8706" s="0" t="n">
        <f aca="false">RECEIVED(DATE(2024,3,31),DATE(2025,3,31),1000,0.05,2)</f>
        <v>1053.40160936357</v>
      </c>
      <c r="B8706" s="0" t="s">
        <v>8685</v>
      </c>
    </row>
    <row r="8707" customFormat="false" ht="15" hidden="false" customHeight="false" outlineLevel="0" collapsed="false">
      <c r="A8707" s="0" t="n">
        <f aca="false">RECEIVED(DATE(2024,3,31),DATE(2025,3,31),5000,0.12,2)</f>
        <v>5692.59962049336</v>
      </c>
      <c r="B8707" s="0" t="s">
        <v>8686</v>
      </c>
    </row>
    <row r="8708" customFormat="false" ht="15" hidden="false" customHeight="false" outlineLevel="0" collapsed="false">
      <c r="A8708" s="0" t="n">
        <f aca="false">INTRATE(DATE(2024,3,31),DATE(2025,3,31),1000,1050,2)</f>
        <v>0.0493150684931507</v>
      </c>
      <c r="B8708" s="0" t="s">
        <v>8687</v>
      </c>
    </row>
    <row r="8709" customFormat="false" ht="15" hidden="false" customHeight="false" outlineLevel="0" collapsed="false">
      <c r="A8709" s="0" t="n">
        <f aca="false">INTRATE(DATE(2024,3,31),DATE(2025,3,31),950,1000,2)</f>
        <v>0.0519105984138428</v>
      </c>
      <c r="B8709" s="0" t="s">
        <v>8688</v>
      </c>
    </row>
    <row r="8710" customFormat="false" ht="15" hidden="false" customHeight="false" outlineLevel="0" collapsed="false">
      <c r="A8710" s="0" t="n">
        <f aca="false">PRICEMAT(DATE(2024,3,31),DATE(2025,3,31),DATE(2023,10,1),0.05,0.06,2)</f>
        <v>98.8992973727852</v>
      </c>
      <c r="B8710" s="0" t="s">
        <v>8689</v>
      </c>
    </row>
    <row r="8711" customFormat="false" ht="15" hidden="false" customHeight="false" outlineLevel="0" collapsed="false">
      <c r="A8711" s="0" t="n">
        <f aca="false">PRICEMAT(DATE(2024,3,31),DATE(2025,3,31),DATE(2024,1,1),0.1,0.03,2)</f>
        <v>106.813923709395</v>
      </c>
      <c r="B8711" s="0" t="s">
        <v>8690</v>
      </c>
    </row>
    <row r="8712" customFormat="false" ht="15" hidden="false" customHeight="false" outlineLevel="0" collapsed="false">
      <c r="A8712" s="0" t="n">
        <f aca="false">YIELDMAT(DATE(2024,3,31),DATE(2025,3,31),DATE(2023,10,1),0.05,98,2)</f>
        <v>0.0693599609367608</v>
      </c>
      <c r="B8712" s="0" t="s">
        <v>8691</v>
      </c>
    </row>
    <row r="8713" customFormat="false" ht="15" hidden="false" customHeight="false" outlineLevel="0" collapsed="false">
      <c r="A8713" s="0" t="n">
        <f aca="false">YIELDMAT(DATE(2024,3,31),DATE(2025,3,31),DATE(2024,1,1),0.1,101,2)</f>
        <v>0.0870888756534976</v>
      </c>
      <c r="B8713" s="0" t="s">
        <v>8692</v>
      </c>
    </row>
    <row r="8714" customFormat="false" ht="15" hidden="false" customHeight="false" outlineLevel="0" collapsed="false">
      <c r="A8714" s="0" t="n">
        <f aca="false">ACCRINTM(DATE(2023,10,1),DATE(2025,3,31),0.05,1000,2)</f>
        <v>75.9722222222222</v>
      </c>
      <c r="B8714" s="0" t="s">
        <v>8693</v>
      </c>
    </row>
    <row r="8715" customFormat="false" ht="15" hidden="false" customHeight="false" outlineLevel="0" collapsed="false">
      <c r="A8715" s="0" t="n">
        <f aca="false">ACCRINTM(DATE(2024,1,1),DATE(2024,3,31),0.08,5000,2)</f>
        <v>100</v>
      </c>
      <c r="B8715" s="0" t="s">
        <v>8694</v>
      </c>
    </row>
    <row r="8716" customFormat="false" ht="15" hidden="false" customHeight="false" outlineLevel="0" collapsed="false">
      <c r="A8716" s="0" t="n">
        <f aca="false">DISC(DATE(2024,3,31),DATE(2025,3,31),95,100,3)</f>
        <v>0.05</v>
      </c>
      <c r="B8716" s="0" t="s">
        <v>8695</v>
      </c>
    </row>
    <row r="8717" customFormat="false" ht="15" hidden="false" customHeight="false" outlineLevel="0" collapsed="false">
      <c r="A8717" s="0" t="n">
        <f aca="false">DISC(DATE(2024,3,31),DATE(2025,3,31),100,100,3)</f>
        <v>0</v>
      </c>
      <c r="B8717" s="0" t="s">
        <v>8696</v>
      </c>
    </row>
    <row r="8718" customFormat="false" ht="15" hidden="false" customHeight="false" outlineLevel="0" collapsed="false">
      <c r="A8718" s="0" t="n">
        <f aca="false">DISC(DATE(2024,3,31),DATE(2025,3,31),99.5,100.5,3)</f>
        <v>0.00995024875621886</v>
      </c>
      <c r="B8718" s="0" t="s">
        <v>8697</v>
      </c>
    </row>
    <row r="8719" customFormat="false" ht="15" hidden="false" customHeight="false" outlineLevel="0" collapsed="false">
      <c r="A8719" s="0" t="n">
        <f aca="false">PRICEDISC(DATE(2024,3,31),DATE(2025,3,31),0.05,100,3)</f>
        <v>95</v>
      </c>
      <c r="B8719" s="0" t="s">
        <v>8698</v>
      </c>
    </row>
    <row r="8720" customFormat="false" ht="15" hidden="false" customHeight="false" outlineLevel="0" collapsed="false">
      <c r="A8720" s="0" t="n">
        <f aca="false">PRICEDISC(DATE(2024,3,31),DATE(2025,3,31),0.1,105,3)</f>
        <v>94.5</v>
      </c>
      <c r="B8720" s="0" t="s">
        <v>8699</v>
      </c>
    </row>
    <row r="8721" customFormat="false" ht="15" hidden="false" customHeight="false" outlineLevel="0" collapsed="false">
      <c r="A8721" s="0" t="n">
        <f aca="false">YIELDDISC(DATE(2024,3,31),DATE(2025,3,31),95,100,3)</f>
        <v>0.0526315789473684</v>
      </c>
      <c r="B8721" s="0" t="s">
        <v>8700</v>
      </c>
    </row>
    <row r="8722" customFormat="false" ht="15" hidden="false" customHeight="false" outlineLevel="0" collapsed="false">
      <c r="A8722" s="0" t="n">
        <f aca="false">YIELDDISC(DATE(2024,3,31),DATE(2025,3,31),99.5,100.5,3)</f>
        <v>0.0100502512562815</v>
      </c>
      <c r="B8722" s="0" t="s">
        <v>8701</v>
      </c>
    </row>
    <row r="8723" customFormat="false" ht="15" hidden="false" customHeight="false" outlineLevel="0" collapsed="false">
      <c r="A8723" s="0" t="n">
        <f aca="false">RECEIVED(DATE(2024,3,31),DATE(2025,3,31),1000,0.05,3)</f>
        <v>1052.63157894737</v>
      </c>
      <c r="B8723" s="0" t="s">
        <v>8702</v>
      </c>
    </row>
    <row r="8724" customFormat="false" ht="15" hidden="false" customHeight="false" outlineLevel="0" collapsed="false">
      <c r="A8724" s="0" t="n">
        <f aca="false">RECEIVED(DATE(2024,3,31),DATE(2025,3,31),5000,0.12,3)</f>
        <v>5681.81818181818</v>
      </c>
      <c r="B8724" s="0" t="s">
        <v>8703</v>
      </c>
    </row>
    <row r="8725" customFormat="false" ht="15" hidden="false" customHeight="false" outlineLevel="0" collapsed="false">
      <c r="A8725" s="0" t="n">
        <f aca="false">INTRATE(DATE(2024,3,31),DATE(2025,3,31),1000,1050,3)</f>
        <v>0.05</v>
      </c>
      <c r="B8725" s="0" t="s">
        <v>8704</v>
      </c>
    </row>
    <row r="8726" customFormat="false" ht="15" hidden="false" customHeight="false" outlineLevel="0" collapsed="false">
      <c r="A8726" s="0" t="n">
        <f aca="false">INTRATE(DATE(2024,3,31),DATE(2025,3,31),950,1000,3)</f>
        <v>0.0526315789473684</v>
      </c>
      <c r="B8726" s="0" t="s">
        <v>8705</v>
      </c>
    </row>
    <row r="8727" customFormat="false" ht="15" hidden="false" customHeight="false" outlineLevel="0" collapsed="false">
      <c r="A8727" s="0" t="n">
        <f aca="false">PRICEMAT(DATE(2024,3,31),DATE(2025,3,31),DATE(2023,10,1),0.05,0.06,3)</f>
        <v>98.915482036702</v>
      </c>
      <c r="B8727" s="0" t="s">
        <v>8706</v>
      </c>
    </row>
    <row r="8728" customFormat="false" ht="15" hidden="false" customHeight="false" outlineLevel="0" collapsed="false">
      <c r="A8728" s="0" t="n">
        <f aca="false">PRICEMAT(DATE(2024,3,31),DATE(2025,3,31),DATE(2024,1,1),0.1,0.03,3)</f>
        <v>106.724298443942</v>
      </c>
      <c r="B8728" s="0" t="s">
        <v>8707</v>
      </c>
    </row>
    <row r="8729" customFormat="false" ht="15" hidden="false" customHeight="false" outlineLevel="0" collapsed="false">
      <c r="A8729" s="0" t="n">
        <f aca="false">YIELDMAT(DATE(2024,3,31),DATE(2025,3,31),DATE(2023,10,1),0.05,98,3)</f>
        <v>0.0696564885496185</v>
      </c>
      <c r="B8729" s="0" t="s">
        <v>8708</v>
      </c>
    </row>
    <row r="8730" customFormat="false" ht="15" hidden="false" customHeight="false" outlineLevel="0" collapsed="false">
      <c r="A8730" s="0" t="n">
        <f aca="false">YIELDMAT(DATE(2024,3,31),DATE(2025,3,31),DATE(2024,1,1),0.1,101,3)</f>
        <v>0.0869853038527737</v>
      </c>
      <c r="B8730" s="0" t="s">
        <v>8709</v>
      </c>
    </row>
    <row r="8731" customFormat="false" ht="15" hidden="false" customHeight="false" outlineLevel="0" collapsed="false">
      <c r="A8731" s="0" t="n">
        <f aca="false">ACCRINTM(DATE(2023,10,1),DATE(2025,3,31),0.05,1000,3)</f>
        <v>74.9315068493151</v>
      </c>
      <c r="B8731" s="0" t="s">
        <v>8710</v>
      </c>
    </row>
    <row r="8732" customFormat="false" ht="15" hidden="false" customHeight="false" outlineLevel="0" collapsed="false">
      <c r="A8732" s="0" t="n">
        <f aca="false">ACCRINTM(DATE(2024,1,1),DATE(2024,3,31),0.08,5000,3)</f>
        <v>98.6301369863014</v>
      </c>
      <c r="B8732" s="0" t="s">
        <v>8711</v>
      </c>
    </row>
    <row r="8733" customFormat="false" ht="15" hidden="false" customHeight="false" outlineLevel="0" collapsed="false">
      <c r="A8733" s="0" t="n">
        <f aca="false">DISC(DATE(2024,3,31),DATE(2025,3,31),95,100,4)</f>
        <v>0.05</v>
      </c>
      <c r="B8733" s="0" t="s">
        <v>8712</v>
      </c>
    </row>
    <row r="8734" customFormat="false" ht="15" hidden="false" customHeight="false" outlineLevel="0" collapsed="false">
      <c r="A8734" s="0" t="n">
        <f aca="false">DISC(DATE(2024,3,31),DATE(2025,3,31),100,100,4)</f>
        <v>0</v>
      </c>
      <c r="B8734" s="0" t="s">
        <v>8713</v>
      </c>
    </row>
    <row r="8735" customFormat="false" ht="15" hidden="false" customHeight="false" outlineLevel="0" collapsed="false">
      <c r="A8735" s="0" t="n">
        <f aca="false">DISC(DATE(2024,3,31),DATE(2025,3,31),99.5,100.5,4)</f>
        <v>0.00995024875621886</v>
      </c>
      <c r="B8735" s="0" t="s">
        <v>8714</v>
      </c>
    </row>
    <row r="8736" customFormat="false" ht="15" hidden="false" customHeight="false" outlineLevel="0" collapsed="false">
      <c r="A8736" s="0" t="n">
        <f aca="false">PRICEDISC(DATE(2024,3,31),DATE(2025,3,31),0.05,100,4)</f>
        <v>95</v>
      </c>
      <c r="B8736" s="0" t="s">
        <v>8715</v>
      </c>
    </row>
    <row r="8737" customFormat="false" ht="15" hidden="false" customHeight="false" outlineLevel="0" collapsed="false">
      <c r="A8737" s="0" t="n">
        <f aca="false">PRICEDISC(DATE(2024,3,31),DATE(2025,3,31),0.1,105,4)</f>
        <v>94.5</v>
      </c>
      <c r="B8737" s="0" t="s">
        <v>8716</v>
      </c>
    </row>
    <row r="8738" customFormat="false" ht="15" hidden="false" customHeight="false" outlineLevel="0" collapsed="false">
      <c r="A8738" s="0" t="n">
        <f aca="false">YIELDDISC(DATE(2024,3,31),DATE(2025,3,31),95,100,4)</f>
        <v>0.0526315789473684</v>
      </c>
      <c r="B8738" s="0" t="s">
        <v>8717</v>
      </c>
    </row>
    <row r="8739" customFormat="false" ht="15" hidden="false" customHeight="false" outlineLevel="0" collapsed="false">
      <c r="A8739" s="0" t="n">
        <f aca="false">YIELDDISC(DATE(2024,3,31),DATE(2025,3,31),99.5,100.5,4)</f>
        <v>0.0100502512562815</v>
      </c>
      <c r="B8739" s="0" t="s">
        <v>8718</v>
      </c>
    </row>
    <row r="8740" customFormat="false" ht="15" hidden="false" customHeight="false" outlineLevel="0" collapsed="false">
      <c r="A8740" s="0" t="n">
        <f aca="false">RECEIVED(DATE(2024,3,31),DATE(2025,3,31),1000,0.05,4)</f>
        <v>1052.63157894737</v>
      </c>
      <c r="B8740" s="0" t="s">
        <v>8719</v>
      </c>
    </row>
    <row r="8741" customFormat="false" ht="15" hidden="false" customHeight="false" outlineLevel="0" collapsed="false">
      <c r="A8741" s="0" t="n">
        <f aca="false">RECEIVED(DATE(2024,3,31),DATE(2025,3,31),5000,0.12,4)</f>
        <v>5681.81818181818</v>
      </c>
      <c r="B8741" s="0" t="s">
        <v>8720</v>
      </c>
    </row>
    <row r="8742" customFormat="false" ht="15" hidden="false" customHeight="false" outlineLevel="0" collapsed="false">
      <c r="A8742" s="0" t="n">
        <f aca="false">INTRATE(DATE(2024,3,31),DATE(2025,3,31),1000,1050,4)</f>
        <v>0.05</v>
      </c>
      <c r="B8742" s="0" t="s">
        <v>8721</v>
      </c>
    </row>
    <row r="8743" customFormat="false" ht="15" hidden="false" customHeight="false" outlineLevel="0" collapsed="false">
      <c r="A8743" s="0" t="n">
        <f aca="false">INTRATE(DATE(2024,3,31),DATE(2025,3,31),950,1000,4)</f>
        <v>0.0526315789473684</v>
      </c>
      <c r="B8743" s="0" t="s">
        <v>8722</v>
      </c>
    </row>
    <row r="8744" customFormat="false" ht="15" hidden="false" customHeight="false" outlineLevel="0" collapsed="false">
      <c r="A8744" s="0" t="n">
        <f aca="false">PRICEMAT(DATE(2024,3,31),DATE(2025,3,31),DATE(2023,10,1),0.05,0.06,4)</f>
        <v>98.9158805031447</v>
      </c>
      <c r="B8744" s="0" t="s">
        <v>8723</v>
      </c>
    </row>
    <row r="8745" customFormat="false" ht="15" hidden="false" customHeight="false" outlineLevel="0" collapsed="false">
      <c r="A8745" s="0" t="n">
        <f aca="false">PRICEMAT(DATE(2024,3,31),DATE(2025,3,31),DATE(2024,1,1),0.1,0.03,4)</f>
        <v>106.724110032362</v>
      </c>
      <c r="B8745" s="0" t="s">
        <v>8724</v>
      </c>
    </row>
    <row r="8746" customFormat="false" ht="15" hidden="false" customHeight="false" outlineLevel="0" collapsed="false">
      <c r="A8746" s="0" t="n">
        <f aca="false">YIELDMAT(DATE(2024,3,31),DATE(2025,3,31),DATE(2023,10,1),0.05,98,4)</f>
        <v>0.0696613683483069</v>
      </c>
      <c r="B8746" s="0" t="s">
        <v>8725</v>
      </c>
    </row>
    <row r="8747" customFormat="false" ht="15" hidden="false" customHeight="false" outlineLevel="0" collapsed="false">
      <c r="A8747" s="0" t="n">
        <f aca="false">YIELDMAT(DATE(2024,3,31),DATE(2025,3,31),DATE(2024,1,1),0.1,101,4)</f>
        <v>0.0869798657718119</v>
      </c>
      <c r="B8747" s="0" t="s">
        <v>8726</v>
      </c>
    </row>
    <row r="8748" customFormat="false" ht="15" hidden="false" customHeight="false" outlineLevel="0" collapsed="false">
      <c r="A8748" s="0" t="n">
        <f aca="false">ACCRINTM(DATE(2023,10,1),DATE(2025,3,31),0.05,1000,4)</f>
        <v>75</v>
      </c>
      <c r="B8748" s="0" t="s">
        <v>8727</v>
      </c>
    </row>
    <row r="8749" customFormat="false" ht="15" hidden="false" customHeight="false" outlineLevel="0" collapsed="false">
      <c r="A8749" s="0" t="n">
        <f aca="false">ACCRINTM(DATE(2024,1,1),DATE(2024,3,31),0.08,5000,4)</f>
        <v>100</v>
      </c>
      <c r="B8749" s="0" t="s">
        <v>8728</v>
      </c>
    </row>
    <row r="8750" customFormat="false" ht="15" hidden="false" customHeight="false" outlineLevel="0" collapsed="false">
      <c r="A8750" s="0" t="n">
        <f aca="false">TBILLPRICE(DATE(2024,3,31),DATE(2025,3,31),0.05)</f>
        <v>94.9861111111111</v>
      </c>
      <c r="B8750" s="0" t="s">
        <v>8729</v>
      </c>
    </row>
    <row r="8751" customFormat="false" ht="15" hidden="false" customHeight="false" outlineLevel="0" collapsed="false">
      <c r="A8751" s="0" t="e">
        <f aca="false">TBILLYIELD(DATE(2024,3,31),DATE(2025,3,31),98)</f>
        <v>#VALUE!</v>
      </c>
      <c r="B8751" s="0" t="s">
        <v>8730</v>
      </c>
    </row>
    <row r="8752" customFormat="false" ht="15" hidden="false" customHeight="false" outlineLevel="0" collapsed="false">
      <c r="A8752" s="0" t="e">
        <f aca="false">TBILLEQ(DATE(2024,3,31),DATE(2025,3,31),0.05)</f>
        <v>#VALUE!</v>
      </c>
      <c r="B8752" s="0" t="s">
        <v>8731</v>
      </c>
    </row>
    <row r="8753" customFormat="false" ht="15" hidden="false" customHeight="false" outlineLevel="0" collapsed="false">
      <c r="A8753" s="0" t="e">
        <f aca="false">TBILLEQ(DATE(2024,3,31),DATE(2025,3,31),0.12)</f>
        <v>#VALUE!</v>
      </c>
      <c r="B8753" s="0" t="s">
        <v>8732</v>
      </c>
    </row>
    <row r="8754" customFormat="false" ht="15" hidden="false" customHeight="false" outlineLevel="0" collapsed="false">
      <c r="A8754" s="0" t="n">
        <f aca="false">DISC(DATE(2024,2,29),DATE(2026,8,31),95,100,0)</f>
        <v>0.0199778024417314</v>
      </c>
      <c r="B8754" s="0" t="s">
        <v>8733</v>
      </c>
    </row>
    <row r="8755" customFormat="false" ht="15" hidden="false" customHeight="false" outlineLevel="0" collapsed="false">
      <c r="A8755" s="0" t="n">
        <f aca="false">DISC(DATE(2024,2,29),DATE(2026,8,31),100,100,0)</f>
        <v>0</v>
      </c>
      <c r="B8755" s="0" t="s">
        <v>8734</v>
      </c>
    </row>
    <row r="8756" customFormat="false" ht="15" hidden="false" customHeight="false" outlineLevel="0" collapsed="false">
      <c r="A8756" s="0" t="n">
        <f aca="false">DISC(DATE(2024,2,29),DATE(2026,8,31),99.5,100.5,0)</f>
        <v>0.00397568207795648</v>
      </c>
      <c r="B8756" s="0" t="s">
        <v>8735</v>
      </c>
    </row>
    <row r="8757" customFormat="false" ht="15" hidden="false" customHeight="false" outlineLevel="0" collapsed="false">
      <c r="A8757" s="0" t="n">
        <f aca="false">PRICEDISC(DATE(2024,2,29),DATE(2026,8,31),0.05,100,0)</f>
        <v>87.4722222222222</v>
      </c>
      <c r="B8757" s="0" t="s">
        <v>8736</v>
      </c>
    </row>
    <row r="8758" customFormat="false" ht="15" hidden="false" customHeight="false" outlineLevel="0" collapsed="false">
      <c r="A8758" s="0" t="n">
        <f aca="false">PRICEDISC(DATE(2024,2,29),DATE(2026,8,31),0.1,105,0)</f>
        <v>78.6916666666667</v>
      </c>
      <c r="B8758" s="0" t="s">
        <v>8737</v>
      </c>
    </row>
    <row r="8759" customFormat="false" ht="15" hidden="false" customHeight="false" outlineLevel="0" collapsed="false">
      <c r="A8759" s="0" t="n">
        <f aca="false">YIELDDISC(DATE(2024,2,29),DATE(2026,8,31),95,100,0)</f>
        <v>0.0210292657281383</v>
      </c>
      <c r="B8759" s="0" t="s">
        <v>8738</v>
      </c>
    </row>
    <row r="8760" customFormat="false" ht="15" hidden="false" customHeight="false" outlineLevel="0" collapsed="false">
      <c r="A8760" s="0" t="n">
        <f aca="false">YIELDDISC(DATE(2024,2,29),DATE(2026,8,31),99.5,100.5,0)</f>
        <v>0.00401563868175507</v>
      </c>
      <c r="B8760" s="0" t="s">
        <v>8739</v>
      </c>
    </row>
    <row r="8761" customFormat="false" ht="15" hidden="false" customHeight="false" outlineLevel="0" collapsed="false">
      <c r="A8761" s="0" t="n">
        <f aca="false">RECEIVED(DATE(2024,2,29),DATE(2026,8,31),1000,0.05,0)</f>
        <v>1143.22006986345</v>
      </c>
      <c r="B8761" s="0" t="s">
        <v>8740</v>
      </c>
    </row>
    <row r="8762" customFormat="false" ht="15" hidden="false" customHeight="false" outlineLevel="0" collapsed="false">
      <c r="A8762" s="0" t="n">
        <f aca="false">RECEIVED(DATE(2024,2,29),DATE(2026,8,31),5000,0.12,0)</f>
        <v>7149.66634890372</v>
      </c>
      <c r="B8762" s="0" t="s">
        <v>8741</v>
      </c>
    </row>
    <row r="8763" customFormat="false" ht="15" hidden="false" customHeight="false" outlineLevel="0" collapsed="false">
      <c r="A8763" s="0" t="n">
        <f aca="false">INTRATE(DATE(2024,2,29),DATE(2026,8,31),1000,1050,0)</f>
        <v>0.0199556541019956</v>
      </c>
      <c r="B8763" s="0" t="s">
        <v>8742</v>
      </c>
    </row>
    <row r="8764" customFormat="false" ht="15" hidden="false" customHeight="false" outlineLevel="0" collapsed="false">
      <c r="A8764" s="0" t="n">
        <f aca="false">INTRATE(DATE(2024,2,29),DATE(2026,8,31),950,1000,0)</f>
        <v>0.0210059516863111</v>
      </c>
      <c r="B8764" s="0" t="s">
        <v>8743</v>
      </c>
    </row>
    <row r="8765" customFormat="false" ht="15" hidden="false" customHeight="false" outlineLevel="0" collapsed="false">
      <c r="A8765" s="0" t="n">
        <f aca="false">PRICEMAT(DATE(2024,2,29),DATE(2026,8,31),DATE(2023,10,1),0.05,0.06,0)</f>
        <v>97.5676874527041</v>
      </c>
      <c r="B8765" s="0" t="s">
        <v>8744</v>
      </c>
    </row>
    <row r="8766" customFormat="false" ht="15" hidden="false" customHeight="false" outlineLevel="0" collapsed="false">
      <c r="A8766" s="0" t="n">
        <f aca="false">PRICEMAT(DATE(2024,2,29),DATE(2026,8,31),DATE(2024,1,1),0.1,0.03,0)</f>
        <v>116.20921289478</v>
      </c>
      <c r="B8766" s="0" t="s">
        <v>8745</v>
      </c>
    </row>
    <row r="8767" customFormat="false" ht="15" hidden="false" customHeight="false" outlineLevel="0" collapsed="false">
      <c r="A8767" s="0" t="n">
        <f aca="false">YIELDMAT(DATE(2024,2,29),DATE(2026,8,31),DATE(2023,10,1),0.05,98,0)</f>
        <v>0.0580143846586647</v>
      </c>
      <c r="B8767" s="0" t="s">
        <v>8746</v>
      </c>
    </row>
    <row r="8768" customFormat="false" ht="15" hidden="false" customHeight="false" outlineLevel="0" collapsed="false">
      <c r="A8768" s="0" t="n">
        <f aca="false">YIELDMAT(DATE(2024,2,29),DATE(2026,8,31),DATE(2024,1,1),0.1,101,0)</f>
        <v>0.0936696097159685</v>
      </c>
      <c r="B8768" s="0" t="s">
        <v>8747</v>
      </c>
    </row>
    <row r="8769" customFormat="false" ht="15" hidden="false" customHeight="false" outlineLevel="0" collapsed="false">
      <c r="A8769" s="0" t="n">
        <f aca="false">ACCRINTM(DATE(2023,10,1),DATE(2026,8,31),0.05,1000,0)</f>
        <v>145.833333333333</v>
      </c>
      <c r="B8769" s="0" t="s">
        <v>8748</v>
      </c>
    </row>
    <row r="8770" customFormat="false" ht="15" hidden="false" customHeight="false" outlineLevel="0" collapsed="false">
      <c r="A8770" s="0" t="n">
        <f aca="false">ACCRINTM(DATE(2024,1,1),DATE(2024,2,29),0.08,5000,0)</f>
        <v>64.4444444444444</v>
      </c>
      <c r="B8770" s="0" t="s">
        <v>8749</v>
      </c>
    </row>
    <row r="8771" customFormat="false" ht="15" hidden="false" customHeight="false" outlineLevel="0" collapsed="false">
      <c r="A8771" s="0" t="n">
        <f aca="false">DISC(DATE(2024,2,29),DATE(2026,8,31),95,100,1)</f>
        <v>0.0199854121079504</v>
      </c>
      <c r="B8771" s="0" t="s">
        <v>8750</v>
      </c>
    </row>
    <row r="8772" customFormat="false" ht="15" hidden="false" customHeight="false" outlineLevel="0" collapsed="false">
      <c r="A8772" s="0" t="n">
        <f aca="false">DISC(DATE(2024,2,29),DATE(2026,8,31),100,100,1)</f>
        <v>0</v>
      </c>
      <c r="B8772" s="0" t="s">
        <v>8751</v>
      </c>
    </row>
    <row r="8773" customFormat="false" ht="15" hidden="false" customHeight="false" outlineLevel="0" collapsed="false">
      <c r="A8773" s="0" t="n">
        <f aca="false">DISC(DATE(2024,2,29),DATE(2026,8,31),99.5,100.5,1)</f>
        <v>0.0039771964393931</v>
      </c>
      <c r="B8773" s="0" t="s">
        <v>8752</v>
      </c>
    </row>
    <row r="8774" customFormat="false" ht="15" hidden="false" customHeight="false" outlineLevel="0" collapsed="false">
      <c r="A8774" s="0" t="n">
        <f aca="false">PRICEDISC(DATE(2024,2,29),DATE(2026,8,31),0.05,100,1)</f>
        <v>87.5136612021858</v>
      </c>
      <c r="B8774" s="0" t="s">
        <v>8753</v>
      </c>
    </row>
    <row r="8775" customFormat="false" ht="15" hidden="false" customHeight="false" outlineLevel="0" collapsed="false">
      <c r="A8775" s="0" t="n">
        <f aca="false">PRICEDISC(DATE(2024,2,29),DATE(2026,8,31),0.1,105,1)</f>
        <v>78.7786885245902</v>
      </c>
      <c r="B8775" s="0" t="s">
        <v>8754</v>
      </c>
    </row>
    <row r="8776" customFormat="false" ht="15" hidden="false" customHeight="false" outlineLevel="0" collapsed="false">
      <c r="A8776" s="0" t="n">
        <f aca="false">YIELDDISC(DATE(2024,2,29),DATE(2026,8,31),95,100,1)</f>
        <v>0.0210372759031057</v>
      </c>
      <c r="B8776" s="0" t="s">
        <v>8755</v>
      </c>
    </row>
    <row r="8777" customFormat="false" ht="15" hidden="false" customHeight="false" outlineLevel="0" collapsed="false">
      <c r="A8777" s="0" t="n">
        <f aca="false">YIELDDISC(DATE(2024,2,29),DATE(2026,8,31),99.5,100.5,1)</f>
        <v>0.00401716826290462</v>
      </c>
      <c r="B8777" s="0" t="s">
        <v>8756</v>
      </c>
    </row>
    <row r="8778" customFormat="false" ht="15" hidden="false" customHeight="false" outlineLevel="0" collapsed="false">
      <c r="A8778" s="0" t="n">
        <f aca="false">RECEIVED(DATE(2024,2,29),DATE(2026,8,31),1000,0.05,1)</f>
        <v>1142.67873868249</v>
      </c>
      <c r="B8778" s="0" t="s">
        <v>8757</v>
      </c>
    </row>
    <row r="8779" customFormat="false" ht="15" hidden="false" customHeight="false" outlineLevel="0" collapsed="false">
      <c r="A8779" s="0" t="n">
        <f aca="false">RECEIVED(DATE(2024,2,29),DATE(2026,8,31),5000,0.12,1)</f>
        <v>7139.51310861423</v>
      </c>
      <c r="B8779" s="0" t="s">
        <v>8758</v>
      </c>
    </row>
    <row r="8780" customFormat="false" ht="15" hidden="false" customHeight="false" outlineLevel="0" collapsed="false">
      <c r="A8780" s="0" t="n">
        <f aca="false">INTRATE(DATE(2024,2,29),DATE(2026,8,31),1000,1050,1)</f>
        <v>0.0200218818380744</v>
      </c>
      <c r="B8780" s="0" t="s">
        <v>8759</v>
      </c>
    </row>
    <row r="8781" customFormat="false" ht="15" hidden="false" customHeight="false" outlineLevel="0" collapsed="false">
      <c r="A8781" s="0" t="n">
        <f aca="false">INTRATE(DATE(2024,2,29),DATE(2026,8,31),950,1000,1)</f>
        <v>0.0210756650927099</v>
      </c>
      <c r="B8781" s="0" t="s">
        <v>8760</v>
      </c>
    </row>
    <row r="8782" customFormat="false" ht="15" hidden="false" customHeight="false" outlineLevel="0" collapsed="false">
      <c r="A8782" s="0" t="n">
        <f aca="false">PRICEMAT(DATE(2024,2,29),DATE(2026,8,31),DATE(2023,10,1),0.05,0.06,1)</f>
        <v>97.5616346891726</v>
      </c>
      <c r="B8782" s="0" t="s">
        <v>8761</v>
      </c>
    </row>
    <row r="8783" customFormat="false" ht="15" hidden="false" customHeight="false" outlineLevel="0" collapsed="false">
      <c r="A8783" s="0" t="n">
        <f aca="false">PRICEMAT(DATE(2024,2,29),DATE(2026,8,31),DATE(2024,1,1),0.1,0.03,1)</f>
        <v>116.1803159962</v>
      </c>
      <c r="B8783" s="0" t="s">
        <v>8762</v>
      </c>
    </row>
    <row r="8784" customFormat="false" ht="15" hidden="false" customHeight="false" outlineLevel="0" collapsed="false">
      <c r="A8784" s="0" t="n">
        <f aca="false">YIELDMAT(DATE(2024,2,29),DATE(2026,8,31),DATE(2023,10,1),0.05,98,1)</f>
        <v>0.0579860641234797</v>
      </c>
      <c r="B8784" s="0" t="s">
        <v>8763</v>
      </c>
    </row>
    <row r="8785" customFormat="false" ht="15" hidden="false" customHeight="false" outlineLevel="0" collapsed="false">
      <c r="A8785" s="0" t="n">
        <f aca="false">YIELDMAT(DATE(2024,2,29),DATE(2026,8,31),DATE(2024,1,1),0.1,101,1)</f>
        <v>0.0935705912819593</v>
      </c>
      <c r="B8785" s="0" t="s">
        <v>8764</v>
      </c>
    </row>
    <row r="8786" customFormat="false" ht="15" hidden="false" customHeight="false" outlineLevel="0" collapsed="false">
      <c r="A8786" s="0" t="n">
        <f aca="false">ACCRINTM(DATE(2023,10,1),DATE(2026,8,31),0.05,1000,1)</f>
        <v>145.890410958904</v>
      </c>
      <c r="B8786" s="0" t="s">
        <v>8765</v>
      </c>
    </row>
    <row r="8787" customFormat="false" ht="15" hidden="false" customHeight="false" outlineLevel="0" collapsed="false">
      <c r="A8787" s="0" t="n">
        <f aca="false">ACCRINTM(DATE(2024,1,1),DATE(2024,2,29),0.08,5000,1)</f>
        <v>64.4808743169399</v>
      </c>
      <c r="B8787" s="0" t="s">
        <v>8766</v>
      </c>
    </row>
    <row r="8788" customFormat="false" ht="15" hidden="false" customHeight="false" outlineLevel="0" collapsed="false">
      <c r="A8788" s="0" t="n">
        <f aca="false">DISC(DATE(2024,2,29),DATE(2026,8,31),95,100,2)</f>
        <v>0.0196936542669584</v>
      </c>
      <c r="B8788" s="0" t="s">
        <v>8767</v>
      </c>
    </row>
    <row r="8789" customFormat="false" ht="15" hidden="false" customHeight="false" outlineLevel="0" collapsed="false">
      <c r="A8789" s="0" t="n">
        <f aca="false">DISC(DATE(2024,2,29),DATE(2026,8,31),100,100,2)</f>
        <v>0</v>
      </c>
      <c r="B8789" s="0" t="s">
        <v>8768</v>
      </c>
    </row>
    <row r="8790" customFormat="false" ht="15" hidden="false" customHeight="false" outlineLevel="0" collapsed="false">
      <c r="A8790" s="0" t="n">
        <f aca="false">DISC(DATE(2024,2,29),DATE(2026,8,31),99.5,100.5,2)</f>
        <v>0.00391913517750415</v>
      </c>
      <c r="B8790" s="0" t="s">
        <v>8769</v>
      </c>
    </row>
    <row r="8791" customFormat="false" ht="15" hidden="false" customHeight="false" outlineLevel="0" collapsed="false">
      <c r="A8791" s="0" t="n">
        <f aca="false">PRICEDISC(DATE(2024,2,29),DATE(2026,8,31),0.05,100,2)</f>
        <v>87.3055555555556</v>
      </c>
      <c r="B8791" s="0" t="s">
        <v>8770</v>
      </c>
    </row>
    <row r="8792" customFormat="false" ht="15" hidden="false" customHeight="false" outlineLevel="0" collapsed="false">
      <c r="A8792" s="0" t="n">
        <f aca="false">PRICEDISC(DATE(2024,2,29),DATE(2026,8,31),0.1,105,2)</f>
        <v>78.3416666666667</v>
      </c>
      <c r="B8792" s="0" t="s">
        <v>8771</v>
      </c>
    </row>
    <row r="8793" customFormat="false" ht="15" hidden="false" customHeight="false" outlineLevel="0" collapsed="false">
      <c r="A8793" s="0" t="n">
        <f aca="false">YIELDDISC(DATE(2024,2,29),DATE(2026,8,31),95,100,2)</f>
        <v>0.020730162386272</v>
      </c>
      <c r="B8793" s="0" t="s">
        <v>8772</v>
      </c>
    </row>
    <row r="8794" customFormat="false" ht="15" hidden="false" customHeight="false" outlineLevel="0" collapsed="false">
      <c r="A8794" s="0" t="n">
        <f aca="false">YIELDDISC(DATE(2024,2,29),DATE(2026,8,31),99.5,100.5,2)</f>
        <v>0.00395852347074543</v>
      </c>
      <c r="B8794" s="0" t="s">
        <v>8773</v>
      </c>
    </row>
    <row r="8795" customFormat="false" ht="15" hidden="false" customHeight="false" outlineLevel="0" collapsed="false">
      <c r="A8795" s="0" t="n">
        <f aca="false">RECEIVED(DATE(2024,2,29),DATE(2026,8,31),1000,0.05,2)</f>
        <v>1145.40248170538</v>
      </c>
      <c r="B8795" s="0" t="s">
        <v>8774</v>
      </c>
    </row>
    <row r="8796" customFormat="false" ht="15" hidden="false" customHeight="false" outlineLevel="0" collapsed="false">
      <c r="A8796" s="0" t="n">
        <f aca="false">RECEIVED(DATE(2024,2,29),DATE(2026,8,31),5000,0.12,2)</f>
        <v>7190.79578139981</v>
      </c>
      <c r="B8796" s="0" t="s">
        <v>8775</v>
      </c>
    </row>
    <row r="8797" customFormat="false" ht="15" hidden="false" customHeight="false" outlineLevel="0" collapsed="false">
      <c r="A8797" s="0" t="n">
        <f aca="false">INTRATE(DATE(2024,2,29),DATE(2026,8,31),1000,1050,2)</f>
        <v>0.0196936542669584</v>
      </c>
      <c r="B8797" s="0" t="s">
        <v>8776</v>
      </c>
    </row>
    <row r="8798" customFormat="false" ht="15" hidden="false" customHeight="false" outlineLevel="0" collapsed="false">
      <c r="A8798" s="0" t="n">
        <f aca="false">INTRATE(DATE(2024,2,29),DATE(2026,8,31),950,1000,2)</f>
        <v>0.020730162386272</v>
      </c>
      <c r="B8798" s="0" t="s">
        <v>8777</v>
      </c>
    </row>
    <row r="8799" customFormat="false" ht="15" hidden="false" customHeight="false" outlineLevel="0" collapsed="false">
      <c r="A8799" s="0" t="n">
        <f aca="false">PRICEMAT(DATE(2024,2,29),DATE(2026,8,31),DATE(2023,10,1),0.05,0.06,2)</f>
        <v>97.5194974769389</v>
      </c>
      <c r="B8799" s="0" t="s">
        <v>8778</v>
      </c>
    </row>
    <row r="8800" customFormat="false" ht="15" hidden="false" customHeight="false" outlineLevel="0" collapsed="false">
      <c r="A8800" s="0" t="n">
        <f aca="false">PRICEMAT(DATE(2024,2,29),DATE(2026,8,31),DATE(2024,1,1),0.1,0.03,2)</f>
        <v>116.398383322148</v>
      </c>
      <c r="B8800" s="0" t="s">
        <v>8779</v>
      </c>
    </row>
    <row r="8801" customFormat="false" ht="15" hidden="false" customHeight="false" outlineLevel="0" collapsed="false">
      <c r="A8801" s="0" t="n">
        <f aca="false">YIELDMAT(DATE(2024,2,29),DATE(2026,8,31),DATE(2023,10,1),0.05,98,2)</f>
        <v>0.0578212466059165</v>
      </c>
      <c r="B8801" s="0" t="s">
        <v>8780</v>
      </c>
    </row>
    <row r="8802" customFormat="false" ht="15" hidden="false" customHeight="false" outlineLevel="0" collapsed="false">
      <c r="A8802" s="0" t="n">
        <f aca="false">YIELDMAT(DATE(2024,2,29),DATE(2026,8,31),DATE(2024,1,1),0.1,101,2)</f>
        <v>0.0935914936205115</v>
      </c>
      <c r="B8802" s="0" t="s">
        <v>8781</v>
      </c>
    </row>
    <row r="8803" customFormat="false" ht="15" hidden="false" customHeight="false" outlineLevel="0" collapsed="false">
      <c r="A8803" s="0" t="n">
        <f aca="false">ACCRINTM(DATE(2023,10,1),DATE(2026,8,31),0.05,1000,2)</f>
        <v>147.916666666667</v>
      </c>
      <c r="B8803" s="0" t="s">
        <v>8782</v>
      </c>
    </row>
    <row r="8804" customFormat="false" ht="15" hidden="false" customHeight="false" outlineLevel="0" collapsed="false">
      <c r="A8804" s="0" t="n">
        <f aca="false">ACCRINTM(DATE(2024,1,1),DATE(2024,2,29),0.08,5000,2)</f>
        <v>65.5555555555556</v>
      </c>
      <c r="B8804" s="0" t="s">
        <v>8783</v>
      </c>
    </row>
    <row r="8805" customFormat="false" ht="15" hidden="false" customHeight="false" outlineLevel="0" collapsed="false">
      <c r="A8805" s="0" t="n">
        <f aca="false">DISC(DATE(2024,2,29),DATE(2026,8,31),95,100,3)</f>
        <v>0.0199671772428884</v>
      </c>
      <c r="B8805" s="0" t="s">
        <v>8784</v>
      </c>
    </row>
    <row r="8806" customFormat="false" ht="15" hidden="false" customHeight="false" outlineLevel="0" collapsed="false">
      <c r="A8806" s="0" t="n">
        <f aca="false">DISC(DATE(2024,2,29),DATE(2026,8,31),100,100,3)</f>
        <v>0</v>
      </c>
      <c r="B8806" s="0" t="s">
        <v>8785</v>
      </c>
    </row>
    <row r="8807" customFormat="false" ht="15" hidden="false" customHeight="false" outlineLevel="0" collapsed="false">
      <c r="A8807" s="0" t="n">
        <f aca="false">DISC(DATE(2024,2,29),DATE(2026,8,31),99.5,100.5,3)</f>
        <v>0.00397356761052504</v>
      </c>
      <c r="B8807" s="0" t="s">
        <v>8786</v>
      </c>
    </row>
    <row r="8808" customFormat="false" ht="15" hidden="false" customHeight="false" outlineLevel="0" collapsed="false">
      <c r="A8808" s="0" t="n">
        <f aca="false">PRICEDISC(DATE(2024,2,29),DATE(2026,8,31),0.05,100,3)</f>
        <v>87.4794520547945</v>
      </c>
      <c r="B8808" s="0" t="s">
        <v>8787</v>
      </c>
    </row>
    <row r="8809" customFormat="false" ht="15" hidden="false" customHeight="false" outlineLevel="0" collapsed="false">
      <c r="A8809" s="0" t="n">
        <f aca="false">PRICEDISC(DATE(2024,2,29),DATE(2026,8,31),0.1,105,3)</f>
        <v>78.7068493150685</v>
      </c>
      <c r="B8809" s="0" t="s">
        <v>8788</v>
      </c>
    </row>
    <row r="8810" customFormat="false" ht="15" hidden="false" customHeight="false" outlineLevel="0" collapsed="false">
      <c r="A8810" s="0" t="n">
        <f aca="false">YIELDDISC(DATE(2024,2,29),DATE(2026,8,31),95,100,3)</f>
        <v>0.0210180813083036</v>
      </c>
      <c r="B8810" s="0" t="s">
        <v>8789</v>
      </c>
    </row>
    <row r="8811" customFormat="false" ht="15" hidden="false" customHeight="false" outlineLevel="0" collapsed="false">
      <c r="A8811" s="0" t="n">
        <f aca="false">YIELDDISC(DATE(2024,2,29),DATE(2026,8,31),99.5,100.5,3)</f>
        <v>0.00401350296339467</v>
      </c>
      <c r="B8811" s="0" t="s">
        <v>8790</v>
      </c>
    </row>
    <row r="8812" customFormat="false" ht="15" hidden="false" customHeight="false" outlineLevel="0" collapsed="false">
      <c r="A8812" s="0" t="n">
        <f aca="false">RECEIVED(DATE(2024,2,29),DATE(2026,8,31),1000,0.05,3)</f>
        <v>1143.12558722205</v>
      </c>
      <c r="B8812" s="0" t="s">
        <v>8791</v>
      </c>
    </row>
    <row r="8813" customFormat="false" ht="15" hidden="false" customHeight="false" outlineLevel="0" collapsed="false">
      <c r="A8813" s="0" t="n">
        <f aca="false">RECEIVED(DATE(2024,2,29),DATE(2026,8,31),5000,0.12,3)</f>
        <v>7147.8928403572</v>
      </c>
      <c r="B8813" s="0" t="s">
        <v>8792</v>
      </c>
    </row>
    <row r="8814" customFormat="false" ht="15" hidden="false" customHeight="false" outlineLevel="0" collapsed="false">
      <c r="A8814" s="0" t="n">
        <f aca="false">INTRATE(DATE(2024,2,29),DATE(2026,8,31),1000,1050,3)</f>
        <v>0.0199671772428884</v>
      </c>
      <c r="B8814" s="0" t="s">
        <v>8793</v>
      </c>
    </row>
    <row r="8815" customFormat="false" ht="15" hidden="false" customHeight="false" outlineLevel="0" collapsed="false">
      <c r="A8815" s="0" t="n">
        <f aca="false">INTRATE(DATE(2024,2,29),DATE(2026,8,31),950,1000,3)</f>
        <v>0.0210180813083036</v>
      </c>
      <c r="B8815" s="0" t="s">
        <v>8794</v>
      </c>
    </row>
    <row r="8816" customFormat="false" ht="15" hidden="false" customHeight="false" outlineLevel="0" collapsed="false">
      <c r="A8816" s="0" t="n">
        <f aca="false">PRICEMAT(DATE(2024,2,29),DATE(2026,8,31),DATE(2023,10,1),0.05,0.06,3)</f>
        <v>97.5527911480956</v>
      </c>
      <c r="B8816" s="0" t="s">
        <v>8795</v>
      </c>
    </row>
    <row r="8817" customFormat="false" ht="15" hidden="false" customHeight="false" outlineLevel="0" collapsed="false">
      <c r="A8817" s="0" t="n">
        <f aca="false">PRICEMAT(DATE(2024,2,29),DATE(2026,8,31),DATE(2024,1,1),0.1,0.03,3)</f>
        <v>116.19101284408</v>
      </c>
      <c r="B8817" s="0" t="s">
        <v>8796</v>
      </c>
    </row>
    <row r="8818" customFormat="false" ht="15" hidden="false" customHeight="false" outlineLevel="0" collapsed="false">
      <c r="A8818" s="0" t="n">
        <f aca="false">YIELDMAT(DATE(2024,2,29),DATE(2026,8,31),DATE(2023,10,1),0.05,98,3)</f>
        <v>0.0579471810471231</v>
      </c>
      <c r="B8818" s="0" t="s">
        <v>8797</v>
      </c>
    </row>
    <row r="8819" customFormat="false" ht="15" hidden="false" customHeight="false" outlineLevel="0" collapsed="false">
      <c r="A8819" s="0" t="n">
        <f aca="false">YIELDMAT(DATE(2024,2,29),DATE(2026,8,31),DATE(2024,1,1),0.1,101,3)</f>
        <v>0.0935586598885841</v>
      </c>
      <c r="B8819" s="0" t="s">
        <v>8798</v>
      </c>
    </row>
    <row r="8820" customFormat="false" ht="15" hidden="false" customHeight="false" outlineLevel="0" collapsed="false">
      <c r="A8820" s="0" t="n">
        <f aca="false">ACCRINTM(DATE(2023,10,1),DATE(2026,8,31),0.05,1000,3)</f>
        <v>145.890410958904</v>
      </c>
      <c r="B8820" s="0" t="s">
        <v>8799</v>
      </c>
    </row>
    <row r="8821" customFormat="false" ht="15" hidden="false" customHeight="false" outlineLevel="0" collapsed="false">
      <c r="A8821" s="0" t="n">
        <f aca="false">ACCRINTM(DATE(2024,1,1),DATE(2024,2,29),0.08,5000,3)</f>
        <v>64.6575342465753</v>
      </c>
      <c r="B8821" s="0" t="s">
        <v>8800</v>
      </c>
    </row>
    <row r="8822" customFormat="false" ht="15" hidden="false" customHeight="false" outlineLevel="0" collapsed="false">
      <c r="A8822" s="0" t="n">
        <f aca="false">DISC(DATE(2024,2,29),DATE(2026,8,31),95,100,4)</f>
        <v>0.0199778024417314</v>
      </c>
      <c r="B8822" s="0" t="s">
        <v>8801</v>
      </c>
    </row>
    <row r="8823" customFormat="false" ht="15" hidden="false" customHeight="false" outlineLevel="0" collapsed="false">
      <c r="A8823" s="0" t="n">
        <f aca="false">DISC(DATE(2024,2,29),DATE(2026,8,31),100,100,4)</f>
        <v>0</v>
      </c>
      <c r="B8823" s="0" t="s">
        <v>8802</v>
      </c>
    </row>
    <row r="8824" customFormat="false" ht="15" hidden="false" customHeight="false" outlineLevel="0" collapsed="false">
      <c r="A8824" s="0" t="n">
        <f aca="false">DISC(DATE(2024,2,29),DATE(2026,8,31),99.5,100.5,4)</f>
        <v>0.00397568207795648</v>
      </c>
      <c r="B8824" s="0" t="s">
        <v>8803</v>
      </c>
    </row>
    <row r="8825" customFormat="false" ht="15" hidden="false" customHeight="false" outlineLevel="0" collapsed="false">
      <c r="A8825" s="0" t="n">
        <f aca="false">PRICEDISC(DATE(2024,2,29),DATE(2026,8,31),0.05,100,4)</f>
        <v>87.4722222222222</v>
      </c>
      <c r="B8825" s="0" t="s">
        <v>8804</v>
      </c>
    </row>
    <row r="8826" customFormat="false" ht="15" hidden="false" customHeight="false" outlineLevel="0" collapsed="false">
      <c r="A8826" s="0" t="n">
        <f aca="false">PRICEDISC(DATE(2024,2,29),DATE(2026,8,31),0.1,105,4)</f>
        <v>78.6916666666667</v>
      </c>
      <c r="B8826" s="0" t="s">
        <v>8805</v>
      </c>
    </row>
    <row r="8827" customFormat="false" ht="15" hidden="false" customHeight="false" outlineLevel="0" collapsed="false">
      <c r="A8827" s="0" t="n">
        <f aca="false">YIELDDISC(DATE(2024,2,29),DATE(2026,8,31),95,100,4)</f>
        <v>0.0210292657281383</v>
      </c>
      <c r="B8827" s="0" t="s">
        <v>8806</v>
      </c>
    </row>
    <row r="8828" customFormat="false" ht="15" hidden="false" customHeight="false" outlineLevel="0" collapsed="false">
      <c r="A8828" s="0" t="n">
        <f aca="false">YIELDDISC(DATE(2024,2,29),DATE(2026,8,31),99.5,100.5,4)</f>
        <v>0.00401563868175507</v>
      </c>
      <c r="B8828" s="0" t="s">
        <v>8807</v>
      </c>
    </row>
    <row r="8829" customFormat="false" ht="15" hidden="false" customHeight="false" outlineLevel="0" collapsed="false">
      <c r="A8829" s="0" t="n">
        <f aca="false">RECEIVED(DATE(2024,2,29),DATE(2026,8,31),1000,0.05,4)</f>
        <v>1143.22006986345</v>
      </c>
      <c r="B8829" s="0" t="s">
        <v>8808</v>
      </c>
    </row>
    <row r="8830" customFormat="false" ht="15" hidden="false" customHeight="false" outlineLevel="0" collapsed="false">
      <c r="A8830" s="0" t="n">
        <f aca="false">RECEIVED(DATE(2024,2,29),DATE(2026,8,31),5000,0.12,4)</f>
        <v>7149.66634890372</v>
      </c>
      <c r="B8830" s="0" t="s">
        <v>8809</v>
      </c>
    </row>
    <row r="8831" customFormat="false" ht="15" hidden="false" customHeight="false" outlineLevel="0" collapsed="false">
      <c r="A8831" s="0" t="n">
        <f aca="false">INTRATE(DATE(2024,2,29),DATE(2026,8,31),1000,1050,4)</f>
        <v>0.0199556541019956</v>
      </c>
      <c r="B8831" s="0" t="s">
        <v>8810</v>
      </c>
    </row>
    <row r="8832" customFormat="false" ht="15" hidden="false" customHeight="false" outlineLevel="0" collapsed="false">
      <c r="A8832" s="0" t="n">
        <f aca="false">INTRATE(DATE(2024,2,29),DATE(2026,8,31),950,1000,4)</f>
        <v>0.0210059516863111</v>
      </c>
      <c r="B8832" s="0" t="s">
        <v>8811</v>
      </c>
    </row>
    <row r="8833" customFormat="false" ht="15" hidden="false" customHeight="false" outlineLevel="0" collapsed="false">
      <c r="A8833" s="0" t="n">
        <f aca="false">PRICEMAT(DATE(2024,2,29),DATE(2026,8,31),DATE(2023,10,1),0.05,0.06,4)</f>
        <v>97.555611908097</v>
      </c>
      <c r="B8833" s="0" t="s">
        <v>8812</v>
      </c>
    </row>
    <row r="8834" customFormat="false" ht="15" hidden="false" customHeight="false" outlineLevel="0" collapsed="false">
      <c r="A8834" s="0" t="n">
        <f aca="false">PRICEMAT(DATE(2024,2,29),DATE(2026,8,31),DATE(2024,1,1),0.1,0.03,4)</f>
        <v>116.183375104428</v>
      </c>
      <c r="B8834" s="0" t="s">
        <v>8813</v>
      </c>
    </row>
    <row r="8835" customFormat="false" ht="15" hidden="false" customHeight="false" outlineLevel="0" collapsed="false">
      <c r="A8835" s="0" t="n">
        <f aca="false">YIELDMAT(DATE(2024,2,29),DATE(2026,8,31),DATE(2023,10,1),0.05,98,4)</f>
        <v>0.0579589215758171</v>
      </c>
      <c r="B8835" s="0" t="s">
        <v>8814</v>
      </c>
    </row>
    <row r="8836" customFormat="false" ht="15" hidden="false" customHeight="false" outlineLevel="0" collapsed="false">
      <c r="A8836" s="0" t="n">
        <f aca="false">YIELDMAT(DATE(2024,2,29),DATE(2026,8,31),DATE(2024,1,1),0.1,101,4)</f>
        <v>0.0935614461943566</v>
      </c>
      <c r="B8836" s="0" t="s">
        <v>8815</v>
      </c>
    </row>
    <row r="8837" customFormat="false" ht="15" hidden="false" customHeight="false" outlineLevel="0" collapsed="false">
      <c r="A8837" s="0" t="n">
        <f aca="false">ACCRINTM(DATE(2023,10,1),DATE(2026,8,31),0.05,1000,4)</f>
        <v>145.833333333333</v>
      </c>
      <c r="B8837" s="0" t="s">
        <v>8816</v>
      </c>
    </row>
    <row r="8838" customFormat="false" ht="15" hidden="false" customHeight="false" outlineLevel="0" collapsed="false">
      <c r="A8838" s="0" t="n">
        <f aca="false">ACCRINTM(DATE(2024,1,1),DATE(2024,2,29),0.08,5000,4)</f>
        <v>64.4444444444444</v>
      </c>
      <c r="B8838" s="0" t="s">
        <v>8817</v>
      </c>
    </row>
    <row r="8839" customFormat="false" ht="15" hidden="false" customHeight="false" outlineLevel="0" collapsed="false">
      <c r="A8839" s="0" t="n">
        <f aca="false">TBILLPRICE(DATE(2024,2,29),DATE(2026,8,31),0.05)</f>
        <v>87.4861111111111</v>
      </c>
      <c r="B8839" s="0" t="s">
        <v>8818</v>
      </c>
    </row>
    <row r="8840" customFormat="false" ht="15" hidden="false" customHeight="false" outlineLevel="0" collapsed="false">
      <c r="A8840" s="0" t="e">
        <f aca="false">TBILLYIELD(DATE(2024,2,29),DATE(2026,8,31),98)</f>
        <v>#VALUE!</v>
      </c>
      <c r="B8840" s="0" t="s">
        <v>8819</v>
      </c>
    </row>
    <row r="8841" customFormat="false" ht="15" hidden="false" customHeight="false" outlineLevel="0" collapsed="false">
      <c r="A8841" s="0" t="e">
        <f aca="false">TBILLEQ(DATE(2024,2,29),DATE(2026,8,31),0.05)</f>
        <v>#VALUE!</v>
      </c>
      <c r="B8841" s="0" t="s">
        <v>8820</v>
      </c>
    </row>
    <row r="8842" customFormat="false" ht="15" hidden="false" customHeight="false" outlineLevel="0" collapsed="false">
      <c r="A8842" s="0" t="e">
        <f aca="false">TBILLEQ(DATE(2024,2,29),DATE(2026,8,31),0.12)</f>
        <v>#VALUE!</v>
      </c>
      <c r="B8842" s="0" t="s">
        <v>8821</v>
      </c>
    </row>
    <row r="8843" customFormat="false" ht="15" hidden="false" customHeight="false" outlineLevel="0" collapsed="false">
      <c r="A8843" s="0" t="n">
        <f aca="false">DISC(DATE(2024,5,15),DATE(2024,11,15),95,100,0)</f>
        <v>0.1</v>
      </c>
      <c r="B8843" s="0" t="s">
        <v>8822</v>
      </c>
    </row>
    <row r="8844" customFormat="false" ht="15" hidden="false" customHeight="false" outlineLevel="0" collapsed="false">
      <c r="A8844" s="0" t="n">
        <f aca="false">DISC(DATE(2024,5,15),DATE(2024,11,15),100,100,0)</f>
        <v>0</v>
      </c>
      <c r="B8844" s="0" t="s">
        <v>8823</v>
      </c>
    </row>
    <row r="8845" customFormat="false" ht="15" hidden="false" customHeight="false" outlineLevel="0" collapsed="false">
      <c r="A8845" s="0" t="n">
        <f aca="false">DISC(DATE(2024,5,15),DATE(2024,11,15),99.5,100.5,0)</f>
        <v>0.0199004975124377</v>
      </c>
      <c r="B8845" s="0" t="s">
        <v>8824</v>
      </c>
    </row>
    <row r="8846" customFormat="false" ht="15" hidden="false" customHeight="false" outlineLevel="0" collapsed="false">
      <c r="A8846" s="0" t="n">
        <f aca="false">PRICEDISC(DATE(2024,5,15),DATE(2024,11,15),0.05,100,0)</f>
        <v>97.5</v>
      </c>
      <c r="B8846" s="0" t="s">
        <v>8825</v>
      </c>
    </row>
    <row r="8847" customFormat="false" ht="15" hidden="false" customHeight="false" outlineLevel="0" collapsed="false">
      <c r="A8847" s="0" t="n">
        <f aca="false">PRICEDISC(DATE(2024,5,15),DATE(2024,11,15),0.1,105,0)</f>
        <v>99.75</v>
      </c>
      <c r="B8847" s="0" t="s">
        <v>8826</v>
      </c>
    </row>
    <row r="8848" customFormat="false" ht="15" hidden="false" customHeight="false" outlineLevel="0" collapsed="false">
      <c r="A8848" s="0" t="n">
        <f aca="false">YIELDDISC(DATE(2024,5,15),DATE(2024,11,15),95,100,0)</f>
        <v>0.105263157894737</v>
      </c>
      <c r="B8848" s="0" t="s">
        <v>8827</v>
      </c>
    </row>
    <row r="8849" customFormat="false" ht="15" hidden="false" customHeight="false" outlineLevel="0" collapsed="false">
      <c r="A8849" s="0" t="n">
        <f aca="false">YIELDDISC(DATE(2024,5,15),DATE(2024,11,15),99.5,100.5,0)</f>
        <v>0.0201005025125629</v>
      </c>
      <c r="B8849" s="0" t="s">
        <v>8828</v>
      </c>
    </row>
    <row r="8850" customFormat="false" ht="15" hidden="false" customHeight="false" outlineLevel="0" collapsed="false">
      <c r="A8850" s="0" t="n">
        <f aca="false">RECEIVED(DATE(2024,5,15),DATE(2024,11,15),1000,0.05,0)</f>
        <v>1025.64102564103</v>
      </c>
      <c r="B8850" s="0" t="s">
        <v>8829</v>
      </c>
    </row>
    <row r="8851" customFormat="false" ht="15" hidden="false" customHeight="false" outlineLevel="0" collapsed="false">
      <c r="A8851" s="0" t="n">
        <f aca="false">RECEIVED(DATE(2024,5,15),DATE(2024,11,15),5000,0.12,0)</f>
        <v>5319.14893617021</v>
      </c>
      <c r="B8851" s="0" t="s">
        <v>8830</v>
      </c>
    </row>
    <row r="8852" customFormat="false" ht="15" hidden="false" customHeight="false" outlineLevel="0" collapsed="false">
      <c r="A8852" s="0" t="n">
        <f aca="false">INTRATE(DATE(2024,5,15),DATE(2024,11,15),1000,1050,0)</f>
        <v>0.1</v>
      </c>
      <c r="B8852" s="0" t="s">
        <v>8831</v>
      </c>
    </row>
    <row r="8853" customFormat="false" ht="15" hidden="false" customHeight="false" outlineLevel="0" collapsed="false">
      <c r="A8853" s="0" t="n">
        <f aca="false">INTRATE(DATE(2024,5,15),DATE(2024,11,15),950,1000,0)</f>
        <v>0.105263157894737</v>
      </c>
      <c r="B8853" s="0" t="s">
        <v>8832</v>
      </c>
    </row>
    <row r="8854" customFormat="false" ht="15" hidden="false" customHeight="false" outlineLevel="0" collapsed="false">
      <c r="A8854" s="0" t="n">
        <f aca="false">PRICEMAT(DATE(2024,5,15),DATE(2024,11,15),DATE(2023,10,1),0.05,0.06,0)</f>
        <v>99.4239482200647</v>
      </c>
      <c r="B8854" s="0" t="s">
        <v>8833</v>
      </c>
    </row>
    <row r="8855" customFormat="false" ht="15" hidden="false" customHeight="false" outlineLevel="0" collapsed="false">
      <c r="A8855" s="0" t="n">
        <f aca="false">PRICEMAT(DATE(2024,5,15),DATE(2024,11,15),DATE(2024,1,1),0.1,0.03,0)</f>
        <v>103.393267651888</v>
      </c>
      <c r="B8855" s="0" t="s">
        <v>8834</v>
      </c>
    </row>
    <row r="8856" customFormat="false" ht="15" hidden="false" customHeight="false" outlineLevel="0" collapsed="false">
      <c r="A8856" s="0" t="n">
        <f aca="false">YIELDMAT(DATE(2024,5,15),DATE(2024,11,15),DATE(2023,10,1),0.05,98,0)</f>
        <v>0.0890109890109887</v>
      </c>
      <c r="B8856" s="0" t="s">
        <v>8835</v>
      </c>
    </row>
    <row r="8857" customFormat="false" ht="15" hidden="false" customHeight="false" outlineLevel="0" collapsed="false">
      <c r="A8857" s="0" t="n">
        <f aca="false">YIELDMAT(DATE(2024,5,15),DATE(2024,11,15),DATE(2024,1,1),0.1,101,0)</f>
        <v>0.0763925729442971</v>
      </c>
      <c r="B8857" s="0" t="s">
        <v>8836</v>
      </c>
    </row>
    <row r="8858" customFormat="false" ht="15" hidden="false" customHeight="false" outlineLevel="0" collapsed="false">
      <c r="A8858" s="0" t="n">
        <f aca="false">ACCRINTM(DATE(2023,10,1),DATE(2024,11,15),0.05,1000,0)</f>
        <v>56.1111111111111</v>
      </c>
      <c r="B8858" s="0" t="s">
        <v>8837</v>
      </c>
    </row>
    <row r="8859" customFormat="false" ht="15" hidden="false" customHeight="false" outlineLevel="0" collapsed="false">
      <c r="A8859" s="0" t="n">
        <f aca="false">ACCRINTM(DATE(2024,1,1),DATE(2024,5,15),0.08,5000,0)</f>
        <v>148.888888888889</v>
      </c>
      <c r="B8859" s="0" t="s">
        <v>8838</v>
      </c>
    </row>
    <row r="8860" customFormat="false" ht="15" hidden="false" customHeight="false" outlineLevel="0" collapsed="false">
      <c r="A8860" s="0" t="n">
        <f aca="false">DISC(DATE(2024,5,15),DATE(2024,11,15),95,100,1)</f>
        <v>0.0994565217391305</v>
      </c>
      <c r="B8860" s="0" t="s">
        <v>8839</v>
      </c>
    </row>
    <row r="8861" customFormat="false" ht="15" hidden="false" customHeight="false" outlineLevel="0" collapsed="false">
      <c r="A8861" s="0" t="n">
        <f aca="false">DISC(DATE(2024,5,15),DATE(2024,11,15),100,100,1)</f>
        <v>0</v>
      </c>
      <c r="B8861" s="0" t="s">
        <v>8840</v>
      </c>
    </row>
    <row r="8862" customFormat="false" ht="15" hidden="false" customHeight="false" outlineLevel="0" collapsed="false">
      <c r="A8862" s="0" t="n">
        <f aca="false">DISC(DATE(2024,5,15),DATE(2024,11,15),99.5,100.5,1)</f>
        <v>0.0197923426346527</v>
      </c>
      <c r="B8862" s="0" t="s">
        <v>8841</v>
      </c>
    </row>
    <row r="8863" customFormat="false" ht="15" hidden="false" customHeight="false" outlineLevel="0" collapsed="false">
      <c r="A8863" s="0" t="n">
        <f aca="false">PRICEDISC(DATE(2024,5,15),DATE(2024,11,15),0.05,100,1)</f>
        <v>97.4863387978142</v>
      </c>
      <c r="B8863" s="0" t="s">
        <v>8842</v>
      </c>
    </row>
    <row r="8864" customFormat="false" ht="15" hidden="false" customHeight="false" outlineLevel="0" collapsed="false">
      <c r="A8864" s="0" t="n">
        <f aca="false">PRICEDISC(DATE(2024,5,15),DATE(2024,11,15),0.1,105,1)</f>
        <v>99.7213114754098</v>
      </c>
      <c r="B8864" s="0" t="s">
        <v>8843</v>
      </c>
    </row>
    <row r="8865" customFormat="false" ht="15" hidden="false" customHeight="false" outlineLevel="0" collapsed="false">
      <c r="A8865" s="0" t="n">
        <f aca="false">YIELDDISC(DATE(2024,5,15),DATE(2024,11,15),95,100,1)</f>
        <v>0.104691075514874</v>
      </c>
      <c r="B8865" s="0" t="s">
        <v>8844</v>
      </c>
    </row>
    <row r="8866" customFormat="false" ht="15" hidden="false" customHeight="false" outlineLevel="0" collapsed="false">
      <c r="A8866" s="0" t="n">
        <f aca="false">YIELDDISC(DATE(2024,5,15),DATE(2024,11,15),99.5,100.5,1)</f>
        <v>0.0199912606510816</v>
      </c>
      <c r="B8866" s="0" t="s">
        <v>8845</v>
      </c>
    </row>
    <row r="8867" customFormat="false" ht="15" hidden="false" customHeight="false" outlineLevel="0" collapsed="false">
      <c r="A8867" s="0" t="n">
        <f aca="false">RECEIVED(DATE(2024,5,15),DATE(2024,11,15),1000,0.05,1)</f>
        <v>1025.78475336323</v>
      </c>
      <c r="B8867" s="0" t="s">
        <v>8846</v>
      </c>
    </row>
    <row r="8868" customFormat="false" ht="15" hidden="false" customHeight="false" outlineLevel="0" collapsed="false">
      <c r="A8868" s="0" t="n">
        <f aca="false">RECEIVED(DATE(2024,5,15),DATE(2024,11,15),5000,0.12,1)</f>
        <v>5321.00488485694</v>
      </c>
      <c r="B8868" s="0" t="s">
        <v>8847</v>
      </c>
    </row>
    <row r="8869" customFormat="false" ht="15" hidden="false" customHeight="false" outlineLevel="0" collapsed="false">
      <c r="A8869" s="0" t="n">
        <f aca="false">INTRATE(DATE(2024,5,15),DATE(2024,11,15),1000,1050,1)</f>
        <v>0.0994565217391305</v>
      </c>
      <c r="B8869" s="0" t="s">
        <v>8848</v>
      </c>
    </row>
    <row r="8870" customFormat="false" ht="15" hidden="false" customHeight="false" outlineLevel="0" collapsed="false">
      <c r="A8870" s="0" t="n">
        <f aca="false">INTRATE(DATE(2024,5,15),DATE(2024,11,15),950,1000,1)</f>
        <v>0.104691075514874</v>
      </c>
      <c r="B8870" s="0" t="s">
        <v>8849</v>
      </c>
    </row>
    <row r="8871" customFormat="false" ht="15" hidden="false" customHeight="false" outlineLevel="0" collapsed="false">
      <c r="A8871" s="0" t="n">
        <f aca="false">PRICEMAT(DATE(2024,5,15),DATE(2024,11,15),DATE(2023,10,1),0.05,0.06,1)</f>
        <v>99.4286419264176</v>
      </c>
      <c r="B8871" s="0" t="s">
        <v>8850</v>
      </c>
    </row>
    <row r="8872" customFormat="false" ht="15" hidden="false" customHeight="false" outlineLevel="0" collapsed="false">
      <c r="A8872" s="0" t="n">
        <f aca="false">PRICEMAT(DATE(2024,5,15),DATE(2024,11,15),DATE(2024,1,1),0.1,0.03,1)</f>
        <v>103.412035272024</v>
      </c>
      <c r="B8872" s="0" t="s">
        <v>8851</v>
      </c>
    </row>
    <row r="8873" customFormat="false" ht="15" hidden="false" customHeight="false" outlineLevel="0" collapsed="false">
      <c r="A8873" s="0" t="n">
        <f aca="false">YIELDMAT(DATE(2024,5,15),DATE(2024,11,15),DATE(2023,10,1),0.05,98,1)</f>
        <v>0.0889559051041627</v>
      </c>
      <c r="B8873" s="0" t="s">
        <v>8852</v>
      </c>
    </row>
    <row r="8874" customFormat="false" ht="15" hidden="false" customHeight="false" outlineLevel="0" collapsed="false">
      <c r="A8874" s="0" t="n">
        <f aca="false">YIELDMAT(DATE(2024,5,15),DATE(2024,11,15),DATE(2024,1,1),0.1,101,1)</f>
        <v>0.0765209902095617</v>
      </c>
      <c r="B8874" s="0" t="s">
        <v>8853</v>
      </c>
    </row>
    <row r="8875" customFormat="false" ht="15" hidden="false" customHeight="false" outlineLevel="0" collapsed="false">
      <c r="A8875" s="0" t="n">
        <f aca="false">ACCRINTM(DATE(2023,10,1),DATE(2024,11,15),0.05,1000,1)</f>
        <v>56.3013698630137</v>
      </c>
      <c r="B8875" s="0" t="s">
        <v>8854</v>
      </c>
    </row>
    <row r="8876" customFormat="false" ht="15" hidden="false" customHeight="false" outlineLevel="0" collapsed="false">
      <c r="A8876" s="0" t="n">
        <f aca="false">ACCRINTM(DATE(2024,1,1),DATE(2024,5,15),0.08,5000,1)</f>
        <v>147.540983606557</v>
      </c>
      <c r="B8876" s="0" t="s">
        <v>8855</v>
      </c>
    </row>
    <row r="8877" customFormat="false" ht="15" hidden="false" customHeight="false" outlineLevel="0" collapsed="false">
      <c r="A8877" s="0" t="n">
        <f aca="false">DISC(DATE(2024,5,15),DATE(2024,11,15),95,100,2)</f>
        <v>0.0978260869565218</v>
      </c>
      <c r="B8877" s="0" t="s">
        <v>8856</v>
      </c>
    </row>
    <row r="8878" customFormat="false" ht="15" hidden="false" customHeight="false" outlineLevel="0" collapsed="false">
      <c r="A8878" s="0" t="n">
        <f aca="false">DISC(DATE(2024,5,15),DATE(2024,11,15),100,100,2)</f>
        <v>0</v>
      </c>
      <c r="B8878" s="0" t="s">
        <v>8857</v>
      </c>
    </row>
    <row r="8879" customFormat="false" ht="15" hidden="false" customHeight="false" outlineLevel="0" collapsed="false">
      <c r="A8879" s="0" t="n">
        <f aca="false">DISC(DATE(2024,5,15),DATE(2024,11,15),99.5,100.5,2)</f>
        <v>0.0194678780012978</v>
      </c>
      <c r="B8879" s="0" t="s">
        <v>8858</v>
      </c>
    </row>
    <row r="8880" customFormat="false" ht="15" hidden="false" customHeight="false" outlineLevel="0" collapsed="false">
      <c r="A8880" s="0" t="n">
        <f aca="false">PRICEDISC(DATE(2024,5,15),DATE(2024,11,15),0.05,100,2)</f>
        <v>97.4444444444444</v>
      </c>
      <c r="B8880" s="0" t="s">
        <v>8859</v>
      </c>
    </row>
    <row r="8881" customFormat="false" ht="15" hidden="false" customHeight="false" outlineLevel="0" collapsed="false">
      <c r="A8881" s="0" t="n">
        <f aca="false">PRICEDISC(DATE(2024,5,15),DATE(2024,11,15),0.1,105,2)</f>
        <v>99.6333333333333</v>
      </c>
      <c r="B8881" s="0" t="s">
        <v>8860</v>
      </c>
    </row>
    <row r="8882" customFormat="false" ht="15" hidden="false" customHeight="false" outlineLevel="0" collapsed="false">
      <c r="A8882" s="0" t="n">
        <f aca="false">YIELDDISC(DATE(2024,5,15),DATE(2024,11,15),95,100,2)</f>
        <v>0.102974828375286</v>
      </c>
      <c r="B8882" s="0" t="s">
        <v>8861</v>
      </c>
    </row>
    <row r="8883" customFormat="false" ht="15" hidden="false" customHeight="false" outlineLevel="0" collapsed="false">
      <c r="A8883" s="0" t="n">
        <f aca="false">YIELDDISC(DATE(2024,5,15),DATE(2024,11,15),99.5,100.5,2)</f>
        <v>0.0196635350666376</v>
      </c>
      <c r="B8883" s="0" t="s">
        <v>8862</v>
      </c>
    </row>
    <row r="8884" customFormat="false" ht="15" hidden="false" customHeight="false" outlineLevel="0" collapsed="false">
      <c r="A8884" s="0" t="n">
        <f aca="false">RECEIVED(DATE(2024,5,15),DATE(2024,11,15),1000,0.05,2)</f>
        <v>1026.22576966933</v>
      </c>
      <c r="B8884" s="0" t="s">
        <v>8863</v>
      </c>
    </row>
    <row r="8885" customFormat="false" ht="15" hidden="false" customHeight="false" outlineLevel="0" collapsed="false">
      <c r="A8885" s="0" t="n">
        <f aca="false">RECEIVED(DATE(2024,5,15),DATE(2024,11,15),5000,0.12,2)</f>
        <v>5326.70454545455</v>
      </c>
      <c r="B8885" s="0" t="s">
        <v>8864</v>
      </c>
    </row>
    <row r="8886" customFormat="false" ht="15" hidden="false" customHeight="false" outlineLevel="0" collapsed="false">
      <c r="A8886" s="0" t="n">
        <f aca="false">INTRATE(DATE(2024,5,15),DATE(2024,11,15),1000,1050,2)</f>
        <v>0.0978260869565218</v>
      </c>
      <c r="B8886" s="0" t="s">
        <v>8865</v>
      </c>
    </row>
    <row r="8887" customFormat="false" ht="15" hidden="false" customHeight="false" outlineLevel="0" collapsed="false">
      <c r="A8887" s="0" t="n">
        <f aca="false">INTRATE(DATE(2024,5,15),DATE(2024,11,15),950,1000,2)</f>
        <v>0.102974828375286</v>
      </c>
      <c r="B8887" s="0" t="s">
        <v>8866</v>
      </c>
    </row>
    <row r="8888" customFormat="false" ht="15" hidden="false" customHeight="false" outlineLevel="0" collapsed="false">
      <c r="A8888" s="0" t="n">
        <f aca="false">PRICEMAT(DATE(2024,5,15),DATE(2024,11,15),DATE(2023,10,1),0.05,0.06,2)</f>
        <v>99.4102881989363</v>
      </c>
      <c r="B8888" s="0" t="s">
        <v>8867</v>
      </c>
    </row>
    <row r="8889" customFormat="false" ht="15" hidden="false" customHeight="false" outlineLevel="0" collapsed="false">
      <c r="A8889" s="0" t="n">
        <f aca="false">PRICEMAT(DATE(2024,5,15),DATE(2024,11,15),DATE(2024,1,1),0.1,0.03,2)</f>
        <v>103.467115342526</v>
      </c>
      <c r="B8889" s="0" t="s">
        <v>8868</v>
      </c>
    </row>
    <row r="8890" customFormat="false" ht="15" hidden="false" customHeight="false" outlineLevel="0" collapsed="false">
      <c r="A8890" s="0" t="n">
        <f aca="false">YIELDMAT(DATE(2024,5,15),DATE(2024,11,15),DATE(2023,10,1),0.05,98,2)</f>
        <v>0.088114668465575</v>
      </c>
      <c r="B8890" s="0" t="s">
        <v>8869</v>
      </c>
    </row>
    <row r="8891" customFormat="false" ht="15" hidden="false" customHeight="false" outlineLevel="0" collapsed="false">
      <c r="A8891" s="0" t="n">
        <f aca="false">YIELDMAT(DATE(2024,5,15),DATE(2024,11,15),DATE(2024,1,1),0.1,101,2)</f>
        <v>0.0767873819653421</v>
      </c>
      <c r="B8891" s="0" t="s">
        <v>8870</v>
      </c>
    </row>
    <row r="8892" customFormat="false" ht="15" hidden="false" customHeight="false" outlineLevel="0" collapsed="false">
      <c r="A8892" s="0" t="n">
        <f aca="false">ACCRINTM(DATE(2023,10,1),DATE(2024,11,15),0.05,1000,2)</f>
        <v>57.0833333333333</v>
      </c>
      <c r="B8892" s="0" t="s">
        <v>8871</v>
      </c>
    </row>
    <row r="8893" customFormat="false" ht="15" hidden="false" customHeight="false" outlineLevel="0" collapsed="false">
      <c r="A8893" s="0" t="n">
        <f aca="false">ACCRINTM(DATE(2024,1,1),DATE(2024,5,15),0.08,5000,2)</f>
        <v>150</v>
      </c>
      <c r="B8893" s="0" t="s">
        <v>8872</v>
      </c>
    </row>
    <row r="8894" customFormat="false" ht="15" hidden="false" customHeight="false" outlineLevel="0" collapsed="false">
      <c r="A8894" s="0" t="n">
        <f aca="false">DISC(DATE(2024,5,15),DATE(2024,11,15),95,100,3)</f>
        <v>0.0991847826086957</v>
      </c>
      <c r="B8894" s="0" t="s">
        <v>8873</v>
      </c>
    </row>
    <row r="8895" customFormat="false" ht="15" hidden="false" customHeight="false" outlineLevel="0" collapsed="false">
      <c r="A8895" s="0" t="n">
        <f aca="false">DISC(DATE(2024,5,15),DATE(2024,11,15),100,100,3)</f>
        <v>0</v>
      </c>
      <c r="B8895" s="0" t="s">
        <v>8874</v>
      </c>
    </row>
    <row r="8896" customFormat="false" ht="15" hidden="false" customHeight="false" outlineLevel="0" collapsed="false">
      <c r="A8896" s="0" t="n">
        <f aca="false">DISC(DATE(2024,5,15),DATE(2024,11,15),99.5,100.5,3)</f>
        <v>0.0197382651957602</v>
      </c>
      <c r="B8896" s="0" t="s">
        <v>8875</v>
      </c>
    </row>
    <row r="8897" customFormat="false" ht="15" hidden="false" customHeight="false" outlineLevel="0" collapsed="false">
      <c r="A8897" s="0" t="n">
        <f aca="false">PRICEDISC(DATE(2024,5,15),DATE(2024,11,15),0.05,100,3)</f>
        <v>97.4794520547945</v>
      </c>
      <c r="B8897" s="0" t="s">
        <v>8876</v>
      </c>
    </row>
    <row r="8898" customFormat="false" ht="15" hidden="false" customHeight="false" outlineLevel="0" collapsed="false">
      <c r="A8898" s="0" t="n">
        <f aca="false">PRICEDISC(DATE(2024,5,15),DATE(2024,11,15),0.1,105,3)</f>
        <v>99.7068493150685</v>
      </c>
      <c r="B8898" s="0" t="s">
        <v>8877</v>
      </c>
    </row>
    <row r="8899" customFormat="false" ht="15" hidden="false" customHeight="false" outlineLevel="0" collapsed="false">
      <c r="A8899" s="0" t="n">
        <f aca="false">YIELDDISC(DATE(2024,5,15),DATE(2024,11,15),95,100,3)</f>
        <v>0.104405034324943</v>
      </c>
      <c r="B8899" s="0" t="s">
        <v>8878</v>
      </c>
    </row>
    <row r="8900" customFormat="false" ht="15" hidden="false" customHeight="false" outlineLevel="0" collapsed="false">
      <c r="A8900" s="0" t="n">
        <f aca="false">YIELDDISC(DATE(2024,5,15),DATE(2024,11,15),99.5,100.5,3)</f>
        <v>0.0199366397203409</v>
      </c>
      <c r="B8900" s="0" t="s">
        <v>8879</v>
      </c>
    </row>
    <row r="8901" customFormat="false" ht="15" hidden="false" customHeight="false" outlineLevel="0" collapsed="false">
      <c r="A8901" s="0" t="n">
        <f aca="false">RECEIVED(DATE(2024,5,15),DATE(2024,11,15),1000,0.05,3)</f>
        <v>1025.85722315908</v>
      </c>
      <c r="B8901" s="0" t="s">
        <v>8880</v>
      </c>
    </row>
    <row r="8902" customFormat="false" ht="15" hidden="false" customHeight="false" outlineLevel="0" collapsed="false">
      <c r="A8902" s="0" t="n">
        <f aca="false">RECEIVED(DATE(2024,5,15),DATE(2024,11,15),5000,0.12,3)</f>
        <v>5321.94097748746</v>
      </c>
      <c r="B8902" s="0" t="s">
        <v>8881</v>
      </c>
    </row>
    <row r="8903" customFormat="false" ht="15" hidden="false" customHeight="false" outlineLevel="0" collapsed="false">
      <c r="A8903" s="0" t="n">
        <f aca="false">INTRATE(DATE(2024,5,15),DATE(2024,11,15),1000,1050,3)</f>
        <v>0.0991847826086957</v>
      </c>
      <c r="B8903" s="0" t="s">
        <v>8882</v>
      </c>
    </row>
    <row r="8904" customFormat="false" ht="15" hidden="false" customHeight="false" outlineLevel="0" collapsed="false">
      <c r="A8904" s="0" t="n">
        <f aca="false">INTRATE(DATE(2024,5,15),DATE(2024,11,15),950,1000,3)</f>
        <v>0.104405034324943</v>
      </c>
      <c r="B8904" s="0" t="s">
        <v>8883</v>
      </c>
    </row>
    <row r="8905" customFormat="false" ht="15" hidden="false" customHeight="false" outlineLevel="0" collapsed="false">
      <c r="A8905" s="0" t="n">
        <f aca="false">PRICEMAT(DATE(2024,5,15),DATE(2024,11,15),DATE(2023,10,1),0.05,0.06,3)</f>
        <v>99.4193972369596</v>
      </c>
      <c r="B8905" s="0" t="s">
        <v>8884</v>
      </c>
    </row>
    <row r="8906" customFormat="false" ht="15" hidden="false" customHeight="false" outlineLevel="0" collapsed="false">
      <c r="A8906" s="0" t="n">
        <f aca="false">PRICEMAT(DATE(2024,5,15),DATE(2024,11,15),DATE(2024,1,1),0.1,0.03,3)</f>
        <v>103.421093494667</v>
      </c>
      <c r="B8906" s="0" t="s">
        <v>8885</v>
      </c>
    </row>
    <row r="8907" customFormat="false" ht="15" hidden="false" customHeight="false" outlineLevel="0" collapsed="false">
      <c r="A8907" s="0" t="n">
        <f aca="false">YIELDMAT(DATE(2024,5,15),DATE(2024,11,15),DATE(2023,10,1),0.05,98,3)</f>
        <v>0.088689820514482</v>
      </c>
      <c r="B8907" s="0" t="s">
        <v>8886</v>
      </c>
    </row>
    <row r="8908" customFormat="false" ht="15" hidden="false" customHeight="false" outlineLevel="0" collapsed="false">
      <c r="A8908" s="0" t="n">
        <f aca="false">YIELDMAT(DATE(2024,5,15),DATE(2024,11,15),DATE(2024,1,1),0.1,101,3)</f>
        <v>0.0765655132004843</v>
      </c>
      <c r="B8908" s="0" t="s">
        <v>8887</v>
      </c>
    </row>
    <row r="8909" customFormat="false" ht="15" hidden="false" customHeight="false" outlineLevel="0" collapsed="false">
      <c r="A8909" s="0" t="n">
        <f aca="false">ACCRINTM(DATE(2023,10,1),DATE(2024,11,15),0.05,1000,3)</f>
        <v>56.3013698630137</v>
      </c>
      <c r="B8909" s="0" t="s">
        <v>8888</v>
      </c>
    </row>
    <row r="8910" customFormat="false" ht="15" hidden="false" customHeight="false" outlineLevel="0" collapsed="false">
      <c r="A8910" s="0" t="n">
        <f aca="false">ACCRINTM(DATE(2024,1,1),DATE(2024,5,15),0.08,5000,3)</f>
        <v>147.945205479452</v>
      </c>
      <c r="B8910" s="0" t="s">
        <v>8889</v>
      </c>
    </row>
    <row r="8911" customFormat="false" ht="15" hidden="false" customHeight="false" outlineLevel="0" collapsed="false">
      <c r="A8911" s="0" t="n">
        <f aca="false">DISC(DATE(2024,5,15),DATE(2024,11,15),95,100,4)</f>
        <v>0.1</v>
      </c>
      <c r="B8911" s="0" t="s">
        <v>8890</v>
      </c>
    </row>
    <row r="8912" customFormat="false" ht="15" hidden="false" customHeight="false" outlineLevel="0" collapsed="false">
      <c r="A8912" s="0" t="n">
        <f aca="false">DISC(DATE(2024,5,15),DATE(2024,11,15),100,100,4)</f>
        <v>0</v>
      </c>
      <c r="B8912" s="0" t="s">
        <v>8891</v>
      </c>
    </row>
    <row r="8913" customFormat="false" ht="15" hidden="false" customHeight="false" outlineLevel="0" collapsed="false">
      <c r="A8913" s="0" t="n">
        <f aca="false">DISC(DATE(2024,5,15),DATE(2024,11,15),99.5,100.5,4)</f>
        <v>0.0199004975124377</v>
      </c>
      <c r="B8913" s="0" t="s">
        <v>8892</v>
      </c>
    </row>
    <row r="8914" customFormat="false" ht="15" hidden="false" customHeight="false" outlineLevel="0" collapsed="false">
      <c r="A8914" s="0" t="n">
        <f aca="false">PRICEDISC(DATE(2024,5,15),DATE(2024,11,15),0.05,100,4)</f>
        <v>97.5</v>
      </c>
      <c r="B8914" s="0" t="s">
        <v>8893</v>
      </c>
    </row>
    <row r="8915" customFormat="false" ht="15" hidden="false" customHeight="false" outlineLevel="0" collapsed="false">
      <c r="A8915" s="0" t="n">
        <f aca="false">PRICEDISC(DATE(2024,5,15),DATE(2024,11,15),0.1,105,4)</f>
        <v>99.75</v>
      </c>
      <c r="B8915" s="0" t="s">
        <v>8894</v>
      </c>
    </row>
    <row r="8916" customFormat="false" ht="15" hidden="false" customHeight="false" outlineLevel="0" collapsed="false">
      <c r="A8916" s="0" t="n">
        <f aca="false">YIELDDISC(DATE(2024,5,15),DATE(2024,11,15),95,100,4)</f>
        <v>0.105263157894737</v>
      </c>
      <c r="B8916" s="0" t="s">
        <v>8895</v>
      </c>
    </row>
    <row r="8917" customFormat="false" ht="15" hidden="false" customHeight="false" outlineLevel="0" collapsed="false">
      <c r="A8917" s="0" t="n">
        <f aca="false">YIELDDISC(DATE(2024,5,15),DATE(2024,11,15),99.5,100.5,4)</f>
        <v>0.0201005025125629</v>
      </c>
      <c r="B8917" s="0" t="s">
        <v>8896</v>
      </c>
    </row>
    <row r="8918" customFormat="false" ht="15" hidden="false" customHeight="false" outlineLevel="0" collapsed="false">
      <c r="A8918" s="0" t="n">
        <f aca="false">RECEIVED(DATE(2024,5,15),DATE(2024,11,15),1000,0.05,4)</f>
        <v>1025.64102564103</v>
      </c>
      <c r="B8918" s="0" t="s">
        <v>8897</v>
      </c>
    </row>
    <row r="8919" customFormat="false" ht="15" hidden="false" customHeight="false" outlineLevel="0" collapsed="false">
      <c r="A8919" s="0" t="n">
        <f aca="false">RECEIVED(DATE(2024,5,15),DATE(2024,11,15),5000,0.12,4)</f>
        <v>5319.14893617021</v>
      </c>
      <c r="B8919" s="0" t="s">
        <v>8898</v>
      </c>
    </row>
    <row r="8920" customFormat="false" ht="15" hidden="false" customHeight="false" outlineLevel="0" collapsed="false">
      <c r="A8920" s="0" t="n">
        <f aca="false">INTRATE(DATE(2024,5,15),DATE(2024,11,15),1000,1050,4)</f>
        <v>0.1</v>
      </c>
      <c r="B8920" s="0" t="s">
        <v>8899</v>
      </c>
    </row>
    <row r="8921" customFormat="false" ht="15" hidden="false" customHeight="false" outlineLevel="0" collapsed="false">
      <c r="A8921" s="0" t="n">
        <f aca="false">INTRATE(DATE(2024,5,15),DATE(2024,11,15),950,1000,4)</f>
        <v>0.105263157894737</v>
      </c>
      <c r="B8921" s="0" t="s">
        <v>8900</v>
      </c>
    </row>
    <row r="8922" customFormat="false" ht="15" hidden="false" customHeight="false" outlineLevel="0" collapsed="false">
      <c r="A8922" s="0" t="n">
        <f aca="false">PRICEMAT(DATE(2024,5,15),DATE(2024,11,15),DATE(2023,10,1),0.05,0.06,4)</f>
        <v>99.4239482200647</v>
      </c>
      <c r="B8922" s="0" t="s">
        <v>8901</v>
      </c>
    </row>
    <row r="8923" customFormat="false" ht="15" hidden="false" customHeight="false" outlineLevel="0" collapsed="false">
      <c r="A8923" s="0" t="n">
        <f aca="false">PRICEMAT(DATE(2024,5,15),DATE(2024,11,15),DATE(2024,1,1),0.1,0.03,4)</f>
        <v>103.393267651888</v>
      </c>
      <c r="B8923" s="0" t="s">
        <v>8902</v>
      </c>
    </row>
    <row r="8924" customFormat="false" ht="15" hidden="false" customHeight="false" outlineLevel="0" collapsed="false">
      <c r="A8924" s="0" t="n">
        <f aca="false">YIELDMAT(DATE(2024,5,15),DATE(2024,11,15),DATE(2023,10,1),0.05,98,4)</f>
        <v>0.0890109890109887</v>
      </c>
      <c r="B8924" s="0" t="s">
        <v>8903</v>
      </c>
    </row>
    <row r="8925" customFormat="false" ht="15" hidden="false" customHeight="false" outlineLevel="0" collapsed="false">
      <c r="A8925" s="0" t="n">
        <f aca="false">YIELDMAT(DATE(2024,5,15),DATE(2024,11,15),DATE(2024,1,1),0.1,101,4)</f>
        <v>0.0763925729442971</v>
      </c>
      <c r="B8925" s="0" t="s">
        <v>8904</v>
      </c>
    </row>
    <row r="8926" customFormat="false" ht="15" hidden="false" customHeight="false" outlineLevel="0" collapsed="false">
      <c r="A8926" s="0" t="n">
        <f aca="false">ACCRINTM(DATE(2023,10,1),DATE(2024,11,15),0.05,1000,4)</f>
        <v>56.1111111111111</v>
      </c>
      <c r="B8926" s="0" t="s">
        <v>8905</v>
      </c>
    </row>
    <row r="8927" customFormat="false" ht="15" hidden="false" customHeight="false" outlineLevel="0" collapsed="false">
      <c r="A8927" s="0" t="n">
        <f aca="false">ACCRINTM(DATE(2024,1,1),DATE(2024,5,15),0.08,5000,4)</f>
        <v>148.888888888889</v>
      </c>
      <c r="B8927" s="0" t="s">
        <v>8906</v>
      </c>
    </row>
    <row r="8928" customFormat="false" ht="15" hidden="false" customHeight="false" outlineLevel="0" collapsed="false">
      <c r="A8928" s="0" t="n">
        <f aca="false">TBILLPRICE(DATE(2024,5,15),DATE(2024,11,15),0.05)</f>
        <v>97.4861111111111</v>
      </c>
      <c r="B8928" s="0" t="s">
        <v>8907</v>
      </c>
    </row>
    <row r="8929" customFormat="false" ht="15" hidden="false" customHeight="false" outlineLevel="0" collapsed="false">
      <c r="A8929" s="0" t="n">
        <f aca="false">TBILLYIELD(DATE(2024,5,15),DATE(2024,11,15),98)</f>
        <v>0.0405908219641448</v>
      </c>
      <c r="B8929" s="0" t="s">
        <v>8908</v>
      </c>
    </row>
    <row r="8930" customFormat="false" ht="15" hidden="false" customHeight="false" outlineLevel="0" collapsed="false">
      <c r="A8930" s="0" t="n">
        <f aca="false">TBILLEQ(DATE(2024,5,15),DATE(2024,11,15),0.05)</f>
        <v>0.0520017096452486</v>
      </c>
      <c r="B8930" s="0" t="s">
        <v>8909</v>
      </c>
    </row>
    <row r="8931" customFormat="false" ht="15" hidden="false" customHeight="false" outlineLevel="0" collapsed="false">
      <c r="A8931" s="0" t="n">
        <f aca="false">TBILLEQ(DATE(2024,5,15),DATE(2024,11,15),0.12)</f>
        <v>0.129478538488826</v>
      </c>
      <c r="B8931" s="0" t="s">
        <v>8910</v>
      </c>
    </row>
    <row r="8932" customFormat="false" ht="15" hidden="false" customHeight="false" outlineLevel="0" collapsed="false">
      <c r="A8932" s="0" t="n">
        <f aca="false">DISC(DATE(2024,6,30),DATE(2025,2,28),95,100,0)</f>
        <v>0.0756302521008404</v>
      </c>
      <c r="B8932" s="0" t="s">
        <v>8911</v>
      </c>
    </row>
    <row r="8933" customFormat="false" ht="15" hidden="false" customHeight="false" outlineLevel="0" collapsed="false">
      <c r="A8933" s="0" t="n">
        <f aca="false">DISC(DATE(2024,6,30),DATE(2025,2,28),100,100,0)</f>
        <v>0</v>
      </c>
      <c r="B8933" s="0" t="s">
        <v>8912</v>
      </c>
    </row>
    <row r="8934" customFormat="false" ht="15" hidden="false" customHeight="false" outlineLevel="0" collapsed="false">
      <c r="A8934" s="0" t="n">
        <f aca="false">DISC(DATE(2024,6,30),DATE(2025,2,28),99.5,100.5,0)</f>
        <v>0.0150507964379781</v>
      </c>
      <c r="B8934" s="0" t="s">
        <v>8913</v>
      </c>
    </row>
    <row r="8935" customFormat="false" ht="15" hidden="false" customHeight="false" outlineLevel="0" collapsed="false">
      <c r="A8935" s="0" t="n">
        <f aca="false">PRICEDISC(DATE(2024,6,30),DATE(2025,2,28),0.05,100,0)</f>
        <v>96.6944444444444</v>
      </c>
      <c r="B8935" s="0" t="s">
        <v>8914</v>
      </c>
    </row>
    <row r="8936" customFormat="false" ht="15" hidden="false" customHeight="false" outlineLevel="0" collapsed="false">
      <c r="A8936" s="0" t="n">
        <f aca="false">PRICEDISC(DATE(2024,6,30),DATE(2025,2,28),0.1,105,0)</f>
        <v>98.0583333333333</v>
      </c>
      <c r="B8936" s="0" t="s">
        <v>8915</v>
      </c>
    </row>
    <row r="8937" customFormat="false" ht="15" hidden="false" customHeight="false" outlineLevel="0" collapsed="false">
      <c r="A8937" s="0" t="n">
        <f aca="false">YIELDDISC(DATE(2024,6,30),DATE(2025,2,28),95,100,0)</f>
        <v>0.079610791685095</v>
      </c>
      <c r="B8937" s="0" t="s">
        <v>8916</v>
      </c>
    </row>
    <row r="8938" customFormat="false" ht="15" hidden="false" customHeight="false" outlineLevel="0" collapsed="false">
      <c r="A8938" s="0" t="n">
        <f aca="false">YIELDDISC(DATE(2024,6,30),DATE(2025,2,28),99.5,100.5,0)</f>
        <v>0.0152020607237871</v>
      </c>
      <c r="B8938" s="0" t="s">
        <v>8917</v>
      </c>
    </row>
    <row r="8939" customFormat="false" ht="15" hidden="false" customHeight="false" outlineLevel="0" collapsed="false">
      <c r="A8939" s="0" t="n">
        <f aca="false">RECEIVED(DATE(2024,6,30),DATE(2025,2,28),1000,0.05,0)</f>
        <v>1034.18557885665</v>
      </c>
      <c r="B8939" s="0" t="s">
        <v>8918</v>
      </c>
    </row>
    <row r="8940" customFormat="false" ht="15" hidden="false" customHeight="false" outlineLevel="0" collapsed="false">
      <c r="A8940" s="0" t="n">
        <f aca="false">RECEIVED(DATE(2024,6,30),DATE(2025,2,28),5000,0.12,0)</f>
        <v>5430.8472121651</v>
      </c>
      <c r="B8940" s="0" t="s">
        <v>8919</v>
      </c>
    </row>
    <row r="8941" customFormat="false" ht="15" hidden="false" customHeight="false" outlineLevel="0" collapsed="false">
      <c r="A8941" s="0" t="n">
        <f aca="false">INTRATE(DATE(2024,6,30),DATE(2025,2,28),1000,1050,0)</f>
        <v>0.0756302521008404</v>
      </c>
      <c r="B8941" s="0" t="s">
        <v>8920</v>
      </c>
    </row>
    <row r="8942" customFormat="false" ht="15" hidden="false" customHeight="false" outlineLevel="0" collapsed="false">
      <c r="A8942" s="0" t="n">
        <f aca="false">INTRATE(DATE(2024,6,30),DATE(2025,2,28),950,1000,0)</f>
        <v>0.079610791685095</v>
      </c>
      <c r="B8942" s="0" t="s">
        <v>8921</v>
      </c>
    </row>
    <row r="8943" customFormat="false" ht="15" hidden="false" customHeight="false" outlineLevel="0" collapsed="false">
      <c r="A8943" s="0" t="n">
        <f aca="false">PRICEMAT(DATE(2024,6,30),DATE(2025,2,28),DATE(2023,10,1),0.05,0.06,0)</f>
        <v>99.2215676320758</v>
      </c>
      <c r="B8943" s="0" t="s">
        <v>8922</v>
      </c>
    </row>
    <row r="8944" customFormat="false" ht="15" hidden="false" customHeight="false" outlineLevel="0" collapsed="false">
      <c r="A8944" s="0" t="n">
        <f aca="false">PRICEMAT(DATE(2024,6,30),DATE(2025,2,28),DATE(2024,1,1),0.1,0.03,0)</f>
        <v>104.441080605037</v>
      </c>
      <c r="B8944" s="0" t="s">
        <v>8923</v>
      </c>
    </row>
    <row r="8945" customFormat="false" ht="15" hidden="false" customHeight="false" outlineLevel="0" collapsed="false">
      <c r="A8945" s="0" t="n">
        <f aca="false">YIELDMAT(DATE(2024,6,30),DATE(2025,2,28),DATE(2023,10,1),0.05,98,0)</f>
        <v>0.0788826110649035</v>
      </c>
      <c r="B8945" s="0" t="s">
        <v>8924</v>
      </c>
    </row>
    <row r="8946" customFormat="false" ht="15" hidden="false" customHeight="false" outlineLevel="0" collapsed="false">
      <c r="A8946" s="0" t="n">
        <f aca="false">YIELDMAT(DATE(2024,6,30),DATE(2025,2,28),DATE(2024,1,1),0.1,101,0)</f>
        <v>0.0800907518970891</v>
      </c>
      <c r="B8946" s="0" t="s">
        <v>8925</v>
      </c>
    </row>
    <row r="8947" customFormat="false" ht="15" hidden="false" customHeight="false" outlineLevel="0" collapsed="false">
      <c r="A8947" s="0" t="n">
        <f aca="false">ACCRINTM(DATE(2023,10,1),DATE(2025,2,28),0.05,1000,0)</f>
        <v>70.4166666666667</v>
      </c>
      <c r="B8947" s="0" t="s">
        <v>8926</v>
      </c>
    </row>
    <row r="8948" customFormat="false" ht="15" hidden="false" customHeight="false" outlineLevel="0" collapsed="false">
      <c r="A8948" s="0" t="n">
        <f aca="false">ACCRINTM(DATE(2024,1,1),DATE(2024,6,30),0.08,5000,0)</f>
        <v>198.888888888889</v>
      </c>
      <c r="B8948" s="0" t="s">
        <v>8927</v>
      </c>
    </row>
    <row r="8949" customFormat="false" ht="15" hidden="false" customHeight="false" outlineLevel="0" collapsed="false">
      <c r="A8949" s="0" t="n">
        <f aca="false">DISC(DATE(2024,6,30),DATE(2025,2,28),95,100,1)</f>
        <v>0.0751028806584363</v>
      </c>
      <c r="B8949" s="0" t="s">
        <v>8928</v>
      </c>
    </row>
    <row r="8950" customFormat="false" ht="15" hidden="false" customHeight="false" outlineLevel="0" collapsed="false">
      <c r="A8950" s="0" t="n">
        <f aca="false">DISC(DATE(2024,6,30),DATE(2025,2,28),100,100,1)</f>
        <v>0</v>
      </c>
      <c r="B8950" s="0" t="s">
        <v>8929</v>
      </c>
    </row>
    <row r="8951" customFormat="false" ht="15" hidden="false" customHeight="false" outlineLevel="0" collapsed="false">
      <c r="A8951" s="0" t="n">
        <f aca="false">DISC(DATE(2024,6,30),DATE(2025,2,28),99.5,100.5,1)</f>
        <v>0.0149458468972012</v>
      </c>
      <c r="B8951" s="0" t="s">
        <v>8930</v>
      </c>
    </row>
    <row r="8952" customFormat="false" ht="15" hidden="false" customHeight="false" outlineLevel="0" collapsed="false">
      <c r="A8952" s="0" t="n">
        <f aca="false">PRICEDISC(DATE(2024,6,30),DATE(2025,2,28),0.05,100,1)</f>
        <v>96.6803278688525</v>
      </c>
      <c r="B8952" s="0" t="s">
        <v>8931</v>
      </c>
    </row>
    <row r="8953" customFormat="false" ht="15" hidden="false" customHeight="false" outlineLevel="0" collapsed="false">
      <c r="A8953" s="0" t="n">
        <f aca="false">PRICEDISC(DATE(2024,6,30),DATE(2025,2,28),0.1,105,1)</f>
        <v>98.0286885245902</v>
      </c>
      <c r="B8953" s="0" t="s">
        <v>8932</v>
      </c>
    </row>
    <row r="8954" customFormat="false" ht="15" hidden="false" customHeight="false" outlineLevel="0" collapsed="false">
      <c r="A8954" s="0" t="n">
        <f aca="false">YIELDDISC(DATE(2024,6,30),DATE(2025,2,28),95,100,1)</f>
        <v>0.0790556638509854</v>
      </c>
      <c r="B8954" s="0" t="s">
        <v>8933</v>
      </c>
    </row>
    <row r="8955" customFormat="false" ht="15" hidden="false" customHeight="false" outlineLevel="0" collapsed="false">
      <c r="A8955" s="0" t="n">
        <f aca="false">YIELDDISC(DATE(2024,6,30),DATE(2025,2,28),99.5,100.5,1)</f>
        <v>0.0150960564137561</v>
      </c>
      <c r="B8955" s="0" t="s">
        <v>8934</v>
      </c>
    </row>
    <row r="8956" customFormat="false" ht="15" hidden="false" customHeight="false" outlineLevel="0" collapsed="false">
      <c r="A8956" s="0" t="n">
        <f aca="false">RECEIVED(DATE(2024,6,30),DATE(2025,2,28),1000,0.05,1)</f>
        <v>1034.33658329801</v>
      </c>
      <c r="B8956" s="0" t="s">
        <v>8935</v>
      </c>
    </row>
    <row r="8957" customFormat="false" ht="15" hidden="false" customHeight="false" outlineLevel="0" collapsed="false">
      <c r="A8957" s="0" t="n">
        <f aca="false">RECEIVED(DATE(2024,6,30),DATE(2025,2,28),5000,0.12,1)</f>
        <v>5432.84645529035</v>
      </c>
      <c r="B8957" s="0" t="s">
        <v>8936</v>
      </c>
    </row>
    <row r="8958" customFormat="false" ht="15" hidden="false" customHeight="false" outlineLevel="0" collapsed="false">
      <c r="A8958" s="0" t="n">
        <f aca="false">INTRATE(DATE(2024,6,30),DATE(2025,2,28),1000,1050,1)</f>
        <v>0.0753086419753087</v>
      </c>
      <c r="B8958" s="0" t="s">
        <v>8937</v>
      </c>
    </row>
    <row r="8959" customFormat="false" ht="15" hidden="false" customHeight="false" outlineLevel="0" collapsed="false">
      <c r="A8959" s="0" t="n">
        <f aca="false">INTRATE(DATE(2024,6,30),DATE(2025,2,28),950,1000,1)</f>
        <v>0.0792722547108511</v>
      </c>
      <c r="B8959" s="0" t="s">
        <v>8938</v>
      </c>
    </row>
    <row r="8960" customFormat="false" ht="15" hidden="false" customHeight="false" outlineLevel="0" collapsed="false">
      <c r="A8960" s="0" t="n">
        <f aca="false">PRICEMAT(DATE(2024,6,30),DATE(2025,2,28),DATE(2023,10,1),0.05,0.06,1)</f>
        <v>99.2201887983824</v>
      </c>
      <c r="B8960" s="0" t="s">
        <v>8939</v>
      </c>
    </row>
    <row r="8961" customFormat="false" ht="15" hidden="false" customHeight="false" outlineLevel="0" collapsed="false">
      <c r="A8961" s="0" t="n">
        <f aca="false">PRICEMAT(DATE(2024,6,30),DATE(2025,2,28),DATE(2024,1,1),0.1,0.03,1)</f>
        <v>104.469884880736</v>
      </c>
      <c r="B8961" s="0" t="s">
        <v>8940</v>
      </c>
    </row>
    <row r="8962" customFormat="false" ht="15" hidden="false" customHeight="false" outlineLevel="0" collapsed="false">
      <c r="A8962" s="0" t="n">
        <f aca="false">YIELDMAT(DATE(2024,6,30),DATE(2025,2,28),DATE(2023,10,1),0.05,98,1)</f>
        <v>0.0787360111712189</v>
      </c>
      <c r="B8962" s="0" t="s">
        <v>8941</v>
      </c>
    </row>
    <row r="8963" customFormat="false" ht="15" hidden="false" customHeight="false" outlineLevel="0" collapsed="false">
      <c r="A8963" s="0" t="n">
        <f aca="false">YIELDMAT(DATE(2024,6,30),DATE(2025,2,28),DATE(2024,1,1),0.1,101,1)</f>
        <v>0.0801774102201437</v>
      </c>
      <c r="B8963" s="0" t="s">
        <v>8942</v>
      </c>
    </row>
    <row r="8964" customFormat="false" ht="15" hidden="false" customHeight="false" outlineLevel="0" collapsed="false">
      <c r="A8964" s="0" t="n">
        <f aca="false">ACCRINTM(DATE(2023,10,1),DATE(2025,2,28),0.05,1000,1)</f>
        <v>70.6849315068493</v>
      </c>
      <c r="B8964" s="0" t="s">
        <v>8943</v>
      </c>
    </row>
    <row r="8965" customFormat="false" ht="15" hidden="false" customHeight="false" outlineLevel="0" collapsed="false">
      <c r="A8965" s="0" t="n">
        <f aca="false">ACCRINTM(DATE(2024,1,1),DATE(2024,6,30),0.08,5000,1)</f>
        <v>197.814207650273</v>
      </c>
      <c r="B8965" s="0" t="s">
        <v>8944</v>
      </c>
    </row>
    <row r="8966" customFormat="false" ht="15" hidden="false" customHeight="false" outlineLevel="0" collapsed="false">
      <c r="A8966" s="0" t="n">
        <f aca="false">DISC(DATE(2024,6,30),DATE(2025,2,28),95,100,2)</f>
        <v>0.0740740740740741</v>
      </c>
      <c r="B8966" s="0" t="s">
        <v>8945</v>
      </c>
    </row>
    <row r="8967" customFormat="false" ht="15" hidden="false" customHeight="false" outlineLevel="0" collapsed="false">
      <c r="A8967" s="0" t="n">
        <f aca="false">DISC(DATE(2024,6,30),DATE(2025,2,28),100,100,2)</f>
        <v>0</v>
      </c>
      <c r="B8967" s="0" t="s">
        <v>8946</v>
      </c>
    </row>
    <row r="8968" customFormat="false" ht="15" hidden="false" customHeight="false" outlineLevel="0" collapsed="false">
      <c r="A8968" s="0" t="n">
        <f aca="false">DISC(DATE(2024,6,30),DATE(2025,2,28),99.5,100.5,2)</f>
        <v>0.0147411092684724</v>
      </c>
      <c r="B8968" s="0" t="s">
        <v>8947</v>
      </c>
    </row>
    <row r="8969" customFormat="false" ht="15" hidden="false" customHeight="false" outlineLevel="0" collapsed="false">
      <c r="A8969" s="0" t="n">
        <f aca="false">PRICEDISC(DATE(2024,6,30),DATE(2025,2,28),0.05,100,2)</f>
        <v>96.625</v>
      </c>
      <c r="B8969" s="0" t="s">
        <v>8948</v>
      </c>
    </row>
    <row r="8970" customFormat="false" ht="15" hidden="false" customHeight="false" outlineLevel="0" collapsed="false">
      <c r="A8970" s="0" t="n">
        <f aca="false">PRICEDISC(DATE(2024,6,30),DATE(2025,2,28),0.1,105,2)</f>
        <v>97.9125</v>
      </c>
      <c r="B8970" s="0" t="s">
        <v>8949</v>
      </c>
    </row>
    <row r="8971" customFormat="false" ht="15" hidden="false" customHeight="false" outlineLevel="0" collapsed="false">
      <c r="A8971" s="0" t="n">
        <f aca="false">YIELDDISC(DATE(2024,6,30),DATE(2025,2,28),95,100,2)</f>
        <v>0.0779727095516568</v>
      </c>
      <c r="B8971" s="0" t="s">
        <v>8950</v>
      </c>
    </row>
    <row r="8972" customFormat="false" ht="15" hidden="false" customHeight="false" outlineLevel="0" collapsed="false">
      <c r="A8972" s="0" t="n">
        <f aca="false">YIELDDISC(DATE(2024,6,30),DATE(2025,2,28),99.5,100.5,2)</f>
        <v>0.014889261120417</v>
      </c>
      <c r="B8972" s="0" t="s">
        <v>8951</v>
      </c>
    </row>
    <row r="8973" customFormat="false" ht="15" hidden="false" customHeight="false" outlineLevel="0" collapsed="false">
      <c r="A8973" s="0" t="n">
        <f aca="false">RECEIVED(DATE(2024,6,30),DATE(2025,2,28),1000,0.05,2)</f>
        <v>1034.92884864166</v>
      </c>
      <c r="B8973" s="0" t="s">
        <v>8952</v>
      </c>
    </row>
    <row r="8974" customFormat="false" ht="15" hidden="false" customHeight="false" outlineLevel="0" collapsed="false">
      <c r="A8974" s="0" t="n">
        <f aca="false">RECEIVED(DATE(2024,6,30),DATE(2025,2,28),5000,0.12,2)</f>
        <v>5440.69640914037</v>
      </c>
      <c r="B8974" s="0" t="s">
        <v>8953</v>
      </c>
    </row>
    <row r="8975" customFormat="false" ht="15" hidden="false" customHeight="false" outlineLevel="0" collapsed="false">
      <c r="A8975" s="0" t="n">
        <f aca="false">INTRATE(DATE(2024,6,30),DATE(2025,2,28),1000,1050,2)</f>
        <v>0.0740740740740741</v>
      </c>
      <c r="B8975" s="0" t="s">
        <v>8954</v>
      </c>
    </row>
    <row r="8976" customFormat="false" ht="15" hidden="false" customHeight="false" outlineLevel="0" collapsed="false">
      <c r="A8976" s="0" t="n">
        <f aca="false">INTRATE(DATE(2024,6,30),DATE(2025,2,28),950,1000,2)</f>
        <v>0.0779727095516568</v>
      </c>
      <c r="B8976" s="0" t="s">
        <v>8955</v>
      </c>
    </row>
    <row r="8977" customFormat="false" ht="15" hidden="false" customHeight="false" outlineLevel="0" collapsed="false">
      <c r="A8977" s="0" t="n">
        <f aca="false">PRICEMAT(DATE(2024,6,30),DATE(2025,2,28),DATE(2023,10,1),0.05,0.06,2)</f>
        <v>99.2036881307064</v>
      </c>
      <c r="B8977" s="0" t="s">
        <v>8956</v>
      </c>
    </row>
    <row r="8978" customFormat="false" ht="15" hidden="false" customHeight="false" outlineLevel="0" collapsed="false">
      <c r="A8978" s="0" t="n">
        <f aca="false">PRICEMAT(DATE(2024,6,30),DATE(2025,2,28),DATE(2024,1,1),0.1,0.03,2)</f>
        <v>104.531426121049</v>
      </c>
      <c r="B8978" s="0" t="s">
        <v>8957</v>
      </c>
    </row>
    <row r="8979" customFormat="false" ht="15" hidden="false" customHeight="false" outlineLevel="0" collapsed="false">
      <c r="A8979" s="0" t="n">
        <f aca="false">YIELDMAT(DATE(2024,6,30),DATE(2025,2,28),DATE(2023,10,1),0.05,98,2)</f>
        <v>0.0782280438440899</v>
      </c>
      <c r="B8979" s="0" t="s">
        <v>8958</v>
      </c>
    </row>
    <row r="8980" customFormat="false" ht="15" hidden="false" customHeight="false" outlineLevel="0" collapsed="false">
      <c r="A8980" s="0" t="n">
        <f aca="false">YIELDMAT(DATE(2024,6,30),DATE(2025,2,28),DATE(2024,1,1),0.1,101,2)</f>
        <v>0.0803423281809447</v>
      </c>
      <c r="B8980" s="0" t="s">
        <v>8959</v>
      </c>
    </row>
    <row r="8981" customFormat="false" ht="15" hidden="false" customHeight="false" outlineLevel="0" collapsed="false">
      <c r="A8981" s="0" t="n">
        <f aca="false">ACCRINTM(DATE(2023,10,1),DATE(2025,2,28),0.05,1000,2)</f>
        <v>71.6666666666667</v>
      </c>
      <c r="B8981" s="0" t="s">
        <v>8960</v>
      </c>
    </row>
    <row r="8982" customFormat="false" ht="15" hidden="false" customHeight="false" outlineLevel="0" collapsed="false">
      <c r="A8982" s="0" t="n">
        <f aca="false">ACCRINTM(DATE(2024,1,1),DATE(2024,6,30),0.08,5000,2)</f>
        <v>201.111111111111</v>
      </c>
      <c r="B8982" s="0" t="s">
        <v>8961</v>
      </c>
    </row>
    <row r="8983" customFormat="false" ht="15" hidden="false" customHeight="false" outlineLevel="0" collapsed="false">
      <c r="A8983" s="0" t="n">
        <f aca="false">DISC(DATE(2024,6,30),DATE(2025,2,28),95,100,3)</f>
        <v>0.0751028806584363</v>
      </c>
      <c r="B8983" s="0" t="s">
        <v>8962</v>
      </c>
    </row>
    <row r="8984" customFormat="false" ht="15" hidden="false" customHeight="false" outlineLevel="0" collapsed="false">
      <c r="A8984" s="0" t="n">
        <f aca="false">DISC(DATE(2024,6,30),DATE(2025,2,28),100,100,3)</f>
        <v>0</v>
      </c>
      <c r="B8984" s="0" t="s">
        <v>8963</v>
      </c>
    </row>
    <row r="8985" customFormat="false" ht="15" hidden="false" customHeight="false" outlineLevel="0" collapsed="false">
      <c r="A8985" s="0" t="n">
        <f aca="false">DISC(DATE(2024,6,30),DATE(2025,2,28),99.5,100.5,3)</f>
        <v>0.0149458468972012</v>
      </c>
      <c r="B8985" s="0" t="s">
        <v>8964</v>
      </c>
    </row>
    <row r="8986" customFormat="false" ht="15" hidden="false" customHeight="false" outlineLevel="0" collapsed="false">
      <c r="A8986" s="0" t="n">
        <f aca="false">PRICEDISC(DATE(2024,6,30),DATE(2025,2,28),0.05,100,3)</f>
        <v>96.6712328767123</v>
      </c>
      <c r="B8986" s="0" t="s">
        <v>8965</v>
      </c>
    </row>
    <row r="8987" customFormat="false" ht="15" hidden="false" customHeight="false" outlineLevel="0" collapsed="false">
      <c r="A8987" s="0" t="n">
        <f aca="false">PRICEDISC(DATE(2024,6,30),DATE(2025,2,28),0.1,105,3)</f>
        <v>98.0095890410959</v>
      </c>
      <c r="B8987" s="0" t="s">
        <v>8966</v>
      </c>
    </row>
    <row r="8988" customFormat="false" ht="15" hidden="false" customHeight="false" outlineLevel="0" collapsed="false">
      <c r="A8988" s="0" t="n">
        <f aca="false">YIELDDISC(DATE(2024,6,30),DATE(2025,2,28),95,100,3)</f>
        <v>0.0790556638509854</v>
      </c>
      <c r="B8988" s="0" t="s">
        <v>8967</v>
      </c>
    </row>
    <row r="8989" customFormat="false" ht="15" hidden="false" customHeight="false" outlineLevel="0" collapsed="false">
      <c r="A8989" s="0" t="n">
        <f aca="false">YIELDDISC(DATE(2024,6,30),DATE(2025,2,28),99.5,100.5,3)</f>
        <v>0.0150960564137561</v>
      </c>
      <c r="B8989" s="0" t="s">
        <v>8968</v>
      </c>
    </row>
    <row r="8990" customFormat="false" ht="15" hidden="false" customHeight="false" outlineLevel="0" collapsed="false">
      <c r="A8990" s="0" t="n">
        <f aca="false">RECEIVED(DATE(2024,6,30),DATE(2025,2,28),1000,0.05,3)</f>
        <v>1034.43389542298</v>
      </c>
      <c r="B8990" s="0" t="s">
        <v>8969</v>
      </c>
    </row>
    <row r="8991" customFormat="false" ht="15" hidden="false" customHeight="false" outlineLevel="0" collapsed="false">
      <c r="A8991" s="0" t="n">
        <f aca="false">RECEIVED(DATE(2024,6,30),DATE(2025,2,28),5000,0.12,3)</f>
        <v>5434.13530252501</v>
      </c>
      <c r="B8991" s="0" t="s">
        <v>8970</v>
      </c>
    </row>
    <row r="8992" customFormat="false" ht="15" hidden="false" customHeight="false" outlineLevel="0" collapsed="false">
      <c r="A8992" s="0" t="n">
        <f aca="false">INTRATE(DATE(2024,6,30),DATE(2025,2,28),1000,1050,3)</f>
        <v>0.0751028806584363</v>
      </c>
      <c r="B8992" s="0" t="s">
        <v>8971</v>
      </c>
    </row>
    <row r="8993" customFormat="false" ht="15" hidden="false" customHeight="false" outlineLevel="0" collapsed="false">
      <c r="A8993" s="0" t="n">
        <f aca="false">INTRATE(DATE(2024,6,30),DATE(2025,2,28),950,1000,3)</f>
        <v>0.0790556638509854</v>
      </c>
      <c r="B8993" s="0" t="s">
        <v>8972</v>
      </c>
    </row>
    <row r="8994" customFormat="false" ht="15" hidden="false" customHeight="false" outlineLevel="0" collapsed="false">
      <c r="A8994" s="0" t="n">
        <f aca="false">PRICEMAT(DATE(2024,6,30),DATE(2025,2,28),DATE(2023,10,1),0.05,0.06,3)</f>
        <v>99.2161725973986</v>
      </c>
      <c r="B8994" s="0" t="s">
        <v>8973</v>
      </c>
    </row>
    <row r="8995" customFormat="false" ht="15" hidden="false" customHeight="false" outlineLevel="0" collapsed="false">
      <c r="A8995" s="0" t="n">
        <f aca="false">PRICEMAT(DATE(2024,6,30),DATE(2025,2,28),DATE(2024,1,1),0.1,0.03,3)</f>
        <v>104.471915950042</v>
      </c>
      <c r="B8995" s="0" t="s">
        <v>8974</v>
      </c>
    </row>
    <row r="8996" customFormat="false" ht="15" hidden="false" customHeight="false" outlineLevel="0" collapsed="false">
      <c r="A8996" s="0" t="n">
        <f aca="false">YIELDMAT(DATE(2024,6,30),DATE(2025,2,28),DATE(2023,10,1),0.05,98,3)</f>
        <v>0.0786724668806564</v>
      </c>
      <c r="B8996" s="0" t="s">
        <v>8975</v>
      </c>
    </row>
    <row r="8997" customFormat="false" ht="15" hidden="false" customHeight="false" outlineLevel="0" collapsed="false">
      <c r="A8997" s="0" t="n">
        <f aca="false">YIELDMAT(DATE(2024,6,30),DATE(2025,2,28),DATE(2024,1,1),0.1,101,3)</f>
        <v>0.0802003612461129</v>
      </c>
      <c r="B8997" s="0" t="s">
        <v>8976</v>
      </c>
    </row>
    <row r="8998" customFormat="false" ht="15" hidden="false" customHeight="false" outlineLevel="0" collapsed="false">
      <c r="A8998" s="0" t="n">
        <f aca="false">ACCRINTM(DATE(2023,10,1),DATE(2025,2,28),0.05,1000,3)</f>
        <v>70.6849315068493</v>
      </c>
      <c r="B8998" s="0" t="s">
        <v>8977</v>
      </c>
    </row>
    <row r="8999" customFormat="false" ht="15" hidden="false" customHeight="false" outlineLevel="0" collapsed="false">
      <c r="A8999" s="0" t="n">
        <f aca="false">ACCRINTM(DATE(2024,1,1),DATE(2024,6,30),0.08,5000,3)</f>
        <v>198.356164383562</v>
      </c>
      <c r="B8999" s="0" t="s">
        <v>8978</v>
      </c>
    </row>
    <row r="9000" customFormat="false" ht="15" hidden="false" customHeight="false" outlineLevel="0" collapsed="false">
      <c r="A9000" s="0" t="n">
        <f aca="false">DISC(DATE(2024,6,30),DATE(2025,2,28),95,100,4)</f>
        <v>0.0756302521008404</v>
      </c>
      <c r="B9000" s="0" t="s">
        <v>8979</v>
      </c>
    </row>
    <row r="9001" customFormat="false" ht="15" hidden="false" customHeight="false" outlineLevel="0" collapsed="false">
      <c r="A9001" s="0" t="n">
        <f aca="false">DISC(DATE(2024,6,30),DATE(2025,2,28),100,100,4)</f>
        <v>0</v>
      </c>
      <c r="B9001" s="0" t="s">
        <v>8980</v>
      </c>
    </row>
    <row r="9002" customFormat="false" ht="15" hidden="false" customHeight="false" outlineLevel="0" collapsed="false">
      <c r="A9002" s="0" t="n">
        <f aca="false">DISC(DATE(2024,6,30),DATE(2025,2,28),99.5,100.5,4)</f>
        <v>0.0150507964379781</v>
      </c>
      <c r="B9002" s="0" t="s">
        <v>8981</v>
      </c>
    </row>
    <row r="9003" customFormat="false" ht="15" hidden="false" customHeight="false" outlineLevel="0" collapsed="false">
      <c r="A9003" s="0" t="n">
        <f aca="false">PRICEDISC(DATE(2024,6,30),DATE(2025,2,28),0.05,100,4)</f>
        <v>96.6944444444444</v>
      </c>
      <c r="B9003" s="0" t="s">
        <v>8982</v>
      </c>
    </row>
    <row r="9004" customFormat="false" ht="15" hidden="false" customHeight="false" outlineLevel="0" collapsed="false">
      <c r="A9004" s="0" t="n">
        <f aca="false">PRICEDISC(DATE(2024,6,30),DATE(2025,2,28),0.1,105,4)</f>
        <v>98.0583333333333</v>
      </c>
      <c r="B9004" s="0" t="s">
        <v>8983</v>
      </c>
    </row>
    <row r="9005" customFormat="false" ht="15" hidden="false" customHeight="false" outlineLevel="0" collapsed="false">
      <c r="A9005" s="0" t="n">
        <f aca="false">YIELDDISC(DATE(2024,6,30),DATE(2025,2,28),95,100,4)</f>
        <v>0.079610791685095</v>
      </c>
      <c r="B9005" s="0" t="s">
        <v>8984</v>
      </c>
    </row>
    <row r="9006" customFormat="false" ht="15" hidden="false" customHeight="false" outlineLevel="0" collapsed="false">
      <c r="A9006" s="0" t="n">
        <f aca="false">YIELDDISC(DATE(2024,6,30),DATE(2025,2,28),99.5,100.5,4)</f>
        <v>0.0152020607237871</v>
      </c>
      <c r="B9006" s="0" t="s">
        <v>8985</v>
      </c>
    </row>
    <row r="9007" customFormat="false" ht="15" hidden="false" customHeight="false" outlineLevel="0" collapsed="false">
      <c r="A9007" s="0" t="n">
        <f aca="false">RECEIVED(DATE(2024,6,30),DATE(2025,2,28),1000,0.05,4)</f>
        <v>1034.18557885665</v>
      </c>
      <c r="B9007" s="0" t="s">
        <v>8986</v>
      </c>
    </row>
    <row r="9008" customFormat="false" ht="15" hidden="false" customHeight="false" outlineLevel="0" collapsed="false">
      <c r="A9008" s="0" t="n">
        <f aca="false">RECEIVED(DATE(2024,6,30),DATE(2025,2,28),5000,0.12,4)</f>
        <v>5430.8472121651</v>
      </c>
      <c r="B9008" s="0" t="s">
        <v>8987</v>
      </c>
    </row>
    <row r="9009" customFormat="false" ht="15" hidden="false" customHeight="false" outlineLevel="0" collapsed="false">
      <c r="A9009" s="0" t="n">
        <f aca="false">INTRATE(DATE(2024,6,30),DATE(2025,2,28),1000,1050,4)</f>
        <v>0.0756302521008404</v>
      </c>
      <c r="B9009" s="0" t="s">
        <v>8988</v>
      </c>
    </row>
    <row r="9010" customFormat="false" ht="15" hidden="false" customHeight="false" outlineLevel="0" collapsed="false">
      <c r="A9010" s="0" t="n">
        <f aca="false">INTRATE(DATE(2024,6,30),DATE(2025,2,28),950,1000,4)</f>
        <v>0.079610791685095</v>
      </c>
      <c r="B9010" s="0" t="s">
        <v>8989</v>
      </c>
    </row>
    <row r="9011" customFormat="false" ht="15" hidden="false" customHeight="false" outlineLevel="0" collapsed="false">
      <c r="A9011" s="0" t="n">
        <f aca="false">PRICEMAT(DATE(2024,6,30),DATE(2025,2,28),DATE(2023,10,1),0.05,0.06,4)</f>
        <v>99.2215676320758</v>
      </c>
      <c r="B9011" s="0" t="s">
        <v>8990</v>
      </c>
    </row>
    <row r="9012" customFormat="false" ht="15" hidden="false" customHeight="false" outlineLevel="0" collapsed="false">
      <c r="A9012" s="0" t="n">
        <f aca="false">PRICEMAT(DATE(2024,6,30),DATE(2025,2,28),DATE(2024,1,1),0.1,0.03,4)</f>
        <v>104.441080605037</v>
      </c>
      <c r="B9012" s="0" t="s">
        <v>8991</v>
      </c>
    </row>
    <row r="9013" customFormat="false" ht="15" hidden="false" customHeight="false" outlineLevel="0" collapsed="false">
      <c r="A9013" s="0" t="n">
        <f aca="false">YIELDMAT(DATE(2024,6,30),DATE(2025,2,28),DATE(2023,10,1),0.05,98,4)</f>
        <v>0.0788826110649035</v>
      </c>
      <c r="B9013" s="0" t="s">
        <v>8992</v>
      </c>
    </row>
    <row r="9014" customFormat="false" ht="15" hidden="false" customHeight="false" outlineLevel="0" collapsed="false">
      <c r="A9014" s="0" t="n">
        <f aca="false">YIELDMAT(DATE(2024,6,30),DATE(2025,2,28),DATE(2024,1,1),0.1,101,4)</f>
        <v>0.0800907518970891</v>
      </c>
      <c r="B9014" s="0" t="s">
        <v>8993</v>
      </c>
    </row>
    <row r="9015" customFormat="false" ht="15" hidden="false" customHeight="false" outlineLevel="0" collapsed="false">
      <c r="A9015" s="0" t="n">
        <f aca="false">ACCRINTM(DATE(2023,10,1),DATE(2025,2,28),0.05,1000,4)</f>
        <v>70.4166666666667</v>
      </c>
      <c r="B9015" s="0" t="s">
        <v>8994</v>
      </c>
    </row>
    <row r="9016" customFormat="false" ht="15" hidden="false" customHeight="false" outlineLevel="0" collapsed="false">
      <c r="A9016" s="0" t="n">
        <f aca="false">ACCRINTM(DATE(2024,1,1),DATE(2024,6,30),0.08,5000,4)</f>
        <v>198.888888888889</v>
      </c>
      <c r="B9016" s="0" t="s">
        <v>8995</v>
      </c>
    </row>
    <row r="9017" customFormat="false" ht="15" hidden="false" customHeight="false" outlineLevel="0" collapsed="false">
      <c r="A9017" s="0" t="n">
        <f aca="false">TBILLPRICE(DATE(2024,6,30),DATE(2025,2,28),0.05)</f>
        <v>96.6527777777778</v>
      </c>
      <c r="B9017" s="0" t="s">
        <v>8996</v>
      </c>
    </row>
    <row r="9018" customFormat="false" ht="15" hidden="false" customHeight="false" outlineLevel="0" collapsed="false">
      <c r="A9018" s="0" t="n">
        <f aca="false">TBILLYIELD(DATE(2024,6,30),DATE(2025,2,28),98)</f>
        <v>0.0307403296046452</v>
      </c>
      <c r="B9018" s="0" t="s">
        <v>8997</v>
      </c>
    </row>
    <row r="9019" customFormat="false" ht="15" hidden="false" customHeight="false" outlineLevel="0" collapsed="false">
      <c r="A9019" s="0" t="n">
        <f aca="false">TBILLEQ(DATE(2024,6,30),DATE(2025,2,28),0.05)</f>
        <v>0.0524500646644633</v>
      </c>
      <c r="B9019" s="0" t="s">
        <v>8998</v>
      </c>
    </row>
    <row r="9020" customFormat="false" ht="15" hidden="false" customHeight="false" outlineLevel="0" collapsed="false">
      <c r="A9020" s="0" t="n">
        <f aca="false">TBILLEQ(DATE(2024,6,30),DATE(2025,2,28),0.12)</f>
        <v>0.132294309532439</v>
      </c>
      <c r="B9020" s="0" t="s">
        <v>8999</v>
      </c>
    </row>
    <row r="9021" customFormat="false" ht="15" hidden="false" customHeight="false" outlineLevel="0" collapsed="false">
      <c r="A9021" s="0" t="n">
        <f aca="false">DISC(DATE(2023,8,31),DATE(2025,2,28),95,100,0)</f>
        <v>0.033457249070632</v>
      </c>
      <c r="B9021" s="0" t="s">
        <v>9000</v>
      </c>
    </row>
    <row r="9022" customFormat="false" ht="15" hidden="false" customHeight="false" outlineLevel="0" collapsed="false">
      <c r="A9022" s="0" t="n">
        <f aca="false">DISC(DATE(2023,8,31),DATE(2025,2,28),100,100,0)</f>
        <v>0</v>
      </c>
      <c r="B9022" s="0" t="s">
        <v>9001</v>
      </c>
    </row>
    <row r="9023" customFormat="false" ht="15" hidden="false" customHeight="false" outlineLevel="0" collapsed="false">
      <c r="A9023" s="0" t="n">
        <f aca="false">DISC(DATE(2023,8,31),DATE(2025,2,28),99.5,100.5,0)</f>
        <v>0.00665815901903121</v>
      </c>
      <c r="B9023" s="0" t="s">
        <v>9002</v>
      </c>
    </row>
    <row r="9024" customFormat="false" ht="15" hidden="false" customHeight="false" outlineLevel="0" collapsed="false">
      <c r="A9024" s="0" t="n">
        <f aca="false">PRICEDISC(DATE(2023,8,31),DATE(2025,2,28),0.05,100,0)</f>
        <v>92.5416666666667</v>
      </c>
      <c r="B9024" s="0" t="s">
        <v>9003</v>
      </c>
    </row>
    <row r="9025" customFormat="false" ht="15" hidden="false" customHeight="false" outlineLevel="0" collapsed="false">
      <c r="A9025" s="0" t="n">
        <f aca="false">PRICEDISC(DATE(2023,8,31),DATE(2025,2,28),0.1,105,0)</f>
        <v>89.3375</v>
      </c>
      <c r="B9025" s="0" t="s">
        <v>9004</v>
      </c>
    </row>
    <row r="9026" customFormat="false" ht="15" hidden="false" customHeight="false" outlineLevel="0" collapsed="false">
      <c r="A9026" s="0" t="n">
        <f aca="false">YIELDDISC(DATE(2023,8,31),DATE(2025,2,28),95,100,0)</f>
        <v>0.0352181569164547</v>
      </c>
      <c r="B9026" s="0" t="s">
        <v>9005</v>
      </c>
    </row>
    <row r="9027" customFormat="false" ht="15" hidden="false" customHeight="false" outlineLevel="0" collapsed="false">
      <c r="A9027" s="0" t="n">
        <f aca="false">YIELDDISC(DATE(2023,8,31),DATE(2025,2,28),99.5,100.5,0)</f>
        <v>0.00672507519007681</v>
      </c>
      <c r="B9027" s="0" t="s">
        <v>9006</v>
      </c>
    </row>
    <row r="9028" customFormat="false" ht="15" hidden="false" customHeight="false" outlineLevel="0" collapsed="false">
      <c r="A9028" s="0" t="n">
        <f aca="false">RECEIVED(DATE(2023,8,31),DATE(2025,2,28),1000,0.05,0)</f>
        <v>1080.59432687978</v>
      </c>
      <c r="B9028" s="0" t="s">
        <v>9007</v>
      </c>
    </row>
    <row r="9029" customFormat="false" ht="15" hidden="false" customHeight="false" outlineLevel="0" collapsed="false">
      <c r="A9029" s="0" t="n">
        <f aca="false">RECEIVED(DATE(2023,8,31),DATE(2025,2,28),5000,0.12,0)</f>
        <v>6090.13398294763</v>
      </c>
      <c r="B9029" s="0" t="s">
        <v>9008</v>
      </c>
    </row>
    <row r="9030" customFormat="false" ht="15" hidden="false" customHeight="false" outlineLevel="0" collapsed="false">
      <c r="A9030" s="0" t="n">
        <f aca="false">INTRATE(DATE(2023,8,31),DATE(2025,2,28),1000,1050,0)</f>
        <v>0.0335195530726257</v>
      </c>
      <c r="B9030" s="0" t="s">
        <v>9009</v>
      </c>
    </row>
    <row r="9031" customFormat="false" ht="15" hidden="false" customHeight="false" outlineLevel="0" collapsed="false">
      <c r="A9031" s="0" t="n">
        <f aca="false">INTRATE(DATE(2023,8,31),DATE(2025,2,28),950,1000,0)</f>
        <v>0.0352837400764481</v>
      </c>
      <c r="B9031" s="0" t="s">
        <v>9010</v>
      </c>
    </row>
    <row r="9032" customFormat="false" ht="15" hidden="false" customHeight="false" outlineLevel="0" collapsed="false">
      <c r="A9032" s="0" t="n">
        <f aca="false">PRICEMAT(DATE(2023,8,31),DATE(2025,2,28),DATE(2023,10,1),0.05,0.06,0)</f>
        <v>97.8028491553652</v>
      </c>
      <c r="B9032" s="0" t="s">
        <v>9011</v>
      </c>
    </row>
    <row r="9033" customFormat="false" ht="15" hidden="false" customHeight="false" outlineLevel="0" collapsed="false">
      <c r="A9033" s="0" t="n">
        <f aca="false">PRICEMAT(DATE(2023,8,31),DATE(2025,2,28),DATE(2024,1,1),0.1,0.03,0)</f>
        <v>103.434231048723</v>
      </c>
      <c r="B9033" s="0" t="s">
        <v>9012</v>
      </c>
    </row>
    <row r="9034" customFormat="false" ht="15" hidden="false" customHeight="false" outlineLevel="0" collapsed="false">
      <c r="A9034" s="0" t="e">
        <f aca="false">YIELDMAT(DATE(2023,8,31),DATE(2025,2,28),DATE(2023,10,1),0.05,98,0)</f>
        <v>#VALUE!</v>
      </c>
      <c r="B9034" s="0" t="s">
        <v>9013</v>
      </c>
    </row>
    <row r="9035" customFormat="false" ht="15" hidden="false" customHeight="false" outlineLevel="0" collapsed="false">
      <c r="A9035" s="0" t="e">
        <f aca="false">YIELDMAT(DATE(2023,8,31),DATE(2025,2,28),DATE(2024,1,1),0.1,101,0)</f>
        <v>#VALUE!</v>
      </c>
      <c r="B9035" s="0" t="s">
        <v>9014</v>
      </c>
    </row>
    <row r="9036" customFormat="false" ht="15" hidden="false" customHeight="false" outlineLevel="0" collapsed="false">
      <c r="A9036" s="0" t="n">
        <f aca="false">ACCRINTM(DATE(2023,10,1),DATE(2025,2,28),0.05,1000,0)</f>
        <v>70.4166666666667</v>
      </c>
      <c r="B9036" s="0" t="s">
        <v>8926</v>
      </c>
    </row>
    <row r="9037" customFormat="false" ht="15" hidden="false" customHeight="false" outlineLevel="0" collapsed="false">
      <c r="A9037" s="0" t="e">
        <f aca="false">ACCRINTM(DATE(2024,1,1),DATE(2023,8,31),0.08,5000,0)</f>
        <v>#VALUE!</v>
      </c>
      <c r="B9037" s="0" t="s">
        <v>9015</v>
      </c>
    </row>
    <row r="9038" customFormat="false" ht="15" hidden="false" customHeight="false" outlineLevel="0" collapsed="false">
      <c r="A9038" s="0" t="n">
        <f aca="false">DISC(DATE(2023,8,31),DATE(2025,2,28),95,100,1)</f>
        <v>0.0333942717854967</v>
      </c>
      <c r="B9038" s="0" t="s">
        <v>9016</v>
      </c>
    </row>
    <row r="9039" customFormat="false" ht="15" hidden="false" customHeight="false" outlineLevel="0" collapsed="false">
      <c r="A9039" s="0" t="n">
        <f aca="false">DISC(DATE(2023,8,31),DATE(2025,2,28),100,100,1)</f>
        <v>0</v>
      </c>
      <c r="B9039" s="0" t="s">
        <v>9017</v>
      </c>
    </row>
    <row r="9040" customFormat="false" ht="15" hidden="false" customHeight="false" outlineLevel="0" collapsed="false">
      <c r="A9040" s="0" t="n">
        <f aca="false">DISC(DATE(2023,8,31),DATE(2025,2,28),99.5,100.5,1)</f>
        <v>0.00664562622596945</v>
      </c>
      <c r="B9040" s="0" t="s">
        <v>9018</v>
      </c>
    </row>
    <row r="9041" customFormat="false" ht="15" hidden="false" customHeight="false" outlineLevel="0" collapsed="false">
      <c r="A9041" s="0" t="n">
        <f aca="false">PRICEDISC(DATE(2023,8,31),DATE(2025,2,28),0.05,100,1)</f>
        <v>92.5068493150685</v>
      </c>
      <c r="B9041" s="0" t="s">
        <v>9019</v>
      </c>
    </row>
    <row r="9042" customFormat="false" ht="15" hidden="false" customHeight="false" outlineLevel="0" collapsed="false">
      <c r="A9042" s="0" t="n">
        <f aca="false">PRICEDISC(DATE(2023,8,31),DATE(2025,2,28),0.1,105,1)</f>
        <v>89.2643835616438</v>
      </c>
      <c r="B9042" s="0" t="s">
        <v>9020</v>
      </c>
    </row>
    <row r="9043" customFormat="false" ht="15" hidden="false" customHeight="false" outlineLevel="0" collapsed="false">
      <c r="A9043" s="0" t="n">
        <f aca="false">YIELDDISC(DATE(2023,8,31),DATE(2025,2,28),95,100,1)</f>
        <v>0.0351518650373649</v>
      </c>
      <c r="B9043" s="0" t="s">
        <v>9021</v>
      </c>
    </row>
    <row r="9044" customFormat="false" ht="15" hidden="false" customHeight="false" outlineLevel="0" collapsed="false">
      <c r="A9044" s="0" t="n">
        <f aca="false">YIELDDISC(DATE(2023,8,31),DATE(2025,2,28),99.5,100.5,1)</f>
        <v>0.00671241643929584</v>
      </c>
      <c r="B9044" s="0" t="s">
        <v>9022</v>
      </c>
    </row>
    <row r="9045" customFormat="false" ht="15" hidden="false" customHeight="false" outlineLevel="0" collapsed="false">
      <c r="A9045" s="0" t="n">
        <f aca="false">RECEIVED(DATE(2023,8,31),DATE(2025,2,28),1000,0.05,1)</f>
        <v>1081.00103657634</v>
      </c>
      <c r="B9045" s="0" t="s">
        <v>9023</v>
      </c>
    </row>
    <row r="9046" customFormat="false" ht="15" hidden="false" customHeight="false" outlineLevel="0" collapsed="false">
      <c r="A9046" s="0" t="n">
        <f aca="false">RECEIVED(DATE(2023,8,31),DATE(2025,2,28),5000,0.12,1)</f>
        <v>6096.33885622662</v>
      </c>
      <c r="B9046" s="0" t="s">
        <v>9024</v>
      </c>
    </row>
    <row r="9047" customFormat="false" ht="15" hidden="false" customHeight="false" outlineLevel="0" collapsed="false">
      <c r="A9047" s="0" t="n">
        <f aca="false">INTRATE(DATE(2023,8,31),DATE(2025,2,28),1000,1050,1)</f>
        <v>0.033363802559415</v>
      </c>
      <c r="B9047" s="0" t="s">
        <v>9025</v>
      </c>
    </row>
    <row r="9048" customFormat="false" ht="15" hidden="false" customHeight="false" outlineLevel="0" collapsed="false">
      <c r="A9048" s="0" t="n">
        <f aca="false">INTRATE(DATE(2023,8,31),DATE(2025,2,28),950,1000,1)</f>
        <v>0.0351197921678052</v>
      </c>
      <c r="B9048" s="0" t="s">
        <v>9026</v>
      </c>
    </row>
    <row r="9049" customFormat="false" ht="15" hidden="false" customHeight="false" outlineLevel="0" collapsed="false">
      <c r="A9049" s="0" t="n">
        <f aca="false">PRICEMAT(DATE(2023,8,31),DATE(2025,2,28),DATE(2023,10,1),0.05,0.06,1)</f>
        <v>97.8122026368768</v>
      </c>
      <c r="B9049" s="0" t="s">
        <v>9027</v>
      </c>
    </row>
    <row r="9050" customFormat="false" ht="15" hidden="false" customHeight="false" outlineLevel="0" collapsed="false">
      <c r="A9050" s="0" t="n">
        <f aca="false">PRICEMAT(DATE(2023,8,31),DATE(2025,2,28),DATE(2024,1,1),0.1,0.03,1)</f>
        <v>103.433311655496</v>
      </c>
      <c r="B9050" s="0" t="s">
        <v>9028</v>
      </c>
    </row>
    <row r="9051" customFormat="false" ht="15" hidden="false" customHeight="false" outlineLevel="0" collapsed="false">
      <c r="A9051" s="0" t="e">
        <f aca="false">YIELDMAT(DATE(2023,8,31),DATE(2025,2,28),DATE(2023,10,1),0.05,98,1)</f>
        <v>#VALUE!</v>
      </c>
      <c r="B9051" s="0" t="s">
        <v>9029</v>
      </c>
    </row>
    <row r="9052" customFormat="false" ht="15" hidden="false" customHeight="false" outlineLevel="0" collapsed="false">
      <c r="A9052" s="0" t="e">
        <f aca="false">YIELDMAT(DATE(2023,8,31),DATE(2025,2,28),DATE(2024,1,1),0.1,101,1)</f>
        <v>#VALUE!</v>
      </c>
      <c r="B9052" s="0" t="s">
        <v>9030</v>
      </c>
    </row>
    <row r="9053" customFormat="false" ht="15" hidden="false" customHeight="false" outlineLevel="0" collapsed="false">
      <c r="A9053" s="0" t="n">
        <f aca="false">ACCRINTM(DATE(2023,10,1),DATE(2025,2,28),0.05,1000,1)</f>
        <v>70.6849315068493</v>
      </c>
      <c r="B9053" s="0" t="s">
        <v>8943</v>
      </c>
    </row>
    <row r="9054" customFormat="false" ht="15" hidden="false" customHeight="false" outlineLevel="0" collapsed="false">
      <c r="A9054" s="0" t="e">
        <f aca="false">ACCRINTM(DATE(2024,1,1),DATE(2023,8,31),0.08,5000,1)</f>
        <v>#VALUE!</v>
      </c>
      <c r="B9054" s="0" t="s">
        <v>9031</v>
      </c>
    </row>
    <row r="9055" customFormat="false" ht="15" hidden="false" customHeight="false" outlineLevel="0" collapsed="false">
      <c r="A9055" s="0" t="n">
        <f aca="false">DISC(DATE(2023,8,31),DATE(2025,2,28),95,100,2)</f>
        <v>0.0329067641681902</v>
      </c>
      <c r="B9055" s="0" t="s">
        <v>9032</v>
      </c>
    </row>
    <row r="9056" customFormat="false" ht="15" hidden="false" customHeight="false" outlineLevel="0" collapsed="false">
      <c r="A9056" s="0" t="n">
        <f aca="false">DISC(DATE(2023,8,31),DATE(2025,2,28),100,100,2)</f>
        <v>0</v>
      </c>
      <c r="B9056" s="0" t="s">
        <v>9033</v>
      </c>
    </row>
    <row r="9057" customFormat="false" ht="15" hidden="false" customHeight="false" outlineLevel="0" collapsed="false">
      <c r="A9057" s="0" t="n">
        <f aca="false">DISC(DATE(2023,8,31),DATE(2025,2,28),99.5,100.5,2)</f>
        <v>0.00654860978471442</v>
      </c>
      <c r="B9057" s="0" t="s">
        <v>9034</v>
      </c>
    </row>
    <row r="9058" customFormat="false" ht="15" hidden="false" customHeight="false" outlineLevel="0" collapsed="false">
      <c r="A9058" s="0" t="n">
        <f aca="false">PRICEDISC(DATE(2023,8,31),DATE(2025,2,28),0.05,100,2)</f>
        <v>92.4027777777778</v>
      </c>
      <c r="B9058" s="0" t="s">
        <v>9035</v>
      </c>
    </row>
    <row r="9059" customFormat="false" ht="15" hidden="false" customHeight="false" outlineLevel="0" collapsed="false">
      <c r="A9059" s="0" t="n">
        <f aca="false">PRICEDISC(DATE(2023,8,31),DATE(2025,2,28),0.1,105,2)</f>
        <v>89.0458333333333</v>
      </c>
      <c r="B9059" s="0" t="s">
        <v>9036</v>
      </c>
    </row>
    <row r="9060" customFormat="false" ht="15" hidden="false" customHeight="false" outlineLevel="0" collapsed="false">
      <c r="A9060" s="0" t="n">
        <f aca="false">YIELDDISC(DATE(2023,8,31),DATE(2025,2,28),95,100,2)</f>
        <v>0.0346386991244106</v>
      </c>
      <c r="B9060" s="0" t="s">
        <v>9037</v>
      </c>
    </row>
    <row r="9061" customFormat="false" ht="15" hidden="false" customHeight="false" outlineLevel="0" collapsed="false">
      <c r="A9061" s="0" t="n">
        <f aca="false">YIELDDISC(DATE(2023,8,31),DATE(2025,2,28),99.5,100.5,2)</f>
        <v>0.00661442495843021</v>
      </c>
      <c r="B9061" s="0" t="s">
        <v>9038</v>
      </c>
    </row>
    <row r="9062" customFormat="false" ht="15" hidden="false" customHeight="false" outlineLevel="0" collapsed="false">
      <c r="A9062" s="0" t="n">
        <f aca="false">RECEIVED(DATE(2023,8,31),DATE(2025,2,28),1000,0.05,2)</f>
        <v>1082.21854802345</v>
      </c>
      <c r="B9062" s="0" t="s">
        <v>9039</v>
      </c>
    </row>
    <row r="9063" customFormat="false" ht="15" hidden="false" customHeight="false" outlineLevel="0" collapsed="false">
      <c r="A9063" s="0" t="n">
        <f aca="false">RECEIVED(DATE(2023,8,31),DATE(2025,2,28),5000,0.12,2)</f>
        <v>6114.96127191195</v>
      </c>
      <c r="B9063" s="0" t="s">
        <v>9040</v>
      </c>
    </row>
    <row r="9064" customFormat="false" ht="15" hidden="false" customHeight="false" outlineLevel="0" collapsed="false">
      <c r="A9064" s="0" t="n">
        <f aca="false">INTRATE(DATE(2023,8,31),DATE(2025,2,28),1000,1050,2)</f>
        <v>0.0329067641681902</v>
      </c>
      <c r="B9064" s="0" t="s">
        <v>9041</v>
      </c>
    </row>
    <row r="9065" customFormat="false" ht="15" hidden="false" customHeight="false" outlineLevel="0" collapsed="false">
      <c r="A9065" s="0" t="n">
        <f aca="false">INTRATE(DATE(2023,8,31),DATE(2025,2,28),950,1000,2)</f>
        <v>0.0346386991244106</v>
      </c>
      <c r="B9065" s="0" t="s">
        <v>9042</v>
      </c>
    </row>
    <row r="9066" customFormat="false" ht="15" hidden="false" customHeight="false" outlineLevel="0" collapsed="false">
      <c r="A9066" s="0" t="n">
        <f aca="false">PRICEMAT(DATE(2023,8,31),DATE(2025,2,28),DATE(2023,10,1),0.05,0.06,2)</f>
        <v>97.7823663934287</v>
      </c>
      <c r="B9066" s="0" t="s">
        <v>9043</v>
      </c>
    </row>
    <row r="9067" customFormat="false" ht="15" hidden="false" customHeight="false" outlineLevel="0" collapsed="false">
      <c r="A9067" s="0" t="n">
        <f aca="false">PRICEMAT(DATE(2023,8,31),DATE(2025,2,28),DATE(2024,1,1),0.1,0.03,2)</f>
        <v>103.48803830929</v>
      </c>
      <c r="B9067" s="0" t="s">
        <v>9044</v>
      </c>
    </row>
    <row r="9068" customFormat="false" ht="15" hidden="false" customHeight="false" outlineLevel="0" collapsed="false">
      <c r="A9068" s="0" t="e">
        <f aca="false">YIELDMAT(DATE(2023,8,31),DATE(2025,2,28),DATE(2023,10,1),0.05,98,2)</f>
        <v>#VALUE!</v>
      </c>
      <c r="B9068" s="0" t="s">
        <v>9045</v>
      </c>
    </row>
    <row r="9069" customFormat="false" ht="15" hidden="false" customHeight="false" outlineLevel="0" collapsed="false">
      <c r="A9069" s="0" t="e">
        <f aca="false">YIELDMAT(DATE(2023,8,31),DATE(2025,2,28),DATE(2024,1,1),0.1,101,2)</f>
        <v>#VALUE!</v>
      </c>
      <c r="B9069" s="0" t="s">
        <v>9046</v>
      </c>
    </row>
    <row r="9070" customFormat="false" ht="15" hidden="false" customHeight="false" outlineLevel="0" collapsed="false">
      <c r="A9070" s="0" t="n">
        <f aca="false">ACCRINTM(DATE(2023,10,1),DATE(2025,2,28),0.05,1000,2)</f>
        <v>71.6666666666667</v>
      </c>
      <c r="B9070" s="0" t="s">
        <v>8960</v>
      </c>
    </row>
    <row r="9071" customFormat="false" ht="15" hidden="false" customHeight="false" outlineLevel="0" collapsed="false">
      <c r="A9071" s="0" t="e">
        <f aca="false">ACCRINTM(DATE(2024,1,1),DATE(2023,8,31),0.08,5000,2)</f>
        <v>#VALUE!</v>
      </c>
      <c r="B9071" s="0" t="s">
        <v>9047</v>
      </c>
    </row>
    <row r="9072" customFormat="false" ht="15" hidden="false" customHeight="false" outlineLevel="0" collapsed="false">
      <c r="A9072" s="0" t="n">
        <f aca="false">DISC(DATE(2023,8,31),DATE(2025,2,28),95,100,3)</f>
        <v>0.033363802559415</v>
      </c>
      <c r="B9072" s="0" t="s">
        <v>9048</v>
      </c>
    </row>
    <row r="9073" customFormat="false" ht="15" hidden="false" customHeight="false" outlineLevel="0" collapsed="false">
      <c r="A9073" s="0" t="n">
        <f aca="false">DISC(DATE(2023,8,31),DATE(2025,2,28),100,100,3)</f>
        <v>0</v>
      </c>
      <c r="B9073" s="0" t="s">
        <v>9049</v>
      </c>
    </row>
    <row r="9074" customFormat="false" ht="15" hidden="false" customHeight="false" outlineLevel="0" collapsed="false">
      <c r="A9074" s="0" t="n">
        <f aca="false">DISC(DATE(2023,8,31),DATE(2025,2,28),99.5,100.5,3)</f>
        <v>0.00663956269839101</v>
      </c>
      <c r="B9074" s="0" t="s">
        <v>9050</v>
      </c>
    </row>
    <row r="9075" customFormat="false" ht="15" hidden="false" customHeight="false" outlineLevel="0" collapsed="false">
      <c r="A9075" s="0" t="n">
        <f aca="false">PRICEDISC(DATE(2023,8,31),DATE(2025,2,28),0.05,100,3)</f>
        <v>92.5068493150685</v>
      </c>
      <c r="B9075" s="0" t="s">
        <v>9051</v>
      </c>
    </row>
    <row r="9076" customFormat="false" ht="15" hidden="false" customHeight="false" outlineLevel="0" collapsed="false">
      <c r="A9076" s="0" t="n">
        <f aca="false">PRICEDISC(DATE(2023,8,31),DATE(2025,2,28),0.1,105,3)</f>
        <v>89.2643835616438</v>
      </c>
      <c r="B9076" s="0" t="s">
        <v>9052</v>
      </c>
    </row>
    <row r="9077" customFormat="false" ht="15" hidden="false" customHeight="false" outlineLevel="0" collapsed="false">
      <c r="A9077" s="0" t="n">
        <f aca="false">YIELDDISC(DATE(2023,8,31),DATE(2025,2,28),95,100,3)</f>
        <v>0.0351197921678052</v>
      </c>
      <c r="B9077" s="0" t="s">
        <v>9053</v>
      </c>
    </row>
    <row r="9078" customFormat="false" ht="15" hidden="false" customHeight="false" outlineLevel="0" collapsed="false">
      <c r="A9078" s="0" t="n">
        <f aca="false">YIELDDISC(DATE(2023,8,31),DATE(2025,2,28),99.5,100.5,3)</f>
        <v>0.00670629197174174</v>
      </c>
      <c r="B9078" s="0" t="s">
        <v>9054</v>
      </c>
    </row>
    <row r="9079" customFormat="false" ht="15" hidden="false" customHeight="false" outlineLevel="0" collapsed="false">
      <c r="A9079" s="0" t="n">
        <f aca="false">RECEIVED(DATE(2023,8,31),DATE(2025,2,28),1000,0.05,3)</f>
        <v>1081.00103657634</v>
      </c>
      <c r="B9079" s="0" t="s">
        <v>9055</v>
      </c>
    </row>
    <row r="9080" customFormat="false" ht="15" hidden="false" customHeight="false" outlineLevel="0" collapsed="false">
      <c r="A9080" s="0" t="n">
        <f aca="false">RECEIVED(DATE(2023,8,31),DATE(2025,2,28),5000,0.12,3)</f>
        <v>6096.33885622662</v>
      </c>
      <c r="B9080" s="0" t="s">
        <v>9056</v>
      </c>
    </row>
    <row r="9081" customFormat="false" ht="15" hidden="false" customHeight="false" outlineLevel="0" collapsed="false">
      <c r="A9081" s="0" t="n">
        <f aca="false">INTRATE(DATE(2023,8,31),DATE(2025,2,28),1000,1050,3)</f>
        <v>0.033363802559415</v>
      </c>
      <c r="B9081" s="0" t="s">
        <v>9057</v>
      </c>
    </row>
    <row r="9082" customFormat="false" ht="15" hidden="false" customHeight="false" outlineLevel="0" collapsed="false">
      <c r="A9082" s="0" t="n">
        <f aca="false">INTRATE(DATE(2023,8,31),DATE(2025,2,28),950,1000,3)</f>
        <v>0.0351197921678052</v>
      </c>
      <c r="B9082" s="0" t="s">
        <v>9058</v>
      </c>
    </row>
    <row r="9083" customFormat="false" ht="15" hidden="false" customHeight="false" outlineLevel="0" collapsed="false">
      <c r="A9083" s="0" t="n">
        <f aca="false">PRICEMAT(DATE(2023,8,31),DATE(2025,2,28),DATE(2023,10,1),0.05,0.06,3)</f>
        <v>97.8107253022121</v>
      </c>
      <c r="B9083" s="0" t="s">
        <v>9059</v>
      </c>
    </row>
    <row r="9084" customFormat="false" ht="15" hidden="false" customHeight="false" outlineLevel="0" collapsed="false">
      <c r="A9084" s="0" t="n">
        <f aca="false">PRICEMAT(DATE(2023,8,31),DATE(2025,2,28),DATE(2024,1,1),0.1,0.03,3)</f>
        <v>103.444326441219</v>
      </c>
      <c r="B9084" s="0" t="s">
        <v>9060</v>
      </c>
    </row>
    <row r="9085" customFormat="false" ht="15" hidden="false" customHeight="false" outlineLevel="0" collapsed="false">
      <c r="A9085" s="0" t="e">
        <f aca="false">YIELDMAT(DATE(2023,8,31),DATE(2025,2,28),DATE(2023,10,1),0.05,98,3)</f>
        <v>#VALUE!</v>
      </c>
      <c r="B9085" s="0" t="s">
        <v>9061</v>
      </c>
    </row>
    <row r="9086" customFormat="false" ht="15" hidden="false" customHeight="false" outlineLevel="0" collapsed="false">
      <c r="A9086" s="0" t="e">
        <f aca="false">YIELDMAT(DATE(2023,8,31),DATE(2025,2,28),DATE(2024,1,1),0.1,101,3)</f>
        <v>#VALUE!</v>
      </c>
      <c r="B9086" s="0" t="s">
        <v>9062</v>
      </c>
    </row>
    <row r="9087" customFormat="false" ht="15" hidden="false" customHeight="false" outlineLevel="0" collapsed="false">
      <c r="A9087" s="0" t="n">
        <f aca="false">ACCRINTM(DATE(2023,10,1),DATE(2025,2,28),0.05,1000,3)</f>
        <v>70.6849315068493</v>
      </c>
      <c r="B9087" s="0" t="s">
        <v>8977</v>
      </c>
    </row>
    <row r="9088" customFormat="false" ht="15" hidden="false" customHeight="false" outlineLevel="0" collapsed="false">
      <c r="A9088" s="0" t="e">
        <f aca="false">ACCRINTM(DATE(2024,1,1),DATE(2023,8,31),0.08,5000,3)</f>
        <v>#VALUE!</v>
      </c>
      <c r="B9088" s="0" t="s">
        <v>9063</v>
      </c>
    </row>
    <row r="9089" customFormat="false" ht="15" hidden="false" customHeight="false" outlineLevel="0" collapsed="false">
      <c r="A9089" s="0" t="n">
        <f aca="false">DISC(DATE(2023,8,31),DATE(2025,2,28),95,100,4)</f>
        <v>0.033457249070632</v>
      </c>
      <c r="B9089" s="0" t="s">
        <v>9064</v>
      </c>
    </row>
    <row r="9090" customFormat="false" ht="15" hidden="false" customHeight="false" outlineLevel="0" collapsed="false">
      <c r="A9090" s="0" t="n">
        <f aca="false">DISC(DATE(2023,8,31),DATE(2025,2,28),100,100,4)</f>
        <v>0</v>
      </c>
      <c r="B9090" s="0" t="s">
        <v>9065</v>
      </c>
    </row>
    <row r="9091" customFormat="false" ht="15" hidden="false" customHeight="false" outlineLevel="0" collapsed="false">
      <c r="A9091" s="0" t="n">
        <f aca="false">DISC(DATE(2023,8,31),DATE(2025,2,28),99.5,100.5,4)</f>
        <v>0.00665815901903121</v>
      </c>
      <c r="B9091" s="0" t="s">
        <v>9066</v>
      </c>
    </row>
    <row r="9092" customFormat="false" ht="15" hidden="false" customHeight="false" outlineLevel="0" collapsed="false">
      <c r="A9092" s="0" t="n">
        <f aca="false">PRICEDISC(DATE(2023,8,31),DATE(2025,2,28),0.05,100,4)</f>
        <v>92.5416666666667</v>
      </c>
      <c r="B9092" s="0" t="s">
        <v>9067</v>
      </c>
    </row>
    <row r="9093" customFormat="false" ht="15" hidden="false" customHeight="false" outlineLevel="0" collapsed="false">
      <c r="A9093" s="0" t="n">
        <f aca="false">PRICEDISC(DATE(2023,8,31),DATE(2025,2,28),0.1,105,4)</f>
        <v>89.3375</v>
      </c>
      <c r="B9093" s="0" t="s">
        <v>9068</v>
      </c>
    </row>
    <row r="9094" customFormat="false" ht="15" hidden="false" customHeight="false" outlineLevel="0" collapsed="false">
      <c r="A9094" s="0" t="n">
        <f aca="false">YIELDDISC(DATE(2023,8,31),DATE(2025,2,28),95,100,4)</f>
        <v>0.0352181569164547</v>
      </c>
      <c r="B9094" s="0" t="s">
        <v>9069</v>
      </c>
    </row>
    <row r="9095" customFormat="false" ht="15" hidden="false" customHeight="false" outlineLevel="0" collapsed="false">
      <c r="A9095" s="0" t="n">
        <f aca="false">YIELDDISC(DATE(2023,8,31),DATE(2025,2,28),99.5,100.5,4)</f>
        <v>0.00672507519007681</v>
      </c>
      <c r="B9095" s="0" t="s">
        <v>9070</v>
      </c>
    </row>
    <row r="9096" customFormat="false" ht="15" hidden="false" customHeight="false" outlineLevel="0" collapsed="false">
      <c r="A9096" s="0" t="n">
        <f aca="false">RECEIVED(DATE(2023,8,31),DATE(2025,2,28),1000,0.05,4)</f>
        <v>1080.59432687978</v>
      </c>
      <c r="B9096" s="0" t="s">
        <v>9071</v>
      </c>
    </row>
    <row r="9097" customFormat="false" ht="15" hidden="false" customHeight="false" outlineLevel="0" collapsed="false">
      <c r="A9097" s="0" t="n">
        <f aca="false">RECEIVED(DATE(2023,8,31),DATE(2025,2,28),5000,0.12,4)</f>
        <v>6090.13398294763</v>
      </c>
      <c r="B9097" s="0" t="s">
        <v>9072</v>
      </c>
    </row>
    <row r="9098" customFormat="false" ht="15" hidden="false" customHeight="false" outlineLevel="0" collapsed="false">
      <c r="A9098" s="0" t="n">
        <f aca="false">INTRATE(DATE(2023,8,31),DATE(2025,2,28),1000,1050,4)</f>
        <v>0.0335195530726257</v>
      </c>
      <c r="B9098" s="0" t="s">
        <v>9073</v>
      </c>
    </row>
    <row r="9099" customFormat="false" ht="15" hidden="false" customHeight="false" outlineLevel="0" collapsed="false">
      <c r="A9099" s="0" t="n">
        <f aca="false">INTRATE(DATE(2023,8,31),DATE(2025,2,28),950,1000,4)</f>
        <v>0.0352837400764481</v>
      </c>
      <c r="B9099" s="0" t="s">
        <v>9074</v>
      </c>
    </row>
    <row r="9100" customFormat="false" ht="15" hidden="false" customHeight="false" outlineLevel="0" collapsed="false">
      <c r="A9100" s="0" t="n">
        <f aca="false">PRICEMAT(DATE(2023,8,31),DATE(2025,2,28),DATE(2023,10,1),0.05,0.06,4)</f>
        <v>97.8028491553652</v>
      </c>
      <c r="B9100" s="0" t="s">
        <v>9075</v>
      </c>
    </row>
    <row r="9101" customFormat="false" ht="15" hidden="false" customHeight="false" outlineLevel="0" collapsed="false">
      <c r="A9101" s="0" t="n">
        <f aca="false">PRICEMAT(DATE(2023,8,31),DATE(2025,2,28),DATE(2024,1,1),0.1,0.03,4)</f>
        <v>103.434231048723</v>
      </c>
      <c r="B9101" s="0" t="s">
        <v>9076</v>
      </c>
    </row>
    <row r="9102" customFormat="false" ht="15" hidden="false" customHeight="false" outlineLevel="0" collapsed="false">
      <c r="A9102" s="0" t="e">
        <f aca="false">YIELDMAT(DATE(2023,8,31),DATE(2025,2,28),DATE(2023,10,1),0.05,98,4)</f>
        <v>#VALUE!</v>
      </c>
      <c r="B9102" s="0" t="s">
        <v>9077</v>
      </c>
    </row>
    <row r="9103" customFormat="false" ht="15" hidden="false" customHeight="false" outlineLevel="0" collapsed="false">
      <c r="A9103" s="0" t="e">
        <f aca="false">YIELDMAT(DATE(2023,8,31),DATE(2025,2,28),DATE(2024,1,1),0.1,101,4)</f>
        <v>#VALUE!</v>
      </c>
      <c r="B9103" s="0" t="s">
        <v>9078</v>
      </c>
    </row>
    <row r="9104" customFormat="false" ht="15" hidden="false" customHeight="false" outlineLevel="0" collapsed="false">
      <c r="A9104" s="0" t="n">
        <f aca="false">ACCRINTM(DATE(2023,10,1),DATE(2025,2,28),0.05,1000,4)</f>
        <v>70.4166666666667</v>
      </c>
      <c r="B9104" s="0" t="s">
        <v>8994</v>
      </c>
    </row>
    <row r="9105" customFormat="false" ht="15" hidden="false" customHeight="false" outlineLevel="0" collapsed="false">
      <c r="A9105" s="0" t="e">
        <f aca="false">ACCRINTM(DATE(2024,1,1),DATE(2023,8,31),0.08,5000,4)</f>
        <v>#VALUE!</v>
      </c>
      <c r="B9105" s="0" t="s">
        <v>9079</v>
      </c>
    </row>
    <row r="9106" customFormat="false" ht="15" hidden="false" customHeight="false" outlineLevel="0" collapsed="false">
      <c r="A9106" s="0" t="n">
        <f aca="false">TBILLPRICE(DATE(2023,8,31),DATE(2025,2,28),0.05)</f>
        <v>92.4861111111111</v>
      </c>
      <c r="B9106" s="0" t="s">
        <v>9080</v>
      </c>
    </row>
    <row r="9107" customFormat="false" ht="15" hidden="false" customHeight="false" outlineLevel="0" collapsed="false">
      <c r="A9107" s="0" t="e">
        <f aca="false">TBILLYIELD(DATE(2023,8,31),DATE(2025,2,28),98)</f>
        <v>#VALUE!</v>
      </c>
      <c r="B9107" s="0" t="s">
        <v>9081</v>
      </c>
    </row>
    <row r="9108" customFormat="false" ht="15" hidden="false" customHeight="false" outlineLevel="0" collapsed="false">
      <c r="A9108" s="0" t="e">
        <f aca="false">TBILLEQ(DATE(2023,8,31),DATE(2025,2,28),0.05)</f>
        <v>#VALUE!</v>
      </c>
      <c r="B9108" s="0" t="s">
        <v>9082</v>
      </c>
    </row>
    <row r="9109" customFormat="false" ht="15" hidden="false" customHeight="false" outlineLevel="0" collapsed="false">
      <c r="A9109" s="0" t="e">
        <f aca="false">TBILLEQ(DATE(2023,8,31),DATE(2025,2,28),0.12)</f>
        <v>#VALUE!</v>
      </c>
      <c r="B9109" s="0" t="s">
        <v>9083</v>
      </c>
    </row>
    <row r="9110" customFormat="false" ht="15" hidden="false" customHeight="false" outlineLevel="0" collapsed="false">
      <c r="A9110" s="0" t="n">
        <f aca="false">DISC(DATE(2024,2,15),DATE(2024,2,29),95,100,0)</f>
        <v>1.28571428571429</v>
      </c>
      <c r="B9110" s="0" t="s">
        <v>9084</v>
      </c>
    </row>
    <row r="9111" customFormat="false" ht="15" hidden="false" customHeight="false" outlineLevel="0" collapsed="false">
      <c r="A9111" s="0" t="n">
        <f aca="false">DISC(DATE(2024,2,15),DATE(2024,2,29),100,100,0)</f>
        <v>0</v>
      </c>
      <c r="B9111" s="0" t="s">
        <v>9085</v>
      </c>
    </row>
    <row r="9112" customFormat="false" ht="15" hidden="false" customHeight="false" outlineLevel="0" collapsed="false">
      <c r="A9112" s="0" t="n">
        <f aca="false">DISC(DATE(2024,2,15),DATE(2024,2,29),99.5,100.5,0)</f>
        <v>0.255863539445628</v>
      </c>
      <c r="B9112" s="0" t="s">
        <v>9086</v>
      </c>
    </row>
    <row r="9113" customFormat="false" ht="15" hidden="false" customHeight="false" outlineLevel="0" collapsed="false">
      <c r="A9113" s="0" t="n">
        <f aca="false">PRICEDISC(DATE(2024,2,15),DATE(2024,2,29),0.05,100,0)</f>
        <v>99.8055555555556</v>
      </c>
      <c r="B9113" s="0" t="s">
        <v>9087</v>
      </c>
    </row>
    <row r="9114" customFormat="false" ht="15" hidden="false" customHeight="false" outlineLevel="0" collapsed="false">
      <c r="A9114" s="0" t="n">
        <f aca="false">PRICEDISC(DATE(2024,2,15),DATE(2024,2,29),0.1,105,0)</f>
        <v>104.591666666667</v>
      </c>
      <c r="B9114" s="0" t="s">
        <v>9088</v>
      </c>
    </row>
    <row r="9115" customFormat="false" ht="15" hidden="false" customHeight="false" outlineLevel="0" collapsed="false">
      <c r="A9115" s="0" t="n">
        <f aca="false">YIELDDISC(DATE(2024,2,15),DATE(2024,2,29),95,100,0)</f>
        <v>1.35338345864662</v>
      </c>
      <c r="B9115" s="0" t="s">
        <v>9089</v>
      </c>
    </row>
    <row r="9116" customFormat="false" ht="15" hidden="false" customHeight="false" outlineLevel="0" collapsed="false">
      <c r="A9116" s="0" t="n">
        <f aca="false">YIELDDISC(DATE(2024,2,15),DATE(2024,2,29),99.5,100.5,0)</f>
        <v>0.25843503230438</v>
      </c>
      <c r="B9116" s="0" t="s">
        <v>9090</v>
      </c>
    </row>
    <row r="9117" customFormat="false" ht="15" hidden="false" customHeight="false" outlineLevel="0" collapsed="false">
      <c r="A9117" s="0" t="n">
        <f aca="false">RECEIVED(DATE(2024,2,15),DATE(2024,2,29),1000,0.05,0)</f>
        <v>1001.94823267465</v>
      </c>
      <c r="B9117" s="0" t="s">
        <v>9091</v>
      </c>
    </row>
    <row r="9118" customFormat="false" ht="15" hidden="false" customHeight="false" outlineLevel="0" collapsed="false">
      <c r="A9118" s="0" t="n">
        <f aca="false">RECEIVED(DATE(2024,2,15),DATE(2024,2,29),5000,0.12,0)</f>
        <v>5023.44273275285</v>
      </c>
      <c r="B9118" s="0" t="s">
        <v>9092</v>
      </c>
    </row>
    <row r="9119" customFormat="false" ht="15" hidden="false" customHeight="false" outlineLevel="0" collapsed="false">
      <c r="A9119" s="0" t="n">
        <f aca="false">INTRATE(DATE(2024,2,15),DATE(2024,2,29),1000,1050,0)</f>
        <v>1.28571428571429</v>
      </c>
      <c r="B9119" s="0" t="s">
        <v>9093</v>
      </c>
    </row>
    <row r="9120" customFormat="false" ht="15" hidden="false" customHeight="false" outlineLevel="0" collapsed="false">
      <c r="A9120" s="0" t="n">
        <f aca="false">INTRATE(DATE(2024,2,15),DATE(2024,2,29),950,1000,0)</f>
        <v>1.35338345864662</v>
      </c>
      <c r="B9120" s="0" t="s">
        <v>9094</v>
      </c>
    </row>
    <row r="9121" customFormat="false" ht="15" hidden="false" customHeight="false" outlineLevel="0" collapsed="false">
      <c r="A9121" s="0" t="n">
        <f aca="false">PRICEMAT(DATE(2024,2,15),DATE(2024,2,29),DATE(2023,10,1),0.05,0.06,0)</f>
        <v>99.9568691571519</v>
      </c>
      <c r="B9121" s="0" t="s">
        <v>9095</v>
      </c>
    </row>
    <row r="9122" customFormat="false" ht="15" hidden="false" customHeight="false" outlineLevel="0" collapsed="false">
      <c r="A9122" s="0" t="n">
        <f aca="false">PRICEMAT(DATE(2024,2,15),DATE(2024,2,29),DATE(2024,1,1),0.1,0.03,0)</f>
        <v>100.270480735438</v>
      </c>
      <c r="B9122" s="0" t="s">
        <v>9096</v>
      </c>
    </row>
    <row r="9123" customFormat="false" ht="15" hidden="false" customHeight="false" outlineLevel="0" collapsed="false">
      <c r="A9123" s="0" t="n">
        <f aca="false">YIELDMAT(DATE(2024,2,15),DATE(2024,2,29),DATE(2023,10,1),0.05,98,0)</f>
        <v>0.565070534472481</v>
      </c>
      <c r="B9123" s="0" t="s">
        <v>9097</v>
      </c>
    </row>
    <row r="9124" customFormat="false" ht="15" hidden="false" customHeight="false" outlineLevel="0" collapsed="false">
      <c r="A9124" s="0" t="n">
        <f aca="false">YIELDMAT(DATE(2024,2,15),DATE(2024,2,29),DATE(2024,1,1),0.1,101,0)</f>
        <v>-0.153726708074531</v>
      </c>
      <c r="B9124" s="0" t="s">
        <v>9098</v>
      </c>
    </row>
    <row r="9125" customFormat="false" ht="15" hidden="false" customHeight="false" outlineLevel="0" collapsed="false">
      <c r="A9125" s="0" t="n">
        <f aca="false">ACCRINTM(DATE(2023,10,1),DATE(2024,2,29),0.05,1000,0)</f>
        <v>20.5555555555556</v>
      </c>
      <c r="B9125" s="0" t="s">
        <v>9099</v>
      </c>
    </row>
    <row r="9126" customFormat="false" ht="15" hidden="false" customHeight="false" outlineLevel="0" collapsed="false">
      <c r="A9126" s="0" t="n">
        <f aca="false">ACCRINTM(DATE(2024,1,1),DATE(2024,2,15),0.08,5000,0)</f>
        <v>48.8888888888889</v>
      </c>
      <c r="B9126" s="0" t="s">
        <v>9100</v>
      </c>
    </row>
    <row r="9127" customFormat="false" ht="15" hidden="false" customHeight="false" outlineLevel="0" collapsed="false">
      <c r="A9127" s="0" t="n">
        <f aca="false">DISC(DATE(2024,2,15),DATE(2024,2,29),95,100,1)</f>
        <v>1.30714285714286</v>
      </c>
      <c r="B9127" s="0" t="s">
        <v>9101</v>
      </c>
    </row>
    <row r="9128" customFormat="false" ht="15" hidden="false" customHeight="false" outlineLevel="0" collapsed="false">
      <c r="A9128" s="0" t="n">
        <f aca="false">DISC(DATE(2024,2,15),DATE(2024,2,29),100,100,1)</f>
        <v>0</v>
      </c>
      <c r="B9128" s="0" t="s">
        <v>9102</v>
      </c>
    </row>
    <row r="9129" customFormat="false" ht="15" hidden="false" customHeight="false" outlineLevel="0" collapsed="false">
      <c r="A9129" s="0" t="n">
        <f aca="false">DISC(DATE(2024,2,15),DATE(2024,2,29),99.5,100.5,1)</f>
        <v>0.260127931769722</v>
      </c>
      <c r="B9129" s="0" t="s">
        <v>9103</v>
      </c>
    </row>
    <row r="9130" customFormat="false" ht="15" hidden="false" customHeight="false" outlineLevel="0" collapsed="false">
      <c r="A9130" s="0" t="n">
        <f aca="false">PRICEDISC(DATE(2024,2,15),DATE(2024,2,29),0.05,100,1)</f>
        <v>99.8087431693989</v>
      </c>
      <c r="B9130" s="0" t="s">
        <v>9104</v>
      </c>
    </row>
    <row r="9131" customFormat="false" ht="15" hidden="false" customHeight="false" outlineLevel="0" collapsed="false">
      <c r="A9131" s="0" t="n">
        <f aca="false">PRICEDISC(DATE(2024,2,15),DATE(2024,2,29),0.1,105,1)</f>
        <v>104.598360655738</v>
      </c>
      <c r="B9131" s="0" t="s">
        <v>9105</v>
      </c>
    </row>
    <row r="9132" customFormat="false" ht="15" hidden="false" customHeight="false" outlineLevel="0" collapsed="false">
      <c r="A9132" s="0" t="n">
        <f aca="false">YIELDDISC(DATE(2024,2,15),DATE(2024,2,29),95,100,1)</f>
        <v>1.37593984962406</v>
      </c>
      <c r="B9132" s="0" t="s">
        <v>9106</v>
      </c>
    </row>
    <row r="9133" customFormat="false" ht="15" hidden="false" customHeight="false" outlineLevel="0" collapsed="false">
      <c r="A9133" s="0" t="n">
        <f aca="false">YIELDDISC(DATE(2024,2,15),DATE(2024,2,29),99.5,100.5,1)</f>
        <v>0.262742282842787</v>
      </c>
      <c r="B9133" s="0" t="s">
        <v>9107</v>
      </c>
    </row>
    <row r="9134" customFormat="false" ht="15" hidden="false" customHeight="false" outlineLevel="0" collapsed="false">
      <c r="A9134" s="0" t="n">
        <f aca="false">RECEIVED(DATE(2024,2,15),DATE(2024,2,29),1000,0.05,1)</f>
        <v>1001.91623323296</v>
      </c>
      <c r="B9134" s="0" t="s">
        <v>9108</v>
      </c>
    </row>
    <row r="9135" customFormat="false" ht="15" hidden="false" customHeight="false" outlineLevel="0" collapsed="false">
      <c r="A9135" s="0" t="n">
        <f aca="false">RECEIVED(DATE(2024,2,15),DATE(2024,2,29),5000,0.12,1)</f>
        <v>5023.05665349144</v>
      </c>
      <c r="B9135" s="0" t="s">
        <v>9109</v>
      </c>
    </row>
    <row r="9136" customFormat="false" ht="15" hidden="false" customHeight="false" outlineLevel="0" collapsed="false">
      <c r="A9136" s="0" t="n">
        <f aca="false">INTRATE(DATE(2024,2,15),DATE(2024,2,29),1000,1050,1)</f>
        <v>1.30714285714286</v>
      </c>
      <c r="B9136" s="0" t="s">
        <v>9110</v>
      </c>
    </row>
    <row r="9137" customFormat="false" ht="15" hidden="false" customHeight="false" outlineLevel="0" collapsed="false">
      <c r="A9137" s="0" t="n">
        <f aca="false">INTRATE(DATE(2024,2,15),DATE(2024,2,29),950,1000,1)</f>
        <v>1.37593984962406</v>
      </c>
      <c r="B9137" s="0" t="s">
        <v>9111</v>
      </c>
    </row>
    <row r="9138" customFormat="false" ht="15" hidden="false" customHeight="false" outlineLevel="0" collapsed="false">
      <c r="A9138" s="0" t="n">
        <f aca="false">PRICEMAT(DATE(2024,2,15),DATE(2024,2,29),DATE(2023,10,1),0.05,0.06,1)</f>
        <v>99.9524229890826</v>
      </c>
      <c r="B9138" s="0" t="s">
        <v>9112</v>
      </c>
    </row>
    <row r="9139" customFormat="false" ht="15" hidden="false" customHeight="false" outlineLevel="0" collapsed="false">
      <c r="A9139" s="0" t="n">
        <f aca="false">PRICEMAT(DATE(2024,2,15),DATE(2024,2,29),DATE(2024,1,1),0.1,0.03,1)</f>
        <v>100.266043356142</v>
      </c>
      <c r="B9139" s="0" t="s">
        <v>9113</v>
      </c>
    </row>
    <row r="9140" customFormat="false" ht="15" hidden="false" customHeight="false" outlineLevel="0" collapsed="false">
      <c r="A9140" s="0" t="n">
        <f aca="false">YIELDMAT(DATE(2024,2,15),DATE(2024,2,29),DATE(2023,10,1),0.05,98,1)</f>
        <v>0.572222113368734</v>
      </c>
      <c r="B9140" s="0" t="s">
        <v>9114</v>
      </c>
    </row>
    <row r="9141" customFormat="false" ht="15" hidden="false" customHeight="false" outlineLevel="0" collapsed="false">
      <c r="A9141" s="0" t="n">
        <f aca="false">YIELDMAT(DATE(2024,2,15),DATE(2024,2,29),DATE(2024,1,1),0.1,101,1)</f>
        <v>-0.157907999633463</v>
      </c>
      <c r="B9141" s="0" t="s">
        <v>9115</v>
      </c>
    </row>
    <row r="9142" customFormat="false" ht="15" hidden="false" customHeight="false" outlineLevel="0" collapsed="false">
      <c r="A9142" s="0" t="n">
        <f aca="false">ACCRINTM(DATE(2023,10,1),DATE(2024,2,29),0.05,1000,1)</f>
        <v>20.6849315068493</v>
      </c>
      <c r="B9142" s="0" t="s">
        <v>9116</v>
      </c>
    </row>
    <row r="9143" customFormat="false" ht="15" hidden="false" customHeight="false" outlineLevel="0" collapsed="false">
      <c r="A9143" s="0" t="n">
        <f aca="false">ACCRINTM(DATE(2024,1,1),DATE(2024,2,15),0.08,5000,1)</f>
        <v>49.1803278688525</v>
      </c>
      <c r="B9143" s="0" t="s">
        <v>9117</v>
      </c>
    </row>
    <row r="9144" customFormat="false" ht="15" hidden="false" customHeight="false" outlineLevel="0" collapsed="false">
      <c r="A9144" s="0" t="n">
        <f aca="false">DISC(DATE(2024,2,15),DATE(2024,2,29),95,100,2)</f>
        <v>1.28571428571429</v>
      </c>
      <c r="B9144" s="0" t="s">
        <v>9118</v>
      </c>
    </row>
    <row r="9145" customFormat="false" ht="15" hidden="false" customHeight="false" outlineLevel="0" collapsed="false">
      <c r="A9145" s="0" t="n">
        <f aca="false">DISC(DATE(2024,2,15),DATE(2024,2,29),100,100,2)</f>
        <v>0</v>
      </c>
      <c r="B9145" s="0" t="s">
        <v>9119</v>
      </c>
    </row>
    <row r="9146" customFormat="false" ht="15" hidden="false" customHeight="false" outlineLevel="0" collapsed="false">
      <c r="A9146" s="0" t="n">
        <f aca="false">DISC(DATE(2024,2,15),DATE(2024,2,29),99.5,100.5,2)</f>
        <v>0.255863539445628</v>
      </c>
      <c r="B9146" s="0" t="s">
        <v>9120</v>
      </c>
    </row>
    <row r="9147" customFormat="false" ht="15" hidden="false" customHeight="false" outlineLevel="0" collapsed="false">
      <c r="A9147" s="0" t="n">
        <f aca="false">PRICEDISC(DATE(2024,2,15),DATE(2024,2,29),0.05,100,2)</f>
        <v>99.8055555555556</v>
      </c>
      <c r="B9147" s="0" t="s">
        <v>9121</v>
      </c>
    </row>
    <row r="9148" customFormat="false" ht="15" hidden="false" customHeight="false" outlineLevel="0" collapsed="false">
      <c r="A9148" s="0" t="n">
        <f aca="false">PRICEDISC(DATE(2024,2,15),DATE(2024,2,29),0.1,105,2)</f>
        <v>104.591666666667</v>
      </c>
      <c r="B9148" s="0" t="s">
        <v>9122</v>
      </c>
    </row>
    <row r="9149" customFormat="false" ht="15" hidden="false" customHeight="false" outlineLevel="0" collapsed="false">
      <c r="A9149" s="0" t="n">
        <f aca="false">YIELDDISC(DATE(2024,2,15),DATE(2024,2,29),95,100,2)</f>
        <v>1.35338345864662</v>
      </c>
      <c r="B9149" s="0" t="s">
        <v>9123</v>
      </c>
    </row>
    <row r="9150" customFormat="false" ht="15" hidden="false" customHeight="false" outlineLevel="0" collapsed="false">
      <c r="A9150" s="0" t="n">
        <f aca="false">YIELDDISC(DATE(2024,2,15),DATE(2024,2,29),99.5,100.5,2)</f>
        <v>0.25843503230438</v>
      </c>
      <c r="B9150" s="0" t="s">
        <v>9124</v>
      </c>
    </row>
    <row r="9151" customFormat="false" ht="15" hidden="false" customHeight="false" outlineLevel="0" collapsed="false">
      <c r="A9151" s="0" t="n">
        <f aca="false">RECEIVED(DATE(2024,2,15),DATE(2024,2,29),1000,0.05,2)</f>
        <v>1001.94823267465</v>
      </c>
      <c r="B9151" s="0" t="s">
        <v>9125</v>
      </c>
    </row>
    <row r="9152" customFormat="false" ht="15" hidden="false" customHeight="false" outlineLevel="0" collapsed="false">
      <c r="A9152" s="0" t="n">
        <f aca="false">RECEIVED(DATE(2024,2,15),DATE(2024,2,29),5000,0.12,2)</f>
        <v>5023.44273275285</v>
      </c>
      <c r="B9152" s="0" t="s">
        <v>9126</v>
      </c>
    </row>
    <row r="9153" customFormat="false" ht="15" hidden="false" customHeight="false" outlineLevel="0" collapsed="false">
      <c r="A9153" s="0" t="n">
        <f aca="false">INTRATE(DATE(2024,2,15),DATE(2024,2,29),1000,1050,2)</f>
        <v>1.28571428571429</v>
      </c>
      <c r="B9153" s="0" t="s">
        <v>9127</v>
      </c>
    </row>
    <row r="9154" customFormat="false" ht="15" hidden="false" customHeight="false" outlineLevel="0" collapsed="false">
      <c r="A9154" s="0" t="n">
        <f aca="false">INTRATE(DATE(2024,2,15),DATE(2024,2,29),950,1000,2)</f>
        <v>1.35338345864662</v>
      </c>
      <c r="B9154" s="0" t="s">
        <v>9128</v>
      </c>
    </row>
    <row r="9155" customFormat="false" ht="15" hidden="false" customHeight="false" outlineLevel="0" collapsed="false">
      <c r="A9155" s="0" t="n">
        <f aca="false">PRICEMAT(DATE(2024,2,15),DATE(2024,2,29),DATE(2023,10,1),0.05,0.06,2)</f>
        <v>99.9567721612534</v>
      </c>
      <c r="B9155" s="0" t="s">
        <v>9129</v>
      </c>
    </row>
    <row r="9156" customFormat="false" ht="15" hidden="false" customHeight="false" outlineLevel="0" collapsed="false">
      <c r="A9156" s="0" t="n">
        <f aca="false">PRICEMAT(DATE(2024,2,15),DATE(2024,2,29),DATE(2024,1,1),0.1,0.03,2)</f>
        <v>100.270448365795</v>
      </c>
      <c r="B9156" s="0" t="s">
        <v>9130</v>
      </c>
    </row>
    <row r="9157" customFormat="false" ht="15" hidden="false" customHeight="false" outlineLevel="0" collapsed="false">
      <c r="A9157" s="0" t="n">
        <f aca="false">YIELDMAT(DATE(2024,2,15),DATE(2024,2,29),DATE(2023,10,1),0.05,98,2)</f>
        <v>0.564834859287799</v>
      </c>
      <c r="B9157" s="0" t="s">
        <v>9131</v>
      </c>
    </row>
    <row r="9158" customFormat="false" ht="15" hidden="false" customHeight="false" outlineLevel="0" collapsed="false">
      <c r="A9158" s="0" t="n">
        <f aca="false">YIELDMAT(DATE(2024,2,15),DATE(2024,2,29),DATE(2024,1,1),0.1,101,2)</f>
        <v>-0.153684945860987</v>
      </c>
      <c r="B9158" s="0" t="s">
        <v>9132</v>
      </c>
    </row>
    <row r="9159" customFormat="false" ht="15" hidden="false" customHeight="false" outlineLevel="0" collapsed="false">
      <c r="A9159" s="0" t="n">
        <f aca="false">ACCRINTM(DATE(2023,10,1),DATE(2024,2,29),0.05,1000,2)</f>
        <v>20.9722222222222</v>
      </c>
      <c r="B9159" s="0" t="s">
        <v>9133</v>
      </c>
    </row>
    <row r="9160" customFormat="false" ht="15" hidden="false" customHeight="false" outlineLevel="0" collapsed="false">
      <c r="A9160" s="0" t="n">
        <f aca="false">ACCRINTM(DATE(2024,1,1),DATE(2024,2,15),0.08,5000,2)</f>
        <v>50</v>
      </c>
      <c r="B9160" s="0" t="s">
        <v>9134</v>
      </c>
    </row>
    <row r="9161" customFormat="false" ht="15" hidden="false" customHeight="false" outlineLevel="0" collapsed="false">
      <c r="A9161" s="0" t="n">
        <f aca="false">DISC(DATE(2024,2,15),DATE(2024,2,29),95,100,3)</f>
        <v>1.30357142857143</v>
      </c>
      <c r="B9161" s="0" t="s">
        <v>9135</v>
      </c>
    </row>
    <row r="9162" customFormat="false" ht="15" hidden="false" customHeight="false" outlineLevel="0" collapsed="false">
      <c r="A9162" s="0" t="n">
        <f aca="false">DISC(DATE(2024,2,15),DATE(2024,2,29),100,100,3)</f>
        <v>0</v>
      </c>
      <c r="B9162" s="0" t="s">
        <v>9136</v>
      </c>
    </row>
    <row r="9163" customFormat="false" ht="15" hidden="false" customHeight="false" outlineLevel="0" collapsed="false">
      <c r="A9163" s="0" t="n">
        <f aca="false">DISC(DATE(2024,2,15),DATE(2024,2,29),99.5,100.5,3)</f>
        <v>0.259417199715706</v>
      </c>
      <c r="B9163" s="0" t="s">
        <v>9137</v>
      </c>
    </row>
    <row r="9164" customFormat="false" ht="15" hidden="false" customHeight="false" outlineLevel="0" collapsed="false">
      <c r="A9164" s="0" t="n">
        <f aca="false">PRICEDISC(DATE(2024,2,15),DATE(2024,2,29),0.05,100,3)</f>
        <v>99.8082191780822</v>
      </c>
      <c r="B9164" s="0" t="s">
        <v>9138</v>
      </c>
    </row>
    <row r="9165" customFormat="false" ht="15" hidden="false" customHeight="false" outlineLevel="0" collapsed="false">
      <c r="A9165" s="0" t="n">
        <f aca="false">PRICEDISC(DATE(2024,2,15),DATE(2024,2,29),0.1,105,3)</f>
        <v>104.597260273973</v>
      </c>
      <c r="B9165" s="0" t="s">
        <v>9139</v>
      </c>
    </row>
    <row r="9166" customFormat="false" ht="15" hidden="false" customHeight="false" outlineLevel="0" collapsed="false">
      <c r="A9166" s="0" t="n">
        <f aca="false">YIELDDISC(DATE(2024,2,15),DATE(2024,2,29),95,100,3)</f>
        <v>1.37218045112782</v>
      </c>
      <c r="B9166" s="0" t="s">
        <v>9140</v>
      </c>
    </row>
    <row r="9167" customFormat="false" ht="15" hidden="false" customHeight="false" outlineLevel="0" collapsed="false">
      <c r="A9167" s="0" t="n">
        <f aca="false">YIELDDISC(DATE(2024,2,15),DATE(2024,2,29),99.5,100.5,3)</f>
        <v>0.262024407753052</v>
      </c>
      <c r="B9167" s="0" t="s">
        <v>9141</v>
      </c>
    </row>
    <row r="9168" customFormat="false" ht="15" hidden="false" customHeight="false" outlineLevel="0" collapsed="false">
      <c r="A9168" s="0" t="n">
        <f aca="false">RECEIVED(DATE(2024,2,15),DATE(2024,2,29),1000,0.05,3)</f>
        <v>1001.92149327477</v>
      </c>
      <c r="B9168" s="0" t="s">
        <v>9142</v>
      </c>
    </row>
    <row r="9169" customFormat="false" ht="15" hidden="false" customHeight="false" outlineLevel="0" collapsed="false">
      <c r="A9169" s="0" t="n">
        <f aca="false">RECEIVED(DATE(2024,2,15),DATE(2024,2,29),5000,0.12,3)</f>
        <v>5023.12011449962</v>
      </c>
      <c r="B9169" s="0" t="s">
        <v>9143</v>
      </c>
    </row>
    <row r="9170" customFormat="false" ht="15" hidden="false" customHeight="false" outlineLevel="0" collapsed="false">
      <c r="A9170" s="0" t="n">
        <f aca="false">INTRATE(DATE(2024,2,15),DATE(2024,2,29),1000,1050,3)</f>
        <v>1.30357142857143</v>
      </c>
      <c r="B9170" s="0" t="s">
        <v>9144</v>
      </c>
    </row>
    <row r="9171" customFormat="false" ht="15" hidden="false" customHeight="false" outlineLevel="0" collapsed="false">
      <c r="A9171" s="0" t="n">
        <f aca="false">INTRATE(DATE(2024,2,15),DATE(2024,2,29),950,1000,3)</f>
        <v>1.37218045112782</v>
      </c>
      <c r="B9171" s="0" t="s">
        <v>9145</v>
      </c>
    </row>
    <row r="9172" customFormat="false" ht="15" hidden="false" customHeight="false" outlineLevel="0" collapsed="false">
      <c r="A9172" s="0" t="n">
        <f aca="false">PRICEMAT(DATE(2024,2,15),DATE(2024,2,29),DATE(2023,10,1),0.05,0.06,3)</f>
        <v>99.9574228122781</v>
      </c>
      <c r="B9172" s="0" t="s">
        <v>9146</v>
      </c>
    </row>
    <row r="9173" customFormat="false" ht="15" hidden="false" customHeight="false" outlineLevel="0" collapsed="false">
      <c r="A9173" s="0" t="n">
        <f aca="false">PRICEMAT(DATE(2024,2,15),DATE(2024,2,29),DATE(2024,1,1),0.1,0.03,3)</f>
        <v>100.26676753265</v>
      </c>
      <c r="B9173" s="0" t="s">
        <v>9147</v>
      </c>
    </row>
    <row r="9174" customFormat="false" ht="15" hidden="false" customHeight="false" outlineLevel="0" collapsed="false">
      <c r="A9174" s="0" t="n">
        <f aca="false">YIELDMAT(DATE(2024,2,15),DATE(2024,2,29),DATE(2023,10,1),0.05,98,3)</f>
        <v>0.572133942042046</v>
      </c>
      <c r="B9174" s="0" t="s">
        <v>9148</v>
      </c>
    </row>
    <row r="9175" customFormat="false" ht="15" hidden="false" customHeight="false" outlineLevel="0" collapsed="false">
      <c r="A9175" s="0" t="n">
        <f aca="false">YIELDMAT(DATE(2024,2,15),DATE(2024,2,29),DATE(2024,1,1),0.1,101,3)</f>
        <v>-0.157204111713023</v>
      </c>
      <c r="B9175" s="0" t="s">
        <v>9149</v>
      </c>
    </row>
    <row r="9176" customFormat="false" ht="15" hidden="false" customHeight="false" outlineLevel="0" collapsed="false">
      <c r="A9176" s="0" t="n">
        <f aca="false">ACCRINTM(DATE(2023,10,1),DATE(2024,2,29),0.05,1000,3)</f>
        <v>20.6849315068493</v>
      </c>
      <c r="B9176" s="0" t="s">
        <v>9150</v>
      </c>
    </row>
    <row r="9177" customFormat="false" ht="15" hidden="false" customHeight="false" outlineLevel="0" collapsed="false">
      <c r="A9177" s="0" t="n">
        <f aca="false">ACCRINTM(DATE(2024,1,1),DATE(2024,2,15),0.08,5000,3)</f>
        <v>49.3150684931507</v>
      </c>
      <c r="B9177" s="0" t="s">
        <v>9151</v>
      </c>
    </row>
    <row r="9178" customFormat="false" ht="15" hidden="false" customHeight="false" outlineLevel="0" collapsed="false">
      <c r="A9178" s="0" t="n">
        <f aca="false">DISC(DATE(2024,2,15),DATE(2024,2,29),95,100,4)</f>
        <v>1.28571428571429</v>
      </c>
      <c r="B9178" s="0" t="s">
        <v>9152</v>
      </c>
    </row>
    <row r="9179" customFormat="false" ht="15" hidden="false" customHeight="false" outlineLevel="0" collapsed="false">
      <c r="A9179" s="0" t="n">
        <f aca="false">DISC(DATE(2024,2,15),DATE(2024,2,29),100,100,4)</f>
        <v>0</v>
      </c>
      <c r="B9179" s="0" t="s">
        <v>9153</v>
      </c>
    </row>
    <row r="9180" customFormat="false" ht="15" hidden="false" customHeight="false" outlineLevel="0" collapsed="false">
      <c r="A9180" s="0" t="n">
        <f aca="false">DISC(DATE(2024,2,15),DATE(2024,2,29),99.5,100.5,4)</f>
        <v>0.255863539445628</v>
      </c>
      <c r="B9180" s="0" t="s">
        <v>9154</v>
      </c>
    </row>
    <row r="9181" customFormat="false" ht="15" hidden="false" customHeight="false" outlineLevel="0" collapsed="false">
      <c r="A9181" s="0" t="n">
        <f aca="false">PRICEDISC(DATE(2024,2,15),DATE(2024,2,29),0.05,100,4)</f>
        <v>99.8055555555556</v>
      </c>
      <c r="B9181" s="0" t="s">
        <v>9155</v>
      </c>
    </row>
    <row r="9182" customFormat="false" ht="15" hidden="false" customHeight="false" outlineLevel="0" collapsed="false">
      <c r="A9182" s="0" t="n">
        <f aca="false">PRICEDISC(DATE(2024,2,15),DATE(2024,2,29),0.1,105,4)</f>
        <v>104.591666666667</v>
      </c>
      <c r="B9182" s="0" t="s">
        <v>9156</v>
      </c>
    </row>
    <row r="9183" customFormat="false" ht="15" hidden="false" customHeight="false" outlineLevel="0" collapsed="false">
      <c r="A9183" s="0" t="n">
        <f aca="false">YIELDDISC(DATE(2024,2,15),DATE(2024,2,29),95,100,4)</f>
        <v>1.35338345864662</v>
      </c>
      <c r="B9183" s="0" t="s">
        <v>9157</v>
      </c>
    </row>
    <row r="9184" customFormat="false" ht="15" hidden="false" customHeight="false" outlineLevel="0" collapsed="false">
      <c r="A9184" s="0" t="n">
        <f aca="false">YIELDDISC(DATE(2024,2,15),DATE(2024,2,29),99.5,100.5,4)</f>
        <v>0.25843503230438</v>
      </c>
      <c r="B9184" s="0" t="s">
        <v>9158</v>
      </c>
    </row>
    <row r="9185" customFormat="false" ht="15" hidden="false" customHeight="false" outlineLevel="0" collapsed="false">
      <c r="A9185" s="0" t="n">
        <f aca="false">RECEIVED(DATE(2024,2,15),DATE(2024,2,29),1000,0.05,4)</f>
        <v>1001.94823267465</v>
      </c>
      <c r="B9185" s="0" t="s">
        <v>9159</v>
      </c>
    </row>
    <row r="9186" customFormat="false" ht="15" hidden="false" customHeight="false" outlineLevel="0" collapsed="false">
      <c r="A9186" s="0" t="n">
        <f aca="false">RECEIVED(DATE(2024,2,15),DATE(2024,2,29),5000,0.12,4)</f>
        <v>5023.44273275285</v>
      </c>
      <c r="B9186" s="0" t="s">
        <v>9160</v>
      </c>
    </row>
    <row r="9187" customFormat="false" ht="15" hidden="false" customHeight="false" outlineLevel="0" collapsed="false">
      <c r="A9187" s="0" t="n">
        <f aca="false">INTRATE(DATE(2024,2,15),DATE(2024,2,29),1000,1050,4)</f>
        <v>1.28571428571429</v>
      </c>
      <c r="B9187" s="0" t="s">
        <v>9161</v>
      </c>
    </row>
    <row r="9188" customFormat="false" ht="15" hidden="false" customHeight="false" outlineLevel="0" collapsed="false">
      <c r="A9188" s="0" t="n">
        <f aca="false">INTRATE(DATE(2024,2,15),DATE(2024,2,29),950,1000,4)</f>
        <v>1.35338345864662</v>
      </c>
      <c r="B9188" s="0" t="s">
        <v>9162</v>
      </c>
    </row>
    <row r="9189" customFormat="false" ht="15" hidden="false" customHeight="false" outlineLevel="0" collapsed="false">
      <c r="A9189" s="0" t="n">
        <f aca="false">PRICEMAT(DATE(2024,2,15),DATE(2024,2,29),DATE(2023,10,1),0.05,0.06,4)</f>
        <v>99.9568691571519</v>
      </c>
      <c r="B9189" s="0" t="s">
        <v>9163</v>
      </c>
    </row>
    <row r="9190" customFormat="false" ht="15" hidden="false" customHeight="false" outlineLevel="0" collapsed="false">
      <c r="A9190" s="0" t="n">
        <f aca="false">PRICEMAT(DATE(2024,2,15),DATE(2024,2,29),DATE(2024,1,1),0.1,0.03,4)</f>
        <v>100.270480735438</v>
      </c>
      <c r="B9190" s="0" t="s">
        <v>9164</v>
      </c>
    </row>
    <row r="9191" customFormat="false" ht="15" hidden="false" customHeight="false" outlineLevel="0" collapsed="false">
      <c r="A9191" s="0" t="n">
        <f aca="false">YIELDMAT(DATE(2024,2,15),DATE(2024,2,29),DATE(2023,10,1),0.05,98,4)</f>
        <v>0.565070534472481</v>
      </c>
      <c r="B9191" s="0" t="s">
        <v>9165</v>
      </c>
    </row>
    <row r="9192" customFormat="false" ht="15" hidden="false" customHeight="false" outlineLevel="0" collapsed="false">
      <c r="A9192" s="0" t="n">
        <f aca="false">YIELDMAT(DATE(2024,2,15),DATE(2024,2,29),DATE(2024,1,1),0.1,101,4)</f>
        <v>-0.153726708074531</v>
      </c>
      <c r="B9192" s="0" t="s">
        <v>9166</v>
      </c>
    </row>
    <row r="9193" customFormat="false" ht="15" hidden="false" customHeight="false" outlineLevel="0" collapsed="false">
      <c r="A9193" s="0" t="n">
        <f aca="false">ACCRINTM(DATE(2023,10,1),DATE(2024,2,29),0.05,1000,4)</f>
        <v>20.5555555555556</v>
      </c>
      <c r="B9193" s="0" t="s">
        <v>9167</v>
      </c>
    </row>
    <row r="9194" customFormat="false" ht="15" hidden="false" customHeight="false" outlineLevel="0" collapsed="false">
      <c r="A9194" s="0" t="n">
        <f aca="false">ACCRINTM(DATE(2024,1,1),DATE(2024,2,15),0.08,5000,4)</f>
        <v>48.8888888888889</v>
      </c>
      <c r="B9194" s="0" t="s">
        <v>9168</v>
      </c>
    </row>
    <row r="9195" customFormat="false" ht="15" hidden="false" customHeight="false" outlineLevel="0" collapsed="false">
      <c r="A9195" s="0" t="n">
        <f aca="false">TBILLPRICE(DATE(2024,2,15),DATE(2024,2,29),0.05)</f>
        <v>99.7777777777778</v>
      </c>
      <c r="B9195" s="0" t="s">
        <v>9169</v>
      </c>
    </row>
    <row r="9196" customFormat="false" ht="15" hidden="false" customHeight="false" outlineLevel="0" collapsed="false">
      <c r="A9196" s="0" t="n">
        <f aca="false">TBILLYIELD(DATE(2024,2,15),DATE(2024,2,29),98)</f>
        <v>0.489795918367347</v>
      </c>
      <c r="B9196" s="0" t="s">
        <v>9170</v>
      </c>
    </row>
    <row r="9197" customFormat="false" ht="15" hidden="false" customHeight="false" outlineLevel="0" collapsed="false">
      <c r="A9197" s="0" t="n">
        <f aca="false">TBILLEQ(DATE(2024,2,15),DATE(2024,2,29),0.05)</f>
        <v>0.0508073496659243</v>
      </c>
      <c r="B9197" s="0" t="s">
        <v>9171</v>
      </c>
    </row>
    <row r="9198" customFormat="false" ht="15" hidden="false" customHeight="false" outlineLevel="0" collapsed="false">
      <c r="A9198" s="0" t="n">
        <f aca="false">TBILLEQ(DATE(2024,2,15),DATE(2024,2,29),0.12)</f>
        <v>0.122319034852547</v>
      </c>
      <c r="B9198" s="0" t="s">
        <v>9172</v>
      </c>
    </row>
    <row r="9199" customFormat="false" ht="15" hidden="false" customHeight="false" outlineLevel="0" collapsed="false">
      <c r="A9199" s="0" t="n">
        <f aca="false">DISC(DATE(2024,1,1),DATE(2034,1,1),95,100,0)</f>
        <v>0.005</v>
      </c>
      <c r="B9199" s="0" t="s">
        <v>9173</v>
      </c>
    </row>
    <row r="9200" customFormat="false" ht="15" hidden="false" customHeight="false" outlineLevel="0" collapsed="false">
      <c r="A9200" s="0" t="n">
        <f aca="false">DISC(DATE(2024,1,1),DATE(2034,1,1),100,100,0)</f>
        <v>0</v>
      </c>
      <c r="B9200" s="0" t="s">
        <v>9174</v>
      </c>
    </row>
    <row r="9201" customFormat="false" ht="15" hidden="false" customHeight="false" outlineLevel="0" collapsed="false">
      <c r="A9201" s="0" t="n">
        <f aca="false">DISC(DATE(2024,1,1),DATE(2034,1,1),99.5,100.5,0)</f>
        <v>0.000995024875621886</v>
      </c>
      <c r="B9201" s="0" t="s">
        <v>9175</v>
      </c>
    </row>
    <row r="9202" customFormat="false" ht="15" hidden="false" customHeight="false" outlineLevel="0" collapsed="false">
      <c r="A9202" s="0" t="n">
        <f aca="false">PRICEDISC(DATE(2024,1,1),DATE(2034,1,1),0.05,100,0)</f>
        <v>50</v>
      </c>
      <c r="B9202" s="0" t="s">
        <v>9176</v>
      </c>
    </row>
    <row r="9203" customFormat="false" ht="15" hidden="false" customHeight="false" outlineLevel="0" collapsed="false">
      <c r="A9203" s="0" t="n">
        <f aca="false">PRICEDISC(DATE(2024,1,1),DATE(2034,1,1),0.1,105,0)</f>
        <v>0</v>
      </c>
      <c r="B9203" s="0" t="s">
        <v>9177</v>
      </c>
    </row>
    <row r="9204" customFormat="false" ht="15" hidden="false" customHeight="false" outlineLevel="0" collapsed="false">
      <c r="A9204" s="0" t="n">
        <f aca="false">YIELDDISC(DATE(2024,1,1),DATE(2034,1,1),95,100,0)</f>
        <v>0.00526315789473684</v>
      </c>
      <c r="B9204" s="0" t="s">
        <v>9178</v>
      </c>
    </row>
    <row r="9205" customFormat="false" ht="15" hidden="false" customHeight="false" outlineLevel="0" collapsed="false">
      <c r="A9205" s="0" t="n">
        <f aca="false">YIELDDISC(DATE(2024,1,1),DATE(2034,1,1),99.5,100.5,0)</f>
        <v>0.00100502512562815</v>
      </c>
      <c r="B9205" s="0" t="s">
        <v>9179</v>
      </c>
    </row>
    <row r="9206" customFormat="false" ht="15" hidden="false" customHeight="false" outlineLevel="0" collapsed="false">
      <c r="A9206" s="0" t="n">
        <f aca="false">RECEIVED(DATE(2024,1,1),DATE(2034,1,1),1000,0.05,0)</f>
        <v>2000</v>
      </c>
      <c r="B9206" s="0" t="s">
        <v>9180</v>
      </c>
    </row>
    <row r="9207" customFormat="false" ht="15" hidden="false" customHeight="false" outlineLevel="0" collapsed="false">
      <c r="A9207" s="0" t="n">
        <f aca="false">RECEIVED(DATE(2024,1,1),DATE(2034,1,1),5000,0.12,0)</f>
        <v>-25000</v>
      </c>
      <c r="B9207" s="0" t="s">
        <v>9181</v>
      </c>
    </row>
    <row r="9208" customFormat="false" ht="15" hidden="false" customHeight="false" outlineLevel="0" collapsed="false">
      <c r="A9208" s="0" t="n">
        <f aca="false">INTRATE(DATE(2024,1,1),DATE(2034,1,1),1000,1050,0)</f>
        <v>0.005</v>
      </c>
      <c r="B9208" s="0" t="s">
        <v>9182</v>
      </c>
    </row>
    <row r="9209" customFormat="false" ht="15" hidden="false" customHeight="false" outlineLevel="0" collapsed="false">
      <c r="A9209" s="0" t="n">
        <f aca="false">INTRATE(DATE(2024,1,1),DATE(2034,1,1),950,1000,0)</f>
        <v>0.00526315789473684</v>
      </c>
      <c r="B9209" s="0" t="s">
        <v>9183</v>
      </c>
    </row>
    <row r="9210" customFormat="false" ht="15" hidden="false" customHeight="false" outlineLevel="0" collapsed="false">
      <c r="A9210" s="0" t="n">
        <f aca="false">PRICEMAT(DATE(2024,1,1),DATE(2034,1,1),DATE(2023,10,1),0.05,0.06,0)</f>
        <v>93.28125</v>
      </c>
      <c r="B9210" s="0" t="s">
        <v>9184</v>
      </c>
    </row>
    <row r="9211" customFormat="false" ht="15" hidden="false" customHeight="false" outlineLevel="0" collapsed="false">
      <c r="A9211" s="0" t="n">
        <f aca="false">PRICEMAT(DATE(2024,1,1),DATE(2034,1,1),DATE(2024,1,1),0.1,0.03,0)</f>
        <v>153.846153846154</v>
      </c>
      <c r="B9211" s="0" t="s">
        <v>9185</v>
      </c>
    </row>
    <row r="9212" customFormat="false" ht="15" hidden="false" customHeight="false" outlineLevel="0" collapsed="false">
      <c r="A9212" s="0" t="n">
        <f aca="false">YIELDMAT(DATE(2024,1,1),DATE(2034,1,1),DATE(2023,10,1),0.05,98,0)</f>
        <v>0.0523929471032746</v>
      </c>
      <c r="B9212" s="0" t="s">
        <v>9186</v>
      </c>
    </row>
    <row r="9213" customFormat="false" ht="15" hidden="false" customHeight="false" outlineLevel="0" collapsed="false">
      <c r="A9213" s="0" t="n">
        <f aca="false">YIELDMAT(DATE(2024,1,1),DATE(2034,1,1),DATE(2024,1,1),0.1,101,0)</f>
        <v>0.098019801980198</v>
      </c>
      <c r="B9213" s="0" t="s">
        <v>9187</v>
      </c>
    </row>
    <row r="9214" customFormat="false" ht="15" hidden="false" customHeight="false" outlineLevel="0" collapsed="false">
      <c r="A9214" s="0" t="n">
        <f aca="false">ACCRINTM(DATE(2023,10,1),DATE(2034,1,1),0.05,1000,0)</f>
        <v>512.5</v>
      </c>
      <c r="B9214" s="0" t="s">
        <v>9188</v>
      </c>
    </row>
    <row r="9215" customFormat="false" ht="15" hidden="false" customHeight="false" outlineLevel="0" collapsed="false">
      <c r="A9215" s="0" t="e">
        <f aca="false">ACCRINTM(DATE(2024,1,1),DATE(2024,1,1),0.08,5000,0)</f>
        <v>#VALUE!</v>
      </c>
      <c r="B9215" s="0" t="s">
        <v>9189</v>
      </c>
    </row>
    <row r="9216" customFormat="false" ht="15" hidden="false" customHeight="false" outlineLevel="0" collapsed="false">
      <c r="A9216" s="0" t="n">
        <f aca="false">DISC(DATE(2024,1,1),DATE(2034,1,1),95,100,1)</f>
        <v>0.00499962670781177</v>
      </c>
      <c r="B9216" s="0" t="s">
        <v>9190</v>
      </c>
    </row>
    <row r="9217" customFormat="false" ht="15" hidden="false" customHeight="false" outlineLevel="0" collapsed="false">
      <c r="A9217" s="0" t="n">
        <f aca="false">DISC(DATE(2024,1,1),DATE(2034,1,1),100,100,1)</f>
        <v>0</v>
      </c>
      <c r="B9217" s="0" t="s">
        <v>9191</v>
      </c>
    </row>
    <row r="9218" customFormat="false" ht="15" hidden="false" customHeight="false" outlineLevel="0" collapsed="false">
      <c r="A9218" s="0" t="n">
        <f aca="false">DISC(DATE(2024,1,1),DATE(2034,1,1),99.5,100.5,1)</f>
        <v>0.000994950588619251</v>
      </c>
      <c r="B9218" s="0" t="s">
        <v>9192</v>
      </c>
    </row>
    <row r="9219" customFormat="false" ht="15" hidden="false" customHeight="false" outlineLevel="0" collapsed="false">
      <c r="A9219" s="0" t="n">
        <f aca="false">PRICEDISC(DATE(2024,1,1),DATE(2034,1,1),0.05,100,1)</f>
        <v>50.0956284153005</v>
      </c>
      <c r="B9219" s="0" t="s">
        <v>9193</v>
      </c>
    </row>
    <row r="9220" customFormat="false" ht="15" hidden="false" customHeight="false" outlineLevel="0" collapsed="false">
      <c r="A9220" s="0" t="n">
        <f aca="false">PRICEDISC(DATE(2024,1,1),DATE(2034,1,1),0.1,105,1)</f>
        <v>0.200819672131137</v>
      </c>
      <c r="B9220" s="0" t="s">
        <v>9194</v>
      </c>
    </row>
    <row r="9221" customFormat="false" ht="15" hidden="false" customHeight="false" outlineLevel="0" collapsed="false">
      <c r="A9221" s="0" t="n">
        <f aca="false">YIELDDISC(DATE(2024,1,1),DATE(2034,1,1),95,100,1)</f>
        <v>0.00526276495559132</v>
      </c>
      <c r="B9221" s="0" t="s">
        <v>9195</v>
      </c>
    </row>
    <row r="9222" customFormat="false" ht="15" hidden="false" customHeight="false" outlineLevel="0" collapsed="false">
      <c r="A9222" s="0" t="n">
        <f aca="false">YIELDDISC(DATE(2024,1,1),DATE(2034,1,1),99.5,100.5,1)</f>
        <v>0.00100495009202247</v>
      </c>
      <c r="B9222" s="0" t="s">
        <v>9196</v>
      </c>
    </row>
    <row r="9223" customFormat="false" ht="15" hidden="false" customHeight="false" outlineLevel="0" collapsed="false">
      <c r="A9223" s="0" t="n">
        <f aca="false">RECEIVED(DATE(2024,1,1),DATE(2034,1,1),1000,0.05,1)</f>
        <v>1996.1821652577</v>
      </c>
      <c r="B9223" s="0" t="s">
        <v>9197</v>
      </c>
    </row>
    <row r="9224" customFormat="false" ht="15" hidden="false" customHeight="false" outlineLevel="0" collapsed="false">
      <c r="A9224" s="0" t="n">
        <f aca="false">RECEIVED(DATE(2024,1,1),DATE(2034,1,1),5000,0.12,1)</f>
        <v>-25290.215588723</v>
      </c>
      <c r="B9224" s="0" t="s">
        <v>9198</v>
      </c>
    </row>
    <row r="9225" customFormat="false" ht="15" hidden="false" customHeight="false" outlineLevel="0" collapsed="false">
      <c r="A9225" s="0" t="n">
        <f aca="false">INTRATE(DATE(2024,1,1),DATE(2034,1,1),1000,1050,1)</f>
        <v>0.0050095811661648</v>
      </c>
      <c r="B9225" s="0" t="s">
        <v>9199</v>
      </c>
    </row>
    <row r="9226" customFormat="false" ht="15" hidden="false" customHeight="false" outlineLevel="0" collapsed="false">
      <c r="A9226" s="0" t="n">
        <f aca="false">INTRATE(DATE(2024,1,1),DATE(2034,1,1),950,1000,1)</f>
        <v>0.00527324333280504</v>
      </c>
      <c r="B9226" s="0" t="s">
        <v>9200</v>
      </c>
    </row>
    <row r="9227" customFormat="false" ht="15" hidden="false" customHeight="false" outlineLevel="0" collapsed="false">
      <c r="A9227" s="0" t="n">
        <f aca="false">PRICEMAT(DATE(2024,1,1),DATE(2034,1,1),DATE(2023,10,1),0.05,0.06,1)</f>
        <v>93.2784890293038</v>
      </c>
      <c r="B9227" s="0" t="s">
        <v>9201</v>
      </c>
    </row>
    <row r="9228" customFormat="false" ht="15" hidden="false" customHeight="false" outlineLevel="0" collapsed="false">
      <c r="A9228" s="0" t="n">
        <f aca="false">PRICEMAT(DATE(2024,1,1),DATE(2034,1,1),DATE(2024,1,1),0.1,0.03,1)</f>
        <v>153.84924638508</v>
      </c>
      <c r="B9228" s="0" t="s">
        <v>9202</v>
      </c>
    </row>
    <row r="9229" customFormat="false" ht="15" hidden="false" customHeight="false" outlineLevel="0" collapsed="false">
      <c r="A9229" s="0" t="n">
        <f aca="false">YIELDMAT(DATE(2024,1,1),DATE(2034,1,1),DATE(2023,10,1),0.05,98,1)</f>
        <v>0.0523896391273648</v>
      </c>
      <c r="B9229" s="0" t="s">
        <v>9203</v>
      </c>
    </row>
    <row r="9230" customFormat="false" ht="15" hidden="false" customHeight="false" outlineLevel="0" collapsed="false">
      <c r="A9230" s="0" t="n">
        <f aca="false">YIELDMAT(DATE(2024,1,1),DATE(2034,1,1),DATE(2024,1,1),0.1,101,1)</f>
        <v>0.0980198758994432</v>
      </c>
      <c r="B9230" s="0" t="s">
        <v>9204</v>
      </c>
    </row>
    <row r="9231" customFormat="false" ht="15" hidden="false" customHeight="false" outlineLevel="0" collapsed="false">
      <c r="A9231" s="0" t="n">
        <f aca="false">ACCRINTM(DATE(2023,10,1),DATE(2034,1,1),0.05,1000,1)</f>
        <v>513.013698630137</v>
      </c>
      <c r="B9231" s="0" t="s">
        <v>9205</v>
      </c>
    </row>
    <row r="9232" customFormat="false" ht="15" hidden="false" customHeight="false" outlineLevel="0" collapsed="false">
      <c r="A9232" s="0" t="e">
        <f aca="false">ACCRINTM(DATE(2024,1,1),DATE(2024,1,1),0.08,5000,1)</f>
        <v>#VALUE!</v>
      </c>
      <c r="B9232" s="0" t="s">
        <v>9206</v>
      </c>
    </row>
    <row r="9233" customFormat="false" ht="15" hidden="false" customHeight="false" outlineLevel="0" collapsed="false">
      <c r="A9233" s="0" t="n">
        <f aca="false">DISC(DATE(2024,1,1),DATE(2034,1,1),95,100,2)</f>
        <v>0.00492745688475226</v>
      </c>
      <c r="B9233" s="0" t="s">
        <v>9207</v>
      </c>
    </row>
    <row r="9234" customFormat="false" ht="15" hidden="false" customHeight="false" outlineLevel="0" collapsed="false">
      <c r="A9234" s="0" t="n">
        <f aca="false">DISC(DATE(2024,1,1),DATE(2034,1,1),100,100,2)</f>
        <v>0</v>
      </c>
      <c r="B9234" s="0" t="s">
        <v>9208</v>
      </c>
    </row>
    <row r="9235" customFormat="false" ht="15" hidden="false" customHeight="false" outlineLevel="0" collapsed="false">
      <c r="A9235" s="0" t="n">
        <f aca="false">DISC(DATE(2024,1,1),DATE(2034,1,1),99.5,100.5,2)</f>
        <v>0.000980588434776565</v>
      </c>
      <c r="B9235" s="0" t="s">
        <v>9209</v>
      </c>
    </row>
    <row r="9236" customFormat="false" ht="15" hidden="false" customHeight="false" outlineLevel="0" collapsed="false">
      <c r="A9236" s="0" t="n">
        <f aca="false">PRICEDISC(DATE(2024,1,1),DATE(2034,1,1),0.05,100,2)</f>
        <v>49.2638888888889</v>
      </c>
      <c r="B9236" s="0" t="s">
        <v>9210</v>
      </c>
    </row>
    <row r="9237" customFormat="false" ht="15" hidden="false" customHeight="false" outlineLevel="0" collapsed="false">
      <c r="A9237" s="0" t="n">
        <f aca="false">PRICEDISC(DATE(2024,1,1),DATE(2034,1,1),0.1,105,2)</f>
        <v>-1.54583333333334</v>
      </c>
      <c r="B9237" s="0" t="s">
        <v>9211</v>
      </c>
    </row>
    <row r="9238" customFormat="false" ht="15" hidden="false" customHeight="false" outlineLevel="0" collapsed="false">
      <c r="A9238" s="0" t="n">
        <f aca="false">YIELDDISC(DATE(2024,1,1),DATE(2034,1,1),95,100,2)</f>
        <v>0.00518679672079185</v>
      </c>
      <c r="B9238" s="0" t="s">
        <v>9212</v>
      </c>
    </row>
    <row r="9239" customFormat="false" ht="15" hidden="false" customHeight="false" outlineLevel="0" collapsed="false">
      <c r="A9239" s="0" t="n">
        <f aca="false">YIELDDISC(DATE(2024,1,1),DATE(2034,1,1),99.5,100.5,2)</f>
        <v>0.000990443594925081</v>
      </c>
      <c r="B9239" s="0" t="s">
        <v>9213</v>
      </c>
    </row>
    <row r="9240" customFormat="false" ht="15" hidden="false" customHeight="false" outlineLevel="0" collapsed="false">
      <c r="A9240" s="0" t="n">
        <f aca="false">RECEIVED(DATE(2024,1,1),DATE(2034,1,1),1000,0.05,2)</f>
        <v>2029.88440936002</v>
      </c>
      <c r="B9240" s="0" t="s">
        <v>9214</v>
      </c>
    </row>
    <row r="9241" customFormat="false" ht="15" hidden="false" customHeight="false" outlineLevel="0" collapsed="false">
      <c r="A9241" s="0" t="n">
        <f aca="false">RECEIVED(DATE(2024,1,1),DATE(2034,1,1),5000,0.12,2)</f>
        <v>-22970.9035222052</v>
      </c>
      <c r="B9241" s="0" t="s">
        <v>9215</v>
      </c>
    </row>
    <row r="9242" customFormat="false" ht="15" hidden="false" customHeight="false" outlineLevel="0" collapsed="false">
      <c r="A9242" s="0" t="n">
        <f aca="false">INTRATE(DATE(2024,1,1),DATE(2034,1,1),1000,1050,2)</f>
        <v>0.00492745688475226</v>
      </c>
      <c r="B9242" s="0" t="s">
        <v>9216</v>
      </c>
    </row>
    <row r="9243" customFormat="false" ht="15" hidden="false" customHeight="false" outlineLevel="0" collapsed="false">
      <c r="A9243" s="0" t="n">
        <f aca="false">INTRATE(DATE(2024,1,1),DATE(2034,1,1),950,1000,2)</f>
        <v>0.00518679672079185</v>
      </c>
      <c r="B9243" s="0" t="s">
        <v>9217</v>
      </c>
    </row>
    <row r="9244" customFormat="false" ht="15" hidden="false" customHeight="false" outlineLevel="0" collapsed="false">
      <c r="A9244" s="0" t="n">
        <f aca="false">PRICEMAT(DATE(2024,1,1),DATE(2034,1,1),DATE(2023,10,1),0.05,0.06,2)</f>
        <v>93.2092556142593</v>
      </c>
      <c r="B9244" s="0" t="s">
        <v>9218</v>
      </c>
    </row>
    <row r="9245" customFormat="false" ht="15" hidden="false" customHeight="false" outlineLevel="0" collapsed="false">
      <c r="A9245" s="0" t="n">
        <f aca="false">PRICEMAT(DATE(2024,1,1),DATE(2034,1,1),DATE(2024,1,1),0.1,0.03,2)</f>
        <v>154.453885304202</v>
      </c>
      <c r="B9245" s="0" t="s">
        <v>9219</v>
      </c>
    </row>
    <row r="9246" customFormat="false" ht="15" hidden="false" customHeight="false" outlineLevel="0" collapsed="false">
      <c r="A9246" s="0" t="n">
        <f aca="false">YIELDMAT(DATE(2024,1,1),DATE(2034,1,1),DATE(2023,10,1),0.05,98,2)</f>
        <v>0.052349059293241</v>
      </c>
      <c r="B9246" s="0" t="s">
        <v>9220</v>
      </c>
    </row>
    <row r="9247" customFormat="false" ht="15" hidden="false" customHeight="false" outlineLevel="0" collapsed="false">
      <c r="A9247" s="0" t="n">
        <f aca="false">YIELDMAT(DATE(2024,1,1),DATE(2034,1,1),DATE(2024,1,1),0.1,101,2)</f>
        <v>0.0980341669535144</v>
      </c>
      <c r="B9247" s="0" t="s">
        <v>9221</v>
      </c>
    </row>
    <row r="9248" customFormat="false" ht="15" hidden="false" customHeight="false" outlineLevel="0" collapsed="false">
      <c r="A9248" s="0" t="n">
        <f aca="false">ACCRINTM(DATE(2023,10,1),DATE(2034,1,1),0.05,1000,2)</f>
        <v>520.138888888889</v>
      </c>
      <c r="B9248" s="0" t="s">
        <v>9222</v>
      </c>
    </row>
    <row r="9249" customFormat="false" ht="15" hidden="false" customHeight="false" outlineLevel="0" collapsed="false">
      <c r="A9249" s="0" t="e">
        <f aca="false">ACCRINTM(DATE(2024,1,1),DATE(2024,1,1),0.08,5000,2)</f>
        <v>#VALUE!</v>
      </c>
      <c r="B9249" s="0" t="s">
        <v>9223</v>
      </c>
    </row>
    <row r="9250" customFormat="false" ht="15" hidden="false" customHeight="false" outlineLevel="0" collapsed="false">
      <c r="A9250" s="0" t="n">
        <f aca="false">DISC(DATE(2024,1,1),DATE(2034,1,1),95,100,3)</f>
        <v>0.00499589378592938</v>
      </c>
      <c r="B9250" s="0" t="s">
        <v>9224</v>
      </c>
    </row>
    <row r="9251" customFormat="false" ht="15" hidden="false" customHeight="false" outlineLevel="0" collapsed="false">
      <c r="A9251" s="0" t="n">
        <f aca="false">DISC(DATE(2024,1,1),DATE(2034,1,1),100,100,3)</f>
        <v>0</v>
      </c>
      <c r="B9251" s="0" t="s">
        <v>9225</v>
      </c>
    </row>
    <row r="9252" customFormat="false" ht="15" hidden="false" customHeight="false" outlineLevel="0" collapsed="false">
      <c r="A9252" s="0" t="n">
        <f aca="false">DISC(DATE(2024,1,1),DATE(2034,1,1),99.5,100.5,3)</f>
        <v>0.000994207718592906</v>
      </c>
      <c r="B9252" s="0" t="s">
        <v>9226</v>
      </c>
    </row>
    <row r="9253" customFormat="false" ht="15" hidden="false" customHeight="false" outlineLevel="0" collapsed="false">
      <c r="A9253" s="0" t="n">
        <f aca="false">PRICEDISC(DATE(2024,1,1),DATE(2034,1,1),0.05,100,3)</f>
        <v>49.958904109589</v>
      </c>
      <c r="B9253" s="0" t="s">
        <v>9227</v>
      </c>
    </row>
    <row r="9254" customFormat="false" ht="15" hidden="false" customHeight="false" outlineLevel="0" collapsed="false">
      <c r="A9254" s="0" t="n">
        <f aca="false">PRICEDISC(DATE(2024,1,1),DATE(2034,1,1),0.1,105,3)</f>
        <v>-0.0863013698630122</v>
      </c>
      <c r="B9254" s="0" t="s">
        <v>9228</v>
      </c>
    </row>
    <row r="9255" customFormat="false" ht="15" hidden="false" customHeight="false" outlineLevel="0" collapsed="false">
      <c r="A9255" s="0" t="n">
        <f aca="false">YIELDDISC(DATE(2024,1,1),DATE(2034,1,1),95,100,3)</f>
        <v>0.00525883556413618</v>
      </c>
      <c r="B9255" s="0" t="s">
        <v>9229</v>
      </c>
    </row>
    <row r="9256" customFormat="false" ht="15" hidden="false" customHeight="false" outlineLevel="0" collapsed="false">
      <c r="A9256" s="0" t="n">
        <f aca="false">YIELDDISC(DATE(2024,1,1),DATE(2034,1,1),99.5,100.5,3)</f>
        <v>0.00100419975596571</v>
      </c>
      <c r="B9256" s="0" t="s">
        <v>9230</v>
      </c>
    </row>
    <row r="9257" customFormat="false" ht="15" hidden="false" customHeight="false" outlineLevel="0" collapsed="false">
      <c r="A9257" s="0" t="n">
        <f aca="false">RECEIVED(DATE(2024,1,1),DATE(2034,1,1),1000,0.05,3)</f>
        <v>2001.64518782561</v>
      </c>
      <c r="B9257" s="0" t="s">
        <v>9231</v>
      </c>
    </row>
    <row r="9258" customFormat="false" ht="15" hidden="false" customHeight="false" outlineLevel="0" collapsed="false">
      <c r="A9258" s="0" t="n">
        <f aca="false">RECEIVED(DATE(2024,1,1),DATE(2034,1,1),5000,0.12,3)</f>
        <v>-24877.3173391494</v>
      </c>
      <c r="B9258" s="0" t="s">
        <v>9232</v>
      </c>
    </row>
    <row r="9259" customFormat="false" ht="15" hidden="false" customHeight="false" outlineLevel="0" collapsed="false">
      <c r="A9259" s="0" t="n">
        <f aca="false">INTRATE(DATE(2024,1,1),DATE(2034,1,1),1000,1050,3)</f>
        <v>0.00499589378592938</v>
      </c>
      <c r="B9259" s="0" t="s">
        <v>9233</v>
      </c>
    </row>
    <row r="9260" customFormat="false" ht="15" hidden="false" customHeight="false" outlineLevel="0" collapsed="false">
      <c r="A9260" s="0" t="n">
        <f aca="false">INTRATE(DATE(2024,1,1),DATE(2034,1,1),950,1000,3)</f>
        <v>0.00525883556413618</v>
      </c>
      <c r="B9260" s="0" t="s">
        <v>9234</v>
      </c>
    </row>
    <row r="9261" customFormat="false" ht="15" hidden="false" customHeight="false" outlineLevel="0" collapsed="false">
      <c r="A9261" s="0" t="n">
        <f aca="false">PRICEMAT(DATE(2024,1,1),DATE(2034,1,1),DATE(2023,10,1),0.05,0.06,3)</f>
        <v>93.2739449325293</v>
      </c>
      <c r="B9261" s="0" t="s">
        <v>9235</v>
      </c>
    </row>
    <row r="9262" customFormat="false" ht="15" hidden="false" customHeight="false" outlineLevel="0" collapsed="false">
      <c r="A9262" s="0" t="n">
        <f aca="false">PRICEMAT(DATE(2024,1,1),DATE(2034,1,1),DATE(2024,1,1),0.1,0.03,3)</f>
        <v>153.880191323037</v>
      </c>
      <c r="B9262" s="0" t="s">
        <v>9236</v>
      </c>
    </row>
    <row r="9263" customFormat="false" ht="15" hidden="false" customHeight="false" outlineLevel="0" collapsed="false">
      <c r="A9263" s="0" t="n">
        <f aca="false">YIELDMAT(DATE(2024,1,1),DATE(2034,1,1),DATE(2023,10,1),0.05,98,3)</f>
        <v>0.0523858694251882</v>
      </c>
      <c r="B9263" s="0" t="s">
        <v>9237</v>
      </c>
    </row>
    <row r="9264" customFormat="false" ht="15" hidden="false" customHeight="false" outlineLevel="0" collapsed="false">
      <c r="A9264" s="0" t="n">
        <f aca="false">YIELDMAT(DATE(2024,1,1),DATE(2034,1,1),DATE(2024,1,1),0.1,101,3)</f>
        <v>0.0980206150918952</v>
      </c>
      <c r="B9264" s="0" t="s">
        <v>9238</v>
      </c>
    </row>
    <row r="9265" customFormat="false" ht="15" hidden="false" customHeight="false" outlineLevel="0" collapsed="false">
      <c r="A9265" s="0" t="n">
        <f aca="false">ACCRINTM(DATE(2023,10,1),DATE(2034,1,1),0.05,1000,3)</f>
        <v>513.013698630137</v>
      </c>
      <c r="B9265" s="0" t="s">
        <v>9239</v>
      </c>
    </row>
    <row r="9266" customFormat="false" ht="15" hidden="false" customHeight="false" outlineLevel="0" collapsed="false">
      <c r="A9266" s="0" t="e">
        <f aca="false">ACCRINTM(DATE(2024,1,1),DATE(2024,1,1),0.08,5000,3)</f>
        <v>#VALUE!</v>
      </c>
      <c r="B9266" s="0" t="s">
        <v>9240</v>
      </c>
    </row>
    <row r="9267" customFormat="false" ht="15" hidden="false" customHeight="false" outlineLevel="0" collapsed="false">
      <c r="A9267" s="0" t="n">
        <f aca="false">DISC(DATE(2024,1,1),DATE(2034,1,1),95,100,4)</f>
        <v>0.005</v>
      </c>
      <c r="B9267" s="0" t="s">
        <v>9241</v>
      </c>
    </row>
    <row r="9268" customFormat="false" ht="15" hidden="false" customHeight="false" outlineLevel="0" collapsed="false">
      <c r="A9268" s="0" t="n">
        <f aca="false">DISC(DATE(2024,1,1),DATE(2034,1,1),100,100,4)</f>
        <v>0</v>
      </c>
      <c r="B9268" s="0" t="s">
        <v>9242</v>
      </c>
    </row>
    <row r="9269" customFormat="false" ht="15" hidden="false" customHeight="false" outlineLevel="0" collapsed="false">
      <c r="A9269" s="0" t="n">
        <f aca="false">DISC(DATE(2024,1,1),DATE(2034,1,1),99.5,100.5,4)</f>
        <v>0.000995024875621886</v>
      </c>
      <c r="B9269" s="0" t="s">
        <v>9243</v>
      </c>
    </row>
    <row r="9270" customFormat="false" ht="15" hidden="false" customHeight="false" outlineLevel="0" collapsed="false">
      <c r="A9270" s="0" t="n">
        <f aca="false">PRICEDISC(DATE(2024,1,1),DATE(2034,1,1),0.05,100,4)</f>
        <v>50</v>
      </c>
      <c r="B9270" s="0" t="s">
        <v>9244</v>
      </c>
    </row>
    <row r="9271" customFormat="false" ht="15" hidden="false" customHeight="false" outlineLevel="0" collapsed="false">
      <c r="A9271" s="0" t="n">
        <f aca="false">PRICEDISC(DATE(2024,1,1),DATE(2034,1,1),0.1,105,4)</f>
        <v>0</v>
      </c>
      <c r="B9271" s="0" t="s">
        <v>9245</v>
      </c>
    </row>
    <row r="9272" customFormat="false" ht="15" hidden="false" customHeight="false" outlineLevel="0" collapsed="false">
      <c r="A9272" s="0" t="n">
        <f aca="false">YIELDDISC(DATE(2024,1,1),DATE(2034,1,1),95,100,4)</f>
        <v>0.00526315789473684</v>
      </c>
      <c r="B9272" s="0" t="s">
        <v>9246</v>
      </c>
    </row>
    <row r="9273" customFormat="false" ht="15" hidden="false" customHeight="false" outlineLevel="0" collapsed="false">
      <c r="A9273" s="0" t="n">
        <f aca="false">YIELDDISC(DATE(2024,1,1),DATE(2034,1,1),99.5,100.5,4)</f>
        <v>0.00100502512562815</v>
      </c>
      <c r="B9273" s="0" t="s">
        <v>9247</v>
      </c>
    </row>
    <row r="9274" customFormat="false" ht="15" hidden="false" customHeight="false" outlineLevel="0" collapsed="false">
      <c r="A9274" s="0" t="n">
        <f aca="false">RECEIVED(DATE(2024,1,1),DATE(2034,1,1),1000,0.05,4)</f>
        <v>2000</v>
      </c>
      <c r="B9274" s="0" t="s">
        <v>9248</v>
      </c>
    </row>
    <row r="9275" customFormat="false" ht="15" hidden="false" customHeight="false" outlineLevel="0" collapsed="false">
      <c r="A9275" s="0" t="n">
        <f aca="false">RECEIVED(DATE(2024,1,1),DATE(2034,1,1),5000,0.12,4)</f>
        <v>-25000</v>
      </c>
      <c r="B9275" s="0" t="s">
        <v>9249</v>
      </c>
    </row>
    <row r="9276" customFormat="false" ht="15" hidden="false" customHeight="false" outlineLevel="0" collapsed="false">
      <c r="A9276" s="0" t="n">
        <f aca="false">INTRATE(DATE(2024,1,1),DATE(2034,1,1),1000,1050,4)</f>
        <v>0.005</v>
      </c>
      <c r="B9276" s="0" t="s">
        <v>9250</v>
      </c>
    </row>
    <row r="9277" customFormat="false" ht="15" hidden="false" customHeight="false" outlineLevel="0" collapsed="false">
      <c r="A9277" s="0" t="n">
        <f aca="false">INTRATE(DATE(2024,1,1),DATE(2034,1,1),950,1000,4)</f>
        <v>0.00526315789473684</v>
      </c>
      <c r="B9277" s="0" t="s">
        <v>9251</v>
      </c>
    </row>
    <row r="9278" customFormat="false" ht="15" hidden="false" customHeight="false" outlineLevel="0" collapsed="false">
      <c r="A9278" s="0" t="n">
        <f aca="false">PRICEMAT(DATE(2024,1,1),DATE(2034,1,1),DATE(2023,10,1),0.05,0.06,4)</f>
        <v>93.28125</v>
      </c>
      <c r="B9278" s="0" t="s">
        <v>9252</v>
      </c>
    </row>
    <row r="9279" customFormat="false" ht="15" hidden="false" customHeight="false" outlineLevel="0" collapsed="false">
      <c r="A9279" s="0" t="n">
        <f aca="false">PRICEMAT(DATE(2024,1,1),DATE(2034,1,1),DATE(2024,1,1),0.1,0.03,4)</f>
        <v>153.846153846154</v>
      </c>
      <c r="B9279" s="0" t="s">
        <v>9253</v>
      </c>
    </row>
    <row r="9280" customFormat="false" ht="15" hidden="false" customHeight="false" outlineLevel="0" collapsed="false">
      <c r="A9280" s="0" t="n">
        <f aca="false">YIELDMAT(DATE(2024,1,1),DATE(2034,1,1),DATE(2023,10,1),0.05,98,4)</f>
        <v>0.0523929471032746</v>
      </c>
      <c r="B9280" s="0" t="s">
        <v>9254</v>
      </c>
    </row>
    <row r="9281" customFormat="false" ht="15" hidden="false" customHeight="false" outlineLevel="0" collapsed="false">
      <c r="A9281" s="0" t="n">
        <f aca="false">YIELDMAT(DATE(2024,1,1),DATE(2034,1,1),DATE(2024,1,1),0.1,101,4)</f>
        <v>0.098019801980198</v>
      </c>
      <c r="B9281" s="0" t="s">
        <v>9255</v>
      </c>
    </row>
    <row r="9282" customFormat="false" ht="15" hidden="false" customHeight="false" outlineLevel="0" collapsed="false">
      <c r="A9282" s="0" t="n">
        <f aca="false">ACCRINTM(DATE(2023,10,1),DATE(2034,1,1),0.05,1000,4)</f>
        <v>512.5</v>
      </c>
      <c r="B9282" s="0" t="s">
        <v>9256</v>
      </c>
    </row>
    <row r="9283" customFormat="false" ht="15" hidden="false" customHeight="false" outlineLevel="0" collapsed="false">
      <c r="A9283" s="0" t="e">
        <f aca="false">ACCRINTM(DATE(2024,1,1),DATE(2024,1,1),0.08,5000,4)</f>
        <v>#VALUE!</v>
      </c>
      <c r="B9283" s="0" t="s">
        <v>9257</v>
      </c>
    </row>
    <row r="9284" customFormat="false" ht="15" hidden="false" customHeight="false" outlineLevel="0" collapsed="false">
      <c r="A9284" s="0" t="n">
        <f aca="false">TBILLPRICE(DATE(2024,1,1),DATE(2034,1,1),0.05)</f>
        <v>49.9861111111111</v>
      </c>
      <c r="B9284" s="0" t="s">
        <v>9258</v>
      </c>
    </row>
    <row r="9285" customFormat="false" ht="15" hidden="false" customHeight="false" outlineLevel="0" collapsed="false">
      <c r="A9285" s="0" t="e">
        <f aca="false">TBILLYIELD(DATE(2024,1,1),DATE(2034,1,1),98)</f>
        <v>#VALUE!</v>
      </c>
      <c r="B9285" s="0" t="s">
        <v>9259</v>
      </c>
    </row>
    <row r="9286" customFormat="false" ht="15" hidden="false" customHeight="false" outlineLevel="0" collapsed="false">
      <c r="A9286" s="0" t="e">
        <f aca="false">TBILLEQ(DATE(2024,1,1),DATE(2034,1,1),0.05)</f>
        <v>#VALUE!</v>
      </c>
      <c r="B9286" s="0" t="s">
        <v>9260</v>
      </c>
    </row>
    <row r="9287" customFormat="false" ht="15" hidden="false" customHeight="false" outlineLevel="0" collapsed="false">
      <c r="A9287" s="0" t="e">
        <f aca="false">TBILLEQ(DATE(2024,1,1),DATE(2034,1,1),0.12)</f>
        <v>#VALUE!</v>
      </c>
      <c r="B9287" s="0" t="s">
        <v>9261</v>
      </c>
    </row>
    <row r="9288" customFormat="false" ht="15" hidden="false" customHeight="false" outlineLevel="0" collapsed="false">
      <c r="A9288" s="0" t="e">
        <f aca="false">DISC(DATE(2024,7,1),DATE(2024,7,1),95,100,0)</f>
        <v>#VALUE!</v>
      </c>
      <c r="B9288" s="0" t="s">
        <v>9262</v>
      </c>
    </row>
    <row r="9289" customFormat="false" ht="15" hidden="false" customHeight="false" outlineLevel="0" collapsed="false">
      <c r="A9289" s="0" t="e">
        <f aca="false">DISC(DATE(2024,7,1),DATE(2024,7,1),100,100,0)</f>
        <v>#VALUE!</v>
      </c>
      <c r="B9289" s="0" t="s">
        <v>9263</v>
      </c>
    </row>
    <row r="9290" customFormat="false" ht="15" hidden="false" customHeight="false" outlineLevel="0" collapsed="false">
      <c r="A9290" s="0" t="e">
        <f aca="false">DISC(DATE(2024,7,1),DATE(2024,7,1),99.5,100.5,0)</f>
        <v>#VALUE!</v>
      </c>
      <c r="B9290" s="0" t="s">
        <v>9264</v>
      </c>
    </row>
    <row r="9291" customFormat="false" ht="15" hidden="false" customHeight="false" outlineLevel="0" collapsed="false">
      <c r="A9291" s="0" t="e">
        <f aca="false">PRICEDISC(DATE(2024,7,1),DATE(2024,7,1),0.05,100,0)</f>
        <v>#VALUE!</v>
      </c>
      <c r="B9291" s="0" t="s">
        <v>9265</v>
      </c>
    </row>
    <row r="9292" customFormat="false" ht="15" hidden="false" customHeight="false" outlineLevel="0" collapsed="false">
      <c r="A9292" s="0" t="e">
        <f aca="false">PRICEDISC(DATE(2024,7,1),DATE(2024,7,1),0.1,105,0)</f>
        <v>#VALUE!</v>
      </c>
      <c r="B9292" s="0" t="s">
        <v>9266</v>
      </c>
    </row>
    <row r="9293" customFormat="false" ht="15" hidden="false" customHeight="false" outlineLevel="0" collapsed="false">
      <c r="A9293" s="0" t="e">
        <f aca="false">YIELDDISC(DATE(2024,7,1),DATE(2024,7,1),95,100,0)</f>
        <v>#VALUE!</v>
      </c>
      <c r="B9293" s="0" t="s">
        <v>9267</v>
      </c>
    </row>
    <row r="9294" customFormat="false" ht="15" hidden="false" customHeight="false" outlineLevel="0" collapsed="false">
      <c r="A9294" s="0" t="e">
        <f aca="false">YIELDDISC(DATE(2024,7,1),DATE(2024,7,1),99.5,100.5,0)</f>
        <v>#VALUE!</v>
      </c>
      <c r="B9294" s="0" t="s">
        <v>9268</v>
      </c>
    </row>
    <row r="9295" customFormat="false" ht="15" hidden="false" customHeight="false" outlineLevel="0" collapsed="false">
      <c r="A9295" s="0" t="e">
        <f aca="false">RECEIVED(DATE(2024,7,1),DATE(2024,7,1),1000,0.05,0)</f>
        <v>#VALUE!</v>
      </c>
      <c r="B9295" s="0" t="s">
        <v>9269</v>
      </c>
    </row>
    <row r="9296" customFormat="false" ht="15" hidden="false" customHeight="false" outlineLevel="0" collapsed="false">
      <c r="A9296" s="0" t="e">
        <f aca="false">RECEIVED(DATE(2024,7,1),DATE(2024,7,1),5000,0.12,0)</f>
        <v>#VALUE!</v>
      </c>
      <c r="B9296" s="0" t="s">
        <v>9270</v>
      </c>
    </row>
    <row r="9297" customFormat="false" ht="15" hidden="false" customHeight="false" outlineLevel="0" collapsed="false">
      <c r="A9297" s="0" t="e">
        <f aca="false">INTRATE(DATE(2024,7,1),DATE(2024,7,1),1000,1050,0)</f>
        <v>#VALUE!</v>
      </c>
      <c r="B9297" s="0" t="s">
        <v>9271</v>
      </c>
    </row>
    <row r="9298" customFormat="false" ht="15" hidden="false" customHeight="false" outlineLevel="0" collapsed="false">
      <c r="A9298" s="0" t="e">
        <f aca="false">INTRATE(DATE(2024,7,1),DATE(2024,7,1),950,1000,0)</f>
        <v>#VALUE!</v>
      </c>
      <c r="B9298" s="0" t="s">
        <v>9272</v>
      </c>
    </row>
    <row r="9299" customFormat="false" ht="15" hidden="false" customHeight="false" outlineLevel="0" collapsed="false">
      <c r="A9299" s="0" t="e">
        <f aca="false">PRICEMAT(DATE(2024,7,1),DATE(2024,7,1),DATE(2023,10,1),0.05,0.06,0)</f>
        <v>#VALUE!</v>
      </c>
      <c r="B9299" s="0" t="s">
        <v>9273</v>
      </c>
    </row>
    <row r="9300" customFormat="false" ht="15" hidden="false" customHeight="false" outlineLevel="0" collapsed="false">
      <c r="A9300" s="0" t="e">
        <f aca="false">PRICEMAT(DATE(2024,7,1),DATE(2024,7,1),DATE(2024,1,1),0.1,0.03,0)</f>
        <v>#VALUE!</v>
      </c>
      <c r="B9300" s="0" t="s">
        <v>9274</v>
      </c>
    </row>
    <row r="9301" customFormat="false" ht="15" hidden="false" customHeight="false" outlineLevel="0" collapsed="false">
      <c r="A9301" s="0" t="e">
        <f aca="false">YIELDMAT(DATE(2024,7,1),DATE(2024,7,1),DATE(2023,10,1),0.05,98,0)</f>
        <v>#VALUE!</v>
      </c>
      <c r="B9301" s="0" t="s">
        <v>9275</v>
      </c>
    </row>
    <row r="9302" customFormat="false" ht="15" hidden="false" customHeight="false" outlineLevel="0" collapsed="false">
      <c r="A9302" s="0" t="e">
        <f aca="false">YIELDMAT(DATE(2024,7,1),DATE(2024,7,1),DATE(2024,1,1),0.1,101,0)</f>
        <v>#VALUE!</v>
      </c>
      <c r="B9302" s="0" t="s">
        <v>9276</v>
      </c>
    </row>
    <row r="9303" customFormat="false" ht="15" hidden="false" customHeight="false" outlineLevel="0" collapsed="false">
      <c r="A9303" s="0" t="n">
        <f aca="false">ACCRINTM(DATE(2023,10,1),DATE(2024,7,1),0.05,1000,0)</f>
        <v>37.5</v>
      </c>
      <c r="B9303" s="0" t="s">
        <v>9277</v>
      </c>
    </row>
    <row r="9304" customFormat="false" ht="15" hidden="false" customHeight="false" outlineLevel="0" collapsed="false">
      <c r="A9304" s="0" t="n">
        <f aca="false">ACCRINTM(DATE(2024,1,1),DATE(2024,7,1),0.08,5000,0)</f>
        <v>200</v>
      </c>
      <c r="B9304" s="0" t="s">
        <v>9278</v>
      </c>
    </row>
    <row r="9305" customFormat="false" ht="15" hidden="false" customHeight="false" outlineLevel="0" collapsed="false">
      <c r="A9305" s="0" t="e">
        <f aca="false">DISC(DATE(2024,7,1),DATE(2024,7,1),95,100,1)</f>
        <v>#VALUE!</v>
      </c>
      <c r="B9305" s="0" t="s">
        <v>9279</v>
      </c>
    </row>
    <row r="9306" customFormat="false" ht="15" hidden="false" customHeight="false" outlineLevel="0" collapsed="false">
      <c r="A9306" s="0" t="e">
        <f aca="false">DISC(DATE(2024,7,1),DATE(2024,7,1),100,100,1)</f>
        <v>#VALUE!</v>
      </c>
      <c r="B9306" s="0" t="s">
        <v>9280</v>
      </c>
    </row>
    <row r="9307" customFormat="false" ht="15" hidden="false" customHeight="false" outlineLevel="0" collapsed="false">
      <c r="A9307" s="0" t="e">
        <f aca="false">DISC(DATE(2024,7,1),DATE(2024,7,1),99.5,100.5,1)</f>
        <v>#VALUE!</v>
      </c>
      <c r="B9307" s="0" t="s">
        <v>9281</v>
      </c>
    </row>
    <row r="9308" customFormat="false" ht="15" hidden="false" customHeight="false" outlineLevel="0" collapsed="false">
      <c r="A9308" s="0" t="e">
        <f aca="false">PRICEDISC(DATE(2024,7,1),DATE(2024,7,1),0.05,100,1)</f>
        <v>#VALUE!</v>
      </c>
      <c r="B9308" s="0" t="s">
        <v>9282</v>
      </c>
    </row>
    <row r="9309" customFormat="false" ht="15" hidden="false" customHeight="false" outlineLevel="0" collapsed="false">
      <c r="A9309" s="0" t="e">
        <f aca="false">PRICEDISC(DATE(2024,7,1),DATE(2024,7,1),0.1,105,1)</f>
        <v>#VALUE!</v>
      </c>
      <c r="B9309" s="0" t="s">
        <v>9283</v>
      </c>
    </row>
    <row r="9310" customFormat="false" ht="15" hidden="false" customHeight="false" outlineLevel="0" collapsed="false">
      <c r="A9310" s="0" t="e">
        <f aca="false">YIELDDISC(DATE(2024,7,1),DATE(2024,7,1),95,100,1)</f>
        <v>#VALUE!</v>
      </c>
      <c r="B9310" s="0" t="s">
        <v>9284</v>
      </c>
    </row>
    <row r="9311" customFormat="false" ht="15" hidden="false" customHeight="false" outlineLevel="0" collapsed="false">
      <c r="A9311" s="0" t="e">
        <f aca="false">YIELDDISC(DATE(2024,7,1),DATE(2024,7,1),99.5,100.5,1)</f>
        <v>#VALUE!</v>
      </c>
      <c r="B9311" s="0" t="s">
        <v>9285</v>
      </c>
    </row>
    <row r="9312" customFormat="false" ht="15" hidden="false" customHeight="false" outlineLevel="0" collapsed="false">
      <c r="A9312" s="0" t="e">
        <f aca="false">RECEIVED(DATE(2024,7,1),DATE(2024,7,1),1000,0.05,1)</f>
        <v>#VALUE!</v>
      </c>
      <c r="B9312" s="0" t="s">
        <v>9286</v>
      </c>
    </row>
    <row r="9313" customFormat="false" ht="15" hidden="false" customHeight="false" outlineLevel="0" collapsed="false">
      <c r="A9313" s="0" t="e">
        <f aca="false">RECEIVED(DATE(2024,7,1),DATE(2024,7,1),5000,0.12,1)</f>
        <v>#VALUE!</v>
      </c>
      <c r="B9313" s="0" t="s">
        <v>9287</v>
      </c>
    </row>
    <row r="9314" customFormat="false" ht="15" hidden="false" customHeight="false" outlineLevel="0" collapsed="false">
      <c r="A9314" s="0" t="e">
        <f aca="false">INTRATE(DATE(2024,7,1),DATE(2024,7,1),1000,1050,1)</f>
        <v>#VALUE!</v>
      </c>
      <c r="B9314" s="0" t="s">
        <v>9288</v>
      </c>
    </row>
    <row r="9315" customFormat="false" ht="15" hidden="false" customHeight="false" outlineLevel="0" collapsed="false">
      <c r="A9315" s="0" t="e">
        <f aca="false">INTRATE(DATE(2024,7,1),DATE(2024,7,1),950,1000,1)</f>
        <v>#VALUE!</v>
      </c>
      <c r="B9315" s="0" t="s">
        <v>9289</v>
      </c>
    </row>
    <row r="9316" customFormat="false" ht="15" hidden="false" customHeight="false" outlineLevel="0" collapsed="false">
      <c r="A9316" s="0" t="e">
        <f aca="false">PRICEMAT(DATE(2024,7,1),DATE(2024,7,1),DATE(2023,10,1),0.05,0.06,1)</f>
        <v>#VALUE!</v>
      </c>
      <c r="B9316" s="0" t="s">
        <v>9290</v>
      </c>
    </row>
    <row r="9317" customFormat="false" ht="15" hidden="false" customHeight="false" outlineLevel="0" collapsed="false">
      <c r="A9317" s="0" t="e">
        <f aca="false">PRICEMAT(DATE(2024,7,1),DATE(2024,7,1),DATE(2024,1,1),0.1,0.03,1)</f>
        <v>#VALUE!</v>
      </c>
      <c r="B9317" s="0" t="s">
        <v>9291</v>
      </c>
    </row>
    <row r="9318" customFormat="false" ht="15" hidden="false" customHeight="false" outlineLevel="0" collapsed="false">
      <c r="A9318" s="0" t="e">
        <f aca="false">YIELDMAT(DATE(2024,7,1),DATE(2024,7,1),DATE(2023,10,1),0.05,98,1)</f>
        <v>#VALUE!</v>
      </c>
      <c r="B9318" s="0" t="s">
        <v>9292</v>
      </c>
    </row>
    <row r="9319" customFormat="false" ht="15" hidden="false" customHeight="false" outlineLevel="0" collapsed="false">
      <c r="A9319" s="0" t="e">
        <f aca="false">YIELDMAT(DATE(2024,7,1),DATE(2024,7,1),DATE(2024,1,1),0.1,101,1)</f>
        <v>#VALUE!</v>
      </c>
      <c r="B9319" s="0" t="s">
        <v>9293</v>
      </c>
    </row>
    <row r="9320" customFormat="false" ht="15" hidden="false" customHeight="false" outlineLevel="0" collapsed="false">
      <c r="A9320" s="0" t="n">
        <f aca="false">ACCRINTM(DATE(2023,10,1),DATE(2024,7,1),0.05,1000,1)</f>
        <v>37.5342465753425</v>
      </c>
      <c r="B9320" s="0" t="s">
        <v>9294</v>
      </c>
    </row>
    <row r="9321" customFormat="false" ht="15" hidden="false" customHeight="false" outlineLevel="0" collapsed="false">
      <c r="A9321" s="0" t="n">
        <f aca="false">ACCRINTM(DATE(2024,1,1),DATE(2024,7,1),0.08,5000,1)</f>
        <v>198.907103825137</v>
      </c>
      <c r="B9321" s="0" t="s">
        <v>9295</v>
      </c>
    </row>
    <row r="9322" customFormat="false" ht="15" hidden="false" customHeight="false" outlineLevel="0" collapsed="false">
      <c r="A9322" s="0" t="e">
        <f aca="false">DISC(DATE(2024,7,1),DATE(2024,7,1),95,100,2)</f>
        <v>#VALUE!</v>
      </c>
      <c r="B9322" s="0" t="s">
        <v>9296</v>
      </c>
    </row>
    <row r="9323" customFormat="false" ht="15" hidden="false" customHeight="false" outlineLevel="0" collapsed="false">
      <c r="A9323" s="0" t="e">
        <f aca="false">DISC(DATE(2024,7,1),DATE(2024,7,1),100,100,2)</f>
        <v>#VALUE!</v>
      </c>
      <c r="B9323" s="0" t="s">
        <v>9297</v>
      </c>
    </row>
    <row r="9324" customFormat="false" ht="15" hidden="false" customHeight="false" outlineLevel="0" collapsed="false">
      <c r="A9324" s="0" t="e">
        <f aca="false">DISC(DATE(2024,7,1),DATE(2024,7,1),99.5,100.5,2)</f>
        <v>#VALUE!</v>
      </c>
      <c r="B9324" s="0" t="s">
        <v>9298</v>
      </c>
    </row>
    <row r="9325" customFormat="false" ht="15" hidden="false" customHeight="false" outlineLevel="0" collapsed="false">
      <c r="A9325" s="0" t="e">
        <f aca="false">PRICEDISC(DATE(2024,7,1),DATE(2024,7,1),0.05,100,2)</f>
        <v>#VALUE!</v>
      </c>
      <c r="B9325" s="0" t="s">
        <v>9299</v>
      </c>
    </row>
    <row r="9326" customFormat="false" ht="15" hidden="false" customHeight="false" outlineLevel="0" collapsed="false">
      <c r="A9326" s="0" t="e">
        <f aca="false">PRICEDISC(DATE(2024,7,1),DATE(2024,7,1),0.1,105,2)</f>
        <v>#VALUE!</v>
      </c>
      <c r="B9326" s="0" t="s">
        <v>9300</v>
      </c>
    </row>
    <row r="9327" customFormat="false" ht="15" hidden="false" customHeight="false" outlineLevel="0" collapsed="false">
      <c r="A9327" s="0" t="e">
        <f aca="false">YIELDDISC(DATE(2024,7,1),DATE(2024,7,1),95,100,2)</f>
        <v>#VALUE!</v>
      </c>
      <c r="B9327" s="0" t="s">
        <v>9301</v>
      </c>
    </row>
    <row r="9328" customFormat="false" ht="15" hidden="false" customHeight="false" outlineLevel="0" collapsed="false">
      <c r="A9328" s="0" t="e">
        <f aca="false">YIELDDISC(DATE(2024,7,1),DATE(2024,7,1),99.5,100.5,2)</f>
        <v>#VALUE!</v>
      </c>
      <c r="B9328" s="0" t="s">
        <v>9302</v>
      </c>
    </row>
    <row r="9329" customFormat="false" ht="15" hidden="false" customHeight="false" outlineLevel="0" collapsed="false">
      <c r="A9329" s="0" t="e">
        <f aca="false">RECEIVED(DATE(2024,7,1),DATE(2024,7,1),1000,0.05,2)</f>
        <v>#VALUE!</v>
      </c>
      <c r="B9329" s="0" t="s">
        <v>9303</v>
      </c>
    </row>
    <row r="9330" customFormat="false" ht="15" hidden="false" customHeight="false" outlineLevel="0" collapsed="false">
      <c r="A9330" s="0" t="e">
        <f aca="false">RECEIVED(DATE(2024,7,1),DATE(2024,7,1),5000,0.12,2)</f>
        <v>#VALUE!</v>
      </c>
      <c r="B9330" s="0" t="s">
        <v>9304</v>
      </c>
    </row>
    <row r="9331" customFormat="false" ht="15" hidden="false" customHeight="false" outlineLevel="0" collapsed="false">
      <c r="A9331" s="0" t="e">
        <f aca="false">INTRATE(DATE(2024,7,1),DATE(2024,7,1),1000,1050,2)</f>
        <v>#VALUE!</v>
      </c>
      <c r="B9331" s="0" t="s">
        <v>9305</v>
      </c>
    </row>
    <row r="9332" customFormat="false" ht="15" hidden="false" customHeight="false" outlineLevel="0" collapsed="false">
      <c r="A9332" s="0" t="e">
        <f aca="false">INTRATE(DATE(2024,7,1),DATE(2024,7,1),950,1000,2)</f>
        <v>#VALUE!</v>
      </c>
      <c r="B9332" s="0" t="s">
        <v>9306</v>
      </c>
    </row>
    <row r="9333" customFormat="false" ht="15" hidden="false" customHeight="false" outlineLevel="0" collapsed="false">
      <c r="A9333" s="0" t="e">
        <f aca="false">PRICEMAT(DATE(2024,7,1),DATE(2024,7,1),DATE(2023,10,1),0.05,0.06,2)</f>
        <v>#VALUE!</v>
      </c>
      <c r="B9333" s="0" t="s">
        <v>9307</v>
      </c>
    </row>
    <row r="9334" customFormat="false" ht="15" hidden="false" customHeight="false" outlineLevel="0" collapsed="false">
      <c r="A9334" s="0" t="e">
        <f aca="false">PRICEMAT(DATE(2024,7,1),DATE(2024,7,1),DATE(2024,1,1),0.1,0.03,2)</f>
        <v>#VALUE!</v>
      </c>
      <c r="B9334" s="0" t="s">
        <v>9308</v>
      </c>
    </row>
    <row r="9335" customFormat="false" ht="15" hidden="false" customHeight="false" outlineLevel="0" collapsed="false">
      <c r="A9335" s="0" t="e">
        <f aca="false">YIELDMAT(DATE(2024,7,1),DATE(2024,7,1),DATE(2023,10,1),0.05,98,2)</f>
        <v>#VALUE!</v>
      </c>
      <c r="B9335" s="0" t="s">
        <v>9309</v>
      </c>
    </row>
    <row r="9336" customFormat="false" ht="15" hidden="false" customHeight="false" outlineLevel="0" collapsed="false">
      <c r="A9336" s="0" t="e">
        <f aca="false">YIELDMAT(DATE(2024,7,1),DATE(2024,7,1),DATE(2024,1,1),0.1,101,2)</f>
        <v>#VALUE!</v>
      </c>
      <c r="B9336" s="0" t="s">
        <v>9310</v>
      </c>
    </row>
    <row r="9337" customFormat="false" ht="15" hidden="false" customHeight="false" outlineLevel="0" collapsed="false">
      <c r="A9337" s="0" t="n">
        <f aca="false">ACCRINTM(DATE(2023,10,1),DATE(2024,7,1),0.05,1000,2)</f>
        <v>38.0555555555556</v>
      </c>
      <c r="B9337" s="0" t="s">
        <v>9311</v>
      </c>
    </row>
    <row r="9338" customFormat="false" ht="15" hidden="false" customHeight="false" outlineLevel="0" collapsed="false">
      <c r="A9338" s="0" t="n">
        <f aca="false">ACCRINTM(DATE(2024,1,1),DATE(2024,7,1),0.08,5000,2)</f>
        <v>202.222222222222</v>
      </c>
      <c r="B9338" s="0" t="s">
        <v>9312</v>
      </c>
    </row>
    <row r="9339" customFormat="false" ht="15" hidden="false" customHeight="false" outlineLevel="0" collapsed="false">
      <c r="A9339" s="0" t="e">
        <f aca="false">DISC(DATE(2024,7,1),DATE(2024,7,1),95,100,3)</f>
        <v>#VALUE!</v>
      </c>
      <c r="B9339" s="0" t="s">
        <v>9313</v>
      </c>
    </row>
    <row r="9340" customFormat="false" ht="15" hidden="false" customHeight="false" outlineLevel="0" collapsed="false">
      <c r="A9340" s="0" t="e">
        <f aca="false">DISC(DATE(2024,7,1),DATE(2024,7,1),100,100,3)</f>
        <v>#VALUE!</v>
      </c>
      <c r="B9340" s="0" t="s">
        <v>9314</v>
      </c>
    </row>
    <row r="9341" customFormat="false" ht="15" hidden="false" customHeight="false" outlineLevel="0" collapsed="false">
      <c r="A9341" s="0" t="e">
        <f aca="false">DISC(DATE(2024,7,1),DATE(2024,7,1),99.5,100.5,3)</f>
        <v>#VALUE!</v>
      </c>
      <c r="B9341" s="0" t="s">
        <v>9315</v>
      </c>
    </row>
    <row r="9342" customFormat="false" ht="15" hidden="false" customHeight="false" outlineLevel="0" collapsed="false">
      <c r="A9342" s="0" t="e">
        <f aca="false">PRICEDISC(DATE(2024,7,1),DATE(2024,7,1),0.05,100,3)</f>
        <v>#VALUE!</v>
      </c>
      <c r="B9342" s="0" t="s">
        <v>9316</v>
      </c>
    </row>
    <row r="9343" customFormat="false" ht="15" hidden="false" customHeight="false" outlineLevel="0" collapsed="false">
      <c r="A9343" s="0" t="e">
        <f aca="false">PRICEDISC(DATE(2024,7,1),DATE(2024,7,1),0.1,105,3)</f>
        <v>#VALUE!</v>
      </c>
      <c r="B9343" s="0" t="s">
        <v>9317</v>
      </c>
    </row>
    <row r="9344" customFormat="false" ht="15" hidden="false" customHeight="false" outlineLevel="0" collapsed="false">
      <c r="A9344" s="0" t="e">
        <f aca="false">YIELDDISC(DATE(2024,7,1),DATE(2024,7,1),95,100,3)</f>
        <v>#VALUE!</v>
      </c>
      <c r="B9344" s="0" t="s">
        <v>9318</v>
      </c>
    </row>
    <row r="9345" customFormat="false" ht="15" hidden="false" customHeight="false" outlineLevel="0" collapsed="false">
      <c r="A9345" s="0" t="e">
        <f aca="false">YIELDDISC(DATE(2024,7,1),DATE(2024,7,1),99.5,100.5,3)</f>
        <v>#VALUE!</v>
      </c>
      <c r="B9345" s="0" t="s">
        <v>9319</v>
      </c>
    </row>
    <row r="9346" customFormat="false" ht="15" hidden="false" customHeight="false" outlineLevel="0" collapsed="false">
      <c r="A9346" s="0" t="e">
        <f aca="false">RECEIVED(DATE(2024,7,1),DATE(2024,7,1),1000,0.05,3)</f>
        <v>#VALUE!</v>
      </c>
      <c r="B9346" s="0" t="s">
        <v>9320</v>
      </c>
    </row>
    <row r="9347" customFormat="false" ht="15" hidden="false" customHeight="false" outlineLevel="0" collapsed="false">
      <c r="A9347" s="0" t="e">
        <f aca="false">RECEIVED(DATE(2024,7,1),DATE(2024,7,1),5000,0.12,3)</f>
        <v>#VALUE!</v>
      </c>
      <c r="B9347" s="0" t="s">
        <v>9321</v>
      </c>
    </row>
    <row r="9348" customFormat="false" ht="15" hidden="false" customHeight="false" outlineLevel="0" collapsed="false">
      <c r="A9348" s="0" t="e">
        <f aca="false">INTRATE(DATE(2024,7,1),DATE(2024,7,1),1000,1050,3)</f>
        <v>#VALUE!</v>
      </c>
      <c r="B9348" s="0" t="s">
        <v>9322</v>
      </c>
    </row>
    <row r="9349" customFormat="false" ht="15" hidden="false" customHeight="false" outlineLevel="0" collapsed="false">
      <c r="A9349" s="0" t="e">
        <f aca="false">INTRATE(DATE(2024,7,1),DATE(2024,7,1),950,1000,3)</f>
        <v>#VALUE!</v>
      </c>
      <c r="B9349" s="0" t="s">
        <v>9323</v>
      </c>
    </row>
    <row r="9350" customFormat="false" ht="15" hidden="false" customHeight="false" outlineLevel="0" collapsed="false">
      <c r="A9350" s="0" t="e">
        <f aca="false">PRICEMAT(DATE(2024,7,1),DATE(2024,7,1),DATE(2023,10,1),0.05,0.06,3)</f>
        <v>#VALUE!</v>
      </c>
      <c r="B9350" s="0" t="s">
        <v>9324</v>
      </c>
    </row>
    <row r="9351" customFormat="false" ht="15" hidden="false" customHeight="false" outlineLevel="0" collapsed="false">
      <c r="A9351" s="0" t="e">
        <f aca="false">PRICEMAT(DATE(2024,7,1),DATE(2024,7,1),DATE(2024,1,1),0.1,0.03,3)</f>
        <v>#VALUE!</v>
      </c>
      <c r="B9351" s="0" t="s">
        <v>9325</v>
      </c>
    </row>
    <row r="9352" customFormat="false" ht="15" hidden="false" customHeight="false" outlineLevel="0" collapsed="false">
      <c r="A9352" s="0" t="e">
        <f aca="false">YIELDMAT(DATE(2024,7,1),DATE(2024,7,1),DATE(2023,10,1),0.05,98,3)</f>
        <v>#VALUE!</v>
      </c>
      <c r="B9352" s="0" t="s">
        <v>9326</v>
      </c>
    </row>
    <row r="9353" customFormat="false" ht="15" hidden="false" customHeight="false" outlineLevel="0" collapsed="false">
      <c r="A9353" s="0" t="e">
        <f aca="false">YIELDMAT(DATE(2024,7,1),DATE(2024,7,1),DATE(2024,1,1),0.1,101,3)</f>
        <v>#VALUE!</v>
      </c>
      <c r="B9353" s="0" t="s">
        <v>9327</v>
      </c>
    </row>
    <row r="9354" customFormat="false" ht="15" hidden="false" customHeight="false" outlineLevel="0" collapsed="false">
      <c r="A9354" s="0" t="n">
        <f aca="false">ACCRINTM(DATE(2023,10,1),DATE(2024,7,1),0.05,1000,3)</f>
        <v>37.5342465753425</v>
      </c>
      <c r="B9354" s="0" t="s">
        <v>9328</v>
      </c>
    </row>
    <row r="9355" customFormat="false" ht="15" hidden="false" customHeight="false" outlineLevel="0" collapsed="false">
      <c r="A9355" s="0" t="n">
        <f aca="false">ACCRINTM(DATE(2024,1,1),DATE(2024,7,1),0.08,5000,3)</f>
        <v>199.452054794521</v>
      </c>
      <c r="B9355" s="0" t="s">
        <v>9329</v>
      </c>
    </row>
    <row r="9356" customFormat="false" ht="15" hidden="false" customHeight="false" outlineLevel="0" collapsed="false">
      <c r="A9356" s="0" t="e">
        <f aca="false">DISC(DATE(2024,7,1),DATE(2024,7,1),95,100,4)</f>
        <v>#VALUE!</v>
      </c>
      <c r="B9356" s="0" t="s">
        <v>9330</v>
      </c>
    </row>
    <row r="9357" customFormat="false" ht="15" hidden="false" customHeight="false" outlineLevel="0" collapsed="false">
      <c r="A9357" s="0" t="e">
        <f aca="false">DISC(DATE(2024,7,1),DATE(2024,7,1),100,100,4)</f>
        <v>#VALUE!</v>
      </c>
      <c r="B9357" s="0" t="s">
        <v>9331</v>
      </c>
    </row>
    <row r="9358" customFormat="false" ht="15" hidden="false" customHeight="false" outlineLevel="0" collapsed="false">
      <c r="A9358" s="0" t="e">
        <f aca="false">DISC(DATE(2024,7,1),DATE(2024,7,1),99.5,100.5,4)</f>
        <v>#VALUE!</v>
      </c>
      <c r="B9358" s="0" t="s">
        <v>9332</v>
      </c>
    </row>
    <row r="9359" customFormat="false" ht="15" hidden="false" customHeight="false" outlineLevel="0" collapsed="false">
      <c r="A9359" s="0" t="e">
        <f aca="false">PRICEDISC(DATE(2024,7,1),DATE(2024,7,1),0.05,100,4)</f>
        <v>#VALUE!</v>
      </c>
      <c r="B9359" s="0" t="s">
        <v>9333</v>
      </c>
    </row>
    <row r="9360" customFormat="false" ht="15" hidden="false" customHeight="false" outlineLevel="0" collapsed="false">
      <c r="A9360" s="0" t="e">
        <f aca="false">PRICEDISC(DATE(2024,7,1),DATE(2024,7,1),0.1,105,4)</f>
        <v>#VALUE!</v>
      </c>
      <c r="B9360" s="0" t="s">
        <v>9334</v>
      </c>
    </row>
    <row r="9361" customFormat="false" ht="15" hidden="false" customHeight="false" outlineLevel="0" collapsed="false">
      <c r="A9361" s="0" t="e">
        <f aca="false">YIELDDISC(DATE(2024,7,1),DATE(2024,7,1),95,100,4)</f>
        <v>#VALUE!</v>
      </c>
      <c r="B9361" s="0" t="s">
        <v>9335</v>
      </c>
    </row>
    <row r="9362" customFormat="false" ht="15" hidden="false" customHeight="false" outlineLevel="0" collapsed="false">
      <c r="A9362" s="0" t="e">
        <f aca="false">YIELDDISC(DATE(2024,7,1),DATE(2024,7,1),99.5,100.5,4)</f>
        <v>#VALUE!</v>
      </c>
      <c r="B9362" s="0" t="s">
        <v>9336</v>
      </c>
    </row>
    <row r="9363" customFormat="false" ht="15" hidden="false" customHeight="false" outlineLevel="0" collapsed="false">
      <c r="A9363" s="0" t="e">
        <f aca="false">RECEIVED(DATE(2024,7,1),DATE(2024,7,1),1000,0.05,4)</f>
        <v>#VALUE!</v>
      </c>
      <c r="B9363" s="0" t="s">
        <v>9337</v>
      </c>
    </row>
    <row r="9364" customFormat="false" ht="15" hidden="false" customHeight="false" outlineLevel="0" collapsed="false">
      <c r="A9364" s="0" t="e">
        <f aca="false">RECEIVED(DATE(2024,7,1),DATE(2024,7,1),5000,0.12,4)</f>
        <v>#VALUE!</v>
      </c>
      <c r="B9364" s="0" t="s">
        <v>9338</v>
      </c>
    </row>
    <row r="9365" customFormat="false" ht="15" hidden="false" customHeight="false" outlineLevel="0" collapsed="false">
      <c r="A9365" s="0" t="e">
        <f aca="false">INTRATE(DATE(2024,7,1),DATE(2024,7,1),1000,1050,4)</f>
        <v>#VALUE!</v>
      </c>
      <c r="B9365" s="0" t="s">
        <v>9339</v>
      </c>
    </row>
    <row r="9366" customFormat="false" ht="15" hidden="false" customHeight="false" outlineLevel="0" collapsed="false">
      <c r="A9366" s="0" t="e">
        <f aca="false">INTRATE(DATE(2024,7,1),DATE(2024,7,1),950,1000,4)</f>
        <v>#VALUE!</v>
      </c>
      <c r="B9366" s="0" t="s">
        <v>9340</v>
      </c>
    </row>
    <row r="9367" customFormat="false" ht="15" hidden="false" customHeight="false" outlineLevel="0" collapsed="false">
      <c r="A9367" s="0" t="e">
        <f aca="false">PRICEMAT(DATE(2024,7,1),DATE(2024,7,1),DATE(2023,10,1),0.05,0.06,4)</f>
        <v>#VALUE!</v>
      </c>
      <c r="B9367" s="0" t="s">
        <v>9341</v>
      </c>
    </row>
    <row r="9368" customFormat="false" ht="15" hidden="false" customHeight="false" outlineLevel="0" collapsed="false">
      <c r="A9368" s="0" t="e">
        <f aca="false">PRICEMAT(DATE(2024,7,1),DATE(2024,7,1),DATE(2024,1,1),0.1,0.03,4)</f>
        <v>#VALUE!</v>
      </c>
      <c r="B9368" s="0" t="s">
        <v>9342</v>
      </c>
    </row>
    <row r="9369" customFormat="false" ht="15" hidden="false" customHeight="false" outlineLevel="0" collapsed="false">
      <c r="A9369" s="0" t="e">
        <f aca="false">YIELDMAT(DATE(2024,7,1),DATE(2024,7,1),DATE(2023,10,1),0.05,98,4)</f>
        <v>#VALUE!</v>
      </c>
      <c r="B9369" s="0" t="s">
        <v>9343</v>
      </c>
    </row>
    <row r="9370" customFormat="false" ht="15" hidden="false" customHeight="false" outlineLevel="0" collapsed="false">
      <c r="A9370" s="0" t="e">
        <f aca="false">YIELDMAT(DATE(2024,7,1),DATE(2024,7,1),DATE(2024,1,1),0.1,101,4)</f>
        <v>#VALUE!</v>
      </c>
      <c r="B9370" s="0" t="s">
        <v>9344</v>
      </c>
    </row>
    <row r="9371" customFormat="false" ht="15" hidden="false" customHeight="false" outlineLevel="0" collapsed="false">
      <c r="A9371" s="0" t="n">
        <f aca="false">ACCRINTM(DATE(2023,10,1),DATE(2024,7,1),0.05,1000,4)</f>
        <v>37.5</v>
      </c>
      <c r="B9371" s="0" t="s">
        <v>9345</v>
      </c>
    </row>
    <row r="9372" customFormat="false" ht="15" hidden="false" customHeight="false" outlineLevel="0" collapsed="false">
      <c r="A9372" s="0" t="n">
        <f aca="false">ACCRINTM(DATE(2024,1,1),DATE(2024,7,1),0.08,5000,4)</f>
        <v>200</v>
      </c>
      <c r="B9372" s="0" t="s">
        <v>9346</v>
      </c>
    </row>
    <row r="9373" customFormat="false" ht="15" hidden="false" customHeight="false" outlineLevel="0" collapsed="false">
      <c r="A9373" s="0" t="n">
        <f aca="false">TBILLPRICE(DATE(2024,7,1),DATE(2024,7,1),0.05)</f>
        <v>99.9861111111111</v>
      </c>
      <c r="B9373" s="0" t="s">
        <v>9347</v>
      </c>
    </row>
    <row r="9374" customFormat="false" ht="15" hidden="false" customHeight="false" outlineLevel="0" collapsed="false">
      <c r="A9374" s="0" t="e">
        <f aca="false">TBILLYIELD(DATE(2024,7,1),DATE(2024,7,1),98)</f>
        <v>#VALUE!</v>
      </c>
      <c r="B9374" s="0" t="s">
        <v>9348</v>
      </c>
    </row>
    <row r="9375" customFormat="false" ht="15" hidden="false" customHeight="false" outlineLevel="0" collapsed="false">
      <c r="A9375" s="0" t="n">
        <f aca="false">TBILLEQ(DATE(2024,7,1),DATE(2024,7,1),0.05)</f>
        <v>0.0507014863175441</v>
      </c>
      <c r="B9375" s="0" t="s">
        <v>9349</v>
      </c>
    </row>
    <row r="9376" customFormat="false" ht="15" hidden="false" customHeight="false" outlineLevel="0" collapsed="false">
      <c r="A9376" s="0" t="n">
        <f aca="false">TBILLEQ(DATE(2024,7,1),DATE(2024,7,1),0.12)</f>
        <v>0.121707235745248</v>
      </c>
      <c r="B9376" s="0" t="s">
        <v>9350</v>
      </c>
    </row>
    <row r="9377" customFormat="false" ht="15" hidden="false" customHeight="false" outlineLevel="0" collapsed="false">
      <c r="A9377" s="0" t="e">
        <f aca="false">DISC(DATE(2024,8,1),DATE(2024,7,1),95,100,0)</f>
        <v>#VALUE!</v>
      </c>
      <c r="B9377" s="0" t="s">
        <v>9351</v>
      </c>
    </row>
    <row r="9378" customFormat="false" ht="15" hidden="false" customHeight="false" outlineLevel="0" collapsed="false">
      <c r="A9378" s="0" t="e">
        <f aca="false">DISC(DATE(2024,8,1),DATE(2024,7,1),100,100,0)</f>
        <v>#VALUE!</v>
      </c>
      <c r="B9378" s="0" t="s">
        <v>9352</v>
      </c>
    </row>
    <row r="9379" customFormat="false" ht="15" hidden="false" customHeight="false" outlineLevel="0" collapsed="false">
      <c r="A9379" s="0" t="e">
        <f aca="false">DISC(DATE(2024,8,1),DATE(2024,7,1),99.5,100.5,0)</f>
        <v>#VALUE!</v>
      </c>
      <c r="B9379" s="0" t="s">
        <v>9353</v>
      </c>
    </row>
    <row r="9380" customFormat="false" ht="15" hidden="false" customHeight="false" outlineLevel="0" collapsed="false">
      <c r="A9380" s="0" t="e">
        <f aca="false">PRICEDISC(DATE(2024,8,1),DATE(2024,7,1),0.05,100,0)</f>
        <v>#VALUE!</v>
      </c>
      <c r="B9380" s="0" t="s">
        <v>9354</v>
      </c>
    </row>
    <row r="9381" customFormat="false" ht="15" hidden="false" customHeight="false" outlineLevel="0" collapsed="false">
      <c r="A9381" s="0" t="e">
        <f aca="false">PRICEDISC(DATE(2024,8,1),DATE(2024,7,1),0.1,105,0)</f>
        <v>#VALUE!</v>
      </c>
      <c r="B9381" s="0" t="s">
        <v>9355</v>
      </c>
    </row>
    <row r="9382" customFormat="false" ht="15" hidden="false" customHeight="false" outlineLevel="0" collapsed="false">
      <c r="A9382" s="0" t="e">
        <f aca="false">YIELDDISC(DATE(2024,8,1),DATE(2024,7,1),95,100,0)</f>
        <v>#VALUE!</v>
      </c>
      <c r="B9382" s="0" t="s">
        <v>9356</v>
      </c>
    </row>
    <row r="9383" customFormat="false" ht="15" hidden="false" customHeight="false" outlineLevel="0" collapsed="false">
      <c r="A9383" s="0" t="e">
        <f aca="false">YIELDDISC(DATE(2024,8,1),DATE(2024,7,1),99.5,100.5,0)</f>
        <v>#VALUE!</v>
      </c>
      <c r="B9383" s="0" t="s">
        <v>9357</v>
      </c>
    </row>
    <row r="9384" customFormat="false" ht="15" hidden="false" customHeight="false" outlineLevel="0" collapsed="false">
      <c r="A9384" s="0" t="e">
        <f aca="false">RECEIVED(DATE(2024,8,1),DATE(2024,7,1),1000,0.05,0)</f>
        <v>#VALUE!</v>
      </c>
      <c r="B9384" s="0" t="s">
        <v>9358</v>
      </c>
    </row>
    <row r="9385" customFormat="false" ht="15" hidden="false" customHeight="false" outlineLevel="0" collapsed="false">
      <c r="A9385" s="0" t="e">
        <f aca="false">RECEIVED(DATE(2024,8,1),DATE(2024,7,1),5000,0.12,0)</f>
        <v>#VALUE!</v>
      </c>
      <c r="B9385" s="0" t="s">
        <v>9359</v>
      </c>
    </row>
    <row r="9386" customFormat="false" ht="15" hidden="false" customHeight="false" outlineLevel="0" collapsed="false">
      <c r="A9386" s="0" t="e">
        <f aca="false">INTRATE(DATE(2024,8,1),DATE(2024,7,1),1000,1050,0)</f>
        <v>#VALUE!</v>
      </c>
      <c r="B9386" s="0" t="s">
        <v>9360</v>
      </c>
    </row>
    <row r="9387" customFormat="false" ht="15" hidden="false" customHeight="false" outlineLevel="0" collapsed="false">
      <c r="A9387" s="0" t="e">
        <f aca="false">INTRATE(DATE(2024,8,1),DATE(2024,7,1),950,1000,0)</f>
        <v>#VALUE!</v>
      </c>
      <c r="B9387" s="0" t="s">
        <v>9361</v>
      </c>
    </row>
    <row r="9388" customFormat="false" ht="15" hidden="false" customHeight="false" outlineLevel="0" collapsed="false">
      <c r="A9388" s="0" t="e">
        <f aca="false">PRICEMAT(DATE(2024,8,1),DATE(2024,7,1),DATE(2023,10,1),0.05,0.06,0)</f>
        <v>#VALUE!</v>
      </c>
      <c r="B9388" s="0" t="s">
        <v>9362</v>
      </c>
    </row>
    <row r="9389" customFormat="false" ht="15" hidden="false" customHeight="false" outlineLevel="0" collapsed="false">
      <c r="A9389" s="0" t="e">
        <f aca="false">PRICEMAT(DATE(2024,8,1),DATE(2024,7,1),DATE(2024,1,1),0.1,0.03,0)</f>
        <v>#VALUE!</v>
      </c>
      <c r="B9389" s="0" t="s">
        <v>9363</v>
      </c>
    </row>
    <row r="9390" customFormat="false" ht="15" hidden="false" customHeight="false" outlineLevel="0" collapsed="false">
      <c r="A9390" s="0" t="e">
        <f aca="false">YIELDMAT(DATE(2024,8,1),DATE(2024,7,1),DATE(2023,10,1),0.05,98,0)</f>
        <v>#VALUE!</v>
      </c>
      <c r="B9390" s="0" t="s">
        <v>9364</v>
      </c>
    </row>
    <row r="9391" customFormat="false" ht="15" hidden="false" customHeight="false" outlineLevel="0" collapsed="false">
      <c r="A9391" s="0" t="e">
        <f aca="false">YIELDMAT(DATE(2024,8,1),DATE(2024,7,1),DATE(2024,1,1),0.1,101,0)</f>
        <v>#VALUE!</v>
      </c>
      <c r="B9391" s="0" t="s">
        <v>9365</v>
      </c>
    </row>
    <row r="9392" customFormat="false" ht="15" hidden="false" customHeight="false" outlineLevel="0" collapsed="false">
      <c r="A9392" s="0" t="n">
        <f aca="false">ACCRINTM(DATE(2023,10,1),DATE(2024,7,1),0.05,1000,0)</f>
        <v>37.5</v>
      </c>
      <c r="B9392" s="0" t="s">
        <v>9277</v>
      </c>
    </row>
    <row r="9393" customFormat="false" ht="15" hidden="false" customHeight="false" outlineLevel="0" collapsed="false">
      <c r="A9393" s="0" t="n">
        <f aca="false">ACCRINTM(DATE(2024,1,1),DATE(2024,8,1),0.08,5000,0)</f>
        <v>233.333333333333</v>
      </c>
      <c r="B9393" s="0" t="s">
        <v>9366</v>
      </c>
    </row>
    <row r="9394" customFormat="false" ht="15" hidden="false" customHeight="false" outlineLevel="0" collapsed="false">
      <c r="A9394" s="0" t="e">
        <f aca="false">DISC(DATE(2024,8,1),DATE(2024,7,1),95,100,1)</f>
        <v>#VALUE!</v>
      </c>
      <c r="B9394" s="0" t="s">
        <v>9367</v>
      </c>
    </row>
    <row r="9395" customFormat="false" ht="15" hidden="false" customHeight="false" outlineLevel="0" collapsed="false">
      <c r="A9395" s="0" t="e">
        <f aca="false">DISC(DATE(2024,8,1),DATE(2024,7,1),100,100,1)</f>
        <v>#VALUE!</v>
      </c>
      <c r="B9395" s="0" t="s">
        <v>9368</v>
      </c>
    </row>
    <row r="9396" customFormat="false" ht="15" hidden="false" customHeight="false" outlineLevel="0" collapsed="false">
      <c r="A9396" s="0" t="e">
        <f aca="false">DISC(DATE(2024,8,1),DATE(2024,7,1),99.5,100.5,1)</f>
        <v>#VALUE!</v>
      </c>
      <c r="B9396" s="0" t="s">
        <v>9369</v>
      </c>
    </row>
    <row r="9397" customFormat="false" ht="15" hidden="false" customHeight="false" outlineLevel="0" collapsed="false">
      <c r="A9397" s="0" t="e">
        <f aca="false">PRICEDISC(DATE(2024,8,1),DATE(2024,7,1),0.05,100,1)</f>
        <v>#VALUE!</v>
      </c>
      <c r="B9397" s="0" t="s">
        <v>9370</v>
      </c>
    </row>
    <row r="9398" customFormat="false" ht="15" hidden="false" customHeight="false" outlineLevel="0" collapsed="false">
      <c r="A9398" s="0" t="e">
        <f aca="false">PRICEDISC(DATE(2024,8,1),DATE(2024,7,1),0.1,105,1)</f>
        <v>#VALUE!</v>
      </c>
      <c r="B9398" s="0" t="s">
        <v>9371</v>
      </c>
    </row>
    <row r="9399" customFormat="false" ht="15" hidden="false" customHeight="false" outlineLevel="0" collapsed="false">
      <c r="A9399" s="0" t="e">
        <f aca="false">YIELDDISC(DATE(2024,8,1),DATE(2024,7,1),95,100,1)</f>
        <v>#VALUE!</v>
      </c>
      <c r="B9399" s="0" t="s">
        <v>9372</v>
      </c>
    </row>
    <row r="9400" customFormat="false" ht="15" hidden="false" customHeight="false" outlineLevel="0" collapsed="false">
      <c r="A9400" s="0" t="e">
        <f aca="false">YIELDDISC(DATE(2024,8,1),DATE(2024,7,1),99.5,100.5,1)</f>
        <v>#VALUE!</v>
      </c>
      <c r="B9400" s="0" t="s">
        <v>9373</v>
      </c>
    </row>
    <row r="9401" customFormat="false" ht="15" hidden="false" customHeight="false" outlineLevel="0" collapsed="false">
      <c r="A9401" s="0" t="e">
        <f aca="false">RECEIVED(DATE(2024,8,1),DATE(2024,7,1),1000,0.05,1)</f>
        <v>#VALUE!</v>
      </c>
      <c r="B9401" s="0" t="s">
        <v>9374</v>
      </c>
    </row>
    <row r="9402" customFormat="false" ht="15" hidden="false" customHeight="false" outlineLevel="0" collapsed="false">
      <c r="A9402" s="0" t="e">
        <f aca="false">RECEIVED(DATE(2024,8,1),DATE(2024,7,1),5000,0.12,1)</f>
        <v>#VALUE!</v>
      </c>
      <c r="B9402" s="0" t="s">
        <v>9375</v>
      </c>
    </row>
    <row r="9403" customFormat="false" ht="15" hidden="false" customHeight="false" outlineLevel="0" collapsed="false">
      <c r="A9403" s="0" t="e">
        <f aca="false">INTRATE(DATE(2024,8,1),DATE(2024,7,1),1000,1050,1)</f>
        <v>#VALUE!</v>
      </c>
      <c r="B9403" s="0" t="s">
        <v>9376</v>
      </c>
    </row>
    <row r="9404" customFormat="false" ht="15" hidden="false" customHeight="false" outlineLevel="0" collapsed="false">
      <c r="A9404" s="0" t="e">
        <f aca="false">INTRATE(DATE(2024,8,1),DATE(2024,7,1),950,1000,1)</f>
        <v>#VALUE!</v>
      </c>
      <c r="B9404" s="0" t="s">
        <v>9377</v>
      </c>
    </row>
    <row r="9405" customFormat="false" ht="15" hidden="false" customHeight="false" outlineLevel="0" collapsed="false">
      <c r="A9405" s="0" t="e">
        <f aca="false">PRICEMAT(DATE(2024,8,1),DATE(2024,7,1),DATE(2023,10,1),0.05,0.06,1)</f>
        <v>#VALUE!</v>
      </c>
      <c r="B9405" s="0" t="s">
        <v>9378</v>
      </c>
    </row>
    <row r="9406" customFormat="false" ht="15" hidden="false" customHeight="false" outlineLevel="0" collapsed="false">
      <c r="A9406" s="0" t="e">
        <f aca="false">PRICEMAT(DATE(2024,8,1),DATE(2024,7,1),DATE(2024,1,1),0.1,0.03,1)</f>
        <v>#VALUE!</v>
      </c>
      <c r="B9406" s="0" t="s">
        <v>9379</v>
      </c>
    </row>
    <row r="9407" customFormat="false" ht="15" hidden="false" customHeight="false" outlineLevel="0" collapsed="false">
      <c r="A9407" s="0" t="e">
        <f aca="false">YIELDMAT(DATE(2024,8,1),DATE(2024,7,1),DATE(2023,10,1),0.05,98,1)</f>
        <v>#VALUE!</v>
      </c>
      <c r="B9407" s="0" t="s">
        <v>9380</v>
      </c>
    </row>
    <row r="9408" customFormat="false" ht="15" hidden="false" customHeight="false" outlineLevel="0" collapsed="false">
      <c r="A9408" s="0" t="e">
        <f aca="false">YIELDMAT(DATE(2024,8,1),DATE(2024,7,1),DATE(2024,1,1),0.1,101,1)</f>
        <v>#VALUE!</v>
      </c>
      <c r="B9408" s="0" t="s">
        <v>9381</v>
      </c>
    </row>
    <row r="9409" customFormat="false" ht="15" hidden="false" customHeight="false" outlineLevel="0" collapsed="false">
      <c r="A9409" s="0" t="n">
        <f aca="false">ACCRINTM(DATE(2023,10,1),DATE(2024,7,1),0.05,1000,1)</f>
        <v>37.5342465753425</v>
      </c>
      <c r="B9409" s="0" t="s">
        <v>9294</v>
      </c>
    </row>
    <row r="9410" customFormat="false" ht="15" hidden="false" customHeight="false" outlineLevel="0" collapsed="false">
      <c r="A9410" s="0" t="n">
        <f aca="false">ACCRINTM(DATE(2024,1,1),DATE(2024,8,1),0.08,5000,1)</f>
        <v>232.786885245902</v>
      </c>
      <c r="B9410" s="0" t="s">
        <v>9382</v>
      </c>
    </row>
    <row r="9411" customFormat="false" ht="15" hidden="false" customHeight="false" outlineLevel="0" collapsed="false">
      <c r="A9411" s="0" t="e">
        <f aca="false">DISC(DATE(2024,8,1),DATE(2024,7,1),95,100,2)</f>
        <v>#VALUE!</v>
      </c>
      <c r="B9411" s="0" t="s">
        <v>9383</v>
      </c>
    </row>
    <row r="9412" customFormat="false" ht="15" hidden="false" customHeight="false" outlineLevel="0" collapsed="false">
      <c r="A9412" s="0" t="e">
        <f aca="false">DISC(DATE(2024,8,1),DATE(2024,7,1),100,100,2)</f>
        <v>#VALUE!</v>
      </c>
      <c r="B9412" s="0" t="s">
        <v>9384</v>
      </c>
    </row>
    <row r="9413" customFormat="false" ht="15" hidden="false" customHeight="false" outlineLevel="0" collapsed="false">
      <c r="A9413" s="0" t="e">
        <f aca="false">DISC(DATE(2024,8,1),DATE(2024,7,1),99.5,100.5,2)</f>
        <v>#VALUE!</v>
      </c>
      <c r="B9413" s="0" t="s">
        <v>9385</v>
      </c>
    </row>
    <row r="9414" customFormat="false" ht="15" hidden="false" customHeight="false" outlineLevel="0" collapsed="false">
      <c r="A9414" s="0" t="e">
        <f aca="false">PRICEDISC(DATE(2024,8,1),DATE(2024,7,1),0.05,100,2)</f>
        <v>#VALUE!</v>
      </c>
      <c r="B9414" s="0" t="s">
        <v>9386</v>
      </c>
    </row>
    <row r="9415" customFormat="false" ht="15" hidden="false" customHeight="false" outlineLevel="0" collapsed="false">
      <c r="A9415" s="0" t="e">
        <f aca="false">PRICEDISC(DATE(2024,8,1),DATE(2024,7,1),0.1,105,2)</f>
        <v>#VALUE!</v>
      </c>
      <c r="B9415" s="0" t="s">
        <v>9387</v>
      </c>
    </row>
    <row r="9416" customFormat="false" ht="15" hidden="false" customHeight="false" outlineLevel="0" collapsed="false">
      <c r="A9416" s="0" t="e">
        <f aca="false">YIELDDISC(DATE(2024,8,1),DATE(2024,7,1),95,100,2)</f>
        <v>#VALUE!</v>
      </c>
      <c r="B9416" s="0" t="s">
        <v>9388</v>
      </c>
    </row>
    <row r="9417" customFormat="false" ht="15" hidden="false" customHeight="false" outlineLevel="0" collapsed="false">
      <c r="A9417" s="0" t="e">
        <f aca="false">YIELDDISC(DATE(2024,8,1),DATE(2024,7,1),99.5,100.5,2)</f>
        <v>#VALUE!</v>
      </c>
      <c r="B9417" s="0" t="s">
        <v>9389</v>
      </c>
    </row>
    <row r="9418" customFormat="false" ht="15" hidden="false" customHeight="false" outlineLevel="0" collapsed="false">
      <c r="A9418" s="0" t="e">
        <f aca="false">RECEIVED(DATE(2024,8,1),DATE(2024,7,1),1000,0.05,2)</f>
        <v>#VALUE!</v>
      </c>
      <c r="B9418" s="0" t="s">
        <v>9390</v>
      </c>
    </row>
    <row r="9419" customFormat="false" ht="15" hidden="false" customHeight="false" outlineLevel="0" collapsed="false">
      <c r="A9419" s="0" t="e">
        <f aca="false">RECEIVED(DATE(2024,8,1),DATE(2024,7,1),5000,0.12,2)</f>
        <v>#VALUE!</v>
      </c>
      <c r="B9419" s="0" t="s">
        <v>9391</v>
      </c>
    </row>
    <row r="9420" customFormat="false" ht="15" hidden="false" customHeight="false" outlineLevel="0" collapsed="false">
      <c r="A9420" s="0" t="e">
        <f aca="false">INTRATE(DATE(2024,8,1),DATE(2024,7,1),1000,1050,2)</f>
        <v>#VALUE!</v>
      </c>
      <c r="B9420" s="0" t="s">
        <v>9392</v>
      </c>
    </row>
    <row r="9421" customFormat="false" ht="15" hidden="false" customHeight="false" outlineLevel="0" collapsed="false">
      <c r="A9421" s="0" t="e">
        <f aca="false">INTRATE(DATE(2024,8,1),DATE(2024,7,1),950,1000,2)</f>
        <v>#VALUE!</v>
      </c>
      <c r="B9421" s="0" t="s">
        <v>9393</v>
      </c>
    </row>
    <row r="9422" customFormat="false" ht="15" hidden="false" customHeight="false" outlineLevel="0" collapsed="false">
      <c r="A9422" s="0" t="e">
        <f aca="false">PRICEMAT(DATE(2024,8,1),DATE(2024,7,1),DATE(2023,10,1),0.05,0.06,2)</f>
        <v>#VALUE!</v>
      </c>
      <c r="B9422" s="0" t="s">
        <v>9394</v>
      </c>
    </row>
    <row r="9423" customFormat="false" ht="15" hidden="false" customHeight="false" outlineLevel="0" collapsed="false">
      <c r="A9423" s="0" t="e">
        <f aca="false">PRICEMAT(DATE(2024,8,1),DATE(2024,7,1),DATE(2024,1,1),0.1,0.03,2)</f>
        <v>#VALUE!</v>
      </c>
      <c r="B9423" s="0" t="s">
        <v>9395</v>
      </c>
    </row>
    <row r="9424" customFormat="false" ht="15" hidden="false" customHeight="false" outlineLevel="0" collapsed="false">
      <c r="A9424" s="0" t="e">
        <f aca="false">YIELDMAT(DATE(2024,8,1),DATE(2024,7,1),DATE(2023,10,1),0.05,98,2)</f>
        <v>#VALUE!</v>
      </c>
      <c r="B9424" s="0" t="s">
        <v>9396</v>
      </c>
    </row>
    <row r="9425" customFormat="false" ht="15" hidden="false" customHeight="false" outlineLevel="0" collapsed="false">
      <c r="A9425" s="0" t="e">
        <f aca="false">YIELDMAT(DATE(2024,8,1),DATE(2024,7,1),DATE(2024,1,1),0.1,101,2)</f>
        <v>#VALUE!</v>
      </c>
      <c r="B9425" s="0" t="s">
        <v>9397</v>
      </c>
    </row>
    <row r="9426" customFormat="false" ht="15" hidden="false" customHeight="false" outlineLevel="0" collapsed="false">
      <c r="A9426" s="0" t="n">
        <f aca="false">ACCRINTM(DATE(2023,10,1),DATE(2024,7,1),0.05,1000,2)</f>
        <v>38.0555555555556</v>
      </c>
      <c r="B9426" s="0" t="s">
        <v>9311</v>
      </c>
    </row>
    <row r="9427" customFormat="false" ht="15" hidden="false" customHeight="false" outlineLevel="0" collapsed="false">
      <c r="A9427" s="0" t="n">
        <f aca="false">ACCRINTM(DATE(2024,1,1),DATE(2024,8,1),0.08,5000,2)</f>
        <v>236.666666666667</v>
      </c>
      <c r="B9427" s="0" t="s">
        <v>9398</v>
      </c>
    </row>
    <row r="9428" customFormat="false" ht="15" hidden="false" customHeight="false" outlineLevel="0" collapsed="false">
      <c r="A9428" s="0" t="e">
        <f aca="false">DISC(DATE(2024,8,1),DATE(2024,7,1),95,100,3)</f>
        <v>#VALUE!</v>
      </c>
      <c r="B9428" s="0" t="s">
        <v>9399</v>
      </c>
    </row>
    <row r="9429" customFormat="false" ht="15" hidden="false" customHeight="false" outlineLevel="0" collapsed="false">
      <c r="A9429" s="0" t="e">
        <f aca="false">DISC(DATE(2024,8,1),DATE(2024,7,1),100,100,3)</f>
        <v>#VALUE!</v>
      </c>
      <c r="B9429" s="0" t="s">
        <v>9400</v>
      </c>
    </row>
    <row r="9430" customFormat="false" ht="15" hidden="false" customHeight="false" outlineLevel="0" collapsed="false">
      <c r="A9430" s="0" t="e">
        <f aca="false">DISC(DATE(2024,8,1),DATE(2024,7,1),99.5,100.5,3)</f>
        <v>#VALUE!</v>
      </c>
      <c r="B9430" s="0" t="s">
        <v>9401</v>
      </c>
    </row>
    <row r="9431" customFormat="false" ht="15" hidden="false" customHeight="false" outlineLevel="0" collapsed="false">
      <c r="A9431" s="0" t="e">
        <f aca="false">PRICEDISC(DATE(2024,8,1),DATE(2024,7,1),0.05,100,3)</f>
        <v>#VALUE!</v>
      </c>
      <c r="B9431" s="0" t="s">
        <v>9402</v>
      </c>
    </row>
    <row r="9432" customFormat="false" ht="15" hidden="false" customHeight="false" outlineLevel="0" collapsed="false">
      <c r="A9432" s="0" t="e">
        <f aca="false">PRICEDISC(DATE(2024,8,1),DATE(2024,7,1),0.1,105,3)</f>
        <v>#VALUE!</v>
      </c>
      <c r="B9432" s="0" t="s">
        <v>9403</v>
      </c>
    </row>
    <row r="9433" customFormat="false" ht="15" hidden="false" customHeight="false" outlineLevel="0" collapsed="false">
      <c r="A9433" s="0" t="e">
        <f aca="false">YIELDDISC(DATE(2024,8,1),DATE(2024,7,1),95,100,3)</f>
        <v>#VALUE!</v>
      </c>
      <c r="B9433" s="0" t="s">
        <v>9404</v>
      </c>
    </row>
    <row r="9434" customFormat="false" ht="15" hidden="false" customHeight="false" outlineLevel="0" collapsed="false">
      <c r="A9434" s="0" t="e">
        <f aca="false">YIELDDISC(DATE(2024,8,1),DATE(2024,7,1),99.5,100.5,3)</f>
        <v>#VALUE!</v>
      </c>
      <c r="B9434" s="0" t="s">
        <v>9405</v>
      </c>
    </row>
    <row r="9435" customFormat="false" ht="15" hidden="false" customHeight="false" outlineLevel="0" collapsed="false">
      <c r="A9435" s="0" t="e">
        <f aca="false">RECEIVED(DATE(2024,8,1),DATE(2024,7,1),1000,0.05,3)</f>
        <v>#VALUE!</v>
      </c>
      <c r="B9435" s="0" t="s">
        <v>9406</v>
      </c>
    </row>
    <row r="9436" customFormat="false" ht="15" hidden="false" customHeight="false" outlineLevel="0" collapsed="false">
      <c r="A9436" s="0" t="e">
        <f aca="false">RECEIVED(DATE(2024,8,1),DATE(2024,7,1),5000,0.12,3)</f>
        <v>#VALUE!</v>
      </c>
      <c r="B9436" s="0" t="s">
        <v>9407</v>
      </c>
    </row>
    <row r="9437" customFormat="false" ht="15" hidden="false" customHeight="false" outlineLevel="0" collapsed="false">
      <c r="A9437" s="0" t="e">
        <f aca="false">INTRATE(DATE(2024,8,1),DATE(2024,7,1),1000,1050,3)</f>
        <v>#VALUE!</v>
      </c>
      <c r="B9437" s="0" t="s">
        <v>9408</v>
      </c>
    </row>
    <row r="9438" customFormat="false" ht="15" hidden="false" customHeight="false" outlineLevel="0" collapsed="false">
      <c r="A9438" s="0" t="e">
        <f aca="false">INTRATE(DATE(2024,8,1),DATE(2024,7,1),950,1000,3)</f>
        <v>#VALUE!</v>
      </c>
      <c r="B9438" s="0" t="s">
        <v>9409</v>
      </c>
    </row>
    <row r="9439" customFormat="false" ht="15" hidden="false" customHeight="false" outlineLevel="0" collapsed="false">
      <c r="A9439" s="0" t="e">
        <f aca="false">PRICEMAT(DATE(2024,8,1),DATE(2024,7,1),DATE(2023,10,1),0.05,0.06,3)</f>
        <v>#VALUE!</v>
      </c>
      <c r="B9439" s="0" t="s">
        <v>9410</v>
      </c>
    </row>
    <row r="9440" customFormat="false" ht="15" hidden="false" customHeight="false" outlineLevel="0" collapsed="false">
      <c r="A9440" s="0" t="e">
        <f aca="false">PRICEMAT(DATE(2024,8,1),DATE(2024,7,1),DATE(2024,1,1),0.1,0.03,3)</f>
        <v>#VALUE!</v>
      </c>
      <c r="B9440" s="0" t="s">
        <v>9411</v>
      </c>
    </row>
    <row r="9441" customFormat="false" ht="15" hidden="false" customHeight="false" outlineLevel="0" collapsed="false">
      <c r="A9441" s="0" t="e">
        <f aca="false">YIELDMAT(DATE(2024,8,1),DATE(2024,7,1),DATE(2023,10,1),0.05,98,3)</f>
        <v>#VALUE!</v>
      </c>
      <c r="B9441" s="0" t="s">
        <v>9412</v>
      </c>
    </row>
    <row r="9442" customFormat="false" ht="15" hidden="false" customHeight="false" outlineLevel="0" collapsed="false">
      <c r="A9442" s="0" t="e">
        <f aca="false">YIELDMAT(DATE(2024,8,1),DATE(2024,7,1),DATE(2024,1,1),0.1,101,3)</f>
        <v>#VALUE!</v>
      </c>
      <c r="B9442" s="0" t="s">
        <v>9413</v>
      </c>
    </row>
    <row r="9443" customFormat="false" ht="15" hidden="false" customHeight="false" outlineLevel="0" collapsed="false">
      <c r="A9443" s="0" t="n">
        <f aca="false">ACCRINTM(DATE(2023,10,1),DATE(2024,7,1),0.05,1000,3)</f>
        <v>37.5342465753425</v>
      </c>
      <c r="B9443" s="0" t="s">
        <v>9328</v>
      </c>
    </row>
    <row r="9444" customFormat="false" ht="15" hidden="false" customHeight="false" outlineLevel="0" collapsed="false">
      <c r="A9444" s="0" t="n">
        <f aca="false">ACCRINTM(DATE(2024,1,1),DATE(2024,8,1),0.08,5000,3)</f>
        <v>233.424657534247</v>
      </c>
      <c r="B9444" s="0" t="s">
        <v>9414</v>
      </c>
    </row>
    <row r="9445" customFormat="false" ht="15" hidden="false" customHeight="false" outlineLevel="0" collapsed="false">
      <c r="A9445" s="0" t="e">
        <f aca="false">DISC(DATE(2024,8,1),DATE(2024,7,1),95,100,4)</f>
        <v>#VALUE!</v>
      </c>
      <c r="B9445" s="0" t="s">
        <v>9415</v>
      </c>
    </row>
    <row r="9446" customFormat="false" ht="15" hidden="false" customHeight="false" outlineLevel="0" collapsed="false">
      <c r="A9446" s="0" t="e">
        <f aca="false">DISC(DATE(2024,8,1),DATE(2024,7,1),100,100,4)</f>
        <v>#VALUE!</v>
      </c>
      <c r="B9446" s="0" t="s">
        <v>9416</v>
      </c>
    </row>
    <row r="9447" customFormat="false" ht="15" hidden="false" customHeight="false" outlineLevel="0" collapsed="false">
      <c r="A9447" s="0" t="e">
        <f aca="false">DISC(DATE(2024,8,1),DATE(2024,7,1),99.5,100.5,4)</f>
        <v>#VALUE!</v>
      </c>
      <c r="B9447" s="0" t="s">
        <v>9417</v>
      </c>
    </row>
    <row r="9448" customFormat="false" ht="15" hidden="false" customHeight="false" outlineLevel="0" collapsed="false">
      <c r="A9448" s="0" t="e">
        <f aca="false">PRICEDISC(DATE(2024,8,1),DATE(2024,7,1),0.05,100,4)</f>
        <v>#VALUE!</v>
      </c>
      <c r="B9448" s="0" t="s">
        <v>9418</v>
      </c>
    </row>
    <row r="9449" customFormat="false" ht="15" hidden="false" customHeight="false" outlineLevel="0" collapsed="false">
      <c r="A9449" s="0" t="e">
        <f aca="false">PRICEDISC(DATE(2024,8,1),DATE(2024,7,1),0.1,105,4)</f>
        <v>#VALUE!</v>
      </c>
      <c r="B9449" s="0" t="s">
        <v>9419</v>
      </c>
    </row>
    <row r="9450" customFormat="false" ht="15" hidden="false" customHeight="false" outlineLevel="0" collapsed="false">
      <c r="A9450" s="0" t="e">
        <f aca="false">YIELDDISC(DATE(2024,8,1),DATE(2024,7,1),95,100,4)</f>
        <v>#VALUE!</v>
      </c>
      <c r="B9450" s="0" t="s">
        <v>9420</v>
      </c>
    </row>
    <row r="9451" customFormat="false" ht="15" hidden="false" customHeight="false" outlineLevel="0" collapsed="false">
      <c r="A9451" s="0" t="e">
        <f aca="false">YIELDDISC(DATE(2024,8,1),DATE(2024,7,1),99.5,100.5,4)</f>
        <v>#VALUE!</v>
      </c>
      <c r="B9451" s="0" t="s">
        <v>9421</v>
      </c>
    </row>
    <row r="9452" customFormat="false" ht="15" hidden="false" customHeight="false" outlineLevel="0" collapsed="false">
      <c r="A9452" s="0" t="e">
        <f aca="false">RECEIVED(DATE(2024,8,1),DATE(2024,7,1),1000,0.05,4)</f>
        <v>#VALUE!</v>
      </c>
      <c r="B9452" s="0" t="s">
        <v>9422</v>
      </c>
    </row>
    <row r="9453" customFormat="false" ht="15" hidden="false" customHeight="false" outlineLevel="0" collapsed="false">
      <c r="A9453" s="0" t="e">
        <f aca="false">RECEIVED(DATE(2024,8,1),DATE(2024,7,1),5000,0.12,4)</f>
        <v>#VALUE!</v>
      </c>
      <c r="B9453" s="0" t="s">
        <v>9423</v>
      </c>
    </row>
    <row r="9454" customFormat="false" ht="15" hidden="false" customHeight="false" outlineLevel="0" collapsed="false">
      <c r="A9454" s="0" t="e">
        <f aca="false">INTRATE(DATE(2024,8,1),DATE(2024,7,1),1000,1050,4)</f>
        <v>#VALUE!</v>
      </c>
      <c r="B9454" s="0" t="s">
        <v>9424</v>
      </c>
    </row>
    <row r="9455" customFormat="false" ht="15" hidden="false" customHeight="false" outlineLevel="0" collapsed="false">
      <c r="A9455" s="0" t="e">
        <f aca="false">INTRATE(DATE(2024,8,1),DATE(2024,7,1),950,1000,4)</f>
        <v>#VALUE!</v>
      </c>
      <c r="B9455" s="0" t="s">
        <v>9425</v>
      </c>
    </row>
    <row r="9456" customFormat="false" ht="15" hidden="false" customHeight="false" outlineLevel="0" collapsed="false">
      <c r="A9456" s="0" t="e">
        <f aca="false">PRICEMAT(DATE(2024,8,1),DATE(2024,7,1),DATE(2023,10,1),0.05,0.06,4)</f>
        <v>#VALUE!</v>
      </c>
      <c r="B9456" s="0" t="s">
        <v>9426</v>
      </c>
    </row>
    <row r="9457" customFormat="false" ht="15" hidden="false" customHeight="false" outlineLevel="0" collapsed="false">
      <c r="A9457" s="0" t="e">
        <f aca="false">PRICEMAT(DATE(2024,8,1),DATE(2024,7,1),DATE(2024,1,1),0.1,0.03,4)</f>
        <v>#VALUE!</v>
      </c>
      <c r="B9457" s="0" t="s">
        <v>9427</v>
      </c>
    </row>
    <row r="9458" customFormat="false" ht="15" hidden="false" customHeight="false" outlineLevel="0" collapsed="false">
      <c r="A9458" s="0" t="e">
        <f aca="false">YIELDMAT(DATE(2024,8,1),DATE(2024,7,1),DATE(2023,10,1),0.05,98,4)</f>
        <v>#VALUE!</v>
      </c>
      <c r="B9458" s="0" t="s">
        <v>9428</v>
      </c>
    </row>
    <row r="9459" customFormat="false" ht="15" hidden="false" customHeight="false" outlineLevel="0" collapsed="false">
      <c r="A9459" s="0" t="e">
        <f aca="false">YIELDMAT(DATE(2024,8,1),DATE(2024,7,1),DATE(2024,1,1),0.1,101,4)</f>
        <v>#VALUE!</v>
      </c>
      <c r="B9459" s="0" t="s">
        <v>9429</v>
      </c>
    </row>
    <row r="9460" customFormat="false" ht="15" hidden="false" customHeight="false" outlineLevel="0" collapsed="false">
      <c r="A9460" s="0" t="n">
        <f aca="false">ACCRINTM(DATE(2023,10,1),DATE(2024,7,1),0.05,1000,4)</f>
        <v>37.5</v>
      </c>
      <c r="B9460" s="0" t="s">
        <v>9345</v>
      </c>
    </row>
    <row r="9461" customFormat="false" ht="15" hidden="false" customHeight="false" outlineLevel="0" collapsed="false">
      <c r="A9461" s="0" t="n">
        <f aca="false">ACCRINTM(DATE(2024,1,1),DATE(2024,8,1),0.08,5000,4)</f>
        <v>233.333333333333</v>
      </c>
      <c r="B9461" s="0" t="s">
        <v>9430</v>
      </c>
    </row>
    <row r="9462" customFormat="false" ht="15" hidden="false" customHeight="false" outlineLevel="0" collapsed="false">
      <c r="A9462" s="0" t="e">
        <f aca="false">TBILLPRICE(DATE(2024,8,1),DATE(2024,7,1),0.05)</f>
        <v>#VALUE!</v>
      </c>
      <c r="B9462" s="0" t="s">
        <v>9431</v>
      </c>
    </row>
    <row r="9463" customFormat="false" ht="15" hidden="false" customHeight="false" outlineLevel="0" collapsed="false">
      <c r="A9463" s="0" t="e">
        <f aca="false">TBILLYIELD(DATE(2024,8,1),DATE(2024,7,1),98)</f>
        <v>#VALUE!</v>
      </c>
      <c r="B9463" s="0" t="s">
        <v>9432</v>
      </c>
    </row>
    <row r="9464" customFormat="false" ht="15" hidden="false" customHeight="false" outlineLevel="0" collapsed="false">
      <c r="A9464" s="0" t="e">
        <f aca="false">TBILLEQ(DATE(2024,8,1),DATE(2024,7,1),0.05)</f>
        <v>#VALUE!</v>
      </c>
      <c r="B9464" s="0" t="s">
        <v>9433</v>
      </c>
    </row>
    <row r="9465" customFormat="false" ht="15" hidden="false" customHeight="false" outlineLevel="0" collapsed="false">
      <c r="A9465" s="0" t="e">
        <f aca="false">TBILLEQ(DATE(2024,8,1),DATE(2024,7,1),0.12)</f>
        <v>#VALUE!</v>
      </c>
      <c r="B9465" s="0" t="s">
        <v>9434</v>
      </c>
    </row>
    <row r="9466" customFormat="false" ht="15" hidden="false" customHeight="false" outlineLevel="0" collapsed="false">
      <c r="A9466" s="0" t="n">
        <f aca="false">DISC(DATE(2023,12,31),DATE(2024,6,30),95,100,0)</f>
        <v>0.1</v>
      </c>
      <c r="B9466" s="0" t="s">
        <v>9435</v>
      </c>
    </row>
    <row r="9467" customFormat="false" ht="15" hidden="false" customHeight="false" outlineLevel="0" collapsed="false">
      <c r="A9467" s="0" t="n">
        <f aca="false">DISC(DATE(2023,12,31),DATE(2024,6,30),100,100,0)</f>
        <v>0</v>
      </c>
      <c r="B9467" s="0" t="s">
        <v>9436</v>
      </c>
    </row>
    <row r="9468" customFormat="false" ht="15" hidden="false" customHeight="false" outlineLevel="0" collapsed="false">
      <c r="A9468" s="0" t="n">
        <f aca="false">DISC(DATE(2023,12,31),DATE(2024,6,30),99.5,100.5,0)</f>
        <v>0.0199004975124377</v>
      </c>
      <c r="B9468" s="0" t="s">
        <v>9437</v>
      </c>
    </row>
    <row r="9469" customFormat="false" ht="15" hidden="false" customHeight="false" outlineLevel="0" collapsed="false">
      <c r="A9469" s="0" t="n">
        <f aca="false">PRICEDISC(DATE(2023,12,31),DATE(2024,6,30),0.05,100,0)</f>
        <v>97.5138888888889</v>
      </c>
      <c r="B9469" s="0" t="s">
        <v>9438</v>
      </c>
    </row>
    <row r="9470" customFormat="false" ht="15" hidden="false" customHeight="false" outlineLevel="0" collapsed="false">
      <c r="A9470" s="0" t="n">
        <f aca="false">PRICEDISC(DATE(2023,12,31),DATE(2024,6,30),0.1,105,0)</f>
        <v>99.7791666666667</v>
      </c>
      <c r="B9470" s="0" t="s">
        <v>9439</v>
      </c>
    </row>
    <row r="9471" customFormat="false" ht="15" hidden="false" customHeight="false" outlineLevel="0" collapsed="false">
      <c r="A9471" s="0" t="n">
        <f aca="false">YIELDDISC(DATE(2023,12,31),DATE(2024,6,30),95,100,0)</f>
        <v>0.105263157894737</v>
      </c>
      <c r="B9471" s="0" t="s">
        <v>9440</v>
      </c>
    </row>
    <row r="9472" customFormat="false" ht="15" hidden="false" customHeight="false" outlineLevel="0" collapsed="false">
      <c r="A9472" s="0" t="n">
        <f aca="false">YIELDDISC(DATE(2023,12,31),DATE(2024,6,30),99.5,100.5,0)</f>
        <v>0.0201005025125629</v>
      </c>
      <c r="B9472" s="0" t="s">
        <v>9441</v>
      </c>
    </row>
    <row r="9473" customFormat="false" ht="15" hidden="false" customHeight="false" outlineLevel="0" collapsed="false">
      <c r="A9473" s="0" t="n">
        <f aca="false">RECEIVED(DATE(2023,12,31),DATE(2024,6,30),1000,0.05,0)</f>
        <v>1025.49494374021</v>
      </c>
      <c r="B9473" s="0" t="s">
        <v>9442</v>
      </c>
    </row>
    <row r="9474" customFormat="false" ht="15" hidden="false" customHeight="false" outlineLevel="0" collapsed="false">
      <c r="A9474" s="0" t="n">
        <f aca="false">RECEIVED(DATE(2023,12,31),DATE(2024,6,30),5000,0.12,0)</f>
        <v>5317.26338177951</v>
      </c>
      <c r="B9474" s="0" t="s">
        <v>9443</v>
      </c>
    </row>
    <row r="9475" customFormat="false" ht="15" hidden="false" customHeight="false" outlineLevel="0" collapsed="false">
      <c r="A9475" s="0" t="n">
        <f aca="false">INTRATE(DATE(2023,12,31),DATE(2024,6,30),1000,1050,0)</f>
        <v>0.100558659217877</v>
      </c>
      <c r="B9475" s="0" t="s">
        <v>9444</v>
      </c>
    </row>
    <row r="9476" customFormat="false" ht="15" hidden="false" customHeight="false" outlineLevel="0" collapsed="false">
      <c r="A9476" s="0" t="n">
        <f aca="false">INTRATE(DATE(2023,12,31),DATE(2024,6,30),950,1000,0)</f>
        <v>0.105851220229344</v>
      </c>
      <c r="B9476" s="0" t="s">
        <v>9445</v>
      </c>
    </row>
    <row r="9477" customFormat="false" ht="15" hidden="false" customHeight="false" outlineLevel="0" collapsed="false">
      <c r="A9477" s="0" t="n">
        <f aca="false">PRICEMAT(DATE(2023,12,31),DATE(2024,6,30),DATE(2023,10,1),0.05,0.06,0)</f>
        <v>99.4646709816613</v>
      </c>
      <c r="B9477" s="0" t="s">
        <v>9446</v>
      </c>
    </row>
    <row r="9478" customFormat="false" ht="15" hidden="false" customHeight="false" outlineLevel="0" collapsed="false">
      <c r="A9478" s="0" t="n">
        <f aca="false">PRICEMAT(DATE(2023,12,31),DATE(2024,6,30),DATE(2024,1,1),0.1,0.03,0)</f>
        <v>103.393130815545</v>
      </c>
      <c r="B9478" s="0" t="s">
        <v>9447</v>
      </c>
    </row>
    <row r="9479" customFormat="false" ht="15" hidden="false" customHeight="false" outlineLevel="0" collapsed="false">
      <c r="A9479" s="0" t="n">
        <f aca="false">YIELDMAT(DATE(2023,12,31),DATE(2024,6,30),DATE(2023,10,1),0.05,98,0)</f>
        <v>0.0904002239014838</v>
      </c>
      <c r="B9479" s="0" t="s">
        <v>9448</v>
      </c>
    </row>
    <row r="9480" customFormat="false" ht="15" hidden="false" customHeight="false" outlineLevel="0" collapsed="false">
      <c r="A9480" s="0" t="e">
        <f aca="false">YIELDMAT(DATE(2023,12,31),DATE(2024,6,30),DATE(2024,1,1),0.1,101,0)</f>
        <v>#VALUE!</v>
      </c>
      <c r="B9480" s="0" t="s">
        <v>9449</v>
      </c>
    </row>
    <row r="9481" customFormat="false" ht="15" hidden="false" customHeight="false" outlineLevel="0" collapsed="false">
      <c r="A9481" s="0" t="n">
        <f aca="false">ACCRINTM(DATE(2023,10,1),DATE(2024,6,30),0.05,1000,0)</f>
        <v>37.3611111111111</v>
      </c>
      <c r="B9481" s="0" t="s">
        <v>9450</v>
      </c>
    </row>
    <row r="9482" customFormat="false" ht="15" hidden="false" customHeight="false" outlineLevel="0" collapsed="false">
      <c r="A9482" s="0" t="e">
        <f aca="false">ACCRINTM(DATE(2024,1,1),DATE(2023,12,31),0.08,5000,0)</f>
        <v>#VALUE!</v>
      </c>
      <c r="B9482" s="0" t="s">
        <v>9451</v>
      </c>
    </row>
    <row r="9483" customFormat="false" ht="15" hidden="false" customHeight="false" outlineLevel="0" collapsed="false">
      <c r="A9483" s="0" t="n">
        <f aca="false">DISC(DATE(2023,12,31),DATE(2024,6,30),95,100,1)</f>
        <v>0.100549450549451</v>
      </c>
      <c r="B9483" s="0" t="s">
        <v>9452</v>
      </c>
    </row>
    <row r="9484" customFormat="false" ht="15" hidden="false" customHeight="false" outlineLevel="0" collapsed="false">
      <c r="A9484" s="0" t="n">
        <f aca="false">DISC(DATE(2023,12,31),DATE(2024,6,30),100,100,1)</f>
        <v>0</v>
      </c>
      <c r="B9484" s="0" t="s">
        <v>9453</v>
      </c>
    </row>
    <row r="9485" customFormat="false" ht="15" hidden="false" customHeight="false" outlineLevel="0" collapsed="false">
      <c r="A9485" s="0" t="n">
        <f aca="false">DISC(DATE(2023,12,31),DATE(2024,6,30),99.5,100.5,1)</f>
        <v>0.0200098409053632</v>
      </c>
      <c r="B9485" s="0" t="s">
        <v>9454</v>
      </c>
    </row>
    <row r="9486" customFormat="false" ht="15" hidden="false" customHeight="false" outlineLevel="0" collapsed="false">
      <c r="A9486" s="0" t="n">
        <f aca="false">PRICEDISC(DATE(2023,12,31),DATE(2024,6,30),0.05,100,1)</f>
        <v>97.5068493150685</v>
      </c>
      <c r="B9486" s="0" t="s">
        <v>9455</v>
      </c>
    </row>
    <row r="9487" customFormat="false" ht="15" hidden="false" customHeight="false" outlineLevel="0" collapsed="false">
      <c r="A9487" s="0" t="n">
        <f aca="false">PRICEDISC(DATE(2023,12,31),DATE(2024,6,30),0.1,105,1)</f>
        <v>99.7643835616438</v>
      </c>
      <c r="B9487" s="0" t="s">
        <v>9456</v>
      </c>
    </row>
    <row r="9488" customFormat="false" ht="15" hidden="false" customHeight="false" outlineLevel="0" collapsed="false">
      <c r="A9488" s="0" t="n">
        <f aca="false">YIELDDISC(DATE(2023,12,31),DATE(2024,6,30),95,100,1)</f>
        <v>0.105841526894158</v>
      </c>
      <c r="B9488" s="0" t="s">
        <v>9457</v>
      </c>
    </row>
    <row r="9489" customFormat="false" ht="15" hidden="false" customHeight="false" outlineLevel="0" collapsed="false">
      <c r="A9489" s="0" t="n">
        <f aca="false">YIELDDISC(DATE(2023,12,31),DATE(2024,6,30),99.5,100.5,1)</f>
        <v>0.0202109448340605</v>
      </c>
      <c r="B9489" s="0" t="s">
        <v>9458</v>
      </c>
    </row>
    <row r="9490" customFormat="false" ht="15" hidden="false" customHeight="false" outlineLevel="0" collapsed="false">
      <c r="A9490" s="0" t="n">
        <f aca="false">RECEIVED(DATE(2023,12,31),DATE(2024,6,30),1000,0.05,1)</f>
        <v>1025.56898005058</v>
      </c>
      <c r="B9490" s="0" t="s">
        <v>9459</v>
      </c>
    </row>
    <row r="9491" customFormat="false" ht="15" hidden="false" customHeight="false" outlineLevel="0" collapsed="false">
      <c r="A9491" s="0" t="n">
        <f aca="false">RECEIVED(DATE(2023,12,31),DATE(2024,6,30),5000,0.12,1)</f>
        <v>5318.21890663248</v>
      </c>
      <c r="B9491" s="0" t="s">
        <v>9460</v>
      </c>
    </row>
    <row r="9492" customFormat="false" ht="15" hidden="false" customHeight="false" outlineLevel="0" collapsed="false">
      <c r="A9492" s="0" t="n">
        <f aca="false">INTRATE(DATE(2023,12,31),DATE(2024,6,30),1000,1050,1)</f>
        <v>0.100274725274725</v>
      </c>
      <c r="B9492" s="0" t="s">
        <v>9461</v>
      </c>
    </row>
    <row r="9493" customFormat="false" ht="15" hidden="false" customHeight="false" outlineLevel="0" collapsed="false">
      <c r="A9493" s="0" t="n">
        <f aca="false">INTRATE(DATE(2023,12,31),DATE(2024,6,30),950,1000,1)</f>
        <v>0.105552342394448</v>
      </c>
      <c r="B9493" s="0" t="s">
        <v>9462</v>
      </c>
    </row>
    <row r="9494" customFormat="false" ht="15" hidden="false" customHeight="false" outlineLevel="0" collapsed="false">
      <c r="A9494" s="0" t="n">
        <f aca="false">PRICEMAT(DATE(2023,12,31),DATE(2024,6,30),DATE(2023,10,1),0.05,0.06,1)</f>
        <v>99.4777162844047</v>
      </c>
      <c r="B9494" s="0" t="s">
        <v>9463</v>
      </c>
    </row>
    <row r="9495" customFormat="false" ht="15" hidden="false" customHeight="false" outlineLevel="0" collapsed="false">
      <c r="A9495" s="0" t="n">
        <f aca="false">PRICEMAT(DATE(2023,12,31),DATE(2024,6,30),DATE(2024,1,1),0.1,0.03,1)</f>
        <v>103.375391734503</v>
      </c>
      <c r="B9495" s="0" t="s">
        <v>9464</v>
      </c>
    </row>
    <row r="9496" customFormat="false" ht="15" hidden="false" customHeight="false" outlineLevel="0" collapsed="false">
      <c r="A9496" s="0" t="n">
        <f aca="false">YIELDMAT(DATE(2023,12,31),DATE(2024,6,30),DATE(2023,10,1),0.05,98,1)</f>
        <v>0.0908356653698267</v>
      </c>
      <c r="B9496" s="0" t="s">
        <v>9465</v>
      </c>
    </row>
    <row r="9497" customFormat="false" ht="15" hidden="false" customHeight="false" outlineLevel="0" collapsed="false">
      <c r="A9497" s="0" t="e">
        <f aca="false">YIELDMAT(DATE(2023,12,31),DATE(2024,6,30),DATE(2024,1,1),0.1,101,1)</f>
        <v>#VALUE!</v>
      </c>
      <c r="B9497" s="0" t="s">
        <v>9466</v>
      </c>
    </row>
    <row r="9498" customFormat="false" ht="15" hidden="false" customHeight="false" outlineLevel="0" collapsed="false">
      <c r="A9498" s="0" t="n">
        <f aca="false">ACCRINTM(DATE(2023,10,1),DATE(2024,6,30),0.05,1000,1)</f>
        <v>37.3972602739726</v>
      </c>
      <c r="B9498" s="0" t="s">
        <v>9467</v>
      </c>
    </row>
    <row r="9499" customFormat="false" ht="15" hidden="false" customHeight="false" outlineLevel="0" collapsed="false">
      <c r="A9499" s="0" t="e">
        <f aca="false">ACCRINTM(DATE(2024,1,1),DATE(2023,12,31),0.08,5000,1)</f>
        <v>#VALUE!</v>
      </c>
      <c r="B9499" s="0" t="s">
        <v>9468</v>
      </c>
    </row>
    <row r="9500" customFormat="false" ht="15" hidden="false" customHeight="false" outlineLevel="0" collapsed="false">
      <c r="A9500" s="0" t="n">
        <f aca="false">DISC(DATE(2023,12,31),DATE(2024,6,30),95,100,2)</f>
        <v>0.098901098901099</v>
      </c>
      <c r="B9500" s="0" t="s">
        <v>9469</v>
      </c>
    </row>
    <row r="9501" customFormat="false" ht="15" hidden="false" customHeight="false" outlineLevel="0" collapsed="false">
      <c r="A9501" s="0" t="n">
        <f aca="false">DISC(DATE(2023,12,31),DATE(2024,6,30),100,100,2)</f>
        <v>0</v>
      </c>
      <c r="B9501" s="0" t="s">
        <v>9470</v>
      </c>
    </row>
    <row r="9502" customFormat="false" ht="15" hidden="false" customHeight="false" outlineLevel="0" collapsed="false">
      <c r="A9502" s="0" t="n">
        <f aca="false">DISC(DATE(2023,12,31),DATE(2024,6,30),99.5,100.5,2)</f>
        <v>0.0196818107265868</v>
      </c>
      <c r="B9502" s="0" t="s">
        <v>9471</v>
      </c>
    </row>
    <row r="9503" customFormat="false" ht="15" hidden="false" customHeight="false" outlineLevel="0" collapsed="false">
      <c r="A9503" s="0" t="n">
        <f aca="false">PRICEDISC(DATE(2023,12,31),DATE(2024,6,30),0.05,100,2)</f>
        <v>97.4722222222222</v>
      </c>
      <c r="B9503" s="0" t="s">
        <v>9472</v>
      </c>
    </row>
    <row r="9504" customFormat="false" ht="15" hidden="false" customHeight="false" outlineLevel="0" collapsed="false">
      <c r="A9504" s="0" t="n">
        <f aca="false">PRICEDISC(DATE(2023,12,31),DATE(2024,6,30),0.1,105,2)</f>
        <v>99.6916666666667</v>
      </c>
      <c r="B9504" s="0" t="s">
        <v>9473</v>
      </c>
    </row>
    <row r="9505" customFormat="false" ht="15" hidden="false" customHeight="false" outlineLevel="0" collapsed="false">
      <c r="A9505" s="0" t="n">
        <f aca="false">YIELDDISC(DATE(2023,12,31),DATE(2024,6,30),95,100,2)</f>
        <v>0.104106419895893</v>
      </c>
      <c r="B9505" s="0" t="s">
        <v>9474</v>
      </c>
    </row>
    <row r="9506" customFormat="false" ht="15" hidden="false" customHeight="false" outlineLevel="0" collapsed="false">
      <c r="A9506" s="0" t="n">
        <f aca="false">YIELDDISC(DATE(2023,12,31),DATE(2024,6,30),99.5,100.5,2)</f>
        <v>0.0198796178695677</v>
      </c>
      <c r="B9506" s="0" t="s">
        <v>9475</v>
      </c>
    </row>
    <row r="9507" customFormat="false" ht="15" hidden="false" customHeight="false" outlineLevel="0" collapsed="false">
      <c r="A9507" s="0" t="n">
        <f aca="false">RECEIVED(DATE(2023,12,31),DATE(2024,6,30),1000,0.05,2)</f>
        <v>1025.93331433457</v>
      </c>
      <c r="B9507" s="0" t="s">
        <v>9476</v>
      </c>
    </row>
    <row r="9508" customFormat="false" ht="15" hidden="false" customHeight="false" outlineLevel="0" collapsed="false">
      <c r="A9508" s="0" t="n">
        <f aca="false">RECEIVED(DATE(2023,12,31),DATE(2024,6,30),5000,0.12,2)</f>
        <v>5322.92405961675</v>
      </c>
      <c r="B9508" s="0" t="s">
        <v>9477</v>
      </c>
    </row>
    <row r="9509" customFormat="false" ht="15" hidden="false" customHeight="false" outlineLevel="0" collapsed="false">
      <c r="A9509" s="0" t="n">
        <f aca="false">INTRATE(DATE(2023,12,31),DATE(2024,6,30),1000,1050,2)</f>
        <v>0.098901098901099</v>
      </c>
      <c r="B9509" s="0" t="s">
        <v>9478</v>
      </c>
    </row>
    <row r="9510" customFormat="false" ht="15" hidden="false" customHeight="false" outlineLevel="0" collapsed="false">
      <c r="A9510" s="0" t="n">
        <f aca="false">INTRATE(DATE(2023,12,31),DATE(2024,6,30),950,1000,2)</f>
        <v>0.104106419895893</v>
      </c>
      <c r="B9510" s="0" t="s">
        <v>9479</v>
      </c>
    </row>
    <row r="9511" customFormat="false" ht="15" hidden="false" customHeight="false" outlineLevel="0" collapsed="false">
      <c r="A9511" s="0" t="n">
        <f aca="false">PRICEMAT(DATE(2023,12,31),DATE(2024,6,30),DATE(2023,10,1),0.05,0.06,2)</f>
        <v>99.4721188755886</v>
      </c>
      <c r="B9511" s="0" t="s">
        <v>9480</v>
      </c>
    </row>
    <row r="9512" customFormat="false" ht="15" hidden="false" customHeight="false" outlineLevel="0" collapsed="false">
      <c r="A9512" s="0" t="n">
        <f aca="false">PRICEMAT(DATE(2023,12,31),DATE(2024,6,30),DATE(2024,1,1),0.1,0.03,2)</f>
        <v>103.43087706817</v>
      </c>
      <c r="B9512" s="0" t="s">
        <v>9481</v>
      </c>
    </row>
    <row r="9513" customFormat="false" ht="15" hidden="false" customHeight="false" outlineLevel="0" collapsed="false">
      <c r="A9513" s="0" t="n">
        <f aca="false">YIELDMAT(DATE(2023,12,31),DATE(2024,6,30),DATE(2023,10,1),0.05,98,2)</f>
        <v>0.0902245928130917</v>
      </c>
      <c r="B9513" s="0" t="s">
        <v>9482</v>
      </c>
    </row>
    <row r="9514" customFormat="false" ht="15" hidden="false" customHeight="false" outlineLevel="0" collapsed="false">
      <c r="A9514" s="0" t="e">
        <f aca="false">YIELDMAT(DATE(2023,12,31),DATE(2024,6,30),DATE(2024,1,1),0.1,101,2)</f>
        <v>#VALUE!</v>
      </c>
      <c r="B9514" s="0" t="s">
        <v>9483</v>
      </c>
    </row>
    <row r="9515" customFormat="false" ht="15" hidden="false" customHeight="false" outlineLevel="0" collapsed="false">
      <c r="A9515" s="0" t="n">
        <f aca="false">ACCRINTM(DATE(2023,10,1),DATE(2024,6,30),0.05,1000,2)</f>
        <v>37.9166666666667</v>
      </c>
      <c r="B9515" s="0" t="s">
        <v>9484</v>
      </c>
    </row>
    <row r="9516" customFormat="false" ht="15" hidden="false" customHeight="false" outlineLevel="0" collapsed="false">
      <c r="A9516" s="0" t="e">
        <f aca="false">ACCRINTM(DATE(2024,1,1),DATE(2023,12,31),0.08,5000,2)</f>
        <v>#VALUE!</v>
      </c>
      <c r="B9516" s="0" t="s">
        <v>9485</v>
      </c>
    </row>
    <row r="9517" customFormat="false" ht="15" hidden="false" customHeight="false" outlineLevel="0" collapsed="false">
      <c r="A9517" s="0" t="n">
        <f aca="false">DISC(DATE(2023,12,31),DATE(2024,6,30),95,100,3)</f>
        <v>0.100274725274725</v>
      </c>
      <c r="B9517" s="0" t="s">
        <v>9486</v>
      </c>
    </row>
    <row r="9518" customFormat="false" ht="15" hidden="false" customHeight="false" outlineLevel="0" collapsed="false">
      <c r="A9518" s="0" t="n">
        <f aca="false">DISC(DATE(2023,12,31),DATE(2024,6,30),100,100,3)</f>
        <v>0</v>
      </c>
      <c r="B9518" s="0" t="s">
        <v>9487</v>
      </c>
    </row>
    <row r="9519" customFormat="false" ht="15" hidden="false" customHeight="false" outlineLevel="0" collapsed="false">
      <c r="A9519" s="0" t="n">
        <f aca="false">DISC(DATE(2023,12,31),DATE(2024,6,30),99.5,100.5,3)</f>
        <v>0.0199551692089005</v>
      </c>
      <c r="B9519" s="0" t="s">
        <v>9488</v>
      </c>
    </row>
    <row r="9520" customFormat="false" ht="15" hidden="false" customHeight="false" outlineLevel="0" collapsed="false">
      <c r="A9520" s="0" t="n">
        <f aca="false">PRICEDISC(DATE(2023,12,31),DATE(2024,6,30),0.05,100,3)</f>
        <v>97.5068493150685</v>
      </c>
      <c r="B9520" s="0" t="s">
        <v>9489</v>
      </c>
    </row>
    <row r="9521" customFormat="false" ht="15" hidden="false" customHeight="false" outlineLevel="0" collapsed="false">
      <c r="A9521" s="0" t="n">
        <f aca="false">PRICEDISC(DATE(2023,12,31),DATE(2024,6,30),0.1,105,3)</f>
        <v>99.7643835616438</v>
      </c>
      <c r="B9521" s="0" t="s">
        <v>9490</v>
      </c>
    </row>
    <row r="9522" customFormat="false" ht="15" hidden="false" customHeight="false" outlineLevel="0" collapsed="false">
      <c r="A9522" s="0" t="n">
        <f aca="false">YIELDDISC(DATE(2023,12,31),DATE(2024,6,30),95,100,3)</f>
        <v>0.105552342394448</v>
      </c>
      <c r="B9522" s="0" t="s">
        <v>9491</v>
      </c>
    </row>
    <row r="9523" customFormat="false" ht="15" hidden="false" customHeight="false" outlineLevel="0" collapsed="false">
      <c r="A9523" s="0" t="n">
        <f aca="false">YIELDDISC(DATE(2023,12,31),DATE(2024,6,30),99.5,100.5,3)</f>
        <v>0.0201557236733117</v>
      </c>
      <c r="B9523" s="0" t="s">
        <v>9492</v>
      </c>
    </row>
    <row r="9524" customFormat="false" ht="15" hidden="false" customHeight="false" outlineLevel="0" collapsed="false">
      <c r="A9524" s="0" t="n">
        <f aca="false">RECEIVED(DATE(2023,12,31),DATE(2024,6,30),1000,0.05,3)</f>
        <v>1025.56898005058</v>
      </c>
      <c r="B9524" s="0" t="s">
        <v>9493</v>
      </c>
    </row>
    <row r="9525" customFormat="false" ht="15" hidden="false" customHeight="false" outlineLevel="0" collapsed="false">
      <c r="A9525" s="0" t="n">
        <f aca="false">RECEIVED(DATE(2023,12,31),DATE(2024,6,30),5000,0.12,3)</f>
        <v>5318.21890663248</v>
      </c>
      <c r="B9525" s="0" t="s">
        <v>9494</v>
      </c>
    </row>
    <row r="9526" customFormat="false" ht="15" hidden="false" customHeight="false" outlineLevel="0" collapsed="false">
      <c r="A9526" s="0" t="n">
        <f aca="false">INTRATE(DATE(2023,12,31),DATE(2024,6,30),1000,1050,3)</f>
        <v>0.100274725274725</v>
      </c>
      <c r="B9526" s="0" t="s">
        <v>9495</v>
      </c>
    </row>
    <row r="9527" customFormat="false" ht="15" hidden="false" customHeight="false" outlineLevel="0" collapsed="false">
      <c r="A9527" s="0" t="n">
        <f aca="false">INTRATE(DATE(2023,12,31),DATE(2024,6,30),950,1000,3)</f>
        <v>0.105552342394448</v>
      </c>
      <c r="B9527" s="0" t="s">
        <v>9496</v>
      </c>
    </row>
    <row r="9528" customFormat="false" ht="15" hidden="false" customHeight="false" outlineLevel="0" collapsed="false">
      <c r="A9528" s="0" t="n">
        <f aca="false">PRICEMAT(DATE(2023,12,31),DATE(2024,6,30),DATE(2023,10,1),0.05,0.06,3)</f>
        <v>99.4796430018628</v>
      </c>
      <c r="B9528" s="0" t="s">
        <v>9497</v>
      </c>
    </row>
    <row r="9529" customFormat="false" ht="15" hidden="false" customHeight="false" outlineLevel="0" collapsed="false">
      <c r="A9529" s="0" t="n">
        <f aca="false">PRICEMAT(DATE(2023,12,31),DATE(2024,6,30),DATE(2024,1,1),0.1,0.03,3)</f>
        <v>103.384577041945</v>
      </c>
      <c r="B9529" s="0" t="s">
        <v>9498</v>
      </c>
    </row>
    <row r="9530" customFormat="false" ht="15" hidden="false" customHeight="false" outlineLevel="0" collapsed="false">
      <c r="A9530" s="0" t="n">
        <f aca="false">YIELDMAT(DATE(2023,12,31),DATE(2024,6,30),DATE(2023,10,1),0.05,98,3)</f>
        <v>0.0907939541479911</v>
      </c>
      <c r="B9530" s="0" t="s">
        <v>9499</v>
      </c>
    </row>
    <row r="9531" customFormat="false" ht="15" hidden="false" customHeight="false" outlineLevel="0" collapsed="false">
      <c r="A9531" s="0" t="e">
        <f aca="false">YIELDMAT(DATE(2023,12,31),DATE(2024,6,30),DATE(2024,1,1),0.1,101,3)</f>
        <v>#VALUE!</v>
      </c>
      <c r="B9531" s="0" t="s">
        <v>9500</v>
      </c>
    </row>
    <row r="9532" customFormat="false" ht="15" hidden="false" customHeight="false" outlineLevel="0" collapsed="false">
      <c r="A9532" s="0" t="n">
        <f aca="false">ACCRINTM(DATE(2023,10,1),DATE(2024,6,30),0.05,1000,3)</f>
        <v>37.3972602739726</v>
      </c>
      <c r="B9532" s="0" t="s">
        <v>9501</v>
      </c>
    </row>
    <row r="9533" customFormat="false" ht="15" hidden="false" customHeight="false" outlineLevel="0" collapsed="false">
      <c r="A9533" s="0" t="e">
        <f aca="false">ACCRINTM(DATE(2024,1,1),DATE(2023,12,31),0.08,5000,3)</f>
        <v>#VALUE!</v>
      </c>
      <c r="B9533" s="0" t="s">
        <v>9502</v>
      </c>
    </row>
    <row r="9534" customFormat="false" ht="15" hidden="false" customHeight="false" outlineLevel="0" collapsed="false">
      <c r="A9534" s="0" t="n">
        <f aca="false">DISC(DATE(2023,12,31),DATE(2024,6,30),95,100,4)</f>
        <v>0.1</v>
      </c>
      <c r="B9534" s="0" t="s">
        <v>9503</v>
      </c>
    </row>
    <row r="9535" customFormat="false" ht="15" hidden="false" customHeight="false" outlineLevel="0" collapsed="false">
      <c r="A9535" s="0" t="n">
        <f aca="false">DISC(DATE(2023,12,31),DATE(2024,6,30),100,100,4)</f>
        <v>0</v>
      </c>
      <c r="B9535" s="0" t="s">
        <v>9504</v>
      </c>
    </row>
    <row r="9536" customFormat="false" ht="15" hidden="false" customHeight="false" outlineLevel="0" collapsed="false">
      <c r="A9536" s="0" t="n">
        <f aca="false">DISC(DATE(2023,12,31),DATE(2024,6,30),99.5,100.5,4)</f>
        <v>0.0199004975124377</v>
      </c>
      <c r="B9536" s="0" t="s">
        <v>9505</v>
      </c>
    </row>
    <row r="9537" customFormat="false" ht="15" hidden="false" customHeight="false" outlineLevel="0" collapsed="false">
      <c r="A9537" s="0" t="n">
        <f aca="false">PRICEDISC(DATE(2023,12,31),DATE(2024,6,30),0.05,100,4)</f>
        <v>97.5138888888889</v>
      </c>
      <c r="B9537" s="0" t="s">
        <v>9506</v>
      </c>
    </row>
    <row r="9538" customFormat="false" ht="15" hidden="false" customHeight="false" outlineLevel="0" collapsed="false">
      <c r="A9538" s="0" t="n">
        <f aca="false">PRICEDISC(DATE(2023,12,31),DATE(2024,6,30),0.1,105,4)</f>
        <v>99.7791666666667</v>
      </c>
      <c r="B9538" s="0" t="s">
        <v>9507</v>
      </c>
    </row>
    <row r="9539" customFormat="false" ht="15" hidden="false" customHeight="false" outlineLevel="0" collapsed="false">
      <c r="A9539" s="0" t="n">
        <f aca="false">YIELDDISC(DATE(2023,12,31),DATE(2024,6,30),95,100,4)</f>
        <v>0.105263157894737</v>
      </c>
      <c r="B9539" s="0" t="s">
        <v>9508</v>
      </c>
    </row>
    <row r="9540" customFormat="false" ht="15" hidden="false" customHeight="false" outlineLevel="0" collapsed="false">
      <c r="A9540" s="0" t="n">
        <f aca="false">YIELDDISC(DATE(2023,12,31),DATE(2024,6,30),99.5,100.5,4)</f>
        <v>0.0201005025125629</v>
      </c>
      <c r="B9540" s="0" t="s">
        <v>9509</v>
      </c>
    </row>
    <row r="9541" customFormat="false" ht="15" hidden="false" customHeight="false" outlineLevel="0" collapsed="false">
      <c r="A9541" s="0" t="n">
        <f aca="false">RECEIVED(DATE(2023,12,31),DATE(2024,6,30),1000,0.05,4)</f>
        <v>1025.49494374021</v>
      </c>
      <c r="B9541" s="0" t="s">
        <v>9510</v>
      </c>
    </row>
    <row r="9542" customFormat="false" ht="15" hidden="false" customHeight="false" outlineLevel="0" collapsed="false">
      <c r="A9542" s="0" t="n">
        <f aca="false">RECEIVED(DATE(2023,12,31),DATE(2024,6,30),5000,0.12,4)</f>
        <v>5317.26338177951</v>
      </c>
      <c r="B9542" s="0" t="s">
        <v>9511</v>
      </c>
    </row>
    <row r="9543" customFormat="false" ht="15" hidden="false" customHeight="false" outlineLevel="0" collapsed="false">
      <c r="A9543" s="0" t="n">
        <f aca="false">INTRATE(DATE(2023,12,31),DATE(2024,6,30),1000,1050,4)</f>
        <v>0.100558659217877</v>
      </c>
      <c r="B9543" s="0" t="s">
        <v>9512</v>
      </c>
    </row>
    <row r="9544" customFormat="false" ht="15" hidden="false" customHeight="false" outlineLevel="0" collapsed="false">
      <c r="A9544" s="0" t="n">
        <f aca="false">INTRATE(DATE(2023,12,31),DATE(2024,6,30),950,1000,4)</f>
        <v>0.105851220229344</v>
      </c>
      <c r="B9544" s="0" t="s">
        <v>9513</v>
      </c>
    </row>
    <row r="9545" customFormat="false" ht="15" hidden="false" customHeight="false" outlineLevel="0" collapsed="false">
      <c r="A9545" s="0" t="n">
        <f aca="false">PRICEMAT(DATE(2023,12,31),DATE(2024,6,30),DATE(2023,10,1),0.05,0.06,4)</f>
        <v>99.4785598705502</v>
      </c>
      <c r="B9545" s="0" t="s">
        <v>9514</v>
      </c>
    </row>
    <row r="9546" customFormat="false" ht="15" hidden="false" customHeight="false" outlineLevel="0" collapsed="false">
      <c r="A9546" s="0" t="n">
        <f aca="false">PRICEMAT(DATE(2023,12,31),DATE(2024,6,30),DATE(2024,1,1),0.1,0.03,4)</f>
        <v>103.393130815545</v>
      </c>
      <c r="B9546" s="0" t="s">
        <v>9515</v>
      </c>
    </row>
    <row r="9547" customFormat="false" ht="15" hidden="false" customHeight="false" outlineLevel="0" collapsed="false">
      <c r="A9547" s="0" t="n">
        <f aca="false">YIELDMAT(DATE(2023,12,31),DATE(2024,6,30),DATE(2023,10,1),0.05,98,4)</f>
        <v>0.0906927921623515</v>
      </c>
      <c r="B9547" s="0" t="s">
        <v>9516</v>
      </c>
    </row>
    <row r="9548" customFormat="false" ht="15" hidden="false" customHeight="false" outlineLevel="0" collapsed="false">
      <c r="A9548" s="0" t="e">
        <f aca="false">YIELDMAT(DATE(2023,12,31),DATE(2024,6,30),DATE(2024,1,1),0.1,101,4)</f>
        <v>#VALUE!</v>
      </c>
      <c r="B9548" s="0" t="s">
        <v>9517</v>
      </c>
    </row>
    <row r="9549" customFormat="false" ht="15" hidden="false" customHeight="false" outlineLevel="0" collapsed="false">
      <c r="A9549" s="0" t="n">
        <f aca="false">ACCRINTM(DATE(2023,10,1),DATE(2024,6,30),0.05,1000,4)</f>
        <v>37.3611111111111</v>
      </c>
      <c r="B9549" s="0" t="s">
        <v>9518</v>
      </c>
    </row>
    <row r="9550" customFormat="false" ht="15" hidden="false" customHeight="false" outlineLevel="0" collapsed="false">
      <c r="A9550" s="0" t="e">
        <f aca="false">ACCRINTM(DATE(2024,1,1),DATE(2023,12,31),0.08,5000,4)</f>
        <v>#VALUE!</v>
      </c>
      <c r="B9550" s="0" t="s">
        <v>9519</v>
      </c>
    </row>
    <row r="9551" customFormat="false" ht="15" hidden="false" customHeight="false" outlineLevel="0" collapsed="false">
      <c r="A9551" s="0" t="n">
        <f aca="false">TBILLPRICE(DATE(2023,12,31),DATE(2024,6,30),0.05)</f>
        <v>97.4861111111111</v>
      </c>
      <c r="B9551" s="0" t="s">
        <v>9520</v>
      </c>
    </row>
    <row r="9552" customFormat="false" ht="15" hidden="false" customHeight="false" outlineLevel="0" collapsed="false">
      <c r="A9552" s="0" t="n">
        <f aca="false">TBILLYIELD(DATE(2023,12,31),DATE(2024,6,30),98)</f>
        <v>0.0405908219641448</v>
      </c>
      <c r="B9552" s="0" t="s">
        <v>9521</v>
      </c>
    </row>
    <row r="9553" customFormat="false" ht="15" hidden="false" customHeight="false" outlineLevel="0" collapsed="false">
      <c r="A9553" s="0" t="n">
        <f aca="false">TBILLEQ(DATE(2023,12,31),DATE(2024,6,30),0.05)</f>
        <v>0.0520017096452486</v>
      </c>
      <c r="B9553" s="0" t="s">
        <v>9522</v>
      </c>
    </row>
    <row r="9554" customFormat="false" ht="15" hidden="false" customHeight="false" outlineLevel="0" collapsed="false">
      <c r="A9554" s="0" t="n">
        <f aca="false">TBILLEQ(DATE(2023,12,31),DATE(2024,6,30),0.12)</f>
        <v>0.129478538488826</v>
      </c>
      <c r="B9554" s="0" t="s">
        <v>9523</v>
      </c>
    </row>
    <row r="9555" customFormat="false" ht="15" hidden="false" customHeight="false" outlineLevel="0" collapsed="false">
      <c r="A9555" s="0" t="n">
        <f aca="false">DISC(DATE(2024,3,1),DATE(2024,9,1),95,100,0)</f>
        <v>0.1</v>
      </c>
      <c r="B9555" s="0" t="s">
        <v>9524</v>
      </c>
    </row>
    <row r="9556" customFormat="false" ht="15" hidden="false" customHeight="false" outlineLevel="0" collapsed="false">
      <c r="A9556" s="0" t="n">
        <f aca="false">DISC(DATE(2024,3,1),DATE(2024,9,1),100,100,0)</f>
        <v>0</v>
      </c>
      <c r="B9556" s="0" t="s">
        <v>9525</v>
      </c>
    </row>
    <row r="9557" customFormat="false" ht="15" hidden="false" customHeight="false" outlineLevel="0" collapsed="false">
      <c r="A9557" s="0" t="n">
        <f aca="false">DISC(DATE(2024,3,1),DATE(2024,9,1),99.5,100.5,0)</f>
        <v>0.0199004975124377</v>
      </c>
      <c r="B9557" s="0" t="s">
        <v>9526</v>
      </c>
    </row>
    <row r="9558" customFormat="false" ht="15" hidden="false" customHeight="false" outlineLevel="0" collapsed="false">
      <c r="A9558" s="0" t="n">
        <f aca="false">PRICEDISC(DATE(2024,3,1),DATE(2024,9,1),0.05,100,0)</f>
        <v>97.5</v>
      </c>
      <c r="B9558" s="0" t="s">
        <v>9527</v>
      </c>
    </row>
    <row r="9559" customFormat="false" ht="15" hidden="false" customHeight="false" outlineLevel="0" collapsed="false">
      <c r="A9559" s="0" t="n">
        <f aca="false">PRICEDISC(DATE(2024,3,1),DATE(2024,9,1),0.1,105,0)</f>
        <v>99.75</v>
      </c>
      <c r="B9559" s="0" t="s">
        <v>9528</v>
      </c>
    </row>
    <row r="9560" customFormat="false" ht="15" hidden="false" customHeight="false" outlineLevel="0" collapsed="false">
      <c r="A9560" s="0" t="n">
        <f aca="false">YIELDDISC(DATE(2024,3,1),DATE(2024,9,1),95,100,0)</f>
        <v>0.105263157894737</v>
      </c>
      <c r="B9560" s="0" t="s">
        <v>9529</v>
      </c>
    </row>
    <row r="9561" customFormat="false" ht="15" hidden="false" customHeight="false" outlineLevel="0" collapsed="false">
      <c r="A9561" s="0" t="n">
        <f aca="false">YIELDDISC(DATE(2024,3,1),DATE(2024,9,1),99.5,100.5,0)</f>
        <v>0.0201005025125629</v>
      </c>
      <c r="B9561" s="0" t="s">
        <v>9530</v>
      </c>
    </row>
    <row r="9562" customFormat="false" ht="15" hidden="false" customHeight="false" outlineLevel="0" collapsed="false">
      <c r="A9562" s="0" t="n">
        <f aca="false">RECEIVED(DATE(2024,3,1),DATE(2024,9,1),1000,0.05,0)</f>
        <v>1025.64102564103</v>
      </c>
      <c r="B9562" s="0" t="s">
        <v>9531</v>
      </c>
    </row>
    <row r="9563" customFormat="false" ht="15" hidden="false" customHeight="false" outlineLevel="0" collapsed="false">
      <c r="A9563" s="0" t="n">
        <f aca="false">RECEIVED(DATE(2024,3,1),DATE(2024,9,1),5000,0.12,0)</f>
        <v>5319.14893617021</v>
      </c>
      <c r="B9563" s="0" t="s">
        <v>9532</v>
      </c>
    </row>
    <row r="9564" customFormat="false" ht="15" hidden="false" customHeight="false" outlineLevel="0" collapsed="false">
      <c r="A9564" s="0" t="n">
        <f aca="false">INTRATE(DATE(2024,3,1),DATE(2024,9,1),1000,1050,0)</f>
        <v>0.1</v>
      </c>
      <c r="B9564" s="0" t="s">
        <v>9533</v>
      </c>
    </row>
    <row r="9565" customFormat="false" ht="15" hidden="false" customHeight="false" outlineLevel="0" collapsed="false">
      <c r="A9565" s="0" t="n">
        <f aca="false">INTRATE(DATE(2024,3,1),DATE(2024,9,1),950,1000,0)</f>
        <v>0.105263157894737</v>
      </c>
      <c r="B9565" s="0" t="s">
        <v>9534</v>
      </c>
    </row>
    <row r="9566" customFormat="false" ht="15" hidden="false" customHeight="false" outlineLevel="0" collapsed="false">
      <c r="A9566" s="0" t="n">
        <f aca="false">PRICEMAT(DATE(2024,3,1),DATE(2024,9,1),DATE(2023,10,1),0.05,0.06,0)</f>
        <v>99.4538834951456</v>
      </c>
      <c r="B9566" s="0" t="s">
        <v>9535</v>
      </c>
    </row>
    <row r="9567" customFormat="false" ht="15" hidden="false" customHeight="false" outlineLevel="0" collapsed="false">
      <c r="A9567" s="0" t="n">
        <f aca="false">PRICEMAT(DATE(2024,3,1),DATE(2024,9,1),DATE(2024,1,1),0.1,0.03,0)</f>
        <v>103.423645320197</v>
      </c>
      <c r="B9567" s="0" t="s">
        <v>9536</v>
      </c>
    </row>
    <row r="9568" customFormat="false" ht="15" hidden="false" customHeight="false" outlineLevel="0" collapsed="false">
      <c r="A9568" s="0" t="n">
        <f aca="false">YIELDMAT(DATE(2024,3,1),DATE(2024,9,1),DATE(2023,10,1),0.05,98,0)</f>
        <v>0.0899250624479602</v>
      </c>
      <c r="B9568" s="0" t="s">
        <v>9537</v>
      </c>
    </row>
    <row r="9569" customFormat="false" ht="15" hidden="false" customHeight="false" outlineLevel="0" collapsed="false">
      <c r="A9569" s="0" t="n">
        <f aca="false">YIELDMAT(DATE(2024,3,1),DATE(2024,9,1),DATE(2024,1,1),0.1,101,0)</f>
        <v>0.0779220779220782</v>
      </c>
      <c r="B9569" s="0" t="s">
        <v>9538</v>
      </c>
    </row>
    <row r="9570" customFormat="false" ht="15" hidden="false" customHeight="false" outlineLevel="0" collapsed="false">
      <c r="A9570" s="0" t="n">
        <f aca="false">ACCRINTM(DATE(2023,10,1),DATE(2024,9,1),0.05,1000,0)</f>
        <v>45.8333333333333</v>
      </c>
      <c r="B9570" s="0" t="s">
        <v>9539</v>
      </c>
    </row>
    <row r="9571" customFormat="false" ht="15" hidden="false" customHeight="false" outlineLevel="0" collapsed="false">
      <c r="A9571" s="0" t="n">
        <f aca="false">ACCRINTM(DATE(2024,1,1),DATE(2024,3,1),0.08,5000,0)</f>
        <v>66.6666666666667</v>
      </c>
      <c r="B9571" s="0" t="s">
        <v>9540</v>
      </c>
    </row>
    <row r="9572" customFormat="false" ht="15" hidden="false" customHeight="false" outlineLevel="0" collapsed="false">
      <c r="A9572" s="0" t="n">
        <f aca="false">DISC(DATE(2024,3,1),DATE(2024,9,1),95,100,1)</f>
        <v>0.0994565217391305</v>
      </c>
      <c r="B9572" s="0" t="s">
        <v>9541</v>
      </c>
    </row>
    <row r="9573" customFormat="false" ht="15" hidden="false" customHeight="false" outlineLevel="0" collapsed="false">
      <c r="A9573" s="0" t="n">
        <f aca="false">DISC(DATE(2024,3,1),DATE(2024,9,1),100,100,1)</f>
        <v>0</v>
      </c>
      <c r="B9573" s="0" t="s">
        <v>9542</v>
      </c>
    </row>
    <row r="9574" customFormat="false" ht="15" hidden="false" customHeight="false" outlineLevel="0" collapsed="false">
      <c r="A9574" s="0" t="n">
        <f aca="false">DISC(DATE(2024,3,1),DATE(2024,9,1),99.5,100.5,1)</f>
        <v>0.0197923426346527</v>
      </c>
      <c r="B9574" s="0" t="s">
        <v>9543</v>
      </c>
    </row>
    <row r="9575" customFormat="false" ht="15" hidden="false" customHeight="false" outlineLevel="0" collapsed="false">
      <c r="A9575" s="0" t="n">
        <f aca="false">PRICEDISC(DATE(2024,3,1),DATE(2024,9,1),0.05,100,1)</f>
        <v>97.4863387978142</v>
      </c>
      <c r="B9575" s="0" t="s">
        <v>9544</v>
      </c>
    </row>
    <row r="9576" customFormat="false" ht="15" hidden="false" customHeight="false" outlineLevel="0" collapsed="false">
      <c r="A9576" s="0" t="n">
        <f aca="false">PRICEDISC(DATE(2024,3,1),DATE(2024,9,1),0.1,105,1)</f>
        <v>99.7213114754098</v>
      </c>
      <c r="B9576" s="0" t="s">
        <v>9545</v>
      </c>
    </row>
    <row r="9577" customFormat="false" ht="15" hidden="false" customHeight="false" outlineLevel="0" collapsed="false">
      <c r="A9577" s="0" t="n">
        <f aca="false">YIELDDISC(DATE(2024,3,1),DATE(2024,9,1),95,100,1)</f>
        <v>0.104691075514874</v>
      </c>
      <c r="B9577" s="0" t="s">
        <v>9546</v>
      </c>
    </row>
    <row r="9578" customFormat="false" ht="15" hidden="false" customHeight="false" outlineLevel="0" collapsed="false">
      <c r="A9578" s="0" t="n">
        <f aca="false">YIELDDISC(DATE(2024,3,1),DATE(2024,9,1),99.5,100.5,1)</f>
        <v>0.0199912606510816</v>
      </c>
      <c r="B9578" s="0" t="s">
        <v>9547</v>
      </c>
    </row>
    <row r="9579" customFormat="false" ht="15" hidden="false" customHeight="false" outlineLevel="0" collapsed="false">
      <c r="A9579" s="0" t="n">
        <f aca="false">RECEIVED(DATE(2024,3,1),DATE(2024,9,1),1000,0.05,1)</f>
        <v>1025.78475336323</v>
      </c>
      <c r="B9579" s="0" t="s">
        <v>9548</v>
      </c>
    </row>
    <row r="9580" customFormat="false" ht="15" hidden="false" customHeight="false" outlineLevel="0" collapsed="false">
      <c r="A9580" s="0" t="n">
        <f aca="false">RECEIVED(DATE(2024,3,1),DATE(2024,9,1),5000,0.12,1)</f>
        <v>5321.00488485694</v>
      </c>
      <c r="B9580" s="0" t="s">
        <v>9549</v>
      </c>
    </row>
    <row r="9581" customFormat="false" ht="15" hidden="false" customHeight="false" outlineLevel="0" collapsed="false">
      <c r="A9581" s="0" t="n">
        <f aca="false">INTRATE(DATE(2024,3,1),DATE(2024,9,1),1000,1050,1)</f>
        <v>0.0994565217391305</v>
      </c>
      <c r="B9581" s="0" t="s">
        <v>9550</v>
      </c>
    </row>
    <row r="9582" customFormat="false" ht="15" hidden="false" customHeight="false" outlineLevel="0" collapsed="false">
      <c r="A9582" s="0" t="n">
        <f aca="false">INTRATE(DATE(2024,3,1),DATE(2024,9,1),950,1000,1)</f>
        <v>0.104691075514874</v>
      </c>
      <c r="B9582" s="0" t="s">
        <v>9551</v>
      </c>
    </row>
    <row r="9583" customFormat="false" ht="15" hidden="false" customHeight="false" outlineLevel="0" collapsed="false">
      <c r="A9583" s="0" t="n">
        <f aca="false">PRICEMAT(DATE(2024,3,1),DATE(2024,9,1),DATE(2023,10,1),0.05,0.06,1)</f>
        <v>99.4511866375877</v>
      </c>
      <c r="B9583" s="0" t="s">
        <v>9552</v>
      </c>
    </row>
    <row r="9584" customFormat="false" ht="15" hidden="false" customHeight="false" outlineLevel="0" collapsed="false">
      <c r="A9584" s="0" t="n">
        <f aca="false">PRICEMAT(DATE(2024,3,1),DATE(2024,9,1),DATE(2024,1,1),0.1,0.03,1)</f>
        <v>103.442481749763</v>
      </c>
      <c r="B9584" s="0" t="s">
        <v>9553</v>
      </c>
    </row>
    <row r="9585" customFormat="false" ht="15" hidden="false" customHeight="false" outlineLevel="0" collapsed="false">
      <c r="A9585" s="0" t="n">
        <f aca="false">YIELDMAT(DATE(2024,3,1),DATE(2024,9,1),DATE(2023,10,1),0.05,98,1)</f>
        <v>0.0897139750535353</v>
      </c>
      <c r="B9585" s="0" t="s">
        <v>9554</v>
      </c>
    </row>
    <row r="9586" customFormat="false" ht="15" hidden="false" customHeight="false" outlineLevel="0" collapsed="false">
      <c r="A9586" s="0" t="n">
        <f aca="false">YIELDMAT(DATE(2024,3,1),DATE(2024,9,1),DATE(2024,1,1),0.1,101,1)</f>
        <v>0.078048721207197</v>
      </c>
      <c r="B9586" s="0" t="s">
        <v>9555</v>
      </c>
    </row>
    <row r="9587" customFormat="false" ht="15" hidden="false" customHeight="false" outlineLevel="0" collapsed="false">
      <c r="A9587" s="0" t="n">
        <f aca="false">ACCRINTM(DATE(2023,10,1),DATE(2024,9,1),0.05,1000,1)</f>
        <v>46.027397260274</v>
      </c>
      <c r="B9587" s="0" t="s">
        <v>9556</v>
      </c>
    </row>
    <row r="9588" customFormat="false" ht="15" hidden="false" customHeight="false" outlineLevel="0" collapsed="false">
      <c r="A9588" s="0" t="n">
        <f aca="false">ACCRINTM(DATE(2024,1,1),DATE(2024,3,1),0.08,5000,1)</f>
        <v>65.5737704918033</v>
      </c>
      <c r="B9588" s="0" t="s">
        <v>9557</v>
      </c>
    </row>
    <row r="9589" customFormat="false" ht="15" hidden="false" customHeight="false" outlineLevel="0" collapsed="false">
      <c r="A9589" s="0" t="n">
        <f aca="false">DISC(DATE(2024,3,1),DATE(2024,9,1),95,100,2)</f>
        <v>0.0978260869565218</v>
      </c>
      <c r="B9589" s="0" t="s">
        <v>9558</v>
      </c>
    </row>
    <row r="9590" customFormat="false" ht="15" hidden="false" customHeight="false" outlineLevel="0" collapsed="false">
      <c r="A9590" s="0" t="n">
        <f aca="false">DISC(DATE(2024,3,1),DATE(2024,9,1),100,100,2)</f>
        <v>0</v>
      </c>
      <c r="B9590" s="0" t="s">
        <v>9559</v>
      </c>
    </row>
    <row r="9591" customFormat="false" ht="15" hidden="false" customHeight="false" outlineLevel="0" collapsed="false">
      <c r="A9591" s="0" t="n">
        <f aca="false">DISC(DATE(2024,3,1),DATE(2024,9,1),99.5,100.5,2)</f>
        <v>0.0194678780012978</v>
      </c>
      <c r="B9591" s="0" t="s">
        <v>9560</v>
      </c>
    </row>
    <row r="9592" customFormat="false" ht="15" hidden="false" customHeight="false" outlineLevel="0" collapsed="false">
      <c r="A9592" s="0" t="n">
        <f aca="false">PRICEDISC(DATE(2024,3,1),DATE(2024,9,1),0.05,100,2)</f>
        <v>97.4444444444444</v>
      </c>
      <c r="B9592" s="0" t="s">
        <v>9561</v>
      </c>
    </row>
    <row r="9593" customFormat="false" ht="15" hidden="false" customHeight="false" outlineLevel="0" collapsed="false">
      <c r="A9593" s="0" t="n">
        <f aca="false">PRICEDISC(DATE(2024,3,1),DATE(2024,9,1),0.1,105,2)</f>
        <v>99.6333333333333</v>
      </c>
      <c r="B9593" s="0" t="s">
        <v>9562</v>
      </c>
    </row>
    <row r="9594" customFormat="false" ht="15" hidden="false" customHeight="false" outlineLevel="0" collapsed="false">
      <c r="A9594" s="0" t="n">
        <f aca="false">YIELDDISC(DATE(2024,3,1),DATE(2024,9,1),95,100,2)</f>
        <v>0.102974828375286</v>
      </c>
      <c r="B9594" s="0" t="s">
        <v>9563</v>
      </c>
    </row>
    <row r="9595" customFormat="false" ht="15" hidden="false" customHeight="false" outlineLevel="0" collapsed="false">
      <c r="A9595" s="0" t="n">
        <f aca="false">YIELDDISC(DATE(2024,3,1),DATE(2024,9,1),99.5,100.5,2)</f>
        <v>0.0196635350666376</v>
      </c>
      <c r="B9595" s="0" t="s">
        <v>9564</v>
      </c>
    </row>
    <row r="9596" customFormat="false" ht="15" hidden="false" customHeight="false" outlineLevel="0" collapsed="false">
      <c r="A9596" s="0" t="n">
        <f aca="false">RECEIVED(DATE(2024,3,1),DATE(2024,9,1),1000,0.05,2)</f>
        <v>1026.22576966933</v>
      </c>
      <c r="B9596" s="0" t="s">
        <v>9565</v>
      </c>
    </row>
    <row r="9597" customFormat="false" ht="15" hidden="false" customHeight="false" outlineLevel="0" collapsed="false">
      <c r="A9597" s="0" t="n">
        <f aca="false">RECEIVED(DATE(2024,3,1),DATE(2024,9,1),5000,0.12,2)</f>
        <v>5326.70454545455</v>
      </c>
      <c r="B9597" s="0" t="s">
        <v>9566</v>
      </c>
    </row>
    <row r="9598" customFormat="false" ht="15" hidden="false" customHeight="false" outlineLevel="0" collapsed="false">
      <c r="A9598" s="0" t="n">
        <f aca="false">INTRATE(DATE(2024,3,1),DATE(2024,9,1),1000,1050,2)</f>
        <v>0.0978260869565218</v>
      </c>
      <c r="B9598" s="0" t="s">
        <v>9567</v>
      </c>
    </row>
    <row r="9599" customFormat="false" ht="15" hidden="false" customHeight="false" outlineLevel="0" collapsed="false">
      <c r="A9599" s="0" t="n">
        <f aca="false">INTRATE(DATE(2024,3,1),DATE(2024,9,1),950,1000,2)</f>
        <v>0.102974828375286</v>
      </c>
      <c r="B9599" s="0" t="s">
        <v>9568</v>
      </c>
    </row>
    <row r="9600" customFormat="false" ht="15" hidden="false" customHeight="false" outlineLevel="0" collapsed="false">
      <c r="A9600" s="0" t="n">
        <f aca="false">PRICEMAT(DATE(2024,3,1),DATE(2024,9,1),DATE(2023,10,1),0.05,0.06,2)</f>
        <v>99.4412821618514</v>
      </c>
      <c r="B9600" s="0" t="s">
        <v>9569</v>
      </c>
    </row>
    <row r="9601" customFormat="false" ht="15" hidden="false" customHeight="false" outlineLevel="0" collapsed="false">
      <c r="A9601" s="0" t="n">
        <f aca="false">PRICEMAT(DATE(2024,3,1),DATE(2024,9,1),DATE(2024,1,1),0.1,0.03,2)</f>
        <v>103.498577369227</v>
      </c>
      <c r="B9601" s="0" t="s">
        <v>9570</v>
      </c>
    </row>
    <row r="9602" customFormat="false" ht="15" hidden="false" customHeight="false" outlineLevel="0" collapsed="false">
      <c r="A9602" s="0" t="n">
        <f aca="false">YIELDMAT(DATE(2024,3,1),DATE(2024,9,1),DATE(2023,10,1),0.05,98,2)</f>
        <v>0.0890315108816293</v>
      </c>
      <c r="B9602" s="0" t="s">
        <v>9571</v>
      </c>
    </row>
    <row r="9603" customFormat="false" ht="15" hidden="false" customHeight="false" outlineLevel="0" collapsed="false">
      <c r="A9603" s="0" t="n">
        <f aca="false">YIELDMAT(DATE(2024,3,1),DATE(2024,9,1),DATE(2024,1,1),0.1,101,2)</f>
        <v>0.0783455674760024</v>
      </c>
      <c r="B9603" s="0" t="s">
        <v>9572</v>
      </c>
    </row>
    <row r="9604" customFormat="false" ht="15" hidden="false" customHeight="false" outlineLevel="0" collapsed="false">
      <c r="A9604" s="0" t="n">
        <f aca="false">ACCRINTM(DATE(2023,10,1),DATE(2024,9,1),0.05,1000,2)</f>
        <v>46.6666666666667</v>
      </c>
      <c r="B9604" s="0" t="s">
        <v>9573</v>
      </c>
    </row>
    <row r="9605" customFormat="false" ht="15" hidden="false" customHeight="false" outlineLevel="0" collapsed="false">
      <c r="A9605" s="0" t="n">
        <f aca="false">ACCRINTM(DATE(2024,1,1),DATE(2024,3,1),0.08,5000,2)</f>
        <v>66.6666666666667</v>
      </c>
      <c r="B9605" s="0" t="s">
        <v>9574</v>
      </c>
    </row>
    <row r="9606" customFormat="false" ht="15" hidden="false" customHeight="false" outlineLevel="0" collapsed="false">
      <c r="A9606" s="0" t="n">
        <f aca="false">DISC(DATE(2024,3,1),DATE(2024,9,1),95,100,3)</f>
        <v>0.0991847826086957</v>
      </c>
      <c r="B9606" s="0" t="s">
        <v>9575</v>
      </c>
    </row>
    <row r="9607" customFormat="false" ht="15" hidden="false" customHeight="false" outlineLevel="0" collapsed="false">
      <c r="A9607" s="0" t="n">
        <f aca="false">DISC(DATE(2024,3,1),DATE(2024,9,1),100,100,3)</f>
        <v>0</v>
      </c>
      <c r="B9607" s="0" t="s">
        <v>9576</v>
      </c>
    </row>
    <row r="9608" customFormat="false" ht="15" hidden="false" customHeight="false" outlineLevel="0" collapsed="false">
      <c r="A9608" s="0" t="n">
        <f aca="false">DISC(DATE(2024,3,1),DATE(2024,9,1),99.5,100.5,3)</f>
        <v>0.0197382651957602</v>
      </c>
      <c r="B9608" s="0" t="s">
        <v>9577</v>
      </c>
    </row>
    <row r="9609" customFormat="false" ht="15" hidden="false" customHeight="false" outlineLevel="0" collapsed="false">
      <c r="A9609" s="0" t="n">
        <f aca="false">PRICEDISC(DATE(2024,3,1),DATE(2024,9,1),0.05,100,3)</f>
        <v>97.4794520547945</v>
      </c>
      <c r="B9609" s="0" t="s">
        <v>9578</v>
      </c>
    </row>
    <row r="9610" customFormat="false" ht="15" hidden="false" customHeight="false" outlineLevel="0" collapsed="false">
      <c r="A9610" s="0" t="n">
        <f aca="false">PRICEDISC(DATE(2024,3,1),DATE(2024,9,1),0.1,105,3)</f>
        <v>99.7068493150685</v>
      </c>
      <c r="B9610" s="0" t="s">
        <v>9579</v>
      </c>
    </row>
    <row r="9611" customFormat="false" ht="15" hidden="false" customHeight="false" outlineLevel="0" collapsed="false">
      <c r="A9611" s="0" t="n">
        <f aca="false">YIELDDISC(DATE(2024,3,1),DATE(2024,9,1),95,100,3)</f>
        <v>0.104405034324943</v>
      </c>
      <c r="B9611" s="0" t="s">
        <v>9580</v>
      </c>
    </row>
    <row r="9612" customFormat="false" ht="15" hidden="false" customHeight="false" outlineLevel="0" collapsed="false">
      <c r="A9612" s="0" t="n">
        <f aca="false">YIELDDISC(DATE(2024,3,1),DATE(2024,9,1),99.5,100.5,3)</f>
        <v>0.0199366397203409</v>
      </c>
      <c r="B9612" s="0" t="s">
        <v>9581</v>
      </c>
    </row>
    <row r="9613" customFormat="false" ht="15" hidden="false" customHeight="false" outlineLevel="0" collapsed="false">
      <c r="A9613" s="0" t="n">
        <f aca="false">RECEIVED(DATE(2024,3,1),DATE(2024,9,1),1000,0.05,3)</f>
        <v>1025.85722315908</v>
      </c>
      <c r="B9613" s="0" t="s">
        <v>9582</v>
      </c>
    </row>
    <row r="9614" customFormat="false" ht="15" hidden="false" customHeight="false" outlineLevel="0" collapsed="false">
      <c r="A9614" s="0" t="n">
        <f aca="false">RECEIVED(DATE(2024,3,1),DATE(2024,9,1),5000,0.12,3)</f>
        <v>5321.94097748746</v>
      </c>
      <c r="B9614" s="0" t="s">
        <v>9583</v>
      </c>
    </row>
    <row r="9615" customFormat="false" ht="15" hidden="false" customHeight="false" outlineLevel="0" collapsed="false">
      <c r="A9615" s="0" t="n">
        <f aca="false">INTRATE(DATE(2024,3,1),DATE(2024,9,1),1000,1050,3)</f>
        <v>0.0991847826086957</v>
      </c>
      <c r="B9615" s="0" t="s">
        <v>9584</v>
      </c>
    </row>
    <row r="9616" customFormat="false" ht="15" hidden="false" customHeight="false" outlineLevel="0" collapsed="false">
      <c r="A9616" s="0" t="n">
        <f aca="false">INTRATE(DATE(2024,3,1),DATE(2024,9,1),950,1000,3)</f>
        <v>0.104405034324943</v>
      </c>
      <c r="B9616" s="0" t="s">
        <v>9585</v>
      </c>
    </row>
    <row r="9617" customFormat="false" ht="15" hidden="false" customHeight="false" outlineLevel="0" collapsed="false">
      <c r="A9617" s="0" t="n">
        <f aca="false">PRICEMAT(DATE(2024,3,1),DATE(2024,9,1),DATE(2023,10,1),0.05,0.06,3)</f>
        <v>99.4495601604609</v>
      </c>
      <c r="B9617" s="0" t="s">
        <v>9586</v>
      </c>
    </row>
    <row r="9618" customFormat="false" ht="15" hidden="false" customHeight="false" outlineLevel="0" collapsed="false">
      <c r="A9618" s="0" t="n">
        <f aca="false">PRICEMAT(DATE(2024,3,1),DATE(2024,9,1),DATE(2024,1,1),0.1,0.03,3)</f>
        <v>103.451705784836</v>
      </c>
      <c r="B9618" s="0" t="s">
        <v>9587</v>
      </c>
    </row>
    <row r="9619" customFormat="false" ht="15" hidden="false" customHeight="false" outlineLevel="0" collapsed="false">
      <c r="A9619" s="0" t="n">
        <f aca="false">YIELDMAT(DATE(2024,3,1),DATE(2024,9,1),DATE(2023,10,1),0.05,98,3)</f>
        <v>0.0896002689867769</v>
      </c>
      <c r="B9619" s="0" t="s">
        <v>9588</v>
      </c>
    </row>
    <row r="9620" customFormat="false" ht="15" hidden="false" customHeight="false" outlineLevel="0" collapsed="false">
      <c r="A9620" s="0" t="n">
        <f aca="false">YIELDMAT(DATE(2024,3,1),DATE(2024,9,1),DATE(2024,1,1),0.1,101,3)</f>
        <v>0.0780982540225953</v>
      </c>
      <c r="B9620" s="0" t="s">
        <v>9589</v>
      </c>
    </row>
    <row r="9621" customFormat="false" ht="15" hidden="false" customHeight="false" outlineLevel="0" collapsed="false">
      <c r="A9621" s="0" t="n">
        <f aca="false">ACCRINTM(DATE(2023,10,1),DATE(2024,9,1),0.05,1000,3)</f>
        <v>46.027397260274</v>
      </c>
      <c r="B9621" s="0" t="s">
        <v>9590</v>
      </c>
    </row>
    <row r="9622" customFormat="false" ht="15" hidden="false" customHeight="false" outlineLevel="0" collapsed="false">
      <c r="A9622" s="0" t="n">
        <f aca="false">ACCRINTM(DATE(2024,1,1),DATE(2024,3,1),0.08,5000,3)</f>
        <v>65.7534246575342</v>
      </c>
      <c r="B9622" s="0" t="s">
        <v>9591</v>
      </c>
    </row>
    <row r="9623" customFormat="false" ht="15" hidden="false" customHeight="false" outlineLevel="0" collapsed="false">
      <c r="A9623" s="0" t="n">
        <f aca="false">DISC(DATE(2024,3,1),DATE(2024,9,1),95,100,4)</f>
        <v>0.1</v>
      </c>
      <c r="B9623" s="0" t="s">
        <v>9592</v>
      </c>
    </row>
    <row r="9624" customFormat="false" ht="15" hidden="false" customHeight="false" outlineLevel="0" collapsed="false">
      <c r="A9624" s="0" t="n">
        <f aca="false">DISC(DATE(2024,3,1),DATE(2024,9,1),100,100,4)</f>
        <v>0</v>
      </c>
      <c r="B9624" s="0" t="s">
        <v>9593</v>
      </c>
    </row>
    <row r="9625" customFormat="false" ht="15" hidden="false" customHeight="false" outlineLevel="0" collapsed="false">
      <c r="A9625" s="0" t="n">
        <f aca="false">DISC(DATE(2024,3,1),DATE(2024,9,1),99.5,100.5,4)</f>
        <v>0.0199004975124377</v>
      </c>
      <c r="B9625" s="0" t="s">
        <v>9594</v>
      </c>
    </row>
    <row r="9626" customFormat="false" ht="15" hidden="false" customHeight="false" outlineLevel="0" collapsed="false">
      <c r="A9626" s="0" t="n">
        <f aca="false">PRICEDISC(DATE(2024,3,1),DATE(2024,9,1),0.05,100,4)</f>
        <v>97.5</v>
      </c>
      <c r="B9626" s="0" t="s">
        <v>9595</v>
      </c>
    </row>
    <row r="9627" customFormat="false" ht="15" hidden="false" customHeight="false" outlineLevel="0" collapsed="false">
      <c r="A9627" s="0" t="n">
        <f aca="false">PRICEDISC(DATE(2024,3,1),DATE(2024,9,1),0.1,105,4)</f>
        <v>99.75</v>
      </c>
      <c r="B9627" s="0" t="s">
        <v>9596</v>
      </c>
    </row>
    <row r="9628" customFormat="false" ht="15" hidden="false" customHeight="false" outlineLevel="0" collapsed="false">
      <c r="A9628" s="0" t="n">
        <f aca="false">YIELDDISC(DATE(2024,3,1),DATE(2024,9,1),95,100,4)</f>
        <v>0.105263157894737</v>
      </c>
      <c r="B9628" s="0" t="s">
        <v>9597</v>
      </c>
    </row>
    <row r="9629" customFormat="false" ht="15" hidden="false" customHeight="false" outlineLevel="0" collapsed="false">
      <c r="A9629" s="0" t="n">
        <f aca="false">YIELDDISC(DATE(2024,3,1),DATE(2024,9,1),99.5,100.5,4)</f>
        <v>0.0201005025125629</v>
      </c>
      <c r="B9629" s="0" t="s">
        <v>9598</v>
      </c>
    </row>
    <row r="9630" customFormat="false" ht="15" hidden="false" customHeight="false" outlineLevel="0" collapsed="false">
      <c r="A9630" s="0" t="n">
        <f aca="false">RECEIVED(DATE(2024,3,1),DATE(2024,9,1),1000,0.05,4)</f>
        <v>1025.64102564103</v>
      </c>
      <c r="B9630" s="0" t="s">
        <v>9599</v>
      </c>
    </row>
    <row r="9631" customFormat="false" ht="15" hidden="false" customHeight="false" outlineLevel="0" collapsed="false">
      <c r="A9631" s="0" t="n">
        <f aca="false">RECEIVED(DATE(2024,3,1),DATE(2024,9,1),5000,0.12,4)</f>
        <v>5319.14893617021</v>
      </c>
      <c r="B9631" s="0" t="s">
        <v>9600</v>
      </c>
    </row>
    <row r="9632" customFormat="false" ht="15" hidden="false" customHeight="false" outlineLevel="0" collapsed="false">
      <c r="A9632" s="0" t="n">
        <f aca="false">INTRATE(DATE(2024,3,1),DATE(2024,9,1),1000,1050,4)</f>
        <v>0.1</v>
      </c>
      <c r="B9632" s="0" t="s">
        <v>9601</v>
      </c>
    </row>
    <row r="9633" customFormat="false" ht="15" hidden="false" customHeight="false" outlineLevel="0" collapsed="false">
      <c r="A9633" s="0" t="n">
        <f aca="false">INTRATE(DATE(2024,3,1),DATE(2024,9,1),950,1000,4)</f>
        <v>0.105263157894737</v>
      </c>
      <c r="B9633" s="0" t="s">
        <v>9602</v>
      </c>
    </row>
    <row r="9634" customFormat="false" ht="15" hidden="false" customHeight="false" outlineLevel="0" collapsed="false">
      <c r="A9634" s="0" t="n">
        <f aca="false">PRICEMAT(DATE(2024,3,1),DATE(2024,9,1),DATE(2023,10,1),0.05,0.06,4)</f>
        <v>99.4538834951456</v>
      </c>
      <c r="B9634" s="0" t="s">
        <v>9603</v>
      </c>
    </row>
    <row r="9635" customFormat="false" ht="15" hidden="false" customHeight="false" outlineLevel="0" collapsed="false">
      <c r="A9635" s="0" t="n">
        <f aca="false">PRICEMAT(DATE(2024,3,1),DATE(2024,9,1),DATE(2024,1,1),0.1,0.03,4)</f>
        <v>103.423645320197</v>
      </c>
      <c r="B9635" s="0" t="s">
        <v>9604</v>
      </c>
    </row>
    <row r="9636" customFormat="false" ht="15" hidden="false" customHeight="false" outlineLevel="0" collapsed="false">
      <c r="A9636" s="0" t="n">
        <f aca="false">YIELDMAT(DATE(2024,3,1),DATE(2024,9,1),DATE(2023,10,1),0.05,98,4)</f>
        <v>0.0899250624479602</v>
      </c>
      <c r="B9636" s="0" t="s">
        <v>9605</v>
      </c>
    </row>
    <row r="9637" customFormat="false" ht="15" hidden="false" customHeight="false" outlineLevel="0" collapsed="false">
      <c r="A9637" s="0" t="n">
        <f aca="false">YIELDMAT(DATE(2024,3,1),DATE(2024,9,1),DATE(2024,1,1),0.1,101,4)</f>
        <v>0.0779220779220782</v>
      </c>
      <c r="B9637" s="0" t="s">
        <v>9606</v>
      </c>
    </row>
    <row r="9638" customFormat="false" ht="15" hidden="false" customHeight="false" outlineLevel="0" collapsed="false">
      <c r="A9638" s="0" t="n">
        <f aca="false">ACCRINTM(DATE(2023,10,1),DATE(2024,9,1),0.05,1000,4)</f>
        <v>45.8333333333333</v>
      </c>
      <c r="B9638" s="0" t="s">
        <v>9607</v>
      </c>
    </row>
    <row r="9639" customFormat="false" ht="15" hidden="false" customHeight="false" outlineLevel="0" collapsed="false">
      <c r="A9639" s="0" t="n">
        <f aca="false">ACCRINTM(DATE(2024,1,1),DATE(2024,3,1),0.08,5000,4)</f>
        <v>66.6666666666667</v>
      </c>
      <c r="B9639" s="0" t="s">
        <v>9608</v>
      </c>
    </row>
    <row r="9640" customFormat="false" ht="15" hidden="false" customHeight="false" outlineLevel="0" collapsed="false">
      <c r="A9640" s="0" t="n">
        <f aca="false">TBILLPRICE(DATE(2024,3,1),DATE(2024,9,1),0.05)</f>
        <v>97.4861111111111</v>
      </c>
      <c r="B9640" s="0" t="s">
        <v>9609</v>
      </c>
    </row>
    <row r="9641" customFormat="false" ht="15" hidden="false" customHeight="false" outlineLevel="0" collapsed="false">
      <c r="A9641" s="0" t="n">
        <f aca="false">TBILLYIELD(DATE(2024,3,1),DATE(2024,9,1),98)</f>
        <v>0.0405908219641448</v>
      </c>
      <c r="B9641" s="0" t="s">
        <v>9610</v>
      </c>
    </row>
    <row r="9642" customFormat="false" ht="15" hidden="false" customHeight="false" outlineLevel="0" collapsed="false">
      <c r="A9642" s="0" t="n">
        <f aca="false">TBILLEQ(DATE(2024,3,1),DATE(2024,9,1),0.05)</f>
        <v>0.0520017096452486</v>
      </c>
      <c r="B9642" s="0" t="s">
        <v>9611</v>
      </c>
    </row>
    <row r="9643" customFormat="false" ht="15" hidden="false" customHeight="false" outlineLevel="0" collapsed="false">
      <c r="A9643" s="0" t="n">
        <f aca="false">TBILLEQ(DATE(2024,3,1),DATE(2024,9,1),0.12)</f>
        <v>0.129478538488826</v>
      </c>
      <c r="B9643" s="0" t="s">
        <v>9612</v>
      </c>
    </row>
    <row r="9644" customFormat="false" ht="15" hidden="false" customHeight="false" outlineLevel="0" collapsed="false">
      <c r="A9644" s="0" t="n">
        <f aca="false">DISC(DATE(2020,2,29),DATE(2024,2,29),95,100,0)</f>
        <v>0.0125</v>
      </c>
      <c r="B9644" s="0" t="s">
        <v>9613</v>
      </c>
    </row>
    <row r="9645" customFormat="false" ht="15" hidden="false" customHeight="false" outlineLevel="0" collapsed="false">
      <c r="A9645" s="0" t="n">
        <f aca="false">DISC(DATE(2020,2,29),DATE(2024,2,29),100,100,0)</f>
        <v>0</v>
      </c>
      <c r="B9645" s="0" t="s">
        <v>9614</v>
      </c>
    </row>
    <row r="9646" customFormat="false" ht="15" hidden="false" customHeight="false" outlineLevel="0" collapsed="false">
      <c r="A9646" s="0" t="n">
        <f aca="false">DISC(DATE(2020,2,29),DATE(2024,2,29),99.5,100.5,0)</f>
        <v>0.00248756218905472</v>
      </c>
      <c r="B9646" s="0" t="s">
        <v>9615</v>
      </c>
    </row>
    <row r="9647" customFormat="false" ht="15" hidden="false" customHeight="false" outlineLevel="0" collapsed="false">
      <c r="A9647" s="0" t="n">
        <f aca="false">PRICEDISC(DATE(2020,2,29),DATE(2024,2,29),0.05,100,0)</f>
        <v>80</v>
      </c>
      <c r="B9647" s="0" t="s">
        <v>9616</v>
      </c>
    </row>
    <row r="9648" customFormat="false" ht="15" hidden="false" customHeight="false" outlineLevel="0" collapsed="false">
      <c r="A9648" s="0" t="n">
        <f aca="false">PRICEDISC(DATE(2020,2,29),DATE(2024,2,29),0.1,105,0)</f>
        <v>63</v>
      </c>
      <c r="B9648" s="0" t="s">
        <v>9617</v>
      </c>
    </row>
    <row r="9649" customFormat="false" ht="15" hidden="false" customHeight="false" outlineLevel="0" collapsed="false">
      <c r="A9649" s="0" t="n">
        <f aca="false">YIELDDISC(DATE(2020,2,29),DATE(2024,2,29),95,100,0)</f>
        <v>0.0131578947368421</v>
      </c>
      <c r="B9649" s="0" t="s">
        <v>9618</v>
      </c>
    </row>
    <row r="9650" customFormat="false" ht="15" hidden="false" customHeight="false" outlineLevel="0" collapsed="false">
      <c r="A9650" s="0" t="n">
        <f aca="false">YIELDDISC(DATE(2020,2,29),DATE(2024,2,29),99.5,100.5,0)</f>
        <v>0.00251256281407036</v>
      </c>
      <c r="B9650" s="0" t="s">
        <v>9619</v>
      </c>
    </row>
    <row r="9651" customFormat="false" ht="15" hidden="false" customHeight="false" outlineLevel="0" collapsed="false">
      <c r="A9651" s="0" t="n">
        <f aca="false">RECEIVED(DATE(2020,2,29),DATE(2024,2,29),1000,0.05,0)</f>
        <v>1250</v>
      </c>
      <c r="B9651" s="0" t="s">
        <v>9620</v>
      </c>
    </row>
    <row r="9652" customFormat="false" ht="15" hidden="false" customHeight="false" outlineLevel="0" collapsed="false">
      <c r="A9652" s="0" t="n">
        <f aca="false">RECEIVED(DATE(2020,2,29),DATE(2024,2,29),5000,0.12,0)</f>
        <v>9615.38461538462</v>
      </c>
      <c r="B9652" s="0" t="s">
        <v>9621</v>
      </c>
    </row>
    <row r="9653" customFormat="false" ht="15" hidden="false" customHeight="false" outlineLevel="0" collapsed="false">
      <c r="A9653" s="0" t="n">
        <f aca="false">INTRATE(DATE(2020,2,29),DATE(2024,2,29),1000,1050,0)</f>
        <v>0.0125</v>
      </c>
      <c r="B9653" s="0" t="s">
        <v>9622</v>
      </c>
    </row>
    <row r="9654" customFormat="false" ht="15" hidden="false" customHeight="false" outlineLevel="0" collapsed="false">
      <c r="A9654" s="0" t="n">
        <f aca="false">INTRATE(DATE(2020,2,29),DATE(2024,2,29),950,1000,0)</f>
        <v>0.0131578947368421</v>
      </c>
      <c r="B9654" s="0" t="s">
        <v>9623</v>
      </c>
    </row>
    <row r="9655" customFormat="false" ht="15" hidden="false" customHeight="false" outlineLevel="0" collapsed="false">
      <c r="A9655" s="0" t="n">
        <f aca="false">PRICEMAT(DATE(2020,2,29),DATE(2024,2,29),DATE(2023,10,1),0.05,0.06,0)</f>
        <v>64.372311827957</v>
      </c>
      <c r="B9655" s="0" t="s">
        <v>9624</v>
      </c>
    </row>
    <row r="9656" customFormat="false" ht="15" hidden="false" customHeight="false" outlineLevel="0" collapsed="false">
      <c r="A9656" s="0" t="n">
        <f aca="false">PRICEMAT(DATE(2020,2,29),DATE(2024,2,29),DATE(2024,1,1),0.1,0.03,0)</f>
        <v>52.3630952380952</v>
      </c>
      <c r="B9656" s="0" t="s">
        <v>9625</v>
      </c>
    </row>
    <row r="9657" customFormat="false" ht="15" hidden="false" customHeight="false" outlineLevel="0" collapsed="false">
      <c r="A9657" s="0" t="e">
        <f aca="false">YIELDMAT(DATE(2020,2,29),DATE(2024,2,29),DATE(2023,10,1),0.05,98,0)</f>
        <v>#VALUE!</v>
      </c>
      <c r="B9657" s="0" t="s">
        <v>9626</v>
      </c>
    </row>
    <row r="9658" customFormat="false" ht="15" hidden="false" customHeight="false" outlineLevel="0" collapsed="false">
      <c r="A9658" s="0" t="e">
        <f aca="false">YIELDMAT(DATE(2020,2,29),DATE(2024,2,29),DATE(2024,1,1),0.1,101,0)</f>
        <v>#VALUE!</v>
      </c>
      <c r="B9658" s="0" t="s">
        <v>9627</v>
      </c>
    </row>
    <row r="9659" customFormat="false" ht="15" hidden="false" customHeight="false" outlineLevel="0" collapsed="false">
      <c r="A9659" s="0" t="n">
        <f aca="false">ACCRINTM(DATE(2023,10,1),DATE(2024,2,29),0.05,1000,0)</f>
        <v>20.5555555555556</v>
      </c>
      <c r="B9659" s="0" t="s">
        <v>9099</v>
      </c>
    </row>
    <row r="9660" customFormat="false" ht="15" hidden="false" customHeight="false" outlineLevel="0" collapsed="false">
      <c r="A9660" s="0" t="e">
        <f aca="false">ACCRINTM(DATE(2024,1,1),DATE(2020,2,29),0.08,5000,0)</f>
        <v>#VALUE!</v>
      </c>
      <c r="B9660" s="0" t="s">
        <v>9628</v>
      </c>
    </row>
    <row r="9661" customFormat="false" ht="15" hidden="false" customHeight="false" outlineLevel="0" collapsed="false">
      <c r="A9661" s="0" t="n">
        <f aca="false">DISC(DATE(2020,2,29),DATE(2024,2,29),95,100,1)</f>
        <v>0.0125051334702259</v>
      </c>
      <c r="B9661" s="0" t="s">
        <v>9629</v>
      </c>
    </row>
    <row r="9662" customFormat="false" ht="15" hidden="false" customHeight="false" outlineLevel="0" collapsed="false">
      <c r="A9662" s="0" t="n">
        <f aca="false">DISC(DATE(2020,2,29),DATE(2024,2,29),100,100,1)</f>
        <v>0</v>
      </c>
      <c r="B9662" s="0" t="s">
        <v>9630</v>
      </c>
    </row>
    <row r="9663" customFormat="false" ht="15" hidden="false" customHeight="false" outlineLevel="0" collapsed="false">
      <c r="A9663" s="0" t="n">
        <f aca="false">DISC(DATE(2020,2,29),DATE(2024,2,29),99.5,100.5,1)</f>
        <v>0.00248858377516932</v>
      </c>
      <c r="B9663" s="0" t="s">
        <v>9631</v>
      </c>
    </row>
    <row r="9664" customFormat="false" ht="15" hidden="false" customHeight="false" outlineLevel="0" collapsed="false">
      <c r="A9664" s="0" t="n">
        <f aca="false">PRICEDISC(DATE(2020,2,29),DATE(2024,2,29),0.05,100,1)</f>
        <v>80.0409836065574</v>
      </c>
      <c r="B9664" s="0" t="s">
        <v>9632</v>
      </c>
    </row>
    <row r="9665" customFormat="false" ht="15" hidden="false" customHeight="false" outlineLevel="0" collapsed="false">
      <c r="A9665" s="0" t="n">
        <f aca="false">PRICEDISC(DATE(2020,2,29),DATE(2024,2,29),0.1,105,1)</f>
        <v>63.0860655737705</v>
      </c>
      <c r="B9665" s="0" t="s">
        <v>9633</v>
      </c>
    </row>
    <row r="9666" customFormat="false" ht="15" hidden="false" customHeight="false" outlineLevel="0" collapsed="false">
      <c r="A9666" s="0" t="n">
        <f aca="false">YIELDDISC(DATE(2020,2,29),DATE(2024,2,29),95,100,1)</f>
        <v>0.0131632983897114</v>
      </c>
      <c r="B9666" s="0" t="s">
        <v>9634</v>
      </c>
    </row>
    <row r="9667" customFormat="false" ht="15" hidden="false" customHeight="false" outlineLevel="0" collapsed="false">
      <c r="A9667" s="0" t="n">
        <f aca="false">YIELDDISC(DATE(2020,2,29),DATE(2024,2,29),99.5,100.5,1)</f>
        <v>0.0025135946673821</v>
      </c>
      <c r="B9667" s="0" t="s">
        <v>9635</v>
      </c>
    </row>
    <row r="9668" customFormat="false" ht="15" hidden="false" customHeight="false" outlineLevel="0" collapsed="false">
      <c r="A9668" s="0" t="n">
        <f aca="false">RECEIVED(DATE(2020,2,29),DATE(2024,2,29),1000,0.05,1)</f>
        <v>1249.35995903738</v>
      </c>
      <c r="B9668" s="0" t="s">
        <v>9636</v>
      </c>
    </row>
    <row r="9669" customFormat="false" ht="15" hidden="false" customHeight="false" outlineLevel="0" collapsed="false">
      <c r="A9669" s="0" t="n">
        <f aca="false">RECEIVED(DATE(2020,2,29),DATE(2024,2,29),5000,0.12,1)</f>
        <v>9597.23096286973</v>
      </c>
      <c r="B9669" s="0" t="s">
        <v>9637</v>
      </c>
    </row>
    <row r="9670" customFormat="false" ht="15" hidden="false" customHeight="false" outlineLevel="0" collapsed="false">
      <c r="A9670" s="0" t="n">
        <f aca="false">INTRATE(DATE(2020,2,29),DATE(2024,2,29),1000,1050,1)</f>
        <v>0.0125256673511294</v>
      </c>
      <c r="B9670" s="0" t="s">
        <v>9638</v>
      </c>
    </row>
    <row r="9671" customFormat="false" ht="15" hidden="false" customHeight="false" outlineLevel="0" collapsed="false">
      <c r="A9671" s="0" t="n">
        <f aca="false">INTRATE(DATE(2020,2,29),DATE(2024,2,29),950,1000,1)</f>
        <v>0.0131849130011888</v>
      </c>
      <c r="B9671" s="0" t="s">
        <v>9639</v>
      </c>
    </row>
    <row r="9672" customFormat="false" ht="15" hidden="false" customHeight="false" outlineLevel="0" collapsed="false">
      <c r="A9672" s="0" t="n">
        <f aca="false">PRICEMAT(DATE(2020,2,29),DATE(2024,2,29),DATE(2023,10,1),0.05,0.06,1)</f>
        <v>64.382360739601</v>
      </c>
      <c r="B9672" s="0" t="s">
        <v>9640</v>
      </c>
    </row>
    <row r="9673" customFormat="false" ht="15" hidden="false" customHeight="false" outlineLevel="0" collapsed="false">
      <c r="A9673" s="0" t="n">
        <f aca="false">PRICEMAT(DATE(2020,2,29),DATE(2024,2,29),DATE(2024,1,1),0.1,0.03,1)</f>
        <v>52.360099277373</v>
      </c>
      <c r="B9673" s="0" t="s">
        <v>9641</v>
      </c>
    </row>
    <row r="9674" customFormat="false" ht="15" hidden="false" customHeight="false" outlineLevel="0" collapsed="false">
      <c r="A9674" s="0" t="e">
        <f aca="false">YIELDMAT(DATE(2020,2,29),DATE(2024,2,29),DATE(2023,10,1),0.05,98,1)</f>
        <v>#VALUE!</v>
      </c>
      <c r="B9674" s="0" t="s">
        <v>9642</v>
      </c>
    </row>
    <row r="9675" customFormat="false" ht="15" hidden="false" customHeight="false" outlineLevel="0" collapsed="false">
      <c r="A9675" s="0" t="e">
        <f aca="false">YIELDMAT(DATE(2020,2,29),DATE(2024,2,29),DATE(2024,1,1),0.1,101,1)</f>
        <v>#VALUE!</v>
      </c>
      <c r="B9675" s="0" t="s">
        <v>9643</v>
      </c>
    </row>
    <row r="9676" customFormat="false" ht="15" hidden="false" customHeight="false" outlineLevel="0" collapsed="false">
      <c r="A9676" s="0" t="n">
        <f aca="false">ACCRINTM(DATE(2023,10,1),DATE(2024,2,29),0.05,1000,1)</f>
        <v>20.6849315068493</v>
      </c>
      <c r="B9676" s="0" t="s">
        <v>9116</v>
      </c>
    </row>
    <row r="9677" customFormat="false" ht="15" hidden="false" customHeight="false" outlineLevel="0" collapsed="false">
      <c r="A9677" s="0" t="e">
        <f aca="false">ACCRINTM(DATE(2024,1,1),DATE(2020,2,29),0.08,5000,1)</f>
        <v>#VALUE!</v>
      </c>
      <c r="B9677" s="0" t="s">
        <v>9644</v>
      </c>
    </row>
    <row r="9678" customFormat="false" ht="15" hidden="false" customHeight="false" outlineLevel="0" collapsed="false">
      <c r="A9678" s="0" t="n">
        <f aca="false">DISC(DATE(2020,2,29),DATE(2024,2,29),95,100,2)</f>
        <v>0.0123203285420945</v>
      </c>
      <c r="B9678" s="0" t="s">
        <v>9645</v>
      </c>
    </row>
    <row r="9679" customFormat="false" ht="15" hidden="false" customHeight="false" outlineLevel="0" collapsed="false">
      <c r="A9679" s="0" t="n">
        <f aca="false">DISC(DATE(2020,2,29),DATE(2024,2,29),100,100,2)</f>
        <v>0</v>
      </c>
      <c r="B9679" s="0" t="s">
        <v>9646</v>
      </c>
    </row>
    <row r="9680" customFormat="false" ht="15" hidden="false" customHeight="false" outlineLevel="0" collapsed="false">
      <c r="A9680" s="0" t="n">
        <f aca="false">DISC(DATE(2020,2,29),DATE(2024,2,29),99.5,100.5,2)</f>
        <v>0.00245180667504366</v>
      </c>
      <c r="B9680" s="0" t="s">
        <v>9647</v>
      </c>
    </row>
    <row r="9681" customFormat="false" ht="15" hidden="false" customHeight="false" outlineLevel="0" collapsed="false">
      <c r="A9681" s="0" t="n">
        <f aca="false">PRICEDISC(DATE(2020,2,29),DATE(2024,2,29),0.05,100,2)</f>
        <v>79.7083333333333</v>
      </c>
      <c r="B9681" s="0" t="s">
        <v>9648</v>
      </c>
    </row>
    <row r="9682" customFormat="false" ht="15" hidden="false" customHeight="false" outlineLevel="0" collapsed="false">
      <c r="A9682" s="0" t="n">
        <f aca="false">PRICEDISC(DATE(2020,2,29),DATE(2024,2,29),0.1,105,2)</f>
        <v>62.3875</v>
      </c>
      <c r="B9682" s="0" t="s">
        <v>9649</v>
      </c>
    </row>
    <row r="9683" customFormat="false" ht="15" hidden="false" customHeight="false" outlineLevel="0" collapsed="false">
      <c r="A9683" s="0" t="n">
        <f aca="false">YIELDDISC(DATE(2020,2,29),DATE(2024,2,29),95,100,2)</f>
        <v>0.0129687668864152</v>
      </c>
      <c r="B9683" s="0" t="s">
        <v>9650</v>
      </c>
    </row>
    <row r="9684" customFormat="false" ht="15" hidden="false" customHeight="false" outlineLevel="0" collapsed="false">
      <c r="A9684" s="0" t="n">
        <f aca="false">YIELDDISC(DATE(2020,2,29),DATE(2024,2,29),99.5,100.5,2)</f>
        <v>0.0024764479481597</v>
      </c>
      <c r="B9684" s="0" t="s">
        <v>9651</v>
      </c>
    </row>
    <row r="9685" customFormat="false" ht="15" hidden="false" customHeight="false" outlineLevel="0" collapsed="false">
      <c r="A9685" s="0" t="n">
        <f aca="false">RECEIVED(DATE(2020,2,29),DATE(2024,2,29),1000,0.05,2)</f>
        <v>1254.57396759017</v>
      </c>
      <c r="B9685" s="0" t="s">
        <v>9652</v>
      </c>
    </row>
    <row r="9686" customFormat="false" ht="15" hidden="false" customHeight="false" outlineLevel="0" collapsed="false">
      <c r="A9686" s="0" t="n">
        <f aca="false">RECEIVED(DATE(2020,2,29),DATE(2024,2,29),5000,0.12,2)</f>
        <v>9746.58869395712</v>
      </c>
      <c r="B9686" s="0" t="s">
        <v>9653</v>
      </c>
    </row>
    <row r="9687" customFormat="false" ht="15" hidden="false" customHeight="false" outlineLevel="0" collapsed="false">
      <c r="A9687" s="0" t="n">
        <f aca="false">INTRATE(DATE(2020,2,29),DATE(2024,2,29),1000,1050,2)</f>
        <v>0.0123203285420945</v>
      </c>
      <c r="B9687" s="0" t="s">
        <v>9654</v>
      </c>
    </row>
    <row r="9688" customFormat="false" ht="15" hidden="false" customHeight="false" outlineLevel="0" collapsed="false">
      <c r="A9688" s="0" t="n">
        <f aca="false">INTRATE(DATE(2020,2,29),DATE(2024,2,29),950,1000,2)</f>
        <v>0.0129687668864152</v>
      </c>
      <c r="B9688" s="0" t="s">
        <v>9655</v>
      </c>
    </row>
    <row r="9689" customFormat="false" ht="15" hidden="false" customHeight="false" outlineLevel="0" collapsed="false">
      <c r="A9689" s="0" t="n">
        <f aca="false">PRICEMAT(DATE(2020,2,29),DATE(2024,2,29),DATE(2023,10,1),0.05,0.06,2)</f>
        <v>63.9102778894697</v>
      </c>
      <c r="B9689" s="0" t="s">
        <v>9656</v>
      </c>
    </row>
    <row r="9690" customFormat="false" ht="15" hidden="false" customHeight="false" outlineLevel="0" collapsed="false">
      <c r="A9690" s="0" t="n">
        <f aca="false">PRICEMAT(DATE(2020,2,29),DATE(2024,2,29),DATE(2024,1,1),0.1,0.03,2)</f>
        <v>51.6629893767179</v>
      </c>
      <c r="B9690" s="0" t="s">
        <v>9657</v>
      </c>
    </row>
    <row r="9691" customFormat="false" ht="15" hidden="false" customHeight="false" outlineLevel="0" collapsed="false">
      <c r="A9691" s="0" t="e">
        <f aca="false">YIELDMAT(DATE(2020,2,29),DATE(2024,2,29),DATE(2023,10,1),0.05,98,2)</f>
        <v>#VALUE!</v>
      </c>
      <c r="B9691" s="0" t="s">
        <v>9658</v>
      </c>
    </row>
    <row r="9692" customFormat="false" ht="15" hidden="false" customHeight="false" outlineLevel="0" collapsed="false">
      <c r="A9692" s="0" t="e">
        <f aca="false">YIELDMAT(DATE(2020,2,29),DATE(2024,2,29),DATE(2024,1,1),0.1,101,2)</f>
        <v>#VALUE!</v>
      </c>
      <c r="B9692" s="0" t="s">
        <v>9659</v>
      </c>
    </row>
    <row r="9693" customFormat="false" ht="15" hidden="false" customHeight="false" outlineLevel="0" collapsed="false">
      <c r="A9693" s="0" t="n">
        <f aca="false">ACCRINTM(DATE(2023,10,1),DATE(2024,2,29),0.05,1000,2)</f>
        <v>20.9722222222222</v>
      </c>
      <c r="B9693" s="0" t="s">
        <v>9133</v>
      </c>
    </row>
    <row r="9694" customFormat="false" ht="15" hidden="false" customHeight="false" outlineLevel="0" collapsed="false">
      <c r="A9694" s="0" t="e">
        <f aca="false">ACCRINTM(DATE(2024,1,1),DATE(2020,2,29),0.08,5000,2)</f>
        <v>#VALUE!</v>
      </c>
      <c r="B9694" s="0" t="s">
        <v>9660</v>
      </c>
    </row>
    <row r="9695" customFormat="false" ht="15" hidden="false" customHeight="false" outlineLevel="0" collapsed="false">
      <c r="A9695" s="0" t="n">
        <f aca="false">DISC(DATE(2020,2,29),DATE(2024,2,29),95,100,3)</f>
        <v>0.0124914442162902</v>
      </c>
      <c r="B9695" s="0" t="s">
        <v>9661</v>
      </c>
    </row>
    <row r="9696" customFormat="false" ht="15" hidden="false" customHeight="false" outlineLevel="0" collapsed="false">
      <c r="A9696" s="0" t="n">
        <f aca="false">DISC(DATE(2020,2,29),DATE(2024,2,29),100,100,3)</f>
        <v>0</v>
      </c>
      <c r="B9696" s="0" t="s">
        <v>9662</v>
      </c>
    </row>
    <row r="9697" customFormat="false" ht="15" hidden="false" customHeight="false" outlineLevel="0" collapsed="false">
      <c r="A9697" s="0" t="n">
        <f aca="false">DISC(DATE(2020,2,29),DATE(2024,2,29),99.5,100.5,3)</f>
        <v>0.00248585954553038</v>
      </c>
      <c r="B9697" s="0" t="s">
        <v>9663</v>
      </c>
    </row>
    <row r="9698" customFormat="false" ht="15" hidden="false" customHeight="false" outlineLevel="0" collapsed="false">
      <c r="A9698" s="0" t="n">
        <f aca="false">PRICEDISC(DATE(2020,2,29),DATE(2024,2,29),0.05,100,3)</f>
        <v>79.986301369863</v>
      </c>
      <c r="B9698" s="0" t="s">
        <v>9664</v>
      </c>
    </row>
    <row r="9699" customFormat="false" ht="15" hidden="false" customHeight="false" outlineLevel="0" collapsed="false">
      <c r="A9699" s="0" t="n">
        <f aca="false">PRICEDISC(DATE(2020,2,29),DATE(2024,2,29),0.1,105,3)</f>
        <v>62.9712328767123</v>
      </c>
      <c r="B9699" s="0" t="s">
        <v>9665</v>
      </c>
    </row>
    <row r="9700" customFormat="false" ht="15" hidden="false" customHeight="false" outlineLevel="0" collapsed="false">
      <c r="A9700" s="0" t="n">
        <f aca="false">YIELDDISC(DATE(2020,2,29),DATE(2024,2,29),95,100,3)</f>
        <v>0.0131488886487265</v>
      </c>
      <c r="B9700" s="0" t="s">
        <v>9666</v>
      </c>
    </row>
    <row r="9701" customFormat="false" ht="15" hidden="false" customHeight="false" outlineLevel="0" collapsed="false">
      <c r="A9701" s="0" t="n">
        <f aca="false">YIELDDISC(DATE(2020,2,29),DATE(2024,2,29),99.5,100.5,3)</f>
        <v>0.00251084305855081</v>
      </c>
      <c r="B9701" s="0" t="s">
        <v>9667</v>
      </c>
    </row>
    <row r="9702" customFormat="false" ht="15" hidden="false" customHeight="false" outlineLevel="0" collapsed="false">
      <c r="A9702" s="0" t="n">
        <f aca="false">RECEIVED(DATE(2020,2,29),DATE(2024,2,29),1000,0.05,3)</f>
        <v>1250.21407775304</v>
      </c>
      <c r="B9702" s="0" t="s">
        <v>9668</v>
      </c>
    </row>
    <row r="9703" customFormat="false" ht="15" hidden="false" customHeight="false" outlineLevel="0" collapsed="false">
      <c r="A9703" s="0" t="n">
        <f aca="false">RECEIVED(DATE(2020,2,29),DATE(2024,2,29),5000,0.12,3)</f>
        <v>9621.46773513286</v>
      </c>
      <c r="B9703" s="0" t="s">
        <v>9669</v>
      </c>
    </row>
    <row r="9704" customFormat="false" ht="15" hidden="false" customHeight="false" outlineLevel="0" collapsed="false">
      <c r="A9704" s="0" t="n">
        <f aca="false">INTRATE(DATE(2020,2,29),DATE(2024,2,29),1000,1050,3)</f>
        <v>0.0124914442162902</v>
      </c>
      <c r="B9704" s="0" t="s">
        <v>9670</v>
      </c>
    </row>
    <row r="9705" customFormat="false" ht="15" hidden="false" customHeight="false" outlineLevel="0" collapsed="false">
      <c r="A9705" s="0" t="n">
        <f aca="false">INTRATE(DATE(2020,2,29),DATE(2024,2,29),950,1000,3)</f>
        <v>0.0131488886487265</v>
      </c>
      <c r="B9705" s="0" t="s">
        <v>9671</v>
      </c>
    </row>
    <row r="9706" customFormat="false" ht="15" hidden="false" customHeight="false" outlineLevel="0" collapsed="false">
      <c r="A9706" s="0" t="n">
        <f aca="false">PRICEMAT(DATE(2020,2,29),DATE(2024,2,29),DATE(2023,10,1),0.05,0.06,3)</f>
        <v>64.3571848355747</v>
      </c>
      <c r="B9706" s="0" t="s">
        <v>9672</v>
      </c>
    </row>
    <row r="9707" customFormat="false" ht="15" hidden="false" customHeight="false" outlineLevel="0" collapsed="false">
      <c r="A9707" s="0" t="n">
        <f aca="false">PRICEMAT(DATE(2020,2,29),DATE(2024,2,29),DATE(2024,1,1),0.1,0.03,3)</f>
        <v>52.3113462104857</v>
      </c>
      <c r="B9707" s="0" t="s">
        <v>9673</v>
      </c>
    </row>
    <row r="9708" customFormat="false" ht="15" hidden="false" customHeight="false" outlineLevel="0" collapsed="false">
      <c r="A9708" s="0" t="e">
        <f aca="false">YIELDMAT(DATE(2020,2,29),DATE(2024,2,29),DATE(2023,10,1),0.05,98,3)</f>
        <v>#VALUE!</v>
      </c>
      <c r="B9708" s="0" t="s">
        <v>9674</v>
      </c>
    </row>
    <row r="9709" customFormat="false" ht="15" hidden="false" customHeight="false" outlineLevel="0" collapsed="false">
      <c r="A9709" s="0" t="e">
        <f aca="false">YIELDMAT(DATE(2020,2,29),DATE(2024,2,29),DATE(2024,1,1),0.1,101,3)</f>
        <v>#VALUE!</v>
      </c>
      <c r="B9709" s="0" t="s">
        <v>9675</v>
      </c>
    </row>
    <row r="9710" customFormat="false" ht="15" hidden="false" customHeight="false" outlineLevel="0" collapsed="false">
      <c r="A9710" s="0" t="n">
        <f aca="false">ACCRINTM(DATE(2023,10,1),DATE(2024,2,29),0.05,1000,3)</f>
        <v>20.6849315068493</v>
      </c>
      <c r="B9710" s="0" t="s">
        <v>9150</v>
      </c>
    </row>
    <row r="9711" customFormat="false" ht="15" hidden="false" customHeight="false" outlineLevel="0" collapsed="false">
      <c r="A9711" s="0" t="e">
        <f aca="false">ACCRINTM(DATE(2024,1,1),DATE(2020,2,29),0.08,5000,3)</f>
        <v>#VALUE!</v>
      </c>
      <c r="B9711" s="0" t="s">
        <v>9676</v>
      </c>
    </row>
    <row r="9712" customFormat="false" ht="15" hidden="false" customHeight="false" outlineLevel="0" collapsed="false">
      <c r="A9712" s="0" t="n">
        <f aca="false">DISC(DATE(2020,2,29),DATE(2024,2,29),95,100,4)</f>
        <v>0.0125</v>
      </c>
      <c r="B9712" s="0" t="s">
        <v>9677</v>
      </c>
    </row>
    <row r="9713" customFormat="false" ht="15" hidden="false" customHeight="false" outlineLevel="0" collapsed="false">
      <c r="A9713" s="0" t="n">
        <f aca="false">DISC(DATE(2020,2,29),DATE(2024,2,29),100,100,4)</f>
        <v>0</v>
      </c>
      <c r="B9713" s="0" t="s">
        <v>9678</v>
      </c>
    </row>
    <row r="9714" customFormat="false" ht="15" hidden="false" customHeight="false" outlineLevel="0" collapsed="false">
      <c r="A9714" s="0" t="n">
        <f aca="false">DISC(DATE(2020,2,29),DATE(2024,2,29),99.5,100.5,4)</f>
        <v>0.00248756218905472</v>
      </c>
      <c r="B9714" s="0" t="s">
        <v>9679</v>
      </c>
    </row>
    <row r="9715" customFormat="false" ht="15" hidden="false" customHeight="false" outlineLevel="0" collapsed="false">
      <c r="A9715" s="0" t="n">
        <f aca="false">PRICEDISC(DATE(2020,2,29),DATE(2024,2,29),0.05,100,4)</f>
        <v>80</v>
      </c>
      <c r="B9715" s="0" t="s">
        <v>9680</v>
      </c>
    </row>
    <row r="9716" customFormat="false" ht="15" hidden="false" customHeight="false" outlineLevel="0" collapsed="false">
      <c r="A9716" s="0" t="n">
        <f aca="false">PRICEDISC(DATE(2020,2,29),DATE(2024,2,29),0.1,105,4)</f>
        <v>63</v>
      </c>
      <c r="B9716" s="0" t="s">
        <v>9681</v>
      </c>
    </row>
    <row r="9717" customFormat="false" ht="15" hidden="false" customHeight="false" outlineLevel="0" collapsed="false">
      <c r="A9717" s="0" t="n">
        <f aca="false">YIELDDISC(DATE(2020,2,29),DATE(2024,2,29),95,100,4)</f>
        <v>0.0131578947368421</v>
      </c>
      <c r="B9717" s="0" t="s">
        <v>9682</v>
      </c>
    </row>
    <row r="9718" customFormat="false" ht="15" hidden="false" customHeight="false" outlineLevel="0" collapsed="false">
      <c r="A9718" s="0" t="n">
        <f aca="false">YIELDDISC(DATE(2020,2,29),DATE(2024,2,29),99.5,100.5,4)</f>
        <v>0.00251256281407036</v>
      </c>
      <c r="B9718" s="0" t="s">
        <v>9683</v>
      </c>
    </row>
    <row r="9719" customFormat="false" ht="15" hidden="false" customHeight="false" outlineLevel="0" collapsed="false">
      <c r="A9719" s="0" t="n">
        <f aca="false">RECEIVED(DATE(2020,2,29),DATE(2024,2,29),1000,0.05,4)</f>
        <v>1250</v>
      </c>
      <c r="B9719" s="0" t="s">
        <v>9684</v>
      </c>
    </row>
    <row r="9720" customFormat="false" ht="15" hidden="false" customHeight="false" outlineLevel="0" collapsed="false">
      <c r="A9720" s="0" t="n">
        <f aca="false">RECEIVED(DATE(2020,2,29),DATE(2024,2,29),5000,0.12,4)</f>
        <v>9615.38461538462</v>
      </c>
      <c r="B9720" s="0" t="s">
        <v>9685</v>
      </c>
    </row>
    <row r="9721" customFormat="false" ht="15" hidden="false" customHeight="false" outlineLevel="0" collapsed="false">
      <c r="A9721" s="0" t="n">
        <f aca="false">INTRATE(DATE(2020,2,29),DATE(2024,2,29),1000,1050,4)</f>
        <v>0.0125</v>
      </c>
      <c r="B9721" s="0" t="s">
        <v>9686</v>
      </c>
    </row>
    <row r="9722" customFormat="false" ht="15" hidden="false" customHeight="false" outlineLevel="0" collapsed="false">
      <c r="A9722" s="0" t="n">
        <f aca="false">INTRATE(DATE(2020,2,29),DATE(2024,2,29),950,1000,4)</f>
        <v>0.0131578947368421</v>
      </c>
      <c r="B9722" s="0" t="s">
        <v>9687</v>
      </c>
    </row>
    <row r="9723" customFormat="false" ht="15" hidden="false" customHeight="false" outlineLevel="0" collapsed="false">
      <c r="A9723" s="0" t="n">
        <f aca="false">PRICEMAT(DATE(2020,2,29),DATE(2024,2,29),DATE(2023,10,1),0.05,0.06,4)</f>
        <v>64.3584229390681</v>
      </c>
      <c r="B9723" s="0" t="s">
        <v>9688</v>
      </c>
    </row>
    <row r="9724" customFormat="false" ht="15" hidden="false" customHeight="false" outlineLevel="0" collapsed="false">
      <c r="A9724" s="0" t="n">
        <f aca="false">PRICEMAT(DATE(2020,2,29),DATE(2024,2,29),DATE(2024,1,1),0.1,0.03,4)</f>
        <v>52.3353174603175</v>
      </c>
      <c r="B9724" s="0" t="s">
        <v>9689</v>
      </c>
    </row>
    <row r="9725" customFormat="false" ht="15" hidden="false" customHeight="false" outlineLevel="0" collapsed="false">
      <c r="A9725" s="0" t="e">
        <f aca="false">YIELDMAT(DATE(2020,2,29),DATE(2024,2,29),DATE(2023,10,1),0.05,98,4)</f>
        <v>#VALUE!</v>
      </c>
      <c r="B9725" s="0" t="s">
        <v>9690</v>
      </c>
    </row>
    <row r="9726" customFormat="false" ht="15" hidden="false" customHeight="false" outlineLevel="0" collapsed="false">
      <c r="A9726" s="0" t="e">
        <f aca="false">YIELDMAT(DATE(2020,2,29),DATE(2024,2,29),DATE(2024,1,1),0.1,101,4)</f>
        <v>#VALUE!</v>
      </c>
      <c r="B9726" s="0" t="s">
        <v>9691</v>
      </c>
    </row>
    <row r="9727" customFormat="false" ht="15" hidden="false" customHeight="false" outlineLevel="0" collapsed="false">
      <c r="A9727" s="0" t="n">
        <f aca="false">ACCRINTM(DATE(2023,10,1),DATE(2024,2,29),0.05,1000,4)</f>
        <v>20.5555555555556</v>
      </c>
      <c r="B9727" s="0" t="s">
        <v>9167</v>
      </c>
    </row>
    <row r="9728" customFormat="false" ht="15" hidden="false" customHeight="false" outlineLevel="0" collapsed="false">
      <c r="A9728" s="0" t="e">
        <f aca="false">ACCRINTM(DATE(2024,1,1),DATE(2020,2,29),0.08,5000,4)</f>
        <v>#VALUE!</v>
      </c>
      <c r="B9728" s="0" t="s">
        <v>9692</v>
      </c>
    </row>
    <row r="9729" customFormat="false" ht="15" hidden="false" customHeight="false" outlineLevel="0" collapsed="false">
      <c r="A9729" s="0" t="n">
        <f aca="false">TBILLPRICE(DATE(2020,2,29),DATE(2024,2,29),0.05)</f>
        <v>79.9861111111111</v>
      </c>
      <c r="B9729" s="0" t="s">
        <v>9693</v>
      </c>
    </row>
    <row r="9730" customFormat="false" ht="15" hidden="false" customHeight="false" outlineLevel="0" collapsed="false">
      <c r="A9730" s="0" t="e">
        <f aca="false">TBILLYIELD(DATE(2020,2,29),DATE(2024,2,29),98)</f>
        <v>#VALUE!</v>
      </c>
      <c r="B9730" s="0" t="s">
        <v>9694</v>
      </c>
    </row>
    <row r="9731" customFormat="false" ht="15" hidden="false" customHeight="false" outlineLevel="0" collapsed="false">
      <c r="A9731" s="0" t="e">
        <f aca="false">TBILLEQ(DATE(2020,2,29),DATE(2024,2,29),0.05)</f>
        <v>#VALUE!</v>
      </c>
      <c r="B9731" s="0" t="s">
        <v>9695</v>
      </c>
    </row>
    <row r="9732" customFormat="false" ht="15" hidden="false" customHeight="false" outlineLevel="0" collapsed="false">
      <c r="A9732" s="0" t="e">
        <f aca="false">TBILLEQ(DATE(2020,2,29),DATE(2024,2,29),0.12)</f>
        <v>#VALUE!</v>
      </c>
      <c r="B9732" s="0" t="s">
        <v>9696</v>
      </c>
    </row>
    <row r="9733" customFormat="false" ht="15" hidden="false" customHeight="false" outlineLevel="0" collapsed="false">
      <c r="A9733" s="0" t="n">
        <f aca="false">ACCRINT(DATE(2024,1,1),DATE(2024,7,1),DATE(2024,4,15),0.05,1000,1,0)</f>
        <v>14.4444444444444</v>
      </c>
      <c r="B9733" s="0" t="s">
        <v>9697</v>
      </c>
    </row>
    <row r="9734" customFormat="false" ht="15" hidden="false" customHeight="false" outlineLevel="0" collapsed="false">
      <c r="A9734" s="0" t="e">
        <f aca="false">ACCRINT(DATE(2024,1,1),DATE(2024,7,1),DATE(2024,4,15),0.1,100,1,0,TRUE())</f>
        <v>#VALUE!</v>
      </c>
      <c r="B9734" s="0" t="s">
        <v>9698</v>
      </c>
    </row>
    <row r="9735" customFormat="false" ht="15" hidden="false" customHeight="false" outlineLevel="0" collapsed="false">
      <c r="A9735" s="0" t="e">
        <f aca="false">ACCRINT(DATE(2024,1,1),DATE(2024,7,1),DATE(2024,4,15),0.1,100,1,0,FALSE())</f>
        <v>#VALUE!</v>
      </c>
      <c r="B9735" s="0" t="s">
        <v>9699</v>
      </c>
    </row>
    <row r="9736" customFormat="false" ht="15" hidden="false" customHeight="false" outlineLevel="0" collapsed="false">
      <c r="A9736" s="0" t="n">
        <f aca="false">ACCRINT(DATE(2024,1,1),DATE(2024,7,1),DATE(2024,4,15),0.05,1000,1,1)</f>
        <v>14.344262295082</v>
      </c>
      <c r="B9736" s="0" t="s">
        <v>9700</v>
      </c>
    </row>
    <row r="9737" customFormat="false" ht="15" hidden="false" customHeight="false" outlineLevel="0" collapsed="false">
      <c r="A9737" s="0" t="e">
        <f aca="false">ACCRINT(DATE(2024,1,1),DATE(2024,7,1),DATE(2024,4,15),0.1,100,1,1,TRUE())</f>
        <v>#VALUE!</v>
      </c>
      <c r="B9737" s="0" t="s">
        <v>9701</v>
      </c>
    </row>
    <row r="9738" customFormat="false" ht="15" hidden="false" customHeight="false" outlineLevel="0" collapsed="false">
      <c r="A9738" s="0" t="e">
        <f aca="false">ACCRINT(DATE(2024,1,1),DATE(2024,7,1),DATE(2024,4,15),0.1,100,1,1,FALSE())</f>
        <v>#VALUE!</v>
      </c>
      <c r="B9738" s="0" t="s">
        <v>9702</v>
      </c>
    </row>
    <row r="9739" customFormat="false" ht="15" hidden="false" customHeight="false" outlineLevel="0" collapsed="false">
      <c r="A9739" s="0" t="n">
        <f aca="false">ACCRINT(DATE(2024,1,1),DATE(2024,7,1),DATE(2024,4,15),0.05,1000,1,2)</f>
        <v>14.5833333333333</v>
      </c>
      <c r="B9739" s="0" t="s">
        <v>9703</v>
      </c>
    </row>
    <row r="9740" customFormat="false" ht="15" hidden="false" customHeight="false" outlineLevel="0" collapsed="false">
      <c r="A9740" s="0" t="e">
        <f aca="false">ACCRINT(DATE(2024,1,1),DATE(2024,7,1),DATE(2024,4,15),0.1,100,1,2,TRUE())</f>
        <v>#VALUE!</v>
      </c>
      <c r="B9740" s="0" t="s">
        <v>9704</v>
      </c>
    </row>
    <row r="9741" customFormat="false" ht="15" hidden="false" customHeight="false" outlineLevel="0" collapsed="false">
      <c r="A9741" s="0" t="e">
        <f aca="false">ACCRINT(DATE(2024,1,1),DATE(2024,7,1),DATE(2024,4,15),0.1,100,1,2,FALSE())</f>
        <v>#VALUE!</v>
      </c>
      <c r="B9741" s="0" t="s">
        <v>9705</v>
      </c>
    </row>
    <row r="9742" customFormat="false" ht="15" hidden="false" customHeight="false" outlineLevel="0" collapsed="false">
      <c r="A9742" s="0" t="n">
        <f aca="false">ACCRINT(DATE(2024,1,1),DATE(2024,7,1),DATE(2024,4,15),0.05,1000,1,3)</f>
        <v>14.3835616438356</v>
      </c>
      <c r="B9742" s="0" t="s">
        <v>9706</v>
      </c>
    </row>
    <row r="9743" customFormat="false" ht="15" hidden="false" customHeight="false" outlineLevel="0" collapsed="false">
      <c r="A9743" s="0" t="e">
        <f aca="false">ACCRINT(DATE(2024,1,1),DATE(2024,7,1),DATE(2024,4,15),0.1,100,1,3,TRUE())</f>
        <v>#VALUE!</v>
      </c>
      <c r="B9743" s="0" t="s">
        <v>9707</v>
      </c>
    </row>
    <row r="9744" customFormat="false" ht="15" hidden="false" customHeight="false" outlineLevel="0" collapsed="false">
      <c r="A9744" s="0" t="e">
        <f aca="false">ACCRINT(DATE(2024,1,1),DATE(2024,7,1),DATE(2024,4,15),0.1,100,1,3,FALSE())</f>
        <v>#VALUE!</v>
      </c>
      <c r="B9744" s="0" t="s">
        <v>9708</v>
      </c>
    </row>
    <row r="9745" customFormat="false" ht="15" hidden="false" customHeight="false" outlineLevel="0" collapsed="false">
      <c r="A9745" s="0" t="n">
        <f aca="false">ACCRINT(DATE(2024,1,1),DATE(2024,7,1),DATE(2024,4,15),0.05,1000,1,4)</f>
        <v>14.4444444444444</v>
      </c>
      <c r="B9745" s="0" t="s">
        <v>9709</v>
      </c>
    </row>
    <row r="9746" customFormat="false" ht="15" hidden="false" customHeight="false" outlineLevel="0" collapsed="false">
      <c r="A9746" s="0" t="e">
        <f aca="false">ACCRINT(DATE(2024,1,1),DATE(2024,7,1),DATE(2024,4,15),0.1,100,1,4,TRUE())</f>
        <v>#VALUE!</v>
      </c>
      <c r="B9746" s="0" t="s">
        <v>9710</v>
      </c>
    </row>
    <row r="9747" customFormat="false" ht="15" hidden="false" customHeight="false" outlineLevel="0" collapsed="false">
      <c r="A9747" s="0" t="e">
        <f aca="false">ACCRINT(DATE(2024,1,1),DATE(2024,7,1),DATE(2024,4,15),0.1,100,1,4,FALSE())</f>
        <v>#VALUE!</v>
      </c>
      <c r="B9747" s="0" t="s">
        <v>9711</v>
      </c>
    </row>
    <row r="9748" customFormat="false" ht="15" hidden="false" customHeight="false" outlineLevel="0" collapsed="false">
      <c r="A9748" s="0" t="n">
        <f aca="false">ACCRINT(DATE(2024,1,1),DATE(2024,7,1),DATE(2024,4,15),0.05,1000,2,0)</f>
        <v>14.4444444444444</v>
      </c>
      <c r="B9748" s="0" t="s">
        <v>9712</v>
      </c>
    </row>
    <row r="9749" customFormat="false" ht="15" hidden="false" customHeight="false" outlineLevel="0" collapsed="false">
      <c r="A9749" s="0" t="e">
        <f aca="false">ACCRINT(DATE(2024,1,1),DATE(2024,7,1),DATE(2024,4,15),0.1,100,2,0,TRUE())</f>
        <v>#VALUE!</v>
      </c>
      <c r="B9749" s="0" t="s">
        <v>9713</v>
      </c>
    </row>
    <row r="9750" customFormat="false" ht="15" hidden="false" customHeight="false" outlineLevel="0" collapsed="false">
      <c r="A9750" s="0" t="e">
        <f aca="false">ACCRINT(DATE(2024,1,1),DATE(2024,7,1),DATE(2024,4,15),0.1,100,2,0,FALSE())</f>
        <v>#VALUE!</v>
      </c>
      <c r="B9750" s="0" t="s">
        <v>9714</v>
      </c>
    </row>
    <row r="9751" customFormat="false" ht="15" hidden="false" customHeight="false" outlineLevel="0" collapsed="false">
      <c r="A9751" s="0" t="n">
        <f aca="false">ACCRINT(DATE(2024,1,1),DATE(2024,7,1),DATE(2024,4,15),0.05,1000,2,1)</f>
        <v>14.344262295082</v>
      </c>
      <c r="B9751" s="0" t="s">
        <v>9715</v>
      </c>
    </row>
    <row r="9752" customFormat="false" ht="15" hidden="false" customHeight="false" outlineLevel="0" collapsed="false">
      <c r="A9752" s="0" t="e">
        <f aca="false">ACCRINT(DATE(2024,1,1),DATE(2024,7,1),DATE(2024,4,15),0.1,100,2,1,TRUE())</f>
        <v>#VALUE!</v>
      </c>
      <c r="B9752" s="0" t="s">
        <v>9716</v>
      </c>
    </row>
    <row r="9753" customFormat="false" ht="15" hidden="false" customHeight="false" outlineLevel="0" collapsed="false">
      <c r="A9753" s="0" t="e">
        <f aca="false">ACCRINT(DATE(2024,1,1),DATE(2024,7,1),DATE(2024,4,15),0.1,100,2,1,FALSE())</f>
        <v>#VALUE!</v>
      </c>
      <c r="B9753" s="0" t="s">
        <v>9717</v>
      </c>
    </row>
    <row r="9754" customFormat="false" ht="15" hidden="false" customHeight="false" outlineLevel="0" collapsed="false">
      <c r="A9754" s="0" t="n">
        <f aca="false">ACCRINT(DATE(2024,1,1),DATE(2024,7,1),DATE(2024,4,15),0.05,1000,2,2)</f>
        <v>14.5833333333333</v>
      </c>
      <c r="B9754" s="0" t="s">
        <v>9718</v>
      </c>
    </row>
    <row r="9755" customFormat="false" ht="15" hidden="false" customHeight="false" outlineLevel="0" collapsed="false">
      <c r="A9755" s="0" t="e">
        <f aca="false">ACCRINT(DATE(2024,1,1),DATE(2024,7,1),DATE(2024,4,15),0.1,100,2,2,TRUE())</f>
        <v>#VALUE!</v>
      </c>
      <c r="B9755" s="0" t="s">
        <v>9719</v>
      </c>
    </row>
    <row r="9756" customFormat="false" ht="15" hidden="false" customHeight="false" outlineLevel="0" collapsed="false">
      <c r="A9756" s="0" t="e">
        <f aca="false">ACCRINT(DATE(2024,1,1),DATE(2024,7,1),DATE(2024,4,15),0.1,100,2,2,FALSE())</f>
        <v>#VALUE!</v>
      </c>
      <c r="B9756" s="0" t="s">
        <v>9720</v>
      </c>
    </row>
    <row r="9757" customFormat="false" ht="15" hidden="false" customHeight="false" outlineLevel="0" collapsed="false">
      <c r="A9757" s="0" t="n">
        <f aca="false">ACCRINT(DATE(2024,1,1),DATE(2024,7,1),DATE(2024,4,15),0.05,1000,2,3)</f>
        <v>14.3835616438356</v>
      </c>
      <c r="B9757" s="0" t="s">
        <v>9721</v>
      </c>
    </row>
    <row r="9758" customFormat="false" ht="15" hidden="false" customHeight="false" outlineLevel="0" collapsed="false">
      <c r="A9758" s="0" t="e">
        <f aca="false">ACCRINT(DATE(2024,1,1),DATE(2024,7,1),DATE(2024,4,15),0.1,100,2,3,TRUE())</f>
        <v>#VALUE!</v>
      </c>
      <c r="B9758" s="0" t="s">
        <v>9722</v>
      </c>
    </row>
    <row r="9759" customFormat="false" ht="15" hidden="false" customHeight="false" outlineLevel="0" collapsed="false">
      <c r="A9759" s="0" t="e">
        <f aca="false">ACCRINT(DATE(2024,1,1),DATE(2024,7,1),DATE(2024,4,15),0.1,100,2,3,FALSE())</f>
        <v>#VALUE!</v>
      </c>
      <c r="B9759" s="0" t="s">
        <v>9723</v>
      </c>
    </row>
    <row r="9760" customFormat="false" ht="15" hidden="false" customHeight="false" outlineLevel="0" collapsed="false">
      <c r="A9760" s="0" t="n">
        <f aca="false">ACCRINT(DATE(2024,1,1),DATE(2024,7,1),DATE(2024,4,15),0.05,1000,2,4)</f>
        <v>14.4444444444444</v>
      </c>
      <c r="B9760" s="0" t="s">
        <v>9724</v>
      </c>
    </row>
    <row r="9761" customFormat="false" ht="15" hidden="false" customHeight="false" outlineLevel="0" collapsed="false">
      <c r="A9761" s="0" t="e">
        <f aca="false">ACCRINT(DATE(2024,1,1),DATE(2024,7,1),DATE(2024,4,15),0.1,100,2,4,TRUE())</f>
        <v>#VALUE!</v>
      </c>
      <c r="B9761" s="0" t="s">
        <v>9725</v>
      </c>
    </row>
    <row r="9762" customFormat="false" ht="15" hidden="false" customHeight="false" outlineLevel="0" collapsed="false">
      <c r="A9762" s="0" t="e">
        <f aca="false">ACCRINT(DATE(2024,1,1),DATE(2024,7,1),DATE(2024,4,15),0.1,100,2,4,FALSE())</f>
        <v>#VALUE!</v>
      </c>
      <c r="B9762" s="0" t="s">
        <v>9726</v>
      </c>
    </row>
    <row r="9763" customFormat="false" ht="15" hidden="false" customHeight="false" outlineLevel="0" collapsed="false">
      <c r="A9763" s="0" t="n">
        <f aca="false">ACCRINT(DATE(2024,1,1),DATE(2024,7,1),DATE(2024,4,15),0.05,1000,4,0)</f>
        <v>14.4444444444444</v>
      </c>
      <c r="B9763" s="0" t="s">
        <v>9727</v>
      </c>
    </row>
    <row r="9764" customFormat="false" ht="15" hidden="false" customHeight="false" outlineLevel="0" collapsed="false">
      <c r="A9764" s="0" t="e">
        <f aca="false">ACCRINT(DATE(2024,1,1),DATE(2024,7,1),DATE(2024,4,15),0.1,100,4,0,TRUE())</f>
        <v>#VALUE!</v>
      </c>
      <c r="B9764" s="0" t="s">
        <v>9728</v>
      </c>
    </row>
    <row r="9765" customFormat="false" ht="15" hidden="false" customHeight="false" outlineLevel="0" collapsed="false">
      <c r="A9765" s="0" t="e">
        <f aca="false">ACCRINT(DATE(2024,1,1),DATE(2024,7,1),DATE(2024,4,15),0.1,100,4,0,FALSE())</f>
        <v>#VALUE!</v>
      </c>
      <c r="B9765" s="0" t="s">
        <v>9729</v>
      </c>
    </row>
    <row r="9766" customFormat="false" ht="15" hidden="false" customHeight="false" outlineLevel="0" collapsed="false">
      <c r="A9766" s="0" t="n">
        <f aca="false">ACCRINT(DATE(2024,1,1),DATE(2024,7,1),DATE(2024,4,15),0.05,1000,4,1)</f>
        <v>14.344262295082</v>
      </c>
      <c r="B9766" s="0" t="s">
        <v>9730</v>
      </c>
    </row>
    <row r="9767" customFormat="false" ht="15" hidden="false" customHeight="false" outlineLevel="0" collapsed="false">
      <c r="A9767" s="0" t="e">
        <f aca="false">ACCRINT(DATE(2024,1,1),DATE(2024,7,1),DATE(2024,4,15),0.1,100,4,1,TRUE())</f>
        <v>#VALUE!</v>
      </c>
      <c r="B9767" s="0" t="s">
        <v>9731</v>
      </c>
    </row>
    <row r="9768" customFormat="false" ht="15" hidden="false" customHeight="false" outlineLevel="0" collapsed="false">
      <c r="A9768" s="0" t="e">
        <f aca="false">ACCRINT(DATE(2024,1,1),DATE(2024,7,1),DATE(2024,4,15),0.1,100,4,1,FALSE())</f>
        <v>#VALUE!</v>
      </c>
      <c r="B9768" s="0" t="s">
        <v>9732</v>
      </c>
    </row>
    <row r="9769" customFormat="false" ht="15" hidden="false" customHeight="false" outlineLevel="0" collapsed="false">
      <c r="A9769" s="0" t="n">
        <f aca="false">ACCRINT(DATE(2024,1,1),DATE(2024,7,1),DATE(2024,4,15),0.05,1000,4,2)</f>
        <v>14.5833333333333</v>
      </c>
      <c r="B9769" s="0" t="s">
        <v>9733</v>
      </c>
    </row>
    <row r="9770" customFormat="false" ht="15" hidden="false" customHeight="false" outlineLevel="0" collapsed="false">
      <c r="A9770" s="0" t="e">
        <f aca="false">ACCRINT(DATE(2024,1,1),DATE(2024,7,1),DATE(2024,4,15),0.1,100,4,2,TRUE())</f>
        <v>#VALUE!</v>
      </c>
      <c r="B9770" s="0" t="s">
        <v>9734</v>
      </c>
    </row>
    <row r="9771" customFormat="false" ht="15" hidden="false" customHeight="false" outlineLevel="0" collapsed="false">
      <c r="A9771" s="0" t="e">
        <f aca="false">ACCRINT(DATE(2024,1,1),DATE(2024,7,1),DATE(2024,4,15),0.1,100,4,2,FALSE())</f>
        <v>#VALUE!</v>
      </c>
      <c r="B9771" s="0" t="s">
        <v>9735</v>
      </c>
    </row>
    <row r="9772" customFormat="false" ht="15" hidden="false" customHeight="false" outlineLevel="0" collapsed="false">
      <c r="A9772" s="0" t="n">
        <f aca="false">ACCRINT(DATE(2024,1,1),DATE(2024,7,1),DATE(2024,4,15),0.05,1000,4,3)</f>
        <v>14.3835616438356</v>
      </c>
      <c r="B9772" s="0" t="s">
        <v>9736</v>
      </c>
    </row>
    <row r="9773" customFormat="false" ht="15" hidden="false" customHeight="false" outlineLevel="0" collapsed="false">
      <c r="A9773" s="0" t="e">
        <f aca="false">ACCRINT(DATE(2024,1,1),DATE(2024,7,1),DATE(2024,4,15),0.1,100,4,3,TRUE())</f>
        <v>#VALUE!</v>
      </c>
      <c r="B9773" s="0" t="s">
        <v>9737</v>
      </c>
    </row>
    <row r="9774" customFormat="false" ht="15" hidden="false" customHeight="false" outlineLevel="0" collapsed="false">
      <c r="A9774" s="0" t="e">
        <f aca="false">ACCRINT(DATE(2024,1,1),DATE(2024,7,1),DATE(2024,4,15),0.1,100,4,3,FALSE())</f>
        <v>#VALUE!</v>
      </c>
      <c r="B9774" s="0" t="s">
        <v>9738</v>
      </c>
    </row>
    <row r="9775" customFormat="false" ht="15" hidden="false" customHeight="false" outlineLevel="0" collapsed="false">
      <c r="A9775" s="0" t="n">
        <f aca="false">ACCRINT(DATE(2024,1,1),DATE(2024,7,1),DATE(2024,4,15),0.05,1000,4,4)</f>
        <v>14.4444444444444</v>
      </c>
      <c r="B9775" s="0" t="s">
        <v>9739</v>
      </c>
    </row>
    <row r="9776" customFormat="false" ht="15" hidden="false" customHeight="false" outlineLevel="0" collapsed="false">
      <c r="A9776" s="0" t="e">
        <f aca="false">ACCRINT(DATE(2024,1,1),DATE(2024,7,1),DATE(2024,4,15),0.1,100,4,4,TRUE())</f>
        <v>#VALUE!</v>
      </c>
      <c r="B9776" s="0" t="s">
        <v>9740</v>
      </c>
    </row>
    <row r="9777" customFormat="false" ht="15" hidden="false" customHeight="false" outlineLevel="0" collapsed="false">
      <c r="A9777" s="0" t="e">
        <f aca="false">ACCRINT(DATE(2024,1,1),DATE(2024,7,1),DATE(2024,4,15),0.1,100,4,4,FALSE())</f>
        <v>#VALUE!</v>
      </c>
      <c r="B9777" s="0" t="s">
        <v>9741</v>
      </c>
    </row>
    <row r="9778" customFormat="false" ht="15" hidden="false" customHeight="false" outlineLevel="0" collapsed="false">
      <c r="A9778" s="0" t="n">
        <f aca="false">ACCRINT(DATE(2023,10,31),DATE(2024,4,30),DATE(2024,2,29),0.05,1000,1,0)</f>
        <v>16.3888888888889</v>
      </c>
      <c r="B9778" s="0" t="s">
        <v>9742</v>
      </c>
    </row>
    <row r="9779" customFormat="false" ht="15" hidden="false" customHeight="false" outlineLevel="0" collapsed="false">
      <c r="A9779" s="0" t="e">
        <f aca="false">ACCRINT(DATE(2023,10,31),DATE(2024,4,30),DATE(2024,2,29),0.1,100,1,0,TRUE())</f>
        <v>#VALUE!</v>
      </c>
      <c r="B9779" s="0" t="s">
        <v>9743</v>
      </c>
    </row>
    <row r="9780" customFormat="false" ht="15" hidden="false" customHeight="false" outlineLevel="0" collapsed="false">
      <c r="A9780" s="0" t="e">
        <f aca="false">ACCRINT(DATE(2023,10,31),DATE(2024,4,30),DATE(2024,2,29),0.1,100,1,0,FALSE())</f>
        <v>#VALUE!</v>
      </c>
      <c r="B9780" s="0" t="s">
        <v>9744</v>
      </c>
    </row>
    <row r="9781" customFormat="false" ht="15" hidden="false" customHeight="false" outlineLevel="0" collapsed="false">
      <c r="A9781" s="0" t="n">
        <f aca="false">ACCRINT(DATE(2023,10,31),DATE(2024,4,30),DATE(2024,2,29),0.05,1000,1,1)</f>
        <v>16.5753424657534</v>
      </c>
      <c r="B9781" s="0" t="s">
        <v>9745</v>
      </c>
    </row>
    <row r="9782" customFormat="false" ht="15" hidden="false" customHeight="false" outlineLevel="0" collapsed="false">
      <c r="A9782" s="0" t="e">
        <f aca="false">ACCRINT(DATE(2023,10,31),DATE(2024,4,30),DATE(2024,2,29),0.1,100,1,1,TRUE())</f>
        <v>#VALUE!</v>
      </c>
      <c r="B9782" s="0" t="s">
        <v>9746</v>
      </c>
    </row>
    <row r="9783" customFormat="false" ht="15" hidden="false" customHeight="false" outlineLevel="0" collapsed="false">
      <c r="A9783" s="0" t="e">
        <f aca="false">ACCRINT(DATE(2023,10,31),DATE(2024,4,30),DATE(2024,2,29),0.1,100,1,1,FALSE())</f>
        <v>#VALUE!</v>
      </c>
      <c r="B9783" s="0" t="s">
        <v>9747</v>
      </c>
    </row>
    <row r="9784" customFormat="false" ht="15" hidden="false" customHeight="false" outlineLevel="0" collapsed="false">
      <c r="A9784" s="0" t="n">
        <f aca="false">ACCRINT(DATE(2023,10,31),DATE(2024,4,30),DATE(2024,2,29),0.05,1000,1,2)</f>
        <v>16.8055555555556</v>
      </c>
      <c r="B9784" s="0" t="s">
        <v>9748</v>
      </c>
    </row>
    <row r="9785" customFormat="false" ht="15" hidden="false" customHeight="false" outlineLevel="0" collapsed="false">
      <c r="A9785" s="0" t="e">
        <f aca="false">ACCRINT(DATE(2023,10,31),DATE(2024,4,30),DATE(2024,2,29),0.1,100,1,2,TRUE())</f>
        <v>#VALUE!</v>
      </c>
      <c r="B9785" s="0" t="s">
        <v>9749</v>
      </c>
    </row>
    <row r="9786" customFormat="false" ht="15" hidden="false" customHeight="false" outlineLevel="0" collapsed="false">
      <c r="A9786" s="0" t="e">
        <f aca="false">ACCRINT(DATE(2023,10,31),DATE(2024,4,30),DATE(2024,2,29),0.1,100,1,2,FALSE())</f>
        <v>#VALUE!</v>
      </c>
      <c r="B9786" s="0" t="s">
        <v>9750</v>
      </c>
    </row>
    <row r="9787" customFormat="false" ht="15" hidden="false" customHeight="false" outlineLevel="0" collapsed="false">
      <c r="A9787" s="0" t="n">
        <f aca="false">ACCRINT(DATE(2023,10,31),DATE(2024,4,30),DATE(2024,2,29),0.05,1000,1,3)</f>
        <v>16.5753424657534</v>
      </c>
      <c r="B9787" s="0" t="s">
        <v>9751</v>
      </c>
    </row>
    <row r="9788" customFormat="false" ht="15" hidden="false" customHeight="false" outlineLevel="0" collapsed="false">
      <c r="A9788" s="0" t="e">
        <f aca="false">ACCRINT(DATE(2023,10,31),DATE(2024,4,30),DATE(2024,2,29),0.1,100,1,3,TRUE())</f>
        <v>#VALUE!</v>
      </c>
      <c r="B9788" s="0" t="s">
        <v>9752</v>
      </c>
    </row>
    <row r="9789" customFormat="false" ht="15" hidden="false" customHeight="false" outlineLevel="0" collapsed="false">
      <c r="A9789" s="0" t="e">
        <f aca="false">ACCRINT(DATE(2023,10,31),DATE(2024,4,30),DATE(2024,2,29),0.1,100,1,3,FALSE())</f>
        <v>#VALUE!</v>
      </c>
      <c r="B9789" s="0" t="s">
        <v>9753</v>
      </c>
    </row>
    <row r="9790" customFormat="false" ht="15" hidden="false" customHeight="false" outlineLevel="0" collapsed="false">
      <c r="A9790" s="0" t="n">
        <f aca="false">ACCRINT(DATE(2023,10,31),DATE(2024,4,30),DATE(2024,2,29),0.05,1000,1,4)</f>
        <v>16.3888888888889</v>
      </c>
      <c r="B9790" s="0" t="s">
        <v>9754</v>
      </c>
    </row>
    <row r="9791" customFormat="false" ht="15" hidden="false" customHeight="false" outlineLevel="0" collapsed="false">
      <c r="A9791" s="0" t="e">
        <f aca="false">ACCRINT(DATE(2023,10,31),DATE(2024,4,30),DATE(2024,2,29),0.1,100,1,4,TRUE())</f>
        <v>#VALUE!</v>
      </c>
      <c r="B9791" s="0" t="s">
        <v>9755</v>
      </c>
    </row>
    <row r="9792" customFormat="false" ht="15" hidden="false" customHeight="false" outlineLevel="0" collapsed="false">
      <c r="A9792" s="0" t="e">
        <f aca="false">ACCRINT(DATE(2023,10,31),DATE(2024,4,30),DATE(2024,2,29),0.1,100,1,4,FALSE())</f>
        <v>#VALUE!</v>
      </c>
      <c r="B9792" s="0" t="s">
        <v>9756</v>
      </c>
    </row>
    <row r="9793" customFormat="false" ht="15" hidden="false" customHeight="false" outlineLevel="0" collapsed="false">
      <c r="A9793" s="0" t="n">
        <f aca="false">ACCRINT(DATE(2023,10,31),DATE(2024,4,30),DATE(2024,2,29),0.05,1000,2,0)</f>
        <v>16.3888888888889</v>
      </c>
      <c r="B9793" s="0" t="s">
        <v>9757</v>
      </c>
    </row>
    <row r="9794" customFormat="false" ht="15" hidden="false" customHeight="false" outlineLevel="0" collapsed="false">
      <c r="A9794" s="0" t="e">
        <f aca="false">ACCRINT(DATE(2023,10,31),DATE(2024,4,30),DATE(2024,2,29),0.1,100,2,0,TRUE())</f>
        <v>#VALUE!</v>
      </c>
      <c r="B9794" s="0" t="s">
        <v>9758</v>
      </c>
    </row>
    <row r="9795" customFormat="false" ht="15" hidden="false" customHeight="false" outlineLevel="0" collapsed="false">
      <c r="A9795" s="0" t="e">
        <f aca="false">ACCRINT(DATE(2023,10,31),DATE(2024,4,30),DATE(2024,2,29),0.1,100,2,0,FALSE())</f>
        <v>#VALUE!</v>
      </c>
      <c r="B9795" s="0" t="s">
        <v>9759</v>
      </c>
    </row>
    <row r="9796" customFormat="false" ht="15" hidden="false" customHeight="false" outlineLevel="0" collapsed="false">
      <c r="A9796" s="0" t="n">
        <f aca="false">ACCRINT(DATE(2023,10,31),DATE(2024,4,30),DATE(2024,2,29),0.05,1000,2,1)</f>
        <v>16.5753424657534</v>
      </c>
      <c r="B9796" s="0" t="s">
        <v>9760</v>
      </c>
    </row>
    <row r="9797" customFormat="false" ht="15" hidden="false" customHeight="false" outlineLevel="0" collapsed="false">
      <c r="A9797" s="0" t="e">
        <f aca="false">ACCRINT(DATE(2023,10,31),DATE(2024,4,30),DATE(2024,2,29),0.1,100,2,1,TRUE())</f>
        <v>#VALUE!</v>
      </c>
      <c r="B9797" s="0" t="s">
        <v>9761</v>
      </c>
    </row>
    <row r="9798" customFormat="false" ht="15" hidden="false" customHeight="false" outlineLevel="0" collapsed="false">
      <c r="A9798" s="0" t="e">
        <f aca="false">ACCRINT(DATE(2023,10,31),DATE(2024,4,30),DATE(2024,2,29),0.1,100,2,1,FALSE())</f>
        <v>#VALUE!</v>
      </c>
      <c r="B9798" s="0" t="s">
        <v>9762</v>
      </c>
    </row>
    <row r="9799" customFormat="false" ht="15" hidden="false" customHeight="false" outlineLevel="0" collapsed="false">
      <c r="A9799" s="0" t="n">
        <f aca="false">ACCRINT(DATE(2023,10,31),DATE(2024,4,30),DATE(2024,2,29),0.05,1000,2,2)</f>
        <v>16.8055555555556</v>
      </c>
      <c r="B9799" s="0" t="s">
        <v>9763</v>
      </c>
    </row>
    <row r="9800" customFormat="false" ht="15" hidden="false" customHeight="false" outlineLevel="0" collapsed="false">
      <c r="A9800" s="0" t="e">
        <f aca="false">ACCRINT(DATE(2023,10,31),DATE(2024,4,30),DATE(2024,2,29),0.1,100,2,2,TRUE())</f>
        <v>#VALUE!</v>
      </c>
      <c r="B9800" s="0" t="s">
        <v>9764</v>
      </c>
    </row>
    <row r="9801" customFormat="false" ht="15" hidden="false" customHeight="false" outlineLevel="0" collapsed="false">
      <c r="A9801" s="0" t="e">
        <f aca="false">ACCRINT(DATE(2023,10,31),DATE(2024,4,30),DATE(2024,2,29),0.1,100,2,2,FALSE())</f>
        <v>#VALUE!</v>
      </c>
      <c r="B9801" s="0" t="s">
        <v>9765</v>
      </c>
    </row>
    <row r="9802" customFormat="false" ht="15" hidden="false" customHeight="false" outlineLevel="0" collapsed="false">
      <c r="A9802" s="0" t="n">
        <f aca="false">ACCRINT(DATE(2023,10,31),DATE(2024,4,30),DATE(2024,2,29),0.05,1000,2,3)</f>
        <v>16.5753424657534</v>
      </c>
      <c r="B9802" s="0" t="s">
        <v>9766</v>
      </c>
    </row>
    <row r="9803" customFormat="false" ht="15" hidden="false" customHeight="false" outlineLevel="0" collapsed="false">
      <c r="A9803" s="0" t="e">
        <f aca="false">ACCRINT(DATE(2023,10,31),DATE(2024,4,30),DATE(2024,2,29),0.1,100,2,3,TRUE())</f>
        <v>#VALUE!</v>
      </c>
      <c r="B9803" s="0" t="s">
        <v>9767</v>
      </c>
    </row>
    <row r="9804" customFormat="false" ht="15" hidden="false" customHeight="false" outlineLevel="0" collapsed="false">
      <c r="A9804" s="0" t="e">
        <f aca="false">ACCRINT(DATE(2023,10,31),DATE(2024,4,30),DATE(2024,2,29),0.1,100,2,3,FALSE())</f>
        <v>#VALUE!</v>
      </c>
      <c r="B9804" s="0" t="s">
        <v>9768</v>
      </c>
    </row>
    <row r="9805" customFormat="false" ht="15" hidden="false" customHeight="false" outlineLevel="0" collapsed="false">
      <c r="A9805" s="0" t="n">
        <f aca="false">ACCRINT(DATE(2023,10,31),DATE(2024,4,30),DATE(2024,2,29),0.05,1000,2,4)</f>
        <v>16.3888888888889</v>
      </c>
      <c r="B9805" s="0" t="s">
        <v>9769</v>
      </c>
    </row>
    <row r="9806" customFormat="false" ht="15" hidden="false" customHeight="false" outlineLevel="0" collapsed="false">
      <c r="A9806" s="0" t="e">
        <f aca="false">ACCRINT(DATE(2023,10,31),DATE(2024,4,30),DATE(2024,2,29),0.1,100,2,4,TRUE())</f>
        <v>#VALUE!</v>
      </c>
      <c r="B9806" s="0" t="s">
        <v>9770</v>
      </c>
    </row>
    <row r="9807" customFormat="false" ht="15" hidden="false" customHeight="false" outlineLevel="0" collapsed="false">
      <c r="A9807" s="0" t="e">
        <f aca="false">ACCRINT(DATE(2023,10,31),DATE(2024,4,30),DATE(2024,2,29),0.1,100,2,4,FALSE())</f>
        <v>#VALUE!</v>
      </c>
      <c r="B9807" s="0" t="s">
        <v>9771</v>
      </c>
    </row>
    <row r="9808" customFormat="false" ht="15" hidden="false" customHeight="false" outlineLevel="0" collapsed="false">
      <c r="A9808" s="0" t="n">
        <f aca="false">ACCRINT(DATE(2023,10,31),DATE(2024,4,30),DATE(2024,2,29),0.05,1000,4,0)</f>
        <v>16.3888888888889</v>
      </c>
      <c r="B9808" s="0" t="s">
        <v>9772</v>
      </c>
    </row>
    <row r="9809" customFormat="false" ht="15" hidden="false" customHeight="false" outlineLevel="0" collapsed="false">
      <c r="A9809" s="0" t="e">
        <f aca="false">ACCRINT(DATE(2023,10,31),DATE(2024,4,30),DATE(2024,2,29),0.1,100,4,0,TRUE())</f>
        <v>#VALUE!</v>
      </c>
      <c r="B9809" s="0" t="s">
        <v>9773</v>
      </c>
    </row>
    <row r="9810" customFormat="false" ht="15" hidden="false" customHeight="false" outlineLevel="0" collapsed="false">
      <c r="A9810" s="0" t="e">
        <f aca="false">ACCRINT(DATE(2023,10,31),DATE(2024,4,30),DATE(2024,2,29),0.1,100,4,0,FALSE())</f>
        <v>#VALUE!</v>
      </c>
      <c r="B9810" s="0" t="s">
        <v>9774</v>
      </c>
    </row>
    <row r="9811" customFormat="false" ht="15" hidden="false" customHeight="false" outlineLevel="0" collapsed="false">
      <c r="A9811" s="0" t="n">
        <f aca="false">ACCRINT(DATE(2023,10,31),DATE(2024,4,30),DATE(2024,2,29),0.05,1000,4,1)</f>
        <v>16.5753424657534</v>
      </c>
      <c r="B9811" s="0" t="s">
        <v>9775</v>
      </c>
    </row>
    <row r="9812" customFormat="false" ht="15" hidden="false" customHeight="false" outlineLevel="0" collapsed="false">
      <c r="A9812" s="0" t="e">
        <f aca="false">ACCRINT(DATE(2023,10,31),DATE(2024,4,30),DATE(2024,2,29),0.1,100,4,1,TRUE())</f>
        <v>#VALUE!</v>
      </c>
      <c r="B9812" s="0" t="s">
        <v>9776</v>
      </c>
    </row>
    <row r="9813" customFormat="false" ht="15" hidden="false" customHeight="false" outlineLevel="0" collapsed="false">
      <c r="A9813" s="0" t="e">
        <f aca="false">ACCRINT(DATE(2023,10,31),DATE(2024,4,30),DATE(2024,2,29),0.1,100,4,1,FALSE())</f>
        <v>#VALUE!</v>
      </c>
      <c r="B9813" s="0" t="s">
        <v>9777</v>
      </c>
    </row>
    <row r="9814" customFormat="false" ht="15" hidden="false" customHeight="false" outlineLevel="0" collapsed="false">
      <c r="A9814" s="0" t="n">
        <f aca="false">ACCRINT(DATE(2023,10,31),DATE(2024,4,30),DATE(2024,2,29),0.05,1000,4,2)</f>
        <v>16.8055555555556</v>
      </c>
      <c r="B9814" s="0" t="s">
        <v>9778</v>
      </c>
    </row>
    <row r="9815" customFormat="false" ht="15" hidden="false" customHeight="false" outlineLevel="0" collapsed="false">
      <c r="A9815" s="0" t="e">
        <f aca="false">ACCRINT(DATE(2023,10,31),DATE(2024,4,30),DATE(2024,2,29),0.1,100,4,2,TRUE())</f>
        <v>#VALUE!</v>
      </c>
      <c r="B9815" s="0" t="s">
        <v>9779</v>
      </c>
    </row>
    <row r="9816" customFormat="false" ht="15" hidden="false" customHeight="false" outlineLevel="0" collapsed="false">
      <c r="A9816" s="0" t="e">
        <f aca="false">ACCRINT(DATE(2023,10,31),DATE(2024,4,30),DATE(2024,2,29),0.1,100,4,2,FALSE())</f>
        <v>#VALUE!</v>
      </c>
      <c r="B9816" s="0" t="s">
        <v>9780</v>
      </c>
    </row>
    <row r="9817" customFormat="false" ht="15" hidden="false" customHeight="false" outlineLevel="0" collapsed="false">
      <c r="A9817" s="0" t="n">
        <f aca="false">ACCRINT(DATE(2023,10,31),DATE(2024,4,30),DATE(2024,2,29),0.05,1000,4,3)</f>
        <v>16.5753424657534</v>
      </c>
      <c r="B9817" s="0" t="s">
        <v>9781</v>
      </c>
    </row>
    <row r="9818" customFormat="false" ht="15" hidden="false" customHeight="false" outlineLevel="0" collapsed="false">
      <c r="A9818" s="0" t="e">
        <f aca="false">ACCRINT(DATE(2023,10,31),DATE(2024,4,30),DATE(2024,2,29),0.1,100,4,3,TRUE())</f>
        <v>#VALUE!</v>
      </c>
      <c r="B9818" s="0" t="s">
        <v>9782</v>
      </c>
    </row>
    <row r="9819" customFormat="false" ht="15" hidden="false" customHeight="false" outlineLevel="0" collapsed="false">
      <c r="A9819" s="0" t="e">
        <f aca="false">ACCRINT(DATE(2023,10,31),DATE(2024,4,30),DATE(2024,2,29),0.1,100,4,3,FALSE())</f>
        <v>#VALUE!</v>
      </c>
      <c r="B9819" s="0" t="s">
        <v>9783</v>
      </c>
    </row>
    <row r="9820" customFormat="false" ht="15" hidden="false" customHeight="false" outlineLevel="0" collapsed="false">
      <c r="A9820" s="0" t="n">
        <f aca="false">ACCRINT(DATE(2023,10,31),DATE(2024,4,30),DATE(2024,2,29),0.05,1000,4,4)</f>
        <v>16.3888888888889</v>
      </c>
      <c r="B9820" s="0" t="s">
        <v>9784</v>
      </c>
    </row>
    <row r="9821" customFormat="false" ht="15" hidden="false" customHeight="false" outlineLevel="0" collapsed="false">
      <c r="A9821" s="0" t="e">
        <f aca="false">ACCRINT(DATE(2023,10,31),DATE(2024,4,30),DATE(2024,2,29),0.1,100,4,4,TRUE())</f>
        <v>#VALUE!</v>
      </c>
      <c r="B9821" s="0" t="s">
        <v>9785</v>
      </c>
    </row>
    <row r="9822" customFormat="false" ht="15" hidden="false" customHeight="false" outlineLevel="0" collapsed="false">
      <c r="A9822" s="0" t="e">
        <f aca="false">ACCRINT(DATE(2023,10,31),DATE(2024,4,30),DATE(2024,2,29),0.1,100,4,4,FALSE())</f>
        <v>#VALUE!</v>
      </c>
      <c r="B9822" s="0" t="s">
        <v>9786</v>
      </c>
    </row>
    <row r="9823" customFormat="false" ht="15" hidden="false" customHeight="false" outlineLevel="0" collapsed="false">
      <c r="A9823" s="0" t="n">
        <f aca="false">ACCRINT(DATE(2024,1,31),DATE(2024,7,31),DATE(2024,12,31),0.05,1000,1,0)</f>
        <v>45.8333333333333</v>
      </c>
      <c r="B9823" s="0" t="s">
        <v>9787</v>
      </c>
    </row>
    <row r="9824" customFormat="false" ht="15" hidden="false" customHeight="false" outlineLevel="0" collapsed="false">
      <c r="A9824" s="0" t="e">
        <f aca="false">ACCRINT(DATE(2024,1,31),DATE(2024,7,31),DATE(2024,12,31),0.1,100,1,0,TRUE())</f>
        <v>#VALUE!</v>
      </c>
      <c r="B9824" s="0" t="s">
        <v>9788</v>
      </c>
    </row>
    <row r="9825" customFormat="false" ht="15" hidden="false" customHeight="false" outlineLevel="0" collapsed="false">
      <c r="A9825" s="0" t="e">
        <f aca="false">ACCRINT(DATE(2024,1,31),DATE(2024,7,31),DATE(2024,12,31),0.1,100,1,0,FALSE())</f>
        <v>#VALUE!</v>
      </c>
      <c r="B9825" s="0" t="s">
        <v>9789</v>
      </c>
    </row>
    <row r="9826" customFormat="false" ht="15" hidden="false" customHeight="false" outlineLevel="0" collapsed="false">
      <c r="A9826" s="0" t="n">
        <f aca="false">ACCRINT(DATE(2024,1,31),DATE(2024,7,31),DATE(2024,12,31),0.05,1000,1,1)</f>
        <v>45.7650273224044</v>
      </c>
      <c r="B9826" s="0" t="s">
        <v>9790</v>
      </c>
    </row>
    <row r="9827" customFormat="false" ht="15" hidden="false" customHeight="false" outlineLevel="0" collapsed="false">
      <c r="A9827" s="0" t="e">
        <f aca="false">ACCRINT(DATE(2024,1,31),DATE(2024,7,31),DATE(2024,12,31),0.1,100,1,1,TRUE())</f>
        <v>#VALUE!</v>
      </c>
      <c r="B9827" s="0" t="s">
        <v>9791</v>
      </c>
    </row>
    <row r="9828" customFormat="false" ht="15" hidden="false" customHeight="false" outlineLevel="0" collapsed="false">
      <c r="A9828" s="0" t="e">
        <f aca="false">ACCRINT(DATE(2024,1,31),DATE(2024,7,31),DATE(2024,12,31),0.1,100,1,1,FALSE())</f>
        <v>#VALUE!</v>
      </c>
      <c r="B9828" s="0" t="s">
        <v>9792</v>
      </c>
    </row>
    <row r="9829" customFormat="false" ht="15" hidden="false" customHeight="false" outlineLevel="0" collapsed="false">
      <c r="A9829" s="0" t="n">
        <f aca="false">ACCRINT(DATE(2024,1,31),DATE(2024,7,31),DATE(2024,12,31),0.05,1000,1,2)</f>
        <v>46.5277777777778</v>
      </c>
      <c r="B9829" s="0" t="s">
        <v>9793</v>
      </c>
    </row>
    <row r="9830" customFormat="false" ht="15" hidden="false" customHeight="false" outlineLevel="0" collapsed="false">
      <c r="A9830" s="0" t="e">
        <f aca="false">ACCRINT(DATE(2024,1,31),DATE(2024,7,31),DATE(2024,12,31),0.1,100,1,2,TRUE())</f>
        <v>#VALUE!</v>
      </c>
      <c r="B9830" s="0" t="s">
        <v>9794</v>
      </c>
    </row>
    <row r="9831" customFormat="false" ht="15" hidden="false" customHeight="false" outlineLevel="0" collapsed="false">
      <c r="A9831" s="0" t="e">
        <f aca="false">ACCRINT(DATE(2024,1,31),DATE(2024,7,31),DATE(2024,12,31),0.1,100,1,2,FALSE())</f>
        <v>#VALUE!</v>
      </c>
      <c r="B9831" s="0" t="s">
        <v>9795</v>
      </c>
    </row>
    <row r="9832" customFormat="false" ht="15" hidden="false" customHeight="false" outlineLevel="0" collapsed="false">
      <c r="A9832" s="0" t="n">
        <f aca="false">ACCRINT(DATE(2024,1,31),DATE(2024,7,31),DATE(2024,12,31),0.05,1000,1,3)</f>
        <v>45.8904109589041</v>
      </c>
      <c r="B9832" s="0" t="s">
        <v>9796</v>
      </c>
    </row>
    <row r="9833" customFormat="false" ht="15" hidden="false" customHeight="false" outlineLevel="0" collapsed="false">
      <c r="A9833" s="0" t="e">
        <f aca="false">ACCRINT(DATE(2024,1,31),DATE(2024,7,31),DATE(2024,12,31),0.1,100,1,3,TRUE())</f>
        <v>#VALUE!</v>
      </c>
      <c r="B9833" s="0" t="s">
        <v>9797</v>
      </c>
    </row>
    <row r="9834" customFormat="false" ht="15" hidden="false" customHeight="false" outlineLevel="0" collapsed="false">
      <c r="A9834" s="0" t="e">
        <f aca="false">ACCRINT(DATE(2024,1,31),DATE(2024,7,31),DATE(2024,12,31),0.1,100,1,3,FALSE())</f>
        <v>#VALUE!</v>
      </c>
      <c r="B9834" s="0" t="s">
        <v>9798</v>
      </c>
    </row>
    <row r="9835" customFormat="false" ht="15" hidden="false" customHeight="false" outlineLevel="0" collapsed="false">
      <c r="A9835" s="0" t="n">
        <f aca="false">ACCRINT(DATE(2024,1,31),DATE(2024,7,31),DATE(2024,12,31),0.05,1000,1,4)</f>
        <v>45.8333333333333</v>
      </c>
      <c r="B9835" s="0" t="s">
        <v>9799</v>
      </c>
    </row>
    <row r="9836" customFormat="false" ht="15" hidden="false" customHeight="false" outlineLevel="0" collapsed="false">
      <c r="A9836" s="0" t="e">
        <f aca="false">ACCRINT(DATE(2024,1,31),DATE(2024,7,31),DATE(2024,12,31),0.1,100,1,4,TRUE())</f>
        <v>#VALUE!</v>
      </c>
      <c r="B9836" s="0" t="s">
        <v>9800</v>
      </c>
    </row>
    <row r="9837" customFormat="false" ht="15" hidden="false" customHeight="false" outlineLevel="0" collapsed="false">
      <c r="A9837" s="0" t="e">
        <f aca="false">ACCRINT(DATE(2024,1,31),DATE(2024,7,31),DATE(2024,12,31),0.1,100,1,4,FALSE())</f>
        <v>#VALUE!</v>
      </c>
      <c r="B9837" s="0" t="s">
        <v>9801</v>
      </c>
    </row>
    <row r="9838" customFormat="false" ht="15" hidden="false" customHeight="false" outlineLevel="0" collapsed="false">
      <c r="A9838" s="0" t="n">
        <f aca="false">ACCRINT(DATE(2024,1,31),DATE(2024,7,31),DATE(2024,12,31),0.05,1000,2,0)</f>
        <v>45.8333333333333</v>
      </c>
      <c r="B9838" s="0" t="s">
        <v>9802</v>
      </c>
    </row>
    <row r="9839" customFormat="false" ht="15" hidden="false" customHeight="false" outlineLevel="0" collapsed="false">
      <c r="A9839" s="0" t="e">
        <f aca="false">ACCRINT(DATE(2024,1,31),DATE(2024,7,31),DATE(2024,12,31),0.1,100,2,0,TRUE())</f>
        <v>#VALUE!</v>
      </c>
      <c r="B9839" s="0" t="s">
        <v>9803</v>
      </c>
    </row>
    <row r="9840" customFormat="false" ht="15" hidden="false" customHeight="false" outlineLevel="0" collapsed="false">
      <c r="A9840" s="0" t="e">
        <f aca="false">ACCRINT(DATE(2024,1,31),DATE(2024,7,31),DATE(2024,12,31),0.1,100,2,0,FALSE())</f>
        <v>#VALUE!</v>
      </c>
      <c r="B9840" s="0" t="s">
        <v>9804</v>
      </c>
    </row>
    <row r="9841" customFormat="false" ht="15" hidden="false" customHeight="false" outlineLevel="0" collapsed="false">
      <c r="A9841" s="0" t="n">
        <f aca="false">ACCRINT(DATE(2024,1,31),DATE(2024,7,31),DATE(2024,12,31),0.05,1000,2,1)</f>
        <v>45.7650273224044</v>
      </c>
      <c r="B9841" s="0" t="s">
        <v>9805</v>
      </c>
    </row>
    <row r="9842" customFormat="false" ht="15" hidden="false" customHeight="false" outlineLevel="0" collapsed="false">
      <c r="A9842" s="0" t="e">
        <f aca="false">ACCRINT(DATE(2024,1,31),DATE(2024,7,31),DATE(2024,12,31),0.1,100,2,1,TRUE())</f>
        <v>#VALUE!</v>
      </c>
      <c r="B9842" s="0" t="s">
        <v>9806</v>
      </c>
    </row>
    <row r="9843" customFormat="false" ht="15" hidden="false" customHeight="false" outlineLevel="0" collapsed="false">
      <c r="A9843" s="0" t="e">
        <f aca="false">ACCRINT(DATE(2024,1,31),DATE(2024,7,31),DATE(2024,12,31),0.1,100,2,1,FALSE())</f>
        <v>#VALUE!</v>
      </c>
      <c r="B9843" s="0" t="s">
        <v>9807</v>
      </c>
    </row>
    <row r="9844" customFormat="false" ht="15" hidden="false" customHeight="false" outlineLevel="0" collapsed="false">
      <c r="A9844" s="0" t="n">
        <f aca="false">ACCRINT(DATE(2024,1,31),DATE(2024,7,31),DATE(2024,12,31),0.05,1000,2,2)</f>
        <v>46.5277777777778</v>
      </c>
      <c r="B9844" s="0" t="s">
        <v>9808</v>
      </c>
    </row>
    <row r="9845" customFormat="false" ht="15" hidden="false" customHeight="false" outlineLevel="0" collapsed="false">
      <c r="A9845" s="0" t="e">
        <f aca="false">ACCRINT(DATE(2024,1,31),DATE(2024,7,31),DATE(2024,12,31),0.1,100,2,2,TRUE())</f>
        <v>#VALUE!</v>
      </c>
      <c r="B9845" s="0" t="s">
        <v>9809</v>
      </c>
    </row>
    <row r="9846" customFormat="false" ht="15" hidden="false" customHeight="false" outlineLevel="0" collapsed="false">
      <c r="A9846" s="0" t="e">
        <f aca="false">ACCRINT(DATE(2024,1,31),DATE(2024,7,31),DATE(2024,12,31),0.1,100,2,2,FALSE())</f>
        <v>#VALUE!</v>
      </c>
      <c r="B9846" s="0" t="s">
        <v>9810</v>
      </c>
    </row>
    <row r="9847" customFormat="false" ht="15" hidden="false" customHeight="false" outlineLevel="0" collapsed="false">
      <c r="A9847" s="0" t="n">
        <f aca="false">ACCRINT(DATE(2024,1,31),DATE(2024,7,31),DATE(2024,12,31),0.05,1000,2,3)</f>
        <v>45.8904109589041</v>
      </c>
      <c r="B9847" s="0" t="s">
        <v>9811</v>
      </c>
    </row>
    <row r="9848" customFormat="false" ht="15" hidden="false" customHeight="false" outlineLevel="0" collapsed="false">
      <c r="A9848" s="0" t="e">
        <f aca="false">ACCRINT(DATE(2024,1,31),DATE(2024,7,31),DATE(2024,12,31),0.1,100,2,3,TRUE())</f>
        <v>#VALUE!</v>
      </c>
      <c r="B9848" s="0" t="s">
        <v>9812</v>
      </c>
    </row>
    <row r="9849" customFormat="false" ht="15" hidden="false" customHeight="false" outlineLevel="0" collapsed="false">
      <c r="A9849" s="0" t="e">
        <f aca="false">ACCRINT(DATE(2024,1,31),DATE(2024,7,31),DATE(2024,12,31),0.1,100,2,3,FALSE())</f>
        <v>#VALUE!</v>
      </c>
      <c r="B9849" s="0" t="s">
        <v>9813</v>
      </c>
    </row>
    <row r="9850" customFormat="false" ht="15" hidden="false" customHeight="false" outlineLevel="0" collapsed="false">
      <c r="A9850" s="0" t="n">
        <f aca="false">ACCRINT(DATE(2024,1,31),DATE(2024,7,31),DATE(2024,12,31),0.05,1000,2,4)</f>
        <v>45.8333333333333</v>
      </c>
      <c r="B9850" s="0" t="s">
        <v>9814</v>
      </c>
    </row>
    <row r="9851" customFormat="false" ht="15" hidden="false" customHeight="false" outlineLevel="0" collapsed="false">
      <c r="A9851" s="0" t="e">
        <f aca="false">ACCRINT(DATE(2024,1,31),DATE(2024,7,31),DATE(2024,12,31),0.1,100,2,4,TRUE())</f>
        <v>#VALUE!</v>
      </c>
      <c r="B9851" s="0" t="s">
        <v>9815</v>
      </c>
    </row>
    <row r="9852" customFormat="false" ht="15" hidden="false" customHeight="false" outlineLevel="0" collapsed="false">
      <c r="A9852" s="0" t="e">
        <f aca="false">ACCRINT(DATE(2024,1,31),DATE(2024,7,31),DATE(2024,12,31),0.1,100,2,4,FALSE())</f>
        <v>#VALUE!</v>
      </c>
      <c r="B9852" s="0" t="s">
        <v>9816</v>
      </c>
    </row>
    <row r="9853" customFormat="false" ht="15" hidden="false" customHeight="false" outlineLevel="0" collapsed="false">
      <c r="A9853" s="0" t="n">
        <f aca="false">ACCRINT(DATE(2024,1,31),DATE(2024,7,31),DATE(2024,12,31),0.05,1000,4,0)</f>
        <v>45.8333333333333</v>
      </c>
      <c r="B9853" s="0" t="s">
        <v>9817</v>
      </c>
    </row>
    <row r="9854" customFormat="false" ht="15" hidden="false" customHeight="false" outlineLevel="0" collapsed="false">
      <c r="A9854" s="0" t="e">
        <f aca="false">ACCRINT(DATE(2024,1,31),DATE(2024,7,31),DATE(2024,12,31),0.1,100,4,0,TRUE())</f>
        <v>#VALUE!</v>
      </c>
      <c r="B9854" s="0" t="s">
        <v>9818</v>
      </c>
    </row>
    <row r="9855" customFormat="false" ht="15" hidden="false" customHeight="false" outlineLevel="0" collapsed="false">
      <c r="A9855" s="0" t="e">
        <f aca="false">ACCRINT(DATE(2024,1,31),DATE(2024,7,31),DATE(2024,12,31),0.1,100,4,0,FALSE())</f>
        <v>#VALUE!</v>
      </c>
      <c r="B9855" s="0" t="s">
        <v>9819</v>
      </c>
    </row>
    <row r="9856" customFormat="false" ht="15" hidden="false" customHeight="false" outlineLevel="0" collapsed="false">
      <c r="A9856" s="0" t="n">
        <f aca="false">ACCRINT(DATE(2024,1,31),DATE(2024,7,31),DATE(2024,12,31),0.05,1000,4,1)</f>
        <v>45.7650273224044</v>
      </c>
      <c r="B9856" s="0" t="s">
        <v>9820</v>
      </c>
    </row>
    <row r="9857" customFormat="false" ht="15" hidden="false" customHeight="false" outlineLevel="0" collapsed="false">
      <c r="A9857" s="0" t="e">
        <f aca="false">ACCRINT(DATE(2024,1,31),DATE(2024,7,31),DATE(2024,12,31),0.1,100,4,1,TRUE())</f>
        <v>#VALUE!</v>
      </c>
      <c r="B9857" s="0" t="s">
        <v>9821</v>
      </c>
    </row>
    <row r="9858" customFormat="false" ht="15" hidden="false" customHeight="false" outlineLevel="0" collapsed="false">
      <c r="A9858" s="0" t="e">
        <f aca="false">ACCRINT(DATE(2024,1,31),DATE(2024,7,31),DATE(2024,12,31),0.1,100,4,1,FALSE())</f>
        <v>#VALUE!</v>
      </c>
      <c r="B9858" s="0" t="s">
        <v>9822</v>
      </c>
    </row>
    <row r="9859" customFormat="false" ht="15" hidden="false" customHeight="false" outlineLevel="0" collapsed="false">
      <c r="A9859" s="0" t="n">
        <f aca="false">ACCRINT(DATE(2024,1,31),DATE(2024,7,31),DATE(2024,12,31),0.05,1000,4,2)</f>
        <v>46.5277777777778</v>
      </c>
      <c r="B9859" s="0" t="s">
        <v>9823</v>
      </c>
    </row>
    <row r="9860" customFormat="false" ht="15" hidden="false" customHeight="false" outlineLevel="0" collapsed="false">
      <c r="A9860" s="0" t="e">
        <f aca="false">ACCRINT(DATE(2024,1,31),DATE(2024,7,31),DATE(2024,12,31),0.1,100,4,2,TRUE())</f>
        <v>#VALUE!</v>
      </c>
      <c r="B9860" s="0" t="s">
        <v>9824</v>
      </c>
    </row>
    <row r="9861" customFormat="false" ht="15" hidden="false" customHeight="false" outlineLevel="0" collapsed="false">
      <c r="A9861" s="0" t="e">
        <f aca="false">ACCRINT(DATE(2024,1,31),DATE(2024,7,31),DATE(2024,12,31),0.1,100,4,2,FALSE())</f>
        <v>#VALUE!</v>
      </c>
      <c r="B9861" s="0" t="s">
        <v>9825</v>
      </c>
    </row>
    <row r="9862" customFormat="false" ht="15" hidden="false" customHeight="false" outlineLevel="0" collapsed="false">
      <c r="A9862" s="0" t="n">
        <f aca="false">ACCRINT(DATE(2024,1,31),DATE(2024,7,31),DATE(2024,12,31),0.05,1000,4,3)</f>
        <v>45.8904109589041</v>
      </c>
      <c r="B9862" s="0" t="s">
        <v>9826</v>
      </c>
    </row>
    <row r="9863" customFormat="false" ht="15" hidden="false" customHeight="false" outlineLevel="0" collapsed="false">
      <c r="A9863" s="0" t="e">
        <f aca="false">ACCRINT(DATE(2024,1,31),DATE(2024,7,31),DATE(2024,12,31),0.1,100,4,3,TRUE())</f>
        <v>#VALUE!</v>
      </c>
      <c r="B9863" s="0" t="s">
        <v>9827</v>
      </c>
    </row>
    <row r="9864" customFormat="false" ht="15" hidden="false" customHeight="false" outlineLevel="0" collapsed="false">
      <c r="A9864" s="0" t="e">
        <f aca="false">ACCRINT(DATE(2024,1,31),DATE(2024,7,31),DATE(2024,12,31),0.1,100,4,3,FALSE())</f>
        <v>#VALUE!</v>
      </c>
      <c r="B9864" s="0" t="s">
        <v>9828</v>
      </c>
    </row>
    <row r="9865" customFormat="false" ht="15" hidden="false" customHeight="false" outlineLevel="0" collapsed="false">
      <c r="A9865" s="0" t="n">
        <f aca="false">ACCRINT(DATE(2024,1,31),DATE(2024,7,31),DATE(2024,12,31),0.05,1000,4,4)</f>
        <v>45.8333333333333</v>
      </c>
      <c r="B9865" s="0" t="s">
        <v>9829</v>
      </c>
    </row>
    <row r="9866" customFormat="false" ht="15" hidden="false" customHeight="false" outlineLevel="0" collapsed="false">
      <c r="A9866" s="0" t="e">
        <f aca="false">ACCRINT(DATE(2024,1,31),DATE(2024,7,31),DATE(2024,12,31),0.1,100,4,4,TRUE())</f>
        <v>#VALUE!</v>
      </c>
      <c r="B9866" s="0" t="s">
        <v>9830</v>
      </c>
    </row>
    <row r="9867" customFormat="false" ht="15" hidden="false" customHeight="false" outlineLevel="0" collapsed="false">
      <c r="A9867" s="0" t="e">
        <f aca="false">ACCRINT(DATE(2024,1,31),DATE(2024,7,31),DATE(2024,12,31),0.1,100,4,4,FALSE())</f>
        <v>#VALUE!</v>
      </c>
      <c r="B9867" s="0" t="s">
        <v>9831</v>
      </c>
    </row>
    <row r="9868" customFormat="false" ht="15" hidden="false" customHeight="false" outlineLevel="0" collapsed="false">
      <c r="A9868" s="0" t="n">
        <f aca="false">ACCRINT(DATE(2023,6,30),DATE(2024,6,30),DATE(2025,1,15),0.05,1000,1,0)</f>
        <v>77.0833333333333</v>
      </c>
      <c r="B9868" s="0" t="s">
        <v>9832</v>
      </c>
    </row>
    <row r="9869" customFormat="false" ht="15" hidden="false" customHeight="false" outlineLevel="0" collapsed="false">
      <c r="A9869" s="0" t="e">
        <f aca="false">ACCRINT(DATE(2023,6,30),DATE(2024,6,30),DATE(2025,1,15),0.1,100,1,0,TRUE())</f>
        <v>#VALUE!</v>
      </c>
      <c r="B9869" s="0" t="s">
        <v>9833</v>
      </c>
    </row>
    <row r="9870" customFormat="false" ht="15" hidden="false" customHeight="false" outlineLevel="0" collapsed="false">
      <c r="A9870" s="0" t="e">
        <f aca="false">ACCRINT(DATE(2023,6,30),DATE(2024,6,30),DATE(2025,1,15),0.1,100,1,0,FALSE())</f>
        <v>#VALUE!</v>
      </c>
      <c r="B9870" s="0" t="s">
        <v>9834</v>
      </c>
    </row>
    <row r="9871" customFormat="false" ht="15" hidden="false" customHeight="false" outlineLevel="0" collapsed="false">
      <c r="A9871" s="0" t="n">
        <f aca="false">ACCRINT(DATE(2023,6,30),DATE(2024,6,30),DATE(2025,1,15),0.05,1000,1,1)</f>
        <v>77.3972602739726</v>
      </c>
      <c r="B9871" s="0" t="s">
        <v>9835</v>
      </c>
    </row>
    <row r="9872" customFormat="false" ht="15" hidden="false" customHeight="false" outlineLevel="0" collapsed="false">
      <c r="A9872" s="0" t="e">
        <f aca="false">ACCRINT(DATE(2023,6,30),DATE(2024,6,30),DATE(2025,1,15),0.1,100,1,1,TRUE())</f>
        <v>#VALUE!</v>
      </c>
      <c r="B9872" s="0" t="s">
        <v>9836</v>
      </c>
    </row>
    <row r="9873" customFormat="false" ht="15" hidden="false" customHeight="false" outlineLevel="0" collapsed="false">
      <c r="A9873" s="0" t="e">
        <f aca="false">ACCRINT(DATE(2023,6,30),DATE(2024,6,30),DATE(2025,1,15),0.1,100,1,1,FALSE())</f>
        <v>#VALUE!</v>
      </c>
      <c r="B9873" s="0" t="s">
        <v>9837</v>
      </c>
    </row>
    <row r="9874" customFormat="false" ht="15" hidden="false" customHeight="false" outlineLevel="0" collapsed="false">
      <c r="A9874" s="0" t="n">
        <f aca="false">ACCRINT(DATE(2023,6,30),DATE(2024,6,30),DATE(2025,1,15),0.05,1000,1,2)</f>
        <v>78.4722222222222</v>
      </c>
      <c r="B9874" s="0" t="s">
        <v>9838</v>
      </c>
    </row>
    <row r="9875" customFormat="false" ht="15" hidden="false" customHeight="false" outlineLevel="0" collapsed="false">
      <c r="A9875" s="0" t="e">
        <f aca="false">ACCRINT(DATE(2023,6,30),DATE(2024,6,30),DATE(2025,1,15),0.1,100,1,2,TRUE())</f>
        <v>#VALUE!</v>
      </c>
      <c r="B9875" s="0" t="s">
        <v>9839</v>
      </c>
    </row>
    <row r="9876" customFormat="false" ht="15" hidden="false" customHeight="false" outlineLevel="0" collapsed="false">
      <c r="A9876" s="0" t="e">
        <f aca="false">ACCRINT(DATE(2023,6,30),DATE(2024,6,30),DATE(2025,1,15),0.1,100,1,2,FALSE())</f>
        <v>#VALUE!</v>
      </c>
      <c r="B9876" s="0" t="s">
        <v>9840</v>
      </c>
    </row>
    <row r="9877" customFormat="false" ht="15" hidden="false" customHeight="false" outlineLevel="0" collapsed="false">
      <c r="A9877" s="0" t="n">
        <f aca="false">ACCRINT(DATE(2023,6,30),DATE(2024,6,30),DATE(2025,1,15),0.05,1000,1,3)</f>
        <v>77.3972602739726</v>
      </c>
      <c r="B9877" s="0" t="s">
        <v>9841</v>
      </c>
    </row>
    <row r="9878" customFormat="false" ht="15" hidden="false" customHeight="false" outlineLevel="0" collapsed="false">
      <c r="A9878" s="0" t="e">
        <f aca="false">ACCRINT(DATE(2023,6,30),DATE(2024,6,30),DATE(2025,1,15),0.1,100,1,3,TRUE())</f>
        <v>#VALUE!</v>
      </c>
      <c r="B9878" s="0" t="s">
        <v>9842</v>
      </c>
    </row>
    <row r="9879" customFormat="false" ht="15" hidden="false" customHeight="false" outlineLevel="0" collapsed="false">
      <c r="A9879" s="0" t="e">
        <f aca="false">ACCRINT(DATE(2023,6,30),DATE(2024,6,30),DATE(2025,1,15),0.1,100,1,3,FALSE())</f>
        <v>#VALUE!</v>
      </c>
      <c r="B9879" s="0" t="s">
        <v>9843</v>
      </c>
    </row>
    <row r="9880" customFormat="false" ht="15" hidden="false" customHeight="false" outlineLevel="0" collapsed="false">
      <c r="A9880" s="0" t="n">
        <f aca="false">ACCRINT(DATE(2023,6,30),DATE(2024,6,30),DATE(2025,1,15),0.05,1000,1,4)</f>
        <v>77.0833333333333</v>
      </c>
      <c r="B9880" s="0" t="s">
        <v>9844</v>
      </c>
    </row>
    <row r="9881" customFormat="false" ht="15" hidden="false" customHeight="false" outlineLevel="0" collapsed="false">
      <c r="A9881" s="0" t="e">
        <f aca="false">ACCRINT(DATE(2023,6,30),DATE(2024,6,30),DATE(2025,1,15),0.1,100,1,4,TRUE())</f>
        <v>#VALUE!</v>
      </c>
      <c r="B9881" s="0" t="s">
        <v>9845</v>
      </c>
    </row>
    <row r="9882" customFormat="false" ht="15" hidden="false" customHeight="false" outlineLevel="0" collapsed="false">
      <c r="A9882" s="0" t="e">
        <f aca="false">ACCRINT(DATE(2023,6,30),DATE(2024,6,30),DATE(2025,1,15),0.1,100,1,4,FALSE())</f>
        <v>#VALUE!</v>
      </c>
      <c r="B9882" s="0" t="s">
        <v>9846</v>
      </c>
    </row>
    <row r="9883" customFormat="false" ht="15" hidden="false" customHeight="false" outlineLevel="0" collapsed="false">
      <c r="A9883" s="0" t="n">
        <f aca="false">ACCRINT(DATE(2023,6,30),DATE(2024,6,30),DATE(2025,1,15),0.05,1000,2,0)</f>
        <v>77.0833333333333</v>
      </c>
      <c r="B9883" s="0" t="s">
        <v>9847</v>
      </c>
    </row>
    <row r="9884" customFormat="false" ht="15" hidden="false" customHeight="false" outlineLevel="0" collapsed="false">
      <c r="A9884" s="0" t="e">
        <f aca="false">ACCRINT(DATE(2023,6,30),DATE(2024,6,30),DATE(2025,1,15),0.1,100,2,0,TRUE())</f>
        <v>#VALUE!</v>
      </c>
      <c r="B9884" s="0" t="s">
        <v>9848</v>
      </c>
    </row>
    <row r="9885" customFormat="false" ht="15" hidden="false" customHeight="false" outlineLevel="0" collapsed="false">
      <c r="A9885" s="0" t="e">
        <f aca="false">ACCRINT(DATE(2023,6,30),DATE(2024,6,30),DATE(2025,1,15),0.1,100,2,0,FALSE())</f>
        <v>#VALUE!</v>
      </c>
      <c r="B9885" s="0" t="s">
        <v>9849</v>
      </c>
    </row>
    <row r="9886" customFormat="false" ht="15" hidden="false" customHeight="false" outlineLevel="0" collapsed="false">
      <c r="A9886" s="0" t="n">
        <f aca="false">ACCRINT(DATE(2023,6,30),DATE(2024,6,30),DATE(2025,1,15),0.05,1000,2,1)</f>
        <v>77.3972602739726</v>
      </c>
      <c r="B9886" s="0" t="s">
        <v>9850</v>
      </c>
    </row>
    <row r="9887" customFormat="false" ht="15" hidden="false" customHeight="false" outlineLevel="0" collapsed="false">
      <c r="A9887" s="0" t="e">
        <f aca="false">ACCRINT(DATE(2023,6,30),DATE(2024,6,30),DATE(2025,1,15),0.1,100,2,1,TRUE())</f>
        <v>#VALUE!</v>
      </c>
      <c r="B9887" s="0" t="s">
        <v>9851</v>
      </c>
    </row>
    <row r="9888" customFormat="false" ht="15" hidden="false" customHeight="false" outlineLevel="0" collapsed="false">
      <c r="A9888" s="0" t="e">
        <f aca="false">ACCRINT(DATE(2023,6,30),DATE(2024,6,30),DATE(2025,1,15),0.1,100,2,1,FALSE())</f>
        <v>#VALUE!</v>
      </c>
      <c r="B9888" s="0" t="s">
        <v>9852</v>
      </c>
    </row>
    <row r="9889" customFormat="false" ht="15" hidden="false" customHeight="false" outlineLevel="0" collapsed="false">
      <c r="A9889" s="0" t="n">
        <f aca="false">ACCRINT(DATE(2023,6,30),DATE(2024,6,30),DATE(2025,1,15),0.05,1000,2,2)</f>
        <v>78.4722222222222</v>
      </c>
      <c r="B9889" s="0" t="s">
        <v>9853</v>
      </c>
    </row>
    <row r="9890" customFormat="false" ht="15" hidden="false" customHeight="false" outlineLevel="0" collapsed="false">
      <c r="A9890" s="0" t="e">
        <f aca="false">ACCRINT(DATE(2023,6,30),DATE(2024,6,30),DATE(2025,1,15),0.1,100,2,2,TRUE())</f>
        <v>#VALUE!</v>
      </c>
      <c r="B9890" s="0" t="s">
        <v>9854</v>
      </c>
    </row>
    <row r="9891" customFormat="false" ht="15" hidden="false" customHeight="false" outlineLevel="0" collapsed="false">
      <c r="A9891" s="0" t="e">
        <f aca="false">ACCRINT(DATE(2023,6,30),DATE(2024,6,30),DATE(2025,1,15),0.1,100,2,2,FALSE())</f>
        <v>#VALUE!</v>
      </c>
      <c r="B9891" s="0" t="s">
        <v>9855</v>
      </c>
    </row>
    <row r="9892" customFormat="false" ht="15" hidden="false" customHeight="false" outlineLevel="0" collapsed="false">
      <c r="A9892" s="0" t="n">
        <f aca="false">ACCRINT(DATE(2023,6,30),DATE(2024,6,30),DATE(2025,1,15),0.05,1000,2,3)</f>
        <v>77.3972602739726</v>
      </c>
      <c r="B9892" s="0" t="s">
        <v>9856</v>
      </c>
    </row>
    <row r="9893" customFormat="false" ht="15" hidden="false" customHeight="false" outlineLevel="0" collapsed="false">
      <c r="A9893" s="0" t="e">
        <f aca="false">ACCRINT(DATE(2023,6,30),DATE(2024,6,30),DATE(2025,1,15),0.1,100,2,3,TRUE())</f>
        <v>#VALUE!</v>
      </c>
      <c r="B9893" s="0" t="s">
        <v>9857</v>
      </c>
    </row>
    <row r="9894" customFormat="false" ht="15" hidden="false" customHeight="false" outlineLevel="0" collapsed="false">
      <c r="A9894" s="0" t="e">
        <f aca="false">ACCRINT(DATE(2023,6,30),DATE(2024,6,30),DATE(2025,1,15),0.1,100,2,3,FALSE())</f>
        <v>#VALUE!</v>
      </c>
      <c r="B9894" s="0" t="s">
        <v>9858</v>
      </c>
    </row>
    <row r="9895" customFormat="false" ht="15" hidden="false" customHeight="false" outlineLevel="0" collapsed="false">
      <c r="A9895" s="0" t="n">
        <f aca="false">ACCRINT(DATE(2023,6,30),DATE(2024,6,30),DATE(2025,1,15),0.05,1000,2,4)</f>
        <v>77.0833333333333</v>
      </c>
      <c r="B9895" s="0" t="s">
        <v>9859</v>
      </c>
    </row>
    <row r="9896" customFormat="false" ht="15" hidden="false" customHeight="false" outlineLevel="0" collapsed="false">
      <c r="A9896" s="0" t="e">
        <f aca="false">ACCRINT(DATE(2023,6,30),DATE(2024,6,30),DATE(2025,1,15),0.1,100,2,4,TRUE())</f>
        <v>#VALUE!</v>
      </c>
      <c r="B9896" s="0" t="s">
        <v>9860</v>
      </c>
    </row>
    <row r="9897" customFormat="false" ht="15" hidden="false" customHeight="false" outlineLevel="0" collapsed="false">
      <c r="A9897" s="0" t="e">
        <f aca="false">ACCRINT(DATE(2023,6,30),DATE(2024,6,30),DATE(2025,1,15),0.1,100,2,4,FALSE())</f>
        <v>#VALUE!</v>
      </c>
      <c r="B9897" s="0" t="s">
        <v>9861</v>
      </c>
    </row>
    <row r="9898" customFormat="false" ht="15" hidden="false" customHeight="false" outlineLevel="0" collapsed="false">
      <c r="A9898" s="0" t="n">
        <f aca="false">ACCRINT(DATE(2023,6,30),DATE(2024,6,30),DATE(2025,1,15),0.05,1000,4,0)</f>
        <v>77.0833333333333</v>
      </c>
      <c r="B9898" s="0" t="s">
        <v>9862</v>
      </c>
    </row>
    <row r="9899" customFormat="false" ht="15" hidden="false" customHeight="false" outlineLevel="0" collapsed="false">
      <c r="A9899" s="0" t="e">
        <f aca="false">ACCRINT(DATE(2023,6,30),DATE(2024,6,30),DATE(2025,1,15),0.1,100,4,0,TRUE())</f>
        <v>#VALUE!</v>
      </c>
      <c r="B9899" s="0" t="s">
        <v>9863</v>
      </c>
    </row>
    <row r="9900" customFormat="false" ht="15" hidden="false" customHeight="false" outlineLevel="0" collapsed="false">
      <c r="A9900" s="0" t="e">
        <f aca="false">ACCRINT(DATE(2023,6,30),DATE(2024,6,30),DATE(2025,1,15),0.1,100,4,0,FALSE())</f>
        <v>#VALUE!</v>
      </c>
      <c r="B9900" s="0" t="s">
        <v>9864</v>
      </c>
    </row>
    <row r="9901" customFormat="false" ht="15" hidden="false" customHeight="false" outlineLevel="0" collapsed="false">
      <c r="A9901" s="0" t="n">
        <f aca="false">ACCRINT(DATE(2023,6,30),DATE(2024,6,30),DATE(2025,1,15),0.05,1000,4,1)</f>
        <v>77.3972602739726</v>
      </c>
      <c r="B9901" s="0" t="s">
        <v>9865</v>
      </c>
    </row>
    <row r="9902" customFormat="false" ht="15" hidden="false" customHeight="false" outlineLevel="0" collapsed="false">
      <c r="A9902" s="0" t="e">
        <f aca="false">ACCRINT(DATE(2023,6,30),DATE(2024,6,30),DATE(2025,1,15),0.1,100,4,1,TRUE())</f>
        <v>#VALUE!</v>
      </c>
      <c r="B9902" s="0" t="s">
        <v>9866</v>
      </c>
    </row>
    <row r="9903" customFormat="false" ht="15" hidden="false" customHeight="false" outlineLevel="0" collapsed="false">
      <c r="A9903" s="0" t="e">
        <f aca="false">ACCRINT(DATE(2023,6,30),DATE(2024,6,30),DATE(2025,1,15),0.1,100,4,1,FALSE())</f>
        <v>#VALUE!</v>
      </c>
      <c r="B9903" s="0" t="s">
        <v>9867</v>
      </c>
    </row>
    <row r="9904" customFormat="false" ht="15" hidden="false" customHeight="false" outlineLevel="0" collapsed="false">
      <c r="A9904" s="0" t="n">
        <f aca="false">ACCRINT(DATE(2023,6,30),DATE(2024,6,30),DATE(2025,1,15),0.05,1000,4,2)</f>
        <v>78.4722222222222</v>
      </c>
      <c r="B9904" s="0" t="s">
        <v>9868</v>
      </c>
    </row>
    <row r="9905" customFormat="false" ht="15" hidden="false" customHeight="false" outlineLevel="0" collapsed="false">
      <c r="A9905" s="0" t="e">
        <f aca="false">ACCRINT(DATE(2023,6,30),DATE(2024,6,30),DATE(2025,1,15),0.1,100,4,2,TRUE())</f>
        <v>#VALUE!</v>
      </c>
      <c r="B9905" s="0" t="s">
        <v>9869</v>
      </c>
    </row>
    <row r="9906" customFormat="false" ht="15" hidden="false" customHeight="false" outlineLevel="0" collapsed="false">
      <c r="A9906" s="0" t="e">
        <f aca="false">ACCRINT(DATE(2023,6,30),DATE(2024,6,30),DATE(2025,1,15),0.1,100,4,2,FALSE())</f>
        <v>#VALUE!</v>
      </c>
      <c r="B9906" s="0" t="s">
        <v>9870</v>
      </c>
    </row>
    <row r="9907" customFormat="false" ht="15" hidden="false" customHeight="false" outlineLevel="0" collapsed="false">
      <c r="A9907" s="0" t="n">
        <f aca="false">ACCRINT(DATE(2023,6,30),DATE(2024,6,30),DATE(2025,1,15),0.05,1000,4,3)</f>
        <v>77.3972602739726</v>
      </c>
      <c r="B9907" s="0" t="s">
        <v>9871</v>
      </c>
    </row>
    <row r="9908" customFormat="false" ht="15" hidden="false" customHeight="false" outlineLevel="0" collapsed="false">
      <c r="A9908" s="0" t="e">
        <f aca="false">ACCRINT(DATE(2023,6,30),DATE(2024,6,30),DATE(2025,1,15),0.1,100,4,3,TRUE())</f>
        <v>#VALUE!</v>
      </c>
      <c r="B9908" s="0" t="s">
        <v>9872</v>
      </c>
    </row>
    <row r="9909" customFormat="false" ht="15" hidden="false" customHeight="false" outlineLevel="0" collapsed="false">
      <c r="A9909" s="0" t="e">
        <f aca="false">ACCRINT(DATE(2023,6,30),DATE(2024,6,30),DATE(2025,1,15),0.1,100,4,3,FALSE())</f>
        <v>#VALUE!</v>
      </c>
      <c r="B9909" s="0" t="s">
        <v>9873</v>
      </c>
    </row>
    <row r="9910" customFormat="false" ht="15" hidden="false" customHeight="false" outlineLevel="0" collapsed="false">
      <c r="A9910" s="0" t="n">
        <f aca="false">ACCRINT(DATE(2023,6,30),DATE(2024,6,30),DATE(2025,1,15),0.05,1000,4,4)</f>
        <v>77.0833333333333</v>
      </c>
      <c r="B9910" s="0" t="s">
        <v>9874</v>
      </c>
    </row>
    <row r="9911" customFormat="false" ht="15" hidden="false" customHeight="false" outlineLevel="0" collapsed="false">
      <c r="A9911" s="0" t="e">
        <f aca="false">ACCRINT(DATE(2023,6,30),DATE(2024,6,30),DATE(2025,1,15),0.1,100,4,4,TRUE())</f>
        <v>#VALUE!</v>
      </c>
      <c r="B9911" s="0" t="s">
        <v>9875</v>
      </c>
    </row>
    <row r="9912" customFormat="false" ht="15" hidden="false" customHeight="false" outlineLevel="0" collapsed="false">
      <c r="A9912" s="0" t="e">
        <f aca="false">ACCRINT(DATE(2023,6,30),DATE(2024,6,30),DATE(2025,1,15),0.1,100,4,4,FALSE())</f>
        <v>#VALUE!</v>
      </c>
      <c r="B9912" s="0" t="s">
        <v>9876</v>
      </c>
    </row>
    <row r="9913" customFormat="false" ht="15" hidden="false" customHeight="false" outlineLevel="0" collapsed="false">
      <c r="A9913" s="0" t="n">
        <f aca="false">ACCRINT(DATE(2024,2,29),DATE(2024,8,31),DATE(2024,5,31),0.05,1000,1,0)</f>
        <v>12.6388888888889</v>
      </c>
      <c r="B9913" s="0" t="s">
        <v>9877</v>
      </c>
    </row>
    <row r="9914" customFormat="false" ht="15" hidden="false" customHeight="false" outlineLevel="0" collapsed="false">
      <c r="A9914" s="0" t="e">
        <f aca="false">ACCRINT(DATE(2024,2,29),DATE(2024,8,31),DATE(2024,5,31),0.1,100,1,0,TRUE())</f>
        <v>#VALUE!</v>
      </c>
      <c r="B9914" s="0" t="s">
        <v>9878</v>
      </c>
    </row>
    <row r="9915" customFormat="false" ht="15" hidden="false" customHeight="false" outlineLevel="0" collapsed="false">
      <c r="A9915" s="0" t="e">
        <f aca="false">ACCRINT(DATE(2024,2,29),DATE(2024,8,31),DATE(2024,5,31),0.1,100,1,0,FALSE())</f>
        <v>#VALUE!</v>
      </c>
      <c r="B9915" s="0" t="s">
        <v>9879</v>
      </c>
    </row>
    <row r="9916" customFormat="false" ht="15" hidden="false" customHeight="false" outlineLevel="0" collapsed="false">
      <c r="A9916" s="0" t="n">
        <f aca="false">ACCRINT(DATE(2024,2,29),DATE(2024,8,31),DATE(2024,5,31),0.05,1000,1,1)</f>
        <v>12.568306010929</v>
      </c>
      <c r="B9916" s="0" t="s">
        <v>9880</v>
      </c>
    </row>
    <row r="9917" customFormat="false" ht="15" hidden="false" customHeight="false" outlineLevel="0" collapsed="false">
      <c r="A9917" s="0" t="e">
        <f aca="false">ACCRINT(DATE(2024,2,29),DATE(2024,8,31),DATE(2024,5,31),0.1,100,1,1,TRUE())</f>
        <v>#VALUE!</v>
      </c>
      <c r="B9917" s="0" t="s">
        <v>9881</v>
      </c>
    </row>
    <row r="9918" customFormat="false" ht="15" hidden="false" customHeight="false" outlineLevel="0" collapsed="false">
      <c r="A9918" s="0" t="e">
        <f aca="false">ACCRINT(DATE(2024,2,29),DATE(2024,8,31),DATE(2024,5,31),0.1,100,1,1,FALSE())</f>
        <v>#VALUE!</v>
      </c>
      <c r="B9918" s="0" t="s">
        <v>9882</v>
      </c>
    </row>
    <row r="9919" customFormat="false" ht="15" hidden="false" customHeight="false" outlineLevel="0" collapsed="false">
      <c r="A9919" s="0" t="n">
        <f aca="false">ACCRINT(DATE(2024,2,29),DATE(2024,8,31),DATE(2024,5,31),0.05,1000,1,2)</f>
        <v>12.7777777777778</v>
      </c>
      <c r="B9919" s="0" t="s">
        <v>9883</v>
      </c>
    </row>
    <row r="9920" customFormat="false" ht="15" hidden="false" customHeight="false" outlineLevel="0" collapsed="false">
      <c r="A9920" s="0" t="e">
        <f aca="false">ACCRINT(DATE(2024,2,29),DATE(2024,8,31),DATE(2024,5,31),0.1,100,1,2,TRUE())</f>
        <v>#VALUE!</v>
      </c>
      <c r="B9920" s="0" t="s">
        <v>9884</v>
      </c>
    </row>
    <row r="9921" customFormat="false" ht="15" hidden="false" customHeight="false" outlineLevel="0" collapsed="false">
      <c r="A9921" s="0" t="e">
        <f aca="false">ACCRINT(DATE(2024,2,29),DATE(2024,8,31),DATE(2024,5,31),0.1,100,1,2,FALSE())</f>
        <v>#VALUE!</v>
      </c>
      <c r="B9921" s="0" t="s">
        <v>9885</v>
      </c>
    </row>
    <row r="9922" customFormat="false" ht="15" hidden="false" customHeight="false" outlineLevel="0" collapsed="false">
      <c r="A9922" s="0" t="n">
        <f aca="false">ACCRINT(DATE(2024,2,29),DATE(2024,8,31),DATE(2024,5,31),0.05,1000,1,3)</f>
        <v>12.6027397260274</v>
      </c>
      <c r="B9922" s="0" t="s">
        <v>9886</v>
      </c>
    </row>
    <row r="9923" customFormat="false" ht="15" hidden="false" customHeight="false" outlineLevel="0" collapsed="false">
      <c r="A9923" s="0" t="e">
        <f aca="false">ACCRINT(DATE(2024,2,29),DATE(2024,8,31),DATE(2024,5,31),0.1,100,1,3,TRUE())</f>
        <v>#VALUE!</v>
      </c>
      <c r="B9923" s="0" t="s">
        <v>9887</v>
      </c>
    </row>
    <row r="9924" customFormat="false" ht="15" hidden="false" customHeight="false" outlineLevel="0" collapsed="false">
      <c r="A9924" s="0" t="e">
        <f aca="false">ACCRINT(DATE(2024,2,29),DATE(2024,8,31),DATE(2024,5,31),0.1,100,1,3,FALSE())</f>
        <v>#VALUE!</v>
      </c>
      <c r="B9924" s="0" t="s">
        <v>9888</v>
      </c>
    </row>
    <row r="9925" customFormat="false" ht="15" hidden="false" customHeight="false" outlineLevel="0" collapsed="false">
      <c r="A9925" s="0" t="n">
        <f aca="false">ACCRINT(DATE(2024,2,29),DATE(2024,8,31),DATE(2024,5,31),0.05,1000,1,4)</f>
        <v>12.7777777777778</v>
      </c>
      <c r="B9925" s="0" t="s">
        <v>9889</v>
      </c>
    </row>
    <row r="9926" customFormat="false" ht="15" hidden="false" customHeight="false" outlineLevel="0" collapsed="false">
      <c r="A9926" s="0" t="e">
        <f aca="false">ACCRINT(DATE(2024,2,29),DATE(2024,8,31),DATE(2024,5,31),0.1,100,1,4,TRUE())</f>
        <v>#VALUE!</v>
      </c>
      <c r="B9926" s="0" t="s">
        <v>9890</v>
      </c>
    </row>
    <row r="9927" customFormat="false" ht="15" hidden="false" customHeight="false" outlineLevel="0" collapsed="false">
      <c r="A9927" s="0" t="e">
        <f aca="false">ACCRINT(DATE(2024,2,29),DATE(2024,8,31),DATE(2024,5,31),0.1,100,1,4,FALSE())</f>
        <v>#VALUE!</v>
      </c>
      <c r="B9927" s="0" t="s">
        <v>9891</v>
      </c>
    </row>
    <row r="9928" customFormat="false" ht="15" hidden="false" customHeight="false" outlineLevel="0" collapsed="false">
      <c r="A9928" s="0" t="n">
        <f aca="false">ACCRINT(DATE(2024,2,29),DATE(2024,8,31),DATE(2024,5,31),0.05,1000,2,0)</f>
        <v>12.6388888888889</v>
      </c>
      <c r="B9928" s="0" t="s">
        <v>9892</v>
      </c>
    </row>
    <row r="9929" customFormat="false" ht="15" hidden="false" customHeight="false" outlineLevel="0" collapsed="false">
      <c r="A9929" s="0" t="e">
        <f aca="false">ACCRINT(DATE(2024,2,29),DATE(2024,8,31),DATE(2024,5,31),0.1,100,2,0,TRUE())</f>
        <v>#VALUE!</v>
      </c>
      <c r="B9929" s="0" t="s">
        <v>9893</v>
      </c>
    </row>
    <row r="9930" customFormat="false" ht="15" hidden="false" customHeight="false" outlineLevel="0" collapsed="false">
      <c r="A9930" s="0" t="e">
        <f aca="false">ACCRINT(DATE(2024,2,29),DATE(2024,8,31),DATE(2024,5,31),0.1,100,2,0,FALSE())</f>
        <v>#VALUE!</v>
      </c>
      <c r="B9930" s="0" t="s">
        <v>9894</v>
      </c>
    </row>
    <row r="9931" customFormat="false" ht="15" hidden="false" customHeight="false" outlineLevel="0" collapsed="false">
      <c r="A9931" s="0" t="n">
        <f aca="false">ACCRINT(DATE(2024,2,29),DATE(2024,8,31),DATE(2024,5,31),0.05,1000,2,1)</f>
        <v>12.568306010929</v>
      </c>
      <c r="B9931" s="0" t="s">
        <v>9895</v>
      </c>
    </row>
    <row r="9932" customFormat="false" ht="15" hidden="false" customHeight="false" outlineLevel="0" collapsed="false">
      <c r="A9932" s="0" t="e">
        <f aca="false">ACCRINT(DATE(2024,2,29),DATE(2024,8,31),DATE(2024,5,31),0.1,100,2,1,TRUE())</f>
        <v>#VALUE!</v>
      </c>
      <c r="B9932" s="0" t="s">
        <v>9896</v>
      </c>
    </row>
    <row r="9933" customFormat="false" ht="15" hidden="false" customHeight="false" outlineLevel="0" collapsed="false">
      <c r="A9933" s="0" t="e">
        <f aca="false">ACCRINT(DATE(2024,2,29),DATE(2024,8,31),DATE(2024,5,31),0.1,100,2,1,FALSE())</f>
        <v>#VALUE!</v>
      </c>
      <c r="B9933" s="0" t="s">
        <v>9897</v>
      </c>
    </row>
    <row r="9934" customFormat="false" ht="15" hidden="false" customHeight="false" outlineLevel="0" collapsed="false">
      <c r="A9934" s="0" t="n">
        <f aca="false">ACCRINT(DATE(2024,2,29),DATE(2024,8,31),DATE(2024,5,31),0.05,1000,2,2)</f>
        <v>12.7777777777778</v>
      </c>
      <c r="B9934" s="0" t="s">
        <v>9898</v>
      </c>
    </row>
    <row r="9935" customFormat="false" ht="15" hidden="false" customHeight="false" outlineLevel="0" collapsed="false">
      <c r="A9935" s="0" t="e">
        <f aca="false">ACCRINT(DATE(2024,2,29),DATE(2024,8,31),DATE(2024,5,31),0.1,100,2,2,TRUE())</f>
        <v>#VALUE!</v>
      </c>
      <c r="B9935" s="0" t="s">
        <v>9899</v>
      </c>
    </row>
    <row r="9936" customFormat="false" ht="15" hidden="false" customHeight="false" outlineLevel="0" collapsed="false">
      <c r="A9936" s="0" t="e">
        <f aca="false">ACCRINT(DATE(2024,2,29),DATE(2024,8,31),DATE(2024,5,31),0.1,100,2,2,FALSE())</f>
        <v>#VALUE!</v>
      </c>
      <c r="B9936" s="0" t="s">
        <v>9900</v>
      </c>
    </row>
    <row r="9937" customFormat="false" ht="15" hidden="false" customHeight="false" outlineLevel="0" collapsed="false">
      <c r="A9937" s="0" t="n">
        <f aca="false">ACCRINT(DATE(2024,2,29),DATE(2024,8,31),DATE(2024,5,31),0.05,1000,2,3)</f>
        <v>12.6027397260274</v>
      </c>
      <c r="B9937" s="0" t="s">
        <v>9901</v>
      </c>
    </row>
    <row r="9938" customFormat="false" ht="15" hidden="false" customHeight="false" outlineLevel="0" collapsed="false">
      <c r="A9938" s="0" t="e">
        <f aca="false">ACCRINT(DATE(2024,2,29),DATE(2024,8,31),DATE(2024,5,31),0.1,100,2,3,TRUE())</f>
        <v>#VALUE!</v>
      </c>
      <c r="B9938" s="0" t="s">
        <v>9902</v>
      </c>
    </row>
    <row r="9939" customFormat="false" ht="15" hidden="false" customHeight="false" outlineLevel="0" collapsed="false">
      <c r="A9939" s="0" t="e">
        <f aca="false">ACCRINT(DATE(2024,2,29),DATE(2024,8,31),DATE(2024,5,31),0.1,100,2,3,FALSE())</f>
        <v>#VALUE!</v>
      </c>
      <c r="B9939" s="0" t="s">
        <v>9903</v>
      </c>
    </row>
    <row r="9940" customFormat="false" ht="15" hidden="false" customHeight="false" outlineLevel="0" collapsed="false">
      <c r="A9940" s="0" t="n">
        <f aca="false">ACCRINT(DATE(2024,2,29),DATE(2024,8,31),DATE(2024,5,31),0.05,1000,2,4)</f>
        <v>12.7777777777778</v>
      </c>
      <c r="B9940" s="0" t="s">
        <v>9904</v>
      </c>
    </row>
    <row r="9941" customFormat="false" ht="15" hidden="false" customHeight="false" outlineLevel="0" collapsed="false">
      <c r="A9941" s="0" t="e">
        <f aca="false">ACCRINT(DATE(2024,2,29),DATE(2024,8,31),DATE(2024,5,31),0.1,100,2,4,TRUE())</f>
        <v>#VALUE!</v>
      </c>
      <c r="B9941" s="0" t="s">
        <v>9905</v>
      </c>
    </row>
    <row r="9942" customFormat="false" ht="15" hidden="false" customHeight="false" outlineLevel="0" collapsed="false">
      <c r="A9942" s="0" t="e">
        <f aca="false">ACCRINT(DATE(2024,2,29),DATE(2024,8,31),DATE(2024,5,31),0.1,100,2,4,FALSE())</f>
        <v>#VALUE!</v>
      </c>
      <c r="B9942" s="0" t="s">
        <v>9906</v>
      </c>
    </row>
    <row r="9943" customFormat="false" ht="15" hidden="false" customHeight="false" outlineLevel="0" collapsed="false">
      <c r="A9943" s="0" t="n">
        <f aca="false">ACCRINT(DATE(2024,2,29),DATE(2024,8,31),DATE(2024,5,31),0.05,1000,4,0)</f>
        <v>12.6388888888889</v>
      </c>
      <c r="B9943" s="0" t="s">
        <v>9907</v>
      </c>
    </row>
    <row r="9944" customFormat="false" ht="15" hidden="false" customHeight="false" outlineLevel="0" collapsed="false">
      <c r="A9944" s="0" t="e">
        <f aca="false">ACCRINT(DATE(2024,2,29),DATE(2024,8,31),DATE(2024,5,31),0.1,100,4,0,TRUE())</f>
        <v>#VALUE!</v>
      </c>
      <c r="B9944" s="0" t="s">
        <v>9908</v>
      </c>
    </row>
    <row r="9945" customFormat="false" ht="15" hidden="false" customHeight="false" outlineLevel="0" collapsed="false">
      <c r="A9945" s="0" t="e">
        <f aca="false">ACCRINT(DATE(2024,2,29),DATE(2024,8,31),DATE(2024,5,31),0.1,100,4,0,FALSE())</f>
        <v>#VALUE!</v>
      </c>
      <c r="B9945" s="0" t="s">
        <v>9909</v>
      </c>
    </row>
    <row r="9946" customFormat="false" ht="15" hidden="false" customHeight="false" outlineLevel="0" collapsed="false">
      <c r="A9946" s="0" t="n">
        <f aca="false">ACCRINT(DATE(2024,2,29),DATE(2024,8,31),DATE(2024,5,31),0.05,1000,4,1)</f>
        <v>12.568306010929</v>
      </c>
      <c r="B9946" s="0" t="s">
        <v>9910</v>
      </c>
    </row>
    <row r="9947" customFormat="false" ht="15" hidden="false" customHeight="false" outlineLevel="0" collapsed="false">
      <c r="A9947" s="0" t="e">
        <f aca="false">ACCRINT(DATE(2024,2,29),DATE(2024,8,31),DATE(2024,5,31),0.1,100,4,1,TRUE())</f>
        <v>#VALUE!</v>
      </c>
      <c r="B9947" s="0" t="s">
        <v>9911</v>
      </c>
    </row>
    <row r="9948" customFormat="false" ht="15" hidden="false" customHeight="false" outlineLevel="0" collapsed="false">
      <c r="A9948" s="0" t="e">
        <f aca="false">ACCRINT(DATE(2024,2,29),DATE(2024,8,31),DATE(2024,5,31),0.1,100,4,1,FALSE())</f>
        <v>#VALUE!</v>
      </c>
      <c r="B9948" s="0" t="s">
        <v>9912</v>
      </c>
    </row>
    <row r="9949" customFormat="false" ht="15" hidden="false" customHeight="false" outlineLevel="0" collapsed="false">
      <c r="A9949" s="0" t="n">
        <f aca="false">ACCRINT(DATE(2024,2,29),DATE(2024,8,31),DATE(2024,5,31),0.05,1000,4,2)</f>
        <v>12.7777777777778</v>
      </c>
      <c r="B9949" s="0" t="s">
        <v>9913</v>
      </c>
    </row>
    <row r="9950" customFormat="false" ht="15" hidden="false" customHeight="false" outlineLevel="0" collapsed="false">
      <c r="A9950" s="0" t="e">
        <f aca="false">ACCRINT(DATE(2024,2,29),DATE(2024,8,31),DATE(2024,5,31),0.1,100,4,2,TRUE())</f>
        <v>#VALUE!</v>
      </c>
      <c r="B9950" s="0" t="s">
        <v>9914</v>
      </c>
    </row>
    <row r="9951" customFormat="false" ht="15" hidden="false" customHeight="false" outlineLevel="0" collapsed="false">
      <c r="A9951" s="0" t="e">
        <f aca="false">ACCRINT(DATE(2024,2,29),DATE(2024,8,31),DATE(2024,5,31),0.1,100,4,2,FALSE())</f>
        <v>#VALUE!</v>
      </c>
      <c r="B9951" s="0" t="s">
        <v>9915</v>
      </c>
    </row>
    <row r="9952" customFormat="false" ht="15" hidden="false" customHeight="false" outlineLevel="0" collapsed="false">
      <c r="A9952" s="0" t="n">
        <f aca="false">ACCRINT(DATE(2024,2,29),DATE(2024,8,31),DATE(2024,5,31),0.05,1000,4,3)</f>
        <v>12.6027397260274</v>
      </c>
      <c r="B9952" s="0" t="s">
        <v>9916</v>
      </c>
    </row>
    <row r="9953" customFormat="false" ht="15" hidden="false" customHeight="false" outlineLevel="0" collapsed="false">
      <c r="A9953" s="0" t="e">
        <f aca="false">ACCRINT(DATE(2024,2,29),DATE(2024,8,31),DATE(2024,5,31),0.1,100,4,3,TRUE())</f>
        <v>#VALUE!</v>
      </c>
      <c r="B9953" s="0" t="s">
        <v>9917</v>
      </c>
    </row>
    <row r="9954" customFormat="false" ht="15" hidden="false" customHeight="false" outlineLevel="0" collapsed="false">
      <c r="A9954" s="0" t="e">
        <f aca="false">ACCRINT(DATE(2024,2,29),DATE(2024,8,31),DATE(2024,5,31),0.1,100,4,3,FALSE())</f>
        <v>#VALUE!</v>
      </c>
      <c r="B9954" s="0" t="s">
        <v>9918</v>
      </c>
    </row>
    <row r="9955" customFormat="false" ht="15" hidden="false" customHeight="false" outlineLevel="0" collapsed="false">
      <c r="A9955" s="0" t="n">
        <f aca="false">ACCRINT(DATE(2024,2,29),DATE(2024,8,31),DATE(2024,5,31),0.05,1000,4,4)</f>
        <v>12.7777777777778</v>
      </c>
      <c r="B9955" s="0" t="s">
        <v>9919</v>
      </c>
    </row>
    <row r="9956" customFormat="false" ht="15" hidden="false" customHeight="false" outlineLevel="0" collapsed="false">
      <c r="A9956" s="0" t="e">
        <f aca="false">ACCRINT(DATE(2024,2,29),DATE(2024,8,31),DATE(2024,5,31),0.1,100,4,4,TRUE())</f>
        <v>#VALUE!</v>
      </c>
      <c r="B9956" s="0" t="s">
        <v>9920</v>
      </c>
    </row>
    <row r="9957" customFormat="false" ht="15" hidden="false" customHeight="false" outlineLevel="0" collapsed="false">
      <c r="A9957" s="0" t="e">
        <f aca="false">ACCRINT(DATE(2024,2,29),DATE(2024,8,31),DATE(2024,5,31),0.1,100,4,4,FALSE())</f>
        <v>#VALUE!</v>
      </c>
      <c r="B9957" s="0" t="s">
        <v>9921</v>
      </c>
    </row>
    <row r="9958" customFormat="false" ht="15" hidden="false" customHeight="false" outlineLevel="0" collapsed="false">
      <c r="A9958" s="0" t="n">
        <f aca="false">ACCRINT(DATE(2024,1,1),DATE(2024,7,1),DATE(2024,7,1),0.05,1000,1,0)</f>
        <v>25</v>
      </c>
      <c r="B9958" s="0" t="s">
        <v>9922</v>
      </c>
    </row>
    <row r="9959" customFormat="false" ht="15" hidden="false" customHeight="false" outlineLevel="0" collapsed="false">
      <c r="A9959" s="0" t="e">
        <f aca="false">ACCRINT(DATE(2024,1,1),DATE(2024,7,1),DATE(2024,7,1),0.1,100,1,0,TRUE())</f>
        <v>#VALUE!</v>
      </c>
      <c r="B9959" s="0" t="s">
        <v>9923</v>
      </c>
    </row>
    <row r="9960" customFormat="false" ht="15" hidden="false" customHeight="false" outlineLevel="0" collapsed="false">
      <c r="A9960" s="0" t="e">
        <f aca="false">ACCRINT(DATE(2024,1,1),DATE(2024,7,1),DATE(2024,7,1),0.1,100,1,0,FALSE())</f>
        <v>#VALUE!</v>
      </c>
      <c r="B9960" s="0" t="s">
        <v>9924</v>
      </c>
    </row>
    <row r="9961" customFormat="false" ht="15" hidden="false" customHeight="false" outlineLevel="0" collapsed="false">
      <c r="A9961" s="0" t="n">
        <f aca="false">ACCRINT(DATE(2024,1,1),DATE(2024,7,1),DATE(2024,7,1),0.05,1000,1,1)</f>
        <v>24.8633879781421</v>
      </c>
      <c r="B9961" s="0" t="s">
        <v>9925</v>
      </c>
    </row>
    <row r="9962" customFormat="false" ht="15" hidden="false" customHeight="false" outlineLevel="0" collapsed="false">
      <c r="A9962" s="0" t="e">
        <f aca="false">ACCRINT(DATE(2024,1,1),DATE(2024,7,1),DATE(2024,7,1),0.1,100,1,1,TRUE())</f>
        <v>#VALUE!</v>
      </c>
      <c r="B9962" s="0" t="s">
        <v>9926</v>
      </c>
    </row>
    <row r="9963" customFormat="false" ht="15" hidden="false" customHeight="false" outlineLevel="0" collapsed="false">
      <c r="A9963" s="0" t="e">
        <f aca="false">ACCRINT(DATE(2024,1,1),DATE(2024,7,1),DATE(2024,7,1),0.1,100,1,1,FALSE())</f>
        <v>#VALUE!</v>
      </c>
      <c r="B9963" s="0" t="s">
        <v>9927</v>
      </c>
    </row>
    <row r="9964" customFormat="false" ht="15" hidden="false" customHeight="false" outlineLevel="0" collapsed="false">
      <c r="A9964" s="0" t="n">
        <f aca="false">ACCRINT(DATE(2024,1,1),DATE(2024,7,1),DATE(2024,7,1),0.05,1000,1,2)</f>
        <v>25.2777777777778</v>
      </c>
      <c r="B9964" s="0" t="s">
        <v>9928</v>
      </c>
    </row>
    <row r="9965" customFormat="false" ht="15" hidden="false" customHeight="false" outlineLevel="0" collapsed="false">
      <c r="A9965" s="0" t="e">
        <f aca="false">ACCRINT(DATE(2024,1,1),DATE(2024,7,1),DATE(2024,7,1),0.1,100,1,2,TRUE())</f>
        <v>#VALUE!</v>
      </c>
      <c r="B9965" s="0" t="s">
        <v>9929</v>
      </c>
    </row>
    <row r="9966" customFormat="false" ht="15" hidden="false" customHeight="false" outlineLevel="0" collapsed="false">
      <c r="A9966" s="0" t="e">
        <f aca="false">ACCRINT(DATE(2024,1,1),DATE(2024,7,1),DATE(2024,7,1),0.1,100,1,2,FALSE())</f>
        <v>#VALUE!</v>
      </c>
      <c r="B9966" s="0" t="s">
        <v>9930</v>
      </c>
    </row>
    <row r="9967" customFormat="false" ht="15" hidden="false" customHeight="false" outlineLevel="0" collapsed="false">
      <c r="A9967" s="0" t="n">
        <f aca="false">ACCRINT(DATE(2024,1,1),DATE(2024,7,1),DATE(2024,7,1),0.05,1000,1,3)</f>
        <v>24.9315068493151</v>
      </c>
      <c r="B9967" s="0" t="s">
        <v>9931</v>
      </c>
    </row>
    <row r="9968" customFormat="false" ht="15" hidden="false" customHeight="false" outlineLevel="0" collapsed="false">
      <c r="A9968" s="0" t="e">
        <f aca="false">ACCRINT(DATE(2024,1,1),DATE(2024,7,1),DATE(2024,7,1),0.1,100,1,3,TRUE())</f>
        <v>#VALUE!</v>
      </c>
      <c r="B9968" s="0" t="s">
        <v>9932</v>
      </c>
    </row>
    <row r="9969" customFormat="false" ht="15" hidden="false" customHeight="false" outlineLevel="0" collapsed="false">
      <c r="A9969" s="0" t="e">
        <f aca="false">ACCRINT(DATE(2024,1,1),DATE(2024,7,1),DATE(2024,7,1),0.1,100,1,3,FALSE())</f>
        <v>#VALUE!</v>
      </c>
      <c r="B9969" s="0" t="s">
        <v>9933</v>
      </c>
    </row>
    <row r="9970" customFormat="false" ht="15" hidden="false" customHeight="false" outlineLevel="0" collapsed="false">
      <c r="A9970" s="0" t="n">
        <f aca="false">ACCRINT(DATE(2024,1,1),DATE(2024,7,1),DATE(2024,7,1),0.05,1000,1,4)</f>
        <v>25</v>
      </c>
      <c r="B9970" s="0" t="s">
        <v>9934</v>
      </c>
    </row>
    <row r="9971" customFormat="false" ht="15" hidden="false" customHeight="false" outlineLevel="0" collapsed="false">
      <c r="A9971" s="0" t="e">
        <f aca="false">ACCRINT(DATE(2024,1,1),DATE(2024,7,1),DATE(2024,7,1),0.1,100,1,4,TRUE())</f>
        <v>#VALUE!</v>
      </c>
      <c r="B9971" s="0" t="s">
        <v>9935</v>
      </c>
    </row>
    <row r="9972" customFormat="false" ht="15" hidden="false" customHeight="false" outlineLevel="0" collapsed="false">
      <c r="A9972" s="0" t="e">
        <f aca="false">ACCRINT(DATE(2024,1,1),DATE(2024,7,1),DATE(2024,7,1),0.1,100,1,4,FALSE())</f>
        <v>#VALUE!</v>
      </c>
      <c r="B9972" s="0" t="s">
        <v>9936</v>
      </c>
    </row>
    <row r="9973" customFormat="false" ht="15" hidden="false" customHeight="false" outlineLevel="0" collapsed="false">
      <c r="A9973" s="0" t="n">
        <f aca="false">ACCRINT(DATE(2024,1,1),DATE(2024,7,1),DATE(2024,7,1),0.05,1000,2,0)</f>
        <v>25</v>
      </c>
      <c r="B9973" s="0" t="s">
        <v>9937</v>
      </c>
    </row>
    <row r="9974" customFormat="false" ht="15" hidden="false" customHeight="false" outlineLevel="0" collapsed="false">
      <c r="A9974" s="0" t="e">
        <f aca="false">ACCRINT(DATE(2024,1,1),DATE(2024,7,1),DATE(2024,7,1),0.1,100,2,0,TRUE())</f>
        <v>#VALUE!</v>
      </c>
      <c r="B9974" s="0" t="s">
        <v>9938</v>
      </c>
    </row>
    <row r="9975" customFormat="false" ht="15" hidden="false" customHeight="false" outlineLevel="0" collapsed="false">
      <c r="A9975" s="0" t="e">
        <f aca="false">ACCRINT(DATE(2024,1,1),DATE(2024,7,1),DATE(2024,7,1),0.1,100,2,0,FALSE())</f>
        <v>#VALUE!</v>
      </c>
      <c r="B9975" s="0" t="s">
        <v>9939</v>
      </c>
    </row>
    <row r="9976" customFormat="false" ht="15" hidden="false" customHeight="false" outlineLevel="0" collapsed="false">
      <c r="A9976" s="0" t="n">
        <f aca="false">ACCRINT(DATE(2024,1,1),DATE(2024,7,1),DATE(2024,7,1),0.05,1000,2,1)</f>
        <v>24.8633879781421</v>
      </c>
      <c r="B9976" s="0" t="s">
        <v>9940</v>
      </c>
    </row>
    <row r="9977" customFormat="false" ht="15" hidden="false" customHeight="false" outlineLevel="0" collapsed="false">
      <c r="A9977" s="0" t="e">
        <f aca="false">ACCRINT(DATE(2024,1,1),DATE(2024,7,1),DATE(2024,7,1),0.1,100,2,1,TRUE())</f>
        <v>#VALUE!</v>
      </c>
      <c r="B9977" s="0" t="s">
        <v>9941</v>
      </c>
    </row>
    <row r="9978" customFormat="false" ht="15" hidden="false" customHeight="false" outlineLevel="0" collapsed="false">
      <c r="A9978" s="0" t="e">
        <f aca="false">ACCRINT(DATE(2024,1,1),DATE(2024,7,1),DATE(2024,7,1),0.1,100,2,1,FALSE())</f>
        <v>#VALUE!</v>
      </c>
      <c r="B9978" s="0" t="s">
        <v>9942</v>
      </c>
    </row>
    <row r="9979" customFormat="false" ht="15" hidden="false" customHeight="false" outlineLevel="0" collapsed="false">
      <c r="A9979" s="0" t="n">
        <f aca="false">ACCRINT(DATE(2024,1,1),DATE(2024,7,1),DATE(2024,7,1),0.05,1000,2,2)</f>
        <v>25.2777777777778</v>
      </c>
      <c r="B9979" s="0" t="s">
        <v>9943</v>
      </c>
    </row>
    <row r="9980" customFormat="false" ht="15" hidden="false" customHeight="false" outlineLevel="0" collapsed="false">
      <c r="A9980" s="0" t="e">
        <f aca="false">ACCRINT(DATE(2024,1,1),DATE(2024,7,1),DATE(2024,7,1),0.1,100,2,2,TRUE())</f>
        <v>#VALUE!</v>
      </c>
      <c r="B9980" s="0" t="s">
        <v>9944</v>
      </c>
    </row>
    <row r="9981" customFormat="false" ht="15" hidden="false" customHeight="false" outlineLevel="0" collapsed="false">
      <c r="A9981" s="0" t="e">
        <f aca="false">ACCRINT(DATE(2024,1,1),DATE(2024,7,1),DATE(2024,7,1),0.1,100,2,2,FALSE())</f>
        <v>#VALUE!</v>
      </c>
      <c r="B9981" s="0" t="s">
        <v>9945</v>
      </c>
    </row>
    <row r="9982" customFormat="false" ht="15" hidden="false" customHeight="false" outlineLevel="0" collapsed="false">
      <c r="A9982" s="0" t="n">
        <f aca="false">ACCRINT(DATE(2024,1,1),DATE(2024,7,1),DATE(2024,7,1),0.05,1000,2,3)</f>
        <v>24.9315068493151</v>
      </c>
      <c r="B9982" s="0" t="s">
        <v>9946</v>
      </c>
    </row>
    <row r="9983" customFormat="false" ht="15" hidden="false" customHeight="false" outlineLevel="0" collapsed="false">
      <c r="A9983" s="0" t="e">
        <f aca="false">ACCRINT(DATE(2024,1,1),DATE(2024,7,1),DATE(2024,7,1),0.1,100,2,3,TRUE())</f>
        <v>#VALUE!</v>
      </c>
      <c r="B9983" s="0" t="s">
        <v>9947</v>
      </c>
    </row>
    <row r="9984" customFormat="false" ht="15" hidden="false" customHeight="false" outlineLevel="0" collapsed="false">
      <c r="A9984" s="0" t="e">
        <f aca="false">ACCRINT(DATE(2024,1,1),DATE(2024,7,1),DATE(2024,7,1),0.1,100,2,3,FALSE())</f>
        <v>#VALUE!</v>
      </c>
      <c r="B9984" s="0" t="s">
        <v>9948</v>
      </c>
    </row>
    <row r="9985" customFormat="false" ht="15" hidden="false" customHeight="false" outlineLevel="0" collapsed="false">
      <c r="A9985" s="0" t="n">
        <f aca="false">ACCRINT(DATE(2024,1,1),DATE(2024,7,1),DATE(2024,7,1),0.05,1000,2,4)</f>
        <v>25</v>
      </c>
      <c r="B9985" s="0" t="s">
        <v>9949</v>
      </c>
    </row>
    <row r="9986" customFormat="false" ht="15" hidden="false" customHeight="false" outlineLevel="0" collapsed="false">
      <c r="A9986" s="0" t="e">
        <f aca="false">ACCRINT(DATE(2024,1,1),DATE(2024,7,1),DATE(2024,7,1),0.1,100,2,4,TRUE())</f>
        <v>#VALUE!</v>
      </c>
      <c r="B9986" s="0" t="s">
        <v>9950</v>
      </c>
    </row>
    <row r="9987" customFormat="false" ht="15" hidden="false" customHeight="false" outlineLevel="0" collapsed="false">
      <c r="A9987" s="0" t="e">
        <f aca="false">ACCRINT(DATE(2024,1,1),DATE(2024,7,1),DATE(2024,7,1),0.1,100,2,4,FALSE())</f>
        <v>#VALUE!</v>
      </c>
      <c r="B9987" s="0" t="s">
        <v>9951</v>
      </c>
    </row>
    <row r="9988" customFormat="false" ht="15" hidden="false" customHeight="false" outlineLevel="0" collapsed="false">
      <c r="A9988" s="0" t="n">
        <f aca="false">ACCRINT(DATE(2024,1,1),DATE(2024,7,1),DATE(2024,7,1),0.05,1000,4,0)</f>
        <v>25</v>
      </c>
      <c r="B9988" s="0" t="s">
        <v>9952</v>
      </c>
    </row>
    <row r="9989" customFormat="false" ht="15" hidden="false" customHeight="false" outlineLevel="0" collapsed="false">
      <c r="A9989" s="0" t="e">
        <f aca="false">ACCRINT(DATE(2024,1,1),DATE(2024,7,1),DATE(2024,7,1),0.1,100,4,0,TRUE())</f>
        <v>#VALUE!</v>
      </c>
      <c r="B9989" s="0" t="s">
        <v>9953</v>
      </c>
    </row>
    <row r="9990" customFormat="false" ht="15" hidden="false" customHeight="false" outlineLevel="0" collapsed="false">
      <c r="A9990" s="0" t="e">
        <f aca="false">ACCRINT(DATE(2024,1,1),DATE(2024,7,1),DATE(2024,7,1),0.1,100,4,0,FALSE())</f>
        <v>#VALUE!</v>
      </c>
      <c r="B9990" s="0" t="s">
        <v>9954</v>
      </c>
    </row>
    <row r="9991" customFormat="false" ht="15" hidden="false" customHeight="false" outlineLevel="0" collapsed="false">
      <c r="A9991" s="0" t="n">
        <f aca="false">ACCRINT(DATE(2024,1,1),DATE(2024,7,1),DATE(2024,7,1),0.05,1000,4,1)</f>
        <v>24.8633879781421</v>
      </c>
      <c r="B9991" s="0" t="s">
        <v>9955</v>
      </c>
    </row>
    <row r="9992" customFormat="false" ht="15" hidden="false" customHeight="false" outlineLevel="0" collapsed="false">
      <c r="A9992" s="0" t="e">
        <f aca="false">ACCRINT(DATE(2024,1,1),DATE(2024,7,1),DATE(2024,7,1),0.1,100,4,1,TRUE())</f>
        <v>#VALUE!</v>
      </c>
      <c r="B9992" s="0" t="s">
        <v>9956</v>
      </c>
    </row>
    <row r="9993" customFormat="false" ht="15" hidden="false" customHeight="false" outlineLevel="0" collapsed="false">
      <c r="A9993" s="0" t="e">
        <f aca="false">ACCRINT(DATE(2024,1,1),DATE(2024,7,1),DATE(2024,7,1),0.1,100,4,1,FALSE())</f>
        <v>#VALUE!</v>
      </c>
      <c r="B9993" s="0" t="s">
        <v>9957</v>
      </c>
    </row>
    <row r="9994" customFormat="false" ht="15" hidden="false" customHeight="false" outlineLevel="0" collapsed="false">
      <c r="A9994" s="0" t="n">
        <f aca="false">ACCRINT(DATE(2024,1,1),DATE(2024,7,1),DATE(2024,7,1),0.05,1000,4,2)</f>
        <v>25.2777777777778</v>
      </c>
      <c r="B9994" s="0" t="s">
        <v>9958</v>
      </c>
    </row>
    <row r="9995" customFormat="false" ht="15" hidden="false" customHeight="false" outlineLevel="0" collapsed="false">
      <c r="A9995" s="0" t="e">
        <f aca="false">ACCRINT(DATE(2024,1,1),DATE(2024,7,1),DATE(2024,7,1),0.1,100,4,2,TRUE())</f>
        <v>#VALUE!</v>
      </c>
      <c r="B9995" s="0" t="s">
        <v>9959</v>
      </c>
    </row>
    <row r="9996" customFormat="false" ht="15" hidden="false" customHeight="false" outlineLevel="0" collapsed="false">
      <c r="A9996" s="0" t="e">
        <f aca="false">ACCRINT(DATE(2024,1,1),DATE(2024,7,1),DATE(2024,7,1),0.1,100,4,2,FALSE())</f>
        <v>#VALUE!</v>
      </c>
      <c r="B9996" s="0" t="s">
        <v>9960</v>
      </c>
    </row>
    <row r="9997" customFormat="false" ht="15" hidden="false" customHeight="false" outlineLevel="0" collapsed="false">
      <c r="A9997" s="0" t="n">
        <f aca="false">ACCRINT(DATE(2024,1,1),DATE(2024,7,1),DATE(2024,7,1),0.05,1000,4,3)</f>
        <v>24.9315068493151</v>
      </c>
      <c r="B9997" s="0" t="s">
        <v>9961</v>
      </c>
    </row>
    <row r="9998" customFormat="false" ht="15" hidden="false" customHeight="false" outlineLevel="0" collapsed="false">
      <c r="A9998" s="0" t="e">
        <f aca="false">ACCRINT(DATE(2024,1,1),DATE(2024,7,1),DATE(2024,7,1),0.1,100,4,3,TRUE())</f>
        <v>#VALUE!</v>
      </c>
      <c r="B9998" s="0" t="s">
        <v>9962</v>
      </c>
    </row>
    <row r="9999" customFormat="false" ht="15" hidden="false" customHeight="false" outlineLevel="0" collapsed="false">
      <c r="A9999" s="0" t="e">
        <f aca="false">ACCRINT(DATE(2024,1,1),DATE(2024,7,1),DATE(2024,7,1),0.1,100,4,3,FALSE())</f>
        <v>#VALUE!</v>
      </c>
      <c r="B9999" s="0" t="s">
        <v>9963</v>
      </c>
    </row>
    <row r="10000" customFormat="false" ht="15" hidden="false" customHeight="false" outlineLevel="0" collapsed="false">
      <c r="A10000" s="0" t="n">
        <f aca="false">ACCRINT(DATE(2024,1,1),DATE(2024,7,1),DATE(2024,7,1),0.05,1000,4,4)</f>
        <v>25</v>
      </c>
      <c r="B10000" s="0" t="s">
        <v>9964</v>
      </c>
    </row>
    <row r="10001" customFormat="false" ht="15" hidden="false" customHeight="false" outlineLevel="0" collapsed="false">
      <c r="A10001" s="0" t="e">
        <f aca="false">ACCRINT(DATE(2024,1,1),DATE(2024,7,1),DATE(2024,7,1),0.1,100,4,4,TRUE())</f>
        <v>#VALUE!</v>
      </c>
      <c r="B10001" s="0" t="s">
        <v>9965</v>
      </c>
    </row>
    <row r="10002" customFormat="false" ht="15" hidden="false" customHeight="false" outlineLevel="0" collapsed="false">
      <c r="A10002" s="0" t="e">
        <f aca="false">ACCRINT(DATE(2024,1,1),DATE(2024,7,1),DATE(2024,7,1),0.1,100,4,4,FALSE())</f>
        <v>#VALUE!</v>
      </c>
      <c r="B10002" s="0" t="s">
        <v>9966</v>
      </c>
    </row>
    <row r="10003" customFormat="false" ht="15" hidden="false" customHeight="false" outlineLevel="0" collapsed="false">
      <c r="A10003" s="0" t="e">
        <f aca="false">PRICE(DATE(2024,1,15),DATE(2029,6,30),-0.01,0.08,100,2,0)</f>
        <v>#VALUE!</v>
      </c>
      <c r="B10003" s="0" t="s">
        <v>9967</v>
      </c>
    </row>
    <row r="10004" customFormat="false" ht="15" hidden="false" customHeight="false" outlineLevel="0" collapsed="false">
      <c r="A10004" s="0" t="e">
        <f aca="false">PRICE(DATE(2024,1,15),DATE(2029,6,30),0.05,-0.01,100,2,0)</f>
        <v>#VALUE!</v>
      </c>
      <c r="B10004" s="0" t="s">
        <v>9968</v>
      </c>
    </row>
    <row r="10005" customFormat="false" ht="15" hidden="false" customHeight="false" outlineLevel="0" collapsed="false">
      <c r="A10005" s="0" t="e">
        <f aca="false">PRICE(DATE(2024,1,15),DATE(2029,6,30),0.05,0.08,0,2,0)</f>
        <v>#VALUE!</v>
      </c>
      <c r="B10005" s="0" t="s">
        <v>9969</v>
      </c>
    </row>
    <row r="10006" customFormat="false" ht="15" hidden="false" customHeight="false" outlineLevel="0" collapsed="false">
      <c r="A10006" s="0" t="e">
        <f aca="false">PRICE(DATE(2024,1,15),DATE(2029,6,30),0.05,0.08,-1,2,0)</f>
        <v>#VALUE!</v>
      </c>
      <c r="B10006" s="0" t="s">
        <v>9970</v>
      </c>
    </row>
    <row r="10007" customFormat="false" ht="15" hidden="false" customHeight="false" outlineLevel="0" collapsed="false">
      <c r="A10007" s="0" t="e">
        <f aca="false">PRICE(DATE(2024,1,15),DATE(2029,6,30),0.05,0.08,100,3,0)</f>
        <v>#VALUE!</v>
      </c>
      <c r="B10007" s="0" t="s">
        <v>9971</v>
      </c>
    </row>
    <row r="10008" customFormat="false" ht="15" hidden="false" customHeight="false" outlineLevel="0" collapsed="false">
      <c r="A10008" s="0" t="e">
        <f aca="false">PRICE(DATE(2024,1,15),DATE(2029,6,30),0.05,0.08,100,2,5)</f>
        <v>#VALUE!</v>
      </c>
      <c r="B10008" s="0" t="s">
        <v>9972</v>
      </c>
    </row>
    <row r="10009" customFormat="false" ht="15" hidden="false" customHeight="false" outlineLevel="0" collapsed="false">
      <c r="A10009" s="0" t="n">
        <f aca="false">PRICE(DATE(2024,1,15),DATE(2029,6,30),0.05,0.08,100,2)</f>
        <v>86.9353062968297</v>
      </c>
      <c r="B10009" s="0" t="s">
        <v>9973</v>
      </c>
    </row>
    <row r="10010" customFormat="false" ht="15" hidden="false" customHeight="false" outlineLevel="0" collapsed="false">
      <c r="A10010" s="0" t="e">
        <f aca="false">PRICE(DATE(2024,1,15),DATE(2029,6,30),0.05,0.08,100)</f>
        <v>#VALUE!</v>
      </c>
      <c r="B10010" s="0" t="s">
        <v>9974</v>
      </c>
    </row>
    <row r="10011" customFormat="false" ht="15" hidden="false" customHeight="false" outlineLevel="0" collapsed="false">
      <c r="A10011" s="0" t="n">
        <f aca="false">PRICE(DATE(2024,1,15),DATE(2029,6,30),0.05,0,100,2,0)</f>
        <v>127.291666666667</v>
      </c>
      <c r="B10011" s="0" t="s">
        <v>9975</v>
      </c>
    </row>
    <row r="10012" customFormat="false" ht="15" hidden="false" customHeight="false" outlineLevel="0" collapsed="false">
      <c r="A10012" s="0" t="n">
        <f aca="false">PRICE("2024-01-15","2029-06-30",0.05,0.08,100,2,0)</f>
        <v>86.9353062968297</v>
      </c>
      <c r="B10012" s="0" t="s">
        <v>9976</v>
      </c>
    </row>
    <row r="10013" customFormat="false" ht="15" hidden="false" customHeight="false" outlineLevel="0" collapsed="false">
      <c r="A10013" s="0" t="e">
        <f aca="false">PRICE(DATE(2024,1,15),DATE(2029,6,30),"x",0.08,100,2,0)</f>
        <v>#VALUE!</v>
      </c>
      <c r="B10013" s="0" t="s">
        <v>9977</v>
      </c>
    </row>
    <row r="10014" customFormat="false" ht="15" hidden="false" customHeight="false" outlineLevel="0" collapsed="false">
      <c r="A10014" s="0" t="n">
        <f aca="false">PRICE(DATE(2024,1,15),DATE(2029,6,30),0.05,0.08,100,2,Data!D1)</f>
        <v>86.9353062968297</v>
      </c>
      <c r="B10014" s="0" t="s">
        <v>9978</v>
      </c>
    </row>
    <row r="10015" customFormat="false" ht="15" hidden="false" customHeight="false" outlineLevel="0" collapsed="false">
      <c r="A10015" s="0" t="n">
        <f aca="false">PRICE(DATE(2024,1,15),DATE(2029,6,30),0.05,0.08,100,TRUE(),0)</f>
        <v>87.0894971044755</v>
      </c>
      <c r="B10015" s="0" t="s">
        <v>9979</v>
      </c>
    </row>
    <row r="10016" customFormat="false" ht="15" hidden="false" customHeight="false" outlineLevel="0" collapsed="false">
      <c r="A10016" s="0" t="n">
        <f aca="false">PRICE(DATE(2024,1,15),DATE(2029,6,30),Data!D1,0.08,100,2,0)</f>
        <v>65.1707490500684</v>
      </c>
      <c r="B10016" s="0" t="s">
        <v>9980</v>
      </c>
    </row>
    <row r="10017" customFormat="false" ht="15" hidden="false" customHeight="false" outlineLevel="0" collapsed="false">
      <c r="A10017" s="0" t="e">
        <f aca="false">PRICE(DATE(2024,1,15),DATE(2029,6,30),0.05,NA(),100,2,0)</f>
        <v>#N/A</v>
      </c>
      <c r="B10017" s="0" t="s">
        <v>9981</v>
      </c>
    </row>
    <row r="10018" customFormat="false" ht="15" hidden="false" customHeight="false" outlineLevel="0" collapsed="false">
      <c r="A10018" s="0" t="e">
        <f aca="false">YIELD(DATE(2024,1,15),DATE(2029,6,30),0.05,0,100,2,0)</f>
        <v>#VALUE!</v>
      </c>
      <c r="B10018" s="0" t="s">
        <v>9982</v>
      </c>
    </row>
    <row r="10019" customFormat="false" ht="15" hidden="false" customHeight="false" outlineLevel="0" collapsed="false">
      <c r="A10019" s="0" t="e">
        <f aca="false">YIELD(DATE(2024,1,15),DATE(2029,6,30),0.05,-5,100,2,0)</f>
        <v>#VALUE!</v>
      </c>
      <c r="B10019" s="0" t="s">
        <v>9983</v>
      </c>
    </row>
    <row r="10020" customFormat="false" ht="15" hidden="false" customHeight="false" outlineLevel="0" collapsed="false">
      <c r="A10020" s="0" t="e">
        <f aca="false">YIELD(DATE(2024,1,15),DATE(2029,6,30),0.05,95,0,2,0)</f>
        <v>#VALUE!</v>
      </c>
      <c r="B10020" s="0" t="s">
        <v>9984</v>
      </c>
    </row>
    <row r="10021" customFormat="false" ht="15" hidden="false" customHeight="false" outlineLevel="0" collapsed="false">
      <c r="A10021" s="0" t="e">
        <f aca="false">YIELD(DATE(2024,1,15),DATE(2029,6,30),-0.05,95,100,2,0)</f>
        <v>#VALUE!</v>
      </c>
      <c r="B10021" s="0" t="s">
        <v>9985</v>
      </c>
    </row>
    <row r="10022" customFormat="false" ht="15" hidden="false" customHeight="false" outlineLevel="0" collapsed="false">
      <c r="A10022" s="0" t="e">
        <f aca="false">YIELD(DATE(2024,1,15),DATE(2029,6,30),0.05,1000000,100,2,0)</f>
        <v>#VALUE!</v>
      </c>
      <c r="B10022" s="0" t="s">
        <v>9986</v>
      </c>
    </row>
    <row r="10023" customFormat="false" ht="15" hidden="false" customHeight="false" outlineLevel="0" collapsed="false">
      <c r="A10023" s="0" t="n">
        <f aca="false">YIELD(DATE(2024,1,15),DATE(2029,6,30),0.05,1,100,2,0)</f>
        <v>4.56992553856326</v>
      </c>
      <c r="B10023" s="0" t="s">
        <v>9987</v>
      </c>
    </row>
    <row r="10024" customFormat="false" ht="15" hidden="false" customHeight="false" outlineLevel="0" collapsed="false">
      <c r="A10024" s="0" t="n">
        <f aca="false">YIELD(DATE(2024,1,15),DATE(2024,3,15),0.05,99,100,2,0)</f>
        <v>0.111273648317969</v>
      </c>
      <c r="B10024" s="0" t="s">
        <v>9988</v>
      </c>
    </row>
    <row r="10025" customFormat="false" ht="15" hidden="false" customHeight="false" outlineLevel="0" collapsed="false">
      <c r="A10025" s="0" t="n">
        <f aca="false">YIELD(DATE(2024,1,15),DATE(2024,3,15),0.05,101,100,2,0)</f>
        <v>-0.00972445618662891</v>
      </c>
      <c r="B10025" s="0" t="s">
        <v>9989</v>
      </c>
    </row>
    <row r="10026" customFormat="false" ht="15" hidden="false" customHeight="false" outlineLevel="0" collapsed="false">
      <c r="A10026" s="0" t="n">
        <f aca="false">YIELD(DATE(2024,1,15),DATE(2024,3,15),0.05,99,100,1,2)</f>
        <v>0.106102649081948</v>
      </c>
      <c r="B10026" s="0" t="s">
        <v>9990</v>
      </c>
    </row>
    <row r="10027" customFormat="false" ht="15" hidden="false" customHeight="false" outlineLevel="0" collapsed="false">
      <c r="A10027" s="0" t="n">
        <f aca="false">YIELD(DATE(2024,1,15),DATE(2024,2,15),0.05,99.9,100,4,3)</f>
        <v>0.0604210613592726</v>
      </c>
      <c r="B10027" s="0" t="s">
        <v>9991</v>
      </c>
    </row>
    <row r="10028" customFormat="false" ht="15" hidden="false" customHeight="false" outlineLevel="0" collapsed="false">
      <c r="A10028" s="0" t="n">
        <f aca="false">YIELD(DATE(2024,1,15),DATE(2054,6,30),0.05,60,100,2,0)</f>
        <v>0.0879251735881362</v>
      </c>
      <c r="B10028" s="0" t="s">
        <v>9992</v>
      </c>
    </row>
    <row r="10029" customFormat="false" ht="15" hidden="false" customHeight="false" outlineLevel="0" collapsed="false">
      <c r="A10029" s="0" t="n">
        <f aca="false">YIELD(DATE(2024,1,15),DATE(2029,6,30),0.5,300,100,2,0)</f>
        <v>0.0621981455814291</v>
      </c>
      <c r="B10029" s="0" t="s">
        <v>9993</v>
      </c>
    </row>
    <row r="10030" customFormat="false" ht="15" hidden="false" customHeight="false" outlineLevel="0" collapsed="false">
      <c r="A10030" s="0" t="e">
        <f aca="false">DURATION(DATE(2024,1,15),DATE(2029,6,30),-0.05,0.08,2,0)</f>
        <v>#VALUE!</v>
      </c>
      <c r="B10030" s="0" t="s">
        <v>9994</v>
      </c>
    </row>
    <row r="10031" customFormat="false" ht="15" hidden="false" customHeight="false" outlineLevel="0" collapsed="false">
      <c r="A10031" s="0" t="e">
        <f aca="false">DURATION(DATE(2024,1,15),DATE(2029,6,30),0.05,-0.08,2,0)</f>
        <v>#VALUE!</v>
      </c>
      <c r="B10031" s="0" t="s">
        <v>9995</v>
      </c>
    </row>
    <row r="10032" customFormat="false" ht="15" hidden="false" customHeight="false" outlineLevel="0" collapsed="false">
      <c r="A10032" s="0" t="e">
        <f aca="false">DURATION(DATE(2024,1,15),DATE(2029,6,30),0.05,0.08,3,0)</f>
        <v>#VALUE!</v>
      </c>
      <c r="B10032" s="0" t="s">
        <v>9996</v>
      </c>
    </row>
    <row r="10033" customFormat="false" ht="15" hidden="false" customHeight="false" outlineLevel="0" collapsed="false">
      <c r="A10033" s="0" t="e">
        <f aca="false">DURATION(DATE(2024,1,15),DATE(2029,6,30),0.05,0.08,2,6)</f>
        <v>#VALUE!</v>
      </c>
      <c r="B10033" s="0" t="s">
        <v>9997</v>
      </c>
    </row>
    <row r="10034" customFormat="false" ht="15" hidden="false" customHeight="false" outlineLevel="0" collapsed="false">
      <c r="A10034" s="0" t="e">
        <f aca="false">DISC(DATE(2024,1,15),DATE(2024,6,30),0,100,0)</f>
        <v>#VALUE!</v>
      </c>
      <c r="B10034" s="0" t="s">
        <v>9998</v>
      </c>
    </row>
    <row r="10035" customFormat="false" ht="15" hidden="false" customHeight="false" outlineLevel="0" collapsed="false">
      <c r="A10035" s="0" t="e">
        <f aca="false">DISC(DATE(2024,1,15),DATE(2024,6,30),95,0,0)</f>
        <v>#VALUE!</v>
      </c>
      <c r="B10035" s="0" t="s">
        <v>9999</v>
      </c>
    </row>
    <row r="10036" customFormat="false" ht="15" hidden="false" customHeight="false" outlineLevel="0" collapsed="false">
      <c r="A10036" s="0" t="e">
        <f aca="false">DISC(DATE(2024,1,15),DATE(2024,6,30),-95,100,0)</f>
        <v>#VALUE!</v>
      </c>
      <c r="B10036" s="0" t="s">
        <v>10000</v>
      </c>
    </row>
    <row r="10037" customFormat="false" ht="15" hidden="false" customHeight="false" outlineLevel="0" collapsed="false">
      <c r="A10037" s="0" t="e">
        <f aca="false">DISC(DATE(2024,1,15),DATE(2024,6,30),95,100,5)</f>
        <v>#VALUE!</v>
      </c>
      <c r="B10037" s="0" t="s">
        <v>10001</v>
      </c>
    </row>
    <row r="10038" customFormat="false" ht="15" hidden="false" customHeight="false" outlineLevel="0" collapsed="false">
      <c r="A10038" s="0" t="n">
        <f aca="false">DISC(DATE(2024,1,15),DATE(2024,6,30),95,100)</f>
        <v>0.109090909090909</v>
      </c>
      <c r="B10038" s="0" t="s">
        <v>10002</v>
      </c>
    </row>
    <row r="10039" customFormat="false" ht="15" hidden="false" customHeight="false" outlineLevel="0" collapsed="false">
      <c r="A10039" s="0" t="e">
        <f aca="false">PRICEDISC(DATE(2024,1,15),DATE(2024,6,30),-0.05,100,0)</f>
        <v>#VALUE!</v>
      </c>
      <c r="B10039" s="0" t="s">
        <v>10003</v>
      </c>
    </row>
    <row r="10040" customFormat="false" ht="15" hidden="false" customHeight="false" outlineLevel="0" collapsed="false">
      <c r="A10040" s="0" t="e">
        <f aca="false">PRICEDISC(DATE(2024,1,15),DATE(2024,6,30),0.05,0,0)</f>
        <v>#VALUE!</v>
      </c>
      <c r="B10040" s="0" t="s">
        <v>10004</v>
      </c>
    </row>
    <row r="10041" customFormat="false" ht="15" hidden="false" customHeight="false" outlineLevel="0" collapsed="false">
      <c r="A10041" s="0" t="e">
        <f aca="false">PRICEDISC(DATE(2024,1,15),DATE(2024,6,30),0,100,0)</f>
        <v>#VALUE!</v>
      </c>
      <c r="B10041" s="0" t="s">
        <v>10005</v>
      </c>
    </row>
    <row r="10042" customFormat="false" ht="15" hidden="false" customHeight="false" outlineLevel="0" collapsed="false">
      <c r="A10042" s="0" t="n">
        <f aca="false">PRICEDISC(DATE(2024,1,15),DATE(2025,6,30),5,100,0)</f>
        <v>-629.166666666667</v>
      </c>
      <c r="B10042" s="0" t="s">
        <v>10006</v>
      </c>
    </row>
    <row r="10043" customFormat="false" ht="15" hidden="false" customHeight="false" outlineLevel="0" collapsed="false">
      <c r="A10043" s="0" t="e">
        <f aca="false">YIELDDISC(DATE(2024,1,15),DATE(2024,6,30),0,100,0)</f>
        <v>#VALUE!</v>
      </c>
      <c r="B10043" s="0" t="s">
        <v>10007</v>
      </c>
    </row>
    <row r="10044" customFormat="false" ht="15" hidden="false" customHeight="false" outlineLevel="0" collapsed="false">
      <c r="A10044" s="0" t="e">
        <f aca="false">YIELDDISC(DATE(2024,1,15),DATE(2024,6,30),95,0,0)</f>
        <v>#VALUE!</v>
      </c>
      <c r="B10044" s="0" t="s">
        <v>10008</v>
      </c>
    </row>
    <row r="10045" customFormat="false" ht="15" hidden="false" customHeight="false" outlineLevel="0" collapsed="false">
      <c r="A10045" s="0" t="e">
        <f aca="false">RECEIVED(DATE(2024,1,15),DATE(2024,6,30),0,0.05,0)</f>
        <v>#VALUE!</v>
      </c>
      <c r="B10045" s="0" t="s">
        <v>10009</v>
      </c>
    </row>
    <row r="10046" customFormat="false" ht="15" hidden="false" customHeight="false" outlineLevel="0" collapsed="false">
      <c r="A10046" s="0" t="e">
        <f aca="false">RECEIVED(DATE(2024,1,15),DATE(2024,6,30),1000,0,0)</f>
        <v>#VALUE!</v>
      </c>
      <c r="B10046" s="0" t="s">
        <v>10010</v>
      </c>
    </row>
    <row r="10047" customFormat="false" ht="15" hidden="false" customHeight="false" outlineLevel="0" collapsed="false">
      <c r="A10047" s="0" t="n">
        <f aca="false">RECEIVED(DATE(2024,1,15),DATE(2024,6,30),1000,50,0)</f>
        <v>-45.6273764258555</v>
      </c>
      <c r="B10047" s="0" t="s">
        <v>10011</v>
      </c>
    </row>
    <row r="10048" customFormat="false" ht="15" hidden="false" customHeight="false" outlineLevel="0" collapsed="false">
      <c r="A10048" s="0" t="e">
        <f aca="false">INTRATE(DATE(2024,1,15),DATE(2024,6,30),0,1000,0)</f>
        <v>#VALUE!</v>
      </c>
      <c r="B10048" s="0" t="s">
        <v>10012</v>
      </c>
    </row>
    <row r="10049" customFormat="false" ht="15" hidden="false" customHeight="false" outlineLevel="0" collapsed="false">
      <c r="A10049" s="0" t="e">
        <f aca="false">INTRATE(DATE(2024,1,15),DATE(2024,6,30),1000,0,0)</f>
        <v>#VALUE!</v>
      </c>
      <c r="B10049" s="0" t="s">
        <v>10013</v>
      </c>
    </row>
    <row r="10050" customFormat="false" ht="15" hidden="false" customHeight="false" outlineLevel="0" collapsed="false">
      <c r="A10050" s="0" t="n">
        <f aca="false">INTRATE(DATE(2024,1,15),DATE(2024,6,30),1000,900,0)</f>
        <v>-0.218181818181818</v>
      </c>
      <c r="B10050" s="0" t="s">
        <v>10014</v>
      </c>
    </row>
    <row r="10051" customFormat="false" ht="15" hidden="false" customHeight="false" outlineLevel="0" collapsed="false">
      <c r="A10051" s="0" t="n">
        <f aca="false">PRICEMAT(DATE(2024,1,15),DATE(2024,6,30),DATE(2024,2,1),0.05,0.06,0)</f>
        <v>99.1154366044877</v>
      </c>
      <c r="B10051" s="0" t="s">
        <v>10015</v>
      </c>
    </row>
    <row r="10052" customFormat="false" ht="15" hidden="false" customHeight="false" outlineLevel="0" collapsed="false">
      <c r="A10052" s="0" t="n">
        <f aca="false">PRICEMAT(DATE(2024,1,15),DATE(2024,6,30),DATE(2024,1,15),0.05,0.06,0)</f>
        <v>99.5539334955393</v>
      </c>
      <c r="B10052" s="0" t="s">
        <v>10016</v>
      </c>
    </row>
    <row r="10053" customFormat="false" ht="15" hidden="false" customHeight="false" outlineLevel="0" collapsed="false">
      <c r="A10053" s="0" t="e">
        <f aca="false">PRICEMAT(DATE(2024,1,15),DATE(2024,6,30),DATE(2023,1,15),-0.05,0.06,0)</f>
        <v>#VALUE!</v>
      </c>
      <c r="B10053" s="0" t="s">
        <v>10017</v>
      </c>
    </row>
    <row r="10054" customFormat="false" ht="15" hidden="false" customHeight="false" outlineLevel="0" collapsed="false">
      <c r="A10054" s="0" t="e">
        <f aca="false">PRICEMAT(DATE(2024,1,15),DATE(2024,6,30),DATE(2023,1,15),0.05,-0.06,0)</f>
        <v>#VALUE!</v>
      </c>
      <c r="B10054" s="0" t="s">
        <v>10018</v>
      </c>
    </row>
    <row r="10055" customFormat="false" ht="15" hidden="false" customHeight="false" outlineLevel="0" collapsed="false">
      <c r="A10055" s="0" t="e">
        <f aca="false">YIELDMAT(DATE(2024,1,15),DATE(2024,6,30),DATE(2023,1,15),0.05,0,0)</f>
        <v>#VALUE!</v>
      </c>
      <c r="B10055" s="0" t="s">
        <v>10019</v>
      </c>
    </row>
    <row r="10056" customFormat="false" ht="15" hidden="false" customHeight="false" outlineLevel="0" collapsed="false">
      <c r="A10056" s="0" t="e">
        <f aca="false">YIELDMAT(DATE(2024,1,15),DATE(2024,6,30),DATE(2023,1,15),-0.05,95,0)</f>
        <v>#VALUE!</v>
      </c>
      <c r="B10056" s="0" t="s">
        <v>10020</v>
      </c>
    </row>
    <row r="10057" customFormat="false" ht="15" hidden="false" customHeight="false" outlineLevel="0" collapsed="false">
      <c r="A10057" s="0" t="e">
        <f aca="false">ACCRINTM(DATE(2024,1,15),DATE(2024,6,30),0,1000,0)</f>
        <v>#VALUE!</v>
      </c>
      <c r="B10057" s="0" t="s">
        <v>10021</v>
      </c>
    </row>
    <row r="10058" customFormat="false" ht="15" hidden="false" customHeight="false" outlineLevel="0" collapsed="false">
      <c r="A10058" s="0" t="e">
        <f aca="false">ACCRINTM(DATE(2024,1,15),DATE(2024,6,30),0.05,0,0)</f>
        <v>#VALUE!</v>
      </c>
      <c r="B10058" s="0" t="s">
        <v>10022</v>
      </c>
    </row>
    <row r="10059" customFormat="false" ht="15" hidden="false" customHeight="false" outlineLevel="0" collapsed="false">
      <c r="A10059" s="0" t="e">
        <f aca="false">ACCRINTM(DATE(2024,6,30),DATE(2024,1,15),0.05,1000,0)</f>
        <v>#VALUE!</v>
      </c>
      <c r="B10059" s="0" t="s">
        <v>10023</v>
      </c>
    </row>
    <row r="10060" customFormat="false" ht="15" hidden="false" customHeight="false" outlineLevel="0" collapsed="false">
      <c r="A10060" s="0" t="n">
        <f aca="false">ACCRINTM(DATE(2024,1,15),DATE(2024,6,30),0.05,1000)</f>
        <v>22.9166666666667</v>
      </c>
      <c r="B10060" s="0" t="s">
        <v>10024</v>
      </c>
    </row>
    <row r="10061" customFormat="false" ht="15" hidden="false" customHeight="false" outlineLevel="0" collapsed="false">
      <c r="A10061" s="0" t="n">
        <f aca="false">ACCRINTM(DATE(2024,1,15),DATE(2024,6,30),0.05,1000)</f>
        <v>22.9166666666667</v>
      </c>
      <c r="B10061" s="0" t="s">
        <v>10025</v>
      </c>
    </row>
    <row r="10062" customFormat="false" ht="15" hidden="false" customHeight="false" outlineLevel="0" collapsed="false">
      <c r="A10062" s="0" t="e">
        <f aca="false">ACCRINTM(DATE(2024,1,15),DATE(2024,1,15),0.05,1000,0)</f>
        <v>#VALUE!</v>
      </c>
      <c r="B10062" s="0" t="s">
        <v>10026</v>
      </c>
    </row>
    <row r="10063" customFormat="false" ht="15" hidden="false" customHeight="false" outlineLevel="0" collapsed="false">
      <c r="A10063" s="0" t="n">
        <f aca="false">TBILLPRICE(DATE(2024,1,15),DATE(2025,1,16),0.05)</f>
        <v>94.9722222222222</v>
      </c>
      <c r="B10063" s="0" t="s">
        <v>10027</v>
      </c>
    </row>
    <row r="10064" customFormat="false" ht="15" hidden="false" customHeight="false" outlineLevel="0" collapsed="false">
      <c r="A10064" s="0" t="n">
        <f aca="false">TBILLPRICE(DATE(2024,1,15),DATE(2025,1,15),0.05)</f>
        <v>94.9861111111111</v>
      </c>
      <c r="B10064" s="0" t="s">
        <v>10028</v>
      </c>
    </row>
    <row r="10065" customFormat="false" ht="15" hidden="false" customHeight="false" outlineLevel="0" collapsed="false">
      <c r="A10065" s="0" t="e">
        <f aca="false">TBILLPRICE(DATE(2024,1,15),DATE(2024,6,30),0)</f>
        <v>#VALUE!</v>
      </c>
      <c r="B10065" s="0" t="s">
        <v>10029</v>
      </c>
    </row>
    <row r="10066" customFormat="false" ht="15" hidden="false" customHeight="false" outlineLevel="0" collapsed="false">
      <c r="A10066" s="0" t="e">
        <f aca="false">TBILLPRICE(DATE(2024,1,15),DATE(2024,6,30),-0.05)</f>
        <v>#VALUE!</v>
      </c>
      <c r="B10066" s="0" t="s">
        <v>10030</v>
      </c>
    </row>
    <row r="10067" customFormat="false" ht="15" hidden="false" customHeight="false" outlineLevel="0" collapsed="false">
      <c r="A10067" s="0" t="n">
        <f aca="false">TBILLPRICE(DATE(2024,1,15),DATE(2024,6,30),5)</f>
        <v>-130.555555555556</v>
      </c>
      <c r="B10067" s="0" t="s">
        <v>10031</v>
      </c>
    </row>
    <row r="10068" customFormat="false" ht="15" hidden="false" customHeight="false" outlineLevel="0" collapsed="false">
      <c r="A10068" s="0" t="e">
        <f aca="false">TBILLPRICE(DATE(2024,6,30),DATE(2024,1,15),0.05)</f>
        <v>#VALUE!</v>
      </c>
      <c r="B10068" s="0" t="s">
        <v>10032</v>
      </c>
    </row>
    <row r="10069" customFormat="false" ht="15" hidden="false" customHeight="false" outlineLevel="0" collapsed="false">
      <c r="A10069" s="0" t="e">
        <f aca="false">TBILLYIELD(DATE(2024,1,15),DATE(2025,1,16),98)</f>
        <v>#VALUE!</v>
      </c>
      <c r="B10069" s="0" t="s">
        <v>10033</v>
      </c>
    </row>
    <row r="10070" customFormat="false" ht="15" hidden="false" customHeight="false" outlineLevel="0" collapsed="false">
      <c r="A10070" s="0" t="e">
        <f aca="false">TBILLYIELD(DATE(2024,1,15),DATE(2024,6,30),0)</f>
        <v>#VALUE!</v>
      </c>
      <c r="B10070" s="0" t="s">
        <v>10034</v>
      </c>
    </row>
    <row r="10071" customFormat="false" ht="15" hidden="false" customHeight="false" outlineLevel="0" collapsed="false">
      <c r="A10071" s="0" t="e">
        <f aca="false">TBILLYIELD(DATE(2024,1,15),DATE(2024,6,30),-5)</f>
        <v>#VALUE!</v>
      </c>
      <c r="B10071" s="0" t="s">
        <v>10035</v>
      </c>
    </row>
    <row r="10072" customFormat="false" ht="15" hidden="false" customHeight="false" outlineLevel="0" collapsed="false">
      <c r="A10072" s="0" t="n">
        <f aca="false">TBILLYIELD(DATE(2024,1,15),DATE(2024,6,30),100)</f>
        <v>0</v>
      </c>
      <c r="B10072" s="0" t="s">
        <v>10036</v>
      </c>
    </row>
    <row r="10073" customFormat="false" ht="15" hidden="false" customHeight="false" outlineLevel="0" collapsed="false">
      <c r="A10073" s="0" t="e">
        <f aca="false">TBILLEQ(DATE(2024,1,15),DATE(2025,1,16),0.05)</f>
        <v>#VALUE!</v>
      </c>
      <c r="B10073" s="0" t="s">
        <v>10037</v>
      </c>
    </row>
    <row r="10074" customFormat="false" ht="15" hidden="false" customHeight="false" outlineLevel="0" collapsed="false">
      <c r="A10074" s="0" t="e">
        <f aca="false">TBILLEQ(DATE(2024,1,15),DATE(2024,6,30),0)</f>
        <v>#VALUE!</v>
      </c>
      <c r="B10074" s="0" t="s">
        <v>10038</v>
      </c>
    </row>
    <row r="10075" customFormat="false" ht="15" hidden="false" customHeight="false" outlineLevel="0" collapsed="false">
      <c r="A10075" s="0" t="e">
        <f aca="false">TBILLEQ(DATE(2024,1,15),DATE(2024,6,30),-0.05)</f>
        <v>#VALUE!</v>
      </c>
      <c r="B10075" s="0" t="s">
        <v>10039</v>
      </c>
    </row>
    <row r="10076" customFormat="false" ht="15" hidden="false" customHeight="false" outlineLevel="0" collapsed="false">
      <c r="A10076" s="0" t="n">
        <f aca="false">TBILLEQ(DATE(2024,1,15),DATE(2024,6,30),0.5)</f>
        <v>0.65884476534296</v>
      </c>
      <c r="B10076" s="0" t="s">
        <v>10040</v>
      </c>
    </row>
    <row r="10077" customFormat="false" ht="15" hidden="false" customHeight="false" outlineLevel="0" collapsed="false">
      <c r="A10077" s="0" t="n">
        <f aca="false">TBILLEQ(DATE(2024,1,15),DATE(2024,12,30),0.5)</f>
        <v>0.975935828877005</v>
      </c>
      <c r="B10077" s="0" t="s">
        <v>10041</v>
      </c>
    </row>
    <row r="10078" customFormat="false" ht="15" hidden="false" customHeight="false" outlineLevel="0" collapsed="false">
      <c r="A10078" s="0" t="n">
        <f aca="false">TBILLEQ(DATE(2024,1,15),DATE(2024,12,30),0.05)</f>
        <v>0.0532535745550044</v>
      </c>
      <c r="B10078" s="0" t="s">
        <v>10042</v>
      </c>
    </row>
    <row r="10079" customFormat="false" ht="15" hidden="false" customHeight="false" outlineLevel="0" collapsed="false">
      <c r="A10079" s="0" t="n">
        <f aca="false">TBILLEQ(DATE(2024,1,15),DATE(2024,9,30),0.08)</f>
        <v>0.0860037700282752</v>
      </c>
      <c r="B10079" s="0" t="s">
        <v>10043</v>
      </c>
    </row>
    <row r="10080" customFormat="false" ht="15" hidden="false" customHeight="false" outlineLevel="0" collapsed="false">
      <c r="A10080" s="0" t="e">
        <f aca="false">ACCRINT(DATE(2024,1,1),DATE(2024,7,1),DATE(2024,4,15),-0.05,1000,2,0)</f>
        <v>#VALUE!</v>
      </c>
      <c r="B10080" s="0" t="s">
        <v>10044</v>
      </c>
    </row>
    <row r="10081" customFormat="false" ht="15" hidden="false" customHeight="false" outlineLevel="0" collapsed="false">
      <c r="A10081" s="0" t="e">
        <f aca="false">ACCRINT(DATE(2024,1,1),DATE(2024,7,1),DATE(2024,4,15),0.05,0,2,0)</f>
        <v>#VALUE!</v>
      </c>
      <c r="B10081" s="0" t="s">
        <v>10045</v>
      </c>
    </row>
    <row r="10082" customFormat="false" ht="15" hidden="false" customHeight="false" outlineLevel="0" collapsed="false">
      <c r="A10082" s="0" t="e">
        <f aca="false">ACCRINT(DATE(2024,1,1),DATE(2024,7,1),DATE(2024,4,15),0.05,-1,2,0)</f>
        <v>#VALUE!</v>
      </c>
      <c r="B10082" s="0" t="s">
        <v>10046</v>
      </c>
    </row>
    <row r="10083" customFormat="false" ht="15" hidden="false" customHeight="false" outlineLevel="0" collapsed="false">
      <c r="A10083" s="0" t="e">
        <f aca="false">ACCRINT(DATE(2024,1,1),DATE(2024,7,1),DATE(2024,4,15),0.05,1000,3,0)</f>
        <v>#VALUE!</v>
      </c>
      <c r="B10083" s="0" t="s">
        <v>10047</v>
      </c>
    </row>
    <row r="10084" customFormat="false" ht="15" hidden="false" customHeight="false" outlineLevel="0" collapsed="false">
      <c r="A10084" s="0" t="e">
        <f aca="false">ACCRINT(DATE(2024,1,1),DATE(2024,7,1),DATE(2024,4,15),0.05,1000,2,7)</f>
        <v>#VALUE!</v>
      </c>
      <c r="B10084" s="0" t="s">
        <v>10048</v>
      </c>
    </row>
    <row r="10085" customFormat="false" ht="15" hidden="false" customHeight="false" outlineLevel="0" collapsed="false">
      <c r="A10085" s="0" t="e">
        <f aca="false">ACCRINT(DATE(2024,4,15),DATE(2024,7,1),DATE(2024,1,1),0.05,1000,2,0)</f>
        <v>#VALUE!</v>
      </c>
      <c r="B10085" s="0" t="s">
        <v>10049</v>
      </c>
    </row>
    <row r="10086" customFormat="false" ht="15" hidden="false" customHeight="false" outlineLevel="0" collapsed="false">
      <c r="A10086" s="0" t="n">
        <f aca="false">ACCRINT(DATE(2024,1,1),DATE(2024,7,1),DATE(2024,4,15),0.05,1000,2)</f>
        <v>14.4444444444444</v>
      </c>
      <c r="B10086" s="0" t="s">
        <v>10050</v>
      </c>
    </row>
    <row r="10087" customFormat="false" ht="15" hidden="false" customHeight="false" outlineLevel="0" collapsed="false">
      <c r="A10087" s="0" t="e">
        <f aca="false">ACCRINT(DATE(2024,1,1),DATE(2024,7,1),DATE(2024,4,15),0.05,1000)</f>
        <v>#VALUE!</v>
      </c>
      <c r="B10087" s="0" t="s">
        <v>10051</v>
      </c>
    </row>
    <row r="10088" customFormat="false" ht="15" hidden="false" customHeight="false" outlineLevel="0" collapsed="false">
      <c r="A10088" s="0" t="e">
        <f aca="false">ACCRINT(DATE(2024,1,1),DATE(2024,7,1),DATE(2024,4,15),0.05,1000,2,0,TRUE(),1)</f>
        <v>#VALUE!</v>
      </c>
      <c r="B10088" s="0" t="s">
        <v>10052</v>
      </c>
    </row>
    <row r="10089" customFormat="false" ht="15" hidden="false" customHeight="false" outlineLevel="0" collapsed="false">
      <c r="A10089" s="0" t="e">
        <f aca="false">ACCRINT(DATE(2024,1,1),DATE(2024,7,1),DATE(2024,4,15),0.05,1000,2,0,2)</f>
        <v>#VALUE!</v>
      </c>
      <c r="B10089" s="0" t="s">
        <v>10053</v>
      </c>
    </row>
    <row r="10090" customFormat="false" ht="15" hidden="false" customHeight="false" outlineLevel="0" collapsed="false">
      <c r="A10090" s="0" t="e">
        <f aca="false">ACCRINT(DATE(2024,1,1),DATE(2024,7,1),DATE(2024,4,15),0.05,1000,2,0,0)</f>
        <v>#VALUE!</v>
      </c>
      <c r="B10090" s="0" t="s">
        <v>10054</v>
      </c>
    </row>
    <row r="10091" customFormat="false" ht="15" hidden="false" customHeight="false" outlineLevel="0" collapsed="false">
      <c r="A10091" s="0" t="e">
        <f aca="false">ACCRINT(DATE(2024,1,1),DATE(2024,7,1),DATE(2024,4,15),0.05,1000,2,0,"x")</f>
        <v>#VALUE!</v>
      </c>
      <c r="B10091" s="0" t="s">
        <v>10055</v>
      </c>
    </row>
    <row r="10092" customFormat="false" ht="15" hidden="false" customHeight="false" outlineLevel="0" collapsed="false">
      <c r="A10092" s="0" t="e">
        <f aca="false">ACCRINT(DATE(2024,1,1),DATE(2024,7,1),DATE(2024,4,15),0.05,1000,2,0,Data!D1)</f>
        <v>#VALUE!</v>
      </c>
      <c r="B10092" s="0" t="s">
        <v>10056</v>
      </c>
    </row>
    <row r="10093" customFormat="false" ht="15" hidden="false" customHeight="false" outlineLevel="0" collapsed="false">
      <c r="A10093" s="0" t="n">
        <f aca="false">ACCRINT(DATE(2024,1,1),DATE(2024,7,1),DATE(2025,4,15),0.05,1000,2,0)</f>
        <v>64.4444444444444</v>
      </c>
      <c r="B10093" s="0" t="s">
        <v>10057</v>
      </c>
    </row>
    <row r="10094" customFormat="false" ht="15" hidden="false" customHeight="false" outlineLevel="0" collapsed="false">
      <c r="A10094" s="0" t="n">
        <f aca="false">ACCRINT(DATE(2024,1,1),DATE(2023,7,1),DATE(2024,4,15),0.05,1000,2,0)</f>
        <v>14.4444444444444</v>
      </c>
      <c r="B10094" s="0" t="s">
        <v>10058</v>
      </c>
    </row>
    <row r="10095" customFormat="false" ht="15" hidden="false" customHeight="false" outlineLevel="0" collapsed="false">
      <c r="A10095" s="0" t="n">
        <f aca="false">PRICEDISC(DATE(2023,12,31),DATE(2025,2,28),0.05,100,0)</f>
        <v>94.2083333333333</v>
      </c>
      <c r="B10095" s="0" t="s">
        <v>10059</v>
      </c>
    </row>
    <row r="10096" customFormat="false" ht="15" hidden="false" customHeight="false" outlineLevel="0" collapsed="false">
      <c r="A10096" s="0" t="n">
        <f aca="false">RECEIVED(DATE(2023,12,31),DATE(2025,2,28),1000,0.05,0)</f>
        <v>1061.47722246793</v>
      </c>
      <c r="B10096" s="0" t="s">
        <v>10060</v>
      </c>
    </row>
    <row r="10097" customFormat="false" ht="15" hidden="false" customHeight="false" outlineLevel="0" collapsed="false">
      <c r="A10097" s="0" t="n">
        <f aca="false">INTRATE(DATE(2023,12,31),DATE(2025,2,28),1000,1050,0)</f>
        <v>0.0431654676258993</v>
      </c>
      <c r="B10097" s="0" t="s">
        <v>10061</v>
      </c>
    </row>
    <row r="10098" customFormat="false" ht="15" hidden="false" customHeight="false" outlineLevel="0" collapsed="false">
      <c r="A10098" s="0" t="n">
        <f aca="false">DISC(DATE(2023,12,31),DATE(2025,2,28),95,100,0)</f>
        <v>0.0430622009569378</v>
      </c>
      <c r="B10098" s="0" t="s">
        <v>10062</v>
      </c>
    </row>
    <row r="10099" customFormat="false" ht="15" hidden="false" customHeight="false" outlineLevel="0" collapsed="false">
      <c r="A10099" s="0" t="n">
        <f aca="false">YIELDDISC(DATE(2023,12,31),DATE(2025,2,28),95,100,0)</f>
        <v>0.0453286325862503</v>
      </c>
      <c r="B10099" s="0" t="s">
        <v>10063</v>
      </c>
    </row>
    <row r="10100" customFormat="false" ht="15" hidden="false" customHeight="false" outlineLevel="0" collapsed="false">
      <c r="A10100" s="0" t="n">
        <f aca="false">ACCRINTM(DATE(2023,12,31),DATE(2025,2,28),0.05,1000,0)</f>
        <v>57.9166666666667</v>
      </c>
      <c r="B10100" s="0" t="s">
        <v>10064</v>
      </c>
    </row>
    <row r="10101" customFormat="false" ht="15" hidden="false" customHeight="false" outlineLevel="0" collapsed="false">
      <c r="A10101" s="0" t="n">
        <f aca="false">PRICEMAT(DATE(2023,12,31),DATE(2025,2,28),DATE(2023,1,31),0.05,0.06,0)</f>
        <v>98.6160018697413</v>
      </c>
      <c r="B10101" s="0" t="s">
        <v>10065</v>
      </c>
    </row>
    <row r="10102" customFormat="false" ht="15" hidden="false" customHeight="false" outlineLevel="0" collapsed="false">
      <c r="A10102" s="0" t="n">
        <f aca="false">YIELDMAT(DATE(2023,12,31),DATE(2025,2,28),DATE(2023,1,31),0.05,98,0)</f>
        <v>0.0655319711286191</v>
      </c>
      <c r="B10102" s="0" t="s">
        <v>10066</v>
      </c>
    </row>
    <row r="10103" customFormat="false" ht="15" hidden="false" customHeight="false" outlineLevel="0" collapsed="false">
      <c r="A10103" s="0" t="n">
        <f aca="false">ACCRINT(DATE(2023,12,31),DATE(2030,1,1),DATE(2025,2,28),0.05,1000,2,0)</f>
        <v>57.9166666666667</v>
      </c>
      <c r="B10103" s="0" t="s">
        <v>10067</v>
      </c>
    </row>
    <row r="10104" customFormat="false" ht="15" hidden="false" customHeight="false" outlineLevel="0" collapsed="false">
      <c r="A10104" s="0" t="n">
        <f aca="false">DURATION(DATE(2023,12,31),DATE(2025,2,28),0.05,0.08,2,0)</f>
        <v>1.12396963213074</v>
      </c>
      <c r="B10104" s="0" t="s">
        <v>10068</v>
      </c>
    </row>
    <row r="10105" customFormat="false" ht="15" hidden="false" customHeight="false" outlineLevel="0" collapsed="false">
      <c r="A10105" s="0" t="n">
        <f aca="false">PRICE(DATE(2023,12,31),DATE(2025,2,28),0.05,0.08,100,2,0)</f>
        <v>96.7096180643942</v>
      </c>
      <c r="B10105" s="0" t="s">
        <v>10069</v>
      </c>
    </row>
    <row r="10106" customFormat="false" ht="15" hidden="false" customHeight="false" outlineLevel="0" collapsed="false">
      <c r="A10106" s="0" t="n">
        <f aca="false">YIELD(DATE(2023,12,31),DATE(2025,2,28),0.05,95,100,2,0)</f>
        <v>0.0962077633985789</v>
      </c>
      <c r="B10106" s="0" t="s">
        <v>10070</v>
      </c>
    </row>
    <row r="10107" customFormat="false" ht="15" hidden="false" customHeight="false" outlineLevel="0" collapsed="false">
      <c r="A10107" s="0" t="n">
        <f aca="false">PRICEDISC(DATE(2023,12,31),DATE(2025,2,28),0.05,100,1)</f>
        <v>94.1780821917808</v>
      </c>
      <c r="B10107" s="0" t="s">
        <v>10071</v>
      </c>
    </row>
    <row r="10108" customFormat="false" ht="15" hidden="false" customHeight="false" outlineLevel="0" collapsed="false">
      <c r="A10108" s="0" t="n">
        <f aca="false">RECEIVED(DATE(2023,12,31),DATE(2025,2,28),1000,0.05,1)</f>
        <v>1061.81818181818</v>
      </c>
      <c r="B10108" s="0" t="s">
        <v>10072</v>
      </c>
    </row>
    <row r="10109" customFormat="false" ht="15" hidden="false" customHeight="false" outlineLevel="0" collapsed="false">
      <c r="A10109" s="0" t="n">
        <f aca="false">INTRATE(DATE(2023,12,31),DATE(2025,2,28),1000,1050,1)</f>
        <v>0.0429411764705883</v>
      </c>
      <c r="B10109" s="0" t="s">
        <v>10073</v>
      </c>
    </row>
    <row r="10110" customFormat="false" ht="15" hidden="false" customHeight="false" outlineLevel="0" collapsed="false">
      <c r="A10110" s="0" t="n">
        <f aca="false">DISC(DATE(2023,12,31),DATE(2025,2,28),95,100,1)</f>
        <v>0.0429803921568628</v>
      </c>
      <c r="B10110" s="0" t="s">
        <v>10074</v>
      </c>
    </row>
    <row r="10111" customFormat="false" ht="15" hidden="false" customHeight="false" outlineLevel="0" collapsed="false">
      <c r="A10111" s="0" t="n">
        <f aca="false">YIELDDISC(DATE(2023,12,31),DATE(2025,2,28),95,100,1)</f>
        <v>0.0452425180598555</v>
      </c>
      <c r="B10111" s="0" t="s">
        <v>10075</v>
      </c>
    </row>
    <row r="10112" customFormat="false" ht="15" hidden="false" customHeight="false" outlineLevel="0" collapsed="false">
      <c r="A10112" s="0" t="n">
        <f aca="false">ACCRINTM(DATE(2023,12,31),DATE(2025,2,28),0.05,1000,1)</f>
        <v>58.2191780821918</v>
      </c>
      <c r="B10112" s="0" t="s">
        <v>10076</v>
      </c>
    </row>
    <row r="10113" customFormat="false" ht="15" hidden="false" customHeight="false" outlineLevel="0" collapsed="false">
      <c r="A10113" s="0" t="n">
        <f aca="false">PRICEMAT(DATE(2023,12,31),DATE(2025,2,28),DATE(2023,1,31),0.05,0.06,1)</f>
        <v>98.6101586003447</v>
      </c>
      <c r="B10113" s="0" t="s">
        <v>10077</v>
      </c>
    </row>
    <row r="10114" customFormat="false" ht="15" hidden="false" customHeight="false" outlineLevel="0" collapsed="false">
      <c r="A10114" s="0" t="n">
        <f aca="false">YIELDMAT(DATE(2023,12,31),DATE(2025,2,28),DATE(2023,1,31),0.05,98,1)</f>
        <v>0.0654701902128373</v>
      </c>
      <c r="B10114" s="0" t="s">
        <v>10078</v>
      </c>
    </row>
    <row r="10115" customFormat="false" ht="15" hidden="false" customHeight="false" outlineLevel="0" collapsed="false">
      <c r="A10115" s="0" t="n">
        <f aca="false">ACCRINT(DATE(2023,12,31),DATE(2030,1,1),DATE(2025,2,28),0.05,1000,2,1)</f>
        <v>58.2191780821918</v>
      </c>
      <c r="B10115" s="0" t="s">
        <v>10079</v>
      </c>
    </row>
    <row r="10116" customFormat="false" ht="15" hidden="false" customHeight="false" outlineLevel="0" collapsed="false">
      <c r="A10116" s="0" t="n">
        <f aca="false">DURATION(DATE(2023,12,31),DATE(2025,2,28),0.05,0.08,2,1)</f>
        <v>1.12617968890284</v>
      </c>
      <c r="B10116" s="0" t="s">
        <v>10080</v>
      </c>
    </row>
    <row r="10117" customFormat="false" ht="15" hidden="false" customHeight="false" outlineLevel="0" collapsed="false">
      <c r="A10117" s="0" t="n">
        <f aca="false">PRICE(DATE(2023,12,31),DATE(2025,2,28),0.05,0.08,100,2,1)</f>
        <v>96.7145948600596</v>
      </c>
      <c r="B10117" s="0" t="s">
        <v>10081</v>
      </c>
    </row>
    <row r="10118" customFormat="false" ht="15" hidden="false" customHeight="false" outlineLevel="0" collapsed="false">
      <c r="A10118" s="0" t="n">
        <f aca="false">YIELD(DATE(2023,12,31),DATE(2025,2,28),0.05,95,100,2,1)</f>
        <v>0.0962797032447933</v>
      </c>
      <c r="B10118" s="0" t="s">
        <v>10082</v>
      </c>
    </row>
    <row r="10119" customFormat="false" ht="15" hidden="false" customHeight="false" outlineLevel="0" collapsed="false">
      <c r="A10119" s="0" t="n">
        <f aca="false">PRICEDISC(DATE(2023,12,31),DATE(2025,2,28),0.05,100,4)</f>
        <v>94.2083333333333</v>
      </c>
      <c r="B10119" s="0" t="s">
        <v>10083</v>
      </c>
    </row>
    <row r="10120" customFormat="false" ht="15" hidden="false" customHeight="false" outlineLevel="0" collapsed="false">
      <c r="A10120" s="0" t="n">
        <f aca="false">RECEIVED(DATE(2023,12,31),DATE(2025,2,28),1000,0.05,4)</f>
        <v>1061.47722246793</v>
      </c>
      <c r="B10120" s="0" t="s">
        <v>10084</v>
      </c>
    </row>
    <row r="10121" customFormat="false" ht="15" hidden="false" customHeight="false" outlineLevel="0" collapsed="false">
      <c r="A10121" s="0" t="n">
        <f aca="false">INTRATE(DATE(2023,12,31),DATE(2025,2,28),1000,1050,4)</f>
        <v>0.0431654676258993</v>
      </c>
      <c r="B10121" s="0" t="s">
        <v>10085</v>
      </c>
    </row>
    <row r="10122" customFormat="false" ht="15" hidden="false" customHeight="false" outlineLevel="0" collapsed="false">
      <c r="A10122" s="0" t="n">
        <f aca="false">DISC(DATE(2023,12,31),DATE(2025,2,28),95,100,4)</f>
        <v>0.0430622009569378</v>
      </c>
      <c r="B10122" s="0" t="s">
        <v>10086</v>
      </c>
    </row>
    <row r="10123" customFormat="false" ht="15" hidden="false" customHeight="false" outlineLevel="0" collapsed="false">
      <c r="A10123" s="0" t="n">
        <f aca="false">YIELDDISC(DATE(2023,12,31),DATE(2025,2,28),95,100,4)</f>
        <v>0.0453286325862503</v>
      </c>
      <c r="B10123" s="0" t="s">
        <v>10087</v>
      </c>
    </row>
    <row r="10124" customFormat="false" ht="15" hidden="false" customHeight="false" outlineLevel="0" collapsed="false">
      <c r="A10124" s="0" t="n">
        <f aca="false">ACCRINTM(DATE(2023,12,31),DATE(2025,2,28),0.05,1000,4)</f>
        <v>57.9166666666667</v>
      </c>
      <c r="B10124" s="0" t="s">
        <v>10088</v>
      </c>
    </row>
    <row r="10125" customFormat="false" ht="15" hidden="false" customHeight="false" outlineLevel="0" collapsed="false">
      <c r="A10125" s="0" t="n">
        <f aca="false">PRICEMAT(DATE(2023,12,31),DATE(2025,2,28),DATE(2023,1,31),0.05,0.06,4)</f>
        <v>98.6160018697413</v>
      </c>
      <c r="B10125" s="0" t="s">
        <v>10089</v>
      </c>
    </row>
    <row r="10126" customFormat="false" ht="15" hidden="false" customHeight="false" outlineLevel="0" collapsed="false">
      <c r="A10126" s="0" t="n">
        <f aca="false">YIELDMAT(DATE(2023,12,31),DATE(2025,2,28),DATE(2023,1,31),0.05,98,4)</f>
        <v>0.0655319711286191</v>
      </c>
      <c r="B10126" s="0" t="s">
        <v>10090</v>
      </c>
    </row>
    <row r="10127" customFormat="false" ht="15" hidden="false" customHeight="false" outlineLevel="0" collapsed="false">
      <c r="A10127" s="0" t="n">
        <f aca="false">ACCRINT(DATE(2023,12,31),DATE(2030,1,1),DATE(2025,2,28),0.05,1000,2,4)</f>
        <v>57.9166666666667</v>
      </c>
      <c r="B10127" s="0" t="s">
        <v>10091</v>
      </c>
    </row>
    <row r="10128" customFormat="false" ht="15" hidden="false" customHeight="false" outlineLevel="0" collapsed="false">
      <c r="A10128" s="0" t="n">
        <f aca="false">DURATION(DATE(2023,12,31),DATE(2025,2,28),0.05,0.08,2,4)</f>
        <v>1.12396963213074</v>
      </c>
      <c r="B10128" s="0" t="s">
        <v>10092</v>
      </c>
    </row>
    <row r="10129" customFormat="false" ht="15" hidden="false" customHeight="false" outlineLevel="0" collapsed="false">
      <c r="A10129" s="0" t="n">
        <f aca="false">PRICE(DATE(2023,12,31),DATE(2025,2,28),0.05,0.08,100,2,4)</f>
        <v>96.7096180643942</v>
      </c>
      <c r="B10129" s="0" t="s">
        <v>10093</v>
      </c>
    </row>
    <row r="10130" customFormat="false" ht="15" hidden="false" customHeight="false" outlineLevel="0" collapsed="false">
      <c r="A10130" s="0" t="n">
        <f aca="false">YIELD(DATE(2023,12,31),DATE(2025,2,28),0.05,95,100,2,4)</f>
        <v>0.0962077633985789</v>
      </c>
      <c r="B10130" s="0" t="s">
        <v>10094</v>
      </c>
    </row>
    <row r="10131" customFormat="false" ht="15" hidden="false" customHeight="false" outlineLevel="0" collapsed="false">
      <c r="A10131" s="0" t="n">
        <f aca="false">TBILLPRICE(DATE(2023,12,31),DATE(2025,2,28),0.05)</f>
        <v>94.1527777777778</v>
      </c>
      <c r="B10131" s="0" t="s">
        <v>10095</v>
      </c>
    </row>
    <row r="10132" customFormat="false" ht="15" hidden="false" customHeight="false" outlineLevel="0" collapsed="false">
      <c r="A10132" s="0" t="e">
        <f aca="false">TBILLEQ(DATE(2023,12,31),DATE(2025,2,28),0.05)</f>
        <v>#VALUE!</v>
      </c>
      <c r="B10132" s="0" t="s">
        <v>10096</v>
      </c>
    </row>
    <row r="10133" customFormat="false" ht="15" hidden="false" customHeight="false" outlineLevel="0" collapsed="false">
      <c r="A10133" s="0" t="e">
        <f aca="false">TBILLYIELD(DATE(2023,12,31),DATE(2025,2,28),98)</f>
        <v>#VALUE!</v>
      </c>
      <c r="B10133" s="0" t="s">
        <v>10097</v>
      </c>
    </row>
    <row r="10134" customFormat="false" ht="15" hidden="false" customHeight="false" outlineLevel="0" collapsed="false">
      <c r="A10134" s="0" t="n">
        <f aca="false">PRICEDISC(DATE(2023,12,31),DATE(2025,3,31),0.05,100,0)</f>
        <v>93.75</v>
      </c>
      <c r="B10134" s="0" t="s">
        <v>10098</v>
      </c>
    </row>
    <row r="10135" customFormat="false" ht="15" hidden="false" customHeight="false" outlineLevel="0" collapsed="false">
      <c r="A10135" s="0" t="n">
        <f aca="false">RECEIVED(DATE(2023,12,31),DATE(2025,3,31),1000,0.05,0)</f>
        <v>1066.66666666667</v>
      </c>
      <c r="B10135" s="0" t="s">
        <v>10099</v>
      </c>
    </row>
    <row r="10136" customFormat="false" ht="15" hidden="false" customHeight="false" outlineLevel="0" collapsed="false">
      <c r="A10136" s="0" t="n">
        <f aca="false">INTRATE(DATE(2023,12,31),DATE(2025,3,31),1000,1050,0)</f>
        <v>0.04</v>
      </c>
      <c r="B10136" s="0" t="s">
        <v>10100</v>
      </c>
    </row>
    <row r="10137" customFormat="false" ht="15" hidden="false" customHeight="false" outlineLevel="0" collapsed="false">
      <c r="A10137" s="0" t="n">
        <f aca="false">DISC(DATE(2023,12,31),DATE(2025,3,31),95,100,0)</f>
        <v>0.04</v>
      </c>
      <c r="B10137" s="0" t="s">
        <v>10101</v>
      </c>
    </row>
    <row r="10138" customFormat="false" ht="15" hidden="false" customHeight="false" outlineLevel="0" collapsed="false">
      <c r="A10138" s="0" t="n">
        <f aca="false">YIELDDISC(DATE(2023,12,31),DATE(2025,3,31),95,100,0)</f>
        <v>0.0421052631578947</v>
      </c>
      <c r="B10138" s="0" t="s">
        <v>10102</v>
      </c>
    </row>
    <row r="10139" customFormat="false" ht="15" hidden="false" customHeight="false" outlineLevel="0" collapsed="false">
      <c r="A10139" s="0" t="n">
        <f aca="false">ACCRINTM(DATE(2023,12,31),DATE(2025,3,31),0.05,1000,0)</f>
        <v>62.5</v>
      </c>
      <c r="B10139" s="0" t="s">
        <v>10103</v>
      </c>
    </row>
    <row r="10140" customFormat="false" ht="15" hidden="false" customHeight="false" outlineLevel="0" collapsed="false">
      <c r="A10140" s="0" t="n">
        <f aca="false">PRICEMAT(DATE(2023,12,31),DATE(2025,3,31),DATE(2023,1,31),0.05,0.06,0)</f>
        <v>98.5174418604651</v>
      </c>
      <c r="B10140" s="0" t="s">
        <v>10104</v>
      </c>
    </row>
    <row r="10141" customFormat="false" ht="15" hidden="false" customHeight="false" outlineLevel="0" collapsed="false">
      <c r="A10141" s="0" t="n">
        <f aca="false">YIELDMAT(DATE(2023,12,31),DATE(2025,3,31),DATE(2023,1,31),0.05,98,0)</f>
        <v>0.0643379366368807</v>
      </c>
      <c r="B10141" s="0" t="s">
        <v>10105</v>
      </c>
    </row>
    <row r="10142" customFormat="false" ht="15" hidden="false" customHeight="false" outlineLevel="0" collapsed="false">
      <c r="A10142" s="0" t="n">
        <f aca="false">ACCRINT(DATE(2023,12,31),DATE(2030,1,1),DATE(2025,3,31),0.05,1000,2,0)</f>
        <v>62.5</v>
      </c>
      <c r="B10142" s="0" t="s">
        <v>10106</v>
      </c>
    </row>
    <row r="10143" customFormat="false" ht="15" hidden="false" customHeight="false" outlineLevel="0" collapsed="false">
      <c r="A10143" s="0" t="n">
        <f aca="false">DURATION(DATE(2023,12,31),DATE(2025,3,31),0.05,0.08,2,0)</f>
        <v>1.21285852101963</v>
      </c>
      <c r="B10143" s="0" t="s">
        <v>10107</v>
      </c>
    </row>
    <row r="10144" customFormat="false" ht="15" hidden="false" customHeight="false" outlineLevel="0" collapsed="false">
      <c r="A10144" s="0" t="n">
        <f aca="false">PRICE(DATE(2023,12,31),DATE(2025,3,31),0.05,0.08,100,2,0)</f>
        <v>96.4853172727292</v>
      </c>
      <c r="B10144" s="0" t="s">
        <v>10108</v>
      </c>
    </row>
    <row r="10145" customFormat="false" ht="15" hidden="false" customHeight="false" outlineLevel="0" collapsed="false">
      <c r="A10145" s="0" t="n">
        <f aca="false">YIELD(DATE(2023,12,31),DATE(2025,3,31),0.05,95,100,2,0)</f>
        <v>0.0931750217646054</v>
      </c>
      <c r="B10145" s="0" t="s">
        <v>10109</v>
      </c>
    </row>
    <row r="10146" customFormat="false" ht="15" hidden="false" customHeight="false" outlineLevel="0" collapsed="false">
      <c r="A10146" s="0" t="n">
        <f aca="false">PRICEDISC(DATE(2023,12,31),DATE(2025,3,31),0.05,100,1)</f>
        <v>93.7534246575342</v>
      </c>
      <c r="B10146" s="0" t="s">
        <v>10110</v>
      </c>
    </row>
    <row r="10147" customFormat="false" ht="15" hidden="false" customHeight="false" outlineLevel="0" collapsed="false">
      <c r="A10147" s="0" t="n">
        <f aca="false">RECEIVED(DATE(2023,12,31),DATE(2025,3,31),1000,0.05,1)</f>
        <v>1066.6277030976</v>
      </c>
      <c r="B10147" s="0" t="s">
        <v>10111</v>
      </c>
    </row>
    <row r="10148" customFormat="false" ht="15" hidden="false" customHeight="false" outlineLevel="0" collapsed="false">
      <c r="A10148" s="0" t="n">
        <f aca="false">INTRATE(DATE(2023,12,31),DATE(2025,3,31),1000,1050,1)</f>
        <v>0.0400219298245614</v>
      </c>
      <c r="B10148" s="0" t="s">
        <v>10112</v>
      </c>
    </row>
    <row r="10149" customFormat="false" ht="15" hidden="false" customHeight="false" outlineLevel="0" collapsed="false">
      <c r="A10149" s="0" t="n">
        <f aca="false">DISC(DATE(2023,12,31),DATE(2025,3,31),95,100,1)</f>
        <v>0.0400584795321638</v>
      </c>
      <c r="B10149" s="0" t="s">
        <v>10113</v>
      </c>
    </row>
    <row r="10150" customFormat="false" ht="15" hidden="false" customHeight="false" outlineLevel="0" collapsed="false">
      <c r="A10150" s="0" t="n">
        <f aca="false">YIELDDISC(DATE(2023,12,31),DATE(2025,3,31),95,100,1)</f>
        <v>0.0421668205601723</v>
      </c>
      <c r="B10150" s="0" t="s">
        <v>10114</v>
      </c>
    </row>
    <row r="10151" customFormat="false" ht="15" hidden="false" customHeight="false" outlineLevel="0" collapsed="false">
      <c r="A10151" s="0" t="n">
        <f aca="false">ACCRINTM(DATE(2023,12,31),DATE(2025,3,31),0.05,1000,1)</f>
        <v>62.4657534246575</v>
      </c>
      <c r="B10151" s="0" t="s">
        <v>10115</v>
      </c>
    </row>
    <row r="10152" customFormat="false" ht="15" hidden="false" customHeight="false" outlineLevel="0" collapsed="false">
      <c r="A10152" s="0" t="n">
        <f aca="false">PRICEMAT(DATE(2023,12,31),DATE(2025,3,31),DATE(2023,1,31),0.05,0.06,1)</f>
        <v>98.5161284020993</v>
      </c>
      <c r="B10152" s="0" t="s">
        <v>10116</v>
      </c>
    </row>
    <row r="10153" customFormat="false" ht="15" hidden="false" customHeight="false" outlineLevel="0" collapsed="false">
      <c r="A10153" s="0" t="n">
        <f aca="false">YIELDMAT(DATE(2023,12,31),DATE(2025,3,31),DATE(2023,1,31),0.05,98,1)</f>
        <v>0.0643331474608887</v>
      </c>
      <c r="B10153" s="0" t="s">
        <v>10117</v>
      </c>
    </row>
    <row r="10154" customFormat="false" ht="15" hidden="false" customHeight="false" outlineLevel="0" collapsed="false">
      <c r="A10154" s="0" t="n">
        <f aca="false">ACCRINT(DATE(2023,12,31),DATE(2030,1,1),DATE(2025,3,31),0.05,1000,2,1)</f>
        <v>62.4657534246575</v>
      </c>
      <c r="B10154" s="0" t="s">
        <v>10118</v>
      </c>
    </row>
    <row r="10155" customFormat="false" ht="15" hidden="false" customHeight="false" outlineLevel="0" collapsed="false">
      <c r="A10155" s="0" t="n">
        <f aca="false">DURATION(DATE(2023,12,31),DATE(2025,3,31),0.05,0.08,2,1)</f>
        <v>1.21103370350138</v>
      </c>
      <c r="B10155" s="0" t="s">
        <v>10119</v>
      </c>
    </row>
    <row r="10156" customFormat="false" ht="15" hidden="false" customHeight="false" outlineLevel="0" collapsed="false">
      <c r="A10156" s="0" t="n">
        <f aca="false">PRICE(DATE(2023,12,31),DATE(2025,3,31),0.05,0.08,100,2,1)</f>
        <v>96.4889605903175</v>
      </c>
      <c r="B10156" s="0" t="s">
        <v>10120</v>
      </c>
    </row>
    <row r="10157" customFormat="false" ht="15" hidden="false" customHeight="false" outlineLevel="0" collapsed="false">
      <c r="A10157" s="0" t="n">
        <f aca="false">YIELD(DATE(2023,12,31),DATE(2025,3,31),0.05,95,100,2,1)</f>
        <v>0.0932212090503628</v>
      </c>
      <c r="B10157" s="0" t="s">
        <v>10121</v>
      </c>
    </row>
    <row r="10158" customFormat="false" ht="15" hidden="false" customHeight="false" outlineLevel="0" collapsed="false">
      <c r="A10158" s="0" t="n">
        <f aca="false">PRICEDISC(DATE(2023,12,31),DATE(2025,3,31),0.05,100,4)</f>
        <v>93.75</v>
      </c>
      <c r="B10158" s="0" t="s">
        <v>10122</v>
      </c>
    </row>
    <row r="10159" customFormat="false" ht="15" hidden="false" customHeight="false" outlineLevel="0" collapsed="false">
      <c r="A10159" s="0" t="n">
        <f aca="false">RECEIVED(DATE(2023,12,31),DATE(2025,3,31),1000,0.05,4)</f>
        <v>1066.66666666667</v>
      </c>
      <c r="B10159" s="0" t="s">
        <v>10123</v>
      </c>
    </row>
    <row r="10160" customFormat="false" ht="15" hidden="false" customHeight="false" outlineLevel="0" collapsed="false">
      <c r="A10160" s="0" t="n">
        <f aca="false">INTRATE(DATE(2023,12,31),DATE(2025,3,31),1000,1050,4)</f>
        <v>0.04</v>
      </c>
      <c r="B10160" s="0" t="s">
        <v>10124</v>
      </c>
    </row>
    <row r="10161" customFormat="false" ht="15" hidden="false" customHeight="false" outlineLevel="0" collapsed="false">
      <c r="A10161" s="0" t="n">
        <f aca="false">DISC(DATE(2023,12,31),DATE(2025,3,31),95,100,4)</f>
        <v>0.04</v>
      </c>
      <c r="B10161" s="0" t="s">
        <v>10125</v>
      </c>
    </row>
    <row r="10162" customFormat="false" ht="15" hidden="false" customHeight="false" outlineLevel="0" collapsed="false">
      <c r="A10162" s="0" t="n">
        <f aca="false">YIELDDISC(DATE(2023,12,31),DATE(2025,3,31),95,100,4)</f>
        <v>0.0421052631578947</v>
      </c>
      <c r="B10162" s="0" t="s">
        <v>10126</v>
      </c>
    </row>
    <row r="10163" customFormat="false" ht="15" hidden="false" customHeight="false" outlineLevel="0" collapsed="false">
      <c r="A10163" s="0" t="n">
        <f aca="false">ACCRINTM(DATE(2023,12,31),DATE(2025,3,31),0.05,1000,4)</f>
        <v>62.5</v>
      </c>
      <c r="B10163" s="0" t="s">
        <v>10127</v>
      </c>
    </row>
    <row r="10164" customFormat="false" ht="15" hidden="false" customHeight="false" outlineLevel="0" collapsed="false">
      <c r="A10164" s="0" t="n">
        <f aca="false">PRICEMAT(DATE(2023,12,31),DATE(2025,3,31),DATE(2023,1,31),0.05,0.06,4)</f>
        <v>98.5174418604651</v>
      </c>
      <c r="B10164" s="0" t="s">
        <v>10128</v>
      </c>
    </row>
    <row r="10165" customFormat="false" ht="15" hidden="false" customHeight="false" outlineLevel="0" collapsed="false">
      <c r="A10165" s="0" t="n">
        <f aca="false">YIELDMAT(DATE(2023,12,31),DATE(2025,3,31),DATE(2023,1,31),0.05,98,4)</f>
        <v>0.0643379366368807</v>
      </c>
      <c r="B10165" s="0" t="s">
        <v>10129</v>
      </c>
    </row>
    <row r="10166" customFormat="false" ht="15" hidden="false" customHeight="false" outlineLevel="0" collapsed="false">
      <c r="A10166" s="0" t="n">
        <f aca="false">ACCRINT(DATE(2023,12,31),DATE(2030,1,1),DATE(2025,3,31),0.05,1000,2,4)</f>
        <v>62.5</v>
      </c>
      <c r="B10166" s="0" t="s">
        <v>10130</v>
      </c>
    </row>
    <row r="10167" customFormat="false" ht="15" hidden="false" customHeight="false" outlineLevel="0" collapsed="false">
      <c r="A10167" s="0" t="n">
        <f aca="false">DURATION(DATE(2023,12,31),DATE(2025,3,31),0.05,0.08,2,4)</f>
        <v>1.21285852101963</v>
      </c>
      <c r="B10167" s="0" t="s">
        <v>10131</v>
      </c>
    </row>
    <row r="10168" customFormat="false" ht="15" hidden="false" customHeight="false" outlineLevel="0" collapsed="false">
      <c r="A10168" s="0" t="n">
        <f aca="false">PRICE(DATE(2023,12,31),DATE(2025,3,31),0.05,0.08,100,2,4)</f>
        <v>96.4853172727292</v>
      </c>
      <c r="B10168" s="0" t="s">
        <v>10132</v>
      </c>
    </row>
    <row r="10169" customFormat="false" ht="15" hidden="false" customHeight="false" outlineLevel="0" collapsed="false">
      <c r="A10169" s="0" t="n">
        <f aca="false">YIELD(DATE(2023,12,31),DATE(2025,3,31),0.05,95,100,2,4)</f>
        <v>0.0931750217646054</v>
      </c>
      <c r="B10169" s="0" t="s">
        <v>10133</v>
      </c>
    </row>
    <row r="10170" customFormat="false" ht="15" hidden="false" customHeight="false" outlineLevel="0" collapsed="false">
      <c r="A10170" s="0" t="n">
        <f aca="false">TBILLPRICE(DATE(2023,12,31),DATE(2025,3,31),0.05)</f>
        <v>93.7361111111111</v>
      </c>
      <c r="B10170" s="0" t="s">
        <v>10134</v>
      </c>
    </row>
    <row r="10171" customFormat="false" ht="15" hidden="false" customHeight="false" outlineLevel="0" collapsed="false">
      <c r="A10171" s="0" t="e">
        <f aca="false">TBILLEQ(DATE(2023,12,31),DATE(2025,3,31),0.05)</f>
        <v>#VALUE!</v>
      </c>
      <c r="B10171" s="0" t="s">
        <v>10135</v>
      </c>
    </row>
    <row r="10172" customFormat="false" ht="15" hidden="false" customHeight="false" outlineLevel="0" collapsed="false">
      <c r="A10172" s="0" t="e">
        <f aca="false">TBILLYIELD(DATE(2023,12,31),DATE(2025,3,31),98)</f>
        <v>#VALUE!</v>
      </c>
      <c r="B10172" s="0" t="s">
        <v>10136</v>
      </c>
    </row>
    <row r="10173" customFormat="false" ht="15" hidden="false" customHeight="false" outlineLevel="0" collapsed="false">
      <c r="A10173" s="0" t="n">
        <f aca="false">PRICEDISC(DATE(2023,12,31),DATE(2024,8,31),0.05,100,0)</f>
        <v>96.6666666666667</v>
      </c>
      <c r="B10173" s="0" t="s">
        <v>10137</v>
      </c>
    </row>
    <row r="10174" customFormat="false" ht="15" hidden="false" customHeight="false" outlineLevel="0" collapsed="false">
      <c r="A10174" s="0" t="n">
        <f aca="false">RECEIVED(DATE(2023,12,31),DATE(2024,8,31),1000,0.05,0)</f>
        <v>1034.48275862069</v>
      </c>
      <c r="B10174" s="0" t="s">
        <v>10138</v>
      </c>
    </row>
    <row r="10175" customFormat="false" ht="15" hidden="false" customHeight="false" outlineLevel="0" collapsed="false">
      <c r="A10175" s="0" t="n">
        <f aca="false">INTRATE(DATE(2023,12,31),DATE(2024,8,31),1000,1050,0)</f>
        <v>0.0750000000000001</v>
      </c>
      <c r="B10175" s="0" t="s">
        <v>10139</v>
      </c>
    </row>
    <row r="10176" customFormat="false" ht="15" hidden="false" customHeight="false" outlineLevel="0" collapsed="false">
      <c r="A10176" s="0" t="n">
        <f aca="false">DISC(DATE(2023,12,31),DATE(2024,8,31),95,100,0)</f>
        <v>0.0750000000000001</v>
      </c>
      <c r="B10176" s="0" t="s">
        <v>10140</v>
      </c>
    </row>
    <row r="10177" customFormat="false" ht="15" hidden="false" customHeight="false" outlineLevel="0" collapsed="false">
      <c r="A10177" s="0" t="n">
        <f aca="false">YIELDDISC(DATE(2023,12,31),DATE(2024,8,31),95,100,0)</f>
        <v>0.0789473684210525</v>
      </c>
      <c r="B10177" s="0" t="s">
        <v>10141</v>
      </c>
    </row>
    <row r="10178" customFormat="false" ht="15" hidden="false" customHeight="false" outlineLevel="0" collapsed="false">
      <c r="A10178" s="0" t="n">
        <f aca="false">ACCRINTM(DATE(2023,12,31),DATE(2024,8,31),0.05,1000,0)</f>
        <v>33.3333333333333</v>
      </c>
      <c r="B10178" s="0" t="s">
        <v>10142</v>
      </c>
    </row>
    <row r="10179" customFormat="false" ht="15" hidden="false" customHeight="false" outlineLevel="0" collapsed="false">
      <c r="A10179" s="0" t="n">
        <f aca="false">PRICEMAT(DATE(2023,12,31),DATE(2024,8,31),DATE(2023,1,31),0.05,0.06,0)</f>
        <v>99.1826923076923</v>
      </c>
      <c r="B10179" s="0" t="s">
        <v>10143</v>
      </c>
    </row>
    <row r="10180" customFormat="false" ht="15" hidden="false" customHeight="false" outlineLevel="0" collapsed="false">
      <c r="A10180" s="0" t="n">
        <f aca="false">YIELDMAT(DATE(2023,12,31),DATE(2024,8,31),DATE(2023,1,31),0.05,98,0)</f>
        <v>0.0779853777416733</v>
      </c>
      <c r="B10180" s="0" t="s">
        <v>10144</v>
      </c>
    </row>
    <row r="10181" customFormat="false" ht="15" hidden="false" customHeight="false" outlineLevel="0" collapsed="false">
      <c r="A10181" s="0" t="n">
        <f aca="false">ACCRINT(DATE(2023,12,31),DATE(2030,1,1),DATE(2024,8,31),0.05,1000,2,0)</f>
        <v>33.3333333333333</v>
      </c>
      <c r="B10181" s="0" t="s">
        <v>10145</v>
      </c>
    </row>
    <row r="10182" customFormat="false" ht="15" hidden="false" customHeight="false" outlineLevel="0" collapsed="false">
      <c r="A10182" s="0" t="n">
        <f aca="false">DURATION(DATE(2023,12,31),DATE(2024,8,31),0.05,0.08,2,0)</f>
        <v>0.65429749444973</v>
      </c>
      <c r="B10182" s="0" t="s">
        <v>10146</v>
      </c>
    </row>
    <row r="10183" customFormat="false" ht="15" hidden="false" customHeight="false" outlineLevel="0" collapsed="false">
      <c r="A10183" s="0" t="n">
        <f aca="false">PRICE(DATE(2023,12,31),DATE(2024,8,31),0.05,0.08,100,2,0)</f>
        <v>98.0784395097635</v>
      </c>
      <c r="B10183" s="0" t="s">
        <v>10147</v>
      </c>
    </row>
    <row r="10184" customFormat="false" ht="15" hidden="false" customHeight="false" outlineLevel="0" collapsed="false">
      <c r="A10184" s="0" t="n">
        <f aca="false">YIELD(DATE(2023,12,31),DATE(2024,8,31),0.05,95,100,2,0)</f>
        <v>0.130442553503648</v>
      </c>
      <c r="B10184" s="0" t="s">
        <v>10148</v>
      </c>
    </row>
    <row r="10185" customFormat="false" ht="15" hidden="false" customHeight="false" outlineLevel="0" collapsed="false">
      <c r="A10185" s="0" t="n">
        <f aca="false">PRICEDISC(DATE(2023,12,31),DATE(2024,8,31),0.05,100,1)</f>
        <v>96.6575342465753</v>
      </c>
      <c r="B10185" s="0" t="s">
        <v>10149</v>
      </c>
    </row>
    <row r="10186" customFormat="false" ht="15" hidden="false" customHeight="false" outlineLevel="0" collapsed="false">
      <c r="A10186" s="0" t="n">
        <f aca="false">RECEIVED(DATE(2023,12,31),DATE(2024,8,31),1000,0.05,1)</f>
        <v>1034.58049886621</v>
      </c>
      <c r="B10186" s="0" t="s">
        <v>10150</v>
      </c>
    </row>
    <row r="10187" customFormat="false" ht="15" hidden="false" customHeight="false" outlineLevel="0" collapsed="false">
      <c r="A10187" s="0" t="n">
        <f aca="false">INTRATE(DATE(2023,12,31),DATE(2024,8,31),1000,1050,1)</f>
        <v>0.0747950819672132</v>
      </c>
      <c r="B10187" s="0" t="s">
        <v>10151</v>
      </c>
    </row>
    <row r="10188" customFormat="false" ht="15" hidden="false" customHeight="false" outlineLevel="0" collapsed="false">
      <c r="A10188" s="0" t="n">
        <f aca="false">DISC(DATE(2023,12,31),DATE(2024,8,31),95,100,1)</f>
        <v>0.0750000000000001</v>
      </c>
      <c r="B10188" s="0" t="s">
        <v>10152</v>
      </c>
    </row>
    <row r="10189" customFormat="false" ht="15" hidden="false" customHeight="false" outlineLevel="0" collapsed="false">
      <c r="A10189" s="0" t="n">
        <f aca="false">YIELDDISC(DATE(2023,12,31),DATE(2024,8,31),95,100,1)</f>
        <v>0.0789473684210525</v>
      </c>
      <c r="B10189" s="0" t="s">
        <v>10153</v>
      </c>
    </row>
    <row r="10190" customFormat="false" ht="15" hidden="false" customHeight="false" outlineLevel="0" collapsed="false">
      <c r="A10190" s="0" t="n">
        <f aca="false">ACCRINTM(DATE(2023,12,31),DATE(2024,8,31),0.05,1000,1)</f>
        <v>33.4246575342466</v>
      </c>
      <c r="B10190" s="0" t="s">
        <v>10154</v>
      </c>
    </row>
    <row r="10191" customFormat="false" ht="15" hidden="false" customHeight="false" outlineLevel="0" collapsed="false">
      <c r="A10191" s="0" t="n">
        <f aca="false">PRICEMAT(DATE(2023,12,31),DATE(2024,8,31),DATE(2023,1,31),0.05,0.06,1)</f>
        <v>99.1813659421178</v>
      </c>
      <c r="B10191" s="0" t="s">
        <v>10155</v>
      </c>
    </row>
    <row r="10192" customFormat="false" ht="15" hidden="false" customHeight="false" outlineLevel="0" collapsed="false">
      <c r="A10192" s="0" t="n">
        <f aca="false">YIELDMAT(DATE(2023,12,31),DATE(2024,8,31),DATE(2023,1,31),0.05,98,1)</f>
        <v>0.0779666070363748</v>
      </c>
      <c r="B10192" s="0" t="s">
        <v>10156</v>
      </c>
    </row>
    <row r="10193" customFormat="false" ht="15" hidden="false" customHeight="false" outlineLevel="0" collapsed="false">
      <c r="A10193" s="0" t="n">
        <f aca="false">ACCRINT(DATE(2023,12,31),DATE(2030,1,1),DATE(2024,8,31),0.05,1000,2,1)</f>
        <v>33.4246575342466</v>
      </c>
      <c r="B10193" s="0" t="s">
        <v>10157</v>
      </c>
    </row>
    <row r="10194" customFormat="false" ht="15" hidden="false" customHeight="false" outlineLevel="0" collapsed="false">
      <c r="A10194" s="0" t="n">
        <f aca="false">DURATION(DATE(2023,12,31),DATE(2024,8,31),0.05,0.08,2,1)</f>
        <v>0.65429749444973</v>
      </c>
      <c r="B10194" s="0" t="s">
        <v>10158</v>
      </c>
    </row>
    <row r="10195" customFormat="false" ht="15" hidden="false" customHeight="false" outlineLevel="0" collapsed="false">
      <c r="A10195" s="0" t="n">
        <f aca="false">PRICE(DATE(2023,12,31),DATE(2024,8,31),0.05,0.08,100,2,1)</f>
        <v>98.0836129721318</v>
      </c>
      <c r="B10195" s="0" t="s">
        <v>10159</v>
      </c>
    </row>
    <row r="10196" customFormat="false" ht="15" hidden="false" customHeight="false" outlineLevel="0" collapsed="false">
      <c r="A10196" s="0" t="n">
        <f aca="false">YIELD(DATE(2023,12,31),DATE(2024,8,31),0.05,95,100,2,1)</f>
        <v>0.130665858594605</v>
      </c>
      <c r="B10196" s="0" t="s">
        <v>10160</v>
      </c>
    </row>
    <row r="10197" customFormat="false" ht="15" hidden="false" customHeight="false" outlineLevel="0" collapsed="false">
      <c r="A10197" s="0" t="n">
        <f aca="false">PRICEDISC(DATE(2023,12,31),DATE(2024,8,31),0.05,100,4)</f>
        <v>96.6666666666667</v>
      </c>
      <c r="B10197" s="0" t="s">
        <v>10161</v>
      </c>
    </row>
    <row r="10198" customFormat="false" ht="15" hidden="false" customHeight="false" outlineLevel="0" collapsed="false">
      <c r="A10198" s="0" t="n">
        <f aca="false">RECEIVED(DATE(2023,12,31),DATE(2024,8,31),1000,0.05,4)</f>
        <v>1034.48275862069</v>
      </c>
      <c r="B10198" s="0" t="s">
        <v>10162</v>
      </c>
    </row>
    <row r="10199" customFormat="false" ht="15" hidden="false" customHeight="false" outlineLevel="0" collapsed="false">
      <c r="A10199" s="0" t="n">
        <f aca="false">INTRATE(DATE(2023,12,31),DATE(2024,8,31),1000,1050,4)</f>
        <v>0.0750000000000001</v>
      </c>
      <c r="B10199" s="0" t="s">
        <v>10163</v>
      </c>
    </row>
    <row r="10200" customFormat="false" ht="15" hidden="false" customHeight="false" outlineLevel="0" collapsed="false">
      <c r="A10200" s="0" t="n">
        <f aca="false">DISC(DATE(2023,12,31),DATE(2024,8,31),95,100,4)</f>
        <v>0.0750000000000001</v>
      </c>
      <c r="B10200" s="0" t="s">
        <v>10164</v>
      </c>
    </row>
    <row r="10201" customFormat="false" ht="15" hidden="false" customHeight="false" outlineLevel="0" collapsed="false">
      <c r="A10201" s="0" t="n">
        <f aca="false">YIELDDISC(DATE(2023,12,31),DATE(2024,8,31),95,100,4)</f>
        <v>0.0789473684210525</v>
      </c>
      <c r="B10201" s="0" t="s">
        <v>10165</v>
      </c>
    </row>
    <row r="10202" customFormat="false" ht="15" hidden="false" customHeight="false" outlineLevel="0" collapsed="false">
      <c r="A10202" s="0" t="n">
        <f aca="false">ACCRINTM(DATE(2023,12,31),DATE(2024,8,31),0.05,1000,4)</f>
        <v>33.3333333333333</v>
      </c>
      <c r="B10202" s="0" t="s">
        <v>10166</v>
      </c>
    </row>
    <row r="10203" customFormat="false" ht="15" hidden="false" customHeight="false" outlineLevel="0" collapsed="false">
      <c r="A10203" s="0" t="n">
        <f aca="false">PRICEMAT(DATE(2023,12,31),DATE(2024,8,31),DATE(2023,1,31),0.05,0.06,4)</f>
        <v>99.1826923076923</v>
      </c>
      <c r="B10203" s="0" t="s">
        <v>10167</v>
      </c>
    </row>
    <row r="10204" customFormat="false" ht="15" hidden="false" customHeight="false" outlineLevel="0" collapsed="false">
      <c r="A10204" s="0" t="n">
        <f aca="false">YIELDMAT(DATE(2023,12,31),DATE(2024,8,31),DATE(2023,1,31),0.05,98,4)</f>
        <v>0.0779853777416733</v>
      </c>
      <c r="B10204" s="0" t="s">
        <v>10168</v>
      </c>
    </row>
    <row r="10205" customFormat="false" ht="15" hidden="false" customHeight="false" outlineLevel="0" collapsed="false">
      <c r="A10205" s="0" t="n">
        <f aca="false">ACCRINT(DATE(2023,12,31),DATE(2030,1,1),DATE(2024,8,31),0.05,1000,2,4)</f>
        <v>33.3333333333333</v>
      </c>
      <c r="B10205" s="0" t="s">
        <v>10169</v>
      </c>
    </row>
    <row r="10206" customFormat="false" ht="15" hidden="false" customHeight="false" outlineLevel="0" collapsed="false">
      <c r="A10206" s="0" t="n">
        <f aca="false">DURATION(DATE(2023,12,31),DATE(2024,8,31),0.05,0.08,2,4)</f>
        <v>0.65429749444973</v>
      </c>
      <c r="B10206" s="0" t="s">
        <v>10170</v>
      </c>
    </row>
    <row r="10207" customFormat="false" ht="15" hidden="false" customHeight="false" outlineLevel="0" collapsed="false">
      <c r="A10207" s="0" t="n">
        <f aca="false">PRICE(DATE(2023,12,31),DATE(2024,8,31),0.05,0.08,100,2,4)</f>
        <v>98.0784395097635</v>
      </c>
      <c r="B10207" s="0" t="s">
        <v>10171</v>
      </c>
    </row>
    <row r="10208" customFormat="false" ht="15" hidden="false" customHeight="false" outlineLevel="0" collapsed="false">
      <c r="A10208" s="0" t="n">
        <f aca="false">YIELD(DATE(2023,12,31),DATE(2024,8,31),0.05,95,100,2,4)</f>
        <v>0.130442553503648</v>
      </c>
      <c r="B10208" s="0" t="s">
        <v>10172</v>
      </c>
    </row>
    <row r="10209" customFormat="false" ht="15" hidden="false" customHeight="false" outlineLevel="0" collapsed="false">
      <c r="A10209" s="0" t="n">
        <f aca="false">TBILLPRICE(DATE(2023,12,31),DATE(2024,8,31),0.05)</f>
        <v>96.6527777777778</v>
      </c>
      <c r="B10209" s="0" t="s">
        <v>10173</v>
      </c>
    </row>
    <row r="10210" customFormat="false" ht="15" hidden="false" customHeight="false" outlineLevel="0" collapsed="false">
      <c r="A10210" s="0" t="n">
        <f aca="false">TBILLEQ(DATE(2023,12,31),DATE(2024,8,31),0.05)</f>
        <v>0.0524500646644633</v>
      </c>
      <c r="B10210" s="0" t="s">
        <v>10174</v>
      </c>
    </row>
    <row r="10211" customFormat="false" ht="15" hidden="false" customHeight="false" outlineLevel="0" collapsed="false">
      <c r="A10211" s="0" t="n">
        <f aca="false">TBILLYIELD(DATE(2023,12,31),DATE(2024,8,31),98)</f>
        <v>0.0304852231348971</v>
      </c>
      <c r="B10211" s="0" t="s">
        <v>10175</v>
      </c>
    </row>
    <row r="10212" customFormat="false" ht="15" hidden="false" customHeight="false" outlineLevel="0" collapsed="false">
      <c r="A10212" s="0" t="n">
        <f aca="false">PRICEDISC(DATE(2023,12,31),DATE(2025,6,30),0.05,100,0)</f>
        <v>92.5138888888889</v>
      </c>
      <c r="B10212" s="0" t="s">
        <v>10176</v>
      </c>
    </row>
    <row r="10213" customFormat="false" ht="15" hidden="false" customHeight="false" outlineLevel="0" collapsed="false">
      <c r="A10213" s="0" t="n">
        <f aca="false">RECEIVED(DATE(2023,12,31),DATE(2025,6,30),1000,0.05,0)</f>
        <v>1080.91878096382</v>
      </c>
      <c r="B10213" s="0" t="s">
        <v>10177</v>
      </c>
    </row>
    <row r="10214" customFormat="false" ht="15" hidden="false" customHeight="false" outlineLevel="0" collapsed="false">
      <c r="A10214" s="0" t="n">
        <f aca="false">INTRATE(DATE(2023,12,31),DATE(2025,6,30),1000,1050,0)</f>
        <v>0.0333951762523191</v>
      </c>
      <c r="B10214" s="0" t="s">
        <v>10178</v>
      </c>
    </row>
    <row r="10215" customFormat="false" ht="15" hidden="false" customHeight="false" outlineLevel="0" collapsed="false">
      <c r="A10215" s="0" t="n">
        <f aca="false">DISC(DATE(2023,12,31),DATE(2025,6,30),95,100,0)</f>
        <v>0.0333333333333334</v>
      </c>
      <c r="B10215" s="0" t="s">
        <v>10179</v>
      </c>
    </row>
    <row r="10216" customFormat="false" ht="15" hidden="false" customHeight="false" outlineLevel="0" collapsed="false">
      <c r="A10216" s="0" t="n">
        <f aca="false">YIELDDISC(DATE(2023,12,31),DATE(2025,6,30),95,100,0)</f>
        <v>0.0350877192982456</v>
      </c>
      <c r="B10216" s="0" t="s">
        <v>10180</v>
      </c>
    </row>
    <row r="10217" customFormat="false" ht="15" hidden="false" customHeight="false" outlineLevel="0" collapsed="false">
      <c r="A10217" s="0" t="n">
        <f aca="false">ACCRINTM(DATE(2023,12,31),DATE(2025,6,30),0.05,1000,0)</f>
        <v>74.8611111111111</v>
      </c>
      <c r="B10217" s="0" t="s">
        <v>10181</v>
      </c>
    </row>
    <row r="10218" customFormat="false" ht="15" hidden="false" customHeight="false" outlineLevel="0" collapsed="false">
      <c r="A10218" s="0" t="n">
        <f aca="false">PRICEMAT(DATE(2023,12,31),DATE(2025,6,30),DATE(2023,1,31),0.05,0.06,0)</f>
        <v>98.2454128440367</v>
      </c>
      <c r="B10218" s="0" t="s">
        <v>10182</v>
      </c>
    </row>
    <row r="10219" customFormat="false" ht="15" hidden="false" customHeight="false" outlineLevel="0" collapsed="false">
      <c r="A10219" s="0" t="n">
        <f aca="false">YIELDMAT(DATE(2023,12,31),DATE(2025,6,30),DATE(2023,1,31),0.05,98,0)</f>
        <v>0.0617384240454914</v>
      </c>
      <c r="B10219" s="0" t="s">
        <v>10183</v>
      </c>
    </row>
    <row r="10220" customFormat="false" ht="15" hidden="false" customHeight="false" outlineLevel="0" collapsed="false">
      <c r="A10220" s="0" t="n">
        <f aca="false">ACCRINT(DATE(2023,12,31),DATE(2030,1,1),DATE(2025,6,30),0.05,1000,2,0)</f>
        <v>74.8611111111111</v>
      </c>
      <c r="B10220" s="0" t="s">
        <v>10184</v>
      </c>
    </row>
    <row r="10221" customFormat="false" ht="15" hidden="false" customHeight="false" outlineLevel="0" collapsed="false">
      <c r="A10221" s="0" t="n">
        <f aca="false">DURATION(DATE(2023,12,31),DATE(2025,6,30),0.05,0.08,2,0)</f>
        <v>1.46285852101963</v>
      </c>
      <c r="B10221" s="0" t="s">
        <v>10185</v>
      </c>
    </row>
    <row r="10222" customFormat="false" ht="15" hidden="false" customHeight="false" outlineLevel="0" collapsed="false">
      <c r="A10222" s="0" t="n">
        <f aca="false">PRICE(DATE(2023,12,31),DATE(2025,6,30),0.05,0.08,100,2,0)</f>
        <v>95.8373634501593</v>
      </c>
      <c r="B10222" s="0" t="s">
        <v>10186</v>
      </c>
    </row>
    <row r="10223" customFormat="false" ht="15" hidden="false" customHeight="false" outlineLevel="0" collapsed="false">
      <c r="A10223" s="0" t="n">
        <f aca="false">YIELD(DATE(2023,12,31),DATE(2025,6,30),0.05,95,100,2,0)</f>
        <v>0.0862487399523156</v>
      </c>
      <c r="B10223" s="0" t="s">
        <v>10187</v>
      </c>
    </row>
    <row r="10224" customFormat="false" ht="15" hidden="false" customHeight="false" outlineLevel="0" collapsed="false">
      <c r="A10224" s="0" t="n">
        <f aca="false">PRICEDISC(DATE(2023,12,31),DATE(2025,6,30),0.05,100,1)</f>
        <v>92.5068493150685</v>
      </c>
      <c r="B10224" s="0" t="s">
        <v>10188</v>
      </c>
    </row>
    <row r="10225" customFormat="false" ht="15" hidden="false" customHeight="false" outlineLevel="0" collapsed="false">
      <c r="A10225" s="0" t="n">
        <f aca="false">RECEIVED(DATE(2023,12,31),DATE(2025,6,30),1000,0.05,1)</f>
        <v>1081.00103657634</v>
      </c>
      <c r="B10225" s="0" t="s">
        <v>10189</v>
      </c>
    </row>
    <row r="10226" customFormat="false" ht="15" hidden="false" customHeight="false" outlineLevel="0" collapsed="false">
      <c r="A10226" s="0" t="n">
        <f aca="false">INTRATE(DATE(2023,12,31),DATE(2025,6,30),1000,1050,1)</f>
        <v>0.033363802559415</v>
      </c>
      <c r="B10226" s="0" t="s">
        <v>10190</v>
      </c>
    </row>
    <row r="10227" customFormat="false" ht="15" hidden="false" customHeight="false" outlineLevel="0" collapsed="false">
      <c r="A10227" s="0" t="n">
        <f aca="false">DISC(DATE(2023,12,31),DATE(2025,6,30),95,100,1)</f>
        <v>0.0333942717854967</v>
      </c>
      <c r="B10227" s="0" t="s">
        <v>10191</v>
      </c>
    </row>
    <row r="10228" customFormat="false" ht="15" hidden="false" customHeight="false" outlineLevel="0" collapsed="false">
      <c r="A10228" s="0" t="n">
        <f aca="false">YIELDDISC(DATE(2023,12,31),DATE(2025,6,30),95,100,1)</f>
        <v>0.0351518650373649</v>
      </c>
      <c r="B10228" s="0" t="s">
        <v>10192</v>
      </c>
    </row>
    <row r="10229" customFormat="false" ht="15" hidden="false" customHeight="false" outlineLevel="0" collapsed="false">
      <c r="A10229" s="0" t="n">
        <f aca="false">ACCRINTM(DATE(2023,12,31),DATE(2025,6,30),0.05,1000,1)</f>
        <v>74.9315068493151</v>
      </c>
      <c r="B10229" s="0" t="s">
        <v>10193</v>
      </c>
    </row>
    <row r="10230" customFormat="false" ht="15" hidden="false" customHeight="false" outlineLevel="0" collapsed="false">
      <c r="A10230" s="0" t="n">
        <f aca="false">PRICEMAT(DATE(2023,12,31),DATE(2025,6,30),DATE(2023,1,31),0.05,0.06,1)</f>
        <v>98.2451789414097</v>
      </c>
      <c r="B10230" s="0" t="s">
        <v>10194</v>
      </c>
    </row>
    <row r="10231" customFormat="false" ht="15" hidden="false" customHeight="false" outlineLevel="0" collapsed="false">
      <c r="A10231" s="0" t="n">
        <f aca="false">YIELDMAT(DATE(2023,12,31),DATE(2025,6,30),DATE(2023,1,31),0.05,98,1)</f>
        <v>0.0617398155960771</v>
      </c>
      <c r="B10231" s="0" t="s">
        <v>10195</v>
      </c>
    </row>
    <row r="10232" customFormat="false" ht="15" hidden="false" customHeight="false" outlineLevel="0" collapsed="false">
      <c r="A10232" s="0" t="n">
        <f aca="false">ACCRINT(DATE(2023,12,31),DATE(2030,1,1),DATE(2025,6,30),0.05,1000,2,1)</f>
        <v>74.9315068493151</v>
      </c>
      <c r="B10232" s="0" t="s">
        <v>10196</v>
      </c>
    </row>
    <row r="10233" customFormat="false" ht="15" hidden="false" customHeight="false" outlineLevel="0" collapsed="false">
      <c r="A10233" s="0" t="n">
        <f aca="false">DURATION(DATE(2023,12,31),DATE(2025,6,30),0.05,0.08,2,1)</f>
        <v>1.46012129474226</v>
      </c>
      <c r="B10233" s="0" t="s">
        <v>10197</v>
      </c>
    </row>
    <row r="10234" customFormat="false" ht="15" hidden="false" customHeight="false" outlineLevel="0" collapsed="false">
      <c r="A10234" s="0" t="n">
        <f aca="false">PRICE(DATE(2023,12,31),DATE(2025,6,30),0.05,0.08,100,2,1)</f>
        <v>95.8373634501593</v>
      </c>
      <c r="B10234" s="0" t="s">
        <v>10198</v>
      </c>
    </row>
    <row r="10235" customFormat="false" ht="15" hidden="false" customHeight="false" outlineLevel="0" collapsed="false">
      <c r="A10235" s="0" t="n">
        <f aca="false">YIELD(DATE(2023,12,31),DATE(2025,6,30),0.05,95,100,2,1)</f>
        <v>0.0862487399523156</v>
      </c>
      <c r="B10235" s="0" t="s">
        <v>10199</v>
      </c>
    </row>
    <row r="10236" customFormat="false" ht="15" hidden="false" customHeight="false" outlineLevel="0" collapsed="false">
      <c r="A10236" s="0" t="n">
        <f aca="false">PRICEDISC(DATE(2023,12,31),DATE(2025,6,30),0.05,100,4)</f>
        <v>92.5138888888889</v>
      </c>
      <c r="B10236" s="0" t="s">
        <v>10200</v>
      </c>
    </row>
    <row r="10237" customFormat="false" ht="15" hidden="false" customHeight="false" outlineLevel="0" collapsed="false">
      <c r="A10237" s="0" t="n">
        <f aca="false">RECEIVED(DATE(2023,12,31),DATE(2025,6,30),1000,0.05,4)</f>
        <v>1080.91878096382</v>
      </c>
      <c r="B10237" s="0" t="s">
        <v>10201</v>
      </c>
    </row>
    <row r="10238" customFormat="false" ht="15" hidden="false" customHeight="false" outlineLevel="0" collapsed="false">
      <c r="A10238" s="0" t="n">
        <f aca="false">INTRATE(DATE(2023,12,31),DATE(2025,6,30),1000,1050,4)</f>
        <v>0.0333951762523191</v>
      </c>
      <c r="B10238" s="0" t="s">
        <v>10202</v>
      </c>
    </row>
    <row r="10239" customFormat="false" ht="15" hidden="false" customHeight="false" outlineLevel="0" collapsed="false">
      <c r="A10239" s="0" t="n">
        <f aca="false">DISC(DATE(2023,12,31),DATE(2025,6,30),95,100,4)</f>
        <v>0.0333333333333334</v>
      </c>
      <c r="B10239" s="0" t="s">
        <v>10203</v>
      </c>
    </row>
    <row r="10240" customFormat="false" ht="15" hidden="false" customHeight="false" outlineLevel="0" collapsed="false">
      <c r="A10240" s="0" t="n">
        <f aca="false">YIELDDISC(DATE(2023,12,31),DATE(2025,6,30),95,100,4)</f>
        <v>0.0350877192982456</v>
      </c>
      <c r="B10240" s="0" t="s">
        <v>10204</v>
      </c>
    </row>
    <row r="10241" customFormat="false" ht="15" hidden="false" customHeight="false" outlineLevel="0" collapsed="false">
      <c r="A10241" s="0" t="n">
        <f aca="false">ACCRINTM(DATE(2023,12,31),DATE(2025,6,30),0.05,1000,4)</f>
        <v>74.8611111111111</v>
      </c>
      <c r="B10241" s="0" t="s">
        <v>10205</v>
      </c>
    </row>
    <row r="10242" customFormat="false" ht="15" hidden="false" customHeight="false" outlineLevel="0" collapsed="false">
      <c r="A10242" s="0" t="n">
        <f aca="false">PRICEMAT(DATE(2023,12,31),DATE(2025,6,30),DATE(2023,1,31),0.05,0.06,4)</f>
        <v>98.2454128440367</v>
      </c>
      <c r="B10242" s="0" t="s">
        <v>10206</v>
      </c>
    </row>
    <row r="10243" customFormat="false" ht="15" hidden="false" customHeight="false" outlineLevel="0" collapsed="false">
      <c r="A10243" s="0" t="n">
        <f aca="false">YIELDMAT(DATE(2023,12,31),DATE(2025,6,30),DATE(2023,1,31),0.05,98,4)</f>
        <v>0.0617384240454914</v>
      </c>
      <c r="B10243" s="0" t="s">
        <v>10207</v>
      </c>
    </row>
    <row r="10244" customFormat="false" ht="15" hidden="false" customHeight="false" outlineLevel="0" collapsed="false">
      <c r="A10244" s="0" t="n">
        <f aca="false">ACCRINT(DATE(2023,12,31),DATE(2030,1,1),DATE(2025,6,30),0.05,1000,2,4)</f>
        <v>74.8611111111111</v>
      </c>
      <c r="B10244" s="0" t="s">
        <v>10208</v>
      </c>
    </row>
    <row r="10245" customFormat="false" ht="15" hidden="false" customHeight="false" outlineLevel="0" collapsed="false">
      <c r="A10245" s="0" t="n">
        <f aca="false">DURATION(DATE(2023,12,31),DATE(2025,6,30),0.05,0.08,2,4)</f>
        <v>1.46285852101963</v>
      </c>
      <c r="B10245" s="0" t="s">
        <v>10209</v>
      </c>
    </row>
    <row r="10246" customFormat="false" ht="15" hidden="false" customHeight="false" outlineLevel="0" collapsed="false">
      <c r="A10246" s="0" t="n">
        <f aca="false">PRICE(DATE(2023,12,31),DATE(2025,6,30),0.05,0.08,100,2,4)</f>
        <v>95.8373634501593</v>
      </c>
      <c r="B10246" s="0" t="s">
        <v>10210</v>
      </c>
    </row>
    <row r="10247" customFormat="false" ht="15" hidden="false" customHeight="false" outlineLevel="0" collapsed="false">
      <c r="A10247" s="0" t="n">
        <f aca="false">YIELD(DATE(2023,12,31),DATE(2025,6,30),0.05,95,100,2,4)</f>
        <v>0.0862487399523156</v>
      </c>
      <c r="B10247" s="0" t="s">
        <v>10211</v>
      </c>
    </row>
    <row r="10248" customFormat="false" ht="15" hidden="false" customHeight="false" outlineLevel="0" collapsed="false">
      <c r="A10248" s="0" t="n">
        <f aca="false">TBILLPRICE(DATE(2023,12,31),DATE(2025,6,30),0.05)</f>
        <v>92.4861111111111</v>
      </c>
      <c r="B10248" s="0" t="s">
        <v>10212</v>
      </c>
    </row>
    <row r="10249" customFormat="false" ht="15" hidden="false" customHeight="false" outlineLevel="0" collapsed="false">
      <c r="A10249" s="0" t="e">
        <f aca="false">TBILLEQ(DATE(2023,12,31),DATE(2025,6,30),0.05)</f>
        <v>#VALUE!</v>
      </c>
      <c r="B10249" s="0" t="s">
        <v>10213</v>
      </c>
    </row>
    <row r="10250" customFormat="false" ht="15" hidden="false" customHeight="false" outlineLevel="0" collapsed="false">
      <c r="A10250" s="0" t="e">
        <f aca="false">TBILLYIELD(DATE(2023,12,31),DATE(2025,6,30),98)</f>
        <v>#VALUE!</v>
      </c>
      <c r="B10250" s="0" t="s">
        <v>10214</v>
      </c>
    </row>
    <row r="10251" customFormat="false" ht="15" hidden="false" customHeight="false" outlineLevel="0" collapsed="false">
      <c r="A10251" s="0" t="n">
        <f aca="false">PRICEDISC(DATE(2023,12,31),DATE(2026,12,31),0.05,100,0)</f>
        <v>85</v>
      </c>
      <c r="B10251" s="0" t="s">
        <v>10215</v>
      </c>
    </row>
    <row r="10252" customFormat="false" ht="15" hidden="false" customHeight="false" outlineLevel="0" collapsed="false">
      <c r="A10252" s="0" t="n">
        <f aca="false">RECEIVED(DATE(2023,12,31),DATE(2026,12,31),1000,0.05,0)</f>
        <v>1176.47058823529</v>
      </c>
      <c r="B10252" s="0" t="s">
        <v>10216</v>
      </c>
    </row>
    <row r="10253" customFormat="false" ht="15" hidden="false" customHeight="false" outlineLevel="0" collapsed="false">
      <c r="A10253" s="0" t="n">
        <f aca="false">INTRATE(DATE(2023,12,31),DATE(2026,12,31),1000,1050,0)</f>
        <v>0.0166666666666667</v>
      </c>
      <c r="B10253" s="0" t="s">
        <v>10217</v>
      </c>
    </row>
    <row r="10254" customFormat="false" ht="15" hidden="false" customHeight="false" outlineLevel="0" collapsed="false">
      <c r="A10254" s="0" t="n">
        <f aca="false">DISC(DATE(2023,12,31),DATE(2026,12,31),95,100,0)</f>
        <v>0.0166666666666667</v>
      </c>
      <c r="B10254" s="0" t="s">
        <v>10218</v>
      </c>
    </row>
    <row r="10255" customFormat="false" ht="15" hidden="false" customHeight="false" outlineLevel="0" collapsed="false">
      <c r="A10255" s="0" t="n">
        <f aca="false">YIELDDISC(DATE(2023,12,31),DATE(2026,12,31),95,100,0)</f>
        <v>0.0175438596491228</v>
      </c>
      <c r="B10255" s="0" t="s">
        <v>10219</v>
      </c>
    </row>
    <row r="10256" customFormat="false" ht="15" hidden="false" customHeight="false" outlineLevel="0" collapsed="false">
      <c r="A10256" s="0" t="n">
        <f aca="false">ACCRINTM(DATE(2023,12,31),DATE(2026,12,31),0.05,1000,0)</f>
        <v>150</v>
      </c>
      <c r="B10256" s="0" t="s">
        <v>10220</v>
      </c>
    </row>
    <row r="10257" customFormat="false" ht="15" hidden="false" customHeight="false" outlineLevel="0" collapsed="false">
      <c r="A10257" s="0" t="n">
        <f aca="false">PRICEMAT(DATE(2023,12,31),DATE(2026,12,31),DATE(2023,1,31),0.05,0.06,0)</f>
        <v>96.7584745762712</v>
      </c>
      <c r="B10257" s="0" t="s">
        <v>10221</v>
      </c>
    </row>
    <row r="10258" customFormat="false" ht="15" hidden="false" customHeight="false" outlineLevel="0" collapsed="false">
      <c r="A10258" s="0" t="n">
        <f aca="false">YIELDMAT(DATE(2023,12,31),DATE(2026,12,31),DATE(2023,1,31),0.05,98,0)</f>
        <v>0.0552396425670187</v>
      </c>
      <c r="B10258" s="0" t="s">
        <v>10222</v>
      </c>
    </row>
    <row r="10259" customFormat="false" ht="15" hidden="false" customHeight="false" outlineLevel="0" collapsed="false">
      <c r="A10259" s="0" t="n">
        <f aca="false">ACCRINT(DATE(2023,12,31),DATE(2030,1,1),DATE(2026,12,31),0.05,1000,2,0)</f>
        <v>150</v>
      </c>
      <c r="B10259" s="0" t="s">
        <v>10223</v>
      </c>
    </row>
    <row r="10260" customFormat="false" ht="15" hidden="false" customHeight="false" outlineLevel="0" collapsed="false">
      <c r="A10260" s="0" t="n">
        <f aca="false">DURATION(DATE(2023,12,31),DATE(2026,12,31),0.05,0.08,2,0)</f>
        <v>2.81407479814384</v>
      </c>
      <c r="B10260" s="0" t="s">
        <v>10224</v>
      </c>
    </row>
    <row r="10261" customFormat="false" ht="15" hidden="false" customHeight="false" outlineLevel="0" collapsed="false">
      <c r="A10261" s="0" t="n">
        <f aca="false">PRICE(DATE(2023,12,31),DATE(2026,12,31),0.05,0.08,100,2,0)</f>
        <v>92.1367947148805</v>
      </c>
      <c r="B10261" s="0" t="s">
        <v>10225</v>
      </c>
    </row>
    <row r="10262" customFormat="false" ht="15" hidden="false" customHeight="false" outlineLevel="0" collapsed="false">
      <c r="A10262" s="0" t="n">
        <f aca="false">YIELD(DATE(2023,12,31),DATE(2026,12,31),0.05,95,100,2,0)</f>
        <v>0.0687276218149256</v>
      </c>
      <c r="B10262" s="0" t="s">
        <v>10226</v>
      </c>
    </row>
    <row r="10263" customFormat="false" ht="15" hidden="false" customHeight="false" outlineLevel="0" collapsed="false">
      <c r="A10263" s="0" t="n">
        <f aca="false">PRICEDISC(DATE(2023,12,31),DATE(2026,12,31),0.05,100,1)</f>
        <v>84.986301369863</v>
      </c>
      <c r="B10263" s="0" t="s">
        <v>10227</v>
      </c>
    </row>
    <row r="10264" customFormat="false" ht="15" hidden="false" customHeight="false" outlineLevel="0" collapsed="false">
      <c r="A10264" s="0" t="n">
        <f aca="false">RECEIVED(DATE(2023,12,31),DATE(2026,12,31),1000,0.05,1)</f>
        <v>1176.66021921341</v>
      </c>
      <c r="B10264" s="0" t="s">
        <v>10228</v>
      </c>
    </row>
    <row r="10265" customFormat="false" ht="15" hidden="false" customHeight="false" outlineLevel="0" collapsed="false">
      <c r="A10265" s="0" t="n">
        <f aca="false">INTRATE(DATE(2023,12,31),DATE(2026,12,31),1000,1050,1)</f>
        <v>0.0166514598540146</v>
      </c>
      <c r="B10265" s="0" t="s">
        <v>10229</v>
      </c>
    </row>
    <row r="10266" customFormat="false" ht="15" hidden="false" customHeight="false" outlineLevel="0" collapsed="false">
      <c r="A10266" s="0" t="n">
        <f aca="false">DISC(DATE(2023,12,31),DATE(2026,12,31),95,100,1)</f>
        <v>0.0166628649635037</v>
      </c>
      <c r="B10266" s="0" t="s">
        <v>10230</v>
      </c>
    </row>
    <row r="10267" customFormat="false" ht="15" hidden="false" customHeight="false" outlineLevel="0" collapsed="false">
      <c r="A10267" s="0" t="n">
        <f aca="false">YIELDDISC(DATE(2023,12,31),DATE(2026,12,31),95,100,1)</f>
        <v>0.0175398578563196</v>
      </c>
      <c r="B10267" s="0" t="s">
        <v>10231</v>
      </c>
    </row>
    <row r="10268" customFormat="false" ht="15" hidden="false" customHeight="false" outlineLevel="0" collapsed="false">
      <c r="A10268" s="0" t="n">
        <f aca="false">ACCRINTM(DATE(2023,12,31),DATE(2026,12,31),0.05,1000,1)</f>
        <v>150.13698630137</v>
      </c>
      <c r="B10268" s="0" t="s">
        <v>10232</v>
      </c>
    </row>
    <row r="10269" customFormat="false" ht="15" hidden="false" customHeight="false" outlineLevel="0" collapsed="false">
      <c r="A10269" s="0" t="n">
        <f aca="false">PRICEMAT(DATE(2023,12,31),DATE(2026,12,31),DATE(2023,1,31),0.05,0.06,1)</f>
        <v>96.7564131779671</v>
      </c>
      <c r="B10269" s="0" t="s">
        <v>10233</v>
      </c>
    </row>
    <row r="10270" customFormat="false" ht="15" hidden="false" customHeight="false" outlineLevel="0" collapsed="false">
      <c r="A10270" s="0" t="n">
        <f aca="false">YIELDMAT(DATE(2023,12,31),DATE(2026,12,31),DATE(2023,1,31),0.05,98,1)</f>
        <v>0.0552322889372388</v>
      </c>
      <c r="B10270" s="0" t="s">
        <v>10234</v>
      </c>
    </row>
    <row r="10271" customFormat="false" ht="15" hidden="false" customHeight="false" outlineLevel="0" collapsed="false">
      <c r="A10271" s="0" t="n">
        <f aca="false">ACCRINT(DATE(2023,12,31),DATE(2030,1,1),DATE(2026,12,31),0.05,1000,2,1)</f>
        <v>150.13698630137</v>
      </c>
      <c r="B10271" s="0" t="s">
        <v>10235</v>
      </c>
    </row>
    <row r="10272" customFormat="false" ht="15" hidden="false" customHeight="false" outlineLevel="0" collapsed="false">
      <c r="A10272" s="0" t="n">
        <f aca="false">DURATION(DATE(2023,12,31),DATE(2026,12,31),0.05,0.08,2,1)</f>
        <v>2.81475926084062</v>
      </c>
      <c r="B10272" s="0" t="s">
        <v>10236</v>
      </c>
    </row>
    <row r="10273" customFormat="false" ht="15" hidden="false" customHeight="false" outlineLevel="0" collapsed="false">
      <c r="A10273" s="0" t="n">
        <f aca="false">PRICE(DATE(2023,12,31),DATE(2026,12,31),0.05,0.08,100,2,1)</f>
        <v>92.1367947148805</v>
      </c>
      <c r="B10273" s="0" t="s">
        <v>10237</v>
      </c>
    </row>
    <row r="10274" customFormat="false" ht="15" hidden="false" customHeight="false" outlineLevel="0" collapsed="false">
      <c r="A10274" s="0" t="n">
        <f aca="false">YIELD(DATE(2023,12,31),DATE(2026,12,31),0.05,95,100,2,1)</f>
        <v>0.0687276218149256</v>
      </c>
      <c r="B10274" s="0" t="s">
        <v>10238</v>
      </c>
    </row>
    <row r="10275" customFormat="false" ht="15" hidden="false" customHeight="false" outlineLevel="0" collapsed="false">
      <c r="A10275" s="0" t="n">
        <f aca="false">PRICEDISC(DATE(2023,12,31),DATE(2026,12,31),0.05,100,4)</f>
        <v>85</v>
      </c>
      <c r="B10275" s="0" t="s">
        <v>10239</v>
      </c>
    </row>
    <row r="10276" customFormat="false" ht="15" hidden="false" customHeight="false" outlineLevel="0" collapsed="false">
      <c r="A10276" s="0" t="n">
        <f aca="false">RECEIVED(DATE(2023,12,31),DATE(2026,12,31),1000,0.05,4)</f>
        <v>1176.47058823529</v>
      </c>
      <c r="B10276" s="0" t="s">
        <v>10240</v>
      </c>
    </row>
    <row r="10277" customFormat="false" ht="15" hidden="false" customHeight="false" outlineLevel="0" collapsed="false">
      <c r="A10277" s="0" t="n">
        <f aca="false">INTRATE(DATE(2023,12,31),DATE(2026,12,31),1000,1050,4)</f>
        <v>0.0166666666666667</v>
      </c>
      <c r="B10277" s="0" t="s">
        <v>10241</v>
      </c>
    </row>
    <row r="10278" customFormat="false" ht="15" hidden="false" customHeight="false" outlineLevel="0" collapsed="false">
      <c r="A10278" s="0" t="n">
        <f aca="false">DISC(DATE(2023,12,31),DATE(2026,12,31),95,100,4)</f>
        <v>0.0166666666666667</v>
      </c>
      <c r="B10278" s="0" t="s">
        <v>10242</v>
      </c>
    </row>
    <row r="10279" customFormat="false" ht="15" hidden="false" customHeight="false" outlineLevel="0" collapsed="false">
      <c r="A10279" s="0" t="n">
        <f aca="false">YIELDDISC(DATE(2023,12,31),DATE(2026,12,31),95,100,4)</f>
        <v>0.0175438596491228</v>
      </c>
      <c r="B10279" s="0" t="s">
        <v>10243</v>
      </c>
    </row>
    <row r="10280" customFormat="false" ht="15" hidden="false" customHeight="false" outlineLevel="0" collapsed="false">
      <c r="A10280" s="0" t="n">
        <f aca="false">ACCRINTM(DATE(2023,12,31),DATE(2026,12,31),0.05,1000,4)</f>
        <v>150</v>
      </c>
      <c r="B10280" s="0" t="s">
        <v>10244</v>
      </c>
    </row>
    <row r="10281" customFormat="false" ht="15" hidden="false" customHeight="false" outlineLevel="0" collapsed="false">
      <c r="A10281" s="0" t="n">
        <f aca="false">PRICEMAT(DATE(2023,12,31),DATE(2026,12,31),DATE(2023,1,31),0.05,0.06,4)</f>
        <v>96.7584745762712</v>
      </c>
      <c r="B10281" s="0" t="s">
        <v>10245</v>
      </c>
    </row>
    <row r="10282" customFormat="false" ht="15" hidden="false" customHeight="false" outlineLevel="0" collapsed="false">
      <c r="A10282" s="0" t="n">
        <f aca="false">YIELDMAT(DATE(2023,12,31),DATE(2026,12,31),DATE(2023,1,31),0.05,98,4)</f>
        <v>0.0552396425670187</v>
      </c>
      <c r="B10282" s="0" t="s">
        <v>10246</v>
      </c>
    </row>
    <row r="10283" customFormat="false" ht="15" hidden="false" customHeight="false" outlineLevel="0" collapsed="false">
      <c r="A10283" s="0" t="n">
        <f aca="false">ACCRINT(DATE(2023,12,31),DATE(2030,1,1),DATE(2026,12,31),0.05,1000,2,4)</f>
        <v>150</v>
      </c>
      <c r="B10283" s="0" t="s">
        <v>10247</v>
      </c>
    </row>
    <row r="10284" customFormat="false" ht="15" hidden="false" customHeight="false" outlineLevel="0" collapsed="false">
      <c r="A10284" s="0" t="n">
        <f aca="false">DURATION(DATE(2023,12,31),DATE(2026,12,31),0.05,0.08,2,4)</f>
        <v>2.81407479814384</v>
      </c>
      <c r="B10284" s="0" t="s">
        <v>10248</v>
      </c>
    </row>
    <row r="10285" customFormat="false" ht="15" hidden="false" customHeight="false" outlineLevel="0" collapsed="false">
      <c r="A10285" s="0" t="n">
        <f aca="false">PRICE(DATE(2023,12,31),DATE(2026,12,31),0.05,0.08,100,2,4)</f>
        <v>92.1367947148805</v>
      </c>
      <c r="B10285" s="0" t="s">
        <v>10249</v>
      </c>
    </row>
    <row r="10286" customFormat="false" ht="15" hidden="false" customHeight="false" outlineLevel="0" collapsed="false">
      <c r="A10286" s="0" t="n">
        <f aca="false">YIELD(DATE(2023,12,31),DATE(2026,12,31),0.05,95,100,2,4)</f>
        <v>0.0687276218149256</v>
      </c>
      <c r="B10286" s="0" t="s">
        <v>10250</v>
      </c>
    </row>
    <row r="10287" customFormat="false" ht="15" hidden="false" customHeight="false" outlineLevel="0" collapsed="false">
      <c r="A10287" s="0" t="n">
        <f aca="false">TBILLPRICE(DATE(2023,12,31),DATE(2026,12,31),0.05)</f>
        <v>84.9861111111111</v>
      </c>
      <c r="B10287" s="0" t="s">
        <v>10251</v>
      </c>
    </row>
    <row r="10288" customFormat="false" ht="15" hidden="false" customHeight="false" outlineLevel="0" collapsed="false">
      <c r="A10288" s="0" t="e">
        <f aca="false">TBILLEQ(DATE(2023,12,31),DATE(2026,12,31),0.05)</f>
        <v>#VALUE!</v>
      </c>
      <c r="B10288" s="0" t="s">
        <v>10252</v>
      </c>
    </row>
    <row r="10289" customFormat="false" ht="15" hidden="false" customHeight="false" outlineLevel="0" collapsed="false">
      <c r="A10289" s="0" t="e">
        <f aca="false">TBILLYIELD(DATE(2023,12,31),DATE(2026,12,31),98)</f>
        <v>#VALUE!</v>
      </c>
      <c r="B10289" s="0" t="s">
        <v>10253</v>
      </c>
    </row>
    <row r="10290" customFormat="false" ht="15" hidden="false" customHeight="false" outlineLevel="0" collapsed="false">
      <c r="A10290" s="0" t="n">
        <f aca="false">PRICEDISC(DATE(2023,12,31),DATE(2027,2,28),0.05,100,0)</f>
        <v>84.2083333333333</v>
      </c>
      <c r="B10290" s="0" t="s">
        <v>10254</v>
      </c>
    </row>
    <row r="10291" customFormat="false" ht="15" hidden="false" customHeight="false" outlineLevel="0" collapsed="false">
      <c r="A10291" s="0" t="n">
        <f aca="false">RECEIVED(DATE(2023,12,31),DATE(2027,2,28),1000,0.05,0)</f>
        <v>1187.53092528451</v>
      </c>
      <c r="B10291" s="0" t="s">
        <v>10255</v>
      </c>
    </row>
    <row r="10292" customFormat="false" ht="15" hidden="false" customHeight="false" outlineLevel="0" collapsed="false">
      <c r="A10292" s="0" t="n">
        <f aca="false">INTRATE(DATE(2023,12,31),DATE(2027,2,28),1000,1050,0)</f>
        <v>0.0158311345646438</v>
      </c>
      <c r="B10292" s="0" t="s">
        <v>10256</v>
      </c>
    </row>
    <row r="10293" customFormat="false" ht="15" hidden="false" customHeight="false" outlineLevel="0" collapsed="false">
      <c r="A10293" s="0" t="n">
        <f aca="false">DISC(DATE(2023,12,31),DATE(2027,2,28),95,100,0)</f>
        <v>0.015817223198594</v>
      </c>
      <c r="B10293" s="0" t="s">
        <v>10257</v>
      </c>
    </row>
    <row r="10294" customFormat="false" ht="15" hidden="false" customHeight="false" outlineLevel="0" collapsed="false">
      <c r="A10294" s="0" t="n">
        <f aca="false">YIELDDISC(DATE(2023,12,31),DATE(2027,2,28),95,100,0)</f>
        <v>0.016649708630099</v>
      </c>
      <c r="B10294" s="0" t="s">
        <v>10258</v>
      </c>
    </row>
    <row r="10295" customFormat="false" ht="15" hidden="false" customHeight="false" outlineLevel="0" collapsed="false">
      <c r="A10295" s="0" t="n">
        <f aca="false">ACCRINTM(DATE(2023,12,31),DATE(2027,2,28),0.05,1000,0)</f>
        <v>157.916666666667</v>
      </c>
      <c r="B10295" s="0" t="s">
        <v>10259</v>
      </c>
    </row>
    <row r="10296" customFormat="false" ht="15" hidden="false" customHeight="false" outlineLevel="0" collapsed="false">
      <c r="A10296" s="0" t="n">
        <f aca="false">PRICEMAT(DATE(2023,12,31),DATE(2027,2,28),DATE(2023,1,31),0.05,0.06,0)</f>
        <v>96.6121462594564</v>
      </c>
      <c r="B10296" s="0" t="s">
        <v>10260</v>
      </c>
    </row>
    <row r="10297" customFormat="false" ht="15" hidden="false" customHeight="false" outlineLevel="0" collapsed="false">
      <c r="A10297" s="0" t="n">
        <f aca="false">YIELDMAT(DATE(2023,12,31),DATE(2027,2,28),DATE(2023,1,31),0.05,98,0)</f>
        <v>0.0549084217183794</v>
      </c>
      <c r="B10297" s="0" t="s">
        <v>10261</v>
      </c>
    </row>
    <row r="10298" customFormat="false" ht="15" hidden="false" customHeight="false" outlineLevel="0" collapsed="false">
      <c r="A10298" s="0" t="n">
        <f aca="false">ACCRINT(DATE(2023,12,31),DATE(2030,1,1),DATE(2027,2,28),0.05,1000,2,0)</f>
        <v>157.916666666667</v>
      </c>
      <c r="B10298" s="0" t="s">
        <v>10262</v>
      </c>
    </row>
    <row r="10299" customFormat="false" ht="15" hidden="false" customHeight="false" outlineLevel="0" collapsed="false">
      <c r="A10299" s="0" t="n">
        <f aca="false">DURATION(DATE(2023,12,31),DATE(2027,2,28),0.05,0.08,2,0)</f>
        <v>2.9008470961479</v>
      </c>
      <c r="B10299" s="0" t="s">
        <v>10263</v>
      </c>
    </row>
    <row r="10300" customFormat="false" ht="15" hidden="false" customHeight="false" outlineLevel="0" collapsed="false">
      <c r="A10300" s="0" t="n">
        <f aca="false">PRICE(DATE(2023,12,31),DATE(2027,2,28),0.05,0.08,100,2,0)</f>
        <v>91.7409396369879</v>
      </c>
      <c r="B10300" s="0" t="s">
        <v>10264</v>
      </c>
    </row>
    <row r="10301" customFormat="false" ht="15" hidden="false" customHeight="false" outlineLevel="0" collapsed="false">
      <c r="A10301" s="0" t="n">
        <f aca="false">YIELD(DATE(2023,12,31),DATE(2027,2,28),0.05,95,100,2,0)</f>
        <v>0.0677764657384193</v>
      </c>
      <c r="B10301" s="0" t="s">
        <v>10265</v>
      </c>
    </row>
    <row r="10302" customFormat="false" ht="15" hidden="false" customHeight="false" outlineLevel="0" collapsed="false">
      <c r="A10302" s="0" t="n">
        <f aca="false">PRICEDISC(DATE(2023,12,31),DATE(2027,2,28),0.05,100,1)</f>
        <v>84.1780821917808</v>
      </c>
      <c r="B10302" s="0" t="s">
        <v>10266</v>
      </c>
    </row>
    <row r="10303" customFormat="false" ht="15" hidden="false" customHeight="false" outlineLevel="0" collapsed="false">
      <c r="A10303" s="0" t="n">
        <f aca="false">RECEIVED(DATE(2023,12,31),DATE(2027,2,28),1000,0.05,1)</f>
        <v>1187.95768917819</v>
      </c>
      <c r="B10303" s="0" t="s">
        <v>10267</v>
      </c>
    </row>
    <row r="10304" customFormat="false" ht="15" hidden="false" customHeight="false" outlineLevel="0" collapsed="false">
      <c r="A10304" s="0" t="n">
        <f aca="false">INTRATE(DATE(2023,12,31),DATE(2027,2,28),1000,1050,1)</f>
        <v>0.0158008658008658</v>
      </c>
      <c r="B10304" s="0" t="s">
        <v>10268</v>
      </c>
    </row>
    <row r="10305" customFormat="false" ht="15" hidden="false" customHeight="false" outlineLevel="0" collapsed="false">
      <c r="A10305" s="0" t="n">
        <f aca="false">DISC(DATE(2023,12,31),DATE(2027,2,28),95,100,1)</f>
        <v>0.0158095238095238</v>
      </c>
      <c r="B10305" s="0" t="s">
        <v>10269</v>
      </c>
    </row>
    <row r="10306" customFormat="false" ht="15" hidden="false" customHeight="false" outlineLevel="0" collapsed="false">
      <c r="A10306" s="0" t="n">
        <f aca="false">YIELDDISC(DATE(2023,12,31),DATE(2027,2,28),95,100,1)</f>
        <v>0.016641604010025</v>
      </c>
      <c r="B10306" s="0" t="s">
        <v>10270</v>
      </c>
    </row>
    <row r="10307" customFormat="false" ht="15" hidden="false" customHeight="false" outlineLevel="0" collapsed="false">
      <c r="A10307" s="0" t="n">
        <f aca="false">ACCRINTM(DATE(2023,12,31),DATE(2027,2,28),0.05,1000,1)</f>
        <v>158.219178082192</v>
      </c>
      <c r="B10307" s="0" t="s">
        <v>10271</v>
      </c>
    </row>
    <row r="10308" customFormat="false" ht="15" hidden="false" customHeight="false" outlineLevel="0" collapsed="false">
      <c r="A10308" s="0" t="n">
        <f aca="false">PRICEMAT(DATE(2023,12,31),DATE(2027,2,28),DATE(2023,1,31),0.05,0.06,1)</f>
        <v>96.6099279600233</v>
      </c>
      <c r="B10308" s="0" t="s">
        <v>10272</v>
      </c>
    </row>
    <row r="10309" customFormat="false" ht="15" hidden="false" customHeight="false" outlineLevel="0" collapsed="false">
      <c r="A10309" s="0" t="n">
        <f aca="false">YIELDMAT(DATE(2023,12,31),DATE(2027,2,28),DATE(2023,1,31),0.05,98,1)</f>
        <v>0.0549019730269731</v>
      </c>
      <c r="B10309" s="0" t="s">
        <v>10273</v>
      </c>
    </row>
    <row r="10310" customFormat="false" ht="15" hidden="false" customHeight="false" outlineLevel="0" collapsed="false">
      <c r="A10310" s="0" t="n">
        <f aca="false">ACCRINT(DATE(2023,12,31),DATE(2030,1,1),DATE(2027,2,28),0.05,1000,2,1)</f>
        <v>158.219178082192</v>
      </c>
      <c r="B10310" s="0" t="s">
        <v>10274</v>
      </c>
    </row>
    <row r="10311" customFormat="false" ht="15" hidden="false" customHeight="false" outlineLevel="0" collapsed="false">
      <c r="A10311" s="0" t="n">
        <f aca="false">DURATION(DATE(2023,12,31),DATE(2027,2,28),0.05,0.08,2,1)</f>
        <v>2.90238658744643</v>
      </c>
      <c r="B10311" s="0" t="s">
        <v>10275</v>
      </c>
    </row>
    <row r="10312" customFormat="false" ht="15" hidden="false" customHeight="false" outlineLevel="0" collapsed="false">
      <c r="A10312" s="0" t="n">
        <f aca="false">PRICE(DATE(2023,12,31),DATE(2027,2,28),0.05,0.08,100,2,1)</f>
        <v>91.7452025531278</v>
      </c>
      <c r="B10312" s="0" t="s">
        <v>10276</v>
      </c>
    </row>
    <row r="10313" customFormat="false" ht="15" hidden="false" customHeight="false" outlineLevel="0" collapsed="false">
      <c r="A10313" s="0" t="n">
        <f aca="false">YIELD(DATE(2023,12,31),DATE(2027,2,28),0.05,95,100,2,1)</f>
        <v>0.0677861803545509</v>
      </c>
      <c r="B10313" s="0" t="s">
        <v>10277</v>
      </c>
    </row>
    <row r="10314" customFormat="false" ht="15" hidden="false" customHeight="false" outlineLevel="0" collapsed="false">
      <c r="A10314" s="0" t="n">
        <f aca="false">PRICEDISC(DATE(2023,12,31),DATE(2027,2,28),0.05,100,4)</f>
        <v>84.2083333333333</v>
      </c>
      <c r="B10314" s="0" t="s">
        <v>10278</v>
      </c>
    </row>
    <row r="10315" customFormat="false" ht="15" hidden="false" customHeight="false" outlineLevel="0" collapsed="false">
      <c r="A10315" s="0" t="n">
        <f aca="false">RECEIVED(DATE(2023,12,31),DATE(2027,2,28),1000,0.05,4)</f>
        <v>1187.53092528451</v>
      </c>
      <c r="B10315" s="0" t="s">
        <v>10279</v>
      </c>
    </row>
    <row r="10316" customFormat="false" ht="15" hidden="false" customHeight="false" outlineLevel="0" collapsed="false">
      <c r="A10316" s="0" t="n">
        <f aca="false">INTRATE(DATE(2023,12,31),DATE(2027,2,28),1000,1050,4)</f>
        <v>0.0158311345646438</v>
      </c>
      <c r="B10316" s="0" t="s">
        <v>10280</v>
      </c>
    </row>
    <row r="10317" customFormat="false" ht="15" hidden="false" customHeight="false" outlineLevel="0" collapsed="false">
      <c r="A10317" s="0" t="n">
        <f aca="false">DISC(DATE(2023,12,31),DATE(2027,2,28),95,100,4)</f>
        <v>0.015817223198594</v>
      </c>
      <c r="B10317" s="0" t="s">
        <v>10281</v>
      </c>
    </row>
    <row r="10318" customFormat="false" ht="15" hidden="false" customHeight="false" outlineLevel="0" collapsed="false">
      <c r="A10318" s="0" t="n">
        <f aca="false">YIELDDISC(DATE(2023,12,31),DATE(2027,2,28),95,100,4)</f>
        <v>0.016649708630099</v>
      </c>
      <c r="B10318" s="0" t="s">
        <v>10282</v>
      </c>
    </row>
    <row r="10319" customFormat="false" ht="15" hidden="false" customHeight="false" outlineLevel="0" collapsed="false">
      <c r="A10319" s="0" t="n">
        <f aca="false">ACCRINTM(DATE(2023,12,31),DATE(2027,2,28),0.05,1000,4)</f>
        <v>157.916666666667</v>
      </c>
      <c r="B10319" s="0" t="s">
        <v>10283</v>
      </c>
    </row>
    <row r="10320" customFormat="false" ht="15" hidden="false" customHeight="false" outlineLevel="0" collapsed="false">
      <c r="A10320" s="0" t="n">
        <f aca="false">PRICEMAT(DATE(2023,12,31),DATE(2027,2,28),DATE(2023,1,31),0.05,0.06,4)</f>
        <v>96.6121462594564</v>
      </c>
      <c r="B10320" s="0" t="s">
        <v>10284</v>
      </c>
    </row>
    <row r="10321" customFormat="false" ht="15" hidden="false" customHeight="false" outlineLevel="0" collapsed="false">
      <c r="A10321" s="0" t="n">
        <f aca="false">YIELDMAT(DATE(2023,12,31),DATE(2027,2,28),DATE(2023,1,31),0.05,98,4)</f>
        <v>0.0549084217183794</v>
      </c>
      <c r="B10321" s="0" t="s">
        <v>10285</v>
      </c>
    </row>
    <row r="10322" customFormat="false" ht="15" hidden="false" customHeight="false" outlineLevel="0" collapsed="false">
      <c r="A10322" s="0" t="n">
        <f aca="false">ACCRINT(DATE(2023,12,31),DATE(2030,1,1),DATE(2027,2,28),0.05,1000,2,4)</f>
        <v>157.916666666667</v>
      </c>
      <c r="B10322" s="0" t="s">
        <v>10286</v>
      </c>
    </row>
    <row r="10323" customFormat="false" ht="15" hidden="false" customHeight="false" outlineLevel="0" collapsed="false">
      <c r="A10323" s="0" t="n">
        <f aca="false">DURATION(DATE(2023,12,31),DATE(2027,2,28),0.05,0.08,2,4)</f>
        <v>2.9008470961479</v>
      </c>
      <c r="B10323" s="0" t="s">
        <v>10287</v>
      </c>
    </row>
    <row r="10324" customFormat="false" ht="15" hidden="false" customHeight="false" outlineLevel="0" collapsed="false">
      <c r="A10324" s="0" t="n">
        <f aca="false">PRICE(DATE(2023,12,31),DATE(2027,2,28),0.05,0.08,100,2,4)</f>
        <v>91.7409396369879</v>
      </c>
      <c r="B10324" s="0" t="s">
        <v>10288</v>
      </c>
    </row>
    <row r="10325" customFormat="false" ht="15" hidden="false" customHeight="false" outlineLevel="0" collapsed="false">
      <c r="A10325" s="0" t="n">
        <f aca="false">YIELD(DATE(2023,12,31),DATE(2027,2,28),0.05,95,100,2,4)</f>
        <v>0.0677764657384193</v>
      </c>
      <c r="B10325" s="0" t="s">
        <v>10289</v>
      </c>
    </row>
    <row r="10326" customFormat="false" ht="15" hidden="false" customHeight="false" outlineLevel="0" collapsed="false">
      <c r="A10326" s="0" t="n">
        <f aca="false">TBILLPRICE(DATE(2023,12,31),DATE(2027,2,28),0.05)</f>
        <v>84.1527777777778</v>
      </c>
      <c r="B10326" s="0" t="s">
        <v>10290</v>
      </c>
    </row>
    <row r="10327" customFormat="false" ht="15" hidden="false" customHeight="false" outlineLevel="0" collapsed="false">
      <c r="A10327" s="0" t="e">
        <f aca="false">TBILLEQ(DATE(2023,12,31),DATE(2027,2,28),0.05)</f>
        <v>#VALUE!</v>
      </c>
      <c r="B10327" s="0" t="s">
        <v>10291</v>
      </c>
    </row>
    <row r="10328" customFormat="false" ht="15" hidden="false" customHeight="false" outlineLevel="0" collapsed="false">
      <c r="A10328" s="0" t="e">
        <f aca="false">TBILLYIELD(DATE(2023,12,31),DATE(2027,2,28),98)</f>
        <v>#VALUE!</v>
      </c>
      <c r="B10328" s="0" t="s">
        <v>10292</v>
      </c>
    </row>
    <row r="10329" customFormat="false" ht="15" hidden="false" customHeight="false" outlineLevel="0" collapsed="false">
      <c r="A10329" s="0" t="n">
        <f aca="false">PRICEDISC(DATE(2023,12,31),DATE(2025,1,30),0.05,100,0)</f>
        <v>94.5972222222222</v>
      </c>
      <c r="B10329" s="0" t="s">
        <v>10293</v>
      </c>
    </row>
    <row r="10330" customFormat="false" ht="15" hidden="false" customHeight="false" outlineLevel="0" collapsed="false">
      <c r="A10330" s="0" t="n">
        <f aca="false">RECEIVED(DATE(2023,12,31),DATE(2025,1,30),1000,0.05,0)</f>
        <v>1057.11349287917</v>
      </c>
      <c r="B10330" s="0" t="s">
        <v>10294</v>
      </c>
    </row>
    <row r="10331" customFormat="false" ht="15" hidden="false" customHeight="false" outlineLevel="0" collapsed="false">
      <c r="A10331" s="0" t="n">
        <f aca="false">INTRATE(DATE(2023,12,31),DATE(2025,1,30),1000,1050,0)</f>
        <v>0.0462724935732648</v>
      </c>
      <c r="B10331" s="0" t="s">
        <v>10295</v>
      </c>
    </row>
    <row r="10332" customFormat="false" ht="15" hidden="false" customHeight="false" outlineLevel="0" collapsed="false">
      <c r="A10332" s="0" t="n">
        <f aca="false">DISC(DATE(2023,12,31),DATE(2025,1,30),95,100,0)</f>
        <v>0.0461538461538462</v>
      </c>
      <c r="B10332" s="0" t="s">
        <v>10296</v>
      </c>
    </row>
    <row r="10333" customFormat="false" ht="15" hidden="false" customHeight="false" outlineLevel="0" collapsed="false">
      <c r="A10333" s="0" t="n">
        <f aca="false">YIELDDISC(DATE(2023,12,31),DATE(2025,1,30),95,100,0)</f>
        <v>0.048582995951417</v>
      </c>
      <c r="B10333" s="0" t="s">
        <v>10297</v>
      </c>
    </row>
    <row r="10334" customFormat="false" ht="15" hidden="false" customHeight="false" outlineLevel="0" collapsed="false">
      <c r="A10334" s="0" t="n">
        <f aca="false">ACCRINTM(DATE(2023,12,31),DATE(2025,1,30),0.05,1000,0)</f>
        <v>54.0277777777778</v>
      </c>
      <c r="B10334" s="0" t="s">
        <v>10298</v>
      </c>
    </row>
    <row r="10335" customFormat="false" ht="15" hidden="false" customHeight="false" outlineLevel="0" collapsed="false">
      <c r="A10335" s="0" t="n">
        <f aca="false">PRICEMAT(DATE(2023,12,31),DATE(2025,1,30),DATE(2023,1,31),0.05,0.06,0)</f>
        <v>98.7030516431925</v>
      </c>
      <c r="B10335" s="0" t="s">
        <v>10299</v>
      </c>
    </row>
    <row r="10336" customFormat="false" ht="15" hidden="false" customHeight="false" outlineLevel="0" collapsed="false">
      <c r="A10336" s="0" t="n">
        <f aca="false">YIELDMAT(DATE(2023,12,31),DATE(2025,1,30),DATE(2023,1,31),0.05,98,0)</f>
        <v>0.0667374867212398</v>
      </c>
      <c r="B10336" s="0" t="s">
        <v>10300</v>
      </c>
    </row>
    <row r="10337" customFormat="false" ht="15" hidden="false" customHeight="false" outlineLevel="0" collapsed="false">
      <c r="A10337" s="0" t="n">
        <f aca="false">ACCRINT(DATE(2023,12,31),DATE(2030,1,1),DATE(2025,1,30),0.05,1000,2,0)</f>
        <v>54.0277777777778</v>
      </c>
      <c r="B10337" s="0" t="s">
        <v>10301</v>
      </c>
    </row>
    <row r="10338" customFormat="false" ht="15" hidden="false" customHeight="false" outlineLevel="0" collapsed="false">
      <c r="A10338" s="0" t="n">
        <f aca="false">DURATION(DATE(2023,12,31),DATE(2025,1,30),0.05,0.08,2,0)</f>
        <v>1.04619185435296</v>
      </c>
      <c r="B10338" s="0" t="s">
        <v>10302</v>
      </c>
    </row>
    <row r="10339" customFormat="false" ht="15" hidden="false" customHeight="false" outlineLevel="0" collapsed="false">
      <c r="A10339" s="0" t="n">
        <f aca="false">PRICE(DATE(2023,12,31),DATE(2025,1,30),0.05,0.08,100,2,0)</f>
        <v>96.9381224468809</v>
      </c>
      <c r="B10339" s="0" t="s">
        <v>10303</v>
      </c>
    </row>
    <row r="10340" customFormat="false" ht="15" hidden="false" customHeight="false" outlineLevel="0" collapsed="false">
      <c r="A10340" s="0" t="n">
        <f aca="false">YIELD(DATE(2023,12,31),DATE(2025,1,30),0.05,95,100,2,0)</f>
        <v>0.0997483121460699</v>
      </c>
      <c r="B10340" s="0" t="s">
        <v>10304</v>
      </c>
    </row>
    <row r="10341" customFormat="false" ht="15" hidden="false" customHeight="false" outlineLevel="0" collapsed="false">
      <c r="A10341" s="0" t="n">
        <f aca="false">PRICEDISC(DATE(2023,12,31),DATE(2025,1,30),0.05,100,1)</f>
        <v>94.5753424657534</v>
      </c>
      <c r="B10341" s="0" t="s">
        <v>10305</v>
      </c>
    </row>
    <row r="10342" customFormat="false" ht="15" hidden="false" customHeight="false" outlineLevel="0" collapsed="false">
      <c r="A10342" s="0" t="n">
        <f aca="false">RECEIVED(DATE(2023,12,31),DATE(2025,1,30),1000,0.05,1)</f>
        <v>1057.35805330243</v>
      </c>
      <c r="B10342" s="0" t="s">
        <v>10306</v>
      </c>
    </row>
    <row r="10343" customFormat="false" ht="15" hidden="false" customHeight="false" outlineLevel="0" collapsed="false">
      <c r="A10343" s="0" t="n">
        <f aca="false">INTRATE(DATE(2023,12,31),DATE(2025,1,30),1000,1050,1)</f>
        <v>0.0460858585858586</v>
      </c>
      <c r="B10343" s="0" t="s">
        <v>10307</v>
      </c>
    </row>
    <row r="10344" customFormat="false" ht="15" hidden="false" customHeight="false" outlineLevel="0" collapsed="false">
      <c r="A10344" s="0" t="n">
        <f aca="false">DISC(DATE(2023,12,31),DATE(2025,1,30),95,100,1)</f>
        <v>0.0461279461279462</v>
      </c>
      <c r="B10344" s="0" t="s">
        <v>10308</v>
      </c>
    </row>
    <row r="10345" customFormat="false" ht="15" hidden="false" customHeight="false" outlineLevel="0" collapsed="false">
      <c r="A10345" s="0" t="n">
        <f aca="false">YIELDDISC(DATE(2023,12,31),DATE(2025,1,30),95,100,1)</f>
        <v>0.048555732766259</v>
      </c>
      <c r="B10345" s="0" t="s">
        <v>10309</v>
      </c>
    </row>
    <row r="10346" customFormat="false" ht="15" hidden="false" customHeight="false" outlineLevel="0" collapsed="false">
      <c r="A10346" s="0" t="n">
        <f aca="false">ACCRINTM(DATE(2023,12,31),DATE(2025,1,30),0.05,1000,1)</f>
        <v>54.2465753424658</v>
      </c>
      <c r="B10346" s="0" t="s">
        <v>10310</v>
      </c>
    </row>
    <row r="10347" customFormat="false" ht="15" hidden="false" customHeight="false" outlineLevel="0" collapsed="false">
      <c r="A10347" s="0" t="n">
        <f aca="false">PRICEMAT(DATE(2023,12,31),DATE(2025,1,30),DATE(2023,1,31),0.05,0.06,1)</f>
        <v>98.698936199177</v>
      </c>
      <c r="B10347" s="0" t="s">
        <v>10311</v>
      </c>
    </row>
    <row r="10348" customFormat="false" ht="15" hidden="false" customHeight="false" outlineLevel="0" collapsed="false">
      <c r="A10348" s="0" t="n">
        <f aca="false">YIELDMAT(DATE(2023,12,31),DATE(2025,1,30),DATE(2023,1,31),0.05,98,1)</f>
        <v>0.0666950397853177</v>
      </c>
      <c r="B10348" s="0" t="s">
        <v>10312</v>
      </c>
    </row>
    <row r="10349" customFormat="false" ht="15" hidden="false" customHeight="false" outlineLevel="0" collapsed="false">
      <c r="A10349" s="0" t="n">
        <f aca="false">ACCRINT(DATE(2023,12,31),DATE(2030,1,1),DATE(2025,1,30),0.05,1000,2,1)</f>
        <v>54.2465753424658</v>
      </c>
      <c r="B10349" s="0" t="s">
        <v>10313</v>
      </c>
    </row>
    <row r="10350" customFormat="false" ht="15" hidden="false" customHeight="false" outlineLevel="0" collapsed="false">
      <c r="A10350" s="0" t="n">
        <f aca="false">DURATION(DATE(2023,12,31),DATE(2025,1,30),0.05,0.08,2,1)</f>
        <v>1.04680012685904</v>
      </c>
      <c r="B10350" s="0" t="s">
        <v>10314</v>
      </c>
    </row>
    <row r="10351" customFormat="false" ht="15" hidden="false" customHeight="false" outlineLevel="0" collapsed="false">
      <c r="A10351" s="0" t="n">
        <f aca="false">PRICE(DATE(2023,12,31),DATE(2025,1,30),0.05,0.08,100,2,1)</f>
        <v>96.9431368239476</v>
      </c>
      <c r="B10351" s="0" t="s">
        <v>10315</v>
      </c>
    </row>
    <row r="10352" customFormat="false" ht="15" hidden="false" customHeight="false" outlineLevel="0" collapsed="false">
      <c r="A10352" s="0" t="n">
        <f aca="false">YIELD(DATE(2023,12,31),DATE(2025,1,30),0.05,95,100,2,1)</f>
        <v>0.0998318411033457</v>
      </c>
      <c r="B10352" s="0" t="s">
        <v>10316</v>
      </c>
    </row>
    <row r="10353" customFormat="false" ht="15" hidden="false" customHeight="false" outlineLevel="0" collapsed="false">
      <c r="A10353" s="0" t="n">
        <f aca="false">PRICEDISC(DATE(2023,12,31),DATE(2025,1,30),0.05,100,4)</f>
        <v>94.5972222222222</v>
      </c>
      <c r="B10353" s="0" t="s">
        <v>10317</v>
      </c>
    </row>
    <row r="10354" customFormat="false" ht="15" hidden="false" customHeight="false" outlineLevel="0" collapsed="false">
      <c r="A10354" s="0" t="n">
        <f aca="false">RECEIVED(DATE(2023,12,31),DATE(2025,1,30),1000,0.05,4)</f>
        <v>1057.11349287917</v>
      </c>
      <c r="B10354" s="0" t="s">
        <v>10318</v>
      </c>
    </row>
    <row r="10355" customFormat="false" ht="15" hidden="false" customHeight="false" outlineLevel="0" collapsed="false">
      <c r="A10355" s="0" t="n">
        <f aca="false">INTRATE(DATE(2023,12,31),DATE(2025,1,30),1000,1050,4)</f>
        <v>0.0462724935732648</v>
      </c>
      <c r="B10355" s="0" t="s">
        <v>10319</v>
      </c>
    </row>
    <row r="10356" customFormat="false" ht="15" hidden="false" customHeight="false" outlineLevel="0" collapsed="false">
      <c r="A10356" s="0" t="n">
        <f aca="false">DISC(DATE(2023,12,31),DATE(2025,1,30),95,100,4)</f>
        <v>0.0461538461538462</v>
      </c>
      <c r="B10356" s="0" t="s">
        <v>10320</v>
      </c>
    </row>
    <row r="10357" customFormat="false" ht="15" hidden="false" customHeight="false" outlineLevel="0" collapsed="false">
      <c r="A10357" s="0" t="n">
        <f aca="false">YIELDDISC(DATE(2023,12,31),DATE(2025,1,30),95,100,4)</f>
        <v>0.048582995951417</v>
      </c>
      <c r="B10357" s="0" t="s">
        <v>10321</v>
      </c>
    </row>
    <row r="10358" customFormat="false" ht="15" hidden="false" customHeight="false" outlineLevel="0" collapsed="false">
      <c r="A10358" s="0" t="n">
        <f aca="false">ACCRINTM(DATE(2023,12,31),DATE(2025,1,30),0.05,1000,4)</f>
        <v>54.0277777777778</v>
      </c>
      <c r="B10358" s="0" t="s">
        <v>10322</v>
      </c>
    </row>
    <row r="10359" customFormat="false" ht="15" hidden="false" customHeight="false" outlineLevel="0" collapsed="false">
      <c r="A10359" s="0" t="n">
        <f aca="false">PRICEMAT(DATE(2023,12,31),DATE(2025,1,30),DATE(2023,1,31),0.05,0.06,4)</f>
        <v>98.7030516431925</v>
      </c>
      <c r="B10359" s="0" t="s">
        <v>10323</v>
      </c>
    </row>
    <row r="10360" customFormat="false" ht="15" hidden="false" customHeight="false" outlineLevel="0" collapsed="false">
      <c r="A10360" s="0" t="n">
        <f aca="false">YIELDMAT(DATE(2023,12,31),DATE(2025,1,30),DATE(2023,1,31),0.05,98,4)</f>
        <v>0.0667374867212398</v>
      </c>
      <c r="B10360" s="0" t="s">
        <v>10324</v>
      </c>
    </row>
    <row r="10361" customFormat="false" ht="15" hidden="false" customHeight="false" outlineLevel="0" collapsed="false">
      <c r="A10361" s="0" t="n">
        <f aca="false">ACCRINT(DATE(2023,12,31),DATE(2030,1,1),DATE(2025,1,30),0.05,1000,2,4)</f>
        <v>54.0277777777778</v>
      </c>
      <c r="B10361" s="0" t="s">
        <v>10325</v>
      </c>
    </row>
    <row r="10362" customFormat="false" ht="15" hidden="false" customHeight="false" outlineLevel="0" collapsed="false">
      <c r="A10362" s="0" t="n">
        <f aca="false">DURATION(DATE(2023,12,31),DATE(2025,1,30),0.05,0.08,2,4)</f>
        <v>1.04619185435296</v>
      </c>
      <c r="B10362" s="0" t="s">
        <v>10326</v>
      </c>
    </row>
    <row r="10363" customFormat="false" ht="15" hidden="false" customHeight="false" outlineLevel="0" collapsed="false">
      <c r="A10363" s="0" t="n">
        <f aca="false">PRICE(DATE(2023,12,31),DATE(2025,1,30),0.05,0.08,100,2,4)</f>
        <v>96.9381224468809</v>
      </c>
      <c r="B10363" s="0" t="s">
        <v>10327</v>
      </c>
    </row>
    <row r="10364" customFormat="false" ht="15" hidden="false" customHeight="false" outlineLevel="0" collapsed="false">
      <c r="A10364" s="0" t="n">
        <f aca="false">YIELD(DATE(2023,12,31),DATE(2025,1,30),0.05,95,100,2,4)</f>
        <v>0.0997483121460699</v>
      </c>
      <c r="B10364" s="0" t="s">
        <v>10328</v>
      </c>
    </row>
    <row r="10365" customFormat="false" ht="15" hidden="false" customHeight="false" outlineLevel="0" collapsed="false">
      <c r="A10365" s="0" t="n">
        <f aca="false">TBILLPRICE(DATE(2023,12,31),DATE(2025,1,30),0.05)</f>
        <v>94.5833333333333</v>
      </c>
      <c r="B10365" s="0" t="s">
        <v>10329</v>
      </c>
    </row>
    <row r="10366" customFormat="false" ht="15" hidden="false" customHeight="false" outlineLevel="0" collapsed="false">
      <c r="A10366" s="0" t="e">
        <f aca="false">TBILLEQ(DATE(2023,12,31),DATE(2025,1,30),0.05)</f>
        <v>#VALUE!</v>
      </c>
      <c r="B10366" s="0" t="s">
        <v>10330</v>
      </c>
    </row>
    <row r="10367" customFormat="false" ht="15" hidden="false" customHeight="false" outlineLevel="0" collapsed="false">
      <c r="A10367" s="0" t="e">
        <f aca="false">TBILLYIELD(DATE(2023,12,31),DATE(2025,1,30),98)</f>
        <v>#VALUE!</v>
      </c>
      <c r="B10367" s="0" t="s">
        <v>10331</v>
      </c>
    </row>
    <row r="10368" customFormat="false" ht="15" hidden="false" customHeight="false" outlineLevel="0" collapsed="false">
      <c r="A10368" s="0" t="n">
        <f aca="false">PRICEDISC(DATE(2023,12,31),DATE(2024,12,31),0.05,100,0)</f>
        <v>95</v>
      </c>
      <c r="B10368" s="0" t="s">
        <v>10332</v>
      </c>
    </row>
    <row r="10369" customFormat="false" ht="15" hidden="false" customHeight="false" outlineLevel="0" collapsed="false">
      <c r="A10369" s="0" t="n">
        <f aca="false">RECEIVED(DATE(2023,12,31),DATE(2024,12,31),1000,0.05,0)</f>
        <v>1052.63157894737</v>
      </c>
      <c r="B10369" s="0" t="s">
        <v>10333</v>
      </c>
    </row>
    <row r="10370" customFormat="false" ht="15" hidden="false" customHeight="false" outlineLevel="0" collapsed="false">
      <c r="A10370" s="0" t="n">
        <f aca="false">INTRATE(DATE(2023,12,31),DATE(2024,12,31),1000,1050,0)</f>
        <v>0.05</v>
      </c>
      <c r="B10370" s="0" t="s">
        <v>10334</v>
      </c>
    </row>
    <row r="10371" customFormat="false" ht="15" hidden="false" customHeight="false" outlineLevel="0" collapsed="false">
      <c r="A10371" s="0" t="n">
        <f aca="false">DISC(DATE(2023,12,31),DATE(2024,12,31),95,100,0)</f>
        <v>0.05</v>
      </c>
      <c r="B10371" s="0" t="s">
        <v>10335</v>
      </c>
    </row>
    <row r="10372" customFormat="false" ht="15" hidden="false" customHeight="false" outlineLevel="0" collapsed="false">
      <c r="A10372" s="0" t="n">
        <f aca="false">YIELDDISC(DATE(2023,12,31),DATE(2024,12,31),95,100,0)</f>
        <v>0.0526315789473684</v>
      </c>
      <c r="B10372" s="0" t="s">
        <v>10336</v>
      </c>
    </row>
    <row r="10373" customFormat="false" ht="15" hidden="false" customHeight="false" outlineLevel="0" collapsed="false">
      <c r="A10373" s="0" t="n">
        <f aca="false">ACCRINTM(DATE(2023,12,31),DATE(2024,12,31),0.05,1000,0)</f>
        <v>50</v>
      </c>
      <c r="B10373" s="0" t="s">
        <v>10337</v>
      </c>
    </row>
    <row r="10374" customFormat="false" ht="15" hidden="false" customHeight="false" outlineLevel="0" collapsed="false">
      <c r="A10374" s="0" t="n">
        <f aca="false">PRICEMAT(DATE(2023,12,31),DATE(2024,12,31),DATE(2023,1,31),0.05,0.06,0)</f>
        <v>98.7971698113208</v>
      </c>
      <c r="B10374" s="0" t="s">
        <v>10338</v>
      </c>
    </row>
    <row r="10375" customFormat="false" ht="15" hidden="false" customHeight="false" outlineLevel="0" collapsed="false">
      <c r="A10375" s="0" t="n">
        <f aca="false">YIELDMAT(DATE(2023,12,31),DATE(2024,12,31),DATE(2023,1,31),0.05,98,0)</f>
        <v>0.0682372055239644</v>
      </c>
      <c r="B10375" s="0" t="s">
        <v>10339</v>
      </c>
    </row>
    <row r="10376" customFormat="false" ht="15" hidden="false" customHeight="false" outlineLevel="0" collapsed="false">
      <c r="A10376" s="0" t="n">
        <f aca="false">ACCRINT(DATE(2023,12,31),DATE(2030,1,1),DATE(2024,12,31),0.05,1000,2,0)</f>
        <v>50</v>
      </c>
      <c r="B10376" s="0" t="s">
        <v>10340</v>
      </c>
    </row>
    <row r="10377" customFormat="false" ht="15" hidden="false" customHeight="false" outlineLevel="0" collapsed="false">
      <c r="A10377" s="0" t="n">
        <f aca="false">DURATION(DATE(2023,12,31),DATE(2024,12,31),0.05,0.08,2,0)</f>
        <v>0.987630827783064</v>
      </c>
      <c r="B10377" s="0" t="s">
        <v>10341</v>
      </c>
    </row>
    <row r="10378" customFormat="false" ht="15" hidden="false" customHeight="false" outlineLevel="0" collapsed="false">
      <c r="A10378" s="0" t="n">
        <f aca="false">PRICE(DATE(2023,12,31),DATE(2024,12,31),0.05,0.08,100,2,0)</f>
        <v>97.1708579881657</v>
      </c>
      <c r="B10378" s="0" t="s">
        <v>10342</v>
      </c>
    </row>
    <row r="10379" customFormat="false" ht="15" hidden="false" customHeight="false" outlineLevel="0" collapsed="false">
      <c r="A10379" s="0" t="n">
        <f aca="false">YIELD(DATE(2023,12,31),DATE(2024,12,31),0.05,95,100,2,0)</f>
        <v>0.103930285586916</v>
      </c>
      <c r="B10379" s="0" t="s">
        <v>10343</v>
      </c>
    </row>
    <row r="10380" customFormat="false" ht="15" hidden="false" customHeight="false" outlineLevel="0" collapsed="false">
      <c r="A10380" s="0" t="n">
        <f aca="false">PRICEDISC(DATE(2023,12,31),DATE(2024,12,31),0.05,100,1)</f>
        <v>94.986301369863</v>
      </c>
      <c r="B10380" s="0" t="s">
        <v>10344</v>
      </c>
    </row>
    <row r="10381" customFormat="false" ht="15" hidden="false" customHeight="false" outlineLevel="0" collapsed="false">
      <c r="A10381" s="0" t="n">
        <f aca="false">RECEIVED(DATE(2023,12,31),DATE(2024,12,31),1000,0.05,1)</f>
        <v>1052.78338621286</v>
      </c>
      <c r="B10381" s="0" t="s">
        <v>10345</v>
      </c>
    </row>
    <row r="10382" customFormat="false" ht="15" hidden="false" customHeight="false" outlineLevel="0" collapsed="false">
      <c r="A10382" s="0" t="n">
        <f aca="false">INTRATE(DATE(2023,12,31),DATE(2024,12,31),1000,1050,1)</f>
        <v>0.0498633879781421</v>
      </c>
      <c r="B10382" s="0" t="s">
        <v>10346</v>
      </c>
    </row>
    <row r="10383" customFormat="false" ht="15" hidden="false" customHeight="false" outlineLevel="0" collapsed="false">
      <c r="A10383" s="0" t="n">
        <f aca="false">DISC(DATE(2023,12,31),DATE(2024,12,31),95,100,1)</f>
        <v>0.05</v>
      </c>
      <c r="B10383" s="0" t="s">
        <v>10347</v>
      </c>
    </row>
    <row r="10384" customFormat="false" ht="15" hidden="false" customHeight="false" outlineLevel="0" collapsed="false">
      <c r="A10384" s="0" t="n">
        <f aca="false">YIELDDISC(DATE(2023,12,31),DATE(2024,12,31),95,100,1)</f>
        <v>0.0526315789473684</v>
      </c>
      <c r="B10384" s="0" t="s">
        <v>10348</v>
      </c>
    </row>
    <row r="10385" customFormat="false" ht="15" hidden="false" customHeight="false" outlineLevel="0" collapsed="false">
      <c r="A10385" s="0" t="n">
        <f aca="false">ACCRINTM(DATE(2023,12,31),DATE(2024,12,31),0.05,1000,1)</f>
        <v>50.1369863013699</v>
      </c>
      <c r="B10385" s="0" t="s">
        <v>10349</v>
      </c>
    </row>
    <row r="10386" customFormat="false" ht="15" hidden="false" customHeight="false" outlineLevel="0" collapsed="false">
      <c r="A10386" s="0" t="n">
        <f aca="false">PRICEMAT(DATE(2023,12,31),DATE(2024,12,31),DATE(2023,1,31),0.05,0.06,1)</f>
        <v>98.798170168787</v>
      </c>
      <c r="B10386" s="0" t="s">
        <v>10350</v>
      </c>
    </row>
    <row r="10387" customFormat="false" ht="15" hidden="false" customHeight="false" outlineLevel="0" collapsed="false">
      <c r="A10387" s="0" t="n">
        <f aca="false">YIELDMAT(DATE(2023,12,31),DATE(2024,12,31),DATE(2023,1,31),0.05,98,1)</f>
        <v>0.0682481847837526</v>
      </c>
      <c r="B10387" s="0" t="s">
        <v>10351</v>
      </c>
    </row>
    <row r="10388" customFormat="false" ht="15" hidden="false" customHeight="false" outlineLevel="0" collapsed="false">
      <c r="A10388" s="0" t="n">
        <f aca="false">ACCRINT(DATE(2023,12,31),DATE(2030,1,1),DATE(2024,12,31),0.05,1000,2,1)</f>
        <v>50.1369863013699</v>
      </c>
      <c r="B10388" s="0" t="s">
        <v>10352</v>
      </c>
    </row>
    <row r="10389" customFormat="false" ht="15" hidden="false" customHeight="false" outlineLevel="0" collapsed="false">
      <c r="A10389" s="0" t="n">
        <f aca="false">DURATION(DATE(2023,12,31),DATE(2024,12,31),0.05,0.08,2,1)</f>
        <v>0.987630827783064</v>
      </c>
      <c r="B10389" s="0" t="s">
        <v>10353</v>
      </c>
    </row>
    <row r="10390" customFormat="false" ht="15" hidden="false" customHeight="false" outlineLevel="0" collapsed="false">
      <c r="A10390" s="0" t="n">
        <f aca="false">PRICE(DATE(2023,12,31),DATE(2024,12,31),0.05,0.08,100,2,1)</f>
        <v>97.1708579881657</v>
      </c>
      <c r="B10390" s="0" t="s">
        <v>10354</v>
      </c>
    </row>
    <row r="10391" customFormat="false" ht="15" hidden="false" customHeight="false" outlineLevel="0" collapsed="false">
      <c r="A10391" s="0" t="n">
        <f aca="false">YIELD(DATE(2023,12,31),DATE(2024,12,31),0.05,95,100,2,1)</f>
        <v>0.103930285586916</v>
      </c>
      <c r="B10391" s="0" t="s">
        <v>10355</v>
      </c>
    </row>
    <row r="10392" customFormat="false" ht="15" hidden="false" customHeight="false" outlineLevel="0" collapsed="false">
      <c r="A10392" s="0" t="n">
        <f aca="false">PRICEDISC(DATE(2023,12,31),DATE(2024,12,31),0.05,100,4)</f>
        <v>95</v>
      </c>
      <c r="B10392" s="0" t="s">
        <v>10356</v>
      </c>
    </row>
    <row r="10393" customFormat="false" ht="15" hidden="false" customHeight="false" outlineLevel="0" collapsed="false">
      <c r="A10393" s="0" t="n">
        <f aca="false">RECEIVED(DATE(2023,12,31),DATE(2024,12,31),1000,0.05,4)</f>
        <v>1052.63157894737</v>
      </c>
      <c r="B10393" s="0" t="s">
        <v>10357</v>
      </c>
    </row>
    <row r="10394" customFormat="false" ht="15" hidden="false" customHeight="false" outlineLevel="0" collapsed="false">
      <c r="A10394" s="0" t="n">
        <f aca="false">INTRATE(DATE(2023,12,31),DATE(2024,12,31),1000,1050,4)</f>
        <v>0.05</v>
      </c>
      <c r="B10394" s="0" t="s">
        <v>10358</v>
      </c>
    </row>
    <row r="10395" customFormat="false" ht="15" hidden="false" customHeight="false" outlineLevel="0" collapsed="false">
      <c r="A10395" s="0" t="n">
        <f aca="false">DISC(DATE(2023,12,31),DATE(2024,12,31),95,100,4)</f>
        <v>0.05</v>
      </c>
      <c r="B10395" s="0" t="s">
        <v>10359</v>
      </c>
    </row>
    <row r="10396" customFormat="false" ht="15" hidden="false" customHeight="false" outlineLevel="0" collapsed="false">
      <c r="A10396" s="0" t="n">
        <f aca="false">YIELDDISC(DATE(2023,12,31),DATE(2024,12,31),95,100,4)</f>
        <v>0.0526315789473684</v>
      </c>
      <c r="B10396" s="0" t="s">
        <v>10360</v>
      </c>
    </row>
    <row r="10397" customFormat="false" ht="15" hidden="false" customHeight="false" outlineLevel="0" collapsed="false">
      <c r="A10397" s="0" t="n">
        <f aca="false">ACCRINTM(DATE(2023,12,31),DATE(2024,12,31),0.05,1000,4)</f>
        <v>50</v>
      </c>
      <c r="B10397" s="0" t="s">
        <v>10361</v>
      </c>
    </row>
    <row r="10398" customFormat="false" ht="15" hidden="false" customHeight="false" outlineLevel="0" collapsed="false">
      <c r="A10398" s="0" t="n">
        <f aca="false">PRICEMAT(DATE(2023,12,31),DATE(2024,12,31),DATE(2023,1,31),0.05,0.06,4)</f>
        <v>98.7971698113208</v>
      </c>
      <c r="B10398" s="0" t="s">
        <v>10362</v>
      </c>
    </row>
    <row r="10399" customFormat="false" ht="15" hidden="false" customHeight="false" outlineLevel="0" collapsed="false">
      <c r="A10399" s="0" t="n">
        <f aca="false">YIELDMAT(DATE(2023,12,31),DATE(2024,12,31),DATE(2023,1,31),0.05,98,4)</f>
        <v>0.0682372055239644</v>
      </c>
      <c r="B10399" s="0" t="s">
        <v>10363</v>
      </c>
    </row>
    <row r="10400" customFormat="false" ht="15" hidden="false" customHeight="false" outlineLevel="0" collapsed="false">
      <c r="A10400" s="0" t="n">
        <f aca="false">ACCRINT(DATE(2023,12,31),DATE(2030,1,1),DATE(2024,12,31),0.05,1000,2,4)</f>
        <v>50</v>
      </c>
      <c r="B10400" s="0" t="s">
        <v>10364</v>
      </c>
    </row>
    <row r="10401" customFormat="false" ht="15" hidden="false" customHeight="false" outlineLevel="0" collapsed="false">
      <c r="A10401" s="0" t="n">
        <f aca="false">DURATION(DATE(2023,12,31),DATE(2024,12,31),0.05,0.08,2,4)</f>
        <v>0.987630827783064</v>
      </c>
      <c r="B10401" s="0" t="s">
        <v>10365</v>
      </c>
    </row>
    <row r="10402" customFormat="false" ht="15" hidden="false" customHeight="false" outlineLevel="0" collapsed="false">
      <c r="A10402" s="0" t="n">
        <f aca="false">PRICE(DATE(2023,12,31),DATE(2024,12,31),0.05,0.08,100,2,4)</f>
        <v>97.1708579881657</v>
      </c>
      <c r="B10402" s="0" t="s">
        <v>10366</v>
      </c>
    </row>
    <row r="10403" customFormat="false" ht="15" hidden="false" customHeight="false" outlineLevel="0" collapsed="false">
      <c r="A10403" s="0" t="n">
        <f aca="false">YIELD(DATE(2023,12,31),DATE(2024,12,31),0.05,95,100,2,4)</f>
        <v>0.103930285586916</v>
      </c>
      <c r="B10403" s="0" t="s">
        <v>10367</v>
      </c>
    </row>
    <row r="10404" customFormat="false" ht="15" hidden="false" customHeight="false" outlineLevel="0" collapsed="false">
      <c r="A10404" s="0" t="n">
        <f aca="false">TBILLPRICE(DATE(2023,12,31),DATE(2024,12,31),0.05)</f>
        <v>94.9861111111111</v>
      </c>
      <c r="B10404" s="0" t="s">
        <v>10368</v>
      </c>
    </row>
    <row r="10405" customFormat="false" ht="15" hidden="false" customHeight="false" outlineLevel="0" collapsed="false">
      <c r="A10405" s="0" t="e">
        <f aca="false">TBILLEQ(DATE(2023,12,31),DATE(2024,12,31),0.05)</f>
        <v>#VALUE!</v>
      </c>
      <c r="B10405" s="0" t="s">
        <v>10369</v>
      </c>
    </row>
    <row r="10406" customFormat="false" ht="15" hidden="false" customHeight="false" outlineLevel="0" collapsed="false">
      <c r="A10406" s="0" t="e">
        <f aca="false">TBILLYIELD(DATE(2023,12,31),DATE(2024,12,31),98)</f>
        <v>#VALUE!</v>
      </c>
      <c r="B10406" s="0" t="s">
        <v>10370</v>
      </c>
    </row>
    <row r="10407" customFormat="false" ht="15" hidden="false" customHeight="false" outlineLevel="0" collapsed="false">
      <c r="A10407" s="0" t="n">
        <f aca="false">PRICEDISC(DATE(2024,1,30),DATE(2025,2,28),0.05,100,0)</f>
        <v>94.6111111111111</v>
      </c>
      <c r="B10407" s="0" t="s">
        <v>10371</v>
      </c>
    </row>
    <row r="10408" customFormat="false" ht="15" hidden="false" customHeight="false" outlineLevel="0" collapsed="false">
      <c r="A10408" s="0" t="n">
        <f aca="false">RECEIVED(DATE(2024,1,30),DATE(2025,2,28),1000,0.05,0)</f>
        <v>1056.95830886671</v>
      </c>
      <c r="B10408" s="0" t="s">
        <v>10372</v>
      </c>
    </row>
    <row r="10409" customFormat="false" ht="15" hidden="false" customHeight="false" outlineLevel="0" collapsed="false">
      <c r="A10409" s="0" t="n">
        <f aca="false">INTRATE(DATE(2024,1,30),DATE(2025,2,28),1000,1050,0)</f>
        <v>0.0463917525773196</v>
      </c>
      <c r="B10409" s="0" t="s">
        <v>10373</v>
      </c>
    </row>
    <row r="10410" customFormat="false" ht="15" hidden="false" customHeight="false" outlineLevel="0" collapsed="false">
      <c r="A10410" s="0" t="n">
        <f aca="false">DISC(DATE(2024,1,30),DATE(2025,2,28),95,100,0)</f>
        <v>0.0463917525773196</v>
      </c>
      <c r="B10410" s="0" t="s">
        <v>10374</v>
      </c>
    </row>
    <row r="10411" customFormat="false" ht="15" hidden="false" customHeight="false" outlineLevel="0" collapsed="false">
      <c r="A10411" s="0" t="n">
        <f aca="false">YIELDDISC(DATE(2024,1,30),DATE(2025,2,28),95,100,0)</f>
        <v>0.0488334237655995</v>
      </c>
      <c r="B10411" s="0" t="s">
        <v>10375</v>
      </c>
    </row>
    <row r="10412" customFormat="false" ht="15" hidden="false" customHeight="false" outlineLevel="0" collapsed="false">
      <c r="A10412" s="0" t="n">
        <f aca="false">ACCRINTM(DATE(2024,1,30),DATE(2025,2,28),0.05,1000,0)</f>
        <v>53.8888888888889</v>
      </c>
      <c r="B10412" s="0" t="s">
        <v>10376</v>
      </c>
    </row>
    <row r="10413" customFormat="false" ht="15" hidden="false" customHeight="false" outlineLevel="0" collapsed="false">
      <c r="A10413" s="0" t="n">
        <f aca="false">PRICEMAT(DATE(2024,1,30),DATE(2025,2,28),DATE(2023,1,31),0.05,0.06,0)</f>
        <v>98.6839908161136</v>
      </c>
      <c r="B10413" s="0" t="s">
        <v>10377</v>
      </c>
    </row>
    <row r="10414" customFormat="false" ht="15" hidden="false" customHeight="false" outlineLevel="0" collapsed="false">
      <c r="A10414" s="0" t="n">
        <f aca="false">YIELDMAT(DATE(2024,1,30),DATE(2025,2,28),DATE(2023,1,31),0.05,98,0)</f>
        <v>0.0665599039135221</v>
      </c>
      <c r="B10414" s="0" t="s">
        <v>10378</v>
      </c>
    </row>
    <row r="10415" customFormat="false" ht="15" hidden="false" customHeight="false" outlineLevel="0" collapsed="false">
      <c r="A10415" s="0" t="n">
        <f aca="false">ACCRINT(DATE(2024,1,30),DATE(2030,1,1),DATE(2025,2,28),0.05,1000,2,0)</f>
        <v>53.8888888888889</v>
      </c>
      <c r="B10415" s="0" t="s">
        <v>10379</v>
      </c>
    </row>
    <row r="10416" customFormat="false" ht="15" hidden="false" customHeight="false" outlineLevel="0" collapsed="false">
      <c r="A10416" s="0" t="n">
        <f aca="false">DURATION(DATE(2024,1,30),DATE(2025,2,28),0.05,0.08,2,0)</f>
        <v>1.04063629879741</v>
      </c>
      <c r="B10416" s="0" t="s">
        <v>10380</v>
      </c>
    </row>
    <row r="10417" customFormat="false" ht="15" hidden="false" customHeight="false" outlineLevel="0" collapsed="false">
      <c r="A10417" s="0" t="n">
        <f aca="false">PRICE(DATE(2024,1,30),DATE(2025,2,28),0.05,0.08,100,2,0)</f>
        <v>96.9381224468809</v>
      </c>
      <c r="B10417" s="0" t="s">
        <v>10381</v>
      </c>
    </row>
    <row r="10418" customFormat="false" ht="15" hidden="false" customHeight="false" outlineLevel="0" collapsed="false">
      <c r="A10418" s="0" t="n">
        <f aca="false">YIELD(DATE(2024,1,30),DATE(2025,2,28),0.05,95,100,2,0)</f>
        <v>0.0997483121460699</v>
      </c>
      <c r="B10418" s="0" t="s">
        <v>10382</v>
      </c>
    </row>
    <row r="10419" customFormat="false" ht="15" hidden="false" customHeight="false" outlineLevel="0" collapsed="false">
      <c r="A10419" s="0" t="n">
        <f aca="false">PRICEDISC(DATE(2024,1,30),DATE(2025,2,28),0.05,100,1)</f>
        <v>94.603825136612</v>
      </c>
      <c r="B10419" s="0" t="s">
        <v>10383</v>
      </c>
    </row>
    <row r="10420" customFormat="false" ht="15" hidden="false" customHeight="false" outlineLevel="0" collapsed="false">
      <c r="A10420" s="0" t="n">
        <f aca="false">RECEIVED(DATE(2024,1,30),DATE(2025,2,28),1000,0.05,1)</f>
        <v>1057.03971119134</v>
      </c>
      <c r="B10420" s="0" t="s">
        <v>10384</v>
      </c>
    </row>
    <row r="10421" customFormat="false" ht="15" hidden="false" customHeight="false" outlineLevel="0" collapsed="false">
      <c r="A10421" s="0" t="n">
        <f aca="false">INTRATE(DATE(2024,1,30),DATE(2025,2,28),1000,1050,1)</f>
        <v>0.0463291139240507</v>
      </c>
      <c r="B10421" s="0" t="s">
        <v>10385</v>
      </c>
    </row>
    <row r="10422" customFormat="false" ht="15" hidden="false" customHeight="false" outlineLevel="0" collapsed="false">
      <c r="A10422" s="0" t="n">
        <f aca="false">DISC(DATE(2024,1,30),DATE(2025,2,28),95,100,1)</f>
        <v>0.0462658227848102</v>
      </c>
      <c r="B10422" s="0" t="s">
        <v>10386</v>
      </c>
    </row>
    <row r="10423" customFormat="false" ht="15" hidden="false" customHeight="false" outlineLevel="0" collapsed="false">
      <c r="A10423" s="0" t="n">
        <f aca="false">YIELDDISC(DATE(2024,1,30),DATE(2025,2,28),95,100,1)</f>
        <v>0.0487008660892738</v>
      </c>
      <c r="B10423" s="0" t="s">
        <v>10387</v>
      </c>
    </row>
    <row r="10424" customFormat="false" ht="15" hidden="false" customHeight="false" outlineLevel="0" collapsed="false">
      <c r="A10424" s="0" t="n">
        <f aca="false">ACCRINTM(DATE(2024,1,30),DATE(2025,2,28),0.05,1000,1)</f>
        <v>53.9617486338798</v>
      </c>
      <c r="B10424" s="0" t="s">
        <v>10388</v>
      </c>
    </row>
    <row r="10425" customFormat="false" ht="15" hidden="false" customHeight="false" outlineLevel="0" collapsed="false">
      <c r="A10425" s="0" t="n">
        <f aca="false">PRICEMAT(DATE(2024,1,30),DATE(2025,2,28),DATE(2023,1,31),0.05,0.06,1)</f>
        <v>98.679503603468</v>
      </c>
      <c r="B10425" s="0" t="s">
        <v>10389</v>
      </c>
    </row>
    <row r="10426" customFormat="false" ht="15" hidden="false" customHeight="false" outlineLevel="0" collapsed="false">
      <c r="A10426" s="0" t="n">
        <f aca="false">YIELDMAT(DATE(2024,1,30),DATE(2025,2,28),DATE(2023,1,31),0.05,98,1)</f>
        <v>0.0665011178505903</v>
      </c>
      <c r="B10426" s="0" t="s">
        <v>10390</v>
      </c>
    </row>
    <row r="10427" customFormat="false" ht="15" hidden="false" customHeight="false" outlineLevel="0" collapsed="false">
      <c r="A10427" s="0" t="n">
        <f aca="false">ACCRINT(DATE(2024,1,30),DATE(2030,1,1),DATE(2025,2,28),0.05,1000,2,1)</f>
        <v>53.9617486338798</v>
      </c>
      <c r="B10427" s="0" t="s">
        <v>10391</v>
      </c>
    </row>
    <row r="10428" customFormat="false" ht="15" hidden="false" customHeight="false" outlineLevel="0" collapsed="false">
      <c r="A10428" s="0" t="n">
        <f aca="false">DURATION(DATE(2024,1,30),DATE(2025,2,28),0.05,0.08,2,1)</f>
        <v>1.04356987532879</v>
      </c>
      <c r="B10428" s="0" t="s">
        <v>10392</v>
      </c>
    </row>
    <row r="10429" customFormat="false" ht="15" hidden="false" customHeight="false" outlineLevel="0" collapsed="false">
      <c r="A10429" s="0" t="n">
        <f aca="false">PRICE(DATE(2024,1,30),DATE(2025,2,28),0.05,0.08,100,2,1)</f>
        <v>96.9406569369995</v>
      </c>
      <c r="B10429" s="0" t="s">
        <v>10393</v>
      </c>
    </row>
    <row r="10430" customFormat="false" ht="15" hidden="false" customHeight="false" outlineLevel="0" collapsed="false">
      <c r="A10430" s="0" t="n">
        <f aca="false">YIELD(DATE(2024,1,30),DATE(2025,2,28),0.05,95,100,2,1)</f>
        <v>0.099790497835583</v>
      </c>
      <c r="B10430" s="0" t="s">
        <v>10394</v>
      </c>
    </row>
    <row r="10431" customFormat="false" ht="15" hidden="false" customHeight="false" outlineLevel="0" collapsed="false">
      <c r="A10431" s="0" t="n">
        <f aca="false">PRICEDISC(DATE(2024,1,30),DATE(2025,2,28),0.05,100,4)</f>
        <v>94.6111111111111</v>
      </c>
      <c r="B10431" s="0" t="s">
        <v>10395</v>
      </c>
    </row>
    <row r="10432" customFormat="false" ht="15" hidden="false" customHeight="false" outlineLevel="0" collapsed="false">
      <c r="A10432" s="0" t="n">
        <f aca="false">RECEIVED(DATE(2024,1,30),DATE(2025,2,28),1000,0.05,4)</f>
        <v>1056.95830886671</v>
      </c>
      <c r="B10432" s="0" t="s">
        <v>10396</v>
      </c>
    </row>
    <row r="10433" customFormat="false" ht="15" hidden="false" customHeight="false" outlineLevel="0" collapsed="false">
      <c r="A10433" s="0" t="n">
        <f aca="false">INTRATE(DATE(2024,1,30),DATE(2025,2,28),1000,1050,4)</f>
        <v>0.0463917525773196</v>
      </c>
      <c r="B10433" s="0" t="s">
        <v>10397</v>
      </c>
    </row>
    <row r="10434" customFormat="false" ht="15" hidden="false" customHeight="false" outlineLevel="0" collapsed="false">
      <c r="A10434" s="0" t="n">
        <f aca="false">DISC(DATE(2024,1,30),DATE(2025,2,28),95,100,4)</f>
        <v>0.0463917525773196</v>
      </c>
      <c r="B10434" s="0" t="s">
        <v>10398</v>
      </c>
    </row>
    <row r="10435" customFormat="false" ht="15" hidden="false" customHeight="false" outlineLevel="0" collapsed="false">
      <c r="A10435" s="0" t="n">
        <f aca="false">YIELDDISC(DATE(2024,1,30),DATE(2025,2,28),95,100,4)</f>
        <v>0.0488334237655995</v>
      </c>
      <c r="B10435" s="0" t="s">
        <v>10399</v>
      </c>
    </row>
    <row r="10436" customFormat="false" ht="15" hidden="false" customHeight="false" outlineLevel="0" collapsed="false">
      <c r="A10436" s="0" t="n">
        <f aca="false">ACCRINTM(DATE(2024,1,30),DATE(2025,2,28),0.05,1000,4)</f>
        <v>53.8888888888889</v>
      </c>
      <c r="B10436" s="0" t="s">
        <v>10400</v>
      </c>
    </row>
    <row r="10437" customFormat="false" ht="15" hidden="false" customHeight="false" outlineLevel="0" collapsed="false">
      <c r="A10437" s="0" t="n">
        <f aca="false">PRICEMAT(DATE(2024,1,30),DATE(2025,2,28),DATE(2023,1,31),0.05,0.06,4)</f>
        <v>98.6839908161136</v>
      </c>
      <c r="B10437" s="0" t="s">
        <v>10401</v>
      </c>
    </row>
    <row r="10438" customFormat="false" ht="15" hidden="false" customHeight="false" outlineLevel="0" collapsed="false">
      <c r="A10438" s="0" t="n">
        <f aca="false">YIELDMAT(DATE(2024,1,30),DATE(2025,2,28),DATE(2023,1,31),0.05,98,4)</f>
        <v>0.0665599039135221</v>
      </c>
      <c r="B10438" s="0" t="s">
        <v>10402</v>
      </c>
    </row>
    <row r="10439" customFormat="false" ht="15" hidden="false" customHeight="false" outlineLevel="0" collapsed="false">
      <c r="A10439" s="0" t="n">
        <f aca="false">ACCRINT(DATE(2024,1,30),DATE(2030,1,1),DATE(2025,2,28),0.05,1000,2,4)</f>
        <v>53.8888888888889</v>
      </c>
      <c r="B10439" s="0" t="s">
        <v>10403</v>
      </c>
    </row>
    <row r="10440" customFormat="false" ht="15" hidden="false" customHeight="false" outlineLevel="0" collapsed="false">
      <c r="A10440" s="0" t="n">
        <f aca="false">DURATION(DATE(2024,1,30),DATE(2025,2,28),0.05,0.08,2,4)</f>
        <v>1.04063629879741</v>
      </c>
      <c r="B10440" s="0" t="s">
        <v>10404</v>
      </c>
    </row>
    <row r="10441" customFormat="false" ht="15" hidden="false" customHeight="false" outlineLevel="0" collapsed="false">
      <c r="A10441" s="0" t="n">
        <f aca="false">PRICE(DATE(2024,1,30),DATE(2025,2,28),0.05,0.08,100,2,4)</f>
        <v>96.9381224468809</v>
      </c>
      <c r="B10441" s="0" t="s">
        <v>10405</v>
      </c>
    </row>
    <row r="10442" customFormat="false" ht="15" hidden="false" customHeight="false" outlineLevel="0" collapsed="false">
      <c r="A10442" s="0" t="n">
        <f aca="false">YIELD(DATE(2024,1,30),DATE(2025,2,28),0.05,95,100,2,4)</f>
        <v>0.0997483121460699</v>
      </c>
      <c r="B10442" s="0" t="s">
        <v>10406</v>
      </c>
    </row>
    <row r="10443" customFormat="false" ht="15" hidden="false" customHeight="false" outlineLevel="0" collapsed="false">
      <c r="A10443" s="0" t="n">
        <f aca="false">TBILLPRICE(DATE(2024,1,30),DATE(2025,2,28),0.05)</f>
        <v>94.5694444444444</v>
      </c>
      <c r="B10443" s="0" t="s">
        <v>10407</v>
      </c>
    </row>
    <row r="10444" customFormat="false" ht="15" hidden="false" customHeight="false" outlineLevel="0" collapsed="false">
      <c r="A10444" s="0" t="e">
        <f aca="false">TBILLEQ(DATE(2024,1,30),DATE(2025,2,28),0.05)</f>
        <v>#VALUE!</v>
      </c>
      <c r="B10444" s="0" t="s">
        <v>10408</v>
      </c>
    </row>
    <row r="10445" customFormat="false" ht="15" hidden="false" customHeight="false" outlineLevel="0" collapsed="false">
      <c r="A10445" s="0" t="e">
        <f aca="false">TBILLYIELD(DATE(2024,1,30),DATE(2025,2,28),98)</f>
        <v>#VALUE!</v>
      </c>
      <c r="B10445" s="0" t="s">
        <v>10409</v>
      </c>
    </row>
    <row r="10446" customFormat="false" ht="15" hidden="false" customHeight="false" outlineLevel="0" collapsed="false">
      <c r="A10446" s="0" t="n">
        <f aca="false">PRICEDISC(DATE(2024,1,30),DATE(2025,3,31),0.05,100,0)</f>
        <v>94.1527777777778</v>
      </c>
      <c r="B10446" s="0" t="s">
        <v>10410</v>
      </c>
    </row>
    <row r="10447" customFormat="false" ht="15" hidden="false" customHeight="false" outlineLevel="0" collapsed="false">
      <c r="A10447" s="0" t="n">
        <f aca="false">RECEIVED(DATE(2024,1,30),DATE(2025,3,31),1000,0.05,0)</f>
        <v>1062.10355509662</v>
      </c>
      <c r="B10447" s="0" t="s">
        <v>10411</v>
      </c>
    </row>
    <row r="10448" customFormat="false" ht="15" hidden="false" customHeight="false" outlineLevel="0" collapsed="false">
      <c r="A10448" s="0" t="n">
        <f aca="false">INTRATE(DATE(2024,1,30),DATE(2025,3,31),1000,1050,0)</f>
        <v>0.0427553444180523</v>
      </c>
      <c r="B10448" s="0" t="s">
        <v>10412</v>
      </c>
    </row>
    <row r="10449" customFormat="false" ht="15" hidden="false" customHeight="false" outlineLevel="0" collapsed="false">
      <c r="A10449" s="0" t="n">
        <f aca="false">DISC(DATE(2024,1,30),DATE(2025,3,31),95,100,0)</f>
        <v>0.0428571428571429</v>
      </c>
      <c r="B10449" s="0" t="s">
        <v>10413</v>
      </c>
    </row>
    <row r="10450" customFormat="false" ht="15" hidden="false" customHeight="false" outlineLevel="0" collapsed="false">
      <c r="A10450" s="0" t="n">
        <f aca="false">YIELDDISC(DATE(2024,1,30),DATE(2025,3,31),95,100,0)</f>
        <v>0.0451127819548872</v>
      </c>
      <c r="B10450" s="0" t="s">
        <v>10414</v>
      </c>
    </row>
    <row r="10451" customFormat="false" ht="15" hidden="false" customHeight="false" outlineLevel="0" collapsed="false">
      <c r="A10451" s="0" t="n">
        <f aca="false">ACCRINTM(DATE(2024,1,30),DATE(2025,3,31),0.05,1000,0)</f>
        <v>58.4722222222222</v>
      </c>
      <c r="B10451" s="0" t="s">
        <v>10415</v>
      </c>
    </row>
    <row r="10452" customFormat="false" ht="15" hidden="false" customHeight="false" outlineLevel="0" collapsed="false">
      <c r="A10452" s="0" t="n">
        <f aca="false">PRICEMAT(DATE(2024,1,30),DATE(2025,3,31),DATE(2023,1,31),0.05,0.06,0)</f>
        <v>98.582554517134</v>
      </c>
      <c r="B10452" s="0" t="s">
        <v>10416</v>
      </c>
    </row>
    <row r="10453" customFormat="false" ht="15" hidden="false" customHeight="false" outlineLevel="0" collapsed="false">
      <c r="A10453" s="0" t="n">
        <f aca="false">YIELDMAT(DATE(2024,1,30),DATE(2025,3,31),DATE(2023,1,31),0.05,98,0)</f>
        <v>0.0651872399445215</v>
      </c>
      <c r="B10453" s="0" t="s">
        <v>10417</v>
      </c>
    </row>
    <row r="10454" customFormat="false" ht="15" hidden="false" customHeight="false" outlineLevel="0" collapsed="false">
      <c r="A10454" s="0" t="n">
        <f aca="false">ACCRINT(DATE(2024,1,30),DATE(2030,1,1),DATE(2025,3,31),0.05,1000,2,0)</f>
        <v>58.4722222222222</v>
      </c>
      <c r="B10454" s="0" t="s">
        <v>10418</v>
      </c>
    </row>
    <row r="10455" customFormat="false" ht="15" hidden="false" customHeight="false" outlineLevel="0" collapsed="false">
      <c r="A10455" s="0" t="n">
        <f aca="false">DURATION(DATE(2024,1,30),DATE(2025,3,31),0.05,0.08,2,0)</f>
        <v>1.12952518768629</v>
      </c>
      <c r="B10455" s="0" t="s">
        <v>10419</v>
      </c>
    </row>
    <row r="10456" customFormat="false" ht="15" hidden="false" customHeight="false" outlineLevel="0" collapsed="false">
      <c r="A10456" s="0" t="n">
        <f aca="false">PRICE(DATE(2024,1,30),DATE(2025,3,31),0.05,0.08,100,2,0)</f>
        <v>96.7096180643942</v>
      </c>
      <c r="B10456" s="0" t="s">
        <v>10420</v>
      </c>
    </row>
    <row r="10457" customFormat="false" ht="15" hidden="false" customHeight="false" outlineLevel="0" collapsed="false">
      <c r="A10457" s="0" t="n">
        <f aca="false">YIELD(DATE(2024,1,30),DATE(2025,3,31),0.05,95,100,2,0)</f>
        <v>0.0962077633985789</v>
      </c>
      <c r="B10457" s="0" t="s">
        <v>10421</v>
      </c>
    </row>
    <row r="10458" customFormat="false" ht="15" hidden="false" customHeight="false" outlineLevel="0" collapsed="false">
      <c r="A10458" s="0" t="n">
        <f aca="false">PRICEDISC(DATE(2024,1,30),DATE(2025,3,31),0.05,100,1)</f>
        <v>94.1803278688525</v>
      </c>
      <c r="B10458" s="0" t="s">
        <v>10422</v>
      </c>
    </row>
    <row r="10459" customFormat="false" ht="15" hidden="false" customHeight="false" outlineLevel="0" collapsed="false">
      <c r="A10459" s="0" t="n">
        <f aca="false">RECEIVED(DATE(2024,1,30),DATE(2025,3,31),1000,0.05,1)</f>
        <v>1061.79286335944</v>
      </c>
      <c r="B10459" s="0" t="s">
        <v>10423</v>
      </c>
    </row>
    <row r="10460" customFormat="false" ht="15" hidden="false" customHeight="false" outlineLevel="0" collapsed="false">
      <c r="A10460" s="0" t="n">
        <f aca="false">INTRATE(DATE(2024,1,30),DATE(2025,3,31),1000,1050,1)</f>
        <v>0.0429577464788733</v>
      </c>
      <c r="B10460" s="0" t="s">
        <v>10424</v>
      </c>
    </row>
    <row r="10461" customFormat="false" ht="15" hidden="false" customHeight="false" outlineLevel="0" collapsed="false">
      <c r="A10461" s="0" t="n">
        <f aca="false">DISC(DATE(2024,1,30),DATE(2025,3,31),95,100,1)</f>
        <v>0.0428990610328639</v>
      </c>
      <c r="B10461" s="0" t="s">
        <v>10425</v>
      </c>
    </row>
    <row r="10462" customFormat="false" ht="15" hidden="false" customHeight="false" outlineLevel="0" collapsed="false">
      <c r="A10462" s="0" t="n">
        <f aca="false">YIELDDISC(DATE(2024,1,30),DATE(2025,3,31),95,100,1)</f>
        <v>0.045156906350383</v>
      </c>
      <c r="B10462" s="0" t="s">
        <v>10426</v>
      </c>
    </row>
    <row r="10463" customFormat="false" ht="15" hidden="false" customHeight="false" outlineLevel="0" collapsed="false">
      <c r="A10463" s="0" t="n">
        <f aca="false">ACCRINTM(DATE(2024,1,30),DATE(2025,3,31),0.05,1000,1)</f>
        <v>58.1967213114754</v>
      </c>
      <c r="B10463" s="0" t="s">
        <v>10427</v>
      </c>
    </row>
    <row r="10464" customFormat="false" ht="15" hidden="false" customHeight="false" outlineLevel="0" collapsed="false">
      <c r="A10464" s="0" t="n">
        <f aca="false">PRICEMAT(DATE(2024,1,30),DATE(2025,3,31),DATE(2023,1,31),0.05,0.06,1)</f>
        <v>98.5829770204077</v>
      </c>
      <c r="B10464" s="0" t="s">
        <v>10428</v>
      </c>
    </row>
    <row r="10465" customFormat="false" ht="15" hidden="false" customHeight="false" outlineLevel="0" collapsed="false">
      <c r="A10465" s="0" t="n">
        <f aca="false">YIELDMAT(DATE(2024,1,30),DATE(2025,3,31),DATE(2023,1,31),0.05,98,1)</f>
        <v>0.0651964382611144</v>
      </c>
      <c r="B10465" s="0" t="s">
        <v>10429</v>
      </c>
    </row>
    <row r="10466" customFormat="false" ht="15" hidden="false" customHeight="false" outlineLevel="0" collapsed="false">
      <c r="A10466" s="0" t="n">
        <f aca="false">ACCRINT(DATE(2024,1,30),DATE(2030,1,1),DATE(2025,3,31),0.05,1000,2,1)</f>
        <v>58.1967213114754</v>
      </c>
      <c r="B10466" s="0" t="s">
        <v>10430</v>
      </c>
    </row>
    <row r="10467" customFormat="false" ht="15" hidden="false" customHeight="false" outlineLevel="0" collapsed="false">
      <c r="A10467" s="0" t="n">
        <f aca="false">DURATION(DATE(2024,1,30),DATE(2025,3,31),0.05,0.08,2,1)</f>
        <v>1.12838519680622</v>
      </c>
      <c r="B10467" s="0" t="s">
        <v>10431</v>
      </c>
    </row>
    <row r="10468" customFormat="false" ht="15" hidden="false" customHeight="false" outlineLevel="0" collapsed="false">
      <c r="A10468" s="0" t="n">
        <f aca="false">PRICE(DATE(2024,1,30),DATE(2025,3,31),0.05,0.08,100,2,1)</f>
        <v>96.7096180643942</v>
      </c>
      <c r="B10468" s="0" t="s">
        <v>10432</v>
      </c>
    </row>
    <row r="10469" customFormat="false" ht="15" hidden="false" customHeight="false" outlineLevel="0" collapsed="false">
      <c r="A10469" s="0" t="n">
        <f aca="false">YIELD(DATE(2024,1,30),DATE(2025,3,31),0.05,95,100,2,1)</f>
        <v>0.0962077633985789</v>
      </c>
      <c r="B10469" s="0" t="s">
        <v>10433</v>
      </c>
    </row>
    <row r="10470" customFormat="false" ht="15" hidden="false" customHeight="false" outlineLevel="0" collapsed="false">
      <c r="A10470" s="0" t="n">
        <f aca="false">PRICEDISC(DATE(2024,1,30),DATE(2025,3,31),0.05,100,4)</f>
        <v>94.1527777777778</v>
      </c>
      <c r="B10470" s="0" t="s">
        <v>10434</v>
      </c>
    </row>
    <row r="10471" customFormat="false" ht="15" hidden="false" customHeight="false" outlineLevel="0" collapsed="false">
      <c r="A10471" s="0" t="n">
        <f aca="false">RECEIVED(DATE(2024,1,30),DATE(2025,3,31),1000,0.05,4)</f>
        <v>1062.10355509662</v>
      </c>
      <c r="B10471" s="0" t="s">
        <v>10435</v>
      </c>
    </row>
    <row r="10472" customFormat="false" ht="15" hidden="false" customHeight="false" outlineLevel="0" collapsed="false">
      <c r="A10472" s="0" t="n">
        <f aca="false">INTRATE(DATE(2024,1,30),DATE(2025,3,31),1000,1050,4)</f>
        <v>0.0427553444180523</v>
      </c>
      <c r="B10472" s="0" t="s">
        <v>10436</v>
      </c>
    </row>
    <row r="10473" customFormat="false" ht="15" hidden="false" customHeight="false" outlineLevel="0" collapsed="false">
      <c r="A10473" s="0" t="n">
        <f aca="false">DISC(DATE(2024,1,30),DATE(2025,3,31),95,100,4)</f>
        <v>0.0428571428571429</v>
      </c>
      <c r="B10473" s="0" t="s">
        <v>10437</v>
      </c>
    </row>
    <row r="10474" customFormat="false" ht="15" hidden="false" customHeight="false" outlineLevel="0" collapsed="false">
      <c r="A10474" s="0" t="n">
        <f aca="false">YIELDDISC(DATE(2024,1,30),DATE(2025,3,31),95,100,4)</f>
        <v>0.0451127819548872</v>
      </c>
      <c r="B10474" s="0" t="s">
        <v>10438</v>
      </c>
    </row>
    <row r="10475" customFormat="false" ht="15" hidden="false" customHeight="false" outlineLevel="0" collapsed="false">
      <c r="A10475" s="0" t="n">
        <f aca="false">ACCRINTM(DATE(2024,1,30),DATE(2025,3,31),0.05,1000,4)</f>
        <v>58.4722222222222</v>
      </c>
      <c r="B10475" s="0" t="s">
        <v>10439</v>
      </c>
    </row>
    <row r="10476" customFormat="false" ht="15" hidden="false" customHeight="false" outlineLevel="0" collapsed="false">
      <c r="A10476" s="0" t="n">
        <f aca="false">PRICEMAT(DATE(2024,1,30),DATE(2025,3,31),DATE(2023,1,31),0.05,0.06,4)</f>
        <v>98.582554517134</v>
      </c>
      <c r="B10476" s="0" t="s">
        <v>10440</v>
      </c>
    </row>
    <row r="10477" customFormat="false" ht="15" hidden="false" customHeight="false" outlineLevel="0" collapsed="false">
      <c r="A10477" s="0" t="n">
        <f aca="false">YIELDMAT(DATE(2024,1,30),DATE(2025,3,31),DATE(2023,1,31),0.05,98,4)</f>
        <v>0.0651872399445215</v>
      </c>
      <c r="B10477" s="0" t="s">
        <v>10441</v>
      </c>
    </row>
    <row r="10478" customFormat="false" ht="15" hidden="false" customHeight="false" outlineLevel="0" collapsed="false">
      <c r="A10478" s="0" t="n">
        <f aca="false">ACCRINT(DATE(2024,1,30),DATE(2030,1,1),DATE(2025,3,31),0.05,1000,2,4)</f>
        <v>58.4722222222222</v>
      </c>
      <c r="B10478" s="0" t="s">
        <v>10442</v>
      </c>
    </row>
    <row r="10479" customFormat="false" ht="15" hidden="false" customHeight="false" outlineLevel="0" collapsed="false">
      <c r="A10479" s="0" t="n">
        <f aca="false">DURATION(DATE(2024,1,30),DATE(2025,3,31),0.05,0.08,2,4)</f>
        <v>1.12952518768629</v>
      </c>
      <c r="B10479" s="0" t="s">
        <v>10443</v>
      </c>
    </row>
    <row r="10480" customFormat="false" ht="15" hidden="false" customHeight="false" outlineLevel="0" collapsed="false">
      <c r="A10480" s="0" t="n">
        <f aca="false">PRICE(DATE(2024,1,30),DATE(2025,3,31),0.05,0.08,100,2,4)</f>
        <v>96.7096180643942</v>
      </c>
      <c r="B10480" s="0" t="s">
        <v>10444</v>
      </c>
    </row>
    <row r="10481" customFormat="false" ht="15" hidden="false" customHeight="false" outlineLevel="0" collapsed="false">
      <c r="A10481" s="0" t="n">
        <f aca="false">YIELD(DATE(2024,1,30),DATE(2025,3,31),0.05,95,100,2,4)</f>
        <v>0.0962077633985789</v>
      </c>
      <c r="B10481" s="0" t="s">
        <v>10445</v>
      </c>
    </row>
    <row r="10482" customFormat="false" ht="15" hidden="false" customHeight="false" outlineLevel="0" collapsed="false">
      <c r="A10482" s="0" t="n">
        <f aca="false">TBILLPRICE(DATE(2024,1,30),DATE(2025,3,31),0.05)</f>
        <v>94.1527777777778</v>
      </c>
      <c r="B10482" s="0" t="s">
        <v>10446</v>
      </c>
    </row>
    <row r="10483" customFormat="false" ht="15" hidden="false" customHeight="false" outlineLevel="0" collapsed="false">
      <c r="A10483" s="0" t="e">
        <f aca="false">TBILLEQ(DATE(2024,1,30),DATE(2025,3,31),0.05)</f>
        <v>#VALUE!</v>
      </c>
      <c r="B10483" s="0" t="s">
        <v>10447</v>
      </c>
    </row>
    <row r="10484" customFormat="false" ht="15" hidden="false" customHeight="false" outlineLevel="0" collapsed="false">
      <c r="A10484" s="0" t="e">
        <f aca="false">TBILLYIELD(DATE(2024,1,30),DATE(2025,3,31),98)</f>
        <v>#VALUE!</v>
      </c>
      <c r="B10484" s="0" t="s">
        <v>10448</v>
      </c>
    </row>
    <row r="10485" customFormat="false" ht="15" hidden="false" customHeight="false" outlineLevel="0" collapsed="false">
      <c r="A10485" s="0" t="n">
        <f aca="false">PRICEDISC(DATE(2024,1,30),DATE(2024,8,31),0.05,100,0)</f>
        <v>97.0694444444444</v>
      </c>
      <c r="B10485" s="0" t="s">
        <v>10449</v>
      </c>
    </row>
    <row r="10486" customFormat="false" ht="15" hidden="false" customHeight="false" outlineLevel="0" collapsed="false">
      <c r="A10486" s="0" t="n">
        <f aca="false">RECEIVED(DATE(2024,1,30),DATE(2024,8,31),1000,0.05,0)</f>
        <v>1030.19029904135</v>
      </c>
      <c r="B10486" s="0" t="s">
        <v>10450</v>
      </c>
    </row>
    <row r="10487" customFormat="false" ht="15" hidden="false" customHeight="false" outlineLevel="0" collapsed="false">
      <c r="A10487" s="0" t="n">
        <f aca="false">INTRATE(DATE(2024,1,30),DATE(2024,8,31),1000,1050,0)</f>
        <v>0.085308056872038</v>
      </c>
      <c r="B10487" s="0" t="s">
        <v>10451</v>
      </c>
    </row>
    <row r="10488" customFormat="false" ht="15" hidden="false" customHeight="false" outlineLevel="0" collapsed="false">
      <c r="A10488" s="0" t="n">
        <f aca="false">DISC(DATE(2024,1,30),DATE(2024,8,31),95,100,0)</f>
        <v>0.0857142857142858</v>
      </c>
      <c r="B10488" s="0" t="s">
        <v>10452</v>
      </c>
    </row>
    <row r="10489" customFormat="false" ht="15" hidden="false" customHeight="false" outlineLevel="0" collapsed="false">
      <c r="A10489" s="0" t="n">
        <f aca="false">YIELDDISC(DATE(2024,1,30),DATE(2024,8,31),95,100,0)</f>
        <v>0.0902255639097743</v>
      </c>
      <c r="B10489" s="0" t="s">
        <v>10453</v>
      </c>
    </row>
    <row r="10490" customFormat="false" ht="15" hidden="false" customHeight="false" outlineLevel="0" collapsed="false">
      <c r="A10490" s="0" t="n">
        <f aca="false">ACCRINTM(DATE(2024,1,30),DATE(2024,8,31),0.05,1000,0)</f>
        <v>29.3055555555556</v>
      </c>
      <c r="B10490" s="0" t="s">
        <v>10454</v>
      </c>
    </row>
    <row r="10491" customFormat="false" ht="15" hidden="false" customHeight="false" outlineLevel="0" collapsed="false">
      <c r="A10491" s="0" t="n">
        <f aca="false">PRICEMAT(DATE(2024,1,30),DATE(2024,8,31),DATE(2023,1,31),0.05,0.06,0)</f>
        <v>99.2673107890499</v>
      </c>
      <c r="B10491" s="0" t="s">
        <v>10455</v>
      </c>
    </row>
    <row r="10492" customFormat="false" ht="15" hidden="false" customHeight="false" outlineLevel="0" collapsed="false">
      <c r="A10492" s="0" t="n">
        <f aca="false">YIELDMAT(DATE(2024,1,30),DATE(2024,8,31),DATE(2023,1,31),0.05,98,0)</f>
        <v>0.0818307905686547</v>
      </c>
      <c r="B10492" s="0" t="s">
        <v>10456</v>
      </c>
    </row>
    <row r="10493" customFormat="false" ht="15" hidden="false" customHeight="false" outlineLevel="0" collapsed="false">
      <c r="A10493" s="0" t="n">
        <f aca="false">ACCRINT(DATE(2024,1,30),DATE(2030,1,1),DATE(2024,8,31),0.05,1000,2,0)</f>
        <v>29.3055555555556</v>
      </c>
      <c r="B10493" s="0" t="s">
        <v>10457</v>
      </c>
    </row>
    <row r="10494" customFormat="false" ht="15" hidden="false" customHeight="false" outlineLevel="0" collapsed="false">
      <c r="A10494" s="0" t="n">
        <f aca="false">DURATION(DATE(2024,1,30),DATE(2024,8,31),0.05,0.08,2,0)</f>
        <v>0.570964161116397</v>
      </c>
      <c r="B10494" s="0" t="s">
        <v>10458</v>
      </c>
    </row>
    <row r="10495" customFormat="false" ht="15" hidden="false" customHeight="false" outlineLevel="0" collapsed="false">
      <c r="A10495" s="0" t="n">
        <f aca="false">PRICE(DATE(2024,1,30),DATE(2024,8,31),0.05,0.08,100,2,0)</f>
        <v>98.3159208928599</v>
      </c>
      <c r="B10495" s="0" t="s">
        <v>10459</v>
      </c>
    </row>
    <row r="10496" customFormat="false" ht="15" hidden="false" customHeight="false" outlineLevel="0" collapsed="false">
      <c r="A10496" s="0" t="n">
        <f aca="false">YIELD(DATE(2024,1,30),DATE(2024,8,31),0.05,95,100,2,0)</f>
        <v>0.142102783697125</v>
      </c>
      <c r="B10496" s="0" t="s">
        <v>10460</v>
      </c>
    </row>
    <row r="10497" customFormat="false" ht="15" hidden="false" customHeight="false" outlineLevel="0" collapsed="false">
      <c r="A10497" s="0" t="n">
        <f aca="false">PRICEDISC(DATE(2024,1,30),DATE(2024,8,31),0.05,100,1)</f>
        <v>97.0765027322404</v>
      </c>
      <c r="B10497" s="0" t="s">
        <v>10461</v>
      </c>
    </row>
    <row r="10498" customFormat="false" ht="15" hidden="false" customHeight="false" outlineLevel="0" collapsed="false">
      <c r="A10498" s="0" t="n">
        <f aca="false">RECEIVED(DATE(2024,1,30),DATE(2024,8,31),1000,0.05,1)</f>
        <v>1030.11539544047</v>
      </c>
      <c r="B10498" s="0" t="s">
        <v>10462</v>
      </c>
    </row>
    <row r="10499" customFormat="false" ht="15" hidden="false" customHeight="false" outlineLevel="0" collapsed="false">
      <c r="A10499" s="0" t="n">
        <f aca="false">INTRATE(DATE(2024,1,30),DATE(2024,8,31),1000,1050,1)</f>
        <v>0.0855140186915889</v>
      </c>
      <c r="B10499" s="0" t="s">
        <v>10463</v>
      </c>
    </row>
    <row r="10500" customFormat="false" ht="15" hidden="false" customHeight="false" outlineLevel="0" collapsed="false">
      <c r="A10500" s="0" t="n">
        <f aca="false">DISC(DATE(2024,1,30),DATE(2024,8,31),95,100,1)</f>
        <v>0.0855140186915889</v>
      </c>
      <c r="B10500" s="0" t="s">
        <v>10464</v>
      </c>
    </row>
    <row r="10501" customFormat="false" ht="15" hidden="false" customHeight="false" outlineLevel="0" collapsed="false">
      <c r="A10501" s="0" t="n">
        <f aca="false">YIELDDISC(DATE(2024,1,30),DATE(2024,8,31),95,100,1)</f>
        <v>0.0900147565174618</v>
      </c>
      <c r="B10501" s="0" t="s">
        <v>10465</v>
      </c>
    </row>
    <row r="10502" customFormat="false" ht="15" hidden="false" customHeight="false" outlineLevel="0" collapsed="false">
      <c r="A10502" s="0" t="n">
        <f aca="false">ACCRINTM(DATE(2024,1,30),DATE(2024,8,31),0.05,1000,1)</f>
        <v>29.2349726775956</v>
      </c>
      <c r="B10502" s="0" t="s">
        <v>10466</v>
      </c>
    </row>
    <row r="10503" customFormat="false" ht="15" hidden="false" customHeight="false" outlineLevel="0" collapsed="false">
      <c r="A10503" s="0" t="n">
        <f aca="false">PRICEMAT(DATE(2024,1,30),DATE(2024,8,31),DATE(2023,1,31),0.05,0.06,1)</f>
        <v>99.263391081758</v>
      </c>
      <c r="B10503" s="0" t="s">
        <v>10467</v>
      </c>
    </row>
    <row r="10504" customFormat="false" ht="15" hidden="false" customHeight="false" outlineLevel="0" collapsed="false">
      <c r="A10504" s="0" t="n">
        <f aca="false">YIELDMAT(DATE(2024,1,30),DATE(2024,8,31),DATE(2023,1,31),0.05,98,1)</f>
        <v>0.0817170284470934</v>
      </c>
      <c r="B10504" s="0" t="s">
        <v>10468</v>
      </c>
    </row>
    <row r="10505" customFormat="false" ht="15" hidden="false" customHeight="false" outlineLevel="0" collapsed="false">
      <c r="A10505" s="0" t="n">
        <f aca="false">ACCRINT(DATE(2024,1,30),DATE(2030,1,1),DATE(2024,8,31),0.05,1000,2,1)</f>
        <v>29.2349726775956</v>
      </c>
      <c r="B10505" s="0" t="s">
        <v>10469</v>
      </c>
    </row>
    <row r="10506" customFormat="false" ht="15" hidden="false" customHeight="false" outlineLevel="0" collapsed="false">
      <c r="A10506" s="0" t="n">
        <f aca="false">DURATION(DATE(2024,1,30),DATE(2024,8,31),0.05,0.08,2,1)</f>
        <v>0.572330281334976</v>
      </c>
      <c r="B10506" s="0" t="s">
        <v>10470</v>
      </c>
    </row>
    <row r="10507" customFormat="false" ht="15" hidden="false" customHeight="false" outlineLevel="0" collapsed="false">
      <c r="A10507" s="0" t="n">
        <f aca="false">PRICE(DATE(2024,1,30),DATE(2024,8,31),0.05,0.08,100,2,1)</f>
        <v>98.3185543576645</v>
      </c>
      <c r="B10507" s="0" t="s">
        <v>10471</v>
      </c>
    </row>
    <row r="10508" customFormat="false" ht="15" hidden="false" customHeight="false" outlineLevel="0" collapsed="false">
      <c r="A10508" s="0" t="n">
        <f aca="false">YIELD(DATE(2024,1,30),DATE(2024,8,31),0.05,95,100,2,1)</f>
        <v>0.142250474920727</v>
      </c>
      <c r="B10508" s="0" t="s">
        <v>10472</v>
      </c>
    </row>
    <row r="10509" customFormat="false" ht="15" hidden="false" customHeight="false" outlineLevel="0" collapsed="false">
      <c r="A10509" s="0" t="n">
        <f aca="false">PRICEDISC(DATE(2024,1,30),DATE(2024,8,31),0.05,100,4)</f>
        <v>97.0694444444444</v>
      </c>
      <c r="B10509" s="0" t="s">
        <v>10473</v>
      </c>
    </row>
    <row r="10510" customFormat="false" ht="15" hidden="false" customHeight="false" outlineLevel="0" collapsed="false">
      <c r="A10510" s="0" t="n">
        <f aca="false">RECEIVED(DATE(2024,1,30),DATE(2024,8,31),1000,0.05,4)</f>
        <v>1030.19029904135</v>
      </c>
      <c r="B10510" s="0" t="s">
        <v>10474</v>
      </c>
    </row>
    <row r="10511" customFormat="false" ht="15" hidden="false" customHeight="false" outlineLevel="0" collapsed="false">
      <c r="A10511" s="0" t="n">
        <f aca="false">INTRATE(DATE(2024,1,30),DATE(2024,8,31),1000,1050,4)</f>
        <v>0.085308056872038</v>
      </c>
      <c r="B10511" s="0" t="s">
        <v>10475</v>
      </c>
    </row>
    <row r="10512" customFormat="false" ht="15" hidden="false" customHeight="false" outlineLevel="0" collapsed="false">
      <c r="A10512" s="0" t="n">
        <f aca="false">DISC(DATE(2024,1,30),DATE(2024,8,31),95,100,4)</f>
        <v>0.0857142857142858</v>
      </c>
      <c r="B10512" s="0" t="s">
        <v>10476</v>
      </c>
    </row>
    <row r="10513" customFormat="false" ht="15" hidden="false" customHeight="false" outlineLevel="0" collapsed="false">
      <c r="A10513" s="0" t="n">
        <f aca="false">YIELDDISC(DATE(2024,1,30),DATE(2024,8,31),95,100,4)</f>
        <v>0.0902255639097743</v>
      </c>
      <c r="B10513" s="0" t="s">
        <v>10477</v>
      </c>
    </row>
    <row r="10514" customFormat="false" ht="15" hidden="false" customHeight="false" outlineLevel="0" collapsed="false">
      <c r="A10514" s="0" t="n">
        <f aca="false">ACCRINTM(DATE(2024,1,30),DATE(2024,8,31),0.05,1000,4)</f>
        <v>29.3055555555556</v>
      </c>
      <c r="B10514" s="0" t="s">
        <v>10478</v>
      </c>
    </row>
    <row r="10515" customFormat="false" ht="15" hidden="false" customHeight="false" outlineLevel="0" collapsed="false">
      <c r="A10515" s="0" t="n">
        <f aca="false">PRICEMAT(DATE(2024,1,30),DATE(2024,8,31),DATE(2023,1,31),0.05,0.06,4)</f>
        <v>99.2673107890499</v>
      </c>
      <c r="B10515" s="0" t="s">
        <v>10479</v>
      </c>
    </row>
    <row r="10516" customFormat="false" ht="15" hidden="false" customHeight="false" outlineLevel="0" collapsed="false">
      <c r="A10516" s="0" t="n">
        <f aca="false">YIELDMAT(DATE(2024,1,30),DATE(2024,8,31),DATE(2023,1,31),0.05,98,4)</f>
        <v>0.0818307905686547</v>
      </c>
      <c r="B10516" s="0" t="s">
        <v>10480</v>
      </c>
    </row>
    <row r="10517" customFormat="false" ht="15" hidden="false" customHeight="false" outlineLevel="0" collapsed="false">
      <c r="A10517" s="0" t="n">
        <f aca="false">ACCRINT(DATE(2024,1,30),DATE(2030,1,1),DATE(2024,8,31),0.05,1000,2,4)</f>
        <v>29.3055555555556</v>
      </c>
      <c r="B10517" s="0" t="s">
        <v>10481</v>
      </c>
    </row>
    <row r="10518" customFormat="false" ht="15" hidden="false" customHeight="false" outlineLevel="0" collapsed="false">
      <c r="A10518" s="0" t="n">
        <f aca="false">DURATION(DATE(2024,1,30),DATE(2024,8,31),0.05,0.08,2,4)</f>
        <v>0.570964161116397</v>
      </c>
      <c r="B10518" s="0" t="s">
        <v>10482</v>
      </c>
    </row>
    <row r="10519" customFormat="false" ht="15" hidden="false" customHeight="false" outlineLevel="0" collapsed="false">
      <c r="A10519" s="0" t="n">
        <f aca="false">PRICE(DATE(2024,1,30),DATE(2024,8,31),0.05,0.08,100,2,4)</f>
        <v>98.3159208928599</v>
      </c>
      <c r="B10519" s="0" t="s">
        <v>10483</v>
      </c>
    </row>
    <row r="10520" customFormat="false" ht="15" hidden="false" customHeight="false" outlineLevel="0" collapsed="false">
      <c r="A10520" s="0" t="n">
        <f aca="false">YIELD(DATE(2024,1,30),DATE(2024,8,31),0.05,95,100,2,4)</f>
        <v>0.142102783697125</v>
      </c>
      <c r="B10520" s="0" t="s">
        <v>10484</v>
      </c>
    </row>
    <row r="10521" customFormat="false" ht="15" hidden="false" customHeight="false" outlineLevel="0" collapsed="false">
      <c r="A10521" s="0" t="n">
        <f aca="false">TBILLPRICE(DATE(2024,1,30),DATE(2024,8,31),0.05)</f>
        <v>97.0694444444444</v>
      </c>
      <c r="B10521" s="0" t="s">
        <v>10485</v>
      </c>
    </row>
    <row r="10522" customFormat="false" ht="15" hidden="false" customHeight="false" outlineLevel="0" collapsed="false">
      <c r="A10522" s="0" t="n">
        <f aca="false">TBILLEQ(DATE(2024,1,30),DATE(2024,8,31),0.05)</f>
        <v>0.0522249248819574</v>
      </c>
      <c r="B10522" s="0" t="s">
        <v>10486</v>
      </c>
    </row>
    <row r="10523" customFormat="false" ht="15" hidden="false" customHeight="false" outlineLevel="0" collapsed="false">
      <c r="A10523" s="0" t="n">
        <f aca="false">TBILLYIELD(DATE(2024,1,30),DATE(2024,8,31),98)</f>
        <v>0.0348196150498114</v>
      </c>
      <c r="B10523" s="0" t="s">
        <v>10487</v>
      </c>
    </row>
    <row r="10524" customFormat="false" ht="15" hidden="false" customHeight="false" outlineLevel="0" collapsed="false">
      <c r="A10524" s="0" t="n">
        <f aca="false">PRICEDISC(DATE(2024,1,30),DATE(2025,6,30),0.05,100,0)</f>
        <v>92.9166666666667</v>
      </c>
      <c r="B10524" s="0" t="s">
        <v>10488</v>
      </c>
    </row>
    <row r="10525" customFormat="false" ht="15" hidden="false" customHeight="false" outlineLevel="0" collapsed="false">
      <c r="A10525" s="0" t="n">
        <f aca="false">RECEIVED(DATE(2024,1,30),DATE(2025,6,30),1000,0.05,0)</f>
        <v>1076.2331838565</v>
      </c>
      <c r="B10525" s="0" t="s">
        <v>10489</v>
      </c>
    </row>
    <row r="10526" customFormat="false" ht="15" hidden="false" customHeight="false" outlineLevel="0" collapsed="false">
      <c r="A10526" s="0" t="n">
        <f aca="false">INTRATE(DATE(2024,1,30),DATE(2025,6,30),1000,1050,0)</f>
        <v>0.0352941176470589</v>
      </c>
      <c r="B10526" s="0" t="s">
        <v>10490</v>
      </c>
    </row>
    <row r="10527" customFormat="false" ht="15" hidden="false" customHeight="false" outlineLevel="0" collapsed="false">
      <c r="A10527" s="0" t="n">
        <f aca="false">DISC(DATE(2024,1,30),DATE(2025,6,30),95,100,0)</f>
        <v>0.0352941176470589</v>
      </c>
      <c r="B10527" s="0" t="s">
        <v>10491</v>
      </c>
    </row>
    <row r="10528" customFormat="false" ht="15" hidden="false" customHeight="false" outlineLevel="0" collapsed="false">
      <c r="A10528" s="0" t="n">
        <f aca="false">YIELDDISC(DATE(2024,1,30),DATE(2025,6,30),95,100,0)</f>
        <v>0.0371517027863777</v>
      </c>
      <c r="B10528" s="0" t="s">
        <v>10492</v>
      </c>
    </row>
    <row r="10529" customFormat="false" ht="15" hidden="false" customHeight="false" outlineLevel="0" collapsed="false">
      <c r="A10529" s="0" t="n">
        <f aca="false">ACCRINTM(DATE(2024,1,30),DATE(2025,6,30),0.05,1000,0)</f>
        <v>70.8333333333333</v>
      </c>
      <c r="B10529" s="0" t="s">
        <v>10493</v>
      </c>
    </row>
    <row r="10530" customFormat="false" ht="15" hidden="false" customHeight="false" outlineLevel="0" collapsed="false">
      <c r="A10530" s="0" t="n">
        <f aca="false">PRICEMAT(DATE(2024,1,30),DATE(2025,6,30),DATE(2023,1,31),0.05,0.06,0)</f>
        <v>98.3026113671275</v>
      </c>
      <c r="B10530" s="0" t="s">
        <v>10494</v>
      </c>
    </row>
    <row r="10531" customFormat="false" ht="15" hidden="false" customHeight="false" outlineLevel="0" collapsed="false">
      <c r="A10531" s="0" t="n">
        <f aca="false">YIELDMAT(DATE(2024,1,30),DATE(2025,6,30),DATE(2023,1,31),0.05,98,0)</f>
        <v>0.0622501427755568</v>
      </c>
      <c r="B10531" s="0" t="s">
        <v>10495</v>
      </c>
    </row>
    <row r="10532" customFormat="false" ht="15" hidden="false" customHeight="false" outlineLevel="0" collapsed="false">
      <c r="A10532" s="0" t="n">
        <f aca="false">ACCRINT(DATE(2024,1,30),DATE(2030,1,1),DATE(2025,6,30),0.05,1000,2,0)</f>
        <v>70.8333333333333</v>
      </c>
      <c r="B10532" s="0" t="s">
        <v>10496</v>
      </c>
    </row>
    <row r="10533" customFormat="false" ht="15" hidden="false" customHeight="false" outlineLevel="0" collapsed="false">
      <c r="A10533" s="0" t="n">
        <f aca="false">DURATION(DATE(2024,1,30),DATE(2025,6,30),0.05,0.08,2,0)</f>
        <v>1.3795251876863</v>
      </c>
      <c r="B10533" s="0" t="s">
        <v>10497</v>
      </c>
    </row>
    <row r="10534" customFormat="false" ht="15" hidden="false" customHeight="false" outlineLevel="0" collapsed="false">
      <c r="A10534" s="0" t="n">
        <f aca="false">PRICE(DATE(2024,1,30),DATE(2025,6,30),0.05,0.08,100,2,0)</f>
        <v>96.0492170868794</v>
      </c>
      <c r="B10534" s="0" t="s">
        <v>10498</v>
      </c>
    </row>
    <row r="10535" customFormat="false" ht="15" hidden="false" customHeight="false" outlineLevel="0" collapsed="false">
      <c r="A10535" s="0" t="n">
        <f aca="false">YIELD(DATE(2024,1,30),DATE(2025,6,30),0.05,95,100,2,0)</f>
        <v>0.088261637996309</v>
      </c>
      <c r="B10535" s="0" t="s">
        <v>10499</v>
      </c>
    </row>
    <row r="10536" customFormat="false" ht="15" hidden="false" customHeight="false" outlineLevel="0" collapsed="false">
      <c r="A10536" s="0" t="n">
        <f aca="false">PRICEDISC(DATE(2024,1,30),DATE(2025,6,30),0.05,100,1)</f>
        <v>92.9371584699454</v>
      </c>
      <c r="B10536" s="0" t="s">
        <v>10500</v>
      </c>
    </row>
    <row r="10537" customFormat="false" ht="15" hidden="false" customHeight="false" outlineLevel="0" collapsed="false">
      <c r="A10537" s="0" t="n">
        <f aca="false">RECEIVED(DATE(2024,1,30),DATE(2025,6,30),1000,0.05,1)</f>
        <v>1075.99588416875</v>
      </c>
      <c r="B10537" s="0" t="s">
        <v>10501</v>
      </c>
    </row>
    <row r="10538" customFormat="false" ht="15" hidden="false" customHeight="false" outlineLevel="0" collapsed="false">
      <c r="A10538" s="0" t="n">
        <f aca="false">INTRATE(DATE(2024,1,30),DATE(2025,6,30),1000,1050,1)</f>
        <v>0.0353965183752418</v>
      </c>
      <c r="B10538" s="0" t="s">
        <v>10502</v>
      </c>
    </row>
    <row r="10539" customFormat="false" ht="15" hidden="false" customHeight="false" outlineLevel="0" collapsed="false">
      <c r="A10539" s="0" t="n">
        <f aca="false">DISC(DATE(2024,1,30),DATE(2025,6,30),95,100,1)</f>
        <v>0.0353481624758221</v>
      </c>
      <c r="B10539" s="0" t="s">
        <v>10503</v>
      </c>
    </row>
    <row r="10540" customFormat="false" ht="15" hidden="false" customHeight="false" outlineLevel="0" collapsed="false">
      <c r="A10540" s="0" t="n">
        <f aca="false">YIELDDISC(DATE(2024,1,30),DATE(2025,6,30),95,100,1)</f>
        <v>0.0372085920798126</v>
      </c>
      <c r="B10540" s="0" t="s">
        <v>10504</v>
      </c>
    </row>
    <row r="10541" customFormat="false" ht="15" hidden="false" customHeight="false" outlineLevel="0" collapsed="false">
      <c r="A10541" s="0" t="n">
        <f aca="false">ACCRINTM(DATE(2024,1,30),DATE(2025,6,30),0.05,1000,1)</f>
        <v>70.6284153005464</v>
      </c>
      <c r="B10541" s="0" t="s">
        <v>10505</v>
      </c>
    </row>
    <row r="10542" customFormat="false" ht="15" hidden="false" customHeight="false" outlineLevel="0" collapsed="false">
      <c r="A10542" s="0" t="n">
        <f aca="false">PRICEMAT(DATE(2024,1,30),DATE(2025,6,30),DATE(2023,1,31),0.05,0.06,1)</f>
        <v>98.3048556469129</v>
      </c>
      <c r="B10542" s="0" t="s">
        <v>10506</v>
      </c>
    </row>
    <row r="10543" customFormat="false" ht="15" hidden="false" customHeight="false" outlineLevel="0" collapsed="false">
      <c r="A10543" s="0" t="n">
        <f aca="false">YIELDMAT(DATE(2024,1,30),DATE(2025,6,30),DATE(2023,1,31),0.05,98,1)</f>
        <v>0.0622703318254921</v>
      </c>
      <c r="B10543" s="0" t="s">
        <v>10507</v>
      </c>
    </row>
    <row r="10544" customFormat="false" ht="15" hidden="false" customHeight="false" outlineLevel="0" collapsed="false">
      <c r="A10544" s="0" t="n">
        <f aca="false">ACCRINT(DATE(2024,1,30),DATE(2030,1,1),DATE(2025,6,30),0.05,1000,2,1)</f>
        <v>70.6284153005464</v>
      </c>
      <c r="B10544" s="0" t="s">
        <v>10508</v>
      </c>
    </row>
    <row r="10545" customFormat="false" ht="15" hidden="false" customHeight="false" outlineLevel="0" collapsed="false">
      <c r="A10545" s="0" t="n">
        <f aca="false">DURATION(DATE(2024,1,30),DATE(2025,6,30),0.05,0.08,2,1)</f>
        <v>1.37735920501416</v>
      </c>
      <c r="B10545" s="0" t="s">
        <v>10509</v>
      </c>
    </row>
    <row r="10546" customFormat="false" ht="15" hidden="false" customHeight="false" outlineLevel="0" collapsed="false">
      <c r="A10546" s="0" t="n">
        <f aca="false">PRICE(DATE(2024,1,30),DATE(2025,6,30),0.05,0.08,100,2,1)</f>
        <v>96.0468666750282</v>
      </c>
      <c r="B10546" s="0" t="s">
        <v>10510</v>
      </c>
    </row>
    <row r="10547" customFormat="false" ht="15" hidden="false" customHeight="false" outlineLevel="0" collapsed="false">
      <c r="A10547" s="0" t="n">
        <f aca="false">YIELD(DATE(2024,1,30),DATE(2025,6,30),0.05,95,100,2,1)</f>
        <v>0.0882381071254009</v>
      </c>
      <c r="B10547" s="0" t="s">
        <v>10511</v>
      </c>
    </row>
    <row r="10548" customFormat="false" ht="15" hidden="false" customHeight="false" outlineLevel="0" collapsed="false">
      <c r="A10548" s="0" t="n">
        <f aca="false">PRICEDISC(DATE(2024,1,30),DATE(2025,6,30),0.05,100,4)</f>
        <v>92.9166666666667</v>
      </c>
      <c r="B10548" s="0" t="s">
        <v>10512</v>
      </c>
    </row>
    <row r="10549" customFormat="false" ht="15" hidden="false" customHeight="false" outlineLevel="0" collapsed="false">
      <c r="A10549" s="0" t="n">
        <f aca="false">RECEIVED(DATE(2024,1,30),DATE(2025,6,30),1000,0.05,4)</f>
        <v>1076.2331838565</v>
      </c>
      <c r="B10549" s="0" t="s">
        <v>10513</v>
      </c>
    </row>
    <row r="10550" customFormat="false" ht="15" hidden="false" customHeight="false" outlineLevel="0" collapsed="false">
      <c r="A10550" s="0" t="n">
        <f aca="false">INTRATE(DATE(2024,1,30),DATE(2025,6,30),1000,1050,4)</f>
        <v>0.0352941176470589</v>
      </c>
      <c r="B10550" s="0" t="s">
        <v>10514</v>
      </c>
    </row>
    <row r="10551" customFormat="false" ht="15" hidden="false" customHeight="false" outlineLevel="0" collapsed="false">
      <c r="A10551" s="0" t="n">
        <f aca="false">DISC(DATE(2024,1,30),DATE(2025,6,30),95,100,4)</f>
        <v>0.0352941176470589</v>
      </c>
      <c r="B10551" s="0" t="s">
        <v>10515</v>
      </c>
    </row>
    <row r="10552" customFormat="false" ht="15" hidden="false" customHeight="false" outlineLevel="0" collapsed="false">
      <c r="A10552" s="0" t="n">
        <f aca="false">YIELDDISC(DATE(2024,1,30),DATE(2025,6,30),95,100,4)</f>
        <v>0.0371517027863777</v>
      </c>
      <c r="B10552" s="0" t="s">
        <v>10516</v>
      </c>
    </row>
    <row r="10553" customFormat="false" ht="15" hidden="false" customHeight="false" outlineLevel="0" collapsed="false">
      <c r="A10553" s="0" t="n">
        <f aca="false">ACCRINTM(DATE(2024,1,30),DATE(2025,6,30),0.05,1000,4)</f>
        <v>70.8333333333333</v>
      </c>
      <c r="B10553" s="0" t="s">
        <v>10517</v>
      </c>
    </row>
    <row r="10554" customFormat="false" ht="15" hidden="false" customHeight="false" outlineLevel="0" collapsed="false">
      <c r="A10554" s="0" t="n">
        <f aca="false">PRICEMAT(DATE(2024,1,30),DATE(2025,6,30),DATE(2023,1,31),0.05,0.06,4)</f>
        <v>98.3026113671275</v>
      </c>
      <c r="B10554" s="0" t="s">
        <v>10518</v>
      </c>
    </row>
    <row r="10555" customFormat="false" ht="15" hidden="false" customHeight="false" outlineLevel="0" collapsed="false">
      <c r="A10555" s="0" t="n">
        <f aca="false">YIELDMAT(DATE(2024,1,30),DATE(2025,6,30),DATE(2023,1,31),0.05,98,4)</f>
        <v>0.0622501427755568</v>
      </c>
      <c r="B10555" s="0" t="s">
        <v>10519</v>
      </c>
    </row>
    <row r="10556" customFormat="false" ht="15" hidden="false" customHeight="false" outlineLevel="0" collapsed="false">
      <c r="A10556" s="0" t="n">
        <f aca="false">ACCRINT(DATE(2024,1,30),DATE(2030,1,1),DATE(2025,6,30),0.05,1000,2,4)</f>
        <v>70.8333333333333</v>
      </c>
      <c r="B10556" s="0" t="s">
        <v>10520</v>
      </c>
    </row>
    <row r="10557" customFormat="false" ht="15" hidden="false" customHeight="false" outlineLevel="0" collapsed="false">
      <c r="A10557" s="0" t="n">
        <f aca="false">DURATION(DATE(2024,1,30),DATE(2025,6,30),0.05,0.08,2,4)</f>
        <v>1.3795251876863</v>
      </c>
      <c r="B10557" s="0" t="s">
        <v>10521</v>
      </c>
    </row>
    <row r="10558" customFormat="false" ht="15" hidden="false" customHeight="false" outlineLevel="0" collapsed="false">
      <c r="A10558" s="0" t="n">
        <f aca="false">PRICE(DATE(2024,1,30),DATE(2025,6,30),0.05,0.08,100,2,4)</f>
        <v>96.0492170868794</v>
      </c>
      <c r="B10558" s="0" t="s">
        <v>10522</v>
      </c>
    </row>
    <row r="10559" customFormat="false" ht="15" hidden="false" customHeight="false" outlineLevel="0" collapsed="false">
      <c r="A10559" s="0" t="n">
        <f aca="false">YIELD(DATE(2024,1,30),DATE(2025,6,30),0.05,95,100,2,4)</f>
        <v>0.088261637996309</v>
      </c>
      <c r="B10559" s="0" t="s">
        <v>10523</v>
      </c>
    </row>
    <row r="10560" customFormat="false" ht="15" hidden="false" customHeight="false" outlineLevel="0" collapsed="false">
      <c r="A10560" s="0" t="n">
        <f aca="false">TBILLPRICE(DATE(2024,1,30),DATE(2025,6,30),0.05)</f>
        <v>92.9027777777778</v>
      </c>
      <c r="B10560" s="0" t="s">
        <v>10524</v>
      </c>
    </row>
    <row r="10561" customFormat="false" ht="15" hidden="false" customHeight="false" outlineLevel="0" collapsed="false">
      <c r="A10561" s="0" t="e">
        <f aca="false">TBILLEQ(DATE(2024,1,30),DATE(2025,6,30),0.05)</f>
        <v>#VALUE!</v>
      </c>
      <c r="B10561" s="0" t="s">
        <v>10525</v>
      </c>
    </row>
    <row r="10562" customFormat="false" ht="15" hidden="false" customHeight="false" outlineLevel="0" collapsed="false">
      <c r="A10562" s="0" t="e">
        <f aca="false">TBILLYIELD(DATE(2024,1,30),DATE(2025,6,30),98)</f>
        <v>#VALUE!</v>
      </c>
      <c r="B10562" s="0" t="s">
        <v>10526</v>
      </c>
    </row>
    <row r="10563" customFormat="false" ht="15" hidden="false" customHeight="false" outlineLevel="0" collapsed="false">
      <c r="A10563" s="0" t="n">
        <f aca="false">PRICEDISC(DATE(2024,1,30),DATE(2026,12,31),0.05,100,0)</f>
        <v>85.4027777777778</v>
      </c>
      <c r="B10563" s="0" t="s">
        <v>10527</v>
      </c>
    </row>
    <row r="10564" customFormat="false" ht="15" hidden="false" customHeight="false" outlineLevel="0" collapsed="false">
      <c r="A10564" s="0" t="n">
        <f aca="false">RECEIVED(DATE(2024,1,30),DATE(2026,12,31),1000,0.05,0)</f>
        <v>1170.92210115466</v>
      </c>
      <c r="B10564" s="0" t="s">
        <v>10528</v>
      </c>
    </row>
    <row r="10565" customFormat="false" ht="15" hidden="false" customHeight="false" outlineLevel="0" collapsed="false">
      <c r="A10565" s="0" t="n">
        <f aca="false">INTRATE(DATE(2024,1,30),DATE(2026,12,31),1000,1050,0)</f>
        <v>0.0171265461465271</v>
      </c>
      <c r="B10565" s="0" t="s">
        <v>10529</v>
      </c>
    </row>
    <row r="10566" customFormat="false" ht="15" hidden="false" customHeight="false" outlineLevel="0" collapsed="false">
      <c r="A10566" s="0" t="n">
        <f aca="false">DISC(DATE(2024,1,30),DATE(2026,12,31),95,100,0)</f>
        <v>0.0171428571428572</v>
      </c>
      <c r="B10566" s="0" t="s">
        <v>10530</v>
      </c>
    </row>
    <row r="10567" customFormat="false" ht="15" hidden="false" customHeight="false" outlineLevel="0" collapsed="false">
      <c r="A10567" s="0" t="n">
        <f aca="false">YIELDDISC(DATE(2024,1,30),DATE(2026,12,31),95,100,0)</f>
        <v>0.0180451127819549</v>
      </c>
      <c r="B10567" s="0" t="s">
        <v>10531</v>
      </c>
    </row>
    <row r="10568" customFormat="false" ht="15" hidden="false" customHeight="false" outlineLevel="0" collapsed="false">
      <c r="A10568" s="0" t="n">
        <f aca="false">ACCRINTM(DATE(2024,1,30),DATE(2026,12,31),0.05,1000,0)</f>
        <v>145.972222222222</v>
      </c>
      <c r="B10568" s="0" t="s">
        <v>10532</v>
      </c>
    </row>
    <row r="10569" customFormat="false" ht="15" hidden="false" customHeight="false" outlineLevel="0" collapsed="false">
      <c r="A10569" s="0" t="n">
        <f aca="false">PRICEMAT(DATE(2024,1,30),DATE(2026,12,31),DATE(2023,1,31),0.05,0.06,0)</f>
        <v>96.7730496453901</v>
      </c>
      <c r="B10569" s="0" t="s">
        <v>10533</v>
      </c>
    </row>
    <row r="10570" customFormat="false" ht="15" hidden="false" customHeight="false" outlineLevel="0" collapsed="false">
      <c r="A10570" s="0" t="n">
        <f aca="false">YIELDMAT(DATE(2024,1,30),DATE(2026,12,31),DATE(2023,1,31),0.05,98,0)</f>
        <v>0.0552011095700416</v>
      </c>
      <c r="B10570" s="0" t="s">
        <v>10534</v>
      </c>
    </row>
    <row r="10571" customFormat="false" ht="15" hidden="false" customHeight="false" outlineLevel="0" collapsed="false">
      <c r="A10571" s="0" t="n">
        <f aca="false">ACCRINT(DATE(2024,1,30),DATE(2030,1,1),DATE(2026,12,31),0.05,1000,2,0)</f>
        <v>145.972222222222</v>
      </c>
      <c r="B10571" s="0" t="s">
        <v>10535</v>
      </c>
    </row>
    <row r="10572" customFormat="false" ht="15" hidden="false" customHeight="false" outlineLevel="0" collapsed="false">
      <c r="A10572" s="0" t="n">
        <f aca="false">DURATION(DATE(2024,1,30),DATE(2026,12,31),0.05,0.08,2,0)</f>
        <v>2.73074146481051</v>
      </c>
      <c r="B10572" s="0" t="s">
        <v>10536</v>
      </c>
    </row>
    <row r="10573" customFormat="false" ht="15" hidden="false" customHeight="false" outlineLevel="0" collapsed="false">
      <c r="A10573" s="0" t="n">
        <f aca="false">PRICE(DATE(2024,1,30),DATE(2026,12,31),0.05,0.08,100,2,0)</f>
        <v>92.3243792930573</v>
      </c>
      <c r="B10573" s="0" t="s">
        <v>10537</v>
      </c>
    </row>
    <row r="10574" customFormat="false" ht="15" hidden="false" customHeight="false" outlineLevel="0" collapsed="false">
      <c r="A10574" s="0" t="n">
        <f aca="false">YIELD(DATE(2024,1,30),DATE(2026,12,31),0.05,95,100,2,0)</f>
        <v>0.0692023734606049</v>
      </c>
      <c r="B10574" s="0" t="s">
        <v>10538</v>
      </c>
    </row>
    <row r="10575" customFormat="false" ht="15" hidden="false" customHeight="false" outlineLevel="0" collapsed="false">
      <c r="A10575" s="0" t="n">
        <f aca="false">PRICEDISC(DATE(2024,1,30),DATE(2026,12,31),0.05,100,1)</f>
        <v>85.4371584699454</v>
      </c>
      <c r="B10575" s="0" t="s">
        <v>10539</v>
      </c>
    </row>
    <row r="10576" customFormat="false" ht="15" hidden="false" customHeight="false" outlineLevel="0" collapsed="false">
      <c r="A10576" s="0" t="n">
        <f aca="false">RECEIVED(DATE(2024,1,30),DATE(2026,12,31),1000,0.05,1)</f>
        <v>1170.45091141669</v>
      </c>
      <c r="B10576" s="0" t="s">
        <v>10540</v>
      </c>
    </row>
    <row r="10577" customFormat="false" ht="15" hidden="false" customHeight="false" outlineLevel="0" collapsed="false">
      <c r="A10577" s="0" t="n">
        <f aca="false">INTRATE(DATE(2024,1,30),DATE(2026,12,31),1000,1050,1)</f>
        <v>0.0171669793621013</v>
      </c>
      <c r="B10577" s="0" t="s">
        <v>10541</v>
      </c>
    </row>
    <row r="10578" customFormat="false" ht="15" hidden="false" customHeight="false" outlineLevel="0" collapsed="false">
      <c r="A10578" s="0" t="n">
        <f aca="false">DISC(DATE(2024,1,30),DATE(2026,12,31),95,100,1)</f>
        <v>0.0171357098186367</v>
      </c>
      <c r="B10578" s="0" t="s">
        <v>10542</v>
      </c>
    </row>
    <row r="10579" customFormat="false" ht="15" hidden="false" customHeight="false" outlineLevel="0" collapsed="false">
      <c r="A10579" s="0" t="n">
        <f aca="false">YIELDDISC(DATE(2024,1,30),DATE(2026,12,31),95,100,1)</f>
        <v>0.0180375892827754</v>
      </c>
      <c r="B10579" s="0" t="s">
        <v>10543</v>
      </c>
    </row>
    <row r="10580" customFormat="false" ht="15" hidden="false" customHeight="false" outlineLevel="0" collapsed="false">
      <c r="A10580" s="0" t="n">
        <f aca="false">ACCRINTM(DATE(2024,1,30),DATE(2026,12,31),0.05,1000,1)</f>
        <v>145.628415300546</v>
      </c>
      <c r="B10580" s="0" t="s">
        <v>10544</v>
      </c>
    </row>
    <row r="10581" customFormat="false" ht="15" hidden="false" customHeight="false" outlineLevel="0" collapsed="false">
      <c r="A10581" s="0" t="n">
        <f aca="false">PRICEMAT(DATE(2024,1,30),DATE(2026,12,31),DATE(2023,1,31),0.05,0.06,1)</f>
        <v>96.7738734199326</v>
      </c>
      <c r="B10581" s="0" t="s">
        <v>10545</v>
      </c>
    </row>
    <row r="10582" customFormat="false" ht="15" hidden="false" customHeight="false" outlineLevel="0" collapsed="false">
      <c r="A10582" s="0" t="n">
        <f aca="false">YIELDMAT(DATE(2024,1,30),DATE(2026,12,31),DATE(2023,1,31),0.05,98,1)</f>
        <v>0.0552053955353757</v>
      </c>
      <c r="B10582" s="0" t="s">
        <v>10546</v>
      </c>
    </row>
    <row r="10583" customFormat="false" ht="15" hidden="false" customHeight="false" outlineLevel="0" collapsed="false">
      <c r="A10583" s="0" t="n">
        <f aca="false">ACCRINT(DATE(2024,1,30),DATE(2030,1,1),DATE(2026,12,31),0.05,1000,2,1)</f>
        <v>145.628415300546</v>
      </c>
      <c r="B10583" s="0" t="s">
        <v>10547</v>
      </c>
    </row>
    <row r="10584" customFormat="false" ht="15" hidden="false" customHeight="false" outlineLevel="0" collapsed="false">
      <c r="A10584" s="0" t="n">
        <f aca="false">DURATION(DATE(2024,1,30),DATE(2026,12,31),0.05,0.08,2,1)</f>
        <v>2.73195800982267</v>
      </c>
      <c r="B10584" s="0" t="s">
        <v>10548</v>
      </c>
    </row>
    <row r="10585" customFormat="false" ht="15" hidden="false" customHeight="false" outlineLevel="0" collapsed="false">
      <c r="A10585" s="0" t="n">
        <f aca="false">PRICE(DATE(2024,1,30),DATE(2026,12,31),0.05,0.08,100,2,1)</f>
        <v>92.3222964371544</v>
      </c>
      <c r="B10585" s="0" t="s">
        <v>10549</v>
      </c>
    </row>
    <row r="10586" customFormat="false" ht="15" hidden="false" customHeight="false" outlineLevel="0" collapsed="false">
      <c r="A10586" s="0" t="n">
        <f aca="false">YIELD(DATE(2024,1,30),DATE(2026,12,31),0.05,95,100,2,1)</f>
        <v>0.0691969591311336</v>
      </c>
      <c r="B10586" s="0" t="s">
        <v>10550</v>
      </c>
    </row>
    <row r="10587" customFormat="false" ht="15" hidden="false" customHeight="false" outlineLevel="0" collapsed="false">
      <c r="A10587" s="0" t="n">
        <f aca="false">PRICEDISC(DATE(2024,1,30),DATE(2026,12,31),0.05,100,4)</f>
        <v>85.4027777777778</v>
      </c>
      <c r="B10587" s="0" t="s">
        <v>10551</v>
      </c>
    </row>
    <row r="10588" customFormat="false" ht="15" hidden="false" customHeight="false" outlineLevel="0" collapsed="false">
      <c r="A10588" s="0" t="n">
        <f aca="false">RECEIVED(DATE(2024,1,30),DATE(2026,12,31),1000,0.05,4)</f>
        <v>1170.92210115466</v>
      </c>
      <c r="B10588" s="0" t="s">
        <v>10552</v>
      </c>
    </row>
    <row r="10589" customFormat="false" ht="15" hidden="false" customHeight="false" outlineLevel="0" collapsed="false">
      <c r="A10589" s="0" t="n">
        <f aca="false">INTRATE(DATE(2024,1,30),DATE(2026,12,31),1000,1050,4)</f>
        <v>0.0171265461465271</v>
      </c>
      <c r="B10589" s="0" t="s">
        <v>10553</v>
      </c>
    </row>
    <row r="10590" customFormat="false" ht="15" hidden="false" customHeight="false" outlineLevel="0" collapsed="false">
      <c r="A10590" s="0" t="n">
        <f aca="false">DISC(DATE(2024,1,30),DATE(2026,12,31),95,100,4)</f>
        <v>0.0171428571428572</v>
      </c>
      <c r="B10590" s="0" t="s">
        <v>10554</v>
      </c>
    </row>
    <row r="10591" customFormat="false" ht="15" hidden="false" customHeight="false" outlineLevel="0" collapsed="false">
      <c r="A10591" s="0" t="n">
        <f aca="false">YIELDDISC(DATE(2024,1,30),DATE(2026,12,31),95,100,4)</f>
        <v>0.0180451127819549</v>
      </c>
      <c r="B10591" s="0" t="s">
        <v>10555</v>
      </c>
    </row>
    <row r="10592" customFormat="false" ht="15" hidden="false" customHeight="false" outlineLevel="0" collapsed="false">
      <c r="A10592" s="0" t="n">
        <f aca="false">ACCRINTM(DATE(2024,1,30),DATE(2026,12,31),0.05,1000,4)</f>
        <v>145.972222222222</v>
      </c>
      <c r="B10592" s="0" t="s">
        <v>10556</v>
      </c>
    </row>
    <row r="10593" customFormat="false" ht="15" hidden="false" customHeight="false" outlineLevel="0" collapsed="false">
      <c r="A10593" s="0" t="n">
        <f aca="false">PRICEMAT(DATE(2024,1,30),DATE(2026,12,31),DATE(2023,1,31),0.05,0.06,4)</f>
        <v>96.7730496453901</v>
      </c>
      <c r="B10593" s="0" t="s">
        <v>10557</v>
      </c>
    </row>
    <row r="10594" customFormat="false" ht="15" hidden="false" customHeight="false" outlineLevel="0" collapsed="false">
      <c r="A10594" s="0" t="n">
        <f aca="false">YIELDMAT(DATE(2024,1,30),DATE(2026,12,31),DATE(2023,1,31),0.05,98,4)</f>
        <v>0.0552011095700416</v>
      </c>
      <c r="B10594" s="0" t="s">
        <v>10558</v>
      </c>
    </row>
    <row r="10595" customFormat="false" ht="15" hidden="false" customHeight="false" outlineLevel="0" collapsed="false">
      <c r="A10595" s="0" t="n">
        <f aca="false">ACCRINT(DATE(2024,1,30),DATE(2030,1,1),DATE(2026,12,31),0.05,1000,2,4)</f>
        <v>145.972222222222</v>
      </c>
      <c r="B10595" s="0" t="s">
        <v>10559</v>
      </c>
    </row>
    <row r="10596" customFormat="false" ht="15" hidden="false" customHeight="false" outlineLevel="0" collapsed="false">
      <c r="A10596" s="0" t="n">
        <f aca="false">DURATION(DATE(2024,1,30),DATE(2026,12,31),0.05,0.08,2,4)</f>
        <v>2.73074146481051</v>
      </c>
      <c r="B10596" s="0" t="s">
        <v>10560</v>
      </c>
    </row>
    <row r="10597" customFormat="false" ht="15" hidden="false" customHeight="false" outlineLevel="0" collapsed="false">
      <c r="A10597" s="0" t="n">
        <f aca="false">PRICE(DATE(2024,1,30),DATE(2026,12,31),0.05,0.08,100,2,4)</f>
        <v>92.3243792930573</v>
      </c>
      <c r="B10597" s="0" t="s">
        <v>10561</v>
      </c>
    </row>
    <row r="10598" customFormat="false" ht="15" hidden="false" customHeight="false" outlineLevel="0" collapsed="false">
      <c r="A10598" s="0" t="n">
        <f aca="false">YIELD(DATE(2024,1,30),DATE(2026,12,31),0.05,95,100,2,4)</f>
        <v>0.0692023734606049</v>
      </c>
      <c r="B10598" s="0" t="s">
        <v>10562</v>
      </c>
    </row>
    <row r="10599" customFormat="false" ht="15" hidden="false" customHeight="false" outlineLevel="0" collapsed="false">
      <c r="A10599" s="0" t="n">
        <f aca="false">TBILLPRICE(DATE(2024,1,30),DATE(2026,12,31),0.05)</f>
        <v>85.4027777777778</v>
      </c>
      <c r="B10599" s="0" t="s">
        <v>10563</v>
      </c>
    </row>
    <row r="10600" customFormat="false" ht="15" hidden="false" customHeight="false" outlineLevel="0" collapsed="false">
      <c r="A10600" s="0" t="e">
        <f aca="false">TBILLEQ(DATE(2024,1,30),DATE(2026,12,31),0.05)</f>
        <v>#VALUE!</v>
      </c>
      <c r="B10600" s="0" t="s">
        <v>10564</v>
      </c>
    </row>
    <row r="10601" customFormat="false" ht="15" hidden="false" customHeight="false" outlineLevel="0" collapsed="false">
      <c r="A10601" s="0" t="e">
        <f aca="false">TBILLYIELD(DATE(2024,1,30),DATE(2026,12,31),98)</f>
        <v>#VALUE!</v>
      </c>
      <c r="B10601" s="0" t="s">
        <v>10565</v>
      </c>
    </row>
    <row r="10602" customFormat="false" ht="15" hidden="false" customHeight="false" outlineLevel="0" collapsed="false">
      <c r="A10602" s="0" t="n">
        <f aca="false">PRICEDISC(DATE(2024,1,30),DATE(2027,2,28),0.05,100,0)</f>
        <v>84.6111111111111</v>
      </c>
      <c r="B10602" s="0" t="s">
        <v>10566</v>
      </c>
    </row>
    <row r="10603" customFormat="false" ht="15" hidden="false" customHeight="false" outlineLevel="0" collapsed="false">
      <c r="A10603" s="0" t="n">
        <f aca="false">RECEIVED(DATE(2024,1,30),DATE(2027,2,28),1000,0.05,0)</f>
        <v>1181.87787261983</v>
      </c>
      <c r="B10603" s="0" t="s">
        <v>10567</v>
      </c>
    </row>
    <row r="10604" customFormat="false" ht="15" hidden="false" customHeight="false" outlineLevel="0" collapsed="false">
      <c r="A10604" s="0" t="n">
        <f aca="false">INTRATE(DATE(2024,1,30),DATE(2027,2,28),1000,1050,0)</f>
        <v>0.016245487364621</v>
      </c>
      <c r="B10604" s="0" t="s">
        <v>10568</v>
      </c>
    </row>
    <row r="10605" customFormat="false" ht="15" hidden="false" customHeight="false" outlineLevel="0" collapsed="false">
      <c r="A10605" s="0" t="n">
        <f aca="false">DISC(DATE(2024,1,30),DATE(2027,2,28),95,100,0)</f>
        <v>0.016245487364621</v>
      </c>
      <c r="B10605" s="0" t="s">
        <v>10569</v>
      </c>
    </row>
    <row r="10606" customFormat="false" ht="15" hidden="false" customHeight="false" outlineLevel="0" collapsed="false">
      <c r="A10606" s="0" t="n">
        <f aca="false">YIELDDISC(DATE(2024,1,30),DATE(2027,2,28),95,100,0)</f>
        <v>0.0171005130153904</v>
      </c>
      <c r="B10606" s="0" t="s">
        <v>10570</v>
      </c>
    </row>
    <row r="10607" customFormat="false" ht="15" hidden="false" customHeight="false" outlineLevel="0" collapsed="false">
      <c r="A10607" s="0" t="n">
        <f aca="false">ACCRINTM(DATE(2024,1,30),DATE(2027,2,28),0.05,1000,0)</f>
        <v>153.888888888889</v>
      </c>
      <c r="B10607" s="0" t="s">
        <v>10571</v>
      </c>
    </row>
    <row r="10608" customFormat="false" ht="15" hidden="false" customHeight="false" outlineLevel="0" collapsed="false">
      <c r="A10608" s="0" t="n">
        <f aca="false">PRICEMAT(DATE(2024,1,30),DATE(2027,2,28),DATE(2023,1,31),0.05,0.06,0)</f>
        <v>96.6225848808854</v>
      </c>
      <c r="B10608" s="0" t="s">
        <v>10572</v>
      </c>
    </row>
    <row r="10609" customFormat="false" ht="15" hidden="false" customHeight="false" outlineLevel="0" collapsed="false">
      <c r="A10609" s="0" t="n">
        <f aca="false">YIELDMAT(DATE(2024,1,30),DATE(2027,2,28),DATE(2023,1,31),0.05,98,0)</f>
        <v>0.0548526164522799</v>
      </c>
      <c r="B10609" s="0" t="s">
        <v>10573</v>
      </c>
    </row>
    <row r="10610" customFormat="false" ht="15" hidden="false" customHeight="false" outlineLevel="0" collapsed="false">
      <c r="A10610" s="0" t="n">
        <f aca="false">ACCRINT(DATE(2024,1,30),DATE(2030,1,1),DATE(2027,2,28),0.05,1000,2,0)</f>
        <v>153.888888888889</v>
      </c>
      <c r="B10610" s="0" t="s">
        <v>10574</v>
      </c>
    </row>
    <row r="10611" customFormat="false" ht="15" hidden="false" customHeight="false" outlineLevel="0" collapsed="false">
      <c r="A10611" s="0" t="n">
        <f aca="false">DURATION(DATE(2024,1,30),DATE(2027,2,28),0.05,0.08,2,0)</f>
        <v>2.81751376281457</v>
      </c>
      <c r="B10611" s="0" t="s">
        <v>10575</v>
      </c>
    </row>
    <row r="10612" customFormat="false" ht="15" hidden="false" customHeight="false" outlineLevel="0" collapsed="false">
      <c r="A10612" s="0" t="n">
        <f aca="false">PRICE(DATE(2024,1,30),DATE(2027,2,28),0.05,0.08,100,2,0)</f>
        <v>91.9368584478332</v>
      </c>
      <c r="B10612" s="0" t="s">
        <v>10576</v>
      </c>
    </row>
    <row r="10613" customFormat="false" ht="15" hidden="false" customHeight="false" outlineLevel="0" collapsed="false">
      <c r="A10613" s="0" t="n">
        <f aca="false">YIELD(DATE(2024,1,30),DATE(2027,2,28),0.05,95,100,2,0)</f>
        <v>0.0682345927979648</v>
      </c>
      <c r="B10613" s="0" t="s">
        <v>10577</v>
      </c>
    </row>
    <row r="10614" customFormat="false" ht="15" hidden="false" customHeight="false" outlineLevel="0" collapsed="false">
      <c r="A10614" s="0" t="n">
        <f aca="false">PRICEDISC(DATE(2024,1,30),DATE(2027,2,28),0.05,100,1)</f>
        <v>84.6311475409836</v>
      </c>
      <c r="B10614" s="0" t="s">
        <v>10578</v>
      </c>
    </row>
    <row r="10615" customFormat="false" ht="15" hidden="false" customHeight="false" outlineLevel="0" collapsed="false">
      <c r="A10615" s="0" t="n">
        <f aca="false">RECEIVED(DATE(2024,1,30),DATE(2027,2,28),1000,0.05,1)</f>
        <v>1181.598062954</v>
      </c>
      <c r="B10615" s="0" t="s">
        <v>10579</v>
      </c>
    </row>
    <row r="10616" customFormat="false" ht="15" hidden="false" customHeight="false" outlineLevel="0" collapsed="false">
      <c r="A10616" s="0" t="n">
        <f aca="false">INTRATE(DATE(2024,1,30),DATE(2027,2,28),1000,1050,1)</f>
        <v>0.0162666666666667</v>
      </c>
      <c r="B10616" s="0" t="s">
        <v>10580</v>
      </c>
    </row>
    <row r="10617" customFormat="false" ht="15" hidden="false" customHeight="false" outlineLevel="0" collapsed="false">
      <c r="A10617" s="0" t="n">
        <f aca="false">DISC(DATE(2024,1,30),DATE(2027,2,28),95,100,1)</f>
        <v>0.0162333333333333</v>
      </c>
      <c r="B10617" s="0" t="s">
        <v>10581</v>
      </c>
    </row>
    <row r="10618" customFormat="false" ht="15" hidden="false" customHeight="false" outlineLevel="0" collapsed="false">
      <c r="A10618" s="0" t="n">
        <f aca="false">YIELDDISC(DATE(2024,1,30),DATE(2027,2,28),95,100,1)</f>
        <v>0.0170877192982456</v>
      </c>
      <c r="B10618" s="0" t="s">
        <v>10582</v>
      </c>
    </row>
    <row r="10619" customFormat="false" ht="15" hidden="false" customHeight="false" outlineLevel="0" collapsed="false">
      <c r="A10619" s="0" t="n">
        <f aca="false">ACCRINTM(DATE(2024,1,30),DATE(2027,2,28),0.05,1000,1)</f>
        <v>153.688524590164</v>
      </c>
      <c r="B10619" s="0" t="s">
        <v>10583</v>
      </c>
    </row>
    <row r="10620" customFormat="false" ht="15" hidden="false" customHeight="false" outlineLevel="0" collapsed="false">
      <c r="A10620" s="0" t="n">
        <f aca="false">PRICEMAT(DATE(2024,1,30),DATE(2027,2,28),DATE(2023,1,31),0.05,0.06,1)</f>
        <v>96.6220621298266</v>
      </c>
      <c r="B10620" s="0" t="s">
        <v>10584</v>
      </c>
    </row>
    <row r="10621" customFormat="false" ht="15" hidden="false" customHeight="false" outlineLevel="0" collapsed="false">
      <c r="A10621" s="0" t="n">
        <f aca="false">YIELDMAT(DATE(2024,1,30),DATE(2027,2,28),DATE(2023,1,31),0.05,98,1)</f>
        <v>0.0548532303777979</v>
      </c>
      <c r="B10621" s="0" t="s">
        <v>10585</v>
      </c>
    </row>
    <row r="10622" customFormat="false" ht="15" hidden="false" customHeight="false" outlineLevel="0" collapsed="false">
      <c r="A10622" s="0" t="n">
        <f aca="false">ACCRINT(DATE(2024,1,30),DATE(2030,1,1),DATE(2027,2,28),0.05,1000,2,1)</f>
        <v>153.688524590164</v>
      </c>
      <c r="B10622" s="0" t="s">
        <v>10586</v>
      </c>
    </row>
    <row r="10623" customFormat="false" ht="15" hidden="false" customHeight="false" outlineLevel="0" collapsed="false">
      <c r="A10623" s="0" t="n">
        <f aca="false">DURATION(DATE(2024,1,30),DATE(2027,2,28),0.05,0.08,2,1)</f>
        <v>2.81981812056041</v>
      </c>
      <c r="B10623" s="0" t="s">
        <v>10587</v>
      </c>
    </row>
    <row r="10624" customFormat="false" ht="15" hidden="false" customHeight="false" outlineLevel="0" collapsed="false">
      <c r="A10624" s="0" t="n">
        <f aca="false">PRICE(DATE(2024,1,30),DATE(2027,2,28),0.05,0.08,100,2,1)</f>
        <v>91.9390336702119</v>
      </c>
      <c r="B10624" s="0" t="s">
        <v>10588</v>
      </c>
    </row>
    <row r="10625" customFormat="false" ht="15" hidden="false" customHeight="false" outlineLevel="0" collapsed="false">
      <c r="A10625" s="0" t="n">
        <f aca="false">YIELD(DATE(2024,1,30),DATE(2027,2,28),0.05,95,100,2,1)</f>
        <v>0.0682398154511711</v>
      </c>
      <c r="B10625" s="0" t="s">
        <v>10589</v>
      </c>
    </row>
    <row r="10626" customFormat="false" ht="15" hidden="false" customHeight="false" outlineLevel="0" collapsed="false">
      <c r="A10626" s="0" t="n">
        <f aca="false">PRICEDISC(DATE(2024,1,30),DATE(2027,2,28),0.05,100,4)</f>
        <v>84.6111111111111</v>
      </c>
      <c r="B10626" s="0" t="s">
        <v>10590</v>
      </c>
    </row>
    <row r="10627" customFormat="false" ht="15" hidden="false" customHeight="false" outlineLevel="0" collapsed="false">
      <c r="A10627" s="0" t="n">
        <f aca="false">RECEIVED(DATE(2024,1,30),DATE(2027,2,28),1000,0.05,4)</f>
        <v>1181.87787261983</v>
      </c>
      <c r="B10627" s="0" t="s">
        <v>10591</v>
      </c>
    </row>
    <row r="10628" customFormat="false" ht="15" hidden="false" customHeight="false" outlineLevel="0" collapsed="false">
      <c r="A10628" s="0" t="n">
        <f aca="false">INTRATE(DATE(2024,1,30),DATE(2027,2,28),1000,1050,4)</f>
        <v>0.016245487364621</v>
      </c>
      <c r="B10628" s="0" t="s">
        <v>10592</v>
      </c>
    </row>
    <row r="10629" customFormat="false" ht="15" hidden="false" customHeight="false" outlineLevel="0" collapsed="false">
      <c r="A10629" s="0" t="n">
        <f aca="false">DISC(DATE(2024,1,30),DATE(2027,2,28),95,100,4)</f>
        <v>0.016245487364621</v>
      </c>
      <c r="B10629" s="0" t="s">
        <v>10593</v>
      </c>
    </row>
    <row r="10630" customFormat="false" ht="15" hidden="false" customHeight="false" outlineLevel="0" collapsed="false">
      <c r="A10630" s="0" t="n">
        <f aca="false">YIELDDISC(DATE(2024,1,30),DATE(2027,2,28),95,100,4)</f>
        <v>0.0171005130153904</v>
      </c>
      <c r="B10630" s="0" t="s">
        <v>10594</v>
      </c>
    </row>
    <row r="10631" customFormat="false" ht="15" hidden="false" customHeight="false" outlineLevel="0" collapsed="false">
      <c r="A10631" s="0" t="n">
        <f aca="false">ACCRINTM(DATE(2024,1,30),DATE(2027,2,28),0.05,1000,4)</f>
        <v>153.888888888889</v>
      </c>
      <c r="B10631" s="0" t="s">
        <v>10595</v>
      </c>
    </row>
    <row r="10632" customFormat="false" ht="15" hidden="false" customHeight="false" outlineLevel="0" collapsed="false">
      <c r="A10632" s="0" t="n">
        <f aca="false">PRICEMAT(DATE(2024,1,30),DATE(2027,2,28),DATE(2023,1,31),0.05,0.06,4)</f>
        <v>96.6225848808854</v>
      </c>
      <c r="B10632" s="0" t="s">
        <v>10596</v>
      </c>
    </row>
    <row r="10633" customFormat="false" ht="15" hidden="false" customHeight="false" outlineLevel="0" collapsed="false">
      <c r="A10633" s="0" t="n">
        <f aca="false">YIELDMAT(DATE(2024,1,30),DATE(2027,2,28),DATE(2023,1,31),0.05,98,4)</f>
        <v>0.0548526164522799</v>
      </c>
      <c r="B10633" s="0" t="s">
        <v>10597</v>
      </c>
    </row>
    <row r="10634" customFormat="false" ht="15" hidden="false" customHeight="false" outlineLevel="0" collapsed="false">
      <c r="A10634" s="0" t="n">
        <f aca="false">ACCRINT(DATE(2024,1,30),DATE(2030,1,1),DATE(2027,2,28),0.05,1000,2,4)</f>
        <v>153.888888888889</v>
      </c>
      <c r="B10634" s="0" t="s">
        <v>10598</v>
      </c>
    </row>
    <row r="10635" customFormat="false" ht="15" hidden="false" customHeight="false" outlineLevel="0" collapsed="false">
      <c r="A10635" s="0" t="n">
        <f aca="false">DURATION(DATE(2024,1,30),DATE(2027,2,28),0.05,0.08,2,4)</f>
        <v>2.81751376281457</v>
      </c>
      <c r="B10635" s="0" t="s">
        <v>10599</v>
      </c>
    </row>
    <row r="10636" customFormat="false" ht="15" hidden="false" customHeight="false" outlineLevel="0" collapsed="false">
      <c r="A10636" s="0" t="n">
        <f aca="false">PRICE(DATE(2024,1,30),DATE(2027,2,28),0.05,0.08,100,2,4)</f>
        <v>91.9368584478332</v>
      </c>
      <c r="B10636" s="0" t="s">
        <v>10600</v>
      </c>
    </row>
    <row r="10637" customFormat="false" ht="15" hidden="false" customHeight="false" outlineLevel="0" collapsed="false">
      <c r="A10637" s="0" t="n">
        <f aca="false">YIELD(DATE(2024,1,30),DATE(2027,2,28),0.05,95,100,2,4)</f>
        <v>0.0682345927979648</v>
      </c>
      <c r="B10637" s="0" t="s">
        <v>10601</v>
      </c>
    </row>
    <row r="10638" customFormat="false" ht="15" hidden="false" customHeight="false" outlineLevel="0" collapsed="false">
      <c r="A10638" s="0" t="n">
        <f aca="false">TBILLPRICE(DATE(2024,1,30),DATE(2027,2,28),0.05)</f>
        <v>84.5694444444444</v>
      </c>
      <c r="B10638" s="0" t="s">
        <v>10602</v>
      </c>
    </row>
    <row r="10639" customFormat="false" ht="15" hidden="false" customHeight="false" outlineLevel="0" collapsed="false">
      <c r="A10639" s="0" t="e">
        <f aca="false">TBILLEQ(DATE(2024,1,30),DATE(2027,2,28),0.05)</f>
        <v>#VALUE!</v>
      </c>
      <c r="B10639" s="0" t="s">
        <v>10603</v>
      </c>
    </row>
    <row r="10640" customFormat="false" ht="15" hidden="false" customHeight="false" outlineLevel="0" collapsed="false">
      <c r="A10640" s="0" t="e">
        <f aca="false">TBILLYIELD(DATE(2024,1,30),DATE(2027,2,28),98)</f>
        <v>#VALUE!</v>
      </c>
      <c r="B10640" s="0" t="s">
        <v>10604</v>
      </c>
    </row>
    <row r="10641" customFormat="false" ht="15" hidden="false" customHeight="false" outlineLevel="0" collapsed="false">
      <c r="A10641" s="0" t="n">
        <f aca="false">PRICEDISC(DATE(2024,1,30),DATE(2025,1,30),0.05,100,0)</f>
        <v>95</v>
      </c>
      <c r="B10641" s="0" t="s">
        <v>10605</v>
      </c>
    </row>
    <row r="10642" customFormat="false" ht="15" hidden="false" customHeight="false" outlineLevel="0" collapsed="false">
      <c r="A10642" s="0" t="n">
        <f aca="false">RECEIVED(DATE(2024,1,30),DATE(2025,1,30),1000,0.05,0)</f>
        <v>1052.63157894737</v>
      </c>
      <c r="B10642" s="0" t="s">
        <v>10606</v>
      </c>
    </row>
    <row r="10643" customFormat="false" ht="15" hidden="false" customHeight="false" outlineLevel="0" collapsed="false">
      <c r="A10643" s="0" t="n">
        <f aca="false">INTRATE(DATE(2024,1,30),DATE(2025,1,30),1000,1050,0)</f>
        <v>0.05</v>
      </c>
      <c r="B10643" s="0" t="s">
        <v>10607</v>
      </c>
    </row>
    <row r="10644" customFormat="false" ht="15" hidden="false" customHeight="false" outlineLevel="0" collapsed="false">
      <c r="A10644" s="0" t="n">
        <f aca="false">DISC(DATE(2024,1,30),DATE(2025,1,30),95,100,0)</f>
        <v>0.05</v>
      </c>
      <c r="B10644" s="0" t="s">
        <v>10608</v>
      </c>
    </row>
    <row r="10645" customFormat="false" ht="15" hidden="false" customHeight="false" outlineLevel="0" collapsed="false">
      <c r="A10645" s="0" t="n">
        <f aca="false">YIELDDISC(DATE(2024,1,30),DATE(2025,1,30),95,100,0)</f>
        <v>0.0526315789473684</v>
      </c>
      <c r="B10645" s="0" t="s">
        <v>10609</v>
      </c>
    </row>
    <row r="10646" customFormat="false" ht="15" hidden="false" customHeight="false" outlineLevel="0" collapsed="false">
      <c r="A10646" s="0" t="n">
        <f aca="false">ACCRINTM(DATE(2024,1,30),DATE(2025,1,30),0.05,1000,0)</f>
        <v>50</v>
      </c>
      <c r="B10646" s="0" t="s">
        <v>10610</v>
      </c>
    </row>
    <row r="10647" customFormat="false" ht="15" hidden="false" customHeight="false" outlineLevel="0" collapsed="false">
      <c r="A10647" s="0" t="n">
        <f aca="false">PRICEMAT(DATE(2024,1,30),DATE(2025,1,30),DATE(2023,1,31),0.05,0.06,0)</f>
        <v>98.7735849056604</v>
      </c>
      <c r="B10647" s="0" t="s">
        <v>10611</v>
      </c>
    </row>
    <row r="10648" customFormat="false" ht="15" hidden="false" customHeight="false" outlineLevel="0" collapsed="false">
      <c r="A10648" s="0" t="n">
        <f aca="false">YIELDMAT(DATE(2024,1,30),DATE(2025,1,30),DATE(2023,1,31),0.05,98,0)</f>
        <v>0.0679611650485437</v>
      </c>
      <c r="B10648" s="0" t="s">
        <v>10612</v>
      </c>
    </row>
    <row r="10649" customFormat="false" ht="15" hidden="false" customHeight="false" outlineLevel="0" collapsed="false">
      <c r="A10649" s="0" t="n">
        <f aca="false">ACCRINT(DATE(2024,1,30),DATE(2030,1,1),DATE(2025,1,30),0.05,1000,2,0)</f>
        <v>50</v>
      </c>
      <c r="B10649" s="0" t="s">
        <v>10613</v>
      </c>
    </row>
    <row r="10650" customFormat="false" ht="15" hidden="false" customHeight="false" outlineLevel="0" collapsed="false">
      <c r="A10650" s="0" t="n">
        <f aca="false">DURATION(DATE(2024,1,30),DATE(2025,1,30),0.05,0.08,2,0)</f>
        <v>0.987630827783064</v>
      </c>
      <c r="B10650" s="0" t="s">
        <v>10614</v>
      </c>
    </row>
    <row r="10651" customFormat="false" ht="15" hidden="false" customHeight="false" outlineLevel="0" collapsed="false">
      <c r="A10651" s="0" t="n">
        <f aca="false">PRICE(DATE(2024,1,30),DATE(2025,1,30),0.05,0.08,100,2,0)</f>
        <v>97.1708579881657</v>
      </c>
      <c r="B10651" s="0" t="s">
        <v>10615</v>
      </c>
    </row>
    <row r="10652" customFormat="false" ht="15" hidden="false" customHeight="false" outlineLevel="0" collapsed="false">
      <c r="A10652" s="0" t="n">
        <f aca="false">YIELD(DATE(2024,1,30),DATE(2025,1,30),0.05,95,100,2,0)</f>
        <v>0.103930285586916</v>
      </c>
      <c r="B10652" s="0" t="s">
        <v>10616</v>
      </c>
    </row>
    <row r="10653" customFormat="false" ht="15" hidden="false" customHeight="false" outlineLevel="0" collapsed="false">
      <c r="A10653" s="0" t="n">
        <f aca="false">PRICEDISC(DATE(2024,1,30),DATE(2025,1,30),0.05,100,1)</f>
        <v>95</v>
      </c>
      <c r="B10653" s="0" t="s">
        <v>10617</v>
      </c>
    </row>
    <row r="10654" customFormat="false" ht="15" hidden="false" customHeight="false" outlineLevel="0" collapsed="false">
      <c r="A10654" s="0" t="n">
        <f aca="false">RECEIVED(DATE(2024,1,30),DATE(2025,1,30),1000,0.05,1)</f>
        <v>1052.63157894737</v>
      </c>
      <c r="B10654" s="0" t="s">
        <v>10618</v>
      </c>
    </row>
    <row r="10655" customFormat="false" ht="15" hidden="false" customHeight="false" outlineLevel="0" collapsed="false">
      <c r="A10655" s="0" t="n">
        <f aca="false">INTRATE(DATE(2024,1,30),DATE(2025,1,30),1000,1050,1)</f>
        <v>0.05</v>
      </c>
      <c r="B10655" s="0" t="s">
        <v>10619</v>
      </c>
    </row>
    <row r="10656" customFormat="false" ht="15" hidden="false" customHeight="false" outlineLevel="0" collapsed="false">
      <c r="A10656" s="0" t="n">
        <f aca="false">DISC(DATE(2024,1,30),DATE(2025,1,30),95,100,1)</f>
        <v>0.05</v>
      </c>
      <c r="B10656" s="0" t="s">
        <v>10620</v>
      </c>
    </row>
    <row r="10657" customFormat="false" ht="15" hidden="false" customHeight="false" outlineLevel="0" collapsed="false">
      <c r="A10657" s="0" t="n">
        <f aca="false">YIELDDISC(DATE(2024,1,30),DATE(2025,1,30),95,100,1)</f>
        <v>0.0526315789473684</v>
      </c>
      <c r="B10657" s="0" t="s">
        <v>10621</v>
      </c>
    </row>
    <row r="10658" customFormat="false" ht="15" hidden="false" customHeight="false" outlineLevel="0" collapsed="false">
      <c r="A10658" s="0" t="n">
        <f aca="false">ACCRINTM(DATE(2024,1,30),DATE(2025,1,30),0.05,1000,1)</f>
        <v>50</v>
      </c>
      <c r="B10658" s="0" t="s">
        <v>10622</v>
      </c>
    </row>
    <row r="10659" customFormat="false" ht="15" hidden="false" customHeight="false" outlineLevel="0" collapsed="false">
      <c r="A10659" s="0" t="n">
        <f aca="false">PRICEMAT(DATE(2024,1,30),DATE(2025,1,30),DATE(2023,1,31),0.05,0.06,1)</f>
        <v>98.7786759059943</v>
      </c>
      <c r="B10659" s="0" t="s">
        <v>10623</v>
      </c>
    </row>
    <row r="10660" customFormat="false" ht="15" hidden="false" customHeight="false" outlineLevel="0" collapsed="false">
      <c r="A10660" s="0" t="n">
        <f aca="false">YIELDMAT(DATE(2024,1,30),DATE(2025,1,30),DATE(2023,1,31),0.05,98,1)</f>
        <v>0.0680146237836978</v>
      </c>
      <c r="B10660" s="0" t="s">
        <v>10624</v>
      </c>
    </row>
    <row r="10661" customFormat="false" ht="15" hidden="false" customHeight="false" outlineLevel="0" collapsed="false">
      <c r="A10661" s="0" t="n">
        <f aca="false">ACCRINT(DATE(2024,1,30),DATE(2030,1,1),DATE(2025,1,30),0.05,1000,2,1)</f>
        <v>50</v>
      </c>
      <c r="B10661" s="0" t="s">
        <v>10625</v>
      </c>
    </row>
    <row r="10662" customFormat="false" ht="15" hidden="false" customHeight="false" outlineLevel="0" collapsed="false">
      <c r="A10662" s="0" t="n">
        <f aca="false">DURATION(DATE(2024,1,30),DATE(2025,1,30),0.05,0.08,2,1)</f>
        <v>0.987630827783064</v>
      </c>
      <c r="B10662" s="0" t="s">
        <v>10626</v>
      </c>
    </row>
    <row r="10663" customFormat="false" ht="15" hidden="false" customHeight="false" outlineLevel="0" collapsed="false">
      <c r="A10663" s="0" t="n">
        <f aca="false">PRICE(DATE(2024,1,30),DATE(2025,1,30),0.05,0.08,100,2,1)</f>
        <v>97.1708579881657</v>
      </c>
      <c r="B10663" s="0" t="s">
        <v>10627</v>
      </c>
    </row>
    <row r="10664" customFormat="false" ht="15" hidden="false" customHeight="false" outlineLevel="0" collapsed="false">
      <c r="A10664" s="0" t="n">
        <f aca="false">YIELD(DATE(2024,1,30),DATE(2025,1,30),0.05,95,100,2,1)</f>
        <v>0.103930285586916</v>
      </c>
      <c r="B10664" s="0" t="s">
        <v>10628</v>
      </c>
    </row>
    <row r="10665" customFormat="false" ht="15" hidden="false" customHeight="false" outlineLevel="0" collapsed="false">
      <c r="A10665" s="0" t="n">
        <f aca="false">PRICEDISC(DATE(2024,1,30),DATE(2025,1,30),0.05,100,4)</f>
        <v>95</v>
      </c>
      <c r="B10665" s="0" t="s">
        <v>10629</v>
      </c>
    </row>
    <row r="10666" customFormat="false" ht="15" hidden="false" customHeight="false" outlineLevel="0" collapsed="false">
      <c r="A10666" s="0" t="n">
        <f aca="false">RECEIVED(DATE(2024,1,30),DATE(2025,1,30),1000,0.05,4)</f>
        <v>1052.63157894737</v>
      </c>
      <c r="B10666" s="0" t="s">
        <v>10630</v>
      </c>
    </row>
    <row r="10667" customFormat="false" ht="15" hidden="false" customHeight="false" outlineLevel="0" collapsed="false">
      <c r="A10667" s="0" t="n">
        <f aca="false">INTRATE(DATE(2024,1,30),DATE(2025,1,30),1000,1050,4)</f>
        <v>0.05</v>
      </c>
      <c r="B10667" s="0" t="s">
        <v>10631</v>
      </c>
    </row>
    <row r="10668" customFormat="false" ht="15" hidden="false" customHeight="false" outlineLevel="0" collapsed="false">
      <c r="A10668" s="0" t="n">
        <f aca="false">DISC(DATE(2024,1,30),DATE(2025,1,30),95,100,4)</f>
        <v>0.05</v>
      </c>
      <c r="B10668" s="0" t="s">
        <v>10632</v>
      </c>
    </row>
    <row r="10669" customFormat="false" ht="15" hidden="false" customHeight="false" outlineLevel="0" collapsed="false">
      <c r="A10669" s="0" t="n">
        <f aca="false">YIELDDISC(DATE(2024,1,30),DATE(2025,1,30),95,100,4)</f>
        <v>0.0526315789473684</v>
      </c>
      <c r="B10669" s="0" t="s">
        <v>10633</v>
      </c>
    </row>
    <row r="10670" customFormat="false" ht="15" hidden="false" customHeight="false" outlineLevel="0" collapsed="false">
      <c r="A10670" s="0" t="n">
        <f aca="false">ACCRINTM(DATE(2024,1,30),DATE(2025,1,30),0.05,1000,4)</f>
        <v>50</v>
      </c>
      <c r="B10670" s="0" t="s">
        <v>10634</v>
      </c>
    </row>
    <row r="10671" customFormat="false" ht="15" hidden="false" customHeight="false" outlineLevel="0" collapsed="false">
      <c r="A10671" s="0" t="n">
        <f aca="false">PRICEMAT(DATE(2024,1,30),DATE(2025,1,30),DATE(2023,1,31),0.05,0.06,4)</f>
        <v>98.7735849056604</v>
      </c>
      <c r="B10671" s="0" t="s">
        <v>10635</v>
      </c>
    </row>
    <row r="10672" customFormat="false" ht="15" hidden="false" customHeight="false" outlineLevel="0" collapsed="false">
      <c r="A10672" s="0" t="n">
        <f aca="false">YIELDMAT(DATE(2024,1,30),DATE(2025,1,30),DATE(2023,1,31),0.05,98,4)</f>
        <v>0.0679611650485437</v>
      </c>
      <c r="B10672" s="0" t="s">
        <v>10636</v>
      </c>
    </row>
    <row r="10673" customFormat="false" ht="15" hidden="false" customHeight="false" outlineLevel="0" collapsed="false">
      <c r="A10673" s="0" t="n">
        <f aca="false">ACCRINT(DATE(2024,1,30),DATE(2030,1,1),DATE(2025,1,30),0.05,1000,2,4)</f>
        <v>50</v>
      </c>
      <c r="B10673" s="0" t="s">
        <v>10637</v>
      </c>
    </row>
    <row r="10674" customFormat="false" ht="15" hidden="false" customHeight="false" outlineLevel="0" collapsed="false">
      <c r="A10674" s="0" t="n">
        <f aca="false">DURATION(DATE(2024,1,30),DATE(2025,1,30),0.05,0.08,2,4)</f>
        <v>0.987630827783064</v>
      </c>
      <c r="B10674" s="0" t="s">
        <v>10638</v>
      </c>
    </row>
    <row r="10675" customFormat="false" ht="15" hidden="false" customHeight="false" outlineLevel="0" collapsed="false">
      <c r="A10675" s="0" t="n">
        <f aca="false">PRICE(DATE(2024,1,30),DATE(2025,1,30),0.05,0.08,100,2,4)</f>
        <v>97.1708579881657</v>
      </c>
      <c r="B10675" s="0" t="s">
        <v>10639</v>
      </c>
    </row>
    <row r="10676" customFormat="false" ht="15" hidden="false" customHeight="false" outlineLevel="0" collapsed="false">
      <c r="A10676" s="0" t="n">
        <f aca="false">YIELD(DATE(2024,1,30),DATE(2025,1,30),0.05,95,100,2,4)</f>
        <v>0.103930285586916</v>
      </c>
      <c r="B10676" s="0" t="s">
        <v>10640</v>
      </c>
    </row>
    <row r="10677" customFormat="false" ht="15" hidden="false" customHeight="false" outlineLevel="0" collapsed="false">
      <c r="A10677" s="0" t="e">
        <f aca="false">TBILLPRICE(DATE(2024,1,30),DATE(2025,1,30),0.05)</f>
        <v>#VALUE!</v>
      </c>
      <c r="B10677" s="0" t="s">
        <v>10641</v>
      </c>
    </row>
    <row r="10678" customFormat="false" ht="15" hidden="false" customHeight="false" outlineLevel="0" collapsed="false">
      <c r="A10678" s="0" t="n">
        <f aca="false">TBILLEQ(DATE(2024,1,30),DATE(2025,1,30),0.05)</f>
        <v>0.0533625730994152</v>
      </c>
      <c r="B10678" s="0" t="s">
        <v>10642</v>
      </c>
    </row>
    <row r="10679" customFormat="false" ht="15" hidden="false" customHeight="false" outlineLevel="0" collapsed="false">
      <c r="A10679" s="0" t="e">
        <f aca="false">TBILLYIELD(DATE(2024,1,30),DATE(2025,1,30),98)</f>
        <v>#VALUE!</v>
      </c>
      <c r="B10679" s="0" t="s">
        <v>10643</v>
      </c>
    </row>
    <row r="10680" customFormat="false" ht="15" hidden="false" customHeight="false" outlineLevel="0" collapsed="false">
      <c r="A10680" s="0" t="n">
        <f aca="false">PRICEDISC(DATE(2024,1,30),DATE(2024,12,31),0.05,100,0)</f>
        <v>95.4027777777778</v>
      </c>
      <c r="B10680" s="0" t="s">
        <v>10644</v>
      </c>
    </row>
    <row r="10681" customFormat="false" ht="15" hidden="false" customHeight="false" outlineLevel="0" collapsed="false">
      <c r="A10681" s="0" t="n">
        <f aca="false">RECEIVED(DATE(2024,1,30),DATE(2024,12,31),1000,0.05,0)</f>
        <v>1048.18750909885</v>
      </c>
      <c r="B10681" s="0" t="s">
        <v>10645</v>
      </c>
    </row>
    <row r="10682" customFormat="false" ht="15" hidden="false" customHeight="false" outlineLevel="0" collapsed="false">
      <c r="A10682" s="0" t="n">
        <f aca="false">INTRATE(DATE(2024,1,30),DATE(2024,12,31),1000,1050,0)</f>
        <v>0.054380664652568</v>
      </c>
      <c r="B10682" s="0" t="s">
        <v>10646</v>
      </c>
    </row>
    <row r="10683" customFormat="false" ht="15" hidden="false" customHeight="false" outlineLevel="0" collapsed="false">
      <c r="A10683" s="0" t="n">
        <f aca="false">DISC(DATE(2024,1,30),DATE(2024,12,31),95,100,0)</f>
        <v>0.0545454545454546</v>
      </c>
      <c r="B10683" s="0" t="s">
        <v>10647</v>
      </c>
    </row>
    <row r="10684" customFormat="false" ht="15" hidden="false" customHeight="false" outlineLevel="0" collapsed="false">
      <c r="A10684" s="0" t="n">
        <f aca="false">YIELDDISC(DATE(2024,1,30),DATE(2024,12,31),95,100,0)</f>
        <v>0.0574162679425837</v>
      </c>
      <c r="B10684" s="0" t="s">
        <v>10648</v>
      </c>
    </row>
    <row r="10685" customFormat="false" ht="15" hidden="false" customHeight="false" outlineLevel="0" collapsed="false">
      <c r="A10685" s="0" t="n">
        <f aca="false">ACCRINTM(DATE(2024,1,30),DATE(2024,12,31),0.05,1000,0)</f>
        <v>45.9722222222222</v>
      </c>
      <c r="B10685" s="0" t="s">
        <v>10649</v>
      </c>
    </row>
    <row r="10686" customFormat="false" ht="15" hidden="false" customHeight="false" outlineLevel="0" collapsed="false">
      <c r="A10686" s="0" t="n">
        <f aca="false">PRICEMAT(DATE(2024,1,30),DATE(2024,12,31),DATE(2023,1,31),0.05,0.06,0)</f>
        <v>98.870458135861</v>
      </c>
      <c r="B10686" s="0" t="s">
        <v>10650</v>
      </c>
    </row>
    <row r="10687" customFormat="false" ht="15" hidden="false" customHeight="false" outlineLevel="0" collapsed="false">
      <c r="A10687" s="0" t="n">
        <f aca="false">YIELDMAT(DATE(2024,1,30),DATE(2024,12,31),DATE(2023,1,31),0.05,98,0)</f>
        <v>0.0697263901147398</v>
      </c>
      <c r="B10687" s="0" t="s">
        <v>10651</v>
      </c>
    </row>
    <row r="10688" customFormat="false" ht="15" hidden="false" customHeight="false" outlineLevel="0" collapsed="false">
      <c r="A10688" s="0" t="n">
        <f aca="false">ACCRINT(DATE(2024,1,30),DATE(2030,1,1),DATE(2024,12,31),0.05,1000,2,0)</f>
        <v>45.9722222222222</v>
      </c>
      <c r="B10688" s="0" t="s">
        <v>10652</v>
      </c>
    </row>
    <row r="10689" customFormat="false" ht="15" hidden="false" customHeight="false" outlineLevel="0" collapsed="false">
      <c r="A10689" s="0" t="n">
        <f aca="false">DURATION(DATE(2024,1,30),DATE(2024,12,31),0.05,0.08,2,0)</f>
        <v>0.90429749444973</v>
      </c>
      <c r="B10689" s="0" t="s">
        <v>10653</v>
      </c>
    </row>
    <row r="10690" customFormat="false" ht="15" hidden="false" customHeight="false" outlineLevel="0" collapsed="false">
      <c r="A10690" s="0" t="n">
        <f aca="false">PRICE(DATE(2024,1,30),DATE(2024,12,31),0.05,0.08,100,2,0)</f>
        <v>97.3914569446798</v>
      </c>
      <c r="B10690" s="0" t="s">
        <v>10654</v>
      </c>
    </row>
    <row r="10691" customFormat="false" ht="15" hidden="false" customHeight="false" outlineLevel="0" collapsed="false">
      <c r="A10691" s="0" t="n">
        <f aca="false">YIELD(DATE(2024,1,30),DATE(2024,12,31),0.05,95,100,2,0)</f>
        <v>0.10866747907443</v>
      </c>
      <c r="B10691" s="0" t="s">
        <v>10655</v>
      </c>
    </row>
    <row r="10692" customFormat="false" ht="15" hidden="false" customHeight="false" outlineLevel="0" collapsed="false">
      <c r="A10692" s="0" t="n">
        <f aca="false">PRICEDISC(DATE(2024,1,30),DATE(2024,12,31),0.05,100,1)</f>
        <v>95.4098360655738</v>
      </c>
      <c r="B10692" s="0" t="s">
        <v>10656</v>
      </c>
    </row>
    <row r="10693" customFormat="false" ht="15" hidden="false" customHeight="false" outlineLevel="0" collapsed="false">
      <c r="A10693" s="0" t="n">
        <f aca="false">RECEIVED(DATE(2024,1,30),DATE(2024,12,31),1000,0.05,1)</f>
        <v>1048.10996563574</v>
      </c>
      <c r="B10693" s="0" t="s">
        <v>10657</v>
      </c>
    </row>
    <row r="10694" customFormat="false" ht="15" hidden="false" customHeight="false" outlineLevel="0" collapsed="false">
      <c r="A10694" s="0" t="n">
        <f aca="false">INTRATE(DATE(2024,1,30),DATE(2024,12,31),1000,1050,1)</f>
        <v>0.0544642857142858</v>
      </c>
      <c r="B10694" s="0" t="s">
        <v>10658</v>
      </c>
    </row>
    <row r="10695" customFormat="false" ht="15" hidden="false" customHeight="false" outlineLevel="0" collapsed="false">
      <c r="A10695" s="0" t="n">
        <f aca="false">DISC(DATE(2024,1,30),DATE(2024,12,31),95,100,1)</f>
        <v>0.0544642857142858</v>
      </c>
      <c r="B10695" s="0" t="s">
        <v>10659</v>
      </c>
    </row>
    <row r="10696" customFormat="false" ht="15" hidden="false" customHeight="false" outlineLevel="0" collapsed="false">
      <c r="A10696" s="0" t="n">
        <f aca="false">YIELDDISC(DATE(2024,1,30),DATE(2024,12,31),95,100,1)</f>
        <v>0.0573308270676691</v>
      </c>
      <c r="B10696" s="0" t="s">
        <v>10660</v>
      </c>
    </row>
    <row r="10697" customFormat="false" ht="15" hidden="false" customHeight="false" outlineLevel="0" collapsed="false">
      <c r="A10697" s="0" t="n">
        <f aca="false">ACCRINTM(DATE(2024,1,30),DATE(2024,12,31),0.05,1000,1)</f>
        <v>45.9016393442623</v>
      </c>
      <c r="B10697" s="0" t="s">
        <v>10661</v>
      </c>
    </row>
    <row r="10698" customFormat="false" ht="15" hidden="false" customHeight="false" outlineLevel="0" collapsed="false">
      <c r="A10698" s="0" t="n">
        <f aca="false">PRICEMAT(DATE(2024,1,30),DATE(2024,12,31),DATE(2023,1,31),0.05,0.06,1)</f>
        <v>98.8690641824892</v>
      </c>
      <c r="B10698" s="0" t="s">
        <v>10662</v>
      </c>
    </row>
    <row r="10699" customFormat="false" ht="15" hidden="false" customHeight="false" outlineLevel="0" collapsed="false">
      <c r="A10699" s="0" t="n">
        <f aca="false">YIELDMAT(DATE(2024,1,30),DATE(2024,12,31),DATE(2023,1,31),0.05,98,1)</f>
        <v>0.0696984068409746</v>
      </c>
      <c r="B10699" s="0" t="s">
        <v>10663</v>
      </c>
    </row>
    <row r="10700" customFormat="false" ht="15" hidden="false" customHeight="false" outlineLevel="0" collapsed="false">
      <c r="A10700" s="0" t="n">
        <f aca="false">ACCRINT(DATE(2024,1,30),DATE(2030,1,1),DATE(2024,12,31),0.05,1000,2,1)</f>
        <v>45.9016393442623</v>
      </c>
      <c r="B10700" s="0" t="s">
        <v>10664</v>
      </c>
    </row>
    <row r="10701" customFormat="false" ht="15" hidden="false" customHeight="false" outlineLevel="0" collapsed="false">
      <c r="A10701" s="0" t="n">
        <f aca="false">DURATION(DATE(2024,1,30),DATE(2024,12,31),0.05,0.08,2,1)</f>
        <v>0.90566361466831</v>
      </c>
      <c r="B10701" s="0" t="s">
        <v>10665</v>
      </c>
    </row>
    <row r="10702" customFormat="false" ht="15" hidden="false" customHeight="false" outlineLevel="0" collapsed="false">
      <c r="A10702" s="0" t="n">
        <f aca="false">PRICE(DATE(2024,1,30),DATE(2024,12,31),0.05,0.08,100,2,1)</f>
        <v>97.3890101194336</v>
      </c>
      <c r="B10702" s="0" t="s">
        <v>10666</v>
      </c>
    </row>
    <row r="10703" customFormat="false" ht="15" hidden="false" customHeight="false" outlineLevel="0" collapsed="false">
      <c r="A10703" s="0" t="n">
        <f aca="false">YIELD(DATE(2024,1,30),DATE(2024,12,31),0.05,95,100,2,1)</f>
        <v>0.108610496478439</v>
      </c>
      <c r="B10703" s="0" t="s">
        <v>10667</v>
      </c>
    </row>
    <row r="10704" customFormat="false" ht="15" hidden="false" customHeight="false" outlineLevel="0" collapsed="false">
      <c r="A10704" s="0" t="n">
        <f aca="false">PRICEDISC(DATE(2024,1,30),DATE(2024,12,31),0.05,100,4)</f>
        <v>95.4027777777778</v>
      </c>
      <c r="B10704" s="0" t="s">
        <v>10668</v>
      </c>
    </row>
    <row r="10705" customFormat="false" ht="15" hidden="false" customHeight="false" outlineLevel="0" collapsed="false">
      <c r="A10705" s="0" t="n">
        <f aca="false">RECEIVED(DATE(2024,1,30),DATE(2024,12,31),1000,0.05,4)</f>
        <v>1048.18750909885</v>
      </c>
      <c r="B10705" s="0" t="s">
        <v>10669</v>
      </c>
    </row>
    <row r="10706" customFormat="false" ht="15" hidden="false" customHeight="false" outlineLevel="0" collapsed="false">
      <c r="A10706" s="0" t="n">
        <f aca="false">INTRATE(DATE(2024,1,30),DATE(2024,12,31),1000,1050,4)</f>
        <v>0.054380664652568</v>
      </c>
      <c r="B10706" s="0" t="s">
        <v>10670</v>
      </c>
    </row>
    <row r="10707" customFormat="false" ht="15" hidden="false" customHeight="false" outlineLevel="0" collapsed="false">
      <c r="A10707" s="0" t="n">
        <f aca="false">DISC(DATE(2024,1,30),DATE(2024,12,31),95,100,4)</f>
        <v>0.0545454545454546</v>
      </c>
      <c r="B10707" s="0" t="s">
        <v>10671</v>
      </c>
    </row>
    <row r="10708" customFormat="false" ht="15" hidden="false" customHeight="false" outlineLevel="0" collapsed="false">
      <c r="A10708" s="0" t="n">
        <f aca="false">YIELDDISC(DATE(2024,1,30),DATE(2024,12,31),95,100,4)</f>
        <v>0.0574162679425837</v>
      </c>
      <c r="B10708" s="0" t="s">
        <v>10672</v>
      </c>
    </row>
    <row r="10709" customFormat="false" ht="15" hidden="false" customHeight="false" outlineLevel="0" collapsed="false">
      <c r="A10709" s="0" t="n">
        <f aca="false">ACCRINTM(DATE(2024,1,30),DATE(2024,12,31),0.05,1000,4)</f>
        <v>45.9722222222222</v>
      </c>
      <c r="B10709" s="0" t="s">
        <v>10673</v>
      </c>
    </row>
    <row r="10710" customFormat="false" ht="15" hidden="false" customHeight="false" outlineLevel="0" collapsed="false">
      <c r="A10710" s="0" t="n">
        <f aca="false">PRICEMAT(DATE(2024,1,30),DATE(2024,12,31),DATE(2023,1,31),0.05,0.06,4)</f>
        <v>98.870458135861</v>
      </c>
      <c r="B10710" s="0" t="s">
        <v>10674</v>
      </c>
    </row>
    <row r="10711" customFormat="false" ht="15" hidden="false" customHeight="false" outlineLevel="0" collapsed="false">
      <c r="A10711" s="0" t="n">
        <f aca="false">YIELDMAT(DATE(2024,1,30),DATE(2024,12,31),DATE(2023,1,31),0.05,98,4)</f>
        <v>0.0697263901147398</v>
      </c>
      <c r="B10711" s="0" t="s">
        <v>10675</v>
      </c>
    </row>
    <row r="10712" customFormat="false" ht="15" hidden="false" customHeight="false" outlineLevel="0" collapsed="false">
      <c r="A10712" s="0" t="n">
        <f aca="false">ACCRINT(DATE(2024,1,30),DATE(2030,1,1),DATE(2024,12,31),0.05,1000,2,4)</f>
        <v>45.9722222222222</v>
      </c>
      <c r="B10712" s="0" t="s">
        <v>10676</v>
      </c>
    </row>
    <row r="10713" customFormat="false" ht="15" hidden="false" customHeight="false" outlineLevel="0" collapsed="false">
      <c r="A10713" s="0" t="n">
        <f aca="false">DURATION(DATE(2024,1,30),DATE(2024,12,31),0.05,0.08,2,4)</f>
        <v>0.90429749444973</v>
      </c>
      <c r="B10713" s="0" t="s">
        <v>10677</v>
      </c>
    </row>
    <row r="10714" customFormat="false" ht="15" hidden="false" customHeight="false" outlineLevel="0" collapsed="false">
      <c r="A10714" s="0" t="n">
        <f aca="false">PRICE(DATE(2024,1,30),DATE(2024,12,31),0.05,0.08,100,2,4)</f>
        <v>97.3914569446798</v>
      </c>
      <c r="B10714" s="0" t="s">
        <v>10678</v>
      </c>
    </row>
    <row r="10715" customFormat="false" ht="15" hidden="false" customHeight="false" outlineLevel="0" collapsed="false">
      <c r="A10715" s="0" t="n">
        <f aca="false">YIELD(DATE(2024,1,30),DATE(2024,12,31),0.05,95,100,2,4)</f>
        <v>0.10866747907443</v>
      </c>
      <c r="B10715" s="0" t="s">
        <v>10679</v>
      </c>
    </row>
    <row r="10716" customFormat="false" ht="15" hidden="false" customHeight="false" outlineLevel="0" collapsed="false">
      <c r="A10716" s="0" t="n">
        <f aca="false">TBILLPRICE(DATE(2024,1,30),DATE(2024,12,31),0.05)</f>
        <v>95.4027777777778</v>
      </c>
      <c r="B10716" s="0" t="s">
        <v>10680</v>
      </c>
    </row>
    <row r="10717" customFormat="false" ht="15" hidden="false" customHeight="false" outlineLevel="0" collapsed="false">
      <c r="A10717" s="0" t="n">
        <f aca="false">TBILLEQ(DATE(2024,1,30),DATE(2024,12,31),0.05)</f>
        <v>0.0531372834473723</v>
      </c>
      <c r="B10717" s="0" t="s">
        <v>10681</v>
      </c>
    </row>
    <row r="10718" customFormat="false" ht="15" hidden="false" customHeight="false" outlineLevel="0" collapsed="false">
      <c r="A10718" s="0" t="n">
        <f aca="false">TBILLYIELD(DATE(2024,1,30),DATE(2024,12,31),98)</f>
        <v>0.0221961896541094</v>
      </c>
      <c r="B10718" s="0" t="s">
        <v>10682</v>
      </c>
    </row>
    <row r="10719" customFormat="false" ht="15" hidden="false" customHeight="false" outlineLevel="0" collapsed="false">
      <c r="A10719" s="0" t="n">
        <f aca="false">PRICEDISC(DATE(2024,1,31),DATE(2025,2,28),0.05,100,0)</f>
        <v>94.625</v>
      </c>
      <c r="B10719" s="0" t="s">
        <v>10683</v>
      </c>
    </row>
    <row r="10720" customFormat="false" ht="15" hidden="false" customHeight="false" outlineLevel="0" collapsed="false">
      <c r="A10720" s="0" t="n">
        <f aca="false">RECEIVED(DATE(2024,1,31),DATE(2025,2,28),1000,0.05,0)</f>
        <v>1056.80317040951</v>
      </c>
      <c r="B10720" s="0" t="s">
        <v>10684</v>
      </c>
    </row>
    <row r="10721" customFormat="false" ht="15" hidden="false" customHeight="false" outlineLevel="0" collapsed="false">
      <c r="A10721" s="0" t="n">
        <f aca="false">INTRATE(DATE(2024,1,31),DATE(2025,2,28),1000,1050,0)</f>
        <v>0.0465116279069768</v>
      </c>
      <c r="B10721" s="0" t="s">
        <v>10685</v>
      </c>
    </row>
    <row r="10722" customFormat="false" ht="15" hidden="false" customHeight="false" outlineLevel="0" collapsed="false">
      <c r="A10722" s="0" t="n">
        <f aca="false">DISC(DATE(2024,1,31),DATE(2025,2,28),95,100,0)</f>
        <v>0.0463917525773196</v>
      </c>
      <c r="B10722" s="0" t="s">
        <v>10686</v>
      </c>
    </row>
    <row r="10723" customFormat="false" ht="15" hidden="false" customHeight="false" outlineLevel="0" collapsed="false">
      <c r="A10723" s="0" t="n">
        <f aca="false">YIELDDISC(DATE(2024,1,31),DATE(2025,2,28),95,100,0)</f>
        <v>0.0488334237655995</v>
      </c>
      <c r="B10723" s="0" t="s">
        <v>10687</v>
      </c>
    </row>
    <row r="10724" customFormat="false" ht="15" hidden="false" customHeight="false" outlineLevel="0" collapsed="false">
      <c r="A10724" s="0" t="n">
        <f aca="false">ACCRINTM(DATE(2024,1,31),DATE(2025,2,28),0.05,1000,0)</f>
        <v>53.75</v>
      </c>
      <c r="B10724" s="0" t="s">
        <v>10688</v>
      </c>
    </row>
    <row r="10725" customFormat="false" ht="15" hidden="false" customHeight="false" outlineLevel="0" collapsed="false">
      <c r="A10725" s="0" t="n">
        <f aca="false">PRICEMAT(DATE(2024,1,31),DATE(2025,2,28),DATE(2023,1,31),0.05,0.06,0)</f>
        <v>98.6839908161136</v>
      </c>
      <c r="B10725" s="0" t="s">
        <v>10689</v>
      </c>
    </row>
    <row r="10726" customFormat="false" ht="15" hidden="false" customHeight="false" outlineLevel="0" collapsed="false">
      <c r="A10726" s="0" t="n">
        <f aca="false">YIELDMAT(DATE(2024,1,31),DATE(2025,2,28),DATE(2023,1,31),0.05,98,0)</f>
        <v>0.0665599039135221</v>
      </c>
      <c r="B10726" s="0" t="s">
        <v>10690</v>
      </c>
    </row>
    <row r="10727" customFormat="false" ht="15" hidden="false" customHeight="false" outlineLevel="0" collapsed="false">
      <c r="A10727" s="0" t="n">
        <f aca="false">ACCRINT(DATE(2024,1,31),DATE(2030,1,1),DATE(2025,2,28),0.05,1000,2,0)</f>
        <v>53.75</v>
      </c>
      <c r="B10727" s="0" t="s">
        <v>10691</v>
      </c>
    </row>
    <row r="10728" customFormat="false" ht="15" hidden="false" customHeight="false" outlineLevel="0" collapsed="false">
      <c r="A10728" s="0" t="n">
        <f aca="false">DURATION(DATE(2024,1,31),DATE(2025,2,28),0.05,0.08,2,0)</f>
        <v>1.04063629879741</v>
      </c>
      <c r="B10728" s="0" t="s">
        <v>10692</v>
      </c>
    </row>
    <row r="10729" customFormat="false" ht="15" hidden="false" customHeight="false" outlineLevel="0" collapsed="false">
      <c r="A10729" s="0" t="n">
        <f aca="false">PRICE(DATE(2024,1,31),DATE(2025,2,28),0.05,0.08,100,2,0)</f>
        <v>96.9381224468809</v>
      </c>
      <c r="B10729" s="0" t="s">
        <v>10693</v>
      </c>
    </row>
    <row r="10730" customFormat="false" ht="15" hidden="false" customHeight="false" outlineLevel="0" collapsed="false">
      <c r="A10730" s="0" t="n">
        <f aca="false">YIELD(DATE(2024,1,31),DATE(2025,2,28),0.05,95,100,2,0)</f>
        <v>0.0997483121460699</v>
      </c>
      <c r="B10730" s="0" t="s">
        <v>10694</v>
      </c>
    </row>
    <row r="10731" customFormat="false" ht="15" hidden="false" customHeight="false" outlineLevel="0" collapsed="false">
      <c r="A10731" s="0" t="n">
        <f aca="false">PRICEDISC(DATE(2024,1,31),DATE(2025,2,28),0.05,100,1)</f>
        <v>94.6174863387978</v>
      </c>
      <c r="B10731" s="0" t="s">
        <v>10695</v>
      </c>
    </row>
    <row r="10732" customFormat="false" ht="15" hidden="false" customHeight="false" outlineLevel="0" collapsed="false">
      <c r="A10732" s="0" t="n">
        <f aca="false">RECEIVED(DATE(2024,1,31),DATE(2025,2,28),1000,0.05,1)</f>
        <v>1056.88709211666</v>
      </c>
      <c r="B10732" s="0" t="s">
        <v>10696</v>
      </c>
    </row>
    <row r="10733" customFormat="false" ht="15" hidden="false" customHeight="false" outlineLevel="0" collapsed="false">
      <c r="A10733" s="0" t="n">
        <f aca="false">INTRATE(DATE(2024,1,31),DATE(2025,2,28),1000,1050,1)</f>
        <v>0.0464467005076143</v>
      </c>
      <c r="B10733" s="0" t="s">
        <v>10697</v>
      </c>
    </row>
    <row r="10734" customFormat="false" ht="15" hidden="false" customHeight="false" outlineLevel="0" collapsed="false">
      <c r="A10734" s="0" t="n">
        <f aca="false">DISC(DATE(2024,1,31),DATE(2025,2,28),95,100,1)</f>
        <v>0.0463832487309645</v>
      </c>
      <c r="B10734" s="0" t="s">
        <v>10698</v>
      </c>
    </row>
    <row r="10735" customFormat="false" ht="15" hidden="false" customHeight="false" outlineLevel="0" collapsed="false">
      <c r="A10735" s="0" t="n">
        <f aca="false">YIELDDISC(DATE(2024,1,31),DATE(2025,2,28),95,100,1)</f>
        <v>0.0488244723483836</v>
      </c>
      <c r="B10735" s="0" t="s">
        <v>10699</v>
      </c>
    </row>
    <row r="10736" customFormat="false" ht="15" hidden="false" customHeight="false" outlineLevel="0" collapsed="false">
      <c r="A10736" s="0" t="n">
        <f aca="false">ACCRINTM(DATE(2024,1,31),DATE(2025,2,28),0.05,1000,1)</f>
        <v>53.8251366120219</v>
      </c>
      <c r="B10736" s="0" t="s">
        <v>10700</v>
      </c>
    </row>
    <row r="10737" customFormat="false" ht="15" hidden="false" customHeight="false" outlineLevel="0" collapsed="false">
      <c r="A10737" s="0" t="n">
        <f aca="false">PRICEMAT(DATE(2024,1,31),DATE(2025,2,28),DATE(2023,1,31),0.05,0.06,1)</f>
        <v>98.6817888051098</v>
      </c>
      <c r="B10737" s="0" t="s">
        <v>10701</v>
      </c>
    </row>
    <row r="10738" customFormat="false" ht="15" hidden="false" customHeight="false" outlineLevel="0" collapsed="false">
      <c r="A10738" s="0" t="n">
        <f aca="false">YIELDMAT(DATE(2024,1,31),DATE(2025,2,28),DATE(2023,1,31),0.05,98,1)</f>
        <v>0.0665376594455778</v>
      </c>
      <c r="B10738" s="0" t="s">
        <v>10702</v>
      </c>
    </row>
    <row r="10739" customFormat="false" ht="15" hidden="false" customHeight="false" outlineLevel="0" collapsed="false">
      <c r="A10739" s="0" t="n">
        <f aca="false">ACCRINT(DATE(2024,1,31),DATE(2030,1,1),DATE(2025,2,28),0.05,1000,2,1)</f>
        <v>53.8251366120219</v>
      </c>
      <c r="B10739" s="0" t="s">
        <v>10703</v>
      </c>
    </row>
    <row r="10740" customFormat="false" ht="15" hidden="false" customHeight="false" outlineLevel="0" collapsed="false">
      <c r="A10740" s="0" t="n">
        <f aca="false">DURATION(DATE(2024,1,31),DATE(2025,2,28),0.05,0.08,2,1)</f>
        <v>1.04083389721662</v>
      </c>
      <c r="B10740" s="0" t="s">
        <v>10704</v>
      </c>
    </row>
    <row r="10741" customFormat="false" ht="15" hidden="false" customHeight="false" outlineLevel="0" collapsed="false">
      <c r="A10741" s="0" t="n">
        <f aca="false">PRICE(DATE(2024,1,31),DATE(2025,2,28),0.05,0.08,100,2,1)</f>
        <v>96.9482634733984</v>
      </c>
      <c r="B10741" s="0" t="s">
        <v>10705</v>
      </c>
    </row>
    <row r="10742" customFormat="false" ht="15" hidden="false" customHeight="false" outlineLevel="0" collapsed="false">
      <c r="A10742" s="0" t="n">
        <f aca="false">YIELD(DATE(2024,1,31),DATE(2025,2,28),0.05,95,100,2,1)</f>
        <v>0.099917518673759</v>
      </c>
      <c r="B10742" s="0" t="s">
        <v>10706</v>
      </c>
    </row>
    <row r="10743" customFormat="false" ht="15" hidden="false" customHeight="false" outlineLevel="0" collapsed="false">
      <c r="A10743" s="0" t="n">
        <f aca="false">PRICEDISC(DATE(2024,1,31),DATE(2025,2,28),0.05,100,4)</f>
        <v>94.625</v>
      </c>
      <c r="B10743" s="0" t="s">
        <v>10707</v>
      </c>
    </row>
    <row r="10744" customFormat="false" ht="15" hidden="false" customHeight="false" outlineLevel="0" collapsed="false">
      <c r="A10744" s="0" t="n">
        <f aca="false">RECEIVED(DATE(2024,1,31),DATE(2025,2,28),1000,0.05,4)</f>
        <v>1056.80317040951</v>
      </c>
      <c r="B10744" s="0" t="s">
        <v>10708</v>
      </c>
    </row>
    <row r="10745" customFormat="false" ht="15" hidden="false" customHeight="false" outlineLevel="0" collapsed="false">
      <c r="A10745" s="0" t="n">
        <f aca="false">INTRATE(DATE(2024,1,31),DATE(2025,2,28),1000,1050,4)</f>
        <v>0.0465116279069768</v>
      </c>
      <c r="B10745" s="0" t="s">
        <v>10709</v>
      </c>
    </row>
    <row r="10746" customFormat="false" ht="15" hidden="false" customHeight="false" outlineLevel="0" collapsed="false">
      <c r="A10746" s="0" t="n">
        <f aca="false">DISC(DATE(2024,1,31),DATE(2025,2,28),95,100,4)</f>
        <v>0.0463917525773196</v>
      </c>
      <c r="B10746" s="0" t="s">
        <v>10710</v>
      </c>
    </row>
    <row r="10747" customFormat="false" ht="15" hidden="false" customHeight="false" outlineLevel="0" collapsed="false">
      <c r="A10747" s="0" t="n">
        <f aca="false">YIELDDISC(DATE(2024,1,31),DATE(2025,2,28),95,100,4)</f>
        <v>0.0488334237655995</v>
      </c>
      <c r="B10747" s="0" t="s">
        <v>10711</v>
      </c>
    </row>
    <row r="10748" customFormat="false" ht="15" hidden="false" customHeight="false" outlineLevel="0" collapsed="false">
      <c r="A10748" s="0" t="n">
        <f aca="false">ACCRINTM(DATE(2024,1,31),DATE(2025,2,28),0.05,1000,4)</f>
        <v>53.75</v>
      </c>
      <c r="B10748" s="0" t="s">
        <v>10712</v>
      </c>
    </row>
    <row r="10749" customFormat="false" ht="15" hidden="false" customHeight="false" outlineLevel="0" collapsed="false">
      <c r="A10749" s="0" t="n">
        <f aca="false">PRICEMAT(DATE(2024,1,31),DATE(2025,2,28),DATE(2023,1,31),0.05,0.06,4)</f>
        <v>98.6839908161136</v>
      </c>
      <c r="B10749" s="0" t="s">
        <v>10713</v>
      </c>
    </row>
    <row r="10750" customFormat="false" ht="15" hidden="false" customHeight="false" outlineLevel="0" collapsed="false">
      <c r="A10750" s="0" t="n">
        <f aca="false">YIELDMAT(DATE(2024,1,31),DATE(2025,2,28),DATE(2023,1,31),0.05,98,4)</f>
        <v>0.0665599039135221</v>
      </c>
      <c r="B10750" s="0" t="s">
        <v>10714</v>
      </c>
    </row>
    <row r="10751" customFormat="false" ht="15" hidden="false" customHeight="false" outlineLevel="0" collapsed="false">
      <c r="A10751" s="0" t="n">
        <f aca="false">ACCRINT(DATE(2024,1,31),DATE(2030,1,1),DATE(2025,2,28),0.05,1000,2,4)</f>
        <v>53.75</v>
      </c>
      <c r="B10751" s="0" t="s">
        <v>10715</v>
      </c>
    </row>
    <row r="10752" customFormat="false" ht="15" hidden="false" customHeight="false" outlineLevel="0" collapsed="false">
      <c r="A10752" s="0" t="n">
        <f aca="false">DURATION(DATE(2024,1,31),DATE(2025,2,28),0.05,0.08,2,4)</f>
        <v>1.04063629879741</v>
      </c>
      <c r="B10752" s="0" t="s">
        <v>10716</v>
      </c>
    </row>
    <row r="10753" customFormat="false" ht="15" hidden="false" customHeight="false" outlineLevel="0" collapsed="false">
      <c r="A10753" s="0" t="n">
        <f aca="false">PRICE(DATE(2024,1,31),DATE(2025,2,28),0.05,0.08,100,2,4)</f>
        <v>96.9381224468809</v>
      </c>
      <c r="B10753" s="0" t="s">
        <v>10717</v>
      </c>
    </row>
    <row r="10754" customFormat="false" ht="15" hidden="false" customHeight="false" outlineLevel="0" collapsed="false">
      <c r="A10754" s="0" t="n">
        <f aca="false">YIELD(DATE(2024,1,31),DATE(2025,2,28),0.05,95,100,2,4)</f>
        <v>0.0997483121460699</v>
      </c>
      <c r="B10754" s="0" t="s">
        <v>10718</v>
      </c>
    </row>
    <row r="10755" customFormat="false" ht="15" hidden="false" customHeight="false" outlineLevel="0" collapsed="false">
      <c r="A10755" s="0" t="n">
        <f aca="false">TBILLPRICE(DATE(2024,1,31),DATE(2025,2,28),0.05)</f>
        <v>94.5694444444444</v>
      </c>
      <c r="B10755" s="0" t="s">
        <v>10719</v>
      </c>
    </row>
    <row r="10756" customFormat="false" ht="15" hidden="false" customHeight="false" outlineLevel="0" collapsed="false">
      <c r="A10756" s="0" t="e">
        <f aca="false">TBILLEQ(DATE(2024,1,31),DATE(2025,2,28),0.05)</f>
        <v>#VALUE!</v>
      </c>
      <c r="B10756" s="0" t="s">
        <v>10720</v>
      </c>
    </row>
    <row r="10757" customFormat="false" ht="15" hidden="false" customHeight="false" outlineLevel="0" collapsed="false">
      <c r="A10757" s="0" t="e">
        <f aca="false">TBILLYIELD(DATE(2024,1,31),DATE(2025,2,28),98)</f>
        <v>#VALUE!</v>
      </c>
      <c r="B10757" s="0" t="s">
        <v>10721</v>
      </c>
    </row>
    <row r="10758" customFormat="false" ht="15" hidden="false" customHeight="false" outlineLevel="0" collapsed="false">
      <c r="A10758" s="0" t="n">
        <f aca="false">PRICEDISC(DATE(2024,1,31),DATE(2025,3,31),0.05,100,0)</f>
        <v>94.1666666666667</v>
      </c>
      <c r="B10758" s="0" t="s">
        <v>10722</v>
      </c>
    </row>
    <row r="10759" customFormat="false" ht="15" hidden="false" customHeight="false" outlineLevel="0" collapsed="false">
      <c r="A10759" s="0" t="n">
        <f aca="false">RECEIVED(DATE(2024,1,31),DATE(2025,3,31),1000,0.05,0)</f>
        <v>1061.94690265487</v>
      </c>
      <c r="B10759" s="0" t="s">
        <v>10723</v>
      </c>
    </row>
    <row r="10760" customFormat="false" ht="15" hidden="false" customHeight="false" outlineLevel="0" collapsed="false">
      <c r="A10760" s="0" t="n">
        <f aca="false">INTRATE(DATE(2024,1,31),DATE(2025,3,31),1000,1050,0)</f>
        <v>0.0428571428571429</v>
      </c>
      <c r="B10760" s="0" t="s">
        <v>10724</v>
      </c>
    </row>
    <row r="10761" customFormat="false" ht="15" hidden="false" customHeight="false" outlineLevel="0" collapsed="false">
      <c r="A10761" s="0" t="n">
        <f aca="false">DISC(DATE(2024,1,31),DATE(2025,3,31),95,100,0)</f>
        <v>0.0428571428571429</v>
      </c>
      <c r="B10761" s="0" t="s">
        <v>10725</v>
      </c>
    </row>
    <row r="10762" customFormat="false" ht="15" hidden="false" customHeight="false" outlineLevel="0" collapsed="false">
      <c r="A10762" s="0" t="n">
        <f aca="false">YIELDDISC(DATE(2024,1,31),DATE(2025,3,31),95,100,0)</f>
        <v>0.0451127819548872</v>
      </c>
      <c r="B10762" s="0" t="s">
        <v>10726</v>
      </c>
    </row>
    <row r="10763" customFormat="false" ht="15" hidden="false" customHeight="false" outlineLevel="0" collapsed="false">
      <c r="A10763" s="0" t="n">
        <f aca="false">ACCRINTM(DATE(2024,1,31),DATE(2025,3,31),0.05,1000,0)</f>
        <v>58.3333333333333</v>
      </c>
      <c r="B10763" s="0" t="s">
        <v>10727</v>
      </c>
    </row>
    <row r="10764" customFormat="false" ht="15" hidden="false" customHeight="false" outlineLevel="0" collapsed="false">
      <c r="A10764" s="0" t="n">
        <f aca="false">PRICEMAT(DATE(2024,1,31),DATE(2025,3,31),DATE(2023,1,31),0.05,0.06,0)</f>
        <v>98.582554517134</v>
      </c>
      <c r="B10764" s="0" t="s">
        <v>10728</v>
      </c>
    </row>
    <row r="10765" customFormat="false" ht="15" hidden="false" customHeight="false" outlineLevel="0" collapsed="false">
      <c r="A10765" s="0" t="n">
        <f aca="false">YIELDMAT(DATE(2024,1,31),DATE(2025,3,31),DATE(2023,1,31),0.05,98,0)</f>
        <v>0.0651872399445215</v>
      </c>
      <c r="B10765" s="0" t="s">
        <v>10729</v>
      </c>
    </row>
    <row r="10766" customFormat="false" ht="15" hidden="false" customHeight="false" outlineLevel="0" collapsed="false">
      <c r="A10766" s="0" t="n">
        <f aca="false">ACCRINT(DATE(2024,1,31),DATE(2030,1,1),DATE(2025,3,31),0.05,1000,2,0)</f>
        <v>58.3333333333333</v>
      </c>
      <c r="B10766" s="0" t="s">
        <v>10730</v>
      </c>
    </row>
    <row r="10767" customFormat="false" ht="15" hidden="false" customHeight="false" outlineLevel="0" collapsed="false">
      <c r="A10767" s="0" t="n">
        <f aca="false">DURATION(DATE(2024,1,31),DATE(2025,3,31),0.05,0.08,2,0)</f>
        <v>1.12952518768629</v>
      </c>
      <c r="B10767" s="0" t="s">
        <v>10731</v>
      </c>
    </row>
    <row r="10768" customFormat="false" ht="15" hidden="false" customHeight="false" outlineLevel="0" collapsed="false">
      <c r="A10768" s="0" t="n">
        <f aca="false">PRICE(DATE(2024,1,31),DATE(2025,3,31),0.05,0.08,100,2,0)</f>
        <v>96.7096180643942</v>
      </c>
      <c r="B10768" s="0" t="s">
        <v>10732</v>
      </c>
    </row>
    <row r="10769" customFormat="false" ht="15" hidden="false" customHeight="false" outlineLevel="0" collapsed="false">
      <c r="A10769" s="0" t="n">
        <f aca="false">YIELD(DATE(2024,1,31),DATE(2025,3,31),0.05,95,100,2,0)</f>
        <v>0.0962077633985789</v>
      </c>
      <c r="B10769" s="0" t="s">
        <v>10733</v>
      </c>
    </row>
    <row r="10770" customFormat="false" ht="15" hidden="false" customHeight="false" outlineLevel="0" collapsed="false">
      <c r="A10770" s="0" t="n">
        <f aca="false">PRICEDISC(DATE(2024,1,31),DATE(2025,3,31),0.05,100,1)</f>
        <v>94.1939890710383</v>
      </c>
      <c r="B10770" s="0" t="s">
        <v>10734</v>
      </c>
    </row>
    <row r="10771" customFormat="false" ht="15" hidden="false" customHeight="false" outlineLevel="0" collapsed="false">
      <c r="A10771" s="0" t="n">
        <f aca="false">RECEIVED(DATE(2024,1,31),DATE(2025,3,31),1000,0.05,1)</f>
        <v>1061.63886874547</v>
      </c>
      <c r="B10771" s="0" t="s">
        <v>10735</v>
      </c>
    </row>
    <row r="10772" customFormat="false" ht="15" hidden="false" customHeight="false" outlineLevel="0" collapsed="false">
      <c r="A10772" s="0" t="n">
        <f aca="false">INTRATE(DATE(2024,1,31),DATE(2025,3,31),1000,1050,1)</f>
        <v>0.0430588235294118</v>
      </c>
      <c r="B10772" s="0" t="s">
        <v>10736</v>
      </c>
    </row>
    <row r="10773" customFormat="false" ht="15" hidden="false" customHeight="false" outlineLevel="0" collapsed="false">
      <c r="A10773" s="0" t="n">
        <f aca="false">DISC(DATE(2024,1,31),DATE(2025,3,31),95,100,1)</f>
        <v>0.043</v>
      </c>
      <c r="B10773" s="0" t="s">
        <v>10737</v>
      </c>
    </row>
    <row r="10774" customFormat="false" ht="15" hidden="false" customHeight="false" outlineLevel="0" collapsed="false">
      <c r="A10774" s="0" t="n">
        <f aca="false">YIELDDISC(DATE(2024,1,31),DATE(2025,3,31),95,100,1)</f>
        <v>0.0452631578947368</v>
      </c>
      <c r="B10774" s="0" t="s">
        <v>10738</v>
      </c>
    </row>
    <row r="10775" customFormat="false" ht="15" hidden="false" customHeight="false" outlineLevel="0" collapsed="false">
      <c r="A10775" s="0" t="n">
        <f aca="false">ACCRINTM(DATE(2024,1,31),DATE(2025,3,31),0.05,1000,1)</f>
        <v>58.0601092896175</v>
      </c>
      <c r="B10775" s="0" t="s">
        <v>10739</v>
      </c>
    </row>
    <row r="10776" customFormat="false" ht="15" hidden="false" customHeight="false" outlineLevel="0" collapsed="false">
      <c r="A10776" s="0" t="n">
        <f aca="false">PRICEMAT(DATE(2024,1,31),DATE(2025,3,31),DATE(2023,1,31),0.05,0.06,1)</f>
        <v>98.5851713741669</v>
      </c>
      <c r="B10776" s="0" t="s">
        <v>10740</v>
      </c>
    </row>
    <row r="10777" customFormat="false" ht="15" hidden="false" customHeight="false" outlineLevel="0" collapsed="false">
      <c r="A10777" s="0" t="n">
        <f aca="false">YIELDMAT(DATE(2024,1,31),DATE(2025,3,31),DATE(2023,1,31),0.05,98,1)</f>
        <v>0.065226773439161</v>
      </c>
      <c r="B10777" s="0" t="s">
        <v>10741</v>
      </c>
    </row>
    <row r="10778" customFormat="false" ht="15" hidden="false" customHeight="false" outlineLevel="0" collapsed="false">
      <c r="A10778" s="0" t="n">
        <f aca="false">ACCRINT(DATE(2024,1,31),DATE(2030,1,1),DATE(2025,3,31),0.05,1000,2,1)</f>
        <v>58.0601092896175</v>
      </c>
      <c r="B10778" s="0" t="s">
        <v>10742</v>
      </c>
    </row>
    <row r="10779" customFormat="false" ht="15" hidden="false" customHeight="false" outlineLevel="0" collapsed="false">
      <c r="A10779" s="0" t="n">
        <f aca="false">DURATION(DATE(2024,1,31),DATE(2025,3,31),0.05,0.08,2,1)</f>
        <v>1.12564921869405</v>
      </c>
      <c r="B10779" s="0" t="s">
        <v>10743</v>
      </c>
    </row>
    <row r="10780" customFormat="false" ht="15" hidden="false" customHeight="false" outlineLevel="0" collapsed="false">
      <c r="A10780" s="0" t="n">
        <f aca="false">PRICE(DATE(2024,1,31),DATE(2025,3,31),0.05,0.08,100,2,1)</f>
        <v>96.7170432094245</v>
      </c>
      <c r="B10780" s="0" t="s">
        <v>10744</v>
      </c>
    </row>
    <row r="10781" customFormat="false" ht="15" hidden="false" customHeight="false" outlineLevel="0" collapsed="false">
      <c r="A10781" s="0" t="n">
        <f aca="false">YIELD(DATE(2024,1,31),DATE(2025,3,31),0.05,95,100,2,1)</f>
        <v>0.0963151733426592</v>
      </c>
      <c r="B10781" s="0" t="s">
        <v>10745</v>
      </c>
    </row>
    <row r="10782" customFormat="false" ht="15" hidden="false" customHeight="false" outlineLevel="0" collapsed="false">
      <c r="A10782" s="0" t="n">
        <f aca="false">PRICEDISC(DATE(2024,1,31),DATE(2025,3,31),0.05,100,4)</f>
        <v>94.1666666666667</v>
      </c>
      <c r="B10782" s="0" t="s">
        <v>10746</v>
      </c>
    </row>
    <row r="10783" customFormat="false" ht="15" hidden="false" customHeight="false" outlineLevel="0" collapsed="false">
      <c r="A10783" s="0" t="n">
        <f aca="false">RECEIVED(DATE(2024,1,31),DATE(2025,3,31),1000,0.05,4)</f>
        <v>1061.94690265487</v>
      </c>
      <c r="B10783" s="0" t="s">
        <v>10747</v>
      </c>
    </row>
    <row r="10784" customFormat="false" ht="15" hidden="false" customHeight="false" outlineLevel="0" collapsed="false">
      <c r="A10784" s="0" t="n">
        <f aca="false">INTRATE(DATE(2024,1,31),DATE(2025,3,31),1000,1050,4)</f>
        <v>0.0428571428571429</v>
      </c>
      <c r="B10784" s="0" t="s">
        <v>10748</v>
      </c>
    </row>
    <row r="10785" customFormat="false" ht="15" hidden="false" customHeight="false" outlineLevel="0" collapsed="false">
      <c r="A10785" s="0" t="n">
        <f aca="false">DISC(DATE(2024,1,31),DATE(2025,3,31),95,100,4)</f>
        <v>0.0428571428571429</v>
      </c>
      <c r="B10785" s="0" t="s">
        <v>10749</v>
      </c>
    </row>
    <row r="10786" customFormat="false" ht="15" hidden="false" customHeight="false" outlineLevel="0" collapsed="false">
      <c r="A10786" s="0" t="n">
        <f aca="false">YIELDDISC(DATE(2024,1,31),DATE(2025,3,31),95,100,4)</f>
        <v>0.0451127819548872</v>
      </c>
      <c r="B10786" s="0" t="s">
        <v>10750</v>
      </c>
    </row>
    <row r="10787" customFormat="false" ht="15" hidden="false" customHeight="false" outlineLevel="0" collapsed="false">
      <c r="A10787" s="0" t="n">
        <f aca="false">ACCRINTM(DATE(2024,1,31),DATE(2025,3,31),0.05,1000,4)</f>
        <v>58.3333333333333</v>
      </c>
      <c r="B10787" s="0" t="s">
        <v>10751</v>
      </c>
    </row>
    <row r="10788" customFormat="false" ht="15" hidden="false" customHeight="false" outlineLevel="0" collapsed="false">
      <c r="A10788" s="0" t="n">
        <f aca="false">PRICEMAT(DATE(2024,1,31),DATE(2025,3,31),DATE(2023,1,31),0.05,0.06,4)</f>
        <v>98.582554517134</v>
      </c>
      <c r="B10788" s="0" t="s">
        <v>10752</v>
      </c>
    </row>
    <row r="10789" customFormat="false" ht="15" hidden="false" customHeight="false" outlineLevel="0" collapsed="false">
      <c r="A10789" s="0" t="n">
        <f aca="false">YIELDMAT(DATE(2024,1,31),DATE(2025,3,31),DATE(2023,1,31),0.05,98,4)</f>
        <v>0.0651872399445215</v>
      </c>
      <c r="B10789" s="0" t="s">
        <v>10753</v>
      </c>
    </row>
    <row r="10790" customFormat="false" ht="15" hidden="false" customHeight="false" outlineLevel="0" collapsed="false">
      <c r="A10790" s="0" t="n">
        <f aca="false">ACCRINT(DATE(2024,1,31),DATE(2030,1,1),DATE(2025,3,31),0.05,1000,2,4)</f>
        <v>58.3333333333333</v>
      </c>
      <c r="B10790" s="0" t="s">
        <v>10754</v>
      </c>
    </row>
    <row r="10791" customFormat="false" ht="15" hidden="false" customHeight="false" outlineLevel="0" collapsed="false">
      <c r="A10791" s="0" t="n">
        <f aca="false">DURATION(DATE(2024,1,31),DATE(2025,3,31),0.05,0.08,2,4)</f>
        <v>1.12952518768629</v>
      </c>
      <c r="B10791" s="0" t="s">
        <v>10755</v>
      </c>
    </row>
    <row r="10792" customFormat="false" ht="15" hidden="false" customHeight="false" outlineLevel="0" collapsed="false">
      <c r="A10792" s="0" t="n">
        <f aca="false">PRICE(DATE(2024,1,31),DATE(2025,3,31),0.05,0.08,100,2,4)</f>
        <v>96.7096180643942</v>
      </c>
      <c r="B10792" s="0" t="s">
        <v>10756</v>
      </c>
    </row>
    <row r="10793" customFormat="false" ht="15" hidden="false" customHeight="false" outlineLevel="0" collapsed="false">
      <c r="A10793" s="0" t="n">
        <f aca="false">YIELD(DATE(2024,1,31),DATE(2025,3,31),0.05,95,100,2,4)</f>
        <v>0.0962077633985789</v>
      </c>
      <c r="B10793" s="0" t="s">
        <v>10757</v>
      </c>
    </row>
    <row r="10794" customFormat="false" ht="15" hidden="false" customHeight="false" outlineLevel="0" collapsed="false">
      <c r="A10794" s="0" t="n">
        <f aca="false">TBILLPRICE(DATE(2024,1,31),DATE(2025,3,31),0.05)</f>
        <v>94.1527777777778</v>
      </c>
      <c r="B10794" s="0" t="s">
        <v>10758</v>
      </c>
    </row>
    <row r="10795" customFormat="false" ht="15" hidden="false" customHeight="false" outlineLevel="0" collapsed="false">
      <c r="A10795" s="0" t="e">
        <f aca="false">TBILLEQ(DATE(2024,1,31),DATE(2025,3,31),0.05)</f>
        <v>#VALUE!</v>
      </c>
      <c r="B10795" s="0" t="s">
        <v>10759</v>
      </c>
    </row>
    <row r="10796" customFormat="false" ht="15" hidden="false" customHeight="false" outlineLevel="0" collapsed="false">
      <c r="A10796" s="0" t="e">
        <f aca="false">TBILLYIELD(DATE(2024,1,31),DATE(2025,3,31),98)</f>
        <v>#VALUE!</v>
      </c>
      <c r="B10796" s="0" t="s">
        <v>10760</v>
      </c>
    </row>
    <row r="10797" customFormat="false" ht="15" hidden="false" customHeight="false" outlineLevel="0" collapsed="false">
      <c r="A10797" s="0" t="n">
        <f aca="false">PRICEDISC(DATE(2024,1,31),DATE(2024,8,31),0.05,100,0)</f>
        <v>97.0833333333333</v>
      </c>
      <c r="B10797" s="0" t="s">
        <v>10761</v>
      </c>
    </row>
    <row r="10798" customFormat="false" ht="15" hidden="false" customHeight="false" outlineLevel="0" collapsed="false">
      <c r="A10798" s="0" t="n">
        <f aca="false">RECEIVED(DATE(2024,1,31),DATE(2024,8,31),1000,0.05,0)</f>
        <v>1030.04291845494</v>
      </c>
      <c r="B10798" s="0" t="s">
        <v>10762</v>
      </c>
    </row>
    <row r="10799" customFormat="false" ht="15" hidden="false" customHeight="false" outlineLevel="0" collapsed="false">
      <c r="A10799" s="0" t="n">
        <f aca="false">INTRATE(DATE(2024,1,31),DATE(2024,8,31),1000,1050,0)</f>
        <v>0.0857142857142858</v>
      </c>
      <c r="B10799" s="0" t="s">
        <v>10763</v>
      </c>
    </row>
    <row r="10800" customFormat="false" ht="15" hidden="false" customHeight="false" outlineLevel="0" collapsed="false">
      <c r="A10800" s="0" t="n">
        <f aca="false">DISC(DATE(2024,1,31),DATE(2024,8,31),95,100,0)</f>
        <v>0.0857142857142858</v>
      </c>
      <c r="B10800" s="0" t="s">
        <v>10764</v>
      </c>
    </row>
    <row r="10801" customFormat="false" ht="15" hidden="false" customHeight="false" outlineLevel="0" collapsed="false">
      <c r="A10801" s="0" t="n">
        <f aca="false">YIELDDISC(DATE(2024,1,31),DATE(2024,8,31),95,100,0)</f>
        <v>0.0902255639097743</v>
      </c>
      <c r="B10801" s="0" t="s">
        <v>10765</v>
      </c>
    </row>
    <row r="10802" customFormat="false" ht="15" hidden="false" customHeight="false" outlineLevel="0" collapsed="false">
      <c r="A10802" s="0" t="n">
        <f aca="false">ACCRINTM(DATE(2024,1,31),DATE(2024,8,31),0.05,1000,0)</f>
        <v>29.1666666666667</v>
      </c>
      <c r="B10802" s="0" t="s">
        <v>10766</v>
      </c>
    </row>
    <row r="10803" customFormat="false" ht="15" hidden="false" customHeight="false" outlineLevel="0" collapsed="false">
      <c r="A10803" s="0" t="n">
        <f aca="false">PRICEMAT(DATE(2024,1,31),DATE(2024,8,31),DATE(2023,1,31),0.05,0.06,0)</f>
        <v>99.2673107890499</v>
      </c>
      <c r="B10803" s="0" t="s">
        <v>10767</v>
      </c>
    </row>
    <row r="10804" customFormat="false" ht="15" hidden="false" customHeight="false" outlineLevel="0" collapsed="false">
      <c r="A10804" s="0" t="n">
        <f aca="false">YIELDMAT(DATE(2024,1,31),DATE(2024,8,31),DATE(2023,1,31),0.05,98,0)</f>
        <v>0.0818307905686547</v>
      </c>
      <c r="B10804" s="0" t="s">
        <v>10768</v>
      </c>
    </row>
    <row r="10805" customFormat="false" ht="15" hidden="false" customHeight="false" outlineLevel="0" collapsed="false">
      <c r="A10805" s="0" t="n">
        <f aca="false">ACCRINT(DATE(2024,1,31),DATE(2030,1,1),DATE(2024,8,31),0.05,1000,2,0)</f>
        <v>29.1666666666667</v>
      </c>
      <c r="B10805" s="0" t="s">
        <v>10769</v>
      </c>
    </row>
    <row r="10806" customFormat="false" ht="15" hidden="false" customHeight="false" outlineLevel="0" collapsed="false">
      <c r="A10806" s="0" t="n">
        <f aca="false">DURATION(DATE(2024,1,31),DATE(2024,8,31),0.05,0.08,2,0)</f>
        <v>0.570964161116397</v>
      </c>
      <c r="B10806" s="0" t="s">
        <v>10770</v>
      </c>
    </row>
    <row r="10807" customFormat="false" ht="15" hidden="false" customHeight="false" outlineLevel="0" collapsed="false">
      <c r="A10807" s="0" t="n">
        <f aca="false">PRICE(DATE(2024,1,31),DATE(2024,8,31),0.05,0.08,100,2,0)</f>
        <v>98.3159208928599</v>
      </c>
      <c r="B10807" s="0" t="s">
        <v>10771</v>
      </c>
    </row>
    <row r="10808" customFormat="false" ht="15" hidden="false" customHeight="false" outlineLevel="0" collapsed="false">
      <c r="A10808" s="0" t="n">
        <f aca="false">YIELD(DATE(2024,1,31),DATE(2024,8,31),0.05,95,100,2,0)</f>
        <v>0.142102783697125</v>
      </c>
      <c r="B10808" s="0" t="s">
        <v>10772</v>
      </c>
    </row>
    <row r="10809" customFormat="false" ht="15" hidden="false" customHeight="false" outlineLevel="0" collapsed="false">
      <c r="A10809" s="0" t="n">
        <f aca="false">PRICEDISC(DATE(2024,1,31),DATE(2024,8,31),0.05,100,1)</f>
        <v>97.0901639344262</v>
      </c>
      <c r="B10809" s="0" t="s">
        <v>10773</v>
      </c>
    </row>
    <row r="10810" customFormat="false" ht="15" hidden="false" customHeight="false" outlineLevel="0" collapsed="false">
      <c r="A10810" s="0" t="n">
        <f aca="false">RECEIVED(DATE(2024,1,31),DATE(2024,8,31),1000,0.05,1)</f>
        <v>1029.97045166737</v>
      </c>
      <c r="B10810" s="0" t="s">
        <v>10774</v>
      </c>
    </row>
    <row r="10811" customFormat="false" ht="15" hidden="false" customHeight="false" outlineLevel="0" collapsed="false">
      <c r="A10811" s="0" t="n">
        <f aca="false">INTRATE(DATE(2024,1,31),DATE(2024,8,31),1000,1050,1)</f>
        <v>0.0859154929577466</v>
      </c>
      <c r="B10811" s="0" t="s">
        <v>10775</v>
      </c>
    </row>
    <row r="10812" customFormat="false" ht="15" hidden="false" customHeight="false" outlineLevel="0" collapsed="false">
      <c r="A10812" s="0" t="n">
        <f aca="false">DISC(DATE(2024,1,31),DATE(2024,8,31),95,100,1)</f>
        <v>0.0859154929577466</v>
      </c>
      <c r="B10812" s="0" t="s">
        <v>10776</v>
      </c>
    </row>
    <row r="10813" customFormat="false" ht="15" hidden="false" customHeight="false" outlineLevel="0" collapsed="false">
      <c r="A10813" s="0" t="n">
        <f aca="false">YIELDDISC(DATE(2024,1,31),DATE(2024,8,31),95,100,1)</f>
        <v>0.0904373610081541</v>
      </c>
      <c r="B10813" s="0" t="s">
        <v>10777</v>
      </c>
    </row>
    <row r="10814" customFormat="false" ht="15" hidden="false" customHeight="false" outlineLevel="0" collapsed="false">
      <c r="A10814" s="0" t="n">
        <f aca="false">ACCRINTM(DATE(2024,1,31),DATE(2024,8,31),0.05,1000,1)</f>
        <v>29.0983606557377</v>
      </c>
      <c r="B10814" s="0" t="s">
        <v>10778</v>
      </c>
    </row>
    <row r="10815" customFormat="false" ht="15" hidden="false" customHeight="false" outlineLevel="0" collapsed="false">
      <c r="A10815" s="0" t="n">
        <f aca="false">PRICEMAT(DATE(2024,1,31),DATE(2024,8,31),DATE(2023,1,31),0.05,0.06,1)</f>
        <v>99.266205946386</v>
      </c>
      <c r="B10815" s="0" t="s">
        <v>10779</v>
      </c>
    </row>
    <row r="10816" customFormat="false" ht="15" hidden="false" customHeight="false" outlineLevel="0" collapsed="false">
      <c r="A10816" s="0" t="n">
        <f aca="false">YIELDMAT(DATE(2024,1,31),DATE(2024,8,31),DATE(2023,1,31),0.05,98,1)</f>
        <v>0.0818612283318336</v>
      </c>
      <c r="B10816" s="0" t="s">
        <v>10780</v>
      </c>
    </row>
    <row r="10817" customFormat="false" ht="15" hidden="false" customHeight="false" outlineLevel="0" collapsed="false">
      <c r="A10817" s="0" t="n">
        <f aca="false">ACCRINT(DATE(2024,1,31),DATE(2030,1,1),DATE(2024,8,31),0.05,1000,2,1)</f>
        <v>29.0983606557377</v>
      </c>
      <c r="B10817" s="0" t="s">
        <v>10781</v>
      </c>
    </row>
    <row r="10818" customFormat="false" ht="15" hidden="false" customHeight="false" outlineLevel="0" collapsed="false">
      <c r="A10818" s="0" t="n">
        <f aca="false">DURATION(DATE(2024,1,31),DATE(2024,8,31),0.05,0.08,2,1)</f>
        <v>0.569598040897818</v>
      </c>
      <c r="B10818" s="0" t="s">
        <v>10782</v>
      </c>
    </row>
    <row r="10819" customFormat="false" ht="15" hidden="false" customHeight="false" outlineLevel="0" collapsed="false">
      <c r="A10819" s="0" t="n">
        <f aca="false">PRICE(DATE(2024,1,31),DATE(2024,8,31),0.05,0.08,100,2,1)</f>
        <v>98.3264578607826</v>
      </c>
      <c r="B10819" s="0" t="s">
        <v>10783</v>
      </c>
    </row>
    <row r="10820" customFormat="false" ht="15" hidden="false" customHeight="false" outlineLevel="0" collapsed="false">
      <c r="A10820" s="0" t="n">
        <f aca="false">YIELD(DATE(2024,1,31),DATE(2024,8,31),0.05,95,100,2,1)</f>
        <v>0.142696499651261</v>
      </c>
      <c r="B10820" s="0" t="s">
        <v>10784</v>
      </c>
    </row>
    <row r="10821" customFormat="false" ht="15" hidden="false" customHeight="false" outlineLevel="0" collapsed="false">
      <c r="A10821" s="0" t="n">
        <f aca="false">PRICEDISC(DATE(2024,1,31),DATE(2024,8,31),0.05,100,4)</f>
        <v>97.0833333333333</v>
      </c>
      <c r="B10821" s="0" t="s">
        <v>10785</v>
      </c>
    </row>
    <row r="10822" customFormat="false" ht="15" hidden="false" customHeight="false" outlineLevel="0" collapsed="false">
      <c r="A10822" s="0" t="n">
        <f aca="false">RECEIVED(DATE(2024,1,31),DATE(2024,8,31),1000,0.05,4)</f>
        <v>1030.04291845494</v>
      </c>
      <c r="B10822" s="0" t="s">
        <v>10786</v>
      </c>
    </row>
    <row r="10823" customFormat="false" ht="15" hidden="false" customHeight="false" outlineLevel="0" collapsed="false">
      <c r="A10823" s="0" t="n">
        <f aca="false">INTRATE(DATE(2024,1,31),DATE(2024,8,31),1000,1050,4)</f>
        <v>0.0857142857142858</v>
      </c>
      <c r="B10823" s="0" t="s">
        <v>10787</v>
      </c>
    </row>
    <row r="10824" customFormat="false" ht="15" hidden="false" customHeight="false" outlineLevel="0" collapsed="false">
      <c r="A10824" s="0" t="n">
        <f aca="false">DISC(DATE(2024,1,31),DATE(2024,8,31),95,100,4)</f>
        <v>0.0857142857142858</v>
      </c>
      <c r="B10824" s="0" t="s">
        <v>10788</v>
      </c>
    </row>
    <row r="10825" customFormat="false" ht="15" hidden="false" customHeight="false" outlineLevel="0" collapsed="false">
      <c r="A10825" s="0" t="n">
        <f aca="false">YIELDDISC(DATE(2024,1,31),DATE(2024,8,31),95,100,4)</f>
        <v>0.0902255639097743</v>
      </c>
      <c r="B10825" s="0" t="s">
        <v>10789</v>
      </c>
    </row>
    <row r="10826" customFormat="false" ht="15" hidden="false" customHeight="false" outlineLevel="0" collapsed="false">
      <c r="A10826" s="0" t="n">
        <f aca="false">ACCRINTM(DATE(2024,1,31),DATE(2024,8,31),0.05,1000,4)</f>
        <v>29.1666666666667</v>
      </c>
      <c r="B10826" s="0" t="s">
        <v>10790</v>
      </c>
    </row>
    <row r="10827" customFormat="false" ht="15" hidden="false" customHeight="false" outlineLevel="0" collapsed="false">
      <c r="A10827" s="0" t="n">
        <f aca="false">PRICEMAT(DATE(2024,1,31),DATE(2024,8,31),DATE(2023,1,31),0.05,0.06,4)</f>
        <v>99.2673107890499</v>
      </c>
      <c r="B10827" s="0" t="s">
        <v>10791</v>
      </c>
    </row>
    <row r="10828" customFormat="false" ht="15" hidden="false" customHeight="false" outlineLevel="0" collapsed="false">
      <c r="A10828" s="0" t="n">
        <f aca="false">YIELDMAT(DATE(2024,1,31),DATE(2024,8,31),DATE(2023,1,31),0.05,98,4)</f>
        <v>0.0818307905686547</v>
      </c>
      <c r="B10828" s="0" t="s">
        <v>10792</v>
      </c>
    </row>
    <row r="10829" customFormat="false" ht="15" hidden="false" customHeight="false" outlineLevel="0" collapsed="false">
      <c r="A10829" s="0" t="n">
        <f aca="false">ACCRINT(DATE(2024,1,31),DATE(2030,1,1),DATE(2024,8,31),0.05,1000,2,4)</f>
        <v>29.1666666666667</v>
      </c>
      <c r="B10829" s="0" t="s">
        <v>10793</v>
      </c>
    </row>
    <row r="10830" customFormat="false" ht="15" hidden="false" customHeight="false" outlineLevel="0" collapsed="false">
      <c r="A10830" s="0" t="n">
        <f aca="false">DURATION(DATE(2024,1,31),DATE(2024,8,31),0.05,0.08,2,4)</f>
        <v>0.570964161116397</v>
      </c>
      <c r="B10830" s="0" t="s">
        <v>10794</v>
      </c>
    </row>
    <row r="10831" customFormat="false" ht="15" hidden="false" customHeight="false" outlineLevel="0" collapsed="false">
      <c r="A10831" s="0" t="n">
        <f aca="false">PRICE(DATE(2024,1,31),DATE(2024,8,31),0.05,0.08,100,2,4)</f>
        <v>98.3159208928599</v>
      </c>
      <c r="B10831" s="0" t="s">
        <v>10795</v>
      </c>
    </row>
    <row r="10832" customFormat="false" ht="15" hidden="false" customHeight="false" outlineLevel="0" collapsed="false">
      <c r="A10832" s="0" t="n">
        <f aca="false">YIELD(DATE(2024,1,31),DATE(2024,8,31),0.05,95,100,2,4)</f>
        <v>0.142102783697125</v>
      </c>
      <c r="B10832" s="0" t="s">
        <v>10796</v>
      </c>
    </row>
    <row r="10833" customFormat="false" ht="15" hidden="false" customHeight="false" outlineLevel="0" collapsed="false">
      <c r="A10833" s="0" t="n">
        <f aca="false">TBILLPRICE(DATE(2024,1,31),DATE(2024,8,31),0.05)</f>
        <v>97.0694444444444</v>
      </c>
      <c r="B10833" s="0" t="s">
        <v>10797</v>
      </c>
    </row>
    <row r="10834" customFormat="false" ht="15" hidden="false" customHeight="false" outlineLevel="0" collapsed="false">
      <c r="A10834" s="0" t="n">
        <f aca="false">TBILLEQ(DATE(2024,1,31),DATE(2024,8,31),0.05)</f>
        <v>0.0522249248819574</v>
      </c>
      <c r="B10834" s="0" t="s">
        <v>10798</v>
      </c>
    </row>
    <row r="10835" customFormat="false" ht="15" hidden="false" customHeight="false" outlineLevel="0" collapsed="false">
      <c r="A10835" s="0" t="n">
        <f aca="false">TBILLYIELD(DATE(2024,1,31),DATE(2024,8,31),98)</f>
        <v>0.0348196150498114</v>
      </c>
      <c r="B10835" s="0" t="s">
        <v>10799</v>
      </c>
    </row>
    <row r="10836" customFormat="false" ht="15" hidden="false" customHeight="false" outlineLevel="0" collapsed="false">
      <c r="A10836" s="0" t="n">
        <f aca="false">PRICEDISC(DATE(2024,1,31),DATE(2025,6,30),0.05,100,0)</f>
        <v>92.9305555555556</v>
      </c>
      <c r="B10836" s="0" t="s">
        <v>10800</v>
      </c>
    </row>
    <row r="10837" customFormat="false" ht="15" hidden="false" customHeight="false" outlineLevel="0" collapsed="false">
      <c r="A10837" s="0" t="n">
        <f aca="false">RECEIVED(DATE(2024,1,31),DATE(2025,6,30),1000,0.05,0)</f>
        <v>1076.0723359737</v>
      </c>
      <c r="B10837" s="0" t="s">
        <v>10801</v>
      </c>
    </row>
    <row r="10838" customFormat="false" ht="15" hidden="false" customHeight="false" outlineLevel="0" collapsed="false">
      <c r="A10838" s="0" t="n">
        <f aca="false">INTRATE(DATE(2024,1,31),DATE(2025,6,30),1000,1050,0)</f>
        <v>0.0353634577603144</v>
      </c>
      <c r="B10838" s="0" t="s">
        <v>10802</v>
      </c>
    </row>
    <row r="10839" customFormat="false" ht="15" hidden="false" customHeight="false" outlineLevel="0" collapsed="false">
      <c r="A10839" s="0" t="n">
        <f aca="false">DISC(DATE(2024,1,31),DATE(2025,6,30),95,100,0)</f>
        <v>0.0352941176470589</v>
      </c>
      <c r="B10839" s="0" t="s">
        <v>10803</v>
      </c>
    </row>
    <row r="10840" customFormat="false" ht="15" hidden="false" customHeight="false" outlineLevel="0" collapsed="false">
      <c r="A10840" s="0" t="n">
        <f aca="false">YIELDDISC(DATE(2024,1,31),DATE(2025,6,30),95,100,0)</f>
        <v>0.0371517027863777</v>
      </c>
      <c r="B10840" s="0" t="s">
        <v>10804</v>
      </c>
    </row>
    <row r="10841" customFormat="false" ht="15" hidden="false" customHeight="false" outlineLevel="0" collapsed="false">
      <c r="A10841" s="0" t="n">
        <f aca="false">ACCRINTM(DATE(2024,1,31),DATE(2025,6,30),0.05,1000,0)</f>
        <v>70.6944444444444</v>
      </c>
      <c r="B10841" s="0" t="s">
        <v>10805</v>
      </c>
    </row>
    <row r="10842" customFormat="false" ht="15" hidden="false" customHeight="false" outlineLevel="0" collapsed="false">
      <c r="A10842" s="0" t="n">
        <f aca="false">PRICEMAT(DATE(2024,1,31),DATE(2025,6,30),DATE(2023,1,31),0.05,0.06,0)</f>
        <v>98.3026113671275</v>
      </c>
      <c r="B10842" s="0" t="s">
        <v>10806</v>
      </c>
    </row>
    <row r="10843" customFormat="false" ht="15" hidden="false" customHeight="false" outlineLevel="0" collapsed="false">
      <c r="A10843" s="0" t="n">
        <f aca="false">YIELDMAT(DATE(2024,1,31),DATE(2025,6,30),DATE(2023,1,31),0.05,98,0)</f>
        <v>0.0622501427755568</v>
      </c>
      <c r="B10843" s="0" t="s">
        <v>10807</v>
      </c>
    </row>
    <row r="10844" customFormat="false" ht="15" hidden="false" customHeight="false" outlineLevel="0" collapsed="false">
      <c r="A10844" s="0" t="n">
        <f aca="false">ACCRINT(DATE(2024,1,31),DATE(2030,1,1),DATE(2025,6,30),0.05,1000,2,0)</f>
        <v>70.6944444444444</v>
      </c>
      <c r="B10844" s="0" t="s">
        <v>10808</v>
      </c>
    </row>
    <row r="10845" customFormat="false" ht="15" hidden="false" customHeight="false" outlineLevel="0" collapsed="false">
      <c r="A10845" s="0" t="n">
        <f aca="false">DURATION(DATE(2024,1,31),DATE(2025,6,30),0.05,0.08,2,0)</f>
        <v>1.3795251876863</v>
      </c>
      <c r="B10845" s="0" t="s">
        <v>10809</v>
      </c>
    </row>
    <row r="10846" customFormat="false" ht="15" hidden="false" customHeight="false" outlineLevel="0" collapsed="false">
      <c r="A10846" s="0" t="n">
        <f aca="false">PRICE(DATE(2024,1,31),DATE(2025,6,30),0.05,0.08,100,2,0)</f>
        <v>96.0492170868794</v>
      </c>
      <c r="B10846" s="0" t="s">
        <v>10810</v>
      </c>
    </row>
    <row r="10847" customFormat="false" ht="15" hidden="false" customHeight="false" outlineLevel="0" collapsed="false">
      <c r="A10847" s="0" t="n">
        <f aca="false">YIELD(DATE(2024,1,31),DATE(2025,6,30),0.05,95,100,2,0)</f>
        <v>0.088261637996309</v>
      </c>
      <c r="B10847" s="0" t="s">
        <v>10811</v>
      </c>
    </row>
    <row r="10848" customFormat="false" ht="15" hidden="false" customHeight="false" outlineLevel="0" collapsed="false">
      <c r="A10848" s="0" t="n">
        <f aca="false">PRICEDISC(DATE(2024,1,31),DATE(2025,6,30),0.05,100,1)</f>
        <v>92.9508196721312</v>
      </c>
      <c r="B10848" s="0" t="s">
        <v>10812</v>
      </c>
    </row>
    <row r="10849" customFormat="false" ht="15" hidden="false" customHeight="false" outlineLevel="0" collapsed="false">
      <c r="A10849" s="0" t="n">
        <f aca="false">RECEIVED(DATE(2024,1,31),DATE(2025,6,30),1000,0.05,1)</f>
        <v>1075.83774250441</v>
      </c>
      <c r="B10849" s="0" t="s">
        <v>10813</v>
      </c>
    </row>
    <row r="10850" customFormat="false" ht="15" hidden="false" customHeight="false" outlineLevel="0" collapsed="false">
      <c r="A10850" s="0" t="n">
        <f aca="false">INTRATE(DATE(2024,1,31),DATE(2025,6,30),1000,1050,1)</f>
        <v>0.0354651162790698</v>
      </c>
      <c r="B10850" s="0" t="s">
        <v>10814</v>
      </c>
    </row>
    <row r="10851" customFormat="false" ht="15" hidden="false" customHeight="false" outlineLevel="0" collapsed="false">
      <c r="A10851" s="0" t="n">
        <f aca="false">DISC(DATE(2024,1,31),DATE(2025,6,30),95,100,1)</f>
        <v>0.0354166666666667</v>
      </c>
      <c r="B10851" s="0" t="s">
        <v>10815</v>
      </c>
    </row>
    <row r="10852" customFormat="false" ht="15" hidden="false" customHeight="false" outlineLevel="0" collapsed="false">
      <c r="A10852" s="0" t="n">
        <f aca="false">YIELDDISC(DATE(2024,1,31),DATE(2025,6,30),95,100,1)</f>
        <v>0.0372807017543859</v>
      </c>
      <c r="B10852" s="0" t="s">
        <v>10816</v>
      </c>
    </row>
    <row r="10853" customFormat="false" ht="15" hidden="false" customHeight="false" outlineLevel="0" collapsed="false">
      <c r="A10853" s="0" t="n">
        <f aca="false">ACCRINTM(DATE(2024,1,31),DATE(2025,6,30),0.05,1000,1)</f>
        <v>70.4918032786885</v>
      </c>
      <c r="B10853" s="0" t="s">
        <v>10817</v>
      </c>
    </row>
    <row r="10854" customFormat="false" ht="15" hidden="false" customHeight="false" outlineLevel="0" collapsed="false">
      <c r="A10854" s="0" t="n">
        <f aca="false">PRICEMAT(DATE(2024,1,31),DATE(2025,6,30),DATE(2023,1,31),0.05,0.06,1)</f>
        <v>98.306789033678</v>
      </c>
      <c r="B10854" s="0" t="s">
        <v>10818</v>
      </c>
    </row>
    <row r="10855" customFormat="false" ht="15" hidden="false" customHeight="false" outlineLevel="0" collapsed="false">
      <c r="A10855" s="0" t="n">
        <f aca="false">YIELDMAT(DATE(2024,1,31),DATE(2025,6,30),DATE(2023,1,31),0.05,98,1)</f>
        <v>0.0622885071929699</v>
      </c>
      <c r="B10855" s="0" t="s">
        <v>10819</v>
      </c>
    </row>
    <row r="10856" customFormat="false" ht="15" hidden="false" customHeight="false" outlineLevel="0" collapsed="false">
      <c r="A10856" s="0" t="n">
        <f aca="false">ACCRINT(DATE(2024,1,31),DATE(2030,1,1),DATE(2025,6,30),0.05,1000,2,1)</f>
        <v>70.4918032786885</v>
      </c>
      <c r="B10856" s="0" t="s">
        <v>10820</v>
      </c>
    </row>
    <row r="10857" customFormat="false" ht="15" hidden="false" customHeight="false" outlineLevel="0" collapsed="false">
      <c r="A10857" s="0" t="n">
        <f aca="false">DURATION(DATE(2024,1,31),DATE(2025,6,30),0.05,0.08,2,1)</f>
        <v>1.37462322690198</v>
      </c>
      <c r="B10857" s="0" t="s">
        <v>10821</v>
      </c>
    </row>
    <row r="10858" customFormat="false" ht="15" hidden="false" customHeight="false" outlineLevel="0" collapsed="false">
      <c r="A10858" s="0" t="n">
        <f aca="false">PRICE(DATE(2024,1,31),DATE(2025,6,30),0.05,0.08,100,2,1)</f>
        <v>96.0539194038955</v>
      </c>
      <c r="B10858" s="0" t="s">
        <v>10822</v>
      </c>
    </row>
    <row r="10859" customFormat="false" ht="15" hidden="false" customHeight="false" outlineLevel="0" collapsed="false">
      <c r="A10859" s="0" t="n">
        <f aca="false">YIELD(DATE(2024,1,31),DATE(2025,6,30),0.05,95,100,2,1)</f>
        <v>0.0883087996691068</v>
      </c>
      <c r="B10859" s="0" t="s">
        <v>10823</v>
      </c>
    </row>
    <row r="10860" customFormat="false" ht="15" hidden="false" customHeight="false" outlineLevel="0" collapsed="false">
      <c r="A10860" s="0" t="n">
        <f aca="false">PRICEDISC(DATE(2024,1,31),DATE(2025,6,30),0.05,100,4)</f>
        <v>92.9305555555556</v>
      </c>
      <c r="B10860" s="0" t="s">
        <v>10824</v>
      </c>
    </row>
    <row r="10861" customFormat="false" ht="15" hidden="false" customHeight="false" outlineLevel="0" collapsed="false">
      <c r="A10861" s="0" t="n">
        <f aca="false">RECEIVED(DATE(2024,1,31),DATE(2025,6,30),1000,0.05,4)</f>
        <v>1076.0723359737</v>
      </c>
      <c r="B10861" s="0" t="s">
        <v>10825</v>
      </c>
    </row>
    <row r="10862" customFormat="false" ht="15" hidden="false" customHeight="false" outlineLevel="0" collapsed="false">
      <c r="A10862" s="0" t="n">
        <f aca="false">INTRATE(DATE(2024,1,31),DATE(2025,6,30),1000,1050,4)</f>
        <v>0.0353634577603144</v>
      </c>
      <c r="B10862" s="0" t="s">
        <v>10826</v>
      </c>
    </row>
    <row r="10863" customFormat="false" ht="15" hidden="false" customHeight="false" outlineLevel="0" collapsed="false">
      <c r="A10863" s="0" t="n">
        <f aca="false">DISC(DATE(2024,1,31),DATE(2025,6,30),95,100,4)</f>
        <v>0.0352941176470589</v>
      </c>
      <c r="B10863" s="0" t="s">
        <v>10827</v>
      </c>
    </row>
    <row r="10864" customFormat="false" ht="15" hidden="false" customHeight="false" outlineLevel="0" collapsed="false">
      <c r="A10864" s="0" t="n">
        <f aca="false">YIELDDISC(DATE(2024,1,31),DATE(2025,6,30),95,100,4)</f>
        <v>0.0371517027863777</v>
      </c>
      <c r="B10864" s="0" t="s">
        <v>10828</v>
      </c>
    </row>
    <row r="10865" customFormat="false" ht="15" hidden="false" customHeight="false" outlineLevel="0" collapsed="false">
      <c r="A10865" s="0" t="n">
        <f aca="false">ACCRINTM(DATE(2024,1,31),DATE(2025,6,30),0.05,1000,4)</f>
        <v>70.6944444444444</v>
      </c>
      <c r="B10865" s="0" t="s">
        <v>10829</v>
      </c>
    </row>
    <row r="10866" customFormat="false" ht="15" hidden="false" customHeight="false" outlineLevel="0" collapsed="false">
      <c r="A10866" s="0" t="n">
        <f aca="false">PRICEMAT(DATE(2024,1,31),DATE(2025,6,30),DATE(2023,1,31),0.05,0.06,4)</f>
        <v>98.3026113671275</v>
      </c>
      <c r="B10866" s="0" t="s">
        <v>10830</v>
      </c>
    </row>
    <row r="10867" customFormat="false" ht="15" hidden="false" customHeight="false" outlineLevel="0" collapsed="false">
      <c r="A10867" s="0" t="n">
        <f aca="false">YIELDMAT(DATE(2024,1,31),DATE(2025,6,30),DATE(2023,1,31),0.05,98,4)</f>
        <v>0.0622501427755568</v>
      </c>
      <c r="B10867" s="0" t="s">
        <v>10831</v>
      </c>
    </row>
    <row r="10868" customFormat="false" ht="15" hidden="false" customHeight="false" outlineLevel="0" collapsed="false">
      <c r="A10868" s="0" t="n">
        <f aca="false">ACCRINT(DATE(2024,1,31),DATE(2030,1,1),DATE(2025,6,30),0.05,1000,2,4)</f>
        <v>70.6944444444444</v>
      </c>
      <c r="B10868" s="0" t="s">
        <v>10832</v>
      </c>
    </row>
    <row r="10869" customFormat="false" ht="15" hidden="false" customHeight="false" outlineLevel="0" collapsed="false">
      <c r="A10869" s="0" t="n">
        <f aca="false">DURATION(DATE(2024,1,31),DATE(2025,6,30),0.05,0.08,2,4)</f>
        <v>1.3795251876863</v>
      </c>
      <c r="B10869" s="0" t="s">
        <v>10833</v>
      </c>
    </row>
    <row r="10870" customFormat="false" ht="15" hidden="false" customHeight="false" outlineLevel="0" collapsed="false">
      <c r="A10870" s="0" t="n">
        <f aca="false">PRICE(DATE(2024,1,31),DATE(2025,6,30),0.05,0.08,100,2,4)</f>
        <v>96.0492170868794</v>
      </c>
      <c r="B10870" s="0" t="s">
        <v>10834</v>
      </c>
    </row>
    <row r="10871" customFormat="false" ht="15" hidden="false" customHeight="false" outlineLevel="0" collapsed="false">
      <c r="A10871" s="0" t="n">
        <f aca="false">YIELD(DATE(2024,1,31),DATE(2025,6,30),0.05,95,100,2,4)</f>
        <v>0.088261637996309</v>
      </c>
      <c r="B10871" s="0" t="s">
        <v>10835</v>
      </c>
    </row>
    <row r="10872" customFormat="false" ht="15" hidden="false" customHeight="false" outlineLevel="0" collapsed="false">
      <c r="A10872" s="0" t="n">
        <f aca="false">TBILLPRICE(DATE(2024,1,31),DATE(2025,6,30),0.05)</f>
        <v>92.9027777777778</v>
      </c>
      <c r="B10872" s="0" t="s">
        <v>10836</v>
      </c>
    </row>
    <row r="10873" customFormat="false" ht="15" hidden="false" customHeight="false" outlineLevel="0" collapsed="false">
      <c r="A10873" s="0" t="e">
        <f aca="false">TBILLEQ(DATE(2024,1,31),DATE(2025,6,30),0.05)</f>
        <v>#VALUE!</v>
      </c>
      <c r="B10873" s="0" t="s">
        <v>10837</v>
      </c>
    </row>
    <row r="10874" customFormat="false" ht="15" hidden="false" customHeight="false" outlineLevel="0" collapsed="false">
      <c r="A10874" s="0" t="e">
        <f aca="false">TBILLYIELD(DATE(2024,1,31),DATE(2025,6,30),98)</f>
        <v>#VALUE!</v>
      </c>
      <c r="B10874" s="0" t="s">
        <v>10838</v>
      </c>
    </row>
    <row r="10875" customFormat="false" ht="15" hidden="false" customHeight="false" outlineLevel="0" collapsed="false">
      <c r="A10875" s="0" t="n">
        <f aca="false">PRICEDISC(DATE(2024,1,31),DATE(2026,12,31),0.05,100,0)</f>
        <v>85.4166666666667</v>
      </c>
      <c r="B10875" s="0" t="s">
        <v>10839</v>
      </c>
    </row>
    <row r="10876" customFormat="false" ht="15" hidden="false" customHeight="false" outlineLevel="0" collapsed="false">
      <c r="A10876" s="0" t="n">
        <f aca="false">RECEIVED(DATE(2024,1,31),DATE(2026,12,31),1000,0.05,0)</f>
        <v>1170.73170731707</v>
      </c>
      <c r="B10876" s="0" t="s">
        <v>10840</v>
      </c>
    </row>
    <row r="10877" customFormat="false" ht="15" hidden="false" customHeight="false" outlineLevel="0" collapsed="false">
      <c r="A10877" s="0" t="n">
        <f aca="false">INTRATE(DATE(2024,1,31),DATE(2026,12,31),1000,1050,0)</f>
        <v>0.0171428571428572</v>
      </c>
      <c r="B10877" s="0" t="s">
        <v>10841</v>
      </c>
    </row>
    <row r="10878" customFormat="false" ht="15" hidden="false" customHeight="false" outlineLevel="0" collapsed="false">
      <c r="A10878" s="0" t="n">
        <f aca="false">DISC(DATE(2024,1,31),DATE(2026,12,31),95,100,0)</f>
        <v>0.0171428571428572</v>
      </c>
      <c r="B10878" s="0" t="s">
        <v>10842</v>
      </c>
    </row>
    <row r="10879" customFormat="false" ht="15" hidden="false" customHeight="false" outlineLevel="0" collapsed="false">
      <c r="A10879" s="0" t="n">
        <f aca="false">YIELDDISC(DATE(2024,1,31),DATE(2026,12,31),95,100,0)</f>
        <v>0.0180451127819549</v>
      </c>
      <c r="B10879" s="0" t="s">
        <v>10843</v>
      </c>
    </row>
    <row r="10880" customFormat="false" ht="15" hidden="false" customHeight="false" outlineLevel="0" collapsed="false">
      <c r="A10880" s="0" t="n">
        <f aca="false">ACCRINTM(DATE(2024,1,31),DATE(2026,12,31),0.05,1000,0)</f>
        <v>145.833333333333</v>
      </c>
      <c r="B10880" s="0" t="s">
        <v>10844</v>
      </c>
    </row>
    <row r="10881" customFormat="false" ht="15" hidden="false" customHeight="false" outlineLevel="0" collapsed="false">
      <c r="A10881" s="0" t="n">
        <f aca="false">PRICEMAT(DATE(2024,1,31),DATE(2026,12,31),DATE(2023,1,31),0.05,0.06,0)</f>
        <v>96.7730496453901</v>
      </c>
      <c r="B10881" s="0" t="s">
        <v>10845</v>
      </c>
    </row>
    <row r="10882" customFormat="false" ht="15" hidden="false" customHeight="false" outlineLevel="0" collapsed="false">
      <c r="A10882" s="0" t="n">
        <f aca="false">YIELDMAT(DATE(2024,1,31),DATE(2026,12,31),DATE(2023,1,31),0.05,98,0)</f>
        <v>0.0552011095700416</v>
      </c>
      <c r="B10882" s="0" t="s">
        <v>10846</v>
      </c>
    </row>
    <row r="10883" customFormat="false" ht="15" hidden="false" customHeight="false" outlineLevel="0" collapsed="false">
      <c r="A10883" s="0" t="n">
        <f aca="false">ACCRINT(DATE(2024,1,31),DATE(2030,1,1),DATE(2026,12,31),0.05,1000,2,0)</f>
        <v>145.833333333333</v>
      </c>
      <c r="B10883" s="0" t="s">
        <v>10847</v>
      </c>
    </row>
    <row r="10884" customFormat="false" ht="15" hidden="false" customHeight="false" outlineLevel="0" collapsed="false">
      <c r="A10884" s="0" t="n">
        <f aca="false">DURATION(DATE(2024,1,31),DATE(2026,12,31),0.05,0.08,2,0)</f>
        <v>2.73074146481051</v>
      </c>
      <c r="B10884" s="0" t="s">
        <v>10848</v>
      </c>
    </row>
    <row r="10885" customFormat="false" ht="15" hidden="false" customHeight="false" outlineLevel="0" collapsed="false">
      <c r="A10885" s="0" t="n">
        <f aca="false">PRICE(DATE(2024,1,31),DATE(2026,12,31),0.05,0.08,100,2,0)</f>
        <v>92.3243792930573</v>
      </c>
      <c r="B10885" s="0" t="s">
        <v>10849</v>
      </c>
    </row>
    <row r="10886" customFormat="false" ht="15" hidden="false" customHeight="false" outlineLevel="0" collapsed="false">
      <c r="A10886" s="0" t="n">
        <f aca="false">YIELD(DATE(2024,1,31),DATE(2026,12,31),0.05,95,100,2,0)</f>
        <v>0.0692023734606049</v>
      </c>
      <c r="B10886" s="0" t="s">
        <v>10850</v>
      </c>
    </row>
    <row r="10887" customFormat="false" ht="15" hidden="false" customHeight="false" outlineLevel="0" collapsed="false">
      <c r="A10887" s="0" t="n">
        <f aca="false">PRICEDISC(DATE(2024,1,31),DATE(2026,12,31),0.05,100,1)</f>
        <v>85.4508196721312</v>
      </c>
      <c r="B10887" s="0" t="s">
        <v>10851</v>
      </c>
    </row>
    <row r="10888" customFormat="false" ht="15" hidden="false" customHeight="false" outlineLevel="0" collapsed="false">
      <c r="A10888" s="0" t="n">
        <f aca="false">RECEIVED(DATE(2024,1,31),DATE(2026,12,31),1000,0.05,1)</f>
        <v>1170.26378896882</v>
      </c>
      <c r="B10888" s="0" t="s">
        <v>10852</v>
      </c>
    </row>
    <row r="10889" customFormat="false" ht="15" hidden="false" customHeight="false" outlineLevel="0" collapsed="false">
      <c r="A10889" s="0" t="n">
        <f aca="false">INTRATE(DATE(2024,1,31),DATE(2026,12,31),1000,1050,1)</f>
        <v>0.0171830985915493</v>
      </c>
      <c r="B10889" s="0" t="s">
        <v>10853</v>
      </c>
    </row>
    <row r="10890" customFormat="false" ht="15" hidden="false" customHeight="false" outlineLevel="0" collapsed="false">
      <c r="A10890" s="0" t="n">
        <f aca="false">DISC(DATE(2024,1,31),DATE(2026,12,31),95,100,1)</f>
        <v>0.017151799687011</v>
      </c>
      <c r="B10890" s="0" t="s">
        <v>10854</v>
      </c>
    </row>
    <row r="10891" customFormat="false" ht="15" hidden="false" customHeight="false" outlineLevel="0" collapsed="false">
      <c r="A10891" s="0" t="n">
        <f aca="false">YIELDDISC(DATE(2024,1,31),DATE(2026,12,31),95,100,1)</f>
        <v>0.0180545259863273</v>
      </c>
      <c r="B10891" s="0" t="s">
        <v>10855</v>
      </c>
    </row>
    <row r="10892" customFormat="false" ht="15" hidden="false" customHeight="false" outlineLevel="0" collapsed="false">
      <c r="A10892" s="0" t="n">
        <f aca="false">ACCRINTM(DATE(2024,1,31),DATE(2026,12,31),0.05,1000,1)</f>
        <v>145.491803278689</v>
      </c>
      <c r="B10892" s="0" t="s">
        <v>10856</v>
      </c>
    </row>
    <row r="10893" customFormat="false" ht="15" hidden="false" customHeight="false" outlineLevel="0" collapsed="false">
      <c r="A10893" s="0" t="n">
        <f aca="false">PRICEMAT(DATE(2024,1,31),DATE(2026,12,31),DATE(2023,1,31),0.05,0.06,1)</f>
        <v>96.7743992453848</v>
      </c>
      <c r="B10893" s="0" t="s">
        <v>10857</v>
      </c>
    </row>
    <row r="10894" customFormat="false" ht="15" hidden="false" customHeight="false" outlineLevel="0" collapsed="false">
      <c r="A10894" s="0" t="n">
        <f aca="false">YIELDMAT(DATE(2024,1,31),DATE(2026,12,31),DATE(2023,1,31),0.05,98,1)</f>
        <v>0.0552042600187854</v>
      </c>
      <c r="B10894" s="0" t="s">
        <v>10858</v>
      </c>
    </row>
    <row r="10895" customFormat="false" ht="15" hidden="false" customHeight="false" outlineLevel="0" collapsed="false">
      <c r="A10895" s="0" t="n">
        <f aca="false">ACCRINT(DATE(2024,1,31),DATE(2030,1,1),DATE(2026,12,31),0.05,1000,2,1)</f>
        <v>145.491803278689</v>
      </c>
      <c r="B10895" s="0" t="s">
        <v>10859</v>
      </c>
    </row>
    <row r="10896" customFormat="false" ht="15" hidden="false" customHeight="false" outlineLevel="0" collapsed="false">
      <c r="A10896" s="0" t="n">
        <f aca="false">DURATION(DATE(2024,1,31),DATE(2026,12,31),0.05,0.08,2,1)</f>
        <v>2.7292207835453</v>
      </c>
      <c r="B10896" s="0" t="s">
        <v>10860</v>
      </c>
    </row>
    <row r="10897" customFormat="false" ht="15" hidden="false" customHeight="false" outlineLevel="0" collapsed="false">
      <c r="A10897" s="0" t="n">
        <f aca="false">PRICE(DATE(2024,1,31),DATE(2026,12,31),0.05,0.08,100,2,1)</f>
        <v>92.3285464405157</v>
      </c>
      <c r="B10897" s="0" t="s">
        <v>10861</v>
      </c>
    </row>
    <row r="10898" customFormat="false" ht="15" hidden="false" customHeight="false" outlineLevel="0" collapsed="false">
      <c r="A10898" s="0" t="n">
        <f aca="false">YIELD(DATE(2024,1,31),DATE(2026,12,31),0.05,95,100,2,1)</f>
        <v>0.0692132156762153</v>
      </c>
      <c r="B10898" s="0" t="s">
        <v>10862</v>
      </c>
    </row>
    <row r="10899" customFormat="false" ht="15" hidden="false" customHeight="false" outlineLevel="0" collapsed="false">
      <c r="A10899" s="0" t="n">
        <f aca="false">PRICEDISC(DATE(2024,1,31),DATE(2026,12,31),0.05,100,4)</f>
        <v>85.4166666666667</v>
      </c>
      <c r="B10899" s="0" t="s">
        <v>10863</v>
      </c>
    </row>
    <row r="10900" customFormat="false" ht="15" hidden="false" customHeight="false" outlineLevel="0" collapsed="false">
      <c r="A10900" s="0" t="n">
        <f aca="false">RECEIVED(DATE(2024,1,31),DATE(2026,12,31),1000,0.05,4)</f>
        <v>1170.73170731707</v>
      </c>
      <c r="B10900" s="0" t="s">
        <v>10864</v>
      </c>
    </row>
    <row r="10901" customFormat="false" ht="15" hidden="false" customHeight="false" outlineLevel="0" collapsed="false">
      <c r="A10901" s="0" t="n">
        <f aca="false">INTRATE(DATE(2024,1,31),DATE(2026,12,31),1000,1050,4)</f>
        <v>0.0171428571428572</v>
      </c>
      <c r="B10901" s="0" t="s">
        <v>10865</v>
      </c>
    </row>
    <row r="10902" customFormat="false" ht="15" hidden="false" customHeight="false" outlineLevel="0" collapsed="false">
      <c r="A10902" s="0" t="n">
        <f aca="false">DISC(DATE(2024,1,31),DATE(2026,12,31),95,100,4)</f>
        <v>0.0171428571428572</v>
      </c>
      <c r="B10902" s="0" t="s">
        <v>10866</v>
      </c>
    </row>
    <row r="10903" customFormat="false" ht="15" hidden="false" customHeight="false" outlineLevel="0" collapsed="false">
      <c r="A10903" s="0" t="n">
        <f aca="false">YIELDDISC(DATE(2024,1,31),DATE(2026,12,31),95,100,4)</f>
        <v>0.0180451127819549</v>
      </c>
      <c r="B10903" s="0" t="s">
        <v>10867</v>
      </c>
    </row>
    <row r="10904" customFormat="false" ht="15" hidden="false" customHeight="false" outlineLevel="0" collapsed="false">
      <c r="A10904" s="0" t="n">
        <f aca="false">ACCRINTM(DATE(2024,1,31),DATE(2026,12,31),0.05,1000,4)</f>
        <v>145.833333333333</v>
      </c>
      <c r="B10904" s="0" t="s">
        <v>10868</v>
      </c>
    </row>
    <row r="10905" customFormat="false" ht="15" hidden="false" customHeight="false" outlineLevel="0" collapsed="false">
      <c r="A10905" s="0" t="n">
        <f aca="false">PRICEMAT(DATE(2024,1,31),DATE(2026,12,31),DATE(2023,1,31),0.05,0.06,4)</f>
        <v>96.7730496453901</v>
      </c>
      <c r="B10905" s="0" t="s">
        <v>10869</v>
      </c>
    </row>
    <row r="10906" customFormat="false" ht="15" hidden="false" customHeight="false" outlineLevel="0" collapsed="false">
      <c r="A10906" s="0" t="n">
        <f aca="false">YIELDMAT(DATE(2024,1,31),DATE(2026,12,31),DATE(2023,1,31),0.05,98,4)</f>
        <v>0.0552011095700416</v>
      </c>
      <c r="B10906" s="0" t="s">
        <v>10870</v>
      </c>
    </row>
    <row r="10907" customFormat="false" ht="15" hidden="false" customHeight="false" outlineLevel="0" collapsed="false">
      <c r="A10907" s="0" t="n">
        <f aca="false">ACCRINT(DATE(2024,1,31),DATE(2030,1,1),DATE(2026,12,31),0.05,1000,2,4)</f>
        <v>145.833333333333</v>
      </c>
      <c r="B10907" s="0" t="s">
        <v>10871</v>
      </c>
    </row>
    <row r="10908" customFormat="false" ht="15" hidden="false" customHeight="false" outlineLevel="0" collapsed="false">
      <c r="A10908" s="0" t="n">
        <f aca="false">DURATION(DATE(2024,1,31),DATE(2026,12,31),0.05,0.08,2,4)</f>
        <v>2.73074146481051</v>
      </c>
      <c r="B10908" s="0" t="s">
        <v>10872</v>
      </c>
    </row>
    <row r="10909" customFormat="false" ht="15" hidden="false" customHeight="false" outlineLevel="0" collapsed="false">
      <c r="A10909" s="0" t="n">
        <f aca="false">PRICE(DATE(2024,1,31),DATE(2026,12,31),0.05,0.08,100,2,4)</f>
        <v>92.3243792930573</v>
      </c>
      <c r="B10909" s="0" t="s">
        <v>10873</v>
      </c>
    </row>
    <row r="10910" customFormat="false" ht="15" hidden="false" customHeight="false" outlineLevel="0" collapsed="false">
      <c r="A10910" s="0" t="n">
        <f aca="false">YIELD(DATE(2024,1,31),DATE(2026,12,31),0.05,95,100,2,4)</f>
        <v>0.0692023734606049</v>
      </c>
      <c r="B10910" s="0" t="s">
        <v>10874</v>
      </c>
    </row>
    <row r="10911" customFormat="false" ht="15" hidden="false" customHeight="false" outlineLevel="0" collapsed="false">
      <c r="A10911" s="0" t="n">
        <f aca="false">TBILLPRICE(DATE(2024,1,31),DATE(2026,12,31),0.05)</f>
        <v>85.4027777777778</v>
      </c>
      <c r="B10911" s="0" t="s">
        <v>10875</v>
      </c>
    </row>
    <row r="10912" customFormat="false" ht="15" hidden="false" customHeight="false" outlineLevel="0" collapsed="false">
      <c r="A10912" s="0" t="e">
        <f aca="false">TBILLEQ(DATE(2024,1,31),DATE(2026,12,31),0.05)</f>
        <v>#VALUE!</v>
      </c>
      <c r="B10912" s="0" t="s">
        <v>10876</v>
      </c>
    </row>
    <row r="10913" customFormat="false" ht="15" hidden="false" customHeight="false" outlineLevel="0" collapsed="false">
      <c r="A10913" s="0" t="e">
        <f aca="false">TBILLYIELD(DATE(2024,1,31),DATE(2026,12,31),98)</f>
        <v>#VALUE!</v>
      </c>
      <c r="B10913" s="0" t="s">
        <v>10877</v>
      </c>
    </row>
    <row r="10914" customFormat="false" ht="15" hidden="false" customHeight="false" outlineLevel="0" collapsed="false">
      <c r="A10914" s="0" t="n">
        <f aca="false">PRICEDISC(DATE(2024,1,31),DATE(2027,2,28),0.05,100,0)</f>
        <v>84.625</v>
      </c>
      <c r="B10914" s="0" t="s">
        <v>10878</v>
      </c>
    </row>
    <row r="10915" customFormat="false" ht="15" hidden="false" customHeight="false" outlineLevel="0" collapsed="false">
      <c r="A10915" s="0" t="n">
        <f aca="false">RECEIVED(DATE(2024,1,31),DATE(2027,2,28),1000,0.05,0)</f>
        <v>1181.68389955687</v>
      </c>
      <c r="B10915" s="0" t="s">
        <v>10879</v>
      </c>
    </row>
    <row r="10916" customFormat="false" ht="15" hidden="false" customHeight="false" outlineLevel="0" collapsed="false">
      <c r="A10916" s="0" t="n">
        <f aca="false">INTRATE(DATE(2024,1,31),DATE(2027,2,28),1000,1050,0)</f>
        <v>0.016260162601626</v>
      </c>
      <c r="B10916" s="0" t="s">
        <v>10880</v>
      </c>
    </row>
    <row r="10917" customFormat="false" ht="15" hidden="false" customHeight="false" outlineLevel="0" collapsed="false">
      <c r="A10917" s="0" t="n">
        <f aca="false">DISC(DATE(2024,1,31),DATE(2027,2,28),95,100,0)</f>
        <v>0.016245487364621</v>
      </c>
      <c r="B10917" s="0" t="s">
        <v>10881</v>
      </c>
    </row>
    <row r="10918" customFormat="false" ht="15" hidden="false" customHeight="false" outlineLevel="0" collapsed="false">
      <c r="A10918" s="0" t="n">
        <f aca="false">YIELDDISC(DATE(2024,1,31),DATE(2027,2,28),95,100,0)</f>
        <v>0.0171005130153904</v>
      </c>
      <c r="B10918" s="0" t="s">
        <v>10882</v>
      </c>
    </row>
    <row r="10919" customFormat="false" ht="15" hidden="false" customHeight="false" outlineLevel="0" collapsed="false">
      <c r="A10919" s="0" t="n">
        <f aca="false">ACCRINTM(DATE(2024,1,31),DATE(2027,2,28),0.05,1000,0)</f>
        <v>153.75</v>
      </c>
      <c r="B10919" s="0" t="s">
        <v>10883</v>
      </c>
    </row>
    <row r="10920" customFormat="false" ht="15" hidden="false" customHeight="false" outlineLevel="0" collapsed="false">
      <c r="A10920" s="0" t="n">
        <f aca="false">PRICEMAT(DATE(2024,1,31),DATE(2027,2,28),DATE(2023,1,31),0.05,0.06,0)</f>
        <v>96.6225848808854</v>
      </c>
      <c r="B10920" s="0" t="s">
        <v>10884</v>
      </c>
    </row>
    <row r="10921" customFormat="false" ht="15" hidden="false" customHeight="false" outlineLevel="0" collapsed="false">
      <c r="A10921" s="0" t="n">
        <f aca="false">YIELDMAT(DATE(2024,1,31),DATE(2027,2,28),DATE(2023,1,31),0.05,98,0)</f>
        <v>0.0548526164522799</v>
      </c>
      <c r="B10921" s="0" t="s">
        <v>10885</v>
      </c>
    </row>
    <row r="10922" customFormat="false" ht="15" hidden="false" customHeight="false" outlineLevel="0" collapsed="false">
      <c r="A10922" s="0" t="n">
        <f aca="false">ACCRINT(DATE(2024,1,31),DATE(2030,1,1),DATE(2027,2,28),0.05,1000,2,0)</f>
        <v>153.75</v>
      </c>
      <c r="B10922" s="0" t="s">
        <v>10886</v>
      </c>
    </row>
    <row r="10923" customFormat="false" ht="15" hidden="false" customHeight="false" outlineLevel="0" collapsed="false">
      <c r="A10923" s="0" t="n">
        <f aca="false">DURATION(DATE(2024,1,31),DATE(2027,2,28),0.05,0.08,2,0)</f>
        <v>2.81751376281457</v>
      </c>
      <c r="B10923" s="0" t="s">
        <v>10887</v>
      </c>
    </row>
    <row r="10924" customFormat="false" ht="15" hidden="false" customHeight="false" outlineLevel="0" collapsed="false">
      <c r="A10924" s="0" t="n">
        <f aca="false">PRICE(DATE(2024,1,31),DATE(2027,2,28),0.05,0.08,100,2,0)</f>
        <v>91.9368584478332</v>
      </c>
      <c r="B10924" s="0" t="s">
        <v>10888</v>
      </c>
    </row>
    <row r="10925" customFormat="false" ht="15" hidden="false" customHeight="false" outlineLevel="0" collapsed="false">
      <c r="A10925" s="0" t="n">
        <f aca="false">YIELD(DATE(2024,1,31),DATE(2027,2,28),0.05,95,100,2,0)</f>
        <v>0.0682345927979648</v>
      </c>
      <c r="B10925" s="0" t="s">
        <v>10889</v>
      </c>
    </row>
    <row r="10926" customFormat="false" ht="15" hidden="false" customHeight="false" outlineLevel="0" collapsed="false">
      <c r="A10926" s="0" t="n">
        <f aca="false">PRICEDISC(DATE(2024,1,31),DATE(2027,2,28),0.05,100,1)</f>
        <v>84.6448087431694</v>
      </c>
      <c r="B10926" s="0" t="s">
        <v>10890</v>
      </c>
    </row>
    <row r="10927" customFormat="false" ht="15" hidden="false" customHeight="false" outlineLevel="0" collapsed="false">
      <c r="A10927" s="0" t="n">
        <f aca="false">RECEIVED(DATE(2024,1,31),DATE(2027,2,28),1000,0.05,1)</f>
        <v>1181.40735958683</v>
      </c>
      <c r="B10927" s="0" t="s">
        <v>10891</v>
      </c>
    </row>
    <row r="10928" customFormat="false" ht="15" hidden="false" customHeight="false" outlineLevel="0" collapsed="false">
      <c r="A10928" s="0" t="n">
        <f aca="false">INTRATE(DATE(2024,1,31),DATE(2027,2,28),1000,1050,1)</f>
        <v>0.0162811387900356</v>
      </c>
      <c r="B10928" s="0" t="s">
        <v>10892</v>
      </c>
    </row>
    <row r="10929" customFormat="false" ht="15" hidden="false" customHeight="false" outlineLevel="0" collapsed="false">
      <c r="A10929" s="0" t="n">
        <f aca="false">DISC(DATE(2024,1,31),DATE(2027,2,28),95,100,1)</f>
        <v>0.0162477758007118</v>
      </c>
      <c r="B10929" s="0" t="s">
        <v>10893</v>
      </c>
    </row>
    <row r="10930" customFormat="false" ht="15" hidden="false" customHeight="false" outlineLevel="0" collapsed="false">
      <c r="A10930" s="0" t="n">
        <f aca="false">YIELDDISC(DATE(2024,1,31),DATE(2027,2,28),95,100,1)</f>
        <v>0.017102921895486</v>
      </c>
      <c r="B10930" s="0" t="s">
        <v>10894</v>
      </c>
    </row>
    <row r="10931" customFormat="false" ht="15" hidden="false" customHeight="false" outlineLevel="0" collapsed="false">
      <c r="A10931" s="0" t="n">
        <f aca="false">ACCRINTM(DATE(2024,1,31),DATE(2027,2,28),0.05,1000,1)</f>
        <v>153.551912568306</v>
      </c>
      <c r="B10931" s="0" t="s">
        <v>10895</v>
      </c>
    </row>
    <row r="10932" customFormat="false" ht="15" hidden="false" customHeight="false" outlineLevel="0" collapsed="false">
      <c r="A10932" s="0" t="n">
        <f aca="false">PRICEMAT(DATE(2024,1,31),DATE(2027,2,28),DATE(2023,1,31),0.05,0.06,1)</f>
        <v>96.622453267907</v>
      </c>
      <c r="B10932" s="0" t="s">
        <v>10896</v>
      </c>
    </row>
    <row r="10933" customFormat="false" ht="15" hidden="false" customHeight="false" outlineLevel="0" collapsed="false">
      <c r="A10933" s="0" t="n">
        <f aca="false">YIELDMAT(DATE(2024,1,31),DATE(2027,2,28),DATE(2023,1,31),0.05,98,1)</f>
        <v>0.0548515124943051</v>
      </c>
      <c r="B10933" s="0" t="s">
        <v>10897</v>
      </c>
    </row>
    <row r="10934" customFormat="false" ht="15" hidden="false" customHeight="false" outlineLevel="0" collapsed="false">
      <c r="A10934" s="0" t="n">
        <f aca="false">ACCRINT(DATE(2024,1,31),DATE(2030,1,1),DATE(2027,2,28),0.05,1000,2,1)</f>
        <v>153.551912568306</v>
      </c>
      <c r="B10934" s="0" t="s">
        <v>10898</v>
      </c>
    </row>
    <row r="10935" customFormat="false" ht="15" hidden="false" customHeight="false" outlineLevel="0" collapsed="false">
      <c r="A10935" s="0" t="n">
        <f aca="false">DURATION(DATE(2024,1,31),DATE(2027,2,28),0.05,0.08,2,1)</f>
        <v>2.81708026977328</v>
      </c>
      <c r="B10935" s="0" t="s">
        <v>10899</v>
      </c>
    </row>
    <row r="10936" customFormat="false" ht="15" hidden="false" customHeight="false" outlineLevel="0" collapsed="false">
      <c r="A10936" s="0" t="n">
        <f aca="false">PRICE(DATE(2024,1,31),DATE(2027,2,28),0.05,0.08,100,2,1)</f>
        <v>91.9455622485348</v>
      </c>
      <c r="B10936" s="0" t="s">
        <v>10900</v>
      </c>
    </row>
    <row r="10937" customFormat="false" ht="15" hidden="false" customHeight="false" outlineLevel="0" collapsed="false">
      <c r="A10937" s="0" t="n">
        <f aca="false">YIELD(DATE(2024,1,31),DATE(2027,2,28),0.05,95,100,2,1)</f>
        <v>0.0682555087175547</v>
      </c>
      <c r="B10937" s="0" t="s">
        <v>10901</v>
      </c>
    </row>
    <row r="10938" customFormat="false" ht="15" hidden="false" customHeight="false" outlineLevel="0" collapsed="false">
      <c r="A10938" s="0" t="n">
        <f aca="false">PRICEDISC(DATE(2024,1,31),DATE(2027,2,28),0.05,100,4)</f>
        <v>84.625</v>
      </c>
      <c r="B10938" s="0" t="s">
        <v>10902</v>
      </c>
    </row>
    <row r="10939" customFormat="false" ht="15" hidden="false" customHeight="false" outlineLevel="0" collapsed="false">
      <c r="A10939" s="0" t="n">
        <f aca="false">RECEIVED(DATE(2024,1,31),DATE(2027,2,28),1000,0.05,4)</f>
        <v>1181.68389955687</v>
      </c>
      <c r="B10939" s="0" t="s">
        <v>10903</v>
      </c>
    </row>
    <row r="10940" customFormat="false" ht="15" hidden="false" customHeight="false" outlineLevel="0" collapsed="false">
      <c r="A10940" s="0" t="n">
        <f aca="false">INTRATE(DATE(2024,1,31),DATE(2027,2,28),1000,1050,4)</f>
        <v>0.016260162601626</v>
      </c>
      <c r="B10940" s="0" t="s">
        <v>10904</v>
      </c>
    </row>
    <row r="10941" customFormat="false" ht="15" hidden="false" customHeight="false" outlineLevel="0" collapsed="false">
      <c r="A10941" s="0" t="n">
        <f aca="false">DISC(DATE(2024,1,31),DATE(2027,2,28),95,100,4)</f>
        <v>0.016245487364621</v>
      </c>
      <c r="B10941" s="0" t="s">
        <v>10905</v>
      </c>
    </row>
    <row r="10942" customFormat="false" ht="15" hidden="false" customHeight="false" outlineLevel="0" collapsed="false">
      <c r="A10942" s="0" t="n">
        <f aca="false">YIELDDISC(DATE(2024,1,31),DATE(2027,2,28),95,100,4)</f>
        <v>0.0171005130153904</v>
      </c>
      <c r="B10942" s="0" t="s">
        <v>10906</v>
      </c>
    </row>
    <row r="10943" customFormat="false" ht="15" hidden="false" customHeight="false" outlineLevel="0" collapsed="false">
      <c r="A10943" s="0" t="n">
        <f aca="false">ACCRINTM(DATE(2024,1,31),DATE(2027,2,28),0.05,1000,4)</f>
        <v>153.75</v>
      </c>
      <c r="B10943" s="0" t="s">
        <v>10907</v>
      </c>
    </row>
    <row r="10944" customFormat="false" ht="15" hidden="false" customHeight="false" outlineLevel="0" collapsed="false">
      <c r="A10944" s="0" t="n">
        <f aca="false">PRICEMAT(DATE(2024,1,31),DATE(2027,2,28),DATE(2023,1,31),0.05,0.06,4)</f>
        <v>96.6225848808854</v>
      </c>
      <c r="B10944" s="0" t="s">
        <v>10908</v>
      </c>
    </row>
    <row r="10945" customFormat="false" ht="15" hidden="false" customHeight="false" outlineLevel="0" collapsed="false">
      <c r="A10945" s="0" t="n">
        <f aca="false">YIELDMAT(DATE(2024,1,31),DATE(2027,2,28),DATE(2023,1,31),0.05,98,4)</f>
        <v>0.0548526164522799</v>
      </c>
      <c r="B10945" s="0" t="s">
        <v>10909</v>
      </c>
    </row>
    <row r="10946" customFormat="false" ht="15" hidden="false" customHeight="false" outlineLevel="0" collapsed="false">
      <c r="A10946" s="0" t="n">
        <f aca="false">ACCRINT(DATE(2024,1,31),DATE(2030,1,1),DATE(2027,2,28),0.05,1000,2,4)</f>
        <v>153.75</v>
      </c>
      <c r="B10946" s="0" t="s">
        <v>10910</v>
      </c>
    </row>
    <row r="10947" customFormat="false" ht="15" hidden="false" customHeight="false" outlineLevel="0" collapsed="false">
      <c r="A10947" s="0" t="n">
        <f aca="false">DURATION(DATE(2024,1,31),DATE(2027,2,28),0.05,0.08,2,4)</f>
        <v>2.81751376281457</v>
      </c>
      <c r="B10947" s="0" t="s">
        <v>10911</v>
      </c>
    </row>
    <row r="10948" customFormat="false" ht="15" hidden="false" customHeight="false" outlineLevel="0" collapsed="false">
      <c r="A10948" s="0" t="n">
        <f aca="false">PRICE(DATE(2024,1,31),DATE(2027,2,28),0.05,0.08,100,2,4)</f>
        <v>91.9368584478332</v>
      </c>
      <c r="B10948" s="0" t="s">
        <v>10912</v>
      </c>
    </row>
    <row r="10949" customFormat="false" ht="15" hidden="false" customHeight="false" outlineLevel="0" collapsed="false">
      <c r="A10949" s="0" t="n">
        <f aca="false">YIELD(DATE(2024,1,31),DATE(2027,2,28),0.05,95,100,2,4)</f>
        <v>0.0682345927979648</v>
      </c>
      <c r="B10949" s="0" t="s">
        <v>10913</v>
      </c>
    </row>
    <row r="10950" customFormat="false" ht="15" hidden="false" customHeight="false" outlineLevel="0" collapsed="false">
      <c r="A10950" s="0" t="n">
        <f aca="false">TBILLPRICE(DATE(2024,1,31),DATE(2027,2,28),0.05)</f>
        <v>84.5694444444444</v>
      </c>
      <c r="B10950" s="0" t="s">
        <v>10914</v>
      </c>
    </row>
    <row r="10951" customFormat="false" ht="15" hidden="false" customHeight="false" outlineLevel="0" collapsed="false">
      <c r="A10951" s="0" t="e">
        <f aca="false">TBILLEQ(DATE(2024,1,31),DATE(2027,2,28),0.05)</f>
        <v>#VALUE!</v>
      </c>
      <c r="B10951" s="0" t="s">
        <v>10915</v>
      </c>
    </row>
    <row r="10952" customFormat="false" ht="15" hidden="false" customHeight="false" outlineLevel="0" collapsed="false">
      <c r="A10952" s="0" t="e">
        <f aca="false">TBILLYIELD(DATE(2024,1,31),DATE(2027,2,28),98)</f>
        <v>#VALUE!</v>
      </c>
      <c r="B10952" s="0" t="s">
        <v>10916</v>
      </c>
    </row>
    <row r="10953" customFormat="false" ht="15" hidden="false" customHeight="false" outlineLevel="0" collapsed="false">
      <c r="A10953" s="0" t="n">
        <f aca="false">PRICEDISC(DATE(2024,1,31),DATE(2025,1,30),0.05,100,0)</f>
        <v>95.0138888888889</v>
      </c>
      <c r="B10953" s="0" t="s">
        <v>10917</v>
      </c>
    </row>
    <row r="10954" customFormat="false" ht="15" hidden="false" customHeight="false" outlineLevel="0" collapsed="false">
      <c r="A10954" s="0" t="n">
        <f aca="false">RECEIVED(DATE(2024,1,31),DATE(2025,1,30),1000,0.05,0)</f>
        <v>1052.47770793744</v>
      </c>
      <c r="B10954" s="0" t="s">
        <v>10918</v>
      </c>
    </row>
    <row r="10955" customFormat="false" ht="15" hidden="false" customHeight="false" outlineLevel="0" collapsed="false">
      <c r="A10955" s="0" t="n">
        <f aca="false">INTRATE(DATE(2024,1,31),DATE(2025,1,30),1000,1050,0)</f>
        <v>0.0501392757660168</v>
      </c>
      <c r="B10955" s="0" t="s">
        <v>10919</v>
      </c>
    </row>
    <row r="10956" customFormat="false" ht="15" hidden="false" customHeight="false" outlineLevel="0" collapsed="false">
      <c r="A10956" s="0" t="n">
        <f aca="false">DISC(DATE(2024,1,31),DATE(2025,1,30),95,100,0)</f>
        <v>0.05</v>
      </c>
      <c r="B10956" s="0" t="s">
        <v>10920</v>
      </c>
    </row>
    <row r="10957" customFormat="false" ht="15" hidden="false" customHeight="false" outlineLevel="0" collapsed="false">
      <c r="A10957" s="0" t="n">
        <f aca="false">YIELDDISC(DATE(2024,1,31),DATE(2025,1,30),95,100,0)</f>
        <v>0.0526315789473684</v>
      </c>
      <c r="B10957" s="0" t="s">
        <v>10921</v>
      </c>
    </row>
    <row r="10958" customFormat="false" ht="15" hidden="false" customHeight="false" outlineLevel="0" collapsed="false">
      <c r="A10958" s="0" t="n">
        <f aca="false">ACCRINTM(DATE(2024,1,31),DATE(2025,1,30),0.05,1000,0)</f>
        <v>49.8611111111111</v>
      </c>
      <c r="B10958" s="0" t="s">
        <v>10922</v>
      </c>
    </row>
    <row r="10959" customFormat="false" ht="15" hidden="false" customHeight="false" outlineLevel="0" collapsed="false">
      <c r="A10959" s="0" t="n">
        <f aca="false">PRICEMAT(DATE(2024,1,31),DATE(2025,1,30),DATE(2023,1,31),0.05,0.06,0)</f>
        <v>98.7735849056604</v>
      </c>
      <c r="B10959" s="0" t="s">
        <v>10923</v>
      </c>
    </row>
    <row r="10960" customFormat="false" ht="15" hidden="false" customHeight="false" outlineLevel="0" collapsed="false">
      <c r="A10960" s="0" t="n">
        <f aca="false">YIELDMAT(DATE(2024,1,31),DATE(2025,1,30),DATE(2023,1,31),0.05,98,0)</f>
        <v>0.0679611650485437</v>
      </c>
      <c r="B10960" s="0" t="s">
        <v>10924</v>
      </c>
    </row>
    <row r="10961" customFormat="false" ht="15" hidden="false" customHeight="false" outlineLevel="0" collapsed="false">
      <c r="A10961" s="0" t="n">
        <f aca="false">ACCRINT(DATE(2024,1,31),DATE(2030,1,1),DATE(2025,1,30),0.05,1000,2,0)</f>
        <v>49.8611111111111</v>
      </c>
      <c r="B10961" s="0" t="s">
        <v>10925</v>
      </c>
    </row>
    <row r="10962" customFormat="false" ht="15" hidden="false" customHeight="false" outlineLevel="0" collapsed="false">
      <c r="A10962" s="0" t="n">
        <f aca="false">DURATION(DATE(2024,1,31),DATE(2025,1,30),0.05,0.08,2,0)</f>
        <v>0.987630827783064</v>
      </c>
      <c r="B10962" s="0" t="s">
        <v>10926</v>
      </c>
    </row>
    <row r="10963" customFormat="false" ht="15" hidden="false" customHeight="false" outlineLevel="0" collapsed="false">
      <c r="A10963" s="0" t="n">
        <f aca="false">PRICE(DATE(2024,1,31),DATE(2025,1,30),0.05,0.08,100,2,0)</f>
        <v>97.1708579881657</v>
      </c>
      <c r="B10963" s="0" t="s">
        <v>10927</v>
      </c>
    </row>
    <row r="10964" customFormat="false" ht="15" hidden="false" customHeight="false" outlineLevel="0" collapsed="false">
      <c r="A10964" s="0" t="n">
        <f aca="false">YIELD(DATE(2024,1,31),DATE(2025,1,30),0.05,95,100,2,0)</f>
        <v>0.103930285586916</v>
      </c>
      <c r="B10964" s="0" t="s">
        <v>10928</v>
      </c>
    </row>
    <row r="10965" customFormat="false" ht="15" hidden="false" customHeight="false" outlineLevel="0" collapsed="false">
      <c r="A10965" s="0" t="n">
        <f aca="false">PRICEDISC(DATE(2024,1,31),DATE(2025,1,30),0.05,100,1)</f>
        <v>95.0136612021858</v>
      </c>
      <c r="B10965" s="0" t="s">
        <v>10929</v>
      </c>
    </row>
    <row r="10966" customFormat="false" ht="15" hidden="false" customHeight="false" outlineLevel="0" collapsed="false">
      <c r="A10966" s="0" t="n">
        <f aca="false">RECEIVED(DATE(2024,1,31),DATE(2025,1,30),1000,0.05,1)</f>
        <v>1052.48023005032</v>
      </c>
      <c r="B10966" s="0" t="s">
        <v>10930</v>
      </c>
    </row>
    <row r="10967" customFormat="false" ht="15" hidden="false" customHeight="false" outlineLevel="0" collapsed="false">
      <c r="A10967" s="0" t="n">
        <f aca="false">INTRATE(DATE(2024,1,31),DATE(2025,1,30),1000,1050,1)</f>
        <v>0.0501369863013699</v>
      </c>
      <c r="B10967" s="0" t="s">
        <v>10931</v>
      </c>
    </row>
    <row r="10968" customFormat="false" ht="15" hidden="false" customHeight="false" outlineLevel="0" collapsed="false">
      <c r="A10968" s="0" t="n">
        <f aca="false">DISC(DATE(2024,1,31),DATE(2025,1,30),95,100,1)</f>
        <v>0.0501369863013699</v>
      </c>
      <c r="B10968" s="0" t="s">
        <v>10932</v>
      </c>
    </row>
    <row r="10969" customFormat="false" ht="15" hidden="false" customHeight="false" outlineLevel="0" collapsed="false">
      <c r="A10969" s="0" t="n">
        <f aca="false">YIELDDISC(DATE(2024,1,31),DATE(2025,1,30),95,100,1)</f>
        <v>0.0527757750540735</v>
      </c>
      <c r="B10969" s="0" t="s">
        <v>10933</v>
      </c>
    </row>
    <row r="10970" customFormat="false" ht="15" hidden="false" customHeight="false" outlineLevel="0" collapsed="false">
      <c r="A10970" s="0" t="n">
        <f aca="false">ACCRINTM(DATE(2024,1,31),DATE(2025,1,30),0.05,1000,1)</f>
        <v>49.8633879781421</v>
      </c>
      <c r="B10970" s="0" t="s">
        <v>10934</v>
      </c>
    </row>
    <row r="10971" customFormat="false" ht="15" hidden="false" customHeight="false" outlineLevel="0" collapsed="false">
      <c r="A10971" s="0" t="n">
        <f aca="false">PRICEMAT(DATE(2024,1,31),DATE(2025,1,30),DATE(2023,1,31),0.05,0.06,1)</f>
        <v>98.7810275430307</v>
      </c>
      <c r="B10971" s="0" t="s">
        <v>10935</v>
      </c>
    </row>
    <row r="10972" customFormat="false" ht="15" hidden="false" customHeight="false" outlineLevel="0" collapsed="false">
      <c r="A10972" s="0" t="n">
        <f aca="false">YIELDMAT(DATE(2024,1,31),DATE(2025,1,30),DATE(2023,1,31),0.05,98,1)</f>
        <v>0.06805853395243</v>
      </c>
      <c r="B10972" s="0" t="s">
        <v>10936</v>
      </c>
    </row>
    <row r="10973" customFormat="false" ht="15" hidden="false" customHeight="false" outlineLevel="0" collapsed="false">
      <c r="A10973" s="0" t="n">
        <f aca="false">ACCRINT(DATE(2024,1,31),DATE(2030,1,1),DATE(2025,1,30),0.05,1000,2,1)</f>
        <v>49.8633879781421</v>
      </c>
      <c r="B10973" s="0" t="s">
        <v>10937</v>
      </c>
    </row>
    <row r="10974" customFormat="false" ht="15" hidden="false" customHeight="false" outlineLevel="0" collapsed="false">
      <c r="A10974" s="0" t="n">
        <f aca="false">DURATION(DATE(2024,1,31),DATE(2025,1,30),0.05,0.08,2,1)</f>
        <v>0.984898587345905</v>
      </c>
      <c r="B10974" s="0" t="s">
        <v>10938</v>
      </c>
    </row>
    <row r="10975" customFormat="false" ht="15" hidden="false" customHeight="false" outlineLevel="0" collapsed="false">
      <c r="A10975" s="0" t="n">
        <f aca="false">PRICE(DATE(2024,1,31),DATE(2025,1,30),0.05,0.08,100,2,1)</f>
        <v>97.1780641476253</v>
      </c>
      <c r="B10975" s="0" t="s">
        <v>10939</v>
      </c>
    </row>
    <row r="10976" customFormat="false" ht="15" hidden="false" customHeight="false" outlineLevel="0" collapsed="false">
      <c r="A10976" s="0" t="n">
        <f aca="false">YIELD(DATE(2024,1,31),DATE(2025,1,30),0.05,95,100,2,1)</f>
        <v>0.104073191582768</v>
      </c>
      <c r="B10976" s="0" t="s">
        <v>10940</v>
      </c>
    </row>
    <row r="10977" customFormat="false" ht="15" hidden="false" customHeight="false" outlineLevel="0" collapsed="false">
      <c r="A10977" s="0" t="n">
        <f aca="false">PRICEDISC(DATE(2024,1,31),DATE(2025,1,30),0.05,100,4)</f>
        <v>95.0138888888889</v>
      </c>
      <c r="B10977" s="0" t="s">
        <v>10941</v>
      </c>
    </row>
    <row r="10978" customFormat="false" ht="15" hidden="false" customHeight="false" outlineLevel="0" collapsed="false">
      <c r="A10978" s="0" t="n">
        <f aca="false">RECEIVED(DATE(2024,1,31),DATE(2025,1,30),1000,0.05,4)</f>
        <v>1052.47770793744</v>
      </c>
      <c r="B10978" s="0" t="s">
        <v>10942</v>
      </c>
    </row>
    <row r="10979" customFormat="false" ht="15" hidden="false" customHeight="false" outlineLevel="0" collapsed="false">
      <c r="A10979" s="0" t="n">
        <f aca="false">INTRATE(DATE(2024,1,31),DATE(2025,1,30),1000,1050,4)</f>
        <v>0.0501392757660168</v>
      </c>
      <c r="B10979" s="0" t="s">
        <v>10943</v>
      </c>
    </row>
    <row r="10980" customFormat="false" ht="15" hidden="false" customHeight="false" outlineLevel="0" collapsed="false">
      <c r="A10980" s="0" t="n">
        <f aca="false">DISC(DATE(2024,1,31),DATE(2025,1,30),95,100,4)</f>
        <v>0.05</v>
      </c>
      <c r="B10980" s="0" t="s">
        <v>10944</v>
      </c>
    </row>
    <row r="10981" customFormat="false" ht="15" hidden="false" customHeight="false" outlineLevel="0" collapsed="false">
      <c r="A10981" s="0" t="n">
        <f aca="false">YIELDDISC(DATE(2024,1,31),DATE(2025,1,30),95,100,4)</f>
        <v>0.0526315789473684</v>
      </c>
      <c r="B10981" s="0" t="s">
        <v>10945</v>
      </c>
    </row>
    <row r="10982" customFormat="false" ht="15" hidden="false" customHeight="false" outlineLevel="0" collapsed="false">
      <c r="A10982" s="0" t="n">
        <f aca="false">ACCRINTM(DATE(2024,1,31),DATE(2025,1,30),0.05,1000,4)</f>
        <v>49.8611111111111</v>
      </c>
      <c r="B10982" s="0" t="s">
        <v>10946</v>
      </c>
    </row>
    <row r="10983" customFormat="false" ht="15" hidden="false" customHeight="false" outlineLevel="0" collapsed="false">
      <c r="A10983" s="0" t="n">
        <f aca="false">PRICEMAT(DATE(2024,1,31),DATE(2025,1,30),DATE(2023,1,31),0.05,0.06,4)</f>
        <v>98.7735849056604</v>
      </c>
      <c r="B10983" s="0" t="s">
        <v>10947</v>
      </c>
    </row>
    <row r="10984" customFormat="false" ht="15" hidden="false" customHeight="false" outlineLevel="0" collapsed="false">
      <c r="A10984" s="0" t="n">
        <f aca="false">YIELDMAT(DATE(2024,1,31),DATE(2025,1,30),DATE(2023,1,31),0.05,98,4)</f>
        <v>0.0679611650485437</v>
      </c>
      <c r="B10984" s="0" t="s">
        <v>10948</v>
      </c>
    </row>
    <row r="10985" customFormat="false" ht="15" hidden="false" customHeight="false" outlineLevel="0" collapsed="false">
      <c r="A10985" s="0" t="n">
        <f aca="false">ACCRINT(DATE(2024,1,31),DATE(2030,1,1),DATE(2025,1,30),0.05,1000,2,4)</f>
        <v>49.8611111111111</v>
      </c>
      <c r="B10985" s="0" t="s">
        <v>10949</v>
      </c>
    </row>
    <row r="10986" customFormat="false" ht="15" hidden="false" customHeight="false" outlineLevel="0" collapsed="false">
      <c r="A10986" s="0" t="n">
        <f aca="false">DURATION(DATE(2024,1,31),DATE(2025,1,30),0.05,0.08,2,4)</f>
        <v>0.987630827783064</v>
      </c>
      <c r="B10986" s="0" t="s">
        <v>10950</v>
      </c>
    </row>
    <row r="10987" customFormat="false" ht="15" hidden="false" customHeight="false" outlineLevel="0" collapsed="false">
      <c r="A10987" s="0" t="n">
        <f aca="false">PRICE(DATE(2024,1,31),DATE(2025,1,30),0.05,0.08,100,2,4)</f>
        <v>97.1708579881657</v>
      </c>
      <c r="B10987" s="0" t="s">
        <v>10951</v>
      </c>
    </row>
    <row r="10988" customFormat="false" ht="15" hidden="false" customHeight="false" outlineLevel="0" collapsed="false">
      <c r="A10988" s="0" t="n">
        <f aca="false">YIELD(DATE(2024,1,31),DATE(2025,1,30),0.05,95,100,2,4)</f>
        <v>0.103930285586916</v>
      </c>
      <c r="B10988" s="0" t="s">
        <v>10952</v>
      </c>
    </row>
    <row r="10989" customFormat="false" ht="15" hidden="false" customHeight="false" outlineLevel="0" collapsed="false">
      <c r="A10989" s="0" t="e">
        <f aca="false">TBILLPRICE(DATE(2024,1,31),DATE(2025,1,30),0.05)</f>
        <v>#VALUE!</v>
      </c>
      <c r="B10989" s="0" t="s">
        <v>10953</v>
      </c>
    </row>
    <row r="10990" customFormat="false" ht="15" hidden="false" customHeight="false" outlineLevel="0" collapsed="false">
      <c r="A10990" s="0" t="n">
        <f aca="false">TBILLEQ(DATE(2024,1,31),DATE(2025,1,30),0.05)</f>
        <v>0.0533625730994152</v>
      </c>
      <c r="B10990" s="0" t="s">
        <v>10954</v>
      </c>
    </row>
    <row r="10991" customFormat="false" ht="15" hidden="false" customHeight="false" outlineLevel="0" collapsed="false">
      <c r="A10991" s="0" t="e">
        <f aca="false">TBILLYIELD(DATE(2024,1,31),DATE(2025,1,30),98)</f>
        <v>#VALUE!</v>
      </c>
      <c r="B10991" s="0" t="s">
        <v>10955</v>
      </c>
    </row>
    <row r="10992" customFormat="false" ht="15" hidden="false" customHeight="false" outlineLevel="0" collapsed="false">
      <c r="A10992" s="0" t="n">
        <f aca="false">PRICEDISC(DATE(2024,1,31),DATE(2024,12,31),0.05,100,0)</f>
        <v>95.4166666666667</v>
      </c>
      <c r="B10992" s="0" t="s">
        <v>10956</v>
      </c>
    </row>
    <row r="10993" customFormat="false" ht="15" hidden="false" customHeight="false" outlineLevel="0" collapsed="false">
      <c r="A10993" s="0" t="n">
        <f aca="false">RECEIVED(DATE(2024,1,31),DATE(2024,12,31),1000,0.05,0)</f>
        <v>1048.03493449782</v>
      </c>
      <c r="B10993" s="0" t="s">
        <v>10957</v>
      </c>
    </row>
    <row r="10994" customFormat="false" ht="15" hidden="false" customHeight="false" outlineLevel="0" collapsed="false">
      <c r="A10994" s="0" t="n">
        <f aca="false">INTRATE(DATE(2024,1,31),DATE(2024,12,31),1000,1050,0)</f>
        <v>0.0545454545454546</v>
      </c>
      <c r="B10994" s="0" t="s">
        <v>10958</v>
      </c>
    </row>
    <row r="10995" customFormat="false" ht="15" hidden="false" customHeight="false" outlineLevel="0" collapsed="false">
      <c r="A10995" s="0" t="n">
        <f aca="false">DISC(DATE(2024,1,31),DATE(2024,12,31),95,100,0)</f>
        <v>0.0545454545454546</v>
      </c>
      <c r="B10995" s="0" t="s">
        <v>10959</v>
      </c>
    </row>
    <row r="10996" customFormat="false" ht="15" hidden="false" customHeight="false" outlineLevel="0" collapsed="false">
      <c r="A10996" s="0" t="n">
        <f aca="false">YIELDDISC(DATE(2024,1,31),DATE(2024,12,31),95,100,0)</f>
        <v>0.0574162679425837</v>
      </c>
      <c r="B10996" s="0" t="s">
        <v>10960</v>
      </c>
    </row>
    <row r="10997" customFormat="false" ht="15" hidden="false" customHeight="false" outlineLevel="0" collapsed="false">
      <c r="A10997" s="0" t="n">
        <f aca="false">ACCRINTM(DATE(2024,1,31),DATE(2024,12,31),0.05,1000,0)</f>
        <v>45.8333333333333</v>
      </c>
      <c r="B10997" s="0" t="s">
        <v>10961</v>
      </c>
    </row>
    <row r="10998" customFormat="false" ht="15" hidden="false" customHeight="false" outlineLevel="0" collapsed="false">
      <c r="A10998" s="0" t="n">
        <f aca="false">PRICEMAT(DATE(2024,1,31),DATE(2024,12,31),DATE(2023,1,31),0.05,0.06,0)</f>
        <v>98.870458135861</v>
      </c>
      <c r="B10998" s="0" t="s">
        <v>10962</v>
      </c>
    </row>
    <row r="10999" customFormat="false" ht="15" hidden="false" customHeight="false" outlineLevel="0" collapsed="false">
      <c r="A10999" s="0" t="n">
        <f aca="false">YIELDMAT(DATE(2024,1,31),DATE(2024,12,31),DATE(2023,1,31),0.05,98,0)</f>
        <v>0.0697263901147398</v>
      </c>
      <c r="B10999" s="0" t="s">
        <v>10963</v>
      </c>
    </row>
    <row r="11000" customFormat="false" ht="15" hidden="false" customHeight="false" outlineLevel="0" collapsed="false">
      <c r="A11000" s="0" t="n">
        <f aca="false">ACCRINT(DATE(2024,1,31),DATE(2030,1,1),DATE(2024,12,31),0.05,1000,2,0)</f>
        <v>45.8333333333333</v>
      </c>
      <c r="B11000" s="0" t="s">
        <v>10964</v>
      </c>
    </row>
    <row r="11001" customFormat="false" ht="15" hidden="false" customHeight="false" outlineLevel="0" collapsed="false">
      <c r="A11001" s="0" t="n">
        <f aca="false">DURATION(DATE(2024,1,31),DATE(2024,12,31),0.05,0.08,2,0)</f>
        <v>0.90429749444973</v>
      </c>
      <c r="B11001" s="0" t="s">
        <v>10965</v>
      </c>
    </row>
    <row r="11002" customFormat="false" ht="15" hidden="false" customHeight="false" outlineLevel="0" collapsed="false">
      <c r="A11002" s="0" t="n">
        <f aca="false">PRICE(DATE(2024,1,31),DATE(2024,12,31),0.05,0.08,100,2,0)</f>
        <v>97.3914569446798</v>
      </c>
      <c r="B11002" s="0" t="s">
        <v>10966</v>
      </c>
    </row>
    <row r="11003" customFormat="false" ht="15" hidden="false" customHeight="false" outlineLevel="0" collapsed="false">
      <c r="A11003" s="0" t="n">
        <f aca="false">YIELD(DATE(2024,1,31),DATE(2024,12,31),0.05,95,100,2,0)</f>
        <v>0.10866747907443</v>
      </c>
      <c r="B11003" s="0" t="s">
        <v>10967</v>
      </c>
    </row>
    <row r="11004" customFormat="false" ht="15" hidden="false" customHeight="false" outlineLevel="0" collapsed="false">
      <c r="A11004" s="0" t="n">
        <f aca="false">PRICEDISC(DATE(2024,1,31),DATE(2024,12,31),0.05,100,1)</f>
        <v>95.4234972677596</v>
      </c>
      <c r="B11004" s="0" t="s">
        <v>10968</v>
      </c>
    </row>
    <row r="11005" customFormat="false" ht="15" hidden="false" customHeight="false" outlineLevel="0" collapsed="false">
      <c r="A11005" s="0" t="n">
        <f aca="false">RECEIVED(DATE(2024,1,31),DATE(2024,12,31),1000,0.05,1)</f>
        <v>1047.95991410165</v>
      </c>
      <c r="B11005" s="0" t="s">
        <v>10969</v>
      </c>
    </row>
    <row r="11006" customFormat="false" ht="15" hidden="false" customHeight="false" outlineLevel="0" collapsed="false">
      <c r="A11006" s="0" t="n">
        <f aca="false">INTRATE(DATE(2024,1,31),DATE(2024,12,31),1000,1050,1)</f>
        <v>0.0546268656716418</v>
      </c>
      <c r="B11006" s="0" t="s">
        <v>10970</v>
      </c>
    </row>
    <row r="11007" customFormat="false" ht="15" hidden="false" customHeight="false" outlineLevel="0" collapsed="false">
      <c r="A11007" s="0" t="n">
        <f aca="false">DISC(DATE(2024,1,31),DATE(2024,12,31),95,100,1)</f>
        <v>0.0546268656716418</v>
      </c>
      <c r="B11007" s="0" t="s">
        <v>10971</v>
      </c>
    </row>
    <row r="11008" customFormat="false" ht="15" hidden="false" customHeight="false" outlineLevel="0" collapsed="false">
      <c r="A11008" s="0" t="n">
        <f aca="false">YIELDDISC(DATE(2024,1,31),DATE(2024,12,31),95,100,1)</f>
        <v>0.057501963864886</v>
      </c>
      <c r="B11008" s="0" t="s">
        <v>10972</v>
      </c>
    </row>
    <row r="11009" customFormat="false" ht="15" hidden="false" customHeight="false" outlineLevel="0" collapsed="false">
      <c r="A11009" s="0" t="n">
        <f aca="false">ACCRINTM(DATE(2024,1,31),DATE(2024,12,31),0.05,1000,1)</f>
        <v>45.7650273224044</v>
      </c>
      <c r="B11009" s="0" t="s">
        <v>10973</v>
      </c>
    </row>
    <row r="11010" customFormat="false" ht="15" hidden="false" customHeight="false" outlineLevel="0" collapsed="false">
      <c r="A11010" s="0" t="n">
        <f aca="false">PRICEMAT(DATE(2024,1,31),DATE(2024,12,31),DATE(2023,1,31),0.05,0.06,1)</f>
        <v>98.8715046922981</v>
      </c>
      <c r="B11010" s="0" t="s">
        <v>10974</v>
      </c>
    </row>
    <row r="11011" customFormat="false" ht="15" hidden="false" customHeight="false" outlineLevel="0" collapsed="false">
      <c r="A11011" s="0" t="n">
        <f aca="false">YIELDMAT(DATE(2024,1,31),DATE(2024,12,31),DATE(2023,1,31),0.05,98,1)</f>
        <v>0.0697518609388873</v>
      </c>
      <c r="B11011" s="0" t="s">
        <v>10975</v>
      </c>
    </row>
    <row r="11012" customFormat="false" ht="15" hidden="false" customHeight="false" outlineLevel="0" collapsed="false">
      <c r="A11012" s="0" t="n">
        <f aca="false">ACCRINT(DATE(2024,1,31),DATE(2030,1,1),DATE(2024,12,31),0.05,1000,2,1)</f>
        <v>45.7650273224044</v>
      </c>
      <c r="B11012" s="0" t="s">
        <v>10976</v>
      </c>
    </row>
    <row r="11013" customFormat="false" ht="15" hidden="false" customHeight="false" outlineLevel="0" collapsed="false">
      <c r="A11013" s="0" t="n">
        <f aca="false">DURATION(DATE(2024,1,31),DATE(2024,12,31),0.05,0.08,2,1)</f>
        <v>0.902931374231151</v>
      </c>
      <c r="B11013" s="0" t="s">
        <v>10977</v>
      </c>
    </row>
    <row r="11014" customFormat="false" ht="15" hidden="false" customHeight="false" outlineLevel="0" collapsed="false">
      <c r="A11014" s="0" t="n">
        <f aca="false">PRICE(DATE(2024,1,31),DATE(2024,12,31),0.05,0.08,100,2,1)</f>
        <v>97.3963521092643</v>
      </c>
      <c r="B11014" s="0" t="s">
        <v>10978</v>
      </c>
    </row>
    <row r="11015" customFormat="false" ht="15" hidden="false" customHeight="false" outlineLevel="0" collapsed="false">
      <c r="A11015" s="0" t="n">
        <f aca="false">YIELD(DATE(2024,1,31),DATE(2024,12,31),0.05,95,100,2,1)</f>
        <v>0.108781804037265</v>
      </c>
      <c r="B11015" s="0" t="s">
        <v>10979</v>
      </c>
    </row>
    <row r="11016" customFormat="false" ht="15" hidden="false" customHeight="false" outlineLevel="0" collapsed="false">
      <c r="A11016" s="0" t="n">
        <f aca="false">PRICEDISC(DATE(2024,1,31),DATE(2024,12,31),0.05,100,4)</f>
        <v>95.4166666666667</v>
      </c>
      <c r="B11016" s="0" t="s">
        <v>10980</v>
      </c>
    </row>
    <row r="11017" customFormat="false" ht="15" hidden="false" customHeight="false" outlineLevel="0" collapsed="false">
      <c r="A11017" s="0" t="n">
        <f aca="false">RECEIVED(DATE(2024,1,31),DATE(2024,12,31),1000,0.05,4)</f>
        <v>1048.03493449782</v>
      </c>
      <c r="B11017" s="0" t="s">
        <v>10981</v>
      </c>
    </row>
    <row r="11018" customFormat="false" ht="15" hidden="false" customHeight="false" outlineLevel="0" collapsed="false">
      <c r="A11018" s="0" t="n">
        <f aca="false">INTRATE(DATE(2024,1,31),DATE(2024,12,31),1000,1050,4)</f>
        <v>0.0545454545454546</v>
      </c>
      <c r="B11018" s="0" t="s">
        <v>10982</v>
      </c>
    </row>
    <row r="11019" customFormat="false" ht="15" hidden="false" customHeight="false" outlineLevel="0" collapsed="false">
      <c r="A11019" s="0" t="n">
        <f aca="false">DISC(DATE(2024,1,31),DATE(2024,12,31),95,100,4)</f>
        <v>0.0545454545454546</v>
      </c>
      <c r="B11019" s="0" t="s">
        <v>10983</v>
      </c>
    </row>
    <row r="11020" customFormat="false" ht="15" hidden="false" customHeight="false" outlineLevel="0" collapsed="false">
      <c r="A11020" s="0" t="n">
        <f aca="false">YIELDDISC(DATE(2024,1,31),DATE(2024,12,31),95,100,4)</f>
        <v>0.0574162679425837</v>
      </c>
      <c r="B11020" s="0" t="s">
        <v>10984</v>
      </c>
    </row>
    <row r="11021" customFormat="false" ht="15" hidden="false" customHeight="false" outlineLevel="0" collapsed="false">
      <c r="A11021" s="0" t="n">
        <f aca="false">ACCRINTM(DATE(2024,1,31),DATE(2024,12,31),0.05,1000,4)</f>
        <v>45.8333333333333</v>
      </c>
      <c r="B11021" s="0" t="s">
        <v>10985</v>
      </c>
    </row>
    <row r="11022" customFormat="false" ht="15" hidden="false" customHeight="false" outlineLevel="0" collapsed="false">
      <c r="A11022" s="0" t="n">
        <f aca="false">PRICEMAT(DATE(2024,1,31),DATE(2024,12,31),DATE(2023,1,31),0.05,0.06,4)</f>
        <v>98.870458135861</v>
      </c>
      <c r="B11022" s="0" t="s">
        <v>10986</v>
      </c>
    </row>
    <row r="11023" customFormat="false" ht="15" hidden="false" customHeight="false" outlineLevel="0" collapsed="false">
      <c r="A11023" s="0" t="n">
        <f aca="false">YIELDMAT(DATE(2024,1,31),DATE(2024,12,31),DATE(2023,1,31),0.05,98,4)</f>
        <v>0.0697263901147398</v>
      </c>
      <c r="B11023" s="0" t="s">
        <v>10987</v>
      </c>
    </row>
    <row r="11024" customFormat="false" ht="15" hidden="false" customHeight="false" outlineLevel="0" collapsed="false">
      <c r="A11024" s="0" t="n">
        <f aca="false">ACCRINT(DATE(2024,1,31),DATE(2030,1,1),DATE(2024,12,31),0.05,1000,2,4)</f>
        <v>45.8333333333333</v>
      </c>
      <c r="B11024" s="0" t="s">
        <v>10988</v>
      </c>
    </row>
    <row r="11025" customFormat="false" ht="15" hidden="false" customHeight="false" outlineLevel="0" collapsed="false">
      <c r="A11025" s="0" t="n">
        <f aca="false">DURATION(DATE(2024,1,31),DATE(2024,12,31),0.05,0.08,2,4)</f>
        <v>0.90429749444973</v>
      </c>
      <c r="B11025" s="0" t="s">
        <v>10989</v>
      </c>
    </row>
    <row r="11026" customFormat="false" ht="15" hidden="false" customHeight="false" outlineLevel="0" collapsed="false">
      <c r="A11026" s="0" t="n">
        <f aca="false">PRICE(DATE(2024,1,31),DATE(2024,12,31),0.05,0.08,100,2,4)</f>
        <v>97.3914569446798</v>
      </c>
      <c r="B11026" s="0" t="s">
        <v>10990</v>
      </c>
    </row>
    <row r="11027" customFormat="false" ht="15" hidden="false" customHeight="false" outlineLevel="0" collapsed="false">
      <c r="A11027" s="0" t="n">
        <f aca="false">YIELD(DATE(2024,1,31),DATE(2024,12,31),0.05,95,100,2,4)</f>
        <v>0.10866747907443</v>
      </c>
      <c r="B11027" s="0" t="s">
        <v>10991</v>
      </c>
    </row>
    <row r="11028" customFormat="false" ht="15" hidden="false" customHeight="false" outlineLevel="0" collapsed="false">
      <c r="A11028" s="0" t="n">
        <f aca="false">TBILLPRICE(DATE(2024,1,31),DATE(2024,12,31),0.05)</f>
        <v>95.4027777777778</v>
      </c>
      <c r="B11028" s="0" t="s">
        <v>10992</v>
      </c>
    </row>
    <row r="11029" customFormat="false" ht="15" hidden="false" customHeight="false" outlineLevel="0" collapsed="false">
      <c r="A11029" s="0" t="n">
        <f aca="false">TBILLEQ(DATE(2024,1,31),DATE(2024,12,31),0.05)</f>
        <v>0.0531372834473723</v>
      </c>
      <c r="B11029" s="0" t="s">
        <v>10993</v>
      </c>
    </row>
    <row r="11030" customFormat="false" ht="15" hidden="false" customHeight="false" outlineLevel="0" collapsed="false">
      <c r="A11030" s="0" t="n">
        <f aca="false">TBILLYIELD(DATE(2024,1,31),DATE(2024,12,31),98)</f>
        <v>0.0221961896541094</v>
      </c>
      <c r="B11030" s="0" t="s">
        <v>10994</v>
      </c>
    </row>
    <row r="11031" customFormat="false" ht="15" hidden="false" customHeight="false" outlineLevel="0" collapsed="false">
      <c r="A11031" s="0" t="n">
        <f aca="false">PRICEDISC(DATE(2024,2,28),DATE(2025,2,28),0.05,100,0)</f>
        <v>95</v>
      </c>
      <c r="B11031" s="0" t="s">
        <v>10995</v>
      </c>
    </row>
    <row r="11032" customFormat="false" ht="15" hidden="false" customHeight="false" outlineLevel="0" collapsed="false">
      <c r="A11032" s="0" t="n">
        <f aca="false">RECEIVED(DATE(2024,2,28),DATE(2025,2,28),1000,0.05,0)</f>
        <v>1052.63157894737</v>
      </c>
      <c r="B11032" s="0" t="s">
        <v>10996</v>
      </c>
    </row>
    <row r="11033" customFormat="false" ht="15" hidden="false" customHeight="false" outlineLevel="0" collapsed="false">
      <c r="A11033" s="0" t="n">
        <f aca="false">INTRATE(DATE(2024,2,28),DATE(2025,2,28),1000,1050,0)</f>
        <v>0.05</v>
      </c>
      <c r="B11033" s="0" t="s">
        <v>10997</v>
      </c>
    </row>
    <row r="11034" customFormat="false" ht="15" hidden="false" customHeight="false" outlineLevel="0" collapsed="false">
      <c r="A11034" s="0" t="n">
        <f aca="false">DISC(DATE(2024,2,28),DATE(2025,2,28),95,100,0)</f>
        <v>0.05</v>
      </c>
      <c r="B11034" s="0" t="s">
        <v>10998</v>
      </c>
    </row>
    <row r="11035" customFormat="false" ht="15" hidden="false" customHeight="false" outlineLevel="0" collapsed="false">
      <c r="A11035" s="0" t="n">
        <f aca="false">YIELDDISC(DATE(2024,2,28),DATE(2025,2,28),95,100,0)</f>
        <v>0.0526315789473684</v>
      </c>
      <c r="B11035" s="0" t="s">
        <v>10999</v>
      </c>
    </row>
    <row r="11036" customFormat="false" ht="15" hidden="false" customHeight="false" outlineLevel="0" collapsed="false">
      <c r="A11036" s="0" t="n">
        <f aca="false">ACCRINTM(DATE(2024,2,28),DATE(2025,2,28),0.05,1000,0)</f>
        <v>50</v>
      </c>
      <c r="B11036" s="0" t="s">
        <v>11000</v>
      </c>
    </row>
    <row r="11037" customFormat="false" ht="15" hidden="false" customHeight="false" outlineLevel="0" collapsed="false">
      <c r="A11037" s="0" t="n">
        <f aca="false">PRICEMAT(DATE(2024,2,28),DATE(2025,2,28),DATE(2023,1,31),0.05,0.06,0)</f>
        <v>98.751572327044</v>
      </c>
      <c r="B11037" s="0" t="s">
        <v>11001</v>
      </c>
    </row>
    <row r="11038" customFormat="false" ht="15" hidden="false" customHeight="false" outlineLevel="0" collapsed="false">
      <c r="A11038" s="0" t="n">
        <f aca="false">YIELDMAT(DATE(2024,2,28),DATE(2025,2,28),DATE(2023,1,31),0.05,98,0)</f>
        <v>0.0677055346587856</v>
      </c>
      <c r="B11038" s="0" t="s">
        <v>11002</v>
      </c>
    </row>
    <row r="11039" customFormat="false" ht="15" hidden="false" customHeight="false" outlineLevel="0" collapsed="false">
      <c r="A11039" s="0" t="n">
        <f aca="false">ACCRINT(DATE(2024,2,28),DATE(2030,1,1),DATE(2025,2,28),0.05,1000,2,0)</f>
        <v>50</v>
      </c>
      <c r="B11039" s="0" t="s">
        <v>11003</v>
      </c>
    </row>
    <row r="11040" customFormat="false" ht="15" hidden="false" customHeight="false" outlineLevel="0" collapsed="false">
      <c r="A11040" s="0" t="n">
        <f aca="false">DURATION(DATE(2024,2,28),DATE(2025,2,28),0.05,0.08,2,0)</f>
        <v>0.962858521019628</v>
      </c>
      <c r="B11040" s="0" t="s">
        <v>11004</v>
      </c>
    </row>
    <row r="11041" customFormat="false" ht="15" hidden="false" customHeight="false" outlineLevel="0" collapsed="false">
      <c r="A11041" s="0" t="n">
        <f aca="false">PRICE(DATE(2024,2,28),DATE(2025,2,28),0.05,0.08,100,2,0)</f>
        <v>97.1552100939864</v>
      </c>
      <c r="B11041" s="0" t="s">
        <v>11005</v>
      </c>
    </row>
    <row r="11042" customFormat="false" ht="15" hidden="false" customHeight="false" outlineLevel="0" collapsed="false">
      <c r="A11042" s="0" t="n">
        <f aca="false">YIELD(DATE(2024,2,28),DATE(2025,2,28),0.05,95,100,2,0)</f>
        <v>0.103628166317822</v>
      </c>
      <c r="B11042" s="0" t="s">
        <v>11006</v>
      </c>
    </row>
    <row r="11043" customFormat="false" ht="15" hidden="false" customHeight="false" outlineLevel="0" collapsed="false">
      <c r="A11043" s="0" t="n">
        <f aca="false">PRICEDISC(DATE(2024,2,28),DATE(2025,2,28),0.05,100,1)</f>
        <v>95</v>
      </c>
      <c r="B11043" s="0" t="s">
        <v>11007</v>
      </c>
    </row>
    <row r="11044" customFormat="false" ht="15" hidden="false" customHeight="false" outlineLevel="0" collapsed="false">
      <c r="A11044" s="0" t="n">
        <f aca="false">RECEIVED(DATE(2024,2,28),DATE(2025,2,28),1000,0.05,1)</f>
        <v>1052.63157894737</v>
      </c>
      <c r="B11044" s="0" t="s">
        <v>11008</v>
      </c>
    </row>
    <row r="11045" customFormat="false" ht="15" hidden="false" customHeight="false" outlineLevel="0" collapsed="false">
      <c r="A11045" s="0" t="n">
        <f aca="false">INTRATE(DATE(2024,2,28),DATE(2025,2,28),1000,1050,1)</f>
        <v>0.05</v>
      </c>
      <c r="B11045" s="0" t="s">
        <v>11009</v>
      </c>
    </row>
    <row r="11046" customFormat="false" ht="15" hidden="false" customHeight="false" outlineLevel="0" collapsed="false">
      <c r="A11046" s="0" t="n">
        <f aca="false">DISC(DATE(2024,2,28),DATE(2025,2,28),95,100,1)</f>
        <v>0.05</v>
      </c>
      <c r="B11046" s="0" t="s">
        <v>11010</v>
      </c>
    </row>
    <row r="11047" customFormat="false" ht="15" hidden="false" customHeight="false" outlineLevel="0" collapsed="false">
      <c r="A11047" s="0" t="n">
        <f aca="false">YIELDDISC(DATE(2024,2,28),DATE(2025,2,28),95,100,1)</f>
        <v>0.0526315789473684</v>
      </c>
      <c r="B11047" s="0" t="s">
        <v>11011</v>
      </c>
    </row>
    <row r="11048" customFormat="false" ht="15" hidden="false" customHeight="false" outlineLevel="0" collapsed="false">
      <c r="A11048" s="0" t="n">
        <f aca="false">ACCRINTM(DATE(2024,2,28),DATE(2025,2,28),0.05,1000,1)</f>
        <v>50</v>
      </c>
      <c r="B11048" s="0" t="s">
        <v>11012</v>
      </c>
    </row>
    <row r="11049" customFormat="false" ht="15" hidden="false" customHeight="false" outlineLevel="0" collapsed="false">
      <c r="A11049" s="0" t="n">
        <f aca="false">PRICEMAT(DATE(2024,2,28),DATE(2025,2,28),DATE(2023,1,31),0.05,0.06,1)</f>
        <v>98.7632121818663</v>
      </c>
      <c r="B11049" s="0" t="s">
        <v>11013</v>
      </c>
    </row>
    <row r="11050" customFormat="false" ht="15" hidden="false" customHeight="false" outlineLevel="0" collapsed="false">
      <c r="A11050" s="0" t="n">
        <f aca="false">YIELDMAT(DATE(2024,2,28),DATE(2025,2,28),DATE(2023,1,31),0.05,98,1)</f>
        <v>0.0678258335703057</v>
      </c>
      <c r="B11050" s="0" t="s">
        <v>11014</v>
      </c>
    </row>
    <row r="11051" customFormat="false" ht="15" hidden="false" customHeight="false" outlineLevel="0" collapsed="false">
      <c r="A11051" s="0" t="n">
        <f aca="false">ACCRINT(DATE(2024,2,28),DATE(2030,1,1),DATE(2025,2,28),0.05,1000,2,1)</f>
        <v>50</v>
      </c>
      <c r="B11051" s="0" t="s">
        <v>11015</v>
      </c>
    </row>
    <row r="11052" customFormat="false" ht="15" hidden="false" customHeight="false" outlineLevel="0" collapsed="false">
      <c r="A11052" s="0" t="n">
        <f aca="false">DURATION(DATE(2024,2,28),DATE(2025,2,28),0.05,0.08,2,1)</f>
        <v>0.962858521019628</v>
      </c>
      <c r="B11052" s="0" t="s">
        <v>11016</v>
      </c>
    </row>
    <row r="11053" customFormat="false" ht="15" hidden="false" customHeight="false" outlineLevel="0" collapsed="false">
      <c r="A11053" s="0" t="n">
        <f aca="false">PRICE(DATE(2024,2,28),DATE(2025,2,28),0.05,0.08,100,2,1)</f>
        <v>97.1631176532645</v>
      </c>
      <c r="B11053" s="0" t="s">
        <v>11017</v>
      </c>
    </row>
    <row r="11054" customFormat="false" ht="15" hidden="false" customHeight="false" outlineLevel="0" collapsed="false">
      <c r="A11054" s="0" t="n">
        <f aca="false">YIELD(DATE(2024,2,28),DATE(2025,2,28),0.05,95,100,2,1)</f>
        <v>0.10378043431139</v>
      </c>
      <c r="B11054" s="0" t="s">
        <v>11018</v>
      </c>
    </row>
    <row r="11055" customFormat="false" ht="15" hidden="false" customHeight="false" outlineLevel="0" collapsed="false">
      <c r="A11055" s="0" t="n">
        <f aca="false">PRICEDISC(DATE(2024,2,28),DATE(2025,2,28),0.05,100,4)</f>
        <v>95</v>
      </c>
      <c r="B11055" s="0" t="s">
        <v>11019</v>
      </c>
    </row>
    <row r="11056" customFormat="false" ht="15" hidden="false" customHeight="false" outlineLevel="0" collapsed="false">
      <c r="A11056" s="0" t="n">
        <f aca="false">RECEIVED(DATE(2024,2,28),DATE(2025,2,28),1000,0.05,4)</f>
        <v>1052.63157894737</v>
      </c>
      <c r="B11056" s="0" t="s">
        <v>11020</v>
      </c>
    </row>
    <row r="11057" customFormat="false" ht="15" hidden="false" customHeight="false" outlineLevel="0" collapsed="false">
      <c r="A11057" s="0" t="n">
        <f aca="false">INTRATE(DATE(2024,2,28),DATE(2025,2,28),1000,1050,4)</f>
        <v>0.05</v>
      </c>
      <c r="B11057" s="0" t="s">
        <v>11021</v>
      </c>
    </row>
    <row r="11058" customFormat="false" ht="15" hidden="false" customHeight="false" outlineLevel="0" collapsed="false">
      <c r="A11058" s="0" t="n">
        <f aca="false">DISC(DATE(2024,2,28),DATE(2025,2,28),95,100,4)</f>
        <v>0.05</v>
      </c>
      <c r="B11058" s="0" t="s">
        <v>11022</v>
      </c>
    </row>
    <row r="11059" customFormat="false" ht="15" hidden="false" customHeight="false" outlineLevel="0" collapsed="false">
      <c r="A11059" s="0" t="n">
        <f aca="false">YIELDDISC(DATE(2024,2,28),DATE(2025,2,28),95,100,4)</f>
        <v>0.0526315789473684</v>
      </c>
      <c r="B11059" s="0" t="s">
        <v>11023</v>
      </c>
    </row>
    <row r="11060" customFormat="false" ht="15" hidden="false" customHeight="false" outlineLevel="0" collapsed="false">
      <c r="A11060" s="0" t="n">
        <f aca="false">ACCRINTM(DATE(2024,2,28),DATE(2025,2,28),0.05,1000,4)</f>
        <v>50</v>
      </c>
      <c r="B11060" s="0" t="s">
        <v>11024</v>
      </c>
    </row>
    <row r="11061" customFormat="false" ht="15" hidden="false" customHeight="false" outlineLevel="0" collapsed="false">
      <c r="A11061" s="0" t="n">
        <f aca="false">PRICEMAT(DATE(2024,2,28),DATE(2025,2,28),DATE(2023,1,31),0.05,0.06,4)</f>
        <v>98.751572327044</v>
      </c>
      <c r="B11061" s="0" t="s">
        <v>11025</v>
      </c>
    </row>
    <row r="11062" customFormat="false" ht="15" hidden="false" customHeight="false" outlineLevel="0" collapsed="false">
      <c r="A11062" s="0" t="n">
        <f aca="false">YIELDMAT(DATE(2024,2,28),DATE(2025,2,28),DATE(2023,1,31),0.05,98,4)</f>
        <v>0.0677055346587856</v>
      </c>
      <c r="B11062" s="0" t="s">
        <v>11026</v>
      </c>
    </row>
    <row r="11063" customFormat="false" ht="15" hidden="false" customHeight="false" outlineLevel="0" collapsed="false">
      <c r="A11063" s="0" t="n">
        <f aca="false">ACCRINT(DATE(2024,2,28),DATE(2030,1,1),DATE(2025,2,28),0.05,1000,2,4)</f>
        <v>50</v>
      </c>
      <c r="B11063" s="0" t="s">
        <v>11027</v>
      </c>
    </row>
    <row r="11064" customFormat="false" ht="15" hidden="false" customHeight="false" outlineLevel="0" collapsed="false">
      <c r="A11064" s="0" t="n">
        <f aca="false">DURATION(DATE(2024,2,28),DATE(2025,2,28),0.05,0.08,2,4)</f>
        <v>0.962858521019628</v>
      </c>
      <c r="B11064" s="0" t="s">
        <v>11028</v>
      </c>
    </row>
    <row r="11065" customFormat="false" ht="15" hidden="false" customHeight="false" outlineLevel="0" collapsed="false">
      <c r="A11065" s="0" t="n">
        <f aca="false">PRICE(DATE(2024,2,28),DATE(2025,2,28),0.05,0.08,100,2,4)</f>
        <v>97.1552100939864</v>
      </c>
      <c r="B11065" s="0" t="s">
        <v>11029</v>
      </c>
    </row>
    <row r="11066" customFormat="false" ht="15" hidden="false" customHeight="false" outlineLevel="0" collapsed="false">
      <c r="A11066" s="0" t="n">
        <f aca="false">YIELD(DATE(2024,2,28),DATE(2025,2,28),0.05,95,100,2,4)</f>
        <v>0.103628166317822</v>
      </c>
      <c r="B11066" s="0" t="s">
        <v>11030</v>
      </c>
    </row>
    <row r="11067" customFormat="false" ht="15" hidden="false" customHeight="false" outlineLevel="0" collapsed="false">
      <c r="A11067" s="0" t="n">
        <f aca="false">TBILLPRICE(DATE(2024,2,28),DATE(2025,2,28),0.05)</f>
        <v>94.9583333333333</v>
      </c>
      <c r="B11067" s="0" t="s">
        <v>11031</v>
      </c>
    </row>
    <row r="11068" customFormat="false" ht="15" hidden="false" customHeight="false" outlineLevel="0" collapsed="false">
      <c r="A11068" s="0" t="e">
        <f aca="false">TBILLEQ(DATE(2024,2,28),DATE(2025,2,28),0.05)</f>
        <v>#VALUE!</v>
      </c>
      <c r="B11068" s="0" t="s">
        <v>11032</v>
      </c>
    </row>
    <row r="11069" customFormat="false" ht="15" hidden="false" customHeight="false" outlineLevel="0" collapsed="false">
      <c r="A11069" s="0" t="n">
        <f aca="false">PRICEDISC(DATE(2024,2,28),DATE(2025,3,31),0.05,100,0)</f>
        <v>94.5416666666667</v>
      </c>
      <c r="B11069" s="0" t="s">
        <v>11033</v>
      </c>
    </row>
    <row r="11070" customFormat="false" ht="15" hidden="false" customHeight="false" outlineLevel="0" collapsed="false">
      <c r="A11070" s="0" t="n">
        <f aca="false">RECEIVED(DATE(2024,2,28),DATE(2025,3,31),1000,0.05,0)</f>
        <v>1057.73468488321</v>
      </c>
      <c r="B11070" s="0" t="s">
        <v>11034</v>
      </c>
    </row>
    <row r="11071" customFormat="false" ht="15" hidden="false" customHeight="false" outlineLevel="0" collapsed="false">
      <c r="A11071" s="0" t="n">
        <f aca="false">INTRATE(DATE(2024,2,28),DATE(2025,3,31),1000,1050,0)</f>
        <v>0.0458015267175573</v>
      </c>
      <c r="B11071" s="0" t="s">
        <v>11035</v>
      </c>
    </row>
    <row r="11072" customFormat="false" ht="15" hidden="false" customHeight="false" outlineLevel="0" collapsed="false">
      <c r="A11072" s="0" t="n">
        <f aca="false">DISC(DATE(2024,2,28),DATE(2025,3,31),95,100,0)</f>
        <v>0.0458015267175573</v>
      </c>
      <c r="B11072" s="0" t="s">
        <v>11036</v>
      </c>
    </row>
    <row r="11073" customFormat="false" ht="15" hidden="false" customHeight="false" outlineLevel="0" collapsed="false">
      <c r="A11073" s="0" t="n">
        <f aca="false">YIELDDISC(DATE(2024,2,28),DATE(2025,3,31),95,100,0)</f>
        <v>0.0482121333869023</v>
      </c>
      <c r="B11073" s="0" t="s">
        <v>11037</v>
      </c>
    </row>
    <row r="11074" customFormat="false" ht="15" hidden="false" customHeight="false" outlineLevel="0" collapsed="false">
      <c r="A11074" s="0" t="n">
        <f aca="false">ACCRINTM(DATE(2024,2,28),DATE(2025,3,31),0.05,1000,0)</f>
        <v>54.5833333333333</v>
      </c>
      <c r="B11074" s="0" t="s">
        <v>11038</v>
      </c>
    </row>
    <row r="11075" customFormat="false" ht="15" hidden="false" customHeight="false" outlineLevel="0" collapsed="false">
      <c r="A11075" s="0" t="n">
        <f aca="false">PRICEMAT(DATE(2024,2,28),DATE(2025,3,31),DATE(2023,1,31),0.05,0.06,0)</f>
        <v>98.6311330100631</v>
      </c>
      <c r="B11075" s="0" t="s">
        <v>11039</v>
      </c>
    </row>
    <row r="11076" customFormat="false" ht="15" hidden="false" customHeight="false" outlineLevel="0" collapsed="false">
      <c r="A11076" s="0" t="n">
        <f aca="false">YIELDMAT(DATE(2024,2,28),DATE(2025,3,31),DATE(2023,1,31),0.05,98,0)</f>
        <v>0.065958136272463</v>
      </c>
      <c r="B11076" s="0" t="s">
        <v>11040</v>
      </c>
    </row>
    <row r="11077" customFormat="false" ht="15" hidden="false" customHeight="false" outlineLevel="0" collapsed="false">
      <c r="A11077" s="0" t="n">
        <f aca="false">ACCRINT(DATE(2024,2,28),DATE(2030,1,1),DATE(2025,3,31),0.05,1000,2,0)</f>
        <v>54.5833333333333</v>
      </c>
      <c r="B11077" s="0" t="s">
        <v>11041</v>
      </c>
    </row>
    <row r="11078" customFormat="false" ht="15" hidden="false" customHeight="false" outlineLevel="0" collapsed="false">
      <c r="A11078" s="0" t="n">
        <f aca="false">DURATION(DATE(2024,2,28),DATE(2025,3,31),0.05,0.08,2,0)</f>
        <v>1.05452518768629</v>
      </c>
      <c r="B11078" s="0" t="s">
        <v>11042</v>
      </c>
    </row>
    <row r="11079" customFormat="false" ht="15" hidden="false" customHeight="false" outlineLevel="0" collapsed="false">
      <c r="A11079" s="0" t="n">
        <f aca="false">PRICE(DATE(2024,2,28),DATE(2025,3,31),0.05,0.08,100,2,0)</f>
        <v>96.9227574912438</v>
      </c>
      <c r="B11079" s="0" t="s">
        <v>11043</v>
      </c>
    </row>
    <row r="11080" customFormat="false" ht="15" hidden="false" customHeight="false" outlineLevel="0" collapsed="false">
      <c r="A11080" s="0" t="n">
        <f aca="false">YIELD(DATE(2024,2,28),DATE(2025,3,31),0.05,95,100,2,0)</f>
        <v>0.099494027785581</v>
      </c>
      <c r="B11080" s="0" t="s">
        <v>11044</v>
      </c>
    </row>
    <row r="11081" customFormat="false" ht="15" hidden="false" customHeight="false" outlineLevel="0" collapsed="false">
      <c r="A11081" s="0" t="n">
        <f aca="false">PRICEDISC(DATE(2024,2,28),DATE(2025,3,31),0.05,100,1)</f>
        <v>94.5765027322404</v>
      </c>
      <c r="B11081" s="0" t="s">
        <v>11045</v>
      </c>
    </row>
    <row r="11082" customFormat="false" ht="15" hidden="false" customHeight="false" outlineLevel="0" collapsed="false">
      <c r="A11082" s="0" t="n">
        <f aca="false">RECEIVED(DATE(2024,2,28),DATE(2025,3,31),1000,0.05,1)</f>
        <v>1057.34508161202</v>
      </c>
      <c r="B11082" s="0" t="s">
        <v>11046</v>
      </c>
    </row>
    <row r="11083" customFormat="false" ht="15" hidden="false" customHeight="false" outlineLevel="0" collapsed="false">
      <c r="A11083" s="0" t="n">
        <f aca="false">INTRATE(DATE(2024,2,28),DATE(2025,3,31),1000,1050,1)</f>
        <v>0.046095717884131</v>
      </c>
      <c r="B11083" s="0" t="s">
        <v>11047</v>
      </c>
    </row>
    <row r="11084" customFormat="false" ht="15" hidden="false" customHeight="false" outlineLevel="0" collapsed="false">
      <c r="A11084" s="0" t="n">
        <f aca="false">DISC(DATE(2024,2,28),DATE(2025,3,31),95,100,1)</f>
        <v>0.0460327455919396</v>
      </c>
      <c r="B11084" s="0" t="s">
        <v>11048</v>
      </c>
    </row>
    <row r="11085" customFormat="false" ht="15" hidden="false" customHeight="false" outlineLevel="0" collapsed="false">
      <c r="A11085" s="0" t="n">
        <f aca="false">YIELDDISC(DATE(2024,2,28),DATE(2025,3,31),95,100,1)</f>
        <v>0.0484555216757258</v>
      </c>
      <c r="B11085" s="0" t="s">
        <v>11049</v>
      </c>
    </row>
    <row r="11086" customFormat="false" ht="15" hidden="false" customHeight="false" outlineLevel="0" collapsed="false">
      <c r="A11086" s="0" t="n">
        <f aca="false">ACCRINTM(DATE(2024,2,28),DATE(2025,3,31),0.05,1000,1)</f>
        <v>54.2349726775956</v>
      </c>
      <c r="B11086" s="0" t="s">
        <v>11050</v>
      </c>
    </row>
    <row r="11087" customFormat="false" ht="15" hidden="false" customHeight="false" outlineLevel="0" collapsed="false">
      <c r="A11087" s="0" t="n">
        <f aca="false">PRICEMAT(DATE(2024,2,28),DATE(2025,3,31),DATE(2023,1,31),0.05,0.06,1)</f>
        <v>98.6559668010566</v>
      </c>
      <c r="B11087" s="0" t="s">
        <v>11051</v>
      </c>
    </row>
    <row r="11088" customFormat="false" ht="15" hidden="false" customHeight="false" outlineLevel="0" collapsed="false">
      <c r="A11088" s="0" t="n">
        <f aca="false">YIELDMAT(DATE(2024,2,28),DATE(2025,3,31),DATE(2023,1,31),0.05,98,1)</f>
        <v>0.0662226806962046</v>
      </c>
      <c r="B11088" s="0" t="s">
        <v>11052</v>
      </c>
    </row>
    <row r="11089" customFormat="false" ht="15" hidden="false" customHeight="false" outlineLevel="0" collapsed="false">
      <c r="A11089" s="0" t="n">
        <f aca="false">ACCRINT(DATE(2024,2,28),DATE(2030,1,1),DATE(2025,3,31),0.05,1000,2,1)</f>
        <v>54.2349726775956</v>
      </c>
      <c r="B11089" s="0" t="s">
        <v>11053</v>
      </c>
    </row>
    <row r="11090" customFormat="false" ht="15" hidden="false" customHeight="false" outlineLevel="0" collapsed="false">
      <c r="A11090" s="0" t="n">
        <f aca="false">DURATION(DATE(2024,2,28),DATE(2025,3,31),0.05,0.08,2,1)</f>
        <v>1.04904183155314</v>
      </c>
      <c r="B11090" s="0" t="s">
        <v>11054</v>
      </c>
    </row>
    <row r="11091" customFormat="false" ht="15" hidden="false" customHeight="false" outlineLevel="0" collapsed="false">
      <c r="A11091" s="0" t="n">
        <f aca="false">PRICE(DATE(2024,2,28),DATE(2025,3,31),0.05,0.08,100,2,1)</f>
        <v>96.9267858246435</v>
      </c>
      <c r="B11091" s="0" t="s">
        <v>11055</v>
      </c>
    </row>
    <row r="11092" customFormat="false" ht="15" hidden="false" customHeight="false" outlineLevel="0" collapsed="false">
      <c r="A11092" s="0" t="n">
        <f aca="false">YIELD(DATE(2024,2,28),DATE(2025,3,31),0.05,95,100,2,1)</f>
        <v>0.099560453854935</v>
      </c>
      <c r="B11092" s="0" t="s">
        <v>11056</v>
      </c>
    </row>
    <row r="11093" customFormat="false" ht="15" hidden="false" customHeight="false" outlineLevel="0" collapsed="false">
      <c r="A11093" s="0" t="n">
        <f aca="false">PRICEDISC(DATE(2024,2,28),DATE(2025,3,31),0.05,100,4)</f>
        <v>94.5416666666667</v>
      </c>
      <c r="B11093" s="0" t="s">
        <v>11057</v>
      </c>
    </row>
    <row r="11094" customFormat="false" ht="15" hidden="false" customHeight="false" outlineLevel="0" collapsed="false">
      <c r="A11094" s="0" t="n">
        <f aca="false">RECEIVED(DATE(2024,2,28),DATE(2025,3,31),1000,0.05,4)</f>
        <v>1057.73468488321</v>
      </c>
      <c r="B11094" s="0" t="s">
        <v>11058</v>
      </c>
    </row>
    <row r="11095" customFormat="false" ht="15" hidden="false" customHeight="false" outlineLevel="0" collapsed="false">
      <c r="A11095" s="0" t="n">
        <f aca="false">INTRATE(DATE(2024,2,28),DATE(2025,3,31),1000,1050,4)</f>
        <v>0.0458015267175573</v>
      </c>
      <c r="B11095" s="0" t="s">
        <v>11059</v>
      </c>
    </row>
    <row r="11096" customFormat="false" ht="15" hidden="false" customHeight="false" outlineLevel="0" collapsed="false">
      <c r="A11096" s="0" t="n">
        <f aca="false">DISC(DATE(2024,2,28),DATE(2025,3,31),95,100,4)</f>
        <v>0.0459183673469388</v>
      </c>
      <c r="B11096" s="0" t="s">
        <v>11060</v>
      </c>
    </row>
    <row r="11097" customFormat="false" ht="15" hidden="false" customHeight="false" outlineLevel="0" collapsed="false">
      <c r="A11097" s="0" t="n">
        <f aca="false">YIELDDISC(DATE(2024,2,28),DATE(2025,3,31),95,100,4)</f>
        <v>0.0483351235230934</v>
      </c>
      <c r="B11097" s="0" t="s">
        <v>11061</v>
      </c>
    </row>
    <row r="11098" customFormat="false" ht="15" hidden="false" customHeight="false" outlineLevel="0" collapsed="false">
      <c r="A11098" s="0" t="n">
        <f aca="false">ACCRINTM(DATE(2024,2,28),DATE(2025,3,31),0.05,1000,4)</f>
        <v>54.5833333333333</v>
      </c>
      <c r="B11098" s="0" t="s">
        <v>11062</v>
      </c>
    </row>
    <row r="11099" customFormat="false" ht="15" hidden="false" customHeight="false" outlineLevel="0" collapsed="false">
      <c r="A11099" s="0" t="n">
        <f aca="false">PRICEMAT(DATE(2024,2,28),DATE(2025,3,31),DATE(2023,1,31),0.05,0.06,4)</f>
        <v>98.6474064803226</v>
      </c>
      <c r="B11099" s="0" t="s">
        <v>11063</v>
      </c>
    </row>
    <row r="11100" customFormat="false" ht="15" hidden="false" customHeight="false" outlineLevel="0" collapsed="false">
      <c r="A11100" s="0" t="n">
        <f aca="false">YIELDMAT(DATE(2024,2,28),DATE(2025,3,31),DATE(2023,1,31),0.05,98,4)</f>
        <v>0.0661263968241785</v>
      </c>
      <c r="B11100" s="0" t="s">
        <v>11064</v>
      </c>
    </row>
    <row r="11101" customFormat="false" ht="15" hidden="false" customHeight="false" outlineLevel="0" collapsed="false">
      <c r="A11101" s="0" t="n">
        <f aca="false">ACCRINT(DATE(2024,2,28),DATE(2030,1,1),DATE(2025,3,31),0.05,1000,2,4)</f>
        <v>54.5833333333333</v>
      </c>
      <c r="B11101" s="0" t="s">
        <v>11065</v>
      </c>
    </row>
    <row r="11102" customFormat="false" ht="15" hidden="false" customHeight="false" outlineLevel="0" collapsed="false">
      <c r="A11102" s="0" t="n">
        <f aca="false">DURATION(DATE(2024,2,28),DATE(2025,3,31),0.05,0.08,2,4)</f>
        <v>1.05174740990852</v>
      </c>
      <c r="B11102" s="0" t="s">
        <v>11066</v>
      </c>
    </row>
    <row r="11103" customFormat="false" ht="15" hidden="false" customHeight="false" outlineLevel="0" collapsed="false">
      <c r="A11103" s="0" t="n">
        <f aca="false">PRICE(DATE(2024,2,28),DATE(2025,3,31),0.05,0.08,100,2,4)</f>
        <v>96.9227574912438</v>
      </c>
      <c r="B11103" s="0" t="s">
        <v>11067</v>
      </c>
    </row>
    <row r="11104" customFormat="false" ht="15" hidden="false" customHeight="false" outlineLevel="0" collapsed="false">
      <c r="A11104" s="0" t="n">
        <f aca="false">YIELD(DATE(2024,2,28),DATE(2025,3,31),0.05,95,100,2,4)</f>
        <v>0.099494027785581</v>
      </c>
      <c r="B11104" s="0" t="s">
        <v>11068</v>
      </c>
    </row>
    <row r="11105" customFormat="false" ht="15" hidden="false" customHeight="false" outlineLevel="0" collapsed="false">
      <c r="A11105" s="0" t="n">
        <f aca="false">TBILLPRICE(DATE(2024,2,28),DATE(2025,3,31),0.05)</f>
        <v>94.5416666666667</v>
      </c>
      <c r="B11105" s="0" t="s">
        <v>11069</v>
      </c>
    </row>
    <row r="11106" customFormat="false" ht="15" hidden="false" customHeight="false" outlineLevel="0" collapsed="false">
      <c r="A11106" s="0" t="e">
        <f aca="false">TBILLEQ(DATE(2024,2,28),DATE(2025,3,31),0.05)</f>
        <v>#VALUE!</v>
      </c>
      <c r="B11106" s="0" t="s">
        <v>11070</v>
      </c>
    </row>
    <row r="11107" customFormat="false" ht="15" hidden="false" customHeight="false" outlineLevel="0" collapsed="false">
      <c r="A11107" s="0" t="e">
        <f aca="false">TBILLYIELD(DATE(2024,2,28),DATE(2025,3,31),98)</f>
        <v>#VALUE!</v>
      </c>
      <c r="B11107" s="0" t="s">
        <v>11071</v>
      </c>
    </row>
    <row r="11108" customFormat="false" ht="15" hidden="false" customHeight="false" outlineLevel="0" collapsed="false">
      <c r="A11108" s="0" t="n">
        <f aca="false">PRICEDISC(DATE(2024,2,28),DATE(2024,8,31),0.05,100,0)</f>
        <v>97.4722222222222</v>
      </c>
      <c r="B11108" s="0" t="s">
        <v>11072</v>
      </c>
    </row>
    <row r="11109" customFormat="false" ht="15" hidden="false" customHeight="false" outlineLevel="0" collapsed="false">
      <c r="A11109" s="0" t="n">
        <f aca="false">RECEIVED(DATE(2024,2,28),DATE(2024,8,31),1000,0.05,0)</f>
        <v>1025.93331433457</v>
      </c>
      <c r="B11109" s="0" t="s">
        <v>11073</v>
      </c>
    </row>
    <row r="11110" customFormat="false" ht="15" hidden="false" customHeight="false" outlineLevel="0" collapsed="false">
      <c r="A11110" s="0" t="n">
        <f aca="false">INTRATE(DATE(2024,2,28),DATE(2024,8,31),1000,1050,0)</f>
        <v>0.098901098901099</v>
      </c>
      <c r="B11110" s="0" t="s">
        <v>11074</v>
      </c>
    </row>
    <row r="11111" customFormat="false" ht="15" hidden="false" customHeight="false" outlineLevel="0" collapsed="false">
      <c r="A11111" s="0" t="n">
        <f aca="false">DISC(DATE(2024,2,28),DATE(2024,8,31),95,100,0)</f>
        <v>0.098360655737705</v>
      </c>
      <c r="B11111" s="0" t="s">
        <v>11075</v>
      </c>
    </row>
    <row r="11112" customFormat="false" ht="15" hidden="false" customHeight="false" outlineLevel="0" collapsed="false">
      <c r="A11112" s="0" t="n">
        <f aca="false">YIELDDISC(DATE(2024,2,28),DATE(2024,8,31),95,100,0)</f>
        <v>0.103537532355479</v>
      </c>
      <c r="B11112" s="0" t="s">
        <v>11076</v>
      </c>
    </row>
    <row r="11113" customFormat="false" ht="15" hidden="false" customHeight="false" outlineLevel="0" collapsed="false">
      <c r="A11113" s="0" t="n">
        <f aca="false">ACCRINTM(DATE(2024,2,28),DATE(2024,8,31),0.05,1000,0)</f>
        <v>25.2777777777778</v>
      </c>
      <c r="B11113" s="0" t="s">
        <v>11077</v>
      </c>
    </row>
    <row r="11114" customFormat="false" ht="15" hidden="false" customHeight="false" outlineLevel="0" collapsed="false">
      <c r="A11114" s="0" t="n">
        <f aca="false">PRICEMAT(DATE(2024,2,28),DATE(2024,8,31),DATE(2023,1,31),0.05,0.06,0)</f>
        <v>99.3337376677988</v>
      </c>
      <c r="B11114" s="0" t="s">
        <v>11078</v>
      </c>
    </row>
    <row r="11115" customFormat="false" ht="15" hidden="false" customHeight="false" outlineLevel="0" collapsed="false">
      <c r="A11115" s="0" t="n">
        <f aca="false">YIELDMAT(DATE(2024,2,28),DATE(2024,8,31),DATE(2023,1,31),0.05,98,0)</f>
        <v>0.0861514609631698</v>
      </c>
      <c r="B11115" s="0" t="s">
        <v>11079</v>
      </c>
    </row>
    <row r="11116" customFormat="false" ht="15" hidden="false" customHeight="false" outlineLevel="0" collapsed="false">
      <c r="A11116" s="0" t="n">
        <f aca="false">ACCRINT(DATE(2024,2,28),DATE(2030,1,1),DATE(2024,8,31),0.05,1000,2,0)</f>
        <v>25.2777777777778</v>
      </c>
      <c r="B11116" s="0" t="s">
        <v>11080</v>
      </c>
    </row>
    <row r="11117" customFormat="false" ht="15" hidden="false" customHeight="false" outlineLevel="0" collapsed="false">
      <c r="A11117" s="0" t="n">
        <f aca="false">DURATION(DATE(2024,2,28),DATE(2024,8,31),0.05,0.08,2,0)</f>
        <v>0.495964161116397</v>
      </c>
      <c r="B11117" s="0" t="s">
        <v>11081</v>
      </c>
    </row>
    <row r="11118" customFormat="false" ht="15" hidden="false" customHeight="false" outlineLevel="0" collapsed="false">
      <c r="A11118" s="0" t="n">
        <f aca="false">PRICE(DATE(2024,2,28),DATE(2024,8,31),0.05,0.08,100,2,0)</f>
        <v>98.5414401826131</v>
      </c>
      <c r="B11118" s="0" t="s">
        <v>11082</v>
      </c>
    </row>
    <row r="11119" customFormat="false" ht="15" hidden="false" customHeight="false" outlineLevel="0" collapsed="false">
      <c r="A11119" s="0" t="n">
        <f aca="false">YIELD(DATE(2024,2,28),DATE(2024,8,31),0.05,95,100,2,0)</f>
        <v>0.156670284918287</v>
      </c>
      <c r="B11119" s="0" t="s">
        <v>11083</v>
      </c>
    </row>
    <row r="11120" customFormat="false" ht="15" hidden="false" customHeight="false" outlineLevel="0" collapsed="false">
      <c r="A11120" s="0" t="n">
        <f aca="false">PRICEDISC(DATE(2024,2,28),DATE(2024,8,31),0.05,100,1)</f>
        <v>97.4726775956284</v>
      </c>
      <c r="B11120" s="0" t="s">
        <v>11084</v>
      </c>
    </row>
    <row r="11121" customFormat="false" ht="15" hidden="false" customHeight="false" outlineLevel="0" collapsed="false">
      <c r="A11121" s="0" t="n">
        <f aca="false">RECEIVED(DATE(2024,2,28),DATE(2024,8,31),1000,0.05,1)</f>
        <v>1025.92852137351</v>
      </c>
      <c r="B11121" s="0" t="s">
        <v>11085</v>
      </c>
    </row>
    <row r="11122" customFormat="false" ht="15" hidden="false" customHeight="false" outlineLevel="0" collapsed="false">
      <c r="A11122" s="0" t="n">
        <f aca="false">INTRATE(DATE(2024,2,28),DATE(2024,8,31),1000,1050,1)</f>
        <v>0.098918918918919</v>
      </c>
      <c r="B11122" s="0" t="s">
        <v>11086</v>
      </c>
    </row>
    <row r="11123" customFormat="false" ht="15" hidden="false" customHeight="false" outlineLevel="0" collapsed="false">
      <c r="A11123" s="0" t="n">
        <f aca="false">DISC(DATE(2024,2,28),DATE(2024,8,31),95,100,1)</f>
        <v>0.098918918918919</v>
      </c>
      <c r="B11123" s="0" t="s">
        <v>11087</v>
      </c>
    </row>
    <row r="11124" customFormat="false" ht="15" hidden="false" customHeight="false" outlineLevel="0" collapsed="false">
      <c r="A11124" s="0" t="n">
        <f aca="false">YIELDDISC(DATE(2024,2,28),DATE(2024,8,31),95,100,1)</f>
        <v>0.104125177809388</v>
      </c>
      <c r="B11124" s="0" t="s">
        <v>11088</v>
      </c>
    </row>
    <row r="11125" customFormat="false" ht="15" hidden="false" customHeight="false" outlineLevel="0" collapsed="false">
      <c r="A11125" s="0" t="n">
        <f aca="false">ACCRINTM(DATE(2024,2,28),DATE(2024,8,31),0.05,1000,1)</f>
        <v>25.2732240437158</v>
      </c>
      <c r="B11125" s="0" t="s">
        <v>11089</v>
      </c>
    </row>
    <row r="11126" customFormat="false" ht="15" hidden="false" customHeight="false" outlineLevel="0" collapsed="false">
      <c r="A11126" s="0" t="n">
        <f aca="false">PRICEMAT(DATE(2024,2,28),DATE(2024,8,31),DATE(2023,1,31),0.05,0.06,1)</f>
        <v>99.3545202951026</v>
      </c>
      <c r="B11126" s="0" t="s">
        <v>11090</v>
      </c>
    </row>
    <row r="11127" customFormat="false" ht="15" hidden="false" customHeight="false" outlineLevel="0" collapsed="false">
      <c r="A11127" s="0" t="n">
        <f aca="false">YIELDMAT(DATE(2024,2,28),DATE(2024,8,31),DATE(2023,1,31),0.05,98,1)</f>
        <v>0.086708516689461</v>
      </c>
      <c r="B11127" s="0" t="s">
        <v>11091</v>
      </c>
    </row>
    <row r="11128" customFormat="false" ht="15" hidden="false" customHeight="false" outlineLevel="0" collapsed="false">
      <c r="A11128" s="0" t="n">
        <f aca="false">ACCRINT(DATE(2024,2,28),DATE(2030,1,1),DATE(2024,8,31),0.05,1000,2,1)</f>
        <v>25.2732240437158</v>
      </c>
      <c r="B11128" s="0" t="s">
        <v>11092</v>
      </c>
    </row>
    <row r="11129" customFormat="false" ht="15" hidden="false" customHeight="false" outlineLevel="0" collapsed="false">
      <c r="A11129" s="0" t="n">
        <f aca="false">DURATION(DATE(2024,2,28),DATE(2024,8,31),0.05,0.08,2,1)</f>
        <v>0.493095308657381</v>
      </c>
      <c r="B11129" s="0" t="s">
        <v>11093</v>
      </c>
    </row>
    <row r="11130" customFormat="false" ht="15" hidden="false" customHeight="false" outlineLevel="0" collapsed="false">
      <c r="A11130" s="0" t="n">
        <f aca="false">PRICE(DATE(2024,2,28),DATE(2024,8,31),0.05,0.08,100,2,1)</f>
        <v>98.5496531443807</v>
      </c>
      <c r="B11130" s="0" t="s">
        <v>11094</v>
      </c>
    </row>
    <row r="11131" customFormat="false" ht="15" hidden="false" customHeight="false" outlineLevel="0" collapsed="false">
      <c r="A11131" s="0" t="n">
        <f aca="false">YIELD(DATE(2024,2,28),DATE(2024,8,31),0.05,95,100,2,1)</f>
        <v>0.157285656467951</v>
      </c>
      <c r="B11131" s="0" t="s">
        <v>11095</v>
      </c>
    </row>
    <row r="11132" customFormat="false" ht="15" hidden="false" customHeight="false" outlineLevel="0" collapsed="false">
      <c r="A11132" s="0" t="n">
        <f aca="false">PRICEDISC(DATE(2024,2,28),DATE(2024,8,31),0.05,100,4)</f>
        <v>97.4583333333333</v>
      </c>
      <c r="B11132" s="0" t="s">
        <v>11096</v>
      </c>
    </row>
    <row r="11133" customFormat="false" ht="15" hidden="false" customHeight="false" outlineLevel="0" collapsed="false">
      <c r="A11133" s="0" t="n">
        <f aca="false">RECEIVED(DATE(2024,2,28),DATE(2024,8,31),1000,0.05,4)</f>
        <v>1026.07952116289</v>
      </c>
      <c r="B11133" s="0" t="s">
        <v>11097</v>
      </c>
    </row>
    <row r="11134" customFormat="false" ht="15" hidden="false" customHeight="false" outlineLevel="0" collapsed="false">
      <c r="A11134" s="0" t="n">
        <f aca="false">INTRATE(DATE(2024,2,28),DATE(2024,8,31),1000,1050,4)</f>
        <v>0.098360655737705</v>
      </c>
      <c r="B11134" s="0" t="s">
        <v>11098</v>
      </c>
    </row>
    <row r="11135" customFormat="false" ht="15" hidden="false" customHeight="false" outlineLevel="0" collapsed="false">
      <c r="A11135" s="0" t="n">
        <f aca="false">DISC(DATE(2024,2,28),DATE(2024,8,31),95,100,4)</f>
        <v>0.098901098901099</v>
      </c>
      <c r="B11135" s="0" t="s">
        <v>11099</v>
      </c>
    </row>
    <row r="11136" customFormat="false" ht="15" hidden="false" customHeight="false" outlineLevel="0" collapsed="false">
      <c r="A11136" s="0" t="n">
        <f aca="false">YIELDDISC(DATE(2024,2,28),DATE(2024,8,31),95,100,4)</f>
        <v>0.104106419895893</v>
      </c>
      <c r="B11136" s="0" t="s">
        <v>11100</v>
      </c>
    </row>
    <row r="11137" customFormat="false" ht="15" hidden="false" customHeight="false" outlineLevel="0" collapsed="false">
      <c r="A11137" s="0" t="n">
        <f aca="false">ACCRINTM(DATE(2024,2,28),DATE(2024,8,31),0.05,1000,4)</f>
        <v>25.4166666666667</v>
      </c>
      <c r="B11137" s="0" t="s">
        <v>11101</v>
      </c>
    </row>
    <row r="11138" customFormat="false" ht="15" hidden="false" customHeight="false" outlineLevel="0" collapsed="false">
      <c r="A11138" s="0" t="n">
        <f aca="false">PRICEMAT(DATE(2024,2,28),DATE(2024,8,31),DATE(2023,1,31),0.05,0.06,4)</f>
        <v>99.3506775944499</v>
      </c>
      <c r="B11138" s="0" t="s">
        <v>11102</v>
      </c>
    </row>
    <row r="11139" customFormat="false" ht="15" hidden="false" customHeight="false" outlineLevel="0" collapsed="false">
      <c r="A11139" s="0" t="n">
        <f aca="false">YIELDMAT(DATE(2024,2,28),DATE(2024,8,31),DATE(2023,1,31),0.05,98,4)</f>
        <v>0.0866248206387916</v>
      </c>
      <c r="B11139" s="0" t="s">
        <v>11103</v>
      </c>
    </row>
    <row r="11140" customFormat="false" ht="15" hidden="false" customHeight="false" outlineLevel="0" collapsed="false">
      <c r="A11140" s="0" t="n">
        <f aca="false">ACCRINT(DATE(2024,2,28),DATE(2030,1,1),DATE(2024,8,31),0.05,1000,2,4)</f>
        <v>25.4166666666667</v>
      </c>
      <c r="B11140" s="0" t="s">
        <v>11104</v>
      </c>
    </row>
    <row r="11141" customFormat="false" ht="15" hidden="false" customHeight="false" outlineLevel="0" collapsed="false">
      <c r="A11141" s="0" t="n">
        <f aca="false">DURATION(DATE(2024,2,28),DATE(2024,8,31),0.05,0.08,2,4)</f>
        <v>0.493186383338619</v>
      </c>
      <c r="B11141" s="0" t="s">
        <v>11105</v>
      </c>
    </row>
    <row r="11142" customFormat="false" ht="15" hidden="false" customHeight="false" outlineLevel="0" collapsed="false">
      <c r="A11142" s="0" t="n">
        <f aca="false">PRICE(DATE(2024,2,28),DATE(2024,8,31),0.05,0.08,100,2,4)</f>
        <v>98.5414401826131</v>
      </c>
      <c r="B11142" s="0" t="s">
        <v>11106</v>
      </c>
    </row>
    <row r="11143" customFormat="false" ht="15" hidden="false" customHeight="false" outlineLevel="0" collapsed="false">
      <c r="A11143" s="0" t="n">
        <f aca="false">YIELD(DATE(2024,2,28),DATE(2024,8,31),0.05,95,100,2,4)</f>
        <v>0.156670284918287</v>
      </c>
      <c r="B11143" s="0" t="s">
        <v>11107</v>
      </c>
    </row>
    <row r="11144" customFormat="false" ht="15" hidden="false" customHeight="false" outlineLevel="0" collapsed="false">
      <c r="A11144" s="0" t="n">
        <f aca="false">TBILLPRICE(DATE(2024,2,28),DATE(2024,8,31),0.05)</f>
        <v>97.4583333333333</v>
      </c>
      <c r="B11144" s="0" t="s">
        <v>11108</v>
      </c>
    </row>
    <row r="11145" customFormat="false" ht="15" hidden="false" customHeight="false" outlineLevel="0" collapsed="false">
      <c r="A11145" s="0" t="n">
        <f aca="false">TBILLEQ(DATE(2024,2,28),DATE(2024,8,31),0.05)</f>
        <v>0.0520165312811743</v>
      </c>
      <c r="B11145" s="0" t="s">
        <v>11109</v>
      </c>
    </row>
    <row r="11146" customFormat="false" ht="15" hidden="false" customHeight="false" outlineLevel="0" collapsed="false">
      <c r="A11146" s="0" t="n">
        <f aca="false">TBILLYIELD(DATE(2024,2,28),DATE(2024,8,31),98)</f>
        <v>0.0399290150842946</v>
      </c>
      <c r="B11146" s="0" t="s">
        <v>11110</v>
      </c>
    </row>
    <row r="11147" customFormat="false" ht="15" hidden="false" customHeight="false" outlineLevel="0" collapsed="false">
      <c r="A11147" s="0" t="n">
        <f aca="false">PRICEDISC(DATE(2024,2,28),DATE(2025,6,30),0.05,100,0)</f>
        <v>93.3055555555556</v>
      </c>
      <c r="B11147" s="0" t="s">
        <v>11111</v>
      </c>
    </row>
    <row r="11148" customFormat="false" ht="15" hidden="false" customHeight="false" outlineLevel="0" collapsed="false">
      <c r="A11148" s="0" t="n">
        <f aca="false">RECEIVED(DATE(2024,2,28),DATE(2025,6,30),1000,0.05,0)</f>
        <v>1071.74754391188</v>
      </c>
      <c r="B11148" s="0" t="s">
        <v>11112</v>
      </c>
    </row>
    <row r="11149" customFormat="false" ht="15" hidden="false" customHeight="false" outlineLevel="0" collapsed="false">
      <c r="A11149" s="0" t="n">
        <f aca="false">INTRATE(DATE(2024,2,28),DATE(2025,6,30),1000,1050,0)</f>
        <v>0.037344398340249</v>
      </c>
      <c r="B11149" s="0" t="s">
        <v>11113</v>
      </c>
    </row>
    <row r="11150" customFormat="false" ht="15" hidden="false" customHeight="false" outlineLevel="0" collapsed="false">
      <c r="A11150" s="0" t="n">
        <f aca="false">DISC(DATE(2024,2,28),DATE(2025,6,30),95,100,0)</f>
        <v>0.037344398340249</v>
      </c>
      <c r="B11150" s="0" t="s">
        <v>11114</v>
      </c>
    </row>
    <row r="11151" customFormat="false" ht="15" hidden="false" customHeight="false" outlineLevel="0" collapsed="false">
      <c r="A11151" s="0" t="n">
        <f aca="false">YIELDDISC(DATE(2024,2,28),DATE(2025,6,30),95,100,0)</f>
        <v>0.0393098929897357</v>
      </c>
      <c r="B11151" s="0" t="s">
        <v>11115</v>
      </c>
    </row>
    <row r="11152" customFormat="false" ht="15" hidden="false" customHeight="false" outlineLevel="0" collapsed="false">
      <c r="A11152" s="0" t="n">
        <f aca="false">ACCRINTM(DATE(2024,2,28),DATE(2025,6,30),0.05,1000,0)</f>
        <v>66.9444444444444</v>
      </c>
      <c r="B11152" s="0" t="s">
        <v>11116</v>
      </c>
    </row>
    <row r="11153" customFormat="false" ht="15" hidden="false" customHeight="false" outlineLevel="0" collapsed="false">
      <c r="A11153" s="0" t="n">
        <f aca="false">PRICEMAT(DATE(2024,2,28),DATE(2025,6,30),DATE(2023,1,31),0.05,0.06,0)</f>
        <v>98.359954060818</v>
      </c>
      <c r="B11153" s="0" t="s">
        <v>11117</v>
      </c>
    </row>
    <row r="11154" customFormat="false" ht="15" hidden="false" customHeight="false" outlineLevel="0" collapsed="false">
      <c r="A11154" s="0" t="n">
        <f aca="false">YIELDMAT(DATE(2024,2,28),DATE(2025,6,30),DATE(2023,1,31),0.05,98,0)</f>
        <v>0.062809224505631</v>
      </c>
      <c r="B11154" s="0" t="s">
        <v>11118</v>
      </c>
    </row>
    <row r="11155" customFormat="false" ht="15" hidden="false" customHeight="false" outlineLevel="0" collapsed="false">
      <c r="A11155" s="0" t="n">
        <f aca="false">ACCRINT(DATE(2024,2,28),DATE(2030,1,1),DATE(2025,6,30),0.05,1000,2,0)</f>
        <v>66.9444444444444</v>
      </c>
      <c r="B11155" s="0" t="s">
        <v>11119</v>
      </c>
    </row>
    <row r="11156" customFormat="false" ht="15" hidden="false" customHeight="false" outlineLevel="0" collapsed="false">
      <c r="A11156" s="0" t="n">
        <f aca="false">DURATION(DATE(2024,2,28),DATE(2025,6,30),0.05,0.08,2,0)</f>
        <v>1.30174740990852</v>
      </c>
      <c r="B11156" s="0" t="s">
        <v>11120</v>
      </c>
    </row>
    <row r="11157" customFormat="false" ht="15" hidden="false" customHeight="false" outlineLevel="0" collapsed="false">
      <c r="A11157" s="0" t="n">
        <f aca="false">PRICE(DATE(2024,2,28),DATE(2025,6,30),0.05,0.08,100,2,0)</f>
        <v>96.2506655306223</v>
      </c>
      <c r="B11157" s="0" t="s">
        <v>11121</v>
      </c>
    </row>
    <row r="11158" customFormat="false" ht="15" hidden="false" customHeight="false" outlineLevel="0" collapsed="false">
      <c r="A11158" s="0" t="n">
        <f aca="false">YIELD(DATE(2024,2,28),DATE(2025,6,30),0.05,95,100,2,0)</f>
        <v>0.0903889009550389</v>
      </c>
      <c r="B11158" s="0" t="s">
        <v>11122</v>
      </c>
    </row>
    <row r="11159" customFormat="false" ht="15" hidden="false" customHeight="false" outlineLevel="0" collapsed="false">
      <c r="A11159" s="0" t="n">
        <f aca="false">PRICEDISC(DATE(2024,2,28),DATE(2025,6,30),0.05,100,1)</f>
        <v>93.3333333333333</v>
      </c>
      <c r="B11159" s="0" t="s">
        <v>11123</v>
      </c>
    </row>
    <row r="11160" customFormat="false" ht="15" hidden="false" customHeight="false" outlineLevel="0" collapsed="false">
      <c r="A11160" s="0" t="n">
        <f aca="false">RECEIVED(DATE(2024,2,28),DATE(2025,6,30),1000,0.05,1)</f>
        <v>1071.42857142857</v>
      </c>
      <c r="B11160" s="0" t="s">
        <v>11124</v>
      </c>
    </row>
    <row r="11161" customFormat="false" ht="15" hidden="false" customHeight="false" outlineLevel="0" collapsed="false">
      <c r="A11161" s="0" t="n">
        <f aca="false">INTRATE(DATE(2024,2,28),DATE(2025,6,30),1000,1050,1)</f>
        <v>0.0375</v>
      </c>
      <c r="B11161" s="0" t="s">
        <v>11125</v>
      </c>
    </row>
    <row r="11162" customFormat="false" ht="15" hidden="false" customHeight="false" outlineLevel="0" collapsed="false">
      <c r="A11162" s="0" t="n">
        <f aca="false">DISC(DATE(2024,2,28),DATE(2025,6,30),95,100,1)</f>
        <v>0.0374487704918033</v>
      </c>
      <c r="B11162" s="0" t="s">
        <v>11126</v>
      </c>
    </row>
    <row r="11163" customFormat="false" ht="15" hidden="false" customHeight="false" outlineLevel="0" collapsed="false">
      <c r="A11163" s="0" t="n">
        <f aca="false">YIELDDISC(DATE(2024,2,28),DATE(2025,6,30),95,100,1)</f>
        <v>0.0394197584124245</v>
      </c>
      <c r="B11163" s="0" t="s">
        <v>11127</v>
      </c>
    </row>
    <row r="11164" customFormat="false" ht="15" hidden="false" customHeight="false" outlineLevel="0" collapsed="false">
      <c r="A11164" s="0" t="n">
        <f aca="false">ACCRINTM(DATE(2024,2,28),DATE(2025,6,30),0.05,1000,1)</f>
        <v>66.6666666666667</v>
      </c>
      <c r="B11164" s="0" t="s">
        <v>11128</v>
      </c>
    </row>
    <row r="11165" customFormat="false" ht="15" hidden="false" customHeight="false" outlineLevel="0" collapsed="false">
      <c r="A11165" s="0" t="n">
        <f aca="false">PRICEMAT(DATE(2024,2,28),DATE(2025,6,30),DATE(2023,1,31),0.05,0.06,1)</f>
        <v>98.3702176716459</v>
      </c>
      <c r="B11165" s="0" t="s">
        <v>11129</v>
      </c>
    </row>
    <row r="11166" customFormat="false" ht="15" hidden="false" customHeight="false" outlineLevel="0" collapsed="false">
      <c r="A11166" s="0" t="n">
        <f aca="false">YIELDMAT(DATE(2024,2,28),DATE(2025,6,30),DATE(2023,1,31),0.05,98,1)</f>
        <v>0.0628971562251995</v>
      </c>
      <c r="B11166" s="0" t="s">
        <v>11130</v>
      </c>
    </row>
    <row r="11167" customFormat="false" ht="15" hidden="false" customHeight="false" outlineLevel="0" collapsed="false">
      <c r="A11167" s="0" t="n">
        <f aca="false">ACCRINT(DATE(2024,2,28),DATE(2030,1,1),DATE(2025,6,30),0.05,1000,2,1)</f>
        <v>66.6666666666667</v>
      </c>
      <c r="B11167" s="0" t="s">
        <v>11131</v>
      </c>
    </row>
    <row r="11168" customFormat="false" ht="15" hidden="false" customHeight="false" outlineLevel="0" collapsed="false">
      <c r="A11168" s="0" t="n">
        <f aca="false">DURATION(DATE(2024,2,28),DATE(2025,6,30),0.05,0.08,2,1)</f>
        <v>1.29801583976108</v>
      </c>
      <c r="B11168" s="0" t="s">
        <v>11132</v>
      </c>
    </row>
    <row r="11169" customFormat="false" ht="15" hidden="false" customHeight="false" outlineLevel="0" collapsed="false">
      <c r="A11169" s="0" t="n">
        <f aca="false">PRICE(DATE(2024,2,28),DATE(2025,6,30),0.05,0.08,100,2,1)</f>
        <v>96.2532184195996</v>
      </c>
      <c r="B11169" s="0" t="s">
        <v>11133</v>
      </c>
    </row>
    <row r="11170" customFormat="false" ht="15" hidden="false" customHeight="false" outlineLevel="0" collapsed="false">
      <c r="A11170" s="0" t="n">
        <f aca="false">YIELD(DATE(2024,2,28),DATE(2025,6,30),0.05,95,100,2,1)</f>
        <v>0.0904173345333576</v>
      </c>
      <c r="B11170" s="0" t="s">
        <v>11134</v>
      </c>
    </row>
    <row r="11171" customFormat="false" ht="15" hidden="false" customHeight="false" outlineLevel="0" collapsed="false">
      <c r="A11171" s="0" t="n">
        <f aca="false">PRICEDISC(DATE(2024,2,28),DATE(2025,6,30),0.05,100,4)</f>
        <v>93.3055555555556</v>
      </c>
      <c r="B11171" s="0" t="s">
        <v>11135</v>
      </c>
    </row>
    <row r="11172" customFormat="false" ht="15" hidden="false" customHeight="false" outlineLevel="0" collapsed="false">
      <c r="A11172" s="0" t="n">
        <f aca="false">RECEIVED(DATE(2024,2,28),DATE(2025,6,30),1000,0.05,4)</f>
        <v>1071.74754391188</v>
      </c>
      <c r="B11172" s="0" t="s">
        <v>11136</v>
      </c>
    </row>
    <row r="11173" customFormat="false" ht="15" hidden="false" customHeight="false" outlineLevel="0" collapsed="false">
      <c r="A11173" s="0" t="n">
        <f aca="false">INTRATE(DATE(2024,2,28),DATE(2025,6,30),1000,1050,4)</f>
        <v>0.037344398340249</v>
      </c>
      <c r="B11173" s="0" t="s">
        <v>11137</v>
      </c>
    </row>
    <row r="11174" customFormat="false" ht="15" hidden="false" customHeight="false" outlineLevel="0" collapsed="false">
      <c r="A11174" s="0" t="n">
        <f aca="false">DISC(DATE(2024,2,28),DATE(2025,6,30),95,100,4)</f>
        <v>0.037344398340249</v>
      </c>
      <c r="B11174" s="0" t="s">
        <v>11138</v>
      </c>
    </row>
    <row r="11175" customFormat="false" ht="15" hidden="false" customHeight="false" outlineLevel="0" collapsed="false">
      <c r="A11175" s="0" t="n">
        <f aca="false">YIELDDISC(DATE(2024,2,28),DATE(2025,6,30),95,100,4)</f>
        <v>0.0393098929897357</v>
      </c>
      <c r="B11175" s="0" t="s">
        <v>11139</v>
      </c>
    </row>
    <row r="11176" customFormat="false" ht="15" hidden="false" customHeight="false" outlineLevel="0" collapsed="false">
      <c r="A11176" s="0" t="n">
        <f aca="false">ACCRINTM(DATE(2024,2,28),DATE(2025,6,30),0.05,1000,4)</f>
        <v>66.9444444444444</v>
      </c>
      <c r="B11176" s="0" t="s">
        <v>11140</v>
      </c>
    </row>
    <row r="11177" customFormat="false" ht="15" hidden="false" customHeight="false" outlineLevel="0" collapsed="false">
      <c r="A11177" s="0" t="n">
        <f aca="false">PRICEMAT(DATE(2024,2,28),DATE(2025,6,30),DATE(2023,1,31),0.05,0.06,4)</f>
        <v>98.359954060818</v>
      </c>
      <c r="B11177" s="0" t="s">
        <v>11141</v>
      </c>
    </row>
    <row r="11178" customFormat="false" ht="15" hidden="false" customHeight="false" outlineLevel="0" collapsed="false">
      <c r="A11178" s="0" t="n">
        <f aca="false">YIELDMAT(DATE(2024,2,28),DATE(2025,6,30),DATE(2023,1,31),0.05,98,4)</f>
        <v>0.062809224505631</v>
      </c>
      <c r="B11178" s="0" t="s">
        <v>11142</v>
      </c>
    </row>
    <row r="11179" customFormat="false" ht="15" hidden="false" customHeight="false" outlineLevel="0" collapsed="false">
      <c r="A11179" s="0" t="n">
        <f aca="false">ACCRINT(DATE(2024,2,28),DATE(2030,1,1),DATE(2025,6,30),0.05,1000,2,4)</f>
        <v>66.9444444444444</v>
      </c>
      <c r="B11179" s="0" t="s">
        <v>11143</v>
      </c>
    </row>
    <row r="11180" customFormat="false" ht="15" hidden="false" customHeight="false" outlineLevel="0" collapsed="false">
      <c r="A11180" s="0" t="n">
        <f aca="false">DURATION(DATE(2024,2,28),DATE(2025,6,30),0.05,0.08,2,4)</f>
        <v>1.30174740990852</v>
      </c>
      <c r="B11180" s="0" t="s">
        <v>11144</v>
      </c>
    </row>
    <row r="11181" customFormat="false" ht="15" hidden="false" customHeight="false" outlineLevel="0" collapsed="false">
      <c r="A11181" s="0" t="n">
        <f aca="false">PRICE(DATE(2024,2,28),DATE(2025,6,30),0.05,0.08,100,2,4)</f>
        <v>96.2506655306223</v>
      </c>
      <c r="B11181" s="0" t="s">
        <v>11145</v>
      </c>
    </row>
    <row r="11182" customFormat="false" ht="15" hidden="false" customHeight="false" outlineLevel="0" collapsed="false">
      <c r="A11182" s="0" t="n">
        <f aca="false">YIELD(DATE(2024,2,28),DATE(2025,6,30),0.05,95,100,2,4)</f>
        <v>0.0903889009550389</v>
      </c>
      <c r="B11182" s="0" t="s">
        <v>11146</v>
      </c>
    </row>
    <row r="11183" customFormat="false" ht="15" hidden="false" customHeight="false" outlineLevel="0" collapsed="false">
      <c r="A11183" s="0" t="n">
        <f aca="false">TBILLPRICE(DATE(2024,2,28),DATE(2025,6,30),0.05)</f>
        <v>93.2916666666667</v>
      </c>
      <c r="B11183" s="0" t="s">
        <v>11147</v>
      </c>
    </row>
    <row r="11184" customFormat="false" ht="15" hidden="false" customHeight="false" outlineLevel="0" collapsed="false">
      <c r="A11184" s="0" t="e">
        <f aca="false">TBILLEQ(DATE(2024,2,28),DATE(2025,6,30),0.05)</f>
        <v>#VALUE!</v>
      </c>
      <c r="B11184" s="0" t="s">
        <v>11148</v>
      </c>
    </row>
    <row r="11185" customFormat="false" ht="15" hidden="false" customHeight="false" outlineLevel="0" collapsed="false">
      <c r="A11185" s="0" t="e">
        <f aca="false">TBILLYIELD(DATE(2024,2,28),DATE(2025,6,30),98)</f>
        <v>#VALUE!</v>
      </c>
      <c r="B11185" s="0" t="s">
        <v>11149</v>
      </c>
    </row>
    <row r="11186" customFormat="false" ht="15" hidden="false" customHeight="false" outlineLevel="0" collapsed="false">
      <c r="A11186" s="0" t="n">
        <f aca="false">PRICEDISC(DATE(2024,2,28),DATE(2026,12,31),0.05,100,0)</f>
        <v>85.7916666666667</v>
      </c>
      <c r="B11186" s="0" t="s">
        <v>11150</v>
      </c>
    </row>
    <row r="11187" customFormat="false" ht="15" hidden="false" customHeight="false" outlineLevel="0" collapsed="false">
      <c r="A11187" s="0" t="n">
        <f aca="false">RECEIVED(DATE(2024,2,28),DATE(2026,12,31),1000,0.05,0)</f>
        <v>1165.61437591064</v>
      </c>
      <c r="B11187" s="0" t="s">
        <v>11151</v>
      </c>
    </row>
    <row r="11188" customFormat="false" ht="15" hidden="false" customHeight="false" outlineLevel="0" collapsed="false">
      <c r="A11188" s="0" t="n">
        <f aca="false">INTRATE(DATE(2024,2,28),DATE(2026,12,31),1000,1050,0)</f>
        <v>0.0175953079178886</v>
      </c>
      <c r="B11188" s="0" t="s">
        <v>11152</v>
      </c>
    </row>
    <row r="11189" customFormat="false" ht="15" hidden="false" customHeight="false" outlineLevel="0" collapsed="false">
      <c r="A11189" s="0" t="n">
        <f aca="false">DISC(DATE(2024,2,28),DATE(2026,12,31),95,100,0)</f>
        <v>0.0175953079178886</v>
      </c>
      <c r="B11189" s="0" t="s">
        <v>11153</v>
      </c>
    </row>
    <row r="11190" customFormat="false" ht="15" hidden="false" customHeight="false" outlineLevel="0" collapsed="false">
      <c r="A11190" s="0" t="n">
        <f aca="false">YIELDDISC(DATE(2024,2,28),DATE(2026,12,31),95,100,0)</f>
        <v>0.0185213767556722</v>
      </c>
      <c r="B11190" s="0" t="s">
        <v>11154</v>
      </c>
    </row>
    <row r="11191" customFormat="false" ht="15" hidden="false" customHeight="false" outlineLevel="0" collapsed="false">
      <c r="A11191" s="0" t="n">
        <f aca="false">ACCRINTM(DATE(2024,2,28),DATE(2026,12,31),0.05,1000,0)</f>
        <v>142.083333333333</v>
      </c>
      <c r="B11191" s="0" t="s">
        <v>11155</v>
      </c>
    </row>
    <row r="11192" customFormat="false" ht="15" hidden="false" customHeight="false" outlineLevel="0" collapsed="false">
      <c r="A11192" s="0" t="n">
        <f aca="false">PRICEMAT(DATE(2024,2,28),DATE(2026,12,31),DATE(2023,1,31),0.05,0.06,0)</f>
        <v>96.7754283544544</v>
      </c>
      <c r="B11192" s="0" t="s">
        <v>11156</v>
      </c>
    </row>
    <row r="11193" customFormat="false" ht="15" hidden="false" customHeight="false" outlineLevel="0" collapsed="false">
      <c r="A11193" s="0" t="n">
        <f aca="false">YIELDMAT(DATE(2024,2,28),DATE(2026,12,31),DATE(2023,1,31),0.05,98,0)</f>
        <v>0.0551212494149867</v>
      </c>
      <c r="B11193" s="0" t="s">
        <v>11157</v>
      </c>
    </row>
    <row r="11194" customFormat="false" ht="15" hidden="false" customHeight="false" outlineLevel="0" collapsed="false">
      <c r="A11194" s="0" t="n">
        <f aca="false">ACCRINT(DATE(2024,2,28),DATE(2030,1,1),DATE(2026,12,31),0.05,1000,2,0)</f>
        <v>142.083333333333</v>
      </c>
      <c r="B11194" s="0" t="s">
        <v>11158</v>
      </c>
    </row>
    <row r="11195" customFormat="false" ht="15" hidden="false" customHeight="false" outlineLevel="0" collapsed="false">
      <c r="A11195" s="0" t="n">
        <f aca="false">DURATION(DATE(2024,2,28),DATE(2026,12,31),0.05,0.08,2,0)</f>
        <v>2.65574146481051</v>
      </c>
      <c r="B11195" s="0" t="s">
        <v>11159</v>
      </c>
    </row>
    <row r="11196" customFormat="false" ht="15" hidden="false" customHeight="false" outlineLevel="0" collapsed="false">
      <c r="A11196" s="0" t="n">
        <f aca="false">PRICE(DATE(2024,2,28),DATE(2026,12,31),0.05,0.08,100,2,0)</f>
        <v>92.503033037554</v>
      </c>
      <c r="B11196" s="0" t="s">
        <v>11160</v>
      </c>
    </row>
    <row r="11197" customFormat="false" ht="15" hidden="false" customHeight="false" outlineLevel="0" collapsed="false">
      <c r="A11197" s="0" t="n">
        <f aca="false">YIELD(DATE(2024,2,28),DATE(2026,12,31),0.05,95,100,2,0)</f>
        <v>0.0696791872834055</v>
      </c>
      <c r="B11197" s="0" t="s">
        <v>11161</v>
      </c>
    </row>
    <row r="11198" customFormat="false" ht="15" hidden="false" customHeight="false" outlineLevel="0" collapsed="false">
      <c r="A11198" s="0" t="n">
        <f aca="false">PRICEDISC(DATE(2024,2,28),DATE(2026,12,31),0.05,100,1)</f>
        <v>85.8333333333333</v>
      </c>
      <c r="B11198" s="0" t="s">
        <v>11162</v>
      </c>
    </row>
    <row r="11199" customFormat="false" ht="15" hidden="false" customHeight="false" outlineLevel="0" collapsed="false">
      <c r="A11199" s="0" t="n">
        <f aca="false">RECEIVED(DATE(2024,2,28),DATE(2026,12,31),1000,0.05,1)</f>
        <v>1165.04854368932</v>
      </c>
      <c r="B11199" s="0" t="s">
        <v>11163</v>
      </c>
    </row>
    <row r="11200" customFormat="false" ht="15" hidden="false" customHeight="false" outlineLevel="0" collapsed="false">
      <c r="A11200" s="0" t="n">
        <f aca="false">INTRATE(DATE(2024,2,28),DATE(2026,12,31),1000,1050,1)</f>
        <v>0.0176470588235294</v>
      </c>
      <c r="B11200" s="0" t="s">
        <v>11164</v>
      </c>
    </row>
    <row r="11201" customFormat="false" ht="15" hidden="false" customHeight="false" outlineLevel="0" collapsed="false">
      <c r="A11201" s="0" t="n">
        <f aca="false">DISC(DATE(2024,2,28),DATE(2026,12,31),95,100,1)</f>
        <v>0.0176149148183864</v>
      </c>
      <c r="B11201" s="0" t="s">
        <v>11165</v>
      </c>
    </row>
    <row r="11202" customFormat="false" ht="15" hidden="false" customHeight="false" outlineLevel="0" collapsed="false">
      <c r="A11202" s="0" t="n">
        <f aca="false">YIELDDISC(DATE(2024,2,28),DATE(2026,12,31),95,100,1)</f>
        <v>0.0185420155983014</v>
      </c>
      <c r="B11202" s="0" t="s">
        <v>11166</v>
      </c>
    </row>
    <row r="11203" customFormat="false" ht="15" hidden="false" customHeight="false" outlineLevel="0" collapsed="false">
      <c r="A11203" s="0" t="n">
        <f aca="false">ACCRINTM(DATE(2024,2,28),DATE(2026,12,31),0.05,1000,1)</f>
        <v>141.666666666667</v>
      </c>
      <c r="B11203" s="0" t="s">
        <v>11167</v>
      </c>
    </row>
    <row r="11204" customFormat="false" ht="15" hidden="false" customHeight="false" outlineLevel="0" collapsed="false">
      <c r="A11204" s="0" t="n">
        <f aca="false">PRICEMAT(DATE(2024,2,28),DATE(2026,12,31),DATE(2023,1,31),0.05,0.06,1)</f>
        <v>96.7981078980748</v>
      </c>
      <c r="B11204" s="0" t="s">
        <v>11168</v>
      </c>
    </row>
    <row r="11205" customFormat="false" ht="15" hidden="false" customHeight="false" outlineLevel="0" collapsed="false">
      <c r="A11205" s="0" t="n">
        <f aca="false">YIELDMAT(DATE(2024,2,28),DATE(2026,12,31),DATE(2023,1,31),0.05,98,1)</f>
        <v>0.0552064587354913</v>
      </c>
      <c r="B11205" s="0" t="s">
        <v>11169</v>
      </c>
    </row>
    <row r="11206" customFormat="false" ht="15" hidden="false" customHeight="false" outlineLevel="0" collapsed="false">
      <c r="A11206" s="0" t="n">
        <f aca="false">ACCRINT(DATE(2024,2,28),DATE(2030,1,1),DATE(2026,12,31),0.05,1000,2,1)</f>
        <v>141.666666666667</v>
      </c>
      <c r="B11206" s="0" t="s">
        <v>11170</v>
      </c>
    </row>
    <row r="11207" customFormat="false" ht="15" hidden="false" customHeight="false" outlineLevel="0" collapsed="false">
      <c r="A11207" s="0" t="n">
        <f aca="false">DURATION(DATE(2024,2,28),DATE(2026,12,31),0.05,0.08,2,1)</f>
        <v>2.65257844777888</v>
      </c>
      <c r="B11207" s="0" t="s">
        <v>11171</v>
      </c>
    </row>
    <row r="11208" customFormat="false" ht="15" hidden="false" customHeight="false" outlineLevel="0" collapsed="false">
      <c r="A11208" s="0" t="n">
        <f aca="false">PRICE(DATE(2024,2,28),DATE(2026,12,31),0.05,0.08,100,2,1)</f>
        <v>92.5052987657004</v>
      </c>
      <c r="B11208" s="0" t="s">
        <v>11172</v>
      </c>
    </row>
    <row r="11209" customFormat="false" ht="15" hidden="false" customHeight="false" outlineLevel="0" collapsed="false">
      <c r="A11209" s="0" t="n">
        <f aca="false">YIELD(DATE(2024,2,28),DATE(2026,12,31),0.05,95,100,2,1)</f>
        <v>0.0696853949728536</v>
      </c>
      <c r="B11209" s="0" t="s">
        <v>11173</v>
      </c>
    </row>
    <row r="11210" customFormat="false" ht="15" hidden="false" customHeight="false" outlineLevel="0" collapsed="false">
      <c r="A11210" s="0" t="n">
        <f aca="false">PRICEDISC(DATE(2024,2,28),DATE(2026,12,31),0.05,100,4)</f>
        <v>85.7916666666667</v>
      </c>
      <c r="B11210" s="0" t="s">
        <v>11174</v>
      </c>
    </row>
    <row r="11211" customFormat="false" ht="15" hidden="false" customHeight="false" outlineLevel="0" collapsed="false">
      <c r="A11211" s="0" t="n">
        <f aca="false">RECEIVED(DATE(2024,2,28),DATE(2026,12,31),1000,0.05,4)</f>
        <v>1165.61437591064</v>
      </c>
      <c r="B11211" s="0" t="s">
        <v>11175</v>
      </c>
    </row>
    <row r="11212" customFormat="false" ht="15" hidden="false" customHeight="false" outlineLevel="0" collapsed="false">
      <c r="A11212" s="0" t="n">
        <f aca="false">INTRATE(DATE(2024,2,28),DATE(2026,12,31),1000,1050,4)</f>
        <v>0.0175953079178886</v>
      </c>
      <c r="B11212" s="0" t="s">
        <v>11176</v>
      </c>
    </row>
    <row r="11213" customFormat="false" ht="15" hidden="false" customHeight="false" outlineLevel="0" collapsed="false">
      <c r="A11213" s="0" t="n">
        <f aca="false">DISC(DATE(2024,2,28),DATE(2026,12,31),95,100,4)</f>
        <v>0.0176125244618395</v>
      </c>
      <c r="B11213" s="0" t="s">
        <v>11177</v>
      </c>
    </row>
    <row r="11214" customFormat="false" ht="15" hidden="false" customHeight="false" outlineLevel="0" collapsed="false">
      <c r="A11214" s="0" t="n">
        <f aca="false">YIELDDISC(DATE(2024,2,28),DATE(2026,12,31),95,100,4)</f>
        <v>0.0185394994335153</v>
      </c>
      <c r="B11214" s="0" t="s">
        <v>11178</v>
      </c>
    </row>
    <row r="11215" customFormat="false" ht="15" hidden="false" customHeight="false" outlineLevel="0" collapsed="false">
      <c r="A11215" s="0" t="n">
        <f aca="false">ACCRINTM(DATE(2024,2,28),DATE(2026,12,31),0.05,1000,4)</f>
        <v>142.083333333333</v>
      </c>
      <c r="B11215" s="0" t="s">
        <v>11179</v>
      </c>
    </row>
    <row r="11216" customFormat="false" ht="15" hidden="false" customHeight="false" outlineLevel="0" collapsed="false">
      <c r="A11216" s="0" t="n">
        <f aca="false">PRICEMAT(DATE(2024,2,28),DATE(2026,12,31),DATE(2023,1,31),0.05,0.06,4)</f>
        <v>96.7899775309345</v>
      </c>
      <c r="B11216" s="0" t="s">
        <v>11180</v>
      </c>
    </row>
    <row r="11217" customFormat="false" ht="15" hidden="false" customHeight="false" outlineLevel="0" collapsed="false">
      <c r="A11217" s="0" t="n">
        <f aca="false">YIELDMAT(DATE(2024,2,28),DATE(2026,12,31),DATE(2023,1,31),0.05,98,4)</f>
        <v>0.0551751841013027</v>
      </c>
      <c r="B11217" s="0" t="s">
        <v>11181</v>
      </c>
    </row>
    <row r="11218" customFormat="false" ht="15" hidden="false" customHeight="false" outlineLevel="0" collapsed="false">
      <c r="A11218" s="0" t="n">
        <f aca="false">ACCRINT(DATE(2024,2,28),DATE(2030,1,1),DATE(2026,12,31),0.05,1000,2,4)</f>
        <v>142.083333333333</v>
      </c>
      <c r="B11218" s="0" t="s">
        <v>11182</v>
      </c>
    </row>
    <row r="11219" customFormat="false" ht="15" hidden="false" customHeight="false" outlineLevel="0" collapsed="false">
      <c r="A11219" s="0" t="n">
        <f aca="false">DURATION(DATE(2024,2,28),DATE(2026,12,31),0.05,0.08,2,4)</f>
        <v>2.65296368703273</v>
      </c>
      <c r="B11219" s="0" t="s">
        <v>11183</v>
      </c>
    </row>
    <row r="11220" customFormat="false" ht="15" hidden="false" customHeight="false" outlineLevel="0" collapsed="false">
      <c r="A11220" s="0" t="n">
        <f aca="false">PRICE(DATE(2024,2,28),DATE(2026,12,31),0.05,0.08,100,2,4)</f>
        <v>92.503033037554</v>
      </c>
      <c r="B11220" s="0" t="s">
        <v>11184</v>
      </c>
    </row>
    <row r="11221" customFormat="false" ht="15" hidden="false" customHeight="false" outlineLevel="0" collapsed="false">
      <c r="A11221" s="0" t="n">
        <f aca="false">YIELD(DATE(2024,2,28),DATE(2026,12,31),0.05,95,100,2,4)</f>
        <v>0.0696791872834055</v>
      </c>
      <c r="B11221" s="0" t="s">
        <v>11185</v>
      </c>
    </row>
    <row r="11222" customFormat="false" ht="15" hidden="false" customHeight="false" outlineLevel="0" collapsed="false">
      <c r="A11222" s="0" t="n">
        <f aca="false">TBILLPRICE(DATE(2024,2,28),DATE(2026,12,31),0.05)</f>
        <v>85.7916666666667</v>
      </c>
      <c r="B11222" s="0" t="s">
        <v>11186</v>
      </c>
    </row>
    <row r="11223" customFormat="false" ht="15" hidden="false" customHeight="false" outlineLevel="0" collapsed="false">
      <c r="A11223" s="0" t="e">
        <f aca="false">TBILLEQ(DATE(2024,2,28),DATE(2026,12,31),0.05)</f>
        <v>#VALUE!</v>
      </c>
      <c r="B11223" s="0" t="s">
        <v>11187</v>
      </c>
    </row>
    <row r="11224" customFormat="false" ht="15" hidden="false" customHeight="false" outlineLevel="0" collapsed="false">
      <c r="A11224" s="0" t="e">
        <f aca="false">TBILLYIELD(DATE(2024,2,28),DATE(2026,12,31),98)</f>
        <v>#VALUE!</v>
      </c>
      <c r="B11224" s="0" t="s">
        <v>11188</v>
      </c>
    </row>
    <row r="11225" customFormat="false" ht="15" hidden="false" customHeight="false" outlineLevel="0" collapsed="false">
      <c r="A11225" s="0" t="n">
        <f aca="false">PRICEDISC(DATE(2024,2,28),DATE(2027,2,28),0.05,100,0)</f>
        <v>85</v>
      </c>
      <c r="B11225" s="0" t="s">
        <v>11189</v>
      </c>
    </row>
    <row r="11226" customFormat="false" ht="15" hidden="false" customHeight="false" outlineLevel="0" collapsed="false">
      <c r="A11226" s="0" t="n">
        <f aca="false">RECEIVED(DATE(2024,2,28),DATE(2027,2,28),1000,0.05,0)</f>
        <v>1176.47058823529</v>
      </c>
      <c r="B11226" s="0" t="s">
        <v>11190</v>
      </c>
    </row>
    <row r="11227" customFormat="false" ht="15" hidden="false" customHeight="false" outlineLevel="0" collapsed="false">
      <c r="A11227" s="0" t="n">
        <f aca="false">INTRATE(DATE(2024,2,28),DATE(2027,2,28),1000,1050,0)</f>
        <v>0.0166666666666667</v>
      </c>
      <c r="B11227" s="0" t="s">
        <v>11191</v>
      </c>
    </row>
    <row r="11228" customFormat="false" ht="15" hidden="false" customHeight="false" outlineLevel="0" collapsed="false">
      <c r="A11228" s="0" t="n">
        <f aca="false">DISC(DATE(2024,2,28),DATE(2027,2,28),95,100,0)</f>
        <v>0.0166666666666667</v>
      </c>
      <c r="B11228" s="0" t="s">
        <v>11192</v>
      </c>
    </row>
    <row r="11229" customFormat="false" ht="15" hidden="false" customHeight="false" outlineLevel="0" collapsed="false">
      <c r="A11229" s="0" t="n">
        <f aca="false">YIELDDISC(DATE(2024,2,28),DATE(2027,2,28),95,100,0)</f>
        <v>0.0175438596491228</v>
      </c>
      <c r="B11229" s="0" t="s">
        <v>11193</v>
      </c>
    </row>
    <row r="11230" customFormat="false" ht="15" hidden="false" customHeight="false" outlineLevel="0" collapsed="false">
      <c r="A11230" s="0" t="n">
        <f aca="false">ACCRINTM(DATE(2024,2,28),DATE(2027,2,28),0.05,1000,0)</f>
        <v>150</v>
      </c>
      <c r="B11230" s="0" t="s">
        <v>11194</v>
      </c>
    </row>
    <row r="11231" customFormat="false" ht="15" hidden="false" customHeight="false" outlineLevel="0" collapsed="false">
      <c r="A11231" s="0" t="n">
        <f aca="false">PRICEMAT(DATE(2024,2,28),DATE(2027,2,28),DATE(2023,1,31),0.05,0.06,0)</f>
        <v>96.635593220339</v>
      </c>
      <c r="B11231" s="0" t="s">
        <v>11195</v>
      </c>
    </row>
    <row r="11232" customFormat="false" ht="15" hidden="false" customHeight="false" outlineLevel="0" collapsed="false">
      <c r="A11232" s="0" t="n">
        <f aca="false">YIELDMAT(DATE(2024,2,28),DATE(2027,2,28),DATE(2023,1,31),0.05,98,0)</f>
        <v>0.0548092423428264</v>
      </c>
      <c r="B11232" s="0" t="s">
        <v>11196</v>
      </c>
    </row>
    <row r="11233" customFormat="false" ht="15" hidden="false" customHeight="false" outlineLevel="0" collapsed="false">
      <c r="A11233" s="0" t="n">
        <f aca="false">ACCRINT(DATE(2024,2,28),DATE(2030,1,1),DATE(2027,2,28),0.05,1000,2,0)</f>
        <v>150</v>
      </c>
      <c r="B11233" s="0" t="s">
        <v>11197</v>
      </c>
    </row>
    <row r="11234" customFormat="false" ht="15" hidden="false" customHeight="false" outlineLevel="0" collapsed="false">
      <c r="A11234" s="0" t="n">
        <f aca="false">DURATION(DATE(2024,2,28),DATE(2027,2,28),0.05,0.08,2,0)</f>
        <v>2.73973598503679</v>
      </c>
      <c r="B11234" s="0" t="s">
        <v>11198</v>
      </c>
    </row>
    <row r="11235" customFormat="false" ht="15" hidden="false" customHeight="false" outlineLevel="0" collapsed="false">
      <c r="A11235" s="0" t="n">
        <f aca="false">PRICE(DATE(2024,2,28),DATE(2027,2,28),0.05,0.08,100,2,0)</f>
        <v>92.1233401155592</v>
      </c>
      <c r="B11235" s="0" t="s">
        <v>11199</v>
      </c>
    </row>
    <row r="11236" customFormat="false" ht="15" hidden="false" customHeight="false" outlineLevel="0" collapsed="false">
      <c r="A11236" s="0" t="n">
        <f aca="false">YIELD(DATE(2024,2,28),DATE(2027,2,28),0.05,95,100,2,0)</f>
        <v>0.0686936044845301</v>
      </c>
      <c r="B11236" s="0" t="s">
        <v>11200</v>
      </c>
    </row>
    <row r="11237" customFormat="false" ht="15" hidden="false" customHeight="false" outlineLevel="0" collapsed="false">
      <c r="A11237" s="0" t="n">
        <f aca="false">PRICEDISC(DATE(2024,2,28),DATE(2027,2,28),0.05,100,1)</f>
        <v>85.0273224043716</v>
      </c>
      <c r="B11237" s="0" t="s">
        <v>11201</v>
      </c>
    </row>
    <row r="11238" customFormat="false" ht="15" hidden="false" customHeight="false" outlineLevel="0" collapsed="false">
      <c r="A11238" s="0" t="n">
        <f aca="false">RECEIVED(DATE(2024,2,28),DATE(2027,2,28),1000,0.05,1)</f>
        <v>1176.09254498715</v>
      </c>
      <c r="B11238" s="0" t="s">
        <v>11202</v>
      </c>
    </row>
    <row r="11239" customFormat="false" ht="15" hidden="false" customHeight="false" outlineLevel="0" collapsed="false">
      <c r="A11239" s="0" t="n">
        <f aca="false">INTRATE(DATE(2024,2,28),DATE(2027,2,28),1000,1050,1)</f>
        <v>0.0166970802919708</v>
      </c>
      <c r="B11239" s="0" t="s">
        <v>11203</v>
      </c>
    </row>
    <row r="11240" customFormat="false" ht="15" hidden="false" customHeight="false" outlineLevel="0" collapsed="false">
      <c r="A11240" s="0" t="n">
        <f aca="false">DISC(DATE(2024,2,28),DATE(2027,2,28),95,100,1)</f>
        <v>0.0166628649635037</v>
      </c>
      <c r="B11240" s="0" t="s">
        <v>11204</v>
      </c>
    </row>
    <row r="11241" customFormat="false" ht="15" hidden="false" customHeight="false" outlineLevel="0" collapsed="false">
      <c r="A11241" s="0" t="n">
        <f aca="false">YIELDDISC(DATE(2024,2,28),DATE(2027,2,28),95,100,1)</f>
        <v>0.0175398578563196</v>
      </c>
      <c r="B11241" s="0" t="s">
        <v>11205</v>
      </c>
    </row>
    <row r="11242" customFormat="false" ht="15" hidden="false" customHeight="false" outlineLevel="0" collapsed="false">
      <c r="A11242" s="0" t="n">
        <f aca="false">ACCRINTM(DATE(2024,2,28),DATE(2027,2,28),0.05,1000,1)</f>
        <v>149.726775956284</v>
      </c>
      <c r="B11242" s="0" t="s">
        <v>11206</v>
      </c>
    </row>
    <row r="11243" customFormat="false" ht="15" hidden="false" customHeight="false" outlineLevel="0" collapsed="false">
      <c r="A11243" s="0" t="n">
        <f aca="false">PRICEMAT(DATE(2024,2,28),DATE(2027,2,28),DATE(2023,1,31),0.05,0.06,1)</f>
        <v>96.6423624501706</v>
      </c>
      <c r="B11243" s="0" t="s">
        <v>11207</v>
      </c>
    </row>
    <row r="11244" customFormat="false" ht="15" hidden="false" customHeight="false" outlineLevel="0" collapsed="false">
      <c r="A11244" s="0" t="n">
        <f aca="false">YIELDMAT(DATE(2024,2,28),DATE(2027,2,28),DATE(2023,1,31),0.05,98,1)</f>
        <v>0.0548353596690829</v>
      </c>
      <c r="B11244" s="0" t="s">
        <v>11208</v>
      </c>
    </row>
    <row r="11245" customFormat="false" ht="15" hidden="false" customHeight="false" outlineLevel="0" collapsed="false">
      <c r="A11245" s="0" t="n">
        <f aca="false">ACCRINT(DATE(2024,2,28),DATE(2030,1,1),DATE(2027,2,28),0.05,1000,2,1)</f>
        <v>149.726775956284</v>
      </c>
      <c r="B11245" s="0" t="s">
        <v>11209</v>
      </c>
    </row>
    <row r="11246" customFormat="false" ht="15" hidden="false" customHeight="false" outlineLevel="0" collapsed="false">
      <c r="A11246" s="0" t="n">
        <f aca="false">DURATION(DATE(2024,2,28),DATE(2027,2,28),0.05,0.08,2,1)</f>
        <v>2.74042044773358</v>
      </c>
      <c r="B11246" s="0" t="s">
        <v>11210</v>
      </c>
    </row>
    <row r="11247" customFormat="false" ht="15" hidden="false" customHeight="false" outlineLevel="0" collapsed="false">
      <c r="A11247" s="0" t="n">
        <f aca="false">PRICE(DATE(2024,2,28),DATE(2027,2,28),0.05,0.08,100,2,1)</f>
        <v>92.1301390957991</v>
      </c>
      <c r="B11247" s="0" t="s">
        <v>11211</v>
      </c>
    </row>
    <row r="11248" customFormat="false" ht="15" hidden="false" customHeight="false" outlineLevel="0" collapsed="false">
      <c r="A11248" s="0" t="n">
        <f aca="false">YIELD(DATE(2024,2,28),DATE(2027,2,28),0.05,95,100,2,1)</f>
        <v>0.0687107789520318</v>
      </c>
      <c r="B11248" s="0" t="s">
        <v>11212</v>
      </c>
    </row>
    <row r="11249" customFormat="false" ht="15" hidden="false" customHeight="false" outlineLevel="0" collapsed="false">
      <c r="A11249" s="0" t="n">
        <f aca="false">PRICEDISC(DATE(2024,2,28),DATE(2027,2,28),0.05,100,4)</f>
        <v>85</v>
      </c>
      <c r="B11249" s="0" t="s">
        <v>11213</v>
      </c>
    </row>
    <row r="11250" customFormat="false" ht="15" hidden="false" customHeight="false" outlineLevel="0" collapsed="false">
      <c r="A11250" s="0" t="n">
        <f aca="false">RECEIVED(DATE(2024,2,28),DATE(2027,2,28),1000,0.05,4)</f>
        <v>1176.47058823529</v>
      </c>
      <c r="B11250" s="0" t="s">
        <v>11214</v>
      </c>
    </row>
    <row r="11251" customFormat="false" ht="15" hidden="false" customHeight="false" outlineLevel="0" collapsed="false">
      <c r="A11251" s="0" t="n">
        <f aca="false">INTRATE(DATE(2024,2,28),DATE(2027,2,28),1000,1050,4)</f>
        <v>0.0166666666666667</v>
      </c>
      <c r="B11251" s="0" t="s">
        <v>11215</v>
      </c>
    </row>
    <row r="11252" customFormat="false" ht="15" hidden="false" customHeight="false" outlineLevel="0" collapsed="false">
      <c r="A11252" s="0" t="n">
        <f aca="false">DISC(DATE(2024,2,28),DATE(2027,2,28),95,100,4)</f>
        <v>0.0166666666666667</v>
      </c>
      <c r="B11252" s="0" t="s">
        <v>11216</v>
      </c>
    </row>
    <row r="11253" customFormat="false" ht="15" hidden="false" customHeight="false" outlineLevel="0" collapsed="false">
      <c r="A11253" s="0" t="n">
        <f aca="false">YIELDDISC(DATE(2024,2,28),DATE(2027,2,28),95,100,4)</f>
        <v>0.0175438596491228</v>
      </c>
      <c r="B11253" s="0" t="s">
        <v>11217</v>
      </c>
    </row>
    <row r="11254" customFormat="false" ht="15" hidden="false" customHeight="false" outlineLevel="0" collapsed="false">
      <c r="A11254" s="0" t="n">
        <f aca="false">ACCRINTM(DATE(2024,2,28),DATE(2027,2,28),0.05,1000,4)</f>
        <v>150</v>
      </c>
      <c r="B11254" s="0" t="s">
        <v>11218</v>
      </c>
    </row>
    <row r="11255" customFormat="false" ht="15" hidden="false" customHeight="false" outlineLevel="0" collapsed="false">
      <c r="A11255" s="0" t="n">
        <f aca="false">PRICEMAT(DATE(2024,2,28),DATE(2027,2,28),DATE(2023,1,31),0.05,0.06,4)</f>
        <v>96.635593220339</v>
      </c>
      <c r="B11255" s="0" t="s">
        <v>11219</v>
      </c>
    </row>
    <row r="11256" customFormat="false" ht="15" hidden="false" customHeight="false" outlineLevel="0" collapsed="false">
      <c r="A11256" s="0" t="n">
        <f aca="false">YIELDMAT(DATE(2024,2,28),DATE(2027,2,28),DATE(2023,1,31),0.05,98,4)</f>
        <v>0.0548092423428264</v>
      </c>
      <c r="B11256" s="0" t="s">
        <v>11220</v>
      </c>
    </row>
    <row r="11257" customFormat="false" ht="15" hidden="false" customHeight="false" outlineLevel="0" collapsed="false">
      <c r="A11257" s="0" t="n">
        <f aca="false">ACCRINT(DATE(2024,2,28),DATE(2030,1,1),DATE(2027,2,28),0.05,1000,2,4)</f>
        <v>150</v>
      </c>
      <c r="B11257" s="0" t="s">
        <v>11221</v>
      </c>
    </row>
    <row r="11258" customFormat="false" ht="15" hidden="false" customHeight="false" outlineLevel="0" collapsed="false">
      <c r="A11258" s="0" t="n">
        <f aca="false">DURATION(DATE(2024,2,28),DATE(2027,2,28),0.05,0.08,2,4)</f>
        <v>2.73973598503679</v>
      </c>
      <c r="B11258" s="0" t="s">
        <v>11222</v>
      </c>
    </row>
    <row r="11259" customFormat="false" ht="15" hidden="false" customHeight="false" outlineLevel="0" collapsed="false">
      <c r="A11259" s="0" t="n">
        <f aca="false">PRICE(DATE(2024,2,28),DATE(2027,2,28),0.05,0.08,100,2,4)</f>
        <v>92.1233401155592</v>
      </c>
      <c r="B11259" s="0" t="s">
        <v>11223</v>
      </c>
    </row>
    <row r="11260" customFormat="false" ht="15" hidden="false" customHeight="false" outlineLevel="0" collapsed="false">
      <c r="A11260" s="0" t="n">
        <f aca="false">YIELD(DATE(2024,2,28),DATE(2027,2,28),0.05,95,100,2,4)</f>
        <v>0.0686936044845301</v>
      </c>
      <c r="B11260" s="0" t="s">
        <v>11224</v>
      </c>
    </row>
    <row r="11261" customFormat="false" ht="15" hidden="false" customHeight="false" outlineLevel="0" collapsed="false">
      <c r="A11261" s="0" t="n">
        <f aca="false">TBILLPRICE(DATE(2024,2,28),DATE(2027,2,28),0.05)</f>
        <v>84.9583333333333</v>
      </c>
      <c r="B11261" s="0" t="s">
        <v>11225</v>
      </c>
    </row>
    <row r="11262" customFormat="false" ht="15" hidden="false" customHeight="false" outlineLevel="0" collapsed="false">
      <c r="A11262" s="0" t="e">
        <f aca="false">TBILLEQ(DATE(2024,2,28),DATE(2027,2,28),0.05)</f>
        <v>#VALUE!</v>
      </c>
      <c r="B11262" s="0" t="s">
        <v>11226</v>
      </c>
    </row>
    <row r="11263" customFormat="false" ht="15" hidden="false" customHeight="false" outlineLevel="0" collapsed="false">
      <c r="A11263" s="0" t="n">
        <f aca="false">PRICEDISC(DATE(2024,2,28),DATE(2025,1,30),0.05,100,0)</f>
        <v>95.3888888888889</v>
      </c>
      <c r="B11263" s="0" t="s">
        <v>11227</v>
      </c>
    </row>
    <row r="11264" customFormat="false" ht="15" hidden="false" customHeight="false" outlineLevel="0" collapsed="false">
      <c r="A11264" s="0" t="n">
        <f aca="false">RECEIVED(DATE(2024,2,28),DATE(2025,1,30),1000,0.05,0)</f>
        <v>1048.34012813046</v>
      </c>
      <c r="B11264" s="0" t="s">
        <v>11228</v>
      </c>
    </row>
    <row r="11265" customFormat="false" ht="15" hidden="false" customHeight="false" outlineLevel="0" collapsed="false">
      <c r="A11265" s="0" t="n">
        <f aca="false">INTRATE(DATE(2024,2,28),DATE(2025,1,30),1000,1050,0)</f>
        <v>0.0542168674698796</v>
      </c>
      <c r="B11265" s="0" t="s">
        <v>11229</v>
      </c>
    </row>
    <row r="11266" customFormat="false" ht="15" hidden="false" customHeight="false" outlineLevel="0" collapsed="false">
      <c r="A11266" s="0" t="n">
        <f aca="false">DISC(DATE(2024,2,28),DATE(2025,1,30),95,100,0)</f>
        <v>0.0542168674698796</v>
      </c>
      <c r="B11266" s="0" t="s">
        <v>11230</v>
      </c>
    </row>
    <row r="11267" customFormat="false" ht="15" hidden="false" customHeight="false" outlineLevel="0" collapsed="false">
      <c r="A11267" s="0" t="n">
        <f aca="false">YIELDDISC(DATE(2024,2,28),DATE(2025,1,30),95,100,0)</f>
        <v>0.0570703868103994</v>
      </c>
      <c r="B11267" s="0" t="s">
        <v>11231</v>
      </c>
    </row>
    <row r="11268" customFormat="false" ht="15" hidden="false" customHeight="false" outlineLevel="0" collapsed="false">
      <c r="A11268" s="0" t="n">
        <f aca="false">ACCRINTM(DATE(2024,2,28),DATE(2025,1,30),0.05,1000,0)</f>
        <v>46.1111111111111</v>
      </c>
      <c r="B11268" s="0" t="s">
        <v>11232</v>
      </c>
    </row>
    <row r="11269" customFormat="false" ht="15" hidden="false" customHeight="false" outlineLevel="0" collapsed="false">
      <c r="A11269" s="0" t="n">
        <f aca="false">PRICEMAT(DATE(2024,2,28),DATE(2025,1,30),DATE(2023,1,31),0.05,0.06,0)</f>
        <v>98.843581104794</v>
      </c>
      <c r="B11269" s="0" t="s">
        <v>11233</v>
      </c>
    </row>
    <row r="11270" customFormat="false" ht="15" hidden="false" customHeight="false" outlineLevel="0" collapsed="false">
      <c r="A11270" s="0" t="n">
        <f aca="false">YIELDMAT(DATE(2024,2,28),DATE(2025,1,30),DATE(2023,1,31),0.05,98,0)</f>
        <v>0.0693369933252625</v>
      </c>
      <c r="B11270" s="0" t="s">
        <v>11234</v>
      </c>
    </row>
    <row r="11271" customFormat="false" ht="15" hidden="false" customHeight="false" outlineLevel="0" collapsed="false">
      <c r="A11271" s="0" t="n">
        <f aca="false">ACCRINT(DATE(2024,2,28),DATE(2030,1,1),DATE(2025,1,30),0.05,1000,2,0)</f>
        <v>46.1111111111111</v>
      </c>
      <c r="B11271" s="0" t="s">
        <v>11235</v>
      </c>
    </row>
    <row r="11272" customFormat="false" ht="15" hidden="false" customHeight="false" outlineLevel="0" collapsed="false">
      <c r="A11272" s="0" t="n">
        <f aca="false">DURATION(DATE(2024,2,28),DATE(2025,1,30),0.05,0.08,2,0)</f>
        <v>0.909853050005286</v>
      </c>
      <c r="B11272" s="0" t="s">
        <v>11236</v>
      </c>
    </row>
    <row r="11273" customFormat="false" ht="15" hidden="false" customHeight="false" outlineLevel="0" collapsed="false">
      <c r="A11273" s="0" t="n">
        <f aca="false">PRICE(DATE(2024,2,28),DATE(2025,1,30),0.05,0.08,100,2,0)</f>
        <v>97.3766206266586</v>
      </c>
      <c r="B11273" s="0" t="s">
        <v>11237</v>
      </c>
    </row>
    <row r="11274" customFormat="false" ht="15" hidden="false" customHeight="false" outlineLevel="0" collapsed="false">
      <c r="A11274" s="0" t="n">
        <f aca="false">YIELD(DATE(2024,2,28),DATE(2025,1,30),0.05,95,100,2,0)</f>
        <v>0.108323612587788</v>
      </c>
      <c r="B11274" s="0" t="s">
        <v>11238</v>
      </c>
    </row>
    <row r="11275" customFormat="false" ht="15" hidden="false" customHeight="false" outlineLevel="0" collapsed="false">
      <c r="A11275" s="0" t="n">
        <f aca="false">PRICEDISC(DATE(2024,2,28),DATE(2025,1,30),0.05,100,1)</f>
        <v>95.396174863388</v>
      </c>
      <c r="B11275" s="0" t="s">
        <v>11239</v>
      </c>
    </row>
    <row r="11276" customFormat="false" ht="15" hidden="false" customHeight="false" outlineLevel="0" collapsed="false">
      <c r="A11276" s="0" t="n">
        <f aca="false">RECEIVED(DATE(2024,2,28),DATE(2025,1,30),1000,0.05,1)</f>
        <v>1048.26006014607</v>
      </c>
      <c r="B11276" s="0" t="s">
        <v>11240</v>
      </c>
    </row>
    <row r="11277" customFormat="false" ht="15" hidden="false" customHeight="false" outlineLevel="0" collapsed="false">
      <c r="A11277" s="0" t="n">
        <f aca="false">INTRATE(DATE(2024,2,28),DATE(2025,1,30),1000,1050,1)</f>
        <v>0.0543026706231455</v>
      </c>
      <c r="B11277" s="0" t="s">
        <v>11241</v>
      </c>
    </row>
    <row r="11278" customFormat="false" ht="15" hidden="false" customHeight="false" outlineLevel="0" collapsed="false">
      <c r="A11278" s="0" t="n">
        <f aca="false">DISC(DATE(2024,2,28),DATE(2025,1,30),95,100,1)</f>
        <v>0.0543026706231455</v>
      </c>
      <c r="B11278" s="0" t="s">
        <v>11242</v>
      </c>
    </row>
    <row r="11279" customFormat="false" ht="15" hidden="false" customHeight="false" outlineLevel="0" collapsed="false">
      <c r="A11279" s="0" t="n">
        <f aca="false">YIELDDISC(DATE(2024,2,28),DATE(2025,1,30),95,100,1)</f>
        <v>0.0571607059191004</v>
      </c>
      <c r="B11279" s="0" t="s">
        <v>11243</v>
      </c>
    </row>
    <row r="11280" customFormat="false" ht="15" hidden="false" customHeight="false" outlineLevel="0" collapsed="false">
      <c r="A11280" s="0" t="n">
        <f aca="false">ACCRINTM(DATE(2024,2,28),DATE(2025,1,30),0.05,1000,1)</f>
        <v>46.0382513661202</v>
      </c>
      <c r="B11280" s="0" t="s">
        <v>11244</v>
      </c>
    </row>
    <row r="11281" customFormat="false" ht="15" hidden="false" customHeight="false" outlineLevel="0" collapsed="false">
      <c r="A11281" s="0" t="n">
        <f aca="false">PRICEMAT(DATE(2024,2,28),DATE(2025,1,30),DATE(2023,1,31),0.05,0.06,1)</f>
        <v>98.8562627059708</v>
      </c>
      <c r="B11281" s="0" t="s">
        <v>11245</v>
      </c>
    </row>
    <row r="11282" customFormat="false" ht="15" hidden="false" customHeight="false" outlineLevel="0" collapsed="false">
      <c r="A11282" s="0" t="n">
        <f aca="false">YIELDMAT(DATE(2024,2,28),DATE(2025,1,30),DATE(2023,1,31),0.05,98,1)</f>
        <v>0.0694927345434598</v>
      </c>
      <c r="B11282" s="0" t="s">
        <v>11246</v>
      </c>
    </row>
    <row r="11283" customFormat="false" ht="15" hidden="false" customHeight="false" outlineLevel="0" collapsed="false">
      <c r="A11283" s="0" t="n">
        <f aca="false">ACCRINT(DATE(2024,2,28),DATE(2030,1,1),DATE(2025,1,30),0.05,1000,2,1)</f>
        <v>46.0382513661202</v>
      </c>
      <c r="B11283" s="0" t="s">
        <v>11247</v>
      </c>
    </row>
    <row r="11284" customFormat="false" ht="15" hidden="false" customHeight="false" outlineLevel="0" collapsed="false">
      <c r="A11284" s="0" t="n">
        <f aca="false">DURATION(DATE(2024,2,28),DATE(2025,1,30),0.05,0.08,2,1)</f>
        <v>0.908395855105468</v>
      </c>
      <c r="B11284" s="0" t="s">
        <v>11248</v>
      </c>
    </row>
    <row r="11285" customFormat="false" ht="15" hidden="false" customHeight="false" outlineLevel="0" collapsed="false">
      <c r="A11285" s="0" t="n">
        <f aca="false">PRICE(DATE(2024,2,28),DATE(2025,1,30),0.05,0.08,100,2,1)</f>
        <v>97.3816726714439</v>
      </c>
      <c r="B11285" s="0" t="s">
        <v>11249</v>
      </c>
    </row>
    <row r="11286" customFormat="false" ht="15" hidden="false" customHeight="false" outlineLevel="0" collapsed="false">
      <c r="A11286" s="0" t="n">
        <f aca="false">YIELD(DATE(2024,2,28),DATE(2025,1,30),0.05,95,100,2,1)</f>
        <v>0.10844026381963</v>
      </c>
      <c r="B11286" s="0" t="s">
        <v>11250</v>
      </c>
    </row>
    <row r="11287" customFormat="false" ht="15" hidden="false" customHeight="false" outlineLevel="0" collapsed="false">
      <c r="A11287" s="0" t="n">
        <f aca="false">PRICEDISC(DATE(2024,2,28),DATE(2025,1,30),0.05,100,4)</f>
        <v>95.3888888888889</v>
      </c>
      <c r="B11287" s="0" t="s">
        <v>11251</v>
      </c>
    </row>
    <row r="11288" customFormat="false" ht="15" hidden="false" customHeight="false" outlineLevel="0" collapsed="false">
      <c r="A11288" s="0" t="n">
        <f aca="false">RECEIVED(DATE(2024,2,28),DATE(2025,1,30),1000,0.05,4)</f>
        <v>1048.34012813046</v>
      </c>
      <c r="B11288" s="0" t="s">
        <v>11252</v>
      </c>
    </row>
    <row r="11289" customFormat="false" ht="15" hidden="false" customHeight="false" outlineLevel="0" collapsed="false">
      <c r="A11289" s="0" t="n">
        <f aca="false">INTRATE(DATE(2024,2,28),DATE(2025,1,30),1000,1050,4)</f>
        <v>0.0542168674698796</v>
      </c>
      <c r="B11289" s="0" t="s">
        <v>11253</v>
      </c>
    </row>
    <row r="11290" customFormat="false" ht="15" hidden="false" customHeight="false" outlineLevel="0" collapsed="false">
      <c r="A11290" s="0" t="n">
        <f aca="false">DISC(DATE(2024,2,28),DATE(2025,1,30),95,100,4)</f>
        <v>0.0542168674698796</v>
      </c>
      <c r="B11290" s="0" t="s">
        <v>11254</v>
      </c>
    </row>
    <row r="11291" customFormat="false" ht="15" hidden="false" customHeight="false" outlineLevel="0" collapsed="false">
      <c r="A11291" s="0" t="n">
        <f aca="false">YIELDDISC(DATE(2024,2,28),DATE(2025,1,30),95,100,4)</f>
        <v>0.0570703868103994</v>
      </c>
      <c r="B11291" s="0" t="s">
        <v>11255</v>
      </c>
    </row>
    <row r="11292" customFormat="false" ht="15" hidden="false" customHeight="false" outlineLevel="0" collapsed="false">
      <c r="A11292" s="0" t="n">
        <f aca="false">ACCRINTM(DATE(2024,2,28),DATE(2025,1,30),0.05,1000,4)</f>
        <v>46.1111111111111</v>
      </c>
      <c r="B11292" s="0" t="s">
        <v>11256</v>
      </c>
    </row>
    <row r="11293" customFormat="false" ht="15" hidden="false" customHeight="false" outlineLevel="0" collapsed="false">
      <c r="A11293" s="0" t="n">
        <f aca="false">PRICEMAT(DATE(2024,2,28),DATE(2025,1,30),DATE(2023,1,31),0.05,0.06,4)</f>
        <v>98.843581104794</v>
      </c>
      <c r="B11293" s="0" t="s">
        <v>11257</v>
      </c>
    </row>
    <row r="11294" customFormat="false" ht="15" hidden="false" customHeight="false" outlineLevel="0" collapsed="false">
      <c r="A11294" s="0" t="n">
        <f aca="false">YIELDMAT(DATE(2024,2,28),DATE(2025,1,30),DATE(2023,1,31),0.05,98,4)</f>
        <v>0.0693369933252625</v>
      </c>
      <c r="B11294" s="0" t="s">
        <v>11258</v>
      </c>
    </row>
    <row r="11295" customFormat="false" ht="15" hidden="false" customHeight="false" outlineLevel="0" collapsed="false">
      <c r="A11295" s="0" t="n">
        <f aca="false">ACCRINT(DATE(2024,2,28),DATE(2030,1,1),DATE(2025,1,30),0.05,1000,2,4)</f>
        <v>46.1111111111111</v>
      </c>
      <c r="B11295" s="0" t="s">
        <v>11259</v>
      </c>
    </row>
    <row r="11296" customFormat="false" ht="15" hidden="false" customHeight="false" outlineLevel="0" collapsed="false">
      <c r="A11296" s="0" t="n">
        <f aca="false">DURATION(DATE(2024,2,28),DATE(2025,1,30),0.05,0.08,2,4)</f>
        <v>0.909853050005286</v>
      </c>
      <c r="B11296" s="0" t="s">
        <v>11260</v>
      </c>
    </row>
    <row r="11297" customFormat="false" ht="15" hidden="false" customHeight="false" outlineLevel="0" collapsed="false">
      <c r="A11297" s="0" t="n">
        <f aca="false">PRICE(DATE(2024,2,28),DATE(2025,1,30),0.05,0.08,100,2,4)</f>
        <v>97.3766206266586</v>
      </c>
      <c r="B11297" s="0" t="s">
        <v>11261</v>
      </c>
    </row>
    <row r="11298" customFormat="false" ht="15" hidden="false" customHeight="false" outlineLevel="0" collapsed="false">
      <c r="A11298" s="0" t="n">
        <f aca="false">YIELD(DATE(2024,2,28),DATE(2025,1,30),0.05,95,100,2,4)</f>
        <v>0.108323612587788</v>
      </c>
      <c r="B11298" s="0" t="s">
        <v>11262</v>
      </c>
    </row>
    <row r="11299" customFormat="false" ht="15" hidden="false" customHeight="false" outlineLevel="0" collapsed="false">
      <c r="A11299" s="0" t="n">
        <f aca="false">TBILLPRICE(DATE(2024,2,28),DATE(2025,1,30),0.05)</f>
        <v>95.375</v>
      </c>
      <c r="B11299" s="0" t="s">
        <v>11263</v>
      </c>
    </row>
    <row r="11300" customFormat="false" ht="15" hidden="false" customHeight="false" outlineLevel="0" collapsed="false">
      <c r="A11300" s="0" t="n">
        <f aca="false">TBILLEQ(DATE(2024,2,28),DATE(2025,1,30),0.05)</f>
        <v>0.0531527595747779</v>
      </c>
      <c r="B11300" s="0" t="s">
        <v>11264</v>
      </c>
    </row>
    <row r="11301" customFormat="false" ht="15" hidden="false" customHeight="false" outlineLevel="0" collapsed="false">
      <c r="A11301" s="0" t="n">
        <f aca="false">TBILLYIELD(DATE(2024,2,28),DATE(2025,1,30),98)</f>
        <v>0.0220628792057364</v>
      </c>
      <c r="B11301" s="0" t="s">
        <v>11265</v>
      </c>
    </row>
    <row r="11302" customFormat="false" ht="15" hidden="false" customHeight="false" outlineLevel="0" collapsed="false">
      <c r="A11302" s="0" t="n">
        <f aca="false">PRICEDISC(DATE(2024,2,28),DATE(2024,12,31),0.05,100,0)</f>
        <v>95.8055555555556</v>
      </c>
      <c r="B11302" s="0" t="s">
        <v>11266</v>
      </c>
    </row>
    <row r="11303" customFormat="false" ht="15" hidden="false" customHeight="false" outlineLevel="0" collapsed="false">
      <c r="A11303" s="0" t="n">
        <f aca="false">RECEIVED(DATE(2024,2,28),DATE(2024,12,31),1000,0.05,0)</f>
        <v>1043.78080603073</v>
      </c>
      <c r="B11303" s="0" t="s">
        <v>11267</v>
      </c>
    </row>
    <row r="11304" customFormat="false" ht="15" hidden="false" customHeight="false" outlineLevel="0" collapsed="false">
      <c r="A11304" s="0" t="n">
        <f aca="false">INTRATE(DATE(2024,2,28),DATE(2024,12,31),1000,1050,0)</f>
        <v>0.0596026490066226</v>
      </c>
      <c r="B11304" s="0" t="s">
        <v>11268</v>
      </c>
    </row>
    <row r="11305" customFormat="false" ht="15" hidden="false" customHeight="false" outlineLevel="0" collapsed="false">
      <c r="A11305" s="0" t="n">
        <f aca="false">DISC(DATE(2024,2,28),DATE(2024,12,31),95,100,0)</f>
        <v>0.0594059405940595</v>
      </c>
      <c r="B11305" s="0" t="s">
        <v>11269</v>
      </c>
    </row>
    <row r="11306" customFormat="false" ht="15" hidden="false" customHeight="false" outlineLevel="0" collapsed="false">
      <c r="A11306" s="0" t="n">
        <f aca="false">YIELDDISC(DATE(2024,2,28),DATE(2024,12,31),95,100,0)</f>
        <v>0.0625325690463783</v>
      </c>
      <c r="B11306" s="0" t="s">
        <v>11270</v>
      </c>
    </row>
    <row r="11307" customFormat="false" ht="15" hidden="false" customHeight="false" outlineLevel="0" collapsed="false">
      <c r="A11307" s="0" t="n">
        <f aca="false">ACCRINTM(DATE(2024,2,28),DATE(2024,12,31),0.05,1000,0)</f>
        <v>41.9444444444444</v>
      </c>
      <c r="B11307" s="0" t="s">
        <v>11271</v>
      </c>
    </row>
    <row r="11308" customFormat="false" ht="15" hidden="false" customHeight="false" outlineLevel="0" collapsed="false">
      <c r="A11308" s="0" t="n">
        <f aca="false">PRICEMAT(DATE(2024,2,28),DATE(2024,12,31),DATE(2023,1,31),0.05,0.06,0)</f>
        <v>98.9265164736369</v>
      </c>
      <c r="B11308" s="0" t="s">
        <v>11272</v>
      </c>
    </row>
    <row r="11309" customFormat="false" ht="15" hidden="false" customHeight="false" outlineLevel="0" collapsed="false">
      <c r="A11309" s="0" t="n">
        <f aca="false">YIELDMAT(DATE(2024,2,28),DATE(2024,12,31),DATE(2023,1,31),0.05,98,0)</f>
        <v>0.0711849798628441</v>
      </c>
      <c r="B11309" s="0" t="s">
        <v>11273</v>
      </c>
    </row>
    <row r="11310" customFormat="false" ht="15" hidden="false" customHeight="false" outlineLevel="0" collapsed="false">
      <c r="A11310" s="0" t="n">
        <f aca="false">ACCRINT(DATE(2024,2,28),DATE(2030,1,1),DATE(2024,12,31),0.05,1000,2,0)</f>
        <v>41.9444444444444</v>
      </c>
      <c r="B11310" s="0" t="s">
        <v>11274</v>
      </c>
    </row>
    <row r="11311" customFormat="false" ht="15" hidden="false" customHeight="false" outlineLevel="0" collapsed="false">
      <c r="A11311" s="0" t="n">
        <f aca="false">DURATION(DATE(2024,2,28),DATE(2024,12,31),0.05,0.08,2,0)</f>
        <v>0.82929749444973</v>
      </c>
      <c r="B11311" s="0" t="s">
        <v>11275</v>
      </c>
    </row>
    <row r="11312" customFormat="false" ht="15" hidden="false" customHeight="false" outlineLevel="0" collapsed="false">
      <c r="A11312" s="0" t="n">
        <f aca="false">PRICE(DATE(2024,2,28),DATE(2024,12,31),0.05,0.08,100,2,0)</f>
        <v>97.601119424998</v>
      </c>
      <c r="B11312" s="0" t="s">
        <v>11276</v>
      </c>
    </row>
    <row r="11313" customFormat="false" ht="15" hidden="false" customHeight="false" outlineLevel="0" collapsed="false">
      <c r="A11313" s="0" t="n">
        <f aca="false">YIELD(DATE(2024,2,28),DATE(2024,12,31),0.05,95,100,2,0)</f>
        <v>0.11398564672432</v>
      </c>
      <c r="B11313" s="0" t="s">
        <v>11277</v>
      </c>
    </row>
    <row r="11314" customFormat="false" ht="15" hidden="false" customHeight="false" outlineLevel="0" collapsed="false">
      <c r="A11314" s="0" t="n">
        <f aca="false">PRICEDISC(DATE(2024,2,28),DATE(2024,12,31),0.05,100,1)</f>
        <v>95.8060109289618</v>
      </c>
      <c r="B11314" s="0" t="s">
        <v>11278</v>
      </c>
    </row>
    <row r="11315" customFormat="false" ht="15" hidden="false" customHeight="false" outlineLevel="0" collapsed="false">
      <c r="A11315" s="0" t="n">
        <f aca="false">RECEIVED(DATE(2024,2,28),DATE(2024,12,31),1000,0.05,1)</f>
        <v>1043.77584485955</v>
      </c>
      <c r="B11315" s="0" t="s">
        <v>11279</v>
      </c>
    </row>
    <row r="11316" customFormat="false" ht="15" hidden="false" customHeight="false" outlineLevel="0" collapsed="false">
      <c r="A11316" s="0" t="n">
        <f aca="false">INTRATE(DATE(2024,2,28),DATE(2024,12,31),1000,1050,1)</f>
        <v>0.0596091205211727</v>
      </c>
      <c r="B11316" s="0" t="s">
        <v>11280</v>
      </c>
    </row>
    <row r="11317" customFormat="false" ht="15" hidden="false" customHeight="false" outlineLevel="0" collapsed="false">
      <c r="A11317" s="0" t="n">
        <f aca="false">DISC(DATE(2024,2,28),DATE(2024,12,31),95,100,1)</f>
        <v>0.0596091205211727</v>
      </c>
      <c r="B11317" s="0" t="s">
        <v>11281</v>
      </c>
    </row>
    <row r="11318" customFormat="false" ht="15" hidden="false" customHeight="false" outlineLevel="0" collapsed="false">
      <c r="A11318" s="0" t="n">
        <f aca="false">YIELDDISC(DATE(2024,2,28),DATE(2024,12,31),95,100,1)</f>
        <v>0.0627464426538659</v>
      </c>
      <c r="B11318" s="0" t="s">
        <v>11282</v>
      </c>
    </row>
    <row r="11319" customFormat="false" ht="15" hidden="false" customHeight="false" outlineLevel="0" collapsed="false">
      <c r="A11319" s="0" t="n">
        <f aca="false">ACCRINTM(DATE(2024,2,28),DATE(2024,12,31),0.05,1000,1)</f>
        <v>41.9398907103825</v>
      </c>
      <c r="B11319" s="0" t="s">
        <v>11283</v>
      </c>
    </row>
    <row r="11320" customFormat="false" ht="15" hidden="false" customHeight="false" outlineLevel="0" collapsed="false">
      <c r="A11320" s="0" t="n">
        <f aca="false">PRICEMAT(DATE(2024,2,28),DATE(2024,12,31),DATE(2023,1,31),0.05,0.06,1)</f>
        <v>98.949249036568</v>
      </c>
      <c r="B11320" s="0" t="s">
        <v>11284</v>
      </c>
    </row>
    <row r="11321" customFormat="false" ht="15" hidden="false" customHeight="false" outlineLevel="0" collapsed="false">
      <c r="A11321" s="0" t="n">
        <f aca="false">YIELDMAT(DATE(2024,2,28),DATE(2024,12,31),DATE(2023,1,31),0.05,98,1)</f>
        <v>0.0714981299497019</v>
      </c>
      <c r="B11321" s="0" t="s">
        <v>11285</v>
      </c>
    </row>
    <row r="11322" customFormat="false" ht="15" hidden="false" customHeight="false" outlineLevel="0" collapsed="false">
      <c r="A11322" s="0" t="n">
        <f aca="false">ACCRINT(DATE(2024,2,28),DATE(2030,1,1),DATE(2024,12,31),0.05,1000,2,1)</f>
        <v>41.9398907103825</v>
      </c>
      <c r="B11322" s="0" t="s">
        <v>11286</v>
      </c>
    </row>
    <row r="11323" customFormat="false" ht="15" hidden="false" customHeight="false" outlineLevel="0" collapsed="false">
      <c r="A11323" s="0" t="n">
        <f aca="false">DURATION(DATE(2024,2,28),DATE(2024,12,31),0.05,0.08,2,1)</f>
        <v>0.826428641990714</v>
      </c>
      <c r="B11323" s="0" t="s">
        <v>11287</v>
      </c>
    </row>
    <row r="11324" customFormat="false" ht="15" hidden="false" customHeight="false" outlineLevel="0" collapsed="false">
      <c r="A11324" s="0" t="n">
        <f aca="false">PRICE(DATE(2024,2,28),DATE(2024,12,31),0.05,0.08,100,2,1)</f>
        <v>97.6037757919611</v>
      </c>
      <c r="B11324" s="0" t="s">
        <v>11288</v>
      </c>
    </row>
    <row r="11325" customFormat="false" ht="15" hidden="false" customHeight="false" outlineLevel="0" collapsed="false">
      <c r="A11325" s="0" t="n">
        <f aca="false">YIELD(DATE(2024,2,28),DATE(2024,12,31),0.05,95,100,2,1)</f>
        <v>0.114059039275522</v>
      </c>
      <c r="B11325" s="0" t="s">
        <v>11289</v>
      </c>
    </row>
    <row r="11326" customFormat="false" ht="15" hidden="false" customHeight="false" outlineLevel="0" collapsed="false">
      <c r="A11326" s="0" t="n">
        <f aca="false">PRICEDISC(DATE(2024,2,28),DATE(2024,12,31),0.05,100,4)</f>
        <v>95.7916666666667</v>
      </c>
      <c r="B11326" s="0" t="s">
        <v>11290</v>
      </c>
    </row>
    <row r="11327" customFormat="false" ht="15" hidden="false" customHeight="false" outlineLevel="0" collapsed="false">
      <c r="A11327" s="0" t="n">
        <f aca="false">RECEIVED(DATE(2024,2,28),DATE(2024,12,31),1000,0.05,4)</f>
        <v>1043.93214441061</v>
      </c>
      <c r="B11327" s="0" t="s">
        <v>11291</v>
      </c>
    </row>
    <row r="11328" customFormat="false" ht="15" hidden="false" customHeight="false" outlineLevel="0" collapsed="false">
      <c r="A11328" s="0" t="n">
        <f aca="false">INTRATE(DATE(2024,2,28),DATE(2024,12,31),1000,1050,4)</f>
        <v>0.0594059405940595</v>
      </c>
      <c r="B11328" s="0" t="s">
        <v>11292</v>
      </c>
    </row>
    <row r="11329" customFormat="false" ht="15" hidden="false" customHeight="false" outlineLevel="0" collapsed="false">
      <c r="A11329" s="0" t="n">
        <f aca="false">DISC(DATE(2024,2,28),DATE(2024,12,31),95,100,4)</f>
        <v>0.0596026490066226</v>
      </c>
      <c r="B11329" s="0" t="s">
        <v>11293</v>
      </c>
    </row>
    <row r="11330" customFormat="false" ht="15" hidden="false" customHeight="false" outlineLevel="0" collapsed="false">
      <c r="A11330" s="0" t="n">
        <f aca="false">YIELDDISC(DATE(2024,2,28),DATE(2024,12,31),95,100,4)</f>
        <v>0.0627396305332868</v>
      </c>
      <c r="B11330" s="0" t="s">
        <v>11294</v>
      </c>
    </row>
    <row r="11331" customFormat="false" ht="15" hidden="false" customHeight="false" outlineLevel="0" collapsed="false">
      <c r="A11331" s="0" t="n">
        <f aca="false">ACCRINTM(DATE(2024,2,28),DATE(2024,12,31),0.05,1000,4)</f>
        <v>42.0833333333333</v>
      </c>
      <c r="B11331" s="0" t="s">
        <v>11295</v>
      </c>
    </row>
    <row r="11332" customFormat="false" ht="15" hidden="false" customHeight="false" outlineLevel="0" collapsed="false">
      <c r="A11332" s="0" t="n">
        <f aca="false">PRICEMAT(DATE(2024,2,28),DATE(2024,12,31),DATE(2023,1,31),0.05,0.06,4)</f>
        <v>98.9430692196481</v>
      </c>
      <c r="B11332" s="0" t="s">
        <v>11296</v>
      </c>
    </row>
    <row r="11333" customFormat="false" ht="15" hidden="false" customHeight="false" outlineLevel="0" collapsed="false">
      <c r="A11333" s="0" t="n">
        <f aca="false">YIELDMAT(DATE(2024,2,28),DATE(2024,12,31),DATE(2023,1,31),0.05,98,4)</f>
        <v>0.0714206917166946</v>
      </c>
      <c r="B11333" s="0" t="s">
        <v>11297</v>
      </c>
    </row>
    <row r="11334" customFormat="false" ht="15" hidden="false" customHeight="false" outlineLevel="0" collapsed="false">
      <c r="A11334" s="0" t="n">
        <f aca="false">ACCRINT(DATE(2024,2,28),DATE(2030,1,1),DATE(2024,12,31),0.05,1000,2,4)</f>
        <v>42.0833333333333</v>
      </c>
      <c r="B11334" s="0" t="s">
        <v>11298</v>
      </c>
    </row>
    <row r="11335" customFormat="false" ht="15" hidden="false" customHeight="false" outlineLevel="0" collapsed="false">
      <c r="A11335" s="0" t="n">
        <f aca="false">DURATION(DATE(2024,2,28),DATE(2024,12,31),0.05,0.08,2,4)</f>
        <v>0.826519716671953</v>
      </c>
      <c r="B11335" s="0" t="s">
        <v>11299</v>
      </c>
    </row>
    <row r="11336" customFormat="false" ht="15" hidden="false" customHeight="false" outlineLevel="0" collapsed="false">
      <c r="A11336" s="0" t="n">
        <f aca="false">PRICE(DATE(2024,2,28),DATE(2024,12,31),0.05,0.08,100,2,4)</f>
        <v>97.601119424998</v>
      </c>
      <c r="B11336" s="0" t="s">
        <v>11300</v>
      </c>
    </row>
    <row r="11337" customFormat="false" ht="15" hidden="false" customHeight="false" outlineLevel="0" collapsed="false">
      <c r="A11337" s="0" t="n">
        <f aca="false">YIELD(DATE(2024,2,28),DATE(2024,12,31),0.05,95,100,2,4)</f>
        <v>0.11398564672432</v>
      </c>
      <c r="B11337" s="0" t="s">
        <v>11301</v>
      </c>
    </row>
    <row r="11338" customFormat="false" ht="15" hidden="false" customHeight="false" outlineLevel="0" collapsed="false">
      <c r="A11338" s="0" t="n">
        <f aca="false">TBILLPRICE(DATE(2024,2,28),DATE(2024,12,31),0.05)</f>
        <v>95.7916666666667</v>
      </c>
      <c r="B11338" s="0" t="s">
        <v>11302</v>
      </c>
    </row>
    <row r="11339" customFormat="false" ht="15" hidden="false" customHeight="false" outlineLevel="0" collapsed="false">
      <c r="A11339" s="0" t="n">
        <f aca="false">TBILLEQ(DATE(2024,2,28),DATE(2024,12,31),0.05)</f>
        <v>0.0529215600985936</v>
      </c>
      <c r="B11339" s="0" t="s">
        <v>11303</v>
      </c>
    </row>
    <row r="11340" customFormat="false" ht="15" hidden="false" customHeight="false" outlineLevel="0" collapsed="false">
      <c r="A11340" s="0" t="n">
        <f aca="false">TBILLYIELD(DATE(2024,2,28),DATE(2024,12,31),98)</f>
        <v>0.0241675617615468</v>
      </c>
      <c r="B11340" s="0" t="s">
        <v>11304</v>
      </c>
    </row>
    <row r="11341" customFormat="false" ht="15" hidden="false" customHeight="false" outlineLevel="0" collapsed="false">
      <c r="A11341" s="0" t="n">
        <f aca="false">PRICEDISC(DATE(2024,2,29),DATE(2025,2,28),0.05,100,0)</f>
        <v>95.0138888888889</v>
      </c>
      <c r="B11341" s="0" t="s">
        <v>11305</v>
      </c>
    </row>
    <row r="11342" customFormat="false" ht="15" hidden="false" customHeight="false" outlineLevel="0" collapsed="false">
      <c r="A11342" s="0" t="n">
        <f aca="false">RECEIVED(DATE(2024,2,29),DATE(2025,2,28),1000,0.05,0)</f>
        <v>1052.47770793744</v>
      </c>
      <c r="B11342" s="0" t="s">
        <v>11306</v>
      </c>
    </row>
    <row r="11343" customFormat="false" ht="15" hidden="false" customHeight="false" outlineLevel="0" collapsed="false">
      <c r="A11343" s="0" t="n">
        <f aca="false">INTRATE(DATE(2024,2,29),DATE(2025,2,28),1000,1050,0)</f>
        <v>0.0501392757660168</v>
      </c>
      <c r="B11343" s="0" t="s">
        <v>11307</v>
      </c>
    </row>
    <row r="11344" customFormat="false" ht="15" hidden="false" customHeight="false" outlineLevel="0" collapsed="false">
      <c r="A11344" s="0" t="n">
        <f aca="false">DISC(DATE(2024,2,29),DATE(2025,2,28),95,100,0)</f>
        <v>0.05</v>
      </c>
      <c r="B11344" s="0" t="s">
        <v>11308</v>
      </c>
    </row>
    <row r="11345" customFormat="false" ht="15" hidden="false" customHeight="false" outlineLevel="0" collapsed="false">
      <c r="A11345" s="0" t="n">
        <f aca="false">YIELDDISC(DATE(2024,2,29),DATE(2025,2,28),95,100,0)</f>
        <v>0.0526315789473684</v>
      </c>
      <c r="B11345" s="0" t="s">
        <v>11309</v>
      </c>
    </row>
    <row r="11346" customFormat="false" ht="15" hidden="false" customHeight="false" outlineLevel="0" collapsed="false">
      <c r="A11346" s="0" t="n">
        <f aca="false">ACCRINTM(DATE(2024,2,29),DATE(2025,2,28),0.05,1000,0)</f>
        <v>49.8611111111111</v>
      </c>
      <c r="B11346" s="0" t="s">
        <v>11310</v>
      </c>
    </row>
    <row r="11347" customFormat="false" ht="15" hidden="false" customHeight="false" outlineLevel="0" collapsed="false">
      <c r="A11347" s="0" t="n">
        <f aca="false">PRICEMAT(DATE(2024,2,29),DATE(2025,2,28),DATE(2023,1,31),0.05,0.06,0)</f>
        <v>98.7376834381551</v>
      </c>
      <c r="B11347" s="0" t="s">
        <v>11311</v>
      </c>
    </row>
    <row r="11348" customFormat="false" ht="15" hidden="false" customHeight="false" outlineLevel="0" collapsed="false">
      <c r="A11348" s="0" t="n">
        <f aca="false">YIELDMAT(DATE(2024,2,29),DATE(2025,2,28),DATE(2023,1,31),0.05,98,0)</f>
        <v>0.0675621222296845</v>
      </c>
      <c r="B11348" s="0" t="s">
        <v>11312</v>
      </c>
    </row>
    <row r="11349" customFormat="false" ht="15" hidden="false" customHeight="false" outlineLevel="0" collapsed="false">
      <c r="A11349" s="0" t="n">
        <f aca="false">ACCRINT(DATE(2024,2,29),DATE(2030,1,1),DATE(2025,2,28),0.05,1000,2,0)</f>
        <v>49.8611111111111</v>
      </c>
      <c r="B11349" s="0" t="s">
        <v>11313</v>
      </c>
    </row>
    <row r="11350" customFormat="false" ht="15" hidden="false" customHeight="false" outlineLevel="0" collapsed="false">
      <c r="A11350" s="0" t="n">
        <f aca="false">DURATION(DATE(2024,2,29),DATE(2025,2,28),0.05,0.08,2,0)</f>
        <v>0.987630827783064</v>
      </c>
      <c r="B11350" s="0" t="s">
        <v>11314</v>
      </c>
    </row>
    <row r="11351" customFormat="false" ht="15" hidden="false" customHeight="false" outlineLevel="0" collapsed="false">
      <c r="A11351" s="0" t="n">
        <f aca="false">PRICE(DATE(2024,2,29),DATE(2025,2,28),0.05,0.08,100,2,0)</f>
        <v>97.1708579881657</v>
      </c>
      <c r="B11351" s="0" t="s">
        <v>11315</v>
      </c>
    </row>
    <row r="11352" customFormat="false" ht="15" hidden="false" customHeight="false" outlineLevel="0" collapsed="false">
      <c r="A11352" s="0" t="n">
        <f aca="false">YIELD(DATE(2024,2,29),DATE(2025,2,28),0.05,95,100,2,0)</f>
        <v>0.103930285586916</v>
      </c>
      <c r="B11352" s="0" t="s">
        <v>11316</v>
      </c>
    </row>
    <row r="11353" customFormat="false" ht="15" hidden="false" customHeight="false" outlineLevel="0" collapsed="false">
      <c r="A11353" s="0" t="n">
        <f aca="false">PRICEDISC(DATE(2024,2,29),DATE(2025,2,28),0.05,100,1)</f>
        <v>95.0136612021858</v>
      </c>
      <c r="B11353" s="0" t="s">
        <v>11317</v>
      </c>
    </row>
    <row r="11354" customFormat="false" ht="15" hidden="false" customHeight="false" outlineLevel="0" collapsed="false">
      <c r="A11354" s="0" t="n">
        <f aca="false">RECEIVED(DATE(2024,2,29),DATE(2025,2,28),1000,0.05,1)</f>
        <v>1052.48023005032</v>
      </c>
      <c r="B11354" s="0" t="s">
        <v>11318</v>
      </c>
    </row>
    <row r="11355" customFormat="false" ht="15" hidden="false" customHeight="false" outlineLevel="0" collapsed="false">
      <c r="A11355" s="0" t="n">
        <f aca="false">INTRATE(DATE(2024,2,29),DATE(2025,2,28),1000,1050,1)</f>
        <v>0.0501369863013699</v>
      </c>
      <c r="B11355" s="0" t="s">
        <v>11319</v>
      </c>
    </row>
    <row r="11356" customFormat="false" ht="15" hidden="false" customHeight="false" outlineLevel="0" collapsed="false">
      <c r="A11356" s="0" t="n">
        <f aca="false">DISC(DATE(2024,2,29),DATE(2025,2,28),95,100,1)</f>
        <v>0.0501369863013699</v>
      </c>
      <c r="B11356" s="0" t="s">
        <v>11320</v>
      </c>
    </row>
    <row r="11357" customFormat="false" ht="15" hidden="false" customHeight="false" outlineLevel="0" collapsed="false">
      <c r="A11357" s="0" t="n">
        <f aca="false">YIELDDISC(DATE(2024,2,29),DATE(2025,2,28),95,100,1)</f>
        <v>0.0527757750540735</v>
      </c>
      <c r="B11357" s="0" t="s">
        <v>11321</v>
      </c>
    </row>
    <row r="11358" customFormat="false" ht="15" hidden="false" customHeight="false" outlineLevel="0" collapsed="false">
      <c r="A11358" s="0" t="n">
        <f aca="false">ACCRINTM(DATE(2024,2,29),DATE(2025,2,28),0.05,1000,1)</f>
        <v>49.8633879781421</v>
      </c>
      <c r="B11358" s="0" t="s">
        <v>11322</v>
      </c>
    </row>
    <row r="11359" customFormat="false" ht="15" hidden="false" customHeight="false" outlineLevel="0" collapsed="false">
      <c r="A11359" s="0" t="n">
        <f aca="false">PRICEMAT(DATE(2024,2,29),DATE(2025,2,28),DATE(2023,1,31),0.05,0.06,1)</f>
        <v>98.7656404752454</v>
      </c>
      <c r="B11359" s="0" t="s">
        <v>11323</v>
      </c>
    </row>
    <row r="11360" customFormat="false" ht="15" hidden="false" customHeight="false" outlineLevel="0" collapsed="false">
      <c r="A11360" s="0" t="n">
        <f aca="false">YIELDMAT(DATE(2024,2,29),DATE(2025,2,28),DATE(2023,1,31),0.05,98,1)</f>
        <v>0.0678699827627652</v>
      </c>
      <c r="B11360" s="0" t="s">
        <v>11324</v>
      </c>
    </row>
    <row r="11361" customFormat="false" ht="15" hidden="false" customHeight="false" outlineLevel="0" collapsed="false">
      <c r="A11361" s="0" t="n">
        <f aca="false">ACCRINT(DATE(2024,2,29),DATE(2030,1,1),DATE(2025,2,28),0.05,1000,2,1)</f>
        <v>49.8633879781421</v>
      </c>
      <c r="B11361" s="0" t="s">
        <v>11325</v>
      </c>
    </row>
    <row r="11362" customFormat="false" ht="15" hidden="false" customHeight="false" outlineLevel="0" collapsed="false">
      <c r="A11362" s="0" t="n">
        <f aca="false">DURATION(DATE(2024,2,29),DATE(2025,2,28),0.05,0.08,2,1)</f>
        <v>0.984898587345905</v>
      </c>
      <c r="B11362" s="0" t="s">
        <v>11326</v>
      </c>
    </row>
    <row r="11363" customFormat="false" ht="15" hidden="false" customHeight="false" outlineLevel="0" collapsed="false">
      <c r="A11363" s="0" t="n">
        <f aca="false">PRICE(DATE(2024,2,29),DATE(2025,2,28),0.05,0.08,100,2,1)</f>
        <v>97.1708579881657</v>
      </c>
      <c r="B11363" s="0" t="s">
        <v>11327</v>
      </c>
    </row>
    <row r="11364" customFormat="false" ht="15" hidden="false" customHeight="false" outlineLevel="0" collapsed="false">
      <c r="A11364" s="0" t="n">
        <f aca="false">YIELD(DATE(2024,2,29),DATE(2025,2,28),0.05,95,100,2,1)</f>
        <v>0.103930285586916</v>
      </c>
      <c r="B11364" s="0" t="s">
        <v>11328</v>
      </c>
    </row>
    <row r="11365" customFormat="false" ht="15" hidden="false" customHeight="false" outlineLevel="0" collapsed="false">
      <c r="A11365" s="0" t="n">
        <f aca="false">PRICEDISC(DATE(2024,2,29),DATE(2025,2,28),0.05,100,4)</f>
        <v>95.0138888888889</v>
      </c>
      <c r="B11365" s="0" t="s">
        <v>11329</v>
      </c>
    </row>
    <row r="11366" customFormat="false" ht="15" hidden="false" customHeight="false" outlineLevel="0" collapsed="false">
      <c r="A11366" s="0" t="n">
        <f aca="false">RECEIVED(DATE(2024,2,29),DATE(2025,2,28),1000,0.05,4)</f>
        <v>1052.47770793744</v>
      </c>
      <c r="B11366" s="0" t="s">
        <v>11330</v>
      </c>
    </row>
    <row r="11367" customFormat="false" ht="15" hidden="false" customHeight="false" outlineLevel="0" collapsed="false">
      <c r="A11367" s="0" t="n">
        <f aca="false">INTRATE(DATE(2024,2,29),DATE(2025,2,28),1000,1050,4)</f>
        <v>0.0501392757660168</v>
      </c>
      <c r="B11367" s="0" t="s">
        <v>11331</v>
      </c>
    </row>
    <row r="11368" customFormat="false" ht="15" hidden="false" customHeight="false" outlineLevel="0" collapsed="false">
      <c r="A11368" s="0" t="n">
        <f aca="false">DISC(DATE(2024,2,29),DATE(2025,2,28),95,100,4)</f>
        <v>0.0501392757660168</v>
      </c>
      <c r="B11368" s="0" t="s">
        <v>11332</v>
      </c>
    </row>
    <row r="11369" customFormat="false" ht="15" hidden="false" customHeight="false" outlineLevel="0" collapsed="false">
      <c r="A11369" s="0" t="n">
        <f aca="false">YIELDDISC(DATE(2024,2,29),DATE(2025,2,28),95,100,4)</f>
        <v>0.0527781850168596</v>
      </c>
      <c r="B11369" s="0" t="s">
        <v>11333</v>
      </c>
    </row>
    <row r="11370" customFormat="false" ht="15" hidden="false" customHeight="false" outlineLevel="0" collapsed="false">
      <c r="A11370" s="0" t="n">
        <f aca="false">ACCRINTM(DATE(2024,2,29),DATE(2025,2,28),0.05,1000,4)</f>
        <v>49.8611111111111</v>
      </c>
      <c r="B11370" s="0" t="s">
        <v>11334</v>
      </c>
    </row>
    <row r="11371" customFormat="false" ht="15" hidden="false" customHeight="false" outlineLevel="0" collapsed="false">
      <c r="A11371" s="0" t="n">
        <f aca="false">PRICEMAT(DATE(2024,2,29),DATE(2025,2,28),DATE(2023,1,31),0.05,0.06,4)</f>
        <v>98.754060299488</v>
      </c>
      <c r="B11371" s="0" t="s">
        <v>11335</v>
      </c>
    </row>
    <row r="11372" customFormat="false" ht="15" hidden="false" customHeight="false" outlineLevel="0" collapsed="false">
      <c r="A11372" s="0" t="n">
        <f aca="false">YIELDMAT(DATE(2024,2,29),DATE(2025,2,28),DATE(2023,1,31),0.05,98,4)</f>
        <v>0.0677503175562296</v>
      </c>
      <c r="B11372" s="0" t="s">
        <v>11336</v>
      </c>
    </row>
    <row r="11373" customFormat="false" ht="15" hidden="false" customHeight="false" outlineLevel="0" collapsed="false">
      <c r="A11373" s="0" t="n">
        <f aca="false">ACCRINT(DATE(2024,2,29),DATE(2030,1,1),DATE(2025,2,28),0.05,1000,2,4)</f>
        <v>49.8611111111111</v>
      </c>
      <c r="B11373" s="0" t="s">
        <v>11337</v>
      </c>
    </row>
    <row r="11374" customFormat="false" ht="15" hidden="false" customHeight="false" outlineLevel="0" collapsed="false">
      <c r="A11374" s="0" t="n">
        <f aca="false">DURATION(DATE(2024,2,29),DATE(2025,2,28),0.05,0.08,2,4)</f>
        <v>0.984853050005286</v>
      </c>
      <c r="B11374" s="0" t="s">
        <v>11338</v>
      </c>
    </row>
    <row r="11375" customFormat="false" ht="15" hidden="false" customHeight="false" outlineLevel="0" collapsed="false">
      <c r="A11375" s="0" t="n">
        <f aca="false">PRICE(DATE(2024,2,29),DATE(2025,2,28),0.05,0.08,100,2,4)</f>
        <v>97.1708579881657</v>
      </c>
      <c r="B11375" s="0" t="s">
        <v>11339</v>
      </c>
    </row>
    <row r="11376" customFormat="false" ht="15" hidden="false" customHeight="false" outlineLevel="0" collapsed="false">
      <c r="A11376" s="0" t="n">
        <f aca="false">YIELD(DATE(2024,2,29),DATE(2025,2,28),0.05,95,100,2,4)</f>
        <v>0.103930285586916</v>
      </c>
      <c r="B11376" s="0" t="s">
        <v>11340</v>
      </c>
    </row>
    <row r="11377" customFormat="false" ht="15" hidden="false" customHeight="false" outlineLevel="0" collapsed="false">
      <c r="A11377" s="0" t="n">
        <f aca="false">TBILLPRICE(DATE(2024,2,29),DATE(2025,2,28),0.05)</f>
        <v>94.9861111111111</v>
      </c>
      <c r="B11377" s="0" t="s">
        <v>11341</v>
      </c>
    </row>
    <row r="11378" customFormat="false" ht="15" hidden="false" customHeight="false" outlineLevel="0" collapsed="false">
      <c r="A11378" s="0" t="e">
        <f aca="false">TBILLEQ(DATE(2024,2,29),DATE(2025,2,28),0.05)</f>
        <v>#VALUE!</v>
      </c>
      <c r="B11378" s="0" t="s">
        <v>11342</v>
      </c>
    </row>
    <row r="11379" customFormat="false" ht="15" hidden="false" customHeight="false" outlineLevel="0" collapsed="false">
      <c r="A11379" s="0" t="n">
        <f aca="false">PRICEDISC(DATE(2024,2,29),DATE(2025,3,31),0.05,100,0)</f>
        <v>94.5555555555556</v>
      </c>
      <c r="B11379" s="0" t="s">
        <v>11343</v>
      </c>
    </row>
    <row r="11380" customFormat="false" ht="15" hidden="false" customHeight="false" outlineLevel="0" collapsed="false">
      <c r="A11380" s="0" t="n">
        <f aca="false">RECEIVED(DATE(2024,2,29),DATE(2025,3,31),1000,0.05,0)</f>
        <v>1057.57931844888</v>
      </c>
      <c r="B11380" s="0" t="s">
        <v>11344</v>
      </c>
    </row>
    <row r="11381" customFormat="false" ht="15" hidden="false" customHeight="false" outlineLevel="0" collapsed="false">
      <c r="A11381" s="0" t="n">
        <f aca="false">INTRATE(DATE(2024,2,29),DATE(2025,3,31),1000,1050,0)</f>
        <v>0.0459183673469388</v>
      </c>
      <c r="B11381" s="0" t="s">
        <v>11345</v>
      </c>
    </row>
    <row r="11382" customFormat="false" ht="15" hidden="false" customHeight="false" outlineLevel="0" collapsed="false">
      <c r="A11382" s="0" t="n">
        <f aca="false">DISC(DATE(2024,2,29),DATE(2025,3,31),95,100,0)</f>
        <v>0.0460358056265985</v>
      </c>
      <c r="B11382" s="0" t="s">
        <v>11346</v>
      </c>
    </row>
    <row r="11383" customFormat="false" ht="15" hidden="false" customHeight="false" outlineLevel="0" collapsed="false">
      <c r="A11383" s="0" t="n">
        <f aca="false">YIELDDISC(DATE(2024,2,29),DATE(2025,3,31),95,100,0)</f>
        <v>0.0484587427648404</v>
      </c>
      <c r="B11383" s="0" t="s">
        <v>11347</v>
      </c>
    </row>
    <row r="11384" customFormat="false" ht="15" hidden="false" customHeight="false" outlineLevel="0" collapsed="false">
      <c r="A11384" s="0" t="n">
        <f aca="false">ACCRINTM(DATE(2024,2,29),DATE(2025,3,31),0.05,1000,0)</f>
        <v>54.4444444444444</v>
      </c>
      <c r="B11384" s="0" t="s">
        <v>11348</v>
      </c>
    </row>
    <row r="11385" customFormat="false" ht="15" hidden="false" customHeight="false" outlineLevel="0" collapsed="false">
      <c r="A11385" s="0" t="n">
        <f aca="false">PRICEMAT(DATE(2024,2,29),DATE(2025,3,31),DATE(2023,1,31),0.05,0.06,0)</f>
        <v>98.6497961543143</v>
      </c>
      <c r="B11385" s="0" t="s">
        <v>11349</v>
      </c>
    </row>
    <row r="11386" customFormat="false" ht="15" hidden="false" customHeight="false" outlineLevel="0" collapsed="false">
      <c r="A11386" s="0" t="n">
        <f aca="false">YIELDMAT(DATE(2024,2,29),DATE(2025,3,31),DATE(2023,1,31),0.05,98,0)</f>
        <v>0.0661629442853732</v>
      </c>
      <c r="B11386" s="0" t="s">
        <v>11350</v>
      </c>
    </row>
    <row r="11387" customFormat="false" ht="15" hidden="false" customHeight="false" outlineLevel="0" collapsed="false">
      <c r="A11387" s="0" t="n">
        <f aca="false">ACCRINT(DATE(2024,2,29),DATE(2030,1,1),DATE(2025,3,31),0.05,1000,2,0)</f>
        <v>54.4444444444444</v>
      </c>
      <c r="B11387" s="0" t="s">
        <v>11351</v>
      </c>
    </row>
    <row r="11388" customFormat="false" ht="15" hidden="false" customHeight="false" outlineLevel="0" collapsed="false">
      <c r="A11388" s="0" t="n">
        <f aca="false">DURATION(DATE(2024,2,29),DATE(2025,3,31),0.05,0.08,2,0)</f>
        <v>1.04896963213074</v>
      </c>
      <c r="B11388" s="0" t="s">
        <v>11352</v>
      </c>
    </row>
    <row r="11389" customFormat="false" ht="15" hidden="false" customHeight="false" outlineLevel="0" collapsed="false">
      <c r="A11389" s="0" t="n">
        <f aca="false">PRICE(DATE(2024,2,29),DATE(2025,3,31),0.05,0.08,100,2,0)</f>
        <v>96.9304376189391</v>
      </c>
      <c r="B11389" s="0" t="s">
        <v>11353</v>
      </c>
    </row>
    <row r="11390" customFormat="false" ht="15" hidden="false" customHeight="false" outlineLevel="0" collapsed="false">
      <c r="A11390" s="0" t="n">
        <f aca="false">YIELD(DATE(2024,2,29),DATE(2025,3,31),0.05,95,100,2,0)</f>
        <v>0.0996208187785373</v>
      </c>
      <c r="B11390" s="0" t="s">
        <v>11354</v>
      </c>
    </row>
    <row r="11391" customFormat="false" ht="15" hidden="false" customHeight="false" outlineLevel="0" collapsed="false">
      <c r="A11391" s="0" t="n">
        <f aca="false">PRICEDISC(DATE(2024,2,29),DATE(2025,3,31),0.05,100,1)</f>
        <v>94.5901639344262</v>
      </c>
      <c r="B11391" s="0" t="s">
        <v>11355</v>
      </c>
    </row>
    <row r="11392" customFormat="false" ht="15" hidden="false" customHeight="false" outlineLevel="0" collapsed="false">
      <c r="A11392" s="0" t="n">
        <f aca="false">RECEIVED(DATE(2024,2,29),DATE(2025,3,31),1000,0.05,1)</f>
        <v>1057.19237435009</v>
      </c>
      <c r="B11392" s="0" t="s">
        <v>11356</v>
      </c>
    </row>
    <row r="11393" customFormat="false" ht="15" hidden="false" customHeight="false" outlineLevel="0" collapsed="false">
      <c r="A11393" s="0" t="n">
        <f aca="false">INTRATE(DATE(2024,2,29),DATE(2025,3,31),1000,1050,1)</f>
        <v>0.0462121212121212</v>
      </c>
      <c r="B11393" s="0" t="s">
        <v>11357</v>
      </c>
    </row>
    <row r="11394" customFormat="false" ht="15" hidden="false" customHeight="false" outlineLevel="0" collapsed="false">
      <c r="A11394" s="0" t="n">
        <f aca="false">DISC(DATE(2024,2,29),DATE(2025,3,31),95,100,1)</f>
        <v>0.0461489898989899</v>
      </c>
      <c r="B11394" s="0" t="s">
        <v>11358</v>
      </c>
    </row>
    <row r="11395" customFormat="false" ht="15" hidden="false" customHeight="false" outlineLevel="0" collapsed="false">
      <c r="A11395" s="0" t="n">
        <f aca="false">YIELDDISC(DATE(2024,2,29),DATE(2025,3,31),95,100,1)</f>
        <v>0.0485778841041998</v>
      </c>
      <c r="B11395" s="0" t="s">
        <v>11359</v>
      </c>
    </row>
    <row r="11396" customFormat="false" ht="15" hidden="false" customHeight="false" outlineLevel="0" collapsed="false">
      <c r="A11396" s="0" t="n">
        <f aca="false">ACCRINTM(DATE(2024,2,29),DATE(2025,3,31),0.05,1000,1)</f>
        <v>54.0983606557377</v>
      </c>
      <c r="B11396" s="0" t="s">
        <v>11360</v>
      </c>
    </row>
    <row r="11397" customFormat="false" ht="15" hidden="false" customHeight="false" outlineLevel="0" collapsed="false">
      <c r="A11397" s="0" t="n">
        <f aca="false">PRICEMAT(DATE(2024,2,29),DATE(2025,3,31),DATE(2023,1,31),0.05,0.06,1)</f>
        <v>98.6583222848663</v>
      </c>
      <c r="B11397" s="0" t="s">
        <v>11361</v>
      </c>
    </row>
    <row r="11398" customFormat="false" ht="15" hidden="false" customHeight="false" outlineLevel="0" collapsed="false">
      <c r="A11398" s="0" t="n">
        <f aca="false">YIELDMAT(DATE(2024,2,29),DATE(2025,3,31),DATE(2023,1,31),0.05,98,1)</f>
        <v>0.0662590025842513</v>
      </c>
      <c r="B11398" s="0" t="s">
        <v>11362</v>
      </c>
    </row>
    <row r="11399" customFormat="false" ht="15" hidden="false" customHeight="false" outlineLevel="0" collapsed="false">
      <c r="A11399" s="0" t="n">
        <f aca="false">ACCRINT(DATE(2024,2,29),DATE(2030,1,1),DATE(2025,3,31),0.05,1000,2,1)</f>
        <v>54.0983606557377</v>
      </c>
      <c r="B11399" s="0" t="s">
        <v>11363</v>
      </c>
    </row>
    <row r="11400" customFormat="false" ht="15" hidden="false" customHeight="false" outlineLevel="0" collapsed="false">
      <c r="A11400" s="0" t="n">
        <f aca="false">DURATION(DATE(2024,2,29),DATE(2025,3,31),0.05,0.08,2,1)</f>
        <v>1.04630585344097</v>
      </c>
      <c r="B11400" s="0" t="s">
        <v>11364</v>
      </c>
    </row>
    <row r="11401" customFormat="false" ht="15" hidden="false" customHeight="false" outlineLevel="0" collapsed="false">
      <c r="A11401" s="0" t="n">
        <f aca="false">PRICE(DATE(2024,2,29),DATE(2025,3,31),0.05,0.08,100,2,1)</f>
        <v>96.9343424358657</v>
      </c>
      <c r="B11401" s="0" t="s">
        <v>11365</v>
      </c>
    </row>
    <row r="11402" customFormat="false" ht="15" hidden="false" customHeight="false" outlineLevel="0" collapsed="false">
      <c r="A11402" s="0" t="n">
        <f aca="false">YIELD(DATE(2024,2,29),DATE(2025,3,31),0.05,95,100,2,1)</f>
        <v>0.0996855223612478</v>
      </c>
      <c r="B11402" s="0" t="s">
        <v>11366</v>
      </c>
    </row>
    <row r="11403" customFormat="false" ht="15" hidden="false" customHeight="false" outlineLevel="0" collapsed="false">
      <c r="A11403" s="0" t="n">
        <f aca="false">PRICEDISC(DATE(2024,2,29),DATE(2025,3,31),0.05,100,4)</f>
        <v>94.5555555555556</v>
      </c>
      <c r="B11403" s="0" t="s">
        <v>11367</v>
      </c>
    </row>
    <row r="11404" customFormat="false" ht="15" hidden="false" customHeight="false" outlineLevel="0" collapsed="false">
      <c r="A11404" s="0" t="n">
        <f aca="false">RECEIVED(DATE(2024,2,29),DATE(2025,3,31),1000,0.05,4)</f>
        <v>1057.57931844888</v>
      </c>
      <c r="B11404" s="0" t="s">
        <v>11368</v>
      </c>
    </row>
    <row r="11405" customFormat="false" ht="15" hidden="false" customHeight="false" outlineLevel="0" collapsed="false">
      <c r="A11405" s="0" t="n">
        <f aca="false">INTRATE(DATE(2024,2,29),DATE(2025,3,31),1000,1050,4)</f>
        <v>0.0459183673469388</v>
      </c>
      <c r="B11405" s="0" t="s">
        <v>11369</v>
      </c>
    </row>
    <row r="11406" customFormat="false" ht="15" hidden="false" customHeight="false" outlineLevel="0" collapsed="false">
      <c r="A11406" s="0" t="n">
        <f aca="false">DISC(DATE(2024,2,29),DATE(2025,3,31),95,100,4)</f>
        <v>0.0460358056265985</v>
      </c>
      <c r="B11406" s="0" t="s">
        <v>11370</v>
      </c>
    </row>
    <row r="11407" customFormat="false" ht="15" hidden="false" customHeight="false" outlineLevel="0" collapsed="false">
      <c r="A11407" s="0" t="n">
        <f aca="false">YIELDDISC(DATE(2024,2,29),DATE(2025,3,31),95,100,4)</f>
        <v>0.0484587427648404</v>
      </c>
      <c r="B11407" s="0" t="s">
        <v>11371</v>
      </c>
    </row>
    <row r="11408" customFormat="false" ht="15" hidden="false" customHeight="false" outlineLevel="0" collapsed="false">
      <c r="A11408" s="0" t="n">
        <f aca="false">ACCRINTM(DATE(2024,2,29),DATE(2025,3,31),0.05,1000,4)</f>
        <v>54.4444444444444</v>
      </c>
      <c r="B11408" s="0" t="s">
        <v>11372</v>
      </c>
    </row>
    <row r="11409" customFormat="false" ht="15" hidden="false" customHeight="false" outlineLevel="0" collapsed="false">
      <c r="A11409" s="0" t="n">
        <f aca="false">PRICEMAT(DATE(2024,2,29),DATE(2025,3,31),DATE(2023,1,31),0.05,0.06,4)</f>
        <v>98.6497961543143</v>
      </c>
      <c r="B11409" s="0" t="s">
        <v>11373</v>
      </c>
    </row>
    <row r="11410" customFormat="false" ht="15" hidden="false" customHeight="false" outlineLevel="0" collapsed="false">
      <c r="A11410" s="0" t="n">
        <f aca="false">YIELDMAT(DATE(2024,2,29),DATE(2025,3,31),DATE(2023,1,31),0.05,98,4)</f>
        <v>0.0661629442853732</v>
      </c>
      <c r="B11410" s="0" t="s">
        <v>11374</v>
      </c>
    </row>
    <row r="11411" customFormat="false" ht="15" hidden="false" customHeight="false" outlineLevel="0" collapsed="false">
      <c r="A11411" s="0" t="n">
        <f aca="false">ACCRINT(DATE(2024,2,29),DATE(2030,1,1),DATE(2025,3,31),0.05,1000,2,4)</f>
        <v>54.4444444444444</v>
      </c>
      <c r="B11411" s="0" t="s">
        <v>11375</v>
      </c>
    </row>
    <row r="11412" customFormat="false" ht="15" hidden="false" customHeight="false" outlineLevel="0" collapsed="false">
      <c r="A11412" s="0" t="n">
        <f aca="false">DURATION(DATE(2024,2,29),DATE(2025,3,31),0.05,0.08,2,4)</f>
        <v>1.04896963213074</v>
      </c>
      <c r="B11412" s="0" t="s">
        <v>11376</v>
      </c>
    </row>
    <row r="11413" customFormat="false" ht="15" hidden="false" customHeight="false" outlineLevel="0" collapsed="false">
      <c r="A11413" s="0" t="n">
        <f aca="false">PRICE(DATE(2024,2,29),DATE(2025,3,31),0.05,0.08,100,2,4)</f>
        <v>96.9304376189391</v>
      </c>
      <c r="B11413" s="0" t="s">
        <v>11377</v>
      </c>
    </row>
    <row r="11414" customFormat="false" ht="15" hidden="false" customHeight="false" outlineLevel="0" collapsed="false">
      <c r="A11414" s="0" t="n">
        <f aca="false">YIELD(DATE(2024,2,29),DATE(2025,3,31),0.05,95,100,2,4)</f>
        <v>0.0996208187785373</v>
      </c>
      <c r="B11414" s="0" t="s">
        <v>11378</v>
      </c>
    </row>
    <row r="11415" customFormat="false" ht="15" hidden="false" customHeight="false" outlineLevel="0" collapsed="false">
      <c r="A11415" s="0" t="n">
        <f aca="false">TBILLPRICE(DATE(2024,2,29),DATE(2025,3,31),0.05)</f>
        <v>94.5694444444444</v>
      </c>
      <c r="B11415" s="0" t="s">
        <v>11379</v>
      </c>
    </row>
    <row r="11416" customFormat="false" ht="15" hidden="false" customHeight="false" outlineLevel="0" collapsed="false">
      <c r="A11416" s="0" t="e">
        <f aca="false">TBILLEQ(DATE(2024,2,29),DATE(2025,3,31),0.05)</f>
        <v>#VALUE!</v>
      </c>
      <c r="B11416" s="0" t="s">
        <v>11380</v>
      </c>
    </row>
    <row r="11417" customFormat="false" ht="15" hidden="false" customHeight="false" outlineLevel="0" collapsed="false">
      <c r="A11417" s="0" t="e">
        <f aca="false">TBILLYIELD(DATE(2024,2,29),DATE(2025,3,31),98)</f>
        <v>#VALUE!</v>
      </c>
      <c r="B11417" s="0" t="s">
        <v>11381</v>
      </c>
    </row>
    <row r="11418" customFormat="false" ht="15" hidden="false" customHeight="false" outlineLevel="0" collapsed="false">
      <c r="A11418" s="0" t="n">
        <f aca="false">PRICEDISC(DATE(2024,2,29),DATE(2024,8,31),0.05,100,0)</f>
        <v>97.4861111111111</v>
      </c>
      <c r="B11418" s="0" t="s">
        <v>11382</v>
      </c>
    </row>
    <row r="11419" customFormat="false" ht="15" hidden="false" customHeight="false" outlineLevel="0" collapsed="false">
      <c r="A11419" s="0" t="n">
        <f aca="false">RECEIVED(DATE(2024,2,29),DATE(2024,8,31),1000,0.05,0)</f>
        <v>1025.78714916655</v>
      </c>
      <c r="B11419" s="0" t="s">
        <v>11383</v>
      </c>
    </row>
    <row r="11420" customFormat="false" ht="15" hidden="false" customHeight="false" outlineLevel="0" collapsed="false">
      <c r="A11420" s="0" t="n">
        <f aca="false">INTRATE(DATE(2024,2,29),DATE(2024,8,31),1000,1050,0)</f>
        <v>0.0994475138121548</v>
      </c>
      <c r="B11420" s="0" t="s">
        <v>11384</v>
      </c>
    </row>
    <row r="11421" customFormat="false" ht="15" hidden="false" customHeight="false" outlineLevel="0" collapsed="false">
      <c r="A11421" s="0" t="n">
        <f aca="false">DISC(DATE(2024,2,29),DATE(2024,8,31),95,100,0)</f>
        <v>0.0994475138121548</v>
      </c>
      <c r="B11421" s="0" t="s">
        <v>11385</v>
      </c>
    </row>
    <row r="11422" customFormat="false" ht="15" hidden="false" customHeight="false" outlineLevel="0" collapsed="false">
      <c r="A11422" s="0" t="n">
        <f aca="false">YIELDDISC(DATE(2024,2,29),DATE(2024,8,31),95,100,0)</f>
        <v>0.104681593486479</v>
      </c>
      <c r="B11422" s="0" t="s">
        <v>11386</v>
      </c>
    </row>
    <row r="11423" customFormat="false" ht="15" hidden="false" customHeight="false" outlineLevel="0" collapsed="false">
      <c r="A11423" s="0" t="n">
        <f aca="false">ACCRINTM(DATE(2024,2,29),DATE(2024,8,31),0.05,1000,0)</f>
        <v>25.1388888888889</v>
      </c>
      <c r="B11423" s="0" t="s">
        <v>11387</v>
      </c>
    </row>
    <row r="11424" customFormat="false" ht="15" hidden="false" customHeight="false" outlineLevel="0" collapsed="false">
      <c r="A11424" s="0" t="n">
        <f aca="false">PRICEMAT(DATE(2024,2,29),DATE(2024,8,31),DATE(2023,1,31),0.05,0.06,0)</f>
        <v>99.3537341135019</v>
      </c>
      <c r="B11424" s="0" t="s">
        <v>11388</v>
      </c>
    </row>
    <row r="11425" customFormat="false" ht="15" hidden="false" customHeight="false" outlineLevel="0" collapsed="false">
      <c r="A11425" s="0" t="n">
        <f aca="false">YIELDMAT(DATE(2024,2,29),DATE(2024,8,31),DATE(2023,1,31),0.05,98,0)</f>
        <v>0.0868245587345874</v>
      </c>
      <c r="B11425" s="0" t="s">
        <v>11389</v>
      </c>
    </row>
    <row r="11426" customFormat="false" ht="15" hidden="false" customHeight="false" outlineLevel="0" collapsed="false">
      <c r="A11426" s="0" t="n">
        <f aca="false">ACCRINT(DATE(2024,2,29),DATE(2030,1,1),DATE(2024,8,31),0.05,1000,2,0)</f>
        <v>25.1388888888889</v>
      </c>
      <c r="B11426" s="0" t="s">
        <v>11390</v>
      </c>
    </row>
    <row r="11427" customFormat="false" ht="15" hidden="false" customHeight="false" outlineLevel="0" collapsed="false">
      <c r="A11427" s="0" t="n">
        <f aca="false">DURATION(DATE(2024,2,29),DATE(2024,8,31),0.05,0.08,2,0)</f>
        <v>0.502777777777778</v>
      </c>
      <c r="B11427" s="0" t="s">
        <v>11391</v>
      </c>
    </row>
    <row r="11428" customFormat="false" ht="15" hidden="false" customHeight="false" outlineLevel="0" collapsed="false">
      <c r="A11428" s="0" t="n">
        <f aca="false">PRICE(DATE(2024,2,29),DATE(2024,8,31),0.05,0.08,100,2,0)</f>
        <v>98.5576923076923</v>
      </c>
      <c r="B11428" s="0" t="s">
        <v>11392</v>
      </c>
    </row>
    <row r="11429" customFormat="false" ht="15" hidden="false" customHeight="false" outlineLevel="0" collapsed="false">
      <c r="A11429" s="0" t="n">
        <f aca="false">YIELD(DATE(2024,2,29),DATE(2024,8,31),0.05,95,100,2,0)</f>
        <v>0.157894736842106</v>
      </c>
      <c r="B11429" s="0" t="s">
        <v>11393</v>
      </c>
    </row>
    <row r="11430" customFormat="false" ht="15" hidden="false" customHeight="false" outlineLevel="0" collapsed="false">
      <c r="A11430" s="0" t="n">
        <f aca="false">PRICEDISC(DATE(2024,2,29),DATE(2024,8,31),0.05,100,1)</f>
        <v>97.4863387978142</v>
      </c>
      <c r="B11430" s="0" t="s">
        <v>11394</v>
      </c>
    </row>
    <row r="11431" customFormat="false" ht="15" hidden="false" customHeight="false" outlineLevel="0" collapsed="false">
      <c r="A11431" s="0" t="n">
        <f aca="false">RECEIVED(DATE(2024,2,29),DATE(2024,8,31),1000,0.05,1)</f>
        <v>1025.78475336323</v>
      </c>
      <c r="B11431" s="0" t="s">
        <v>11395</v>
      </c>
    </row>
    <row r="11432" customFormat="false" ht="15" hidden="false" customHeight="false" outlineLevel="0" collapsed="false">
      <c r="A11432" s="0" t="n">
        <f aca="false">INTRATE(DATE(2024,2,29),DATE(2024,8,31),1000,1050,1)</f>
        <v>0.0994565217391305</v>
      </c>
      <c r="B11432" s="0" t="s">
        <v>11396</v>
      </c>
    </row>
    <row r="11433" customFormat="false" ht="15" hidden="false" customHeight="false" outlineLevel="0" collapsed="false">
      <c r="A11433" s="0" t="n">
        <f aca="false">DISC(DATE(2024,2,29),DATE(2024,8,31),95,100,1)</f>
        <v>0.0994565217391305</v>
      </c>
      <c r="B11433" s="0" t="s">
        <v>11397</v>
      </c>
    </row>
    <row r="11434" customFormat="false" ht="15" hidden="false" customHeight="false" outlineLevel="0" collapsed="false">
      <c r="A11434" s="0" t="n">
        <f aca="false">YIELDDISC(DATE(2024,2,29),DATE(2024,8,31),95,100,1)</f>
        <v>0.104691075514874</v>
      </c>
      <c r="B11434" s="0" t="s">
        <v>11398</v>
      </c>
    </row>
    <row r="11435" customFormat="false" ht="15" hidden="false" customHeight="false" outlineLevel="0" collapsed="false">
      <c r="A11435" s="0" t="n">
        <f aca="false">ACCRINTM(DATE(2024,2,29),DATE(2024,8,31),0.05,1000,1)</f>
        <v>25.1366120218579</v>
      </c>
      <c r="B11435" s="0" t="s">
        <v>11399</v>
      </c>
    </row>
    <row r="11436" customFormat="false" ht="15" hidden="false" customHeight="false" outlineLevel="0" collapsed="false">
      <c r="A11436" s="0" t="n">
        <f aca="false">PRICEMAT(DATE(2024,2,29),DATE(2024,8,31),DATE(2023,1,31),0.05,0.06,1)</f>
        <v>99.3575066549054</v>
      </c>
      <c r="B11436" s="0" t="s">
        <v>11400</v>
      </c>
    </row>
    <row r="11437" customFormat="false" ht="15" hidden="false" customHeight="false" outlineLevel="0" collapsed="false">
      <c r="A11437" s="0" t="n">
        <f aca="false">YIELDMAT(DATE(2024,2,29),DATE(2024,8,31),DATE(2023,1,31),0.05,98,1)</f>
        <v>0.0869050344763315</v>
      </c>
      <c r="B11437" s="0" t="s">
        <v>11401</v>
      </c>
    </row>
    <row r="11438" customFormat="false" ht="15" hidden="false" customHeight="false" outlineLevel="0" collapsed="false">
      <c r="A11438" s="0" t="n">
        <f aca="false">ACCRINT(DATE(2024,2,29),DATE(2030,1,1),DATE(2024,8,31),0.05,1000,2,1)</f>
        <v>25.1366120218579</v>
      </c>
      <c r="B11438" s="0" t="s">
        <v>11402</v>
      </c>
    </row>
    <row r="11439" customFormat="false" ht="15" hidden="false" customHeight="false" outlineLevel="0" collapsed="false">
      <c r="A11439" s="0" t="n">
        <f aca="false">DURATION(DATE(2024,2,29),DATE(2024,8,31),0.05,0.08,2,1)</f>
        <v>0.502732240437159</v>
      </c>
      <c r="B11439" s="0" t="s">
        <v>11403</v>
      </c>
    </row>
    <row r="11440" customFormat="false" ht="15" hidden="false" customHeight="false" outlineLevel="0" collapsed="false">
      <c r="A11440" s="0" t="n">
        <f aca="false">PRICE(DATE(2024,2,29),DATE(2024,8,31),0.05,0.08,100,2,1)</f>
        <v>98.5576923076923</v>
      </c>
      <c r="B11440" s="0" t="s">
        <v>11404</v>
      </c>
    </row>
    <row r="11441" customFormat="false" ht="15" hidden="false" customHeight="false" outlineLevel="0" collapsed="false">
      <c r="A11441" s="0" t="n">
        <f aca="false">YIELD(DATE(2024,2,29),DATE(2024,8,31),0.05,95,100,2,1)</f>
        <v>0.157894736842106</v>
      </c>
      <c r="B11441" s="0" t="s">
        <v>11405</v>
      </c>
    </row>
    <row r="11442" customFormat="false" ht="15" hidden="false" customHeight="false" outlineLevel="0" collapsed="false">
      <c r="A11442" s="0" t="n">
        <f aca="false">PRICEDISC(DATE(2024,2,29),DATE(2024,8,31),0.05,100,4)</f>
        <v>97.4722222222222</v>
      </c>
      <c r="B11442" s="0" t="s">
        <v>11406</v>
      </c>
    </row>
    <row r="11443" customFormat="false" ht="15" hidden="false" customHeight="false" outlineLevel="0" collapsed="false">
      <c r="A11443" s="0" t="n">
        <f aca="false">RECEIVED(DATE(2024,2,29),DATE(2024,8,31),1000,0.05,4)</f>
        <v>1025.93331433457</v>
      </c>
      <c r="B11443" s="0" t="s">
        <v>11407</v>
      </c>
    </row>
    <row r="11444" customFormat="false" ht="15" hidden="false" customHeight="false" outlineLevel="0" collapsed="false">
      <c r="A11444" s="0" t="n">
        <f aca="false">INTRATE(DATE(2024,2,29),DATE(2024,8,31),1000,1050,4)</f>
        <v>0.098901098901099</v>
      </c>
      <c r="B11444" s="0" t="s">
        <v>11408</v>
      </c>
    </row>
    <row r="11445" customFormat="false" ht="15" hidden="false" customHeight="false" outlineLevel="0" collapsed="false">
      <c r="A11445" s="0" t="n">
        <f aca="false">DISC(DATE(2024,2,29),DATE(2024,8,31),95,100,4)</f>
        <v>0.0994475138121548</v>
      </c>
      <c r="B11445" s="0" t="s">
        <v>11409</v>
      </c>
    </row>
    <row r="11446" customFormat="false" ht="15" hidden="false" customHeight="false" outlineLevel="0" collapsed="false">
      <c r="A11446" s="0" t="n">
        <f aca="false">YIELDDISC(DATE(2024,2,29),DATE(2024,8,31),95,100,4)</f>
        <v>0.104681593486479</v>
      </c>
      <c r="B11446" s="0" t="s">
        <v>11410</v>
      </c>
    </row>
    <row r="11447" customFormat="false" ht="15" hidden="false" customHeight="false" outlineLevel="0" collapsed="false">
      <c r="A11447" s="0" t="n">
        <f aca="false">ACCRINTM(DATE(2024,2,29),DATE(2024,8,31),0.05,1000,4)</f>
        <v>25.2777777777778</v>
      </c>
      <c r="B11447" s="0" t="s">
        <v>11411</v>
      </c>
    </row>
    <row r="11448" customFormat="false" ht="15" hidden="false" customHeight="false" outlineLevel="0" collapsed="false">
      <c r="A11448" s="0" t="n">
        <f aca="false">PRICEMAT(DATE(2024,2,29),DATE(2024,8,31),DATE(2023,1,31),0.05,0.06,4)</f>
        <v>99.3537341135019</v>
      </c>
      <c r="B11448" s="0" t="s">
        <v>11412</v>
      </c>
    </row>
    <row r="11449" customFormat="false" ht="15" hidden="false" customHeight="false" outlineLevel="0" collapsed="false">
      <c r="A11449" s="0" t="n">
        <f aca="false">YIELDMAT(DATE(2024,2,29),DATE(2024,8,31),DATE(2023,1,31),0.05,98,4)</f>
        <v>0.0868245587345874</v>
      </c>
      <c r="B11449" s="0" t="s">
        <v>11413</v>
      </c>
    </row>
    <row r="11450" customFormat="false" ht="15" hidden="false" customHeight="false" outlineLevel="0" collapsed="false">
      <c r="A11450" s="0" t="n">
        <f aca="false">ACCRINT(DATE(2024,2,29),DATE(2030,1,1),DATE(2024,8,31),0.05,1000,2,4)</f>
        <v>25.2777777777778</v>
      </c>
      <c r="B11450" s="0" t="s">
        <v>11414</v>
      </c>
    </row>
    <row r="11451" customFormat="false" ht="15" hidden="false" customHeight="false" outlineLevel="0" collapsed="false">
      <c r="A11451" s="0" t="n">
        <f aca="false">DURATION(DATE(2024,2,29),DATE(2024,8,31),0.05,0.08,2,4)</f>
        <v>0.502777777777778</v>
      </c>
      <c r="B11451" s="0" t="s">
        <v>11415</v>
      </c>
    </row>
    <row r="11452" customFormat="false" ht="15" hidden="false" customHeight="false" outlineLevel="0" collapsed="false">
      <c r="A11452" s="0" t="n">
        <f aca="false">PRICE(DATE(2024,2,29),DATE(2024,8,31),0.05,0.08,100,2,4)</f>
        <v>98.5576923076923</v>
      </c>
      <c r="B11452" s="0" t="s">
        <v>11416</v>
      </c>
    </row>
    <row r="11453" customFormat="false" ht="15" hidden="false" customHeight="false" outlineLevel="0" collapsed="false">
      <c r="A11453" s="0" t="n">
        <f aca="false">YIELD(DATE(2024,2,29),DATE(2024,8,31),0.05,95,100,2,4)</f>
        <v>0.157894736842106</v>
      </c>
      <c r="B11453" s="0" t="s">
        <v>11417</v>
      </c>
    </row>
    <row r="11454" customFormat="false" ht="15" hidden="false" customHeight="false" outlineLevel="0" collapsed="false">
      <c r="A11454" s="0" t="n">
        <f aca="false">TBILLPRICE(DATE(2024,2,29),DATE(2024,8,31),0.05)</f>
        <v>97.4861111111111</v>
      </c>
      <c r="B11454" s="0" t="s">
        <v>11418</v>
      </c>
    </row>
    <row r="11455" customFormat="false" ht="15" hidden="false" customHeight="false" outlineLevel="0" collapsed="false">
      <c r="A11455" s="0" t="n">
        <f aca="false">TBILLEQ(DATE(2024,2,29),DATE(2024,8,31),0.05)</f>
        <v>0.0520017096452486</v>
      </c>
      <c r="B11455" s="0" t="s">
        <v>11419</v>
      </c>
    </row>
    <row r="11456" customFormat="false" ht="15" hidden="false" customHeight="false" outlineLevel="0" collapsed="false">
      <c r="A11456" s="0" t="n">
        <f aca="false">TBILLYIELD(DATE(2024,2,29),DATE(2024,8,31),98)</f>
        <v>0.0405908219641448</v>
      </c>
      <c r="B11456" s="0" t="s">
        <v>11420</v>
      </c>
    </row>
    <row r="11457" customFormat="false" ht="15" hidden="false" customHeight="false" outlineLevel="0" collapsed="false">
      <c r="A11457" s="0" t="n">
        <f aca="false">PRICEDISC(DATE(2024,2,29),DATE(2025,6,30),0.05,100,0)</f>
        <v>93.3194444444444</v>
      </c>
      <c r="B11457" s="0" t="s">
        <v>11421</v>
      </c>
    </row>
    <row r="11458" customFormat="false" ht="15" hidden="false" customHeight="false" outlineLevel="0" collapsed="false">
      <c r="A11458" s="0" t="n">
        <f aca="false">RECEIVED(DATE(2024,2,29),DATE(2025,6,30),1000,0.05,0)</f>
        <v>1071.58803393362</v>
      </c>
      <c r="B11458" s="0" t="s">
        <v>11422</v>
      </c>
    </row>
    <row r="11459" customFormat="false" ht="15" hidden="false" customHeight="false" outlineLevel="0" collapsed="false">
      <c r="A11459" s="0" t="n">
        <f aca="false">INTRATE(DATE(2024,2,29),DATE(2025,6,30),1000,1050,0)</f>
        <v>0.0374220374220375</v>
      </c>
      <c r="B11459" s="0" t="s">
        <v>11423</v>
      </c>
    </row>
    <row r="11460" customFormat="false" ht="15" hidden="false" customHeight="false" outlineLevel="0" collapsed="false">
      <c r="A11460" s="0" t="n">
        <f aca="false">DISC(DATE(2024,2,29),DATE(2025,6,30),95,100,0)</f>
        <v>0.0375</v>
      </c>
      <c r="B11460" s="0" t="s">
        <v>11424</v>
      </c>
    </row>
    <row r="11461" customFormat="false" ht="15" hidden="false" customHeight="false" outlineLevel="0" collapsed="false">
      <c r="A11461" s="0" t="n">
        <f aca="false">YIELDDISC(DATE(2024,2,29),DATE(2025,6,30),95,100,0)</f>
        <v>0.0394736842105263</v>
      </c>
      <c r="B11461" s="0" t="s">
        <v>11425</v>
      </c>
    </row>
    <row r="11462" customFormat="false" ht="15" hidden="false" customHeight="false" outlineLevel="0" collapsed="false">
      <c r="A11462" s="0" t="n">
        <f aca="false">ACCRINTM(DATE(2024,2,29),DATE(2025,6,30),0.05,1000,0)</f>
        <v>66.8055555555556</v>
      </c>
      <c r="B11462" s="0" t="s">
        <v>11426</v>
      </c>
    </row>
    <row r="11463" customFormat="false" ht="15" hidden="false" customHeight="false" outlineLevel="0" collapsed="false">
      <c r="A11463" s="0" t="n">
        <f aca="false">PRICEMAT(DATE(2024,2,29),DATE(2025,6,30),DATE(2023,1,31),0.05,0.06,0)</f>
        <v>98.3780864197531</v>
      </c>
      <c r="B11463" s="0" t="s">
        <v>11427</v>
      </c>
    </row>
    <row r="11464" customFormat="false" ht="15" hidden="false" customHeight="false" outlineLevel="0" collapsed="false">
      <c r="A11464" s="0" t="n">
        <f aca="false">YIELDMAT(DATE(2024,2,29),DATE(2025,6,30),DATE(2023,1,31),0.05,98,0)</f>
        <v>0.0629617192746811</v>
      </c>
      <c r="B11464" s="0" t="s">
        <v>11428</v>
      </c>
    </row>
    <row r="11465" customFormat="false" ht="15" hidden="false" customHeight="false" outlineLevel="0" collapsed="false">
      <c r="A11465" s="0" t="n">
        <f aca="false">ACCRINT(DATE(2024,2,29),DATE(2030,1,1),DATE(2025,6,30),0.05,1000,2,0)</f>
        <v>66.8055555555556</v>
      </c>
      <c r="B11465" s="0" t="s">
        <v>11429</v>
      </c>
    </row>
    <row r="11466" customFormat="false" ht="15" hidden="false" customHeight="false" outlineLevel="0" collapsed="false">
      <c r="A11466" s="0" t="n">
        <f aca="false">DURATION(DATE(2024,2,29),DATE(2025,6,30),0.05,0.08,2,0)</f>
        <v>1.29619185435296</v>
      </c>
      <c r="B11466" s="0" t="s">
        <v>11430</v>
      </c>
    </row>
    <row r="11467" customFormat="false" ht="15" hidden="false" customHeight="false" outlineLevel="0" collapsed="false">
      <c r="A11467" s="0" t="n">
        <f aca="false">PRICE(DATE(2024,2,29),DATE(2025,6,30),0.05,0.08,100,2,0)</f>
        <v>96.2579268025896</v>
      </c>
      <c r="B11467" s="0" t="s">
        <v>11431</v>
      </c>
    </row>
    <row r="11468" customFormat="false" ht="15" hidden="false" customHeight="false" outlineLevel="0" collapsed="false">
      <c r="A11468" s="0" t="n">
        <f aca="false">YIELD(DATE(2024,2,29),DATE(2025,6,30),0.05,95,100,2,0)</f>
        <v>0.0904698776230726</v>
      </c>
      <c r="B11468" s="0" t="s">
        <v>11432</v>
      </c>
    </row>
    <row r="11469" customFormat="false" ht="15" hidden="false" customHeight="false" outlineLevel="0" collapsed="false">
      <c r="A11469" s="0" t="n">
        <f aca="false">PRICEDISC(DATE(2024,2,29),DATE(2025,6,30),0.05,100,1)</f>
        <v>93.3469945355191</v>
      </c>
      <c r="B11469" s="0" t="s">
        <v>11433</v>
      </c>
    </row>
    <row r="11470" customFormat="false" ht="15" hidden="false" customHeight="false" outlineLevel="0" collapsed="false">
      <c r="A11470" s="0" t="n">
        <f aca="false">RECEIVED(DATE(2024,2,29),DATE(2025,6,30),1000,0.05,1)</f>
        <v>1071.2717693546</v>
      </c>
      <c r="B11470" s="0" t="s">
        <v>11434</v>
      </c>
    </row>
    <row r="11471" customFormat="false" ht="15" hidden="false" customHeight="false" outlineLevel="0" collapsed="false">
      <c r="A11471" s="0" t="n">
        <f aca="false">INTRATE(DATE(2024,2,29),DATE(2025,6,30),1000,1050,1)</f>
        <v>0.0375770020533881</v>
      </c>
      <c r="B11471" s="0" t="s">
        <v>11435</v>
      </c>
    </row>
    <row r="11472" customFormat="false" ht="15" hidden="false" customHeight="false" outlineLevel="0" collapsed="false">
      <c r="A11472" s="0" t="n">
        <f aca="false">DISC(DATE(2024,2,29),DATE(2025,6,30),95,100,1)</f>
        <v>0.0375256673511294</v>
      </c>
      <c r="B11472" s="0" t="s">
        <v>11436</v>
      </c>
    </row>
    <row r="11473" customFormat="false" ht="15" hidden="false" customHeight="false" outlineLevel="0" collapsed="false">
      <c r="A11473" s="0" t="n">
        <f aca="false">YIELDDISC(DATE(2024,2,29),DATE(2025,6,30),95,100,1)</f>
        <v>0.039500702474873</v>
      </c>
      <c r="B11473" s="0" t="s">
        <v>11437</v>
      </c>
    </row>
    <row r="11474" customFormat="false" ht="15" hidden="false" customHeight="false" outlineLevel="0" collapsed="false">
      <c r="A11474" s="0" t="n">
        <f aca="false">ACCRINTM(DATE(2024,2,29),DATE(2025,6,30),0.05,1000,1)</f>
        <v>66.5300546448087</v>
      </c>
      <c r="B11474" s="0" t="s">
        <v>11438</v>
      </c>
    </row>
    <row r="11475" customFormat="false" ht="15" hidden="false" customHeight="false" outlineLevel="0" collapsed="false">
      <c r="A11475" s="0" t="n">
        <f aca="false">PRICEMAT(DATE(2024,2,29),DATE(2025,6,30),DATE(2023,1,31),0.05,0.06,1)</f>
        <v>98.3723079089724</v>
      </c>
      <c r="B11475" s="0" t="s">
        <v>11439</v>
      </c>
    </row>
    <row r="11476" customFormat="false" ht="15" hidden="false" customHeight="false" outlineLevel="0" collapsed="false">
      <c r="A11476" s="0" t="n">
        <f aca="false">YIELDMAT(DATE(2024,2,29),DATE(2025,6,30),DATE(2023,1,31),0.05,98,1)</f>
        <v>0.0629186661066594</v>
      </c>
      <c r="B11476" s="0" t="s">
        <v>11440</v>
      </c>
    </row>
    <row r="11477" customFormat="false" ht="15" hidden="false" customHeight="false" outlineLevel="0" collapsed="false">
      <c r="A11477" s="0" t="n">
        <f aca="false">ACCRINT(DATE(2024,2,29),DATE(2030,1,1),DATE(2025,6,30),0.05,1000,2,1)</f>
        <v>66.5300546448087</v>
      </c>
      <c r="B11477" s="0" t="s">
        <v>11441</v>
      </c>
    </row>
    <row r="11478" customFormat="false" ht="15" hidden="false" customHeight="false" outlineLevel="0" collapsed="false">
      <c r="A11478" s="0" t="n">
        <f aca="false">DURATION(DATE(2024,2,29),DATE(2025,6,30),0.05,0.08,2,1)</f>
        <v>1.2952798616489</v>
      </c>
      <c r="B11478" s="0" t="s">
        <v>11442</v>
      </c>
    </row>
    <row r="11479" customFormat="false" ht="15" hidden="false" customHeight="false" outlineLevel="0" collapsed="false">
      <c r="A11479" s="0" t="n">
        <f aca="false">PRICE(DATE(2024,2,29),DATE(2025,6,30),0.05,0.08,100,2,1)</f>
        <v>96.2604014751371</v>
      </c>
      <c r="B11479" s="0" t="s">
        <v>11443</v>
      </c>
    </row>
    <row r="11480" customFormat="false" ht="15" hidden="false" customHeight="false" outlineLevel="0" collapsed="false">
      <c r="A11480" s="0" t="n">
        <f aca="false">YIELD(DATE(2024,2,29),DATE(2025,6,30),0.05,95,100,2,1)</f>
        <v>0.0904975468595112</v>
      </c>
      <c r="B11480" s="0" t="s">
        <v>11444</v>
      </c>
    </row>
    <row r="11481" customFormat="false" ht="15" hidden="false" customHeight="false" outlineLevel="0" collapsed="false">
      <c r="A11481" s="0" t="n">
        <f aca="false">PRICEDISC(DATE(2024,2,29),DATE(2025,6,30),0.05,100,4)</f>
        <v>93.3194444444444</v>
      </c>
      <c r="B11481" s="0" t="s">
        <v>11445</v>
      </c>
    </row>
    <row r="11482" customFormat="false" ht="15" hidden="false" customHeight="false" outlineLevel="0" collapsed="false">
      <c r="A11482" s="0" t="n">
        <f aca="false">RECEIVED(DATE(2024,2,29),DATE(2025,6,30),1000,0.05,4)</f>
        <v>1071.58803393362</v>
      </c>
      <c r="B11482" s="0" t="s">
        <v>11446</v>
      </c>
    </row>
    <row r="11483" customFormat="false" ht="15" hidden="false" customHeight="false" outlineLevel="0" collapsed="false">
      <c r="A11483" s="0" t="n">
        <f aca="false">INTRATE(DATE(2024,2,29),DATE(2025,6,30),1000,1050,4)</f>
        <v>0.0374220374220375</v>
      </c>
      <c r="B11483" s="0" t="s">
        <v>11447</v>
      </c>
    </row>
    <row r="11484" customFormat="false" ht="15" hidden="false" customHeight="false" outlineLevel="0" collapsed="false">
      <c r="A11484" s="0" t="n">
        <f aca="false">DISC(DATE(2024,2,29),DATE(2025,6,30),95,100,4)</f>
        <v>0.0374220374220375</v>
      </c>
      <c r="B11484" s="0" t="s">
        <v>11448</v>
      </c>
    </row>
    <row r="11485" customFormat="false" ht="15" hidden="false" customHeight="false" outlineLevel="0" collapsed="false">
      <c r="A11485" s="0" t="n">
        <f aca="false">YIELDDISC(DATE(2024,2,29),DATE(2025,6,30),95,100,4)</f>
        <v>0.0393916183389867</v>
      </c>
      <c r="B11485" s="0" t="s">
        <v>11449</v>
      </c>
    </row>
    <row r="11486" customFormat="false" ht="15" hidden="false" customHeight="false" outlineLevel="0" collapsed="false">
      <c r="A11486" s="0" t="n">
        <f aca="false">ACCRINTM(DATE(2024,2,29),DATE(2025,6,30),0.05,1000,4)</f>
        <v>66.8055555555556</v>
      </c>
      <c r="B11486" s="0" t="s">
        <v>11450</v>
      </c>
    </row>
    <row r="11487" customFormat="false" ht="15" hidden="false" customHeight="false" outlineLevel="0" collapsed="false">
      <c r="A11487" s="0" t="n">
        <f aca="false">PRICEMAT(DATE(2024,2,29),DATE(2025,6,30),DATE(2023,1,31),0.05,0.06,4)</f>
        <v>98.362073325447</v>
      </c>
      <c r="B11487" s="0" t="s">
        <v>11451</v>
      </c>
    </row>
    <row r="11488" customFormat="false" ht="15" hidden="false" customHeight="false" outlineLevel="0" collapsed="false">
      <c r="A11488" s="0" t="n">
        <f aca="false">YIELDMAT(DATE(2024,2,29),DATE(2025,6,30),DATE(2023,1,31),0.05,98,4)</f>
        <v>0.0628308217294115</v>
      </c>
      <c r="B11488" s="0" t="s">
        <v>11452</v>
      </c>
    </row>
    <row r="11489" customFormat="false" ht="15" hidden="false" customHeight="false" outlineLevel="0" collapsed="false">
      <c r="A11489" s="0" t="n">
        <f aca="false">ACCRINT(DATE(2024,2,29),DATE(2030,1,1),DATE(2025,6,30),0.05,1000,2,4)</f>
        <v>66.8055555555556</v>
      </c>
      <c r="B11489" s="0" t="s">
        <v>11453</v>
      </c>
    </row>
    <row r="11490" customFormat="false" ht="15" hidden="false" customHeight="false" outlineLevel="0" collapsed="false">
      <c r="A11490" s="0" t="n">
        <f aca="false">DURATION(DATE(2024,2,29),DATE(2025,6,30),0.05,0.08,2,4)</f>
        <v>1.29896963213074</v>
      </c>
      <c r="B11490" s="0" t="s">
        <v>11454</v>
      </c>
    </row>
    <row r="11491" customFormat="false" ht="15" hidden="false" customHeight="false" outlineLevel="0" collapsed="false">
      <c r="A11491" s="0" t="n">
        <f aca="false">PRICE(DATE(2024,2,29),DATE(2025,6,30),0.05,0.08,100,2,4)</f>
        <v>96.2579268025896</v>
      </c>
      <c r="B11491" s="0" t="s">
        <v>11455</v>
      </c>
    </row>
    <row r="11492" customFormat="false" ht="15" hidden="false" customHeight="false" outlineLevel="0" collapsed="false">
      <c r="A11492" s="0" t="n">
        <f aca="false">YIELD(DATE(2024,2,29),DATE(2025,6,30),0.05,95,100,2,4)</f>
        <v>0.0904698776230726</v>
      </c>
      <c r="B11492" s="0" t="s">
        <v>11456</v>
      </c>
    </row>
    <row r="11493" customFormat="false" ht="15" hidden="false" customHeight="false" outlineLevel="0" collapsed="false">
      <c r="A11493" s="0" t="n">
        <f aca="false">TBILLPRICE(DATE(2024,2,29),DATE(2025,6,30),0.05)</f>
        <v>93.3194444444444</v>
      </c>
      <c r="B11493" s="0" t="s">
        <v>11457</v>
      </c>
    </row>
    <row r="11494" customFormat="false" ht="15" hidden="false" customHeight="false" outlineLevel="0" collapsed="false">
      <c r="A11494" s="0" t="e">
        <f aca="false">TBILLEQ(DATE(2024,2,29),DATE(2025,6,30),0.05)</f>
        <v>#VALUE!</v>
      </c>
      <c r="B11494" s="0" t="s">
        <v>11458</v>
      </c>
    </row>
    <row r="11495" customFormat="false" ht="15" hidden="false" customHeight="false" outlineLevel="0" collapsed="false">
      <c r="A11495" s="0" t="e">
        <f aca="false">TBILLYIELD(DATE(2024,2,29),DATE(2025,6,30),98)</f>
        <v>#VALUE!</v>
      </c>
      <c r="B11495" s="0" t="s">
        <v>11459</v>
      </c>
    </row>
    <row r="11496" customFormat="false" ht="15" hidden="false" customHeight="false" outlineLevel="0" collapsed="false">
      <c r="A11496" s="0" t="n">
        <f aca="false">PRICEDISC(DATE(2024,2,29),DATE(2026,12,31),0.05,100,0)</f>
        <v>85.8055555555556</v>
      </c>
      <c r="B11496" s="0" t="s">
        <v>11460</v>
      </c>
    </row>
    <row r="11497" customFormat="false" ht="15" hidden="false" customHeight="false" outlineLevel="0" collapsed="false">
      <c r="A11497" s="0" t="n">
        <f aca="false">RECEIVED(DATE(2024,2,29),DATE(2026,12,31),1000,0.05,0)</f>
        <v>1165.42570411136</v>
      </c>
      <c r="B11497" s="0" t="s">
        <v>11461</v>
      </c>
    </row>
    <row r="11498" customFormat="false" ht="15" hidden="false" customHeight="false" outlineLevel="0" collapsed="false">
      <c r="A11498" s="0" t="n">
        <f aca="false">INTRATE(DATE(2024,2,29),DATE(2026,12,31),1000,1050,0)</f>
        <v>0.0176125244618395</v>
      </c>
      <c r="B11498" s="0" t="s">
        <v>11462</v>
      </c>
    </row>
    <row r="11499" customFormat="false" ht="15" hidden="false" customHeight="false" outlineLevel="0" collapsed="false">
      <c r="A11499" s="0" t="n">
        <f aca="false">DISC(DATE(2024,2,29),DATE(2026,12,31),95,100,0)</f>
        <v>0.0176297747306562</v>
      </c>
      <c r="B11499" s="0" t="s">
        <v>11463</v>
      </c>
    </row>
    <row r="11500" customFormat="false" ht="15" hidden="false" customHeight="false" outlineLevel="0" collapsed="false">
      <c r="A11500" s="0" t="n">
        <f aca="false">YIELDDISC(DATE(2024,2,29),DATE(2026,12,31),95,100,0)</f>
        <v>0.0185576576112171</v>
      </c>
      <c r="B11500" s="0" t="s">
        <v>11464</v>
      </c>
    </row>
    <row r="11501" customFormat="false" ht="15" hidden="false" customHeight="false" outlineLevel="0" collapsed="false">
      <c r="A11501" s="0" t="n">
        <f aca="false">ACCRINTM(DATE(2024,2,29),DATE(2026,12,31),0.05,1000,0)</f>
        <v>141.944444444444</v>
      </c>
      <c r="B11501" s="0" t="s">
        <v>11465</v>
      </c>
    </row>
    <row r="11502" customFormat="false" ht="15" hidden="false" customHeight="false" outlineLevel="0" collapsed="false">
      <c r="A11502" s="0" t="n">
        <f aca="false">PRICEMAT(DATE(2024,2,29),DATE(2026,12,31),DATE(2023,1,31),0.05,0.06,0)</f>
        <v>96.7906419629999</v>
      </c>
      <c r="B11502" s="0" t="s">
        <v>11466</v>
      </c>
    </row>
    <row r="11503" customFormat="false" ht="15" hidden="false" customHeight="false" outlineLevel="0" collapsed="false">
      <c r="A11503" s="0" t="n">
        <f aca="false">YIELDMAT(DATE(2024,2,29),DATE(2026,12,31),DATE(2023,1,31),0.05,98,0)</f>
        <v>0.0551744461013149</v>
      </c>
      <c r="B11503" s="0" t="s">
        <v>11467</v>
      </c>
    </row>
    <row r="11504" customFormat="false" ht="15" hidden="false" customHeight="false" outlineLevel="0" collapsed="false">
      <c r="A11504" s="0" t="n">
        <f aca="false">ACCRINT(DATE(2024,2,29),DATE(2030,1,1),DATE(2026,12,31),0.05,1000,2,0)</f>
        <v>141.944444444444</v>
      </c>
      <c r="B11504" s="0" t="s">
        <v>11468</v>
      </c>
    </row>
    <row r="11505" customFormat="false" ht="15" hidden="false" customHeight="false" outlineLevel="0" collapsed="false">
      <c r="A11505" s="0" t="n">
        <f aca="false">DURATION(DATE(2024,2,29),DATE(2026,12,31),0.05,0.08,2,0)</f>
        <v>2.65018590925495</v>
      </c>
      <c r="B11505" s="0" t="s">
        <v>11469</v>
      </c>
    </row>
    <row r="11506" customFormat="false" ht="15" hidden="false" customHeight="false" outlineLevel="0" collapsed="false">
      <c r="A11506" s="0" t="n">
        <f aca="false">PRICE(DATE(2024,2,29),DATE(2026,12,31),0.05,0.08,100,2,0)</f>
        <v>92.5094776382231</v>
      </c>
      <c r="B11506" s="0" t="s">
        <v>11470</v>
      </c>
    </row>
    <row r="11507" customFormat="false" ht="15" hidden="false" customHeight="false" outlineLevel="0" collapsed="false">
      <c r="A11507" s="0" t="n">
        <f aca="false">YIELD(DATE(2024,2,29),DATE(2026,12,31),0.05,95,100,2,0)</f>
        <v>0.0696968550999246</v>
      </c>
      <c r="B11507" s="0" t="s">
        <v>11471</v>
      </c>
    </row>
    <row r="11508" customFormat="false" ht="15" hidden="false" customHeight="false" outlineLevel="0" collapsed="false">
      <c r="A11508" s="0" t="n">
        <f aca="false">PRICEDISC(DATE(2024,2,29),DATE(2026,12,31),0.05,100,1)</f>
        <v>85.8469945355191</v>
      </c>
      <c r="B11508" s="0" t="s">
        <v>11472</v>
      </c>
    </row>
    <row r="11509" customFormat="false" ht="15" hidden="false" customHeight="false" outlineLevel="0" collapsed="false">
      <c r="A11509" s="0" t="n">
        <f aca="false">RECEIVED(DATE(2024,2,29),DATE(2026,12,31),1000,0.05,1)</f>
        <v>1164.86314449395</v>
      </c>
      <c r="B11509" s="0" t="s">
        <v>11473</v>
      </c>
    </row>
    <row r="11510" customFormat="false" ht="15" hidden="false" customHeight="false" outlineLevel="0" collapsed="false">
      <c r="A11510" s="0" t="n">
        <f aca="false">INTRATE(DATE(2024,2,29),DATE(2026,12,31),1000,1050,1)</f>
        <v>0.0176640926640927</v>
      </c>
      <c r="B11510" s="0" t="s">
        <v>11474</v>
      </c>
    </row>
    <row r="11511" customFormat="false" ht="15" hidden="false" customHeight="false" outlineLevel="0" collapsed="false">
      <c r="A11511" s="0" t="n">
        <f aca="false">DISC(DATE(2024,2,29),DATE(2026,12,31),95,100,1)</f>
        <v>0.0176319176319176</v>
      </c>
      <c r="B11511" s="0" t="s">
        <v>11475</v>
      </c>
    </row>
    <row r="11512" customFormat="false" ht="15" hidden="false" customHeight="false" outlineLevel="0" collapsed="false">
      <c r="A11512" s="0" t="n">
        <f aca="false">YIELDDISC(DATE(2024,2,29),DATE(2026,12,31),95,100,1)</f>
        <v>0.0185599132967554</v>
      </c>
      <c r="B11512" s="0" t="s">
        <v>11476</v>
      </c>
    </row>
    <row r="11513" customFormat="false" ht="15" hidden="false" customHeight="false" outlineLevel="0" collapsed="false">
      <c r="A11513" s="0" t="n">
        <f aca="false">ACCRINTM(DATE(2024,2,29),DATE(2026,12,31),0.05,1000,1)</f>
        <v>141.530054644809</v>
      </c>
      <c r="B11513" s="0" t="s">
        <v>11477</v>
      </c>
    </row>
    <row r="11514" customFormat="false" ht="15" hidden="false" customHeight="false" outlineLevel="0" collapsed="false">
      <c r="A11514" s="0" t="n">
        <f aca="false">PRICEMAT(DATE(2024,2,29),DATE(2026,12,31),DATE(2023,1,31),0.05,0.06,1)</f>
        <v>96.7987684844648</v>
      </c>
      <c r="B11514" s="0" t="s">
        <v>11478</v>
      </c>
    </row>
    <row r="11515" customFormat="false" ht="15" hidden="false" customHeight="false" outlineLevel="0" collapsed="false">
      <c r="A11515" s="0" t="n">
        <f aca="false">YIELDMAT(DATE(2024,2,29),DATE(2026,12,31),DATE(2023,1,31),0.05,98,1)</f>
        <v>0.0552057763423173</v>
      </c>
      <c r="B11515" s="0" t="s">
        <v>11479</v>
      </c>
    </row>
    <row r="11516" customFormat="false" ht="15" hidden="false" customHeight="false" outlineLevel="0" collapsed="false">
      <c r="A11516" s="0" t="n">
        <f aca="false">ACCRINT(DATE(2024,2,29),DATE(2030,1,1),DATE(2026,12,31),0.05,1000,2,1)</f>
        <v>141.530054644809</v>
      </c>
      <c r="B11516" s="0" t="s">
        <v>11480</v>
      </c>
    </row>
    <row r="11517" customFormat="false" ht="15" hidden="false" customHeight="false" outlineLevel="0" collapsed="false">
      <c r="A11517" s="0" t="n">
        <f aca="false">DURATION(DATE(2024,2,29),DATE(2026,12,31),0.05,0.08,2,1)</f>
        <v>2.64984122150151</v>
      </c>
      <c r="B11517" s="0" t="s">
        <v>11481</v>
      </c>
    </row>
    <row r="11518" customFormat="false" ht="15" hidden="false" customHeight="false" outlineLevel="0" collapsed="false">
      <c r="A11518" s="0" t="n">
        <f aca="false">PRICE(DATE(2024,2,29),DATE(2026,12,31),0.05,0.08,100,2,1)</f>
        <v>92.5116740634274</v>
      </c>
      <c r="B11518" s="0" t="s">
        <v>11482</v>
      </c>
    </row>
    <row r="11519" customFormat="false" ht="15" hidden="false" customHeight="false" outlineLevel="0" collapsed="false">
      <c r="A11519" s="0" t="n">
        <f aca="false">YIELD(DATE(2024,2,29),DATE(2026,12,31),0.05,95,100,2,1)</f>
        <v>0.0697028841719133</v>
      </c>
      <c r="B11519" s="0" t="s">
        <v>11483</v>
      </c>
    </row>
    <row r="11520" customFormat="false" ht="15" hidden="false" customHeight="false" outlineLevel="0" collapsed="false">
      <c r="A11520" s="0" t="n">
        <f aca="false">PRICEDISC(DATE(2024,2,29),DATE(2026,12,31),0.05,100,4)</f>
        <v>85.8055555555556</v>
      </c>
      <c r="B11520" s="0" t="s">
        <v>11484</v>
      </c>
    </row>
    <row r="11521" customFormat="false" ht="15" hidden="false" customHeight="false" outlineLevel="0" collapsed="false">
      <c r="A11521" s="0" t="n">
        <f aca="false">RECEIVED(DATE(2024,2,29),DATE(2026,12,31),1000,0.05,4)</f>
        <v>1165.42570411136</v>
      </c>
      <c r="B11521" s="0" t="s">
        <v>11485</v>
      </c>
    </row>
    <row r="11522" customFormat="false" ht="15" hidden="false" customHeight="false" outlineLevel="0" collapsed="false">
      <c r="A11522" s="0" t="n">
        <f aca="false">INTRATE(DATE(2024,2,29),DATE(2026,12,31),1000,1050,4)</f>
        <v>0.0176125244618395</v>
      </c>
      <c r="B11522" s="0" t="s">
        <v>11486</v>
      </c>
    </row>
    <row r="11523" customFormat="false" ht="15" hidden="false" customHeight="false" outlineLevel="0" collapsed="false">
      <c r="A11523" s="0" t="n">
        <f aca="false">DISC(DATE(2024,2,29),DATE(2026,12,31),95,100,4)</f>
        <v>0.0176297747306562</v>
      </c>
      <c r="B11523" s="0" t="s">
        <v>11487</v>
      </c>
    </row>
    <row r="11524" customFormat="false" ht="15" hidden="false" customHeight="false" outlineLevel="0" collapsed="false">
      <c r="A11524" s="0" t="n">
        <f aca="false">YIELDDISC(DATE(2024,2,29),DATE(2026,12,31),95,100,4)</f>
        <v>0.0185576576112171</v>
      </c>
      <c r="B11524" s="0" t="s">
        <v>11488</v>
      </c>
    </row>
    <row r="11525" customFormat="false" ht="15" hidden="false" customHeight="false" outlineLevel="0" collapsed="false">
      <c r="A11525" s="0" t="n">
        <f aca="false">ACCRINTM(DATE(2024,2,29),DATE(2026,12,31),0.05,1000,4)</f>
        <v>141.944444444444</v>
      </c>
      <c r="B11525" s="0" t="s">
        <v>11489</v>
      </c>
    </row>
    <row r="11526" customFormat="false" ht="15" hidden="false" customHeight="false" outlineLevel="0" collapsed="false">
      <c r="A11526" s="0" t="n">
        <f aca="false">PRICEMAT(DATE(2024,2,29),DATE(2026,12,31),DATE(2023,1,31),0.05,0.06,4)</f>
        <v>96.7906419629999</v>
      </c>
      <c r="B11526" s="0" t="s">
        <v>11490</v>
      </c>
    </row>
    <row r="11527" customFormat="false" ht="15" hidden="false" customHeight="false" outlineLevel="0" collapsed="false">
      <c r="A11527" s="0" t="n">
        <f aca="false">YIELDMAT(DATE(2024,2,29),DATE(2026,12,31),DATE(2023,1,31),0.05,98,4)</f>
        <v>0.0551744461013149</v>
      </c>
      <c r="B11527" s="0" t="s">
        <v>11491</v>
      </c>
    </row>
    <row r="11528" customFormat="false" ht="15" hidden="false" customHeight="false" outlineLevel="0" collapsed="false">
      <c r="A11528" s="0" t="n">
        <f aca="false">ACCRINT(DATE(2024,2,29),DATE(2030,1,1),DATE(2026,12,31),0.05,1000,2,4)</f>
        <v>141.944444444444</v>
      </c>
      <c r="B11528" s="0" t="s">
        <v>11492</v>
      </c>
    </row>
    <row r="11529" customFormat="false" ht="15" hidden="false" customHeight="false" outlineLevel="0" collapsed="false">
      <c r="A11529" s="0" t="n">
        <f aca="false">DURATION(DATE(2024,2,29),DATE(2026,12,31),0.05,0.08,2,4)</f>
        <v>2.65018590925495</v>
      </c>
      <c r="B11529" s="0" t="s">
        <v>11493</v>
      </c>
    </row>
    <row r="11530" customFormat="false" ht="15" hidden="false" customHeight="false" outlineLevel="0" collapsed="false">
      <c r="A11530" s="0" t="n">
        <f aca="false">PRICE(DATE(2024,2,29),DATE(2026,12,31),0.05,0.08,100,2,4)</f>
        <v>92.5094776382231</v>
      </c>
      <c r="B11530" s="0" t="s">
        <v>11494</v>
      </c>
    </row>
    <row r="11531" customFormat="false" ht="15" hidden="false" customHeight="false" outlineLevel="0" collapsed="false">
      <c r="A11531" s="0" t="n">
        <f aca="false">YIELD(DATE(2024,2,29),DATE(2026,12,31),0.05,95,100,2,4)</f>
        <v>0.0696968550999246</v>
      </c>
      <c r="B11531" s="0" t="s">
        <v>11495</v>
      </c>
    </row>
    <row r="11532" customFormat="false" ht="15" hidden="false" customHeight="false" outlineLevel="0" collapsed="false">
      <c r="A11532" s="0" t="n">
        <f aca="false">TBILLPRICE(DATE(2024,2,29),DATE(2026,12,31),0.05)</f>
        <v>85.8194444444444</v>
      </c>
      <c r="B11532" s="0" t="s">
        <v>11496</v>
      </c>
    </row>
    <row r="11533" customFormat="false" ht="15" hidden="false" customHeight="false" outlineLevel="0" collapsed="false">
      <c r="A11533" s="0" t="e">
        <f aca="false">TBILLEQ(DATE(2024,2,29),DATE(2026,12,31),0.05)</f>
        <v>#VALUE!</v>
      </c>
      <c r="B11533" s="0" t="s">
        <v>11497</v>
      </c>
    </row>
    <row r="11534" customFormat="false" ht="15" hidden="false" customHeight="false" outlineLevel="0" collapsed="false">
      <c r="A11534" s="0" t="e">
        <f aca="false">TBILLYIELD(DATE(2024,2,29),DATE(2026,12,31),98)</f>
        <v>#VALUE!</v>
      </c>
      <c r="B11534" s="0" t="s">
        <v>11498</v>
      </c>
    </row>
    <row r="11535" customFormat="false" ht="15" hidden="false" customHeight="false" outlineLevel="0" collapsed="false">
      <c r="A11535" s="0" t="n">
        <f aca="false">PRICEDISC(DATE(2024,2,29),DATE(2027,2,28),0.05,100,0)</f>
        <v>85.0138888888889</v>
      </c>
      <c r="B11535" s="0" t="s">
        <v>11499</v>
      </c>
    </row>
    <row r="11536" customFormat="false" ht="15" hidden="false" customHeight="false" outlineLevel="0" collapsed="false">
      <c r="A11536" s="0" t="n">
        <f aca="false">RECEIVED(DATE(2024,2,29),DATE(2027,2,28),1000,0.05,0)</f>
        <v>1176.27838588466</v>
      </c>
      <c r="B11536" s="0" t="s">
        <v>11500</v>
      </c>
    </row>
    <row r="11537" customFormat="false" ht="15" hidden="false" customHeight="false" outlineLevel="0" collapsed="false">
      <c r="A11537" s="0" t="n">
        <f aca="false">INTRATE(DATE(2024,2,29),DATE(2027,2,28),1000,1050,0)</f>
        <v>0.0166821130676553</v>
      </c>
      <c r="B11537" s="0" t="s">
        <v>11501</v>
      </c>
    </row>
    <row r="11538" customFormat="false" ht="15" hidden="false" customHeight="false" outlineLevel="0" collapsed="false">
      <c r="A11538" s="0" t="n">
        <f aca="false">DISC(DATE(2024,2,29),DATE(2027,2,28),95,100,0)</f>
        <v>0.0166666666666667</v>
      </c>
      <c r="B11538" s="0" t="s">
        <v>11502</v>
      </c>
    </row>
    <row r="11539" customFormat="false" ht="15" hidden="false" customHeight="false" outlineLevel="0" collapsed="false">
      <c r="A11539" s="0" t="n">
        <f aca="false">YIELDDISC(DATE(2024,2,29),DATE(2027,2,28),95,100,0)</f>
        <v>0.0175438596491228</v>
      </c>
      <c r="B11539" s="0" t="s">
        <v>11503</v>
      </c>
    </row>
    <row r="11540" customFormat="false" ht="15" hidden="false" customHeight="false" outlineLevel="0" collapsed="false">
      <c r="A11540" s="0" t="n">
        <f aca="false">ACCRINTM(DATE(2024,2,29),DATE(2027,2,28),0.05,1000,0)</f>
        <v>149.861111111111</v>
      </c>
      <c r="B11540" s="0" t="s">
        <v>11504</v>
      </c>
    </row>
    <row r="11541" customFormat="false" ht="15" hidden="false" customHeight="false" outlineLevel="0" collapsed="false">
      <c r="A11541" s="0" t="n">
        <f aca="false">PRICEMAT(DATE(2024,2,29),DATE(2027,2,28),DATE(2023,1,31),0.05,0.06,0)</f>
        <v>96.6217043314501</v>
      </c>
      <c r="B11541" s="0" t="s">
        <v>11505</v>
      </c>
    </row>
    <row r="11542" customFormat="false" ht="15" hidden="false" customHeight="false" outlineLevel="0" collapsed="false">
      <c r="A11542" s="0" t="n">
        <f aca="false">YIELDMAT(DATE(2024,2,29),DATE(2027,2,28),DATE(2023,1,31),0.05,98,0)</f>
        <v>0.0547571076785314</v>
      </c>
      <c r="B11542" s="0" t="s">
        <v>11506</v>
      </c>
    </row>
    <row r="11543" customFormat="false" ht="15" hidden="false" customHeight="false" outlineLevel="0" collapsed="false">
      <c r="A11543" s="0" t="n">
        <f aca="false">ACCRINT(DATE(2024,2,29),DATE(2030,1,1),DATE(2027,2,28),0.05,1000,2,0)</f>
        <v>149.861111111111</v>
      </c>
      <c r="B11543" s="0" t="s">
        <v>11507</v>
      </c>
    </row>
    <row r="11544" customFormat="false" ht="15" hidden="false" customHeight="false" outlineLevel="0" collapsed="false">
      <c r="A11544" s="0" t="n">
        <f aca="false">DURATION(DATE(2024,2,29),DATE(2027,2,28),0.05,0.08,2,0)</f>
        <v>2.81407479814384</v>
      </c>
      <c r="B11544" s="0" t="s">
        <v>11508</v>
      </c>
    </row>
    <row r="11545" customFormat="false" ht="15" hidden="false" customHeight="false" outlineLevel="0" collapsed="false">
      <c r="A11545" s="0" t="n">
        <f aca="false">PRICE(DATE(2024,2,29),DATE(2027,2,28),0.05,0.08,100,2,0)</f>
        <v>92.1367947148805</v>
      </c>
      <c r="B11545" s="0" t="s">
        <v>11509</v>
      </c>
    </row>
    <row r="11546" customFormat="false" ht="15" hidden="false" customHeight="false" outlineLevel="0" collapsed="false">
      <c r="A11546" s="0" t="n">
        <f aca="false">YIELD(DATE(2024,2,29),DATE(2027,2,28),0.05,95,100,2,0)</f>
        <v>0.0687276218149256</v>
      </c>
      <c r="B11546" s="0" t="s">
        <v>11510</v>
      </c>
    </row>
    <row r="11547" customFormat="false" ht="15" hidden="false" customHeight="false" outlineLevel="0" collapsed="false">
      <c r="A11547" s="0" t="n">
        <f aca="false">PRICEDISC(DATE(2024,2,29),DATE(2027,2,28),0.05,100,1)</f>
        <v>85.0409836065574</v>
      </c>
      <c r="B11547" s="0" t="s">
        <v>11511</v>
      </c>
    </row>
    <row r="11548" customFormat="false" ht="15" hidden="false" customHeight="false" outlineLevel="0" collapsed="false">
      <c r="A11548" s="0" t="n">
        <f aca="false">RECEIVED(DATE(2024,2,29),DATE(2027,2,28),1000,0.05,1)</f>
        <v>1175.90361445783</v>
      </c>
      <c r="B11548" s="0" t="s">
        <v>11512</v>
      </c>
    </row>
    <row r="11549" customFormat="false" ht="15" hidden="false" customHeight="false" outlineLevel="0" collapsed="false">
      <c r="A11549" s="0" t="n">
        <f aca="false">INTRATE(DATE(2024,2,29),DATE(2027,2,28),1000,1050,1)</f>
        <v>0.0167123287671233</v>
      </c>
      <c r="B11549" s="0" t="s">
        <v>11513</v>
      </c>
    </row>
    <row r="11550" customFormat="false" ht="15" hidden="false" customHeight="false" outlineLevel="0" collapsed="false">
      <c r="A11550" s="0" t="n">
        <f aca="false">DISC(DATE(2024,2,29),DATE(2027,2,28),95,100,1)</f>
        <v>0.0166780821917808</v>
      </c>
      <c r="B11550" s="0" t="s">
        <v>11514</v>
      </c>
    </row>
    <row r="11551" customFormat="false" ht="15" hidden="false" customHeight="false" outlineLevel="0" collapsed="false">
      <c r="A11551" s="0" t="n">
        <f aca="false">YIELDDISC(DATE(2024,2,29),DATE(2027,2,28),95,100,1)</f>
        <v>0.0175558759913482</v>
      </c>
      <c r="B11551" s="0" t="s">
        <v>11515</v>
      </c>
    </row>
    <row r="11552" customFormat="false" ht="15" hidden="false" customHeight="false" outlineLevel="0" collapsed="false">
      <c r="A11552" s="0" t="n">
        <f aca="false">ACCRINTM(DATE(2024,2,29),DATE(2027,2,28),0.05,1000,1)</f>
        <v>149.590163934426</v>
      </c>
      <c r="B11552" s="0" t="s">
        <v>11516</v>
      </c>
    </row>
    <row r="11553" customFormat="false" ht="15" hidden="false" customHeight="false" outlineLevel="0" collapsed="false">
      <c r="A11553" s="0" t="n">
        <f aca="false">PRICEMAT(DATE(2024,2,29),DATE(2027,2,28),DATE(2023,1,31),0.05,0.06,1)</f>
        <v>96.6428863270222</v>
      </c>
      <c r="B11553" s="0" t="s">
        <v>11517</v>
      </c>
    </row>
    <row r="11554" customFormat="false" ht="15" hidden="false" customHeight="false" outlineLevel="0" collapsed="false">
      <c r="A11554" s="0" t="n">
        <f aca="false">YIELDMAT(DATE(2024,2,29),DATE(2027,2,28),DATE(2023,1,31),0.05,98,1)</f>
        <v>0.0548340407772827</v>
      </c>
      <c r="B11554" s="0" t="s">
        <v>11518</v>
      </c>
    </row>
    <row r="11555" customFormat="false" ht="15" hidden="false" customHeight="false" outlineLevel="0" collapsed="false">
      <c r="A11555" s="0" t="n">
        <f aca="false">ACCRINT(DATE(2024,2,29),DATE(2030,1,1),DATE(2027,2,28),0.05,1000,2,1)</f>
        <v>149.590163934426</v>
      </c>
      <c r="B11555" s="0" t="s">
        <v>11519</v>
      </c>
    </row>
    <row r="11556" customFormat="false" ht="15" hidden="false" customHeight="false" outlineLevel="0" collapsed="false">
      <c r="A11556" s="0" t="n">
        <f aca="false">DURATION(DATE(2024,2,29),DATE(2027,2,28),0.05,0.08,2,1)</f>
        <v>2.81202141005349</v>
      </c>
      <c r="B11556" s="0" t="s">
        <v>11520</v>
      </c>
    </row>
    <row r="11557" customFormat="false" ht="15" hidden="false" customHeight="false" outlineLevel="0" collapsed="false">
      <c r="A11557" s="0" t="n">
        <f aca="false">PRICE(DATE(2024,2,29),DATE(2027,2,28),0.05,0.08,100,2,1)</f>
        <v>92.1367947148805</v>
      </c>
      <c r="B11557" s="0" t="s">
        <v>11521</v>
      </c>
    </row>
    <row r="11558" customFormat="false" ht="15" hidden="false" customHeight="false" outlineLevel="0" collapsed="false">
      <c r="A11558" s="0" t="n">
        <f aca="false">YIELD(DATE(2024,2,29),DATE(2027,2,28),0.05,95,100,2,1)</f>
        <v>0.0687276218149256</v>
      </c>
      <c r="B11558" s="0" t="s">
        <v>11522</v>
      </c>
    </row>
    <row r="11559" customFormat="false" ht="15" hidden="false" customHeight="false" outlineLevel="0" collapsed="false">
      <c r="A11559" s="0" t="n">
        <f aca="false">PRICEDISC(DATE(2024,2,29),DATE(2027,2,28),0.05,100,4)</f>
        <v>85.0138888888889</v>
      </c>
      <c r="B11559" s="0" t="s">
        <v>11523</v>
      </c>
    </row>
    <row r="11560" customFormat="false" ht="15" hidden="false" customHeight="false" outlineLevel="0" collapsed="false">
      <c r="A11560" s="0" t="n">
        <f aca="false">RECEIVED(DATE(2024,2,29),DATE(2027,2,28),1000,0.05,4)</f>
        <v>1176.27838588466</v>
      </c>
      <c r="B11560" s="0" t="s">
        <v>11524</v>
      </c>
    </row>
    <row r="11561" customFormat="false" ht="15" hidden="false" customHeight="false" outlineLevel="0" collapsed="false">
      <c r="A11561" s="0" t="n">
        <f aca="false">INTRATE(DATE(2024,2,29),DATE(2027,2,28),1000,1050,4)</f>
        <v>0.0166821130676553</v>
      </c>
      <c r="B11561" s="0" t="s">
        <v>11525</v>
      </c>
    </row>
    <row r="11562" customFormat="false" ht="15" hidden="false" customHeight="false" outlineLevel="0" collapsed="false">
      <c r="A11562" s="0" t="n">
        <f aca="false">DISC(DATE(2024,2,29),DATE(2027,2,28),95,100,4)</f>
        <v>0.0166821130676553</v>
      </c>
      <c r="B11562" s="0" t="s">
        <v>11526</v>
      </c>
    </row>
    <row r="11563" customFormat="false" ht="15" hidden="false" customHeight="false" outlineLevel="0" collapsed="false">
      <c r="A11563" s="0" t="n">
        <f aca="false">YIELDDISC(DATE(2024,2,29),DATE(2027,2,28),95,100,4)</f>
        <v>0.0175601190185844</v>
      </c>
      <c r="B11563" s="0" t="s">
        <v>11527</v>
      </c>
    </row>
    <row r="11564" customFormat="false" ht="15" hidden="false" customHeight="false" outlineLevel="0" collapsed="false">
      <c r="A11564" s="0" t="n">
        <f aca="false">ACCRINTM(DATE(2024,2,29),DATE(2027,2,28),0.05,1000,4)</f>
        <v>149.861111111111</v>
      </c>
      <c r="B11564" s="0" t="s">
        <v>11528</v>
      </c>
    </row>
    <row r="11565" customFormat="false" ht="15" hidden="false" customHeight="false" outlineLevel="0" collapsed="false">
      <c r="A11565" s="0" t="n">
        <f aca="false">PRICEMAT(DATE(2024,2,29),DATE(2027,2,28),DATE(2023,1,31),0.05,0.06,4)</f>
        <v>96.636116604668</v>
      </c>
      <c r="B11565" s="0" t="s">
        <v>11529</v>
      </c>
    </row>
    <row r="11566" customFormat="false" ht="15" hidden="false" customHeight="false" outlineLevel="0" collapsed="false">
      <c r="A11566" s="0" t="n">
        <f aca="false">YIELDMAT(DATE(2024,2,29),DATE(2027,2,28),DATE(2023,1,31),0.05,98,4)</f>
        <v>0.0548078556930621</v>
      </c>
      <c r="B11566" s="0" t="s">
        <v>11530</v>
      </c>
    </row>
    <row r="11567" customFormat="false" ht="15" hidden="false" customHeight="false" outlineLevel="0" collapsed="false">
      <c r="A11567" s="0" t="n">
        <f aca="false">ACCRINT(DATE(2024,2,29),DATE(2030,1,1),DATE(2027,2,28),0.05,1000,2,4)</f>
        <v>149.861111111111</v>
      </c>
      <c r="B11567" s="0" t="s">
        <v>11531</v>
      </c>
    </row>
    <row r="11568" customFormat="false" ht="15" hidden="false" customHeight="false" outlineLevel="0" collapsed="false">
      <c r="A11568" s="0" t="n">
        <f aca="false">DURATION(DATE(2024,2,29),DATE(2027,2,28),0.05,0.08,2,4)</f>
        <v>2.81129702036606</v>
      </c>
      <c r="B11568" s="0" t="s">
        <v>11532</v>
      </c>
    </row>
    <row r="11569" customFormat="false" ht="15" hidden="false" customHeight="false" outlineLevel="0" collapsed="false">
      <c r="A11569" s="0" t="n">
        <f aca="false">PRICE(DATE(2024,2,29),DATE(2027,2,28),0.05,0.08,100,2,4)</f>
        <v>92.1367947148805</v>
      </c>
      <c r="B11569" s="0" t="s">
        <v>11533</v>
      </c>
    </row>
    <row r="11570" customFormat="false" ht="15" hidden="false" customHeight="false" outlineLevel="0" collapsed="false">
      <c r="A11570" s="0" t="n">
        <f aca="false">YIELD(DATE(2024,2,29),DATE(2027,2,28),0.05,95,100,2,4)</f>
        <v>0.0687276218149256</v>
      </c>
      <c r="B11570" s="0" t="s">
        <v>11534</v>
      </c>
    </row>
    <row r="11571" customFormat="false" ht="15" hidden="false" customHeight="false" outlineLevel="0" collapsed="false">
      <c r="A11571" s="0" t="n">
        <f aca="false">TBILLPRICE(DATE(2024,2,29),DATE(2027,2,28),0.05)</f>
        <v>84.9861111111111</v>
      </c>
      <c r="B11571" s="0" t="s">
        <v>11535</v>
      </c>
    </row>
    <row r="11572" customFormat="false" ht="15" hidden="false" customHeight="false" outlineLevel="0" collapsed="false">
      <c r="A11572" s="0" t="e">
        <f aca="false">TBILLEQ(DATE(2024,2,29),DATE(2027,2,28),0.05)</f>
        <v>#VALUE!</v>
      </c>
      <c r="B11572" s="0" t="s">
        <v>11536</v>
      </c>
    </row>
    <row r="11573" customFormat="false" ht="15" hidden="false" customHeight="false" outlineLevel="0" collapsed="false">
      <c r="A11573" s="0" t="n">
        <f aca="false">PRICEDISC(DATE(2024,2,29),DATE(2025,1,30),0.05,100,0)</f>
        <v>95.4027777777778</v>
      </c>
      <c r="B11573" s="0" t="s">
        <v>11537</v>
      </c>
    </row>
    <row r="11574" customFormat="false" ht="15" hidden="false" customHeight="false" outlineLevel="0" collapsed="false">
      <c r="A11574" s="0" t="n">
        <f aca="false">RECEIVED(DATE(2024,2,29),DATE(2025,1,30),1000,0.05,0)</f>
        <v>1048.18750909885</v>
      </c>
      <c r="B11574" s="0" t="s">
        <v>11538</v>
      </c>
    </row>
    <row r="11575" customFormat="false" ht="15" hidden="false" customHeight="false" outlineLevel="0" collapsed="false">
      <c r="A11575" s="0" t="n">
        <f aca="false">INTRATE(DATE(2024,2,29),DATE(2025,1,30),1000,1050,0)</f>
        <v>0.054380664652568</v>
      </c>
      <c r="B11575" s="0" t="s">
        <v>11539</v>
      </c>
    </row>
    <row r="11576" customFormat="false" ht="15" hidden="false" customHeight="false" outlineLevel="0" collapsed="false">
      <c r="A11576" s="0" t="n">
        <f aca="false">DISC(DATE(2024,2,29),DATE(2025,1,30),95,100,0)</f>
        <v>0.0545454545454546</v>
      </c>
      <c r="B11576" s="0" t="s">
        <v>11540</v>
      </c>
    </row>
    <row r="11577" customFormat="false" ht="15" hidden="false" customHeight="false" outlineLevel="0" collapsed="false">
      <c r="A11577" s="0" t="n">
        <f aca="false">YIELDDISC(DATE(2024,2,29),DATE(2025,1,30),95,100,0)</f>
        <v>0.0574162679425837</v>
      </c>
      <c r="B11577" s="0" t="s">
        <v>11541</v>
      </c>
    </row>
    <row r="11578" customFormat="false" ht="15" hidden="false" customHeight="false" outlineLevel="0" collapsed="false">
      <c r="A11578" s="0" t="n">
        <f aca="false">ACCRINTM(DATE(2024,2,29),DATE(2025,1,30),0.05,1000,0)</f>
        <v>45.9722222222222</v>
      </c>
      <c r="B11578" s="0" t="s">
        <v>11542</v>
      </c>
    </row>
    <row r="11579" customFormat="false" ht="15" hidden="false" customHeight="false" outlineLevel="0" collapsed="false">
      <c r="A11579" s="0" t="n">
        <f aca="false">PRICEMAT(DATE(2024,2,29),DATE(2025,1,30),DATE(2023,1,31),0.05,0.06,0)</f>
        <v>98.8626250658241</v>
      </c>
      <c r="B11579" s="0" t="s">
        <v>11543</v>
      </c>
    </row>
    <row r="11580" customFormat="false" ht="15" hidden="false" customHeight="false" outlineLevel="0" collapsed="false">
      <c r="A11580" s="0" t="n">
        <f aca="false">YIELDMAT(DATE(2024,2,29),DATE(2025,1,30),DATE(2023,1,31),0.05,98,0)</f>
        <v>0.0696013187618293</v>
      </c>
      <c r="B11580" s="0" t="s">
        <v>11544</v>
      </c>
    </row>
    <row r="11581" customFormat="false" ht="15" hidden="false" customHeight="false" outlineLevel="0" collapsed="false">
      <c r="A11581" s="0" t="n">
        <f aca="false">ACCRINT(DATE(2024,2,29),DATE(2030,1,1),DATE(2025,1,30),0.05,1000,2,0)</f>
        <v>45.9722222222222</v>
      </c>
      <c r="B11581" s="0" t="s">
        <v>11545</v>
      </c>
    </row>
    <row r="11582" customFormat="false" ht="15" hidden="false" customHeight="false" outlineLevel="0" collapsed="false">
      <c r="A11582" s="0" t="n">
        <f aca="false">DURATION(DATE(2024,2,29),DATE(2025,1,30),0.05,0.08,2,0)</f>
        <v>0.90429749444973</v>
      </c>
      <c r="B11582" s="0" t="s">
        <v>11546</v>
      </c>
    </row>
    <row r="11583" customFormat="false" ht="15" hidden="false" customHeight="false" outlineLevel="0" collapsed="false">
      <c r="A11583" s="0" t="n">
        <f aca="false">PRICE(DATE(2024,2,29),DATE(2025,1,30),0.05,0.08,100,2,0)</f>
        <v>97.3840364643425</v>
      </c>
      <c r="B11583" s="0" t="s">
        <v>11547</v>
      </c>
    </row>
    <row r="11584" customFormat="false" ht="15" hidden="false" customHeight="false" outlineLevel="0" collapsed="false">
      <c r="A11584" s="0" t="n">
        <f aca="false">YIELD(DATE(2024,2,29),DATE(2025,1,30),0.05,95,100,2,0)</f>
        <v>0.108494999793249</v>
      </c>
      <c r="B11584" s="0" t="s">
        <v>11548</v>
      </c>
    </row>
    <row r="11585" customFormat="false" ht="15" hidden="false" customHeight="false" outlineLevel="0" collapsed="false">
      <c r="A11585" s="0" t="n">
        <f aca="false">PRICEDISC(DATE(2024,2,29),DATE(2025,1,30),0.05,100,1)</f>
        <v>95.4098360655738</v>
      </c>
      <c r="B11585" s="0" t="s">
        <v>11549</v>
      </c>
    </row>
    <row r="11586" customFormat="false" ht="15" hidden="false" customHeight="false" outlineLevel="0" collapsed="false">
      <c r="A11586" s="0" t="n">
        <f aca="false">RECEIVED(DATE(2024,2,29),DATE(2025,1,30),1000,0.05,1)</f>
        <v>1048.10996563574</v>
      </c>
      <c r="B11586" s="0" t="s">
        <v>11550</v>
      </c>
    </row>
    <row r="11587" customFormat="false" ht="15" hidden="false" customHeight="false" outlineLevel="0" collapsed="false">
      <c r="A11587" s="0" t="n">
        <f aca="false">INTRATE(DATE(2024,2,29),DATE(2025,1,30),1000,1050,1)</f>
        <v>0.0544642857142858</v>
      </c>
      <c r="B11587" s="0" t="s">
        <v>11551</v>
      </c>
    </row>
    <row r="11588" customFormat="false" ht="15" hidden="false" customHeight="false" outlineLevel="0" collapsed="false">
      <c r="A11588" s="0" t="n">
        <f aca="false">DISC(DATE(2024,2,29),DATE(2025,1,30),95,100,1)</f>
        <v>0.0544642857142858</v>
      </c>
      <c r="B11588" s="0" t="s">
        <v>11552</v>
      </c>
    </row>
    <row r="11589" customFormat="false" ht="15" hidden="false" customHeight="false" outlineLevel="0" collapsed="false">
      <c r="A11589" s="0" t="n">
        <f aca="false">YIELDDISC(DATE(2024,2,29),DATE(2025,1,30),95,100,1)</f>
        <v>0.0573308270676691</v>
      </c>
      <c r="B11589" s="0" t="s">
        <v>11553</v>
      </c>
    </row>
    <row r="11590" customFormat="false" ht="15" hidden="false" customHeight="false" outlineLevel="0" collapsed="false">
      <c r="A11590" s="0" t="n">
        <f aca="false">ACCRINTM(DATE(2024,2,29),DATE(2025,1,30),0.05,1000,1)</f>
        <v>45.9016393442623</v>
      </c>
      <c r="B11590" s="0" t="s">
        <v>11554</v>
      </c>
    </row>
    <row r="11591" customFormat="false" ht="15" hidden="false" customHeight="false" outlineLevel="0" collapsed="false">
      <c r="A11591" s="0" t="n">
        <f aca="false">PRICEMAT(DATE(2024,2,29),DATE(2025,1,30),DATE(2023,1,31),0.05,0.06,1)</f>
        <v>98.8587780391042</v>
      </c>
      <c r="B11591" s="0" t="s">
        <v>11555</v>
      </c>
    </row>
    <row r="11592" customFormat="false" ht="15" hidden="false" customHeight="false" outlineLevel="0" collapsed="false">
      <c r="A11592" s="0" t="n">
        <f aca="false">YIELDMAT(DATE(2024,2,29),DATE(2025,1,30),DATE(2023,1,31),0.05,98,1)</f>
        <v>0.0695462086024229</v>
      </c>
      <c r="B11592" s="0" t="s">
        <v>11556</v>
      </c>
    </row>
    <row r="11593" customFormat="false" ht="15" hidden="false" customHeight="false" outlineLevel="0" collapsed="false">
      <c r="A11593" s="0" t="n">
        <f aca="false">ACCRINT(DATE(2024,2,29),DATE(2030,1,1),DATE(2025,1,30),0.05,1000,2,1)</f>
        <v>45.9016393442623</v>
      </c>
      <c r="B11593" s="0" t="s">
        <v>11557</v>
      </c>
    </row>
    <row r="11594" customFormat="false" ht="15" hidden="false" customHeight="false" outlineLevel="0" collapsed="false">
      <c r="A11594" s="0" t="n">
        <f aca="false">DURATION(DATE(2024,2,29),DATE(2025,1,30),0.05,0.08,2,1)</f>
        <v>0.90566361466831</v>
      </c>
      <c r="B11594" s="0" t="s">
        <v>11558</v>
      </c>
    </row>
    <row r="11595" customFormat="false" ht="15" hidden="false" customHeight="false" outlineLevel="0" collapsed="false">
      <c r="A11595" s="0" t="n">
        <f aca="false">PRICE(DATE(2024,2,29),DATE(2025,1,30),0.05,0.08,100,2,1)</f>
        <v>97.3890101194336</v>
      </c>
      <c r="B11595" s="0" t="s">
        <v>11559</v>
      </c>
    </row>
    <row r="11596" customFormat="false" ht="15" hidden="false" customHeight="false" outlineLevel="0" collapsed="false">
      <c r="A11596" s="0" t="n">
        <f aca="false">YIELD(DATE(2024,2,29),DATE(2025,1,30),0.05,95,100,2,1)</f>
        <v>0.108610496478439</v>
      </c>
      <c r="B11596" s="0" t="s">
        <v>11560</v>
      </c>
    </row>
    <row r="11597" customFormat="false" ht="15" hidden="false" customHeight="false" outlineLevel="0" collapsed="false">
      <c r="A11597" s="0" t="n">
        <f aca="false">PRICEDISC(DATE(2024,2,29),DATE(2025,1,30),0.05,100,4)</f>
        <v>95.4027777777778</v>
      </c>
      <c r="B11597" s="0" t="s">
        <v>11561</v>
      </c>
    </row>
    <row r="11598" customFormat="false" ht="15" hidden="false" customHeight="false" outlineLevel="0" collapsed="false">
      <c r="A11598" s="0" t="n">
        <f aca="false">RECEIVED(DATE(2024,2,29),DATE(2025,1,30),1000,0.05,4)</f>
        <v>1048.18750909885</v>
      </c>
      <c r="B11598" s="0" t="s">
        <v>11562</v>
      </c>
    </row>
    <row r="11599" customFormat="false" ht="15" hidden="false" customHeight="false" outlineLevel="0" collapsed="false">
      <c r="A11599" s="0" t="n">
        <f aca="false">INTRATE(DATE(2024,2,29),DATE(2025,1,30),1000,1050,4)</f>
        <v>0.054380664652568</v>
      </c>
      <c r="B11599" s="0" t="s">
        <v>11563</v>
      </c>
    </row>
    <row r="11600" customFormat="false" ht="15" hidden="false" customHeight="false" outlineLevel="0" collapsed="false">
      <c r="A11600" s="0" t="n">
        <f aca="false">DISC(DATE(2024,2,29),DATE(2025,1,30),95,100,4)</f>
        <v>0.054380664652568</v>
      </c>
      <c r="B11600" s="0" t="s">
        <v>11564</v>
      </c>
    </row>
    <row r="11601" customFormat="false" ht="15" hidden="false" customHeight="false" outlineLevel="0" collapsed="false">
      <c r="A11601" s="0" t="n">
        <f aca="false">YIELDDISC(DATE(2024,2,29),DATE(2025,1,30),95,100,4)</f>
        <v>0.0572428048974399</v>
      </c>
      <c r="B11601" s="0" t="s">
        <v>11565</v>
      </c>
    </row>
    <row r="11602" customFormat="false" ht="15" hidden="false" customHeight="false" outlineLevel="0" collapsed="false">
      <c r="A11602" s="0" t="n">
        <f aca="false">ACCRINTM(DATE(2024,2,29),DATE(2025,1,30),0.05,1000,4)</f>
        <v>45.9722222222222</v>
      </c>
      <c r="B11602" s="0" t="s">
        <v>11566</v>
      </c>
    </row>
    <row r="11603" customFormat="false" ht="15" hidden="false" customHeight="false" outlineLevel="0" collapsed="false">
      <c r="A11603" s="0" t="n">
        <f aca="false">PRICEMAT(DATE(2024,2,29),DATE(2025,1,30),DATE(2023,1,31),0.05,0.06,4)</f>
        <v>98.8461560399446</v>
      </c>
      <c r="B11603" s="0" t="s">
        <v>11567</v>
      </c>
    </row>
    <row r="11604" customFormat="false" ht="15" hidden="false" customHeight="false" outlineLevel="0" collapsed="false">
      <c r="A11604" s="0" t="n">
        <f aca="false">YIELDMAT(DATE(2024,2,29),DATE(2025,1,30),DATE(2023,1,31),0.05,98,4)</f>
        <v>0.0693910428743313</v>
      </c>
      <c r="B11604" s="0" t="s">
        <v>11568</v>
      </c>
    </row>
    <row r="11605" customFormat="false" ht="15" hidden="false" customHeight="false" outlineLevel="0" collapsed="false">
      <c r="A11605" s="0" t="n">
        <f aca="false">ACCRINT(DATE(2024,2,29),DATE(2030,1,1),DATE(2025,1,30),0.05,1000,2,4)</f>
        <v>45.9722222222222</v>
      </c>
      <c r="B11605" s="0" t="s">
        <v>11569</v>
      </c>
    </row>
    <row r="11606" customFormat="false" ht="15" hidden="false" customHeight="false" outlineLevel="0" collapsed="false">
      <c r="A11606" s="0" t="n">
        <f aca="false">DURATION(DATE(2024,2,29),DATE(2025,1,30),0.05,0.08,2,4)</f>
        <v>0.907075272227508</v>
      </c>
      <c r="B11606" s="0" t="s">
        <v>11570</v>
      </c>
    </row>
    <row r="11607" customFormat="false" ht="15" hidden="false" customHeight="false" outlineLevel="0" collapsed="false">
      <c r="A11607" s="0" t="n">
        <f aca="false">PRICE(DATE(2024,2,29),DATE(2025,1,30),0.05,0.08,100,2,4)</f>
        <v>97.3840364643425</v>
      </c>
      <c r="B11607" s="0" t="s">
        <v>11571</v>
      </c>
    </row>
    <row r="11608" customFormat="false" ht="15" hidden="false" customHeight="false" outlineLevel="0" collapsed="false">
      <c r="A11608" s="0" t="n">
        <f aca="false">YIELD(DATE(2024,2,29),DATE(2025,1,30),0.05,95,100,2,4)</f>
        <v>0.108494999793249</v>
      </c>
      <c r="B11608" s="0" t="s">
        <v>11572</v>
      </c>
    </row>
    <row r="11609" customFormat="false" ht="15" hidden="false" customHeight="false" outlineLevel="0" collapsed="false">
      <c r="A11609" s="0" t="n">
        <f aca="false">TBILLPRICE(DATE(2024,2,29),DATE(2025,1,30),0.05)</f>
        <v>95.4027777777778</v>
      </c>
      <c r="B11609" s="0" t="s">
        <v>11573</v>
      </c>
    </row>
    <row r="11610" customFormat="false" ht="15" hidden="false" customHeight="false" outlineLevel="0" collapsed="false">
      <c r="A11610" s="0" t="n">
        <f aca="false">TBILLEQ(DATE(2024,2,29),DATE(2025,1,30),0.05)</f>
        <v>0.0531295487627365</v>
      </c>
      <c r="B11610" s="0" t="s">
        <v>11574</v>
      </c>
    </row>
    <row r="11611" customFormat="false" ht="15" hidden="false" customHeight="false" outlineLevel="0" collapsed="false">
      <c r="A11611" s="0" t="n">
        <f aca="false">TBILLYIELD(DATE(2024,2,29),DATE(2025,1,30),98)</f>
        <v>0.0221961896541094</v>
      </c>
      <c r="B11611" s="0" t="s">
        <v>11575</v>
      </c>
    </row>
    <row r="11612" customFormat="false" ht="15" hidden="false" customHeight="false" outlineLevel="0" collapsed="false">
      <c r="A11612" s="0" t="n">
        <f aca="false">PRICEDISC(DATE(2024,2,29),DATE(2024,12,31),0.05,100,0)</f>
        <v>95.8194444444444</v>
      </c>
      <c r="B11612" s="0" t="s">
        <v>11576</v>
      </c>
    </row>
    <row r="11613" customFormat="false" ht="15" hidden="false" customHeight="false" outlineLevel="0" collapsed="false">
      <c r="A11613" s="0" t="n">
        <f aca="false">RECEIVED(DATE(2024,2,29),DATE(2024,12,31),1000,0.05,0)</f>
        <v>1043.62951152341</v>
      </c>
      <c r="B11613" s="0" t="s">
        <v>11577</v>
      </c>
    </row>
    <row r="11614" customFormat="false" ht="15" hidden="false" customHeight="false" outlineLevel="0" collapsed="false">
      <c r="A11614" s="0" t="n">
        <f aca="false">INTRATE(DATE(2024,2,29),DATE(2024,12,31),1000,1050,0)</f>
        <v>0.0598006644518273</v>
      </c>
      <c r="B11614" s="0" t="s">
        <v>11578</v>
      </c>
    </row>
    <row r="11615" customFormat="false" ht="15" hidden="false" customHeight="false" outlineLevel="0" collapsed="false">
      <c r="A11615" s="0" t="n">
        <f aca="false">DISC(DATE(2024,2,29),DATE(2024,12,31),95,100,0)</f>
        <v>0.0598006644518273</v>
      </c>
      <c r="B11615" s="0" t="s">
        <v>11579</v>
      </c>
    </row>
    <row r="11616" customFormat="false" ht="15" hidden="false" customHeight="false" outlineLevel="0" collapsed="false">
      <c r="A11616" s="0" t="n">
        <f aca="false">YIELDDISC(DATE(2024,2,29),DATE(2024,12,31),95,100,0)</f>
        <v>0.0629480678440286</v>
      </c>
      <c r="B11616" s="0" t="s">
        <v>11580</v>
      </c>
    </row>
    <row r="11617" customFormat="false" ht="15" hidden="false" customHeight="false" outlineLevel="0" collapsed="false">
      <c r="A11617" s="0" t="n">
        <f aca="false">ACCRINTM(DATE(2024,2,29),DATE(2024,12,31),0.05,1000,0)</f>
        <v>41.8055555555556</v>
      </c>
      <c r="B11617" s="0" t="s">
        <v>11581</v>
      </c>
    </row>
    <row r="11618" customFormat="false" ht="15" hidden="false" customHeight="false" outlineLevel="0" collapsed="false">
      <c r="A11618" s="0" t="n">
        <f aca="false">PRICEMAT(DATE(2024,2,29),DATE(2024,12,31),DATE(2023,1,31),0.05,0.06,0)</f>
        <v>98.9457383307764</v>
      </c>
      <c r="B11618" s="0" t="s">
        <v>11582</v>
      </c>
    </row>
    <row r="11619" customFormat="false" ht="15" hidden="false" customHeight="false" outlineLevel="0" collapsed="false">
      <c r="A11619" s="0" t="n">
        <f aca="false">YIELDMAT(DATE(2024,2,29),DATE(2024,12,31),DATE(2023,1,31),0.05,98,0)</f>
        <v>0.0714876982701495</v>
      </c>
      <c r="B11619" s="0" t="s">
        <v>11583</v>
      </c>
    </row>
    <row r="11620" customFormat="false" ht="15" hidden="false" customHeight="false" outlineLevel="0" collapsed="false">
      <c r="A11620" s="0" t="n">
        <f aca="false">ACCRINT(DATE(2024,2,29),DATE(2030,1,1),DATE(2024,12,31),0.05,1000,2,0)</f>
        <v>41.8055555555556</v>
      </c>
      <c r="B11620" s="0" t="s">
        <v>11584</v>
      </c>
    </row>
    <row r="11621" customFormat="false" ht="15" hidden="false" customHeight="false" outlineLevel="0" collapsed="false">
      <c r="A11621" s="0" t="n">
        <f aca="false">DURATION(DATE(2024,2,29),DATE(2024,12,31),0.05,0.08,2,0)</f>
        <v>0.823741938894175</v>
      </c>
      <c r="B11621" s="0" t="s">
        <v>11585</v>
      </c>
    </row>
    <row r="11622" customFormat="false" ht="15" hidden="false" customHeight="false" outlineLevel="0" collapsed="false">
      <c r="A11622" s="0" t="n">
        <f aca="false">PRICE(DATE(2024,2,29),DATE(2024,12,31),0.05,0.08,100,2,0)</f>
        <v>97.6086749832744</v>
      </c>
      <c r="B11622" s="0" t="s">
        <v>11586</v>
      </c>
    </row>
    <row r="11623" customFormat="false" ht="15" hidden="false" customHeight="false" outlineLevel="0" collapsed="false">
      <c r="A11623" s="0" t="n">
        <f aca="false">YIELD(DATE(2024,2,29),DATE(2024,12,31),0.05,95,100,2,0)</f>
        <v>0.11419482877238</v>
      </c>
      <c r="B11623" s="0" t="s">
        <v>11587</v>
      </c>
    </row>
    <row r="11624" customFormat="false" ht="15" hidden="false" customHeight="false" outlineLevel="0" collapsed="false">
      <c r="A11624" s="0" t="n">
        <f aca="false">PRICEDISC(DATE(2024,2,29),DATE(2024,12,31),0.05,100,1)</f>
        <v>95.8196721311475</v>
      </c>
      <c r="B11624" s="0" t="s">
        <v>11588</v>
      </c>
    </row>
    <row r="11625" customFormat="false" ht="15" hidden="false" customHeight="false" outlineLevel="0" collapsed="false">
      <c r="A11625" s="0" t="n">
        <f aca="false">RECEIVED(DATE(2024,2,29),DATE(2024,12,31),1000,0.05,1)</f>
        <v>1043.62703165098</v>
      </c>
      <c r="B11625" s="0" t="s">
        <v>11589</v>
      </c>
    </row>
    <row r="11626" customFormat="false" ht="15" hidden="false" customHeight="false" outlineLevel="0" collapsed="false">
      <c r="A11626" s="0" t="n">
        <f aca="false">INTRATE(DATE(2024,2,29),DATE(2024,12,31),1000,1050,1)</f>
        <v>0.0598039215686275</v>
      </c>
      <c r="B11626" s="0" t="s">
        <v>11590</v>
      </c>
    </row>
    <row r="11627" customFormat="false" ht="15" hidden="false" customHeight="false" outlineLevel="0" collapsed="false">
      <c r="A11627" s="0" t="n">
        <f aca="false">DISC(DATE(2024,2,29),DATE(2024,12,31),95,100,1)</f>
        <v>0.0598039215686275</v>
      </c>
      <c r="B11627" s="0" t="s">
        <v>11591</v>
      </c>
    </row>
    <row r="11628" customFormat="false" ht="15" hidden="false" customHeight="false" outlineLevel="0" collapsed="false">
      <c r="A11628" s="0" t="n">
        <f aca="false">YIELDDISC(DATE(2024,2,29),DATE(2024,12,31),95,100,1)</f>
        <v>0.0629514963880288</v>
      </c>
      <c r="B11628" s="0" t="s">
        <v>11592</v>
      </c>
    </row>
    <row r="11629" customFormat="false" ht="15" hidden="false" customHeight="false" outlineLevel="0" collapsed="false">
      <c r="A11629" s="0" t="n">
        <f aca="false">ACCRINTM(DATE(2024,2,29),DATE(2024,12,31),0.05,1000,1)</f>
        <v>41.8032786885246</v>
      </c>
      <c r="B11629" s="0" t="s">
        <v>11593</v>
      </c>
    </row>
    <row r="11630" customFormat="false" ht="15" hidden="false" customHeight="false" outlineLevel="0" collapsed="false">
      <c r="A11630" s="0" t="n">
        <f aca="false">PRICEMAT(DATE(2024,2,29),DATE(2024,12,31),DATE(2023,1,31),0.05,0.06,1)</f>
        <v>98.9518547292146</v>
      </c>
      <c r="B11630" s="0" t="s">
        <v>11594</v>
      </c>
    </row>
    <row r="11631" customFormat="false" ht="15" hidden="false" customHeight="false" outlineLevel="0" collapsed="false">
      <c r="A11631" s="0" t="n">
        <f aca="false">YIELDMAT(DATE(2024,2,29),DATE(2024,12,31),DATE(2023,1,31),0.05,98,1)</f>
        <v>0.0715640353894873</v>
      </c>
      <c r="B11631" s="0" t="s">
        <v>11595</v>
      </c>
    </row>
    <row r="11632" customFormat="false" ht="15" hidden="false" customHeight="false" outlineLevel="0" collapsed="false">
      <c r="A11632" s="0" t="n">
        <f aca="false">ACCRINT(DATE(2024,2,29),DATE(2030,1,1),DATE(2024,12,31),0.05,1000,2,1)</f>
        <v>41.8032786885246</v>
      </c>
      <c r="B11632" s="0" t="s">
        <v>11596</v>
      </c>
    </row>
    <row r="11633" customFormat="false" ht="15" hidden="false" customHeight="false" outlineLevel="0" collapsed="false">
      <c r="A11633" s="0" t="n">
        <f aca="false">DURATION(DATE(2024,2,29),DATE(2024,12,31),0.05,0.08,2,1)</f>
        <v>0.823696401553556</v>
      </c>
      <c r="B11633" s="0" t="s">
        <v>11597</v>
      </c>
    </row>
    <row r="11634" customFormat="false" ht="15" hidden="false" customHeight="false" outlineLevel="0" collapsed="false">
      <c r="A11634" s="0" t="n">
        <f aca="false">PRICE(DATE(2024,2,29),DATE(2024,12,31),0.05,0.08,100,2,1)</f>
        <v>97.6112499218457</v>
      </c>
      <c r="B11634" s="0" t="s">
        <v>11598</v>
      </c>
    </row>
    <row r="11635" customFormat="false" ht="15" hidden="false" customHeight="false" outlineLevel="0" collapsed="false">
      <c r="A11635" s="0" t="n">
        <f aca="false">YIELD(DATE(2024,2,29),DATE(2024,12,31),0.05,95,100,2,1)</f>
        <v>0.114266422187627</v>
      </c>
      <c r="B11635" s="0" t="s">
        <v>11599</v>
      </c>
    </row>
    <row r="11636" customFormat="false" ht="15" hidden="false" customHeight="false" outlineLevel="0" collapsed="false">
      <c r="A11636" s="0" t="n">
        <f aca="false">PRICEDISC(DATE(2024,2,29),DATE(2024,12,31),0.05,100,4)</f>
        <v>95.8055555555556</v>
      </c>
      <c r="B11636" s="0" t="s">
        <v>11600</v>
      </c>
    </row>
    <row r="11637" customFormat="false" ht="15" hidden="false" customHeight="false" outlineLevel="0" collapsed="false">
      <c r="A11637" s="0" t="n">
        <f aca="false">RECEIVED(DATE(2024,2,29),DATE(2024,12,31),1000,0.05,4)</f>
        <v>1043.78080603073</v>
      </c>
      <c r="B11637" s="0" t="s">
        <v>11601</v>
      </c>
    </row>
    <row r="11638" customFormat="false" ht="15" hidden="false" customHeight="false" outlineLevel="0" collapsed="false">
      <c r="A11638" s="0" t="n">
        <f aca="false">INTRATE(DATE(2024,2,29),DATE(2024,12,31),1000,1050,4)</f>
        <v>0.0596026490066226</v>
      </c>
      <c r="B11638" s="0" t="s">
        <v>11602</v>
      </c>
    </row>
    <row r="11639" customFormat="false" ht="15" hidden="false" customHeight="false" outlineLevel="0" collapsed="false">
      <c r="A11639" s="0" t="n">
        <f aca="false">DISC(DATE(2024,2,29),DATE(2024,12,31),95,100,4)</f>
        <v>0.0598006644518273</v>
      </c>
      <c r="B11639" s="0" t="s">
        <v>11603</v>
      </c>
    </row>
    <row r="11640" customFormat="false" ht="15" hidden="false" customHeight="false" outlineLevel="0" collapsed="false">
      <c r="A11640" s="0" t="n">
        <f aca="false">YIELDDISC(DATE(2024,2,29),DATE(2024,12,31),95,100,4)</f>
        <v>0.0629480678440286</v>
      </c>
      <c r="B11640" s="0" t="s">
        <v>11604</v>
      </c>
    </row>
    <row r="11641" customFormat="false" ht="15" hidden="false" customHeight="false" outlineLevel="0" collapsed="false">
      <c r="A11641" s="0" t="n">
        <f aca="false">ACCRINTM(DATE(2024,2,29),DATE(2024,12,31),0.05,1000,4)</f>
        <v>41.9444444444444</v>
      </c>
      <c r="B11641" s="0" t="s">
        <v>11605</v>
      </c>
    </row>
    <row r="11642" customFormat="false" ht="15" hidden="false" customHeight="false" outlineLevel="0" collapsed="false">
      <c r="A11642" s="0" t="n">
        <f aca="false">PRICEMAT(DATE(2024,2,29),DATE(2024,12,31),DATE(2023,1,31),0.05,0.06,4)</f>
        <v>98.9457383307764</v>
      </c>
      <c r="B11642" s="0" t="s">
        <v>11606</v>
      </c>
    </row>
    <row r="11643" customFormat="false" ht="15" hidden="false" customHeight="false" outlineLevel="0" collapsed="false">
      <c r="A11643" s="0" t="n">
        <f aca="false">YIELDMAT(DATE(2024,2,29),DATE(2024,12,31),DATE(2023,1,31),0.05,98,4)</f>
        <v>0.0714876982701495</v>
      </c>
      <c r="B11643" s="0" t="s">
        <v>11607</v>
      </c>
    </row>
    <row r="11644" customFormat="false" ht="15" hidden="false" customHeight="false" outlineLevel="0" collapsed="false">
      <c r="A11644" s="0" t="n">
        <f aca="false">ACCRINT(DATE(2024,2,29),DATE(2030,1,1),DATE(2024,12,31),0.05,1000,2,4)</f>
        <v>41.9444444444444</v>
      </c>
      <c r="B11644" s="0" t="s">
        <v>11608</v>
      </c>
    </row>
    <row r="11645" customFormat="false" ht="15" hidden="false" customHeight="false" outlineLevel="0" collapsed="false">
      <c r="A11645" s="0" t="n">
        <f aca="false">DURATION(DATE(2024,2,29),DATE(2024,12,31),0.05,0.08,2,4)</f>
        <v>0.823741938894175</v>
      </c>
      <c r="B11645" s="0" t="s">
        <v>11609</v>
      </c>
    </row>
    <row r="11646" customFormat="false" ht="15" hidden="false" customHeight="false" outlineLevel="0" collapsed="false">
      <c r="A11646" s="0" t="n">
        <f aca="false">PRICE(DATE(2024,2,29),DATE(2024,12,31),0.05,0.08,100,2,4)</f>
        <v>97.6086749832744</v>
      </c>
      <c r="B11646" s="0" t="s">
        <v>11610</v>
      </c>
    </row>
    <row r="11647" customFormat="false" ht="15" hidden="false" customHeight="false" outlineLevel="0" collapsed="false">
      <c r="A11647" s="0" t="n">
        <f aca="false">YIELD(DATE(2024,2,29),DATE(2024,12,31),0.05,95,100,2,4)</f>
        <v>0.11419482877238</v>
      </c>
      <c r="B11647" s="0" t="s">
        <v>11611</v>
      </c>
    </row>
    <row r="11648" customFormat="false" ht="15" hidden="false" customHeight="false" outlineLevel="0" collapsed="false">
      <c r="A11648" s="0" t="n">
        <f aca="false">TBILLPRICE(DATE(2024,2,29),DATE(2024,12,31),0.05)</f>
        <v>95.8194444444444</v>
      </c>
      <c r="B11648" s="0" t="s">
        <v>11612</v>
      </c>
    </row>
    <row r="11649" customFormat="false" ht="15" hidden="false" customHeight="false" outlineLevel="0" collapsed="false">
      <c r="A11649" s="0" t="n">
        <f aca="false">TBILLEQ(DATE(2024,2,29),DATE(2024,12,31),0.05)</f>
        <v>0.0529062182925062</v>
      </c>
      <c r="B11649" s="0" t="s">
        <v>11613</v>
      </c>
    </row>
    <row r="11650" customFormat="false" ht="15" hidden="false" customHeight="false" outlineLevel="0" collapsed="false">
      <c r="A11650" s="0" t="n">
        <f aca="false">TBILLYIELD(DATE(2024,2,29),DATE(2024,12,31),98)</f>
        <v>0.0244084344701336</v>
      </c>
      <c r="B11650" s="0" t="s">
        <v>11614</v>
      </c>
    </row>
    <row r="11651" customFormat="false" ht="15" hidden="false" customHeight="false" outlineLevel="0" collapsed="false">
      <c r="A11651" s="0" t="n">
        <f aca="false">PRICEDISC(DATE(2023,2,28),DATE(2025,2,28),0.05,100,0)</f>
        <v>90</v>
      </c>
      <c r="B11651" s="0" t="s">
        <v>11615</v>
      </c>
    </row>
    <row r="11652" customFormat="false" ht="15" hidden="false" customHeight="false" outlineLevel="0" collapsed="false">
      <c r="A11652" s="0" t="n">
        <f aca="false">RECEIVED(DATE(2023,2,28),DATE(2025,2,28),1000,0.05,0)</f>
        <v>1111.11111111111</v>
      </c>
      <c r="B11652" s="0" t="s">
        <v>11616</v>
      </c>
    </row>
    <row r="11653" customFormat="false" ht="15" hidden="false" customHeight="false" outlineLevel="0" collapsed="false">
      <c r="A11653" s="0" t="n">
        <f aca="false">INTRATE(DATE(2023,2,28),DATE(2025,2,28),1000,1050,0)</f>
        <v>0.025</v>
      </c>
      <c r="B11653" s="0" t="s">
        <v>11617</v>
      </c>
    </row>
    <row r="11654" customFormat="false" ht="15" hidden="false" customHeight="false" outlineLevel="0" collapsed="false">
      <c r="A11654" s="0" t="n">
        <f aca="false">DISC(DATE(2023,2,28),DATE(2025,2,28),95,100,0)</f>
        <v>0.025</v>
      </c>
      <c r="B11654" s="0" t="s">
        <v>11618</v>
      </c>
    </row>
    <row r="11655" customFormat="false" ht="15" hidden="false" customHeight="false" outlineLevel="0" collapsed="false">
      <c r="A11655" s="0" t="n">
        <f aca="false">YIELDDISC(DATE(2023,2,28),DATE(2025,2,28),95,100,0)</f>
        <v>0.0263157894736842</v>
      </c>
      <c r="B11655" s="0" t="s">
        <v>11619</v>
      </c>
    </row>
    <row r="11656" customFormat="false" ht="15" hidden="false" customHeight="false" outlineLevel="0" collapsed="false">
      <c r="A11656" s="0" t="n">
        <f aca="false">ACCRINTM(DATE(2023,2,28),DATE(2025,2,28),0.05,1000,0)</f>
        <v>100</v>
      </c>
      <c r="B11656" s="0" t="s">
        <v>11620</v>
      </c>
    </row>
    <row r="11657" customFormat="false" ht="15" hidden="false" customHeight="false" outlineLevel="0" collapsed="false">
      <c r="A11657" s="0" t="n">
        <f aca="false">PRICEMAT(DATE(2023,2,28),DATE(2025,2,28),DATE(2023,1,31),0.05,0.06,0)</f>
        <v>98.172619047619</v>
      </c>
      <c r="B11657" s="0" t="s">
        <v>11621</v>
      </c>
    </row>
    <row r="11658" customFormat="false" ht="15" hidden="false" customHeight="false" outlineLevel="0" collapsed="false">
      <c r="A11658" s="0" t="n">
        <f aca="false">YIELDMAT(DATE(2023,2,28),DATE(2025,2,28),DATE(2023,1,31),0.05,98,0)</f>
        <v>0.0609824957651045</v>
      </c>
      <c r="B11658" s="0" t="s">
        <v>11622</v>
      </c>
    </row>
    <row r="11659" customFormat="false" ht="15" hidden="false" customHeight="false" outlineLevel="0" collapsed="false">
      <c r="A11659" s="0" t="n">
        <f aca="false">ACCRINT(DATE(2023,2,28),DATE(2030,1,1),DATE(2025,2,28),0.05,1000,2,0)</f>
        <v>100</v>
      </c>
      <c r="B11659" s="0" t="s">
        <v>11623</v>
      </c>
    </row>
    <row r="11660" customFormat="false" ht="15" hidden="false" customHeight="false" outlineLevel="0" collapsed="false">
      <c r="A11660" s="0" t="n">
        <f aca="false">DURATION(DATE(2023,2,28),DATE(2025,2,28),0.05,0.08,2,0)</f>
        <v>1.92566872688403</v>
      </c>
      <c r="B11660" s="0" t="s">
        <v>11624</v>
      </c>
    </row>
    <row r="11661" customFormat="false" ht="15" hidden="false" customHeight="false" outlineLevel="0" collapsed="false">
      <c r="A11661" s="0" t="n">
        <f aca="false">PRICE(DATE(2023,2,28),DATE(2025,2,28),0.05,0.08,100,2,0)</f>
        <v>94.5551571636147</v>
      </c>
      <c r="B11661" s="0" t="s">
        <v>11625</v>
      </c>
    </row>
    <row r="11662" customFormat="false" ht="15" hidden="false" customHeight="false" outlineLevel="0" collapsed="false">
      <c r="A11662" s="0" t="n">
        <f aca="false">YIELD(DATE(2023,2,28),DATE(2025,2,28),0.05,95,100,2,0)</f>
        <v>0.0774668177005904</v>
      </c>
      <c r="B11662" s="0" t="s">
        <v>11626</v>
      </c>
    </row>
    <row r="11663" customFormat="false" ht="15" hidden="false" customHeight="false" outlineLevel="0" collapsed="false">
      <c r="A11663" s="0" t="n">
        <f aca="false">PRICEDISC(DATE(2023,2,28),DATE(2025,2,28),0.05,100,1)</f>
        <v>89.986301369863</v>
      </c>
      <c r="B11663" s="0" t="s">
        <v>11627</v>
      </c>
    </row>
    <row r="11664" customFormat="false" ht="15" hidden="false" customHeight="false" outlineLevel="0" collapsed="false">
      <c r="A11664" s="0" t="n">
        <f aca="false">RECEIVED(DATE(2023,2,28),DATE(2025,2,28),1000,0.05,1)</f>
        <v>1111.28025574669</v>
      </c>
      <c r="B11664" s="0" t="s">
        <v>11628</v>
      </c>
    </row>
    <row r="11665" customFormat="false" ht="15" hidden="false" customHeight="false" outlineLevel="0" collapsed="false">
      <c r="A11665" s="0" t="n">
        <f aca="false">INTRATE(DATE(2023,2,28),DATE(2025,2,28),1000,1050,1)</f>
        <v>0.0249658002735978</v>
      </c>
      <c r="B11665" s="0" t="s">
        <v>11629</v>
      </c>
    </row>
    <row r="11666" customFormat="false" ht="15" hidden="false" customHeight="false" outlineLevel="0" collapsed="false">
      <c r="A11666" s="0" t="n">
        <f aca="false">DISC(DATE(2023,2,28),DATE(2025,2,28),95,100,1)</f>
        <v>0.0249886000911993</v>
      </c>
      <c r="B11666" s="0" t="s">
        <v>11630</v>
      </c>
    </row>
    <row r="11667" customFormat="false" ht="15" hidden="false" customHeight="false" outlineLevel="0" collapsed="false">
      <c r="A11667" s="0" t="n">
        <f aca="false">YIELDDISC(DATE(2023,2,28),DATE(2025,2,28),95,100,1)</f>
        <v>0.0263037895696834</v>
      </c>
      <c r="B11667" s="0" t="s">
        <v>11631</v>
      </c>
    </row>
    <row r="11668" customFormat="false" ht="15" hidden="false" customHeight="false" outlineLevel="0" collapsed="false">
      <c r="A11668" s="0" t="n">
        <f aca="false">ACCRINTM(DATE(2023,2,28),DATE(2025,2,28),0.05,1000,1)</f>
        <v>100.13698630137</v>
      </c>
      <c r="B11668" s="0" t="s">
        <v>11632</v>
      </c>
    </row>
    <row r="11669" customFormat="false" ht="15" hidden="false" customHeight="false" outlineLevel="0" collapsed="false">
      <c r="A11669" s="0" t="n">
        <f aca="false">PRICEMAT(DATE(2023,2,28),DATE(2025,2,28),DATE(2023,1,31),0.05,0.06,1)</f>
        <v>98.1721333006894</v>
      </c>
      <c r="B11669" s="0" t="s">
        <v>11633</v>
      </c>
    </row>
    <row r="11670" customFormat="false" ht="15" hidden="false" customHeight="false" outlineLevel="0" collapsed="false">
      <c r="A11670" s="0" t="n">
        <f aca="false">YIELDMAT(DATE(2023,2,28),DATE(2025,2,28),DATE(2023,1,31),0.05,98,1)</f>
        <v>0.0609793851807915</v>
      </c>
      <c r="B11670" s="0" t="s">
        <v>11634</v>
      </c>
    </row>
    <row r="11671" customFormat="false" ht="15" hidden="false" customHeight="false" outlineLevel="0" collapsed="false">
      <c r="A11671" s="0" t="n">
        <f aca="false">ACCRINT(DATE(2023,2,28),DATE(2030,1,1),DATE(2025,2,28),0.05,1000,2,1)</f>
        <v>100.13698630137</v>
      </c>
      <c r="B11671" s="0" t="s">
        <v>11635</v>
      </c>
    </row>
    <row r="11672" customFormat="false" ht="15" hidden="false" customHeight="false" outlineLevel="0" collapsed="false">
      <c r="A11672" s="0" t="n">
        <f aca="false">DURATION(DATE(2023,2,28),DATE(2025,2,28),0.05,0.08,2,1)</f>
        <v>1.92658113564315</v>
      </c>
      <c r="B11672" s="0" t="s">
        <v>11636</v>
      </c>
    </row>
    <row r="11673" customFormat="false" ht="15" hidden="false" customHeight="false" outlineLevel="0" collapsed="false">
      <c r="A11673" s="0" t="n">
        <f aca="false">PRICE(DATE(2023,2,28),DATE(2025,2,28),0.05,0.08,100,2,1)</f>
        <v>94.5551571636147</v>
      </c>
      <c r="B11673" s="0" t="s">
        <v>11637</v>
      </c>
    </row>
    <row r="11674" customFormat="false" ht="15" hidden="false" customHeight="false" outlineLevel="0" collapsed="false">
      <c r="A11674" s="0" t="n">
        <f aca="false">YIELD(DATE(2023,2,28),DATE(2025,2,28),0.05,95,100,2,1)</f>
        <v>0.0774668177005904</v>
      </c>
      <c r="B11674" s="0" t="s">
        <v>11638</v>
      </c>
    </row>
    <row r="11675" customFormat="false" ht="15" hidden="false" customHeight="false" outlineLevel="0" collapsed="false">
      <c r="A11675" s="0" t="n">
        <f aca="false">PRICEDISC(DATE(2023,2,28),DATE(2025,2,28),0.05,100,4)</f>
        <v>90</v>
      </c>
      <c r="B11675" s="0" t="s">
        <v>11639</v>
      </c>
    </row>
    <row r="11676" customFormat="false" ht="15" hidden="false" customHeight="false" outlineLevel="0" collapsed="false">
      <c r="A11676" s="0" t="n">
        <f aca="false">RECEIVED(DATE(2023,2,28),DATE(2025,2,28),1000,0.05,4)</f>
        <v>1111.11111111111</v>
      </c>
      <c r="B11676" s="0" t="s">
        <v>11640</v>
      </c>
    </row>
    <row r="11677" customFormat="false" ht="15" hidden="false" customHeight="false" outlineLevel="0" collapsed="false">
      <c r="A11677" s="0" t="n">
        <f aca="false">INTRATE(DATE(2023,2,28),DATE(2025,2,28),1000,1050,4)</f>
        <v>0.025</v>
      </c>
      <c r="B11677" s="0" t="s">
        <v>11641</v>
      </c>
    </row>
    <row r="11678" customFormat="false" ht="15" hidden="false" customHeight="false" outlineLevel="0" collapsed="false">
      <c r="A11678" s="0" t="n">
        <f aca="false">DISC(DATE(2023,2,28),DATE(2025,2,28),95,100,4)</f>
        <v>0.025</v>
      </c>
      <c r="B11678" s="0" t="s">
        <v>11642</v>
      </c>
    </row>
    <row r="11679" customFormat="false" ht="15" hidden="false" customHeight="false" outlineLevel="0" collapsed="false">
      <c r="A11679" s="0" t="n">
        <f aca="false">YIELDDISC(DATE(2023,2,28),DATE(2025,2,28),95,100,4)</f>
        <v>0.0263157894736842</v>
      </c>
      <c r="B11679" s="0" t="s">
        <v>11643</v>
      </c>
    </row>
    <row r="11680" customFormat="false" ht="15" hidden="false" customHeight="false" outlineLevel="0" collapsed="false">
      <c r="A11680" s="0" t="n">
        <f aca="false">ACCRINTM(DATE(2023,2,28),DATE(2025,2,28),0.05,1000,4)</f>
        <v>100</v>
      </c>
      <c r="B11680" s="0" t="s">
        <v>11644</v>
      </c>
    </row>
    <row r="11681" customFormat="false" ht="15" hidden="false" customHeight="false" outlineLevel="0" collapsed="false">
      <c r="A11681" s="0" t="n">
        <f aca="false">PRICEMAT(DATE(2023,2,28),DATE(2025,2,28),DATE(2023,1,31),0.05,0.06,4)</f>
        <v>98.172619047619</v>
      </c>
      <c r="B11681" s="0" t="s">
        <v>11645</v>
      </c>
    </row>
    <row r="11682" customFormat="false" ht="15" hidden="false" customHeight="false" outlineLevel="0" collapsed="false">
      <c r="A11682" s="0" t="n">
        <f aca="false">YIELDMAT(DATE(2023,2,28),DATE(2025,2,28),DATE(2023,1,31),0.05,98,4)</f>
        <v>0.0609824957651045</v>
      </c>
      <c r="B11682" s="0" t="s">
        <v>11646</v>
      </c>
    </row>
    <row r="11683" customFormat="false" ht="15" hidden="false" customHeight="false" outlineLevel="0" collapsed="false">
      <c r="A11683" s="0" t="n">
        <f aca="false">ACCRINT(DATE(2023,2,28),DATE(2030,1,1),DATE(2025,2,28),0.05,1000,2,4)</f>
        <v>100</v>
      </c>
      <c r="B11683" s="0" t="s">
        <v>11647</v>
      </c>
    </row>
    <row r="11684" customFormat="false" ht="15" hidden="false" customHeight="false" outlineLevel="0" collapsed="false">
      <c r="A11684" s="0" t="n">
        <f aca="false">DURATION(DATE(2023,2,28),DATE(2025,2,28),0.05,0.08,2,4)</f>
        <v>1.92566872688403</v>
      </c>
      <c r="B11684" s="0" t="s">
        <v>11648</v>
      </c>
    </row>
    <row r="11685" customFormat="false" ht="15" hidden="false" customHeight="false" outlineLevel="0" collapsed="false">
      <c r="A11685" s="0" t="n">
        <f aca="false">PRICE(DATE(2023,2,28),DATE(2025,2,28),0.05,0.08,100,2,4)</f>
        <v>94.5551571636147</v>
      </c>
      <c r="B11685" s="0" t="s">
        <v>11649</v>
      </c>
    </row>
    <row r="11686" customFormat="false" ht="15" hidden="false" customHeight="false" outlineLevel="0" collapsed="false">
      <c r="A11686" s="0" t="n">
        <f aca="false">YIELD(DATE(2023,2,28),DATE(2025,2,28),0.05,95,100,2,4)</f>
        <v>0.0774668177005904</v>
      </c>
      <c r="B11686" s="0" t="s">
        <v>11650</v>
      </c>
    </row>
    <row r="11687" customFormat="false" ht="15" hidden="false" customHeight="false" outlineLevel="0" collapsed="false">
      <c r="A11687" s="0" t="n">
        <f aca="false">TBILLPRICE(DATE(2023,2,28),DATE(2025,2,28),0.05)</f>
        <v>89.9861111111111</v>
      </c>
      <c r="B11687" s="0" t="s">
        <v>11651</v>
      </c>
    </row>
    <row r="11688" customFormat="false" ht="15" hidden="false" customHeight="false" outlineLevel="0" collapsed="false">
      <c r="A11688" s="0" t="e">
        <f aca="false">TBILLEQ(DATE(2023,2,28),DATE(2025,2,28),0.05)</f>
        <v>#VALUE!</v>
      </c>
      <c r="B11688" s="0" t="s">
        <v>11652</v>
      </c>
    </row>
    <row r="11689" customFormat="false" ht="15" hidden="false" customHeight="false" outlineLevel="0" collapsed="false">
      <c r="A11689" s="0" t="n">
        <f aca="false">PRICEDISC(DATE(2023,2,28),DATE(2025,3,31),0.05,100,0)</f>
        <v>89.5416666666667</v>
      </c>
      <c r="B11689" s="0" t="s">
        <v>11653</v>
      </c>
    </row>
    <row r="11690" customFormat="false" ht="15" hidden="false" customHeight="false" outlineLevel="0" collapsed="false">
      <c r="A11690" s="0" t="n">
        <f aca="false">RECEIVED(DATE(2023,2,28),DATE(2025,3,31),1000,0.05,0)</f>
        <v>1116.79851093532</v>
      </c>
      <c r="B11690" s="0" t="s">
        <v>11654</v>
      </c>
    </row>
    <row r="11691" customFormat="false" ht="15" hidden="false" customHeight="false" outlineLevel="0" collapsed="false">
      <c r="A11691" s="0" t="n">
        <f aca="false">INTRATE(DATE(2023,2,28),DATE(2025,3,31),1000,1050,0)</f>
        <v>0.0239043824701195</v>
      </c>
      <c r="B11691" s="0" t="s">
        <v>11655</v>
      </c>
    </row>
    <row r="11692" customFormat="false" ht="15" hidden="false" customHeight="false" outlineLevel="0" collapsed="false">
      <c r="A11692" s="0" t="n">
        <f aca="false">DISC(DATE(2023,2,28),DATE(2025,3,31),95,100,0)</f>
        <v>0.0239680426098535</v>
      </c>
      <c r="B11692" s="0" t="s">
        <v>11656</v>
      </c>
    </row>
    <row r="11693" customFormat="false" ht="15" hidden="false" customHeight="false" outlineLevel="0" collapsed="false">
      <c r="A11693" s="0" t="n">
        <f aca="false">YIELDDISC(DATE(2023,2,28),DATE(2025,3,31),95,100,0)</f>
        <v>0.0252295185366879</v>
      </c>
      <c r="B11693" s="0" t="s">
        <v>11657</v>
      </c>
    </row>
    <row r="11694" customFormat="false" ht="15" hidden="false" customHeight="false" outlineLevel="0" collapsed="false">
      <c r="A11694" s="0" t="n">
        <f aca="false">ACCRINTM(DATE(2023,2,28),DATE(2025,3,31),0.05,1000,0)</f>
        <v>104.583333333333</v>
      </c>
      <c r="B11694" s="0" t="s">
        <v>11658</v>
      </c>
    </row>
    <row r="11695" customFormat="false" ht="15" hidden="false" customHeight="false" outlineLevel="0" collapsed="false">
      <c r="A11695" s="0" t="n">
        <f aca="false">PRICEMAT(DATE(2023,2,28),DATE(2025,3,31),DATE(2023,1,31),0.05,0.06,0)</f>
        <v>98.1150364555045</v>
      </c>
      <c r="B11695" s="0" t="s">
        <v>11659</v>
      </c>
    </row>
    <row r="11696" customFormat="false" ht="15" hidden="false" customHeight="false" outlineLevel="0" collapsed="false">
      <c r="A11696" s="0" t="n">
        <f aca="false">YIELDMAT(DATE(2023,2,28),DATE(2025,3,31),DATE(2023,1,31),0.05,98,0)</f>
        <v>0.0606306216217638</v>
      </c>
      <c r="B11696" s="0" t="s">
        <v>11660</v>
      </c>
    </row>
    <row r="11697" customFormat="false" ht="15" hidden="false" customHeight="false" outlineLevel="0" collapsed="false">
      <c r="A11697" s="0" t="n">
        <f aca="false">ACCRINT(DATE(2023,2,28),DATE(2030,1,1),DATE(2025,3,31),0.05,1000,2,0)</f>
        <v>104.583333333333</v>
      </c>
      <c r="B11697" s="0" t="s">
        <v>11661</v>
      </c>
    </row>
    <row r="11698" customFormat="false" ht="15" hidden="false" customHeight="false" outlineLevel="0" collapsed="false">
      <c r="A11698" s="0" t="n">
        <f aca="false">DURATION(DATE(2023,2,28),DATE(2025,3,31),0.05,0.08,2,0)</f>
        <v>1.96217740616254</v>
      </c>
      <c r="B11698" s="0" t="s">
        <v>11662</v>
      </c>
    </row>
    <row r="11699" customFormat="false" ht="15" hidden="false" customHeight="false" outlineLevel="0" collapsed="false">
      <c r="A11699" s="0" t="n">
        <f aca="false">PRICE(DATE(2023,2,28),DATE(2025,3,31),0.05,0.08,100,2,0)</f>
        <v>94.325231391088</v>
      </c>
      <c r="B11699" s="0" t="s">
        <v>11663</v>
      </c>
    </row>
    <row r="11700" customFormat="false" ht="15" hidden="false" customHeight="false" outlineLevel="0" collapsed="false">
      <c r="A11700" s="0" t="n">
        <f aca="false">YIELD(DATE(2023,2,28),DATE(2025,3,31),0.05,95,100,2,0)</f>
        <v>0.0763112761776556</v>
      </c>
      <c r="B11700" s="0" t="s">
        <v>11664</v>
      </c>
    </row>
    <row r="11701" customFormat="false" ht="15" hidden="false" customHeight="false" outlineLevel="0" collapsed="false">
      <c r="A11701" s="0" t="n">
        <f aca="false">PRICEDISC(DATE(2023,2,28),DATE(2025,3,31),0.05,100,1)</f>
        <v>89.5616438356164</v>
      </c>
      <c r="B11701" s="0" t="s">
        <v>11665</v>
      </c>
    </row>
    <row r="11702" customFormat="false" ht="15" hidden="false" customHeight="false" outlineLevel="0" collapsed="false">
      <c r="A11702" s="0" t="n">
        <f aca="false">RECEIVED(DATE(2023,2,28),DATE(2025,3,31),1000,0.05,1)</f>
        <v>1116.54940348731</v>
      </c>
      <c r="B11702" s="0" t="s">
        <v>11666</v>
      </c>
    </row>
    <row r="11703" customFormat="false" ht="15" hidden="false" customHeight="false" outlineLevel="0" collapsed="false">
      <c r="A11703" s="0" t="n">
        <f aca="false">INTRATE(DATE(2023,2,28),DATE(2025,3,31),1000,1050,1)</f>
        <v>0.0239501312335958</v>
      </c>
      <c r="B11703" s="0" t="s">
        <v>11667</v>
      </c>
    </row>
    <row r="11704" customFormat="false" ht="15" hidden="false" customHeight="false" outlineLevel="0" collapsed="false">
      <c r="A11704" s="0" t="n">
        <f aca="false">DISC(DATE(2023,2,28),DATE(2025,3,31),95,100,1)</f>
        <v>0.0239720034995626</v>
      </c>
      <c r="B11704" s="0" t="s">
        <v>11668</v>
      </c>
    </row>
    <row r="11705" customFormat="false" ht="15" hidden="false" customHeight="false" outlineLevel="0" collapsed="false">
      <c r="A11705" s="0" t="n">
        <f aca="false">YIELDDISC(DATE(2023,2,28),DATE(2025,3,31),95,100,1)</f>
        <v>0.0252336878942763</v>
      </c>
      <c r="B11705" s="0" t="s">
        <v>11669</v>
      </c>
    </row>
    <row r="11706" customFormat="false" ht="15" hidden="false" customHeight="false" outlineLevel="0" collapsed="false">
      <c r="A11706" s="0" t="n">
        <f aca="false">ACCRINTM(DATE(2023,2,28),DATE(2025,3,31),0.05,1000,1)</f>
        <v>104.383561643836</v>
      </c>
      <c r="B11706" s="0" t="s">
        <v>11670</v>
      </c>
    </row>
    <row r="11707" customFormat="false" ht="15" hidden="false" customHeight="false" outlineLevel="0" collapsed="false">
      <c r="A11707" s="0" t="n">
        <f aca="false">PRICEMAT(DATE(2023,2,28),DATE(2025,3,31),DATE(2023,1,31),0.05,0.06,1)</f>
        <v>98.1032527192641</v>
      </c>
      <c r="B11707" s="0" t="s">
        <v>11671</v>
      </c>
    </row>
    <row r="11708" customFormat="false" ht="15" hidden="false" customHeight="false" outlineLevel="0" collapsed="false">
      <c r="A11708" s="0" t="n">
        <f aca="false">YIELDMAT(DATE(2023,2,28),DATE(2025,3,31),DATE(2023,1,31),0.05,98,1)</f>
        <v>0.0605661378097718</v>
      </c>
      <c r="B11708" s="0" t="s">
        <v>11672</v>
      </c>
    </row>
    <row r="11709" customFormat="false" ht="15" hidden="false" customHeight="false" outlineLevel="0" collapsed="false">
      <c r="A11709" s="0" t="n">
        <f aca="false">ACCRINT(DATE(2023,2,28),DATE(2030,1,1),DATE(2025,3,31),0.05,1000,2,1)</f>
        <v>104.383561643836</v>
      </c>
      <c r="B11709" s="0" t="s">
        <v>11673</v>
      </c>
    </row>
    <row r="11710" customFormat="false" ht="15" hidden="false" customHeight="false" outlineLevel="0" collapsed="false">
      <c r="A11710" s="0" t="n">
        <f aca="false">DURATION(DATE(2023,2,28),DATE(2025,3,31),0.05,0.08,2,1)</f>
        <v>1.9618327184091</v>
      </c>
      <c r="B11710" s="0" t="s">
        <v>11674</v>
      </c>
    </row>
    <row r="11711" customFormat="false" ht="15" hidden="false" customHeight="false" outlineLevel="0" collapsed="false">
      <c r="A11711" s="0" t="n">
        <f aca="false">PRICE(DATE(2023,2,28),DATE(2025,3,31),0.05,0.08,100,2,1)</f>
        <v>94.3347699989024</v>
      </c>
      <c r="B11711" s="0" t="s">
        <v>11675</v>
      </c>
    </row>
    <row r="11712" customFormat="false" ht="15" hidden="false" customHeight="false" outlineLevel="0" collapsed="false">
      <c r="A11712" s="0" t="n">
        <f aca="false">YIELD(DATE(2023,2,28),DATE(2025,3,31),0.05,95,100,2,1)</f>
        <v>0.0763573500386119</v>
      </c>
      <c r="B11712" s="0" t="s">
        <v>11676</v>
      </c>
    </row>
    <row r="11713" customFormat="false" ht="15" hidden="false" customHeight="false" outlineLevel="0" collapsed="false">
      <c r="A11713" s="0" t="n">
        <f aca="false">PRICEDISC(DATE(2023,2,28),DATE(2025,3,31),0.05,100,4)</f>
        <v>89.5416666666667</v>
      </c>
      <c r="B11713" s="0" t="s">
        <v>11677</v>
      </c>
    </row>
    <row r="11714" customFormat="false" ht="15" hidden="false" customHeight="false" outlineLevel="0" collapsed="false">
      <c r="A11714" s="0" t="n">
        <f aca="false">RECEIVED(DATE(2023,2,28),DATE(2025,3,31),1000,0.05,4)</f>
        <v>1116.79851093532</v>
      </c>
      <c r="B11714" s="0" t="s">
        <v>11678</v>
      </c>
    </row>
    <row r="11715" customFormat="false" ht="15" hidden="false" customHeight="false" outlineLevel="0" collapsed="false">
      <c r="A11715" s="0" t="n">
        <f aca="false">INTRATE(DATE(2023,2,28),DATE(2025,3,31),1000,1050,4)</f>
        <v>0.0239043824701195</v>
      </c>
      <c r="B11715" s="0" t="s">
        <v>11679</v>
      </c>
    </row>
    <row r="11716" customFormat="false" ht="15" hidden="false" customHeight="false" outlineLevel="0" collapsed="false">
      <c r="A11716" s="0" t="n">
        <f aca="false">DISC(DATE(2023,2,28),DATE(2025,3,31),95,100,4)</f>
        <v>0.023936170212766</v>
      </c>
      <c r="B11716" s="0" t="s">
        <v>11680</v>
      </c>
    </row>
    <row r="11717" customFormat="false" ht="15" hidden="false" customHeight="false" outlineLevel="0" collapsed="false">
      <c r="A11717" s="0" t="n">
        <f aca="false">YIELDDISC(DATE(2023,2,28),DATE(2025,3,31),95,100,4)</f>
        <v>0.0251959686450168</v>
      </c>
      <c r="B11717" s="0" t="s">
        <v>11681</v>
      </c>
    </row>
    <row r="11718" customFormat="false" ht="15" hidden="false" customHeight="false" outlineLevel="0" collapsed="false">
      <c r="A11718" s="0" t="n">
        <f aca="false">ACCRINTM(DATE(2023,2,28),DATE(2025,3,31),0.05,1000,4)</f>
        <v>104.583333333333</v>
      </c>
      <c r="B11718" s="0" t="s">
        <v>11682</v>
      </c>
    </row>
    <row r="11719" customFormat="false" ht="15" hidden="false" customHeight="false" outlineLevel="0" collapsed="false">
      <c r="A11719" s="0" t="n">
        <f aca="false">PRICEMAT(DATE(2023,2,28),DATE(2025,3,31),DATE(2023,1,31),0.05,0.06,4)</f>
        <v>98.1004476040021</v>
      </c>
      <c r="B11719" s="0" t="s">
        <v>11683</v>
      </c>
    </row>
    <row r="11720" customFormat="false" ht="15" hidden="false" customHeight="false" outlineLevel="0" collapsed="false">
      <c r="A11720" s="0" t="n">
        <f aca="false">YIELDMAT(DATE(2023,2,28),DATE(2025,3,31),DATE(2023,1,31),0.05,98,4)</f>
        <v>0.0605499957951391</v>
      </c>
      <c r="B11720" s="0" t="s">
        <v>11684</v>
      </c>
    </row>
    <row r="11721" customFormat="false" ht="15" hidden="false" customHeight="false" outlineLevel="0" collapsed="false">
      <c r="A11721" s="0" t="n">
        <f aca="false">ACCRINT(DATE(2023,2,28),DATE(2030,1,1),DATE(2025,3,31),0.05,1000,2,4)</f>
        <v>104.583333333333</v>
      </c>
      <c r="B11721" s="0" t="s">
        <v>11685</v>
      </c>
    </row>
    <row r="11722" customFormat="false" ht="15" hidden="false" customHeight="false" outlineLevel="0" collapsed="false">
      <c r="A11722" s="0" t="n">
        <f aca="false">DURATION(DATE(2023,2,28),DATE(2025,3,31),0.05,0.08,2,4)</f>
        <v>1.96495518394032</v>
      </c>
      <c r="B11722" s="0" t="s">
        <v>11686</v>
      </c>
    </row>
    <row r="11723" customFormat="false" ht="15" hidden="false" customHeight="false" outlineLevel="0" collapsed="false">
      <c r="A11723" s="0" t="n">
        <f aca="false">PRICE(DATE(2023,2,28),DATE(2025,3,31),0.05,0.08,100,2,4)</f>
        <v>94.325231391088</v>
      </c>
      <c r="B11723" s="0" t="s">
        <v>11687</v>
      </c>
    </row>
    <row r="11724" customFormat="false" ht="15" hidden="false" customHeight="false" outlineLevel="0" collapsed="false">
      <c r="A11724" s="0" t="n">
        <f aca="false">YIELD(DATE(2023,2,28),DATE(2025,3,31),0.05,95,100,2,4)</f>
        <v>0.0763112761776556</v>
      </c>
      <c r="B11724" s="0" t="s">
        <v>11688</v>
      </c>
    </row>
    <row r="11725" customFormat="false" ht="15" hidden="false" customHeight="false" outlineLevel="0" collapsed="false">
      <c r="A11725" s="0" t="n">
        <f aca="false">TBILLPRICE(DATE(2023,2,28),DATE(2025,3,31),0.05)</f>
        <v>89.5694444444444</v>
      </c>
      <c r="B11725" s="0" t="s">
        <v>11689</v>
      </c>
    </row>
    <row r="11726" customFormat="false" ht="15" hidden="false" customHeight="false" outlineLevel="0" collapsed="false">
      <c r="A11726" s="0" t="e">
        <f aca="false">TBILLEQ(DATE(2023,2,28),DATE(2025,3,31),0.05)</f>
        <v>#VALUE!</v>
      </c>
      <c r="B11726" s="0" t="s">
        <v>11690</v>
      </c>
    </row>
    <row r="11727" customFormat="false" ht="15" hidden="false" customHeight="false" outlineLevel="0" collapsed="false">
      <c r="A11727" s="0" t="e">
        <f aca="false">TBILLYIELD(DATE(2023,2,28),DATE(2025,3,31),98)</f>
        <v>#VALUE!</v>
      </c>
      <c r="B11727" s="0" t="s">
        <v>11691</v>
      </c>
    </row>
    <row r="11728" customFormat="false" ht="15" hidden="false" customHeight="false" outlineLevel="0" collapsed="false">
      <c r="A11728" s="0" t="n">
        <f aca="false">PRICEDISC(DATE(2023,2,28),DATE(2024,8,31),0.05,100,0)</f>
        <v>92.4583333333333</v>
      </c>
      <c r="B11728" s="0" t="s">
        <v>11692</v>
      </c>
    </row>
    <row r="11729" customFormat="false" ht="15" hidden="false" customHeight="false" outlineLevel="0" collapsed="false">
      <c r="A11729" s="0" t="n">
        <f aca="false">RECEIVED(DATE(2023,2,28),DATE(2024,8,31),1000,0.05,0)</f>
        <v>1081.5682739973</v>
      </c>
      <c r="B11729" s="0" t="s">
        <v>11693</v>
      </c>
    </row>
    <row r="11730" customFormat="false" ht="15" hidden="false" customHeight="false" outlineLevel="0" collapsed="false">
      <c r="A11730" s="0" t="n">
        <f aca="false">INTRATE(DATE(2023,2,28),DATE(2024,8,31),1000,1050,0)</f>
        <v>0.0331491712707183</v>
      </c>
      <c r="B11730" s="0" t="s">
        <v>11694</v>
      </c>
    </row>
    <row r="11731" customFormat="false" ht="15" hidden="false" customHeight="false" outlineLevel="0" collapsed="false">
      <c r="A11731" s="0" t="n">
        <f aca="false">DISC(DATE(2023,2,28),DATE(2024,8,31),95,100,0)</f>
        <v>0.033271719038817</v>
      </c>
      <c r="B11731" s="0" t="s">
        <v>11695</v>
      </c>
    </row>
    <row r="11732" customFormat="false" ht="15" hidden="false" customHeight="false" outlineLevel="0" collapsed="false">
      <c r="A11732" s="0" t="n">
        <f aca="false">YIELDDISC(DATE(2023,2,28),DATE(2024,8,31),95,100,0)</f>
        <v>0.0350228621461231</v>
      </c>
      <c r="B11732" s="0" t="s">
        <v>11696</v>
      </c>
    </row>
    <row r="11733" customFormat="false" ht="15" hidden="false" customHeight="false" outlineLevel="0" collapsed="false">
      <c r="A11733" s="0" t="n">
        <f aca="false">ACCRINTM(DATE(2023,2,28),DATE(2024,8,31),0.05,1000,0)</f>
        <v>75.4166666666667</v>
      </c>
      <c r="B11733" s="0" t="s">
        <v>11697</v>
      </c>
    </row>
    <row r="11734" customFormat="false" ht="15" hidden="false" customHeight="false" outlineLevel="0" collapsed="false">
      <c r="A11734" s="0" t="n">
        <f aca="false">PRICEMAT(DATE(2023,2,28),DATE(2024,8,31),DATE(2023,1,31),0.05,0.06,0)</f>
        <v>98.6020910835924</v>
      </c>
      <c r="B11734" s="0" t="s">
        <v>11698</v>
      </c>
    </row>
    <row r="11735" customFormat="false" ht="15" hidden="false" customHeight="false" outlineLevel="0" collapsed="false">
      <c r="A11735" s="0" t="n">
        <f aca="false">YIELDMAT(DATE(2023,2,28),DATE(2024,8,31),DATE(2023,1,31),0.05,98,0)</f>
        <v>0.0644392977431633</v>
      </c>
      <c r="B11735" s="0" t="s">
        <v>11699</v>
      </c>
    </row>
    <row r="11736" customFormat="false" ht="15" hidden="false" customHeight="false" outlineLevel="0" collapsed="false">
      <c r="A11736" s="0" t="n">
        <f aca="false">ACCRINT(DATE(2023,2,28),DATE(2030,1,1),DATE(2024,8,31),0.05,1000,2,0)</f>
        <v>75.4166666666667</v>
      </c>
      <c r="B11736" s="0" t="s">
        <v>11700</v>
      </c>
    </row>
    <row r="11737" customFormat="false" ht="15" hidden="false" customHeight="false" outlineLevel="0" collapsed="false">
      <c r="A11737" s="0" t="n">
        <f aca="false">DURATION(DATE(2023,2,28),DATE(2024,8,31),0.05,0.08,2,0)</f>
        <v>1.46563629879741</v>
      </c>
      <c r="B11737" s="0" t="s">
        <v>11701</v>
      </c>
    </row>
    <row r="11738" customFormat="false" ht="15" hidden="false" customHeight="false" outlineLevel="0" collapsed="false">
      <c r="A11738" s="0" t="n">
        <f aca="false">PRICE(DATE(2023,2,28),DATE(2024,8,31),0.05,0.08,100,2,0)</f>
        <v>95.8373634501593</v>
      </c>
      <c r="B11738" s="0" t="s">
        <v>11702</v>
      </c>
    </row>
    <row r="11739" customFormat="false" ht="15" hidden="false" customHeight="false" outlineLevel="0" collapsed="false">
      <c r="A11739" s="0" t="n">
        <f aca="false">YIELD(DATE(2023,2,28),DATE(2024,8,31),0.05,95,100,2,0)</f>
        <v>0.0862487399523156</v>
      </c>
      <c r="B11739" s="0" t="s">
        <v>11703</v>
      </c>
    </row>
    <row r="11740" customFormat="false" ht="15" hidden="false" customHeight="false" outlineLevel="0" collapsed="false">
      <c r="A11740" s="0" t="n">
        <f aca="false">PRICEDISC(DATE(2023,2,28),DATE(2024,8,31),0.05,100,1)</f>
        <v>92.4657534246575</v>
      </c>
      <c r="B11740" s="0" t="s">
        <v>11704</v>
      </c>
    </row>
    <row r="11741" customFormat="false" ht="15" hidden="false" customHeight="false" outlineLevel="0" collapsed="false">
      <c r="A11741" s="0" t="n">
        <f aca="false">RECEIVED(DATE(2023,2,28),DATE(2024,8,31),1000,0.05,1)</f>
        <v>1081.48148148148</v>
      </c>
      <c r="B11741" s="0" t="s">
        <v>11705</v>
      </c>
    </row>
    <row r="11742" customFormat="false" ht="15" hidden="false" customHeight="false" outlineLevel="0" collapsed="false">
      <c r="A11742" s="0" t="n">
        <f aca="false">INTRATE(DATE(2023,2,28),DATE(2024,8,31),1000,1050,1)</f>
        <v>0.0331818181818182</v>
      </c>
      <c r="B11742" s="0" t="s">
        <v>11706</v>
      </c>
    </row>
    <row r="11743" customFormat="false" ht="15" hidden="false" customHeight="false" outlineLevel="0" collapsed="false">
      <c r="A11743" s="0" t="n">
        <f aca="false">DISC(DATE(2023,2,28),DATE(2024,8,31),95,100,1)</f>
        <v>0.0332272727272728</v>
      </c>
      <c r="B11743" s="0" t="s">
        <v>11707</v>
      </c>
    </row>
    <row r="11744" customFormat="false" ht="15" hidden="false" customHeight="false" outlineLevel="0" collapsed="false">
      <c r="A11744" s="0" t="n">
        <f aca="false">YIELDDISC(DATE(2023,2,28),DATE(2024,8,31),95,100,1)</f>
        <v>0.0349760765550239</v>
      </c>
      <c r="B11744" s="0" t="s">
        <v>11708</v>
      </c>
    </row>
    <row r="11745" customFormat="false" ht="15" hidden="false" customHeight="false" outlineLevel="0" collapsed="false">
      <c r="A11745" s="0" t="n">
        <f aca="false">ACCRINTM(DATE(2023,2,28),DATE(2024,8,31),0.05,1000,1)</f>
        <v>75.3424657534247</v>
      </c>
      <c r="B11745" s="0" t="s">
        <v>11709</v>
      </c>
    </row>
    <row r="11746" customFormat="false" ht="15" hidden="false" customHeight="false" outlineLevel="0" collapsed="false">
      <c r="A11746" s="0" t="n">
        <f aca="false">PRICEMAT(DATE(2023,2,28),DATE(2024,8,31),DATE(2023,1,31),0.05,0.06,1)</f>
        <v>98.5875801378457</v>
      </c>
      <c r="B11746" s="0" t="s">
        <v>11710</v>
      </c>
    </row>
    <row r="11747" customFormat="false" ht="15" hidden="false" customHeight="false" outlineLevel="0" collapsed="false">
      <c r="A11747" s="0" t="n">
        <f aca="false">YIELDMAT(DATE(2023,2,28),DATE(2024,8,31),DATE(2023,1,31),0.05,98,1)</f>
        <v>0.0643272322219692</v>
      </c>
      <c r="B11747" s="0" t="s">
        <v>11711</v>
      </c>
    </row>
    <row r="11748" customFormat="false" ht="15" hidden="false" customHeight="false" outlineLevel="0" collapsed="false">
      <c r="A11748" s="0" t="n">
        <f aca="false">ACCRINT(DATE(2023,2,28),DATE(2030,1,1),DATE(2024,8,31),0.05,1000,2,1)</f>
        <v>75.3424657534247</v>
      </c>
      <c r="B11748" s="0" t="s">
        <v>11712</v>
      </c>
    </row>
    <row r="11749" customFormat="false" ht="15" hidden="false" customHeight="false" outlineLevel="0" collapsed="false">
      <c r="A11749" s="0" t="n">
        <f aca="false">DURATION(DATE(2023,2,28),DATE(2024,8,31),0.05,0.08,2,1)</f>
        <v>1.46764648271593</v>
      </c>
      <c r="B11749" s="0" t="s">
        <v>11713</v>
      </c>
    </row>
    <row r="11750" customFormat="false" ht="15" hidden="false" customHeight="false" outlineLevel="0" collapsed="false">
      <c r="A11750" s="0" t="n">
        <f aca="false">PRICE(DATE(2023,2,28),DATE(2024,8,31),0.05,0.08,100,2,1)</f>
        <v>95.8373634501593</v>
      </c>
      <c r="B11750" s="0" t="s">
        <v>11714</v>
      </c>
    </row>
    <row r="11751" customFormat="false" ht="15" hidden="false" customHeight="false" outlineLevel="0" collapsed="false">
      <c r="A11751" s="0" t="n">
        <f aca="false">YIELD(DATE(2023,2,28),DATE(2024,8,31),0.05,95,100,2,1)</f>
        <v>0.0862487399523156</v>
      </c>
      <c r="B11751" s="0" t="s">
        <v>11715</v>
      </c>
    </row>
    <row r="11752" customFormat="false" ht="15" hidden="false" customHeight="false" outlineLevel="0" collapsed="false">
      <c r="A11752" s="0" t="n">
        <f aca="false">PRICEDISC(DATE(2023,2,28),DATE(2024,8,31),0.05,100,4)</f>
        <v>92.4583333333333</v>
      </c>
      <c r="B11752" s="0" t="s">
        <v>11716</v>
      </c>
    </row>
    <row r="11753" customFormat="false" ht="15" hidden="false" customHeight="false" outlineLevel="0" collapsed="false">
      <c r="A11753" s="0" t="n">
        <f aca="false">RECEIVED(DATE(2023,2,28),DATE(2024,8,31),1000,0.05,4)</f>
        <v>1081.5682739973</v>
      </c>
      <c r="B11753" s="0" t="s">
        <v>11717</v>
      </c>
    </row>
    <row r="11754" customFormat="false" ht="15" hidden="false" customHeight="false" outlineLevel="0" collapsed="false">
      <c r="A11754" s="0" t="n">
        <f aca="false">INTRATE(DATE(2023,2,28),DATE(2024,8,31),1000,1050,4)</f>
        <v>0.0331491712707183</v>
      </c>
      <c r="B11754" s="0" t="s">
        <v>11718</v>
      </c>
    </row>
    <row r="11755" customFormat="false" ht="15" hidden="false" customHeight="false" outlineLevel="0" collapsed="false">
      <c r="A11755" s="0" t="n">
        <f aca="false">DISC(DATE(2023,2,28),DATE(2024,8,31),95,100,4)</f>
        <v>0.0332103321033211</v>
      </c>
      <c r="B11755" s="0" t="s">
        <v>11719</v>
      </c>
    </row>
    <row r="11756" customFormat="false" ht="15" hidden="false" customHeight="false" outlineLevel="0" collapsed="false">
      <c r="A11756" s="0" t="n">
        <f aca="false">YIELDDISC(DATE(2023,2,28),DATE(2024,8,31),95,100,4)</f>
        <v>0.0349582443192853</v>
      </c>
      <c r="B11756" s="0" t="s">
        <v>11720</v>
      </c>
    </row>
    <row r="11757" customFormat="false" ht="15" hidden="false" customHeight="false" outlineLevel="0" collapsed="false">
      <c r="A11757" s="0" t="n">
        <f aca="false">ACCRINTM(DATE(2023,2,28),DATE(2024,8,31),0.05,1000,4)</f>
        <v>75.4166666666667</v>
      </c>
      <c r="B11757" s="0" t="s">
        <v>11721</v>
      </c>
    </row>
    <row r="11758" customFormat="false" ht="15" hidden="false" customHeight="false" outlineLevel="0" collapsed="false">
      <c r="A11758" s="0" t="n">
        <f aca="false">PRICEMAT(DATE(2023,2,28),DATE(2024,8,31),DATE(2023,1,31),0.05,0.06,4)</f>
        <v>98.5869594755257</v>
      </c>
      <c r="B11758" s="0" t="s">
        <v>11722</v>
      </c>
    </row>
    <row r="11759" customFormat="false" ht="15" hidden="false" customHeight="false" outlineLevel="0" collapsed="false">
      <c r="A11759" s="0" t="n">
        <f aca="false">YIELDMAT(DATE(2023,2,28),DATE(2024,8,31),DATE(2023,1,31),0.05,98,4)</f>
        <v>0.0643204060499102</v>
      </c>
      <c r="B11759" s="0" t="s">
        <v>11723</v>
      </c>
    </row>
    <row r="11760" customFormat="false" ht="15" hidden="false" customHeight="false" outlineLevel="0" collapsed="false">
      <c r="A11760" s="0" t="n">
        <f aca="false">ACCRINT(DATE(2023,2,28),DATE(2030,1,1),DATE(2024,8,31),0.05,1000,2,4)</f>
        <v>75.4166666666667</v>
      </c>
      <c r="B11760" s="0" t="s">
        <v>11724</v>
      </c>
    </row>
    <row r="11761" customFormat="false" ht="15" hidden="false" customHeight="false" outlineLevel="0" collapsed="false">
      <c r="A11761" s="0" t="n">
        <f aca="false">DURATION(DATE(2023,2,28),DATE(2024,8,31),0.05,0.08,2,4)</f>
        <v>1.46841407657518</v>
      </c>
      <c r="B11761" s="0" t="s">
        <v>11725</v>
      </c>
    </row>
    <row r="11762" customFormat="false" ht="15" hidden="false" customHeight="false" outlineLevel="0" collapsed="false">
      <c r="A11762" s="0" t="n">
        <f aca="false">PRICE(DATE(2023,2,28),DATE(2024,8,31),0.05,0.08,100,2,4)</f>
        <v>95.8373634501593</v>
      </c>
      <c r="B11762" s="0" t="s">
        <v>11726</v>
      </c>
    </row>
    <row r="11763" customFormat="false" ht="15" hidden="false" customHeight="false" outlineLevel="0" collapsed="false">
      <c r="A11763" s="0" t="n">
        <f aca="false">YIELD(DATE(2023,2,28),DATE(2024,8,31),0.05,95,100,2,4)</f>
        <v>0.0862487399523156</v>
      </c>
      <c r="B11763" s="0" t="s">
        <v>11727</v>
      </c>
    </row>
    <row r="11764" customFormat="false" ht="15" hidden="false" customHeight="false" outlineLevel="0" collapsed="false">
      <c r="A11764" s="0" t="n">
        <f aca="false">TBILLPRICE(DATE(2023,2,28),DATE(2024,8,31),0.05)</f>
        <v>92.4861111111111</v>
      </c>
      <c r="B11764" s="0" t="s">
        <v>11728</v>
      </c>
    </row>
    <row r="11765" customFormat="false" ht="15" hidden="false" customHeight="false" outlineLevel="0" collapsed="false">
      <c r="A11765" s="0" t="e">
        <f aca="false">TBILLEQ(DATE(2023,2,28),DATE(2024,8,31),0.05)</f>
        <v>#VALUE!</v>
      </c>
      <c r="B11765" s="0" t="s">
        <v>11729</v>
      </c>
    </row>
    <row r="11766" customFormat="false" ht="15" hidden="false" customHeight="false" outlineLevel="0" collapsed="false">
      <c r="A11766" s="0" t="e">
        <f aca="false">TBILLYIELD(DATE(2023,2,28),DATE(2024,8,31),98)</f>
        <v>#VALUE!</v>
      </c>
      <c r="B11766" s="0" t="s">
        <v>11730</v>
      </c>
    </row>
    <row r="11767" customFormat="false" ht="15" hidden="false" customHeight="false" outlineLevel="0" collapsed="false">
      <c r="A11767" s="0" t="n">
        <f aca="false">PRICEDISC(DATE(2023,2,28),DATE(2025,6,30),0.05,100,0)</f>
        <v>88.3055555555555</v>
      </c>
      <c r="B11767" s="0" t="s">
        <v>11731</v>
      </c>
    </row>
    <row r="11768" customFormat="false" ht="15" hidden="false" customHeight="false" outlineLevel="0" collapsed="false">
      <c r="A11768" s="0" t="n">
        <f aca="false">RECEIVED(DATE(2023,2,28),DATE(2025,6,30),1000,0.05,0)</f>
        <v>1132.43158225857</v>
      </c>
      <c r="B11768" s="0" t="s">
        <v>11732</v>
      </c>
    </row>
    <row r="11769" customFormat="false" ht="15" hidden="false" customHeight="false" outlineLevel="0" collapsed="false">
      <c r="A11769" s="0" t="n">
        <f aca="false">INTRATE(DATE(2023,2,28),DATE(2025,6,30),1000,1050,0)</f>
        <v>0.0213776722090261</v>
      </c>
      <c r="B11769" s="0" t="s">
        <v>11733</v>
      </c>
    </row>
    <row r="11770" customFormat="false" ht="15" hidden="false" customHeight="false" outlineLevel="0" collapsed="false">
      <c r="A11770" s="0" t="n">
        <f aca="false">DISC(DATE(2023,2,28),DATE(2025,6,30),95,100,0)</f>
        <v>0.0214285714285714</v>
      </c>
      <c r="B11770" s="0" t="s">
        <v>11734</v>
      </c>
    </row>
    <row r="11771" customFormat="false" ht="15" hidden="false" customHeight="false" outlineLevel="0" collapsed="false">
      <c r="A11771" s="0" t="n">
        <f aca="false">YIELDDISC(DATE(2023,2,28),DATE(2025,6,30),95,100,0)</f>
        <v>0.0225563909774436</v>
      </c>
      <c r="B11771" s="0" t="s">
        <v>11735</v>
      </c>
    </row>
    <row r="11772" customFormat="false" ht="15" hidden="false" customHeight="false" outlineLevel="0" collapsed="false">
      <c r="A11772" s="0" t="n">
        <f aca="false">ACCRINTM(DATE(2023,2,28),DATE(2025,6,30),0.05,1000,0)</f>
        <v>116.944444444444</v>
      </c>
      <c r="B11772" s="0" t="s">
        <v>11736</v>
      </c>
    </row>
    <row r="11773" customFormat="false" ht="15" hidden="false" customHeight="false" outlineLevel="0" collapsed="false">
      <c r="A11773" s="0" t="n">
        <f aca="false">PRICEMAT(DATE(2023,2,28),DATE(2025,6,30),DATE(2023,1,31),0.05,0.06,0)</f>
        <v>97.9298245614035</v>
      </c>
      <c r="B11773" s="0" t="s">
        <v>11737</v>
      </c>
    </row>
    <row r="11774" customFormat="false" ht="15" hidden="false" customHeight="false" outlineLevel="0" collapsed="false">
      <c r="A11774" s="0" t="n">
        <f aca="false">YIELDMAT(DATE(2023,2,28),DATE(2025,6,30),DATE(2023,1,31),0.05,98,0)</f>
        <v>0.0596515285956279</v>
      </c>
      <c r="B11774" s="0" t="s">
        <v>11738</v>
      </c>
    </row>
    <row r="11775" customFormat="false" ht="15" hidden="false" customHeight="false" outlineLevel="0" collapsed="false">
      <c r="A11775" s="0" t="n">
        <f aca="false">ACCRINT(DATE(2023,2,28),DATE(2030,1,1),DATE(2025,6,30),0.05,1000,2,0)</f>
        <v>116.944444444444</v>
      </c>
      <c r="B11775" s="0" t="s">
        <v>11739</v>
      </c>
    </row>
    <row r="11776" customFormat="false" ht="15" hidden="false" customHeight="false" outlineLevel="0" collapsed="false">
      <c r="A11776" s="0" t="n">
        <f aca="false">DURATION(DATE(2023,2,28),DATE(2025,6,30),0.05,0.08,2,0)</f>
        <v>2.20939962838477</v>
      </c>
      <c r="B11776" s="0" t="s">
        <v>11740</v>
      </c>
    </row>
    <row r="11777" customFormat="false" ht="15" hidden="false" customHeight="false" outlineLevel="0" collapsed="false">
      <c r="A11777" s="0" t="n">
        <f aca="false">PRICE(DATE(2023,2,28),DATE(2025,6,30),0.05,0.08,100,2,0)</f>
        <v>93.7035816322068</v>
      </c>
      <c r="B11777" s="0" t="s">
        <v>11741</v>
      </c>
    </row>
    <row r="11778" customFormat="false" ht="15" hidden="false" customHeight="false" outlineLevel="0" collapsed="false">
      <c r="A11778" s="0" t="n">
        <f aca="false">YIELD(DATE(2023,2,28),DATE(2025,6,30),0.05,95,100,2,0)</f>
        <v>0.0736143292750593</v>
      </c>
      <c r="B11778" s="0" t="s">
        <v>11742</v>
      </c>
    </row>
    <row r="11779" customFormat="false" ht="15" hidden="false" customHeight="false" outlineLevel="0" collapsed="false">
      <c r="A11779" s="0" t="n">
        <f aca="false">PRICEDISC(DATE(2023,2,28),DATE(2025,6,30),0.05,100,1)</f>
        <v>88.3150684931507</v>
      </c>
      <c r="B11779" s="0" t="s">
        <v>11743</v>
      </c>
    </row>
    <row r="11780" customFormat="false" ht="15" hidden="false" customHeight="false" outlineLevel="0" collapsed="false">
      <c r="A11780" s="0" t="n">
        <f aca="false">RECEIVED(DATE(2023,2,28),DATE(2025,6,30),1000,0.05,1)</f>
        <v>1132.30960136498</v>
      </c>
      <c r="B11780" s="0" t="s">
        <v>11744</v>
      </c>
    </row>
    <row r="11781" customFormat="false" ht="15" hidden="false" customHeight="false" outlineLevel="0" collapsed="false">
      <c r="A11781" s="0" t="n">
        <f aca="false">INTRATE(DATE(2023,2,28),DATE(2025,6,30),1000,1050,1)</f>
        <v>0.0213950762016413</v>
      </c>
      <c r="B11781" s="0" t="s">
        <v>11745</v>
      </c>
    </row>
    <row r="11782" customFormat="false" ht="15" hidden="false" customHeight="false" outlineLevel="0" collapsed="false">
      <c r="A11782" s="0" t="n">
        <f aca="false">DISC(DATE(2023,2,28),DATE(2025,6,30),95,100,1)</f>
        <v>0.0214146150840172</v>
      </c>
      <c r="B11782" s="0" t="s">
        <v>11746</v>
      </c>
    </row>
    <row r="11783" customFormat="false" ht="15" hidden="false" customHeight="false" outlineLevel="0" collapsed="false">
      <c r="A11783" s="0" t="n">
        <f aca="false">YIELDDISC(DATE(2023,2,28),DATE(2025,6,30),95,100,1)</f>
        <v>0.0225417000884391</v>
      </c>
      <c r="B11783" s="0" t="s">
        <v>11747</v>
      </c>
    </row>
    <row r="11784" customFormat="false" ht="15" hidden="false" customHeight="false" outlineLevel="0" collapsed="false">
      <c r="A11784" s="0" t="n">
        <f aca="false">ACCRINTM(DATE(2023,2,28),DATE(2025,6,30),0.05,1000,1)</f>
        <v>116.849315068493</v>
      </c>
      <c r="B11784" s="0" t="s">
        <v>11748</v>
      </c>
    </row>
    <row r="11785" customFormat="false" ht="15" hidden="false" customHeight="false" outlineLevel="0" collapsed="false">
      <c r="A11785" s="0" t="n">
        <f aca="false">PRICEMAT(DATE(2023,2,28),DATE(2025,6,30),DATE(2023,1,31),0.05,0.06,1)</f>
        <v>97.9046084027415</v>
      </c>
      <c r="B11785" s="0" t="s">
        <v>11749</v>
      </c>
    </row>
    <row r="11786" customFormat="false" ht="15" hidden="false" customHeight="false" outlineLevel="0" collapsed="false">
      <c r="A11786" s="0" t="n">
        <f aca="false">YIELDMAT(DATE(2023,2,28),DATE(2025,6,30),DATE(2023,1,31),0.05,98,1)</f>
        <v>0.0595265572641604</v>
      </c>
      <c r="B11786" s="0" t="s">
        <v>11750</v>
      </c>
    </row>
    <row r="11787" customFormat="false" ht="15" hidden="false" customHeight="false" outlineLevel="0" collapsed="false">
      <c r="A11787" s="0" t="n">
        <f aca="false">ACCRINT(DATE(2023,2,28),DATE(2030,1,1),DATE(2025,6,30),0.05,1000,2,1)</f>
        <v>116.849315068493</v>
      </c>
      <c r="B11787" s="0" t="s">
        <v>11751</v>
      </c>
    </row>
    <row r="11788" customFormat="false" ht="15" hidden="false" customHeight="false" outlineLevel="0" collapsed="false">
      <c r="A11788" s="0" t="n">
        <f aca="false">DURATION(DATE(2023,2,28),DATE(2025,6,30),0.05,0.08,2,1)</f>
        <v>2.21092030964997</v>
      </c>
      <c r="B11788" s="0" t="s">
        <v>11752</v>
      </c>
    </row>
    <row r="11789" customFormat="false" ht="15" hidden="false" customHeight="false" outlineLevel="0" collapsed="false">
      <c r="A11789" s="0" t="n">
        <f aca="false">PRICE(DATE(2023,2,28),DATE(2025,6,30),0.05,0.08,100,2,1)</f>
        <v>93.7081013538887</v>
      </c>
      <c r="B11789" s="0" t="s">
        <v>11753</v>
      </c>
    </row>
    <row r="11790" customFormat="false" ht="15" hidden="false" customHeight="false" outlineLevel="0" collapsed="false">
      <c r="A11790" s="0" t="n">
        <f aca="false">YIELD(DATE(2023,2,28),DATE(2025,6,30),0.05,95,100,2,1)</f>
        <v>0.0736319566114001</v>
      </c>
      <c r="B11790" s="0" t="s">
        <v>11754</v>
      </c>
    </row>
    <row r="11791" customFormat="false" ht="15" hidden="false" customHeight="false" outlineLevel="0" collapsed="false">
      <c r="A11791" s="0" t="n">
        <f aca="false">PRICEDISC(DATE(2023,2,28),DATE(2025,6,30),0.05,100,4)</f>
        <v>88.3055555555555</v>
      </c>
      <c r="B11791" s="0" t="s">
        <v>11755</v>
      </c>
    </row>
    <row r="11792" customFormat="false" ht="15" hidden="false" customHeight="false" outlineLevel="0" collapsed="false">
      <c r="A11792" s="0" t="n">
        <f aca="false">RECEIVED(DATE(2023,2,28),DATE(2025,6,30),1000,0.05,4)</f>
        <v>1132.43158225857</v>
      </c>
      <c r="B11792" s="0" t="s">
        <v>11756</v>
      </c>
    </row>
    <row r="11793" customFormat="false" ht="15" hidden="false" customHeight="false" outlineLevel="0" collapsed="false">
      <c r="A11793" s="0" t="n">
        <f aca="false">INTRATE(DATE(2023,2,28),DATE(2025,6,30),1000,1050,4)</f>
        <v>0.0213776722090261</v>
      </c>
      <c r="B11793" s="0" t="s">
        <v>11757</v>
      </c>
    </row>
    <row r="11794" customFormat="false" ht="15" hidden="false" customHeight="false" outlineLevel="0" collapsed="false">
      <c r="A11794" s="0" t="n">
        <f aca="false">DISC(DATE(2023,2,28),DATE(2025,6,30),95,100,4)</f>
        <v>0.0213776722090261</v>
      </c>
      <c r="B11794" s="0" t="s">
        <v>11758</v>
      </c>
    </row>
    <row r="11795" customFormat="false" ht="15" hidden="false" customHeight="false" outlineLevel="0" collapsed="false">
      <c r="A11795" s="0" t="n">
        <f aca="false">YIELDDISC(DATE(2023,2,28),DATE(2025,6,30),95,100,4)</f>
        <v>0.0225028128516064</v>
      </c>
      <c r="B11795" s="0" t="s">
        <v>11759</v>
      </c>
    </row>
    <row r="11796" customFormat="false" ht="15" hidden="false" customHeight="false" outlineLevel="0" collapsed="false">
      <c r="A11796" s="0" t="n">
        <f aca="false">ACCRINTM(DATE(2023,2,28),DATE(2025,6,30),0.05,1000,4)</f>
        <v>116.944444444444</v>
      </c>
      <c r="B11796" s="0" t="s">
        <v>11760</v>
      </c>
    </row>
    <row r="11797" customFormat="false" ht="15" hidden="false" customHeight="false" outlineLevel="0" collapsed="false">
      <c r="A11797" s="0" t="n">
        <f aca="false">PRICEMAT(DATE(2023,2,28),DATE(2025,6,30),DATE(2023,1,31),0.05,0.06,4)</f>
        <v>97.901084803014</v>
      </c>
      <c r="B11797" s="0" t="s">
        <v>11761</v>
      </c>
    </row>
    <row r="11798" customFormat="false" ht="15" hidden="false" customHeight="false" outlineLevel="0" collapsed="false">
      <c r="A11798" s="0" t="n">
        <f aca="false">YIELDMAT(DATE(2023,2,28),DATE(2025,6,30),DATE(2023,1,31),0.05,98,4)</f>
        <v>0.0595098385039519</v>
      </c>
      <c r="B11798" s="0" t="s">
        <v>11762</v>
      </c>
    </row>
    <row r="11799" customFormat="false" ht="15" hidden="false" customHeight="false" outlineLevel="0" collapsed="false">
      <c r="A11799" s="0" t="n">
        <f aca="false">ACCRINT(DATE(2023,2,28),DATE(2030,1,1),DATE(2025,6,30),0.05,1000,2,4)</f>
        <v>116.944444444444</v>
      </c>
      <c r="B11799" s="0" t="s">
        <v>11763</v>
      </c>
    </row>
    <row r="11800" customFormat="false" ht="15" hidden="false" customHeight="false" outlineLevel="0" collapsed="false">
      <c r="A11800" s="0" t="n">
        <f aca="false">DURATION(DATE(2023,2,28),DATE(2025,6,30),0.05,0.08,2,4)</f>
        <v>2.21495518394032</v>
      </c>
      <c r="B11800" s="0" t="s">
        <v>11764</v>
      </c>
    </row>
    <row r="11801" customFormat="false" ht="15" hidden="false" customHeight="false" outlineLevel="0" collapsed="false">
      <c r="A11801" s="0" t="n">
        <f aca="false">PRICE(DATE(2023,2,28),DATE(2025,6,30),0.05,0.08,100,2,4)</f>
        <v>93.7035816322068</v>
      </c>
      <c r="B11801" s="0" t="s">
        <v>11765</v>
      </c>
    </row>
    <row r="11802" customFormat="false" ht="15" hidden="false" customHeight="false" outlineLevel="0" collapsed="false">
      <c r="A11802" s="0" t="n">
        <f aca="false">YIELD(DATE(2023,2,28),DATE(2025,6,30),0.05,95,100,2,4)</f>
        <v>0.0736143292750593</v>
      </c>
      <c r="B11802" s="0" t="s">
        <v>11766</v>
      </c>
    </row>
    <row r="11803" customFormat="false" ht="15" hidden="false" customHeight="false" outlineLevel="0" collapsed="false">
      <c r="A11803" s="0" t="n">
        <f aca="false">TBILLPRICE(DATE(2023,2,28),DATE(2025,6,30),0.05)</f>
        <v>88.3194444444444</v>
      </c>
      <c r="B11803" s="0" t="s">
        <v>11767</v>
      </c>
    </row>
    <row r="11804" customFormat="false" ht="15" hidden="false" customHeight="false" outlineLevel="0" collapsed="false">
      <c r="A11804" s="0" t="e">
        <f aca="false">TBILLEQ(DATE(2023,2,28),DATE(2025,6,30),0.05)</f>
        <v>#VALUE!</v>
      </c>
      <c r="B11804" s="0" t="s">
        <v>11768</v>
      </c>
    </row>
    <row r="11805" customFormat="false" ht="15" hidden="false" customHeight="false" outlineLevel="0" collapsed="false">
      <c r="A11805" s="0" t="e">
        <f aca="false">TBILLYIELD(DATE(2023,2,28),DATE(2025,6,30),98)</f>
        <v>#VALUE!</v>
      </c>
      <c r="B11805" s="0" t="s">
        <v>11769</v>
      </c>
    </row>
    <row r="11806" customFormat="false" ht="15" hidden="false" customHeight="false" outlineLevel="0" collapsed="false">
      <c r="A11806" s="0" t="n">
        <f aca="false">PRICEDISC(DATE(2023,2,28),DATE(2026,12,31),0.05,100,0)</f>
        <v>80.7916666666667</v>
      </c>
      <c r="B11806" s="0" t="s">
        <v>11770</v>
      </c>
    </row>
    <row r="11807" customFormat="false" ht="15" hidden="false" customHeight="false" outlineLevel="0" collapsed="false">
      <c r="A11807" s="0" t="n">
        <f aca="false">RECEIVED(DATE(2023,2,28),DATE(2026,12,31),1000,0.05,0)</f>
        <v>1237.75141825683</v>
      </c>
      <c r="B11807" s="0" t="s">
        <v>11771</v>
      </c>
    </row>
    <row r="11808" customFormat="false" ht="15" hidden="false" customHeight="false" outlineLevel="0" collapsed="false">
      <c r="A11808" s="0" t="n">
        <f aca="false">INTRATE(DATE(2023,2,28),DATE(2026,12,31),1000,1050,0)</f>
        <v>0.0130151843817788</v>
      </c>
      <c r="B11808" s="0" t="s">
        <v>11772</v>
      </c>
    </row>
    <row r="11809" customFormat="false" ht="15" hidden="false" customHeight="false" outlineLevel="0" collapsed="false">
      <c r="A11809" s="0" t="n">
        <f aca="false">DISC(DATE(2023,2,28),DATE(2026,12,31),95,100,0)</f>
        <v>0.0130340333091962</v>
      </c>
      <c r="B11809" s="0" t="s">
        <v>11773</v>
      </c>
    </row>
    <row r="11810" customFormat="false" ht="15" hidden="false" customHeight="false" outlineLevel="0" collapsed="false">
      <c r="A11810" s="0" t="n">
        <f aca="false">YIELDDISC(DATE(2023,2,28),DATE(2026,12,31),95,100,0)</f>
        <v>0.0137200350623118</v>
      </c>
      <c r="B11810" s="0" t="s">
        <v>11774</v>
      </c>
    </row>
    <row r="11811" customFormat="false" ht="15" hidden="false" customHeight="false" outlineLevel="0" collapsed="false">
      <c r="A11811" s="0" t="n">
        <f aca="false">ACCRINTM(DATE(2023,2,28),DATE(2026,12,31),0.05,1000,0)</f>
        <v>192.083333333333</v>
      </c>
      <c r="B11811" s="0" t="s">
        <v>11775</v>
      </c>
    </row>
    <row r="11812" customFormat="false" ht="15" hidden="false" customHeight="false" outlineLevel="0" collapsed="false">
      <c r="A11812" s="0" t="n">
        <f aca="false">PRICEMAT(DATE(2023,2,28),DATE(2026,12,31),DATE(2023,1,31),0.05,0.06,0)</f>
        <v>96.8201613753029</v>
      </c>
      <c r="B11812" s="0" t="s">
        <v>11776</v>
      </c>
    </row>
    <row r="11813" customFormat="false" ht="15" hidden="false" customHeight="false" outlineLevel="0" collapsed="false">
      <c r="A11813" s="0" t="n">
        <f aca="false">YIELDMAT(DATE(2023,2,28),DATE(2026,12,31),DATE(2023,1,31),0.05,98,0)</f>
        <v>0.0561545308578019</v>
      </c>
      <c r="B11813" s="0" t="s">
        <v>11777</v>
      </c>
    </row>
    <row r="11814" customFormat="false" ht="15" hidden="false" customHeight="false" outlineLevel="0" collapsed="false">
      <c r="A11814" s="0" t="n">
        <f aca="false">ACCRINT(DATE(2023,2,28),DATE(2030,1,1),DATE(2026,12,31),0.05,1000,2,0)</f>
        <v>192.083333333333</v>
      </c>
      <c r="B11814" s="0" t="s">
        <v>11778</v>
      </c>
    </row>
    <row r="11815" customFormat="false" ht="15" hidden="false" customHeight="false" outlineLevel="0" collapsed="false">
      <c r="A11815" s="0" t="n">
        <f aca="false">DURATION(DATE(2023,2,28),DATE(2026,12,31),0.05,0.08,2,0)</f>
        <v>3.48922028388209</v>
      </c>
      <c r="B11815" s="0" t="s">
        <v>11779</v>
      </c>
    </row>
    <row r="11816" customFormat="false" ht="15" hidden="false" customHeight="false" outlineLevel="0" collapsed="false">
      <c r="A11816" s="0" t="n">
        <f aca="false">PRICE(DATE(2023,2,28),DATE(2026,12,31),0.05,0.08,100,2,0)</f>
        <v>90.2386847266332</v>
      </c>
      <c r="B11816" s="0" t="s">
        <v>11780</v>
      </c>
    </row>
    <row r="11817" customFormat="false" ht="15" hidden="false" customHeight="false" outlineLevel="0" collapsed="false">
      <c r="A11817" s="0" t="n">
        <f aca="false">YIELD(DATE(2023,2,28),DATE(2026,12,31),0.05,95,100,2,0)</f>
        <v>0.0648974921932711</v>
      </c>
      <c r="B11817" s="0" t="s">
        <v>11781</v>
      </c>
    </row>
    <row r="11818" customFormat="false" ht="15" hidden="false" customHeight="false" outlineLevel="0" collapsed="false">
      <c r="A11818" s="0" t="n">
        <f aca="false">PRICEDISC(DATE(2023,2,28),DATE(2026,12,31),0.05,100,1)</f>
        <v>80.7945205479452</v>
      </c>
      <c r="B11818" s="0" t="s">
        <v>11782</v>
      </c>
    </row>
    <row r="11819" customFormat="false" ht="15" hidden="false" customHeight="false" outlineLevel="0" collapsed="false">
      <c r="A11819" s="0" t="n">
        <f aca="false">RECEIVED(DATE(2023,2,28),DATE(2026,12,31),1000,0.05,1)</f>
        <v>1237.70769752458</v>
      </c>
      <c r="B11819" s="0" t="s">
        <v>11783</v>
      </c>
    </row>
    <row r="11820" customFormat="false" ht="15" hidden="false" customHeight="false" outlineLevel="0" collapsed="false">
      <c r="A11820" s="0" t="n">
        <f aca="false">INTRATE(DATE(2023,2,28),DATE(2026,12,31),1000,1050,1)</f>
        <v>0.0130171184022825</v>
      </c>
      <c r="B11820" s="0" t="s">
        <v>11784</v>
      </c>
    </row>
    <row r="11821" customFormat="false" ht="15" hidden="false" customHeight="false" outlineLevel="0" collapsed="false">
      <c r="A11821" s="0" t="n">
        <f aca="false">DISC(DATE(2023,2,28),DATE(2026,12,31),95,100,1)</f>
        <v>0.0130260342368046</v>
      </c>
      <c r="B11821" s="0" t="s">
        <v>11785</v>
      </c>
    </row>
    <row r="11822" customFormat="false" ht="15" hidden="false" customHeight="false" outlineLevel="0" collapsed="false">
      <c r="A11822" s="0" t="n">
        <f aca="false">YIELDDISC(DATE(2023,2,28),DATE(2026,12,31),95,100,1)</f>
        <v>0.0137116149861101</v>
      </c>
      <c r="B11822" s="0" t="s">
        <v>11786</v>
      </c>
    </row>
    <row r="11823" customFormat="false" ht="15" hidden="false" customHeight="false" outlineLevel="0" collapsed="false">
      <c r="A11823" s="0" t="n">
        <f aca="false">ACCRINTM(DATE(2023,2,28),DATE(2026,12,31),0.05,1000,1)</f>
        <v>192.054794520548</v>
      </c>
      <c r="B11823" s="0" t="s">
        <v>11787</v>
      </c>
    </row>
    <row r="11824" customFormat="false" ht="15" hidden="false" customHeight="false" outlineLevel="0" collapsed="false">
      <c r="A11824" s="0" t="n">
        <f aca="false">PRICEMAT(DATE(2023,2,28),DATE(2026,12,31),DATE(2023,1,31),0.05,0.06,1)</f>
        <v>96.8080621850804</v>
      </c>
      <c r="B11824" s="0" t="s">
        <v>11788</v>
      </c>
    </row>
    <row r="11825" customFormat="false" ht="15" hidden="false" customHeight="false" outlineLevel="0" collapsed="false">
      <c r="A11825" s="0" t="n">
        <f aca="false">YIELDMAT(DATE(2023,2,28),DATE(2026,12,31),DATE(2023,1,31),0.05,98,1)</f>
        <v>0.0561168236012444</v>
      </c>
      <c r="B11825" s="0" t="s">
        <v>11789</v>
      </c>
    </row>
    <row r="11826" customFormat="false" ht="15" hidden="false" customHeight="false" outlineLevel="0" collapsed="false">
      <c r="A11826" s="0" t="n">
        <f aca="false">ACCRINT(DATE(2023,2,28),DATE(2030,1,1),DATE(2026,12,31),0.05,1000,2,1)</f>
        <v>192.054794520548</v>
      </c>
      <c r="B11826" s="0" t="s">
        <v>11790</v>
      </c>
    </row>
    <row r="11827" customFormat="false" ht="15" hidden="false" customHeight="false" outlineLevel="0" collapsed="false">
      <c r="A11827" s="0" t="n">
        <f aca="false">DURATION(DATE(2023,2,28),DATE(2026,12,31),0.05,0.08,2,1)</f>
        <v>3.49157597633018</v>
      </c>
      <c r="B11827" s="0" t="s">
        <v>11791</v>
      </c>
    </row>
    <row r="11828" customFormat="false" ht="15" hidden="false" customHeight="false" outlineLevel="0" collapsed="false">
      <c r="A11828" s="0" t="n">
        <f aca="false">PRICE(DATE(2023,2,28),DATE(2026,12,31),0.05,0.08,100,2,1)</f>
        <v>90.2426955319153</v>
      </c>
      <c r="B11828" s="0" t="s">
        <v>11792</v>
      </c>
    </row>
    <row r="11829" customFormat="false" ht="15" hidden="false" customHeight="false" outlineLevel="0" collapsed="false">
      <c r="A11829" s="0" t="n">
        <f aca="false">YIELD(DATE(2023,2,28),DATE(2026,12,31),0.05,95,100,2,1)</f>
        <v>0.0649039412339461</v>
      </c>
      <c r="B11829" s="0" t="s">
        <v>11793</v>
      </c>
    </row>
    <row r="11830" customFormat="false" ht="15" hidden="false" customHeight="false" outlineLevel="0" collapsed="false">
      <c r="A11830" s="0" t="n">
        <f aca="false">PRICEDISC(DATE(2023,2,28),DATE(2026,12,31),0.05,100,4)</f>
        <v>80.7916666666667</v>
      </c>
      <c r="B11830" s="0" t="s">
        <v>11794</v>
      </c>
    </row>
    <row r="11831" customFormat="false" ht="15" hidden="false" customHeight="false" outlineLevel="0" collapsed="false">
      <c r="A11831" s="0" t="n">
        <f aca="false">RECEIVED(DATE(2023,2,28),DATE(2026,12,31),1000,0.05,4)</f>
        <v>1237.75141825683</v>
      </c>
      <c r="B11831" s="0" t="s">
        <v>11795</v>
      </c>
    </row>
    <row r="11832" customFormat="false" ht="15" hidden="false" customHeight="false" outlineLevel="0" collapsed="false">
      <c r="A11832" s="0" t="n">
        <f aca="false">INTRATE(DATE(2023,2,28),DATE(2026,12,31),1000,1050,4)</f>
        <v>0.0130151843817788</v>
      </c>
      <c r="B11832" s="0" t="s">
        <v>11796</v>
      </c>
    </row>
    <row r="11833" customFormat="false" ht="15" hidden="false" customHeight="false" outlineLevel="0" collapsed="false">
      <c r="A11833" s="0" t="n">
        <f aca="false">DISC(DATE(2023,2,28),DATE(2026,12,31),95,100,4)</f>
        <v>0.0130246020260492</v>
      </c>
      <c r="B11833" s="0" t="s">
        <v>11797</v>
      </c>
    </row>
    <row r="11834" customFormat="false" ht="15" hidden="false" customHeight="false" outlineLevel="0" collapsed="false">
      <c r="A11834" s="0" t="n">
        <f aca="false">YIELDDISC(DATE(2023,2,28),DATE(2026,12,31),95,100,4)</f>
        <v>0.0137101073958413</v>
      </c>
      <c r="B11834" s="0" t="s">
        <v>11798</v>
      </c>
    </row>
    <row r="11835" customFormat="false" ht="15" hidden="false" customHeight="false" outlineLevel="0" collapsed="false">
      <c r="A11835" s="0" t="n">
        <f aca="false">ACCRINTM(DATE(2023,2,28),DATE(2026,12,31),0.05,1000,4)</f>
        <v>192.083333333333</v>
      </c>
      <c r="B11835" s="0" t="s">
        <v>11799</v>
      </c>
    </row>
    <row r="11836" customFormat="false" ht="15" hidden="false" customHeight="false" outlineLevel="0" collapsed="false">
      <c r="A11836" s="0" t="n">
        <f aca="false">PRICEMAT(DATE(2023,2,28),DATE(2026,12,31),DATE(2023,1,31),0.05,0.06,4)</f>
        <v>96.8069929859418</v>
      </c>
      <c r="B11836" s="0" t="s">
        <v>11800</v>
      </c>
    </row>
    <row r="11837" customFormat="false" ht="15" hidden="false" customHeight="false" outlineLevel="0" collapsed="false">
      <c r="A11837" s="0" t="n">
        <f aca="false">YIELDMAT(DATE(2023,2,28),DATE(2026,12,31),DATE(2023,1,31),0.05,98,4)</f>
        <v>0.0561138980568918</v>
      </c>
      <c r="B11837" s="0" t="s">
        <v>11801</v>
      </c>
    </row>
    <row r="11838" customFormat="false" ht="15" hidden="false" customHeight="false" outlineLevel="0" collapsed="false">
      <c r="A11838" s="0" t="n">
        <f aca="false">ACCRINT(DATE(2023,2,28),DATE(2030,1,1),DATE(2026,12,31),0.05,1000,2,4)</f>
        <v>192.083333333333</v>
      </c>
      <c r="B11838" s="0" t="s">
        <v>11802</v>
      </c>
    </row>
    <row r="11839" customFormat="false" ht="15" hidden="false" customHeight="false" outlineLevel="0" collapsed="false">
      <c r="A11839" s="0" t="n">
        <f aca="false">DURATION(DATE(2023,2,28),DATE(2026,12,31),0.05,0.08,2,4)</f>
        <v>3.49199806165987</v>
      </c>
      <c r="B11839" s="0" t="s">
        <v>11803</v>
      </c>
    </row>
    <row r="11840" customFormat="false" ht="15" hidden="false" customHeight="false" outlineLevel="0" collapsed="false">
      <c r="A11840" s="0" t="n">
        <f aca="false">PRICE(DATE(2023,2,28),DATE(2026,12,31),0.05,0.08,100,2,4)</f>
        <v>90.2386847266332</v>
      </c>
      <c r="B11840" s="0" t="s">
        <v>11804</v>
      </c>
    </row>
    <row r="11841" customFormat="false" ht="15" hidden="false" customHeight="false" outlineLevel="0" collapsed="false">
      <c r="A11841" s="0" t="n">
        <f aca="false">YIELD(DATE(2023,2,28),DATE(2026,12,31),0.05,95,100,2,4)</f>
        <v>0.0648974921932711</v>
      </c>
      <c r="B11841" s="0" t="s">
        <v>11805</v>
      </c>
    </row>
    <row r="11842" customFormat="false" ht="15" hidden="false" customHeight="false" outlineLevel="0" collapsed="false">
      <c r="A11842" s="0" t="n">
        <f aca="false">TBILLPRICE(DATE(2023,2,28),DATE(2026,12,31),0.05)</f>
        <v>80.8194444444444</v>
      </c>
      <c r="B11842" s="0" t="s">
        <v>11806</v>
      </c>
    </row>
    <row r="11843" customFormat="false" ht="15" hidden="false" customHeight="false" outlineLevel="0" collapsed="false">
      <c r="A11843" s="0" t="e">
        <f aca="false">TBILLEQ(DATE(2023,2,28),DATE(2026,12,31),0.05)</f>
        <v>#VALUE!</v>
      </c>
      <c r="B11843" s="0" t="s">
        <v>11807</v>
      </c>
    </row>
    <row r="11844" customFormat="false" ht="15" hidden="false" customHeight="false" outlineLevel="0" collapsed="false">
      <c r="A11844" s="0" t="e">
        <f aca="false">TBILLYIELD(DATE(2023,2,28),DATE(2026,12,31),98)</f>
        <v>#VALUE!</v>
      </c>
      <c r="B11844" s="0" t="s">
        <v>11808</v>
      </c>
    </row>
    <row r="11845" customFormat="false" ht="15" hidden="false" customHeight="false" outlineLevel="0" collapsed="false">
      <c r="A11845" s="0" t="n">
        <f aca="false">PRICEDISC(DATE(2023,2,28),DATE(2027,2,28),0.05,100,0)</f>
        <v>80</v>
      </c>
      <c r="B11845" s="0" t="s">
        <v>11809</v>
      </c>
    </row>
    <row r="11846" customFormat="false" ht="15" hidden="false" customHeight="false" outlineLevel="0" collapsed="false">
      <c r="A11846" s="0" t="n">
        <f aca="false">RECEIVED(DATE(2023,2,28),DATE(2027,2,28),1000,0.05,0)</f>
        <v>1250</v>
      </c>
      <c r="B11846" s="0" t="s">
        <v>11810</v>
      </c>
    </row>
    <row r="11847" customFormat="false" ht="15" hidden="false" customHeight="false" outlineLevel="0" collapsed="false">
      <c r="A11847" s="0" t="n">
        <f aca="false">INTRATE(DATE(2023,2,28),DATE(2027,2,28),1000,1050,0)</f>
        <v>0.0125</v>
      </c>
      <c r="B11847" s="0" t="s">
        <v>11811</v>
      </c>
    </row>
    <row r="11848" customFormat="false" ht="15" hidden="false" customHeight="false" outlineLevel="0" collapsed="false">
      <c r="A11848" s="0" t="n">
        <f aca="false">DISC(DATE(2023,2,28),DATE(2027,2,28),95,100,0)</f>
        <v>0.0125</v>
      </c>
      <c r="B11848" s="0" t="s">
        <v>11812</v>
      </c>
    </row>
    <row r="11849" customFormat="false" ht="15" hidden="false" customHeight="false" outlineLevel="0" collapsed="false">
      <c r="A11849" s="0" t="n">
        <f aca="false">YIELDDISC(DATE(2023,2,28),DATE(2027,2,28),95,100,0)</f>
        <v>0.0131578947368421</v>
      </c>
      <c r="B11849" s="0" t="s">
        <v>11813</v>
      </c>
    </row>
    <row r="11850" customFormat="false" ht="15" hidden="false" customHeight="false" outlineLevel="0" collapsed="false">
      <c r="A11850" s="0" t="n">
        <f aca="false">ACCRINTM(DATE(2023,2,28),DATE(2027,2,28),0.05,1000,0)</f>
        <v>200</v>
      </c>
      <c r="B11850" s="0" t="s">
        <v>11814</v>
      </c>
    </row>
    <row r="11851" customFormat="false" ht="15" hidden="false" customHeight="false" outlineLevel="0" collapsed="false">
      <c r="A11851" s="0" t="n">
        <f aca="false">PRICEMAT(DATE(2023,2,28),DATE(2027,2,28),DATE(2023,1,31),0.05,0.06,0)</f>
        <v>96.6989247311828</v>
      </c>
      <c r="B11851" s="0" t="s">
        <v>11815</v>
      </c>
    </row>
    <row r="11852" customFormat="false" ht="15" hidden="false" customHeight="false" outlineLevel="0" collapsed="false">
      <c r="A11852" s="0" t="n">
        <f aca="false">YIELDMAT(DATE(2023,2,28),DATE(2027,2,28),DATE(2023,1,31),0.05,98,0)</f>
        <v>0.0559006211180124</v>
      </c>
      <c r="B11852" s="0" t="s">
        <v>11816</v>
      </c>
    </row>
    <row r="11853" customFormat="false" ht="15" hidden="false" customHeight="false" outlineLevel="0" collapsed="false">
      <c r="A11853" s="0" t="n">
        <f aca="false">ACCRINT(DATE(2023,2,28),DATE(2030,1,1),DATE(2027,2,28),0.05,1000,2,0)</f>
        <v>200</v>
      </c>
      <c r="B11853" s="0" t="s">
        <v>11817</v>
      </c>
    </row>
    <row r="11854" customFormat="false" ht="15" hidden="false" customHeight="false" outlineLevel="0" collapsed="false">
      <c r="A11854" s="0" t="n">
        <f aca="false">DURATION(DATE(2023,2,28),DATE(2027,2,28),0.05,0.08,2,0)</f>
        <v>3.65310917277098</v>
      </c>
      <c r="B11854" s="0" t="s">
        <v>11818</v>
      </c>
    </row>
    <row r="11855" customFormat="false" ht="15" hidden="false" customHeight="false" outlineLevel="0" collapsed="false">
      <c r="A11855" s="0" t="n">
        <f aca="false">PRICE(DATE(2023,2,28),DATE(2027,2,28),0.05,0.08,100,2,0)</f>
        <v>89.9008826875744</v>
      </c>
      <c r="B11855" s="0" t="s">
        <v>11819</v>
      </c>
    </row>
    <row r="11856" customFormat="false" ht="15" hidden="false" customHeight="false" outlineLevel="0" collapsed="false">
      <c r="A11856" s="0" t="n">
        <f aca="false">YIELD(DATE(2023,2,28),DATE(2027,2,28),0.05,95,100,2,0)</f>
        <v>0.0643774672192545</v>
      </c>
      <c r="B11856" s="0" t="s">
        <v>11820</v>
      </c>
    </row>
    <row r="11857" customFormat="false" ht="15" hidden="false" customHeight="false" outlineLevel="0" collapsed="false">
      <c r="A11857" s="0" t="n">
        <f aca="false">PRICEDISC(DATE(2023,2,28),DATE(2027,2,28),0.05,100,1)</f>
        <v>79.986301369863</v>
      </c>
      <c r="B11857" s="0" t="s">
        <v>11821</v>
      </c>
    </row>
    <row r="11858" customFormat="false" ht="15" hidden="false" customHeight="false" outlineLevel="0" collapsed="false">
      <c r="A11858" s="0" t="n">
        <f aca="false">RECEIVED(DATE(2023,2,28),DATE(2027,2,28),1000,0.05,1)</f>
        <v>1250.21407775304</v>
      </c>
      <c r="B11858" s="0" t="s">
        <v>11822</v>
      </c>
    </row>
    <row r="11859" customFormat="false" ht="15" hidden="false" customHeight="false" outlineLevel="0" collapsed="false">
      <c r="A11859" s="0" t="n">
        <f aca="false">INTRATE(DATE(2023,2,28),DATE(2027,2,28),1000,1050,1)</f>
        <v>0.0124914442162902</v>
      </c>
      <c r="B11859" s="0" t="s">
        <v>11823</v>
      </c>
    </row>
    <row r="11860" customFormat="false" ht="15" hidden="false" customHeight="false" outlineLevel="0" collapsed="false">
      <c r="A11860" s="0" t="n">
        <f aca="false">DISC(DATE(2023,2,28),DATE(2027,2,28),95,100,1)</f>
        <v>0.0124982888432581</v>
      </c>
      <c r="B11860" s="0" t="s">
        <v>11824</v>
      </c>
    </row>
    <row r="11861" customFormat="false" ht="15" hidden="false" customHeight="false" outlineLevel="0" collapsed="false">
      <c r="A11861" s="0" t="n">
        <f aca="false">YIELDDISC(DATE(2023,2,28),DATE(2027,2,28),95,100,1)</f>
        <v>0.013156093519219</v>
      </c>
      <c r="B11861" s="0" t="s">
        <v>11825</v>
      </c>
    </row>
    <row r="11862" customFormat="false" ht="15" hidden="false" customHeight="false" outlineLevel="0" collapsed="false">
      <c r="A11862" s="0" t="n">
        <f aca="false">ACCRINTM(DATE(2023,2,28),DATE(2027,2,28),0.05,1000,1)</f>
        <v>200.13698630137</v>
      </c>
      <c r="B11862" s="0" t="s">
        <v>11826</v>
      </c>
    </row>
    <row r="11863" customFormat="false" ht="15" hidden="false" customHeight="false" outlineLevel="0" collapsed="false">
      <c r="A11863" s="0" t="n">
        <f aca="false">PRICEMAT(DATE(2023,2,28),DATE(2027,2,28),DATE(2023,1,31),0.05,0.06,1)</f>
        <v>96.6994220597372</v>
      </c>
      <c r="B11863" s="0" t="s">
        <v>11827</v>
      </c>
    </row>
    <row r="11864" customFormat="false" ht="15" hidden="false" customHeight="false" outlineLevel="0" collapsed="false">
      <c r="A11864" s="0" t="n">
        <f aca="false">YIELDMAT(DATE(2023,2,28),DATE(2027,2,28),DATE(2023,1,31),0.05,98,1)</f>
        <v>0.0559024186064065</v>
      </c>
      <c r="B11864" s="0" t="s">
        <v>11828</v>
      </c>
    </row>
    <row r="11865" customFormat="false" ht="15" hidden="false" customHeight="false" outlineLevel="0" collapsed="false">
      <c r="A11865" s="0" t="n">
        <f aca="false">ACCRINT(DATE(2023,2,28),DATE(2030,1,1),DATE(2027,2,28),0.05,1000,2,1)</f>
        <v>200.13698630137</v>
      </c>
      <c r="B11865" s="0" t="s">
        <v>11829</v>
      </c>
    </row>
    <row r="11866" customFormat="false" ht="15" hidden="false" customHeight="false" outlineLevel="0" collapsed="false">
      <c r="A11866" s="0" t="n">
        <f aca="false">DURATION(DATE(2023,2,28),DATE(2027,2,28),0.05,0.08,2,1)</f>
        <v>3.65365681789694</v>
      </c>
      <c r="B11866" s="0" t="s">
        <v>11830</v>
      </c>
    </row>
    <row r="11867" customFormat="false" ht="15" hidden="false" customHeight="false" outlineLevel="0" collapsed="false">
      <c r="A11867" s="0" t="n">
        <f aca="false">PRICE(DATE(2023,2,28),DATE(2027,2,28),0.05,0.08,100,2,1)</f>
        <v>89.9008826875744</v>
      </c>
      <c r="B11867" s="0" t="s">
        <v>11831</v>
      </c>
    </row>
    <row r="11868" customFormat="false" ht="15" hidden="false" customHeight="false" outlineLevel="0" collapsed="false">
      <c r="A11868" s="0" t="n">
        <f aca="false">YIELD(DATE(2023,2,28),DATE(2027,2,28),0.05,95,100,2,1)</f>
        <v>0.0643774672192545</v>
      </c>
      <c r="B11868" s="0" t="s">
        <v>11832</v>
      </c>
    </row>
    <row r="11869" customFormat="false" ht="15" hidden="false" customHeight="false" outlineLevel="0" collapsed="false">
      <c r="A11869" s="0" t="n">
        <f aca="false">PRICEDISC(DATE(2023,2,28),DATE(2027,2,28),0.05,100,4)</f>
        <v>80</v>
      </c>
      <c r="B11869" s="0" t="s">
        <v>11833</v>
      </c>
    </row>
    <row r="11870" customFormat="false" ht="15" hidden="false" customHeight="false" outlineLevel="0" collapsed="false">
      <c r="A11870" s="0" t="n">
        <f aca="false">RECEIVED(DATE(2023,2,28),DATE(2027,2,28),1000,0.05,4)</f>
        <v>1250</v>
      </c>
      <c r="B11870" s="0" t="s">
        <v>11834</v>
      </c>
    </row>
    <row r="11871" customFormat="false" ht="15" hidden="false" customHeight="false" outlineLevel="0" collapsed="false">
      <c r="A11871" s="0" t="n">
        <f aca="false">INTRATE(DATE(2023,2,28),DATE(2027,2,28),1000,1050,4)</f>
        <v>0.0125</v>
      </c>
      <c r="B11871" s="0" t="s">
        <v>11835</v>
      </c>
    </row>
    <row r="11872" customFormat="false" ht="15" hidden="false" customHeight="false" outlineLevel="0" collapsed="false">
      <c r="A11872" s="0" t="n">
        <f aca="false">DISC(DATE(2023,2,28),DATE(2027,2,28),95,100,4)</f>
        <v>0.0125</v>
      </c>
      <c r="B11872" s="0" t="s">
        <v>11836</v>
      </c>
    </row>
    <row r="11873" customFormat="false" ht="15" hidden="false" customHeight="false" outlineLevel="0" collapsed="false">
      <c r="A11873" s="0" t="n">
        <f aca="false">YIELDDISC(DATE(2023,2,28),DATE(2027,2,28),95,100,4)</f>
        <v>0.0131578947368421</v>
      </c>
      <c r="B11873" s="0" t="s">
        <v>11837</v>
      </c>
    </row>
    <row r="11874" customFormat="false" ht="15" hidden="false" customHeight="false" outlineLevel="0" collapsed="false">
      <c r="A11874" s="0" t="n">
        <f aca="false">ACCRINTM(DATE(2023,2,28),DATE(2027,2,28),0.05,1000,4)</f>
        <v>200</v>
      </c>
      <c r="B11874" s="0" t="s">
        <v>11838</v>
      </c>
    </row>
    <row r="11875" customFormat="false" ht="15" hidden="false" customHeight="false" outlineLevel="0" collapsed="false">
      <c r="A11875" s="0" t="n">
        <f aca="false">PRICEMAT(DATE(2023,2,28),DATE(2027,2,28),DATE(2023,1,31),0.05,0.06,4)</f>
        <v>96.6989247311828</v>
      </c>
      <c r="B11875" s="0" t="s">
        <v>11839</v>
      </c>
    </row>
    <row r="11876" customFormat="false" ht="15" hidden="false" customHeight="false" outlineLevel="0" collapsed="false">
      <c r="A11876" s="0" t="n">
        <f aca="false">YIELDMAT(DATE(2023,2,28),DATE(2027,2,28),DATE(2023,1,31),0.05,98,4)</f>
        <v>0.0559006211180124</v>
      </c>
      <c r="B11876" s="0" t="s">
        <v>11840</v>
      </c>
    </row>
    <row r="11877" customFormat="false" ht="15" hidden="false" customHeight="false" outlineLevel="0" collapsed="false">
      <c r="A11877" s="0" t="n">
        <f aca="false">ACCRINT(DATE(2023,2,28),DATE(2030,1,1),DATE(2027,2,28),0.05,1000,2,4)</f>
        <v>200</v>
      </c>
      <c r="B11877" s="0" t="s">
        <v>11841</v>
      </c>
    </row>
    <row r="11878" customFormat="false" ht="15" hidden="false" customHeight="false" outlineLevel="0" collapsed="false">
      <c r="A11878" s="0" t="n">
        <f aca="false">DURATION(DATE(2023,2,28),DATE(2027,2,28),0.05,0.08,2,4)</f>
        <v>3.65310917277098</v>
      </c>
      <c r="B11878" s="0" t="s">
        <v>11842</v>
      </c>
    </row>
    <row r="11879" customFormat="false" ht="15" hidden="false" customHeight="false" outlineLevel="0" collapsed="false">
      <c r="A11879" s="0" t="n">
        <f aca="false">PRICE(DATE(2023,2,28),DATE(2027,2,28),0.05,0.08,100,2,4)</f>
        <v>89.9008826875744</v>
      </c>
      <c r="B11879" s="0" t="s">
        <v>11843</v>
      </c>
    </row>
    <row r="11880" customFormat="false" ht="15" hidden="false" customHeight="false" outlineLevel="0" collapsed="false">
      <c r="A11880" s="0" t="n">
        <f aca="false">YIELD(DATE(2023,2,28),DATE(2027,2,28),0.05,95,100,2,4)</f>
        <v>0.0643774672192545</v>
      </c>
      <c r="B11880" s="0" t="s">
        <v>11844</v>
      </c>
    </row>
    <row r="11881" customFormat="false" ht="15" hidden="false" customHeight="false" outlineLevel="0" collapsed="false">
      <c r="A11881" s="0" t="n">
        <f aca="false">TBILLPRICE(DATE(2023,2,28),DATE(2027,2,28),0.05)</f>
        <v>79.9861111111111</v>
      </c>
      <c r="B11881" s="0" t="s">
        <v>11845</v>
      </c>
    </row>
    <row r="11882" customFormat="false" ht="15" hidden="false" customHeight="false" outlineLevel="0" collapsed="false">
      <c r="A11882" s="0" t="e">
        <f aca="false">TBILLEQ(DATE(2023,2,28),DATE(2027,2,28),0.05)</f>
        <v>#VALUE!</v>
      </c>
      <c r="B11882" s="0" t="s">
        <v>11846</v>
      </c>
    </row>
    <row r="11883" customFormat="false" ht="15" hidden="false" customHeight="false" outlineLevel="0" collapsed="false">
      <c r="A11883" s="0" t="n">
        <f aca="false">PRICEDISC(DATE(2023,2,28),DATE(2025,1,30),0.05,100,0)</f>
        <v>90.3888888888889</v>
      </c>
      <c r="B11883" s="0" t="s">
        <v>11847</v>
      </c>
    </row>
    <row r="11884" customFormat="false" ht="15" hidden="false" customHeight="false" outlineLevel="0" collapsed="false">
      <c r="A11884" s="0" t="n">
        <f aca="false">RECEIVED(DATE(2023,2,28),DATE(2025,1,30),1000,0.05,0)</f>
        <v>1106.33066994468</v>
      </c>
      <c r="B11884" s="0" t="s">
        <v>11848</v>
      </c>
    </row>
    <row r="11885" customFormat="false" ht="15" hidden="false" customHeight="false" outlineLevel="0" collapsed="false">
      <c r="A11885" s="0" t="n">
        <f aca="false">INTRATE(DATE(2023,2,28),DATE(2025,1,30),1000,1050,0)</f>
        <v>0.0260115606936416</v>
      </c>
      <c r="B11885" s="0" t="s">
        <v>11849</v>
      </c>
    </row>
    <row r="11886" customFormat="false" ht="15" hidden="false" customHeight="false" outlineLevel="0" collapsed="false">
      <c r="A11886" s="0" t="n">
        <f aca="false">DISC(DATE(2023,2,28),DATE(2025,1,30),95,100,0)</f>
        <v>0.0260869565217392</v>
      </c>
      <c r="B11886" s="0" t="s">
        <v>11850</v>
      </c>
    </row>
    <row r="11887" customFormat="false" ht="15" hidden="false" customHeight="false" outlineLevel="0" collapsed="false">
      <c r="A11887" s="0" t="n">
        <f aca="false">YIELDDISC(DATE(2023,2,28),DATE(2025,1,30),95,100,0)</f>
        <v>0.0274599542334096</v>
      </c>
      <c r="B11887" s="0" t="s">
        <v>11851</v>
      </c>
    </row>
    <row r="11888" customFormat="false" ht="15" hidden="false" customHeight="false" outlineLevel="0" collapsed="false">
      <c r="A11888" s="0" t="n">
        <f aca="false">ACCRINTM(DATE(2023,2,28),DATE(2025,1,30),0.05,1000,0)</f>
        <v>96.1111111111111</v>
      </c>
      <c r="B11888" s="0" t="s">
        <v>11852</v>
      </c>
    </row>
    <row r="11889" customFormat="false" ht="15" hidden="false" customHeight="false" outlineLevel="0" collapsed="false">
      <c r="A11889" s="0" t="n">
        <f aca="false">PRICEMAT(DATE(2023,2,28),DATE(2025,1,30),DATE(2023,1,31),0.05,0.06,0)</f>
        <v>98.2658196312905</v>
      </c>
      <c r="B11889" s="0" t="s">
        <v>11853</v>
      </c>
    </row>
    <row r="11890" customFormat="false" ht="15" hidden="false" customHeight="false" outlineLevel="0" collapsed="false">
      <c r="A11890" s="0" t="n">
        <f aca="false">YIELDMAT(DATE(2023,2,28),DATE(2025,1,30),DATE(2023,1,31),0.05,98,0)</f>
        <v>0.0615716986227384</v>
      </c>
      <c r="B11890" s="0" t="s">
        <v>11854</v>
      </c>
    </row>
    <row r="11891" customFormat="false" ht="15" hidden="false" customHeight="false" outlineLevel="0" collapsed="false">
      <c r="A11891" s="0" t="n">
        <f aca="false">ACCRINT(DATE(2023,2,28),DATE(2030,1,1),DATE(2025,1,30),0.05,1000,2,0)</f>
        <v>96.1111111111111</v>
      </c>
      <c r="B11891" s="0" t="s">
        <v>11855</v>
      </c>
    </row>
    <row r="11892" customFormat="false" ht="15" hidden="false" customHeight="false" outlineLevel="0" collapsed="false">
      <c r="A11892" s="0" t="n">
        <f aca="false">DURATION(DATE(2023,2,28),DATE(2025,1,30),0.05,0.08,2,0)</f>
        <v>1.8423353935507</v>
      </c>
      <c r="B11892" s="0" t="s">
        <v>11856</v>
      </c>
    </row>
    <row r="11893" customFormat="false" ht="15" hidden="false" customHeight="false" outlineLevel="0" collapsed="false">
      <c r="A11893" s="0" t="n">
        <f aca="false">PRICE(DATE(2023,2,28),DATE(2025,1,30),0.05,0.08,100,2,0)</f>
        <v>94.7449126316175</v>
      </c>
      <c r="B11893" s="0" t="s">
        <v>11857</v>
      </c>
    </row>
    <row r="11894" customFormat="false" ht="15" hidden="false" customHeight="false" outlineLevel="0" collapsed="false">
      <c r="A11894" s="0" t="n">
        <f aca="false">YIELD(DATE(2023,2,28),DATE(2025,1,30),0.05,95,100,2,0)</f>
        <v>0.0784935378276818</v>
      </c>
      <c r="B11894" s="0" t="s">
        <v>11858</v>
      </c>
    </row>
    <row r="11895" customFormat="false" ht="15" hidden="false" customHeight="false" outlineLevel="0" collapsed="false">
      <c r="A11895" s="0" t="n">
        <f aca="false">PRICEDISC(DATE(2023,2,28),DATE(2025,1,30),0.05,100,1)</f>
        <v>90.3835616438356</v>
      </c>
      <c r="B11895" s="0" t="s">
        <v>11859</v>
      </c>
    </row>
    <row r="11896" customFormat="false" ht="15" hidden="false" customHeight="false" outlineLevel="0" collapsed="false">
      <c r="A11896" s="0" t="n">
        <f aca="false">RECEIVED(DATE(2023,2,28),DATE(2025,1,30),1000,0.05,1)</f>
        <v>1106.39587753865</v>
      </c>
      <c r="B11896" s="0" t="s">
        <v>11860</v>
      </c>
    </row>
    <row r="11897" customFormat="false" ht="15" hidden="false" customHeight="false" outlineLevel="0" collapsed="false">
      <c r="A11897" s="0" t="n">
        <f aca="false">INTRATE(DATE(2023,2,28),DATE(2025,1,30),1000,1050,1)</f>
        <v>0.025997150997151</v>
      </c>
      <c r="B11897" s="0" t="s">
        <v>11861</v>
      </c>
    </row>
    <row r="11898" customFormat="false" ht="15" hidden="false" customHeight="false" outlineLevel="0" collapsed="false">
      <c r="A11898" s="0" t="n">
        <f aca="false">DISC(DATE(2023,2,28),DATE(2025,1,30),95,100,1)</f>
        <v>0.0260208926875594</v>
      </c>
      <c r="B11898" s="0" t="s">
        <v>11862</v>
      </c>
    </row>
    <row r="11899" customFormat="false" ht="15" hidden="false" customHeight="false" outlineLevel="0" collapsed="false">
      <c r="A11899" s="0" t="n">
        <f aca="false">YIELDDISC(DATE(2023,2,28),DATE(2025,1,30),95,100,1)</f>
        <v>0.0273904133553256</v>
      </c>
      <c r="B11899" s="0" t="s">
        <v>11863</v>
      </c>
    </row>
    <row r="11900" customFormat="false" ht="15" hidden="false" customHeight="false" outlineLevel="0" collapsed="false">
      <c r="A11900" s="0" t="n">
        <f aca="false">ACCRINTM(DATE(2023,2,28),DATE(2025,1,30),0.05,1000,1)</f>
        <v>96.1643835616439</v>
      </c>
      <c r="B11900" s="0" t="s">
        <v>11864</v>
      </c>
    </row>
    <row r="11901" customFormat="false" ht="15" hidden="false" customHeight="false" outlineLevel="0" collapsed="false">
      <c r="A11901" s="0" t="n">
        <f aca="false">PRICEMAT(DATE(2023,2,28),DATE(2025,1,30),DATE(2023,1,31),0.05,0.06,1)</f>
        <v>98.2371392953313</v>
      </c>
      <c r="B11901" s="0" t="s">
        <v>11865</v>
      </c>
    </row>
    <row r="11902" customFormat="false" ht="15" hidden="false" customHeight="false" outlineLevel="0" collapsed="false">
      <c r="A11902" s="0" t="n">
        <f aca="false">YIELDMAT(DATE(2023,2,28),DATE(2025,1,30),DATE(2023,1,31),0.05,98,1)</f>
        <v>0.0613990129909559</v>
      </c>
      <c r="B11902" s="0" t="s">
        <v>11866</v>
      </c>
    </row>
    <row r="11903" customFormat="false" ht="15" hidden="false" customHeight="false" outlineLevel="0" collapsed="false">
      <c r="A11903" s="0" t="n">
        <f aca="false">ACCRINT(DATE(2023,2,28),DATE(2030,1,1),DATE(2025,1,30),0.05,1000,2,1)</f>
        <v>96.1643835616439</v>
      </c>
      <c r="B11903" s="0" t="s">
        <v>11867</v>
      </c>
    </row>
    <row r="11904" customFormat="false" ht="15" hidden="false" customHeight="false" outlineLevel="0" collapsed="false">
      <c r="A11904" s="0" t="n">
        <f aca="false">DURATION(DATE(2023,2,28),DATE(2025,1,30),0.05,0.08,2,1)</f>
        <v>1.84720157359936</v>
      </c>
      <c r="B11904" s="0" t="s">
        <v>11868</v>
      </c>
    </row>
    <row r="11905" customFormat="false" ht="15" hidden="false" customHeight="false" outlineLevel="0" collapsed="false">
      <c r="A11905" s="0" t="n">
        <f aca="false">PRICE(DATE(2023,2,28),DATE(2025,1,30),0.05,0.08,100,2,1)</f>
        <v>94.750658385268</v>
      </c>
      <c r="B11905" s="0" t="s">
        <v>11869</v>
      </c>
    </row>
    <row r="11906" customFormat="false" ht="15" hidden="false" customHeight="false" outlineLevel="0" collapsed="false">
      <c r="A11906" s="0" t="n">
        <f aca="false">YIELD(DATE(2023,2,28),DATE(2025,1,30),0.05,95,100,2,1)</f>
        <v>0.0785258217233142</v>
      </c>
      <c r="B11906" s="0" t="s">
        <v>11870</v>
      </c>
    </row>
    <row r="11907" customFormat="false" ht="15" hidden="false" customHeight="false" outlineLevel="0" collapsed="false">
      <c r="A11907" s="0" t="n">
        <f aca="false">PRICEDISC(DATE(2023,2,28),DATE(2025,1,30),0.05,100,4)</f>
        <v>90.3888888888889</v>
      </c>
      <c r="B11907" s="0" t="s">
        <v>11871</v>
      </c>
    </row>
    <row r="11908" customFormat="false" ht="15" hidden="false" customHeight="false" outlineLevel="0" collapsed="false">
      <c r="A11908" s="0" t="n">
        <f aca="false">RECEIVED(DATE(2023,2,28),DATE(2025,1,30),1000,0.05,4)</f>
        <v>1106.33066994468</v>
      </c>
      <c r="B11908" s="0" t="s">
        <v>11872</v>
      </c>
    </row>
    <row r="11909" customFormat="false" ht="15" hidden="false" customHeight="false" outlineLevel="0" collapsed="false">
      <c r="A11909" s="0" t="n">
        <f aca="false">INTRATE(DATE(2023,2,28),DATE(2025,1,30),1000,1050,4)</f>
        <v>0.0260115606936416</v>
      </c>
      <c r="B11909" s="0" t="s">
        <v>11873</v>
      </c>
    </row>
    <row r="11910" customFormat="false" ht="15" hidden="false" customHeight="false" outlineLevel="0" collapsed="false">
      <c r="A11910" s="0" t="n">
        <f aca="false">DISC(DATE(2023,2,28),DATE(2025,1,30),95,100,4)</f>
        <v>0.0260115606936416</v>
      </c>
      <c r="B11910" s="0" t="s">
        <v>11874</v>
      </c>
    </row>
    <row r="11911" customFormat="false" ht="15" hidden="false" customHeight="false" outlineLevel="0" collapsed="false">
      <c r="A11911" s="0" t="n">
        <f aca="false">YIELDDISC(DATE(2023,2,28),DATE(2025,1,30),95,100,4)</f>
        <v>0.0273805902038333</v>
      </c>
      <c r="B11911" s="0" t="s">
        <v>11875</v>
      </c>
    </row>
    <row r="11912" customFormat="false" ht="15" hidden="false" customHeight="false" outlineLevel="0" collapsed="false">
      <c r="A11912" s="0" t="n">
        <f aca="false">ACCRINTM(DATE(2023,2,28),DATE(2025,1,30),0.05,1000,4)</f>
        <v>96.1111111111111</v>
      </c>
      <c r="B11912" s="0" t="s">
        <v>11876</v>
      </c>
    </row>
    <row r="11913" customFormat="false" ht="15" hidden="false" customHeight="false" outlineLevel="0" collapsed="false">
      <c r="A11913" s="0" t="n">
        <f aca="false">PRICEMAT(DATE(2023,2,28),DATE(2025,1,30),DATE(2023,1,31),0.05,0.06,4)</f>
        <v>98.2363352593478</v>
      </c>
      <c r="B11913" s="0" t="s">
        <v>11877</v>
      </c>
    </row>
    <row r="11914" customFormat="false" ht="15" hidden="false" customHeight="false" outlineLevel="0" collapsed="false">
      <c r="A11914" s="0" t="n">
        <f aca="false">YIELDMAT(DATE(2023,2,28),DATE(2025,1,30),DATE(2023,1,31),0.05,98,4)</f>
        <v>0.0613937457365455</v>
      </c>
      <c r="B11914" s="0" t="s">
        <v>11878</v>
      </c>
    </row>
    <row r="11915" customFormat="false" ht="15" hidden="false" customHeight="false" outlineLevel="0" collapsed="false">
      <c r="A11915" s="0" t="n">
        <f aca="false">ACCRINT(DATE(2023,2,28),DATE(2030,1,1),DATE(2025,1,30),0.05,1000,2,4)</f>
        <v>96.1111111111111</v>
      </c>
      <c r="B11915" s="0" t="s">
        <v>11879</v>
      </c>
    </row>
    <row r="11916" customFormat="false" ht="15" hidden="false" customHeight="false" outlineLevel="0" collapsed="false">
      <c r="A11916" s="0" t="n">
        <f aca="false">DURATION(DATE(2023,2,28),DATE(2025,1,30),0.05,0.08,2,4)</f>
        <v>1.84789094910625</v>
      </c>
      <c r="B11916" s="0" t="s">
        <v>11880</v>
      </c>
    </row>
    <row r="11917" customFormat="false" ht="15" hidden="false" customHeight="false" outlineLevel="0" collapsed="false">
      <c r="A11917" s="0" t="n">
        <f aca="false">PRICE(DATE(2023,2,28),DATE(2025,1,30),0.05,0.08,100,2,4)</f>
        <v>94.7449126316175</v>
      </c>
      <c r="B11917" s="0" t="s">
        <v>11881</v>
      </c>
    </row>
    <row r="11918" customFormat="false" ht="15" hidden="false" customHeight="false" outlineLevel="0" collapsed="false">
      <c r="A11918" s="0" t="n">
        <f aca="false">YIELD(DATE(2023,2,28),DATE(2025,1,30),0.05,95,100,2,4)</f>
        <v>0.0784935378276818</v>
      </c>
      <c r="B11918" s="0" t="s">
        <v>11882</v>
      </c>
    </row>
    <row r="11919" customFormat="false" ht="15" hidden="false" customHeight="false" outlineLevel="0" collapsed="false">
      <c r="A11919" s="0" t="n">
        <f aca="false">TBILLPRICE(DATE(2023,2,28),DATE(2025,1,30),0.05)</f>
        <v>90.4027777777778</v>
      </c>
      <c r="B11919" s="0" t="s">
        <v>11883</v>
      </c>
    </row>
    <row r="11920" customFormat="false" ht="15" hidden="false" customHeight="false" outlineLevel="0" collapsed="false">
      <c r="A11920" s="0" t="e">
        <f aca="false">TBILLEQ(DATE(2023,2,28),DATE(2025,1,30),0.05)</f>
        <v>#VALUE!</v>
      </c>
      <c r="B11920" s="0" t="s">
        <v>11884</v>
      </c>
    </row>
    <row r="11921" customFormat="false" ht="15" hidden="false" customHeight="false" outlineLevel="0" collapsed="false">
      <c r="A11921" s="0" t="e">
        <f aca="false">TBILLYIELD(DATE(2023,2,28),DATE(2025,1,30),98)</f>
        <v>#VALUE!</v>
      </c>
      <c r="B11921" s="0" t="s">
        <v>11885</v>
      </c>
    </row>
    <row r="11922" customFormat="false" ht="15" hidden="false" customHeight="false" outlineLevel="0" collapsed="false">
      <c r="A11922" s="0" t="n">
        <f aca="false">PRICEDISC(DATE(2023,2,28),DATE(2024,12,31),0.05,100,0)</f>
        <v>90.7916666666667</v>
      </c>
      <c r="B11922" s="0" t="s">
        <v>11886</v>
      </c>
    </row>
    <row r="11923" customFormat="false" ht="15" hidden="false" customHeight="false" outlineLevel="0" collapsed="false">
      <c r="A11923" s="0" t="n">
        <f aca="false">RECEIVED(DATE(2023,2,28),DATE(2024,12,31),1000,0.05,0)</f>
        <v>1101.42267094998</v>
      </c>
      <c r="B11923" s="0" t="s">
        <v>11887</v>
      </c>
    </row>
    <row r="11924" customFormat="false" ht="15" hidden="false" customHeight="false" outlineLevel="0" collapsed="false">
      <c r="A11924" s="0" t="n">
        <f aca="false">INTRATE(DATE(2023,2,28),DATE(2024,12,31),1000,1050,0)</f>
        <v>0.0271493212669684</v>
      </c>
      <c r="B11924" s="0" t="s">
        <v>11888</v>
      </c>
    </row>
    <row r="11925" customFormat="false" ht="15" hidden="false" customHeight="false" outlineLevel="0" collapsed="false">
      <c r="A11925" s="0" t="n">
        <f aca="false">DISC(DATE(2023,2,28),DATE(2024,12,31),95,100,0)</f>
        <v>0.027231467473525</v>
      </c>
      <c r="B11925" s="0" t="s">
        <v>11889</v>
      </c>
    </row>
    <row r="11926" customFormat="false" ht="15" hidden="false" customHeight="false" outlineLevel="0" collapsed="false">
      <c r="A11926" s="0" t="n">
        <f aca="false">YIELDDISC(DATE(2023,2,28),DATE(2024,12,31),95,100,0)</f>
        <v>0.0286647026037105</v>
      </c>
      <c r="B11926" s="0" t="s">
        <v>11890</v>
      </c>
    </row>
    <row r="11927" customFormat="false" ht="15" hidden="false" customHeight="false" outlineLevel="0" collapsed="false">
      <c r="A11927" s="0" t="n">
        <f aca="false">ACCRINTM(DATE(2023,2,28),DATE(2024,12,31),0.05,1000,0)</f>
        <v>92.0833333333333</v>
      </c>
      <c r="B11927" s="0" t="s">
        <v>11891</v>
      </c>
    </row>
    <row r="11928" customFormat="false" ht="15" hidden="false" customHeight="false" outlineLevel="0" collapsed="false">
      <c r="A11928" s="0" t="n">
        <f aca="false">PRICEMAT(DATE(2023,2,28),DATE(2024,12,31),DATE(2023,1,31),0.05,0.06,0)</f>
        <v>98.3200136782932</v>
      </c>
      <c r="B11928" s="0" t="s">
        <v>11892</v>
      </c>
    </row>
    <row r="11929" customFormat="false" ht="15" hidden="false" customHeight="false" outlineLevel="0" collapsed="false">
      <c r="A11929" s="0" t="n">
        <f aca="false">YIELDMAT(DATE(2023,2,28),DATE(2024,12,31),DATE(2023,1,31),0.05,98,0)</f>
        <v>0.0619665804168863</v>
      </c>
      <c r="B11929" s="0" t="s">
        <v>11893</v>
      </c>
    </row>
    <row r="11930" customFormat="false" ht="15" hidden="false" customHeight="false" outlineLevel="0" collapsed="false">
      <c r="A11930" s="0" t="n">
        <f aca="false">ACCRINT(DATE(2023,2,28),DATE(2030,1,1),DATE(2024,12,31),0.05,1000,2,0)</f>
        <v>92.0833333333333</v>
      </c>
      <c r="B11930" s="0" t="s">
        <v>11894</v>
      </c>
    </row>
    <row r="11931" customFormat="false" ht="15" hidden="false" customHeight="false" outlineLevel="0" collapsed="false">
      <c r="A11931" s="0" t="n">
        <f aca="false">DURATION(DATE(2023,2,28),DATE(2024,12,31),0.05,0.08,2,0)</f>
        <v>1.76177983799514</v>
      </c>
      <c r="B11931" s="0" t="s">
        <v>11895</v>
      </c>
    </row>
    <row r="11932" customFormat="false" ht="15" hidden="false" customHeight="false" outlineLevel="0" collapsed="false">
      <c r="A11932" s="0" t="n">
        <f aca="false">PRICE(DATE(2023,2,28),DATE(2024,12,31),0.05,0.08,100,2,0)</f>
        <v>94.9521521706458</v>
      </c>
      <c r="B11932" s="0" t="s">
        <v>11896</v>
      </c>
    </row>
    <row r="11933" customFormat="false" ht="15" hidden="false" customHeight="false" outlineLevel="0" collapsed="false">
      <c r="A11933" s="0" t="n">
        <f aca="false">YIELD(DATE(2023,2,28),DATE(2024,12,31),0.05,95,100,2,0)</f>
        <v>0.0797055958543397</v>
      </c>
      <c r="B11933" s="0" t="s">
        <v>11897</v>
      </c>
    </row>
    <row r="11934" customFormat="false" ht="15" hidden="false" customHeight="false" outlineLevel="0" collapsed="false">
      <c r="A11934" s="0" t="n">
        <f aca="false">PRICEDISC(DATE(2023,2,28),DATE(2024,12,31),0.05,100,1)</f>
        <v>90.7945205479452</v>
      </c>
      <c r="B11934" s="0" t="s">
        <v>11898</v>
      </c>
    </row>
    <row r="11935" customFormat="false" ht="15" hidden="false" customHeight="false" outlineLevel="0" collapsed="false">
      <c r="A11935" s="0" t="n">
        <f aca="false">RECEIVED(DATE(2023,2,28),DATE(2024,12,31),1000,0.05,1)</f>
        <v>1101.38805069403</v>
      </c>
      <c r="B11935" s="0" t="s">
        <v>11899</v>
      </c>
    </row>
    <row r="11936" customFormat="false" ht="15" hidden="false" customHeight="false" outlineLevel="0" collapsed="false">
      <c r="A11936" s="0" t="n">
        <f aca="false">INTRATE(DATE(2023,2,28),DATE(2024,12,31),1000,1050,1)</f>
        <v>0.0271577380952381</v>
      </c>
      <c r="B11936" s="0" t="s">
        <v>11900</v>
      </c>
    </row>
    <row r="11937" customFormat="false" ht="15" hidden="false" customHeight="false" outlineLevel="0" collapsed="false">
      <c r="A11937" s="0" t="n">
        <f aca="false">DISC(DATE(2023,2,28),DATE(2024,12,31),95,100,1)</f>
        <v>0.0271949404761905</v>
      </c>
      <c r="B11937" s="0" t="s">
        <v>11901</v>
      </c>
    </row>
    <row r="11938" customFormat="false" ht="15" hidden="false" customHeight="false" outlineLevel="0" collapsed="false">
      <c r="A11938" s="0" t="n">
        <f aca="false">YIELDDISC(DATE(2023,2,28),DATE(2024,12,31),95,100,1)</f>
        <v>0.028626253132832</v>
      </c>
      <c r="B11938" s="0" t="s">
        <v>11902</v>
      </c>
    </row>
    <row r="11939" customFormat="false" ht="15" hidden="false" customHeight="false" outlineLevel="0" collapsed="false">
      <c r="A11939" s="0" t="n">
        <f aca="false">ACCRINTM(DATE(2023,2,28),DATE(2024,12,31),0.05,1000,1)</f>
        <v>92.0547945205479</v>
      </c>
      <c r="B11939" s="0" t="s">
        <v>11903</v>
      </c>
    </row>
    <row r="11940" customFormat="false" ht="15" hidden="false" customHeight="false" outlineLevel="0" collapsed="false">
      <c r="A11940" s="0" t="n">
        <f aca="false">PRICEMAT(DATE(2023,2,28),DATE(2024,12,31),DATE(2023,1,31),0.05,0.06,1)</f>
        <v>98.3055123298473</v>
      </c>
      <c r="B11940" s="0" t="s">
        <v>11904</v>
      </c>
    </row>
    <row r="11941" customFormat="false" ht="15" hidden="false" customHeight="false" outlineLevel="0" collapsed="false">
      <c r="A11941" s="0" t="n">
        <f aca="false">YIELDMAT(DATE(2023,2,28),DATE(2024,12,31),DATE(2023,1,31),0.05,98,1)</f>
        <v>0.0618752983649601</v>
      </c>
      <c r="B11941" s="0" t="s">
        <v>11905</v>
      </c>
    </row>
    <row r="11942" customFormat="false" ht="15" hidden="false" customHeight="false" outlineLevel="0" collapsed="false">
      <c r="A11942" s="0" t="n">
        <f aca="false">ACCRINT(DATE(2023,2,28),DATE(2030,1,1),DATE(2024,12,31),0.05,1000,2,1)</f>
        <v>92.0547945205479</v>
      </c>
      <c r="B11942" s="0" t="s">
        <v>11906</v>
      </c>
    </row>
    <row r="11943" customFormat="false" ht="15" hidden="false" customHeight="false" outlineLevel="0" collapsed="false">
      <c r="A11943" s="0" t="n">
        <f aca="false">DURATION(DATE(2023,2,28),DATE(2024,12,31),0.05,0.08,2,1)</f>
        <v>1.7642460182657</v>
      </c>
      <c r="B11943" s="0" t="s">
        <v>11907</v>
      </c>
    </row>
    <row r="11944" customFormat="false" ht="15" hidden="false" customHeight="false" outlineLevel="0" collapsed="false">
      <c r="A11944" s="0" t="n">
        <f aca="false">PRICE(DATE(2023,2,28),DATE(2024,12,31),0.05,0.08,100,2,1)</f>
        <v>94.9568552796089</v>
      </c>
      <c r="B11944" s="0" t="s">
        <v>11908</v>
      </c>
    </row>
    <row r="11945" customFormat="false" ht="15" hidden="false" customHeight="false" outlineLevel="0" collapsed="false">
      <c r="A11945" s="0" t="n">
        <f aca="false">YIELD(DATE(2023,2,28),DATE(2024,12,31),0.05,95,100,2,1)</f>
        <v>0.0797342822525101</v>
      </c>
      <c r="B11945" s="0" t="s">
        <v>11909</v>
      </c>
    </row>
    <row r="11946" customFormat="false" ht="15" hidden="false" customHeight="false" outlineLevel="0" collapsed="false">
      <c r="A11946" s="0" t="n">
        <f aca="false">PRICEDISC(DATE(2023,2,28),DATE(2024,12,31),0.05,100,4)</f>
        <v>90.7916666666667</v>
      </c>
      <c r="B11946" s="0" t="s">
        <v>11910</v>
      </c>
    </row>
    <row r="11947" customFormat="false" ht="15" hidden="false" customHeight="false" outlineLevel="0" collapsed="false">
      <c r="A11947" s="0" t="n">
        <f aca="false">RECEIVED(DATE(2023,2,28),DATE(2024,12,31),1000,0.05,4)</f>
        <v>1101.42267094998</v>
      </c>
      <c r="B11947" s="0" t="s">
        <v>11911</v>
      </c>
    </row>
    <row r="11948" customFormat="false" ht="15" hidden="false" customHeight="false" outlineLevel="0" collapsed="false">
      <c r="A11948" s="0" t="n">
        <f aca="false">INTRATE(DATE(2023,2,28),DATE(2024,12,31),1000,1050,4)</f>
        <v>0.0271493212669684</v>
      </c>
      <c r="B11948" s="0" t="s">
        <v>11912</v>
      </c>
    </row>
    <row r="11949" customFormat="false" ht="15" hidden="false" customHeight="false" outlineLevel="0" collapsed="false">
      <c r="A11949" s="0" t="n">
        <f aca="false">DISC(DATE(2023,2,28),DATE(2024,12,31),95,100,4)</f>
        <v>0.027190332326284</v>
      </c>
      <c r="B11949" s="0" t="s">
        <v>11913</v>
      </c>
    </row>
    <row r="11950" customFormat="false" ht="15" hidden="false" customHeight="false" outlineLevel="0" collapsed="false">
      <c r="A11950" s="0" t="n">
        <f aca="false">YIELDDISC(DATE(2023,2,28),DATE(2024,12,31),95,100,4)</f>
        <v>0.02862140244872</v>
      </c>
      <c r="B11950" s="0" t="s">
        <v>11914</v>
      </c>
    </row>
    <row r="11951" customFormat="false" ht="15" hidden="false" customHeight="false" outlineLevel="0" collapsed="false">
      <c r="A11951" s="0" t="n">
        <f aca="false">ACCRINTM(DATE(2023,2,28),DATE(2024,12,31),0.05,1000,4)</f>
        <v>92.0833333333333</v>
      </c>
      <c r="B11951" s="0" t="s">
        <v>11915</v>
      </c>
    </row>
    <row r="11952" customFormat="false" ht="15" hidden="false" customHeight="false" outlineLevel="0" collapsed="false">
      <c r="A11952" s="0" t="n">
        <f aca="false">PRICEMAT(DATE(2023,2,28),DATE(2024,12,31),DATE(2023,1,31),0.05,0.06,4)</f>
        <v>98.3051969712132</v>
      </c>
      <c r="B11952" s="0" t="s">
        <v>11916</v>
      </c>
    </row>
    <row r="11953" customFormat="false" ht="15" hidden="false" customHeight="false" outlineLevel="0" collapsed="false">
      <c r="A11953" s="0" t="n">
        <f aca="false">YIELDMAT(DATE(2023,2,28),DATE(2024,12,31),DATE(2023,1,31),0.05,98,4)</f>
        <v>0.0618729753105164</v>
      </c>
      <c r="B11953" s="0" t="s">
        <v>11917</v>
      </c>
    </row>
    <row r="11954" customFormat="false" ht="15" hidden="false" customHeight="false" outlineLevel="0" collapsed="false">
      <c r="A11954" s="0" t="n">
        <f aca="false">ACCRINT(DATE(2023,2,28),DATE(2030,1,1),DATE(2024,12,31),0.05,1000,2,4)</f>
        <v>92.0833333333333</v>
      </c>
      <c r="B11954" s="0" t="s">
        <v>11918</v>
      </c>
    </row>
    <row r="11955" customFormat="false" ht="15" hidden="false" customHeight="false" outlineLevel="0" collapsed="false">
      <c r="A11955" s="0" t="n">
        <f aca="false">DURATION(DATE(2023,2,28),DATE(2024,12,31),0.05,0.08,2,4)</f>
        <v>1.76455761577292</v>
      </c>
      <c r="B11955" s="0" t="s">
        <v>11919</v>
      </c>
    </row>
    <row r="11956" customFormat="false" ht="15" hidden="false" customHeight="false" outlineLevel="0" collapsed="false">
      <c r="A11956" s="0" t="n">
        <f aca="false">PRICE(DATE(2023,2,28),DATE(2024,12,31),0.05,0.08,100,2,4)</f>
        <v>94.9521521706458</v>
      </c>
      <c r="B11956" s="0" t="s">
        <v>11920</v>
      </c>
    </row>
    <row r="11957" customFormat="false" ht="15" hidden="false" customHeight="false" outlineLevel="0" collapsed="false">
      <c r="A11957" s="0" t="n">
        <f aca="false">YIELD(DATE(2023,2,28),DATE(2024,12,31),0.05,95,100,2,4)</f>
        <v>0.0797055958543397</v>
      </c>
      <c r="B11957" s="0" t="s">
        <v>11921</v>
      </c>
    </row>
    <row r="11958" customFormat="false" ht="15" hidden="false" customHeight="false" outlineLevel="0" collapsed="false">
      <c r="A11958" s="0" t="n">
        <f aca="false">TBILLPRICE(DATE(2023,2,28),DATE(2024,12,31),0.05)</f>
        <v>90.8194444444444</v>
      </c>
      <c r="B11958" s="0" t="s">
        <v>11922</v>
      </c>
    </row>
    <row r="11959" customFormat="false" ht="15" hidden="false" customHeight="false" outlineLevel="0" collapsed="false">
      <c r="A11959" s="0" t="e">
        <f aca="false">TBILLEQ(DATE(2023,2,28),DATE(2024,12,31),0.05)</f>
        <v>#VALUE!</v>
      </c>
      <c r="B11959" s="0" t="s">
        <v>11923</v>
      </c>
    </row>
    <row r="11960" customFormat="false" ht="15" hidden="false" customHeight="false" outlineLevel="0" collapsed="false">
      <c r="A11960" s="0" t="e">
        <f aca="false">TBILLYIELD(DATE(2023,2,28),DATE(2024,12,31),98)</f>
        <v>#VALUE!</v>
      </c>
      <c r="B11960" s="0" t="s">
        <v>11924</v>
      </c>
    </row>
    <row r="11961" customFormat="false" ht="15" hidden="false" customHeight="false" outlineLevel="0" collapsed="false">
      <c r="A11961" s="0" t="n">
        <f aca="false">PRICEDISC(DATE(2024,5,31),DATE(2025,2,28),0.05,100,0)</f>
        <v>96.2916666666667</v>
      </c>
      <c r="B11961" s="0" t="s">
        <v>11925</v>
      </c>
    </row>
    <row r="11962" customFormat="false" ht="15" hidden="false" customHeight="false" outlineLevel="0" collapsed="false">
      <c r="A11962" s="0" t="n">
        <f aca="false">RECEIVED(DATE(2024,5,31),DATE(2025,2,28),1000,0.05,0)</f>
        <v>1038.51146689745</v>
      </c>
      <c r="B11962" s="0" t="s">
        <v>11926</v>
      </c>
    </row>
    <row r="11963" customFormat="false" ht="15" hidden="false" customHeight="false" outlineLevel="0" collapsed="false">
      <c r="A11963" s="0" t="n">
        <f aca="false">INTRATE(DATE(2024,5,31),DATE(2025,2,28),1000,1050,0)</f>
        <v>0.0674157303370787</v>
      </c>
      <c r="B11963" s="0" t="s">
        <v>11927</v>
      </c>
    </row>
    <row r="11964" customFormat="false" ht="15" hidden="false" customHeight="false" outlineLevel="0" collapsed="false">
      <c r="A11964" s="0" t="n">
        <f aca="false">DISC(DATE(2024,5,31),DATE(2025,2,28),95,100,0)</f>
        <v>0.0671641791044777</v>
      </c>
      <c r="B11964" s="0" t="s">
        <v>11928</v>
      </c>
    </row>
    <row r="11965" customFormat="false" ht="15" hidden="false" customHeight="false" outlineLevel="0" collapsed="false">
      <c r="A11965" s="0" t="n">
        <f aca="false">YIELDDISC(DATE(2024,5,31),DATE(2025,2,28),95,100,0)</f>
        <v>0.07069913589945</v>
      </c>
      <c r="B11965" s="0" t="s">
        <v>11929</v>
      </c>
    </row>
    <row r="11966" customFormat="false" ht="15" hidden="false" customHeight="false" outlineLevel="0" collapsed="false">
      <c r="A11966" s="0" t="n">
        <f aca="false">ACCRINTM(DATE(2024,5,31),DATE(2025,2,28),0.05,1000,0)</f>
        <v>37.0833333333333</v>
      </c>
      <c r="B11966" s="0" t="s">
        <v>11930</v>
      </c>
    </row>
    <row r="11967" customFormat="false" ht="15" hidden="false" customHeight="false" outlineLevel="0" collapsed="false">
      <c r="A11967" s="0" t="n">
        <f aca="false">PRICEMAT(DATE(2024,5,31),DATE(2025,2,28),DATE(2023,1,31),0.05,0.06,0)</f>
        <v>99.002339927675</v>
      </c>
      <c r="B11967" s="0" t="s">
        <v>11931</v>
      </c>
    </row>
    <row r="11968" customFormat="false" ht="15" hidden="false" customHeight="false" outlineLevel="0" collapsed="false">
      <c r="A11968" s="0" t="n">
        <f aca="false">YIELDMAT(DATE(2024,5,31),DATE(2025,2,28),DATE(2023,1,31),0.05,98,0)</f>
        <v>0.0734385397851507</v>
      </c>
      <c r="B11968" s="0" t="s">
        <v>11932</v>
      </c>
    </row>
    <row r="11969" customFormat="false" ht="15" hidden="false" customHeight="false" outlineLevel="0" collapsed="false">
      <c r="A11969" s="0" t="n">
        <f aca="false">ACCRINT(DATE(2024,5,31),DATE(2030,1,1),DATE(2025,2,28),0.05,1000,2,0)</f>
        <v>37.0833333333333</v>
      </c>
      <c r="B11969" s="0" t="s">
        <v>11933</v>
      </c>
    </row>
    <row r="11970" customFormat="false" ht="15" hidden="false" customHeight="false" outlineLevel="0" collapsed="false">
      <c r="A11970" s="0" t="n">
        <f aca="false">DURATION(DATE(2024,5,31),DATE(2025,2,28),0.05,0.08,2,0)</f>
        <v>0.732075272227508</v>
      </c>
      <c r="B11970" s="0" t="s">
        <v>11934</v>
      </c>
    </row>
    <row r="11971" customFormat="false" ht="15" hidden="false" customHeight="false" outlineLevel="0" collapsed="false">
      <c r="A11971" s="0" t="n">
        <f aca="false">PRICE(DATE(2024,5,31),DATE(2025,2,28),0.05,0.08,100,2,0)</f>
        <v>97.8529258105471</v>
      </c>
      <c r="B11971" s="0" t="s">
        <v>11935</v>
      </c>
    </row>
    <row r="11972" customFormat="false" ht="15" hidden="false" customHeight="false" outlineLevel="0" collapsed="false">
      <c r="A11972" s="0" t="n">
        <f aca="false">YIELD(DATE(2024,5,31),DATE(2025,2,28),0.05,95,100,2,0)</f>
        <v>0.121753875909936</v>
      </c>
      <c r="B11972" s="0" t="s">
        <v>11936</v>
      </c>
    </row>
    <row r="11973" customFormat="false" ht="15" hidden="false" customHeight="false" outlineLevel="0" collapsed="false">
      <c r="A11973" s="0" t="n">
        <f aca="false">PRICEDISC(DATE(2024,5,31),DATE(2025,2,28),0.05,100,1)</f>
        <v>96.2704918032787</v>
      </c>
      <c r="B11973" s="0" t="s">
        <v>11937</v>
      </c>
    </row>
    <row r="11974" customFormat="false" ht="15" hidden="false" customHeight="false" outlineLevel="0" collapsed="false">
      <c r="A11974" s="0" t="n">
        <f aca="false">RECEIVED(DATE(2024,5,31),DATE(2025,2,28),1000,0.05,1)</f>
        <v>1038.7398893146</v>
      </c>
      <c r="B11974" s="0" t="s">
        <v>11938</v>
      </c>
    </row>
    <row r="11975" customFormat="false" ht="15" hidden="false" customHeight="false" outlineLevel="0" collapsed="false">
      <c r="A11975" s="0" t="n">
        <f aca="false">INTRATE(DATE(2024,5,31),DATE(2025,2,28),1000,1050,1)</f>
        <v>0.0670329670329671</v>
      </c>
      <c r="B11975" s="0" t="s">
        <v>11939</v>
      </c>
    </row>
    <row r="11976" customFormat="false" ht="15" hidden="false" customHeight="false" outlineLevel="0" collapsed="false">
      <c r="A11976" s="0" t="n">
        <f aca="false">DISC(DATE(2024,5,31),DATE(2025,2,28),95,100,1)</f>
        <v>0.0668498168498169</v>
      </c>
      <c r="B11976" s="0" t="s">
        <v>11940</v>
      </c>
    </row>
    <row r="11977" customFormat="false" ht="15" hidden="false" customHeight="false" outlineLevel="0" collapsed="false">
      <c r="A11977" s="0" t="n">
        <f aca="false">YIELDDISC(DATE(2024,5,31),DATE(2025,2,28),95,100,1)</f>
        <v>0.070368228262965</v>
      </c>
      <c r="B11977" s="0" t="s">
        <v>11941</v>
      </c>
    </row>
    <row r="11978" customFormat="false" ht="15" hidden="false" customHeight="false" outlineLevel="0" collapsed="false">
      <c r="A11978" s="0" t="n">
        <f aca="false">ACCRINTM(DATE(2024,5,31),DATE(2025,2,28),0.05,1000,1)</f>
        <v>37.2950819672131</v>
      </c>
      <c r="B11978" s="0" t="s">
        <v>11942</v>
      </c>
    </row>
    <row r="11979" customFormat="false" ht="15" hidden="false" customHeight="false" outlineLevel="0" collapsed="false">
      <c r="A11979" s="0" t="n">
        <f aca="false">PRICEMAT(DATE(2024,5,31),DATE(2025,2,28),DATE(2023,1,31),0.05,0.06,1)</f>
        <v>98.9982704677101</v>
      </c>
      <c r="B11979" s="0" t="s">
        <v>11943</v>
      </c>
    </row>
    <row r="11980" customFormat="false" ht="15" hidden="false" customHeight="false" outlineLevel="0" collapsed="false">
      <c r="A11980" s="0" t="n">
        <f aca="false">YIELDMAT(DATE(2024,5,31),DATE(2025,2,28),DATE(2023,1,31),0.05,98,1)</f>
        <v>0.073326336851868</v>
      </c>
      <c r="B11980" s="0" t="s">
        <v>11944</v>
      </c>
    </row>
    <row r="11981" customFormat="false" ht="15" hidden="false" customHeight="false" outlineLevel="0" collapsed="false">
      <c r="A11981" s="0" t="n">
        <f aca="false">ACCRINT(DATE(2024,5,31),DATE(2030,1,1),DATE(2025,2,28),0.05,1000,2,1)</f>
        <v>37.2950819672131</v>
      </c>
      <c r="B11981" s="0" t="s">
        <v>11945</v>
      </c>
    </row>
    <row r="11982" customFormat="false" ht="15" hidden="false" customHeight="false" outlineLevel="0" collapsed="false">
      <c r="A11982" s="0" t="n">
        <f aca="false">DURATION(DATE(2024,5,31),DATE(2025,2,28),0.05,0.08,2,1)</f>
        <v>0.735576033262516</v>
      </c>
      <c r="B11982" s="0" t="s">
        <v>11946</v>
      </c>
    </row>
    <row r="11983" customFormat="false" ht="15" hidden="false" customHeight="false" outlineLevel="0" collapsed="false">
      <c r="A11983" s="0" t="n">
        <f aca="false">PRICE(DATE(2024,5,31),DATE(2025,2,28),0.05,0.08,100,2,1)</f>
        <v>97.845220206842</v>
      </c>
      <c r="B11983" s="0" t="s">
        <v>11947</v>
      </c>
    </row>
    <row r="11984" customFormat="false" ht="15" hidden="false" customHeight="false" outlineLevel="0" collapsed="false">
      <c r="A11984" s="0" t="n">
        <f aca="false">YIELD(DATE(2024,5,31),DATE(2025,2,28),0.05,95,100,2,1)</f>
        <v>0.121489143294821</v>
      </c>
      <c r="B11984" s="0" t="s">
        <v>11948</v>
      </c>
    </row>
    <row r="11985" customFormat="false" ht="15" hidden="false" customHeight="false" outlineLevel="0" collapsed="false">
      <c r="A11985" s="0" t="n">
        <f aca="false">PRICEDISC(DATE(2024,5,31),DATE(2025,2,28),0.05,100,4)</f>
        <v>96.2916666666667</v>
      </c>
      <c r="B11985" s="0" t="s">
        <v>11949</v>
      </c>
    </row>
    <row r="11986" customFormat="false" ht="15" hidden="false" customHeight="false" outlineLevel="0" collapsed="false">
      <c r="A11986" s="0" t="n">
        <f aca="false">RECEIVED(DATE(2024,5,31),DATE(2025,2,28),1000,0.05,4)</f>
        <v>1038.51146689745</v>
      </c>
      <c r="B11986" s="0" t="s">
        <v>11950</v>
      </c>
    </row>
    <row r="11987" customFormat="false" ht="15" hidden="false" customHeight="false" outlineLevel="0" collapsed="false">
      <c r="A11987" s="0" t="n">
        <f aca="false">INTRATE(DATE(2024,5,31),DATE(2025,2,28),1000,1050,4)</f>
        <v>0.0674157303370787</v>
      </c>
      <c r="B11987" s="0" t="s">
        <v>11951</v>
      </c>
    </row>
    <row r="11988" customFormat="false" ht="15" hidden="false" customHeight="false" outlineLevel="0" collapsed="false">
      <c r="A11988" s="0" t="n">
        <f aca="false">DISC(DATE(2024,5,31),DATE(2025,2,28),95,100,4)</f>
        <v>0.0671641791044777</v>
      </c>
      <c r="B11988" s="0" t="s">
        <v>11952</v>
      </c>
    </row>
    <row r="11989" customFormat="false" ht="15" hidden="false" customHeight="false" outlineLevel="0" collapsed="false">
      <c r="A11989" s="0" t="n">
        <f aca="false">YIELDDISC(DATE(2024,5,31),DATE(2025,2,28),95,100,4)</f>
        <v>0.07069913589945</v>
      </c>
      <c r="B11989" s="0" t="s">
        <v>11953</v>
      </c>
    </row>
    <row r="11990" customFormat="false" ht="15" hidden="false" customHeight="false" outlineLevel="0" collapsed="false">
      <c r="A11990" s="0" t="n">
        <f aca="false">ACCRINTM(DATE(2024,5,31),DATE(2025,2,28),0.05,1000,4)</f>
        <v>37.0833333333333</v>
      </c>
      <c r="B11990" s="0" t="s">
        <v>11954</v>
      </c>
    </row>
    <row r="11991" customFormat="false" ht="15" hidden="false" customHeight="false" outlineLevel="0" collapsed="false">
      <c r="A11991" s="0" t="n">
        <f aca="false">PRICEMAT(DATE(2024,5,31),DATE(2025,2,28),DATE(2023,1,31),0.05,0.06,4)</f>
        <v>99.002339927675</v>
      </c>
      <c r="B11991" s="0" t="s">
        <v>11955</v>
      </c>
    </row>
    <row r="11992" customFormat="false" ht="15" hidden="false" customHeight="false" outlineLevel="0" collapsed="false">
      <c r="A11992" s="0" t="n">
        <f aca="false">YIELDMAT(DATE(2024,5,31),DATE(2025,2,28),DATE(2023,1,31),0.05,98,4)</f>
        <v>0.0734385397851507</v>
      </c>
      <c r="B11992" s="0" t="s">
        <v>11956</v>
      </c>
    </row>
    <row r="11993" customFormat="false" ht="15" hidden="false" customHeight="false" outlineLevel="0" collapsed="false">
      <c r="A11993" s="0" t="n">
        <f aca="false">ACCRINT(DATE(2024,5,31),DATE(2030,1,1),DATE(2025,2,28),0.05,1000,2,4)</f>
        <v>37.0833333333333</v>
      </c>
      <c r="B11993" s="0" t="s">
        <v>11957</v>
      </c>
    </row>
    <row r="11994" customFormat="false" ht="15" hidden="false" customHeight="false" outlineLevel="0" collapsed="false">
      <c r="A11994" s="0" t="n">
        <f aca="false">DURATION(DATE(2024,5,31),DATE(2025,2,28),0.05,0.08,2,4)</f>
        <v>0.732075272227508</v>
      </c>
      <c r="B11994" s="0" t="s">
        <v>11958</v>
      </c>
    </row>
    <row r="11995" customFormat="false" ht="15" hidden="false" customHeight="false" outlineLevel="0" collapsed="false">
      <c r="A11995" s="0" t="n">
        <f aca="false">PRICE(DATE(2024,5,31),DATE(2025,2,28),0.05,0.08,100,2,4)</f>
        <v>97.8529258105471</v>
      </c>
      <c r="B11995" s="0" t="s">
        <v>11959</v>
      </c>
    </row>
    <row r="11996" customFormat="false" ht="15" hidden="false" customHeight="false" outlineLevel="0" collapsed="false">
      <c r="A11996" s="0" t="n">
        <f aca="false">YIELD(DATE(2024,5,31),DATE(2025,2,28),0.05,95,100,2,4)</f>
        <v>0.121753875909936</v>
      </c>
      <c r="B11996" s="0" t="s">
        <v>11960</v>
      </c>
    </row>
    <row r="11997" customFormat="false" ht="15" hidden="false" customHeight="false" outlineLevel="0" collapsed="false">
      <c r="A11997" s="0" t="n">
        <f aca="false">TBILLPRICE(DATE(2024,5,31),DATE(2025,2,28),0.05)</f>
        <v>96.2361111111111</v>
      </c>
      <c r="B11997" s="0" t="s">
        <v>11961</v>
      </c>
    </row>
    <row r="11998" customFormat="false" ht="15" hidden="false" customHeight="false" outlineLevel="0" collapsed="false">
      <c r="A11998" s="0" t="n">
        <f aca="false">TBILLEQ(DATE(2024,5,31),DATE(2025,2,28),0.05)</f>
        <v>0.0526771539904748</v>
      </c>
      <c r="B11998" s="0" t="s">
        <v>11962</v>
      </c>
    </row>
    <row r="11999" customFormat="false" ht="15" hidden="false" customHeight="false" outlineLevel="0" collapsed="false">
      <c r="A11999" s="0" t="n">
        <f aca="false">TBILLYIELD(DATE(2024,5,31),DATE(2025,2,28),98)</f>
        <v>0.0273120400576588</v>
      </c>
      <c r="B11999" s="0" t="s">
        <v>11963</v>
      </c>
    </row>
    <row r="12000" customFormat="false" ht="15" hidden="false" customHeight="false" outlineLevel="0" collapsed="false">
      <c r="A12000" s="0" t="n">
        <f aca="false">PRICEDISC(DATE(2024,5,31),DATE(2025,3,31),0.05,100,0)</f>
        <v>95.8333333333333</v>
      </c>
      <c r="B12000" s="0" t="s">
        <v>11964</v>
      </c>
    </row>
    <row r="12001" customFormat="false" ht="15" hidden="false" customHeight="false" outlineLevel="0" collapsed="false">
      <c r="A12001" s="0" t="n">
        <f aca="false">RECEIVED(DATE(2024,5,31),DATE(2025,3,31),1000,0.05,0)</f>
        <v>1043.47826086957</v>
      </c>
      <c r="B12001" s="0" t="s">
        <v>11965</v>
      </c>
    </row>
    <row r="12002" customFormat="false" ht="15" hidden="false" customHeight="false" outlineLevel="0" collapsed="false">
      <c r="A12002" s="0" t="n">
        <f aca="false">INTRATE(DATE(2024,5,31),DATE(2025,3,31),1000,1050,0)</f>
        <v>0.0600000000000001</v>
      </c>
      <c r="B12002" s="0" t="s">
        <v>11966</v>
      </c>
    </row>
    <row r="12003" customFormat="false" ht="15" hidden="false" customHeight="false" outlineLevel="0" collapsed="false">
      <c r="A12003" s="0" t="n">
        <f aca="false">DISC(DATE(2024,5,31),DATE(2025,3,31),95,100,0)</f>
        <v>0.0600000000000001</v>
      </c>
      <c r="B12003" s="0" t="s">
        <v>11967</v>
      </c>
    </row>
    <row r="12004" customFormat="false" ht="15" hidden="false" customHeight="false" outlineLevel="0" collapsed="false">
      <c r="A12004" s="0" t="n">
        <f aca="false">YIELDDISC(DATE(2024,5,31),DATE(2025,3,31),95,100,0)</f>
        <v>0.063157894736842</v>
      </c>
      <c r="B12004" s="0" t="s">
        <v>11968</v>
      </c>
    </row>
    <row r="12005" customFormat="false" ht="15" hidden="false" customHeight="false" outlineLevel="0" collapsed="false">
      <c r="A12005" s="0" t="n">
        <f aca="false">ACCRINTM(DATE(2024,5,31),DATE(2025,3,31),0.05,1000,0)</f>
        <v>41.6666666666667</v>
      </c>
      <c r="B12005" s="0" t="s">
        <v>11969</v>
      </c>
    </row>
    <row r="12006" customFormat="false" ht="15" hidden="false" customHeight="false" outlineLevel="0" collapsed="false">
      <c r="A12006" s="0" t="n">
        <f aca="false">PRICEMAT(DATE(2024,5,31),DATE(2025,3,31),DATE(2023,1,31),0.05,0.06,0)</f>
        <v>98.8888888888889</v>
      </c>
      <c r="B12006" s="0" t="s">
        <v>11970</v>
      </c>
    </row>
    <row r="12007" customFormat="false" ht="15" hidden="false" customHeight="false" outlineLevel="0" collapsed="false">
      <c r="A12007" s="0" t="n">
        <f aca="false">YIELDMAT(DATE(2024,5,31),DATE(2025,3,31),DATE(2023,1,31),0.05,98,0)</f>
        <v>0.0707006369426752</v>
      </c>
      <c r="B12007" s="0" t="s">
        <v>11971</v>
      </c>
    </row>
    <row r="12008" customFormat="false" ht="15" hidden="false" customHeight="false" outlineLevel="0" collapsed="false">
      <c r="A12008" s="0" t="n">
        <f aca="false">ACCRINT(DATE(2024,5,31),DATE(2030,1,1),DATE(2025,3,31),0.05,1000,2,0)</f>
        <v>41.6666666666667</v>
      </c>
      <c r="B12008" s="0" t="s">
        <v>11972</v>
      </c>
    </row>
    <row r="12009" customFormat="false" ht="15" hidden="false" customHeight="false" outlineLevel="0" collapsed="false">
      <c r="A12009" s="0" t="n">
        <f aca="false">DURATION(DATE(2024,5,31),DATE(2025,3,31),0.05,0.08,2,0)</f>
        <v>0.820964161116397</v>
      </c>
      <c r="B12009" s="0" t="s">
        <v>11973</v>
      </c>
    </row>
    <row r="12010" customFormat="false" ht="15" hidden="false" customHeight="false" outlineLevel="0" collapsed="false">
      <c r="A12010" s="0" t="n">
        <f aca="false">PRICE(DATE(2024,5,31),DATE(2025,3,31),0.05,0.08,100,2,0)</f>
        <v>97.6162352146517</v>
      </c>
      <c r="B12010" s="0" t="s">
        <v>11974</v>
      </c>
    </row>
    <row r="12011" customFormat="false" ht="15" hidden="false" customHeight="false" outlineLevel="0" collapsed="false">
      <c r="A12011" s="0" t="n">
        <f aca="false">YIELD(DATE(2024,5,31),DATE(2025,3,31),0.05,95,100,2,0)</f>
        <v>0.114405475003536</v>
      </c>
      <c r="B12011" s="0" t="s">
        <v>11975</v>
      </c>
    </row>
    <row r="12012" customFormat="false" ht="15" hidden="false" customHeight="false" outlineLevel="0" collapsed="false">
      <c r="A12012" s="0" t="n">
        <f aca="false">PRICEDISC(DATE(2024,5,31),DATE(2025,3,31),0.05,100,1)</f>
        <v>95.8469945355191</v>
      </c>
      <c r="B12012" s="0" t="s">
        <v>11976</v>
      </c>
    </row>
    <row r="12013" customFormat="false" ht="15" hidden="false" customHeight="false" outlineLevel="0" collapsed="false">
      <c r="A12013" s="0" t="n">
        <f aca="false">RECEIVED(DATE(2024,5,31),DATE(2025,3,31),1000,0.05,1)</f>
        <v>1043.32953249715</v>
      </c>
      <c r="B12013" s="0" t="s">
        <v>11977</v>
      </c>
    </row>
    <row r="12014" customFormat="false" ht="15" hidden="false" customHeight="false" outlineLevel="0" collapsed="false">
      <c r="A12014" s="0" t="n">
        <f aca="false">INTRATE(DATE(2024,5,31),DATE(2025,3,31),1000,1050,1)</f>
        <v>0.0601973684210527</v>
      </c>
      <c r="B12014" s="0" t="s">
        <v>11978</v>
      </c>
    </row>
    <row r="12015" customFormat="false" ht="15" hidden="false" customHeight="false" outlineLevel="0" collapsed="false">
      <c r="A12015" s="0" t="n">
        <f aca="false">DISC(DATE(2024,5,31),DATE(2025,3,31),95,100,1)</f>
        <v>0.0600328947368422</v>
      </c>
      <c r="B12015" s="0" t="s">
        <v>11979</v>
      </c>
    </row>
    <row r="12016" customFormat="false" ht="15" hidden="false" customHeight="false" outlineLevel="0" collapsed="false">
      <c r="A12016" s="0" t="n">
        <f aca="false">YIELDDISC(DATE(2024,5,31),DATE(2025,3,31),95,100,1)</f>
        <v>0.0631925207756232</v>
      </c>
      <c r="B12016" s="0" t="s">
        <v>11980</v>
      </c>
    </row>
    <row r="12017" customFormat="false" ht="15" hidden="false" customHeight="false" outlineLevel="0" collapsed="false">
      <c r="A12017" s="0" t="n">
        <f aca="false">ACCRINTM(DATE(2024,5,31),DATE(2025,3,31),0.05,1000,1)</f>
        <v>41.5300546448087</v>
      </c>
      <c r="B12017" s="0" t="s">
        <v>11981</v>
      </c>
    </row>
    <row r="12018" customFormat="false" ht="15" hidden="false" customHeight="false" outlineLevel="0" collapsed="false">
      <c r="A12018" s="0" t="n">
        <f aca="false">PRICEMAT(DATE(2024,5,31),DATE(2025,3,31),DATE(2023,1,31),0.05,0.06,1)</f>
        <v>98.889606757505</v>
      </c>
      <c r="B12018" s="0" t="s">
        <v>11982</v>
      </c>
    </row>
    <row r="12019" customFormat="false" ht="15" hidden="false" customHeight="false" outlineLevel="0" collapsed="false">
      <c r="A12019" s="0" t="n">
        <f aca="false">YIELDMAT(DATE(2024,5,31),DATE(2025,3,31),DATE(2023,1,31),0.05,98,1)</f>
        <v>0.07071673809362</v>
      </c>
      <c r="B12019" s="0" t="s">
        <v>11983</v>
      </c>
    </row>
    <row r="12020" customFormat="false" ht="15" hidden="false" customHeight="false" outlineLevel="0" collapsed="false">
      <c r="A12020" s="0" t="n">
        <f aca="false">ACCRINT(DATE(2024,5,31),DATE(2030,1,1),DATE(2025,3,31),0.05,1000,2,1)</f>
        <v>41.5300546448087</v>
      </c>
      <c r="B12020" s="0" t="s">
        <v>11984</v>
      </c>
    </row>
    <row r="12021" customFormat="false" ht="15" hidden="false" customHeight="false" outlineLevel="0" collapsed="false">
      <c r="A12021" s="0" t="n">
        <f aca="false">DURATION(DATE(2024,5,31),DATE(2025,3,31),0.05,0.08,2,1)</f>
        <v>0.820507540111831</v>
      </c>
      <c r="B12021" s="0" t="s">
        <v>11985</v>
      </c>
    </row>
    <row r="12022" customFormat="false" ht="15" hidden="false" customHeight="false" outlineLevel="0" collapsed="false">
      <c r="A12022" s="0" t="n">
        <f aca="false">PRICE(DATE(2024,5,31),DATE(2025,3,31),0.05,0.08,100,2,1)</f>
        <v>97.6162352146517</v>
      </c>
      <c r="B12022" s="0" t="s">
        <v>11986</v>
      </c>
    </row>
    <row r="12023" customFormat="false" ht="15" hidden="false" customHeight="false" outlineLevel="0" collapsed="false">
      <c r="A12023" s="0" t="n">
        <f aca="false">YIELD(DATE(2024,5,31),DATE(2025,3,31),0.05,95,100,2,1)</f>
        <v>0.114405475003536</v>
      </c>
      <c r="B12023" s="0" t="s">
        <v>11987</v>
      </c>
    </row>
    <row r="12024" customFormat="false" ht="15" hidden="false" customHeight="false" outlineLevel="0" collapsed="false">
      <c r="A12024" s="0" t="n">
        <f aca="false">PRICEDISC(DATE(2024,5,31),DATE(2025,3,31),0.05,100,4)</f>
        <v>95.8333333333333</v>
      </c>
      <c r="B12024" s="0" t="s">
        <v>11988</v>
      </c>
    </row>
    <row r="12025" customFormat="false" ht="15" hidden="false" customHeight="false" outlineLevel="0" collapsed="false">
      <c r="A12025" s="0" t="n">
        <f aca="false">RECEIVED(DATE(2024,5,31),DATE(2025,3,31),1000,0.05,4)</f>
        <v>1043.47826086957</v>
      </c>
      <c r="B12025" s="0" t="s">
        <v>11989</v>
      </c>
    </row>
    <row r="12026" customFormat="false" ht="15" hidden="false" customHeight="false" outlineLevel="0" collapsed="false">
      <c r="A12026" s="0" t="n">
        <f aca="false">INTRATE(DATE(2024,5,31),DATE(2025,3,31),1000,1050,4)</f>
        <v>0.0600000000000001</v>
      </c>
      <c r="B12026" s="0" t="s">
        <v>11990</v>
      </c>
    </row>
    <row r="12027" customFormat="false" ht="15" hidden="false" customHeight="false" outlineLevel="0" collapsed="false">
      <c r="A12027" s="0" t="n">
        <f aca="false">DISC(DATE(2024,5,31),DATE(2025,3,31),95,100,4)</f>
        <v>0.0600000000000001</v>
      </c>
      <c r="B12027" s="0" t="s">
        <v>11991</v>
      </c>
    </row>
    <row r="12028" customFormat="false" ht="15" hidden="false" customHeight="false" outlineLevel="0" collapsed="false">
      <c r="A12028" s="0" t="n">
        <f aca="false">YIELDDISC(DATE(2024,5,31),DATE(2025,3,31),95,100,4)</f>
        <v>0.063157894736842</v>
      </c>
      <c r="B12028" s="0" t="s">
        <v>11992</v>
      </c>
    </row>
    <row r="12029" customFormat="false" ht="15" hidden="false" customHeight="false" outlineLevel="0" collapsed="false">
      <c r="A12029" s="0" t="n">
        <f aca="false">ACCRINTM(DATE(2024,5,31),DATE(2025,3,31),0.05,1000,4)</f>
        <v>41.6666666666667</v>
      </c>
      <c r="B12029" s="0" t="s">
        <v>11993</v>
      </c>
    </row>
    <row r="12030" customFormat="false" ht="15" hidden="false" customHeight="false" outlineLevel="0" collapsed="false">
      <c r="A12030" s="0" t="n">
        <f aca="false">PRICEMAT(DATE(2024,5,31),DATE(2025,3,31),DATE(2023,1,31),0.05,0.06,4)</f>
        <v>98.8888888888889</v>
      </c>
      <c r="B12030" s="0" t="s">
        <v>11994</v>
      </c>
    </row>
    <row r="12031" customFormat="false" ht="15" hidden="false" customHeight="false" outlineLevel="0" collapsed="false">
      <c r="A12031" s="0" t="n">
        <f aca="false">YIELDMAT(DATE(2024,5,31),DATE(2025,3,31),DATE(2023,1,31),0.05,98,4)</f>
        <v>0.0707006369426752</v>
      </c>
      <c r="B12031" s="0" t="s">
        <v>11995</v>
      </c>
    </row>
    <row r="12032" customFormat="false" ht="15" hidden="false" customHeight="false" outlineLevel="0" collapsed="false">
      <c r="A12032" s="0" t="n">
        <f aca="false">ACCRINT(DATE(2024,5,31),DATE(2030,1,1),DATE(2025,3,31),0.05,1000,2,4)</f>
        <v>41.6666666666667</v>
      </c>
      <c r="B12032" s="0" t="s">
        <v>11996</v>
      </c>
    </row>
    <row r="12033" customFormat="false" ht="15" hidden="false" customHeight="false" outlineLevel="0" collapsed="false">
      <c r="A12033" s="0" t="n">
        <f aca="false">DURATION(DATE(2024,5,31),DATE(2025,3,31),0.05,0.08,2,4)</f>
        <v>0.820964161116397</v>
      </c>
      <c r="B12033" s="0" t="s">
        <v>11997</v>
      </c>
    </row>
    <row r="12034" customFormat="false" ht="15" hidden="false" customHeight="false" outlineLevel="0" collapsed="false">
      <c r="A12034" s="0" t="n">
        <f aca="false">PRICE(DATE(2024,5,31),DATE(2025,3,31),0.05,0.08,100,2,4)</f>
        <v>97.6162352146517</v>
      </c>
      <c r="B12034" s="0" t="s">
        <v>11998</v>
      </c>
    </row>
    <row r="12035" customFormat="false" ht="15" hidden="false" customHeight="false" outlineLevel="0" collapsed="false">
      <c r="A12035" s="0" t="n">
        <f aca="false">YIELD(DATE(2024,5,31),DATE(2025,3,31),0.05,95,100,2,4)</f>
        <v>0.114405475003536</v>
      </c>
      <c r="B12035" s="0" t="s">
        <v>11999</v>
      </c>
    </row>
    <row r="12036" customFormat="false" ht="15" hidden="false" customHeight="false" outlineLevel="0" collapsed="false">
      <c r="A12036" s="0" t="n">
        <f aca="false">TBILLPRICE(DATE(2024,5,31),DATE(2025,3,31),0.05)</f>
        <v>95.8194444444444</v>
      </c>
      <c r="B12036" s="0" t="s">
        <v>12000</v>
      </c>
    </row>
    <row r="12037" customFormat="false" ht="15" hidden="false" customHeight="false" outlineLevel="0" collapsed="false">
      <c r="A12037" s="0" t="n">
        <f aca="false">TBILLEQ(DATE(2024,5,31),DATE(2025,3,31),0.05)</f>
        <v>0.0529062182925062</v>
      </c>
      <c r="B12037" s="0" t="s">
        <v>12001</v>
      </c>
    </row>
    <row r="12038" customFormat="false" ht="15" hidden="false" customHeight="false" outlineLevel="0" collapsed="false">
      <c r="A12038" s="0" t="n">
        <f aca="false">TBILLYIELD(DATE(2024,5,31),DATE(2025,3,31),98)</f>
        <v>0.0244084344701336</v>
      </c>
      <c r="B12038" s="0" t="s">
        <v>12002</v>
      </c>
    </row>
    <row r="12039" customFormat="false" ht="15" hidden="false" customHeight="false" outlineLevel="0" collapsed="false">
      <c r="A12039" s="0" t="n">
        <f aca="false">PRICEDISC(DATE(2024,5,31),DATE(2024,8,31),0.05,100,0)</f>
        <v>98.75</v>
      </c>
      <c r="B12039" s="0" t="s">
        <v>12003</v>
      </c>
    </row>
    <row r="12040" customFormat="false" ht="15" hidden="false" customHeight="false" outlineLevel="0" collapsed="false">
      <c r="A12040" s="0" t="n">
        <f aca="false">RECEIVED(DATE(2024,5,31),DATE(2024,8,31),1000,0.05,0)</f>
        <v>1012.6582278481</v>
      </c>
      <c r="B12040" s="0" t="s">
        <v>12004</v>
      </c>
    </row>
    <row r="12041" customFormat="false" ht="15" hidden="false" customHeight="false" outlineLevel="0" collapsed="false">
      <c r="A12041" s="0" t="n">
        <f aca="false">INTRATE(DATE(2024,5,31),DATE(2024,8,31),1000,1050,0)</f>
        <v>0.2</v>
      </c>
      <c r="B12041" s="0" t="s">
        <v>12005</v>
      </c>
    </row>
    <row r="12042" customFormat="false" ht="15" hidden="false" customHeight="false" outlineLevel="0" collapsed="false">
      <c r="A12042" s="0" t="n">
        <f aca="false">DISC(DATE(2024,5,31),DATE(2024,8,31),95,100,0)</f>
        <v>0.2</v>
      </c>
      <c r="B12042" s="0" t="s">
        <v>12006</v>
      </c>
    </row>
    <row r="12043" customFormat="false" ht="15" hidden="false" customHeight="false" outlineLevel="0" collapsed="false">
      <c r="A12043" s="0" t="n">
        <f aca="false">YIELDDISC(DATE(2024,5,31),DATE(2024,8,31),95,100,0)</f>
        <v>0.210526315789473</v>
      </c>
      <c r="B12043" s="0" t="s">
        <v>12007</v>
      </c>
    </row>
    <row r="12044" customFormat="false" ht="15" hidden="false" customHeight="false" outlineLevel="0" collapsed="false">
      <c r="A12044" s="0" t="n">
        <f aca="false">ACCRINTM(DATE(2024,5,31),DATE(2024,8,31),0.05,1000,0)</f>
        <v>12.5</v>
      </c>
      <c r="B12044" s="0" t="s">
        <v>12008</v>
      </c>
    </row>
    <row r="12045" customFormat="false" ht="15" hidden="false" customHeight="false" outlineLevel="0" collapsed="false">
      <c r="A12045" s="0" t="n">
        <f aca="false">PRICEMAT(DATE(2024,5,31),DATE(2024,8,31),DATE(2023,1,31),0.05,0.06,0)</f>
        <v>99.6551724137931</v>
      </c>
      <c r="B12045" s="0" t="s">
        <v>12009</v>
      </c>
    </row>
    <row r="12046" customFormat="false" ht="15" hidden="false" customHeight="false" outlineLevel="0" collapsed="false">
      <c r="A12046" s="0" t="n">
        <f aca="false">YIELDMAT(DATE(2024,5,31),DATE(2024,8,31),DATE(2023,1,31),0.05,98,0)</f>
        <v>0.124203821656051</v>
      </c>
      <c r="B12046" s="0" t="s">
        <v>12010</v>
      </c>
    </row>
    <row r="12047" customFormat="false" ht="15" hidden="false" customHeight="false" outlineLevel="0" collapsed="false">
      <c r="A12047" s="0" t="n">
        <f aca="false">ACCRINT(DATE(2024,5,31),DATE(2030,1,1),DATE(2024,8,31),0.05,1000,2,0)</f>
        <v>12.5</v>
      </c>
      <c r="B12047" s="0" t="s">
        <v>12011</v>
      </c>
    </row>
    <row r="12048" customFormat="false" ht="15" hidden="false" customHeight="false" outlineLevel="0" collapsed="false">
      <c r="A12048" s="0" t="n">
        <f aca="false">DURATION(DATE(2024,5,31),DATE(2024,8,31),0.05,0.08,2,0)</f>
        <v>0.25</v>
      </c>
      <c r="B12048" s="0" t="s">
        <v>12012</v>
      </c>
    </row>
    <row r="12049" customFormat="false" ht="15" hidden="false" customHeight="false" outlineLevel="0" collapsed="false">
      <c r="A12049" s="0" t="n">
        <f aca="false">PRICE(DATE(2024,5,31),DATE(2024,8,31),0.05,0.08,100,2,0)</f>
        <v>99.2675330612527</v>
      </c>
      <c r="B12049" s="0" t="s">
        <v>12013</v>
      </c>
    </row>
    <row r="12050" customFormat="false" ht="15" hidden="false" customHeight="false" outlineLevel="0" collapsed="false">
      <c r="A12050" s="0" t="n">
        <f aca="false">YIELD(DATE(2024,5,31),DATE(2024,8,31),0.05,95,100,2,0)</f>
        <v>0.270719639994673</v>
      </c>
      <c r="B12050" s="0" t="s">
        <v>12014</v>
      </c>
    </row>
    <row r="12051" customFormat="false" ht="15" hidden="false" customHeight="false" outlineLevel="0" collapsed="false">
      <c r="A12051" s="0" t="n">
        <f aca="false">PRICEDISC(DATE(2024,5,31),DATE(2024,8,31),0.05,100,1)</f>
        <v>98.7431693989071</v>
      </c>
      <c r="B12051" s="0" t="s">
        <v>12015</v>
      </c>
    </row>
    <row r="12052" customFormat="false" ht="15" hidden="false" customHeight="false" outlineLevel="0" collapsed="false">
      <c r="A12052" s="0" t="n">
        <f aca="false">RECEIVED(DATE(2024,5,31),DATE(2024,8,31),1000,0.05,1)</f>
        <v>1012.72827891533</v>
      </c>
      <c r="B12052" s="0" t="s">
        <v>12016</v>
      </c>
    </row>
    <row r="12053" customFormat="false" ht="15" hidden="false" customHeight="false" outlineLevel="0" collapsed="false">
      <c r="A12053" s="0" t="n">
        <f aca="false">INTRATE(DATE(2024,5,31),DATE(2024,8,31),1000,1050,1)</f>
        <v>0.198913043478261</v>
      </c>
      <c r="B12053" s="0" t="s">
        <v>12017</v>
      </c>
    </row>
    <row r="12054" customFormat="false" ht="15" hidden="false" customHeight="false" outlineLevel="0" collapsed="false">
      <c r="A12054" s="0" t="n">
        <f aca="false">DISC(DATE(2024,5,31),DATE(2024,8,31),95,100,1)</f>
        <v>0.198913043478261</v>
      </c>
      <c r="B12054" s="0" t="s">
        <v>12018</v>
      </c>
    </row>
    <row r="12055" customFormat="false" ht="15" hidden="false" customHeight="false" outlineLevel="0" collapsed="false">
      <c r="A12055" s="0" t="n">
        <f aca="false">YIELDDISC(DATE(2024,5,31),DATE(2024,8,31),95,100,1)</f>
        <v>0.209382151029748</v>
      </c>
      <c r="B12055" s="0" t="s">
        <v>12019</v>
      </c>
    </row>
    <row r="12056" customFormat="false" ht="15" hidden="false" customHeight="false" outlineLevel="0" collapsed="false">
      <c r="A12056" s="0" t="n">
        <f aca="false">ACCRINTM(DATE(2024,5,31),DATE(2024,8,31),0.05,1000,1)</f>
        <v>12.568306010929</v>
      </c>
      <c r="B12056" s="0" t="s">
        <v>12020</v>
      </c>
    </row>
    <row r="12057" customFormat="false" ht="15" hidden="false" customHeight="false" outlineLevel="0" collapsed="false">
      <c r="A12057" s="0" t="n">
        <f aca="false">PRICEMAT(DATE(2024,5,31),DATE(2024,8,31),DATE(2023,1,31),0.05,0.06,1)</f>
        <v>99.6552808972877</v>
      </c>
      <c r="B12057" s="0" t="s">
        <v>12021</v>
      </c>
    </row>
    <row r="12058" customFormat="false" ht="15" hidden="false" customHeight="false" outlineLevel="0" collapsed="false">
      <c r="A12058" s="0" t="n">
        <f aca="false">YIELDMAT(DATE(2024,5,31),DATE(2024,8,31),DATE(2023,1,31),0.05,98,1)</f>
        <v>0.123875361333687</v>
      </c>
      <c r="B12058" s="0" t="s">
        <v>12022</v>
      </c>
    </row>
    <row r="12059" customFormat="false" ht="15" hidden="false" customHeight="false" outlineLevel="0" collapsed="false">
      <c r="A12059" s="0" t="n">
        <f aca="false">ACCRINT(DATE(2024,5,31),DATE(2030,1,1),DATE(2024,8,31),0.05,1000,2,1)</f>
        <v>12.568306010929</v>
      </c>
      <c r="B12059" s="0" t="s">
        <v>12023</v>
      </c>
    </row>
    <row r="12060" customFormat="false" ht="15" hidden="false" customHeight="false" outlineLevel="0" collapsed="false">
      <c r="A12060" s="0" t="n">
        <f aca="false">DURATION(DATE(2024,5,31),DATE(2024,8,31),0.05,0.08,2,1)</f>
        <v>0.251366120218579</v>
      </c>
      <c r="B12060" s="0" t="s">
        <v>12024</v>
      </c>
    </row>
    <row r="12061" customFormat="false" ht="15" hidden="false" customHeight="false" outlineLevel="0" collapsed="false">
      <c r="A12061" s="0" t="n">
        <f aca="false">PRICE(DATE(2024,5,31),DATE(2024,8,31),0.05,0.08,100,2,1)</f>
        <v>99.2595192583193</v>
      </c>
      <c r="B12061" s="0" t="s">
        <v>12025</v>
      </c>
    </row>
    <row r="12062" customFormat="false" ht="15" hidden="false" customHeight="false" outlineLevel="0" collapsed="false">
      <c r="A12062" s="0" t="n">
        <f aca="false">YIELD(DATE(2024,5,31),DATE(2024,8,31),0.05,95,100,2,1)</f>
        <v>0.268173385056508</v>
      </c>
      <c r="B12062" s="0" t="s">
        <v>12026</v>
      </c>
    </row>
    <row r="12063" customFormat="false" ht="15" hidden="false" customHeight="false" outlineLevel="0" collapsed="false">
      <c r="A12063" s="0" t="n">
        <f aca="false">PRICEDISC(DATE(2024,5,31),DATE(2024,8,31),0.05,100,4)</f>
        <v>98.75</v>
      </c>
      <c r="B12063" s="0" t="s">
        <v>12027</v>
      </c>
    </row>
    <row r="12064" customFormat="false" ht="15" hidden="false" customHeight="false" outlineLevel="0" collapsed="false">
      <c r="A12064" s="0" t="n">
        <f aca="false">RECEIVED(DATE(2024,5,31),DATE(2024,8,31),1000,0.05,4)</f>
        <v>1012.6582278481</v>
      </c>
      <c r="B12064" s="0" t="s">
        <v>12028</v>
      </c>
    </row>
    <row r="12065" customFormat="false" ht="15" hidden="false" customHeight="false" outlineLevel="0" collapsed="false">
      <c r="A12065" s="0" t="n">
        <f aca="false">INTRATE(DATE(2024,5,31),DATE(2024,8,31),1000,1050,4)</f>
        <v>0.2</v>
      </c>
      <c r="B12065" s="0" t="s">
        <v>12029</v>
      </c>
    </row>
    <row r="12066" customFormat="false" ht="15" hidden="false" customHeight="false" outlineLevel="0" collapsed="false">
      <c r="A12066" s="0" t="n">
        <f aca="false">DISC(DATE(2024,5,31),DATE(2024,8,31),95,100,4)</f>
        <v>0.2</v>
      </c>
      <c r="B12066" s="0" t="s">
        <v>12030</v>
      </c>
    </row>
    <row r="12067" customFormat="false" ht="15" hidden="false" customHeight="false" outlineLevel="0" collapsed="false">
      <c r="A12067" s="0" t="n">
        <f aca="false">YIELDDISC(DATE(2024,5,31),DATE(2024,8,31),95,100,4)</f>
        <v>0.210526315789473</v>
      </c>
      <c r="B12067" s="0" t="s">
        <v>12031</v>
      </c>
    </row>
    <row r="12068" customFormat="false" ht="15" hidden="false" customHeight="false" outlineLevel="0" collapsed="false">
      <c r="A12068" s="0" t="n">
        <f aca="false">ACCRINTM(DATE(2024,5,31),DATE(2024,8,31),0.05,1000,4)</f>
        <v>12.5</v>
      </c>
      <c r="B12068" s="0" t="s">
        <v>12032</v>
      </c>
    </row>
    <row r="12069" customFormat="false" ht="15" hidden="false" customHeight="false" outlineLevel="0" collapsed="false">
      <c r="A12069" s="0" t="n">
        <f aca="false">PRICEMAT(DATE(2024,5,31),DATE(2024,8,31),DATE(2023,1,31),0.05,0.06,4)</f>
        <v>99.6551724137931</v>
      </c>
      <c r="B12069" s="0" t="s">
        <v>12033</v>
      </c>
    </row>
    <row r="12070" customFormat="false" ht="15" hidden="false" customHeight="false" outlineLevel="0" collapsed="false">
      <c r="A12070" s="0" t="n">
        <f aca="false">YIELDMAT(DATE(2024,5,31),DATE(2024,8,31),DATE(2023,1,31),0.05,98,4)</f>
        <v>0.124203821656051</v>
      </c>
      <c r="B12070" s="0" t="s">
        <v>12034</v>
      </c>
    </row>
    <row r="12071" customFormat="false" ht="15" hidden="false" customHeight="false" outlineLevel="0" collapsed="false">
      <c r="A12071" s="0" t="n">
        <f aca="false">ACCRINT(DATE(2024,5,31),DATE(2030,1,1),DATE(2024,8,31),0.05,1000,2,4)</f>
        <v>12.5</v>
      </c>
      <c r="B12071" s="0" t="s">
        <v>12035</v>
      </c>
    </row>
    <row r="12072" customFormat="false" ht="15" hidden="false" customHeight="false" outlineLevel="0" collapsed="false">
      <c r="A12072" s="0" t="n">
        <f aca="false">DURATION(DATE(2024,5,31),DATE(2024,8,31),0.05,0.08,2,4)</f>
        <v>0.25</v>
      </c>
      <c r="B12072" s="0" t="s">
        <v>12036</v>
      </c>
    </row>
    <row r="12073" customFormat="false" ht="15" hidden="false" customHeight="false" outlineLevel="0" collapsed="false">
      <c r="A12073" s="0" t="n">
        <f aca="false">PRICE(DATE(2024,5,31),DATE(2024,8,31),0.05,0.08,100,2,4)</f>
        <v>99.2675330612527</v>
      </c>
      <c r="B12073" s="0" t="s">
        <v>12037</v>
      </c>
    </row>
    <row r="12074" customFormat="false" ht="15" hidden="false" customHeight="false" outlineLevel="0" collapsed="false">
      <c r="A12074" s="0" t="n">
        <f aca="false">YIELD(DATE(2024,5,31),DATE(2024,8,31),0.05,95,100,2,4)</f>
        <v>0.270719639994673</v>
      </c>
      <c r="B12074" s="0" t="s">
        <v>12038</v>
      </c>
    </row>
    <row r="12075" customFormat="false" ht="15" hidden="false" customHeight="false" outlineLevel="0" collapsed="false">
      <c r="A12075" s="0" t="n">
        <f aca="false">TBILLPRICE(DATE(2024,5,31),DATE(2024,8,31),0.05)</f>
        <v>98.7361111111111</v>
      </c>
      <c r="B12075" s="0" t="s">
        <v>12039</v>
      </c>
    </row>
    <row r="12076" customFormat="false" ht="15" hidden="false" customHeight="false" outlineLevel="0" collapsed="false">
      <c r="A12076" s="0" t="n">
        <f aca="false">TBILLEQ(DATE(2024,5,31),DATE(2024,8,31),0.05)</f>
        <v>0.051343367562245</v>
      </c>
      <c r="B12076" s="0" t="s">
        <v>12040</v>
      </c>
    </row>
    <row r="12077" customFormat="false" ht="15" hidden="false" customHeight="false" outlineLevel="0" collapsed="false">
      <c r="A12077" s="0" t="n">
        <f aca="false">TBILLYIELD(DATE(2024,5,31),DATE(2024,8,31),98)</f>
        <v>0.0807355909396727</v>
      </c>
      <c r="B12077" s="0" t="s">
        <v>12041</v>
      </c>
    </row>
    <row r="12078" customFormat="false" ht="15" hidden="false" customHeight="false" outlineLevel="0" collapsed="false">
      <c r="A12078" s="0" t="n">
        <f aca="false">PRICEDISC(DATE(2024,5,31),DATE(2025,6,30),0.05,100,0)</f>
        <v>94.5972222222222</v>
      </c>
      <c r="B12078" s="0" t="s">
        <v>12042</v>
      </c>
    </row>
    <row r="12079" customFormat="false" ht="15" hidden="false" customHeight="false" outlineLevel="0" collapsed="false">
      <c r="A12079" s="0" t="n">
        <f aca="false">RECEIVED(DATE(2024,5,31),DATE(2025,6,30),1000,0.05,0)</f>
        <v>1057.11349287917</v>
      </c>
      <c r="B12079" s="0" t="s">
        <v>12043</v>
      </c>
    </row>
    <row r="12080" customFormat="false" ht="15" hidden="false" customHeight="false" outlineLevel="0" collapsed="false">
      <c r="A12080" s="0" t="n">
        <f aca="false">INTRATE(DATE(2024,5,31),DATE(2025,6,30),1000,1050,0)</f>
        <v>0.0462724935732648</v>
      </c>
      <c r="B12080" s="0" t="s">
        <v>12044</v>
      </c>
    </row>
    <row r="12081" customFormat="false" ht="15" hidden="false" customHeight="false" outlineLevel="0" collapsed="false">
      <c r="A12081" s="0" t="n">
        <f aca="false">DISC(DATE(2024,5,31),DATE(2025,6,30),95,100,0)</f>
        <v>0.0461538461538462</v>
      </c>
      <c r="B12081" s="0" t="s">
        <v>12045</v>
      </c>
    </row>
    <row r="12082" customFormat="false" ht="15" hidden="false" customHeight="false" outlineLevel="0" collapsed="false">
      <c r="A12082" s="0" t="n">
        <f aca="false">YIELDDISC(DATE(2024,5,31),DATE(2025,6,30),95,100,0)</f>
        <v>0.048582995951417</v>
      </c>
      <c r="B12082" s="0" t="s">
        <v>12046</v>
      </c>
    </row>
    <row r="12083" customFormat="false" ht="15" hidden="false" customHeight="false" outlineLevel="0" collapsed="false">
      <c r="A12083" s="0" t="n">
        <f aca="false">ACCRINTM(DATE(2024,5,31),DATE(2025,6,30),0.05,1000,0)</f>
        <v>54.0277777777778</v>
      </c>
      <c r="B12083" s="0" t="s">
        <v>12047</v>
      </c>
    </row>
    <row r="12084" customFormat="false" ht="15" hidden="false" customHeight="false" outlineLevel="0" collapsed="false">
      <c r="A12084" s="0" t="n">
        <f aca="false">PRICEMAT(DATE(2024,5,31),DATE(2025,6,30),DATE(2023,1,31),0.05,0.06,0)</f>
        <v>98.5758998435055</v>
      </c>
      <c r="B12084" s="0" t="s">
        <v>12048</v>
      </c>
    </row>
    <row r="12085" customFormat="false" ht="15" hidden="false" customHeight="false" outlineLevel="0" collapsed="false">
      <c r="A12085" s="0" t="n">
        <f aca="false">YIELDMAT(DATE(2024,5,31),DATE(2025,6,30),DATE(2023,1,31),0.05,98,0)</f>
        <v>0.0654091131798139</v>
      </c>
      <c r="B12085" s="0" t="s">
        <v>12049</v>
      </c>
    </row>
    <row r="12086" customFormat="false" ht="15" hidden="false" customHeight="false" outlineLevel="0" collapsed="false">
      <c r="A12086" s="0" t="n">
        <f aca="false">ACCRINT(DATE(2024,5,31),DATE(2030,1,1),DATE(2025,6,30),0.05,1000,2,0)</f>
        <v>54.0277777777778</v>
      </c>
      <c r="B12086" s="0" t="s">
        <v>12050</v>
      </c>
    </row>
    <row r="12087" customFormat="false" ht="15" hidden="false" customHeight="false" outlineLevel="0" collapsed="false">
      <c r="A12087" s="0" t="n">
        <f aca="false">DURATION(DATE(2024,5,31),DATE(2025,6,30),0.05,0.08,2,0)</f>
        <v>1.04619185435296</v>
      </c>
      <c r="B12087" s="0" t="s">
        <v>12051</v>
      </c>
    </row>
    <row r="12088" customFormat="false" ht="15" hidden="false" customHeight="false" outlineLevel="0" collapsed="false">
      <c r="A12088" s="0" t="n">
        <f aca="false">PRICE(DATE(2024,5,31),DATE(2025,6,30),0.05,0.08,100,2,0)</f>
        <v>96.9381224468809</v>
      </c>
      <c r="B12088" s="0" t="s">
        <v>12052</v>
      </c>
    </row>
    <row r="12089" customFormat="false" ht="15" hidden="false" customHeight="false" outlineLevel="0" collapsed="false">
      <c r="A12089" s="0" t="n">
        <f aca="false">YIELD(DATE(2024,5,31),DATE(2025,6,30),0.05,95,100,2,0)</f>
        <v>0.0997483121460699</v>
      </c>
      <c r="B12089" s="0" t="s">
        <v>12053</v>
      </c>
    </row>
    <row r="12090" customFormat="false" ht="15" hidden="false" customHeight="false" outlineLevel="0" collapsed="false">
      <c r="A12090" s="0" t="n">
        <f aca="false">PRICEDISC(DATE(2024,5,31),DATE(2025,6,30),0.05,100,1)</f>
        <v>94.603825136612</v>
      </c>
      <c r="B12090" s="0" t="s">
        <v>12054</v>
      </c>
    </row>
    <row r="12091" customFormat="false" ht="15" hidden="false" customHeight="false" outlineLevel="0" collapsed="false">
      <c r="A12091" s="0" t="n">
        <f aca="false">RECEIVED(DATE(2024,5,31),DATE(2025,6,30),1000,0.05,1)</f>
        <v>1057.03971119134</v>
      </c>
      <c r="B12091" s="0" t="s">
        <v>12055</v>
      </c>
    </row>
    <row r="12092" customFormat="false" ht="15" hidden="false" customHeight="false" outlineLevel="0" collapsed="false">
      <c r="A12092" s="0" t="n">
        <f aca="false">INTRATE(DATE(2024,5,31),DATE(2025,6,30),1000,1050,1)</f>
        <v>0.0463291139240507</v>
      </c>
      <c r="B12092" s="0" t="s">
        <v>12056</v>
      </c>
    </row>
    <row r="12093" customFormat="false" ht="15" hidden="false" customHeight="false" outlineLevel="0" collapsed="false">
      <c r="A12093" s="0" t="n">
        <f aca="false">DISC(DATE(2024,5,31),DATE(2025,6,30),95,100,1)</f>
        <v>0.0462658227848102</v>
      </c>
      <c r="B12093" s="0" t="s">
        <v>12057</v>
      </c>
    </row>
    <row r="12094" customFormat="false" ht="15" hidden="false" customHeight="false" outlineLevel="0" collapsed="false">
      <c r="A12094" s="0" t="n">
        <f aca="false">YIELDDISC(DATE(2024,5,31),DATE(2025,6,30),95,100,1)</f>
        <v>0.0487008660892738</v>
      </c>
      <c r="B12094" s="0" t="s">
        <v>12058</v>
      </c>
    </row>
    <row r="12095" customFormat="false" ht="15" hidden="false" customHeight="false" outlineLevel="0" collapsed="false">
      <c r="A12095" s="0" t="n">
        <f aca="false">ACCRINTM(DATE(2024,5,31),DATE(2025,6,30),0.05,1000,1)</f>
        <v>53.9617486338798</v>
      </c>
      <c r="B12095" s="0" t="s">
        <v>12059</v>
      </c>
    </row>
    <row r="12096" customFormat="false" ht="15" hidden="false" customHeight="false" outlineLevel="0" collapsed="false">
      <c r="A12096" s="0" t="n">
        <f aca="false">PRICEMAT(DATE(2024,5,31),DATE(2025,6,30),DATE(2023,1,31),0.05,0.06,1)</f>
        <v>98.585410752399</v>
      </c>
      <c r="B12096" s="0" t="s">
        <v>12060</v>
      </c>
    </row>
    <row r="12097" customFormat="false" ht="15" hidden="false" customHeight="false" outlineLevel="0" collapsed="false">
      <c r="A12097" s="0" t="n">
        <f aca="false">YIELDMAT(DATE(2024,5,31),DATE(2025,6,30),DATE(2023,1,31),0.05,98,1)</f>
        <v>0.0655119304250341</v>
      </c>
      <c r="B12097" s="0" t="s">
        <v>12061</v>
      </c>
    </row>
    <row r="12098" customFormat="false" ht="15" hidden="false" customHeight="false" outlineLevel="0" collapsed="false">
      <c r="A12098" s="0" t="n">
        <f aca="false">ACCRINT(DATE(2024,5,31),DATE(2030,1,1),DATE(2025,6,30),0.05,1000,2,1)</f>
        <v>53.9617486338798</v>
      </c>
      <c r="B12098" s="0" t="s">
        <v>12062</v>
      </c>
    </row>
    <row r="12099" customFormat="false" ht="15" hidden="false" customHeight="false" outlineLevel="0" collapsed="false">
      <c r="A12099" s="0" t="n">
        <f aca="false">DURATION(DATE(2024,5,31),DATE(2025,6,30),0.05,0.08,2,1)</f>
        <v>1.04356987532879</v>
      </c>
      <c r="B12099" s="0" t="s">
        <v>12063</v>
      </c>
    </row>
    <row r="12100" customFormat="false" ht="15" hidden="false" customHeight="false" outlineLevel="0" collapsed="false">
      <c r="A12100" s="0" t="n">
        <f aca="false">PRICE(DATE(2024,5,31),DATE(2025,6,30),0.05,0.08,100,2,1)</f>
        <v>96.9406569369995</v>
      </c>
      <c r="B12100" s="0" t="s">
        <v>12064</v>
      </c>
    </row>
    <row r="12101" customFormat="false" ht="15" hidden="false" customHeight="false" outlineLevel="0" collapsed="false">
      <c r="A12101" s="0" t="n">
        <f aca="false">YIELD(DATE(2024,5,31),DATE(2025,6,30),0.05,95,100,2,1)</f>
        <v>0.099790497835583</v>
      </c>
      <c r="B12101" s="0" t="s">
        <v>12065</v>
      </c>
    </row>
    <row r="12102" customFormat="false" ht="15" hidden="false" customHeight="false" outlineLevel="0" collapsed="false">
      <c r="A12102" s="0" t="n">
        <f aca="false">PRICEDISC(DATE(2024,5,31),DATE(2025,6,30),0.05,100,4)</f>
        <v>94.5972222222222</v>
      </c>
      <c r="B12102" s="0" t="s">
        <v>12066</v>
      </c>
    </row>
    <row r="12103" customFormat="false" ht="15" hidden="false" customHeight="false" outlineLevel="0" collapsed="false">
      <c r="A12103" s="0" t="n">
        <f aca="false">RECEIVED(DATE(2024,5,31),DATE(2025,6,30),1000,0.05,4)</f>
        <v>1057.11349287917</v>
      </c>
      <c r="B12103" s="0" t="s">
        <v>12067</v>
      </c>
    </row>
    <row r="12104" customFormat="false" ht="15" hidden="false" customHeight="false" outlineLevel="0" collapsed="false">
      <c r="A12104" s="0" t="n">
        <f aca="false">INTRATE(DATE(2024,5,31),DATE(2025,6,30),1000,1050,4)</f>
        <v>0.0462724935732648</v>
      </c>
      <c r="B12104" s="0" t="s">
        <v>12068</v>
      </c>
    </row>
    <row r="12105" customFormat="false" ht="15" hidden="false" customHeight="false" outlineLevel="0" collapsed="false">
      <c r="A12105" s="0" t="n">
        <f aca="false">DISC(DATE(2024,5,31),DATE(2025,6,30),95,100,4)</f>
        <v>0.0461538461538462</v>
      </c>
      <c r="B12105" s="0" t="s">
        <v>12069</v>
      </c>
    </row>
    <row r="12106" customFormat="false" ht="15" hidden="false" customHeight="false" outlineLevel="0" collapsed="false">
      <c r="A12106" s="0" t="n">
        <f aca="false">YIELDDISC(DATE(2024,5,31),DATE(2025,6,30),95,100,4)</f>
        <v>0.048582995951417</v>
      </c>
      <c r="B12106" s="0" t="s">
        <v>12070</v>
      </c>
    </row>
    <row r="12107" customFormat="false" ht="15" hidden="false" customHeight="false" outlineLevel="0" collapsed="false">
      <c r="A12107" s="0" t="n">
        <f aca="false">ACCRINTM(DATE(2024,5,31),DATE(2025,6,30),0.05,1000,4)</f>
        <v>54.0277777777778</v>
      </c>
      <c r="B12107" s="0" t="s">
        <v>12071</v>
      </c>
    </row>
    <row r="12108" customFormat="false" ht="15" hidden="false" customHeight="false" outlineLevel="0" collapsed="false">
      <c r="A12108" s="0" t="n">
        <f aca="false">PRICEMAT(DATE(2024,5,31),DATE(2025,6,30),DATE(2023,1,31),0.05,0.06,4)</f>
        <v>98.5758998435055</v>
      </c>
      <c r="B12108" s="0" t="s">
        <v>12072</v>
      </c>
    </row>
    <row r="12109" customFormat="false" ht="15" hidden="false" customHeight="false" outlineLevel="0" collapsed="false">
      <c r="A12109" s="0" t="n">
        <f aca="false">YIELDMAT(DATE(2024,5,31),DATE(2025,6,30),DATE(2023,1,31),0.05,98,4)</f>
        <v>0.0654091131798139</v>
      </c>
      <c r="B12109" s="0" t="s">
        <v>12073</v>
      </c>
    </row>
    <row r="12110" customFormat="false" ht="15" hidden="false" customHeight="false" outlineLevel="0" collapsed="false">
      <c r="A12110" s="0" t="n">
        <f aca="false">ACCRINT(DATE(2024,5,31),DATE(2030,1,1),DATE(2025,6,30),0.05,1000,2,4)</f>
        <v>54.0277777777778</v>
      </c>
      <c r="B12110" s="0" t="s">
        <v>12074</v>
      </c>
    </row>
    <row r="12111" customFormat="false" ht="15" hidden="false" customHeight="false" outlineLevel="0" collapsed="false">
      <c r="A12111" s="0" t="n">
        <f aca="false">DURATION(DATE(2024,5,31),DATE(2025,6,30),0.05,0.08,2,4)</f>
        <v>1.04619185435296</v>
      </c>
      <c r="B12111" s="0" t="s">
        <v>12075</v>
      </c>
    </row>
    <row r="12112" customFormat="false" ht="15" hidden="false" customHeight="false" outlineLevel="0" collapsed="false">
      <c r="A12112" s="0" t="n">
        <f aca="false">PRICE(DATE(2024,5,31),DATE(2025,6,30),0.05,0.08,100,2,4)</f>
        <v>96.9381224468809</v>
      </c>
      <c r="B12112" s="0" t="s">
        <v>12076</v>
      </c>
    </row>
    <row r="12113" customFormat="false" ht="15" hidden="false" customHeight="false" outlineLevel="0" collapsed="false">
      <c r="A12113" s="0" t="n">
        <f aca="false">YIELD(DATE(2024,5,31),DATE(2025,6,30),0.05,95,100,2,4)</f>
        <v>0.0997483121460699</v>
      </c>
      <c r="B12113" s="0" t="s">
        <v>12077</v>
      </c>
    </row>
    <row r="12114" customFormat="false" ht="15" hidden="false" customHeight="false" outlineLevel="0" collapsed="false">
      <c r="A12114" s="0" t="n">
        <f aca="false">TBILLPRICE(DATE(2024,5,31),DATE(2025,6,30),0.05)</f>
        <v>94.5694444444444</v>
      </c>
      <c r="B12114" s="0" t="s">
        <v>12078</v>
      </c>
    </row>
    <row r="12115" customFormat="false" ht="15" hidden="false" customHeight="false" outlineLevel="0" collapsed="false">
      <c r="A12115" s="0" t="e">
        <f aca="false">TBILLEQ(DATE(2024,5,31),DATE(2025,6,30),0.05)</f>
        <v>#VALUE!</v>
      </c>
      <c r="B12115" s="0" t="s">
        <v>12079</v>
      </c>
    </row>
    <row r="12116" customFormat="false" ht="15" hidden="false" customHeight="false" outlineLevel="0" collapsed="false">
      <c r="A12116" s="0" t="e">
        <f aca="false">TBILLYIELD(DATE(2024,5,31),DATE(2025,6,30),98)</f>
        <v>#VALUE!</v>
      </c>
      <c r="B12116" s="0" t="s">
        <v>12080</v>
      </c>
    </row>
    <row r="12117" customFormat="false" ht="15" hidden="false" customHeight="false" outlineLevel="0" collapsed="false">
      <c r="A12117" s="0" t="n">
        <f aca="false">PRICEDISC(DATE(2024,5,31),DATE(2026,12,31),0.05,100,0)</f>
        <v>87.0833333333333</v>
      </c>
      <c r="B12117" s="0" t="s">
        <v>12081</v>
      </c>
    </row>
    <row r="12118" customFormat="false" ht="15" hidden="false" customHeight="false" outlineLevel="0" collapsed="false">
      <c r="A12118" s="0" t="n">
        <f aca="false">RECEIVED(DATE(2024,5,31),DATE(2026,12,31),1000,0.05,0)</f>
        <v>1148.32535885167</v>
      </c>
      <c r="B12118" s="0" t="s">
        <v>12082</v>
      </c>
    </row>
    <row r="12119" customFormat="false" ht="15" hidden="false" customHeight="false" outlineLevel="0" collapsed="false">
      <c r="A12119" s="0" t="n">
        <f aca="false">INTRATE(DATE(2024,5,31),DATE(2026,12,31),1000,1050,0)</f>
        <v>0.0193548387096774</v>
      </c>
      <c r="B12119" s="0" t="s">
        <v>12083</v>
      </c>
    </row>
    <row r="12120" customFormat="false" ht="15" hidden="false" customHeight="false" outlineLevel="0" collapsed="false">
      <c r="A12120" s="0" t="n">
        <f aca="false">DISC(DATE(2024,5,31),DATE(2026,12,31),95,100,0)</f>
        <v>0.0193548387096774</v>
      </c>
      <c r="B12120" s="0" t="s">
        <v>12084</v>
      </c>
    </row>
    <row r="12121" customFormat="false" ht="15" hidden="false" customHeight="false" outlineLevel="0" collapsed="false">
      <c r="A12121" s="0" t="n">
        <f aca="false">YIELDDISC(DATE(2024,5,31),DATE(2026,12,31),95,100,0)</f>
        <v>0.0203735144312394</v>
      </c>
      <c r="B12121" s="0" t="s">
        <v>12085</v>
      </c>
    </row>
    <row r="12122" customFormat="false" ht="15" hidden="false" customHeight="false" outlineLevel="0" collapsed="false">
      <c r="A12122" s="0" t="n">
        <f aca="false">ACCRINTM(DATE(2024,5,31),DATE(2026,12,31),0.05,1000,0)</f>
        <v>129.166666666667</v>
      </c>
      <c r="B12122" s="0" t="s">
        <v>12086</v>
      </c>
    </row>
    <row r="12123" customFormat="false" ht="15" hidden="false" customHeight="false" outlineLevel="0" collapsed="false">
      <c r="A12123" s="0" t="n">
        <f aca="false">PRICEMAT(DATE(2024,5,31),DATE(2026,12,31),DATE(2023,1,31),0.05,0.06,0)</f>
        <v>96.8686868686869</v>
      </c>
      <c r="B12123" s="0" t="s">
        <v>12087</v>
      </c>
    </row>
    <row r="12124" customFormat="false" ht="15" hidden="false" customHeight="false" outlineLevel="0" collapsed="false">
      <c r="A12124" s="0" t="n">
        <f aca="false">YIELDMAT(DATE(2024,5,31),DATE(2026,12,31),DATE(2023,1,31),0.05,98,0)</f>
        <v>0.0551674542839531</v>
      </c>
      <c r="B12124" s="0" t="s">
        <v>12088</v>
      </c>
    </row>
    <row r="12125" customFormat="false" ht="15" hidden="false" customHeight="false" outlineLevel="0" collapsed="false">
      <c r="A12125" s="0" t="n">
        <f aca="false">ACCRINT(DATE(2024,5,31),DATE(2030,1,1),DATE(2026,12,31),0.05,1000,2,0)</f>
        <v>129.166666666667</v>
      </c>
      <c r="B12125" s="0" t="s">
        <v>12089</v>
      </c>
    </row>
    <row r="12126" customFormat="false" ht="15" hidden="false" customHeight="false" outlineLevel="0" collapsed="false">
      <c r="A12126" s="0" t="n">
        <f aca="false">DURATION(DATE(2024,5,31),DATE(2026,12,31),0.05,0.08,2,0)</f>
        <v>2.39740813147718</v>
      </c>
      <c r="B12126" s="0" t="s">
        <v>12090</v>
      </c>
    </row>
    <row r="12127" customFormat="false" ht="15" hidden="false" customHeight="false" outlineLevel="0" collapsed="false">
      <c r="A12127" s="0" t="n">
        <f aca="false">PRICE(DATE(2024,5,31),DATE(2026,12,31),0.05,0.08,100,2,0)</f>
        <v>93.1146063338503</v>
      </c>
      <c r="B12127" s="0" t="s">
        <v>12091</v>
      </c>
    </row>
    <row r="12128" customFormat="false" ht="15" hidden="false" customHeight="false" outlineLevel="0" collapsed="false">
      <c r="A12128" s="0" t="n">
        <f aca="false">YIELD(DATE(2024,5,31),DATE(2026,12,31),0.05,95,100,2,0)</f>
        <v>0.0715143889267856</v>
      </c>
      <c r="B12128" s="0" t="s">
        <v>12092</v>
      </c>
    </row>
    <row r="12129" customFormat="false" ht="15" hidden="false" customHeight="false" outlineLevel="0" collapsed="false">
      <c r="A12129" s="0" t="n">
        <f aca="false">PRICEDISC(DATE(2024,5,31),DATE(2026,12,31),0.05,100,1)</f>
        <v>87.103825136612</v>
      </c>
      <c r="B12129" s="0" t="s">
        <v>12093</v>
      </c>
    </row>
    <row r="12130" customFormat="false" ht="15" hidden="false" customHeight="false" outlineLevel="0" collapsed="false">
      <c r="A12130" s="0" t="n">
        <f aca="false">RECEIVED(DATE(2024,5,31),DATE(2026,12,31),1000,0.05,1)</f>
        <v>1148.05520702635</v>
      </c>
      <c r="B12130" s="0" t="s">
        <v>12094</v>
      </c>
    </row>
    <row r="12131" customFormat="false" ht="15" hidden="false" customHeight="false" outlineLevel="0" collapsed="false">
      <c r="A12131" s="0" t="n">
        <f aca="false">INTRATE(DATE(2024,5,31),DATE(2026,12,31),1000,1050,1)</f>
        <v>0.019385593220339</v>
      </c>
      <c r="B12131" s="0" t="s">
        <v>12095</v>
      </c>
    </row>
    <row r="12132" customFormat="false" ht="15" hidden="false" customHeight="false" outlineLevel="0" collapsed="false">
      <c r="A12132" s="0" t="n">
        <f aca="false">DISC(DATE(2024,5,31),DATE(2026,12,31),95,100,1)</f>
        <v>0.0193502824858757</v>
      </c>
      <c r="B12132" s="0" t="s">
        <v>12096</v>
      </c>
    </row>
    <row r="12133" customFormat="false" ht="15" hidden="false" customHeight="false" outlineLevel="0" collapsed="false">
      <c r="A12133" s="0" t="n">
        <f aca="false">YIELDDISC(DATE(2024,5,31),DATE(2026,12,31),95,100,1)</f>
        <v>0.0203687184061849</v>
      </c>
      <c r="B12133" s="0" t="s">
        <v>12097</v>
      </c>
    </row>
    <row r="12134" customFormat="false" ht="15" hidden="false" customHeight="false" outlineLevel="0" collapsed="false">
      <c r="A12134" s="0" t="n">
        <f aca="false">ACCRINTM(DATE(2024,5,31),DATE(2026,12,31),0.05,1000,1)</f>
        <v>128.96174863388</v>
      </c>
      <c r="B12134" s="0" t="s">
        <v>12098</v>
      </c>
    </row>
    <row r="12135" customFormat="false" ht="15" hidden="false" customHeight="false" outlineLevel="0" collapsed="false">
      <c r="A12135" s="0" t="n">
        <f aca="false">PRICEMAT(DATE(2024,5,31),DATE(2026,12,31),DATE(2023,1,31),0.05,0.06,1)</f>
        <v>96.8769886230518</v>
      </c>
      <c r="B12135" s="0" t="s">
        <v>12099</v>
      </c>
    </row>
    <row r="12136" customFormat="false" ht="15" hidden="false" customHeight="false" outlineLevel="0" collapsed="false">
      <c r="A12136" s="0" t="n">
        <f aca="false">YIELDMAT(DATE(2024,5,31),DATE(2026,12,31),DATE(2023,1,31),0.05,98,1)</f>
        <v>0.0552030580345761</v>
      </c>
      <c r="B12136" s="0" t="s">
        <v>12100</v>
      </c>
    </row>
    <row r="12137" customFormat="false" ht="15" hidden="false" customHeight="false" outlineLevel="0" collapsed="false">
      <c r="A12137" s="0" t="n">
        <f aca="false">ACCRINT(DATE(2024,5,31),DATE(2030,1,1),DATE(2026,12,31),0.05,1000,2,1)</f>
        <v>128.96174863388</v>
      </c>
      <c r="B12137" s="0" t="s">
        <v>12101</v>
      </c>
    </row>
    <row r="12138" customFormat="false" ht="15" hidden="false" customHeight="false" outlineLevel="0" collapsed="false">
      <c r="A12138" s="0" t="n">
        <f aca="false">DURATION(DATE(2024,5,31),DATE(2026,12,31),0.05,0.08,2,1)</f>
        <v>2.39801640398326</v>
      </c>
      <c r="B12138" s="0" t="s">
        <v>12102</v>
      </c>
    </row>
    <row r="12139" customFormat="false" ht="15" hidden="false" customHeight="false" outlineLevel="0" collapsed="false">
      <c r="A12139" s="0" t="n">
        <f aca="false">PRICE(DATE(2024,5,31),DATE(2026,12,31),0.05,0.08,100,2,1)</f>
        <v>93.1168661602054</v>
      </c>
      <c r="B12139" s="0" t="s">
        <v>12103</v>
      </c>
    </row>
    <row r="12140" customFormat="false" ht="15" hidden="false" customHeight="false" outlineLevel="0" collapsed="false">
      <c r="A12140" s="0" t="n">
        <f aca="false">YIELD(DATE(2024,5,31),DATE(2026,12,31),0.05,95,100,2,1)</f>
        <v>0.0715218078369002</v>
      </c>
      <c r="B12140" s="0" t="s">
        <v>12104</v>
      </c>
    </row>
    <row r="12141" customFormat="false" ht="15" hidden="false" customHeight="false" outlineLevel="0" collapsed="false">
      <c r="A12141" s="0" t="n">
        <f aca="false">PRICEDISC(DATE(2024,5,31),DATE(2026,12,31),0.05,100,4)</f>
        <v>87.0833333333333</v>
      </c>
      <c r="B12141" s="0" t="s">
        <v>12105</v>
      </c>
    </row>
    <row r="12142" customFormat="false" ht="15" hidden="false" customHeight="false" outlineLevel="0" collapsed="false">
      <c r="A12142" s="0" t="n">
        <f aca="false">RECEIVED(DATE(2024,5,31),DATE(2026,12,31),1000,0.05,4)</f>
        <v>1148.32535885167</v>
      </c>
      <c r="B12142" s="0" t="s">
        <v>12106</v>
      </c>
    </row>
    <row r="12143" customFormat="false" ht="15" hidden="false" customHeight="false" outlineLevel="0" collapsed="false">
      <c r="A12143" s="0" t="n">
        <f aca="false">INTRATE(DATE(2024,5,31),DATE(2026,12,31),1000,1050,4)</f>
        <v>0.0193548387096774</v>
      </c>
      <c r="B12143" s="0" t="s">
        <v>12107</v>
      </c>
    </row>
    <row r="12144" customFormat="false" ht="15" hidden="false" customHeight="false" outlineLevel="0" collapsed="false">
      <c r="A12144" s="0" t="n">
        <f aca="false">DISC(DATE(2024,5,31),DATE(2026,12,31),95,100,4)</f>
        <v>0.0193548387096774</v>
      </c>
      <c r="B12144" s="0" t="s">
        <v>12108</v>
      </c>
    </row>
    <row r="12145" customFormat="false" ht="15" hidden="false" customHeight="false" outlineLevel="0" collapsed="false">
      <c r="A12145" s="0" t="n">
        <f aca="false">YIELDDISC(DATE(2024,5,31),DATE(2026,12,31),95,100,4)</f>
        <v>0.0203735144312394</v>
      </c>
      <c r="B12145" s="0" t="s">
        <v>12109</v>
      </c>
    </row>
    <row r="12146" customFormat="false" ht="15" hidden="false" customHeight="false" outlineLevel="0" collapsed="false">
      <c r="A12146" s="0" t="n">
        <f aca="false">ACCRINTM(DATE(2024,5,31),DATE(2026,12,31),0.05,1000,4)</f>
        <v>129.166666666667</v>
      </c>
      <c r="B12146" s="0" t="s">
        <v>12110</v>
      </c>
    </row>
    <row r="12147" customFormat="false" ht="15" hidden="false" customHeight="false" outlineLevel="0" collapsed="false">
      <c r="A12147" s="0" t="n">
        <f aca="false">PRICEMAT(DATE(2024,5,31),DATE(2026,12,31),DATE(2023,1,31),0.05,0.06,4)</f>
        <v>96.8686868686869</v>
      </c>
      <c r="B12147" s="0" t="s">
        <v>12111</v>
      </c>
    </row>
    <row r="12148" customFormat="false" ht="15" hidden="false" customHeight="false" outlineLevel="0" collapsed="false">
      <c r="A12148" s="0" t="n">
        <f aca="false">YIELDMAT(DATE(2024,5,31),DATE(2026,12,31),DATE(2023,1,31),0.05,98,4)</f>
        <v>0.0551674542839531</v>
      </c>
      <c r="B12148" s="0" t="s">
        <v>12112</v>
      </c>
    </row>
    <row r="12149" customFormat="false" ht="15" hidden="false" customHeight="false" outlineLevel="0" collapsed="false">
      <c r="A12149" s="0" t="n">
        <f aca="false">ACCRINT(DATE(2024,5,31),DATE(2030,1,1),DATE(2026,12,31),0.05,1000,2,4)</f>
        <v>129.166666666667</v>
      </c>
      <c r="B12149" s="0" t="s">
        <v>12113</v>
      </c>
    </row>
    <row r="12150" customFormat="false" ht="15" hidden="false" customHeight="false" outlineLevel="0" collapsed="false">
      <c r="A12150" s="0" t="n">
        <f aca="false">DURATION(DATE(2024,5,31),DATE(2026,12,31),0.05,0.08,2,4)</f>
        <v>2.39740813147718</v>
      </c>
      <c r="B12150" s="0" t="s">
        <v>12114</v>
      </c>
    </row>
    <row r="12151" customFormat="false" ht="15" hidden="false" customHeight="false" outlineLevel="0" collapsed="false">
      <c r="A12151" s="0" t="n">
        <f aca="false">PRICE(DATE(2024,5,31),DATE(2026,12,31),0.05,0.08,100,2,4)</f>
        <v>93.1146063338503</v>
      </c>
      <c r="B12151" s="0" t="s">
        <v>12115</v>
      </c>
    </row>
    <row r="12152" customFormat="false" ht="15" hidden="false" customHeight="false" outlineLevel="0" collapsed="false">
      <c r="A12152" s="0" t="n">
        <f aca="false">YIELD(DATE(2024,5,31),DATE(2026,12,31),0.05,95,100,2,4)</f>
        <v>0.0715143889267856</v>
      </c>
      <c r="B12152" s="0" t="s">
        <v>12116</v>
      </c>
    </row>
    <row r="12153" customFormat="false" ht="15" hidden="false" customHeight="false" outlineLevel="0" collapsed="false">
      <c r="A12153" s="0" t="n">
        <f aca="false">TBILLPRICE(DATE(2024,5,31),DATE(2026,12,31),0.05)</f>
        <v>87.0694444444444</v>
      </c>
      <c r="B12153" s="0" t="s">
        <v>12117</v>
      </c>
    </row>
    <row r="12154" customFormat="false" ht="15" hidden="false" customHeight="false" outlineLevel="0" collapsed="false">
      <c r="A12154" s="0" t="e">
        <f aca="false">TBILLEQ(DATE(2024,5,31),DATE(2026,12,31),0.05)</f>
        <v>#VALUE!</v>
      </c>
      <c r="B12154" s="0" t="s">
        <v>12118</v>
      </c>
    </row>
    <row r="12155" customFormat="false" ht="15" hidden="false" customHeight="false" outlineLevel="0" collapsed="false">
      <c r="A12155" s="0" t="e">
        <f aca="false">TBILLYIELD(DATE(2024,5,31),DATE(2026,12,31),98)</f>
        <v>#VALUE!</v>
      </c>
      <c r="B12155" s="0" t="s">
        <v>12119</v>
      </c>
    </row>
    <row r="12156" customFormat="false" ht="15" hidden="false" customHeight="false" outlineLevel="0" collapsed="false">
      <c r="A12156" s="0" t="n">
        <f aca="false">PRICEDISC(DATE(2024,5,31),DATE(2027,2,28),0.05,100,0)</f>
        <v>86.2916666666667</v>
      </c>
      <c r="B12156" s="0" t="s">
        <v>12120</v>
      </c>
    </row>
    <row r="12157" customFormat="false" ht="15" hidden="false" customHeight="false" outlineLevel="0" collapsed="false">
      <c r="A12157" s="0" t="n">
        <f aca="false">RECEIVED(DATE(2024,5,31),DATE(2027,2,28),1000,0.05,0)</f>
        <v>1158.86045388701</v>
      </c>
      <c r="B12157" s="0" t="s">
        <v>12121</v>
      </c>
    </row>
    <row r="12158" customFormat="false" ht="15" hidden="false" customHeight="false" outlineLevel="0" collapsed="false">
      <c r="A12158" s="0" t="n">
        <f aca="false">INTRATE(DATE(2024,5,31),DATE(2027,2,28),1000,1050,0)</f>
        <v>0.0182370820668693</v>
      </c>
      <c r="B12158" s="0" t="s">
        <v>12122</v>
      </c>
    </row>
    <row r="12159" customFormat="false" ht="15" hidden="false" customHeight="false" outlineLevel="0" collapsed="false">
      <c r="A12159" s="0" t="n">
        <f aca="false">DISC(DATE(2024,5,31),DATE(2027,2,28),95,100,0)</f>
        <v>0.0182186234817814</v>
      </c>
      <c r="B12159" s="0" t="s">
        <v>12123</v>
      </c>
    </row>
    <row r="12160" customFormat="false" ht="15" hidden="false" customHeight="false" outlineLevel="0" collapsed="false">
      <c r="A12160" s="0" t="n">
        <f aca="false">YIELDDISC(DATE(2024,5,31),DATE(2027,2,28),95,100,0)</f>
        <v>0.0191774984018751</v>
      </c>
      <c r="B12160" s="0" t="s">
        <v>12124</v>
      </c>
    </row>
    <row r="12161" customFormat="false" ht="15" hidden="false" customHeight="false" outlineLevel="0" collapsed="false">
      <c r="A12161" s="0" t="n">
        <f aca="false">ACCRINTM(DATE(2024,5,31),DATE(2027,2,28),0.05,1000,0)</f>
        <v>137.083333333333</v>
      </c>
      <c r="B12161" s="0" t="s">
        <v>12125</v>
      </c>
    </row>
    <row r="12162" customFormat="false" ht="15" hidden="false" customHeight="false" outlineLevel="0" collapsed="false">
      <c r="A12162" s="0" t="n">
        <f aca="false">PRICEMAT(DATE(2024,5,31),DATE(2027,2,28),DATE(2023,1,31),0.05,0.06,0)</f>
        <v>96.7010112573936</v>
      </c>
      <c r="B12162" s="0" t="s">
        <v>12126</v>
      </c>
    </row>
    <row r="12163" customFormat="false" ht="15" hidden="false" customHeight="false" outlineLevel="0" collapsed="false">
      <c r="A12163" s="0" t="n">
        <f aca="false">YIELDMAT(DATE(2024,5,31),DATE(2027,2,28),DATE(2023,1,31),0.05,98,0)</f>
        <v>0.0547332319038655</v>
      </c>
      <c r="B12163" s="0" t="s">
        <v>12127</v>
      </c>
    </row>
    <row r="12164" customFormat="false" ht="15" hidden="false" customHeight="false" outlineLevel="0" collapsed="false">
      <c r="A12164" s="0" t="n">
        <f aca="false">ACCRINT(DATE(2024,5,31),DATE(2030,1,1),DATE(2027,2,28),0.05,1000,2,0)</f>
        <v>137.083333333333</v>
      </c>
      <c r="B12164" s="0" t="s">
        <v>12128</v>
      </c>
    </row>
    <row r="12165" customFormat="false" ht="15" hidden="false" customHeight="false" outlineLevel="0" collapsed="false">
      <c r="A12165" s="0" t="n">
        <f aca="false">DURATION(DATE(2024,5,31),DATE(2027,2,28),0.05,0.08,2,0)</f>
        <v>2.55851924258829</v>
      </c>
      <c r="B12165" s="0" t="s">
        <v>12129</v>
      </c>
    </row>
    <row r="12166" customFormat="false" ht="15" hidden="false" customHeight="false" outlineLevel="0" collapsed="false">
      <c r="A12166" s="0" t="n">
        <f aca="false">PRICE(DATE(2024,5,31),DATE(2027,2,28),0.05,0.08,100,2,0)</f>
        <v>92.7180497070119</v>
      </c>
      <c r="B12166" s="0" t="s">
        <v>12130</v>
      </c>
    </row>
    <row r="12167" customFormat="false" ht="15" hidden="false" customHeight="false" outlineLevel="0" collapsed="false">
      <c r="A12167" s="0" t="n">
        <f aca="false">YIELD(DATE(2024,5,31),DATE(2027,2,28),0.05,95,100,2,0)</f>
        <v>0.0702870057712296</v>
      </c>
      <c r="B12167" s="0" t="s">
        <v>12131</v>
      </c>
    </row>
    <row r="12168" customFormat="false" ht="15" hidden="false" customHeight="false" outlineLevel="0" collapsed="false">
      <c r="A12168" s="0" t="n">
        <f aca="false">PRICEDISC(DATE(2024,5,31),DATE(2027,2,28),0.05,100,1)</f>
        <v>86.2978142076503</v>
      </c>
      <c r="B12168" s="0" t="s">
        <v>12132</v>
      </c>
    </row>
    <row r="12169" customFormat="false" ht="15" hidden="false" customHeight="false" outlineLevel="0" collapsed="false">
      <c r="A12169" s="0" t="n">
        <f aca="false">RECEIVED(DATE(2024,5,31),DATE(2027,2,28),1000,0.05,1)</f>
        <v>1158.77790090233</v>
      </c>
      <c r="B12169" s="0" t="s">
        <v>12133</v>
      </c>
    </row>
    <row r="12170" customFormat="false" ht="15" hidden="false" customHeight="false" outlineLevel="0" collapsed="false">
      <c r="A12170" s="0" t="n">
        <f aca="false">INTRATE(DATE(2024,5,31),DATE(2027,2,28),1000,1050,1)</f>
        <v>0.0182452642073779</v>
      </c>
      <c r="B12170" s="0" t="s">
        <v>12134</v>
      </c>
    </row>
    <row r="12171" customFormat="false" ht="15" hidden="false" customHeight="false" outlineLevel="0" collapsed="false">
      <c r="A12171" s="0" t="n">
        <f aca="false">DISC(DATE(2024,5,31),DATE(2027,2,28),95,100,1)</f>
        <v>0.0182078763708874</v>
      </c>
      <c r="B12171" s="0" t="s">
        <v>12135</v>
      </c>
    </row>
    <row r="12172" customFormat="false" ht="15" hidden="false" customHeight="false" outlineLevel="0" collapsed="false">
      <c r="A12172" s="0" t="n">
        <f aca="false">YIELDDISC(DATE(2024,5,31),DATE(2027,2,28),95,100,1)</f>
        <v>0.0191661856535656</v>
      </c>
      <c r="B12172" s="0" t="s">
        <v>12136</v>
      </c>
    </row>
    <row r="12173" customFormat="false" ht="15" hidden="false" customHeight="false" outlineLevel="0" collapsed="false">
      <c r="A12173" s="0" t="n">
        <f aca="false">ACCRINTM(DATE(2024,5,31),DATE(2027,2,28),0.05,1000,1)</f>
        <v>137.021857923497</v>
      </c>
      <c r="B12173" s="0" t="s">
        <v>12137</v>
      </c>
    </row>
    <row r="12174" customFormat="false" ht="15" hidden="false" customHeight="false" outlineLevel="0" collapsed="false">
      <c r="A12174" s="0" t="n">
        <f aca="false">PRICEMAT(DATE(2024,5,31),DATE(2027,2,28),DATE(2023,1,31),0.05,0.06,1)</f>
        <v>96.7082224704709</v>
      </c>
      <c r="B12174" s="0" t="s">
        <v>12138</v>
      </c>
    </row>
    <row r="12175" customFormat="false" ht="15" hidden="false" customHeight="false" outlineLevel="0" collapsed="false">
      <c r="A12175" s="0" t="n">
        <f aca="false">YIELDMAT(DATE(2024,5,31),DATE(2027,2,28),DATE(2023,1,31),0.05,98,1)</f>
        <v>0.0547642102266848</v>
      </c>
      <c r="B12175" s="0" t="s">
        <v>12139</v>
      </c>
    </row>
    <row r="12176" customFormat="false" ht="15" hidden="false" customHeight="false" outlineLevel="0" collapsed="false">
      <c r="A12176" s="0" t="n">
        <f aca="false">ACCRINT(DATE(2024,5,31),DATE(2030,1,1),DATE(2027,2,28),0.05,1000,2,1)</f>
        <v>137.021857923497</v>
      </c>
      <c r="B12176" s="0" t="s">
        <v>12140</v>
      </c>
    </row>
    <row r="12177" customFormat="false" ht="15" hidden="false" customHeight="false" outlineLevel="0" collapsed="false">
      <c r="A12177" s="0" t="n">
        <f aca="false">DURATION(DATE(2024,5,31),DATE(2027,2,28),0.05,0.08,2,1)</f>
        <v>2.56013913763734</v>
      </c>
      <c r="B12177" s="0" t="s">
        <v>12141</v>
      </c>
    </row>
    <row r="12178" customFormat="false" ht="15" hidden="false" customHeight="false" outlineLevel="0" collapsed="false">
      <c r="A12178" s="0" t="n">
        <f aca="false">PRICE(DATE(2024,5,31),DATE(2027,2,28),0.05,0.08,100,2,1)</f>
        <v>92.7114628342136</v>
      </c>
      <c r="B12178" s="0" t="s">
        <v>12142</v>
      </c>
    </row>
    <row r="12179" customFormat="false" ht="15" hidden="false" customHeight="false" outlineLevel="0" collapsed="false">
      <c r="A12179" s="0" t="n">
        <f aca="false">YIELD(DATE(2024,5,31),DATE(2027,2,28),0.05,95,100,2,1)</f>
        <v>0.0702678111414619</v>
      </c>
      <c r="B12179" s="0" t="s">
        <v>12143</v>
      </c>
    </row>
    <row r="12180" customFormat="false" ht="15" hidden="false" customHeight="false" outlineLevel="0" collapsed="false">
      <c r="A12180" s="0" t="n">
        <f aca="false">PRICEDISC(DATE(2024,5,31),DATE(2027,2,28),0.05,100,4)</f>
        <v>86.2916666666667</v>
      </c>
      <c r="B12180" s="0" t="s">
        <v>12144</v>
      </c>
    </row>
    <row r="12181" customFormat="false" ht="15" hidden="false" customHeight="false" outlineLevel="0" collapsed="false">
      <c r="A12181" s="0" t="n">
        <f aca="false">RECEIVED(DATE(2024,5,31),DATE(2027,2,28),1000,0.05,4)</f>
        <v>1158.86045388701</v>
      </c>
      <c r="B12181" s="0" t="s">
        <v>12145</v>
      </c>
    </row>
    <row r="12182" customFormat="false" ht="15" hidden="false" customHeight="false" outlineLevel="0" collapsed="false">
      <c r="A12182" s="0" t="n">
        <f aca="false">INTRATE(DATE(2024,5,31),DATE(2027,2,28),1000,1050,4)</f>
        <v>0.0182370820668693</v>
      </c>
      <c r="B12182" s="0" t="s">
        <v>12146</v>
      </c>
    </row>
    <row r="12183" customFormat="false" ht="15" hidden="false" customHeight="false" outlineLevel="0" collapsed="false">
      <c r="A12183" s="0" t="n">
        <f aca="false">DISC(DATE(2024,5,31),DATE(2027,2,28),95,100,4)</f>
        <v>0.0182186234817814</v>
      </c>
      <c r="B12183" s="0" t="s">
        <v>12147</v>
      </c>
    </row>
    <row r="12184" customFormat="false" ht="15" hidden="false" customHeight="false" outlineLevel="0" collapsed="false">
      <c r="A12184" s="0" t="n">
        <f aca="false">YIELDDISC(DATE(2024,5,31),DATE(2027,2,28),95,100,4)</f>
        <v>0.0191774984018751</v>
      </c>
      <c r="B12184" s="0" t="s">
        <v>12148</v>
      </c>
    </row>
    <row r="12185" customFormat="false" ht="15" hidden="false" customHeight="false" outlineLevel="0" collapsed="false">
      <c r="A12185" s="0" t="n">
        <f aca="false">ACCRINTM(DATE(2024,5,31),DATE(2027,2,28),0.05,1000,4)</f>
        <v>137.083333333333</v>
      </c>
      <c r="B12185" s="0" t="s">
        <v>12149</v>
      </c>
    </row>
    <row r="12186" customFormat="false" ht="15" hidden="false" customHeight="false" outlineLevel="0" collapsed="false">
      <c r="A12186" s="0" t="n">
        <f aca="false">PRICEMAT(DATE(2024,5,31),DATE(2027,2,28),DATE(2023,1,31),0.05,0.06,4)</f>
        <v>96.7010112573936</v>
      </c>
      <c r="B12186" s="0" t="s">
        <v>12150</v>
      </c>
    </row>
    <row r="12187" customFormat="false" ht="15" hidden="false" customHeight="false" outlineLevel="0" collapsed="false">
      <c r="A12187" s="0" t="n">
        <f aca="false">YIELDMAT(DATE(2024,5,31),DATE(2027,2,28),DATE(2023,1,31),0.05,98,4)</f>
        <v>0.0547332319038655</v>
      </c>
      <c r="B12187" s="0" t="s">
        <v>12151</v>
      </c>
    </row>
    <row r="12188" customFormat="false" ht="15" hidden="false" customHeight="false" outlineLevel="0" collapsed="false">
      <c r="A12188" s="0" t="n">
        <f aca="false">ACCRINT(DATE(2024,5,31),DATE(2030,1,1),DATE(2027,2,28),0.05,1000,2,4)</f>
        <v>137.083333333333</v>
      </c>
      <c r="B12188" s="0" t="s">
        <v>12152</v>
      </c>
    </row>
    <row r="12189" customFormat="false" ht="15" hidden="false" customHeight="false" outlineLevel="0" collapsed="false">
      <c r="A12189" s="0" t="n">
        <f aca="false">DURATION(DATE(2024,5,31),DATE(2027,2,28),0.05,0.08,2,4)</f>
        <v>2.55851924258829</v>
      </c>
      <c r="B12189" s="0" t="s">
        <v>12153</v>
      </c>
    </row>
    <row r="12190" customFormat="false" ht="15" hidden="false" customHeight="false" outlineLevel="0" collapsed="false">
      <c r="A12190" s="0" t="n">
        <f aca="false">PRICE(DATE(2024,5,31),DATE(2027,2,28),0.05,0.08,100,2,4)</f>
        <v>92.7180497070119</v>
      </c>
      <c r="B12190" s="0" t="s">
        <v>12154</v>
      </c>
    </row>
    <row r="12191" customFormat="false" ht="15" hidden="false" customHeight="false" outlineLevel="0" collapsed="false">
      <c r="A12191" s="0" t="n">
        <f aca="false">YIELD(DATE(2024,5,31),DATE(2027,2,28),0.05,95,100,2,4)</f>
        <v>0.0702870057712296</v>
      </c>
      <c r="B12191" s="0" t="s">
        <v>12155</v>
      </c>
    </row>
    <row r="12192" customFormat="false" ht="15" hidden="false" customHeight="false" outlineLevel="0" collapsed="false">
      <c r="A12192" s="0" t="n">
        <f aca="false">TBILLPRICE(DATE(2024,5,31),DATE(2027,2,28),0.05)</f>
        <v>86.2361111111111</v>
      </c>
      <c r="B12192" s="0" t="s">
        <v>12156</v>
      </c>
    </row>
    <row r="12193" customFormat="false" ht="15" hidden="false" customHeight="false" outlineLevel="0" collapsed="false">
      <c r="A12193" s="0" t="e">
        <f aca="false">TBILLEQ(DATE(2024,5,31),DATE(2027,2,28),0.05)</f>
        <v>#VALUE!</v>
      </c>
      <c r="B12193" s="0" t="s">
        <v>12157</v>
      </c>
    </row>
    <row r="12194" customFormat="false" ht="15" hidden="false" customHeight="false" outlineLevel="0" collapsed="false">
      <c r="A12194" s="0" t="e">
        <f aca="false">TBILLYIELD(DATE(2024,5,31),DATE(2027,2,28),98)</f>
        <v>#VALUE!</v>
      </c>
      <c r="B12194" s="0" t="s">
        <v>12158</v>
      </c>
    </row>
    <row r="12195" customFormat="false" ht="15" hidden="false" customHeight="false" outlineLevel="0" collapsed="false">
      <c r="A12195" s="0" t="n">
        <f aca="false">PRICEDISC(DATE(2024,5,31),DATE(2025,1,30),0.05,100,0)</f>
        <v>96.6805555555556</v>
      </c>
      <c r="B12195" s="0" t="s">
        <v>12159</v>
      </c>
    </row>
    <row r="12196" customFormat="false" ht="15" hidden="false" customHeight="false" outlineLevel="0" collapsed="false">
      <c r="A12196" s="0" t="n">
        <f aca="false">RECEIVED(DATE(2024,5,31),DATE(2025,1,30),1000,0.05,0)</f>
        <v>1034.33414739262</v>
      </c>
      <c r="B12196" s="0" t="s">
        <v>12160</v>
      </c>
    </row>
    <row r="12197" customFormat="false" ht="15" hidden="false" customHeight="false" outlineLevel="0" collapsed="false">
      <c r="A12197" s="0" t="n">
        <f aca="false">INTRATE(DATE(2024,5,31),DATE(2025,1,30),1000,1050,0)</f>
        <v>0.0753138075313808</v>
      </c>
      <c r="B12197" s="0" t="s">
        <v>12161</v>
      </c>
    </row>
    <row r="12198" customFormat="false" ht="15" hidden="false" customHeight="false" outlineLevel="0" collapsed="false">
      <c r="A12198" s="0" t="n">
        <f aca="false">DISC(DATE(2024,5,31),DATE(2025,1,30),95,100,0)</f>
        <v>0.0750000000000001</v>
      </c>
      <c r="B12198" s="0" t="s">
        <v>12162</v>
      </c>
    </row>
    <row r="12199" customFormat="false" ht="15" hidden="false" customHeight="false" outlineLevel="0" collapsed="false">
      <c r="A12199" s="0" t="n">
        <f aca="false">YIELDDISC(DATE(2024,5,31),DATE(2025,1,30),95,100,0)</f>
        <v>0.0789473684210525</v>
      </c>
      <c r="B12199" s="0" t="s">
        <v>12163</v>
      </c>
    </row>
    <row r="12200" customFormat="false" ht="15" hidden="false" customHeight="false" outlineLevel="0" collapsed="false">
      <c r="A12200" s="0" t="n">
        <f aca="false">ACCRINTM(DATE(2024,5,31),DATE(2025,1,30),0.05,1000,0)</f>
        <v>33.1944444444444</v>
      </c>
      <c r="B12200" s="0" t="s">
        <v>12164</v>
      </c>
    </row>
    <row r="12201" customFormat="false" ht="15" hidden="false" customHeight="false" outlineLevel="0" collapsed="false">
      <c r="A12201" s="0" t="n">
        <f aca="false">PRICEMAT(DATE(2024,5,31),DATE(2025,1,30),DATE(2023,1,31),0.05,0.06,0)</f>
        <v>99.1025641025641</v>
      </c>
      <c r="B12201" s="0" t="s">
        <v>12165</v>
      </c>
    </row>
    <row r="12202" customFormat="false" ht="15" hidden="false" customHeight="false" outlineLevel="0" collapsed="false">
      <c r="A12202" s="0" t="n">
        <f aca="false">YIELDMAT(DATE(2024,5,31),DATE(2025,1,30),DATE(2023,1,31),0.05,98,0)</f>
        <v>0.0764331210191086</v>
      </c>
      <c r="B12202" s="0" t="s">
        <v>12166</v>
      </c>
    </row>
    <row r="12203" customFormat="false" ht="15" hidden="false" customHeight="false" outlineLevel="0" collapsed="false">
      <c r="A12203" s="0" t="n">
        <f aca="false">ACCRINT(DATE(2024,5,31),DATE(2030,1,1),DATE(2025,1,30),0.05,1000,2,0)</f>
        <v>33.1944444444444</v>
      </c>
      <c r="B12203" s="0" t="s">
        <v>12167</v>
      </c>
    </row>
    <row r="12204" customFormat="false" ht="15" hidden="false" customHeight="false" outlineLevel="0" collapsed="false">
      <c r="A12204" s="0" t="n">
        <f aca="false">DURATION(DATE(2024,5,31),DATE(2025,1,30),0.05,0.08,2,0)</f>
        <v>0.65429749444973</v>
      </c>
      <c r="B12204" s="0" t="s">
        <v>12168</v>
      </c>
    </row>
    <row r="12205" customFormat="false" ht="15" hidden="false" customHeight="false" outlineLevel="0" collapsed="false">
      <c r="A12205" s="0" t="n">
        <f aca="false">PRICE(DATE(2024,5,31),DATE(2025,1,30),0.05,0.08,100,2,0)</f>
        <v>98.0784395097635</v>
      </c>
      <c r="B12205" s="0" t="s">
        <v>12169</v>
      </c>
    </row>
    <row r="12206" customFormat="false" ht="15" hidden="false" customHeight="false" outlineLevel="0" collapsed="false">
      <c r="A12206" s="0" t="n">
        <f aca="false">YIELD(DATE(2024,5,31),DATE(2025,1,30),0.05,95,100,2,0)</f>
        <v>0.130442553503648</v>
      </c>
      <c r="B12206" s="0" t="s">
        <v>12170</v>
      </c>
    </row>
    <row r="12207" customFormat="false" ht="15" hidden="false" customHeight="false" outlineLevel="0" collapsed="false">
      <c r="A12207" s="0" t="n">
        <f aca="false">PRICEDISC(DATE(2024,5,31),DATE(2025,1,30),0.05,100,1)</f>
        <v>96.6666666666667</v>
      </c>
      <c r="B12207" s="0" t="s">
        <v>12171</v>
      </c>
    </row>
    <row r="12208" customFormat="false" ht="15" hidden="false" customHeight="false" outlineLevel="0" collapsed="false">
      <c r="A12208" s="0" t="n">
        <f aca="false">RECEIVED(DATE(2024,5,31),DATE(2025,1,30),1000,0.05,1)</f>
        <v>1034.48275862069</v>
      </c>
      <c r="B12208" s="0" t="s">
        <v>12172</v>
      </c>
    </row>
    <row r="12209" customFormat="false" ht="15" hidden="false" customHeight="false" outlineLevel="0" collapsed="false">
      <c r="A12209" s="0" t="n">
        <f aca="false">INTRATE(DATE(2024,5,31),DATE(2025,1,30),1000,1050,1)</f>
        <v>0.0750000000000001</v>
      </c>
      <c r="B12209" s="0" t="s">
        <v>12173</v>
      </c>
    </row>
    <row r="12210" customFormat="false" ht="15" hidden="false" customHeight="false" outlineLevel="0" collapsed="false">
      <c r="A12210" s="0" t="n">
        <f aca="false">DISC(DATE(2024,5,31),DATE(2025,1,30),95,100,1)</f>
        <v>0.0747950819672132</v>
      </c>
      <c r="B12210" s="0" t="s">
        <v>12174</v>
      </c>
    </row>
    <row r="12211" customFormat="false" ht="15" hidden="false" customHeight="false" outlineLevel="0" collapsed="false">
      <c r="A12211" s="0" t="n">
        <f aca="false">YIELDDISC(DATE(2024,5,31),DATE(2025,1,30),95,100,1)</f>
        <v>0.0787316652286453</v>
      </c>
      <c r="B12211" s="0" t="s">
        <v>12175</v>
      </c>
    </row>
    <row r="12212" customFormat="false" ht="15" hidden="false" customHeight="false" outlineLevel="0" collapsed="false">
      <c r="A12212" s="0" t="n">
        <f aca="false">ACCRINTM(DATE(2024,5,31),DATE(2025,1,30),0.05,1000,1)</f>
        <v>33.3333333333333</v>
      </c>
      <c r="B12212" s="0" t="s">
        <v>12176</v>
      </c>
    </row>
    <row r="12213" customFormat="false" ht="15" hidden="false" customHeight="false" outlineLevel="0" collapsed="false">
      <c r="A12213" s="0" t="n">
        <f aca="false">PRICEMAT(DATE(2024,5,31),DATE(2025,1,30),DATE(2023,1,31),0.05,0.06,1)</f>
        <v>99.1008875590013</v>
      </c>
      <c r="B12213" s="0" t="s">
        <v>12177</v>
      </c>
    </row>
    <row r="12214" customFormat="false" ht="15" hidden="false" customHeight="false" outlineLevel="0" collapsed="false">
      <c r="A12214" s="0" t="n">
        <f aca="false">YIELDMAT(DATE(2024,5,31),DATE(2025,1,30),DATE(2023,1,31),0.05,98,1)</f>
        <v>0.0763678787149982</v>
      </c>
      <c r="B12214" s="0" t="s">
        <v>12178</v>
      </c>
    </row>
    <row r="12215" customFormat="false" ht="15" hidden="false" customHeight="false" outlineLevel="0" collapsed="false">
      <c r="A12215" s="0" t="n">
        <f aca="false">ACCRINT(DATE(2024,5,31),DATE(2030,1,1),DATE(2025,1,30),0.05,1000,2,1)</f>
        <v>33.3333333333333</v>
      </c>
      <c r="B12215" s="0" t="s">
        <v>12179</v>
      </c>
    </row>
    <row r="12216" customFormat="false" ht="15" hidden="false" customHeight="false" outlineLevel="0" collapsed="false">
      <c r="A12216" s="0" t="n">
        <f aca="false">DURATION(DATE(2024,5,31),DATE(2025,1,30),0.05,0.08,2,1)</f>
        <v>0.656123978467995</v>
      </c>
      <c r="B12216" s="0" t="s">
        <v>12180</v>
      </c>
    </row>
    <row r="12217" customFormat="false" ht="15" hidden="false" customHeight="false" outlineLevel="0" collapsed="false">
      <c r="A12217" s="0" t="n">
        <f aca="false">PRICE(DATE(2024,5,31),DATE(2025,1,30),0.05,0.08,100,2,1)</f>
        <v>98.0836129721318</v>
      </c>
      <c r="B12217" s="0" t="s">
        <v>12181</v>
      </c>
    </row>
    <row r="12218" customFormat="false" ht="15" hidden="false" customHeight="false" outlineLevel="0" collapsed="false">
      <c r="A12218" s="0" t="n">
        <f aca="false">YIELD(DATE(2024,5,31),DATE(2025,1,30),0.05,95,100,2,1)</f>
        <v>0.130665858594605</v>
      </c>
      <c r="B12218" s="0" t="s">
        <v>12182</v>
      </c>
    </row>
    <row r="12219" customFormat="false" ht="15" hidden="false" customHeight="false" outlineLevel="0" collapsed="false">
      <c r="A12219" s="0" t="n">
        <f aca="false">PRICEDISC(DATE(2024,5,31),DATE(2025,1,30),0.05,100,4)</f>
        <v>96.6805555555556</v>
      </c>
      <c r="B12219" s="0" t="s">
        <v>12183</v>
      </c>
    </row>
    <row r="12220" customFormat="false" ht="15" hidden="false" customHeight="false" outlineLevel="0" collapsed="false">
      <c r="A12220" s="0" t="n">
        <f aca="false">RECEIVED(DATE(2024,5,31),DATE(2025,1,30),1000,0.05,4)</f>
        <v>1034.33414739262</v>
      </c>
      <c r="B12220" s="0" t="s">
        <v>12184</v>
      </c>
    </row>
    <row r="12221" customFormat="false" ht="15" hidden="false" customHeight="false" outlineLevel="0" collapsed="false">
      <c r="A12221" s="0" t="n">
        <f aca="false">INTRATE(DATE(2024,5,31),DATE(2025,1,30),1000,1050,4)</f>
        <v>0.0753138075313808</v>
      </c>
      <c r="B12221" s="0" t="s">
        <v>12185</v>
      </c>
    </row>
    <row r="12222" customFormat="false" ht="15" hidden="false" customHeight="false" outlineLevel="0" collapsed="false">
      <c r="A12222" s="0" t="n">
        <f aca="false">DISC(DATE(2024,5,31),DATE(2025,1,30),95,100,4)</f>
        <v>0.0750000000000001</v>
      </c>
      <c r="B12222" s="0" t="s">
        <v>12186</v>
      </c>
    </row>
    <row r="12223" customFormat="false" ht="15" hidden="false" customHeight="false" outlineLevel="0" collapsed="false">
      <c r="A12223" s="0" t="n">
        <f aca="false">YIELDDISC(DATE(2024,5,31),DATE(2025,1,30),95,100,4)</f>
        <v>0.0789473684210525</v>
      </c>
      <c r="B12223" s="0" t="s">
        <v>12187</v>
      </c>
    </row>
    <row r="12224" customFormat="false" ht="15" hidden="false" customHeight="false" outlineLevel="0" collapsed="false">
      <c r="A12224" s="0" t="n">
        <f aca="false">ACCRINTM(DATE(2024,5,31),DATE(2025,1,30),0.05,1000,4)</f>
        <v>33.1944444444444</v>
      </c>
      <c r="B12224" s="0" t="s">
        <v>12188</v>
      </c>
    </row>
    <row r="12225" customFormat="false" ht="15" hidden="false" customHeight="false" outlineLevel="0" collapsed="false">
      <c r="A12225" s="0" t="n">
        <f aca="false">PRICEMAT(DATE(2024,5,31),DATE(2025,1,30),DATE(2023,1,31),0.05,0.06,4)</f>
        <v>99.1025641025641</v>
      </c>
      <c r="B12225" s="0" t="s">
        <v>12189</v>
      </c>
    </row>
    <row r="12226" customFormat="false" ht="15" hidden="false" customHeight="false" outlineLevel="0" collapsed="false">
      <c r="A12226" s="0" t="n">
        <f aca="false">YIELDMAT(DATE(2024,5,31),DATE(2025,1,30),DATE(2023,1,31),0.05,98,4)</f>
        <v>0.0764331210191086</v>
      </c>
      <c r="B12226" s="0" t="s">
        <v>12190</v>
      </c>
    </row>
    <row r="12227" customFormat="false" ht="15" hidden="false" customHeight="false" outlineLevel="0" collapsed="false">
      <c r="A12227" s="0" t="n">
        <f aca="false">ACCRINT(DATE(2024,5,31),DATE(2030,1,1),DATE(2025,1,30),0.05,1000,2,4)</f>
        <v>33.1944444444444</v>
      </c>
      <c r="B12227" s="0" t="s">
        <v>12191</v>
      </c>
    </row>
    <row r="12228" customFormat="false" ht="15" hidden="false" customHeight="false" outlineLevel="0" collapsed="false">
      <c r="A12228" s="0" t="n">
        <f aca="false">DURATION(DATE(2024,5,31),DATE(2025,1,30),0.05,0.08,2,4)</f>
        <v>0.65429749444973</v>
      </c>
      <c r="B12228" s="0" t="s">
        <v>12192</v>
      </c>
    </row>
    <row r="12229" customFormat="false" ht="15" hidden="false" customHeight="false" outlineLevel="0" collapsed="false">
      <c r="A12229" s="0" t="n">
        <f aca="false">PRICE(DATE(2024,5,31),DATE(2025,1,30),0.05,0.08,100,2,4)</f>
        <v>98.0784395097635</v>
      </c>
      <c r="B12229" s="0" t="s">
        <v>12193</v>
      </c>
    </row>
    <row r="12230" customFormat="false" ht="15" hidden="false" customHeight="false" outlineLevel="0" collapsed="false">
      <c r="A12230" s="0" t="n">
        <f aca="false">YIELD(DATE(2024,5,31),DATE(2025,1,30),0.05,95,100,2,4)</f>
        <v>0.130442553503648</v>
      </c>
      <c r="B12230" s="0" t="s">
        <v>12194</v>
      </c>
    </row>
    <row r="12231" customFormat="false" ht="15" hidden="false" customHeight="false" outlineLevel="0" collapsed="false">
      <c r="A12231" s="0" t="n">
        <f aca="false">TBILLPRICE(DATE(2024,5,31),DATE(2025,1,30),0.05)</f>
        <v>96.6666666666667</v>
      </c>
      <c r="B12231" s="0" t="s">
        <v>12195</v>
      </c>
    </row>
    <row r="12232" customFormat="false" ht="15" hidden="false" customHeight="false" outlineLevel="0" collapsed="false">
      <c r="A12232" s="0" t="n">
        <f aca="false">TBILLEQ(DATE(2024,5,31),DATE(2025,1,30),0.05)</f>
        <v>0.0524425287356322</v>
      </c>
      <c r="B12232" s="0" t="s">
        <v>12196</v>
      </c>
    </row>
    <row r="12233" customFormat="false" ht="15" hidden="false" customHeight="false" outlineLevel="0" collapsed="false">
      <c r="A12233" s="0" t="n">
        <f aca="false">TBILLYIELD(DATE(2024,5,31),DATE(2025,1,30),98)</f>
        <v>0.0304852231348971</v>
      </c>
      <c r="B12233" s="0" t="s">
        <v>12197</v>
      </c>
    </row>
    <row r="12234" customFormat="false" ht="15" hidden="false" customHeight="false" outlineLevel="0" collapsed="false">
      <c r="A12234" s="0" t="n">
        <f aca="false">PRICEDISC(DATE(2024,5,31),DATE(2024,12,31),0.05,100,0)</f>
        <v>97.0833333333333</v>
      </c>
      <c r="B12234" s="0" t="s">
        <v>12198</v>
      </c>
    </row>
    <row r="12235" customFormat="false" ht="15" hidden="false" customHeight="false" outlineLevel="0" collapsed="false">
      <c r="A12235" s="0" t="n">
        <f aca="false">RECEIVED(DATE(2024,5,31),DATE(2024,12,31),1000,0.05,0)</f>
        <v>1030.04291845494</v>
      </c>
      <c r="B12235" s="0" t="s">
        <v>12199</v>
      </c>
    </row>
    <row r="12236" customFormat="false" ht="15" hidden="false" customHeight="false" outlineLevel="0" collapsed="false">
      <c r="A12236" s="0" t="n">
        <f aca="false">INTRATE(DATE(2024,5,31),DATE(2024,12,31),1000,1050,0)</f>
        <v>0.0857142857142858</v>
      </c>
      <c r="B12236" s="0" t="s">
        <v>12200</v>
      </c>
    </row>
    <row r="12237" customFormat="false" ht="15" hidden="false" customHeight="false" outlineLevel="0" collapsed="false">
      <c r="A12237" s="0" t="n">
        <f aca="false">DISC(DATE(2024,5,31),DATE(2024,12,31),95,100,0)</f>
        <v>0.0857142857142858</v>
      </c>
      <c r="B12237" s="0" t="s">
        <v>12201</v>
      </c>
    </row>
    <row r="12238" customFormat="false" ht="15" hidden="false" customHeight="false" outlineLevel="0" collapsed="false">
      <c r="A12238" s="0" t="n">
        <f aca="false">YIELDDISC(DATE(2024,5,31),DATE(2024,12,31),95,100,0)</f>
        <v>0.0902255639097743</v>
      </c>
      <c r="B12238" s="0" t="s">
        <v>12202</v>
      </c>
    </row>
    <row r="12239" customFormat="false" ht="15" hidden="false" customHeight="false" outlineLevel="0" collapsed="false">
      <c r="A12239" s="0" t="n">
        <f aca="false">ACCRINTM(DATE(2024,5,31),DATE(2024,12,31),0.05,1000,0)</f>
        <v>29.1666666666667</v>
      </c>
      <c r="B12239" s="0" t="s">
        <v>12203</v>
      </c>
    </row>
    <row r="12240" customFormat="false" ht="15" hidden="false" customHeight="false" outlineLevel="0" collapsed="false">
      <c r="A12240" s="0" t="n">
        <f aca="false">PRICEMAT(DATE(2024,5,31),DATE(2024,12,31),DATE(2023,1,31),0.05,0.06,0)</f>
        <v>99.2109500805153</v>
      </c>
      <c r="B12240" s="0" t="s">
        <v>12204</v>
      </c>
    </row>
    <row r="12241" customFormat="false" ht="15" hidden="false" customHeight="false" outlineLevel="0" collapsed="false">
      <c r="A12241" s="0" t="n">
        <f aca="false">YIELDMAT(DATE(2024,5,31),DATE(2024,12,31),DATE(2023,1,31),0.05,98,0)</f>
        <v>0.0805277525022751</v>
      </c>
      <c r="B12241" s="0" t="s">
        <v>12205</v>
      </c>
    </row>
    <row r="12242" customFormat="false" ht="15" hidden="false" customHeight="false" outlineLevel="0" collapsed="false">
      <c r="A12242" s="0" t="n">
        <f aca="false">ACCRINT(DATE(2024,5,31),DATE(2030,1,1),DATE(2024,12,31),0.05,1000,2,0)</f>
        <v>29.1666666666667</v>
      </c>
      <c r="B12242" s="0" t="s">
        <v>12206</v>
      </c>
    </row>
    <row r="12243" customFormat="false" ht="15" hidden="false" customHeight="false" outlineLevel="0" collapsed="false">
      <c r="A12243" s="0" t="n">
        <f aca="false">DURATION(DATE(2024,5,31),DATE(2024,12,31),0.05,0.08,2,0)</f>
        <v>0.570964161116397</v>
      </c>
      <c r="B12243" s="0" t="s">
        <v>12207</v>
      </c>
    </row>
    <row r="12244" customFormat="false" ht="15" hidden="false" customHeight="false" outlineLevel="0" collapsed="false">
      <c r="A12244" s="0" t="n">
        <f aca="false">PRICE(DATE(2024,5,31),DATE(2024,12,31),0.05,0.08,100,2,0)</f>
        <v>98.3159208928599</v>
      </c>
      <c r="B12244" s="0" t="s">
        <v>12208</v>
      </c>
    </row>
    <row r="12245" customFormat="false" ht="15" hidden="false" customHeight="false" outlineLevel="0" collapsed="false">
      <c r="A12245" s="0" t="n">
        <f aca="false">YIELD(DATE(2024,5,31),DATE(2024,12,31),0.05,95,100,2,0)</f>
        <v>0.142102783697125</v>
      </c>
      <c r="B12245" s="0" t="s">
        <v>12209</v>
      </c>
    </row>
    <row r="12246" customFormat="false" ht="15" hidden="false" customHeight="false" outlineLevel="0" collapsed="false">
      <c r="A12246" s="0" t="n">
        <f aca="false">PRICEDISC(DATE(2024,5,31),DATE(2024,12,31),0.05,100,1)</f>
        <v>97.0765027322404</v>
      </c>
      <c r="B12246" s="0" t="s">
        <v>12210</v>
      </c>
    </row>
    <row r="12247" customFormat="false" ht="15" hidden="false" customHeight="false" outlineLevel="0" collapsed="false">
      <c r="A12247" s="0" t="n">
        <f aca="false">RECEIVED(DATE(2024,5,31),DATE(2024,12,31),1000,0.05,1)</f>
        <v>1030.11539544047</v>
      </c>
      <c r="B12247" s="0" t="s">
        <v>12211</v>
      </c>
    </row>
    <row r="12248" customFormat="false" ht="15" hidden="false" customHeight="false" outlineLevel="0" collapsed="false">
      <c r="A12248" s="0" t="n">
        <f aca="false">INTRATE(DATE(2024,5,31),DATE(2024,12,31),1000,1050,1)</f>
        <v>0.0855140186915889</v>
      </c>
      <c r="B12248" s="0" t="s">
        <v>12212</v>
      </c>
    </row>
    <row r="12249" customFormat="false" ht="15" hidden="false" customHeight="false" outlineLevel="0" collapsed="false">
      <c r="A12249" s="0" t="n">
        <f aca="false">DISC(DATE(2024,5,31),DATE(2024,12,31),95,100,1)</f>
        <v>0.0855140186915889</v>
      </c>
      <c r="B12249" s="0" t="s">
        <v>12213</v>
      </c>
    </row>
    <row r="12250" customFormat="false" ht="15" hidden="false" customHeight="false" outlineLevel="0" collapsed="false">
      <c r="A12250" s="0" t="n">
        <f aca="false">YIELDDISC(DATE(2024,5,31),DATE(2024,12,31),95,100,1)</f>
        <v>0.0900147565174618</v>
      </c>
      <c r="B12250" s="0" t="s">
        <v>12214</v>
      </c>
    </row>
    <row r="12251" customFormat="false" ht="15" hidden="false" customHeight="false" outlineLevel="0" collapsed="false">
      <c r="A12251" s="0" t="n">
        <f aca="false">ACCRINTM(DATE(2024,5,31),DATE(2024,12,31),0.05,1000,1)</f>
        <v>29.2349726775956</v>
      </c>
      <c r="B12251" s="0" t="s">
        <v>12215</v>
      </c>
    </row>
    <row r="12252" customFormat="false" ht="15" hidden="false" customHeight="false" outlineLevel="0" collapsed="false">
      <c r="A12252" s="0" t="n">
        <f aca="false">PRICEMAT(DATE(2024,5,31),DATE(2024,12,31),DATE(2023,1,31),0.05,0.06,1)</f>
        <v>99.2136467849657</v>
      </c>
      <c r="B12252" s="0" t="s">
        <v>12216</v>
      </c>
    </row>
    <row r="12253" customFormat="false" ht="15" hidden="false" customHeight="false" outlineLevel="0" collapsed="false">
      <c r="A12253" s="0" t="n">
        <f aca="false">YIELDMAT(DATE(2024,5,31),DATE(2024,12,31),DATE(2023,1,31),0.05,98,1)</f>
        <v>0.0805306008855403</v>
      </c>
      <c r="B12253" s="0" t="s">
        <v>12217</v>
      </c>
    </row>
    <row r="12254" customFormat="false" ht="15" hidden="false" customHeight="false" outlineLevel="0" collapsed="false">
      <c r="A12254" s="0" t="n">
        <f aca="false">ACCRINT(DATE(2024,5,31),DATE(2030,1,1),DATE(2024,12,31),0.05,1000,2,1)</f>
        <v>29.2349726775956</v>
      </c>
      <c r="B12254" s="0" t="s">
        <v>12218</v>
      </c>
    </row>
    <row r="12255" customFormat="false" ht="15" hidden="false" customHeight="false" outlineLevel="0" collapsed="false">
      <c r="A12255" s="0" t="n">
        <f aca="false">DURATION(DATE(2024,5,31),DATE(2024,12,31),0.05,0.08,2,1)</f>
        <v>0.572330281334976</v>
      </c>
      <c r="B12255" s="0" t="s">
        <v>12219</v>
      </c>
    </row>
    <row r="12256" customFormat="false" ht="15" hidden="false" customHeight="false" outlineLevel="0" collapsed="false">
      <c r="A12256" s="0" t="n">
        <f aca="false">PRICE(DATE(2024,5,31),DATE(2024,12,31),0.05,0.08,100,2,1)</f>
        <v>98.3185543576645</v>
      </c>
      <c r="B12256" s="0" t="s">
        <v>12220</v>
      </c>
    </row>
    <row r="12257" customFormat="false" ht="15" hidden="false" customHeight="false" outlineLevel="0" collapsed="false">
      <c r="A12257" s="0" t="n">
        <f aca="false">YIELD(DATE(2024,5,31),DATE(2024,12,31),0.05,95,100,2,1)</f>
        <v>0.142250474920727</v>
      </c>
      <c r="B12257" s="0" t="s">
        <v>12221</v>
      </c>
    </row>
    <row r="12258" customFormat="false" ht="15" hidden="false" customHeight="false" outlineLevel="0" collapsed="false">
      <c r="A12258" s="0" t="n">
        <f aca="false">PRICEDISC(DATE(2024,5,31),DATE(2024,12,31),0.05,100,4)</f>
        <v>97.0833333333333</v>
      </c>
      <c r="B12258" s="0" t="s">
        <v>12222</v>
      </c>
    </row>
    <row r="12259" customFormat="false" ht="15" hidden="false" customHeight="false" outlineLevel="0" collapsed="false">
      <c r="A12259" s="0" t="n">
        <f aca="false">RECEIVED(DATE(2024,5,31),DATE(2024,12,31),1000,0.05,4)</f>
        <v>1030.04291845494</v>
      </c>
      <c r="B12259" s="0" t="s">
        <v>12223</v>
      </c>
    </row>
    <row r="12260" customFormat="false" ht="15" hidden="false" customHeight="false" outlineLevel="0" collapsed="false">
      <c r="A12260" s="0" t="n">
        <f aca="false">INTRATE(DATE(2024,5,31),DATE(2024,12,31),1000,1050,4)</f>
        <v>0.0857142857142858</v>
      </c>
      <c r="B12260" s="0" t="s">
        <v>12224</v>
      </c>
    </row>
    <row r="12261" customFormat="false" ht="15" hidden="false" customHeight="false" outlineLevel="0" collapsed="false">
      <c r="A12261" s="0" t="n">
        <f aca="false">DISC(DATE(2024,5,31),DATE(2024,12,31),95,100,4)</f>
        <v>0.0857142857142858</v>
      </c>
      <c r="B12261" s="0" t="s">
        <v>12225</v>
      </c>
    </row>
    <row r="12262" customFormat="false" ht="15" hidden="false" customHeight="false" outlineLevel="0" collapsed="false">
      <c r="A12262" s="0" t="n">
        <f aca="false">YIELDDISC(DATE(2024,5,31),DATE(2024,12,31),95,100,4)</f>
        <v>0.0902255639097743</v>
      </c>
      <c r="B12262" s="0" t="s">
        <v>12226</v>
      </c>
    </row>
    <row r="12263" customFormat="false" ht="15" hidden="false" customHeight="false" outlineLevel="0" collapsed="false">
      <c r="A12263" s="0" t="n">
        <f aca="false">ACCRINTM(DATE(2024,5,31),DATE(2024,12,31),0.05,1000,4)</f>
        <v>29.1666666666667</v>
      </c>
      <c r="B12263" s="0" t="s">
        <v>12227</v>
      </c>
    </row>
    <row r="12264" customFormat="false" ht="15" hidden="false" customHeight="false" outlineLevel="0" collapsed="false">
      <c r="A12264" s="0" t="n">
        <f aca="false">PRICEMAT(DATE(2024,5,31),DATE(2024,12,31),DATE(2023,1,31),0.05,0.06,4)</f>
        <v>99.2109500805153</v>
      </c>
      <c r="B12264" s="0" t="s">
        <v>12228</v>
      </c>
    </row>
    <row r="12265" customFormat="false" ht="15" hidden="false" customHeight="false" outlineLevel="0" collapsed="false">
      <c r="A12265" s="0" t="n">
        <f aca="false">YIELDMAT(DATE(2024,5,31),DATE(2024,12,31),DATE(2023,1,31),0.05,98,4)</f>
        <v>0.0805277525022751</v>
      </c>
      <c r="B12265" s="0" t="s">
        <v>12229</v>
      </c>
    </row>
    <row r="12266" customFormat="false" ht="15" hidden="false" customHeight="false" outlineLevel="0" collapsed="false">
      <c r="A12266" s="0" t="n">
        <f aca="false">ACCRINT(DATE(2024,5,31),DATE(2030,1,1),DATE(2024,12,31),0.05,1000,2,4)</f>
        <v>29.1666666666667</v>
      </c>
      <c r="B12266" s="0" t="s">
        <v>12230</v>
      </c>
    </row>
    <row r="12267" customFormat="false" ht="15" hidden="false" customHeight="false" outlineLevel="0" collapsed="false">
      <c r="A12267" s="0" t="n">
        <f aca="false">DURATION(DATE(2024,5,31),DATE(2024,12,31),0.05,0.08,2,4)</f>
        <v>0.570964161116397</v>
      </c>
      <c r="B12267" s="0" t="s">
        <v>12231</v>
      </c>
    </row>
    <row r="12268" customFormat="false" ht="15" hidden="false" customHeight="false" outlineLevel="0" collapsed="false">
      <c r="A12268" s="0" t="n">
        <f aca="false">PRICE(DATE(2024,5,31),DATE(2024,12,31),0.05,0.08,100,2,4)</f>
        <v>98.3159208928599</v>
      </c>
      <c r="B12268" s="0" t="s">
        <v>12232</v>
      </c>
    </row>
    <row r="12269" customFormat="false" ht="15" hidden="false" customHeight="false" outlineLevel="0" collapsed="false">
      <c r="A12269" s="0" t="n">
        <f aca="false">YIELD(DATE(2024,5,31),DATE(2024,12,31),0.05,95,100,2,4)</f>
        <v>0.142102783697125</v>
      </c>
      <c r="B12269" s="0" t="s">
        <v>12233</v>
      </c>
    </row>
    <row r="12270" customFormat="false" ht="15" hidden="false" customHeight="false" outlineLevel="0" collapsed="false">
      <c r="A12270" s="0" t="n">
        <f aca="false">TBILLPRICE(DATE(2024,5,31),DATE(2024,12,31),0.05)</f>
        <v>97.0694444444444</v>
      </c>
      <c r="B12270" s="0" t="s">
        <v>12234</v>
      </c>
    </row>
    <row r="12271" customFormat="false" ht="15" hidden="false" customHeight="false" outlineLevel="0" collapsed="false">
      <c r="A12271" s="0" t="n">
        <f aca="false">TBILLEQ(DATE(2024,5,31),DATE(2024,12,31),0.05)</f>
        <v>0.0522249248819574</v>
      </c>
      <c r="B12271" s="0" t="s">
        <v>12235</v>
      </c>
    </row>
    <row r="12272" customFormat="false" ht="15" hidden="false" customHeight="false" outlineLevel="0" collapsed="false">
      <c r="A12272" s="0" t="n">
        <f aca="false">TBILLYIELD(DATE(2024,5,31),DATE(2024,12,31),98)</f>
        <v>0.0348196150498114</v>
      </c>
      <c r="B12272" s="0" t="s">
        <v>12236</v>
      </c>
    </row>
    <row r="12273" customFormat="false" ht="15" hidden="false" customHeight="false" outlineLevel="0" collapsed="false">
      <c r="A12273" s="0" t="n">
        <f aca="false">PRICEDISC(DATE(2024,6,30),DATE(2025,2,28),0.05,100,0)</f>
        <v>96.6944444444444</v>
      </c>
      <c r="B12273" s="0" t="s">
        <v>8914</v>
      </c>
    </row>
    <row r="12274" customFormat="false" ht="15" hidden="false" customHeight="false" outlineLevel="0" collapsed="false">
      <c r="A12274" s="0" t="n">
        <f aca="false">RECEIVED(DATE(2024,6,30),DATE(2025,2,28),1000,0.05,0)</f>
        <v>1034.18557885665</v>
      </c>
      <c r="B12274" s="0" t="s">
        <v>8918</v>
      </c>
    </row>
    <row r="12275" customFormat="false" ht="15" hidden="false" customHeight="false" outlineLevel="0" collapsed="false">
      <c r="A12275" s="0" t="n">
        <f aca="false">INTRATE(DATE(2024,6,30),DATE(2025,2,28),1000,1050,0)</f>
        <v>0.0756302521008404</v>
      </c>
      <c r="B12275" s="0" t="s">
        <v>8920</v>
      </c>
    </row>
    <row r="12276" customFormat="false" ht="15" hidden="false" customHeight="false" outlineLevel="0" collapsed="false">
      <c r="A12276" s="0" t="n">
        <f aca="false">DISC(DATE(2024,6,30),DATE(2025,2,28),95,100,0)</f>
        <v>0.0756302521008404</v>
      </c>
      <c r="B12276" s="0" t="s">
        <v>8911</v>
      </c>
    </row>
    <row r="12277" customFormat="false" ht="15" hidden="false" customHeight="false" outlineLevel="0" collapsed="false">
      <c r="A12277" s="0" t="n">
        <f aca="false">YIELDDISC(DATE(2024,6,30),DATE(2025,2,28),95,100,0)</f>
        <v>0.079610791685095</v>
      </c>
      <c r="B12277" s="0" t="s">
        <v>8916</v>
      </c>
    </row>
    <row r="12278" customFormat="false" ht="15" hidden="false" customHeight="false" outlineLevel="0" collapsed="false">
      <c r="A12278" s="0" t="n">
        <f aca="false">ACCRINTM(DATE(2024,6,30),DATE(2025,2,28),0.05,1000,0)</f>
        <v>33.0555555555556</v>
      </c>
      <c r="B12278" s="0" t="s">
        <v>12237</v>
      </c>
    </row>
    <row r="12279" customFormat="false" ht="15" hidden="false" customHeight="false" outlineLevel="0" collapsed="false">
      <c r="A12279" s="0" t="n">
        <f aca="false">PRICEMAT(DATE(2024,6,30),DATE(2025,2,28),DATE(2023,1,31),0.05,0.06,0)</f>
        <v>99.0938602116063</v>
      </c>
      <c r="B12279" s="0" t="s">
        <v>12238</v>
      </c>
    </row>
    <row r="12280" customFormat="false" ht="15" hidden="false" customHeight="false" outlineLevel="0" collapsed="false">
      <c r="A12280" s="0" t="n">
        <f aca="false">YIELDMAT(DATE(2024,6,30),DATE(2025,2,28),DATE(2023,1,31),0.05,98,0)</f>
        <v>0.0763699611486149</v>
      </c>
      <c r="B12280" s="0" t="s">
        <v>12239</v>
      </c>
    </row>
    <row r="12281" customFormat="false" ht="15" hidden="false" customHeight="false" outlineLevel="0" collapsed="false">
      <c r="A12281" s="0" t="n">
        <f aca="false">ACCRINT(DATE(2024,6,30),DATE(2030,1,1),DATE(2025,2,28),0.05,1000,2,0)</f>
        <v>33.0555555555556</v>
      </c>
      <c r="B12281" s="0" t="s">
        <v>12240</v>
      </c>
    </row>
    <row r="12282" customFormat="false" ht="15" hidden="false" customHeight="false" outlineLevel="0" collapsed="false">
      <c r="A12282" s="0" t="n">
        <f aca="false">DURATION(DATE(2024,6,30),DATE(2025,2,28),0.05,0.08,2,0)</f>
        <v>0.648741938894175</v>
      </c>
      <c r="B12282" s="0" t="s">
        <v>7956</v>
      </c>
    </row>
    <row r="12283" customFormat="false" ht="15" hidden="false" customHeight="false" outlineLevel="0" collapsed="false">
      <c r="A12283" s="0" t="n">
        <f aca="false">PRICE(DATE(2024,6,30),DATE(2025,2,28),0.05,0.08,100,2,0)</f>
        <v>98.0784395097635</v>
      </c>
      <c r="B12283" s="0" t="s">
        <v>7950</v>
      </c>
    </row>
    <row r="12284" customFormat="false" ht="15" hidden="false" customHeight="false" outlineLevel="0" collapsed="false">
      <c r="A12284" s="0" t="n">
        <f aca="false">YIELD(DATE(2024,6,30),DATE(2025,2,28),0.05,95,100,2,0)</f>
        <v>0.130442553503648</v>
      </c>
      <c r="B12284" s="0" t="s">
        <v>7953</v>
      </c>
    </row>
    <row r="12285" customFormat="false" ht="15" hidden="false" customHeight="false" outlineLevel="0" collapsed="false">
      <c r="A12285" s="0" t="n">
        <f aca="false">PRICEDISC(DATE(2024,6,30),DATE(2025,2,28),0.05,100,1)</f>
        <v>96.6803278688525</v>
      </c>
      <c r="B12285" s="0" t="s">
        <v>8931</v>
      </c>
    </row>
    <row r="12286" customFormat="false" ht="15" hidden="false" customHeight="false" outlineLevel="0" collapsed="false">
      <c r="A12286" s="0" t="n">
        <f aca="false">RECEIVED(DATE(2024,6,30),DATE(2025,2,28),1000,0.05,1)</f>
        <v>1034.33658329801</v>
      </c>
      <c r="B12286" s="0" t="s">
        <v>8935</v>
      </c>
    </row>
    <row r="12287" customFormat="false" ht="15" hidden="false" customHeight="false" outlineLevel="0" collapsed="false">
      <c r="A12287" s="0" t="n">
        <f aca="false">INTRATE(DATE(2024,6,30),DATE(2025,2,28),1000,1050,1)</f>
        <v>0.0753086419753087</v>
      </c>
      <c r="B12287" s="0" t="s">
        <v>8937</v>
      </c>
    </row>
    <row r="12288" customFormat="false" ht="15" hidden="false" customHeight="false" outlineLevel="0" collapsed="false">
      <c r="A12288" s="0" t="n">
        <f aca="false">DISC(DATE(2024,6,30),DATE(2025,2,28),95,100,1)</f>
        <v>0.0751028806584363</v>
      </c>
      <c r="B12288" s="0" t="s">
        <v>8928</v>
      </c>
    </row>
    <row r="12289" customFormat="false" ht="15" hidden="false" customHeight="false" outlineLevel="0" collapsed="false">
      <c r="A12289" s="0" t="n">
        <f aca="false">YIELDDISC(DATE(2024,6,30),DATE(2025,2,28),95,100,1)</f>
        <v>0.0790556638509854</v>
      </c>
      <c r="B12289" s="0" t="s">
        <v>8933</v>
      </c>
    </row>
    <row r="12290" customFormat="false" ht="15" hidden="false" customHeight="false" outlineLevel="0" collapsed="false">
      <c r="A12290" s="0" t="n">
        <f aca="false">ACCRINTM(DATE(2024,6,30),DATE(2025,2,28),0.05,1000,1)</f>
        <v>33.1967213114754</v>
      </c>
      <c r="B12290" s="0" t="s">
        <v>12241</v>
      </c>
    </row>
    <row r="12291" customFormat="false" ht="15" hidden="false" customHeight="false" outlineLevel="0" collapsed="false">
      <c r="A12291" s="0" t="n">
        <f aca="false">PRICEMAT(DATE(2024,6,30),DATE(2025,2,28),DATE(2023,1,31),0.05,0.06,1)</f>
        <v>99.0888591955978</v>
      </c>
      <c r="B12291" s="0" t="s">
        <v>12242</v>
      </c>
    </row>
    <row r="12292" customFormat="false" ht="15" hidden="false" customHeight="false" outlineLevel="0" collapsed="false">
      <c r="A12292" s="0" t="n">
        <f aca="false">YIELDMAT(DATE(2024,6,30),DATE(2025,2,28),DATE(2023,1,31),0.05,98,1)</f>
        <v>0.0761896044426591</v>
      </c>
      <c r="B12292" s="0" t="s">
        <v>12243</v>
      </c>
    </row>
    <row r="12293" customFormat="false" ht="15" hidden="false" customHeight="false" outlineLevel="0" collapsed="false">
      <c r="A12293" s="0" t="n">
        <f aca="false">ACCRINT(DATE(2024,6,30),DATE(2030,1,1),DATE(2025,2,28),0.05,1000,2,1)</f>
        <v>33.1967213114754</v>
      </c>
      <c r="B12293" s="0" t="s">
        <v>12244</v>
      </c>
    </row>
    <row r="12294" customFormat="false" ht="15" hidden="false" customHeight="false" outlineLevel="0" collapsed="false">
      <c r="A12294" s="0" t="n">
        <f aca="false">DURATION(DATE(2024,6,30),DATE(2025,2,28),0.05,0.08,2,1)</f>
        <v>0.653384252440598</v>
      </c>
      <c r="B12294" s="0" t="s">
        <v>7967</v>
      </c>
    </row>
    <row r="12295" customFormat="false" ht="15" hidden="false" customHeight="false" outlineLevel="0" collapsed="false">
      <c r="A12295" s="0" t="n">
        <f aca="false">PRICE(DATE(2024,6,30),DATE(2025,2,28),0.05,0.08,100,2,1)</f>
        <v>98.0733243059585</v>
      </c>
      <c r="B12295" s="0" t="s">
        <v>7961</v>
      </c>
    </row>
    <row r="12296" customFormat="false" ht="15" hidden="false" customHeight="false" outlineLevel="0" collapsed="false">
      <c r="A12296" s="0" t="n">
        <f aca="false">YIELD(DATE(2024,6,30),DATE(2025,2,28),0.05,95,100,2,1)</f>
        <v>0.130222940231379</v>
      </c>
      <c r="B12296" s="0" t="s">
        <v>7964</v>
      </c>
    </row>
    <row r="12297" customFormat="false" ht="15" hidden="false" customHeight="false" outlineLevel="0" collapsed="false">
      <c r="A12297" s="0" t="n">
        <f aca="false">PRICEDISC(DATE(2024,6,30),DATE(2025,2,28),0.05,100,4)</f>
        <v>96.6944444444444</v>
      </c>
      <c r="B12297" s="0" t="s">
        <v>8982</v>
      </c>
    </row>
    <row r="12298" customFormat="false" ht="15" hidden="false" customHeight="false" outlineLevel="0" collapsed="false">
      <c r="A12298" s="0" t="n">
        <f aca="false">RECEIVED(DATE(2024,6,30),DATE(2025,2,28),1000,0.05,4)</f>
        <v>1034.18557885665</v>
      </c>
      <c r="B12298" s="0" t="s">
        <v>8986</v>
      </c>
    </row>
    <row r="12299" customFormat="false" ht="15" hidden="false" customHeight="false" outlineLevel="0" collapsed="false">
      <c r="A12299" s="0" t="n">
        <f aca="false">INTRATE(DATE(2024,6,30),DATE(2025,2,28),1000,1050,4)</f>
        <v>0.0756302521008404</v>
      </c>
      <c r="B12299" s="0" t="s">
        <v>8988</v>
      </c>
    </row>
    <row r="12300" customFormat="false" ht="15" hidden="false" customHeight="false" outlineLevel="0" collapsed="false">
      <c r="A12300" s="0" t="n">
        <f aca="false">DISC(DATE(2024,6,30),DATE(2025,2,28),95,100,4)</f>
        <v>0.0756302521008404</v>
      </c>
      <c r="B12300" s="0" t="s">
        <v>8979</v>
      </c>
    </row>
    <row r="12301" customFormat="false" ht="15" hidden="false" customHeight="false" outlineLevel="0" collapsed="false">
      <c r="A12301" s="0" t="n">
        <f aca="false">YIELDDISC(DATE(2024,6,30),DATE(2025,2,28),95,100,4)</f>
        <v>0.079610791685095</v>
      </c>
      <c r="B12301" s="0" t="s">
        <v>8984</v>
      </c>
    </row>
    <row r="12302" customFormat="false" ht="15" hidden="false" customHeight="false" outlineLevel="0" collapsed="false">
      <c r="A12302" s="0" t="n">
        <f aca="false">ACCRINTM(DATE(2024,6,30),DATE(2025,2,28),0.05,1000,4)</f>
        <v>33.0555555555556</v>
      </c>
      <c r="B12302" s="0" t="s">
        <v>12245</v>
      </c>
    </row>
    <row r="12303" customFormat="false" ht="15" hidden="false" customHeight="false" outlineLevel="0" collapsed="false">
      <c r="A12303" s="0" t="n">
        <f aca="false">PRICEMAT(DATE(2024,6,30),DATE(2025,2,28),DATE(2023,1,31),0.05,0.06,4)</f>
        <v>99.0938602116063</v>
      </c>
      <c r="B12303" s="0" t="s">
        <v>12246</v>
      </c>
    </row>
    <row r="12304" customFormat="false" ht="15" hidden="false" customHeight="false" outlineLevel="0" collapsed="false">
      <c r="A12304" s="0" t="n">
        <f aca="false">YIELDMAT(DATE(2024,6,30),DATE(2025,2,28),DATE(2023,1,31),0.05,98,4)</f>
        <v>0.0763699611486149</v>
      </c>
      <c r="B12304" s="0" t="s">
        <v>12247</v>
      </c>
    </row>
    <row r="12305" customFormat="false" ht="15" hidden="false" customHeight="false" outlineLevel="0" collapsed="false">
      <c r="A12305" s="0" t="n">
        <f aca="false">ACCRINT(DATE(2024,6,30),DATE(2030,1,1),DATE(2025,2,28),0.05,1000,2,4)</f>
        <v>33.0555555555556</v>
      </c>
      <c r="B12305" s="0" t="s">
        <v>12248</v>
      </c>
    </row>
    <row r="12306" customFormat="false" ht="15" hidden="false" customHeight="false" outlineLevel="0" collapsed="false">
      <c r="A12306" s="0" t="n">
        <f aca="false">DURATION(DATE(2024,6,30),DATE(2025,2,28),0.05,0.08,2,4)</f>
        <v>0.648741938894175</v>
      </c>
      <c r="B12306" s="0" t="s">
        <v>8000</v>
      </c>
    </row>
    <row r="12307" customFormat="false" ht="15" hidden="false" customHeight="false" outlineLevel="0" collapsed="false">
      <c r="A12307" s="0" t="n">
        <f aca="false">PRICE(DATE(2024,6,30),DATE(2025,2,28),0.05,0.08,100,2,4)</f>
        <v>98.0862867344038</v>
      </c>
      <c r="B12307" s="0" t="s">
        <v>7994</v>
      </c>
    </row>
    <row r="12308" customFormat="false" ht="15" hidden="false" customHeight="false" outlineLevel="0" collapsed="false">
      <c r="A12308" s="0" t="n">
        <f aca="false">YIELD(DATE(2024,6,30),DATE(2025,2,28),0.05,95,100,2,4)</f>
        <v>0.130781740164652</v>
      </c>
      <c r="B12308" s="0" t="s">
        <v>7997</v>
      </c>
    </row>
    <row r="12309" customFormat="false" ht="15" hidden="false" customHeight="false" outlineLevel="0" collapsed="false">
      <c r="A12309" s="0" t="n">
        <f aca="false">TBILLPRICE(DATE(2024,6,30),DATE(2025,2,28),0.05)</f>
        <v>96.6527777777778</v>
      </c>
      <c r="B12309" s="0" t="s">
        <v>8996</v>
      </c>
    </row>
    <row r="12310" customFormat="false" ht="15" hidden="false" customHeight="false" outlineLevel="0" collapsed="false">
      <c r="A12310" s="0" t="n">
        <f aca="false">TBILLEQ(DATE(2024,6,30),DATE(2025,2,28),0.05)</f>
        <v>0.0524500646644633</v>
      </c>
      <c r="B12310" s="0" t="s">
        <v>8998</v>
      </c>
    </row>
    <row r="12311" customFormat="false" ht="15" hidden="false" customHeight="false" outlineLevel="0" collapsed="false">
      <c r="A12311" s="0" t="n">
        <f aca="false">TBILLYIELD(DATE(2024,6,30),DATE(2025,2,28),98)</f>
        <v>0.0307403296046452</v>
      </c>
      <c r="B12311" s="0" t="s">
        <v>8997</v>
      </c>
    </row>
    <row r="12312" customFormat="false" ht="15" hidden="false" customHeight="false" outlineLevel="0" collapsed="false">
      <c r="A12312" s="0" t="n">
        <f aca="false">PRICEDISC(DATE(2024,6,30),DATE(2025,3,31),0.05,100,0)</f>
        <v>96.2361111111111</v>
      </c>
      <c r="B12312" s="0" t="s">
        <v>12249</v>
      </c>
    </row>
    <row r="12313" customFormat="false" ht="15" hidden="false" customHeight="false" outlineLevel="0" collapsed="false">
      <c r="A12313" s="0" t="n">
        <f aca="false">RECEIVED(DATE(2024,6,30),DATE(2025,3,31),1000,0.05,0)</f>
        <v>1039.1109828258</v>
      </c>
      <c r="B12313" s="0" t="s">
        <v>12250</v>
      </c>
    </row>
    <row r="12314" customFormat="false" ht="15" hidden="false" customHeight="false" outlineLevel="0" collapsed="false">
      <c r="A12314" s="0" t="n">
        <f aca="false">INTRATE(DATE(2024,6,30),DATE(2025,3,31),1000,1050,0)</f>
        <v>0.0664206642066421</v>
      </c>
      <c r="B12314" s="0" t="s">
        <v>12251</v>
      </c>
    </row>
    <row r="12315" customFormat="false" ht="15" hidden="false" customHeight="false" outlineLevel="0" collapsed="false">
      <c r="A12315" s="0" t="n">
        <f aca="false">DISC(DATE(2024,6,30),DATE(2025,3,31),95,100,0)</f>
        <v>0.0666666666666667</v>
      </c>
      <c r="B12315" s="0" t="s">
        <v>12252</v>
      </c>
    </row>
    <row r="12316" customFormat="false" ht="15" hidden="false" customHeight="false" outlineLevel="0" collapsed="false">
      <c r="A12316" s="0" t="n">
        <f aca="false">YIELDDISC(DATE(2024,6,30),DATE(2025,3,31),95,100,0)</f>
        <v>0.0701754385964912</v>
      </c>
      <c r="B12316" s="0" t="s">
        <v>12253</v>
      </c>
    </row>
    <row r="12317" customFormat="false" ht="15" hidden="false" customHeight="false" outlineLevel="0" collapsed="false">
      <c r="A12317" s="0" t="n">
        <f aca="false">ACCRINTM(DATE(2024,6,30),DATE(2025,3,31),0.05,1000,0)</f>
        <v>37.6388888888889</v>
      </c>
      <c r="B12317" s="0" t="s">
        <v>12254</v>
      </c>
    </row>
    <row r="12318" customFormat="false" ht="15" hidden="false" customHeight="false" outlineLevel="0" collapsed="false">
      <c r="A12318" s="0" t="n">
        <f aca="false">PRICEMAT(DATE(2024,6,30),DATE(2025,3,31),DATE(2023,1,31),0.05,0.06,0)</f>
        <v>98.9772727272728</v>
      </c>
      <c r="B12318" s="0" t="s">
        <v>12255</v>
      </c>
    </row>
    <row r="12319" customFormat="false" ht="15" hidden="false" customHeight="false" outlineLevel="0" collapsed="false">
      <c r="A12319" s="0" t="n">
        <f aca="false">YIELDMAT(DATE(2024,6,30),DATE(2025,3,31),DATE(2023,1,31),0.05,98,0)</f>
        <v>0.0729579698651864</v>
      </c>
      <c r="B12319" s="0" t="s">
        <v>12256</v>
      </c>
    </row>
    <row r="12320" customFormat="false" ht="15" hidden="false" customHeight="false" outlineLevel="0" collapsed="false">
      <c r="A12320" s="0" t="n">
        <f aca="false">ACCRINT(DATE(2024,6,30),DATE(2030,1,1),DATE(2025,3,31),0.05,1000,2,0)</f>
        <v>37.6388888888889</v>
      </c>
      <c r="B12320" s="0" t="s">
        <v>12257</v>
      </c>
    </row>
    <row r="12321" customFormat="false" ht="15" hidden="false" customHeight="false" outlineLevel="0" collapsed="false">
      <c r="A12321" s="0" t="n">
        <f aca="false">DURATION(DATE(2024,6,30),DATE(2025,3,31),0.05,0.08,2,0)</f>
        <v>0.737630827783064</v>
      </c>
      <c r="B12321" s="0" t="s">
        <v>12258</v>
      </c>
    </row>
    <row r="12322" customFormat="false" ht="15" hidden="false" customHeight="false" outlineLevel="0" collapsed="false">
      <c r="A12322" s="0" t="n">
        <f aca="false">PRICE(DATE(2024,6,30),DATE(2025,3,31),0.05,0.08,100,2,0)</f>
        <v>97.845220206842</v>
      </c>
      <c r="B12322" s="0" t="s">
        <v>12259</v>
      </c>
    </row>
    <row r="12323" customFormat="false" ht="15" hidden="false" customHeight="false" outlineLevel="0" collapsed="false">
      <c r="A12323" s="0" t="n">
        <f aca="false">YIELD(DATE(2024,6,30),DATE(2025,3,31),0.05,95,100,2,0)</f>
        <v>0.121489143294821</v>
      </c>
      <c r="B12323" s="0" t="s">
        <v>12260</v>
      </c>
    </row>
    <row r="12324" customFormat="false" ht="15" hidden="false" customHeight="false" outlineLevel="0" collapsed="false">
      <c r="A12324" s="0" t="n">
        <f aca="false">PRICEDISC(DATE(2024,6,30),DATE(2025,3,31),0.05,100,1)</f>
        <v>96.2568306010929</v>
      </c>
      <c r="B12324" s="0" t="s">
        <v>12261</v>
      </c>
    </row>
    <row r="12325" customFormat="false" ht="15" hidden="false" customHeight="false" outlineLevel="0" collapsed="false">
      <c r="A12325" s="0" t="n">
        <f aca="false">RECEIVED(DATE(2024,6,30),DATE(2025,3,31),1000,0.05,1)</f>
        <v>1038.88731195004</v>
      </c>
      <c r="B12325" s="0" t="s">
        <v>12262</v>
      </c>
    </row>
    <row r="12326" customFormat="false" ht="15" hidden="false" customHeight="false" outlineLevel="0" collapsed="false">
      <c r="A12326" s="0" t="n">
        <f aca="false">INTRATE(DATE(2024,6,30),DATE(2025,3,31),1000,1050,1)</f>
        <v>0.0667883211678833</v>
      </c>
      <c r="B12326" s="0" t="s">
        <v>12263</v>
      </c>
    </row>
    <row r="12327" customFormat="false" ht="15" hidden="false" customHeight="false" outlineLevel="0" collapsed="false">
      <c r="A12327" s="0" t="n">
        <f aca="false">DISC(DATE(2024,6,30),DATE(2025,3,31),95,100,1)</f>
        <v>0.0666058394160585</v>
      </c>
      <c r="B12327" s="0" t="s">
        <v>12264</v>
      </c>
    </row>
    <row r="12328" customFormat="false" ht="15" hidden="false" customHeight="false" outlineLevel="0" collapsed="false">
      <c r="A12328" s="0" t="n">
        <f aca="false">YIELDDISC(DATE(2024,6,30),DATE(2025,3,31),95,100,1)</f>
        <v>0.0701114099116403</v>
      </c>
      <c r="B12328" s="0" t="s">
        <v>12265</v>
      </c>
    </row>
    <row r="12329" customFormat="false" ht="15" hidden="false" customHeight="false" outlineLevel="0" collapsed="false">
      <c r="A12329" s="0" t="n">
        <f aca="false">ACCRINTM(DATE(2024,6,30),DATE(2025,3,31),0.05,1000,1)</f>
        <v>37.431693989071</v>
      </c>
      <c r="B12329" s="0" t="s">
        <v>12266</v>
      </c>
    </row>
    <row r="12330" customFormat="false" ht="15" hidden="false" customHeight="false" outlineLevel="0" collapsed="false">
      <c r="A12330" s="0" t="n">
        <f aca="false">PRICEMAT(DATE(2024,6,30),DATE(2025,3,31),DATE(2023,1,31),0.05,0.06,1)</f>
        <v>98.9772397712422</v>
      </c>
      <c r="B12330" s="0" t="s">
        <v>12267</v>
      </c>
    </row>
    <row r="12331" customFormat="false" ht="15" hidden="false" customHeight="false" outlineLevel="0" collapsed="false">
      <c r="A12331" s="0" t="n">
        <f aca="false">YIELDMAT(DATE(2024,6,30),DATE(2025,3,31),DATE(2023,1,31),0.05,98,1)</f>
        <v>0.0729492397312122</v>
      </c>
      <c r="B12331" s="0" t="s">
        <v>12268</v>
      </c>
    </row>
    <row r="12332" customFormat="false" ht="15" hidden="false" customHeight="false" outlineLevel="0" collapsed="false">
      <c r="A12332" s="0" t="n">
        <f aca="false">ACCRINT(DATE(2024,6,30),DATE(2030,1,1),DATE(2025,3,31),0.05,1000,2,1)</f>
        <v>37.431693989071</v>
      </c>
      <c r="B12332" s="0" t="s">
        <v>12269</v>
      </c>
    </row>
    <row r="12333" customFormat="false" ht="15" hidden="false" customHeight="false" outlineLevel="0" collapsed="false">
      <c r="A12333" s="0" t="n">
        <f aca="false">DURATION(DATE(2024,6,30),DATE(2025,3,31),0.05,0.08,2,1)</f>
        <v>0.738315759289913</v>
      </c>
      <c r="B12333" s="0" t="s">
        <v>12270</v>
      </c>
    </row>
    <row r="12334" customFormat="false" ht="15" hidden="false" customHeight="false" outlineLevel="0" collapsed="false">
      <c r="A12334" s="0" t="n">
        <f aca="false">PRICE(DATE(2024,6,30),DATE(2025,3,31),0.05,0.08,100,2,1)</f>
        <v>97.8414322916235</v>
      </c>
      <c r="B12334" s="0" t="s">
        <v>12271</v>
      </c>
    </row>
    <row r="12335" customFormat="false" ht="15" hidden="false" customHeight="false" outlineLevel="0" collapsed="false">
      <c r="A12335" s="0" t="n">
        <f aca="false">YIELD(DATE(2024,6,30),DATE(2025,3,31),0.05,95,100,2,1)</f>
        <v>0.121359700430008</v>
      </c>
      <c r="B12335" s="0" t="s">
        <v>12272</v>
      </c>
    </row>
    <row r="12336" customFormat="false" ht="15" hidden="false" customHeight="false" outlineLevel="0" collapsed="false">
      <c r="A12336" s="0" t="n">
        <f aca="false">PRICEDISC(DATE(2024,6,30),DATE(2025,3,31),0.05,100,4)</f>
        <v>96.2361111111111</v>
      </c>
      <c r="B12336" s="0" t="s">
        <v>12273</v>
      </c>
    </row>
    <row r="12337" customFormat="false" ht="15" hidden="false" customHeight="false" outlineLevel="0" collapsed="false">
      <c r="A12337" s="0" t="n">
        <f aca="false">RECEIVED(DATE(2024,6,30),DATE(2025,3,31),1000,0.05,4)</f>
        <v>1039.1109828258</v>
      </c>
      <c r="B12337" s="0" t="s">
        <v>12274</v>
      </c>
    </row>
    <row r="12338" customFormat="false" ht="15" hidden="false" customHeight="false" outlineLevel="0" collapsed="false">
      <c r="A12338" s="0" t="n">
        <f aca="false">INTRATE(DATE(2024,6,30),DATE(2025,3,31),1000,1050,4)</f>
        <v>0.0664206642066421</v>
      </c>
      <c r="B12338" s="0" t="s">
        <v>12275</v>
      </c>
    </row>
    <row r="12339" customFormat="false" ht="15" hidden="false" customHeight="false" outlineLevel="0" collapsed="false">
      <c r="A12339" s="0" t="n">
        <f aca="false">DISC(DATE(2024,6,30),DATE(2025,3,31),95,100,4)</f>
        <v>0.0666666666666667</v>
      </c>
      <c r="B12339" s="0" t="s">
        <v>12276</v>
      </c>
    </row>
    <row r="12340" customFormat="false" ht="15" hidden="false" customHeight="false" outlineLevel="0" collapsed="false">
      <c r="A12340" s="0" t="n">
        <f aca="false">YIELDDISC(DATE(2024,6,30),DATE(2025,3,31),95,100,4)</f>
        <v>0.0701754385964912</v>
      </c>
      <c r="B12340" s="0" t="s">
        <v>12277</v>
      </c>
    </row>
    <row r="12341" customFormat="false" ht="15" hidden="false" customHeight="false" outlineLevel="0" collapsed="false">
      <c r="A12341" s="0" t="n">
        <f aca="false">ACCRINTM(DATE(2024,6,30),DATE(2025,3,31),0.05,1000,4)</f>
        <v>37.6388888888889</v>
      </c>
      <c r="B12341" s="0" t="s">
        <v>12278</v>
      </c>
    </row>
    <row r="12342" customFormat="false" ht="15" hidden="false" customHeight="false" outlineLevel="0" collapsed="false">
      <c r="A12342" s="0" t="n">
        <f aca="false">PRICEMAT(DATE(2024,6,30),DATE(2025,3,31),DATE(2023,1,31),0.05,0.06,4)</f>
        <v>98.9772727272728</v>
      </c>
      <c r="B12342" s="0" t="s">
        <v>12279</v>
      </c>
    </row>
    <row r="12343" customFormat="false" ht="15" hidden="false" customHeight="false" outlineLevel="0" collapsed="false">
      <c r="A12343" s="0" t="n">
        <f aca="false">YIELDMAT(DATE(2024,6,30),DATE(2025,3,31),DATE(2023,1,31),0.05,98,4)</f>
        <v>0.0729579698651864</v>
      </c>
      <c r="B12343" s="0" t="s">
        <v>12280</v>
      </c>
    </row>
    <row r="12344" customFormat="false" ht="15" hidden="false" customHeight="false" outlineLevel="0" collapsed="false">
      <c r="A12344" s="0" t="n">
        <f aca="false">ACCRINT(DATE(2024,6,30),DATE(2030,1,1),DATE(2025,3,31),0.05,1000,2,4)</f>
        <v>37.6388888888889</v>
      </c>
      <c r="B12344" s="0" t="s">
        <v>12281</v>
      </c>
    </row>
    <row r="12345" customFormat="false" ht="15" hidden="false" customHeight="false" outlineLevel="0" collapsed="false">
      <c r="A12345" s="0" t="n">
        <f aca="false">DURATION(DATE(2024,6,30),DATE(2025,3,31),0.05,0.08,2,4)</f>
        <v>0.737630827783064</v>
      </c>
      <c r="B12345" s="0" t="s">
        <v>12282</v>
      </c>
    </row>
    <row r="12346" customFormat="false" ht="15" hidden="false" customHeight="false" outlineLevel="0" collapsed="false">
      <c r="A12346" s="0" t="n">
        <f aca="false">PRICE(DATE(2024,6,30),DATE(2025,3,31),0.05,0.08,100,2,4)</f>
        <v>97.845220206842</v>
      </c>
      <c r="B12346" s="0" t="s">
        <v>12283</v>
      </c>
    </row>
    <row r="12347" customFormat="false" ht="15" hidden="false" customHeight="false" outlineLevel="0" collapsed="false">
      <c r="A12347" s="0" t="n">
        <f aca="false">YIELD(DATE(2024,6,30),DATE(2025,3,31),0.05,95,100,2,4)</f>
        <v>0.121489143294821</v>
      </c>
      <c r="B12347" s="0" t="s">
        <v>12284</v>
      </c>
    </row>
    <row r="12348" customFormat="false" ht="15" hidden="false" customHeight="false" outlineLevel="0" collapsed="false">
      <c r="A12348" s="0" t="n">
        <f aca="false">TBILLPRICE(DATE(2024,6,30),DATE(2025,3,31),0.05)</f>
        <v>96.2361111111111</v>
      </c>
      <c r="B12348" s="0" t="s">
        <v>12285</v>
      </c>
    </row>
    <row r="12349" customFormat="false" ht="15" hidden="false" customHeight="false" outlineLevel="0" collapsed="false">
      <c r="A12349" s="0" t="n">
        <f aca="false">TBILLEQ(DATE(2024,6,30),DATE(2025,3,31),0.05)</f>
        <v>0.0526771539904748</v>
      </c>
      <c r="B12349" s="0" t="s">
        <v>12286</v>
      </c>
    </row>
    <row r="12350" customFormat="false" ht="15" hidden="false" customHeight="false" outlineLevel="0" collapsed="false">
      <c r="A12350" s="0" t="n">
        <f aca="false">TBILLYIELD(DATE(2024,6,30),DATE(2025,3,31),98)</f>
        <v>0.0271104751863845</v>
      </c>
      <c r="B12350" s="0" t="s">
        <v>12287</v>
      </c>
    </row>
    <row r="12351" customFormat="false" ht="15" hidden="false" customHeight="false" outlineLevel="0" collapsed="false">
      <c r="A12351" s="0" t="n">
        <f aca="false">PRICEDISC(DATE(2024,6,30),DATE(2024,8,31),0.05,100,0)</f>
        <v>99.1527777777778</v>
      </c>
      <c r="B12351" s="0" t="s">
        <v>12288</v>
      </c>
    </row>
    <row r="12352" customFormat="false" ht="15" hidden="false" customHeight="false" outlineLevel="0" collapsed="false">
      <c r="A12352" s="0" t="n">
        <f aca="false">RECEIVED(DATE(2024,6,30),DATE(2024,8,31),1000,0.05,0)</f>
        <v>1008.54461409161</v>
      </c>
      <c r="B12352" s="0" t="s">
        <v>12289</v>
      </c>
    </row>
    <row r="12353" customFormat="false" ht="15" hidden="false" customHeight="false" outlineLevel="0" collapsed="false">
      <c r="A12353" s="0" t="n">
        <f aca="false">INTRATE(DATE(2024,6,30),DATE(2024,8,31),1000,1050,0)</f>
        <v>0.295081967213115</v>
      </c>
      <c r="B12353" s="0" t="s">
        <v>12290</v>
      </c>
    </row>
    <row r="12354" customFormat="false" ht="15" hidden="false" customHeight="false" outlineLevel="0" collapsed="false">
      <c r="A12354" s="0" t="n">
        <f aca="false">DISC(DATE(2024,6,30),DATE(2024,8,31),95,100,0)</f>
        <v>0.3</v>
      </c>
      <c r="B12354" s="0" t="s">
        <v>12291</v>
      </c>
    </row>
    <row r="12355" customFormat="false" ht="15" hidden="false" customHeight="false" outlineLevel="0" collapsed="false">
      <c r="A12355" s="0" t="n">
        <f aca="false">YIELDDISC(DATE(2024,6,30),DATE(2024,8,31),95,100,0)</f>
        <v>0.31578947368421</v>
      </c>
      <c r="B12355" s="0" t="s">
        <v>12292</v>
      </c>
    </row>
    <row r="12356" customFormat="false" ht="15" hidden="false" customHeight="false" outlineLevel="0" collapsed="false">
      <c r="A12356" s="0" t="n">
        <f aca="false">ACCRINTM(DATE(2024,6,30),DATE(2024,8,31),0.05,1000,0)</f>
        <v>8.47222222222222</v>
      </c>
      <c r="B12356" s="0" t="s">
        <v>12293</v>
      </c>
    </row>
    <row r="12357" customFormat="false" ht="15" hidden="false" customHeight="false" outlineLevel="0" collapsed="false">
      <c r="A12357" s="0" t="n">
        <f aca="false">PRICEMAT(DATE(2024,6,30),DATE(2024,8,31),DATE(2023,1,31),0.05,0.06,0)</f>
        <v>99.7648514851485</v>
      </c>
      <c r="B12357" s="0" t="s">
        <v>12294</v>
      </c>
    </row>
    <row r="12358" customFormat="false" ht="15" hidden="false" customHeight="false" outlineLevel="0" collapsed="false">
      <c r="A12358" s="0" t="n">
        <f aca="false">YIELDMAT(DATE(2024,6,30),DATE(2024,8,31),DATE(2023,1,31),0.05,98,0)</f>
        <v>0.161776367961934</v>
      </c>
      <c r="B12358" s="0" t="s">
        <v>12295</v>
      </c>
    </row>
    <row r="12359" customFormat="false" ht="15" hidden="false" customHeight="false" outlineLevel="0" collapsed="false">
      <c r="A12359" s="0" t="n">
        <f aca="false">ACCRINT(DATE(2024,6,30),DATE(2030,1,1),DATE(2024,8,31),0.05,1000,2,0)</f>
        <v>8.47222222222222</v>
      </c>
      <c r="B12359" s="0" t="s">
        <v>12296</v>
      </c>
    </row>
    <row r="12360" customFormat="false" ht="15" hidden="false" customHeight="false" outlineLevel="0" collapsed="false">
      <c r="A12360" s="0" t="n">
        <f aca="false">DURATION(DATE(2024,6,30),DATE(2024,8,31),0.05,0.08,2,0)</f>
        <v>0.166666666666667</v>
      </c>
      <c r="B12360" s="0" t="s">
        <v>12297</v>
      </c>
    </row>
    <row r="12361" customFormat="false" ht="15" hidden="false" customHeight="false" outlineLevel="0" collapsed="false">
      <c r="A12361" s="0" t="n">
        <f aca="false">PRICE(DATE(2024,6,30),DATE(2024,8,31),0.05,0.08,100,2,0)</f>
        <v>99.5020138129476</v>
      </c>
      <c r="B12361" s="0" t="s">
        <v>12298</v>
      </c>
    </row>
    <row r="12362" customFormat="false" ht="15" hidden="false" customHeight="false" outlineLevel="0" collapsed="false">
      <c r="A12362" s="0" t="n">
        <f aca="false">YIELD(DATE(2024,6,30),DATE(2024,8,31),0.05,95,100,2,0)</f>
        <v>0.384357445979748</v>
      </c>
      <c r="B12362" s="0" t="s">
        <v>12299</v>
      </c>
    </row>
    <row r="12363" customFormat="false" ht="15" hidden="false" customHeight="false" outlineLevel="0" collapsed="false">
      <c r="A12363" s="0" t="n">
        <f aca="false">PRICEDISC(DATE(2024,6,30),DATE(2024,8,31),0.05,100,1)</f>
        <v>99.1530054644809</v>
      </c>
      <c r="B12363" s="0" t="s">
        <v>12300</v>
      </c>
    </row>
    <row r="12364" customFormat="false" ht="15" hidden="false" customHeight="false" outlineLevel="0" collapsed="false">
      <c r="A12364" s="0" t="n">
        <f aca="false">RECEIVED(DATE(2024,6,30),DATE(2024,8,31),1000,0.05,1)</f>
        <v>1008.54229815376</v>
      </c>
      <c r="B12364" s="0" t="s">
        <v>12301</v>
      </c>
    </row>
    <row r="12365" customFormat="false" ht="15" hidden="false" customHeight="false" outlineLevel="0" collapsed="false">
      <c r="A12365" s="0" t="n">
        <f aca="false">INTRATE(DATE(2024,6,30),DATE(2024,8,31),1000,1050,1)</f>
        <v>0.295161290322581</v>
      </c>
      <c r="B12365" s="0" t="s">
        <v>12302</v>
      </c>
    </row>
    <row r="12366" customFormat="false" ht="15" hidden="false" customHeight="false" outlineLevel="0" collapsed="false">
      <c r="A12366" s="0" t="n">
        <f aca="false">DISC(DATE(2024,6,30),DATE(2024,8,31),95,100,1)</f>
        <v>0.295161290322581</v>
      </c>
      <c r="B12366" s="0" t="s">
        <v>12303</v>
      </c>
    </row>
    <row r="12367" customFormat="false" ht="15" hidden="false" customHeight="false" outlineLevel="0" collapsed="false">
      <c r="A12367" s="0" t="n">
        <f aca="false">YIELDDISC(DATE(2024,6,30),DATE(2024,8,31),95,100,1)</f>
        <v>0.3106960950764</v>
      </c>
      <c r="B12367" s="0" t="s">
        <v>12304</v>
      </c>
    </row>
    <row r="12368" customFormat="false" ht="15" hidden="false" customHeight="false" outlineLevel="0" collapsed="false">
      <c r="A12368" s="0" t="n">
        <f aca="false">ACCRINTM(DATE(2024,6,30),DATE(2024,8,31),0.05,1000,1)</f>
        <v>8.46994535519126</v>
      </c>
      <c r="B12368" s="0" t="s">
        <v>12305</v>
      </c>
    </row>
    <row r="12369" customFormat="false" ht="15" hidden="false" customHeight="false" outlineLevel="0" collapsed="false">
      <c r="A12369" s="0" t="n">
        <f aca="false">PRICEMAT(DATE(2024,6,30),DATE(2024,8,31),DATE(2023,1,31),0.05,0.06,1)</f>
        <v>99.7624290086497</v>
      </c>
      <c r="B12369" s="0" t="s">
        <v>12306</v>
      </c>
    </row>
    <row r="12370" customFormat="false" ht="15" hidden="false" customHeight="false" outlineLevel="0" collapsed="false">
      <c r="A12370" s="0" t="n">
        <f aca="false">YIELDMAT(DATE(2024,6,30),DATE(2024,8,31),DATE(2023,1,31),0.05,98,1)</f>
        <v>0.160036929725153</v>
      </c>
      <c r="B12370" s="0" t="s">
        <v>12307</v>
      </c>
    </row>
    <row r="12371" customFormat="false" ht="15" hidden="false" customHeight="false" outlineLevel="0" collapsed="false">
      <c r="A12371" s="0" t="n">
        <f aca="false">ACCRINT(DATE(2024,6,30),DATE(2030,1,1),DATE(2024,8,31),0.05,1000,2,1)</f>
        <v>8.46994535519126</v>
      </c>
      <c r="B12371" s="0" t="s">
        <v>12308</v>
      </c>
    </row>
    <row r="12372" customFormat="false" ht="15" hidden="false" customHeight="false" outlineLevel="0" collapsed="false">
      <c r="A12372" s="0" t="n">
        <f aca="false">DURATION(DATE(2024,6,30),DATE(2024,8,31),0.05,0.08,2,1)</f>
        <v>0.169398907103825</v>
      </c>
      <c r="B12372" s="0" t="s">
        <v>12309</v>
      </c>
    </row>
    <row r="12373" customFormat="false" ht="15" hidden="false" customHeight="false" outlineLevel="0" collapsed="false">
      <c r="A12373" s="0" t="n">
        <f aca="false">PRICE(DATE(2024,6,30),DATE(2024,8,31),0.05,0.08,100,2,1)</f>
        <v>99.4966963278654</v>
      </c>
      <c r="B12373" s="0" t="s">
        <v>12310</v>
      </c>
    </row>
    <row r="12374" customFormat="false" ht="15" hidden="false" customHeight="false" outlineLevel="0" collapsed="false">
      <c r="A12374" s="0" t="n">
        <f aca="false">YIELD(DATE(2024,6,30),DATE(2024,8,31),0.05,95,100,2,1)</f>
        <v>0.380516875822319</v>
      </c>
      <c r="B12374" s="0" t="s">
        <v>12311</v>
      </c>
    </row>
    <row r="12375" customFormat="false" ht="15" hidden="false" customHeight="false" outlineLevel="0" collapsed="false">
      <c r="A12375" s="0" t="n">
        <f aca="false">PRICEDISC(DATE(2024,6,30),DATE(2024,8,31),0.05,100,4)</f>
        <v>99.1527777777778</v>
      </c>
      <c r="B12375" s="0" t="s">
        <v>12312</v>
      </c>
    </row>
    <row r="12376" customFormat="false" ht="15" hidden="false" customHeight="false" outlineLevel="0" collapsed="false">
      <c r="A12376" s="0" t="n">
        <f aca="false">RECEIVED(DATE(2024,6,30),DATE(2024,8,31),1000,0.05,4)</f>
        <v>1008.54461409161</v>
      </c>
      <c r="B12376" s="0" t="s">
        <v>12313</v>
      </c>
    </row>
    <row r="12377" customFormat="false" ht="15" hidden="false" customHeight="false" outlineLevel="0" collapsed="false">
      <c r="A12377" s="0" t="n">
        <f aca="false">INTRATE(DATE(2024,6,30),DATE(2024,8,31),1000,1050,4)</f>
        <v>0.295081967213115</v>
      </c>
      <c r="B12377" s="0" t="s">
        <v>12314</v>
      </c>
    </row>
    <row r="12378" customFormat="false" ht="15" hidden="false" customHeight="false" outlineLevel="0" collapsed="false">
      <c r="A12378" s="0" t="n">
        <f aca="false">DISC(DATE(2024,6,30),DATE(2024,8,31),95,100,4)</f>
        <v>0.3</v>
      </c>
      <c r="B12378" s="0" t="s">
        <v>12315</v>
      </c>
    </row>
    <row r="12379" customFormat="false" ht="15" hidden="false" customHeight="false" outlineLevel="0" collapsed="false">
      <c r="A12379" s="0" t="n">
        <f aca="false">YIELDDISC(DATE(2024,6,30),DATE(2024,8,31),95,100,4)</f>
        <v>0.31578947368421</v>
      </c>
      <c r="B12379" s="0" t="s">
        <v>12316</v>
      </c>
    </row>
    <row r="12380" customFormat="false" ht="15" hidden="false" customHeight="false" outlineLevel="0" collapsed="false">
      <c r="A12380" s="0" t="n">
        <f aca="false">ACCRINTM(DATE(2024,6,30),DATE(2024,8,31),0.05,1000,4)</f>
        <v>8.47222222222222</v>
      </c>
      <c r="B12380" s="0" t="s">
        <v>12317</v>
      </c>
    </row>
    <row r="12381" customFormat="false" ht="15" hidden="false" customHeight="false" outlineLevel="0" collapsed="false">
      <c r="A12381" s="0" t="n">
        <f aca="false">PRICEMAT(DATE(2024,6,30),DATE(2024,8,31),DATE(2023,1,31),0.05,0.06,4)</f>
        <v>99.7648514851485</v>
      </c>
      <c r="B12381" s="0" t="s">
        <v>12318</v>
      </c>
    </row>
    <row r="12382" customFormat="false" ht="15" hidden="false" customHeight="false" outlineLevel="0" collapsed="false">
      <c r="A12382" s="0" t="n">
        <f aca="false">YIELDMAT(DATE(2024,6,30),DATE(2024,8,31),DATE(2023,1,31),0.05,98,4)</f>
        <v>0.161776367961934</v>
      </c>
      <c r="B12382" s="0" t="s">
        <v>12319</v>
      </c>
    </row>
    <row r="12383" customFormat="false" ht="15" hidden="false" customHeight="false" outlineLevel="0" collapsed="false">
      <c r="A12383" s="0" t="n">
        <f aca="false">ACCRINT(DATE(2024,6,30),DATE(2030,1,1),DATE(2024,8,31),0.05,1000,2,4)</f>
        <v>8.47222222222222</v>
      </c>
      <c r="B12383" s="0" t="s">
        <v>12320</v>
      </c>
    </row>
    <row r="12384" customFormat="false" ht="15" hidden="false" customHeight="false" outlineLevel="0" collapsed="false">
      <c r="A12384" s="0" t="n">
        <f aca="false">DURATION(DATE(2024,6,30),DATE(2024,8,31),0.05,0.08,2,4)</f>
        <v>0.166666666666667</v>
      </c>
      <c r="B12384" s="0" t="s">
        <v>12321</v>
      </c>
    </row>
    <row r="12385" customFormat="false" ht="15" hidden="false" customHeight="false" outlineLevel="0" collapsed="false">
      <c r="A12385" s="0" t="n">
        <f aca="false">PRICE(DATE(2024,6,30),DATE(2024,8,31),0.05,0.08,100,2,4)</f>
        <v>99.5101712580474</v>
      </c>
      <c r="B12385" s="0" t="s">
        <v>12322</v>
      </c>
    </row>
    <row r="12386" customFormat="false" ht="15" hidden="false" customHeight="false" outlineLevel="0" collapsed="false">
      <c r="A12386" s="0" t="n">
        <f aca="false">YIELD(DATE(2024,6,30),DATE(2024,8,31),0.05,95,100,2,4)</f>
        <v>0.39042393524628</v>
      </c>
      <c r="B12386" s="0" t="s">
        <v>12323</v>
      </c>
    </row>
    <row r="12387" customFormat="false" ht="15" hidden="false" customHeight="false" outlineLevel="0" collapsed="false">
      <c r="A12387" s="0" t="n">
        <f aca="false">TBILLPRICE(DATE(2024,6,30),DATE(2024,8,31),0.05)</f>
        <v>99.1527777777778</v>
      </c>
      <c r="B12387" s="0" t="s">
        <v>12324</v>
      </c>
    </row>
    <row r="12388" customFormat="false" ht="15" hidden="false" customHeight="false" outlineLevel="0" collapsed="false">
      <c r="A12388" s="0" t="n">
        <f aca="false">TBILLEQ(DATE(2024,6,30),DATE(2024,8,31),0.05)</f>
        <v>0.0511276089088108</v>
      </c>
      <c r="B12388" s="0" t="s">
        <v>12325</v>
      </c>
    </row>
    <row r="12389" customFormat="false" ht="15" hidden="false" customHeight="false" outlineLevel="0" collapsed="false">
      <c r="A12389" s="0" t="n">
        <f aca="false">TBILLYIELD(DATE(2024,6,30),DATE(2024,8,31),98)</f>
        <v>0.120441619270659</v>
      </c>
      <c r="B12389" s="0" t="s">
        <v>12326</v>
      </c>
    </row>
    <row r="12390" customFormat="false" ht="15" hidden="false" customHeight="false" outlineLevel="0" collapsed="false">
      <c r="A12390" s="0" t="n">
        <f aca="false">PRICEDISC(DATE(2024,6,30),DATE(2025,6,30),0.05,100,0)</f>
        <v>95</v>
      </c>
      <c r="B12390" s="0" t="s">
        <v>12327</v>
      </c>
    </row>
    <row r="12391" customFormat="false" ht="15" hidden="false" customHeight="false" outlineLevel="0" collapsed="false">
      <c r="A12391" s="0" t="n">
        <f aca="false">RECEIVED(DATE(2024,6,30),DATE(2025,6,30),1000,0.05,0)</f>
        <v>1052.63157894737</v>
      </c>
      <c r="B12391" s="0" t="s">
        <v>12328</v>
      </c>
    </row>
    <row r="12392" customFormat="false" ht="15" hidden="false" customHeight="false" outlineLevel="0" collapsed="false">
      <c r="A12392" s="0" t="n">
        <f aca="false">INTRATE(DATE(2024,6,30),DATE(2025,6,30),1000,1050,0)</f>
        <v>0.05</v>
      </c>
      <c r="B12392" s="0" t="s">
        <v>12329</v>
      </c>
    </row>
    <row r="12393" customFormat="false" ht="15" hidden="false" customHeight="false" outlineLevel="0" collapsed="false">
      <c r="A12393" s="0" t="n">
        <f aca="false">DISC(DATE(2024,6,30),DATE(2025,6,30),95,100,0)</f>
        <v>0.05</v>
      </c>
      <c r="B12393" s="0" t="s">
        <v>12330</v>
      </c>
    </row>
    <row r="12394" customFormat="false" ht="15" hidden="false" customHeight="false" outlineLevel="0" collapsed="false">
      <c r="A12394" s="0" t="n">
        <f aca="false">YIELDDISC(DATE(2024,6,30),DATE(2025,6,30),95,100,0)</f>
        <v>0.0526315789473684</v>
      </c>
      <c r="B12394" s="0" t="s">
        <v>12331</v>
      </c>
    </row>
    <row r="12395" customFormat="false" ht="15" hidden="false" customHeight="false" outlineLevel="0" collapsed="false">
      <c r="A12395" s="0" t="n">
        <f aca="false">ACCRINTM(DATE(2024,6,30),DATE(2025,6,30),0.05,1000,0)</f>
        <v>50</v>
      </c>
      <c r="B12395" s="0" t="s">
        <v>12332</v>
      </c>
    </row>
    <row r="12396" customFormat="false" ht="15" hidden="false" customHeight="false" outlineLevel="0" collapsed="false">
      <c r="A12396" s="0" t="n">
        <f aca="false">PRICEMAT(DATE(2024,6,30),DATE(2025,6,30),DATE(2023,1,31),0.05,0.06,0)</f>
        <v>98.6556603773585</v>
      </c>
      <c r="B12396" s="0" t="s">
        <v>12333</v>
      </c>
    </row>
    <row r="12397" customFormat="false" ht="15" hidden="false" customHeight="false" outlineLevel="0" collapsed="false">
      <c r="A12397" s="0" t="n">
        <f aca="false">YIELDMAT(DATE(2024,6,30),DATE(2025,6,30),DATE(2023,1,31),0.05,98,0)</f>
        <v>0.0666137985725614</v>
      </c>
      <c r="B12397" s="0" t="s">
        <v>12334</v>
      </c>
    </row>
    <row r="12398" customFormat="false" ht="15" hidden="false" customHeight="false" outlineLevel="0" collapsed="false">
      <c r="A12398" s="0" t="n">
        <f aca="false">ACCRINT(DATE(2024,6,30),DATE(2030,1,1),DATE(2025,6,30),0.05,1000,2,0)</f>
        <v>50</v>
      </c>
      <c r="B12398" s="0" t="s">
        <v>12335</v>
      </c>
    </row>
    <row r="12399" customFormat="false" ht="15" hidden="false" customHeight="false" outlineLevel="0" collapsed="false">
      <c r="A12399" s="0" t="n">
        <f aca="false">DURATION(DATE(2024,6,30),DATE(2025,6,30),0.05,0.08,2,0)</f>
        <v>0.987630827783064</v>
      </c>
      <c r="B12399" s="0" t="s">
        <v>12336</v>
      </c>
    </row>
    <row r="12400" customFormat="false" ht="15" hidden="false" customHeight="false" outlineLevel="0" collapsed="false">
      <c r="A12400" s="0" t="n">
        <f aca="false">PRICE(DATE(2024,6,30),DATE(2025,6,30),0.05,0.08,100,2,0)</f>
        <v>97.1708579881657</v>
      </c>
      <c r="B12400" s="0" t="s">
        <v>12337</v>
      </c>
    </row>
    <row r="12401" customFormat="false" ht="15" hidden="false" customHeight="false" outlineLevel="0" collapsed="false">
      <c r="A12401" s="0" t="n">
        <f aca="false">YIELD(DATE(2024,6,30),DATE(2025,6,30),0.05,95,100,2,0)</f>
        <v>0.103930285586916</v>
      </c>
      <c r="B12401" s="0" t="s">
        <v>12338</v>
      </c>
    </row>
    <row r="12402" customFormat="false" ht="15" hidden="false" customHeight="false" outlineLevel="0" collapsed="false">
      <c r="A12402" s="0" t="n">
        <f aca="false">PRICEDISC(DATE(2024,6,30),DATE(2025,6,30),0.05,100,1)</f>
        <v>95.0136612021858</v>
      </c>
      <c r="B12402" s="0" t="s">
        <v>12339</v>
      </c>
    </row>
    <row r="12403" customFormat="false" ht="15" hidden="false" customHeight="false" outlineLevel="0" collapsed="false">
      <c r="A12403" s="0" t="n">
        <f aca="false">RECEIVED(DATE(2024,6,30),DATE(2025,6,30),1000,0.05,1)</f>
        <v>1052.48023005032</v>
      </c>
      <c r="B12403" s="0" t="s">
        <v>12340</v>
      </c>
    </row>
    <row r="12404" customFormat="false" ht="15" hidden="false" customHeight="false" outlineLevel="0" collapsed="false">
      <c r="A12404" s="0" t="n">
        <f aca="false">INTRATE(DATE(2024,6,30),DATE(2025,6,30),1000,1050,1)</f>
        <v>0.0501369863013699</v>
      </c>
      <c r="B12404" s="0" t="s">
        <v>12341</v>
      </c>
    </row>
    <row r="12405" customFormat="false" ht="15" hidden="false" customHeight="false" outlineLevel="0" collapsed="false">
      <c r="A12405" s="0" t="n">
        <f aca="false">DISC(DATE(2024,6,30),DATE(2025,6,30),95,100,1)</f>
        <v>0.05</v>
      </c>
      <c r="B12405" s="0" t="s">
        <v>12342</v>
      </c>
    </row>
    <row r="12406" customFormat="false" ht="15" hidden="false" customHeight="false" outlineLevel="0" collapsed="false">
      <c r="A12406" s="0" t="n">
        <f aca="false">YIELDDISC(DATE(2024,6,30),DATE(2025,6,30),95,100,1)</f>
        <v>0.0526315789473684</v>
      </c>
      <c r="B12406" s="0" t="s">
        <v>12343</v>
      </c>
    </row>
    <row r="12407" customFormat="false" ht="15" hidden="false" customHeight="false" outlineLevel="0" collapsed="false">
      <c r="A12407" s="0" t="n">
        <f aca="false">ACCRINTM(DATE(2024,6,30),DATE(2025,6,30),0.05,1000,1)</f>
        <v>49.8633879781421</v>
      </c>
      <c r="B12407" s="0" t="s">
        <v>12344</v>
      </c>
    </row>
    <row r="12408" customFormat="false" ht="15" hidden="false" customHeight="false" outlineLevel="0" collapsed="false">
      <c r="A12408" s="0" t="n">
        <f aca="false">PRICEMAT(DATE(2024,6,30),DATE(2025,6,30),DATE(2023,1,31),0.05,0.06,1)</f>
        <v>98.6557818968381</v>
      </c>
      <c r="B12408" s="0" t="s">
        <v>12345</v>
      </c>
    </row>
    <row r="12409" customFormat="false" ht="15" hidden="false" customHeight="false" outlineLevel="0" collapsed="false">
      <c r="A12409" s="0" t="n">
        <f aca="false">YIELDMAT(DATE(2024,6,30),DATE(2025,6,30),DATE(2023,1,31),0.05,98,1)</f>
        <v>0.066616567626552</v>
      </c>
      <c r="B12409" s="0" t="s">
        <v>12346</v>
      </c>
    </row>
    <row r="12410" customFormat="false" ht="15" hidden="false" customHeight="false" outlineLevel="0" collapsed="false">
      <c r="A12410" s="0" t="n">
        <f aca="false">ACCRINT(DATE(2024,6,30),DATE(2030,1,1),DATE(2025,6,30),0.05,1000,2,1)</f>
        <v>49.8633879781421</v>
      </c>
      <c r="B12410" s="0" t="s">
        <v>12347</v>
      </c>
    </row>
    <row r="12411" customFormat="false" ht="15" hidden="false" customHeight="false" outlineLevel="0" collapsed="false">
      <c r="A12411" s="0" t="n">
        <f aca="false">DURATION(DATE(2024,6,30),DATE(2025,6,30),0.05,0.08,2,1)</f>
        <v>0.987630827783064</v>
      </c>
      <c r="B12411" s="0" t="s">
        <v>12348</v>
      </c>
    </row>
    <row r="12412" customFormat="false" ht="15" hidden="false" customHeight="false" outlineLevel="0" collapsed="false">
      <c r="A12412" s="0" t="n">
        <f aca="false">PRICE(DATE(2024,6,30),DATE(2025,6,30),0.05,0.08,100,2,1)</f>
        <v>97.1708579881657</v>
      </c>
      <c r="B12412" s="0" t="s">
        <v>12349</v>
      </c>
    </row>
    <row r="12413" customFormat="false" ht="15" hidden="false" customHeight="false" outlineLevel="0" collapsed="false">
      <c r="A12413" s="0" t="n">
        <f aca="false">YIELD(DATE(2024,6,30),DATE(2025,6,30),0.05,95,100,2,1)</f>
        <v>0.103930285586916</v>
      </c>
      <c r="B12413" s="0" t="s">
        <v>12350</v>
      </c>
    </row>
    <row r="12414" customFormat="false" ht="15" hidden="false" customHeight="false" outlineLevel="0" collapsed="false">
      <c r="A12414" s="0" t="n">
        <f aca="false">PRICEDISC(DATE(2024,6,30),DATE(2025,6,30),0.05,100,4)</f>
        <v>95</v>
      </c>
      <c r="B12414" s="0" t="s">
        <v>12351</v>
      </c>
    </row>
    <row r="12415" customFormat="false" ht="15" hidden="false" customHeight="false" outlineLevel="0" collapsed="false">
      <c r="A12415" s="0" t="n">
        <f aca="false">RECEIVED(DATE(2024,6,30),DATE(2025,6,30),1000,0.05,4)</f>
        <v>1052.63157894737</v>
      </c>
      <c r="B12415" s="0" t="s">
        <v>12352</v>
      </c>
    </row>
    <row r="12416" customFormat="false" ht="15" hidden="false" customHeight="false" outlineLevel="0" collapsed="false">
      <c r="A12416" s="0" t="n">
        <f aca="false">INTRATE(DATE(2024,6,30),DATE(2025,6,30),1000,1050,4)</f>
        <v>0.05</v>
      </c>
      <c r="B12416" s="0" t="s">
        <v>12353</v>
      </c>
    </row>
    <row r="12417" customFormat="false" ht="15" hidden="false" customHeight="false" outlineLevel="0" collapsed="false">
      <c r="A12417" s="0" t="n">
        <f aca="false">DISC(DATE(2024,6,30),DATE(2025,6,30),95,100,4)</f>
        <v>0.05</v>
      </c>
      <c r="B12417" s="0" t="s">
        <v>12354</v>
      </c>
    </row>
    <row r="12418" customFormat="false" ht="15" hidden="false" customHeight="false" outlineLevel="0" collapsed="false">
      <c r="A12418" s="0" t="n">
        <f aca="false">YIELDDISC(DATE(2024,6,30),DATE(2025,6,30),95,100,4)</f>
        <v>0.0526315789473684</v>
      </c>
      <c r="B12418" s="0" t="s">
        <v>12355</v>
      </c>
    </row>
    <row r="12419" customFormat="false" ht="15" hidden="false" customHeight="false" outlineLevel="0" collapsed="false">
      <c r="A12419" s="0" t="n">
        <f aca="false">ACCRINTM(DATE(2024,6,30),DATE(2025,6,30),0.05,1000,4)</f>
        <v>50</v>
      </c>
      <c r="B12419" s="0" t="s">
        <v>12356</v>
      </c>
    </row>
    <row r="12420" customFormat="false" ht="15" hidden="false" customHeight="false" outlineLevel="0" collapsed="false">
      <c r="A12420" s="0" t="n">
        <f aca="false">PRICEMAT(DATE(2024,6,30),DATE(2025,6,30),DATE(2023,1,31),0.05,0.06,4)</f>
        <v>98.6556603773585</v>
      </c>
      <c r="B12420" s="0" t="s">
        <v>12357</v>
      </c>
    </row>
    <row r="12421" customFormat="false" ht="15" hidden="false" customHeight="false" outlineLevel="0" collapsed="false">
      <c r="A12421" s="0" t="n">
        <f aca="false">YIELDMAT(DATE(2024,6,30),DATE(2025,6,30),DATE(2023,1,31),0.05,98,4)</f>
        <v>0.0666137985725614</v>
      </c>
      <c r="B12421" s="0" t="s">
        <v>12358</v>
      </c>
    </row>
    <row r="12422" customFormat="false" ht="15" hidden="false" customHeight="false" outlineLevel="0" collapsed="false">
      <c r="A12422" s="0" t="n">
        <f aca="false">ACCRINT(DATE(2024,6,30),DATE(2030,1,1),DATE(2025,6,30),0.05,1000,2,4)</f>
        <v>50</v>
      </c>
      <c r="B12422" s="0" t="s">
        <v>12359</v>
      </c>
    </row>
    <row r="12423" customFormat="false" ht="15" hidden="false" customHeight="false" outlineLevel="0" collapsed="false">
      <c r="A12423" s="0" t="n">
        <f aca="false">DURATION(DATE(2024,6,30),DATE(2025,6,30),0.05,0.08,2,4)</f>
        <v>0.987630827783064</v>
      </c>
      <c r="B12423" s="0" t="s">
        <v>12360</v>
      </c>
    </row>
    <row r="12424" customFormat="false" ht="15" hidden="false" customHeight="false" outlineLevel="0" collapsed="false">
      <c r="A12424" s="0" t="n">
        <f aca="false">PRICE(DATE(2024,6,30),DATE(2025,6,30),0.05,0.08,100,2,4)</f>
        <v>97.1708579881657</v>
      </c>
      <c r="B12424" s="0" t="s">
        <v>12361</v>
      </c>
    </row>
    <row r="12425" customFormat="false" ht="15" hidden="false" customHeight="false" outlineLevel="0" collapsed="false">
      <c r="A12425" s="0" t="n">
        <f aca="false">YIELD(DATE(2024,6,30),DATE(2025,6,30),0.05,95,100,2,4)</f>
        <v>0.103930285586916</v>
      </c>
      <c r="B12425" s="0" t="s">
        <v>12362</v>
      </c>
    </row>
    <row r="12426" customFormat="false" ht="15" hidden="false" customHeight="false" outlineLevel="0" collapsed="false">
      <c r="A12426" s="0" t="n">
        <f aca="false">TBILLPRICE(DATE(2024,6,30),DATE(2025,6,30),0.05)</f>
        <v>94.9861111111111</v>
      </c>
      <c r="B12426" s="0" t="s">
        <v>12363</v>
      </c>
    </row>
    <row r="12427" customFormat="false" ht="15" hidden="false" customHeight="false" outlineLevel="0" collapsed="false">
      <c r="A12427" s="0" t="e">
        <f aca="false">TBILLEQ(DATE(2024,6,30),DATE(2025,6,30),0.05)</f>
        <v>#VALUE!</v>
      </c>
      <c r="B12427" s="0" t="s">
        <v>12364</v>
      </c>
    </row>
    <row r="12428" customFormat="false" ht="15" hidden="false" customHeight="false" outlineLevel="0" collapsed="false">
      <c r="A12428" s="0" t="e">
        <f aca="false">TBILLYIELD(DATE(2024,6,30),DATE(2025,6,30),98)</f>
        <v>#VALUE!</v>
      </c>
      <c r="B12428" s="0" t="s">
        <v>12365</v>
      </c>
    </row>
    <row r="12429" customFormat="false" ht="15" hidden="false" customHeight="false" outlineLevel="0" collapsed="false">
      <c r="A12429" s="0" t="n">
        <f aca="false">PRICEDISC(DATE(2024,6,30),DATE(2026,12,31),0.05,100,0)</f>
        <v>87.4861111111111</v>
      </c>
      <c r="B12429" s="0" t="s">
        <v>12366</v>
      </c>
    </row>
    <row r="12430" customFormat="false" ht="15" hidden="false" customHeight="false" outlineLevel="0" collapsed="false">
      <c r="A12430" s="0" t="n">
        <f aca="false">RECEIVED(DATE(2024,6,30),DATE(2026,12,31),1000,0.05,0)</f>
        <v>1143.03857755199</v>
      </c>
      <c r="B12430" s="0" t="s">
        <v>12367</v>
      </c>
    </row>
    <row r="12431" customFormat="false" ht="15" hidden="false" customHeight="false" outlineLevel="0" collapsed="false">
      <c r="A12431" s="0" t="n">
        <f aca="false">INTRATE(DATE(2024,6,30),DATE(2026,12,31),1000,1050,0)</f>
        <v>0.0199778024417314</v>
      </c>
      <c r="B12431" s="0" t="s">
        <v>12368</v>
      </c>
    </row>
    <row r="12432" customFormat="false" ht="15" hidden="false" customHeight="false" outlineLevel="0" collapsed="false">
      <c r="A12432" s="0" t="n">
        <f aca="false">DISC(DATE(2024,6,30),DATE(2026,12,31),95,100,0)</f>
        <v>0.02</v>
      </c>
      <c r="B12432" s="0" t="s">
        <v>12369</v>
      </c>
    </row>
    <row r="12433" customFormat="false" ht="15" hidden="false" customHeight="false" outlineLevel="0" collapsed="false">
      <c r="A12433" s="0" t="n">
        <f aca="false">YIELDDISC(DATE(2024,6,30),DATE(2026,12,31),95,100,0)</f>
        <v>0.0210526315789473</v>
      </c>
      <c r="B12433" s="0" t="s">
        <v>12370</v>
      </c>
    </row>
    <row r="12434" customFormat="false" ht="15" hidden="false" customHeight="false" outlineLevel="0" collapsed="false">
      <c r="A12434" s="0" t="n">
        <f aca="false">ACCRINTM(DATE(2024,6,30),DATE(2026,12,31),0.05,1000,0)</f>
        <v>125.138888888889</v>
      </c>
      <c r="B12434" s="0" t="s">
        <v>12371</v>
      </c>
    </row>
    <row r="12435" customFormat="false" ht="15" hidden="false" customHeight="false" outlineLevel="0" collapsed="false">
      <c r="A12435" s="0" t="n">
        <f aca="false">PRICEMAT(DATE(2024,6,30),DATE(2026,12,31),DATE(2023,1,31),0.05,0.06,0)</f>
        <v>96.9021739130435</v>
      </c>
      <c r="B12435" s="0" t="s">
        <v>12372</v>
      </c>
    </row>
    <row r="12436" customFormat="false" ht="15" hidden="false" customHeight="false" outlineLevel="0" collapsed="false">
      <c r="A12436" s="0" t="n">
        <f aca="false">YIELDMAT(DATE(2024,6,30),DATE(2026,12,31),DATE(2023,1,31),0.05,98,0)</f>
        <v>0.0551942902458366</v>
      </c>
      <c r="B12436" s="0" t="s">
        <v>12373</v>
      </c>
    </row>
    <row r="12437" customFormat="false" ht="15" hidden="false" customHeight="false" outlineLevel="0" collapsed="false">
      <c r="A12437" s="0" t="n">
        <f aca="false">ACCRINT(DATE(2024,6,30),DATE(2030,1,1),DATE(2026,12,31),0.05,1000,2,0)</f>
        <v>125.138888888889</v>
      </c>
      <c r="B12437" s="0" t="s">
        <v>12374</v>
      </c>
    </row>
    <row r="12438" customFormat="false" ht="15" hidden="false" customHeight="false" outlineLevel="0" collapsed="false">
      <c r="A12438" s="0" t="n">
        <f aca="false">DURATION(DATE(2024,6,30),DATE(2026,12,31),0.05,0.08,2,0)</f>
        <v>2.37606629505143</v>
      </c>
      <c r="B12438" s="0" t="s">
        <v>12375</v>
      </c>
    </row>
    <row r="12439" customFormat="false" ht="15" hidden="false" customHeight="false" outlineLevel="0" collapsed="false">
      <c r="A12439" s="0" t="n">
        <f aca="false">PRICE(DATE(2024,6,30),DATE(2026,12,31),0.05,0.08,100,2,0)</f>
        <v>93.3222665034757</v>
      </c>
      <c r="B12439" s="0" t="s">
        <v>12376</v>
      </c>
    </row>
    <row r="12440" customFormat="false" ht="15" hidden="false" customHeight="false" outlineLevel="0" collapsed="false">
      <c r="A12440" s="0" t="n">
        <f aca="false">YIELD(DATE(2024,6,30),DATE(2026,12,31),0.05,95,100,2,0)</f>
        <v>0.0722177387237664</v>
      </c>
      <c r="B12440" s="0" t="s">
        <v>12377</v>
      </c>
    </row>
    <row r="12441" customFormat="false" ht="15" hidden="false" customHeight="false" outlineLevel="0" collapsed="false">
      <c r="A12441" s="0" t="n">
        <f aca="false">PRICEDISC(DATE(2024,6,30),DATE(2026,12,31),0.05,100,1)</f>
        <v>87.5136612021858</v>
      </c>
      <c r="B12441" s="0" t="s">
        <v>12378</v>
      </c>
    </row>
    <row r="12442" customFormat="false" ht="15" hidden="false" customHeight="false" outlineLevel="0" collapsed="false">
      <c r="A12442" s="0" t="n">
        <f aca="false">RECEIVED(DATE(2024,6,30),DATE(2026,12,31),1000,0.05,1)</f>
        <v>1142.67873868249</v>
      </c>
      <c r="B12442" s="0" t="s">
        <v>12379</v>
      </c>
    </row>
    <row r="12443" customFormat="false" ht="15" hidden="false" customHeight="false" outlineLevel="0" collapsed="false">
      <c r="A12443" s="0" t="n">
        <f aca="false">INTRATE(DATE(2024,6,30),DATE(2026,12,31),1000,1050,1)</f>
        <v>0.0200218818380744</v>
      </c>
      <c r="B12443" s="0" t="s">
        <v>12380</v>
      </c>
    </row>
    <row r="12444" customFormat="false" ht="15" hidden="false" customHeight="false" outlineLevel="0" collapsed="false">
      <c r="A12444" s="0" t="n">
        <f aca="false">DISC(DATE(2024,6,30),DATE(2026,12,31),95,100,1)</f>
        <v>0.0199854121079504</v>
      </c>
      <c r="B12444" s="0" t="s">
        <v>12381</v>
      </c>
    </row>
    <row r="12445" customFormat="false" ht="15" hidden="false" customHeight="false" outlineLevel="0" collapsed="false">
      <c r="A12445" s="0" t="n">
        <f aca="false">YIELDDISC(DATE(2024,6,30),DATE(2026,12,31),95,100,1)</f>
        <v>0.0210372759031057</v>
      </c>
      <c r="B12445" s="0" t="s">
        <v>12382</v>
      </c>
    </row>
    <row r="12446" customFormat="false" ht="15" hidden="false" customHeight="false" outlineLevel="0" collapsed="false">
      <c r="A12446" s="0" t="n">
        <f aca="false">ACCRINTM(DATE(2024,6,30),DATE(2026,12,31),0.05,1000,1)</f>
        <v>124.863387978142</v>
      </c>
      <c r="B12446" s="0" t="s">
        <v>12383</v>
      </c>
    </row>
    <row r="12447" customFormat="false" ht="15" hidden="false" customHeight="false" outlineLevel="0" collapsed="false">
      <c r="A12447" s="0" t="n">
        <f aca="false">PRICEMAT(DATE(2024,6,30),DATE(2026,12,31),DATE(2023,1,31),0.05,0.06,1)</f>
        <v>96.9100892274521</v>
      </c>
      <c r="B12447" s="0" t="s">
        <v>12384</v>
      </c>
    </row>
    <row r="12448" customFormat="false" ht="15" hidden="false" customHeight="false" outlineLevel="0" collapsed="false">
      <c r="A12448" s="0" t="n">
        <f aca="false">YIELDMAT(DATE(2024,6,30),DATE(2026,12,31),DATE(2023,1,31),0.05,98,1)</f>
        <v>0.0552308530732985</v>
      </c>
      <c r="B12448" s="0" t="s">
        <v>12385</v>
      </c>
    </row>
    <row r="12449" customFormat="false" ht="15" hidden="false" customHeight="false" outlineLevel="0" collapsed="false">
      <c r="A12449" s="0" t="n">
        <f aca="false">ACCRINT(DATE(2024,6,30),DATE(2030,1,1),DATE(2026,12,31),0.05,1000,2,1)</f>
        <v>124.863387978142</v>
      </c>
      <c r="B12449" s="0" t="s">
        <v>12386</v>
      </c>
    </row>
    <row r="12450" customFormat="false" ht="15" hidden="false" customHeight="false" outlineLevel="0" collapsed="false">
      <c r="A12450" s="0" t="n">
        <f aca="false">DURATION(DATE(2024,6,30),DATE(2026,12,31),0.05,0.08,2,1)</f>
        <v>2.37789111256968</v>
      </c>
      <c r="B12450" s="0" t="s">
        <v>12387</v>
      </c>
    </row>
    <row r="12451" customFormat="false" ht="15" hidden="false" customHeight="false" outlineLevel="0" collapsed="false">
      <c r="A12451" s="0" t="n">
        <f aca="false">PRICE(DATE(2024,6,30),DATE(2026,12,31),0.05,0.08,100,2,1)</f>
        <v>93.3222665034757</v>
      </c>
      <c r="B12451" s="0" t="s">
        <v>12388</v>
      </c>
    </row>
    <row r="12452" customFormat="false" ht="15" hidden="false" customHeight="false" outlineLevel="0" collapsed="false">
      <c r="A12452" s="0" t="n">
        <f aca="false">YIELD(DATE(2024,6,30),DATE(2026,12,31),0.05,95,100,2,1)</f>
        <v>0.0722177387237664</v>
      </c>
      <c r="B12452" s="0" t="s">
        <v>12389</v>
      </c>
    </row>
    <row r="12453" customFormat="false" ht="15" hidden="false" customHeight="false" outlineLevel="0" collapsed="false">
      <c r="A12453" s="0" t="n">
        <f aca="false">PRICEDISC(DATE(2024,6,30),DATE(2026,12,31),0.05,100,4)</f>
        <v>87.4861111111111</v>
      </c>
      <c r="B12453" s="0" t="s">
        <v>12390</v>
      </c>
    </row>
    <row r="12454" customFormat="false" ht="15" hidden="false" customHeight="false" outlineLevel="0" collapsed="false">
      <c r="A12454" s="0" t="n">
        <f aca="false">RECEIVED(DATE(2024,6,30),DATE(2026,12,31),1000,0.05,4)</f>
        <v>1143.03857755199</v>
      </c>
      <c r="B12454" s="0" t="s">
        <v>12391</v>
      </c>
    </row>
    <row r="12455" customFormat="false" ht="15" hidden="false" customHeight="false" outlineLevel="0" collapsed="false">
      <c r="A12455" s="0" t="n">
        <f aca="false">INTRATE(DATE(2024,6,30),DATE(2026,12,31),1000,1050,4)</f>
        <v>0.0199778024417314</v>
      </c>
      <c r="B12455" s="0" t="s">
        <v>12392</v>
      </c>
    </row>
    <row r="12456" customFormat="false" ht="15" hidden="false" customHeight="false" outlineLevel="0" collapsed="false">
      <c r="A12456" s="0" t="n">
        <f aca="false">DISC(DATE(2024,6,30),DATE(2026,12,31),95,100,4)</f>
        <v>0.02</v>
      </c>
      <c r="B12456" s="0" t="s">
        <v>12393</v>
      </c>
    </row>
    <row r="12457" customFormat="false" ht="15" hidden="false" customHeight="false" outlineLevel="0" collapsed="false">
      <c r="A12457" s="0" t="n">
        <f aca="false">YIELDDISC(DATE(2024,6,30),DATE(2026,12,31),95,100,4)</f>
        <v>0.0210526315789473</v>
      </c>
      <c r="B12457" s="0" t="s">
        <v>12394</v>
      </c>
    </row>
    <row r="12458" customFormat="false" ht="15" hidden="false" customHeight="false" outlineLevel="0" collapsed="false">
      <c r="A12458" s="0" t="n">
        <f aca="false">ACCRINTM(DATE(2024,6,30),DATE(2026,12,31),0.05,1000,4)</f>
        <v>125.138888888889</v>
      </c>
      <c r="B12458" s="0" t="s">
        <v>12395</v>
      </c>
    </row>
    <row r="12459" customFormat="false" ht="15" hidden="false" customHeight="false" outlineLevel="0" collapsed="false">
      <c r="A12459" s="0" t="n">
        <f aca="false">PRICEMAT(DATE(2024,6,30),DATE(2026,12,31),DATE(2023,1,31),0.05,0.06,4)</f>
        <v>96.9021739130435</v>
      </c>
      <c r="B12459" s="0" t="s">
        <v>12396</v>
      </c>
    </row>
    <row r="12460" customFormat="false" ht="15" hidden="false" customHeight="false" outlineLevel="0" collapsed="false">
      <c r="A12460" s="0" t="n">
        <f aca="false">YIELDMAT(DATE(2024,6,30),DATE(2026,12,31),DATE(2023,1,31),0.05,98,4)</f>
        <v>0.0551942902458366</v>
      </c>
      <c r="B12460" s="0" t="s">
        <v>12397</v>
      </c>
    </row>
    <row r="12461" customFormat="false" ht="15" hidden="false" customHeight="false" outlineLevel="0" collapsed="false">
      <c r="A12461" s="0" t="n">
        <f aca="false">ACCRINT(DATE(2024,6,30),DATE(2030,1,1),DATE(2026,12,31),0.05,1000,2,4)</f>
        <v>125.138888888889</v>
      </c>
      <c r="B12461" s="0" t="s">
        <v>12398</v>
      </c>
    </row>
    <row r="12462" customFormat="false" ht="15" hidden="false" customHeight="false" outlineLevel="0" collapsed="false">
      <c r="A12462" s="0" t="n">
        <f aca="false">DURATION(DATE(2024,6,30),DATE(2026,12,31),0.05,0.08,2,4)</f>
        <v>2.37606629505143</v>
      </c>
      <c r="B12462" s="0" t="s">
        <v>12399</v>
      </c>
    </row>
    <row r="12463" customFormat="false" ht="15" hidden="false" customHeight="false" outlineLevel="0" collapsed="false">
      <c r="A12463" s="0" t="n">
        <f aca="false">PRICE(DATE(2024,6,30),DATE(2026,12,31),0.05,0.08,100,2,4)</f>
        <v>93.3222665034757</v>
      </c>
      <c r="B12463" s="0" t="s">
        <v>12400</v>
      </c>
    </row>
    <row r="12464" customFormat="false" ht="15" hidden="false" customHeight="false" outlineLevel="0" collapsed="false">
      <c r="A12464" s="0" t="n">
        <f aca="false">YIELD(DATE(2024,6,30),DATE(2026,12,31),0.05,95,100,2,4)</f>
        <v>0.0722177387237664</v>
      </c>
      <c r="B12464" s="0" t="s">
        <v>12401</v>
      </c>
    </row>
    <row r="12465" customFormat="false" ht="15" hidden="false" customHeight="false" outlineLevel="0" collapsed="false">
      <c r="A12465" s="0" t="n">
        <f aca="false">TBILLPRICE(DATE(2024,6,30),DATE(2026,12,31),0.05)</f>
        <v>87.4861111111111</v>
      </c>
      <c r="B12465" s="0" t="s">
        <v>12402</v>
      </c>
    </row>
    <row r="12466" customFormat="false" ht="15" hidden="false" customHeight="false" outlineLevel="0" collapsed="false">
      <c r="A12466" s="0" t="e">
        <f aca="false">TBILLEQ(DATE(2024,6,30),DATE(2026,12,31),0.05)</f>
        <v>#VALUE!</v>
      </c>
      <c r="B12466" s="0" t="s">
        <v>12403</v>
      </c>
    </row>
    <row r="12467" customFormat="false" ht="15" hidden="false" customHeight="false" outlineLevel="0" collapsed="false">
      <c r="A12467" s="0" t="e">
        <f aca="false">TBILLYIELD(DATE(2024,6,30),DATE(2026,12,31),98)</f>
        <v>#VALUE!</v>
      </c>
      <c r="B12467" s="0" t="s">
        <v>12404</v>
      </c>
    </row>
    <row r="12468" customFormat="false" ht="15" hidden="false" customHeight="false" outlineLevel="0" collapsed="false">
      <c r="A12468" s="0" t="n">
        <f aca="false">PRICEDISC(DATE(2024,6,30),DATE(2027,2,28),0.05,100,0)</f>
        <v>86.6944444444444</v>
      </c>
      <c r="B12468" s="0" t="s">
        <v>12405</v>
      </c>
    </row>
    <row r="12469" customFormat="false" ht="15" hidden="false" customHeight="false" outlineLevel="0" collapsed="false">
      <c r="A12469" s="0" t="n">
        <f aca="false">RECEIVED(DATE(2024,6,30),DATE(2027,2,28),1000,0.05,0)</f>
        <v>1153.47644985582</v>
      </c>
      <c r="B12469" s="0" t="s">
        <v>12406</v>
      </c>
    </row>
    <row r="12470" customFormat="false" ht="15" hidden="false" customHeight="false" outlineLevel="0" collapsed="false">
      <c r="A12470" s="0" t="n">
        <f aca="false">INTRATE(DATE(2024,6,30),DATE(2027,2,28),1000,1050,0)</f>
        <v>0.0187891440501044</v>
      </c>
      <c r="B12470" s="0" t="s">
        <v>12407</v>
      </c>
    </row>
    <row r="12471" customFormat="false" ht="15" hidden="false" customHeight="false" outlineLevel="0" collapsed="false">
      <c r="A12471" s="0" t="n">
        <f aca="false">DISC(DATE(2024,6,30),DATE(2027,2,28),95,100,0)</f>
        <v>0.0187891440501044</v>
      </c>
      <c r="B12471" s="0" t="s">
        <v>12408</v>
      </c>
    </row>
    <row r="12472" customFormat="false" ht="15" hidden="false" customHeight="false" outlineLevel="0" collapsed="false">
      <c r="A12472" s="0" t="n">
        <f aca="false">YIELDDISC(DATE(2024,6,30),DATE(2027,2,28),95,100,0)</f>
        <v>0.0197780463685309</v>
      </c>
      <c r="B12472" s="0" t="s">
        <v>12409</v>
      </c>
    </row>
    <row r="12473" customFormat="false" ht="15" hidden="false" customHeight="false" outlineLevel="0" collapsed="false">
      <c r="A12473" s="0" t="n">
        <f aca="false">ACCRINTM(DATE(2024,6,30),DATE(2027,2,28),0.05,1000,0)</f>
        <v>133.055555555556</v>
      </c>
      <c r="B12473" s="0" t="s">
        <v>12410</v>
      </c>
    </row>
    <row r="12474" customFormat="false" ht="15" hidden="false" customHeight="false" outlineLevel="0" collapsed="false">
      <c r="A12474" s="0" t="n">
        <f aca="false">PRICEMAT(DATE(2024,6,30),DATE(2027,2,28),DATE(2023,1,31),0.05,0.06,0)</f>
        <v>96.7300229951135</v>
      </c>
      <c r="B12474" s="0" t="s">
        <v>12411</v>
      </c>
    </row>
    <row r="12475" customFormat="false" ht="15" hidden="false" customHeight="false" outlineLevel="0" collapsed="false">
      <c r="A12475" s="0" t="n">
        <f aca="false">YIELDMAT(DATE(2024,6,30),DATE(2027,2,28),DATE(2023,1,31),0.05,98,0)</f>
        <v>0.0547333775924267</v>
      </c>
      <c r="B12475" s="0" t="s">
        <v>12412</v>
      </c>
    </row>
    <row r="12476" customFormat="false" ht="15" hidden="false" customHeight="false" outlineLevel="0" collapsed="false">
      <c r="A12476" s="0" t="n">
        <f aca="false">ACCRINT(DATE(2024,6,30),DATE(2030,1,1),DATE(2027,2,28),0.05,1000,2,0)</f>
        <v>133.055555555556</v>
      </c>
      <c r="B12476" s="0" t="s">
        <v>12413</v>
      </c>
    </row>
    <row r="12477" customFormat="false" ht="15" hidden="false" customHeight="false" outlineLevel="0" collapsed="false">
      <c r="A12477" s="0" t="n">
        <f aca="false">DURATION(DATE(2024,6,30),DATE(2027,2,28),0.05,0.08,2,0)</f>
        <v>2.47518590925495</v>
      </c>
      <c r="B12477" s="0" t="s">
        <v>12414</v>
      </c>
    </row>
    <row r="12478" customFormat="false" ht="15" hidden="false" customHeight="false" outlineLevel="0" collapsed="false">
      <c r="A12478" s="0" t="n">
        <f aca="false">PRICE(DATE(2024,6,30),DATE(2027,2,28),0.05,0.08,100,2,0)</f>
        <v>92.9110139452609</v>
      </c>
      <c r="B12478" s="0" t="s">
        <v>12415</v>
      </c>
    </row>
    <row r="12479" customFormat="false" ht="15" hidden="false" customHeight="false" outlineLevel="0" collapsed="false">
      <c r="A12479" s="0" t="n">
        <f aca="false">YIELD(DATE(2024,6,30),DATE(2027,2,28),0.05,95,100,2,0)</f>
        <v>0.0708661953499775</v>
      </c>
      <c r="B12479" s="0" t="s">
        <v>12416</v>
      </c>
    </row>
    <row r="12480" customFormat="false" ht="15" hidden="false" customHeight="false" outlineLevel="0" collapsed="false">
      <c r="A12480" s="0" t="n">
        <f aca="false">PRICEDISC(DATE(2024,6,30),DATE(2027,2,28),0.05,100,1)</f>
        <v>86.7076502732241</v>
      </c>
      <c r="B12480" s="0" t="s">
        <v>12417</v>
      </c>
    </row>
    <row r="12481" customFormat="false" ht="15" hidden="false" customHeight="false" outlineLevel="0" collapsed="false">
      <c r="A12481" s="0" t="n">
        <f aca="false">RECEIVED(DATE(2024,6,30),DATE(2027,2,28),1000,0.05,1)</f>
        <v>1153.30077201828</v>
      </c>
      <c r="B12481" s="0" t="s">
        <v>12418</v>
      </c>
    </row>
    <row r="12482" customFormat="false" ht="15" hidden="false" customHeight="false" outlineLevel="0" collapsed="false">
      <c r="A12482" s="0" t="n">
        <f aca="false">INTRATE(DATE(2024,6,30),DATE(2027,2,28),1000,1050,1)</f>
        <v>0.0188078108941418</v>
      </c>
      <c r="B12482" s="0" t="s">
        <v>12419</v>
      </c>
    </row>
    <row r="12483" customFormat="false" ht="15" hidden="false" customHeight="false" outlineLevel="0" collapsed="false">
      <c r="A12483" s="0" t="n">
        <f aca="false">DISC(DATE(2024,6,30),DATE(2027,2,28),95,100,1)</f>
        <v>0.0187692702980473</v>
      </c>
      <c r="B12483" s="0" t="s">
        <v>12420</v>
      </c>
    </row>
    <row r="12484" customFormat="false" ht="15" hidden="false" customHeight="false" outlineLevel="0" collapsed="false">
      <c r="A12484" s="0" t="n">
        <f aca="false">YIELDDISC(DATE(2024,6,30),DATE(2027,2,28),95,100,1)</f>
        <v>0.0197571266295234</v>
      </c>
      <c r="B12484" s="0" t="s">
        <v>12421</v>
      </c>
    </row>
    <row r="12485" customFormat="false" ht="15" hidden="false" customHeight="false" outlineLevel="0" collapsed="false">
      <c r="A12485" s="0" t="n">
        <f aca="false">ACCRINTM(DATE(2024,6,30),DATE(2027,2,28),0.05,1000,1)</f>
        <v>132.92349726776</v>
      </c>
      <c r="B12485" s="0" t="s">
        <v>12422</v>
      </c>
    </row>
    <row r="12486" customFormat="false" ht="15" hidden="false" customHeight="false" outlineLevel="0" collapsed="false">
      <c r="A12486" s="0" t="n">
        <f aca="false">PRICEMAT(DATE(2024,6,30),DATE(2027,2,28),DATE(2023,1,31),0.05,0.06,1)</f>
        <v>96.7369872122512</v>
      </c>
      <c r="B12486" s="0" t="s">
        <v>12423</v>
      </c>
    </row>
    <row r="12487" customFormat="false" ht="15" hidden="false" customHeight="false" outlineLevel="0" collapsed="false">
      <c r="A12487" s="0" t="n">
        <f aca="false">YIELDMAT(DATE(2024,6,30),DATE(2027,2,28),DATE(2023,1,31),0.05,98,1)</f>
        <v>0.0547658148373047</v>
      </c>
      <c r="B12487" s="0" t="s">
        <v>12424</v>
      </c>
    </row>
    <row r="12488" customFormat="false" ht="15" hidden="false" customHeight="false" outlineLevel="0" collapsed="false">
      <c r="A12488" s="0" t="n">
        <f aca="false">ACCRINT(DATE(2024,6,30),DATE(2030,1,1),DATE(2027,2,28),0.05,1000,2,1)</f>
        <v>132.92349726776</v>
      </c>
      <c r="B12488" s="0" t="s">
        <v>12425</v>
      </c>
    </row>
    <row r="12489" customFormat="false" ht="15" hidden="false" customHeight="false" outlineLevel="0" collapsed="false">
      <c r="A12489" s="0" t="n">
        <f aca="false">DURATION(DATE(2024,6,30),DATE(2027,2,28),0.05,0.08,2,1)</f>
        <v>2.47800361402338</v>
      </c>
      <c r="B12489" s="0" t="s">
        <v>12426</v>
      </c>
    </row>
    <row r="12490" customFormat="false" ht="15" hidden="false" customHeight="false" outlineLevel="0" collapsed="false">
      <c r="A12490" s="0" t="n">
        <f aca="false">PRICE(DATE(2024,6,30),DATE(2027,2,28),0.05,0.08,100,2,1)</f>
        <v>92.9066330012978</v>
      </c>
      <c r="B12490" s="0" t="s">
        <v>12427</v>
      </c>
    </row>
    <row r="12491" customFormat="false" ht="15" hidden="false" customHeight="false" outlineLevel="0" collapsed="false">
      <c r="A12491" s="0" t="n">
        <f aca="false">YIELD(DATE(2024,6,30),DATE(2027,2,28),0.05,95,100,2,1)</f>
        <v>0.0708526753987354</v>
      </c>
      <c r="B12491" s="0" t="s">
        <v>12428</v>
      </c>
    </row>
    <row r="12492" customFormat="false" ht="15" hidden="false" customHeight="false" outlineLevel="0" collapsed="false">
      <c r="A12492" s="0" t="n">
        <f aca="false">PRICEDISC(DATE(2024,6,30),DATE(2027,2,28),0.05,100,4)</f>
        <v>86.6944444444444</v>
      </c>
      <c r="B12492" s="0" t="s">
        <v>12429</v>
      </c>
    </row>
    <row r="12493" customFormat="false" ht="15" hidden="false" customHeight="false" outlineLevel="0" collapsed="false">
      <c r="A12493" s="0" t="n">
        <f aca="false">RECEIVED(DATE(2024,6,30),DATE(2027,2,28),1000,0.05,4)</f>
        <v>1153.47644985582</v>
      </c>
      <c r="B12493" s="0" t="s">
        <v>12430</v>
      </c>
    </row>
    <row r="12494" customFormat="false" ht="15" hidden="false" customHeight="false" outlineLevel="0" collapsed="false">
      <c r="A12494" s="0" t="n">
        <f aca="false">INTRATE(DATE(2024,6,30),DATE(2027,2,28),1000,1050,4)</f>
        <v>0.0187891440501044</v>
      </c>
      <c r="B12494" s="0" t="s">
        <v>12431</v>
      </c>
    </row>
    <row r="12495" customFormat="false" ht="15" hidden="false" customHeight="false" outlineLevel="0" collapsed="false">
      <c r="A12495" s="0" t="n">
        <f aca="false">DISC(DATE(2024,6,30),DATE(2027,2,28),95,100,4)</f>
        <v>0.0187891440501044</v>
      </c>
      <c r="B12495" s="0" t="s">
        <v>12432</v>
      </c>
    </row>
    <row r="12496" customFormat="false" ht="15" hidden="false" customHeight="false" outlineLevel="0" collapsed="false">
      <c r="A12496" s="0" t="n">
        <f aca="false">YIELDDISC(DATE(2024,6,30),DATE(2027,2,28),95,100,4)</f>
        <v>0.0197780463685309</v>
      </c>
      <c r="B12496" s="0" t="s">
        <v>12433</v>
      </c>
    </row>
    <row r="12497" customFormat="false" ht="15" hidden="false" customHeight="false" outlineLevel="0" collapsed="false">
      <c r="A12497" s="0" t="n">
        <f aca="false">ACCRINTM(DATE(2024,6,30),DATE(2027,2,28),0.05,1000,4)</f>
        <v>133.055555555556</v>
      </c>
      <c r="B12497" s="0" t="s">
        <v>12434</v>
      </c>
    </row>
    <row r="12498" customFormat="false" ht="15" hidden="false" customHeight="false" outlineLevel="0" collapsed="false">
      <c r="A12498" s="0" t="n">
        <f aca="false">PRICEMAT(DATE(2024,6,30),DATE(2027,2,28),DATE(2023,1,31),0.05,0.06,4)</f>
        <v>96.7300229951135</v>
      </c>
      <c r="B12498" s="0" t="s">
        <v>12435</v>
      </c>
    </row>
    <row r="12499" customFormat="false" ht="15" hidden="false" customHeight="false" outlineLevel="0" collapsed="false">
      <c r="A12499" s="0" t="n">
        <f aca="false">YIELDMAT(DATE(2024,6,30),DATE(2027,2,28),DATE(2023,1,31),0.05,98,4)</f>
        <v>0.0547333775924267</v>
      </c>
      <c r="B12499" s="0" t="s">
        <v>12436</v>
      </c>
    </row>
    <row r="12500" customFormat="false" ht="15" hidden="false" customHeight="false" outlineLevel="0" collapsed="false">
      <c r="A12500" s="0" t="n">
        <f aca="false">ACCRINT(DATE(2024,6,30),DATE(2030,1,1),DATE(2027,2,28),0.05,1000,2,4)</f>
        <v>133.055555555556</v>
      </c>
      <c r="B12500" s="0" t="s">
        <v>12437</v>
      </c>
    </row>
    <row r="12501" customFormat="false" ht="15" hidden="false" customHeight="false" outlineLevel="0" collapsed="false">
      <c r="A12501" s="0" t="n">
        <f aca="false">DURATION(DATE(2024,6,30),DATE(2027,2,28),0.05,0.08,2,4)</f>
        <v>2.47518590925495</v>
      </c>
      <c r="B12501" s="0" t="s">
        <v>12438</v>
      </c>
    </row>
    <row r="12502" customFormat="false" ht="15" hidden="false" customHeight="false" outlineLevel="0" collapsed="false">
      <c r="A12502" s="0" t="n">
        <f aca="false">PRICE(DATE(2024,6,30),DATE(2027,2,28),0.05,0.08,100,2,4)</f>
        <v>92.9177351021368</v>
      </c>
      <c r="B12502" s="0" t="s">
        <v>12439</v>
      </c>
    </row>
    <row r="12503" customFormat="false" ht="15" hidden="false" customHeight="false" outlineLevel="0" collapsed="false">
      <c r="A12503" s="0" t="n">
        <f aca="false">YIELD(DATE(2024,6,30),DATE(2027,2,28),0.05,95,100,2,4)</f>
        <v>0.0708869716266426</v>
      </c>
      <c r="B12503" s="0" t="s">
        <v>12440</v>
      </c>
    </row>
    <row r="12504" customFormat="false" ht="15" hidden="false" customHeight="false" outlineLevel="0" collapsed="false">
      <c r="A12504" s="0" t="n">
        <f aca="false">TBILLPRICE(DATE(2024,6,30),DATE(2027,2,28),0.05)</f>
        <v>86.6527777777778</v>
      </c>
      <c r="B12504" s="0" t="s">
        <v>12441</v>
      </c>
    </row>
    <row r="12505" customFormat="false" ht="15" hidden="false" customHeight="false" outlineLevel="0" collapsed="false">
      <c r="A12505" s="0" t="e">
        <f aca="false">TBILLEQ(DATE(2024,6,30),DATE(2027,2,28),0.05)</f>
        <v>#VALUE!</v>
      </c>
      <c r="B12505" s="0" t="s">
        <v>12442</v>
      </c>
    </row>
    <row r="12506" customFormat="false" ht="15" hidden="false" customHeight="false" outlineLevel="0" collapsed="false">
      <c r="A12506" s="0" t="e">
        <f aca="false">TBILLYIELD(DATE(2024,6,30),DATE(2027,2,28),98)</f>
        <v>#VALUE!</v>
      </c>
      <c r="B12506" s="0" t="s">
        <v>12443</v>
      </c>
    </row>
    <row r="12507" customFormat="false" ht="15" hidden="false" customHeight="false" outlineLevel="0" collapsed="false">
      <c r="A12507" s="0" t="n">
        <f aca="false">PRICEDISC(DATE(2024,6,30),DATE(2025,1,30),0.05,100,0)</f>
        <v>97.0833333333333</v>
      </c>
      <c r="B12507" s="0" t="s">
        <v>12444</v>
      </c>
    </row>
    <row r="12508" customFormat="false" ht="15" hidden="false" customHeight="false" outlineLevel="0" collapsed="false">
      <c r="A12508" s="0" t="n">
        <f aca="false">RECEIVED(DATE(2024,6,30),DATE(2025,1,30),1000,0.05,0)</f>
        <v>1030.04291845494</v>
      </c>
      <c r="B12508" s="0" t="s">
        <v>12445</v>
      </c>
    </row>
    <row r="12509" customFormat="false" ht="15" hidden="false" customHeight="false" outlineLevel="0" collapsed="false">
      <c r="A12509" s="0" t="n">
        <f aca="false">INTRATE(DATE(2024,6,30),DATE(2025,1,30),1000,1050,0)</f>
        <v>0.0857142857142858</v>
      </c>
      <c r="B12509" s="0" t="s">
        <v>12446</v>
      </c>
    </row>
    <row r="12510" customFormat="false" ht="15" hidden="false" customHeight="false" outlineLevel="0" collapsed="false">
      <c r="A12510" s="0" t="n">
        <f aca="false">DISC(DATE(2024,6,30),DATE(2025,1,30),95,100,0)</f>
        <v>0.0857142857142858</v>
      </c>
      <c r="B12510" s="0" t="s">
        <v>12447</v>
      </c>
    </row>
    <row r="12511" customFormat="false" ht="15" hidden="false" customHeight="false" outlineLevel="0" collapsed="false">
      <c r="A12511" s="0" t="n">
        <f aca="false">YIELDDISC(DATE(2024,6,30),DATE(2025,1,30),95,100,0)</f>
        <v>0.0902255639097743</v>
      </c>
      <c r="B12511" s="0" t="s">
        <v>12448</v>
      </c>
    </row>
    <row r="12512" customFormat="false" ht="15" hidden="false" customHeight="false" outlineLevel="0" collapsed="false">
      <c r="A12512" s="0" t="n">
        <f aca="false">ACCRINTM(DATE(2024,6,30),DATE(2025,1,30),0.05,1000,0)</f>
        <v>29.1666666666667</v>
      </c>
      <c r="B12512" s="0" t="s">
        <v>12449</v>
      </c>
    </row>
    <row r="12513" customFormat="false" ht="15" hidden="false" customHeight="false" outlineLevel="0" collapsed="false">
      <c r="A12513" s="0" t="n">
        <f aca="false">PRICEMAT(DATE(2024,6,30),DATE(2025,1,30),DATE(2023,1,31),0.05,0.06,0)</f>
        <v>99.1968599033817</v>
      </c>
      <c r="B12513" s="0" t="s">
        <v>12450</v>
      </c>
    </row>
    <row r="12514" customFormat="false" ht="15" hidden="false" customHeight="false" outlineLevel="0" collapsed="false">
      <c r="A12514" s="0" t="n">
        <f aca="false">YIELDMAT(DATE(2024,6,30),DATE(2025,1,30),DATE(2023,1,31),0.05,98,0)</f>
        <v>0.0802084513424721</v>
      </c>
      <c r="B12514" s="0" t="s">
        <v>12451</v>
      </c>
    </row>
    <row r="12515" customFormat="false" ht="15" hidden="false" customHeight="false" outlineLevel="0" collapsed="false">
      <c r="A12515" s="0" t="n">
        <f aca="false">ACCRINT(DATE(2024,6,30),DATE(2030,1,1),DATE(2025,1,30),0.05,1000,2,0)</f>
        <v>29.1666666666667</v>
      </c>
      <c r="B12515" s="0" t="s">
        <v>12452</v>
      </c>
    </row>
    <row r="12516" customFormat="false" ht="15" hidden="false" customHeight="false" outlineLevel="0" collapsed="false">
      <c r="A12516" s="0" t="n">
        <f aca="false">DURATION(DATE(2024,6,30),DATE(2025,1,30),0.05,0.08,2,0)</f>
        <v>0.570964161116397</v>
      </c>
      <c r="B12516" s="0" t="s">
        <v>12453</v>
      </c>
    </row>
    <row r="12517" customFormat="false" ht="15" hidden="false" customHeight="false" outlineLevel="0" collapsed="false">
      <c r="A12517" s="0" t="n">
        <f aca="false">PRICE(DATE(2024,6,30),DATE(2025,1,30),0.05,0.08,100,2,0)</f>
        <v>98.3159208928599</v>
      </c>
      <c r="B12517" s="0" t="s">
        <v>12454</v>
      </c>
    </row>
    <row r="12518" customFormat="false" ht="15" hidden="false" customHeight="false" outlineLevel="0" collapsed="false">
      <c r="A12518" s="0" t="n">
        <f aca="false">YIELD(DATE(2024,6,30),DATE(2025,1,30),0.05,95,100,2,0)</f>
        <v>0.142102783697125</v>
      </c>
      <c r="B12518" s="0" t="s">
        <v>12455</v>
      </c>
    </row>
    <row r="12519" customFormat="false" ht="15" hidden="false" customHeight="false" outlineLevel="0" collapsed="false">
      <c r="A12519" s="0" t="n">
        <f aca="false">PRICEDISC(DATE(2024,6,30),DATE(2025,1,30),0.05,100,1)</f>
        <v>97.0765027322404</v>
      </c>
      <c r="B12519" s="0" t="s">
        <v>12456</v>
      </c>
    </row>
    <row r="12520" customFormat="false" ht="15" hidden="false" customHeight="false" outlineLevel="0" collapsed="false">
      <c r="A12520" s="0" t="n">
        <f aca="false">RECEIVED(DATE(2024,6,30),DATE(2025,1,30),1000,0.05,1)</f>
        <v>1030.11539544047</v>
      </c>
      <c r="B12520" s="0" t="s">
        <v>12457</v>
      </c>
    </row>
    <row r="12521" customFormat="false" ht="15" hidden="false" customHeight="false" outlineLevel="0" collapsed="false">
      <c r="A12521" s="0" t="n">
        <f aca="false">INTRATE(DATE(2024,6,30),DATE(2025,1,30),1000,1050,1)</f>
        <v>0.0855140186915889</v>
      </c>
      <c r="B12521" s="0" t="s">
        <v>12458</v>
      </c>
    </row>
    <row r="12522" customFormat="false" ht="15" hidden="false" customHeight="false" outlineLevel="0" collapsed="false">
      <c r="A12522" s="0" t="n">
        <f aca="false">DISC(DATE(2024,6,30),DATE(2025,1,30),95,100,1)</f>
        <v>0.0852803738317758</v>
      </c>
      <c r="B12522" s="0" t="s">
        <v>12459</v>
      </c>
    </row>
    <row r="12523" customFormat="false" ht="15" hidden="false" customHeight="false" outlineLevel="0" collapsed="false">
      <c r="A12523" s="0" t="n">
        <f aca="false">YIELDDISC(DATE(2024,6,30),DATE(2025,1,30),95,100,1)</f>
        <v>0.0897688145597638</v>
      </c>
      <c r="B12523" s="0" t="s">
        <v>12460</v>
      </c>
    </row>
    <row r="12524" customFormat="false" ht="15" hidden="false" customHeight="false" outlineLevel="0" collapsed="false">
      <c r="A12524" s="0" t="n">
        <f aca="false">ACCRINTM(DATE(2024,6,30),DATE(2025,1,30),0.05,1000,1)</f>
        <v>29.2349726775956</v>
      </c>
      <c r="B12524" s="0" t="s">
        <v>12461</v>
      </c>
    </row>
    <row r="12525" customFormat="false" ht="15" hidden="false" customHeight="false" outlineLevel="0" collapsed="false">
      <c r="A12525" s="0" t="n">
        <f aca="false">PRICEMAT(DATE(2024,6,30),DATE(2025,1,30),DATE(2023,1,31),0.05,0.06,1)</f>
        <v>99.1942722466554</v>
      </c>
      <c r="B12525" s="0" t="s">
        <v>12462</v>
      </c>
    </row>
    <row r="12526" customFormat="false" ht="15" hidden="false" customHeight="false" outlineLevel="0" collapsed="false">
      <c r="A12526" s="0" t="n">
        <f aca="false">YIELDMAT(DATE(2024,6,30),DATE(2025,1,30),DATE(2023,1,31),0.05,98,1)</f>
        <v>0.0800708130644798</v>
      </c>
      <c r="B12526" s="0" t="s">
        <v>12463</v>
      </c>
    </row>
    <row r="12527" customFormat="false" ht="15" hidden="false" customHeight="false" outlineLevel="0" collapsed="false">
      <c r="A12527" s="0" t="n">
        <f aca="false">ACCRINT(DATE(2024,6,30),DATE(2030,1,1),DATE(2025,1,30),0.05,1000,2,1)</f>
        <v>29.2349726775956</v>
      </c>
      <c r="B12527" s="0" t="s">
        <v>12464</v>
      </c>
    </row>
    <row r="12528" customFormat="false" ht="15" hidden="false" customHeight="false" outlineLevel="0" collapsed="false">
      <c r="A12528" s="0" t="n">
        <f aca="false">DURATION(DATE(2024,6,30),DATE(2025,1,30),0.05,0.08,2,1)</f>
        <v>0.573932197646078</v>
      </c>
      <c r="B12528" s="0" t="s">
        <v>12465</v>
      </c>
    </row>
    <row r="12529" customFormat="false" ht="15" hidden="false" customHeight="false" outlineLevel="0" collapsed="false">
      <c r="A12529" s="0" t="n">
        <f aca="false">PRICE(DATE(2024,6,30),DATE(2025,1,30),0.05,0.08,100,2,1)</f>
        <v>98.3185543576645</v>
      </c>
      <c r="B12529" s="0" t="s">
        <v>12466</v>
      </c>
    </row>
    <row r="12530" customFormat="false" ht="15" hidden="false" customHeight="false" outlineLevel="0" collapsed="false">
      <c r="A12530" s="0" t="n">
        <f aca="false">YIELD(DATE(2024,6,30),DATE(2025,1,30),0.05,95,100,2,1)</f>
        <v>0.142250474920727</v>
      </c>
      <c r="B12530" s="0" t="s">
        <v>12467</v>
      </c>
    </row>
    <row r="12531" customFormat="false" ht="15" hidden="false" customHeight="false" outlineLevel="0" collapsed="false">
      <c r="A12531" s="0" t="n">
        <f aca="false">PRICEDISC(DATE(2024,6,30),DATE(2025,1,30),0.05,100,4)</f>
        <v>97.0833333333333</v>
      </c>
      <c r="B12531" s="0" t="s">
        <v>12468</v>
      </c>
    </row>
    <row r="12532" customFormat="false" ht="15" hidden="false" customHeight="false" outlineLevel="0" collapsed="false">
      <c r="A12532" s="0" t="n">
        <f aca="false">RECEIVED(DATE(2024,6,30),DATE(2025,1,30),1000,0.05,4)</f>
        <v>1030.04291845494</v>
      </c>
      <c r="B12532" s="0" t="s">
        <v>12469</v>
      </c>
    </row>
    <row r="12533" customFormat="false" ht="15" hidden="false" customHeight="false" outlineLevel="0" collapsed="false">
      <c r="A12533" s="0" t="n">
        <f aca="false">INTRATE(DATE(2024,6,30),DATE(2025,1,30),1000,1050,4)</f>
        <v>0.0857142857142858</v>
      </c>
      <c r="B12533" s="0" t="s">
        <v>12470</v>
      </c>
    </row>
    <row r="12534" customFormat="false" ht="15" hidden="false" customHeight="false" outlineLevel="0" collapsed="false">
      <c r="A12534" s="0" t="n">
        <f aca="false">DISC(DATE(2024,6,30),DATE(2025,1,30),95,100,4)</f>
        <v>0.0857142857142858</v>
      </c>
      <c r="B12534" s="0" t="s">
        <v>12471</v>
      </c>
    </row>
    <row r="12535" customFormat="false" ht="15" hidden="false" customHeight="false" outlineLevel="0" collapsed="false">
      <c r="A12535" s="0" t="n">
        <f aca="false">YIELDDISC(DATE(2024,6,30),DATE(2025,1,30),95,100,4)</f>
        <v>0.0902255639097743</v>
      </c>
      <c r="B12535" s="0" t="s">
        <v>12472</v>
      </c>
    </row>
    <row r="12536" customFormat="false" ht="15" hidden="false" customHeight="false" outlineLevel="0" collapsed="false">
      <c r="A12536" s="0" t="n">
        <f aca="false">ACCRINTM(DATE(2024,6,30),DATE(2025,1,30),0.05,1000,4)</f>
        <v>29.1666666666667</v>
      </c>
      <c r="B12536" s="0" t="s">
        <v>12473</v>
      </c>
    </row>
    <row r="12537" customFormat="false" ht="15" hidden="false" customHeight="false" outlineLevel="0" collapsed="false">
      <c r="A12537" s="0" t="n">
        <f aca="false">PRICEMAT(DATE(2024,6,30),DATE(2025,1,30),DATE(2023,1,31),0.05,0.06,4)</f>
        <v>99.1968599033817</v>
      </c>
      <c r="B12537" s="0" t="s">
        <v>12474</v>
      </c>
    </row>
    <row r="12538" customFormat="false" ht="15" hidden="false" customHeight="false" outlineLevel="0" collapsed="false">
      <c r="A12538" s="0" t="n">
        <f aca="false">YIELDMAT(DATE(2024,6,30),DATE(2025,1,30),DATE(2023,1,31),0.05,98,4)</f>
        <v>0.0802084513424721</v>
      </c>
      <c r="B12538" s="0" t="s">
        <v>12475</v>
      </c>
    </row>
    <row r="12539" customFormat="false" ht="15" hidden="false" customHeight="false" outlineLevel="0" collapsed="false">
      <c r="A12539" s="0" t="n">
        <f aca="false">ACCRINT(DATE(2024,6,30),DATE(2030,1,1),DATE(2025,1,30),0.05,1000,2,4)</f>
        <v>29.1666666666667</v>
      </c>
      <c r="B12539" s="0" t="s">
        <v>12476</v>
      </c>
    </row>
    <row r="12540" customFormat="false" ht="15" hidden="false" customHeight="false" outlineLevel="0" collapsed="false">
      <c r="A12540" s="0" t="n">
        <f aca="false">DURATION(DATE(2024,6,30),DATE(2025,1,30),0.05,0.08,2,4)</f>
        <v>0.570964161116397</v>
      </c>
      <c r="B12540" s="0" t="s">
        <v>12477</v>
      </c>
    </row>
    <row r="12541" customFormat="false" ht="15" hidden="false" customHeight="false" outlineLevel="0" collapsed="false">
      <c r="A12541" s="0" t="n">
        <f aca="false">PRICE(DATE(2024,6,30),DATE(2025,1,30),0.05,0.08,100,2,4)</f>
        <v>98.3159208928599</v>
      </c>
      <c r="B12541" s="0" t="s">
        <v>12478</v>
      </c>
    </row>
    <row r="12542" customFormat="false" ht="15" hidden="false" customHeight="false" outlineLevel="0" collapsed="false">
      <c r="A12542" s="0" t="n">
        <f aca="false">YIELD(DATE(2024,6,30),DATE(2025,1,30),0.05,95,100,2,4)</f>
        <v>0.142102783697125</v>
      </c>
      <c r="B12542" s="0" t="s">
        <v>12479</v>
      </c>
    </row>
    <row r="12543" customFormat="false" ht="15" hidden="false" customHeight="false" outlineLevel="0" collapsed="false">
      <c r="A12543" s="0" t="n">
        <f aca="false">TBILLPRICE(DATE(2024,6,30),DATE(2025,1,30),0.05)</f>
        <v>97.0833333333333</v>
      </c>
      <c r="B12543" s="0" t="s">
        <v>12480</v>
      </c>
    </row>
    <row r="12544" customFormat="false" ht="15" hidden="false" customHeight="false" outlineLevel="0" collapsed="false">
      <c r="A12544" s="0" t="n">
        <f aca="false">TBILLEQ(DATE(2024,6,30),DATE(2025,1,30),0.05)</f>
        <v>0.0522174535050072</v>
      </c>
      <c r="B12544" s="0" t="s">
        <v>12481</v>
      </c>
    </row>
    <row r="12545" customFormat="false" ht="15" hidden="false" customHeight="false" outlineLevel="0" collapsed="false">
      <c r="A12545" s="0" t="n">
        <f aca="false">TBILLYIELD(DATE(2024,6,30),DATE(2025,1,30),98)</f>
        <v>0.0348196150498114</v>
      </c>
      <c r="B12545" s="0" t="s">
        <v>12482</v>
      </c>
    </row>
    <row r="12546" customFormat="false" ht="15" hidden="false" customHeight="false" outlineLevel="0" collapsed="false">
      <c r="A12546" s="0" t="n">
        <f aca="false">PRICEDISC(DATE(2024,6,30),DATE(2024,12,31),0.05,100,0)</f>
        <v>97.4861111111111</v>
      </c>
      <c r="B12546" s="0" t="s">
        <v>12483</v>
      </c>
    </row>
    <row r="12547" customFormat="false" ht="15" hidden="false" customHeight="false" outlineLevel="0" collapsed="false">
      <c r="A12547" s="0" t="n">
        <f aca="false">RECEIVED(DATE(2024,6,30),DATE(2024,12,31),1000,0.05,0)</f>
        <v>1025.78714916655</v>
      </c>
      <c r="B12547" s="0" t="s">
        <v>12484</v>
      </c>
    </row>
    <row r="12548" customFormat="false" ht="15" hidden="false" customHeight="false" outlineLevel="0" collapsed="false">
      <c r="A12548" s="0" t="n">
        <f aca="false">INTRATE(DATE(2024,6,30),DATE(2024,12,31),1000,1050,0)</f>
        <v>0.0994475138121548</v>
      </c>
      <c r="B12548" s="0" t="s">
        <v>12485</v>
      </c>
    </row>
    <row r="12549" customFormat="false" ht="15" hidden="false" customHeight="false" outlineLevel="0" collapsed="false">
      <c r="A12549" s="0" t="n">
        <f aca="false">DISC(DATE(2024,6,30),DATE(2024,12,31),95,100,0)</f>
        <v>0.1</v>
      </c>
      <c r="B12549" s="0" t="s">
        <v>12486</v>
      </c>
    </row>
    <row r="12550" customFormat="false" ht="15" hidden="false" customHeight="false" outlineLevel="0" collapsed="false">
      <c r="A12550" s="0" t="n">
        <f aca="false">YIELDDISC(DATE(2024,6,30),DATE(2024,12,31),95,100,0)</f>
        <v>0.105263157894737</v>
      </c>
      <c r="B12550" s="0" t="s">
        <v>12487</v>
      </c>
    </row>
    <row r="12551" customFormat="false" ht="15" hidden="false" customHeight="false" outlineLevel="0" collapsed="false">
      <c r="A12551" s="0" t="n">
        <f aca="false">ACCRINTM(DATE(2024,6,30),DATE(2024,12,31),0.05,1000,0)</f>
        <v>25.1388888888889</v>
      </c>
      <c r="B12551" s="0" t="s">
        <v>12488</v>
      </c>
    </row>
    <row r="12552" customFormat="false" ht="15" hidden="false" customHeight="false" outlineLevel="0" collapsed="false">
      <c r="A12552" s="0" t="n">
        <f aca="false">PRICEMAT(DATE(2024,6,30),DATE(2024,12,31),DATE(2023,1,31),0.05,0.06,0)</f>
        <v>99.3082524271845</v>
      </c>
      <c r="B12552" s="0" t="s">
        <v>12489</v>
      </c>
    </row>
    <row r="12553" customFormat="false" ht="15" hidden="false" customHeight="false" outlineLevel="0" collapsed="false">
      <c r="A12553" s="0" t="n">
        <f aca="false">YIELDMAT(DATE(2024,6,30),DATE(2024,12,31),DATE(2023,1,31),0.05,98,0)</f>
        <v>0.0856463124504363</v>
      </c>
      <c r="B12553" s="0" t="s">
        <v>12490</v>
      </c>
    </row>
    <row r="12554" customFormat="false" ht="15" hidden="false" customHeight="false" outlineLevel="0" collapsed="false">
      <c r="A12554" s="0" t="n">
        <f aca="false">ACCRINT(DATE(2024,6,30),DATE(2030,1,1),DATE(2024,12,31),0.05,1000,2,0)</f>
        <v>25.1388888888889</v>
      </c>
      <c r="B12554" s="0" t="s">
        <v>12491</v>
      </c>
    </row>
    <row r="12555" customFormat="false" ht="15" hidden="false" customHeight="false" outlineLevel="0" collapsed="false">
      <c r="A12555" s="0" t="n">
        <f aca="false">DURATION(DATE(2024,6,30),DATE(2024,12,31),0.05,0.08,2,0)</f>
        <v>0.5</v>
      </c>
      <c r="B12555" s="0" t="s">
        <v>12492</v>
      </c>
    </row>
    <row r="12556" customFormat="false" ht="15" hidden="false" customHeight="false" outlineLevel="0" collapsed="false">
      <c r="A12556" s="0" t="n">
        <f aca="false">PRICE(DATE(2024,6,30),DATE(2024,12,31),0.05,0.08,100,2,0)</f>
        <v>98.5576923076923</v>
      </c>
      <c r="B12556" s="0" t="s">
        <v>12493</v>
      </c>
    </row>
    <row r="12557" customFormat="false" ht="15" hidden="false" customHeight="false" outlineLevel="0" collapsed="false">
      <c r="A12557" s="0" t="n">
        <f aca="false">YIELD(DATE(2024,6,30),DATE(2024,12,31),0.05,95,100,2,0)</f>
        <v>0.157894736842106</v>
      </c>
      <c r="B12557" s="0" t="s">
        <v>12494</v>
      </c>
    </row>
    <row r="12558" customFormat="false" ht="15" hidden="false" customHeight="false" outlineLevel="0" collapsed="false">
      <c r="A12558" s="0" t="n">
        <f aca="false">PRICEDISC(DATE(2024,6,30),DATE(2024,12,31),0.05,100,1)</f>
        <v>97.4863387978142</v>
      </c>
      <c r="B12558" s="0" t="s">
        <v>12495</v>
      </c>
    </row>
    <row r="12559" customFormat="false" ht="15" hidden="false" customHeight="false" outlineLevel="0" collapsed="false">
      <c r="A12559" s="0" t="n">
        <f aca="false">RECEIVED(DATE(2024,6,30),DATE(2024,12,31),1000,0.05,1)</f>
        <v>1025.78475336323</v>
      </c>
      <c r="B12559" s="0" t="s">
        <v>12496</v>
      </c>
    </row>
    <row r="12560" customFormat="false" ht="15" hidden="false" customHeight="false" outlineLevel="0" collapsed="false">
      <c r="A12560" s="0" t="n">
        <f aca="false">INTRATE(DATE(2024,6,30),DATE(2024,12,31),1000,1050,1)</f>
        <v>0.0994565217391305</v>
      </c>
      <c r="B12560" s="0" t="s">
        <v>12497</v>
      </c>
    </row>
    <row r="12561" customFormat="false" ht="15" hidden="false" customHeight="false" outlineLevel="0" collapsed="false">
      <c r="A12561" s="0" t="n">
        <f aca="false">DISC(DATE(2024,6,30),DATE(2024,12,31),95,100,1)</f>
        <v>0.0994565217391305</v>
      </c>
      <c r="B12561" s="0" t="s">
        <v>12498</v>
      </c>
    </row>
    <row r="12562" customFormat="false" ht="15" hidden="false" customHeight="false" outlineLevel="0" collapsed="false">
      <c r="A12562" s="0" t="n">
        <f aca="false">YIELDDISC(DATE(2024,6,30),DATE(2024,12,31),95,100,1)</f>
        <v>0.104691075514874</v>
      </c>
      <c r="B12562" s="0" t="s">
        <v>12499</v>
      </c>
    </row>
    <row r="12563" customFormat="false" ht="15" hidden="false" customHeight="false" outlineLevel="0" collapsed="false">
      <c r="A12563" s="0" t="n">
        <f aca="false">ACCRINTM(DATE(2024,6,30),DATE(2024,12,31),0.05,1000,1)</f>
        <v>25.1366120218579</v>
      </c>
      <c r="B12563" s="0" t="s">
        <v>12500</v>
      </c>
    </row>
    <row r="12564" customFormat="false" ht="15" hidden="false" customHeight="false" outlineLevel="0" collapsed="false">
      <c r="A12564" s="0" t="n">
        <f aca="false">PRICEMAT(DATE(2024,6,30),DATE(2024,12,31),DATE(2023,1,31),0.05,0.06,1)</f>
        <v>99.3086387072112</v>
      </c>
      <c r="B12564" s="0" t="s">
        <v>12501</v>
      </c>
    </row>
    <row r="12565" customFormat="false" ht="15" hidden="false" customHeight="false" outlineLevel="0" collapsed="false">
      <c r="A12565" s="0" t="n">
        <f aca="false">YIELDMAT(DATE(2024,6,30),DATE(2024,12,31),DATE(2023,1,31),0.05,98,1)</f>
        <v>0.085524475841196</v>
      </c>
      <c r="B12565" s="0" t="s">
        <v>12502</v>
      </c>
    </row>
    <row r="12566" customFormat="false" ht="15" hidden="false" customHeight="false" outlineLevel="0" collapsed="false">
      <c r="A12566" s="0" t="n">
        <f aca="false">ACCRINT(DATE(2024,6,30),DATE(2030,1,1),DATE(2024,12,31),0.05,1000,2,1)</f>
        <v>25.1366120218579</v>
      </c>
      <c r="B12566" s="0" t="s">
        <v>12503</v>
      </c>
    </row>
    <row r="12567" customFormat="false" ht="15" hidden="false" customHeight="false" outlineLevel="0" collapsed="false">
      <c r="A12567" s="0" t="n">
        <f aca="false">DURATION(DATE(2024,6,30),DATE(2024,12,31),0.05,0.08,2,1)</f>
        <v>0.502732240437159</v>
      </c>
      <c r="B12567" s="0" t="s">
        <v>12504</v>
      </c>
    </row>
    <row r="12568" customFormat="false" ht="15" hidden="false" customHeight="false" outlineLevel="0" collapsed="false">
      <c r="A12568" s="0" t="n">
        <f aca="false">PRICE(DATE(2024,6,30),DATE(2024,12,31),0.05,0.08,100,2,1)</f>
        <v>98.5576923076923</v>
      </c>
      <c r="B12568" s="0" t="s">
        <v>12505</v>
      </c>
    </row>
    <row r="12569" customFormat="false" ht="15" hidden="false" customHeight="false" outlineLevel="0" collapsed="false">
      <c r="A12569" s="0" t="n">
        <f aca="false">YIELD(DATE(2024,6,30),DATE(2024,12,31),0.05,95,100,2,1)</f>
        <v>0.157894736842106</v>
      </c>
      <c r="B12569" s="0" t="s">
        <v>12506</v>
      </c>
    </row>
    <row r="12570" customFormat="false" ht="15" hidden="false" customHeight="false" outlineLevel="0" collapsed="false">
      <c r="A12570" s="0" t="n">
        <f aca="false">PRICEDISC(DATE(2024,6,30),DATE(2024,12,31),0.05,100,4)</f>
        <v>97.4861111111111</v>
      </c>
      <c r="B12570" s="0" t="s">
        <v>12507</v>
      </c>
    </row>
    <row r="12571" customFormat="false" ht="15" hidden="false" customHeight="false" outlineLevel="0" collapsed="false">
      <c r="A12571" s="0" t="n">
        <f aca="false">RECEIVED(DATE(2024,6,30),DATE(2024,12,31),1000,0.05,4)</f>
        <v>1025.78714916655</v>
      </c>
      <c r="B12571" s="0" t="s">
        <v>12508</v>
      </c>
    </row>
    <row r="12572" customFormat="false" ht="15" hidden="false" customHeight="false" outlineLevel="0" collapsed="false">
      <c r="A12572" s="0" t="n">
        <f aca="false">INTRATE(DATE(2024,6,30),DATE(2024,12,31),1000,1050,4)</f>
        <v>0.0994475138121548</v>
      </c>
      <c r="B12572" s="0" t="s">
        <v>12509</v>
      </c>
    </row>
    <row r="12573" customFormat="false" ht="15" hidden="false" customHeight="false" outlineLevel="0" collapsed="false">
      <c r="A12573" s="0" t="n">
        <f aca="false">DISC(DATE(2024,6,30),DATE(2024,12,31),95,100,4)</f>
        <v>0.1</v>
      </c>
      <c r="B12573" s="0" t="s">
        <v>12510</v>
      </c>
    </row>
    <row r="12574" customFormat="false" ht="15" hidden="false" customHeight="false" outlineLevel="0" collapsed="false">
      <c r="A12574" s="0" t="n">
        <f aca="false">YIELDDISC(DATE(2024,6,30),DATE(2024,12,31),95,100,4)</f>
        <v>0.105263157894737</v>
      </c>
      <c r="B12574" s="0" t="s">
        <v>12511</v>
      </c>
    </row>
    <row r="12575" customFormat="false" ht="15" hidden="false" customHeight="false" outlineLevel="0" collapsed="false">
      <c r="A12575" s="0" t="n">
        <f aca="false">ACCRINTM(DATE(2024,6,30),DATE(2024,12,31),0.05,1000,4)</f>
        <v>25.1388888888889</v>
      </c>
      <c r="B12575" s="0" t="s">
        <v>12512</v>
      </c>
    </row>
    <row r="12576" customFormat="false" ht="15" hidden="false" customHeight="false" outlineLevel="0" collapsed="false">
      <c r="A12576" s="0" t="n">
        <f aca="false">PRICEMAT(DATE(2024,6,30),DATE(2024,12,31),DATE(2023,1,31),0.05,0.06,4)</f>
        <v>99.3082524271845</v>
      </c>
      <c r="B12576" s="0" t="s">
        <v>12513</v>
      </c>
    </row>
    <row r="12577" customFormat="false" ht="15" hidden="false" customHeight="false" outlineLevel="0" collapsed="false">
      <c r="A12577" s="0" t="n">
        <f aca="false">YIELDMAT(DATE(2024,6,30),DATE(2024,12,31),DATE(2023,1,31),0.05,98,4)</f>
        <v>0.0856463124504363</v>
      </c>
      <c r="B12577" s="0" t="s">
        <v>12514</v>
      </c>
    </row>
    <row r="12578" customFormat="false" ht="15" hidden="false" customHeight="false" outlineLevel="0" collapsed="false">
      <c r="A12578" s="0" t="n">
        <f aca="false">ACCRINT(DATE(2024,6,30),DATE(2030,1,1),DATE(2024,12,31),0.05,1000,2,4)</f>
        <v>25.1388888888889</v>
      </c>
      <c r="B12578" s="0" t="s">
        <v>12515</v>
      </c>
    </row>
    <row r="12579" customFormat="false" ht="15" hidden="false" customHeight="false" outlineLevel="0" collapsed="false">
      <c r="A12579" s="0" t="n">
        <f aca="false">DURATION(DATE(2024,6,30),DATE(2024,12,31),0.05,0.08,2,4)</f>
        <v>0.5</v>
      </c>
      <c r="B12579" s="0" t="s">
        <v>12516</v>
      </c>
    </row>
    <row r="12580" customFormat="false" ht="15" hidden="false" customHeight="false" outlineLevel="0" collapsed="false">
      <c r="A12580" s="0" t="n">
        <f aca="false">PRICE(DATE(2024,6,30),DATE(2024,12,31),0.05,0.08,100,2,4)</f>
        <v>98.5576923076923</v>
      </c>
      <c r="B12580" s="0" t="s">
        <v>12517</v>
      </c>
    </row>
    <row r="12581" customFormat="false" ht="15" hidden="false" customHeight="false" outlineLevel="0" collapsed="false">
      <c r="A12581" s="0" t="n">
        <f aca="false">YIELD(DATE(2024,6,30),DATE(2024,12,31),0.05,95,100,2,4)</f>
        <v>0.157894736842106</v>
      </c>
      <c r="B12581" s="0" t="s">
        <v>12518</v>
      </c>
    </row>
    <row r="12582" customFormat="false" ht="15" hidden="false" customHeight="false" outlineLevel="0" collapsed="false">
      <c r="A12582" s="0" t="n">
        <f aca="false">TBILLPRICE(DATE(2024,6,30),DATE(2024,12,31),0.05)</f>
        <v>97.4861111111111</v>
      </c>
      <c r="B12582" s="0" t="s">
        <v>12519</v>
      </c>
    </row>
    <row r="12583" customFormat="false" ht="15" hidden="false" customHeight="false" outlineLevel="0" collapsed="false">
      <c r="A12583" s="0" t="n">
        <f aca="false">TBILLEQ(DATE(2024,6,30),DATE(2024,12,31),0.05)</f>
        <v>0.0520017096452486</v>
      </c>
      <c r="B12583" s="0" t="s">
        <v>12520</v>
      </c>
    </row>
    <row r="12584" customFormat="false" ht="15" hidden="false" customHeight="false" outlineLevel="0" collapsed="false">
      <c r="A12584" s="0" t="n">
        <f aca="false">TBILLYIELD(DATE(2024,6,30),DATE(2024,12,31),98)</f>
        <v>0.0405908219641448</v>
      </c>
      <c r="B12584" s="0" t="s">
        <v>12521</v>
      </c>
    </row>
    <row r="12585" customFormat="false" ht="15" hidden="false" customHeight="false" outlineLevel="0" collapsed="false">
      <c r="A12585" s="0" t="e">
        <f aca="false">TBILLPRICE(DATE(2024,1,15),DATE(2025,1,14),0.05)</f>
        <v>#VALUE!</v>
      </c>
      <c r="B12585" s="0" t="s">
        <v>12522</v>
      </c>
    </row>
    <row r="12586" customFormat="false" ht="15" hidden="false" customHeight="false" outlineLevel="0" collapsed="false">
      <c r="A12586" s="0" t="n">
        <f aca="false">TBILLPRICE(DATE(2024,1,15),DATE(2025,1,13),0.05)</f>
        <v>95.0138888888889</v>
      </c>
      <c r="B12586" s="0" t="s">
        <v>12523</v>
      </c>
    </row>
    <row r="12587" customFormat="false" ht="15" hidden="false" customHeight="false" outlineLevel="0" collapsed="false">
      <c r="A12587" s="0" t="e">
        <f aca="false">TBILLPRICE(DATE(2023,12,31),DATE(2024,12,30),0.05)</f>
        <v>#VALUE!</v>
      </c>
      <c r="B12587" s="0" t="s">
        <v>12524</v>
      </c>
    </row>
    <row r="12588" customFormat="false" ht="15" hidden="false" customHeight="false" outlineLevel="0" collapsed="false">
      <c r="A12588" s="0" t="n">
        <f aca="false">AMORLINC(10000,DATE(2024,1,15),DATE(2024,12,31),500,0,0.05,0)</f>
        <v>480.555555555556</v>
      </c>
      <c r="B12588" s="0" t="s">
        <v>12525</v>
      </c>
    </row>
    <row r="12589" customFormat="false" ht="15" hidden="false" customHeight="false" outlineLevel="0" collapsed="false">
      <c r="A12589" s="0" t="n">
        <f aca="false">AMORDEGRC(10000,DATE(2024,1,15),DATE(2024,12,31),500,0,0.05,0)</f>
        <v>1201</v>
      </c>
      <c r="B12589" s="0" t="s">
        <v>12526</v>
      </c>
    </row>
    <row r="12590" customFormat="false" ht="15" hidden="false" customHeight="false" outlineLevel="0" collapsed="false">
      <c r="A12590" s="0" t="n">
        <f aca="false">AMORLINC(10000,DATE(2024,1,15),DATE(2024,12,31),500,1,0.05,0)</f>
        <v>500</v>
      </c>
      <c r="B12590" s="0" t="s">
        <v>12527</v>
      </c>
    </row>
    <row r="12591" customFormat="false" ht="15" hidden="false" customHeight="false" outlineLevel="0" collapsed="false">
      <c r="A12591" s="0" t="n">
        <f aca="false">AMORDEGRC(10000,DATE(2024,1,15),DATE(2024,12,31),500,1,0.05,0)</f>
        <v>1100</v>
      </c>
      <c r="B12591" s="0" t="s">
        <v>12528</v>
      </c>
    </row>
    <row r="12592" customFormat="false" ht="15" hidden="false" customHeight="false" outlineLevel="0" collapsed="false">
      <c r="A12592" s="0" t="n">
        <f aca="false">AMORLINC(10000,DATE(2024,1,15),DATE(2024,12,31),500,2,0.05,0)</f>
        <v>500</v>
      </c>
      <c r="B12592" s="0" t="s">
        <v>12529</v>
      </c>
    </row>
    <row r="12593" customFormat="false" ht="15" hidden="false" customHeight="false" outlineLevel="0" collapsed="false">
      <c r="A12593" s="0" t="n">
        <f aca="false">AMORDEGRC(10000,DATE(2024,1,15),DATE(2024,12,31),500,2,0.05,0)</f>
        <v>962</v>
      </c>
      <c r="B12593" s="0" t="s">
        <v>12530</v>
      </c>
    </row>
    <row r="12594" customFormat="false" ht="15" hidden="false" customHeight="false" outlineLevel="0" collapsed="false">
      <c r="A12594" s="0" t="n">
        <f aca="false">AMORLINC(10000,DATE(2024,1,15),DATE(2024,12,31),500,3,0.05,0)</f>
        <v>500</v>
      </c>
      <c r="B12594" s="0" t="s">
        <v>12531</v>
      </c>
    </row>
    <row r="12595" customFormat="false" ht="15" hidden="false" customHeight="false" outlineLevel="0" collapsed="false">
      <c r="A12595" s="0" t="n">
        <f aca="false">AMORDEGRC(10000,DATE(2024,1,15),DATE(2024,12,31),500,3,0.05,0)</f>
        <v>842</v>
      </c>
      <c r="B12595" s="0" t="s">
        <v>12532</v>
      </c>
    </row>
    <row r="12596" customFormat="false" ht="15" hidden="false" customHeight="false" outlineLevel="0" collapsed="false">
      <c r="A12596" s="0" t="n">
        <f aca="false">AMORLINC(10000,DATE(2024,1,15),DATE(2024,12,31),500,5,0.05,0)</f>
        <v>500</v>
      </c>
      <c r="B12596" s="0" t="s">
        <v>12533</v>
      </c>
    </row>
    <row r="12597" customFormat="false" ht="15" hidden="false" customHeight="false" outlineLevel="0" collapsed="false">
      <c r="A12597" s="0" t="n">
        <f aca="false">AMORDEGRC(10000,DATE(2024,1,15),DATE(2024,12,31),500,5,0.05,0)</f>
        <v>645</v>
      </c>
      <c r="B12597" s="0" t="s">
        <v>12534</v>
      </c>
    </row>
    <row r="12598" customFormat="false" ht="15" hidden="false" customHeight="false" outlineLevel="0" collapsed="false">
      <c r="A12598" s="0" t="n">
        <f aca="false">AMORLINC(10000,DATE(2024,1,15),DATE(2024,12,31),500,8,0.05,0)</f>
        <v>500</v>
      </c>
      <c r="B12598" s="0" t="s">
        <v>12535</v>
      </c>
    </row>
    <row r="12599" customFormat="false" ht="15" hidden="false" customHeight="false" outlineLevel="0" collapsed="false">
      <c r="A12599" s="0" t="n">
        <f aca="false">AMORDEGRC(10000,DATE(2024,1,15),DATE(2024,12,31),500,8,0.05,0)</f>
        <v>432</v>
      </c>
      <c r="B12599" s="0" t="s">
        <v>12536</v>
      </c>
    </row>
    <row r="12600" customFormat="false" ht="15" hidden="false" customHeight="false" outlineLevel="0" collapsed="false">
      <c r="A12600" s="0" t="n">
        <f aca="false">AMORLINC(10000,DATE(2024,1,15),DATE(2024,12,31),500,12,0.05,0)</f>
        <v>500</v>
      </c>
      <c r="B12600" s="0" t="s">
        <v>12537</v>
      </c>
    </row>
    <row r="12601" customFormat="false" ht="15" hidden="false" customHeight="false" outlineLevel="0" collapsed="false">
      <c r="A12601" s="0" t="n">
        <f aca="false">AMORDEGRC(10000,DATE(2024,1,15),DATE(2024,12,31),500,12,0.05,0)</f>
        <v>253</v>
      </c>
      <c r="B12601" s="0" t="s">
        <v>12538</v>
      </c>
    </row>
    <row r="12602" customFormat="false" ht="15" hidden="false" customHeight="false" outlineLevel="0" collapsed="false">
      <c r="A12602" s="0" t="n">
        <f aca="false">AMORLINC(10000,DATE(2024,1,15),DATE(2024,12,31),500,25,0.05,0)</f>
        <v>0</v>
      </c>
      <c r="B12602" s="0" t="s">
        <v>12539</v>
      </c>
    </row>
    <row r="12603" customFormat="false" ht="15" hidden="false" customHeight="false" outlineLevel="0" collapsed="false">
      <c r="A12603" s="0" t="n">
        <f aca="false">AMORDEGRC(10000,DATE(2024,1,15),DATE(2024,12,31),500,25,0.05,0)</f>
        <v>0</v>
      </c>
      <c r="B12603" s="0" t="s">
        <v>12540</v>
      </c>
    </row>
    <row r="12604" customFormat="false" ht="15" hidden="false" customHeight="false" outlineLevel="0" collapsed="false">
      <c r="A12604" s="0" t="n">
        <f aca="false">AMORLINC(10000,DATE(2024,1,15),DATE(2024,12,31),500,0,0.05,1)</f>
        <v>479.508196721312</v>
      </c>
      <c r="B12604" s="0" t="s">
        <v>12541</v>
      </c>
    </row>
    <row r="12605" customFormat="false" ht="15" hidden="false" customHeight="false" outlineLevel="0" collapsed="false">
      <c r="A12605" s="0" t="n">
        <f aca="false">AMORDEGRC(10000,DATE(2024,1,15),DATE(2024,12,31),500,0,0.05,1)</f>
        <v>1199</v>
      </c>
      <c r="B12605" s="0" t="s">
        <v>12542</v>
      </c>
    </row>
    <row r="12606" customFormat="false" ht="15" hidden="false" customHeight="false" outlineLevel="0" collapsed="false">
      <c r="A12606" s="0" t="n">
        <f aca="false">AMORLINC(10000,DATE(2024,1,15),DATE(2024,12,31),500,1,0.05,1)</f>
        <v>500</v>
      </c>
      <c r="B12606" s="0" t="s">
        <v>12543</v>
      </c>
    </row>
    <row r="12607" customFormat="false" ht="15" hidden="false" customHeight="false" outlineLevel="0" collapsed="false">
      <c r="A12607" s="0" t="n">
        <f aca="false">AMORDEGRC(10000,DATE(2024,1,15),DATE(2024,12,31),500,1,0.05,1)</f>
        <v>1100</v>
      </c>
      <c r="B12607" s="0" t="s">
        <v>12544</v>
      </c>
    </row>
    <row r="12608" customFormat="false" ht="15" hidden="false" customHeight="false" outlineLevel="0" collapsed="false">
      <c r="A12608" s="0" t="n">
        <f aca="false">AMORLINC(10000,DATE(2024,1,15),DATE(2024,12,31),500,2,0.05,1)</f>
        <v>500</v>
      </c>
      <c r="B12608" s="0" t="s">
        <v>12545</v>
      </c>
    </row>
    <row r="12609" customFormat="false" ht="15" hidden="false" customHeight="false" outlineLevel="0" collapsed="false">
      <c r="A12609" s="0" t="n">
        <f aca="false">AMORDEGRC(10000,DATE(2024,1,15),DATE(2024,12,31),500,2,0.05,1)</f>
        <v>963</v>
      </c>
      <c r="B12609" s="0" t="s">
        <v>12546</v>
      </c>
    </row>
    <row r="12610" customFormat="false" ht="15" hidden="false" customHeight="false" outlineLevel="0" collapsed="false">
      <c r="A12610" s="0" t="n">
        <f aca="false">AMORLINC(10000,DATE(2024,1,15),DATE(2024,12,31),500,3,0.05,1)</f>
        <v>500</v>
      </c>
      <c r="B12610" s="0" t="s">
        <v>12547</v>
      </c>
    </row>
    <row r="12611" customFormat="false" ht="15" hidden="false" customHeight="false" outlineLevel="0" collapsed="false">
      <c r="A12611" s="0" t="n">
        <f aca="false">AMORDEGRC(10000,DATE(2024,1,15),DATE(2024,12,31),500,3,0.05,1)</f>
        <v>842</v>
      </c>
      <c r="B12611" s="0" t="s">
        <v>12548</v>
      </c>
    </row>
    <row r="12612" customFormat="false" ht="15" hidden="false" customHeight="false" outlineLevel="0" collapsed="false">
      <c r="A12612" s="0" t="n">
        <f aca="false">AMORLINC(10000,DATE(2024,1,15),DATE(2024,12,31),500,5,0.05,1)</f>
        <v>500</v>
      </c>
      <c r="B12612" s="0" t="s">
        <v>12549</v>
      </c>
    </row>
    <row r="12613" customFormat="false" ht="15" hidden="false" customHeight="false" outlineLevel="0" collapsed="false">
      <c r="A12613" s="0" t="n">
        <f aca="false">AMORDEGRC(10000,DATE(2024,1,15),DATE(2024,12,31),500,5,0.05,1)</f>
        <v>645</v>
      </c>
      <c r="B12613" s="0" t="s">
        <v>12550</v>
      </c>
    </row>
    <row r="12614" customFormat="false" ht="15" hidden="false" customHeight="false" outlineLevel="0" collapsed="false">
      <c r="A12614" s="0" t="n">
        <f aca="false">AMORLINC(10000,DATE(2024,1,15),DATE(2024,12,31),500,8,0.05,1)</f>
        <v>500</v>
      </c>
      <c r="B12614" s="0" t="s">
        <v>12551</v>
      </c>
    </row>
    <row r="12615" customFormat="false" ht="15" hidden="false" customHeight="false" outlineLevel="0" collapsed="false">
      <c r="A12615" s="0" t="n">
        <f aca="false">AMORDEGRC(10000,DATE(2024,1,15),DATE(2024,12,31),500,8,0.05,1)</f>
        <v>432</v>
      </c>
      <c r="B12615" s="0" t="s">
        <v>12552</v>
      </c>
    </row>
    <row r="12616" customFormat="false" ht="15" hidden="false" customHeight="false" outlineLevel="0" collapsed="false">
      <c r="A12616" s="0" t="n">
        <f aca="false">AMORLINC(10000,DATE(2024,1,15),DATE(2024,12,31),500,12,0.05,1)</f>
        <v>500</v>
      </c>
      <c r="B12616" s="0" t="s">
        <v>12553</v>
      </c>
    </row>
    <row r="12617" customFormat="false" ht="15" hidden="false" customHeight="false" outlineLevel="0" collapsed="false">
      <c r="A12617" s="0" t="n">
        <f aca="false">AMORDEGRC(10000,DATE(2024,1,15),DATE(2024,12,31),500,12,0.05,1)</f>
        <v>253</v>
      </c>
      <c r="B12617" s="0" t="s">
        <v>12554</v>
      </c>
    </row>
    <row r="12618" customFormat="false" ht="15" hidden="false" customHeight="false" outlineLevel="0" collapsed="false">
      <c r="A12618" s="0" t="n">
        <f aca="false">AMORLINC(10000,DATE(2024,1,15),DATE(2024,12,31),500,25,0.05,1)</f>
        <v>0</v>
      </c>
      <c r="B12618" s="0" t="s">
        <v>12555</v>
      </c>
    </row>
    <row r="12619" customFormat="false" ht="15" hidden="false" customHeight="false" outlineLevel="0" collapsed="false">
      <c r="A12619" s="0" t="n">
        <f aca="false">AMORDEGRC(10000,DATE(2024,1,15),DATE(2024,12,31),500,25,0.05,1)</f>
        <v>0</v>
      </c>
      <c r="B12619" s="0" t="s">
        <v>12556</v>
      </c>
    </row>
    <row r="12620" customFormat="false" ht="15" hidden="false" customHeight="false" outlineLevel="0" collapsed="false">
      <c r="A12620" s="0" t="n">
        <f aca="false">AMORLINC(10000,DATE(2024,1,15),DATE(2024,12,31),500,0,0.05,3)</f>
        <v>480.821917808219</v>
      </c>
      <c r="B12620" s="0" t="s">
        <v>12557</v>
      </c>
    </row>
    <row r="12621" customFormat="false" ht="15" hidden="false" customHeight="false" outlineLevel="0" collapsed="false">
      <c r="A12621" s="0" t="n">
        <f aca="false">AMORDEGRC(10000,DATE(2024,1,15),DATE(2024,12,31),500,0,0.05,3)</f>
        <v>1202</v>
      </c>
      <c r="B12621" s="0" t="s">
        <v>12558</v>
      </c>
    </row>
    <row r="12622" customFormat="false" ht="15" hidden="false" customHeight="false" outlineLevel="0" collapsed="false">
      <c r="A12622" s="0" t="n">
        <f aca="false">AMORLINC(10000,DATE(2024,1,15),DATE(2024,12,31),500,1,0.05,3)</f>
        <v>500</v>
      </c>
      <c r="B12622" s="0" t="s">
        <v>12559</v>
      </c>
    </row>
    <row r="12623" customFormat="false" ht="15" hidden="false" customHeight="false" outlineLevel="0" collapsed="false">
      <c r="A12623" s="0" t="n">
        <f aca="false">AMORDEGRC(10000,DATE(2024,1,15),DATE(2024,12,31),500,1,0.05,3)</f>
        <v>1100</v>
      </c>
      <c r="B12623" s="0" t="s">
        <v>12560</v>
      </c>
    </row>
    <row r="12624" customFormat="false" ht="15" hidden="false" customHeight="false" outlineLevel="0" collapsed="false">
      <c r="A12624" s="0" t="n">
        <f aca="false">AMORLINC(10000,DATE(2024,1,15),DATE(2024,12,31),500,2,0.05,3)</f>
        <v>500</v>
      </c>
      <c r="B12624" s="0" t="s">
        <v>12561</v>
      </c>
    </row>
    <row r="12625" customFormat="false" ht="15" hidden="false" customHeight="false" outlineLevel="0" collapsed="false">
      <c r="A12625" s="0" t="n">
        <f aca="false">AMORDEGRC(10000,DATE(2024,1,15),DATE(2024,12,31),500,2,0.05,3)</f>
        <v>962</v>
      </c>
      <c r="B12625" s="0" t="s">
        <v>12562</v>
      </c>
    </row>
    <row r="12626" customFormat="false" ht="15" hidden="false" customHeight="false" outlineLevel="0" collapsed="false">
      <c r="A12626" s="0" t="n">
        <f aca="false">AMORLINC(10000,DATE(2024,1,15),DATE(2024,12,31),500,3,0.05,3)</f>
        <v>500</v>
      </c>
      <c r="B12626" s="0" t="s">
        <v>12563</v>
      </c>
    </row>
    <row r="12627" customFormat="false" ht="15" hidden="false" customHeight="false" outlineLevel="0" collapsed="false">
      <c r="A12627" s="0" t="n">
        <f aca="false">AMORDEGRC(10000,DATE(2024,1,15),DATE(2024,12,31),500,3,0.05,3)</f>
        <v>842</v>
      </c>
      <c r="B12627" s="0" t="s">
        <v>12564</v>
      </c>
    </row>
    <row r="12628" customFormat="false" ht="15" hidden="false" customHeight="false" outlineLevel="0" collapsed="false">
      <c r="A12628" s="0" t="n">
        <f aca="false">AMORLINC(10000,DATE(2024,1,15),DATE(2024,12,31),500,5,0.05,3)</f>
        <v>500</v>
      </c>
      <c r="B12628" s="0" t="s">
        <v>12565</v>
      </c>
    </row>
    <row r="12629" customFormat="false" ht="15" hidden="false" customHeight="false" outlineLevel="0" collapsed="false">
      <c r="A12629" s="0" t="n">
        <f aca="false">AMORDEGRC(10000,DATE(2024,1,15),DATE(2024,12,31),500,5,0.05,3)</f>
        <v>645</v>
      </c>
      <c r="B12629" s="0" t="s">
        <v>12566</v>
      </c>
    </row>
    <row r="12630" customFormat="false" ht="15" hidden="false" customHeight="false" outlineLevel="0" collapsed="false">
      <c r="A12630" s="0" t="n">
        <f aca="false">AMORLINC(10000,DATE(2024,1,15),DATE(2024,12,31),500,8,0.05,3)</f>
        <v>500</v>
      </c>
      <c r="B12630" s="0" t="s">
        <v>12567</v>
      </c>
    </row>
    <row r="12631" customFormat="false" ht="15" hidden="false" customHeight="false" outlineLevel="0" collapsed="false">
      <c r="A12631" s="0" t="n">
        <f aca="false">AMORDEGRC(10000,DATE(2024,1,15),DATE(2024,12,31),500,8,0.05,3)</f>
        <v>432</v>
      </c>
      <c r="B12631" s="0" t="s">
        <v>12568</v>
      </c>
    </row>
    <row r="12632" customFormat="false" ht="15" hidden="false" customHeight="false" outlineLevel="0" collapsed="false">
      <c r="A12632" s="0" t="n">
        <f aca="false">AMORLINC(10000,DATE(2024,1,15),DATE(2024,12,31),500,12,0.05,3)</f>
        <v>500</v>
      </c>
      <c r="B12632" s="0" t="s">
        <v>12569</v>
      </c>
    </row>
    <row r="12633" customFormat="false" ht="15" hidden="false" customHeight="false" outlineLevel="0" collapsed="false">
      <c r="A12633" s="0" t="n">
        <f aca="false">AMORDEGRC(10000,DATE(2024,1,15),DATE(2024,12,31),500,12,0.05,3)</f>
        <v>253</v>
      </c>
      <c r="B12633" s="0" t="s">
        <v>12570</v>
      </c>
    </row>
    <row r="12634" customFormat="false" ht="15" hidden="false" customHeight="false" outlineLevel="0" collapsed="false">
      <c r="A12634" s="0" t="n">
        <f aca="false">AMORLINC(10000,DATE(2024,1,15),DATE(2024,12,31),500,25,0.05,3)</f>
        <v>0</v>
      </c>
      <c r="B12634" s="0" t="s">
        <v>12571</v>
      </c>
    </row>
    <row r="12635" customFormat="false" ht="15" hidden="false" customHeight="false" outlineLevel="0" collapsed="false">
      <c r="A12635" s="0" t="n">
        <f aca="false">AMORDEGRC(10000,DATE(2024,1,15),DATE(2024,12,31),500,25,0.05,3)</f>
        <v>0</v>
      </c>
      <c r="B12635" s="0" t="s">
        <v>12572</v>
      </c>
    </row>
    <row r="12636" customFormat="false" ht="15" hidden="false" customHeight="false" outlineLevel="0" collapsed="false">
      <c r="A12636" s="0" t="n">
        <f aca="false">AMORLINC(10000,DATE(2024,1,15),DATE(2024,12,31),500,0,0.05,4)</f>
        <v>479.166666666667</v>
      </c>
      <c r="B12636" s="0" t="s">
        <v>12573</v>
      </c>
    </row>
    <row r="12637" customFormat="false" ht="15" hidden="false" customHeight="false" outlineLevel="0" collapsed="false">
      <c r="A12637" s="0" t="n">
        <f aca="false">AMORDEGRC(10000,DATE(2024,1,15),DATE(2024,12,31),500,0,0.05,4)</f>
        <v>1198</v>
      </c>
      <c r="B12637" s="0" t="s">
        <v>12574</v>
      </c>
    </row>
    <row r="12638" customFormat="false" ht="15" hidden="false" customHeight="false" outlineLevel="0" collapsed="false">
      <c r="A12638" s="0" t="n">
        <f aca="false">AMORLINC(10000,DATE(2024,1,15),DATE(2024,12,31),500,1,0.05,4)</f>
        <v>500</v>
      </c>
      <c r="B12638" s="0" t="s">
        <v>12575</v>
      </c>
    </row>
    <row r="12639" customFormat="false" ht="15" hidden="false" customHeight="false" outlineLevel="0" collapsed="false">
      <c r="A12639" s="0" t="n">
        <f aca="false">AMORDEGRC(10000,DATE(2024,1,15),DATE(2024,12,31),500,1,0.05,4)</f>
        <v>1100</v>
      </c>
      <c r="B12639" s="0" t="s">
        <v>12576</v>
      </c>
    </row>
    <row r="12640" customFormat="false" ht="15" hidden="false" customHeight="false" outlineLevel="0" collapsed="false">
      <c r="A12640" s="0" t="n">
        <f aca="false">AMORLINC(10000,DATE(2024,1,15),DATE(2024,12,31),500,2,0.05,4)</f>
        <v>500</v>
      </c>
      <c r="B12640" s="0" t="s">
        <v>12577</v>
      </c>
    </row>
    <row r="12641" customFormat="false" ht="15" hidden="false" customHeight="false" outlineLevel="0" collapsed="false">
      <c r="A12641" s="0" t="n">
        <f aca="false">AMORDEGRC(10000,DATE(2024,1,15),DATE(2024,12,31),500,2,0.05,4)</f>
        <v>963</v>
      </c>
      <c r="B12641" s="0" t="s">
        <v>12578</v>
      </c>
    </row>
    <row r="12642" customFormat="false" ht="15" hidden="false" customHeight="false" outlineLevel="0" collapsed="false">
      <c r="A12642" s="0" t="n">
        <f aca="false">AMORLINC(10000,DATE(2024,1,15),DATE(2024,12,31),500,3,0.05,4)</f>
        <v>500</v>
      </c>
      <c r="B12642" s="0" t="s">
        <v>12579</v>
      </c>
    </row>
    <row r="12643" customFormat="false" ht="15" hidden="false" customHeight="false" outlineLevel="0" collapsed="false">
      <c r="A12643" s="0" t="n">
        <f aca="false">AMORDEGRC(10000,DATE(2024,1,15),DATE(2024,12,31),500,3,0.05,4)</f>
        <v>842</v>
      </c>
      <c r="B12643" s="0" t="s">
        <v>12580</v>
      </c>
    </row>
    <row r="12644" customFormat="false" ht="15" hidden="false" customHeight="false" outlineLevel="0" collapsed="false">
      <c r="A12644" s="0" t="n">
        <f aca="false">AMORLINC(10000,DATE(2024,1,15),DATE(2024,12,31),500,5,0.05,4)</f>
        <v>500</v>
      </c>
      <c r="B12644" s="0" t="s">
        <v>12581</v>
      </c>
    </row>
    <row r="12645" customFormat="false" ht="15" hidden="false" customHeight="false" outlineLevel="0" collapsed="false">
      <c r="A12645" s="0" t="n">
        <f aca="false">AMORDEGRC(10000,DATE(2024,1,15),DATE(2024,12,31),500,5,0.05,4)</f>
        <v>645</v>
      </c>
      <c r="B12645" s="0" t="s">
        <v>12582</v>
      </c>
    </row>
    <row r="12646" customFormat="false" ht="15" hidden="false" customHeight="false" outlineLevel="0" collapsed="false">
      <c r="A12646" s="0" t="n">
        <f aca="false">AMORLINC(10000,DATE(2024,1,15),DATE(2024,12,31),500,8,0.05,4)</f>
        <v>500</v>
      </c>
      <c r="B12646" s="0" t="s">
        <v>12583</v>
      </c>
    </row>
    <row r="12647" customFormat="false" ht="15" hidden="false" customHeight="false" outlineLevel="0" collapsed="false">
      <c r="A12647" s="0" t="n">
        <f aca="false">AMORDEGRC(10000,DATE(2024,1,15),DATE(2024,12,31),500,8,0.05,4)</f>
        <v>432</v>
      </c>
      <c r="B12647" s="0" t="s">
        <v>12584</v>
      </c>
    </row>
    <row r="12648" customFormat="false" ht="15" hidden="false" customHeight="false" outlineLevel="0" collapsed="false">
      <c r="A12648" s="0" t="n">
        <f aca="false">AMORLINC(10000,DATE(2024,1,15),DATE(2024,12,31),500,12,0.05,4)</f>
        <v>500</v>
      </c>
      <c r="B12648" s="0" t="s">
        <v>12585</v>
      </c>
    </row>
    <row r="12649" customFormat="false" ht="15" hidden="false" customHeight="false" outlineLevel="0" collapsed="false">
      <c r="A12649" s="0" t="n">
        <f aca="false">AMORDEGRC(10000,DATE(2024,1,15),DATE(2024,12,31),500,12,0.05,4)</f>
        <v>253</v>
      </c>
      <c r="B12649" s="0" t="s">
        <v>12586</v>
      </c>
    </row>
    <row r="12650" customFormat="false" ht="15" hidden="false" customHeight="false" outlineLevel="0" collapsed="false">
      <c r="A12650" s="0" t="n">
        <f aca="false">AMORLINC(10000,DATE(2024,1,15),DATE(2024,12,31),500,25,0.05,4)</f>
        <v>0</v>
      </c>
      <c r="B12650" s="0" t="s">
        <v>12587</v>
      </c>
    </row>
    <row r="12651" customFormat="false" ht="15" hidden="false" customHeight="false" outlineLevel="0" collapsed="false">
      <c r="A12651" s="0" t="n">
        <f aca="false">AMORDEGRC(10000,DATE(2024,1,15),DATE(2024,12,31),500,25,0.05,4)</f>
        <v>0</v>
      </c>
      <c r="B12651" s="0" t="s">
        <v>12588</v>
      </c>
    </row>
    <row r="12652" customFormat="false" ht="15" hidden="false" customHeight="false" outlineLevel="0" collapsed="false">
      <c r="A12652" s="0" t="n">
        <f aca="false">AMORLINC(10000,DATE(2024,1,15),DATE(2024,12,31),500,0,0.1,0)</f>
        <v>961.111111111111</v>
      </c>
      <c r="B12652" s="0" t="s">
        <v>12589</v>
      </c>
    </row>
    <row r="12653" customFormat="false" ht="15" hidden="false" customHeight="false" outlineLevel="0" collapsed="false">
      <c r="A12653" s="0" t="n">
        <f aca="false">AMORDEGRC(10000,DATE(2024,1,15),DATE(2024,12,31),500,0,0.1,0)</f>
        <v>2403</v>
      </c>
      <c r="B12653" s="0" t="s">
        <v>12590</v>
      </c>
    </row>
    <row r="12654" customFormat="false" ht="15" hidden="false" customHeight="false" outlineLevel="0" collapsed="false">
      <c r="A12654" s="0" t="n">
        <f aca="false">AMORLINC(10000,DATE(2024,1,15),DATE(2024,12,31),500,1,0.1,0)</f>
        <v>1000</v>
      </c>
      <c r="B12654" s="0" t="s">
        <v>12591</v>
      </c>
    </row>
    <row r="12655" customFormat="false" ht="15" hidden="false" customHeight="false" outlineLevel="0" collapsed="false">
      <c r="A12655" s="0" t="n">
        <f aca="false">AMORDEGRC(10000,DATE(2024,1,15),DATE(2024,12,31),500,1,0.1,0)</f>
        <v>1899</v>
      </c>
      <c r="B12655" s="0" t="s">
        <v>12592</v>
      </c>
    </row>
    <row r="12656" customFormat="false" ht="15" hidden="false" customHeight="false" outlineLevel="0" collapsed="false">
      <c r="A12656" s="0" t="n">
        <f aca="false">AMORLINC(10000,DATE(2024,1,15),DATE(2024,12,31),500,2,0.1,0)</f>
        <v>1000</v>
      </c>
      <c r="B12656" s="0" t="s">
        <v>12593</v>
      </c>
    </row>
    <row r="12657" customFormat="false" ht="15" hidden="false" customHeight="false" outlineLevel="0" collapsed="false">
      <c r="A12657" s="0" t="n">
        <f aca="false">AMORDEGRC(10000,DATE(2024,1,15),DATE(2024,12,31),500,2,0.1,0)</f>
        <v>1425</v>
      </c>
      <c r="B12657" s="0" t="s">
        <v>12594</v>
      </c>
    </row>
    <row r="12658" customFormat="false" ht="15" hidden="false" customHeight="false" outlineLevel="0" collapsed="false">
      <c r="A12658" s="0" t="n">
        <f aca="false">AMORLINC(10000,DATE(2024,1,15),DATE(2024,12,31),500,3,0.1,0)</f>
        <v>1000</v>
      </c>
      <c r="B12658" s="0" t="s">
        <v>12595</v>
      </c>
    </row>
    <row r="12659" customFormat="false" ht="15" hidden="false" customHeight="false" outlineLevel="0" collapsed="false">
      <c r="A12659" s="0" t="n">
        <f aca="false">AMORDEGRC(10000,DATE(2024,1,15),DATE(2024,12,31),500,3,0.1,0)</f>
        <v>1068</v>
      </c>
      <c r="B12659" s="0" t="s">
        <v>12596</v>
      </c>
    </row>
    <row r="12660" customFormat="false" ht="15" hidden="false" customHeight="false" outlineLevel="0" collapsed="false">
      <c r="A12660" s="0" t="n">
        <f aca="false">AMORLINC(10000,DATE(2024,1,15),DATE(2024,12,31),500,5,0.1,0)</f>
        <v>1000</v>
      </c>
      <c r="B12660" s="0" t="s">
        <v>12597</v>
      </c>
    </row>
    <row r="12661" customFormat="false" ht="15" hidden="false" customHeight="false" outlineLevel="0" collapsed="false">
      <c r="A12661" s="0" t="n">
        <f aca="false">AMORDEGRC(10000,DATE(2024,1,15),DATE(2024,12,31),500,5,0.1,0)</f>
        <v>601</v>
      </c>
      <c r="B12661" s="0" t="s">
        <v>12598</v>
      </c>
    </row>
    <row r="12662" customFormat="false" ht="15" hidden="false" customHeight="false" outlineLevel="0" collapsed="false">
      <c r="A12662" s="0" t="n">
        <f aca="false">AMORLINC(10000,DATE(2024,1,15),DATE(2024,12,31),500,8,0.1,0)</f>
        <v>1000</v>
      </c>
      <c r="B12662" s="0" t="s">
        <v>12599</v>
      </c>
    </row>
    <row r="12663" customFormat="false" ht="15" hidden="false" customHeight="false" outlineLevel="0" collapsed="false">
      <c r="A12663" s="0" t="n">
        <f aca="false">AMORDEGRC(10000,DATE(2024,1,15),DATE(2024,12,31),500,8,0.1,0)</f>
        <v>254</v>
      </c>
      <c r="B12663" s="0" t="s">
        <v>12600</v>
      </c>
    </row>
    <row r="12664" customFormat="false" ht="15" hidden="false" customHeight="false" outlineLevel="0" collapsed="false">
      <c r="A12664" s="0" t="n">
        <f aca="false">AMORLINC(10000,DATE(2024,1,15),DATE(2024,12,31),500,12,0.1,0)</f>
        <v>0</v>
      </c>
      <c r="B12664" s="0" t="s">
        <v>12601</v>
      </c>
    </row>
    <row r="12665" customFormat="false" ht="15" hidden="false" customHeight="false" outlineLevel="0" collapsed="false">
      <c r="A12665" s="0" t="n">
        <f aca="false">AMORDEGRC(10000,DATE(2024,1,15),DATE(2024,12,31),500,12,0.1,0)</f>
        <v>0</v>
      </c>
      <c r="B12665" s="0" t="s">
        <v>12602</v>
      </c>
    </row>
    <row r="12666" customFormat="false" ht="15" hidden="false" customHeight="false" outlineLevel="0" collapsed="false">
      <c r="A12666" s="0" t="n">
        <f aca="false">AMORLINC(10000,DATE(2024,1,15),DATE(2024,12,31),500,25,0.1,0)</f>
        <v>0</v>
      </c>
      <c r="B12666" s="0" t="s">
        <v>12603</v>
      </c>
    </row>
    <row r="12667" customFormat="false" ht="15" hidden="false" customHeight="false" outlineLevel="0" collapsed="false">
      <c r="A12667" s="0" t="n">
        <f aca="false">AMORDEGRC(10000,DATE(2024,1,15),DATE(2024,12,31),500,25,0.1,0)</f>
        <v>0</v>
      </c>
      <c r="B12667" s="0" t="s">
        <v>12604</v>
      </c>
    </row>
    <row r="12668" customFormat="false" ht="15" hidden="false" customHeight="false" outlineLevel="0" collapsed="false">
      <c r="A12668" s="0" t="n">
        <f aca="false">AMORLINC(10000,DATE(2024,1,15),DATE(2024,12,31),500,0,0.1,1)</f>
        <v>959.016393442623</v>
      </c>
      <c r="B12668" s="0" t="s">
        <v>12605</v>
      </c>
    </row>
    <row r="12669" customFormat="false" ht="15" hidden="false" customHeight="false" outlineLevel="0" collapsed="false">
      <c r="A12669" s="0" t="n">
        <f aca="false">AMORDEGRC(10000,DATE(2024,1,15),DATE(2024,12,31),500,0,0.1,1)</f>
        <v>2398</v>
      </c>
      <c r="B12669" s="0" t="s">
        <v>12606</v>
      </c>
    </row>
    <row r="12670" customFormat="false" ht="15" hidden="false" customHeight="false" outlineLevel="0" collapsed="false">
      <c r="A12670" s="0" t="n">
        <f aca="false">AMORLINC(10000,DATE(2024,1,15),DATE(2024,12,31),500,1,0.1,1)</f>
        <v>1000</v>
      </c>
      <c r="B12670" s="0" t="s">
        <v>12607</v>
      </c>
    </row>
    <row r="12671" customFormat="false" ht="15" hidden="false" customHeight="false" outlineLevel="0" collapsed="false">
      <c r="A12671" s="0" t="n">
        <f aca="false">AMORDEGRC(10000,DATE(2024,1,15),DATE(2024,12,31),500,1,0.1,1)</f>
        <v>1901</v>
      </c>
      <c r="B12671" s="0" t="s">
        <v>12608</v>
      </c>
    </row>
    <row r="12672" customFormat="false" ht="15" hidden="false" customHeight="false" outlineLevel="0" collapsed="false">
      <c r="A12672" s="0" t="n">
        <f aca="false">AMORLINC(10000,DATE(2024,1,15),DATE(2024,12,31),500,2,0.1,1)</f>
        <v>1000</v>
      </c>
      <c r="B12672" s="0" t="s">
        <v>12609</v>
      </c>
    </row>
    <row r="12673" customFormat="false" ht="15" hidden="false" customHeight="false" outlineLevel="0" collapsed="false">
      <c r="A12673" s="0" t="n">
        <f aca="false">AMORDEGRC(10000,DATE(2024,1,15),DATE(2024,12,31),500,2,0.1,1)</f>
        <v>1425</v>
      </c>
      <c r="B12673" s="0" t="s">
        <v>12610</v>
      </c>
    </row>
    <row r="12674" customFormat="false" ht="15" hidden="false" customHeight="false" outlineLevel="0" collapsed="false">
      <c r="A12674" s="0" t="n">
        <f aca="false">AMORLINC(10000,DATE(2024,1,15),DATE(2024,12,31),500,3,0.1,1)</f>
        <v>1000</v>
      </c>
      <c r="B12674" s="0" t="s">
        <v>12611</v>
      </c>
    </row>
    <row r="12675" customFormat="false" ht="15" hidden="false" customHeight="false" outlineLevel="0" collapsed="false">
      <c r="A12675" s="0" t="n">
        <f aca="false">AMORDEGRC(10000,DATE(2024,1,15),DATE(2024,12,31),500,3,0.1,1)</f>
        <v>1069</v>
      </c>
      <c r="B12675" s="0" t="s">
        <v>12612</v>
      </c>
    </row>
    <row r="12676" customFormat="false" ht="15" hidden="false" customHeight="false" outlineLevel="0" collapsed="false">
      <c r="A12676" s="0" t="n">
        <f aca="false">AMORLINC(10000,DATE(2024,1,15),DATE(2024,12,31),500,5,0.1,1)</f>
        <v>1000</v>
      </c>
      <c r="B12676" s="0" t="s">
        <v>12613</v>
      </c>
    </row>
    <row r="12677" customFormat="false" ht="15" hidden="false" customHeight="false" outlineLevel="0" collapsed="false">
      <c r="A12677" s="0" t="n">
        <f aca="false">AMORDEGRC(10000,DATE(2024,1,15),DATE(2024,12,31),500,5,0.1,1)</f>
        <v>601</v>
      </c>
      <c r="B12677" s="0" t="s">
        <v>12614</v>
      </c>
    </row>
    <row r="12678" customFormat="false" ht="15" hidden="false" customHeight="false" outlineLevel="0" collapsed="false">
      <c r="A12678" s="0" t="n">
        <f aca="false">AMORLINC(10000,DATE(2024,1,15),DATE(2024,12,31),500,8,0.1,1)</f>
        <v>1000</v>
      </c>
      <c r="B12678" s="0" t="s">
        <v>12615</v>
      </c>
    </row>
    <row r="12679" customFormat="false" ht="15" hidden="false" customHeight="false" outlineLevel="0" collapsed="false">
      <c r="A12679" s="0" t="n">
        <f aca="false">AMORDEGRC(10000,DATE(2024,1,15),DATE(2024,12,31),500,8,0.1,1)</f>
        <v>254</v>
      </c>
      <c r="B12679" s="0" t="s">
        <v>12616</v>
      </c>
    </row>
    <row r="12680" customFormat="false" ht="15" hidden="false" customHeight="false" outlineLevel="0" collapsed="false">
      <c r="A12680" s="0" t="n">
        <f aca="false">AMORLINC(10000,DATE(2024,1,15),DATE(2024,12,31),500,12,0.1,1)</f>
        <v>0</v>
      </c>
      <c r="B12680" s="0" t="s">
        <v>12617</v>
      </c>
    </row>
    <row r="12681" customFormat="false" ht="15" hidden="false" customHeight="false" outlineLevel="0" collapsed="false">
      <c r="A12681" s="0" t="n">
        <f aca="false">AMORDEGRC(10000,DATE(2024,1,15),DATE(2024,12,31),500,12,0.1,1)</f>
        <v>0</v>
      </c>
      <c r="B12681" s="0" t="s">
        <v>12618</v>
      </c>
    </row>
    <row r="12682" customFormat="false" ht="15" hidden="false" customHeight="false" outlineLevel="0" collapsed="false">
      <c r="A12682" s="0" t="n">
        <f aca="false">AMORLINC(10000,DATE(2024,1,15),DATE(2024,12,31),500,25,0.1,1)</f>
        <v>0</v>
      </c>
      <c r="B12682" s="0" t="s">
        <v>12619</v>
      </c>
    </row>
    <row r="12683" customFormat="false" ht="15" hidden="false" customHeight="false" outlineLevel="0" collapsed="false">
      <c r="A12683" s="0" t="n">
        <f aca="false">AMORDEGRC(10000,DATE(2024,1,15),DATE(2024,12,31),500,25,0.1,1)</f>
        <v>0</v>
      </c>
      <c r="B12683" s="0" t="s">
        <v>12620</v>
      </c>
    </row>
    <row r="12684" customFormat="false" ht="15" hidden="false" customHeight="false" outlineLevel="0" collapsed="false">
      <c r="A12684" s="0" t="n">
        <f aca="false">AMORLINC(10000,DATE(2024,1,15),DATE(2024,12,31),500,0,0.1,3)</f>
        <v>961.643835616439</v>
      </c>
      <c r="B12684" s="0" t="s">
        <v>12621</v>
      </c>
    </row>
    <row r="12685" customFormat="false" ht="15" hidden="false" customHeight="false" outlineLevel="0" collapsed="false">
      <c r="A12685" s="0" t="n">
        <f aca="false">AMORDEGRC(10000,DATE(2024,1,15),DATE(2024,12,31),500,0,0.1,3)</f>
        <v>2404</v>
      </c>
      <c r="B12685" s="0" t="s">
        <v>12622</v>
      </c>
    </row>
    <row r="12686" customFormat="false" ht="15" hidden="false" customHeight="false" outlineLevel="0" collapsed="false">
      <c r="A12686" s="0" t="n">
        <f aca="false">AMORLINC(10000,DATE(2024,1,15),DATE(2024,12,31),500,1,0.1,3)</f>
        <v>1000</v>
      </c>
      <c r="B12686" s="0" t="s">
        <v>12623</v>
      </c>
    </row>
    <row r="12687" customFormat="false" ht="15" hidden="false" customHeight="false" outlineLevel="0" collapsed="false">
      <c r="A12687" s="0" t="n">
        <f aca="false">AMORDEGRC(10000,DATE(2024,1,15),DATE(2024,12,31),500,1,0.1,3)</f>
        <v>1899</v>
      </c>
      <c r="B12687" s="0" t="s">
        <v>12624</v>
      </c>
    </row>
    <row r="12688" customFormat="false" ht="15" hidden="false" customHeight="false" outlineLevel="0" collapsed="false">
      <c r="A12688" s="0" t="n">
        <f aca="false">AMORLINC(10000,DATE(2024,1,15),DATE(2024,12,31),500,2,0.1,3)</f>
        <v>1000</v>
      </c>
      <c r="B12688" s="0" t="s">
        <v>12625</v>
      </c>
    </row>
    <row r="12689" customFormat="false" ht="15" hidden="false" customHeight="false" outlineLevel="0" collapsed="false">
      <c r="A12689" s="0" t="n">
        <f aca="false">AMORDEGRC(10000,DATE(2024,1,15),DATE(2024,12,31),500,2,0.1,3)</f>
        <v>1424</v>
      </c>
      <c r="B12689" s="0" t="s">
        <v>12626</v>
      </c>
    </row>
    <row r="12690" customFormat="false" ht="15" hidden="false" customHeight="false" outlineLevel="0" collapsed="false">
      <c r="A12690" s="0" t="n">
        <f aca="false">AMORLINC(10000,DATE(2024,1,15),DATE(2024,12,31),500,3,0.1,3)</f>
        <v>1000</v>
      </c>
      <c r="B12690" s="0" t="s">
        <v>12627</v>
      </c>
    </row>
    <row r="12691" customFormat="false" ht="15" hidden="false" customHeight="false" outlineLevel="0" collapsed="false">
      <c r="A12691" s="0" t="n">
        <f aca="false">AMORDEGRC(10000,DATE(2024,1,15),DATE(2024,12,31),500,3,0.1,3)</f>
        <v>1068</v>
      </c>
      <c r="B12691" s="0" t="s">
        <v>12628</v>
      </c>
    </row>
    <row r="12692" customFormat="false" ht="15" hidden="false" customHeight="false" outlineLevel="0" collapsed="false">
      <c r="A12692" s="0" t="n">
        <f aca="false">AMORLINC(10000,DATE(2024,1,15),DATE(2024,12,31),500,5,0.1,3)</f>
        <v>1000</v>
      </c>
      <c r="B12692" s="0" t="s">
        <v>12629</v>
      </c>
    </row>
    <row r="12693" customFormat="false" ht="15" hidden="false" customHeight="false" outlineLevel="0" collapsed="false">
      <c r="A12693" s="0" t="n">
        <f aca="false">AMORDEGRC(10000,DATE(2024,1,15),DATE(2024,12,31),500,5,0.1,3)</f>
        <v>601</v>
      </c>
      <c r="B12693" s="0" t="s">
        <v>12630</v>
      </c>
    </row>
    <row r="12694" customFormat="false" ht="15" hidden="false" customHeight="false" outlineLevel="0" collapsed="false">
      <c r="A12694" s="0" t="n">
        <f aca="false">AMORLINC(10000,DATE(2024,1,15),DATE(2024,12,31),500,8,0.1,3)</f>
        <v>1000</v>
      </c>
      <c r="B12694" s="0" t="s">
        <v>12631</v>
      </c>
    </row>
    <row r="12695" customFormat="false" ht="15" hidden="false" customHeight="false" outlineLevel="0" collapsed="false">
      <c r="A12695" s="0" t="n">
        <f aca="false">AMORDEGRC(10000,DATE(2024,1,15),DATE(2024,12,31),500,8,0.1,3)</f>
        <v>254</v>
      </c>
      <c r="B12695" s="0" t="s">
        <v>12632</v>
      </c>
    </row>
    <row r="12696" customFormat="false" ht="15" hidden="false" customHeight="false" outlineLevel="0" collapsed="false">
      <c r="A12696" s="0" t="n">
        <f aca="false">AMORLINC(10000,DATE(2024,1,15),DATE(2024,12,31),500,12,0.1,3)</f>
        <v>0</v>
      </c>
      <c r="B12696" s="0" t="s">
        <v>12633</v>
      </c>
    </row>
    <row r="12697" customFormat="false" ht="15" hidden="false" customHeight="false" outlineLevel="0" collapsed="false">
      <c r="A12697" s="0" t="n">
        <f aca="false">AMORDEGRC(10000,DATE(2024,1,15),DATE(2024,12,31),500,12,0.1,3)</f>
        <v>0</v>
      </c>
      <c r="B12697" s="0" t="s">
        <v>12634</v>
      </c>
    </row>
    <row r="12698" customFormat="false" ht="15" hidden="false" customHeight="false" outlineLevel="0" collapsed="false">
      <c r="A12698" s="0" t="n">
        <f aca="false">AMORLINC(10000,DATE(2024,1,15),DATE(2024,12,31),500,25,0.1,3)</f>
        <v>0</v>
      </c>
      <c r="B12698" s="0" t="s">
        <v>12635</v>
      </c>
    </row>
    <row r="12699" customFormat="false" ht="15" hidden="false" customHeight="false" outlineLevel="0" collapsed="false">
      <c r="A12699" s="0" t="n">
        <f aca="false">AMORDEGRC(10000,DATE(2024,1,15),DATE(2024,12,31),500,25,0.1,3)</f>
        <v>0</v>
      </c>
      <c r="B12699" s="0" t="s">
        <v>12636</v>
      </c>
    </row>
    <row r="12700" customFormat="false" ht="15" hidden="false" customHeight="false" outlineLevel="0" collapsed="false">
      <c r="A12700" s="0" t="n">
        <f aca="false">AMORLINC(10000,DATE(2024,1,15),DATE(2024,12,31),500,0,0.1,4)</f>
        <v>958.333333333333</v>
      </c>
      <c r="B12700" s="0" t="s">
        <v>12637</v>
      </c>
    </row>
    <row r="12701" customFormat="false" ht="15" hidden="false" customHeight="false" outlineLevel="0" collapsed="false">
      <c r="A12701" s="0" t="n">
        <f aca="false">AMORDEGRC(10000,DATE(2024,1,15),DATE(2024,12,31),500,0,0.1,4)</f>
        <v>2396</v>
      </c>
      <c r="B12701" s="0" t="s">
        <v>12638</v>
      </c>
    </row>
    <row r="12702" customFormat="false" ht="15" hidden="false" customHeight="false" outlineLevel="0" collapsed="false">
      <c r="A12702" s="0" t="n">
        <f aca="false">AMORLINC(10000,DATE(2024,1,15),DATE(2024,12,31),500,1,0.1,4)</f>
        <v>1000</v>
      </c>
      <c r="B12702" s="0" t="s">
        <v>12639</v>
      </c>
    </row>
    <row r="12703" customFormat="false" ht="15" hidden="false" customHeight="false" outlineLevel="0" collapsed="false">
      <c r="A12703" s="0" t="n">
        <f aca="false">AMORDEGRC(10000,DATE(2024,1,15),DATE(2024,12,31),500,1,0.1,4)</f>
        <v>1901</v>
      </c>
      <c r="B12703" s="0" t="s">
        <v>12640</v>
      </c>
    </row>
    <row r="12704" customFormat="false" ht="15" hidden="false" customHeight="false" outlineLevel="0" collapsed="false">
      <c r="A12704" s="0" t="n">
        <f aca="false">AMORLINC(10000,DATE(2024,1,15),DATE(2024,12,31),500,2,0.1,4)</f>
        <v>1000</v>
      </c>
      <c r="B12704" s="0" t="s">
        <v>12641</v>
      </c>
    </row>
    <row r="12705" customFormat="false" ht="15" hidden="false" customHeight="false" outlineLevel="0" collapsed="false">
      <c r="A12705" s="0" t="n">
        <f aca="false">AMORDEGRC(10000,DATE(2024,1,15),DATE(2024,12,31),500,2,0.1,4)</f>
        <v>1426</v>
      </c>
      <c r="B12705" s="0" t="s">
        <v>12642</v>
      </c>
    </row>
    <row r="12706" customFormat="false" ht="15" hidden="false" customHeight="false" outlineLevel="0" collapsed="false">
      <c r="A12706" s="0" t="n">
        <f aca="false">AMORLINC(10000,DATE(2024,1,15),DATE(2024,12,31),500,3,0.1,4)</f>
        <v>1000</v>
      </c>
      <c r="B12706" s="0" t="s">
        <v>12643</v>
      </c>
    </row>
    <row r="12707" customFormat="false" ht="15" hidden="false" customHeight="false" outlineLevel="0" collapsed="false">
      <c r="A12707" s="0" t="n">
        <f aca="false">AMORDEGRC(10000,DATE(2024,1,15),DATE(2024,12,31),500,3,0.1,4)</f>
        <v>1069</v>
      </c>
      <c r="B12707" s="0" t="s">
        <v>12644</v>
      </c>
    </row>
    <row r="12708" customFormat="false" ht="15" hidden="false" customHeight="false" outlineLevel="0" collapsed="false">
      <c r="A12708" s="0" t="n">
        <f aca="false">AMORLINC(10000,DATE(2024,1,15),DATE(2024,12,31),500,5,0.1,4)</f>
        <v>1000</v>
      </c>
      <c r="B12708" s="0" t="s">
        <v>12645</v>
      </c>
    </row>
    <row r="12709" customFormat="false" ht="15" hidden="false" customHeight="false" outlineLevel="0" collapsed="false">
      <c r="A12709" s="0" t="n">
        <f aca="false">AMORDEGRC(10000,DATE(2024,1,15),DATE(2024,12,31),500,5,0.1,4)</f>
        <v>602</v>
      </c>
      <c r="B12709" s="0" t="s">
        <v>12646</v>
      </c>
    </row>
    <row r="12710" customFormat="false" ht="15" hidden="false" customHeight="false" outlineLevel="0" collapsed="false">
      <c r="A12710" s="0" t="n">
        <f aca="false">AMORLINC(10000,DATE(2024,1,15),DATE(2024,12,31),500,8,0.1,4)</f>
        <v>1000</v>
      </c>
      <c r="B12710" s="0" t="s">
        <v>12647</v>
      </c>
    </row>
    <row r="12711" customFormat="false" ht="15" hidden="false" customHeight="false" outlineLevel="0" collapsed="false">
      <c r="A12711" s="0" t="n">
        <f aca="false">AMORDEGRC(10000,DATE(2024,1,15),DATE(2024,12,31),500,8,0.1,4)</f>
        <v>254</v>
      </c>
      <c r="B12711" s="0" t="s">
        <v>12648</v>
      </c>
    </row>
    <row r="12712" customFormat="false" ht="15" hidden="false" customHeight="false" outlineLevel="0" collapsed="false">
      <c r="A12712" s="0" t="n">
        <f aca="false">AMORLINC(10000,DATE(2024,1,15),DATE(2024,12,31),500,12,0.1,4)</f>
        <v>0</v>
      </c>
      <c r="B12712" s="0" t="s">
        <v>12649</v>
      </c>
    </row>
    <row r="12713" customFormat="false" ht="15" hidden="false" customHeight="false" outlineLevel="0" collapsed="false">
      <c r="A12713" s="0" t="n">
        <f aca="false">AMORDEGRC(10000,DATE(2024,1,15),DATE(2024,12,31),500,12,0.1,4)</f>
        <v>0</v>
      </c>
      <c r="B12713" s="0" t="s">
        <v>12650</v>
      </c>
    </row>
    <row r="12714" customFormat="false" ht="15" hidden="false" customHeight="false" outlineLevel="0" collapsed="false">
      <c r="A12714" s="0" t="n">
        <f aca="false">AMORLINC(10000,DATE(2024,1,15),DATE(2024,12,31),500,25,0.1,4)</f>
        <v>0</v>
      </c>
      <c r="B12714" s="0" t="s">
        <v>12651</v>
      </c>
    </row>
    <row r="12715" customFormat="false" ht="15" hidden="false" customHeight="false" outlineLevel="0" collapsed="false">
      <c r="A12715" s="0" t="n">
        <f aca="false">AMORDEGRC(10000,DATE(2024,1,15),DATE(2024,12,31),500,25,0.1,4)</f>
        <v>0</v>
      </c>
      <c r="B12715" s="0" t="s">
        <v>12652</v>
      </c>
    </row>
    <row r="12716" customFormat="false" ht="15" hidden="false" customHeight="false" outlineLevel="0" collapsed="false">
      <c r="A12716" s="0" t="n">
        <f aca="false">AMORLINC(10000,DATE(2024,1,15),DATE(2024,12,31),500,0,0.15,0)</f>
        <v>1441.66666666667</v>
      </c>
      <c r="B12716" s="0" t="s">
        <v>12653</v>
      </c>
    </row>
    <row r="12717" customFormat="false" ht="15" hidden="false" customHeight="false" outlineLevel="0" collapsed="false">
      <c r="A12717" s="0" t="n">
        <f aca="false">AMORDEGRC(10000,DATE(2024,1,15),DATE(2024,12,31),500,0,0.15,0)</f>
        <v>3604</v>
      </c>
      <c r="B12717" s="0" t="s">
        <v>12654</v>
      </c>
    </row>
    <row r="12718" customFormat="false" ht="15" hidden="false" customHeight="false" outlineLevel="0" collapsed="false">
      <c r="A12718" s="0" t="n">
        <f aca="false">AMORLINC(10000,DATE(2024,1,15),DATE(2024,12,31),500,1,0.15,0)</f>
        <v>1500</v>
      </c>
      <c r="B12718" s="0" t="s">
        <v>12655</v>
      </c>
    </row>
    <row r="12719" customFormat="false" ht="15" hidden="false" customHeight="false" outlineLevel="0" collapsed="false">
      <c r="A12719" s="0" t="n">
        <f aca="false">AMORDEGRC(10000,DATE(2024,1,15),DATE(2024,12,31),500,1,0.15,0)</f>
        <v>2399</v>
      </c>
      <c r="B12719" s="0" t="s">
        <v>12656</v>
      </c>
    </row>
    <row r="12720" customFormat="false" ht="15" hidden="false" customHeight="false" outlineLevel="0" collapsed="false">
      <c r="A12720" s="0" t="n">
        <f aca="false">AMORLINC(10000,DATE(2024,1,15),DATE(2024,12,31),500,2,0.15,0)</f>
        <v>1500</v>
      </c>
      <c r="B12720" s="0" t="s">
        <v>12657</v>
      </c>
    </row>
    <row r="12721" customFormat="false" ht="15" hidden="false" customHeight="false" outlineLevel="0" collapsed="false">
      <c r="A12721" s="0" t="n">
        <f aca="false">AMORDEGRC(10000,DATE(2024,1,15),DATE(2024,12,31),500,2,0.15,0)</f>
        <v>1499</v>
      </c>
      <c r="B12721" s="0" t="s">
        <v>12658</v>
      </c>
    </row>
    <row r="12722" customFormat="false" ht="15" hidden="false" customHeight="false" outlineLevel="0" collapsed="false">
      <c r="A12722" s="0" t="n">
        <f aca="false">AMORLINC(10000,DATE(2024,1,15),DATE(2024,12,31),500,3,0.15,0)</f>
        <v>1500</v>
      </c>
      <c r="B12722" s="0" t="s">
        <v>12659</v>
      </c>
    </row>
    <row r="12723" customFormat="false" ht="15" hidden="false" customHeight="false" outlineLevel="0" collapsed="false">
      <c r="A12723" s="0" t="n">
        <f aca="false">AMORDEGRC(10000,DATE(2024,1,15),DATE(2024,12,31),500,3,0.15,0)</f>
        <v>937</v>
      </c>
      <c r="B12723" s="0" t="s">
        <v>12660</v>
      </c>
    </row>
    <row r="12724" customFormat="false" ht="15" hidden="false" customHeight="false" outlineLevel="0" collapsed="false">
      <c r="A12724" s="0" t="n">
        <f aca="false">AMORLINC(10000,DATE(2024,1,15),DATE(2024,12,31),500,5,0.15,0)</f>
        <v>1500</v>
      </c>
      <c r="B12724" s="0" t="s">
        <v>12661</v>
      </c>
    </row>
    <row r="12725" customFormat="false" ht="15" hidden="false" customHeight="false" outlineLevel="0" collapsed="false">
      <c r="A12725" s="0" t="n">
        <f aca="false">AMORDEGRC(10000,DATE(2024,1,15),DATE(2024,12,31),500,5,0.15,0)</f>
        <v>366</v>
      </c>
      <c r="B12725" s="0" t="s">
        <v>12662</v>
      </c>
    </row>
    <row r="12726" customFormat="false" ht="15" hidden="false" customHeight="false" outlineLevel="0" collapsed="false">
      <c r="A12726" s="0" t="n">
        <f aca="false">AMORLINC(10000,DATE(2024,1,15),DATE(2024,12,31),500,8,0.15,0)</f>
        <v>0</v>
      </c>
      <c r="B12726" s="0" t="s">
        <v>12663</v>
      </c>
    </row>
    <row r="12727" customFormat="false" ht="15" hidden="false" customHeight="false" outlineLevel="0" collapsed="false">
      <c r="A12727" s="0" t="n">
        <f aca="false">AMORDEGRC(10000,DATE(2024,1,15),DATE(2024,12,31),500,8,0.15,0)</f>
        <v>0</v>
      </c>
      <c r="B12727" s="0" t="s">
        <v>12664</v>
      </c>
    </row>
    <row r="12728" customFormat="false" ht="15" hidden="false" customHeight="false" outlineLevel="0" collapsed="false">
      <c r="A12728" s="0" t="n">
        <f aca="false">AMORLINC(10000,DATE(2024,1,15),DATE(2024,12,31),500,12,0.15,0)</f>
        <v>0</v>
      </c>
      <c r="B12728" s="0" t="s">
        <v>12665</v>
      </c>
    </row>
    <row r="12729" customFormat="false" ht="15" hidden="false" customHeight="false" outlineLevel="0" collapsed="false">
      <c r="A12729" s="0" t="n">
        <f aca="false">AMORDEGRC(10000,DATE(2024,1,15),DATE(2024,12,31),500,12,0.15,0)</f>
        <v>0</v>
      </c>
      <c r="B12729" s="0" t="s">
        <v>12666</v>
      </c>
    </row>
    <row r="12730" customFormat="false" ht="15" hidden="false" customHeight="false" outlineLevel="0" collapsed="false">
      <c r="A12730" s="0" t="n">
        <f aca="false">AMORLINC(10000,DATE(2024,1,15),DATE(2024,12,31),500,25,0.15,0)</f>
        <v>0</v>
      </c>
      <c r="B12730" s="0" t="s">
        <v>12667</v>
      </c>
    </row>
    <row r="12731" customFormat="false" ht="15" hidden="false" customHeight="false" outlineLevel="0" collapsed="false">
      <c r="A12731" s="0" t="n">
        <f aca="false">AMORDEGRC(10000,DATE(2024,1,15),DATE(2024,12,31),500,25,0.15,0)</f>
        <v>0</v>
      </c>
      <c r="B12731" s="0" t="s">
        <v>12668</v>
      </c>
    </row>
    <row r="12732" customFormat="false" ht="15" hidden="false" customHeight="false" outlineLevel="0" collapsed="false">
      <c r="A12732" s="0" t="n">
        <f aca="false">AMORLINC(10000,DATE(2024,1,15),DATE(2024,12,31),500,0,0.15,1)</f>
        <v>1438.52459016393</v>
      </c>
      <c r="B12732" s="0" t="s">
        <v>12669</v>
      </c>
    </row>
    <row r="12733" customFormat="false" ht="15" hidden="false" customHeight="false" outlineLevel="0" collapsed="false">
      <c r="A12733" s="0" t="n">
        <f aca="false">AMORDEGRC(10000,DATE(2024,1,15),DATE(2024,12,31),500,0,0.15,1)</f>
        <v>3596</v>
      </c>
      <c r="B12733" s="0" t="s">
        <v>12670</v>
      </c>
    </row>
    <row r="12734" customFormat="false" ht="15" hidden="false" customHeight="false" outlineLevel="0" collapsed="false">
      <c r="A12734" s="0" t="n">
        <f aca="false">AMORLINC(10000,DATE(2024,1,15),DATE(2024,12,31),500,1,0.15,1)</f>
        <v>1500</v>
      </c>
      <c r="B12734" s="0" t="s">
        <v>12671</v>
      </c>
    </row>
    <row r="12735" customFormat="false" ht="15" hidden="false" customHeight="false" outlineLevel="0" collapsed="false">
      <c r="A12735" s="0" t="n">
        <f aca="false">AMORDEGRC(10000,DATE(2024,1,15),DATE(2024,12,31),500,1,0.15,1)</f>
        <v>2402</v>
      </c>
      <c r="B12735" s="0" t="s">
        <v>12672</v>
      </c>
    </row>
    <row r="12736" customFormat="false" ht="15" hidden="false" customHeight="false" outlineLevel="0" collapsed="false">
      <c r="A12736" s="0" t="n">
        <f aca="false">AMORLINC(10000,DATE(2024,1,15),DATE(2024,12,31),500,2,0.15,1)</f>
        <v>1500</v>
      </c>
      <c r="B12736" s="0" t="s">
        <v>12673</v>
      </c>
    </row>
    <row r="12737" customFormat="false" ht="15" hidden="false" customHeight="false" outlineLevel="0" collapsed="false">
      <c r="A12737" s="0" t="n">
        <f aca="false">AMORDEGRC(10000,DATE(2024,1,15),DATE(2024,12,31),500,2,0.15,1)</f>
        <v>1501</v>
      </c>
      <c r="B12737" s="0" t="s">
        <v>12674</v>
      </c>
    </row>
    <row r="12738" customFormat="false" ht="15" hidden="false" customHeight="false" outlineLevel="0" collapsed="false">
      <c r="A12738" s="0" t="n">
        <f aca="false">AMORLINC(10000,DATE(2024,1,15),DATE(2024,12,31),500,3,0.15,1)</f>
        <v>1500</v>
      </c>
      <c r="B12738" s="0" t="s">
        <v>12675</v>
      </c>
    </row>
    <row r="12739" customFormat="false" ht="15" hidden="false" customHeight="false" outlineLevel="0" collapsed="false">
      <c r="A12739" s="0" t="n">
        <f aca="false">AMORDEGRC(10000,DATE(2024,1,15),DATE(2024,12,31),500,3,0.15,1)</f>
        <v>938</v>
      </c>
      <c r="B12739" s="0" t="s">
        <v>12676</v>
      </c>
    </row>
    <row r="12740" customFormat="false" ht="15" hidden="false" customHeight="false" outlineLevel="0" collapsed="false">
      <c r="A12740" s="0" t="n">
        <f aca="false">AMORLINC(10000,DATE(2024,1,15),DATE(2024,12,31),500,5,0.15,1)</f>
        <v>1500</v>
      </c>
      <c r="B12740" s="0" t="s">
        <v>12677</v>
      </c>
    </row>
    <row r="12741" customFormat="false" ht="15" hidden="false" customHeight="false" outlineLevel="0" collapsed="false">
      <c r="A12741" s="0" t="n">
        <f aca="false">AMORDEGRC(10000,DATE(2024,1,15),DATE(2024,12,31),500,5,0.15,1)</f>
        <v>366</v>
      </c>
      <c r="B12741" s="0" t="s">
        <v>12678</v>
      </c>
    </row>
    <row r="12742" customFormat="false" ht="15" hidden="false" customHeight="false" outlineLevel="0" collapsed="false">
      <c r="A12742" s="0" t="n">
        <f aca="false">AMORLINC(10000,DATE(2024,1,15),DATE(2024,12,31),500,8,0.15,1)</f>
        <v>0</v>
      </c>
      <c r="B12742" s="0" t="s">
        <v>12679</v>
      </c>
    </row>
    <row r="12743" customFormat="false" ht="15" hidden="false" customHeight="false" outlineLevel="0" collapsed="false">
      <c r="A12743" s="0" t="n">
        <f aca="false">AMORDEGRC(10000,DATE(2024,1,15),DATE(2024,12,31),500,8,0.15,1)</f>
        <v>0</v>
      </c>
      <c r="B12743" s="0" t="s">
        <v>12680</v>
      </c>
    </row>
    <row r="12744" customFormat="false" ht="15" hidden="false" customHeight="false" outlineLevel="0" collapsed="false">
      <c r="A12744" s="0" t="n">
        <f aca="false">AMORLINC(10000,DATE(2024,1,15),DATE(2024,12,31),500,12,0.15,1)</f>
        <v>0</v>
      </c>
      <c r="B12744" s="0" t="s">
        <v>12681</v>
      </c>
    </row>
    <row r="12745" customFormat="false" ht="15" hidden="false" customHeight="false" outlineLevel="0" collapsed="false">
      <c r="A12745" s="0" t="n">
        <f aca="false">AMORDEGRC(10000,DATE(2024,1,15),DATE(2024,12,31),500,12,0.15,1)</f>
        <v>0</v>
      </c>
      <c r="B12745" s="0" t="s">
        <v>12682</v>
      </c>
    </row>
    <row r="12746" customFormat="false" ht="15" hidden="false" customHeight="false" outlineLevel="0" collapsed="false">
      <c r="A12746" s="0" t="n">
        <f aca="false">AMORLINC(10000,DATE(2024,1,15),DATE(2024,12,31),500,25,0.15,1)</f>
        <v>0</v>
      </c>
      <c r="B12746" s="0" t="s">
        <v>12683</v>
      </c>
    </row>
    <row r="12747" customFormat="false" ht="15" hidden="false" customHeight="false" outlineLevel="0" collapsed="false">
      <c r="A12747" s="0" t="n">
        <f aca="false">AMORDEGRC(10000,DATE(2024,1,15),DATE(2024,12,31),500,25,0.15,1)</f>
        <v>0</v>
      </c>
      <c r="B12747" s="0" t="s">
        <v>12684</v>
      </c>
    </row>
    <row r="12748" customFormat="false" ht="15" hidden="false" customHeight="false" outlineLevel="0" collapsed="false">
      <c r="A12748" s="0" t="n">
        <f aca="false">AMORLINC(10000,DATE(2024,1,15),DATE(2024,12,31),500,0,0.15,3)</f>
        <v>1442.46575342466</v>
      </c>
      <c r="B12748" s="0" t="s">
        <v>12685</v>
      </c>
    </row>
    <row r="12749" customFormat="false" ht="15" hidden="false" customHeight="false" outlineLevel="0" collapsed="false">
      <c r="A12749" s="0" t="n">
        <f aca="false">AMORDEGRC(10000,DATE(2024,1,15),DATE(2024,12,31),500,0,0.15,3)</f>
        <v>3606</v>
      </c>
      <c r="B12749" s="0" t="s">
        <v>12686</v>
      </c>
    </row>
    <row r="12750" customFormat="false" ht="15" hidden="false" customHeight="false" outlineLevel="0" collapsed="false">
      <c r="A12750" s="0" t="n">
        <f aca="false">AMORLINC(10000,DATE(2024,1,15),DATE(2024,12,31),500,1,0.15,3)</f>
        <v>1500</v>
      </c>
      <c r="B12750" s="0" t="s">
        <v>12687</v>
      </c>
    </row>
    <row r="12751" customFormat="false" ht="15" hidden="false" customHeight="false" outlineLevel="0" collapsed="false">
      <c r="A12751" s="0" t="n">
        <f aca="false">AMORDEGRC(10000,DATE(2024,1,15),DATE(2024,12,31),500,1,0.15,3)</f>
        <v>2398</v>
      </c>
      <c r="B12751" s="0" t="s">
        <v>12688</v>
      </c>
    </row>
    <row r="12752" customFormat="false" ht="15" hidden="false" customHeight="false" outlineLevel="0" collapsed="false">
      <c r="A12752" s="0" t="n">
        <f aca="false">AMORLINC(10000,DATE(2024,1,15),DATE(2024,12,31),500,2,0.15,3)</f>
        <v>1500</v>
      </c>
      <c r="B12752" s="0" t="s">
        <v>12689</v>
      </c>
    </row>
    <row r="12753" customFormat="false" ht="15" hidden="false" customHeight="false" outlineLevel="0" collapsed="false">
      <c r="A12753" s="0" t="n">
        <f aca="false">AMORDEGRC(10000,DATE(2024,1,15),DATE(2024,12,31),500,2,0.15,3)</f>
        <v>1499</v>
      </c>
      <c r="B12753" s="0" t="s">
        <v>12690</v>
      </c>
    </row>
    <row r="12754" customFormat="false" ht="15" hidden="false" customHeight="false" outlineLevel="0" collapsed="false">
      <c r="A12754" s="0" t="n">
        <f aca="false">AMORLINC(10000,DATE(2024,1,15),DATE(2024,12,31),500,3,0.15,3)</f>
        <v>1500</v>
      </c>
      <c r="B12754" s="0" t="s">
        <v>12691</v>
      </c>
    </row>
    <row r="12755" customFormat="false" ht="15" hidden="false" customHeight="false" outlineLevel="0" collapsed="false">
      <c r="A12755" s="0" t="n">
        <f aca="false">AMORDEGRC(10000,DATE(2024,1,15),DATE(2024,12,31),500,3,0.15,3)</f>
        <v>936</v>
      </c>
      <c r="B12755" s="0" t="s">
        <v>12692</v>
      </c>
    </row>
    <row r="12756" customFormat="false" ht="15" hidden="false" customHeight="false" outlineLevel="0" collapsed="false">
      <c r="A12756" s="0" t="n">
        <f aca="false">AMORLINC(10000,DATE(2024,1,15),DATE(2024,12,31),500,5,0.15,3)</f>
        <v>1500</v>
      </c>
      <c r="B12756" s="0" t="s">
        <v>12693</v>
      </c>
    </row>
    <row r="12757" customFormat="false" ht="15" hidden="false" customHeight="false" outlineLevel="0" collapsed="false">
      <c r="A12757" s="0" t="n">
        <f aca="false">AMORDEGRC(10000,DATE(2024,1,15),DATE(2024,12,31),500,5,0.15,3)</f>
        <v>366</v>
      </c>
      <c r="B12757" s="0" t="s">
        <v>12694</v>
      </c>
    </row>
    <row r="12758" customFormat="false" ht="15" hidden="false" customHeight="false" outlineLevel="0" collapsed="false">
      <c r="A12758" s="0" t="n">
        <f aca="false">AMORLINC(10000,DATE(2024,1,15),DATE(2024,12,31),500,8,0.15,3)</f>
        <v>0</v>
      </c>
      <c r="B12758" s="0" t="s">
        <v>12695</v>
      </c>
    </row>
    <row r="12759" customFormat="false" ht="15" hidden="false" customHeight="false" outlineLevel="0" collapsed="false">
      <c r="A12759" s="0" t="n">
        <f aca="false">AMORDEGRC(10000,DATE(2024,1,15),DATE(2024,12,31),500,8,0.15,3)</f>
        <v>0</v>
      </c>
      <c r="B12759" s="0" t="s">
        <v>12696</v>
      </c>
    </row>
    <row r="12760" customFormat="false" ht="15" hidden="false" customHeight="false" outlineLevel="0" collapsed="false">
      <c r="A12760" s="0" t="n">
        <f aca="false">AMORLINC(10000,DATE(2024,1,15),DATE(2024,12,31),500,12,0.15,3)</f>
        <v>0</v>
      </c>
      <c r="B12760" s="0" t="s">
        <v>12697</v>
      </c>
    </row>
    <row r="12761" customFormat="false" ht="15" hidden="false" customHeight="false" outlineLevel="0" collapsed="false">
      <c r="A12761" s="0" t="n">
        <f aca="false">AMORDEGRC(10000,DATE(2024,1,15),DATE(2024,12,31),500,12,0.15,3)</f>
        <v>0</v>
      </c>
      <c r="B12761" s="0" t="s">
        <v>12698</v>
      </c>
    </row>
    <row r="12762" customFormat="false" ht="15" hidden="false" customHeight="false" outlineLevel="0" collapsed="false">
      <c r="A12762" s="0" t="n">
        <f aca="false">AMORLINC(10000,DATE(2024,1,15),DATE(2024,12,31),500,25,0.15,3)</f>
        <v>0</v>
      </c>
      <c r="B12762" s="0" t="s">
        <v>12699</v>
      </c>
    </row>
    <row r="12763" customFormat="false" ht="15" hidden="false" customHeight="false" outlineLevel="0" collapsed="false">
      <c r="A12763" s="0" t="n">
        <f aca="false">AMORDEGRC(10000,DATE(2024,1,15),DATE(2024,12,31),500,25,0.15,3)</f>
        <v>0</v>
      </c>
      <c r="B12763" s="0" t="s">
        <v>12700</v>
      </c>
    </row>
    <row r="12764" customFormat="false" ht="15" hidden="false" customHeight="false" outlineLevel="0" collapsed="false">
      <c r="A12764" s="0" t="n">
        <f aca="false">AMORLINC(10000,DATE(2024,1,15),DATE(2024,12,31),500,0,0.15,4)</f>
        <v>1437.5</v>
      </c>
      <c r="B12764" s="0" t="s">
        <v>12701</v>
      </c>
    </row>
    <row r="12765" customFormat="false" ht="15" hidden="false" customHeight="false" outlineLevel="0" collapsed="false">
      <c r="A12765" s="0" t="n">
        <f aca="false">AMORDEGRC(10000,DATE(2024,1,15),DATE(2024,12,31),500,0,0.15,4)</f>
        <v>3594</v>
      </c>
      <c r="B12765" s="0" t="s">
        <v>12702</v>
      </c>
    </row>
    <row r="12766" customFormat="false" ht="15" hidden="false" customHeight="false" outlineLevel="0" collapsed="false">
      <c r="A12766" s="0" t="n">
        <f aca="false">AMORLINC(10000,DATE(2024,1,15),DATE(2024,12,31),500,1,0.15,4)</f>
        <v>1500</v>
      </c>
      <c r="B12766" s="0" t="s">
        <v>12703</v>
      </c>
    </row>
    <row r="12767" customFormat="false" ht="15" hidden="false" customHeight="false" outlineLevel="0" collapsed="false">
      <c r="A12767" s="0" t="n">
        <f aca="false">AMORDEGRC(10000,DATE(2024,1,15),DATE(2024,12,31),500,1,0.15,4)</f>
        <v>2402</v>
      </c>
      <c r="B12767" s="0" t="s">
        <v>12704</v>
      </c>
    </row>
    <row r="12768" customFormat="false" ht="15" hidden="false" customHeight="false" outlineLevel="0" collapsed="false">
      <c r="A12768" s="0" t="n">
        <f aca="false">AMORLINC(10000,DATE(2024,1,15),DATE(2024,12,31),500,2,0.15,4)</f>
        <v>1500</v>
      </c>
      <c r="B12768" s="0" t="s">
        <v>12705</v>
      </c>
    </row>
    <row r="12769" customFormat="false" ht="15" hidden="false" customHeight="false" outlineLevel="0" collapsed="false">
      <c r="A12769" s="0" t="n">
        <f aca="false">AMORDEGRC(10000,DATE(2024,1,15),DATE(2024,12,31),500,2,0.15,4)</f>
        <v>1502</v>
      </c>
      <c r="B12769" s="0" t="s">
        <v>12706</v>
      </c>
    </row>
    <row r="12770" customFormat="false" ht="15" hidden="false" customHeight="false" outlineLevel="0" collapsed="false">
      <c r="A12770" s="0" t="n">
        <f aca="false">AMORLINC(10000,DATE(2024,1,15),DATE(2024,12,31),500,3,0.15,4)</f>
        <v>1500</v>
      </c>
      <c r="B12770" s="0" t="s">
        <v>12707</v>
      </c>
    </row>
    <row r="12771" customFormat="false" ht="15" hidden="false" customHeight="false" outlineLevel="0" collapsed="false">
      <c r="A12771" s="0" t="n">
        <f aca="false">AMORDEGRC(10000,DATE(2024,1,15),DATE(2024,12,31),500,3,0.15,4)</f>
        <v>938</v>
      </c>
      <c r="B12771" s="0" t="s">
        <v>12708</v>
      </c>
    </row>
    <row r="12772" customFormat="false" ht="15" hidden="false" customHeight="false" outlineLevel="0" collapsed="false">
      <c r="A12772" s="0" t="n">
        <f aca="false">AMORLINC(10000,DATE(2024,1,15),DATE(2024,12,31),500,5,0.15,4)</f>
        <v>1500</v>
      </c>
      <c r="B12772" s="0" t="s">
        <v>12709</v>
      </c>
    </row>
    <row r="12773" customFormat="false" ht="15" hidden="false" customHeight="false" outlineLevel="0" collapsed="false">
      <c r="A12773" s="0" t="n">
        <f aca="false">AMORDEGRC(10000,DATE(2024,1,15),DATE(2024,12,31),500,5,0.15,4)</f>
        <v>366</v>
      </c>
      <c r="B12773" s="0" t="s">
        <v>12710</v>
      </c>
    </row>
    <row r="12774" customFormat="false" ht="15" hidden="false" customHeight="false" outlineLevel="0" collapsed="false">
      <c r="A12774" s="0" t="n">
        <f aca="false">AMORLINC(10000,DATE(2024,1,15),DATE(2024,12,31),500,8,0.15,4)</f>
        <v>0</v>
      </c>
      <c r="B12774" s="0" t="s">
        <v>12711</v>
      </c>
    </row>
    <row r="12775" customFormat="false" ht="15" hidden="false" customHeight="false" outlineLevel="0" collapsed="false">
      <c r="A12775" s="0" t="n">
        <f aca="false">AMORDEGRC(10000,DATE(2024,1,15),DATE(2024,12,31),500,8,0.15,4)</f>
        <v>0</v>
      </c>
      <c r="B12775" s="0" t="s">
        <v>12712</v>
      </c>
    </row>
    <row r="12776" customFormat="false" ht="15" hidden="false" customHeight="false" outlineLevel="0" collapsed="false">
      <c r="A12776" s="0" t="n">
        <f aca="false">AMORLINC(10000,DATE(2024,1,15),DATE(2024,12,31),500,12,0.15,4)</f>
        <v>0</v>
      </c>
      <c r="B12776" s="0" t="s">
        <v>12713</v>
      </c>
    </row>
    <row r="12777" customFormat="false" ht="15" hidden="false" customHeight="false" outlineLevel="0" collapsed="false">
      <c r="A12777" s="0" t="n">
        <f aca="false">AMORDEGRC(10000,DATE(2024,1,15),DATE(2024,12,31),500,12,0.15,4)</f>
        <v>0</v>
      </c>
      <c r="B12777" s="0" t="s">
        <v>12714</v>
      </c>
    </row>
    <row r="12778" customFormat="false" ht="15" hidden="false" customHeight="false" outlineLevel="0" collapsed="false">
      <c r="A12778" s="0" t="n">
        <f aca="false">AMORLINC(10000,DATE(2024,1,15),DATE(2024,12,31),500,25,0.15,4)</f>
        <v>0</v>
      </c>
      <c r="B12778" s="0" t="s">
        <v>12715</v>
      </c>
    </row>
    <row r="12779" customFormat="false" ht="15" hidden="false" customHeight="false" outlineLevel="0" collapsed="false">
      <c r="A12779" s="0" t="n">
        <f aca="false">AMORDEGRC(10000,DATE(2024,1,15),DATE(2024,12,31),500,25,0.15,4)</f>
        <v>0</v>
      </c>
      <c r="B12779" s="0" t="s">
        <v>12716</v>
      </c>
    </row>
    <row r="12780" customFormat="false" ht="15" hidden="false" customHeight="false" outlineLevel="0" collapsed="false">
      <c r="A12780" s="0" t="n">
        <f aca="false">AMORLINC(10000,DATE(2024,1,15),DATE(2024,12,31),500,0,0.2,0)</f>
        <v>1922.22222222222</v>
      </c>
      <c r="B12780" s="0" t="s">
        <v>12717</v>
      </c>
    </row>
    <row r="12781" customFormat="false" ht="15" hidden="false" customHeight="false" outlineLevel="0" collapsed="false">
      <c r="A12781" s="0" t="n">
        <f aca="false">AMORDEGRC(10000,DATE(2024,1,15),DATE(2024,12,31),500,0,0.2,0)</f>
        <v>3844</v>
      </c>
      <c r="B12781" s="0" t="s">
        <v>12718</v>
      </c>
    </row>
    <row r="12782" customFormat="false" ht="15" hidden="false" customHeight="false" outlineLevel="0" collapsed="false">
      <c r="A12782" s="0" t="n">
        <f aca="false">AMORLINC(10000,DATE(2024,1,15),DATE(2024,12,31),500,1,0.2,0)</f>
        <v>2000</v>
      </c>
      <c r="B12782" s="0" t="s">
        <v>12719</v>
      </c>
    </row>
    <row r="12783" customFormat="false" ht="15" hidden="false" customHeight="false" outlineLevel="0" collapsed="false">
      <c r="A12783" s="0" t="n">
        <f aca="false">AMORDEGRC(10000,DATE(2024,1,15),DATE(2024,12,31),500,1,0.2,0)</f>
        <v>2462</v>
      </c>
      <c r="B12783" s="0" t="s">
        <v>12720</v>
      </c>
    </row>
    <row r="12784" customFormat="false" ht="15" hidden="false" customHeight="false" outlineLevel="0" collapsed="false">
      <c r="A12784" s="0" t="n">
        <f aca="false">AMORLINC(10000,DATE(2024,1,15),DATE(2024,12,31),500,2,0.2,0)</f>
        <v>2000</v>
      </c>
      <c r="B12784" s="0" t="s">
        <v>12721</v>
      </c>
    </row>
    <row r="12785" customFormat="false" ht="15" hidden="false" customHeight="false" outlineLevel="0" collapsed="false">
      <c r="A12785" s="0" t="n">
        <f aca="false">AMORDEGRC(10000,DATE(2024,1,15),DATE(2024,12,31),500,2,0.2,0)</f>
        <v>1478</v>
      </c>
      <c r="B12785" s="0" t="s">
        <v>12722</v>
      </c>
    </row>
    <row r="12786" customFormat="false" ht="15" hidden="false" customHeight="false" outlineLevel="0" collapsed="false">
      <c r="A12786" s="0" t="n">
        <f aca="false">AMORLINC(10000,DATE(2024,1,15),DATE(2024,12,31),500,3,0.2,0)</f>
        <v>2000</v>
      </c>
      <c r="B12786" s="0" t="s">
        <v>12723</v>
      </c>
    </row>
    <row r="12787" customFormat="false" ht="15" hidden="false" customHeight="false" outlineLevel="0" collapsed="false">
      <c r="A12787" s="0" t="n">
        <f aca="false">AMORDEGRC(10000,DATE(2024,1,15),DATE(2024,12,31),500,3,0.2,0)</f>
        <v>886</v>
      </c>
      <c r="B12787" s="0" t="s">
        <v>12724</v>
      </c>
    </row>
    <row r="12788" customFormat="false" ht="15" hidden="false" customHeight="false" outlineLevel="0" collapsed="false">
      <c r="A12788" s="0" t="n">
        <f aca="false">AMORLINC(10000,DATE(2024,1,15),DATE(2024,12,31),500,5,0.2,0)</f>
        <v>0</v>
      </c>
      <c r="B12788" s="0" t="s">
        <v>12725</v>
      </c>
    </row>
    <row r="12789" customFormat="false" ht="15" hidden="false" customHeight="false" outlineLevel="0" collapsed="false">
      <c r="A12789" s="0" t="n">
        <f aca="false">AMORDEGRC(10000,DATE(2024,1,15),DATE(2024,12,31),500,5,0.2,0)</f>
        <v>399</v>
      </c>
      <c r="B12789" s="0" t="s">
        <v>12726</v>
      </c>
    </row>
    <row r="12790" customFormat="false" ht="15" hidden="false" customHeight="false" outlineLevel="0" collapsed="false">
      <c r="A12790" s="0" t="n">
        <f aca="false">AMORLINC(10000,DATE(2024,1,15),DATE(2024,12,31),500,8,0.2,0)</f>
        <v>0</v>
      </c>
      <c r="B12790" s="0" t="s">
        <v>12727</v>
      </c>
    </row>
    <row r="12791" customFormat="false" ht="15" hidden="false" customHeight="false" outlineLevel="0" collapsed="false">
      <c r="A12791" s="0" t="n">
        <f aca="false">AMORDEGRC(10000,DATE(2024,1,15),DATE(2024,12,31),500,8,0.2,0)</f>
        <v>0</v>
      </c>
      <c r="B12791" s="0" t="s">
        <v>12728</v>
      </c>
    </row>
    <row r="12792" customFormat="false" ht="15" hidden="false" customHeight="false" outlineLevel="0" collapsed="false">
      <c r="A12792" s="0" t="n">
        <f aca="false">AMORLINC(10000,DATE(2024,1,15),DATE(2024,12,31),500,12,0.2,0)</f>
        <v>0</v>
      </c>
      <c r="B12792" s="0" t="s">
        <v>12729</v>
      </c>
    </row>
    <row r="12793" customFormat="false" ht="15" hidden="false" customHeight="false" outlineLevel="0" collapsed="false">
      <c r="A12793" s="0" t="n">
        <f aca="false">AMORDEGRC(10000,DATE(2024,1,15),DATE(2024,12,31),500,12,0.2,0)</f>
        <v>0</v>
      </c>
      <c r="B12793" s="0" t="s">
        <v>12730</v>
      </c>
    </row>
    <row r="12794" customFormat="false" ht="15" hidden="false" customHeight="false" outlineLevel="0" collapsed="false">
      <c r="A12794" s="0" t="n">
        <f aca="false">AMORLINC(10000,DATE(2024,1,15),DATE(2024,12,31),500,25,0.2,0)</f>
        <v>0</v>
      </c>
      <c r="B12794" s="0" t="s">
        <v>12731</v>
      </c>
    </row>
    <row r="12795" customFormat="false" ht="15" hidden="false" customHeight="false" outlineLevel="0" collapsed="false">
      <c r="A12795" s="0" t="n">
        <f aca="false">AMORDEGRC(10000,DATE(2024,1,15),DATE(2024,12,31),500,25,0.2,0)</f>
        <v>0</v>
      </c>
      <c r="B12795" s="0" t="s">
        <v>12732</v>
      </c>
    </row>
    <row r="12796" customFormat="false" ht="15" hidden="false" customHeight="false" outlineLevel="0" collapsed="false">
      <c r="A12796" s="0" t="n">
        <f aca="false">AMORLINC(10000,DATE(2024,1,15),DATE(2024,12,31),500,0,0.2,1)</f>
        <v>1918.03278688525</v>
      </c>
      <c r="B12796" s="0" t="s">
        <v>12733</v>
      </c>
    </row>
    <row r="12797" customFormat="false" ht="15" hidden="false" customHeight="false" outlineLevel="0" collapsed="false">
      <c r="A12797" s="0" t="n">
        <f aca="false">AMORDEGRC(10000,DATE(2024,1,15),DATE(2024,12,31),500,0,0.2,1)</f>
        <v>3836</v>
      </c>
      <c r="B12797" s="0" t="s">
        <v>12734</v>
      </c>
    </row>
    <row r="12798" customFormat="false" ht="15" hidden="false" customHeight="false" outlineLevel="0" collapsed="false">
      <c r="A12798" s="0" t="n">
        <f aca="false">AMORLINC(10000,DATE(2024,1,15),DATE(2024,12,31),500,1,0.2,1)</f>
        <v>2000</v>
      </c>
      <c r="B12798" s="0" t="s">
        <v>12735</v>
      </c>
    </row>
    <row r="12799" customFormat="false" ht="15" hidden="false" customHeight="false" outlineLevel="0" collapsed="false">
      <c r="A12799" s="0" t="n">
        <f aca="false">AMORDEGRC(10000,DATE(2024,1,15),DATE(2024,12,31),500,1,0.2,1)</f>
        <v>2466</v>
      </c>
      <c r="B12799" s="0" t="s">
        <v>12736</v>
      </c>
    </row>
    <row r="12800" customFormat="false" ht="15" hidden="false" customHeight="false" outlineLevel="0" collapsed="false">
      <c r="A12800" s="0" t="n">
        <f aca="false">AMORLINC(10000,DATE(2024,1,15),DATE(2024,12,31),500,2,0.2,1)</f>
        <v>2000</v>
      </c>
      <c r="B12800" s="0" t="s">
        <v>12737</v>
      </c>
    </row>
    <row r="12801" customFormat="false" ht="15" hidden="false" customHeight="false" outlineLevel="0" collapsed="false">
      <c r="A12801" s="0" t="n">
        <f aca="false">AMORDEGRC(10000,DATE(2024,1,15),DATE(2024,12,31),500,2,0.2,1)</f>
        <v>1479</v>
      </c>
      <c r="B12801" s="0" t="s">
        <v>12738</v>
      </c>
    </row>
    <row r="12802" customFormat="false" ht="15" hidden="false" customHeight="false" outlineLevel="0" collapsed="false">
      <c r="A12802" s="0" t="n">
        <f aca="false">AMORLINC(10000,DATE(2024,1,15),DATE(2024,12,31),500,3,0.2,1)</f>
        <v>2000</v>
      </c>
      <c r="B12802" s="0" t="s">
        <v>12739</v>
      </c>
    </row>
    <row r="12803" customFormat="false" ht="15" hidden="false" customHeight="false" outlineLevel="0" collapsed="false">
      <c r="A12803" s="0" t="n">
        <f aca="false">AMORDEGRC(10000,DATE(2024,1,15),DATE(2024,12,31),500,3,0.2,1)</f>
        <v>888</v>
      </c>
      <c r="B12803" s="0" t="s">
        <v>12740</v>
      </c>
    </row>
    <row r="12804" customFormat="false" ht="15" hidden="false" customHeight="false" outlineLevel="0" collapsed="false">
      <c r="A12804" s="0" t="n">
        <f aca="false">AMORLINC(10000,DATE(2024,1,15),DATE(2024,12,31),500,5,0.2,1)</f>
        <v>0</v>
      </c>
      <c r="B12804" s="0" t="s">
        <v>12741</v>
      </c>
    </row>
    <row r="12805" customFormat="false" ht="15" hidden="false" customHeight="false" outlineLevel="0" collapsed="false">
      <c r="A12805" s="0" t="n">
        <f aca="false">AMORDEGRC(10000,DATE(2024,1,15),DATE(2024,12,31),500,5,0.2,1)</f>
        <v>400</v>
      </c>
      <c r="B12805" s="0" t="s">
        <v>12742</v>
      </c>
    </row>
    <row r="12806" customFormat="false" ht="15" hidden="false" customHeight="false" outlineLevel="0" collapsed="false">
      <c r="A12806" s="0" t="n">
        <f aca="false">AMORLINC(10000,DATE(2024,1,15),DATE(2024,12,31),500,8,0.2,1)</f>
        <v>0</v>
      </c>
      <c r="B12806" s="0" t="s">
        <v>12743</v>
      </c>
    </row>
    <row r="12807" customFormat="false" ht="15" hidden="false" customHeight="false" outlineLevel="0" collapsed="false">
      <c r="A12807" s="0" t="n">
        <f aca="false">AMORDEGRC(10000,DATE(2024,1,15),DATE(2024,12,31),500,8,0.2,1)</f>
        <v>0</v>
      </c>
      <c r="B12807" s="0" t="s">
        <v>12744</v>
      </c>
    </row>
    <row r="12808" customFormat="false" ht="15" hidden="false" customHeight="false" outlineLevel="0" collapsed="false">
      <c r="A12808" s="0" t="n">
        <f aca="false">AMORLINC(10000,DATE(2024,1,15),DATE(2024,12,31),500,12,0.2,1)</f>
        <v>0</v>
      </c>
      <c r="B12808" s="0" t="s">
        <v>12745</v>
      </c>
    </row>
    <row r="12809" customFormat="false" ht="15" hidden="false" customHeight="false" outlineLevel="0" collapsed="false">
      <c r="A12809" s="0" t="n">
        <f aca="false">AMORDEGRC(10000,DATE(2024,1,15),DATE(2024,12,31),500,12,0.2,1)</f>
        <v>0</v>
      </c>
      <c r="B12809" s="0" t="s">
        <v>12746</v>
      </c>
    </row>
    <row r="12810" customFormat="false" ht="15" hidden="false" customHeight="false" outlineLevel="0" collapsed="false">
      <c r="A12810" s="0" t="n">
        <f aca="false">AMORLINC(10000,DATE(2024,1,15),DATE(2024,12,31),500,25,0.2,1)</f>
        <v>0</v>
      </c>
      <c r="B12810" s="0" t="s">
        <v>12747</v>
      </c>
    </row>
    <row r="12811" customFormat="false" ht="15" hidden="false" customHeight="false" outlineLevel="0" collapsed="false">
      <c r="A12811" s="0" t="n">
        <f aca="false">AMORDEGRC(10000,DATE(2024,1,15),DATE(2024,12,31),500,25,0.2,1)</f>
        <v>0</v>
      </c>
      <c r="B12811" s="0" t="s">
        <v>12748</v>
      </c>
    </row>
    <row r="12812" customFormat="false" ht="15" hidden="false" customHeight="false" outlineLevel="0" collapsed="false">
      <c r="A12812" s="0" t="n">
        <f aca="false">AMORLINC(10000,DATE(2024,1,15),DATE(2024,12,31),500,0,0.2,3)</f>
        <v>1923.28767123288</v>
      </c>
      <c r="B12812" s="0" t="s">
        <v>12749</v>
      </c>
    </row>
    <row r="12813" customFormat="false" ht="15" hidden="false" customHeight="false" outlineLevel="0" collapsed="false">
      <c r="A12813" s="0" t="n">
        <f aca="false">AMORDEGRC(10000,DATE(2024,1,15),DATE(2024,12,31),500,0,0.2,3)</f>
        <v>3847</v>
      </c>
      <c r="B12813" s="0" t="s">
        <v>12750</v>
      </c>
    </row>
    <row r="12814" customFormat="false" ht="15" hidden="false" customHeight="false" outlineLevel="0" collapsed="false">
      <c r="A12814" s="0" t="n">
        <f aca="false">AMORLINC(10000,DATE(2024,1,15),DATE(2024,12,31),500,1,0.2,3)</f>
        <v>2000</v>
      </c>
      <c r="B12814" s="0" t="s">
        <v>12751</v>
      </c>
    </row>
    <row r="12815" customFormat="false" ht="15" hidden="false" customHeight="false" outlineLevel="0" collapsed="false">
      <c r="A12815" s="0" t="n">
        <f aca="false">AMORDEGRC(10000,DATE(2024,1,15),DATE(2024,12,31),500,1,0.2,3)</f>
        <v>2461</v>
      </c>
      <c r="B12815" s="0" t="s">
        <v>12752</v>
      </c>
    </row>
    <row r="12816" customFormat="false" ht="15" hidden="false" customHeight="false" outlineLevel="0" collapsed="false">
      <c r="A12816" s="0" t="n">
        <f aca="false">AMORLINC(10000,DATE(2024,1,15),DATE(2024,12,31),500,2,0.2,3)</f>
        <v>2000</v>
      </c>
      <c r="B12816" s="0" t="s">
        <v>12753</v>
      </c>
    </row>
    <row r="12817" customFormat="false" ht="15" hidden="false" customHeight="false" outlineLevel="0" collapsed="false">
      <c r="A12817" s="0" t="n">
        <f aca="false">AMORDEGRC(10000,DATE(2024,1,15),DATE(2024,12,31),500,2,0.2,3)</f>
        <v>1477</v>
      </c>
      <c r="B12817" s="0" t="s">
        <v>12754</v>
      </c>
    </row>
    <row r="12818" customFormat="false" ht="15" hidden="false" customHeight="false" outlineLevel="0" collapsed="false">
      <c r="A12818" s="0" t="n">
        <f aca="false">AMORLINC(10000,DATE(2024,1,15),DATE(2024,12,31),500,3,0.2,3)</f>
        <v>2000</v>
      </c>
      <c r="B12818" s="0" t="s">
        <v>12755</v>
      </c>
    </row>
    <row r="12819" customFormat="false" ht="15" hidden="false" customHeight="false" outlineLevel="0" collapsed="false">
      <c r="A12819" s="0" t="n">
        <f aca="false">AMORDEGRC(10000,DATE(2024,1,15),DATE(2024,12,31),500,3,0.2,3)</f>
        <v>886</v>
      </c>
      <c r="B12819" s="0" t="s">
        <v>12756</v>
      </c>
    </row>
    <row r="12820" customFormat="false" ht="15" hidden="false" customHeight="false" outlineLevel="0" collapsed="false">
      <c r="A12820" s="0" t="n">
        <f aca="false">AMORLINC(10000,DATE(2024,1,15),DATE(2024,12,31),500,5,0.2,3)</f>
        <v>0</v>
      </c>
      <c r="B12820" s="0" t="s">
        <v>12757</v>
      </c>
    </row>
    <row r="12821" customFormat="false" ht="15" hidden="false" customHeight="false" outlineLevel="0" collapsed="false">
      <c r="A12821" s="0" t="n">
        <f aca="false">AMORDEGRC(10000,DATE(2024,1,15),DATE(2024,12,31),500,5,0.2,3)</f>
        <v>399</v>
      </c>
      <c r="B12821" s="0" t="s">
        <v>12758</v>
      </c>
    </row>
    <row r="12822" customFormat="false" ht="15" hidden="false" customHeight="false" outlineLevel="0" collapsed="false">
      <c r="A12822" s="0" t="n">
        <f aca="false">AMORLINC(10000,DATE(2024,1,15),DATE(2024,12,31),500,8,0.2,3)</f>
        <v>0</v>
      </c>
      <c r="B12822" s="0" t="s">
        <v>12759</v>
      </c>
    </row>
    <row r="12823" customFormat="false" ht="15" hidden="false" customHeight="false" outlineLevel="0" collapsed="false">
      <c r="A12823" s="0" t="n">
        <f aca="false">AMORDEGRC(10000,DATE(2024,1,15),DATE(2024,12,31),500,8,0.2,3)</f>
        <v>0</v>
      </c>
      <c r="B12823" s="0" t="s">
        <v>12760</v>
      </c>
    </row>
    <row r="12824" customFormat="false" ht="15" hidden="false" customHeight="false" outlineLevel="0" collapsed="false">
      <c r="A12824" s="0" t="n">
        <f aca="false">AMORLINC(10000,DATE(2024,1,15),DATE(2024,12,31),500,12,0.2,3)</f>
        <v>0</v>
      </c>
      <c r="B12824" s="0" t="s">
        <v>12761</v>
      </c>
    </row>
    <row r="12825" customFormat="false" ht="15" hidden="false" customHeight="false" outlineLevel="0" collapsed="false">
      <c r="A12825" s="0" t="n">
        <f aca="false">AMORDEGRC(10000,DATE(2024,1,15),DATE(2024,12,31),500,12,0.2,3)</f>
        <v>0</v>
      </c>
      <c r="B12825" s="0" t="s">
        <v>12762</v>
      </c>
    </row>
    <row r="12826" customFormat="false" ht="15" hidden="false" customHeight="false" outlineLevel="0" collapsed="false">
      <c r="A12826" s="0" t="n">
        <f aca="false">AMORLINC(10000,DATE(2024,1,15),DATE(2024,12,31),500,25,0.2,3)</f>
        <v>0</v>
      </c>
      <c r="B12826" s="0" t="s">
        <v>12763</v>
      </c>
    </row>
    <row r="12827" customFormat="false" ht="15" hidden="false" customHeight="false" outlineLevel="0" collapsed="false">
      <c r="A12827" s="0" t="n">
        <f aca="false">AMORDEGRC(10000,DATE(2024,1,15),DATE(2024,12,31),500,25,0.2,3)</f>
        <v>0</v>
      </c>
      <c r="B12827" s="0" t="s">
        <v>12764</v>
      </c>
    </row>
    <row r="12828" customFormat="false" ht="15" hidden="false" customHeight="false" outlineLevel="0" collapsed="false">
      <c r="A12828" s="0" t="n">
        <f aca="false">AMORLINC(10000,DATE(2024,1,15),DATE(2024,12,31),500,0,0.2,4)</f>
        <v>1916.66666666667</v>
      </c>
      <c r="B12828" s="0" t="s">
        <v>12765</v>
      </c>
    </row>
    <row r="12829" customFormat="false" ht="15" hidden="false" customHeight="false" outlineLevel="0" collapsed="false">
      <c r="A12829" s="0" t="n">
        <f aca="false">AMORDEGRC(10000,DATE(2024,1,15),DATE(2024,12,31),500,0,0.2,4)</f>
        <v>3833</v>
      </c>
      <c r="B12829" s="0" t="s">
        <v>12766</v>
      </c>
    </row>
    <row r="12830" customFormat="false" ht="15" hidden="false" customHeight="false" outlineLevel="0" collapsed="false">
      <c r="A12830" s="0" t="n">
        <f aca="false">AMORLINC(10000,DATE(2024,1,15),DATE(2024,12,31),500,1,0.2,4)</f>
        <v>2000</v>
      </c>
      <c r="B12830" s="0" t="s">
        <v>12767</v>
      </c>
    </row>
    <row r="12831" customFormat="false" ht="15" hidden="false" customHeight="false" outlineLevel="0" collapsed="false">
      <c r="A12831" s="0" t="n">
        <f aca="false">AMORDEGRC(10000,DATE(2024,1,15),DATE(2024,12,31),500,1,0.2,4)</f>
        <v>2467</v>
      </c>
      <c r="B12831" s="0" t="s">
        <v>12768</v>
      </c>
    </row>
    <row r="12832" customFormat="false" ht="15" hidden="false" customHeight="false" outlineLevel="0" collapsed="false">
      <c r="A12832" s="0" t="n">
        <f aca="false">AMORLINC(10000,DATE(2024,1,15),DATE(2024,12,31),500,2,0.2,4)</f>
        <v>2000</v>
      </c>
      <c r="B12832" s="0" t="s">
        <v>12769</v>
      </c>
    </row>
    <row r="12833" customFormat="false" ht="15" hidden="false" customHeight="false" outlineLevel="0" collapsed="false">
      <c r="A12833" s="0" t="n">
        <f aca="false">AMORDEGRC(10000,DATE(2024,1,15),DATE(2024,12,31),500,2,0.2,4)</f>
        <v>1480</v>
      </c>
      <c r="B12833" s="0" t="s">
        <v>12770</v>
      </c>
    </row>
    <row r="12834" customFormat="false" ht="15" hidden="false" customHeight="false" outlineLevel="0" collapsed="false">
      <c r="A12834" s="0" t="n">
        <f aca="false">AMORLINC(10000,DATE(2024,1,15),DATE(2024,12,31),500,3,0.2,4)</f>
        <v>2000</v>
      </c>
      <c r="B12834" s="0" t="s">
        <v>12771</v>
      </c>
    </row>
    <row r="12835" customFormat="false" ht="15" hidden="false" customHeight="false" outlineLevel="0" collapsed="false">
      <c r="A12835" s="0" t="n">
        <f aca="false">AMORDEGRC(10000,DATE(2024,1,15),DATE(2024,12,31),500,3,0.2,4)</f>
        <v>888</v>
      </c>
      <c r="B12835" s="0" t="s">
        <v>12772</v>
      </c>
    </row>
    <row r="12836" customFormat="false" ht="15" hidden="false" customHeight="false" outlineLevel="0" collapsed="false">
      <c r="A12836" s="0" t="n">
        <f aca="false">AMORLINC(10000,DATE(2024,1,15),DATE(2024,12,31),500,5,0.2,4)</f>
        <v>0</v>
      </c>
      <c r="B12836" s="0" t="s">
        <v>12773</v>
      </c>
    </row>
    <row r="12837" customFormat="false" ht="15" hidden="false" customHeight="false" outlineLevel="0" collapsed="false">
      <c r="A12837" s="0" t="n">
        <f aca="false">AMORDEGRC(10000,DATE(2024,1,15),DATE(2024,12,31),500,5,0.2,4)</f>
        <v>400</v>
      </c>
      <c r="B12837" s="0" t="s">
        <v>12774</v>
      </c>
    </row>
    <row r="12838" customFormat="false" ht="15" hidden="false" customHeight="false" outlineLevel="0" collapsed="false">
      <c r="A12838" s="0" t="n">
        <f aca="false">AMORLINC(10000,DATE(2024,1,15),DATE(2024,12,31),500,8,0.2,4)</f>
        <v>0</v>
      </c>
      <c r="B12838" s="0" t="s">
        <v>12775</v>
      </c>
    </row>
    <row r="12839" customFormat="false" ht="15" hidden="false" customHeight="false" outlineLevel="0" collapsed="false">
      <c r="A12839" s="0" t="n">
        <f aca="false">AMORDEGRC(10000,DATE(2024,1,15),DATE(2024,12,31),500,8,0.2,4)</f>
        <v>0</v>
      </c>
      <c r="B12839" s="0" t="s">
        <v>12776</v>
      </c>
    </row>
    <row r="12840" customFormat="false" ht="15" hidden="false" customHeight="false" outlineLevel="0" collapsed="false">
      <c r="A12840" s="0" t="n">
        <f aca="false">AMORLINC(10000,DATE(2024,1,15),DATE(2024,12,31),500,12,0.2,4)</f>
        <v>0</v>
      </c>
      <c r="B12840" s="0" t="s">
        <v>12777</v>
      </c>
    </row>
    <row r="12841" customFormat="false" ht="15" hidden="false" customHeight="false" outlineLevel="0" collapsed="false">
      <c r="A12841" s="0" t="n">
        <f aca="false">AMORDEGRC(10000,DATE(2024,1,15),DATE(2024,12,31),500,12,0.2,4)</f>
        <v>0</v>
      </c>
      <c r="B12841" s="0" t="s">
        <v>12778</v>
      </c>
    </row>
    <row r="12842" customFormat="false" ht="15" hidden="false" customHeight="false" outlineLevel="0" collapsed="false">
      <c r="A12842" s="0" t="n">
        <f aca="false">AMORLINC(10000,DATE(2024,1,15),DATE(2024,12,31),500,25,0.2,4)</f>
        <v>0</v>
      </c>
      <c r="B12842" s="0" t="s">
        <v>12779</v>
      </c>
    </row>
    <row r="12843" customFormat="false" ht="15" hidden="false" customHeight="false" outlineLevel="0" collapsed="false">
      <c r="A12843" s="0" t="n">
        <f aca="false">AMORDEGRC(10000,DATE(2024,1,15),DATE(2024,12,31),500,25,0.2,4)</f>
        <v>0</v>
      </c>
      <c r="B12843" s="0" t="s">
        <v>12780</v>
      </c>
    </row>
    <row r="12844" customFormat="false" ht="15" hidden="false" customHeight="false" outlineLevel="0" collapsed="false">
      <c r="A12844" s="0" t="n">
        <f aca="false">AMORLINC(10000,DATE(2024,1,15),DATE(2024,12,31),500,0,0.25,0)</f>
        <v>2402.77777777778</v>
      </c>
      <c r="B12844" s="0" t="s">
        <v>12781</v>
      </c>
    </row>
    <row r="12845" customFormat="false" ht="15" hidden="false" customHeight="false" outlineLevel="0" collapsed="false">
      <c r="A12845" s="0" t="n">
        <f aca="false">AMORDEGRC(10000,DATE(2024,1,15),DATE(2024,12,31),500,0,0.25,0)</f>
        <v>3604</v>
      </c>
      <c r="B12845" s="0" t="s">
        <v>12782</v>
      </c>
    </row>
    <row r="12846" customFormat="false" ht="15" hidden="false" customHeight="false" outlineLevel="0" collapsed="false">
      <c r="A12846" s="0" t="n">
        <f aca="false">AMORLINC(10000,DATE(2024,1,15),DATE(2024,12,31),500,1,0.25,0)</f>
        <v>2500</v>
      </c>
      <c r="B12846" s="0" t="s">
        <v>12783</v>
      </c>
    </row>
    <row r="12847" customFormat="false" ht="15" hidden="false" customHeight="false" outlineLevel="0" collapsed="false">
      <c r="A12847" s="0" t="n">
        <f aca="false">AMORDEGRC(10000,DATE(2024,1,15),DATE(2024,12,31),500,1,0.25,0)</f>
        <v>2399</v>
      </c>
      <c r="B12847" s="0" t="s">
        <v>12784</v>
      </c>
    </row>
    <row r="12848" customFormat="false" ht="15" hidden="false" customHeight="false" outlineLevel="0" collapsed="false">
      <c r="A12848" s="0" t="n">
        <f aca="false">AMORLINC(10000,DATE(2024,1,15),DATE(2024,12,31),500,2,0.25,0)</f>
        <v>2500</v>
      </c>
      <c r="B12848" s="0" t="s">
        <v>12785</v>
      </c>
    </row>
    <row r="12849" customFormat="false" ht="15" hidden="false" customHeight="false" outlineLevel="0" collapsed="false">
      <c r="A12849" s="0" t="n">
        <f aca="false">AMORDEGRC(10000,DATE(2024,1,15),DATE(2024,12,31),500,2,0.25,0)</f>
        <v>1499</v>
      </c>
      <c r="B12849" s="0" t="s">
        <v>12786</v>
      </c>
    </row>
    <row r="12850" customFormat="false" ht="15" hidden="false" customHeight="false" outlineLevel="0" collapsed="false">
      <c r="A12850" s="0" t="n">
        <f aca="false">AMORLINC(10000,DATE(2024,1,15),DATE(2024,12,31),500,3,0.25,0)</f>
        <v>2097.22222222222</v>
      </c>
      <c r="B12850" s="0" t="s">
        <v>12787</v>
      </c>
    </row>
    <row r="12851" customFormat="false" ht="15" hidden="false" customHeight="false" outlineLevel="0" collapsed="false">
      <c r="A12851" s="0" t="n">
        <f aca="false">AMORDEGRC(10000,DATE(2024,1,15),DATE(2024,12,31),500,3,0.25,0)</f>
        <v>937</v>
      </c>
      <c r="B12851" s="0" t="s">
        <v>12788</v>
      </c>
    </row>
    <row r="12852" customFormat="false" ht="15" hidden="false" customHeight="false" outlineLevel="0" collapsed="false">
      <c r="A12852" s="0" t="n">
        <f aca="false">AMORLINC(10000,DATE(2024,1,15),DATE(2024,12,31),500,5,0.25,0)</f>
        <v>0</v>
      </c>
      <c r="B12852" s="0" t="s">
        <v>12789</v>
      </c>
    </row>
    <row r="12853" customFormat="false" ht="15" hidden="false" customHeight="false" outlineLevel="0" collapsed="false">
      <c r="A12853" s="0" t="n">
        <f aca="false">AMORDEGRC(10000,DATE(2024,1,15),DATE(2024,12,31),500,5,0.25,0)</f>
        <v>366</v>
      </c>
      <c r="B12853" s="0" t="s">
        <v>12790</v>
      </c>
    </row>
    <row r="12854" customFormat="false" ht="15" hidden="false" customHeight="false" outlineLevel="0" collapsed="false">
      <c r="A12854" s="0" t="n">
        <f aca="false">AMORLINC(10000,DATE(2024,1,15),DATE(2024,12,31),500,8,0.25,0)</f>
        <v>0</v>
      </c>
      <c r="B12854" s="0" t="s">
        <v>12791</v>
      </c>
    </row>
    <row r="12855" customFormat="false" ht="15" hidden="false" customHeight="false" outlineLevel="0" collapsed="false">
      <c r="A12855" s="0" t="n">
        <f aca="false">AMORDEGRC(10000,DATE(2024,1,15),DATE(2024,12,31),500,8,0.25,0)</f>
        <v>0</v>
      </c>
      <c r="B12855" s="0" t="s">
        <v>12792</v>
      </c>
    </row>
    <row r="12856" customFormat="false" ht="15" hidden="false" customHeight="false" outlineLevel="0" collapsed="false">
      <c r="A12856" s="0" t="n">
        <f aca="false">AMORLINC(10000,DATE(2024,1,15),DATE(2024,12,31),500,12,0.25,0)</f>
        <v>0</v>
      </c>
      <c r="B12856" s="0" t="s">
        <v>12793</v>
      </c>
    </row>
    <row r="12857" customFormat="false" ht="15" hidden="false" customHeight="false" outlineLevel="0" collapsed="false">
      <c r="A12857" s="0" t="n">
        <f aca="false">AMORDEGRC(10000,DATE(2024,1,15),DATE(2024,12,31),500,12,0.25,0)</f>
        <v>0</v>
      </c>
      <c r="B12857" s="0" t="s">
        <v>12794</v>
      </c>
    </row>
    <row r="12858" customFormat="false" ht="15" hidden="false" customHeight="false" outlineLevel="0" collapsed="false">
      <c r="A12858" s="0" t="n">
        <f aca="false">AMORLINC(10000,DATE(2024,1,15),DATE(2024,12,31),500,25,0.25,0)</f>
        <v>0</v>
      </c>
      <c r="B12858" s="0" t="s">
        <v>12795</v>
      </c>
    </row>
    <row r="12859" customFormat="false" ht="15" hidden="false" customHeight="false" outlineLevel="0" collapsed="false">
      <c r="A12859" s="0" t="n">
        <f aca="false">AMORDEGRC(10000,DATE(2024,1,15),DATE(2024,12,31),500,25,0.25,0)</f>
        <v>0</v>
      </c>
      <c r="B12859" s="0" t="s">
        <v>12796</v>
      </c>
    </row>
    <row r="12860" customFormat="false" ht="15" hidden="false" customHeight="false" outlineLevel="0" collapsed="false">
      <c r="A12860" s="0" t="n">
        <f aca="false">AMORLINC(10000,DATE(2024,1,15),DATE(2024,12,31),500,0,0.25,1)</f>
        <v>2397.54098360656</v>
      </c>
      <c r="B12860" s="0" t="s">
        <v>12797</v>
      </c>
    </row>
    <row r="12861" customFormat="false" ht="15" hidden="false" customHeight="false" outlineLevel="0" collapsed="false">
      <c r="A12861" s="0" t="n">
        <f aca="false">AMORDEGRC(10000,DATE(2024,1,15),DATE(2024,12,31),500,0,0.25,1)</f>
        <v>3596</v>
      </c>
      <c r="B12861" s="0" t="s">
        <v>12798</v>
      </c>
    </row>
    <row r="12862" customFormat="false" ht="15" hidden="false" customHeight="false" outlineLevel="0" collapsed="false">
      <c r="A12862" s="0" t="n">
        <f aca="false">AMORLINC(10000,DATE(2024,1,15),DATE(2024,12,31),500,1,0.25,1)</f>
        <v>2500</v>
      </c>
      <c r="B12862" s="0" t="s">
        <v>12799</v>
      </c>
    </row>
    <row r="12863" customFormat="false" ht="15" hidden="false" customHeight="false" outlineLevel="0" collapsed="false">
      <c r="A12863" s="0" t="n">
        <f aca="false">AMORDEGRC(10000,DATE(2024,1,15),DATE(2024,12,31),500,1,0.25,1)</f>
        <v>2402</v>
      </c>
      <c r="B12863" s="0" t="s">
        <v>12800</v>
      </c>
    </row>
    <row r="12864" customFormat="false" ht="15" hidden="false" customHeight="false" outlineLevel="0" collapsed="false">
      <c r="A12864" s="0" t="n">
        <f aca="false">AMORLINC(10000,DATE(2024,1,15),DATE(2024,12,31),500,2,0.25,1)</f>
        <v>2500</v>
      </c>
      <c r="B12864" s="0" t="s">
        <v>12801</v>
      </c>
    </row>
    <row r="12865" customFormat="false" ht="15" hidden="false" customHeight="false" outlineLevel="0" collapsed="false">
      <c r="A12865" s="0" t="n">
        <f aca="false">AMORDEGRC(10000,DATE(2024,1,15),DATE(2024,12,31),500,2,0.25,1)</f>
        <v>1501</v>
      </c>
      <c r="B12865" s="0" t="s">
        <v>12802</v>
      </c>
    </row>
    <row r="12866" customFormat="false" ht="15" hidden="false" customHeight="false" outlineLevel="0" collapsed="false">
      <c r="A12866" s="0" t="n">
        <f aca="false">AMORLINC(10000,DATE(2024,1,15),DATE(2024,12,31),500,3,0.25,1)</f>
        <v>2102.45901639344</v>
      </c>
      <c r="B12866" s="0" t="s">
        <v>12803</v>
      </c>
    </row>
    <row r="12867" customFormat="false" ht="15" hidden="false" customHeight="false" outlineLevel="0" collapsed="false">
      <c r="A12867" s="0" t="n">
        <f aca="false">AMORDEGRC(10000,DATE(2024,1,15),DATE(2024,12,31),500,3,0.25,1)</f>
        <v>938</v>
      </c>
      <c r="B12867" s="0" t="s">
        <v>12804</v>
      </c>
    </row>
    <row r="12868" customFormat="false" ht="15" hidden="false" customHeight="false" outlineLevel="0" collapsed="false">
      <c r="A12868" s="0" t="n">
        <f aca="false">AMORLINC(10000,DATE(2024,1,15),DATE(2024,12,31),500,5,0.25,1)</f>
        <v>0</v>
      </c>
      <c r="B12868" s="0" t="s">
        <v>12805</v>
      </c>
    </row>
    <row r="12869" customFormat="false" ht="15" hidden="false" customHeight="false" outlineLevel="0" collapsed="false">
      <c r="A12869" s="0" t="n">
        <f aca="false">AMORDEGRC(10000,DATE(2024,1,15),DATE(2024,12,31),500,5,0.25,1)</f>
        <v>366</v>
      </c>
      <c r="B12869" s="0" t="s">
        <v>12806</v>
      </c>
    </row>
    <row r="12870" customFormat="false" ht="15" hidden="false" customHeight="false" outlineLevel="0" collapsed="false">
      <c r="A12870" s="0" t="n">
        <f aca="false">AMORLINC(10000,DATE(2024,1,15),DATE(2024,12,31),500,8,0.25,1)</f>
        <v>0</v>
      </c>
      <c r="B12870" s="0" t="s">
        <v>12807</v>
      </c>
    </row>
    <row r="12871" customFormat="false" ht="15" hidden="false" customHeight="false" outlineLevel="0" collapsed="false">
      <c r="A12871" s="0" t="n">
        <f aca="false">AMORDEGRC(10000,DATE(2024,1,15),DATE(2024,12,31),500,8,0.25,1)</f>
        <v>0</v>
      </c>
      <c r="B12871" s="0" t="s">
        <v>12808</v>
      </c>
    </row>
    <row r="12872" customFormat="false" ht="15" hidden="false" customHeight="false" outlineLevel="0" collapsed="false">
      <c r="A12872" s="0" t="n">
        <f aca="false">AMORLINC(10000,DATE(2024,1,15),DATE(2024,12,31),500,12,0.25,1)</f>
        <v>0</v>
      </c>
      <c r="B12872" s="0" t="s">
        <v>12809</v>
      </c>
    </row>
    <row r="12873" customFormat="false" ht="15" hidden="false" customHeight="false" outlineLevel="0" collapsed="false">
      <c r="A12873" s="0" t="n">
        <f aca="false">AMORDEGRC(10000,DATE(2024,1,15),DATE(2024,12,31),500,12,0.25,1)</f>
        <v>0</v>
      </c>
      <c r="B12873" s="0" t="s">
        <v>12810</v>
      </c>
    </row>
    <row r="12874" customFormat="false" ht="15" hidden="false" customHeight="false" outlineLevel="0" collapsed="false">
      <c r="A12874" s="0" t="n">
        <f aca="false">AMORLINC(10000,DATE(2024,1,15),DATE(2024,12,31),500,25,0.25,1)</f>
        <v>0</v>
      </c>
      <c r="B12874" s="0" t="s">
        <v>12811</v>
      </c>
    </row>
    <row r="12875" customFormat="false" ht="15" hidden="false" customHeight="false" outlineLevel="0" collapsed="false">
      <c r="A12875" s="0" t="n">
        <f aca="false">AMORDEGRC(10000,DATE(2024,1,15),DATE(2024,12,31),500,25,0.25,1)</f>
        <v>0</v>
      </c>
      <c r="B12875" s="0" t="s">
        <v>12812</v>
      </c>
    </row>
    <row r="12876" customFormat="false" ht="15" hidden="false" customHeight="false" outlineLevel="0" collapsed="false">
      <c r="A12876" s="0" t="n">
        <f aca="false">AMORLINC(10000,DATE(2024,1,15),DATE(2024,12,31),500,0,0.25,3)</f>
        <v>2404.1095890411</v>
      </c>
      <c r="B12876" s="0" t="s">
        <v>12813</v>
      </c>
    </row>
    <row r="12877" customFormat="false" ht="15" hidden="false" customHeight="false" outlineLevel="0" collapsed="false">
      <c r="A12877" s="0" t="n">
        <f aca="false">AMORDEGRC(10000,DATE(2024,1,15),DATE(2024,12,31),500,0,0.25,3)</f>
        <v>3606</v>
      </c>
      <c r="B12877" s="0" t="s">
        <v>12814</v>
      </c>
    </row>
    <row r="12878" customFormat="false" ht="15" hidden="false" customHeight="false" outlineLevel="0" collapsed="false">
      <c r="A12878" s="0" t="n">
        <f aca="false">AMORLINC(10000,DATE(2024,1,15),DATE(2024,12,31),500,1,0.25,3)</f>
        <v>2500</v>
      </c>
      <c r="B12878" s="0" t="s">
        <v>12815</v>
      </c>
    </row>
    <row r="12879" customFormat="false" ht="15" hidden="false" customHeight="false" outlineLevel="0" collapsed="false">
      <c r="A12879" s="0" t="n">
        <f aca="false">AMORDEGRC(10000,DATE(2024,1,15),DATE(2024,12,31),500,1,0.25,3)</f>
        <v>2398</v>
      </c>
      <c r="B12879" s="0" t="s">
        <v>12816</v>
      </c>
    </row>
    <row r="12880" customFormat="false" ht="15" hidden="false" customHeight="false" outlineLevel="0" collapsed="false">
      <c r="A12880" s="0" t="n">
        <f aca="false">AMORLINC(10000,DATE(2024,1,15),DATE(2024,12,31),500,2,0.25,3)</f>
        <v>2500</v>
      </c>
      <c r="B12880" s="0" t="s">
        <v>12817</v>
      </c>
    </row>
    <row r="12881" customFormat="false" ht="15" hidden="false" customHeight="false" outlineLevel="0" collapsed="false">
      <c r="A12881" s="0" t="n">
        <f aca="false">AMORDEGRC(10000,DATE(2024,1,15),DATE(2024,12,31),500,2,0.25,3)</f>
        <v>1499</v>
      </c>
      <c r="B12881" s="0" t="s">
        <v>12818</v>
      </c>
    </row>
    <row r="12882" customFormat="false" ht="15" hidden="false" customHeight="false" outlineLevel="0" collapsed="false">
      <c r="A12882" s="0" t="n">
        <f aca="false">AMORLINC(10000,DATE(2024,1,15),DATE(2024,12,31),500,3,0.25,3)</f>
        <v>2095.8904109589</v>
      </c>
      <c r="B12882" s="0" t="s">
        <v>12819</v>
      </c>
    </row>
    <row r="12883" customFormat="false" ht="15" hidden="false" customHeight="false" outlineLevel="0" collapsed="false">
      <c r="A12883" s="0" t="n">
        <f aca="false">AMORDEGRC(10000,DATE(2024,1,15),DATE(2024,12,31),500,3,0.25,3)</f>
        <v>936</v>
      </c>
      <c r="B12883" s="0" t="s">
        <v>12820</v>
      </c>
    </row>
    <row r="12884" customFormat="false" ht="15" hidden="false" customHeight="false" outlineLevel="0" collapsed="false">
      <c r="A12884" s="0" t="n">
        <f aca="false">AMORLINC(10000,DATE(2024,1,15),DATE(2024,12,31),500,5,0.25,3)</f>
        <v>0</v>
      </c>
      <c r="B12884" s="0" t="s">
        <v>12821</v>
      </c>
    </row>
    <row r="12885" customFormat="false" ht="15" hidden="false" customHeight="false" outlineLevel="0" collapsed="false">
      <c r="A12885" s="0" t="n">
        <f aca="false">AMORDEGRC(10000,DATE(2024,1,15),DATE(2024,12,31),500,5,0.25,3)</f>
        <v>366</v>
      </c>
      <c r="B12885" s="0" t="s">
        <v>12822</v>
      </c>
    </row>
    <row r="12886" customFormat="false" ht="15" hidden="false" customHeight="false" outlineLevel="0" collapsed="false">
      <c r="A12886" s="0" t="n">
        <f aca="false">AMORLINC(10000,DATE(2024,1,15),DATE(2024,12,31),500,8,0.25,3)</f>
        <v>0</v>
      </c>
      <c r="B12886" s="0" t="s">
        <v>12823</v>
      </c>
    </row>
    <row r="12887" customFormat="false" ht="15" hidden="false" customHeight="false" outlineLevel="0" collapsed="false">
      <c r="A12887" s="0" t="n">
        <f aca="false">AMORDEGRC(10000,DATE(2024,1,15),DATE(2024,12,31),500,8,0.25,3)</f>
        <v>0</v>
      </c>
      <c r="B12887" s="0" t="s">
        <v>12824</v>
      </c>
    </row>
    <row r="12888" customFormat="false" ht="15" hidden="false" customHeight="false" outlineLevel="0" collapsed="false">
      <c r="A12888" s="0" t="n">
        <f aca="false">AMORLINC(10000,DATE(2024,1,15),DATE(2024,12,31),500,12,0.25,3)</f>
        <v>0</v>
      </c>
      <c r="B12888" s="0" t="s">
        <v>12825</v>
      </c>
    </row>
    <row r="12889" customFormat="false" ht="15" hidden="false" customHeight="false" outlineLevel="0" collapsed="false">
      <c r="A12889" s="0" t="n">
        <f aca="false">AMORDEGRC(10000,DATE(2024,1,15),DATE(2024,12,31),500,12,0.25,3)</f>
        <v>0</v>
      </c>
      <c r="B12889" s="0" t="s">
        <v>12826</v>
      </c>
    </row>
    <row r="12890" customFormat="false" ht="15" hidden="false" customHeight="false" outlineLevel="0" collapsed="false">
      <c r="A12890" s="0" t="n">
        <f aca="false">AMORLINC(10000,DATE(2024,1,15),DATE(2024,12,31),500,25,0.25,3)</f>
        <v>0</v>
      </c>
      <c r="B12890" s="0" t="s">
        <v>12827</v>
      </c>
    </row>
    <row r="12891" customFormat="false" ht="15" hidden="false" customHeight="false" outlineLevel="0" collapsed="false">
      <c r="A12891" s="0" t="n">
        <f aca="false">AMORDEGRC(10000,DATE(2024,1,15),DATE(2024,12,31),500,25,0.25,3)</f>
        <v>0</v>
      </c>
      <c r="B12891" s="0" t="s">
        <v>12828</v>
      </c>
    </row>
    <row r="12892" customFormat="false" ht="15" hidden="false" customHeight="false" outlineLevel="0" collapsed="false">
      <c r="A12892" s="0" t="n">
        <f aca="false">AMORLINC(10000,DATE(2024,1,15),DATE(2024,12,31),500,0,0.25,4)</f>
        <v>2395.83333333333</v>
      </c>
      <c r="B12892" s="0" t="s">
        <v>12829</v>
      </c>
    </row>
    <row r="12893" customFormat="false" ht="15" hidden="false" customHeight="false" outlineLevel="0" collapsed="false">
      <c r="A12893" s="0" t="n">
        <f aca="false">AMORDEGRC(10000,DATE(2024,1,15),DATE(2024,12,31),500,0,0.25,4)</f>
        <v>3594</v>
      </c>
      <c r="B12893" s="0" t="s">
        <v>12830</v>
      </c>
    </row>
    <row r="12894" customFormat="false" ht="15" hidden="false" customHeight="false" outlineLevel="0" collapsed="false">
      <c r="A12894" s="0" t="n">
        <f aca="false">AMORLINC(10000,DATE(2024,1,15),DATE(2024,12,31),500,1,0.25,4)</f>
        <v>2500</v>
      </c>
      <c r="B12894" s="0" t="s">
        <v>12831</v>
      </c>
    </row>
    <row r="12895" customFormat="false" ht="15" hidden="false" customHeight="false" outlineLevel="0" collapsed="false">
      <c r="A12895" s="0" t="n">
        <f aca="false">AMORDEGRC(10000,DATE(2024,1,15),DATE(2024,12,31),500,1,0.25,4)</f>
        <v>2402</v>
      </c>
      <c r="B12895" s="0" t="s">
        <v>12832</v>
      </c>
    </row>
    <row r="12896" customFormat="false" ht="15" hidden="false" customHeight="false" outlineLevel="0" collapsed="false">
      <c r="A12896" s="0" t="n">
        <f aca="false">AMORLINC(10000,DATE(2024,1,15),DATE(2024,12,31),500,2,0.25,4)</f>
        <v>2500</v>
      </c>
      <c r="B12896" s="0" t="s">
        <v>12833</v>
      </c>
    </row>
    <row r="12897" customFormat="false" ht="15" hidden="false" customHeight="false" outlineLevel="0" collapsed="false">
      <c r="A12897" s="0" t="n">
        <f aca="false">AMORDEGRC(10000,DATE(2024,1,15),DATE(2024,12,31),500,2,0.25,4)</f>
        <v>1502</v>
      </c>
      <c r="B12897" s="0" t="s">
        <v>12834</v>
      </c>
    </row>
    <row r="12898" customFormat="false" ht="15" hidden="false" customHeight="false" outlineLevel="0" collapsed="false">
      <c r="A12898" s="0" t="n">
        <f aca="false">AMORLINC(10000,DATE(2024,1,15),DATE(2024,12,31),500,3,0.25,4)</f>
        <v>2104.16666666667</v>
      </c>
      <c r="B12898" s="0" t="s">
        <v>12835</v>
      </c>
    </row>
    <row r="12899" customFormat="false" ht="15" hidden="false" customHeight="false" outlineLevel="0" collapsed="false">
      <c r="A12899" s="0" t="n">
        <f aca="false">AMORDEGRC(10000,DATE(2024,1,15),DATE(2024,12,31),500,3,0.25,4)</f>
        <v>938</v>
      </c>
      <c r="B12899" s="0" t="s">
        <v>12836</v>
      </c>
    </row>
    <row r="12900" customFormat="false" ht="15" hidden="false" customHeight="false" outlineLevel="0" collapsed="false">
      <c r="A12900" s="0" t="n">
        <f aca="false">AMORLINC(10000,DATE(2024,1,15),DATE(2024,12,31),500,5,0.25,4)</f>
        <v>0</v>
      </c>
      <c r="B12900" s="0" t="s">
        <v>12837</v>
      </c>
    </row>
    <row r="12901" customFormat="false" ht="15" hidden="false" customHeight="false" outlineLevel="0" collapsed="false">
      <c r="A12901" s="0" t="n">
        <f aca="false">AMORDEGRC(10000,DATE(2024,1,15),DATE(2024,12,31),500,5,0.25,4)</f>
        <v>366</v>
      </c>
      <c r="B12901" s="0" t="s">
        <v>12838</v>
      </c>
    </row>
    <row r="12902" customFormat="false" ht="15" hidden="false" customHeight="false" outlineLevel="0" collapsed="false">
      <c r="A12902" s="0" t="n">
        <f aca="false">AMORLINC(10000,DATE(2024,1,15),DATE(2024,12,31),500,8,0.25,4)</f>
        <v>0</v>
      </c>
      <c r="B12902" s="0" t="s">
        <v>12839</v>
      </c>
    </row>
    <row r="12903" customFormat="false" ht="15" hidden="false" customHeight="false" outlineLevel="0" collapsed="false">
      <c r="A12903" s="0" t="n">
        <f aca="false">AMORDEGRC(10000,DATE(2024,1,15),DATE(2024,12,31),500,8,0.25,4)</f>
        <v>0</v>
      </c>
      <c r="B12903" s="0" t="s">
        <v>12840</v>
      </c>
    </row>
    <row r="12904" customFormat="false" ht="15" hidden="false" customHeight="false" outlineLevel="0" collapsed="false">
      <c r="A12904" s="0" t="n">
        <f aca="false">AMORLINC(10000,DATE(2024,1,15),DATE(2024,12,31),500,12,0.25,4)</f>
        <v>0</v>
      </c>
      <c r="B12904" s="0" t="s">
        <v>12841</v>
      </c>
    </row>
    <row r="12905" customFormat="false" ht="15" hidden="false" customHeight="false" outlineLevel="0" collapsed="false">
      <c r="A12905" s="0" t="n">
        <f aca="false">AMORDEGRC(10000,DATE(2024,1,15),DATE(2024,12,31),500,12,0.25,4)</f>
        <v>0</v>
      </c>
      <c r="B12905" s="0" t="s">
        <v>12842</v>
      </c>
    </row>
    <row r="12906" customFormat="false" ht="15" hidden="false" customHeight="false" outlineLevel="0" collapsed="false">
      <c r="A12906" s="0" t="n">
        <f aca="false">AMORLINC(10000,DATE(2024,1,15),DATE(2024,12,31),500,25,0.25,4)</f>
        <v>0</v>
      </c>
      <c r="B12906" s="0" t="s">
        <v>12843</v>
      </c>
    </row>
    <row r="12907" customFormat="false" ht="15" hidden="false" customHeight="false" outlineLevel="0" collapsed="false">
      <c r="A12907" s="0" t="n">
        <f aca="false">AMORDEGRC(10000,DATE(2024,1,15),DATE(2024,12,31),500,25,0.25,4)</f>
        <v>0</v>
      </c>
      <c r="B12907" s="0" t="s">
        <v>12844</v>
      </c>
    </row>
    <row r="12908" customFormat="false" ht="15" hidden="false" customHeight="false" outlineLevel="0" collapsed="false">
      <c r="A12908" s="0" t="n">
        <f aca="false">AMORLINC(10000,DATE(2024,1,15),DATE(2024,12,31),500,0,0.3,0)</f>
        <v>2883.33333333333</v>
      </c>
      <c r="B12908" s="0" t="s">
        <v>12845</v>
      </c>
    </row>
    <row r="12909" customFormat="false" ht="15" hidden="false" customHeight="false" outlineLevel="0" collapsed="false">
      <c r="A12909" s="0" t="n">
        <f aca="false">AMORDEGRC(10000,DATE(2024,1,15),DATE(2024,12,31),500,0,0.3,0)</f>
        <v>4325</v>
      </c>
      <c r="B12909" s="0" t="s">
        <v>12846</v>
      </c>
    </row>
    <row r="12910" customFormat="false" ht="15" hidden="false" customHeight="false" outlineLevel="0" collapsed="false">
      <c r="A12910" s="0" t="n">
        <f aca="false">AMORLINC(10000,DATE(2024,1,15),DATE(2024,12,31),500,1,0.3,0)</f>
        <v>3000</v>
      </c>
      <c r="B12910" s="0" t="s">
        <v>12847</v>
      </c>
    </row>
    <row r="12911" customFormat="false" ht="15" hidden="false" customHeight="false" outlineLevel="0" collapsed="false">
      <c r="A12911" s="0" t="n">
        <f aca="false">AMORDEGRC(10000,DATE(2024,1,15),DATE(2024,12,31),500,1,0.3,0)</f>
        <v>2554</v>
      </c>
      <c r="B12911" s="0" t="s">
        <v>12848</v>
      </c>
    </row>
    <row r="12912" customFormat="false" ht="15" hidden="false" customHeight="false" outlineLevel="0" collapsed="false">
      <c r="A12912" s="0" t="n">
        <f aca="false">AMORLINC(10000,DATE(2024,1,15),DATE(2024,12,31),500,2,0.3,0)</f>
        <v>3000</v>
      </c>
      <c r="B12912" s="0" t="s">
        <v>12849</v>
      </c>
    </row>
    <row r="12913" customFormat="false" ht="15" hidden="false" customHeight="false" outlineLevel="0" collapsed="false">
      <c r="A12913" s="0" t="n">
        <f aca="false">AMORDEGRC(10000,DATE(2024,1,15),DATE(2024,12,31),500,2,0.3,0)</f>
        <v>1404</v>
      </c>
      <c r="B12913" s="0" t="s">
        <v>12850</v>
      </c>
    </row>
    <row r="12914" customFormat="false" ht="15" hidden="false" customHeight="false" outlineLevel="0" collapsed="false">
      <c r="A12914" s="0" t="n">
        <f aca="false">AMORLINC(10000,DATE(2024,1,15),DATE(2024,12,31),500,3,0.3,0)</f>
        <v>616.666666666667</v>
      </c>
      <c r="B12914" s="0" t="s">
        <v>12851</v>
      </c>
    </row>
    <row r="12915" customFormat="false" ht="15" hidden="false" customHeight="false" outlineLevel="0" collapsed="false">
      <c r="A12915" s="0" t="n">
        <f aca="false">AMORDEGRC(10000,DATE(2024,1,15),DATE(2024,12,31),500,3,0.3,0)</f>
        <v>773</v>
      </c>
      <c r="B12915" s="0" t="s">
        <v>12852</v>
      </c>
    </row>
    <row r="12916" customFormat="false" ht="15" hidden="false" customHeight="false" outlineLevel="0" collapsed="false">
      <c r="A12916" s="0" t="n">
        <f aca="false">AMORLINC(10000,DATE(2024,1,15),DATE(2024,12,31),500,5,0.3,0)</f>
        <v>0</v>
      </c>
      <c r="B12916" s="0" t="s">
        <v>12853</v>
      </c>
    </row>
    <row r="12917" customFormat="false" ht="15" hidden="false" customHeight="false" outlineLevel="0" collapsed="false">
      <c r="A12917" s="0" t="n">
        <f aca="false">AMORDEGRC(10000,DATE(2024,1,15),DATE(2024,12,31),500,5,0.3,0)</f>
        <v>260</v>
      </c>
      <c r="B12917" s="0" t="s">
        <v>12854</v>
      </c>
    </row>
    <row r="12918" customFormat="false" ht="15" hidden="false" customHeight="false" outlineLevel="0" collapsed="false">
      <c r="A12918" s="0" t="n">
        <f aca="false">AMORLINC(10000,DATE(2024,1,15),DATE(2024,12,31),500,8,0.3,0)</f>
        <v>0</v>
      </c>
      <c r="B12918" s="0" t="s">
        <v>12855</v>
      </c>
    </row>
    <row r="12919" customFormat="false" ht="15" hidden="false" customHeight="false" outlineLevel="0" collapsed="false">
      <c r="A12919" s="0" t="n">
        <f aca="false">AMORDEGRC(10000,DATE(2024,1,15),DATE(2024,12,31),500,8,0.3,0)</f>
        <v>0</v>
      </c>
      <c r="B12919" s="0" t="s">
        <v>12856</v>
      </c>
    </row>
    <row r="12920" customFormat="false" ht="15" hidden="false" customHeight="false" outlineLevel="0" collapsed="false">
      <c r="A12920" s="0" t="n">
        <f aca="false">AMORLINC(10000,DATE(2024,1,15),DATE(2024,12,31),500,12,0.3,0)</f>
        <v>0</v>
      </c>
      <c r="B12920" s="0" t="s">
        <v>12857</v>
      </c>
    </row>
    <row r="12921" customFormat="false" ht="15" hidden="false" customHeight="false" outlineLevel="0" collapsed="false">
      <c r="A12921" s="0" t="n">
        <f aca="false">AMORDEGRC(10000,DATE(2024,1,15),DATE(2024,12,31),500,12,0.3,0)</f>
        <v>0</v>
      </c>
      <c r="B12921" s="0" t="s">
        <v>12858</v>
      </c>
    </row>
    <row r="12922" customFormat="false" ht="15" hidden="false" customHeight="false" outlineLevel="0" collapsed="false">
      <c r="A12922" s="0" t="n">
        <f aca="false">AMORLINC(10000,DATE(2024,1,15),DATE(2024,12,31),500,25,0.3,0)</f>
        <v>0</v>
      </c>
      <c r="B12922" s="0" t="s">
        <v>12859</v>
      </c>
    </row>
    <row r="12923" customFormat="false" ht="15" hidden="false" customHeight="false" outlineLevel="0" collapsed="false">
      <c r="A12923" s="0" t="n">
        <f aca="false">AMORDEGRC(10000,DATE(2024,1,15),DATE(2024,12,31),500,25,0.3,0)</f>
        <v>0</v>
      </c>
      <c r="B12923" s="0" t="s">
        <v>12860</v>
      </c>
    </row>
    <row r="12924" customFormat="false" ht="15" hidden="false" customHeight="false" outlineLevel="0" collapsed="false">
      <c r="A12924" s="0" t="n">
        <f aca="false">AMORLINC(10000,DATE(2024,1,15),DATE(2024,12,31),500,0,0.3,1)</f>
        <v>2877.04918032787</v>
      </c>
      <c r="B12924" s="0" t="s">
        <v>12861</v>
      </c>
    </row>
    <row r="12925" customFormat="false" ht="15" hidden="false" customHeight="false" outlineLevel="0" collapsed="false">
      <c r="A12925" s="0" t="n">
        <f aca="false">AMORDEGRC(10000,DATE(2024,1,15),DATE(2024,12,31),500,0,0.3,1)</f>
        <v>4316</v>
      </c>
      <c r="B12925" s="0" t="s">
        <v>12862</v>
      </c>
    </row>
    <row r="12926" customFormat="false" ht="15" hidden="false" customHeight="false" outlineLevel="0" collapsed="false">
      <c r="A12926" s="0" t="n">
        <f aca="false">AMORLINC(10000,DATE(2024,1,15),DATE(2024,12,31),500,1,0.3,1)</f>
        <v>3000</v>
      </c>
      <c r="B12926" s="0" t="s">
        <v>12863</v>
      </c>
    </row>
    <row r="12927" customFormat="false" ht="15" hidden="false" customHeight="false" outlineLevel="0" collapsed="false">
      <c r="A12927" s="0" t="n">
        <f aca="false">AMORDEGRC(10000,DATE(2024,1,15),DATE(2024,12,31),500,1,0.3,1)</f>
        <v>2558</v>
      </c>
      <c r="B12927" s="0" t="s">
        <v>12864</v>
      </c>
    </row>
    <row r="12928" customFormat="false" ht="15" hidden="false" customHeight="false" outlineLevel="0" collapsed="false">
      <c r="A12928" s="0" t="n">
        <f aca="false">AMORLINC(10000,DATE(2024,1,15),DATE(2024,12,31),500,2,0.3,1)</f>
        <v>3000</v>
      </c>
      <c r="B12928" s="0" t="s">
        <v>12865</v>
      </c>
    </row>
    <row r="12929" customFormat="false" ht="15" hidden="false" customHeight="false" outlineLevel="0" collapsed="false">
      <c r="A12929" s="0" t="n">
        <f aca="false">AMORDEGRC(10000,DATE(2024,1,15),DATE(2024,12,31),500,2,0.3,1)</f>
        <v>1407</v>
      </c>
      <c r="B12929" s="0" t="s">
        <v>12866</v>
      </c>
    </row>
    <row r="12930" customFormat="false" ht="15" hidden="false" customHeight="false" outlineLevel="0" collapsed="false">
      <c r="A12930" s="0" t="n">
        <f aca="false">AMORLINC(10000,DATE(2024,1,15),DATE(2024,12,31),500,3,0.3,1)</f>
        <v>622.950819672131</v>
      </c>
      <c r="B12930" s="0" t="s">
        <v>12867</v>
      </c>
    </row>
    <row r="12931" customFormat="false" ht="15" hidden="false" customHeight="false" outlineLevel="0" collapsed="false">
      <c r="A12931" s="0" t="n">
        <f aca="false">AMORDEGRC(10000,DATE(2024,1,15),DATE(2024,12,31),500,3,0.3,1)</f>
        <v>774</v>
      </c>
      <c r="B12931" s="0" t="s">
        <v>12868</v>
      </c>
    </row>
    <row r="12932" customFormat="false" ht="15" hidden="false" customHeight="false" outlineLevel="0" collapsed="false">
      <c r="A12932" s="0" t="n">
        <f aca="false">AMORLINC(10000,DATE(2024,1,15),DATE(2024,12,31),500,5,0.3,1)</f>
        <v>0</v>
      </c>
      <c r="B12932" s="0" t="s">
        <v>12869</v>
      </c>
    </row>
    <row r="12933" customFormat="false" ht="15" hidden="false" customHeight="false" outlineLevel="0" collapsed="false">
      <c r="A12933" s="0" t="n">
        <f aca="false">AMORDEGRC(10000,DATE(2024,1,15),DATE(2024,12,31),500,5,0.3,1)</f>
        <v>260</v>
      </c>
      <c r="B12933" s="0" t="s">
        <v>12870</v>
      </c>
    </row>
    <row r="12934" customFormat="false" ht="15" hidden="false" customHeight="false" outlineLevel="0" collapsed="false">
      <c r="A12934" s="0" t="n">
        <f aca="false">AMORLINC(10000,DATE(2024,1,15),DATE(2024,12,31),500,8,0.3,1)</f>
        <v>0</v>
      </c>
      <c r="B12934" s="0" t="s">
        <v>12871</v>
      </c>
    </row>
    <row r="12935" customFormat="false" ht="15" hidden="false" customHeight="false" outlineLevel="0" collapsed="false">
      <c r="A12935" s="0" t="n">
        <f aca="false">AMORDEGRC(10000,DATE(2024,1,15),DATE(2024,12,31),500,8,0.3,1)</f>
        <v>0</v>
      </c>
      <c r="B12935" s="0" t="s">
        <v>12872</v>
      </c>
    </row>
    <row r="12936" customFormat="false" ht="15" hidden="false" customHeight="false" outlineLevel="0" collapsed="false">
      <c r="A12936" s="0" t="n">
        <f aca="false">AMORLINC(10000,DATE(2024,1,15),DATE(2024,12,31),500,12,0.3,1)</f>
        <v>0</v>
      </c>
      <c r="B12936" s="0" t="s">
        <v>12873</v>
      </c>
    </row>
    <row r="12937" customFormat="false" ht="15" hidden="false" customHeight="false" outlineLevel="0" collapsed="false">
      <c r="A12937" s="0" t="n">
        <f aca="false">AMORDEGRC(10000,DATE(2024,1,15),DATE(2024,12,31),500,12,0.3,1)</f>
        <v>0</v>
      </c>
      <c r="B12937" s="0" t="s">
        <v>12874</v>
      </c>
    </row>
    <row r="12938" customFormat="false" ht="15" hidden="false" customHeight="false" outlineLevel="0" collapsed="false">
      <c r="A12938" s="0" t="n">
        <f aca="false">AMORLINC(10000,DATE(2024,1,15),DATE(2024,12,31),500,25,0.3,1)</f>
        <v>0</v>
      </c>
      <c r="B12938" s="0" t="s">
        <v>12875</v>
      </c>
    </row>
    <row r="12939" customFormat="false" ht="15" hidden="false" customHeight="false" outlineLevel="0" collapsed="false">
      <c r="A12939" s="0" t="n">
        <f aca="false">AMORDEGRC(10000,DATE(2024,1,15),DATE(2024,12,31),500,25,0.3,1)</f>
        <v>0</v>
      </c>
      <c r="B12939" s="0" t="s">
        <v>12876</v>
      </c>
    </row>
    <row r="12940" customFormat="false" ht="15" hidden="false" customHeight="false" outlineLevel="0" collapsed="false">
      <c r="A12940" s="0" t="n">
        <f aca="false">AMORLINC(10000,DATE(2024,1,15),DATE(2024,12,31),500,0,0.3,3)</f>
        <v>2884.93150684932</v>
      </c>
      <c r="B12940" s="0" t="s">
        <v>12877</v>
      </c>
    </row>
    <row r="12941" customFormat="false" ht="15" hidden="false" customHeight="false" outlineLevel="0" collapsed="false">
      <c r="A12941" s="0" t="n">
        <f aca="false">AMORDEGRC(10000,DATE(2024,1,15),DATE(2024,12,31),500,0,0.3,3)</f>
        <v>4327</v>
      </c>
      <c r="B12941" s="0" t="s">
        <v>12878</v>
      </c>
    </row>
    <row r="12942" customFormat="false" ht="15" hidden="false" customHeight="false" outlineLevel="0" collapsed="false">
      <c r="A12942" s="0" t="n">
        <f aca="false">AMORLINC(10000,DATE(2024,1,15),DATE(2024,12,31),500,1,0.3,3)</f>
        <v>3000</v>
      </c>
      <c r="B12942" s="0" t="s">
        <v>12879</v>
      </c>
    </row>
    <row r="12943" customFormat="false" ht="15" hidden="false" customHeight="false" outlineLevel="0" collapsed="false">
      <c r="A12943" s="0" t="n">
        <f aca="false">AMORDEGRC(10000,DATE(2024,1,15),DATE(2024,12,31),500,1,0.3,3)</f>
        <v>2553</v>
      </c>
      <c r="B12943" s="0" t="s">
        <v>12880</v>
      </c>
    </row>
    <row r="12944" customFormat="false" ht="15" hidden="false" customHeight="false" outlineLevel="0" collapsed="false">
      <c r="A12944" s="0" t="n">
        <f aca="false">AMORLINC(10000,DATE(2024,1,15),DATE(2024,12,31),500,2,0.3,3)</f>
        <v>3000</v>
      </c>
      <c r="B12944" s="0" t="s">
        <v>12881</v>
      </c>
    </row>
    <row r="12945" customFormat="false" ht="15" hidden="false" customHeight="false" outlineLevel="0" collapsed="false">
      <c r="A12945" s="0" t="n">
        <f aca="false">AMORDEGRC(10000,DATE(2024,1,15),DATE(2024,12,31),500,2,0.3,3)</f>
        <v>1404</v>
      </c>
      <c r="B12945" s="0" t="s">
        <v>12882</v>
      </c>
    </row>
    <row r="12946" customFormat="false" ht="15" hidden="false" customHeight="false" outlineLevel="0" collapsed="false">
      <c r="A12946" s="0" t="n">
        <f aca="false">AMORLINC(10000,DATE(2024,1,15),DATE(2024,12,31),500,3,0.3,3)</f>
        <v>615.068493150685</v>
      </c>
      <c r="B12946" s="0" t="s">
        <v>12883</v>
      </c>
    </row>
    <row r="12947" customFormat="false" ht="15" hidden="false" customHeight="false" outlineLevel="0" collapsed="false">
      <c r="A12947" s="0" t="n">
        <f aca="false">AMORDEGRC(10000,DATE(2024,1,15),DATE(2024,12,31),500,3,0.3,3)</f>
        <v>772</v>
      </c>
      <c r="B12947" s="0" t="s">
        <v>12884</v>
      </c>
    </row>
    <row r="12948" customFormat="false" ht="15" hidden="false" customHeight="false" outlineLevel="0" collapsed="false">
      <c r="A12948" s="0" t="n">
        <f aca="false">AMORLINC(10000,DATE(2024,1,15),DATE(2024,12,31),500,5,0.3,3)</f>
        <v>0</v>
      </c>
      <c r="B12948" s="0" t="s">
        <v>12885</v>
      </c>
    </row>
    <row r="12949" customFormat="false" ht="15" hidden="false" customHeight="false" outlineLevel="0" collapsed="false">
      <c r="A12949" s="0" t="n">
        <f aca="false">AMORDEGRC(10000,DATE(2024,1,15),DATE(2024,12,31),500,5,0.3,3)</f>
        <v>260</v>
      </c>
      <c r="B12949" s="0" t="s">
        <v>12886</v>
      </c>
    </row>
    <row r="12950" customFormat="false" ht="15" hidden="false" customHeight="false" outlineLevel="0" collapsed="false">
      <c r="A12950" s="0" t="n">
        <f aca="false">AMORLINC(10000,DATE(2024,1,15),DATE(2024,12,31),500,8,0.3,3)</f>
        <v>0</v>
      </c>
      <c r="B12950" s="0" t="s">
        <v>12887</v>
      </c>
    </row>
    <row r="12951" customFormat="false" ht="15" hidden="false" customHeight="false" outlineLevel="0" collapsed="false">
      <c r="A12951" s="0" t="n">
        <f aca="false">AMORDEGRC(10000,DATE(2024,1,15),DATE(2024,12,31),500,8,0.3,3)</f>
        <v>0</v>
      </c>
      <c r="B12951" s="0" t="s">
        <v>12888</v>
      </c>
    </row>
    <row r="12952" customFormat="false" ht="15" hidden="false" customHeight="false" outlineLevel="0" collapsed="false">
      <c r="A12952" s="0" t="n">
        <f aca="false">AMORLINC(10000,DATE(2024,1,15),DATE(2024,12,31),500,12,0.3,3)</f>
        <v>0</v>
      </c>
      <c r="B12952" s="0" t="s">
        <v>12889</v>
      </c>
    </row>
    <row r="12953" customFormat="false" ht="15" hidden="false" customHeight="false" outlineLevel="0" collapsed="false">
      <c r="A12953" s="0" t="n">
        <f aca="false">AMORDEGRC(10000,DATE(2024,1,15),DATE(2024,12,31),500,12,0.3,3)</f>
        <v>0</v>
      </c>
      <c r="B12953" s="0" t="s">
        <v>12890</v>
      </c>
    </row>
    <row r="12954" customFormat="false" ht="15" hidden="false" customHeight="false" outlineLevel="0" collapsed="false">
      <c r="A12954" s="0" t="n">
        <f aca="false">AMORLINC(10000,DATE(2024,1,15),DATE(2024,12,31),500,25,0.3,3)</f>
        <v>0</v>
      </c>
      <c r="B12954" s="0" t="s">
        <v>12891</v>
      </c>
    </row>
    <row r="12955" customFormat="false" ht="15" hidden="false" customHeight="false" outlineLevel="0" collapsed="false">
      <c r="A12955" s="0" t="n">
        <f aca="false">AMORDEGRC(10000,DATE(2024,1,15),DATE(2024,12,31),500,25,0.3,3)</f>
        <v>0</v>
      </c>
      <c r="B12955" s="0" t="s">
        <v>12892</v>
      </c>
    </row>
    <row r="12956" customFormat="false" ht="15" hidden="false" customHeight="false" outlineLevel="0" collapsed="false">
      <c r="A12956" s="0" t="n">
        <f aca="false">AMORLINC(10000,DATE(2024,1,15),DATE(2024,12,31),500,0,0.3,4)</f>
        <v>2875</v>
      </c>
      <c r="B12956" s="0" t="s">
        <v>12893</v>
      </c>
    </row>
    <row r="12957" customFormat="false" ht="15" hidden="false" customHeight="false" outlineLevel="0" collapsed="false">
      <c r="A12957" s="0" t="n">
        <f aca="false">AMORDEGRC(10000,DATE(2024,1,15),DATE(2024,12,31),500,0,0.3,4)</f>
        <v>4313</v>
      </c>
      <c r="B12957" s="0" t="s">
        <v>12894</v>
      </c>
    </row>
    <row r="12958" customFormat="false" ht="15" hidden="false" customHeight="false" outlineLevel="0" collapsed="false">
      <c r="A12958" s="0" t="n">
        <f aca="false">AMORLINC(10000,DATE(2024,1,15),DATE(2024,12,31),500,1,0.3,4)</f>
        <v>3000</v>
      </c>
      <c r="B12958" s="0" t="s">
        <v>12895</v>
      </c>
    </row>
    <row r="12959" customFormat="false" ht="15" hidden="false" customHeight="false" outlineLevel="0" collapsed="false">
      <c r="A12959" s="0" t="n">
        <f aca="false">AMORDEGRC(10000,DATE(2024,1,15),DATE(2024,12,31),500,1,0.3,4)</f>
        <v>2559</v>
      </c>
      <c r="B12959" s="0" t="s">
        <v>12896</v>
      </c>
    </row>
    <row r="12960" customFormat="false" ht="15" hidden="false" customHeight="false" outlineLevel="0" collapsed="false">
      <c r="A12960" s="0" t="n">
        <f aca="false">AMORLINC(10000,DATE(2024,1,15),DATE(2024,12,31),500,2,0.3,4)</f>
        <v>3000</v>
      </c>
      <c r="B12960" s="0" t="s">
        <v>12897</v>
      </c>
    </row>
    <row r="12961" customFormat="false" ht="15" hidden="false" customHeight="false" outlineLevel="0" collapsed="false">
      <c r="A12961" s="0" t="n">
        <f aca="false">AMORDEGRC(10000,DATE(2024,1,15),DATE(2024,12,31),500,2,0.3,4)</f>
        <v>1408</v>
      </c>
      <c r="B12961" s="0" t="s">
        <v>12898</v>
      </c>
    </row>
    <row r="12962" customFormat="false" ht="15" hidden="false" customHeight="false" outlineLevel="0" collapsed="false">
      <c r="A12962" s="0" t="n">
        <f aca="false">AMORLINC(10000,DATE(2024,1,15),DATE(2024,12,31),500,3,0.3,4)</f>
        <v>625</v>
      </c>
      <c r="B12962" s="0" t="s">
        <v>12899</v>
      </c>
    </row>
    <row r="12963" customFormat="false" ht="15" hidden="false" customHeight="false" outlineLevel="0" collapsed="false">
      <c r="A12963" s="0" t="n">
        <f aca="false">AMORDEGRC(10000,DATE(2024,1,15),DATE(2024,12,31),500,3,0.3,4)</f>
        <v>774</v>
      </c>
      <c r="B12963" s="0" t="s">
        <v>12900</v>
      </c>
    </row>
    <row r="12964" customFormat="false" ht="15" hidden="false" customHeight="false" outlineLevel="0" collapsed="false">
      <c r="A12964" s="0" t="n">
        <f aca="false">AMORLINC(10000,DATE(2024,1,15),DATE(2024,12,31),500,5,0.3,4)</f>
        <v>0</v>
      </c>
      <c r="B12964" s="0" t="s">
        <v>12901</v>
      </c>
    </row>
    <row r="12965" customFormat="false" ht="15" hidden="false" customHeight="false" outlineLevel="0" collapsed="false">
      <c r="A12965" s="0" t="n">
        <f aca="false">AMORDEGRC(10000,DATE(2024,1,15),DATE(2024,12,31),500,5,0.3,4)</f>
        <v>260</v>
      </c>
      <c r="B12965" s="0" t="s">
        <v>12902</v>
      </c>
    </row>
    <row r="12966" customFormat="false" ht="15" hidden="false" customHeight="false" outlineLevel="0" collapsed="false">
      <c r="A12966" s="0" t="n">
        <f aca="false">AMORLINC(10000,DATE(2024,1,15),DATE(2024,12,31),500,8,0.3,4)</f>
        <v>0</v>
      </c>
      <c r="B12966" s="0" t="s">
        <v>12903</v>
      </c>
    </row>
    <row r="12967" customFormat="false" ht="15" hidden="false" customHeight="false" outlineLevel="0" collapsed="false">
      <c r="A12967" s="0" t="n">
        <f aca="false">AMORDEGRC(10000,DATE(2024,1,15),DATE(2024,12,31),500,8,0.3,4)</f>
        <v>0</v>
      </c>
      <c r="B12967" s="0" t="s">
        <v>12904</v>
      </c>
    </row>
    <row r="12968" customFormat="false" ht="15" hidden="false" customHeight="false" outlineLevel="0" collapsed="false">
      <c r="A12968" s="0" t="n">
        <f aca="false">AMORLINC(10000,DATE(2024,1,15),DATE(2024,12,31),500,12,0.3,4)</f>
        <v>0</v>
      </c>
      <c r="B12968" s="0" t="s">
        <v>12905</v>
      </c>
    </row>
    <row r="12969" customFormat="false" ht="15" hidden="false" customHeight="false" outlineLevel="0" collapsed="false">
      <c r="A12969" s="0" t="n">
        <f aca="false">AMORDEGRC(10000,DATE(2024,1,15),DATE(2024,12,31),500,12,0.3,4)</f>
        <v>0</v>
      </c>
      <c r="B12969" s="0" t="s">
        <v>12906</v>
      </c>
    </row>
    <row r="12970" customFormat="false" ht="15" hidden="false" customHeight="false" outlineLevel="0" collapsed="false">
      <c r="A12970" s="0" t="n">
        <f aca="false">AMORLINC(10000,DATE(2024,1,15),DATE(2024,12,31),500,25,0.3,4)</f>
        <v>0</v>
      </c>
      <c r="B12970" s="0" t="s">
        <v>12907</v>
      </c>
    </row>
    <row r="12971" customFormat="false" ht="15" hidden="false" customHeight="false" outlineLevel="0" collapsed="false">
      <c r="A12971" s="0" t="n">
        <f aca="false">AMORDEGRC(10000,DATE(2024,1,15),DATE(2024,12,31),500,25,0.3,4)</f>
        <v>0</v>
      </c>
      <c r="B12971" s="0" t="s">
        <v>12908</v>
      </c>
    </row>
    <row r="12972" customFormat="false" ht="15" hidden="false" customHeight="false" outlineLevel="0" collapsed="false">
      <c r="A12972" s="0" t="n">
        <f aca="false">AMORLINC(10000,DATE(2024,1,15),DATE(2024,12,31),500,0,0.4,0)</f>
        <v>3844.44444444445</v>
      </c>
      <c r="B12972" s="0" t="s">
        <v>12909</v>
      </c>
    </row>
    <row r="12973" customFormat="false" ht="15" hidden="false" customHeight="false" outlineLevel="0" collapsed="false">
      <c r="A12973" s="0" t="n">
        <f aca="false">AMORDEGRC(10000,DATE(2024,1,15),DATE(2024,12,31),500,0,0.4,0)</f>
        <v>3844</v>
      </c>
      <c r="B12973" s="0" t="s">
        <v>12910</v>
      </c>
    </row>
    <row r="12974" customFormat="false" ht="15" hidden="false" customHeight="false" outlineLevel="0" collapsed="false">
      <c r="A12974" s="0" t="n">
        <f aca="false">AMORLINC(10000,DATE(2024,1,15),DATE(2024,12,31),500,1,0.4,0)</f>
        <v>4000</v>
      </c>
      <c r="B12974" s="0" t="s">
        <v>12911</v>
      </c>
    </row>
    <row r="12975" customFormat="false" ht="15" hidden="false" customHeight="false" outlineLevel="0" collapsed="false">
      <c r="A12975" s="0" t="n">
        <f aca="false">AMORDEGRC(10000,DATE(2024,1,15),DATE(2024,12,31),500,1,0.4,0)</f>
        <v>2462</v>
      </c>
      <c r="B12975" s="0" t="s">
        <v>12912</v>
      </c>
    </row>
    <row r="12976" customFormat="false" ht="15" hidden="false" customHeight="false" outlineLevel="0" collapsed="false">
      <c r="A12976" s="0" t="n">
        <f aca="false">AMORLINC(10000,DATE(2024,1,15),DATE(2024,12,31),500,2,0.4,0)</f>
        <v>1655.55555555556</v>
      </c>
      <c r="B12976" s="0" t="s">
        <v>12913</v>
      </c>
    </row>
    <row r="12977" customFormat="false" ht="15" hidden="false" customHeight="false" outlineLevel="0" collapsed="false">
      <c r="A12977" s="0" t="n">
        <f aca="false">AMORDEGRC(10000,DATE(2024,1,15),DATE(2024,12,31),500,2,0.4,0)</f>
        <v>1478</v>
      </c>
      <c r="B12977" s="0" t="s">
        <v>12914</v>
      </c>
    </row>
    <row r="12978" customFormat="false" ht="15" hidden="false" customHeight="false" outlineLevel="0" collapsed="false">
      <c r="A12978" s="0" t="n">
        <f aca="false">AMORLINC(10000,DATE(2024,1,15),DATE(2024,12,31),500,3,0.4,0)</f>
        <v>0</v>
      </c>
      <c r="B12978" s="0" t="s">
        <v>12915</v>
      </c>
    </row>
    <row r="12979" customFormat="false" ht="15" hidden="false" customHeight="false" outlineLevel="0" collapsed="false">
      <c r="A12979" s="0" t="n">
        <f aca="false">AMORDEGRC(10000,DATE(2024,1,15),DATE(2024,12,31),500,3,0.4,0)</f>
        <v>886</v>
      </c>
      <c r="B12979" s="0" t="s">
        <v>12916</v>
      </c>
    </row>
    <row r="12980" customFormat="false" ht="15" hidden="false" customHeight="false" outlineLevel="0" collapsed="false">
      <c r="A12980" s="0" t="n">
        <f aca="false">AMORLINC(10000,DATE(2024,1,15),DATE(2024,12,31),500,5,0.4,0)</f>
        <v>0</v>
      </c>
      <c r="B12980" s="0" t="s">
        <v>12917</v>
      </c>
    </row>
    <row r="12981" customFormat="false" ht="15" hidden="false" customHeight="false" outlineLevel="0" collapsed="false">
      <c r="A12981" s="0" t="n">
        <f aca="false">AMORDEGRC(10000,DATE(2024,1,15),DATE(2024,12,31),500,5,0.4,0)</f>
        <v>399</v>
      </c>
      <c r="B12981" s="0" t="s">
        <v>12918</v>
      </c>
    </row>
    <row r="12982" customFormat="false" ht="15" hidden="false" customHeight="false" outlineLevel="0" collapsed="false">
      <c r="A12982" s="0" t="n">
        <f aca="false">AMORLINC(10000,DATE(2024,1,15),DATE(2024,12,31),500,8,0.4,0)</f>
        <v>0</v>
      </c>
      <c r="B12982" s="0" t="s">
        <v>12919</v>
      </c>
    </row>
    <row r="12983" customFormat="false" ht="15" hidden="false" customHeight="false" outlineLevel="0" collapsed="false">
      <c r="A12983" s="0" t="n">
        <f aca="false">AMORDEGRC(10000,DATE(2024,1,15),DATE(2024,12,31),500,8,0.4,0)</f>
        <v>0</v>
      </c>
      <c r="B12983" s="0" t="s">
        <v>12920</v>
      </c>
    </row>
    <row r="12984" customFormat="false" ht="15" hidden="false" customHeight="false" outlineLevel="0" collapsed="false">
      <c r="A12984" s="0" t="n">
        <f aca="false">AMORLINC(10000,DATE(2024,1,15),DATE(2024,12,31),500,12,0.4,0)</f>
        <v>0</v>
      </c>
      <c r="B12984" s="0" t="s">
        <v>12921</v>
      </c>
    </row>
    <row r="12985" customFormat="false" ht="15" hidden="false" customHeight="false" outlineLevel="0" collapsed="false">
      <c r="A12985" s="0" t="n">
        <f aca="false">AMORDEGRC(10000,DATE(2024,1,15),DATE(2024,12,31),500,12,0.4,0)</f>
        <v>0</v>
      </c>
      <c r="B12985" s="0" t="s">
        <v>12922</v>
      </c>
    </row>
    <row r="12986" customFormat="false" ht="15" hidden="false" customHeight="false" outlineLevel="0" collapsed="false">
      <c r="A12986" s="0" t="n">
        <f aca="false">AMORLINC(10000,DATE(2024,1,15),DATE(2024,12,31),500,25,0.4,0)</f>
        <v>0</v>
      </c>
      <c r="B12986" s="0" t="s">
        <v>12923</v>
      </c>
    </row>
    <row r="12987" customFormat="false" ht="15" hidden="false" customHeight="false" outlineLevel="0" collapsed="false">
      <c r="A12987" s="0" t="n">
        <f aca="false">AMORDEGRC(10000,DATE(2024,1,15),DATE(2024,12,31),500,25,0.4,0)</f>
        <v>0</v>
      </c>
      <c r="B12987" s="0" t="s">
        <v>12924</v>
      </c>
    </row>
    <row r="12988" customFormat="false" ht="15" hidden="false" customHeight="false" outlineLevel="0" collapsed="false">
      <c r="A12988" s="0" t="n">
        <f aca="false">AMORLINC(10000,DATE(2024,1,15),DATE(2024,12,31),500,0,0.4,1)</f>
        <v>3836.06557377049</v>
      </c>
      <c r="B12988" s="0" t="s">
        <v>12925</v>
      </c>
    </row>
    <row r="12989" customFormat="false" ht="15" hidden="false" customHeight="false" outlineLevel="0" collapsed="false">
      <c r="A12989" s="0" t="n">
        <f aca="false">AMORDEGRC(10000,DATE(2024,1,15),DATE(2024,12,31),500,0,0.4,1)</f>
        <v>3836</v>
      </c>
      <c r="B12989" s="0" t="s">
        <v>12926</v>
      </c>
    </row>
    <row r="12990" customFormat="false" ht="15" hidden="false" customHeight="false" outlineLevel="0" collapsed="false">
      <c r="A12990" s="0" t="n">
        <f aca="false">AMORLINC(10000,DATE(2024,1,15),DATE(2024,12,31),500,1,0.4,1)</f>
        <v>4000</v>
      </c>
      <c r="B12990" s="0" t="s">
        <v>12927</v>
      </c>
    </row>
    <row r="12991" customFormat="false" ht="15" hidden="false" customHeight="false" outlineLevel="0" collapsed="false">
      <c r="A12991" s="0" t="n">
        <f aca="false">AMORDEGRC(10000,DATE(2024,1,15),DATE(2024,12,31),500,1,0.4,1)</f>
        <v>2466</v>
      </c>
      <c r="B12991" s="0" t="s">
        <v>12928</v>
      </c>
    </row>
    <row r="12992" customFormat="false" ht="15" hidden="false" customHeight="false" outlineLevel="0" collapsed="false">
      <c r="A12992" s="0" t="n">
        <f aca="false">AMORLINC(10000,DATE(2024,1,15),DATE(2024,12,31),500,2,0.4,1)</f>
        <v>1663.93442622951</v>
      </c>
      <c r="B12992" s="0" t="s">
        <v>12929</v>
      </c>
    </row>
    <row r="12993" customFormat="false" ht="15" hidden="false" customHeight="false" outlineLevel="0" collapsed="false">
      <c r="A12993" s="0" t="n">
        <f aca="false">AMORDEGRC(10000,DATE(2024,1,15),DATE(2024,12,31),500,2,0.4,1)</f>
        <v>1479</v>
      </c>
      <c r="B12993" s="0" t="s">
        <v>12930</v>
      </c>
    </row>
    <row r="12994" customFormat="false" ht="15" hidden="false" customHeight="false" outlineLevel="0" collapsed="false">
      <c r="A12994" s="0" t="n">
        <f aca="false">AMORLINC(10000,DATE(2024,1,15),DATE(2024,12,31),500,3,0.4,1)</f>
        <v>0</v>
      </c>
      <c r="B12994" s="0" t="s">
        <v>12931</v>
      </c>
    </row>
    <row r="12995" customFormat="false" ht="15" hidden="false" customHeight="false" outlineLevel="0" collapsed="false">
      <c r="A12995" s="0" t="n">
        <f aca="false">AMORDEGRC(10000,DATE(2024,1,15),DATE(2024,12,31),500,3,0.4,1)</f>
        <v>888</v>
      </c>
      <c r="B12995" s="0" t="s">
        <v>12932</v>
      </c>
    </row>
    <row r="12996" customFormat="false" ht="15" hidden="false" customHeight="false" outlineLevel="0" collapsed="false">
      <c r="A12996" s="0" t="n">
        <f aca="false">AMORLINC(10000,DATE(2024,1,15),DATE(2024,12,31),500,5,0.4,1)</f>
        <v>0</v>
      </c>
      <c r="B12996" s="0" t="s">
        <v>12933</v>
      </c>
    </row>
    <row r="12997" customFormat="false" ht="15" hidden="false" customHeight="false" outlineLevel="0" collapsed="false">
      <c r="A12997" s="0" t="n">
        <f aca="false">AMORDEGRC(10000,DATE(2024,1,15),DATE(2024,12,31),500,5,0.4,1)</f>
        <v>400</v>
      </c>
      <c r="B12997" s="0" t="s">
        <v>12934</v>
      </c>
    </row>
    <row r="12998" customFormat="false" ht="15" hidden="false" customHeight="false" outlineLevel="0" collapsed="false">
      <c r="A12998" s="0" t="n">
        <f aca="false">AMORLINC(10000,DATE(2024,1,15),DATE(2024,12,31),500,8,0.4,1)</f>
        <v>0</v>
      </c>
      <c r="B12998" s="0" t="s">
        <v>12935</v>
      </c>
    </row>
    <row r="12999" customFormat="false" ht="15" hidden="false" customHeight="false" outlineLevel="0" collapsed="false">
      <c r="A12999" s="0" t="n">
        <f aca="false">AMORDEGRC(10000,DATE(2024,1,15),DATE(2024,12,31),500,8,0.4,1)</f>
        <v>0</v>
      </c>
      <c r="B12999" s="0" t="s">
        <v>12936</v>
      </c>
    </row>
    <row r="13000" customFormat="false" ht="15" hidden="false" customHeight="false" outlineLevel="0" collapsed="false">
      <c r="A13000" s="0" t="n">
        <f aca="false">AMORLINC(10000,DATE(2024,1,15),DATE(2024,12,31),500,12,0.4,1)</f>
        <v>0</v>
      </c>
      <c r="B13000" s="0" t="s">
        <v>12937</v>
      </c>
    </row>
    <row r="13001" customFormat="false" ht="15" hidden="false" customHeight="false" outlineLevel="0" collapsed="false">
      <c r="A13001" s="0" t="n">
        <f aca="false">AMORDEGRC(10000,DATE(2024,1,15),DATE(2024,12,31),500,12,0.4,1)</f>
        <v>0</v>
      </c>
      <c r="B13001" s="0" t="s">
        <v>12938</v>
      </c>
    </row>
    <row r="13002" customFormat="false" ht="15" hidden="false" customHeight="false" outlineLevel="0" collapsed="false">
      <c r="A13002" s="0" t="n">
        <f aca="false">AMORLINC(10000,DATE(2024,1,15),DATE(2024,12,31),500,25,0.4,1)</f>
        <v>0</v>
      </c>
      <c r="B13002" s="0" t="s">
        <v>12939</v>
      </c>
    </row>
    <row r="13003" customFormat="false" ht="15" hidden="false" customHeight="false" outlineLevel="0" collapsed="false">
      <c r="A13003" s="0" t="n">
        <f aca="false">AMORDEGRC(10000,DATE(2024,1,15),DATE(2024,12,31),500,25,0.4,1)</f>
        <v>0</v>
      </c>
      <c r="B13003" s="0" t="s">
        <v>12940</v>
      </c>
    </row>
    <row r="13004" customFormat="false" ht="15" hidden="false" customHeight="false" outlineLevel="0" collapsed="false">
      <c r="A13004" s="0" t="n">
        <f aca="false">AMORLINC(10000,DATE(2024,1,15),DATE(2024,12,31),500,0,0.4,3)</f>
        <v>3846.57534246575</v>
      </c>
      <c r="B13004" s="0" t="s">
        <v>12941</v>
      </c>
    </row>
    <row r="13005" customFormat="false" ht="15" hidden="false" customHeight="false" outlineLevel="0" collapsed="false">
      <c r="A13005" s="0" t="n">
        <f aca="false">AMORDEGRC(10000,DATE(2024,1,15),DATE(2024,12,31),500,0,0.4,3)</f>
        <v>3847</v>
      </c>
      <c r="B13005" s="0" t="s">
        <v>12942</v>
      </c>
    </row>
    <row r="13006" customFormat="false" ht="15" hidden="false" customHeight="false" outlineLevel="0" collapsed="false">
      <c r="A13006" s="0" t="n">
        <f aca="false">AMORLINC(10000,DATE(2024,1,15),DATE(2024,12,31),500,1,0.4,3)</f>
        <v>4000</v>
      </c>
      <c r="B13006" s="0" t="s">
        <v>12943</v>
      </c>
    </row>
    <row r="13007" customFormat="false" ht="15" hidden="false" customHeight="false" outlineLevel="0" collapsed="false">
      <c r="A13007" s="0" t="n">
        <f aca="false">AMORDEGRC(10000,DATE(2024,1,15),DATE(2024,12,31),500,1,0.4,3)</f>
        <v>2461</v>
      </c>
      <c r="B13007" s="0" t="s">
        <v>12944</v>
      </c>
    </row>
    <row r="13008" customFormat="false" ht="15" hidden="false" customHeight="false" outlineLevel="0" collapsed="false">
      <c r="A13008" s="0" t="n">
        <f aca="false">AMORLINC(10000,DATE(2024,1,15),DATE(2024,12,31),500,2,0.4,3)</f>
        <v>1653.42465753425</v>
      </c>
      <c r="B13008" s="0" t="s">
        <v>12945</v>
      </c>
    </row>
    <row r="13009" customFormat="false" ht="15" hidden="false" customHeight="false" outlineLevel="0" collapsed="false">
      <c r="A13009" s="0" t="n">
        <f aca="false">AMORDEGRC(10000,DATE(2024,1,15),DATE(2024,12,31),500,2,0.4,3)</f>
        <v>1477</v>
      </c>
      <c r="B13009" s="0" t="s">
        <v>12946</v>
      </c>
    </row>
    <row r="13010" customFormat="false" ht="15" hidden="false" customHeight="false" outlineLevel="0" collapsed="false">
      <c r="A13010" s="0" t="n">
        <f aca="false">AMORLINC(10000,DATE(2024,1,15),DATE(2024,12,31),500,3,0.4,3)</f>
        <v>0</v>
      </c>
      <c r="B13010" s="0" t="s">
        <v>12947</v>
      </c>
    </row>
    <row r="13011" customFormat="false" ht="15" hidden="false" customHeight="false" outlineLevel="0" collapsed="false">
      <c r="A13011" s="0" t="n">
        <f aca="false">AMORDEGRC(10000,DATE(2024,1,15),DATE(2024,12,31),500,3,0.4,3)</f>
        <v>886</v>
      </c>
      <c r="B13011" s="0" t="s">
        <v>12948</v>
      </c>
    </row>
    <row r="13012" customFormat="false" ht="15" hidden="false" customHeight="false" outlineLevel="0" collapsed="false">
      <c r="A13012" s="0" t="n">
        <f aca="false">AMORLINC(10000,DATE(2024,1,15),DATE(2024,12,31),500,5,0.4,3)</f>
        <v>0</v>
      </c>
      <c r="B13012" s="0" t="s">
        <v>12949</v>
      </c>
    </row>
    <row r="13013" customFormat="false" ht="15" hidden="false" customHeight="false" outlineLevel="0" collapsed="false">
      <c r="A13013" s="0" t="n">
        <f aca="false">AMORDEGRC(10000,DATE(2024,1,15),DATE(2024,12,31),500,5,0.4,3)</f>
        <v>399</v>
      </c>
      <c r="B13013" s="0" t="s">
        <v>12950</v>
      </c>
    </row>
    <row r="13014" customFormat="false" ht="15" hidden="false" customHeight="false" outlineLevel="0" collapsed="false">
      <c r="A13014" s="0" t="n">
        <f aca="false">AMORLINC(10000,DATE(2024,1,15),DATE(2024,12,31),500,8,0.4,3)</f>
        <v>0</v>
      </c>
      <c r="B13014" s="0" t="s">
        <v>12951</v>
      </c>
    </row>
    <row r="13015" customFormat="false" ht="15" hidden="false" customHeight="false" outlineLevel="0" collapsed="false">
      <c r="A13015" s="0" t="n">
        <f aca="false">AMORDEGRC(10000,DATE(2024,1,15),DATE(2024,12,31),500,8,0.4,3)</f>
        <v>0</v>
      </c>
      <c r="B13015" s="0" t="s">
        <v>12952</v>
      </c>
    </row>
    <row r="13016" customFormat="false" ht="15" hidden="false" customHeight="false" outlineLevel="0" collapsed="false">
      <c r="A13016" s="0" t="n">
        <f aca="false">AMORLINC(10000,DATE(2024,1,15),DATE(2024,12,31),500,12,0.4,3)</f>
        <v>0</v>
      </c>
      <c r="B13016" s="0" t="s">
        <v>12953</v>
      </c>
    </row>
    <row r="13017" customFormat="false" ht="15" hidden="false" customHeight="false" outlineLevel="0" collapsed="false">
      <c r="A13017" s="0" t="n">
        <f aca="false">AMORDEGRC(10000,DATE(2024,1,15),DATE(2024,12,31),500,12,0.4,3)</f>
        <v>0</v>
      </c>
      <c r="B13017" s="0" t="s">
        <v>12954</v>
      </c>
    </row>
    <row r="13018" customFormat="false" ht="15" hidden="false" customHeight="false" outlineLevel="0" collapsed="false">
      <c r="A13018" s="0" t="n">
        <f aca="false">AMORLINC(10000,DATE(2024,1,15),DATE(2024,12,31),500,25,0.4,3)</f>
        <v>0</v>
      </c>
      <c r="B13018" s="0" t="s">
        <v>12955</v>
      </c>
    </row>
    <row r="13019" customFormat="false" ht="15" hidden="false" customHeight="false" outlineLevel="0" collapsed="false">
      <c r="A13019" s="0" t="n">
        <f aca="false">AMORDEGRC(10000,DATE(2024,1,15),DATE(2024,12,31),500,25,0.4,3)</f>
        <v>0</v>
      </c>
      <c r="B13019" s="0" t="s">
        <v>12956</v>
      </c>
    </row>
    <row r="13020" customFormat="false" ht="15" hidden="false" customHeight="false" outlineLevel="0" collapsed="false">
      <c r="A13020" s="0" t="n">
        <f aca="false">AMORLINC(10000,DATE(2024,1,15),DATE(2024,12,31),500,0,0.4,4)</f>
        <v>3833.33333333333</v>
      </c>
      <c r="B13020" s="0" t="s">
        <v>12957</v>
      </c>
    </row>
    <row r="13021" customFormat="false" ht="15" hidden="false" customHeight="false" outlineLevel="0" collapsed="false">
      <c r="A13021" s="0" t="n">
        <f aca="false">AMORDEGRC(10000,DATE(2024,1,15),DATE(2024,12,31),500,0,0.4,4)</f>
        <v>3833</v>
      </c>
      <c r="B13021" s="0" t="s">
        <v>12958</v>
      </c>
    </row>
    <row r="13022" customFormat="false" ht="15" hidden="false" customHeight="false" outlineLevel="0" collapsed="false">
      <c r="A13022" s="0" t="n">
        <f aca="false">AMORLINC(10000,DATE(2024,1,15),DATE(2024,12,31),500,1,0.4,4)</f>
        <v>4000</v>
      </c>
      <c r="B13022" s="0" t="s">
        <v>12959</v>
      </c>
    </row>
    <row r="13023" customFormat="false" ht="15" hidden="false" customHeight="false" outlineLevel="0" collapsed="false">
      <c r="A13023" s="0" t="n">
        <f aca="false">AMORDEGRC(10000,DATE(2024,1,15),DATE(2024,12,31),500,1,0.4,4)</f>
        <v>2467</v>
      </c>
      <c r="B13023" s="0" t="s">
        <v>12960</v>
      </c>
    </row>
    <row r="13024" customFormat="false" ht="15" hidden="false" customHeight="false" outlineLevel="0" collapsed="false">
      <c r="A13024" s="0" t="n">
        <f aca="false">AMORLINC(10000,DATE(2024,1,15),DATE(2024,12,31),500,2,0.4,4)</f>
        <v>1666.66666666667</v>
      </c>
      <c r="B13024" s="0" t="s">
        <v>12961</v>
      </c>
    </row>
    <row r="13025" customFormat="false" ht="15" hidden="false" customHeight="false" outlineLevel="0" collapsed="false">
      <c r="A13025" s="0" t="n">
        <f aca="false">AMORDEGRC(10000,DATE(2024,1,15),DATE(2024,12,31),500,2,0.4,4)</f>
        <v>1480</v>
      </c>
      <c r="B13025" s="0" t="s">
        <v>12962</v>
      </c>
    </row>
    <row r="13026" customFormat="false" ht="15" hidden="false" customHeight="false" outlineLevel="0" collapsed="false">
      <c r="A13026" s="0" t="n">
        <f aca="false">AMORLINC(10000,DATE(2024,1,15),DATE(2024,12,31),500,3,0.4,4)</f>
        <v>0</v>
      </c>
      <c r="B13026" s="0" t="s">
        <v>12963</v>
      </c>
    </row>
    <row r="13027" customFormat="false" ht="15" hidden="false" customHeight="false" outlineLevel="0" collapsed="false">
      <c r="A13027" s="0" t="n">
        <f aca="false">AMORDEGRC(10000,DATE(2024,1,15),DATE(2024,12,31),500,3,0.4,4)</f>
        <v>888</v>
      </c>
      <c r="B13027" s="0" t="s">
        <v>12964</v>
      </c>
    </row>
    <row r="13028" customFormat="false" ht="15" hidden="false" customHeight="false" outlineLevel="0" collapsed="false">
      <c r="A13028" s="0" t="n">
        <f aca="false">AMORLINC(10000,DATE(2024,1,15),DATE(2024,12,31),500,5,0.4,4)</f>
        <v>0</v>
      </c>
      <c r="B13028" s="0" t="s">
        <v>12965</v>
      </c>
    </row>
    <row r="13029" customFormat="false" ht="15" hidden="false" customHeight="false" outlineLevel="0" collapsed="false">
      <c r="A13029" s="0" t="n">
        <f aca="false">AMORDEGRC(10000,DATE(2024,1,15),DATE(2024,12,31),500,5,0.4,4)</f>
        <v>400</v>
      </c>
      <c r="B13029" s="0" t="s">
        <v>12966</v>
      </c>
    </row>
    <row r="13030" customFormat="false" ht="15" hidden="false" customHeight="false" outlineLevel="0" collapsed="false">
      <c r="A13030" s="0" t="n">
        <f aca="false">AMORLINC(10000,DATE(2024,1,15),DATE(2024,12,31),500,8,0.4,4)</f>
        <v>0</v>
      </c>
      <c r="B13030" s="0" t="s">
        <v>12967</v>
      </c>
    </row>
    <row r="13031" customFormat="false" ht="15" hidden="false" customHeight="false" outlineLevel="0" collapsed="false">
      <c r="A13031" s="0" t="n">
        <f aca="false">AMORDEGRC(10000,DATE(2024,1,15),DATE(2024,12,31),500,8,0.4,4)</f>
        <v>0</v>
      </c>
      <c r="B13031" s="0" t="s">
        <v>12968</v>
      </c>
    </row>
    <row r="13032" customFormat="false" ht="15" hidden="false" customHeight="false" outlineLevel="0" collapsed="false">
      <c r="A13032" s="0" t="n">
        <f aca="false">AMORLINC(10000,DATE(2024,1,15),DATE(2024,12,31),500,12,0.4,4)</f>
        <v>0</v>
      </c>
      <c r="B13032" s="0" t="s">
        <v>12969</v>
      </c>
    </row>
    <row r="13033" customFormat="false" ht="15" hidden="false" customHeight="false" outlineLevel="0" collapsed="false">
      <c r="A13033" s="0" t="n">
        <f aca="false">AMORDEGRC(10000,DATE(2024,1,15),DATE(2024,12,31),500,12,0.4,4)</f>
        <v>0</v>
      </c>
      <c r="B13033" s="0" t="s">
        <v>12970</v>
      </c>
    </row>
    <row r="13034" customFormat="false" ht="15" hidden="false" customHeight="false" outlineLevel="0" collapsed="false">
      <c r="A13034" s="0" t="n">
        <f aca="false">AMORLINC(10000,DATE(2024,1,15),DATE(2024,12,31),500,25,0.4,4)</f>
        <v>0</v>
      </c>
      <c r="B13034" s="0" t="s">
        <v>12971</v>
      </c>
    </row>
    <row r="13035" customFormat="false" ht="15" hidden="false" customHeight="false" outlineLevel="0" collapsed="false">
      <c r="A13035" s="0" t="n">
        <f aca="false">AMORDEGRC(10000,DATE(2024,1,15),DATE(2024,12,31),500,25,0.4,4)</f>
        <v>0</v>
      </c>
      <c r="B13035" s="0" t="s">
        <v>12972</v>
      </c>
    </row>
    <row r="13036" customFormat="false" ht="15" hidden="false" customHeight="false" outlineLevel="0" collapsed="false">
      <c r="A13036" s="0" t="n">
        <f aca="false">AMORLINC(10000,DATE(2024,1,15),DATE(2024,12,31),500,0,0.5,0)</f>
        <v>4805.55555555556</v>
      </c>
      <c r="B13036" s="0" t="s">
        <v>12973</v>
      </c>
    </row>
    <row r="13037" customFormat="false" ht="15" hidden="false" customHeight="false" outlineLevel="0" collapsed="false">
      <c r="A13037" s="0" t="n">
        <f aca="false">AMORDEGRC(10000,DATE(2024,1,15),DATE(2024,12,31),500,0,0.5,0)</f>
        <v>4806</v>
      </c>
      <c r="B13037" s="0" t="s">
        <v>12974</v>
      </c>
    </row>
    <row r="13038" customFormat="false" ht="15" hidden="false" customHeight="false" outlineLevel="0" collapsed="false">
      <c r="A13038" s="0" t="n">
        <f aca="false">AMORLINC(10000,DATE(2024,1,15),DATE(2024,12,31),500,1,0.5,0)</f>
        <v>4694.44444444444</v>
      </c>
      <c r="B13038" s="0" t="s">
        <v>12975</v>
      </c>
    </row>
    <row r="13039" customFormat="false" ht="15" hidden="false" customHeight="false" outlineLevel="0" collapsed="false">
      <c r="A13039" s="0" t="n">
        <f aca="false">AMORDEGRC(10000,DATE(2024,1,15),DATE(2024,12,31),500,1,0.5,0)</f>
        <v>2597</v>
      </c>
      <c r="B13039" s="0" t="s">
        <v>12976</v>
      </c>
    </row>
    <row r="13040" customFormat="false" ht="15" hidden="false" customHeight="false" outlineLevel="0" collapsed="false">
      <c r="A13040" s="0" t="n">
        <f aca="false">AMORLINC(10000,DATE(2024,1,15),DATE(2024,12,31),500,2,0.5,0)</f>
        <v>0</v>
      </c>
      <c r="B13040" s="0" t="s">
        <v>12977</v>
      </c>
    </row>
    <row r="13041" customFormat="false" ht="15" hidden="false" customHeight="false" outlineLevel="0" collapsed="false">
      <c r="A13041" s="0" t="n">
        <f aca="false">AMORDEGRC(10000,DATE(2024,1,15),DATE(2024,12,31),500,2,0.5,0)</f>
        <v>1299</v>
      </c>
      <c r="B13041" s="0" t="s">
        <v>12978</v>
      </c>
    </row>
    <row r="13042" customFormat="false" ht="15" hidden="false" customHeight="false" outlineLevel="0" collapsed="false">
      <c r="A13042" s="0" t="n">
        <f aca="false">AMORLINC(10000,DATE(2024,1,15),DATE(2024,12,31),500,3,0.5,0)</f>
        <v>0</v>
      </c>
      <c r="B13042" s="0" t="s">
        <v>12979</v>
      </c>
    </row>
    <row r="13043" customFormat="false" ht="15" hidden="false" customHeight="false" outlineLevel="0" collapsed="false">
      <c r="A13043" s="0" t="n">
        <f aca="false">AMORDEGRC(10000,DATE(2024,1,15),DATE(2024,12,31),500,3,0.5,0)</f>
        <v>649</v>
      </c>
      <c r="B13043" s="0" t="s">
        <v>12980</v>
      </c>
    </row>
    <row r="13044" customFormat="false" ht="15" hidden="false" customHeight="false" outlineLevel="0" collapsed="false">
      <c r="A13044" s="0" t="n">
        <f aca="false">AMORLINC(10000,DATE(2024,1,15),DATE(2024,12,31),500,5,0.5,0)</f>
        <v>0</v>
      </c>
      <c r="B13044" s="0" t="s">
        <v>12981</v>
      </c>
    </row>
    <row r="13045" customFormat="false" ht="15" hidden="false" customHeight="false" outlineLevel="0" collapsed="false">
      <c r="A13045" s="0" t="n">
        <f aca="false">AMORDEGRC(10000,DATE(2024,1,15),DATE(2024,12,31),500,5,0.5,0)</f>
        <v>0</v>
      </c>
      <c r="B13045" s="0" t="s">
        <v>12982</v>
      </c>
    </row>
    <row r="13046" customFormat="false" ht="15" hidden="false" customHeight="false" outlineLevel="0" collapsed="false">
      <c r="A13046" s="0" t="n">
        <f aca="false">AMORLINC(10000,DATE(2024,1,15),DATE(2024,12,31),500,8,0.5,0)</f>
        <v>0</v>
      </c>
      <c r="B13046" s="0" t="s">
        <v>12983</v>
      </c>
    </row>
    <row r="13047" customFormat="false" ht="15" hidden="false" customHeight="false" outlineLevel="0" collapsed="false">
      <c r="A13047" s="0" t="n">
        <f aca="false">AMORDEGRC(10000,DATE(2024,1,15),DATE(2024,12,31),500,8,0.5,0)</f>
        <v>0</v>
      </c>
      <c r="B13047" s="0" t="s">
        <v>12984</v>
      </c>
    </row>
    <row r="13048" customFormat="false" ht="15" hidden="false" customHeight="false" outlineLevel="0" collapsed="false">
      <c r="A13048" s="0" t="n">
        <f aca="false">AMORLINC(10000,DATE(2024,1,15),DATE(2024,12,31),500,12,0.5,0)</f>
        <v>0</v>
      </c>
      <c r="B13048" s="0" t="s">
        <v>12985</v>
      </c>
    </row>
    <row r="13049" customFormat="false" ht="15" hidden="false" customHeight="false" outlineLevel="0" collapsed="false">
      <c r="A13049" s="0" t="n">
        <f aca="false">AMORDEGRC(10000,DATE(2024,1,15),DATE(2024,12,31),500,12,0.5,0)</f>
        <v>0</v>
      </c>
      <c r="B13049" s="0" t="s">
        <v>12986</v>
      </c>
    </row>
    <row r="13050" customFormat="false" ht="15" hidden="false" customHeight="false" outlineLevel="0" collapsed="false">
      <c r="A13050" s="0" t="n">
        <f aca="false">AMORLINC(10000,DATE(2024,1,15),DATE(2024,12,31),500,25,0.5,0)</f>
        <v>0</v>
      </c>
      <c r="B13050" s="0" t="s">
        <v>12987</v>
      </c>
    </row>
    <row r="13051" customFormat="false" ht="15" hidden="false" customHeight="false" outlineLevel="0" collapsed="false">
      <c r="A13051" s="0" t="n">
        <f aca="false">AMORDEGRC(10000,DATE(2024,1,15),DATE(2024,12,31),500,25,0.5,0)</f>
        <v>0</v>
      </c>
      <c r="B13051" s="0" t="s">
        <v>12988</v>
      </c>
    </row>
    <row r="13052" customFormat="false" ht="15" hidden="false" customHeight="false" outlineLevel="0" collapsed="false">
      <c r="A13052" s="0" t="n">
        <f aca="false">AMORLINC(10000,DATE(2024,1,15),DATE(2024,12,31),500,0,0.5,1)</f>
        <v>4795.08196721312</v>
      </c>
      <c r="B13052" s="0" t="s">
        <v>12989</v>
      </c>
    </row>
    <row r="13053" customFormat="false" ht="15" hidden="false" customHeight="false" outlineLevel="0" collapsed="false">
      <c r="A13053" s="0" t="n">
        <f aca="false">AMORDEGRC(10000,DATE(2024,1,15),DATE(2024,12,31),500,0,0.5,1)</f>
        <v>4795</v>
      </c>
      <c r="B13053" s="0" t="s">
        <v>12990</v>
      </c>
    </row>
    <row r="13054" customFormat="false" ht="15" hidden="false" customHeight="false" outlineLevel="0" collapsed="false">
      <c r="A13054" s="0" t="n">
        <f aca="false">AMORLINC(10000,DATE(2024,1,15),DATE(2024,12,31),500,1,0.5,1)</f>
        <v>4704.91803278689</v>
      </c>
      <c r="B13054" s="0" t="s">
        <v>12991</v>
      </c>
    </row>
    <row r="13055" customFormat="false" ht="15" hidden="false" customHeight="false" outlineLevel="0" collapsed="false">
      <c r="A13055" s="0" t="n">
        <f aca="false">AMORDEGRC(10000,DATE(2024,1,15),DATE(2024,12,31),500,1,0.5,1)</f>
        <v>2603</v>
      </c>
      <c r="B13055" s="0" t="s">
        <v>12992</v>
      </c>
    </row>
    <row r="13056" customFormat="false" ht="15" hidden="false" customHeight="false" outlineLevel="0" collapsed="false">
      <c r="A13056" s="0" t="n">
        <f aca="false">AMORLINC(10000,DATE(2024,1,15),DATE(2024,12,31),500,2,0.5,1)</f>
        <v>0</v>
      </c>
      <c r="B13056" s="0" t="s">
        <v>12993</v>
      </c>
    </row>
    <row r="13057" customFormat="false" ht="15" hidden="false" customHeight="false" outlineLevel="0" collapsed="false">
      <c r="A13057" s="0" t="n">
        <f aca="false">AMORDEGRC(10000,DATE(2024,1,15),DATE(2024,12,31),500,2,0.5,1)</f>
        <v>1301</v>
      </c>
      <c r="B13057" s="0" t="s">
        <v>12994</v>
      </c>
    </row>
    <row r="13058" customFormat="false" ht="15" hidden="false" customHeight="false" outlineLevel="0" collapsed="false">
      <c r="A13058" s="0" t="n">
        <f aca="false">AMORLINC(10000,DATE(2024,1,15),DATE(2024,12,31),500,3,0.5,1)</f>
        <v>0</v>
      </c>
      <c r="B13058" s="0" t="s">
        <v>12995</v>
      </c>
    </row>
    <row r="13059" customFormat="false" ht="15" hidden="false" customHeight="false" outlineLevel="0" collapsed="false">
      <c r="A13059" s="0" t="n">
        <f aca="false">AMORDEGRC(10000,DATE(2024,1,15),DATE(2024,12,31),500,3,0.5,1)</f>
        <v>651</v>
      </c>
      <c r="B13059" s="0" t="s">
        <v>12996</v>
      </c>
    </row>
    <row r="13060" customFormat="false" ht="15" hidden="false" customHeight="false" outlineLevel="0" collapsed="false">
      <c r="A13060" s="0" t="n">
        <f aca="false">AMORLINC(10000,DATE(2024,1,15),DATE(2024,12,31),500,5,0.5,1)</f>
        <v>0</v>
      </c>
      <c r="B13060" s="0" t="s">
        <v>12997</v>
      </c>
    </row>
    <row r="13061" customFormat="false" ht="15" hidden="false" customHeight="false" outlineLevel="0" collapsed="false">
      <c r="A13061" s="0" t="n">
        <f aca="false">AMORDEGRC(10000,DATE(2024,1,15),DATE(2024,12,31),500,5,0.5,1)</f>
        <v>0</v>
      </c>
      <c r="B13061" s="0" t="s">
        <v>12998</v>
      </c>
    </row>
    <row r="13062" customFormat="false" ht="15" hidden="false" customHeight="false" outlineLevel="0" collapsed="false">
      <c r="A13062" s="0" t="n">
        <f aca="false">AMORLINC(10000,DATE(2024,1,15),DATE(2024,12,31),500,8,0.5,1)</f>
        <v>0</v>
      </c>
      <c r="B13062" s="0" t="s">
        <v>12999</v>
      </c>
    </row>
    <row r="13063" customFormat="false" ht="15" hidden="false" customHeight="false" outlineLevel="0" collapsed="false">
      <c r="A13063" s="0" t="n">
        <f aca="false">AMORDEGRC(10000,DATE(2024,1,15),DATE(2024,12,31),500,8,0.5,1)</f>
        <v>0</v>
      </c>
      <c r="B13063" s="0" t="s">
        <v>13000</v>
      </c>
    </row>
    <row r="13064" customFormat="false" ht="15" hidden="false" customHeight="false" outlineLevel="0" collapsed="false">
      <c r="A13064" s="0" t="n">
        <f aca="false">AMORLINC(10000,DATE(2024,1,15),DATE(2024,12,31),500,12,0.5,1)</f>
        <v>0</v>
      </c>
      <c r="B13064" s="0" t="s">
        <v>13001</v>
      </c>
    </row>
    <row r="13065" customFormat="false" ht="15" hidden="false" customHeight="false" outlineLevel="0" collapsed="false">
      <c r="A13065" s="0" t="n">
        <f aca="false">AMORDEGRC(10000,DATE(2024,1,15),DATE(2024,12,31),500,12,0.5,1)</f>
        <v>0</v>
      </c>
      <c r="B13065" s="0" t="s">
        <v>13002</v>
      </c>
    </row>
    <row r="13066" customFormat="false" ht="15" hidden="false" customHeight="false" outlineLevel="0" collapsed="false">
      <c r="A13066" s="0" t="n">
        <f aca="false">AMORLINC(10000,DATE(2024,1,15),DATE(2024,12,31),500,25,0.5,1)</f>
        <v>0</v>
      </c>
      <c r="B13066" s="0" t="s">
        <v>13003</v>
      </c>
    </row>
    <row r="13067" customFormat="false" ht="15" hidden="false" customHeight="false" outlineLevel="0" collapsed="false">
      <c r="A13067" s="0" t="n">
        <f aca="false">AMORDEGRC(10000,DATE(2024,1,15),DATE(2024,12,31),500,25,0.5,1)</f>
        <v>0</v>
      </c>
      <c r="B13067" s="0" t="s">
        <v>13004</v>
      </c>
    </row>
    <row r="13068" customFormat="false" ht="15" hidden="false" customHeight="false" outlineLevel="0" collapsed="false">
      <c r="A13068" s="0" t="n">
        <f aca="false">AMORLINC(10000,DATE(2024,1,15),DATE(2024,12,31),500,0,0.5,3)</f>
        <v>4808.21917808219</v>
      </c>
      <c r="B13068" s="0" t="s">
        <v>13005</v>
      </c>
    </row>
    <row r="13069" customFormat="false" ht="15" hidden="false" customHeight="false" outlineLevel="0" collapsed="false">
      <c r="A13069" s="0" t="n">
        <f aca="false">AMORDEGRC(10000,DATE(2024,1,15),DATE(2024,12,31),500,0,0.5,3)</f>
        <v>4808</v>
      </c>
      <c r="B13069" s="0" t="s">
        <v>13006</v>
      </c>
    </row>
    <row r="13070" customFormat="false" ht="15" hidden="false" customHeight="false" outlineLevel="0" collapsed="false">
      <c r="A13070" s="0" t="n">
        <f aca="false">AMORLINC(10000,DATE(2024,1,15),DATE(2024,12,31),500,1,0.5,3)</f>
        <v>4691.78082191781</v>
      </c>
      <c r="B13070" s="0" t="s">
        <v>13007</v>
      </c>
    </row>
    <row r="13071" customFormat="false" ht="15" hidden="false" customHeight="false" outlineLevel="0" collapsed="false">
      <c r="A13071" s="0" t="n">
        <f aca="false">AMORDEGRC(10000,DATE(2024,1,15),DATE(2024,12,31),500,1,0.5,3)</f>
        <v>2596</v>
      </c>
      <c r="B13071" s="0" t="s">
        <v>13008</v>
      </c>
    </row>
    <row r="13072" customFormat="false" ht="15" hidden="false" customHeight="false" outlineLevel="0" collapsed="false">
      <c r="A13072" s="0" t="n">
        <f aca="false">AMORLINC(10000,DATE(2024,1,15),DATE(2024,12,31),500,2,0.5,3)</f>
        <v>0</v>
      </c>
      <c r="B13072" s="0" t="s">
        <v>13009</v>
      </c>
    </row>
    <row r="13073" customFormat="false" ht="15" hidden="false" customHeight="false" outlineLevel="0" collapsed="false">
      <c r="A13073" s="0" t="n">
        <f aca="false">AMORDEGRC(10000,DATE(2024,1,15),DATE(2024,12,31),500,2,0.5,3)</f>
        <v>1298</v>
      </c>
      <c r="B13073" s="0" t="s">
        <v>13010</v>
      </c>
    </row>
    <row r="13074" customFormat="false" ht="15" hidden="false" customHeight="false" outlineLevel="0" collapsed="false">
      <c r="A13074" s="0" t="n">
        <f aca="false">AMORLINC(10000,DATE(2024,1,15),DATE(2024,12,31),500,3,0.5,3)</f>
        <v>0</v>
      </c>
      <c r="B13074" s="0" t="s">
        <v>13011</v>
      </c>
    </row>
    <row r="13075" customFormat="false" ht="15" hidden="false" customHeight="false" outlineLevel="0" collapsed="false">
      <c r="A13075" s="0" t="n">
        <f aca="false">AMORDEGRC(10000,DATE(2024,1,15),DATE(2024,12,31),500,3,0.5,3)</f>
        <v>649</v>
      </c>
      <c r="B13075" s="0" t="s">
        <v>13012</v>
      </c>
    </row>
    <row r="13076" customFormat="false" ht="15" hidden="false" customHeight="false" outlineLevel="0" collapsed="false">
      <c r="A13076" s="0" t="n">
        <f aca="false">AMORLINC(10000,DATE(2024,1,15),DATE(2024,12,31),500,5,0.5,3)</f>
        <v>0</v>
      </c>
      <c r="B13076" s="0" t="s">
        <v>13013</v>
      </c>
    </row>
    <row r="13077" customFormat="false" ht="15" hidden="false" customHeight="false" outlineLevel="0" collapsed="false">
      <c r="A13077" s="0" t="n">
        <f aca="false">AMORDEGRC(10000,DATE(2024,1,15),DATE(2024,12,31),500,5,0.5,3)</f>
        <v>0</v>
      </c>
      <c r="B13077" s="0" t="s">
        <v>13014</v>
      </c>
    </row>
    <row r="13078" customFormat="false" ht="15" hidden="false" customHeight="false" outlineLevel="0" collapsed="false">
      <c r="A13078" s="0" t="n">
        <f aca="false">AMORLINC(10000,DATE(2024,1,15),DATE(2024,12,31),500,8,0.5,3)</f>
        <v>0</v>
      </c>
      <c r="B13078" s="0" t="s">
        <v>13015</v>
      </c>
    </row>
    <row r="13079" customFormat="false" ht="15" hidden="false" customHeight="false" outlineLevel="0" collapsed="false">
      <c r="A13079" s="0" t="n">
        <f aca="false">AMORDEGRC(10000,DATE(2024,1,15),DATE(2024,12,31),500,8,0.5,3)</f>
        <v>0</v>
      </c>
      <c r="B13079" s="0" t="s">
        <v>13016</v>
      </c>
    </row>
    <row r="13080" customFormat="false" ht="15" hidden="false" customHeight="false" outlineLevel="0" collapsed="false">
      <c r="A13080" s="0" t="n">
        <f aca="false">AMORLINC(10000,DATE(2024,1,15),DATE(2024,12,31),500,12,0.5,3)</f>
        <v>0</v>
      </c>
      <c r="B13080" s="0" t="s">
        <v>13017</v>
      </c>
    </row>
    <row r="13081" customFormat="false" ht="15" hidden="false" customHeight="false" outlineLevel="0" collapsed="false">
      <c r="A13081" s="0" t="n">
        <f aca="false">AMORDEGRC(10000,DATE(2024,1,15),DATE(2024,12,31),500,12,0.5,3)</f>
        <v>0</v>
      </c>
      <c r="B13081" s="0" t="s">
        <v>13018</v>
      </c>
    </row>
    <row r="13082" customFormat="false" ht="15" hidden="false" customHeight="false" outlineLevel="0" collapsed="false">
      <c r="A13082" s="0" t="n">
        <f aca="false">AMORLINC(10000,DATE(2024,1,15),DATE(2024,12,31),500,25,0.5,3)</f>
        <v>0</v>
      </c>
      <c r="B13082" s="0" t="s">
        <v>13019</v>
      </c>
    </row>
    <row r="13083" customFormat="false" ht="15" hidden="false" customHeight="false" outlineLevel="0" collapsed="false">
      <c r="A13083" s="0" t="n">
        <f aca="false">AMORDEGRC(10000,DATE(2024,1,15),DATE(2024,12,31),500,25,0.5,3)</f>
        <v>0</v>
      </c>
      <c r="B13083" s="0" t="s">
        <v>13020</v>
      </c>
    </row>
    <row r="13084" customFormat="false" ht="15" hidden="false" customHeight="false" outlineLevel="0" collapsed="false">
      <c r="A13084" s="0" t="n">
        <f aca="false">AMORLINC(10000,DATE(2024,1,15),DATE(2024,12,31),500,0,0.5,4)</f>
        <v>4791.66666666667</v>
      </c>
      <c r="B13084" s="0" t="s">
        <v>13021</v>
      </c>
    </row>
    <row r="13085" customFormat="false" ht="15" hidden="false" customHeight="false" outlineLevel="0" collapsed="false">
      <c r="A13085" s="0" t="n">
        <f aca="false">AMORDEGRC(10000,DATE(2024,1,15),DATE(2024,12,31),500,0,0.5,4)</f>
        <v>4792</v>
      </c>
      <c r="B13085" s="0" t="s">
        <v>13022</v>
      </c>
    </row>
    <row r="13086" customFormat="false" ht="15" hidden="false" customHeight="false" outlineLevel="0" collapsed="false">
      <c r="A13086" s="0" t="n">
        <f aca="false">AMORLINC(10000,DATE(2024,1,15),DATE(2024,12,31),500,1,0.5,4)</f>
        <v>4708.33333333333</v>
      </c>
      <c r="B13086" s="0" t="s">
        <v>13023</v>
      </c>
    </row>
    <row r="13087" customFormat="false" ht="15" hidden="false" customHeight="false" outlineLevel="0" collapsed="false">
      <c r="A13087" s="0" t="n">
        <f aca="false">AMORDEGRC(10000,DATE(2024,1,15),DATE(2024,12,31),500,1,0.5,4)</f>
        <v>2604</v>
      </c>
      <c r="B13087" s="0" t="s">
        <v>13024</v>
      </c>
    </row>
    <row r="13088" customFormat="false" ht="15" hidden="false" customHeight="false" outlineLevel="0" collapsed="false">
      <c r="A13088" s="0" t="n">
        <f aca="false">AMORLINC(10000,DATE(2024,1,15),DATE(2024,12,31),500,2,0.5,4)</f>
        <v>0</v>
      </c>
      <c r="B13088" s="0" t="s">
        <v>13025</v>
      </c>
    </row>
    <row r="13089" customFormat="false" ht="15" hidden="false" customHeight="false" outlineLevel="0" collapsed="false">
      <c r="A13089" s="0" t="n">
        <f aca="false">AMORDEGRC(10000,DATE(2024,1,15),DATE(2024,12,31),500,2,0.5,4)</f>
        <v>1302</v>
      </c>
      <c r="B13089" s="0" t="s">
        <v>13026</v>
      </c>
    </row>
    <row r="13090" customFormat="false" ht="15" hidden="false" customHeight="false" outlineLevel="0" collapsed="false">
      <c r="A13090" s="0" t="n">
        <f aca="false">AMORLINC(10000,DATE(2024,1,15),DATE(2024,12,31),500,3,0.5,4)</f>
        <v>0</v>
      </c>
      <c r="B13090" s="0" t="s">
        <v>13027</v>
      </c>
    </row>
    <row r="13091" customFormat="false" ht="15" hidden="false" customHeight="false" outlineLevel="0" collapsed="false">
      <c r="A13091" s="0" t="n">
        <f aca="false">AMORDEGRC(10000,DATE(2024,1,15),DATE(2024,12,31),500,3,0.5,4)</f>
        <v>651</v>
      </c>
      <c r="B13091" s="0" t="s">
        <v>13028</v>
      </c>
    </row>
    <row r="13092" customFormat="false" ht="15" hidden="false" customHeight="false" outlineLevel="0" collapsed="false">
      <c r="A13092" s="0" t="n">
        <f aca="false">AMORLINC(10000,DATE(2024,1,15),DATE(2024,12,31),500,5,0.5,4)</f>
        <v>0</v>
      </c>
      <c r="B13092" s="0" t="s">
        <v>13029</v>
      </c>
    </row>
    <row r="13093" customFormat="false" ht="15" hidden="false" customHeight="false" outlineLevel="0" collapsed="false">
      <c r="A13093" s="0" t="n">
        <f aca="false">AMORDEGRC(10000,DATE(2024,1,15),DATE(2024,12,31),500,5,0.5,4)</f>
        <v>0</v>
      </c>
      <c r="B13093" s="0" t="s">
        <v>13030</v>
      </c>
    </row>
    <row r="13094" customFormat="false" ht="15" hidden="false" customHeight="false" outlineLevel="0" collapsed="false">
      <c r="A13094" s="0" t="n">
        <f aca="false">AMORLINC(10000,DATE(2024,1,15),DATE(2024,12,31),500,8,0.5,4)</f>
        <v>0</v>
      </c>
      <c r="B13094" s="0" t="s">
        <v>13031</v>
      </c>
    </row>
    <row r="13095" customFormat="false" ht="15" hidden="false" customHeight="false" outlineLevel="0" collapsed="false">
      <c r="A13095" s="0" t="n">
        <f aca="false">AMORDEGRC(10000,DATE(2024,1,15),DATE(2024,12,31),500,8,0.5,4)</f>
        <v>0</v>
      </c>
      <c r="B13095" s="0" t="s">
        <v>13032</v>
      </c>
    </row>
    <row r="13096" customFormat="false" ht="15" hidden="false" customHeight="false" outlineLevel="0" collapsed="false">
      <c r="A13096" s="0" t="n">
        <f aca="false">AMORLINC(10000,DATE(2024,1,15),DATE(2024,12,31),500,12,0.5,4)</f>
        <v>0</v>
      </c>
      <c r="B13096" s="0" t="s">
        <v>13033</v>
      </c>
    </row>
    <row r="13097" customFormat="false" ht="15" hidden="false" customHeight="false" outlineLevel="0" collapsed="false">
      <c r="A13097" s="0" t="n">
        <f aca="false">AMORDEGRC(10000,DATE(2024,1,15),DATE(2024,12,31),500,12,0.5,4)</f>
        <v>0</v>
      </c>
      <c r="B13097" s="0" t="s">
        <v>13034</v>
      </c>
    </row>
    <row r="13098" customFormat="false" ht="15" hidden="false" customHeight="false" outlineLevel="0" collapsed="false">
      <c r="A13098" s="0" t="n">
        <f aca="false">AMORLINC(10000,DATE(2024,1,15),DATE(2024,12,31),500,25,0.5,4)</f>
        <v>0</v>
      </c>
      <c r="B13098" s="0" t="s">
        <v>13035</v>
      </c>
    </row>
    <row r="13099" customFormat="false" ht="15" hidden="false" customHeight="false" outlineLevel="0" collapsed="false">
      <c r="A13099" s="0" t="n">
        <f aca="false">AMORDEGRC(10000,DATE(2024,1,15),DATE(2024,12,31),500,25,0.5,4)</f>
        <v>0</v>
      </c>
      <c r="B13099" s="0" t="s">
        <v>13036</v>
      </c>
    </row>
    <row r="13100" customFormat="false" ht="15" hidden="false" customHeight="false" outlineLevel="0" collapsed="false">
      <c r="A13100" s="0" t="n">
        <f aca="false">AMORLINC(10000,DATE(2024,1,15),DATE(2024,12,31),500,0,0.01,0)</f>
        <v>96.1111111111111</v>
      </c>
      <c r="B13100" s="0" t="s">
        <v>13037</v>
      </c>
    </row>
    <row r="13101" customFormat="false" ht="15" hidden="false" customHeight="false" outlineLevel="0" collapsed="false">
      <c r="A13101" s="0" t="n">
        <f aca="false">AMORDEGRC(10000,DATE(2024,1,15),DATE(2024,12,31),500,0,0.01,0)</f>
        <v>240</v>
      </c>
      <c r="B13101" s="0" t="s">
        <v>13038</v>
      </c>
    </row>
    <row r="13102" customFormat="false" ht="15" hidden="false" customHeight="false" outlineLevel="0" collapsed="false">
      <c r="A13102" s="0" t="n">
        <f aca="false">AMORLINC(10000,DATE(2024,1,15),DATE(2024,12,31),500,1,0.01,0)</f>
        <v>100</v>
      </c>
      <c r="B13102" s="0" t="s">
        <v>13039</v>
      </c>
    </row>
    <row r="13103" customFormat="false" ht="15" hidden="false" customHeight="false" outlineLevel="0" collapsed="false">
      <c r="A13103" s="0" t="n">
        <f aca="false">AMORDEGRC(10000,DATE(2024,1,15),DATE(2024,12,31),500,1,0.01,0)</f>
        <v>244</v>
      </c>
      <c r="B13103" s="0" t="s">
        <v>13040</v>
      </c>
    </row>
    <row r="13104" customFormat="false" ht="15" hidden="false" customHeight="false" outlineLevel="0" collapsed="false">
      <c r="A13104" s="0" t="n">
        <f aca="false">AMORLINC(10000,DATE(2024,1,15),DATE(2024,12,31),500,2,0.01,0)</f>
        <v>100</v>
      </c>
      <c r="B13104" s="0" t="s">
        <v>13041</v>
      </c>
    </row>
    <row r="13105" customFormat="false" ht="15" hidden="false" customHeight="false" outlineLevel="0" collapsed="false">
      <c r="A13105" s="0" t="n">
        <f aca="false">AMORDEGRC(10000,DATE(2024,1,15),DATE(2024,12,31),500,2,0.01,0)</f>
        <v>238</v>
      </c>
      <c r="B13105" s="0" t="s">
        <v>13042</v>
      </c>
    </row>
    <row r="13106" customFormat="false" ht="15" hidden="false" customHeight="false" outlineLevel="0" collapsed="false">
      <c r="A13106" s="0" t="n">
        <f aca="false">AMORLINC(10000,DATE(2024,1,15),DATE(2024,12,31),500,3,0.01,0)</f>
        <v>100</v>
      </c>
      <c r="B13106" s="0" t="s">
        <v>13043</v>
      </c>
    </row>
    <row r="13107" customFormat="false" ht="15" hidden="false" customHeight="false" outlineLevel="0" collapsed="false">
      <c r="A13107" s="0" t="n">
        <f aca="false">AMORDEGRC(10000,DATE(2024,1,15),DATE(2024,12,31),500,3,0.01,0)</f>
        <v>232</v>
      </c>
      <c r="B13107" s="0" t="s">
        <v>13044</v>
      </c>
    </row>
    <row r="13108" customFormat="false" ht="15" hidden="false" customHeight="false" outlineLevel="0" collapsed="false">
      <c r="A13108" s="0" t="n">
        <f aca="false">AMORLINC(10000,DATE(2024,1,15),DATE(2024,12,31),500,5,0.01,0)</f>
        <v>100</v>
      </c>
      <c r="B13108" s="0" t="s">
        <v>13045</v>
      </c>
    </row>
    <row r="13109" customFormat="false" ht="15" hidden="false" customHeight="false" outlineLevel="0" collapsed="false">
      <c r="A13109" s="0" t="n">
        <f aca="false">AMORDEGRC(10000,DATE(2024,1,15),DATE(2024,12,31),500,5,0.01,0)</f>
        <v>221</v>
      </c>
      <c r="B13109" s="0" t="s">
        <v>13046</v>
      </c>
    </row>
    <row r="13110" customFormat="false" ht="15" hidden="false" customHeight="false" outlineLevel="0" collapsed="false">
      <c r="A13110" s="0" t="n">
        <f aca="false">AMORLINC(10000,DATE(2024,1,15),DATE(2024,12,31),500,8,0.01,0)</f>
        <v>100</v>
      </c>
      <c r="B13110" s="0" t="s">
        <v>13047</v>
      </c>
    </row>
    <row r="13111" customFormat="false" ht="15" hidden="false" customHeight="false" outlineLevel="0" collapsed="false">
      <c r="A13111" s="0" t="n">
        <f aca="false">AMORDEGRC(10000,DATE(2024,1,15),DATE(2024,12,31),500,8,0.01,0)</f>
        <v>204</v>
      </c>
      <c r="B13111" s="0" t="s">
        <v>13048</v>
      </c>
    </row>
    <row r="13112" customFormat="false" ht="15" hidden="false" customHeight="false" outlineLevel="0" collapsed="false">
      <c r="A13112" s="0" t="n">
        <f aca="false">AMORLINC(10000,DATE(2024,1,15),DATE(2024,12,31),500,12,0.01,0)</f>
        <v>100</v>
      </c>
      <c r="B13112" s="0" t="s">
        <v>13049</v>
      </c>
    </row>
    <row r="13113" customFormat="false" ht="15" hidden="false" customHeight="false" outlineLevel="0" collapsed="false">
      <c r="A13113" s="0" t="n">
        <f aca="false">AMORDEGRC(10000,DATE(2024,1,15),DATE(2024,12,31),500,12,0.01,0)</f>
        <v>185</v>
      </c>
      <c r="B13113" s="0" t="s">
        <v>13050</v>
      </c>
    </row>
    <row r="13114" customFormat="false" ht="15" hidden="false" customHeight="false" outlineLevel="0" collapsed="false">
      <c r="A13114" s="0" t="n">
        <f aca="false">AMORLINC(10000,DATE(2024,1,15),DATE(2024,12,31),500,25,0.01,0)</f>
        <v>100</v>
      </c>
      <c r="B13114" s="0" t="s">
        <v>13051</v>
      </c>
    </row>
    <row r="13115" customFormat="false" ht="15" hidden="false" customHeight="false" outlineLevel="0" collapsed="false">
      <c r="A13115" s="0" t="n">
        <f aca="false">AMORDEGRC(10000,DATE(2024,1,15),DATE(2024,12,31),500,25,0.01,0)</f>
        <v>133</v>
      </c>
      <c r="B13115" s="0" t="s">
        <v>13052</v>
      </c>
    </row>
    <row r="13116" customFormat="false" ht="15" hidden="false" customHeight="false" outlineLevel="0" collapsed="false">
      <c r="A13116" s="0" t="n">
        <f aca="false">AMORLINC(10000,DATE(2024,1,15),DATE(2024,12,31),500,0,0.01,1)</f>
        <v>95.9016393442623</v>
      </c>
      <c r="B13116" s="0" t="s">
        <v>13053</v>
      </c>
    </row>
    <row r="13117" customFormat="false" ht="15" hidden="false" customHeight="false" outlineLevel="0" collapsed="false">
      <c r="A13117" s="0" t="n">
        <f aca="false">AMORDEGRC(10000,DATE(2024,1,15),DATE(2024,12,31),500,0,0.01,1)</f>
        <v>240</v>
      </c>
      <c r="B13117" s="0" t="s">
        <v>13054</v>
      </c>
    </row>
    <row r="13118" customFormat="false" ht="15" hidden="false" customHeight="false" outlineLevel="0" collapsed="false">
      <c r="A13118" s="0" t="n">
        <f aca="false">AMORLINC(10000,DATE(2024,1,15),DATE(2024,12,31),500,1,0.01,1)</f>
        <v>100</v>
      </c>
      <c r="B13118" s="0" t="s">
        <v>13055</v>
      </c>
    </row>
    <row r="13119" customFormat="false" ht="15" hidden="false" customHeight="false" outlineLevel="0" collapsed="false">
      <c r="A13119" s="0" t="n">
        <f aca="false">AMORDEGRC(10000,DATE(2024,1,15),DATE(2024,12,31),500,1,0.01,1)</f>
        <v>244</v>
      </c>
      <c r="B13119" s="0" t="s">
        <v>13056</v>
      </c>
    </row>
    <row r="13120" customFormat="false" ht="15" hidden="false" customHeight="false" outlineLevel="0" collapsed="false">
      <c r="A13120" s="0" t="n">
        <f aca="false">AMORLINC(10000,DATE(2024,1,15),DATE(2024,12,31),500,2,0.01,1)</f>
        <v>100</v>
      </c>
      <c r="B13120" s="0" t="s">
        <v>13057</v>
      </c>
    </row>
    <row r="13121" customFormat="false" ht="15" hidden="false" customHeight="false" outlineLevel="0" collapsed="false">
      <c r="A13121" s="0" t="n">
        <f aca="false">AMORDEGRC(10000,DATE(2024,1,15),DATE(2024,12,31),500,2,0.01,1)</f>
        <v>238</v>
      </c>
      <c r="B13121" s="0" t="s">
        <v>13058</v>
      </c>
    </row>
    <row r="13122" customFormat="false" ht="15" hidden="false" customHeight="false" outlineLevel="0" collapsed="false">
      <c r="A13122" s="0" t="n">
        <f aca="false">AMORLINC(10000,DATE(2024,1,15),DATE(2024,12,31),500,3,0.01,1)</f>
        <v>100</v>
      </c>
      <c r="B13122" s="0" t="s">
        <v>13059</v>
      </c>
    </row>
    <row r="13123" customFormat="false" ht="15" hidden="false" customHeight="false" outlineLevel="0" collapsed="false">
      <c r="A13123" s="0" t="n">
        <f aca="false">AMORDEGRC(10000,DATE(2024,1,15),DATE(2024,12,31),500,3,0.01,1)</f>
        <v>232</v>
      </c>
      <c r="B13123" s="0" t="s">
        <v>13060</v>
      </c>
    </row>
    <row r="13124" customFormat="false" ht="15" hidden="false" customHeight="false" outlineLevel="0" collapsed="false">
      <c r="A13124" s="0" t="n">
        <f aca="false">AMORLINC(10000,DATE(2024,1,15),DATE(2024,12,31),500,5,0.01,1)</f>
        <v>100</v>
      </c>
      <c r="B13124" s="0" t="s">
        <v>13061</v>
      </c>
    </row>
    <row r="13125" customFormat="false" ht="15" hidden="false" customHeight="false" outlineLevel="0" collapsed="false">
      <c r="A13125" s="0" t="n">
        <f aca="false">AMORDEGRC(10000,DATE(2024,1,15),DATE(2024,12,31),500,5,0.01,1)</f>
        <v>221</v>
      </c>
      <c r="B13125" s="0" t="s">
        <v>13062</v>
      </c>
    </row>
    <row r="13126" customFormat="false" ht="15" hidden="false" customHeight="false" outlineLevel="0" collapsed="false">
      <c r="A13126" s="0" t="n">
        <f aca="false">AMORLINC(10000,DATE(2024,1,15),DATE(2024,12,31),500,8,0.01,1)</f>
        <v>100</v>
      </c>
      <c r="B13126" s="0" t="s">
        <v>13063</v>
      </c>
    </row>
    <row r="13127" customFormat="false" ht="15" hidden="false" customHeight="false" outlineLevel="0" collapsed="false">
      <c r="A13127" s="0" t="n">
        <f aca="false">AMORDEGRC(10000,DATE(2024,1,15),DATE(2024,12,31),500,8,0.01,1)</f>
        <v>204</v>
      </c>
      <c r="B13127" s="0" t="s">
        <v>13064</v>
      </c>
    </row>
    <row r="13128" customFormat="false" ht="15" hidden="false" customHeight="false" outlineLevel="0" collapsed="false">
      <c r="A13128" s="0" t="n">
        <f aca="false">AMORLINC(10000,DATE(2024,1,15),DATE(2024,12,31),500,12,0.01,1)</f>
        <v>100</v>
      </c>
      <c r="B13128" s="0" t="s">
        <v>13065</v>
      </c>
    </row>
    <row r="13129" customFormat="false" ht="15" hidden="false" customHeight="false" outlineLevel="0" collapsed="false">
      <c r="A13129" s="0" t="n">
        <f aca="false">AMORDEGRC(10000,DATE(2024,1,15),DATE(2024,12,31),500,12,0.01,1)</f>
        <v>185</v>
      </c>
      <c r="B13129" s="0" t="s">
        <v>13066</v>
      </c>
    </row>
    <row r="13130" customFormat="false" ht="15" hidden="false" customHeight="false" outlineLevel="0" collapsed="false">
      <c r="A13130" s="0" t="n">
        <f aca="false">AMORLINC(10000,DATE(2024,1,15),DATE(2024,12,31),500,25,0.01,1)</f>
        <v>100</v>
      </c>
      <c r="B13130" s="0" t="s">
        <v>13067</v>
      </c>
    </row>
    <row r="13131" customFormat="false" ht="15" hidden="false" customHeight="false" outlineLevel="0" collapsed="false">
      <c r="A13131" s="0" t="n">
        <f aca="false">AMORDEGRC(10000,DATE(2024,1,15),DATE(2024,12,31),500,25,0.01,1)</f>
        <v>133</v>
      </c>
      <c r="B13131" s="0" t="s">
        <v>13068</v>
      </c>
    </row>
    <row r="13132" customFormat="false" ht="15" hidden="false" customHeight="false" outlineLevel="0" collapsed="false">
      <c r="A13132" s="0" t="n">
        <f aca="false">AMORLINC(10000,DATE(2024,1,15),DATE(2024,12,31),500,0,0.01,3)</f>
        <v>96.1643835616439</v>
      </c>
      <c r="B13132" s="0" t="s">
        <v>13069</v>
      </c>
    </row>
    <row r="13133" customFormat="false" ht="15" hidden="false" customHeight="false" outlineLevel="0" collapsed="false">
      <c r="A13133" s="0" t="n">
        <f aca="false">AMORDEGRC(10000,DATE(2024,1,15),DATE(2024,12,31),500,0,0.01,3)</f>
        <v>240</v>
      </c>
      <c r="B13133" s="0" t="s">
        <v>13070</v>
      </c>
    </row>
    <row r="13134" customFormat="false" ht="15" hidden="false" customHeight="false" outlineLevel="0" collapsed="false">
      <c r="A13134" s="0" t="n">
        <f aca="false">AMORLINC(10000,DATE(2024,1,15),DATE(2024,12,31),500,1,0.01,3)</f>
        <v>100</v>
      </c>
      <c r="B13134" s="0" t="s">
        <v>13071</v>
      </c>
    </row>
    <row r="13135" customFormat="false" ht="15" hidden="false" customHeight="false" outlineLevel="0" collapsed="false">
      <c r="A13135" s="0" t="n">
        <f aca="false">AMORDEGRC(10000,DATE(2024,1,15),DATE(2024,12,31),500,1,0.01,3)</f>
        <v>244</v>
      </c>
      <c r="B13135" s="0" t="s">
        <v>13072</v>
      </c>
    </row>
    <row r="13136" customFormat="false" ht="15" hidden="false" customHeight="false" outlineLevel="0" collapsed="false">
      <c r="A13136" s="0" t="n">
        <f aca="false">AMORLINC(10000,DATE(2024,1,15),DATE(2024,12,31),500,2,0.01,3)</f>
        <v>100</v>
      </c>
      <c r="B13136" s="0" t="s">
        <v>13073</v>
      </c>
    </row>
    <row r="13137" customFormat="false" ht="15" hidden="false" customHeight="false" outlineLevel="0" collapsed="false">
      <c r="A13137" s="0" t="n">
        <f aca="false">AMORDEGRC(10000,DATE(2024,1,15),DATE(2024,12,31),500,2,0.01,3)</f>
        <v>238</v>
      </c>
      <c r="B13137" s="0" t="s">
        <v>13074</v>
      </c>
    </row>
    <row r="13138" customFormat="false" ht="15" hidden="false" customHeight="false" outlineLevel="0" collapsed="false">
      <c r="A13138" s="0" t="n">
        <f aca="false">AMORLINC(10000,DATE(2024,1,15),DATE(2024,12,31),500,3,0.01,3)</f>
        <v>100</v>
      </c>
      <c r="B13138" s="0" t="s">
        <v>13075</v>
      </c>
    </row>
    <row r="13139" customFormat="false" ht="15" hidden="false" customHeight="false" outlineLevel="0" collapsed="false">
      <c r="A13139" s="0" t="n">
        <f aca="false">AMORDEGRC(10000,DATE(2024,1,15),DATE(2024,12,31),500,3,0.01,3)</f>
        <v>232</v>
      </c>
      <c r="B13139" s="0" t="s">
        <v>13076</v>
      </c>
    </row>
    <row r="13140" customFormat="false" ht="15" hidden="false" customHeight="false" outlineLevel="0" collapsed="false">
      <c r="A13140" s="0" t="n">
        <f aca="false">AMORLINC(10000,DATE(2024,1,15),DATE(2024,12,31),500,5,0.01,3)</f>
        <v>100</v>
      </c>
      <c r="B13140" s="0" t="s">
        <v>13077</v>
      </c>
    </row>
    <row r="13141" customFormat="false" ht="15" hidden="false" customHeight="false" outlineLevel="0" collapsed="false">
      <c r="A13141" s="0" t="n">
        <f aca="false">AMORDEGRC(10000,DATE(2024,1,15),DATE(2024,12,31),500,5,0.01,3)</f>
        <v>221</v>
      </c>
      <c r="B13141" s="0" t="s">
        <v>13078</v>
      </c>
    </row>
    <row r="13142" customFormat="false" ht="15" hidden="false" customHeight="false" outlineLevel="0" collapsed="false">
      <c r="A13142" s="0" t="n">
        <f aca="false">AMORLINC(10000,DATE(2024,1,15),DATE(2024,12,31),500,8,0.01,3)</f>
        <v>100</v>
      </c>
      <c r="B13142" s="0" t="s">
        <v>13079</v>
      </c>
    </row>
    <row r="13143" customFormat="false" ht="15" hidden="false" customHeight="false" outlineLevel="0" collapsed="false">
      <c r="A13143" s="0" t="n">
        <f aca="false">AMORDEGRC(10000,DATE(2024,1,15),DATE(2024,12,31),500,8,0.01,3)</f>
        <v>204</v>
      </c>
      <c r="B13143" s="0" t="s">
        <v>13080</v>
      </c>
    </row>
    <row r="13144" customFormat="false" ht="15" hidden="false" customHeight="false" outlineLevel="0" collapsed="false">
      <c r="A13144" s="0" t="n">
        <f aca="false">AMORLINC(10000,DATE(2024,1,15),DATE(2024,12,31),500,12,0.01,3)</f>
        <v>100</v>
      </c>
      <c r="B13144" s="0" t="s">
        <v>13081</v>
      </c>
    </row>
    <row r="13145" customFormat="false" ht="15" hidden="false" customHeight="false" outlineLevel="0" collapsed="false">
      <c r="A13145" s="0" t="n">
        <f aca="false">AMORDEGRC(10000,DATE(2024,1,15),DATE(2024,12,31),500,12,0.01,3)</f>
        <v>185</v>
      </c>
      <c r="B13145" s="0" t="s">
        <v>13082</v>
      </c>
    </row>
    <row r="13146" customFormat="false" ht="15" hidden="false" customHeight="false" outlineLevel="0" collapsed="false">
      <c r="A13146" s="0" t="n">
        <f aca="false">AMORLINC(10000,DATE(2024,1,15),DATE(2024,12,31),500,25,0.01,3)</f>
        <v>100</v>
      </c>
      <c r="B13146" s="0" t="s">
        <v>13083</v>
      </c>
    </row>
    <row r="13147" customFormat="false" ht="15" hidden="false" customHeight="false" outlineLevel="0" collapsed="false">
      <c r="A13147" s="0" t="n">
        <f aca="false">AMORDEGRC(10000,DATE(2024,1,15),DATE(2024,12,31),500,25,0.01,3)</f>
        <v>133</v>
      </c>
      <c r="B13147" s="0" t="s">
        <v>13084</v>
      </c>
    </row>
    <row r="13148" customFormat="false" ht="15" hidden="false" customHeight="false" outlineLevel="0" collapsed="false">
      <c r="A13148" s="0" t="n">
        <f aca="false">AMORLINC(10000,DATE(2024,1,15),DATE(2024,12,31),500,0,0.01,4)</f>
        <v>95.8333333333333</v>
      </c>
      <c r="B13148" s="0" t="s">
        <v>13085</v>
      </c>
    </row>
    <row r="13149" customFormat="false" ht="15" hidden="false" customHeight="false" outlineLevel="0" collapsed="false">
      <c r="A13149" s="0" t="n">
        <f aca="false">AMORDEGRC(10000,DATE(2024,1,15),DATE(2024,12,31),500,0,0.01,4)</f>
        <v>240</v>
      </c>
      <c r="B13149" s="0" t="s">
        <v>13086</v>
      </c>
    </row>
    <row r="13150" customFormat="false" ht="15" hidden="false" customHeight="false" outlineLevel="0" collapsed="false">
      <c r="A13150" s="0" t="n">
        <f aca="false">AMORLINC(10000,DATE(2024,1,15),DATE(2024,12,31),500,1,0.01,4)</f>
        <v>100</v>
      </c>
      <c r="B13150" s="0" t="s">
        <v>13087</v>
      </c>
    </row>
    <row r="13151" customFormat="false" ht="15" hidden="false" customHeight="false" outlineLevel="0" collapsed="false">
      <c r="A13151" s="0" t="n">
        <f aca="false">AMORDEGRC(10000,DATE(2024,1,15),DATE(2024,12,31),500,1,0.01,4)</f>
        <v>244</v>
      </c>
      <c r="B13151" s="0" t="s">
        <v>13088</v>
      </c>
    </row>
    <row r="13152" customFormat="false" ht="15" hidden="false" customHeight="false" outlineLevel="0" collapsed="false">
      <c r="A13152" s="0" t="n">
        <f aca="false">AMORLINC(10000,DATE(2024,1,15),DATE(2024,12,31),500,2,0.01,4)</f>
        <v>100</v>
      </c>
      <c r="B13152" s="0" t="s">
        <v>13089</v>
      </c>
    </row>
    <row r="13153" customFormat="false" ht="15" hidden="false" customHeight="false" outlineLevel="0" collapsed="false">
      <c r="A13153" s="0" t="n">
        <f aca="false">AMORDEGRC(10000,DATE(2024,1,15),DATE(2024,12,31),500,2,0.01,4)</f>
        <v>238</v>
      </c>
      <c r="B13153" s="0" t="s">
        <v>13090</v>
      </c>
    </row>
    <row r="13154" customFormat="false" ht="15" hidden="false" customHeight="false" outlineLevel="0" collapsed="false">
      <c r="A13154" s="0" t="n">
        <f aca="false">AMORLINC(10000,DATE(2024,1,15),DATE(2024,12,31),500,3,0.01,4)</f>
        <v>100</v>
      </c>
      <c r="B13154" s="0" t="s">
        <v>13091</v>
      </c>
    </row>
    <row r="13155" customFormat="false" ht="15" hidden="false" customHeight="false" outlineLevel="0" collapsed="false">
      <c r="A13155" s="0" t="n">
        <f aca="false">AMORDEGRC(10000,DATE(2024,1,15),DATE(2024,12,31),500,3,0.01,4)</f>
        <v>232</v>
      </c>
      <c r="B13155" s="0" t="s">
        <v>13092</v>
      </c>
    </row>
    <row r="13156" customFormat="false" ht="15" hidden="false" customHeight="false" outlineLevel="0" collapsed="false">
      <c r="A13156" s="0" t="n">
        <f aca="false">AMORLINC(10000,DATE(2024,1,15),DATE(2024,12,31),500,5,0.01,4)</f>
        <v>100</v>
      </c>
      <c r="B13156" s="0" t="s">
        <v>13093</v>
      </c>
    </row>
    <row r="13157" customFormat="false" ht="15" hidden="false" customHeight="false" outlineLevel="0" collapsed="false">
      <c r="A13157" s="0" t="n">
        <f aca="false">AMORDEGRC(10000,DATE(2024,1,15),DATE(2024,12,31),500,5,0.01,4)</f>
        <v>221</v>
      </c>
      <c r="B13157" s="0" t="s">
        <v>13094</v>
      </c>
    </row>
    <row r="13158" customFormat="false" ht="15" hidden="false" customHeight="false" outlineLevel="0" collapsed="false">
      <c r="A13158" s="0" t="n">
        <f aca="false">AMORLINC(10000,DATE(2024,1,15),DATE(2024,12,31),500,8,0.01,4)</f>
        <v>100</v>
      </c>
      <c r="B13158" s="0" t="s">
        <v>13095</v>
      </c>
    </row>
    <row r="13159" customFormat="false" ht="15" hidden="false" customHeight="false" outlineLevel="0" collapsed="false">
      <c r="A13159" s="0" t="n">
        <f aca="false">AMORDEGRC(10000,DATE(2024,1,15),DATE(2024,12,31),500,8,0.01,4)</f>
        <v>204</v>
      </c>
      <c r="B13159" s="0" t="s">
        <v>13096</v>
      </c>
    </row>
    <row r="13160" customFormat="false" ht="15" hidden="false" customHeight="false" outlineLevel="0" collapsed="false">
      <c r="A13160" s="0" t="n">
        <f aca="false">AMORLINC(10000,DATE(2024,1,15),DATE(2024,12,31),500,12,0.01,4)</f>
        <v>100</v>
      </c>
      <c r="B13160" s="0" t="s">
        <v>13097</v>
      </c>
    </row>
    <row r="13161" customFormat="false" ht="15" hidden="false" customHeight="false" outlineLevel="0" collapsed="false">
      <c r="A13161" s="0" t="n">
        <f aca="false">AMORDEGRC(10000,DATE(2024,1,15),DATE(2024,12,31),500,12,0.01,4)</f>
        <v>185</v>
      </c>
      <c r="B13161" s="0" t="s">
        <v>13098</v>
      </c>
    </row>
    <row r="13162" customFormat="false" ht="15" hidden="false" customHeight="false" outlineLevel="0" collapsed="false">
      <c r="A13162" s="0" t="n">
        <f aca="false">AMORLINC(10000,DATE(2024,1,15),DATE(2024,12,31),500,25,0.01,4)</f>
        <v>100</v>
      </c>
      <c r="B13162" s="0" t="s">
        <v>13099</v>
      </c>
    </row>
    <row r="13163" customFormat="false" ht="15" hidden="false" customHeight="false" outlineLevel="0" collapsed="false">
      <c r="A13163" s="0" t="n">
        <f aca="false">AMORDEGRC(10000,DATE(2024,1,15),DATE(2024,12,31),500,25,0.01,4)</f>
        <v>133</v>
      </c>
      <c r="B13163" s="0" t="s">
        <v>13100</v>
      </c>
    </row>
    <row r="13164" customFormat="false" ht="15" hidden="false" customHeight="false" outlineLevel="0" collapsed="false">
      <c r="A13164" s="0" t="n">
        <f aca="false">AMORLINC(10000,DATE(2024,1,15),DATE(2024,12,31),500,1,0.1,2)</f>
        <v>1000</v>
      </c>
      <c r="B13164" s="0" t="s">
        <v>13101</v>
      </c>
    </row>
    <row r="13165" customFormat="false" ht="15" hidden="false" customHeight="false" outlineLevel="0" collapsed="false">
      <c r="A13165" s="0" t="n">
        <f aca="false">AMORLINC(10000,DATE(2024,1,15),DATE(2024,12,31),500,1,0.1)</f>
        <v>1000</v>
      </c>
      <c r="B13165" s="0" t="s">
        <v>13102</v>
      </c>
    </row>
    <row r="13166" customFormat="false" ht="15" hidden="false" customHeight="false" outlineLevel="0" collapsed="false">
      <c r="A13166" s="0" t="e">
        <f aca="false">AMORLINC(10000,DATE(2024,1,15),DATE(2024,12,31),500,1,0.1,5)</f>
        <v>#VALUE!</v>
      </c>
      <c r="B13166" s="0" t="s">
        <v>13103</v>
      </c>
    </row>
    <row r="13167" customFormat="false" ht="15" hidden="false" customHeight="false" outlineLevel="0" collapsed="false">
      <c r="A13167" s="0" t="e">
        <f aca="false">AMORLINC(10000,DATE(2024,1,15),DATE(2024,12,31),500,-1,0.1,0)</f>
        <v>#VALUE!</v>
      </c>
      <c r="B13167" s="0" t="s">
        <v>13104</v>
      </c>
    </row>
    <row r="13168" customFormat="false" ht="15" hidden="false" customHeight="false" outlineLevel="0" collapsed="false">
      <c r="A13168" s="0" t="n">
        <f aca="false">AMORLINC(10000,DATE(2024,1,15),DATE(2024,12,31),500,1.5,0.1,0)</f>
        <v>1000</v>
      </c>
      <c r="B13168" s="0" t="s">
        <v>13105</v>
      </c>
    </row>
    <row r="13169" customFormat="false" ht="15" hidden="false" customHeight="false" outlineLevel="0" collapsed="false">
      <c r="A13169" s="0" t="e">
        <f aca="false">AMORLINC(0,DATE(2024,1,15),DATE(2024,12,31),500,1,0.1,0)</f>
        <v>#VALUE!</v>
      </c>
      <c r="B13169" s="0" t="s">
        <v>13106</v>
      </c>
    </row>
    <row r="13170" customFormat="false" ht="15" hidden="false" customHeight="false" outlineLevel="0" collapsed="false">
      <c r="A13170" s="0" t="e">
        <f aca="false">AMORLINC(-1,DATE(2024,1,15),DATE(2024,12,31),500,1,0.1,0)</f>
        <v>#VALUE!</v>
      </c>
      <c r="B13170" s="0" t="s">
        <v>13107</v>
      </c>
    </row>
    <row r="13171" customFormat="false" ht="15" hidden="false" customHeight="false" outlineLevel="0" collapsed="false">
      <c r="A13171" s="0" t="e">
        <f aca="false">AMORLINC(10000,DATE(2024,1,15),DATE(2024,12,31),-1,1,0.1,0)</f>
        <v>#VALUE!</v>
      </c>
      <c r="B13171" s="0" t="s">
        <v>13108</v>
      </c>
    </row>
    <row r="13172" customFormat="false" ht="15" hidden="false" customHeight="false" outlineLevel="0" collapsed="false">
      <c r="A13172" s="0" t="e">
        <f aca="false">AMORLINC(10000,DATE(2024,1,15),DATE(2024,12,31),10001,1,0.1,0)</f>
        <v>#VALUE!</v>
      </c>
      <c r="B13172" s="0" t="s">
        <v>13109</v>
      </c>
    </row>
    <row r="13173" customFormat="false" ht="15" hidden="false" customHeight="false" outlineLevel="0" collapsed="false">
      <c r="A13173" s="0" t="e">
        <f aca="false">AMORLINC(10000,DATE(2024,1,15),DATE(2024,12,31),500,1,0,0)</f>
        <v>#VALUE!</v>
      </c>
      <c r="B13173" s="0" t="s">
        <v>13110</v>
      </c>
    </row>
    <row r="13174" customFormat="false" ht="15" hidden="false" customHeight="false" outlineLevel="0" collapsed="false">
      <c r="A13174" s="0" t="e">
        <f aca="false">AMORLINC(10000,DATE(2024,1,15),DATE(2024,12,31),500,1,-0.1,0)</f>
        <v>#VALUE!</v>
      </c>
      <c r="B13174" s="0" t="s">
        <v>13111</v>
      </c>
    </row>
    <row r="13175" customFormat="false" ht="15" hidden="false" customHeight="false" outlineLevel="0" collapsed="false">
      <c r="A13175" s="0" t="e">
        <f aca="false">AMORLINC(10000,DATE(2024,12,31),DATE(2024,1,15),500,1,0.1,0)</f>
        <v>#VALUE!</v>
      </c>
      <c r="B13175" s="0" t="s">
        <v>13112</v>
      </c>
    </row>
    <row r="13176" customFormat="false" ht="15" hidden="false" customHeight="false" outlineLevel="0" collapsed="false">
      <c r="A13176" s="0" t="n">
        <f aca="false">AMORLINC(10000,DATE(2024,1,15),DATE(2024,1,15),500,1,0.1,0)</f>
        <v>1000</v>
      </c>
      <c r="B13176" s="0" t="s">
        <v>13113</v>
      </c>
    </row>
    <row r="13177" customFormat="false" ht="15" hidden="false" customHeight="false" outlineLevel="0" collapsed="false">
      <c r="A13177" s="0" t="n">
        <f aca="false">AMORLINC(10000,DATE(2024,1,15),DATE(2024,12,31),0,1,0.1,0)</f>
        <v>1000</v>
      </c>
      <c r="B13177" s="0" t="s">
        <v>13114</v>
      </c>
    </row>
    <row r="13178" customFormat="false" ht="15" hidden="false" customHeight="false" outlineLevel="0" collapsed="false">
      <c r="A13178" s="0" t="n">
        <f aca="false">AMORLINC(10000,DATE(2024,1,15),DATE(2024,12,31),10000,1,0.1,0)</f>
        <v>0</v>
      </c>
      <c r="B13178" s="0" t="s">
        <v>13115</v>
      </c>
    </row>
    <row r="13179" customFormat="false" ht="15" hidden="false" customHeight="false" outlineLevel="0" collapsed="false">
      <c r="A13179" s="0" t="n">
        <f aca="false">AMORLINC(10000,DATE(2024,1,15),DATE(2024,12,31),500,1,1,0)</f>
        <v>0</v>
      </c>
      <c r="B13179" s="0" t="s">
        <v>13116</v>
      </c>
    </row>
    <row r="13180" customFormat="false" ht="15" hidden="false" customHeight="false" outlineLevel="0" collapsed="false">
      <c r="A13180" s="0" t="n">
        <f aca="false">AMORLINC(10000,DATE(2024,1,15),DATE(2024,12,31),500,1,0.6,0)</f>
        <v>3733.33333333333</v>
      </c>
      <c r="B13180" s="0" t="s">
        <v>13117</v>
      </c>
    </row>
    <row r="13181" customFormat="false" ht="15" hidden="false" customHeight="false" outlineLevel="0" collapsed="false">
      <c r="A13181" s="0" t="e">
        <f aca="false">AMORLINC(10000,DATE(2024,1,15),DATE(2024,12,31),500,1,0.1,0,1)</f>
        <v>#VALUE!</v>
      </c>
      <c r="B13181" s="0" t="s">
        <v>13118</v>
      </c>
    </row>
    <row r="13182" customFormat="false" ht="15" hidden="false" customHeight="false" outlineLevel="0" collapsed="false">
      <c r="A13182" s="0" t="n">
        <f aca="false">AMORLINC(10000.5,DATE(2024,1,15),DATE(2024,12,31),500.5,1,0.1,0)</f>
        <v>1000.05</v>
      </c>
      <c r="B13182" s="0" t="s">
        <v>13119</v>
      </c>
    </row>
    <row r="13183" customFormat="false" ht="15" hidden="false" customHeight="false" outlineLevel="0" collapsed="false">
      <c r="A13183" s="0" t="n">
        <f aca="false">AMORLINC(10000,DATE(2023,6,30),DATE(2023,12,31),500,2,0.1,1)</f>
        <v>1000</v>
      </c>
      <c r="B13183" s="0" t="s">
        <v>13120</v>
      </c>
    </row>
    <row r="13184" customFormat="false" ht="15" hidden="false" customHeight="false" outlineLevel="0" collapsed="false">
      <c r="A13184" s="0" t="n">
        <f aca="false">AMORLINC(10000,DATE(2023,6,30),DATE(2024,6,30),500,2,0.1,1)</f>
        <v>1000</v>
      </c>
      <c r="B13184" s="0" t="s">
        <v>13121</v>
      </c>
    </row>
    <row r="13185" customFormat="false" ht="15" hidden="false" customHeight="false" outlineLevel="0" collapsed="false">
      <c r="A13185" s="0" t="n">
        <f aca="false">AMORLINC(10000,DATE(2024,2,29),DATE(2024,12,31),500,2,0.1,1)</f>
        <v>1000</v>
      </c>
      <c r="B13185" s="0" t="s">
        <v>13122</v>
      </c>
    </row>
    <row r="13186" customFormat="false" ht="15" hidden="false" customHeight="false" outlineLevel="0" collapsed="false">
      <c r="A13186" s="0" t="n">
        <f aca="false">AMORLINC(10000,DATE(2024,2,29),DATE(2025,2,28),500,2,0.1,0)</f>
        <v>1000</v>
      </c>
      <c r="B13186" s="0" t="s">
        <v>13123</v>
      </c>
    </row>
    <row r="13187" customFormat="false" ht="15" hidden="false" customHeight="false" outlineLevel="0" collapsed="false">
      <c r="A13187" s="0" t="e">
        <f aca="false">AMORLINC("x",DATE(2024,1,15),DATE(2024,12,31),500,1,0.1,0)</f>
        <v>#VALUE!</v>
      </c>
      <c r="B13187" s="0" t="s">
        <v>13124</v>
      </c>
    </row>
    <row r="13188" customFormat="false" ht="15" hidden="false" customHeight="false" outlineLevel="0" collapsed="false">
      <c r="A13188" s="0" t="n">
        <f aca="false">AMORLINC(100,DATE(2024,1,15),DATE(2024,12,31),1,3,0.5,0)</f>
        <v>0</v>
      </c>
      <c r="B13188" s="0" t="s">
        <v>13125</v>
      </c>
    </row>
    <row r="13189" customFormat="false" ht="15" hidden="false" customHeight="false" outlineLevel="0" collapsed="false">
      <c r="A13189" s="0" t="n">
        <f aca="false">AMORLINC(100,DATE(2024,1,15),DATE(2024,12,31),1,0,0.5,0)</f>
        <v>48.0555555555556</v>
      </c>
      <c r="B13189" s="0" t="s">
        <v>13126</v>
      </c>
    </row>
    <row r="13190" customFormat="false" ht="15" hidden="false" customHeight="false" outlineLevel="0" collapsed="false">
      <c r="A13190" s="0" t="n">
        <f aca="false">AMORLINC(100,DATE(2024,1,15),DATE(2024,12,31),1,1,0.5,0)</f>
        <v>50</v>
      </c>
      <c r="B13190" s="0" t="s">
        <v>13127</v>
      </c>
    </row>
    <row r="13191" customFormat="false" ht="15" hidden="false" customHeight="false" outlineLevel="0" collapsed="false">
      <c r="A13191" s="0" t="n">
        <f aca="false">AMORLINC(100,DATE(2024,1,15),DATE(2024,12,31),1,2,0.5,0)</f>
        <v>0.944444444444443</v>
      </c>
      <c r="B13191" s="0" t="s">
        <v>13128</v>
      </c>
    </row>
    <row r="13192" customFormat="false" ht="15" hidden="false" customHeight="false" outlineLevel="0" collapsed="false">
      <c r="A13192" s="0" t="n">
        <f aca="false">AMORDEGRC(10000,DATE(2024,1,15),DATE(2024,12,31),500,1,0.1,2)</f>
        <v>1891</v>
      </c>
      <c r="B13192" s="0" t="s">
        <v>13129</v>
      </c>
    </row>
    <row r="13193" customFormat="false" ht="15" hidden="false" customHeight="false" outlineLevel="0" collapsed="false">
      <c r="A13193" s="0" t="n">
        <f aca="false">AMORDEGRC(10000,DATE(2024,1,15),DATE(2024,12,31),500,1,0.1)</f>
        <v>1899</v>
      </c>
      <c r="B13193" s="0" t="s">
        <v>13130</v>
      </c>
    </row>
    <row r="13194" customFormat="false" ht="15" hidden="false" customHeight="false" outlineLevel="0" collapsed="false">
      <c r="A13194" s="0" t="e">
        <f aca="false">AMORDEGRC(10000,DATE(2024,1,15),DATE(2024,12,31),500,1,0.1,5)</f>
        <v>#VALUE!</v>
      </c>
      <c r="B13194" s="0" t="s">
        <v>13131</v>
      </c>
    </row>
    <row r="13195" customFormat="false" ht="15" hidden="false" customHeight="false" outlineLevel="0" collapsed="false">
      <c r="A13195" s="0" t="e">
        <f aca="false">AMORDEGRC(10000,DATE(2024,1,15),DATE(2024,12,31),500,-1,0.1,0)</f>
        <v>#VALUE!</v>
      </c>
      <c r="B13195" s="0" t="s">
        <v>13132</v>
      </c>
    </row>
    <row r="13196" customFormat="false" ht="15" hidden="false" customHeight="false" outlineLevel="0" collapsed="false">
      <c r="A13196" s="0" t="n">
        <f aca="false">AMORDEGRC(10000,DATE(2024,1,15),DATE(2024,12,31),500,1.5,0.1,0)</f>
        <v>1899</v>
      </c>
      <c r="B13196" s="0" t="s">
        <v>13133</v>
      </c>
    </row>
    <row r="13197" customFormat="false" ht="15" hidden="false" customHeight="false" outlineLevel="0" collapsed="false">
      <c r="A13197" s="0" t="e">
        <f aca="false">AMORDEGRC(0,DATE(2024,1,15),DATE(2024,12,31),500,1,0.1,0)</f>
        <v>#VALUE!</v>
      </c>
      <c r="B13197" s="0" t="s">
        <v>13134</v>
      </c>
    </row>
    <row r="13198" customFormat="false" ht="15" hidden="false" customHeight="false" outlineLevel="0" collapsed="false">
      <c r="A13198" s="0" t="e">
        <f aca="false">AMORDEGRC(-1,DATE(2024,1,15),DATE(2024,12,31),500,1,0.1,0)</f>
        <v>#VALUE!</v>
      </c>
      <c r="B13198" s="0" t="s">
        <v>13135</v>
      </c>
    </row>
    <row r="13199" customFormat="false" ht="15" hidden="false" customHeight="false" outlineLevel="0" collapsed="false">
      <c r="A13199" s="0" t="e">
        <f aca="false">AMORDEGRC(10000,DATE(2024,1,15),DATE(2024,12,31),-1,1,0.1,0)</f>
        <v>#VALUE!</v>
      </c>
      <c r="B13199" s="0" t="s">
        <v>13136</v>
      </c>
    </row>
    <row r="13200" customFormat="false" ht="15" hidden="false" customHeight="false" outlineLevel="0" collapsed="false">
      <c r="A13200" s="0" t="e">
        <f aca="false">AMORDEGRC(10000,DATE(2024,1,15),DATE(2024,12,31),10001,1,0.1,0)</f>
        <v>#VALUE!</v>
      </c>
      <c r="B13200" s="0" t="s">
        <v>13137</v>
      </c>
    </row>
    <row r="13201" customFormat="false" ht="15" hidden="false" customHeight="false" outlineLevel="0" collapsed="false">
      <c r="A13201" s="0" t="e">
        <f aca="false">AMORDEGRC(10000,DATE(2024,1,15),DATE(2024,12,31),500,1,0,0)</f>
        <v>#VALUE!</v>
      </c>
      <c r="B13201" s="0" t="s">
        <v>13138</v>
      </c>
    </row>
    <row r="13202" customFormat="false" ht="15" hidden="false" customHeight="false" outlineLevel="0" collapsed="false">
      <c r="A13202" s="0" t="e">
        <f aca="false">AMORDEGRC(10000,DATE(2024,1,15),DATE(2024,12,31),500,1,-0.1,0)</f>
        <v>#VALUE!</v>
      </c>
      <c r="B13202" s="0" t="s">
        <v>13139</v>
      </c>
    </row>
    <row r="13203" customFormat="false" ht="15" hidden="false" customHeight="false" outlineLevel="0" collapsed="false">
      <c r="A13203" s="0" t="e">
        <f aca="false">AMORDEGRC(10000,DATE(2024,12,31),DATE(2024,1,15),500,1,0.1,0)</f>
        <v>#VALUE!</v>
      </c>
      <c r="B13203" s="0" t="s">
        <v>13140</v>
      </c>
    </row>
    <row r="13204" customFormat="false" ht="15" hidden="false" customHeight="false" outlineLevel="0" collapsed="false">
      <c r="A13204" s="0" t="n">
        <f aca="false">AMORDEGRC(10000,DATE(2024,1,15),DATE(2024,1,15),500,1,0.1,0)</f>
        <v>2500</v>
      </c>
      <c r="B13204" s="0" t="s">
        <v>13141</v>
      </c>
    </row>
    <row r="13205" customFormat="false" ht="15" hidden="false" customHeight="false" outlineLevel="0" collapsed="false">
      <c r="A13205" s="0" t="n">
        <f aca="false">AMORDEGRC(10000,DATE(2024,1,15),DATE(2024,12,31),0,1,0.1,0)</f>
        <v>1899</v>
      </c>
      <c r="B13205" s="0" t="s">
        <v>13142</v>
      </c>
    </row>
    <row r="13206" customFormat="false" ht="15" hidden="false" customHeight="false" outlineLevel="0" collapsed="false">
      <c r="A13206" s="0" t="n">
        <f aca="false">AMORDEGRC(10000,DATE(2024,1,15),DATE(2024,12,31),10000,1,0.1,0)</f>
        <v>3799</v>
      </c>
      <c r="B13206" s="0" t="s">
        <v>13143</v>
      </c>
    </row>
    <row r="13207" customFormat="false" ht="15" hidden="false" customHeight="false" outlineLevel="0" collapsed="false">
      <c r="A13207" s="0" t="n">
        <f aca="false">AMORDEGRC(10000,DATE(2024,1,15),DATE(2024,12,31),500,1,1,0)</f>
        <v>195</v>
      </c>
      <c r="B13207" s="0" t="s">
        <v>13144</v>
      </c>
    </row>
    <row r="13208" customFormat="false" ht="15" hidden="false" customHeight="false" outlineLevel="0" collapsed="false">
      <c r="A13208" s="0" t="n">
        <f aca="false">AMORDEGRC(10000,DATE(2024,1,15),DATE(2024,12,31),500,1,0.6,0)</f>
        <v>2540</v>
      </c>
      <c r="B13208" s="0" t="s">
        <v>13145</v>
      </c>
    </row>
    <row r="13209" customFormat="false" ht="15" hidden="false" customHeight="false" outlineLevel="0" collapsed="false">
      <c r="A13209" s="0" t="e">
        <f aca="false">AMORDEGRC(10000,DATE(2024,1,15),DATE(2024,12,31),500,1,0.1,0,1)</f>
        <v>#VALUE!</v>
      </c>
      <c r="B13209" s="0" t="s">
        <v>13146</v>
      </c>
    </row>
    <row r="13210" customFormat="false" ht="15" hidden="false" customHeight="false" outlineLevel="0" collapsed="false">
      <c r="A13210" s="0" t="n">
        <f aca="false">AMORDEGRC(10000.5,DATE(2024,1,15),DATE(2024,12,31),500.5,1,0.1,0)</f>
        <v>1899</v>
      </c>
      <c r="B13210" s="0" t="s">
        <v>13147</v>
      </c>
    </row>
    <row r="13211" customFormat="false" ht="15" hidden="false" customHeight="false" outlineLevel="0" collapsed="false">
      <c r="A13211" s="0" t="n">
        <f aca="false">AMORDEGRC(10000,DATE(2023,6,30),DATE(2023,12,31),500,2,0.1,1)</f>
        <v>1639</v>
      </c>
      <c r="B13211" s="0" t="s">
        <v>13148</v>
      </c>
    </row>
    <row r="13212" customFormat="false" ht="15" hidden="false" customHeight="false" outlineLevel="0" collapsed="false">
      <c r="A13212" s="0" t="n">
        <f aca="false">AMORDEGRC(10000,DATE(2023,6,30),DATE(2024,6,30),500,2,0.1,1)</f>
        <v>1406</v>
      </c>
      <c r="B13212" s="0" t="s">
        <v>13149</v>
      </c>
    </row>
    <row r="13213" customFormat="false" ht="15" hidden="false" customHeight="false" outlineLevel="0" collapsed="false">
      <c r="A13213" s="0" t="n">
        <f aca="false">AMORDEGRC(10000,DATE(2024,2,29),DATE(2024,12,31),500,2,0.1,1)</f>
        <v>1483</v>
      </c>
      <c r="B13213" s="0" t="s">
        <v>13150</v>
      </c>
    </row>
    <row r="13214" customFormat="false" ht="15" hidden="false" customHeight="false" outlineLevel="0" collapsed="false">
      <c r="A13214" s="0" t="n">
        <f aca="false">AMORDEGRC(10000,DATE(2024,2,29),DATE(2025,2,28),500,2,0.1,0)</f>
        <v>1406</v>
      </c>
      <c r="B13214" s="0" t="s">
        <v>13151</v>
      </c>
    </row>
    <row r="13215" customFormat="false" ht="15" hidden="false" customHeight="false" outlineLevel="0" collapsed="false">
      <c r="A13215" s="0" t="e">
        <f aca="false">AMORDEGRC("x",DATE(2024,1,15),DATE(2024,12,31),500,1,0.1,0)</f>
        <v>#VALUE!</v>
      </c>
      <c r="B13215" s="0" t="s">
        <v>13152</v>
      </c>
    </row>
    <row r="13216" customFormat="false" ht="15" hidden="false" customHeight="false" outlineLevel="0" collapsed="false">
      <c r="A13216" s="0" t="n">
        <f aca="false">AMORDEGRC(100,DATE(2024,1,15),DATE(2024,12,31),1,3,0.5,0)</f>
        <v>7</v>
      </c>
      <c r="B13216" s="0" t="s">
        <v>13153</v>
      </c>
    </row>
    <row r="13217" customFormat="false" ht="15" hidden="false" customHeight="false" outlineLevel="0" collapsed="false">
      <c r="A13217" s="0" t="n">
        <f aca="false">AMORDEGRC(100,DATE(2024,1,15),DATE(2024,12,31),1,0,0.5,0)</f>
        <v>48</v>
      </c>
      <c r="B13217" s="0" t="s">
        <v>13154</v>
      </c>
    </row>
    <row r="13218" customFormat="false" ht="15" hidden="false" customHeight="false" outlineLevel="0" collapsed="false">
      <c r="A13218" s="0" t="n">
        <f aca="false">AMORDEGRC(100,DATE(2024,1,15),DATE(2024,12,31),1,1,0.5,0)</f>
        <v>26</v>
      </c>
      <c r="B13218" s="0" t="s">
        <v>13155</v>
      </c>
    </row>
    <row r="13219" customFormat="false" ht="15" hidden="false" customHeight="false" outlineLevel="0" collapsed="false">
      <c r="A13219" s="0" t="n">
        <f aca="false">AMORDEGRC(100,DATE(2024,1,15),DATE(2024,12,31),1,2,0.5,0)</f>
        <v>13</v>
      </c>
      <c r="B13219" s="0" t="s">
        <v>13156</v>
      </c>
    </row>
    <row r="13220" customFormat="false" ht="15" hidden="false" customHeight="false" outlineLevel="0" collapsed="false">
      <c r="A13220" s="5" t="n">
        <f aca="false">VDB(2400,300,10,0,1)</f>
        <v>480</v>
      </c>
      <c r="B13220" s="0" t="s">
        <v>13157</v>
      </c>
    </row>
    <row r="13221" customFormat="false" ht="15" hidden="false" customHeight="false" outlineLevel="0" collapsed="false">
      <c r="A13221" s="5" t="n">
        <f aca="false">VDB(2400,300,10,0,1,1.5)</f>
        <v>360</v>
      </c>
      <c r="B13221" s="0" t="s">
        <v>13158</v>
      </c>
    </row>
    <row r="13222" customFormat="false" ht="15" hidden="false" customHeight="false" outlineLevel="0" collapsed="false">
      <c r="A13222" s="5" t="n">
        <f aca="false">VDB(2400,300,10,0,1,2)</f>
        <v>480</v>
      </c>
      <c r="B13222" s="0" t="s">
        <v>13159</v>
      </c>
    </row>
    <row r="13223" customFormat="false" ht="15" hidden="false" customHeight="false" outlineLevel="0" collapsed="false">
      <c r="A13223" s="5" t="n">
        <f aca="false">VDB(2400,300,10,0,1,3)</f>
        <v>720</v>
      </c>
      <c r="B13223" s="0" t="s">
        <v>13160</v>
      </c>
    </row>
    <row r="13224" customFormat="false" ht="15" hidden="false" customHeight="false" outlineLevel="0" collapsed="false">
      <c r="A13224" s="5" t="e">
        <f aca="false">VDB(2400,300,10,0,1,0)</f>
        <v>#VALUE!</v>
      </c>
      <c r="B13224" s="0" t="s">
        <v>13161</v>
      </c>
    </row>
    <row r="13225" customFormat="false" ht="15" hidden="false" customHeight="false" outlineLevel="0" collapsed="false">
      <c r="A13225" s="5" t="e">
        <f aca="false">VDB(2400,300,10,0,1,-1)</f>
        <v>#VALUE!</v>
      </c>
      <c r="B13225" s="0" t="s">
        <v>13162</v>
      </c>
    </row>
    <row r="13226" customFormat="false" ht="15" hidden="false" customHeight="false" outlineLevel="0" collapsed="false">
      <c r="A13226" s="5" t="n">
        <f aca="false">VDB(2400,300,10,0,1,2,TRUE())</f>
        <v>480</v>
      </c>
      <c r="B13226" s="0" t="s">
        <v>13163</v>
      </c>
    </row>
    <row r="13227" customFormat="false" ht="15" hidden="false" customHeight="false" outlineLevel="0" collapsed="false">
      <c r="A13227" s="5" t="n">
        <f aca="false">VDB(2400,300,10,0,1,1.5,TRUE())</f>
        <v>360</v>
      </c>
      <c r="B13227" s="0" t="s">
        <v>13164</v>
      </c>
    </row>
    <row r="13228" customFormat="false" ht="15" hidden="false" customHeight="false" outlineLevel="0" collapsed="false">
      <c r="A13228" s="5" t="n">
        <f aca="false">VDB(2400,300,10,0,1,2,FALSE())</f>
        <v>480</v>
      </c>
      <c r="B13228" s="0" t="s">
        <v>13165</v>
      </c>
    </row>
    <row r="13229" customFormat="false" ht="15" hidden="false" customHeight="false" outlineLevel="0" collapsed="false">
      <c r="A13229" s="5" t="e">
        <f aca="false">VDB(2400,300,10,0,1,,TRUE())</f>
        <v>#VALUE!</v>
      </c>
      <c r="B13229" s="0" t="s">
        <v>13166</v>
      </c>
    </row>
    <row r="13230" customFormat="false" ht="15" hidden="false" customHeight="false" outlineLevel="0" collapsed="false">
      <c r="A13230" s="5" t="n">
        <f aca="false">VDB(2400,300,10,1,2)</f>
        <v>384</v>
      </c>
      <c r="B13230" s="0" t="s">
        <v>13167</v>
      </c>
    </row>
    <row r="13231" customFormat="false" ht="15" hidden="false" customHeight="false" outlineLevel="0" collapsed="false">
      <c r="A13231" s="5" t="n">
        <f aca="false">VDB(2400,300,10,1,2,1.5)</f>
        <v>306</v>
      </c>
      <c r="B13231" s="0" t="s">
        <v>13168</v>
      </c>
    </row>
    <row r="13232" customFormat="false" ht="15" hidden="false" customHeight="false" outlineLevel="0" collapsed="false">
      <c r="A13232" s="5" t="n">
        <f aca="false">VDB(2400,300,10,1,2,2)</f>
        <v>384</v>
      </c>
      <c r="B13232" s="0" t="s">
        <v>13169</v>
      </c>
    </row>
    <row r="13233" customFormat="false" ht="15" hidden="false" customHeight="false" outlineLevel="0" collapsed="false">
      <c r="A13233" s="5" t="n">
        <f aca="false">VDB(2400,300,10,1,2,3)</f>
        <v>504</v>
      </c>
      <c r="B13233" s="0" t="s">
        <v>13170</v>
      </c>
    </row>
    <row r="13234" customFormat="false" ht="15" hidden="false" customHeight="false" outlineLevel="0" collapsed="false">
      <c r="A13234" s="5" t="e">
        <f aca="false">VDB(2400,300,10,1,2,0)</f>
        <v>#VALUE!</v>
      </c>
      <c r="B13234" s="0" t="s">
        <v>13171</v>
      </c>
    </row>
    <row r="13235" customFormat="false" ht="15" hidden="false" customHeight="false" outlineLevel="0" collapsed="false">
      <c r="A13235" s="5" t="e">
        <f aca="false">VDB(2400,300,10,1,2,-1)</f>
        <v>#VALUE!</v>
      </c>
      <c r="B13235" s="0" t="s">
        <v>13172</v>
      </c>
    </row>
    <row r="13236" customFormat="false" ht="15" hidden="false" customHeight="false" outlineLevel="0" collapsed="false">
      <c r="A13236" s="5" t="n">
        <f aca="false">VDB(2400,300,10,1,2,2,TRUE())</f>
        <v>384</v>
      </c>
      <c r="B13236" s="0" t="s">
        <v>13173</v>
      </c>
    </row>
    <row r="13237" customFormat="false" ht="15" hidden="false" customHeight="false" outlineLevel="0" collapsed="false">
      <c r="A13237" s="5" t="n">
        <f aca="false">VDB(2400,300,10,1,2,1.5,TRUE())</f>
        <v>306</v>
      </c>
      <c r="B13237" s="0" t="s">
        <v>13174</v>
      </c>
    </row>
    <row r="13238" customFormat="false" ht="15" hidden="false" customHeight="false" outlineLevel="0" collapsed="false">
      <c r="A13238" s="5" t="n">
        <f aca="false">VDB(2400,300,10,1,2,2,FALSE())</f>
        <v>384</v>
      </c>
      <c r="B13238" s="0" t="s">
        <v>13175</v>
      </c>
    </row>
    <row r="13239" customFormat="false" ht="15" hidden="false" customHeight="false" outlineLevel="0" collapsed="false">
      <c r="A13239" s="5" t="e">
        <f aca="false">VDB(2400,300,10,1,2,,TRUE())</f>
        <v>#VALUE!</v>
      </c>
      <c r="B13239" s="0" t="s">
        <v>13176</v>
      </c>
    </row>
    <row r="13240" customFormat="false" ht="15" hidden="false" customHeight="false" outlineLevel="0" collapsed="false">
      <c r="A13240" s="5" t="n">
        <f aca="false">VDB(2400,300,10,0,5)</f>
        <v>1613.568</v>
      </c>
      <c r="B13240" s="0" t="s">
        <v>13177</v>
      </c>
    </row>
    <row r="13241" customFormat="false" ht="15" hidden="false" customHeight="false" outlineLevel="0" collapsed="false">
      <c r="A13241" s="5" t="n">
        <f aca="false">VDB(2400,300,10,0,5,1.5)</f>
        <v>1335.10725</v>
      </c>
      <c r="B13241" s="0" t="s">
        <v>13178</v>
      </c>
    </row>
    <row r="13242" customFormat="false" ht="15" hidden="false" customHeight="false" outlineLevel="0" collapsed="false">
      <c r="A13242" s="5" t="n">
        <f aca="false">VDB(2400,300,10,0,5,2)</f>
        <v>1613.568</v>
      </c>
      <c r="B13242" s="0" t="s">
        <v>13179</v>
      </c>
    </row>
    <row r="13243" customFormat="false" ht="15" hidden="false" customHeight="false" outlineLevel="0" collapsed="false">
      <c r="A13243" s="5" t="n">
        <f aca="false">VDB(2400,300,10,0,5,3)</f>
        <v>1996.632</v>
      </c>
      <c r="B13243" s="0" t="s">
        <v>13180</v>
      </c>
    </row>
    <row r="13244" customFormat="false" ht="15" hidden="false" customHeight="false" outlineLevel="0" collapsed="false">
      <c r="A13244" s="5" t="e">
        <f aca="false">VDB(2400,300,10,0,5,0)</f>
        <v>#VALUE!</v>
      </c>
      <c r="B13244" s="0" t="s">
        <v>13181</v>
      </c>
    </row>
    <row r="13245" customFormat="false" ht="15" hidden="false" customHeight="false" outlineLevel="0" collapsed="false">
      <c r="A13245" s="5" t="e">
        <f aca="false">VDB(2400,300,10,0,5,-1)</f>
        <v>#VALUE!</v>
      </c>
      <c r="B13245" s="0" t="s">
        <v>13182</v>
      </c>
    </row>
    <row r="13246" customFormat="false" ht="15" hidden="false" customHeight="false" outlineLevel="0" collapsed="false">
      <c r="A13246" s="5" t="n">
        <f aca="false">VDB(2400,300,10,0,5,2,TRUE())</f>
        <v>1613.568</v>
      </c>
      <c r="B13246" s="0" t="s">
        <v>13183</v>
      </c>
    </row>
    <row r="13247" customFormat="false" ht="15" hidden="false" customHeight="false" outlineLevel="0" collapsed="false">
      <c r="A13247" s="5" t="n">
        <f aca="false">VDB(2400,300,10,0,5,1.5,TRUE())</f>
        <v>1335.10725</v>
      </c>
      <c r="B13247" s="0" t="s">
        <v>13184</v>
      </c>
    </row>
    <row r="13248" customFormat="false" ht="15" hidden="false" customHeight="false" outlineLevel="0" collapsed="false">
      <c r="A13248" s="5" t="n">
        <f aca="false">VDB(2400,300,10,0,5,2,FALSE())</f>
        <v>1613.568</v>
      </c>
      <c r="B13248" s="0" t="s">
        <v>13185</v>
      </c>
    </row>
    <row r="13249" customFormat="false" ht="15" hidden="false" customHeight="false" outlineLevel="0" collapsed="false">
      <c r="A13249" s="5" t="e">
        <f aca="false">VDB(2400,300,10,0,5,,TRUE())</f>
        <v>#VALUE!</v>
      </c>
      <c r="B13249" s="0" t="s">
        <v>13186</v>
      </c>
    </row>
    <row r="13250" customFormat="false" ht="15" hidden="false" customHeight="false" outlineLevel="0" collapsed="false">
      <c r="A13250" s="5" t="n">
        <f aca="false">VDB(2400,300,10,0.5,1.5)</f>
        <v>432</v>
      </c>
      <c r="B13250" s="0" t="s">
        <v>13187</v>
      </c>
    </row>
    <row r="13251" customFormat="false" ht="15" hidden="false" customHeight="false" outlineLevel="0" collapsed="false">
      <c r="A13251" s="5" t="n">
        <f aca="false">VDB(2400,300,10,0.5,1.5,1.5)</f>
        <v>333</v>
      </c>
      <c r="B13251" s="0" t="s">
        <v>13188</v>
      </c>
    </row>
    <row r="13252" customFormat="false" ht="15" hidden="false" customHeight="false" outlineLevel="0" collapsed="false">
      <c r="A13252" s="5" t="n">
        <f aca="false">VDB(2400,300,10,0.5,1.5,2)</f>
        <v>432</v>
      </c>
      <c r="B13252" s="0" t="s">
        <v>13189</v>
      </c>
    </row>
    <row r="13253" customFormat="false" ht="15" hidden="false" customHeight="false" outlineLevel="0" collapsed="false">
      <c r="A13253" s="5" t="n">
        <f aca="false">VDB(2400,300,10,0.5,1.5,3)</f>
        <v>612</v>
      </c>
      <c r="B13253" s="0" t="s">
        <v>13190</v>
      </c>
    </row>
    <row r="13254" customFormat="false" ht="15" hidden="false" customHeight="false" outlineLevel="0" collapsed="false">
      <c r="A13254" s="5" t="e">
        <f aca="false">VDB(2400,300,10,0.5,1.5,0)</f>
        <v>#VALUE!</v>
      </c>
      <c r="B13254" s="0" t="s">
        <v>13191</v>
      </c>
    </row>
    <row r="13255" customFormat="false" ht="15" hidden="false" customHeight="false" outlineLevel="0" collapsed="false">
      <c r="A13255" s="5" t="e">
        <f aca="false">VDB(2400,300,10,0.5,1.5,-1)</f>
        <v>#VALUE!</v>
      </c>
      <c r="B13255" s="0" t="s">
        <v>13192</v>
      </c>
    </row>
    <row r="13256" customFormat="false" ht="15" hidden="false" customHeight="false" outlineLevel="0" collapsed="false">
      <c r="A13256" s="5" t="n">
        <f aca="false">VDB(2400,300,10,0.5,1.5,2,TRUE())</f>
        <v>432</v>
      </c>
      <c r="B13256" s="0" t="s">
        <v>13193</v>
      </c>
    </row>
    <row r="13257" customFormat="false" ht="15" hidden="false" customHeight="false" outlineLevel="0" collapsed="false">
      <c r="A13257" s="5" t="n">
        <f aca="false">VDB(2400,300,10,0.5,1.5,1.5,TRUE())</f>
        <v>333</v>
      </c>
      <c r="B13257" s="0" t="s">
        <v>13194</v>
      </c>
    </row>
    <row r="13258" customFormat="false" ht="15" hidden="false" customHeight="false" outlineLevel="0" collapsed="false">
      <c r="A13258" s="5" t="n">
        <f aca="false">VDB(2400,300,10,0.5,1.5,2,FALSE())</f>
        <v>432</v>
      </c>
      <c r="B13258" s="0" t="s">
        <v>13195</v>
      </c>
    </row>
    <row r="13259" customFormat="false" ht="15" hidden="false" customHeight="false" outlineLevel="0" collapsed="false">
      <c r="A13259" s="5" t="e">
        <f aca="false">VDB(2400,300,10,0.5,1.5,,TRUE())</f>
        <v>#VALUE!</v>
      </c>
      <c r="B13259" s="0" t="s">
        <v>13196</v>
      </c>
    </row>
    <row r="13260" customFormat="false" ht="15" hidden="false" customHeight="false" outlineLevel="0" collapsed="false">
      <c r="A13260" s="5" t="n">
        <f aca="false">VDB(2400,300,10,2,3)</f>
        <v>307.2</v>
      </c>
      <c r="B13260" s="0" t="s">
        <v>13197</v>
      </c>
    </row>
    <row r="13261" customFormat="false" ht="15" hidden="false" customHeight="false" outlineLevel="0" collapsed="false">
      <c r="A13261" s="5" t="n">
        <f aca="false">VDB(2400,300,10,2,3,1.5)</f>
        <v>260.1</v>
      </c>
      <c r="B13261" s="0" t="s">
        <v>13198</v>
      </c>
    </row>
    <row r="13262" customFormat="false" ht="15" hidden="false" customHeight="false" outlineLevel="0" collapsed="false">
      <c r="A13262" s="5" t="n">
        <f aca="false">VDB(2400,300,10,2,3,2)</f>
        <v>307.2</v>
      </c>
      <c r="B13262" s="0" t="s">
        <v>13199</v>
      </c>
    </row>
    <row r="13263" customFormat="false" ht="15" hidden="false" customHeight="false" outlineLevel="0" collapsed="false">
      <c r="A13263" s="5" t="n">
        <f aca="false">VDB(2400,300,10,2,3,3)</f>
        <v>352.8</v>
      </c>
      <c r="B13263" s="0" t="s">
        <v>13200</v>
      </c>
    </row>
    <row r="13264" customFormat="false" ht="15" hidden="false" customHeight="false" outlineLevel="0" collapsed="false">
      <c r="A13264" s="5" t="e">
        <f aca="false">VDB(2400,300,10,2,3,0)</f>
        <v>#VALUE!</v>
      </c>
      <c r="B13264" s="0" t="s">
        <v>13201</v>
      </c>
    </row>
    <row r="13265" customFormat="false" ht="15" hidden="false" customHeight="false" outlineLevel="0" collapsed="false">
      <c r="A13265" s="5" t="e">
        <f aca="false">VDB(2400,300,10,2,3,-1)</f>
        <v>#VALUE!</v>
      </c>
      <c r="B13265" s="0" t="s">
        <v>13202</v>
      </c>
    </row>
    <row r="13266" customFormat="false" ht="15" hidden="false" customHeight="false" outlineLevel="0" collapsed="false">
      <c r="A13266" s="5" t="n">
        <f aca="false">VDB(2400,300,10,2,3,2,TRUE())</f>
        <v>307.2</v>
      </c>
      <c r="B13266" s="0" t="s">
        <v>13203</v>
      </c>
    </row>
    <row r="13267" customFormat="false" ht="15" hidden="false" customHeight="false" outlineLevel="0" collapsed="false">
      <c r="A13267" s="5" t="n">
        <f aca="false">VDB(2400,300,10,2,3,1.5,TRUE())</f>
        <v>260.1</v>
      </c>
      <c r="B13267" s="0" t="s">
        <v>13204</v>
      </c>
    </row>
    <row r="13268" customFormat="false" ht="15" hidden="false" customHeight="false" outlineLevel="0" collapsed="false">
      <c r="A13268" s="5" t="n">
        <f aca="false">VDB(2400,300,10,2,3,2,FALSE())</f>
        <v>307.2</v>
      </c>
      <c r="B13268" s="0" t="s">
        <v>13205</v>
      </c>
    </row>
    <row r="13269" customFormat="false" ht="15" hidden="false" customHeight="false" outlineLevel="0" collapsed="false">
      <c r="A13269" s="5" t="e">
        <f aca="false">VDB(2400,300,10,2,3,,TRUE())</f>
        <v>#VALUE!</v>
      </c>
      <c r="B13269" s="0" t="s">
        <v>13206</v>
      </c>
    </row>
    <row r="13270" customFormat="false" ht="15" hidden="false" customHeight="false" outlineLevel="0" collapsed="false">
      <c r="A13270" s="5" t="n">
        <f aca="false">VDB(2400,300,10,0,10)</f>
        <v>2100</v>
      </c>
      <c r="B13270" s="0" t="s">
        <v>13207</v>
      </c>
    </row>
    <row r="13271" customFormat="false" ht="15" hidden="false" customHeight="false" outlineLevel="0" collapsed="false">
      <c r="A13271" s="5" t="n">
        <f aca="false">VDB(2400,300,10,0,10,1.5)</f>
        <v>2100</v>
      </c>
      <c r="B13271" s="0" t="s">
        <v>13208</v>
      </c>
    </row>
    <row r="13272" customFormat="false" ht="15" hidden="false" customHeight="false" outlineLevel="0" collapsed="false">
      <c r="A13272" s="5" t="n">
        <f aca="false">VDB(2400,300,10,0,10,2)</f>
        <v>2100</v>
      </c>
      <c r="B13272" s="0" t="s">
        <v>13209</v>
      </c>
    </row>
    <row r="13273" customFormat="false" ht="15" hidden="false" customHeight="false" outlineLevel="0" collapsed="false">
      <c r="A13273" s="5" t="n">
        <f aca="false">VDB(2400,300,10,0,10,3)</f>
        <v>2100</v>
      </c>
      <c r="B13273" s="0" t="s">
        <v>13210</v>
      </c>
    </row>
    <row r="13274" customFormat="false" ht="15" hidden="false" customHeight="false" outlineLevel="0" collapsed="false">
      <c r="A13274" s="5" t="e">
        <f aca="false">VDB(2400,300,10,0,10,0)</f>
        <v>#VALUE!</v>
      </c>
      <c r="B13274" s="0" t="s">
        <v>13211</v>
      </c>
    </row>
    <row r="13275" customFormat="false" ht="15" hidden="false" customHeight="false" outlineLevel="0" collapsed="false">
      <c r="A13275" s="5" t="e">
        <f aca="false">VDB(2400,300,10,0,10,-1)</f>
        <v>#VALUE!</v>
      </c>
      <c r="B13275" s="0" t="s">
        <v>13212</v>
      </c>
    </row>
    <row r="13276" customFormat="false" ht="15" hidden="false" customHeight="false" outlineLevel="0" collapsed="false">
      <c r="A13276" s="5" t="n">
        <f aca="false">VDB(2400,300,10,0,10,2,TRUE())</f>
        <v>2100</v>
      </c>
      <c r="B13276" s="0" t="s">
        <v>13213</v>
      </c>
    </row>
    <row r="13277" customFormat="false" ht="15" hidden="false" customHeight="false" outlineLevel="0" collapsed="false">
      <c r="A13277" s="5" t="n">
        <f aca="false">VDB(2400,300,10,0,10,1.5,TRUE())</f>
        <v>1927.50142958227</v>
      </c>
      <c r="B13277" s="0" t="s">
        <v>13214</v>
      </c>
    </row>
    <row r="13278" customFormat="false" ht="15" hidden="false" customHeight="false" outlineLevel="0" collapsed="false">
      <c r="A13278" s="5" t="n">
        <f aca="false">VDB(2400,300,10,0,10,2,FALSE())</f>
        <v>2100</v>
      </c>
      <c r="B13278" s="0" t="s">
        <v>13215</v>
      </c>
    </row>
    <row r="13279" customFormat="false" ht="15" hidden="false" customHeight="false" outlineLevel="0" collapsed="false">
      <c r="A13279" s="5" t="e">
        <f aca="false">VDB(2400,300,10,0,10,,TRUE())</f>
        <v>#VALUE!</v>
      </c>
      <c r="B13279" s="0" t="s">
        <v>13216</v>
      </c>
    </row>
    <row r="13280" customFormat="false" ht="15" hidden="false" customHeight="false" outlineLevel="0" collapsed="false">
      <c r="A13280" s="5" t="n">
        <f aca="false">VDB(2400,300,10,9,10)</f>
        <v>22.1225472000001</v>
      </c>
      <c r="B13280" s="0" t="s">
        <v>13217</v>
      </c>
    </row>
    <row r="13281" customFormat="false" ht="15" hidden="false" customHeight="false" outlineLevel="0" collapsed="false">
      <c r="A13281" s="5" t="n">
        <f aca="false">VDB(2400,300,10,9,10,1.5)</f>
        <v>151.289709375</v>
      </c>
      <c r="B13281" s="0" t="s">
        <v>13218</v>
      </c>
    </row>
    <row r="13282" customFormat="false" ht="15" hidden="false" customHeight="false" outlineLevel="0" collapsed="false">
      <c r="A13282" s="5" t="n">
        <f aca="false">VDB(2400,300,10,9,10,2)</f>
        <v>22.1225472000001</v>
      </c>
      <c r="B13282" s="0" t="s">
        <v>13219</v>
      </c>
    </row>
    <row r="13283" customFormat="false" ht="15" hidden="false" customHeight="false" outlineLevel="0" collapsed="false">
      <c r="A13283" s="5" t="n">
        <f aca="false">VDB(2400,300,10,9,10,3)</f>
        <v>0</v>
      </c>
      <c r="B13283" s="0" t="s">
        <v>13220</v>
      </c>
    </row>
    <row r="13284" customFormat="false" ht="15" hidden="false" customHeight="false" outlineLevel="0" collapsed="false">
      <c r="A13284" s="5" t="e">
        <f aca="false">VDB(2400,300,10,9,10,0)</f>
        <v>#VALUE!</v>
      </c>
      <c r="B13284" s="0" t="s">
        <v>13221</v>
      </c>
    </row>
    <row r="13285" customFormat="false" ht="15" hidden="false" customHeight="false" outlineLevel="0" collapsed="false">
      <c r="A13285" s="5" t="e">
        <f aca="false">VDB(2400,300,10,9,10,-1)</f>
        <v>#VALUE!</v>
      </c>
      <c r="B13285" s="0" t="s">
        <v>13222</v>
      </c>
    </row>
    <row r="13286" customFormat="false" ht="15" hidden="false" customHeight="false" outlineLevel="0" collapsed="false">
      <c r="A13286" s="5" t="n">
        <f aca="false">VDB(2400,300,10,9,10,2,TRUE())</f>
        <v>22.1225472000002</v>
      </c>
      <c r="B13286" s="0" t="s">
        <v>13223</v>
      </c>
    </row>
    <row r="13287" customFormat="false" ht="15" hidden="false" customHeight="false" outlineLevel="0" collapsed="false">
      <c r="A13287" s="5" t="n">
        <f aca="false">VDB(2400,300,10,9,10,1.5,TRUE())</f>
        <v>83.3821006619531</v>
      </c>
      <c r="B13287" s="0" t="s">
        <v>13224</v>
      </c>
    </row>
    <row r="13288" customFormat="false" ht="15" hidden="false" customHeight="false" outlineLevel="0" collapsed="false">
      <c r="A13288" s="5" t="n">
        <f aca="false">VDB(2400,300,10,9,10,2,FALSE())</f>
        <v>22.1225472000001</v>
      </c>
      <c r="B13288" s="0" t="s">
        <v>13225</v>
      </c>
    </row>
    <row r="13289" customFormat="false" ht="15" hidden="false" customHeight="false" outlineLevel="0" collapsed="false">
      <c r="A13289" s="5" t="e">
        <f aca="false">VDB(2400,300,10,9,10,,TRUE())</f>
        <v>#VALUE!</v>
      </c>
      <c r="B13289" s="0" t="s">
        <v>13226</v>
      </c>
    </row>
    <row r="13290" customFormat="false" ht="15" hidden="false" customHeight="false" outlineLevel="0" collapsed="false">
      <c r="A13290" s="5" t="n">
        <f aca="false">VDB(2400,300,10,3.5,4.2)</f>
        <v>162.2016</v>
      </c>
      <c r="B13290" s="0" t="s">
        <v>13227</v>
      </c>
    </row>
    <row r="13291" customFormat="false" ht="15" hidden="false" customHeight="false" outlineLevel="0" collapsed="false">
      <c r="A13291" s="5" t="n">
        <f aca="false">VDB(2400,300,10,3.5,4.2,1.5)</f>
        <v>148.12695</v>
      </c>
      <c r="B13291" s="0" t="s">
        <v>13228</v>
      </c>
    </row>
    <row r="13292" customFormat="false" ht="15" hidden="false" customHeight="false" outlineLevel="0" collapsed="false">
      <c r="A13292" s="5" t="n">
        <f aca="false">VDB(2400,300,10,3.5,4.2,2)</f>
        <v>162.2016</v>
      </c>
      <c r="B13292" s="0" t="s">
        <v>13229</v>
      </c>
    </row>
    <row r="13293" customFormat="false" ht="15" hidden="false" customHeight="false" outlineLevel="0" collapsed="false">
      <c r="A13293" s="5" t="n">
        <f aca="false">VDB(2400,300,10,3.5,4.2,3)</f>
        <v>158.0544</v>
      </c>
      <c r="B13293" s="0" t="s">
        <v>13230</v>
      </c>
    </row>
    <row r="13294" customFormat="false" ht="15" hidden="false" customHeight="false" outlineLevel="0" collapsed="false">
      <c r="A13294" s="5" t="e">
        <f aca="false">VDB(2400,300,10,3.5,4.2,0)</f>
        <v>#VALUE!</v>
      </c>
      <c r="B13294" s="0" t="s">
        <v>13231</v>
      </c>
    </row>
    <row r="13295" customFormat="false" ht="15" hidden="false" customHeight="false" outlineLevel="0" collapsed="false">
      <c r="A13295" s="5" t="e">
        <f aca="false">VDB(2400,300,10,3.5,4.2,-1)</f>
        <v>#VALUE!</v>
      </c>
      <c r="B13295" s="0" t="s">
        <v>13232</v>
      </c>
    </row>
    <row r="13296" customFormat="false" ht="15" hidden="false" customHeight="false" outlineLevel="0" collapsed="false">
      <c r="A13296" s="5" t="n">
        <f aca="false">VDB(2400,300,10,3.5,4.2,2,TRUE())</f>
        <v>162.2016</v>
      </c>
      <c r="B13296" s="0" t="s">
        <v>13233</v>
      </c>
    </row>
    <row r="13297" customFormat="false" ht="15" hidden="false" customHeight="false" outlineLevel="0" collapsed="false">
      <c r="A13297" s="5" t="n">
        <f aca="false">VDB(2400,300,10,3.5,4.2,1.5,TRUE())</f>
        <v>148.12695</v>
      </c>
      <c r="B13297" s="0" t="s">
        <v>13234</v>
      </c>
    </row>
    <row r="13298" customFormat="false" ht="15" hidden="false" customHeight="false" outlineLevel="0" collapsed="false">
      <c r="A13298" s="5" t="n">
        <f aca="false">VDB(2400,300,10,3.5,4.2,2,FALSE())</f>
        <v>162.2016</v>
      </c>
      <c r="B13298" s="0" t="s">
        <v>13235</v>
      </c>
    </row>
    <row r="13299" customFormat="false" ht="15" hidden="false" customHeight="false" outlineLevel="0" collapsed="false">
      <c r="A13299" s="5" t="e">
        <f aca="false">VDB(2400,300,10,3.5,4.2,,TRUE())</f>
        <v>#VALUE!</v>
      </c>
      <c r="B13299" s="0" t="s">
        <v>13236</v>
      </c>
    </row>
    <row r="13300" customFormat="false" ht="15" hidden="false" customHeight="false" outlineLevel="0" collapsed="false">
      <c r="A13300" s="5" t="n">
        <f aca="false">VDB(2400,300,10,0,0)</f>
        <v>0</v>
      </c>
      <c r="B13300" s="0" t="s">
        <v>13237</v>
      </c>
    </row>
    <row r="13301" customFormat="false" ht="15" hidden="false" customHeight="false" outlineLevel="0" collapsed="false">
      <c r="A13301" s="5" t="n">
        <f aca="false">VDB(2400,300,10,0,0,1.5)</f>
        <v>0</v>
      </c>
      <c r="B13301" s="0" t="s">
        <v>13238</v>
      </c>
    </row>
    <row r="13302" customFormat="false" ht="15" hidden="false" customHeight="false" outlineLevel="0" collapsed="false">
      <c r="A13302" s="5" t="n">
        <f aca="false">VDB(2400,300,10,0,0,2)</f>
        <v>0</v>
      </c>
      <c r="B13302" s="0" t="s">
        <v>13239</v>
      </c>
    </row>
    <row r="13303" customFormat="false" ht="15" hidden="false" customHeight="false" outlineLevel="0" collapsed="false">
      <c r="A13303" s="5" t="n">
        <f aca="false">VDB(2400,300,10,0,0,3)</f>
        <v>0</v>
      </c>
      <c r="B13303" s="0" t="s">
        <v>13240</v>
      </c>
    </row>
    <row r="13304" customFormat="false" ht="15" hidden="false" customHeight="false" outlineLevel="0" collapsed="false">
      <c r="A13304" s="5" t="e">
        <f aca="false">VDB(2400,300,10,0,0,0)</f>
        <v>#VALUE!</v>
      </c>
      <c r="B13304" s="0" t="s">
        <v>13241</v>
      </c>
    </row>
    <row r="13305" customFormat="false" ht="15" hidden="false" customHeight="false" outlineLevel="0" collapsed="false">
      <c r="A13305" s="5" t="e">
        <f aca="false">VDB(2400,300,10,0,0,-1)</f>
        <v>#VALUE!</v>
      </c>
      <c r="B13305" s="0" t="s">
        <v>13242</v>
      </c>
    </row>
    <row r="13306" customFormat="false" ht="15" hidden="false" customHeight="false" outlineLevel="0" collapsed="false">
      <c r="A13306" s="5" t="n">
        <f aca="false">VDB(2400,300,10,0,0,2,TRUE())</f>
        <v>0</v>
      </c>
      <c r="B13306" s="0" t="s">
        <v>13243</v>
      </c>
    </row>
    <row r="13307" customFormat="false" ht="15" hidden="false" customHeight="false" outlineLevel="0" collapsed="false">
      <c r="A13307" s="5" t="n">
        <f aca="false">VDB(2400,300,10,0,0,1.5,TRUE())</f>
        <v>0</v>
      </c>
      <c r="B13307" s="0" t="s">
        <v>13244</v>
      </c>
    </row>
    <row r="13308" customFormat="false" ht="15" hidden="false" customHeight="false" outlineLevel="0" collapsed="false">
      <c r="A13308" s="5" t="n">
        <f aca="false">VDB(2400,300,10,0,0,2,FALSE())</f>
        <v>0</v>
      </c>
      <c r="B13308" s="0" t="s">
        <v>13245</v>
      </c>
    </row>
    <row r="13309" customFormat="false" ht="15" hidden="false" customHeight="false" outlineLevel="0" collapsed="false">
      <c r="A13309" s="5" t="e">
        <f aca="false">VDB(2400,300,10,0,0,,TRUE())</f>
        <v>#VALUE!</v>
      </c>
      <c r="B13309" s="0" t="s">
        <v>13246</v>
      </c>
    </row>
    <row r="13310" customFormat="false" ht="15" hidden="false" customHeight="false" outlineLevel="0" collapsed="false">
      <c r="A13310" s="5" t="n">
        <f aca="false">VDB(2400,300,10,1,1)</f>
        <v>0</v>
      </c>
      <c r="B13310" s="0" t="s">
        <v>13247</v>
      </c>
    </row>
    <row r="13311" customFormat="false" ht="15" hidden="false" customHeight="false" outlineLevel="0" collapsed="false">
      <c r="A13311" s="5" t="n">
        <f aca="false">VDB(2400,300,10,1,1,1.5)</f>
        <v>0</v>
      </c>
      <c r="B13311" s="0" t="s">
        <v>13248</v>
      </c>
    </row>
    <row r="13312" customFormat="false" ht="15" hidden="false" customHeight="false" outlineLevel="0" collapsed="false">
      <c r="A13312" s="5" t="n">
        <f aca="false">VDB(2400,300,10,1,1,2)</f>
        <v>0</v>
      </c>
      <c r="B13312" s="0" t="s">
        <v>13249</v>
      </c>
    </row>
    <row r="13313" customFormat="false" ht="15" hidden="false" customHeight="false" outlineLevel="0" collapsed="false">
      <c r="A13313" s="5" t="n">
        <f aca="false">VDB(2400,300,10,1,1,3)</f>
        <v>0</v>
      </c>
      <c r="B13313" s="0" t="s">
        <v>13250</v>
      </c>
    </row>
    <row r="13314" customFormat="false" ht="15" hidden="false" customHeight="false" outlineLevel="0" collapsed="false">
      <c r="A13314" s="5" t="e">
        <f aca="false">VDB(2400,300,10,1,1,0)</f>
        <v>#VALUE!</v>
      </c>
      <c r="B13314" s="0" t="s">
        <v>13251</v>
      </c>
    </row>
    <row r="13315" customFormat="false" ht="15" hidden="false" customHeight="false" outlineLevel="0" collapsed="false">
      <c r="A13315" s="5" t="e">
        <f aca="false">VDB(2400,300,10,1,1,-1)</f>
        <v>#VALUE!</v>
      </c>
      <c r="B13315" s="0" t="s">
        <v>13252</v>
      </c>
    </row>
    <row r="13316" customFormat="false" ht="15" hidden="false" customHeight="false" outlineLevel="0" collapsed="false">
      <c r="A13316" s="5" t="n">
        <f aca="false">VDB(2400,300,10,1,1,2,TRUE())</f>
        <v>0</v>
      </c>
      <c r="B13316" s="0" t="s">
        <v>13253</v>
      </c>
    </row>
    <row r="13317" customFormat="false" ht="15" hidden="false" customHeight="false" outlineLevel="0" collapsed="false">
      <c r="A13317" s="5" t="n">
        <f aca="false">VDB(2400,300,10,1,1,1.5,TRUE())</f>
        <v>0</v>
      </c>
      <c r="B13317" s="0" t="s">
        <v>13254</v>
      </c>
    </row>
    <row r="13318" customFormat="false" ht="15" hidden="false" customHeight="false" outlineLevel="0" collapsed="false">
      <c r="A13318" s="5" t="n">
        <f aca="false">VDB(2400,300,10,1,1,2,FALSE())</f>
        <v>0</v>
      </c>
      <c r="B13318" s="0" t="s">
        <v>13255</v>
      </c>
    </row>
    <row r="13319" customFormat="false" ht="15" hidden="false" customHeight="false" outlineLevel="0" collapsed="false">
      <c r="A13319" s="5" t="e">
        <f aca="false">VDB(2400,300,10,1,1,,TRUE())</f>
        <v>#VALUE!</v>
      </c>
      <c r="B13319" s="0" t="s">
        <v>13256</v>
      </c>
    </row>
    <row r="13320" customFormat="false" ht="15" hidden="false" customHeight="false" outlineLevel="0" collapsed="false">
      <c r="A13320" s="5" t="e">
        <f aca="false">VDB(2400,300,10,2,1)</f>
        <v>#VALUE!</v>
      </c>
      <c r="B13320" s="0" t="s">
        <v>13257</v>
      </c>
    </row>
    <row r="13321" customFormat="false" ht="15" hidden="false" customHeight="false" outlineLevel="0" collapsed="false">
      <c r="A13321" s="5" t="e">
        <f aca="false">VDB(2400,300,10,2,1,1.5)</f>
        <v>#VALUE!</v>
      </c>
      <c r="B13321" s="0" t="s">
        <v>13258</v>
      </c>
    </row>
    <row r="13322" customFormat="false" ht="15" hidden="false" customHeight="false" outlineLevel="0" collapsed="false">
      <c r="A13322" s="5" t="e">
        <f aca="false">VDB(2400,300,10,2,1,2)</f>
        <v>#VALUE!</v>
      </c>
      <c r="B13322" s="0" t="s">
        <v>13259</v>
      </c>
    </row>
    <row r="13323" customFormat="false" ht="15" hidden="false" customHeight="false" outlineLevel="0" collapsed="false">
      <c r="A13323" s="5" t="e">
        <f aca="false">VDB(2400,300,10,2,1,3)</f>
        <v>#VALUE!</v>
      </c>
      <c r="B13323" s="0" t="s">
        <v>13260</v>
      </c>
    </row>
    <row r="13324" customFormat="false" ht="15" hidden="false" customHeight="false" outlineLevel="0" collapsed="false">
      <c r="A13324" s="5" t="e">
        <f aca="false">VDB(2400,300,10,2,1,0)</f>
        <v>#VALUE!</v>
      </c>
      <c r="B13324" s="0" t="s">
        <v>13261</v>
      </c>
    </row>
    <row r="13325" customFormat="false" ht="15" hidden="false" customHeight="false" outlineLevel="0" collapsed="false">
      <c r="A13325" s="5" t="e">
        <f aca="false">VDB(2400,300,10,2,1,-1)</f>
        <v>#VALUE!</v>
      </c>
      <c r="B13325" s="0" t="s">
        <v>13262</v>
      </c>
    </row>
    <row r="13326" customFormat="false" ht="15" hidden="false" customHeight="false" outlineLevel="0" collapsed="false">
      <c r="A13326" s="5" t="e">
        <f aca="false">VDB(2400,300,10,2,1,2,TRUE())</f>
        <v>#VALUE!</v>
      </c>
      <c r="B13326" s="0" t="s">
        <v>13263</v>
      </c>
    </row>
    <row r="13327" customFormat="false" ht="15" hidden="false" customHeight="false" outlineLevel="0" collapsed="false">
      <c r="A13327" s="5" t="e">
        <f aca="false">VDB(2400,300,10,2,1,1.5,TRUE())</f>
        <v>#VALUE!</v>
      </c>
      <c r="B13327" s="0" t="s">
        <v>13264</v>
      </c>
    </row>
    <row r="13328" customFormat="false" ht="15" hidden="false" customHeight="false" outlineLevel="0" collapsed="false">
      <c r="A13328" s="5" t="e">
        <f aca="false">VDB(2400,300,10,2,1,2,FALSE())</f>
        <v>#VALUE!</v>
      </c>
      <c r="B13328" s="0" t="s">
        <v>13265</v>
      </c>
    </row>
    <row r="13329" customFormat="false" ht="15" hidden="false" customHeight="false" outlineLevel="0" collapsed="false">
      <c r="A13329" s="5" t="e">
        <f aca="false">VDB(2400,300,10,2,1,,TRUE())</f>
        <v>#VALUE!</v>
      </c>
      <c r="B13329" s="0" t="s">
        <v>13266</v>
      </c>
    </row>
    <row r="13330" customFormat="false" ht="15" hidden="false" customHeight="false" outlineLevel="0" collapsed="false">
      <c r="A13330" s="5" t="e">
        <f aca="false">VDB(2400,300,10,0,11)</f>
        <v>#VALUE!</v>
      </c>
      <c r="B13330" s="0" t="s">
        <v>13267</v>
      </c>
    </row>
    <row r="13331" customFormat="false" ht="15" hidden="false" customHeight="false" outlineLevel="0" collapsed="false">
      <c r="A13331" s="5" t="e">
        <f aca="false">VDB(2400,300,10,0,11,1.5)</f>
        <v>#VALUE!</v>
      </c>
      <c r="B13331" s="0" t="s">
        <v>13268</v>
      </c>
    </row>
    <row r="13332" customFormat="false" ht="15" hidden="false" customHeight="false" outlineLevel="0" collapsed="false">
      <c r="A13332" s="5" t="e">
        <f aca="false">VDB(2400,300,10,0,11,2)</f>
        <v>#VALUE!</v>
      </c>
      <c r="B13332" s="0" t="s">
        <v>13269</v>
      </c>
    </row>
    <row r="13333" customFormat="false" ht="15" hidden="false" customHeight="false" outlineLevel="0" collapsed="false">
      <c r="A13333" s="5" t="e">
        <f aca="false">VDB(2400,300,10,0,11,3)</f>
        <v>#VALUE!</v>
      </c>
      <c r="B13333" s="0" t="s">
        <v>13270</v>
      </c>
    </row>
    <row r="13334" customFormat="false" ht="15" hidden="false" customHeight="false" outlineLevel="0" collapsed="false">
      <c r="A13334" s="5" t="e">
        <f aca="false">VDB(2400,300,10,0,11,0)</f>
        <v>#VALUE!</v>
      </c>
      <c r="B13334" s="0" t="s">
        <v>13271</v>
      </c>
    </row>
    <row r="13335" customFormat="false" ht="15" hidden="false" customHeight="false" outlineLevel="0" collapsed="false">
      <c r="A13335" s="5" t="e">
        <f aca="false">VDB(2400,300,10,0,11,-1)</f>
        <v>#VALUE!</v>
      </c>
      <c r="B13335" s="0" t="s">
        <v>13272</v>
      </c>
    </row>
    <row r="13336" customFormat="false" ht="15" hidden="false" customHeight="false" outlineLevel="0" collapsed="false">
      <c r="A13336" s="5" t="e">
        <f aca="false">VDB(2400,300,10,0,11,2,TRUE())</f>
        <v>#VALUE!</v>
      </c>
      <c r="B13336" s="0" t="s">
        <v>13273</v>
      </c>
    </row>
    <row r="13337" customFormat="false" ht="15" hidden="false" customHeight="false" outlineLevel="0" collapsed="false">
      <c r="A13337" s="5" t="e">
        <f aca="false">VDB(2400,300,10,0,11,1.5,TRUE())</f>
        <v>#VALUE!</v>
      </c>
      <c r="B13337" s="0" t="s">
        <v>13274</v>
      </c>
    </row>
    <row r="13338" customFormat="false" ht="15" hidden="false" customHeight="false" outlineLevel="0" collapsed="false">
      <c r="A13338" s="5" t="e">
        <f aca="false">VDB(2400,300,10,0,11,2,FALSE())</f>
        <v>#VALUE!</v>
      </c>
      <c r="B13338" s="0" t="s">
        <v>13275</v>
      </c>
    </row>
    <row r="13339" customFormat="false" ht="15" hidden="false" customHeight="false" outlineLevel="0" collapsed="false">
      <c r="A13339" s="5" t="e">
        <f aca="false">VDB(2400,300,10,0,11,,TRUE())</f>
        <v>#VALUE!</v>
      </c>
      <c r="B13339" s="0" t="s">
        <v>13276</v>
      </c>
    </row>
    <row r="13340" customFormat="false" ht="15" hidden="false" customHeight="false" outlineLevel="0" collapsed="false">
      <c r="A13340" s="5" t="e">
        <f aca="false">VDB(2400,300,10,-1,1)</f>
        <v>#VALUE!</v>
      </c>
      <c r="B13340" s="0" t="s">
        <v>13277</v>
      </c>
    </row>
    <row r="13341" customFormat="false" ht="15" hidden="false" customHeight="false" outlineLevel="0" collapsed="false">
      <c r="A13341" s="5" t="e">
        <f aca="false">VDB(2400,300,10,-1,1,1.5)</f>
        <v>#VALUE!</v>
      </c>
      <c r="B13341" s="0" t="s">
        <v>13278</v>
      </c>
    </row>
    <row r="13342" customFormat="false" ht="15" hidden="false" customHeight="false" outlineLevel="0" collapsed="false">
      <c r="A13342" s="5" t="e">
        <f aca="false">VDB(2400,300,10,-1,1,2)</f>
        <v>#VALUE!</v>
      </c>
      <c r="B13342" s="0" t="s">
        <v>13279</v>
      </c>
    </row>
    <row r="13343" customFormat="false" ht="15" hidden="false" customHeight="false" outlineLevel="0" collapsed="false">
      <c r="A13343" s="5" t="e">
        <f aca="false">VDB(2400,300,10,-1,1,3)</f>
        <v>#VALUE!</v>
      </c>
      <c r="B13343" s="0" t="s">
        <v>13280</v>
      </c>
    </row>
    <row r="13344" customFormat="false" ht="15" hidden="false" customHeight="false" outlineLevel="0" collapsed="false">
      <c r="A13344" s="5" t="e">
        <f aca="false">VDB(2400,300,10,-1,1,0)</f>
        <v>#VALUE!</v>
      </c>
      <c r="B13344" s="0" t="s">
        <v>13281</v>
      </c>
    </row>
    <row r="13345" customFormat="false" ht="15" hidden="false" customHeight="false" outlineLevel="0" collapsed="false">
      <c r="A13345" s="5" t="e">
        <f aca="false">VDB(2400,300,10,-1,1,-1)</f>
        <v>#VALUE!</v>
      </c>
      <c r="B13345" s="0" t="s">
        <v>13282</v>
      </c>
    </row>
    <row r="13346" customFormat="false" ht="15" hidden="false" customHeight="false" outlineLevel="0" collapsed="false">
      <c r="A13346" s="5" t="e">
        <f aca="false">VDB(2400,300,10,-1,1,2,TRUE())</f>
        <v>#VALUE!</v>
      </c>
      <c r="B13346" s="0" t="s">
        <v>13283</v>
      </c>
    </row>
    <row r="13347" customFormat="false" ht="15" hidden="false" customHeight="false" outlineLevel="0" collapsed="false">
      <c r="A13347" s="5" t="e">
        <f aca="false">VDB(2400,300,10,-1,1,1.5,TRUE())</f>
        <v>#VALUE!</v>
      </c>
      <c r="B13347" s="0" t="s">
        <v>13284</v>
      </c>
    </row>
    <row r="13348" customFormat="false" ht="15" hidden="false" customHeight="false" outlineLevel="0" collapsed="false">
      <c r="A13348" s="5" t="e">
        <f aca="false">VDB(2400,300,10,-1,1,2,FALSE())</f>
        <v>#VALUE!</v>
      </c>
      <c r="B13348" s="0" t="s">
        <v>13285</v>
      </c>
    </row>
    <row r="13349" customFormat="false" ht="15" hidden="false" customHeight="false" outlineLevel="0" collapsed="false">
      <c r="A13349" s="5" t="e">
        <f aca="false">VDB(2400,300,10,-1,1,,TRUE())</f>
        <v>#VALUE!</v>
      </c>
      <c r="B13349" s="0" t="s">
        <v>13286</v>
      </c>
    </row>
    <row r="13350" customFormat="false" ht="15" hidden="false" customHeight="false" outlineLevel="0" collapsed="false">
      <c r="A13350" s="5" t="n">
        <f aca="false">VDB(2400,300,10,0.25,0.75)</f>
        <v>240</v>
      </c>
      <c r="B13350" s="0" t="s">
        <v>13287</v>
      </c>
    </row>
    <row r="13351" customFormat="false" ht="15" hidden="false" customHeight="false" outlineLevel="0" collapsed="false">
      <c r="A13351" s="5" t="n">
        <f aca="false">VDB(2400,300,10,0.25,0.75,1.5)</f>
        <v>180</v>
      </c>
      <c r="B13351" s="0" t="s">
        <v>13288</v>
      </c>
    </row>
    <row r="13352" customFormat="false" ht="15" hidden="false" customHeight="false" outlineLevel="0" collapsed="false">
      <c r="A13352" s="5" t="n">
        <f aca="false">VDB(2400,300,10,0.25,0.75,2)</f>
        <v>240</v>
      </c>
      <c r="B13352" s="0" t="s">
        <v>13289</v>
      </c>
    </row>
    <row r="13353" customFormat="false" ht="15" hidden="false" customHeight="false" outlineLevel="0" collapsed="false">
      <c r="A13353" s="5" t="n">
        <f aca="false">VDB(2400,300,10,0.25,0.75,3)</f>
        <v>360</v>
      </c>
      <c r="B13353" s="0" t="s">
        <v>13290</v>
      </c>
    </row>
    <row r="13354" customFormat="false" ht="15" hidden="false" customHeight="false" outlineLevel="0" collapsed="false">
      <c r="A13354" s="5" t="e">
        <f aca="false">VDB(2400,300,10,0.25,0.75,0)</f>
        <v>#VALUE!</v>
      </c>
      <c r="B13354" s="0" t="s">
        <v>13291</v>
      </c>
    </row>
    <row r="13355" customFormat="false" ht="15" hidden="false" customHeight="false" outlineLevel="0" collapsed="false">
      <c r="A13355" s="5" t="e">
        <f aca="false">VDB(2400,300,10,0.25,0.75,-1)</f>
        <v>#VALUE!</v>
      </c>
      <c r="B13355" s="0" t="s">
        <v>13292</v>
      </c>
    </row>
    <row r="13356" customFormat="false" ht="15" hidden="false" customHeight="false" outlineLevel="0" collapsed="false">
      <c r="A13356" s="5" t="n">
        <f aca="false">VDB(2400,300,10,0.25,0.75,2,TRUE())</f>
        <v>240</v>
      </c>
      <c r="B13356" s="0" t="s">
        <v>13293</v>
      </c>
    </row>
    <row r="13357" customFormat="false" ht="15" hidden="false" customHeight="false" outlineLevel="0" collapsed="false">
      <c r="A13357" s="5" t="n">
        <f aca="false">VDB(2400,300,10,0.25,0.75,1.5,TRUE())</f>
        <v>180</v>
      </c>
      <c r="B13357" s="0" t="s">
        <v>13294</v>
      </c>
    </row>
    <row r="13358" customFormat="false" ht="15" hidden="false" customHeight="false" outlineLevel="0" collapsed="false">
      <c r="A13358" s="5" t="n">
        <f aca="false">VDB(2400,300,10,0.25,0.75,2,FALSE())</f>
        <v>240</v>
      </c>
      <c r="B13358" s="0" t="s">
        <v>13295</v>
      </c>
    </row>
    <row r="13359" customFormat="false" ht="15" hidden="false" customHeight="false" outlineLevel="0" collapsed="false">
      <c r="A13359" s="5" t="e">
        <f aca="false">VDB(2400,300,10,0.25,0.75,,TRUE())</f>
        <v>#VALUE!</v>
      </c>
      <c r="B13359" s="0" t="s">
        <v>13296</v>
      </c>
    </row>
    <row r="13360" customFormat="false" ht="15" hidden="false" customHeight="false" outlineLevel="0" collapsed="false">
      <c r="A13360" s="5" t="n">
        <f aca="false">VDB(2400,300,10,10,10)</f>
        <v>0</v>
      </c>
      <c r="B13360" s="0" t="s">
        <v>13297</v>
      </c>
    </row>
    <row r="13361" customFormat="false" ht="15" hidden="false" customHeight="false" outlineLevel="0" collapsed="false">
      <c r="A13361" s="5" t="n">
        <f aca="false">VDB(2400,300,10,10,10,1.5)</f>
        <v>0</v>
      </c>
      <c r="B13361" s="0" t="s">
        <v>13298</v>
      </c>
    </row>
    <row r="13362" customFormat="false" ht="15" hidden="false" customHeight="false" outlineLevel="0" collapsed="false">
      <c r="A13362" s="5" t="n">
        <f aca="false">VDB(2400,300,10,10,10,2)</f>
        <v>0</v>
      </c>
      <c r="B13362" s="0" t="s">
        <v>13299</v>
      </c>
    </row>
    <row r="13363" customFormat="false" ht="15" hidden="false" customHeight="false" outlineLevel="0" collapsed="false">
      <c r="A13363" s="5" t="n">
        <f aca="false">VDB(2400,300,10,10,10,3)</f>
        <v>0</v>
      </c>
      <c r="B13363" s="0" t="s">
        <v>13300</v>
      </c>
    </row>
    <row r="13364" customFormat="false" ht="15" hidden="false" customHeight="false" outlineLevel="0" collapsed="false">
      <c r="A13364" s="5" t="e">
        <f aca="false">VDB(2400,300,10,10,10,0)</f>
        <v>#VALUE!</v>
      </c>
      <c r="B13364" s="0" t="s">
        <v>13301</v>
      </c>
    </row>
    <row r="13365" customFormat="false" ht="15" hidden="false" customHeight="false" outlineLevel="0" collapsed="false">
      <c r="A13365" s="5" t="e">
        <f aca="false">VDB(2400,300,10,10,10,-1)</f>
        <v>#VALUE!</v>
      </c>
      <c r="B13365" s="0" t="s">
        <v>13302</v>
      </c>
    </row>
    <row r="13366" customFormat="false" ht="15" hidden="false" customHeight="false" outlineLevel="0" collapsed="false">
      <c r="A13366" s="5" t="n">
        <f aca="false">VDB(2400,300,10,10,10,2,TRUE())</f>
        <v>0</v>
      </c>
      <c r="B13366" s="0" t="s">
        <v>13303</v>
      </c>
    </row>
    <row r="13367" customFormat="false" ht="15" hidden="false" customHeight="false" outlineLevel="0" collapsed="false">
      <c r="A13367" s="5" t="n">
        <f aca="false">VDB(2400,300,10,10,10,1.5,TRUE())</f>
        <v>0</v>
      </c>
      <c r="B13367" s="0" t="s">
        <v>13304</v>
      </c>
    </row>
    <row r="13368" customFormat="false" ht="15" hidden="false" customHeight="false" outlineLevel="0" collapsed="false">
      <c r="A13368" s="5" t="n">
        <f aca="false">VDB(2400,300,10,10,10,2,FALSE())</f>
        <v>0</v>
      </c>
      <c r="B13368" s="0" t="s">
        <v>13305</v>
      </c>
    </row>
    <row r="13369" customFormat="false" ht="15" hidden="false" customHeight="false" outlineLevel="0" collapsed="false">
      <c r="A13369" s="5" t="e">
        <f aca="false">VDB(2400,300,10,10,10,,TRUE())</f>
        <v>#VALUE!</v>
      </c>
      <c r="B13369" s="0" t="s">
        <v>13306</v>
      </c>
    </row>
    <row r="13370" customFormat="false" ht="15" hidden="false" customHeight="false" outlineLevel="0" collapsed="false">
      <c r="A13370" s="5" t="n">
        <f aca="false">VDB(2400,300,10,1,10)</f>
        <v>1620</v>
      </c>
      <c r="B13370" s="0" t="s">
        <v>13307</v>
      </c>
    </row>
    <row r="13371" customFormat="false" ht="15" hidden="false" customHeight="false" outlineLevel="0" collapsed="false">
      <c r="A13371" s="5" t="n">
        <f aca="false">VDB(2400,300,10,1,10,1.5)</f>
        <v>1740</v>
      </c>
      <c r="B13371" s="0" t="s">
        <v>13308</v>
      </c>
    </row>
    <row r="13372" customFormat="false" ht="15" hidden="false" customHeight="false" outlineLevel="0" collapsed="false">
      <c r="A13372" s="5" t="n">
        <f aca="false">VDB(2400,300,10,1,10,2)</f>
        <v>1620</v>
      </c>
      <c r="B13372" s="0" t="s">
        <v>13309</v>
      </c>
    </row>
    <row r="13373" customFormat="false" ht="15" hidden="false" customHeight="false" outlineLevel="0" collapsed="false">
      <c r="A13373" s="5" t="n">
        <f aca="false">VDB(2400,300,10,1,10,3)</f>
        <v>1380</v>
      </c>
      <c r="B13373" s="0" t="s">
        <v>13310</v>
      </c>
    </row>
    <row r="13374" customFormat="false" ht="15" hidden="false" customHeight="false" outlineLevel="0" collapsed="false">
      <c r="A13374" s="5" t="e">
        <f aca="false">VDB(2400,300,10,1,10,0)</f>
        <v>#VALUE!</v>
      </c>
      <c r="B13374" s="0" t="s">
        <v>13311</v>
      </c>
    </row>
    <row r="13375" customFormat="false" ht="15" hidden="false" customHeight="false" outlineLevel="0" collapsed="false">
      <c r="A13375" s="5" t="e">
        <f aca="false">VDB(2400,300,10,1,10,-1)</f>
        <v>#VALUE!</v>
      </c>
      <c r="B13375" s="0" t="s">
        <v>13312</v>
      </c>
    </row>
    <row r="13376" customFormat="false" ht="15" hidden="false" customHeight="false" outlineLevel="0" collapsed="false">
      <c r="A13376" s="5" t="n">
        <f aca="false">VDB(2400,300,10,1,10,2,TRUE())</f>
        <v>1620</v>
      </c>
      <c r="B13376" s="0" t="s">
        <v>13313</v>
      </c>
    </row>
    <row r="13377" customFormat="false" ht="15" hidden="false" customHeight="false" outlineLevel="0" collapsed="false">
      <c r="A13377" s="5" t="n">
        <f aca="false">VDB(2400,300,10,1,10,1.5,TRUE())</f>
        <v>1567.50142958227</v>
      </c>
      <c r="B13377" s="0" t="s">
        <v>13314</v>
      </c>
    </row>
    <row r="13378" customFormat="false" ht="15" hidden="false" customHeight="false" outlineLevel="0" collapsed="false">
      <c r="A13378" s="5" t="n">
        <f aca="false">VDB(2400,300,10,1,10,2,FALSE())</f>
        <v>1620</v>
      </c>
      <c r="B13378" s="0" t="s">
        <v>13315</v>
      </c>
    </row>
    <row r="13379" customFormat="false" ht="15" hidden="false" customHeight="false" outlineLevel="0" collapsed="false">
      <c r="A13379" s="5" t="e">
        <f aca="false">VDB(2400,300,10,1,10,,TRUE())</f>
        <v>#VALUE!</v>
      </c>
      <c r="B13379" s="0" t="s">
        <v>13316</v>
      </c>
    </row>
    <row r="13380" customFormat="false" ht="15" hidden="false" customHeight="false" outlineLevel="0" collapsed="false">
      <c r="A13380" s="5" t="n">
        <f aca="false">VDB(2400,300,120,0,1)</f>
        <v>40</v>
      </c>
      <c r="B13380" s="0" t="s">
        <v>13317</v>
      </c>
    </row>
    <row r="13381" customFormat="false" ht="15" hidden="false" customHeight="false" outlineLevel="0" collapsed="false">
      <c r="A13381" s="5" t="n">
        <f aca="false">VDB(2400,300,120,0,1,1.5)</f>
        <v>30</v>
      </c>
      <c r="B13381" s="0" t="s">
        <v>13318</v>
      </c>
    </row>
    <row r="13382" customFormat="false" ht="15" hidden="false" customHeight="false" outlineLevel="0" collapsed="false">
      <c r="A13382" s="5" t="n">
        <f aca="false">VDB(2400,300,120,0,1,2)</f>
        <v>40</v>
      </c>
      <c r="B13382" s="0" t="s">
        <v>13319</v>
      </c>
    </row>
    <row r="13383" customFormat="false" ht="15" hidden="false" customHeight="false" outlineLevel="0" collapsed="false">
      <c r="A13383" s="5" t="n">
        <f aca="false">VDB(2400,300,120,0,1,3)</f>
        <v>60</v>
      </c>
      <c r="B13383" s="0" t="s">
        <v>13320</v>
      </c>
    </row>
    <row r="13384" customFormat="false" ht="15" hidden="false" customHeight="false" outlineLevel="0" collapsed="false">
      <c r="A13384" s="5" t="e">
        <f aca="false">VDB(2400,300,120,0,1,0)</f>
        <v>#VALUE!</v>
      </c>
      <c r="B13384" s="0" t="s">
        <v>13321</v>
      </c>
    </row>
    <row r="13385" customFormat="false" ht="15" hidden="false" customHeight="false" outlineLevel="0" collapsed="false">
      <c r="A13385" s="5" t="e">
        <f aca="false">VDB(2400,300,120,0,1,-1)</f>
        <v>#VALUE!</v>
      </c>
      <c r="B13385" s="0" t="s">
        <v>13322</v>
      </c>
    </row>
    <row r="13386" customFormat="false" ht="15" hidden="false" customHeight="false" outlineLevel="0" collapsed="false">
      <c r="A13386" s="5" t="n">
        <f aca="false">VDB(2400,300,120,0,1,2,TRUE())</f>
        <v>40</v>
      </c>
      <c r="B13386" s="0" t="s">
        <v>13323</v>
      </c>
    </row>
    <row r="13387" customFormat="false" ht="15" hidden="false" customHeight="false" outlineLevel="0" collapsed="false">
      <c r="A13387" s="5" t="n">
        <f aca="false">VDB(2400,300,120,0,1,1.5,TRUE())</f>
        <v>30</v>
      </c>
      <c r="B13387" s="0" t="s">
        <v>13324</v>
      </c>
    </row>
    <row r="13388" customFormat="false" ht="15" hidden="false" customHeight="false" outlineLevel="0" collapsed="false">
      <c r="A13388" s="5" t="n">
        <f aca="false">VDB(2400,300,120,0,1,2,FALSE())</f>
        <v>40</v>
      </c>
      <c r="B13388" s="0" t="s">
        <v>13325</v>
      </c>
    </row>
    <row r="13389" customFormat="false" ht="15" hidden="false" customHeight="false" outlineLevel="0" collapsed="false">
      <c r="A13389" s="5" t="e">
        <f aca="false">VDB(2400,300,120,0,1,,TRUE())</f>
        <v>#VALUE!</v>
      </c>
      <c r="B13389" s="0" t="s">
        <v>13326</v>
      </c>
    </row>
    <row r="13390" customFormat="false" ht="15" hidden="false" customHeight="false" outlineLevel="0" collapsed="false">
      <c r="A13390" s="5" t="n">
        <f aca="false">VDB(2400,300,120,1,2)</f>
        <v>39.3333333333335</v>
      </c>
      <c r="B13390" s="0" t="s">
        <v>13327</v>
      </c>
    </row>
    <row r="13391" customFormat="false" ht="15" hidden="false" customHeight="false" outlineLevel="0" collapsed="false">
      <c r="A13391" s="5" t="n">
        <f aca="false">VDB(2400,300,120,1,2,1.5)</f>
        <v>29.625</v>
      </c>
      <c r="B13391" s="0" t="s">
        <v>13328</v>
      </c>
    </row>
    <row r="13392" customFormat="false" ht="15" hidden="false" customHeight="false" outlineLevel="0" collapsed="false">
      <c r="A13392" s="5" t="n">
        <f aca="false">VDB(2400,300,120,1,2,2)</f>
        <v>39.3333333333335</v>
      </c>
      <c r="B13392" s="0" t="s">
        <v>13329</v>
      </c>
    </row>
    <row r="13393" customFormat="false" ht="15" hidden="false" customHeight="false" outlineLevel="0" collapsed="false">
      <c r="A13393" s="5" t="n">
        <f aca="false">VDB(2400,300,120,1,2,3)</f>
        <v>58.5</v>
      </c>
      <c r="B13393" s="0" t="s">
        <v>13330</v>
      </c>
    </row>
    <row r="13394" customFormat="false" ht="15" hidden="false" customHeight="false" outlineLevel="0" collapsed="false">
      <c r="A13394" s="5" t="e">
        <f aca="false">VDB(2400,300,120,1,2,0)</f>
        <v>#VALUE!</v>
      </c>
      <c r="B13394" s="0" t="s">
        <v>13331</v>
      </c>
    </row>
    <row r="13395" customFormat="false" ht="15" hidden="false" customHeight="false" outlineLevel="0" collapsed="false">
      <c r="A13395" s="5" t="e">
        <f aca="false">VDB(2400,300,120,1,2,-1)</f>
        <v>#VALUE!</v>
      </c>
      <c r="B13395" s="0" t="s">
        <v>13332</v>
      </c>
    </row>
    <row r="13396" customFormat="false" ht="15" hidden="false" customHeight="false" outlineLevel="0" collapsed="false">
      <c r="A13396" s="5" t="n">
        <f aca="false">VDB(2400,300,120,1,2,2,TRUE())</f>
        <v>39.3333333333335</v>
      </c>
      <c r="B13396" s="0" t="s">
        <v>13333</v>
      </c>
    </row>
    <row r="13397" customFormat="false" ht="15" hidden="false" customHeight="false" outlineLevel="0" collapsed="false">
      <c r="A13397" s="5" t="n">
        <f aca="false">VDB(2400,300,120,1,2,1.5,TRUE())</f>
        <v>29.625</v>
      </c>
      <c r="B13397" s="0" t="s">
        <v>13334</v>
      </c>
    </row>
    <row r="13398" customFormat="false" ht="15" hidden="false" customHeight="false" outlineLevel="0" collapsed="false">
      <c r="A13398" s="5" t="n">
        <f aca="false">VDB(2400,300,120,1,2,2,FALSE())</f>
        <v>39.3333333333335</v>
      </c>
      <c r="B13398" s="0" t="s">
        <v>13335</v>
      </c>
    </row>
    <row r="13399" customFormat="false" ht="15" hidden="false" customHeight="false" outlineLevel="0" collapsed="false">
      <c r="A13399" s="5" t="e">
        <f aca="false">VDB(2400,300,120,1,2,,TRUE())</f>
        <v>#VALUE!</v>
      </c>
      <c r="B13399" s="0" t="s">
        <v>13336</v>
      </c>
    </row>
    <row r="13400" customFormat="false" ht="15" hidden="false" customHeight="false" outlineLevel="0" collapsed="false">
      <c r="A13400" s="5" t="n">
        <f aca="false">VDB(2400,300,120,0,5)</f>
        <v>193.443521604939</v>
      </c>
      <c r="B13400" s="0" t="s">
        <v>13337</v>
      </c>
    </row>
    <row r="13401" customFormat="false" ht="15" hidden="false" customHeight="false" outlineLevel="0" collapsed="false">
      <c r="A13401" s="5" t="n">
        <f aca="false">VDB(2400,300,120,0,5,1.5)</f>
        <v>146.296582763671</v>
      </c>
      <c r="B13401" s="0" t="s">
        <v>13338</v>
      </c>
    </row>
    <row r="13402" customFormat="false" ht="15" hidden="false" customHeight="false" outlineLevel="0" collapsed="false">
      <c r="A13402" s="5" t="n">
        <f aca="false">VDB(2400,300,120,0,5,2)</f>
        <v>193.443521604939</v>
      </c>
      <c r="B13402" s="0" t="s">
        <v>13339</v>
      </c>
    </row>
    <row r="13403" customFormat="false" ht="15" hidden="false" customHeight="false" outlineLevel="0" collapsed="false">
      <c r="A13403" s="5" t="n">
        <f aca="false">VDB(2400,300,120,0,5,3)</f>
        <v>285.3703359375</v>
      </c>
      <c r="B13403" s="0" t="s">
        <v>13340</v>
      </c>
    </row>
    <row r="13404" customFormat="false" ht="15" hidden="false" customHeight="false" outlineLevel="0" collapsed="false">
      <c r="A13404" s="5" t="e">
        <f aca="false">VDB(2400,300,120,0,5,0)</f>
        <v>#VALUE!</v>
      </c>
      <c r="B13404" s="0" t="s">
        <v>13341</v>
      </c>
    </row>
    <row r="13405" customFormat="false" ht="15" hidden="false" customHeight="false" outlineLevel="0" collapsed="false">
      <c r="A13405" s="5" t="e">
        <f aca="false">VDB(2400,300,120,0,5,-1)</f>
        <v>#VALUE!</v>
      </c>
      <c r="B13405" s="0" t="s">
        <v>13342</v>
      </c>
    </row>
    <row r="13406" customFormat="false" ht="15" hidden="false" customHeight="false" outlineLevel="0" collapsed="false">
      <c r="A13406" s="5" t="n">
        <f aca="false">VDB(2400,300,120,0,5,2,TRUE())</f>
        <v>193.443521604939</v>
      </c>
      <c r="B13406" s="0" t="s">
        <v>13343</v>
      </c>
    </row>
    <row r="13407" customFormat="false" ht="15" hidden="false" customHeight="false" outlineLevel="0" collapsed="false">
      <c r="A13407" s="5" t="n">
        <f aca="false">VDB(2400,300,120,0,5,1.5,TRUE())</f>
        <v>146.296582763671</v>
      </c>
      <c r="B13407" s="0" t="s">
        <v>13344</v>
      </c>
    </row>
    <row r="13408" customFormat="false" ht="15" hidden="false" customHeight="false" outlineLevel="0" collapsed="false">
      <c r="A13408" s="5" t="n">
        <f aca="false">VDB(2400,300,120,0,5,2,FALSE())</f>
        <v>193.443521604939</v>
      </c>
      <c r="B13408" s="0" t="s">
        <v>13345</v>
      </c>
    </row>
    <row r="13409" customFormat="false" ht="15" hidden="false" customHeight="false" outlineLevel="0" collapsed="false">
      <c r="A13409" s="5" t="e">
        <f aca="false">VDB(2400,300,120,0,5,,TRUE())</f>
        <v>#VALUE!</v>
      </c>
      <c r="B13409" s="0" t="s">
        <v>13346</v>
      </c>
    </row>
    <row r="13410" customFormat="false" ht="15" hidden="false" customHeight="false" outlineLevel="0" collapsed="false">
      <c r="A13410" s="5" t="n">
        <f aca="false">VDB(2400,300,120,0.5,1.5)</f>
        <v>39.6666666666667</v>
      </c>
      <c r="B13410" s="0" t="s">
        <v>13347</v>
      </c>
    </row>
    <row r="13411" customFormat="false" ht="15" hidden="false" customHeight="false" outlineLevel="0" collapsed="false">
      <c r="A13411" s="5" t="n">
        <f aca="false">VDB(2400,300,120,0.5,1.5,1.5)</f>
        <v>29.8125</v>
      </c>
      <c r="B13411" s="0" t="s">
        <v>13348</v>
      </c>
    </row>
    <row r="13412" customFormat="false" ht="15" hidden="false" customHeight="false" outlineLevel="0" collapsed="false">
      <c r="A13412" s="5" t="n">
        <f aca="false">VDB(2400,300,120,0.5,1.5,2)</f>
        <v>39.6666666666667</v>
      </c>
      <c r="B13412" s="0" t="s">
        <v>13349</v>
      </c>
    </row>
    <row r="13413" customFormat="false" ht="15" hidden="false" customHeight="false" outlineLevel="0" collapsed="false">
      <c r="A13413" s="5" t="n">
        <f aca="false">VDB(2400,300,120,0.5,1.5,3)</f>
        <v>59.25</v>
      </c>
      <c r="B13413" s="0" t="s">
        <v>13350</v>
      </c>
    </row>
    <row r="13414" customFormat="false" ht="15" hidden="false" customHeight="false" outlineLevel="0" collapsed="false">
      <c r="A13414" s="5" t="e">
        <f aca="false">VDB(2400,300,120,0.5,1.5,0)</f>
        <v>#VALUE!</v>
      </c>
      <c r="B13414" s="0" t="s">
        <v>13351</v>
      </c>
    </row>
    <row r="13415" customFormat="false" ht="15" hidden="false" customHeight="false" outlineLevel="0" collapsed="false">
      <c r="A13415" s="5" t="e">
        <f aca="false">VDB(2400,300,120,0.5,1.5,-1)</f>
        <v>#VALUE!</v>
      </c>
      <c r="B13415" s="0" t="s">
        <v>13352</v>
      </c>
    </row>
    <row r="13416" customFormat="false" ht="15" hidden="false" customHeight="false" outlineLevel="0" collapsed="false">
      <c r="A13416" s="5" t="n">
        <f aca="false">VDB(2400,300,120,0.5,1.5,2,TRUE())</f>
        <v>39.6666666666667</v>
      </c>
      <c r="B13416" s="0" t="s">
        <v>13353</v>
      </c>
    </row>
    <row r="13417" customFormat="false" ht="15" hidden="false" customHeight="false" outlineLevel="0" collapsed="false">
      <c r="A13417" s="5" t="n">
        <f aca="false">VDB(2400,300,120,0.5,1.5,1.5,TRUE())</f>
        <v>29.8125</v>
      </c>
      <c r="B13417" s="0" t="s">
        <v>13354</v>
      </c>
    </row>
    <row r="13418" customFormat="false" ht="15" hidden="false" customHeight="false" outlineLevel="0" collapsed="false">
      <c r="A13418" s="5" t="n">
        <f aca="false">VDB(2400,300,120,0.5,1.5,2,FALSE())</f>
        <v>39.6666666666667</v>
      </c>
      <c r="B13418" s="0" t="s">
        <v>13355</v>
      </c>
    </row>
    <row r="13419" customFormat="false" ht="15" hidden="false" customHeight="false" outlineLevel="0" collapsed="false">
      <c r="A13419" s="5" t="e">
        <f aca="false">VDB(2400,300,120,0.5,1.5,,TRUE())</f>
        <v>#VALUE!</v>
      </c>
      <c r="B13419" s="0" t="s">
        <v>13356</v>
      </c>
    </row>
    <row r="13420" customFormat="false" ht="15" hidden="false" customHeight="false" outlineLevel="0" collapsed="false">
      <c r="A13420" s="5" t="n">
        <f aca="false">VDB(2400,300,120,2,3)</f>
        <v>38.6777777777779</v>
      </c>
      <c r="B13420" s="0" t="s">
        <v>13357</v>
      </c>
    </row>
    <row r="13421" customFormat="false" ht="15" hidden="false" customHeight="false" outlineLevel="0" collapsed="false">
      <c r="A13421" s="5" t="n">
        <f aca="false">VDB(2400,300,120,2,3,1.5)</f>
        <v>29.2546874999998</v>
      </c>
      <c r="B13421" s="0" t="s">
        <v>13358</v>
      </c>
    </row>
    <row r="13422" customFormat="false" ht="15" hidden="false" customHeight="false" outlineLevel="0" collapsed="false">
      <c r="A13422" s="5" t="n">
        <f aca="false">VDB(2400,300,120,2,3,2)</f>
        <v>38.6777777777779</v>
      </c>
      <c r="B13422" s="0" t="s">
        <v>13359</v>
      </c>
    </row>
    <row r="13423" customFormat="false" ht="15" hidden="false" customHeight="false" outlineLevel="0" collapsed="false">
      <c r="A13423" s="5" t="n">
        <f aca="false">VDB(2400,300,120,2,3,3)</f>
        <v>57.0374999999999</v>
      </c>
      <c r="B13423" s="0" t="s">
        <v>13360</v>
      </c>
    </row>
    <row r="13424" customFormat="false" ht="15" hidden="false" customHeight="false" outlineLevel="0" collapsed="false">
      <c r="A13424" s="5" t="e">
        <f aca="false">VDB(2400,300,120,2,3,0)</f>
        <v>#VALUE!</v>
      </c>
      <c r="B13424" s="0" t="s">
        <v>13361</v>
      </c>
    </row>
    <row r="13425" customFormat="false" ht="15" hidden="false" customHeight="false" outlineLevel="0" collapsed="false">
      <c r="A13425" s="5" t="e">
        <f aca="false">VDB(2400,300,120,2,3,-1)</f>
        <v>#VALUE!</v>
      </c>
      <c r="B13425" s="0" t="s">
        <v>13362</v>
      </c>
    </row>
    <row r="13426" customFormat="false" ht="15" hidden="false" customHeight="false" outlineLevel="0" collapsed="false">
      <c r="A13426" s="5" t="n">
        <f aca="false">VDB(2400,300,120,2,3,2,TRUE())</f>
        <v>38.6777777777779</v>
      </c>
      <c r="B13426" s="0" t="s">
        <v>13363</v>
      </c>
    </row>
    <row r="13427" customFormat="false" ht="15" hidden="false" customHeight="false" outlineLevel="0" collapsed="false">
      <c r="A13427" s="5" t="n">
        <f aca="false">VDB(2400,300,120,2,3,1.5,TRUE())</f>
        <v>29.2546874999998</v>
      </c>
      <c r="B13427" s="0" t="s">
        <v>13364</v>
      </c>
    </row>
    <row r="13428" customFormat="false" ht="15" hidden="false" customHeight="false" outlineLevel="0" collapsed="false">
      <c r="A13428" s="5" t="n">
        <f aca="false">VDB(2400,300,120,2,3,2,FALSE())</f>
        <v>38.6777777777779</v>
      </c>
      <c r="B13428" s="0" t="s">
        <v>13365</v>
      </c>
    </row>
    <row r="13429" customFormat="false" ht="15" hidden="false" customHeight="false" outlineLevel="0" collapsed="false">
      <c r="A13429" s="5" t="e">
        <f aca="false">VDB(2400,300,120,2,3,,TRUE())</f>
        <v>#VALUE!</v>
      </c>
      <c r="B13429" s="0" t="s">
        <v>13366</v>
      </c>
    </row>
    <row r="13430" customFormat="false" ht="15" hidden="false" customHeight="false" outlineLevel="0" collapsed="false">
      <c r="A13430" s="5" t="n">
        <f aca="false">VDB(2400,300,120,0,120)</f>
        <v>2100</v>
      </c>
      <c r="B13430" s="0" t="s">
        <v>13367</v>
      </c>
    </row>
    <row r="13431" customFormat="false" ht="15" hidden="false" customHeight="false" outlineLevel="0" collapsed="false">
      <c r="A13431" s="5" t="n">
        <f aca="false">VDB(2400,300,120,0,120,1.5)</f>
        <v>2100</v>
      </c>
      <c r="B13431" s="0" t="s">
        <v>13368</v>
      </c>
    </row>
    <row r="13432" customFormat="false" ht="15" hidden="false" customHeight="false" outlineLevel="0" collapsed="false">
      <c r="A13432" s="5" t="n">
        <f aca="false">VDB(2400,300,120,0,120,2)</f>
        <v>2100</v>
      </c>
      <c r="B13432" s="0" t="s">
        <v>13369</v>
      </c>
    </row>
    <row r="13433" customFormat="false" ht="15" hidden="false" customHeight="false" outlineLevel="0" collapsed="false">
      <c r="A13433" s="5" t="n">
        <f aca="false">VDB(2400,300,120,0,120,3)</f>
        <v>2100</v>
      </c>
      <c r="B13433" s="0" t="s">
        <v>13370</v>
      </c>
    </row>
    <row r="13434" customFormat="false" ht="15" hidden="false" customHeight="false" outlineLevel="0" collapsed="false">
      <c r="A13434" s="5" t="e">
        <f aca="false">VDB(2400,300,120,0,120,0)</f>
        <v>#VALUE!</v>
      </c>
      <c r="B13434" s="0" t="s">
        <v>13371</v>
      </c>
    </row>
    <row r="13435" customFormat="false" ht="15" hidden="false" customHeight="false" outlineLevel="0" collapsed="false">
      <c r="A13435" s="5" t="e">
        <f aca="false">VDB(2400,300,120,0,120,-1)</f>
        <v>#VALUE!</v>
      </c>
      <c r="B13435" s="0" t="s">
        <v>13372</v>
      </c>
    </row>
    <row r="13436" customFormat="false" ht="15" hidden="false" customHeight="false" outlineLevel="0" collapsed="false">
      <c r="A13436" s="5" t="n">
        <f aca="false">VDB(2400,300,120,0,120,2,TRUE())</f>
        <v>2080.62376803657</v>
      </c>
      <c r="B13436" s="0" t="s">
        <v>13373</v>
      </c>
    </row>
    <row r="13437" customFormat="false" ht="15" hidden="false" customHeight="false" outlineLevel="0" collapsed="false">
      <c r="A13437" s="5" t="n">
        <f aca="false">VDB(2400,300,120,0,120,1.5,TRUE())</f>
        <v>1869.52642171212</v>
      </c>
      <c r="B13437" s="0" t="s">
        <v>13374</v>
      </c>
    </row>
    <row r="13438" customFormat="false" ht="15" hidden="false" customHeight="false" outlineLevel="0" collapsed="false">
      <c r="A13438" s="5" t="n">
        <f aca="false">VDB(2400,300,120,0,120,2,FALSE())</f>
        <v>2100</v>
      </c>
      <c r="B13438" s="0" t="s">
        <v>13375</v>
      </c>
    </row>
    <row r="13439" customFormat="false" ht="15" hidden="false" customHeight="false" outlineLevel="0" collapsed="false">
      <c r="A13439" s="5" t="e">
        <f aca="false">VDB(2400,300,120,0,120,,TRUE())</f>
        <v>#VALUE!</v>
      </c>
      <c r="B13439" s="0" t="s">
        <v>13376</v>
      </c>
    </row>
    <row r="13440" customFormat="false" ht="15" hidden="false" customHeight="false" outlineLevel="0" collapsed="false">
      <c r="A13440" s="5" t="n">
        <f aca="false">VDB(2400,300,120,119,120)</f>
        <v>7.34366321025982</v>
      </c>
      <c r="B13440" s="0" t="s">
        <v>13377</v>
      </c>
    </row>
    <row r="13441" customFormat="false" ht="15" hidden="false" customHeight="false" outlineLevel="0" collapsed="false">
      <c r="A13441" s="5" t="n">
        <f aca="false">VDB(2400,300,120,119,120,1.5)</f>
        <v>13.7983018639752</v>
      </c>
      <c r="B13441" s="0" t="s">
        <v>13378</v>
      </c>
    </row>
    <row r="13442" customFormat="false" ht="15" hidden="false" customHeight="false" outlineLevel="0" collapsed="false">
      <c r="A13442" s="5" t="n">
        <f aca="false">VDB(2400,300,120,119,120,2)</f>
        <v>7.34366321025982</v>
      </c>
      <c r="B13442" s="0" t="s">
        <v>13379</v>
      </c>
    </row>
    <row r="13443" customFormat="false" ht="15" hidden="false" customHeight="false" outlineLevel="0" collapsed="false">
      <c r="A13443" s="5" t="n">
        <f aca="false">VDB(2400,300,120,119,120,3)</f>
        <v>0</v>
      </c>
      <c r="B13443" s="0" t="s">
        <v>13380</v>
      </c>
    </row>
    <row r="13444" customFormat="false" ht="15" hidden="false" customHeight="false" outlineLevel="0" collapsed="false">
      <c r="A13444" s="5" t="e">
        <f aca="false">VDB(2400,300,120,119,120,0)</f>
        <v>#VALUE!</v>
      </c>
      <c r="B13444" s="0" t="s">
        <v>13381</v>
      </c>
    </row>
    <row r="13445" customFormat="false" ht="15" hidden="false" customHeight="false" outlineLevel="0" collapsed="false">
      <c r="A13445" s="5" t="e">
        <f aca="false">VDB(2400,300,120,119,120,-1)</f>
        <v>#VALUE!</v>
      </c>
      <c r="B13445" s="0" t="s">
        <v>13382</v>
      </c>
    </row>
    <row r="13446" customFormat="false" ht="15" hidden="false" customHeight="false" outlineLevel="0" collapsed="false">
      <c r="A13446" s="5" t="n">
        <f aca="false">VDB(2400,300,120,119,120,2,TRUE())</f>
        <v>5.41315647395652</v>
      </c>
      <c r="B13446" s="0" t="s">
        <v>13383</v>
      </c>
    </row>
    <row r="13447" customFormat="false" ht="15" hidden="false" customHeight="false" outlineLevel="0" collapsed="false">
      <c r="A13447" s="5" t="n">
        <f aca="false">VDB(2400,300,120,119,120,1.5,TRUE())</f>
        <v>6.71485542136554</v>
      </c>
      <c r="B13447" s="0" t="s">
        <v>13384</v>
      </c>
    </row>
    <row r="13448" customFormat="false" ht="15" hidden="false" customHeight="false" outlineLevel="0" collapsed="false">
      <c r="A13448" s="5" t="n">
        <f aca="false">VDB(2400,300,120,119,120,2,FALSE())</f>
        <v>7.34366321025982</v>
      </c>
      <c r="B13448" s="0" t="s">
        <v>13385</v>
      </c>
    </row>
    <row r="13449" customFormat="false" ht="15" hidden="false" customHeight="false" outlineLevel="0" collapsed="false">
      <c r="A13449" s="5" t="e">
        <f aca="false">VDB(2400,300,120,119,120,,TRUE())</f>
        <v>#VALUE!</v>
      </c>
      <c r="B13449" s="0" t="s">
        <v>13386</v>
      </c>
    </row>
    <row r="13450" customFormat="false" ht="15" hidden="false" customHeight="false" outlineLevel="0" collapsed="false">
      <c r="A13450" s="5" t="n">
        <f aca="false">VDB(2400,300,120,3.5,4.2)</f>
        <v>26.4964265432097</v>
      </c>
      <c r="B13450" s="0" t="s">
        <v>13387</v>
      </c>
    </row>
    <row r="13451" customFormat="false" ht="15" hidden="false" customHeight="false" outlineLevel="0" collapsed="false">
      <c r="A13451" s="5" t="n">
        <f aca="false">VDB(2400,300,120,3.5,4.2,1.5)</f>
        <v>20.1500802246097</v>
      </c>
      <c r="B13451" s="0" t="s">
        <v>13388</v>
      </c>
    </row>
    <row r="13452" customFormat="false" ht="15" hidden="false" customHeight="false" outlineLevel="0" collapsed="false">
      <c r="A13452" s="5" t="n">
        <f aca="false">VDB(2400,300,120,3.5,4.2,2)</f>
        <v>26.4964265432097</v>
      </c>
      <c r="B13452" s="0" t="s">
        <v>13389</v>
      </c>
    </row>
    <row r="13453" customFormat="false" ht="15" hidden="false" customHeight="false" outlineLevel="0" collapsed="false">
      <c r="A13453" s="5" t="n">
        <f aca="false">VDB(2400,300,120,3.5,4.2,3)</f>
        <v>38.6500359374997</v>
      </c>
      <c r="B13453" s="0" t="s">
        <v>13390</v>
      </c>
    </row>
    <row r="13454" customFormat="false" ht="15" hidden="false" customHeight="false" outlineLevel="0" collapsed="false">
      <c r="A13454" s="5" t="e">
        <f aca="false">VDB(2400,300,120,3.5,4.2,0)</f>
        <v>#VALUE!</v>
      </c>
      <c r="B13454" s="0" t="s">
        <v>13391</v>
      </c>
    </row>
    <row r="13455" customFormat="false" ht="15" hidden="false" customHeight="false" outlineLevel="0" collapsed="false">
      <c r="A13455" s="5" t="e">
        <f aca="false">VDB(2400,300,120,3.5,4.2,-1)</f>
        <v>#VALUE!</v>
      </c>
      <c r="B13455" s="0" t="s">
        <v>13392</v>
      </c>
    </row>
    <row r="13456" customFormat="false" ht="15" hidden="false" customHeight="false" outlineLevel="0" collapsed="false">
      <c r="A13456" s="5" t="n">
        <f aca="false">VDB(2400,300,120,3.5,4.2,2,TRUE())</f>
        <v>26.49642654321</v>
      </c>
      <c r="B13456" s="0" t="s">
        <v>13393</v>
      </c>
    </row>
    <row r="13457" customFormat="false" ht="15" hidden="false" customHeight="false" outlineLevel="0" collapsed="false">
      <c r="A13457" s="5" t="n">
        <f aca="false">VDB(2400,300,120,3.5,4.2,1.5,TRUE())</f>
        <v>20.1500802246093</v>
      </c>
      <c r="B13457" s="0" t="s">
        <v>13394</v>
      </c>
    </row>
    <row r="13458" customFormat="false" ht="15" hidden="false" customHeight="false" outlineLevel="0" collapsed="false">
      <c r="A13458" s="5" t="n">
        <f aca="false">VDB(2400,300,120,3.5,4.2,2,FALSE())</f>
        <v>26.4964265432097</v>
      </c>
      <c r="B13458" s="0" t="s">
        <v>13395</v>
      </c>
    </row>
    <row r="13459" customFormat="false" ht="15" hidden="false" customHeight="false" outlineLevel="0" collapsed="false">
      <c r="A13459" s="5" t="e">
        <f aca="false">VDB(2400,300,120,3.5,4.2,,TRUE())</f>
        <v>#VALUE!</v>
      </c>
      <c r="B13459" s="0" t="s">
        <v>13396</v>
      </c>
    </row>
    <row r="13460" customFormat="false" ht="15" hidden="false" customHeight="false" outlineLevel="0" collapsed="false">
      <c r="A13460" s="5" t="n">
        <f aca="false">VDB(2400,300,120,0,0)</f>
        <v>0</v>
      </c>
      <c r="B13460" s="0" t="s">
        <v>13397</v>
      </c>
    </row>
    <row r="13461" customFormat="false" ht="15" hidden="false" customHeight="false" outlineLevel="0" collapsed="false">
      <c r="A13461" s="5" t="n">
        <f aca="false">VDB(2400,300,120,0,0,1.5)</f>
        <v>0</v>
      </c>
      <c r="B13461" s="0" t="s">
        <v>13398</v>
      </c>
    </row>
    <row r="13462" customFormat="false" ht="15" hidden="false" customHeight="false" outlineLevel="0" collapsed="false">
      <c r="A13462" s="5" t="n">
        <f aca="false">VDB(2400,300,120,0,0,2)</f>
        <v>0</v>
      </c>
      <c r="B13462" s="0" t="s">
        <v>13399</v>
      </c>
    </row>
    <row r="13463" customFormat="false" ht="15" hidden="false" customHeight="false" outlineLevel="0" collapsed="false">
      <c r="A13463" s="5" t="n">
        <f aca="false">VDB(2400,300,120,0,0,3)</f>
        <v>0</v>
      </c>
      <c r="B13463" s="0" t="s">
        <v>13400</v>
      </c>
    </row>
    <row r="13464" customFormat="false" ht="15" hidden="false" customHeight="false" outlineLevel="0" collapsed="false">
      <c r="A13464" s="5" t="e">
        <f aca="false">VDB(2400,300,120,0,0,0)</f>
        <v>#VALUE!</v>
      </c>
      <c r="B13464" s="0" t="s">
        <v>13401</v>
      </c>
    </row>
    <row r="13465" customFormat="false" ht="15" hidden="false" customHeight="false" outlineLevel="0" collapsed="false">
      <c r="A13465" s="5" t="e">
        <f aca="false">VDB(2400,300,120,0,0,-1)</f>
        <v>#VALUE!</v>
      </c>
      <c r="B13465" s="0" t="s">
        <v>13402</v>
      </c>
    </row>
    <row r="13466" customFormat="false" ht="15" hidden="false" customHeight="false" outlineLevel="0" collapsed="false">
      <c r="A13466" s="5" t="n">
        <f aca="false">VDB(2400,300,120,0,0,2,TRUE())</f>
        <v>0</v>
      </c>
      <c r="B13466" s="0" t="s">
        <v>13403</v>
      </c>
    </row>
    <row r="13467" customFormat="false" ht="15" hidden="false" customHeight="false" outlineLevel="0" collapsed="false">
      <c r="A13467" s="5" t="n">
        <f aca="false">VDB(2400,300,120,0,0,1.5,TRUE())</f>
        <v>0</v>
      </c>
      <c r="B13467" s="0" t="s">
        <v>13404</v>
      </c>
    </row>
    <row r="13468" customFormat="false" ht="15" hidden="false" customHeight="false" outlineLevel="0" collapsed="false">
      <c r="A13468" s="5" t="n">
        <f aca="false">VDB(2400,300,120,0,0,2,FALSE())</f>
        <v>0</v>
      </c>
      <c r="B13468" s="0" t="s">
        <v>13405</v>
      </c>
    </row>
    <row r="13469" customFormat="false" ht="15" hidden="false" customHeight="false" outlineLevel="0" collapsed="false">
      <c r="A13469" s="5" t="e">
        <f aca="false">VDB(2400,300,120,0,0,,TRUE())</f>
        <v>#VALUE!</v>
      </c>
      <c r="B13469" s="0" t="s">
        <v>13406</v>
      </c>
    </row>
    <row r="13470" customFormat="false" ht="15" hidden="false" customHeight="false" outlineLevel="0" collapsed="false">
      <c r="A13470" s="5" t="n">
        <f aca="false">VDB(2400,300,120,1,1)</f>
        <v>0</v>
      </c>
      <c r="B13470" s="0" t="s">
        <v>13407</v>
      </c>
    </row>
    <row r="13471" customFormat="false" ht="15" hidden="false" customHeight="false" outlineLevel="0" collapsed="false">
      <c r="A13471" s="5" t="n">
        <f aca="false">VDB(2400,300,120,1,1,1.5)</f>
        <v>0</v>
      </c>
      <c r="B13471" s="0" t="s">
        <v>13408</v>
      </c>
    </row>
    <row r="13472" customFormat="false" ht="15" hidden="false" customHeight="false" outlineLevel="0" collapsed="false">
      <c r="A13472" s="5" t="n">
        <f aca="false">VDB(2400,300,120,1,1,2)</f>
        <v>0</v>
      </c>
      <c r="B13472" s="0" t="s">
        <v>13409</v>
      </c>
    </row>
    <row r="13473" customFormat="false" ht="15" hidden="false" customHeight="false" outlineLevel="0" collapsed="false">
      <c r="A13473" s="5" t="n">
        <f aca="false">VDB(2400,300,120,1,1,3)</f>
        <v>0</v>
      </c>
      <c r="B13473" s="0" t="s">
        <v>13410</v>
      </c>
    </row>
    <row r="13474" customFormat="false" ht="15" hidden="false" customHeight="false" outlineLevel="0" collapsed="false">
      <c r="A13474" s="5" t="e">
        <f aca="false">VDB(2400,300,120,1,1,0)</f>
        <v>#VALUE!</v>
      </c>
      <c r="B13474" s="0" t="s">
        <v>13411</v>
      </c>
    </row>
    <row r="13475" customFormat="false" ht="15" hidden="false" customHeight="false" outlineLevel="0" collapsed="false">
      <c r="A13475" s="5" t="e">
        <f aca="false">VDB(2400,300,120,1,1,-1)</f>
        <v>#VALUE!</v>
      </c>
      <c r="B13475" s="0" t="s">
        <v>13412</v>
      </c>
    </row>
    <row r="13476" customFormat="false" ht="15" hidden="false" customHeight="false" outlineLevel="0" collapsed="false">
      <c r="A13476" s="5" t="n">
        <f aca="false">VDB(2400,300,120,1,1,2,TRUE())</f>
        <v>0</v>
      </c>
      <c r="B13476" s="0" t="s">
        <v>13413</v>
      </c>
    </row>
    <row r="13477" customFormat="false" ht="15" hidden="false" customHeight="false" outlineLevel="0" collapsed="false">
      <c r="A13477" s="5" t="n">
        <f aca="false">VDB(2400,300,120,1,1,1.5,TRUE())</f>
        <v>0</v>
      </c>
      <c r="B13477" s="0" t="s">
        <v>13414</v>
      </c>
    </row>
    <row r="13478" customFormat="false" ht="15" hidden="false" customHeight="false" outlineLevel="0" collapsed="false">
      <c r="A13478" s="5" t="n">
        <f aca="false">VDB(2400,300,120,1,1,2,FALSE())</f>
        <v>0</v>
      </c>
      <c r="B13478" s="0" t="s">
        <v>13415</v>
      </c>
    </row>
    <row r="13479" customFormat="false" ht="15" hidden="false" customHeight="false" outlineLevel="0" collapsed="false">
      <c r="A13479" s="5" t="e">
        <f aca="false">VDB(2400,300,120,1,1,,TRUE())</f>
        <v>#VALUE!</v>
      </c>
      <c r="B13479" s="0" t="s">
        <v>13416</v>
      </c>
    </row>
    <row r="13480" customFormat="false" ht="15" hidden="false" customHeight="false" outlineLevel="0" collapsed="false">
      <c r="A13480" s="5" t="e">
        <f aca="false">VDB(2400,300,120,2,1)</f>
        <v>#VALUE!</v>
      </c>
      <c r="B13480" s="0" t="s">
        <v>13417</v>
      </c>
    </row>
    <row r="13481" customFormat="false" ht="15" hidden="false" customHeight="false" outlineLevel="0" collapsed="false">
      <c r="A13481" s="5" t="e">
        <f aca="false">VDB(2400,300,120,2,1,1.5)</f>
        <v>#VALUE!</v>
      </c>
      <c r="B13481" s="0" t="s">
        <v>13418</v>
      </c>
    </row>
    <row r="13482" customFormat="false" ht="15" hidden="false" customHeight="false" outlineLevel="0" collapsed="false">
      <c r="A13482" s="5" t="e">
        <f aca="false">VDB(2400,300,120,2,1,2)</f>
        <v>#VALUE!</v>
      </c>
      <c r="B13482" s="0" t="s">
        <v>13419</v>
      </c>
    </row>
    <row r="13483" customFormat="false" ht="15" hidden="false" customHeight="false" outlineLevel="0" collapsed="false">
      <c r="A13483" s="5" t="e">
        <f aca="false">VDB(2400,300,120,2,1,3)</f>
        <v>#VALUE!</v>
      </c>
      <c r="B13483" s="0" t="s">
        <v>13420</v>
      </c>
    </row>
    <row r="13484" customFormat="false" ht="15" hidden="false" customHeight="false" outlineLevel="0" collapsed="false">
      <c r="A13484" s="5" t="e">
        <f aca="false">VDB(2400,300,120,2,1,0)</f>
        <v>#VALUE!</v>
      </c>
      <c r="B13484" s="0" t="s">
        <v>13421</v>
      </c>
    </row>
    <row r="13485" customFormat="false" ht="15" hidden="false" customHeight="false" outlineLevel="0" collapsed="false">
      <c r="A13485" s="5" t="e">
        <f aca="false">VDB(2400,300,120,2,1,-1)</f>
        <v>#VALUE!</v>
      </c>
      <c r="B13485" s="0" t="s">
        <v>13422</v>
      </c>
    </row>
    <row r="13486" customFormat="false" ht="15" hidden="false" customHeight="false" outlineLevel="0" collapsed="false">
      <c r="A13486" s="5" t="e">
        <f aca="false">VDB(2400,300,120,2,1,2,TRUE())</f>
        <v>#VALUE!</v>
      </c>
      <c r="B13486" s="0" t="s">
        <v>13423</v>
      </c>
    </row>
    <row r="13487" customFormat="false" ht="15" hidden="false" customHeight="false" outlineLevel="0" collapsed="false">
      <c r="A13487" s="5" t="e">
        <f aca="false">VDB(2400,300,120,2,1,1.5,TRUE())</f>
        <v>#VALUE!</v>
      </c>
      <c r="B13487" s="0" t="s">
        <v>13424</v>
      </c>
    </row>
    <row r="13488" customFormat="false" ht="15" hidden="false" customHeight="false" outlineLevel="0" collapsed="false">
      <c r="A13488" s="5" t="e">
        <f aca="false">VDB(2400,300,120,2,1,2,FALSE())</f>
        <v>#VALUE!</v>
      </c>
      <c r="B13488" s="0" t="s">
        <v>13425</v>
      </c>
    </row>
    <row r="13489" customFormat="false" ht="15" hidden="false" customHeight="false" outlineLevel="0" collapsed="false">
      <c r="A13489" s="5" t="e">
        <f aca="false">VDB(2400,300,120,2,1,,TRUE())</f>
        <v>#VALUE!</v>
      </c>
      <c r="B13489" s="0" t="s">
        <v>13426</v>
      </c>
    </row>
    <row r="13490" customFormat="false" ht="15" hidden="false" customHeight="false" outlineLevel="0" collapsed="false">
      <c r="A13490" s="5" t="e">
        <f aca="false">VDB(2400,300,120,0,121)</f>
        <v>#VALUE!</v>
      </c>
      <c r="B13490" s="0" t="s">
        <v>13427</v>
      </c>
    </row>
    <row r="13491" customFormat="false" ht="15" hidden="false" customHeight="false" outlineLevel="0" collapsed="false">
      <c r="A13491" s="5" t="e">
        <f aca="false">VDB(2400,300,120,0,121,1.5)</f>
        <v>#VALUE!</v>
      </c>
      <c r="B13491" s="0" t="s">
        <v>13428</v>
      </c>
    </row>
    <row r="13492" customFormat="false" ht="15" hidden="false" customHeight="false" outlineLevel="0" collapsed="false">
      <c r="A13492" s="5" t="e">
        <f aca="false">VDB(2400,300,120,0,121,2)</f>
        <v>#VALUE!</v>
      </c>
      <c r="B13492" s="0" t="s">
        <v>13429</v>
      </c>
    </row>
    <row r="13493" customFormat="false" ht="15" hidden="false" customHeight="false" outlineLevel="0" collapsed="false">
      <c r="A13493" s="5" t="e">
        <f aca="false">VDB(2400,300,120,0,121,3)</f>
        <v>#VALUE!</v>
      </c>
      <c r="B13493" s="0" t="s">
        <v>13430</v>
      </c>
    </row>
    <row r="13494" customFormat="false" ht="15" hidden="false" customHeight="false" outlineLevel="0" collapsed="false">
      <c r="A13494" s="5" t="e">
        <f aca="false">VDB(2400,300,120,0,121,0)</f>
        <v>#VALUE!</v>
      </c>
      <c r="B13494" s="0" t="s">
        <v>13431</v>
      </c>
    </row>
    <row r="13495" customFormat="false" ht="15" hidden="false" customHeight="false" outlineLevel="0" collapsed="false">
      <c r="A13495" s="5" t="e">
        <f aca="false">VDB(2400,300,120,0,121,-1)</f>
        <v>#VALUE!</v>
      </c>
      <c r="B13495" s="0" t="s">
        <v>13432</v>
      </c>
    </row>
    <row r="13496" customFormat="false" ht="15" hidden="false" customHeight="false" outlineLevel="0" collapsed="false">
      <c r="A13496" s="5" t="e">
        <f aca="false">VDB(2400,300,120,0,121,2,TRUE())</f>
        <v>#VALUE!</v>
      </c>
      <c r="B13496" s="0" t="s">
        <v>13433</v>
      </c>
    </row>
    <row r="13497" customFormat="false" ht="15" hidden="false" customHeight="false" outlineLevel="0" collapsed="false">
      <c r="A13497" s="5" t="e">
        <f aca="false">VDB(2400,300,120,0,121,1.5,TRUE())</f>
        <v>#VALUE!</v>
      </c>
      <c r="B13497" s="0" t="s">
        <v>13434</v>
      </c>
    </row>
    <row r="13498" customFormat="false" ht="15" hidden="false" customHeight="false" outlineLevel="0" collapsed="false">
      <c r="A13498" s="5" t="e">
        <f aca="false">VDB(2400,300,120,0,121,2,FALSE())</f>
        <v>#VALUE!</v>
      </c>
      <c r="B13498" s="0" t="s">
        <v>13435</v>
      </c>
    </row>
    <row r="13499" customFormat="false" ht="15" hidden="false" customHeight="false" outlineLevel="0" collapsed="false">
      <c r="A13499" s="5" t="e">
        <f aca="false">VDB(2400,300,120,0,121,,TRUE())</f>
        <v>#VALUE!</v>
      </c>
      <c r="B13499" s="0" t="s">
        <v>13436</v>
      </c>
    </row>
    <row r="13500" customFormat="false" ht="15" hidden="false" customHeight="false" outlineLevel="0" collapsed="false">
      <c r="A13500" s="5" t="e">
        <f aca="false">VDB(2400,300,120,-1,1)</f>
        <v>#VALUE!</v>
      </c>
      <c r="B13500" s="0" t="s">
        <v>13437</v>
      </c>
    </row>
    <row r="13501" customFormat="false" ht="15" hidden="false" customHeight="false" outlineLevel="0" collapsed="false">
      <c r="A13501" s="5" t="e">
        <f aca="false">VDB(2400,300,120,-1,1,1.5)</f>
        <v>#VALUE!</v>
      </c>
      <c r="B13501" s="0" t="s">
        <v>13438</v>
      </c>
    </row>
    <row r="13502" customFormat="false" ht="15" hidden="false" customHeight="false" outlineLevel="0" collapsed="false">
      <c r="A13502" s="5" t="e">
        <f aca="false">VDB(2400,300,120,-1,1,2)</f>
        <v>#VALUE!</v>
      </c>
      <c r="B13502" s="0" t="s">
        <v>13439</v>
      </c>
    </row>
    <row r="13503" customFormat="false" ht="15" hidden="false" customHeight="false" outlineLevel="0" collapsed="false">
      <c r="A13503" s="5" t="e">
        <f aca="false">VDB(2400,300,120,-1,1,3)</f>
        <v>#VALUE!</v>
      </c>
      <c r="B13503" s="0" t="s">
        <v>13440</v>
      </c>
    </row>
    <row r="13504" customFormat="false" ht="15" hidden="false" customHeight="false" outlineLevel="0" collapsed="false">
      <c r="A13504" s="5" t="e">
        <f aca="false">VDB(2400,300,120,-1,1,0)</f>
        <v>#VALUE!</v>
      </c>
      <c r="B13504" s="0" t="s">
        <v>13441</v>
      </c>
    </row>
    <row r="13505" customFormat="false" ht="15" hidden="false" customHeight="false" outlineLevel="0" collapsed="false">
      <c r="A13505" s="5" t="e">
        <f aca="false">VDB(2400,300,120,-1,1,-1)</f>
        <v>#VALUE!</v>
      </c>
      <c r="B13505" s="0" t="s">
        <v>13442</v>
      </c>
    </row>
    <row r="13506" customFormat="false" ht="15" hidden="false" customHeight="false" outlineLevel="0" collapsed="false">
      <c r="A13506" s="5" t="e">
        <f aca="false">VDB(2400,300,120,-1,1,2,TRUE())</f>
        <v>#VALUE!</v>
      </c>
      <c r="B13506" s="0" t="s">
        <v>13443</v>
      </c>
    </row>
    <row r="13507" customFormat="false" ht="15" hidden="false" customHeight="false" outlineLevel="0" collapsed="false">
      <c r="A13507" s="5" t="e">
        <f aca="false">VDB(2400,300,120,-1,1,1.5,TRUE())</f>
        <v>#VALUE!</v>
      </c>
      <c r="B13507" s="0" t="s">
        <v>13444</v>
      </c>
    </row>
    <row r="13508" customFormat="false" ht="15" hidden="false" customHeight="false" outlineLevel="0" collapsed="false">
      <c r="A13508" s="5" t="e">
        <f aca="false">VDB(2400,300,120,-1,1,2,FALSE())</f>
        <v>#VALUE!</v>
      </c>
      <c r="B13508" s="0" t="s">
        <v>13445</v>
      </c>
    </row>
    <row r="13509" customFormat="false" ht="15" hidden="false" customHeight="false" outlineLevel="0" collapsed="false">
      <c r="A13509" s="5" t="e">
        <f aca="false">VDB(2400,300,120,-1,1,,TRUE())</f>
        <v>#VALUE!</v>
      </c>
      <c r="B13509" s="0" t="s">
        <v>13446</v>
      </c>
    </row>
    <row r="13510" customFormat="false" ht="15" hidden="false" customHeight="false" outlineLevel="0" collapsed="false">
      <c r="A13510" s="5" t="n">
        <f aca="false">VDB(2400,300,120,0.25,0.75)</f>
        <v>20</v>
      </c>
      <c r="B13510" s="0" t="s">
        <v>13447</v>
      </c>
    </row>
    <row r="13511" customFormat="false" ht="15" hidden="false" customHeight="false" outlineLevel="0" collapsed="false">
      <c r="A13511" s="5" t="n">
        <f aca="false">VDB(2400,300,120,0.25,0.75,1.5)</f>
        <v>15</v>
      </c>
      <c r="B13511" s="0" t="s">
        <v>13448</v>
      </c>
    </row>
    <row r="13512" customFormat="false" ht="15" hidden="false" customHeight="false" outlineLevel="0" collapsed="false">
      <c r="A13512" s="5" t="n">
        <f aca="false">VDB(2400,300,120,0.25,0.75,2)</f>
        <v>20</v>
      </c>
      <c r="B13512" s="0" t="s">
        <v>13449</v>
      </c>
    </row>
    <row r="13513" customFormat="false" ht="15" hidden="false" customHeight="false" outlineLevel="0" collapsed="false">
      <c r="A13513" s="5" t="n">
        <f aca="false">VDB(2400,300,120,0.25,0.75,3)</f>
        <v>30</v>
      </c>
      <c r="B13513" s="0" t="s">
        <v>13450</v>
      </c>
    </row>
    <row r="13514" customFormat="false" ht="15" hidden="false" customHeight="false" outlineLevel="0" collapsed="false">
      <c r="A13514" s="5" t="e">
        <f aca="false">VDB(2400,300,120,0.25,0.75,0)</f>
        <v>#VALUE!</v>
      </c>
      <c r="B13514" s="0" t="s">
        <v>13451</v>
      </c>
    </row>
    <row r="13515" customFormat="false" ht="15" hidden="false" customHeight="false" outlineLevel="0" collapsed="false">
      <c r="A13515" s="5" t="e">
        <f aca="false">VDB(2400,300,120,0.25,0.75,-1)</f>
        <v>#VALUE!</v>
      </c>
      <c r="B13515" s="0" t="s">
        <v>13452</v>
      </c>
    </row>
    <row r="13516" customFormat="false" ht="15" hidden="false" customHeight="false" outlineLevel="0" collapsed="false">
      <c r="A13516" s="5" t="n">
        <f aca="false">VDB(2400,300,120,0.25,0.75,2,TRUE())</f>
        <v>20</v>
      </c>
      <c r="B13516" s="0" t="s">
        <v>13453</v>
      </c>
    </row>
    <row r="13517" customFormat="false" ht="15" hidden="false" customHeight="false" outlineLevel="0" collapsed="false">
      <c r="A13517" s="5" t="n">
        <f aca="false">VDB(2400,300,120,0.25,0.75,1.5,TRUE())</f>
        <v>15</v>
      </c>
      <c r="B13517" s="0" t="s">
        <v>13454</v>
      </c>
    </row>
    <row r="13518" customFormat="false" ht="15" hidden="false" customHeight="false" outlineLevel="0" collapsed="false">
      <c r="A13518" s="5" t="n">
        <f aca="false">VDB(2400,300,120,0.25,0.75,2,FALSE())</f>
        <v>20</v>
      </c>
      <c r="B13518" s="0" t="s">
        <v>13455</v>
      </c>
    </row>
    <row r="13519" customFormat="false" ht="15" hidden="false" customHeight="false" outlineLevel="0" collapsed="false">
      <c r="A13519" s="5" t="e">
        <f aca="false">VDB(2400,300,120,0.25,0.75,,TRUE())</f>
        <v>#VALUE!</v>
      </c>
      <c r="B13519" s="0" t="s">
        <v>13456</v>
      </c>
    </row>
    <row r="13520" customFormat="false" ht="15" hidden="false" customHeight="false" outlineLevel="0" collapsed="false">
      <c r="A13520" s="5" t="n">
        <f aca="false">VDB(2400,300,120,120,120)</f>
        <v>0</v>
      </c>
      <c r="B13520" s="0" t="s">
        <v>13457</v>
      </c>
    </row>
    <row r="13521" customFormat="false" ht="15" hidden="false" customHeight="false" outlineLevel="0" collapsed="false">
      <c r="A13521" s="5" t="n">
        <f aca="false">VDB(2400,300,120,120,120,1.5)</f>
        <v>0</v>
      </c>
      <c r="B13521" s="0" t="s">
        <v>13458</v>
      </c>
    </row>
    <row r="13522" customFormat="false" ht="15" hidden="false" customHeight="false" outlineLevel="0" collapsed="false">
      <c r="A13522" s="5" t="n">
        <f aca="false">VDB(2400,300,120,120,120,2)</f>
        <v>0</v>
      </c>
      <c r="B13522" s="0" t="s">
        <v>13459</v>
      </c>
    </row>
    <row r="13523" customFormat="false" ht="15" hidden="false" customHeight="false" outlineLevel="0" collapsed="false">
      <c r="A13523" s="5" t="n">
        <f aca="false">VDB(2400,300,120,120,120,3)</f>
        <v>0</v>
      </c>
      <c r="B13523" s="0" t="s">
        <v>13460</v>
      </c>
    </row>
    <row r="13524" customFormat="false" ht="15" hidden="false" customHeight="false" outlineLevel="0" collapsed="false">
      <c r="A13524" s="5" t="e">
        <f aca="false">VDB(2400,300,120,120,120,0)</f>
        <v>#VALUE!</v>
      </c>
      <c r="B13524" s="0" t="s">
        <v>13461</v>
      </c>
    </row>
    <row r="13525" customFormat="false" ht="15" hidden="false" customHeight="false" outlineLevel="0" collapsed="false">
      <c r="A13525" s="5" t="e">
        <f aca="false">VDB(2400,300,120,120,120,-1)</f>
        <v>#VALUE!</v>
      </c>
      <c r="B13525" s="0" t="s">
        <v>13462</v>
      </c>
    </row>
    <row r="13526" customFormat="false" ht="15" hidden="false" customHeight="false" outlineLevel="0" collapsed="false">
      <c r="A13526" s="5" t="n">
        <f aca="false">VDB(2400,300,120,120,120,2,TRUE())</f>
        <v>0</v>
      </c>
      <c r="B13526" s="0" t="s">
        <v>13463</v>
      </c>
    </row>
    <row r="13527" customFormat="false" ht="15" hidden="false" customHeight="false" outlineLevel="0" collapsed="false">
      <c r="A13527" s="5" t="n">
        <f aca="false">VDB(2400,300,120,120,120,1.5,TRUE())</f>
        <v>0</v>
      </c>
      <c r="B13527" s="0" t="s">
        <v>13464</v>
      </c>
    </row>
    <row r="13528" customFormat="false" ht="15" hidden="false" customHeight="false" outlineLevel="0" collapsed="false">
      <c r="A13528" s="5" t="n">
        <f aca="false">VDB(2400,300,120,120,120,2,FALSE())</f>
        <v>0</v>
      </c>
      <c r="B13528" s="0" t="s">
        <v>13465</v>
      </c>
    </row>
    <row r="13529" customFormat="false" ht="15" hidden="false" customHeight="false" outlineLevel="0" collapsed="false">
      <c r="A13529" s="5" t="e">
        <f aca="false">VDB(2400,300,120,120,120,,TRUE())</f>
        <v>#VALUE!</v>
      </c>
      <c r="B13529" s="0" t="s">
        <v>13466</v>
      </c>
    </row>
    <row r="13530" customFormat="false" ht="15" hidden="false" customHeight="false" outlineLevel="0" collapsed="false">
      <c r="A13530" s="5" t="n">
        <f aca="false">VDB(2400,300,120,1,120)</f>
        <v>2060</v>
      </c>
      <c r="B13530" s="0" t="s">
        <v>13467</v>
      </c>
    </row>
    <row r="13531" customFormat="false" ht="15" hidden="false" customHeight="false" outlineLevel="0" collapsed="false">
      <c r="A13531" s="5" t="n">
        <f aca="false">VDB(2400,300,120,1,120,1.5)</f>
        <v>2070</v>
      </c>
      <c r="B13531" s="0" t="s">
        <v>13468</v>
      </c>
    </row>
    <row r="13532" customFormat="false" ht="15" hidden="false" customHeight="false" outlineLevel="0" collapsed="false">
      <c r="A13532" s="5" t="n">
        <f aca="false">VDB(2400,300,120,1,120,2)</f>
        <v>2060</v>
      </c>
      <c r="B13532" s="0" t="s">
        <v>13469</v>
      </c>
    </row>
    <row r="13533" customFormat="false" ht="15" hidden="false" customHeight="false" outlineLevel="0" collapsed="false">
      <c r="A13533" s="5" t="n">
        <f aca="false">VDB(2400,300,120,1,120,3)</f>
        <v>2040</v>
      </c>
      <c r="B13533" s="0" t="s">
        <v>13470</v>
      </c>
    </row>
    <row r="13534" customFormat="false" ht="15" hidden="false" customHeight="false" outlineLevel="0" collapsed="false">
      <c r="A13534" s="5" t="e">
        <f aca="false">VDB(2400,300,120,1,120,0)</f>
        <v>#VALUE!</v>
      </c>
      <c r="B13534" s="0" t="s">
        <v>13471</v>
      </c>
    </row>
    <row r="13535" customFormat="false" ht="15" hidden="false" customHeight="false" outlineLevel="0" collapsed="false">
      <c r="A13535" s="5" t="e">
        <f aca="false">VDB(2400,300,120,1,120,-1)</f>
        <v>#VALUE!</v>
      </c>
      <c r="B13535" s="0" t="s">
        <v>13472</v>
      </c>
    </row>
    <row r="13536" customFormat="false" ht="15" hidden="false" customHeight="false" outlineLevel="0" collapsed="false">
      <c r="A13536" s="5" t="n">
        <f aca="false">VDB(2400,300,120,1,120,2,TRUE())</f>
        <v>2040.62376803657</v>
      </c>
      <c r="B13536" s="0" t="s">
        <v>13473</v>
      </c>
    </row>
    <row r="13537" customFormat="false" ht="15" hidden="false" customHeight="false" outlineLevel="0" collapsed="false">
      <c r="A13537" s="5" t="n">
        <f aca="false">VDB(2400,300,120,1,120,1.5,TRUE())</f>
        <v>1839.52642171212</v>
      </c>
      <c r="B13537" s="0" t="s">
        <v>13474</v>
      </c>
    </row>
    <row r="13538" customFormat="false" ht="15" hidden="false" customHeight="false" outlineLevel="0" collapsed="false">
      <c r="A13538" s="5" t="n">
        <f aca="false">VDB(2400,300,120,1,120,2,FALSE())</f>
        <v>2060</v>
      </c>
      <c r="B13538" s="0" t="s">
        <v>13475</v>
      </c>
    </row>
    <row r="13539" customFormat="false" ht="15" hidden="false" customHeight="false" outlineLevel="0" collapsed="false">
      <c r="A13539" s="5" t="e">
        <f aca="false">VDB(2400,300,120,1,120,,TRUE())</f>
        <v>#VALUE!</v>
      </c>
      <c r="B13539" s="0" t="s">
        <v>13476</v>
      </c>
    </row>
    <row r="13540" customFormat="false" ht="15" hidden="false" customHeight="false" outlineLevel="0" collapsed="false">
      <c r="A13540" s="5" t="n">
        <f aca="false">VDB(1000,0,5,0,1)</f>
        <v>400</v>
      </c>
      <c r="B13540" s="0" t="s">
        <v>13477</v>
      </c>
    </row>
    <row r="13541" customFormat="false" ht="15" hidden="false" customHeight="false" outlineLevel="0" collapsed="false">
      <c r="A13541" s="5" t="n">
        <f aca="false">VDB(1000,0,5,0,1,1.5)</f>
        <v>300</v>
      </c>
      <c r="B13541" s="0" t="s">
        <v>13478</v>
      </c>
    </row>
    <row r="13542" customFormat="false" ht="15" hidden="false" customHeight="false" outlineLevel="0" collapsed="false">
      <c r="A13542" s="5" t="n">
        <f aca="false">VDB(1000,0,5,0,1,2)</f>
        <v>400</v>
      </c>
      <c r="B13542" s="0" t="s">
        <v>13479</v>
      </c>
    </row>
    <row r="13543" customFormat="false" ht="15" hidden="false" customHeight="false" outlineLevel="0" collapsed="false">
      <c r="A13543" s="5" t="n">
        <f aca="false">VDB(1000,0,5,0,1,3)</f>
        <v>600</v>
      </c>
      <c r="B13543" s="0" t="s">
        <v>13480</v>
      </c>
    </row>
    <row r="13544" customFormat="false" ht="15" hidden="false" customHeight="false" outlineLevel="0" collapsed="false">
      <c r="A13544" s="5" t="e">
        <f aca="false">VDB(1000,0,5,0,1,0)</f>
        <v>#VALUE!</v>
      </c>
      <c r="B13544" s="0" t="s">
        <v>13481</v>
      </c>
    </row>
    <row r="13545" customFormat="false" ht="15" hidden="false" customHeight="false" outlineLevel="0" collapsed="false">
      <c r="A13545" s="5" t="e">
        <f aca="false">VDB(1000,0,5,0,1,-1)</f>
        <v>#VALUE!</v>
      </c>
      <c r="B13545" s="0" t="s">
        <v>13482</v>
      </c>
    </row>
    <row r="13546" customFormat="false" ht="15" hidden="false" customHeight="false" outlineLevel="0" collapsed="false">
      <c r="A13546" s="5" t="n">
        <f aca="false">VDB(1000,0,5,0,1,2,TRUE())</f>
        <v>400</v>
      </c>
      <c r="B13546" s="0" t="s">
        <v>13483</v>
      </c>
    </row>
    <row r="13547" customFormat="false" ht="15" hidden="false" customHeight="false" outlineLevel="0" collapsed="false">
      <c r="A13547" s="5" t="n">
        <f aca="false">VDB(1000,0,5,0,1,1.5,TRUE())</f>
        <v>300</v>
      </c>
      <c r="B13547" s="0" t="s">
        <v>13484</v>
      </c>
    </row>
    <row r="13548" customFormat="false" ht="15" hidden="false" customHeight="false" outlineLevel="0" collapsed="false">
      <c r="A13548" s="5" t="n">
        <f aca="false">VDB(1000,0,5,0,1,2,FALSE())</f>
        <v>400</v>
      </c>
      <c r="B13548" s="0" t="s">
        <v>13485</v>
      </c>
    </row>
    <row r="13549" customFormat="false" ht="15" hidden="false" customHeight="false" outlineLevel="0" collapsed="false">
      <c r="A13549" s="5" t="e">
        <f aca="false">VDB(1000,0,5,0,1,,TRUE())</f>
        <v>#VALUE!</v>
      </c>
      <c r="B13549" s="0" t="s">
        <v>13486</v>
      </c>
    </row>
    <row r="13550" customFormat="false" ht="15" hidden="false" customHeight="false" outlineLevel="0" collapsed="false">
      <c r="A13550" s="5" t="n">
        <f aca="false">VDB(1000,0,5,1,2)</f>
        <v>240</v>
      </c>
      <c r="B13550" s="0" t="s">
        <v>13487</v>
      </c>
    </row>
    <row r="13551" customFormat="false" ht="15" hidden="false" customHeight="false" outlineLevel="0" collapsed="false">
      <c r="A13551" s="5" t="n">
        <f aca="false">VDB(1000,0,5,1,2,1.5)</f>
        <v>210</v>
      </c>
      <c r="B13551" s="0" t="s">
        <v>13488</v>
      </c>
    </row>
    <row r="13552" customFormat="false" ht="15" hidden="false" customHeight="false" outlineLevel="0" collapsed="false">
      <c r="A13552" s="5" t="n">
        <f aca="false">VDB(1000,0,5,1,2,2)</f>
        <v>240</v>
      </c>
      <c r="B13552" s="0" t="s">
        <v>13489</v>
      </c>
    </row>
    <row r="13553" customFormat="false" ht="15" hidden="false" customHeight="false" outlineLevel="0" collapsed="false">
      <c r="A13553" s="5" t="n">
        <f aca="false">VDB(1000,0,5,1,2,3)</f>
        <v>240</v>
      </c>
      <c r="B13553" s="0" t="s">
        <v>13490</v>
      </c>
    </row>
    <row r="13554" customFormat="false" ht="15" hidden="false" customHeight="false" outlineLevel="0" collapsed="false">
      <c r="A13554" s="5" t="e">
        <f aca="false">VDB(1000,0,5,1,2,0)</f>
        <v>#VALUE!</v>
      </c>
      <c r="B13554" s="0" t="s">
        <v>13491</v>
      </c>
    </row>
    <row r="13555" customFormat="false" ht="15" hidden="false" customHeight="false" outlineLevel="0" collapsed="false">
      <c r="A13555" s="5" t="e">
        <f aca="false">VDB(1000,0,5,1,2,-1)</f>
        <v>#VALUE!</v>
      </c>
      <c r="B13555" s="0" t="s">
        <v>13492</v>
      </c>
    </row>
    <row r="13556" customFormat="false" ht="15" hidden="false" customHeight="false" outlineLevel="0" collapsed="false">
      <c r="A13556" s="5" t="n">
        <f aca="false">VDB(1000,0,5,1,2,2,TRUE())</f>
        <v>240</v>
      </c>
      <c r="B13556" s="0" t="s">
        <v>13493</v>
      </c>
    </row>
    <row r="13557" customFormat="false" ht="15" hidden="false" customHeight="false" outlineLevel="0" collapsed="false">
      <c r="A13557" s="5" t="n">
        <f aca="false">VDB(1000,0,5,1,2,1.5,TRUE())</f>
        <v>210</v>
      </c>
      <c r="B13557" s="0" t="s">
        <v>13494</v>
      </c>
    </row>
    <row r="13558" customFormat="false" ht="15" hidden="false" customHeight="false" outlineLevel="0" collapsed="false">
      <c r="A13558" s="5" t="n">
        <f aca="false">VDB(1000,0,5,1,2,2,FALSE())</f>
        <v>240</v>
      </c>
      <c r="B13558" s="0" t="s">
        <v>13495</v>
      </c>
    </row>
    <row r="13559" customFormat="false" ht="15" hidden="false" customHeight="false" outlineLevel="0" collapsed="false">
      <c r="A13559" s="5" t="e">
        <f aca="false">VDB(1000,0,5,1,2,,TRUE())</f>
        <v>#VALUE!</v>
      </c>
      <c r="B13559" s="0" t="s">
        <v>13496</v>
      </c>
    </row>
    <row r="13560" customFormat="false" ht="15" hidden="false" customHeight="false" outlineLevel="0" collapsed="false">
      <c r="A13560" s="5" t="n">
        <f aca="false">VDB(1000,0,5,0,5)</f>
        <v>1000</v>
      </c>
      <c r="B13560" s="0" t="s">
        <v>13497</v>
      </c>
    </row>
    <row r="13561" customFormat="false" ht="15" hidden="false" customHeight="false" outlineLevel="0" collapsed="false">
      <c r="A13561" s="5" t="n">
        <f aca="false">VDB(1000,0,5,0,5,1.5)</f>
        <v>1000</v>
      </c>
      <c r="B13561" s="0" t="s">
        <v>13498</v>
      </c>
    </row>
    <row r="13562" customFormat="false" ht="15" hidden="false" customHeight="false" outlineLevel="0" collapsed="false">
      <c r="A13562" s="5" t="n">
        <f aca="false">VDB(1000,0,5,0,5,2)</f>
        <v>1000</v>
      </c>
      <c r="B13562" s="0" t="s">
        <v>13499</v>
      </c>
    </row>
    <row r="13563" customFormat="false" ht="15" hidden="false" customHeight="false" outlineLevel="0" collapsed="false">
      <c r="A13563" s="5" t="n">
        <f aca="false">VDB(1000,0,5,0,5,3)</f>
        <v>1000</v>
      </c>
      <c r="B13563" s="0" t="s">
        <v>13500</v>
      </c>
    </row>
    <row r="13564" customFormat="false" ht="15" hidden="false" customHeight="false" outlineLevel="0" collapsed="false">
      <c r="A13564" s="5" t="e">
        <f aca="false">VDB(1000,0,5,0,5,0)</f>
        <v>#VALUE!</v>
      </c>
      <c r="B13564" s="0" t="s">
        <v>13501</v>
      </c>
    </row>
    <row r="13565" customFormat="false" ht="15" hidden="false" customHeight="false" outlineLevel="0" collapsed="false">
      <c r="A13565" s="5" t="e">
        <f aca="false">VDB(1000,0,5,0,5,-1)</f>
        <v>#VALUE!</v>
      </c>
      <c r="B13565" s="0" t="s">
        <v>13502</v>
      </c>
    </row>
    <row r="13566" customFormat="false" ht="15" hidden="false" customHeight="false" outlineLevel="0" collapsed="false">
      <c r="A13566" s="5" t="n">
        <f aca="false">VDB(1000,0,5,0,5,2,TRUE())</f>
        <v>922.24</v>
      </c>
      <c r="B13566" s="0" t="s">
        <v>13503</v>
      </c>
    </row>
    <row r="13567" customFormat="false" ht="15" hidden="false" customHeight="false" outlineLevel="0" collapsed="false">
      <c r="A13567" s="5" t="n">
        <f aca="false">VDB(1000,0,5,0,5,1.5,TRUE())</f>
        <v>831.93</v>
      </c>
      <c r="B13567" s="0" t="s">
        <v>13504</v>
      </c>
    </row>
    <row r="13568" customFormat="false" ht="15" hidden="false" customHeight="false" outlineLevel="0" collapsed="false">
      <c r="A13568" s="5" t="n">
        <f aca="false">VDB(1000,0,5,0,5,2,FALSE())</f>
        <v>1000</v>
      </c>
      <c r="B13568" s="0" t="s">
        <v>13505</v>
      </c>
    </row>
    <row r="13569" customFormat="false" ht="15" hidden="false" customHeight="false" outlineLevel="0" collapsed="false">
      <c r="A13569" s="5" t="e">
        <f aca="false">VDB(1000,0,5,0,5,,TRUE())</f>
        <v>#VALUE!</v>
      </c>
      <c r="B13569" s="0" t="s">
        <v>13506</v>
      </c>
    </row>
    <row r="13570" customFormat="false" ht="15" hidden="false" customHeight="false" outlineLevel="0" collapsed="false">
      <c r="A13570" s="5" t="n">
        <f aca="false">VDB(1000,0,5,0.5,1.5)</f>
        <v>320</v>
      </c>
      <c r="B13570" s="0" t="s">
        <v>13507</v>
      </c>
    </row>
    <row r="13571" customFormat="false" ht="15" hidden="false" customHeight="false" outlineLevel="0" collapsed="false">
      <c r="A13571" s="5" t="n">
        <f aca="false">VDB(1000,0,5,0.5,1.5,1.5)</f>
        <v>255</v>
      </c>
      <c r="B13571" s="0" t="s">
        <v>13508</v>
      </c>
    </row>
    <row r="13572" customFormat="false" ht="15" hidden="false" customHeight="false" outlineLevel="0" collapsed="false">
      <c r="A13572" s="5" t="n">
        <f aca="false">VDB(1000,0,5,0.5,1.5,2)</f>
        <v>320</v>
      </c>
      <c r="B13572" s="0" t="s">
        <v>13509</v>
      </c>
    </row>
    <row r="13573" customFormat="false" ht="15" hidden="false" customHeight="false" outlineLevel="0" collapsed="false">
      <c r="A13573" s="5" t="n">
        <f aca="false">VDB(1000,0,5,0.5,1.5,3)</f>
        <v>420</v>
      </c>
      <c r="B13573" s="0" t="s">
        <v>13510</v>
      </c>
    </row>
    <row r="13574" customFormat="false" ht="15" hidden="false" customHeight="false" outlineLevel="0" collapsed="false">
      <c r="A13574" s="5" t="e">
        <f aca="false">VDB(1000,0,5,0.5,1.5,0)</f>
        <v>#VALUE!</v>
      </c>
      <c r="B13574" s="0" t="s">
        <v>13511</v>
      </c>
    </row>
    <row r="13575" customFormat="false" ht="15" hidden="false" customHeight="false" outlineLevel="0" collapsed="false">
      <c r="A13575" s="5" t="e">
        <f aca="false">VDB(1000,0,5,0.5,1.5,-1)</f>
        <v>#VALUE!</v>
      </c>
      <c r="B13575" s="0" t="s">
        <v>13512</v>
      </c>
    </row>
    <row r="13576" customFormat="false" ht="15" hidden="false" customHeight="false" outlineLevel="0" collapsed="false">
      <c r="A13576" s="5" t="n">
        <f aca="false">VDB(1000,0,5,0.5,1.5,2,TRUE())</f>
        <v>320</v>
      </c>
      <c r="B13576" s="0" t="s">
        <v>13513</v>
      </c>
    </row>
    <row r="13577" customFormat="false" ht="15" hidden="false" customHeight="false" outlineLevel="0" collapsed="false">
      <c r="A13577" s="5" t="n">
        <f aca="false">VDB(1000,0,5,0.5,1.5,1.5,TRUE())</f>
        <v>255</v>
      </c>
      <c r="B13577" s="0" t="s">
        <v>13514</v>
      </c>
    </row>
    <row r="13578" customFormat="false" ht="15" hidden="false" customHeight="false" outlineLevel="0" collapsed="false">
      <c r="A13578" s="5" t="n">
        <f aca="false">VDB(1000,0,5,0.5,1.5,2,FALSE())</f>
        <v>320</v>
      </c>
      <c r="B13578" s="0" t="s">
        <v>13515</v>
      </c>
    </row>
    <row r="13579" customFormat="false" ht="15" hidden="false" customHeight="false" outlineLevel="0" collapsed="false">
      <c r="A13579" s="5" t="e">
        <f aca="false">VDB(1000,0,5,0.5,1.5,,TRUE())</f>
        <v>#VALUE!</v>
      </c>
      <c r="B13579" s="0" t="s">
        <v>13516</v>
      </c>
    </row>
    <row r="13580" customFormat="false" ht="15" hidden="false" customHeight="false" outlineLevel="0" collapsed="false">
      <c r="A13580" s="5" t="n">
        <f aca="false">VDB(1000,0,5,2,3)</f>
        <v>144</v>
      </c>
      <c r="B13580" s="0" t="s">
        <v>13517</v>
      </c>
    </row>
    <row r="13581" customFormat="false" ht="15" hidden="false" customHeight="false" outlineLevel="0" collapsed="false">
      <c r="A13581" s="5" t="n">
        <f aca="false">VDB(1000,0,5,2,3,1.5)</f>
        <v>163.333333333333</v>
      </c>
      <c r="B13581" s="0" t="s">
        <v>13518</v>
      </c>
    </row>
    <row r="13582" customFormat="false" ht="15" hidden="false" customHeight="false" outlineLevel="0" collapsed="false">
      <c r="A13582" s="5" t="n">
        <f aca="false">VDB(1000,0,5,2,3,2)</f>
        <v>144</v>
      </c>
      <c r="B13582" s="0" t="s">
        <v>13519</v>
      </c>
    </row>
    <row r="13583" customFormat="false" ht="15" hidden="false" customHeight="false" outlineLevel="0" collapsed="false">
      <c r="A13583" s="5" t="n">
        <f aca="false">VDB(1000,0,5,2,3,3)</f>
        <v>96</v>
      </c>
      <c r="B13583" s="0" t="s">
        <v>13520</v>
      </c>
    </row>
    <row r="13584" customFormat="false" ht="15" hidden="false" customHeight="false" outlineLevel="0" collapsed="false">
      <c r="A13584" s="5" t="e">
        <f aca="false">VDB(1000,0,5,2,3,0)</f>
        <v>#VALUE!</v>
      </c>
      <c r="B13584" s="0" t="s">
        <v>13521</v>
      </c>
    </row>
    <row r="13585" customFormat="false" ht="15" hidden="false" customHeight="false" outlineLevel="0" collapsed="false">
      <c r="A13585" s="5" t="e">
        <f aca="false">VDB(1000,0,5,2,3,-1)</f>
        <v>#VALUE!</v>
      </c>
      <c r="B13585" s="0" t="s">
        <v>13522</v>
      </c>
    </row>
    <row r="13586" customFormat="false" ht="15" hidden="false" customHeight="false" outlineLevel="0" collapsed="false">
      <c r="A13586" s="5" t="n">
        <f aca="false">VDB(1000,0,5,2,3,2,TRUE())</f>
        <v>144</v>
      </c>
      <c r="B13586" s="0" t="s">
        <v>13523</v>
      </c>
    </row>
    <row r="13587" customFormat="false" ht="15" hidden="false" customHeight="false" outlineLevel="0" collapsed="false">
      <c r="A13587" s="5" t="n">
        <f aca="false">VDB(1000,0,5,2,3,1.5,TRUE())</f>
        <v>147</v>
      </c>
      <c r="B13587" s="0" t="s">
        <v>13524</v>
      </c>
    </row>
    <row r="13588" customFormat="false" ht="15" hidden="false" customHeight="false" outlineLevel="0" collapsed="false">
      <c r="A13588" s="5" t="n">
        <f aca="false">VDB(1000,0,5,2,3,2,FALSE())</f>
        <v>144</v>
      </c>
      <c r="B13588" s="0" t="s">
        <v>13525</v>
      </c>
    </row>
    <row r="13589" customFormat="false" ht="15" hidden="false" customHeight="false" outlineLevel="0" collapsed="false">
      <c r="A13589" s="5" t="e">
        <f aca="false">VDB(1000,0,5,2,3,,TRUE())</f>
        <v>#VALUE!</v>
      </c>
      <c r="B13589" s="0" t="s">
        <v>13526</v>
      </c>
    </row>
    <row r="13590" customFormat="false" ht="15" hidden="false" customHeight="false" outlineLevel="0" collapsed="false">
      <c r="A13590" s="5" t="n">
        <f aca="false">VDB(1000,0,5,0,5)</f>
        <v>1000</v>
      </c>
      <c r="B13590" s="0" t="s">
        <v>13497</v>
      </c>
    </row>
    <row r="13591" customFormat="false" ht="15" hidden="false" customHeight="false" outlineLevel="0" collapsed="false">
      <c r="A13591" s="5" t="n">
        <f aca="false">VDB(1000,0,5,0,5,1.5)</f>
        <v>1000</v>
      </c>
      <c r="B13591" s="0" t="s">
        <v>13498</v>
      </c>
    </row>
    <row r="13592" customFormat="false" ht="15" hidden="false" customHeight="false" outlineLevel="0" collapsed="false">
      <c r="A13592" s="5" t="n">
        <f aca="false">VDB(1000,0,5,0,5,2)</f>
        <v>1000</v>
      </c>
      <c r="B13592" s="0" t="s">
        <v>13499</v>
      </c>
    </row>
    <row r="13593" customFormat="false" ht="15" hidden="false" customHeight="false" outlineLevel="0" collapsed="false">
      <c r="A13593" s="5" t="n">
        <f aca="false">VDB(1000,0,5,0,5,3)</f>
        <v>1000</v>
      </c>
      <c r="B13593" s="0" t="s">
        <v>13500</v>
      </c>
    </row>
    <row r="13594" customFormat="false" ht="15" hidden="false" customHeight="false" outlineLevel="0" collapsed="false">
      <c r="A13594" s="5" t="e">
        <f aca="false">VDB(1000,0,5,0,5,0)</f>
        <v>#VALUE!</v>
      </c>
      <c r="B13594" s="0" t="s">
        <v>13501</v>
      </c>
    </row>
    <row r="13595" customFormat="false" ht="15" hidden="false" customHeight="false" outlineLevel="0" collapsed="false">
      <c r="A13595" s="5" t="e">
        <f aca="false">VDB(1000,0,5,0,5,-1)</f>
        <v>#VALUE!</v>
      </c>
      <c r="B13595" s="0" t="s">
        <v>13502</v>
      </c>
    </row>
    <row r="13596" customFormat="false" ht="15" hidden="false" customHeight="false" outlineLevel="0" collapsed="false">
      <c r="A13596" s="5" t="n">
        <f aca="false">VDB(1000,0,5,0,5,2,TRUE())</f>
        <v>922.24</v>
      </c>
      <c r="B13596" s="0" t="s">
        <v>13503</v>
      </c>
    </row>
    <row r="13597" customFormat="false" ht="15" hidden="false" customHeight="false" outlineLevel="0" collapsed="false">
      <c r="A13597" s="5" t="n">
        <f aca="false">VDB(1000,0,5,0,5,1.5,TRUE())</f>
        <v>831.93</v>
      </c>
      <c r="B13597" s="0" t="s">
        <v>13504</v>
      </c>
    </row>
    <row r="13598" customFormat="false" ht="15" hidden="false" customHeight="false" outlineLevel="0" collapsed="false">
      <c r="A13598" s="5" t="n">
        <f aca="false">VDB(1000,0,5,0,5,2,FALSE())</f>
        <v>1000</v>
      </c>
      <c r="B13598" s="0" t="s">
        <v>13505</v>
      </c>
    </row>
    <row r="13599" customFormat="false" ht="15" hidden="false" customHeight="false" outlineLevel="0" collapsed="false">
      <c r="A13599" s="5" t="e">
        <f aca="false">VDB(1000,0,5,0,5,,TRUE())</f>
        <v>#VALUE!</v>
      </c>
      <c r="B13599" s="0" t="s">
        <v>13506</v>
      </c>
    </row>
    <row r="13600" customFormat="false" ht="15" hidden="false" customHeight="false" outlineLevel="0" collapsed="false">
      <c r="A13600" s="5" t="n">
        <f aca="false">VDB(1000,0,5,4,5)</f>
        <v>108</v>
      </c>
      <c r="B13600" s="0" t="s">
        <v>13527</v>
      </c>
    </row>
    <row r="13601" customFormat="false" ht="15" hidden="false" customHeight="false" outlineLevel="0" collapsed="false">
      <c r="A13601" s="5" t="n">
        <f aca="false">VDB(1000,0,5,4,5,1.5)</f>
        <v>163.333333333333</v>
      </c>
      <c r="B13601" s="0" t="s">
        <v>13528</v>
      </c>
    </row>
    <row r="13602" customFormat="false" ht="15" hidden="false" customHeight="false" outlineLevel="0" collapsed="false">
      <c r="A13602" s="5" t="n">
        <f aca="false">VDB(1000,0,5,4,5,2)</f>
        <v>108</v>
      </c>
      <c r="B13602" s="0" t="s">
        <v>13529</v>
      </c>
    </row>
    <row r="13603" customFormat="false" ht="15" hidden="false" customHeight="false" outlineLevel="0" collapsed="false">
      <c r="A13603" s="5" t="n">
        <f aca="false">VDB(1000,0,5,4,5,3)</f>
        <v>25.6</v>
      </c>
      <c r="B13603" s="0" t="s">
        <v>13530</v>
      </c>
    </row>
    <row r="13604" customFormat="false" ht="15" hidden="false" customHeight="false" outlineLevel="0" collapsed="false">
      <c r="A13604" s="5" t="e">
        <f aca="false">VDB(1000,0,5,4,5,0)</f>
        <v>#VALUE!</v>
      </c>
      <c r="B13604" s="0" t="s">
        <v>13531</v>
      </c>
    </row>
    <row r="13605" customFormat="false" ht="15" hidden="false" customHeight="false" outlineLevel="0" collapsed="false">
      <c r="A13605" s="5" t="e">
        <f aca="false">VDB(1000,0,5,4,5,-1)</f>
        <v>#VALUE!</v>
      </c>
      <c r="B13605" s="0" t="s">
        <v>13532</v>
      </c>
    </row>
    <row r="13606" customFormat="false" ht="15" hidden="false" customHeight="false" outlineLevel="0" collapsed="false">
      <c r="A13606" s="5" t="n">
        <f aca="false">VDB(1000,0,5,4,5,2,TRUE())</f>
        <v>51.84</v>
      </c>
      <c r="B13606" s="0" t="s">
        <v>13533</v>
      </c>
    </row>
    <row r="13607" customFormat="false" ht="15" hidden="false" customHeight="false" outlineLevel="0" collapsed="false">
      <c r="A13607" s="5" t="n">
        <f aca="false">VDB(1000,0,5,4,5,1.5,TRUE())</f>
        <v>72.03</v>
      </c>
      <c r="B13607" s="0" t="s">
        <v>13534</v>
      </c>
    </row>
    <row r="13608" customFormat="false" ht="15" hidden="false" customHeight="false" outlineLevel="0" collapsed="false">
      <c r="A13608" s="5" t="n">
        <f aca="false">VDB(1000,0,5,4,5,2,FALSE())</f>
        <v>108</v>
      </c>
      <c r="B13608" s="0" t="s">
        <v>13535</v>
      </c>
    </row>
    <row r="13609" customFormat="false" ht="15" hidden="false" customHeight="false" outlineLevel="0" collapsed="false">
      <c r="A13609" s="5" t="e">
        <f aca="false">VDB(1000,0,5,4,5,,TRUE())</f>
        <v>#VALUE!</v>
      </c>
      <c r="B13609" s="0" t="s">
        <v>13536</v>
      </c>
    </row>
    <row r="13610" customFormat="false" ht="15" hidden="false" customHeight="false" outlineLevel="0" collapsed="false">
      <c r="A13610" s="5" t="n">
        <f aca="false">VDB(1000,0,5,3.5,4.2)</f>
        <v>75.6</v>
      </c>
      <c r="B13610" s="0" t="s">
        <v>13537</v>
      </c>
    </row>
    <row r="13611" customFormat="false" ht="15" hidden="false" customHeight="false" outlineLevel="0" collapsed="false">
      <c r="A13611" s="5" t="n">
        <f aca="false">VDB(1000,0,5,3.5,4.2,1.5)</f>
        <v>114.333333333333</v>
      </c>
      <c r="B13611" s="0" t="s">
        <v>13538</v>
      </c>
    </row>
    <row r="13612" customFormat="false" ht="15" hidden="false" customHeight="false" outlineLevel="0" collapsed="false">
      <c r="A13612" s="5" t="n">
        <f aca="false">VDB(1000,0,5,3.5,4.2,2)</f>
        <v>75.6</v>
      </c>
      <c r="B13612" s="0" t="s">
        <v>13539</v>
      </c>
    </row>
    <row r="13613" customFormat="false" ht="15" hidden="false" customHeight="false" outlineLevel="0" collapsed="false">
      <c r="A13613" s="5" t="n">
        <f aca="false">VDB(1000,0,5,3.5,4.2,3)</f>
        <v>24.32</v>
      </c>
      <c r="B13613" s="0" t="s">
        <v>13540</v>
      </c>
    </row>
    <row r="13614" customFormat="false" ht="15" hidden="false" customHeight="false" outlineLevel="0" collapsed="false">
      <c r="A13614" s="5" t="e">
        <f aca="false">VDB(1000,0,5,3.5,4.2,0)</f>
        <v>#VALUE!</v>
      </c>
      <c r="B13614" s="0" t="s">
        <v>13541</v>
      </c>
    </row>
    <row r="13615" customFormat="false" ht="15" hidden="false" customHeight="false" outlineLevel="0" collapsed="false">
      <c r="A13615" s="5" t="e">
        <f aca="false">VDB(1000,0,5,3.5,4.2,-1)</f>
        <v>#VALUE!</v>
      </c>
      <c r="B13615" s="0" t="s">
        <v>13542</v>
      </c>
    </row>
    <row r="13616" customFormat="false" ht="15" hidden="false" customHeight="false" outlineLevel="0" collapsed="false">
      <c r="A13616" s="5" t="n">
        <f aca="false">VDB(1000,0,5,3.5,4.2,2,TRUE())</f>
        <v>53.568</v>
      </c>
      <c r="B13616" s="0" t="s">
        <v>13543</v>
      </c>
    </row>
    <row r="13617" customFormat="false" ht="15" hidden="false" customHeight="false" outlineLevel="0" collapsed="false">
      <c r="A13617" s="5" t="n">
        <f aca="false">VDB(1000,0,5,3.5,4.2,1.5,TRUE())</f>
        <v>65.856</v>
      </c>
      <c r="B13617" s="0" t="s">
        <v>13544</v>
      </c>
    </row>
    <row r="13618" customFormat="false" ht="15" hidden="false" customHeight="false" outlineLevel="0" collapsed="false">
      <c r="A13618" s="5" t="n">
        <f aca="false">VDB(1000,0,5,3.5,4.2,2,FALSE())</f>
        <v>75.6</v>
      </c>
      <c r="B13618" s="0" t="s">
        <v>13545</v>
      </c>
    </row>
    <row r="13619" customFormat="false" ht="15" hidden="false" customHeight="false" outlineLevel="0" collapsed="false">
      <c r="A13619" s="5" t="e">
        <f aca="false">VDB(1000,0,5,3.5,4.2,,TRUE())</f>
        <v>#VALUE!</v>
      </c>
      <c r="B13619" s="0" t="s">
        <v>13546</v>
      </c>
    </row>
    <row r="13620" customFormat="false" ht="15" hidden="false" customHeight="false" outlineLevel="0" collapsed="false">
      <c r="A13620" s="5" t="n">
        <f aca="false">VDB(1000,0,5,0,0)</f>
        <v>0</v>
      </c>
      <c r="B13620" s="0" t="s">
        <v>13547</v>
      </c>
    </row>
    <row r="13621" customFormat="false" ht="15" hidden="false" customHeight="false" outlineLevel="0" collapsed="false">
      <c r="A13621" s="5" t="n">
        <f aca="false">VDB(1000,0,5,0,0,1.5)</f>
        <v>0</v>
      </c>
      <c r="B13621" s="0" t="s">
        <v>13548</v>
      </c>
    </row>
    <row r="13622" customFormat="false" ht="15" hidden="false" customHeight="false" outlineLevel="0" collapsed="false">
      <c r="A13622" s="5" t="n">
        <f aca="false">VDB(1000,0,5,0,0,2)</f>
        <v>0</v>
      </c>
      <c r="B13622" s="0" t="s">
        <v>13549</v>
      </c>
    </row>
    <row r="13623" customFormat="false" ht="15" hidden="false" customHeight="false" outlineLevel="0" collapsed="false">
      <c r="A13623" s="5" t="n">
        <f aca="false">VDB(1000,0,5,0,0,3)</f>
        <v>0</v>
      </c>
      <c r="B13623" s="0" t="s">
        <v>13550</v>
      </c>
    </row>
    <row r="13624" customFormat="false" ht="15" hidden="false" customHeight="false" outlineLevel="0" collapsed="false">
      <c r="A13624" s="5" t="e">
        <f aca="false">VDB(1000,0,5,0,0,0)</f>
        <v>#VALUE!</v>
      </c>
      <c r="B13624" s="0" t="s">
        <v>13551</v>
      </c>
    </row>
    <row r="13625" customFormat="false" ht="15" hidden="false" customHeight="false" outlineLevel="0" collapsed="false">
      <c r="A13625" s="5" t="e">
        <f aca="false">VDB(1000,0,5,0,0,-1)</f>
        <v>#VALUE!</v>
      </c>
      <c r="B13625" s="0" t="s">
        <v>13552</v>
      </c>
    </row>
    <row r="13626" customFormat="false" ht="15" hidden="false" customHeight="false" outlineLevel="0" collapsed="false">
      <c r="A13626" s="5" t="n">
        <f aca="false">VDB(1000,0,5,0,0,2,TRUE())</f>
        <v>0</v>
      </c>
      <c r="B13626" s="0" t="s">
        <v>13553</v>
      </c>
    </row>
    <row r="13627" customFormat="false" ht="15" hidden="false" customHeight="false" outlineLevel="0" collapsed="false">
      <c r="A13627" s="5" t="n">
        <f aca="false">VDB(1000,0,5,0,0,1.5,TRUE())</f>
        <v>0</v>
      </c>
      <c r="B13627" s="0" t="s">
        <v>13554</v>
      </c>
    </row>
    <row r="13628" customFormat="false" ht="15" hidden="false" customHeight="false" outlineLevel="0" collapsed="false">
      <c r="A13628" s="5" t="n">
        <f aca="false">VDB(1000,0,5,0,0,2,FALSE())</f>
        <v>0</v>
      </c>
      <c r="B13628" s="0" t="s">
        <v>13555</v>
      </c>
    </row>
    <row r="13629" customFormat="false" ht="15" hidden="false" customHeight="false" outlineLevel="0" collapsed="false">
      <c r="A13629" s="5" t="e">
        <f aca="false">VDB(1000,0,5,0,0,,TRUE())</f>
        <v>#VALUE!</v>
      </c>
      <c r="B13629" s="0" t="s">
        <v>13556</v>
      </c>
    </row>
    <row r="13630" customFormat="false" ht="15" hidden="false" customHeight="false" outlineLevel="0" collapsed="false">
      <c r="A13630" s="5" t="n">
        <f aca="false">VDB(1000,0,5,1,1)</f>
        <v>0</v>
      </c>
      <c r="B13630" s="0" t="s">
        <v>13557</v>
      </c>
    </row>
    <row r="13631" customFormat="false" ht="15" hidden="false" customHeight="false" outlineLevel="0" collapsed="false">
      <c r="A13631" s="5" t="n">
        <f aca="false">VDB(1000,0,5,1,1,1.5)</f>
        <v>0</v>
      </c>
      <c r="B13631" s="0" t="s">
        <v>13558</v>
      </c>
    </row>
    <row r="13632" customFormat="false" ht="15" hidden="false" customHeight="false" outlineLevel="0" collapsed="false">
      <c r="A13632" s="5" t="n">
        <f aca="false">VDB(1000,0,5,1,1,2)</f>
        <v>0</v>
      </c>
      <c r="B13632" s="0" t="s">
        <v>13559</v>
      </c>
    </row>
    <row r="13633" customFormat="false" ht="15" hidden="false" customHeight="false" outlineLevel="0" collapsed="false">
      <c r="A13633" s="5" t="n">
        <f aca="false">VDB(1000,0,5,1,1,3)</f>
        <v>0</v>
      </c>
      <c r="B13633" s="0" t="s">
        <v>13560</v>
      </c>
    </row>
    <row r="13634" customFormat="false" ht="15" hidden="false" customHeight="false" outlineLevel="0" collapsed="false">
      <c r="A13634" s="5" t="e">
        <f aca="false">VDB(1000,0,5,1,1,0)</f>
        <v>#VALUE!</v>
      </c>
      <c r="B13634" s="0" t="s">
        <v>13561</v>
      </c>
    </row>
    <row r="13635" customFormat="false" ht="15" hidden="false" customHeight="false" outlineLevel="0" collapsed="false">
      <c r="A13635" s="5" t="e">
        <f aca="false">VDB(1000,0,5,1,1,-1)</f>
        <v>#VALUE!</v>
      </c>
      <c r="B13635" s="0" t="s">
        <v>13562</v>
      </c>
    </row>
    <row r="13636" customFormat="false" ht="15" hidden="false" customHeight="false" outlineLevel="0" collapsed="false">
      <c r="A13636" s="5" t="n">
        <f aca="false">VDB(1000,0,5,1,1,2,TRUE())</f>
        <v>0</v>
      </c>
      <c r="B13636" s="0" t="s">
        <v>13563</v>
      </c>
    </row>
    <row r="13637" customFormat="false" ht="15" hidden="false" customHeight="false" outlineLevel="0" collapsed="false">
      <c r="A13637" s="5" t="n">
        <f aca="false">VDB(1000,0,5,1,1,1.5,TRUE())</f>
        <v>0</v>
      </c>
      <c r="B13637" s="0" t="s">
        <v>13564</v>
      </c>
    </row>
    <row r="13638" customFormat="false" ht="15" hidden="false" customHeight="false" outlineLevel="0" collapsed="false">
      <c r="A13638" s="5" t="n">
        <f aca="false">VDB(1000,0,5,1,1,2,FALSE())</f>
        <v>0</v>
      </c>
      <c r="B13638" s="0" t="s">
        <v>13565</v>
      </c>
    </row>
    <row r="13639" customFormat="false" ht="15" hidden="false" customHeight="false" outlineLevel="0" collapsed="false">
      <c r="A13639" s="5" t="e">
        <f aca="false">VDB(1000,0,5,1,1,,TRUE())</f>
        <v>#VALUE!</v>
      </c>
      <c r="B13639" s="0" t="s">
        <v>13566</v>
      </c>
    </row>
    <row r="13640" customFormat="false" ht="15" hidden="false" customHeight="false" outlineLevel="0" collapsed="false">
      <c r="A13640" s="5" t="e">
        <f aca="false">VDB(1000,0,5,2,1)</f>
        <v>#VALUE!</v>
      </c>
      <c r="B13640" s="0" t="s">
        <v>13567</v>
      </c>
    </row>
    <row r="13641" customFormat="false" ht="15" hidden="false" customHeight="false" outlineLevel="0" collapsed="false">
      <c r="A13641" s="5" t="e">
        <f aca="false">VDB(1000,0,5,2,1,1.5)</f>
        <v>#VALUE!</v>
      </c>
      <c r="B13641" s="0" t="s">
        <v>13568</v>
      </c>
    </row>
    <row r="13642" customFormat="false" ht="15" hidden="false" customHeight="false" outlineLevel="0" collapsed="false">
      <c r="A13642" s="5" t="e">
        <f aca="false">VDB(1000,0,5,2,1,2)</f>
        <v>#VALUE!</v>
      </c>
      <c r="B13642" s="0" t="s">
        <v>13569</v>
      </c>
    </row>
    <row r="13643" customFormat="false" ht="15" hidden="false" customHeight="false" outlineLevel="0" collapsed="false">
      <c r="A13643" s="5" t="e">
        <f aca="false">VDB(1000,0,5,2,1,3)</f>
        <v>#VALUE!</v>
      </c>
      <c r="B13643" s="0" t="s">
        <v>13570</v>
      </c>
    </row>
    <row r="13644" customFormat="false" ht="15" hidden="false" customHeight="false" outlineLevel="0" collapsed="false">
      <c r="A13644" s="5" t="e">
        <f aca="false">VDB(1000,0,5,2,1,0)</f>
        <v>#VALUE!</v>
      </c>
      <c r="B13644" s="0" t="s">
        <v>13571</v>
      </c>
    </row>
    <row r="13645" customFormat="false" ht="15" hidden="false" customHeight="false" outlineLevel="0" collapsed="false">
      <c r="A13645" s="5" t="e">
        <f aca="false">VDB(1000,0,5,2,1,-1)</f>
        <v>#VALUE!</v>
      </c>
      <c r="B13645" s="0" t="s">
        <v>13572</v>
      </c>
    </row>
    <row r="13646" customFormat="false" ht="15" hidden="false" customHeight="false" outlineLevel="0" collapsed="false">
      <c r="A13646" s="5" t="e">
        <f aca="false">VDB(1000,0,5,2,1,2,TRUE())</f>
        <v>#VALUE!</v>
      </c>
      <c r="B13646" s="0" t="s">
        <v>13573</v>
      </c>
    </row>
    <row r="13647" customFormat="false" ht="15" hidden="false" customHeight="false" outlineLevel="0" collapsed="false">
      <c r="A13647" s="5" t="e">
        <f aca="false">VDB(1000,0,5,2,1,1.5,TRUE())</f>
        <v>#VALUE!</v>
      </c>
      <c r="B13647" s="0" t="s">
        <v>13574</v>
      </c>
    </row>
    <row r="13648" customFormat="false" ht="15" hidden="false" customHeight="false" outlineLevel="0" collapsed="false">
      <c r="A13648" s="5" t="e">
        <f aca="false">VDB(1000,0,5,2,1,2,FALSE())</f>
        <v>#VALUE!</v>
      </c>
      <c r="B13648" s="0" t="s">
        <v>13575</v>
      </c>
    </row>
    <row r="13649" customFormat="false" ht="15" hidden="false" customHeight="false" outlineLevel="0" collapsed="false">
      <c r="A13649" s="5" t="e">
        <f aca="false">VDB(1000,0,5,2,1,,TRUE())</f>
        <v>#VALUE!</v>
      </c>
      <c r="B13649" s="0" t="s">
        <v>13576</v>
      </c>
    </row>
    <row r="13650" customFormat="false" ht="15" hidden="false" customHeight="false" outlineLevel="0" collapsed="false">
      <c r="A13650" s="5" t="e">
        <f aca="false">VDB(1000,0,5,0,6)</f>
        <v>#VALUE!</v>
      </c>
      <c r="B13650" s="0" t="s">
        <v>13577</v>
      </c>
    </row>
    <row r="13651" customFormat="false" ht="15" hidden="false" customHeight="false" outlineLevel="0" collapsed="false">
      <c r="A13651" s="5" t="e">
        <f aca="false">VDB(1000,0,5,0,6,1.5)</f>
        <v>#VALUE!</v>
      </c>
      <c r="B13651" s="0" t="s">
        <v>13578</v>
      </c>
    </row>
    <row r="13652" customFormat="false" ht="15" hidden="false" customHeight="false" outlineLevel="0" collapsed="false">
      <c r="A13652" s="5" t="e">
        <f aca="false">VDB(1000,0,5,0,6,2)</f>
        <v>#VALUE!</v>
      </c>
      <c r="B13652" s="0" t="s">
        <v>13579</v>
      </c>
    </row>
    <row r="13653" customFormat="false" ht="15" hidden="false" customHeight="false" outlineLevel="0" collapsed="false">
      <c r="A13653" s="5" t="e">
        <f aca="false">VDB(1000,0,5,0,6,3)</f>
        <v>#VALUE!</v>
      </c>
      <c r="B13653" s="0" t="s">
        <v>13580</v>
      </c>
    </row>
    <row r="13654" customFormat="false" ht="15" hidden="false" customHeight="false" outlineLevel="0" collapsed="false">
      <c r="A13654" s="5" t="e">
        <f aca="false">VDB(1000,0,5,0,6,0)</f>
        <v>#VALUE!</v>
      </c>
      <c r="B13654" s="0" t="s">
        <v>13581</v>
      </c>
    </row>
    <row r="13655" customFormat="false" ht="15" hidden="false" customHeight="false" outlineLevel="0" collapsed="false">
      <c r="A13655" s="5" t="e">
        <f aca="false">VDB(1000,0,5,0,6,-1)</f>
        <v>#VALUE!</v>
      </c>
      <c r="B13655" s="0" t="s">
        <v>13582</v>
      </c>
    </row>
    <row r="13656" customFormat="false" ht="15" hidden="false" customHeight="false" outlineLevel="0" collapsed="false">
      <c r="A13656" s="5" t="e">
        <f aca="false">VDB(1000,0,5,0,6,2,TRUE())</f>
        <v>#VALUE!</v>
      </c>
      <c r="B13656" s="0" t="s">
        <v>13583</v>
      </c>
    </row>
    <row r="13657" customFormat="false" ht="15" hidden="false" customHeight="false" outlineLevel="0" collapsed="false">
      <c r="A13657" s="5" t="e">
        <f aca="false">VDB(1000,0,5,0,6,1.5,TRUE())</f>
        <v>#VALUE!</v>
      </c>
      <c r="B13657" s="0" t="s">
        <v>13584</v>
      </c>
    </row>
    <row r="13658" customFormat="false" ht="15" hidden="false" customHeight="false" outlineLevel="0" collapsed="false">
      <c r="A13658" s="5" t="e">
        <f aca="false">VDB(1000,0,5,0,6,2,FALSE())</f>
        <v>#VALUE!</v>
      </c>
      <c r="B13658" s="0" t="s">
        <v>13585</v>
      </c>
    </row>
    <row r="13659" customFormat="false" ht="15" hidden="false" customHeight="false" outlineLevel="0" collapsed="false">
      <c r="A13659" s="5" t="e">
        <f aca="false">VDB(1000,0,5,0,6,,TRUE())</f>
        <v>#VALUE!</v>
      </c>
      <c r="B13659" s="0" t="s">
        <v>13586</v>
      </c>
    </row>
    <row r="13660" customFormat="false" ht="15" hidden="false" customHeight="false" outlineLevel="0" collapsed="false">
      <c r="A13660" s="5" t="e">
        <f aca="false">VDB(1000,0,5,-1,1)</f>
        <v>#VALUE!</v>
      </c>
      <c r="B13660" s="0" t="s">
        <v>13587</v>
      </c>
    </row>
    <row r="13661" customFormat="false" ht="15" hidden="false" customHeight="false" outlineLevel="0" collapsed="false">
      <c r="A13661" s="5" t="e">
        <f aca="false">VDB(1000,0,5,-1,1,1.5)</f>
        <v>#VALUE!</v>
      </c>
      <c r="B13661" s="0" t="s">
        <v>13588</v>
      </c>
    </row>
    <row r="13662" customFormat="false" ht="15" hidden="false" customHeight="false" outlineLevel="0" collapsed="false">
      <c r="A13662" s="5" t="e">
        <f aca="false">VDB(1000,0,5,-1,1,2)</f>
        <v>#VALUE!</v>
      </c>
      <c r="B13662" s="0" t="s">
        <v>13589</v>
      </c>
    </row>
    <row r="13663" customFormat="false" ht="15" hidden="false" customHeight="false" outlineLevel="0" collapsed="false">
      <c r="A13663" s="5" t="e">
        <f aca="false">VDB(1000,0,5,-1,1,3)</f>
        <v>#VALUE!</v>
      </c>
      <c r="B13663" s="0" t="s">
        <v>13590</v>
      </c>
    </row>
    <row r="13664" customFormat="false" ht="15" hidden="false" customHeight="false" outlineLevel="0" collapsed="false">
      <c r="A13664" s="5" t="e">
        <f aca="false">VDB(1000,0,5,-1,1,0)</f>
        <v>#VALUE!</v>
      </c>
      <c r="B13664" s="0" t="s">
        <v>13591</v>
      </c>
    </row>
    <row r="13665" customFormat="false" ht="15" hidden="false" customHeight="false" outlineLevel="0" collapsed="false">
      <c r="A13665" s="5" t="e">
        <f aca="false">VDB(1000,0,5,-1,1,-1)</f>
        <v>#VALUE!</v>
      </c>
      <c r="B13665" s="0" t="s">
        <v>13592</v>
      </c>
    </row>
    <row r="13666" customFormat="false" ht="15" hidden="false" customHeight="false" outlineLevel="0" collapsed="false">
      <c r="A13666" s="5" t="e">
        <f aca="false">VDB(1000,0,5,-1,1,2,TRUE())</f>
        <v>#VALUE!</v>
      </c>
      <c r="B13666" s="0" t="s">
        <v>13593</v>
      </c>
    </row>
    <row r="13667" customFormat="false" ht="15" hidden="false" customHeight="false" outlineLevel="0" collapsed="false">
      <c r="A13667" s="5" t="e">
        <f aca="false">VDB(1000,0,5,-1,1,1.5,TRUE())</f>
        <v>#VALUE!</v>
      </c>
      <c r="B13667" s="0" t="s">
        <v>13594</v>
      </c>
    </row>
    <row r="13668" customFormat="false" ht="15" hidden="false" customHeight="false" outlineLevel="0" collapsed="false">
      <c r="A13668" s="5" t="e">
        <f aca="false">VDB(1000,0,5,-1,1,2,FALSE())</f>
        <v>#VALUE!</v>
      </c>
      <c r="B13668" s="0" t="s">
        <v>13595</v>
      </c>
    </row>
    <row r="13669" customFormat="false" ht="15" hidden="false" customHeight="false" outlineLevel="0" collapsed="false">
      <c r="A13669" s="5" t="e">
        <f aca="false">VDB(1000,0,5,-1,1,,TRUE())</f>
        <v>#VALUE!</v>
      </c>
      <c r="B13669" s="0" t="s">
        <v>13596</v>
      </c>
    </row>
    <row r="13670" customFormat="false" ht="15" hidden="false" customHeight="false" outlineLevel="0" collapsed="false">
      <c r="A13670" s="5" t="n">
        <f aca="false">VDB(1000,0,5,0.25,0.75)</f>
        <v>200</v>
      </c>
      <c r="B13670" s="0" t="s">
        <v>13597</v>
      </c>
    </row>
    <row r="13671" customFormat="false" ht="15" hidden="false" customHeight="false" outlineLevel="0" collapsed="false">
      <c r="A13671" s="5" t="n">
        <f aca="false">VDB(1000,0,5,0.25,0.75,1.5)</f>
        <v>150</v>
      </c>
      <c r="B13671" s="0" t="s">
        <v>13598</v>
      </c>
    </row>
    <row r="13672" customFormat="false" ht="15" hidden="false" customHeight="false" outlineLevel="0" collapsed="false">
      <c r="A13672" s="5" t="n">
        <f aca="false">VDB(1000,0,5,0.25,0.75,2)</f>
        <v>200</v>
      </c>
      <c r="B13672" s="0" t="s">
        <v>13599</v>
      </c>
    </row>
    <row r="13673" customFormat="false" ht="15" hidden="false" customHeight="false" outlineLevel="0" collapsed="false">
      <c r="A13673" s="5" t="n">
        <f aca="false">VDB(1000,0,5,0.25,0.75,3)</f>
        <v>300</v>
      </c>
      <c r="B13673" s="0" t="s">
        <v>13600</v>
      </c>
    </row>
    <row r="13674" customFormat="false" ht="15" hidden="false" customHeight="false" outlineLevel="0" collapsed="false">
      <c r="A13674" s="5" t="e">
        <f aca="false">VDB(1000,0,5,0.25,0.75,0)</f>
        <v>#VALUE!</v>
      </c>
      <c r="B13674" s="0" t="s">
        <v>13601</v>
      </c>
    </row>
    <row r="13675" customFormat="false" ht="15" hidden="false" customHeight="false" outlineLevel="0" collapsed="false">
      <c r="A13675" s="5" t="e">
        <f aca="false">VDB(1000,0,5,0.25,0.75,-1)</f>
        <v>#VALUE!</v>
      </c>
      <c r="B13675" s="0" t="s">
        <v>13602</v>
      </c>
    </row>
    <row r="13676" customFormat="false" ht="15" hidden="false" customHeight="false" outlineLevel="0" collapsed="false">
      <c r="A13676" s="5" t="n">
        <f aca="false">VDB(1000,0,5,0.25,0.75,2,TRUE())</f>
        <v>200</v>
      </c>
      <c r="B13676" s="0" t="s">
        <v>13603</v>
      </c>
    </row>
    <row r="13677" customFormat="false" ht="15" hidden="false" customHeight="false" outlineLevel="0" collapsed="false">
      <c r="A13677" s="5" t="n">
        <f aca="false">VDB(1000,0,5,0.25,0.75,1.5,TRUE())</f>
        <v>150</v>
      </c>
      <c r="B13677" s="0" t="s">
        <v>13604</v>
      </c>
    </row>
    <row r="13678" customFormat="false" ht="15" hidden="false" customHeight="false" outlineLevel="0" collapsed="false">
      <c r="A13678" s="5" t="n">
        <f aca="false">VDB(1000,0,5,0.25,0.75,2,FALSE())</f>
        <v>200</v>
      </c>
      <c r="B13678" s="0" t="s">
        <v>13605</v>
      </c>
    </row>
    <row r="13679" customFormat="false" ht="15" hidden="false" customHeight="false" outlineLevel="0" collapsed="false">
      <c r="A13679" s="5" t="e">
        <f aca="false">VDB(1000,0,5,0.25,0.75,,TRUE())</f>
        <v>#VALUE!</v>
      </c>
      <c r="B13679" s="0" t="s">
        <v>13606</v>
      </c>
    </row>
    <row r="13680" customFormat="false" ht="15" hidden="false" customHeight="false" outlineLevel="0" collapsed="false">
      <c r="A13680" s="5" t="n">
        <f aca="false">VDB(1000,0,5,5,5)</f>
        <v>0</v>
      </c>
      <c r="B13680" s="0" t="s">
        <v>13607</v>
      </c>
    </row>
    <row r="13681" customFormat="false" ht="15" hidden="false" customHeight="false" outlineLevel="0" collapsed="false">
      <c r="A13681" s="5" t="n">
        <f aca="false">VDB(1000,0,5,5,5,1.5)</f>
        <v>0</v>
      </c>
      <c r="B13681" s="0" t="s">
        <v>13608</v>
      </c>
    </row>
    <row r="13682" customFormat="false" ht="15" hidden="false" customHeight="false" outlineLevel="0" collapsed="false">
      <c r="A13682" s="5" t="n">
        <f aca="false">VDB(1000,0,5,5,5,2)</f>
        <v>0</v>
      </c>
      <c r="B13682" s="0" t="s">
        <v>13609</v>
      </c>
    </row>
    <row r="13683" customFormat="false" ht="15" hidden="false" customHeight="false" outlineLevel="0" collapsed="false">
      <c r="A13683" s="5" t="n">
        <f aca="false">VDB(1000,0,5,5,5,3)</f>
        <v>0</v>
      </c>
      <c r="B13683" s="0" t="s">
        <v>13610</v>
      </c>
    </row>
    <row r="13684" customFormat="false" ht="15" hidden="false" customHeight="false" outlineLevel="0" collapsed="false">
      <c r="A13684" s="5" t="e">
        <f aca="false">VDB(1000,0,5,5,5,0)</f>
        <v>#VALUE!</v>
      </c>
      <c r="B13684" s="0" t="s">
        <v>13611</v>
      </c>
    </row>
    <row r="13685" customFormat="false" ht="15" hidden="false" customHeight="false" outlineLevel="0" collapsed="false">
      <c r="A13685" s="5" t="e">
        <f aca="false">VDB(1000,0,5,5,5,-1)</f>
        <v>#VALUE!</v>
      </c>
      <c r="B13685" s="0" t="s">
        <v>13612</v>
      </c>
    </row>
    <row r="13686" customFormat="false" ht="15" hidden="false" customHeight="false" outlineLevel="0" collapsed="false">
      <c r="A13686" s="5" t="n">
        <f aca="false">VDB(1000,0,5,5,5,2,TRUE())</f>
        <v>0</v>
      </c>
      <c r="B13686" s="0" t="s">
        <v>13613</v>
      </c>
    </row>
    <row r="13687" customFormat="false" ht="15" hidden="false" customHeight="false" outlineLevel="0" collapsed="false">
      <c r="A13687" s="5" t="n">
        <f aca="false">VDB(1000,0,5,5,5,1.5,TRUE())</f>
        <v>0</v>
      </c>
      <c r="B13687" s="0" t="s">
        <v>13614</v>
      </c>
    </row>
    <row r="13688" customFormat="false" ht="15" hidden="false" customHeight="false" outlineLevel="0" collapsed="false">
      <c r="A13688" s="5" t="n">
        <f aca="false">VDB(1000,0,5,5,5,2,FALSE())</f>
        <v>0</v>
      </c>
      <c r="B13688" s="0" t="s">
        <v>13615</v>
      </c>
    </row>
    <row r="13689" customFormat="false" ht="15" hidden="false" customHeight="false" outlineLevel="0" collapsed="false">
      <c r="A13689" s="5" t="e">
        <f aca="false">VDB(1000,0,5,5,5,,TRUE())</f>
        <v>#VALUE!</v>
      </c>
      <c r="B13689" s="0" t="s">
        <v>13616</v>
      </c>
    </row>
    <row r="13690" customFormat="false" ht="15" hidden="false" customHeight="false" outlineLevel="0" collapsed="false">
      <c r="A13690" s="5" t="n">
        <f aca="false">VDB(1000,0,5,1,5)</f>
        <v>600</v>
      </c>
      <c r="B13690" s="0" t="s">
        <v>13617</v>
      </c>
    </row>
    <row r="13691" customFormat="false" ht="15" hidden="false" customHeight="false" outlineLevel="0" collapsed="false">
      <c r="A13691" s="5" t="n">
        <f aca="false">VDB(1000,0,5,1,5,1.5)</f>
        <v>700</v>
      </c>
      <c r="B13691" s="0" t="s">
        <v>13618</v>
      </c>
    </row>
    <row r="13692" customFormat="false" ht="15" hidden="false" customHeight="false" outlineLevel="0" collapsed="false">
      <c r="A13692" s="5" t="n">
        <f aca="false">VDB(1000,0,5,1,5,2)</f>
        <v>600</v>
      </c>
      <c r="B13692" s="0" t="s">
        <v>13619</v>
      </c>
    </row>
    <row r="13693" customFormat="false" ht="15" hidden="false" customHeight="false" outlineLevel="0" collapsed="false">
      <c r="A13693" s="5" t="n">
        <f aca="false">VDB(1000,0,5,1,5,3)</f>
        <v>400</v>
      </c>
      <c r="B13693" s="0" t="s">
        <v>13620</v>
      </c>
    </row>
    <row r="13694" customFormat="false" ht="15" hidden="false" customHeight="false" outlineLevel="0" collapsed="false">
      <c r="A13694" s="5" t="e">
        <f aca="false">VDB(1000,0,5,1,5,0)</f>
        <v>#VALUE!</v>
      </c>
      <c r="B13694" s="0" t="s">
        <v>13621</v>
      </c>
    </row>
    <row r="13695" customFormat="false" ht="15" hidden="false" customHeight="false" outlineLevel="0" collapsed="false">
      <c r="A13695" s="5" t="e">
        <f aca="false">VDB(1000,0,5,1,5,-1)</f>
        <v>#VALUE!</v>
      </c>
      <c r="B13695" s="0" t="s">
        <v>13622</v>
      </c>
    </row>
    <row r="13696" customFormat="false" ht="15" hidden="false" customHeight="false" outlineLevel="0" collapsed="false">
      <c r="A13696" s="5" t="n">
        <f aca="false">VDB(1000,0,5,1,5,2,TRUE())</f>
        <v>522.24</v>
      </c>
      <c r="B13696" s="0" t="s">
        <v>13623</v>
      </c>
    </row>
    <row r="13697" customFormat="false" ht="15" hidden="false" customHeight="false" outlineLevel="0" collapsed="false">
      <c r="A13697" s="5" t="n">
        <f aca="false">VDB(1000,0,5,1,5,1.5,TRUE())</f>
        <v>531.93</v>
      </c>
      <c r="B13697" s="0" t="s">
        <v>13624</v>
      </c>
    </row>
    <row r="13698" customFormat="false" ht="15" hidden="false" customHeight="false" outlineLevel="0" collapsed="false">
      <c r="A13698" s="5" t="n">
        <f aca="false">VDB(1000,0,5,1,5,2,FALSE())</f>
        <v>600</v>
      </c>
      <c r="B13698" s="0" t="s">
        <v>13625</v>
      </c>
    </row>
    <row r="13699" customFormat="false" ht="15" hidden="false" customHeight="false" outlineLevel="0" collapsed="false">
      <c r="A13699" s="5" t="e">
        <f aca="false">VDB(1000,0,5,1,5,,TRUE())</f>
        <v>#VALUE!</v>
      </c>
      <c r="B13699" s="0" t="s">
        <v>13626</v>
      </c>
    </row>
    <row r="13700" customFormat="false" ht="15" hidden="false" customHeight="false" outlineLevel="0" collapsed="false">
      <c r="A13700" s="5" t="n">
        <f aca="false">VDB(1000,100,3,0,1)</f>
        <v>666.666666666667</v>
      </c>
      <c r="B13700" s="0" t="s">
        <v>13627</v>
      </c>
    </row>
    <row r="13701" customFormat="false" ht="15" hidden="false" customHeight="false" outlineLevel="0" collapsed="false">
      <c r="A13701" s="5" t="n">
        <f aca="false">VDB(1000,100,3,0,1,1.5)</f>
        <v>500</v>
      </c>
      <c r="B13701" s="0" t="s">
        <v>13628</v>
      </c>
    </row>
    <row r="13702" customFormat="false" ht="15" hidden="false" customHeight="false" outlineLevel="0" collapsed="false">
      <c r="A13702" s="5" t="n">
        <f aca="false">VDB(1000,100,3,0,1,2)</f>
        <v>666.666666666667</v>
      </c>
      <c r="B13702" s="0" t="s">
        <v>13629</v>
      </c>
    </row>
    <row r="13703" customFormat="false" ht="15" hidden="false" customHeight="false" outlineLevel="0" collapsed="false">
      <c r="A13703" s="5" t="n">
        <f aca="false">VDB(1000,100,3,0,1,3)</f>
        <v>900</v>
      </c>
      <c r="B13703" s="0" t="s">
        <v>13630</v>
      </c>
    </row>
    <row r="13704" customFormat="false" ht="15" hidden="false" customHeight="false" outlineLevel="0" collapsed="false">
      <c r="A13704" s="5" t="e">
        <f aca="false">VDB(1000,100,3,0,1,0)</f>
        <v>#VALUE!</v>
      </c>
      <c r="B13704" s="0" t="s">
        <v>13631</v>
      </c>
    </row>
    <row r="13705" customFormat="false" ht="15" hidden="false" customHeight="false" outlineLevel="0" collapsed="false">
      <c r="A13705" s="5" t="e">
        <f aca="false">VDB(1000,100,3,0,1,-1)</f>
        <v>#VALUE!</v>
      </c>
      <c r="B13705" s="0" t="s">
        <v>13632</v>
      </c>
    </row>
    <row r="13706" customFormat="false" ht="15" hidden="false" customHeight="false" outlineLevel="0" collapsed="false">
      <c r="A13706" s="5" t="n">
        <f aca="false">VDB(1000,100,3,0,1,2,TRUE())</f>
        <v>666.666666666667</v>
      </c>
      <c r="B13706" s="0" t="s">
        <v>13633</v>
      </c>
    </row>
    <row r="13707" customFormat="false" ht="15" hidden="false" customHeight="false" outlineLevel="0" collapsed="false">
      <c r="A13707" s="5" t="n">
        <f aca="false">VDB(1000,100,3,0,1,1.5,TRUE())</f>
        <v>500</v>
      </c>
      <c r="B13707" s="0" t="s">
        <v>13634</v>
      </c>
    </row>
    <row r="13708" customFormat="false" ht="15" hidden="false" customHeight="false" outlineLevel="0" collapsed="false">
      <c r="A13708" s="5" t="n">
        <f aca="false">VDB(1000,100,3,0,1,2,FALSE())</f>
        <v>666.666666666667</v>
      </c>
      <c r="B13708" s="0" t="s">
        <v>13635</v>
      </c>
    </row>
    <row r="13709" customFormat="false" ht="15" hidden="false" customHeight="false" outlineLevel="0" collapsed="false">
      <c r="A13709" s="5" t="e">
        <f aca="false">VDB(1000,100,3,0,1,,TRUE())</f>
        <v>#VALUE!</v>
      </c>
      <c r="B13709" s="0" t="s">
        <v>13636</v>
      </c>
    </row>
    <row r="13710" customFormat="false" ht="15" hidden="false" customHeight="false" outlineLevel="0" collapsed="false">
      <c r="A13710" s="5" t="n">
        <f aca="false">VDB(1000,100,3,1,2)</f>
        <v>222.222222222222</v>
      </c>
      <c r="B13710" s="0" t="s">
        <v>13637</v>
      </c>
    </row>
    <row r="13711" customFormat="false" ht="15" hidden="false" customHeight="false" outlineLevel="0" collapsed="false">
      <c r="A13711" s="5" t="n">
        <f aca="false">VDB(1000,100,3,1,2,1.5)</f>
        <v>250</v>
      </c>
      <c r="B13711" s="0" t="s">
        <v>13638</v>
      </c>
    </row>
    <row r="13712" customFormat="false" ht="15" hidden="false" customHeight="false" outlineLevel="0" collapsed="false">
      <c r="A13712" s="5" t="n">
        <f aca="false">VDB(1000,100,3,1,2,2)</f>
        <v>222.222222222222</v>
      </c>
      <c r="B13712" s="0" t="s">
        <v>13639</v>
      </c>
    </row>
    <row r="13713" customFormat="false" ht="15" hidden="false" customHeight="false" outlineLevel="0" collapsed="false">
      <c r="A13713" s="5" t="n">
        <f aca="false">VDB(1000,100,3,1,2,3)</f>
        <v>0</v>
      </c>
      <c r="B13713" s="0" t="s">
        <v>13640</v>
      </c>
    </row>
    <row r="13714" customFormat="false" ht="15" hidden="false" customHeight="false" outlineLevel="0" collapsed="false">
      <c r="A13714" s="5" t="e">
        <f aca="false">VDB(1000,100,3,1,2,0)</f>
        <v>#VALUE!</v>
      </c>
      <c r="B13714" s="0" t="s">
        <v>13641</v>
      </c>
    </row>
    <row r="13715" customFormat="false" ht="15" hidden="false" customHeight="false" outlineLevel="0" collapsed="false">
      <c r="A13715" s="5" t="e">
        <f aca="false">VDB(1000,100,3,1,2,-1)</f>
        <v>#VALUE!</v>
      </c>
      <c r="B13715" s="0" t="s">
        <v>13642</v>
      </c>
    </row>
    <row r="13716" customFormat="false" ht="15" hidden="false" customHeight="false" outlineLevel="0" collapsed="false">
      <c r="A13716" s="5" t="n">
        <f aca="false">VDB(1000,100,3,1,2,2,TRUE())</f>
        <v>222.222222222222</v>
      </c>
      <c r="B13716" s="0" t="s">
        <v>13643</v>
      </c>
    </row>
    <row r="13717" customFormat="false" ht="15" hidden="false" customHeight="false" outlineLevel="0" collapsed="false">
      <c r="A13717" s="5" t="n">
        <f aca="false">VDB(1000,100,3,1,2,1.5,TRUE())</f>
        <v>250</v>
      </c>
      <c r="B13717" s="0" t="s">
        <v>13644</v>
      </c>
    </row>
    <row r="13718" customFormat="false" ht="15" hidden="false" customHeight="false" outlineLevel="0" collapsed="false">
      <c r="A13718" s="5" t="n">
        <f aca="false">VDB(1000,100,3,1,2,2,FALSE())</f>
        <v>222.222222222222</v>
      </c>
      <c r="B13718" s="0" t="s">
        <v>13645</v>
      </c>
    </row>
    <row r="13719" customFormat="false" ht="15" hidden="false" customHeight="false" outlineLevel="0" collapsed="false">
      <c r="A13719" s="5" t="e">
        <f aca="false">VDB(1000,100,3,1,2,,TRUE())</f>
        <v>#VALUE!</v>
      </c>
      <c r="B13719" s="0" t="s">
        <v>13646</v>
      </c>
    </row>
    <row r="13720" customFormat="false" ht="15" hidden="false" customHeight="false" outlineLevel="0" collapsed="false">
      <c r="A13720" s="5" t="e">
        <f aca="false">VDB(1000,100,3,0,5)</f>
        <v>#VALUE!</v>
      </c>
      <c r="B13720" s="0" t="s">
        <v>13647</v>
      </c>
    </row>
    <row r="13721" customFormat="false" ht="15" hidden="false" customHeight="false" outlineLevel="0" collapsed="false">
      <c r="A13721" s="5" t="e">
        <f aca="false">VDB(1000,100,3,0,5,1.5)</f>
        <v>#VALUE!</v>
      </c>
      <c r="B13721" s="0" t="s">
        <v>13648</v>
      </c>
    </row>
    <row r="13722" customFormat="false" ht="15" hidden="false" customHeight="false" outlineLevel="0" collapsed="false">
      <c r="A13722" s="5" t="e">
        <f aca="false">VDB(1000,100,3,0,5,2)</f>
        <v>#VALUE!</v>
      </c>
      <c r="B13722" s="0" t="s">
        <v>13649</v>
      </c>
    </row>
    <row r="13723" customFormat="false" ht="15" hidden="false" customHeight="false" outlineLevel="0" collapsed="false">
      <c r="A13723" s="5" t="e">
        <f aca="false">VDB(1000,100,3,0,5,3)</f>
        <v>#VALUE!</v>
      </c>
      <c r="B13723" s="0" t="s">
        <v>13650</v>
      </c>
    </row>
    <row r="13724" customFormat="false" ht="15" hidden="false" customHeight="false" outlineLevel="0" collapsed="false">
      <c r="A13724" s="5" t="e">
        <f aca="false">VDB(1000,100,3,0,5,0)</f>
        <v>#VALUE!</v>
      </c>
      <c r="B13724" s="0" t="s">
        <v>13651</v>
      </c>
    </row>
    <row r="13725" customFormat="false" ht="15" hidden="false" customHeight="false" outlineLevel="0" collapsed="false">
      <c r="A13725" s="5" t="e">
        <f aca="false">VDB(1000,100,3,0,5,-1)</f>
        <v>#VALUE!</v>
      </c>
      <c r="B13725" s="0" t="s">
        <v>13652</v>
      </c>
    </row>
    <row r="13726" customFormat="false" ht="15" hidden="false" customHeight="false" outlineLevel="0" collapsed="false">
      <c r="A13726" s="5" t="e">
        <f aca="false">VDB(1000,100,3,0,5,2,TRUE())</f>
        <v>#VALUE!</v>
      </c>
      <c r="B13726" s="0" t="s">
        <v>13653</v>
      </c>
    </row>
    <row r="13727" customFormat="false" ht="15" hidden="false" customHeight="false" outlineLevel="0" collapsed="false">
      <c r="A13727" s="5" t="e">
        <f aca="false">VDB(1000,100,3,0,5,1.5,TRUE())</f>
        <v>#VALUE!</v>
      </c>
      <c r="B13727" s="0" t="s">
        <v>13654</v>
      </c>
    </row>
    <row r="13728" customFormat="false" ht="15" hidden="false" customHeight="false" outlineLevel="0" collapsed="false">
      <c r="A13728" s="5" t="e">
        <f aca="false">VDB(1000,100,3,0,5,2,FALSE())</f>
        <v>#VALUE!</v>
      </c>
      <c r="B13728" s="0" t="s">
        <v>13655</v>
      </c>
    </row>
    <row r="13729" customFormat="false" ht="15" hidden="false" customHeight="false" outlineLevel="0" collapsed="false">
      <c r="A13729" s="5" t="e">
        <f aca="false">VDB(1000,100,3,0,5,,TRUE())</f>
        <v>#VALUE!</v>
      </c>
      <c r="B13729" s="0" t="s">
        <v>13656</v>
      </c>
    </row>
    <row r="13730" customFormat="false" ht="15" hidden="false" customHeight="false" outlineLevel="0" collapsed="false">
      <c r="A13730" s="5" t="n">
        <f aca="false">VDB(1000,100,3,0.5,1.5)</f>
        <v>444.444444444444</v>
      </c>
      <c r="B13730" s="0" t="s">
        <v>13657</v>
      </c>
    </row>
    <row r="13731" customFormat="false" ht="15" hidden="false" customHeight="false" outlineLevel="0" collapsed="false">
      <c r="A13731" s="5" t="n">
        <f aca="false">VDB(1000,100,3,0.5,1.5,1.5)</f>
        <v>375</v>
      </c>
      <c r="B13731" s="0" t="s">
        <v>13658</v>
      </c>
    </row>
    <row r="13732" customFormat="false" ht="15" hidden="false" customHeight="false" outlineLevel="0" collapsed="false">
      <c r="A13732" s="5" t="n">
        <f aca="false">VDB(1000,100,3,0.5,1.5,2)</f>
        <v>444.444444444444</v>
      </c>
      <c r="B13732" s="0" t="s">
        <v>13659</v>
      </c>
    </row>
    <row r="13733" customFormat="false" ht="15" hidden="false" customHeight="false" outlineLevel="0" collapsed="false">
      <c r="A13733" s="5" t="n">
        <f aca="false">VDB(1000,100,3,0.5,1.5,3)</f>
        <v>450</v>
      </c>
      <c r="B13733" s="0" t="s">
        <v>13660</v>
      </c>
    </row>
    <row r="13734" customFormat="false" ht="15" hidden="false" customHeight="false" outlineLevel="0" collapsed="false">
      <c r="A13734" s="5" t="e">
        <f aca="false">VDB(1000,100,3,0.5,1.5,0)</f>
        <v>#VALUE!</v>
      </c>
      <c r="B13734" s="0" t="s">
        <v>13661</v>
      </c>
    </row>
    <row r="13735" customFormat="false" ht="15" hidden="false" customHeight="false" outlineLevel="0" collapsed="false">
      <c r="A13735" s="5" t="e">
        <f aca="false">VDB(1000,100,3,0.5,1.5,-1)</f>
        <v>#VALUE!</v>
      </c>
      <c r="B13735" s="0" t="s">
        <v>13662</v>
      </c>
    </row>
    <row r="13736" customFormat="false" ht="15" hidden="false" customHeight="false" outlineLevel="0" collapsed="false">
      <c r="A13736" s="5" t="n">
        <f aca="false">VDB(1000,100,3,0.5,1.5,2,TRUE())</f>
        <v>444.444444444444</v>
      </c>
      <c r="B13736" s="0" t="s">
        <v>13663</v>
      </c>
    </row>
    <row r="13737" customFormat="false" ht="15" hidden="false" customHeight="false" outlineLevel="0" collapsed="false">
      <c r="A13737" s="5" t="n">
        <f aca="false">VDB(1000,100,3,0.5,1.5,1.5,TRUE())</f>
        <v>375</v>
      </c>
      <c r="B13737" s="0" t="s">
        <v>13664</v>
      </c>
    </row>
    <row r="13738" customFormat="false" ht="15" hidden="false" customHeight="false" outlineLevel="0" collapsed="false">
      <c r="A13738" s="5" t="n">
        <f aca="false">VDB(1000,100,3,0.5,1.5,2,FALSE())</f>
        <v>444.444444444444</v>
      </c>
      <c r="B13738" s="0" t="s">
        <v>13665</v>
      </c>
    </row>
    <row r="13739" customFormat="false" ht="15" hidden="false" customHeight="false" outlineLevel="0" collapsed="false">
      <c r="A13739" s="5" t="e">
        <f aca="false">VDB(1000,100,3,0.5,1.5,,TRUE())</f>
        <v>#VALUE!</v>
      </c>
      <c r="B13739" s="0" t="s">
        <v>13666</v>
      </c>
    </row>
    <row r="13740" customFormat="false" ht="15" hidden="false" customHeight="false" outlineLevel="0" collapsed="false">
      <c r="A13740" s="5" t="n">
        <f aca="false">VDB(1000,100,3,2,3)</f>
        <v>11.1111111111111</v>
      </c>
      <c r="B13740" s="0" t="s">
        <v>13667</v>
      </c>
    </row>
    <row r="13741" customFormat="false" ht="15" hidden="false" customHeight="false" outlineLevel="0" collapsed="false">
      <c r="A13741" s="5" t="n">
        <f aca="false">VDB(1000,100,3,2,3,1.5)</f>
        <v>150</v>
      </c>
      <c r="B13741" s="0" t="s">
        <v>13668</v>
      </c>
    </row>
    <row r="13742" customFormat="false" ht="15" hidden="false" customHeight="false" outlineLevel="0" collapsed="false">
      <c r="A13742" s="5" t="n">
        <f aca="false">VDB(1000,100,3,2,3,2)</f>
        <v>11.1111111111111</v>
      </c>
      <c r="B13742" s="0" t="s">
        <v>13669</v>
      </c>
    </row>
    <row r="13743" customFormat="false" ht="15" hidden="false" customHeight="false" outlineLevel="0" collapsed="false">
      <c r="A13743" s="5" t="n">
        <f aca="false">VDB(1000,100,3,2,3,3)</f>
        <v>0</v>
      </c>
      <c r="B13743" s="0" t="s">
        <v>13670</v>
      </c>
    </row>
    <row r="13744" customFormat="false" ht="15" hidden="false" customHeight="false" outlineLevel="0" collapsed="false">
      <c r="A13744" s="5" t="e">
        <f aca="false">VDB(1000,100,3,2,3,0)</f>
        <v>#VALUE!</v>
      </c>
      <c r="B13744" s="0" t="s">
        <v>13671</v>
      </c>
    </row>
    <row r="13745" customFormat="false" ht="15" hidden="false" customHeight="false" outlineLevel="0" collapsed="false">
      <c r="A13745" s="5" t="e">
        <f aca="false">VDB(1000,100,3,2,3,-1)</f>
        <v>#VALUE!</v>
      </c>
      <c r="B13745" s="0" t="s">
        <v>13672</v>
      </c>
    </row>
    <row r="13746" customFormat="false" ht="15" hidden="false" customHeight="false" outlineLevel="0" collapsed="false">
      <c r="A13746" s="5" t="n">
        <f aca="false">VDB(1000,100,3,2,3,2,TRUE())</f>
        <v>11.1111111111111</v>
      </c>
      <c r="B13746" s="0" t="s">
        <v>13673</v>
      </c>
    </row>
    <row r="13747" customFormat="false" ht="15" hidden="false" customHeight="false" outlineLevel="0" collapsed="false">
      <c r="A13747" s="5" t="n">
        <f aca="false">VDB(1000,100,3,2,3,1.5,TRUE())</f>
        <v>125</v>
      </c>
      <c r="B13747" s="0" t="s">
        <v>13674</v>
      </c>
    </row>
    <row r="13748" customFormat="false" ht="15" hidden="false" customHeight="false" outlineLevel="0" collapsed="false">
      <c r="A13748" s="5" t="n">
        <f aca="false">VDB(1000,100,3,2,3,2,FALSE())</f>
        <v>11.1111111111111</v>
      </c>
      <c r="B13748" s="0" t="s">
        <v>13675</v>
      </c>
    </row>
    <row r="13749" customFormat="false" ht="15" hidden="false" customHeight="false" outlineLevel="0" collapsed="false">
      <c r="A13749" s="5" t="e">
        <f aca="false">VDB(1000,100,3,2,3,,TRUE())</f>
        <v>#VALUE!</v>
      </c>
      <c r="B13749" s="0" t="s">
        <v>13676</v>
      </c>
    </row>
    <row r="13750" customFormat="false" ht="15" hidden="false" customHeight="false" outlineLevel="0" collapsed="false">
      <c r="A13750" s="5" t="n">
        <f aca="false">VDB(1000,100,3,0,3)</f>
        <v>900</v>
      </c>
      <c r="B13750" s="0" t="s">
        <v>13677</v>
      </c>
    </row>
    <row r="13751" customFormat="false" ht="15" hidden="false" customHeight="false" outlineLevel="0" collapsed="false">
      <c r="A13751" s="5" t="n">
        <f aca="false">VDB(1000,100,3,0,3,1.5)</f>
        <v>900</v>
      </c>
      <c r="B13751" s="0" t="s">
        <v>13678</v>
      </c>
    </row>
    <row r="13752" customFormat="false" ht="15" hidden="false" customHeight="false" outlineLevel="0" collapsed="false">
      <c r="A13752" s="5" t="n">
        <f aca="false">VDB(1000,100,3,0,3,2)</f>
        <v>900</v>
      </c>
      <c r="B13752" s="0" t="s">
        <v>13679</v>
      </c>
    </row>
    <row r="13753" customFormat="false" ht="15" hidden="false" customHeight="false" outlineLevel="0" collapsed="false">
      <c r="A13753" s="5" t="n">
        <f aca="false">VDB(1000,100,3,0,3,3)</f>
        <v>900</v>
      </c>
      <c r="B13753" s="0" t="s">
        <v>13680</v>
      </c>
    </row>
    <row r="13754" customFormat="false" ht="15" hidden="false" customHeight="false" outlineLevel="0" collapsed="false">
      <c r="A13754" s="5" t="e">
        <f aca="false">VDB(1000,100,3,0,3,0)</f>
        <v>#VALUE!</v>
      </c>
      <c r="B13754" s="0" t="s">
        <v>13681</v>
      </c>
    </row>
    <row r="13755" customFormat="false" ht="15" hidden="false" customHeight="false" outlineLevel="0" collapsed="false">
      <c r="A13755" s="5" t="e">
        <f aca="false">VDB(1000,100,3,0,3,-1)</f>
        <v>#VALUE!</v>
      </c>
      <c r="B13755" s="0" t="s">
        <v>13682</v>
      </c>
    </row>
    <row r="13756" customFormat="false" ht="15" hidden="false" customHeight="false" outlineLevel="0" collapsed="false">
      <c r="A13756" s="5" t="n">
        <f aca="false">VDB(1000,100,3,0,3,2,TRUE())</f>
        <v>900</v>
      </c>
      <c r="B13756" s="0" t="s">
        <v>13683</v>
      </c>
    </row>
    <row r="13757" customFormat="false" ht="15" hidden="false" customHeight="false" outlineLevel="0" collapsed="false">
      <c r="A13757" s="5" t="n">
        <f aca="false">VDB(1000,100,3,0,3,1.5,TRUE())</f>
        <v>875</v>
      </c>
      <c r="B13757" s="0" t="s">
        <v>13684</v>
      </c>
    </row>
    <row r="13758" customFormat="false" ht="15" hidden="false" customHeight="false" outlineLevel="0" collapsed="false">
      <c r="A13758" s="5" t="n">
        <f aca="false">VDB(1000,100,3,0,3,2,FALSE())</f>
        <v>900</v>
      </c>
      <c r="B13758" s="0" t="s">
        <v>13685</v>
      </c>
    </row>
    <row r="13759" customFormat="false" ht="15" hidden="false" customHeight="false" outlineLevel="0" collapsed="false">
      <c r="A13759" s="5" t="e">
        <f aca="false">VDB(1000,100,3,0,3,,TRUE())</f>
        <v>#VALUE!</v>
      </c>
      <c r="B13759" s="0" t="s">
        <v>13686</v>
      </c>
    </row>
    <row r="13760" customFormat="false" ht="15" hidden="false" customHeight="false" outlineLevel="0" collapsed="false">
      <c r="A13760" s="5" t="n">
        <f aca="false">VDB(1000,100,3,2,3)</f>
        <v>11.1111111111111</v>
      </c>
      <c r="B13760" s="0" t="s">
        <v>13667</v>
      </c>
    </row>
    <row r="13761" customFormat="false" ht="15" hidden="false" customHeight="false" outlineLevel="0" collapsed="false">
      <c r="A13761" s="5" t="n">
        <f aca="false">VDB(1000,100,3,2,3,1.5)</f>
        <v>150</v>
      </c>
      <c r="B13761" s="0" t="s">
        <v>13668</v>
      </c>
    </row>
    <row r="13762" customFormat="false" ht="15" hidden="false" customHeight="false" outlineLevel="0" collapsed="false">
      <c r="A13762" s="5" t="n">
        <f aca="false">VDB(1000,100,3,2,3,2)</f>
        <v>11.1111111111111</v>
      </c>
      <c r="B13762" s="0" t="s">
        <v>13669</v>
      </c>
    </row>
    <row r="13763" customFormat="false" ht="15" hidden="false" customHeight="false" outlineLevel="0" collapsed="false">
      <c r="A13763" s="5" t="n">
        <f aca="false">VDB(1000,100,3,2,3,3)</f>
        <v>0</v>
      </c>
      <c r="B13763" s="0" t="s">
        <v>13670</v>
      </c>
    </row>
    <row r="13764" customFormat="false" ht="15" hidden="false" customHeight="false" outlineLevel="0" collapsed="false">
      <c r="A13764" s="5" t="e">
        <f aca="false">VDB(1000,100,3,2,3,0)</f>
        <v>#VALUE!</v>
      </c>
      <c r="B13764" s="0" t="s">
        <v>13671</v>
      </c>
    </row>
    <row r="13765" customFormat="false" ht="15" hidden="false" customHeight="false" outlineLevel="0" collapsed="false">
      <c r="A13765" s="5" t="e">
        <f aca="false">VDB(1000,100,3,2,3,-1)</f>
        <v>#VALUE!</v>
      </c>
      <c r="B13765" s="0" t="s">
        <v>13672</v>
      </c>
    </row>
    <row r="13766" customFormat="false" ht="15" hidden="false" customHeight="false" outlineLevel="0" collapsed="false">
      <c r="A13766" s="5" t="n">
        <f aca="false">VDB(1000,100,3,2,3,2,TRUE())</f>
        <v>11.1111111111111</v>
      </c>
      <c r="B13766" s="0" t="s">
        <v>13673</v>
      </c>
    </row>
    <row r="13767" customFormat="false" ht="15" hidden="false" customHeight="false" outlineLevel="0" collapsed="false">
      <c r="A13767" s="5" t="n">
        <f aca="false">VDB(1000,100,3,2,3,1.5,TRUE())</f>
        <v>125</v>
      </c>
      <c r="B13767" s="0" t="s">
        <v>13674</v>
      </c>
    </row>
    <row r="13768" customFormat="false" ht="15" hidden="false" customHeight="false" outlineLevel="0" collapsed="false">
      <c r="A13768" s="5" t="n">
        <f aca="false">VDB(1000,100,3,2,3,2,FALSE())</f>
        <v>11.1111111111111</v>
      </c>
      <c r="B13768" s="0" t="s">
        <v>13675</v>
      </c>
    </row>
    <row r="13769" customFormat="false" ht="15" hidden="false" customHeight="false" outlineLevel="0" collapsed="false">
      <c r="A13769" s="5" t="e">
        <f aca="false">VDB(1000,100,3,2,3,,TRUE())</f>
        <v>#VALUE!</v>
      </c>
      <c r="B13769" s="0" t="s">
        <v>13676</v>
      </c>
    </row>
    <row r="13770" customFormat="false" ht="15" hidden="false" customHeight="false" outlineLevel="0" collapsed="false">
      <c r="A13770" s="5" t="e">
        <f aca="false">VDB(1000,100,3,3.5,4.2)</f>
        <v>#VALUE!</v>
      </c>
      <c r="B13770" s="0" t="s">
        <v>13687</v>
      </c>
    </row>
    <row r="13771" customFormat="false" ht="15" hidden="false" customHeight="false" outlineLevel="0" collapsed="false">
      <c r="A13771" s="5" t="e">
        <f aca="false">VDB(1000,100,3,3.5,4.2,1.5)</f>
        <v>#VALUE!</v>
      </c>
      <c r="B13771" s="0" t="s">
        <v>13688</v>
      </c>
    </row>
    <row r="13772" customFormat="false" ht="15" hidden="false" customHeight="false" outlineLevel="0" collapsed="false">
      <c r="A13772" s="5" t="e">
        <f aca="false">VDB(1000,100,3,3.5,4.2,2)</f>
        <v>#VALUE!</v>
      </c>
      <c r="B13772" s="0" t="s">
        <v>13689</v>
      </c>
    </row>
    <row r="13773" customFormat="false" ht="15" hidden="false" customHeight="false" outlineLevel="0" collapsed="false">
      <c r="A13773" s="5" t="e">
        <f aca="false">VDB(1000,100,3,3.5,4.2,3)</f>
        <v>#VALUE!</v>
      </c>
      <c r="B13773" s="0" t="s">
        <v>13690</v>
      </c>
    </row>
    <row r="13774" customFormat="false" ht="15" hidden="false" customHeight="false" outlineLevel="0" collapsed="false">
      <c r="A13774" s="5" t="e">
        <f aca="false">VDB(1000,100,3,3.5,4.2,0)</f>
        <v>#VALUE!</v>
      </c>
      <c r="B13774" s="0" t="s">
        <v>13691</v>
      </c>
    </row>
    <row r="13775" customFormat="false" ht="15" hidden="false" customHeight="false" outlineLevel="0" collapsed="false">
      <c r="A13775" s="5" t="e">
        <f aca="false">VDB(1000,100,3,3.5,4.2,-1)</f>
        <v>#VALUE!</v>
      </c>
      <c r="B13775" s="0" t="s">
        <v>13692</v>
      </c>
    </row>
    <row r="13776" customFormat="false" ht="15" hidden="false" customHeight="false" outlineLevel="0" collapsed="false">
      <c r="A13776" s="5" t="e">
        <f aca="false">VDB(1000,100,3,3.5,4.2,2,TRUE())</f>
        <v>#VALUE!</v>
      </c>
      <c r="B13776" s="0" t="s">
        <v>13693</v>
      </c>
    </row>
    <row r="13777" customFormat="false" ht="15" hidden="false" customHeight="false" outlineLevel="0" collapsed="false">
      <c r="A13777" s="5" t="e">
        <f aca="false">VDB(1000,100,3,3.5,4.2,1.5,TRUE())</f>
        <v>#VALUE!</v>
      </c>
      <c r="B13777" s="0" t="s">
        <v>13694</v>
      </c>
    </row>
    <row r="13778" customFormat="false" ht="15" hidden="false" customHeight="false" outlineLevel="0" collapsed="false">
      <c r="A13778" s="5" t="e">
        <f aca="false">VDB(1000,100,3,3.5,4.2,2,FALSE())</f>
        <v>#VALUE!</v>
      </c>
      <c r="B13778" s="0" t="s">
        <v>13695</v>
      </c>
    </row>
    <row r="13779" customFormat="false" ht="15" hidden="false" customHeight="false" outlineLevel="0" collapsed="false">
      <c r="A13779" s="5" t="e">
        <f aca="false">VDB(1000,100,3,3.5,4.2,,TRUE())</f>
        <v>#VALUE!</v>
      </c>
      <c r="B13779" s="0" t="s">
        <v>13696</v>
      </c>
    </row>
    <row r="13780" customFormat="false" ht="15" hidden="false" customHeight="false" outlineLevel="0" collapsed="false">
      <c r="A13780" s="5" t="n">
        <f aca="false">VDB(1000,100,3,0,0)</f>
        <v>0</v>
      </c>
      <c r="B13780" s="0" t="s">
        <v>13697</v>
      </c>
    </row>
    <row r="13781" customFormat="false" ht="15" hidden="false" customHeight="false" outlineLevel="0" collapsed="false">
      <c r="A13781" s="5" t="n">
        <f aca="false">VDB(1000,100,3,0,0,1.5)</f>
        <v>0</v>
      </c>
      <c r="B13781" s="0" t="s">
        <v>13698</v>
      </c>
    </row>
    <row r="13782" customFormat="false" ht="15" hidden="false" customHeight="false" outlineLevel="0" collapsed="false">
      <c r="A13782" s="5" t="n">
        <f aca="false">VDB(1000,100,3,0,0,2)</f>
        <v>0</v>
      </c>
      <c r="B13782" s="0" t="s">
        <v>13699</v>
      </c>
    </row>
    <row r="13783" customFormat="false" ht="15" hidden="false" customHeight="false" outlineLevel="0" collapsed="false">
      <c r="A13783" s="5" t="n">
        <f aca="false">VDB(1000,100,3,0,0,3)</f>
        <v>0</v>
      </c>
      <c r="B13783" s="0" t="s">
        <v>13700</v>
      </c>
    </row>
    <row r="13784" customFormat="false" ht="15" hidden="false" customHeight="false" outlineLevel="0" collapsed="false">
      <c r="A13784" s="5" t="e">
        <f aca="false">VDB(1000,100,3,0,0,0)</f>
        <v>#VALUE!</v>
      </c>
      <c r="B13784" s="0" t="s">
        <v>13701</v>
      </c>
    </row>
    <row r="13785" customFormat="false" ht="15" hidden="false" customHeight="false" outlineLevel="0" collapsed="false">
      <c r="A13785" s="5" t="e">
        <f aca="false">VDB(1000,100,3,0,0,-1)</f>
        <v>#VALUE!</v>
      </c>
      <c r="B13785" s="0" t="s">
        <v>13702</v>
      </c>
    </row>
    <row r="13786" customFormat="false" ht="15" hidden="false" customHeight="false" outlineLevel="0" collapsed="false">
      <c r="A13786" s="5" t="n">
        <f aca="false">VDB(1000,100,3,0,0,2,TRUE())</f>
        <v>0</v>
      </c>
      <c r="B13786" s="0" t="s">
        <v>13703</v>
      </c>
    </row>
    <row r="13787" customFormat="false" ht="15" hidden="false" customHeight="false" outlineLevel="0" collapsed="false">
      <c r="A13787" s="5" t="n">
        <f aca="false">VDB(1000,100,3,0,0,1.5,TRUE())</f>
        <v>0</v>
      </c>
      <c r="B13787" s="0" t="s">
        <v>13704</v>
      </c>
    </row>
    <row r="13788" customFormat="false" ht="15" hidden="false" customHeight="false" outlineLevel="0" collapsed="false">
      <c r="A13788" s="5" t="n">
        <f aca="false">VDB(1000,100,3,0,0,2,FALSE())</f>
        <v>0</v>
      </c>
      <c r="B13788" s="0" t="s">
        <v>13705</v>
      </c>
    </row>
    <row r="13789" customFormat="false" ht="15" hidden="false" customHeight="false" outlineLevel="0" collapsed="false">
      <c r="A13789" s="5" t="e">
        <f aca="false">VDB(1000,100,3,0,0,,TRUE())</f>
        <v>#VALUE!</v>
      </c>
      <c r="B13789" s="0" t="s">
        <v>13706</v>
      </c>
    </row>
    <row r="13790" customFormat="false" ht="15" hidden="false" customHeight="false" outlineLevel="0" collapsed="false">
      <c r="A13790" s="5" t="n">
        <f aca="false">VDB(1000,100,3,1,1)</f>
        <v>0</v>
      </c>
      <c r="B13790" s="0" t="s">
        <v>13707</v>
      </c>
    </row>
    <row r="13791" customFormat="false" ht="15" hidden="false" customHeight="false" outlineLevel="0" collapsed="false">
      <c r="A13791" s="5" t="n">
        <f aca="false">VDB(1000,100,3,1,1,1.5)</f>
        <v>0</v>
      </c>
      <c r="B13791" s="0" t="s">
        <v>13708</v>
      </c>
    </row>
    <row r="13792" customFormat="false" ht="15" hidden="false" customHeight="false" outlineLevel="0" collapsed="false">
      <c r="A13792" s="5" t="n">
        <f aca="false">VDB(1000,100,3,1,1,2)</f>
        <v>0</v>
      </c>
      <c r="B13792" s="0" t="s">
        <v>13709</v>
      </c>
    </row>
    <row r="13793" customFormat="false" ht="15" hidden="false" customHeight="false" outlineLevel="0" collapsed="false">
      <c r="A13793" s="5" t="n">
        <f aca="false">VDB(1000,100,3,1,1,3)</f>
        <v>0</v>
      </c>
      <c r="B13793" s="0" t="s">
        <v>13710</v>
      </c>
    </row>
    <row r="13794" customFormat="false" ht="15" hidden="false" customHeight="false" outlineLevel="0" collapsed="false">
      <c r="A13794" s="5" t="e">
        <f aca="false">VDB(1000,100,3,1,1,0)</f>
        <v>#VALUE!</v>
      </c>
      <c r="B13794" s="0" t="s">
        <v>13711</v>
      </c>
    </row>
    <row r="13795" customFormat="false" ht="15" hidden="false" customHeight="false" outlineLevel="0" collapsed="false">
      <c r="A13795" s="5" t="e">
        <f aca="false">VDB(1000,100,3,1,1,-1)</f>
        <v>#VALUE!</v>
      </c>
      <c r="B13795" s="0" t="s">
        <v>13712</v>
      </c>
    </row>
    <row r="13796" customFormat="false" ht="15" hidden="false" customHeight="false" outlineLevel="0" collapsed="false">
      <c r="A13796" s="5" t="n">
        <f aca="false">VDB(1000,100,3,1,1,2,TRUE())</f>
        <v>0</v>
      </c>
      <c r="B13796" s="0" t="s">
        <v>13713</v>
      </c>
    </row>
    <row r="13797" customFormat="false" ht="15" hidden="false" customHeight="false" outlineLevel="0" collapsed="false">
      <c r="A13797" s="5" t="n">
        <f aca="false">VDB(1000,100,3,1,1,1.5,TRUE())</f>
        <v>0</v>
      </c>
      <c r="B13797" s="0" t="s">
        <v>13714</v>
      </c>
    </row>
    <row r="13798" customFormat="false" ht="15" hidden="false" customHeight="false" outlineLevel="0" collapsed="false">
      <c r="A13798" s="5" t="n">
        <f aca="false">VDB(1000,100,3,1,1,2,FALSE())</f>
        <v>0</v>
      </c>
      <c r="B13798" s="0" t="s">
        <v>13715</v>
      </c>
    </row>
    <row r="13799" customFormat="false" ht="15" hidden="false" customHeight="false" outlineLevel="0" collapsed="false">
      <c r="A13799" s="5" t="e">
        <f aca="false">VDB(1000,100,3,1,1,,TRUE())</f>
        <v>#VALUE!</v>
      </c>
      <c r="B13799" s="0" t="s">
        <v>13716</v>
      </c>
    </row>
    <row r="13800" customFormat="false" ht="15" hidden="false" customHeight="false" outlineLevel="0" collapsed="false">
      <c r="A13800" s="5" t="e">
        <f aca="false">VDB(1000,100,3,2,1)</f>
        <v>#VALUE!</v>
      </c>
      <c r="B13800" s="0" t="s">
        <v>13717</v>
      </c>
    </row>
    <row r="13801" customFormat="false" ht="15" hidden="false" customHeight="false" outlineLevel="0" collapsed="false">
      <c r="A13801" s="5" t="e">
        <f aca="false">VDB(1000,100,3,2,1,1.5)</f>
        <v>#VALUE!</v>
      </c>
      <c r="B13801" s="0" t="s">
        <v>13718</v>
      </c>
    </row>
    <row r="13802" customFormat="false" ht="15" hidden="false" customHeight="false" outlineLevel="0" collapsed="false">
      <c r="A13802" s="5" t="e">
        <f aca="false">VDB(1000,100,3,2,1,2)</f>
        <v>#VALUE!</v>
      </c>
      <c r="B13802" s="0" t="s">
        <v>13719</v>
      </c>
    </row>
    <row r="13803" customFormat="false" ht="15" hidden="false" customHeight="false" outlineLevel="0" collapsed="false">
      <c r="A13803" s="5" t="e">
        <f aca="false">VDB(1000,100,3,2,1,3)</f>
        <v>#VALUE!</v>
      </c>
      <c r="B13803" s="0" t="s">
        <v>13720</v>
      </c>
    </row>
    <row r="13804" customFormat="false" ht="15" hidden="false" customHeight="false" outlineLevel="0" collapsed="false">
      <c r="A13804" s="5" t="e">
        <f aca="false">VDB(1000,100,3,2,1,0)</f>
        <v>#VALUE!</v>
      </c>
      <c r="B13804" s="0" t="s">
        <v>13721</v>
      </c>
    </row>
    <row r="13805" customFormat="false" ht="15" hidden="false" customHeight="false" outlineLevel="0" collapsed="false">
      <c r="A13805" s="5" t="e">
        <f aca="false">VDB(1000,100,3,2,1,-1)</f>
        <v>#VALUE!</v>
      </c>
      <c r="B13805" s="0" t="s">
        <v>13722</v>
      </c>
    </row>
    <row r="13806" customFormat="false" ht="15" hidden="false" customHeight="false" outlineLevel="0" collapsed="false">
      <c r="A13806" s="5" t="e">
        <f aca="false">VDB(1000,100,3,2,1,2,TRUE())</f>
        <v>#VALUE!</v>
      </c>
      <c r="B13806" s="0" t="s">
        <v>13723</v>
      </c>
    </row>
    <row r="13807" customFormat="false" ht="15" hidden="false" customHeight="false" outlineLevel="0" collapsed="false">
      <c r="A13807" s="5" t="e">
        <f aca="false">VDB(1000,100,3,2,1,1.5,TRUE())</f>
        <v>#VALUE!</v>
      </c>
      <c r="B13807" s="0" t="s">
        <v>13724</v>
      </c>
    </row>
    <row r="13808" customFormat="false" ht="15" hidden="false" customHeight="false" outlineLevel="0" collapsed="false">
      <c r="A13808" s="5" t="e">
        <f aca="false">VDB(1000,100,3,2,1,2,FALSE())</f>
        <v>#VALUE!</v>
      </c>
      <c r="B13808" s="0" t="s">
        <v>13725</v>
      </c>
    </row>
    <row r="13809" customFormat="false" ht="15" hidden="false" customHeight="false" outlineLevel="0" collapsed="false">
      <c r="A13809" s="5" t="e">
        <f aca="false">VDB(1000,100,3,2,1,,TRUE())</f>
        <v>#VALUE!</v>
      </c>
      <c r="B13809" s="0" t="s">
        <v>13726</v>
      </c>
    </row>
    <row r="13810" customFormat="false" ht="15" hidden="false" customHeight="false" outlineLevel="0" collapsed="false">
      <c r="A13810" s="5" t="e">
        <f aca="false">VDB(1000,100,3,0,4)</f>
        <v>#VALUE!</v>
      </c>
      <c r="B13810" s="0" t="s">
        <v>13727</v>
      </c>
    </row>
    <row r="13811" customFormat="false" ht="15" hidden="false" customHeight="false" outlineLevel="0" collapsed="false">
      <c r="A13811" s="5" t="e">
        <f aca="false">VDB(1000,100,3,0,4,1.5)</f>
        <v>#VALUE!</v>
      </c>
      <c r="B13811" s="0" t="s">
        <v>13728</v>
      </c>
    </row>
    <row r="13812" customFormat="false" ht="15" hidden="false" customHeight="false" outlineLevel="0" collapsed="false">
      <c r="A13812" s="5" t="e">
        <f aca="false">VDB(1000,100,3,0,4,2)</f>
        <v>#VALUE!</v>
      </c>
      <c r="B13812" s="0" t="s">
        <v>13729</v>
      </c>
    </row>
    <row r="13813" customFormat="false" ht="15" hidden="false" customHeight="false" outlineLevel="0" collapsed="false">
      <c r="A13813" s="5" t="e">
        <f aca="false">VDB(1000,100,3,0,4,3)</f>
        <v>#VALUE!</v>
      </c>
      <c r="B13813" s="0" t="s">
        <v>13730</v>
      </c>
    </row>
    <row r="13814" customFormat="false" ht="15" hidden="false" customHeight="false" outlineLevel="0" collapsed="false">
      <c r="A13814" s="5" t="e">
        <f aca="false">VDB(1000,100,3,0,4,0)</f>
        <v>#VALUE!</v>
      </c>
      <c r="B13814" s="0" t="s">
        <v>13731</v>
      </c>
    </row>
    <row r="13815" customFormat="false" ht="15" hidden="false" customHeight="false" outlineLevel="0" collapsed="false">
      <c r="A13815" s="5" t="e">
        <f aca="false">VDB(1000,100,3,0,4,-1)</f>
        <v>#VALUE!</v>
      </c>
      <c r="B13815" s="0" t="s">
        <v>13732</v>
      </c>
    </row>
    <row r="13816" customFormat="false" ht="15" hidden="false" customHeight="false" outlineLevel="0" collapsed="false">
      <c r="A13816" s="5" t="e">
        <f aca="false">VDB(1000,100,3,0,4,2,TRUE())</f>
        <v>#VALUE!</v>
      </c>
      <c r="B13816" s="0" t="s">
        <v>13733</v>
      </c>
    </row>
    <row r="13817" customFormat="false" ht="15" hidden="false" customHeight="false" outlineLevel="0" collapsed="false">
      <c r="A13817" s="5" t="e">
        <f aca="false">VDB(1000,100,3,0,4,1.5,TRUE())</f>
        <v>#VALUE!</v>
      </c>
      <c r="B13817" s="0" t="s">
        <v>13734</v>
      </c>
    </row>
    <row r="13818" customFormat="false" ht="15" hidden="false" customHeight="false" outlineLevel="0" collapsed="false">
      <c r="A13818" s="5" t="e">
        <f aca="false">VDB(1000,100,3,0,4,2,FALSE())</f>
        <v>#VALUE!</v>
      </c>
      <c r="B13818" s="0" t="s">
        <v>13735</v>
      </c>
    </row>
    <row r="13819" customFormat="false" ht="15" hidden="false" customHeight="false" outlineLevel="0" collapsed="false">
      <c r="A13819" s="5" t="e">
        <f aca="false">VDB(1000,100,3,0,4,,TRUE())</f>
        <v>#VALUE!</v>
      </c>
      <c r="B13819" s="0" t="s">
        <v>13736</v>
      </c>
    </row>
    <row r="13820" customFormat="false" ht="15" hidden="false" customHeight="false" outlineLevel="0" collapsed="false">
      <c r="A13820" s="5" t="e">
        <f aca="false">VDB(1000,100,3,-1,1)</f>
        <v>#VALUE!</v>
      </c>
      <c r="B13820" s="0" t="s">
        <v>13737</v>
      </c>
    </row>
    <row r="13821" customFormat="false" ht="15" hidden="false" customHeight="false" outlineLevel="0" collapsed="false">
      <c r="A13821" s="5" t="e">
        <f aca="false">VDB(1000,100,3,-1,1,1.5)</f>
        <v>#VALUE!</v>
      </c>
      <c r="B13821" s="0" t="s">
        <v>13738</v>
      </c>
    </row>
    <row r="13822" customFormat="false" ht="15" hidden="false" customHeight="false" outlineLevel="0" collapsed="false">
      <c r="A13822" s="5" t="e">
        <f aca="false">VDB(1000,100,3,-1,1,2)</f>
        <v>#VALUE!</v>
      </c>
      <c r="B13822" s="0" t="s">
        <v>13739</v>
      </c>
    </row>
    <row r="13823" customFormat="false" ht="15" hidden="false" customHeight="false" outlineLevel="0" collapsed="false">
      <c r="A13823" s="5" t="e">
        <f aca="false">VDB(1000,100,3,-1,1,3)</f>
        <v>#VALUE!</v>
      </c>
      <c r="B13823" s="0" t="s">
        <v>13740</v>
      </c>
    </row>
    <row r="13824" customFormat="false" ht="15" hidden="false" customHeight="false" outlineLevel="0" collapsed="false">
      <c r="A13824" s="5" t="e">
        <f aca="false">VDB(1000,100,3,-1,1,0)</f>
        <v>#VALUE!</v>
      </c>
      <c r="B13824" s="0" t="s">
        <v>13741</v>
      </c>
    </row>
    <row r="13825" customFormat="false" ht="15" hidden="false" customHeight="false" outlineLevel="0" collapsed="false">
      <c r="A13825" s="5" t="e">
        <f aca="false">VDB(1000,100,3,-1,1,-1)</f>
        <v>#VALUE!</v>
      </c>
      <c r="B13825" s="0" t="s">
        <v>13742</v>
      </c>
    </row>
    <row r="13826" customFormat="false" ht="15" hidden="false" customHeight="false" outlineLevel="0" collapsed="false">
      <c r="A13826" s="5" t="e">
        <f aca="false">VDB(1000,100,3,-1,1,2,TRUE())</f>
        <v>#VALUE!</v>
      </c>
      <c r="B13826" s="0" t="s">
        <v>13743</v>
      </c>
    </row>
    <row r="13827" customFormat="false" ht="15" hidden="false" customHeight="false" outlineLevel="0" collapsed="false">
      <c r="A13827" s="5" t="e">
        <f aca="false">VDB(1000,100,3,-1,1,1.5,TRUE())</f>
        <v>#VALUE!</v>
      </c>
      <c r="B13827" s="0" t="s">
        <v>13744</v>
      </c>
    </row>
    <row r="13828" customFormat="false" ht="15" hidden="false" customHeight="false" outlineLevel="0" collapsed="false">
      <c r="A13828" s="5" t="e">
        <f aca="false">VDB(1000,100,3,-1,1,2,FALSE())</f>
        <v>#VALUE!</v>
      </c>
      <c r="B13828" s="0" t="s">
        <v>13745</v>
      </c>
    </row>
    <row r="13829" customFormat="false" ht="15" hidden="false" customHeight="false" outlineLevel="0" collapsed="false">
      <c r="A13829" s="5" t="e">
        <f aca="false">VDB(1000,100,3,-1,1,,TRUE())</f>
        <v>#VALUE!</v>
      </c>
      <c r="B13829" s="0" t="s">
        <v>13746</v>
      </c>
    </row>
    <row r="13830" customFormat="false" ht="15" hidden="false" customHeight="false" outlineLevel="0" collapsed="false">
      <c r="A13830" s="5" t="n">
        <f aca="false">VDB(1000,100,3,0.25,0.75)</f>
        <v>333.333333333333</v>
      </c>
      <c r="B13830" s="0" t="s">
        <v>13747</v>
      </c>
    </row>
    <row r="13831" customFormat="false" ht="15" hidden="false" customHeight="false" outlineLevel="0" collapsed="false">
      <c r="A13831" s="5" t="n">
        <f aca="false">VDB(1000,100,3,0.25,0.75,1.5)</f>
        <v>250</v>
      </c>
      <c r="B13831" s="0" t="s">
        <v>13748</v>
      </c>
    </row>
    <row r="13832" customFormat="false" ht="15" hidden="false" customHeight="false" outlineLevel="0" collapsed="false">
      <c r="A13832" s="5" t="n">
        <f aca="false">VDB(1000,100,3,0.25,0.75,2)</f>
        <v>333.333333333333</v>
      </c>
      <c r="B13832" s="0" t="s">
        <v>13749</v>
      </c>
    </row>
    <row r="13833" customFormat="false" ht="15" hidden="false" customHeight="false" outlineLevel="0" collapsed="false">
      <c r="A13833" s="5" t="n">
        <f aca="false">VDB(1000,100,3,0.25,0.75,3)</f>
        <v>450</v>
      </c>
      <c r="B13833" s="0" t="s">
        <v>13750</v>
      </c>
    </row>
    <row r="13834" customFormat="false" ht="15" hidden="false" customHeight="false" outlineLevel="0" collapsed="false">
      <c r="A13834" s="5" t="e">
        <f aca="false">VDB(1000,100,3,0.25,0.75,0)</f>
        <v>#VALUE!</v>
      </c>
      <c r="B13834" s="0" t="s">
        <v>13751</v>
      </c>
    </row>
    <row r="13835" customFormat="false" ht="15" hidden="false" customHeight="false" outlineLevel="0" collapsed="false">
      <c r="A13835" s="5" t="e">
        <f aca="false">VDB(1000,100,3,0.25,0.75,-1)</f>
        <v>#VALUE!</v>
      </c>
      <c r="B13835" s="0" t="s">
        <v>13752</v>
      </c>
    </row>
    <row r="13836" customFormat="false" ht="15" hidden="false" customHeight="false" outlineLevel="0" collapsed="false">
      <c r="A13836" s="5" t="n">
        <f aca="false">VDB(1000,100,3,0.25,0.75,2,TRUE())</f>
        <v>333.333333333333</v>
      </c>
      <c r="B13836" s="0" t="s">
        <v>13753</v>
      </c>
    </row>
    <row r="13837" customFormat="false" ht="15" hidden="false" customHeight="false" outlineLevel="0" collapsed="false">
      <c r="A13837" s="5" t="n">
        <f aca="false">VDB(1000,100,3,0.25,0.75,1.5,TRUE())</f>
        <v>250</v>
      </c>
      <c r="B13837" s="0" t="s">
        <v>13754</v>
      </c>
    </row>
    <row r="13838" customFormat="false" ht="15" hidden="false" customHeight="false" outlineLevel="0" collapsed="false">
      <c r="A13838" s="5" t="n">
        <f aca="false">VDB(1000,100,3,0.25,0.75,2,FALSE())</f>
        <v>333.333333333333</v>
      </c>
      <c r="B13838" s="0" t="s">
        <v>13755</v>
      </c>
    </row>
    <row r="13839" customFormat="false" ht="15" hidden="false" customHeight="false" outlineLevel="0" collapsed="false">
      <c r="A13839" s="5" t="e">
        <f aca="false">VDB(1000,100,3,0.25,0.75,,TRUE())</f>
        <v>#VALUE!</v>
      </c>
      <c r="B13839" s="0" t="s">
        <v>13756</v>
      </c>
    </row>
    <row r="13840" customFormat="false" ht="15" hidden="false" customHeight="false" outlineLevel="0" collapsed="false">
      <c r="A13840" s="5" t="n">
        <f aca="false">VDB(1000,100,3,3,3)</f>
        <v>0</v>
      </c>
      <c r="B13840" s="0" t="s">
        <v>13757</v>
      </c>
    </row>
    <row r="13841" customFormat="false" ht="15" hidden="false" customHeight="false" outlineLevel="0" collapsed="false">
      <c r="A13841" s="5" t="n">
        <f aca="false">VDB(1000,100,3,3,3,1.5)</f>
        <v>0</v>
      </c>
      <c r="B13841" s="0" t="s">
        <v>13758</v>
      </c>
    </row>
    <row r="13842" customFormat="false" ht="15" hidden="false" customHeight="false" outlineLevel="0" collapsed="false">
      <c r="A13842" s="5" t="n">
        <f aca="false">VDB(1000,100,3,3,3,2)</f>
        <v>0</v>
      </c>
      <c r="B13842" s="0" t="s">
        <v>13759</v>
      </c>
    </row>
    <row r="13843" customFormat="false" ht="15" hidden="false" customHeight="false" outlineLevel="0" collapsed="false">
      <c r="A13843" s="5" t="n">
        <f aca="false">VDB(1000,100,3,3,3,3)</f>
        <v>0</v>
      </c>
      <c r="B13843" s="0" t="s">
        <v>13760</v>
      </c>
    </row>
    <row r="13844" customFormat="false" ht="15" hidden="false" customHeight="false" outlineLevel="0" collapsed="false">
      <c r="A13844" s="5" t="e">
        <f aca="false">VDB(1000,100,3,3,3,0)</f>
        <v>#VALUE!</v>
      </c>
      <c r="B13844" s="0" t="s">
        <v>13761</v>
      </c>
    </row>
    <row r="13845" customFormat="false" ht="15" hidden="false" customHeight="false" outlineLevel="0" collapsed="false">
      <c r="A13845" s="5" t="e">
        <f aca="false">VDB(1000,100,3,3,3,-1)</f>
        <v>#VALUE!</v>
      </c>
      <c r="B13845" s="0" t="s">
        <v>13762</v>
      </c>
    </row>
    <row r="13846" customFormat="false" ht="15" hidden="false" customHeight="false" outlineLevel="0" collapsed="false">
      <c r="A13846" s="5" t="n">
        <f aca="false">VDB(1000,100,3,3,3,2,TRUE())</f>
        <v>0</v>
      </c>
      <c r="B13846" s="0" t="s">
        <v>13763</v>
      </c>
    </row>
    <row r="13847" customFormat="false" ht="15" hidden="false" customHeight="false" outlineLevel="0" collapsed="false">
      <c r="A13847" s="5" t="n">
        <f aca="false">VDB(1000,100,3,3,3,1.5,TRUE())</f>
        <v>0</v>
      </c>
      <c r="B13847" s="0" t="s">
        <v>13764</v>
      </c>
    </row>
    <row r="13848" customFormat="false" ht="15" hidden="false" customHeight="false" outlineLevel="0" collapsed="false">
      <c r="A13848" s="5" t="n">
        <f aca="false">VDB(1000,100,3,3,3,2,FALSE())</f>
        <v>0</v>
      </c>
      <c r="B13848" s="0" t="s">
        <v>13765</v>
      </c>
    </row>
    <row r="13849" customFormat="false" ht="15" hidden="false" customHeight="false" outlineLevel="0" collapsed="false">
      <c r="A13849" s="5" t="e">
        <f aca="false">VDB(1000,100,3,3,3,,TRUE())</f>
        <v>#VALUE!</v>
      </c>
      <c r="B13849" s="0" t="s">
        <v>13766</v>
      </c>
    </row>
    <row r="13850" customFormat="false" ht="15" hidden="false" customHeight="false" outlineLevel="0" collapsed="false">
      <c r="A13850" s="5" t="n">
        <f aca="false">VDB(1000,100,3,1,3)</f>
        <v>233.333333333333</v>
      </c>
      <c r="B13850" s="0" t="s">
        <v>13767</v>
      </c>
    </row>
    <row r="13851" customFormat="false" ht="15" hidden="false" customHeight="false" outlineLevel="0" collapsed="false">
      <c r="A13851" s="5" t="n">
        <f aca="false">VDB(1000,100,3,1,3,1.5)</f>
        <v>400</v>
      </c>
      <c r="B13851" s="0" t="s">
        <v>13768</v>
      </c>
    </row>
    <row r="13852" customFormat="false" ht="15" hidden="false" customHeight="false" outlineLevel="0" collapsed="false">
      <c r="A13852" s="5" t="n">
        <f aca="false">VDB(1000,100,3,1,3,2)</f>
        <v>233.333333333333</v>
      </c>
      <c r="B13852" s="0" t="s">
        <v>13769</v>
      </c>
    </row>
    <row r="13853" customFormat="false" ht="15" hidden="false" customHeight="false" outlineLevel="0" collapsed="false">
      <c r="A13853" s="5" t="n">
        <f aca="false">VDB(1000,100,3,1,3,3)</f>
        <v>0</v>
      </c>
      <c r="B13853" s="0" t="s">
        <v>13770</v>
      </c>
    </row>
    <row r="13854" customFormat="false" ht="15" hidden="false" customHeight="false" outlineLevel="0" collapsed="false">
      <c r="A13854" s="5" t="e">
        <f aca="false">VDB(1000,100,3,1,3,0)</f>
        <v>#VALUE!</v>
      </c>
      <c r="B13854" s="0" t="s">
        <v>13771</v>
      </c>
    </row>
    <row r="13855" customFormat="false" ht="15" hidden="false" customHeight="false" outlineLevel="0" collapsed="false">
      <c r="A13855" s="5" t="e">
        <f aca="false">VDB(1000,100,3,1,3,-1)</f>
        <v>#VALUE!</v>
      </c>
      <c r="B13855" s="0" t="s">
        <v>13772</v>
      </c>
    </row>
    <row r="13856" customFormat="false" ht="15" hidden="false" customHeight="false" outlineLevel="0" collapsed="false">
      <c r="A13856" s="5" t="n">
        <f aca="false">VDB(1000,100,3,1,3,2,TRUE())</f>
        <v>233.333333333333</v>
      </c>
      <c r="B13856" s="0" t="s">
        <v>13773</v>
      </c>
    </row>
    <row r="13857" customFormat="false" ht="15" hidden="false" customHeight="false" outlineLevel="0" collapsed="false">
      <c r="A13857" s="5" t="n">
        <f aca="false">VDB(1000,100,3,1,3,1.5,TRUE())</f>
        <v>375</v>
      </c>
      <c r="B13857" s="0" t="s">
        <v>13774</v>
      </c>
    </row>
    <row r="13858" customFormat="false" ht="15" hidden="false" customHeight="false" outlineLevel="0" collapsed="false">
      <c r="A13858" s="5" t="n">
        <f aca="false">VDB(1000,100,3,1,3,2,FALSE())</f>
        <v>233.333333333333</v>
      </c>
      <c r="B13858" s="0" t="s">
        <v>13775</v>
      </c>
    </row>
    <row r="13859" customFormat="false" ht="15" hidden="false" customHeight="false" outlineLevel="0" collapsed="false">
      <c r="A13859" s="5" t="e">
        <f aca="false">VDB(1000,100,3,1,3,,TRUE())</f>
        <v>#VALUE!</v>
      </c>
      <c r="B13859" s="0" t="s">
        <v>13776</v>
      </c>
    </row>
    <row r="13860" customFormat="false" ht="15" hidden="false" customHeight="false" outlineLevel="0" collapsed="false">
      <c r="A13860" s="5" t="n">
        <f aca="false">VDB(50000,5000,7,0,1)</f>
        <v>14285.7142857143</v>
      </c>
      <c r="B13860" s="0" t="s">
        <v>13777</v>
      </c>
    </row>
    <row r="13861" customFormat="false" ht="15" hidden="false" customHeight="false" outlineLevel="0" collapsed="false">
      <c r="A13861" s="5" t="n">
        <f aca="false">VDB(50000,5000,7,0,1,1.5)</f>
        <v>10714.2857142857</v>
      </c>
      <c r="B13861" s="0" t="s">
        <v>13778</v>
      </c>
    </row>
    <row r="13862" customFormat="false" ht="15" hidden="false" customHeight="false" outlineLevel="0" collapsed="false">
      <c r="A13862" s="5" t="n">
        <f aca="false">VDB(50000,5000,7,0,1,2)</f>
        <v>14285.7142857143</v>
      </c>
      <c r="B13862" s="0" t="s">
        <v>13779</v>
      </c>
    </row>
    <row r="13863" customFormat="false" ht="15" hidden="false" customHeight="false" outlineLevel="0" collapsed="false">
      <c r="A13863" s="5" t="n">
        <f aca="false">VDB(50000,5000,7,0,1,3)</f>
        <v>21428.5714285714</v>
      </c>
      <c r="B13863" s="0" t="s">
        <v>13780</v>
      </c>
    </row>
    <row r="13864" customFormat="false" ht="15" hidden="false" customHeight="false" outlineLevel="0" collapsed="false">
      <c r="A13864" s="5" t="e">
        <f aca="false">VDB(50000,5000,7,0,1,0)</f>
        <v>#VALUE!</v>
      </c>
      <c r="B13864" s="0" t="s">
        <v>13781</v>
      </c>
    </row>
    <row r="13865" customFormat="false" ht="15" hidden="false" customHeight="false" outlineLevel="0" collapsed="false">
      <c r="A13865" s="5" t="e">
        <f aca="false">VDB(50000,5000,7,0,1,-1)</f>
        <v>#VALUE!</v>
      </c>
      <c r="B13865" s="0" t="s">
        <v>13782</v>
      </c>
    </row>
    <row r="13866" customFormat="false" ht="15" hidden="false" customHeight="false" outlineLevel="0" collapsed="false">
      <c r="A13866" s="5" t="n">
        <f aca="false">VDB(50000,5000,7,0,1,2,TRUE())</f>
        <v>14285.7142857143</v>
      </c>
      <c r="B13866" s="0" t="s">
        <v>13783</v>
      </c>
    </row>
    <row r="13867" customFormat="false" ht="15" hidden="false" customHeight="false" outlineLevel="0" collapsed="false">
      <c r="A13867" s="5" t="n">
        <f aca="false">VDB(50000,5000,7,0,1,1.5,TRUE())</f>
        <v>10714.2857142857</v>
      </c>
      <c r="B13867" s="0" t="s">
        <v>13784</v>
      </c>
    </row>
    <row r="13868" customFormat="false" ht="15" hidden="false" customHeight="false" outlineLevel="0" collapsed="false">
      <c r="A13868" s="5" t="n">
        <f aca="false">VDB(50000,5000,7,0,1,2,FALSE())</f>
        <v>14285.7142857143</v>
      </c>
      <c r="B13868" s="0" t="s">
        <v>13785</v>
      </c>
    </row>
    <row r="13869" customFormat="false" ht="15" hidden="false" customHeight="false" outlineLevel="0" collapsed="false">
      <c r="A13869" s="5" t="e">
        <f aca="false">VDB(50000,5000,7,0,1,,TRUE())</f>
        <v>#VALUE!</v>
      </c>
      <c r="B13869" s="0" t="s">
        <v>13786</v>
      </c>
    </row>
    <row r="13870" customFormat="false" ht="15" hidden="false" customHeight="false" outlineLevel="0" collapsed="false">
      <c r="A13870" s="5" t="n">
        <f aca="false">VDB(50000,5000,7,1,2)</f>
        <v>10204.0816326531</v>
      </c>
      <c r="B13870" s="0" t="s">
        <v>13787</v>
      </c>
    </row>
    <row r="13871" customFormat="false" ht="15" hidden="false" customHeight="false" outlineLevel="0" collapsed="false">
      <c r="A13871" s="5" t="n">
        <f aca="false">VDB(50000,5000,7,1,2,1.5)</f>
        <v>8418.36734693878</v>
      </c>
      <c r="B13871" s="0" t="s">
        <v>13788</v>
      </c>
    </row>
    <row r="13872" customFormat="false" ht="15" hidden="false" customHeight="false" outlineLevel="0" collapsed="false">
      <c r="A13872" s="5" t="n">
        <f aca="false">VDB(50000,5000,7,1,2,2)</f>
        <v>10204.0816326531</v>
      </c>
      <c r="B13872" s="0" t="s">
        <v>13789</v>
      </c>
    </row>
    <row r="13873" customFormat="false" ht="15" hidden="false" customHeight="false" outlineLevel="0" collapsed="false">
      <c r="A13873" s="5" t="n">
        <f aca="false">VDB(50000,5000,7,1,2,3)</f>
        <v>12244.8979591837</v>
      </c>
      <c r="B13873" s="0" t="s">
        <v>13790</v>
      </c>
    </row>
    <row r="13874" customFormat="false" ht="15" hidden="false" customHeight="false" outlineLevel="0" collapsed="false">
      <c r="A13874" s="5" t="e">
        <f aca="false">VDB(50000,5000,7,1,2,0)</f>
        <v>#VALUE!</v>
      </c>
      <c r="B13874" s="0" t="s">
        <v>13791</v>
      </c>
    </row>
    <row r="13875" customFormat="false" ht="15" hidden="false" customHeight="false" outlineLevel="0" collapsed="false">
      <c r="A13875" s="5" t="e">
        <f aca="false">VDB(50000,5000,7,1,2,-1)</f>
        <v>#VALUE!</v>
      </c>
      <c r="B13875" s="0" t="s">
        <v>13792</v>
      </c>
    </row>
    <row r="13876" customFormat="false" ht="15" hidden="false" customHeight="false" outlineLevel="0" collapsed="false">
      <c r="A13876" s="5" t="n">
        <f aca="false">VDB(50000,5000,7,1,2,2,TRUE())</f>
        <v>10204.0816326531</v>
      </c>
      <c r="B13876" s="0" t="s">
        <v>13793</v>
      </c>
    </row>
    <row r="13877" customFormat="false" ht="15" hidden="false" customHeight="false" outlineLevel="0" collapsed="false">
      <c r="A13877" s="5" t="n">
        <f aca="false">VDB(50000,5000,7,1,2,1.5,TRUE())</f>
        <v>8418.36734693878</v>
      </c>
      <c r="B13877" s="0" t="s">
        <v>13794</v>
      </c>
    </row>
    <row r="13878" customFormat="false" ht="15" hidden="false" customHeight="false" outlineLevel="0" collapsed="false">
      <c r="A13878" s="5" t="n">
        <f aca="false">VDB(50000,5000,7,1,2,2,FALSE())</f>
        <v>10204.0816326531</v>
      </c>
      <c r="B13878" s="0" t="s">
        <v>13795</v>
      </c>
    </row>
    <row r="13879" customFormat="false" ht="15" hidden="false" customHeight="false" outlineLevel="0" collapsed="false">
      <c r="A13879" s="5" t="e">
        <f aca="false">VDB(50000,5000,7,1,2,,TRUE())</f>
        <v>#VALUE!</v>
      </c>
      <c r="B13879" s="0" t="s">
        <v>13796</v>
      </c>
    </row>
    <row r="13880" customFormat="false" ht="15" hidden="false" customHeight="false" outlineLevel="0" collapsed="false">
      <c r="A13880" s="5" t="n">
        <f aca="false">VDB(50000,5000,7,0,5)</f>
        <v>40703.2783959065</v>
      </c>
      <c r="B13880" s="0" t="s">
        <v>13797</v>
      </c>
    </row>
    <row r="13881" customFormat="false" ht="15" hidden="false" customHeight="false" outlineLevel="0" collapsed="false">
      <c r="A13881" s="5" t="n">
        <f aca="false">VDB(50000,5000,7,0,5,1.5)</f>
        <v>35629.4252394836</v>
      </c>
      <c r="B13881" s="0" t="s">
        <v>13798</v>
      </c>
    </row>
    <row r="13882" customFormat="false" ht="15" hidden="false" customHeight="false" outlineLevel="0" collapsed="false">
      <c r="A13882" s="5" t="n">
        <f aca="false">VDB(50000,5000,7,0,5,2)</f>
        <v>40703.2783959065</v>
      </c>
      <c r="B13882" s="0" t="s">
        <v>13799</v>
      </c>
    </row>
    <row r="13883" customFormat="false" ht="15" hidden="false" customHeight="false" outlineLevel="0" collapsed="false">
      <c r="A13883" s="5" t="n">
        <f aca="false">VDB(50000,5000,7,0,5,3)</f>
        <v>45000</v>
      </c>
      <c r="B13883" s="0" t="s">
        <v>13800</v>
      </c>
    </row>
    <row r="13884" customFormat="false" ht="15" hidden="false" customHeight="false" outlineLevel="0" collapsed="false">
      <c r="A13884" s="5" t="e">
        <f aca="false">VDB(50000,5000,7,0,5,0)</f>
        <v>#VALUE!</v>
      </c>
      <c r="B13884" s="0" t="s">
        <v>13801</v>
      </c>
    </row>
    <row r="13885" customFormat="false" ht="15" hidden="false" customHeight="false" outlineLevel="0" collapsed="false">
      <c r="A13885" s="5" t="e">
        <f aca="false">VDB(50000,5000,7,0,5,-1)</f>
        <v>#VALUE!</v>
      </c>
      <c r="B13885" s="0" t="s">
        <v>13802</v>
      </c>
    </row>
    <row r="13886" customFormat="false" ht="15" hidden="false" customHeight="false" outlineLevel="0" collapsed="false">
      <c r="A13886" s="5" t="n">
        <f aca="false">VDB(50000,5000,7,0,5,2,TRUE())</f>
        <v>40703.2783959065</v>
      </c>
      <c r="B13886" s="0" t="s">
        <v>13803</v>
      </c>
    </row>
    <row r="13887" customFormat="false" ht="15" hidden="false" customHeight="false" outlineLevel="0" collapsed="false">
      <c r="A13887" s="5" t="n">
        <f aca="false">VDB(50000,5000,7,0,5,1.5,TRUE())</f>
        <v>35027.5368893913</v>
      </c>
      <c r="B13887" s="0" t="s">
        <v>13804</v>
      </c>
    </row>
    <row r="13888" customFormat="false" ht="15" hidden="false" customHeight="false" outlineLevel="0" collapsed="false">
      <c r="A13888" s="5" t="n">
        <f aca="false">VDB(50000,5000,7,0,5,2,FALSE())</f>
        <v>40703.2783959065</v>
      </c>
      <c r="B13888" s="0" t="s">
        <v>13805</v>
      </c>
    </row>
    <row r="13889" customFormat="false" ht="15" hidden="false" customHeight="false" outlineLevel="0" collapsed="false">
      <c r="A13889" s="5" t="e">
        <f aca="false">VDB(50000,5000,7,0,5,,TRUE())</f>
        <v>#VALUE!</v>
      </c>
      <c r="B13889" s="0" t="s">
        <v>13806</v>
      </c>
    </row>
    <row r="13890" customFormat="false" ht="15" hidden="false" customHeight="false" outlineLevel="0" collapsed="false">
      <c r="A13890" s="5" t="n">
        <f aca="false">VDB(50000,5000,7,0.5,1.5)</f>
        <v>12244.8979591837</v>
      </c>
      <c r="B13890" s="0" t="s">
        <v>13807</v>
      </c>
    </row>
    <row r="13891" customFormat="false" ht="15" hidden="false" customHeight="false" outlineLevel="0" collapsed="false">
      <c r="A13891" s="5" t="n">
        <f aca="false">VDB(50000,5000,7,0.5,1.5,1.5)</f>
        <v>9566.32653061225</v>
      </c>
      <c r="B13891" s="0" t="s">
        <v>13808</v>
      </c>
    </row>
    <row r="13892" customFormat="false" ht="15" hidden="false" customHeight="false" outlineLevel="0" collapsed="false">
      <c r="A13892" s="5" t="n">
        <f aca="false">VDB(50000,5000,7,0.5,1.5,2)</f>
        <v>12244.8979591837</v>
      </c>
      <c r="B13892" s="0" t="s">
        <v>13809</v>
      </c>
    </row>
    <row r="13893" customFormat="false" ht="15" hidden="false" customHeight="false" outlineLevel="0" collapsed="false">
      <c r="A13893" s="5" t="n">
        <f aca="false">VDB(50000,5000,7,0.5,1.5,3)</f>
        <v>16836.7346938776</v>
      </c>
      <c r="B13893" s="0" t="s">
        <v>13810</v>
      </c>
    </row>
    <row r="13894" customFormat="false" ht="15" hidden="false" customHeight="false" outlineLevel="0" collapsed="false">
      <c r="A13894" s="5" t="e">
        <f aca="false">VDB(50000,5000,7,0.5,1.5,0)</f>
        <v>#VALUE!</v>
      </c>
      <c r="B13894" s="0" t="s">
        <v>13811</v>
      </c>
    </row>
    <row r="13895" customFormat="false" ht="15" hidden="false" customHeight="false" outlineLevel="0" collapsed="false">
      <c r="A13895" s="5" t="e">
        <f aca="false">VDB(50000,5000,7,0.5,1.5,-1)</f>
        <v>#VALUE!</v>
      </c>
      <c r="B13895" s="0" t="s">
        <v>13812</v>
      </c>
    </row>
    <row r="13896" customFormat="false" ht="15" hidden="false" customHeight="false" outlineLevel="0" collapsed="false">
      <c r="A13896" s="5" t="n">
        <f aca="false">VDB(50000,5000,7,0.5,1.5,2,TRUE())</f>
        <v>12244.8979591837</v>
      </c>
      <c r="B13896" s="0" t="s">
        <v>13813</v>
      </c>
    </row>
    <row r="13897" customFormat="false" ht="15" hidden="false" customHeight="false" outlineLevel="0" collapsed="false">
      <c r="A13897" s="5" t="n">
        <f aca="false">VDB(50000,5000,7,0.5,1.5,1.5,TRUE())</f>
        <v>9566.32653061225</v>
      </c>
      <c r="B13897" s="0" t="s">
        <v>13814</v>
      </c>
    </row>
    <row r="13898" customFormat="false" ht="15" hidden="false" customHeight="false" outlineLevel="0" collapsed="false">
      <c r="A13898" s="5" t="n">
        <f aca="false">VDB(50000,5000,7,0.5,1.5,2,FALSE())</f>
        <v>12244.8979591837</v>
      </c>
      <c r="B13898" s="0" t="s">
        <v>13815</v>
      </c>
    </row>
    <row r="13899" customFormat="false" ht="15" hidden="false" customHeight="false" outlineLevel="0" collapsed="false">
      <c r="A13899" s="5" t="e">
        <f aca="false">VDB(50000,5000,7,0.5,1.5,,TRUE())</f>
        <v>#VALUE!</v>
      </c>
      <c r="B13899" s="0" t="s">
        <v>13816</v>
      </c>
    </row>
    <row r="13900" customFormat="false" ht="15" hidden="false" customHeight="false" outlineLevel="0" collapsed="false">
      <c r="A13900" s="5" t="n">
        <f aca="false">VDB(50000,5000,7,2,3)</f>
        <v>7288.62973760933</v>
      </c>
      <c r="B13900" s="0" t="s">
        <v>13817</v>
      </c>
    </row>
    <row r="13901" customFormat="false" ht="15" hidden="false" customHeight="false" outlineLevel="0" collapsed="false">
      <c r="A13901" s="5" t="n">
        <f aca="false">VDB(50000,5000,7,2,3,1.5)</f>
        <v>6614.43148688047</v>
      </c>
      <c r="B13901" s="0" t="s">
        <v>13818</v>
      </c>
    </row>
    <row r="13902" customFormat="false" ht="15" hidden="false" customHeight="false" outlineLevel="0" collapsed="false">
      <c r="A13902" s="5" t="n">
        <f aca="false">VDB(50000,5000,7,2,3,2)</f>
        <v>7288.62973760933</v>
      </c>
      <c r="B13902" s="0" t="s">
        <v>13819</v>
      </c>
    </row>
    <row r="13903" customFormat="false" ht="15" hidden="false" customHeight="false" outlineLevel="0" collapsed="false">
      <c r="A13903" s="5" t="n">
        <f aca="false">VDB(50000,5000,7,2,3,3)</f>
        <v>6997.08454810496</v>
      </c>
      <c r="B13903" s="0" t="s">
        <v>13820</v>
      </c>
    </row>
    <row r="13904" customFormat="false" ht="15" hidden="false" customHeight="false" outlineLevel="0" collapsed="false">
      <c r="A13904" s="5" t="e">
        <f aca="false">VDB(50000,5000,7,2,3,0)</f>
        <v>#VALUE!</v>
      </c>
      <c r="B13904" s="0" t="s">
        <v>13821</v>
      </c>
    </row>
    <row r="13905" customFormat="false" ht="15" hidden="false" customHeight="false" outlineLevel="0" collapsed="false">
      <c r="A13905" s="5" t="e">
        <f aca="false">VDB(50000,5000,7,2,3,-1)</f>
        <v>#VALUE!</v>
      </c>
      <c r="B13905" s="0" t="s">
        <v>13822</v>
      </c>
    </row>
    <row r="13906" customFormat="false" ht="15" hidden="false" customHeight="false" outlineLevel="0" collapsed="false">
      <c r="A13906" s="5" t="n">
        <f aca="false">VDB(50000,5000,7,2,3,2,TRUE())</f>
        <v>7288.62973760933</v>
      </c>
      <c r="B13906" s="0" t="s">
        <v>13823</v>
      </c>
    </row>
    <row r="13907" customFormat="false" ht="15" hidden="false" customHeight="false" outlineLevel="0" collapsed="false">
      <c r="A13907" s="5" t="n">
        <f aca="false">VDB(50000,5000,7,2,3,1.5,TRUE())</f>
        <v>6614.43148688047</v>
      </c>
      <c r="B13907" s="0" t="s">
        <v>13824</v>
      </c>
    </row>
    <row r="13908" customFormat="false" ht="15" hidden="false" customHeight="false" outlineLevel="0" collapsed="false">
      <c r="A13908" s="5" t="n">
        <f aca="false">VDB(50000,5000,7,2,3,2,FALSE())</f>
        <v>7288.62973760933</v>
      </c>
      <c r="B13908" s="0" t="s">
        <v>13825</v>
      </c>
    </row>
    <row r="13909" customFormat="false" ht="15" hidden="false" customHeight="false" outlineLevel="0" collapsed="false">
      <c r="A13909" s="5" t="e">
        <f aca="false">VDB(50000,5000,7,2,3,,TRUE())</f>
        <v>#VALUE!</v>
      </c>
      <c r="B13909" s="0" t="s">
        <v>13826</v>
      </c>
    </row>
    <row r="13910" customFormat="false" ht="15" hidden="false" customHeight="false" outlineLevel="0" collapsed="false">
      <c r="A13910" s="5" t="n">
        <f aca="false">VDB(50000,5000,7,0,7)</f>
        <v>45000</v>
      </c>
      <c r="B13910" s="0" t="s">
        <v>13827</v>
      </c>
    </row>
    <row r="13911" customFormat="false" ht="15" hidden="false" customHeight="false" outlineLevel="0" collapsed="false">
      <c r="A13911" s="5" t="n">
        <f aca="false">VDB(50000,5000,7,0,7,1.5)</f>
        <v>45000</v>
      </c>
      <c r="B13911" s="0" t="s">
        <v>13828</v>
      </c>
    </row>
    <row r="13912" customFormat="false" ht="15" hidden="false" customHeight="false" outlineLevel="0" collapsed="false">
      <c r="A13912" s="5" t="n">
        <f aca="false">VDB(50000,5000,7,0,7,2)</f>
        <v>45000</v>
      </c>
      <c r="B13912" s="0" t="s">
        <v>13829</v>
      </c>
    </row>
    <row r="13913" customFormat="false" ht="15" hidden="false" customHeight="false" outlineLevel="0" collapsed="false">
      <c r="A13913" s="5" t="n">
        <f aca="false">VDB(50000,5000,7,0,7,3)</f>
        <v>45000</v>
      </c>
      <c r="B13913" s="0" t="s">
        <v>13830</v>
      </c>
    </row>
    <row r="13914" customFormat="false" ht="15" hidden="false" customHeight="false" outlineLevel="0" collapsed="false">
      <c r="A13914" s="5" t="e">
        <f aca="false">VDB(50000,5000,7,0,7,0)</f>
        <v>#VALUE!</v>
      </c>
      <c r="B13914" s="0" t="s">
        <v>13831</v>
      </c>
    </row>
    <row r="13915" customFormat="false" ht="15" hidden="false" customHeight="false" outlineLevel="0" collapsed="false">
      <c r="A13915" s="5" t="e">
        <f aca="false">VDB(50000,5000,7,0,7,-1)</f>
        <v>#VALUE!</v>
      </c>
      <c r="B13915" s="0" t="s">
        <v>13832</v>
      </c>
    </row>
    <row r="13916" customFormat="false" ht="15" hidden="false" customHeight="false" outlineLevel="0" collapsed="false">
      <c r="A13916" s="5" t="n">
        <f aca="false">VDB(50000,5000,7,0,7,2,TRUE())</f>
        <v>45000</v>
      </c>
      <c r="B13916" s="0" t="s">
        <v>13833</v>
      </c>
    </row>
    <row r="13917" customFormat="false" ht="15" hidden="false" customHeight="false" outlineLevel="0" collapsed="false">
      <c r="A13917" s="5" t="n">
        <f aca="false">VDB(50000,5000,7,0,7,1.5,TRUE())</f>
        <v>40756.7957327365</v>
      </c>
      <c r="B13917" s="0" t="s">
        <v>13834</v>
      </c>
    </row>
    <row r="13918" customFormat="false" ht="15" hidden="false" customHeight="false" outlineLevel="0" collapsed="false">
      <c r="A13918" s="5" t="n">
        <f aca="false">VDB(50000,5000,7,0,7,2,FALSE())</f>
        <v>45000</v>
      </c>
      <c r="B13918" s="0" t="s">
        <v>13835</v>
      </c>
    </row>
    <row r="13919" customFormat="false" ht="15" hidden="false" customHeight="false" outlineLevel="0" collapsed="false">
      <c r="A13919" s="5" t="e">
        <f aca="false">VDB(50000,5000,7,0,7,,TRUE())</f>
        <v>#VALUE!</v>
      </c>
      <c r="B13919" s="0" t="s">
        <v>13836</v>
      </c>
    </row>
    <row r="13920" customFormat="false" ht="15" hidden="false" customHeight="false" outlineLevel="0" collapsed="false">
      <c r="A13920" s="5" t="n">
        <f aca="false">VDB(50000,5000,7,6,7)</f>
        <v>1640.51543149538</v>
      </c>
      <c r="B13920" s="0" t="s">
        <v>13837</v>
      </c>
    </row>
    <row r="13921" customFormat="false" ht="15" hidden="false" customHeight="false" outlineLevel="0" collapsed="false">
      <c r="A13921" s="5" t="n">
        <f aca="false">VDB(50000,5000,7,6,7,1.5)</f>
        <v>4685.28738025823</v>
      </c>
      <c r="B13921" s="0" t="s">
        <v>13838</v>
      </c>
    </row>
    <row r="13922" customFormat="false" ht="15" hidden="false" customHeight="false" outlineLevel="0" collapsed="false">
      <c r="A13922" s="5" t="n">
        <f aca="false">VDB(50000,5000,7,6,7,2)</f>
        <v>1640.51543149538</v>
      </c>
      <c r="B13922" s="0" t="s">
        <v>13839</v>
      </c>
    </row>
    <row r="13923" customFormat="false" ht="15" hidden="false" customHeight="false" outlineLevel="0" collapsed="false">
      <c r="A13923" s="5" t="n">
        <f aca="false">VDB(50000,5000,7,6,7,3)</f>
        <v>0</v>
      </c>
      <c r="B13923" s="0" t="s">
        <v>13840</v>
      </c>
    </row>
    <row r="13924" customFormat="false" ht="15" hidden="false" customHeight="false" outlineLevel="0" collapsed="false">
      <c r="A13924" s="5" t="e">
        <f aca="false">VDB(50000,5000,7,6,7,0)</f>
        <v>#VALUE!</v>
      </c>
      <c r="B13924" s="0" t="s">
        <v>13841</v>
      </c>
    </row>
    <row r="13925" customFormat="false" ht="15" hidden="false" customHeight="false" outlineLevel="0" collapsed="false">
      <c r="A13925" s="5" t="e">
        <f aca="false">VDB(50000,5000,7,6,7,-1)</f>
        <v>#VALUE!</v>
      </c>
      <c r="B13925" s="0" t="s">
        <v>13842</v>
      </c>
    </row>
    <row r="13926" customFormat="false" ht="15" hidden="false" customHeight="false" outlineLevel="0" collapsed="false">
      <c r="A13926" s="5" t="n">
        <f aca="false">VDB(50000,5000,7,6,7,2,TRUE())</f>
        <v>1640.51543149538</v>
      </c>
      <c r="B13926" s="0" t="s">
        <v>13843</v>
      </c>
    </row>
    <row r="13927" customFormat="false" ht="15" hidden="false" customHeight="false" outlineLevel="0" collapsed="false">
      <c r="A13927" s="5" t="n">
        <f aca="false">VDB(50000,5000,7,6,7,1.5,TRUE())</f>
        <v>2520.87389107187</v>
      </c>
      <c r="B13927" s="0" t="s">
        <v>13844</v>
      </c>
    </row>
    <row r="13928" customFormat="false" ht="15" hidden="false" customHeight="false" outlineLevel="0" collapsed="false">
      <c r="A13928" s="5" t="n">
        <f aca="false">VDB(50000,5000,7,6,7,2,FALSE())</f>
        <v>1640.51543149538</v>
      </c>
      <c r="B13928" s="0" t="s">
        <v>13845</v>
      </c>
    </row>
    <row r="13929" customFormat="false" ht="15" hidden="false" customHeight="false" outlineLevel="0" collapsed="false">
      <c r="A13929" s="5" t="e">
        <f aca="false">VDB(50000,5000,7,6,7,,TRUE())</f>
        <v>#VALUE!</v>
      </c>
      <c r="B13929" s="0" t="s">
        <v>13846</v>
      </c>
    </row>
    <row r="13930" customFormat="false" ht="15" hidden="false" customHeight="false" outlineLevel="0" collapsed="false">
      <c r="A13930" s="5" t="n">
        <f aca="false">VDB(50000,5000,7,3.5,4.2)</f>
        <v>3346.81977747367</v>
      </c>
      <c r="B13930" s="0" t="s">
        <v>13847</v>
      </c>
    </row>
    <row r="13931" customFormat="false" ht="15" hidden="false" customHeight="false" outlineLevel="0" collapsed="false">
      <c r="A13931" s="5" t="n">
        <f aca="false">VDB(50000,5000,7,3.5,4.2,1.5)</f>
        <v>3535.58413161183</v>
      </c>
      <c r="B13931" s="0" t="s">
        <v>13848</v>
      </c>
    </row>
    <row r="13932" customFormat="false" ht="15" hidden="false" customHeight="false" outlineLevel="0" collapsed="false">
      <c r="A13932" s="5" t="n">
        <f aca="false">VDB(50000,5000,7,3.5,4.2,2)</f>
        <v>3346.81977747367</v>
      </c>
      <c r="B13932" s="0" t="s">
        <v>13849</v>
      </c>
    </row>
    <row r="13933" customFormat="false" ht="15" hidden="false" customHeight="false" outlineLevel="0" collapsed="false">
      <c r="A13933" s="5" t="n">
        <f aca="false">VDB(50000,5000,7,3.5,4.2,3)</f>
        <v>2065.38942107455</v>
      </c>
      <c r="B13933" s="0" t="s">
        <v>13850</v>
      </c>
    </row>
    <row r="13934" customFormat="false" ht="15" hidden="false" customHeight="false" outlineLevel="0" collapsed="false">
      <c r="A13934" s="5" t="e">
        <f aca="false">VDB(50000,5000,7,3.5,4.2,0)</f>
        <v>#VALUE!</v>
      </c>
      <c r="B13934" s="0" t="s">
        <v>13851</v>
      </c>
    </row>
    <row r="13935" customFormat="false" ht="15" hidden="false" customHeight="false" outlineLevel="0" collapsed="false">
      <c r="A13935" s="5" t="e">
        <f aca="false">VDB(50000,5000,7,3.5,4.2,-1)</f>
        <v>#VALUE!</v>
      </c>
      <c r="B13935" s="0" t="s">
        <v>13852</v>
      </c>
    </row>
    <row r="13936" customFormat="false" ht="15" hidden="false" customHeight="false" outlineLevel="0" collapsed="false">
      <c r="A13936" s="5" t="n">
        <f aca="false">VDB(50000,5000,7,3.5,4.2,2,TRUE())</f>
        <v>3346.81977747367</v>
      </c>
      <c r="B13936" s="0" t="s">
        <v>13853</v>
      </c>
    </row>
    <row r="13937" customFormat="false" ht="15" hidden="false" customHeight="false" outlineLevel="0" collapsed="false">
      <c r="A13937" s="5" t="n">
        <f aca="false">VDB(50000,5000,7,3.5,4.2,1.5,TRUE())</f>
        <v>3415.20646159338</v>
      </c>
      <c r="B13937" s="0" t="s">
        <v>13854</v>
      </c>
    </row>
    <row r="13938" customFormat="false" ht="15" hidden="false" customHeight="false" outlineLevel="0" collapsed="false">
      <c r="A13938" s="5" t="n">
        <f aca="false">VDB(50000,5000,7,3.5,4.2,2,FALSE())</f>
        <v>3346.81977747367</v>
      </c>
      <c r="B13938" s="0" t="s">
        <v>13855</v>
      </c>
    </row>
    <row r="13939" customFormat="false" ht="15" hidden="false" customHeight="false" outlineLevel="0" collapsed="false">
      <c r="A13939" s="5" t="e">
        <f aca="false">VDB(50000,5000,7,3.5,4.2,,TRUE())</f>
        <v>#VALUE!</v>
      </c>
      <c r="B13939" s="0" t="s">
        <v>13856</v>
      </c>
    </row>
    <row r="13940" customFormat="false" ht="15" hidden="false" customHeight="false" outlineLevel="0" collapsed="false">
      <c r="A13940" s="5" t="n">
        <f aca="false">VDB(50000,5000,7,0,0)</f>
        <v>0</v>
      </c>
      <c r="B13940" s="0" t="s">
        <v>13857</v>
      </c>
    </row>
    <row r="13941" customFormat="false" ht="15" hidden="false" customHeight="false" outlineLevel="0" collapsed="false">
      <c r="A13941" s="5" t="n">
        <f aca="false">VDB(50000,5000,7,0,0,1.5)</f>
        <v>0</v>
      </c>
      <c r="B13941" s="0" t="s">
        <v>13858</v>
      </c>
    </row>
    <row r="13942" customFormat="false" ht="15" hidden="false" customHeight="false" outlineLevel="0" collapsed="false">
      <c r="A13942" s="5" t="n">
        <f aca="false">VDB(50000,5000,7,0,0,2)</f>
        <v>0</v>
      </c>
      <c r="B13942" s="0" t="s">
        <v>13859</v>
      </c>
    </row>
    <row r="13943" customFormat="false" ht="15" hidden="false" customHeight="false" outlineLevel="0" collapsed="false">
      <c r="A13943" s="5" t="n">
        <f aca="false">VDB(50000,5000,7,0,0,3)</f>
        <v>0</v>
      </c>
      <c r="B13943" s="0" t="s">
        <v>13860</v>
      </c>
    </row>
    <row r="13944" customFormat="false" ht="15" hidden="false" customHeight="false" outlineLevel="0" collapsed="false">
      <c r="A13944" s="5" t="e">
        <f aca="false">VDB(50000,5000,7,0,0,0)</f>
        <v>#VALUE!</v>
      </c>
      <c r="B13944" s="0" t="s">
        <v>13861</v>
      </c>
    </row>
    <row r="13945" customFormat="false" ht="15" hidden="false" customHeight="false" outlineLevel="0" collapsed="false">
      <c r="A13945" s="5" t="e">
        <f aca="false">VDB(50000,5000,7,0,0,-1)</f>
        <v>#VALUE!</v>
      </c>
      <c r="B13945" s="0" t="s">
        <v>13862</v>
      </c>
    </row>
    <row r="13946" customFormat="false" ht="15" hidden="false" customHeight="false" outlineLevel="0" collapsed="false">
      <c r="A13946" s="5" t="n">
        <f aca="false">VDB(50000,5000,7,0,0,2,TRUE())</f>
        <v>0</v>
      </c>
      <c r="B13946" s="0" t="s">
        <v>13863</v>
      </c>
    </row>
    <row r="13947" customFormat="false" ht="15" hidden="false" customHeight="false" outlineLevel="0" collapsed="false">
      <c r="A13947" s="5" t="n">
        <f aca="false">VDB(50000,5000,7,0,0,1.5,TRUE())</f>
        <v>0</v>
      </c>
      <c r="B13947" s="0" t="s">
        <v>13864</v>
      </c>
    </row>
    <row r="13948" customFormat="false" ht="15" hidden="false" customHeight="false" outlineLevel="0" collapsed="false">
      <c r="A13948" s="5" t="n">
        <f aca="false">VDB(50000,5000,7,0,0,2,FALSE())</f>
        <v>0</v>
      </c>
      <c r="B13948" s="0" t="s">
        <v>13865</v>
      </c>
    </row>
    <row r="13949" customFormat="false" ht="15" hidden="false" customHeight="false" outlineLevel="0" collapsed="false">
      <c r="A13949" s="5" t="e">
        <f aca="false">VDB(50000,5000,7,0,0,,TRUE())</f>
        <v>#VALUE!</v>
      </c>
      <c r="B13949" s="0" t="s">
        <v>13866</v>
      </c>
    </row>
    <row r="13950" customFormat="false" ht="15" hidden="false" customHeight="false" outlineLevel="0" collapsed="false">
      <c r="A13950" s="5" t="n">
        <f aca="false">VDB(50000,5000,7,1,1)</f>
        <v>0</v>
      </c>
      <c r="B13950" s="0" t="s">
        <v>13867</v>
      </c>
    </row>
    <row r="13951" customFormat="false" ht="15" hidden="false" customHeight="false" outlineLevel="0" collapsed="false">
      <c r="A13951" s="5" t="n">
        <f aca="false">VDB(50000,5000,7,1,1,1.5)</f>
        <v>0</v>
      </c>
      <c r="B13951" s="0" t="s">
        <v>13868</v>
      </c>
    </row>
    <row r="13952" customFormat="false" ht="15" hidden="false" customHeight="false" outlineLevel="0" collapsed="false">
      <c r="A13952" s="5" t="n">
        <f aca="false">VDB(50000,5000,7,1,1,2)</f>
        <v>0</v>
      </c>
      <c r="B13952" s="0" t="s">
        <v>13869</v>
      </c>
    </row>
    <row r="13953" customFormat="false" ht="15" hidden="false" customHeight="false" outlineLevel="0" collapsed="false">
      <c r="A13953" s="5" t="n">
        <f aca="false">VDB(50000,5000,7,1,1,3)</f>
        <v>0</v>
      </c>
      <c r="B13953" s="0" t="s">
        <v>13870</v>
      </c>
    </row>
    <row r="13954" customFormat="false" ht="15" hidden="false" customHeight="false" outlineLevel="0" collapsed="false">
      <c r="A13954" s="5" t="e">
        <f aca="false">VDB(50000,5000,7,1,1,0)</f>
        <v>#VALUE!</v>
      </c>
      <c r="B13954" s="0" t="s">
        <v>13871</v>
      </c>
    </row>
    <row r="13955" customFormat="false" ht="15" hidden="false" customHeight="false" outlineLevel="0" collapsed="false">
      <c r="A13955" s="5" t="e">
        <f aca="false">VDB(50000,5000,7,1,1,-1)</f>
        <v>#VALUE!</v>
      </c>
      <c r="B13955" s="0" t="s">
        <v>13872</v>
      </c>
    </row>
    <row r="13956" customFormat="false" ht="15" hidden="false" customHeight="false" outlineLevel="0" collapsed="false">
      <c r="A13956" s="5" t="n">
        <f aca="false">VDB(50000,5000,7,1,1,2,TRUE())</f>
        <v>0</v>
      </c>
      <c r="B13956" s="0" t="s">
        <v>13873</v>
      </c>
    </row>
    <row r="13957" customFormat="false" ht="15" hidden="false" customHeight="false" outlineLevel="0" collapsed="false">
      <c r="A13957" s="5" t="n">
        <f aca="false">VDB(50000,5000,7,1,1,1.5,TRUE())</f>
        <v>0</v>
      </c>
      <c r="B13957" s="0" t="s">
        <v>13874</v>
      </c>
    </row>
    <row r="13958" customFormat="false" ht="15" hidden="false" customHeight="false" outlineLevel="0" collapsed="false">
      <c r="A13958" s="5" t="n">
        <f aca="false">VDB(50000,5000,7,1,1,2,FALSE())</f>
        <v>0</v>
      </c>
      <c r="B13958" s="0" t="s">
        <v>13875</v>
      </c>
    </row>
    <row r="13959" customFormat="false" ht="15" hidden="false" customHeight="false" outlineLevel="0" collapsed="false">
      <c r="A13959" s="5" t="e">
        <f aca="false">VDB(50000,5000,7,1,1,,TRUE())</f>
        <v>#VALUE!</v>
      </c>
      <c r="B13959" s="0" t="s">
        <v>13876</v>
      </c>
    </row>
    <row r="13960" customFormat="false" ht="15" hidden="false" customHeight="false" outlineLevel="0" collapsed="false">
      <c r="A13960" s="5" t="e">
        <f aca="false">VDB(50000,5000,7,2,1)</f>
        <v>#VALUE!</v>
      </c>
      <c r="B13960" s="0" t="s">
        <v>13877</v>
      </c>
    </row>
    <row r="13961" customFormat="false" ht="15" hidden="false" customHeight="false" outlineLevel="0" collapsed="false">
      <c r="A13961" s="5" t="e">
        <f aca="false">VDB(50000,5000,7,2,1,1.5)</f>
        <v>#VALUE!</v>
      </c>
      <c r="B13961" s="0" t="s">
        <v>13878</v>
      </c>
    </row>
    <row r="13962" customFormat="false" ht="15" hidden="false" customHeight="false" outlineLevel="0" collapsed="false">
      <c r="A13962" s="5" t="e">
        <f aca="false">VDB(50000,5000,7,2,1,2)</f>
        <v>#VALUE!</v>
      </c>
      <c r="B13962" s="0" t="s">
        <v>13879</v>
      </c>
    </row>
    <row r="13963" customFormat="false" ht="15" hidden="false" customHeight="false" outlineLevel="0" collapsed="false">
      <c r="A13963" s="5" t="e">
        <f aca="false">VDB(50000,5000,7,2,1,3)</f>
        <v>#VALUE!</v>
      </c>
      <c r="B13963" s="0" t="s">
        <v>13880</v>
      </c>
    </row>
    <row r="13964" customFormat="false" ht="15" hidden="false" customHeight="false" outlineLevel="0" collapsed="false">
      <c r="A13964" s="5" t="e">
        <f aca="false">VDB(50000,5000,7,2,1,0)</f>
        <v>#VALUE!</v>
      </c>
      <c r="B13964" s="0" t="s">
        <v>13881</v>
      </c>
    </row>
    <row r="13965" customFormat="false" ht="15" hidden="false" customHeight="false" outlineLevel="0" collapsed="false">
      <c r="A13965" s="5" t="e">
        <f aca="false">VDB(50000,5000,7,2,1,-1)</f>
        <v>#VALUE!</v>
      </c>
      <c r="B13965" s="0" t="s">
        <v>13882</v>
      </c>
    </row>
    <row r="13966" customFormat="false" ht="15" hidden="false" customHeight="false" outlineLevel="0" collapsed="false">
      <c r="A13966" s="5" t="e">
        <f aca="false">VDB(50000,5000,7,2,1,2,TRUE())</f>
        <v>#VALUE!</v>
      </c>
      <c r="B13966" s="0" t="s">
        <v>13883</v>
      </c>
    </row>
    <row r="13967" customFormat="false" ht="15" hidden="false" customHeight="false" outlineLevel="0" collapsed="false">
      <c r="A13967" s="5" t="e">
        <f aca="false">VDB(50000,5000,7,2,1,1.5,TRUE())</f>
        <v>#VALUE!</v>
      </c>
      <c r="B13967" s="0" t="s">
        <v>13884</v>
      </c>
    </row>
    <row r="13968" customFormat="false" ht="15" hidden="false" customHeight="false" outlineLevel="0" collapsed="false">
      <c r="A13968" s="5" t="e">
        <f aca="false">VDB(50000,5000,7,2,1,2,FALSE())</f>
        <v>#VALUE!</v>
      </c>
      <c r="B13968" s="0" t="s">
        <v>13885</v>
      </c>
    </row>
    <row r="13969" customFormat="false" ht="15" hidden="false" customHeight="false" outlineLevel="0" collapsed="false">
      <c r="A13969" s="5" t="e">
        <f aca="false">VDB(50000,5000,7,2,1,,TRUE())</f>
        <v>#VALUE!</v>
      </c>
      <c r="B13969" s="0" t="s">
        <v>13886</v>
      </c>
    </row>
    <row r="13970" customFormat="false" ht="15" hidden="false" customHeight="false" outlineLevel="0" collapsed="false">
      <c r="A13970" s="5" t="e">
        <f aca="false">VDB(50000,5000,7,0,8)</f>
        <v>#VALUE!</v>
      </c>
      <c r="B13970" s="0" t="s">
        <v>13887</v>
      </c>
    </row>
    <row r="13971" customFormat="false" ht="15" hidden="false" customHeight="false" outlineLevel="0" collapsed="false">
      <c r="A13971" s="5" t="e">
        <f aca="false">VDB(50000,5000,7,0,8,1.5)</f>
        <v>#VALUE!</v>
      </c>
      <c r="B13971" s="0" t="s">
        <v>13888</v>
      </c>
    </row>
    <row r="13972" customFormat="false" ht="15" hidden="false" customHeight="false" outlineLevel="0" collapsed="false">
      <c r="A13972" s="5" t="e">
        <f aca="false">VDB(50000,5000,7,0,8,2)</f>
        <v>#VALUE!</v>
      </c>
      <c r="B13972" s="0" t="s">
        <v>13889</v>
      </c>
    </row>
    <row r="13973" customFormat="false" ht="15" hidden="false" customHeight="false" outlineLevel="0" collapsed="false">
      <c r="A13973" s="5" t="e">
        <f aca="false">VDB(50000,5000,7,0,8,3)</f>
        <v>#VALUE!</v>
      </c>
      <c r="B13973" s="0" t="s">
        <v>13890</v>
      </c>
    </row>
    <row r="13974" customFormat="false" ht="15" hidden="false" customHeight="false" outlineLevel="0" collapsed="false">
      <c r="A13974" s="5" t="e">
        <f aca="false">VDB(50000,5000,7,0,8,0)</f>
        <v>#VALUE!</v>
      </c>
      <c r="B13974" s="0" t="s">
        <v>13891</v>
      </c>
    </row>
    <row r="13975" customFormat="false" ht="15" hidden="false" customHeight="false" outlineLevel="0" collapsed="false">
      <c r="A13975" s="5" t="e">
        <f aca="false">VDB(50000,5000,7,0,8,-1)</f>
        <v>#VALUE!</v>
      </c>
      <c r="B13975" s="0" t="s">
        <v>13892</v>
      </c>
    </row>
    <row r="13976" customFormat="false" ht="15" hidden="false" customHeight="false" outlineLevel="0" collapsed="false">
      <c r="A13976" s="5" t="e">
        <f aca="false">VDB(50000,5000,7,0,8,2,TRUE())</f>
        <v>#VALUE!</v>
      </c>
      <c r="B13976" s="0" t="s">
        <v>13893</v>
      </c>
    </row>
    <row r="13977" customFormat="false" ht="15" hidden="false" customHeight="false" outlineLevel="0" collapsed="false">
      <c r="A13977" s="5" t="e">
        <f aca="false">VDB(50000,5000,7,0,8,1.5,TRUE())</f>
        <v>#VALUE!</v>
      </c>
      <c r="B13977" s="0" t="s">
        <v>13894</v>
      </c>
    </row>
    <row r="13978" customFormat="false" ht="15" hidden="false" customHeight="false" outlineLevel="0" collapsed="false">
      <c r="A13978" s="5" t="e">
        <f aca="false">VDB(50000,5000,7,0,8,2,FALSE())</f>
        <v>#VALUE!</v>
      </c>
      <c r="B13978" s="0" t="s">
        <v>13895</v>
      </c>
    </row>
    <row r="13979" customFormat="false" ht="15" hidden="false" customHeight="false" outlineLevel="0" collapsed="false">
      <c r="A13979" s="5" t="e">
        <f aca="false">VDB(50000,5000,7,0,8,,TRUE())</f>
        <v>#VALUE!</v>
      </c>
      <c r="B13979" s="0" t="s">
        <v>13896</v>
      </c>
    </row>
    <row r="13980" customFormat="false" ht="15" hidden="false" customHeight="false" outlineLevel="0" collapsed="false">
      <c r="A13980" s="5" t="e">
        <f aca="false">VDB(50000,5000,7,-1,1)</f>
        <v>#VALUE!</v>
      </c>
      <c r="B13980" s="0" t="s">
        <v>13897</v>
      </c>
    </row>
    <row r="13981" customFormat="false" ht="15" hidden="false" customHeight="false" outlineLevel="0" collapsed="false">
      <c r="A13981" s="5" t="e">
        <f aca="false">VDB(50000,5000,7,-1,1,1.5)</f>
        <v>#VALUE!</v>
      </c>
      <c r="B13981" s="0" t="s">
        <v>13898</v>
      </c>
    </row>
    <row r="13982" customFormat="false" ht="15" hidden="false" customHeight="false" outlineLevel="0" collapsed="false">
      <c r="A13982" s="5" t="e">
        <f aca="false">VDB(50000,5000,7,-1,1,2)</f>
        <v>#VALUE!</v>
      </c>
      <c r="B13982" s="0" t="s">
        <v>13899</v>
      </c>
    </row>
    <row r="13983" customFormat="false" ht="15" hidden="false" customHeight="false" outlineLevel="0" collapsed="false">
      <c r="A13983" s="5" t="e">
        <f aca="false">VDB(50000,5000,7,-1,1,3)</f>
        <v>#VALUE!</v>
      </c>
      <c r="B13983" s="0" t="s">
        <v>13900</v>
      </c>
    </row>
    <row r="13984" customFormat="false" ht="15" hidden="false" customHeight="false" outlineLevel="0" collapsed="false">
      <c r="A13984" s="5" t="e">
        <f aca="false">VDB(50000,5000,7,-1,1,0)</f>
        <v>#VALUE!</v>
      </c>
      <c r="B13984" s="0" t="s">
        <v>13901</v>
      </c>
    </row>
    <row r="13985" customFormat="false" ht="15" hidden="false" customHeight="false" outlineLevel="0" collapsed="false">
      <c r="A13985" s="5" t="e">
        <f aca="false">VDB(50000,5000,7,-1,1,-1)</f>
        <v>#VALUE!</v>
      </c>
      <c r="B13985" s="0" t="s">
        <v>13902</v>
      </c>
    </row>
    <row r="13986" customFormat="false" ht="15" hidden="false" customHeight="false" outlineLevel="0" collapsed="false">
      <c r="A13986" s="5" t="e">
        <f aca="false">VDB(50000,5000,7,-1,1,2,TRUE())</f>
        <v>#VALUE!</v>
      </c>
      <c r="B13986" s="0" t="s">
        <v>13903</v>
      </c>
    </row>
    <row r="13987" customFormat="false" ht="15" hidden="false" customHeight="false" outlineLevel="0" collapsed="false">
      <c r="A13987" s="5" t="e">
        <f aca="false">VDB(50000,5000,7,-1,1,1.5,TRUE())</f>
        <v>#VALUE!</v>
      </c>
      <c r="B13987" s="0" t="s">
        <v>13904</v>
      </c>
    </row>
    <row r="13988" customFormat="false" ht="15" hidden="false" customHeight="false" outlineLevel="0" collapsed="false">
      <c r="A13988" s="5" t="e">
        <f aca="false">VDB(50000,5000,7,-1,1,2,FALSE())</f>
        <v>#VALUE!</v>
      </c>
      <c r="B13988" s="0" t="s">
        <v>13905</v>
      </c>
    </row>
    <row r="13989" customFormat="false" ht="15" hidden="false" customHeight="false" outlineLevel="0" collapsed="false">
      <c r="A13989" s="5" t="e">
        <f aca="false">VDB(50000,5000,7,-1,1,,TRUE())</f>
        <v>#VALUE!</v>
      </c>
      <c r="B13989" s="0" t="s">
        <v>13906</v>
      </c>
    </row>
    <row r="13990" customFormat="false" ht="15" hidden="false" customHeight="false" outlineLevel="0" collapsed="false">
      <c r="A13990" s="5" t="n">
        <f aca="false">VDB(50000,5000,7,0.25,0.75)</f>
        <v>7142.85714285714</v>
      </c>
      <c r="B13990" s="0" t="s">
        <v>13907</v>
      </c>
    </row>
    <row r="13991" customFormat="false" ht="15" hidden="false" customHeight="false" outlineLevel="0" collapsed="false">
      <c r="A13991" s="5" t="n">
        <f aca="false">VDB(50000,5000,7,0.25,0.75,1.5)</f>
        <v>5357.14285714286</v>
      </c>
      <c r="B13991" s="0" t="s">
        <v>13908</v>
      </c>
    </row>
    <row r="13992" customFormat="false" ht="15" hidden="false" customHeight="false" outlineLevel="0" collapsed="false">
      <c r="A13992" s="5" t="n">
        <f aca="false">VDB(50000,5000,7,0.25,0.75,2)</f>
        <v>7142.85714285714</v>
      </c>
      <c r="B13992" s="0" t="s">
        <v>13909</v>
      </c>
    </row>
    <row r="13993" customFormat="false" ht="15" hidden="false" customHeight="false" outlineLevel="0" collapsed="false">
      <c r="A13993" s="5" t="n">
        <f aca="false">VDB(50000,5000,7,0.25,0.75,3)</f>
        <v>10714.2857142857</v>
      </c>
      <c r="B13993" s="0" t="s">
        <v>13910</v>
      </c>
    </row>
    <row r="13994" customFormat="false" ht="15" hidden="false" customHeight="false" outlineLevel="0" collapsed="false">
      <c r="A13994" s="5" t="e">
        <f aca="false">VDB(50000,5000,7,0.25,0.75,0)</f>
        <v>#VALUE!</v>
      </c>
      <c r="B13994" s="0" t="s">
        <v>13911</v>
      </c>
    </row>
    <row r="13995" customFormat="false" ht="15" hidden="false" customHeight="false" outlineLevel="0" collapsed="false">
      <c r="A13995" s="5" t="e">
        <f aca="false">VDB(50000,5000,7,0.25,0.75,-1)</f>
        <v>#VALUE!</v>
      </c>
      <c r="B13995" s="0" t="s">
        <v>13912</v>
      </c>
    </row>
    <row r="13996" customFormat="false" ht="15" hidden="false" customHeight="false" outlineLevel="0" collapsed="false">
      <c r="A13996" s="5" t="n">
        <f aca="false">VDB(50000,5000,7,0.25,0.75,2,TRUE())</f>
        <v>7142.85714285714</v>
      </c>
      <c r="B13996" s="0" t="s">
        <v>13913</v>
      </c>
    </row>
    <row r="13997" customFormat="false" ht="15" hidden="false" customHeight="false" outlineLevel="0" collapsed="false">
      <c r="A13997" s="5" t="n">
        <f aca="false">VDB(50000,5000,7,0.25,0.75,1.5,TRUE())</f>
        <v>5357.14285714286</v>
      </c>
      <c r="B13997" s="0" t="s">
        <v>13914</v>
      </c>
    </row>
    <row r="13998" customFormat="false" ht="15" hidden="false" customHeight="false" outlineLevel="0" collapsed="false">
      <c r="A13998" s="5" t="n">
        <f aca="false">VDB(50000,5000,7,0.25,0.75,2,FALSE())</f>
        <v>7142.85714285714</v>
      </c>
      <c r="B13998" s="0" t="s">
        <v>13915</v>
      </c>
    </row>
    <row r="13999" customFormat="false" ht="15" hidden="false" customHeight="false" outlineLevel="0" collapsed="false">
      <c r="A13999" s="5" t="e">
        <f aca="false">VDB(50000,5000,7,0.25,0.75,,TRUE())</f>
        <v>#VALUE!</v>
      </c>
      <c r="B13999" s="0" t="s">
        <v>13916</v>
      </c>
    </row>
    <row r="14000" customFormat="false" ht="15" hidden="false" customHeight="false" outlineLevel="0" collapsed="false">
      <c r="A14000" s="5" t="n">
        <f aca="false">VDB(50000,5000,7,7,7)</f>
        <v>0</v>
      </c>
      <c r="B14000" s="0" t="s">
        <v>13917</v>
      </c>
    </row>
    <row r="14001" customFormat="false" ht="15" hidden="false" customHeight="false" outlineLevel="0" collapsed="false">
      <c r="A14001" s="5" t="n">
        <f aca="false">VDB(50000,5000,7,7,7,1.5)</f>
        <v>0</v>
      </c>
      <c r="B14001" s="0" t="s">
        <v>13918</v>
      </c>
    </row>
    <row r="14002" customFormat="false" ht="15" hidden="false" customHeight="false" outlineLevel="0" collapsed="false">
      <c r="A14002" s="5" t="n">
        <f aca="false">VDB(50000,5000,7,7,7,2)</f>
        <v>0</v>
      </c>
      <c r="B14002" s="0" t="s">
        <v>13919</v>
      </c>
    </row>
    <row r="14003" customFormat="false" ht="15" hidden="false" customHeight="false" outlineLevel="0" collapsed="false">
      <c r="A14003" s="5" t="n">
        <f aca="false">VDB(50000,5000,7,7,7,3)</f>
        <v>0</v>
      </c>
      <c r="B14003" s="0" t="s">
        <v>13920</v>
      </c>
    </row>
    <row r="14004" customFormat="false" ht="15" hidden="false" customHeight="false" outlineLevel="0" collapsed="false">
      <c r="A14004" s="5" t="e">
        <f aca="false">VDB(50000,5000,7,7,7,0)</f>
        <v>#VALUE!</v>
      </c>
      <c r="B14004" s="0" t="s">
        <v>13921</v>
      </c>
    </row>
    <row r="14005" customFormat="false" ht="15" hidden="false" customHeight="false" outlineLevel="0" collapsed="false">
      <c r="A14005" s="5" t="e">
        <f aca="false">VDB(50000,5000,7,7,7,-1)</f>
        <v>#VALUE!</v>
      </c>
      <c r="B14005" s="0" t="s">
        <v>13922</v>
      </c>
    </row>
    <row r="14006" customFormat="false" ht="15" hidden="false" customHeight="false" outlineLevel="0" collapsed="false">
      <c r="A14006" s="5" t="n">
        <f aca="false">VDB(50000,5000,7,7,7,2,TRUE())</f>
        <v>0</v>
      </c>
      <c r="B14006" s="0" t="s">
        <v>13923</v>
      </c>
    </row>
    <row r="14007" customFormat="false" ht="15" hidden="false" customHeight="false" outlineLevel="0" collapsed="false">
      <c r="A14007" s="5" t="n">
        <f aca="false">VDB(50000,5000,7,7,7,1.5,TRUE())</f>
        <v>0</v>
      </c>
      <c r="B14007" s="0" t="s">
        <v>13924</v>
      </c>
    </row>
    <row r="14008" customFormat="false" ht="15" hidden="false" customHeight="false" outlineLevel="0" collapsed="false">
      <c r="A14008" s="5" t="n">
        <f aca="false">VDB(50000,5000,7,7,7,2,FALSE())</f>
        <v>0</v>
      </c>
      <c r="B14008" s="0" t="s">
        <v>13925</v>
      </c>
    </row>
    <row r="14009" customFormat="false" ht="15" hidden="false" customHeight="false" outlineLevel="0" collapsed="false">
      <c r="A14009" s="5" t="e">
        <f aca="false">VDB(50000,5000,7,7,7,,TRUE())</f>
        <v>#VALUE!</v>
      </c>
      <c r="B14009" s="0" t="s">
        <v>13926</v>
      </c>
    </row>
    <row r="14010" customFormat="false" ht="15" hidden="false" customHeight="false" outlineLevel="0" collapsed="false">
      <c r="A14010" s="5" t="n">
        <f aca="false">VDB(50000,5000,7,1,7)</f>
        <v>30714.2857142857</v>
      </c>
      <c r="B14010" s="0" t="s">
        <v>13927</v>
      </c>
    </row>
    <row r="14011" customFormat="false" ht="15" hidden="false" customHeight="false" outlineLevel="0" collapsed="false">
      <c r="A14011" s="5" t="n">
        <f aca="false">VDB(50000,5000,7,1,7,1.5)</f>
        <v>34285.7142857143</v>
      </c>
      <c r="B14011" s="0" t="s">
        <v>13928</v>
      </c>
    </row>
    <row r="14012" customFormat="false" ht="15" hidden="false" customHeight="false" outlineLevel="0" collapsed="false">
      <c r="A14012" s="5" t="n">
        <f aca="false">VDB(50000,5000,7,1,7,2)</f>
        <v>30714.2857142857</v>
      </c>
      <c r="B14012" s="0" t="s">
        <v>13929</v>
      </c>
    </row>
    <row r="14013" customFormat="false" ht="15" hidden="false" customHeight="false" outlineLevel="0" collapsed="false">
      <c r="A14013" s="5" t="n">
        <f aca="false">VDB(50000,5000,7,1,7,3)</f>
        <v>23571.4285714286</v>
      </c>
      <c r="B14013" s="0" t="s">
        <v>13930</v>
      </c>
    </row>
    <row r="14014" customFormat="false" ht="15" hidden="false" customHeight="false" outlineLevel="0" collapsed="false">
      <c r="A14014" s="5" t="e">
        <f aca="false">VDB(50000,5000,7,1,7,0)</f>
        <v>#VALUE!</v>
      </c>
      <c r="B14014" s="0" t="s">
        <v>13931</v>
      </c>
    </row>
    <row r="14015" customFormat="false" ht="15" hidden="false" customHeight="false" outlineLevel="0" collapsed="false">
      <c r="A14015" s="5" t="e">
        <f aca="false">VDB(50000,5000,7,1,7,-1)</f>
        <v>#VALUE!</v>
      </c>
      <c r="B14015" s="0" t="s">
        <v>13932</v>
      </c>
    </row>
    <row r="14016" customFormat="false" ht="15" hidden="false" customHeight="false" outlineLevel="0" collapsed="false">
      <c r="A14016" s="5" t="n">
        <f aca="false">VDB(50000,5000,7,1,7,2,TRUE())</f>
        <v>30714.2857142857</v>
      </c>
      <c r="B14016" s="0" t="s">
        <v>13933</v>
      </c>
    </row>
    <row r="14017" customFormat="false" ht="15" hidden="false" customHeight="false" outlineLevel="0" collapsed="false">
      <c r="A14017" s="5" t="n">
        <f aca="false">VDB(50000,5000,7,1,7,1.5,TRUE())</f>
        <v>30042.5100184508</v>
      </c>
      <c r="B14017" s="0" t="s">
        <v>13934</v>
      </c>
    </row>
    <row r="14018" customFormat="false" ht="15" hidden="false" customHeight="false" outlineLevel="0" collapsed="false">
      <c r="A14018" s="5" t="n">
        <f aca="false">VDB(50000,5000,7,1,7,2,FALSE())</f>
        <v>30714.2857142857</v>
      </c>
      <c r="B14018" s="0" t="s">
        <v>13935</v>
      </c>
    </row>
    <row r="14019" customFormat="false" ht="15" hidden="false" customHeight="false" outlineLevel="0" collapsed="false">
      <c r="A14019" s="5" t="e">
        <f aca="false">VDB(50000,5000,7,1,7,,TRUE())</f>
        <v>#VALUE!</v>
      </c>
      <c r="B14019" s="0" t="s">
        <v>13936</v>
      </c>
    </row>
    <row r="14020" customFormat="false" ht="15" hidden="false" customHeight="false" outlineLevel="0" collapsed="false">
      <c r="A14020" s="5" t="n">
        <f aca="false">VDB(100,100,4,0,1)</f>
        <v>0</v>
      </c>
      <c r="B14020" s="0" t="s">
        <v>13937</v>
      </c>
    </row>
    <row r="14021" customFormat="false" ht="15" hidden="false" customHeight="false" outlineLevel="0" collapsed="false">
      <c r="A14021" s="5" t="n">
        <f aca="false">VDB(100,100,4,0,1,1.5)</f>
        <v>0</v>
      </c>
      <c r="B14021" s="0" t="s">
        <v>13938</v>
      </c>
    </row>
    <row r="14022" customFormat="false" ht="15" hidden="false" customHeight="false" outlineLevel="0" collapsed="false">
      <c r="A14022" s="5" t="n">
        <f aca="false">VDB(100,100,4,0,1,2)</f>
        <v>0</v>
      </c>
      <c r="B14022" s="0" t="s">
        <v>13939</v>
      </c>
    </row>
    <row r="14023" customFormat="false" ht="15" hidden="false" customHeight="false" outlineLevel="0" collapsed="false">
      <c r="A14023" s="5" t="n">
        <f aca="false">VDB(100,100,4,0,1,3)</f>
        <v>0</v>
      </c>
      <c r="B14023" s="0" t="s">
        <v>13940</v>
      </c>
    </row>
    <row r="14024" customFormat="false" ht="15" hidden="false" customHeight="false" outlineLevel="0" collapsed="false">
      <c r="A14024" s="5" t="e">
        <f aca="false">VDB(100,100,4,0,1,0)</f>
        <v>#VALUE!</v>
      </c>
      <c r="B14024" s="0" t="s">
        <v>13941</v>
      </c>
    </row>
    <row r="14025" customFormat="false" ht="15" hidden="false" customHeight="false" outlineLevel="0" collapsed="false">
      <c r="A14025" s="5" t="e">
        <f aca="false">VDB(100,100,4,0,1,-1)</f>
        <v>#VALUE!</v>
      </c>
      <c r="B14025" s="0" t="s">
        <v>13942</v>
      </c>
    </row>
    <row r="14026" customFormat="false" ht="15" hidden="false" customHeight="false" outlineLevel="0" collapsed="false">
      <c r="A14026" s="5" t="n">
        <f aca="false">VDB(100,100,4,0,1,2,TRUE())</f>
        <v>0</v>
      </c>
      <c r="B14026" s="0" t="s">
        <v>13943</v>
      </c>
    </row>
    <row r="14027" customFormat="false" ht="15" hidden="false" customHeight="false" outlineLevel="0" collapsed="false">
      <c r="A14027" s="5" t="n">
        <f aca="false">VDB(100,100,4,0,1,1.5,TRUE())</f>
        <v>0</v>
      </c>
      <c r="B14027" s="0" t="s">
        <v>13944</v>
      </c>
    </row>
    <row r="14028" customFormat="false" ht="15" hidden="false" customHeight="false" outlineLevel="0" collapsed="false">
      <c r="A14028" s="5" t="n">
        <f aca="false">VDB(100,100,4,0,1,2,FALSE())</f>
        <v>0</v>
      </c>
      <c r="B14028" s="0" t="s">
        <v>13945</v>
      </c>
    </row>
    <row r="14029" customFormat="false" ht="15" hidden="false" customHeight="false" outlineLevel="0" collapsed="false">
      <c r="A14029" s="5" t="e">
        <f aca="false">VDB(100,100,4,0,1,,TRUE())</f>
        <v>#VALUE!</v>
      </c>
      <c r="B14029" s="0" t="s">
        <v>13946</v>
      </c>
    </row>
    <row r="14030" customFormat="false" ht="15" hidden="false" customHeight="false" outlineLevel="0" collapsed="false">
      <c r="A14030" s="5" t="n">
        <f aca="false">VDB(100,100,4,1,2)</f>
        <v>0</v>
      </c>
      <c r="B14030" s="0" t="s">
        <v>13947</v>
      </c>
    </row>
    <row r="14031" customFormat="false" ht="15" hidden="false" customHeight="false" outlineLevel="0" collapsed="false">
      <c r="A14031" s="5" t="n">
        <f aca="false">VDB(100,100,4,1,2,1.5)</f>
        <v>0</v>
      </c>
      <c r="B14031" s="0" t="s">
        <v>13948</v>
      </c>
    </row>
    <row r="14032" customFormat="false" ht="15" hidden="false" customHeight="false" outlineLevel="0" collapsed="false">
      <c r="A14032" s="5" t="n">
        <f aca="false">VDB(100,100,4,1,2,2)</f>
        <v>0</v>
      </c>
      <c r="B14032" s="0" t="s">
        <v>13949</v>
      </c>
    </row>
    <row r="14033" customFormat="false" ht="15" hidden="false" customHeight="false" outlineLevel="0" collapsed="false">
      <c r="A14033" s="5" t="n">
        <f aca="false">VDB(100,100,4,1,2,3)</f>
        <v>0</v>
      </c>
      <c r="B14033" s="0" t="s">
        <v>13950</v>
      </c>
    </row>
    <row r="14034" customFormat="false" ht="15" hidden="false" customHeight="false" outlineLevel="0" collapsed="false">
      <c r="A14034" s="5" t="e">
        <f aca="false">VDB(100,100,4,1,2,0)</f>
        <v>#VALUE!</v>
      </c>
      <c r="B14034" s="0" t="s">
        <v>13951</v>
      </c>
    </row>
    <row r="14035" customFormat="false" ht="15" hidden="false" customHeight="false" outlineLevel="0" collapsed="false">
      <c r="A14035" s="5" t="e">
        <f aca="false">VDB(100,100,4,1,2,-1)</f>
        <v>#VALUE!</v>
      </c>
      <c r="B14035" s="0" t="s">
        <v>13952</v>
      </c>
    </row>
    <row r="14036" customFormat="false" ht="15" hidden="false" customHeight="false" outlineLevel="0" collapsed="false">
      <c r="A14036" s="5" t="n">
        <f aca="false">VDB(100,100,4,1,2,2,TRUE())</f>
        <v>0</v>
      </c>
      <c r="B14036" s="0" t="s">
        <v>13953</v>
      </c>
    </row>
    <row r="14037" customFormat="false" ht="15" hidden="false" customHeight="false" outlineLevel="0" collapsed="false">
      <c r="A14037" s="5" t="n">
        <f aca="false">VDB(100,100,4,1,2,1.5,TRUE())</f>
        <v>0</v>
      </c>
      <c r="B14037" s="0" t="s">
        <v>13954</v>
      </c>
    </row>
    <row r="14038" customFormat="false" ht="15" hidden="false" customHeight="false" outlineLevel="0" collapsed="false">
      <c r="A14038" s="5" t="n">
        <f aca="false">VDB(100,100,4,1,2,2,FALSE())</f>
        <v>0</v>
      </c>
      <c r="B14038" s="0" t="s">
        <v>13955</v>
      </c>
    </row>
    <row r="14039" customFormat="false" ht="15" hidden="false" customHeight="false" outlineLevel="0" collapsed="false">
      <c r="A14039" s="5" t="e">
        <f aca="false">VDB(100,100,4,1,2,,TRUE())</f>
        <v>#VALUE!</v>
      </c>
      <c r="B14039" s="0" t="s">
        <v>13956</v>
      </c>
    </row>
    <row r="14040" customFormat="false" ht="15" hidden="false" customHeight="false" outlineLevel="0" collapsed="false">
      <c r="A14040" s="5" t="e">
        <f aca="false">VDB(100,100,4,0,5)</f>
        <v>#VALUE!</v>
      </c>
      <c r="B14040" s="0" t="s">
        <v>13957</v>
      </c>
    </row>
    <row r="14041" customFormat="false" ht="15" hidden="false" customHeight="false" outlineLevel="0" collapsed="false">
      <c r="A14041" s="5" t="e">
        <f aca="false">VDB(100,100,4,0,5,1.5)</f>
        <v>#VALUE!</v>
      </c>
      <c r="B14041" s="0" t="s">
        <v>13958</v>
      </c>
    </row>
    <row r="14042" customFormat="false" ht="15" hidden="false" customHeight="false" outlineLevel="0" collapsed="false">
      <c r="A14042" s="5" t="e">
        <f aca="false">VDB(100,100,4,0,5,2)</f>
        <v>#VALUE!</v>
      </c>
      <c r="B14042" s="0" t="s">
        <v>13959</v>
      </c>
    </row>
    <row r="14043" customFormat="false" ht="15" hidden="false" customHeight="false" outlineLevel="0" collapsed="false">
      <c r="A14043" s="5" t="e">
        <f aca="false">VDB(100,100,4,0,5,3)</f>
        <v>#VALUE!</v>
      </c>
      <c r="B14043" s="0" t="s">
        <v>13960</v>
      </c>
    </row>
    <row r="14044" customFormat="false" ht="15" hidden="false" customHeight="false" outlineLevel="0" collapsed="false">
      <c r="A14044" s="5" t="e">
        <f aca="false">VDB(100,100,4,0,5,0)</f>
        <v>#VALUE!</v>
      </c>
      <c r="B14044" s="0" t="s">
        <v>13961</v>
      </c>
    </row>
    <row r="14045" customFormat="false" ht="15" hidden="false" customHeight="false" outlineLevel="0" collapsed="false">
      <c r="A14045" s="5" t="e">
        <f aca="false">VDB(100,100,4,0,5,-1)</f>
        <v>#VALUE!</v>
      </c>
      <c r="B14045" s="0" t="s">
        <v>13962</v>
      </c>
    </row>
    <row r="14046" customFormat="false" ht="15" hidden="false" customHeight="false" outlineLevel="0" collapsed="false">
      <c r="A14046" s="5" t="e">
        <f aca="false">VDB(100,100,4,0,5,2,TRUE())</f>
        <v>#VALUE!</v>
      </c>
      <c r="B14046" s="0" t="s">
        <v>13963</v>
      </c>
    </row>
    <row r="14047" customFormat="false" ht="15" hidden="false" customHeight="false" outlineLevel="0" collapsed="false">
      <c r="A14047" s="5" t="e">
        <f aca="false">VDB(100,100,4,0,5,1.5,TRUE())</f>
        <v>#VALUE!</v>
      </c>
      <c r="B14047" s="0" t="s">
        <v>13964</v>
      </c>
    </row>
    <row r="14048" customFormat="false" ht="15" hidden="false" customHeight="false" outlineLevel="0" collapsed="false">
      <c r="A14048" s="5" t="e">
        <f aca="false">VDB(100,100,4,0,5,2,FALSE())</f>
        <v>#VALUE!</v>
      </c>
      <c r="B14048" s="0" t="s">
        <v>13965</v>
      </c>
    </row>
    <row r="14049" customFormat="false" ht="15" hidden="false" customHeight="false" outlineLevel="0" collapsed="false">
      <c r="A14049" s="5" t="e">
        <f aca="false">VDB(100,100,4,0,5,,TRUE())</f>
        <v>#VALUE!</v>
      </c>
      <c r="B14049" s="0" t="s">
        <v>13966</v>
      </c>
    </row>
    <row r="14050" customFormat="false" ht="15" hidden="false" customHeight="false" outlineLevel="0" collapsed="false">
      <c r="A14050" s="5" t="n">
        <f aca="false">VDB(100,100,4,0.5,1.5)</f>
        <v>0</v>
      </c>
      <c r="B14050" s="0" t="s">
        <v>13967</v>
      </c>
    </row>
    <row r="14051" customFormat="false" ht="15" hidden="false" customHeight="false" outlineLevel="0" collapsed="false">
      <c r="A14051" s="5" t="n">
        <f aca="false">VDB(100,100,4,0.5,1.5,1.5)</f>
        <v>0</v>
      </c>
      <c r="B14051" s="0" t="s">
        <v>13968</v>
      </c>
    </row>
    <row r="14052" customFormat="false" ht="15" hidden="false" customHeight="false" outlineLevel="0" collapsed="false">
      <c r="A14052" s="5" t="n">
        <f aca="false">VDB(100,100,4,0.5,1.5,2)</f>
        <v>0</v>
      </c>
      <c r="B14052" s="0" t="s">
        <v>13969</v>
      </c>
    </row>
    <row r="14053" customFormat="false" ht="15" hidden="false" customHeight="false" outlineLevel="0" collapsed="false">
      <c r="A14053" s="5" t="n">
        <f aca="false">VDB(100,100,4,0.5,1.5,3)</f>
        <v>0</v>
      </c>
      <c r="B14053" s="0" t="s">
        <v>13970</v>
      </c>
    </row>
    <row r="14054" customFormat="false" ht="15" hidden="false" customHeight="false" outlineLevel="0" collapsed="false">
      <c r="A14054" s="5" t="e">
        <f aca="false">VDB(100,100,4,0.5,1.5,0)</f>
        <v>#VALUE!</v>
      </c>
      <c r="B14054" s="0" t="s">
        <v>13971</v>
      </c>
    </row>
    <row r="14055" customFormat="false" ht="15" hidden="false" customHeight="false" outlineLevel="0" collapsed="false">
      <c r="A14055" s="5" t="e">
        <f aca="false">VDB(100,100,4,0.5,1.5,-1)</f>
        <v>#VALUE!</v>
      </c>
      <c r="B14055" s="0" t="s">
        <v>13972</v>
      </c>
    </row>
    <row r="14056" customFormat="false" ht="15" hidden="false" customHeight="false" outlineLevel="0" collapsed="false">
      <c r="A14056" s="5" t="n">
        <f aca="false">VDB(100,100,4,0.5,1.5,2,TRUE())</f>
        <v>0</v>
      </c>
      <c r="B14056" s="0" t="s">
        <v>13973</v>
      </c>
    </row>
    <row r="14057" customFormat="false" ht="15" hidden="false" customHeight="false" outlineLevel="0" collapsed="false">
      <c r="A14057" s="5" t="n">
        <f aca="false">VDB(100,100,4,0.5,1.5,1.5,TRUE())</f>
        <v>0</v>
      </c>
      <c r="B14057" s="0" t="s">
        <v>13974</v>
      </c>
    </row>
    <row r="14058" customFormat="false" ht="15" hidden="false" customHeight="false" outlineLevel="0" collapsed="false">
      <c r="A14058" s="5" t="n">
        <f aca="false">VDB(100,100,4,0.5,1.5,2,FALSE())</f>
        <v>0</v>
      </c>
      <c r="B14058" s="0" t="s">
        <v>13975</v>
      </c>
    </row>
    <row r="14059" customFormat="false" ht="15" hidden="false" customHeight="false" outlineLevel="0" collapsed="false">
      <c r="A14059" s="5" t="e">
        <f aca="false">VDB(100,100,4,0.5,1.5,,TRUE())</f>
        <v>#VALUE!</v>
      </c>
      <c r="B14059" s="0" t="s">
        <v>13976</v>
      </c>
    </row>
    <row r="14060" customFormat="false" ht="15" hidden="false" customHeight="false" outlineLevel="0" collapsed="false">
      <c r="A14060" s="5" t="n">
        <f aca="false">VDB(100,100,4,2,3)</f>
        <v>0</v>
      </c>
      <c r="B14060" s="0" t="s">
        <v>13977</v>
      </c>
    </row>
    <row r="14061" customFormat="false" ht="15" hidden="false" customHeight="false" outlineLevel="0" collapsed="false">
      <c r="A14061" s="5" t="n">
        <f aca="false">VDB(100,100,4,2,3,1.5)</f>
        <v>0</v>
      </c>
      <c r="B14061" s="0" t="s">
        <v>13978</v>
      </c>
    </row>
    <row r="14062" customFormat="false" ht="15" hidden="false" customHeight="false" outlineLevel="0" collapsed="false">
      <c r="A14062" s="5" t="n">
        <f aca="false">VDB(100,100,4,2,3,2)</f>
        <v>0</v>
      </c>
      <c r="B14062" s="0" t="s">
        <v>13979</v>
      </c>
    </row>
    <row r="14063" customFormat="false" ht="15" hidden="false" customHeight="false" outlineLevel="0" collapsed="false">
      <c r="A14063" s="5" t="n">
        <f aca="false">VDB(100,100,4,2,3,3)</f>
        <v>0</v>
      </c>
      <c r="B14063" s="0" t="s">
        <v>13980</v>
      </c>
    </row>
    <row r="14064" customFormat="false" ht="15" hidden="false" customHeight="false" outlineLevel="0" collapsed="false">
      <c r="A14064" s="5" t="e">
        <f aca="false">VDB(100,100,4,2,3,0)</f>
        <v>#VALUE!</v>
      </c>
      <c r="B14064" s="0" t="s">
        <v>13981</v>
      </c>
    </row>
    <row r="14065" customFormat="false" ht="15" hidden="false" customHeight="false" outlineLevel="0" collapsed="false">
      <c r="A14065" s="5" t="e">
        <f aca="false">VDB(100,100,4,2,3,-1)</f>
        <v>#VALUE!</v>
      </c>
      <c r="B14065" s="0" t="s">
        <v>13982</v>
      </c>
    </row>
    <row r="14066" customFormat="false" ht="15" hidden="false" customHeight="false" outlineLevel="0" collapsed="false">
      <c r="A14066" s="5" t="n">
        <f aca="false">VDB(100,100,4,2,3,2,TRUE())</f>
        <v>0</v>
      </c>
      <c r="B14066" s="0" t="s">
        <v>13983</v>
      </c>
    </row>
    <row r="14067" customFormat="false" ht="15" hidden="false" customHeight="false" outlineLevel="0" collapsed="false">
      <c r="A14067" s="5" t="n">
        <f aca="false">VDB(100,100,4,2,3,1.5,TRUE())</f>
        <v>0</v>
      </c>
      <c r="B14067" s="0" t="s">
        <v>13984</v>
      </c>
    </row>
    <row r="14068" customFormat="false" ht="15" hidden="false" customHeight="false" outlineLevel="0" collapsed="false">
      <c r="A14068" s="5" t="n">
        <f aca="false">VDB(100,100,4,2,3,2,FALSE())</f>
        <v>0</v>
      </c>
      <c r="B14068" s="0" t="s">
        <v>13985</v>
      </c>
    </row>
    <row r="14069" customFormat="false" ht="15" hidden="false" customHeight="false" outlineLevel="0" collapsed="false">
      <c r="A14069" s="5" t="e">
        <f aca="false">VDB(100,100,4,2,3,,TRUE())</f>
        <v>#VALUE!</v>
      </c>
      <c r="B14069" s="0" t="s">
        <v>13986</v>
      </c>
    </row>
    <row r="14070" customFormat="false" ht="15" hidden="false" customHeight="false" outlineLevel="0" collapsed="false">
      <c r="A14070" s="5" t="n">
        <f aca="false">VDB(100,100,4,0,4)</f>
        <v>0</v>
      </c>
      <c r="B14070" s="0" t="s">
        <v>13987</v>
      </c>
    </row>
    <row r="14071" customFormat="false" ht="15" hidden="false" customHeight="false" outlineLevel="0" collapsed="false">
      <c r="A14071" s="5" t="n">
        <f aca="false">VDB(100,100,4,0,4,1.5)</f>
        <v>0</v>
      </c>
      <c r="B14071" s="0" t="s">
        <v>13988</v>
      </c>
    </row>
    <row r="14072" customFormat="false" ht="15" hidden="false" customHeight="false" outlineLevel="0" collapsed="false">
      <c r="A14072" s="5" t="n">
        <f aca="false">VDB(100,100,4,0,4,2)</f>
        <v>0</v>
      </c>
      <c r="B14072" s="0" t="s">
        <v>13989</v>
      </c>
    </row>
    <row r="14073" customFormat="false" ht="15" hidden="false" customHeight="false" outlineLevel="0" collapsed="false">
      <c r="A14073" s="5" t="n">
        <f aca="false">VDB(100,100,4,0,4,3)</f>
        <v>0</v>
      </c>
      <c r="B14073" s="0" t="s">
        <v>13990</v>
      </c>
    </row>
    <row r="14074" customFormat="false" ht="15" hidden="false" customHeight="false" outlineLevel="0" collapsed="false">
      <c r="A14074" s="5" t="e">
        <f aca="false">VDB(100,100,4,0,4,0)</f>
        <v>#VALUE!</v>
      </c>
      <c r="B14074" s="0" t="s">
        <v>13991</v>
      </c>
    </row>
    <row r="14075" customFormat="false" ht="15" hidden="false" customHeight="false" outlineLevel="0" collapsed="false">
      <c r="A14075" s="5" t="e">
        <f aca="false">VDB(100,100,4,0,4,-1)</f>
        <v>#VALUE!</v>
      </c>
      <c r="B14075" s="0" t="s">
        <v>13992</v>
      </c>
    </row>
    <row r="14076" customFormat="false" ht="15" hidden="false" customHeight="false" outlineLevel="0" collapsed="false">
      <c r="A14076" s="5" t="n">
        <f aca="false">VDB(100,100,4,0,4,2,TRUE())</f>
        <v>0</v>
      </c>
      <c r="B14076" s="0" t="s">
        <v>13993</v>
      </c>
    </row>
    <row r="14077" customFormat="false" ht="15" hidden="false" customHeight="false" outlineLevel="0" collapsed="false">
      <c r="A14077" s="5" t="n">
        <f aca="false">VDB(100,100,4,0,4,1.5,TRUE())</f>
        <v>0</v>
      </c>
      <c r="B14077" s="0" t="s">
        <v>13994</v>
      </c>
    </row>
    <row r="14078" customFormat="false" ht="15" hidden="false" customHeight="false" outlineLevel="0" collapsed="false">
      <c r="A14078" s="5" t="n">
        <f aca="false">VDB(100,100,4,0,4,2,FALSE())</f>
        <v>0</v>
      </c>
      <c r="B14078" s="0" t="s">
        <v>13995</v>
      </c>
    </row>
    <row r="14079" customFormat="false" ht="15" hidden="false" customHeight="false" outlineLevel="0" collapsed="false">
      <c r="A14079" s="5" t="e">
        <f aca="false">VDB(100,100,4,0,4,,TRUE())</f>
        <v>#VALUE!</v>
      </c>
      <c r="B14079" s="0" t="s">
        <v>13996</v>
      </c>
    </row>
    <row r="14080" customFormat="false" ht="15" hidden="false" customHeight="false" outlineLevel="0" collapsed="false">
      <c r="A14080" s="5" t="n">
        <f aca="false">VDB(100,100,4,3,4)</f>
        <v>0</v>
      </c>
      <c r="B14080" s="0" t="s">
        <v>13997</v>
      </c>
    </row>
    <row r="14081" customFormat="false" ht="15" hidden="false" customHeight="false" outlineLevel="0" collapsed="false">
      <c r="A14081" s="5" t="n">
        <f aca="false">VDB(100,100,4,3,4,1.5)</f>
        <v>0</v>
      </c>
      <c r="B14081" s="0" t="s">
        <v>13998</v>
      </c>
    </row>
    <row r="14082" customFormat="false" ht="15" hidden="false" customHeight="false" outlineLevel="0" collapsed="false">
      <c r="A14082" s="5" t="n">
        <f aca="false">VDB(100,100,4,3,4,2)</f>
        <v>0</v>
      </c>
      <c r="B14082" s="0" t="s">
        <v>13999</v>
      </c>
    </row>
    <row r="14083" customFormat="false" ht="15" hidden="false" customHeight="false" outlineLevel="0" collapsed="false">
      <c r="A14083" s="5" t="n">
        <f aca="false">VDB(100,100,4,3,4,3)</f>
        <v>0</v>
      </c>
      <c r="B14083" s="0" t="s">
        <v>14000</v>
      </c>
    </row>
    <row r="14084" customFormat="false" ht="15" hidden="false" customHeight="false" outlineLevel="0" collapsed="false">
      <c r="A14084" s="5" t="e">
        <f aca="false">VDB(100,100,4,3,4,0)</f>
        <v>#VALUE!</v>
      </c>
      <c r="B14084" s="0" t="s">
        <v>14001</v>
      </c>
    </row>
    <row r="14085" customFormat="false" ht="15" hidden="false" customHeight="false" outlineLevel="0" collapsed="false">
      <c r="A14085" s="5" t="e">
        <f aca="false">VDB(100,100,4,3,4,-1)</f>
        <v>#VALUE!</v>
      </c>
      <c r="B14085" s="0" t="s">
        <v>14002</v>
      </c>
    </row>
    <row r="14086" customFormat="false" ht="15" hidden="false" customHeight="false" outlineLevel="0" collapsed="false">
      <c r="A14086" s="5" t="n">
        <f aca="false">VDB(100,100,4,3,4,2,TRUE())</f>
        <v>0</v>
      </c>
      <c r="B14086" s="0" t="s">
        <v>14003</v>
      </c>
    </row>
    <row r="14087" customFormat="false" ht="15" hidden="false" customHeight="false" outlineLevel="0" collapsed="false">
      <c r="A14087" s="5" t="n">
        <f aca="false">VDB(100,100,4,3,4,1.5,TRUE())</f>
        <v>0</v>
      </c>
      <c r="B14087" s="0" t="s">
        <v>14004</v>
      </c>
    </row>
    <row r="14088" customFormat="false" ht="15" hidden="false" customHeight="false" outlineLevel="0" collapsed="false">
      <c r="A14088" s="5" t="n">
        <f aca="false">VDB(100,100,4,3,4,2,FALSE())</f>
        <v>0</v>
      </c>
      <c r="B14088" s="0" t="s">
        <v>14005</v>
      </c>
    </row>
    <row r="14089" customFormat="false" ht="15" hidden="false" customHeight="false" outlineLevel="0" collapsed="false">
      <c r="A14089" s="5" t="e">
        <f aca="false">VDB(100,100,4,3,4,,TRUE())</f>
        <v>#VALUE!</v>
      </c>
      <c r="B14089" s="0" t="s">
        <v>14006</v>
      </c>
    </row>
    <row r="14090" customFormat="false" ht="15" hidden="false" customHeight="false" outlineLevel="0" collapsed="false">
      <c r="A14090" s="5" t="e">
        <f aca="false">VDB(100,100,4,3.5,4.2)</f>
        <v>#VALUE!</v>
      </c>
      <c r="B14090" s="0" t="s">
        <v>14007</v>
      </c>
    </row>
    <row r="14091" customFormat="false" ht="15" hidden="false" customHeight="false" outlineLevel="0" collapsed="false">
      <c r="A14091" s="5" t="e">
        <f aca="false">VDB(100,100,4,3.5,4.2,1.5)</f>
        <v>#VALUE!</v>
      </c>
      <c r="B14091" s="0" t="s">
        <v>14008</v>
      </c>
    </row>
    <row r="14092" customFormat="false" ht="15" hidden="false" customHeight="false" outlineLevel="0" collapsed="false">
      <c r="A14092" s="5" t="e">
        <f aca="false">VDB(100,100,4,3.5,4.2,2)</f>
        <v>#VALUE!</v>
      </c>
      <c r="B14092" s="0" t="s">
        <v>14009</v>
      </c>
    </row>
    <row r="14093" customFormat="false" ht="15" hidden="false" customHeight="false" outlineLevel="0" collapsed="false">
      <c r="A14093" s="5" t="e">
        <f aca="false">VDB(100,100,4,3.5,4.2,3)</f>
        <v>#VALUE!</v>
      </c>
      <c r="B14093" s="0" t="s">
        <v>14010</v>
      </c>
    </row>
    <row r="14094" customFormat="false" ht="15" hidden="false" customHeight="false" outlineLevel="0" collapsed="false">
      <c r="A14094" s="5" t="e">
        <f aca="false">VDB(100,100,4,3.5,4.2,0)</f>
        <v>#VALUE!</v>
      </c>
      <c r="B14094" s="0" t="s">
        <v>14011</v>
      </c>
    </row>
    <row r="14095" customFormat="false" ht="15" hidden="false" customHeight="false" outlineLevel="0" collapsed="false">
      <c r="A14095" s="5" t="e">
        <f aca="false">VDB(100,100,4,3.5,4.2,-1)</f>
        <v>#VALUE!</v>
      </c>
      <c r="B14095" s="0" t="s">
        <v>14012</v>
      </c>
    </row>
    <row r="14096" customFormat="false" ht="15" hidden="false" customHeight="false" outlineLevel="0" collapsed="false">
      <c r="A14096" s="5" t="e">
        <f aca="false">VDB(100,100,4,3.5,4.2,2,TRUE())</f>
        <v>#VALUE!</v>
      </c>
      <c r="B14096" s="0" t="s">
        <v>14013</v>
      </c>
    </row>
    <row r="14097" customFormat="false" ht="15" hidden="false" customHeight="false" outlineLevel="0" collapsed="false">
      <c r="A14097" s="5" t="e">
        <f aca="false">VDB(100,100,4,3.5,4.2,1.5,TRUE())</f>
        <v>#VALUE!</v>
      </c>
      <c r="B14097" s="0" t="s">
        <v>14014</v>
      </c>
    </row>
    <row r="14098" customFormat="false" ht="15" hidden="false" customHeight="false" outlineLevel="0" collapsed="false">
      <c r="A14098" s="5" t="e">
        <f aca="false">VDB(100,100,4,3.5,4.2,2,FALSE())</f>
        <v>#VALUE!</v>
      </c>
      <c r="B14098" s="0" t="s">
        <v>14015</v>
      </c>
    </row>
    <row r="14099" customFormat="false" ht="15" hidden="false" customHeight="false" outlineLevel="0" collapsed="false">
      <c r="A14099" s="5" t="e">
        <f aca="false">VDB(100,100,4,3.5,4.2,,TRUE())</f>
        <v>#VALUE!</v>
      </c>
      <c r="B14099" s="0" t="s">
        <v>14016</v>
      </c>
    </row>
    <row r="14100" customFormat="false" ht="15" hidden="false" customHeight="false" outlineLevel="0" collapsed="false">
      <c r="A14100" s="5" t="n">
        <f aca="false">VDB(100,100,4,0,0)</f>
        <v>0</v>
      </c>
      <c r="B14100" s="0" t="s">
        <v>14017</v>
      </c>
    </row>
    <row r="14101" customFormat="false" ht="15" hidden="false" customHeight="false" outlineLevel="0" collapsed="false">
      <c r="A14101" s="5" t="n">
        <f aca="false">VDB(100,100,4,0,0,1.5)</f>
        <v>0</v>
      </c>
      <c r="B14101" s="0" t="s">
        <v>14018</v>
      </c>
    </row>
    <row r="14102" customFormat="false" ht="15" hidden="false" customHeight="false" outlineLevel="0" collapsed="false">
      <c r="A14102" s="5" t="n">
        <f aca="false">VDB(100,100,4,0,0,2)</f>
        <v>0</v>
      </c>
      <c r="B14102" s="0" t="s">
        <v>14019</v>
      </c>
    </row>
    <row r="14103" customFormat="false" ht="15" hidden="false" customHeight="false" outlineLevel="0" collapsed="false">
      <c r="A14103" s="5" t="n">
        <f aca="false">VDB(100,100,4,0,0,3)</f>
        <v>0</v>
      </c>
      <c r="B14103" s="0" t="s">
        <v>14020</v>
      </c>
    </row>
    <row r="14104" customFormat="false" ht="15" hidden="false" customHeight="false" outlineLevel="0" collapsed="false">
      <c r="A14104" s="5" t="e">
        <f aca="false">VDB(100,100,4,0,0,0)</f>
        <v>#VALUE!</v>
      </c>
      <c r="B14104" s="0" t="s">
        <v>14021</v>
      </c>
    </row>
    <row r="14105" customFormat="false" ht="15" hidden="false" customHeight="false" outlineLevel="0" collapsed="false">
      <c r="A14105" s="5" t="e">
        <f aca="false">VDB(100,100,4,0,0,-1)</f>
        <v>#VALUE!</v>
      </c>
      <c r="B14105" s="0" t="s">
        <v>14022</v>
      </c>
    </row>
    <row r="14106" customFormat="false" ht="15" hidden="false" customHeight="false" outlineLevel="0" collapsed="false">
      <c r="A14106" s="5" t="n">
        <f aca="false">VDB(100,100,4,0,0,2,TRUE())</f>
        <v>0</v>
      </c>
      <c r="B14106" s="0" t="s">
        <v>14023</v>
      </c>
    </row>
    <row r="14107" customFormat="false" ht="15" hidden="false" customHeight="false" outlineLevel="0" collapsed="false">
      <c r="A14107" s="5" t="n">
        <f aca="false">VDB(100,100,4,0,0,1.5,TRUE())</f>
        <v>0</v>
      </c>
      <c r="B14107" s="0" t="s">
        <v>14024</v>
      </c>
    </row>
    <row r="14108" customFormat="false" ht="15" hidden="false" customHeight="false" outlineLevel="0" collapsed="false">
      <c r="A14108" s="5" t="n">
        <f aca="false">VDB(100,100,4,0,0,2,FALSE())</f>
        <v>0</v>
      </c>
      <c r="B14108" s="0" t="s">
        <v>14025</v>
      </c>
    </row>
    <row r="14109" customFormat="false" ht="15" hidden="false" customHeight="false" outlineLevel="0" collapsed="false">
      <c r="A14109" s="5" t="e">
        <f aca="false">VDB(100,100,4,0,0,,TRUE())</f>
        <v>#VALUE!</v>
      </c>
      <c r="B14109" s="0" t="s">
        <v>14026</v>
      </c>
    </row>
    <row r="14110" customFormat="false" ht="15" hidden="false" customHeight="false" outlineLevel="0" collapsed="false">
      <c r="A14110" s="5" t="n">
        <f aca="false">VDB(100,100,4,1,1)</f>
        <v>0</v>
      </c>
      <c r="B14110" s="0" t="s">
        <v>14027</v>
      </c>
    </row>
    <row r="14111" customFormat="false" ht="15" hidden="false" customHeight="false" outlineLevel="0" collapsed="false">
      <c r="A14111" s="5" t="n">
        <f aca="false">VDB(100,100,4,1,1,1.5)</f>
        <v>0</v>
      </c>
      <c r="B14111" s="0" t="s">
        <v>14028</v>
      </c>
    </row>
    <row r="14112" customFormat="false" ht="15" hidden="false" customHeight="false" outlineLevel="0" collapsed="false">
      <c r="A14112" s="5" t="n">
        <f aca="false">VDB(100,100,4,1,1,2)</f>
        <v>0</v>
      </c>
      <c r="B14112" s="0" t="s">
        <v>14029</v>
      </c>
    </row>
    <row r="14113" customFormat="false" ht="15" hidden="false" customHeight="false" outlineLevel="0" collapsed="false">
      <c r="A14113" s="5" t="n">
        <f aca="false">VDB(100,100,4,1,1,3)</f>
        <v>0</v>
      </c>
      <c r="B14113" s="0" t="s">
        <v>14030</v>
      </c>
    </row>
    <row r="14114" customFormat="false" ht="15" hidden="false" customHeight="false" outlineLevel="0" collapsed="false">
      <c r="A14114" s="5" t="e">
        <f aca="false">VDB(100,100,4,1,1,0)</f>
        <v>#VALUE!</v>
      </c>
      <c r="B14114" s="0" t="s">
        <v>14031</v>
      </c>
    </row>
    <row r="14115" customFormat="false" ht="15" hidden="false" customHeight="false" outlineLevel="0" collapsed="false">
      <c r="A14115" s="5" t="e">
        <f aca="false">VDB(100,100,4,1,1,-1)</f>
        <v>#VALUE!</v>
      </c>
      <c r="B14115" s="0" t="s">
        <v>14032</v>
      </c>
    </row>
    <row r="14116" customFormat="false" ht="15" hidden="false" customHeight="false" outlineLevel="0" collapsed="false">
      <c r="A14116" s="5" t="n">
        <f aca="false">VDB(100,100,4,1,1,2,TRUE())</f>
        <v>0</v>
      </c>
      <c r="B14116" s="0" t="s">
        <v>14033</v>
      </c>
    </row>
    <row r="14117" customFormat="false" ht="15" hidden="false" customHeight="false" outlineLevel="0" collapsed="false">
      <c r="A14117" s="5" t="n">
        <f aca="false">VDB(100,100,4,1,1,1.5,TRUE())</f>
        <v>0</v>
      </c>
      <c r="B14117" s="0" t="s">
        <v>14034</v>
      </c>
    </row>
    <row r="14118" customFormat="false" ht="15" hidden="false" customHeight="false" outlineLevel="0" collapsed="false">
      <c r="A14118" s="5" t="n">
        <f aca="false">VDB(100,100,4,1,1,2,FALSE())</f>
        <v>0</v>
      </c>
      <c r="B14118" s="0" t="s">
        <v>14035</v>
      </c>
    </row>
    <row r="14119" customFormat="false" ht="15" hidden="false" customHeight="false" outlineLevel="0" collapsed="false">
      <c r="A14119" s="5" t="e">
        <f aca="false">VDB(100,100,4,1,1,,TRUE())</f>
        <v>#VALUE!</v>
      </c>
      <c r="B14119" s="0" t="s">
        <v>14036</v>
      </c>
    </row>
    <row r="14120" customFormat="false" ht="15" hidden="false" customHeight="false" outlineLevel="0" collapsed="false">
      <c r="A14120" s="5" t="e">
        <f aca="false">VDB(100,100,4,2,1)</f>
        <v>#VALUE!</v>
      </c>
      <c r="B14120" s="0" t="s">
        <v>14037</v>
      </c>
    </row>
    <row r="14121" customFormat="false" ht="15" hidden="false" customHeight="false" outlineLevel="0" collapsed="false">
      <c r="A14121" s="5" t="e">
        <f aca="false">VDB(100,100,4,2,1,1.5)</f>
        <v>#VALUE!</v>
      </c>
      <c r="B14121" s="0" t="s">
        <v>14038</v>
      </c>
    </row>
    <row r="14122" customFormat="false" ht="15" hidden="false" customHeight="false" outlineLevel="0" collapsed="false">
      <c r="A14122" s="5" t="e">
        <f aca="false">VDB(100,100,4,2,1,2)</f>
        <v>#VALUE!</v>
      </c>
      <c r="B14122" s="0" t="s">
        <v>14039</v>
      </c>
    </row>
    <row r="14123" customFormat="false" ht="15" hidden="false" customHeight="false" outlineLevel="0" collapsed="false">
      <c r="A14123" s="5" t="e">
        <f aca="false">VDB(100,100,4,2,1,3)</f>
        <v>#VALUE!</v>
      </c>
      <c r="B14123" s="0" t="s">
        <v>14040</v>
      </c>
    </row>
    <row r="14124" customFormat="false" ht="15" hidden="false" customHeight="false" outlineLevel="0" collapsed="false">
      <c r="A14124" s="5" t="e">
        <f aca="false">VDB(100,100,4,2,1,0)</f>
        <v>#VALUE!</v>
      </c>
      <c r="B14124" s="0" t="s">
        <v>14041</v>
      </c>
    </row>
    <row r="14125" customFormat="false" ht="15" hidden="false" customHeight="false" outlineLevel="0" collapsed="false">
      <c r="A14125" s="5" t="e">
        <f aca="false">VDB(100,100,4,2,1,-1)</f>
        <v>#VALUE!</v>
      </c>
      <c r="B14125" s="0" t="s">
        <v>14042</v>
      </c>
    </row>
    <row r="14126" customFormat="false" ht="15" hidden="false" customHeight="false" outlineLevel="0" collapsed="false">
      <c r="A14126" s="5" t="e">
        <f aca="false">VDB(100,100,4,2,1,2,TRUE())</f>
        <v>#VALUE!</v>
      </c>
      <c r="B14126" s="0" t="s">
        <v>14043</v>
      </c>
    </row>
    <row r="14127" customFormat="false" ht="15" hidden="false" customHeight="false" outlineLevel="0" collapsed="false">
      <c r="A14127" s="5" t="e">
        <f aca="false">VDB(100,100,4,2,1,1.5,TRUE())</f>
        <v>#VALUE!</v>
      </c>
      <c r="B14127" s="0" t="s">
        <v>14044</v>
      </c>
    </row>
    <row r="14128" customFormat="false" ht="15" hidden="false" customHeight="false" outlineLevel="0" collapsed="false">
      <c r="A14128" s="5" t="e">
        <f aca="false">VDB(100,100,4,2,1,2,FALSE())</f>
        <v>#VALUE!</v>
      </c>
      <c r="B14128" s="0" t="s">
        <v>14045</v>
      </c>
    </row>
    <row r="14129" customFormat="false" ht="15" hidden="false" customHeight="false" outlineLevel="0" collapsed="false">
      <c r="A14129" s="5" t="e">
        <f aca="false">VDB(100,100,4,2,1,,TRUE())</f>
        <v>#VALUE!</v>
      </c>
      <c r="B14129" s="0" t="s">
        <v>14046</v>
      </c>
    </row>
    <row r="14130" customFormat="false" ht="15" hidden="false" customHeight="false" outlineLevel="0" collapsed="false">
      <c r="A14130" s="5" t="e">
        <f aca="false">VDB(100,100,4,0,5)</f>
        <v>#VALUE!</v>
      </c>
      <c r="B14130" s="0" t="s">
        <v>13957</v>
      </c>
    </row>
    <row r="14131" customFormat="false" ht="15" hidden="false" customHeight="false" outlineLevel="0" collapsed="false">
      <c r="A14131" s="5" t="e">
        <f aca="false">VDB(100,100,4,0,5,1.5)</f>
        <v>#VALUE!</v>
      </c>
      <c r="B14131" s="0" t="s">
        <v>13958</v>
      </c>
    </row>
    <row r="14132" customFormat="false" ht="15" hidden="false" customHeight="false" outlineLevel="0" collapsed="false">
      <c r="A14132" s="5" t="e">
        <f aca="false">VDB(100,100,4,0,5,2)</f>
        <v>#VALUE!</v>
      </c>
      <c r="B14132" s="0" t="s">
        <v>13959</v>
      </c>
    </row>
    <row r="14133" customFormat="false" ht="15" hidden="false" customHeight="false" outlineLevel="0" collapsed="false">
      <c r="A14133" s="5" t="e">
        <f aca="false">VDB(100,100,4,0,5,3)</f>
        <v>#VALUE!</v>
      </c>
      <c r="B14133" s="0" t="s">
        <v>13960</v>
      </c>
    </row>
    <row r="14134" customFormat="false" ht="15" hidden="false" customHeight="false" outlineLevel="0" collapsed="false">
      <c r="A14134" s="5" t="e">
        <f aca="false">VDB(100,100,4,0,5,0)</f>
        <v>#VALUE!</v>
      </c>
      <c r="B14134" s="0" t="s">
        <v>13961</v>
      </c>
    </row>
    <row r="14135" customFormat="false" ht="15" hidden="false" customHeight="false" outlineLevel="0" collapsed="false">
      <c r="A14135" s="5" t="e">
        <f aca="false">VDB(100,100,4,0,5,-1)</f>
        <v>#VALUE!</v>
      </c>
      <c r="B14135" s="0" t="s">
        <v>13962</v>
      </c>
    </row>
    <row r="14136" customFormat="false" ht="15" hidden="false" customHeight="false" outlineLevel="0" collapsed="false">
      <c r="A14136" s="5" t="e">
        <f aca="false">VDB(100,100,4,0,5,2,TRUE())</f>
        <v>#VALUE!</v>
      </c>
      <c r="B14136" s="0" t="s">
        <v>13963</v>
      </c>
    </row>
    <row r="14137" customFormat="false" ht="15" hidden="false" customHeight="false" outlineLevel="0" collapsed="false">
      <c r="A14137" s="5" t="e">
        <f aca="false">VDB(100,100,4,0,5,1.5,TRUE())</f>
        <v>#VALUE!</v>
      </c>
      <c r="B14137" s="0" t="s">
        <v>13964</v>
      </c>
    </row>
    <row r="14138" customFormat="false" ht="15" hidden="false" customHeight="false" outlineLevel="0" collapsed="false">
      <c r="A14138" s="5" t="e">
        <f aca="false">VDB(100,100,4,0,5,2,FALSE())</f>
        <v>#VALUE!</v>
      </c>
      <c r="B14138" s="0" t="s">
        <v>13965</v>
      </c>
    </row>
    <row r="14139" customFormat="false" ht="15" hidden="false" customHeight="false" outlineLevel="0" collapsed="false">
      <c r="A14139" s="5" t="e">
        <f aca="false">VDB(100,100,4,0,5,,TRUE())</f>
        <v>#VALUE!</v>
      </c>
      <c r="B14139" s="0" t="s">
        <v>13966</v>
      </c>
    </row>
    <row r="14140" customFormat="false" ht="15" hidden="false" customHeight="false" outlineLevel="0" collapsed="false">
      <c r="A14140" s="5" t="e">
        <f aca="false">VDB(100,100,4,-1,1)</f>
        <v>#VALUE!</v>
      </c>
      <c r="B14140" s="0" t="s">
        <v>14047</v>
      </c>
    </row>
    <row r="14141" customFormat="false" ht="15" hidden="false" customHeight="false" outlineLevel="0" collapsed="false">
      <c r="A14141" s="5" t="e">
        <f aca="false">VDB(100,100,4,-1,1,1.5)</f>
        <v>#VALUE!</v>
      </c>
      <c r="B14141" s="0" t="s">
        <v>14048</v>
      </c>
    </row>
    <row r="14142" customFormat="false" ht="15" hidden="false" customHeight="false" outlineLevel="0" collapsed="false">
      <c r="A14142" s="5" t="e">
        <f aca="false">VDB(100,100,4,-1,1,2)</f>
        <v>#VALUE!</v>
      </c>
      <c r="B14142" s="0" t="s">
        <v>14049</v>
      </c>
    </row>
    <row r="14143" customFormat="false" ht="15" hidden="false" customHeight="false" outlineLevel="0" collapsed="false">
      <c r="A14143" s="5" t="e">
        <f aca="false">VDB(100,100,4,-1,1,3)</f>
        <v>#VALUE!</v>
      </c>
      <c r="B14143" s="0" t="s">
        <v>14050</v>
      </c>
    </row>
    <row r="14144" customFormat="false" ht="15" hidden="false" customHeight="false" outlineLevel="0" collapsed="false">
      <c r="A14144" s="5" t="e">
        <f aca="false">VDB(100,100,4,-1,1,0)</f>
        <v>#VALUE!</v>
      </c>
      <c r="B14144" s="0" t="s">
        <v>14051</v>
      </c>
    </row>
    <row r="14145" customFormat="false" ht="15" hidden="false" customHeight="false" outlineLevel="0" collapsed="false">
      <c r="A14145" s="5" t="e">
        <f aca="false">VDB(100,100,4,-1,1,-1)</f>
        <v>#VALUE!</v>
      </c>
      <c r="B14145" s="0" t="s">
        <v>14052</v>
      </c>
    </row>
    <row r="14146" customFormat="false" ht="15" hidden="false" customHeight="false" outlineLevel="0" collapsed="false">
      <c r="A14146" s="5" t="e">
        <f aca="false">VDB(100,100,4,-1,1,2,TRUE())</f>
        <v>#VALUE!</v>
      </c>
      <c r="B14146" s="0" t="s">
        <v>14053</v>
      </c>
    </row>
    <row r="14147" customFormat="false" ht="15" hidden="false" customHeight="false" outlineLevel="0" collapsed="false">
      <c r="A14147" s="5" t="e">
        <f aca="false">VDB(100,100,4,-1,1,1.5,TRUE())</f>
        <v>#VALUE!</v>
      </c>
      <c r="B14147" s="0" t="s">
        <v>14054</v>
      </c>
    </row>
    <row r="14148" customFormat="false" ht="15" hidden="false" customHeight="false" outlineLevel="0" collapsed="false">
      <c r="A14148" s="5" t="e">
        <f aca="false">VDB(100,100,4,-1,1,2,FALSE())</f>
        <v>#VALUE!</v>
      </c>
      <c r="B14148" s="0" t="s">
        <v>14055</v>
      </c>
    </row>
    <row r="14149" customFormat="false" ht="15" hidden="false" customHeight="false" outlineLevel="0" collapsed="false">
      <c r="A14149" s="5" t="e">
        <f aca="false">VDB(100,100,4,-1,1,,TRUE())</f>
        <v>#VALUE!</v>
      </c>
      <c r="B14149" s="0" t="s">
        <v>14056</v>
      </c>
    </row>
    <row r="14150" customFormat="false" ht="15" hidden="false" customHeight="false" outlineLevel="0" collapsed="false">
      <c r="A14150" s="5" t="n">
        <f aca="false">VDB(100,100,4,0.25,0.75)</f>
        <v>0</v>
      </c>
      <c r="B14150" s="0" t="s">
        <v>14057</v>
      </c>
    </row>
    <row r="14151" customFormat="false" ht="15" hidden="false" customHeight="false" outlineLevel="0" collapsed="false">
      <c r="A14151" s="5" t="n">
        <f aca="false">VDB(100,100,4,0.25,0.75,1.5)</f>
        <v>0</v>
      </c>
      <c r="B14151" s="0" t="s">
        <v>14058</v>
      </c>
    </row>
    <row r="14152" customFormat="false" ht="15" hidden="false" customHeight="false" outlineLevel="0" collapsed="false">
      <c r="A14152" s="5" t="n">
        <f aca="false">VDB(100,100,4,0.25,0.75,2)</f>
        <v>0</v>
      </c>
      <c r="B14152" s="0" t="s">
        <v>14059</v>
      </c>
    </row>
    <row r="14153" customFormat="false" ht="15" hidden="false" customHeight="false" outlineLevel="0" collapsed="false">
      <c r="A14153" s="5" t="n">
        <f aca="false">VDB(100,100,4,0.25,0.75,3)</f>
        <v>0</v>
      </c>
      <c r="B14153" s="0" t="s">
        <v>14060</v>
      </c>
    </row>
    <row r="14154" customFormat="false" ht="15" hidden="false" customHeight="false" outlineLevel="0" collapsed="false">
      <c r="A14154" s="5" t="e">
        <f aca="false">VDB(100,100,4,0.25,0.75,0)</f>
        <v>#VALUE!</v>
      </c>
      <c r="B14154" s="0" t="s">
        <v>14061</v>
      </c>
    </row>
    <row r="14155" customFormat="false" ht="15" hidden="false" customHeight="false" outlineLevel="0" collapsed="false">
      <c r="A14155" s="5" t="e">
        <f aca="false">VDB(100,100,4,0.25,0.75,-1)</f>
        <v>#VALUE!</v>
      </c>
      <c r="B14155" s="0" t="s">
        <v>14062</v>
      </c>
    </row>
    <row r="14156" customFormat="false" ht="15" hidden="false" customHeight="false" outlineLevel="0" collapsed="false">
      <c r="A14156" s="5" t="n">
        <f aca="false">VDB(100,100,4,0.25,0.75,2,TRUE())</f>
        <v>0</v>
      </c>
      <c r="B14156" s="0" t="s">
        <v>14063</v>
      </c>
    </row>
    <row r="14157" customFormat="false" ht="15" hidden="false" customHeight="false" outlineLevel="0" collapsed="false">
      <c r="A14157" s="5" t="n">
        <f aca="false">VDB(100,100,4,0.25,0.75,1.5,TRUE())</f>
        <v>0</v>
      </c>
      <c r="B14157" s="0" t="s">
        <v>14064</v>
      </c>
    </row>
    <row r="14158" customFormat="false" ht="15" hidden="false" customHeight="false" outlineLevel="0" collapsed="false">
      <c r="A14158" s="5" t="n">
        <f aca="false">VDB(100,100,4,0.25,0.75,2,FALSE())</f>
        <v>0</v>
      </c>
      <c r="B14158" s="0" t="s">
        <v>14065</v>
      </c>
    </row>
    <row r="14159" customFormat="false" ht="15" hidden="false" customHeight="false" outlineLevel="0" collapsed="false">
      <c r="A14159" s="5" t="e">
        <f aca="false">VDB(100,100,4,0.25,0.75,,TRUE())</f>
        <v>#VALUE!</v>
      </c>
      <c r="B14159" s="0" t="s">
        <v>14066</v>
      </c>
    </row>
    <row r="14160" customFormat="false" ht="15" hidden="false" customHeight="false" outlineLevel="0" collapsed="false">
      <c r="A14160" s="5" t="n">
        <f aca="false">VDB(100,100,4,4,4)</f>
        <v>0</v>
      </c>
      <c r="B14160" s="0" t="s">
        <v>14067</v>
      </c>
    </row>
    <row r="14161" customFormat="false" ht="15" hidden="false" customHeight="false" outlineLevel="0" collapsed="false">
      <c r="A14161" s="5" t="n">
        <f aca="false">VDB(100,100,4,4,4,1.5)</f>
        <v>0</v>
      </c>
      <c r="B14161" s="0" t="s">
        <v>14068</v>
      </c>
    </row>
    <row r="14162" customFormat="false" ht="15" hidden="false" customHeight="false" outlineLevel="0" collapsed="false">
      <c r="A14162" s="5" t="n">
        <f aca="false">VDB(100,100,4,4,4,2)</f>
        <v>0</v>
      </c>
      <c r="B14162" s="0" t="s">
        <v>14069</v>
      </c>
    </row>
    <row r="14163" customFormat="false" ht="15" hidden="false" customHeight="false" outlineLevel="0" collapsed="false">
      <c r="A14163" s="5" t="n">
        <f aca="false">VDB(100,100,4,4,4,3)</f>
        <v>0</v>
      </c>
      <c r="B14163" s="0" t="s">
        <v>14070</v>
      </c>
    </row>
    <row r="14164" customFormat="false" ht="15" hidden="false" customHeight="false" outlineLevel="0" collapsed="false">
      <c r="A14164" s="5" t="e">
        <f aca="false">VDB(100,100,4,4,4,0)</f>
        <v>#VALUE!</v>
      </c>
      <c r="B14164" s="0" t="s">
        <v>14071</v>
      </c>
    </row>
    <row r="14165" customFormat="false" ht="15" hidden="false" customHeight="false" outlineLevel="0" collapsed="false">
      <c r="A14165" s="5" t="e">
        <f aca="false">VDB(100,100,4,4,4,-1)</f>
        <v>#VALUE!</v>
      </c>
      <c r="B14165" s="0" t="s">
        <v>14072</v>
      </c>
    </row>
    <row r="14166" customFormat="false" ht="15" hidden="false" customHeight="false" outlineLevel="0" collapsed="false">
      <c r="A14166" s="5" t="n">
        <f aca="false">VDB(100,100,4,4,4,2,TRUE())</f>
        <v>0</v>
      </c>
      <c r="B14166" s="0" t="s">
        <v>14073</v>
      </c>
    </row>
    <row r="14167" customFormat="false" ht="15" hidden="false" customHeight="false" outlineLevel="0" collapsed="false">
      <c r="A14167" s="5" t="n">
        <f aca="false">VDB(100,100,4,4,4,1.5,TRUE())</f>
        <v>0</v>
      </c>
      <c r="B14167" s="0" t="s">
        <v>14074</v>
      </c>
    </row>
    <row r="14168" customFormat="false" ht="15" hidden="false" customHeight="false" outlineLevel="0" collapsed="false">
      <c r="A14168" s="5" t="n">
        <f aca="false">VDB(100,100,4,4,4,2,FALSE())</f>
        <v>0</v>
      </c>
      <c r="B14168" s="0" t="s">
        <v>14075</v>
      </c>
    </row>
    <row r="14169" customFormat="false" ht="15" hidden="false" customHeight="false" outlineLevel="0" collapsed="false">
      <c r="A14169" s="5" t="e">
        <f aca="false">VDB(100,100,4,4,4,,TRUE())</f>
        <v>#VALUE!</v>
      </c>
      <c r="B14169" s="0" t="s">
        <v>14076</v>
      </c>
    </row>
    <row r="14170" customFormat="false" ht="15" hidden="false" customHeight="false" outlineLevel="0" collapsed="false">
      <c r="A14170" s="5" t="n">
        <f aca="false">VDB(100,100,4,1,4)</f>
        <v>0</v>
      </c>
      <c r="B14170" s="0" t="s">
        <v>14077</v>
      </c>
    </row>
    <row r="14171" customFormat="false" ht="15" hidden="false" customHeight="false" outlineLevel="0" collapsed="false">
      <c r="A14171" s="5" t="n">
        <f aca="false">VDB(100,100,4,1,4,1.5)</f>
        <v>0</v>
      </c>
      <c r="B14171" s="0" t="s">
        <v>14078</v>
      </c>
    </row>
    <row r="14172" customFormat="false" ht="15" hidden="false" customHeight="false" outlineLevel="0" collapsed="false">
      <c r="A14172" s="5" t="n">
        <f aca="false">VDB(100,100,4,1,4,2)</f>
        <v>0</v>
      </c>
      <c r="B14172" s="0" t="s">
        <v>14079</v>
      </c>
    </row>
    <row r="14173" customFormat="false" ht="15" hidden="false" customHeight="false" outlineLevel="0" collapsed="false">
      <c r="A14173" s="5" t="n">
        <f aca="false">VDB(100,100,4,1,4,3)</f>
        <v>0</v>
      </c>
      <c r="B14173" s="0" t="s">
        <v>14080</v>
      </c>
    </row>
    <row r="14174" customFormat="false" ht="15" hidden="false" customHeight="false" outlineLevel="0" collapsed="false">
      <c r="A14174" s="5" t="e">
        <f aca="false">VDB(100,100,4,1,4,0)</f>
        <v>#VALUE!</v>
      </c>
      <c r="B14174" s="0" t="s">
        <v>14081</v>
      </c>
    </row>
    <row r="14175" customFormat="false" ht="15" hidden="false" customHeight="false" outlineLevel="0" collapsed="false">
      <c r="A14175" s="5" t="e">
        <f aca="false">VDB(100,100,4,1,4,-1)</f>
        <v>#VALUE!</v>
      </c>
      <c r="B14175" s="0" t="s">
        <v>14082</v>
      </c>
    </row>
    <row r="14176" customFormat="false" ht="15" hidden="false" customHeight="false" outlineLevel="0" collapsed="false">
      <c r="A14176" s="5" t="n">
        <f aca="false">VDB(100,100,4,1,4,2,TRUE())</f>
        <v>0</v>
      </c>
      <c r="B14176" s="0" t="s">
        <v>14083</v>
      </c>
    </row>
    <row r="14177" customFormat="false" ht="15" hidden="false" customHeight="false" outlineLevel="0" collapsed="false">
      <c r="A14177" s="5" t="n">
        <f aca="false">VDB(100,100,4,1,4,1.5,TRUE())</f>
        <v>0</v>
      </c>
      <c r="B14177" s="0" t="s">
        <v>14084</v>
      </c>
    </row>
    <row r="14178" customFormat="false" ht="15" hidden="false" customHeight="false" outlineLevel="0" collapsed="false">
      <c r="A14178" s="5" t="n">
        <f aca="false">VDB(100,100,4,1,4,2,FALSE())</f>
        <v>0</v>
      </c>
      <c r="B14178" s="0" t="s">
        <v>14085</v>
      </c>
    </row>
    <row r="14179" customFormat="false" ht="15" hidden="false" customHeight="false" outlineLevel="0" collapsed="false">
      <c r="A14179" s="5" t="e">
        <f aca="false">VDB(100,100,4,1,4,,TRUE())</f>
        <v>#VALUE!</v>
      </c>
      <c r="B14179" s="0" t="s">
        <v>14086</v>
      </c>
    </row>
    <row r="14180" customFormat="false" ht="15" hidden="false" customHeight="false" outlineLevel="0" collapsed="false">
      <c r="A14180" s="5" t="e">
        <f aca="false">VDB(100,150,4,0,1)</f>
        <v>#VALUE!</v>
      </c>
      <c r="B14180" s="0" t="s">
        <v>14087</v>
      </c>
    </row>
    <row r="14181" customFormat="false" ht="15" hidden="false" customHeight="false" outlineLevel="0" collapsed="false">
      <c r="A14181" s="5" t="e">
        <f aca="false">VDB(100,150,4,0,1,1.5)</f>
        <v>#VALUE!</v>
      </c>
      <c r="B14181" s="0" t="s">
        <v>14088</v>
      </c>
    </row>
    <row r="14182" customFormat="false" ht="15" hidden="false" customHeight="false" outlineLevel="0" collapsed="false">
      <c r="A14182" s="5" t="e">
        <f aca="false">VDB(100,150,4,0,1,2)</f>
        <v>#VALUE!</v>
      </c>
      <c r="B14182" s="0" t="s">
        <v>14089</v>
      </c>
    </row>
    <row r="14183" customFormat="false" ht="15" hidden="false" customHeight="false" outlineLevel="0" collapsed="false">
      <c r="A14183" s="5" t="e">
        <f aca="false">VDB(100,150,4,0,1,3)</f>
        <v>#VALUE!</v>
      </c>
      <c r="B14183" s="0" t="s">
        <v>14090</v>
      </c>
    </row>
    <row r="14184" customFormat="false" ht="15" hidden="false" customHeight="false" outlineLevel="0" collapsed="false">
      <c r="A14184" s="5" t="e">
        <f aca="false">VDB(100,150,4,0,1,0)</f>
        <v>#VALUE!</v>
      </c>
      <c r="B14184" s="0" t="s">
        <v>14091</v>
      </c>
    </row>
    <row r="14185" customFormat="false" ht="15" hidden="false" customHeight="false" outlineLevel="0" collapsed="false">
      <c r="A14185" s="5" t="e">
        <f aca="false">VDB(100,150,4,0,1,-1)</f>
        <v>#VALUE!</v>
      </c>
      <c r="B14185" s="0" t="s">
        <v>14092</v>
      </c>
    </row>
    <row r="14186" customFormat="false" ht="15" hidden="false" customHeight="false" outlineLevel="0" collapsed="false">
      <c r="A14186" s="5" t="e">
        <f aca="false">VDB(100,150,4,0,1,2,TRUE())</f>
        <v>#VALUE!</v>
      </c>
      <c r="B14186" s="0" t="s">
        <v>14093</v>
      </c>
    </row>
    <row r="14187" customFormat="false" ht="15" hidden="false" customHeight="false" outlineLevel="0" collapsed="false">
      <c r="A14187" s="5" t="e">
        <f aca="false">VDB(100,150,4,0,1,1.5,TRUE())</f>
        <v>#VALUE!</v>
      </c>
      <c r="B14187" s="0" t="s">
        <v>14094</v>
      </c>
    </row>
    <row r="14188" customFormat="false" ht="15" hidden="false" customHeight="false" outlineLevel="0" collapsed="false">
      <c r="A14188" s="5" t="e">
        <f aca="false">VDB(100,150,4,0,1,2,FALSE())</f>
        <v>#VALUE!</v>
      </c>
      <c r="B14188" s="0" t="s">
        <v>14095</v>
      </c>
    </row>
    <row r="14189" customFormat="false" ht="15" hidden="false" customHeight="false" outlineLevel="0" collapsed="false">
      <c r="A14189" s="5" t="e">
        <f aca="false">VDB(100,150,4,0,1,,TRUE())</f>
        <v>#VALUE!</v>
      </c>
      <c r="B14189" s="0" t="s">
        <v>14096</v>
      </c>
    </row>
    <row r="14190" customFormat="false" ht="15" hidden="false" customHeight="false" outlineLevel="0" collapsed="false">
      <c r="A14190" s="5" t="e">
        <f aca="false">VDB(100,150,4,1,2)</f>
        <v>#VALUE!</v>
      </c>
      <c r="B14190" s="0" t="s">
        <v>14097</v>
      </c>
    </row>
    <row r="14191" customFormat="false" ht="15" hidden="false" customHeight="false" outlineLevel="0" collapsed="false">
      <c r="A14191" s="5" t="e">
        <f aca="false">VDB(100,150,4,1,2,1.5)</f>
        <v>#VALUE!</v>
      </c>
      <c r="B14191" s="0" t="s">
        <v>14098</v>
      </c>
    </row>
    <row r="14192" customFormat="false" ht="15" hidden="false" customHeight="false" outlineLevel="0" collapsed="false">
      <c r="A14192" s="5" t="e">
        <f aca="false">VDB(100,150,4,1,2,2)</f>
        <v>#VALUE!</v>
      </c>
      <c r="B14192" s="0" t="s">
        <v>14099</v>
      </c>
    </row>
    <row r="14193" customFormat="false" ht="15" hidden="false" customHeight="false" outlineLevel="0" collapsed="false">
      <c r="A14193" s="5" t="e">
        <f aca="false">VDB(100,150,4,1,2,3)</f>
        <v>#VALUE!</v>
      </c>
      <c r="B14193" s="0" t="s">
        <v>14100</v>
      </c>
    </row>
    <row r="14194" customFormat="false" ht="15" hidden="false" customHeight="false" outlineLevel="0" collapsed="false">
      <c r="A14194" s="5" t="e">
        <f aca="false">VDB(100,150,4,1,2,0)</f>
        <v>#VALUE!</v>
      </c>
      <c r="B14194" s="0" t="s">
        <v>14101</v>
      </c>
    </row>
    <row r="14195" customFormat="false" ht="15" hidden="false" customHeight="false" outlineLevel="0" collapsed="false">
      <c r="A14195" s="5" t="e">
        <f aca="false">VDB(100,150,4,1,2,-1)</f>
        <v>#VALUE!</v>
      </c>
      <c r="B14195" s="0" t="s">
        <v>14102</v>
      </c>
    </row>
    <row r="14196" customFormat="false" ht="15" hidden="false" customHeight="false" outlineLevel="0" collapsed="false">
      <c r="A14196" s="5" t="e">
        <f aca="false">VDB(100,150,4,1,2,2,TRUE())</f>
        <v>#VALUE!</v>
      </c>
      <c r="B14196" s="0" t="s">
        <v>14103</v>
      </c>
    </row>
    <row r="14197" customFormat="false" ht="15" hidden="false" customHeight="false" outlineLevel="0" collapsed="false">
      <c r="A14197" s="5" t="e">
        <f aca="false">VDB(100,150,4,1,2,1.5,TRUE())</f>
        <v>#VALUE!</v>
      </c>
      <c r="B14197" s="0" t="s">
        <v>14104</v>
      </c>
    </row>
    <row r="14198" customFormat="false" ht="15" hidden="false" customHeight="false" outlineLevel="0" collapsed="false">
      <c r="A14198" s="5" t="e">
        <f aca="false">VDB(100,150,4,1,2,2,FALSE())</f>
        <v>#VALUE!</v>
      </c>
      <c r="B14198" s="0" t="s">
        <v>14105</v>
      </c>
    </row>
    <row r="14199" customFormat="false" ht="15" hidden="false" customHeight="false" outlineLevel="0" collapsed="false">
      <c r="A14199" s="5" t="e">
        <f aca="false">VDB(100,150,4,1,2,,TRUE())</f>
        <v>#VALUE!</v>
      </c>
      <c r="B14199" s="0" t="s">
        <v>14106</v>
      </c>
    </row>
    <row r="14200" customFormat="false" ht="15" hidden="false" customHeight="false" outlineLevel="0" collapsed="false">
      <c r="A14200" s="5" t="e">
        <f aca="false">VDB(100,150,4,0,5)</f>
        <v>#VALUE!</v>
      </c>
      <c r="B14200" s="0" t="s">
        <v>14107</v>
      </c>
    </row>
    <row r="14201" customFormat="false" ht="15" hidden="false" customHeight="false" outlineLevel="0" collapsed="false">
      <c r="A14201" s="5" t="e">
        <f aca="false">VDB(100,150,4,0,5,1.5)</f>
        <v>#VALUE!</v>
      </c>
      <c r="B14201" s="0" t="s">
        <v>14108</v>
      </c>
    </row>
    <row r="14202" customFormat="false" ht="15" hidden="false" customHeight="false" outlineLevel="0" collapsed="false">
      <c r="A14202" s="5" t="e">
        <f aca="false">VDB(100,150,4,0,5,2)</f>
        <v>#VALUE!</v>
      </c>
      <c r="B14202" s="0" t="s">
        <v>14109</v>
      </c>
    </row>
    <row r="14203" customFormat="false" ht="15" hidden="false" customHeight="false" outlineLevel="0" collapsed="false">
      <c r="A14203" s="5" t="e">
        <f aca="false">VDB(100,150,4,0,5,3)</f>
        <v>#VALUE!</v>
      </c>
      <c r="B14203" s="0" t="s">
        <v>14110</v>
      </c>
    </row>
    <row r="14204" customFormat="false" ht="15" hidden="false" customHeight="false" outlineLevel="0" collapsed="false">
      <c r="A14204" s="5" t="e">
        <f aca="false">VDB(100,150,4,0,5,0)</f>
        <v>#VALUE!</v>
      </c>
      <c r="B14204" s="0" t="s">
        <v>14111</v>
      </c>
    </row>
    <row r="14205" customFormat="false" ht="15" hidden="false" customHeight="false" outlineLevel="0" collapsed="false">
      <c r="A14205" s="5" t="e">
        <f aca="false">VDB(100,150,4,0,5,-1)</f>
        <v>#VALUE!</v>
      </c>
      <c r="B14205" s="0" t="s">
        <v>14112</v>
      </c>
    </row>
    <row r="14206" customFormat="false" ht="15" hidden="false" customHeight="false" outlineLevel="0" collapsed="false">
      <c r="A14206" s="5" t="e">
        <f aca="false">VDB(100,150,4,0,5,2,TRUE())</f>
        <v>#VALUE!</v>
      </c>
      <c r="B14206" s="0" t="s">
        <v>14113</v>
      </c>
    </row>
    <row r="14207" customFormat="false" ht="15" hidden="false" customHeight="false" outlineLevel="0" collapsed="false">
      <c r="A14207" s="5" t="e">
        <f aca="false">VDB(100,150,4,0,5,1.5,TRUE())</f>
        <v>#VALUE!</v>
      </c>
      <c r="B14207" s="0" t="s">
        <v>14114</v>
      </c>
    </row>
    <row r="14208" customFormat="false" ht="15" hidden="false" customHeight="false" outlineLevel="0" collapsed="false">
      <c r="A14208" s="5" t="e">
        <f aca="false">VDB(100,150,4,0,5,2,FALSE())</f>
        <v>#VALUE!</v>
      </c>
      <c r="B14208" s="0" t="s">
        <v>14115</v>
      </c>
    </row>
    <row r="14209" customFormat="false" ht="15" hidden="false" customHeight="false" outlineLevel="0" collapsed="false">
      <c r="A14209" s="5" t="e">
        <f aca="false">VDB(100,150,4,0,5,,TRUE())</f>
        <v>#VALUE!</v>
      </c>
      <c r="B14209" s="0" t="s">
        <v>14116</v>
      </c>
    </row>
    <row r="14210" customFormat="false" ht="15" hidden="false" customHeight="false" outlineLevel="0" collapsed="false">
      <c r="A14210" s="5" t="e">
        <f aca="false">VDB(100,150,4,0.5,1.5)</f>
        <v>#VALUE!</v>
      </c>
      <c r="B14210" s="0" t="s">
        <v>14117</v>
      </c>
    </row>
    <row r="14211" customFormat="false" ht="15" hidden="false" customHeight="false" outlineLevel="0" collapsed="false">
      <c r="A14211" s="5" t="e">
        <f aca="false">VDB(100,150,4,0.5,1.5,1.5)</f>
        <v>#VALUE!</v>
      </c>
      <c r="B14211" s="0" t="s">
        <v>14118</v>
      </c>
    </row>
    <row r="14212" customFormat="false" ht="15" hidden="false" customHeight="false" outlineLevel="0" collapsed="false">
      <c r="A14212" s="5" t="e">
        <f aca="false">VDB(100,150,4,0.5,1.5,2)</f>
        <v>#VALUE!</v>
      </c>
      <c r="B14212" s="0" t="s">
        <v>14119</v>
      </c>
    </row>
    <row r="14213" customFormat="false" ht="15" hidden="false" customHeight="false" outlineLevel="0" collapsed="false">
      <c r="A14213" s="5" t="e">
        <f aca="false">VDB(100,150,4,0.5,1.5,3)</f>
        <v>#VALUE!</v>
      </c>
      <c r="B14213" s="0" t="s">
        <v>14120</v>
      </c>
    </row>
    <row r="14214" customFormat="false" ht="15" hidden="false" customHeight="false" outlineLevel="0" collapsed="false">
      <c r="A14214" s="5" t="e">
        <f aca="false">VDB(100,150,4,0.5,1.5,0)</f>
        <v>#VALUE!</v>
      </c>
      <c r="B14214" s="0" t="s">
        <v>14121</v>
      </c>
    </row>
    <row r="14215" customFormat="false" ht="15" hidden="false" customHeight="false" outlineLevel="0" collapsed="false">
      <c r="A14215" s="5" t="e">
        <f aca="false">VDB(100,150,4,0.5,1.5,-1)</f>
        <v>#VALUE!</v>
      </c>
      <c r="B14215" s="0" t="s">
        <v>14122</v>
      </c>
    </row>
    <row r="14216" customFormat="false" ht="15" hidden="false" customHeight="false" outlineLevel="0" collapsed="false">
      <c r="A14216" s="5" t="e">
        <f aca="false">VDB(100,150,4,0.5,1.5,2,TRUE())</f>
        <v>#VALUE!</v>
      </c>
      <c r="B14216" s="0" t="s">
        <v>14123</v>
      </c>
    </row>
    <row r="14217" customFormat="false" ht="15" hidden="false" customHeight="false" outlineLevel="0" collapsed="false">
      <c r="A14217" s="5" t="e">
        <f aca="false">VDB(100,150,4,0.5,1.5,1.5,TRUE())</f>
        <v>#VALUE!</v>
      </c>
      <c r="B14217" s="0" t="s">
        <v>14124</v>
      </c>
    </row>
    <row r="14218" customFormat="false" ht="15" hidden="false" customHeight="false" outlineLevel="0" collapsed="false">
      <c r="A14218" s="5" t="e">
        <f aca="false">VDB(100,150,4,0.5,1.5,2,FALSE())</f>
        <v>#VALUE!</v>
      </c>
      <c r="B14218" s="0" t="s">
        <v>14125</v>
      </c>
    </row>
    <row r="14219" customFormat="false" ht="15" hidden="false" customHeight="false" outlineLevel="0" collapsed="false">
      <c r="A14219" s="5" t="e">
        <f aca="false">VDB(100,150,4,0.5,1.5,,TRUE())</f>
        <v>#VALUE!</v>
      </c>
      <c r="B14219" s="0" t="s">
        <v>14126</v>
      </c>
    </row>
    <row r="14220" customFormat="false" ht="15" hidden="false" customHeight="false" outlineLevel="0" collapsed="false">
      <c r="A14220" s="5" t="e">
        <f aca="false">VDB(100,150,4,2,3)</f>
        <v>#VALUE!</v>
      </c>
      <c r="B14220" s="0" t="s">
        <v>14127</v>
      </c>
    </row>
    <row r="14221" customFormat="false" ht="15" hidden="false" customHeight="false" outlineLevel="0" collapsed="false">
      <c r="A14221" s="5" t="e">
        <f aca="false">VDB(100,150,4,2,3,1.5)</f>
        <v>#VALUE!</v>
      </c>
      <c r="B14221" s="0" t="s">
        <v>14128</v>
      </c>
    </row>
    <row r="14222" customFormat="false" ht="15" hidden="false" customHeight="false" outlineLevel="0" collapsed="false">
      <c r="A14222" s="5" t="e">
        <f aca="false">VDB(100,150,4,2,3,2)</f>
        <v>#VALUE!</v>
      </c>
      <c r="B14222" s="0" t="s">
        <v>14129</v>
      </c>
    </row>
    <row r="14223" customFormat="false" ht="15" hidden="false" customHeight="false" outlineLevel="0" collapsed="false">
      <c r="A14223" s="5" t="e">
        <f aca="false">VDB(100,150,4,2,3,3)</f>
        <v>#VALUE!</v>
      </c>
      <c r="B14223" s="0" t="s">
        <v>14130</v>
      </c>
    </row>
    <row r="14224" customFormat="false" ht="15" hidden="false" customHeight="false" outlineLevel="0" collapsed="false">
      <c r="A14224" s="5" t="e">
        <f aca="false">VDB(100,150,4,2,3,0)</f>
        <v>#VALUE!</v>
      </c>
      <c r="B14224" s="0" t="s">
        <v>14131</v>
      </c>
    </row>
    <row r="14225" customFormat="false" ht="15" hidden="false" customHeight="false" outlineLevel="0" collapsed="false">
      <c r="A14225" s="5" t="e">
        <f aca="false">VDB(100,150,4,2,3,-1)</f>
        <v>#VALUE!</v>
      </c>
      <c r="B14225" s="0" t="s">
        <v>14132</v>
      </c>
    </row>
    <row r="14226" customFormat="false" ht="15" hidden="false" customHeight="false" outlineLevel="0" collapsed="false">
      <c r="A14226" s="5" t="e">
        <f aca="false">VDB(100,150,4,2,3,2,TRUE())</f>
        <v>#VALUE!</v>
      </c>
      <c r="B14226" s="0" t="s">
        <v>14133</v>
      </c>
    </row>
    <row r="14227" customFormat="false" ht="15" hidden="false" customHeight="false" outlineLevel="0" collapsed="false">
      <c r="A14227" s="5" t="e">
        <f aca="false">VDB(100,150,4,2,3,1.5,TRUE())</f>
        <v>#VALUE!</v>
      </c>
      <c r="B14227" s="0" t="s">
        <v>14134</v>
      </c>
    </row>
    <row r="14228" customFormat="false" ht="15" hidden="false" customHeight="false" outlineLevel="0" collapsed="false">
      <c r="A14228" s="5" t="e">
        <f aca="false">VDB(100,150,4,2,3,2,FALSE())</f>
        <v>#VALUE!</v>
      </c>
      <c r="B14228" s="0" t="s">
        <v>14135</v>
      </c>
    </row>
    <row r="14229" customFormat="false" ht="15" hidden="false" customHeight="false" outlineLevel="0" collapsed="false">
      <c r="A14229" s="5" t="e">
        <f aca="false">VDB(100,150,4,2,3,,TRUE())</f>
        <v>#VALUE!</v>
      </c>
      <c r="B14229" s="0" t="s">
        <v>14136</v>
      </c>
    </row>
    <row r="14230" customFormat="false" ht="15" hidden="false" customHeight="false" outlineLevel="0" collapsed="false">
      <c r="A14230" s="5" t="e">
        <f aca="false">VDB(100,150,4,0,4)</f>
        <v>#VALUE!</v>
      </c>
      <c r="B14230" s="0" t="s">
        <v>14137</v>
      </c>
    </row>
    <row r="14231" customFormat="false" ht="15" hidden="false" customHeight="false" outlineLevel="0" collapsed="false">
      <c r="A14231" s="5" t="e">
        <f aca="false">VDB(100,150,4,0,4,1.5)</f>
        <v>#VALUE!</v>
      </c>
      <c r="B14231" s="0" t="s">
        <v>14138</v>
      </c>
    </row>
    <row r="14232" customFormat="false" ht="15" hidden="false" customHeight="false" outlineLevel="0" collapsed="false">
      <c r="A14232" s="5" t="e">
        <f aca="false">VDB(100,150,4,0,4,2)</f>
        <v>#VALUE!</v>
      </c>
      <c r="B14232" s="0" t="s">
        <v>14139</v>
      </c>
    </row>
    <row r="14233" customFormat="false" ht="15" hidden="false" customHeight="false" outlineLevel="0" collapsed="false">
      <c r="A14233" s="5" t="e">
        <f aca="false">VDB(100,150,4,0,4,3)</f>
        <v>#VALUE!</v>
      </c>
      <c r="B14233" s="0" t="s">
        <v>14140</v>
      </c>
    </row>
    <row r="14234" customFormat="false" ht="15" hidden="false" customHeight="false" outlineLevel="0" collapsed="false">
      <c r="A14234" s="5" t="e">
        <f aca="false">VDB(100,150,4,0,4,0)</f>
        <v>#VALUE!</v>
      </c>
      <c r="B14234" s="0" t="s">
        <v>14141</v>
      </c>
    </row>
    <row r="14235" customFormat="false" ht="15" hidden="false" customHeight="false" outlineLevel="0" collapsed="false">
      <c r="A14235" s="5" t="e">
        <f aca="false">VDB(100,150,4,0,4,-1)</f>
        <v>#VALUE!</v>
      </c>
      <c r="B14235" s="0" t="s">
        <v>14142</v>
      </c>
    </row>
    <row r="14236" customFormat="false" ht="15" hidden="false" customHeight="false" outlineLevel="0" collapsed="false">
      <c r="A14236" s="5" t="e">
        <f aca="false">VDB(100,150,4,0,4,2,TRUE())</f>
        <v>#VALUE!</v>
      </c>
      <c r="B14236" s="0" t="s">
        <v>14143</v>
      </c>
    </row>
    <row r="14237" customFormat="false" ht="15" hidden="false" customHeight="false" outlineLevel="0" collapsed="false">
      <c r="A14237" s="5" t="e">
        <f aca="false">VDB(100,150,4,0,4,1.5,TRUE())</f>
        <v>#VALUE!</v>
      </c>
      <c r="B14237" s="0" t="s">
        <v>14144</v>
      </c>
    </row>
    <row r="14238" customFormat="false" ht="15" hidden="false" customHeight="false" outlineLevel="0" collapsed="false">
      <c r="A14238" s="5" t="e">
        <f aca="false">VDB(100,150,4,0,4,2,FALSE())</f>
        <v>#VALUE!</v>
      </c>
      <c r="B14238" s="0" t="s">
        <v>14145</v>
      </c>
    </row>
    <row r="14239" customFormat="false" ht="15" hidden="false" customHeight="false" outlineLevel="0" collapsed="false">
      <c r="A14239" s="5" t="e">
        <f aca="false">VDB(100,150,4,0,4,,TRUE())</f>
        <v>#VALUE!</v>
      </c>
      <c r="B14239" s="0" t="s">
        <v>14146</v>
      </c>
    </row>
    <row r="14240" customFormat="false" ht="15" hidden="false" customHeight="false" outlineLevel="0" collapsed="false">
      <c r="A14240" s="5" t="e">
        <f aca="false">VDB(100,150,4,3,4)</f>
        <v>#VALUE!</v>
      </c>
      <c r="B14240" s="0" t="s">
        <v>14147</v>
      </c>
    </row>
    <row r="14241" customFormat="false" ht="15" hidden="false" customHeight="false" outlineLevel="0" collapsed="false">
      <c r="A14241" s="5" t="e">
        <f aca="false">VDB(100,150,4,3,4,1.5)</f>
        <v>#VALUE!</v>
      </c>
      <c r="B14241" s="0" t="s">
        <v>14148</v>
      </c>
    </row>
    <row r="14242" customFormat="false" ht="15" hidden="false" customHeight="false" outlineLevel="0" collapsed="false">
      <c r="A14242" s="5" t="e">
        <f aca="false">VDB(100,150,4,3,4,2)</f>
        <v>#VALUE!</v>
      </c>
      <c r="B14242" s="0" t="s">
        <v>14149</v>
      </c>
    </row>
    <row r="14243" customFormat="false" ht="15" hidden="false" customHeight="false" outlineLevel="0" collapsed="false">
      <c r="A14243" s="5" t="e">
        <f aca="false">VDB(100,150,4,3,4,3)</f>
        <v>#VALUE!</v>
      </c>
      <c r="B14243" s="0" t="s">
        <v>14150</v>
      </c>
    </row>
    <row r="14244" customFormat="false" ht="15" hidden="false" customHeight="false" outlineLevel="0" collapsed="false">
      <c r="A14244" s="5" t="e">
        <f aca="false">VDB(100,150,4,3,4,0)</f>
        <v>#VALUE!</v>
      </c>
      <c r="B14244" s="0" t="s">
        <v>14151</v>
      </c>
    </row>
    <row r="14245" customFormat="false" ht="15" hidden="false" customHeight="false" outlineLevel="0" collapsed="false">
      <c r="A14245" s="5" t="e">
        <f aca="false">VDB(100,150,4,3,4,-1)</f>
        <v>#VALUE!</v>
      </c>
      <c r="B14245" s="0" t="s">
        <v>14152</v>
      </c>
    </row>
    <row r="14246" customFormat="false" ht="15" hidden="false" customHeight="false" outlineLevel="0" collapsed="false">
      <c r="A14246" s="5" t="e">
        <f aca="false">VDB(100,150,4,3,4,2,TRUE())</f>
        <v>#VALUE!</v>
      </c>
      <c r="B14246" s="0" t="s">
        <v>14153</v>
      </c>
    </row>
    <row r="14247" customFormat="false" ht="15" hidden="false" customHeight="false" outlineLevel="0" collapsed="false">
      <c r="A14247" s="5" t="e">
        <f aca="false">VDB(100,150,4,3,4,1.5,TRUE())</f>
        <v>#VALUE!</v>
      </c>
      <c r="B14247" s="0" t="s">
        <v>14154</v>
      </c>
    </row>
    <row r="14248" customFormat="false" ht="15" hidden="false" customHeight="false" outlineLevel="0" collapsed="false">
      <c r="A14248" s="5" t="e">
        <f aca="false">VDB(100,150,4,3,4,2,FALSE())</f>
        <v>#VALUE!</v>
      </c>
      <c r="B14248" s="0" t="s">
        <v>14155</v>
      </c>
    </row>
    <row r="14249" customFormat="false" ht="15" hidden="false" customHeight="false" outlineLevel="0" collapsed="false">
      <c r="A14249" s="5" t="e">
        <f aca="false">VDB(100,150,4,3,4,,TRUE())</f>
        <v>#VALUE!</v>
      </c>
      <c r="B14249" s="0" t="s">
        <v>14156</v>
      </c>
    </row>
    <row r="14250" customFormat="false" ht="15" hidden="false" customHeight="false" outlineLevel="0" collapsed="false">
      <c r="A14250" s="5" t="e">
        <f aca="false">VDB(100,150,4,3.5,4.2)</f>
        <v>#VALUE!</v>
      </c>
      <c r="B14250" s="0" t="s">
        <v>14157</v>
      </c>
    </row>
    <row r="14251" customFormat="false" ht="15" hidden="false" customHeight="false" outlineLevel="0" collapsed="false">
      <c r="A14251" s="5" t="e">
        <f aca="false">VDB(100,150,4,3.5,4.2,1.5)</f>
        <v>#VALUE!</v>
      </c>
      <c r="B14251" s="0" t="s">
        <v>14158</v>
      </c>
    </row>
    <row r="14252" customFormat="false" ht="15" hidden="false" customHeight="false" outlineLevel="0" collapsed="false">
      <c r="A14252" s="5" t="e">
        <f aca="false">VDB(100,150,4,3.5,4.2,2)</f>
        <v>#VALUE!</v>
      </c>
      <c r="B14252" s="0" t="s">
        <v>14159</v>
      </c>
    </row>
    <row r="14253" customFormat="false" ht="15" hidden="false" customHeight="false" outlineLevel="0" collapsed="false">
      <c r="A14253" s="5" t="e">
        <f aca="false">VDB(100,150,4,3.5,4.2,3)</f>
        <v>#VALUE!</v>
      </c>
      <c r="B14253" s="0" t="s">
        <v>14160</v>
      </c>
    </row>
    <row r="14254" customFormat="false" ht="15" hidden="false" customHeight="false" outlineLevel="0" collapsed="false">
      <c r="A14254" s="5" t="e">
        <f aca="false">VDB(100,150,4,3.5,4.2,0)</f>
        <v>#VALUE!</v>
      </c>
      <c r="B14254" s="0" t="s">
        <v>14161</v>
      </c>
    </row>
    <row r="14255" customFormat="false" ht="15" hidden="false" customHeight="false" outlineLevel="0" collapsed="false">
      <c r="A14255" s="5" t="e">
        <f aca="false">VDB(100,150,4,3.5,4.2,-1)</f>
        <v>#VALUE!</v>
      </c>
      <c r="B14255" s="0" t="s">
        <v>14162</v>
      </c>
    </row>
    <row r="14256" customFormat="false" ht="15" hidden="false" customHeight="false" outlineLevel="0" collapsed="false">
      <c r="A14256" s="5" t="e">
        <f aca="false">VDB(100,150,4,3.5,4.2,2,TRUE())</f>
        <v>#VALUE!</v>
      </c>
      <c r="B14256" s="0" t="s">
        <v>14163</v>
      </c>
    </row>
    <row r="14257" customFormat="false" ht="15" hidden="false" customHeight="false" outlineLevel="0" collapsed="false">
      <c r="A14257" s="5" t="e">
        <f aca="false">VDB(100,150,4,3.5,4.2,1.5,TRUE())</f>
        <v>#VALUE!</v>
      </c>
      <c r="B14257" s="0" t="s">
        <v>14164</v>
      </c>
    </row>
    <row r="14258" customFormat="false" ht="15" hidden="false" customHeight="false" outlineLevel="0" collapsed="false">
      <c r="A14258" s="5" t="e">
        <f aca="false">VDB(100,150,4,3.5,4.2,2,FALSE())</f>
        <v>#VALUE!</v>
      </c>
      <c r="B14258" s="0" t="s">
        <v>14165</v>
      </c>
    </row>
    <row r="14259" customFormat="false" ht="15" hidden="false" customHeight="false" outlineLevel="0" collapsed="false">
      <c r="A14259" s="5" t="e">
        <f aca="false">VDB(100,150,4,3.5,4.2,,TRUE())</f>
        <v>#VALUE!</v>
      </c>
      <c r="B14259" s="0" t="s">
        <v>14166</v>
      </c>
    </row>
    <row r="14260" customFormat="false" ht="15" hidden="false" customHeight="false" outlineLevel="0" collapsed="false">
      <c r="A14260" s="5" t="e">
        <f aca="false">VDB(100,150,4,0,0)</f>
        <v>#VALUE!</v>
      </c>
      <c r="B14260" s="0" t="s">
        <v>14167</v>
      </c>
    </row>
    <row r="14261" customFormat="false" ht="15" hidden="false" customHeight="false" outlineLevel="0" collapsed="false">
      <c r="A14261" s="5" t="e">
        <f aca="false">VDB(100,150,4,0,0,1.5)</f>
        <v>#VALUE!</v>
      </c>
      <c r="B14261" s="0" t="s">
        <v>14168</v>
      </c>
    </row>
    <row r="14262" customFormat="false" ht="15" hidden="false" customHeight="false" outlineLevel="0" collapsed="false">
      <c r="A14262" s="5" t="e">
        <f aca="false">VDB(100,150,4,0,0,2)</f>
        <v>#VALUE!</v>
      </c>
      <c r="B14262" s="0" t="s">
        <v>14169</v>
      </c>
    </row>
    <row r="14263" customFormat="false" ht="15" hidden="false" customHeight="false" outlineLevel="0" collapsed="false">
      <c r="A14263" s="5" t="e">
        <f aca="false">VDB(100,150,4,0,0,3)</f>
        <v>#VALUE!</v>
      </c>
      <c r="B14263" s="0" t="s">
        <v>14170</v>
      </c>
    </row>
    <row r="14264" customFormat="false" ht="15" hidden="false" customHeight="false" outlineLevel="0" collapsed="false">
      <c r="A14264" s="5" t="e">
        <f aca="false">VDB(100,150,4,0,0,0)</f>
        <v>#VALUE!</v>
      </c>
      <c r="B14264" s="0" t="s">
        <v>14171</v>
      </c>
    </row>
    <row r="14265" customFormat="false" ht="15" hidden="false" customHeight="false" outlineLevel="0" collapsed="false">
      <c r="A14265" s="5" t="e">
        <f aca="false">VDB(100,150,4,0,0,-1)</f>
        <v>#VALUE!</v>
      </c>
      <c r="B14265" s="0" t="s">
        <v>14172</v>
      </c>
    </row>
    <row r="14266" customFormat="false" ht="15" hidden="false" customHeight="false" outlineLevel="0" collapsed="false">
      <c r="A14266" s="5" t="e">
        <f aca="false">VDB(100,150,4,0,0,2,TRUE())</f>
        <v>#VALUE!</v>
      </c>
      <c r="B14266" s="0" t="s">
        <v>14173</v>
      </c>
    </row>
    <row r="14267" customFormat="false" ht="15" hidden="false" customHeight="false" outlineLevel="0" collapsed="false">
      <c r="A14267" s="5" t="e">
        <f aca="false">VDB(100,150,4,0,0,1.5,TRUE())</f>
        <v>#VALUE!</v>
      </c>
      <c r="B14267" s="0" t="s">
        <v>14174</v>
      </c>
    </row>
    <row r="14268" customFormat="false" ht="15" hidden="false" customHeight="false" outlineLevel="0" collapsed="false">
      <c r="A14268" s="5" t="e">
        <f aca="false">VDB(100,150,4,0,0,2,FALSE())</f>
        <v>#VALUE!</v>
      </c>
      <c r="B14268" s="0" t="s">
        <v>14175</v>
      </c>
    </row>
    <row r="14269" customFormat="false" ht="15" hidden="false" customHeight="false" outlineLevel="0" collapsed="false">
      <c r="A14269" s="5" t="e">
        <f aca="false">VDB(100,150,4,0,0,,TRUE())</f>
        <v>#VALUE!</v>
      </c>
      <c r="B14269" s="0" t="s">
        <v>14176</v>
      </c>
    </row>
    <row r="14270" customFormat="false" ht="15" hidden="false" customHeight="false" outlineLevel="0" collapsed="false">
      <c r="A14270" s="5" t="e">
        <f aca="false">VDB(100,150,4,1,1)</f>
        <v>#VALUE!</v>
      </c>
      <c r="B14270" s="0" t="s">
        <v>14177</v>
      </c>
    </row>
    <row r="14271" customFormat="false" ht="15" hidden="false" customHeight="false" outlineLevel="0" collapsed="false">
      <c r="A14271" s="5" t="e">
        <f aca="false">VDB(100,150,4,1,1,1.5)</f>
        <v>#VALUE!</v>
      </c>
      <c r="B14271" s="0" t="s">
        <v>14178</v>
      </c>
    </row>
    <row r="14272" customFormat="false" ht="15" hidden="false" customHeight="false" outlineLevel="0" collapsed="false">
      <c r="A14272" s="5" t="e">
        <f aca="false">VDB(100,150,4,1,1,2)</f>
        <v>#VALUE!</v>
      </c>
      <c r="B14272" s="0" t="s">
        <v>14179</v>
      </c>
    </row>
    <row r="14273" customFormat="false" ht="15" hidden="false" customHeight="false" outlineLevel="0" collapsed="false">
      <c r="A14273" s="5" t="e">
        <f aca="false">VDB(100,150,4,1,1,3)</f>
        <v>#VALUE!</v>
      </c>
      <c r="B14273" s="0" t="s">
        <v>14180</v>
      </c>
    </row>
    <row r="14274" customFormat="false" ht="15" hidden="false" customHeight="false" outlineLevel="0" collapsed="false">
      <c r="A14274" s="5" t="e">
        <f aca="false">VDB(100,150,4,1,1,0)</f>
        <v>#VALUE!</v>
      </c>
      <c r="B14274" s="0" t="s">
        <v>14181</v>
      </c>
    </row>
    <row r="14275" customFormat="false" ht="15" hidden="false" customHeight="false" outlineLevel="0" collapsed="false">
      <c r="A14275" s="5" t="e">
        <f aca="false">VDB(100,150,4,1,1,-1)</f>
        <v>#VALUE!</v>
      </c>
      <c r="B14275" s="0" t="s">
        <v>14182</v>
      </c>
    </row>
    <row r="14276" customFormat="false" ht="15" hidden="false" customHeight="false" outlineLevel="0" collapsed="false">
      <c r="A14276" s="5" t="e">
        <f aca="false">VDB(100,150,4,1,1,2,TRUE())</f>
        <v>#VALUE!</v>
      </c>
      <c r="B14276" s="0" t="s">
        <v>14183</v>
      </c>
    </row>
    <row r="14277" customFormat="false" ht="15" hidden="false" customHeight="false" outlineLevel="0" collapsed="false">
      <c r="A14277" s="5" t="e">
        <f aca="false">VDB(100,150,4,1,1,1.5,TRUE())</f>
        <v>#VALUE!</v>
      </c>
      <c r="B14277" s="0" t="s">
        <v>14184</v>
      </c>
    </row>
    <row r="14278" customFormat="false" ht="15" hidden="false" customHeight="false" outlineLevel="0" collapsed="false">
      <c r="A14278" s="5" t="e">
        <f aca="false">VDB(100,150,4,1,1,2,FALSE())</f>
        <v>#VALUE!</v>
      </c>
      <c r="B14278" s="0" t="s">
        <v>14185</v>
      </c>
    </row>
    <row r="14279" customFormat="false" ht="15" hidden="false" customHeight="false" outlineLevel="0" collapsed="false">
      <c r="A14279" s="5" t="e">
        <f aca="false">VDB(100,150,4,1,1,,TRUE())</f>
        <v>#VALUE!</v>
      </c>
      <c r="B14279" s="0" t="s">
        <v>14186</v>
      </c>
    </row>
    <row r="14280" customFormat="false" ht="15" hidden="false" customHeight="false" outlineLevel="0" collapsed="false">
      <c r="A14280" s="5" t="e">
        <f aca="false">VDB(100,150,4,2,1)</f>
        <v>#VALUE!</v>
      </c>
      <c r="B14280" s="0" t="s">
        <v>14187</v>
      </c>
    </row>
    <row r="14281" customFormat="false" ht="15" hidden="false" customHeight="false" outlineLevel="0" collapsed="false">
      <c r="A14281" s="5" t="e">
        <f aca="false">VDB(100,150,4,2,1,1.5)</f>
        <v>#VALUE!</v>
      </c>
      <c r="B14281" s="0" t="s">
        <v>14188</v>
      </c>
    </row>
    <row r="14282" customFormat="false" ht="15" hidden="false" customHeight="false" outlineLevel="0" collapsed="false">
      <c r="A14282" s="5" t="e">
        <f aca="false">VDB(100,150,4,2,1,2)</f>
        <v>#VALUE!</v>
      </c>
      <c r="B14282" s="0" t="s">
        <v>14189</v>
      </c>
    </row>
    <row r="14283" customFormat="false" ht="15" hidden="false" customHeight="false" outlineLevel="0" collapsed="false">
      <c r="A14283" s="5" t="e">
        <f aca="false">VDB(100,150,4,2,1,3)</f>
        <v>#VALUE!</v>
      </c>
      <c r="B14283" s="0" t="s">
        <v>14190</v>
      </c>
    </row>
    <row r="14284" customFormat="false" ht="15" hidden="false" customHeight="false" outlineLevel="0" collapsed="false">
      <c r="A14284" s="5" t="e">
        <f aca="false">VDB(100,150,4,2,1,0)</f>
        <v>#VALUE!</v>
      </c>
      <c r="B14284" s="0" t="s">
        <v>14191</v>
      </c>
    </row>
    <row r="14285" customFormat="false" ht="15" hidden="false" customHeight="false" outlineLevel="0" collapsed="false">
      <c r="A14285" s="5" t="e">
        <f aca="false">VDB(100,150,4,2,1,-1)</f>
        <v>#VALUE!</v>
      </c>
      <c r="B14285" s="0" t="s">
        <v>14192</v>
      </c>
    </row>
    <row r="14286" customFormat="false" ht="15" hidden="false" customHeight="false" outlineLevel="0" collapsed="false">
      <c r="A14286" s="5" t="e">
        <f aca="false">VDB(100,150,4,2,1,2,TRUE())</f>
        <v>#VALUE!</v>
      </c>
      <c r="B14286" s="0" t="s">
        <v>14193</v>
      </c>
    </row>
    <row r="14287" customFormat="false" ht="15" hidden="false" customHeight="false" outlineLevel="0" collapsed="false">
      <c r="A14287" s="5" t="e">
        <f aca="false">VDB(100,150,4,2,1,1.5,TRUE())</f>
        <v>#VALUE!</v>
      </c>
      <c r="B14287" s="0" t="s">
        <v>14194</v>
      </c>
    </row>
    <row r="14288" customFormat="false" ht="15" hidden="false" customHeight="false" outlineLevel="0" collapsed="false">
      <c r="A14288" s="5" t="e">
        <f aca="false">VDB(100,150,4,2,1,2,FALSE())</f>
        <v>#VALUE!</v>
      </c>
      <c r="B14288" s="0" t="s">
        <v>14195</v>
      </c>
    </row>
    <row r="14289" customFormat="false" ht="15" hidden="false" customHeight="false" outlineLevel="0" collapsed="false">
      <c r="A14289" s="5" t="e">
        <f aca="false">VDB(100,150,4,2,1,,TRUE())</f>
        <v>#VALUE!</v>
      </c>
      <c r="B14289" s="0" t="s">
        <v>14196</v>
      </c>
    </row>
    <row r="14290" customFormat="false" ht="15" hidden="false" customHeight="false" outlineLevel="0" collapsed="false">
      <c r="A14290" s="5" t="e">
        <f aca="false">VDB(100,150,4,0,5)</f>
        <v>#VALUE!</v>
      </c>
      <c r="B14290" s="0" t="s">
        <v>14107</v>
      </c>
    </row>
    <row r="14291" customFormat="false" ht="15" hidden="false" customHeight="false" outlineLevel="0" collapsed="false">
      <c r="A14291" s="5" t="e">
        <f aca="false">VDB(100,150,4,0,5,1.5)</f>
        <v>#VALUE!</v>
      </c>
      <c r="B14291" s="0" t="s">
        <v>14108</v>
      </c>
    </row>
    <row r="14292" customFormat="false" ht="15" hidden="false" customHeight="false" outlineLevel="0" collapsed="false">
      <c r="A14292" s="5" t="e">
        <f aca="false">VDB(100,150,4,0,5,2)</f>
        <v>#VALUE!</v>
      </c>
      <c r="B14292" s="0" t="s">
        <v>14109</v>
      </c>
    </row>
    <row r="14293" customFormat="false" ht="15" hidden="false" customHeight="false" outlineLevel="0" collapsed="false">
      <c r="A14293" s="5" t="e">
        <f aca="false">VDB(100,150,4,0,5,3)</f>
        <v>#VALUE!</v>
      </c>
      <c r="B14293" s="0" t="s">
        <v>14110</v>
      </c>
    </row>
    <row r="14294" customFormat="false" ht="15" hidden="false" customHeight="false" outlineLevel="0" collapsed="false">
      <c r="A14294" s="5" t="e">
        <f aca="false">VDB(100,150,4,0,5,0)</f>
        <v>#VALUE!</v>
      </c>
      <c r="B14294" s="0" t="s">
        <v>14111</v>
      </c>
    </row>
    <row r="14295" customFormat="false" ht="15" hidden="false" customHeight="false" outlineLevel="0" collapsed="false">
      <c r="A14295" s="5" t="e">
        <f aca="false">VDB(100,150,4,0,5,-1)</f>
        <v>#VALUE!</v>
      </c>
      <c r="B14295" s="0" t="s">
        <v>14112</v>
      </c>
    </row>
    <row r="14296" customFormat="false" ht="15" hidden="false" customHeight="false" outlineLevel="0" collapsed="false">
      <c r="A14296" s="5" t="e">
        <f aca="false">VDB(100,150,4,0,5,2,TRUE())</f>
        <v>#VALUE!</v>
      </c>
      <c r="B14296" s="0" t="s">
        <v>14113</v>
      </c>
    </row>
    <row r="14297" customFormat="false" ht="15" hidden="false" customHeight="false" outlineLevel="0" collapsed="false">
      <c r="A14297" s="5" t="e">
        <f aca="false">VDB(100,150,4,0,5,1.5,TRUE())</f>
        <v>#VALUE!</v>
      </c>
      <c r="B14297" s="0" t="s">
        <v>14114</v>
      </c>
    </row>
    <row r="14298" customFormat="false" ht="15" hidden="false" customHeight="false" outlineLevel="0" collapsed="false">
      <c r="A14298" s="5" t="e">
        <f aca="false">VDB(100,150,4,0,5,2,FALSE())</f>
        <v>#VALUE!</v>
      </c>
      <c r="B14298" s="0" t="s">
        <v>14115</v>
      </c>
    </row>
    <row r="14299" customFormat="false" ht="15" hidden="false" customHeight="false" outlineLevel="0" collapsed="false">
      <c r="A14299" s="5" t="e">
        <f aca="false">VDB(100,150,4,0,5,,TRUE())</f>
        <v>#VALUE!</v>
      </c>
      <c r="B14299" s="0" t="s">
        <v>14116</v>
      </c>
    </row>
    <row r="14300" customFormat="false" ht="15" hidden="false" customHeight="false" outlineLevel="0" collapsed="false">
      <c r="A14300" s="5" t="e">
        <f aca="false">VDB(100,150,4,-1,1)</f>
        <v>#VALUE!</v>
      </c>
      <c r="B14300" s="0" t="s">
        <v>14197</v>
      </c>
    </row>
    <row r="14301" customFormat="false" ht="15" hidden="false" customHeight="false" outlineLevel="0" collapsed="false">
      <c r="A14301" s="5" t="e">
        <f aca="false">VDB(100,150,4,-1,1,1.5)</f>
        <v>#VALUE!</v>
      </c>
      <c r="B14301" s="0" t="s">
        <v>14198</v>
      </c>
    </row>
    <row r="14302" customFormat="false" ht="15" hidden="false" customHeight="false" outlineLevel="0" collapsed="false">
      <c r="A14302" s="5" t="e">
        <f aca="false">VDB(100,150,4,-1,1,2)</f>
        <v>#VALUE!</v>
      </c>
      <c r="B14302" s="0" t="s">
        <v>14199</v>
      </c>
    </row>
    <row r="14303" customFormat="false" ht="15" hidden="false" customHeight="false" outlineLevel="0" collapsed="false">
      <c r="A14303" s="5" t="e">
        <f aca="false">VDB(100,150,4,-1,1,3)</f>
        <v>#VALUE!</v>
      </c>
      <c r="B14303" s="0" t="s">
        <v>14200</v>
      </c>
    </row>
    <row r="14304" customFormat="false" ht="15" hidden="false" customHeight="false" outlineLevel="0" collapsed="false">
      <c r="A14304" s="5" t="e">
        <f aca="false">VDB(100,150,4,-1,1,0)</f>
        <v>#VALUE!</v>
      </c>
      <c r="B14304" s="0" t="s">
        <v>14201</v>
      </c>
    </row>
    <row r="14305" customFormat="false" ht="15" hidden="false" customHeight="false" outlineLevel="0" collapsed="false">
      <c r="A14305" s="5" t="e">
        <f aca="false">VDB(100,150,4,-1,1,-1)</f>
        <v>#VALUE!</v>
      </c>
      <c r="B14305" s="0" t="s">
        <v>14202</v>
      </c>
    </row>
    <row r="14306" customFormat="false" ht="15" hidden="false" customHeight="false" outlineLevel="0" collapsed="false">
      <c r="A14306" s="5" t="e">
        <f aca="false">VDB(100,150,4,-1,1,2,TRUE())</f>
        <v>#VALUE!</v>
      </c>
      <c r="B14306" s="0" t="s">
        <v>14203</v>
      </c>
    </row>
    <row r="14307" customFormat="false" ht="15" hidden="false" customHeight="false" outlineLevel="0" collapsed="false">
      <c r="A14307" s="5" t="e">
        <f aca="false">VDB(100,150,4,-1,1,1.5,TRUE())</f>
        <v>#VALUE!</v>
      </c>
      <c r="B14307" s="0" t="s">
        <v>14204</v>
      </c>
    </row>
    <row r="14308" customFormat="false" ht="15" hidden="false" customHeight="false" outlineLevel="0" collapsed="false">
      <c r="A14308" s="5" t="e">
        <f aca="false">VDB(100,150,4,-1,1,2,FALSE())</f>
        <v>#VALUE!</v>
      </c>
      <c r="B14308" s="0" t="s">
        <v>14205</v>
      </c>
    </row>
    <row r="14309" customFormat="false" ht="15" hidden="false" customHeight="false" outlineLevel="0" collapsed="false">
      <c r="A14309" s="5" t="e">
        <f aca="false">VDB(100,150,4,-1,1,,TRUE())</f>
        <v>#VALUE!</v>
      </c>
      <c r="B14309" s="0" t="s">
        <v>14206</v>
      </c>
    </row>
    <row r="14310" customFormat="false" ht="15" hidden="false" customHeight="false" outlineLevel="0" collapsed="false">
      <c r="A14310" s="5" t="e">
        <f aca="false">VDB(100,150,4,0.25,0.75)</f>
        <v>#VALUE!</v>
      </c>
      <c r="B14310" s="0" t="s">
        <v>14207</v>
      </c>
    </row>
    <row r="14311" customFormat="false" ht="15" hidden="false" customHeight="false" outlineLevel="0" collapsed="false">
      <c r="A14311" s="5" t="e">
        <f aca="false">VDB(100,150,4,0.25,0.75,1.5)</f>
        <v>#VALUE!</v>
      </c>
      <c r="B14311" s="0" t="s">
        <v>14208</v>
      </c>
    </row>
    <row r="14312" customFormat="false" ht="15" hidden="false" customHeight="false" outlineLevel="0" collapsed="false">
      <c r="A14312" s="5" t="e">
        <f aca="false">VDB(100,150,4,0.25,0.75,2)</f>
        <v>#VALUE!</v>
      </c>
      <c r="B14312" s="0" t="s">
        <v>14209</v>
      </c>
    </row>
    <row r="14313" customFormat="false" ht="15" hidden="false" customHeight="false" outlineLevel="0" collapsed="false">
      <c r="A14313" s="5" t="e">
        <f aca="false">VDB(100,150,4,0.25,0.75,3)</f>
        <v>#VALUE!</v>
      </c>
      <c r="B14313" s="0" t="s">
        <v>14210</v>
      </c>
    </row>
    <row r="14314" customFormat="false" ht="15" hidden="false" customHeight="false" outlineLevel="0" collapsed="false">
      <c r="A14314" s="5" t="e">
        <f aca="false">VDB(100,150,4,0.25,0.75,0)</f>
        <v>#VALUE!</v>
      </c>
      <c r="B14314" s="0" t="s">
        <v>14211</v>
      </c>
    </row>
    <row r="14315" customFormat="false" ht="15" hidden="false" customHeight="false" outlineLevel="0" collapsed="false">
      <c r="A14315" s="5" t="e">
        <f aca="false">VDB(100,150,4,0.25,0.75,-1)</f>
        <v>#VALUE!</v>
      </c>
      <c r="B14315" s="0" t="s">
        <v>14212</v>
      </c>
    </row>
    <row r="14316" customFormat="false" ht="15" hidden="false" customHeight="false" outlineLevel="0" collapsed="false">
      <c r="A14316" s="5" t="e">
        <f aca="false">VDB(100,150,4,0.25,0.75,2,TRUE())</f>
        <v>#VALUE!</v>
      </c>
      <c r="B14316" s="0" t="s">
        <v>14213</v>
      </c>
    </row>
    <row r="14317" customFormat="false" ht="15" hidden="false" customHeight="false" outlineLevel="0" collapsed="false">
      <c r="A14317" s="5" t="e">
        <f aca="false">VDB(100,150,4,0.25,0.75,1.5,TRUE())</f>
        <v>#VALUE!</v>
      </c>
      <c r="B14317" s="0" t="s">
        <v>14214</v>
      </c>
    </row>
    <row r="14318" customFormat="false" ht="15" hidden="false" customHeight="false" outlineLevel="0" collapsed="false">
      <c r="A14318" s="5" t="e">
        <f aca="false">VDB(100,150,4,0.25,0.75,2,FALSE())</f>
        <v>#VALUE!</v>
      </c>
      <c r="B14318" s="0" t="s">
        <v>14215</v>
      </c>
    </row>
    <row r="14319" customFormat="false" ht="15" hidden="false" customHeight="false" outlineLevel="0" collapsed="false">
      <c r="A14319" s="5" t="e">
        <f aca="false">VDB(100,150,4,0.25,0.75,,TRUE())</f>
        <v>#VALUE!</v>
      </c>
      <c r="B14319" s="0" t="s">
        <v>14216</v>
      </c>
    </row>
    <row r="14320" customFormat="false" ht="15" hidden="false" customHeight="false" outlineLevel="0" collapsed="false">
      <c r="A14320" s="5" t="e">
        <f aca="false">VDB(100,150,4,4,4)</f>
        <v>#VALUE!</v>
      </c>
      <c r="B14320" s="0" t="s">
        <v>14217</v>
      </c>
    </row>
    <row r="14321" customFormat="false" ht="15" hidden="false" customHeight="false" outlineLevel="0" collapsed="false">
      <c r="A14321" s="5" t="e">
        <f aca="false">VDB(100,150,4,4,4,1.5)</f>
        <v>#VALUE!</v>
      </c>
      <c r="B14321" s="0" t="s">
        <v>14218</v>
      </c>
    </row>
    <row r="14322" customFormat="false" ht="15" hidden="false" customHeight="false" outlineLevel="0" collapsed="false">
      <c r="A14322" s="5" t="e">
        <f aca="false">VDB(100,150,4,4,4,2)</f>
        <v>#VALUE!</v>
      </c>
      <c r="B14322" s="0" t="s">
        <v>14219</v>
      </c>
    </row>
    <row r="14323" customFormat="false" ht="15" hidden="false" customHeight="false" outlineLevel="0" collapsed="false">
      <c r="A14323" s="5" t="e">
        <f aca="false">VDB(100,150,4,4,4,3)</f>
        <v>#VALUE!</v>
      </c>
      <c r="B14323" s="0" t="s">
        <v>14220</v>
      </c>
    </row>
    <row r="14324" customFormat="false" ht="15" hidden="false" customHeight="false" outlineLevel="0" collapsed="false">
      <c r="A14324" s="5" t="e">
        <f aca="false">VDB(100,150,4,4,4,0)</f>
        <v>#VALUE!</v>
      </c>
      <c r="B14324" s="0" t="s">
        <v>14221</v>
      </c>
    </row>
    <row r="14325" customFormat="false" ht="15" hidden="false" customHeight="false" outlineLevel="0" collapsed="false">
      <c r="A14325" s="5" t="e">
        <f aca="false">VDB(100,150,4,4,4,-1)</f>
        <v>#VALUE!</v>
      </c>
      <c r="B14325" s="0" t="s">
        <v>14222</v>
      </c>
    </row>
    <row r="14326" customFormat="false" ht="15" hidden="false" customHeight="false" outlineLevel="0" collapsed="false">
      <c r="A14326" s="5" t="e">
        <f aca="false">VDB(100,150,4,4,4,2,TRUE())</f>
        <v>#VALUE!</v>
      </c>
      <c r="B14326" s="0" t="s">
        <v>14223</v>
      </c>
    </row>
    <row r="14327" customFormat="false" ht="15" hidden="false" customHeight="false" outlineLevel="0" collapsed="false">
      <c r="A14327" s="5" t="e">
        <f aca="false">VDB(100,150,4,4,4,1.5,TRUE())</f>
        <v>#VALUE!</v>
      </c>
      <c r="B14327" s="0" t="s">
        <v>14224</v>
      </c>
    </row>
    <row r="14328" customFormat="false" ht="15" hidden="false" customHeight="false" outlineLevel="0" collapsed="false">
      <c r="A14328" s="5" t="e">
        <f aca="false">VDB(100,150,4,4,4,2,FALSE())</f>
        <v>#VALUE!</v>
      </c>
      <c r="B14328" s="0" t="s">
        <v>14225</v>
      </c>
    </row>
    <row r="14329" customFormat="false" ht="15" hidden="false" customHeight="false" outlineLevel="0" collapsed="false">
      <c r="A14329" s="5" t="e">
        <f aca="false">VDB(100,150,4,4,4,,TRUE())</f>
        <v>#VALUE!</v>
      </c>
      <c r="B14329" s="0" t="s">
        <v>14226</v>
      </c>
    </row>
    <row r="14330" customFormat="false" ht="15" hidden="false" customHeight="false" outlineLevel="0" collapsed="false">
      <c r="A14330" s="5" t="e">
        <f aca="false">VDB(100,150,4,1,4)</f>
        <v>#VALUE!</v>
      </c>
      <c r="B14330" s="0" t="s">
        <v>14227</v>
      </c>
    </row>
    <row r="14331" customFormat="false" ht="15" hidden="false" customHeight="false" outlineLevel="0" collapsed="false">
      <c r="A14331" s="5" t="e">
        <f aca="false">VDB(100,150,4,1,4,1.5)</f>
        <v>#VALUE!</v>
      </c>
      <c r="B14331" s="0" t="s">
        <v>14228</v>
      </c>
    </row>
    <row r="14332" customFormat="false" ht="15" hidden="false" customHeight="false" outlineLevel="0" collapsed="false">
      <c r="A14332" s="5" t="e">
        <f aca="false">VDB(100,150,4,1,4,2)</f>
        <v>#VALUE!</v>
      </c>
      <c r="B14332" s="0" t="s">
        <v>14229</v>
      </c>
    </row>
    <row r="14333" customFormat="false" ht="15" hidden="false" customHeight="false" outlineLevel="0" collapsed="false">
      <c r="A14333" s="5" t="e">
        <f aca="false">VDB(100,150,4,1,4,3)</f>
        <v>#VALUE!</v>
      </c>
      <c r="B14333" s="0" t="s">
        <v>14230</v>
      </c>
    </row>
    <row r="14334" customFormat="false" ht="15" hidden="false" customHeight="false" outlineLevel="0" collapsed="false">
      <c r="A14334" s="5" t="e">
        <f aca="false">VDB(100,150,4,1,4,0)</f>
        <v>#VALUE!</v>
      </c>
      <c r="B14334" s="0" t="s">
        <v>14231</v>
      </c>
    </row>
    <row r="14335" customFormat="false" ht="15" hidden="false" customHeight="false" outlineLevel="0" collapsed="false">
      <c r="A14335" s="5" t="e">
        <f aca="false">VDB(100,150,4,1,4,-1)</f>
        <v>#VALUE!</v>
      </c>
      <c r="B14335" s="0" t="s">
        <v>14232</v>
      </c>
    </row>
    <row r="14336" customFormat="false" ht="15" hidden="false" customHeight="false" outlineLevel="0" collapsed="false">
      <c r="A14336" s="5" t="e">
        <f aca="false">VDB(100,150,4,1,4,2,TRUE())</f>
        <v>#VALUE!</v>
      </c>
      <c r="B14336" s="0" t="s">
        <v>14233</v>
      </c>
    </row>
    <row r="14337" customFormat="false" ht="15" hidden="false" customHeight="false" outlineLevel="0" collapsed="false">
      <c r="A14337" s="5" t="e">
        <f aca="false">VDB(100,150,4,1,4,1.5,TRUE())</f>
        <v>#VALUE!</v>
      </c>
      <c r="B14337" s="0" t="s">
        <v>14234</v>
      </c>
    </row>
    <row r="14338" customFormat="false" ht="15" hidden="false" customHeight="false" outlineLevel="0" collapsed="false">
      <c r="A14338" s="5" t="e">
        <f aca="false">VDB(100,150,4,1,4,2,FALSE())</f>
        <v>#VALUE!</v>
      </c>
      <c r="B14338" s="0" t="s">
        <v>14235</v>
      </c>
    </row>
    <row r="14339" customFormat="false" ht="15" hidden="false" customHeight="false" outlineLevel="0" collapsed="false">
      <c r="A14339" s="5" t="e">
        <f aca="false">VDB(100,150,4,1,4,,TRUE())</f>
        <v>#VALUE!</v>
      </c>
      <c r="B14339" s="0" t="s">
        <v>14236</v>
      </c>
    </row>
    <row r="14340" customFormat="false" ht="15" hidden="false" customHeight="false" outlineLevel="0" collapsed="false">
      <c r="A14340" s="5" t="n">
        <f aca="false">VDB(0,0,5,0,1)</f>
        <v>0</v>
      </c>
      <c r="B14340" s="0" t="s">
        <v>14237</v>
      </c>
    </row>
    <row r="14341" customFormat="false" ht="15" hidden="false" customHeight="false" outlineLevel="0" collapsed="false">
      <c r="A14341" s="5" t="n">
        <f aca="false">VDB(0,0,5,0,1,1.5)</f>
        <v>0</v>
      </c>
      <c r="B14341" s="0" t="s">
        <v>14238</v>
      </c>
    </row>
    <row r="14342" customFormat="false" ht="15" hidden="false" customHeight="false" outlineLevel="0" collapsed="false">
      <c r="A14342" s="5" t="n">
        <f aca="false">VDB(0,0,5,0,1,2)</f>
        <v>0</v>
      </c>
      <c r="B14342" s="0" t="s">
        <v>14239</v>
      </c>
    </row>
    <row r="14343" customFormat="false" ht="15" hidden="false" customHeight="false" outlineLevel="0" collapsed="false">
      <c r="A14343" s="5" t="n">
        <f aca="false">VDB(0,0,5,0,1,3)</f>
        <v>0</v>
      </c>
      <c r="B14343" s="0" t="s">
        <v>14240</v>
      </c>
    </row>
    <row r="14344" customFormat="false" ht="15" hidden="false" customHeight="false" outlineLevel="0" collapsed="false">
      <c r="A14344" s="5" t="e">
        <f aca="false">VDB(0,0,5,0,1,0)</f>
        <v>#VALUE!</v>
      </c>
      <c r="B14344" s="0" t="s">
        <v>14241</v>
      </c>
    </row>
    <row r="14345" customFormat="false" ht="15" hidden="false" customHeight="false" outlineLevel="0" collapsed="false">
      <c r="A14345" s="5" t="e">
        <f aca="false">VDB(0,0,5,0,1,-1)</f>
        <v>#VALUE!</v>
      </c>
      <c r="B14345" s="0" t="s">
        <v>14242</v>
      </c>
    </row>
    <row r="14346" customFormat="false" ht="15" hidden="false" customHeight="false" outlineLevel="0" collapsed="false">
      <c r="A14346" s="5" t="n">
        <f aca="false">VDB(0,0,5,0,1,2,TRUE())</f>
        <v>0</v>
      </c>
      <c r="B14346" s="0" t="s">
        <v>14243</v>
      </c>
    </row>
    <row r="14347" customFormat="false" ht="15" hidden="false" customHeight="false" outlineLevel="0" collapsed="false">
      <c r="A14347" s="5" t="n">
        <f aca="false">VDB(0,0,5,0,1,1.5,TRUE())</f>
        <v>0</v>
      </c>
      <c r="B14347" s="0" t="s">
        <v>14244</v>
      </c>
    </row>
    <row r="14348" customFormat="false" ht="15" hidden="false" customHeight="false" outlineLevel="0" collapsed="false">
      <c r="A14348" s="5" t="n">
        <f aca="false">VDB(0,0,5,0,1,2,FALSE())</f>
        <v>0</v>
      </c>
      <c r="B14348" s="0" t="s">
        <v>14245</v>
      </c>
    </row>
    <row r="14349" customFormat="false" ht="15" hidden="false" customHeight="false" outlineLevel="0" collapsed="false">
      <c r="A14349" s="5" t="e">
        <f aca="false">VDB(0,0,5,0,1,,TRUE())</f>
        <v>#VALUE!</v>
      </c>
      <c r="B14349" s="0" t="s">
        <v>14246</v>
      </c>
    </row>
    <row r="14350" customFormat="false" ht="15" hidden="false" customHeight="false" outlineLevel="0" collapsed="false">
      <c r="A14350" s="5" t="n">
        <f aca="false">VDB(0,0,5,1,2)</f>
        <v>0</v>
      </c>
      <c r="B14350" s="0" t="s">
        <v>14247</v>
      </c>
    </row>
    <row r="14351" customFormat="false" ht="15" hidden="false" customHeight="false" outlineLevel="0" collapsed="false">
      <c r="A14351" s="5" t="n">
        <f aca="false">VDB(0,0,5,1,2,1.5)</f>
        <v>0</v>
      </c>
      <c r="B14351" s="0" t="s">
        <v>14248</v>
      </c>
    </row>
    <row r="14352" customFormat="false" ht="15" hidden="false" customHeight="false" outlineLevel="0" collapsed="false">
      <c r="A14352" s="5" t="n">
        <f aca="false">VDB(0,0,5,1,2,2)</f>
        <v>0</v>
      </c>
      <c r="B14352" s="0" t="s">
        <v>14249</v>
      </c>
    </row>
    <row r="14353" customFormat="false" ht="15" hidden="false" customHeight="false" outlineLevel="0" collapsed="false">
      <c r="A14353" s="5" t="n">
        <f aca="false">VDB(0,0,5,1,2,3)</f>
        <v>0</v>
      </c>
      <c r="B14353" s="0" t="s">
        <v>14250</v>
      </c>
    </row>
    <row r="14354" customFormat="false" ht="15" hidden="false" customHeight="false" outlineLevel="0" collapsed="false">
      <c r="A14354" s="5" t="e">
        <f aca="false">VDB(0,0,5,1,2,0)</f>
        <v>#VALUE!</v>
      </c>
      <c r="B14354" s="0" t="s">
        <v>14251</v>
      </c>
    </row>
    <row r="14355" customFormat="false" ht="15" hidden="false" customHeight="false" outlineLevel="0" collapsed="false">
      <c r="A14355" s="5" t="e">
        <f aca="false">VDB(0,0,5,1,2,-1)</f>
        <v>#VALUE!</v>
      </c>
      <c r="B14355" s="0" t="s">
        <v>14252</v>
      </c>
    </row>
    <row r="14356" customFormat="false" ht="15" hidden="false" customHeight="false" outlineLevel="0" collapsed="false">
      <c r="A14356" s="5" t="n">
        <f aca="false">VDB(0,0,5,1,2,2,TRUE())</f>
        <v>0</v>
      </c>
      <c r="B14356" s="0" t="s">
        <v>14253</v>
      </c>
    </row>
    <row r="14357" customFormat="false" ht="15" hidden="false" customHeight="false" outlineLevel="0" collapsed="false">
      <c r="A14357" s="5" t="n">
        <f aca="false">VDB(0,0,5,1,2,1.5,TRUE())</f>
        <v>0</v>
      </c>
      <c r="B14357" s="0" t="s">
        <v>14254</v>
      </c>
    </row>
    <row r="14358" customFormat="false" ht="15" hidden="false" customHeight="false" outlineLevel="0" collapsed="false">
      <c r="A14358" s="5" t="n">
        <f aca="false">VDB(0,0,5,1,2,2,FALSE())</f>
        <v>0</v>
      </c>
      <c r="B14358" s="0" t="s">
        <v>14255</v>
      </c>
    </row>
    <row r="14359" customFormat="false" ht="15" hidden="false" customHeight="false" outlineLevel="0" collapsed="false">
      <c r="A14359" s="5" t="e">
        <f aca="false">VDB(0,0,5,1,2,,TRUE())</f>
        <v>#VALUE!</v>
      </c>
      <c r="B14359" s="0" t="s">
        <v>14256</v>
      </c>
    </row>
    <row r="14360" customFormat="false" ht="15" hidden="false" customHeight="false" outlineLevel="0" collapsed="false">
      <c r="A14360" s="5" t="n">
        <f aca="false">VDB(0,0,5,0,5)</f>
        <v>0</v>
      </c>
      <c r="B14360" s="0" t="s">
        <v>14257</v>
      </c>
    </row>
    <row r="14361" customFormat="false" ht="15" hidden="false" customHeight="false" outlineLevel="0" collapsed="false">
      <c r="A14361" s="5" t="n">
        <f aca="false">VDB(0,0,5,0,5,1.5)</f>
        <v>0</v>
      </c>
      <c r="B14361" s="0" t="s">
        <v>14258</v>
      </c>
    </row>
    <row r="14362" customFormat="false" ht="15" hidden="false" customHeight="false" outlineLevel="0" collapsed="false">
      <c r="A14362" s="5" t="n">
        <f aca="false">VDB(0,0,5,0,5,2)</f>
        <v>0</v>
      </c>
      <c r="B14362" s="0" t="s">
        <v>14259</v>
      </c>
    </row>
    <row r="14363" customFormat="false" ht="15" hidden="false" customHeight="false" outlineLevel="0" collapsed="false">
      <c r="A14363" s="5" t="n">
        <f aca="false">VDB(0,0,5,0,5,3)</f>
        <v>0</v>
      </c>
      <c r="B14363" s="0" t="s">
        <v>14260</v>
      </c>
    </row>
    <row r="14364" customFormat="false" ht="15" hidden="false" customHeight="false" outlineLevel="0" collapsed="false">
      <c r="A14364" s="5" t="e">
        <f aca="false">VDB(0,0,5,0,5,0)</f>
        <v>#VALUE!</v>
      </c>
      <c r="B14364" s="0" t="s">
        <v>14261</v>
      </c>
    </row>
    <row r="14365" customFormat="false" ht="15" hidden="false" customHeight="false" outlineLevel="0" collapsed="false">
      <c r="A14365" s="5" t="e">
        <f aca="false">VDB(0,0,5,0,5,-1)</f>
        <v>#VALUE!</v>
      </c>
      <c r="B14365" s="0" t="s">
        <v>14262</v>
      </c>
    </row>
    <row r="14366" customFormat="false" ht="15" hidden="false" customHeight="false" outlineLevel="0" collapsed="false">
      <c r="A14366" s="5" t="n">
        <f aca="false">VDB(0,0,5,0,5,2,TRUE())</f>
        <v>0</v>
      </c>
      <c r="B14366" s="0" t="s">
        <v>14263</v>
      </c>
    </row>
    <row r="14367" customFormat="false" ht="15" hidden="false" customHeight="false" outlineLevel="0" collapsed="false">
      <c r="A14367" s="5" t="n">
        <f aca="false">VDB(0,0,5,0,5,1.5,TRUE())</f>
        <v>0</v>
      </c>
      <c r="B14367" s="0" t="s">
        <v>14264</v>
      </c>
    </row>
    <row r="14368" customFormat="false" ht="15" hidden="false" customHeight="false" outlineLevel="0" collapsed="false">
      <c r="A14368" s="5" t="n">
        <f aca="false">VDB(0,0,5,0,5,2,FALSE())</f>
        <v>0</v>
      </c>
      <c r="B14368" s="0" t="s">
        <v>14265</v>
      </c>
    </row>
    <row r="14369" customFormat="false" ht="15" hidden="false" customHeight="false" outlineLevel="0" collapsed="false">
      <c r="A14369" s="5" t="e">
        <f aca="false">VDB(0,0,5,0,5,,TRUE())</f>
        <v>#VALUE!</v>
      </c>
      <c r="B14369" s="0" t="s">
        <v>14266</v>
      </c>
    </row>
    <row r="14370" customFormat="false" ht="15" hidden="false" customHeight="false" outlineLevel="0" collapsed="false">
      <c r="A14370" s="5" t="n">
        <f aca="false">VDB(0,0,5,0.5,1.5)</f>
        <v>0</v>
      </c>
      <c r="B14370" s="0" t="s">
        <v>14267</v>
      </c>
    </row>
    <row r="14371" customFormat="false" ht="15" hidden="false" customHeight="false" outlineLevel="0" collapsed="false">
      <c r="A14371" s="5" t="n">
        <f aca="false">VDB(0,0,5,0.5,1.5,1.5)</f>
        <v>0</v>
      </c>
      <c r="B14371" s="0" t="s">
        <v>14268</v>
      </c>
    </row>
    <row r="14372" customFormat="false" ht="15" hidden="false" customHeight="false" outlineLevel="0" collapsed="false">
      <c r="A14372" s="5" t="n">
        <f aca="false">VDB(0,0,5,0.5,1.5,2)</f>
        <v>0</v>
      </c>
      <c r="B14372" s="0" t="s">
        <v>14269</v>
      </c>
    </row>
    <row r="14373" customFormat="false" ht="15" hidden="false" customHeight="false" outlineLevel="0" collapsed="false">
      <c r="A14373" s="5" t="n">
        <f aca="false">VDB(0,0,5,0.5,1.5,3)</f>
        <v>0</v>
      </c>
      <c r="B14373" s="0" t="s">
        <v>14270</v>
      </c>
    </row>
    <row r="14374" customFormat="false" ht="15" hidden="false" customHeight="false" outlineLevel="0" collapsed="false">
      <c r="A14374" s="5" t="e">
        <f aca="false">VDB(0,0,5,0.5,1.5,0)</f>
        <v>#VALUE!</v>
      </c>
      <c r="B14374" s="0" t="s">
        <v>14271</v>
      </c>
    </row>
    <row r="14375" customFormat="false" ht="15" hidden="false" customHeight="false" outlineLevel="0" collapsed="false">
      <c r="A14375" s="5" t="e">
        <f aca="false">VDB(0,0,5,0.5,1.5,-1)</f>
        <v>#VALUE!</v>
      </c>
      <c r="B14375" s="0" t="s">
        <v>14272</v>
      </c>
    </row>
    <row r="14376" customFormat="false" ht="15" hidden="false" customHeight="false" outlineLevel="0" collapsed="false">
      <c r="A14376" s="5" t="n">
        <f aca="false">VDB(0,0,5,0.5,1.5,2,TRUE())</f>
        <v>0</v>
      </c>
      <c r="B14376" s="0" t="s">
        <v>14273</v>
      </c>
    </row>
    <row r="14377" customFormat="false" ht="15" hidden="false" customHeight="false" outlineLevel="0" collapsed="false">
      <c r="A14377" s="5" t="n">
        <f aca="false">VDB(0,0,5,0.5,1.5,1.5,TRUE())</f>
        <v>0</v>
      </c>
      <c r="B14377" s="0" t="s">
        <v>14274</v>
      </c>
    </row>
    <row r="14378" customFormat="false" ht="15" hidden="false" customHeight="false" outlineLevel="0" collapsed="false">
      <c r="A14378" s="5" t="n">
        <f aca="false">VDB(0,0,5,0.5,1.5,2,FALSE())</f>
        <v>0</v>
      </c>
      <c r="B14378" s="0" t="s">
        <v>14275</v>
      </c>
    </row>
    <row r="14379" customFormat="false" ht="15" hidden="false" customHeight="false" outlineLevel="0" collapsed="false">
      <c r="A14379" s="5" t="e">
        <f aca="false">VDB(0,0,5,0.5,1.5,,TRUE())</f>
        <v>#VALUE!</v>
      </c>
      <c r="B14379" s="0" t="s">
        <v>14276</v>
      </c>
    </row>
    <row r="14380" customFormat="false" ht="15" hidden="false" customHeight="false" outlineLevel="0" collapsed="false">
      <c r="A14380" s="5" t="n">
        <f aca="false">VDB(0,0,5,2,3)</f>
        <v>0</v>
      </c>
      <c r="B14380" s="0" t="s">
        <v>14277</v>
      </c>
    </row>
    <row r="14381" customFormat="false" ht="15" hidden="false" customHeight="false" outlineLevel="0" collapsed="false">
      <c r="A14381" s="5" t="n">
        <f aca="false">VDB(0,0,5,2,3,1.5)</f>
        <v>0</v>
      </c>
      <c r="B14381" s="0" t="s">
        <v>14278</v>
      </c>
    </row>
    <row r="14382" customFormat="false" ht="15" hidden="false" customHeight="false" outlineLevel="0" collapsed="false">
      <c r="A14382" s="5" t="n">
        <f aca="false">VDB(0,0,5,2,3,2)</f>
        <v>0</v>
      </c>
      <c r="B14382" s="0" t="s">
        <v>14279</v>
      </c>
    </row>
    <row r="14383" customFormat="false" ht="15" hidden="false" customHeight="false" outlineLevel="0" collapsed="false">
      <c r="A14383" s="5" t="n">
        <f aca="false">VDB(0,0,5,2,3,3)</f>
        <v>0</v>
      </c>
      <c r="B14383" s="0" t="s">
        <v>14280</v>
      </c>
    </row>
    <row r="14384" customFormat="false" ht="15" hidden="false" customHeight="false" outlineLevel="0" collapsed="false">
      <c r="A14384" s="5" t="e">
        <f aca="false">VDB(0,0,5,2,3,0)</f>
        <v>#VALUE!</v>
      </c>
      <c r="B14384" s="0" t="s">
        <v>14281</v>
      </c>
    </row>
    <row r="14385" customFormat="false" ht="15" hidden="false" customHeight="false" outlineLevel="0" collapsed="false">
      <c r="A14385" s="5" t="e">
        <f aca="false">VDB(0,0,5,2,3,-1)</f>
        <v>#VALUE!</v>
      </c>
      <c r="B14385" s="0" t="s">
        <v>14282</v>
      </c>
    </row>
    <row r="14386" customFormat="false" ht="15" hidden="false" customHeight="false" outlineLevel="0" collapsed="false">
      <c r="A14386" s="5" t="n">
        <f aca="false">VDB(0,0,5,2,3,2,TRUE())</f>
        <v>0</v>
      </c>
      <c r="B14386" s="0" t="s">
        <v>14283</v>
      </c>
    </row>
    <row r="14387" customFormat="false" ht="15" hidden="false" customHeight="false" outlineLevel="0" collapsed="false">
      <c r="A14387" s="5" t="n">
        <f aca="false">VDB(0,0,5,2,3,1.5,TRUE())</f>
        <v>0</v>
      </c>
      <c r="B14387" s="0" t="s">
        <v>14284</v>
      </c>
    </row>
    <row r="14388" customFormat="false" ht="15" hidden="false" customHeight="false" outlineLevel="0" collapsed="false">
      <c r="A14388" s="5" t="n">
        <f aca="false">VDB(0,0,5,2,3,2,FALSE())</f>
        <v>0</v>
      </c>
      <c r="B14388" s="0" t="s">
        <v>14285</v>
      </c>
    </row>
    <row r="14389" customFormat="false" ht="15" hidden="false" customHeight="false" outlineLevel="0" collapsed="false">
      <c r="A14389" s="5" t="e">
        <f aca="false">VDB(0,0,5,2,3,,TRUE())</f>
        <v>#VALUE!</v>
      </c>
      <c r="B14389" s="0" t="s">
        <v>14286</v>
      </c>
    </row>
    <row r="14390" customFormat="false" ht="15" hidden="false" customHeight="false" outlineLevel="0" collapsed="false">
      <c r="A14390" s="5" t="n">
        <f aca="false">VDB(0,0,5,0,5)</f>
        <v>0</v>
      </c>
      <c r="B14390" s="0" t="s">
        <v>14257</v>
      </c>
    </row>
    <row r="14391" customFormat="false" ht="15" hidden="false" customHeight="false" outlineLevel="0" collapsed="false">
      <c r="A14391" s="5" t="n">
        <f aca="false">VDB(0,0,5,0,5,1.5)</f>
        <v>0</v>
      </c>
      <c r="B14391" s="0" t="s">
        <v>14258</v>
      </c>
    </row>
    <row r="14392" customFormat="false" ht="15" hidden="false" customHeight="false" outlineLevel="0" collapsed="false">
      <c r="A14392" s="5" t="n">
        <f aca="false">VDB(0,0,5,0,5,2)</f>
        <v>0</v>
      </c>
      <c r="B14392" s="0" t="s">
        <v>14259</v>
      </c>
    </row>
    <row r="14393" customFormat="false" ht="15" hidden="false" customHeight="false" outlineLevel="0" collapsed="false">
      <c r="A14393" s="5" t="n">
        <f aca="false">VDB(0,0,5,0,5,3)</f>
        <v>0</v>
      </c>
      <c r="B14393" s="0" t="s">
        <v>14260</v>
      </c>
    </row>
    <row r="14394" customFormat="false" ht="15" hidden="false" customHeight="false" outlineLevel="0" collapsed="false">
      <c r="A14394" s="5" t="e">
        <f aca="false">VDB(0,0,5,0,5,0)</f>
        <v>#VALUE!</v>
      </c>
      <c r="B14394" s="0" t="s">
        <v>14261</v>
      </c>
    </row>
    <row r="14395" customFormat="false" ht="15" hidden="false" customHeight="false" outlineLevel="0" collapsed="false">
      <c r="A14395" s="5" t="e">
        <f aca="false">VDB(0,0,5,0,5,-1)</f>
        <v>#VALUE!</v>
      </c>
      <c r="B14395" s="0" t="s">
        <v>14262</v>
      </c>
    </row>
    <row r="14396" customFormat="false" ht="15" hidden="false" customHeight="false" outlineLevel="0" collapsed="false">
      <c r="A14396" s="5" t="n">
        <f aca="false">VDB(0,0,5,0,5,2,TRUE())</f>
        <v>0</v>
      </c>
      <c r="B14396" s="0" t="s">
        <v>14263</v>
      </c>
    </row>
    <row r="14397" customFormat="false" ht="15" hidden="false" customHeight="false" outlineLevel="0" collapsed="false">
      <c r="A14397" s="5" t="n">
        <f aca="false">VDB(0,0,5,0,5,1.5,TRUE())</f>
        <v>0</v>
      </c>
      <c r="B14397" s="0" t="s">
        <v>14264</v>
      </c>
    </row>
    <row r="14398" customFormat="false" ht="15" hidden="false" customHeight="false" outlineLevel="0" collapsed="false">
      <c r="A14398" s="5" t="n">
        <f aca="false">VDB(0,0,5,0,5,2,FALSE())</f>
        <v>0</v>
      </c>
      <c r="B14398" s="0" t="s">
        <v>14265</v>
      </c>
    </row>
    <row r="14399" customFormat="false" ht="15" hidden="false" customHeight="false" outlineLevel="0" collapsed="false">
      <c r="A14399" s="5" t="e">
        <f aca="false">VDB(0,0,5,0,5,,TRUE())</f>
        <v>#VALUE!</v>
      </c>
      <c r="B14399" s="0" t="s">
        <v>14266</v>
      </c>
    </row>
    <row r="14400" customFormat="false" ht="15" hidden="false" customHeight="false" outlineLevel="0" collapsed="false">
      <c r="A14400" s="5" t="n">
        <f aca="false">VDB(0,0,5,4,5)</f>
        <v>0</v>
      </c>
      <c r="B14400" s="0" t="s">
        <v>14287</v>
      </c>
    </row>
    <row r="14401" customFormat="false" ht="15" hidden="false" customHeight="false" outlineLevel="0" collapsed="false">
      <c r="A14401" s="5" t="n">
        <f aca="false">VDB(0,0,5,4,5,1.5)</f>
        <v>0</v>
      </c>
      <c r="B14401" s="0" t="s">
        <v>14288</v>
      </c>
    </row>
    <row r="14402" customFormat="false" ht="15" hidden="false" customHeight="false" outlineLevel="0" collapsed="false">
      <c r="A14402" s="5" t="n">
        <f aca="false">VDB(0,0,5,4,5,2)</f>
        <v>0</v>
      </c>
      <c r="B14402" s="0" t="s">
        <v>14289</v>
      </c>
    </row>
    <row r="14403" customFormat="false" ht="15" hidden="false" customHeight="false" outlineLevel="0" collapsed="false">
      <c r="A14403" s="5" t="n">
        <f aca="false">VDB(0,0,5,4,5,3)</f>
        <v>0</v>
      </c>
      <c r="B14403" s="0" t="s">
        <v>14290</v>
      </c>
    </row>
    <row r="14404" customFormat="false" ht="15" hidden="false" customHeight="false" outlineLevel="0" collapsed="false">
      <c r="A14404" s="5" t="e">
        <f aca="false">VDB(0,0,5,4,5,0)</f>
        <v>#VALUE!</v>
      </c>
      <c r="B14404" s="0" t="s">
        <v>14291</v>
      </c>
    </row>
    <row r="14405" customFormat="false" ht="15" hidden="false" customHeight="false" outlineLevel="0" collapsed="false">
      <c r="A14405" s="5" t="e">
        <f aca="false">VDB(0,0,5,4,5,-1)</f>
        <v>#VALUE!</v>
      </c>
      <c r="B14405" s="0" t="s">
        <v>14292</v>
      </c>
    </row>
    <row r="14406" customFormat="false" ht="15" hidden="false" customHeight="false" outlineLevel="0" collapsed="false">
      <c r="A14406" s="5" t="n">
        <f aca="false">VDB(0,0,5,4,5,2,TRUE())</f>
        <v>0</v>
      </c>
      <c r="B14406" s="0" t="s">
        <v>14293</v>
      </c>
    </row>
    <row r="14407" customFormat="false" ht="15" hidden="false" customHeight="false" outlineLevel="0" collapsed="false">
      <c r="A14407" s="5" t="n">
        <f aca="false">VDB(0,0,5,4,5,1.5,TRUE())</f>
        <v>0</v>
      </c>
      <c r="B14407" s="0" t="s">
        <v>14294</v>
      </c>
    </row>
    <row r="14408" customFormat="false" ht="15" hidden="false" customHeight="false" outlineLevel="0" collapsed="false">
      <c r="A14408" s="5" t="n">
        <f aca="false">VDB(0,0,5,4,5,2,FALSE())</f>
        <v>0</v>
      </c>
      <c r="B14408" s="0" t="s">
        <v>14295</v>
      </c>
    </row>
    <row r="14409" customFormat="false" ht="15" hidden="false" customHeight="false" outlineLevel="0" collapsed="false">
      <c r="A14409" s="5" t="e">
        <f aca="false">VDB(0,0,5,4,5,,TRUE())</f>
        <v>#VALUE!</v>
      </c>
      <c r="B14409" s="0" t="s">
        <v>14296</v>
      </c>
    </row>
    <row r="14410" customFormat="false" ht="15" hidden="false" customHeight="false" outlineLevel="0" collapsed="false">
      <c r="A14410" s="5" t="n">
        <f aca="false">VDB(0,0,5,3.5,4.2)</f>
        <v>0</v>
      </c>
      <c r="B14410" s="0" t="s">
        <v>14297</v>
      </c>
    </row>
    <row r="14411" customFormat="false" ht="15" hidden="false" customHeight="false" outlineLevel="0" collapsed="false">
      <c r="A14411" s="5" t="n">
        <f aca="false">VDB(0,0,5,3.5,4.2,1.5)</f>
        <v>0</v>
      </c>
      <c r="B14411" s="0" t="s">
        <v>14298</v>
      </c>
    </row>
    <row r="14412" customFormat="false" ht="15" hidden="false" customHeight="false" outlineLevel="0" collapsed="false">
      <c r="A14412" s="5" t="n">
        <f aca="false">VDB(0,0,5,3.5,4.2,2)</f>
        <v>0</v>
      </c>
      <c r="B14412" s="0" t="s">
        <v>14299</v>
      </c>
    </row>
    <row r="14413" customFormat="false" ht="15" hidden="false" customHeight="false" outlineLevel="0" collapsed="false">
      <c r="A14413" s="5" t="n">
        <f aca="false">VDB(0,0,5,3.5,4.2,3)</f>
        <v>0</v>
      </c>
      <c r="B14413" s="0" t="s">
        <v>14300</v>
      </c>
    </row>
    <row r="14414" customFormat="false" ht="15" hidden="false" customHeight="false" outlineLevel="0" collapsed="false">
      <c r="A14414" s="5" t="e">
        <f aca="false">VDB(0,0,5,3.5,4.2,0)</f>
        <v>#VALUE!</v>
      </c>
      <c r="B14414" s="0" t="s">
        <v>14301</v>
      </c>
    </row>
    <row r="14415" customFormat="false" ht="15" hidden="false" customHeight="false" outlineLevel="0" collapsed="false">
      <c r="A14415" s="5" t="e">
        <f aca="false">VDB(0,0,5,3.5,4.2,-1)</f>
        <v>#VALUE!</v>
      </c>
      <c r="B14415" s="0" t="s">
        <v>14302</v>
      </c>
    </row>
    <row r="14416" customFormat="false" ht="15" hidden="false" customHeight="false" outlineLevel="0" collapsed="false">
      <c r="A14416" s="5" t="n">
        <f aca="false">VDB(0,0,5,3.5,4.2,2,TRUE())</f>
        <v>0</v>
      </c>
      <c r="B14416" s="0" t="s">
        <v>14303</v>
      </c>
    </row>
    <row r="14417" customFormat="false" ht="15" hidden="false" customHeight="false" outlineLevel="0" collapsed="false">
      <c r="A14417" s="5" t="n">
        <f aca="false">VDB(0,0,5,3.5,4.2,1.5,TRUE())</f>
        <v>0</v>
      </c>
      <c r="B14417" s="0" t="s">
        <v>14304</v>
      </c>
    </row>
    <row r="14418" customFormat="false" ht="15" hidden="false" customHeight="false" outlineLevel="0" collapsed="false">
      <c r="A14418" s="5" t="n">
        <f aca="false">VDB(0,0,5,3.5,4.2,2,FALSE())</f>
        <v>0</v>
      </c>
      <c r="B14418" s="0" t="s">
        <v>14305</v>
      </c>
    </row>
    <row r="14419" customFormat="false" ht="15" hidden="false" customHeight="false" outlineLevel="0" collapsed="false">
      <c r="A14419" s="5" t="e">
        <f aca="false">VDB(0,0,5,3.5,4.2,,TRUE())</f>
        <v>#VALUE!</v>
      </c>
      <c r="B14419" s="0" t="s">
        <v>14306</v>
      </c>
    </row>
    <row r="14420" customFormat="false" ht="15" hidden="false" customHeight="false" outlineLevel="0" collapsed="false">
      <c r="A14420" s="5" t="n">
        <f aca="false">VDB(0,0,5,0,0)</f>
        <v>0</v>
      </c>
      <c r="B14420" s="0" t="s">
        <v>14307</v>
      </c>
    </row>
    <row r="14421" customFormat="false" ht="15" hidden="false" customHeight="false" outlineLevel="0" collapsed="false">
      <c r="A14421" s="5" t="n">
        <f aca="false">VDB(0,0,5,0,0,1.5)</f>
        <v>0</v>
      </c>
      <c r="B14421" s="0" t="s">
        <v>14308</v>
      </c>
    </row>
    <row r="14422" customFormat="false" ht="15" hidden="false" customHeight="false" outlineLevel="0" collapsed="false">
      <c r="A14422" s="5" t="n">
        <f aca="false">VDB(0,0,5,0,0,2)</f>
        <v>0</v>
      </c>
      <c r="B14422" s="0" t="s">
        <v>14309</v>
      </c>
    </row>
    <row r="14423" customFormat="false" ht="15" hidden="false" customHeight="false" outlineLevel="0" collapsed="false">
      <c r="A14423" s="5" t="n">
        <f aca="false">VDB(0,0,5,0,0,3)</f>
        <v>0</v>
      </c>
      <c r="B14423" s="0" t="s">
        <v>14310</v>
      </c>
    </row>
    <row r="14424" customFormat="false" ht="15" hidden="false" customHeight="false" outlineLevel="0" collapsed="false">
      <c r="A14424" s="5" t="e">
        <f aca="false">VDB(0,0,5,0,0,0)</f>
        <v>#VALUE!</v>
      </c>
      <c r="B14424" s="0" t="s">
        <v>14311</v>
      </c>
    </row>
    <row r="14425" customFormat="false" ht="15" hidden="false" customHeight="false" outlineLevel="0" collapsed="false">
      <c r="A14425" s="5" t="e">
        <f aca="false">VDB(0,0,5,0,0,-1)</f>
        <v>#VALUE!</v>
      </c>
      <c r="B14425" s="0" t="s">
        <v>14312</v>
      </c>
    </row>
    <row r="14426" customFormat="false" ht="15" hidden="false" customHeight="false" outlineLevel="0" collapsed="false">
      <c r="A14426" s="5" t="n">
        <f aca="false">VDB(0,0,5,0,0,2,TRUE())</f>
        <v>0</v>
      </c>
      <c r="B14426" s="0" t="s">
        <v>14313</v>
      </c>
    </row>
    <row r="14427" customFormat="false" ht="15" hidden="false" customHeight="false" outlineLevel="0" collapsed="false">
      <c r="A14427" s="5" t="n">
        <f aca="false">VDB(0,0,5,0,0,1.5,TRUE())</f>
        <v>0</v>
      </c>
      <c r="B14427" s="0" t="s">
        <v>14314</v>
      </c>
    </row>
    <row r="14428" customFormat="false" ht="15" hidden="false" customHeight="false" outlineLevel="0" collapsed="false">
      <c r="A14428" s="5" t="n">
        <f aca="false">VDB(0,0,5,0,0,2,FALSE())</f>
        <v>0</v>
      </c>
      <c r="B14428" s="0" t="s">
        <v>14315</v>
      </c>
    </row>
    <row r="14429" customFormat="false" ht="15" hidden="false" customHeight="false" outlineLevel="0" collapsed="false">
      <c r="A14429" s="5" t="e">
        <f aca="false">VDB(0,0,5,0,0,,TRUE())</f>
        <v>#VALUE!</v>
      </c>
      <c r="B14429" s="0" t="s">
        <v>14316</v>
      </c>
    </row>
    <row r="14430" customFormat="false" ht="15" hidden="false" customHeight="false" outlineLevel="0" collapsed="false">
      <c r="A14430" s="5" t="n">
        <f aca="false">VDB(0,0,5,1,1)</f>
        <v>0</v>
      </c>
      <c r="B14430" s="0" t="s">
        <v>14317</v>
      </c>
    </row>
    <row r="14431" customFormat="false" ht="15" hidden="false" customHeight="false" outlineLevel="0" collapsed="false">
      <c r="A14431" s="5" t="n">
        <f aca="false">VDB(0,0,5,1,1,1.5)</f>
        <v>0</v>
      </c>
      <c r="B14431" s="0" t="s">
        <v>14318</v>
      </c>
    </row>
    <row r="14432" customFormat="false" ht="15" hidden="false" customHeight="false" outlineLevel="0" collapsed="false">
      <c r="A14432" s="5" t="n">
        <f aca="false">VDB(0,0,5,1,1,2)</f>
        <v>0</v>
      </c>
      <c r="B14432" s="0" t="s">
        <v>14319</v>
      </c>
    </row>
    <row r="14433" customFormat="false" ht="15" hidden="false" customHeight="false" outlineLevel="0" collapsed="false">
      <c r="A14433" s="5" t="n">
        <f aca="false">VDB(0,0,5,1,1,3)</f>
        <v>0</v>
      </c>
      <c r="B14433" s="0" t="s">
        <v>14320</v>
      </c>
    </row>
    <row r="14434" customFormat="false" ht="15" hidden="false" customHeight="false" outlineLevel="0" collapsed="false">
      <c r="A14434" s="5" t="e">
        <f aca="false">VDB(0,0,5,1,1,0)</f>
        <v>#VALUE!</v>
      </c>
      <c r="B14434" s="0" t="s">
        <v>14321</v>
      </c>
    </row>
    <row r="14435" customFormat="false" ht="15" hidden="false" customHeight="false" outlineLevel="0" collapsed="false">
      <c r="A14435" s="5" t="e">
        <f aca="false">VDB(0,0,5,1,1,-1)</f>
        <v>#VALUE!</v>
      </c>
      <c r="B14435" s="0" t="s">
        <v>14322</v>
      </c>
    </row>
    <row r="14436" customFormat="false" ht="15" hidden="false" customHeight="false" outlineLevel="0" collapsed="false">
      <c r="A14436" s="5" t="n">
        <f aca="false">VDB(0,0,5,1,1,2,TRUE())</f>
        <v>0</v>
      </c>
      <c r="B14436" s="0" t="s">
        <v>14323</v>
      </c>
    </row>
    <row r="14437" customFormat="false" ht="15" hidden="false" customHeight="false" outlineLevel="0" collapsed="false">
      <c r="A14437" s="5" t="n">
        <f aca="false">VDB(0,0,5,1,1,1.5,TRUE())</f>
        <v>0</v>
      </c>
      <c r="B14437" s="0" t="s">
        <v>14324</v>
      </c>
    </row>
    <row r="14438" customFormat="false" ht="15" hidden="false" customHeight="false" outlineLevel="0" collapsed="false">
      <c r="A14438" s="5" t="n">
        <f aca="false">VDB(0,0,5,1,1,2,FALSE())</f>
        <v>0</v>
      </c>
      <c r="B14438" s="0" t="s">
        <v>14325</v>
      </c>
    </row>
    <row r="14439" customFormat="false" ht="15" hidden="false" customHeight="false" outlineLevel="0" collapsed="false">
      <c r="A14439" s="5" t="e">
        <f aca="false">VDB(0,0,5,1,1,,TRUE())</f>
        <v>#VALUE!</v>
      </c>
      <c r="B14439" s="0" t="s">
        <v>14326</v>
      </c>
    </row>
    <row r="14440" customFormat="false" ht="15" hidden="false" customHeight="false" outlineLevel="0" collapsed="false">
      <c r="A14440" s="5" t="e">
        <f aca="false">VDB(0,0,5,2,1)</f>
        <v>#VALUE!</v>
      </c>
      <c r="B14440" s="0" t="s">
        <v>14327</v>
      </c>
    </row>
    <row r="14441" customFormat="false" ht="15" hidden="false" customHeight="false" outlineLevel="0" collapsed="false">
      <c r="A14441" s="5" t="e">
        <f aca="false">VDB(0,0,5,2,1,1.5)</f>
        <v>#VALUE!</v>
      </c>
      <c r="B14441" s="0" t="s">
        <v>14328</v>
      </c>
    </row>
    <row r="14442" customFormat="false" ht="15" hidden="false" customHeight="false" outlineLevel="0" collapsed="false">
      <c r="A14442" s="5" t="e">
        <f aca="false">VDB(0,0,5,2,1,2)</f>
        <v>#VALUE!</v>
      </c>
      <c r="B14442" s="0" t="s">
        <v>14329</v>
      </c>
    </row>
    <row r="14443" customFormat="false" ht="15" hidden="false" customHeight="false" outlineLevel="0" collapsed="false">
      <c r="A14443" s="5" t="e">
        <f aca="false">VDB(0,0,5,2,1,3)</f>
        <v>#VALUE!</v>
      </c>
      <c r="B14443" s="0" t="s">
        <v>14330</v>
      </c>
    </row>
    <row r="14444" customFormat="false" ht="15" hidden="false" customHeight="false" outlineLevel="0" collapsed="false">
      <c r="A14444" s="5" t="e">
        <f aca="false">VDB(0,0,5,2,1,0)</f>
        <v>#VALUE!</v>
      </c>
      <c r="B14444" s="0" t="s">
        <v>14331</v>
      </c>
    </row>
    <row r="14445" customFormat="false" ht="15" hidden="false" customHeight="false" outlineLevel="0" collapsed="false">
      <c r="A14445" s="5" t="e">
        <f aca="false">VDB(0,0,5,2,1,-1)</f>
        <v>#VALUE!</v>
      </c>
      <c r="B14445" s="0" t="s">
        <v>14332</v>
      </c>
    </row>
    <row r="14446" customFormat="false" ht="15" hidden="false" customHeight="false" outlineLevel="0" collapsed="false">
      <c r="A14446" s="5" t="e">
        <f aca="false">VDB(0,0,5,2,1,2,TRUE())</f>
        <v>#VALUE!</v>
      </c>
      <c r="B14446" s="0" t="s">
        <v>14333</v>
      </c>
    </row>
    <row r="14447" customFormat="false" ht="15" hidden="false" customHeight="false" outlineLevel="0" collapsed="false">
      <c r="A14447" s="5" t="e">
        <f aca="false">VDB(0,0,5,2,1,1.5,TRUE())</f>
        <v>#VALUE!</v>
      </c>
      <c r="B14447" s="0" t="s">
        <v>14334</v>
      </c>
    </row>
    <row r="14448" customFormat="false" ht="15" hidden="false" customHeight="false" outlineLevel="0" collapsed="false">
      <c r="A14448" s="5" t="e">
        <f aca="false">VDB(0,0,5,2,1,2,FALSE())</f>
        <v>#VALUE!</v>
      </c>
      <c r="B14448" s="0" t="s">
        <v>14335</v>
      </c>
    </row>
    <row r="14449" customFormat="false" ht="15" hidden="false" customHeight="false" outlineLevel="0" collapsed="false">
      <c r="A14449" s="5" t="e">
        <f aca="false">VDB(0,0,5,2,1,,TRUE())</f>
        <v>#VALUE!</v>
      </c>
      <c r="B14449" s="0" t="s">
        <v>14336</v>
      </c>
    </row>
    <row r="14450" customFormat="false" ht="15" hidden="false" customHeight="false" outlineLevel="0" collapsed="false">
      <c r="A14450" s="5" t="e">
        <f aca="false">VDB(0,0,5,0,6)</f>
        <v>#VALUE!</v>
      </c>
      <c r="B14450" s="0" t="s">
        <v>14337</v>
      </c>
    </row>
    <row r="14451" customFormat="false" ht="15" hidden="false" customHeight="false" outlineLevel="0" collapsed="false">
      <c r="A14451" s="5" t="e">
        <f aca="false">VDB(0,0,5,0,6,1.5)</f>
        <v>#VALUE!</v>
      </c>
      <c r="B14451" s="0" t="s">
        <v>14338</v>
      </c>
    </row>
    <row r="14452" customFormat="false" ht="15" hidden="false" customHeight="false" outlineLevel="0" collapsed="false">
      <c r="A14452" s="5" t="e">
        <f aca="false">VDB(0,0,5,0,6,2)</f>
        <v>#VALUE!</v>
      </c>
      <c r="B14452" s="0" t="s">
        <v>14339</v>
      </c>
    </row>
    <row r="14453" customFormat="false" ht="15" hidden="false" customHeight="false" outlineLevel="0" collapsed="false">
      <c r="A14453" s="5" t="e">
        <f aca="false">VDB(0,0,5,0,6,3)</f>
        <v>#VALUE!</v>
      </c>
      <c r="B14453" s="0" t="s">
        <v>14340</v>
      </c>
    </row>
    <row r="14454" customFormat="false" ht="15" hidden="false" customHeight="false" outlineLevel="0" collapsed="false">
      <c r="A14454" s="5" t="e">
        <f aca="false">VDB(0,0,5,0,6,0)</f>
        <v>#VALUE!</v>
      </c>
      <c r="B14454" s="0" t="s">
        <v>14341</v>
      </c>
    </row>
    <row r="14455" customFormat="false" ht="15" hidden="false" customHeight="false" outlineLevel="0" collapsed="false">
      <c r="A14455" s="5" t="e">
        <f aca="false">VDB(0,0,5,0,6,-1)</f>
        <v>#VALUE!</v>
      </c>
      <c r="B14455" s="0" t="s">
        <v>14342</v>
      </c>
    </row>
    <row r="14456" customFormat="false" ht="15" hidden="false" customHeight="false" outlineLevel="0" collapsed="false">
      <c r="A14456" s="5" t="e">
        <f aca="false">VDB(0,0,5,0,6,2,TRUE())</f>
        <v>#VALUE!</v>
      </c>
      <c r="B14456" s="0" t="s">
        <v>14343</v>
      </c>
    </row>
    <row r="14457" customFormat="false" ht="15" hidden="false" customHeight="false" outlineLevel="0" collapsed="false">
      <c r="A14457" s="5" t="e">
        <f aca="false">VDB(0,0,5,0,6,1.5,TRUE())</f>
        <v>#VALUE!</v>
      </c>
      <c r="B14457" s="0" t="s">
        <v>14344</v>
      </c>
    </row>
    <row r="14458" customFormat="false" ht="15" hidden="false" customHeight="false" outlineLevel="0" collapsed="false">
      <c r="A14458" s="5" t="e">
        <f aca="false">VDB(0,0,5,0,6,2,FALSE())</f>
        <v>#VALUE!</v>
      </c>
      <c r="B14458" s="0" t="s">
        <v>14345</v>
      </c>
    </row>
    <row r="14459" customFormat="false" ht="15" hidden="false" customHeight="false" outlineLevel="0" collapsed="false">
      <c r="A14459" s="5" t="e">
        <f aca="false">VDB(0,0,5,0,6,,TRUE())</f>
        <v>#VALUE!</v>
      </c>
      <c r="B14459" s="0" t="s">
        <v>14346</v>
      </c>
    </row>
    <row r="14460" customFormat="false" ht="15" hidden="false" customHeight="false" outlineLevel="0" collapsed="false">
      <c r="A14460" s="5" t="e">
        <f aca="false">VDB(0,0,5,-1,1)</f>
        <v>#VALUE!</v>
      </c>
      <c r="B14460" s="0" t="s">
        <v>14347</v>
      </c>
    </row>
    <row r="14461" customFormat="false" ht="15" hidden="false" customHeight="false" outlineLevel="0" collapsed="false">
      <c r="A14461" s="5" t="e">
        <f aca="false">VDB(0,0,5,-1,1,1.5)</f>
        <v>#VALUE!</v>
      </c>
      <c r="B14461" s="0" t="s">
        <v>14348</v>
      </c>
    </row>
    <row r="14462" customFormat="false" ht="15" hidden="false" customHeight="false" outlineLevel="0" collapsed="false">
      <c r="A14462" s="5" t="e">
        <f aca="false">VDB(0,0,5,-1,1,2)</f>
        <v>#VALUE!</v>
      </c>
      <c r="B14462" s="0" t="s">
        <v>14349</v>
      </c>
    </row>
    <row r="14463" customFormat="false" ht="15" hidden="false" customHeight="false" outlineLevel="0" collapsed="false">
      <c r="A14463" s="5" t="e">
        <f aca="false">VDB(0,0,5,-1,1,3)</f>
        <v>#VALUE!</v>
      </c>
      <c r="B14463" s="0" t="s">
        <v>14350</v>
      </c>
    </row>
    <row r="14464" customFormat="false" ht="15" hidden="false" customHeight="false" outlineLevel="0" collapsed="false">
      <c r="A14464" s="5" t="e">
        <f aca="false">VDB(0,0,5,-1,1,0)</f>
        <v>#VALUE!</v>
      </c>
      <c r="B14464" s="0" t="s">
        <v>14351</v>
      </c>
    </row>
    <row r="14465" customFormat="false" ht="15" hidden="false" customHeight="false" outlineLevel="0" collapsed="false">
      <c r="A14465" s="5" t="e">
        <f aca="false">VDB(0,0,5,-1,1,-1)</f>
        <v>#VALUE!</v>
      </c>
      <c r="B14465" s="0" t="s">
        <v>14352</v>
      </c>
    </row>
    <row r="14466" customFormat="false" ht="15" hidden="false" customHeight="false" outlineLevel="0" collapsed="false">
      <c r="A14466" s="5" t="e">
        <f aca="false">VDB(0,0,5,-1,1,2,TRUE())</f>
        <v>#VALUE!</v>
      </c>
      <c r="B14466" s="0" t="s">
        <v>14353</v>
      </c>
    </row>
    <row r="14467" customFormat="false" ht="15" hidden="false" customHeight="false" outlineLevel="0" collapsed="false">
      <c r="A14467" s="5" t="e">
        <f aca="false">VDB(0,0,5,-1,1,1.5,TRUE())</f>
        <v>#VALUE!</v>
      </c>
      <c r="B14467" s="0" t="s">
        <v>14354</v>
      </c>
    </row>
    <row r="14468" customFormat="false" ht="15" hidden="false" customHeight="false" outlineLevel="0" collapsed="false">
      <c r="A14468" s="5" t="e">
        <f aca="false">VDB(0,0,5,-1,1,2,FALSE())</f>
        <v>#VALUE!</v>
      </c>
      <c r="B14468" s="0" t="s">
        <v>14355</v>
      </c>
    </row>
    <row r="14469" customFormat="false" ht="15" hidden="false" customHeight="false" outlineLevel="0" collapsed="false">
      <c r="A14469" s="5" t="e">
        <f aca="false">VDB(0,0,5,-1,1,,TRUE())</f>
        <v>#VALUE!</v>
      </c>
      <c r="B14469" s="0" t="s">
        <v>14356</v>
      </c>
    </row>
    <row r="14470" customFormat="false" ht="15" hidden="false" customHeight="false" outlineLevel="0" collapsed="false">
      <c r="A14470" s="5" t="n">
        <f aca="false">VDB(0,0,5,0.25,0.75)</f>
        <v>0</v>
      </c>
      <c r="B14470" s="0" t="s">
        <v>14357</v>
      </c>
    </row>
    <row r="14471" customFormat="false" ht="15" hidden="false" customHeight="false" outlineLevel="0" collapsed="false">
      <c r="A14471" s="5" t="n">
        <f aca="false">VDB(0,0,5,0.25,0.75,1.5)</f>
        <v>0</v>
      </c>
      <c r="B14471" s="0" t="s">
        <v>14358</v>
      </c>
    </row>
    <row r="14472" customFormat="false" ht="15" hidden="false" customHeight="false" outlineLevel="0" collapsed="false">
      <c r="A14472" s="5" t="n">
        <f aca="false">VDB(0,0,5,0.25,0.75,2)</f>
        <v>0</v>
      </c>
      <c r="B14472" s="0" t="s">
        <v>14359</v>
      </c>
    </row>
    <row r="14473" customFormat="false" ht="15" hidden="false" customHeight="false" outlineLevel="0" collapsed="false">
      <c r="A14473" s="5" t="n">
        <f aca="false">VDB(0,0,5,0.25,0.75,3)</f>
        <v>0</v>
      </c>
      <c r="B14473" s="0" t="s">
        <v>14360</v>
      </c>
    </row>
    <row r="14474" customFormat="false" ht="15" hidden="false" customHeight="false" outlineLevel="0" collapsed="false">
      <c r="A14474" s="5" t="e">
        <f aca="false">VDB(0,0,5,0.25,0.75,0)</f>
        <v>#VALUE!</v>
      </c>
      <c r="B14474" s="0" t="s">
        <v>14361</v>
      </c>
    </row>
    <row r="14475" customFormat="false" ht="15" hidden="false" customHeight="false" outlineLevel="0" collapsed="false">
      <c r="A14475" s="5" t="e">
        <f aca="false">VDB(0,0,5,0.25,0.75,-1)</f>
        <v>#VALUE!</v>
      </c>
      <c r="B14475" s="0" t="s">
        <v>14362</v>
      </c>
    </row>
    <row r="14476" customFormat="false" ht="15" hidden="false" customHeight="false" outlineLevel="0" collapsed="false">
      <c r="A14476" s="5" t="n">
        <f aca="false">VDB(0,0,5,0.25,0.75,2,TRUE())</f>
        <v>0</v>
      </c>
      <c r="B14476" s="0" t="s">
        <v>14363</v>
      </c>
    </row>
    <row r="14477" customFormat="false" ht="15" hidden="false" customHeight="false" outlineLevel="0" collapsed="false">
      <c r="A14477" s="5" t="n">
        <f aca="false">VDB(0,0,5,0.25,0.75,1.5,TRUE())</f>
        <v>0</v>
      </c>
      <c r="B14477" s="0" t="s">
        <v>14364</v>
      </c>
    </row>
    <row r="14478" customFormat="false" ht="15" hidden="false" customHeight="false" outlineLevel="0" collapsed="false">
      <c r="A14478" s="5" t="n">
        <f aca="false">VDB(0,0,5,0.25,0.75,2,FALSE())</f>
        <v>0</v>
      </c>
      <c r="B14478" s="0" t="s">
        <v>14365</v>
      </c>
    </row>
    <row r="14479" customFormat="false" ht="15" hidden="false" customHeight="false" outlineLevel="0" collapsed="false">
      <c r="A14479" s="5" t="e">
        <f aca="false">VDB(0,0,5,0.25,0.75,,TRUE())</f>
        <v>#VALUE!</v>
      </c>
      <c r="B14479" s="0" t="s">
        <v>14366</v>
      </c>
    </row>
    <row r="14480" customFormat="false" ht="15" hidden="false" customHeight="false" outlineLevel="0" collapsed="false">
      <c r="A14480" s="5" t="n">
        <f aca="false">VDB(0,0,5,5,5)</f>
        <v>0</v>
      </c>
      <c r="B14480" s="0" t="s">
        <v>14367</v>
      </c>
    </row>
    <row r="14481" customFormat="false" ht="15" hidden="false" customHeight="false" outlineLevel="0" collapsed="false">
      <c r="A14481" s="5" t="n">
        <f aca="false">VDB(0,0,5,5,5,1.5)</f>
        <v>0</v>
      </c>
      <c r="B14481" s="0" t="s">
        <v>14368</v>
      </c>
    </row>
    <row r="14482" customFormat="false" ht="15" hidden="false" customHeight="false" outlineLevel="0" collapsed="false">
      <c r="A14482" s="5" t="n">
        <f aca="false">VDB(0,0,5,5,5,2)</f>
        <v>0</v>
      </c>
      <c r="B14482" s="0" t="s">
        <v>14369</v>
      </c>
    </row>
    <row r="14483" customFormat="false" ht="15" hidden="false" customHeight="false" outlineLevel="0" collapsed="false">
      <c r="A14483" s="5" t="n">
        <f aca="false">VDB(0,0,5,5,5,3)</f>
        <v>0</v>
      </c>
      <c r="B14483" s="0" t="s">
        <v>14370</v>
      </c>
    </row>
    <row r="14484" customFormat="false" ht="15" hidden="false" customHeight="false" outlineLevel="0" collapsed="false">
      <c r="A14484" s="5" t="e">
        <f aca="false">VDB(0,0,5,5,5,0)</f>
        <v>#VALUE!</v>
      </c>
      <c r="B14484" s="0" t="s">
        <v>14371</v>
      </c>
    </row>
    <row r="14485" customFormat="false" ht="15" hidden="false" customHeight="false" outlineLevel="0" collapsed="false">
      <c r="A14485" s="5" t="e">
        <f aca="false">VDB(0,0,5,5,5,-1)</f>
        <v>#VALUE!</v>
      </c>
      <c r="B14485" s="0" t="s">
        <v>14372</v>
      </c>
    </row>
    <row r="14486" customFormat="false" ht="15" hidden="false" customHeight="false" outlineLevel="0" collapsed="false">
      <c r="A14486" s="5" t="n">
        <f aca="false">VDB(0,0,5,5,5,2,TRUE())</f>
        <v>0</v>
      </c>
      <c r="B14486" s="0" t="s">
        <v>14373</v>
      </c>
    </row>
    <row r="14487" customFormat="false" ht="15" hidden="false" customHeight="false" outlineLevel="0" collapsed="false">
      <c r="A14487" s="5" t="n">
        <f aca="false">VDB(0,0,5,5,5,1.5,TRUE())</f>
        <v>0</v>
      </c>
      <c r="B14487" s="0" t="s">
        <v>14374</v>
      </c>
    </row>
    <row r="14488" customFormat="false" ht="15" hidden="false" customHeight="false" outlineLevel="0" collapsed="false">
      <c r="A14488" s="5" t="n">
        <f aca="false">VDB(0,0,5,5,5,2,FALSE())</f>
        <v>0</v>
      </c>
      <c r="B14488" s="0" t="s">
        <v>14375</v>
      </c>
    </row>
    <row r="14489" customFormat="false" ht="15" hidden="false" customHeight="false" outlineLevel="0" collapsed="false">
      <c r="A14489" s="5" t="e">
        <f aca="false">VDB(0,0,5,5,5,,TRUE())</f>
        <v>#VALUE!</v>
      </c>
      <c r="B14489" s="0" t="s">
        <v>14376</v>
      </c>
    </row>
    <row r="14490" customFormat="false" ht="15" hidden="false" customHeight="false" outlineLevel="0" collapsed="false">
      <c r="A14490" s="5" t="n">
        <f aca="false">VDB(0,0,5,1,5)</f>
        <v>0</v>
      </c>
      <c r="B14490" s="0" t="s">
        <v>14377</v>
      </c>
    </row>
    <row r="14491" customFormat="false" ht="15" hidden="false" customHeight="false" outlineLevel="0" collapsed="false">
      <c r="A14491" s="5" t="n">
        <f aca="false">VDB(0,0,5,1,5,1.5)</f>
        <v>0</v>
      </c>
      <c r="B14491" s="0" t="s">
        <v>14378</v>
      </c>
    </row>
    <row r="14492" customFormat="false" ht="15" hidden="false" customHeight="false" outlineLevel="0" collapsed="false">
      <c r="A14492" s="5" t="n">
        <f aca="false">VDB(0,0,5,1,5,2)</f>
        <v>0</v>
      </c>
      <c r="B14492" s="0" t="s">
        <v>14379</v>
      </c>
    </row>
    <row r="14493" customFormat="false" ht="15" hidden="false" customHeight="false" outlineLevel="0" collapsed="false">
      <c r="A14493" s="5" t="n">
        <f aca="false">VDB(0,0,5,1,5,3)</f>
        <v>0</v>
      </c>
      <c r="B14493" s="0" t="s">
        <v>14380</v>
      </c>
    </row>
    <row r="14494" customFormat="false" ht="15" hidden="false" customHeight="false" outlineLevel="0" collapsed="false">
      <c r="A14494" s="5" t="e">
        <f aca="false">VDB(0,0,5,1,5,0)</f>
        <v>#VALUE!</v>
      </c>
      <c r="B14494" s="0" t="s">
        <v>14381</v>
      </c>
    </row>
    <row r="14495" customFormat="false" ht="15" hidden="false" customHeight="false" outlineLevel="0" collapsed="false">
      <c r="A14495" s="5" t="e">
        <f aca="false">VDB(0,0,5,1,5,-1)</f>
        <v>#VALUE!</v>
      </c>
      <c r="B14495" s="0" t="s">
        <v>14382</v>
      </c>
    </row>
    <row r="14496" customFormat="false" ht="15" hidden="false" customHeight="false" outlineLevel="0" collapsed="false">
      <c r="A14496" s="5" t="n">
        <f aca="false">VDB(0,0,5,1,5,2,TRUE())</f>
        <v>0</v>
      </c>
      <c r="B14496" s="0" t="s">
        <v>14383</v>
      </c>
    </row>
    <row r="14497" customFormat="false" ht="15" hidden="false" customHeight="false" outlineLevel="0" collapsed="false">
      <c r="A14497" s="5" t="n">
        <f aca="false">VDB(0,0,5,1,5,1.5,TRUE())</f>
        <v>0</v>
      </c>
      <c r="B14497" s="0" t="s">
        <v>14384</v>
      </c>
    </row>
    <row r="14498" customFormat="false" ht="15" hidden="false" customHeight="false" outlineLevel="0" collapsed="false">
      <c r="A14498" s="5" t="n">
        <f aca="false">VDB(0,0,5,1,5,2,FALSE())</f>
        <v>0</v>
      </c>
      <c r="B14498" s="0" t="s">
        <v>14385</v>
      </c>
    </row>
    <row r="14499" customFormat="false" ht="15" hidden="false" customHeight="false" outlineLevel="0" collapsed="false">
      <c r="A14499" s="5" t="e">
        <f aca="false">VDB(0,0,5,1,5,,TRUE())</f>
        <v>#VALUE!</v>
      </c>
      <c r="B14499" s="0" t="s">
        <v>14386</v>
      </c>
    </row>
    <row r="14500" customFormat="false" ht="15" hidden="false" customHeight="false" outlineLevel="0" collapsed="false">
      <c r="A14500" s="5" t="n">
        <f aca="false">VDB(1000,0,1,0,1)</f>
        <v>1000</v>
      </c>
      <c r="B14500" s="0" t="s">
        <v>14387</v>
      </c>
    </row>
    <row r="14501" customFormat="false" ht="15" hidden="false" customHeight="false" outlineLevel="0" collapsed="false">
      <c r="A14501" s="5" t="n">
        <f aca="false">VDB(1000,0,1,0,1,1.5)</f>
        <v>1000</v>
      </c>
      <c r="B14501" s="0" t="s">
        <v>14388</v>
      </c>
    </row>
    <row r="14502" customFormat="false" ht="15" hidden="false" customHeight="false" outlineLevel="0" collapsed="false">
      <c r="A14502" s="5" t="n">
        <f aca="false">VDB(1000,0,1,0,1,2)</f>
        <v>1000</v>
      </c>
      <c r="B14502" s="0" t="s">
        <v>14389</v>
      </c>
    </row>
    <row r="14503" customFormat="false" ht="15" hidden="false" customHeight="false" outlineLevel="0" collapsed="false">
      <c r="A14503" s="5" t="n">
        <f aca="false">VDB(1000,0,1,0,1,3)</f>
        <v>1000</v>
      </c>
      <c r="B14503" s="0" t="s">
        <v>14390</v>
      </c>
    </row>
    <row r="14504" customFormat="false" ht="15" hidden="false" customHeight="false" outlineLevel="0" collapsed="false">
      <c r="A14504" s="5" t="e">
        <f aca="false">VDB(1000,0,1,0,1,0)</f>
        <v>#VALUE!</v>
      </c>
      <c r="B14504" s="0" t="s">
        <v>14391</v>
      </c>
    </row>
    <row r="14505" customFormat="false" ht="15" hidden="false" customHeight="false" outlineLevel="0" collapsed="false">
      <c r="A14505" s="5" t="e">
        <f aca="false">VDB(1000,0,1,0,1,-1)</f>
        <v>#VALUE!</v>
      </c>
      <c r="B14505" s="0" t="s">
        <v>14392</v>
      </c>
    </row>
    <row r="14506" customFormat="false" ht="15" hidden="false" customHeight="false" outlineLevel="0" collapsed="false">
      <c r="A14506" s="5" t="n">
        <f aca="false">VDB(1000,0,1,0,1,2,TRUE())</f>
        <v>1000</v>
      </c>
      <c r="B14506" s="0" t="s">
        <v>14393</v>
      </c>
    </row>
    <row r="14507" customFormat="false" ht="15" hidden="false" customHeight="false" outlineLevel="0" collapsed="false">
      <c r="A14507" s="5" t="n">
        <f aca="false">VDB(1000,0,1,0,1,1.5,TRUE())</f>
        <v>1000</v>
      </c>
      <c r="B14507" s="0" t="s">
        <v>14394</v>
      </c>
    </row>
    <row r="14508" customFormat="false" ht="15" hidden="false" customHeight="false" outlineLevel="0" collapsed="false">
      <c r="A14508" s="5" t="n">
        <f aca="false">VDB(1000,0,1,0,1,2,FALSE())</f>
        <v>1000</v>
      </c>
      <c r="B14508" s="0" t="s">
        <v>14395</v>
      </c>
    </row>
    <row r="14509" customFormat="false" ht="15" hidden="false" customHeight="false" outlineLevel="0" collapsed="false">
      <c r="A14509" s="5" t="e">
        <f aca="false">VDB(1000,0,1,0,1,,TRUE())</f>
        <v>#VALUE!</v>
      </c>
      <c r="B14509" s="0" t="s">
        <v>14396</v>
      </c>
    </row>
    <row r="14510" customFormat="false" ht="15" hidden="false" customHeight="false" outlineLevel="0" collapsed="false">
      <c r="A14510" s="5" t="e">
        <f aca="false">VDB(1000,0,1,1,2)</f>
        <v>#VALUE!</v>
      </c>
      <c r="B14510" s="0" t="s">
        <v>14397</v>
      </c>
    </row>
    <row r="14511" customFormat="false" ht="15" hidden="false" customHeight="false" outlineLevel="0" collapsed="false">
      <c r="A14511" s="5" t="e">
        <f aca="false">VDB(1000,0,1,1,2,1.5)</f>
        <v>#VALUE!</v>
      </c>
      <c r="B14511" s="0" t="s">
        <v>14398</v>
      </c>
    </row>
    <row r="14512" customFormat="false" ht="15" hidden="false" customHeight="false" outlineLevel="0" collapsed="false">
      <c r="A14512" s="5" t="e">
        <f aca="false">VDB(1000,0,1,1,2,2)</f>
        <v>#VALUE!</v>
      </c>
      <c r="B14512" s="0" t="s">
        <v>14399</v>
      </c>
    </row>
    <row r="14513" customFormat="false" ht="15" hidden="false" customHeight="false" outlineLevel="0" collapsed="false">
      <c r="A14513" s="5" t="e">
        <f aca="false">VDB(1000,0,1,1,2,3)</f>
        <v>#VALUE!</v>
      </c>
      <c r="B14513" s="0" t="s">
        <v>14400</v>
      </c>
    </row>
    <row r="14514" customFormat="false" ht="15" hidden="false" customHeight="false" outlineLevel="0" collapsed="false">
      <c r="A14514" s="5" t="e">
        <f aca="false">VDB(1000,0,1,1,2,0)</f>
        <v>#VALUE!</v>
      </c>
      <c r="B14514" s="0" t="s">
        <v>14401</v>
      </c>
    </row>
    <row r="14515" customFormat="false" ht="15" hidden="false" customHeight="false" outlineLevel="0" collapsed="false">
      <c r="A14515" s="5" t="e">
        <f aca="false">VDB(1000,0,1,1,2,-1)</f>
        <v>#VALUE!</v>
      </c>
      <c r="B14515" s="0" t="s">
        <v>14402</v>
      </c>
    </row>
    <row r="14516" customFormat="false" ht="15" hidden="false" customHeight="false" outlineLevel="0" collapsed="false">
      <c r="A14516" s="5" t="e">
        <f aca="false">VDB(1000,0,1,1,2,2,TRUE())</f>
        <v>#VALUE!</v>
      </c>
      <c r="B14516" s="0" t="s">
        <v>14403</v>
      </c>
    </row>
    <row r="14517" customFormat="false" ht="15" hidden="false" customHeight="false" outlineLevel="0" collapsed="false">
      <c r="A14517" s="5" t="e">
        <f aca="false">VDB(1000,0,1,1,2,1.5,TRUE())</f>
        <v>#VALUE!</v>
      </c>
      <c r="B14517" s="0" t="s">
        <v>14404</v>
      </c>
    </row>
    <row r="14518" customFormat="false" ht="15" hidden="false" customHeight="false" outlineLevel="0" collapsed="false">
      <c r="A14518" s="5" t="e">
        <f aca="false">VDB(1000,0,1,1,2,2,FALSE())</f>
        <v>#VALUE!</v>
      </c>
      <c r="B14518" s="0" t="s">
        <v>14405</v>
      </c>
    </row>
    <row r="14519" customFormat="false" ht="15" hidden="false" customHeight="false" outlineLevel="0" collapsed="false">
      <c r="A14519" s="5" t="e">
        <f aca="false">VDB(1000,0,1,1,2,,TRUE())</f>
        <v>#VALUE!</v>
      </c>
      <c r="B14519" s="0" t="s">
        <v>14406</v>
      </c>
    </row>
    <row r="14520" customFormat="false" ht="15" hidden="false" customHeight="false" outlineLevel="0" collapsed="false">
      <c r="A14520" s="5" t="e">
        <f aca="false">VDB(1000,0,1,0,5)</f>
        <v>#VALUE!</v>
      </c>
      <c r="B14520" s="0" t="s">
        <v>14407</v>
      </c>
    </row>
    <row r="14521" customFormat="false" ht="15" hidden="false" customHeight="false" outlineLevel="0" collapsed="false">
      <c r="A14521" s="5" t="e">
        <f aca="false">VDB(1000,0,1,0,5,1.5)</f>
        <v>#VALUE!</v>
      </c>
      <c r="B14521" s="0" t="s">
        <v>14408</v>
      </c>
    </row>
    <row r="14522" customFormat="false" ht="15" hidden="false" customHeight="false" outlineLevel="0" collapsed="false">
      <c r="A14522" s="5" t="e">
        <f aca="false">VDB(1000,0,1,0,5,2)</f>
        <v>#VALUE!</v>
      </c>
      <c r="B14522" s="0" t="s">
        <v>14409</v>
      </c>
    </row>
    <row r="14523" customFormat="false" ht="15" hidden="false" customHeight="false" outlineLevel="0" collapsed="false">
      <c r="A14523" s="5" t="e">
        <f aca="false">VDB(1000,0,1,0,5,3)</f>
        <v>#VALUE!</v>
      </c>
      <c r="B14523" s="0" t="s">
        <v>14410</v>
      </c>
    </row>
    <row r="14524" customFormat="false" ht="15" hidden="false" customHeight="false" outlineLevel="0" collapsed="false">
      <c r="A14524" s="5" t="e">
        <f aca="false">VDB(1000,0,1,0,5,0)</f>
        <v>#VALUE!</v>
      </c>
      <c r="B14524" s="0" t="s">
        <v>14411</v>
      </c>
    </row>
    <row r="14525" customFormat="false" ht="15" hidden="false" customHeight="false" outlineLevel="0" collapsed="false">
      <c r="A14525" s="5" t="e">
        <f aca="false">VDB(1000,0,1,0,5,-1)</f>
        <v>#VALUE!</v>
      </c>
      <c r="B14525" s="0" t="s">
        <v>14412</v>
      </c>
    </row>
    <row r="14526" customFormat="false" ht="15" hidden="false" customHeight="false" outlineLevel="0" collapsed="false">
      <c r="A14526" s="5" t="e">
        <f aca="false">VDB(1000,0,1,0,5,2,TRUE())</f>
        <v>#VALUE!</v>
      </c>
      <c r="B14526" s="0" t="s">
        <v>14413</v>
      </c>
    </row>
    <row r="14527" customFormat="false" ht="15" hidden="false" customHeight="false" outlineLevel="0" collapsed="false">
      <c r="A14527" s="5" t="e">
        <f aca="false">VDB(1000,0,1,0,5,1.5,TRUE())</f>
        <v>#VALUE!</v>
      </c>
      <c r="B14527" s="0" t="s">
        <v>14414</v>
      </c>
    </row>
    <row r="14528" customFormat="false" ht="15" hidden="false" customHeight="false" outlineLevel="0" collapsed="false">
      <c r="A14528" s="5" t="e">
        <f aca="false">VDB(1000,0,1,0,5,2,FALSE())</f>
        <v>#VALUE!</v>
      </c>
      <c r="B14528" s="0" t="s">
        <v>14415</v>
      </c>
    </row>
    <row r="14529" customFormat="false" ht="15" hidden="false" customHeight="false" outlineLevel="0" collapsed="false">
      <c r="A14529" s="5" t="e">
        <f aca="false">VDB(1000,0,1,0,5,,TRUE())</f>
        <v>#VALUE!</v>
      </c>
      <c r="B14529" s="0" t="s">
        <v>14416</v>
      </c>
    </row>
    <row r="14530" customFormat="false" ht="15" hidden="false" customHeight="false" outlineLevel="0" collapsed="false">
      <c r="A14530" s="5" t="e">
        <f aca="false">VDB(1000,0,1,0.5,1.5)</f>
        <v>#VALUE!</v>
      </c>
      <c r="B14530" s="0" t="s">
        <v>14417</v>
      </c>
    </row>
    <row r="14531" customFormat="false" ht="15" hidden="false" customHeight="false" outlineLevel="0" collapsed="false">
      <c r="A14531" s="5" t="e">
        <f aca="false">VDB(1000,0,1,0.5,1.5,1.5)</f>
        <v>#VALUE!</v>
      </c>
      <c r="B14531" s="0" t="s">
        <v>14418</v>
      </c>
    </row>
    <row r="14532" customFormat="false" ht="15" hidden="false" customHeight="false" outlineLevel="0" collapsed="false">
      <c r="A14532" s="5" t="e">
        <f aca="false">VDB(1000,0,1,0.5,1.5,2)</f>
        <v>#VALUE!</v>
      </c>
      <c r="B14532" s="0" t="s">
        <v>14419</v>
      </c>
    </row>
    <row r="14533" customFormat="false" ht="15" hidden="false" customHeight="false" outlineLevel="0" collapsed="false">
      <c r="A14533" s="5" t="e">
        <f aca="false">VDB(1000,0,1,0.5,1.5,3)</f>
        <v>#VALUE!</v>
      </c>
      <c r="B14533" s="0" t="s">
        <v>14420</v>
      </c>
    </row>
    <row r="14534" customFormat="false" ht="15" hidden="false" customHeight="false" outlineLevel="0" collapsed="false">
      <c r="A14534" s="5" t="e">
        <f aca="false">VDB(1000,0,1,0.5,1.5,0)</f>
        <v>#VALUE!</v>
      </c>
      <c r="B14534" s="0" t="s">
        <v>14421</v>
      </c>
    </row>
    <row r="14535" customFormat="false" ht="15" hidden="false" customHeight="false" outlineLevel="0" collapsed="false">
      <c r="A14535" s="5" t="e">
        <f aca="false">VDB(1000,0,1,0.5,1.5,-1)</f>
        <v>#VALUE!</v>
      </c>
      <c r="B14535" s="0" t="s">
        <v>14422</v>
      </c>
    </row>
    <row r="14536" customFormat="false" ht="15" hidden="false" customHeight="false" outlineLevel="0" collapsed="false">
      <c r="A14536" s="5" t="e">
        <f aca="false">VDB(1000,0,1,0.5,1.5,2,TRUE())</f>
        <v>#VALUE!</v>
      </c>
      <c r="B14536" s="0" t="s">
        <v>14423</v>
      </c>
    </row>
    <row r="14537" customFormat="false" ht="15" hidden="false" customHeight="false" outlineLevel="0" collapsed="false">
      <c r="A14537" s="5" t="e">
        <f aca="false">VDB(1000,0,1,0.5,1.5,1.5,TRUE())</f>
        <v>#VALUE!</v>
      </c>
      <c r="B14537" s="0" t="s">
        <v>14424</v>
      </c>
    </row>
    <row r="14538" customFormat="false" ht="15" hidden="false" customHeight="false" outlineLevel="0" collapsed="false">
      <c r="A14538" s="5" t="e">
        <f aca="false">VDB(1000,0,1,0.5,1.5,2,FALSE())</f>
        <v>#VALUE!</v>
      </c>
      <c r="B14538" s="0" t="s">
        <v>14425</v>
      </c>
    </row>
    <row r="14539" customFormat="false" ht="15" hidden="false" customHeight="false" outlineLevel="0" collapsed="false">
      <c r="A14539" s="5" t="e">
        <f aca="false">VDB(1000,0,1,0.5,1.5,,TRUE())</f>
        <v>#VALUE!</v>
      </c>
      <c r="B14539" s="0" t="s">
        <v>14426</v>
      </c>
    </row>
    <row r="14540" customFormat="false" ht="15" hidden="false" customHeight="false" outlineLevel="0" collapsed="false">
      <c r="A14540" s="5" t="e">
        <f aca="false">VDB(1000,0,1,2,3)</f>
        <v>#VALUE!</v>
      </c>
      <c r="B14540" s="0" t="s">
        <v>14427</v>
      </c>
    </row>
    <row r="14541" customFormat="false" ht="15" hidden="false" customHeight="false" outlineLevel="0" collapsed="false">
      <c r="A14541" s="5" t="e">
        <f aca="false">VDB(1000,0,1,2,3,1.5)</f>
        <v>#VALUE!</v>
      </c>
      <c r="B14541" s="0" t="s">
        <v>14428</v>
      </c>
    </row>
    <row r="14542" customFormat="false" ht="15" hidden="false" customHeight="false" outlineLevel="0" collapsed="false">
      <c r="A14542" s="5" t="e">
        <f aca="false">VDB(1000,0,1,2,3,2)</f>
        <v>#VALUE!</v>
      </c>
      <c r="B14542" s="0" t="s">
        <v>14429</v>
      </c>
    </row>
    <row r="14543" customFormat="false" ht="15" hidden="false" customHeight="false" outlineLevel="0" collapsed="false">
      <c r="A14543" s="5" t="e">
        <f aca="false">VDB(1000,0,1,2,3,3)</f>
        <v>#VALUE!</v>
      </c>
      <c r="B14543" s="0" t="s">
        <v>14430</v>
      </c>
    </row>
    <row r="14544" customFormat="false" ht="15" hidden="false" customHeight="false" outlineLevel="0" collapsed="false">
      <c r="A14544" s="5" t="e">
        <f aca="false">VDB(1000,0,1,2,3,0)</f>
        <v>#VALUE!</v>
      </c>
      <c r="B14544" s="0" t="s">
        <v>14431</v>
      </c>
    </row>
    <row r="14545" customFormat="false" ht="15" hidden="false" customHeight="false" outlineLevel="0" collapsed="false">
      <c r="A14545" s="5" t="e">
        <f aca="false">VDB(1000,0,1,2,3,-1)</f>
        <v>#VALUE!</v>
      </c>
      <c r="B14545" s="0" t="s">
        <v>14432</v>
      </c>
    </row>
    <row r="14546" customFormat="false" ht="15" hidden="false" customHeight="false" outlineLevel="0" collapsed="false">
      <c r="A14546" s="5" t="e">
        <f aca="false">VDB(1000,0,1,2,3,2,TRUE())</f>
        <v>#VALUE!</v>
      </c>
      <c r="B14546" s="0" t="s">
        <v>14433</v>
      </c>
    </row>
    <row r="14547" customFormat="false" ht="15" hidden="false" customHeight="false" outlineLevel="0" collapsed="false">
      <c r="A14547" s="5" t="e">
        <f aca="false">VDB(1000,0,1,2,3,1.5,TRUE())</f>
        <v>#VALUE!</v>
      </c>
      <c r="B14547" s="0" t="s">
        <v>14434</v>
      </c>
    </row>
    <row r="14548" customFormat="false" ht="15" hidden="false" customHeight="false" outlineLevel="0" collapsed="false">
      <c r="A14548" s="5" t="e">
        <f aca="false">VDB(1000,0,1,2,3,2,FALSE())</f>
        <v>#VALUE!</v>
      </c>
      <c r="B14548" s="0" t="s">
        <v>14435</v>
      </c>
    </row>
    <row r="14549" customFormat="false" ht="15" hidden="false" customHeight="false" outlineLevel="0" collapsed="false">
      <c r="A14549" s="5" t="e">
        <f aca="false">VDB(1000,0,1,2,3,,TRUE())</f>
        <v>#VALUE!</v>
      </c>
      <c r="B14549" s="0" t="s">
        <v>14436</v>
      </c>
    </row>
    <row r="14550" customFormat="false" ht="15" hidden="false" customHeight="false" outlineLevel="0" collapsed="false">
      <c r="A14550" s="5" t="n">
        <f aca="false">VDB(1000,0,1,0,1)</f>
        <v>1000</v>
      </c>
      <c r="B14550" s="0" t="s">
        <v>14387</v>
      </c>
    </row>
    <row r="14551" customFormat="false" ht="15" hidden="false" customHeight="false" outlineLevel="0" collapsed="false">
      <c r="A14551" s="5" t="n">
        <f aca="false">VDB(1000,0,1,0,1,1.5)</f>
        <v>1000</v>
      </c>
      <c r="B14551" s="0" t="s">
        <v>14388</v>
      </c>
    </row>
    <row r="14552" customFormat="false" ht="15" hidden="false" customHeight="false" outlineLevel="0" collapsed="false">
      <c r="A14552" s="5" t="n">
        <f aca="false">VDB(1000,0,1,0,1,2)</f>
        <v>1000</v>
      </c>
      <c r="B14552" s="0" t="s">
        <v>14389</v>
      </c>
    </row>
    <row r="14553" customFormat="false" ht="15" hidden="false" customHeight="false" outlineLevel="0" collapsed="false">
      <c r="A14553" s="5" t="n">
        <f aca="false">VDB(1000,0,1,0,1,3)</f>
        <v>1000</v>
      </c>
      <c r="B14553" s="0" t="s">
        <v>14390</v>
      </c>
    </row>
    <row r="14554" customFormat="false" ht="15" hidden="false" customHeight="false" outlineLevel="0" collapsed="false">
      <c r="A14554" s="5" t="e">
        <f aca="false">VDB(1000,0,1,0,1,0)</f>
        <v>#VALUE!</v>
      </c>
      <c r="B14554" s="0" t="s">
        <v>14391</v>
      </c>
    </row>
    <row r="14555" customFormat="false" ht="15" hidden="false" customHeight="false" outlineLevel="0" collapsed="false">
      <c r="A14555" s="5" t="e">
        <f aca="false">VDB(1000,0,1,0,1,-1)</f>
        <v>#VALUE!</v>
      </c>
      <c r="B14555" s="0" t="s">
        <v>14392</v>
      </c>
    </row>
    <row r="14556" customFormat="false" ht="15" hidden="false" customHeight="false" outlineLevel="0" collapsed="false">
      <c r="A14556" s="5" t="n">
        <f aca="false">VDB(1000,0,1,0,1,2,TRUE())</f>
        <v>1000</v>
      </c>
      <c r="B14556" s="0" t="s">
        <v>14393</v>
      </c>
    </row>
    <row r="14557" customFormat="false" ht="15" hidden="false" customHeight="false" outlineLevel="0" collapsed="false">
      <c r="A14557" s="5" t="n">
        <f aca="false">VDB(1000,0,1,0,1,1.5,TRUE())</f>
        <v>1000</v>
      </c>
      <c r="B14557" s="0" t="s">
        <v>14394</v>
      </c>
    </row>
    <row r="14558" customFormat="false" ht="15" hidden="false" customHeight="false" outlineLevel="0" collapsed="false">
      <c r="A14558" s="5" t="n">
        <f aca="false">VDB(1000,0,1,0,1,2,FALSE())</f>
        <v>1000</v>
      </c>
      <c r="B14558" s="0" t="s">
        <v>14395</v>
      </c>
    </row>
    <row r="14559" customFormat="false" ht="15" hidden="false" customHeight="false" outlineLevel="0" collapsed="false">
      <c r="A14559" s="5" t="e">
        <f aca="false">VDB(1000,0,1,0,1,,TRUE())</f>
        <v>#VALUE!</v>
      </c>
      <c r="B14559" s="0" t="s">
        <v>14396</v>
      </c>
    </row>
    <row r="14560" customFormat="false" ht="15" hidden="false" customHeight="false" outlineLevel="0" collapsed="false">
      <c r="A14560" s="5" t="n">
        <f aca="false">VDB(1000,0,1,0,1)</f>
        <v>1000</v>
      </c>
      <c r="B14560" s="0" t="s">
        <v>14387</v>
      </c>
    </row>
    <row r="14561" customFormat="false" ht="15" hidden="false" customHeight="false" outlineLevel="0" collapsed="false">
      <c r="A14561" s="5" t="n">
        <f aca="false">VDB(1000,0,1,0,1,1.5)</f>
        <v>1000</v>
      </c>
      <c r="B14561" s="0" t="s">
        <v>14388</v>
      </c>
    </row>
    <row r="14562" customFormat="false" ht="15" hidden="false" customHeight="false" outlineLevel="0" collapsed="false">
      <c r="A14562" s="5" t="n">
        <f aca="false">VDB(1000,0,1,0,1,2)</f>
        <v>1000</v>
      </c>
      <c r="B14562" s="0" t="s">
        <v>14389</v>
      </c>
    </row>
    <row r="14563" customFormat="false" ht="15" hidden="false" customHeight="false" outlineLevel="0" collapsed="false">
      <c r="A14563" s="5" t="n">
        <f aca="false">VDB(1000,0,1,0,1,3)</f>
        <v>1000</v>
      </c>
      <c r="B14563" s="0" t="s">
        <v>14390</v>
      </c>
    </row>
    <row r="14564" customFormat="false" ht="15" hidden="false" customHeight="false" outlineLevel="0" collapsed="false">
      <c r="A14564" s="5" t="e">
        <f aca="false">VDB(1000,0,1,0,1,0)</f>
        <v>#VALUE!</v>
      </c>
      <c r="B14564" s="0" t="s">
        <v>14391</v>
      </c>
    </row>
    <row r="14565" customFormat="false" ht="15" hidden="false" customHeight="false" outlineLevel="0" collapsed="false">
      <c r="A14565" s="5" t="e">
        <f aca="false">VDB(1000,0,1,0,1,-1)</f>
        <v>#VALUE!</v>
      </c>
      <c r="B14565" s="0" t="s">
        <v>14392</v>
      </c>
    </row>
    <row r="14566" customFormat="false" ht="15" hidden="false" customHeight="false" outlineLevel="0" collapsed="false">
      <c r="A14566" s="5" t="n">
        <f aca="false">VDB(1000,0,1,0,1,2,TRUE())</f>
        <v>1000</v>
      </c>
      <c r="B14566" s="0" t="s">
        <v>14393</v>
      </c>
    </row>
    <row r="14567" customFormat="false" ht="15" hidden="false" customHeight="false" outlineLevel="0" collapsed="false">
      <c r="A14567" s="5" t="n">
        <f aca="false">VDB(1000,0,1,0,1,1.5,TRUE())</f>
        <v>1000</v>
      </c>
      <c r="B14567" s="0" t="s">
        <v>14394</v>
      </c>
    </row>
    <row r="14568" customFormat="false" ht="15" hidden="false" customHeight="false" outlineLevel="0" collapsed="false">
      <c r="A14568" s="5" t="n">
        <f aca="false">VDB(1000,0,1,0,1,2,FALSE())</f>
        <v>1000</v>
      </c>
      <c r="B14568" s="0" t="s">
        <v>14395</v>
      </c>
    </row>
    <row r="14569" customFormat="false" ht="15" hidden="false" customHeight="false" outlineLevel="0" collapsed="false">
      <c r="A14569" s="5" t="e">
        <f aca="false">VDB(1000,0,1,0,1,,TRUE())</f>
        <v>#VALUE!</v>
      </c>
      <c r="B14569" s="0" t="s">
        <v>14396</v>
      </c>
    </row>
    <row r="14570" customFormat="false" ht="15" hidden="false" customHeight="false" outlineLevel="0" collapsed="false">
      <c r="A14570" s="5" t="e">
        <f aca="false">VDB(1000,0,1,3.5,4.2)</f>
        <v>#VALUE!</v>
      </c>
      <c r="B14570" s="0" t="s">
        <v>14437</v>
      </c>
    </row>
    <row r="14571" customFormat="false" ht="15" hidden="false" customHeight="false" outlineLevel="0" collapsed="false">
      <c r="A14571" s="5" t="e">
        <f aca="false">VDB(1000,0,1,3.5,4.2,1.5)</f>
        <v>#VALUE!</v>
      </c>
      <c r="B14571" s="0" t="s">
        <v>14438</v>
      </c>
    </row>
    <row r="14572" customFormat="false" ht="15" hidden="false" customHeight="false" outlineLevel="0" collapsed="false">
      <c r="A14572" s="5" t="e">
        <f aca="false">VDB(1000,0,1,3.5,4.2,2)</f>
        <v>#VALUE!</v>
      </c>
      <c r="B14572" s="0" t="s">
        <v>14439</v>
      </c>
    </row>
    <row r="14573" customFormat="false" ht="15" hidden="false" customHeight="false" outlineLevel="0" collapsed="false">
      <c r="A14573" s="5" t="e">
        <f aca="false">VDB(1000,0,1,3.5,4.2,3)</f>
        <v>#VALUE!</v>
      </c>
      <c r="B14573" s="0" t="s">
        <v>14440</v>
      </c>
    </row>
    <row r="14574" customFormat="false" ht="15" hidden="false" customHeight="false" outlineLevel="0" collapsed="false">
      <c r="A14574" s="5" t="e">
        <f aca="false">VDB(1000,0,1,3.5,4.2,0)</f>
        <v>#VALUE!</v>
      </c>
      <c r="B14574" s="0" t="s">
        <v>14441</v>
      </c>
    </row>
    <row r="14575" customFormat="false" ht="15" hidden="false" customHeight="false" outlineLevel="0" collapsed="false">
      <c r="A14575" s="5" t="e">
        <f aca="false">VDB(1000,0,1,3.5,4.2,-1)</f>
        <v>#VALUE!</v>
      </c>
      <c r="B14575" s="0" t="s">
        <v>14442</v>
      </c>
    </row>
    <row r="14576" customFormat="false" ht="15" hidden="false" customHeight="false" outlineLevel="0" collapsed="false">
      <c r="A14576" s="5" t="e">
        <f aca="false">VDB(1000,0,1,3.5,4.2,2,TRUE())</f>
        <v>#VALUE!</v>
      </c>
      <c r="B14576" s="0" t="s">
        <v>14443</v>
      </c>
    </row>
    <row r="14577" customFormat="false" ht="15" hidden="false" customHeight="false" outlineLevel="0" collapsed="false">
      <c r="A14577" s="5" t="e">
        <f aca="false">VDB(1000,0,1,3.5,4.2,1.5,TRUE())</f>
        <v>#VALUE!</v>
      </c>
      <c r="B14577" s="0" t="s">
        <v>14444</v>
      </c>
    </row>
    <row r="14578" customFormat="false" ht="15" hidden="false" customHeight="false" outlineLevel="0" collapsed="false">
      <c r="A14578" s="5" t="e">
        <f aca="false">VDB(1000,0,1,3.5,4.2,2,FALSE())</f>
        <v>#VALUE!</v>
      </c>
      <c r="B14578" s="0" t="s">
        <v>14445</v>
      </c>
    </row>
    <row r="14579" customFormat="false" ht="15" hidden="false" customHeight="false" outlineLevel="0" collapsed="false">
      <c r="A14579" s="5" t="e">
        <f aca="false">VDB(1000,0,1,3.5,4.2,,TRUE())</f>
        <v>#VALUE!</v>
      </c>
      <c r="B14579" s="0" t="s">
        <v>14446</v>
      </c>
    </row>
    <row r="14580" customFormat="false" ht="15" hidden="false" customHeight="false" outlineLevel="0" collapsed="false">
      <c r="A14580" s="5" t="n">
        <f aca="false">VDB(1000,0,1,0,0)</f>
        <v>0</v>
      </c>
      <c r="B14580" s="0" t="s">
        <v>14447</v>
      </c>
    </row>
    <row r="14581" customFormat="false" ht="15" hidden="false" customHeight="false" outlineLevel="0" collapsed="false">
      <c r="A14581" s="5" t="n">
        <f aca="false">VDB(1000,0,1,0,0,1.5)</f>
        <v>0</v>
      </c>
      <c r="B14581" s="0" t="s">
        <v>14448</v>
      </c>
    </row>
    <row r="14582" customFormat="false" ht="15" hidden="false" customHeight="false" outlineLevel="0" collapsed="false">
      <c r="A14582" s="5" t="n">
        <f aca="false">VDB(1000,0,1,0,0,2)</f>
        <v>0</v>
      </c>
      <c r="B14582" s="0" t="s">
        <v>14449</v>
      </c>
    </row>
    <row r="14583" customFormat="false" ht="15" hidden="false" customHeight="false" outlineLevel="0" collapsed="false">
      <c r="A14583" s="5" t="n">
        <f aca="false">VDB(1000,0,1,0,0,3)</f>
        <v>0</v>
      </c>
      <c r="B14583" s="0" t="s">
        <v>14450</v>
      </c>
    </row>
    <row r="14584" customFormat="false" ht="15" hidden="false" customHeight="false" outlineLevel="0" collapsed="false">
      <c r="A14584" s="5" t="e">
        <f aca="false">VDB(1000,0,1,0,0,0)</f>
        <v>#VALUE!</v>
      </c>
      <c r="B14584" s="0" t="s">
        <v>14451</v>
      </c>
    </row>
    <row r="14585" customFormat="false" ht="15" hidden="false" customHeight="false" outlineLevel="0" collapsed="false">
      <c r="A14585" s="5" t="e">
        <f aca="false">VDB(1000,0,1,0,0,-1)</f>
        <v>#VALUE!</v>
      </c>
      <c r="B14585" s="0" t="s">
        <v>14452</v>
      </c>
    </row>
    <row r="14586" customFormat="false" ht="15" hidden="false" customHeight="false" outlineLevel="0" collapsed="false">
      <c r="A14586" s="5" t="n">
        <f aca="false">VDB(1000,0,1,0,0,2,TRUE())</f>
        <v>0</v>
      </c>
      <c r="B14586" s="0" t="s">
        <v>14453</v>
      </c>
    </row>
    <row r="14587" customFormat="false" ht="15" hidden="false" customHeight="false" outlineLevel="0" collapsed="false">
      <c r="A14587" s="5" t="n">
        <f aca="false">VDB(1000,0,1,0,0,1.5,TRUE())</f>
        <v>0</v>
      </c>
      <c r="B14587" s="0" t="s">
        <v>14454</v>
      </c>
    </row>
    <row r="14588" customFormat="false" ht="15" hidden="false" customHeight="false" outlineLevel="0" collapsed="false">
      <c r="A14588" s="5" t="n">
        <f aca="false">VDB(1000,0,1,0,0,2,FALSE())</f>
        <v>0</v>
      </c>
      <c r="B14588" s="0" t="s">
        <v>14455</v>
      </c>
    </row>
    <row r="14589" customFormat="false" ht="15" hidden="false" customHeight="false" outlineLevel="0" collapsed="false">
      <c r="A14589" s="5" t="e">
        <f aca="false">VDB(1000,0,1,0,0,,TRUE())</f>
        <v>#VALUE!</v>
      </c>
      <c r="B14589" s="0" t="s">
        <v>14456</v>
      </c>
    </row>
    <row r="14590" customFormat="false" ht="15" hidden="false" customHeight="false" outlineLevel="0" collapsed="false">
      <c r="A14590" s="5" t="n">
        <f aca="false">VDB(1000,0,1,1,1)</f>
        <v>0</v>
      </c>
      <c r="B14590" s="0" t="s">
        <v>14457</v>
      </c>
    </row>
    <row r="14591" customFormat="false" ht="15" hidden="false" customHeight="false" outlineLevel="0" collapsed="false">
      <c r="A14591" s="5" t="n">
        <f aca="false">VDB(1000,0,1,1,1,1.5)</f>
        <v>0</v>
      </c>
      <c r="B14591" s="0" t="s">
        <v>14458</v>
      </c>
    </row>
    <row r="14592" customFormat="false" ht="15" hidden="false" customHeight="false" outlineLevel="0" collapsed="false">
      <c r="A14592" s="5" t="n">
        <f aca="false">VDB(1000,0,1,1,1,2)</f>
        <v>0</v>
      </c>
      <c r="B14592" s="0" t="s">
        <v>14459</v>
      </c>
    </row>
    <row r="14593" customFormat="false" ht="15" hidden="false" customHeight="false" outlineLevel="0" collapsed="false">
      <c r="A14593" s="5" t="n">
        <f aca="false">VDB(1000,0,1,1,1,3)</f>
        <v>0</v>
      </c>
      <c r="B14593" s="0" t="s">
        <v>14460</v>
      </c>
    </row>
    <row r="14594" customFormat="false" ht="15" hidden="false" customHeight="false" outlineLevel="0" collapsed="false">
      <c r="A14594" s="5" t="e">
        <f aca="false">VDB(1000,0,1,1,1,0)</f>
        <v>#VALUE!</v>
      </c>
      <c r="B14594" s="0" t="s">
        <v>14461</v>
      </c>
    </row>
    <row r="14595" customFormat="false" ht="15" hidden="false" customHeight="false" outlineLevel="0" collapsed="false">
      <c r="A14595" s="5" t="e">
        <f aca="false">VDB(1000,0,1,1,1,-1)</f>
        <v>#VALUE!</v>
      </c>
      <c r="B14595" s="0" t="s">
        <v>14462</v>
      </c>
    </row>
    <row r="14596" customFormat="false" ht="15" hidden="false" customHeight="false" outlineLevel="0" collapsed="false">
      <c r="A14596" s="5" t="n">
        <f aca="false">VDB(1000,0,1,1,1,2,TRUE())</f>
        <v>0</v>
      </c>
      <c r="B14596" s="0" t="s">
        <v>14463</v>
      </c>
    </row>
    <row r="14597" customFormat="false" ht="15" hidden="false" customHeight="false" outlineLevel="0" collapsed="false">
      <c r="A14597" s="5" t="n">
        <f aca="false">VDB(1000,0,1,1,1,1.5,TRUE())</f>
        <v>0</v>
      </c>
      <c r="B14597" s="0" t="s">
        <v>14464</v>
      </c>
    </row>
    <row r="14598" customFormat="false" ht="15" hidden="false" customHeight="false" outlineLevel="0" collapsed="false">
      <c r="A14598" s="5" t="n">
        <f aca="false">VDB(1000,0,1,1,1,2,FALSE())</f>
        <v>0</v>
      </c>
      <c r="B14598" s="0" t="s">
        <v>14465</v>
      </c>
    </row>
    <row r="14599" customFormat="false" ht="15" hidden="false" customHeight="false" outlineLevel="0" collapsed="false">
      <c r="A14599" s="5" t="e">
        <f aca="false">VDB(1000,0,1,1,1,,TRUE())</f>
        <v>#VALUE!</v>
      </c>
      <c r="B14599" s="0" t="s">
        <v>14466</v>
      </c>
    </row>
    <row r="14600" customFormat="false" ht="15" hidden="false" customHeight="false" outlineLevel="0" collapsed="false">
      <c r="A14600" s="5" t="e">
        <f aca="false">VDB(1000,0,1,2,1)</f>
        <v>#VALUE!</v>
      </c>
      <c r="B14600" s="0" t="s">
        <v>14467</v>
      </c>
    </row>
    <row r="14601" customFormat="false" ht="15" hidden="false" customHeight="false" outlineLevel="0" collapsed="false">
      <c r="A14601" s="5" t="e">
        <f aca="false">VDB(1000,0,1,2,1,1.5)</f>
        <v>#VALUE!</v>
      </c>
      <c r="B14601" s="0" t="s">
        <v>14468</v>
      </c>
    </row>
    <row r="14602" customFormat="false" ht="15" hidden="false" customHeight="false" outlineLevel="0" collapsed="false">
      <c r="A14602" s="5" t="e">
        <f aca="false">VDB(1000,0,1,2,1,2)</f>
        <v>#VALUE!</v>
      </c>
      <c r="B14602" s="0" t="s">
        <v>14469</v>
      </c>
    </row>
    <row r="14603" customFormat="false" ht="15" hidden="false" customHeight="false" outlineLevel="0" collapsed="false">
      <c r="A14603" s="5" t="e">
        <f aca="false">VDB(1000,0,1,2,1,3)</f>
        <v>#VALUE!</v>
      </c>
      <c r="B14603" s="0" t="s">
        <v>14470</v>
      </c>
    </row>
    <row r="14604" customFormat="false" ht="15" hidden="false" customHeight="false" outlineLevel="0" collapsed="false">
      <c r="A14604" s="5" t="e">
        <f aca="false">VDB(1000,0,1,2,1,0)</f>
        <v>#VALUE!</v>
      </c>
      <c r="B14604" s="0" t="s">
        <v>14471</v>
      </c>
    </row>
    <row r="14605" customFormat="false" ht="15" hidden="false" customHeight="false" outlineLevel="0" collapsed="false">
      <c r="A14605" s="5" t="e">
        <f aca="false">VDB(1000,0,1,2,1,-1)</f>
        <v>#VALUE!</v>
      </c>
      <c r="B14605" s="0" t="s">
        <v>14472</v>
      </c>
    </row>
    <row r="14606" customFormat="false" ht="15" hidden="false" customHeight="false" outlineLevel="0" collapsed="false">
      <c r="A14606" s="5" t="e">
        <f aca="false">VDB(1000,0,1,2,1,2,TRUE())</f>
        <v>#VALUE!</v>
      </c>
      <c r="B14606" s="0" t="s">
        <v>14473</v>
      </c>
    </row>
    <row r="14607" customFormat="false" ht="15" hidden="false" customHeight="false" outlineLevel="0" collapsed="false">
      <c r="A14607" s="5" t="e">
        <f aca="false">VDB(1000,0,1,2,1,1.5,TRUE())</f>
        <v>#VALUE!</v>
      </c>
      <c r="B14607" s="0" t="s">
        <v>14474</v>
      </c>
    </row>
    <row r="14608" customFormat="false" ht="15" hidden="false" customHeight="false" outlineLevel="0" collapsed="false">
      <c r="A14608" s="5" t="e">
        <f aca="false">VDB(1000,0,1,2,1,2,FALSE())</f>
        <v>#VALUE!</v>
      </c>
      <c r="B14608" s="0" t="s">
        <v>14475</v>
      </c>
    </row>
    <row r="14609" customFormat="false" ht="15" hidden="false" customHeight="false" outlineLevel="0" collapsed="false">
      <c r="A14609" s="5" t="e">
        <f aca="false">VDB(1000,0,1,2,1,,TRUE())</f>
        <v>#VALUE!</v>
      </c>
      <c r="B14609" s="0" t="s">
        <v>14476</v>
      </c>
    </row>
    <row r="14610" customFormat="false" ht="15" hidden="false" customHeight="false" outlineLevel="0" collapsed="false">
      <c r="A14610" s="5" t="e">
        <f aca="false">VDB(1000,0,1,0,2)</f>
        <v>#VALUE!</v>
      </c>
      <c r="B14610" s="0" t="s">
        <v>14477</v>
      </c>
    </row>
    <row r="14611" customFormat="false" ht="15" hidden="false" customHeight="false" outlineLevel="0" collapsed="false">
      <c r="A14611" s="5" t="e">
        <f aca="false">VDB(1000,0,1,0,2,1.5)</f>
        <v>#VALUE!</v>
      </c>
      <c r="B14611" s="0" t="s">
        <v>14478</v>
      </c>
    </row>
    <row r="14612" customFormat="false" ht="15" hidden="false" customHeight="false" outlineLevel="0" collapsed="false">
      <c r="A14612" s="5" t="e">
        <f aca="false">VDB(1000,0,1,0,2,2)</f>
        <v>#VALUE!</v>
      </c>
      <c r="B14612" s="0" t="s">
        <v>14479</v>
      </c>
    </row>
    <row r="14613" customFormat="false" ht="15" hidden="false" customHeight="false" outlineLevel="0" collapsed="false">
      <c r="A14613" s="5" t="e">
        <f aca="false">VDB(1000,0,1,0,2,3)</f>
        <v>#VALUE!</v>
      </c>
      <c r="B14613" s="0" t="s">
        <v>14480</v>
      </c>
    </row>
    <row r="14614" customFormat="false" ht="15" hidden="false" customHeight="false" outlineLevel="0" collapsed="false">
      <c r="A14614" s="5" t="e">
        <f aca="false">VDB(1000,0,1,0,2,0)</f>
        <v>#VALUE!</v>
      </c>
      <c r="B14614" s="0" t="s">
        <v>14481</v>
      </c>
    </row>
    <row r="14615" customFormat="false" ht="15" hidden="false" customHeight="false" outlineLevel="0" collapsed="false">
      <c r="A14615" s="5" t="e">
        <f aca="false">VDB(1000,0,1,0,2,-1)</f>
        <v>#VALUE!</v>
      </c>
      <c r="B14615" s="0" t="s">
        <v>14482</v>
      </c>
    </row>
    <row r="14616" customFormat="false" ht="15" hidden="false" customHeight="false" outlineLevel="0" collapsed="false">
      <c r="A14616" s="5" t="e">
        <f aca="false">VDB(1000,0,1,0,2,2,TRUE())</f>
        <v>#VALUE!</v>
      </c>
      <c r="B14616" s="0" t="s">
        <v>14483</v>
      </c>
    </row>
    <row r="14617" customFormat="false" ht="15" hidden="false" customHeight="false" outlineLevel="0" collapsed="false">
      <c r="A14617" s="5" t="e">
        <f aca="false">VDB(1000,0,1,0,2,1.5,TRUE())</f>
        <v>#VALUE!</v>
      </c>
      <c r="B14617" s="0" t="s">
        <v>14484</v>
      </c>
    </row>
    <row r="14618" customFormat="false" ht="15" hidden="false" customHeight="false" outlineLevel="0" collapsed="false">
      <c r="A14618" s="5" t="e">
        <f aca="false">VDB(1000,0,1,0,2,2,FALSE())</f>
        <v>#VALUE!</v>
      </c>
      <c r="B14618" s="0" t="s">
        <v>14485</v>
      </c>
    </row>
    <row r="14619" customFormat="false" ht="15" hidden="false" customHeight="false" outlineLevel="0" collapsed="false">
      <c r="A14619" s="5" t="e">
        <f aca="false">VDB(1000,0,1,0,2,,TRUE())</f>
        <v>#VALUE!</v>
      </c>
      <c r="B14619" s="0" t="s">
        <v>14486</v>
      </c>
    </row>
    <row r="14620" customFormat="false" ht="15" hidden="false" customHeight="false" outlineLevel="0" collapsed="false">
      <c r="A14620" s="5" t="e">
        <f aca="false">VDB(1000,0,1,-1,1)</f>
        <v>#VALUE!</v>
      </c>
      <c r="B14620" s="0" t="s">
        <v>14487</v>
      </c>
    </row>
    <row r="14621" customFormat="false" ht="15" hidden="false" customHeight="false" outlineLevel="0" collapsed="false">
      <c r="A14621" s="5" t="e">
        <f aca="false">VDB(1000,0,1,-1,1,1.5)</f>
        <v>#VALUE!</v>
      </c>
      <c r="B14621" s="0" t="s">
        <v>14488</v>
      </c>
    </row>
    <row r="14622" customFormat="false" ht="15" hidden="false" customHeight="false" outlineLevel="0" collapsed="false">
      <c r="A14622" s="5" t="e">
        <f aca="false">VDB(1000,0,1,-1,1,2)</f>
        <v>#VALUE!</v>
      </c>
      <c r="B14622" s="0" t="s">
        <v>14489</v>
      </c>
    </row>
    <row r="14623" customFormat="false" ht="15" hidden="false" customHeight="false" outlineLevel="0" collapsed="false">
      <c r="A14623" s="5" t="e">
        <f aca="false">VDB(1000,0,1,-1,1,3)</f>
        <v>#VALUE!</v>
      </c>
      <c r="B14623" s="0" t="s">
        <v>14490</v>
      </c>
    </row>
    <row r="14624" customFormat="false" ht="15" hidden="false" customHeight="false" outlineLevel="0" collapsed="false">
      <c r="A14624" s="5" t="e">
        <f aca="false">VDB(1000,0,1,-1,1,0)</f>
        <v>#VALUE!</v>
      </c>
      <c r="B14624" s="0" t="s">
        <v>14491</v>
      </c>
    </row>
    <row r="14625" customFormat="false" ht="15" hidden="false" customHeight="false" outlineLevel="0" collapsed="false">
      <c r="A14625" s="5" t="e">
        <f aca="false">VDB(1000,0,1,-1,1,-1)</f>
        <v>#VALUE!</v>
      </c>
      <c r="B14625" s="0" t="s">
        <v>14492</v>
      </c>
    </row>
    <row r="14626" customFormat="false" ht="15" hidden="false" customHeight="false" outlineLevel="0" collapsed="false">
      <c r="A14626" s="5" t="e">
        <f aca="false">VDB(1000,0,1,-1,1,2,TRUE())</f>
        <v>#VALUE!</v>
      </c>
      <c r="B14626" s="0" t="s">
        <v>14493</v>
      </c>
    </row>
    <row r="14627" customFormat="false" ht="15" hidden="false" customHeight="false" outlineLevel="0" collapsed="false">
      <c r="A14627" s="5" t="e">
        <f aca="false">VDB(1000,0,1,-1,1,1.5,TRUE())</f>
        <v>#VALUE!</v>
      </c>
      <c r="B14627" s="0" t="s">
        <v>14494</v>
      </c>
    </row>
    <row r="14628" customFormat="false" ht="15" hidden="false" customHeight="false" outlineLevel="0" collapsed="false">
      <c r="A14628" s="5" t="e">
        <f aca="false">VDB(1000,0,1,-1,1,2,FALSE())</f>
        <v>#VALUE!</v>
      </c>
      <c r="B14628" s="0" t="s">
        <v>14495</v>
      </c>
    </row>
    <row r="14629" customFormat="false" ht="15" hidden="false" customHeight="false" outlineLevel="0" collapsed="false">
      <c r="A14629" s="5" t="e">
        <f aca="false">VDB(1000,0,1,-1,1,,TRUE())</f>
        <v>#VALUE!</v>
      </c>
      <c r="B14629" s="0" t="s">
        <v>14496</v>
      </c>
    </row>
    <row r="14630" customFormat="false" ht="15" hidden="false" customHeight="false" outlineLevel="0" collapsed="false">
      <c r="A14630" s="5" t="n">
        <f aca="false">VDB(1000,0,1,0.25,0.75)</f>
        <v>500</v>
      </c>
      <c r="B14630" s="0" t="s">
        <v>14497</v>
      </c>
    </row>
    <row r="14631" customFormat="false" ht="15" hidden="false" customHeight="false" outlineLevel="0" collapsed="false">
      <c r="A14631" s="5" t="n">
        <f aca="false">VDB(1000,0,1,0.25,0.75,1.5)</f>
        <v>500</v>
      </c>
      <c r="B14631" s="0" t="s">
        <v>14498</v>
      </c>
    </row>
    <row r="14632" customFormat="false" ht="15" hidden="false" customHeight="false" outlineLevel="0" collapsed="false">
      <c r="A14632" s="5" t="n">
        <f aca="false">VDB(1000,0,1,0.25,0.75,2)</f>
        <v>500</v>
      </c>
      <c r="B14632" s="0" t="s">
        <v>14499</v>
      </c>
    </row>
    <row r="14633" customFormat="false" ht="15" hidden="false" customHeight="false" outlineLevel="0" collapsed="false">
      <c r="A14633" s="5" t="n">
        <f aca="false">VDB(1000,0,1,0.25,0.75,3)</f>
        <v>500</v>
      </c>
      <c r="B14633" s="0" t="s">
        <v>14500</v>
      </c>
    </row>
    <row r="14634" customFormat="false" ht="15" hidden="false" customHeight="false" outlineLevel="0" collapsed="false">
      <c r="A14634" s="5" t="e">
        <f aca="false">VDB(1000,0,1,0.25,0.75,0)</f>
        <v>#VALUE!</v>
      </c>
      <c r="B14634" s="0" t="s">
        <v>14501</v>
      </c>
    </row>
    <row r="14635" customFormat="false" ht="15" hidden="false" customHeight="false" outlineLevel="0" collapsed="false">
      <c r="A14635" s="5" t="e">
        <f aca="false">VDB(1000,0,1,0.25,0.75,-1)</f>
        <v>#VALUE!</v>
      </c>
      <c r="B14635" s="0" t="s">
        <v>14502</v>
      </c>
    </row>
    <row r="14636" customFormat="false" ht="15" hidden="false" customHeight="false" outlineLevel="0" collapsed="false">
      <c r="A14636" s="5" t="n">
        <f aca="false">VDB(1000,0,1,0.25,0.75,2,TRUE())</f>
        <v>500</v>
      </c>
      <c r="B14636" s="0" t="s">
        <v>14503</v>
      </c>
    </row>
    <row r="14637" customFormat="false" ht="15" hidden="false" customHeight="false" outlineLevel="0" collapsed="false">
      <c r="A14637" s="5" t="n">
        <f aca="false">VDB(1000,0,1,0.25,0.75,1.5,TRUE())</f>
        <v>500</v>
      </c>
      <c r="B14637" s="0" t="s">
        <v>14504</v>
      </c>
    </row>
    <row r="14638" customFormat="false" ht="15" hidden="false" customHeight="false" outlineLevel="0" collapsed="false">
      <c r="A14638" s="5" t="n">
        <f aca="false">VDB(1000,0,1,0.25,0.75,2,FALSE())</f>
        <v>500</v>
      </c>
      <c r="B14638" s="0" t="s">
        <v>14505</v>
      </c>
    </row>
    <row r="14639" customFormat="false" ht="15" hidden="false" customHeight="false" outlineLevel="0" collapsed="false">
      <c r="A14639" s="5" t="e">
        <f aca="false">VDB(1000,0,1,0.25,0.75,,TRUE())</f>
        <v>#VALUE!</v>
      </c>
      <c r="B14639" s="0" t="s">
        <v>14506</v>
      </c>
    </row>
    <row r="14640" customFormat="false" ht="15" hidden="false" customHeight="false" outlineLevel="0" collapsed="false">
      <c r="A14640" s="5" t="n">
        <f aca="false">VDB(1000,0,1,1,1)</f>
        <v>0</v>
      </c>
      <c r="B14640" s="0" t="s">
        <v>14457</v>
      </c>
    </row>
    <row r="14641" customFormat="false" ht="15" hidden="false" customHeight="false" outlineLevel="0" collapsed="false">
      <c r="A14641" s="5" t="n">
        <f aca="false">VDB(1000,0,1,1,1,1.5)</f>
        <v>0</v>
      </c>
      <c r="B14641" s="0" t="s">
        <v>14458</v>
      </c>
    </row>
    <row r="14642" customFormat="false" ht="15" hidden="false" customHeight="false" outlineLevel="0" collapsed="false">
      <c r="A14642" s="5" t="n">
        <f aca="false">VDB(1000,0,1,1,1,2)</f>
        <v>0</v>
      </c>
      <c r="B14642" s="0" t="s">
        <v>14459</v>
      </c>
    </row>
    <row r="14643" customFormat="false" ht="15" hidden="false" customHeight="false" outlineLevel="0" collapsed="false">
      <c r="A14643" s="5" t="n">
        <f aca="false">VDB(1000,0,1,1,1,3)</f>
        <v>0</v>
      </c>
      <c r="B14643" s="0" t="s">
        <v>14460</v>
      </c>
    </row>
    <row r="14644" customFormat="false" ht="15" hidden="false" customHeight="false" outlineLevel="0" collapsed="false">
      <c r="A14644" s="5" t="e">
        <f aca="false">VDB(1000,0,1,1,1,0)</f>
        <v>#VALUE!</v>
      </c>
      <c r="B14644" s="0" t="s">
        <v>14461</v>
      </c>
    </row>
    <row r="14645" customFormat="false" ht="15" hidden="false" customHeight="false" outlineLevel="0" collapsed="false">
      <c r="A14645" s="5" t="e">
        <f aca="false">VDB(1000,0,1,1,1,-1)</f>
        <v>#VALUE!</v>
      </c>
      <c r="B14645" s="0" t="s">
        <v>14462</v>
      </c>
    </row>
    <row r="14646" customFormat="false" ht="15" hidden="false" customHeight="false" outlineLevel="0" collapsed="false">
      <c r="A14646" s="5" t="n">
        <f aca="false">VDB(1000,0,1,1,1,2,TRUE())</f>
        <v>0</v>
      </c>
      <c r="B14646" s="0" t="s">
        <v>14463</v>
      </c>
    </row>
    <row r="14647" customFormat="false" ht="15" hidden="false" customHeight="false" outlineLevel="0" collapsed="false">
      <c r="A14647" s="5" t="n">
        <f aca="false">VDB(1000,0,1,1,1,1.5,TRUE())</f>
        <v>0</v>
      </c>
      <c r="B14647" s="0" t="s">
        <v>14464</v>
      </c>
    </row>
    <row r="14648" customFormat="false" ht="15" hidden="false" customHeight="false" outlineLevel="0" collapsed="false">
      <c r="A14648" s="5" t="n">
        <f aca="false">VDB(1000,0,1,1,1,2,FALSE())</f>
        <v>0</v>
      </c>
      <c r="B14648" s="0" t="s">
        <v>14465</v>
      </c>
    </row>
    <row r="14649" customFormat="false" ht="15" hidden="false" customHeight="false" outlineLevel="0" collapsed="false">
      <c r="A14649" s="5" t="e">
        <f aca="false">VDB(1000,0,1,1,1,,TRUE())</f>
        <v>#VALUE!</v>
      </c>
      <c r="B14649" s="0" t="s">
        <v>14466</v>
      </c>
    </row>
    <row r="14650" customFormat="false" ht="15" hidden="false" customHeight="false" outlineLevel="0" collapsed="false">
      <c r="A14650" s="5" t="n">
        <f aca="false">VDB(1000,0,1,1,1)</f>
        <v>0</v>
      </c>
      <c r="B14650" s="0" t="s">
        <v>14457</v>
      </c>
    </row>
    <row r="14651" customFormat="false" ht="15" hidden="false" customHeight="false" outlineLevel="0" collapsed="false">
      <c r="A14651" s="5" t="n">
        <f aca="false">VDB(1000,0,1,1,1,1.5)</f>
        <v>0</v>
      </c>
      <c r="B14651" s="0" t="s">
        <v>14458</v>
      </c>
    </row>
    <row r="14652" customFormat="false" ht="15" hidden="false" customHeight="false" outlineLevel="0" collapsed="false">
      <c r="A14652" s="5" t="n">
        <f aca="false">VDB(1000,0,1,1,1,2)</f>
        <v>0</v>
      </c>
      <c r="B14652" s="0" t="s">
        <v>14459</v>
      </c>
    </row>
    <row r="14653" customFormat="false" ht="15" hidden="false" customHeight="false" outlineLevel="0" collapsed="false">
      <c r="A14653" s="5" t="n">
        <f aca="false">VDB(1000,0,1,1,1,3)</f>
        <v>0</v>
      </c>
      <c r="B14653" s="0" t="s">
        <v>14460</v>
      </c>
    </row>
    <row r="14654" customFormat="false" ht="15" hidden="false" customHeight="false" outlineLevel="0" collapsed="false">
      <c r="A14654" s="5" t="e">
        <f aca="false">VDB(1000,0,1,1,1,0)</f>
        <v>#VALUE!</v>
      </c>
      <c r="B14654" s="0" t="s">
        <v>14461</v>
      </c>
    </row>
    <row r="14655" customFormat="false" ht="15" hidden="false" customHeight="false" outlineLevel="0" collapsed="false">
      <c r="A14655" s="5" t="e">
        <f aca="false">VDB(1000,0,1,1,1,-1)</f>
        <v>#VALUE!</v>
      </c>
      <c r="B14655" s="0" t="s">
        <v>14462</v>
      </c>
    </row>
    <row r="14656" customFormat="false" ht="15" hidden="false" customHeight="false" outlineLevel="0" collapsed="false">
      <c r="A14656" s="5" t="n">
        <f aca="false">VDB(1000,0,1,1,1,2,TRUE())</f>
        <v>0</v>
      </c>
      <c r="B14656" s="0" t="s">
        <v>14463</v>
      </c>
    </row>
    <row r="14657" customFormat="false" ht="15" hidden="false" customHeight="false" outlineLevel="0" collapsed="false">
      <c r="A14657" s="5" t="n">
        <f aca="false">VDB(1000,0,1,1,1,1.5,TRUE())</f>
        <v>0</v>
      </c>
      <c r="B14657" s="0" t="s">
        <v>14464</v>
      </c>
    </row>
    <row r="14658" customFormat="false" ht="15" hidden="false" customHeight="false" outlineLevel="0" collapsed="false">
      <c r="A14658" s="5" t="n">
        <f aca="false">VDB(1000,0,1,1,1,2,FALSE())</f>
        <v>0</v>
      </c>
      <c r="B14658" s="0" t="s">
        <v>14465</v>
      </c>
    </row>
    <row r="14659" customFormat="false" ht="15" hidden="false" customHeight="false" outlineLevel="0" collapsed="false">
      <c r="A14659" s="5" t="e">
        <f aca="false">VDB(1000,0,1,1,1,,TRUE())</f>
        <v>#VALUE!</v>
      </c>
      <c r="B14659" s="0" t="s">
        <v>14466</v>
      </c>
    </row>
    <row r="14660" customFormat="false" ht="15" hidden="false" customHeight="false" outlineLevel="0" collapsed="false">
      <c r="A14660" s="5" t="n">
        <f aca="false">VDB(500,50,2.5,0,1)</f>
        <v>400</v>
      </c>
      <c r="B14660" s="0" t="s">
        <v>14507</v>
      </c>
    </row>
    <row r="14661" customFormat="false" ht="15" hidden="false" customHeight="false" outlineLevel="0" collapsed="false">
      <c r="A14661" s="5" t="n">
        <f aca="false">VDB(500,50,2.5,0,1,1.5)</f>
        <v>300</v>
      </c>
      <c r="B14661" s="0" t="s">
        <v>14508</v>
      </c>
    </row>
    <row r="14662" customFormat="false" ht="15" hidden="false" customHeight="false" outlineLevel="0" collapsed="false">
      <c r="A14662" s="5" t="n">
        <f aca="false">VDB(500,50,2.5,0,1,2)</f>
        <v>400</v>
      </c>
      <c r="B14662" s="0" t="s">
        <v>14509</v>
      </c>
    </row>
    <row r="14663" customFormat="false" ht="15" hidden="false" customHeight="false" outlineLevel="0" collapsed="false">
      <c r="A14663" s="5" t="n">
        <f aca="false">VDB(500,50,2.5,0,1,3)</f>
        <v>450</v>
      </c>
      <c r="B14663" s="0" t="s">
        <v>14510</v>
      </c>
    </row>
    <row r="14664" customFormat="false" ht="15" hidden="false" customHeight="false" outlineLevel="0" collapsed="false">
      <c r="A14664" s="5" t="e">
        <f aca="false">VDB(500,50,2.5,0,1,0)</f>
        <v>#VALUE!</v>
      </c>
      <c r="B14664" s="0" t="s">
        <v>14511</v>
      </c>
    </row>
    <row r="14665" customFormat="false" ht="15" hidden="false" customHeight="false" outlineLevel="0" collapsed="false">
      <c r="A14665" s="5" t="e">
        <f aca="false">VDB(500,50,2.5,0,1,-1)</f>
        <v>#VALUE!</v>
      </c>
      <c r="B14665" s="0" t="s">
        <v>14512</v>
      </c>
    </row>
    <row r="14666" customFormat="false" ht="15" hidden="false" customHeight="false" outlineLevel="0" collapsed="false">
      <c r="A14666" s="5" t="n">
        <f aca="false">VDB(500,50,2.5,0,1,2,TRUE())</f>
        <v>400</v>
      </c>
      <c r="B14666" s="0" t="s">
        <v>14513</v>
      </c>
    </row>
    <row r="14667" customFormat="false" ht="15" hidden="false" customHeight="false" outlineLevel="0" collapsed="false">
      <c r="A14667" s="5" t="n">
        <f aca="false">VDB(500,50,2.5,0,1,1.5,TRUE())</f>
        <v>300</v>
      </c>
      <c r="B14667" s="0" t="s">
        <v>14514</v>
      </c>
    </row>
    <row r="14668" customFormat="false" ht="15" hidden="false" customHeight="false" outlineLevel="0" collapsed="false">
      <c r="A14668" s="5" t="n">
        <f aca="false">VDB(500,50,2.5,0,1,2,FALSE())</f>
        <v>400</v>
      </c>
      <c r="B14668" s="0" t="s">
        <v>14515</v>
      </c>
    </row>
    <row r="14669" customFormat="false" ht="15" hidden="false" customHeight="false" outlineLevel="0" collapsed="false">
      <c r="A14669" s="5" t="e">
        <f aca="false">VDB(500,50,2.5,0,1,,TRUE())</f>
        <v>#VALUE!</v>
      </c>
      <c r="B14669" s="0" t="s">
        <v>14516</v>
      </c>
    </row>
    <row r="14670" customFormat="false" ht="15" hidden="false" customHeight="false" outlineLevel="0" collapsed="false">
      <c r="A14670" s="5" t="n">
        <f aca="false">VDB(500,50,2.5,1,2)</f>
        <v>50</v>
      </c>
      <c r="B14670" s="0" t="s">
        <v>14517</v>
      </c>
    </row>
    <row r="14671" customFormat="false" ht="15" hidden="false" customHeight="false" outlineLevel="0" collapsed="false">
      <c r="A14671" s="5" t="n">
        <f aca="false">VDB(500,50,2.5,1,2,1.5)</f>
        <v>120</v>
      </c>
      <c r="B14671" s="0" t="s">
        <v>14518</v>
      </c>
    </row>
    <row r="14672" customFormat="false" ht="15" hidden="false" customHeight="false" outlineLevel="0" collapsed="false">
      <c r="A14672" s="5" t="n">
        <f aca="false">VDB(500,50,2.5,1,2,2)</f>
        <v>50</v>
      </c>
      <c r="B14672" s="0" t="s">
        <v>14519</v>
      </c>
    </row>
    <row r="14673" customFormat="false" ht="15" hidden="false" customHeight="false" outlineLevel="0" collapsed="false">
      <c r="A14673" s="5" t="n">
        <f aca="false">VDB(500,50,2.5,1,2,3)</f>
        <v>0</v>
      </c>
      <c r="B14673" s="0" t="s">
        <v>14520</v>
      </c>
    </row>
    <row r="14674" customFormat="false" ht="15" hidden="false" customHeight="false" outlineLevel="0" collapsed="false">
      <c r="A14674" s="5" t="e">
        <f aca="false">VDB(500,50,2.5,1,2,0)</f>
        <v>#VALUE!</v>
      </c>
      <c r="B14674" s="0" t="s">
        <v>14521</v>
      </c>
    </row>
    <row r="14675" customFormat="false" ht="15" hidden="false" customHeight="false" outlineLevel="0" collapsed="false">
      <c r="A14675" s="5" t="e">
        <f aca="false">VDB(500,50,2.5,1,2,-1)</f>
        <v>#VALUE!</v>
      </c>
      <c r="B14675" s="0" t="s">
        <v>14522</v>
      </c>
    </row>
    <row r="14676" customFormat="false" ht="15" hidden="false" customHeight="false" outlineLevel="0" collapsed="false">
      <c r="A14676" s="5" t="n">
        <f aca="false">VDB(500,50,2.5,1,2,2,TRUE())</f>
        <v>50</v>
      </c>
      <c r="B14676" s="0" t="s">
        <v>14523</v>
      </c>
    </row>
    <row r="14677" customFormat="false" ht="15" hidden="false" customHeight="false" outlineLevel="0" collapsed="false">
      <c r="A14677" s="5" t="n">
        <f aca="false">VDB(500,50,2.5,1,2,1.5,TRUE())</f>
        <v>120</v>
      </c>
      <c r="B14677" s="0" t="s">
        <v>14524</v>
      </c>
    </row>
    <row r="14678" customFormat="false" ht="15" hidden="false" customHeight="false" outlineLevel="0" collapsed="false">
      <c r="A14678" s="5" t="n">
        <f aca="false">VDB(500,50,2.5,1,2,2,FALSE())</f>
        <v>50</v>
      </c>
      <c r="B14678" s="0" t="s">
        <v>14525</v>
      </c>
    </row>
    <row r="14679" customFormat="false" ht="15" hidden="false" customHeight="false" outlineLevel="0" collapsed="false">
      <c r="A14679" s="5" t="e">
        <f aca="false">VDB(500,50,2.5,1,2,,TRUE())</f>
        <v>#VALUE!</v>
      </c>
      <c r="B14679" s="0" t="s">
        <v>14526</v>
      </c>
    </row>
    <row r="14680" customFormat="false" ht="15" hidden="false" customHeight="false" outlineLevel="0" collapsed="false">
      <c r="A14680" s="5" t="e">
        <f aca="false">VDB(500,50,2.5,0,5)</f>
        <v>#VALUE!</v>
      </c>
      <c r="B14680" s="0" t="s">
        <v>14527</v>
      </c>
    </row>
    <row r="14681" customFormat="false" ht="15" hidden="false" customHeight="false" outlineLevel="0" collapsed="false">
      <c r="A14681" s="5" t="e">
        <f aca="false">VDB(500,50,2.5,0,5,1.5)</f>
        <v>#VALUE!</v>
      </c>
      <c r="B14681" s="0" t="s">
        <v>14528</v>
      </c>
    </row>
    <row r="14682" customFormat="false" ht="15" hidden="false" customHeight="false" outlineLevel="0" collapsed="false">
      <c r="A14682" s="5" t="e">
        <f aca="false">VDB(500,50,2.5,0,5,2)</f>
        <v>#VALUE!</v>
      </c>
      <c r="B14682" s="0" t="s">
        <v>14529</v>
      </c>
    </row>
    <row r="14683" customFormat="false" ht="15" hidden="false" customHeight="false" outlineLevel="0" collapsed="false">
      <c r="A14683" s="5" t="e">
        <f aca="false">VDB(500,50,2.5,0,5,3)</f>
        <v>#VALUE!</v>
      </c>
      <c r="B14683" s="0" t="s">
        <v>14530</v>
      </c>
    </row>
    <row r="14684" customFormat="false" ht="15" hidden="false" customHeight="false" outlineLevel="0" collapsed="false">
      <c r="A14684" s="5" t="e">
        <f aca="false">VDB(500,50,2.5,0,5,0)</f>
        <v>#VALUE!</v>
      </c>
      <c r="B14684" s="0" t="s">
        <v>14531</v>
      </c>
    </row>
    <row r="14685" customFormat="false" ht="15" hidden="false" customHeight="false" outlineLevel="0" collapsed="false">
      <c r="A14685" s="5" t="e">
        <f aca="false">VDB(500,50,2.5,0,5,-1)</f>
        <v>#VALUE!</v>
      </c>
      <c r="B14685" s="0" t="s">
        <v>14532</v>
      </c>
    </row>
    <row r="14686" customFormat="false" ht="15" hidden="false" customHeight="false" outlineLevel="0" collapsed="false">
      <c r="A14686" s="5" t="e">
        <f aca="false">VDB(500,50,2.5,0,5,2,TRUE())</f>
        <v>#VALUE!</v>
      </c>
      <c r="B14686" s="0" t="s">
        <v>14533</v>
      </c>
    </row>
    <row r="14687" customFormat="false" ht="15" hidden="false" customHeight="false" outlineLevel="0" collapsed="false">
      <c r="A14687" s="5" t="e">
        <f aca="false">VDB(500,50,2.5,0,5,1.5,TRUE())</f>
        <v>#VALUE!</v>
      </c>
      <c r="B14687" s="0" t="s">
        <v>14534</v>
      </c>
    </row>
    <row r="14688" customFormat="false" ht="15" hidden="false" customHeight="false" outlineLevel="0" collapsed="false">
      <c r="A14688" s="5" t="e">
        <f aca="false">VDB(500,50,2.5,0,5,2,FALSE())</f>
        <v>#VALUE!</v>
      </c>
      <c r="B14688" s="0" t="s">
        <v>14535</v>
      </c>
    </row>
    <row r="14689" customFormat="false" ht="15" hidden="false" customHeight="false" outlineLevel="0" collapsed="false">
      <c r="A14689" s="5" t="e">
        <f aca="false">VDB(500,50,2.5,0,5,,TRUE())</f>
        <v>#VALUE!</v>
      </c>
      <c r="B14689" s="0" t="s">
        <v>14536</v>
      </c>
    </row>
    <row r="14690" customFormat="false" ht="15" hidden="false" customHeight="false" outlineLevel="0" collapsed="false">
      <c r="A14690" s="5" t="n">
        <f aca="false">VDB(500,50,2.5,0.5,1.5)</f>
        <v>225</v>
      </c>
      <c r="B14690" s="0" t="s">
        <v>14537</v>
      </c>
    </row>
    <row r="14691" customFormat="false" ht="15" hidden="false" customHeight="false" outlineLevel="0" collapsed="false">
      <c r="A14691" s="5" t="n">
        <f aca="false">VDB(500,50,2.5,0.5,1.5,1.5)</f>
        <v>210</v>
      </c>
      <c r="B14691" s="0" t="s">
        <v>14538</v>
      </c>
    </row>
    <row r="14692" customFormat="false" ht="15" hidden="false" customHeight="false" outlineLevel="0" collapsed="false">
      <c r="A14692" s="5" t="n">
        <f aca="false">VDB(500,50,2.5,0.5,1.5,2)</f>
        <v>225</v>
      </c>
      <c r="B14692" s="0" t="s">
        <v>14539</v>
      </c>
    </row>
    <row r="14693" customFormat="false" ht="15" hidden="false" customHeight="false" outlineLevel="0" collapsed="false">
      <c r="A14693" s="5" t="n">
        <f aca="false">VDB(500,50,2.5,0.5,1.5,3)</f>
        <v>225</v>
      </c>
      <c r="B14693" s="0" t="s">
        <v>14540</v>
      </c>
    </row>
    <row r="14694" customFormat="false" ht="15" hidden="false" customHeight="false" outlineLevel="0" collapsed="false">
      <c r="A14694" s="5" t="e">
        <f aca="false">VDB(500,50,2.5,0.5,1.5,0)</f>
        <v>#VALUE!</v>
      </c>
      <c r="B14694" s="0" t="s">
        <v>14541</v>
      </c>
    </row>
    <row r="14695" customFormat="false" ht="15" hidden="false" customHeight="false" outlineLevel="0" collapsed="false">
      <c r="A14695" s="5" t="e">
        <f aca="false">VDB(500,50,2.5,0.5,1.5,-1)</f>
        <v>#VALUE!</v>
      </c>
      <c r="B14695" s="0" t="s">
        <v>14542</v>
      </c>
    </row>
    <row r="14696" customFormat="false" ht="15" hidden="false" customHeight="false" outlineLevel="0" collapsed="false">
      <c r="A14696" s="5" t="n">
        <f aca="false">VDB(500,50,2.5,0.5,1.5,2,TRUE())</f>
        <v>225</v>
      </c>
      <c r="B14696" s="0" t="s">
        <v>14543</v>
      </c>
    </row>
    <row r="14697" customFormat="false" ht="15" hidden="false" customHeight="false" outlineLevel="0" collapsed="false">
      <c r="A14697" s="5" t="n">
        <f aca="false">VDB(500,50,2.5,0.5,1.5,1.5,TRUE())</f>
        <v>210</v>
      </c>
      <c r="B14697" s="0" t="s">
        <v>14544</v>
      </c>
    </row>
    <row r="14698" customFormat="false" ht="15" hidden="false" customHeight="false" outlineLevel="0" collapsed="false">
      <c r="A14698" s="5" t="n">
        <f aca="false">VDB(500,50,2.5,0.5,1.5,2,FALSE())</f>
        <v>225</v>
      </c>
      <c r="B14698" s="0" t="s">
        <v>14545</v>
      </c>
    </row>
    <row r="14699" customFormat="false" ht="15" hidden="false" customHeight="false" outlineLevel="0" collapsed="false">
      <c r="A14699" s="5" t="e">
        <f aca="false">VDB(500,50,2.5,0.5,1.5,,TRUE())</f>
        <v>#VALUE!</v>
      </c>
      <c r="B14699" s="0" t="s">
        <v>14546</v>
      </c>
    </row>
    <row r="14700" customFormat="false" ht="15" hidden="false" customHeight="false" outlineLevel="0" collapsed="false">
      <c r="A14700" s="5" t="e">
        <f aca="false">VDB(500,50,2.5,2,3)</f>
        <v>#VALUE!</v>
      </c>
      <c r="B14700" s="0" t="s">
        <v>14547</v>
      </c>
    </row>
    <row r="14701" customFormat="false" ht="15" hidden="false" customHeight="false" outlineLevel="0" collapsed="false">
      <c r="A14701" s="5" t="e">
        <f aca="false">VDB(500,50,2.5,2,3,1.5)</f>
        <v>#VALUE!</v>
      </c>
      <c r="B14701" s="0" t="s">
        <v>14548</v>
      </c>
    </row>
    <row r="14702" customFormat="false" ht="15" hidden="false" customHeight="false" outlineLevel="0" collapsed="false">
      <c r="A14702" s="5" t="e">
        <f aca="false">VDB(500,50,2.5,2,3,2)</f>
        <v>#VALUE!</v>
      </c>
      <c r="B14702" s="0" t="s">
        <v>14549</v>
      </c>
    </row>
    <row r="14703" customFormat="false" ht="15" hidden="false" customHeight="false" outlineLevel="0" collapsed="false">
      <c r="A14703" s="5" t="e">
        <f aca="false">VDB(500,50,2.5,2,3,3)</f>
        <v>#VALUE!</v>
      </c>
      <c r="B14703" s="0" t="s">
        <v>14550</v>
      </c>
    </row>
    <row r="14704" customFormat="false" ht="15" hidden="false" customHeight="false" outlineLevel="0" collapsed="false">
      <c r="A14704" s="5" t="e">
        <f aca="false">VDB(500,50,2.5,2,3,0)</f>
        <v>#VALUE!</v>
      </c>
      <c r="B14704" s="0" t="s">
        <v>14551</v>
      </c>
    </row>
    <row r="14705" customFormat="false" ht="15" hidden="false" customHeight="false" outlineLevel="0" collapsed="false">
      <c r="A14705" s="5" t="e">
        <f aca="false">VDB(500,50,2.5,2,3,-1)</f>
        <v>#VALUE!</v>
      </c>
      <c r="B14705" s="0" t="s">
        <v>14552</v>
      </c>
    </row>
    <row r="14706" customFormat="false" ht="15" hidden="false" customHeight="false" outlineLevel="0" collapsed="false">
      <c r="A14706" s="5" t="e">
        <f aca="false">VDB(500,50,2.5,2,3,2,TRUE())</f>
        <v>#VALUE!</v>
      </c>
      <c r="B14706" s="0" t="s">
        <v>14553</v>
      </c>
    </row>
    <row r="14707" customFormat="false" ht="15" hidden="false" customHeight="false" outlineLevel="0" collapsed="false">
      <c r="A14707" s="5" t="e">
        <f aca="false">VDB(500,50,2.5,2,3,1.5,TRUE())</f>
        <v>#VALUE!</v>
      </c>
      <c r="B14707" s="0" t="s">
        <v>14554</v>
      </c>
    </row>
    <row r="14708" customFormat="false" ht="15" hidden="false" customHeight="false" outlineLevel="0" collapsed="false">
      <c r="A14708" s="5" t="e">
        <f aca="false">VDB(500,50,2.5,2,3,2,FALSE())</f>
        <v>#VALUE!</v>
      </c>
      <c r="B14708" s="0" t="s">
        <v>14555</v>
      </c>
    </row>
    <row r="14709" customFormat="false" ht="15" hidden="false" customHeight="false" outlineLevel="0" collapsed="false">
      <c r="A14709" s="5" t="e">
        <f aca="false">VDB(500,50,2.5,2,3,,TRUE())</f>
        <v>#VALUE!</v>
      </c>
      <c r="B14709" s="0" t="s">
        <v>14556</v>
      </c>
    </row>
    <row r="14710" customFormat="false" ht="15" hidden="false" customHeight="false" outlineLevel="0" collapsed="false">
      <c r="A14710" s="5" t="n">
        <f aca="false">VDB(500,50,2.5,0,2.5)</f>
        <v>450</v>
      </c>
      <c r="B14710" s="0" t="s">
        <v>14557</v>
      </c>
    </row>
    <row r="14711" customFormat="false" ht="15" hidden="false" customHeight="false" outlineLevel="0" collapsed="false">
      <c r="A14711" s="5" t="n">
        <f aca="false">VDB(500,50,2.5,0,2.5,1.5)</f>
        <v>450</v>
      </c>
      <c r="B14711" s="0" t="s">
        <v>14558</v>
      </c>
    </row>
    <row r="14712" customFormat="false" ht="15" hidden="false" customHeight="false" outlineLevel="0" collapsed="false">
      <c r="A14712" s="5" t="n">
        <f aca="false">VDB(500,50,2.5,0,2.5,2)</f>
        <v>450</v>
      </c>
      <c r="B14712" s="0" t="s">
        <v>14559</v>
      </c>
    </row>
    <row r="14713" customFormat="false" ht="15" hidden="false" customHeight="false" outlineLevel="0" collapsed="false">
      <c r="A14713" s="5" t="n">
        <f aca="false">VDB(500,50,2.5,0,2.5,3)</f>
        <v>450</v>
      </c>
      <c r="B14713" s="0" t="s">
        <v>14560</v>
      </c>
    </row>
    <row r="14714" customFormat="false" ht="15" hidden="false" customHeight="false" outlineLevel="0" collapsed="false">
      <c r="A14714" s="5" t="e">
        <f aca="false">VDB(500,50,2.5,0,2.5,0)</f>
        <v>#VALUE!</v>
      </c>
      <c r="B14714" s="0" t="s">
        <v>14561</v>
      </c>
    </row>
    <row r="14715" customFormat="false" ht="15" hidden="false" customHeight="false" outlineLevel="0" collapsed="false">
      <c r="A14715" s="5" t="e">
        <f aca="false">VDB(500,50,2.5,0,2.5,-1)</f>
        <v>#VALUE!</v>
      </c>
      <c r="B14715" s="0" t="s">
        <v>14562</v>
      </c>
    </row>
    <row r="14716" customFormat="false" ht="15" hidden="false" customHeight="false" outlineLevel="0" collapsed="false">
      <c r="A14716" s="5" t="n">
        <f aca="false">VDB(500,50,2.5,0,2.5,2,TRUE())</f>
        <v>450</v>
      </c>
      <c r="B14716" s="0" t="s">
        <v>14563</v>
      </c>
    </row>
    <row r="14717" customFormat="false" ht="15" hidden="false" customHeight="false" outlineLevel="0" collapsed="false">
      <c r="A14717" s="5" t="n">
        <f aca="false">VDB(500,50,2.5,0,2.5,1.5,TRUE())</f>
        <v>435</v>
      </c>
      <c r="B14717" s="0" t="s">
        <v>14564</v>
      </c>
    </row>
    <row r="14718" customFormat="false" ht="15" hidden="false" customHeight="false" outlineLevel="0" collapsed="false">
      <c r="A14718" s="5" t="n">
        <f aca="false">VDB(500,50,2.5,0,2.5,2,FALSE())</f>
        <v>450</v>
      </c>
      <c r="B14718" s="0" t="s">
        <v>14565</v>
      </c>
    </row>
    <row r="14719" customFormat="false" ht="15" hidden="false" customHeight="false" outlineLevel="0" collapsed="false">
      <c r="A14719" s="5" t="e">
        <f aca="false">VDB(500,50,2.5,0,2.5,,TRUE())</f>
        <v>#VALUE!</v>
      </c>
      <c r="B14719" s="0" t="s">
        <v>14566</v>
      </c>
    </row>
    <row r="14720" customFormat="false" ht="15" hidden="false" customHeight="false" outlineLevel="0" collapsed="false">
      <c r="A14720" s="5" t="n">
        <f aca="false">VDB(500,50,2.5,1.5,2.5)</f>
        <v>25</v>
      </c>
      <c r="B14720" s="0" t="s">
        <v>14567</v>
      </c>
    </row>
    <row r="14721" customFormat="false" ht="15" hidden="false" customHeight="false" outlineLevel="0" collapsed="false">
      <c r="A14721" s="5" t="n">
        <f aca="false">VDB(500,50,2.5,1.5,2.5,1.5)</f>
        <v>90</v>
      </c>
      <c r="B14721" s="0" t="s">
        <v>14568</v>
      </c>
    </row>
    <row r="14722" customFormat="false" ht="15" hidden="false" customHeight="false" outlineLevel="0" collapsed="false">
      <c r="A14722" s="5" t="n">
        <f aca="false">VDB(500,50,2.5,1.5,2.5,2)</f>
        <v>25</v>
      </c>
      <c r="B14722" s="0" t="s">
        <v>14569</v>
      </c>
    </row>
    <row r="14723" customFormat="false" ht="15" hidden="false" customHeight="false" outlineLevel="0" collapsed="false">
      <c r="A14723" s="5" t="n">
        <f aca="false">VDB(500,50,2.5,1.5,2.5,3)</f>
        <v>0</v>
      </c>
      <c r="B14723" s="0" t="s">
        <v>14570</v>
      </c>
    </row>
    <row r="14724" customFormat="false" ht="15" hidden="false" customHeight="false" outlineLevel="0" collapsed="false">
      <c r="A14724" s="5" t="e">
        <f aca="false">VDB(500,50,2.5,1.5,2.5,0)</f>
        <v>#VALUE!</v>
      </c>
      <c r="B14724" s="0" t="s">
        <v>14571</v>
      </c>
    </row>
    <row r="14725" customFormat="false" ht="15" hidden="false" customHeight="false" outlineLevel="0" collapsed="false">
      <c r="A14725" s="5" t="e">
        <f aca="false">VDB(500,50,2.5,1.5,2.5,-1)</f>
        <v>#VALUE!</v>
      </c>
      <c r="B14725" s="0" t="s">
        <v>14572</v>
      </c>
    </row>
    <row r="14726" customFormat="false" ht="15" hidden="false" customHeight="false" outlineLevel="0" collapsed="false">
      <c r="A14726" s="5" t="n">
        <f aca="false">VDB(500,50,2.5,1.5,2.5,2,TRUE())</f>
        <v>25</v>
      </c>
      <c r="B14726" s="0" t="s">
        <v>14573</v>
      </c>
    </row>
    <row r="14727" customFormat="false" ht="15" hidden="false" customHeight="false" outlineLevel="0" collapsed="false">
      <c r="A14727" s="5" t="n">
        <f aca="false">VDB(500,50,2.5,1.5,2.5,1.5,TRUE())</f>
        <v>75</v>
      </c>
      <c r="B14727" s="0" t="s">
        <v>14574</v>
      </c>
    </row>
    <row r="14728" customFormat="false" ht="15" hidden="false" customHeight="false" outlineLevel="0" collapsed="false">
      <c r="A14728" s="5" t="n">
        <f aca="false">VDB(500,50,2.5,1.5,2.5,2,FALSE())</f>
        <v>25</v>
      </c>
      <c r="B14728" s="0" t="s">
        <v>14575</v>
      </c>
    </row>
    <row r="14729" customFormat="false" ht="15" hidden="false" customHeight="false" outlineLevel="0" collapsed="false">
      <c r="A14729" s="5" t="e">
        <f aca="false">VDB(500,50,2.5,1.5,2.5,,TRUE())</f>
        <v>#VALUE!</v>
      </c>
      <c r="B14729" s="0" t="s">
        <v>14576</v>
      </c>
    </row>
    <row r="14730" customFormat="false" ht="15" hidden="false" customHeight="false" outlineLevel="0" collapsed="false">
      <c r="A14730" s="5" t="e">
        <f aca="false">VDB(500,50,2.5,3.5,4.2)</f>
        <v>#VALUE!</v>
      </c>
      <c r="B14730" s="0" t="s">
        <v>14577</v>
      </c>
    </row>
    <row r="14731" customFormat="false" ht="15" hidden="false" customHeight="false" outlineLevel="0" collapsed="false">
      <c r="A14731" s="5" t="e">
        <f aca="false">VDB(500,50,2.5,3.5,4.2,1.5)</f>
        <v>#VALUE!</v>
      </c>
      <c r="B14731" s="0" t="s">
        <v>14578</v>
      </c>
    </row>
    <row r="14732" customFormat="false" ht="15" hidden="false" customHeight="false" outlineLevel="0" collapsed="false">
      <c r="A14732" s="5" t="e">
        <f aca="false">VDB(500,50,2.5,3.5,4.2,2)</f>
        <v>#VALUE!</v>
      </c>
      <c r="B14732" s="0" t="s">
        <v>14579</v>
      </c>
    </row>
    <row r="14733" customFormat="false" ht="15" hidden="false" customHeight="false" outlineLevel="0" collapsed="false">
      <c r="A14733" s="5" t="e">
        <f aca="false">VDB(500,50,2.5,3.5,4.2,3)</f>
        <v>#VALUE!</v>
      </c>
      <c r="B14733" s="0" t="s">
        <v>14580</v>
      </c>
    </row>
    <row r="14734" customFormat="false" ht="15" hidden="false" customHeight="false" outlineLevel="0" collapsed="false">
      <c r="A14734" s="5" t="e">
        <f aca="false">VDB(500,50,2.5,3.5,4.2,0)</f>
        <v>#VALUE!</v>
      </c>
      <c r="B14734" s="0" t="s">
        <v>14581</v>
      </c>
    </row>
    <row r="14735" customFormat="false" ht="15" hidden="false" customHeight="false" outlineLevel="0" collapsed="false">
      <c r="A14735" s="5" t="e">
        <f aca="false">VDB(500,50,2.5,3.5,4.2,-1)</f>
        <v>#VALUE!</v>
      </c>
      <c r="B14735" s="0" t="s">
        <v>14582</v>
      </c>
    </row>
    <row r="14736" customFormat="false" ht="15" hidden="false" customHeight="false" outlineLevel="0" collapsed="false">
      <c r="A14736" s="5" t="e">
        <f aca="false">VDB(500,50,2.5,3.5,4.2,2,TRUE())</f>
        <v>#VALUE!</v>
      </c>
      <c r="B14736" s="0" t="s">
        <v>14583</v>
      </c>
    </row>
    <row r="14737" customFormat="false" ht="15" hidden="false" customHeight="false" outlineLevel="0" collapsed="false">
      <c r="A14737" s="5" t="e">
        <f aca="false">VDB(500,50,2.5,3.5,4.2,1.5,TRUE())</f>
        <v>#VALUE!</v>
      </c>
      <c r="B14737" s="0" t="s">
        <v>14584</v>
      </c>
    </row>
    <row r="14738" customFormat="false" ht="15" hidden="false" customHeight="false" outlineLevel="0" collapsed="false">
      <c r="A14738" s="5" t="e">
        <f aca="false">VDB(500,50,2.5,3.5,4.2,2,FALSE())</f>
        <v>#VALUE!</v>
      </c>
      <c r="B14738" s="0" t="s">
        <v>14585</v>
      </c>
    </row>
    <row r="14739" customFormat="false" ht="15" hidden="false" customHeight="false" outlineLevel="0" collapsed="false">
      <c r="A14739" s="5" t="e">
        <f aca="false">VDB(500,50,2.5,3.5,4.2,,TRUE())</f>
        <v>#VALUE!</v>
      </c>
      <c r="B14739" s="0" t="s">
        <v>14586</v>
      </c>
    </row>
    <row r="14740" customFormat="false" ht="15" hidden="false" customHeight="false" outlineLevel="0" collapsed="false">
      <c r="A14740" s="5" t="n">
        <f aca="false">VDB(500,50,2.5,0,0)</f>
        <v>0</v>
      </c>
      <c r="B14740" s="0" t="s">
        <v>14587</v>
      </c>
    </row>
    <row r="14741" customFormat="false" ht="15" hidden="false" customHeight="false" outlineLevel="0" collapsed="false">
      <c r="A14741" s="5" t="n">
        <f aca="false">VDB(500,50,2.5,0,0,1.5)</f>
        <v>0</v>
      </c>
      <c r="B14741" s="0" t="s">
        <v>14588</v>
      </c>
    </row>
    <row r="14742" customFormat="false" ht="15" hidden="false" customHeight="false" outlineLevel="0" collapsed="false">
      <c r="A14742" s="5" t="n">
        <f aca="false">VDB(500,50,2.5,0,0,2)</f>
        <v>0</v>
      </c>
      <c r="B14742" s="0" t="s">
        <v>14589</v>
      </c>
    </row>
    <row r="14743" customFormat="false" ht="15" hidden="false" customHeight="false" outlineLevel="0" collapsed="false">
      <c r="A14743" s="5" t="n">
        <f aca="false">VDB(500,50,2.5,0,0,3)</f>
        <v>0</v>
      </c>
      <c r="B14743" s="0" t="s">
        <v>14590</v>
      </c>
    </row>
    <row r="14744" customFormat="false" ht="15" hidden="false" customHeight="false" outlineLevel="0" collapsed="false">
      <c r="A14744" s="5" t="e">
        <f aca="false">VDB(500,50,2.5,0,0,0)</f>
        <v>#VALUE!</v>
      </c>
      <c r="B14744" s="0" t="s">
        <v>14591</v>
      </c>
    </row>
    <row r="14745" customFormat="false" ht="15" hidden="false" customHeight="false" outlineLevel="0" collapsed="false">
      <c r="A14745" s="5" t="e">
        <f aca="false">VDB(500,50,2.5,0,0,-1)</f>
        <v>#VALUE!</v>
      </c>
      <c r="B14745" s="0" t="s">
        <v>14592</v>
      </c>
    </row>
    <row r="14746" customFormat="false" ht="15" hidden="false" customHeight="false" outlineLevel="0" collapsed="false">
      <c r="A14746" s="5" t="n">
        <f aca="false">VDB(500,50,2.5,0,0,2,TRUE())</f>
        <v>0</v>
      </c>
      <c r="B14746" s="0" t="s">
        <v>14593</v>
      </c>
    </row>
    <row r="14747" customFormat="false" ht="15" hidden="false" customHeight="false" outlineLevel="0" collapsed="false">
      <c r="A14747" s="5" t="n">
        <f aca="false">VDB(500,50,2.5,0,0,1.5,TRUE())</f>
        <v>0</v>
      </c>
      <c r="B14747" s="0" t="s">
        <v>14594</v>
      </c>
    </row>
    <row r="14748" customFormat="false" ht="15" hidden="false" customHeight="false" outlineLevel="0" collapsed="false">
      <c r="A14748" s="5" t="n">
        <f aca="false">VDB(500,50,2.5,0,0,2,FALSE())</f>
        <v>0</v>
      </c>
      <c r="B14748" s="0" t="s">
        <v>14595</v>
      </c>
    </row>
    <row r="14749" customFormat="false" ht="15" hidden="false" customHeight="false" outlineLevel="0" collapsed="false">
      <c r="A14749" s="5" t="e">
        <f aca="false">VDB(500,50,2.5,0,0,,TRUE())</f>
        <v>#VALUE!</v>
      </c>
      <c r="B14749" s="0" t="s">
        <v>14596</v>
      </c>
    </row>
    <row r="14750" customFormat="false" ht="15" hidden="false" customHeight="false" outlineLevel="0" collapsed="false">
      <c r="A14750" s="5" t="n">
        <f aca="false">VDB(500,50,2.5,1,1)</f>
        <v>0</v>
      </c>
      <c r="B14750" s="0" t="s">
        <v>14597</v>
      </c>
    </row>
    <row r="14751" customFormat="false" ht="15" hidden="false" customHeight="false" outlineLevel="0" collapsed="false">
      <c r="A14751" s="5" t="n">
        <f aca="false">VDB(500,50,2.5,1,1,1.5)</f>
        <v>0</v>
      </c>
      <c r="B14751" s="0" t="s">
        <v>14598</v>
      </c>
    </row>
    <row r="14752" customFormat="false" ht="15" hidden="false" customHeight="false" outlineLevel="0" collapsed="false">
      <c r="A14752" s="5" t="n">
        <f aca="false">VDB(500,50,2.5,1,1,2)</f>
        <v>0</v>
      </c>
      <c r="B14752" s="0" t="s">
        <v>14599</v>
      </c>
    </row>
    <row r="14753" customFormat="false" ht="15" hidden="false" customHeight="false" outlineLevel="0" collapsed="false">
      <c r="A14753" s="5" t="n">
        <f aca="false">VDB(500,50,2.5,1,1,3)</f>
        <v>0</v>
      </c>
      <c r="B14753" s="0" t="s">
        <v>14600</v>
      </c>
    </row>
    <row r="14754" customFormat="false" ht="15" hidden="false" customHeight="false" outlineLevel="0" collapsed="false">
      <c r="A14754" s="5" t="e">
        <f aca="false">VDB(500,50,2.5,1,1,0)</f>
        <v>#VALUE!</v>
      </c>
      <c r="B14754" s="0" t="s">
        <v>14601</v>
      </c>
    </row>
    <row r="14755" customFormat="false" ht="15" hidden="false" customHeight="false" outlineLevel="0" collapsed="false">
      <c r="A14755" s="5" t="e">
        <f aca="false">VDB(500,50,2.5,1,1,-1)</f>
        <v>#VALUE!</v>
      </c>
      <c r="B14755" s="0" t="s">
        <v>14602</v>
      </c>
    </row>
    <row r="14756" customFormat="false" ht="15" hidden="false" customHeight="false" outlineLevel="0" collapsed="false">
      <c r="A14756" s="5" t="n">
        <f aca="false">VDB(500,50,2.5,1,1,2,TRUE())</f>
        <v>0</v>
      </c>
      <c r="B14756" s="0" t="s">
        <v>14603</v>
      </c>
    </row>
    <row r="14757" customFormat="false" ht="15" hidden="false" customHeight="false" outlineLevel="0" collapsed="false">
      <c r="A14757" s="5" t="n">
        <f aca="false">VDB(500,50,2.5,1,1,1.5,TRUE())</f>
        <v>0</v>
      </c>
      <c r="B14757" s="0" t="s">
        <v>14604</v>
      </c>
    </row>
    <row r="14758" customFormat="false" ht="15" hidden="false" customHeight="false" outlineLevel="0" collapsed="false">
      <c r="A14758" s="5" t="n">
        <f aca="false">VDB(500,50,2.5,1,1,2,FALSE())</f>
        <v>0</v>
      </c>
      <c r="B14758" s="0" t="s">
        <v>14605</v>
      </c>
    </row>
    <row r="14759" customFormat="false" ht="15" hidden="false" customHeight="false" outlineLevel="0" collapsed="false">
      <c r="A14759" s="5" t="e">
        <f aca="false">VDB(500,50,2.5,1,1,,TRUE())</f>
        <v>#VALUE!</v>
      </c>
      <c r="B14759" s="0" t="s">
        <v>14606</v>
      </c>
    </row>
    <row r="14760" customFormat="false" ht="15" hidden="false" customHeight="false" outlineLevel="0" collapsed="false">
      <c r="A14760" s="5" t="e">
        <f aca="false">VDB(500,50,2.5,2,1)</f>
        <v>#VALUE!</v>
      </c>
      <c r="B14760" s="0" t="s">
        <v>14607</v>
      </c>
    </row>
    <row r="14761" customFormat="false" ht="15" hidden="false" customHeight="false" outlineLevel="0" collapsed="false">
      <c r="A14761" s="5" t="e">
        <f aca="false">VDB(500,50,2.5,2,1,1.5)</f>
        <v>#VALUE!</v>
      </c>
      <c r="B14761" s="0" t="s">
        <v>14608</v>
      </c>
    </row>
    <row r="14762" customFormat="false" ht="15" hidden="false" customHeight="false" outlineLevel="0" collapsed="false">
      <c r="A14762" s="5" t="e">
        <f aca="false">VDB(500,50,2.5,2,1,2)</f>
        <v>#VALUE!</v>
      </c>
      <c r="B14762" s="0" t="s">
        <v>14609</v>
      </c>
    </row>
    <row r="14763" customFormat="false" ht="15" hidden="false" customHeight="false" outlineLevel="0" collapsed="false">
      <c r="A14763" s="5" t="e">
        <f aca="false">VDB(500,50,2.5,2,1,3)</f>
        <v>#VALUE!</v>
      </c>
      <c r="B14763" s="0" t="s">
        <v>14610</v>
      </c>
    </row>
    <row r="14764" customFormat="false" ht="15" hidden="false" customHeight="false" outlineLevel="0" collapsed="false">
      <c r="A14764" s="5" t="e">
        <f aca="false">VDB(500,50,2.5,2,1,0)</f>
        <v>#VALUE!</v>
      </c>
      <c r="B14764" s="0" t="s">
        <v>14611</v>
      </c>
    </row>
    <row r="14765" customFormat="false" ht="15" hidden="false" customHeight="false" outlineLevel="0" collapsed="false">
      <c r="A14765" s="5" t="e">
        <f aca="false">VDB(500,50,2.5,2,1,-1)</f>
        <v>#VALUE!</v>
      </c>
      <c r="B14765" s="0" t="s">
        <v>14612</v>
      </c>
    </row>
    <row r="14766" customFormat="false" ht="15" hidden="false" customHeight="false" outlineLevel="0" collapsed="false">
      <c r="A14766" s="5" t="e">
        <f aca="false">VDB(500,50,2.5,2,1,2,TRUE())</f>
        <v>#VALUE!</v>
      </c>
      <c r="B14766" s="0" t="s">
        <v>14613</v>
      </c>
    </row>
    <row r="14767" customFormat="false" ht="15" hidden="false" customHeight="false" outlineLevel="0" collapsed="false">
      <c r="A14767" s="5" t="e">
        <f aca="false">VDB(500,50,2.5,2,1,1.5,TRUE())</f>
        <v>#VALUE!</v>
      </c>
      <c r="B14767" s="0" t="s">
        <v>14614</v>
      </c>
    </row>
    <row r="14768" customFormat="false" ht="15" hidden="false" customHeight="false" outlineLevel="0" collapsed="false">
      <c r="A14768" s="5" t="e">
        <f aca="false">VDB(500,50,2.5,2,1,2,FALSE())</f>
        <v>#VALUE!</v>
      </c>
      <c r="B14768" s="0" t="s">
        <v>14615</v>
      </c>
    </row>
    <row r="14769" customFormat="false" ht="15" hidden="false" customHeight="false" outlineLevel="0" collapsed="false">
      <c r="A14769" s="5" t="e">
        <f aca="false">VDB(500,50,2.5,2,1,,TRUE())</f>
        <v>#VALUE!</v>
      </c>
      <c r="B14769" s="0" t="s">
        <v>14616</v>
      </c>
    </row>
    <row r="14770" customFormat="false" ht="15" hidden="false" customHeight="false" outlineLevel="0" collapsed="false">
      <c r="A14770" s="5" t="e">
        <f aca="false">VDB(500,50,2.5,0,3.5)</f>
        <v>#VALUE!</v>
      </c>
      <c r="B14770" s="0" t="s">
        <v>14617</v>
      </c>
    </row>
    <row r="14771" customFormat="false" ht="15" hidden="false" customHeight="false" outlineLevel="0" collapsed="false">
      <c r="A14771" s="5" t="e">
        <f aca="false">VDB(500,50,2.5,0,3.5,1.5)</f>
        <v>#VALUE!</v>
      </c>
      <c r="B14771" s="0" t="s">
        <v>14618</v>
      </c>
    </row>
    <row r="14772" customFormat="false" ht="15" hidden="false" customHeight="false" outlineLevel="0" collapsed="false">
      <c r="A14772" s="5" t="e">
        <f aca="false">VDB(500,50,2.5,0,3.5,2)</f>
        <v>#VALUE!</v>
      </c>
      <c r="B14772" s="0" t="s">
        <v>14619</v>
      </c>
    </row>
    <row r="14773" customFormat="false" ht="15" hidden="false" customHeight="false" outlineLevel="0" collapsed="false">
      <c r="A14773" s="5" t="e">
        <f aca="false">VDB(500,50,2.5,0,3.5,3)</f>
        <v>#VALUE!</v>
      </c>
      <c r="B14773" s="0" t="s">
        <v>14620</v>
      </c>
    </row>
    <row r="14774" customFormat="false" ht="15" hidden="false" customHeight="false" outlineLevel="0" collapsed="false">
      <c r="A14774" s="5" t="e">
        <f aca="false">VDB(500,50,2.5,0,3.5,0)</f>
        <v>#VALUE!</v>
      </c>
      <c r="B14774" s="0" t="s">
        <v>14621</v>
      </c>
    </row>
    <row r="14775" customFormat="false" ht="15" hidden="false" customHeight="false" outlineLevel="0" collapsed="false">
      <c r="A14775" s="5" t="e">
        <f aca="false">VDB(500,50,2.5,0,3.5,-1)</f>
        <v>#VALUE!</v>
      </c>
      <c r="B14775" s="0" t="s">
        <v>14622</v>
      </c>
    </row>
    <row r="14776" customFormat="false" ht="15" hidden="false" customHeight="false" outlineLevel="0" collapsed="false">
      <c r="A14776" s="5" t="e">
        <f aca="false">VDB(500,50,2.5,0,3.5,2,TRUE())</f>
        <v>#VALUE!</v>
      </c>
      <c r="B14776" s="0" t="s">
        <v>14623</v>
      </c>
    </row>
    <row r="14777" customFormat="false" ht="15" hidden="false" customHeight="false" outlineLevel="0" collapsed="false">
      <c r="A14777" s="5" t="e">
        <f aca="false">VDB(500,50,2.5,0,3.5,1.5,TRUE())</f>
        <v>#VALUE!</v>
      </c>
      <c r="B14777" s="0" t="s">
        <v>14624</v>
      </c>
    </row>
    <row r="14778" customFormat="false" ht="15" hidden="false" customHeight="false" outlineLevel="0" collapsed="false">
      <c r="A14778" s="5" t="e">
        <f aca="false">VDB(500,50,2.5,0,3.5,2,FALSE())</f>
        <v>#VALUE!</v>
      </c>
      <c r="B14778" s="0" t="s">
        <v>14625</v>
      </c>
    </row>
    <row r="14779" customFormat="false" ht="15" hidden="false" customHeight="false" outlineLevel="0" collapsed="false">
      <c r="A14779" s="5" t="e">
        <f aca="false">VDB(500,50,2.5,0,3.5,,TRUE())</f>
        <v>#VALUE!</v>
      </c>
      <c r="B14779" s="0" t="s">
        <v>14626</v>
      </c>
    </row>
    <row r="14780" customFormat="false" ht="15" hidden="false" customHeight="false" outlineLevel="0" collapsed="false">
      <c r="A14780" s="5" t="e">
        <f aca="false">VDB(500,50,2.5,-1,1)</f>
        <v>#VALUE!</v>
      </c>
      <c r="B14780" s="0" t="s">
        <v>14627</v>
      </c>
    </row>
    <row r="14781" customFormat="false" ht="15" hidden="false" customHeight="false" outlineLevel="0" collapsed="false">
      <c r="A14781" s="5" t="e">
        <f aca="false">VDB(500,50,2.5,-1,1,1.5)</f>
        <v>#VALUE!</v>
      </c>
      <c r="B14781" s="0" t="s">
        <v>14628</v>
      </c>
    </row>
    <row r="14782" customFormat="false" ht="15" hidden="false" customHeight="false" outlineLevel="0" collapsed="false">
      <c r="A14782" s="5" t="e">
        <f aca="false">VDB(500,50,2.5,-1,1,2)</f>
        <v>#VALUE!</v>
      </c>
      <c r="B14782" s="0" t="s">
        <v>14629</v>
      </c>
    </row>
    <row r="14783" customFormat="false" ht="15" hidden="false" customHeight="false" outlineLevel="0" collapsed="false">
      <c r="A14783" s="5" t="e">
        <f aca="false">VDB(500,50,2.5,-1,1,3)</f>
        <v>#VALUE!</v>
      </c>
      <c r="B14783" s="0" t="s">
        <v>14630</v>
      </c>
    </row>
    <row r="14784" customFormat="false" ht="15" hidden="false" customHeight="false" outlineLevel="0" collapsed="false">
      <c r="A14784" s="5" t="e">
        <f aca="false">VDB(500,50,2.5,-1,1,0)</f>
        <v>#VALUE!</v>
      </c>
      <c r="B14784" s="0" t="s">
        <v>14631</v>
      </c>
    </row>
    <row r="14785" customFormat="false" ht="15" hidden="false" customHeight="false" outlineLevel="0" collapsed="false">
      <c r="A14785" s="5" t="e">
        <f aca="false">VDB(500,50,2.5,-1,1,-1)</f>
        <v>#VALUE!</v>
      </c>
      <c r="B14785" s="0" t="s">
        <v>14632</v>
      </c>
    </row>
    <row r="14786" customFormat="false" ht="15" hidden="false" customHeight="false" outlineLevel="0" collapsed="false">
      <c r="A14786" s="5" t="e">
        <f aca="false">VDB(500,50,2.5,-1,1,2,TRUE())</f>
        <v>#VALUE!</v>
      </c>
      <c r="B14786" s="0" t="s">
        <v>14633</v>
      </c>
    </row>
    <row r="14787" customFormat="false" ht="15" hidden="false" customHeight="false" outlineLevel="0" collapsed="false">
      <c r="A14787" s="5" t="e">
        <f aca="false">VDB(500,50,2.5,-1,1,1.5,TRUE())</f>
        <v>#VALUE!</v>
      </c>
      <c r="B14787" s="0" t="s">
        <v>14634</v>
      </c>
    </row>
    <row r="14788" customFormat="false" ht="15" hidden="false" customHeight="false" outlineLevel="0" collapsed="false">
      <c r="A14788" s="5" t="e">
        <f aca="false">VDB(500,50,2.5,-1,1,2,FALSE())</f>
        <v>#VALUE!</v>
      </c>
      <c r="B14788" s="0" t="s">
        <v>14635</v>
      </c>
    </row>
    <row r="14789" customFormat="false" ht="15" hidden="false" customHeight="false" outlineLevel="0" collapsed="false">
      <c r="A14789" s="5" t="e">
        <f aca="false">VDB(500,50,2.5,-1,1,,TRUE())</f>
        <v>#VALUE!</v>
      </c>
      <c r="B14789" s="0" t="s">
        <v>14636</v>
      </c>
    </row>
    <row r="14790" customFormat="false" ht="15" hidden="false" customHeight="false" outlineLevel="0" collapsed="false">
      <c r="A14790" s="5" t="n">
        <f aca="false">VDB(500,50,2.5,0.25,0.75)</f>
        <v>200</v>
      </c>
      <c r="B14790" s="0" t="s">
        <v>14637</v>
      </c>
    </row>
    <row r="14791" customFormat="false" ht="15" hidden="false" customHeight="false" outlineLevel="0" collapsed="false">
      <c r="A14791" s="5" t="n">
        <f aca="false">VDB(500,50,2.5,0.25,0.75,1.5)</f>
        <v>150</v>
      </c>
      <c r="B14791" s="0" t="s">
        <v>14638</v>
      </c>
    </row>
    <row r="14792" customFormat="false" ht="15" hidden="false" customHeight="false" outlineLevel="0" collapsed="false">
      <c r="A14792" s="5" t="n">
        <f aca="false">VDB(500,50,2.5,0.25,0.75,2)</f>
        <v>200</v>
      </c>
      <c r="B14792" s="0" t="s">
        <v>14639</v>
      </c>
    </row>
    <row r="14793" customFormat="false" ht="15" hidden="false" customHeight="false" outlineLevel="0" collapsed="false">
      <c r="A14793" s="5" t="n">
        <f aca="false">VDB(500,50,2.5,0.25,0.75,3)</f>
        <v>225</v>
      </c>
      <c r="B14793" s="0" t="s">
        <v>14640</v>
      </c>
    </row>
    <row r="14794" customFormat="false" ht="15" hidden="false" customHeight="false" outlineLevel="0" collapsed="false">
      <c r="A14794" s="5" t="e">
        <f aca="false">VDB(500,50,2.5,0.25,0.75,0)</f>
        <v>#VALUE!</v>
      </c>
      <c r="B14794" s="0" t="s">
        <v>14641</v>
      </c>
    </row>
    <row r="14795" customFormat="false" ht="15" hidden="false" customHeight="false" outlineLevel="0" collapsed="false">
      <c r="A14795" s="5" t="e">
        <f aca="false">VDB(500,50,2.5,0.25,0.75,-1)</f>
        <v>#VALUE!</v>
      </c>
      <c r="B14795" s="0" t="s">
        <v>14642</v>
      </c>
    </row>
    <row r="14796" customFormat="false" ht="15" hidden="false" customHeight="false" outlineLevel="0" collapsed="false">
      <c r="A14796" s="5" t="n">
        <f aca="false">VDB(500,50,2.5,0.25,0.75,2,TRUE())</f>
        <v>200</v>
      </c>
      <c r="B14796" s="0" t="s">
        <v>14643</v>
      </c>
    </row>
    <row r="14797" customFormat="false" ht="15" hidden="false" customHeight="false" outlineLevel="0" collapsed="false">
      <c r="A14797" s="5" t="n">
        <f aca="false">VDB(500,50,2.5,0.25,0.75,1.5,TRUE())</f>
        <v>150</v>
      </c>
      <c r="B14797" s="0" t="s">
        <v>14644</v>
      </c>
    </row>
    <row r="14798" customFormat="false" ht="15" hidden="false" customHeight="false" outlineLevel="0" collapsed="false">
      <c r="A14798" s="5" t="n">
        <f aca="false">VDB(500,50,2.5,0.25,0.75,2,FALSE())</f>
        <v>200</v>
      </c>
      <c r="B14798" s="0" t="s">
        <v>14645</v>
      </c>
    </row>
    <row r="14799" customFormat="false" ht="15" hidden="false" customHeight="false" outlineLevel="0" collapsed="false">
      <c r="A14799" s="5" t="e">
        <f aca="false">VDB(500,50,2.5,0.25,0.75,,TRUE())</f>
        <v>#VALUE!</v>
      </c>
      <c r="B14799" s="0" t="s">
        <v>14646</v>
      </c>
    </row>
    <row r="14800" customFormat="false" ht="15" hidden="false" customHeight="false" outlineLevel="0" collapsed="false">
      <c r="A14800" s="5" t="n">
        <f aca="false">VDB(500,50,2.5,2.5,2.5)</f>
        <v>0</v>
      </c>
      <c r="B14800" s="0" t="s">
        <v>14647</v>
      </c>
    </row>
    <row r="14801" customFormat="false" ht="15" hidden="false" customHeight="false" outlineLevel="0" collapsed="false">
      <c r="A14801" s="5" t="n">
        <f aca="false">VDB(500,50,2.5,2.5,2.5,1.5)</f>
        <v>0</v>
      </c>
      <c r="B14801" s="0" t="s">
        <v>14648</v>
      </c>
    </row>
    <row r="14802" customFormat="false" ht="15" hidden="false" customHeight="false" outlineLevel="0" collapsed="false">
      <c r="A14802" s="5" t="n">
        <f aca="false">VDB(500,50,2.5,2.5,2.5,2)</f>
        <v>0</v>
      </c>
      <c r="B14802" s="0" t="s">
        <v>14649</v>
      </c>
    </row>
    <row r="14803" customFormat="false" ht="15" hidden="false" customHeight="false" outlineLevel="0" collapsed="false">
      <c r="A14803" s="5" t="n">
        <f aca="false">VDB(500,50,2.5,2.5,2.5,3)</f>
        <v>0</v>
      </c>
      <c r="B14803" s="0" t="s">
        <v>14650</v>
      </c>
    </row>
    <row r="14804" customFormat="false" ht="15" hidden="false" customHeight="false" outlineLevel="0" collapsed="false">
      <c r="A14804" s="5" t="e">
        <f aca="false">VDB(500,50,2.5,2.5,2.5,0)</f>
        <v>#VALUE!</v>
      </c>
      <c r="B14804" s="0" t="s">
        <v>14651</v>
      </c>
    </row>
    <row r="14805" customFormat="false" ht="15" hidden="false" customHeight="false" outlineLevel="0" collapsed="false">
      <c r="A14805" s="5" t="e">
        <f aca="false">VDB(500,50,2.5,2.5,2.5,-1)</f>
        <v>#VALUE!</v>
      </c>
      <c r="B14805" s="0" t="s">
        <v>14652</v>
      </c>
    </row>
    <row r="14806" customFormat="false" ht="15" hidden="false" customHeight="false" outlineLevel="0" collapsed="false">
      <c r="A14806" s="5" t="n">
        <f aca="false">VDB(500,50,2.5,2.5,2.5,2,TRUE())</f>
        <v>0</v>
      </c>
      <c r="B14806" s="0" t="s">
        <v>14653</v>
      </c>
    </row>
    <row r="14807" customFormat="false" ht="15" hidden="false" customHeight="false" outlineLevel="0" collapsed="false">
      <c r="A14807" s="5" t="n">
        <f aca="false">VDB(500,50,2.5,2.5,2.5,1.5,TRUE())</f>
        <v>0</v>
      </c>
      <c r="B14807" s="0" t="s">
        <v>14654</v>
      </c>
    </row>
    <row r="14808" customFormat="false" ht="15" hidden="false" customHeight="false" outlineLevel="0" collapsed="false">
      <c r="A14808" s="5" t="n">
        <f aca="false">VDB(500,50,2.5,2.5,2.5,2,FALSE())</f>
        <v>0</v>
      </c>
      <c r="B14808" s="0" t="s">
        <v>14655</v>
      </c>
    </row>
    <row r="14809" customFormat="false" ht="15" hidden="false" customHeight="false" outlineLevel="0" collapsed="false">
      <c r="A14809" s="5" t="e">
        <f aca="false">VDB(500,50,2.5,2.5,2.5,,TRUE())</f>
        <v>#VALUE!</v>
      </c>
      <c r="B14809" s="0" t="s">
        <v>14656</v>
      </c>
    </row>
    <row r="14810" customFormat="false" ht="15" hidden="false" customHeight="false" outlineLevel="0" collapsed="false">
      <c r="A14810" s="5" t="n">
        <f aca="false">VDB(500,50,2.5,1,2.5)</f>
        <v>50</v>
      </c>
      <c r="B14810" s="0" t="s">
        <v>14657</v>
      </c>
    </row>
    <row r="14811" customFormat="false" ht="15" hidden="false" customHeight="false" outlineLevel="0" collapsed="false">
      <c r="A14811" s="5" t="n">
        <f aca="false">VDB(500,50,2.5,1,2.5,1.5)</f>
        <v>150</v>
      </c>
      <c r="B14811" s="0" t="s">
        <v>14658</v>
      </c>
    </row>
    <row r="14812" customFormat="false" ht="15" hidden="false" customHeight="false" outlineLevel="0" collapsed="false">
      <c r="A14812" s="5" t="n">
        <f aca="false">VDB(500,50,2.5,1,2.5,2)</f>
        <v>50</v>
      </c>
      <c r="B14812" s="0" t="s">
        <v>14659</v>
      </c>
    </row>
    <row r="14813" customFormat="false" ht="15" hidden="false" customHeight="false" outlineLevel="0" collapsed="false">
      <c r="A14813" s="5" t="n">
        <f aca="false">VDB(500,50,2.5,1,2.5,3)</f>
        <v>0</v>
      </c>
      <c r="B14813" s="0" t="s">
        <v>14660</v>
      </c>
    </row>
    <row r="14814" customFormat="false" ht="15" hidden="false" customHeight="false" outlineLevel="0" collapsed="false">
      <c r="A14814" s="5" t="e">
        <f aca="false">VDB(500,50,2.5,1,2.5,0)</f>
        <v>#VALUE!</v>
      </c>
      <c r="B14814" s="0" t="s">
        <v>14661</v>
      </c>
    </row>
    <row r="14815" customFormat="false" ht="15" hidden="false" customHeight="false" outlineLevel="0" collapsed="false">
      <c r="A14815" s="5" t="e">
        <f aca="false">VDB(500,50,2.5,1,2.5,-1)</f>
        <v>#VALUE!</v>
      </c>
      <c r="B14815" s="0" t="s">
        <v>14662</v>
      </c>
    </row>
    <row r="14816" customFormat="false" ht="15" hidden="false" customHeight="false" outlineLevel="0" collapsed="false">
      <c r="A14816" s="5" t="n">
        <f aca="false">VDB(500,50,2.5,1,2.5,2,TRUE())</f>
        <v>50</v>
      </c>
      <c r="B14816" s="0" t="s">
        <v>14663</v>
      </c>
    </row>
    <row r="14817" customFormat="false" ht="15" hidden="false" customHeight="false" outlineLevel="0" collapsed="false">
      <c r="A14817" s="5" t="n">
        <f aca="false">VDB(500,50,2.5,1,2.5,1.5,TRUE())</f>
        <v>135</v>
      </c>
      <c r="B14817" s="0" t="s">
        <v>14664</v>
      </c>
    </row>
    <row r="14818" customFormat="false" ht="15" hidden="false" customHeight="false" outlineLevel="0" collapsed="false">
      <c r="A14818" s="5" t="n">
        <f aca="false">VDB(500,50,2.5,1,2.5,2,FALSE())</f>
        <v>50</v>
      </c>
      <c r="B14818" s="0" t="s">
        <v>14665</v>
      </c>
    </row>
    <row r="14819" customFormat="false" ht="15" hidden="false" customHeight="false" outlineLevel="0" collapsed="false">
      <c r="A14819" s="5" t="e">
        <f aca="false">VDB(500,50,2.5,1,2.5,,TRUE())</f>
        <v>#VALUE!</v>
      </c>
      <c r="B14819" s="0" t="s">
        <v>14666</v>
      </c>
    </row>
    <row r="14820" customFormat="false" ht="15" hidden="false" customHeight="false" outlineLevel="0" collapsed="false">
      <c r="A14820" s="5" t="e">
        <f aca="false">VDB(1000,100,0.5,0,1)</f>
        <v>#VALUE!</v>
      </c>
      <c r="B14820" s="0" t="s">
        <v>14667</v>
      </c>
    </row>
    <row r="14821" customFormat="false" ht="15" hidden="false" customHeight="false" outlineLevel="0" collapsed="false">
      <c r="A14821" s="5" t="e">
        <f aca="false">VDB(1000,100,0.5,0,1,1.5)</f>
        <v>#VALUE!</v>
      </c>
      <c r="B14821" s="0" t="s">
        <v>14668</v>
      </c>
    </row>
    <row r="14822" customFormat="false" ht="15" hidden="false" customHeight="false" outlineLevel="0" collapsed="false">
      <c r="A14822" s="5" t="e">
        <f aca="false">VDB(1000,100,0.5,0,1,2)</f>
        <v>#VALUE!</v>
      </c>
      <c r="B14822" s="0" t="s">
        <v>14669</v>
      </c>
    </row>
    <row r="14823" customFormat="false" ht="15" hidden="false" customHeight="false" outlineLevel="0" collapsed="false">
      <c r="A14823" s="5" t="e">
        <f aca="false">VDB(1000,100,0.5,0,1,3)</f>
        <v>#VALUE!</v>
      </c>
      <c r="B14823" s="0" t="s">
        <v>14670</v>
      </c>
    </row>
    <row r="14824" customFormat="false" ht="15" hidden="false" customHeight="false" outlineLevel="0" collapsed="false">
      <c r="A14824" s="5" t="e">
        <f aca="false">VDB(1000,100,0.5,0,1,0)</f>
        <v>#VALUE!</v>
      </c>
      <c r="B14824" s="0" t="s">
        <v>14671</v>
      </c>
    </row>
    <row r="14825" customFormat="false" ht="15" hidden="false" customHeight="false" outlineLevel="0" collapsed="false">
      <c r="A14825" s="5" t="e">
        <f aca="false">VDB(1000,100,0.5,0,1,-1)</f>
        <v>#VALUE!</v>
      </c>
      <c r="B14825" s="0" t="s">
        <v>14672</v>
      </c>
    </row>
    <row r="14826" customFormat="false" ht="15" hidden="false" customHeight="false" outlineLevel="0" collapsed="false">
      <c r="A14826" s="5" t="e">
        <f aca="false">VDB(1000,100,0.5,0,1,2,TRUE())</f>
        <v>#VALUE!</v>
      </c>
      <c r="B14826" s="0" t="s">
        <v>14673</v>
      </c>
    </row>
    <row r="14827" customFormat="false" ht="15" hidden="false" customHeight="false" outlineLevel="0" collapsed="false">
      <c r="A14827" s="5" t="e">
        <f aca="false">VDB(1000,100,0.5,0,1,1.5,TRUE())</f>
        <v>#VALUE!</v>
      </c>
      <c r="B14827" s="0" t="s">
        <v>14674</v>
      </c>
    </row>
    <row r="14828" customFormat="false" ht="15" hidden="false" customHeight="false" outlineLevel="0" collapsed="false">
      <c r="A14828" s="5" t="e">
        <f aca="false">VDB(1000,100,0.5,0,1,2,FALSE())</f>
        <v>#VALUE!</v>
      </c>
      <c r="B14828" s="0" t="s">
        <v>14675</v>
      </c>
    </row>
    <row r="14829" customFormat="false" ht="15" hidden="false" customHeight="false" outlineLevel="0" collapsed="false">
      <c r="A14829" s="5" t="e">
        <f aca="false">VDB(1000,100,0.5,0,1,,TRUE())</f>
        <v>#VALUE!</v>
      </c>
      <c r="B14829" s="0" t="s">
        <v>14676</v>
      </c>
    </row>
    <row r="14830" customFormat="false" ht="15" hidden="false" customHeight="false" outlineLevel="0" collapsed="false">
      <c r="A14830" s="5" t="e">
        <f aca="false">VDB(1000,100,0.5,1,2)</f>
        <v>#VALUE!</v>
      </c>
      <c r="B14830" s="0" t="s">
        <v>14677</v>
      </c>
    </row>
    <row r="14831" customFormat="false" ht="15" hidden="false" customHeight="false" outlineLevel="0" collapsed="false">
      <c r="A14831" s="5" t="e">
        <f aca="false">VDB(1000,100,0.5,1,2,1.5)</f>
        <v>#VALUE!</v>
      </c>
      <c r="B14831" s="0" t="s">
        <v>14678</v>
      </c>
    </row>
    <row r="14832" customFormat="false" ht="15" hidden="false" customHeight="false" outlineLevel="0" collapsed="false">
      <c r="A14832" s="5" t="e">
        <f aca="false">VDB(1000,100,0.5,1,2,2)</f>
        <v>#VALUE!</v>
      </c>
      <c r="B14832" s="0" t="s">
        <v>14679</v>
      </c>
    </row>
    <row r="14833" customFormat="false" ht="15" hidden="false" customHeight="false" outlineLevel="0" collapsed="false">
      <c r="A14833" s="5" t="e">
        <f aca="false">VDB(1000,100,0.5,1,2,3)</f>
        <v>#VALUE!</v>
      </c>
      <c r="B14833" s="0" t="s">
        <v>14680</v>
      </c>
    </row>
    <row r="14834" customFormat="false" ht="15" hidden="false" customHeight="false" outlineLevel="0" collapsed="false">
      <c r="A14834" s="5" t="e">
        <f aca="false">VDB(1000,100,0.5,1,2,0)</f>
        <v>#VALUE!</v>
      </c>
      <c r="B14834" s="0" t="s">
        <v>14681</v>
      </c>
    </row>
    <row r="14835" customFormat="false" ht="15" hidden="false" customHeight="false" outlineLevel="0" collapsed="false">
      <c r="A14835" s="5" t="e">
        <f aca="false">VDB(1000,100,0.5,1,2,-1)</f>
        <v>#VALUE!</v>
      </c>
      <c r="B14835" s="0" t="s">
        <v>14682</v>
      </c>
    </row>
    <row r="14836" customFormat="false" ht="15" hidden="false" customHeight="false" outlineLevel="0" collapsed="false">
      <c r="A14836" s="5" t="e">
        <f aca="false">VDB(1000,100,0.5,1,2,2,TRUE())</f>
        <v>#VALUE!</v>
      </c>
      <c r="B14836" s="0" t="s">
        <v>14683</v>
      </c>
    </row>
    <row r="14837" customFormat="false" ht="15" hidden="false" customHeight="false" outlineLevel="0" collapsed="false">
      <c r="A14837" s="5" t="e">
        <f aca="false">VDB(1000,100,0.5,1,2,1.5,TRUE())</f>
        <v>#VALUE!</v>
      </c>
      <c r="B14837" s="0" t="s">
        <v>14684</v>
      </c>
    </row>
    <row r="14838" customFormat="false" ht="15" hidden="false" customHeight="false" outlineLevel="0" collapsed="false">
      <c r="A14838" s="5" t="e">
        <f aca="false">VDB(1000,100,0.5,1,2,2,FALSE())</f>
        <v>#VALUE!</v>
      </c>
      <c r="B14838" s="0" t="s">
        <v>14685</v>
      </c>
    </row>
    <row r="14839" customFormat="false" ht="15" hidden="false" customHeight="false" outlineLevel="0" collapsed="false">
      <c r="A14839" s="5" t="e">
        <f aca="false">VDB(1000,100,0.5,1,2,,TRUE())</f>
        <v>#VALUE!</v>
      </c>
      <c r="B14839" s="0" t="s">
        <v>14686</v>
      </c>
    </row>
    <row r="14840" customFormat="false" ht="15" hidden="false" customHeight="false" outlineLevel="0" collapsed="false">
      <c r="A14840" s="5" t="e">
        <f aca="false">VDB(1000,100,0.5,0,5)</f>
        <v>#VALUE!</v>
      </c>
      <c r="B14840" s="0" t="s">
        <v>14687</v>
      </c>
    </row>
    <row r="14841" customFormat="false" ht="15" hidden="false" customHeight="false" outlineLevel="0" collapsed="false">
      <c r="A14841" s="5" t="e">
        <f aca="false">VDB(1000,100,0.5,0,5,1.5)</f>
        <v>#VALUE!</v>
      </c>
      <c r="B14841" s="0" t="s">
        <v>14688</v>
      </c>
    </row>
    <row r="14842" customFormat="false" ht="15" hidden="false" customHeight="false" outlineLevel="0" collapsed="false">
      <c r="A14842" s="5" t="e">
        <f aca="false">VDB(1000,100,0.5,0,5,2)</f>
        <v>#VALUE!</v>
      </c>
      <c r="B14842" s="0" t="s">
        <v>14689</v>
      </c>
    </row>
    <row r="14843" customFormat="false" ht="15" hidden="false" customHeight="false" outlineLevel="0" collapsed="false">
      <c r="A14843" s="5" t="e">
        <f aca="false">VDB(1000,100,0.5,0,5,3)</f>
        <v>#VALUE!</v>
      </c>
      <c r="B14843" s="0" t="s">
        <v>14690</v>
      </c>
    </row>
    <row r="14844" customFormat="false" ht="15" hidden="false" customHeight="false" outlineLevel="0" collapsed="false">
      <c r="A14844" s="5" t="e">
        <f aca="false">VDB(1000,100,0.5,0,5,0)</f>
        <v>#VALUE!</v>
      </c>
      <c r="B14844" s="0" t="s">
        <v>14691</v>
      </c>
    </row>
    <row r="14845" customFormat="false" ht="15" hidden="false" customHeight="false" outlineLevel="0" collapsed="false">
      <c r="A14845" s="5" t="e">
        <f aca="false">VDB(1000,100,0.5,0,5,-1)</f>
        <v>#VALUE!</v>
      </c>
      <c r="B14845" s="0" t="s">
        <v>14692</v>
      </c>
    </row>
    <row r="14846" customFormat="false" ht="15" hidden="false" customHeight="false" outlineLevel="0" collapsed="false">
      <c r="A14846" s="5" t="e">
        <f aca="false">VDB(1000,100,0.5,0,5,2,TRUE())</f>
        <v>#VALUE!</v>
      </c>
      <c r="B14846" s="0" t="s">
        <v>14693</v>
      </c>
    </row>
    <row r="14847" customFormat="false" ht="15" hidden="false" customHeight="false" outlineLevel="0" collapsed="false">
      <c r="A14847" s="5" t="e">
        <f aca="false">VDB(1000,100,0.5,0,5,1.5,TRUE())</f>
        <v>#VALUE!</v>
      </c>
      <c r="B14847" s="0" t="s">
        <v>14694</v>
      </c>
    </row>
    <row r="14848" customFormat="false" ht="15" hidden="false" customHeight="false" outlineLevel="0" collapsed="false">
      <c r="A14848" s="5" t="e">
        <f aca="false">VDB(1000,100,0.5,0,5,2,FALSE())</f>
        <v>#VALUE!</v>
      </c>
      <c r="B14848" s="0" t="s">
        <v>14695</v>
      </c>
    </row>
    <row r="14849" customFormat="false" ht="15" hidden="false" customHeight="false" outlineLevel="0" collapsed="false">
      <c r="A14849" s="5" t="e">
        <f aca="false">VDB(1000,100,0.5,0,5,,TRUE())</f>
        <v>#VALUE!</v>
      </c>
      <c r="B14849" s="0" t="s">
        <v>14696</v>
      </c>
    </row>
    <row r="14850" customFormat="false" ht="15" hidden="false" customHeight="false" outlineLevel="0" collapsed="false">
      <c r="A14850" s="5" t="e">
        <f aca="false">VDB(1000,100,0.5,0.5,1.5)</f>
        <v>#VALUE!</v>
      </c>
      <c r="B14850" s="0" t="s">
        <v>14697</v>
      </c>
    </row>
    <row r="14851" customFormat="false" ht="15" hidden="false" customHeight="false" outlineLevel="0" collapsed="false">
      <c r="A14851" s="5" t="e">
        <f aca="false">VDB(1000,100,0.5,0.5,1.5,1.5)</f>
        <v>#VALUE!</v>
      </c>
      <c r="B14851" s="0" t="s">
        <v>14698</v>
      </c>
    </row>
    <row r="14852" customFormat="false" ht="15" hidden="false" customHeight="false" outlineLevel="0" collapsed="false">
      <c r="A14852" s="5" t="e">
        <f aca="false">VDB(1000,100,0.5,0.5,1.5,2)</f>
        <v>#VALUE!</v>
      </c>
      <c r="B14852" s="0" t="s">
        <v>14699</v>
      </c>
    </row>
    <row r="14853" customFormat="false" ht="15" hidden="false" customHeight="false" outlineLevel="0" collapsed="false">
      <c r="A14853" s="5" t="e">
        <f aca="false">VDB(1000,100,0.5,0.5,1.5,3)</f>
        <v>#VALUE!</v>
      </c>
      <c r="B14853" s="0" t="s">
        <v>14700</v>
      </c>
    </row>
    <row r="14854" customFormat="false" ht="15" hidden="false" customHeight="false" outlineLevel="0" collapsed="false">
      <c r="A14854" s="5" t="e">
        <f aca="false">VDB(1000,100,0.5,0.5,1.5,0)</f>
        <v>#VALUE!</v>
      </c>
      <c r="B14854" s="0" t="s">
        <v>14701</v>
      </c>
    </row>
    <row r="14855" customFormat="false" ht="15" hidden="false" customHeight="false" outlineLevel="0" collapsed="false">
      <c r="A14855" s="5" t="e">
        <f aca="false">VDB(1000,100,0.5,0.5,1.5,-1)</f>
        <v>#VALUE!</v>
      </c>
      <c r="B14855" s="0" t="s">
        <v>14702</v>
      </c>
    </row>
    <row r="14856" customFormat="false" ht="15" hidden="false" customHeight="false" outlineLevel="0" collapsed="false">
      <c r="A14856" s="5" t="e">
        <f aca="false">VDB(1000,100,0.5,0.5,1.5,2,TRUE())</f>
        <v>#VALUE!</v>
      </c>
      <c r="B14856" s="0" t="s">
        <v>14703</v>
      </c>
    </row>
    <row r="14857" customFormat="false" ht="15" hidden="false" customHeight="false" outlineLevel="0" collapsed="false">
      <c r="A14857" s="5" t="e">
        <f aca="false">VDB(1000,100,0.5,0.5,1.5,1.5,TRUE())</f>
        <v>#VALUE!</v>
      </c>
      <c r="B14857" s="0" t="s">
        <v>14704</v>
      </c>
    </row>
    <row r="14858" customFormat="false" ht="15" hidden="false" customHeight="false" outlineLevel="0" collapsed="false">
      <c r="A14858" s="5" t="e">
        <f aca="false">VDB(1000,100,0.5,0.5,1.5,2,FALSE())</f>
        <v>#VALUE!</v>
      </c>
      <c r="B14858" s="0" t="s">
        <v>14705</v>
      </c>
    </row>
    <row r="14859" customFormat="false" ht="15" hidden="false" customHeight="false" outlineLevel="0" collapsed="false">
      <c r="A14859" s="5" t="e">
        <f aca="false">VDB(1000,100,0.5,0.5,1.5,,TRUE())</f>
        <v>#VALUE!</v>
      </c>
      <c r="B14859" s="0" t="s">
        <v>14706</v>
      </c>
    </row>
    <row r="14860" customFormat="false" ht="15" hidden="false" customHeight="false" outlineLevel="0" collapsed="false">
      <c r="A14860" s="5" t="e">
        <f aca="false">VDB(1000,100,0.5,2,3)</f>
        <v>#VALUE!</v>
      </c>
      <c r="B14860" s="0" t="s">
        <v>14707</v>
      </c>
    </row>
    <row r="14861" customFormat="false" ht="15" hidden="false" customHeight="false" outlineLevel="0" collapsed="false">
      <c r="A14861" s="5" t="e">
        <f aca="false">VDB(1000,100,0.5,2,3,1.5)</f>
        <v>#VALUE!</v>
      </c>
      <c r="B14861" s="0" t="s">
        <v>14708</v>
      </c>
    </row>
    <row r="14862" customFormat="false" ht="15" hidden="false" customHeight="false" outlineLevel="0" collapsed="false">
      <c r="A14862" s="5" t="e">
        <f aca="false">VDB(1000,100,0.5,2,3,2)</f>
        <v>#VALUE!</v>
      </c>
      <c r="B14862" s="0" t="s">
        <v>14709</v>
      </c>
    </row>
    <row r="14863" customFormat="false" ht="15" hidden="false" customHeight="false" outlineLevel="0" collapsed="false">
      <c r="A14863" s="5" t="e">
        <f aca="false">VDB(1000,100,0.5,2,3,3)</f>
        <v>#VALUE!</v>
      </c>
      <c r="B14863" s="0" t="s">
        <v>14710</v>
      </c>
    </row>
    <row r="14864" customFormat="false" ht="15" hidden="false" customHeight="false" outlineLevel="0" collapsed="false">
      <c r="A14864" s="5" t="e">
        <f aca="false">VDB(1000,100,0.5,2,3,0)</f>
        <v>#VALUE!</v>
      </c>
      <c r="B14864" s="0" t="s">
        <v>14711</v>
      </c>
    </row>
    <row r="14865" customFormat="false" ht="15" hidden="false" customHeight="false" outlineLevel="0" collapsed="false">
      <c r="A14865" s="5" t="e">
        <f aca="false">VDB(1000,100,0.5,2,3,-1)</f>
        <v>#VALUE!</v>
      </c>
      <c r="B14865" s="0" t="s">
        <v>14712</v>
      </c>
    </row>
    <row r="14866" customFormat="false" ht="15" hidden="false" customHeight="false" outlineLevel="0" collapsed="false">
      <c r="A14866" s="5" t="e">
        <f aca="false">VDB(1000,100,0.5,2,3,2,TRUE())</f>
        <v>#VALUE!</v>
      </c>
      <c r="B14866" s="0" t="s">
        <v>14713</v>
      </c>
    </row>
    <row r="14867" customFormat="false" ht="15" hidden="false" customHeight="false" outlineLevel="0" collapsed="false">
      <c r="A14867" s="5" t="e">
        <f aca="false">VDB(1000,100,0.5,2,3,1.5,TRUE())</f>
        <v>#VALUE!</v>
      </c>
      <c r="B14867" s="0" t="s">
        <v>14714</v>
      </c>
    </row>
    <row r="14868" customFormat="false" ht="15" hidden="false" customHeight="false" outlineLevel="0" collapsed="false">
      <c r="A14868" s="5" t="e">
        <f aca="false">VDB(1000,100,0.5,2,3,2,FALSE())</f>
        <v>#VALUE!</v>
      </c>
      <c r="B14868" s="0" t="s">
        <v>14715</v>
      </c>
    </row>
    <row r="14869" customFormat="false" ht="15" hidden="false" customHeight="false" outlineLevel="0" collapsed="false">
      <c r="A14869" s="5" t="e">
        <f aca="false">VDB(1000,100,0.5,2,3,,TRUE())</f>
        <v>#VALUE!</v>
      </c>
      <c r="B14869" s="0" t="s">
        <v>14716</v>
      </c>
    </row>
    <row r="14870" customFormat="false" ht="15" hidden="false" customHeight="false" outlineLevel="0" collapsed="false">
      <c r="A14870" s="5" t="n">
        <f aca="false">VDB(1000,100,0.5,0,0.5)</f>
        <v>900</v>
      </c>
      <c r="B14870" s="0" t="s">
        <v>14717</v>
      </c>
    </row>
    <row r="14871" customFormat="false" ht="15" hidden="false" customHeight="false" outlineLevel="0" collapsed="false">
      <c r="A14871" s="5" t="n">
        <f aca="false">VDB(1000,100,0.5,0,0.5,1.5)</f>
        <v>900</v>
      </c>
      <c r="B14871" s="0" t="s">
        <v>14718</v>
      </c>
    </row>
    <row r="14872" customFormat="false" ht="15" hidden="false" customHeight="false" outlineLevel="0" collapsed="false">
      <c r="A14872" s="5" t="n">
        <f aca="false">VDB(1000,100,0.5,0,0.5,2)</f>
        <v>900</v>
      </c>
      <c r="B14872" s="0" t="s">
        <v>14719</v>
      </c>
    </row>
    <row r="14873" customFormat="false" ht="15" hidden="false" customHeight="false" outlineLevel="0" collapsed="false">
      <c r="A14873" s="5" t="n">
        <f aca="false">VDB(1000,100,0.5,0,0.5,3)</f>
        <v>900</v>
      </c>
      <c r="B14873" s="0" t="s">
        <v>14720</v>
      </c>
    </row>
    <row r="14874" customFormat="false" ht="15" hidden="false" customHeight="false" outlineLevel="0" collapsed="false">
      <c r="A14874" s="5" t="e">
        <f aca="false">VDB(1000,100,0.5,0,0.5,0)</f>
        <v>#VALUE!</v>
      </c>
      <c r="B14874" s="0" t="s">
        <v>14721</v>
      </c>
    </row>
    <row r="14875" customFormat="false" ht="15" hidden="false" customHeight="false" outlineLevel="0" collapsed="false">
      <c r="A14875" s="5" t="e">
        <f aca="false">VDB(1000,100,0.5,0,0.5,-1)</f>
        <v>#VALUE!</v>
      </c>
      <c r="B14875" s="0" t="s">
        <v>14722</v>
      </c>
    </row>
    <row r="14876" customFormat="false" ht="15" hidden="false" customHeight="false" outlineLevel="0" collapsed="false">
      <c r="A14876" s="5" t="n">
        <f aca="false">VDB(1000,100,0.5,0,0.5,2,TRUE())</f>
        <v>450</v>
      </c>
      <c r="B14876" s="0" t="s">
        <v>14723</v>
      </c>
    </row>
    <row r="14877" customFormat="false" ht="15" hidden="false" customHeight="false" outlineLevel="0" collapsed="false">
      <c r="A14877" s="5" t="n">
        <f aca="false">VDB(1000,100,0.5,0,0.5,1.5,TRUE())</f>
        <v>450</v>
      </c>
      <c r="B14877" s="0" t="s">
        <v>14724</v>
      </c>
    </row>
    <row r="14878" customFormat="false" ht="15" hidden="false" customHeight="false" outlineLevel="0" collapsed="false">
      <c r="A14878" s="5" t="n">
        <f aca="false">VDB(1000,100,0.5,0,0.5,2,FALSE())</f>
        <v>900</v>
      </c>
      <c r="B14878" s="0" t="s">
        <v>14725</v>
      </c>
    </row>
    <row r="14879" customFormat="false" ht="15" hidden="false" customHeight="false" outlineLevel="0" collapsed="false">
      <c r="A14879" s="5" t="e">
        <f aca="false">VDB(1000,100,0.5,0,0.5,,TRUE())</f>
        <v>#VALUE!</v>
      </c>
      <c r="B14879" s="0" t="s">
        <v>14726</v>
      </c>
    </row>
    <row r="14880" customFormat="false" ht="15" hidden="false" customHeight="false" outlineLevel="0" collapsed="false">
      <c r="A14880" s="5" t="e">
        <f aca="false">VDB(1000,100,0.5,-0.5,0.5)</f>
        <v>#VALUE!</v>
      </c>
      <c r="B14880" s="0" t="s">
        <v>14727</v>
      </c>
    </row>
    <row r="14881" customFormat="false" ht="15" hidden="false" customHeight="false" outlineLevel="0" collapsed="false">
      <c r="A14881" s="5" t="e">
        <f aca="false">VDB(1000,100,0.5,-0.5,0.5,1.5)</f>
        <v>#VALUE!</v>
      </c>
      <c r="B14881" s="0" t="s">
        <v>14728</v>
      </c>
    </row>
    <row r="14882" customFormat="false" ht="15" hidden="false" customHeight="false" outlineLevel="0" collapsed="false">
      <c r="A14882" s="5" t="e">
        <f aca="false">VDB(1000,100,0.5,-0.5,0.5,2)</f>
        <v>#VALUE!</v>
      </c>
      <c r="B14882" s="0" t="s">
        <v>14729</v>
      </c>
    </row>
    <row r="14883" customFormat="false" ht="15" hidden="false" customHeight="false" outlineLevel="0" collapsed="false">
      <c r="A14883" s="5" t="e">
        <f aca="false">VDB(1000,100,0.5,-0.5,0.5,3)</f>
        <v>#VALUE!</v>
      </c>
      <c r="B14883" s="0" t="s">
        <v>14730</v>
      </c>
    </row>
    <row r="14884" customFormat="false" ht="15" hidden="false" customHeight="false" outlineLevel="0" collapsed="false">
      <c r="A14884" s="5" t="e">
        <f aca="false">VDB(1000,100,0.5,-0.5,0.5,0)</f>
        <v>#VALUE!</v>
      </c>
      <c r="B14884" s="0" t="s">
        <v>14731</v>
      </c>
    </row>
    <row r="14885" customFormat="false" ht="15" hidden="false" customHeight="false" outlineLevel="0" collapsed="false">
      <c r="A14885" s="5" t="e">
        <f aca="false">VDB(1000,100,0.5,-0.5,0.5,-1)</f>
        <v>#VALUE!</v>
      </c>
      <c r="B14885" s="0" t="s">
        <v>14732</v>
      </c>
    </row>
    <row r="14886" customFormat="false" ht="15" hidden="false" customHeight="false" outlineLevel="0" collapsed="false">
      <c r="A14886" s="5" t="e">
        <f aca="false">VDB(1000,100,0.5,-0.5,0.5,2,TRUE())</f>
        <v>#VALUE!</v>
      </c>
      <c r="B14886" s="0" t="s">
        <v>14733</v>
      </c>
    </row>
    <row r="14887" customFormat="false" ht="15" hidden="false" customHeight="false" outlineLevel="0" collapsed="false">
      <c r="A14887" s="5" t="e">
        <f aca="false">VDB(1000,100,0.5,-0.5,0.5,1.5,TRUE())</f>
        <v>#VALUE!</v>
      </c>
      <c r="B14887" s="0" t="s">
        <v>14734</v>
      </c>
    </row>
    <row r="14888" customFormat="false" ht="15" hidden="false" customHeight="false" outlineLevel="0" collapsed="false">
      <c r="A14888" s="5" t="e">
        <f aca="false">VDB(1000,100,0.5,-0.5,0.5,2,FALSE())</f>
        <v>#VALUE!</v>
      </c>
      <c r="B14888" s="0" t="s">
        <v>14735</v>
      </c>
    </row>
    <row r="14889" customFormat="false" ht="15" hidden="false" customHeight="false" outlineLevel="0" collapsed="false">
      <c r="A14889" s="5" t="e">
        <f aca="false">VDB(1000,100,0.5,-0.5,0.5,,TRUE())</f>
        <v>#VALUE!</v>
      </c>
      <c r="B14889" s="0" t="s">
        <v>14736</v>
      </c>
    </row>
    <row r="14890" customFormat="false" ht="15" hidden="false" customHeight="false" outlineLevel="0" collapsed="false">
      <c r="A14890" s="5" t="e">
        <f aca="false">VDB(1000,100,0.5,3.5,4.2)</f>
        <v>#VALUE!</v>
      </c>
      <c r="B14890" s="0" t="s">
        <v>14737</v>
      </c>
    </row>
    <row r="14891" customFormat="false" ht="15" hidden="false" customHeight="false" outlineLevel="0" collapsed="false">
      <c r="A14891" s="5" t="e">
        <f aca="false">VDB(1000,100,0.5,3.5,4.2,1.5)</f>
        <v>#VALUE!</v>
      </c>
      <c r="B14891" s="0" t="s">
        <v>14738</v>
      </c>
    </row>
    <row r="14892" customFormat="false" ht="15" hidden="false" customHeight="false" outlineLevel="0" collapsed="false">
      <c r="A14892" s="5" t="e">
        <f aca="false">VDB(1000,100,0.5,3.5,4.2,2)</f>
        <v>#VALUE!</v>
      </c>
      <c r="B14892" s="0" t="s">
        <v>14739</v>
      </c>
    </row>
    <row r="14893" customFormat="false" ht="15" hidden="false" customHeight="false" outlineLevel="0" collapsed="false">
      <c r="A14893" s="5" t="e">
        <f aca="false">VDB(1000,100,0.5,3.5,4.2,3)</f>
        <v>#VALUE!</v>
      </c>
      <c r="B14893" s="0" t="s">
        <v>14740</v>
      </c>
    </row>
    <row r="14894" customFormat="false" ht="15" hidden="false" customHeight="false" outlineLevel="0" collapsed="false">
      <c r="A14894" s="5" t="e">
        <f aca="false">VDB(1000,100,0.5,3.5,4.2,0)</f>
        <v>#VALUE!</v>
      </c>
      <c r="B14894" s="0" t="s">
        <v>14741</v>
      </c>
    </row>
    <row r="14895" customFormat="false" ht="15" hidden="false" customHeight="false" outlineLevel="0" collapsed="false">
      <c r="A14895" s="5" t="e">
        <f aca="false">VDB(1000,100,0.5,3.5,4.2,-1)</f>
        <v>#VALUE!</v>
      </c>
      <c r="B14895" s="0" t="s">
        <v>14742</v>
      </c>
    </row>
    <row r="14896" customFormat="false" ht="15" hidden="false" customHeight="false" outlineLevel="0" collapsed="false">
      <c r="A14896" s="5" t="e">
        <f aca="false">VDB(1000,100,0.5,3.5,4.2,2,TRUE())</f>
        <v>#VALUE!</v>
      </c>
      <c r="B14896" s="0" t="s">
        <v>14743</v>
      </c>
    </row>
    <row r="14897" customFormat="false" ht="15" hidden="false" customHeight="false" outlineLevel="0" collapsed="false">
      <c r="A14897" s="5" t="e">
        <f aca="false">VDB(1000,100,0.5,3.5,4.2,1.5,TRUE())</f>
        <v>#VALUE!</v>
      </c>
      <c r="B14897" s="0" t="s">
        <v>14744</v>
      </c>
    </row>
    <row r="14898" customFormat="false" ht="15" hidden="false" customHeight="false" outlineLevel="0" collapsed="false">
      <c r="A14898" s="5" t="e">
        <f aca="false">VDB(1000,100,0.5,3.5,4.2,2,FALSE())</f>
        <v>#VALUE!</v>
      </c>
      <c r="B14898" s="0" t="s">
        <v>14745</v>
      </c>
    </row>
    <row r="14899" customFormat="false" ht="15" hidden="false" customHeight="false" outlineLevel="0" collapsed="false">
      <c r="A14899" s="5" t="e">
        <f aca="false">VDB(1000,100,0.5,3.5,4.2,,TRUE())</f>
        <v>#VALUE!</v>
      </c>
      <c r="B14899" s="0" t="s">
        <v>14746</v>
      </c>
    </row>
    <row r="14900" customFormat="false" ht="15" hidden="false" customHeight="false" outlineLevel="0" collapsed="false">
      <c r="A14900" s="5" t="n">
        <f aca="false">VDB(1000,100,0.5,0,0)</f>
        <v>0</v>
      </c>
      <c r="B14900" s="0" t="s">
        <v>14747</v>
      </c>
    </row>
    <row r="14901" customFormat="false" ht="15" hidden="false" customHeight="false" outlineLevel="0" collapsed="false">
      <c r="A14901" s="5" t="n">
        <f aca="false">VDB(1000,100,0.5,0,0,1.5)</f>
        <v>0</v>
      </c>
      <c r="B14901" s="0" t="s">
        <v>14748</v>
      </c>
    </row>
    <row r="14902" customFormat="false" ht="15" hidden="false" customHeight="false" outlineLevel="0" collapsed="false">
      <c r="A14902" s="5" t="n">
        <f aca="false">VDB(1000,100,0.5,0,0,2)</f>
        <v>0</v>
      </c>
      <c r="B14902" s="0" t="s">
        <v>14749</v>
      </c>
    </row>
    <row r="14903" customFormat="false" ht="15" hidden="false" customHeight="false" outlineLevel="0" collapsed="false">
      <c r="A14903" s="5" t="n">
        <f aca="false">VDB(1000,100,0.5,0,0,3)</f>
        <v>0</v>
      </c>
      <c r="B14903" s="0" t="s">
        <v>14750</v>
      </c>
    </row>
    <row r="14904" customFormat="false" ht="15" hidden="false" customHeight="false" outlineLevel="0" collapsed="false">
      <c r="A14904" s="5" t="e">
        <f aca="false">VDB(1000,100,0.5,0,0,0)</f>
        <v>#VALUE!</v>
      </c>
      <c r="B14904" s="0" t="s">
        <v>14751</v>
      </c>
    </row>
    <row r="14905" customFormat="false" ht="15" hidden="false" customHeight="false" outlineLevel="0" collapsed="false">
      <c r="A14905" s="5" t="e">
        <f aca="false">VDB(1000,100,0.5,0,0,-1)</f>
        <v>#VALUE!</v>
      </c>
      <c r="B14905" s="0" t="s">
        <v>14752</v>
      </c>
    </row>
    <row r="14906" customFormat="false" ht="15" hidden="false" customHeight="false" outlineLevel="0" collapsed="false">
      <c r="A14906" s="5" t="n">
        <f aca="false">VDB(1000,100,0.5,0,0,2,TRUE())</f>
        <v>0</v>
      </c>
      <c r="B14906" s="0" t="s">
        <v>14753</v>
      </c>
    </row>
    <row r="14907" customFormat="false" ht="15" hidden="false" customHeight="false" outlineLevel="0" collapsed="false">
      <c r="A14907" s="5" t="n">
        <f aca="false">VDB(1000,100,0.5,0,0,1.5,TRUE())</f>
        <v>0</v>
      </c>
      <c r="B14907" s="0" t="s">
        <v>14754</v>
      </c>
    </row>
    <row r="14908" customFormat="false" ht="15" hidden="false" customHeight="false" outlineLevel="0" collapsed="false">
      <c r="A14908" s="5" t="n">
        <f aca="false">VDB(1000,100,0.5,0,0,2,FALSE())</f>
        <v>0</v>
      </c>
      <c r="B14908" s="0" t="s">
        <v>14755</v>
      </c>
    </row>
    <row r="14909" customFormat="false" ht="15" hidden="false" customHeight="false" outlineLevel="0" collapsed="false">
      <c r="A14909" s="5" t="e">
        <f aca="false">VDB(1000,100,0.5,0,0,,TRUE())</f>
        <v>#VALUE!</v>
      </c>
      <c r="B14909" s="0" t="s">
        <v>14756</v>
      </c>
    </row>
    <row r="14910" customFormat="false" ht="15" hidden="false" customHeight="false" outlineLevel="0" collapsed="false">
      <c r="A14910" s="5" t="e">
        <f aca="false">VDB(1000,100,0.5,1,1)</f>
        <v>#VALUE!</v>
      </c>
      <c r="B14910" s="0" t="s">
        <v>14757</v>
      </c>
    </row>
    <row r="14911" customFormat="false" ht="15" hidden="false" customHeight="false" outlineLevel="0" collapsed="false">
      <c r="A14911" s="5" t="e">
        <f aca="false">VDB(1000,100,0.5,1,1,1.5)</f>
        <v>#VALUE!</v>
      </c>
      <c r="B14911" s="0" t="s">
        <v>14758</v>
      </c>
    </row>
    <row r="14912" customFormat="false" ht="15" hidden="false" customHeight="false" outlineLevel="0" collapsed="false">
      <c r="A14912" s="5" t="e">
        <f aca="false">VDB(1000,100,0.5,1,1,2)</f>
        <v>#VALUE!</v>
      </c>
      <c r="B14912" s="0" t="s">
        <v>14759</v>
      </c>
    </row>
    <row r="14913" customFormat="false" ht="15" hidden="false" customHeight="false" outlineLevel="0" collapsed="false">
      <c r="A14913" s="5" t="e">
        <f aca="false">VDB(1000,100,0.5,1,1,3)</f>
        <v>#VALUE!</v>
      </c>
      <c r="B14913" s="0" t="s">
        <v>14760</v>
      </c>
    </row>
    <row r="14914" customFormat="false" ht="15" hidden="false" customHeight="false" outlineLevel="0" collapsed="false">
      <c r="A14914" s="5" t="e">
        <f aca="false">VDB(1000,100,0.5,1,1,0)</f>
        <v>#VALUE!</v>
      </c>
      <c r="B14914" s="0" t="s">
        <v>14761</v>
      </c>
    </row>
    <row r="14915" customFormat="false" ht="15" hidden="false" customHeight="false" outlineLevel="0" collapsed="false">
      <c r="A14915" s="5" t="e">
        <f aca="false">VDB(1000,100,0.5,1,1,-1)</f>
        <v>#VALUE!</v>
      </c>
      <c r="B14915" s="0" t="s">
        <v>14762</v>
      </c>
    </row>
    <row r="14916" customFormat="false" ht="15" hidden="false" customHeight="false" outlineLevel="0" collapsed="false">
      <c r="A14916" s="5" t="e">
        <f aca="false">VDB(1000,100,0.5,1,1,2,TRUE())</f>
        <v>#VALUE!</v>
      </c>
      <c r="B14916" s="0" t="s">
        <v>14763</v>
      </c>
    </row>
    <row r="14917" customFormat="false" ht="15" hidden="false" customHeight="false" outlineLevel="0" collapsed="false">
      <c r="A14917" s="5" t="e">
        <f aca="false">VDB(1000,100,0.5,1,1,1.5,TRUE())</f>
        <v>#VALUE!</v>
      </c>
      <c r="B14917" s="0" t="s">
        <v>14764</v>
      </c>
    </row>
    <row r="14918" customFormat="false" ht="15" hidden="false" customHeight="false" outlineLevel="0" collapsed="false">
      <c r="A14918" s="5" t="e">
        <f aca="false">VDB(1000,100,0.5,1,1,2,FALSE())</f>
        <v>#VALUE!</v>
      </c>
      <c r="B14918" s="0" t="s">
        <v>14765</v>
      </c>
    </row>
    <row r="14919" customFormat="false" ht="15" hidden="false" customHeight="false" outlineLevel="0" collapsed="false">
      <c r="A14919" s="5" t="e">
        <f aca="false">VDB(1000,100,0.5,1,1,,TRUE())</f>
        <v>#VALUE!</v>
      </c>
      <c r="B14919" s="0" t="s">
        <v>14766</v>
      </c>
    </row>
    <row r="14920" customFormat="false" ht="15" hidden="false" customHeight="false" outlineLevel="0" collapsed="false">
      <c r="A14920" s="5" t="e">
        <f aca="false">VDB(1000,100,0.5,2,1)</f>
        <v>#VALUE!</v>
      </c>
      <c r="B14920" s="0" t="s">
        <v>14767</v>
      </c>
    </row>
    <row r="14921" customFormat="false" ht="15" hidden="false" customHeight="false" outlineLevel="0" collapsed="false">
      <c r="A14921" s="5" t="e">
        <f aca="false">VDB(1000,100,0.5,2,1,1.5)</f>
        <v>#VALUE!</v>
      </c>
      <c r="B14921" s="0" t="s">
        <v>14768</v>
      </c>
    </row>
    <row r="14922" customFormat="false" ht="15" hidden="false" customHeight="false" outlineLevel="0" collapsed="false">
      <c r="A14922" s="5" t="e">
        <f aca="false">VDB(1000,100,0.5,2,1,2)</f>
        <v>#VALUE!</v>
      </c>
      <c r="B14922" s="0" t="s">
        <v>14769</v>
      </c>
    </row>
    <row r="14923" customFormat="false" ht="15" hidden="false" customHeight="false" outlineLevel="0" collapsed="false">
      <c r="A14923" s="5" t="e">
        <f aca="false">VDB(1000,100,0.5,2,1,3)</f>
        <v>#VALUE!</v>
      </c>
      <c r="B14923" s="0" t="s">
        <v>14770</v>
      </c>
    </row>
    <row r="14924" customFormat="false" ht="15" hidden="false" customHeight="false" outlineLevel="0" collapsed="false">
      <c r="A14924" s="5" t="e">
        <f aca="false">VDB(1000,100,0.5,2,1,0)</f>
        <v>#VALUE!</v>
      </c>
      <c r="B14924" s="0" t="s">
        <v>14771</v>
      </c>
    </row>
    <row r="14925" customFormat="false" ht="15" hidden="false" customHeight="false" outlineLevel="0" collapsed="false">
      <c r="A14925" s="5" t="e">
        <f aca="false">VDB(1000,100,0.5,2,1,-1)</f>
        <v>#VALUE!</v>
      </c>
      <c r="B14925" s="0" t="s">
        <v>14772</v>
      </c>
    </row>
    <row r="14926" customFormat="false" ht="15" hidden="false" customHeight="false" outlineLevel="0" collapsed="false">
      <c r="A14926" s="5" t="e">
        <f aca="false">VDB(1000,100,0.5,2,1,2,TRUE())</f>
        <v>#VALUE!</v>
      </c>
      <c r="B14926" s="0" t="s">
        <v>14773</v>
      </c>
    </row>
    <row r="14927" customFormat="false" ht="15" hidden="false" customHeight="false" outlineLevel="0" collapsed="false">
      <c r="A14927" s="5" t="e">
        <f aca="false">VDB(1000,100,0.5,2,1,1.5,TRUE())</f>
        <v>#VALUE!</v>
      </c>
      <c r="B14927" s="0" t="s">
        <v>14774</v>
      </c>
    </row>
    <row r="14928" customFormat="false" ht="15" hidden="false" customHeight="false" outlineLevel="0" collapsed="false">
      <c r="A14928" s="5" t="e">
        <f aca="false">VDB(1000,100,0.5,2,1,2,FALSE())</f>
        <v>#VALUE!</v>
      </c>
      <c r="B14928" s="0" t="s">
        <v>14775</v>
      </c>
    </row>
    <row r="14929" customFormat="false" ht="15" hidden="false" customHeight="false" outlineLevel="0" collapsed="false">
      <c r="A14929" s="5" t="e">
        <f aca="false">VDB(1000,100,0.5,2,1,,TRUE())</f>
        <v>#VALUE!</v>
      </c>
      <c r="B14929" s="0" t="s">
        <v>14776</v>
      </c>
    </row>
    <row r="14930" customFormat="false" ht="15" hidden="false" customHeight="false" outlineLevel="0" collapsed="false">
      <c r="A14930" s="5" t="e">
        <f aca="false">VDB(1000,100,0.5,0,1.5)</f>
        <v>#VALUE!</v>
      </c>
      <c r="B14930" s="0" t="s">
        <v>14777</v>
      </c>
    </row>
    <row r="14931" customFormat="false" ht="15" hidden="false" customHeight="false" outlineLevel="0" collapsed="false">
      <c r="A14931" s="5" t="e">
        <f aca="false">VDB(1000,100,0.5,0,1.5,1.5)</f>
        <v>#VALUE!</v>
      </c>
      <c r="B14931" s="0" t="s">
        <v>14778</v>
      </c>
    </row>
    <row r="14932" customFormat="false" ht="15" hidden="false" customHeight="false" outlineLevel="0" collapsed="false">
      <c r="A14932" s="5" t="e">
        <f aca="false">VDB(1000,100,0.5,0,1.5,2)</f>
        <v>#VALUE!</v>
      </c>
      <c r="B14932" s="0" t="s">
        <v>14779</v>
      </c>
    </row>
    <row r="14933" customFormat="false" ht="15" hidden="false" customHeight="false" outlineLevel="0" collapsed="false">
      <c r="A14933" s="5" t="e">
        <f aca="false">VDB(1000,100,0.5,0,1.5,3)</f>
        <v>#VALUE!</v>
      </c>
      <c r="B14933" s="0" t="s">
        <v>14780</v>
      </c>
    </row>
    <row r="14934" customFormat="false" ht="15" hidden="false" customHeight="false" outlineLevel="0" collapsed="false">
      <c r="A14934" s="5" t="e">
        <f aca="false">VDB(1000,100,0.5,0,1.5,0)</f>
        <v>#VALUE!</v>
      </c>
      <c r="B14934" s="0" t="s">
        <v>14781</v>
      </c>
    </row>
    <row r="14935" customFormat="false" ht="15" hidden="false" customHeight="false" outlineLevel="0" collapsed="false">
      <c r="A14935" s="5" t="e">
        <f aca="false">VDB(1000,100,0.5,0,1.5,-1)</f>
        <v>#VALUE!</v>
      </c>
      <c r="B14935" s="0" t="s">
        <v>14782</v>
      </c>
    </row>
    <row r="14936" customFormat="false" ht="15" hidden="false" customHeight="false" outlineLevel="0" collapsed="false">
      <c r="A14936" s="5" t="e">
        <f aca="false">VDB(1000,100,0.5,0,1.5,2,TRUE())</f>
        <v>#VALUE!</v>
      </c>
      <c r="B14936" s="0" t="s">
        <v>14783</v>
      </c>
    </row>
    <row r="14937" customFormat="false" ht="15" hidden="false" customHeight="false" outlineLevel="0" collapsed="false">
      <c r="A14937" s="5" t="e">
        <f aca="false">VDB(1000,100,0.5,0,1.5,1.5,TRUE())</f>
        <v>#VALUE!</v>
      </c>
      <c r="B14937" s="0" t="s">
        <v>14784</v>
      </c>
    </row>
    <row r="14938" customFormat="false" ht="15" hidden="false" customHeight="false" outlineLevel="0" collapsed="false">
      <c r="A14938" s="5" t="e">
        <f aca="false">VDB(1000,100,0.5,0,1.5,2,FALSE())</f>
        <v>#VALUE!</v>
      </c>
      <c r="B14938" s="0" t="s">
        <v>14785</v>
      </c>
    </row>
    <row r="14939" customFormat="false" ht="15" hidden="false" customHeight="false" outlineLevel="0" collapsed="false">
      <c r="A14939" s="5" t="e">
        <f aca="false">VDB(1000,100,0.5,0,1.5,,TRUE())</f>
        <v>#VALUE!</v>
      </c>
      <c r="B14939" s="0" t="s">
        <v>14786</v>
      </c>
    </row>
    <row r="14940" customFormat="false" ht="15" hidden="false" customHeight="false" outlineLevel="0" collapsed="false">
      <c r="A14940" s="5" t="e">
        <f aca="false">VDB(1000,100,0.5,-1,1)</f>
        <v>#VALUE!</v>
      </c>
      <c r="B14940" s="0" t="s">
        <v>14787</v>
      </c>
    </row>
    <row r="14941" customFormat="false" ht="15" hidden="false" customHeight="false" outlineLevel="0" collapsed="false">
      <c r="A14941" s="5" t="e">
        <f aca="false">VDB(1000,100,0.5,-1,1,1.5)</f>
        <v>#VALUE!</v>
      </c>
      <c r="B14941" s="0" t="s">
        <v>14788</v>
      </c>
    </row>
    <row r="14942" customFormat="false" ht="15" hidden="false" customHeight="false" outlineLevel="0" collapsed="false">
      <c r="A14942" s="5" t="e">
        <f aca="false">VDB(1000,100,0.5,-1,1,2)</f>
        <v>#VALUE!</v>
      </c>
      <c r="B14942" s="0" t="s">
        <v>14789</v>
      </c>
    </row>
    <row r="14943" customFormat="false" ht="15" hidden="false" customHeight="false" outlineLevel="0" collapsed="false">
      <c r="A14943" s="5" t="e">
        <f aca="false">VDB(1000,100,0.5,-1,1,3)</f>
        <v>#VALUE!</v>
      </c>
      <c r="B14943" s="0" t="s">
        <v>14790</v>
      </c>
    </row>
    <row r="14944" customFormat="false" ht="15" hidden="false" customHeight="false" outlineLevel="0" collapsed="false">
      <c r="A14944" s="5" t="e">
        <f aca="false">VDB(1000,100,0.5,-1,1,0)</f>
        <v>#VALUE!</v>
      </c>
      <c r="B14944" s="0" t="s">
        <v>14791</v>
      </c>
    </row>
    <row r="14945" customFormat="false" ht="15" hidden="false" customHeight="false" outlineLevel="0" collapsed="false">
      <c r="A14945" s="5" t="e">
        <f aca="false">VDB(1000,100,0.5,-1,1,-1)</f>
        <v>#VALUE!</v>
      </c>
      <c r="B14945" s="0" t="s">
        <v>14792</v>
      </c>
    </row>
    <row r="14946" customFormat="false" ht="15" hidden="false" customHeight="false" outlineLevel="0" collapsed="false">
      <c r="A14946" s="5" t="e">
        <f aca="false">VDB(1000,100,0.5,-1,1,2,TRUE())</f>
        <v>#VALUE!</v>
      </c>
      <c r="B14946" s="0" t="s">
        <v>14793</v>
      </c>
    </row>
    <row r="14947" customFormat="false" ht="15" hidden="false" customHeight="false" outlineLevel="0" collapsed="false">
      <c r="A14947" s="5" t="e">
        <f aca="false">VDB(1000,100,0.5,-1,1,1.5,TRUE())</f>
        <v>#VALUE!</v>
      </c>
      <c r="B14947" s="0" t="s">
        <v>14794</v>
      </c>
    </row>
    <row r="14948" customFormat="false" ht="15" hidden="false" customHeight="false" outlineLevel="0" collapsed="false">
      <c r="A14948" s="5" t="e">
        <f aca="false">VDB(1000,100,0.5,-1,1,2,FALSE())</f>
        <v>#VALUE!</v>
      </c>
      <c r="B14948" s="0" t="s">
        <v>14795</v>
      </c>
    </row>
    <row r="14949" customFormat="false" ht="15" hidden="false" customHeight="false" outlineLevel="0" collapsed="false">
      <c r="A14949" s="5" t="e">
        <f aca="false">VDB(1000,100,0.5,-1,1,,TRUE())</f>
        <v>#VALUE!</v>
      </c>
      <c r="B14949" s="0" t="s">
        <v>14796</v>
      </c>
    </row>
    <row r="14950" customFormat="false" ht="15" hidden="false" customHeight="false" outlineLevel="0" collapsed="false">
      <c r="A14950" s="5" t="e">
        <f aca="false">VDB(1000,100,0.5,0.25,0.75)</f>
        <v>#VALUE!</v>
      </c>
      <c r="B14950" s="0" t="s">
        <v>14797</v>
      </c>
    </row>
    <row r="14951" customFormat="false" ht="15" hidden="false" customHeight="false" outlineLevel="0" collapsed="false">
      <c r="A14951" s="5" t="e">
        <f aca="false">VDB(1000,100,0.5,0.25,0.75,1.5)</f>
        <v>#VALUE!</v>
      </c>
      <c r="B14951" s="0" t="s">
        <v>14798</v>
      </c>
    </row>
    <row r="14952" customFormat="false" ht="15" hidden="false" customHeight="false" outlineLevel="0" collapsed="false">
      <c r="A14952" s="5" t="e">
        <f aca="false">VDB(1000,100,0.5,0.25,0.75,2)</f>
        <v>#VALUE!</v>
      </c>
      <c r="B14952" s="0" t="s">
        <v>14799</v>
      </c>
    </row>
    <row r="14953" customFormat="false" ht="15" hidden="false" customHeight="false" outlineLevel="0" collapsed="false">
      <c r="A14953" s="5" t="e">
        <f aca="false">VDB(1000,100,0.5,0.25,0.75,3)</f>
        <v>#VALUE!</v>
      </c>
      <c r="B14953" s="0" t="s">
        <v>14800</v>
      </c>
    </row>
    <row r="14954" customFormat="false" ht="15" hidden="false" customHeight="false" outlineLevel="0" collapsed="false">
      <c r="A14954" s="5" t="e">
        <f aca="false">VDB(1000,100,0.5,0.25,0.75,0)</f>
        <v>#VALUE!</v>
      </c>
      <c r="B14954" s="0" t="s">
        <v>14801</v>
      </c>
    </row>
    <row r="14955" customFormat="false" ht="15" hidden="false" customHeight="false" outlineLevel="0" collapsed="false">
      <c r="A14955" s="5" t="e">
        <f aca="false">VDB(1000,100,0.5,0.25,0.75,-1)</f>
        <v>#VALUE!</v>
      </c>
      <c r="B14955" s="0" t="s">
        <v>14802</v>
      </c>
    </row>
    <row r="14956" customFormat="false" ht="15" hidden="false" customHeight="false" outlineLevel="0" collapsed="false">
      <c r="A14956" s="5" t="e">
        <f aca="false">VDB(1000,100,0.5,0.25,0.75,2,TRUE())</f>
        <v>#VALUE!</v>
      </c>
      <c r="B14956" s="0" t="s">
        <v>14803</v>
      </c>
    </row>
    <row r="14957" customFormat="false" ht="15" hidden="false" customHeight="false" outlineLevel="0" collapsed="false">
      <c r="A14957" s="5" t="e">
        <f aca="false">VDB(1000,100,0.5,0.25,0.75,1.5,TRUE())</f>
        <v>#VALUE!</v>
      </c>
      <c r="B14957" s="0" t="s">
        <v>14804</v>
      </c>
    </row>
    <row r="14958" customFormat="false" ht="15" hidden="false" customHeight="false" outlineLevel="0" collapsed="false">
      <c r="A14958" s="5" t="e">
        <f aca="false">VDB(1000,100,0.5,0.25,0.75,2,FALSE())</f>
        <v>#VALUE!</v>
      </c>
      <c r="B14958" s="0" t="s">
        <v>14805</v>
      </c>
    </row>
    <row r="14959" customFormat="false" ht="15" hidden="false" customHeight="false" outlineLevel="0" collapsed="false">
      <c r="A14959" s="5" t="e">
        <f aca="false">VDB(1000,100,0.5,0.25,0.75,,TRUE())</f>
        <v>#VALUE!</v>
      </c>
      <c r="B14959" s="0" t="s">
        <v>14806</v>
      </c>
    </row>
    <row r="14960" customFormat="false" ht="15" hidden="false" customHeight="false" outlineLevel="0" collapsed="false">
      <c r="A14960" s="5" t="n">
        <f aca="false">VDB(1000,100,0.5,0.5,0.5)</f>
        <v>0</v>
      </c>
      <c r="B14960" s="0" t="s">
        <v>14807</v>
      </c>
    </row>
    <row r="14961" customFormat="false" ht="15" hidden="false" customHeight="false" outlineLevel="0" collapsed="false">
      <c r="A14961" s="5" t="n">
        <f aca="false">VDB(1000,100,0.5,0.5,0.5,1.5)</f>
        <v>0</v>
      </c>
      <c r="B14961" s="0" t="s">
        <v>14808</v>
      </c>
    </row>
    <row r="14962" customFormat="false" ht="15" hidden="false" customHeight="false" outlineLevel="0" collapsed="false">
      <c r="A14962" s="5" t="n">
        <f aca="false">VDB(1000,100,0.5,0.5,0.5,2)</f>
        <v>0</v>
      </c>
      <c r="B14962" s="0" t="s">
        <v>14809</v>
      </c>
    </row>
    <row r="14963" customFormat="false" ht="15" hidden="false" customHeight="false" outlineLevel="0" collapsed="false">
      <c r="A14963" s="5" t="n">
        <f aca="false">VDB(1000,100,0.5,0.5,0.5,3)</f>
        <v>0</v>
      </c>
      <c r="B14963" s="0" t="s">
        <v>14810</v>
      </c>
    </row>
    <row r="14964" customFormat="false" ht="15" hidden="false" customHeight="false" outlineLevel="0" collapsed="false">
      <c r="A14964" s="5" t="e">
        <f aca="false">VDB(1000,100,0.5,0.5,0.5,0)</f>
        <v>#VALUE!</v>
      </c>
      <c r="B14964" s="0" t="s">
        <v>14811</v>
      </c>
    </row>
    <row r="14965" customFormat="false" ht="15" hidden="false" customHeight="false" outlineLevel="0" collapsed="false">
      <c r="A14965" s="5" t="e">
        <f aca="false">VDB(1000,100,0.5,0.5,0.5,-1)</f>
        <v>#VALUE!</v>
      </c>
      <c r="B14965" s="0" t="s">
        <v>14812</v>
      </c>
    </row>
    <row r="14966" customFormat="false" ht="15" hidden="false" customHeight="false" outlineLevel="0" collapsed="false">
      <c r="A14966" s="5" t="n">
        <f aca="false">VDB(1000,100,0.5,0.5,0.5,2,TRUE())</f>
        <v>0</v>
      </c>
      <c r="B14966" s="0" t="s">
        <v>14813</v>
      </c>
    </row>
    <row r="14967" customFormat="false" ht="15" hidden="false" customHeight="false" outlineLevel="0" collapsed="false">
      <c r="A14967" s="5" t="n">
        <f aca="false">VDB(1000,100,0.5,0.5,0.5,1.5,TRUE())</f>
        <v>0</v>
      </c>
      <c r="B14967" s="0" t="s">
        <v>14814</v>
      </c>
    </row>
    <row r="14968" customFormat="false" ht="15" hidden="false" customHeight="false" outlineLevel="0" collapsed="false">
      <c r="A14968" s="5" t="n">
        <f aca="false">VDB(1000,100,0.5,0.5,0.5,2,FALSE())</f>
        <v>0</v>
      </c>
      <c r="B14968" s="0" t="s">
        <v>14815</v>
      </c>
    </row>
    <row r="14969" customFormat="false" ht="15" hidden="false" customHeight="false" outlineLevel="0" collapsed="false">
      <c r="A14969" s="5" t="e">
        <f aca="false">VDB(1000,100,0.5,0.5,0.5,,TRUE())</f>
        <v>#VALUE!</v>
      </c>
      <c r="B14969" s="0" t="s">
        <v>14816</v>
      </c>
    </row>
    <row r="14970" customFormat="false" ht="15" hidden="false" customHeight="false" outlineLevel="0" collapsed="false">
      <c r="A14970" s="5" t="e">
        <f aca="false">VDB(1000,100,0.5,1,0.5)</f>
        <v>#VALUE!</v>
      </c>
      <c r="B14970" s="0" t="s">
        <v>14817</v>
      </c>
    </row>
    <row r="14971" customFormat="false" ht="15" hidden="false" customHeight="false" outlineLevel="0" collapsed="false">
      <c r="A14971" s="5" t="e">
        <f aca="false">VDB(1000,100,0.5,1,0.5,1.5)</f>
        <v>#VALUE!</v>
      </c>
      <c r="B14971" s="0" t="s">
        <v>14818</v>
      </c>
    </row>
    <row r="14972" customFormat="false" ht="15" hidden="false" customHeight="false" outlineLevel="0" collapsed="false">
      <c r="A14972" s="5" t="e">
        <f aca="false">VDB(1000,100,0.5,1,0.5,2)</f>
        <v>#VALUE!</v>
      </c>
      <c r="B14972" s="0" t="s">
        <v>14819</v>
      </c>
    </row>
    <row r="14973" customFormat="false" ht="15" hidden="false" customHeight="false" outlineLevel="0" collapsed="false">
      <c r="A14973" s="5" t="e">
        <f aca="false">VDB(1000,100,0.5,1,0.5,3)</f>
        <v>#VALUE!</v>
      </c>
      <c r="B14973" s="0" t="s">
        <v>14820</v>
      </c>
    </row>
    <row r="14974" customFormat="false" ht="15" hidden="false" customHeight="false" outlineLevel="0" collapsed="false">
      <c r="A14974" s="5" t="e">
        <f aca="false">VDB(1000,100,0.5,1,0.5,0)</f>
        <v>#VALUE!</v>
      </c>
      <c r="B14974" s="0" t="s">
        <v>14821</v>
      </c>
    </row>
    <row r="14975" customFormat="false" ht="15" hidden="false" customHeight="false" outlineLevel="0" collapsed="false">
      <c r="A14975" s="5" t="e">
        <f aca="false">VDB(1000,100,0.5,1,0.5,-1)</f>
        <v>#VALUE!</v>
      </c>
      <c r="B14975" s="0" t="s">
        <v>14822</v>
      </c>
    </row>
    <row r="14976" customFormat="false" ht="15" hidden="false" customHeight="false" outlineLevel="0" collapsed="false">
      <c r="A14976" s="5" t="e">
        <f aca="false">VDB(1000,100,0.5,1,0.5,2,TRUE())</f>
        <v>#VALUE!</v>
      </c>
      <c r="B14976" s="0" t="s">
        <v>14823</v>
      </c>
    </row>
    <row r="14977" customFormat="false" ht="15" hidden="false" customHeight="false" outlineLevel="0" collapsed="false">
      <c r="A14977" s="5" t="e">
        <f aca="false">VDB(1000,100,0.5,1,0.5,1.5,TRUE())</f>
        <v>#VALUE!</v>
      </c>
      <c r="B14977" s="0" t="s">
        <v>14824</v>
      </c>
    </row>
    <row r="14978" customFormat="false" ht="15" hidden="false" customHeight="false" outlineLevel="0" collapsed="false">
      <c r="A14978" s="5" t="e">
        <f aca="false">VDB(1000,100,0.5,1,0.5,2,FALSE())</f>
        <v>#VALUE!</v>
      </c>
      <c r="B14978" s="0" t="s">
        <v>14825</v>
      </c>
    </row>
    <row r="14979" customFormat="false" ht="15" hidden="false" customHeight="false" outlineLevel="0" collapsed="false">
      <c r="A14979" s="5" t="e">
        <f aca="false">VDB(1000,100,0.5,1,0.5,,TRUE())</f>
        <v>#VALUE!</v>
      </c>
      <c r="B14979" s="0" t="s">
        <v>14826</v>
      </c>
    </row>
    <row r="14980" customFormat="false" ht="15" hidden="false" customHeight="false" outlineLevel="0" collapsed="false">
      <c r="A14980" s="5" t="n">
        <f aca="false">VDB(2400,300,10,0,1,2,1)</f>
        <v>480</v>
      </c>
      <c r="B14980" s="0" t="s">
        <v>14827</v>
      </c>
    </row>
    <row r="14981" customFormat="false" ht="15" hidden="false" customHeight="false" outlineLevel="0" collapsed="false">
      <c r="A14981" s="5" t="n">
        <f aca="false">VDB(2400,300,10,0,1,2,0)</f>
        <v>480</v>
      </c>
      <c r="B14981" s="0" t="s">
        <v>14828</v>
      </c>
    </row>
    <row r="14982" customFormat="false" ht="15" hidden="false" customHeight="false" outlineLevel="0" collapsed="false">
      <c r="A14982" s="5" t="e">
        <f aca="false">VDB(2400,300,10,0,1,2,"x")</f>
        <v>#VALUE!</v>
      </c>
      <c r="B14982" s="0" t="s">
        <v>14829</v>
      </c>
    </row>
    <row r="14983" customFormat="false" ht="15" hidden="false" customHeight="false" outlineLevel="0" collapsed="false">
      <c r="A14983" s="5" t="e">
        <f aca="false">VDB(2400,300,10,0,1,2,TRUE(),1)</f>
        <v>#VALUE!</v>
      </c>
      <c r="B14983" s="0" t="s">
        <v>14830</v>
      </c>
    </row>
    <row r="14984" customFormat="false" ht="15" hidden="false" customHeight="false" outlineLevel="0" collapsed="false">
      <c r="A14984" s="5" t="n">
        <f aca="false">VDB(2400,300,10,0,1)</f>
        <v>480</v>
      </c>
      <c r="B14984" s="0" t="s">
        <v>13157</v>
      </c>
    </row>
    <row r="14985" customFormat="false" ht="15" hidden="false" customHeight="false" outlineLevel="0" collapsed="false">
      <c r="A14985" s="5" t="e">
        <f aca="false">VDB(2400,300,10,0)</f>
        <v>#VALUE!</v>
      </c>
      <c r="B14985" s="0" t="s">
        <v>14831</v>
      </c>
    </row>
    <row r="14986" customFormat="false" ht="15" hidden="false" customHeight="false" outlineLevel="0" collapsed="false">
      <c r="A14986" s="5" t="e">
        <f aca="false">VDB("x",300,10,0,1)</f>
        <v>#VALUE!</v>
      </c>
      <c r="B14986" s="0" t="s">
        <v>14832</v>
      </c>
    </row>
    <row r="14987" customFormat="false" ht="15" hidden="false" customHeight="false" outlineLevel="0" collapsed="false">
      <c r="A14987" s="5" t="e">
        <f aca="false">VDB(2400,300,0,0,1)</f>
        <v>#VALUE!</v>
      </c>
      <c r="B14987" s="0" t="s">
        <v>14833</v>
      </c>
    </row>
    <row r="14988" customFormat="false" ht="15" hidden="false" customHeight="false" outlineLevel="0" collapsed="false">
      <c r="A14988" s="5" t="e">
        <f aca="false">VDB(2400,300,-1,0,1)</f>
        <v>#VALUE!</v>
      </c>
      <c r="B14988" s="0" t="s">
        <v>14834</v>
      </c>
    </row>
    <row r="14989" customFormat="false" ht="15" hidden="false" customHeight="false" outlineLevel="0" collapsed="false">
      <c r="A14989" s="5" t="n">
        <f aca="false">VDB(2400,-300,10,0,1)</f>
        <v>480</v>
      </c>
      <c r="B14989" s="0" t="s">
        <v>14835</v>
      </c>
    </row>
    <row r="14990" customFormat="false" ht="15" hidden="false" customHeight="false" outlineLevel="0" collapsed="false">
      <c r="A14990" s="5" t="e">
        <f aca="false">VDB(-2400,300,10,0,1)</f>
        <v>#VALUE!</v>
      </c>
      <c r="B14990" s="0" t="s">
        <v>14836</v>
      </c>
    </row>
    <row r="14991" customFormat="false" ht="15" hidden="false" customHeight="false" outlineLevel="0" collapsed="false">
      <c r="A14991" s="0" t="e">
        <f aca="false">VDB(2400,300,10,NA(),1)</f>
        <v>#N/A</v>
      </c>
      <c r="B14991" s="0" t="s">
        <v>14837</v>
      </c>
    </row>
    <row r="14992" customFormat="false" ht="15" hidden="false" customHeight="false" outlineLevel="0" collapsed="false">
      <c r="A14992" s="5" t="e">
        <f aca="false">VDB(2400,300,10,0,1,Data!D1)</f>
        <v>#VALUE!</v>
      </c>
      <c r="B14992" s="0" t="s">
        <v>14838</v>
      </c>
    </row>
    <row r="14993" customFormat="false" ht="15" hidden="false" customHeight="false" outlineLevel="0" collapsed="false">
      <c r="A14993" s="5" t="n">
        <f aca="false">VDB(2400,300,10,0,1,2,Data!D1)</f>
        <v>480</v>
      </c>
      <c r="B14993" s="0" t="s">
        <v>14839</v>
      </c>
    </row>
    <row r="14994" customFormat="false" ht="15" hidden="false" customHeight="false" outlineLevel="0" collapsed="false">
      <c r="A14994" s="5" t="e">
        <f aca="false">VDB(Data!A1:A2,300,10,0,1)</f>
        <v>#VALUE!</v>
      </c>
      <c r="B14994" s="0" t="s">
        <v>14840</v>
      </c>
    </row>
    <row r="14995" customFormat="false" ht="15" hidden="false" customHeight="false" outlineLevel="0" collapsed="false">
      <c r="A14995" s="0" t="e">
        <f aca="false">ODDFPRICE(DATE(2024,2,15),DATE(2027,7,1),DATE(2024,1,1),DATE(2024,7,1),0.05,0.08,100,1,0)</f>
        <v>#VALUE!</v>
      </c>
      <c r="B14995" s="0" t="s">
        <v>14841</v>
      </c>
    </row>
    <row r="14996" customFormat="false" ht="15" hidden="false" customHeight="false" outlineLevel="0" collapsed="false">
      <c r="A14996" s="0" t="e">
        <f aca="false">ODDFPRICE(DATE(2024,2,15),DATE(2027,7,1),DATE(2024,1,1),DATE(2024,7,1),0.1,0.03,105,1,0)</f>
        <v>#VALUE!</v>
      </c>
      <c r="B14996" s="0" t="s">
        <v>14842</v>
      </c>
    </row>
    <row r="14997" customFormat="false" ht="15" hidden="false" customHeight="false" outlineLevel="0" collapsed="false">
      <c r="A14997" s="0" t="e">
        <f aca="false">ODDFPRICE(DATE(2024,2,15),DATE(2027,7,1),DATE(2024,1,1),DATE(2024,7,1),0,0.05,100,1,0)</f>
        <v>#VALUE!</v>
      </c>
      <c r="B14997" s="0" t="s">
        <v>14843</v>
      </c>
    </row>
    <row r="14998" customFormat="false" ht="15" hidden="false" customHeight="false" outlineLevel="0" collapsed="false">
      <c r="A14998" s="0" t="e">
        <f aca="false">ODDFYIELD(DATE(2024,2,15),DATE(2027,7,1),DATE(2024,1,1),DATE(2024,7,1),0.05,95,100,1,0)</f>
        <v>#VALUE!</v>
      </c>
      <c r="B14998" s="0" t="s">
        <v>14844</v>
      </c>
    </row>
    <row r="14999" customFormat="false" ht="15" hidden="false" customHeight="false" outlineLevel="0" collapsed="false">
      <c r="A14999" s="0" t="e">
        <f aca="false">ODDFYIELD(DATE(2024,2,15),DATE(2027,7,1),DATE(2024,1,1),DATE(2024,7,1),0.1,101.5,100,1,0)</f>
        <v>#VALUE!</v>
      </c>
      <c r="B14999" s="0" t="s">
        <v>14845</v>
      </c>
    </row>
    <row r="15000" customFormat="false" ht="15" hidden="false" customHeight="false" outlineLevel="0" collapsed="false">
      <c r="A15000" s="0" t="e">
        <f aca="false">ODDFYIELD(DATE(2024,2,15),DATE(2027,7,1),DATE(2024,1,1),DATE(2024,7,1),0.05,100,100,1,0)</f>
        <v>#VALUE!</v>
      </c>
      <c r="B15000" s="0" t="s">
        <v>14846</v>
      </c>
    </row>
    <row r="15001" customFormat="false" ht="15" hidden="false" customHeight="false" outlineLevel="0" collapsed="false">
      <c r="A15001" s="0" t="e">
        <f aca="false">ODDFPRICE(DATE(2024,2,15),DATE(2027,7,1),DATE(2024,1,1),DATE(2024,7,1),0.05,0.08,100,1,1)</f>
        <v>#VALUE!</v>
      </c>
      <c r="B15001" s="0" t="s">
        <v>14847</v>
      </c>
    </row>
    <row r="15002" customFormat="false" ht="15" hidden="false" customHeight="false" outlineLevel="0" collapsed="false">
      <c r="A15002" s="0" t="e">
        <f aca="false">ODDFPRICE(DATE(2024,2,15),DATE(2027,7,1),DATE(2024,1,1),DATE(2024,7,1),0.1,0.03,105,1,1)</f>
        <v>#VALUE!</v>
      </c>
      <c r="B15002" s="0" t="s">
        <v>14848</v>
      </c>
    </row>
    <row r="15003" customFormat="false" ht="15" hidden="false" customHeight="false" outlineLevel="0" collapsed="false">
      <c r="A15003" s="0" t="e">
        <f aca="false">ODDFPRICE(DATE(2024,2,15),DATE(2027,7,1),DATE(2024,1,1),DATE(2024,7,1),0,0.05,100,1,1)</f>
        <v>#VALUE!</v>
      </c>
      <c r="B15003" s="0" t="s">
        <v>14849</v>
      </c>
    </row>
    <row r="15004" customFormat="false" ht="15" hidden="false" customHeight="false" outlineLevel="0" collapsed="false">
      <c r="A15004" s="0" t="e">
        <f aca="false">ODDFYIELD(DATE(2024,2,15),DATE(2027,7,1),DATE(2024,1,1),DATE(2024,7,1),0.05,95,100,1,1)</f>
        <v>#VALUE!</v>
      </c>
      <c r="B15004" s="0" t="s">
        <v>14850</v>
      </c>
    </row>
    <row r="15005" customFormat="false" ht="15" hidden="false" customHeight="false" outlineLevel="0" collapsed="false">
      <c r="A15005" s="0" t="e">
        <f aca="false">ODDFYIELD(DATE(2024,2,15),DATE(2027,7,1),DATE(2024,1,1),DATE(2024,7,1),0.1,101.5,100,1,1)</f>
        <v>#VALUE!</v>
      </c>
      <c r="B15005" s="0" t="s">
        <v>14851</v>
      </c>
    </row>
    <row r="15006" customFormat="false" ht="15" hidden="false" customHeight="false" outlineLevel="0" collapsed="false">
      <c r="A15006" s="0" t="e">
        <f aca="false">ODDFYIELD(DATE(2024,2,15),DATE(2027,7,1),DATE(2024,1,1),DATE(2024,7,1),0.05,100,100,1,1)</f>
        <v>#VALUE!</v>
      </c>
      <c r="B15006" s="0" t="s">
        <v>14852</v>
      </c>
    </row>
    <row r="15007" customFormat="false" ht="15" hidden="false" customHeight="false" outlineLevel="0" collapsed="false">
      <c r="A15007" s="0" t="e">
        <f aca="false">ODDFPRICE(DATE(2024,2,15),DATE(2027,7,1),DATE(2024,1,1),DATE(2024,7,1),0.05,0.08,100,1,2)</f>
        <v>#VALUE!</v>
      </c>
      <c r="B15007" s="0" t="s">
        <v>14853</v>
      </c>
    </row>
    <row r="15008" customFormat="false" ht="15" hidden="false" customHeight="false" outlineLevel="0" collapsed="false">
      <c r="A15008" s="0" t="e">
        <f aca="false">ODDFPRICE(DATE(2024,2,15),DATE(2027,7,1),DATE(2024,1,1),DATE(2024,7,1),0.1,0.03,105,1,2)</f>
        <v>#VALUE!</v>
      </c>
      <c r="B15008" s="0" t="s">
        <v>14854</v>
      </c>
    </row>
    <row r="15009" customFormat="false" ht="15" hidden="false" customHeight="false" outlineLevel="0" collapsed="false">
      <c r="A15009" s="0" t="e">
        <f aca="false">ODDFPRICE(DATE(2024,2,15),DATE(2027,7,1),DATE(2024,1,1),DATE(2024,7,1),0,0.05,100,1,2)</f>
        <v>#VALUE!</v>
      </c>
      <c r="B15009" s="0" t="s">
        <v>14855</v>
      </c>
    </row>
    <row r="15010" customFormat="false" ht="15" hidden="false" customHeight="false" outlineLevel="0" collapsed="false">
      <c r="A15010" s="0" t="e">
        <f aca="false">ODDFYIELD(DATE(2024,2,15),DATE(2027,7,1),DATE(2024,1,1),DATE(2024,7,1),0.05,95,100,1,2)</f>
        <v>#VALUE!</v>
      </c>
      <c r="B15010" s="0" t="s">
        <v>14856</v>
      </c>
    </row>
    <row r="15011" customFormat="false" ht="15" hidden="false" customHeight="false" outlineLevel="0" collapsed="false">
      <c r="A15011" s="0" t="e">
        <f aca="false">ODDFYIELD(DATE(2024,2,15),DATE(2027,7,1),DATE(2024,1,1),DATE(2024,7,1),0.1,101.5,100,1,2)</f>
        <v>#VALUE!</v>
      </c>
      <c r="B15011" s="0" t="s">
        <v>14857</v>
      </c>
    </row>
    <row r="15012" customFormat="false" ht="15" hidden="false" customHeight="false" outlineLevel="0" collapsed="false">
      <c r="A15012" s="0" t="e">
        <f aca="false">ODDFYIELD(DATE(2024,2,15),DATE(2027,7,1),DATE(2024,1,1),DATE(2024,7,1),0.05,100,100,1,2)</f>
        <v>#VALUE!</v>
      </c>
      <c r="B15012" s="0" t="s">
        <v>14858</v>
      </c>
    </row>
    <row r="15013" customFormat="false" ht="15" hidden="false" customHeight="false" outlineLevel="0" collapsed="false">
      <c r="A15013" s="0" t="e">
        <f aca="false">ODDFPRICE(DATE(2024,2,15),DATE(2027,7,1),DATE(2024,1,1),DATE(2024,7,1),0.05,0.08,100,1,3)</f>
        <v>#VALUE!</v>
      </c>
      <c r="B15013" s="0" t="s">
        <v>14859</v>
      </c>
    </row>
    <row r="15014" customFormat="false" ht="15" hidden="false" customHeight="false" outlineLevel="0" collapsed="false">
      <c r="A15014" s="0" t="e">
        <f aca="false">ODDFPRICE(DATE(2024,2,15),DATE(2027,7,1),DATE(2024,1,1),DATE(2024,7,1),0.1,0.03,105,1,3)</f>
        <v>#VALUE!</v>
      </c>
      <c r="B15014" s="0" t="s">
        <v>14860</v>
      </c>
    </row>
    <row r="15015" customFormat="false" ht="15" hidden="false" customHeight="false" outlineLevel="0" collapsed="false">
      <c r="A15015" s="0" t="e">
        <f aca="false">ODDFPRICE(DATE(2024,2,15),DATE(2027,7,1),DATE(2024,1,1),DATE(2024,7,1),0,0.05,100,1,3)</f>
        <v>#VALUE!</v>
      </c>
      <c r="B15015" s="0" t="s">
        <v>14861</v>
      </c>
    </row>
    <row r="15016" customFormat="false" ht="15" hidden="false" customHeight="false" outlineLevel="0" collapsed="false">
      <c r="A15016" s="0" t="e">
        <f aca="false">ODDFYIELD(DATE(2024,2,15),DATE(2027,7,1),DATE(2024,1,1),DATE(2024,7,1),0.05,95,100,1,3)</f>
        <v>#VALUE!</v>
      </c>
      <c r="B15016" s="0" t="s">
        <v>14862</v>
      </c>
    </row>
    <row r="15017" customFormat="false" ht="15" hidden="false" customHeight="false" outlineLevel="0" collapsed="false">
      <c r="A15017" s="0" t="e">
        <f aca="false">ODDFYIELD(DATE(2024,2,15),DATE(2027,7,1),DATE(2024,1,1),DATE(2024,7,1),0.1,101.5,100,1,3)</f>
        <v>#VALUE!</v>
      </c>
      <c r="B15017" s="0" t="s">
        <v>14863</v>
      </c>
    </row>
    <row r="15018" customFormat="false" ht="15" hidden="false" customHeight="false" outlineLevel="0" collapsed="false">
      <c r="A15018" s="0" t="e">
        <f aca="false">ODDFYIELD(DATE(2024,2,15),DATE(2027,7,1),DATE(2024,1,1),DATE(2024,7,1),0.05,100,100,1,3)</f>
        <v>#VALUE!</v>
      </c>
      <c r="B15018" s="0" t="s">
        <v>14864</v>
      </c>
    </row>
    <row r="15019" customFormat="false" ht="15" hidden="false" customHeight="false" outlineLevel="0" collapsed="false">
      <c r="A15019" s="0" t="e">
        <f aca="false">ODDFPRICE(DATE(2024,2,15),DATE(2027,7,1),DATE(2024,1,1),DATE(2024,7,1),0.05,0.08,100,1,4)</f>
        <v>#VALUE!</v>
      </c>
      <c r="B15019" s="0" t="s">
        <v>14865</v>
      </c>
    </row>
    <row r="15020" customFormat="false" ht="15" hidden="false" customHeight="false" outlineLevel="0" collapsed="false">
      <c r="A15020" s="0" t="e">
        <f aca="false">ODDFPRICE(DATE(2024,2,15),DATE(2027,7,1),DATE(2024,1,1),DATE(2024,7,1),0.1,0.03,105,1,4)</f>
        <v>#VALUE!</v>
      </c>
      <c r="B15020" s="0" t="s">
        <v>14866</v>
      </c>
    </row>
    <row r="15021" customFormat="false" ht="15" hidden="false" customHeight="false" outlineLevel="0" collapsed="false">
      <c r="A15021" s="0" t="e">
        <f aca="false">ODDFPRICE(DATE(2024,2,15),DATE(2027,7,1),DATE(2024,1,1),DATE(2024,7,1),0,0.05,100,1,4)</f>
        <v>#VALUE!</v>
      </c>
      <c r="B15021" s="0" t="s">
        <v>14867</v>
      </c>
    </row>
    <row r="15022" customFormat="false" ht="15" hidden="false" customHeight="false" outlineLevel="0" collapsed="false">
      <c r="A15022" s="0" t="e">
        <f aca="false">ODDFYIELD(DATE(2024,2,15),DATE(2027,7,1),DATE(2024,1,1),DATE(2024,7,1),0.05,95,100,1,4)</f>
        <v>#VALUE!</v>
      </c>
      <c r="B15022" s="0" t="s">
        <v>14868</v>
      </c>
    </row>
    <row r="15023" customFormat="false" ht="15" hidden="false" customHeight="false" outlineLevel="0" collapsed="false">
      <c r="A15023" s="0" t="e">
        <f aca="false">ODDFYIELD(DATE(2024,2,15),DATE(2027,7,1),DATE(2024,1,1),DATE(2024,7,1),0.1,101.5,100,1,4)</f>
        <v>#VALUE!</v>
      </c>
      <c r="B15023" s="0" t="s">
        <v>14869</v>
      </c>
    </row>
    <row r="15024" customFormat="false" ht="15" hidden="false" customHeight="false" outlineLevel="0" collapsed="false">
      <c r="A15024" s="0" t="e">
        <f aca="false">ODDFYIELD(DATE(2024,2,15),DATE(2027,7,1),DATE(2024,1,1),DATE(2024,7,1),0.05,100,100,1,4)</f>
        <v>#VALUE!</v>
      </c>
      <c r="B15024" s="0" t="s">
        <v>14870</v>
      </c>
    </row>
    <row r="15025" customFormat="false" ht="15" hidden="false" customHeight="false" outlineLevel="0" collapsed="false">
      <c r="A15025" s="0" t="e">
        <f aca="false">ODDFPRICE(DATE(2024,2,15),DATE(2027,7,1),DATE(2024,1,1),DATE(2024,7,1),0.05,0.08,100,2,0)</f>
        <v>#VALUE!</v>
      </c>
      <c r="B15025" s="0" t="s">
        <v>14871</v>
      </c>
    </row>
    <row r="15026" customFormat="false" ht="15" hidden="false" customHeight="false" outlineLevel="0" collapsed="false">
      <c r="A15026" s="0" t="e">
        <f aca="false">ODDFPRICE(DATE(2024,2,15),DATE(2027,7,1),DATE(2024,1,1),DATE(2024,7,1),0.1,0.03,105,2,0)</f>
        <v>#VALUE!</v>
      </c>
      <c r="B15026" s="0" t="s">
        <v>14872</v>
      </c>
    </row>
    <row r="15027" customFormat="false" ht="15" hidden="false" customHeight="false" outlineLevel="0" collapsed="false">
      <c r="A15027" s="0" t="e">
        <f aca="false">ODDFPRICE(DATE(2024,2,15),DATE(2027,7,1),DATE(2024,1,1),DATE(2024,7,1),0,0.05,100,2,0)</f>
        <v>#VALUE!</v>
      </c>
      <c r="B15027" s="0" t="s">
        <v>14873</v>
      </c>
    </row>
    <row r="15028" customFormat="false" ht="15" hidden="false" customHeight="false" outlineLevel="0" collapsed="false">
      <c r="A15028" s="0" t="e">
        <f aca="false">ODDFYIELD(DATE(2024,2,15),DATE(2027,7,1),DATE(2024,1,1),DATE(2024,7,1),0.05,95,100,2,0)</f>
        <v>#VALUE!</v>
      </c>
      <c r="B15028" s="0" t="s">
        <v>14874</v>
      </c>
    </row>
    <row r="15029" customFormat="false" ht="15" hidden="false" customHeight="false" outlineLevel="0" collapsed="false">
      <c r="A15029" s="0" t="e">
        <f aca="false">ODDFYIELD(DATE(2024,2,15),DATE(2027,7,1),DATE(2024,1,1),DATE(2024,7,1),0.1,101.5,100,2,0)</f>
        <v>#VALUE!</v>
      </c>
      <c r="B15029" s="0" t="s">
        <v>14875</v>
      </c>
    </row>
    <row r="15030" customFormat="false" ht="15" hidden="false" customHeight="false" outlineLevel="0" collapsed="false">
      <c r="A15030" s="0" t="e">
        <f aca="false">ODDFYIELD(DATE(2024,2,15),DATE(2027,7,1),DATE(2024,1,1),DATE(2024,7,1),0.05,100,100,2,0)</f>
        <v>#VALUE!</v>
      </c>
      <c r="B15030" s="0" t="s">
        <v>14876</v>
      </c>
    </row>
    <row r="15031" customFormat="false" ht="15" hidden="false" customHeight="false" outlineLevel="0" collapsed="false">
      <c r="A15031" s="0" t="e">
        <f aca="false">ODDFPRICE(DATE(2024,2,15),DATE(2027,7,1),DATE(2024,1,1),DATE(2024,7,1),0.05,0.08,100,2,1)</f>
        <v>#VALUE!</v>
      </c>
      <c r="B15031" s="0" t="s">
        <v>14877</v>
      </c>
    </row>
    <row r="15032" customFormat="false" ht="15" hidden="false" customHeight="false" outlineLevel="0" collapsed="false">
      <c r="A15032" s="0" t="e">
        <f aca="false">ODDFPRICE(DATE(2024,2,15),DATE(2027,7,1),DATE(2024,1,1),DATE(2024,7,1),0.1,0.03,105,2,1)</f>
        <v>#VALUE!</v>
      </c>
      <c r="B15032" s="0" t="s">
        <v>14878</v>
      </c>
    </row>
    <row r="15033" customFormat="false" ht="15" hidden="false" customHeight="false" outlineLevel="0" collapsed="false">
      <c r="A15033" s="0" t="e">
        <f aca="false">ODDFPRICE(DATE(2024,2,15),DATE(2027,7,1),DATE(2024,1,1),DATE(2024,7,1),0,0.05,100,2,1)</f>
        <v>#VALUE!</v>
      </c>
      <c r="B15033" s="0" t="s">
        <v>14879</v>
      </c>
    </row>
    <row r="15034" customFormat="false" ht="15" hidden="false" customHeight="false" outlineLevel="0" collapsed="false">
      <c r="A15034" s="0" t="e">
        <f aca="false">ODDFYIELD(DATE(2024,2,15),DATE(2027,7,1),DATE(2024,1,1),DATE(2024,7,1),0.05,95,100,2,1)</f>
        <v>#VALUE!</v>
      </c>
      <c r="B15034" s="0" t="s">
        <v>14880</v>
      </c>
    </row>
    <row r="15035" customFormat="false" ht="15" hidden="false" customHeight="false" outlineLevel="0" collapsed="false">
      <c r="A15035" s="0" t="e">
        <f aca="false">ODDFYIELD(DATE(2024,2,15),DATE(2027,7,1),DATE(2024,1,1),DATE(2024,7,1),0.1,101.5,100,2,1)</f>
        <v>#VALUE!</v>
      </c>
      <c r="B15035" s="0" t="s">
        <v>14881</v>
      </c>
    </row>
    <row r="15036" customFormat="false" ht="15" hidden="false" customHeight="false" outlineLevel="0" collapsed="false">
      <c r="A15036" s="0" t="e">
        <f aca="false">ODDFYIELD(DATE(2024,2,15),DATE(2027,7,1),DATE(2024,1,1),DATE(2024,7,1),0.05,100,100,2,1)</f>
        <v>#VALUE!</v>
      </c>
      <c r="B15036" s="0" t="s">
        <v>14882</v>
      </c>
    </row>
    <row r="15037" customFormat="false" ht="15" hidden="false" customHeight="false" outlineLevel="0" collapsed="false">
      <c r="A15037" s="0" t="e">
        <f aca="false">ODDFPRICE(DATE(2024,2,15),DATE(2027,7,1),DATE(2024,1,1),DATE(2024,7,1),0.05,0.08,100,2,2)</f>
        <v>#VALUE!</v>
      </c>
      <c r="B15037" s="0" t="s">
        <v>14883</v>
      </c>
    </row>
    <row r="15038" customFormat="false" ht="15" hidden="false" customHeight="false" outlineLevel="0" collapsed="false">
      <c r="A15038" s="0" t="e">
        <f aca="false">ODDFPRICE(DATE(2024,2,15),DATE(2027,7,1),DATE(2024,1,1),DATE(2024,7,1),0.1,0.03,105,2,2)</f>
        <v>#VALUE!</v>
      </c>
      <c r="B15038" s="0" t="s">
        <v>14884</v>
      </c>
    </row>
    <row r="15039" customFormat="false" ht="15" hidden="false" customHeight="false" outlineLevel="0" collapsed="false">
      <c r="A15039" s="0" t="e">
        <f aca="false">ODDFPRICE(DATE(2024,2,15),DATE(2027,7,1),DATE(2024,1,1),DATE(2024,7,1),0,0.05,100,2,2)</f>
        <v>#VALUE!</v>
      </c>
      <c r="B15039" s="0" t="s">
        <v>14885</v>
      </c>
    </row>
    <row r="15040" customFormat="false" ht="15" hidden="false" customHeight="false" outlineLevel="0" collapsed="false">
      <c r="A15040" s="0" t="e">
        <f aca="false">ODDFYIELD(DATE(2024,2,15),DATE(2027,7,1),DATE(2024,1,1),DATE(2024,7,1),0.05,95,100,2,2)</f>
        <v>#VALUE!</v>
      </c>
      <c r="B15040" s="0" t="s">
        <v>14886</v>
      </c>
    </row>
    <row r="15041" customFormat="false" ht="15" hidden="false" customHeight="false" outlineLevel="0" collapsed="false">
      <c r="A15041" s="0" t="e">
        <f aca="false">ODDFYIELD(DATE(2024,2,15),DATE(2027,7,1),DATE(2024,1,1),DATE(2024,7,1),0.1,101.5,100,2,2)</f>
        <v>#VALUE!</v>
      </c>
      <c r="B15041" s="0" t="s">
        <v>14887</v>
      </c>
    </row>
    <row r="15042" customFormat="false" ht="15" hidden="false" customHeight="false" outlineLevel="0" collapsed="false">
      <c r="A15042" s="0" t="e">
        <f aca="false">ODDFYIELD(DATE(2024,2,15),DATE(2027,7,1),DATE(2024,1,1),DATE(2024,7,1),0.05,100,100,2,2)</f>
        <v>#VALUE!</v>
      </c>
      <c r="B15042" s="0" t="s">
        <v>14888</v>
      </c>
    </row>
    <row r="15043" customFormat="false" ht="15" hidden="false" customHeight="false" outlineLevel="0" collapsed="false">
      <c r="A15043" s="0" t="e">
        <f aca="false">ODDFPRICE(DATE(2024,2,15),DATE(2027,7,1),DATE(2024,1,1),DATE(2024,7,1),0.05,0.08,100,2,3)</f>
        <v>#VALUE!</v>
      </c>
      <c r="B15043" s="0" t="s">
        <v>14889</v>
      </c>
    </row>
    <row r="15044" customFormat="false" ht="15" hidden="false" customHeight="false" outlineLevel="0" collapsed="false">
      <c r="A15044" s="0" t="e">
        <f aca="false">ODDFPRICE(DATE(2024,2,15),DATE(2027,7,1),DATE(2024,1,1),DATE(2024,7,1),0.1,0.03,105,2,3)</f>
        <v>#VALUE!</v>
      </c>
      <c r="B15044" s="0" t="s">
        <v>14890</v>
      </c>
    </row>
    <row r="15045" customFormat="false" ht="15" hidden="false" customHeight="false" outlineLevel="0" collapsed="false">
      <c r="A15045" s="0" t="e">
        <f aca="false">ODDFPRICE(DATE(2024,2,15),DATE(2027,7,1),DATE(2024,1,1),DATE(2024,7,1),0,0.05,100,2,3)</f>
        <v>#VALUE!</v>
      </c>
      <c r="B15045" s="0" t="s">
        <v>14891</v>
      </c>
    </row>
    <row r="15046" customFormat="false" ht="15" hidden="false" customHeight="false" outlineLevel="0" collapsed="false">
      <c r="A15046" s="0" t="e">
        <f aca="false">ODDFYIELD(DATE(2024,2,15),DATE(2027,7,1),DATE(2024,1,1),DATE(2024,7,1),0.05,95,100,2,3)</f>
        <v>#VALUE!</v>
      </c>
      <c r="B15046" s="0" t="s">
        <v>14892</v>
      </c>
    </row>
    <row r="15047" customFormat="false" ht="15" hidden="false" customHeight="false" outlineLevel="0" collapsed="false">
      <c r="A15047" s="0" t="e">
        <f aca="false">ODDFYIELD(DATE(2024,2,15),DATE(2027,7,1),DATE(2024,1,1),DATE(2024,7,1),0.1,101.5,100,2,3)</f>
        <v>#VALUE!</v>
      </c>
      <c r="B15047" s="0" t="s">
        <v>14893</v>
      </c>
    </row>
    <row r="15048" customFormat="false" ht="15" hidden="false" customHeight="false" outlineLevel="0" collapsed="false">
      <c r="A15048" s="0" t="e">
        <f aca="false">ODDFYIELD(DATE(2024,2,15),DATE(2027,7,1),DATE(2024,1,1),DATE(2024,7,1),0.05,100,100,2,3)</f>
        <v>#VALUE!</v>
      </c>
      <c r="B15048" s="0" t="s">
        <v>14894</v>
      </c>
    </row>
    <row r="15049" customFormat="false" ht="15" hidden="false" customHeight="false" outlineLevel="0" collapsed="false">
      <c r="A15049" s="0" t="e">
        <f aca="false">ODDFPRICE(DATE(2024,2,15),DATE(2027,7,1),DATE(2024,1,1),DATE(2024,7,1),0.05,0.08,100,2,4)</f>
        <v>#VALUE!</v>
      </c>
      <c r="B15049" s="0" t="s">
        <v>14895</v>
      </c>
    </row>
    <row r="15050" customFormat="false" ht="15" hidden="false" customHeight="false" outlineLevel="0" collapsed="false">
      <c r="A15050" s="0" t="e">
        <f aca="false">ODDFPRICE(DATE(2024,2,15),DATE(2027,7,1),DATE(2024,1,1),DATE(2024,7,1),0.1,0.03,105,2,4)</f>
        <v>#VALUE!</v>
      </c>
      <c r="B15050" s="0" t="s">
        <v>14896</v>
      </c>
    </row>
    <row r="15051" customFormat="false" ht="15" hidden="false" customHeight="false" outlineLevel="0" collapsed="false">
      <c r="A15051" s="0" t="e">
        <f aca="false">ODDFPRICE(DATE(2024,2,15),DATE(2027,7,1),DATE(2024,1,1),DATE(2024,7,1),0,0.05,100,2,4)</f>
        <v>#VALUE!</v>
      </c>
      <c r="B15051" s="0" t="s">
        <v>14897</v>
      </c>
    </row>
    <row r="15052" customFormat="false" ht="15" hidden="false" customHeight="false" outlineLevel="0" collapsed="false">
      <c r="A15052" s="0" t="e">
        <f aca="false">ODDFYIELD(DATE(2024,2,15),DATE(2027,7,1),DATE(2024,1,1),DATE(2024,7,1),0.05,95,100,2,4)</f>
        <v>#VALUE!</v>
      </c>
      <c r="B15052" s="0" t="s">
        <v>14898</v>
      </c>
    </row>
    <row r="15053" customFormat="false" ht="15" hidden="false" customHeight="false" outlineLevel="0" collapsed="false">
      <c r="A15053" s="0" t="e">
        <f aca="false">ODDFYIELD(DATE(2024,2,15),DATE(2027,7,1),DATE(2024,1,1),DATE(2024,7,1),0.1,101.5,100,2,4)</f>
        <v>#VALUE!</v>
      </c>
      <c r="B15053" s="0" t="s">
        <v>14899</v>
      </c>
    </row>
    <row r="15054" customFormat="false" ht="15" hidden="false" customHeight="false" outlineLevel="0" collapsed="false">
      <c r="A15054" s="0" t="e">
        <f aca="false">ODDFYIELD(DATE(2024,2,15),DATE(2027,7,1),DATE(2024,1,1),DATE(2024,7,1),0.05,100,100,2,4)</f>
        <v>#VALUE!</v>
      </c>
      <c r="B15054" s="0" t="s">
        <v>14900</v>
      </c>
    </row>
    <row r="15055" customFormat="false" ht="15" hidden="false" customHeight="false" outlineLevel="0" collapsed="false">
      <c r="A15055" s="0" t="e">
        <f aca="false">ODDFPRICE(DATE(2024,2,15),DATE(2027,7,1),DATE(2024,1,1),DATE(2024,7,1),0.05,0.08,100,4,0)</f>
        <v>#VALUE!</v>
      </c>
      <c r="B15055" s="0" t="s">
        <v>14901</v>
      </c>
    </row>
    <row r="15056" customFormat="false" ht="15" hidden="false" customHeight="false" outlineLevel="0" collapsed="false">
      <c r="A15056" s="0" t="e">
        <f aca="false">ODDFPRICE(DATE(2024,2,15),DATE(2027,7,1),DATE(2024,1,1),DATE(2024,7,1),0.1,0.03,105,4,0)</f>
        <v>#VALUE!</v>
      </c>
      <c r="B15056" s="0" t="s">
        <v>14902</v>
      </c>
    </row>
    <row r="15057" customFormat="false" ht="15" hidden="false" customHeight="false" outlineLevel="0" collapsed="false">
      <c r="A15057" s="0" t="e">
        <f aca="false">ODDFPRICE(DATE(2024,2,15),DATE(2027,7,1),DATE(2024,1,1),DATE(2024,7,1),0,0.05,100,4,0)</f>
        <v>#VALUE!</v>
      </c>
      <c r="B15057" s="0" t="s">
        <v>14903</v>
      </c>
    </row>
    <row r="15058" customFormat="false" ht="15" hidden="false" customHeight="false" outlineLevel="0" collapsed="false">
      <c r="A15058" s="0" t="e">
        <f aca="false">ODDFYIELD(DATE(2024,2,15),DATE(2027,7,1),DATE(2024,1,1),DATE(2024,7,1),0.05,95,100,4,0)</f>
        <v>#VALUE!</v>
      </c>
      <c r="B15058" s="0" t="s">
        <v>14904</v>
      </c>
    </row>
    <row r="15059" customFormat="false" ht="15" hidden="false" customHeight="false" outlineLevel="0" collapsed="false">
      <c r="A15059" s="0" t="e">
        <f aca="false">ODDFYIELD(DATE(2024,2,15),DATE(2027,7,1),DATE(2024,1,1),DATE(2024,7,1),0.1,101.5,100,4,0)</f>
        <v>#VALUE!</v>
      </c>
      <c r="B15059" s="0" t="s">
        <v>14905</v>
      </c>
    </row>
    <row r="15060" customFormat="false" ht="15" hidden="false" customHeight="false" outlineLevel="0" collapsed="false">
      <c r="A15060" s="0" t="e">
        <f aca="false">ODDFYIELD(DATE(2024,2,15),DATE(2027,7,1),DATE(2024,1,1),DATE(2024,7,1),0.05,100,100,4,0)</f>
        <v>#VALUE!</v>
      </c>
      <c r="B15060" s="0" t="s">
        <v>14906</v>
      </c>
    </row>
    <row r="15061" customFormat="false" ht="15" hidden="false" customHeight="false" outlineLevel="0" collapsed="false">
      <c r="A15061" s="0" t="e">
        <f aca="false">ODDFPRICE(DATE(2024,2,15),DATE(2027,7,1),DATE(2024,1,1),DATE(2024,7,1),0.05,0.08,100,4,1)</f>
        <v>#VALUE!</v>
      </c>
      <c r="B15061" s="0" t="s">
        <v>14907</v>
      </c>
    </row>
    <row r="15062" customFormat="false" ht="15" hidden="false" customHeight="false" outlineLevel="0" collapsed="false">
      <c r="A15062" s="0" t="e">
        <f aca="false">ODDFPRICE(DATE(2024,2,15),DATE(2027,7,1),DATE(2024,1,1),DATE(2024,7,1),0.1,0.03,105,4,1)</f>
        <v>#VALUE!</v>
      </c>
      <c r="B15062" s="0" t="s">
        <v>14908</v>
      </c>
    </row>
    <row r="15063" customFormat="false" ht="15" hidden="false" customHeight="false" outlineLevel="0" collapsed="false">
      <c r="A15063" s="0" t="e">
        <f aca="false">ODDFPRICE(DATE(2024,2,15),DATE(2027,7,1),DATE(2024,1,1),DATE(2024,7,1),0,0.05,100,4,1)</f>
        <v>#VALUE!</v>
      </c>
      <c r="B15063" s="0" t="s">
        <v>14909</v>
      </c>
    </row>
    <row r="15064" customFormat="false" ht="15" hidden="false" customHeight="false" outlineLevel="0" collapsed="false">
      <c r="A15064" s="0" t="e">
        <f aca="false">ODDFYIELD(DATE(2024,2,15),DATE(2027,7,1),DATE(2024,1,1),DATE(2024,7,1),0.05,95,100,4,1)</f>
        <v>#VALUE!</v>
      </c>
      <c r="B15064" s="0" t="s">
        <v>14910</v>
      </c>
    </row>
    <row r="15065" customFormat="false" ht="15" hidden="false" customHeight="false" outlineLevel="0" collapsed="false">
      <c r="A15065" s="0" t="e">
        <f aca="false">ODDFYIELD(DATE(2024,2,15),DATE(2027,7,1),DATE(2024,1,1),DATE(2024,7,1),0.1,101.5,100,4,1)</f>
        <v>#VALUE!</v>
      </c>
      <c r="B15065" s="0" t="s">
        <v>14911</v>
      </c>
    </row>
    <row r="15066" customFormat="false" ht="15" hidden="false" customHeight="false" outlineLevel="0" collapsed="false">
      <c r="A15066" s="0" t="e">
        <f aca="false">ODDFYIELD(DATE(2024,2,15),DATE(2027,7,1),DATE(2024,1,1),DATE(2024,7,1),0.05,100,100,4,1)</f>
        <v>#VALUE!</v>
      </c>
      <c r="B15066" s="0" t="s">
        <v>14912</v>
      </c>
    </row>
    <row r="15067" customFormat="false" ht="15" hidden="false" customHeight="false" outlineLevel="0" collapsed="false">
      <c r="A15067" s="0" t="e">
        <f aca="false">ODDFPRICE(DATE(2024,2,15),DATE(2027,7,1),DATE(2024,1,1),DATE(2024,7,1),0.05,0.08,100,4,2)</f>
        <v>#VALUE!</v>
      </c>
      <c r="B15067" s="0" t="s">
        <v>14913</v>
      </c>
    </row>
    <row r="15068" customFormat="false" ht="15" hidden="false" customHeight="false" outlineLevel="0" collapsed="false">
      <c r="A15068" s="0" t="e">
        <f aca="false">ODDFPRICE(DATE(2024,2,15),DATE(2027,7,1),DATE(2024,1,1),DATE(2024,7,1),0.1,0.03,105,4,2)</f>
        <v>#VALUE!</v>
      </c>
      <c r="B15068" s="0" t="s">
        <v>14914</v>
      </c>
    </row>
    <row r="15069" customFormat="false" ht="15" hidden="false" customHeight="false" outlineLevel="0" collapsed="false">
      <c r="A15069" s="0" t="e">
        <f aca="false">ODDFPRICE(DATE(2024,2,15),DATE(2027,7,1),DATE(2024,1,1),DATE(2024,7,1),0,0.05,100,4,2)</f>
        <v>#VALUE!</v>
      </c>
      <c r="B15069" s="0" t="s">
        <v>14915</v>
      </c>
    </row>
    <row r="15070" customFormat="false" ht="15" hidden="false" customHeight="false" outlineLevel="0" collapsed="false">
      <c r="A15070" s="0" t="e">
        <f aca="false">ODDFYIELD(DATE(2024,2,15),DATE(2027,7,1),DATE(2024,1,1),DATE(2024,7,1),0.05,95,100,4,2)</f>
        <v>#VALUE!</v>
      </c>
      <c r="B15070" s="0" t="s">
        <v>14916</v>
      </c>
    </row>
    <row r="15071" customFormat="false" ht="15" hidden="false" customHeight="false" outlineLevel="0" collapsed="false">
      <c r="A15071" s="0" t="e">
        <f aca="false">ODDFYIELD(DATE(2024,2,15),DATE(2027,7,1),DATE(2024,1,1),DATE(2024,7,1),0.1,101.5,100,4,2)</f>
        <v>#VALUE!</v>
      </c>
      <c r="B15071" s="0" t="s">
        <v>14917</v>
      </c>
    </row>
    <row r="15072" customFormat="false" ht="15" hidden="false" customHeight="false" outlineLevel="0" collapsed="false">
      <c r="A15072" s="0" t="e">
        <f aca="false">ODDFYIELD(DATE(2024,2,15),DATE(2027,7,1),DATE(2024,1,1),DATE(2024,7,1),0.05,100,100,4,2)</f>
        <v>#VALUE!</v>
      </c>
      <c r="B15072" s="0" t="s">
        <v>14918</v>
      </c>
    </row>
    <row r="15073" customFormat="false" ht="15" hidden="false" customHeight="false" outlineLevel="0" collapsed="false">
      <c r="A15073" s="0" t="e">
        <f aca="false">ODDFPRICE(DATE(2024,2,15),DATE(2027,7,1),DATE(2024,1,1),DATE(2024,7,1),0.05,0.08,100,4,3)</f>
        <v>#VALUE!</v>
      </c>
      <c r="B15073" s="0" t="s">
        <v>14919</v>
      </c>
    </row>
    <row r="15074" customFormat="false" ht="15" hidden="false" customHeight="false" outlineLevel="0" collapsed="false">
      <c r="A15074" s="0" t="e">
        <f aca="false">ODDFPRICE(DATE(2024,2,15),DATE(2027,7,1),DATE(2024,1,1),DATE(2024,7,1),0.1,0.03,105,4,3)</f>
        <v>#VALUE!</v>
      </c>
      <c r="B15074" s="0" t="s">
        <v>14920</v>
      </c>
    </row>
    <row r="15075" customFormat="false" ht="15" hidden="false" customHeight="false" outlineLevel="0" collapsed="false">
      <c r="A15075" s="0" t="e">
        <f aca="false">ODDFPRICE(DATE(2024,2,15),DATE(2027,7,1),DATE(2024,1,1),DATE(2024,7,1),0,0.05,100,4,3)</f>
        <v>#VALUE!</v>
      </c>
      <c r="B15075" s="0" t="s">
        <v>14921</v>
      </c>
    </row>
    <row r="15076" customFormat="false" ht="15" hidden="false" customHeight="false" outlineLevel="0" collapsed="false">
      <c r="A15076" s="0" t="e">
        <f aca="false">ODDFYIELD(DATE(2024,2,15),DATE(2027,7,1),DATE(2024,1,1),DATE(2024,7,1),0.05,95,100,4,3)</f>
        <v>#VALUE!</v>
      </c>
      <c r="B15076" s="0" t="s">
        <v>14922</v>
      </c>
    </row>
    <row r="15077" customFormat="false" ht="15" hidden="false" customHeight="false" outlineLevel="0" collapsed="false">
      <c r="A15077" s="0" t="e">
        <f aca="false">ODDFYIELD(DATE(2024,2,15),DATE(2027,7,1),DATE(2024,1,1),DATE(2024,7,1),0.1,101.5,100,4,3)</f>
        <v>#VALUE!</v>
      </c>
      <c r="B15077" s="0" t="s">
        <v>14923</v>
      </c>
    </row>
    <row r="15078" customFormat="false" ht="15" hidden="false" customHeight="false" outlineLevel="0" collapsed="false">
      <c r="A15078" s="0" t="e">
        <f aca="false">ODDFYIELD(DATE(2024,2,15),DATE(2027,7,1),DATE(2024,1,1),DATE(2024,7,1),0.05,100,100,4,3)</f>
        <v>#VALUE!</v>
      </c>
      <c r="B15078" s="0" t="s">
        <v>14924</v>
      </c>
    </row>
    <row r="15079" customFormat="false" ht="15" hidden="false" customHeight="false" outlineLevel="0" collapsed="false">
      <c r="A15079" s="0" t="e">
        <f aca="false">ODDFPRICE(DATE(2024,2,15),DATE(2027,7,1),DATE(2024,1,1),DATE(2024,7,1),0.05,0.08,100,4,4)</f>
        <v>#VALUE!</v>
      </c>
      <c r="B15079" s="0" t="s">
        <v>14925</v>
      </c>
    </row>
    <row r="15080" customFormat="false" ht="15" hidden="false" customHeight="false" outlineLevel="0" collapsed="false">
      <c r="A15080" s="0" t="e">
        <f aca="false">ODDFPRICE(DATE(2024,2,15),DATE(2027,7,1),DATE(2024,1,1),DATE(2024,7,1),0.1,0.03,105,4,4)</f>
        <v>#VALUE!</v>
      </c>
      <c r="B15080" s="0" t="s">
        <v>14926</v>
      </c>
    </row>
    <row r="15081" customFormat="false" ht="15" hidden="false" customHeight="false" outlineLevel="0" collapsed="false">
      <c r="A15081" s="0" t="e">
        <f aca="false">ODDFPRICE(DATE(2024,2,15),DATE(2027,7,1),DATE(2024,1,1),DATE(2024,7,1),0,0.05,100,4,4)</f>
        <v>#VALUE!</v>
      </c>
      <c r="B15081" s="0" t="s">
        <v>14927</v>
      </c>
    </row>
    <row r="15082" customFormat="false" ht="15" hidden="false" customHeight="false" outlineLevel="0" collapsed="false">
      <c r="A15082" s="0" t="e">
        <f aca="false">ODDFYIELD(DATE(2024,2,15),DATE(2027,7,1),DATE(2024,1,1),DATE(2024,7,1),0.05,95,100,4,4)</f>
        <v>#VALUE!</v>
      </c>
      <c r="B15082" s="0" t="s">
        <v>14928</v>
      </c>
    </row>
    <row r="15083" customFormat="false" ht="15" hidden="false" customHeight="false" outlineLevel="0" collapsed="false">
      <c r="A15083" s="0" t="e">
        <f aca="false">ODDFYIELD(DATE(2024,2,15),DATE(2027,7,1),DATE(2024,1,1),DATE(2024,7,1),0.1,101.5,100,4,4)</f>
        <v>#VALUE!</v>
      </c>
      <c r="B15083" s="0" t="s">
        <v>14929</v>
      </c>
    </row>
    <row r="15084" customFormat="false" ht="15" hidden="false" customHeight="false" outlineLevel="0" collapsed="false">
      <c r="A15084" s="0" t="e">
        <f aca="false">ODDFYIELD(DATE(2024,2,15),DATE(2027,7,1),DATE(2024,1,1),DATE(2024,7,1),0.05,100,100,4,4)</f>
        <v>#VALUE!</v>
      </c>
      <c r="B15084" s="0" t="s">
        <v>14930</v>
      </c>
    </row>
    <row r="15085" customFormat="false" ht="15" hidden="false" customHeight="false" outlineLevel="0" collapsed="false">
      <c r="A15085" s="0" t="e">
        <f aca="false">ODDFPRICE(DATE(2023,11,11),DATE(2028,7,1),DATE(2023,10,15),DATE(2024,7,1),0.05,0.08,100,1,0)</f>
        <v>#VALUE!</v>
      </c>
      <c r="B15085" s="0" t="s">
        <v>14931</v>
      </c>
    </row>
    <row r="15086" customFormat="false" ht="15" hidden="false" customHeight="false" outlineLevel="0" collapsed="false">
      <c r="A15086" s="0" t="e">
        <f aca="false">ODDFPRICE(DATE(2023,11,11),DATE(2028,7,1),DATE(2023,10,15),DATE(2024,7,1),0.1,0.03,105,1,0)</f>
        <v>#VALUE!</v>
      </c>
      <c r="B15086" s="0" t="s">
        <v>14932</v>
      </c>
    </row>
    <row r="15087" customFormat="false" ht="15" hidden="false" customHeight="false" outlineLevel="0" collapsed="false">
      <c r="A15087" s="0" t="e">
        <f aca="false">ODDFPRICE(DATE(2023,11,11),DATE(2028,7,1),DATE(2023,10,15),DATE(2024,7,1),0,0.05,100,1,0)</f>
        <v>#VALUE!</v>
      </c>
      <c r="B15087" s="0" t="s">
        <v>14933</v>
      </c>
    </row>
    <row r="15088" customFormat="false" ht="15" hidden="false" customHeight="false" outlineLevel="0" collapsed="false">
      <c r="A15088" s="0" t="e">
        <f aca="false">ODDFYIELD(DATE(2023,11,11),DATE(2028,7,1),DATE(2023,10,15),DATE(2024,7,1),0.05,95,100,1,0)</f>
        <v>#VALUE!</v>
      </c>
      <c r="B15088" s="0" t="s">
        <v>14934</v>
      </c>
    </row>
    <row r="15089" customFormat="false" ht="15" hidden="false" customHeight="false" outlineLevel="0" collapsed="false">
      <c r="A15089" s="0" t="e">
        <f aca="false">ODDFYIELD(DATE(2023,11,11),DATE(2028,7,1),DATE(2023,10,15),DATE(2024,7,1),0.1,101.5,100,1,0)</f>
        <v>#VALUE!</v>
      </c>
      <c r="B15089" s="0" t="s">
        <v>14935</v>
      </c>
    </row>
    <row r="15090" customFormat="false" ht="15" hidden="false" customHeight="false" outlineLevel="0" collapsed="false">
      <c r="A15090" s="0" t="e">
        <f aca="false">ODDFYIELD(DATE(2023,11,11),DATE(2028,7,1),DATE(2023,10,15),DATE(2024,7,1),0.05,100,100,1,0)</f>
        <v>#VALUE!</v>
      </c>
      <c r="B15090" s="0" t="s">
        <v>14936</v>
      </c>
    </row>
    <row r="15091" customFormat="false" ht="15" hidden="false" customHeight="false" outlineLevel="0" collapsed="false">
      <c r="A15091" s="0" t="e">
        <f aca="false">ODDFPRICE(DATE(2023,11,11),DATE(2028,7,1),DATE(2023,10,15),DATE(2024,7,1),0.05,0.08,100,1,1)</f>
        <v>#VALUE!</v>
      </c>
      <c r="B15091" s="0" t="s">
        <v>14937</v>
      </c>
    </row>
    <row r="15092" customFormat="false" ht="15" hidden="false" customHeight="false" outlineLevel="0" collapsed="false">
      <c r="A15092" s="0" t="e">
        <f aca="false">ODDFPRICE(DATE(2023,11,11),DATE(2028,7,1),DATE(2023,10,15),DATE(2024,7,1),0.1,0.03,105,1,1)</f>
        <v>#VALUE!</v>
      </c>
      <c r="B15092" s="0" t="s">
        <v>14938</v>
      </c>
    </row>
    <row r="15093" customFormat="false" ht="15" hidden="false" customHeight="false" outlineLevel="0" collapsed="false">
      <c r="A15093" s="0" t="e">
        <f aca="false">ODDFPRICE(DATE(2023,11,11),DATE(2028,7,1),DATE(2023,10,15),DATE(2024,7,1),0,0.05,100,1,1)</f>
        <v>#VALUE!</v>
      </c>
      <c r="B15093" s="0" t="s">
        <v>14939</v>
      </c>
    </row>
    <row r="15094" customFormat="false" ht="15" hidden="false" customHeight="false" outlineLevel="0" collapsed="false">
      <c r="A15094" s="0" t="e">
        <f aca="false">ODDFYIELD(DATE(2023,11,11),DATE(2028,7,1),DATE(2023,10,15),DATE(2024,7,1),0.05,95,100,1,1)</f>
        <v>#VALUE!</v>
      </c>
      <c r="B15094" s="0" t="s">
        <v>14940</v>
      </c>
    </row>
    <row r="15095" customFormat="false" ht="15" hidden="false" customHeight="false" outlineLevel="0" collapsed="false">
      <c r="A15095" s="0" t="e">
        <f aca="false">ODDFYIELD(DATE(2023,11,11),DATE(2028,7,1),DATE(2023,10,15),DATE(2024,7,1),0.1,101.5,100,1,1)</f>
        <v>#VALUE!</v>
      </c>
      <c r="B15095" s="0" t="s">
        <v>14941</v>
      </c>
    </row>
    <row r="15096" customFormat="false" ht="15" hidden="false" customHeight="false" outlineLevel="0" collapsed="false">
      <c r="A15096" s="0" t="e">
        <f aca="false">ODDFYIELD(DATE(2023,11,11),DATE(2028,7,1),DATE(2023,10,15),DATE(2024,7,1),0.05,100,100,1,1)</f>
        <v>#VALUE!</v>
      </c>
      <c r="B15096" s="0" t="s">
        <v>14942</v>
      </c>
    </row>
    <row r="15097" customFormat="false" ht="15" hidden="false" customHeight="false" outlineLevel="0" collapsed="false">
      <c r="A15097" s="0" t="e">
        <f aca="false">ODDFPRICE(DATE(2023,11,11),DATE(2028,7,1),DATE(2023,10,15),DATE(2024,7,1),0.05,0.08,100,1,2)</f>
        <v>#VALUE!</v>
      </c>
      <c r="B15097" s="0" t="s">
        <v>14943</v>
      </c>
    </row>
    <row r="15098" customFormat="false" ht="15" hidden="false" customHeight="false" outlineLevel="0" collapsed="false">
      <c r="A15098" s="0" t="e">
        <f aca="false">ODDFPRICE(DATE(2023,11,11),DATE(2028,7,1),DATE(2023,10,15),DATE(2024,7,1),0.1,0.03,105,1,2)</f>
        <v>#VALUE!</v>
      </c>
      <c r="B15098" s="0" t="s">
        <v>14944</v>
      </c>
    </row>
    <row r="15099" customFormat="false" ht="15" hidden="false" customHeight="false" outlineLevel="0" collapsed="false">
      <c r="A15099" s="0" t="e">
        <f aca="false">ODDFPRICE(DATE(2023,11,11),DATE(2028,7,1),DATE(2023,10,15),DATE(2024,7,1),0,0.05,100,1,2)</f>
        <v>#VALUE!</v>
      </c>
      <c r="B15099" s="0" t="s">
        <v>14945</v>
      </c>
    </row>
    <row r="15100" customFormat="false" ht="15" hidden="false" customHeight="false" outlineLevel="0" collapsed="false">
      <c r="A15100" s="0" t="e">
        <f aca="false">ODDFYIELD(DATE(2023,11,11),DATE(2028,7,1),DATE(2023,10,15),DATE(2024,7,1),0.05,95,100,1,2)</f>
        <v>#VALUE!</v>
      </c>
      <c r="B15100" s="0" t="s">
        <v>14946</v>
      </c>
    </row>
    <row r="15101" customFormat="false" ht="15" hidden="false" customHeight="false" outlineLevel="0" collapsed="false">
      <c r="A15101" s="0" t="e">
        <f aca="false">ODDFYIELD(DATE(2023,11,11),DATE(2028,7,1),DATE(2023,10,15),DATE(2024,7,1),0.1,101.5,100,1,2)</f>
        <v>#VALUE!</v>
      </c>
      <c r="B15101" s="0" t="s">
        <v>14947</v>
      </c>
    </row>
    <row r="15102" customFormat="false" ht="15" hidden="false" customHeight="false" outlineLevel="0" collapsed="false">
      <c r="A15102" s="0" t="e">
        <f aca="false">ODDFYIELD(DATE(2023,11,11),DATE(2028,7,1),DATE(2023,10,15),DATE(2024,7,1),0.05,100,100,1,2)</f>
        <v>#VALUE!</v>
      </c>
      <c r="B15102" s="0" t="s">
        <v>14948</v>
      </c>
    </row>
    <row r="15103" customFormat="false" ht="15" hidden="false" customHeight="false" outlineLevel="0" collapsed="false">
      <c r="A15103" s="0" t="e">
        <f aca="false">ODDFPRICE(DATE(2023,11,11),DATE(2028,7,1),DATE(2023,10,15),DATE(2024,7,1),0.05,0.08,100,1,3)</f>
        <v>#VALUE!</v>
      </c>
      <c r="B15103" s="0" t="s">
        <v>14949</v>
      </c>
    </row>
    <row r="15104" customFormat="false" ht="15" hidden="false" customHeight="false" outlineLevel="0" collapsed="false">
      <c r="A15104" s="0" t="e">
        <f aca="false">ODDFPRICE(DATE(2023,11,11),DATE(2028,7,1),DATE(2023,10,15),DATE(2024,7,1),0.1,0.03,105,1,3)</f>
        <v>#VALUE!</v>
      </c>
      <c r="B15104" s="0" t="s">
        <v>14950</v>
      </c>
    </row>
    <row r="15105" customFormat="false" ht="15" hidden="false" customHeight="false" outlineLevel="0" collapsed="false">
      <c r="A15105" s="0" t="e">
        <f aca="false">ODDFPRICE(DATE(2023,11,11),DATE(2028,7,1),DATE(2023,10,15),DATE(2024,7,1),0,0.05,100,1,3)</f>
        <v>#VALUE!</v>
      </c>
      <c r="B15105" s="0" t="s">
        <v>14951</v>
      </c>
    </row>
    <row r="15106" customFormat="false" ht="15" hidden="false" customHeight="false" outlineLevel="0" collapsed="false">
      <c r="A15106" s="0" t="e">
        <f aca="false">ODDFYIELD(DATE(2023,11,11),DATE(2028,7,1),DATE(2023,10,15),DATE(2024,7,1),0.05,95,100,1,3)</f>
        <v>#VALUE!</v>
      </c>
      <c r="B15106" s="0" t="s">
        <v>14952</v>
      </c>
    </row>
    <row r="15107" customFormat="false" ht="15" hidden="false" customHeight="false" outlineLevel="0" collapsed="false">
      <c r="A15107" s="0" t="e">
        <f aca="false">ODDFYIELD(DATE(2023,11,11),DATE(2028,7,1),DATE(2023,10,15),DATE(2024,7,1),0.1,101.5,100,1,3)</f>
        <v>#VALUE!</v>
      </c>
      <c r="B15107" s="0" t="s">
        <v>14953</v>
      </c>
    </row>
    <row r="15108" customFormat="false" ht="15" hidden="false" customHeight="false" outlineLevel="0" collapsed="false">
      <c r="A15108" s="0" t="e">
        <f aca="false">ODDFYIELD(DATE(2023,11,11),DATE(2028,7,1),DATE(2023,10,15),DATE(2024,7,1),0.05,100,100,1,3)</f>
        <v>#VALUE!</v>
      </c>
      <c r="B15108" s="0" t="s">
        <v>14954</v>
      </c>
    </row>
    <row r="15109" customFormat="false" ht="15" hidden="false" customHeight="false" outlineLevel="0" collapsed="false">
      <c r="A15109" s="0" t="e">
        <f aca="false">ODDFPRICE(DATE(2023,11,11),DATE(2028,7,1),DATE(2023,10,15),DATE(2024,7,1),0.05,0.08,100,1,4)</f>
        <v>#VALUE!</v>
      </c>
      <c r="B15109" s="0" t="s">
        <v>14955</v>
      </c>
    </row>
    <row r="15110" customFormat="false" ht="15" hidden="false" customHeight="false" outlineLevel="0" collapsed="false">
      <c r="A15110" s="0" t="e">
        <f aca="false">ODDFPRICE(DATE(2023,11,11),DATE(2028,7,1),DATE(2023,10,15),DATE(2024,7,1),0.1,0.03,105,1,4)</f>
        <v>#VALUE!</v>
      </c>
      <c r="B15110" s="0" t="s">
        <v>14956</v>
      </c>
    </row>
    <row r="15111" customFormat="false" ht="15" hidden="false" customHeight="false" outlineLevel="0" collapsed="false">
      <c r="A15111" s="0" t="e">
        <f aca="false">ODDFPRICE(DATE(2023,11,11),DATE(2028,7,1),DATE(2023,10,15),DATE(2024,7,1),0,0.05,100,1,4)</f>
        <v>#VALUE!</v>
      </c>
      <c r="B15111" s="0" t="s">
        <v>14957</v>
      </c>
    </row>
    <row r="15112" customFormat="false" ht="15" hidden="false" customHeight="false" outlineLevel="0" collapsed="false">
      <c r="A15112" s="0" t="e">
        <f aca="false">ODDFYIELD(DATE(2023,11,11),DATE(2028,7,1),DATE(2023,10,15),DATE(2024,7,1),0.05,95,100,1,4)</f>
        <v>#VALUE!</v>
      </c>
      <c r="B15112" s="0" t="s">
        <v>14958</v>
      </c>
    </row>
    <row r="15113" customFormat="false" ht="15" hidden="false" customHeight="false" outlineLevel="0" collapsed="false">
      <c r="A15113" s="0" t="e">
        <f aca="false">ODDFYIELD(DATE(2023,11,11),DATE(2028,7,1),DATE(2023,10,15),DATE(2024,7,1),0.1,101.5,100,1,4)</f>
        <v>#VALUE!</v>
      </c>
      <c r="B15113" s="0" t="s">
        <v>14959</v>
      </c>
    </row>
    <row r="15114" customFormat="false" ht="15" hidden="false" customHeight="false" outlineLevel="0" collapsed="false">
      <c r="A15114" s="0" t="e">
        <f aca="false">ODDFYIELD(DATE(2023,11,11),DATE(2028,7,1),DATE(2023,10,15),DATE(2024,7,1),0.05,100,100,1,4)</f>
        <v>#VALUE!</v>
      </c>
      <c r="B15114" s="0" t="s">
        <v>14960</v>
      </c>
    </row>
    <row r="15115" customFormat="false" ht="15" hidden="false" customHeight="false" outlineLevel="0" collapsed="false">
      <c r="A15115" s="0" t="e">
        <f aca="false">ODDFPRICE(DATE(2023,11,11),DATE(2028,7,1),DATE(2023,10,15),DATE(2024,7,1),0.05,0.08,100,2,0)</f>
        <v>#VALUE!</v>
      </c>
      <c r="B15115" s="0" t="s">
        <v>14961</v>
      </c>
    </row>
    <row r="15116" customFormat="false" ht="15" hidden="false" customHeight="false" outlineLevel="0" collapsed="false">
      <c r="A15116" s="0" t="e">
        <f aca="false">ODDFPRICE(DATE(2023,11,11),DATE(2028,7,1),DATE(2023,10,15),DATE(2024,7,1),0.1,0.03,105,2,0)</f>
        <v>#VALUE!</v>
      </c>
      <c r="B15116" s="0" t="s">
        <v>14962</v>
      </c>
    </row>
    <row r="15117" customFormat="false" ht="15" hidden="false" customHeight="false" outlineLevel="0" collapsed="false">
      <c r="A15117" s="0" t="e">
        <f aca="false">ODDFPRICE(DATE(2023,11,11),DATE(2028,7,1),DATE(2023,10,15),DATE(2024,7,1),0,0.05,100,2,0)</f>
        <v>#VALUE!</v>
      </c>
      <c r="B15117" s="0" t="s">
        <v>14963</v>
      </c>
    </row>
    <row r="15118" customFormat="false" ht="15" hidden="false" customHeight="false" outlineLevel="0" collapsed="false">
      <c r="A15118" s="0" t="e">
        <f aca="false">ODDFYIELD(DATE(2023,11,11),DATE(2028,7,1),DATE(2023,10,15),DATE(2024,7,1),0.05,95,100,2,0)</f>
        <v>#VALUE!</v>
      </c>
      <c r="B15118" s="0" t="s">
        <v>14964</v>
      </c>
    </row>
    <row r="15119" customFormat="false" ht="15" hidden="false" customHeight="false" outlineLevel="0" collapsed="false">
      <c r="A15119" s="0" t="e">
        <f aca="false">ODDFYIELD(DATE(2023,11,11),DATE(2028,7,1),DATE(2023,10,15),DATE(2024,7,1),0.1,101.5,100,2,0)</f>
        <v>#VALUE!</v>
      </c>
      <c r="B15119" s="0" t="s">
        <v>14965</v>
      </c>
    </row>
    <row r="15120" customFormat="false" ht="15" hidden="false" customHeight="false" outlineLevel="0" collapsed="false">
      <c r="A15120" s="0" t="e">
        <f aca="false">ODDFYIELD(DATE(2023,11,11),DATE(2028,7,1),DATE(2023,10,15),DATE(2024,7,1),0.05,100,100,2,0)</f>
        <v>#VALUE!</v>
      </c>
      <c r="B15120" s="0" t="s">
        <v>14966</v>
      </c>
    </row>
    <row r="15121" customFormat="false" ht="15" hidden="false" customHeight="false" outlineLevel="0" collapsed="false">
      <c r="A15121" s="0" t="e">
        <f aca="false">ODDFPRICE(DATE(2023,11,11),DATE(2028,7,1),DATE(2023,10,15),DATE(2024,7,1),0.05,0.08,100,2,1)</f>
        <v>#VALUE!</v>
      </c>
      <c r="B15121" s="0" t="s">
        <v>14967</v>
      </c>
    </row>
    <row r="15122" customFormat="false" ht="15" hidden="false" customHeight="false" outlineLevel="0" collapsed="false">
      <c r="A15122" s="0" t="e">
        <f aca="false">ODDFPRICE(DATE(2023,11,11),DATE(2028,7,1),DATE(2023,10,15),DATE(2024,7,1),0.1,0.03,105,2,1)</f>
        <v>#VALUE!</v>
      </c>
      <c r="B15122" s="0" t="s">
        <v>14968</v>
      </c>
    </row>
    <row r="15123" customFormat="false" ht="15" hidden="false" customHeight="false" outlineLevel="0" collapsed="false">
      <c r="A15123" s="0" t="e">
        <f aca="false">ODDFPRICE(DATE(2023,11,11),DATE(2028,7,1),DATE(2023,10,15),DATE(2024,7,1),0,0.05,100,2,1)</f>
        <v>#VALUE!</v>
      </c>
      <c r="B15123" s="0" t="s">
        <v>14969</v>
      </c>
    </row>
    <row r="15124" customFormat="false" ht="15" hidden="false" customHeight="false" outlineLevel="0" collapsed="false">
      <c r="A15124" s="0" t="e">
        <f aca="false">ODDFYIELD(DATE(2023,11,11),DATE(2028,7,1),DATE(2023,10,15),DATE(2024,7,1),0.05,95,100,2,1)</f>
        <v>#VALUE!</v>
      </c>
      <c r="B15124" s="0" t="s">
        <v>14970</v>
      </c>
    </row>
    <row r="15125" customFormat="false" ht="15" hidden="false" customHeight="false" outlineLevel="0" collapsed="false">
      <c r="A15125" s="0" t="e">
        <f aca="false">ODDFYIELD(DATE(2023,11,11),DATE(2028,7,1),DATE(2023,10,15),DATE(2024,7,1),0.1,101.5,100,2,1)</f>
        <v>#VALUE!</v>
      </c>
      <c r="B15125" s="0" t="s">
        <v>14971</v>
      </c>
    </row>
    <row r="15126" customFormat="false" ht="15" hidden="false" customHeight="false" outlineLevel="0" collapsed="false">
      <c r="A15126" s="0" t="e">
        <f aca="false">ODDFYIELD(DATE(2023,11,11),DATE(2028,7,1),DATE(2023,10,15),DATE(2024,7,1),0.05,100,100,2,1)</f>
        <v>#VALUE!</v>
      </c>
      <c r="B15126" s="0" t="s">
        <v>14972</v>
      </c>
    </row>
    <row r="15127" customFormat="false" ht="15" hidden="false" customHeight="false" outlineLevel="0" collapsed="false">
      <c r="A15127" s="0" t="e">
        <f aca="false">ODDFPRICE(DATE(2023,11,11),DATE(2028,7,1),DATE(2023,10,15),DATE(2024,7,1),0.05,0.08,100,2,2)</f>
        <v>#VALUE!</v>
      </c>
      <c r="B15127" s="0" t="s">
        <v>14973</v>
      </c>
    </row>
    <row r="15128" customFormat="false" ht="15" hidden="false" customHeight="false" outlineLevel="0" collapsed="false">
      <c r="A15128" s="0" t="e">
        <f aca="false">ODDFPRICE(DATE(2023,11,11),DATE(2028,7,1),DATE(2023,10,15),DATE(2024,7,1),0.1,0.03,105,2,2)</f>
        <v>#VALUE!</v>
      </c>
      <c r="B15128" s="0" t="s">
        <v>14974</v>
      </c>
    </row>
    <row r="15129" customFormat="false" ht="15" hidden="false" customHeight="false" outlineLevel="0" collapsed="false">
      <c r="A15129" s="0" t="e">
        <f aca="false">ODDFPRICE(DATE(2023,11,11),DATE(2028,7,1),DATE(2023,10,15),DATE(2024,7,1),0,0.05,100,2,2)</f>
        <v>#VALUE!</v>
      </c>
      <c r="B15129" s="0" t="s">
        <v>14975</v>
      </c>
    </row>
    <row r="15130" customFormat="false" ht="15" hidden="false" customHeight="false" outlineLevel="0" collapsed="false">
      <c r="A15130" s="0" t="e">
        <f aca="false">ODDFYIELD(DATE(2023,11,11),DATE(2028,7,1),DATE(2023,10,15),DATE(2024,7,1),0.05,95,100,2,2)</f>
        <v>#VALUE!</v>
      </c>
      <c r="B15130" s="0" t="s">
        <v>14976</v>
      </c>
    </row>
    <row r="15131" customFormat="false" ht="15" hidden="false" customHeight="false" outlineLevel="0" collapsed="false">
      <c r="A15131" s="0" t="e">
        <f aca="false">ODDFYIELD(DATE(2023,11,11),DATE(2028,7,1),DATE(2023,10,15),DATE(2024,7,1),0.1,101.5,100,2,2)</f>
        <v>#VALUE!</v>
      </c>
      <c r="B15131" s="0" t="s">
        <v>14977</v>
      </c>
    </row>
    <row r="15132" customFormat="false" ht="15" hidden="false" customHeight="false" outlineLevel="0" collapsed="false">
      <c r="A15132" s="0" t="e">
        <f aca="false">ODDFYIELD(DATE(2023,11,11),DATE(2028,7,1),DATE(2023,10,15),DATE(2024,7,1),0.05,100,100,2,2)</f>
        <v>#VALUE!</v>
      </c>
      <c r="B15132" s="0" t="s">
        <v>14978</v>
      </c>
    </row>
    <row r="15133" customFormat="false" ht="15" hidden="false" customHeight="false" outlineLevel="0" collapsed="false">
      <c r="A15133" s="0" t="e">
        <f aca="false">ODDFPRICE(DATE(2023,11,11),DATE(2028,7,1),DATE(2023,10,15),DATE(2024,7,1),0.05,0.08,100,2,3)</f>
        <v>#VALUE!</v>
      </c>
      <c r="B15133" s="0" t="s">
        <v>14979</v>
      </c>
    </row>
    <row r="15134" customFormat="false" ht="15" hidden="false" customHeight="false" outlineLevel="0" collapsed="false">
      <c r="A15134" s="0" t="e">
        <f aca="false">ODDFPRICE(DATE(2023,11,11),DATE(2028,7,1),DATE(2023,10,15),DATE(2024,7,1),0.1,0.03,105,2,3)</f>
        <v>#VALUE!</v>
      </c>
      <c r="B15134" s="0" t="s">
        <v>14980</v>
      </c>
    </row>
    <row r="15135" customFormat="false" ht="15" hidden="false" customHeight="false" outlineLevel="0" collapsed="false">
      <c r="A15135" s="0" t="e">
        <f aca="false">ODDFPRICE(DATE(2023,11,11),DATE(2028,7,1),DATE(2023,10,15),DATE(2024,7,1),0,0.05,100,2,3)</f>
        <v>#VALUE!</v>
      </c>
      <c r="B15135" s="0" t="s">
        <v>14981</v>
      </c>
    </row>
    <row r="15136" customFormat="false" ht="15" hidden="false" customHeight="false" outlineLevel="0" collapsed="false">
      <c r="A15136" s="0" t="e">
        <f aca="false">ODDFYIELD(DATE(2023,11,11),DATE(2028,7,1),DATE(2023,10,15),DATE(2024,7,1),0.05,95,100,2,3)</f>
        <v>#VALUE!</v>
      </c>
      <c r="B15136" s="0" t="s">
        <v>14982</v>
      </c>
    </row>
    <row r="15137" customFormat="false" ht="15" hidden="false" customHeight="false" outlineLevel="0" collapsed="false">
      <c r="A15137" s="0" t="e">
        <f aca="false">ODDFYIELD(DATE(2023,11,11),DATE(2028,7,1),DATE(2023,10,15),DATE(2024,7,1),0.1,101.5,100,2,3)</f>
        <v>#VALUE!</v>
      </c>
      <c r="B15137" s="0" t="s">
        <v>14983</v>
      </c>
    </row>
    <row r="15138" customFormat="false" ht="15" hidden="false" customHeight="false" outlineLevel="0" collapsed="false">
      <c r="A15138" s="0" t="e">
        <f aca="false">ODDFYIELD(DATE(2023,11,11),DATE(2028,7,1),DATE(2023,10,15),DATE(2024,7,1),0.05,100,100,2,3)</f>
        <v>#VALUE!</v>
      </c>
      <c r="B15138" s="0" t="s">
        <v>14984</v>
      </c>
    </row>
    <row r="15139" customFormat="false" ht="15" hidden="false" customHeight="false" outlineLevel="0" collapsed="false">
      <c r="A15139" s="0" t="e">
        <f aca="false">ODDFPRICE(DATE(2023,11,11),DATE(2028,7,1),DATE(2023,10,15),DATE(2024,7,1),0.05,0.08,100,2,4)</f>
        <v>#VALUE!</v>
      </c>
      <c r="B15139" s="0" t="s">
        <v>14985</v>
      </c>
    </row>
    <row r="15140" customFormat="false" ht="15" hidden="false" customHeight="false" outlineLevel="0" collapsed="false">
      <c r="A15140" s="0" t="e">
        <f aca="false">ODDFPRICE(DATE(2023,11,11),DATE(2028,7,1),DATE(2023,10,15),DATE(2024,7,1),0.1,0.03,105,2,4)</f>
        <v>#VALUE!</v>
      </c>
      <c r="B15140" s="0" t="s">
        <v>14986</v>
      </c>
    </row>
    <row r="15141" customFormat="false" ht="15" hidden="false" customHeight="false" outlineLevel="0" collapsed="false">
      <c r="A15141" s="0" t="e">
        <f aca="false">ODDFPRICE(DATE(2023,11,11),DATE(2028,7,1),DATE(2023,10,15),DATE(2024,7,1),0,0.05,100,2,4)</f>
        <v>#VALUE!</v>
      </c>
      <c r="B15141" s="0" t="s">
        <v>14987</v>
      </c>
    </row>
    <row r="15142" customFormat="false" ht="15" hidden="false" customHeight="false" outlineLevel="0" collapsed="false">
      <c r="A15142" s="0" t="e">
        <f aca="false">ODDFYIELD(DATE(2023,11,11),DATE(2028,7,1),DATE(2023,10,15),DATE(2024,7,1),0.05,95,100,2,4)</f>
        <v>#VALUE!</v>
      </c>
      <c r="B15142" s="0" t="s">
        <v>14988</v>
      </c>
    </row>
    <row r="15143" customFormat="false" ht="15" hidden="false" customHeight="false" outlineLevel="0" collapsed="false">
      <c r="A15143" s="0" t="e">
        <f aca="false">ODDFYIELD(DATE(2023,11,11),DATE(2028,7,1),DATE(2023,10,15),DATE(2024,7,1),0.1,101.5,100,2,4)</f>
        <v>#VALUE!</v>
      </c>
      <c r="B15143" s="0" t="s">
        <v>14989</v>
      </c>
    </row>
    <row r="15144" customFormat="false" ht="15" hidden="false" customHeight="false" outlineLevel="0" collapsed="false">
      <c r="A15144" s="0" t="e">
        <f aca="false">ODDFYIELD(DATE(2023,11,11),DATE(2028,7,1),DATE(2023,10,15),DATE(2024,7,1),0.05,100,100,2,4)</f>
        <v>#VALUE!</v>
      </c>
      <c r="B15144" s="0" t="s">
        <v>14990</v>
      </c>
    </row>
    <row r="15145" customFormat="false" ht="15" hidden="false" customHeight="false" outlineLevel="0" collapsed="false">
      <c r="A15145" s="0" t="e">
        <f aca="false">ODDFPRICE(DATE(2023,11,11),DATE(2028,7,1),DATE(2023,10,15),DATE(2024,7,1),0.05,0.08,100,4,0)</f>
        <v>#VALUE!</v>
      </c>
      <c r="B15145" s="0" t="s">
        <v>14991</v>
      </c>
    </row>
    <row r="15146" customFormat="false" ht="15" hidden="false" customHeight="false" outlineLevel="0" collapsed="false">
      <c r="A15146" s="0" t="e">
        <f aca="false">ODDFPRICE(DATE(2023,11,11),DATE(2028,7,1),DATE(2023,10,15),DATE(2024,7,1),0.1,0.03,105,4,0)</f>
        <v>#VALUE!</v>
      </c>
      <c r="B15146" s="0" t="s">
        <v>14992</v>
      </c>
    </row>
    <row r="15147" customFormat="false" ht="15" hidden="false" customHeight="false" outlineLevel="0" collapsed="false">
      <c r="A15147" s="0" t="e">
        <f aca="false">ODDFPRICE(DATE(2023,11,11),DATE(2028,7,1),DATE(2023,10,15),DATE(2024,7,1),0,0.05,100,4,0)</f>
        <v>#VALUE!</v>
      </c>
      <c r="B15147" s="0" t="s">
        <v>14993</v>
      </c>
    </row>
    <row r="15148" customFormat="false" ht="15" hidden="false" customHeight="false" outlineLevel="0" collapsed="false">
      <c r="A15148" s="0" t="e">
        <f aca="false">ODDFYIELD(DATE(2023,11,11),DATE(2028,7,1),DATE(2023,10,15),DATE(2024,7,1),0.05,95,100,4,0)</f>
        <v>#VALUE!</v>
      </c>
      <c r="B15148" s="0" t="s">
        <v>14994</v>
      </c>
    </row>
    <row r="15149" customFormat="false" ht="15" hidden="false" customHeight="false" outlineLevel="0" collapsed="false">
      <c r="A15149" s="0" t="e">
        <f aca="false">ODDFYIELD(DATE(2023,11,11),DATE(2028,7,1),DATE(2023,10,15),DATE(2024,7,1),0.1,101.5,100,4,0)</f>
        <v>#VALUE!</v>
      </c>
      <c r="B15149" s="0" t="s">
        <v>14995</v>
      </c>
    </row>
    <row r="15150" customFormat="false" ht="15" hidden="false" customHeight="false" outlineLevel="0" collapsed="false">
      <c r="A15150" s="0" t="e">
        <f aca="false">ODDFYIELD(DATE(2023,11,11),DATE(2028,7,1),DATE(2023,10,15),DATE(2024,7,1),0.05,100,100,4,0)</f>
        <v>#VALUE!</v>
      </c>
      <c r="B15150" s="0" t="s">
        <v>14996</v>
      </c>
    </row>
    <row r="15151" customFormat="false" ht="15" hidden="false" customHeight="false" outlineLevel="0" collapsed="false">
      <c r="A15151" s="0" t="e">
        <f aca="false">ODDFPRICE(DATE(2023,11,11),DATE(2028,7,1),DATE(2023,10,15),DATE(2024,7,1),0.05,0.08,100,4,1)</f>
        <v>#VALUE!</v>
      </c>
      <c r="B15151" s="0" t="s">
        <v>14997</v>
      </c>
    </row>
    <row r="15152" customFormat="false" ht="15" hidden="false" customHeight="false" outlineLevel="0" collapsed="false">
      <c r="A15152" s="0" t="e">
        <f aca="false">ODDFPRICE(DATE(2023,11,11),DATE(2028,7,1),DATE(2023,10,15),DATE(2024,7,1),0.1,0.03,105,4,1)</f>
        <v>#VALUE!</v>
      </c>
      <c r="B15152" s="0" t="s">
        <v>14998</v>
      </c>
    </row>
    <row r="15153" customFormat="false" ht="15" hidden="false" customHeight="false" outlineLevel="0" collapsed="false">
      <c r="A15153" s="0" t="e">
        <f aca="false">ODDFPRICE(DATE(2023,11,11),DATE(2028,7,1),DATE(2023,10,15),DATE(2024,7,1),0,0.05,100,4,1)</f>
        <v>#VALUE!</v>
      </c>
      <c r="B15153" s="0" t="s">
        <v>14999</v>
      </c>
    </row>
    <row r="15154" customFormat="false" ht="15" hidden="false" customHeight="false" outlineLevel="0" collapsed="false">
      <c r="A15154" s="0" t="e">
        <f aca="false">ODDFYIELD(DATE(2023,11,11),DATE(2028,7,1),DATE(2023,10,15),DATE(2024,7,1),0.05,95,100,4,1)</f>
        <v>#VALUE!</v>
      </c>
      <c r="B15154" s="0" t="s">
        <v>15000</v>
      </c>
    </row>
    <row r="15155" customFormat="false" ht="15" hidden="false" customHeight="false" outlineLevel="0" collapsed="false">
      <c r="A15155" s="0" t="e">
        <f aca="false">ODDFYIELD(DATE(2023,11,11),DATE(2028,7,1),DATE(2023,10,15),DATE(2024,7,1),0.1,101.5,100,4,1)</f>
        <v>#VALUE!</v>
      </c>
      <c r="B15155" s="0" t="s">
        <v>15001</v>
      </c>
    </row>
    <row r="15156" customFormat="false" ht="15" hidden="false" customHeight="false" outlineLevel="0" collapsed="false">
      <c r="A15156" s="0" t="e">
        <f aca="false">ODDFYIELD(DATE(2023,11,11),DATE(2028,7,1),DATE(2023,10,15),DATE(2024,7,1),0.05,100,100,4,1)</f>
        <v>#VALUE!</v>
      </c>
      <c r="B15156" s="0" t="s">
        <v>15002</v>
      </c>
    </row>
    <row r="15157" customFormat="false" ht="15" hidden="false" customHeight="false" outlineLevel="0" collapsed="false">
      <c r="A15157" s="0" t="e">
        <f aca="false">ODDFPRICE(DATE(2023,11,11),DATE(2028,7,1),DATE(2023,10,15),DATE(2024,7,1),0.05,0.08,100,4,2)</f>
        <v>#VALUE!</v>
      </c>
      <c r="B15157" s="0" t="s">
        <v>15003</v>
      </c>
    </row>
    <row r="15158" customFormat="false" ht="15" hidden="false" customHeight="false" outlineLevel="0" collapsed="false">
      <c r="A15158" s="0" t="e">
        <f aca="false">ODDFPRICE(DATE(2023,11,11),DATE(2028,7,1),DATE(2023,10,15),DATE(2024,7,1),0.1,0.03,105,4,2)</f>
        <v>#VALUE!</v>
      </c>
      <c r="B15158" s="0" t="s">
        <v>15004</v>
      </c>
    </row>
    <row r="15159" customFormat="false" ht="15" hidden="false" customHeight="false" outlineLevel="0" collapsed="false">
      <c r="A15159" s="0" t="e">
        <f aca="false">ODDFPRICE(DATE(2023,11,11),DATE(2028,7,1),DATE(2023,10,15),DATE(2024,7,1),0,0.05,100,4,2)</f>
        <v>#VALUE!</v>
      </c>
      <c r="B15159" s="0" t="s">
        <v>15005</v>
      </c>
    </row>
    <row r="15160" customFormat="false" ht="15" hidden="false" customHeight="false" outlineLevel="0" collapsed="false">
      <c r="A15160" s="0" t="e">
        <f aca="false">ODDFYIELD(DATE(2023,11,11),DATE(2028,7,1),DATE(2023,10,15),DATE(2024,7,1),0.05,95,100,4,2)</f>
        <v>#VALUE!</v>
      </c>
      <c r="B15160" s="0" t="s">
        <v>15006</v>
      </c>
    </row>
    <row r="15161" customFormat="false" ht="15" hidden="false" customHeight="false" outlineLevel="0" collapsed="false">
      <c r="A15161" s="0" t="e">
        <f aca="false">ODDFYIELD(DATE(2023,11,11),DATE(2028,7,1),DATE(2023,10,15),DATE(2024,7,1),0.1,101.5,100,4,2)</f>
        <v>#VALUE!</v>
      </c>
      <c r="B15161" s="0" t="s">
        <v>15007</v>
      </c>
    </row>
    <row r="15162" customFormat="false" ht="15" hidden="false" customHeight="false" outlineLevel="0" collapsed="false">
      <c r="A15162" s="0" t="e">
        <f aca="false">ODDFYIELD(DATE(2023,11,11),DATE(2028,7,1),DATE(2023,10,15),DATE(2024,7,1),0.05,100,100,4,2)</f>
        <v>#VALUE!</v>
      </c>
      <c r="B15162" s="0" t="s">
        <v>15008</v>
      </c>
    </row>
    <row r="15163" customFormat="false" ht="15" hidden="false" customHeight="false" outlineLevel="0" collapsed="false">
      <c r="A15163" s="0" t="e">
        <f aca="false">ODDFPRICE(DATE(2023,11,11),DATE(2028,7,1),DATE(2023,10,15),DATE(2024,7,1),0.05,0.08,100,4,3)</f>
        <v>#VALUE!</v>
      </c>
      <c r="B15163" s="0" t="s">
        <v>15009</v>
      </c>
    </row>
    <row r="15164" customFormat="false" ht="15" hidden="false" customHeight="false" outlineLevel="0" collapsed="false">
      <c r="A15164" s="0" t="e">
        <f aca="false">ODDFPRICE(DATE(2023,11,11),DATE(2028,7,1),DATE(2023,10,15),DATE(2024,7,1),0.1,0.03,105,4,3)</f>
        <v>#VALUE!</v>
      </c>
      <c r="B15164" s="0" t="s">
        <v>15010</v>
      </c>
    </row>
    <row r="15165" customFormat="false" ht="15" hidden="false" customHeight="false" outlineLevel="0" collapsed="false">
      <c r="A15165" s="0" t="e">
        <f aca="false">ODDFPRICE(DATE(2023,11,11),DATE(2028,7,1),DATE(2023,10,15),DATE(2024,7,1),0,0.05,100,4,3)</f>
        <v>#VALUE!</v>
      </c>
      <c r="B15165" s="0" t="s">
        <v>15011</v>
      </c>
    </row>
    <row r="15166" customFormat="false" ht="15" hidden="false" customHeight="false" outlineLevel="0" collapsed="false">
      <c r="A15166" s="0" t="e">
        <f aca="false">ODDFYIELD(DATE(2023,11,11),DATE(2028,7,1),DATE(2023,10,15),DATE(2024,7,1),0.05,95,100,4,3)</f>
        <v>#VALUE!</v>
      </c>
      <c r="B15166" s="0" t="s">
        <v>15012</v>
      </c>
    </row>
    <row r="15167" customFormat="false" ht="15" hidden="false" customHeight="false" outlineLevel="0" collapsed="false">
      <c r="A15167" s="0" t="e">
        <f aca="false">ODDFYIELD(DATE(2023,11,11),DATE(2028,7,1),DATE(2023,10,15),DATE(2024,7,1),0.1,101.5,100,4,3)</f>
        <v>#VALUE!</v>
      </c>
      <c r="B15167" s="0" t="s">
        <v>15013</v>
      </c>
    </row>
    <row r="15168" customFormat="false" ht="15" hidden="false" customHeight="false" outlineLevel="0" collapsed="false">
      <c r="A15168" s="0" t="e">
        <f aca="false">ODDFYIELD(DATE(2023,11,11),DATE(2028,7,1),DATE(2023,10,15),DATE(2024,7,1),0.05,100,100,4,3)</f>
        <v>#VALUE!</v>
      </c>
      <c r="B15168" s="0" t="s">
        <v>15014</v>
      </c>
    </row>
    <row r="15169" customFormat="false" ht="15" hidden="false" customHeight="false" outlineLevel="0" collapsed="false">
      <c r="A15169" s="0" t="e">
        <f aca="false">ODDFPRICE(DATE(2023,11,11),DATE(2028,7,1),DATE(2023,10,15),DATE(2024,7,1),0.05,0.08,100,4,4)</f>
        <v>#VALUE!</v>
      </c>
      <c r="B15169" s="0" t="s">
        <v>15015</v>
      </c>
    </row>
    <row r="15170" customFormat="false" ht="15" hidden="false" customHeight="false" outlineLevel="0" collapsed="false">
      <c r="A15170" s="0" t="e">
        <f aca="false">ODDFPRICE(DATE(2023,11,11),DATE(2028,7,1),DATE(2023,10,15),DATE(2024,7,1),0.1,0.03,105,4,4)</f>
        <v>#VALUE!</v>
      </c>
      <c r="B15170" s="0" t="s">
        <v>15016</v>
      </c>
    </row>
    <row r="15171" customFormat="false" ht="15" hidden="false" customHeight="false" outlineLevel="0" collapsed="false">
      <c r="A15171" s="0" t="e">
        <f aca="false">ODDFPRICE(DATE(2023,11,11),DATE(2028,7,1),DATE(2023,10,15),DATE(2024,7,1),0,0.05,100,4,4)</f>
        <v>#VALUE!</v>
      </c>
      <c r="B15171" s="0" t="s">
        <v>15017</v>
      </c>
    </row>
    <row r="15172" customFormat="false" ht="15" hidden="false" customHeight="false" outlineLevel="0" collapsed="false">
      <c r="A15172" s="0" t="e">
        <f aca="false">ODDFYIELD(DATE(2023,11,11),DATE(2028,7,1),DATE(2023,10,15),DATE(2024,7,1),0.05,95,100,4,4)</f>
        <v>#VALUE!</v>
      </c>
      <c r="B15172" s="0" t="s">
        <v>15018</v>
      </c>
    </row>
    <row r="15173" customFormat="false" ht="15" hidden="false" customHeight="false" outlineLevel="0" collapsed="false">
      <c r="A15173" s="0" t="e">
        <f aca="false">ODDFYIELD(DATE(2023,11,11),DATE(2028,7,1),DATE(2023,10,15),DATE(2024,7,1),0.1,101.5,100,4,4)</f>
        <v>#VALUE!</v>
      </c>
      <c r="B15173" s="0" t="s">
        <v>15019</v>
      </c>
    </row>
    <row r="15174" customFormat="false" ht="15" hidden="false" customHeight="false" outlineLevel="0" collapsed="false">
      <c r="A15174" s="0" t="e">
        <f aca="false">ODDFYIELD(DATE(2023,11,11),DATE(2028,7,1),DATE(2023,10,15),DATE(2024,7,1),0.05,100,100,4,4)</f>
        <v>#VALUE!</v>
      </c>
      <c r="B15174" s="0" t="s">
        <v>15020</v>
      </c>
    </row>
    <row r="15175" customFormat="false" ht="15" hidden="false" customHeight="false" outlineLevel="0" collapsed="false">
      <c r="A15175" s="0" t="e">
        <f aca="false">ODDFPRICE(DATE(2024,3,1),DATE(2026,8,31),DATE(2024,1,31),DATE(2024,8,31),0.05,0.08,100,1,0)</f>
        <v>#VALUE!</v>
      </c>
      <c r="B15175" s="0" t="s">
        <v>15021</v>
      </c>
    </row>
    <row r="15176" customFormat="false" ht="15" hidden="false" customHeight="false" outlineLevel="0" collapsed="false">
      <c r="A15176" s="0" t="e">
        <f aca="false">ODDFPRICE(DATE(2024,3,1),DATE(2026,8,31),DATE(2024,1,31),DATE(2024,8,31),0.1,0.03,105,1,0)</f>
        <v>#VALUE!</v>
      </c>
      <c r="B15176" s="0" t="s">
        <v>15022</v>
      </c>
    </row>
    <row r="15177" customFormat="false" ht="15" hidden="false" customHeight="false" outlineLevel="0" collapsed="false">
      <c r="A15177" s="0" t="e">
        <f aca="false">ODDFPRICE(DATE(2024,3,1),DATE(2026,8,31),DATE(2024,1,31),DATE(2024,8,31),0,0.05,100,1,0)</f>
        <v>#VALUE!</v>
      </c>
      <c r="B15177" s="0" t="s">
        <v>15023</v>
      </c>
    </row>
    <row r="15178" customFormat="false" ht="15" hidden="false" customHeight="false" outlineLevel="0" collapsed="false">
      <c r="A15178" s="0" t="e">
        <f aca="false">ODDFYIELD(DATE(2024,3,1),DATE(2026,8,31),DATE(2024,1,31),DATE(2024,8,31),0.05,95,100,1,0)</f>
        <v>#VALUE!</v>
      </c>
      <c r="B15178" s="0" t="s">
        <v>15024</v>
      </c>
    </row>
    <row r="15179" customFormat="false" ht="15" hidden="false" customHeight="false" outlineLevel="0" collapsed="false">
      <c r="A15179" s="0" t="e">
        <f aca="false">ODDFYIELD(DATE(2024,3,1),DATE(2026,8,31),DATE(2024,1,31),DATE(2024,8,31),0.1,101.5,100,1,0)</f>
        <v>#VALUE!</v>
      </c>
      <c r="B15179" s="0" t="s">
        <v>15025</v>
      </c>
    </row>
    <row r="15180" customFormat="false" ht="15" hidden="false" customHeight="false" outlineLevel="0" collapsed="false">
      <c r="A15180" s="0" t="e">
        <f aca="false">ODDFYIELD(DATE(2024,3,1),DATE(2026,8,31),DATE(2024,1,31),DATE(2024,8,31),0.05,100,100,1,0)</f>
        <v>#VALUE!</v>
      </c>
      <c r="B15180" s="0" t="s">
        <v>15026</v>
      </c>
    </row>
    <row r="15181" customFormat="false" ht="15" hidden="false" customHeight="false" outlineLevel="0" collapsed="false">
      <c r="A15181" s="0" t="e">
        <f aca="false">ODDFPRICE(DATE(2024,3,1),DATE(2026,8,31),DATE(2024,1,31),DATE(2024,8,31),0.05,0.08,100,1,1)</f>
        <v>#VALUE!</v>
      </c>
      <c r="B15181" s="0" t="s">
        <v>15027</v>
      </c>
    </row>
    <row r="15182" customFormat="false" ht="15" hidden="false" customHeight="false" outlineLevel="0" collapsed="false">
      <c r="A15182" s="0" t="e">
        <f aca="false">ODDFPRICE(DATE(2024,3,1),DATE(2026,8,31),DATE(2024,1,31),DATE(2024,8,31),0.1,0.03,105,1,1)</f>
        <v>#VALUE!</v>
      </c>
      <c r="B15182" s="0" t="s">
        <v>15028</v>
      </c>
    </row>
    <row r="15183" customFormat="false" ht="15" hidden="false" customHeight="false" outlineLevel="0" collapsed="false">
      <c r="A15183" s="0" t="e">
        <f aca="false">ODDFPRICE(DATE(2024,3,1),DATE(2026,8,31),DATE(2024,1,31),DATE(2024,8,31),0,0.05,100,1,1)</f>
        <v>#VALUE!</v>
      </c>
      <c r="B15183" s="0" t="s">
        <v>15029</v>
      </c>
    </row>
    <row r="15184" customFormat="false" ht="15" hidden="false" customHeight="false" outlineLevel="0" collapsed="false">
      <c r="A15184" s="0" t="e">
        <f aca="false">ODDFYIELD(DATE(2024,3,1),DATE(2026,8,31),DATE(2024,1,31),DATE(2024,8,31),0.05,95,100,1,1)</f>
        <v>#VALUE!</v>
      </c>
      <c r="B15184" s="0" t="s">
        <v>15030</v>
      </c>
    </row>
    <row r="15185" customFormat="false" ht="15" hidden="false" customHeight="false" outlineLevel="0" collapsed="false">
      <c r="A15185" s="0" t="e">
        <f aca="false">ODDFYIELD(DATE(2024,3,1),DATE(2026,8,31),DATE(2024,1,31),DATE(2024,8,31),0.1,101.5,100,1,1)</f>
        <v>#VALUE!</v>
      </c>
      <c r="B15185" s="0" t="s">
        <v>15031</v>
      </c>
    </row>
    <row r="15186" customFormat="false" ht="15" hidden="false" customHeight="false" outlineLevel="0" collapsed="false">
      <c r="A15186" s="0" t="e">
        <f aca="false">ODDFYIELD(DATE(2024,3,1),DATE(2026,8,31),DATE(2024,1,31),DATE(2024,8,31),0.05,100,100,1,1)</f>
        <v>#VALUE!</v>
      </c>
      <c r="B15186" s="0" t="s">
        <v>15032</v>
      </c>
    </row>
    <row r="15187" customFormat="false" ht="15" hidden="false" customHeight="false" outlineLevel="0" collapsed="false">
      <c r="A15187" s="0" t="e">
        <f aca="false">ODDFPRICE(DATE(2024,3,1),DATE(2026,8,31),DATE(2024,1,31),DATE(2024,8,31),0.05,0.08,100,1,2)</f>
        <v>#VALUE!</v>
      </c>
      <c r="B15187" s="0" t="s">
        <v>15033</v>
      </c>
    </row>
    <row r="15188" customFormat="false" ht="15" hidden="false" customHeight="false" outlineLevel="0" collapsed="false">
      <c r="A15188" s="0" t="e">
        <f aca="false">ODDFPRICE(DATE(2024,3,1),DATE(2026,8,31),DATE(2024,1,31),DATE(2024,8,31),0.1,0.03,105,1,2)</f>
        <v>#VALUE!</v>
      </c>
      <c r="B15188" s="0" t="s">
        <v>15034</v>
      </c>
    </row>
    <row r="15189" customFormat="false" ht="15" hidden="false" customHeight="false" outlineLevel="0" collapsed="false">
      <c r="A15189" s="0" t="e">
        <f aca="false">ODDFPRICE(DATE(2024,3,1),DATE(2026,8,31),DATE(2024,1,31),DATE(2024,8,31),0,0.05,100,1,2)</f>
        <v>#VALUE!</v>
      </c>
      <c r="B15189" s="0" t="s">
        <v>15035</v>
      </c>
    </row>
    <row r="15190" customFormat="false" ht="15" hidden="false" customHeight="false" outlineLevel="0" collapsed="false">
      <c r="A15190" s="0" t="e">
        <f aca="false">ODDFYIELD(DATE(2024,3,1),DATE(2026,8,31),DATE(2024,1,31),DATE(2024,8,31),0.05,95,100,1,2)</f>
        <v>#VALUE!</v>
      </c>
      <c r="B15190" s="0" t="s">
        <v>15036</v>
      </c>
    </row>
    <row r="15191" customFormat="false" ht="15" hidden="false" customHeight="false" outlineLevel="0" collapsed="false">
      <c r="A15191" s="0" t="e">
        <f aca="false">ODDFYIELD(DATE(2024,3,1),DATE(2026,8,31),DATE(2024,1,31),DATE(2024,8,31),0.1,101.5,100,1,2)</f>
        <v>#VALUE!</v>
      </c>
      <c r="B15191" s="0" t="s">
        <v>15037</v>
      </c>
    </row>
    <row r="15192" customFormat="false" ht="15" hidden="false" customHeight="false" outlineLevel="0" collapsed="false">
      <c r="A15192" s="0" t="e">
        <f aca="false">ODDFYIELD(DATE(2024,3,1),DATE(2026,8,31),DATE(2024,1,31),DATE(2024,8,31),0.05,100,100,1,2)</f>
        <v>#VALUE!</v>
      </c>
      <c r="B15192" s="0" t="s">
        <v>15038</v>
      </c>
    </row>
    <row r="15193" customFormat="false" ht="15" hidden="false" customHeight="false" outlineLevel="0" collapsed="false">
      <c r="A15193" s="0" t="e">
        <f aca="false">ODDFPRICE(DATE(2024,3,1),DATE(2026,8,31),DATE(2024,1,31),DATE(2024,8,31),0.05,0.08,100,1,3)</f>
        <v>#VALUE!</v>
      </c>
      <c r="B15193" s="0" t="s">
        <v>15039</v>
      </c>
    </row>
    <row r="15194" customFormat="false" ht="15" hidden="false" customHeight="false" outlineLevel="0" collapsed="false">
      <c r="A15194" s="0" t="e">
        <f aca="false">ODDFPRICE(DATE(2024,3,1),DATE(2026,8,31),DATE(2024,1,31),DATE(2024,8,31),0.1,0.03,105,1,3)</f>
        <v>#VALUE!</v>
      </c>
      <c r="B15194" s="0" t="s">
        <v>15040</v>
      </c>
    </row>
    <row r="15195" customFormat="false" ht="15" hidden="false" customHeight="false" outlineLevel="0" collapsed="false">
      <c r="A15195" s="0" t="e">
        <f aca="false">ODDFPRICE(DATE(2024,3,1),DATE(2026,8,31),DATE(2024,1,31),DATE(2024,8,31),0,0.05,100,1,3)</f>
        <v>#VALUE!</v>
      </c>
      <c r="B15195" s="0" t="s">
        <v>15041</v>
      </c>
    </row>
    <row r="15196" customFormat="false" ht="15" hidden="false" customHeight="false" outlineLevel="0" collapsed="false">
      <c r="A15196" s="0" t="e">
        <f aca="false">ODDFYIELD(DATE(2024,3,1),DATE(2026,8,31),DATE(2024,1,31),DATE(2024,8,31),0.05,95,100,1,3)</f>
        <v>#VALUE!</v>
      </c>
      <c r="B15196" s="0" t="s">
        <v>15042</v>
      </c>
    </row>
    <row r="15197" customFormat="false" ht="15" hidden="false" customHeight="false" outlineLevel="0" collapsed="false">
      <c r="A15197" s="0" t="e">
        <f aca="false">ODDFYIELD(DATE(2024,3,1),DATE(2026,8,31),DATE(2024,1,31),DATE(2024,8,31),0.1,101.5,100,1,3)</f>
        <v>#VALUE!</v>
      </c>
      <c r="B15197" s="0" t="s">
        <v>15043</v>
      </c>
    </row>
    <row r="15198" customFormat="false" ht="15" hidden="false" customHeight="false" outlineLevel="0" collapsed="false">
      <c r="A15198" s="0" t="e">
        <f aca="false">ODDFYIELD(DATE(2024,3,1),DATE(2026,8,31),DATE(2024,1,31),DATE(2024,8,31),0.05,100,100,1,3)</f>
        <v>#VALUE!</v>
      </c>
      <c r="B15198" s="0" t="s">
        <v>15044</v>
      </c>
    </row>
    <row r="15199" customFormat="false" ht="15" hidden="false" customHeight="false" outlineLevel="0" collapsed="false">
      <c r="A15199" s="0" t="e">
        <f aca="false">ODDFPRICE(DATE(2024,3,1),DATE(2026,8,31),DATE(2024,1,31),DATE(2024,8,31),0.05,0.08,100,1,4)</f>
        <v>#VALUE!</v>
      </c>
      <c r="B15199" s="0" t="s">
        <v>15045</v>
      </c>
    </row>
    <row r="15200" customFormat="false" ht="15" hidden="false" customHeight="false" outlineLevel="0" collapsed="false">
      <c r="A15200" s="0" t="e">
        <f aca="false">ODDFPRICE(DATE(2024,3,1),DATE(2026,8,31),DATE(2024,1,31),DATE(2024,8,31),0.1,0.03,105,1,4)</f>
        <v>#VALUE!</v>
      </c>
      <c r="B15200" s="0" t="s">
        <v>15046</v>
      </c>
    </row>
    <row r="15201" customFormat="false" ht="15" hidden="false" customHeight="false" outlineLevel="0" collapsed="false">
      <c r="A15201" s="0" t="e">
        <f aca="false">ODDFPRICE(DATE(2024,3,1),DATE(2026,8,31),DATE(2024,1,31),DATE(2024,8,31),0,0.05,100,1,4)</f>
        <v>#VALUE!</v>
      </c>
      <c r="B15201" s="0" t="s">
        <v>15047</v>
      </c>
    </row>
    <row r="15202" customFormat="false" ht="15" hidden="false" customHeight="false" outlineLevel="0" collapsed="false">
      <c r="A15202" s="0" t="e">
        <f aca="false">ODDFYIELD(DATE(2024,3,1),DATE(2026,8,31),DATE(2024,1,31),DATE(2024,8,31),0.05,95,100,1,4)</f>
        <v>#VALUE!</v>
      </c>
      <c r="B15202" s="0" t="s">
        <v>15048</v>
      </c>
    </row>
    <row r="15203" customFormat="false" ht="15" hidden="false" customHeight="false" outlineLevel="0" collapsed="false">
      <c r="A15203" s="0" t="e">
        <f aca="false">ODDFYIELD(DATE(2024,3,1),DATE(2026,8,31),DATE(2024,1,31),DATE(2024,8,31),0.1,101.5,100,1,4)</f>
        <v>#VALUE!</v>
      </c>
      <c r="B15203" s="0" t="s">
        <v>15049</v>
      </c>
    </row>
    <row r="15204" customFormat="false" ht="15" hidden="false" customHeight="false" outlineLevel="0" collapsed="false">
      <c r="A15204" s="0" t="e">
        <f aca="false">ODDFYIELD(DATE(2024,3,1),DATE(2026,8,31),DATE(2024,1,31),DATE(2024,8,31),0.05,100,100,1,4)</f>
        <v>#VALUE!</v>
      </c>
      <c r="B15204" s="0" t="s">
        <v>15050</v>
      </c>
    </row>
    <row r="15205" customFormat="false" ht="15" hidden="false" customHeight="false" outlineLevel="0" collapsed="false">
      <c r="A15205" s="0" t="e">
        <f aca="false">ODDFPRICE(DATE(2024,3,1),DATE(2026,8,31),DATE(2024,1,31),DATE(2024,8,31),0.05,0.08,100,2,0)</f>
        <v>#VALUE!</v>
      </c>
      <c r="B15205" s="0" t="s">
        <v>15051</v>
      </c>
    </row>
    <row r="15206" customFormat="false" ht="15" hidden="false" customHeight="false" outlineLevel="0" collapsed="false">
      <c r="A15206" s="0" t="e">
        <f aca="false">ODDFPRICE(DATE(2024,3,1),DATE(2026,8,31),DATE(2024,1,31),DATE(2024,8,31),0.1,0.03,105,2,0)</f>
        <v>#VALUE!</v>
      </c>
      <c r="B15206" s="0" t="s">
        <v>15052</v>
      </c>
    </row>
    <row r="15207" customFormat="false" ht="15" hidden="false" customHeight="false" outlineLevel="0" collapsed="false">
      <c r="A15207" s="0" t="e">
        <f aca="false">ODDFPRICE(DATE(2024,3,1),DATE(2026,8,31),DATE(2024,1,31),DATE(2024,8,31),0,0.05,100,2,0)</f>
        <v>#VALUE!</v>
      </c>
      <c r="B15207" s="0" t="s">
        <v>15053</v>
      </c>
    </row>
    <row r="15208" customFormat="false" ht="15" hidden="false" customHeight="false" outlineLevel="0" collapsed="false">
      <c r="A15208" s="0" t="e">
        <f aca="false">ODDFYIELD(DATE(2024,3,1),DATE(2026,8,31),DATE(2024,1,31),DATE(2024,8,31),0.05,95,100,2,0)</f>
        <v>#VALUE!</v>
      </c>
      <c r="B15208" s="0" t="s">
        <v>15054</v>
      </c>
    </row>
    <row r="15209" customFormat="false" ht="15" hidden="false" customHeight="false" outlineLevel="0" collapsed="false">
      <c r="A15209" s="0" t="e">
        <f aca="false">ODDFYIELD(DATE(2024,3,1),DATE(2026,8,31),DATE(2024,1,31),DATE(2024,8,31),0.1,101.5,100,2,0)</f>
        <v>#VALUE!</v>
      </c>
      <c r="B15209" s="0" t="s">
        <v>15055</v>
      </c>
    </row>
    <row r="15210" customFormat="false" ht="15" hidden="false" customHeight="false" outlineLevel="0" collapsed="false">
      <c r="A15210" s="0" t="e">
        <f aca="false">ODDFYIELD(DATE(2024,3,1),DATE(2026,8,31),DATE(2024,1,31),DATE(2024,8,31),0.05,100,100,2,0)</f>
        <v>#VALUE!</v>
      </c>
      <c r="B15210" s="0" t="s">
        <v>15056</v>
      </c>
    </row>
    <row r="15211" customFormat="false" ht="15" hidden="false" customHeight="false" outlineLevel="0" collapsed="false">
      <c r="A15211" s="0" t="e">
        <f aca="false">ODDFPRICE(DATE(2024,3,1),DATE(2026,8,31),DATE(2024,1,31),DATE(2024,8,31),0.05,0.08,100,2,1)</f>
        <v>#VALUE!</v>
      </c>
      <c r="B15211" s="0" t="s">
        <v>15057</v>
      </c>
    </row>
    <row r="15212" customFormat="false" ht="15" hidden="false" customHeight="false" outlineLevel="0" collapsed="false">
      <c r="A15212" s="0" t="e">
        <f aca="false">ODDFPRICE(DATE(2024,3,1),DATE(2026,8,31),DATE(2024,1,31),DATE(2024,8,31),0.1,0.03,105,2,1)</f>
        <v>#VALUE!</v>
      </c>
      <c r="B15212" s="0" t="s">
        <v>15058</v>
      </c>
    </row>
    <row r="15213" customFormat="false" ht="15" hidden="false" customHeight="false" outlineLevel="0" collapsed="false">
      <c r="A15213" s="0" t="e">
        <f aca="false">ODDFPRICE(DATE(2024,3,1),DATE(2026,8,31),DATE(2024,1,31),DATE(2024,8,31),0,0.05,100,2,1)</f>
        <v>#VALUE!</v>
      </c>
      <c r="B15213" s="0" t="s">
        <v>15059</v>
      </c>
    </row>
    <row r="15214" customFormat="false" ht="15" hidden="false" customHeight="false" outlineLevel="0" collapsed="false">
      <c r="A15214" s="0" t="e">
        <f aca="false">ODDFYIELD(DATE(2024,3,1),DATE(2026,8,31),DATE(2024,1,31),DATE(2024,8,31),0.05,95,100,2,1)</f>
        <v>#VALUE!</v>
      </c>
      <c r="B15214" s="0" t="s">
        <v>15060</v>
      </c>
    </row>
    <row r="15215" customFormat="false" ht="15" hidden="false" customHeight="false" outlineLevel="0" collapsed="false">
      <c r="A15215" s="0" t="e">
        <f aca="false">ODDFYIELD(DATE(2024,3,1),DATE(2026,8,31),DATE(2024,1,31),DATE(2024,8,31),0.1,101.5,100,2,1)</f>
        <v>#VALUE!</v>
      </c>
      <c r="B15215" s="0" t="s">
        <v>15061</v>
      </c>
    </row>
    <row r="15216" customFormat="false" ht="15" hidden="false" customHeight="false" outlineLevel="0" collapsed="false">
      <c r="A15216" s="0" t="e">
        <f aca="false">ODDFYIELD(DATE(2024,3,1),DATE(2026,8,31),DATE(2024,1,31),DATE(2024,8,31),0.05,100,100,2,1)</f>
        <v>#VALUE!</v>
      </c>
      <c r="B15216" s="0" t="s">
        <v>15062</v>
      </c>
    </row>
    <row r="15217" customFormat="false" ht="15" hidden="false" customHeight="false" outlineLevel="0" collapsed="false">
      <c r="A15217" s="0" t="e">
        <f aca="false">ODDFPRICE(DATE(2024,3,1),DATE(2026,8,31),DATE(2024,1,31),DATE(2024,8,31),0.05,0.08,100,2,2)</f>
        <v>#VALUE!</v>
      </c>
      <c r="B15217" s="0" t="s">
        <v>15063</v>
      </c>
    </row>
    <row r="15218" customFormat="false" ht="15" hidden="false" customHeight="false" outlineLevel="0" collapsed="false">
      <c r="A15218" s="0" t="e">
        <f aca="false">ODDFPRICE(DATE(2024,3,1),DATE(2026,8,31),DATE(2024,1,31),DATE(2024,8,31),0.1,0.03,105,2,2)</f>
        <v>#VALUE!</v>
      </c>
      <c r="B15218" s="0" t="s">
        <v>15064</v>
      </c>
    </row>
    <row r="15219" customFormat="false" ht="15" hidden="false" customHeight="false" outlineLevel="0" collapsed="false">
      <c r="A15219" s="0" t="e">
        <f aca="false">ODDFPRICE(DATE(2024,3,1),DATE(2026,8,31),DATE(2024,1,31),DATE(2024,8,31),0,0.05,100,2,2)</f>
        <v>#VALUE!</v>
      </c>
      <c r="B15219" s="0" t="s">
        <v>15065</v>
      </c>
    </row>
    <row r="15220" customFormat="false" ht="15" hidden="false" customHeight="false" outlineLevel="0" collapsed="false">
      <c r="A15220" s="0" t="e">
        <f aca="false">ODDFYIELD(DATE(2024,3,1),DATE(2026,8,31),DATE(2024,1,31),DATE(2024,8,31),0.05,95,100,2,2)</f>
        <v>#VALUE!</v>
      </c>
      <c r="B15220" s="0" t="s">
        <v>15066</v>
      </c>
    </row>
    <row r="15221" customFormat="false" ht="15" hidden="false" customHeight="false" outlineLevel="0" collapsed="false">
      <c r="A15221" s="0" t="e">
        <f aca="false">ODDFYIELD(DATE(2024,3,1),DATE(2026,8,31),DATE(2024,1,31),DATE(2024,8,31),0.1,101.5,100,2,2)</f>
        <v>#VALUE!</v>
      </c>
      <c r="B15221" s="0" t="s">
        <v>15067</v>
      </c>
    </row>
    <row r="15222" customFormat="false" ht="15" hidden="false" customHeight="false" outlineLevel="0" collapsed="false">
      <c r="A15222" s="0" t="e">
        <f aca="false">ODDFYIELD(DATE(2024,3,1),DATE(2026,8,31),DATE(2024,1,31),DATE(2024,8,31),0.05,100,100,2,2)</f>
        <v>#VALUE!</v>
      </c>
      <c r="B15222" s="0" t="s">
        <v>15068</v>
      </c>
    </row>
    <row r="15223" customFormat="false" ht="15" hidden="false" customHeight="false" outlineLevel="0" collapsed="false">
      <c r="A15223" s="0" t="e">
        <f aca="false">ODDFPRICE(DATE(2024,3,1),DATE(2026,8,31),DATE(2024,1,31),DATE(2024,8,31),0.05,0.08,100,2,3)</f>
        <v>#VALUE!</v>
      </c>
      <c r="B15223" s="0" t="s">
        <v>15069</v>
      </c>
    </row>
    <row r="15224" customFormat="false" ht="15" hidden="false" customHeight="false" outlineLevel="0" collapsed="false">
      <c r="A15224" s="0" t="e">
        <f aca="false">ODDFPRICE(DATE(2024,3,1),DATE(2026,8,31),DATE(2024,1,31),DATE(2024,8,31),0.1,0.03,105,2,3)</f>
        <v>#VALUE!</v>
      </c>
      <c r="B15224" s="0" t="s">
        <v>15070</v>
      </c>
    </row>
    <row r="15225" customFormat="false" ht="15" hidden="false" customHeight="false" outlineLevel="0" collapsed="false">
      <c r="A15225" s="0" t="e">
        <f aca="false">ODDFPRICE(DATE(2024,3,1),DATE(2026,8,31),DATE(2024,1,31),DATE(2024,8,31),0,0.05,100,2,3)</f>
        <v>#VALUE!</v>
      </c>
      <c r="B15225" s="0" t="s">
        <v>15071</v>
      </c>
    </row>
    <row r="15226" customFormat="false" ht="15" hidden="false" customHeight="false" outlineLevel="0" collapsed="false">
      <c r="A15226" s="0" t="e">
        <f aca="false">ODDFYIELD(DATE(2024,3,1),DATE(2026,8,31),DATE(2024,1,31),DATE(2024,8,31),0.05,95,100,2,3)</f>
        <v>#VALUE!</v>
      </c>
      <c r="B15226" s="0" t="s">
        <v>15072</v>
      </c>
    </row>
    <row r="15227" customFormat="false" ht="15" hidden="false" customHeight="false" outlineLevel="0" collapsed="false">
      <c r="A15227" s="0" t="e">
        <f aca="false">ODDFYIELD(DATE(2024,3,1),DATE(2026,8,31),DATE(2024,1,31),DATE(2024,8,31),0.1,101.5,100,2,3)</f>
        <v>#VALUE!</v>
      </c>
      <c r="B15227" s="0" t="s">
        <v>15073</v>
      </c>
    </row>
    <row r="15228" customFormat="false" ht="15" hidden="false" customHeight="false" outlineLevel="0" collapsed="false">
      <c r="A15228" s="0" t="e">
        <f aca="false">ODDFYIELD(DATE(2024,3,1),DATE(2026,8,31),DATE(2024,1,31),DATE(2024,8,31),0.05,100,100,2,3)</f>
        <v>#VALUE!</v>
      </c>
      <c r="B15228" s="0" t="s">
        <v>15074</v>
      </c>
    </row>
    <row r="15229" customFormat="false" ht="15" hidden="false" customHeight="false" outlineLevel="0" collapsed="false">
      <c r="A15229" s="0" t="e">
        <f aca="false">ODDFPRICE(DATE(2024,3,1),DATE(2026,8,31),DATE(2024,1,31),DATE(2024,8,31),0.05,0.08,100,2,4)</f>
        <v>#VALUE!</v>
      </c>
      <c r="B15229" s="0" t="s">
        <v>15075</v>
      </c>
    </row>
    <row r="15230" customFormat="false" ht="15" hidden="false" customHeight="false" outlineLevel="0" collapsed="false">
      <c r="A15230" s="0" t="e">
        <f aca="false">ODDFPRICE(DATE(2024,3,1),DATE(2026,8,31),DATE(2024,1,31),DATE(2024,8,31),0.1,0.03,105,2,4)</f>
        <v>#VALUE!</v>
      </c>
      <c r="B15230" s="0" t="s">
        <v>15076</v>
      </c>
    </row>
    <row r="15231" customFormat="false" ht="15" hidden="false" customHeight="false" outlineLevel="0" collapsed="false">
      <c r="A15231" s="0" t="e">
        <f aca="false">ODDFPRICE(DATE(2024,3,1),DATE(2026,8,31),DATE(2024,1,31),DATE(2024,8,31),0,0.05,100,2,4)</f>
        <v>#VALUE!</v>
      </c>
      <c r="B15231" s="0" t="s">
        <v>15077</v>
      </c>
    </row>
    <row r="15232" customFormat="false" ht="15" hidden="false" customHeight="false" outlineLevel="0" collapsed="false">
      <c r="A15232" s="0" t="e">
        <f aca="false">ODDFYIELD(DATE(2024,3,1),DATE(2026,8,31),DATE(2024,1,31),DATE(2024,8,31),0.05,95,100,2,4)</f>
        <v>#VALUE!</v>
      </c>
      <c r="B15232" s="0" t="s">
        <v>15078</v>
      </c>
    </row>
    <row r="15233" customFormat="false" ht="15" hidden="false" customHeight="false" outlineLevel="0" collapsed="false">
      <c r="A15233" s="0" t="e">
        <f aca="false">ODDFYIELD(DATE(2024,3,1),DATE(2026,8,31),DATE(2024,1,31),DATE(2024,8,31),0.1,101.5,100,2,4)</f>
        <v>#VALUE!</v>
      </c>
      <c r="B15233" s="0" t="s">
        <v>15079</v>
      </c>
    </row>
    <row r="15234" customFormat="false" ht="15" hidden="false" customHeight="false" outlineLevel="0" collapsed="false">
      <c r="A15234" s="0" t="e">
        <f aca="false">ODDFYIELD(DATE(2024,3,1),DATE(2026,8,31),DATE(2024,1,31),DATE(2024,8,31),0.05,100,100,2,4)</f>
        <v>#VALUE!</v>
      </c>
      <c r="B15234" s="0" t="s">
        <v>15080</v>
      </c>
    </row>
    <row r="15235" customFormat="false" ht="15" hidden="false" customHeight="false" outlineLevel="0" collapsed="false">
      <c r="A15235" s="0" t="e">
        <f aca="false">ODDFPRICE(DATE(2024,3,1),DATE(2026,8,31),DATE(2024,1,31),DATE(2024,8,31),0.05,0.08,100,4,0)</f>
        <v>#VALUE!</v>
      </c>
      <c r="B15235" s="0" t="s">
        <v>15081</v>
      </c>
    </row>
    <row r="15236" customFormat="false" ht="15" hidden="false" customHeight="false" outlineLevel="0" collapsed="false">
      <c r="A15236" s="0" t="e">
        <f aca="false">ODDFPRICE(DATE(2024,3,1),DATE(2026,8,31),DATE(2024,1,31),DATE(2024,8,31),0.1,0.03,105,4,0)</f>
        <v>#VALUE!</v>
      </c>
      <c r="B15236" s="0" t="s">
        <v>15082</v>
      </c>
    </row>
    <row r="15237" customFormat="false" ht="15" hidden="false" customHeight="false" outlineLevel="0" collapsed="false">
      <c r="A15237" s="0" t="e">
        <f aca="false">ODDFPRICE(DATE(2024,3,1),DATE(2026,8,31),DATE(2024,1,31),DATE(2024,8,31),0,0.05,100,4,0)</f>
        <v>#VALUE!</v>
      </c>
      <c r="B15237" s="0" t="s">
        <v>15083</v>
      </c>
    </row>
    <row r="15238" customFormat="false" ht="15" hidden="false" customHeight="false" outlineLevel="0" collapsed="false">
      <c r="A15238" s="0" t="e">
        <f aca="false">ODDFYIELD(DATE(2024,3,1),DATE(2026,8,31),DATE(2024,1,31),DATE(2024,8,31),0.05,95,100,4,0)</f>
        <v>#VALUE!</v>
      </c>
      <c r="B15238" s="0" t="s">
        <v>15084</v>
      </c>
    </row>
    <row r="15239" customFormat="false" ht="15" hidden="false" customHeight="false" outlineLevel="0" collapsed="false">
      <c r="A15239" s="0" t="e">
        <f aca="false">ODDFYIELD(DATE(2024,3,1),DATE(2026,8,31),DATE(2024,1,31),DATE(2024,8,31),0.1,101.5,100,4,0)</f>
        <v>#VALUE!</v>
      </c>
      <c r="B15239" s="0" t="s">
        <v>15085</v>
      </c>
    </row>
    <row r="15240" customFormat="false" ht="15" hidden="false" customHeight="false" outlineLevel="0" collapsed="false">
      <c r="A15240" s="0" t="e">
        <f aca="false">ODDFYIELD(DATE(2024,3,1),DATE(2026,8,31),DATE(2024,1,31),DATE(2024,8,31),0.05,100,100,4,0)</f>
        <v>#VALUE!</v>
      </c>
      <c r="B15240" s="0" t="s">
        <v>15086</v>
      </c>
    </row>
    <row r="15241" customFormat="false" ht="15" hidden="false" customHeight="false" outlineLevel="0" collapsed="false">
      <c r="A15241" s="0" t="e">
        <f aca="false">ODDFPRICE(DATE(2024,3,1),DATE(2026,8,31),DATE(2024,1,31),DATE(2024,8,31),0.05,0.08,100,4,1)</f>
        <v>#VALUE!</v>
      </c>
      <c r="B15241" s="0" t="s">
        <v>15087</v>
      </c>
    </row>
    <row r="15242" customFormat="false" ht="15" hidden="false" customHeight="false" outlineLevel="0" collapsed="false">
      <c r="A15242" s="0" t="e">
        <f aca="false">ODDFPRICE(DATE(2024,3,1),DATE(2026,8,31),DATE(2024,1,31),DATE(2024,8,31),0.1,0.03,105,4,1)</f>
        <v>#VALUE!</v>
      </c>
      <c r="B15242" s="0" t="s">
        <v>15088</v>
      </c>
    </row>
    <row r="15243" customFormat="false" ht="15" hidden="false" customHeight="false" outlineLevel="0" collapsed="false">
      <c r="A15243" s="0" t="e">
        <f aca="false">ODDFPRICE(DATE(2024,3,1),DATE(2026,8,31),DATE(2024,1,31),DATE(2024,8,31),0,0.05,100,4,1)</f>
        <v>#VALUE!</v>
      </c>
      <c r="B15243" s="0" t="s">
        <v>15089</v>
      </c>
    </row>
    <row r="15244" customFormat="false" ht="15" hidden="false" customHeight="false" outlineLevel="0" collapsed="false">
      <c r="A15244" s="0" t="e">
        <f aca="false">ODDFYIELD(DATE(2024,3,1),DATE(2026,8,31),DATE(2024,1,31),DATE(2024,8,31),0.05,95,100,4,1)</f>
        <v>#VALUE!</v>
      </c>
      <c r="B15244" s="0" t="s">
        <v>15090</v>
      </c>
    </row>
    <row r="15245" customFormat="false" ht="15" hidden="false" customHeight="false" outlineLevel="0" collapsed="false">
      <c r="A15245" s="0" t="e">
        <f aca="false">ODDFYIELD(DATE(2024,3,1),DATE(2026,8,31),DATE(2024,1,31),DATE(2024,8,31),0.1,101.5,100,4,1)</f>
        <v>#VALUE!</v>
      </c>
      <c r="B15245" s="0" t="s">
        <v>15091</v>
      </c>
    </row>
    <row r="15246" customFormat="false" ht="15" hidden="false" customHeight="false" outlineLevel="0" collapsed="false">
      <c r="A15246" s="0" t="e">
        <f aca="false">ODDFYIELD(DATE(2024,3,1),DATE(2026,8,31),DATE(2024,1,31),DATE(2024,8,31),0.05,100,100,4,1)</f>
        <v>#VALUE!</v>
      </c>
      <c r="B15246" s="0" t="s">
        <v>15092</v>
      </c>
    </row>
    <row r="15247" customFormat="false" ht="15" hidden="false" customHeight="false" outlineLevel="0" collapsed="false">
      <c r="A15247" s="0" t="e">
        <f aca="false">ODDFPRICE(DATE(2024,3,1),DATE(2026,8,31),DATE(2024,1,31),DATE(2024,8,31),0.05,0.08,100,4,2)</f>
        <v>#VALUE!</v>
      </c>
      <c r="B15247" s="0" t="s">
        <v>15093</v>
      </c>
    </row>
    <row r="15248" customFormat="false" ht="15" hidden="false" customHeight="false" outlineLevel="0" collapsed="false">
      <c r="A15248" s="0" t="e">
        <f aca="false">ODDFPRICE(DATE(2024,3,1),DATE(2026,8,31),DATE(2024,1,31),DATE(2024,8,31),0.1,0.03,105,4,2)</f>
        <v>#VALUE!</v>
      </c>
      <c r="B15248" s="0" t="s">
        <v>15094</v>
      </c>
    </row>
    <row r="15249" customFormat="false" ht="15" hidden="false" customHeight="false" outlineLevel="0" collapsed="false">
      <c r="A15249" s="0" t="e">
        <f aca="false">ODDFPRICE(DATE(2024,3,1),DATE(2026,8,31),DATE(2024,1,31),DATE(2024,8,31),0,0.05,100,4,2)</f>
        <v>#VALUE!</v>
      </c>
      <c r="B15249" s="0" t="s">
        <v>15095</v>
      </c>
    </row>
    <row r="15250" customFormat="false" ht="15" hidden="false" customHeight="false" outlineLevel="0" collapsed="false">
      <c r="A15250" s="0" t="e">
        <f aca="false">ODDFYIELD(DATE(2024,3,1),DATE(2026,8,31),DATE(2024,1,31),DATE(2024,8,31),0.05,95,100,4,2)</f>
        <v>#VALUE!</v>
      </c>
      <c r="B15250" s="0" t="s">
        <v>15096</v>
      </c>
    </row>
    <row r="15251" customFormat="false" ht="15" hidden="false" customHeight="false" outlineLevel="0" collapsed="false">
      <c r="A15251" s="0" t="e">
        <f aca="false">ODDFYIELD(DATE(2024,3,1),DATE(2026,8,31),DATE(2024,1,31),DATE(2024,8,31),0.1,101.5,100,4,2)</f>
        <v>#VALUE!</v>
      </c>
      <c r="B15251" s="0" t="s">
        <v>15097</v>
      </c>
    </row>
    <row r="15252" customFormat="false" ht="15" hidden="false" customHeight="false" outlineLevel="0" collapsed="false">
      <c r="A15252" s="0" t="e">
        <f aca="false">ODDFYIELD(DATE(2024,3,1),DATE(2026,8,31),DATE(2024,1,31),DATE(2024,8,31),0.05,100,100,4,2)</f>
        <v>#VALUE!</v>
      </c>
      <c r="B15252" s="0" t="s">
        <v>15098</v>
      </c>
    </row>
    <row r="15253" customFormat="false" ht="15" hidden="false" customHeight="false" outlineLevel="0" collapsed="false">
      <c r="A15253" s="0" t="e">
        <f aca="false">ODDFPRICE(DATE(2024,3,1),DATE(2026,8,31),DATE(2024,1,31),DATE(2024,8,31),0.05,0.08,100,4,3)</f>
        <v>#VALUE!</v>
      </c>
      <c r="B15253" s="0" t="s">
        <v>15099</v>
      </c>
    </row>
    <row r="15254" customFormat="false" ht="15" hidden="false" customHeight="false" outlineLevel="0" collapsed="false">
      <c r="A15254" s="0" t="e">
        <f aca="false">ODDFPRICE(DATE(2024,3,1),DATE(2026,8,31),DATE(2024,1,31),DATE(2024,8,31),0.1,0.03,105,4,3)</f>
        <v>#VALUE!</v>
      </c>
      <c r="B15254" s="0" t="s">
        <v>15100</v>
      </c>
    </row>
    <row r="15255" customFormat="false" ht="15" hidden="false" customHeight="false" outlineLevel="0" collapsed="false">
      <c r="A15255" s="0" t="e">
        <f aca="false">ODDFPRICE(DATE(2024,3,1),DATE(2026,8,31),DATE(2024,1,31),DATE(2024,8,31),0,0.05,100,4,3)</f>
        <v>#VALUE!</v>
      </c>
      <c r="B15255" s="0" t="s">
        <v>15101</v>
      </c>
    </row>
    <row r="15256" customFormat="false" ht="15" hidden="false" customHeight="false" outlineLevel="0" collapsed="false">
      <c r="A15256" s="0" t="e">
        <f aca="false">ODDFYIELD(DATE(2024,3,1),DATE(2026,8,31),DATE(2024,1,31),DATE(2024,8,31),0.05,95,100,4,3)</f>
        <v>#VALUE!</v>
      </c>
      <c r="B15256" s="0" t="s">
        <v>15102</v>
      </c>
    </row>
    <row r="15257" customFormat="false" ht="15" hidden="false" customHeight="false" outlineLevel="0" collapsed="false">
      <c r="A15257" s="0" t="e">
        <f aca="false">ODDFYIELD(DATE(2024,3,1),DATE(2026,8,31),DATE(2024,1,31),DATE(2024,8,31),0.1,101.5,100,4,3)</f>
        <v>#VALUE!</v>
      </c>
      <c r="B15257" s="0" t="s">
        <v>15103</v>
      </c>
    </row>
    <row r="15258" customFormat="false" ht="15" hidden="false" customHeight="false" outlineLevel="0" collapsed="false">
      <c r="A15258" s="0" t="e">
        <f aca="false">ODDFYIELD(DATE(2024,3,1),DATE(2026,8,31),DATE(2024,1,31),DATE(2024,8,31),0.05,100,100,4,3)</f>
        <v>#VALUE!</v>
      </c>
      <c r="B15258" s="0" t="s">
        <v>15104</v>
      </c>
    </row>
    <row r="15259" customFormat="false" ht="15" hidden="false" customHeight="false" outlineLevel="0" collapsed="false">
      <c r="A15259" s="0" t="e">
        <f aca="false">ODDFPRICE(DATE(2024,3,1),DATE(2026,8,31),DATE(2024,1,31),DATE(2024,8,31),0.05,0.08,100,4,4)</f>
        <v>#VALUE!</v>
      </c>
      <c r="B15259" s="0" t="s">
        <v>15105</v>
      </c>
    </row>
    <row r="15260" customFormat="false" ht="15" hidden="false" customHeight="false" outlineLevel="0" collapsed="false">
      <c r="A15260" s="0" t="e">
        <f aca="false">ODDFPRICE(DATE(2024,3,1),DATE(2026,8,31),DATE(2024,1,31),DATE(2024,8,31),0.1,0.03,105,4,4)</f>
        <v>#VALUE!</v>
      </c>
      <c r="B15260" s="0" t="s">
        <v>15106</v>
      </c>
    </row>
    <row r="15261" customFormat="false" ht="15" hidden="false" customHeight="false" outlineLevel="0" collapsed="false">
      <c r="A15261" s="0" t="e">
        <f aca="false">ODDFPRICE(DATE(2024,3,1),DATE(2026,8,31),DATE(2024,1,31),DATE(2024,8,31),0,0.05,100,4,4)</f>
        <v>#VALUE!</v>
      </c>
      <c r="B15261" s="0" t="s">
        <v>15107</v>
      </c>
    </row>
    <row r="15262" customFormat="false" ht="15" hidden="false" customHeight="false" outlineLevel="0" collapsed="false">
      <c r="A15262" s="0" t="e">
        <f aca="false">ODDFYIELD(DATE(2024,3,1),DATE(2026,8,31),DATE(2024,1,31),DATE(2024,8,31),0.05,95,100,4,4)</f>
        <v>#VALUE!</v>
      </c>
      <c r="B15262" s="0" t="s">
        <v>15108</v>
      </c>
    </row>
    <row r="15263" customFormat="false" ht="15" hidden="false" customHeight="false" outlineLevel="0" collapsed="false">
      <c r="A15263" s="0" t="e">
        <f aca="false">ODDFYIELD(DATE(2024,3,1),DATE(2026,8,31),DATE(2024,1,31),DATE(2024,8,31),0.1,101.5,100,4,4)</f>
        <v>#VALUE!</v>
      </c>
      <c r="B15263" s="0" t="s">
        <v>15109</v>
      </c>
    </row>
    <row r="15264" customFormat="false" ht="15" hidden="false" customHeight="false" outlineLevel="0" collapsed="false">
      <c r="A15264" s="0" t="e">
        <f aca="false">ODDFYIELD(DATE(2024,3,1),DATE(2026,8,31),DATE(2024,1,31),DATE(2024,8,31),0.05,100,100,4,4)</f>
        <v>#VALUE!</v>
      </c>
      <c r="B15264" s="0" t="s">
        <v>15110</v>
      </c>
    </row>
    <row r="15265" customFormat="false" ht="15" hidden="false" customHeight="false" outlineLevel="0" collapsed="false">
      <c r="A15265" s="0" t="e">
        <f aca="false">ODDFPRICE(DATE(2024,3,20),DATE(2025,4,15),DATE(2024,3,15),DATE(2024,4,15),0.05,0.08,100,1,0)</f>
        <v>#VALUE!</v>
      </c>
      <c r="B15265" s="0" t="s">
        <v>15111</v>
      </c>
    </row>
    <row r="15266" customFormat="false" ht="15" hidden="false" customHeight="false" outlineLevel="0" collapsed="false">
      <c r="A15266" s="0" t="e">
        <f aca="false">ODDFPRICE(DATE(2024,3,20),DATE(2025,4,15),DATE(2024,3,15),DATE(2024,4,15),0.1,0.03,105,1,0)</f>
        <v>#VALUE!</v>
      </c>
      <c r="B15266" s="0" t="s">
        <v>15112</v>
      </c>
    </row>
    <row r="15267" customFormat="false" ht="15" hidden="false" customHeight="false" outlineLevel="0" collapsed="false">
      <c r="A15267" s="0" t="e">
        <f aca="false">ODDFPRICE(DATE(2024,3,20),DATE(2025,4,15),DATE(2024,3,15),DATE(2024,4,15),0,0.05,100,1,0)</f>
        <v>#VALUE!</v>
      </c>
      <c r="B15267" s="0" t="s">
        <v>15113</v>
      </c>
    </row>
    <row r="15268" customFormat="false" ht="15" hidden="false" customHeight="false" outlineLevel="0" collapsed="false">
      <c r="A15268" s="0" t="e">
        <f aca="false">ODDFYIELD(DATE(2024,3,20),DATE(2025,4,15),DATE(2024,3,15),DATE(2024,4,15),0.05,95,100,1,0)</f>
        <v>#VALUE!</v>
      </c>
      <c r="B15268" s="0" t="s">
        <v>15114</v>
      </c>
    </row>
    <row r="15269" customFormat="false" ht="15" hidden="false" customHeight="false" outlineLevel="0" collapsed="false">
      <c r="A15269" s="0" t="e">
        <f aca="false">ODDFYIELD(DATE(2024,3,20),DATE(2025,4,15),DATE(2024,3,15),DATE(2024,4,15),0.1,101.5,100,1,0)</f>
        <v>#VALUE!</v>
      </c>
      <c r="B15269" s="0" t="s">
        <v>15115</v>
      </c>
    </row>
    <row r="15270" customFormat="false" ht="15" hidden="false" customHeight="false" outlineLevel="0" collapsed="false">
      <c r="A15270" s="0" t="e">
        <f aca="false">ODDFYIELD(DATE(2024,3,20),DATE(2025,4,15),DATE(2024,3,15),DATE(2024,4,15),0.05,100,100,1,0)</f>
        <v>#VALUE!</v>
      </c>
      <c r="B15270" s="0" t="s">
        <v>15116</v>
      </c>
    </row>
    <row r="15271" customFormat="false" ht="15" hidden="false" customHeight="false" outlineLevel="0" collapsed="false">
      <c r="A15271" s="0" t="e">
        <f aca="false">ODDFPRICE(DATE(2024,3,20),DATE(2025,4,15),DATE(2024,3,15),DATE(2024,4,15),0.05,0.08,100,1,1)</f>
        <v>#VALUE!</v>
      </c>
      <c r="B15271" s="0" t="s">
        <v>15117</v>
      </c>
    </row>
    <row r="15272" customFormat="false" ht="15" hidden="false" customHeight="false" outlineLevel="0" collapsed="false">
      <c r="A15272" s="0" t="e">
        <f aca="false">ODDFPRICE(DATE(2024,3,20),DATE(2025,4,15),DATE(2024,3,15),DATE(2024,4,15),0.1,0.03,105,1,1)</f>
        <v>#VALUE!</v>
      </c>
      <c r="B15272" s="0" t="s">
        <v>15118</v>
      </c>
    </row>
    <row r="15273" customFormat="false" ht="15" hidden="false" customHeight="false" outlineLevel="0" collapsed="false">
      <c r="A15273" s="0" t="e">
        <f aca="false">ODDFPRICE(DATE(2024,3,20),DATE(2025,4,15),DATE(2024,3,15),DATE(2024,4,15),0,0.05,100,1,1)</f>
        <v>#VALUE!</v>
      </c>
      <c r="B15273" s="0" t="s">
        <v>15119</v>
      </c>
    </row>
    <row r="15274" customFormat="false" ht="15" hidden="false" customHeight="false" outlineLevel="0" collapsed="false">
      <c r="A15274" s="0" t="e">
        <f aca="false">ODDFYIELD(DATE(2024,3,20),DATE(2025,4,15),DATE(2024,3,15),DATE(2024,4,15),0.05,95,100,1,1)</f>
        <v>#VALUE!</v>
      </c>
      <c r="B15274" s="0" t="s">
        <v>15120</v>
      </c>
    </row>
    <row r="15275" customFormat="false" ht="15" hidden="false" customHeight="false" outlineLevel="0" collapsed="false">
      <c r="A15275" s="0" t="e">
        <f aca="false">ODDFYIELD(DATE(2024,3,20),DATE(2025,4,15),DATE(2024,3,15),DATE(2024,4,15),0.1,101.5,100,1,1)</f>
        <v>#VALUE!</v>
      </c>
      <c r="B15275" s="0" t="s">
        <v>15121</v>
      </c>
    </row>
    <row r="15276" customFormat="false" ht="15" hidden="false" customHeight="false" outlineLevel="0" collapsed="false">
      <c r="A15276" s="0" t="e">
        <f aca="false">ODDFYIELD(DATE(2024,3,20),DATE(2025,4,15),DATE(2024,3,15),DATE(2024,4,15),0.05,100,100,1,1)</f>
        <v>#VALUE!</v>
      </c>
      <c r="B15276" s="0" t="s">
        <v>15122</v>
      </c>
    </row>
    <row r="15277" customFormat="false" ht="15" hidden="false" customHeight="false" outlineLevel="0" collapsed="false">
      <c r="A15277" s="0" t="e">
        <f aca="false">ODDFPRICE(DATE(2024,3,20),DATE(2025,4,15),DATE(2024,3,15),DATE(2024,4,15),0.05,0.08,100,1,2)</f>
        <v>#VALUE!</v>
      </c>
      <c r="B15277" s="0" t="s">
        <v>15123</v>
      </c>
    </row>
    <row r="15278" customFormat="false" ht="15" hidden="false" customHeight="false" outlineLevel="0" collapsed="false">
      <c r="A15278" s="0" t="e">
        <f aca="false">ODDFPRICE(DATE(2024,3,20),DATE(2025,4,15),DATE(2024,3,15),DATE(2024,4,15),0.1,0.03,105,1,2)</f>
        <v>#VALUE!</v>
      </c>
      <c r="B15278" s="0" t="s">
        <v>15124</v>
      </c>
    </row>
    <row r="15279" customFormat="false" ht="15" hidden="false" customHeight="false" outlineLevel="0" collapsed="false">
      <c r="A15279" s="0" t="e">
        <f aca="false">ODDFPRICE(DATE(2024,3,20),DATE(2025,4,15),DATE(2024,3,15),DATE(2024,4,15),0,0.05,100,1,2)</f>
        <v>#VALUE!</v>
      </c>
      <c r="B15279" s="0" t="s">
        <v>15125</v>
      </c>
    </row>
    <row r="15280" customFormat="false" ht="15" hidden="false" customHeight="false" outlineLevel="0" collapsed="false">
      <c r="A15280" s="0" t="e">
        <f aca="false">ODDFYIELD(DATE(2024,3,20),DATE(2025,4,15),DATE(2024,3,15),DATE(2024,4,15),0.05,95,100,1,2)</f>
        <v>#VALUE!</v>
      </c>
      <c r="B15280" s="0" t="s">
        <v>15126</v>
      </c>
    </row>
    <row r="15281" customFormat="false" ht="15" hidden="false" customHeight="false" outlineLevel="0" collapsed="false">
      <c r="A15281" s="0" t="e">
        <f aca="false">ODDFYIELD(DATE(2024,3,20),DATE(2025,4,15),DATE(2024,3,15),DATE(2024,4,15),0.1,101.5,100,1,2)</f>
        <v>#VALUE!</v>
      </c>
      <c r="B15281" s="0" t="s">
        <v>15127</v>
      </c>
    </row>
    <row r="15282" customFormat="false" ht="15" hidden="false" customHeight="false" outlineLevel="0" collapsed="false">
      <c r="A15282" s="0" t="e">
        <f aca="false">ODDFYIELD(DATE(2024,3,20),DATE(2025,4,15),DATE(2024,3,15),DATE(2024,4,15),0.05,100,100,1,2)</f>
        <v>#VALUE!</v>
      </c>
      <c r="B15282" s="0" t="s">
        <v>15128</v>
      </c>
    </row>
    <row r="15283" customFormat="false" ht="15" hidden="false" customHeight="false" outlineLevel="0" collapsed="false">
      <c r="A15283" s="0" t="e">
        <f aca="false">ODDFPRICE(DATE(2024,3,20),DATE(2025,4,15),DATE(2024,3,15),DATE(2024,4,15),0.05,0.08,100,1,3)</f>
        <v>#VALUE!</v>
      </c>
      <c r="B15283" s="0" t="s">
        <v>15129</v>
      </c>
    </row>
    <row r="15284" customFormat="false" ht="15" hidden="false" customHeight="false" outlineLevel="0" collapsed="false">
      <c r="A15284" s="0" t="e">
        <f aca="false">ODDFPRICE(DATE(2024,3,20),DATE(2025,4,15),DATE(2024,3,15),DATE(2024,4,15),0.1,0.03,105,1,3)</f>
        <v>#VALUE!</v>
      </c>
      <c r="B15284" s="0" t="s">
        <v>15130</v>
      </c>
    </row>
    <row r="15285" customFormat="false" ht="15" hidden="false" customHeight="false" outlineLevel="0" collapsed="false">
      <c r="A15285" s="0" t="e">
        <f aca="false">ODDFPRICE(DATE(2024,3,20),DATE(2025,4,15),DATE(2024,3,15),DATE(2024,4,15),0,0.05,100,1,3)</f>
        <v>#VALUE!</v>
      </c>
      <c r="B15285" s="0" t="s">
        <v>15131</v>
      </c>
    </row>
    <row r="15286" customFormat="false" ht="15" hidden="false" customHeight="false" outlineLevel="0" collapsed="false">
      <c r="A15286" s="0" t="e">
        <f aca="false">ODDFYIELD(DATE(2024,3,20),DATE(2025,4,15),DATE(2024,3,15),DATE(2024,4,15),0.05,95,100,1,3)</f>
        <v>#VALUE!</v>
      </c>
      <c r="B15286" s="0" t="s">
        <v>15132</v>
      </c>
    </row>
    <row r="15287" customFormat="false" ht="15" hidden="false" customHeight="false" outlineLevel="0" collapsed="false">
      <c r="A15287" s="0" t="e">
        <f aca="false">ODDFYIELD(DATE(2024,3,20),DATE(2025,4,15),DATE(2024,3,15),DATE(2024,4,15),0.1,101.5,100,1,3)</f>
        <v>#VALUE!</v>
      </c>
      <c r="B15287" s="0" t="s">
        <v>15133</v>
      </c>
    </row>
    <row r="15288" customFormat="false" ht="15" hidden="false" customHeight="false" outlineLevel="0" collapsed="false">
      <c r="A15288" s="0" t="e">
        <f aca="false">ODDFYIELD(DATE(2024,3,20),DATE(2025,4,15),DATE(2024,3,15),DATE(2024,4,15),0.05,100,100,1,3)</f>
        <v>#VALUE!</v>
      </c>
      <c r="B15288" s="0" t="s">
        <v>15134</v>
      </c>
    </row>
    <row r="15289" customFormat="false" ht="15" hidden="false" customHeight="false" outlineLevel="0" collapsed="false">
      <c r="A15289" s="0" t="e">
        <f aca="false">ODDFPRICE(DATE(2024,3,20),DATE(2025,4,15),DATE(2024,3,15),DATE(2024,4,15),0.05,0.08,100,1,4)</f>
        <v>#VALUE!</v>
      </c>
      <c r="B15289" s="0" t="s">
        <v>15135</v>
      </c>
    </row>
    <row r="15290" customFormat="false" ht="15" hidden="false" customHeight="false" outlineLevel="0" collapsed="false">
      <c r="A15290" s="0" t="e">
        <f aca="false">ODDFPRICE(DATE(2024,3,20),DATE(2025,4,15),DATE(2024,3,15),DATE(2024,4,15),0.1,0.03,105,1,4)</f>
        <v>#VALUE!</v>
      </c>
      <c r="B15290" s="0" t="s">
        <v>15136</v>
      </c>
    </row>
    <row r="15291" customFormat="false" ht="15" hidden="false" customHeight="false" outlineLevel="0" collapsed="false">
      <c r="A15291" s="0" t="e">
        <f aca="false">ODDFPRICE(DATE(2024,3,20),DATE(2025,4,15),DATE(2024,3,15),DATE(2024,4,15),0,0.05,100,1,4)</f>
        <v>#VALUE!</v>
      </c>
      <c r="B15291" s="0" t="s">
        <v>15137</v>
      </c>
    </row>
    <row r="15292" customFormat="false" ht="15" hidden="false" customHeight="false" outlineLevel="0" collapsed="false">
      <c r="A15292" s="0" t="e">
        <f aca="false">ODDFYIELD(DATE(2024,3,20),DATE(2025,4,15),DATE(2024,3,15),DATE(2024,4,15),0.05,95,100,1,4)</f>
        <v>#VALUE!</v>
      </c>
      <c r="B15292" s="0" t="s">
        <v>15138</v>
      </c>
    </row>
    <row r="15293" customFormat="false" ht="15" hidden="false" customHeight="false" outlineLevel="0" collapsed="false">
      <c r="A15293" s="0" t="e">
        <f aca="false">ODDFYIELD(DATE(2024,3,20),DATE(2025,4,15),DATE(2024,3,15),DATE(2024,4,15),0.1,101.5,100,1,4)</f>
        <v>#VALUE!</v>
      </c>
      <c r="B15293" s="0" t="s">
        <v>15139</v>
      </c>
    </row>
    <row r="15294" customFormat="false" ht="15" hidden="false" customHeight="false" outlineLevel="0" collapsed="false">
      <c r="A15294" s="0" t="e">
        <f aca="false">ODDFYIELD(DATE(2024,3,20),DATE(2025,4,15),DATE(2024,3,15),DATE(2024,4,15),0.05,100,100,1,4)</f>
        <v>#VALUE!</v>
      </c>
      <c r="B15294" s="0" t="s">
        <v>15140</v>
      </c>
    </row>
    <row r="15295" customFormat="false" ht="15" hidden="false" customHeight="false" outlineLevel="0" collapsed="false">
      <c r="A15295" s="0" t="e">
        <f aca="false">ODDFPRICE(DATE(2024,3,20),DATE(2025,4,15),DATE(2024,3,15),DATE(2024,4,15),0.05,0.08,100,2,0)</f>
        <v>#VALUE!</v>
      </c>
      <c r="B15295" s="0" t="s">
        <v>15141</v>
      </c>
    </row>
    <row r="15296" customFormat="false" ht="15" hidden="false" customHeight="false" outlineLevel="0" collapsed="false">
      <c r="A15296" s="0" t="e">
        <f aca="false">ODDFPRICE(DATE(2024,3,20),DATE(2025,4,15),DATE(2024,3,15),DATE(2024,4,15),0.1,0.03,105,2,0)</f>
        <v>#VALUE!</v>
      </c>
      <c r="B15296" s="0" t="s">
        <v>15142</v>
      </c>
    </row>
    <row r="15297" customFormat="false" ht="15" hidden="false" customHeight="false" outlineLevel="0" collapsed="false">
      <c r="A15297" s="0" t="e">
        <f aca="false">ODDFPRICE(DATE(2024,3,20),DATE(2025,4,15),DATE(2024,3,15),DATE(2024,4,15),0,0.05,100,2,0)</f>
        <v>#VALUE!</v>
      </c>
      <c r="B15297" s="0" t="s">
        <v>15143</v>
      </c>
    </row>
    <row r="15298" customFormat="false" ht="15" hidden="false" customHeight="false" outlineLevel="0" collapsed="false">
      <c r="A15298" s="0" t="e">
        <f aca="false">ODDFYIELD(DATE(2024,3,20),DATE(2025,4,15),DATE(2024,3,15),DATE(2024,4,15),0.05,95,100,2,0)</f>
        <v>#VALUE!</v>
      </c>
      <c r="B15298" s="0" t="s">
        <v>15144</v>
      </c>
    </row>
    <row r="15299" customFormat="false" ht="15" hidden="false" customHeight="false" outlineLevel="0" collapsed="false">
      <c r="A15299" s="0" t="e">
        <f aca="false">ODDFYIELD(DATE(2024,3,20),DATE(2025,4,15),DATE(2024,3,15),DATE(2024,4,15),0.1,101.5,100,2,0)</f>
        <v>#VALUE!</v>
      </c>
      <c r="B15299" s="0" t="s">
        <v>15145</v>
      </c>
    </row>
    <row r="15300" customFormat="false" ht="15" hidden="false" customHeight="false" outlineLevel="0" collapsed="false">
      <c r="A15300" s="0" t="e">
        <f aca="false">ODDFYIELD(DATE(2024,3,20),DATE(2025,4,15),DATE(2024,3,15),DATE(2024,4,15),0.05,100,100,2,0)</f>
        <v>#VALUE!</v>
      </c>
      <c r="B15300" s="0" t="s">
        <v>15146</v>
      </c>
    </row>
    <row r="15301" customFormat="false" ht="15" hidden="false" customHeight="false" outlineLevel="0" collapsed="false">
      <c r="A15301" s="0" t="e">
        <f aca="false">ODDFPRICE(DATE(2024,3,20),DATE(2025,4,15),DATE(2024,3,15),DATE(2024,4,15),0.05,0.08,100,2,1)</f>
        <v>#VALUE!</v>
      </c>
      <c r="B15301" s="0" t="s">
        <v>15147</v>
      </c>
    </row>
    <row r="15302" customFormat="false" ht="15" hidden="false" customHeight="false" outlineLevel="0" collapsed="false">
      <c r="A15302" s="0" t="e">
        <f aca="false">ODDFPRICE(DATE(2024,3,20),DATE(2025,4,15),DATE(2024,3,15),DATE(2024,4,15),0.1,0.03,105,2,1)</f>
        <v>#VALUE!</v>
      </c>
      <c r="B15302" s="0" t="s">
        <v>15148</v>
      </c>
    </row>
    <row r="15303" customFormat="false" ht="15" hidden="false" customHeight="false" outlineLevel="0" collapsed="false">
      <c r="A15303" s="0" t="e">
        <f aca="false">ODDFPRICE(DATE(2024,3,20),DATE(2025,4,15),DATE(2024,3,15),DATE(2024,4,15),0,0.05,100,2,1)</f>
        <v>#VALUE!</v>
      </c>
      <c r="B15303" s="0" t="s">
        <v>15149</v>
      </c>
    </row>
    <row r="15304" customFormat="false" ht="15" hidden="false" customHeight="false" outlineLevel="0" collapsed="false">
      <c r="A15304" s="0" t="e">
        <f aca="false">ODDFYIELD(DATE(2024,3,20),DATE(2025,4,15),DATE(2024,3,15),DATE(2024,4,15),0.05,95,100,2,1)</f>
        <v>#VALUE!</v>
      </c>
      <c r="B15304" s="0" t="s">
        <v>15150</v>
      </c>
    </row>
    <row r="15305" customFormat="false" ht="15" hidden="false" customHeight="false" outlineLevel="0" collapsed="false">
      <c r="A15305" s="0" t="e">
        <f aca="false">ODDFYIELD(DATE(2024,3,20),DATE(2025,4,15),DATE(2024,3,15),DATE(2024,4,15),0.1,101.5,100,2,1)</f>
        <v>#VALUE!</v>
      </c>
      <c r="B15305" s="0" t="s">
        <v>15151</v>
      </c>
    </row>
    <row r="15306" customFormat="false" ht="15" hidden="false" customHeight="false" outlineLevel="0" collapsed="false">
      <c r="A15306" s="0" t="e">
        <f aca="false">ODDFYIELD(DATE(2024,3,20),DATE(2025,4,15),DATE(2024,3,15),DATE(2024,4,15),0.05,100,100,2,1)</f>
        <v>#VALUE!</v>
      </c>
      <c r="B15306" s="0" t="s">
        <v>15152</v>
      </c>
    </row>
    <row r="15307" customFormat="false" ht="15" hidden="false" customHeight="false" outlineLevel="0" collapsed="false">
      <c r="A15307" s="0" t="e">
        <f aca="false">ODDFPRICE(DATE(2024,3,20),DATE(2025,4,15),DATE(2024,3,15),DATE(2024,4,15),0.05,0.08,100,2,2)</f>
        <v>#VALUE!</v>
      </c>
      <c r="B15307" s="0" t="s">
        <v>15153</v>
      </c>
    </row>
    <row r="15308" customFormat="false" ht="15" hidden="false" customHeight="false" outlineLevel="0" collapsed="false">
      <c r="A15308" s="0" t="e">
        <f aca="false">ODDFPRICE(DATE(2024,3,20),DATE(2025,4,15),DATE(2024,3,15),DATE(2024,4,15),0.1,0.03,105,2,2)</f>
        <v>#VALUE!</v>
      </c>
      <c r="B15308" s="0" t="s">
        <v>15154</v>
      </c>
    </row>
    <row r="15309" customFormat="false" ht="15" hidden="false" customHeight="false" outlineLevel="0" collapsed="false">
      <c r="A15309" s="0" t="e">
        <f aca="false">ODDFPRICE(DATE(2024,3,20),DATE(2025,4,15),DATE(2024,3,15),DATE(2024,4,15),0,0.05,100,2,2)</f>
        <v>#VALUE!</v>
      </c>
      <c r="B15309" s="0" t="s">
        <v>15155</v>
      </c>
    </row>
    <row r="15310" customFormat="false" ht="15" hidden="false" customHeight="false" outlineLevel="0" collapsed="false">
      <c r="A15310" s="0" t="e">
        <f aca="false">ODDFYIELD(DATE(2024,3,20),DATE(2025,4,15),DATE(2024,3,15),DATE(2024,4,15),0.05,95,100,2,2)</f>
        <v>#VALUE!</v>
      </c>
      <c r="B15310" s="0" t="s">
        <v>15156</v>
      </c>
    </row>
    <row r="15311" customFormat="false" ht="15" hidden="false" customHeight="false" outlineLevel="0" collapsed="false">
      <c r="A15311" s="0" t="e">
        <f aca="false">ODDFYIELD(DATE(2024,3,20),DATE(2025,4,15),DATE(2024,3,15),DATE(2024,4,15),0.1,101.5,100,2,2)</f>
        <v>#VALUE!</v>
      </c>
      <c r="B15311" s="0" t="s">
        <v>15157</v>
      </c>
    </row>
    <row r="15312" customFormat="false" ht="15" hidden="false" customHeight="false" outlineLevel="0" collapsed="false">
      <c r="A15312" s="0" t="e">
        <f aca="false">ODDFYIELD(DATE(2024,3,20),DATE(2025,4,15),DATE(2024,3,15),DATE(2024,4,15),0.05,100,100,2,2)</f>
        <v>#VALUE!</v>
      </c>
      <c r="B15312" s="0" t="s">
        <v>15158</v>
      </c>
    </row>
    <row r="15313" customFormat="false" ht="15" hidden="false" customHeight="false" outlineLevel="0" collapsed="false">
      <c r="A15313" s="0" t="e">
        <f aca="false">ODDFPRICE(DATE(2024,3,20),DATE(2025,4,15),DATE(2024,3,15),DATE(2024,4,15),0.05,0.08,100,2,3)</f>
        <v>#VALUE!</v>
      </c>
      <c r="B15313" s="0" t="s">
        <v>15159</v>
      </c>
    </row>
    <row r="15314" customFormat="false" ht="15" hidden="false" customHeight="false" outlineLevel="0" collapsed="false">
      <c r="A15314" s="0" t="e">
        <f aca="false">ODDFPRICE(DATE(2024,3,20),DATE(2025,4,15),DATE(2024,3,15),DATE(2024,4,15),0.1,0.03,105,2,3)</f>
        <v>#VALUE!</v>
      </c>
      <c r="B15314" s="0" t="s">
        <v>15160</v>
      </c>
    </row>
    <row r="15315" customFormat="false" ht="15" hidden="false" customHeight="false" outlineLevel="0" collapsed="false">
      <c r="A15315" s="0" t="e">
        <f aca="false">ODDFPRICE(DATE(2024,3,20),DATE(2025,4,15),DATE(2024,3,15),DATE(2024,4,15),0,0.05,100,2,3)</f>
        <v>#VALUE!</v>
      </c>
      <c r="B15315" s="0" t="s">
        <v>15161</v>
      </c>
    </row>
    <row r="15316" customFormat="false" ht="15" hidden="false" customHeight="false" outlineLevel="0" collapsed="false">
      <c r="A15316" s="0" t="e">
        <f aca="false">ODDFYIELD(DATE(2024,3,20),DATE(2025,4,15),DATE(2024,3,15),DATE(2024,4,15),0.05,95,100,2,3)</f>
        <v>#VALUE!</v>
      </c>
      <c r="B15316" s="0" t="s">
        <v>15162</v>
      </c>
    </row>
    <row r="15317" customFormat="false" ht="15" hidden="false" customHeight="false" outlineLevel="0" collapsed="false">
      <c r="A15317" s="0" t="e">
        <f aca="false">ODDFYIELD(DATE(2024,3,20),DATE(2025,4,15),DATE(2024,3,15),DATE(2024,4,15),0.1,101.5,100,2,3)</f>
        <v>#VALUE!</v>
      </c>
      <c r="B15317" s="0" t="s">
        <v>15163</v>
      </c>
    </row>
    <row r="15318" customFormat="false" ht="15" hidden="false" customHeight="false" outlineLevel="0" collapsed="false">
      <c r="A15318" s="0" t="e">
        <f aca="false">ODDFYIELD(DATE(2024,3,20),DATE(2025,4,15),DATE(2024,3,15),DATE(2024,4,15),0.05,100,100,2,3)</f>
        <v>#VALUE!</v>
      </c>
      <c r="B15318" s="0" t="s">
        <v>15164</v>
      </c>
    </row>
    <row r="15319" customFormat="false" ht="15" hidden="false" customHeight="false" outlineLevel="0" collapsed="false">
      <c r="A15319" s="0" t="e">
        <f aca="false">ODDFPRICE(DATE(2024,3,20),DATE(2025,4,15),DATE(2024,3,15),DATE(2024,4,15),0.05,0.08,100,2,4)</f>
        <v>#VALUE!</v>
      </c>
      <c r="B15319" s="0" t="s">
        <v>15165</v>
      </c>
    </row>
    <row r="15320" customFormat="false" ht="15" hidden="false" customHeight="false" outlineLevel="0" collapsed="false">
      <c r="A15320" s="0" t="e">
        <f aca="false">ODDFPRICE(DATE(2024,3,20),DATE(2025,4,15),DATE(2024,3,15),DATE(2024,4,15),0.1,0.03,105,2,4)</f>
        <v>#VALUE!</v>
      </c>
      <c r="B15320" s="0" t="s">
        <v>15166</v>
      </c>
    </row>
    <row r="15321" customFormat="false" ht="15" hidden="false" customHeight="false" outlineLevel="0" collapsed="false">
      <c r="A15321" s="0" t="e">
        <f aca="false">ODDFPRICE(DATE(2024,3,20),DATE(2025,4,15),DATE(2024,3,15),DATE(2024,4,15),0,0.05,100,2,4)</f>
        <v>#VALUE!</v>
      </c>
      <c r="B15321" s="0" t="s">
        <v>15167</v>
      </c>
    </row>
    <row r="15322" customFormat="false" ht="15" hidden="false" customHeight="false" outlineLevel="0" collapsed="false">
      <c r="A15322" s="0" t="e">
        <f aca="false">ODDFYIELD(DATE(2024,3,20),DATE(2025,4,15),DATE(2024,3,15),DATE(2024,4,15),0.05,95,100,2,4)</f>
        <v>#VALUE!</v>
      </c>
      <c r="B15322" s="0" t="s">
        <v>15168</v>
      </c>
    </row>
    <row r="15323" customFormat="false" ht="15" hidden="false" customHeight="false" outlineLevel="0" collapsed="false">
      <c r="A15323" s="0" t="e">
        <f aca="false">ODDFYIELD(DATE(2024,3,20),DATE(2025,4,15),DATE(2024,3,15),DATE(2024,4,15),0.1,101.5,100,2,4)</f>
        <v>#VALUE!</v>
      </c>
      <c r="B15323" s="0" t="s">
        <v>15169</v>
      </c>
    </row>
    <row r="15324" customFormat="false" ht="15" hidden="false" customHeight="false" outlineLevel="0" collapsed="false">
      <c r="A15324" s="0" t="e">
        <f aca="false">ODDFYIELD(DATE(2024,3,20),DATE(2025,4,15),DATE(2024,3,15),DATE(2024,4,15),0.05,100,100,2,4)</f>
        <v>#VALUE!</v>
      </c>
      <c r="B15324" s="0" t="s">
        <v>15170</v>
      </c>
    </row>
    <row r="15325" customFormat="false" ht="15" hidden="false" customHeight="false" outlineLevel="0" collapsed="false">
      <c r="A15325" s="0" t="e">
        <f aca="false">ODDFPRICE(DATE(2024,3,20),DATE(2025,4,15),DATE(2024,3,15),DATE(2024,4,15),0.05,0.08,100,4,0)</f>
        <v>#VALUE!</v>
      </c>
      <c r="B15325" s="0" t="s">
        <v>15171</v>
      </c>
    </row>
    <row r="15326" customFormat="false" ht="15" hidden="false" customHeight="false" outlineLevel="0" collapsed="false">
      <c r="A15326" s="0" t="e">
        <f aca="false">ODDFPRICE(DATE(2024,3,20),DATE(2025,4,15),DATE(2024,3,15),DATE(2024,4,15),0.1,0.03,105,4,0)</f>
        <v>#VALUE!</v>
      </c>
      <c r="B15326" s="0" t="s">
        <v>15172</v>
      </c>
    </row>
    <row r="15327" customFormat="false" ht="15" hidden="false" customHeight="false" outlineLevel="0" collapsed="false">
      <c r="A15327" s="0" t="e">
        <f aca="false">ODDFPRICE(DATE(2024,3,20),DATE(2025,4,15),DATE(2024,3,15),DATE(2024,4,15),0,0.05,100,4,0)</f>
        <v>#VALUE!</v>
      </c>
      <c r="B15327" s="0" t="s">
        <v>15173</v>
      </c>
    </row>
    <row r="15328" customFormat="false" ht="15" hidden="false" customHeight="false" outlineLevel="0" collapsed="false">
      <c r="A15328" s="0" t="e">
        <f aca="false">ODDFYIELD(DATE(2024,3,20),DATE(2025,4,15),DATE(2024,3,15),DATE(2024,4,15),0.05,95,100,4,0)</f>
        <v>#VALUE!</v>
      </c>
      <c r="B15328" s="0" t="s">
        <v>15174</v>
      </c>
    </row>
    <row r="15329" customFormat="false" ht="15" hidden="false" customHeight="false" outlineLevel="0" collapsed="false">
      <c r="A15329" s="0" t="e">
        <f aca="false">ODDFYIELD(DATE(2024,3,20),DATE(2025,4,15),DATE(2024,3,15),DATE(2024,4,15),0.1,101.5,100,4,0)</f>
        <v>#VALUE!</v>
      </c>
      <c r="B15329" s="0" t="s">
        <v>15175</v>
      </c>
    </row>
    <row r="15330" customFormat="false" ht="15" hidden="false" customHeight="false" outlineLevel="0" collapsed="false">
      <c r="A15330" s="0" t="e">
        <f aca="false">ODDFYIELD(DATE(2024,3,20),DATE(2025,4,15),DATE(2024,3,15),DATE(2024,4,15),0.05,100,100,4,0)</f>
        <v>#VALUE!</v>
      </c>
      <c r="B15330" s="0" t="s">
        <v>15176</v>
      </c>
    </row>
    <row r="15331" customFormat="false" ht="15" hidden="false" customHeight="false" outlineLevel="0" collapsed="false">
      <c r="A15331" s="0" t="e">
        <f aca="false">ODDFPRICE(DATE(2024,3,20),DATE(2025,4,15),DATE(2024,3,15),DATE(2024,4,15),0.05,0.08,100,4,1)</f>
        <v>#VALUE!</v>
      </c>
      <c r="B15331" s="0" t="s">
        <v>15177</v>
      </c>
    </row>
    <row r="15332" customFormat="false" ht="15" hidden="false" customHeight="false" outlineLevel="0" collapsed="false">
      <c r="A15332" s="0" t="e">
        <f aca="false">ODDFPRICE(DATE(2024,3,20),DATE(2025,4,15),DATE(2024,3,15),DATE(2024,4,15),0.1,0.03,105,4,1)</f>
        <v>#VALUE!</v>
      </c>
      <c r="B15332" s="0" t="s">
        <v>15178</v>
      </c>
    </row>
    <row r="15333" customFormat="false" ht="15" hidden="false" customHeight="false" outlineLevel="0" collapsed="false">
      <c r="A15333" s="0" t="e">
        <f aca="false">ODDFPRICE(DATE(2024,3,20),DATE(2025,4,15),DATE(2024,3,15),DATE(2024,4,15),0,0.05,100,4,1)</f>
        <v>#VALUE!</v>
      </c>
      <c r="B15333" s="0" t="s">
        <v>15179</v>
      </c>
    </row>
    <row r="15334" customFormat="false" ht="15" hidden="false" customHeight="false" outlineLevel="0" collapsed="false">
      <c r="A15334" s="0" t="e">
        <f aca="false">ODDFYIELD(DATE(2024,3,20),DATE(2025,4,15),DATE(2024,3,15),DATE(2024,4,15),0.05,95,100,4,1)</f>
        <v>#VALUE!</v>
      </c>
      <c r="B15334" s="0" t="s">
        <v>15180</v>
      </c>
    </row>
    <row r="15335" customFormat="false" ht="15" hidden="false" customHeight="false" outlineLevel="0" collapsed="false">
      <c r="A15335" s="0" t="e">
        <f aca="false">ODDFYIELD(DATE(2024,3,20),DATE(2025,4,15),DATE(2024,3,15),DATE(2024,4,15),0.1,101.5,100,4,1)</f>
        <v>#VALUE!</v>
      </c>
      <c r="B15335" s="0" t="s">
        <v>15181</v>
      </c>
    </row>
    <row r="15336" customFormat="false" ht="15" hidden="false" customHeight="false" outlineLevel="0" collapsed="false">
      <c r="A15336" s="0" t="e">
        <f aca="false">ODDFYIELD(DATE(2024,3,20),DATE(2025,4,15),DATE(2024,3,15),DATE(2024,4,15),0.05,100,100,4,1)</f>
        <v>#VALUE!</v>
      </c>
      <c r="B15336" s="0" t="s">
        <v>15182</v>
      </c>
    </row>
    <row r="15337" customFormat="false" ht="15" hidden="false" customHeight="false" outlineLevel="0" collapsed="false">
      <c r="A15337" s="0" t="e">
        <f aca="false">ODDFPRICE(DATE(2024,3,20),DATE(2025,4,15),DATE(2024,3,15),DATE(2024,4,15),0.05,0.08,100,4,2)</f>
        <v>#VALUE!</v>
      </c>
      <c r="B15337" s="0" t="s">
        <v>15183</v>
      </c>
    </row>
    <row r="15338" customFormat="false" ht="15" hidden="false" customHeight="false" outlineLevel="0" collapsed="false">
      <c r="A15338" s="0" t="e">
        <f aca="false">ODDFPRICE(DATE(2024,3,20),DATE(2025,4,15),DATE(2024,3,15),DATE(2024,4,15),0.1,0.03,105,4,2)</f>
        <v>#VALUE!</v>
      </c>
      <c r="B15338" s="0" t="s">
        <v>15184</v>
      </c>
    </row>
    <row r="15339" customFormat="false" ht="15" hidden="false" customHeight="false" outlineLevel="0" collapsed="false">
      <c r="A15339" s="0" t="e">
        <f aca="false">ODDFPRICE(DATE(2024,3,20),DATE(2025,4,15),DATE(2024,3,15),DATE(2024,4,15),0,0.05,100,4,2)</f>
        <v>#VALUE!</v>
      </c>
      <c r="B15339" s="0" t="s">
        <v>15185</v>
      </c>
    </row>
    <row r="15340" customFormat="false" ht="15" hidden="false" customHeight="false" outlineLevel="0" collapsed="false">
      <c r="A15340" s="0" t="e">
        <f aca="false">ODDFYIELD(DATE(2024,3,20),DATE(2025,4,15),DATE(2024,3,15),DATE(2024,4,15),0.05,95,100,4,2)</f>
        <v>#VALUE!</v>
      </c>
      <c r="B15340" s="0" t="s">
        <v>15186</v>
      </c>
    </row>
    <row r="15341" customFormat="false" ht="15" hidden="false" customHeight="false" outlineLevel="0" collapsed="false">
      <c r="A15341" s="0" t="e">
        <f aca="false">ODDFYIELD(DATE(2024,3,20),DATE(2025,4,15),DATE(2024,3,15),DATE(2024,4,15),0.1,101.5,100,4,2)</f>
        <v>#VALUE!</v>
      </c>
      <c r="B15341" s="0" t="s">
        <v>15187</v>
      </c>
    </row>
    <row r="15342" customFormat="false" ht="15" hidden="false" customHeight="false" outlineLevel="0" collapsed="false">
      <c r="A15342" s="0" t="e">
        <f aca="false">ODDFYIELD(DATE(2024,3,20),DATE(2025,4,15),DATE(2024,3,15),DATE(2024,4,15),0.05,100,100,4,2)</f>
        <v>#VALUE!</v>
      </c>
      <c r="B15342" s="0" t="s">
        <v>15188</v>
      </c>
    </row>
    <row r="15343" customFormat="false" ht="15" hidden="false" customHeight="false" outlineLevel="0" collapsed="false">
      <c r="A15343" s="0" t="e">
        <f aca="false">ODDFPRICE(DATE(2024,3,20),DATE(2025,4,15),DATE(2024,3,15),DATE(2024,4,15),0.05,0.08,100,4,3)</f>
        <v>#VALUE!</v>
      </c>
      <c r="B15343" s="0" t="s">
        <v>15189</v>
      </c>
    </row>
    <row r="15344" customFormat="false" ht="15" hidden="false" customHeight="false" outlineLevel="0" collapsed="false">
      <c r="A15344" s="0" t="e">
        <f aca="false">ODDFPRICE(DATE(2024,3,20),DATE(2025,4,15),DATE(2024,3,15),DATE(2024,4,15),0.1,0.03,105,4,3)</f>
        <v>#VALUE!</v>
      </c>
      <c r="B15344" s="0" t="s">
        <v>15190</v>
      </c>
    </row>
    <row r="15345" customFormat="false" ht="15" hidden="false" customHeight="false" outlineLevel="0" collapsed="false">
      <c r="A15345" s="0" t="e">
        <f aca="false">ODDFPRICE(DATE(2024,3,20),DATE(2025,4,15),DATE(2024,3,15),DATE(2024,4,15),0,0.05,100,4,3)</f>
        <v>#VALUE!</v>
      </c>
      <c r="B15345" s="0" t="s">
        <v>15191</v>
      </c>
    </row>
    <row r="15346" customFormat="false" ht="15" hidden="false" customHeight="false" outlineLevel="0" collapsed="false">
      <c r="A15346" s="0" t="e">
        <f aca="false">ODDFYIELD(DATE(2024,3,20),DATE(2025,4,15),DATE(2024,3,15),DATE(2024,4,15),0.05,95,100,4,3)</f>
        <v>#VALUE!</v>
      </c>
      <c r="B15346" s="0" t="s">
        <v>15192</v>
      </c>
    </row>
    <row r="15347" customFormat="false" ht="15" hidden="false" customHeight="false" outlineLevel="0" collapsed="false">
      <c r="A15347" s="0" t="e">
        <f aca="false">ODDFYIELD(DATE(2024,3,20),DATE(2025,4,15),DATE(2024,3,15),DATE(2024,4,15),0.1,101.5,100,4,3)</f>
        <v>#VALUE!</v>
      </c>
      <c r="B15347" s="0" t="s">
        <v>15193</v>
      </c>
    </row>
    <row r="15348" customFormat="false" ht="15" hidden="false" customHeight="false" outlineLevel="0" collapsed="false">
      <c r="A15348" s="0" t="e">
        <f aca="false">ODDFYIELD(DATE(2024,3,20),DATE(2025,4,15),DATE(2024,3,15),DATE(2024,4,15),0.05,100,100,4,3)</f>
        <v>#VALUE!</v>
      </c>
      <c r="B15348" s="0" t="s">
        <v>15194</v>
      </c>
    </row>
    <row r="15349" customFormat="false" ht="15" hidden="false" customHeight="false" outlineLevel="0" collapsed="false">
      <c r="A15349" s="0" t="e">
        <f aca="false">ODDFPRICE(DATE(2024,3,20),DATE(2025,4,15),DATE(2024,3,15),DATE(2024,4,15),0.05,0.08,100,4,4)</f>
        <v>#VALUE!</v>
      </c>
      <c r="B15349" s="0" t="s">
        <v>15195</v>
      </c>
    </row>
    <row r="15350" customFormat="false" ht="15" hidden="false" customHeight="false" outlineLevel="0" collapsed="false">
      <c r="A15350" s="0" t="e">
        <f aca="false">ODDFPRICE(DATE(2024,3,20),DATE(2025,4,15),DATE(2024,3,15),DATE(2024,4,15),0.1,0.03,105,4,4)</f>
        <v>#VALUE!</v>
      </c>
      <c r="B15350" s="0" t="s">
        <v>15196</v>
      </c>
    </row>
    <row r="15351" customFormat="false" ht="15" hidden="false" customHeight="false" outlineLevel="0" collapsed="false">
      <c r="A15351" s="0" t="e">
        <f aca="false">ODDFPRICE(DATE(2024,3,20),DATE(2025,4,15),DATE(2024,3,15),DATE(2024,4,15),0,0.05,100,4,4)</f>
        <v>#VALUE!</v>
      </c>
      <c r="B15351" s="0" t="s">
        <v>15197</v>
      </c>
    </row>
    <row r="15352" customFormat="false" ht="15" hidden="false" customHeight="false" outlineLevel="0" collapsed="false">
      <c r="A15352" s="0" t="e">
        <f aca="false">ODDFYIELD(DATE(2024,3,20),DATE(2025,4,15),DATE(2024,3,15),DATE(2024,4,15),0.05,95,100,4,4)</f>
        <v>#VALUE!</v>
      </c>
      <c r="B15352" s="0" t="s">
        <v>15198</v>
      </c>
    </row>
    <row r="15353" customFormat="false" ht="15" hidden="false" customHeight="false" outlineLevel="0" collapsed="false">
      <c r="A15353" s="0" t="e">
        <f aca="false">ODDFYIELD(DATE(2024,3,20),DATE(2025,4,15),DATE(2024,3,15),DATE(2024,4,15),0.1,101.5,100,4,4)</f>
        <v>#VALUE!</v>
      </c>
      <c r="B15353" s="0" t="s">
        <v>15199</v>
      </c>
    </row>
    <row r="15354" customFormat="false" ht="15" hidden="false" customHeight="false" outlineLevel="0" collapsed="false">
      <c r="A15354" s="0" t="e">
        <f aca="false">ODDFYIELD(DATE(2024,3,20),DATE(2025,4,15),DATE(2024,3,15),DATE(2024,4,15),0.05,100,100,4,4)</f>
        <v>#VALUE!</v>
      </c>
      <c r="B15354" s="0" t="s">
        <v>15200</v>
      </c>
    </row>
    <row r="15355" customFormat="false" ht="15" hidden="false" customHeight="false" outlineLevel="0" collapsed="false">
      <c r="A15355" s="0" t="e">
        <f aca="false">ODDFPRICE(DATE(2024,5,1),DATE(2026,1,15),DATE(2024,4,1),DATE(2024,7,15),0.05,0.08,100,1,0)</f>
        <v>#VALUE!</v>
      </c>
      <c r="B15355" s="0" t="s">
        <v>15201</v>
      </c>
    </row>
    <row r="15356" customFormat="false" ht="15" hidden="false" customHeight="false" outlineLevel="0" collapsed="false">
      <c r="A15356" s="0" t="e">
        <f aca="false">ODDFPRICE(DATE(2024,5,1),DATE(2026,1,15),DATE(2024,4,1),DATE(2024,7,15),0.1,0.03,105,1,0)</f>
        <v>#VALUE!</v>
      </c>
      <c r="B15356" s="0" t="s">
        <v>15202</v>
      </c>
    </row>
    <row r="15357" customFormat="false" ht="15" hidden="false" customHeight="false" outlineLevel="0" collapsed="false">
      <c r="A15357" s="0" t="e">
        <f aca="false">ODDFPRICE(DATE(2024,5,1),DATE(2026,1,15),DATE(2024,4,1),DATE(2024,7,15),0,0.05,100,1,0)</f>
        <v>#VALUE!</v>
      </c>
      <c r="B15357" s="0" t="s">
        <v>15203</v>
      </c>
    </row>
    <row r="15358" customFormat="false" ht="15" hidden="false" customHeight="false" outlineLevel="0" collapsed="false">
      <c r="A15358" s="0" t="e">
        <f aca="false">ODDFYIELD(DATE(2024,5,1),DATE(2026,1,15),DATE(2024,4,1),DATE(2024,7,15),0.05,95,100,1,0)</f>
        <v>#VALUE!</v>
      </c>
      <c r="B15358" s="0" t="s">
        <v>15204</v>
      </c>
    </row>
    <row r="15359" customFormat="false" ht="15" hidden="false" customHeight="false" outlineLevel="0" collapsed="false">
      <c r="A15359" s="0" t="e">
        <f aca="false">ODDFYIELD(DATE(2024,5,1),DATE(2026,1,15),DATE(2024,4,1),DATE(2024,7,15),0.1,101.5,100,1,0)</f>
        <v>#VALUE!</v>
      </c>
      <c r="B15359" s="0" t="s">
        <v>15205</v>
      </c>
    </row>
    <row r="15360" customFormat="false" ht="15" hidden="false" customHeight="false" outlineLevel="0" collapsed="false">
      <c r="A15360" s="0" t="e">
        <f aca="false">ODDFYIELD(DATE(2024,5,1),DATE(2026,1,15),DATE(2024,4,1),DATE(2024,7,15),0.05,100,100,1,0)</f>
        <v>#VALUE!</v>
      </c>
      <c r="B15360" s="0" t="s">
        <v>15206</v>
      </c>
    </row>
    <row r="15361" customFormat="false" ht="15" hidden="false" customHeight="false" outlineLevel="0" collapsed="false">
      <c r="A15361" s="0" t="e">
        <f aca="false">ODDFPRICE(DATE(2024,5,1),DATE(2026,1,15),DATE(2024,4,1),DATE(2024,7,15),0.05,0.08,100,1,1)</f>
        <v>#VALUE!</v>
      </c>
      <c r="B15361" s="0" t="s">
        <v>15207</v>
      </c>
    </row>
    <row r="15362" customFormat="false" ht="15" hidden="false" customHeight="false" outlineLevel="0" collapsed="false">
      <c r="A15362" s="0" t="e">
        <f aca="false">ODDFPRICE(DATE(2024,5,1),DATE(2026,1,15),DATE(2024,4,1),DATE(2024,7,15),0.1,0.03,105,1,1)</f>
        <v>#VALUE!</v>
      </c>
      <c r="B15362" s="0" t="s">
        <v>15208</v>
      </c>
    </row>
    <row r="15363" customFormat="false" ht="15" hidden="false" customHeight="false" outlineLevel="0" collapsed="false">
      <c r="A15363" s="0" t="e">
        <f aca="false">ODDFPRICE(DATE(2024,5,1),DATE(2026,1,15),DATE(2024,4,1),DATE(2024,7,15),0,0.05,100,1,1)</f>
        <v>#VALUE!</v>
      </c>
      <c r="B15363" s="0" t="s">
        <v>15209</v>
      </c>
    </row>
    <row r="15364" customFormat="false" ht="15" hidden="false" customHeight="false" outlineLevel="0" collapsed="false">
      <c r="A15364" s="0" t="e">
        <f aca="false">ODDFYIELD(DATE(2024,5,1),DATE(2026,1,15),DATE(2024,4,1),DATE(2024,7,15),0.05,95,100,1,1)</f>
        <v>#VALUE!</v>
      </c>
      <c r="B15364" s="0" t="s">
        <v>15210</v>
      </c>
    </row>
    <row r="15365" customFormat="false" ht="15" hidden="false" customHeight="false" outlineLevel="0" collapsed="false">
      <c r="A15365" s="0" t="e">
        <f aca="false">ODDFYIELD(DATE(2024,5,1),DATE(2026,1,15),DATE(2024,4,1),DATE(2024,7,15),0.1,101.5,100,1,1)</f>
        <v>#VALUE!</v>
      </c>
      <c r="B15365" s="0" t="s">
        <v>15211</v>
      </c>
    </row>
    <row r="15366" customFormat="false" ht="15" hidden="false" customHeight="false" outlineLevel="0" collapsed="false">
      <c r="A15366" s="0" t="e">
        <f aca="false">ODDFYIELD(DATE(2024,5,1),DATE(2026,1,15),DATE(2024,4,1),DATE(2024,7,15),0.05,100,100,1,1)</f>
        <v>#VALUE!</v>
      </c>
      <c r="B15366" s="0" t="s">
        <v>15212</v>
      </c>
    </row>
    <row r="15367" customFormat="false" ht="15" hidden="false" customHeight="false" outlineLevel="0" collapsed="false">
      <c r="A15367" s="0" t="e">
        <f aca="false">ODDFPRICE(DATE(2024,5,1),DATE(2026,1,15),DATE(2024,4,1),DATE(2024,7,15),0.05,0.08,100,1,2)</f>
        <v>#VALUE!</v>
      </c>
      <c r="B15367" s="0" t="s">
        <v>15213</v>
      </c>
    </row>
    <row r="15368" customFormat="false" ht="15" hidden="false" customHeight="false" outlineLevel="0" collapsed="false">
      <c r="A15368" s="0" t="e">
        <f aca="false">ODDFPRICE(DATE(2024,5,1),DATE(2026,1,15),DATE(2024,4,1),DATE(2024,7,15),0.1,0.03,105,1,2)</f>
        <v>#VALUE!</v>
      </c>
      <c r="B15368" s="0" t="s">
        <v>15214</v>
      </c>
    </row>
    <row r="15369" customFormat="false" ht="15" hidden="false" customHeight="false" outlineLevel="0" collapsed="false">
      <c r="A15369" s="0" t="e">
        <f aca="false">ODDFPRICE(DATE(2024,5,1),DATE(2026,1,15),DATE(2024,4,1),DATE(2024,7,15),0,0.05,100,1,2)</f>
        <v>#VALUE!</v>
      </c>
      <c r="B15369" s="0" t="s">
        <v>15215</v>
      </c>
    </row>
    <row r="15370" customFormat="false" ht="15" hidden="false" customHeight="false" outlineLevel="0" collapsed="false">
      <c r="A15370" s="0" t="e">
        <f aca="false">ODDFYIELD(DATE(2024,5,1),DATE(2026,1,15),DATE(2024,4,1),DATE(2024,7,15),0.05,95,100,1,2)</f>
        <v>#VALUE!</v>
      </c>
      <c r="B15370" s="0" t="s">
        <v>15216</v>
      </c>
    </row>
    <row r="15371" customFormat="false" ht="15" hidden="false" customHeight="false" outlineLevel="0" collapsed="false">
      <c r="A15371" s="0" t="e">
        <f aca="false">ODDFYIELD(DATE(2024,5,1),DATE(2026,1,15),DATE(2024,4,1),DATE(2024,7,15),0.1,101.5,100,1,2)</f>
        <v>#VALUE!</v>
      </c>
      <c r="B15371" s="0" t="s">
        <v>15217</v>
      </c>
    </row>
    <row r="15372" customFormat="false" ht="15" hidden="false" customHeight="false" outlineLevel="0" collapsed="false">
      <c r="A15372" s="0" t="e">
        <f aca="false">ODDFYIELD(DATE(2024,5,1),DATE(2026,1,15),DATE(2024,4,1),DATE(2024,7,15),0.05,100,100,1,2)</f>
        <v>#VALUE!</v>
      </c>
      <c r="B15372" s="0" t="s">
        <v>15218</v>
      </c>
    </row>
    <row r="15373" customFormat="false" ht="15" hidden="false" customHeight="false" outlineLevel="0" collapsed="false">
      <c r="A15373" s="0" t="e">
        <f aca="false">ODDFPRICE(DATE(2024,5,1),DATE(2026,1,15),DATE(2024,4,1),DATE(2024,7,15),0.05,0.08,100,1,3)</f>
        <v>#VALUE!</v>
      </c>
      <c r="B15373" s="0" t="s">
        <v>15219</v>
      </c>
    </row>
    <row r="15374" customFormat="false" ht="15" hidden="false" customHeight="false" outlineLevel="0" collapsed="false">
      <c r="A15374" s="0" t="e">
        <f aca="false">ODDFPRICE(DATE(2024,5,1),DATE(2026,1,15),DATE(2024,4,1),DATE(2024,7,15),0.1,0.03,105,1,3)</f>
        <v>#VALUE!</v>
      </c>
      <c r="B15374" s="0" t="s">
        <v>15220</v>
      </c>
    </row>
    <row r="15375" customFormat="false" ht="15" hidden="false" customHeight="false" outlineLevel="0" collapsed="false">
      <c r="A15375" s="0" t="e">
        <f aca="false">ODDFPRICE(DATE(2024,5,1),DATE(2026,1,15),DATE(2024,4,1),DATE(2024,7,15),0,0.05,100,1,3)</f>
        <v>#VALUE!</v>
      </c>
      <c r="B15375" s="0" t="s">
        <v>15221</v>
      </c>
    </row>
    <row r="15376" customFormat="false" ht="15" hidden="false" customHeight="false" outlineLevel="0" collapsed="false">
      <c r="A15376" s="0" t="e">
        <f aca="false">ODDFYIELD(DATE(2024,5,1),DATE(2026,1,15),DATE(2024,4,1),DATE(2024,7,15),0.05,95,100,1,3)</f>
        <v>#VALUE!</v>
      </c>
      <c r="B15376" s="0" t="s">
        <v>15222</v>
      </c>
    </row>
    <row r="15377" customFormat="false" ht="15" hidden="false" customHeight="false" outlineLevel="0" collapsed="false">
      <c r="A15377" s="0" t="e">
        <f aca="false">ODDFYIELD(DATE(2024,5,1),DATE(2026,1,15),DATE(2024,4,1),DATE(2024,7,15),0.1,101.5,100,1,3)</f>
        <v>#VALUE!</v>
      </c>
      <c r="B15377" s="0" t="s">
        <v>15223</v>
      </c>
    </row>
    <row r="15378" customFormat="false" ht="15" hidden="false" customHeight="false" outlineLevel="0" collapsed="false">
      <c r="A15378" s="0" t="e">
        <f aca="false">ODDFYIELD(DATE(2024,5,1),DATE(2026,1,15),DATE(2024,4,1),DATE(2024,7,15),0.05,100,100,1,3)</f>
        <v>#VALUE!</v>
      </c>
      <c r="B15378" s="0" t="s">
        <v>15224</v>
      </c>
    </row>
    <row r="15379" customFormat="false" ht="15" hidden="false" customHeight="false" outlineLevel="0" collapsed="false">
      <c r="A15379" s="0" t="e">
        <f aca="false">ODDFPRICE(DATE(2024,5,1),DATE(2026,1,15),DATE(2024,4,1),DATE(2024,7,15),0.05,0.08,100,1,4)</f>
        <v>#VALUE!</v>
      </c>
      <c r="B15379" s="0" t="s">
        <v>15225</v>
      </c>
    </row>
    <row r="15380" customFormat="false" ht="15" hidden="false" customHeight="false" outlineLevel="0" collapsed="false">
      <c r="A15380" s="0" t="e">
        <f aca="false">ODDFPRICE(DATE(2024,5,1),DATE(2026,1,15),DATE(2024,4,1),DATE(2024,7,15),0.1,0.03,105,1,4)</f>
        <v>#VALUE!</v>
      </c>
      <c r="B15380" s="0" t="s">
        <v>15226</v>
      </c>
    </row>
    <row r="15381" customFormat="false" ht="15" hidden="false" customHeight="false" outlineLevel="0" collapsed="false">
      <c r="A15381" s="0" t="e">
        <f aca="false">ODDFPRICE(DATE(2024,5,1),DATE(2026,1,15),DATE(2024,4,1),DATE(2024,7,15),0,0.05,100,1,4)</f>
        <v>#VALUE!</v>
      </c>
      <c r="B15381" s="0" t="s">
        <v>15227</v>
      </c>
    </row>
    <row r="15382" customFormat="false" ht="15" hidden="false" customHeight="false" outlineLevel="0" collapsed="false">
      <c r="A15382" s="0" t="e">
        <f aca="false">ODDFYIELD(DATE(2024,5,1),DATE(2026,1,15),DATE(2024,4,1),DATE(2024,7,15),0.05,95,100,1,4)</f>
        <v>#VALUE!</v>
      </c>
      <c r="B15382" s="0" t="s">
        <v>15228</v>
      </c>
    </row>
    <row r="15383" customFormat="false" ht="15" hidden="false" customHeight="false" outlineLevel="0" collapsed="false">
      <c r="A15383" s="0" t="e">
        <f aca="false">ODDFYIELD(DATE(2024,5,1),DATE(2026,1,15),DATE(2024,4,1),DATE(2024,7,15),0.1,101.5,100,1,4)</f>
        <v>#VALUE!</v>
      </c>
      <c r="B15383" s="0" t="s">
        <v>15229</v>
      </c>
    </row>
    <row r="15384" customFormat="false" ht="15" hidden="false" customHeight="false" outlineLevel="0" collapsed="false">
      <c r="A15384" s="0" t="e">
        <f aca="false">ODDFYIELD(DATE(2024,5,1),DATE(2026,1,15),DATE(2024,4,1),DATE(2024,7,15),0.05,100,100,1,4)</f>
        <v>#VALUE!</v>
      </c>
      <c r="B15384" s="0" t="s">
        <v>15230</v>
      </c>
    </row>
    <row r="15385" customFormat="false" ht="15" hidden="false" customHeight="false" outlineLevel="0" collapsed="false">
      <c r="A15385" s="0" t="e">
        <f aca="false">ODDFPRICE(DATE(2024,5,1),DATE(2026,1,15),DATE(2024,4,1),DATE(2024,7,15),0.05,0.08,100,2,0)</f>
        <v>#VALUE!</v>
      </c>
      <c r="B15385" s="0" t="s">
        <v>15231</v>
      </c>
    </row>
    <row r="15386" customFormat="false" ht="15" hidden="false" customHeight="false" outlineLevel="0" collapsed="false">
      <c r="A15386" s="0" t="e">
        <f aca="false">ODDFPRICE(DATE(2024,5,1),DATE(2026,1,15),DATE(2024,4,1),DATE(2024,7,15),0.1,0.03,105,2,0)</f>
        <v>#VALUE!</v>
      </c>
      <c r="B15386" s="0" t="s">
        <v>15232</v>
      </c>
    </row>
    <row r="15387" customFormat="false" ht="15" hidden="false" customHeight="false" outlineLevel="0" collapsed="false">
      <c r="A15387" s="0" t="e">
        <f aca="false">ODDFPRICE(DATE(2024,5,1),DATE(2026,1,15),DATE(2024,4,1),DATE(2024,7,15),0,0.05,100,2,0)</f>
        <v>#VALUE!</v>
      </c>
      <c r="B15387" s="0" t="s">
        <v>15233</v>
      </c>
    </row>
    <row r="15388" customFormat="false" ht="15" hidden="false" customHeight="false" outlineLevel="0" collapsed="false">
      <c r="A15388" s="0" t="e">
        <f aca="false">ODDFYIELD(DATE(2024,5,1),DATE(2026,1,15),DATE(2024,4,1),DATE(2024,7,15),0.05,95,100,2,0)</f>
        <v>#VALUE!</v>
      </c>
      <c r="B15388" s="0" t="s">
        <v>15234</v>
      </c>
    </row>
    <row r="15389" customFormat="false" ht="15" hidden="false" customHeight="false" outlineLevel="0" collapsed="false">
      <c r="A15389" s="0" t="e">
        <f aca="false">ODDFYIELD(DATE(2024,5,1),DATE(2026,1,15),DATE(2024,4,1),DATE(2024,7,15),0.1,101.5,100,2,0)</f>
        <v>#VALUE!</v>
      </c>
      <c r="B15389" s="0" t="s">
        <v>15235</v>
      </c>
    </row>
    <row r="15390" customFormat="false" ht="15" hidden="false" customHeight="false" outlineLevel="0" collapsed="false">
      <c r="A15390" s="0" t="e">
        <f aca="false">ODDFYIELD(DATE(2024,5,1),DATE(2026,1,15),DATE(2024,4,1),DATE(2024,7,15),0.05,100,100,2,0)</f>
        <v>#VALUE!</v>
      </c>
      <c r="B15390" s="0" t="s">
        <v>15236</v>
      </c>
    </row>
    <row r="15391" customFormat="false" ht="15" hidden="false" customHeight="false" outlineLevel="0" collapsed="false">
      <c r="A15391" s="0" t="e">
        <f aca="false">ODDFPRICE(DATE(2024,5,1),DATE(2026,1,15),DATE(2024,4,1),DATE(2024,7,15),0.05,0.08,100,2,1)</f>
        <v>#VALUE!</v>
      </c>
      <c r="B15391" s="0" t="s">
        <v>15237</v>
      </c>
    </row>
    <row r="15392" customFormat="false" ht="15" hidden="false" customHeight="false" outlineLevel="0" collapsed="false">
      <c r="A15392" s="0" t="e">
        <f aca="false">ODDFPRICE(DATE(2024,5,1),DATE(2026,1,15),DATE(2024,4,1),DATE(2024,7,15),0.1,0.03,105,2,1)</f>
        <v>#VALUE!</v>
      </c>
      <c r="B15392" s="0" t="s">
        <v>15238</v>
      </c>
    </row>
    <row r="15393" customFormat="false" ht="15" hidden="false" customHeight="false" outlineLevel="0" collapsed="false">
      <c r="A15393" s="0" t="e">
        <f aca="false">ODDFPRICE(DATE(2024,5,1),DATE(2026,1,15),DATE(2024,4,1),DATE(2024,7,15),0,0.05,100,2,1)</f>
        <v>#VALUE!</v>
      </c>
      <c r="B15393" s="0" t="s">
        <v>15239</v>
      </c>
    </row>
    <row r="15394" customFormat="false" ht="15" hidden="false" customHeight="false" outlineLevel="0" collapsed="false">
      <c r="A15394" s="0" t="e">
        <f aca="false">ODDFYIELD(DATE(2024,5,1),DATE(2026,1,15),DATE(2024,4,1),DATE(2024,7,15),0.05,95,100,2,1)</f>
        <v>#VALUE!</v>
      </c>
      <c r="B15394" s="0" t="s">
        <v>15240</v>
      </c>
    </row>
    <row r="15395" customFormat="false" ht="15" hidden="false" customHeight="false" outlineLevel="0" collapsed="false">
      <c r="A15395" s="0" t="e">
        <f aca="false">ODDFYIELD(DATE(2024,5,1),DATE(2026,1,15),DATE(2024,4,1),DATE(2024,7,15),0.1,101.5,100,2,1)</f>
        <v>#VALUE!</v>
      </c>
      <c r="B15395" s="0" t="s">
        <v>15241</v>
      </c>
    </row>
    <row r="15396" customFormat="false" ht="15" hidden="false" customHeight="false" outlineLevel="0" collapsed="false">
      <c r="A15396" s="0" t="e">
        <f aca="false">ODDFYIELD(DATE(2024,5,1),DATE(2026,1,15),DATE(2024,4,1),DATE(2024,7,15),0.05,100,100,2,1)</f>
        <v>#VALUE!</v>
      </c>
      <c r="B15396" s="0" t="s">
        <v>15242</v>
      </c>
    </row>
    <row r="15397" customFormat="false" ht="15" hidden="false" customHeight="false" outlineLevel="0" collapsed="false">
      <c r="A15397" s="0" t="e">
        <f aca="false">ODDFPRICE(DATE(2024,5,1),DATE(2026,1,15),DATE(2024,4,1),DATE(2024,7,15),0.05,0.08,100,2,2)</f>
        <v>#VALUE!</v>
      </c>
      <c r="B15397" s="0" t="s">
        <v>15243</v>
      </c>
    </row>
    <row r="15398" customFormat="false" ht="15" hidden="false" customHeight="false" outlineLevel="0" collapsed="false">
      <c r="A15398" s="0" t="e">
        <f aca="false">ODDFPRICE(DATE(2024,5,1),DATE(2026,1,15),DATE(2024,4,1),DATE(2024,7,15),0.1,0.03,105,2,2)</f>
        <v>#VALUE!</v>
      </c>
      <c r="B15398" s="0" t="s">
        <v>15244</v>
      </c>
    </row>
    <row r="15399" customFormat="false" ht="15" hidden="false" customHeight="false" outlineLevel="0" collapsed="false">
      <c r="A15399" s="0" t="e">
        <f aca="false">ODDFPRICE(DATE(2024,5,1),DATE(2026,1,15),DATE(2024,4,1),DATE(2024,7,15),0,0.05,100,2,2)</f>
        <v>#VALUE!</v>
      </c>
      <c r="B15399" s="0" t="s">
        <v>15245</v>
      </c>
    </row>
    <row r="15400" customFormat="false" ht="15" hidden="false" customHeight="false" outlineLevel="0" collapsed="false">
      <c r="A15400" s="0" t="e">
        <f aca="false">ODDFYIELD(DATE(2024,5,1),DATE(2026,1,15),DATE(2024,4,1),DATE(2024,7,15),0.05,95,100,2,2)</f>
        <v>#VALUE!</v>
      </c>
      <c r="B15400" s="0" t="s">
        <v>15246</v>
      </c>
    </row>
    <row r="15401" customFormat="false" ht="15" hidden="false" customHeight="false" outlineLevel="0" collapsed="false">
      <c r="A15401" s="0" t="e">
        <f aca="false">ODDFYIELD(DATE(2024,5,1),DATE(2026,1,15),DATE(2024,4,1),DATE(2024,7,15),0.1,101.5,100,2,2)</f>
        <v>#VALUE!</v>
      </c>
      <c r="B15401" s="0" t="s">
        <v>15247</v>
      </c>
    </row>
    <row r="15402" customFormat="false" ht="15" hidden="false" customHeight="false" outlineLevel="0" collapsed="false">
      <c r="A15402" s="0" t="e">
        <f aca="false">ODDFYIELD(DATE(2024,5,1),DATE(2026,1,15),DATE(2024,4,1),DATE(2024,7,15),0.05,100,100,2,2)</f>
        <v>#VALUE!</v>
      </c>
      <c r="B15402" s="0" t="s">
        <v>15248</v>
      </c>
    </row>
    <row r="15403" customFormat="false" ht="15" hidden="false" customHeight="false" outlineLevel="0" collapsed="false">
      <c r="A15403" s="0" t="e">
        <f aca="false">ODDFPRICE(DATE(2024,5,1),DATE(2026,1,15),DATE(2024,4,1),DATE(2024,7,15),0.05,0.08,100,2,3)</f>
        <v>#VALUE!</v>
      </c>
      <c r="B15403" s="0" t="s">
        <v>15249</v>
      </c>
    </row>
    <row r="15404" customFormat="false" ht="15" hidden="false" customHeight="false" outlineLevel="0" collapsed="false">
      <c r="A15404" s="0" t="e">
        <f aca="false">ODDFPRICE(DATE(2024,5,1),DATE(2026,1,15),DATE(2024,4,1),DATE(2024,7,15),0.1,0.03,105,2,3)</f>
        <v>#VALUE!</v>
      </c>
      <c r="B15404" s="0" t="s">
        <v>15250</v>
      </c>
    </row>
    <row r="15405" customFormat="false" ht="15" hidden="false" customHeight="false" outlineLevel="0" collapsed="false">
      <c r="A15405" s="0" t="e">
        <f aca="false">ODDFPRICE(DATE(2024,5,1),DATE(2026,1,15),DATE(2024,4,1),DATE(2024,7,15),0,0.05,100,2,3)</f>
        <v>#VALUE!</v>
      </c>
      <c r="B15405" s="0" t="s">
        <v>15251</v>
      </c>
    </row>
    <row r="15406" customFormat="false" ht="15" hidden="false" customHeight="false" outlineLevel="0" collapsed="false">
      <c r="A15406" s="0" t="e">
        <f aca="false">ODDFYIELD(DATE(2024,5,1),DATE(2026,1,15),DATE(2024,4,1),DATE(2024,7,15),0.05,95,100,2,3)</f>
        <v>#VALUE!</v>
      </c>
      <c r="B15406" s="0" t="s">
        <v>15252</v>
      </c>
    </row>
    <row r="15407" customFormat="false" ht="15" hidden="false" customHeight="false" outlineLevel="0" collapsed="false">
      <c r="A15407" s="0" t="e">
        <f aca="false">ODDFYIELD(DATE(2024,5,1),DATE(2026,1,15),DATE(2024,4,1),DATE(2024,7,15),0.1,101.5,100,2,3)</f>
        <v>#VALUE!</v>
      </c>
      <c r="B15407" s="0" t="s">
        <v>15253</v>
      </c>
    </row>
    <row r="15408" customFormat="false" ht="15" hidden="false" customHeight="false" outlineLevel="0" collapsed="false">
      <c r="A15408" s="0" t="e">
        <f aca="false">ODDFYIELD(DATE(2024,5,1),DATE(2026,1,15),DATE(2024,4,1),DATE(2024,7,15),0.05,100,100,2,3)</f>
        <v>#VALUE!</v>
      </c>
      <c r="B15408" s="0" t="s">
        <v>15254</v>
      </c>
    </row>
    <row r="15409" customFormat="false" ht="15" hidden="false" customHeight="false" outlineLevel="0" collapsed="false">
      <c r="A15409" s="0" t="e">
        <f aca="false">ODDFPRICE(DATE(2024,5,1),DATE(2026,1,15),DATE(2024,4,1),DATE(2024,7,15),0.05,0.08,100,2,4)</f>
        <v>#VALUE!</v>
      </c>
      <c r="B15409" s="0" t="s">
        <v>15255</v>
      </c>
    </row>
    <row r="15410" customFormat="false" ht="15" hidden="false" customHeight="false" outlineLevel="0" collapsed="false">
      <c r="A15410" s="0" t="e">
        <f aca="false">ODDFPRICE(DATE(2024,5,1),DATE(2026,1,15),DATE(2024,4,1),DATE(2024,7,15),0.1,0.03,105,2,4)</f>
        <v>#VALUE!</v>
      </c>
      <c r="B15410" s="0" t="s">
        <v>15256</v>
      </c>
    </row>
    <row r="15411" customFormat="false" ht="15" hidden="false" customHeight="false" outlineLevel="0" collapsed="false">
      <c r="A15411" s="0" t="e">
        <f aca="false">ODDFPRICE(DATE(2024,5,1),DATE(2026,1,15),DATE(2024,4,1),DATE(2024,7,15),0,0.05,100,2,4)</f>
        <v>#VALUE!</v>
      </c>
      <c r="B15411" s="0" t="s">
        <v>15257</v>
      </c>
    </row>
    <row r="15412" customFormat="false" ht="15" hidden="false" customHeight="false" outlineLevel="0" collapsed="false">
      <c r="A15412" s="0" t="e">
        <f aca="false">ODDFYIELD(DATE(2024,5,1),DATE(2026,1,15),DATE(2024,4,1),DATE(2024,7,15),0.05,95,100,2,4)</f>
        <v>#VALUE!</v>
      </c>
      <c r="B15412" s="0" t="s">
        <v>15258</v>
      </c>
    </row>
    <row r="15413" customFormat="false" ht="15" hidden="false" customHeight="false" outlineLevel="0" collapsed="false">
      <c r="A15413" s="0" t="e">
        <f aca="false">ODDFYIELD(DATE(2024,5,1),DATE(2026,1,15),DATE(2024,4,1),DATE(2024,7,15),0.1,101.5,100,2,4)</f>
        <v>#VALUE!</v>
      </c>
      <c r="B15413" s="0" t="s">
        <v>15259</v>
      </c>
    </row>
    <row r="15414" customFormat="false" ht="15" hidden="false" customHeight="false" outlineLevel="0" collapsed="false">
      <c r="A15414" s="0" t="e">
        <f aca="false">ODDFYIELD(DATE(2024,5,1),DATE(2026,1,15),DATE(2024,4,1),DATE(2024,7,15),0.05,100,100,2,4)</f>
        <v>#VALUE!</v>
      </c>
      <c r="B15414" s="0" t="s">
        <v>15260</v>
      </c>
    </row>
    <row r="15415" customFormat="false" ht="15" hidden="false" customHeight="false" outlineLevel="0" collapsed="false">
      <c r="A15415" s="0" t="e">
        <f aca="false">ODDFPRICE(DATE(2024,5,1),DATE(2026,1,15),DATE(2024,4,1),DATE(2024,7,15),0.05,0.08,100,4,0)</f>
        <v>#VALUE!</v>
      </c>
      <c r="B15415" s="0" t="s">
        <v>15261</v>
      </c>
    </row>
    <row r="15416" customFormat="false" ht="15" hidden="false" customHeight="false" outlineLevel="0" collapsed="false">
      <c r="A15416" s="0" t="e">
        <f aca="false">ODDFPRICE(DATE(2024,5,1),DATE(2026,1,15),DATE(2024,4,1),DATE(2024,7,15),0.1,0.03,105,4,0)</f>
        <v>#VALUE!</v>
      </c>
      <c r="B15416" s="0" t="s">
        <v>15262</v>
      </c>
    </row>
    <row r="15417" customFormat="false" ht="15" hidden="false" customHeight="false" outlineLevel="0" collapsed="false">
      <c r="A15417" s="0" t="e">
        <f aca="false">ODDFPRICE(DATE(2024,5,1),DATE(2026,1,15),DATE(2024,4,1),DATE(2024,7,15),0,0.05,100,4,0)</f>
        <v>#VALUE!</v>
      </c>
      <c r="B15417" s="0" t="s">
        <v>15263</v>
      </c>
    </row>
    <row r="15418" customFormat="false" ht="15" hidden="false" customHeight="false" outlineLevel="0" collapsed="false">
      <c r="A15418" s="0" t="e">
        <f aca="false">ODDFYIELD(DATE(2024,5,1),DATE(2026,1,15),DATE(2024,4,1),DATE(2024,7,15),0.05,95,100,4,0)</f>
        <v>#VALUE!</v>
      </c>
      <c r="B15418" s="0" t="s">
        <v>15264</v>
      </c>
    </row>
    <row r="15419" customFormat="false" ht="15" hidden="false" customHeight="false" outlineLevel="0" collapsed="false">
      <c r="A15419" s="0" t="e">
        <f aca="false">ODDFYIELD(DATE(2024,5,1),DATE(2026,1,15),DATE(2024,4,1),DATE(2024,7,15),0.1,101.5,100,4,0)</f>
        <v>#VALUE!</v>
      </c>
      <c r="B15419" s="0" t="s">
        <v>15265</v>
      </c>
    </row>
    <row r="15420" customFormat="false" ht="15" hidden="false" customHeight="false" outlineLevel="0" collapsed="false">
      <c r="A15420" s="0" t="e">
        <f aca="false">ODDFYIELD(DATE(2024,5,1),DATE(2026,1,15),DATE(2024,4,1),DATE(2024,7,15),0.05,100,100,4,0)</f>
        <v>#VALUE!</v>
      </c>
      <c r="B15420" s="0" t="s">
        <v>15266</v>
      </c>
    </row>
    <row r="15421" customFormat="false" ht="15" hidden="false" customHeight="false" outlineLevel="0" collapsed="false">
      <c r="A15421" s="0" t="e">
        <f aca="false">ODDFPRICE(DATE(2024,5,1),DATE(2026,1,15),DATE(2024,4,1),DATE(2024,7,15),0.05,0.08,100,4,1)</f>
        <v>#VALUE!</v>
      </c>
      <c r="B15421" s="0" t="s">
        <v>15267</v>
      </c>
    </row>
    <row r="15422" customFormat="false" ht="15" hidden="false" customHeight="false" outlineLevel="0" collapsed="false">
      <c r="A15422" s="0" t="e">
        <f aca="false">ODDFPRICE(DATE(2024,5,1),DATE(2026,1,15),DATE(2024,4,1),DATE(2024,7,15),0.1,0.03,105,4,1)</f>
        <v>#VALUE!</v>
      </c>
      <c r="B15422" s="0" t="s">
        <v>15268</v>
      </c>
    </row>
    <row r="15423" customFormat="false" ht="15" hidden="false" customHeight="false" outlineLevel="0" collapsed="false">
      <c r="A15423" s="0" t="e">
        <f aca="false">ODDFPRICE(DATE(2024,5,1),DATE(2026,1,15),DATE(2024,4,1),DATE(2024,7,15),0,0.05,100,4,1)</f>
        <v>#VALUE!</v>
      </c>
      <c r="B15423" s="0" t="s">
        <v>15269</v>
      </c>
    </row>
    <row r="15424" customFormat="false" ht="15" hidden="false" customHeight="false" outlineLevel="0" collapsed="false">
      <c r="A15424" s="0" t="e">
        <f aca="false">ODDFYIELD(DATE(2024,5,1),DATE(2026,1,15),DATE(2024,4,1),DATE(2024,7,15),0.05,95,100,4,1)</f>
        <v>#VALUE!</v>
      </c>
      <c r="B15424" s="0" t="s">
        <v>15270</v>
      </c>
    </row>
    <row r="15425" customFormat="false" ht="15" hidden="false" customHeight="false" outlineLevel="0" collapsed="false">
      <c r="A15425" s="0" t="e">
        <f aca="false">ODDFYIELD(DATE(2024,5,1),DATE(2026,1,15),DATE(2024,4,1),DATE(2024,7,15),0.1,101.5,100,4,1)</f>
        <v>#VALUE!</v>
      </c>
      <c r="B15425" s="0" t="s">
        <v>15271</v>
      </c>
    </row>
    <row r="15426" customFormat="false" ht="15" hidden="false" customHeight="false" outlineLevel="0" collapsed="false">
      <c r="A15426" s="0" t="e">
        <f aca="false">ODDFYIELD(DATE(2024,5,1),DATE(2026,1,15),DATE(2024,4,1),DATE(2024,7,15),0.05,100,100,4,1)</f>
        <v>#VALUE!</v>
      </c>
      <c r="B15426" s="0" t="s">
        <v>15272</v>
      </c>
    </row>
    <row r="15427" customFormat="false" ht="15" hidden="false" customHeight="false" outlineLevel="0" collapsed="false">
      <c r="A15427" s="0" t="e">
        <f aca="false">ODDFPRICE(DATE(2024,5,1),DATE(2026,1,15),DATE(2024,4,1),DATE(2024,7,15),0.05,0.08,100,4,2)</f>
        <v>#VALUE!</v>
      </c>
      <c r="B15427" s="0" t="s">
        <v>15273</v>
      </c>
    </row>
    <row r="15428" customFormat="false" ht="15" hidden="false" customHeight="false" outlineLevel="0" collapsed="false">
      <c r="A15428" s="0" t="e">
        <f aca="false">ODDFPRICE(DATE(2024,5,1),DATE(2026,1,15),DATE(2024,4,1),DATE(2024,7,15),0.1,0.03,105,4,2)</f>
        <v>#VALUE!</v>
      </c>
      <c r="B15428" s="0" t="s">
        <v>15274</v>
      </c>
    </row>
    <row r="15429" customFormat="false" ht="15" hidden="false" customHeight="false" outlineLevel="0" collapsed="false">
      <c r="A15429" s="0" t="e">
        <f aca="false">ODDFPRICE(DATE(2024,5,1),DATE(2026,1,15),DATE(2024,4,1),DATE(2024,7,15),0,0.05,100,4,2)</f>
        <v>#VALUE!</v>
      </c>
      <c r="B15429" s="0" t="s">
        <v>15275</v>
      </c>
    </row>
    <row r="15430" customFormat="false" ht="15" hidden="false" customHeight="false" outlineLevel="0" collapsed="false">
      <c r="A15430" s="0" t="e">
        <f aca="false">ODDFYIELD(DATE(2024,5,1),DATE(2026,1,15),DATE(2024,4,1),DATE(2024,7,15),0.05,95,100,4,2)</f>
        <v>#VALUE!</v>
      </c>
      <c r="B15430" s="0" t="s">
        <v>15276</v>
      </c>
    </row>
    <row r="15431" customFormat="false" ht="15" hidden="false" customHeight="false" outlineLevel="0" collapsed="false">
      <c r="A15431" s="0" t="e">
        <f aca="false">ODDFYIELD(DATE(2024,5,1),DATE(2026,1,15),DATE(2024,4,1),DATE(2024,7,15),0.1,101.5,100,4,2)</f>
        <v>#VALUE!</v>
      </c>
      <c r="B15431" s="0" t="s">
        <v>15277</v>
      </c>
    </row>
    <row r="15432" customFormat="false" ht="15" hidden="false" customHeight="false" outlineLevel="0" collapsed="false">
      <c r="A15432" s="0" t="e">
        <f aca="false">ODDFYIELD(DATE(2024,5,1),DATE(2026,1,15),DATE(2024,4,1),DATE(2024,7,15),0.05,100,100,4,2)</f>
        <v>#VALUE!</v>
      </c>
      <c r="B15432" s="0" t="s">
        <v>15278</v>
      </c>
    </row>
    <row r="15433" customFormat="false" ht="15" hidden="false" customHeight="false" outlineLevel="0" collapsed="false">
      <c r="A15433" s="0" t="e">
        <f aca="false">ODDFPRICE(DATE(2024,5,1),DATE(2026,1,15),DATE(2024,4,1),DATE(2024,7,15),0.05,0.08,100,4,3)</f>
        <v>#VALUE!</v>
      </c>
      <c r="B15433" s="0" t="s">
        <v>15279</v>
      </c>
    </row>
    <row r="15434" customFormat="false" ht="15" hidden="false" customHeight="false" outlineLevel="0" collapsed="false">
      <c r="A15434" s="0" t="e">
        <f aca="false">ODDFPRICE(DATE(2024,5,1),DATE(2026,1,15),DATE(2024,4,1),DATE(2024,7,15),0.1,0.03,105,4,3)</f>
        <v>#VALUE!</v>
      </c>
      <c r="B15434" s="0" t="s">
        <v>15280</v>
      </c>
    </row>
    <row r="15435" customFormat="false" ht="15" hidden="false" customHeight="false" outlineLevel="0" collapsed="false">
      <c r="A15435" s="0" t="e">
        <f aca="false">ODDFPRICE(DATE(2024,5,1),DATE(2026,1,15),DATE(2024,4,1),DATE(2024,7,15),0,0.05,100,4,3)</f>
        <v>#VALUE!</v>
      </c>
      <c r="B15435" s="0" t="s">
        <v>15281</v>
      </c>
    </row>
    <row r="15436" customFormat="false" ht="15" hidden="false" customHeight="false" outlineLevel="0" collapsed="false">
      <c r="A15436" s="0" t="e">
        <f aca="false">ODDFYIELD(DATE(2024,5,1),DATE(2026,1,15),DATE(2024,4,1),DATE(2024,7,15),0.05,95,100,4,3)</f>
        <v>#VALUE!</v>
      </c>
      <c r="B15436" s="0" t="s">
        <v>15282</v>
      </c>
    </row>
    <row r="15437" customFormat="false" ht="15" hidden="false" customHeight="false" outlineLevel="0" collapsed="false">
      <c r="A15437" s="0" t="e">
        <f aca="false">ODDFYIELD(DATE(2024,5,1),DATE(2026,1,15),DATE(2024,4,1),DATE(2024,7,15),0.1,101.5,100,4,3)</f>
        <v>#VALUE!</v>
      </c>
      <c r="B15437" s="0" t="s">
        <v>15283</v>
      </c>
    </row>
    <row r="15438" customFormat="false" ht="15" hidden="false" customHeight="false" outlineLevel="0" collapsed="false">
      <c r="A15438" s="0" t="e">
        <f aca="false">ODDFYIELD(DATE(2024,5,1),DATE(2026,1,15),DATE(2024,4,1),DATE(2024,7,15),0.05,100,100,4,3)</f>
        <v>#VALUE!</v>
      </c>
      <c r="B15438" s="0" t="s">
        <v>15284</v>
      </c>
    </row>
    <row r="15439" customFormat="false" ht="15" hidden="false" customHeight="false" outlineLevel="0" collapsed="false">
      <c r="A15439" s="0" t="e">
        <f aca="false">ODDFPRICE(DATE(2024,5,1),DATE(2026,1,15),DATE(2024,4,1),DATE(2024,7,15),0.05,0.08,100,4,4)</f>
        <v>#VALUE!</v>
      </c>
      <c r="B15439" s="0" t="s">
        <v>15285</v>
      </c>
    </row>
    <row r="15440" customFormat="false" ht="15" hidden="false" customHeight="false" outlineLevel="0" collapsed="false">
      <c r="A15440" s="0" t="e">
        <f aca="false">ODDFPRICE(DATE(2024,5,1),DATE(2026,1,15),DATE(2024,4,1),DATE(2024,7,15),0.1,0.03,105,4,4)</f>
        <v>#VALUE!</v>
      </c>
      <c r="B15440" s="0" t="s">
        <v>15286</v>
      </c>
    </row>
    <row r="15441" customFormat="false" ht="15" hidden="false" customHeight="false" outlineLevel="0" collapsed="false">
      <c r="A15441" s="0" t="e">
        <f aca="false">ODDFPRICE(DATE(2024,5,1),DATE(2026,1,15),DATE(2024,4,1),DATE(2024,7,15),0,0.05,100,4,4)</f>
        <v>#VALUE!</v>
      </c>
      <c r="B15441" s="0" t="s">
        <v>15287</v>
      </c>
    </row>
    <row r="15442" customFormat="false" ht="15" hidden="false" customHeight="false" outlineLevel="0" collapsed="false">
      <c r="A15442" s="0" t="e">
        <f aca="false">ODDFYIELD(DATE(2024,5,1),DATE(2026,1,15),DATE(2024,4,1),DATE(2024,7,15),0.05,95,100,4,4)</f>
        <v>#VALUE!</v>
      </c>
      <c r="B15442" s="0" t="s">
        <v>15288</v>
      </c>
    </row>
    <row r="15443" customFormat="false" ht="15" hidden="false" customHeight="false" outlineLevel="0" collapsed="false">
      <c r="A15443" s="0" t="e">
        <f aca="false">ODDFYIELD(DATE(2024,5,1),DATE(2026,1,15),DATE(2024,4,1),DATE(2024,7,15),0.1,101.5,100,4,4)</f>
        <v>#VALUE!</v>
      </c>
      <c r="B15443" s="0" t="s">
        <v>15289</v>
      </c>
    </row>
    <row r="15444" customFormat="false" ht="15" hidden="false" customHeight="false" outlineLevel="0" collapsed="false">
      <c r="A15444" s="0" t="e">
        <f aca="false">ODDFYIELD(DATE(2024,5,1),DATE(2026,1,15),DATE(2024,4,1),DATE(2024,7,15),0.05,100,100,4,4)</f>
        <v>#VALUE!</v>
      </c>
      <c r="B15444" s="0" t="s">
        <v>15290</v>
      </c>
    </row>
    <row r="15445" customFormat="false" ht="15" hidden="false" customHeight="false" outlineLevel="0" collapsed="false">
      <c r="A15445" s="0" t="e">
        <f aca="false">ODDFPRICE(DATE(2024,2,29),DATE(2027,2,28),DATE(2024,1,15),DATE(2024,8,31),0.05,0.08,100,1,0)</f>
        <v>#VALUE!</v>
      </c>
      <c r="B15445" s="0" t="s">
        <v>15291</v>
      </c>
    </row>
    <row r="15446" customFormat="false" ht="15" hidden="false" customHeight="false" outlineLevel="0" collapsed="false">
      <c r="A15446" s="0" t="e">
        <f aca="false">ODDFPRICE(DATE(2024,2,29),DATE(2027,2,28),DATE(2024,1,15),DATE(2024,8,31),0.1,0.03,105,1,0)</f>
        <v>#VALUE!</v>
      </c>
      <c r="B15446" s="0" t="s">
        <v>15292</v>
      </c>
    </row>
    <row r="15447" customFormat="false" ht="15" hidden="false" customHeight="false" outlineLevel="0" collapsed="false">
      <c r="A15447" s="0" t="e">
        <f aca="false">ODDFPRICE(DATE(2024,2,29),DATE(2027,2,28),DATE(2024,1,15),DATE(2024,8,31),0,0.05,100,1,0)</f>
        <v>#VALUE!</v>
      </c>
      <c r="B15447" s="0" t="s">
        <v>15293</v>
      </c>
    </row>
    <row r="15448" customFormat="false" ht="15" hidden="false" customHeight="false" outlineLevel="0" collapsed="false">
      <c r="A15448" s="0" t="e">
        <f aca="false">ODDFYIELD(DATE(2024,2,29),DATE(2027,2,28),DATE(2024,1,15),DATE(2024,8,31),0.05,95,100,1,0)</f>
        <v>#VALUE!</v>
      </c>
      <c r="B15448" s="0" t="s">
        <v>15294</v>
      </c>
    </row>
    <row r="15449" customFormat="false" ht="15" hidden="false" customHeight="false" outlineLevel="0" collapsed="false">
      <c r="A15449" s="0" t="e">
        <f aca="false">ODDFYIELD(DATE(2024,2,29),DATE(2027,2,28),DATE(2024,1,15),DATE(2024,8,31),0.1,101.5,100,1,0)</f>
        <v>#VALUE!</v>
      </c>
      <c r="B15449" s="0" t="s">
        <v>15295</v>
      </c>
    </row>
    <row r="15450" customFormat="false" ht="15" hidden="false" customHeight="false" outlineLevel="0" collapsed="false">
      <c r="A15450" s="0" t="e">
        <f aca="false">ODDFYIELD(DATE(2024,2,29),DATE(2027,2,28),DATE(2024,1,15),DATE(2024,8,31),0.05,100,100,1,0)</f>
        <v>#VALUE!</v>
      </c>
      <c r="B15450" s="0" t="s">
        <v>15296</v>
      </c>
    </row>
    <row r="15451" customFormat="false" ht="15" hidden="false" customHeight="false" outlineLevel="0" collapsed="false">
      <c r="A15451" s="0" t="e">
        <f aca="false">ODDFPRICE(DATE(2024,2,29),DATE(2027,2,28),DATE(2024,1,15),DATE(2024,8,31),0.05,0.08,100,1,1)</f>
        <v>#VALUE!</v>
      </c>
      <c r="B15451" s="0" t="s">
        <v>15297</v>
      </c>
    </row>
    <row r="15452" customFormat="false" ht="15" hidden="false" customHeight="false" outlineLevel="0" collapsed="false">
      <c r="A15452" s="0" t="e">
        <f aca="false">ODDFPRICE(DATE(2024,2,29),DATE(2027,2,28),DATE(2024,1,15),DATE(2024,8,31),0.1,0.03,105,1,1)</f>
        <v>#VALUE!</v>
      </c>
      <c r="B15452" s="0" t="s">
        <v>15298</v>
      </c>
    </row>
    <row r="15453" customFormat="false" ht="15" hidden="false" customHeight="false" outlineLevel="0" collapsed="false">
      <c r="A15453" s="0" t="e">
        <f aca="false">ODDFPRICE(DATE(2024,2,29),DATE(2027,2,28),DATE(2024,1,15),DATE(2024,8,31),0,0.05,100,1,1)</f>
        <v>#VALUE!</v>
      </c>
      <c r="B15453" s="0" t="s">
        <v>15299</v>
      </c>
    </row>
    <row r="15454" customFormat="false" ht="15" hidden="false" customHeight="false" outlineLevel="0" collapsed="false">
      <c r="A15454" s="0" t="e">
        <f aca="false">ODDFYIELD(DATE(2024,2,29),DATE(2027,2,28),DATE(2024,1,15),DATE(2024,8,31),0.05,95,100,1,1)</f>
        <v>#VALUE!</v>
      </c>
      <c r="B15454" s="0" t="s">
        <v>15300</v>
      </c>
    </row>
    <row r="15455" customFormat="false" ht="15" hidden="false" customHeight="false" outlineLevel="0" collapsed="false">
      <c r="A15455" s="0" t="e">
        <f aca="false">ODDFYIELD(DATE(2024,2,29),DATE(2027,2,28),DATE(2024,1,15),DATE(2024,8,31),0.1,101.5,100,1,1)</f>
        <v>#VALUE!</v>
      </c>
      <c r="B15455" s="0" t="s">
        <v>15301</v>
      </c>
    </row>
    <row r="15456" customFormat="false" ht="15" hidden="false" customHeight="false" outlineLevel="0" collapsed="false">
      <c r="A15456" s="0" t="e">
        <f aca="false">ODDFYIELD(DATE(2024,2,29),DATE(2027,2,28),DATE(2024,1,15),DATE(2024,8,31),0.05,100,100,1,1)</f>
        <v>#VALUE!</v>
      </c>
      <c r="B15456" s="0" t="s">
        <v>15302</v>
      </c>
    </row>
    <row r="15457" customFormat="false" ht="15" hidden="false" customHeight="false" outlineLevel="0" collapsed="false">
      <c r="A15457" s="0" t="e">
        <f aca="false">ODDFPRICE(DATE(2024,2,29),DATE(2027,2,28),DATE(2024,1,15),DATE(2024,8,31),0.05,0.08,100,1,2)</f>
        <v>#VALUE!</v>
      </c>
      <c r="B15457" s="0" t="s">
        <v>15303</v>
      </c>
    </row>
    <row r="15458" customFormat="false" ht="15" hidden="false" customHeight="false" outlineLevel="0" collapsed="false">
      <c r="A15458" s="0" t="e">
        <f aca="false">ODDFPRICE(DATE(2024,2,29),DATE(2027,2,28),DATE(2024,1,15),DATE(2024,8,31),0.1,0.03,105,1,2)</f>
        <v>#VALUE!</v>
      </c>
      <c r="B15458" s="0" t="s">
        <v>15304</v>
      </c>
    </row>
    <row r="15459" customFormat="false" ht="15" hidden="false" customHeight="false" outlineLevel="0" collapsed="false">
      <c r="A15459" s="0" t="e">
        <f aca="false">ODDFPRICE(DATE(2024,2,29),DATE(2027,2,28),DATE(2024,1,15),DATE(2024,8,31),0,0.05,100,1,2)</f>
        <v>#VALUE!</v>
      </c>
      <c r="B15459" s="0" t="s">
        <v>15305</v>
      </c>
    </row>
    <row r="15460" customFormat="false" ht="15" hidden="false" customHeight="false" outlineLevel="0" collapsed="false">
      <c r="A15460" s="0" t="e">
        <f aca="false">ODDFYIELD(DATE(2024,2,29),DATE(2027,2,28),DATE(2024,1,15),DATE(2024,8,31),0.05,95,100,1,2)</f>
        <v>#VALUE!</v>
      </c>
      <c r="B15460" s="0" t="s">
        <v>15306</v>
      </c>
    </row>
    <row r="15461" customFormat="false" ht="15" hidden="false" customHeight="false" outlineLevel="0" collapsed="false">
      <c r="A15461" s="0" t="e">
        <f aca="false">ODDFYIELD(DATE(2024,2,29),DATE(2027,2,28),DATE(2024,1,15),DATE(2024,8,31),0.1,101.5,100,1,2)</f>
        <v>#VALUE!</v>
      </c>
      <c r="B15461" s="0" t="s">
        <v>15307</v>
      </c>
    </row>
    <row r="15462" customFormat="false" ht="15" hidden="false" customHeight="false" outlineLevel="0" collapsed="false">
      <c r="A15462" s="0" t="e">
        <f aca="false">ODDFYIELD(DATE(2024,2,29),DATE(2027,2,28),DATE(2024,1,15),DATE(2024,8,31),0.05,100,100,1,2)</f>
        <v>#VALUE!</v>
      </c>
      <c r="B15462" s="0" t="s">
        <v>15308</v>
      </c>
    </row>
    <row r="15463" customFormat="false" ht="15" hidden="false" customHeight="false" outlineLevel="0" collapsed="false">
      <c r="A15463" s="0" t="e">
        <f aca="false">ODDFPRICE(DATE(2024,2,29),DATE(2027,2,28),DATE(2024,1,15),DATE(2024,8,31),0.05,0.08,100,1,3)</f>
        <v>#VALUE!</v>
      </c>
      <c r="B15463" s="0" t="s">
        <v>15309</v>
      </c>
    </row>
    <row r="15464" customFormat="false" ht="15" hidden="false" customHeight="false" outlineLevel="0" collapsed="false">
      <c r="A15464" s="0" t="e">
        <f aca="false">ODDFPRICE(DATE(2024,2,29),DATE(2027,2,28),DATE(2024,1,15),DATE(2024,8,31),0.1,0.03,105,1,3)</f>
        <v>#VALUE!</v>
      </c>
      <c r="B15464" s="0" t="s">
        <v>15310</v>
      </c>
    </row>
    <row r="15465" customFormat="false" ht="15" hidden="false" customHeight="false" outlineLevel="0" collapsed="false">
      <c r="A15465" s="0" t="e">
        <f aca="false">ODDFPRICE(DATE(2024,2,29),DATE(2027,2,28),DATE(2024,1,15),DATE(2024,8,31),0,0.05,100,1,3)</f>
        <v>#VALUE!</v>
      </c>
      <c r="B15465" s="0" t="s">
        <v>15311</v>
      </c>
    </row>
    <row r="15466" customFormat="false" ht="15" hidden="false" customHeight="false" outlineLevel="0" collapsed="false">
      <c r="A15466" s="0" t="e">
        <f aca="false">ODDFYIELD(DATE(2024,2,29),DATE(2027,2,28),DATE(2024,1,15),DATE(2024,8,31),0.05,95,100,1,3)</f>
        <v>#VALUE!</v>
      </c>
      <c r="B15466" s="0" t="s">
        <v>15312</v>
      </c>
    </row>
    <row r="15467" customFormat="false" ht="15" hidden="false" customHeight="false" outlineLevel="0" collapsed="false">
      <c r="A15467" s="0" t="e">
        <f aca="false">ODDFYIELD(DATE(2024,2,29),DATE(2027,2,28),DATE(2024,1,15),DATE(2024,8,31),0.1,101.5,100,1,3)</f>
        <v>#VALUE!</v>
      </c>
      <c r="B15467" s="0" t="s">
        <v>15313</v>
      </c>
    </row>
    <row r="15468" customFormat="false" ht="15" hidden="false" customHeight="false" outlineLevel="0" collapsed="false">
      <c r="A15468" s="0" t="e">
        <f aca="false">ODDFYIELD(DATE(2024,2,29),DATE(2027,2,28),DATE(2024,1,15),DATE(2024,8,31),0.05,100,100,1,3)</f>
        <v>#VALUE!</v>
      </c>
      <c r="B15468" s="0" t="s">
        <v>15314</v>
      </c>
    </row>
    <row r="15469" customFormat="false" ht="15" hidden="false" customHeight="false" outlineLevel="0" collapsed="false">
      <c r="A15469" s="0" t="e">
        <f aca="false">ODDFPRICE(DATE(2024,2,29),DATE(2027,2,28),DATE(2024,1,15),DATE(2024,8,31),0.05,0.08,100,1,4)</f>
        <v>#VALUE!</v>
      </c>
      <c r="B15469" s="0" t="s">
        <v>15315</v>
      </c>
    </row>
    <row r="15470" customFormat="false" ht="15" hidden="false" customHeight="false" outlineLevel="0" collapsed="false">
      <c r="A15470" s="0" t="e">
        <f aca="false">ODDFPRICE(DATE(2024,2,29),DATE(2027,2,28),DATE(2024,1,15),DATE(2024,8,31),0.1,0.03,105,1,4)</f>
        <v>#VALUE!</v>
      </c>
      <c r="B15470" s="0" t="s">
        <v>15316</v>
      </c>
    </row>
    <row r="15471" customFormat="false" ht="15" hidden="false" customHeight="false" outlineLevel="0" collapsed="false">
      <c r="A15471" s="0" t="e">
        <f aca="false">ODDFPRICE(DATE(2024,2,29),DATE(2027,2,28),DATE(2024,1,15),DATE(2024,8,31),0,0.05,100,1,4)</f>
        <v>#VALUE!</v>
      </c>
      <c r="B15471" s="0" t="s">
        <v>15317</v>
      </c>
    </row>
    <row r="15472" customFormat="false" ht="15" hidden="false" customHeight="false" outlineLevel="0" collapsed="false">
      <c r="A15472" s="0" t="e">
        <f aca="false">ODDFYIELD(DATE(2024,2,29),DATE(2027,2,28),DATE(2024,1,15),DATE(2024,8,31),0.05,95,100,1,4)</f>
        <v>#VALUE!</v>
      </c>
      <c r="B15472" s="0" t="s">
        <v>15318</v>
      </c>
    </row>
    <row r="15473" customFormat="false" ht="15" hidden="false" customHeight="false" outlineLevel="0" collapsed="false">
      <c r="A15473" s="0" t="e">
        <f aca="false">ODDFYIELD(DATE(2024,2,29),DATE(2027,2,28),DATE(2024,1,15),DATE(2024,8,31),0.1,101.5,100,1,4)</f>
        <v>#VALUE!</v>
      </c>
      <c r="B15473" s="0" t="s">
        <v>15319</v>
      </c>
    </row>
    <row r="15474" customFormat="false" ht="15" hidden="false" customHeight="false" outlineLevel="0" collapsed="false">
      <c r="A15474" s="0" t="e">
        <f aca="false">ODDFYIELD(DATE(2024,2,29),DATE(2027,2,28),DATE(2024,1,15),DATE(2024,8,31),0.05,100,100,1,4)</f>
        <v>#VALUE!</v>
      </c>
      <c r="B15474" s="0" t="s">
        <v>15320</v>
      </c>
    </row>
    <row r="15475" customFormat="false" ht="15" hidden="false" customHeight="false" outlineLevel="0" collapsed="false">
      <c r="A15475" s="0" t="e">
        <f aca="false">ODDFPRICE(DATE(2024,2,29),DATE(2027,2,28),DATE(2024,1,15),DATE(2024,8,31),0.05,0.08,100,2,0)</f>
        <v>#VALUE!</v>
      </c>
      <c r="B15475" s="0" t="s">
        <v>15321</v>
      </c>
    </row>
    <row r="15476" customFormat="false" ht="15" hidden="false" customHeight="false" outlineLevel="0" collapsed="false">
      <c r="A15476" s="0" t="e">
        <f aca="false">ODDFPRICE(DATE(2024,2,29),DATE(2027,2,28),DATE(2024,1,15),DATE(2024,8,31),0.1,0.03,105,2,0)</f>
        <v>#VALUE!</v>
      </c>
      <c r="B15476" s="0" t="s">
        <v>15322</v>
      </c>
    </row>
    <row r="15477" customFormat="false" ht="15" hidden="false" customHeight="false" outlineLevel="0" collapsed="false">
      <c r="A15477" s="0" t="e">
        <f aca="false">ODDFPRICE(DATE(2024,2,29),DATE(2027,2,28),DATE(2024,1,15),DATE(2024,8,31),0,0.05,100,2,0)</f>
        <v>#VALUE!</v>
      </c>
      <c r="B15477" s="0" t="s">
        <v>15323</v>
      </c>
    </row>
    <row r="15478" customFormat="false" ht="15" hidden="false" customHeight="false" outlineLevel="0" collapsed="false">
      <c r="A15478" s="0" t="e">
        <f aca="false">ODDFYIELD(DATE(2024,2,29),DATE(2027,2,28),DATE(2024,1,15),DATE(2024,8,31),0.05,95,100,2,0)</f>
        <v>#VALUE!</v>
      </c>
      <c r="B15478" s="0" t="s">
        <v>15324</v>
      </c>
    </row>
    <row r="15479" customFormat="false" ht="15" hidden="false" customHeight="false" outlineLevel="0" collapsed="false">
      <c r="A15479" s="0" t="e">
        <f aca="false">ODDFYIELD(DATE(2024,2,29),DATE(2027,2,28),DATE(2024,1,15),DATE(2024,8,31),0.1,101.5,100,2,0)</f>
        <v>#VALUE!</v>
      </c>
      <c r="B15479" s="0" t="s">
        <v>15325</v>
      </c>
    </row>
    <row r="15480" customFormat="false" ht="15" hidden="false" customHeight="false" outlineLevel="0" collapsed="false">
      <c r="A15480" s="0" t="e">
        <f aca="false">ODDFYIELD(DATE(2024,2,29),DATE(2027,2,28),DATE(2024,1,15),DATE(2024,8,31),0.05,100,100,2,0)</f>
        <v>#VALUE!</v>
      </c>
      <c r="B15480" s="0" t="s">
        <v>15326</v>
      </c>
    </row>
    <row r="15481" customFormat="false" ht="15" hidden="false" customHeight="false" outlineLevel="0" collapsed="false">
      <c r="A15481" s="0" t="e">
        <f aca="false">ODDFPRICE(DATE(2024,2,29),DATE(2027,2,28),DATE(2024,1,15),DATE(2024,8,31),0.05,0.08,100,2,1)</f>
        <v>#VALUE!</v>
      </c>
      <c r="B15481" s="0" t="s">
        <v>15327</v>
      </c>
    </row>
    <row r="15482" customFormat="false" ht="15" hidden="false" customHeight="false" outlineLevel="0" collapsed="false">
      <c r="A15482" s="0" t="e">
        <f aca="false">ODDFPRICE(DATE(2024,2,29),DATE(2027,2,28),DATE(2024,1,15),DATE(2024,8,31),0.1,0.03,105,2,1)</f>
        <v>#VALUE!</v>
      </c>
      <c r="B15482" s="0" t="s">
        <v>15328</v>
      </c>
    </row>
    <row r="15483" customFormat="false" ht="15" hidden="false" customHeight="false" outlineLevel="0" collapsed="false">
      <c r="A15483" s="0" t="e">
        <f aca="false">ODDFPRICE(DATE(2024,2,29),DATE(2027,2,28),DATE(2024,1,15),DATE(2024,8,31),0,0.05,100,2,1)</f>
        <v>#VALUE!</v>
      </c>
      <c r="B15483" s="0" t="s">
        <v>15329</v>
      </c>
    </row>
    <row r="15484" customFormat="false" ht="15" hidden="false" customHeight="false" outlineLevel="0" collapsed="false">
      <c r="A15484" s="0" t="e">
        <f aca="false">ODDFYIELD(DATE(2024,2,29),DATE(2027,2,28),DATE(2024,1,15),DATE(2024,8,31),0.05,95,100,2,1)</f>
        <v>#VALUE!</v>
      </c>
      <c r="B15484" s="0" t="s">
        <v>15330</v>
      </c>
    </row>
    <row r="15485" customFormat="false" ht="15" hidden="false" customHeight="false" outlineLevel="0" collapsed="false">
      <c r="A15485" s="0" t="e">
        <f aca="false">ODDFYIELD(DATE(2024,2,29),DATE(2027,2,28),DATE(2024,1,15),DATE(2024,8,31),0.1,101.5,100,2,1)</f>
        <v>#VALUE!</v>
      </c>
      <c r="B15485" s="0" t="s">
        <v>15331</v>
      </c>
    </row>
    <row r="15486" customFormat="false" ht="15" hidden="false" customHeight="false" outlineLevel="0" collapsed="false">
      <c r="A15486" s="0" t="e">
        <f aca="false">ODDFYIELD(DATE(2024,2,29),DATE(2027,2,28),DATE(2024,1,15),DATE(2024,8,31),0.05,100,100,2,1)</f>
        <v>#VALUE!</v>
      </c>
      <c r="B15486" s="0" t="s">
        <v>15332</v>
      </c>
    </row>
    <row r="15487" customFormat="false" ht="15" hidden="false" customHeight="false" outlineLevel="0" collapsed="false">
      <c r="A15487" s="0" t="e">
        <f aca="false">ODDFPRICE(DATE(2024,2,29),DATE(2027,2,28),DATE(2024,1,15),DATE(2024,8,31),0.05,0.08,100,2,2)</f>
        <v>#VALUE!</v>
      </c>
      <c r="B15487" s="0" t="s">
        <v>15333</v>
      </c>
    </row>
    <row r="15488" customFormat="false" ht="15" hidden="false" customHeight="false" outlineLevel="0" collapsed="false">
      <c r="A15488" s="0" t="e">
        <f aca="false">ODDFPRICE(DATE(2024,2,29),DATE(2027,2,28),DATE(2024,1,15),DATE(2024,8,31),0.1,0.03,105,2,2)</f>
        <v>#VALUE!</v>
      </c>
      <c r="B15488" s="0" t="s">
        <v>15334</v>
      </c>
    </row>
    <row r="15489" customFormat="false" ht="15" hidden="false" customHeight="false" outlineLevel="0" collapsed="false">
      <c r="A15489" s="0" t="e">
        <f aca="false">ODDFPRICE(DATE(2024,2,29),DATE(2027,2,28),DATE(2024,1,15),DATE(2024,8,31),0,0.05,100,2,2)</f>
        <v>#VALUE!</v>
      </c>
      <c r="B15489" s="0" t="s">
        <v>15335</v>
      </c>
    </row>
    <row r="15490" customFormat="false" ht="15" hidden="false" customHeight="false" outlineLevel="0" collapsed="false">
      <c r="A15490" s="0" t="e">
        <f aca="false">ODDFYIELD(DATE(2024,2,29),DATE(2027,2,28),DATE(2024,1,15),DATE(2024,8,31),0.05,95,100,2,2)</f>
        <v>#VALUE!</v>
      </c>
      <c r="B15490" s="0" t="s">
        <v>15336</v>
      </c>
    </row>
    <row r="15491" customFormat="false" ht="15" hidden="false" customHeight="false" outlineLevel="0" collapsed="false">
      <c r="A15491" s="0" t="e">
        <f aca="false">ODDFYIELD(DATE(2024,2,29),DATE(2027,2,28),DATE(2024,1,15),DATE(2024,8,31),0.1,101.5,100,2,2)</f>
        <v>#VALUE!</v>
      </c>
      <c r="B15491" s="0" t="s">
        <v>15337</v>
      </c>
    </row>
    <row r="15492" customFormat="false" ht="15" hidden="false" customHeight="false" outlineLevel="0" collapsed="false">
      <c r="A15492" s="0" t="e">
        <f aca="false">ODDFYIELD(DATE(2024,2,29),DATE(2027,2,28),DATE(2024,1,15),DATE(2024,8,31),0.05,100,100,2,2)</f>
        <v>#VALUE!</v>
      </c>
      <c r="B15492" s="0" t="s">
        <v>15338</v>
      </c>
    </row>
    <row r="15493" customFormat="false" ht="15" hidden="false" customHeight="false" outlineLevel="0" collapsed="false">
      <c r="A15493" s="0" t="e">
        <f aca="false">ODDFPRICE(DATE(2024,2,29),DATE(2027,2,28),DATE(2024,1,15),DATE(2024,8,31),0.05,0.08,100,2,3)</f>
        <v>#VALUE!</v>
      </c>
      <c r="B15493" s="0" t="s">
        <v>15339</v>
      </c>
    </row>
    <row r="15494" customFormat="false" ht="15" hidden="false" customHeight="false" outlineLevel="0" collapsed="false">
      <c r="A15494" s="0" t="e">
        <f aca="false">ODDFPRICE(DATE(2024,2,29),DATE(2027,2,28),DATE(2024,1,15),DATE(2024,8,31),0.1,0.03,105,2,3)</f>
        <v>#VALUE!</v>
      </c>
      <c r="B15494" s="0" t="s">
        <v>15340</v>
      </c>
    </row>
    <row r="15495" customFormat="false" ht="15" hidden="false" customHeight="false" outlineLevel="0" collapsed="false">
      <c r="A15495" s="0" t="e">
        <f aca="false">ODDFPRICE(DATE(2024,2,29),DATE(2027,2,28),DATE(2024,1,15),DATE(2024,8,31),0,0.05,100,2,3)</f>
        <v>#VALUE!</v>
      </c>
      <c r="B15495" s="0" t="s">
        <v>15341</v>
      </c>
    </row>
    <row r="15496" customFormat="false" ht="15" hidden="false" customHeight="false" outlineLevel="0" collapsed="false">
      <c r="A15496" s="0" t="e">
        <f aca="false">ODDFYIELD(DATE(2024,2,29),DATE(2027,2,28),DATE(2024,1,15),DATE(2024,8,31),0.05,95,100,2,3)</f>
        <v>#VALUE!</v>
      </c>
      <c r="B15496" s="0" t="s">
        <v>15342</v>
      </c>
    </row>
    <row r="15497" customFormat="false" ht="15" hidden="false" customHeight="false" outlineLevel="0" collapsed="false">
      <c r="A15497" s="0" t="e">
        <f aca="false">ODDFYIELD(DATE(2024,2,29),DATE(2027,2,28),DATE(2024,1,15),DATE(2024,8,31),0.1,101.5,100,2,3)</f>
        <v>#VALUE!</v>
      </c>
      <c r="B15497" s="0" t="s">
        <v>15343</v>
      </c>
    </row>
    <row r="15498" customFormat="false" ht="15" hidden="false" customHeight="false" outlineLevel="0" collapsed="false">
      <c r="A15498" s="0" t="e">
        <f aca="false">ODDFYIELD(DATE(2024,2,29),DATE(2027,2,28),DATE(2024,1,15),DATE(2024,8,31),0.05,100,100,2,3)</f>
        <v>#VALUE!</v>
      </c>
      <c r="B15498" s="0" t="s">
        <v>15344</v>
      </c>
    </row>
    <row r="15499" customFormat="false" ht="15" hidden="false" customHeight="false" outlineLevel="0" collapsed="false">
      <c r="A15499" s="0" t="e">
        <f aca="false">ODDFPRICE(DATE(2024,2,29),DATE(2027,2,28),DATE(2024,1,15),DATE(2024,8,31),0.05,0.08,100,2,4)</f>
        <v>#VALUE!</v>
      </c>
      <c r="B15499" s="0" t="s">
        <v>15345</v>
      </c>
    </row>
    <row r="15500" customFormat="false" ht="15" hidden="false" customHeight="false" outlineLevel="0" collapsed="false">
      <c r="A15500" s="0" t="e">
        <f aca="false">ODDFPRICE(DATE(2024,2,29),DATE(2027,2,28),DATE(2024,1,15),DATE(2024,8,31),0.1,0.03,105,2,4)</f>
        <v>#VALUE!</v>
      </c>
      <c r="B15500" s="0" t="s">
        <v>15346</v>
      </c>
    </row>
    <row r="15501" customFormat="false" ht="15" hidden="false" customHeight="false" outlineLevel="0" collapsed="false">
      <c r="A15501" s="0" t="e">
        <f aca="false">ODDFPRICE(DATE(2024,2,29),DATE(2027,2,28),DATE(2024,1,15),DATE(2024,8,31),0,0.05,100,2,4)</f>
        <v>#VALUE!</v>
      </c>
      <c r="B15501" s="0" t="s">
        <v>15347</v>
      </c>
    </row>
    <row r="15502" customFormat="false" ht="15" hidden="false" customHeight="false" outlineLevel="0" collapsed="false">
      <c r="A15502" s="0" t="e">
        <f aca="false">ODDFYIELD(DATE(2024,2,29),DATE(2027,2,28),DATE(2024,1,15),DATE(2024,8,31),0.05,95,100,2,4)</f>
        <v>#VALUE!</v>
      </c>
      <c r="B15502" s="0" t="s">
        <v>15348</v>
      </c>
    </row>
    <row r="15503" customFormat="false" ht="15" hidden="false" customHeight="false" outlineLevel="0" collapsed="false">
      <c r="A15503" s="0" t="e">
        <f aca="false">ODDFYIELD(DATE(2024,2,29),DATE(2027,2,28),DATE(2024,1,15),DATE(2024,8,31),0.1,101.5,100,2,4)</f>
        <v>#VALUE!</v>
      </c>
      <c r="B15503" s="0" t="s">
        <v>15349</v>
      </c>
    </row>
    <row r="15504" customFormat="false" ht="15" hidden="false" customHeight="false" outlineLevel="0" collapsed="false">
      <c r="A15504" s="0" t="e">
        <f aca="false">ODDFYIELD(DATE(2024,2,29),DATE(2027,2,28),DATE(2024,1,15),DATE(2024,8,31),0.05,100,100,2,4)</f>
        <v>#VALUE!</v>
      </c>
      <c r="B15504" s="0" t="s">
        <v>15350</v>
      </c>
    </row>
    <row r="15505" customFormat="false" ht="15" hidden="false" customHeight="false" outlineLevel="0" collapsed="false">
      <c r="A15505" s="0" t="e">
        <f aca="false">ODDFPRICE(DATE(2024,2,29),DATE(2027,2,28),DATE(2024,1,15),DATE(2024,8,31),0.05,0.08,100,4,0)</f>
        <v>#VALUE!</v>
      </c>
      <c r="B15505" s="0" t="s">
        <v>15351</v>
      </c>
    </row>
    <row r="15506" customFormat="false" ht="15" hidden="false" customHeight="false" outlineLevel="0" collapsed="false">
      <c r="A15506" s="0" t="e">
        <f aca="false">ODDFPRICE(DATE(2024,2,29),DATE(2027,2,28),DATE(2024,1,15),DATE(2024,8,31),0.1,0.03,105,4,0)</f>
        <v>#VALUE!</v>
      </c>
      <c r="B15506" s="0" t="s">
        <v>15352</v>
      </c>
    </row>
    <row r="15507" customFormat="false" ht="15" hidden="false" customHeight="false" outlineLevel="0" collapsed="false">
      <c r="A15507" s="0" t="e">
        <f aca="false">ODDFPRICE(DATE(2024,2,29),DATE(2027,2,28),DATE(2024,1,15),DATE(2024,8,31),0,0.05,100,4,0)</f>
        <v>#VALUE!</v>
      </c>
      <c r="B15507" s="0" t="s">
        <v>15353</v>
      </c>
    </row>
    <row r="15508" customFormat="false" ht="15" hidden="false" customHeight="false" outlineLevel="0" collapsed="false">
      <c r="A15508" s="0" t="e">
        <f aca="false">ODDFYIELD(DATE(2024,2,29),DATE(2027,2,28),DATE(2024,1,15),DATE(2024,8,31),0.05,95,100,4,0)</f>
        <v>#VALUE!</v>
      </c>
      <c r="B15508" s="0" t="s">
        <v>15354</v>
      </c>
    </row>
    <row r="15509" customFormat="false" ht="15" hidden="false" customHeight="false" outlineLevel="0" collapsed="false">
      <c r="A15509" s="0" t="e">
        <f aca="false">ODDFYIELD(DATE(2024,2,29),DATE(2027,2,28),DATE(2024,1,15),DATE(2024,8,31),0.1,101.5,100,4,0)</f>
        <v>#VALUE!</v>
      </c>
      <c r="B15509" s="0" t="s">
        <v>15355</v>
      </c>
    </row>
    <row r="15510" customFormat="false" ht="15" hidden="false" customHeight="false" outlineLevel="0" collapsed="false">
      <c r="A15510" s="0" t="e">
        <f aca="false">ODDFYIELD(DATE(2024,2,29),DATE(2027,2,28),DATE(2024,1,15),DATE(2024,8,31),0.05,100,100,4,0)</f>
        <v>#VALUE!</v>
      </c>
      <c r="B15510" s="0" t="s">
        <v>15356</v>
      </c>
    </row>
    <row r="15511" customFormat="false" ht="15" hidden="false" customHeight="false" outlineLevel="0" collapsed="false">
      <c r="A15511" s="0" t="e">
        <f aca="false">ODDFPRICE(DATE(2024,2,29),DATE(2027,2,28),DATE(2024,1,15),DATE(2024,8,31),0.05,0.08,100,4,1)</f>
        <v>#VALUE!</v>
      </c>
      <c r="B15511" s="0" t="s">
        <v>15357</v>
      </c>
    </row>
    <row r="15512" customFormat="false" ht="15" hidden="false" customHeight="false" outlineLevel="0" collapsed="false">
      <c r="A15512" s="0" t="e">
        <f aca="false">ODDFPRICE(DATE(2024,2,29),DATE(2027,2,28),DATE(2024,1,15),DATE(2024,8,31),0.1,0.03,105,4,1)</f>
        <v>#VALUE!</v>
      </c>
      <c r="B15512" s="0" t="s">
        <v>15358</v>
      </c>
    </row>
    <row r="15513" customFormat="false" ht="15" hidden="false" customHeight="false" outlineLevel="0" collapsed="false">
      <c r="A15513" s="0" t="e">
        <f aca="false">ODDFPRICE(DATE(2024,2,29),DATE(2027,2,28),DATE(2024,1,15),DATE(2024,8,31),0,0.05,100,4,1)</f>
        <v>#VALUE!</v>
      </c>
      <c r="B15513" s="0" t="s">
        <v>15359</v>
      </c>
    </row>
    <row r="15514" customFormat="false" ht="15" hidden="false" customHeight="false" outlineLevel="0" collapsed="false">
      <c r="A15514" s="0" t="e">
        <f aca="false">ODDFYIELD(DATE(2024,2,29),DATE(2027,2,28),DATE(2024,1,15),DATE(2024,8,31),0.05,95,100,4,1)</f>
        <v>#VALUE!</v>
      </c>
      <c r="B15514" s="0" t="s">
        <v>15360</v>
      </c>
    </row>
    <row r="15515" customFormat="false" ht="15" hidden="false" customHeight="false" outlineLevel="0" collapsed="false">
      <c r="A15515" s="0" t="e">
        <f aca="false">ODDFYIELD(DATE(2024,2,29),DATE(2027,2,28),DATE(2024,1,15),DATE(2024,8,31),0.1,101.5,100,4,1)</f>
        <v>#VALUE!</v>
      </c>
      <c r="B15515" s="0" t="s">
        <v>15361</v>
      </c>
    </row>
    <row r="15516" customFormat="false" ht="15" hidden="false" customHeight="false" outlineLevel="0" collapsed="false">
      <c r="A15516" s="0" t="e">
        <f aca="false">ODDFYIELD(DATE(2024,2,29),DATE(2027,2,28),DATE(2024,1,15),DATE(2024,8,31),0.05,100,100,4,1)</f>
        <v>#VALUE!</v>
      </c>
      <c r="B15516" s="0" t="s">
        <v>15362</v>
      </c>
    </row>
    <row r="15517" customFormat="false" ht="15" hidden="false" customHeight="false" outlineLevel="0" collapsed="false">
      <c r="A15517" s="0" t="e">
        <f aca="false">ODDFPRICE(DATE(2024,2,29),DATE(2027,2,28),DATE(2024,1,15),DATE(2024,8,31),0.05,0.08,100,4,2)</f>
        <v>#VALUE!</v>
      </c>
      <c r="B15517" s="0" t="s">
        <v>15363</v>
      </c>
    </row>
    <row r="15518" customFormat="false" ht="15" hidden="false" customHeight="false" outlineLevel="0" collapsed="false">
      <c r="A15518" s="0" t="e">
        <f aca="false">ODDFPRICE(DATE(2024,2,29),DATE(2027,2,28),DATE(2024,1,15),DATE(2024,8,31),0.1,0.03,105,4,2)</f>
        <v>#VALUE!</v>
      </c>
      <c r="B15518" s="0" t="s">
        <v>15364</v>
      </c>
    </row>
    <row r="15519" customFormat="false" ht="15" hidden="false" customHeight="false" outlineLevel="0" collapsed="false">
      <c r="A15519" s="0" t="e">
        <f aca="false">ODDFPRICE(DATE(2024,2,29),DATE(2027,2,28),DATE(2024,1,15),DATE(2024,8,31),0,0.05,100,4,2)</f>
        <v>#VALUE!</v>
      </c>
      <c r="B15519" s="0" t="s">
        <v>15365</v>
      </c>
    </row>
    <row r="15520" customFormat="false" ht="15" hidden="false" customHeight="false" outlineLevel="0" collapsed="false">
      <c r="A15520" s="0" t="e">
        <f aca="false">ODDFYIELD(DATE(2024,2,29),DATE(2027,2,28),DATE(2024,1,15),DATE(2024,8,31),0.05,95,100,4,2)</f>
        <v>#VALUE!</v>
      </c>
      <c r="B15520" s="0" t="s">
        <v>15366</v>
      </c>
    </row>
    <row r="15521" customFormat="false" ht="15" hidden="false" customHeight="false" outlineLevel="0" collapsed="false">
      <c r="A15521" s="0" t="e">
        <f aca="false">ODDFYIELD(DATE(2024,2,29),DATE(2027,2,28),DATE(2024,1,15),DATE(2024,8,31),0.1,101.5,100,4,2)</f>
        <v>#VALUE!</v>
      </c>
      <c r="B15521" s="0" t="s">
        <v>15367</v>
      </c>
    </row>
    <row r="15522" customFormat="false" ht="15" hidden="false" customHeight="false" outlineLevel="0" collapsed="false">
      <c r="A15522" s="0" t="e">
        <f aca="false">ODDFYIELD(DATE(2024,2,29),DATE(2027,2,28),DATE(2024,1,15),DATE(2024,8,31),0.05,100,100,4,2)</f>
        <v>#VALUE!</v>
      </c>
      <c r="B15522" s="0" t="s">
        <v>15368</v>
      </c>
    </row>
    <row r="15523" customFormat="false" ht="15" hidden="false" customHeight="false" outlineLevel="0" collapsed="false">
      <c r="A15523" s="0" t="e">
        <f aca="false">ODDFPRICE(DATE(2024,2,29),DATE(2027,2,28),DATE(2024,1,15),DATE(2024,8,31),0.05,0.08,100,4,3)</f>
        <v>#VALUE!</v>
      </c>
      <c r="B15523" s="0" t="s">
        <v>15369</v>
      </c>
    </row>
    <row r="15524" customFormat="false" ht="15" hidden="false" customHeight="false" outlineLevel="0" collapsed="false">
      <c r="A15524" s="0" t="e">
        <f aca="false">ODDFPRICE(DATE(2024,2,29),DATE(2027,2,28),DATE(2024,1,15),DATE(2024,8,31),0.1,0.03,105,4,3)</f>
        <v>#VALUE!</v>
      </c>
      <c r="B15524" s="0" t="s">
        <v>15370</v>
      </c>
    </row>
    <row r="15525" customFormat="false" ht="15" hidden="false" customHeight="false" outlineLevel="0" collapsed="false">
      <c r="A15525" s="0" t="e">
        <f aca="false">ODDFPRICE(DATE(2024,2,29),DATE(2027,2,28),DATE(2024,1,15),DATE(2024,8,31),0,0.05,100,4,3)</f>
        <v>#VALUE!</v>
      </c>
      <c r="B15525" s="0" t="s">
        <v>15371</v>
      </c>
    </row>
    <row r="15526" customFormat="false" ht="15" hidden="false" customHeight="false" outlineLevel="0" collapsed="false">
      <c r="A15526" s="0" t="e">
        <f aca="false">ODDFYIELD(DATE(2024,2,29),DATE(2027,2,28),DATE(2024,1,15),DATE(2024,8,31),0.05,95,100,4,3)</f>
        <v>#VALUE!</v>
      </c>
      <c r="B15526" s="0" t="s">
        <v>15372</v>
      </c>
    </row>
    <row r="15527" customFormat="false" ht="15" hidden="false" customHeight="false" outlineLevel="0" collapsed="false">
      <c r="A15527" s="0" t="e">
        <f aca="false">ODDFYIELD(DATE(2024,2,29),DATE(2027,2,28),DATE(2024,1,15),DATE(2024,8,31),0.1,101.5,100,4,3)</f>
        <v>#VALUE!</v>
      </c>
      <c r="B15527" s="0" t="s">
        <v>15373</v>
      </c>
    </row>
    <row r="15528" customFormat="false" ht="15" hidden="false" customHeight="false" outlineLevel="0" collapsed="false">
      <c r="A15528" s="0" t="e">
        <f aca="false">ODDFYIELD(DATE(2024,2,29),DATE(2027,2,28),DATE(2024,1,15),DATE(2024,8,31),0.05,100,100,4,3)</f>
        <v>#VALUE!</v>
      </c>
      <c r="B15528" s="0" t="s">
        <v>15374</v>
      </c>
    </row>
    <row r="15529" customFormat="false" ht="15" hidden="false" customHeight="false" outlineLevel="0" collapsed="false">
      <c r="A15529" s="0" t="e">
        <f aca="false">ODDFPRICE(DATE(2024,2,29),DATE(2027,2,28),DATE(2024,1,15),DATE(2024,8,31),0.05,0.08,100,4,4)</f>
        <v>#VALUE!</v>
      </c>
      <c r="B15529" s="0" t="s">
        <v>15375</v>
      </c>
    </row>
    <row r="15530" customFormat="false" ht="15" hidden="false" customHeight="false" outlineLevel="0" collapsed="false">
      <c r="A15530" s="0" t="e">
        <f aca="false">ODDFPRICE(DATE(2024,2,29),DATE(2027,2,28),DATE(2024,1,15),DATE(2024,8,31),0.1,0.03,105,4,4)</f>
        <v>#VALUE!</v>
      </c>
      <c r="B15530" s="0" t="s">
        <v>15376</v>
      </c>
    </row>
    <row r="15531" customFormat="false" ht="15" hidden="false" customHeight="false" outlineLevel="0" collapsed="false">
      <c r="A15531" s="0" t="e">
        <f aca="false">ODDFPRICE(DATE(2024,2,29),DATE(2027,2,28),DATE(2024,1,15),DATE(2024,8,31),0,0.05,100,4,4)</f>
        <v>#VALUE!</v>
      </c>
      <c r="B15531" s="0" t="s">
        <v>15377</v>
      </c>
    </row>
    <row r="15532" customFormat="false" ht="15" hidden="false" customHeight="false" outlineLevel="0" collapsed="false">
      <c r="A15532" s="0" t="e">
        <f aca="false">ODDFYIELD(DATE(2024,2,29),DATE(2027,2,28),DATE(2024,1,15),DATE(2024,8,31),0.05,95,100,4,4)</f>
        <v>#VALUE!</v>
      </c>
      <c r="B15532" s="0" t="s">
        <v>15378</v>
      </c>
    </row>
    <row r="15533" customFormat="false" ht="15" hidden="false" customHeight="false" outlineLevel="0" collapsed="false">
      <c r="A15533" s="0" t="e">
        <f aca="false">ODDFYIELD(DATE(2024,2,29),DATE(2027,2,28),DATE(2024,1,15),DATE(2024,8,31),0.1,101.5,100,4,4)</f>
        <v>#VALUE!</v>
      </c>
      <c r="B15533" s="0" t="s">
        <v>15379</v>
      </c>
    </row>
    <row r="15534" customFormat="false" ht="15" hidden="false" customHeight="false" outlineLevel="0" collapsed="false">
      <c r="A15534" s="0" t="e">
        <f aca="false">ODDFYIELD(DATE(2024,2,29),DATE(2027,2,28),DATE(2024,1,15),DATE(2024,8,31),0.05,100,100,4,4)</f>
        <v>#VALUE!</v>
      </c>
      <c r="B15534" s="0" t="s">
        <v>15380</v>
      </c>
    </row>
    <row r="15535" customFormat="false" ht="15" hidden="false" customHeight="false" outlineLevel="0" collapsed="false">
      <c r="A15535" s="0" t="e">
        <f aca="false">ODDFPRICE(DATE(2024,6,15),DATE(2029,12,31),DATE(2024,1,1),DATE(2024,12,31),0.05,0.08,100,1,0)</f>
        <v>#VALUE!</v>
      </c>
      <c r="B15535" s="0" t="s">
        <v>15381</v>
      </c>
    </row>
    <row r="15536" customFormat="false" ht="15" hidden="false" customHeight="false" outlineLevel="0" collapsed="false">
      <c r="A15536" s="0" t="e">
        <f aca="false">ODDFPRICE(DATE(2024,6,15),DATE(2029,12,31),DATE(2024,1,1),DATE(2024,12,31),0.1,0.03,105,1,0)</f>
        <v>#VALUE!</v>
      </c>
      <c r="B15536" s="0" t="s">
        <v>15382</v>
      </c>
    </row>
    <row r="15537" customFormat="false" ht="15" hidden="false" customHeight="false" outlineLevel="0" collapsed="false">
      <c r="A15537" s="0" t="e">
        <f aca="false">ODDFPRICE(DATE(2024,6,15),DATE(2029,12,31),DATE(2024,1,1),DATE(2024,12,31),0,0.05,100,1,0)</f>
        <v>#VALUE!</v>
      </c>
      <c r="B15537" s="0" t="s">
        <v>15383</v>
      </c>
    </row>
    <row r="15538" customFormat="false" ht="15" hidden="false" customHeight="false" outlineLevel="0" collapsed="false">
      <c r="A15538" s="0" t="e">
        <f aca="false">ODDFYIELD(DATE(2024,6,15),DATE(2029,12,31),DATE(2024,1,1),DATE(2024,12,31),0.05,95,100,1,0)</f>
        <v>#VALUE!</v>
      </c>
      <c r="B15538" s="0" t="s">
        <v>15384</v>
      </c>
    </row>
    <row r="15539" customFormat="false" ht="15" hidden="false" customHeight="false" outlineLevel="0" collapsed="false">
      <c r="A15539" s="0" t="e">
        <f aca="false">ODDFYIELD(DATE(2024,6,15),DATE(2029,12,31),DATE(2024,1,1),DATE(2024,12,31),0.1,101.5,100,1,0)</f>
        <v>#VALUE!</v>
      </c>
      <c r="B15539" s="0" t="s">
        <v>15385</v>
      </c>
    </row>
    <row r="15540" customFormat="false" ht="15" hidden="false" customHeight="false" outlineLevel="0" collapsed="false">
      <c r="A15540" s="0" t="e">
        <f aca="false">ODDFYIELD(DATE(2024,6,15),DATE(2029,12,31),DATE(2024,1,1),DATE(2024,12,31),0.05,100,100,1,0)</f>
        <v>#VALUE!</v>
      </c>
      <c r="B15540" s="0" t="s">
        <v>15386</v>
      </c>
    </row>
    <row r="15541" customFormat="false" ht="15" hidden="false" customHeight="false" outlineLevel="0" collapsed="false">
      <c r="A15541" s="0" t="e">
        <f aca="false">ODDFPRICE(DATE(2024,6,15),DATE(2029,12,31),DATE(2024,1,1),DATE(2024,12,31),0.05,0.08,100,1,1)</f>
        <v>#VALUE!</v>
      </c>
      <c r="B15541" s="0" t="s">
        <v>15387</v>
      </c>
    </row>
    <row r="15542" customFormat="false" ht="15" hidden="false" customHeight="false" outlineLevel="0" collapsed="false">
      <c r="A15542" s="0" t="e">
        <f aca="false">ODDFPRICE(DATE(2024,6,15),DATE(2029,12,31),DATE(2024,1,1),DATE(2024,12,31),0.1,0.03,105,1,1)</f>
        <v>#VALUE!</v>
      </c>
      <c r="B15542" s="0" t="s">
        <v>15388</v>
      </c>
    </row>
    <row r="15543" customFormat="false" ht="15" hidden="false" customHeight="false" outlineLevel="0" collapsed="false">
      <c r="A15543" s="0" t="e">
        <f aca="false">ODDFPRICE(DATE(2024,6,15),DATE(2029,12,31),DATE(2024,1,1),DATE(2024,12,31),0,0.05,100,1,1)</f>
        <v>#VALUE!</v>
      </c>
      <c r="B15543" s="0" t="s">
        <v>15389</v>
      </c>
    </row>
    <row r="15544" customFormat="false" ht="15" hidden="false" customHeight="false" outlineLevel="0" collapsed="false">
      <c r="A15544" s="0" t="e">
        <f aca="false">ODDFYIELD(DATE(2024,6,15),DATE(2029,12,31),DATE(2024,1,1),DATE(2024,12,31),0.05,95,100,1,1)</f>
        <v>#VALUE!</v>
      </c>
      <c r="B15544" s="0" t="s">
        <v>15390</v>
      </c>
    </row>
    <row r="15545" customFormat="false" ht="15" hidden="false" customHeight="false" outlineLevel="0" collapsed="false">
      <c r="A15545" s="0" t="e">
        <f aca="false">ODDFYIELD(DATE(2024,6,15),DATE(2029,12,31),DATE(2024,1,1),DATE(2024,12,31),0.1,101.5,100,1,1)</f>
        <v>#VALUE!</v>
      </c>
      <c r="B15545" s="0" t="s">
        <v>15391</v>
      </c>
    </row>
    <row r="15546" customFormat="false" ht="15" hidden="false" customHeight="false" outlineLevel="0" collapsed="false">
      <c r="A15546" s="0" t="e">
        <f aca="false">ODDFYIELD(DATE(2024,6,15),DATE(2029,12,31),DATE(2024,1,1),DATE(2024,12,31),0.05,100,100,1,1)</f>
        <v>#VALUE!</v>
      </c>
      <c r="B15546" s="0" t="s">
        <v>15392</v>
      </c>
    </row>
    <row r="15547" customFormat="false" ht="15" hidden="false" customHeight="false" outlineLevel="0" collapsed="false">
      <c r="A15547" s="0" t="e">
        <f aca="false">ODDFPRICE(DATE(2024,6,15),DATE(2029,12,31),DATE(2024,1,1),DATE(2024,12,31),0.05,0.08,100,1,2)</f>
        <v>#VALUE!</v>
      </c>
      <c r="B15547" s="0" t="s">
        <v>15393</v>
      </c>
    </row>
    <row r="15548" customFormat="false" ht="15" hidden="false" customHeight="false" outlineLevel="0" collapsed="false">
      <c r="A15548" s="0" t="e">
        <f aca="false">ODDFPRICE(DATE(2024,6,15),DATE(2029,12,31),DATE(2024,1,1),DATE(2024,12,31),0.1,0.03,105,1,2)</f>
        <v>#VALUE!</v>
      </c>
      <c r="B15548" s="0" t="s">
        <v>15394</v>
      </c>
    </row>
    <row r="15549" customFormat="false" ht="15" hidden="false" customHeight="false" outlineLevel="0" collapsed="false">
      <c r="A15549" s="0" t="e">
        <f aca="false">ODDFPRICE(DATE(2024,6,15),DATE(2029,12,31),DATE(2024,1,1),DATE(2024,12,31),0,0.05,100,1,2)</f>
        <v>#VALUE!</v>
      </c>
      <c r="B15549" s="0" t="s">
        <v>15395</v>
      </c>
    </row>
    <row r="15550" customFormat="false" ht="15" hidden="false" customHeight="false" outlineLevel="0" collapsed="false">
      <c r="A15550" s="0" t="e">
        <f aca="false">ODDFYIELD(DATE(2024,6,15),DATE(2029,12,31),DATE(2024,1,1),DATE(2024,12,31),0.05,95,100,1,2)</f>
        <v>#VALUE!</v>
      </c>
      <c r="B15550" s="0" t="s">
        <v>15396</v>
      </c>
    </row>
    <row r="15551" customFormat="false" ht="15" hidden="false" customHeight="false" outlineLevel="0" collapsed="false">
      <c r="A15551" s="0" t="e">
        <f aca="false">ODDFYIELD(DATE(2024,6,15),DATE(2029,12,31),DATE(2024,1,1),DATE(2024,12,31),0.1,101.5,100,1,2)</f>
        <v>#VALUE!</v>
      </c>
      <c r="B15551" s="0" t="s">
        <v>15397</v>
      </c>
    </row>
    <row r="15552" customFormat="false" ht="15" hidden="false" customHeight="false" outlineLevel="0" collapsed="false">
      <c r="A15552" s="0" t="e">
        <f aca="false">ODDFYIELD(DATE(2024,6,15),DATE(2029,12,31),DATE(2024,1,1),DATE(2024,12,31),0.05,100,100,1,2)</f>
        <v>#VALUE!</v>
      </c>
      <c r="B15552" s="0" t="s">
        <v>15398</v>
      </c>
    </row>
    <row r="15553" customFormat="false" ht="15" hidden="false" customHeight="false" outlineLevel="0" collapsed="false">
      <c r="A15553" s="0" t="e">
        <f aca="false">ODDFPRICE(DATE(2024,6,15),DATE(2029,12,31),DATE(2024,1,1),DATE(2024,12,31),0.05,0.08,100,1,3)</f>
        <v>#VALUE!</v>
      </c>
      <c r="B15553" s="0" t="s">
        <v>15399</v>
      </c>
    </row>
    <row r="15554" customFormat="false" ht="15" hidden="false" customHeight="false" outlineLevel="0" collapsed="false">
      <c r="A15554" s="0" t="e">
        <f aca="false">ODDFPRICE(DATE(2024,6,15),DATE(2029,12,31),DATE(2024,1,1),DATE(2024,12,31),0.1,0.03,105,1,3)</f>
        <v>#VALUE!</v>
      </c>
      <c r="B15554" s="0" t="s">
        <v>15400</v>
      </c>
    </row>
    <row r="15555" customFormat="false" ht="15" hidden="false" customHeight="false" outlineLevel="0" collapsed="false">
      <c r="A15555" s="0" t="e">
        <f aca="false">ODDFPRICE(DATE(2024,6,15),DATE(2029,12,31),DATE(2024,1,1),DATE(2024,12,31),0,0.05,100,1,3)</f>
        <v>#VALUE!</v>
      </c>
      <c r="B15555" s="0" t="s">
        <v>15401</v>
      </c>
    </row>
    <row r="15556" customFormat="false" ht="15" hidden="false" customHeight="false" outlineLevel="0" collapsed="false">
      <c r="A15556" s="0" t="e">
        <f aca="false">ODDFYIELD(DATE(2024,6,15),DATE(2029,12,31),DATE(2024,1,1),DATE(2024,12,31),0.05,95,100,1,3)</f>
        <v>#VALUE!</v>
      </c>
      <c r="B15556" s="0" t="s">
        <v>15402</v>
      </c>
    </row>
    <row r="15557" customFormat="false" ht="15" hidden="false" customHeight="false" outlineLevel="0" collapsed="false">
      <c r="A15557" s="0" t="e">
        <f aca="false">ODDFYIELD(DATE(2024,6,15),DATE(2029,12,31),DATE(2024,1,1),DATE(2024,12,31),0.1,101.5,100,1,3)</f>
        <v>#VALUE!</v>
      </c>
      <c r="B15557" s="0" t="s">
        <v>15403</v>
      </c>
    </row>
    <row r="15558" customFormat="false" ht="15" hidden="false" customHeight="false" outlineLevel="0" collapsed="false">
      <c r="A15558" s="0" t="e">
        <f aca="false">ODDFYIELD(DATE(2024,6,15),DATE(2029,12,31),DATE(2024,1,1),DATE(2024,12,31),0.05,100,100,1,3)</f>
        <v>#VALUE!</v>
      </c>
      <c r="B15558" s="0" t="s">
        <v>15404</v>
      </c>
    </row>
    <row r="15559" customFormat="false" ht="15" hidden="false" customHeight="false" outlineLevel="0" collapsed="false">
      <c r="A15559" s="0" t="e">
        <f aca="false">ODDFPRICE(DATE(2024,6,15),DATE(2029,12,31),DATE(2024,1,1),DATE(2024,12,31),0.05,0.08,100,1,4)</f>
        <v>#VALUE!</v>
      </c>
      <c r="B15559" s="0" t="s">
        <v>15405</v>
      </c>
    </row>
    <row r="15560" customFormat="false" ht="15" hidden="false" customHeight="false" outlineLevel="0" collapsed="false">
      <c r="A15560" s="0" t="e">
        <f aca="false">ODDFPRICE(DATE(2024,6,15),DATE(2029,12,31),DATE(2024,1,1),DATE(2024,12,31),0.1,0.03,105,1,4)</f>
        <v>#VALUE!</v>
      </c>
      <c r="B15560" s="0" t="s">
        <v>15406</v>
      </c>
    </row>
    <row r="15561" customFormat="false" ht="15" hidden="false" customHeight="false" outlineLevel="0" collapsed="false">
      <c r="A15561" s="0" t="e">
        <f aca="false">ODDFPRICE(DATE(2024,6,15),DATE(2029,12,31),DATE(2024,1,1),DATE(2024,12,31),0,0.05,100,1,4)</f>
        <v>#VALUE!</v>
      </c>
      <c r="B15561" s="0" t="s">
        <v>15407</v>
      </c>
    </row>
    <row r="15562" customFormat="false" ht="15" hidden="false" customHeight="false" outlineLevel="0" collapsed="false">
      <c r="A15562" s="0" t="e">
        <f aca="false">ODDFYIELD(DATE(2024,6,15),DATE(2029,12,31),DATE(2024,1,1),DATE(2024,12,31),0.05,95,100,1,4)</f>
        <v>#VALUE!</v>
      </c>
      <c r="B15562" s="0" t="s">
        <v>15408</v>
      </c>
    </row>
    <row r="15563" customFormat="false" ht="15" hidden="false" customHeight="false" outlineLevel="0" collapsed="false">
      <c r="A15563" s="0" t="e">
        <f aca="false">ODDFYIELD(DATE(2024,6,15),DATE(2029,12,31),DATE(2024,1,1),DATE(2024,12,31),0.1,101.5,100,1,4)</f>
        <v>#VALUE!</v>
      </c>
      <c r="B15563" s="0" t="s">
        <v>15409</v>
      </c>
    </row>
    <row r="15564" customFormat="false" ht="15" hidden="false" customHeight="false" outlineLevel="0" collapsed="false">
      <c r="A15564" s="0" t="e">
        <f aca="false">ODDFYIELD(DATE(2024,6,15),DATE(2029,12,31),DATE(2024,1,1),DATE(2024,12,31),0.05,100,100,1,4)</f>
        <v>#VALUE!</v>
      </c>
      <c r="B15564" s="0" t="s">
        <v>15410</v>
      </c>
    </row>
    <row r="15565" customFormat="false" ht="15" hidden="false" customHeight="false" outlineLevel="0" collapsed="false">
      <c r="A15565" s="0" t="e">
        <f aca="false">ODDFPRICE(DATE(2024,6,15),DATE(2029,12,31),DATE(2024,1,1),DATE(2024,12,31),0.05,0.08,100,2,0)</f>
        <v>#VALUE!</v>
      </c>
      <c r="B15565" s="0" t="s">
        <v>15411</v>
      </c>
    </row>
    <row r="15566" customFormat="false" ht="15" hidden="false" customHeight="false" outlineLevel="0" collapsed="false">
      <c r="A15566" s="0" t="e">
        <f aca="false">ODDFPRICE(DATE(2024,6,15),DATE(2029,12,31),DATE(2024,1,1),DATE(2024,12,31),0.1,0.03,105,2,0)</f>
        <v>#VALUE!</v>
      </c>
      <c r="B15566" s="0" t="s">
        <v>15412</v>
      </c>
    </row>
    <row r="15567" customFormat="false" ht="15" hidden="false" customHeight="false" outlineLevel="0" collapsed="false">
      <c r="A15567" s="0" t="e">
        <f aca="false">ODDFPRICE(DATE(2024,6,15),DATE(2029,12,31),DATE(2024,1,1),DATE(2024,12,31),0,0.05,100,2,0)</f>
        <v>#VALUE!</v>
      </c>
      <c r="B15567" s="0" t="s">
        <v>15413</v>
      </c>
    </row>
    <row r="15568" customFormat="false" ht="15" hidden="false" customHeight="false" outlineLevel="0" collapsed="false">
      <c r="A15568" s="0" t="e">
        <f aca="false">ODDFYIELD(DATE(2024,6,15),DATE(2029,12,31),DATE(2024,1,1),DATE(2024,12,31),0.05,95,100,2,0)</f>
        <v>#VALUE!</v>
      </c>
      <c r="B15568" s="0" t="s">
        <v>15414</v>
      </c>
    </row>
    <row r="15569" customFormat="false" ht="15" hidden="false" customHeight="false" outlineLevel="0" collapsed="false">
      <c r="A15569" s="0" t="e">
        <f aca="false">ODDFYIELD(DATE(2024,6,15),DATE(2029,12,31),DATE(2024,1,1),DATE(2024,12,31),0.1,101.5,100,2,0)</f>
        <v>#VALUE!</v>
      </c>
      <c r="B15569" s="0" t="s">
        <v>15415</v>
      </c>
    </row>
    <row r="15570" customFormat="false" ht="15" hidden="false" customHeight="false" outlineLevel="0" collapsed="false">
      <c r="A15570" s="0" t="e">
        <f aca="false">ODDFYIELD(DATE(2024,6,15),DATE(2029,12,31),DATE(2024,1,1),DATE(2024,12,31),0.05,100,100,2,0)</f>
        <v>#VALUE!</v>
      </c>
      <c r="B15570" s="0" t="s">
        <v>15416</v>
      </c>
    </row>
    <row r="15571" customFormat="false" ht="15" hidden="false" customHeight="false" outlineLevel="0" collapsed="false">
      <c r="A15571" s="0" t="e">
        <f aca="false">ODDFPRICE(DATE(2024,6,15),DATE(2029,12,31),DATE(2024,1,1),DATE(2024,12,31),0.05,0.08,100,2,1)</f>
        <v>#VALUE!</v>
      </c>
      <c r="B15571" s="0" t="s">
        <v>15417</v>
      </c>
    </row>
    <row r="15572" customFormat="false" ht="15" hidden="false" customHeight="false" outlineLevel="0" collapsed="false">
      <c r="A15572" s="0" t="e">
        <f aca="false">ODDFPRICE(DATE(2024,6,15),DATE(2029,12,31),DATE(2024,1,1),DATE(2024,12,31),0.1,0.03,105,2,1)</f>
        <v>#VALUE!</v>
      </c>
      <c r="B15572" s="0" t="s">
        <v>15418</v>
      </c>
    </row>
    <row r="15573" customFormat="false" ht="15" hidden="false" customHeight="false" outlineLevel="0" collapsed="false">
      <c r="A15573" s="0" t="e">
        <f aca="false">ODDFPRICE(DATE(2024,6,15),DATE(2029,12,31),DATE(2024,1,1),DATE(2024,12,31),0,0.05,100,2,1)</f>
        <v>#VALUE!</v>
      </c>
      <c r="B15573" s="0" t="s">
        <v>15419</v>
      </c>
    </row>
    <row r="15574" customFormat="false" ht="15" hidden="false" customHeight="false" outlineLevel="0" collapsed="false">
      <c r="A15574" s="0" t="e">
        <f aca="false">ODDFYIELD(DATE(2024,6,15),DATE(2029,12,31),DATE(2024,1,1),DATE(2024,12,31),0.05,95,100,2,1)</f>
        <v>#VALUE!</v>
      </c>
      <c r="B15574" s="0" t="s">
        <v>15420</v>
      </c>
    </row>
    <row r="15575" customFormat="false" ht="15" hidden="false" customHeight="false" outlineLevel="0" collapsed="false">
      <c r="A15575" s="0" t="e">
        <f aca="false">ODDFYIELD(DATE(2024,6,15),DATE(2029,12,31),DATE(2024,1,1),DATE(2024,12,31),0.1,101.5,100,2,1)</f>
        <v>#VALUE!</v>
      </c>
      <c r="B15575" s="0" t="s">
        <v>15421</v>
      </c>
    </row>
    <row r="15576" customFormat="false" ht="15" hidden="false" customHeight="false" outlineLevel="0" collapsed="false">
      <c r="A15576" s="0" t="e">
        <f aca="false">ODDFYIELD(DATE(2024,6,15),DATE(2029,12,31),DATE(2024,1,1),DATE(2024,12,31),0.05,100,100,2,1)</f>
        <v>#VALUE!</v>
      </c>
      <c r="B15576" s="0" t="s">
        <v>15422</v>
      </c>
    </row>
    <row r="15577" customFormat="false" ht="15" hidden="false" customHeight="false" outlineLevel="0" collapsed="false">
      <c r="A15577" s="0" t="e">
        <f aca="false">ODDFPRICE(DATE(2024,6,15),DATE(2029,12,31),DATE(2024,1,1),DATE(2024,12,31),0.05,0.08,100,2,2)</f>
        <v>#VALUE!</v>
      </c>
      <c r="B15577" s="0" t="s">
        <v>15423</v>
      </c>
    </row>
    <row r="15578" customFormat="false" ht="15" hidden="false" customHeight="false" outlineLevel="0" collapsed="false">
      <c r="A15578" s="0" t="e">
        <f aca="false">ODDFPRICE(DATE(2024,6,15),DATE(2029,12,31),DATE(2024,1,1),DATE(2024,12,31),0.1,0.03,105,2,2)</f>
        <v>#VALUE!</v>
      </c>
      <c r="B15578" s="0" t="s">
        <v>15424</v>
      </c>
    </row>
    <row r="15579" customFormat="false" ht="15" hidden="false" customHeight="false" outlineLevel="0" collapsed="false">
      <c r="A15579" s="0" t="e">
        <f aca="false">ODDFPRICE(DATE(2024,6,15),DATE(2029,12,31),DATE(2024,1,1),DATE(2024,12,31),0,0.05,100,2,2)</f>
        <v>#VALUE!</v>
      </c>
      <c r="B15579" s="0" t="s">
        <v>15425</v>
      </c>
    </row>
    <row r="15580" customFormat="false" ht="15" hidden="false" customHeight="false" outlineLevel="0" collapsed="false">
      <c r="A15580" s="0" t="e">
        <f aca="false">ODDFYIELD(DATE(2024,6,15),DATE(2029,12,31),DATE(2024,1,1),DATE(2024,12,31),0.05,95,100,2,2)</f>
        <v>#VALUE!</v>
      </c>
      <c r="B15580" s="0" t="s">
        <v>15426</v>
      </c>
    </row>
    <row r="15581" customFormat="false" ht="15" hidden="false" customHeight="false" outlineLevel="0" collapsed="false">
      <c r="A15581" s="0" t="e">
        <f aca="false">ODDFYIELD(DATE(2024,6,15),DATE(2029,12,31),DATE(2024,1,1),DATE(2024,12,31),0.1,101.5,100,2,2)</f>
        <v>#VALUE!</v>
      </c>
      <c r="B15581" s="0" t="s">
        <v>15427</v>
      </c>
    </row>
    <row r="15582" customFormat="false" ht="15" hidden="false" customHeight="false" outlineLevel="0" collapsed="false">
      <c r="A15582" s="0" t="e">
        <f aca="false">ODDFYIELD(DATE(2024,6,15),DATE(2029,12,31),DATE(2024,1,1),DATE(2024,12,31),0.05,100,100,2,2)</f>
        <v>#VALUE!</v>
      </c>
      <c r="B15582" s="0" t="s">
        <v>15428</v>
      </c>
    </row>
    <row r="15583" customFormat="false" ht="15" hidden="false" customHeight="false" outlineLevel="0" collapsed="false">
      <c r="A15583" s="0" t="e">
        <f aca="false">ODDFPRICE(DATE(2024,6,15),DATE(2029,12,31),DATE(2024,1,1),DATE(2024,12,31),0.05,0.08,100,2,3)</f>
        <v>#VALUE!</v>
      </c>
      <c r="B15583" s="0" t="s">
        <v>15429</v>
      </c>
    </row>
    <row r="15584" customFormat="false" ht="15" hidden="false" customHeight="false" outlineLevel="0" collapsed="false">
      <c r="A15584" s="0" t="e">
        <f aca="false">ODDFPRICE(DATE(2024,6,15),DATE(2029,12,31),DATE(2024,1,1),DATE(2024,12,31),0.1,0.03,105,2,3)</f>
        <v>#VALUE!</v>
      </c>
      <c r="B15584" s="0" t="s">
        <v>15430</v>
      </c>
    </row>
    <row r="15585" customFormat="false" ht="15" hidden="false" customHeight="false" outlineLevel="0" collapsed="false">
      <c r="A15585" s="0" t="e">
        <f aca="false">ODDFPRICE(DATE(2024,6,15),DATE(2029,12,31),DATE(2024,1,1),DATE(2024,12,31),0,0.05,100,2,3)</f>
        <v>#VALUE!</v>
      </c>
      <c r="B15585" s="0" t="s">
        <v>15431</v>
      </c>
    </row>
    <row r="15586" customFormat="false" ht="15" hidden="false" customHeight="false" outlineLevel="0" collapsed="false">
      <c r="A15586" s="0" t="e">
        <f aca="false">ODDFYIELD(DATE(2024,6,15),DATE(2029,12,31),DATE(2024,1,1),DATE(2024,12,31),0.05,95,100,2,3)</f>
        <v>#VALUE!</v>
      </c>
      <c r="B15586" s="0" t="s">
        <v>15432</v>
      </c>
    </row>
    <row r="15587" customFormat="false" ht="15" hidden="false" customHeight="false" outlineLevel="0" collapsed="false">
      <c r="A15587" s="0" t="e">
        <f aca="false">ODDFYIELD(DATE(2024,6,15),DATE(2029,12,31),DATE(2024,1,1),DATE(2024,12,31),0.1,101.5,100,2,3)</f>
        <v>#VALUE!</v>
      </c>
      <c r="B15587" s="0" t="s">
        <v>15433</v>
      </c>
    </row>
    <row r="15588" customFormat="false" ht="15" hidden="false" customHeight="false" outlineLevel="0" collapsed="false">
      <c r="A15588" s="0" t="e">
        <f aca="false">ODDFYIELD(DATE(2024,6,15),DATE(2029,12,31),DATE(2024,1,1),DATE(2024,12,31),0.05,100,100,2,3)</f>
        <v>#VALUE!</v>
      </c>
      <c r="B15588" s="0" t="s">
        <v>15434</v>
      </c>
    </row>
    <row r="15589" customFormat="false" ht="15" hidden="false" customHeight="false" outlineLevel="0" collapsed="false">
      <c r="A15589" s="0" t="e">
        <f aca="false">ODDFPRICE(DATE(2024,6,15),DATE(2029,12,31),DATE(2024,1,1),DATE(2024,12,31),0.05,0.08,100,2,4)</f>
        <v>#VALUE!</v>
      </c>
      <c r="B15589" s="0" t="s">
        <v>15435</v>
      </c>
    </row>
    <row r="15590" customFormat="false" ht="15" hidden="false" customHeight="false" outlineLevel="0" collapsed="false">
      <c r="A15590" s="0" t="e">
        <f aca="false">ODDFPRICE(DATE(2024,6,15),DATE(2029,12,31),DATE(2024,1,1),DATE(2024,12,31),0.1,0.03,105,2,4)</f>
        <v>#VALUE!</v>
      </c>
      <c r="B15590" s="0" t="s">
        <v>15436</v>
      </c>
    </row>
    <row r="15591" customFormat="false" ht="15" hidden="false" customHeight="false" outlineLevel="0" collapsed="false">
      <c r="A15591" s="0" t="e">
        <f aca="false">ODDFPRICE(DATE(2024,6,15),DATE(2029,12,31),DATE(2024,1,1),DATE(2024,12,31),0,0.05,100,2,4)</f>
        <v>#VALUE!</v>
      </c>
      <c r="B15591" s="0" t="s">
        <v>15437</v>
      </c>
    </row>
    <row r="15592" customFormat="false" ht="15" hidden="false" customHeight="false" outlineLevel="0" collapsed="false">
      <c r="A15592" s="0" t="e">
        <f aca="false">ODDFYIELD(DATE(2024,6,15),DATE(2029,12,31),DATE(2024,1,1),DATE(2024,12,31),0.05,95,100,2,4)</f>
        <v>#VALUE!</v>
      </c>
      <c r="B15592" s="0" t="s">
        <v>15438</v>
      </c>
    </row>
    <row r="15593" customFormat="false" ht="15" hidden="false" customHeight="false" outlineLevel="0" collapsed="false">
      <c r="A15593" s="0" t="e">
        <f aca="false">ODDFYIELD(DATE(2024,6,15),DATE(2029,12,31),DATE(2024,1,1),DATE(2024,12,31),0.1,101.5,100,2,4)</f>
        <v>#VALUE!</v>
      </c>
      <c r="B15593" s="0" t="s">
        <v>15439</v>
      </c>
    </row>
    <row r="15594" customFormat="false" ht="15" hidden="false" customHeight="false" outlineLevel="0" collapsed="false">
      <c r="A15594" s="0" t="e">
        <f aca="false">ODDFYIELD(DATE(2024,6,15),DATE(2029,12,31),DATE(2024,1,1),DATE(2024,12,31),0.05,100,100,2,4)</f>
        <v>#VALUE!</v>
      </c>
      <c r="B15594" s="0" t="s">
        <v>15440</v>
      </c>
    </row>
    <row r="15595" customFormat="false" ht="15" hidden="false" customHeight="false" outlineLevel="0" collapsed="false">
      <c r="A15595" s="0" t="e">
        <f aca="false">ODDFPRICE(DATE(2024,6,15),DATE(2029,12,31),DATE(2024,1,1),DATE(2024,12,31),0.05,0.08,100,4,0)</f>
        <v>#VALUE!</v>
      </c>
      <c r="B15595" s="0" t="s">
        <v>15441</v>
      </c>
    </row>
    <row r="15596" customFormat="false" ht="15" hidden="false" customHeight="false" outlineLevel="0" collapsed="false">
      <c r="A15596" s="0" t="e">
        <f aca="false">ODDFPRICE(DATE(2024,6,15),DATE(2029,12,31),DATE(2024,1,1),DATE(2024,12,31),0.1,0.03,105,4,0)</f>
        <v>#VALUE!</v>
      </c>
      <c r="B15596" s="0" t="s">
        <v>15442</v>
      </c>
    </row>
    <row r="15597" customFormat="false" ht="15" hidden="false" customHeight="false" outlineLevel="0" collapsed="false">
      <c r="A15597" s="0" t="e">
        <f aca="false">ODDFPRICE(DATE(2024,6,15),DATE(2029,12,31),DATE(2024,1,1),DATE(2024,12,31),0,0.05,100,4,0)</f>
        <v>#VALUE!</v>
      </c>
      <c r="B15597" s="0" t="s">
        <v>15443</v>
      </c>
    </row>
    <row r="15598" customFormat="false" ht="15" hidden="false" customHeight="false" outlineLevel="0" collapsed="false">
      <c r="A15598" s="0" t="e">
        <f aca="false">ODDFYIELD(DATE(2024,6,15),DATE(2029,12,31),DATE(2024,1,1),DATE(2024,12,31),0.05,95,100,4,0)</f>
        <v>#VALUE!</v>
      </c>
      <c r="B15598" s="0" t="s">
        <v>15444</v>
      </c>
    </row>
    <row r="15599" customFormat="false" ht="15" hidden="false" customHeight="false" outlineLevel="0" collapsed="false">
      <c r="A15599" s="0" t="e">
        <f aca="false">ODDFYIELD(DATE(2024,6,15),DATE(2029,12,31),DATE(2024,1,1),DATE(2024,12,31),0.1,101.5,100,4,0)</f>
        <v>#VALUE!</v>
      </c>
      <c r="B15599" s="0" t="s">
        <v>15445</v>
      </c>
    </row>
    <row r="15600" customFormat="false" ht="15" hidden="false" customHeight="false" outlineLevel="0" collapsed="false">
      <c r="A15600" s="0" t="e">
        <f aca="false">ODDFYIELD(DATE(2024,6,15),DATE(2029,12,31),DATE(2024,1,1),DATE(2024,12,31),0.05,100,100,4,0)</f>
        <v>#VALUE!</v>
      </c>
      <c r="B15600" s="0" t="s">
        <v>15446</v>
      </c>
    </row>
    <row r="15601" customFormat="false" ht="15" hidden="false" customHeight="false" outlineLevel="0" collapsed="false">
      <c r="A15601" s="0" t="e">
        <f aca="false">ODDFPRICE(DATE(2024,6,15),DATE(2029,12,31),DATE(2024,1,1),DATE(2024,12,31),0.05,0.08,100,4,1)</f>
        <v>#VALUE!</v>
      </c>
      <c r="B15601" s="0" t="s">
        <v>15447</v>
      </c>
    </row>
    <row r="15602" customFormat="false" ht="15" hidden="false" customHeight="false" outlineLevel="0" collapsed="false">
      <c r="A15602" s="0" t="e">
        <f aca="false">ODDFPRICE(DATE(2024,6,15),DATE(2029,12,31),DATE(2024,1,1),DATE(2024,12,31),0.1,0.03,105,4,1)</f>
        <v>#VALUE!</v>
      </c>
      <c r="B15602" s="0" t="s">
        <v>15448</v>
      </c>
    </row>
    <row r="15603" customFormat="false" ht="15" hidden="false" customHeight="false" outlineLevel="0" collapsed="false">
      <c r="A15603" s="0" t="e">
        <f aca="false">ODDFPRICE(DATE(2024,6,15),DATE(2029,12,31),DATE(2024,1,1),DATE(2024,12,31),0,0.05,100,4,1)</f>
        <v>#VALUE!</v>
      </c>
      <c r="B15603" s="0" t="s">
        <v>15449</v>
      </c>
    </row>
    <row r="15604" customFormat="false" ht="15" hidden="false" customHeight="false" outlineLevel="0" collapsed="false">
      <c r="A15604" s="0" t="e">
        <f aca="false">ODDFYIELD(DATE(2024,6,15),DATE(2029,12,31),DATE(2024,1,1),DATE(2024,12,31),0.05,95,100,4,1)</f>
        <v>#VALUE!</v>
      </c>
      <c r="B15604" s="0" t="s">
        <v>15450</v>
      </c>
    </row>
    <row r="15605" customFormat="false" ht="15" hidden="false" customHeight="false" outlineLevel="0" collapsed="false">
      <c r="A15605" s="0" t="e">
        <f aca="false">ODDFYIELD(DATE(2024,6,15),DATE(2029,12,31),DATE(2024,1,1),DATE(2024,12,31),0.1,101.5,100,4,1)</f>
        <v>#VALUE!</v>
      </c>
      <c r="B15605" s="0" t="s">
        <v>15451</v>
      </c>
    </row>
    <row r="15606" customFormat="false" ht="15" hidden="false" customHeight="false" outlineLevel="0" collapsed="false">
      <c r="A15606" s="0" t="e">
        <f aca="false">ODDFYIELD(DATE(2024,6,15),DATE(2029,12,31),DATE(2024,1,1),DATE(2024,12,31),0.05,100,100,4,1)</f>
        <v>#VALUE!</v>
      </c>
      <c r="B15606" s="0" t="s">
        <v>15452</v>
      </c>
    </row>
    <row r="15607" customFormat="false" ht="15" hidden="false" customHeight="false" outlineLevel="0" collapsed="false">
      <c r="A15607" s="0" t="e">
        <f aca="false">ODDFPRICE(DATE(2024,6,15),DATE(2029,12,31),DATE(2024,1,1),DATE(2024,12,31),0.05,0.08,100,4,2)</f>
        <v>#VALUE!</v>
      </c>
      <c r="B15607" s="0" t="s">
        <v>15453</v>
      </c>
    </row>
    <row r="15608" customFormat="false" ht="15" hidden="false" customHeight="false" outlineLevel="0" collapsed="false">
      <c r="A15608" s="0" t="e">
        <f aca="false">ODDFPRICE(DATE(2024,6,15),DATE(2029,12,31),DATE(2024,1,1),DATE(2024,12,31),0.1,0.03,105,4,2)</f>
        <v>#VALUE!</v>
      </c>
      <c r="B15608" s="0" t="s">
        <v>15454</v>
      </c>
    </row>
    <row r="15609" customFormat="false" ht="15" hidden="false" customHeight="false" outlineLevel="0" collapsed="false">
      <c r="A15609" s="0" t="e">
        <f aca="false">ODDFPRICE(DATE(2024,6,15),DATE(2029,12,31),DATE(2024,1,1),DATE(2024,12,31),0,0.05,100,4,2)</f>
        <v>#VALUE!</v>
      </c>
      <c r="B15609" s="0" t="s">
        <v>15455</v>
      </c>
    </row>
    <row r="15610" customFormat="false" ht="15" hidden="false" customHeight="false" outlineLevel="0" collapsed="false">
      <c r="A15610" s="0" t="e">
        <f aca="false">ODDFYIELD(DATE(2024,6,15),DATE(2029,12,31),DATE(2024,1,1),DATE(2024,12,31),0.05,95,100,4,2)</f>
        <v>#VALUE!</v>
      </c>
      <c r="B15610" s="0" t="s">
        <v>15456</v>
      </c>
    </row>
    <row r="15611" customFormat="false" ht="15" hidden="false" customHeight="false" outlineLevel="0" collapsed="false">
      <c r="A15611" s="0" t="e">
        <f aca="false">ODDFYIELD(DATE(2024,6,15),DATE(2029,12,31),DATE(2024,1,1),DATE(2024,12,31),0.1,101.5,100,4,2)</f>
        <v>#VALUE!</v>
      </c>
      <c r="B15611" s="0" t="s">
        <v>15457</v>
      </c>
    </row>
    <row r="15612" customFormat="false" ht="15" hidden="false" customHeight="false" outlineLevel="0" collapsed="false">
      <c r="A15612" s="0" t="e">
        <f aca="false">ODDFYIELD(DATE(2024,6,15),DATE(2029,12,31),DATE(2024,1,1),DATE(2024,12,31),0.05,100,100,4,2)</f>
        <v>#VALUE!</v>
      </c>
      <c r="B15612" s="0" t="s">
        <v>15458</v>
      </c>
    </row>
    <row r="15613" customFormat="false" ht="15" hidden="false" customHeight="false" outlineLevel="0" collapsed="false">
      <c r="A15613" s="0" t="e">
        <f aca="false">ODDFPRICE(DATE(2024,6,15),DATE(2029,12,31),DATE(2024,1,1),DATE(2024,12,31),0.05,0.08,100,4,3)</f>
        <v>#VALUE!</v>
      </c>
      <c r="B15613" s="0" t="s">
        <v>15459</v>
      </c>
    </row>
    <row r="15614" customFormat="false" ht="15" hidden="false" customHeight="false" outlineLevel="0" collapsed="false">
      <c r="A15614" s="0" t="e">
        <f aca="false">ODDFPRICE(DATE(2024,6,15),DATE(2029,12,31),DATE(2024,1,1),DATE(2024,12,31),0.1,0.03,105,4,3)</f>
        <v>#VALUE!</v>
      </c>
      <c r="B15614" s="0" t="s">
        <v>15460</v>
      </c>
    </row>
    <row r="15615" customFormat="false" ht="15" hidden="false" customHeight="false" outlineLevel="0" collapsed="false">
      <c r="A15615" s="0" t="e">
        <f aca="false">ODDFPRICE(DATE(2024,6,15),DATE(2029,12,31),DATE(2024,1,1),DATE(2024,12,31),0,0.05,100,4,3)</f>
        <v>#VALUE!</v>
      </c>
      <c r="B15615" s="0" t="s">
        <v>15461</v>
      </c>
    </row>
    <row r="15616" customFormat="false" ht="15" hidden="false" customHeight="false" outlineLevel="0" collapsed="false">
      <c r="A15616" s="0" t="e">
        <f aca="false">ODDFYIELD(DATE(2024,6,15),DATE(2029,12,31),DATE(2024,1,1),DATE(2024,12,31),0.05,95,100,4,3)</f>
        <v>#VALUE!</v>
      </c>
      <c r="B15616" s="0" t="s">
        <v>15462</v>
      </c>
    </row>
    <row r="15617" customFormat="false" ht="15" hidden="false" customHeight="false" outlineLevel="0" collapsed="false">
      <c r="A15617" s="0" t="e">
        <f aca="false">ODDFYIELD(DATE(2024,6,15),DATE(2029,12,31),DATE(2024,1,1),DATE(2024,12,31),0.1,101.5,100,4,3)</f>
        <v>#VALUE!</v>
      </c>
      <c r="B15617" s="0" t="s">
        <v>15463</v>
      </c>
    </row>
    <row r="15618" customFormat="false" ht="15" hidden="false" customHeight="false" outlineLevel="0" collapsed="false">
      <c r="A15618" s="0" t="e">
        <f aca="false">ODDFYIELD(DATE(2024,6,15),DATE(2029,12,31),DATE(2024,1,1),DATE(2024,12,31),0.05,100,100,4,3)</f>
        <v>#VALUE!</v>
      </c>
      <c r="B15618" s="0" t="s">
        <v>15464</v>
      </c>
    </row>
    <row r="15619" customFormat="false" ht="15" hidden="false" customHeight="false" outlineLevel="0" collapsed="false">
      <c r="A15619" s="0" t="e">
        <f aca="false">ODDFPRICE(DATE(2024,6,15),DATE(2029,12,31),DATE(2024,1,1),DATE(2024,12,31),0.05,0.08,100,4,4)</f>
        <v>#VALUE!</v>
      </c>
      <c r="B15619" s="0" t="s">
        <v>15465</v>
      </c>
    </row>
    <row r="15620" customFormat="false" ht="15" hidden="false" customHeight="false" outlineLevel="0" collapsed="false">
      <c r="A15620" s="0" t="e">
        <f aca="false">ODDFPRICE(DATE(2024,6,15),DATE(2029,12,31),DATE(2024,1,1),DATE(2024,12,31),0.1,0.03,105,4,4)</f>
        <v>#VALUE!</v>
      </c>
      <c r="B15620" s="0" t="s">
        <v>15466</v>
      </c>
    </row>
    <row r="15621" customFormat="false" ht="15" hidden="false" customHeight="false" outlineLevel="0" collapsed="false">
      <c r="A15621" s="0" t="e">
        <f aca="false">ODDFPRICE(DATE(2024,6,15),DATE(2029,12,31),DATE(2024,1,1),DATE(2024,12,31),0,0.05,100,4,4)</f>
        <v>#VALUE!</v>
      </c>
      <c r="B15621" s="0" t="s">
        <v>15467</v>
      </c>
    </row>
    <row r="15622" customFormat="false" ht="15" hidden="false" customHeight="false" outlineLevel="0" collapsed="false">
      <c r="A15622" s="0" t="e">
        <f aca="false">ODDFYIELD(DATE(2024,6,15),DATE(2029,12,31),DATE(2024,1,1),DATE(2024,12,31),0.05,95,100,4,4)</f>
        <v>#VALUE!</v>
      </c>
      <c r="B15622" s="0" t="s">
        <v>15468</v>
      </c>
    </row>
    <row r="15623" customFormat="false" ht="15" hidden="false" customHeight="false" outlineLevel="0" collapsed="false">
      <c r="A15623" s="0" t="e">
        <f aca="false">ODDFYIELD(DATE(2024,6,15),DATE(2029,12,31),DATE(2024,1,1),DATE(2024,12,31),0.1,101.5,100,4,4)</f>
        <v>#VALUE!</v>
      </c>
      <c r="B15623" s="0" t="s">
        <v>15469</v>
      </c>
    </row>
    <row r="15624" customFormat="false" ht="15" hidden="false" customHeight="false" outlineLevel="0" collapsed="false">
      <c r="A15624" s="0" t="e">
        <f aca="false">ODDFYIELD(DATE(2024,6,15),DATE(2029,12,31),DATE(2024,1,1),DATE(2024,12,31),0.05,100,100,4,4)</f>
        <v>#VALUE!</v>
      </c>
      <c r="B15624" s="0" t="s">
        <v>15470</v>
      </c>
    </row>
    <row r="15625" customFormat="false" ht="15" hidden="false" customHeight="false" outlineLevel="0" collapsed="false">
      <c r="A15625" s="0" t="e">
        <f aca="false">ODDFPRICE(DATE(2024,1,10),DATE(2026,5,20),DATE(2023,12,20),DATE(2024,5,20),0.05,0.08,100,1,0)</f>
        <v>#VALUE!</v>
      </c>
      <c r="B15625" s="0" t="s">
        <v>15471</v>
      </c>
    </row>
    <row r="15626" customFormat="false" ht="15" hidden="false" customHeight="false" outlineLevel="0" collapsed="false">
      <c r="A15626" s="0" t="e">
        <f aca="false">ODDFPRICE(DATE(2024,1,10),DATE(2026,5,20),DATE(2023,12,20),DATE(2024,5,20),0.1,0.03,105,1,0)</f>
        <v>#VALUE!</v>
      </c>
      <c r="B15626" s="0" t="s">
        <v>15472</v>
      </c>
    </row>
    <row r="15627" customFormat="false" ht="15" hidden="false" customHeight="false" outlineLevel="0" collapsed="false">
      <c r="A15627" s="0" t="e">
        <f aca="false">ODDFPRICE(DATE(2024,1,10),DATE(2026,5,20),DATE(2023,12,20),DATE(2024,5,20),0,0.05,100,1,0)</f>
        <v>#VALUE!</v>
      </c>
      <c r="B15627" s="0" t="s">
        <v>15473</v>
      </c>
    </row>
    <row r="15628" customFormat="false" ht="15" hidden="false" customHeight="false" outlineLevel="0" collapsed="false">
      <c r="A15628" s="0" t="e">
        <f aca="false">ODDFYIELD(DATE(2024,1,10),DATE(2026,5,20),DATE(2023,12,20),DATE(2024,5,20),0.05,95,100,1,0)</f>
        <v>#VALUE!</v>
      </c>
      <c r="B15628" s="0" t="s">
        <v>15474</v>
      </c>
    </row>
    <row r="15629" customFormat="false" ht="15" hidden="false" customHeight="false" outlineLevel="0" collapsed="false">
      <c r="A15629" s="0" t="e">
        <f aca="false">ODDFYIELD(DATE(2024,1,10),DATE(2026,5,20),DATE(2023,12,20),DATE(2024,5,20),0.1,101.5,100,1,0)</f>
        <v>#VALUE!</v>
      </c>
      <c r="B15629" s="0" t="s">
        <v>15475</v>
      </c>
    </row>
    <row r="15630" customFormat="false" ht="15" hidden="false" customHeight="false" outlineLevel="0" collapsed="false">
      <c r="A15630" s="0" t="e">
        <f aca="false">ODDFYIELD(DATE(2024,1,10),DATE(2026,5,20),DATE(2023,12,20),DATE(2024,5,20),0.05,100,100,1,0)</f>
        <v>#VALUE!</v>
      </c>
      <c r="B15630" s="0" t="s">
        <v>15476</v>
      </c>
    </row>
    <row r="15631" customFormat="false" ht="15" hidden="false" customHeight="false" outlineLevel="0" collapsed="false">
      <c r="A15631" s="0" t="e">
        <f aca="false">ODDFPRICE(DATE(2024,1,10),DATE(2026,5,20),DATE(2023,12,20),DATE(2024,5,20),0.05,0.08,100,1,1)</f>
        <v>#VALUE!</v>
      </c>
      <c r="B15631" s="0" t="s">
        <v>15477</v>
      </c>
    </row>
    <row r="15632" customFormat="false" ht="15" hidden="false" customHeight="false" outlineLevel="0" collapsed="false">
      <c r="A15632" s="0" t="e">
        <f aca="false">ODDFPRICE(DATE(2024,1,10),DATE(2026,5,20),DATE(2023,12,20),DATE(2024,5,20),0.1,0.03,105,1,1)</f>
        <v>#VALUE!</v>
      </c>
      <c r="B15632" s="0" t="s">
        <v>15478</v>
      </c>
    </row>
    <row r="15633" customFormat="false" ht="15" hidden="false" customHeight="false" outlineLevel="0" collapsed="false">
      <c r="A15633" s="0" t="e">
        <f aca="false">ODDFPRICE(DATE(2024,1,10),DATE(2026,5,20),DATE(2023,12,20),DATE(2024,5,20),0,0.05,100,1,1)</f>
        <v>#VALUE!</v>
      </c>
      <c r="B15633" s="0" t="s">
        <v>15479</v>
      </c>
    </row>
    <row r="15634" customFormat="false" ht="15" hidden="false" customHeight="false" outlineLevel="0" collapsed="false">
      <c r="A15634" s="0" t="e">
        <f aca="false">ODDFYIELD(DATE(2024,1,10),DATE(2026,5,20),DATE(2023,12,20),DATE(2024,5,20),0.05,95,100,1,1)</f>
        <v>#VALUE!</v>
      </c>
      <c r="B15634" s="0" t="s">
        <v>15480</v>
      </c>
    </row>
    <row r="15635" customFormat="false" ht="15" hidden="false" customHeight="false" outlineLevel="0" collapsed="false">
      <c r="A15635" s="0" t="e">
        <f aca="false">ODDFYIELD(DATE(2024,1,10),DATE(2026,5,20),DATE(2023,12,20),DATE(2024,5,20),0.1,101.5,100,1,1)</f>
        <v>#VALUE!</v>
      </c>
      <c r="B15635" s="0" t="s">
        <v>15481</v>
      </c>
    </row>
    <row r="15636" customFormat="false" ht="15" hidden="false" customHeight="false" outlineLevel="0" collapsed="false">
      <c r="A15636" s="0" t="e">
        <f aca="false">ODDFYIELD(DATE(2024,1,10),DATE(2026,5,20),DATE(2023,12,20),DATE(2024,5,20),0.05,100,100,1,1)</f>
        <v>#VALUE!</v>
      </c>
      <c r="B15636" s="0" t="s">
        <v>15482</v>
      </c>
    </row>
    <row r="15637" customFormat="false" ht="15" hidden="false" customHeight="false" outlineLevel="0" collapsed="false">
      <c r="A15637" s="0" t="e">
        <f aca="false">ODDFPRICE(DATE(2024,1,10),DATE(2026,5,20),DATE(2023,12,20),DATE(2024,5,20),0.05,0.08,100,1,2)</f>
        <v>#VALUE!</v>
      </c>
      <c r="B15637" s="0" t="s">
        <v>15483</v>
      </c>
    </row>
    <row r="15638" customFormat="false" ht="15" hidden="false" customHeight="false" outlineLevel="0" collapsed="false">
      <c r="A15638" s="0" t="e">
        <f aca="false">ODDFPRICE(DATE(2024,1,10),DATE(2026,5,20),DATE(2023,12,20),DATE(2024,5,20),0.1,0.03,105,1,2)</f>
        <v>#VALUE!</v>
      </c>
      <c r="B15638" s="0" t="s">
        <v>15484</v>
      </c>
    </row>
    <row r="15639" customFormat="false" ht="15" hidden="false" customHeight="false" outlineLevel="0" collapsed="false">
      <c r="A15639" s="0" t="e">
        <f aca="false">ODDFPRICE(DATE(2024,1,10),DATE(2026,5,20),DATE(2023,12,20),DATE(2024,5,20),0,0.05,100,1,2)</f>
        <v>#VALUE!</v>
      </c>
      <c r="B15639" s="0" t="s">
        <v>15485</v>
      </c>
    </row>
    <row r="15640" customFormat="false" ht="15" hidden="false" customHeight="false" outlineLevel="0" collapsed="false">
      <c r="A15640" s="0" t="e">
        <f aca="false">ODDFYIELD(DATE(2024,1,10),DATE(2026,5,20),DATE(2023,12,20),DATE(2024,5,20),0.05,95,100,1,2)</f>
        <v>#VALUE!</v>
      </c>
      <c r="B15640" s="0" t="s">
        <v>15486</v>
      </c>
    </row>
    <row r="15641" customFormat="false" ht="15" hidden="false" customHeight="false" outlineLevel="0" collapsed="false">
      <c r="A15641" s="0" t="e">
        <f aca="false">ODDFYIELD(DATE(2024,1,10),DATE(2026,5,20),DATE(2023,12,20),DATE(2024,5,20),0.1,101.5,100,1,2)</f>
        <v>#VALUE!</v>
      </c>
      <c r="B15641" s="0" t="s">
        <v>15487</v>
      </c>
    </row>
    <row r="15642" customFormat="false" ht="15" hidden="false" customHeight="false" outlineLevel="0" collapsed="false">
      <c r="A15642" s="0" t="e">
        <f aca="false">ODDFYIELD(DATE(2024,1,10),DATE(2026,5,20),DATE(2023,12,20),DATE(2024,5,20),0.05,100,100,1,2)</f>
        <v>#VALUE!</v>
      </c>
      <c r="B15642" s="0" t="s">
        <v>15488</v>
      </c>
    </row>
    <row r="15643" customFormat="false" ht="15" hidden="false" customHeight="false" outlineLevel="0" collapsed="false">
      <c r="A15643" s="0" t="e">
        <f aca="false">ODDFPRICE(DATE(2024,1,10),DATE(2026,5,20),DATE(2023,12,20),DATE(2024,5,20),0.05,0.08,100,1,3)</f>
        <v>#VALUE!</v>
      </c>
      <c r="B15643" s="0" t="s">
        <v>15489</v>
      </c>
    </row>
    <row r="15644" customFormat="false" ht="15" hidden="false" customHeight="false" outlineLevel="0" collapsed="false">
      <c r="A15644" s="0" t="e">
        <f aca="false">ODDFPRICE(DATE(2024,1,10),DATE(2026,5,20),DATE(2023,12,20),DATE(2024,5,20),0.1,0.03,105,1,3)</f>
        <v>#VALUE!</v>
      </c>
      <c r="B15644" s="0" t="s">
        <v>15490</v>
      </c>
    </row>
    <row r="15645" customFormat="false" ht="15" hidden="false" customHeight="false" outlineLevel="0" collapsed="false">
      <c r="A15645" s="0" t="e">
        <f aca="false">ODDFPRICE(DATE(2024,1,10),DATE(2026,5,20),DATE(2023,12,20),DATE(2024,5,20),0,0.05,100,1,3)</f>
        <v>#VALUE!</v>
      </c>
      <c r="B15645" s="0" t="s">
        <v>15491</v>
      </c>
    </row>
    <row r="15646" customFormat="false" ht="15" hidden="false" customHeight="false" outlineLevel="0" collapsed="false">
      <c r="A15646" s="0" t="e">
        <f aca="false">ODDFYIELD(DATE(2024,1,10),DATE(2026,5,20),DATE(2023,12,20),DATE(2024,5,20),0.05,95,100,1,3)</f>
        <v>#VALUE!</v>
      </c>
      <c r="B15646" s="0" t="s">
        <v>15492</v>
      </c>
    </row>
    <row r="15647" customFormat="false" ht="15" hidden="false" customHeight="false" outlineLevel="0" collapsed="false">
      <c r="A15647" s="0" t="e">
        <f aca="false">ODDFYIELD(DATE(2024,1,10),DATE(2026,5,20),DATE(2023,12,20),DATE(2024,5,20),0.1,101.5,100,1,3)</f>
        <v>#VALUE!</v>
      </c>
      <c r="B15647" s="0" t="s">
        <v>15493</v>
      </c>
    </row>
    <row r="15648" customFormat="false" ht="15" hidden="false" customHeight="false" outlineLevel="0" collapsed="false">
      <c r="A15648" s="0" t="e">
        <f aca="false">ODDFYIELD(DATE(2024,1,10),DATE(2026,5,20),DATE(2023,12,20),DATE(2024,5,20),0.05,100,100,1,3)</f>
        <v>#VALUE!</v>
      </c>
      <c r="B15648" s="0" t="s">
        <v>15494</v>
      </c>
    </row>
    <row r="15649" customFormat="false" ht="15" hidden="false" customHeight="false" outlineLevel="0" collapsed="false">
      <c r="A15649" s="0" t="e">
        <f aca="false">ODDFPRICE(DATE(2024,1,10),DATE(2026,5,20),DATE(2023,12,20),DATE(2024,5,20),0.05,0.08,100,1,4)</f>
        <v>#VALUE!</v>
      </c>
      <c r="B15649" s="0" t="s">
        <v>15495</v>
      </c>
    </row>
    <row r="15650" customFormat="false" ht="15" hidden="false" customHeight="false" outlineLevel="0" collapsed="false">
      <c r="A15650" s="0" t="e">
        <f aca="false">ODDFPRICE(DATE(2024,1,10),DATE(2026,5,20),DATE(2023,12,20),DATE(2024,5,20),0.1,0.03,105,1,4)</f>
        <v>#VALUE!</v>
      </c>
      <c r="B15650" s="0" t="s">
        <v>15496</v>
      </c>
    </row>
    <row r="15651" customFormat="false" ht="15" hidden="false" customHeight="false" outlineLevel="0" collapsed="false">
      <c r="A15651" s="0" t="e">
        <f aca="false">ODDFPRICE(DATE(2024,1,10),DATE(2026,5,20),DATE(2023,12,20),DATE(2024,5,20),0,0.05,100,1,4)</f>
        <v>#VALUE!</v>
      </c>
      <c r="B15651" s="0" t="s">
        <v>15497</v>
      </c>
    </row>
    <row r="15652" customFormat="false" ht="15" hidden="false" customHeight="false" outlineLevel="0" collapsed="false">
      <c r="A15652" s="0" t="e">
        <f aca="false">ODDFYIELD(DATE(2024,1,10),DATE(2026,5,20),DATE(2023,12,20),DATE(2024,5,20),0.05,95,100,1,4)</f>
        <v>#VALUE!</v>
      </c>
      <c r="B15652" s="0" t="s">
        <v>15498</v>
      </c>
    </row>
    <row r="15653" customFormat="false" ht="15" hidden="false" customHeight="false" outlineLevel="0" collapsed="false">
      <c r="A15653" s="0" t="e">
        <f aca="false">ODDFYIELD(DATE(2024,1,10),DATE(2026,5,20),DATE(2023,12,20),DATE(2024,5,20),0.1,101.5,100,1,4)</f>
        <v>#VALUE!</v>
      </c>
      <c r="B15653" s="0" t="s">
        <v>15499</v>
      </c>
    </row>
    <row r="15654" customFormat="false" ht="15" hidden="false" customHeight="false" outlineLevel="0" collapsed="false">
      <c r="A15654" s="0" t="e">
        <f aca="false">ODDFYIELD(DATE(2024,1,10),DATE(2026,5,20),DATE(2023,12,20),DATE(2024,5,20),0.05,100,100,1,4)</f>
        <v>#VALUE!</v>
      </c>
      <c r="B15654" s="0" t="s">
        <v>15500</v>
      </c>
    </row>
    <row r="15655" customFormat="false" ht="15" hidden="false" customHeight="false" outlineLevel="0" collapsed="false">
      <c r="A15655" s="0" t="e">
        <f aca="false">ODDFPRICE(DATE(2024,1,10),DATE(2026,5,20),DATE(2023,12,20),DATE(2024,5,20),0.05,0.08,100,2,0)</f>
        <v>#VALUE!</v>
      </c>
      <c r="B15655" s="0" t="s">
        <v>15501</v>
      </c>
    </row>
    <row r="15656" customFormat="false" ht="15" hidden="false" customHeight="false" outlineLevel="0" collapsed="false">
      <c r="A15656" s="0" t="e">
        <f aca="false">ODDFPRICE(DATE(2024,1,10),DATE(2026,5,20),DATE(2023,12,20),DATE(2024,5,20),0.1,0.03,105,2,0)</f>
        <v>#VALUE!</v>
      </c>
      <c r="B15656" s="0" t="s">
        <v>15502</v>
      </c>
    </row>
    <row r="15657" customFormat="false" ht="15" hidden="false" customHeight="false" outlineLevel="0" collapsed="false">
      <c r="A15657" s="0" t="e">
        <f aca="false">ODDFPRICE(DATE(2024,1,10),DATE(2026,5,20),DATE(2023,12,20),DATE(2024,5,20),0,0.05,100,2,0)</f>
        <v>#VALUE!</v>
      </c>
      <c r="B15657" s="0" t="s">
        <v>15503</v>
      </c>
    </row>
    <row r="15658" customFormat="false" ht="15" hidden="false" customHeight="false" outlineLevel="0" collapsed="false">
      <c r="A15658" s="0" t="e">
        <f aca="false">ODDFYIELD(DATE(2024,1,10),DATE(2026,5,20),DATE(2023,12,20),DATE(2024,5,20),0.05,95,100,2,0)</f>
        <v>#VALUE!</v>
      </c>
      <c r="B15658" s="0" t="s">
        <v>15504</v>
      </c>
    </row>
    <row r="15659" customFormat="false" ht="15" hidden="false" customHeight="false" outlineLevel="0" collapsed="false">
      <c r="A15659" s="0" t="e">
        <f aca="false">ODDFYIELD(DATE(2024,1,10),DATE(2026,5,20),DATE(2023,12,20),DATE(2024,5,20),0.1,101.5,100,2,0)</f>
        <v>#VALUE!</v>
      </c>
      <c r="B15659" s="0" t="s">
        <v>15505</v>
      </c>
    </row>
    <row r="15660" customFormat="false" ht="15" hidden="false" customHeight="false" outlineLevel="0" collapsed="false">
      <c r="A15660" s="0" t="e">
        <f aca="false">ODDFYIELD(DATE(2024,1,10),DATE(2026,5,20),DATE(2023,12,20),DATE(2024,5,20),0.05,100,100,2,0)</f>
        <v>#VALUE!</v>
      </c>
      <c r="B15660" s="0" t="s">
        <v>15506</v>
      </c>
    </row>
    <row r="15661" customFormat="false" ht="15" hidden="false" customHeight="false" outlineLevel="0" collapsed="false">
      <c r="A15661" s="0" t="e">
        <f aca="false">ODDFPRICE(DATE(2024,1,10),DATE(2026,5,20),DATE(2023,12,20),DATE(2024,5,20),0.05,0.08,100,2,1)</f>
        <v>#VALUE!</v>
      </c>
      <c r="B15661" s="0" t="s">
        <v>15507</v>
      </c>
    </row>
    <row r="15662" customFormat="false" ht="15" hidden="false" customHeight="false" outlineLevel="0" collapsed="false">
      <c r="A15662" s="0" t="e">
        <f aca="false">ODDFPRICE(DATE(2024,1,10),DATE(2026,5,20),DATE(2023,12,20),DATE(2024,5,20),0.1,0.03,105,2,1)</f>
        <v>#VALUE!</v>
      </c>
      <c r="B15662" s="0" t="s">
        <v>15508</v>
      </c>
    </row>
    <row r="15663" customFormat="false" ht="15" hidden="false" customHeight="false" outlineLevel="0" collapsed="false">
      <c r="A15663" s="0" t="e">
        <f aca="false">ODDFPRICE(DATE(2024,1,10),DATE(2026,5,20),DATE(2023,12,20),DATE(2024,5,20),0,0.05,100,2,1)</f>
        <v>#VALUE!</v>
      </c>
      <c r="B15663" s="0" t="s">
        <v>15509</v>
      </c>
    </row>
    <row r="15664" customFormat="false" ht="15" hidden="false" customHeight="false" outlineLevel="0" collapsed="false">
      <c r="A15664" s="0" t="e">
        <f aca="false">ODDFYIELD(DATE(2024,1,10),DATE(2026,5,20),DATE(2023,12,20),DATE(2024,5,20),0.05,95,100,2,1)</f>
        <v>#VALUE!</v>
      </c>
      <c r="B15664" s="0" t="s">
        <v>15510</v>
      </c>
    </row>
    <row r="15665" customFormat="false" ht="15" hidden="false" customHeight="false" outlineLevel="0" collapsed="false">
      <c r="A15665" s="0" t="e">
        <f aca="false">ODDFYIELD(DATE(2024,1,10),DATE(2026,5,20),DATE(2023,12,20),DATE(2024,5,20),0.1,101.5,100,2,1)</f>
        <v>#VALUE!</v>
      </c>
      <c r="B15665" s="0" t="s">
        <v>15511</v>
      </c>
    </row>
    <row r="15666" customFormat="false" ht="15" hidden="false" customHeight="false" outlineLevel="0" collapsed="false">
      <c r="A15666" s="0" t="e">
        <f aca="false">ODDFYIELD(DATE(2024,1,10),DATE(2026,5,20),DATE(2023,12,20),DATE(2024,5,20),0.05,100,100,2,1)</f>
        <v>#VALUE!</v>
      </c>
      <c r="B15666" s="0" t="s">
        <v>15512</v>
      </c>
    </row>
    <row r="15667" customFormat="false" ht="15" hidden="false" customHeight="false" outlineLevel="0" collapsed="false">
      <c r="A15667" s="0" t="e">
        <f aca="false">ODDFPRICE(DATE(2024,1,10),DATE(2026,5,20),DATE(2023,12,20),DATE(2024,5,20),0.05,0.08,100,2,2)</f>
        <v>#VALUE!</v>
      </c>
      <c r="B15667" s="0" t="s">
        <v>15513</v>
      </c>
    </row>
    <row r="15668" customFormat="false" ht="15" hidden="false" customHeight="false" outlineLevel="0" collapsed="false">
      <c r="A15668" s="0" t="e">
        <f aca="false">ODDFPRICE(DATE(2024,1,10),DATE(2026,5,20),DATE(2023,12,20),DATE(2024,5,20),0.1,0.03,105,2,2)</f>
        <v>#VALUE!</v>
      </c>
      <c r="B15668" s="0" t="s">
        <v>15514</v>
      </c>
    </row>
    <row r="15669" customFormat="false" ht="15" hidden="false" customHeight="false" outlineLevel="0" collapsed="false">
      <c r="A15669" s="0" t="e">
        <f aca="false">ODDFPRICE(DATE(2024,1,10),DATE(2026,5,20),DATE(2023,12,20),DATE(2024,5,20),0,0.05,100,2,2)</f>
        <v>#VALUE!</v>
      </c>
      <c r="B15669" s="0" t="s">
        <v>15515</v>
      </c>
    </row>
    <row r="15670" customFormat="false" ht="15" hidden="false" customHeight="false" outlineLevel="0" collapsed="false">
      <c r="A15670" s="0" t="e">
        <f aca="false">ODDFYIELD(DATE(2024,1,10),DATE(2026,5,20),DATE(2023,12,20),DATE(2024,5,20),0.05,95,100,2,2)</f>
        <v>#VALUE!</v>
      </c>
      <c r="B15670" s="0" t="s">
        <v>15516</v>
      </c>
    </row>
    <row r="15671" customFormat="false" ht="15" hidden="false" customHeight="false" outlineLevel="0" collapsed="false">
      <c r="A15671" s="0" t="e">
        <f aca="false">ODDFYIELD(DATE(2024,1,10),DATE(2026,5,20),DATE(2023,12,20),DATE(2024,5,20),0.1,101.5,100,2,2)</f>
        <v>#VALUE!</v>
      </c>
      <c r="B15671" s="0" t="s">
        <v>15517</v>
      </c>
    </row>
    <row r="15672" customFormat="false" ht="15" hidden="false" customHeight="false" outlineLevel="0" collapsed="false">
      <c r="A15672" s="0" t="e">
        <f aca="false">ODDFYIELD(DATE(2024,1,10),DATE(2026,5,20),DATE(2023,12,20),DATE(2024,5,20),0.05,100,100,2,2)</f>
        <v>#VALUE!</v>
      </c>
      <c r="B15672" s="0" t="s">
        <v>15518</v>
      </c>
    </row>
    <row r="15673" customFormat="false" ht="15" hidden="false" customHeight="false" outlineLevel="0" collapsed="false">
      <c r="A15673" s="0" t="e">
        <f aca="false">ODDFPRICE(DATE(2024,1,10),DATE(2026,5,20),DATE(2023,12,20),DATE(2024,5,20),0.05,0.08,100,2,3)</f>
        <v>#VALUE!</v>
      </c>
      <c r="B15673" s="0" t="s">
        <v>15519</v>
      </c>
    </row>
    <row r="15674" customFormat="false" ht="15" hidden="false" customHeight="false" outlineLevel="0" collapsed="false">
      <c r="A15674" s="0" t="e">
        <f aca="false">ODDFPRICE(DATE(2024,1,10),DATE(2026,5,20),DATE(2023,12,20),DATE(2024,5,20),0.1,0.03,105,2,3)</f>
        <v>#VALUE!</v>
      </c>
      <c r="B15674" s="0" t="s">
        <v>15520</v>
      </c>
    </row>
    <row r="15675" customFormat="false" ht="15" hidden="false" customHeight="false" outlineLevel="0" collapsed="false">
      <c r="A15675" s="0" t="e">
        <f aca="false">ODDFPRICE(DATE(2024,1,10),DATE(2026,5,20),DATE(2023,12,20),DATE(2024,5,20),0,0.05,100,2,3)</f>
        <v>#VALUE!</v>
      </c>
      <c r="B15675" s="0" t="s">
        <v>15521</v>
      </c>
    </row>
    <row r="15676" customFormat="false" ht="15" hidden="false" customHeight="false" outlineLevel="0" collapsed="false">
      <c r="A15676" s="0" t="e">
        <f aca="false">ODDFYIELD(DATE(2024,1,10),DATE(2026,5,20),DATE(2023,12,20),DATE(2024,5,20),0.05,95,100,2,3)</f>
        <v>#VALUE!</v>
      </c>
      <c r="B15676" s="0" t="s">
        <v>15522</v>
      </c>
    </row>
    <row r="15677" customFormat="false" ht="15" hidden="false" customHeight="false" outlineLevel="0" collapsed="false">
      <c r="A15677" s="0" t="e">
        <f aca="false">ODDFYIELD(DATE(2024,1,10),DATE(2026,5,20),DATE(2023,12,20),DATE(2024,5,20),0.1,101.5,100,2,3)</f>
        <v>#VALUE!</v>
      </c>
      <c r="B15677" s="0" t="s">
        <v>15523</v>
      </c>
    </row>
    <row r="15678" customFormat="false" ht="15" hidden="false" customHeight="false" outlineLevel="0" collapsed="false">
      <c r="A15678" s="0" t="e">
        <f aca="false">ODDFYIELD(DATE(2024,1,10),DATE(2026,5,20),DATE(2023,12,20),DATE(2024,5,20),0.05,100,100,2,3)</f>
        <v>#VALUE!</v>
      </c>
      <c r="B15678" s="0" t="s">
        <v>15524</v>
      </c>
    </row>
    <row r="15679" customFormat="false" ht="15" hidden="false" customHeight="false" outlineLevel="0" collapsed="false">
      <c r="A15679" s="0" t="e">
        <f aca="false">ODDFPRICE(DATE(2024,1,10),DATE(2026,5,20),DATE(2023,12,20),DATE(2024,5,20),0.05,0.08,100,2,4)</f>
        <v>#VALUE!</v>
      </c>
      <c r="B15679" s="0" t="s">
        <v>15525</v>
      </c>
    </row>
    <row r="15680" customFormat="false" ht="15" hidden="false" customHeight="false" outlineLevel="0" collapsed="false">
      <c r="A15680" s="0" t="e">
        <f aca="false">ODDFPRICE(DATE(2024,1,10),DATE(2026,5,20),DATE(2023,12,20),DATE(2024,5,20),0.1,0.03,105,2,4)</f>
        <v>#VALUE!</v>
      </c>
      <c r="B15680" s="0" t="s">
        <v>15526</v>
      </c>
    </row>
    <row r="15681" customFormat="false" ht="15" hidden="false" customHeight="false" outlineLevel="0" collapsed="false">
      <c r="A15681" s="0" t="e">
        <f aca="false">ODDFPRICE(DATE(2024,1,10),DATE(2026,5,20),DATE(2023,12,20),DATE(2024,5,20),0,0.05,100,2,4)</f>
        <v>#VALUE!</v>
      </c>
      <c r="B15681" s="0" t="s">
        <v>15527</v>
      </c>
    </row>
    <row r="15682" customFormat="false" ht="15" hidden="false" customHeight="false" outlineLevel="0" collapsed="false">
      <c r="A15682" s="0" t="e">
        <f aca="false">ODDFYIELD(DATE(2024,1,10),DATE(2026,5,20),DATE(2023,12,20),DATE(2024,5,20),0.05,95,100,2,4)</f>
        <v>#VALUE!</v>
      </c>
      <c r="B15682" s="0" t="s">
        <v>15528</v>
      </c>
    </row>
    <row r="15683" customFormat="false" ht="15" hidden="false" customHeight="false" outlineLevel="0" collapsed="false">
      <c r="A15683" s="0" t="e">
        <f aca="false">ODDFYIELD(DATE(2024,1,10),DATE(2026,5,20),DATE(2023,12,20),DATE(2024,5,20),0.1,101.5,100,2,4)</f>
        <v>#VALUE!</v>
      </c>
      <c r="B15683" s="0" t="s">
        <v>15529</v>
      </c>
    </row>
    <row r="15684" customFormat="false" ht="15" hidden="false" customHeight="false" outlineLevel="0" collapsed="false">
      <c r="A15684" s="0" t="e">
        <f aca="false">ODDFYIELD(DATE(2024,1,10),DATE(2026,5,20),DATE(2023,12,20),DATE(2024,5,20),0.05,100,100,2,4)</f>
        <v>#VALUE!</v>
      </c>
      <c r="B15684" s="0" t="s">
        <v>15530</v>
      </c>
    </row>
    <row r="15685" customFormat="false" ht="15" hidden="false" customHeight="false" outlineLevel="0" collapsed="false">
      <c r="A15685" s="0" t="e">
        <f aca="false">ODDFPRICE(DATE(2024,1,10),DATE(2026,5,20),DATE(2023,12,20),DATE(2024,5,20),0.05,0.08,100,4,0)</f>
        <v>#VALUE!</v>
      </c>
      <c r="B15685" s="0" t="s">
        <v>15531</v>
      </c>
    </row>
    <row r="15686" customFormat="false" ht="15" hidden="false" customHeight="false" outlineLevel="0" collapsed="false">
      <c r="A15686" s="0" t="e">
        <f aca="false">ODDFPRICE(DATE(2024,1,10),DATE(2026,5,20),DATE(2023,12,20),DATE(2024,5,20),0.1,0.03,105,4,0)</f>
        <v>#VALUE!</v>
      </c>
      <c r="B15686" s="0" t="s">
        <v>15532</v>
      </c>
    </row>
    <row r="15687" customFormat="false" ht="15" hidden="false" customHeight="false" outlineLevel="0" collapsed="false">
      <c r="A15687" s="0" t="e">
        <f aca="false">ODDFPRICE(DATE(2024,1,10),DATE(2026,5,20),DATE(2023,12,20),DATE(2024,5,20),0,0.05,100,4,0)</f>
        <v>#VALUE!</v>
      </c>
      <c r="B15687" s="0" t="s">
        <v>15533</v>
      </c>
    </row>
    <row r="15688" customFormat="false" ht="15" hidden="false" customHeight="false" outlineLevel="0" collapsed="false">
      <c r="A15688" s="0" t="e">
        <f aca="false">ODDFYIELD(DATE(2024,1,10),DATE(2026,5,20),DATE(2023,12,20),DATE(2024,5,20),0.05,95,100,4,0)</f>
        <v>#VALUE!</v>
      </c>
      <c r="B15688" s="0" t="s">
        <v>15534</v>
      </c>
    </row>
    <row r="15689" customFormat="false" ht="15" hidden="false" customHeight="false" outlineLevel="0" collapsed="false">
      <c r="A15689" s="0" t="e">
        <f aca="false">ODDFYIELD(DATE(2024,1,10),DATE(2026,5,20),DATE(2023,12,20),DATE(2024,5,20),0.1,101.5,100,4,0)</f>
        <v>#VALUE!</v>
      </c>
      <c r="B15689" s="0" t="s">
        <v>15535</v>
      </c>
    </row>
    <row r="15690" customFormat="false" ht="15" hidden="false" customHeight="false" outlineLevel="0" collapsed="false">
      <c r="A15690" s="0" t="e">
        <f aca="false">ODDFYIELD(DATE(2024,1,10),DATE(2026,5,20),DATE(2023,12,20),DATE(2024,5,20),0.05,100,100,4,0)</f>
        <v>#VALUE!</v>
      </c>
      <c r="B15690" s="0" t="s">
        <v>15536</v>
      </c>
    </row>
    <row r="15691" customFormat="false" ht="15" hidden="false" customHeight="false" outlineLevel="0" collapsed="false">
      <c r="A15691" s="0" t="e">
        <f aca="false">ODDFPRICE(DATE(2024,1,10),DATE(2026,5,20),DATE(2023,12,20),DATE(2024,5,20),0.05,0.08,100,4,1)</f>
        <v>#VALUE!</v>
      </c>
      <c r="B15691" s="0" t="s">
        <v>15537</v>
      </c>
    </row>
    <row r="15692" customFormat="false" ht="15" hidden="false" customHeight="false" outlineLevel="0" collapsed="false">
      <c r="A15692" s="0" t="e">
        <f aca="false">ODDFPRICE(DATE(2024,1,10),DATE(2026,5,20),DATE(2023,12,20),DATE(2024,5,20),0.1,0.03,105,4,1)</f>
        <v>#VALUE!</v>
      </c>
      <c r="B15692" s="0" t="s">
        <v>15538</v>
      </c>
    </row>
    <row r="15693" customFormat="false" ht="15" hidden="false" customHeight="false" outlineLevel="0" collapsed="false">
      <c r="A15693" s="0" t="e">
        <f aca="false">ODDFPRICE(DATE(2024,1,10),DATE(2026,5,20),DATE(2023,12,20),DATE(2024,5,20),0,0.05,100,4,1)</f>
        <v>#VALUE!</v>
      </c>
      <c r="B15693" s="0" t="s">
        <v>15539</v>
      </c>
    </row>
    <row r="15694" customFormat="false" ht="15" hidden="false" customHeight="false" outlineLevel="0" collapsed="false">
      <c r="A15694" s="0" t="e">
        <f aca="false">ODDFYIELD(DATE(2024,1,10),DATE(2026,5,20),DATE(2023,12,20),DATE(2024,5,20),0.05,95,100,4,1)</f>
        <v>#VALUE!</v>
      </c>
      <c r="B15694" s="0" t="s">
        <v>15540</v>
      </c>
    </row>
    <row r="15695" customFormat="false" ht="15" hidden="false" customHeight="false" outlineLevel="0" collapsed="false">
      <c r="A15695" s="0" t="e">
        <f aca="false">ODDFYIELD(DATE(2024,1,10),DATE(2026,5,20),DATE(2023,12,20),DATE(2024,5,20),0.1,101.5,100,4,1)</f>
        <v>#VALUE!</v>
      </c>
      <c r="B15695" s="0" t="s">
        <v>15541</v>
      </c>
    </row>
    <row r="15696" customFormat="false" ht="15" hidden="false" customHeight="false" outlineLevel="0" collapsed="false">
      <c r="A15696" s="0" t="e">
        <f aca="false">ODDFYIELD(DATE(2024,1,10),DATE(2026,5,20),DATE(2023,12,20),DATE(2024,5,20),0.05,100,100,4,1)</f>
        <v>#VALUE!</v>
      </c>
      <c r="B15696" s="0" t="s">
        <v>15542</v>
      </c>
    </row>
    <row r="15697" customFormat="false" ht="15" hidden="false" customHeight="false" outlineLevel="0" collapsed="false">
      <c r="A15697" s="0" t="e">
        <f aca="false">ODDFPRICE(DATE(2024,1,10),DATE(2026,5,20),DATE(2023,12,20),DATE(2024,5,20),0.05,0.08,100,4,2)</f>
        <v>#VALUE!</v>
      </c>
      <c r="B15697" s="0" t="s">
        <v>15543</v>
      </c>
    </row>
    <row r="15698" customFormat="false" ht="15" hidden="false" customHeight="false" outlineLevel="0" collapsed="false">
      <c r="A15698" s="0" t="e">
        <f aca="false">ODDFPRICE(DATE(2024,1,10),DATE(2026,5,20),DATE(2023,12,20),DATE(2024,5,20),0.1,0.03,105,4,2)</f>
        <v>#VALUE!</v>
      </c>
      <c r="B15698" s="0" t="s">
        <v>15544</v>
      </c>
    </row>
    <row r="15699" customFormat="false" ht="15" hidden="false" customHeight="false" outlineLevel="0" collapsed="false">
      <c r="A15699" s="0" t="e">
        <f aca="false">ODDFPRICE(DATE(2024,1,10),DATE(2026,5,20),DATE(2023,12,20),DATE(2024,5,20),0,0.05,100,4,2)</f>
        <v>#VALUE!</v>
      </c>
      <c r="B15699" s="0" t="s">
        <v>15545</v>
      </c>
    </row>
    <row r="15700" customFormat="false" ht="15" hidden="false" customHeight="false" outlineLevel="0" collapsed="false">
      <c r="A15700" s="0" t="e">
        <f aca="false">ODDFYIELD(DATE(2024,1,10),DATE(2026,5,20),DATE(2023,12,20),DATE(2024,5,20),0.05,95,100,4,2)</f>
        <v>#VALUE!</v>
      </c>
      <c r="B15700" s="0" t="s">
        <v>15546</v>
      </c>
    </row>
    <row r="15701" customFormat="false" ht="15" hidden="false" customHeight="false" outlineLevel="0" collapsed="false">
      <c r="A15701" s="0" t="e">
        <f aca="false">ODDFYIELD(DATE(2024,1,10),DATE(2026,5,20),DATE(2023,12,20),DATE(2024,5,20),0.1,101.5,100,4,2)</f>
        <v>#VALUE!</v>
      </c>
      <c r="B15701" s="0" t="s">
        <v>15547</v>
      </c>
    </row>
    <row r="15702" customFormat="false" ht="15" hidden="false" customHeight="false" outlineLevel="0" collapsed="false">
      <c r="A15702" s="0" t="e">
        <f aca="false">ODDFYIELD(DATE(2024,1,10),DATE(2026,5,20),DATE(2023,12,20),DATE(2024,5,20),0.05,100,100,4,2)</f>
        <v>#VALUE!</v>
      </c>
      <c r="B15702" s="0" t="s">
        <v>15548</v>
      </c>
    </row>
    <row r="15703" customFormat="false" ht="15" hidden="false" customHeight="false" outlineLevel="0" collapsed="false">
      <c r="A15703" s="0" t="e">
        <f aca="false">ODDFPRICE(DATE(2024,1,10),DATE(2026,5,20),DATE(2023,12,20),DATE(2024,5,20),0.05,0.08,100,4,3)</f>
        <v>#VALUE!</v>
      </c>
      <c r="B15703" s="0" t="s">
        <v>15549</v>
      </c>
    </row>
    <row r="15704" customFormat="false" ht="15" hidden="false" customHeight="false" outlineLevel="0" collapsed="false">
      <c r="A15704" s="0" t="e">
        <f aca="false">ODDFPRICE(DATE(2024,1,10),DATE(2026,5,20),DATE(2023,12,20),DATE(2024,5,20),0.1,0.03,105,4,3)</f>
        <v>#VALUE!</v>
      </c>
      <c r="B15704" s="0" t="s">
        <v>15550</v>
      </c>
    </row>
    <row r="15705" customFormat="false" ht="15" hidden="false" customHeight="false" outlineLevel="0" collapsed="false">
      <c r="A15705" s="0" t="e">
        <f aca="false">ODDFPRICE(DATE(2024,1,10),DATE(2026,5,20),DATE(2023,12,20),DATE(2024,5,20),0,0.05,100,4,3)</f>
        <v>#VALUE!</v>
      </c>
      <c r="B15705" s="0" t="s">
        <v>15551</v>
      </c>
    </row>
    <row r="15706" customFormat="false" ht="15" hidden="false" customHeight="false" outlineLevel="0" collapsed="false">
      <c r="A15706" s="0" t="e">
        <f aca="false">ODDFYIELD(DATE(2024,1,10),DATE(2026,5,20),DATE(2023,12,20),DATE(2024,5,20),0.05,95,100,4,3)</f>
        <v>#VALUE!</v>
      </c>
      <c r="B15706" s="0" t="s">
        <v>15552</v>
      </c>
    </row>
    <row r="15707" customFormat="false" ht="15" hidden="false" customHeight="false" outlineLevel="0" collapsed="false">
      <c r="A15707" s="0" t="e">
        <f aca="false">ODDFYIELD(DATE(2024,1,10),DATE(2026,5,20),DATE(2023,12,20),DATE(2024,5,20),0.1,101.5,100,4,3)</f>
        <v>#VALUE!</v>
      </c>
      <c r="B15707" s="0" t="s">
        <v>15553</v>
      </c>
    </row>
    <row r="15708" customFormat="false" ht="15" hidden="false" customHeight="false" outlineLevel="0" collapsed="false">
      <c r="A15708" s="0" t="e">
        <f aca="false">ODDFYIELD(DATE(2024,1,10),DATE(2026,5,20),DATE(2023,12,20),DATE(2024,5,20),0.05,100,100,4,3)</f>
        <v>#VALUE!</v>
      </c>
      <c r="B15708" s="0" t="s">
        <v>15554</v>
      </c>
    </row>
    <row r="15709" customFormat="false" ht="15" hidden="false" customHeight="false" outlineLevel="0" collapsed="false">
      <c r="A15709" s="0" t="e">
        <f aca="false">ODDFPRICE(DATE(2024,1,10),DATE(2026,5,20),DATE(2023,12,20),DATE(2024,5,20),0.05,0.08,100,4,4)</f>
        <v>#VALUE!</v>
      </c>
      <c r="B15709" s="0" t="s">
        <v>15555</v>
      </c>
    </row>
    <row r="15710" customFormat="false" ht="15" hidden="false" customHeight="false" outlineLevel="0" collapsed="false">
      <c r="A15710" s="0" t="e">
        <f aca="false">ODDFPRICE(DATE(2024,1,10),DATE(2026,5,20),DATE(2023,12,20),DATE(2024,5,20),0.1,0.03,105,4,4)</f>
        <v>#VALUE!</v>
      </c>
      <c r="B15710" s="0" t="s">
        <v>15556</v>
      </c>
    </row>
    <row r="15711" customFormat="false" ht="15" hidden="false" customHeight="false" outlineLevel="0" collapsed="false">
      <c r="A15711" s="0" t="e">
        <f aca="false">ODDFPRICE(DATE(2024,1,10),DATE(2026,5,20),DATE(2023,12,20),DATE(2024,5,20),0,0.05,100,4,4)</f>
        <v>#VALUE!</v>
      </c>
      <c r="B15711" s="0" t="s">
        <v>15557</v>
      </c>
    </row>
    <row r="15712" customFormat="false" ht="15" hidden="false" customHeight="false" outlineLevel="0" collapsed="false">
      <c r="A15712" s="0" t="e">
        <f aca="false">ODDFYIELD(DATE(2024,1,10),DATE(2026,5,20),DATE(2023,12,20),DATE(2024,5,20),0.05,95,100,4,4)</f>
        <v>#VALUE!</v>
      </c>
      <c r="B15712" s="0" t="s">
        <v>15558</v>
      </c>
    </row>
    <row r="15713" customFormat="false" ht="15" hidden="false" customHeight="false" outlineLevel="0" collapsed="false">
      <c r="A15713" s="0" t="e">
        <f aca="false">ODDFYIELD(DATE(2024,1,10),DATE(2026,5,20),DATE(2023,12,20),DATE(2024,5,20),0.1,101.5,100,4,4)</f>
        <v>#VALUE!</v>
      </c>
      <c r="B15713" s="0" t="s">
        <v>15559</v>
      </c>
    </row>
    <row r="15714" customFormat="false" ht="15" hidden="false" customHeight="false" outlineLevel="0" collapsed="false">
      <c r="A15714" s="0" t="e">
        <f aca="false">ODDFYIELD(DATE(2024,1,10),DATE(2026,5,20),DATE(2023,12,20),DATE(2024,5,20),0.05,100,100,4,4)</f>
        <v>#VALUE!</v>
      </c>
      <c r="B15714" s="0" t="s">
        <v>15560</v>
      </c>
    </row>
    <row r="15715" customFormat="false" ht="15" hidden="false" customHeight="false" outlineLevel="0" collapsed="false">
      <c r="A15715" s="0" t="n">
        <f aca="false">ODDLPRICE(DATE(2024,3,1),DATE(2024,6,30),DATE(2024,1,15),0.05,0.08,100,1,0)</f>
        <v>99.0174220009141</v>
      </c>
      <c r="B15715" s="0" t="s">
        <v>15561</v>
      </c>
    </row>
    <row r="15716" customFormat="false" ht="15" hidden="false" customHeight="false" outlineLevel="0" collapsed="false">
      <c r="A15716" s="0" t="n">
        <f aca="false">ODDLPRICE(DATE(2024,3,1),DATE(2024,6,30),DATE(2024,1,15),0.1,0.03,105,1,0)</f>
        <v>107.229524804944</v>
      </c>
      <c r="B15716" s="0" t="s">
        <v>15562</v>
      </c>
    </row>
    <row r="15717" customFormat="false" ht="15" hidden="false" customHeight="false" outlineLevel="0" collapsed="false">
      <c r="A15717" s="0" t="e">
        <f aca="false">ODDLPRICE(DATE(2024,3,1),DATE(2024,6,30),DATE(2024,1,15),0,0.05,100,1,0)</f>
        <v>#VALUE!</v>
      </c>
      <c r="B15717" s="0" t="s">
        <v>15563</v>
      </c>
    </row>
    <row r="15718" customFormat="false" ht="15" hidden="false" customHeight="false" outlineLevel="0" collapsed="false">
      <c r="A15718" s="0" t="n">
        <f aca="false">ODDLYIELD(DATE(2024,3,1),DATE(2024,6,30),DATE(2024,1,15),0.05,95,100,1,0)</f>
        <v>0.210437936429291</v>
      </c>
      <c r="B15718" s="0" t="s">
        <v>15564</v>
      </c>
    </row>
    <row r="15719" customFormat="false" ht="15" hidden="false" customHeight="false" outlineLevel="0" collapsed="false">
      <c r="A15719" s="0" t="n">
        <f aca="false">ODDLYIELD(DATE(2024,3,1),DATE(2024,6,30),DATE(2024,1,15),0.1,101.5,100,1,0)</f>
        <v>0.0531455825573471</v>
      </c>
      <c r="B15719" s="0" t="s">
        <v>15565</v>
      </c>
    </row>
    <row r="15720" customFormat="false" ht="15" hidden="false" customHeight="false" outlineLevel="0" collapsed="false">
      <c r="A15720" s="0" t="n">
        <f aca="false">ODDLYIELD(DATE(2024,3,1),DATE(2024,6,30),DATE(2024,1,15),0.05,100,100,1,0)</f>
        <v>0.049682583494342</v>
      </c>
      <c r="B15720" s="0" t="s">
        <v>15566</v>
      </c>
    </row>
    <row r="15721" customFormat="false" ht="15" hidden="false" customHeight="false" outlineLevel="0" collapsed="false">
      <c r="A15721" s="0" t="n">
        <f aca="false">ODDLPRICE(DATE(2024,3,1),DATE(2024,6,30),DATE(2024,1,15),0.05,0.08,100,1,1)</f>
        <v>99.0175599975796</v>
      </c>
      <c r="B15721" s="0" t="s">
        <v>15567</v>
      </c>
    </row>
    <row r="15722" customFormat="false" ht="15" hidden="false" customHeight="false" outlineLevel="0" collapsed="false">
      <c r="A15722" s="0" t="n">
        <f aca="false">ODDLPRICE(DATE(2024,3,1),DATE(2024,6,30),DATE(2024,1,15),0.1,0.03,105,1,1)</f>
        <v>107.230034642529</v>
      </c>
      <c r="B15722" s="0" t="s">
        <v>15568</v>
      </c>
    </row>
    <row r="15723" customFormat="false" ht="15" hidden="false" customHeight="false" outlineLevel="0" collapsed="false">
      <c r="A15723" s="0" t="e">
        <f aca="false">ODDLPRICE(DATE(2024,3,1),DATE(2024,6,30),DATE(2024,1,15),0,0.05,100,1,1)</f>
        <v>#VALUE!</v>
      </c>
      <c r="B15723" s="0" t="s">
        <v>15569</v>
      </c>
    </row>
    <row r="15724" customFormat="false" ht="15" hidden="false" customHeight="false" outlineLevel="0" collapsed="false">
      <c r="A15724" s="0" t="n">
        <f aca="false">ODDLYIELD(DATE(2024,3,1),DATE(2024,6,30),DATE(2024,1,15),0.05,95,100,1,1)</f>
        <v>0.21043919716647</v>
      </c>
      <c r="B15724" s="0" t="s">
        <v>15570</v>
      </c>
    </row>
    <row r="15725" customFormat="false" ht="15" hidden="false" customHeight="false" outlineLevel="0" collapsed="false">
      <c r="A15725" s="0" t="n">
        <f aca="false">ODDLYIELD(DATE(2024,3,1),DATE(2024,6,30),DATE(2024,1,15),0.1,101.5,100,1,1)</f>
        <v>0.0531624991292522</v>
      </c>
      <c r="B15725" s="0" t="s">
        <v>15571</v>
      </c>
    </row>
    <row r="15726" customFormat="false" ht="15" hidden="false" customHeight="false" outlineLevel="0" collapsed="false">
      <c r="A15726" s="0" t="n">
        <f aca="false">ODDLYIELD(DATE(2024,3,1),DATE(2024,6,30),DATE(2024,1,15),0.05,100,100,1,1)</f>
        <v>0.0496877545479226</v>
      </c>
      <c r="B15726" s="0" t="s">
        <v>15572</v>
      </c>
    </row>
    <row r="15727" customFormat="false" ht="15" hidden="false" customHeight="false" outlineLevel="0" collapsed="false">
      <c r="A15727" s="0" t="n">
        <f aca="false">ODDLPRICE(DATE(2024,3,1),DATE(2024,6,30),DATE(2024,1,15),0.05,0.08,100,1,2)</f>
        <v>99.0013404986896</v>
      </c>
      <c r="B15727" s="0" t="s">
        <v>15573</v>
      </c>
    </row>
    <row r="15728" customFormat="false" ht="15" hidden="false" customHeight="false" outlineLevel="0" collapsed="false">
      <c r="A15728" s="0" t="n">
        <f aca="false">ODDLPRICE(DATE(2024,3,1),DATE(2024,6,30),DATE(2024,1,15),0.1,0.03,105,1,2)</f>
        <v>107.266621749214</v>
      </c>
      <c r="B15728" s="0" t="s">
        <v>15574</v>
      </c>
    </row>
    <row r="15729" customFormat="false" ht="15" hidden="false" customHeight="false" outlineLevel="0" collapsed="false">
      <c r="A15729" s="0" t="e">
        <f aca="false">ODDLPRICE(DATE(2024,3,1),DATE(2024,6,30),DATE(2024,1,15),0,0.05,100,1,2)</f>
        <v>#VALUE!</v>
      </c>
      <c r="B15729" s="0" t="s">
        <v>15575</v>
      </c>
    </row>
    <row r="15730" customFormat="false" ht="15" hidden="false" customHeight="false" outlineLevel="0" collapsed="false">
      <c r="A15730" s="0" t="n">
        <f aca="false">ODDLYIELD(DATE(2024,3,1),DATE(2024,6,30),DATE(2024,1,15),0.05,95,100,1,2)</f>
        <v>0.207823755469836</v>
      </c>
      <c r="B15730" s="0" t="s">
        <v>15576</v>
      </c>
    </row>
    <row r="15731" customFormat="false" ht="15" hidden="false" customHeight="false" outlineLevel="0" collapsed="false">
      <c r="A15731" s="0" t="n">
        <f aca="false">ODDLYIELD(DATE(2024,3,1),DATE(2024,6,30),DATE(2024,1,15),0.1,101.5,100,1,2)</f>
        <v>0.0538753629662718</v>
      </c>
      <c r="B15731" s="0" t="s">
        <v>15577</v>
      </c>
    </row>
    <row r="15732" customFormat="false" ht="15" hidden="false" customHeight="false" outlineLevel="0" collapsed="false">
      <c r="A15732" s="0" t="n">
        <f aca="false">ODDLYIELD(DATE(2024,3,1),DATE(2024,6,30),DATE(2024,1,15),0.05,100,100,1,2)</f>
        <v>0.0496825834943417</v>
      </c>
      <c r="B15732" s="0" t="s">
        <v>15578</v>
      </c>
    </row>
    <row r="15733" customFormat="false" ht="15" hidden="false" customHeight="false" outlineLevel="0" collapsed="false">
      <c r="A15733" s="0" t="n">
        <f aca="false">ODDLPRICE(DATE(2024,3,1),DATE(2024,6,30),DATE(2024,1,15),0.05,0.08,100,1,3)</f>
        <v>99.0148934396621</v>
      </c>
      <c r="B15733" s="0" t="s">
        <v>15579</v>
      </c>
    </row>
    <row r="15734" customFormat="false" ht="15" hidden="false" customHeight="false" outlineLevel="0" collapsed="false">
      <c r="A15734" s="0" t="n">
        <f aca="false">ODDLPRICE(DATE(2024,3,1),DATE(2024,6,30),DATE(2024,1,15),0.1,0.03,105,1,3)</f>
        <v>107.236050254943</v>
      </c>
      <c r="B15734" s="0" t="s">
        <v>15580</v>
      </c>
    </row>
    <row r="15735" customFormat="false" ht="15" hidden="false" customHeight="false" outlineLevel="0" collapsed="false">
      <c r="A15735" s="0" t="e">
        <f aca="false">ODDLPRICE(DATE(2024,3,1),DATE(2024,6,30),DATE(2024,1,15),0,0.05,100,1,3)</f>
        <v>#VALUE!</v>
      </c>
      <c r="B15735" s="0" t="s">
        <v>15581</v>
      </c>
    </row>
    <row r="15736" customFormat="false" ht="15" hidden="false" customHeight="false" outlineLevel="0" collapsed="false">
      <c r="A15736" s="0" t="n">
        <f aca="false">ODDLYIELD(DATE(2024,3,1),DATE(2024,6,30),DATE(2024,1,15),0.05,95,100,1,3)</f>
        <v>0.210003302943882</v>
      </c>
      <c r="B15736" s="0" t="s">
        <v>15582</v>
      </c>
    </row>
    <row r="15737" customFormat="false" ht="15" hidden="false" customHeight="false" outlineLevel="0" collapsed="false">
      <c r="A15737" s="0" t="n">
        <f aca="false">ODDLYIELD(DATE(2024,3,1),DATE(2024,6,30),DATE(2024,1,15),0.1,101.5,100,1,3)</f>
        <v>0.0532813547483336</v>
      </c>
      <c r="B15737" s="0" t="s">
        <v>15583</v>
      </c>
    </row>
    <row r="15738" customFormat="false" ht="15" hidden="false" customHeight="false" outlineLevel="0" collapsed="false">
      <c r="A15738" s="0" t="n">
        <f aca="false">ODDLYIELD(DATE(2024,3,1),DATE(2024,6,30),DATE(2024,1,15),0.05,100,100,1,3)</f>
        <v>0.0496869044377897</v>
      </c>
      <c r="B15738" s="0" t="s">
        <v>15584</v>
      </c>
    </row>
    <row r="15739" customFormat="false" ht="15" hidden="false" customHeight="false" outlineLevel="0" collapsed="false">
      <c r="A15739" s="0" t="n">
        <f aca="false">ODDLPRICE(DATE(2024,3,1),DATE(2024,6,30),DATE(2024,1,15),0.05,0.08,100,1,4)</f>
        <v>99.0174220009141</v>
      </c>
      <c r="B15739" s="0" t="s">
        <v>15585</v>
      </c>
    </row>
    <row r="15740" customFormat="false" ht="15" hidden="false" customHeight="false" outlineLevel="0" collapsed="false">
      <c r="A15740" s="0" t="n">
        <f aca="false">ODDLPRICE(DATE(2024,3,1),DATE(2024,6,30),DATE(2024,1,15),0.1,0.03,105,1,4)</f>
        <v>107.229524804944</v>
      </c>
      <c r="B15740" s="0" t="s">
        <v>15586</v>
      </c>
    </row>
    <row r="15741" customFormat="false" ht="15" hidden="false" customHeight="false" outlineLevel="0" collapsed="false">
      <c r="A15741" s="0" t="e">
        <f aca="false">ODDLPRICE(DATE(2024,3,1),DATE(2024,6,30),DATE(2024,1,15),0,0.05,100,1,4)</f>
        <v>#VALUE!</v>
      </c>
      <c r="B15741" s="0" t="s">
        <v>15587</v>
      </c>
    </row>
    <row r="15742" customFormat="false" ht="15" hidden="false" customHeight="false" outlineLevel="0" collapsed="false">
      <c r="A15742" s="0" t="n">
        <f aca="false">ODDLYIELD(DATE(2024,3,1),DATE(2024,6,30),DATE(2024,1,15),0.05,95,100,1,4)</f>
        <v>0.210437936429291</v>
      </c>
      <c r="B15742" s="0" t="s">
        <v>15588</v>
      </c>
    </row>
    <row r="15743" customFormat="false" ht="15" hidden="false" customHeight="false" outlineLevel="0" collapsed="false">
      <c r="A15743" s="0" t="n">
        <f aca="false">ODDLYIELD(DATE(2024,3,1),DATE(2024,6,30),DATE(2024,1,15),0.1,101.5,100,1,4)</f>
        <v>0.0531455825573471</v>
      </c>
      <c r="B15743" s="0" t="s">
        <v>15589</v>
      </c>
    </row>
    <row r="15744" customFormat="false" ht="15" hidden="false" customHeight="false" outlineLevel="0" collapsed="false">
      <c r="A15744" s="0" t="n">
        <f aca="false">ODDLYIELD(DATE(2024,3,1),DATE(2024,6,30),DATE(2024,1,15),0.05,100,100,1,4)</f>
        <v>0.049682583494342</v>
      </c>
      <c r="B15744" s="0" t="s">
        <v>15590</v>
      </c>
    </row>
    <row r="15745" customFormat="false" ht="15" hidden="false" customHeight="false" outlineLevel="0" collapsed="false">
      <c r="A15745" s="0" t="n">
        <f aca="false">ODDLPRICE(DATE(2024,3,1),DATE(2024,6,30),DATE(2024,1,15),0.05,0.08,100,2,0)</f>
        <v>99.0174220009141</v>
      </c>
      <c r="B15745" s="0" t="s">
        <v>15591</v>
      </c>
    </row>
    <row r="15746" customFormat="false" ht="15" hidden="false" customHeight="false" outlineLevel="0" collapsed="false">
      <c r="A15746" s="0" t="n">
        <f aca="false">ODDLPRICE(DATE(2024,3,1),DATE(2024,6,30),DATE(2024,1,15),0.1,0.03,105,2,0)</f>
        <v>107.229524804944</v>
      </c>
      <c r="B15746" s="0" t="s">
        <v>15592</v>
      </c>
    </row>
    <row r="15747" customFormat="false" ht="15" hidden="false" customHeight="false" outlineLevel="0" collapsed="false">
      <c r="A15747" s="0" t="e">
        <f aca="false">ODDLPRICE(DATE(2024,3,1),DATE(2024,6,30),DATE(2024,1,15),0,0.05,100,2,0)</f>
        <v>#VALUE!</v>
      </c>
      <c r="B15747" s="0" t="s">
        <v>15593</v>
      </c>
    </row>
    <row r="15748" customFormat="false" ht="15" hidden="false" customHeight="false" outlineLevel="0" collapsed="false">
      <c r="A15748" s="0" t="n">
        <f aca="false">ODDLYIELD(DATE(2024,3,1),DATE(2024,6,30),DATE(2024,1,15),0.05,95,100,2,0)</f>
        <v>0.210437936429291</v>
      </c>
      <c r="B15748" s="0" t="s">
        <v>15594</v>
      </c>
    </row>
    <row r="15749" customFormat="false" ht="15" hidden="false" customHeight="false" outlineLevel="0" collapsed="false">
      <c r="A15749" s="0" t="n">
        <f aca="false">ODDLYIELD(DATE(2024,3,1),DATE(2024,6,30),DATE(2024,1,15),0.1,101.5,100,2,0)</f>
        <v>0.0531455825573471</v>
      </c>
      <c r="B15749" s="0" t="s">
        <v>15595</v>
      </c>
    </row>
    <row r="15750" customFormat="false" ht="15" hidden="false" customHeight="false" outlineLevel="0" collapsed="false">
      <c r="A15750" s="0" t="n">
        <f aca="false">ODDLYIELD(DATE(2024,3,1),DATE(2024,6,30),DATE(2024,1,15),0.05,100,100,2,0)</f>
        <v>0.049682583494342</v>
      </c>
      <c r="B15750" s="0" t="s">
        <v>15596</v>
      </c>
    </row>
    <row r="15751" customFormat="false" ht="15" hidden="false" customHeight="false" outlineLevel="0" collapsed="false">
      <c r="A15751" s="0" t="n">
        <f aca="false">ODDLPRICE(DATE(2024,3,1),DATE(2024,6,30),DATE(2024,1,15),0.05,0.08,100,2,1)</f>
        <v>99.0175599975796</v>
      </c>
      <c r="B15751" s="0" t="s">
        <v>15597</v>
      </c>
    </row>
    <row r="15752" customFormat="false" ht="15" hidden="false" customHeight="false" outlineLevel="0" collapsed="false">
      <c r="A15752" s="0" t="n">
        <f aca="false">ODDLPRICE(DATE(2024,3,1),DATE(2024,6,30),DATE(2024,1,15),0.1,0.03,105,2,1)</f>
        <v>107.230034642529</v>
      </c>
      <c r="B15752" s="0" t="s">
        <v>15598</v>
      </c>
    </row>
    <row r="15753" customFormat="false" ht="15" hidden="false" customHeight="false" outlineLevel="0" collapsed="false">
      <c r="A15753" s="0" t="e">
        <f aca="false">ODDLPRICE(DATE(2024,3,1),DATE(2024,6,30),DATE(2024,1,15),0,0.05,100,2,1)</f>
        <v>#VALUE!</v>
      </c>
      <c r="B15753" s="0" t="s">
        <v>15599</v>
      </c>
    </row>
    <row r="15754" customFormat="false" ht="15" hidden="false" customHeight="false" outlineLevel="0" collapsed="false">
      <c r="A15754" s="0" t="n">
        <f aca="false">ODDLYIELD(DATE(2024,3,1),DATE(2024,6,30),DATE(2024,1,15),0.05,95,100,2,1)</f>
        <v>0.21043919716647</v>
      </c>
      <c r="B15754" s="0" t="s">
        <v>15600</v>
      </c>
    </row>
    <row r="15755" customFormat="false" ht="15" hidden="false" customHeight="false" outlineLevel="0" collapsed="false">
      <c r="A15755" s="0" t="n">
        <f aca="false">ODDLYIELD(DATE(2024,3,1),DATE(2024,6,30),DATE(2024,1,15),0.1,101.5,100,2,1)</f>
        <v>0.0531624991292522</v>
      </c>
      <c r="B15755" s="0" t="s">
        <v>15601</v>
      </c>
    </row>
    <row r="15756" customFormat="false" ht="15" hidden="false" customHeight="false" outlineLevel="0" collapsed="false">
      <c r="A15756" s="0" t="n">
        <f aca="false">ODDLYIELD(DATE(2024,3,1),DATE(2024,6,30),DATE(2024,1,15),0.05,100,100,2,1)</f>
        <v>0.0496877545479226</v>
      </c>
      <c r="B15756" s="0" t="s">
        <v>15602</v>
      </c>
    </row>
    <row r="15757" customFormat="false" ht="15" hidden="false" customHeight="false" outlineLevel="0" collapsed="false">
      <c r="A15757" s="0" t="n">
        <f aca="false">ODDLPRICE(DATE(2024,3,1),DATE(2024,6,30),DATE(2024,1,15),0.05,0.08,100,2,2)</f>
        <v>99.0013404986896</v>
      </c>
      <c r="B15757" s="0" t="s">
        <v>15603</v>
      </c>
    </row>
    <row r="15758" customFormat="false" ht="15" hidden="false" customHeight="false" outlineLevel="0" collapsed="false">
      <c r="A15758" s="0" t="n">
        <f aca="false">ODDLPRICE(DATE(2024,3,1),DATE(2024,6,30),DATE(2024,1,15),0.1,0.03,105,2,2)</f>
        <v>107.266621749214</v>
      </c>
      <c r="B15758" s="0" t="s">
        <v>15604</v>
      </c>
    </row>
    <row r="15759" customFormat="false" ht="15" hidden="false" customHeight="false" outlineLevel="0" collapsed="false">
      <c r="A15759" s="0" t="e">
        <f aca="false">ODDLPRICE(DATE(2024,3,1),DATE(2024,6,30),DATE(2024,1,15),0,0.05,100,2,2)</f>
        <v>#VALUE!</v>
      </c>
      <c r="B15759" s="0" t="s">
        <v>15605</v>
      </c>
    </row>
    <row r="15760" customFormat="false" ht="15" hidden="false" customHeight="false" outlineLevel="0" collapsed="false">
      <c r="A15760" s="0" t="n">
        <f aca="false">ODDLYIELD(DATE(2024,3,1),DATE(2024,6,30),DATE(2024,1,15),0.05,95,100,2,2)</f>
        <v>0.207823755469836</v>
      </c>
      <c r="B15760" s="0" t="s">
        <v>15606</v>
      </c>
    </row>
    <row r="15761" customFormat="false" ht="15" hidden="false" customHeight="false" outlineLevel="0" collapsed="false">
      <c r="A15761" s="0" t="n">
        <f aca="false">ODDLYIELD(DATE(2024,3,1),DATE(2024,6,30),DATE(2024,1,15),0.1,101.5,100,2,2)</f>
        <v>0.0538753629662718</v>
      </c>
      <c r="B15761" s="0" t="s">
        <v>15607</v>
      </c>
    </row>
    <row r="15762" customFormat="false" ht="15" hidden="false" customHeight="false" outlineLevel="0" collapsed="false">
      <c r="A15762" s="0" t="n">
        <f aca="false">ODDLYIELD(DATE(2024,3,1),DATE(2024,6,30),DATE(2024,1,15),0.05,100,100,2,2)</f>
        <v>0.0496825834943417</v>
      </c>
      <c r="B15762" s="0" t="s">
        <v>15608</v>
      </c>
    </row>
    <row r="15763" customFormat="false" ht="15" hidden="false" customHeight="false" outlineLevel="0" collapsed="false">
      <c r="A15763" s="0" t="n">
        <f aca="false">ODDLPRICE(DATE(2024,3,1),DATE(2024,6,30),DATE(2024,1,15),0.05,0.08,100,2,3)</f>
        <v>99.0148934396621</v>
      </c>
      <c r="B15763" s="0" t="s">
        <v>15609</v>
      </c>
    </row>
    <row r="15764" customFormat="false" ht="15" hidden="false" customHeight="false" outlineLevel="0" collapsed="false">
      <c r="A15764" s="0" t="n">
        <f aca="false">ODDLPRICE(DATE(2024,3,1),DATE(2024,6,30),DATE(2024,1,15),0.1,0.03,105,2,3)</f>
        <v>107.236050254943</v>
      </c>
      <c r="B15764" s="0" t="s">
        <v>15610</v>
      </c>
    </row>
    <row r="15765" customFormat="false" ht="15" hidden="false" customHeight="false" outlineLevel="0" collapsed="false">
      <c r="A15765" s="0" t="e">
        <f aca="false">ODDLPRICE(DATE(2024,3,1),DATE(2024,6,30),DATE(2024,1,15),0,0.05,100,2,3)</f>
        <v>#VALUE!</v>
      </c>
      <c r="B15765" s="0" t="s">
        <v>15611</v>
      </c>
    </row>
    <row r="15766" customFormat="false" ht="15" hidden="false" customHeight="false" outlineLevel="0" collapsed="false">
      <c r="A15766" s="0" t="n">
        <f aca="false">ODDLYIELD(DATE(2024,3,1),DATE(2024,6,30),DATE(2024,1,15),0.05,95,100,2,3)</f>
        <v>0.210003302943882</v>
      </c>
      <c r="B15766" s="0" t="s">
        <v>15612</v>
      </c>
    </row>
    <row r="15767" customFormat="false" ht="15" hidden="false" customHeight="false" outlineLevel="0" collapsed="false">
      <c r="A15767" s="0" t="n">
        <f aca="false">ODDLYIELD(DATE(2024,3,1),DATE(2024,6,30),DATE(2024,1,15),0.1,101.5,100,2,3)</f>
        <v>0.0532813547483336</v>
      </c>
      <c r="B15767" s="0" t="s">
        <v>15613</v>
      </c>
    </row>
    <row r="15768" customFormat="false" ht="15" hidden="false" customHeight="false" outlineLevel="0" collapsed="false">
      <c r="A15768" s="0" t="n">
        <f aca="false">ODDLYIELD(DATE(2024,3,1),DATE(2024,6,30),DATE(2024,1,15),0.05,100,100,2,3)</f>
        <v>0.0496869044377897</v>
      </c>
      <c r="B15768" s="0" t="s">
        <v>15614</v>
      </c>
    </row>
    <row r="15769" customFormat="false" ht="15" hidden="false" customHeight="false" outlineLevel="0" collapsed="false">
      <c r="A15769" s="0" t="n">
        <f aca="false">ODDLPRICE(DATE(2024,3,1),DATE(2024,6,30),DATE(2024,1,15),0.05,0.08,100,2,4)</f>
        <v>99.0174220009141</v>
      </c>
      <c r="B15769" s="0" t="s">
        <v>15615</v>
      </c>
    </row>
    <row r="15770" customFormat="false" ht="15" hidden="false" customHeight="false" outlineLevel="0" collapsed="false">
      <c r="A15770" s="0" t="n">
        <f aca="false">ODDLPRICE(DATE(2024,3,1),DATE(2024,6,30),DATE(2024,1,15),0.1,0.03,105,2,4)</f>
        <v>107.229524804944</v>
      </c>
      <c r="B15770" s="0" t="s">
        <v>15616</v>
      </c>
    </row>
    <row r="15771" customFormat="false" ht="15" hidden="false" customHeight="false" outlineLevel="0" collapsed="false">
      <c r="A15771" s="0" t="e">
        <f aca="false">ODDLPRICE(DATE(2024,3,1),DATE(2024,6,30),DATE(2024,1,15),0,0.05,100,2,4)</f>
        <v>#VALUE!</v>
      </c>
      <c r="B15771" s="0" t="s">
        <v>15617</v>
      </c>
    </row>
    <row r="15772" customFormat="false" ht="15" hidden="false" customHeight="false" outlineLevel="0" collapsed="false">
      <c r="A15772" s="0" t="n">
        <f aca="false">ODDLYIELD(DATE(2024,3,1),DATE(2024,6,30),DATE(2024,1,15),0.05,95,100,2,4)</f>
        <v>0.210437936429291</v>
      </c>
      <c r="B15772" s="0" t="s">
        <v>15618</v>
      </c>
    </row>
    <row r="15773" customFormat="false" ht="15" hidden="false" customHeight="false" outlineLevel="0" collapsed="false">
      <c r="A15773" s="0" t="n">
        <f aca="false">ODDLYIELD(DATE(2024,3,1),DATE(2024,6,30),DATE(2024,1,15),0.1,101.5,100,2,4)</f>
        <v>0.0531455825573471</v>
      </c>
      <c r="B15773" s="0" t="s">
        <v>15619</v>
      </c>
    </row>
    <row r="15774" customFormat="false" ht="15" hidden="false" customHeight="false" outlineLevel="0" collapsed="false">
      <c r="A15774" s="0" t="n">
        <f aca="false">ODDLYIELD(DATE(2024,3,1),DATE(2024,6,30),DATE(2024,1,15),0.05,100,100,2,4)</f>
        <v>0.049682583494342</v>
      </c>
      <c r="B15774" s="0" t="s">
        <v>15620</v>
      </c>
    </row>
    <row r="15775" customFormat="false" ht="15" hidden="false" customHeight="false" outlineLevel="0" collapsed="false">
      <c r="A15775" s="0" t="n">
        <f aca="false">ODDLPRICE(DATE(2024,3,1),DATE(2024,6,30),DATE(2024,1,15),0.05,0.08,100,4,0)</f>
        <v>99.0174220009141</v>
      </c>
      <c r="B15775" s="0" t="s">
        <v>15621</v>
      </c>
    </row>
    <row r="15776" customFormat="false" ht="15" hidden="false" customHeight="false" outlineLevel="0" collapsed="false">
      <c r="A15776" s="0" t="n">
        <f aca="false">ODDLPRICE(DATE(2024,3,1),DATE(2024,6,30),DATE(2024,1,15),0.1,0.03,105,4,0)</f>
        <v>107.229524804944</v>
      </c>
      <c r="B15776" s="0" t="s">
        <v>15622</v>
      </c>
    </row>
    <row r="15777" customFormat="false" ht="15" hidden="false" customHeight="false" outlineLevel="0" collapsed="false">
      <c r="A15777" s="0" t="e">
        <f aca="false">ODDLPRICE(DATE(2024,3,1),DATE(2024,6,30),DATE(2024,1,15),0,0.05,100,4,0)</f>
        <v>#VALUE!</v>
      </c>
      <c r="B15777" s="0" t="s">
        <v>15623</v>
      </c>
    </row>
    <row r="15778" customFormat="false" ht="15" hidden="false" customHeight="false" outlineLevel="0" collapsed="false">
      <c r="A15778" s="0" t="n">
        <f aca="false">ODDLYIELD(DATE(2024,3,1),DATE(2024,6,30),DATE(2024,1,15),0.05,95,100,4,0)</f>
        <v>0.210437936429291</v>
      </c>
      <c r="B15778" s="0" t="s">
        <v>15624</v>
      </c>
    </row>
    <row r="15779" customFormat="false" ht="15" hidden="false" customHeight="false" outlineLevel="0" collapsed="false">
      <c r="A15779" s="0" t="n">
        <f aca="false">ODDLYIELD(DATE(2024,3,1),DATE(2024,6,30),DATE(2024,1,15),0.1,101.5,100,4,0)</f>
        <v>0.0531455825573471</v>
      </c>
      <c r="B15779" s="0" t="s">
        <v>15625</v>
      </c>
    </row>
    <row r="15780" customFormat="false" ht="15" hidden="false" customHeight="false" outlineLevel="0" collapsed="false">
      <c r="A15780" s="0" t="n">
        <f aca="false">ODDLYIELD(DATE(2024,3,1),DATE(2024,6,30),DATE(2024,1,15),0.05,100,100,4,0)</f>
        <v>0.049682583494342</v>
      </c>
      <c r="B15780" s="0" t="s">
        <v>15626</v>
      </c>
    </row>
    <row r="15781" customFormat="false" ht="15" hidden="false" customHeight="false" outlineLevel="0" collapsed="false">
      <c r="A15781" s="0" t="n">
        <f aca="false">ODDLPRICE(DATE(2024,3,1),DATE(2024,6,30),DATE(2024,1,15),0.05,0.08,100,4,1)</f>
        <v>99.0175599975796</v>
      </c>
      <c r="B15781" s="0" t="s">
        <v>15627</v>
      </c>
    </row>
    <row r="15782" customFormat="false" ht="15" hidden="false" customHeight="false" outlineLevel="0" collapsed="false">
      <c r="A15782" s="0" t="n">
        <f aca="false">ODDLPRICE(DATE(2024,3,1),DATE(2024,6,30),DATE(2024,1,15),0.1,0.03,105,4,1)</f>
        <v>107.230034642529</v>
      </c>
      <c r="B15782" s="0" t="s">
        <v>15628</v>
      </c>
    </row>
    <row r="15783" customFormat="false" ht="15" hidden="false" customHeight="false" outlineLevel="0" collapsed="false">
      <c r="A15783" s="0" t="e">
        <f aca="false">ODDLPRICE(DATE(2024,3,1),DATE(2024,6,30),DATE(2024,1,15),0,0.05,100,4,1)</f>
        <v>#VALUE!</v>
      </c>
      <c r="B15783" s="0" t="s">
        <v>15629</v>
      </c>
    </row>
    <row r="15784" customFormat="false" ht="15" hidden="false" customHeight="false" outlineLevel="0" collapsed="false">
      <c r="A15784" s="0" t="n">
        <f aca="false">ODDLYIELD(DATE(2024,3,1),DATE(2024,6,30),DATE(2024,1,15),0.05,95,100,4,1)</f>
        <v>0.21043919716647</v>
      </c>
      <c r="B15784" s="0" t="s">
        <v>15630</v>
      </c>
    </row>
    <row r="15785" customFormat="false" ht="15" hidden="false" customHeight="false" outlineLevel="0" collapsed="false">
      <c r="A15785" s="0" t="n">
        <f aca="false">ODDLYIELD(DATE(2024,3,1),DATE(2024,6,30),DATE(2024,1,15),0.1,101.5,100,4,1)</f>
        <v>0.0531624991292522</v>
      </c>
      <c r="B15785" s="0" t="s">
        <v>15631</v>
      </c>
    </row>
    <row r="15786" customFormat="false" ht="15" hidden="false" customHeight="false" outlineLevel="0" collapsed="false">
      <c r="A15786" s="0" t="n">
        <f aca="false">ODDLYIELD(DATE(2024,3,1),DATE(2024,6,30),DATE(2024,1,15),0.05,100,100,4,1)</f>
        <v>0.0496877545479226</v>
      </c>
      <c r="B15786" s="0" t="s">
        <v>15632</v>
      </c>
    </row>
    <row r="15787" customFormat="false" ht="15" hidden="false" customHeight="false" outlineLevel="0" collapsed="false">
      <c r="A15787" s="0" t="n">
        <f aca="false">ODDLPRICE(DATE(2024,3,1),DATE(2024,6,30),DATE(2024,1,15),0.05,0.08,100,4,2)</f>
        <v>99.0013404986896</v>
      </c>
      <c r="B15787" s="0" t="s">
        <v>15633</v>
      </c>
    </row>
    <row r="15788" customFormat="false" ht="15" hidden="false" customHeight="false" outlineLevel="0" collapsed="false">
      <c r="A15788" s="0" t="n">
        <f aca="false">ODDLPRICE(DATE(2024,3,1),DATE(2024,6,30),DATE(2024,1,15),0.1,0.03,105,4,2)</f>
        <v>107.266621749214</v>
      </c>
      <c r="B15788" s="0" t="s">
        <v>15634</v>
      </c>
    </row>
    <row r="15789" customFormat="false" ht="15" hidden="false" customHeight="false" outlineLevel="0" collapsed="false">
      <c r="A15789" s="0" t="e">
        <f aca="false">ODDLPRICE(DATE(2024,3,1),DATE(2024,6,30),DATE(2024,1,15),0,0.05,100,4,2)</f>
        <v>#VALUE!</v>
      </c>
      <c r="B15789" s="0" t="s">
        <v>15635</v>
      </c>
    </row>
    <row r="15790" customFormat="false" ht="15" hidden="false" customHeight="false" outlineLevel="0" collapsed="false">
      <c r="A15790" s="0" t="n">
        <f aca="false">ODDLYIELD(DATE(2024,3,1),DATE(2024,6,30),DATE(2024,1,15),0.05,95,100,4,2)</f>
        <v>0.207823755469836</v>
      </c>
      <c r="B15790" s="0" t="s">
        <v>15636</v>
      </c>
    </row>
    <row r="15791" customFormat="false" ht="15" hidden="false" customHeight="false" outlineLevel="0" collapsed="false">
      <c r="A15791" s="0" t="n">
        <f aca="false">ODDLYIELD(DATE(2024,3,1),DATE(2024,6,30),DATE(2024,1,15),0.1,101.5,100,4,2)</f>
        <v>0.0538753629662718</v>
      </c>
      <c r="B15791" s="0" t="s">
        <v>15637</v>
      </c>
    </row>
    <row r="15792" customFormat="false" ht="15" hidden="false" customHeight="false" outlineLevel="0" collapsed="false">
      <c r="A15792" s="0" t="n">
        <f aca="false">ODDLYIELD(DATE(2024,3,1),DATE(2024,6,30),DATE(2024,1,15),0.05,100,100,4,2)</f>
        <v>0.0496825834943417</v>
      </c>
      <c r="B15792" s="0" t="s">
        <v>15638</v>
      </c>
    </row>
    <row r="15793" customFormat="false" ht="15" hidden="false" customHeight="false" outlineLevel="0" collapsed="false">
      <c r="A15793" s="0" t="n">
        <f aca="false">ODDLPRICE(DATE(2024,3,1),DATE(2024,6,30),DATE(2024,1,15),0.05,0.08,100,4,3)</f>
        <v>99.0148934396621</v>
      </c>
      <c r="B15793" s="0" t="s">
        <v>15639</v>
      </c>
    </row>
    <row r="15794" customFormat="false" ht="15" hidden="false" customHeight="false" outlineLevel="0" collapsed="false">
      <c r="A15794" s="0" t="n">
        <f aca="false">ODDLPRICE(DATE(2024,3,1),DATE(2024,6,30),DATE(2024,1,15),0.1,0.03,105,4,3)</f>
        <v>107.236050254943</v>
      </c>
      <c r="B15794" s="0" t="s">
        <v>15640</v>
      </c>
    </row>
    <row r="15795" customFormat="false" ht="15" hidden="false" customHeight="false" outlineLevel="0" collapsed="false">
      <c r="A15795" s="0" t="e">
        <f aca="false">ODDLPRICE(DATE(2024,3,1),DATE(2024,6,30),DATE(2024,1,15),0,0.05,100,4,3)</f>
        <v>#VALUE!</v>
      </c>
      <c r="B15795" s="0" t="s">
        <v>15641</v>
      </c>
    </row>
    <row r="15796" customFormat="false" ht="15" hidden="false" customHeight="false" outlineLevel="0" collapsed="false">
      <c r="A15796" s="0" t="n">
        <f aca="false">ODDLYIELD(DATE(2024,3,1),DATE(2024,6,30),DATE(2024,1,15),0.05,95,100,4,3)</f>
        <v>0.210003302943882</v>
      </c>
      <c r="B15796" s="0" t="s">
        <v>15642</v>
      </c>
    </row>
    <row r="15797" customFormat="false" ht="15" hidden="false" customHeight="false" outlineLevel="0" collapsed="false">
      <c r="A15797" s="0" t="n">
        <f aca="false">ODDLYIELD(DATE(2024,3,1),DATE(2024,6,30),DATE(2024,1,15),0.1,101.5,100,4,3)</f>
        <v>0.0532813547483336</v>
      </c>
      <c r="B15797" s="0" t="s">
        <v>15643</v>
      </c>
    </row>
    <row r="15798" customFormat="false" ht="15" hidden="false" customHeight="false" outlineLevel="0" collapsed="false">
      <c r="A15798" s="0" t="n">
        <f aca="false">ODDLYIELD(DATE(2024,3,1),DATE(2024,6,30),DATE(2024,1,15),0.05,100,100,4,3)</f>
        <v>0.0496869044377897</v>
      </c>
      <c r="B15798" s="0" t="s">
        <v>15644</v>
      </c>
    </row>
    <row r="15799" customFormat="false" ht="15" hidden="false" customHeight="false" outlineLevel="0" collapsed="false">
      <c r="A15799" s="0" t="n">
        <f aca="false">ODDLPRICE(DATE(2024,3,1),DATE(2024,6,30),DATE(2024,1,15),0.05,0.08,100,4,4)</f>
        <v>99.0174220009141</v>
      </c>
      <c r="B15799" s="0" t="s">
        <v>15645</v>
      </c>
    </row>
    <row r="15800" customFormat="false" ht="15" hidden="false" customHeight="false" outlineLevel="0" collapsed="false">
      <c r="A15800" s="0" t="n">
        <f aca="false">ODDLPRICE(DATE(2024,3,1),DATE(2024,6,30),DATE(2024,1,15),0.1,0.03,105,4,4)</f>
        <v>107.229524804944</v>
      </c>
      <c r="B15800" s="0" t="s">
        <v>15646</v>
      </c>
    </row>
    <row r="15801" customFormat="false" ht="15" hidden="false" customHeight="false" outlineLevel="0" collapsed="false">
      <c r="A15801" s="0" t="e">
        <f aca="false">ODDLPRICE(DATE(2024,3,1),DATE(2024,6,30),DATE(2024,1,15),0,0.05,100,4,4)</f>
        <v>#VALUE!</v>
      </c>
      <c r="B15801" s="0" t="s">
        <v>15647</v>
      </c>
    </row>
    <row r="15802" customFormat="false" ht="15" hidden="false" customHeight="false" outlineLevel="0" collapsed="false">
      <c r="A15802" s="0" t="n">
        <f aca="false">ODDLYIELD(DATE(2024,3,1),DATE(2024,6,30),DATE(2024,1,15),0.05,95,100,4,4)</f>
        <v>0.210437936429291</v>
      </c>
      <c r="B15802" s="0" t="s">
        <v>15648</v>
      </c>
    </row>
    <row r="15803" customFormat="false" ht="15" hidden="false" customHeight="false" outlineLevel="0" collapsed="false">
      <c r="A15803" s="0" t="n">
        <f aca="false">ODDLYIELD(DATE(2024,3,1),DATE(2024,6,30),DATE(2024,1,15),0.1,101.5,100,4,4)</f>
        <v>0.0531455825573471</v>
      </c>
      <c r="B15803" s="0" t="s">
        <v>15649</v>
      </c>
    </row>
    <row r="15804" customFormat="false" ht="15" hidden="false" customHeight="false" outlineLevel="0" collapsed="false">
      <c r="A15804" s="0" t="n">
        <f aca="false">ODDLYIELD(DATE(2024,3,1),DATE(2024,6,30),DATE(2024,1,15),0.05,100,100,4,4)</f>
        <v>0.049682583494342</v>
      </c>
      <c r="B15804" s="0" t="s">
        <v>15650</v>
      </c>
    </row>
    <row r="15805" customFormat="false" ht="15" hidden="false" customHeight="false" outlineLevel="0" collapsed="false">
      <c r="A15805" s="0" t="n">
        <f aca="false">ODDLPRICE(DATE(2024,2,1),DATE(2025,1,15),DATE(2024,1,15),0.05,0.08,100,1,0)</f>
        <v>97.3211303789338</v>
      </c>
      <c r="B15805" s="0" t="s">
        <v>15651</v>
      </c>
    </row>
    <row r="15806" customFormat="false" ht="15" hidden="false" customHeight="false" outlineLevel="0" collapsed="false">
      <c r="A15806" s="0" t="n">
        <f aca="false">ODDLPRICE(DATE(2024,2,1),DATE(2025,1,15),DATE(2024,1,15),0.1,0.03,105,1,0)</f>
        <v>111.35075970332</v>
      </c>
      <c r="B15806" s="0" t="s">
        <v>15652</v>
      </c>
    </row>
    <row r="15807" customFormat="false" ht="15" hidden="false" customHeight="false" outlineLevel="0" collapsed="false">
      <c r="A15807" s="0" t="e">
        <f aca="false">ODDLPRICE(DATE(2024,2,1),DATE(2025,1,15),DATE(2024,1,15),0,0.05,100,1,0)</f>
        <v>#VALUE!</v>
      </c>
      <c r="B15807" s="0" t="s">
        <v>15653</v>
      </c>
    </row>
    <row r="15808" customFormat="false" ht="15" hidden="false" customHeight="false" outlineLevel="0" collapsed="false">
      <c r="A15808" s="0" t="n">
        <f aca="false">ODDLYIELD(DATE(2024,2,1),DATE(2025,1,15),DATE(2024,1,15),0.05,95,100,1,0)</f>
        <v>0.107459770426854</v>
      </c>
      <c r="B15808" s="0" t="s">
        <v>15654</v>
      </c>
    </row>
    <row r="15809" customFormat="false" ht="15" hidden="false" customHeight="false" outlineLevel="0" collapsed="false">
      <c r="A15809" s="0" t="n">
        <f aca="false">ODDLYIELD(DATE(2024,2,1),DATE(2025,1,15),DATE(2024,1,15),0.1,101.5,100,1,0)</f>
        <v>0.0826943793169</v>
      </c>
      <c r="B15809" s="0" t="s">
        <v>15655</v>
      </c>
    </row>
    <row r="15810" customFormat="false" ht="15" hidden="false" customHeight="false" outlineLevel="0" collapsed="false">
      <c r="A15810" s="0" t="n">
        <f aca="false">ODDLYIELD(DATE(2024,2,1),DATE(2025,1,15),DATE(2024,1,15),0.05,100,100,1,0)</f>
        <v>0.0498891352549888</v>
      </c>
      <c r="B15810" s="0" t="s">
        <v>15656</v>
      </c>
    </row>
    <row r="15811" customFormat="false" ht="15" hidden="false" customHeight="false" outlineLevel="0" collapsed="false">
      <c r="A15811" s="0" t="n">
        <f aca="false">ODDLPRICE(DATE(2024,2,1),DATE(2025,1,15),DATE(2024,1,15),0.05,0.08,100,1,1)</f>
        <v>97.3256393353842</v>
      </c>
      <c r="B15811" s="0" t="s">
        <v>15657</v>
      </c>
    </row>
    <row r="15812" customFormat="false" ht="15" hidden="false" customHeight="false" outlineLevel="0" collapsed="false">
      <c r="A15812" s="0" t="n">
        <f aca="false">ODDLPRICE(DATE(2024,2,1),DATE(2025,1,15),DATE(2024,1,15),0.1,0.03,105,1,1)</f>
        <v>111.337256315897</v>
      </c>
      <c r="B15812" s="0" t="s">
        <v>15658</v>
      </c>
    </row>
    <row r="15813" customFormat="false" ht="15" hidden="false" customHeight="false" outlineLevel="0" collapsed="false">
      <c r="A15813" s="0" t="e">
        <f aca="false">ODDLPRICE(DATE(2024,2,1),DATE(2025,1,15),DATE(2024,1,15),0,0.05,100,1,1)</f>
        <v>#VALUE!</v>
      </c>
      <c r="B15813" s="0" t="s">
        <v>15659</v>
      </c>
    </row>
    <row r="15814" customFormat="false" ht="15" hidden="false" customHeight="false" outlineLevel="0" collapsed="false">
      <c r="A15814" s="0" t="n">
        <f aca="false">ODDLYIELD(DATE(2024,2,1),DATE(2025,1,15),DATE(2024,1,15),0.05,95,100,1,1)</f>
        <v>0.10756391912627</v>
      </c>
      <c r="B15814" s="0" t="s">
        <v>15660</v>
      </c>
    </row>
    <row r="15815" customFormat="false" ht="15" hidden="false" customHeight="false" outlineLevel="0" collapsed="false">
      <c r="A15815" s="0" t="n">
        <f aca="false">ODDLYIELD(DATE(2024,2,1),DATE(2025,1,15),DATE(2024,1,15),0.1,101.5,100,1,1)</f>
        <v>0.0826457804243458</v>
      </c>
      <c r="B15815" s="0" t="s">
        <v>15661</v>
      </c>
    </row>
    <row r="15816" customFormat="false" ht="15" hidden="false" customHeight="false" outlineLevel="0" collapsed="false">
      <c r="A15816" s="0" t="n">
        <f aca="false">ODDLYIELD(DATE(2024,2,1),DATE(2025,1,15),DATE(2024,1,15),0.05,100,100,1,1)</f>
        <v>0.0498841488346737</v>
      </c>
      <c r="B15816" s="0" t="s">
        <v>15662</v>
      </c>
    </row>
    <row r="15817" customFormat="false" ht="15" hidden="false" customHeight="false" outlineLevel="0" collapsed="false">
      <c r="A15817" s="0" t="n">
        <f aca="false">ODDLPRICE(DATE(2024,2,1),DATE(2025,1,15),DATE(2024,1,15),0.05,0.08,100,1,2)</f>
        <v>97.2839961274948</v>
      </c>
      <c r="B15817" s="0" t="s">
        <v>15663</v>
      </c>
    </row>
    <row r="15818" customFormat="false" ht="15" hidden="false" customHeight="false" outlineLevel="0" collapsed="false">
      <c r="A15818" s="0" t="n">
        <f aca="false">ODDLPRICE(DATE(2024,2,1),DATE(2025,1,15),DATE(2024,1,15),0.1,0.03,105,1,2)</f>
        <v>111.439673477834</v>
      </c>
      <c r="B15818" s="0" t="s">
        <v>15664</v>
      </c>
    </row>
    <row r="15819" customFormat="false" ht="15" hidden="false" customHeight="false" outlineLevel="0" collapsed="false">
      <c r="A15819" s="0" t="e">
        <f aca="false">ODDLPRICE(DATE(2024,2,1),DATE(2025,1,15),DATE(2024,1,15),0,0.05,100,1,2)</f>
        <v>#VALUE!</v>
      </c>
      <c r="B15819" s="0" t="s">
        <v>15665</v>
      </c>
    </row>
    <row r="15820" customFormat="false" ht="15" hidden="false" customHeight="false" outlineLevel="0" collapsed="false">
      <c r="A15820" s="0" t="n">
        <f aca="false">ODDLYIELD(DATE(2024,2,1),DATE(2025,1,15),DATE(2024,1,15),0.05,95,100,1,2)</f>
        <v>0.106656949813484</v>
      </c>
      <c r="B15820" s="0" t="s">
        <v>15666</v>
      </c>
    </row>
    <row r="15821" customFormat="false" ht="15" hidden="false" customHeight="false" outlineLevel="0" collapsed="false">
      <c r="A15821" s="0" t="n">
        <f aca="false">ODDLYIELD(DATE(2024,2,1),DATE(2025,1,15),DATE(2024,1,15),0.1,101.5,100,1,2)</f>
        <v>0.0828923983299757</v>
      </c>
      <c r="B15821" s="0" t="s">
        <v>15667</v>
      </c>
    </row>
    <row r="15822" customFormat="false" ht="15" hidden="false" customHeight="false" outlineLevel="0" collapsed="false">
      <c r="A15822" s="0" t="n">
        <f aca="false">ODDLYIELD(DATE(2024,2,1),DATE(2025,1,15),DATE(2024,1,15),0.05,100,100,1,2)</f>
        <v>0.049882222530137</v>
      </c>
      <c r="B15822" s="0" t="s">
        <v>15668</v>
      </c>
    </row>
    <row r="15823" customFormat="false" ht="15" hidden="false" customHeight="false" outlineLevel="0" collapsed="false">
      <c r="A15823" s="0" t="n">
        <f aca="false">ODDLPRICE(DATE(2024,2,1),DATE(2025,1,15),DATE(2024,1,15),0.05,0.08,100,1,3)</f>
        <v>97.3187877486302</v>
      </c>
      <c r="B15823" s="0" t="s">
        <v>15669</v>
      </c>
    </row>
    <row r="15824" customFormat="false" ht="15" hidden="false" customHeight="false" outlineLevel="0" collapsed="false">
      <c r="A15824" s="0" t="n">
        <f aca="false">ODDLPRICE(DATE(2024,2,1),DATE(2025,1,15),DATE(2024,1,15),0.1,0.03,105,1,3)</f>
        <v>111.354099026936</v>
      </c>
      <c r="B15824" s="0" t="s">
        <v>15670</v>
      </c>
    </row>
    <row r="15825" customFormat="false" ht="15" hidden="false" customHeight="false" outlineLevel="0" collapsed="false">
      <c r="A15825" s="0" t="e">
        <f aca="false">ODDLPRICE(DATE(2024,2,1),DATE(2025,1,15),DATE(2024,1,15),0,0.05,100,1,3)</f>
        <v>#VALUE!</v>
      </c>
      <c r="B15825" s="0" t="s">
        <v>15671</v>
      </c>
    </row>
    <row r="15826" customFormat="false" ht="15" hidden="false" customHeight="false" outlineLevel="0" collapsed="false">
      <c r="A15826" s="0" t="n">
        <f aca="false">ODDLYIELD(DATE(2024,2,1),DATE(2025,1,15),DATE(2024,1,15),0.05,95,100,1,3)</f>
        <v>0.107412762421649</v>
      </c>
      <c r="B15826" s="0" t="s">
        <v>15672</v>
      </c>
    </row>
    <row r="15827" customFormat="false" ht="15" hidden="false" customHeight="false" outlineLevel="0" collapsed="false">
      <c r="A15827" s="0" t="n">
        <f aca="false">ODDLYIELD(DATE(2024,2,1),DATE(2025,1,15),DATE(2024,1,15),0.1,101.5,100,1,3)</f>
        <v>0.0826869003416954</v>
      </c>
      <c r="B15827" s="0" t="s">
        <v>15673</v>
      </c>
    </row>
    <row r="15828" customFormat="false" ht="15" hidden="false" customHeight="false" outlineLevel="0" collapsed="false">
      <c r="A15828" s="0" t="n">
        <f aca="false">ODDLYIELD(DATE(2024,2,1),DATE(2025,1,15),DATE(2024,1,15),0.05,100,100,1,3)</f>
        <v>0.0498838321716551</v>
      </c>
      <c r="B15828" s="0" t="s">
        <v>15674</v>
      </c>
    </row>
    <row r="15829" customFormat="false" ht="15" hidden="false" customHeight="false" outlineLevel="0" collapsed="false">
      <c r="A15829" s="0" t="n">
        <f aca="false">ODDLPRICE(DATE(2024,2,1),DATE(2025,1,15),DATE(2024,1,15),0.05,0.08,100,1,4)</f>
        <v>97.3211303789338</v>
      </c>
      <c r="B15829" s="0" t="s">
        <v>15675</v>
      </c>
    </row>
    <row r="15830" customFormat="false" ht="15" hidden="false" customHeight="false" outlineLevel="0" collapsed="false">
      <c r="A15830" s="0" t="n">
        <f aca="false">ODDLPRICE(DATE(2024,2,1),DATE(2025,1,15),DATE(2024,1,15),0.1,0.03,105,1,4)</f>
        <v>111.35075970332</v>
      </c>
      <c r="B15830" s="0" t="s">
        <v>15676</v>
      </c>
    </row>
    <row r="15831" customFormat="false" ht="15" hidden="false" customHeight="false" outlineLevel="0" collapsed="false">
      <c r="A15831" s="0" t="e">
        <f aca="false">ODDLPRICE(DATE(2024,2,1),DATE(2025,1,15),DATE(2024,1,15),0,0.05,100,1,4)</f>
        <v>#VALUE!</v>
      </c>
      <c r="B15831" s="0" t="s">
        <v>15677</v>
      </c>
    </row>
    <row r="15832" customFormat="false" ht="15" hidden="false" customHeight="false" outlineLevel="0" collapsed="false">
      <c r="A15832" s="0" t="n">
        <f aca="false">ODDLYIELD(DATE(2024,2,1),DATE(2025,1,15),DATE(2024,1,15),0.05,95,100,1,4)</f>
        <v>0.107459770426854</v>
      </c>
      <c r="B15832" s="0" t="s">
        <v>15678</v>
      </c>
    </row>
    <row r="15833" customFormat="false" ht="15" hidden="false" customHeight="false" outlineLevel="0" collapsed="false">
      <c r="A15833" s="0" t="n">
        <f aca="false">ODDLYIELD(DATE(2024,2,1),DATE(2025,1,15),DATE(2024,1,15),0.1,101.5,100,1,4)</f>
        <v>0.0826943793169</v>
      </c>
      <c r="B15833" s="0" t="s">
        <v>15679</v>
      </c>
    </row>
    <row r="15834" customFormat="false" ht="15" hidden="false" customHeight="false" outlineLevel="0" collapsed="false">
      <c r="A15834" s="0" t="n">
        <f aca="false">ODDLYIELD(DATE(2024,2,1),DATE(2025,1,15),DATE(2024,1,15),0.05,100,100,1,4)</f>
        <v>0.0498891352549888</v>
      </c>
      <c r="B15834" s="0" t="s">
        <v>15680</v>
      </c>
    </row>
    <row r="15835" customFormat="false" ht="15" hidden="false" customHeight="false" outlineLevel="0" collapsed="false">
      <c r="A15835" s="0" t="n">
        <f aca="false">ODDLPRICE(DATE(2024,2,1),DATE(2025,1,15),DATE(2024,1,15),0.05,0.08,100,2,0)</f>
        <v>97.3211303789338</v>
      </c>
      <c r="B15835" s="0" t="s">
        <v>15681</v>
      </c>
    </row>
    <row r="15836" customFormat="false" ht="15" hidden="false" customHeight="false" outlineLevel="0" collapsed="false">
      <c r="A15836" s="0" t="n">
        <f aca="false">ODDLPRICE(DATE(2024,2,1),DATE(2025,1,15),DATE(2024,1,15),0.1,0.03,105,2,0)</f>
        <v>111.35075970332</v>
      </c>
      <c r="B15836" s="0" t="s">
        <v>15682</v>
      </c>
    </row>
    <row r="15837" customFormat="false" ht="15" hidden="false" customHeight="false" outlineLevel="0" collapsed="false">
      <c r="A15837" s="0" t="e">
        <f aca="false">ODDLPRICE(DATE(2024,2,1),DATE(2025,1,15),DATE(2024,1,15),0,0.05,100,2,0)</f>
        <v>#VALUE!</v>
      </c>
      <c r="B15837" s="0" t="s">
        <v>15683</v>
      </c>
    </row>
    <row r="15838" customFormat="false" ht="15" hidden="false" customHeight="false" outlineLevel="0" collapsed="false">
      <c r="A15838" s="0" t="n">
        <f aca="false">ODDLYIELD(DATE(2024,2,1),DATE(2025,1,15),DATE(2024,1,15),0.05,95,100,2,0)</f>
        <v>0.107459770426854</v>
      </c>
      <c r="B15838" s="0" t="s">
        <v>15684</v>
      </c>
    </row>
    <row r="15839" customFormat="false" ht="15" hidden="false" customHeight="false" outlineLevel="0" collapsed="false">
      <c r="A15839" s="0" t="n">
        <f aca="false">ODDLYIELD(DATE(2024,2,1),DATE(2025,1,15),DATE(2024,1,15),0.1,101.5,100,2,0)</f>
        <v>0.0826943793169</v>
      </c>
      <c r="B15839" s="0" t="s">
        <v>15685</v>
      </c>
    </row>
    <row r="15840" customFormat="false" ht="15" hidden="false" customHeight="false" outlineLevel="0" collapsed="false">
      <c r="A15840" s="0" t="n">
        <f aca="false">ODDLYIELD(DATE(2024,2,1),DATE(2025,1,15),DATE(2024,1,15),0.05,100,100,2,0)</f>
        <v>0.0498891352549888</v>
      </c>
      <c r="B15840" s="0" t="s">
        <v>15686</v>
      </c>
    </row>
    <row r="15841" customFormat="false" ht="15" hidden="false" customHeight="false" outlineLevel="0" collapsed="false">
      <c r="A15841" s="0" t="n">
        <f aca="false">ODDLPRICE(DATE(2024,2,1),DATE(2025,1,15),DATE(2024,1,15),0.05,0.08,100,2,1)</f>
        <v>97.3256393353842</v>
      </c>
      <c r="B15841" s="0" t="s">
        <v>15687</v>
      </c>
    </row>
    <row r="15842" customFormat="false" ht="15" hidden="false" customHeight="false" outlineLevel="0" collapsed="false">
      <c r="A15842" s="0" t="n">
        <f aca="false">ODDLPRICE(DATE(2024,2,1),DATE(2025,1,15),DATE(2024,1,15),0.1,0.03,105,2,1)</f>
        <v>111.337256315897</v>
      </c>
      <c r="B15842" s="0" t="s">
        <v>15688</v>
      </c>
    </row>
    <row r="15843" customFormat="false" ht="15" hidden="false" customHeight="false" outlineLevel="0" collapsed="false">
      <c r="A15843" s="0" t="e">
        <f aca="false">ODDLPRICE(DATE(2024,2,1),DATE(2025,1,15),DATE(2024,1,15),0,0.05,100,2,1)</f>
        <v>#VALUE!</v>
      </c>
      <c r="B15843" s="0" t="s">
        <v>15689</v>
      </c>
    </row>
    <row r="15844" customFormat="false" ht="15" hidden="false" customHeight="false" outlineLevel="0" collapsed="false">
      <c r="A15844" s="0" t="n">
        <f aca="false">ODDLYIELD(DATE(2024,2,1),DATE(2025,1,15),DATE(2024,1,15),0.05,95,100,2,1)</f>
        <v>0.10756391912627</v>
      </c>
      <c r="B15844" s="0" t="s">
        <v>15690</v>
      </c>
    </row>
    <row r="15845" customFormat="false" ht="15" hidden="false" customHeight="false" outlineLevel="0" collapsed="false">
      <c r="A15845" s="0" t="n">
        <f aca="false">ODDLYIELD(DATE(2024,2,1),DATE(2025,1,15),DATE(2024,1,15),0.1,101.5,100,2,1)</f>
        <v>0.0826457804243458</v>
      </c>
      <c r="B15845" s="0" t="s">
        <v>15691</v>
      </c>
    </row>
    <row r="15846" customFormat="false" ht="15" hidden="false" customHeight="false" outlineLevel="0" collapsed="false">
      <c r="A15846" s="0" t="n">
        <f aca="false">ODDLYIELD(DATE(2024,2,1),DATE(2025,1,15),DATE(2024,1,15),0.05,100,100,2,1)</f>
        <v>0.0498841488346737</v>
      </c>
      <c r="B15846" s="0" t="s">
        <v>15692</v>
      </c>
    </row>
    <row r="15847" customFormat="false" ht="15" hidden="false" customHeight="false" outlineLevel="0" collapsed="false">
      <c r="A15847" s="0" t="n">
        <f aca="false">ODDLPRICE(DATE(2024,2,1),DATE(2025,1,15),DATE(2024,1,15),0.05,0.08,100,2,2)</f>
        <v>97.2839961274948</v>
      </c>
      <c r="B15847" s="0" t="s">
        <v>15693</v>
      </c>
    </row>
    <row r="15848" customFormat="false" ht="15" hidden="false" customHeight="false" outlineLevel="0" collapsed="false">
      <c r="A15848" s="0" t="n">
        <f aca="false">ODDLPRICE(DATE(2024,2,1),DATE(2025,1,15),DATE(2024,1,15),0.1,0.03,105,2,2)</f>
        <v>111.439673477834</v>
      </c>
      <c r="B15848" s="0" t="s">
        <v>15694</v>
      </c>
    </row>
    <row r="15849" customFormat="false" ht="15" hidden="false" customHeight="false" outlineLevel="0" collapsed="false">
      <c r="A15849" s="0" t="e">
        <f aca="false">ODDLPRICE(DATE(2024,2,1),DATE(2025,1,15),DATE(2024,1,15),0,0.05,100,2,2)</f>
        <v>#VALUE!</v>
      </c>
      <c r="B15849" s="0" t="s">
        <v>15695</v>
      </c>
    </row>
    <row r="15850" customFormat="false" ht="15" hidden="false" customHeight="false" outlineLevel="0" collapsed="false">
      <c r="A15850" s="0" t="n">
        <f aca="false">ODDLYIELD(DATE(2024,2,1),DATE(2025,1,15),DATE(2024,1,15),0.05,95,100,2,2)</f>
        <v>0.106656949813484</v>
      </c>
      <c r="B15850" s="0" t="s">
        <v>15696</v>
      </c>
    </row>
    <row r="15851" customFormat="false" ht="15" hidden="false" customHeight="false" outlineLevel="0" collapsed="false">
      <c r="A15851" s="0" t="n">
        <f aca="false">ODDLYIELD(DATE(2024,2,1),DATE(2025,1,15),DATE(2024,1,15),0.1,101.5,100,2,2)</f>
        <v>0.0828923983299757</v>
      </c>
      <c r="B15851" s="0" t="s">
        <v>15697</v>
      </c>
    </row>
    <row r="15852" customFormat="false" ht="15" hidden="false" customHeight="false" outlineLevel="0" collapsed="false">
      <c r="A15852" s="0" t="n">
        <f aca="false">ODDLYIELD(DATE(2024,2,1),DATE(2025,1,15),DATE(2024,1,15),0.05,100,100,2,2)</f>
        <v>0.049882222530137</v>
      </c>
      <c r="B15852" s="0" t="s">
        <v>15698</v>
      </c>
    </row>
    <row r="15853" customFormat="false" ht="15" hidden="false" customHeight="false" outlineLevel="0" collapsed="false">
      <c r="A15853" s="0" t="n">
        <f aca="false">ODDLPRICE(DATE(2024,2,1),DATE(2025,1,15),DATE(2024,1,15),0.05,0.08,100,2,3)</f>
        <v>97.3187877486302</v>
      </c>
      <c r="B15853" s="0" t="s">
        <v>15699</v>
      </c>
    </row>
    <row r="15854" customFormat="false" ht="15" hidden="false" customHeight="false" outlineLevel="0" collapsed="false">
      <c r="A15854" s="0" t="n">
        <f aca="false">ODDLPRICE(DATE(2024,2,1),DATE(2025,1,15),DATE(2024,1,15),0.1,0.03,105,2,3)</f>
        <v>111.354099026936</v>
      </c>
      <c r="B15854" s="0" t="s">
        <v>15700</v>
      </c>
    </row>
    <row r="15855" customFormat="false" ht="15" hidden="false" customHeight="false" outlineLevel="0" collapsed="false">
      <c r="A15855" s="0" t="e">
        <f aca="false">ODDLPRICE(DATE(2024,2,1),DATE(2025,1,15),DATE(2024,1,15),0,0.05,100,2,3)</f>
        <v>#VALUE!</v>
      </c>
      <c r="B15855" s="0" t="s">
        <v>15701</v>
      </c>
    </row>
    <row r="15856" customFormat="false" ht="15" hidden="false" customHeight="false" outlineLevel="0" collapsed="false">
      <c r="A15856" s="0" t="n">
        <f aca="false">ODDLYIELD(DATE(2024,2,1),DATE(2025,1,15),DATE(2024,1,15),0.05,95,100,2,3)</f>
        <v>0.107412762421649</v>
      </c>
      <c r="B15856" s="0" t="s">
        <v>15702</v>
      </c>
    </row>
    <row r="15857" customFormat="false" ht="15" hidden="false" customHeight="false" outlineLevel="0" collapsed="false">
      <c r="A15857" s="0" t="n">
        <f aca="false">ODDLYIELD(DATE(2024,2,1),DATE(2025,1,15),DATE(2024,1,15),0.1,101.5,100,2,3)</f>
        <v>0.0826869003416954</v>
      </c>
      <c r="B15857" s="0" t="s">
        <v>15703</v>
      </c>
    </row>
    <row r="15858" customFormat="false" ht="15" hidden="false" customHeight="false" outlineLevel="0" collapsed="false">
      <c r="A15858" s="0" t="n">
        <f aca="false">ODDLYIELD(DATE(2024,2,1),DATE(2025,1,15),DATE(2024,1,15),0.05,100,100,2,3)</f>
        <v>0.0498838321716551</v>
      </c>
      <c r="B15858" s="0" t="s">
        <v>15704</v>
      </c>
    </row>
    <row r="15859" customFormat="false" ht="15" hidden="false" customHeight="false" outlineLevel="0" collapsed="false">
      <c r="A15859" s="0" t="n">
        <f aca="false">ODDLPRICE(DATE(2024,2,1),DATE(2025,1,15),DATE(2024,1,15),0.05,0.08,100,2,4)</f>
        <v>97.3211303789338</v>
      </c>
      <c r="B15859" s="0" t="s">
        <v>15705</v>
      </c>
    </row>
    <row r="15860" customFormat="false" ht="15" hidden="false" customHeight="false" outlineLevel="0" collapsed="false">
      <c r="A15860" s="0" t="n">
        <f aca="false">ODDLPRICE(DATE(2024,2,1),DATE(2025,1,15),DATE(2024,1,15),0.1,0.03,105,2,4)</f>
        <v>111.35075970332</v>
      </c>
      <c r="B15860" s="0" t="s">
        <v>15706</v>
      </c>
    </row>
    <row r="15861" customFormat="false" ht="15" hidden="false" customHeight="false" outlineLevel="0" collapsed="false">
      <c r="A15861" s="0" t="e">
        <f aca="false">ODDLPRICE(DATE(2024,2,1),DATE(2025,1,15),DATE(2024,1,15),0,0.05,100,2,4)</f>
        <v>#VALUE!</v>
      </c>
      <c r="B15861" s="0" t="s">
        <v>15707</v>
      </c>
    </row>
    <row r="15862" customFormat="false" ht="15" hidden="false" customHeight="false" outlineLevel="0" collapsed="false">
      <c r="A15862" s="0" t="n">
        <f aca="false">ODDLYIELD(DATE(2024,2,1),DATE(2025,1,15),DATE(2024,1,15),0.05,95,100,2,4)</f>
        <v>0.107459770426854</v>
      </c>
      <c r="B15862" s="0" t="s">
        <v>15708</v>
      </c>
    </row>
    <row r="15863" customFormat="false" ht="15" hidden="false" customHeight="false" outlineLevel="0" collapsed="false">
      <c r="A15863" s="0" t="n">
        <f aca="false">ODDLYIELD(DATE(2024,2,1),DATE(2025,1,15),DATE(2024,1,15),0.1,101.5,100,2,4)</f>
        <v>0.0826943793169</v>
      </c>
      <c r="B15863" s="0" t="s">
        <v>15709</v>
      </c>
    </row>
    <row r="15864" customFormat="false" ht="15" hidden="false" customHeight="false" outlineLevel="0" collapsed="false">
      <c r="A15864" s="0" t="n">
        <f aca="false">ODDLYIELD(DATE(2024,2,1),DATE(2025,1,15),DATE(2024,1,15),0.05,100,100,2,4)</f>
        <v>0.0498891352549888</v>
      </c>
      <c r="B15864" s="0" t="s">
        <v>15710</v>
      </c>
    </row>
    <row r="15865" customFormat="false" ht="15" hidden="false" customHeight="false" outlineLevel="0" collapsed="false">
      <c r="A15865" s="0" t="n">
        <f aca="false">ODDLPRICE(DATE(2024,2,1),DATE(2025,1,15),DATE(2024,1,15),0.05,0.08,100,4,0)</f>
        <v>97.3211303789338</v>
      </c>
      <c r="B15865" s="0" t="s">
        <v>15711</v>
      </c>
    </row>
    <row r="15866" customFormat="false" ht="15" hidden="false" customHeight="false" outlineLevel="0" collapsed="false">
      <c r="A15866" s="0" t="n">
        <f aca="false">ODDLPRICE(DATE(2024,2,1),DATE(2025,1,15),DATE(2024,1,15),0.1,0.03,105,4,0)</f>
        <v>111.35075970332</v>
      </c>
      <c r="B15866" s="0" t="s">
        <v>15712</v>
      </c>
    </row>
    <row r="15867" customFormat="false" ht="15" hidden="false" customHeight="false" outlineLevel="0" collapsed="false">
      <c r="A15867" s="0" t="e">
        <f aca="false">ODDLPRICE(DATE(2024,2,1),DATE(2025,1,15),DATE(2024,1,15),0,0.05,100,4,0)</f>
        <v>#VALUE!</v>
      </c>
      <c r="B15867" s="0" t="s">
        <v>15713</v>
      </c>
    </row>
    <row r="15868" customFormat="false" ht="15" hidden="false" customHeight="false" outlineLevel="0" collapsed="false">
      <c r="A15868" s="0" t="n">
        <f aca="false">ODDLYIELD(DATE(2024,2,1),DATE(2025,1,15),DATE(2024,1,15),0.05,95,100,4,0)</f>
        <v>0.107459770426854</v>
      </c>
      <c r="B15868" s="0" t="s">
        <v>15714</v>
      </c>
    </row>
    <row r="15869" customFormat="false" ht="15" hidden="false" customHeight="false" outlineLevel="0" collapsed="false">
      <c r="A15869" s="0" t="n">
        <f aca="false">ODDLYIELD(DATE(2024,2,1),DATE(2025,1,15),DATE(2024,1,15),0.1,101.5,100,4,0)</f>
        <v>0.0826943793169</v>
      </c>
      <c r="B15869" s="0" t="s">
        <v>15715</v>
      </c>
    </row>
    <row r="15870" customFormat="false" ht="15" hidden="false" customHeight="false" outlineLevel="0" collapsed="false">
      <c r="A15870" s="0" t="n">
        <f aca="false">ODDLYIELD(DATE(2024,2,1),DATE(2025,1,15),DATE(2024,1,15),0.05,100,100,4,0)</f>
        <v>0.0498891352549888</v>
      </c>
      <c r="B15870" s="0" t="s">
        <v>15716</v>
      </c>
    </row>
    <row r="15871" customFormat="false" ht="15" hidden="false" customHeight="false" outlineLevel="0" collapsed="false">
      <c r="A15871" s="0" t="n">
        <f aca="false">ODDLPRICE(DATE(2024,2,1),DATE(2025,1,15),DATE(2024,1,15),0.05,0.08,100,4,1)</f>
        <v>97.3256393353842</v>
      </c>
      <c r="B15871" s="0" t="s">
        <v>15717</v>
      </c>
    </row>
    <row r="15872" customFormat="false" ht="15" hidden="false" customHeight="false" outlineLevel="0" collapsed="false">
      <c r="A15872" s="0" t="n">
        <f aca="false">ODDLPRICE(DATE(2024,2,1),DATE(2025,1,15),DATE(2024,1,15),0.1,0.03,105,4,1)</f>
        <v>111.337256315897</v>
      </c>
      <c r="B15872" s="0" t="s">
        <v>15718</v>
      </c>
    </row>
    <row r="15873" customFormat="false" ht="15" hidden="false" customHeight="false" outlineLevel="0" collapsed="false">
      <c r="A15873" s="0" t="e">
        <f aca="false">ODDLPRICE(DATE(2024,2,1),DATE(2025,1,15),DATE(2024,1,15),0,0.05,100,4,1)</f>
        <v>#VALUE!</v>
      </c>
      <c r="B15873" s="0" t="s">
        <v>15719</v>
      </c>
    </row>
    <row r="15874" customFormat="false" ht="15" hidden="false" customHeight="false" outlineLevel="0" collapsed="false">
      <c r="A15874" s="0" t="n">
        <f aca="false">ODDLYIELD(DATE(2024,2,1),DATE(2025,1,15),DATE(2024,1,15),0.05,95,100,4,1)</f>
        <v>0.10756391912627</v>
      </c>
      <c r="B15874" s="0" t="s">
        <v>15720</v>
      </c>
    </row>
    <row r="15875" customFormat="false" ht="15" hidden="false" customHeight="false" outlineLevel="0" collapsed="false">
      <c r="A15875" s="0" t="n">
        <f aca="false">ODDLYIELD(DATE(2024,2,1),DATE(2025,1,15),DATE(2024,1,15),0.1,101.5,100,4,1)</f>
        <v>0.0826457804243458</v>
      </c>
      <c r="B15875" s="0" t="s">
        <v>15721</v>
      </c>
    </row>
    <row r="15876" customFormat="false" ht="15" hidden="false" customHeight="false" outlineLevel="0" collapsed="false">
      <c r="A15876" s="0" t="n">
        <f aca="false">ODDLYIELD(DATE(2024,2,1),DATE(2025,1,15),DATE(2024,1,15),0.05,100,100,4,1)</f>
        <v>0.0498841488346737</v>
      </c>
      <c r="B15876" s="0" t="s">
        <v>15722</v>
      </c>
    </row>
    <row r="15877" customFormat="false" ht="15" hidden="false" customHeight="false" outlineLevel="0" collapsed="false">
      <c r="A15877" s="0" t="n">
        <f aca="false">ODDLPRICE(DATE(2024,2,1),DATE(2025,1,15),DATE(2024,1,15),0.05,0.08,100,4,2)</f>
        <v>97.2839961274948</v>
      </c>
      <c r="B15877" s="0" t="s">
        <v>15723</v>
      </c>
    </row>
    <row r="15878" customFormat="false" ht="15" hidden="false" customHeight="false" outlineLevel="0" collapsed="false">
      <c r="A15878" s="0" t="n">
        <f aca="false">ODDLPRICE(DATE(2024,2,1),DATE(2025,1,15),DATE(2024,1,15),0.1,0.03,105,4,2)</f>
        <v>111.439673477834</v>
      </c>
      <c r="B15878" s="0" t="s">
        <v>15724</v>
      </c>
    </row>
    <row r="15879" customFormat="false" ht="15" hidden="false" customHeight="false" outlineLevel="0" collapsed="false">
      <c r="A15879" s="0" t="e">
        <f aca="false">ODDLPRICE(DATE(2024,2,1),DATE(2025,1,15),DATE(2024,1,15),0,0.05,100,4,2)</f>
        <v>#VALUE!</v>
      </c>
      <c r="B15879" s="0" t="s">
        <v>15725</v>
      </c>
    </row>
    <row r="15880" customFormat="false" ht="15" hidden="false" customHeight="false" outlineLevel="0" collapsed="false">
      <c r="A15880" s="0" t="n">
        <f aca="false">ODDLYIELD(DATE(2024,2,1),DATE(2025,1,15),DATE(2024,1,15),0.05,95,100,4,2)</f>
        <v>0.106656949813484</v>
      </c>
      <c r="B15880" s="0" t="s">
        <v>15726</v>
      </c>
    </row>
    <row r="15881" customFormat="false" ht="15" hidden="false" customHeight="false" outlineLevel="0" collapsed="false">
      <c r="A15881" s="0" t="n">
        <f aca="false">ODDLYIELD(DATE(2024,2,1),DATE(2025,1,15),DATE(2024,1,15),0.1,101.5,100,4,2)</f>
        <v>0.0828923983299757</v>
      </c>
      <c r="B15881" s="0" t="s">
        <v>15727</v>
      </c>
    </row>
    <row r="15882" customFormat="false" ht="15" hidden="false" customHeight="false" outlineLevel="0" collapsed="false">
      <c r="A15882" s="0" t="n">
        <f aca="false">ODDLYIELD(DATE(2024,2,1),DATE(2025,1,15),DATE(2024,1,15),0.05,100,100,4,2)</f>
        <v>0.049882222530137</v>
      </c>
      <c r="B15882" s="0" t="s">
        <v>15728</v>
      </c>
    </row>
    <row r="15883" customFormat="false" ht="15" hidden="false" customHeight="false" outlineLevel="0" collapsed="false">
      <c r="A15883" s="0" t="n">
        <f aca="false">ODDLPRICE(DATE(2024,2,1),DATE(2025,1,15),DATE(2024,1,15),0.05,0.08,100,4,3)</f>
        <v>97.3187877486302</v>
      </c>
      <c r="B15883" s="0" t="s">
        <v>15729</v>
      </c>
    </row>
    <row r="15884" customFormat="false" ht="15" hidden="false" customHeight="false" outlineLevel="0" collapsed="false">
      <c r="A15884" s="0" t="n">
        <f aca="false">ODDLPRICE(DATE(2024,2,1),DATE(2025,1,15),DATE(2024,1,15),0.1,0.03,105,4,3)</f>
        <v>111.354099026936</v>
      </c>
      <c r="B15884" s="0" t="s">
        <v>15730</v>
      </c>
    </row>
    <row r="15885" customFormat="false" ht="15" hidden="false" customHeight="false" outlineLevel="0" collapsed="false">
      <c r="A15885" s="0" t="e">
        <f aca="false">ODDLPRICE(DATE(2024,2,1),DATE(2025,1,15),DATE(2024,1,15),0,0.05,100,4,3)</f>
        <v>#VALUE!</v>
      </c>
      <c r="B15885" s="0" t="s">
        <v>15731</v>
      </c>
    </row>
    <row r="15886" customFormat="false" ht="15" hidden="false" customHeight="false" outlineLevel="0" collapsed="false">
      <c r="A15886" s="0" t="n">
        <f aca="false">ODDLYIELD(DATE(2024,2,1),DATE(2025,1,15),DATE(2024,1,15),0.05,95,100,4,3)</f>
        <v>0.107412762421649</v>
      </c>
      <c r="B15886" s="0" t="s">
        <v>15732</v>
      </c>
    </row>
    <row r="15887" customFormat="false" ht="15" hidden="false" customHeight="false" outlineLevel="0" collapsed="false">
      <c r="A15887" s="0" t="n">
        <f aca="false">ODDLYIELD(DATE(2024,2,1),DATE(2025,1,15),DATE(2024,1,15),0.1,101.5,100,4,3)</f>
        <v>0.0826869003416954</v>
      </c>
      <c r="B15887" s="0" t="s">
        <v>15733</v>
      </c>
    </row>
    <row r="15888" customFormat="false" ht="15" hidden="false" customHeight="false" outlineLevel="0" collapsed="false">
      <c r="A15888" s="0" t="n">
        <f aca="false">ODDLYIELD(DATE(2024,2,1),DATE(2025,1,15),DATE(2024,1,15),0.05,100,100,4,3)</f>
        <v>0.0498838321716551</v>
      </c>
      <c r="B15888" s="0" t="s">
        <v>15734</v>
      </c>
    </row>
    <row r="15889" customFormat="false" ht="15" hidden="false" customHeight="false" outlineLevel="0" collapsed="false">
      <c r="A15889" s="0" t="n">
        <f aca="false">ODDLPRICE(DATE(2024,2,1),DATE(2025,1,15),DATE(2024,1,15),0.05,0.08,100,4,4)</f>
        <v>97.3211303789338</v>
      </c>
      <c r="B15889" s="0" t="s">
        <v>15735</v>
      </c>
    </row>
    <row r="15890" customFormat="false" ht="15" hidden="false" customHeight="false" outlineLevel="0" collapsed="false">
      <c r="A15890" s="0" t="n">
        <f aca="false">ODDLPRICE(DATE(2024,2,1),DATE(2025,1,15),DATE(2024,1,15),0.1,0.03,105,4,4)</f>
        <v>111.35075970332</v>
      </c>
      <c r="B15890" s="0" t="s">
        <v>15736</v>
      </c>
    </row>
    <row r="15891" customFormat="false" ht="15" hidden="false" customHeight="false" outlineLevel="0" collapsed="false">
      <c r="A15891" s="0" t="e">
        <f aca="false">ODDLPRICE(DATE(2024,2,1),DATE(2025,1,15),DATE(2024,1,15),0,0.05,100,4,4)</f>
        <v>#VALUE!</v>
      </c>
      <c r="B15891" s="0" t="s">
        <v>15737</v>
      </c>
    </row>
    <row r="15892" customFormat="false" ht="15" hidden="false" customHeight="false" outlineLevel="0" collapsed="false">
      <c r="A15892" s="0" t="n">
        <f aca="false">ODDLYIELD(DATE(2024,2,1),DATE(2025,1,15),DATE(2024,1,15),0.05,95,100,4,4)</f>
        <v>0.107459770426854</v>
      </c>
      <c r="B15892" s="0" t="s">
        <v>15738</v>
      </c>
    </row>
    <row r="15893" customFormat="false" ht="15" hidden="false" customHeight="false" outlineLevel="0" collapsed="false">
      <c r="A15893" s="0" t="n">
        <f aca="false">ODDLYIELD(DATE(2024,2,1),DATE(2025,1,15),DATE(2024,1,15),0.1,101.5,100,4,4)</f>
        <v>0.0826943793169</v>
      </c>
      <c r="B15893" s="0" t="s">
        <v>15739</v>
      </c>
    </row>
    <row r="15894" customFormat="false" ht="15" hidden="false" customHeight="false" outlineLevel="0" collapsed="false">
      <c r="A15894" s="0" t="n">
        <f aca="false">ODDLYIELD(DATE(2024,2,1),DATE(2025,1,15),DATE(2024,1,15),0.05,100,100,4,4)</f>
        <v>0.0498891352549888</v>
      </c>
      <c r="B15894" s="0" t="s">
        <v>15740</v>
      </c>
    </row>
    <row r="15895" customFormat="false" ht="15" hidden="false" customHeight="false" outlineLevel="0" collapsed="false">
      <c r="A15895" s="0" t="n">
        <f aca="false">ODDLPRICE(DATE(2024,3,15),DATE(2024,11,1),DATE(2024,1,15),0.05,0.08,100,1,0)</f>
        <v>98.1668782620962</v>
      </c>
      <c r="B15895" s="0" t="s">
        <v>15741</v>
      </c>
    </row>
    <row r="15896" customFormat="false" ht="15" hidden="false" customHeight="false" outlineLevel="0" collapsed="false">
      <c r="A15896" s="0" t="n">
        <f aca="false">ODDLPRICE(DATE(2024,3,15),DATE(2024,11,1),DATE(2024,1,15),0.1,0.03,105,1,0)</f>
        <v>109.189977643274</v>
      </c>
      <c r="B15896" s="0" t="s">
        <v>15742</v>
      </c>
    </row>
    <row r="15897" customFormat="false" ht="15" hidden="false" customHeight="false" outlineLevel="0" collapsed="false">
      <c r="A15897" s="0" t="e">
        <f aca="false">ODDLPRICE(DATE(2024,3,15),DATE(2024,11,1),DATE(2024,1,15),0,0.05,100,1,0)</f>
        <v>#VALUE!</v>
      </c>
      <c r="B15897" s="0" t="s">
        <v>15743</v>
      </c>
    </row>
    <row r="15898" customFormat="false" ht="15" hidden="false" customHeight="false" outlineLevel="0" collapsed="false">
      <c r="A15898" s="0" t="n">
        <f aca="false">ODDLYIELD(DATE(2024,3,15),DATE(2024,11,1),DATE(2024,1,15),0.05,95,100,1,0)</f>
        <v>0.135282801077338</v>
      </c>
      <c r="B15898" s="0" t="s">
        <v>15744</v>
      </c>
    </row>
    <row r="15899" customFormat="false" ht="15" hidden="false" customHeight="false" outlineLevel="0" collapsed="false">
      <c r="A15899" s="0" t="n">
        <f aca="false">ODDLYIELD(DATE(2024,3,15),DATE(2024,11,1),DATE(2024,1,15),0.1,101.5,100,1,0)</f>
        <v>0.0737701402490457</v>
      </c>
      <c r="B15899" s="0" t="s">
        <v>15745</v>
      </c>
    </row>
    <row r="15900" customFormat="false" ht="15" hidden="false" customHeight="false" outlineLevel="0" collapsed="false">
      <c r="A15900" s="0" t="n">
        <f aca="false">ODDLYIELD(DATE(2024,3,15),DATE(2024,11,1),DATE(2024,1,15),0.05,100,100,1,0)</f>
        <v>0.0495867768595044</v>
      </c>
      <c r="B15900" s="0" t="s">
        <v>15746</v>
      </c>
    </row>
    <row r="15901" customFormat="false" ht="15" hidden="false" customHeight="false" outlineLevel="0" collapsed="false">
      <c r="A15901" s="0" t="n">
        <f aca="false">ODDLPRICE(DATE(2024,3,15),DATE(2024,11,1),DATE(2024,1,15),0.05,0.08,100,1,1)</f>
        <v>98.1581680686028</v>
      </c>
      <c r="B15901" s="0" t="s">
        <v>15747</v>
      </c>
    </row>
    <row r="15902" customFormat="false" ht="15" hidden="false" customHeight="false" outlineLevel="0" collapsed="false">
      <c r="A15902" s="0" t="n">
        <f aca="false">ODDLPRICE(DATE(2024,3,15),DATE(2024,11,1),DATE(2024,1,15),0.1,0.03,105,1,1)</f>
        <v>109.212558239515</v>
      </c>
      <c r="B15902" s="0" t="s">
        <v>15748</v>
      </c>
    </row>
    <row r="15903" customFormat="false" ht="15" hidden="false" customHeight="false" outlineLevel="0" collapsed="false">
      <c r="A15903" s="0" t="e">
        <f aca="false">ODDLPRICE(DATE(2024,3,15),DATE(2024,11,1),DATE(2024,1,15),0,0.05,100,1,1)</f>
        <v>#VALUE!</v>
      </c>
      <c r="B15903" s="0" t="s">
        <v>15749</v>
      </c>
    </row>
    <row r="15904" customFormat="false" ht="15" hidden="false" customHeight="false" outlineLevel="0" collapsed="false">
      <c r="A15904" s="0" t="n">
        <f aca="false">ODDLYIELD(DATE(2024,3,15),DATE(2024,11,1),DATE(2024,1,15),0.05,95,100,1,1)</f>
        <v>0.134858298245809</v>
      </c>
      <c r="B15904" s="0" t="s">
        <v>15750</v>
      </c>
    </row>
    <row r="15905" customFormat="false" ht="15" hidden="false" customHeight="false" outlineLevel="0" collapsed="false">
      <c r="A15905" s="0" t="n">
        <f aca="false">ODDLYIELD(DATE(2024,3,15),DATE(2024,11,1),DATE(2024,1,15),0.1,101.5,100,1,1)</f>
        <v>0.0739133710603152</v>
      </c>
      <c r="B15905" s="0" t="s">
        <v>15751</v>
      </c>
    </row>
    <row r="15906" customFormat="false" ht="15" hidden="false" customHeight="false" outlineLevel="0" collapsed="false">
      <c r="A15906" s="0" t="n">
        <f aca="false">ODDLYIELD(DATE(2024,3,15),DATE(2024,11,1),DATE(2024,1,15),0.05,100,100,1,1)</f>
        <v>0.0495934959349593</v>
      </c>
      <c r="B15906" s="0" t="s">
        <v>15752</v>
      </c>
    </row>
    <row r="15907" customFormat="false" ht="15" hidden="false" customHeight="false" outlineLevel="0" collapsed="false">
      <c r="A15907" s="0" t="n">
        <f aca="false">ODDLPRICE(DATE(2024,3,15),DATE(2024,11,1),DATE(2024,1,15),0.05,0.08,100,1,2)</f>
        <v>98.1283026844219</v>
      </c>
      <c r="B15907" s="0" t="s">
        <v>15753</v>
      </c>
    </row>
    <row r="15908" customFormat="false" ht="15" hidden="false" customHeight="false" outlineLevel="0" collapsed="false">
      <c r="A15908" s="0" t="n">
        <f aca="false">ODDLPRICE(DATE(2024,3,15),DATE(2024,11,1),DATE(2024,1,15),0.1,0.03,105,1,2)</f>
        <v>109.280925517129</v>
      </c>
      <c r="B15908" s="0" t="s">
        <v>15754</v>
      </c>
    </row>
    <row r="15909" customFormat="false" ht="15" hidden="false" customHeight="false" outlineLevel="0" collapsed="false">
      <c r="A15909" s="0" t="e">
        <f aca="false">ODDLPRICE(DATE(2024,3,15),DATE(2024,11,1),DATE(2024,1,15),0,0.05,100,1,2)</f>
        <v>#VALUE!</v>
      </c>
      <c r="B15909" s="0" t="s">
        <v>15755</v>
      </c>
    </row>
    <row r="15910" customFormat="false" ht="15" hidden="false" customHeight="false" outlineLevel="0" collapsed="false">
      <c r="A15910" s="0" t="n">
        <f aca="false">ODDLYIELD(DATE(2024,3,15),DATE(2024,11,1),DATE(2024,1,15),0.05,95,100,1,2)</f>
        <v>0.133483907396951</v>
      </c>
      <c r="B15910" s="0" t="s">
        <v>15756</v>
      </c>
    </row>
    <row r="15911" customFormat="false" ht="15" hidden="false" customHeight="false" outlineLevel="0" collapsed="false">
      <c r="A15911" s="0" t="n">
        <f aca="false">ODDLYIELD(DATE(2024,3,15),DATE(2024,11,1),DATE(2024,1,15),0.1,101.5,100,1,2)</f>
        <v>0.0742714474539998</v>
      </c>
      <c r="B15911" s="0" t="s">
        <v>15757</v>
      </c>
    </row>
    <row r="15912" customFormat="false" ht="15" hidden="false" customHeight="false" outlineLevel="0" collapsed="false">
      <c r="A15912" s="0" t="n">
        <f aca="false">ODDLYIELD(DATE(2024,3,15),DATE(2024,11,1),DATE(2024,1,15),0.05,100,100,1,2)</f>
        <v>0.0495867768595044</v>
      </c>
      <c r="B15912" s="0" t="s">
        <v>15758</v>
      </c>
    </row>
    <row r="15913" customFormat="false" ht="15" hidden="false" customHeight="false" outlineLevel="0" collapsed="false">
      <c r="A15913" s="0" t="n">
        <f aca="false">ODDLPRICE(DATE(2024,3,15),DATE(2024,11,1),DATE(2024,1,15),0.05,0.08,100,1,3)</f>
        <v>98.1532569075418</v>
      </c>
      <c r="B15913" s="0" t="s">
        <v>15759</v>
      </c>
    </row>
    <row r="15914" customFormat="false" ht="15" hidden="false" customHeight="false" outlineLevel="0" collapsed="false">
      <c r="A15914" s="0" t="n">
        <f aca="false">ODDLPRICE(DATE(2024,3,15),DATE(2024,11,1),DATE(2024,1,15),0.1,0.03,105,1,3)</f>
        <v>109.223800766752</v>
      </c>
      <c r="B15914" s="0" t="s">
        <v>15760</v>
      </c>
    </row>
    <row r="15915" customFormat="false" ht="15" hidden="false" customHeight="false" outlineLevel="0" collapsed="false">
      <c r="A15915" s="0" t="e">
        <f aca="false">ODDLPRICE(DATE(2024,3,15),DATE(2024,11,1),DATE(2024,1,15),0,0.05,100,1,3)</f>
        <v>#VALUE!</v>
      </c>
      <c r="B15915" s="0" t="s">
        <v>15761</v>
      </c>
    </row>
    <row r="15916" customFormat="false" ht="15" hidden="false" customHeight="false" outlineLevel="0" collapsed="false">
      <c r="A15916" s="0" t="n">
        <f aca="false">ODDLYIELD(DATE(2024,3,15),DATE(2024,11,1),DATE(2024,1,15),0.05,95,100,1,3)</f>
        <v>0.134629249711451</v>
      </c>
      <c r="B15916" s="0" t="s">
        <v>15762</v>
      </c>
    </row>
    <row r="15917" customFormat="false" ht="15" hidden="false" customHeight="false" outlineLevel="0" collapsed="false">
      <c r="A15917" s="0" t="n">
        <f aca="false">ODDLYIELD(DATE(2024,3,15),DATE(2024,11,1),DATE(2024,1,15),0.1,101.5,100,1,3)</f>
        <v>0.0739731083711427</v>
      </c>
      <c r="B15917" s="0" t="s">
        <v>15763</v>
      </c>
    </row>
    <row r="15918" customFormat="false" ht="15" hidden="false" customHeight="false" outlineLevel="0" collapsed="false">
      <c r="A15918" s="0" t="n">
        <f aca="false">ODDLYIELD(DATE(2024,3,15),DATE(2024,11,1),DATE(2024,1,15),0.05,100,100,1,3)</f>
        <v>0.0495923913043478</v>
      </c>
      <c r="B15918" s="0" t="s">
        <v>15764</v>
      </c>
    </row>
    <row r="15919" customFormat="false" ht="15" hidden="false" customHeight="false" outlineLevel="0" collapsed="false">
      <c r="A15919" s="0" t="n">
        <f aca="false">ODDLPRICE(DATE(2024,3,15),DATE(2024,11,1),DATE(2024,1,15),0.05,0.08,100,1,4)</f>
        <v>98.1668782620962</v>
      </c>
      <c r="B15919" s="0" t="s">
        <v>15765</v>
      </c>
    </row>
    <row r="15920" customFormat="false" ht="15" hidden="false" customHeight="false" outlineLevel="0" collapsed="false">
      <c r="A15920" s="0" t="n">
        <f aca="false">ODDLPRICE(DATE(2024,3,15),DATE(2024,11,1),DATE(2024,1,15),0.1,0.03,105,1,4)</f>
        <v>109.189977643274</v>
      </c>
      <c r="B15920" s="0" t="s">
        <v>15766</v>
      </c>
    </row>
    <row r="15921" customFormat="false" ht="15" hidden="false" customHeight="false" outlineLevel="0" collapsed="false">
      <c r="A15921" s="0" t="e">
        <f aca="false">ODDLPRICE(DATE(2024,3,15),DATE(2024,11,1),DATE(2024,1,15),0,0.05,100,1,4)</f>
        <v>#VALUE!</v>
      </c>
      <c r="B15921" s="0" t="s">
        <v>15767</v>
      </c>
    </row>
    <row r="15922" customFormat="false" ht="15" hidden="false" customHeight="false" outlineLevel="0" collapsed="false">
      <c r="A15922" s="0" t="n">
        <f aca="false">ODDLYIELD(DATE(2024,3,15),DATE(2024,11,1),DATE(2024,1,15),0.05,95,100,1,4)</f>
        <v>0.135282801077338</v>
      </c>
      <c r="B15922" s="0" t="s">
        <v>15768</v>
      </c>
    </row>
    <row r="15923" customFormat="false" ht="15" hidden="false" customHeight="false" outlineLevel="0" collapsed="false">
      <c r="A15923" s="0" t="n">
        <f aca="false">ODDLYIELD(DATE(2024,3,15),DATE(2024,11,1),DATE(2024,1,15),0.1,101.5,100,1,4)</f>
        <v>0.0737701402490457</v>
      </c>
      <c r="B15923" s="0" t="s">
        <v>15769</v>
      </c>
    </row>
    <row r="15924" customFormat="false" ht="15" hidden="false" customHeight="false" outlineLevel="0" collapsed="false">
      <c r="A15924" s="0" t="n">
        <f aca="false">ODDLYIELD(DATE(2024,3,15),DATE(2024,11,1),DATE(2024,1,15),0.05,100,100,1,4)</f>
        <v>0.0495867768595044</v>
      </c>
      <c r="B15924" s="0" t="s">
        <v>15770</v>
      </c>
    </row>
    <row r="15925" customFormat="false" ht="15" hidden="false" customHeight="false" outlineLevel="0" collapsed="false">
      <c r="A15925" s="0" t="n">
        <f aca="false">ODDLPRICE(DATE(2024,3,15),DATE(2024,11,1),DATE(2024,1,15),0.05,0.08,100,2,0)</f>
        <v>98.1668782620962</v>
      </c>
      <c r="B15925" s="0" t="s">
        <v>15771</v>
      </c>
    </row>
    <row r="15926" customFormat="false" ht="15" hidden="false" customHeight="false" outlineLevel="0" collapsed="false">
      <c r="A15926" s="0" t="n">
        <f aca="false">ODDLPRICE(DATE(2024,3,15),DATE(2024,11,1),DATE(2024,1,15),0.1,0.03,105,2,0)</f>
        <v>109.189977643274</v>
      </c>
      <c r="B15926" s="0" t="s">
        <v>15772</v>
      </c>
    </row>
    <row r="15927" customFormat="false" ht="15" hidden="false" customHeight="false" outlineLevel="0" collapsed="false">
      <c r="A15927" s="0" t="e">
        <f aca="false">ODDLPRICE(DATE(2024,3,15),DATE(2024,11,1),DATE(2024,1,15),0,0.05,100,2,0)</f>
        <v>#VALUE!</v>
      </c>
      <c r="B15927" s="0" t="s">
        <v>15773</v>
      </c>
    </row>
    <row r="15928" customFormat="false" ht="15" hidden="false" customHeight="false" outlineLevel="0" collapsed="false">
      <c r="A15928" s="0" t="n">
        <f aca="false">ODDLYIELD(DATE(2024,3,15),DATE(2024,11,1),DATE(2024,1,15),0.05,95,100,2,0)</f>
        <v>0.135282801077338</v>
      </c>
      <c r="B15928" s="0" t="s">
        <v>15774</v>
      </c>
    </row>
    <row r="15929" customFormat="false" ht="15" hidden="false" customHeight="false" outlineLevel="0" collapsed="false">
      <c r="A15929" s="0" t="n">
        <f aca="false">ODDLYIELD(DATE(2024,3,15),DATE(2024,11,1),DATE(2024,1,15),0.1,101.5,100,2,0)</f>
        <v>0.0737701402490457</v>
      </c>
      <c r="B15929" s="0" t="s">
        <v>15775</v>
      </c>
    </row>
    <row r="15930" customFormat="false" ht="15" hidden="false" customHeight="false" outlineLevel="0" collapsed="false">
      <c r="A15930" s="0" t="n">
        <f aca="false">ODDLYIELD(DATE(2024,3,15),DATE(2024,11,1),DATE(2024,1,15),0.05,100,100,2,0)</f>
        <v>0.0495867768595044</v>
      </c>
      <c r="B15930" s="0" t="s">
        <v>15776</v>
      </c>
    </row>
    <row r="15931" customFormat="false" ht="15" hidden="false" customHeight="false" outlineLevel="0" collapsed="false">
      <c r="A15931" s="0" t="n">
        <f aca="false">ODDLPRICE(DATE(2024,3,15),DATE(2024,11,1),DATE(2024,1,15),0.05,0.08,100,2,1)</f>
        <v>98.1581680686028</v>
      </c>
      <c r="B15931" s="0" t="s">
        <v>15777</v>
      </c>
    </row>
    <row r="15932" customFormat="false" ht="15" hidden="false" customHeight="false" outlineLevel="0" collapsed="false">
      <c r="A15932" s="0" t="n">
        <f aca="false">ODDLPRICE(DATE(2024,3,15),DATE(2024,11,1),DATE(2024,1,15),0.1,0.03,105,2,1)</f>
        <v>109.212558239515</v>
      </c>
      <c r="B15932" s="0" t="s">
        <v>15778</v>
      </c>
    </row>
    <row r="15933" customFormat="false" ht="15" hidden="false" customHeight="false" outlineLevel="0" collapsed="false">
      <c r="A15933" s="0" t="e">
        <f aca="false">ODDLPRICE(DATE(2024,3,15),DATE(2024,11,1),DATE(2024,1,15),0,0.05,100,2,1)</f>
        <v>#VALUE!</v>
      </c>
      <c r="B15933" s="0" t="s">
        <v>15779</v>
      </c>
    </row>
    <row r="15934" customFormat="false" ht="15" hidden="false" customHeight="false" outlineLevel="0" collapsed="false">
      <c r="A15934" s="0" t="n">
        <f aca="false">ODDLYIELD(DATE(2024,3,15),DATE(2024,11,1),DATE(2024,1,15),0.05,95,100,2,1)</f>
        <v>0.134858298245809</v>
      </c>
      <c r="B15934" s="0" t="s">
        <v>15780</v>
      </c>
    </row>
    <row r="15935" customFormat="false" ht="15" hidden="false" customHeight="false" outlineLevel="0" collapsed="false">
      <c r="A15935" s="0" t="n">
        <f aca="false">ODDLYIELD(DATE(2024,3,15),DATE(2024,11,1),DATE(2024,1,15),0.1,101.5,100,2,1)</f>
        <v>0.0739133710603152</v>
      </c>
      <c r="B15935" s="0" t="s">
        <v>15781</v>
      </c>
    </row>
    <row r="15936" customFormat="false" ht="15" hidden="false" customHeight="false" outlineLevel="0" collapsed="false">
      <c r="A15936" s="0" t="n">
        <f aca="false">ODDLYIELD(DATE(2024,3,15),DATE(2024,11,1),DATE(2024,1,15),0.05,100,100,2,1)</f>
        <v>0.0495934959349593</v>
      </c>
      <c r="B15936" s="0" t="s">
        <v>15782</v>
      </c>
    </row>
    <row r="15937" customFormat="false" ht="15" hidden="false" customHeight="false" outlineLevel="0" collapsed="false">
      <c r="A15937" s="0" t="n">
        <f aca="false">ODDLPRICE(DATE(2024,3,15),DATE(2024,11,1),DATE(2024,1,15),0.05,0.08,100,2,2)</f>
        <v>98.1283026844219</v>
      </c>
      <c r="B15937" s="0" t="s">
        <v>15783</v>
      </c>
    </row>
    <row r="15938" customFormat="false" ht="15" hidden="false" customHeight="false" outlineLevel="0" collapsed="false">
      <c r="A15938" s="0" t="n">
        <f aca="false">ODDLPRICE(DATE(2024,3,15),DATE(2024,11,1),DATE(2024,1,15),0.1,0.03,105,2,2)</f>
        <v>109.280925517129</v>
      </c>
      <c r="B15938" s="0" t="s">
        <v>15784</v>
      </c>
    </row>
    <row r="15939" customFormat="false" ht="15" hidden="false" customHeight="false" outlineLevel="0" collapsed="false">
      <c r="A15939" s="0" t="e">
        <f aca="false">ODDLPRICE(DATE(2024,3,15),DATE(2024,11,1),DATE(2024,1,15),0,0.05,100,2,2)</f>
        <v>#VALUE!</v>
      </c>
      <c r="B15939" s="0" t="s">
        <v>15785</v>
      </c>
    </row>
    <row r="15940" customFormat="false" ht="15" hidden="false" customHeight="false" outlineLevel="0" collapsed="false">
      <c r="A15940" s="0" t="n">
        <f aca="false">ODDLYIELD(DATE(2024,3,15),DATE(2024,11,1),DATE(2024,1,15),0.05,95,100,2,2)</f>
        <v>0.133483907396951</v>
      </c>
      <c r="B15940" s="0" t="s">
        <v>15786</v>
      </c>
    </row>
    <row r="15941" customFormat="false" ht="15" hidden="false" customHeight="false" outlineLevel="0" collapsed="false">
      <c r="A15941" s="0" t="n">
        <f aca="false">ODDLYIELD(DATE(2024,3,15),DATE(2024,11,1),DATE(2024,1,15),0.1,101.5,100,2,2)</f>
        <v>0.0742714474539998</v>
      </c>
      <c r="B15941" s="0" t="s">
        <v>15787</v>
      </c>
    </row>
    <row r="15942" customFormat="false" ht="15" hidden="false" customHeight="false" outlineLevel="0" collapsed="false">
      <c r="A15942" s="0" t="n">
        <f aca="false">ODDLYIELD(DATE(2024,3,15),DATE(2024,11,1),DATE(2024,1,15),0.05,100,100,2,2)</f>
        <v>0.0495867768595044</v>
      </c>
      <c r="B15942" s="0" t="s">
        <v>15788</v>
      </c>
    </row>
    <row r="15943" customFormat="false" ht="15" hidden="false" customHeight="false" outlineLevel="0" collapsed="false">
      <c r="A15943" s="0" t="n">
        <f aca="false">ODDLPRICE(DATE(2024,3,15),DATE(2024,11,1),DATE(2024,1,15),0.05,0.08,100,2,3)</f>
        <v>98.1532569075418</v>
      </c>
      <c r="B15943" s="0" t="s">
        <v>15789</v>
      </c>
    </row>
    <row r="15944" customFormat="false" ht="15" hidden="false" customHeight="false" outlineLevel="0" collapsed="false">
      <c r="A15944" s="0" t="n">
        <f aca="false">ODDLPRICE(DATE(2024,3,15),DATE(2024,11,1),DATE(2024,1,15),0.1,0.03,105,2,3)</f>
        <v>109.223800766752</v>
      </c>
      <c r="B15944" s="0" t="s">
        <v>15790</v>
      </c>
    </row>
    <row r="15945" customFormat="false" ht="15" hidden="false" customHeight="false" outlineLevel="0" collapsed="false">
      <c r="A15945" s="0" t="e">
        <f aca="false">ODDLPRICE(DATE(2024,3,15),DATE(2024,11,1),DATE(2024,1,15),0,0.05,100,2,3)</f>
        <v>#VALUE!</v>
      </c>
      <c r="B15945" s="0" t="s">
        <v>15791</v>
      </c>
    </row>
    <row r="15946" customFormat="false" ht="15" hidden="false" customHeight="false" outlineLevel="0" collapsed="false">
      <c r="A15946" s="0" t="n">
        <f aca="false">ODDLYIELD(DATE(2024,3,15),DATE(2024,11,1),DATE(2024,1,15),0.05,95,100,2,3)</f>
        <v>0.134629249711451</v>
      </c>
      <c r="B15946" s="0" t="s">
        <v>15792</v>
      </c>
    </row>
    <row r="15947" customFormat="false" ht="15" hidden="false" customHeight="false" outlineLevel="0" collapsed="false">
      <c r="A15947" s="0" t="n">
        <f aca="false">ODDLYIELD(DATE(2024,3,15),DATE(2024,11,1),DATE(2024,1,15),0.1,101.5,100,2,3)</f>
        <v>0.0739731083711427</v>
      </c>
      <c r="B15947" s="0" t="s">
        <v>15793</v>
      </c>
    </row>
    <row r="15948" customFormat="false" ht="15" hidden="false" customHeight="false" outlineLevel="0" collapsed="false">
      <c r="A15948" s="0" t="n">
        <f aca="false">ODDLYIELD(DATE(2024,3,15),DATE(2024,11,1),DATE(2024,1,15),0.05,100,100,2,3)</f>
        <v>0.0495923913043478</v>
      </c>
      <c r="B15948" s="0" t="s">
        <v>15794</v>
      </c>
    </row>
    <row r="15949" customFormat="false" ht="15" hidden="false" customHeight="false" outlineLevel="0" collapsed="false">
      <c r="A15949" s="0" t="n">
        <f aca="false">ODDLPRICE(DATE(2024,3,15),DATE(2024,11,1),DATE(2024,1,15),0.05,0.08,100,2,4)</f>
        <v>98.1668782620962</v>
      </c>
      <c r="B15949" s="0" t="s">
        <v>15795</v>
      </c>
    </row>
    <row r="15950" customFormat="false" ht="15" hidden="false" customHeight="false" outlineLevel="0" collapsed="false">
      <c r="A15950" s="0" t="n">
        <f aca="false">ODDLPRICE(DATE(2024,3,15),DATE(2024,11,1),DATE(2024,1,15),0.1,0.03,105,2,4)</f>
        <v>109.189977643274</v>
      </c>
      <c r="B15950" s="0" t="s">
        <v>15796</v>
      </c>
    </row>
    <row r="15951" customFormat="false" ht="15" hidden="false" customHeight="false" outlineLevel="0" collapsed="false">
      <c r="A15951" s="0" t="e">
        <f aca="false">ODDLPRICE(DATE(2024,3,15),DATE(2024,11,1),DATE(2024,1,15),0,0.05,100,2,4)</f>
        <v>#VALUE!</v>
      </c>
      <c r="B15951" s="0" t="s">
        <v>15797</v>
      </c>
    </row>
    <row r="15952" customFormat="false" ht="15" hidden="false" customHeight="false" outlineLevel="0" collapsed="false">
      <c r="A15952" s="0" t="n">
        <f aca="false">ODDLYIELD(DATE(2024,3,15),DATE(2024,11,1),DATE(2024,1,15),0.05,95,100,2,4)</f>
        <v>0.135282801077338</v>
      </c>
      <c r="B15952" s="0" t="s">
        <v>15798</v>
      </c>
    </row>
    <row r="15953" customFormat="false" ht="15" hidden="false" customHeight="false" outlineLevel="0" collapsed="false">
      <c r="A15953" s="0" t="n">
        <f aca="false">ODDLYIELD(DATE(2024,3,15),DATE(2024,11,1),DATE(2024,1,15),0.1,101.5,100,2,4)</f>
        <v>0.0737701402490457</v>
      </c>
      <c r="B15953" s="0" t="s">
        <v>15799</v>
      </c>
    </row>
    <row r="15954" customFormat="false" ht="15" hidden="false" customHeight="false" outlineLevel="0" collapsed="false">
      <c r="A15954" s="0" t="n">
        <f aca="false">ODDLYIELD(DATE(2024,3,15),DATE(2024,11,1),DATE(2024,1,15),0.05,100,100,2,4)</f>
        <v>0.0495867768595044</v>
      </c>
      <c r="B15954" s="0" t="s">
        <v>15800</v>
      </c>
    </row>
    <row r="15955" customFormat="false" ht="15" hidden="false" customHeight="false" outlineLevel="0" collapsed="false">
      <c r="A15955" s="0" t="n">
        <f aca="false">ODDLPRICE(DATE(2024,3,15),DATE(2024,11,1),DATE(2024,1,15),0.05,0.08,100,4,0)</f>
        <v>98.1668782620962</v>
      </c>
      <c r="B15955" s="0" t="s">
        <v>15801</v>
      </c>
    </row>
    <row r="15956" customFormat="false" ht="15" hidden="false" customHeight="false" outlineLevel="0" collapsed="false">
      <c r="A15956" s="0" t="n">
        <f aca="false">ODDLPRICE(DATE(2024,3,15),DATE(2024,11,1),DATE(2024,1,15),0.1,0.03,105,4,0)</f>
        <v>109.189977643274</v>
      </c>
      <c r="B15956" s="0" t="s">
        <v>15802</v>
      </c>
    </row>
    <row r="15957" customFormat="false" ht="15" hidden="false" customHeight="false" outlineLevel="0" collapsed="false">
      <c r="A15957" s="0" t="e">
        <f aca="false">ODDLPRICE(DATE(2024,3,15),DATE(2024,11,1),DATE(2024,1,15),0,0.05,100,4,0)</f>
        <v>#VALUE!</v>
      </c>
      <c r="B15957" s="0" t="s">
        <v>15803</v>
      </c>
    </row>
    <row r="15958" customFormat="false" ht="15" hidden="false" customHeight="false" outlineLevel="0" collapsed="false">
      <c r="A15958" s="0" t="n">
        <f aca="false">ODDLYIELD(DATE(2024,3,15),DATE(2024,11,1),DATE(2024,1,15),0.05,95,100,4,0)</f>
        <v>0.135282801077338</v>
      </c>
      <c r="B15958" s="0" t="s">
        <v>15804</v>
      </c>
    </row>
    <row r="15959" customFormat="false" ht="15" hidden="false" customHeight="false" outlineLevel="0" collapsed="false">
      <c r="A15959" s="0" t="n">
        <f aca="false">ODDLYIELD(DATE(2024,3,15),DATE(2024,11,1),DATE(2024,1,15),0.1,101.5,100,4,0)</f>
        <v>0.0737701402490457</v>
      </c>
      <c r="B15959" s="0" t="s">
        <v>15805</v>
      </c>
    </row>
    <row r="15960" customFormat="false" ht="15" hidden="false" customHeight="false" outlineLevel="0" collapsed="false">
      <c r="A15960" s="0" t="n">
        <f aca="false">ODDLYIELD(DATE(2024,3,15),DATE(2024,11,1),DATE(2024,1,15),0.05,100,100,4,0)</f>
        <v>0.0495867768595044</v>
      </c>
      <c r="B15960" s="0" t="s">
        <v>15806</v>
      </c>
    </row>
    <row r="15961" customFormat="false" ht="15" hidden="false" customHeight="false" outlineLevel="0" collapsed="false">
      <c r="A15961" s="0" t="n">
        <f aca="false">ODDLPRICE(DATE(2024,3,15),DATE(2024,11,1),DATE(2024,1,15),0.05,0.08,100,4,1)</f>
        <v>98.1581680686028</v>
      </c>
      <c r="B15961" s="0" t="s">
        <v>15807</v>
      </c>
    </row>
    <row r="15962" customFormat="false" ht="15" hidden="false" customHeight="false" outlineLevel="0" collapsed="false">
      <c r="A15962" s="0" t="n">
        <f aca="false">ODDLPRICE(DATE(2024,3,15),DATE(2024,11,1),DATE(2024,1,15),0.1,0.03,105,4,1)</f>
        <v>109.212558239515</v>
      </c>
      <c r="B15962" s="0" t="s">
        <v>15808</v>
      </c>
    </row>
    <row r="15963" customFormat="false" ht="15" hidden="false" customHeight="false" outlineLevel="0" collapsed="false">
      <c r="A15963" s="0" t="e">
        <f aca="false">ODDLPRICE(DATE(2024,3,15),DATE(2024,11,1),DATE(2024,1,15),0,0.05,100,4,1)</f>
        <v>#VALUE!</v>
      </c>
      <c r="B15963" s="0" t="s">
        <v>15809</v>
      </c>
    </row>
    <row r="15964" customFormat="false" ht="15" hidden="false" customHeight="false" outlineLevel="0" collapsed="false">
      <c r="A15964" s="0" t="n">
        <f aca="false">ODDLYIELD(DATE(2024,3,15),DATE(2024,11,1),DATE(2024,1,15),0.05,95,100,4,1)</f>
        <v>0.134858298245809</v>
      </c>
      <c r="B15964" s="0" t="s">
        <v>15810</v>
      </c>
    </row>
    <row r="15965" customFormat="false" ht="15" hidden="false" customHeight="false" outlineLevel="0" collapsed="false">
      <c r="A15965" s="0" t="n">
        <f aca="false">ODDLYIELD(DATE(2024,3,15),DATE(2024,11,1),DATE(2024,1,15),0.1,101.5,100,4,1)</f>
        <v>0.0739133710603152</v>
      </c>
      <c r="B15965" s="0" t="s">
        <v>15811</v>
      </c>
    </row>
    <row r="15966" customFormat="false" ht="15" hidden="false" customHeight="false" outlineLevel="0" collapsed="false">
      <c r="A15966" s="0" t="n">
        <f aca="false">ODDLYIELD(DATE(2024,3,15),DATE(2024,11,1),DATE(2024,1,15),0.05,100,100,4,1)</f>
        <v>0.0495934959349593</v>
      </c>
      <c r="B15966" s="0" t="s">
        <v>15812</v>
      </c>
    </row>
    <row r="15967" customFormat="false" ht="15" hidden="false" customHeight="false" outlineLevel="0" collapsed="false">
      <c r="A15967" s="0" t="n">
        <f aca="false">ODDLPRICE(DATE(2024,3,15),DATE(2024,11,1),DATE(2024,1,15),0.05,0.08,100,4,2)</f>
        <v>98.1283026844219</v>
      </c>
      <c r="B15967" s="0" t="s">
        <v>15813</v>
      </c>
    </row>
    <row r="15968" customFormat="false" ht="15" hidden="false" customHeight="false" outlineLevel="0" collapsed="false">
      <c r="A15968" s="0" t="n">
        <f aca="false">ODDLPRICE(DATE(2024,3,15),DATE(2024,11,1),DATE(2024,1,15),0.1,0.03,105,4,2)</f>
        <v>109.280925517129</v>
      </c>
      <c r="B15968" s="0" t="s">
        <v>15814</v>
      </c>
    </row>
    <row r="15969" customFormat="false" ht="15" hidden="false" customHeight="false" outlineLevel="0" collapsed="false">
      <c r="A15969" s="0" t="e">
        <f aca="false">ODDLPRICE(DATE(2024,3,15),DATE(2024,11,1),DATE(2024,1,15),0,0.05,100,4,2)</f>
        <v>#VALUE!</v>
      </c>
      <c r="B15969" s="0" t="s">
        <v>15815</v>
      </c>
    </row>
    <row r="15970" customFormat="false" ht="15" hidden="false" customHeight="false" outlineLevel="0" collapsed="false">
      <c r="A15970" s="0" t="n">
        <f aca="false">ODDLYIELD(DATE(2024,3,15),DATE(2024,11,1),DATE(2024,1,15),0.05,95,100,4,2)</f>
        <v>0.133483907396951</v>
      </c>
      <c r="B15970" s="0" t="s">
        <v>15816</v>
      </c>
    </row>
    <row r="15971" customFormat="false" ht="15" hidden="false" customHeight="false" outlineLevel="0" collapsed="false">
      <c r="A15971" s="0" t="n">
        <f aca="false">ODDLYIELD(DATE(2024,3,15),DATE(2024,11,1),DATE(2024,1,15),0.1,101.5,100,4,2)</f>
        <v>0.0742714474539998</v>
      </c>
      <c r="B15971" s="0" t="s">
        <v>15817</v>
      </c>
    </row>
    <row r="15972" customFormat="false" ht="15" hidden="false" customHeight="false" outlineLevel="0" collapsed="false">
      <c r="A15972" s="0" t="n">
        <f aca="false">ODDLYIELD(DATE(2024,3,15),DATE(2024,11,1),DATE(2024,1,15),0.05,100,100,4,2)</f>
        <v>0.0495867768595044</v>
      </c>
      <c r="B15972" s="0" t="s">
        <v>15818</v>
      </c>
    </row>
    <row r="15973" customFormat="false" ht="15" hidden="false" customHeight="false" outlineLevel="0" collapsed="false">
      <c r="A15973" s="0" t="n">
        <f aca="false">ODDLPRICE(DATE(2024,3,15),DATE(2024,11,1),DATE(2024,1,15),0.05,0.08,100,4,3)</f>
        <v>98.1532569075418</v>
      </c>
      <c r="B15973" s="0" t="s">
        <v>15819</v>
      </c>
    </row>
    <row r="15974" customFormat="false" ht="15" hidden="false" customHeight="false" outlineLevel="0" collapsed="false">
      <c r="A15974" s="0" t="n">
        <f aca="false">ODDLPRICE(DATE(2024,3,15),DATE(2024,11,1),DATE(2024,1,15),0.1,0.03,105,4,3)</f>
        <v>109.223800766752</v>
      </c>
      <c r="B15974" s="0" t="s">
        <v>15820</v>
      </c>
    </row>
    <row r="15975" customFormat="false" ht="15" hidden="false" customHeight="false" outlineLevel="0" collapsed="false">
      <c r="A15975" s="0" t="e">
        <f aca="false">ODDLPRICE(DATE(2024,3,15),DATE(2024,11,1),DATE(2024,1,15),0,0.05,100,4,3)</f>
        <v>#VALUE!</v>
      </c>
      <c r="B15975" s="0" t="s">
        <v>15821</v>
      </c>
    </row>
    <row r="15976" customFormat="false" ht="15" hidden="false" customHeight="false" outlineLevel="0" collapsed="false">
      <c r="A15976" s="0" t="n">
        <f aca="false">ODDLYIELD(DATE(2024,3,15),DATE(2024,11,1),DATE(2024,1,15),0.05,95,100,4,3)</f>
        <v>0.134629249711451</v>
      </c>
      <c r="B15976" s="0" t="s">
        <v>15822</v>
      </c>
    </row>
    <row r="15977" customFormat="false" ht="15" hidden="false" customHeight="false" outlineLevel="0" collapsed="false">
      <c r="A15977" s="0" t="n">
        <f aca="false">ODDLYIELD(DATE(2024,3,15),DATE(2024,11,1),DATE(2024,1,15),0.1,101.5,100,4,3)</f>
        <v>0.0739731083711427</v>
      </c>
      <c r="B15977" s="0" t="s">
        <v>15823</v>
      </c>
    </row>
    <row r="15978" customFormat="false" ht="15" hidden="false" customHeight="false" outlineLevel="0" collapsed="false">
      <c r="A15978" s="0" t="n">
        <f aca="false">ODDLYIELD(DATE(2024,3,15),DATE(2024,11,1),DATE(2024,1,15),0.05,100,100,4,3)</f>
        <v>0.0495923913043478</v>
      </c>
      <c r="B15978" s="0" t="s">
        <v>15824</v>
      </c>
    </row>
    <row r="15979" customFormat="false" ht="15" hidden="false" customHeight="false" outlineLevel="0" collapsed="false">
      <c r="A15979" s="0" t="n">
        <f aca="false">ODDLPRICE(DATE(2024,3,15),DATE(2024,11,1),DATE(2024,1,15),0.05,0.08,100,4,4)</f>
        <v>98.1668782620962</v>
      </c>
      <c r="B15979" s="0" t="s">
        <v>15825</v>
      </c>
    </row>
    <row r="15980" customFormat="false" ht="15" hidden="false" customHeight="false" outlineLevel="0" collapsed="false">
      <c r="A15980" s="0" t="n">
        <f aca="false">ODDLPRICE(DATE(2024,3,15),DATE(2024,11,1),DATE(2024,1,15),0.1,0.03,105,4,4)</f>
        <v>109.189977643274</v>
      </c>
      <c r="B15980" s="0" t="s">
        <v>15826</v>
      </c>
    </row>
    <row r="15981" customFormat="false" ht="15" hidden="false" customHeight="false" outlineLevel="0" collapsed="false">
      <c r="A15981" s="0" t="e">
        <f aca="false">ODDLPRICE(DATE(2024,3,15),DATE(2024,11,1),DATE(2024,1,15),0,0.05,100,4,4)</f>
        <v>#VALUE!</v>
      </c>
      <c r="B15981" s="0" t="s">
        <v>15827</v>
      </c>
    </row>
    <row r="15982" customFormat="false" ht="15" hidden="false" customHeight="false" outlineLevel="0" collapsed="false">
      <c r="A15982" s="0" t="n">
        <f aca="false">ODDLYIELD(DATE(2024,3,15),DATE(2024,11,1),DATE(2024,1,15),0.05,95,100,4,4)</f>
        <v>0.135282801077338</v>
      </c>
      <c r="B15982" s="0" t="s">
        <v>15828</v>
      </c>
    </row>
    <row r="15983" customFormat="false" ht="15" hidden="false" customHeight="false" outlineLevel="0" collapsed="false">
      <c r="A15983" s="0" t="n">
        <f aca="false">ODDLYIELD(DATE(2024,3,15),DATE(2024,11,1),DATE(2024,1,15),0.1,101.5,100,4,4)</f>
        <v>0.0737701402490457</v>
      </c>
      <c r="B15983" s="0" t="s">
        <v>15829</v>
      </c>
    </row>
    <row r="15984" customFormat="false" ht="15" hidden="false" customHeight="false" outlineLevel="0" collapsed="false">
      <c r="A15984" s="0" t="n">
        <f aca="false">ODDLYIELD(DATE(2024,3,15),DATE(2024,11,1),DATE(2024,1,15),0.05,100,100,4,4)</f>
        <v>0.0495867768595044</v>
      </c>
      <c r="B15984" s="0" t="s">
        <v>15830</v>
      </c>
    </row>
    <row r="15985" customFormat="false" ht="15" hidden="false" customHeight="false" outlineLevel="0" collapsed="false">
      <c r="A15985" s="0" t="n">
        <f aca="false">ODDLPRICE(DATE(2024,2,29),DATE(2024,8,31),DATE(2024,2,15),0.05,0.08,100,1,0)</f>
        <v>98.5558225925135</v>
      </c>
      <c r="B15985" s="0" t="s">
        <v>15831</v>
      </c>
    </row>
    <row r="15986" customFormat="false" ht="15" hidden="false" customHeight="false" outlineLevel="0" collapsed="false">
      <c r="A15986" s="0" t="n">
        <f aca="false">ODDLPRICE(DATE(2024,2,29),DATE(2024,8,31),DATE(2024,2,15),0.1,0.03,105,1,0)</f>
        <v>108.41443869779</v>
      </c>
      <c r="B15986" s="0" t="s">
        <v>15832</v>
      </c>
    </row>
    <row r="15987" customFormat="false" ht="15" hidden="false" customHeight="false" outlineLevel="0" collapsed="false">
      <c r="A15987" s="0" t="e">
        <f aca="false">ODDLPRICE(DATE(2024,2,29),DATE(2024,8,31),DATE(2024,2,15),0,0.05,100,1,0)</f>
        <v>#VALUE!</v>
      </c>
      <c r="B15987" s="0" t="s">
        <v>15833</v>
      </c>
    </row>
    <row r="15988" customFormat="false" ht="15" hidden="false" customHeight="false" outlineLevel="0" collapsed="false">
      <c r="A15988" s="0" t="n">
        <f aca="false">ODDLYIELD(DATE(2024,2,29),DATE(2024,8,31),DATE(2024,2,15),0.05,95,100,1,0)</f>
        <v>0.157282032349542</v>
      </c>
      <c r="B15988" s="0" t="s">
        <v>15834</v>
      </c>
    </row>
    <row r="15989" customFormat="false" ht="15" hidden="false" customHeight="false" outlineLevel="0" collapsed="false">
      <c r="A15989" s="0" t="n">
        <f aca="false">ODDLYIELD(DATE(2024,2,29),DATE(2024,8,31),DATE(2024,2,15),0.1,101.5,100,1,0)</f>
        <v>0.0694072070226598</v>
      </c>
      <c r="B15989" s="0" t="s">
        <v>15835</v>
      </c>
    </row>
    <row r="15990" customFormat="false" ht="15" hidden="false" customHeight="false" outlineLevel="0" collapsed="false">
      <c r="A15990" s="0" t="n">
        <f aca="false">ODDLYIELD(DATE(2024,2,29),DATE(2024,8,31),DATE(2024,2,15),0.05,100,100,1,0)</f>
        <v>0.0501786734511013</v>
      </c>
      <c r="B15990" s="0" t="s">
        <v>15836</v>
      </c>
    </row>
    <row r="15991" customFormat="false" ht="15" hidden="false" customHeight="false" outlineLevel="0" collapsed="false">
      <c r="A15991" s="0" t="n">
        <f aca="false">ODDLPRICE(DATE(2024,2,29),DATE(2024,8,31),DATE(2024,2,15),0.05,0.08,100,1,1)</f>
        <v>98.542720895812</v>
      </c>
      <c r="B15991" s="0" t="s">
        <v>15837</v>
      </c>
    </row>
    <row r="15992" customFormat="false" ht="15" hidden="false" customHeight="false" outlineLevel="0" collapsed="false">
      <c r="A15992" s="0" t="n">
        <f aca="false">ODDLPRICE(DATE(2024,2,29),DATE(2024,8,31),DATE(2024,2,15),0.1,0.03,105,1,1)</f>
        <v>108.386866183759</v>
      </c>
      <c r="B15992" s="0" t="s">
        <v>15838</v>
      </c>
    </row>
    <row r="15993" customFormat="false" ht="15" hidden="false" customHeight="false" outlineLevel="0" collapsed="false">
      <c r="A15993" s="0" t="e">
        <f aca="false">ODDLPRICE(DATE(2024,2,29),DATE(2024,8,31),DATE(2024,2,15),0,0.05,100,1,1)</f>
        <v>#VALUE!</v>
      </c>
      <c r="B15993" s="0" t="s">
        <v>15839</v>
      </c>
    </row>
    <row r="15994" customFormat="false" ht="15" hidden="false" customHeight="false" outlineLevel="0" collapsed="false">
      <c r="A15994" s="0" t="n">
        <f aca="false">ODDLYIELD(DATE(2024,2,29),DATE(2024,8,31),DATE(2024,2,15),0.05,95,100,1,1)</f>
        <v>0.157006564169121</v>
      </c>
      <c r="B15994" s="0" t="s">
        <v>15840</v>
      </c>
    </row>
    <row r="15995" customFormat="false" ht="15" hidden="false" customHeight="false" outlineLevel="0" collapsed="false">
      <c r="A15995" s="0" t="n">
        <f aca="false">ODDLYIELD(DATE(2024,2,29),DATE(2024,8,31),DATE(2024,2,15),0.1,101.5,100,1,1)</f>
        <v>0.0688666199496998</v>
      </c>
      <c r="B15995" s="0" t="s">
        <v>15841</v>
      </c>
    </row>
    <row r="15996" customFormat="false" ht="15" hidden="false" customHeight="false" outlineLevel="0" collapsed="false">
      <c r="A15996" s="0" t="n">
        <f aca="false">ODDLYIELD(DATE(2024,2,29),DATE(2024,8,31),DATE(2024,2,15),0.05,100,100,1,1)</f>
        <v>0.0499045541314424</v>
      </c>
      <c r="B15996" s="0" t="s">
        <v>15842</v>
      </c>
    </row>
    <row r="15997" customFormat="false" ht="15" hidden="false" customHeight="false" outlineLevel="0" collapsed="false">
      <c r="A15997" s="0" t="n">
        <f aca="false">ODDLPRICE(DATE(2024,2,29),DATE(2024,8,31),DATE(2024,2,15),0.05,0.08,100,1,2)</f>
        <v>98.5192617895436</v>
      </c>
      <c r="B15997" s="0" t="s">
        <v>15843</v>
      </c>
    </row>
    <row r="15998" customFormat="false" ht="15" hidden="false" customHeight="false" outlineLevel="0" collapsed="false">
      <c r="A15998" s="0" t="n">
        <f aca="false">ODDLPRICE(DATE(2024,2,29),DATE(2024,8,31),DATE(2024,2,15),0.1,0.03,105,1,2)</f>
        <v>108.442365214854</v>
      </c>
      <c r="B15998" s="0" t="s">
        <v>15844</v>
      </c>
    </row>
    <row r="15999" customFormat="false" ht="15" hidden="false" customHeight="false" outlineLevel="0" collapsed="false">
      <c r="A15999" s="0" t="e">
        <f aca="false">ODDLPRICE(DATE(2024,2,29),DATE(2024,8,31),DATE(2024,2,15),0,0.05,100,1,2)</f>
        <v>#VALUE!</v>
      </c>
      <c r="B15999" s="0" t="s">
        <v>15845</v>
      </c>
    </row>
    <row r="16000" customFormat="false" ht="15" hidden="false" customHeight="false" outlineLevel="0" collapsed="false">
      <c r="A16000" s="0" t="n">
        <f aca="false">ODDLYIELD(DATE(2024,2,29),DATE(2024,8,31),DATE(2024,2,15),0.05,95,100,1,2)</f>
        <v>0.155288565230078</v>
      </c>
      <c r="B16000" s="0" t="s">
        <v>15846</v>
      </c>
    </row>
    <row r="16001" customFormat="false" ht="15" hidden="false" customHeight="false" outlineLevel="0" collapsed="false">
      <c r="A16001" s="0" t="n">
        <f aca="false">ODDLYIELD(DATE(2024,2,29),DATE(2024,8,31),DATE(2024,2,15),0.1,101.5,100,1,2)</f>
        <v>0.069342373524252</v>
      </c>
      <c r="B16001" s="0" t="s">
        <v>15847</v>
      </c>
    </row>
    <row r="16002" customFormat="false" ht="15" hidden="false" customHeight="false" outlineLevel="0" collapsed="false">
      <c r="A16002" s="0" t="n">
        <f aca="false">ODDLYIELD(DATE(2024,2,29),DATE(2024,8,31),DATE(2024,2,15),0.05,100,100,1,2)</f>
        <v>0.0499029664541169</v>
      </c>
      <c r="B16002" s="0" t="s">
        <v>15848</v>
      </c>
    </row>
    <row r="16003" customFormat="false" ht="15" hidden="false" customHeight="false" outlineLevel="0" collapsed="false">
      <c r="A16003" s="0" t="n">
        <f aca="false">ODDLPRICE(DATE(2024,2,29),DATE(2024,8,31),DATE(2024,2,15),0.05,0.08,100,1,3)</f>
        <v>98.5388628102322</v>
      </c>
      <c r="B16003" s="0" t="s">
        <v>15849</v>
      </c>
    </row>
    <row r="16004" customFormat="false" ht="15" hidden="false" customHeight="false" outlineLevel="0" collapsed="false">
      <c r="A16004" s="0" t="n">
        <f aca="false">ODDLPRICE(DATE(2024,2,29),DATE(2024,8,31),DATE(2024,2,15),0.1,0.03,105,1,3)</f>
        <v>108.395991416728</v>
      </c>
      <c r="B16004" s="0" t="s">
        <v>15850</v>
      </c>
    </row>
    <row r="16005" customFormat="false" ht="15" hidden="false" customHeight="false" outlineLevel="0" collapsed="false">
      <c r="A16005" s="0" t="e">
        <f aca="false">ODDLPRICE(DATE(2024,2,29),DATE(2024,8,31),DATE(2024,2,15),0,0.05,100,1,3)</f>
        <v>#VALUE!</v>
      </c>
      <c r="B16005" s="0" t="s">
        <v>15851</v>
      </c>
    </row>
    <row r="16006" customFormat="false" ht="15" hidden="false" customHeight="false" outlineLevel="0" collapsed="false">
      <c r="A16006" s="0" t="n">
        <f aca="false">ODDLYIELD(DATE(2024,2,29),DATE(2024,8,31),DATE(2024,2,15),0.05,95,100,1,3)</f>
        <v>0.156720235004098</v>
      </c>
      <c r="B16006" s="0" t="s">
        <v>15852</v>
      </c>
    </row>
    <row r="16007" customFormat="false" ht="15" hidden="false" customHeight="false" outlineLevel="0" collapsed="false">
      <c r="A16007" s="0" t="n">
        <f aca="false">ODDLYIELD(DATE(2024,2,29),DATE(2024,8,31),DATE(2024,2,15),0.1,101.5,100,1,3)</f>
        <v>0.0689459261965657</v>
      </c>
      <c r="B16007" s="0" t="s">
        <v>15853</v>
      </c>
    </row>
    <row r="16008" customFormat="false" ht="15" hidden="false" customHeight="false" outlineLevel="0" collapsed="false">
      <c r="A16008" s="0" t="n">
        <f aca="false">ODDLYIELD(DATE(2024,2,29),DATE(2024,8,31),DATE(2024,2,15),0.05,100,100,1,3)</f>
        <v>0.0499042931364506</v>
      </c>
      <c r="B16008" s="0" t="s">
        <v>15854</v>
      </c>
    </row>
    <row r="16009" customFormat="false" ht="15" hidden="false" customHeight="false" outlineLevel="0" collapsed="false">
      <c r="A16009" s="0" t="n">
        <f aca="false">ODDLPRICE(DATE(2024,2,29),DATE(2024,8,31),DATE(2024,2,15),0.05,0.08,100,1,4)</f>
        <v>98.5424707446177</v>
      </c>
      <c r="B16009" s="0" t="s">
        <v>15855</v>
      </c>
    </row>
    <row r="16010" customFormat="false" ht="15" hidden="false" customHeight="false" outlineLevel="0" collapsed="false">
      <c r="A16010" s="0" t="n">
        <f aca="false">ODDLPRICE(DATE(2024,2,29),DATE(2024,8,31),DATE(2024,2,15),0.1,0.03,105,1,4)</f>
        <v>108.387073675761</v>
      </c>
      <c r="B16010" s="0" t="s">
        <v>15856</v>
      </c>
    </row>
    <row r="16011" customFormat="false" ht="15" hidden="false" customHeight="false" outlineLevel="0" collapsed="false">
      <c r="A16011" s="0" t="e">
        <f aca="false">ODDLPRICE(DATE(2024,2,29),DATE(2024,8,31),DATE(2024,2,15),0,0.05,100,1,4)</f>
        <v>#VALUE!</v>
      </c>
      <c r="B16011" s="0" t="s">
        <v>15857</v>
      </c>
    </row>
    <row r="16012" customFormat="false" ht="15" hidden="false" customHeight="false" outlineLevel="0" collapsed="false">
      <c r="A16012" s="0" t="n">
        <f aca="false">ODDLYIELD(DATE(2024,2,29),DATE(2024,8,31),DATE(2024,2,15),0.05,95,100,1,4)</f>
        <v>0.156991844097974</v>
      </c>
      <c r="B16012" s="0" t="s">
        <v>15858</v>
      </c>
    </row>
    <row r="16013" customFormat="false" ht="15" hidden="false" customHeight="false" outlineLevel="0" collapsed="false">
      <c r="A16013" s="0" t="n">
        <f aca="false">ODDLYIELD(DATE(2024,2,29),DATE(2024,8,31),DATE(2024,2,15),0.1,101.5,100,1,4)</f>
        <v>0.0688649632177955</v>
      </c>
      <c r="B16013" s="0" t="s">
        <v>15859</v>
      </c>
    </row>
    <row r="16014" customFormat="false" ht="15" hidden="false" customHeight="false" outlineLevel="0" collapsed="false">
      <c r="A16014" s="0" t="n">
        <f aca="false">ODDLYIELD(DATE(2024,2,29),DATE(2024,8,31),DATE(2024,2,15),0.05,100,100,1,4)</f>
        <v>0.0499029664541169</v>
      </c>
      <c r="B16014" s="0" t="s">
        <v>15860</v>
      </c>
    </row>
    <row r="16015" customFormat="false" ht="15" hidden="false" customHeight="false" outlineLevel="0" collapsed="false">
      <c r="A16015" s="0" t="n">
        <f aca="false">ODDLPRICE(DATE(2024,2,29),DATE(2024,8,31),DATE(2024,2,15),0.05,0.08,100,2,0)</f>
        <v>98.5558225925135</v>
      </c>
      <c r="B16015" s="0" t="s">
        <v>15861</v>
      </c>
    </row>
    <row r="16016" customFormat="false" ht="15" hidden="false" customHeight="false" outlineLevel="0" collapsed="false">
      <c r="A16016" s="0" t="n">
        <f aca="false">ODDLPRICE(DATE(2024,2,29),DATE(2024,8,31),DATE(2024,2,15),0.1,0.03,105,2,0)</f>
        <v>108.41443869779</v>
      </c>
      <c r="B16016" s="0" t="s">
        <v>15862</v>
      </c>
    </row>
    <row r="16017" customFormat="false" ht="15" hidden="false" customHeight="false" outlineLevel="0" collapsed="false">
      <c r="A16017" s="0" t="e">
        <f aca="false">ODDLPRICE(DATE(2024,2,29),DATE(2024,8,31),DATE(2024,2,15),0,0.05,100,2,0)</f>
        <v>#VALUE!</v>
      </c>
      <c r="B16017" s="0" t="s">
        <v>15863</v>
      </c>
    </row>
    <row r="16018" customFormat="false" ht="15" hidden="false" customHeight="false" outlineLevel="0" collapsed="false">
      <c r="A16018" s="0" t="n">
        <f aca="false">ODDLYIELD(DATE(2024,2,29),DATE(2024,8,31),DATE(2024,2,15),0.05,95,100,2,0)</f>
        <v>0.157282032349542</v>
      </c>
      <c r="B16018" s="0" t="s">
        <v>15864</v>
      </c>
    </row>
    <row r="16019" customFormat="false" ht="15" hidden="false" customHeight="false" outlineLevel="0" collapsed="false">
      <c r="A16019" s="0" t="n">
        <f aca="false">ODDLYIELD(DATE(2024,2,29),DATE(2024,8,31),DATE(2024,2,15),0.1,101.5,100,2,0)</f>
        <v>0.0694072070226598</v>
      </c>
      <c r="B16019" s="0" t="s">
        <v>15865</v>
      </c>
    </row>
    <row r="16020" customFormat="false" ht="15" hidden="false" customHeight="false" outlineLevel="0" collapsed="false">
      <c r="A16020" s="0" t="n">
        <f aca="false">ODDLYIELD(DATE(2024,2,29),DATE(2024,8,31),DATE(2024,2,15),0.05,100,100,2,0)</f>
        <v>0.0501786734511013</v>
      </c>
      <c r="B16020" s="0" t="s">
        <v>15866</v>
      </c>
    </row>
    <row r="16021" customFormat="false" ht="15" hidden="false" customHeight="false" outlineLevel="0" collapsed="false">
      <c r="A16021" s="0" t="n">
        <f aca="false">ODDLPRICE(DATE(2024,2,29),DATE(2024,8,31),DATE(2024,2,15),0.05,0.08,100,2,1)</f>
        <v>98.542720895812</v>
      </c>
      <c r="B16021" s="0" t="s">
        <v>15867</v>
      </c>
    </row>
    <row r="16022" customFormat="false" ht="15" hidden="false" customHeight="false" outlineLevel="0" collapsed="false">
      <c r="A16022" s="0" t="n">
        <f aca="false">ODDLPRICE(DATE(2024,2,29),DATE(2024,8,31),DATE(2024,2,15),0.1,0.03,105,2,1)</f>
        <v>108.386866183759</v>
      </c>
      <c r="B16022" s="0" t="s">
        <v>15868</v>
      </c>
    </row>
    <row r="16023" customFormat="false" ht="15" hidden="false" customHeight="false" outlineLevel="0" collapsed="false">
      <c r="A16023" s="0" t="e">
        <f aca="false">ODDLPRICE(DATE(2024,2,29),DATE(2024,8,31),DATE(2024,2,15),0,0.05,100,2,1)</f>
        <v>#VALUE!</v>
      </c>
      <c r="B16023" s="0" t="s">
        <v>15869</v>
      </c>
    </row>
    <row r="16024" customFormat="false" ht="15" hidden="false" customHeight="false" outlineLevel="0" collapsed="false">
      <c r="A16024" s="0" t="n">
        <f aca="false">ODDLYIELD(DATE(2024,2,29),DATE(2024,8,31),DATE(2024,2,15),0.05,95,100,2,1)</f>
        <v>0.157006564169121</v>
      </c>
      <c r="B16024" s="0" t="s">
        <v>15870</v>
      </c>
    </row>
    <row r="16025" customFormat="false" ht="15" hidden="false" customHeight="false" outlineLevel="0" collapsed="false">
      <c r="A16025" s="0" t="n">
        <f aca="false">ODDLYIELD(DATE(2024,2,29),DATE(2024,8,31),DATE(2024,2,15),0.1,101.5,100,2,1)</f>
        <v>0.0688666199496998</v>
      </c>
      <c r="B16025" s="0" t="s">
        <v>15871</v>
      </c>
    </row>
    <row r="16026" customFormat="false" ht="15" hidden="false" customHeight="false" outlineLevel="0" collapsed="false">
      <c r="A16026" s="0" t="n">
        <f aca="false">ODDLYIELD(DATE(2024,2,29),DATE(2024,8,31),DATE(2024,2,15),0.05,100,100,2,1)</f>
        <v>0.0499045541314424</v>
      </c>
      <c r="B16026" s="0" t="s">
        <v>15872</v>
      </c>
    </row>
    <row r="16027" customFormat="false" ht="15" hidden="false" customHeight="false" outlineLevel="0" collapsed="false">
      <c r="A16027" s="0" t="n">
        <f aca="false">ODDLPRICE(DATE(2024,2,29),DATE(2024,8,31),DATE(2024,2,15),0.05,0.08,100,2,2)</f>
        <v>98.5192617895436</v>
      </c>
      <c r="B16027" s="0" t="s">
        <v>15873</v>
      </c>
    </row>
    <row r="16028" customFormat="false" ht="15" hidden="false" customHeight="false" outlineLevel="0" collapsed="false">
      <c r="A16028" s="0" t="n">
        <f aca="false">ODDLPRICE(DATE(2024,2,29),DATE(2024,8,31),DATE(2024,2,15),0.1,0.03,105,2,2)</f>
        <v>108.442365214854</v>
      </c>
      <c r="B16028" s="0" t="s">
        <v>15874</v>
      </c>
    </row>
    <row r="16029" customFormat="false" ht="15" hidden="false" customHeight="false" outlineLevel="0" collapsed="false">
      <c r="A16029" s="0" t="e">
        <f aca="false">ODDLPRICE(DATE(2024,2,29),DATE(2024,8,31),DATE(2024,2,15),0,0.05,100,2,2)</f>
        <v>#VALUE!</v>
      </c>
      <c r="B16029" s="0" t="s">
        <v>15875</v>
      </c>
    </row>
    <row r="16030" customFormat="false" ht="15" hidden="false" customHeight="false" outlineLevel="0" collapsed="false">
      <c r="A16030" s="0" t="n">
        <f aca="false">ODDLYIELD(DATE(2024,2,29),DATE(2024,8,31),DATE(2024,2,15),0.05,95,100,2,2)</f>
        <v>0.155288565230078</v>
      </c>
      <c r="B16030" s="0" t="s">
        <v>15876</v>
      </c>
    </row>
    <row r="16031" customFormat="false" ht="15" hidden="false" customHeight="false" outlineLevel="0" collapsed="false">
      <c r="A16031" s="0" t="n">
        <f aca="false">ODDLYIELD(DATE(2024,2,29),DATE(2024,8,31),DATE(2024,2,15),0.1,101.5,100,2,2)</f>
        <v>0.069342373524252</v>
      </c>
      <c r="B16031" s="0" t="s">
        <v>15877</v>
      </c>
    </row>
    <row r="16032" customFormat="false" ht="15" hidden="false" customHeight="false" outlineLevel="0" collapsed="false">
      <c r="A16032" s="0" t="n">
        <f aca="false">ODDLYIELD(DATE(2024,2,29),DATE(2024,8,31),DATE(2024,2,15),0.05,100,100,2,2)</f>
        <v>0.0499029664541169</v>
      </c>
      <c r="B16032" s="0" t="s">
        <v>15878</v>
      </c>
    </row>
    <row r="16033" customFormat="false" ht="15" hidden="false" customHeight="false" outlineLevel="0" collapsed="false">
      <c r="A16033" s="0" t="n">
        <f aca="false">ODDLPRICE(DATE(2024,2,29),DATE(2024,8,31),DATE(2024,2,15),0.05,0.08,100,2,3)</f>
        <v>98.5388628102322</v>
      </c>
      <c r="B16033" s="0" t="s">
        <v>15879</v>
      </c>
    </row>
    <row r="16034" customFormat="false" ht="15" hidden="false" customHeight="false" outlineLevel="0" collapsed="false">
      <c r="A16034" s="0" t="n">
        <f aca="false">ODDLPRICE(DATE(2024,2,29),DATE(2024,8,31),DATE(2024,2,15),0.1,0.03,105,2,3)</f>
        <v>108.395991416728</v>
      </c>
      <c r="B16034" s="0" t="s">
        <v>15880</v>
      </c>
    </row>
    <row r="16035" customFormat="false" ht="15" hidden="false" customHeight="false" outlineLevel="0" collapsed="false">
      <c r="A16035" s="0" t="e">
        <f aca="false">ODDLPRICE(DATE(2024,2,29),DATE(2024,8,31),DATE(2024,2,15),0,0.05,100,2,3)</f>
        <v>#VALUE!</v>
      </c>
      <c r="B16035" s="0" t="s">
        <v>15881</v>
      </c>
    </row>
    <row r="16036" customFormat="false" ht="15" hidden="false" customHeight="false" outlineLevel="0" collapsed="false">
      <c r="A16036" s="0" t="n">
        <f aca="false">ODDLYIELD(DATE(2024,2,29),DATE(2024,8,31),DATE(2024,2,15),0.05,95,100,2,3)</f>
        <v>0.156720235004098</v>
      </c>
      <c r="B16036" s="0" t="s">
        <v>15882</v>
      </c>
    </row>
    <row r="16037" customFormat="false" ht="15" hidden="false" customHeight="false" outlineLevel="0" collapsed="false">
      <c r="A16037" s="0" t="n">
        <f aca="false">ODDLYIELD(DATE(2024,2,29),DATE(2024,8,31),DATE(2024,2,15),0.1,101.5,100,2,3)</f>
        <v>0.0689459261965657</v>
      </c>
      <c r="B16037" s="0" t="s">
        <v>15883</v>
      </c>
    </row>
    <row r="16038" customFormat="false" ht="15" hidden="false" customHeight="false" outlineLevel="0" collapsed="false">
      <c r="A16038" s="0" t="n">
        <f aca="false">ODDLYIELD(DATE(2024,2,29),DATE(2024,8,31),DATE(2024,2,15),0.05,100,100,2,3)</f>
        <v>0.0499042931364506</v>
      </c>
      <c r="B16038" s="0" t="s">
        <v>15884</v>
      </c>
    </row>
    <row r="16039" customFormat="false" ht="15" hidden="false" customHeight="false" outlineLevel="0" collapsed="false">
      <c r="A16039" s="0" t="n">
        <f aca="false">ODDLPRICE(DATE(2024,2,29),DATE(2024,8,31),DATE(2024,2,15),0.05,0.08,100,2,4)</f>
        <v>98.5424707446177</v>
      </c>
      <c r="B16039" s="0" t="s">
        <v>15885</v>
      </c>
    </row>
    <row r="16040" customFormat="false" ht="15" hidden="false" customHeight="false" outlineLevel="0" collapsed="false">
      <c r="A16040" s="0" t="n">
        <f aca="false">ODDLPRICE(DATE(2024,2,29),DATE(2024,8,31),DATE(2024,2,15),0.1,0.03,105,2,4)</f>
        <v>108.387073675761</v>
      </c>
      <c r="B16040" s="0" t="s">
        <v>15886</v>
      </c>
    </row>
    <row r="16041" customFormat="false" ht="15" hidden="false" customHeight="false" outlineLevel="0" collapsed="false">
      <c r="A16041" s="0" t="e">
        <f aca="false">ODDLPRICE(DATE(2024,2,29),DATE(2024,8,31),DATE(2024,2,15),0,0.05,100,2,4)</f>
        <v>#VALUE!</v>
      </c>
      <c r="B16041" s="0" t="s">
        <v>15887</v>
      </c>
    </row>
    <row r="16042" customFormat="false" ht="15" hidden="false" customHeight="false" outlineLevel="0" collapsed="false">
      <c r="A16042" s="0" t="n">
        <f aca="false">ODDLYIELD(DATE(2024,2,29),DATE(2024,8,31),DATE(2024,2,15),0.05,95,100,2,4)</f>
        <v>0.156991844097974</v>
      </c>
      <c r="B16042" s="0" t="s">
        <v>15888</v>
      </c>
    </row>
    <row r="16043" customFormat="false" ht="15" hidden="false" customHeight="false" outlineLevel="0" collapsed="false">
      <c r="A16043" s="0" t="n">
        <f aca="false">ODDLYIELD(DATE(2024,2,29),DATE(2024,8,31),DATE(2024,2,15),0.1,101.5,100,2,4)</f>
        <v>0.0688649632177955</v>
      </c>
      <c r="B16043" s="0" t="s">
        <v>15889</v>
      </c>
    </row>
    <row r="16044" customFormat="false" ht="15" hidden="false" customHeight="false" outlineLevel="0" collapsed="false">
      <c r="A16044" s="0" t="n">
        <f aca="false">ODDLYIELD(DATE(2024,2,29),DATE(2024,8,31),DATE(2024,2,15),0.05,100,100,2,4)</f>
        <v>0.0499029664541169</v>
      </c>
      <c r="B16044" s="0" t="s">
        <v>15890</v>
      </c>
    </row>
    <row r="16045" customFormat="false" ht="15" hidden="false" customHeight="false" outlineLevel="0" collapsed="false">
      <c r="A16045" s="0" t="n">
        <f aca="false">ODDLPRICE(DATE(2024,2,29),DATE(2024,8,31),DATE(2024,2,15),0.05,0.08,100,4,0)</f>
        <v>98.5558225925135</v>
      </c>
      <c r="B16045" s="0" t="s">
        <v>15891</v>
      </c>
    </row>
    <row r="16046" customFormat="false" ht="15" hidden="false" customHeight="false" outlineLevel="0" collapsed="false">
      <c r="A16046" s="0" t="n">
        <f aca="false">ODDLPRICE(DATE(2024,2,29),DATE(2024,8,31),DATE(2024,2,15),0.1,0.03,105,4,0)</f>
        <v>108.41443869779</v>
      </c>
      <c r="B16046" s="0" t="s">
        <v>15892</v>
      </c>
    </row>
    <row r="16047" customFormat="false" ht="15" hidden="false" customHeight="false" outlineLevel="0" collapsed="false">
      <c r="A16047" s="0" t="e">
        <f aca="false">ODDLPRICE(DATE(2024,2,29),DATE(2024,8,31),DATE(2024,2,15),0,0.05,100,4,0)</f>
        <v>#VALUE!</v>
      </c>
      <c r="B16047" s="0" t="s">
        <v>15893</v>
      </c>
    </row>
    <row r="16048" customFormat="false" ht="15" hidden="false" customHeight="false" outlineLevel="0" collapsed="false">
      <c r="A16048" s="0" t="n">
        <f aca="false">ODDLYIELD(DATE(2024,2,29),DATE(2024,8,31),DATE(2024,2,15),0.05,95,100,4,0)</f>
        <v>0.157282032349542</v>
      </c>
      <c r="B16048" s="0" t="s">
        <v>15894</v>
      </c>
    </row>
    <row r="16049" customFormat="false" ht="15" hidden="false" customHeight="false" outlineLevel="0" collapsed="false">
      <c r="A16049" s="0" t="n">
        <f aca="false">ODDLYIELD(DATE(2024,2,29),DATE(2024,8,31),DATE(2024,2,15),0.1,101.5,100,4,0)</f>
        <v>0.0694072070226598</v>
      </c>
      <c r="B16049" s="0" t="s">
        <v>15895</v>
      </c>
    </row>
    <row r="16050" customFormat="false" ht="15" hidden="false" customHeight="false" outlineLevel="0" collapsed="false">
      <c r="A16050" s="0" t="n">
        <f aca="false">ODDLYIELD(DATE(2024,2,29),DATE(2024,8,31),DATE(2024,2,15),0.05,100,100,4,0)</f>
        <v>0.0501786734511013</v>
      </c>
      <c r="B16050" s="0" t="s">
        <v>15896</v>
      </c>
    </row>
    <row r="16051" customFormat="false" ht="15" hidden="false" customHeight="false" outlineLevel="0" collapsed="false">
      <c r="A16051" s="0" t="n">
        <f aca="false">ODDLPRICE(DATE(2024,2,29),DATE(2024,8,31),DATE(2024,2,15),0.05,0.08,100,4,1)</f>
        <v>98.542720895812</v>
      </c>
      <c r="B16051" s="0" t="s">
        <v>15897</v>
      </c>
    </row>
    <row r="16052" customFormat="false" ht="15" hidden="false" customHeight="false" outlineLevel="0" collapsed="false">
      <c r="A16052" s="0" t="n">
        <f aca="false">ODDLPRICE(DATE(2024,2,29),DATE(2024,8,31),DATE(2024,2,15),0.1,0.03,105,4,1)</f>
        <v>108.386866183759</v>
      </c>
      <c r="B16052" s="0" t="s">
        <v>15898</v>
      </c>
    </row>
    <row r="16053" customFormat="false" ht="15" hidden="false" customHeight="false" outlineLevel="0" collapsed="false">
      <c r="A16053" s="0" t="e">
        <f aca="false">ODDLPRICE(DATE(2024,2,29),DATE(2024,8,31),DATE(2024,2,15),0,0.05,100,4,1)</f>
        <v>#VALUE!</v>
      </c>
      <c r="B16053" s="0" t="s">
        <v>15899</v>
      </c>
    </row>
    <row r="16054" customFormat="false" ht="15" hidden="false" customHeight="false" outlineLevel="0" collapsed="false">
      <c r="A16054" s="0" t="n">
        <f aca="false">ODDLYIELD(DATE(2024,2,29),DATE(2024,8,31),DATE(2024,2,15),0.05,95,100,4,1)</f>
        <v>0.157006564169121</v>
      </c>
      <c r="B16054" s="0" t="s">
        <v>15900</v>
      </c>
    </row>
    <row r="16055" customFormat="false" ht="15" hidden="false" customHeight="false" outlineLevel="0" collapsed="false">
      <c r="A16055" s="0" t="n">
        <f aca="false">ODDLYIELD(DATE(2024,2,29),DATE(2024,8,31),DATE(2024,2,15),0.1,101.5,100,4,1)</f>
        <v>0.0688666199496998</v>
      </c>
      <c r="B16055" s="0" t="s">
        <v>15901</v>
      </c>
    </row>
    <row r="16056" customFormat="false" ht="15" hidden="false" customHeight="false" outlineLevel="0" collapsed="false">
      <c r="A16056" s="0" t="n">
        <f aca="false">ODDLYIELD(DATE(2024,2,29),DATE(2024,8,31),DATE(2024,2,15),0.05,100,100,4,1)</f>
        <v>0.0499045541314424</v>
      </c>
      <c r="B16056" s="0" t="s">
        <v>15902</v>
      </c>
    </row>
    <row r="16057" customFormat="false" ht="15" hidden="false" customHeight="false" outlineLevel="0" collapsed="false">
      <c r="A16057" s="0" t="n">
        <f aca="false">ODDLPRICE(DATE(2024,2,29),DATE(2024,8,31),DATE(2024,2,15),0.05,0.08,100,4,2)</f>
        <v>98.5192617895436</v>
      </c>
      <c r="B16057" s="0" t="s">
        <v>15903</v>
      </c>
    </row>
    <row r="16058" customFormat="false" ht="15" hidden="false" customHeight="false" outlineLevel="0" collapsed="false">
      <c r="A16058" s="0" t="n">
        <f aca="false">ODDLPRICE(DATE(2024,2,29),DATE(2024,8,31),DATE(2024,2,15),0.1,0.03,105,4,2)</f>
        <v>108.442365214854</v>
      </c>
      <c r="B16058" s="0" t="s">
        <v>15904</v>
      </c>
    </row>
    <row r="16059" customFormat="false" ht="15" hidden="false" customHeight="false" outlineLevel="0" collapsed="false">
      <c r="A16059" s="0" t="e">
        <f aca="false">ODDLPRICE(DATE(2024,2,29),DATE(2024,8,31),DATE(2024,2,15),0,0.05,100,4,2)</f>
        <v>#VALUE!</v>
      </c>
      <c r="B16059" s="0" t="s">
        <v>15905</v>
      </c>
    </row>
    <row r="16060" customFormat="false" ht="15" hidden="false" customHeight="false" outlineLevel="0" collapsed="false">
      <c r="A16060" s="0" t="n">
        <f aca="false">ODDLYIELD(DATE(2024,2,29),DATE(2024,8,31),DATE(2024,2,15),0.05,95,100,4,2)</f>
        <v>0.155288565230078</v>
      </c>
      <c r="B16060" s="0" t="s">
        <v>15906</v>
      </c>
    </row>
    <row r="16061" customFormat="false" ht="15" hidden="false" customHeight="false" outlineLevel="0" collapsed="false">
      <c r="A16061" s="0" t="n">
        <f aca="false">ODDLYIELD(DATE(2024,2,29),DATE(2024,8,31),DATE(2024,2,15),0.1,101.5,100,4,2)</f>
        <v>0.069342373524252</v>
      </c>
      <c r="B16061" s="0" t="s">
        <v>15907</v>
      </c>
    </row>
    <row r="16062" customFormat="false" ht="15" hidden="false" customHeight="false" outlineLevel="0" collapsed="false">
      <c r="A16062" s="0" t="n">
        <f aca="false">ODDLYIELD(DATE(2024,2,29),DATE(2024,8,31),DATE(2024,2,15),0.05,100,100,4,2)</f>
        <v>0.0499029664541169</v>
      </c>
      <c r="B16062" s="0" t="s">
        <v>15908</v>
      </c>
    </row>
    <row r="16063" customFormat="false" ht="15" hidden="false" customHeight="false" outlineLevel="0" collapsed="false">
      <c r="A16063" s="0" t="n">
        <f aca="false">ODDLPRICE(DATE(2024,2,29),DATE(2024,8,31),DATE(2024,2,15),0.05,0.08,100,4,3)</f>
        <v>98.5388628102322</v>
      </c>
      <c r="B16063" s="0" t="s">
        <v>15909</v>
      </c>
    </row>
    <row r="16064" customFormat="false" ht="15" hidden="false" customHeight="false" outlineLevel="0" collapsed="false">
      <c r="A16064" s="0" t="n">
        <f aca="false">ODDLPRICE(DATE(2024,2,29),DATE(2024,8,31),DATE(2024,2,15),0.1,0.03,105,4,3)</f>
        <v>108.395991416728</v>
      </c>
      <c r="B16064" s="0" t="s">
        <v>15910</v>
      </c>
    </row>
    <row r="16065" customFormat="false" ht="15" hidden="false" customHeight="false" outlineLevel="0" collapsed="false">
      <c r="A16065" s="0" t="e">
        <f aca="false">ODDLPRICE(DATE(2024,2,29),DATE(2024,8,31),DATE(2024,2,15),0,0.05,100,4,3)</f>
        <v>#VALUE!</v>
      </c>
      <c r="B16065" s="0" t="s">
        <v>15911</v>
      </c>
    </row>
    <row r="16066" customFormat="false" ht="15" hidden="false" customHeight="false" outlineLevel="0" collapsed="false">
      <c r="A16066" s="0" t="n">
        <f aca="false">ODDLYIELD(DATE(2024,2,29),DATE(2024,8,31),DATE(2024,2,15),0.05,95,100,4,3)</f>
        <v>0.156720235004098</v>
      </c>
      <c r="B16066" s="0" t="s">
        <v>15912</v>
      </c>
    </row>
    <row r="16067" customFormat="false" ht="15" hidden="false" customHeight="false" outlineLevel="0" collapsed="false">
      <c r="A16067" s="0" t="n">
        <f aca="false">ODDLYIELD(DATE(2024,2,29),DATE(2024,8,31),DATE(2024,2,15),0.1,101.5,100,4,3)</f>
        <v>0.0689459261965657</v>
      </c>
      <c r="B16067" s="0" t="s">
        <v>15913</v>
      </c>
    </row>
    <row r="16068" customFormat="false" ht="15" hidden="false" customHeight="false" outlineLevel="0" collapsed="false">
      <c r="A16068" s="0" t="n">
        <f aca="false">ODDLYIELD(DATE(2024,2,29),DATE(2024,8,31),DATE(2024,2,15),0.05,100,100,4,3)</f>
        <v>0.0499042931364506</v>
      </c>
      <c r="B16068" s="0" t="s">
        <v>15914</v>
      </c>
    </row>
    <row r="16069" customFormat="false" ht="15" hidden="false" customHeight="false" outlineLevel="0" collapsed="false">
      <c r="A16069" s="0" t="n">
        <f aca="false">ODDLPRICE(DATE(2024,2,29),DATE(2024,8,31),DATE(2024,2,15),0.05,0.08,100,4,4)</f>
        <v>98.5424707446177</v>
      </c>
      <c r="B16069" s="0" t="s">
        <v>15915</v>
      </c>
    </row>
    <row r="16070" customFormat="false" ht="15" hidden="false" customHeight="false" outlineLevel="0" collapsed="false">
      <c r="A16070" s="0" t="n">
        <f aca="false">ODDLPRICE(DATE(2024,2,29),DATE(2024,8,31),DATE(2024,2,15),0.1,0.03,105,4,4)</f>
        <v>108.387073675761</v>
      </c>
      <c r="B16070" s="0" t="s">
        <v>15916</v>
      </c>
    </row>
    <row r="16071" customFormat="false" ht="15" hidden="false" customHeight="false" outlineLevel="0" collapsed="false">
      <c r="A16071" s="0" t="e">
        <f aca="false">ODDLPRICE(DATE(2024,2,29),DATE(2024,8,31),DATE(2024,2,15),0,0.05,100,4,4)</f>
        <v>#VALUE!</v>
      </c>
      <c r="B16071" s="0" t="s">
        <v>15917</v>
      </c>
    </row>
    <row r="16072" customFormat="false" ht="15" hidden="false" customHeight="false" outlineLevel="0" collapsed="false">
      <c r="A16072" s="0" t="n">
        <f aca="false">ODDLYIELD(DATE(2024,2,29),DATE(2024,8,31),DATE(2024,2,15),0.05,95,100,4,4)</f>
        <v>0.156991844097974</v>
      </c>
      <c r="B16072" s="0" t="s">
        <v>15918</v>
      </c>
    </row>
    <row r="16073" customFormat="false" ht="15" hidden="false" customHeight="false" outlineLevel="0" collapsed="false">
      <c r="A16073" s="0" t="n">
        <f aca="false">ODDLYIELD(DATE(2024,2,29),DATE(2024,8,31),DATE(2024,2,15),0.1,101.5,100,4,4)</f>
        <v>0.0688649632177955</v>
      </c>
      <c r="B16073" s="0" t="s">
        <v>15919</v>
      </c>
    </row>
    <row r="16074" customFormat="false" ht="15" hidden="false" customHeight="false" outlineLevel="0" collapsed="false">
      <c r="A16074" s="0" t="n">
        <f aca="false">ODDLYIELD(DATE(2024,2,29),DATE(2024,8,31),DATE(2024,2,15),0.05,100,100,4,4)</f>
        <v>0.0499029664541169</v>
      </c>
      <c r="B16074" s="0" t="s">
        <v>15920</v>
      </c>
    </row>
    <row r="16075" customFormat="false" ht="15" hidden="false" customHeight="false" outlineLevel="0" collapsed="false">
      <c r="A16075" s="0" t="n">
        <f aca="false">ODDLPRICE(DATE(2024,4,20),DATE(2024,7,15),DATE(2024,1,15),0.05,0.08,100,1,0)</f>
        <v>99.2803374530474</v>
      </c>
      <c r="B16075" s="0" t="s">
        <v>15921</v>
      </c>
    </row>
    <row r="16076" customFormat="false" ht="15" hidden="false" customHeight="false" outlineLevel="0" collapsed="false">
      <c r="A16076" s="0" t="n">
        <f aca="false">ODDLPRICE(DATE(2024,4,20),DATE(2024,7,15),DATE(2024,1,15),0.1,0.03,105,1,0)</f>
        <v>106.587424723027</v>
      </c>
      <c r="B16076" s="0" t="s">
        <v>15922</v>
      </c>
    </row>
    <row r="16077" customFormat="false" ht="15" hidden="false" customHeight="false" outlineLevel="0" collapsed="false">
      <c r="A16077" s="0" t="e">
        <f aca="false">ODDLPRICE(DATE(2024,4,20),DATE(2024,7,15),DATE(2024,1,15),0,0.05,100,1,0)</f>
        <v>#VALUE!</v>
      </c>
      <c r="B16077" s="0" t="s">
        <v>15923</v>
      </c>
    </row>
    <row r="16078" customFormat="false" ht="15" hidden="false" customHeight="false" outlineLevel="0" collapsed="false">
      <c r="A16078" s="0" t="n">
        <f aca="false">ODDLYIELD(DATE(2024,4,20),DATE(2024,7,15),DATE(2024,1,15),0.05,95,100,1,0)</f>
        <v>0.27176725051953</v>
      </c>
      <c r="B16078" s="0" t="s">
        <v>15924</v>
      </c>
    </row>
    <row r="16079" customFormat="false" ht="15" hidden="false" customHeight="false" outlineLevel="0" collapsed="false">
      <c r="A16079" s="0" t="n">
        <f aca="false">ODDLYIELD(DATE(2024,4,20),DATE(2024,7,15),DATE(2024,1,15),0.1,101.5,100,1,0)</f>
        <v>0.03502110366686</v>
      </c>
      <c r="B16079" s="0" t="s">
        <v>15925</v>
      </c>
    </row>
    <row r="16080" customFormat="false" ht="15" hidden="false" customHeight="false" outlineLevel="0" collapsed="false">
      <c r="A16080" s="0" t="n">
        <f aca="false">ODDLYIELD(DATE(2024,4,20),DATE(2024,7,15),DATE(2024,1,15),0.05,100,100,1,0)</f>
        <v>0.0493488690884164</v>
      </c>
      <c r="B16080" s="0" t="s">
        <v>15926</v>
      </c>
    </row>
    <row r="16081" customFormat="false" ht="15" hidden="false" customHeight="false" outlineLevel="0" collapsed="false">
      <c r="A16081" s="0" t="n">
        <f aca="false">ODDLPRICE(DATE(2024,4,20),DATE(2024,7,15),DATE(2024,1,15),0.05,0.08,100,1,1)</f>
        <v>99.2838903914941</v>
      </c>
      <c r="B16081" s="0" t="s">
        <v>15927</v>
      </c>
    </row>
    <row r="16082" customFormat="false" ht="15" hidden="false" customHeight="false" outlineLevel="0" collapsed="false">
      <c r="A16082" s="0" t="n">
        <f aca="false">ODDLPRICE(DATE(2024,4,20),DATE(2024,7,15),DATE(2024,1,15),0.1,0.03,105,1,1)</f>
        <v>106.579935934899</v>
      </c>
      <c r="B16082" s="0" t="s">
        <v>15928</v>
      </c>
    </row>
    <row r="16083" customFormat="false" ht="15" hidden="false" customHeight="false" outlineLevel="0" collapsed="false">
      <c r="A16083" s="0" t="e">
        <f aca="false">ODDLPRICE(DATE(2024,4,20),DATE(2024,7,15),DATE(2024,1,15),0,0.05,100,1,1)</f>
        <v>#VALUE!</v>
      </c>
      <c r="B16083" s="0" t="s">
        <v>15929</v>
      </c>
    </row>
    <row r="16084" customFormat="false" ht="15" hidden="false" customHeight="false" outlineLevel="0" collapsed="false">
      <c r="A16084" s="0" t="n">
        <f aca="false">ODDLYIELD(DATE(2024,4,20),DATE(2024,7,15),DATE(2024,1,15),0.05,95,100,1,1)</f>
        <v>0.272855022266206</v>
      </c>
      <c r="B16084" s="0" t="s">
        <v>15930</v>
      </c>
    </row>
    <row r="16085" customFormat="false" ht="15" hidden="false" customHeight="false" outlineLevel="0" collapsed="false">
      <c r="A16085" s="0" t="n">
        <f aca="false">ODDLYIELD(DATE(2024,4,20),DATE(2024,7,15),DATE(2024,1,15),0.1,101.5,100,1,1)</f>
        <v>0.0347308546415513</v>
      </c>
      <c r="B16085" s="0" t="s">
        <v>15931</v>
      </c>
    </row>
    <row r="16086" customFormat="false" ht="15" hidden="false" customHeight="false" outlineLevel="0" collapsed="false">
      <c r="A16086" s="0" t="n">
        <f aca="false">ODDLYIELD(DATE(2024,4,20),DATE(2024,7,15),DATE(2024,1,15),0.05,100,100,1,1)</f>
        <v>0.0493527508090614</v>
      </c>
      <c r="B16086" s="0" t="s">
        <v>15932</v>
      </c>
    </row>
    <row r="16087" customFormat="false" ht="15" hidden="false" customHeight="false" outlineLevel="0" collapsed="false">
      <c r="A16087" s="0" t="n">
        <f aca="false">ODDLPRICE(DATE(2024,4,20),DATE(2024,7,15),DATE(2024,1,15),0.05,0.08,100,1,2)</f>
        <v>99.2717691524931</v>
      </c>
      <c r="B16087" s="0" t="s">
        <v>15933</v>
      </c>
    </row>
    <row r="16088" customFormat="false" ht="15" hidden="false" customHeight="false" outlineLevel="0" collapsed="false">
      <c r="A16088" s="0" t="n">
        <f aca="false">ODDLPRICE(DATE(2024,4,20),DATE(2024,7,15),DATE(2024,1,15),0.1,0.03,105,1,2)</f>
        <v>106.605769761156</v>
      </c>
      <c r="B16088" s="0" t="s">
        <v>15934</v>
      </c>
    </row>
    <row r="16089" customFormat="false" ht="15" hidden="false" customHeight="false" outlineLevel="0" collapsed="false">
      <c r="A16089" s="0" t="e">
        <f aca="false">ODDLPRICE(DATE(2024,4,20),DATE(2024,7,15),DATE(2024,1,15),0,0.05,100,1,2)</f>
        <v>#VALUE!</v>
      </c>
      <c r="B16089" s="0" t="s">
        <v>15935</v>
      </c>
    </row>
    <row r="16090" customFormat="false" ht="15" hidden="false" customHeight="false" outlineLevel="0" collapsed="false">
      <c r="A16090" s="0" t="n">
        <f aca="false">ODDLYIELD(DATE(2024,4,20),DATE(2024,7,15),DATE(2024,1,15),0.05,95,100,1,2)</f>
        <v>0.269171964271345</v>
      </c>
      <c r="B16090" s="0" t="s">
        <v>15936</v>
      </c>
    </row>
    <row r="16091" customFormat="false" ht="15" hidden="false" customHeight="false" outlineLevel="0" collapsed="false">
      <c r="A16091" s="0" t="n">
        <f aca="false">ODDLYIELD(DATE(2024,4,20),DATE(2024,7,15),DATE(2024,1,15),0.1,101.5,100,1,2)</f>
        <v>0.0357209302325579</v>
      </c>
      <c r="B16091" s="0" t="s">
        <v>15937</v>
      </c>
    </row>
    <row r="16092" customFormat="false" ht="15" hidden="false" customHeight="false" outlineLevel="0" collapsed="false">
      <c r="A16092" s="0" t="n">
        <f aca="false">ODDLYIELD(DATE(2024,4,20),DATE(2024,7,15),DATE(2024,1,15),0.05,100,100,1,2)</f>
        <v>0.0493421052631574</v>
      </c>
      <c r="B16092" s="0" t="s">
        <v>15938</v>
      </c>
    </row>
    <row r="16093" customFormat="false" ht="15" hidden="false" customHeight="false" outlineLevel="0" collapsed="false">
      <c r="A16093" s="0" t="n">
        <f aca="false">ODDLPRICE(DATE(2024,4,20),DATE(2024,7,15),DATE(2024,1,15),0.05,0.08,100,1,3)</f>
        <v>99.2818982703214</v>
      </c>
      <c r="B16093" s="0" t="s">
        <v>15939</v>
      </c>
    </row>
    <row r="16094" customFormat="false" ht="15" hidden="false" customHeight="false" outlineLevel="0" collapsed="false">
      <c r="A16094" s="0" t="n">
        <f aca="false">ODDLPRICE(DATE(2024,4,20),DATE(2024,7,15),DATE(2024,1,15),0.1,0.03,105,1,3)</f>
        <v>106.584183705793</v>
      </c>
      <c r="B16094" s="0" t="s">
        <v>15940</v>
      </c>
    </row>
    <row r="16095" customFormat="false" ht="15" hidden="false" customHeight="false" outlineLevel="0" collapsed="false">
      <c r="A16095" s="0" t="e">
        <f aca="false">ODDLPRICE(DATE(2024,4,20),DATE(2024,7,15),DATE(2024,1,15),0,0.05,100,1,3)</f>
        <v>#VALUE!</v>
      </c>
      <c r="B16095" s="0" t="s">
        <v>15941</v>
      </c>
    </row>
    <row r="16096" customFormat="false" ht="15" hidden="false" customHeight="false" outlineLevel="0" collapsed="false">
      <c r="A16096" s="0" t="n">
        <f aca="false">ODDLYIELD(DATE(2024,4,20),DATE(2024,7,15),DATE(2024,1,15),0.05,95,100,1,3)</f>
        <v>0.272241204235065</v>
      </c>
      <c r="B16096" s="0" t="s">
        <v>15942</v>
      </c>
    </row>
    <row r="16097" customFormat="false" ht="15" hidden="false" customHeight="false" outlineLevel="0" collapsed="false">
      <c r="A16097" s="0" t="n">
        <f aca="false">ODDLYIELD(DATE(2024,4,20),DATE(2024,7,15),DATE(2024,1,15),0.1,101.5,100,1,3)</f>
        <v>0.03489595841702</v>
      </c>
      <c r="B16097" s="0" t="s">
        <v>15943</v>
      </c>
    </row>
    <row r="16098" customFormat="false" ht="15" hidden="false" customHeight="false" outlineLevel="0" collapsed="false">
      <c r="A16098" s="0" t="n">
        <f aca="false">ODDLYIELD(DATE(2024,4,20),DATE(2024,7,15),DATE(2024,1,15),0.05,100,100,1,3)</f>
        <v>0.049351000540833</v>
      </c>
      <c r="B16098" s="0" t="s">
        <v>15944</v>
      </c>
    </row>
    <row r="16099" customFormat="false" ht="15" hidden="false" customHeight="false" outlineLevel="0" collapsed="false">
      <c r="A16099" s="0" t="n">
        <f aca="false">ODDLPRICE(DATE(2024,4,20),DATE(2024,7,15),DATE(2024,1,15),0.05,0.08,100,1,4)</f>
        <v>99.2803374530474</v>
      </c>
      <c r="B16099" s="0" t="s">
        <v>15945</v>
      </c>
    </row>
    <row r="16100" customFormat="false" ht="15" hidden="false" customHeight="false" outlineLevel="0" collapsed="false">
      <c r="A16100" s="0" t="n">
        <f aca="false">ODDLPRICE(DATE(2024,4,20),DATE(2024,7,15),DATE(2024,1,15),0.1,0.03,105,1,4)</f>
        <v>106.587424723027</v>
      </c>
      <c r="B16100" s="0" t="s">
        <v>15946</v>
      </c>
    </row>
    <row r="16101" customFormat="false" ht="15" hidden="false" customHeight="false" outlineLevel="0" collapsed="false">
      <c r="A16101" s="0" t="e">
        <f aca="false">ODDLPRICE(DATE(2024,4,20),DATE(2024,7,15),DATE(2024,1,15),0,0.05,100,1,4)</f>
        <v>#VALUE!</v>
      </c>
      <c r="B16101" s="0" t="s">
        <v>15947</v>
      </c>
    </row>
    <row r="16102" customFormat="false" ht="15" hidden="false" customHeight="false" outlineLevel="0" collapsed="false">
      <c r="A16102" s="0" t="n">
        <f aca="false">ODDLYIELD(DATE(2024,4,20),DATE(2024,7,15),DATE(2024,1,15),0.05,95,100,1,4)</f>
        <v>0.27176725051953</v>
      </c>
      <c r="B16102" s="0" t="s">
        <v>15948</v>
      </c>
    </row>
    <row r="16103" customFormat="false" ht="15" hidden="false" customHeight="false" outlineLevel="0" collapsed="false">
      <c r="A16103" s="0" t="n">
        <f aca="false">ODDLYIELD(DATE(2024,4,20),DATE(2024,7,15),DATE(2024,1,15),0.1,101.5,100,1,4)</f>
        <v>0.03502110366686</v>
      </c>
      <c r="B16103" s="0" t="s">
        <v>15949</v>
      </c>
    </row>
    <row r="16104" customFormat="false" ht="15" hidden="false" customHeight="false" outlineLevel="0" collapsed="false">
      <c r="A16104" s="0" t="n">
        <f aca="false">ODDLYIELD(DATE(2024,4,20),DATE(2024,7,15),DATE(2024,1,15),0.05,100,100,1,4)</f>
        <v>0.0493488690884164</v>
      </c>
      <c r="B16104" s="0" t="s">
        <v>15950</v>
      </c>
    </row>
    <row r="16105" customFormat="false" ht="15" hidden="false" customHeight="false" outlineLevel="0" collapsed="false">
      <c r="A16105" s="0" t="n">
        <f aca="false">ODDLPRICE(DATE(2024,4,20),DATE(2024,7,15),DATE(2024,1,15),0.05,0.08,100,2,0)</f>
        <v>99.2803374530474</v>
      </c>
      <c r="B16105" s="0" t="s">
        <v>15951</v>
      </c>
    </row>
    <row r="16106" customFormat="false" ht="15" hidden="false" customHeight="false" outlineLevel="0" collapsed="false">
      <c r="A16106" s="0" t="n">
        <f aca="false">ODDLPRICE(DATE(2024,4,20),DATE(2024,7,15),DATE(2024,1,15),0.1,0.03,105,2,0)</f>
        <v>106.587424723027</v>
      </c>
      <c r="B16106" s="0" t="s">
        <v>15952</v>
      </c>
    </row>
    <row r="16107" customFormat="false" ht="15" hidden="false" customHeight="false" outlineLevel="0" collapsed="false">
      <c r="A16107" s="0" t="e">
        <f aca="false">ODDLPRICE(DATE(2024,4,20),DATE(2024,7,15),DATE(2024,1,15),0,0.05,100,2,0)</f>
        <v>#VALUE!</v>
      </c>
      <c r="B16107" s="0" t="s">
        <v>15953</v>
      </c>
    </row>
    <row r="16108" customFormat="false" ht="15" hidden="false" customHeight="false" outlineLevel="0" collapsed="false">
      <c r="A16108" s="0" t="n">
        <f aca="false">ODDLYIELD(DATE(2024,4,20),DATE(2024,7,15),DATE(2024,1,15),0.05,95,100,2,0)</f>
        <v>0.27176725051953</v>
      </c>
      <c r="B16108" s="0" t="s">
        <v>15954</v>
      </c>
    </row>
    <row r="16109" customFormat="false" ht="15" hidden="false" customHeight="false" outlineLevel="0" collapsed="false">
      <c r="A16109" s="0" t="n">
        <f aca="false">ODDLYIELD(DATE(2024,4,20),DATE(2024,7,15),DATE(2024,1,15),0.1,101.5,100,2,0)</f>
        <v>0.03502110366686</v>
      </c>
      <c r="B16109" s="0" t="s">
        <v>15955</v>
      </c>
    </row>
    <row r="16110" customFormat="false" ht="15" hidden="false" customHeight="false" outlineLevel="0" collapsed="false">
      <c r="A16110" s="0" t="n">
        <f aca="false">ODDLYIELD(DATE(2024,4,20),DATE(2024,7,15),DATE(2024,1,15),0.05,100,100,2,0)</f>
        <v>0.0493488690884164</v>
      </c>
      <c r="B16110" s="0" t="s">
        <v>15956</v>
      </c>
    </row>
    <row r="16111" customFormat="false" ht="15" hidden="false" customHeight="false" outlineLevel="0" collapsed="false">
      <c r="A16111" s="0" t="n">
        <f aca="false">ODDLPRICE(DATE(2024,4,20),DATE(2024,7,15),DATE(2024,1,15),0.05,0.08,100,2,1)</f>
        <v>99.2838903914941</v>
      </c>
      <c r="B16111" s="0" t="s">
        <v>15957</v>
      </c>
    </row>
    <row r="16112" customFormat="false" ht="15" hidden="false" customHeight="false" outlineLevel="0" collapsed="false">
      <c r="A16112" s="0" t="n">
        <f aca="false">ODDLPRICE(DATE(2024,4,20),DATE(2024,7,15),DATE(2024,1,15),0.1,0.03,105,2,1)</f>
        <v>106.579935934899</v>
      </c>
      <c r="B16112" s="0" t="s">
        <v>15958</v>
      </c>
    </row>
    <row r="16113" customFormat="false" ht="15" hidden="false" customHeight="false" outlineLevel="0" collapsed="false">
      <c r="A16113" s="0" t="e">
        <f aca="false">ODDLPRICE(DATE(2024,4,20),DATE(2024,7,15),DATE(2024,1,15),0,0.05,100,2,1)</f>
        <v>#VALUE!</v>
      </c>
      <c r="B16113" s="0" t="s">
        <v>15959</v>
      </c>
    </row>
    <row r="16114" customFormat="false" ht="15" hidden="false" customHeight="false" outlineLevel="0" collapsed="false">
      <c r="A16114" s="0" t="n">
        <f aca="false">ODDLYIELD(DATE(2024,4,20),DATE(2024,7,15),DATE(2024,1,15),0.05,95,100,2,1)</f>
        <v>0.272855022266206</v>
      </c>
      <c r="B16114" s="0" t="s">
        <v>15960</v>
      </c>
    </row>
    <row r="16115" customFormat="false" ht="15" hidden="false" customHeight="false" outlineLevel="0" collapsed="false">
      <c r="A16115" s="0" t="n">
        <f aca="false">ODDLYIELD(DATE(2024,4,20),DATE(2024,7,15),DATE(2024,1,15),0.1,101.5,100,2,1)</f>
        <v>0.0347308546415513</v>
      </c>
      <c r="B16115" s="0" t="s">
        <v>15961</v>
      </c>
    </row>
    <row r="16116" customFormat="false" ht="15" hidden="false" customHeight="false" outlineLevel="0" collapsed="false">
      <c r="A16116" s="0" t="n">
        <f aca="false">ODDLYIELD(DATE(2024,4,20),DATE(2024,7,15),DATE(2024,1,15),0.05,100,100,2,1)</f>
        <v>0.0493527508090614</v>
      </c>
      <c r="B16116" s="0" t="s">
        <v>15962</v>
      </c>
    </row>
    <row r="16117" customFormat="false" ht="15" hidden="false" customHeight="false" outlineLevel="0" collapsed="false">
      <c r="A16117" s="0" t="n">
        <f aca="false">ODDLPRICE(DATE(2024,4,20),DATE(2024,7,15),DATE(2024,1,15),0.05,0.08,100,2,2)</f>
        <v>99.2717691524931</v>
      </c>
      <c r="B16117" s="0" t="s">
        <v>15963</v>
      </c>
    </row>
    <row r="16118" customFormat="false" ht="15" hidden="false" customHeight="false" outlineLevel="0" collapsed="false">
      <c r="A16118" s="0" t="n">
        <f aca="false">ODDLPRICE(DATE(2024,4,20),DATE(2024,7,15),DATE(2024,1,15),0.1,0.03,105,2,2)</f>
        <v>106.605769761156</v>
      </c>
      <c r="B16118" s="0" t="s">
        <v>15964</v>
      </c>
    </row>
    <row r="16119" customFormat="false" ht="15" hidden="false" customHeight="false" outlineLevel="0" collapsed="false">
      <c r="A16119" s="0" t="e">
        <f aca="false">ODDLPRICE(DATE(2024,4,20),DATE(2024,7,15),DATE(2024,1,15),0,0.05,100,2,2)</f>
        <v>#VALUE!</v>
      </c>
      <c r="B16119" s="0" t="s">
        <v>15965</v>
      </c>
    </row>
    <row r="16120" customFormat="false" ht="15" hidden="false" customHeight="false" outlineLevel="0" collapsed="false">
      <c r="A16120" s="0" t="n">
        <f aca="false">ODDLYIELD(DATE(2024,4,20),DATE(2024,7,15),DATE(2024,1,15),0.05,95,100,2,2)</f>
        <v>0.269171964271345</v>
      </c>
      <c r="B16120" s="0" t="s">
        <v>15966</v>
      </c>
    </row>
    <row r="16121" customFormat="false" ht="15" hidden="false" customHeight="false" outlineLevel="0" collapsed="false">
      <c r="A16121" s="0" t="n">
        <f aca="false">ODDLYIELD(DATE(2024,4,20),DATE(2024,7,15),DATE(2024,1,15),0.1,101.5,100,2,2)</f>
        <v>0.0357209302325579</v>
      </c>
      <c r="B16121" s="0" t="s">
        <v>15967</v>
      </c>
    </row>
    <row r="16122" customFormat="false" ht="15" hidden="false" customHeight="false" outlineLevel="0" collapsed="false">
      <c r="A16122" s="0" t="n">
        <f aca="false">ODDLYIELD(DATE(2024,4,20),DATE(2024,7,15),DATE(2024,1,15),0.05,100,100,2,2)</f>
        <v>0.0493421052631574</v>
      </c>
      <c r="B16122" s="0" t="s">
        <v>15968</v>
      </c>
    </row>
    <row r="16123" customFormat="false" ht="15" hidden="false" customHeight="false" outlineLevel="0" collapsed="false">
      <c r="A16123" s="0" t="n">
        <f aca="false">ODDLPRICE(DATE(2024,4,20),DATE(2024,7,15),DATE(2024,1,15),0.05,0.08,100,2,3)</f>
        <v>99.2818982703214</v>
      </c>
      <c r="B16123" s="0" t="s">
        <v>15969</v>
      </c>
    </row>
    <row r="16124" customFormat="false" ht="15" hidden="false" customHeight="false" outlineLevel="0" collapsed="false">
      <c r="A16124" s="0" t="n">
        <f aca="false">ODDLPRICE(DATE(2024,4,20),DATE(2024,7,15),DATE(2024,1,15),0.1,0.03,105,2,3)</f>
        <v>106.584183705793</v>
      </c>
      <c r="B16124" s="0" t="s">
        <v>15970</v>
      </c>
    </row>
    <row r="16125" customFormat="false" ht="15" hidden="false" customHeight="false" outlineLevel="0" collapsed="false">
      <c r="A16125" s="0" t="e">
        <f aca="false">ODDLPRICE(DATE(2024,4,20),DATE(2024,7,15),DATE(2024,1,15),0,0.05,100,2,3)</f>
        <v>#VALUE!</v>
      </c>
      <c r="B16125" s="0" t="s">
        <v>15971</v>
      </c>
    </row>
    <row r="16126" customFormat="false" ht="15" hidden="false" customHeight="false" outlineLevel="0" collapsed="false">
      <c r="A16126" s="0" t="n">
        <f aca="false">ODDLYIELD(DATE(2024,4,20),DATE(2024,7,15),DATE(2024,1,15),0.05,95,100,2,3)</f>
        <v>0.272241204235065</v>
      </c>
      <c r="B16126" s="0" t="s">
        <v>15972</v>
      </c>
    </row>
    <row r="16127" customFormat="false" ht="15" hidden="false" customHeight="false" outlineLevel="0" collapsed="false">
      <c r="A16127" s="0" t="n">
        <f aca="false">ODDLYIELD(DATE(2024,4,20),DATE(2024,7,15),DATE(2024,1,15),0.1,101.5,100,2,3)</f>
        <v>0.03489595841702</v>
      </c>
      <c r="B16127" s="0" t="s">
        <v>15973</v>
      </c>
    </row>
    <row r="16128" customFormat="false" ht="15" hidden="false" customHeight="false" outlineLevel="0" collapsed="false">
      <c r="A16128" s="0" t="n">
        <f aca="false">ODDLYIELD(DATE(2024,4,20),DATE(2024,7,15),DATE(2024,1,15),0.05,100,100,2,3)</f>
        <v>0.049351000540833</v>
      </c>
      <c r="B16128" s="0" t="s">
        <v>15974</v>
      </c>
    </row>
    <row r="16129" customFormat="false" ht="15" hidden="false" customHeight="false" outlineLevel="0" collapsed="false">
      <c r="A16129" s="0" t="n">
        <f aca="false">ODDLPRICE(DATE(2024,4,20),DATE(2024,7,15),DATE(2024,1,15),0.05,0.08,100,2,4)</f>
        <v>99.2803374530474</v>
      </c>
      <c r="B16129" s="0" t="s">
        <v>15975</v>
      </c>
    </row>
    <row r="16130" customFormat="false" ht="15" hidden="false" customHeight="false" outlineLevel="0" collapsed="false">
      <c r="A16130" s="0" t="n">
        <f aca="false">ODDLPRICE(DATE(2024,4,20),DATE(2024,7,15),DATE(2024,1,15),0.1,0.03,105,2,4)</f>
        <v>106.587424723027</v>
      </c>
      <c r="B16130" s="0" t="s">
        <v>15976</v>
      </c>
    </row>
    <row r="16131" customFormat="false" ht="15" hidden="false" customHeight="false" outlineLevel="0" collapsed="false">
      <c r="A16131" s="0" t="e">
        <f aca="false">ODDLPRICE(DATE(2024,4,20),DATE(2024,7,15),DATE(2024,1,15),0,0.05,100,2,4)</f>
        <v>#VALUE!</v>
      </c>
      <c r="B16131" s="0" t="s">
        <v>15977</v>
      </c>
    </row>
    <row r="16132" customFormat="false" ht="15" hidden="false" customHeight="false" outlineLevel="0" collapsed="false">
      <c r="A16132" s="0" t="n">
        <f aca="false">ODDLYIELD(DATE(2024,4,20),DATE(2024,7,15),DATE(2024,1,15),0.05,95,100,2,4)</f>
        <v>0.27176725051953</v>
      </c>
      <c r="B16132" s="0" t="s">
        <v>15978</v>
      </c>
    </row>
    <row r="16133" customFormat="false" ht="15" hidden="false" customHeight="false" outlineLevel="0" collapsed="false">
      <c r="A16133" s="0" t="n">
        <f aca="false">ODDLYIELD(DATE(2024,4,20),DATE(2024,7,15),DATE(2024,1,15),0.1,101.5,100,2,4)</f>
        <v>0.03502110366686</v>
      </c>
      <c r="B16133" s="0" t="s">
        <v>15979</v>
      </c>
    </row>
    <row r="16134" customFormat="false" ht="15" hidden="false" customHeight="false" outlineLevel="0" collapsed="false">
      <c r="A16134" s="0" t="n">
        <f aca="false">ODDLYIELD(DATE(2024,4,20),DATE(2024,7,15),DATE(2024,1,15),0.05,100,100,2,4)</f>
        <v>0.0493488690884164</v>
      </c>
      <c r="B16134" s="0" t="s">
        <v>15980</v>
      </c>
    </row>
    <row r="16135" customFormat="false" ht="15" hidden="false" customHeight="false" outlineLevel="0" collapsed="false">
      <c r="A16135" s="0" t="n">
        <f aca="false">ODDLPRICE(DATE(2024,4,20),DATE(2024,7,15),DATE(2024,1,15),0.05,0.08,100,4,0)</f>
        <v>99.2803374530474</v>
      </c>
      <c r="B16135" s="0" t="s">
        <v>15981</v>
      </c>
    </row>
    <row r="16136" customFormat="false" ht="15" hidden="false" customHeight="false" outlineLevel="0" collapsed="false">
      <c r="A16136" s="0" t="n">
        <f aca="false">ODDLPRICE(DATE(2024,4,20),DATE(2024,7,15),DATE(2024,1,15),0.1,0.03,105,4,0)</f>
        <v>106.587424723027</v>
      </c>
      <c r="B16136" s="0" t="s">
        <v>15982</v>
      </c>
    </row>
    <row r="16137" customFormat="false" ht="15" hidden="false" customHeight="false" outlineLevel="0" collapsed="false">
      <c r="A16137" s="0" t="e">
        <f aca="false">ODDLPRICE(DATE(2024,4,20),DATE(2024,7,15),DATE(2024,1,15),0,0.05,100,4,0)</f>
        <v>#VALUE!</v>
      </c>
      <c r="B16137" s="0" t="s">
        <v>15983</v>
      </c>
    </row>
    <row r="16138" customFormat="false" ht="15" hidden="false" customHeight="false" outlineLevel="0" collapsed="false">
      <c r="A16138" s="0" t="n">
        <f aca="false">ODDLYIELD(DATE(2024,4,20),DATE(2024,7,15),DATE(2024,1,15),0.05,95,100,4,0)</f>
        <v>0.27176725051953</v>
      </c>
      <c r="B16138" s="0" t="s">
        <v>15984</v>
      </c>
    </row>
    <row r="16139" customFormat="false" ht="15" hidden="false" customHeight="false" outlineLevel="0" collapsed="false">
      <c r="A16139" s="0" t="n">
        <f aca="false">ODDLYIELD(DATE(2024,4,20),DATE(2024,7,15),DATE(2024,1,15),0.1,101.5,100,4,0)</f>
        <v>0.03502110366686</v>
      </c>
      <c r="B16139" s="0" t="s">
        <v>15985</v>
      </c>
    </row>
    <row r="16140" customFormat="false" ht="15" hidden="false" customHeight="false" outlineLevel="0" collapsed="false">
      <c r="A16140" s="0" t="n">
        <f aca="false">ODDLYIELD(DATE(2024,4,20),DATE(2024,7,15),DATE(2024,1,15),0.05,100,100,4,0)</f>
        <v>0.0493488690884164</v>
      </c>
      <c r="B16140" s="0" t="s">
        <v>15986</v>
      </c>
    </row>
    <row r="16141" customFormat="false" ht="15" hidden="false" customHeight="false" outlineLevel="0" collapsed="false">
      <c r="A16141" s="0" t="n">
        <f aca="false">ODDLPRICE(DATE(2024,4,20),DATE(2024,7,15),DATE(2024,1,15),0.05,0.08,100,4,1)</f>
        <v>99.2838903914941</v>
      </c>
      <c r="B16141" s="0" t="s">
        <v>15987</v>
      </c>
    </row>
    <row r="16142" customFormat="false" ht="15" hidden="false" customHeight="false" outlineLevel="0" collapsed="false">
      <c r="A16142" s="0" t="n">
        <f aca="false">ODDLPRICE(DATE(2024,4,20),DATE(2024,7,15),DATE(2024,1,15),0.1,0.03,105,4,1)</f>
        <v>106.579935934899</v>
      </c>
      <c r="B16142" s="0" t="s">
        <v>15988</v>
      </c>
    </row>
    <row r="16143" customFormat="false" ht="15" hidden="false" customHeight="false" outlineLevel="0" collapsed="false">
      <c r="A16143" s="0" t="e">
        <f aca="false">ODDLPRICE(DATE(2024,4,20),DATE(2024,7,15),DATE(2024,1,15),0,0.05,100,4,1)</f>
        <v>#VALUE!</v>
      </c>
      <c r="B16143" s="0" t="s">
        <v>15989</v>
      </c>
    </row>
    <row r="16144" customFormat="false" ht="15" hidden="false" customHeight="false" outlineLevel="0" collapsed="false">
      <c r="A16144" s="0" t="n">
        <f aca="false">ODDLYIELD(DATE(2024,4,20),DATE(2024,7,15),DATE(2024,1,15),0.05,95,100,4,1)</f>
        <v>0.272855022266206</v>
      </c>
      <c r="B16144" s="0" t="s">
        <v>15990</v>
      </c>
    </row>
    <row r="16145" customFormat="false" ht="15" hidden="false" customHeight="false" outlineLevel="0" collapsed="false">
      <c r="A16145" s="0" t="n">
        <f aca="false">ODDLYIELD(DATE(2024,4,20),DATE(2024,7,15),DATE(2024,1,15),0.1,101.5,100,4,1)</f>
        <v>0.0347308546415513</v>
      </c>
      <c r="B16145" s="0" t="s">
        <v>15991</v>
      </c>
    </row>
    <row r="16146" customFormat="false" ht="15" hidden="false" customHeight="false" outlineLevel="0" collapsed="false">
      <c r="A16146" s="0" t="n">
        <f aca="false">ODDLYIELD(DATE(2024,4,20),DATE(2024,7,15),DATE(2024,1,15),0.05,100,100,4,1)</f>
        <v>0.0493527508090614</v>
      </c>
      <c r="B16146" s="0" t="s">
        <v>15992</v>
      </c>
    </row>
    <row r="16147" customFormat="false" ht="15" hidden="false" customHeight="false" outlineLevel="0" collapsed="false">
      <c r="A16147" s="0" t="n">
        <f aca="false">ODDLPRICE(DATE(2024,4,20),DATE(2024,7,15),DATE(2024,1,15),0.05,0.08,100,4,2)</f>
        <v>99.2717691524931</v>
      </c>
      <c r="B16147" s="0" t="s">
        <v>15993</v>
      </c>
    </row>
    <row r="16148" customFormat="false" ht="15" hidden="false" customHeight="false" outlineLevel="0" collapsed="false">
      <c r="A16148" s="0" t="n">
        <f aca="false">ODDLPRICE(DATE(2024,4,20),DATE(2024,7,15),DATE(2024,1,15),0.1,0.03,105,4,2)</f>
        <v>106.605769761156</v>
      </c>
      <c r="B16148" s="0" t="s">
        <v>15994</v>
      </c>
    </row>
    <row r="16149" customFormat="false" ht="15" hidden="false" customHeight="false" outlineLevel="0" collapsed="false">
      <c r="A16149" s="0" t="e">
        <f aca="false">ODDLPRICE(DATE(2024,4,20),DATE(2024,7,15),DATE(2024,1,15),0,0.05,100,4,2)</f>
        <v>#VALUE!</v>
      </c>
      <c r="B16149" s="0" t="s">
        <v>15995</v>
      </c>
    </row>
    <row r="16150" customFormat="false" ht="15" hidden="false" customHeight="false" outlineLevel="0" collapsed="false">
      <c r="A16150" s="0" t="n">
        <f aca="false">ODDLYIELD(DATE(2024,4,20),DATE(2024,7,15),DATE(2024,1,15),0.05,95,100,4,2)</f>
        <v>0.269171964271345</v>
      </c>
      <c r="B16150" s="0" t="s">
        <v>15996</v>
      </c>
    </row>
    <row r="16151" customFormat="false" ht="15" hidden="false" customHeight="false" outlineLevel="0" collapsed="false">
      <c r="A16151" s="0" t="n">
        <f aca="false">ODDLYIELD(DATE(2024,4,20),DATE(2024,7,15),DATE(2024,1,15),0.1,101.5,100,4,2)</f>
        <v>0.0357209302325579</v>
      </c>
      <c r="B16151" s="0" t="s">
        <v>15997</v>
      </c>
    </row>
    <row r="16152" customFormat="false" ht="15" hidden="false" customHeight="false" outlineLevel="0" collapsed="false">
      <c r="A16152" s="0" t="n">
        <f aca="false">ODDLYIELD(DATE(2024,4,20),DATE(2024,7,15),DATE(2024,1,15),0.05,100,100,4,2)</f>
        <v>0.0493421052631574</v>
      </c>
      <c r="B16152" s="0" t="s">
        <v>15998</v>
      </c>
    </row>
    <row r="16153" customFormat="false" ht="15" hidden="false" customHeight="false" outlineLevel="0" collapsed="false">
      <c r="A16153" s="0" t="n">
        <f aca="false">ODDLPRICE(DATE(2024,4,20),DATE(2024,7,15),DATE(2024,1,15),0.05,0.08,100,4,3)</f>
        <v>99.2818982703214</v>
      </c>
      <c r="B16153" s="0" t="s">
        <v>15999</v>
      </c>
    </row>
    <row r="16154" customFormat="false" ht="15" hidden="false" customHeight="false" outlineLevel="0" collapsed="false">
      <c r="A16154" s="0" t="n">
        <f aca="false">ODDLPRICE(DATE(2024,4,20),DATE(2024,7,15),DATE(2024,1,15),0.1,0.03,105,4,3)</f>
        <v>106.584183705793</v>
      </c>
      <c r="B16154" s="0" t="s">
        <v>16000</v>
      </c>
    </row>
    <row r="16155" customFormat="false" ht="15" hidden="false" customHeight="false" outlineLevel="0" collapsed="false">
      <c r="A16155" s="0" t="e">
        <f aca="false">ODDLPRICE(DATE(2024,4,20),DATE(2024,7,15),DATE(2024,1,15),0,0.05,100,4,3)</f>
        <v>#VALUE!</v>
      </c>
      <c r="B16155" s="0" t="s">
        <v>16001</v>
      </c>
    </row>
    <row r="16156" customFormat="false" ht="15" hidden="false" customHeight="false" outlineLevel="0" collapsed="false">
      <c r="A16156" s="0" t="n">
        <f aca="false">ODDLYIELD(DATE(2024,4,20),DATE(2024,7,15),DATE(2024,1,15),0.05,95,100,4,3)</f>
        <v>0.272241204235065</v>
      </c>
      <c r="B16156" s="0" t="s">
        <v>16002</v>
      </c>
    </row>
    <row r="16157" customFormat="false" ht="15" hidden="false" customHeight="false" outlineLevel="0" collapsed="false">
      <c r="A16157" s="0" t="n">
        <f aca="false">ODDLYIELD(DATE(2024,4,20),DATE(2024,7,15),DATE(2024,1,15),0.1,101.5,100,4,3)</f>
        <v>0.03489595841702</v>
      </c>
      <c r="B16157" s="0" t="s">
        <v>16003</v>
      </c>
    </row>
    <row r="16158" customFormat="false" ht="15" hidden="false" customHeight="false" outlineLevel="0" collapsed="false">
      <c r="A16158" s="0" t="n">
        <f aca="false">ODDLYIELD(DATE(2024,4,20),DATE(2024,7,15),DATE(2024,1,15),0.05,100,100,4,3)</f>
        <v>0.049351000540833</v>
      </c>
      <c r="B16158" s="0" t="s">
        <v>16004</v>
      </c>
    </row>
    <row r="16159" customFormat="false" ht="15" hidden="false" customHeight="false" outlineLevel="0" collapsed="false">
      <c r="A16159" s="0" t="n">
        <f aca="false">ODDLPRICE(DATE(2024,4,20),DATE(2024,7,15),DATE(2024,1,15),0.05,0.08,100,4,4)</f>
        <v>99.2803374530474</v>
      </c>
      <c r="B16159" s="0" t="s">
        <v>16005</v>
      </c>
    </row>
    <row r="16160" customFormat="false" ht="15" hidden="false" customHeight="false" outlineLevel="0" collapsed="false">
      <c r="A16160" s="0" t="n">
        <f aca="false">ODDLPRICE(DATE(2024,4,20),DATE(2024,7,15),DATE(2024,1,15),0.1,0.03,105,4,4)</f>
        <v>106.587424723027</v>
      </c>
      <c r="B16160" s="0" t="s">
        <v>16006</v>
      </c>
    </row>
    <row r="16161" customFormat="false" ht="15" hidden="false" customHeight="false" outlineLevel="0" collapsed="false">
      <c r="A16161" s="0" t="e">
        <f aca="false">ODDLPRICE(DATE(2024,4,20),DATE(2024,7,15),DATE(2024,1,15),0,0.05,100,4,4)</f>
        <v>#VALUE!</v>
      </c>
      <c r="B16161" s="0" t="s">
        <v>16007</v>
      </c>
    </row>
    <row r="16162" customFormat="false" ht="15" hidden="false" customHeight="false" outlineLevel="0" collapsed="false">
      <c r="A16162" s="0" t="n">
        <f aca="false">ODDLYIELD(DATE(2024,4,20),DATE(2024,7,15),DATE(2024,1,15),0.05,95,100,4,4)</f>
        <v>0.27176725051953</v>
      </c>
      <c r="B16162" s="0" t="s">
        <v>16008</v>
      </c>
    </row>
    <row r="16163" customFormat="false" ht="15" hidden="false" customHeight="false" outlineLevel="0" collapsed="false">
      <c r="A16163" s="0" t="n">
        <f aca="false">ODDLYIELD(DATE(2024,4,20),DATE(2024,7,15),DATE(2024,1,15),0.1,101.5,100,4,4)</f>
        <v>0.03502110366686</v>
      </c>
      <c r="B16163" s="0" t="s">
        <v>16009</v>
      </c>
    </row>
    <row r="16164" customFormat="false" ht="15" hidden="false" customHeight="false" outlineLevel="0" collapsed="false">
      <c r="A16164" s="0" t="n">
        <f aca="false">ODDLYIELD(DATE(2024,4,20),DATE(2024,7,15),DATE(2024,1,15),0.05,100,100,4,4)</f>
        <v>0.0493488690884164</v>
      </c>
      <c r="B16164" s="0" t="s">
        <v>16010</v>
      </c>
    </row>
    <row r="16165" customFormat="false" ht="15" hidden="false" customHeight="false" outlineLevel="0" collapsed="false">
      <c r="A16165" s="0" t="n">
        <f aca="false">ODDLPRICE(DATE(2024,8,1),DATE(2025,8,15),DATE(2024,7,15),0.05,0.08,100,1,0)</f>
        <v>97.1054347330506</v>
      </c>
      <c r="B16165" s="0" t="s">
        <v>16011</v>
      </c>
    </row>
    <row r="16166" customFormat="false" ht="15" hidden="false" customHeight="false" outlineLevel="0" collapsed="false">
      <c r="A16166" s="0" t="n">
        <f aca="false">ODDLPRICE(DATE(2024,8,1),DATE(2025,8,15),DATE(2024,7,15),0.1,0.03,105,1,0)</f>
        <v>111.887865237146</v>
      </c>
      <c r="B16166" s="0" t="s">
        <v>16012</v>
      </c>
    </row>
    <row r="16167" customFormat="false" ht="15" hidden="false" customHeight="false" outlineLevel="0" collapsed="false">
      <c r="A16167" s="0" t="e">
        <f aca="false">ODDLPRICE(DATE(2024,8,1),DATE(2025,8,15),DATE(2024,7,15),0,0.05,100,1,0)</f>
        <v>#VALUE!</v>
      </c>
      <c r="B16167" s="0" t="s">
        <v>16013</v>
      </c>
    </row>
    <row r="16168" customFormat="false" ht="15" hidden="false" customHeight="false" outlineLevel="0" collapsed="false">
      <c r="A16168" s="0" t="n">
        <f aca="false">ODDLYIELD(DATE(2024,8,1),DATE(2025,8,15),DATE(2024,7,15),0.05,95,100,1,0)</f>
        <v>0.103051934680736</v>
      </c>
      <c r="B16168" s="0" t="s">
        <v>16014</v>
      </c>
    </row>
    <row r="16169" customFormat="false" ht="15" hidden="false" customHeight="false" outlineLevel="0" collapsed="false">
      <c r="A16169" s="0" t="n">
        <f aca="false">ODDLYIELD(DATE(2024,8,1),DATE(2025,8,15),DATE(2024,7,15),0.1,101.5,100,1,0)</f>
        <v>0.0839295341619432</v>
      </c>
      <c r="B16169" s="0" t="s">
        <v>16015</v>
      </c>
    </row>
    <row r="16170" customFormat="false" ht="15" hidden="false" customHeight="false" outlineLevel="0" collapsed="false">
      <c r="A16170" s="0" t="n">
        <f aca="false">ODDLYIELD(DATE(2024,8,1),DATE(2025,8,15),DATE(2024,7,15),0.05,100,100,1,0)</f>
        <v>0.0498891352549889</v>
      </c>
      <c r="B16170" s="0" t="s">
        <v>16016</v>
      </c>
    </row>
    <row r="16171" customFormat="false" ht="15" hidden="false" customHeight="false" outlineLevel="0" collapsed="false">
      <c r="A16171" s="0" t="n">
        <f aca="false">ODDLPRICE(DATE(2024,8,1),DATE(2025,8,15),DATE(2024,7,15),0.05,0.08,100,1,1)</f>
        <v>97.1099858273052</v>
      </c>
      <c r="B16171" s="0" t="s">
        <v>16017</v>
      </c>
    </row>
    <row r="16172" customFormat="false" ht="15" hidden="false" customHeight="false" outlineLevel="0" collapsed="false">
      <c r="A16172" s="0" t="n">
        <f aca="false">ODDLPRICE(DATE(2024,8,1),DATE(2025,8,15),DATE(2024,7,15),0.1,0.03,105,1,1)</f>
        <v>111.87531799532</v>
      </c>
      <c r="B16172" s="0" t="s">
        <v>16018</v>
      </c>
    </row>
    <row r="16173" customFormat="false" ht="15" hidden="false" customHeight="false" outlineLevel="0" collapsed="false">
      <c r="A16173" s="0" t="e">
        <f aca="false">ODDLPRICE(DATE(2024,8,1),DATE(2025,8,15),DATE(2024,7,15),0,0.05,100,1,1)</f>
        <v>#VALUE!</v>
      </c>
      <c r="B16173" s="0" t="s">
        <v>16019</v>
      </c>
    </row>
    <row r="16174" customFormat="false" ht="15" hidden="false" customHeight="false" outlineLevel="0" collapsed="false">
      <c r="A16174" s="0" t="n">
        <f aca="false">ODDLYIELD(DATE(2024,8,1),DATE(2025,8,15),DATE(2024,7,15),0.05,95,100,1,1)</f>
        <v>0.103139504823791</v>
      </c>
      <c r="B16174" s="0" t="s">
        <v>16020</v>
      </c>
    </row>
    <row r="16175" customFormat="false" ht="15" hidden="false" customHeight="false" outlineLevel="0" collapsed="false">
      <c r="A16175" s="0" t="n">
        <f aca="false">ODDLYIELD(DATE(2024,8,1),DATE(2025,8,15),DATE(2024,7,15),0.1,101.5,100,1,1)</f>
        <v>0.0838923787715993</v>
      </c>
      <c r="B16175" s="0" t="s">
        <v>16021</v>
      </c>
    </row>
    <row r="16176" customFormat="false" ht="15" hidden="false" customHeight="false" outlineLevel="0" collapsed="false">
      <c r="A16176" s="0" t="n">
        <f aca="false">ODDLYIELD(DATE(2024,8,1),DATE(2025,8,15),DATE(2024,7,15),0.05,100,100,1,1)</f>
        <v>0.0498872055936531</v>
      </c>
      <c r="B16176" s="0" t="s">
        <v>16022</v>
      </c>
    </row>
    <row r="16177" customFormat="false" ht="15" hidden="false" customHeight="false" outlineLevel="0" collapsed="false">
      <c r="A16177" s="0" t="n">
        <f aca="false">ODDLPRICE(DATE(2024,8,1),DATE(2025,8,15),DATE(2024,7,15),0.05,0.08,100,1,2)</f>
        <v>97.068664457653</v>
      </c>
      <c r="B16177" s="0" t="s">
        <v>16023</v>
      </c>
    </row>
    <row r="16178" customFormat="false" ht="15" hidden="false" customHeight="false" outlineLevel="0" collapsed="false">
      <c r="A16178" s="0" t="n">
        <f aca="false">ODDLPRICE(DATE(2024,8,1),DATE(2025,8,15),DATE(2024,7,15),0.1,0.03,105,1,2)</f>
        <v>111.976279272244</v>
      </c>
      <c r="B16178" s="0" t="s">
        <v>16024</v>
      </c>
    </row>
    <row r="16179" customFormat="false" ht="15" hidden="false" customHeight="false" outlineLevel="0" collapsed="false">
      <c r="A16179" s="0" t="e">
        <f aca="false">ODDLPRICE(DATE(2024,8,1),DATE(2025,8,15),DATE(2024,7,15),0,0.05,100,1,2)</f>
        <v>#VALUE!</v>
      </c>
      <c r="B16179" s="0" t="s">
        <v>16025</v>
      </c>
    </row>
    <row r="16180" customFormat="false" ht="15" hidden="false" customHeight="false" outlineLevel="0" collapsed="false">
      <c r="A16180" s="0" t="n">
        <f aca="false">ODDLYIELD(DATE(2024,8,1),DATE(2025,8,15),DATE(2024,7,15),0.05,95,100,1,2)</f>
        <v>0.102370206591265</v>
      </c>
      <c r="B16180" s="0" t="s">
        <v>16026</v>
      </c>
    </row>
    <row r="16181" customFormat="false" ht="15" hidden="false" customHeight="false" outlineLevel="0" collapsed="false">
      <c r="A16181" s="0" t="n">
        <f aca="false">ODDLYIELD(DATE(2024,8,1),DATE(2025,8,15),DATE(2024,7,15),0.1,101.5,100,1,2)</f>
        <v>0.0840934688124636</v>
      </c>
      <c r="B16181" s="0" t="s">
        <v>16027</v>
      </c>
    </row>
    <row r="16182" customFormat="false" ht="15" hidden="false" customHeight="false" outlineLevel="0" collapsed="false">
      <c r="A16182" s="0" t="n">
        <f aca="false">ODDLYIELD(DATE(2024,8,1),DATE(2025,8,15),DATE(2024,7,15),0.05,100,100,1,2)</f>
        <v>0.0498822225301372</v>
      </c>
      <c r="B16182" s="0" t="s">
        <v>16028</v>
      </c>
    </row>
    <row r="16183" customFormat="false" ht="15" hidden="false" customHeight="false" outlineLevel="0" collapsed="false">
      <c r="A16183" s="0" t="n">
        <f aca="false">ODDLPRICE(DATE(2024,8,1),DATE(2025,8,15),DATE(2024,7,15),0.05,0.08,100,1,3)</f>
        <v>97.1059880048624</v>
      </c>
      <c r="B16183" s="0" t="s">
        <v>16029</v>
      </c>
    </row>
    <row r="16184" customFormat="false" ht="15" hidden="false" customHeight="false" outlineLevel="0" collapsed="false">
      <c r="A16184" s="0" t="n">
        <f aca="false">ODDLPRICE(DATE(2024,8,1),DATE(2025,8,15),DATE(2024,7,15),0.1,0.03,105,1,3)</f>
        <v>111.883796220638</v>
      </c>
      <c r="B16184" s="0" t="s">
        <v>16030</v>
      </c>
    </row>
    <row r="16185" customFormat="false" ht="15" hidden="false" customHeight="false" outlineLevel="0" collapsed="false">
      <c r="A16185" s="0" t="e">
        <f aca="false">ODDLPRICE(DATE(2024,8,1),DATE(2025,8,15),DATE(2024,7,15),0,0.05,100,1,3)</f>
        <v>#VALUE!</v>
      </c>
      <c r="B16185" s="0" t="s">
        <v>16031</v>
      </c>
    </row>
    <row r="16186" customFormat="false" ht="15" hidden="false" customHeight="false" outlineLevel="0" collapsed="false">
      <c r="A16186" s="0" t="n">
        <f aca="false">ODDLYIELD(DATE(2024,8,1),DATE(2025,8,15),DATE(2024,7,15),0.05,95,100,1,3)</f>
        <v>0.103066333486159</v>
      </c>
      <c r="B16186" s="0" t="s">
        <v>16032</v>
      </c>
    </row>
    <row r="16187" customFormat="false" ht="15" hidden="false" customHeight="false" outlineLevel="0" collapsed="false">
      <c r="A16187" s="0" t="n">
        <f aca="false">ODDLYIELD(DATE(2024,8,1),DATE(2025,8,15),DATE(2024,7,15),0.1,101.5,100,1,3)</f>
        <v>0.0839047296139272</v>
      </c>
      <c r="B16187" s="0" t="s">
        <v>16033</v>
      </c>
    </row>
    <row r="16188" customFormat="false" ht="15" hidden="false" customHeight="false" outlineLevel="0" collapsed="false">
      <c r="A16188" s="0" t="n">
        <f aca="false">ODDLYIELD(DATE(2024,8,1),DATE(2025,8,15),DATE(2024,7,15),0.05,100,100,1,3)</f>
        <v>0.0498838321716552</v>
      </c>
      <c r="B16188" s="0" t="s">
        <v>16034</v>
      </c>
    </row>
    <row r="16189" customFormat="false" ht="15" hidden="false" customHeight="false" outlineLevel="0" collapsed="false">
      <c r="A16189" s="0" t="n">
        <f aca="false">ODDLPRICE(DATE(2024,8,1),DATE(2025,8,15),DATE(2024,7,15),0.05,0.08,100,1,4)</f>
        <v>97.1054347330506</v>
      </c>
      <c r="B16189" s="0" t="s">
        <v>16035</v>
      </c>
    </row>
    <row r="16190" customFormat="false" ht="15" hidden="false" customHeight="false" outlineLevel="0" collapsed="false">
      <c r="A16190" s="0" t="n">
        <f aca="false">ODDLPRICE(DATE(2024,8,1),DATE(2025,8,15),DATE(2024,7,15),0.1,0.03,105,1,4)</f>
        <v>111.887865237146</v>
      </c>
      <c r="B16190" s="0" t="s">
        <v>16036</v>
      </c>
    </row>
    <row r="16191" customFormat="false" ht="15" hidden="false" customHeight="false" outlineLevel="0" collapsed="false">
      <c r="A16191" s="0" t="e">
        <f aca="false">ODDLPRICE(DATE(2024,8,1),DATE(2025,8,15),DATE(2024,7,15),0,0.05,100,1,4)</f>
        <v>#VALUE!</v>
      </c>
      <c r="B16191" s="0" t="s">
        <v>16037</v>
      </c>
    </row>
    <row r="16192" customFormat="false" ht="15" hidden="false" customHeight="false" outlineLevel="0" collapsed="false">
      <c r="A16192" s="0" t="n">
        <f aca="false">ODDLYIELD(DATE(2024,8,1),DATE(2025,8,15),DATE(2024,7,15),0.05,95,100,1,4)</f>
        <v>0.103051934680736</v>
      </c>
      <c r="B16192" s="0" t="s">
        <v>16038</v>
      </c>
    </row>
    <row r="16193" customFormat="false" ht="15" hidden="false" customHeight="false" outlineLevel="0" collapsed="false">
      <c r="A16193" s="0" t="n">
        <f aca="false">ODDLYIELD(DATE(2024,8,1),DATE(2025,8,15),DATE(2024,7,15),0.1,101.5,100,1,4)</f>
        <v>0.0839295341619432</v>
      </c>
      <c r="B16193" s="0" t="s">
        <v>16039</v>
      </c>
    </row>
    <row r="16194" customFormat="false" ht="15" hidden="false" customHeight="false" outlineLevel="0" collapsed="false">
      <c r="A16194" s="0" t="n">
        <f aca="false">ODDLYIELD(DATE(2024,8,1),DATE(2025,8,15),DATE(2024,7,15),0.05,100,100,1,4)</f>
        <v>0.0498891352549889</v>
      </c>
      <c r="B16194" s="0" t="s">
        <v>16040</v>
      </c>
    </row>
    <row r="16195" customFormat="false" ht="15" hidden="false" customHeight="false" outlineLevel="0" collapsed="false">
      <c r="A16195" s="0" t="n">
        <f aca="false">ODDLPRICE(DATE(2024,8,1),DATE(2025,8,15),DATE(2024,7,15),0.05,0.08,100,2,0)</f>
        <v>97.1054347330506</v>
      </c>
      <c r="B16195" s="0" t="s">
        <v>16041</v>
      </c>
    </row>
    <row r="16196" customFormat="false" ht="15" hidden="false" customHeight="false" outlineLevel="0" collapsed="false">
      <c r="A16196" s="0" t="n">
        <f aca="false">ODDLPRICE(DATE(2024,8,1),DATE(2025,8,15),DATE(2024,7,15),0.1,0.03,105,2,0)</f>
        <v>111.887865237146</v>
      </c>
      <c r="B16196" s="0" t="s">
        <v>16042</v>
      </c>
    </row>
    <row r="16197" customFormat="false" ht="15" hidden="false" customHeight="false" outlineLevel="0" collapsed="false">
      <c r="A16197" s="0" t="e">
        <f aca="false">ODDLPRICE(DATE(2024,8,1),DATE(2025,8,15),DATE(2024,7,15),0,0.05,100,2,0)</f>
        <v>#VALUE!</v>
      </c>
      <c r="B16197" s="0" t="s">
        <v>16043</v>
      </c>
    </row>
    <row r="16198" customFormat="false" ht="15" hidden="false" customHeight="false" outlineLevel="0" collapsed="false">
      <c r="A16198" s="0" t="n">
        <f aca="false">ODDLYIELD(DATE(2024,8,1),DATE(2025,8,15),DATE(2024,7,15),0.05,95,100,2,0)</f>
        <v>0.103051934680736</v>
      </c>
      <c r="B16198" s="0" t="s">
        <v>16044</v>
      </c>
    </row>
    <row r="16199" customFormat="false" ht="15" hidden="false" customHeight="false" outlineLevel="0" collapsed="false">
      <c r="A16199" s="0" t="n">
        <f aca="false">ODDLYIELD(DATE(2024,8,1),DATE(2025,8,15),DATE(2024,7,15),0.1,101.5,100,2,0)</f>
        <v>0.0839295341619432</v>
      </c>
      <c r="B16199" s="0" t="s">
        <v>16045</v>
      </c>
    </row>
    <row r="16200" customFormat="false" ht="15" hidden="false" customHeight="false" outlineLevel="0" collapsed="false">
      <c r="A16200" s="0" t="n">
        <f aca="false">ODDLYIELD(DATE(2024,8,1),DATE(2025,8,15),DATE(2024,7,15),0.05,100,100,2,0)</f>
        <v>0.0498891352549889</v>
      </c>
      <c r="B16200" s="0" t="s">
        <v>16046</v>
      </c>
    </row>
    <row r="16201" customFormat="false" ht="15" hidden="false" customHeight="false" outlineLevel="0" collapsed="false">
      <c r="A16201" s="0" t="n">
        <f aca="false">ODDLPRICE(DATE(2024,8,1),DATE(2025,8,15),DATE(2024,7,15),0.05,0.08,100,2,1)</f>
        <v>97.1099858273052</v>
      </c>
      <c r="B16201" s="0" t="s">
        <v>16047</v>
      </c>
    </row>
    <row r="16202" customFormat="false" ht="15" hidden="false" customHeight="false" outlineLevel="0" collapsed="false">
      <c r="A16202" s="0" t="n">
        <f aca="false">ODDLPRICE(DATE(2024,8,1),DATE(2025,8,15),DATE(2024,7,15),0.1,0.03,105,2,1)</f>
        <v>111.87531799532</v>
      </c>
      <c r="B16202" s="0" t="s">
        <v>16048</v>
      </c>
    </row>
    <row r="16203" customFormat="false" ht="15" hidden="false" customHeight="false" outlineLevel="0" collapsed="false">
      <c r="A16203" s="0" t="e">
        <f aca="false">ODDLPRICE(DATE(2024,8,1),DATE(2025,8,15),DATE(2024,7,15),0,0.05,100,2,1)</f>
        <v>#VALUE!</v>
      </c>
      <c r="B16203" s="0" t="s">
        <v>16049</v>
      </c>
    </row>
    <row r="16204" customFormat="false" ht="15" hidden="false" customHeight="false" outlineLevel="0" collapsed="false">
      <c r="A16204" s="0" t="n">
        <f aca="false">ODDLYIELD(DATE(2024,8,1),DATE(2025,8,15),DATE(2024,7,15),0.05,95,100,2,1)</f>
        <v>0.103139504823791</v>
      </c>
      <c r="B16204" s="0" t="s">
        <v>16050</v>
      </c>
    </row>
    <row r="16205" customFormat="false" ht="15" hidden="false" customHeight="false" outlineLevel="0" collapsed="false">
      <c r="A16205" s="0" t="n">
        <f aca="false">ODDLYIELD(DATE(2024,8,1),DATE(2025,8,15),DATE(2024,7,15),0.1,101.5,100,2,1)</f>
        <v>0.0838923787715993</v>
      </c>
      <c r="B16205" s="0" t="s">
        <v>16051</v>
      </c>
    </row>
    <row r="16206" customFormat="false" ht="15" hidden="false" customHeight="false" outlineLevel="0" collapsed="false">
      <c r="A16206" s="0" t="n">
        <f aca="false">ODDLYIELD(DATE(2024,8,1),DATE(2025,8,15),DATE(2024,7,15),0.05,100,100,2,1)</f>
        <v>0.0498872055936531</v>
      </c>
      <c r="B16206" s="0" t="s">
        <v>16052</v>
      </c>
    </row>
    <row r="16207" customFormat="false" ht="15" hidden="false" customHeight="false" outlineLevel="0" collapsed="false">
      <c r="A16207" s="0" t="n">
        <f aca="false">ODDLPRICE(DATE(2024,8,1),DATE(2025,8,15),DATE(2024,7,15),0.05,0.08,100,2,2)</f>
        <v>97.068664457653</v>
      </c>
      <c r="B16207" s="0" t="s">
        <v>16053</v>
      </c>
    </row>
    <row r="16208" customFormat="false" ht="15" hidden="false" customHeight="false" outlineLevel="0" collapsed="false">
      <c r="A16208" s="0" t="n">
        <f aca="false">ODDLPRICE(DATE(2024,8,1),DATE(2025,8,15),DATE(2024,7,15),0.1,0.03,105,2,2)</f>
        <v>111.976279272244</v>
      </c>
      <c r="B16208" s="0" t="s">
        <v>16054</v>
      </c>
    </row>
    <row r="16209" customFormat="false" ht="15" hidden="false" customHeight="false" outlineLevel="0" collapsed="false">
      <c r="A16209" s="0" t="e">
        <f aca="false">ODDLPRICE(DATE(2024,8,1),DATE(2025,8,15),DATE(2024,7,15),0,0.05,100,2,2)</f>
        <v>#VALUE!</v>
      </c>
      <c r="B16209" s="0" t="s">
        <v>16055</v>
      </c>
    </row>
    <row r="16210" customFormat="false" ht="15" hidden="false" customHeight="false" outlineLevel="0" collapsed="false">
      <c r="A16210" s="0" t="n">
        <f aca="false">ODDLYIELD(DATE(2024,8,1),DATE(2025,8,15),DATE(2024,7,15),0.05,95,100,2,2)</f>
        <v>0.102370206591265</v>
      </c>
      <c r="B16210" s="0" t="s">
        <v>16056</v>
      </c>
    </row>
    <row r="16211" customFormat="false" ht="15" hidden="false" customHeight="false" outlineLevel="0" collapsed="false">
      <c r="A16211" s="0" t="n">
        <f aca="false">ODDLYIELD(DATE(2024,8,1),DATE(2025,8,15),DATE(2024,7,15),0.1,101.5,100,2,2)</f>
        <v>0.0840934688124636</v>
      </c>
      <c r="B16211" s="0" t="s">
        <v>16057</v>
      </c>
    </row>
    <row r="16212" customFormat="false" ht="15" hidden="false" customHeight="false" outlineLevel="0" collapsed="false">
      <c r="A16212" s="0" t="n">
        <f aca="false">ODDLYIELD(DATE(2024,8,1),DATE(2025,8,15),DATE(2024,7,15),0.05,100,100,2,2)</f>
        <v>0.0498822225301372</v>
      </c>
      <c r="B16212" s="0" t="s">
        <v>16058</v>
      </c>
    </row>
    <row r="16213" customFormat="false" ht="15" hidden="false" customHeight="false" outlineLevel="0" collapsed="false">
      <c r="A16213" s="0" t="n">
        <f aca="false">ODDLPRICE(DATE(2024,8,1),DATE(2025,8,15),DATE(2024,7,15),0.05,0.08,100,2,3)</f>
        <v>97.1059880048624</v>
      </c>
      <c r="B16213" s="0" t="s">
        <v>16059</v>
      </c>
    </row>
    <row r="16214" customFormat="false" ht="15" hidden="false" customHeight="false" outlineLevel="0" collapsed="false">
      <c r="A16214" s="0" t="n">
        <f aca="false">ODDLPRICE(DATE(2024,8,1),DATE(2025,8,15),DATE(2024,7,15),0.1,0.03,105,2,3)</f>
        <v>111.883796220638</v>
      </c>
      <c r="B16214" s="0" t="s">
        <v>16060</v>
      </c>
    </row>
    <row r="16215" customFormat="false" ht="15" hidden="false" customHeight="false" outlineLevel="0" collapsed="false">
      <c r="A16215" s="0" t="e">
        <f aca="false">ODDLPRICE(DATE(2024,8,1),DATE(2025,8,15),DATE(2024,7,15),0,0.05,100,2,3)</f>
        <v>#VALUE!</v>
      </c>
      <c r="B16215" s="0" t="s">
        <v>16061</v>
      </c>
    </row>
    <row r="16216" customFormat="false" ht="15" hidden="false" customHeight="false" outlineLevel="0" collapsed="false">
      <c r="A16216" s="0" t="n">
        <f aca="false">ODDLYIELD(DATE(2024,8,1),DATE(2025,8,15),DATE(2024,7,15),0.05,95,100,2,3)</f>
        <v>0.103066333486159</v>
      </c>
      <c r="B16216" s="0" t="s">
        <v>16062</v>
      </c>
    </row>
    <row r="16217" customFormat="false" ht="15" hidden="false" customHeight="false" outlineLevel="0" collapsed="false">
      <c r="A16217" s="0" t="n">
        <f aca="false">ODDLYIELD(DATE(2024,8,1),DATE(2025,8,15),DATE(2024,7,15),0.1,101.5,100,2,3)</f>
        <v>0.0839047296139272</v>
      </c>
      <c r="B16217" s="0" t="s">
        <v>16063</v>
      </c>
    </row>
    <row r="16218" customFormat="false" ht="15" hidden="false" customHeight="false" outlineLevel="0" collapsed="false">
      <c r="A16218" s="0" t="n">
        <f aca="false">ODDLYIELD(DATE(2024,8,1),DATE(2025,8,15),DATE(2024,7,15),0.05,100,100,2,3)</f>
        <v>0.0498838321716552</v>
      </c>
      <c r="B16218" s="0" t="s">
        <v>16064</v>
      </c>
    </row>
    <row r="16219" customFormat="false" ht="15" hidden="false" customHeight="false" outlineLevel="0" collapsed="false">
      <c r="A16219" s="0" t="n">
        <f aca="false">ODDLPRICE(DATE(2024,8,1),DATE(2025,8,15),DATE(2024,7,15),0.05,0.08,100,2,4)</f>
        <v>97.1054347330506</v>
      </c>
      <c r="B16219" s="0" t="s">
        <v>16065</v>
      </c>
    </row>
    <row r="16220" customFormat="false" ht="15" hidden="false" customHeight="false" outlineLevel="0" collapsed="false">
      <c r="A16220" s="0" t="n">
        <f aca="false">ODDLPRICE(DATE(2024,8,1),DATE(2025,8,15),DATE(2024,7,15),0.1,0.03,105,2,4)</f>
        <v>111.887865237146</v>
      </c>
      <c r="B16220" s="0" t="s">
        <v>16066</v>
      </c>
    </row>
    <row r="16221" customFormat="false" ht="15" hidden="false" customHeight="false" outlineLevel="0" collapsed="false">
      <c r="A16221" s="0" t="e">
        <f aca="false">ODDLPRICE(DATE(2024,8,1),DATE(2025,8,15),DATE(2024,7,15),0,0.05,100,2,4)</f>
        <v>#VALUE!</v>
      </c>
      <c r="B16221" s="0" t="s">
        <v>16067</v>
      </c>
    </row>
    <row r="16222" customFormat="false" ht="15" hidden="false" customHeight="false" outlineLevel="0" collapsed="false">
      <c r="A16222" s="0" t="n">
        <f aca="false">ODDLYIELD(DATE(2024,8,1),DATE(2025,8,15),DATE(2024,7,15),0.05,95,100,2,4)</f>
        <v>0.103051934680736</v>
      </c>
      <c r="B16222" s="0" t="s">
        <v>16068</v>
      </c>
    </row>
    <row r="16223" customFormat="false" ht="15" hidden="false" customHeight="false" outlineLevel="0" collapsed="false">
      <c r="A16223" s="0" t="n">
        <f aca="false">ODDLYIELD(DATE(2024,8,1),DATE(2025,8,15),DATE(2024,7,15),0.1,101.5,100,2,4)</f>
        <v>0.0839295341619432</v>
      </c>
      <c r="B16223" s="0" t="s">
        <v>16069</v>
      </c>
    </row>
    <row r="16224" customFormat="false" ht="15" hidden="false" customHeight="false" outlineLevel="0" collapsed="false">
      <c r="A16224" s="0" t="n">
        <f aca="false">ODDLYIELD(DATE(2024,8,1),DATE(2025,8,15),DATE(2024,7,15),0.05,100,100,2,4)</f>
        <v>0.0498891352549889</v>
      </c>
      <c r="B16224" s="0" t="s">
        <v>16070</v>
      </c>
    </row>
    <row r="16225" customFormat="false" ht="15" hidden="false" customHeight="false" outlineLevel="0" collapsed="false">
      <c r="A16225" s="0" t="n">
        <f aca="false">ODDLPRICE(DATE(2024,8,1),DATE(2025,8,15),DATE(2024,7,15),0.05,0.08,100,4,0)</f>
        <v>97.1054347330506</v>
      </c>
      <c r="B16225" s="0" t="s">
        <v>16071</v>
      </c>
    </row>
    <row r="16226" customFormat="false" ht="15" hidden="false" customHeight="false" outlineLevel="0" collapsed="false">
      <c r="A16226" s="0" t="n">
        <f aca="false">ODDLPRICE(DATE(2024,8,1),DATE(2025,8,15),DATE(2024,7,15),0.1,0.03,105,4,0)</f>
        <v>111.887865237146</v>
      </c>
      <c r="B16226" s="0" t="s">
        <v>16072</v>
      </c>
    </row>
    <row r="16227" customFormat="false" ht="15" hidden="false" customHeight="false" outlineLevel="0" collapsed="false">
      <c r="A16227" s="0" t="e">
        <f aca="false">ODDLPRICE(DATE(2024,8,1),DATE(2025,8,15),DATE(2024,7,15),0,0.05,100,4,0)</f>
        <v>#VALUE!</v>
      </c>
      <c r="B16227" s="0" t="s">
        <v>16073</v>
      </c>
    </row>
    <row r="16228" customFormat="false" ht="15" hidden="false" customHeight="false" outlineLevel="0" collapsed="false">
      <c r="A16228" s="0" t="n">
        <f aca="false">ODDLYIELD(DATE(2024,8,1),DATE(2025,8,15),DATE(2024,7,15),0.05,95,100,4,0)</f>
        <v>0.103051934680736</v>
      </c>
      <c r="B16228" s="0" t="s">
        <v>16074</v>
      </c>
    </row>
    <row r="16229" customFormat="false" ht="15" hidden="false" customHeight="false" outlineLevel="0" collapsed="false">
      <c r="A16229" s="0" t="n">
        <f aca="false">ODDLYIELD(DATE(2024,8,1),DATE(2025,8,15),DATE(2024,7,15),0.1,101.5,100,4,0)</f>
        <v>0.0839295341619432</v>
      </c>
      <c r="B16229" s="0" t="s">
        <v>16075</v>
      </c>
    </row>
    <row r="16230" customFormat="false" ht="15" hidden="false" customHeight="false" outlineLevel="0" collapsed="false">
      <c r="A16230" s="0" t="n">
        <f aca="false">ODDLYIELD(DATE(2024,8,1),DATE(2025,8,15),DATE(2024,7,15),0.05,100,100,4,0)</f>
        <v>0.0498891352549889</v>
      </c>
      <c r="B16230" s="0" t="s">
        <v>16076</v>
      </c>
    </row>
    <row r="16231" customFormat="false" ht="15" hidden="false" customHeight="false" outlineLevel="0" collapsed="false">
      <c r="A16231" s="0" t="n">
        <f aca="false">ODDLPRICE(DATE(2024,8,1),DATE(2025,8,15),DATE(2024,7,15),0.05,0.08,100,4,1)</f>
        <v>97.1099858273052</v>
      </c>
      <c r="B16231" s="0" t="s">
        <v>16077</v>
      </c>
    </row>
    <row r="16232" customFormat="false" ht="15" hidden="false" customHeight="false" outlineLevel="0" collapsed="false">
      <c r="A16232" s="0" t="n">
        <f aca="false">ODDLPRICE(DATE(2024,8,1),DATE(2025,8,15),DATE(2024,7,15),0.1,0.03,105,4,1)</f>
        <v>111.87531799532</v>
      </c>
      <c r="B16232" s="0" t="s">
        <v>16078</v>
      </c>
    </row>
    <row r="16233" customFormat="false" ht="15" hidden="false" customHeight="false" outlineLevel="0" collapsed="false">
      <c r="A16233" s="0" t="e">
        <f aca="false">ODDLPRICE(DATE(2024,8,1),DATE(2025,8,15),DATE(2024,7,15),0,0.05,100,4,1)</f>
        <v>#VALUE!</v>
      </c>
      <c r="B16233" s="0" t="s">
        <v>16079</v>
      </c>
    </row>
    <row r="16234" customFormat="false" ht="15" hidden="false" customHeight="false" outlineLevel="0" collapsed="false">
      <c r="A16234" s="0" t="n">
        <f aca="false">ODDLYIELD(DATE(2024,8,1),DATE(2025,8,15),DATE(2024,7,15),0.05,95,100,4,1)</f>
        <v>0.103139504823791</v>
      </c>
      <c r="B16234" s="0" t="s">
        <v>16080</v>
      </c>
    </row>
    <row r="16235" customFormat="false" ht="15" hidden="false" customHeight="false" outlineLevel="0" collapsed="false">
      <c r="A16235" s="0" t="n">
        <f aca="false">ODDLYIELD(DATE(2024,8,1),DATE(2025,8,15),DATE(2024,7,15),0.1,101.5,100,4,1)</f>
        <v>0.0838923787715993</v>
      </c>
      <c r="B16235" s="0" t="s">
        <v>16081</v>
      </c>
    </row>
    <row r="16236" customFormat="false" ht="15" hidden="false" customHeight="false" outlineLevel="0" collapsed="false">
      <c r="A16236" s="0" t="n">
        <f aca="false">ODDLYIELD(DATE(2024,8,1),DATE(2025,8,15),DATE(2024,7,15),0.05,100,100,4,1)</f>
        <v>0.0498872055936531</v>
      </c>
      <c r="B16236" s="0" t="s">
        <v>16082</v>
      </c>
    </row>
    <row r="16237" customFormat="false" ht="15" hidden="false" customHeight="false" outlineLevel="0" collapsed="false">
      <c r="A16237" s="0" t="n">
        <f aca="false">ODDLPRICE(DATE(2024,8,1),DATE(2025,8,15),DATE(2024,7,15),0.05,0.08,100,4,2)</f>
        <v>97.068664457653</v>
      </c>
      <c r="B16237" s="0" t="s">
        <v>16083</v>
      </c>
    </row>
    <row r="16238" customFormat="false" ht="15" hidden="false" customHeight="false" outlineLevel="0" collapsed="false">
      <c r="A16238" s="0" t="n">
        <f aca="false">ODDLPRICE(DATE(2024,8,1),DATE(2025,8,15),DATE(2024,7,15),0.1,0.03,105,4,2)</f>
        <v>111.976279272244</v>
      </c>
      <c r="B16238" s="0" t="s">
        <v>16084</v>
      </c>
    </row>
    <row r="16239" customFormat="false" ht="15" hidden="false" customHeight="false" outlineLevel="0" collapsed="false">
      <c r="A16239" s="0" t="e">
        <f aca="false">ODDLPRICE(DATE(2024,8,1),DATE(2025,8,15),DATE(2024,7,15),0,0.05,100,4,2)</f>
        <v>#VALUE!</v>
      </c>
      <c r="B16239" s="0" t="s">
        <v>16085</v>
      </c>
    </row>
    <row r="16240" customFormat="false" ht="15" hidden="false" customHeight="false" outlineLevel="0" collapsed="false">
      <c r="A16240" s="0" t="n">
        <f aca="false">ODDLYIELD(DATE(2024,8,1),DATE(2025,8,15),DATE(2024,7,15),0.05,95,100,4,2)</f>
        <v>0.102370206591265</v>
      </c>
      <c r="B16240" s="0" t="s">
        <v>16086</v>
      </c>
    </row>
    <row r="16241" customFormat="false" ht="15" hidden="false" customHeight="false" outlineLevel="0" collapsed="false">
      <c r="A16241" s="0" t="n">
        <f aca="false">ODDLYIELD(DATE(2024,8,1),DATE(2025,8,15),DATE(2024,7,15),0.1,101.5,100,4,2)</f>
        <v>0.0840934688124636</v>
      </c>
      <c r="B16241" s="0" t="s">
        <v>16087</v>
      </c>
    </row>
    <row r="16242" customFormat="false" ht="15" hidden="false" customHeight="false" outlineLevel="0" collapsed="false">
      <c r="A16242" s="0" t="n">
        <f aca="false">ODDLYIELD(DATE(2024,8,1),DATE(2025,8,15),DATE(2024,7,15),0.05,100,100,4,2)</f>
        <v>0.0498822225301372</v>
      </c>
      <c r="B16242" s="0" t="s">
        <v>16088</v>
      </c>
    </row>
    <row r="16243" customFormat="false" ht="15" hidden="false" customHeight="false" outlineLevel="0" collapsed="false">
      <c r="A16243" s="0" t="n">
        <f aca="false">ODDLPRICE(DATE(2024,8,1),DATE(2025,8,15),DATE(2024,7,15),0.05,0.08,100,4,3)</f>
        <v>97.1059880048624</v>
      </c>
      <c r="B16243" s="0" t="s">
        <v>16089</v>
      </c>
    </row>
    <row r="16244" customFormat="false" ht="15" hidden="false" customHeight="false" outlineLevel="0" collapsed="false">
      <c r="A16244" s="0" t="n">
        <f aca="false">ODDLPRICE(DATE(2024,8,1),DATE(2025,8,15),DATE(2024,7,15),0.1,0.03,105,4,3)</f>
        <v>111.883796220638</v>
      </c>
      <c r="B16244" s="0" t="s">
        <v>16090</v>
      </c>
    </row>
    <row r="16245" customFormat="false" ht="15" hidden="false" customHeight="false" outlineLevel="0" collapsed="false">
      <c r="A16245" s="0" t="e">
        <f aca="false">ODDLPRICE(DATE(2024,8,1),DATE(2025,8,15),DATE(2024,7,15),0,0.05,100,4,3)</f>
        <v>#VALUE!</v>
      </c>
      <c r="B16245" s="0" t="s">
        <v>16091</v>
      </c>
    </row>
    <row r="16246" customFormat="false" ht="15" hidden="false" customHeight="false" outlineLevel="0" collapsed="false">
      <c r="A16246" s="0" t="n">
        <f aca="false">ODDLYIELD(DATE(2024,8,1),DATE(2025,8,15),DATE(2024,7,15),0.05,95,100,4,3)</f>
        <v>0.103066333486159</v>
      </c>
      <c r="B16246" s="0" t="s">
        <v>16092</v>
      </c>
    </row>
    <row r="16247" customFormat="false" ht="15" hidden="false" customHeight="false" outlineLevel="0" collapsed="false">
      <c r="A16247" s="0" t="n">
        <f aca="false">ODDLYIELD(DATE(2024,8,1),DATE(2025,8,15),DATE(2024,7,15),0.1,101.5,100,4,3)</f>
        <v>0.0839047296139272</v>
      </c>
      <c r="B16247" s="0" t="s">
        <v>16093</v>
      </c>
    </row>
    <row r="16248" customFormat="false" ht="15" hidden="false" customHeight="false" outlineLevel="0" collapsed="false">
      <c r="A16248" s="0" t="n">
        <f aca="false">ODDLYIELD(DATE(2024,8,1),DATE(2025,8,15),DATE(2024,7,15),0.05,100,100,4,3)</f>
        <v>0.0498838321716552</v>
      </c>
      <c r="B16248" s="0" t="s">
        <v>16094</v>
      </c>
    </row>
    <row r="16249" customFormat="false" ht="15" hidden="false" customHeight="false" outlineLevel="0" collapsed="false">
      <c r="A16249" s="0" t="n">
        <f aca="false">ODDLPRICE(DATE(2024,8,1),DATE(2025,8,15),DATE(2024,7,15),0.05,0.08,100,4,4)</f>
        <v>97.1054347330506</v>
      </c>
      <c r="B16249" s="0" t="s">
        <v>16095</v>
      </c>
    </row>
    <row r="16250" customFormat="false" ht="15" hidden="false" customHeight="false" outlineLevel="0" collapsed="false">
      <c r="A16250" s="0" t="n">
        <f aca="false">ODDLPRICE(DATE(2024,8,1),DATE(2025,8,15),DATE(2024,7,15),0.1,0.03,105,4,4)</f>
        <v>111.887865237146</v>
      </c>
      <c r="B16250" s="0" t="s">
        <v>16096</v>
      </c>
    </row>
    <row r="16251" customFormat="false" ht="15" hidden="false" customHeight="false" outlineLevel="0" collapsed="false">
      <c r="A16251" s="0" t="e">
        <f aca="false">ODDLPRICE(DATE(2024,8,1),DATE(2025,8,15),DATE(2024,7,15),0,0.05,100,4,4)</f>
        <v>#VALUE!</v>
      </c>
      <c r="B16251" s="0" t="s">
        <v>16097</v>
      </c>
    </row>
    <row r="16252" customFormat="false" ht="15" hidden="false" customHeight="false" outlineLevel="0" collapsed="false">
      <c r="A16252" s="0" t="n">
        <f aca="false">ODDLYIELD(DATE(2024,8,1),DATE(2025,8,15),DATE(2024,7,15),0.05,95,100,4,4)</f>
        <v>0.103051934680736</v>
      </c>
      <c r="B16252" s="0" t="s">
        <v>16098</v>
      </c>
    </row>
    <row r="16253" customFormat="false" ht="15" hidden="false" customHeight="false" outlineLevel="0" collapsed="false">
      <c r="A16253" s="0" t="n">
        <f aca="false">ODDLYIELD(DATE(2024,8,1),DATE(2025,8,15),DATE(2024,7,15),0.1,101.5,100,4,4)</f>
        <v>0.0839295341619432</v>
      </c>
      <c r="B16253" s="0" t="s">
        <v>16099</v>
      </c>
    </row>
    <row r="16254" customFormat="false" ht="15" hidden="false" customHeight="false" outlineLevel="0" collapsed="false">
      <c r="A16254" s="0" t="n">
        <f aca="false">ODDLYIELD(DATE(2024,8,1),DATE(2025,8,15),DATE(2024,7,15),0.05,100,100,4,4)</f>
        <v>0.0498891352549889</v>
      </c>
      <c r="B16254" s="0" t="s">
        <v>16100</v>
      </c>
    </row>
    <row r="16255" customFormat="false" ht="15" hidden="false" customHeight="false" outlineLevel="0" collapsed="false">
      <c r="A16255" s="0" t="n">
        <f aca="false">ODDLPRICE(DATE(2024,1,31),DATE(2024,7,31),DATE(2023,7,31),0.05,0.08,100,1,0)</f>
        <v>98.4615384615385</v>
      </c>
      <c r="B16255" s="0" t="s">
        <v>16101</v>
      </c>
    </row>
    <row r="16256" customFormat="false" ht="15" hidden="false" customHeight="false" outlineLevel="0" collapsed="false">
      <c r="A16256" s="0" t="n">
        <f aca="false">ODDLPRICE(DATE(2024,1,31),DATE(2024,7,31),DATE(2023,7,31),0.1,0.03,105,1,0)</f>
        <v>108.300492610837</v>
      </c>
      <c r="B16256" s="0" t="s">
        <v>16102</v>
      </c>
    </row>
    <row r="16257" customFormat="false" ht="15" hidden="false" customHeight="false" outlineLevel="0" collapsed="false">
      <c r="A16257" s="0" t="e">
        <f aca="false">ODDLPRICE(DATE(2024,1,31),DATE(2024,7,31),DATE(2023,7,31),0,0.05,100,1,0)</f>
        <v>#VALUE!</v>
      </c>
      <c r="B16257" s="0" t="s">
        <v>16103</v>
      </c>
    </row>
    <row r="16258" customFormat="false" ht="15" hidden="false" customHeight="false" outlineLevel="0" collapsed="false">
      <c r="A16258" s="0" t="n">
        <f aca="false">ODDLYIELD(DATE(2024,1,31),DATE(2024,7,31),DATE(2023,7,31),0.05,95,100,1,0)</f>
        <v>0.153846153846154</v>
      </c>
      <c r="B16258" s="0" t="s">
        <v>16104</v>
      </c>
    </row>
    <row r="16259" customFormat="false" ht="15" hidden="false" customHeight="false" outlineLevel="0" collapsed="false">
      <c r="A16259" s="0" t="n">
        <f aca="false">ODDLYIELD(DATE(2024,1,31),DATE(2024,7,31),DATE(2023,7,31),0.1,101.5,100,1,0)</f>
        <v>0.0657276995305165</v>
      </c>
      <c r="B16259" s="0" t="s">
        <v>16105</v>
      </c>
    </row>
    <row r="16260" customFormat="false" ht="15" hidden="false" customHeight="false" outlineLevel="0" collapsed="false">
      <c r="A16260" s="0" t="n">
        <f aca="false">ODDLYIELD(DATE(2024,1,31),DATE(2024,7,31),DATE(2023,7,31),0.05,100,100,1,0)</f>
        <v>0.0487804878048781</v>
      </c>
      <c r="B16260" s="0" t="s">
        <v>16106</v>
      </c>
    </row>
    <row r="16261" customFormat="false" ht="15" hidden="false" customHeight="false" outlineLevel="0" collapsed="false">
      <c r="A16261" s="0" t="n">
        <f aca="false">ODDLPRICE(DATE(2024,1,31),DATE(2024,7,31),DATE(2023,7,31),0.05,0.08,100,1,1)</f>
        <v>98.462214299907</v>
      </c>
      <c r="B16261" s="0" t="s">
        <v>16107</v>
      </c>
    </row>
    <row r="16262" customFormat="false" ht="15" hidden="false" customHeight="false" outlineLevel="0" collapsed="false">
      <c r="A16262" s="0" t="n">
        <f aca="false">ODDLPRICE(DATE(2024,1,31),DATE(2024,7,31),DATE(2023,7,31),0.1,0.03,105,1,1)</f>
        <v>108.268547139794</v>
      </c>
      <c r="B16262" s="0" t="s">
        <v>16108</v>
      </c>
    </row>
    <row r="16263" customFormat="false" ht="15" hidden="false" customHeight="false" outlineLevel="0" collapsed="false">
      <c r="A16263" s="0" t="e">
        <f aca="false">ODDLPRICE(DATE(2024,1,31),DATE(2024,7,31),DATE(2023,7,31),0,0.05,100,1,1)</f>
        <v>#VALUE!</v>
      </c>
      <c r="B16263" s="0" t="s">
        <v>16109</v>
      </c>
    </row>
    <row r="16264" customFormat="false" ht="15" hidden="false" customHeight="false" outlineLevel="0" collapsed="false">
      <c r="A16264" s="0" t="n">
        <f aca="false">ODDLYIELD(DATE(2024,1,31),DATE(2024,7,31),DATE(2023,7,31),0.05,95,100,1,1)</f>
        <v>0.154235145385588</v>
      </c>
      <c r="B16264" s="0" t="s">
        <v>16110</v>
      </c>
    </row>
    <row r="16265" customFormat="false" ht="15" hidden="false" customHeight="false" outlineLevel="0" collapsed="false">
      <c r="A16265" s="0" t="n">
        <f aca="false">ODDLYIELD(DATE(2024,1,31),DATE(2024,7,31),DATE(2023,7,31),0.1,101.5,100,1,1)</f>
        <v>0.0652876535229477</v>
      </c>
      <c r="B16265" s="0" t="s">
        <v>16111</v>
      </c>
    </row>
    <row r="16266" customFormat="false" ht="15" hidden="false" customHeight="false" outlineLevel="0" collapsed="false">
      <c r="A16266" s="0" t="n">
        <f aca="false">ODDLYIELD(DATE(2024,1,31),DATE(2024,7,31),DATE(2023,7,31),0.05,100,100,1,1)</f>
        <v>0.0486356241300124</v>
      </c>
      <c r="B16266" s="0" t="s">
        <v>16112</v>
      </c>
    </row>
    <row r="16267" customFormat="false" ht="15" hidden="false" customHeight="false" outlineLevel="0" collapsed="false">
      <c r="A16267" s="0" t="n">
        <f aca="false">ODDLPRICE(DATE(2024,1,31),DATE(2024,7,31),DATE(2023,7,31),0.05,0.08,100,1,2)</f>
        <v>98.442949356875</v>
      </c>
      <c r="B16267" s="0" t="s">
        <v>16113</v>
      </c>
    </row>
    <row r="16268" customFormat="false" ht="15" hidden="false" customHeight="false" outlineLevel="0" collapsed="false">
      <c r="A16268" s="0" t="n">
        <f aca="false">ODDLPRICE(DATE(2024,1,31),DATE(2024,7,31),DATE(2023,7,31),0.1,0.03,105,1,2)</f>
        <v>108.334956858024</v>
      </c>
      <c r="B16268" s="0" t="s">
        <v>16114</v>
      </c>
    </row>
    <row r="16269" customFormat="false" ht="15" hidden="false" customHeight="false" outlineLevel="0" collapsed="false">
      <c r="A16269" s="0" t="e">
        <f aca="false">ODDLPRICE(DATE(2024,1,31),DATE(2024,7,31),DATE(2023,7,31),0,0.05,100,1,2)</f>
        <v>#VALUE!</v>
      </c>
      <c r="B16269" s="0" t="s">
        <v>16115</v>
      </c>
    </row>
    <row r="16270" customFormat="false" ht="15" hidden="false" customHeight="false" outlineLevel="0" collapsed="false">
      <c r="A16270" s="0" t="n">
        <f aca="false">ODDLYIELD(DATE(2024,1,31),DATE(2024,7,31),DATE(2023,7,31),0.05,95,100,1,2)</f>
        <v>0.152632105935067</v>
      </c>
      <c r="B16270" s="0" t="s">
        <v>16116</v>
      </c>
    </row>
    <row r="16271" customFormat="false" ht="15" hidden="false" customHeight="false" outlineLevel="0" collapsed="false">
      <c r="A16271" s="0" t="n">
        <f aca="false">ODDLYIELD(DATE(2024,1,31),DATE(2024,7,31),DATE(2023,7,31),0.1,101.5,100,1,2)</f>
        <v>0.0659684244884871</v>
      </c>
      <c r="B16271" s="0" t="s">
        <v>16117</v>
      </c>
    </row>
    <row r="16272" customFormat="false" ht="15" hidden="false" customHeight="false" outlineLevel="0" collapsed="false">
      <c r="A16272" s="0" t="n">
        <f aca="false">ODDLYIELD(DATE(2024,1,31),DATE(2024,7,31),DATE(2023,7,31),0.05,100,100,1,2)</f>
        <v>0.0487540628385696</v>
      </c>
      <c r="B16272" s="0" t="s">
        <v>16118</v>
      </c>
    </row>
    <row r="16273" customFormat="false" ht="15" hidden="false" customHeight="false" outlineLevel="0" collapsed="false">
      <c r="A16273" s="0" t="n">
        <f aca="false">ODDLPRICE(DATE(2024,1,31),DATE(2024,7,31),DATE(2023,7,31),0.05,0.08,100,1,3)</f>
        <v>98.4648035143793</v>
      </c>
      <c r="B16273" s="0" t="s">
        <v>16119</v>
      </c>
    </row>
    <row r="16274" customFormat="false" ht="15" hidden="false" customHeight="false" outlineLevel="0" collapsed="false">
      <c r="A16274" s="0" t="n">
        <f aca="false">ODDLPRICE(DATE(2024,1,31),DATE(2024,7,31),DATE(2023,7,31),0.1,0.03,105,1,3)</f>
        <v>108.290977747769</v>
      </c>
      <c r="B16274" s="0" t="s">
        <v>16120</v>
      </c>
    </row>
    <row r="16275" customFormat="false" ht="15" hidden="false" customHeight="false" outlineLevel="0" collapsed="false">
      <c r="A16275" s="0" t="e">
        <f aca="false">ODDLPRICE(DATE(2024,1,31),DATE(2024,7,31),DATE(2023,7,31),0,0.05,100,1,3)</f>
        <v>#VALUE!</v>
      </c>
      <c r="B16275" s="0" t="s">
        <v>16121</v>
      </c>
    </row>
    <row r="16276" customFormat="false" ht="15" hidden="false" customHeight="false" outlineLevel="0" collapsed="false">
      <c r="A16276" s="0" t="n">
        <f aca="false">ODDLYIELD(DATE(2024,1,31),DATE(2024,7,31),DATE(2023,7,31),0.05,95,100,1,3)</f>
        <v>0.15409544802718</v>
      </c>
      <c r="B16276" s="0" t="s">
        <v>16122</v>
      </c>
    </row>
    <row r="16277" customFormat="false" ht="15" hidden="false" customHeight="false" outlineLevel="0" collapsed="false">
      <c r="A16277" s="0" t="n">
        <f aca="false">ODDLYIELD(DATE(2024,1,31),DATE(2024,7,31),DATE(2023,7,31),0.1,101.5,100,1,3)</f>
        <v>0.0656249889615367</v>
      </c>
      <c r="B16277" s="0" t="s">
        <v>16123</v>
      </c>
    </row>
    <row r="16278" customFormat="false" ht="15" hidden="false" customHeight="false" outlineLevel="0" collapsed="false">
      <c r="A16278" s="0" t="n">
        <f aca="false">ODDLYIELD(DATE(2024,1,31),DATE(2024,7,31),DATE(2023,7,31),0.05,100,100,1,3)</f>
        <v>0.0487707108498129</v>
      </c>
      <c r="B16278" s="0" t="s">
        <v>16124</v>
      </c>
    </row>
    <row r="16279" customFormat="false" ht="15" hidden="false" customHeight="false" outlineLevel="0" collapsed="false">
      <c r="A16279" s="0" t="n">
        <f aca="false">ODDLPRICE(DATE(2024,1,31),DATE(2024,7,31),DATE(2023,7,31),0.05,0.08,100,1,4)</f>
        <v>98.4615384615385</v>
      </c>
      <c r="B16279" s="0" t="s">
        <v>16125</v>
      </c>
    </row>
    <row r="16280" customFormat="false" ht="15" hidden="false" customHeight="false" outlineLevel="0" collapsed="false">
      <c r="A16280" s="0" t="n">
        <f aca="false">ODDLPRICE(DATE(2024,1,31),DATE(2024,7,31),DATE(2023,7,31),0.1,0.03,105,1,4)</f>
        <v>108.300492610837</v>
      </c>
      <c r="B16280" s="0" t="s">
        <v>16126</v>
      </c>
    </row>
    <row r="16281" customFormat="false" ht="15" hidden="false" customHeight="false" outlineLevel="0" collapsed="false">
      <c r="A16281" s="0" t="e">
        <f aca="false">ODDLPRICE(DATE(2024,1,31),DATE(2024,7,31),DATE(2023,7,31),0,0.05,100,1,4)</f>
        <v>#VALUE!</v>
      </c>
      <c r="B16281" s="0" t="s">
        <v>16127</v>
      </c>
    </row>
    <row r="16282" customFormat="false" ht="15" hidden="false" customHeight="false" outlineLevel="0" collapsed="false">
      <c r="A16282" s="0" t="n">
        <f aca="false">ODDLYIELD(DATE(2024,1,31),DATE(2024,7,31),DATE(2023,7,31),0.05,95,100,1,4)</f>
        <v>0.153846153846154</v>
      </c>
      <c r="B16282" s="0" t="s">
        <v>16128</v>
      </c>
    </row>
    <row r="16283" customFormat="false" ht="15" hidden="false" customHeight="false" outlineLevel="0" collapsed="false">
      <c r="A16283" s="0" t="n">
        <f aca="false">ODDLYIELD(DATE(2024,1,31),DATE(2024,7,31),DATE(2023,7,31),0.1,101.5,100,1,4)</f>
        <v>0.0657276995305165</v>
      </c>
      <c r="B16283" s="0" t="s">
        <v>16129</v>
      </c>
    </row>
    <row r="16284" customFormat="false" ht="15" hidden="false" customHeight="false" outlineLevel="0" collapsed="false">
      <c r="A16284" s="0" t="n">
        <f aca="false">ODDLYIELD(DATE(2024,1,31),DATE(2024,7,31),DATE(2023,7,31),0.05,100,100,1,4)</f>
        <v>0.0487804878048781</v>
      </c>
      <c r="B16284" s="0" t="s">
        <v>16130</v>
      </c>
    </row>
    <row r="16285" customFormat="false" ht="15" hidden="false" customHeight="false" outlineLevel="0" collapsed="false">
      <c r="A16285" s="0" t="n">
        <f aca="false">ODDLPRICE(DATE(2024,1,31),DATE(2024,7,31),DATE(2023,7,31),0.05,0.08,100,2,0)</f>
        <v>98.4615384615385</v>
      </c>
      <c r="B16285" s="0" t="s">
        <v>16131</v>
      </c>
    </row>
    <row r="16286" customFormat="false" ht="15" hidden="false" customHeight="false" outlineLevel="0" collapsed="false">
      <c r="A16286" s="0" t="n">
        <f aca="false">ODDLPRICE(DATE(2024,1,31),DATE(2024,7,31),DATE(2023,7,31),0.1,0.03,105,2,0)</f>
        <v>108.300492610837</v>
      </c>
      <c r="B16286" s="0" t="s">
        <v>16132</v>
      </c>
    </row>
    <row r="16287" customFormat="false" ht="15" hidden="false" customHeight="false" outlineLevel="0" collapsed="false">
      <c r="A16287" s="0" t="e">
        <f aca="false">ODDLPRICE(DATE(2024,1,31),DATE(2024,7,31),DATE(2023,7,31),0,0.05,100,2,0)</f>
        <v>#VALUE!</v>
      </c>
      <c r="B16287" s="0" t="s">
        <v>16133</v>
      </c>
    </row>
    <row r="16288" customFormat="false" ht="15" hidden="false" customHeight="false" outlineLevel="0" collapsed="false">
      <c r="A16288" s="0" t="n">
        <f aca="false">ODDLYIELD(DATE(2024,1,31),DATE(2024,7,31),DATE(2023,7,31),0.05,95,100,2,0)</f>
        <v>0.153846153846154</v>
      </c>
      <c r="B16288" s="0" t="s">
        <v>16134</v>
      </c>
    </row>
    <row r="16289" customFormat="false" ht="15" hidden="false" customHeight="false" outlineLevel="0" collapsed="false">
      <c r="A16289" s="0" t="n">
        <f aca="false">ODDLYIELD(DATE(2024,1,31),DATE(2024,7,31),DATE(2023,7,31),0.1,101.5,100,2,0)</f>
        <v>0.0657276995305165</v>
      </c>
      <c r="B16289" s="0" t="s">
        <v>16135</v>
      </c>
    </row>
    <row r="16290" customFormat="false" ht="15" hidden="false" customHeight="false" outlineLevel="0" collapsed="false">
      <c r="A16290" s="0" t="n">
        <f aca="false">ODDLYIELD(DATE(2024,1,31),DATE(2024,7,31),DATE(2023,7,31),0.05,100,100,2,0)</f>
        <v>0.0487804878048781</v>
      </c>
      <c r="B16290" s="0" t="s">
        <v>16136</v>
      </c>
    </row>
    <row r="16291" customFormat="false" ht="15" hidden="false" customHeight="false" outlineLevel="0" collapsed="false">
      <c r="A16291" s="0" t="n">
        <f aca="false">ODDLPRICE(DATE(2024,1,31),DATE(2024,7,31),DATE(2023,7,31),0.05,0.08,100,2,1)</f>
        <v>98.462214299907</v>
      </c>
      <c r="B16291" s="0" t="s">
        <v>16137</v>
      </c>
    </row>
    <row r="16292" customFormat="false" ht="15" hidden="false" customHeight="false" outlineLevel="0" collapsed="false">
      <c r="A16292" s="0" t="n">
        <f aca="false">ODDLPRICE(DATE(2024,1,31),DATE(2024,7,31),DATE(2023,7,31),0.1,0.03,105,2,1)</f>
        <v>108.268547139794</v>
      </c>
      <c r="B16292" s="0" t="s">
        <v>16138</v>
      </c>
    </row>
    <row r="16293" customFormat="false" ht="15" hidden="false" customHeight="false" outlineLevel="0" collapsed="false">
      <c r="A16293" s="0" t="e">
        <f aca="false">ODDLPRICE(DATE(2024,1,31),DATE(2024,7,31),DATE(2023,7,31),0,0.05,100,2,1)</f>
        <v>#VALUE!</v>
      </c>
      <c r="B16293" s="0" t="s">
        <v>16139</v>
      </c>
    </row>
    <row r="16294" customFormat="false" ht="15" hidden="false" customHeight="false" outlineLevel="0" collapsed="false">
      <c r="A16294" s="0" t="n">
        <f aca="false">ODDLYIELD(DATE(2024,1,31),DATE(2024,7,31),DATE(2023,7,31),0.05,95,100,2,1)</f>
        <v>0.154235145385588</v>
      </c>
      <c r="B16294" s="0" t="s">
        <v>16140</v>
      </c>
    </row>
    <row r="16295" customFormat="false" ht="15" hidden="false" customHeight="false" outlineLevel="0" collapsed="false">
      <c r="A16295" s="0" t="n">
        <f aca="false">ODDLYIELD(DATE(2024,1,31),DATE(2024,7,31),DATE(2023,7,31),0.1,101.5,100,2,1)</f>
        <v>0.0652876535229477</v>
      </c>
      <c r="B16295" s="0" t="s">
        <v>16141</v>
      </c>
    </row>
    <row r="16296" customFormat="false" ht="15" hidden="false" customHeight="false" outlineLevel="0" collapsed="false">
      <c r="A16296" s="0" t="n">
        <f aca="false">ODDLYIELD(DATE(2024,1,31),DATE(2024,7,31),DATE(2023,7,31),0.05,100,100,2,1)</f>
        <v>0.0486356241300124</v>
      </c>
      <c r="B16296" s="0" t="s">
        <v>16142</v>
      </c>
    </row>
    <row r="16297" customFormat="false" ht="15" hidden="false" customHeight="false" outlineLevel="0" collapsed="false">
      <c r="A16297" s="0" t="n">
        <f aca="false">ODDLPRICE(DATE(2024,1,31),DATE(2024,7,31),DATE(2023,7,31),0.05,0.08,100,2,2)</f>
        <v>98.442949356875</v>
      </c>
      <c r="B16297" s="0" t="s">
        <v>16143</v>
      </c>
    </row>
    <row r="16298" customFormat="false" ht="15" hidden="false" customHeight="false" outlineLevel="0" collapsed="false">
      <c r="A16298" s="0" t="n">
        <f aca="false">ODDLPRICE(DATE(2024,1,31),DATE(2024,7,31),DATE(2023,7,31),0.1,0.03,105,2,2)</f>
        <v>108.334956858024</v>
      </c>
      <c r="B16298" s="0" t="s">
        <v>16144</v>
      </c>
    </row>
    <row r="16299" customFormat="false" ht="15" hidden="false" customHeight="false" outlineLevel="0" collapsed="false">
      <c r="A16299" s="0" t="e">
        <f aca="false">ODDLPRICE(DATE(2024,1,31),DATE(2024,7,31),DATE(2023,7,31),0,0.05,100,2,2)</f>
        <v>#VALUE!</v>
      </c>
      <c r="B16299" s="0" t="s">
        <v>16145</v>
      </c>
    </row>
    <row r="16300" customFormat="false" ht="15" hidden="false" customHeight="false" outlineLevel="0" collapsed="false">
      <c r="A16300" s="0" t="n">
        <f aca="false">ODDLYIELD(DATE(2024,1,31),DATE(2024,7,31),DATE(2023,7,31),0.05,95,100,2,2)</f>
        <v>0.152632105935067</v>
      </c>
      <c r="B16300" s="0" t="s">
        <v>16146</v>
      </c>
    </row>
    <row r="16301" customFormat="false" ht="15" hidden="false" customHeight="false" outlineLevel="0" collapsed="false">
      <c r="A16301" s="0" t="n">
        <f aca="false">ODDLYIELD(DATE(2024,1,31),DATE(2024,7,31),DATE(2023,7,31),0.1,101.5,100,2,2)</f>
        <v>0.0659684244884871</v>
      </c>
      <c r="B16301" s="0" t="s">
        <v>16147</v>
      </c>
    </row>
    <row r="16302" customFormat="false" ht="15" hidden="false" customHeight="false" outlineLevel="0" collapsed="false">
      <c r="A16302" s="0" t="n">
        <f aca="false">ODDLYIELD(DATE(2024,1,31),DATE(2024,7,31),DATE(2023,7,31),0.05,100,100,2,2)</f>
        <v>0.0487540628385696</v>
      </c>
      <c r="B16302" s="0" t="s">
        <v>16148</v>
      </c>
    </row>
    <row r="16303" customFormat="false" ht="15" hidden="false" customHeight="false" outlineLevel="0" collapsed="false">
      <c r="A16303" s="0" t="n">
        <f aca="false">ODDLPRICE(DATE(2024,1,31),DATE(2024,7,31),DATE(2023,7,31),0.05,0.08,100,2,3)</f>
        <v>98.4648035143793</v>
      </c>
      <c r="B16303" s="0" t="s">
        <v>16149</v>
      </c>
    </row>
    <row r="16304" customFormat="false" ht="15" hidden="false" customHeight="false" outlineLevel="0" collapsed="false">
      <c r="A16304" s="0" t="n">
        <f aca="false">ODDLPRICE(DATE(2024,1,31),DATE(2024,7,31),DATE(2023,7,31),0.1,0.03,105,2,3)</f>
        <v>108.290977747769</v>
      </c>
      <c r="B16304" s="0" t="s">
        <v>16150</v>
      </c>
    </row>
    <row r="16305" customFormat="false" ht="15" hidden="false" customHeight="false" outlineLevel="0" collapsed="false">
      <c r="A16305" s="0" t="e">
        <f aca="false">ODDLPRICE(DATE(2024,1,31),DATE(2024,7,31),DATE(2023,7,31),0,0.05,100,2,3)</f>
        <v>#VALUE!</v>
      </c>
      <c r="B16305" s="0" t="s">
        <v>16151</v>
      </c>
    </row>
    <row r="16306" customFormat="false" ht="15" hidden="false" customHeight="false" outlineLevel="0" collapsed="false">
      <c r="A16306" s="0" t="n">
        <f aca="false">ODDLYIELD(DATE(2024,1,31),DATE(2024,7,31),DATE(2023,7,31),0.05,95,100,2,3)</f>
        <v>0.15409544802718</v>
      </c>
      <c r="B16306" s="0" t="s">
        <v>16152</v>
      </c>
    </row>
    <row r="16307" customFormat="false" ht="15" hidden="false" customHeight="false" outlineLevel="0" collapsed="false">
      <c r="A16307" s="0" t="n">
        <f aca="false">ODDLYIELD(DATE(2024,1,31),DATE(2024,7,31),DATE(2023,7,31),0.1,101.5,100,2,3)</f>
        <v>0.0656249889615367</v>
      </c>
      <c r="B16307" s="0" t="s">
        <v>16153</v>
      </c>
    </row>
    <row r="16308" customFormat="false" ht="15" hidden="false" customHeight="false" outlineLevel="0" collapsed="false">
      <c r="A16308" s="0" t="n">
        <f aca="false">ODDLYIELD(DATE(2024,1,31),DATE(2024,7,31),DATE(2023,7,31),0.05,100,100,2,3)</f>
        <v>0.0487707108498129</v>
      </c>
      <c r="B16308" s="0" t="s">
        <v>16154</v>
      </c>
    </row>
    <row r="16309" customFormat="false" ht="15" hidden="false" customHeight="false" outlineLevel="0" collapsed="false">
      <c r="A16309" s="0" t="n">
        <f aca="false">ODDLPRICE(DATE(2024,1,31),DATE(2024,7,31),DATE(2023,7,31),0.05,0.08,100,2,4)</f>
        <v>98.4615384615385</v>
      </c>
      <c r="B16309" s="0" t="s">
        <v>16155</v>
      </c>
    </row>
    <row r="16310" customFormat="false" ht="15" hidden="false" customHeight="false" outlineLevel="0" collapsed="false">
      <c r="A16310" s="0" t="n">
        <f aca="false">ODDLPRICE(DATE(2024,1,31),DATE(2024,7,31),DATE(2023,7,31),0.1,0.03,105,2,4)</f>
        <v>108.300492610837</v>
      </c>
      <c r="B16310" s="0" t="s">
        <v>16156</v>
      </c>
    </row>
    <row r="16311" customFormat="false" ht="15" hidden="false" customHeight="false" outlineLevel="0" collapsed="false">
      <c r="A16311" s="0" t="e">
        <f aca="false">ODDLPRICE(DATE(2024,1,31),DATE(2024,7,31),DATE(2023,7,31),0,0.05,100,2,4)</f>
        <v>#VALUE!</v>
      </c>
      <c r="B16311" s="0" t="s">
        <v>16157</v>
      </c>
    </row>
    <row r="16312" customFormat="false" ht="15" hidden="false" customHeight="false" outlineLevel="0" collapsed="false">
      <c r="A16312" s="0" t="n">
        <f aca="false">ODDLYIELD(DATE(2024,1,31),DATE(2024,7,31),DATE(2023,7,31),0.05,95,100,2,4)</f>
        <v>0.153846153846154</v>
      </c>
      <c r="B16312" s="0" t="s">
        <v>16158</v>
      </c>
    </row>
    <row r="16313" customFormat="false" ht="15" hidden="false" customHeight="false" outlineLevel="0" collapsed="false">
      <c r="A16313" s="0" t="n">
        <f aca="false">ODDLYIELD(DATE(2024,1,31),DATE(2024,7,31),DATE(2023,7,31),0.1,101.5,100,2,4)</f>
        <v>0.0657276995305165</v>
      </c>
      <c r="B16313" s="0" t="s">
        <v>16159</v>
      </c>
    </row>
    <row r="16314" customFormat="false" ht="15" hidden="false" customHeight="false" outlineLevel="0" collapsed="false">
      <c r="A16314" s="0" t="n">
        <f aca="false">ODDLYIELD(DATE(2024,1,31),DATE(2024,7,31),DATE(2023,7,31),0.05,100,100,2,4)</f>
        <v>0.0487804878048781</v>
      </c>
      <c r="B16314" s="0" t="s">
        <v>16160</v>
      </c>
    </row>
    <row r="16315" customFormat="false" ht="15" hidden="false" customHeight="false" outlineLevel="0" collapsed="false">
      <c r="A16315" s="0" t="n">
        <f aca="false">ODDLPRICE(DATE(2024,1,31),DATE(2024,7,31),DATE(2023,7,31),0.05,0.08,100,4,0)</f>
        <v>98.4615384615385</v>
      </c>
      <c r="B16315" s="0" t="s">
        <v>16161</v>
      </c>
    </row>
    <row r="16316" customFormat="false" ht="15" hidden="false" customHeight="false" outlineLevel="0" collapsed="false">
      <c r="A16316" s="0" t="n">
        <f aca="false">ODDLPRICE(DATE(2024,1,31),DATE(2024,7,31),DATE(2023,7,31),0.1,0.03,105,4,0)</f>
        <v>108.300492610837</v>
      </c>
      <c r="B16316" s="0" t="s">
        <v>16162</v>
      </c>
    </row>
    <row r="16317" customFormat="false" ht="15" hidden="false" customHeight="false" outlineLevel="0" collapsed="false">
      <c r="A16317" s="0" t="e">
        <f aca="false">ODDLPRICE(DATE(2024,1,31),DATE(2024,7,31),DATE(2023,7,31),0,0.05,100,4,0)</f>
        <v>#VALUE!</v>
      </c>
      <c r="B16317" s="0" t="s">
        <v>16163</v>
      </c>
    </row>
    <row r="16318" customFormat="false" ht="15" hidden="false" customHeight="false" outlineLevel="0" collapsed="false">
      <c r="A16318" s="0" t="n">
        <f aca="false">ODDLYIELD(DATE(2024,1,31),DATE(2024,7,31),DATE(2023,7,31),0.05,95,100,4,0)</f>
        <v>0.153846153846154</v>
      </c>
      <c r="B16318" s="0" t="s">
        <v>16164</v>
      </c>
    </row>
    <row r="16319" customFormat="false" ht="15" hidden="false" customHeight="false" outlineLevel="0" collapsed="false">
      <c r="A16319" s="0" t="n">
        <f aca="false">ODDLYIELD(DATE(2024,1,31),DATE(2024,7,31),DATE(2023,7,31),0.1,101.5,100,4,0)</f>
        <v>0.0657276995305165</v>
      </c>
      <c r="B16319" s="0" t="s">
        <v>16165</v>
      </c>
    </row>
    <row r="16320" customFormat="false" ht="15" hidden="false" customHeight="false" outlineLevel="0" collapsed="false">
      <c r="A16320" s="0" t="n">
        <f aca="false">ODDLYIELD(DATE(2024,1,31),DATE(2024,7,31),DATE(2023,7,31),0.05,100,100,4,0)</f>
        <v>0.0487804878048781</v>
      </c>
      <c r="B16320" s="0" t="s">
        <v>16166</v>
      </c>
    </row>
    <row r="16321" customFormat="false" ht="15" hidden="false" customHeight="false" outlineLevel="0" collapsed="false">
      <c r="A16321" s="0" t="n">
        <f aca="false">ODDLPRICE(DATE(2024,1,31),DATE(2024,7,31),DATE(2023,7,31),0.05,0.08,100,4,1)</f>
        <v>98.462214299907</v>
      </c>
      <c r="B16321" s="0" t="s">
        <v>16167</v>
      </c>
    </row>
    <row r="16322" customFormat="false" ht="15" hidden="false" customHeight="false" outlineLevel="0" collapsed="false">
      <c r="A16322" s="0" t="n">
        <f aca="false">ODDLPRICE(DATE(2024,1,31),DATE(2024,7,31),DATE(2023,7,31),0.1,0.03,105,4,1)</f>
        <v>108.268547139794</v>
      </c>
      <c r="B16322" s="0" t="s">
        <v>16168</v>
      </c>
    </row>
    <row r="16323" customFormat="false" ht="15" hidden="false" customHeight="false" outlineLevel="0" collapsed="false">
      <c r="A16323" s="0" t="e">
        <f aca="false">ODDLPRICE(DATE(2024,1,31),DATE(2024,7,31),DATE(2023,7,31),0,0.05,100,4,1)</f>
        <v>#VALUE!</v>
      </c>
      <c r="B16323" s="0" t="s">
        <v>16169</v>
      </c>
    </row>
    <row r="16324" customFormat="false" ht="15" hidden="false" customHeight="false" outlineLevel="0" collapsed="false">
      <c r="A16324" s="0" t="n">
        <f aca="false">ODDLYIELD(DATE(2024,1,31),DATE(2024,7,31),DATE(2023,7,31),0.05,95,100,4,1)</f>
        <v>0.154235145385588</v>
      </c>
      <c r="B16324" s="0" t="s">
        <v>16170</v>
      </c>
    </row>
    <row r="16325" customFormat="false" ht="15" hidden="false" customHeight="false" outlineLevel="0" collapsed="false">
      <c r="A16325" s="0" t="n">
        <f aca="false">ODDLYIELD(DATE(2024,1,31),DATE(2024,7,31),DATE(2023,7,31),0.1,101.5,100,4,1)</f>
        <v>0.0652876535229477</v>
      </c>
      <c r="B16325" s="0" t="s">
        <v>16171</v>
      </c>
    </row>
    <row r="16326" customFormat="false" ht="15" hidden="false" customHeight="false" outlineLevel="0" collapsed="false">
      <c r="A16326" s="0" t="n">
        <f aca="false">ODDLYIELD(DATE(2024,1,31),DATE(2024,7,31),DATE(2023,7,31),0.05,100,100,4,1)</f>
        <v>0.0486356241300124</v>
      </c>
      <c r="B16326" s="0" t="s">
        <v>16172</v>
      </c>
    </row>
    <row r="16327" customFormat="false" ht="15" hidden="false" customHeight="false" outlineLevel="0" collapsed="false">
      <c r="A16327" s="0" t="n">
        <f aca="false">ODDLPRICE(DATE(2024,1,31),DATE(2024,7,31),DATE(2023,7,31),0.05,0.08,100,4,2)</f>
        <v>98.442949356875</v>
      </c>
      <c r="B16327" s="0" t="s">
        <v>16173</v>
      </c>
    </row>
    <row r="16328" customFormat="false" ht="15" hidden="false" customHeight="false" outlineLevel="0" collapsed="false">
      <c r="A16328" s="0" t="n">
        <f aca="false">ODDLPRICE(DATE(2024,1,31),DATE(2024,7,31),DATE(2023,7,31),0.1,0.03,105,4,2)</f>
        <v>108.334956858024</v>
      </c>
      <c r="B16328" s="0" t="s">
        <v>16174</v>
      </c>
    </row>
    <row r="16329" customFormat="false" ht="15" hidden="false" customHeight="false" outlineLevel="0" collapsed="false">
      <c r="A16329" s="0" t="e">
        <f aca="false">ODDLPRICE(DATE(2024,1,31),DATE(2024,7,31),DATE(2023,7,31),0,0.05,100,4,2)</f>
        <v>#VALUE!</v>
      </c>
      <c r="B16329" s="0" t="s">
        <v>16175</v>
      </c>
    </row>
    <row r="16330" customFormat="false" ht="15" hidden="false" customHeight="false" outlineLevel="0" collapsed="false">
      <c r="A16330" s="0" t="n">
        <f aca="false">ODDLYIELD(DATE(2024,1,31),DATE(2024,7,31),DATE(2023,7,31),0.05,95,100,4,2)</f>
        <v>0.152632105935067</v>
      </c>
      <c r="B16330" s="0" t="s">
        <v>16176</v>
      </c>
    </row>
    <row r="16331" customFormat="false" ht="15" hidden="false" customHeight="false" outlineLevel="0" collapsed="false">
      <c r="A16331" s="0" t="n">
        <f aca="false">ODDLYIELD(DATE(2024,1,31),DATE(2024,7,31),DATE(2023,7,31),0.1,101.5,100,4,2)</f>
        <v>0.0659684244884871</v>
      </c>
      <c r="B16331" s="0" t="s">
        <v>16177</v>
      </c>
    </row>
    <row r="16332" customFormat="false" ht="15" hidden="false" customHeight="false" outlineLevel="0" collapsed="false">
      <c r="A16332" s="0" t="n">
        <f aca="false">ODDLYIELD(DATE(2024,1,31),DATE(2024,7,31),DATE(2023,7,31),0.05,100,100,4,2)</f>
        <v>0.0487540628385696</v>
      </c>
      <c r="B16332" s="0" t="s">
        <v>16178</v>
      </c>
    </row>
    <row r="16333" customFormat="false" ht="15" hidden="false" customHeight="false" outlineLevel="0" collapsed="false">
      <c r="A16333" s="0" t="n">
        <f aca="false">ODDLPRICE(DATE(2024,1,31),DATE(2024,7,31),DATE(2023,7,31),0.05,0.08,100,4,3)</f>
        <v>98.4648035143793</v>
      </c>
      <c r="B16333" s="0" t="s">
        <v>16179</v>
      </c>
    </row>
    <row r="16334" customFormat="false" ht="15" hidden="false" customHeight="false" outlineLevel="0" collapsed="false">
      <c r="A16334" s="0" t="n">
        <f aca="false">ODDLPRICE(DATE(2024,1,31),DATE(2024,7,31),DATE(2023,7,31),0.1,0.03,105,4,3)</f>
        <v>108.290977747769</v>
      </c>
      <c r="B16334" s="0" t="s">
        <v>16180</v>
      </c>
    </row>
    <row r="16335" customFormat="false" ht="15" hidden="false" customHeight="false" outlineLevel="0" collapsed="false">
      <c r="A16335" s="0" t="e">
        <f aca="false">ODDLPRICE(DATE(2024,1,31),DATE(2024,7,31),DATE(2023,7,31),0,0.05,100,4,3)</f>
        <v>#VALUE!</v>
      </c>
      <c r="B16335" s="0" t="s">
        <v>16181</v>
      </c>
    </row>
    <row r="16336" customFormat="false" ht="15" hidden="false" customHeight="false" outlineLevel="0" collapsed="false">
      <c r="A16336" s="0" t="n">
        <f aca="false">ODDLYIELD(DATE(2024,1,31),DATE(2024,7,31),DATE(2023,7,31),0.05,95,100,4,3)</f>
        <v>0.15409544802718</v>
      </c>
      <c r="B16336" s="0" t="s">
        <v>16182</v>
      </c>
    </row>
    <row r="16337" customFormat="false" ht="15" hidden="false" customHeight="false" outlineLevel="0" collapsed="false">
      <c r="A16337" s="0" t="n">
        <f aca="false">ODDLYIELD(DATE(2024,1,31),DATE(2024,7,31),DATE(2023,7,31),0.1,101.5,100,4,3)</f>
        <v>0.0656249889615367</v>
      </c>
      <c r="B16337" s="0" t="s">
        <v>16183</v>
      </c>
    </row>
    <row r="16338" customFormat="false" ht="15" hidden="false" customHeight="false" outlineLevel="0" collapsed="false">
      <c r="A16338" s="0" t="n">
        <f aca="false">ODDLYIELD(DATE(2024,1,31),DATE(2024,7,31),DATE(2023,7,31),0.05,100,100,4,3)</f>
        <v>0.0487707108498129</v>
      </c>
      <c r="B16338" s="0" t="s">
        <v>16184</v>
      </c>
    </row>
    <row r="16339" customFormat="false" ht="15" hidden="false" customHeight="false" outlineLevel="0" collapsed="false">
      <c r="A16339" s="0" t="n">
        <f aca="false">ODDLPRICE(DATE(2024,1,31),DATE(2024,7,31),DATE(2023,7,31),0.05,0.08,100,4,4)</f>
        <v>98.4615384615385</v>
      </c>
      <c r="B16339" s="0" t="s">
        <v>16185</v>
      </c>
    </row>
    <row r="16340" customFormat="false" ht="15" hidden="false" customHeight="false" outlineLevel="0" collapsed="false">
      <c r="A16340" s="0" t="n">
        <f aca="false">ODDLPRICE(DATE(2024,1,31),DATE(2024,7,31),DATE(2023,7,31),0.1,0.03,105,4,4)</f>
        <v>108.300492610837</v>
      </c>
      <c r="B16340" s="0" t="s">
        <v>16186</v>
      </c>
    </row>
    <row r="16341" customFormat="false" ht="15" hidden="false" customHeight="false" outlineLevel="0" collapsed="false">
      <c r="A16341" s="0" t="e">
        <f aca="false">ODDLPRICE(DATE(2024,1,31),DATE(2024,7,31),DATE(2023,7,31),0,0.05,100,4,4)</f>
        <v>#VALUE!</v>
      </c>
      <c r="B16341" s="0" t="s">
        <v>16187</v>
      </c>
    </row>
    <row r="16342" customFormat="false" ht="15" hidden="false" customHeight="false" outlineLevel="0" collapsed="false">
      <c r="A16342" s="0" t="n">
        <f aca="false">ODDLYIELD(DATE(2024,1,31),DATE(2024,7,31),DATE(2023,7,31),0.05,95,100,4,4)</f>
        <v>0.153846153846154</v>
      </c>
      <c r="B16342" s="0" t="s">
        <v>16188</v>
      </c>
    </row>
    <row r="16343" customFormat="false" ht="15" hidden="false" customHeight="false" outlineLevel="0" collapsed="false">
      <c r="A16343" s="0" t="n">
        <f aca="false">ODDLYIELD(DATE(2024,1,31),DATE(2024,7,31),DATE(2023,7,31),0.1,101.5,100,4,4)</f>
        <v>0.0657276995305165</v>
      </c>
      <c r="B16343" s="0" t="s">
        <v>16189</v>
      </c>
    </row>
    <row r="16344" customFormat="false" ht="15" hidden="false" customHeight="false" outlineLevel="0" collapsed="false">
      <c r="A16344" s="0" t="n">
        <f aca="false">ODDLYIELD(DATE(2024,1,31),DATE(2024,7,31),DATE(2023,7,31),0.05,100,100,4,4)</f>
        <v>0.0487804878048781</v>
      </c>
      <c r="B16344" s="0" t="s">
        <v>16190</v>
      </c>
    </row>
    <row r="16345" customFormat="false" ht="15" hidden="false" customHeight="false" outlineLevel="0" collapsed="false">
      <c r="A16345" s="0" t="n">
        <f aca="false">ODDLPRICE(DATE(2024,5,15),DATE(2024,5,31),DATE(2024,4,30),0.05,0.08,100,1,0)</f>
        <v>99.8525612636552</v>
      </c>
      <c r="B16345" s="0" t="s">
        <v>16191</v>
      </c>
    </row>
    <row r="16346" customFormat="false" ht="15" hidden="false" customHeight="false" outlineLevel="0" collapsed="false">
      <c r="A16346" s="0" t="n">
        <f aca="false">ODDLPRICE(DATE(2024,5,15),DATE(2024,5,31),DATE(2024,4,30),0.1,0.03,105,1,0)</f>
        <v>105.275743453174</v>
      </c>
      <c r="B16346" s="0" t="s">
        <v>16192</v>
      </c>
    </row>
    <row r="16347" customFormat="false" ht="15" hidden="false" customHeight="false" outlineLevel="0" collapsed="false">
      <c r="A16347" s="0" t="e">
        <f aca="false">ODDLPRICE(DATE(2024,5,15),DATE(2024,5,31),DATE(2024,4,30),0,0.05,100,1,0)</f>
        <v>#VALUE!</v>
      </c>
      <c r="B16347" s="0" t="s">
        <v>16193</v>
      </c>
    </row>
    <row r="16348" customFormat="false" ht="15" hidden="false" customHeight="false" outlineLevel="0" collapsed="false">
      <c r="A16348" s="0" t="n">
        <f aca="false">ODDLYIELD(DATE(2024,5,15),DATE(2024,5,31),DATE(2024,4,30),0.05,95,100,1,0)</f>
        <v>1.2308533916849</v>
      </c>
      <c r="B16348" s="0" t="s">
        <v>16194</v>
      </c>
    </row>
    <row r="16349" customFormat="false" ht="15" hidden="false" customHeight="false" outlineLevel="0" collapsed="false">
      <c r="A16349" s="0" t="n">
        <f aca="false">ODDLYIELD(DATE(2024,5,15),DATE(2024,5,31),DATE(2024,4,30),0.1,101.5,100,1,0)</f>
        <v>-0.239165985282096</v>
      </c>
      <c r="B16349" s="0" t="s">
        <v>16195</v>
      </c>
    </row>
    <row r="16350" customFormat="false" ht="15" hidden="false" customHeight="false" outlineLevel="0" collapsed="false">
      <c r="A16350" s="0" t="n">
        <f aca="false">ODDLYIELD(DATE(2024,5,15),DATE(2024,5,31),DATE(2024,4,30),0.05,100,100,1,0)</f>
        <v>0.0467775467775505</v>
      </c>
      <c r="B16350" s="0" t="s">
        <v>16196</v>
      </c>
    </row>
    <row r="16351" customFormat="false" ht="15" hidden="false" customHeight="false" outlineLevel="0" collapsed="false">
      <c r="A16351" s="0" t="n">
        <f aca="false">ODDLPRICE(DATE(2024,5,15),DATE(2024,5,31),DATE(2024,4,30),0.05,0.08,100,1,1)</f>
        <v>99.8685953629875</v>
      </c>
      <c r="B16351" s="0" t="s">
        <v>16197</v>
      </c>
    </row>
    <row r="16352" customFormat="false" ht="15" hidden="false" customHeight="false" outlineLevel="0" collapsed="false">
      <c r="A16352" s="0" t="n">
        <f aca="false">ODDLPRICE(DATE(2024,5,15),DATE(2024,5,31),DATE(2024,4,30),0.1,0.03,105,1,1)</f>
        <v>105.298524554378</v>
      </c>
      <c r="B16352" s="0" t="s">
        <v>16198</v>
      </c>
    </row>
    <row r="16353" customFormat="false" ht="15" hidden="false" customHeight="false" outlineLevel="0" collapsed="false">
      <c r="A16353" s="0" t="e">
        <f aca="false">ODDLPRICE(DATE(2024,5,15),DATE(2024,5,31),DATE(2024,4,30),0,0.05,100,1,1)</f>
        <v>#VALUE!</v>
      </c>
      <c r="B16353" s="0" t="s">
        <v>16199</v>
      </c>
    </row>
    <row r="16354" customFormat="false" ht="15" hidden="false" customHeight="false" outlineLevel="0" collapsed="false">
      <c r="A16354" s="0" t="n">
        <f aca="false">ODDLYIELD(DATE(2024,5,15),DATE(2024,5,31),DATE(2024,4,30),0.05,95,100,1,1)</f>
        <v>1.25387430047353</v>
      </c>
      <c r="B16354" s="0" t="s">
        <v>16200</v>
      </c>
    </row>
    <row r="16355" customFormat="false" ht="15" hidden="false" customHeight="false" outlineLevel="0" collapsed="false">
      <c r="A16355" s="0" t="n">
        <f aca="false">ODDLYIELD(DATE(2024,5,15),DATE(2024,5,31),DATE(2024,4,30),0.1,101.5,100,1,1)</f>
        <v>-0.238568728384138</v>
      </c>
      <c r="B16355" s="0" t="s">
        <v>16201</v>
      </c>
    </row>
    <row r="16356" customFormat="false" ht="15" hidden="false" customHeight="false" outlineLevel="0" collapsed="false">
      <c r="A16356" s="0" t="n">
        <f aca="false">ODDLYIELD(DATE(2024,5,15),DATE(2024,5,31),DATE(2024,4,30),0.05,100,100,1,1)</f>
        <v>0.04989775051125</v>
      </c>
      <c r="B16356" s="0" t="s">
        <v>16202</v>
      </c>
    </row>
    <row r="16357" customFormat="false" ht="15" hidden="false" customHeight="false" outlineLevel="0" collapsed="false">
      <c r="A16357" s="0" t="n">
        <f aca="false">ODDLPRICE(DATE(2024,5,15),DATE(2024,5,31),DATE(2024,4,30),0.05,0.08,100,1,2)</f>
        <v>99.8664009447889</v>
      </c>
      <c r="B16357" s="0" t="s">
        <v>16203</v>
      </c>
    </row>
    <row r="16358" customFormat="false" ht="15" hidden="false" customHeight="false" outlineLevel="0" collapsed="false">
      <c r="A16358" s="0" t="n">
        <f aca="false">ODDLPRICE(DATE(2024,5,15),DATE(2024,5,31),DATE(2024,4,30),0.1,0.03,105,1,2)</f>
        <v>105.303484243231</v>
      </c>
      <c r="B16358" s="0" t="s">
        <v>16204</v>
      </c>
    </row>
    <row r="16359" customFormat="false" ht="15" hidden="false" customHeight="false" outlineLevel="0" collapsed="false">
      <c r="A16359" s="0" t="e">
        <f aca="false">ODDLPRICE(DATE(2024,5,15),DATE(2024,5,31),DATE(2024,4,30),0,0.05,100,1,2)</f>
        <v>#VALUE!</v>
      </c>
      <c r="B16359" s="0" t="s">
        <v>16205</v>
      </c>
    </row>
    <row r="16360" customFormat="false" ht="15" hidden="false" customHeight="false" outlineLevel="0" collapsed="false">
      <c r="A16360" s="0" t="n">
        <f aca="false">ODDLYIELD(DATE(2024,5,15),DATE(2024,5,31),DATE(2024,4,30),0.05,95,100,1,2)</f>
        <v>1.23413566739606</v>
      </c>
      <c r="B16360" s="0" t="s">
        <v>16206</v>
      </c>
    </row>
    <row r="16361" customFormat="false" ht="15" hidden="false" customHeight="false" outlineLevel="0" collapsed="false">
      <c r="A16361" s="0" t="n">
        <f aca="false">ODDLYIELD(DATE(2024,5,15),DATE(2024,5,31),DATE(2024,4,30),0.1,101.5,100,1,2)</f>
        <v>-0.233033524121014</v>
      </c>
      <c r="B16361" s="0" t="s">
        <v>16207</v>
      </c>
    </row>
    <row r="16362" customFormat="false" ht="15" hidden="false" customHeight="false" outlineLevel="0" collapsed="false">
      <c r="A16362" s="0" t="n">
        <f aca="false">ODDLYIELD(DATE(2024,5,15),DATE(2024,5,31),DATE(2024,4,30),0.05,100,100,1,2)</f>
        <v>0.0498960498960532</v>
      </c>
      <c r="B16362" s="0" t="s">
        <v>16208</v>
      </c>
    </row>
    <row r="16363" customFormat="false" ht="15" hidden="false" customHeight="false" outlineLevel="0" collapsed="false">
      <c r="A16363" s="0" t="n">
        <f aca="false">ODDLPRICE(DATE(2024,5,15),DATE(2024,5,31),DATE(2024,4,30),0.05,0.08,100,1,3)</f>
        <v>99.8682346464491</v>
      </c>
      <c r="B16363" s="0" t="s">
        <v>16209</v>
      </c>
    </row>
    <row r="16364" customFormat="false" ht="15" hidden="false" customHeight="false" outlineLevel="0" collapsed="false">
      <c r="A16364" s="0" t="n">
        <f aca="false">ODDLPRICE(DATE(2024,5,15),DATE(2024,5,31),DATE(2024,4,30),0.1,0.03,105,1,3)</f>
        <v>105.29933988105</v>
      </c>
      <c r="B16364" s="0" t="s">
        <v>16210</v>
      </c>
    </row>
    <row r="16365" customFormat="false" ht="15" hidden="false" customHeight="false" outlineLevel="0" collapsed="false">
      <c r="A16365" s="0" t="e">
        <f aca="false">ODDLPRICE(DATE(2024,5,15),DATE(2024,5,31),DATE(2024,4,30),0,0.05,100,1,3)</f>
        <v>#VALUE!</v>
      </c>
      <c r="B16365" s="0" t="s">
        <v>16211</v>
      </c>
    </row>
    <row r="16366" customFormat="false" ht="15" hidden="false" customHeight="false" outlineLevel="0" collapsed="false">
      <c r="A16366" s="0" t="n">
        <f aca="false">ODDLYIELD(DATE(2024,5,15),DATE(2024,5,31),DATE(2024,4,30),0.05,95,100,1,3)</f>
        <v>1.2505845323741</v>
      </c>
      <c r="B16366" s="0" t="s">
        <v>16212</v>
      </c>
    </row>
    <row r="16367" customFormat="false" ht="15" hidden="false" customHeight="false" outlineLevel="0" collapsed="false">
      <c r="A16367" s="0" t="n">
        <f aca="false">ODDLYIELD(DATE(2024,5,15),DATE(2024,5,31),DATE(2024,4,30),0.1,101.5,100,1,3)</f>
        <v>-0.237646179178707</v>
      </c>
      <c r="B16367" s="0" t="s">
        <v>16213</v>
      </c>
    </row>
    <row r="16368" customFormat="false" ht="15" hidden="false" customHeight="false" outlineLevel="0" collapsed="false">
      <c r="A16368" s="0" t="n">
        <f aca="false">ODDLYIELD(DATE(2024,5,15),DATE(2024,5,31),DATE(2024,4,30),0.05,100,100,1,3)</f>
        <v>0.0498974709501031</v>
      </c>
      <c r="B16368" s="0" t="s">
        <v>16214</v>
      </c>
    </row>
    <row r="16369" customFormat="false" ht="15" hidden="false" customHeight="false" outlineLevel="0" collapsed="false">
      <c r="A16369" s="0" t="n">
        <f aca="false">ODDLPRICE(DATE(2024,5,15),DATE(2024,5,31),DATE(2024,4,30),0.05,0.08,100,1,4)</f>
        <v>99.874723145072</v>
      </c>
      <c r="B16369" s="0" t="s">
        <v>16215</v>
      </c>
    </row>
    <row r="16370" customFormat="false" ht="15" hidden="false" customHeight="false" outlineLevel="0" collapsed="false">
      <c r="A16370" s="0" t="n">
        <f aca="false">ODDLPRICE(DATE(2024,5,15),DATE(2024,5,31),DATE(2024,4,30),0.1,0.03,105,1,4)</f>
        <v>105.284540158136</v>
      </c>
      <c r="B16370" s="0" t="s">
        <v>16216</v>
      </c>
    </row>
    <row r="16371" customFormat="false" ht="15" hidden="false" customHeight="false" outlineLevel="0" collapsed="false">
      <c r="A16371" s="0" t="e">
        <f aca="false">ODDLPRICE(DATE(2024,5,15),DATE(2024,5,31),DATE(2024,4,30),0,0.05,100,1,4)</f>
        <v>#VALUE!</v>
      </c>
      <c r="B16371" s="0" t="s">
        <v>16217</v>
      </c>
    </row>
    <row r="16372" customFormat="false" ht="15" hidden="false" customHeight="false" outlineLevel="0" collapsed="false">
      <c r="A16372" s="0" t="n">
        <f aca="false">ODDLYIELD(DATE(2024,5,15),DATE(2024,5,31),DATE(2024,4,30),0.05,95,100,1,4)</f>
        <v>1.3129102844639</v>
      </c>
      <c r="B16372" s="0" t="s">
        <v>16218</v>
      </c>
    </row>
    <row r="16373" customFormat="false" ht="15" hidden="false" customHeight="false" outlineLevel="0" collapsed="false">
      <c r="A16373" s="0" t="n">
        <f aca="false">ODDLYIELD(DATE(2024,5,15),DATE(2024,5,31),DATE(2024,4,30),0.1,101.5,100,1,4)</f>
        <v>-0.255110384300902</v>
      </c>
      <c r="B16373" s="0" t="s">
        <v>16219</v>
      </c>
    </row>
    <row r="16374" customFormat="false" ht="15" hidden="false" customHeight="false" outlineLevel="0" collapsed="false">
      <c r="A16374" s="0" t="n">
        <f aca="false">ODDLYIELD(DATE(2024,5,15),DATE(2024,5,31),DATE(2024,4,30),0.05,100,100,1,4)</f>
        <v>0.0498960498960539</v>
      </c>
      <c r="B16374" s="0" t="s">
        <v>16220</v>
      </c>
    </row>
    <row r="16375" customFormat="false" ht="15" hidden="false" customHeight="false" outlineLevel="0" collapsed="false">
      <c r="A16375" s="0" t="n">
        <f aca="false">ODDLPRICE(DATE(2024,5,15),DATE(2024,5,31),DATE(2024,4,30),0.05,0.08,100,2,0)</f>
        <v>99.8525612636552</v>
      </c>
      <c r="B16375" s="0" t="s">
        <v>16221</v>
      </c>
    </row>
    <row r="16376" customFormat="false" ht="15" hidden="false" customHeight="false" outlineLevel="0" collapsed="false">
      <c r="A16376" s="0" t="n">
        <f aca="false">ODDLPRICE(DATE(2024,5,15),DATE(2024,5,31),DATE(2024,4,30),0.1,0.03,105,2,0)</f>
        <v>105.275743453174</v>
      </c>
      <c r="B16376" s="0" t="s">
        <v>16222</v>
      </c>
    </row>
    <row r="16377" customFormat="false" ht="15" hidden="false" customHeight="false" outlineLevel="0" collapsed="false">
      <c r="A16377" s="0" t="e">
        <f aca="false">ODDLPRICE(DATE(2024,5,15),DATE(2024,5,31),DATE(2024,4,30),0,0.05,100,2,0)</f>
        <v>#VALUE!</v>
      </c>
      <c r="B16377" s="0" t="s">
        <v>16223</v>
      </c>
    </row>
    <row r="16378" customFormat="false" ht="15" hidden="false" customHeight="false" outlineLevel="0" collapsed="false">
      <c r="A16378" s="0" t="n">
        <f aca="false">ODDLYIELD(DATE(2024,5,15),DATE(2024,5,31),DATE(2024,4,30),0.05,95,100,2,0)</f>
        <v>1.2308533916849</v>
      </c>
      <c r="B16378" s="0" t="s">
        <v>16224</v>
      </c>
    </row>
    <row r="16379" customFormat="false" ht="15" hidden="false" customHeight="false" outlineLevel="0" collapsed="false">
      <c r="A16379" s="0" t="n">
        <f aca="false">ODDLYIELD(DATE(2024,5,15),DATE(2024,5,31),DATE(2024,4,30),0.1,101.5,100,2,0)</f>
        <v>-0.239165985282096</v>
      </c>
      <c r="B16379" s="0" t="s">
        <v>16225</v>
      </c>
    </row>
    <row r="16380" customFormat="false" ht="15" hidden="false" customHeight="false" outlineLevel="0" collapsed="false">
      <c r="A16380" s="0" t="n">
        <f aca="false">ODDLYIELD(DATE(2024,5,15),DATE(2024,5,31),DATE(2024,4,30),0.05,100,100,2,0)</f>
        <v>0.0467775467775505</v>
      </c>
      <c r="B16380" s="0" t="s">
        <v>16226</v>
      </c>
    </row>
    <row r="16381" customFormat="false" ht="15" hidden="false" customHeight="false" outlineLevel="0" collapsed="false">
      <c r="A16381" s="0" t="n">
        <f aca="false">ODDLPRICE(DATE(2024,5,15),DATE(2024,5,31),DATE(2024,4,30),0.05,0.08,100,2,1)</f>
        <v>99.8685953629875</v>
      </c>
      <c r="B16381" s="0" t="s">
        <v>16227</v>
      </c>
    </row>
    <row r="16382" customFormat="false" ht="15" hidden="false" customHeight="false" outlineLevel="0" collapsed="false">
      <c r="A16382" s="0" t="n">
        <f aca="false">ODDLPRICE(DATE(2024,5,15),DATE(2024,5,31),DATE(2024,4,30),0.1,0.03,105,2,1)</f>
        <v>105.298524554378</v>
      </c>
      <c r="B16382" s="0" t="s">
        <v>16228</v>
      </c>
    </row>
    <row r="16383" customFormat="false" ht="15" hidden="false" customHeight="false" outlineLevel="0" collapsed="false">
      <c r="A16383" s="0" t="e">
        <f aca="false">ODDLPRICE(DATE(2024,5,15),DATE(2024,5,31),DATE(2024,4,30),0,0.05,100,2,1)</f>
        <v>#VALUE!</v>
      </c>
      <c r="B16383" s="0" t="s">
        <v>16229</v>
      </c>
    </row>
    <row r="16384" customFormat="false" ht="15" hidden="false" customHeight="false" outlineLevel="0" collapsed="false">
      <c r="A16384" s="0" t="n">
        <f aca="false">ODDLYIELD(DATE(2024,5,15),DATE(2024,5,31),DATE(2024,4,30),0.05,95,100,2,1)</f>
        <v>1.25387430047353</v>
      </c>
      <c r="B16384" s="0" t="s">
        <v>16230</v>
      </c>
    </row>
    <row r="16385" customFormat="false" ht="15" hidden="false" customHeight="false" outlineLevel="0" collapsed="false">
      <c r="A16385" s="0" t="n">
        <f aca="false">ODDLYIELD(DATE(2024,5,15),DATE(2024,5,31),DATE(2024,4,30),0.1,101.5,100,2,1)</f>
        <v>-0.238568728384138</v>
      </c>
      <c r="B16385" s="0" t="s">
        <v>16231</v>
      </c>
    </row>
    <row r="16386" customFormat="false" ht="15" hidden="false" customHeight="false" outlineLevel="0" collapsed="false">
      <c r="A16386" s="0" t="n">
        <f aca="false">ODDLYIELD(DATE(2024,5,15),DATE(2024,5,31),DATE(2024,4,30),0.05,100,100,2,1)</f>
        <v>0.04989775051125</v>
      </c>
      <c r="B16386" s="0" t="s">
        <v>16232</v>
      </c>
    </row>
    <row r="16387" customFormat="false" ht="15" hidden="false" customHeight="false" outlineLevel="0" collapsed="false">
      <c r="A16387" s="0" t="n">
        <f aca="false">ODDLPRICE(DATE(2024,5,15),DATE(2024,5,31),DATE(2024,4,30),0.05,0.08,100,2,2)</f>
        <v>99.8664009447889</v>
      </c>
      <c r="B16387" s="0" t="s">
        <v>16233</v>
      </c>
    </row>
    <row r="16388" customFormat="false" ht="15" hidden="false" customHeight="false" outlineLevel="0" collapsed="false">
      <c r="A16388" s="0" t="n">
        <f aca="false">ODDLPRICE(DATE(2024,5,15),DATE(2024,5,31),DATE(2024,4,30),0.1,0.03,105,2,2)</f>
        <v>105.303484243231</v>
      </c>
      <c r="B16388" s="0" t="s">
        <v>16234</v>
      </c>
    </row>
    <row r="16389" customFormat="false" ht="15" hidden="false" customHeight="false" outlineLevel="0" collapsed="false">
      <c r="A16389" s="0" t="e">
        <f aca="false">ODDLPRICE(DATE(2024,5,15),DATE(2024,5,31),DATE(2024,4,30),0,0.05,100,2,2)</f>
        <v>#VALUE!</v>
      </c>
      <c r="B16389" s="0" t="s">
        <v>16235</v>
      </c>
    </row>
    <row r="16390" customFormat="false" ht="15" hidden="false" customHeight="false" outlineLevel="0" collapsed="false">
      <c r="A16390" s="0" t="n">
        <f aca="false">ODDLYIELD(DATE(2024,5,15),DATE(2024,5,31),DATE(2024,4,30),0.05,95,100,2,2)</f>
        <v>1.23413566739606</v>
      </c>
      <c r="B16390" s="0" t="s">
        <v>16236</v>
      </c>
    </row>
    <row r="16391" customFormat="false" ht="15" hidden="false" customHeight="false" outlineLevel="0" collapsed="false">
      <c r="A16391" s="0" t="n">
        <f aca="false">ODDLYIELD(DATE(2024,5,15),DATE(2024,5,31),DATE(2024,4,30),0.1,101.5,100,2,2)</f>
        <v>-0.233033524121014</v>
      </c>
      <c r="B16391" s="0" t="s">
        <v>16237</v>
      </c>
    </row>
    <row r="16392" customFormat="false" ht="15" hidden="false" customHeight="false" outlineLevel="0" collapsed="false">
      <c r="A16392" s="0" t="n">
        <f aca="false">ODDLYIELD(DATE(2024,5,15),DATE(2024,5,31),DATE(2024,4,30),0.05,100,100,2,2)</f>
        <v>0.0498960498960532</v>
      </c>
      <c r="B16392" s="0" t="s">
        <v>16238</v>
      </c>
    </row>
    <row r="16393" customFormat="false" ht="15" hidden="false" customHeight="false" outlineLevel="0" collapsed="false">
      <c r="A16393" s="0" t="n">
        <f aca="false">ODDLPRICE(DATE(2024,5,15),DATE(2024,5,31),DATE(2024,4,30),0.05,0.08,100,2,3)</f>
        <v>99.8682346464491</v>
      </c>
      <c r="B16393" s="0" t="s">
        <v>16239</v>
      </c>
    </row>
    <row r="16394" customFormat="false" ht="15" hidden="false" customHeight="false" outlineLevel="0" collapsed="false">
      <c r="A16394" s="0" t="n">
        <f aca="false">ODDLPRICE(DATE(2024,5,15),DATE(2024,5,31),DATE(2024,4,30),0.1,0.03,105,2,3)</f>
        <v>105.29933988105</v>
      </c>
      <c r="B16394" s="0" t="s">
        <v>16240</v>
      </c>
    </row>
    <row r="16395" customFormat="false" ht="15" hidden="false" customHeight="false" outlineLevel="0" collapsed="false">
      <c r="A16395" s="0" t="e">
        <f aca="false">ODDLPRICE(DATE(2024,5,15),DATE(2024,5,31),DATE(2024,4,30),0,0.05,100,2,3)</f>
        <v>#VALUE!</v>
      </c>
      <c r="B16395" s="0" t="s">
        <v>16241</v>
      </c>
    </row>
    <row r="16396" customFormat="false" ht="15" hidden="false" customHeight="false" outlineLevel="0" collapsed="false">
      <c r="A16396" s="0" t="n">
        <f aca="false">ODDLYIELD(DATE(2024,5,15),DATE(2024,5,31),DATE(2024,4,30),0.05,95,100,2,3)</f>
        <v>1.2505845323741</v>
      </c>
      <c r="B16396" s="0" t="s">
        <v>16242</v>
      </c>
    </row>
    <row r="16397" customFormat="false" ht="15" hidden="false" customHeight="false" outlineLevel="0" collapsed="false">
      <c r="A16397" s="0" t="n">
        <f aca="false">ODDLYIELD(DATE(2024,5,15),DATE(2024,5,31),DATE(2024,4,30),0.1,101.5,100,2,3)</f>
        <v>-0.237646179178707</v>
      </c>
      <c r="B16397" s="0" t="s">
        <v>16243</v>
      </c>
    </row>
    <row r="16398" customFormat="false" ht="15" hidden="false" customHeight="false" outlineLevel="0" collapsed="false">
      <c r="A16398" s="0" t="n">
        <f aca="false">ODDLYIELD(DATE(2024,5,15),DATE(2024,5,31),DATE(2024,4,30),0.05,100,100,2,3)</f>
        <v>0.0498974709501031</v>
      </c>
      <c r="B16398" s="0" t="s">
        <v>16244</v>
      </c>
    </row>
    <row r="16399" customFormat="false" ht="15" hidden="false" customHeight="false" outlineLevel="0" collapsed="false">
      <c r="A16399" s="0" t="n">
        <f aca="false">ODDLPRICE(DATE(2024,5,15),DATE(2024,5,31),DATE(2024,4,30),0.05,0.08,100,2,4)</f>
        <v>99.874723145072</v>
      </c>
      <c r="B16399" s="0" t="s">
        <v>16245</v>
      </c>
    </row>
    <row r="16400" customFormat="false" ht="15" hidden="false" customHeight="false" outlineLevel="0" collapsed="false">
      <c r="A16400" s="0" t="n">
        <f aca="false">ODDLPRICE(DATE(2024,5,15),DATE(2024,5,31),DATE(2024,4,30),0.1,0.03,105,2,4)</f>
        <v>105.284540158136</v>
      </c>
      <c r="B16400" s="0" t="s">
        <v>16246</v>
      </c>
    </row>
    <row r="16401" customFormat="false" ht="15" hidden="false" customHeight="false" outlineLevel="0" collapsed="false">
      <c r="A16401" s="0" t="e">
        <f aca="false">ODDLPRICE(DATE(2024,5,15),DATE(2024,5,31),DATE(2024,4,30),0,0.05,100,2,4)</f>
        <v>#VALUE!</v>
      </c>
      <c r="B16401" s="0" t="s">
        <v>16247</v>
      </c>
    </row>
    <row r="16402" customFormat="false" ht="15" hidden="false" customHeight="false" outlineLevel="0" collapsed="false">
      <c r="A16402" s="0" t="n">
        <f aca="false">ODDLYIELD(DATE(2024,5,15),DATE(2024,5,31),DATE(2024,4,30),0.05,95,100,2,4)</f>
        <v>1.3129102844639</v>
      </c>
      <c r="B16402" s="0" t="s">
        <v>16248</v>
      </c>
    </row>
    <row r="16403" customFormat="false" ht="15" hidden="false" customHeight="false" outlineLevel="0" collapsed="false">
      <c r="A16403" s="0" t="n">
        <f aca="false">ODDLYIELD(DATE(2024,5,15),DATE(2024,5,31),DATE(2024,4,30),0.1,101.5,100,2,4)</f>
        <v>-0.255110384300902</v>
      </c>
      <c r="B16403" s="0" t="s">
        <v>16249</v>
      </c>
    </row>
    <row r="16404" customFormat="false" ht="15" hidden="false" customHeight="false" outlineLevel="0" collapsed="false">
      <c r="A16404" s="0" t="n">
        <f aca="false">ODDLYIELD(DATE(2024,5,15),DATE(2024,5,31),DATE(2024,4,30),0.05,100,100,2,4)</f>
        <v>0.0498960498960539</v>
      </c>
      <c r="B16404" s="0" t="s">
        <v>16250</v>
      </c>
    </row>
    <row r="16405" customFormat="false" ht="15" hidden="false" customHeight="false" outlineLevel="0" collapsed="false">
      <c r="A16405" s="0" t="n">
        <f aca="false">ODDLPRICE(DATE(2024,5,15),DATE(2024,5,31),DATE(2024,4,30),0.05,0.08,100,4,0)</f>
        <v>99.8525612636552</v>
      </c>
      <c r="B16405" s="0" t="s">
        <v>16251</v>
      </c>
    </row>
    <row r="16406" customFormat="false" ht="15" hidden="false" customHeight="false" outlineLevel="0" collapsed="false">
      <c r="A16406" s="0" t="n">
        <f aca="false">ODDLPRICE(DATE(2024,5,15),DATE(2024,5,31),DATE(2024,4,30),0.1,0.03,105,4,0)</f>
        <v>105.275743453174</v>
      </c>
      <c r="B16406" s="0" t="s">
        <v>16252</v>
      </c>
    </row>
    <row r="16407" customFormat="false" ht="15" hidden="false" customHeight="false" outlineLevel="0" collapsed="false">
      <c r="A16407" s="0" t="e">
        <f aca="false">ODDLPRICE(DATE(2024,5,15),DATE(2024,5,31),DATE(2024,4,30),0,0.05,100,4,0)</f>
        <v>#VALUE!</v>
      </c>
      <c r="B16407" s="0" t="s">
        <v>16253</v>
      </c>
    </row>
    <row r="16408" customFormat="false" ht="15" hidden="false" customHeight="false" outlineLevel="0" collapsed="false">
      <c r="A16408" s="0" t="n">
        <f aca="false">ODDLYIELD(DATE(2024,5,15),DATE(2024,5,31),DATE(2024,4,30),0.05,95,100,4,0)</f>
        <v>1.2308533916849</v>
      </c>
      <c r="B16408" s="0" t="s">
        <v>16254</v>
      </c>
    </row>
    <row r="16409" customFormat="false" ht="15" hidden="false" customHeight="false" outlineLevel="0" collapsed="false">
      <c r="A16409" s="0" t="n">
        <f aca="false">ODDLYIELD(DATE(2024,5,15),DATE(2024,5,31),DATE(2024,4,30),0.1,101.5,100,4,0)</f>
        <v>-0.239165985282096</v>
      </c>
      <c r="B16409" s="0" t="s">
        <v>16255</v>
      </c>
    </row>
    <row r="16410" customFormat="false" ht="15" hidden="false" customHeight="false" outlineLevel="0" collapsed="false">
      <c r="A16410" s="0" t="n">
        <f aca="false">ODDLYIELD(DATE(2024,5,15),DATE(2024,5,31),DATE(2024,4,30),0.05,100,100,4,0)</f>
        <v>0.0467775467775505</v>
      </c>
      <c r="B16410" s="0" t="s">
        <v>16256</v>
      </c>
    </row>
    <row r="16411" customFormat="false" ht="15" hidden="false" customHeight="false" outlineLevel="0" collapsed="false">
      <c r="A16411" s="0" t="n">
        <f aca="false">ODDLPRICE(DATE(2024,5,15),DATE(2024,5,31),DATE(2024,4,30),0.05,0.08,100,4,1)</f>
        <v>99.8685953629875</v>
      </c>
      <c r="B16411" s="0" t="s">
        <v>16257</v>
      </c>
    </row>
    <row r="16412" customFormat="false" ht="15" hidden="false" customHeight="false" outlineLevel="0" collapsed="false">
      <c r="A16412" s="0" t="n">
        <f aca="false">ODDLPRICE(DATE(2024,5,15),DATE(2024,5,31),DATE(2024,4,30),0.1,0.03,105,4,1)</f>
        <v>105.298524554378</v>
      </c>
      <c r="B16412" s="0" t="s">
        <v>16258</v>
      </c>
    </row>
    <row r="16413" customFormat="false" ht="15" hidden="false" customHeight="false" outlineLevel="0" collapsed="false">
      <c r="A16413" s="0" t="e">
        <f aca="false">ODDLPRICE(DATE(2024,5,15),DATE(2024,5,31),DATE(2024,4,30),0,0.05,100,4,1)</f>
        <v>#VALUE!</v>
      </c>
      <c r="B16413" s="0" t="s">
        <v>16259</v>
      </c>
    </row>
    <row r="16414" customFormat="false" ht="15" hidden="false" customHeight="false" outlineLevel="0" collapsed="false">
      <c r="A16414" s="0" t="n">
        <f aca="false">ODDLYIELD(DATE(2024,5,15),DATE(2024,5,31),DATE(2024,4,30),0.05,95,100,4,1)</f>
        <v>1.25387430047353</v>
      </c>
      <c r="B16414" s="0" t="s">
        <v>16260</v>
      </c>
    </row>
    <row r="16415" customFormat="false" ht="15" hidden="false" customHeight="false" outlineLevel="0" collapsed="false">
      <c r="A16415" s="0" t="n">
        <f aca="false">ODDLYIELD(DATE(2024,5,15),DATE(2024,5,31),DATE(2024,4,30),0.1,101.5,100,4,1)</f>
        <v>-0.238568728384138</v>
      </c>
      <c r="B16415" s="0" t="s">
        <v>16261</v>
      </c>
    </row>
    <row r="16416" customFormat="false" ht="15" hidden="false" customHeight="false" outlineLevel="0" collapsed="false">
      <c r="A16416" s="0" t="n">
        <f aca="false">ODDLYIELD(DATE(2024,5,15),DATE(2024,5,31),DATE(2024,4,30),0.05,100,100,4,1)</f>
        <v>0.04989775051125</v>
      </c>
      <c r="B16416" s="0" t="s">
        <v>16262</v>
      </c>
    </row>
    <row r="16417" customFormat="false" ht="15" hidden="false" customHeight="false" outlineLevel="0" collapsed="false">
      <c r="A16417" s="0" t="n">
        <f aca="false">ODDLPRICE(DATE(2024,5,15),DATE(2024,5,31),DATE(2024,4,30),0.05,0.08,100,4,2)</f>
        <v>99.8664009447889</v>
      </c>
      <c r="B16417" s="0" t="s">
        <v>16263</v>
      </c>
    </row>
    <row r="16418" customFormat="false" ht="15" hidden="false" customHeight="false" outlineLevel="0" collapsed="false">
      <c r="A16418" s="0" t="n">
        <f aca="false">ODDLPRICE(DATE(2024,5,15),DATE(2024,5,31),DATE(2024,4,30),0.1,0.03,105,4,2)</f>
        <v>105.303484243231</v>
      </c>
      <c r="B16418" s="0" t="s">
        <v>16264</v>
      </c>
    </row>
    <row r="16419" customFormat="false" ht="15" hidden="false" customHeight="false" outlineLevel="0" collapsed="false">
      <c r="A16419" s="0" t="e">
        <f aca="false">ODDLPRICE(DATE(2024,5,15),DATE(2024,5,31),DATE(2024,4,30),0,0.05,100,4,2)</f>
        <v>#VALUE!</v>
      </c>
      <c r="B16419" s="0" t="s">
        <v>16265</v>
      </c>
    </row>
    <row r="16420" customFormat="false" ht="15" hidden="false" customHeight="false" outlineLevel="0" collapsed="false">
      <c r="A16420" s="0" t="n">
        <f aca="false">ODDLYIELD(DATE(2024,5,15),DATE(2024,5,31),DATE(2024,4,30),0.05,95,100,4,2)</f>
        <v>1.23413566739606</v>
      </c>
      <c r="B16420" s="0" t="s">
        <v>16266</v>
      </c>
    </row>
    <row r="16421" customFormat="false" ht="15" hidden="false" customHeight="false" outlineLevel="0" collapsed="false">
      <c r="A16421" s="0" t="n">
        <f aca="false">ODDLYIELD(DATE(2024,5,15),DATE(2024,5,31),DATE(2024,4,30),0.1,101.5,100,4,2)</f>
        <v>-0.233033524121014</v>
      </c>
      <c r="B16421" s="0" t="s">
        <v>16267</v>
      </c>
    </row>
    <row r="16422" customFormat="false" ht="15" hidden="false" customHeight="false" outlineLevel="0" collapsed="false">
      <c r="A16422" s="0" t="n">
        <f aca="false">ODDLYIELD(DATE(2024,5,15),DATE(2024,5,31),DATE(2024,4,30),0.05,100,100,4,2)</f>
        <v>0.0498960498960532</v>
      </c>
      <c r="B16422" s="0" t="s">
        <v>16268</v>
      </c>
    </row>
    <row r="16423" customFormat="false" ht="15" hidden="false" customHeight="false" outlineLevel="0" collapsed="false">
      <c r="A16423" s="0" t="n">
        <f aca="false">ODDLPRICE(DATE(2024,5,15),DATE(2024,5,31),DATE(2024,4,30),0.05,0.08,100,4,3)</f>
        <v>99.8682346464491</v>
      </c>
      <c r="B16423" s="0" t="s">
        <v>16269</v>
      </c>
    </row>
    <row r="16424" customFormat="false" ht="15" hidden="false" customHeight="false" outlineLevel="0" collapsed="false">
      <c r="A16424" s="0" t="n">
        <f aca="false">ODDLPRICE(DATE(2024,5,15),DATE(2024,5,31),DATE(2024,4,30),0.1,0.03,105,4,3)</f>
        <v>105.29933988105</v>
      </c>
      <c r="B16424" s="0" t="s">
        <v>16270</v>
      </c>
    </row>
    <row r="16425" customFormat="false" ht="15" hidden="false" customHeight="false" outlineLevel="0" collapsed="false">
      <c r="A16425" s="0" t="e">
        <f aca="false">ODDLPRICE(DATE(2024,5,15),DATE(2024,5,31),DATE(2024,4,30),0,0.05,100,4,3)</f>
        <v>#VALUE!</v>
      </c>
      <c r="B16425" s="0" t="s">
        <v>16271</v>
      </c>
    </row>
    <row r="16426" customFormat="false" ht="15" hidden="false" customHeight="false" outlineLevel="0" collapsed="false">
      <c r="A16426" s="0" t="n">
        <f aca="false">ODDLYIELD(DATE(2024,5,15),DATE(2024,5,31),DATE(2024,4,30),0.05,95,100,4,3)</f>
        <v>1.2505845323741</v>
      </c>
      <c r="B16426" s="0" t="s">
        <v>16272</v>
      </c>
    </row>
    <row r="16427" customFormat="false" ht="15" hidden="false" customHeight="false" outlineLevel="0" collapsed="false">
      <c r="A16427" s="0" t="n">
        <f aca="false">ODDLYIELD(DATE(2024,5,15),DATE(2024,5,31),DATE(2024,4,30),0.1,101.5,100,4,3)</f>
        <v>-0.237646179178707</v>
      </c>
      <c r="B16427" s="0" t="s">
        <v>16273</v>
      </c>
    </row>
    <row r="16428" customFormat="false" ht="15" hidden="false" customHeight="false" outlineLevel="0" collapsed="false">
      <c r="A16428" s="0" t="n">
        <f aca="false">ODDLYIELD(DATE(2024,5,15),DATE(2024,5,31),DATE(2024,4,30),0.05,100,100,4,3)</f>
        <v>0.0498974709501031</v>
      </c>
      <c r="B16428" s="0" t="s">
        <v>16274</v>
      </c>
    </row>
    <row r="16429" customFormat="false" ht="15" hidden="false" customHeight="false" outlineLevel="0" collapsed="false">
      <c r="A16429" s="0" t="n">
        <f aca="false">ODDLPRICE(DATE(2024,5,15),DATE(2024,5,31),DATE(2024,4,30),0.05,0.08,100,4,4)</f>
        <v>99.874723145072</v>
      </c>
      <c r="B16429" s="0" t="s">
        <v>16275</v>
      </c>
    </row>
    <row r="16430" customFormat="false" ht="15" hidden="false" customHeight="false" outlineLevel="0" collapsed="false">
      <c r="A16430" s="0" t="n">
        <f aca="false">ODDLPRICE(DATE(2024,5,15),DATE(2024,5,31),DATE(2024,4,30),0.1,0.03,105,4,4)</f>
        <v>105.284540158136</v>
      </c>
      <c r="B16430" s="0" t="s">
        <v>16276</v>
      </c>
    </row>
    <row r="16431" customFormat="false" ht="15" hidden="false" customHeight="false" outlineLevel="0" collapsed="false">
      <c r="A16431" s="0" t="e">
        <f aca="false">ODDLPRICE(DATE(2024,5,15),DATE(2024,5,31),DATE(2024,4,30),0,0.05,100,4,4)</f>
        <v>#VALUE!</v>
      </c>
      <c r="B16431" s="0" t="s">
        <v>16277</v>
      </c>
    </row>
    <row r="16432" customFormat="false" ht="15" hidden="false" customHeight="false" outlineLevel="0" collapsed="false">
      <c r="A16432" s="0" t="n">
        <f aca="false">ODDLYIELD(DATE(2024,5,15),DATE(2024,5,31),DATE(2024,4,30),0.05,95,100,4,4)</f>
        <v>1.3129102844639</v>
      </c>
      <c r="B16432" s="0" t="s">
        <v>16278</v>
      </c>
    </row>
    <row r="16433" customFormat="false" ht="15" hidden="false" customHeight="false" outlineLevel="0" collapsed="false">
      <c r="A16433" s="0" t="n">
        <f aca="false">ODDLYIELD(DATE(2024,5,15),DATE(2024,5,31),DATE(2024,4,30),0.1,101.5,100,4,4)</f>
        <v>-0.255110384300902</v>
      </c>
      <c r="B16433" s="0" t="s">
        <v>16279</v>
      </c>
    </row>
    <row r="16434" customFormat="false" ht="15" hidden="false" customHeight="false" outlineLevel="0" collapsed="false">
      <c r="A16434" s="0" t="n">
        <f aca="false">ODDLYIELD(DATE(2024,5,15),DATE(2024,5,31),DATE(2024,4,30),0.05,100,100,4,4)</f>
        <v>0.0498960498960539</v>
      </c>
      <c r="B16434" s="0" t="s">
        <v>16280</v>
      </c>
    </row>
    <row r="16435" customFormat="false" ht="15" hidden="false" customHeight="false" outlineLevel="0" collapsed="false">
      <c r="A16435" s="0" t="e">
        <f aca="false">ODDFPRICE(DATE(2024,2,15),DATE(2027,7,1),DATE(2024,1,1),DATE(2024,7,1),-0.01,0.08,100,2,0)</f>
        <v>#VALUE!</v>
      </c>
      <c r="B16435" s="0" t="s">
        <v>16281</v>
      </c>
    </row>
    <row r="16436" customFormat="false" ht="15" hidden="false" customHeight="false" outlineLevel="0" collapsed="false">
      <c r="A16436" s="0" t="e">
        <f aca="false">ODDFPRICE(DATE(2024,2,15),DATE(2027,7,1),DATE(2024,1,1),DATE(2024,7,1),0.05,-0.01,100,2,0)</f>
        <v>#VALUE!</v>
      </c>
      <c r="B16436" s="0" t="s">
        <v>16282</v>
      </c>
    </row>
    <row r="16437" customFormat="false" ht="15" hidden="false" customHeight="false" outlineLevel="0" collapsed="false">
      <c r="A16437" s="0" t="e">
        <f aca="false">ODDFPRICE(DATE(2024,2,15),DATE(2027,7,1),DATE(2024,1,1),DATE(2024,7,1),0.05,0.08,0,2,0)</f>
        <v>#VALUE!</v>
      </c>
      <c r="B16437" s="0" t="s">
        <v>16283</v>
      </c>
    </row>
    <row r="16438" customFormat="false" ht="15" hidden="false" customHeight="false" outlineLevel="0" collapsed="false">
      <c r="A16438" s="0" t="e">
        <f aca="false">ODDFPRICE(DATE(2024,2,15),DATE(2027,7,1),DATE(2024,1,1),DATE(2024,7,1),0.05,0.08,100,3,0)</f>
        <v>#VALUE!</v>
      </c>
      <c r="B16438" s="0" t="s">
        <v>16284</v>
      </c>
    </row>
    <row r="16439" customFormat="false" ht="15" hidden="false" customHeight="false" outlineLevel="0" collapsed="false">
      <c r="A16439" s="0" t="e">
        <f aca="false">ODDFPRICE(DATE(2024,2,15),DATE(2027,7,1),DATE(2024,1,1),DATE(2024,7,1),0.05,0.08,100,2,5)</f>
        <v>#VALUE!</v>
      </c>
      <c r="B16439" s="0" t="s">
        <v>16285</v>
      </c>
    </row>
    <row r="16440" customFormat="false" ht="15" hidden="false" customHeight="false" outlineLevel="0" collapsed="false">
      <c r="A16440" s="0" t="e">
        <f aca="false">ODDFPRICE(DATE(2024,2,15),DATE(2027,7,1),DATE(2024,1,1),DATE(2024,7,1),0.05,0.08,100,2)</f>
        <v>#VALUE!</v>
      </c>
      <c r="B16440" s="0" t="s">
        <v>16286</v>
      </c>
    </row>
    <row r="16441" customFormat="false" ht="15" hidden="false" customHeight="false" outlineLevel="0" collapsed="false">
      <c r="A16441" s="0" t="e">
        <f aca="false">ODDFPRICE(DATE(2024,2,15),DATE(2027,7,1),DATE(2024,1,1),DATE(2024,7,1),0.05,0.08,100)</f>
        <v>#VALUE!</v>
      </c>
      <c r="B16441" s="0" t="s">
        <v>16287</v>
      </c>
    </row>
    <row r="16442" customFormat="false" ht="15" hidden="false" customHeight="false" outlineLevel="0" collapsed="false">
      <c r="A16442" s="0" t="e">
        <f aca="false">ODDFPRICE(DATE(2024,2,15),DATE(2027,7,1),DATE(2024,1,1),DATE(2024,7,1),0.05,0.08,100,2,0,1)</f>
        <v>#VALUE!</v>
      </c>
      <c r="B16442" s="0" t="s">
        <v>16288</v>
      </c>
    </row>
    <row r="16443" customFormat="false" ht="15" hidden="false" customHeight="false" outlineLevel="0" collapsed="false">
      <c r="A16443" s="0" t="e">
        <f aca="false">ODDFPRICE(DATE(2024,2,15),DATE(2027,7,1),DATE(2024,1,1),DATE(2024,7,1),0.05,0,100,2,0)</f>
        <v>#VALUE!</v>
      </c>
      <c r="B16443" s="0" t="s">
        <v>16289</v>
      </c>
    </row>
    <row r="16444" customFormat="false" ht="15" hidden="false" customHeight="false" outlineLevel="0" collapsed="false">
      <c r="A16444" s="0" t="e">
        <f aca="false">ODDFPRICE(DATE(2024,2,15),DATE(2027,7,1),DATE(2024,3,1),DATE(2024,7,1),0.05,0.08,100,2,0)</f>
        <v>#VALUE!</v>
      </c>
      <c r="B16444" s="0" t="s">
        <v>16290</v>
      </c>
    </row>
    <row r="16445" customFormat="false" ht="15" hidden="false" customHeight="false" outlineLevel="0" collapsed="false">
      <c r="A16445" s="0" t="e">
        <f aca="false">ODDFPRICE(DATE(2024,2,15),DATE(2027,7,1),DATE(2024,1,1),DATE(2024,1,20),0.05,0.08,100,2,0)</f>
        <v>#VALUE!</v>
      </c>
      <c r="B16445" s="0" t="s">
        <v>16291</v>
      </c>
    </row>
    <row r="16446" customFormat="false" ht="15" hidden="false" customHeight="false" outlineLevel="0" collapsed="false">
      <c r="A16446" s="0" t="e">
        <f aca="false">ODDFPRICE(DATE(2024,2,15),DATE(2024,6,1),DATE(2024,1,1),DATE(2024,7,1),0.05,0.08,100,2,0)</f>
        <v>#VALUE!</v>
      </c>
      <c r="B16446" s="0" t="s">
        <v>16292</v>
      </c>
    </row>
    <row r="16447" customFormat="false" ht="15" hidden="false" customHeight="false" outlineLevel="0" collapsed="false">
      <c r="A16447" s="0" t="e">
        <f aca="false">ODDFPRICE(DATE(2024,2,15),DATE(2027,7,1),DATE(2024,1,1),DATE(2024,2,15),0.05,0.08,100,2,0)</f>
        <v>#VALUE!</v>
      </c>
      <c r="B16447" s="0" t="s">
        <v>16293</v>
      </c>
    </row>
    <row r="16448" customFormat="false" ht="15" hidden="false" customHeight="false" outlineLevel="0" collapsed="false">
      <c r="A16448" s="0" t="e">
        <f aca="false">ODDFPRICE(DATE(2024,2,15),DATE(2027,7,1),DATE(2024,1,1),DATE(2024,2,16),0.05,0.08,100,2,0)</f>
        <v>#VALUE!</v>
      </c>
      <c r="B16448" s="0" t="s">
        <v>16294</v>
      </c>
    </row>
    <row r="16449" customFormat="false" ht="15" hidden="false" customHeight="false" outlineLevel="0" collapsed="false">
      <c r="A16449" s="0" t="e">
        <f aca="false">ODDFPRICE(DATE(2024,2,15),DATE(2024,7,1),DATE(2024,1,1),DATE(2024,7,1),0.05,0.08,100,2,0)</f>
        <v>#VALUE!</v>
      </c>
      <c r="B16449" s="0" t="s">
        <v>16295</v>
      </c>
    </row>
    <row r="16450" customFormat="false" ht="15" hidden="false" customHeight="false" outlineLevel="0" collapsed="false">
      <c r="A16450" s="0" t="e">
        <f aca="false">ODDFPRICE(DATE(2024,2,15),DATE(2027,7,2),DATE(2024,1,1),DATE(2024,7,1),0.05,0.08,100,2,0)</f>
        <v>#VALUE!</v>
      </c>
      <c r="B16450" s="0" t="s">
        <v>16296</v>
      </c>
    </row>
    <row r="16451" customFormat="false" ht="15" hidden="false" customHeight="false" outlineLevel="0" collapsed="false">
      <c r="A16451" s="0" t="e">
        <f aca="false">ODDFPRICE(DATE(2024,2,15),DATE(2027,7,1),DATE(2024,2,15),DATE(2024,7,1),0.05,0.08,100,2,0)</f>
        <v>#VALUE!</v>
      </c>
      <c r="B16451" s="0" t="s">
        <v>16297</v>
      </c>
    </row>
    <row r="16452" customFormat="false" ht="15" hidden="false" customHeight="false" outlineLevel="0" collapsed="false">
      <c r="A16452" s="0" t="e">
        <f aca="false">ODDFYIELD(DATE(2024,2,15),DATE(2027,7,1),DATE(2024,1,1),DATE(2024,7,1),0.05,0,100,2,0)</f>
        <v>#VALUE!</v>
      </c>
      <c r="B16452" s="0" t="s">
        <v>16298</v>
      </c>
    </row>
    <row r="16453" customFormat="false" ht="15" hidden="false" customHeight="false" outlineLevel="0" collapsed="false">
      <c r="A16453" s="0" t="e">
        <f aca="false">ODDFYIELD(DATE(2024,2,15),DATE(2027,7,1),DATE(2024,1,1),DATE(2024,7,1),0.05,95,0,2,0)</f>
        <v>#VALUE!</v>
      </c>
      <c r="B16453" s="0" t="s">
        <v>16299</v>
      </c>
    </row>
    <row r="16454" customFormat="false" ht="15" hidden="false" customHeight="false" outlineLevel="0" collapsed="false">
      <c r="A16454" s="0" t="e">
        <f aca="false">ODDFYIELD(DATE(2024,2,15),DATE(2027,7,1),DATE(2024,1,1),DATE(2024,7,1),-0.05,95,100,2,0)</f>
        <v>#VALUE!</v>
      </c>
      <c r="B16454" s="0" t="s">
        <v>16300</v>
      </c>
    </row>
    <row r="16455" customFormat="false" ht="15" hidden="false" customHeight="false" outlineLevel="0" collapsed="false">
      <c r="A16455" s="0" t="e">
        <f aca="false">ODDFYIELD(DATE(2024,2,15),DATE(2027,7,1),DATE(2024,1,1),DATE(2024,7,1),0.05,1000000,100,2,0)</f>
        <v>#VALUE!</v>
      </c>
      <c r="B16455" s="0" t="s">
        <v>16301</v>
      </c>
    </row>
    <row r="16456" customFormat="false" ht="15" hidden="false" customHeight="false" outlineLevel="0" collapsed="false">
      <c r="A16456" s="0" t="e">
        <f aca="false">ODDFYIELD(DATE(2024,2,15),DATE(2027,7,1),DATE(2024,1,1),DATE(2024,7,1),0.05,95,100,3,0)</f>
        <v>#VALUE!</v>
      </c>
      <c r="B16456" s="0" t="s">
        <v>16302</v>
      </c>
    </row>
    <row r="16457" customFormat="false" ht="15" hidden="false" customHeight="false" outlineLevel="0" collapsed="false">
      <c r="A16457" s="0" t="e">
        <f aca="false">ODDLPRICE(DATE(2024,3,1),DATE(2024,6,30),DATE(2024,1,15),-0.05,0.08,100,2,0)</f>
        <v>#VALUE!</v>
      </c>
      <c r="B16457" s="0" t="s">
        <v>16303</v>
      </c>
    </row>
    <row r="16458" customFormat="false" ht="15" hidden="false" customHeight="false" outlineLevel="0" collapsed="false">
      <c r="A16458" s="0" t="e">
        <f aca="false">ODDLPRICE(DATE(2024,3,1),DATE(2024,6,30),DATE(2024,1,15),0.05,-0.08,100,2,0)</f>
        <v>#VALUE!</v>
      </c>
      <c r="B16458" s="0" t="s">
        <v>16304</v>
      </c>
    </row>
    <row r="16459" customFormat="false" ht="15" hidden="false" customHeight="false" outlineLevel="0" collapsed="false">
      <c r="A16459" s="0" t="e">
        <f aca="false">ODDLPRICE(DATE(2024,3,1),DATE(2024,6,30),DATE(2024,1,15),0.05,0.08,0,2,0)</f>
        <v>#VALUE!</v>
      </c>
      <c r="B16459" s="0" t="s">
        <v>16305</v>
      </c>
    </row>
    <row r="16460" customFormat="false" ht="15" hidden="false" customHeight="false" outlineLevel="0" collapsed="false">
      <c r="A16460" s="0" t="e">
        <f aca="false">ODDLPRICE(DATE(2024,3,1),DATE(2024,6,30),DATE(2024,1,15),0.05,0.08,100,3,0)</f>
        <v>#VALUE!</v>
      </c>
      <c r="B16460" s="0" t="s">
        <v>16306</v>
      </c>
    </row>
    <row r="16461" customFormat="false" ht="15" hidden="false" customHeight="false" outlineLevel="0" collapsed="false">
      <c r="A16461" s="0" t="e">
        <f aca="false">ODDLPRICE(DATE(2024,3,1),DATE(2024,6,30),DATE(2024,1,15),0.05,0.08,100,2,5)</f>
        <v>#VALUE!</v>
      </c>
      <c r="B16461" s="0" t="s">
        <v>16307</v>
      </c>
    </row>
    <row r="16462" customFormat="false" ht="15" hidden="false" customHeight="false" outlineLevel="0" collapsed="false">
      <c r="A16462" s="0" t="n">
        <f aca="false">ODDLPRICE(DATE(2024,3,1),DATE(2024,6,30),DATE(2024,1,15),0.05,0.08,100,2)</f>
        <v>99.0174220009141</v>
      </c>
      <c r="B16462" s="0" t="s">
        <v>16308</v>
      </c>
    </row>
    <row r="16463" customFormat="false" ht="15" hidden="false" customHeight="false" outlineLevel="0" collapsed="false">
      <c r="A16463" s="0" t="e">
        <f aca="false">ODDLPRICE(DATE(2024,3,1),DATE(2024,6,30),DATE(2024,1,15),0.05,0.08,100)</f>
        <v>#VALUE!</v>
      </c>
      <c r="B16463" s="0" t="s">
        <v>16309</v>
      </c>
    </row>
    <row r="16464" customFormat="false" ht="15" hidden="false" customHeight="false" outlineLevel="0" collapsed="false">
      <c r="A16464" s="0" t="e">
        <f aca="false">ODDLPRICE(DATE(2024,3,1),DATE(2024,6,30),DATE(2024,3,1),0.05,0.08,100,2,0)</f>
        <v>#VALUE!</v>
      </c>
      <c r="B16464" s="0" t="s">
        <v>16310</v>
      </c>
    </row>
    <row r="16465" customFormat="false" ht="15" hidden="false" customHeight="false" outlineLevel="0" collapsed="false">
      <c r="A16465" s="0" t="e">
        <f aca="false">ODDLPRICE(DATE(2024,3,1),DATE(2024,6,30),DATE(2024,4,1),0.05,0.08,100,2,0)</f>
        <v>#VALUE!</v>
      </c>
      <c r="B16465" s="0" t="s">
        <v>16311</v>
      </c>
    </row>
    <row r="16466" customFormat="false" ht="15" hidden="false" customHeight="false" outlineLevel="0" collapsed="false">
      <c r="A16466" s="0" t="e">
        <f aca="false">ODDLPRICE(DATE(2024,6,30),DATE(2024,6,30),DATE(2024,1,15),0.05,0.08,100,2,0)</f>
        <v>#VALUE!</v>
      </c>
      <c r="B16466" s="0" t="s">
        <v>16312</v>
      </c>
    </row>
    <row r="16467" customFormat="false" ht="15" hidden="false" customHeight="false" outlineLevel="0" collapsed="false">
      <c r="A16467" s="0" t="e">
        <f aca="false">ODDLPRICE(DATE(2024,7,30),DATE(2024,6,30),DATE(2024,1,15),0.05,0.08,100,2,0)</f>
        <v>#VALUE!</v>
      </c>
      <c r="B16467" s="0" t="s">
        <v>16313</v>
      </c>
    </row>
    <row r="16468" customFormat="false" ht="15" hidden="false" customHeight="false" outlineLevel="0" collapsed="false">
      <c r="A16468" s="0" t="n">
        <f aca="false">ODDLPRICE(DATE(2024,3,1),DATE(2024,6,30),DATE(2024,1,15),0.05,0,100,2,0)</f>
        <v>101.652777777778</v>
      </c>
      <c r="B16468" s="0" t="s">
        <v>16314</v>
      </c>
    </row>
    <row r="16469" customFormat="false" ht="15" hidden="false" customHeight="false" outlineLevel="0" collapsed="false">
      <c r="A16469" s="0" t="e">
        <f aca="false">ODDLYIELD(DATE(2024,3,1),DATE(2024,6,30),DATE(2024,1,15),0.05,0,100,2,0)</f>
        <v>#VALUE!</v>
      </c>
      <c r="B16469" s="0" t="s">
        <v>16315</v>
      </c>
    </row>
    <row r="16470" customFormat="false" ht="15" hidden="false" customHeight="false" outlineLevel="0" collapsed="false">
      <c r="A16470" s="0" t="e">
        <f aca="false">ODDLYIELD(DATE(2024,3,1),DATE(2024,6,30),DATE(2024,1,15),0.05,95,0,2,0)</f>
        <v>#VALUE!</v>
      </c>
      <c r="B16470" s="0" t="s">
        <v>16316</v>
      </c>
    </row>
    <row r="16471" customFormat="false" ht="15" hidden="false" customHeight="false" outlineLevel="0" collapsed="false">
      <c r="A16471" s="0" t="e">
        <f aca="false">ODDLYIELD(DATE(2024,3,1),DATE(2024,6,30),DATE(2024,1,15),-0.05,95,100,2,0)</f>
        <v>#VALUE!</v>
      </c>
      <c r="B16471" s="0" t="s">
        <v>16317</v>
      </c>
    </row>
    <row r="16472" customFormat="false" ht="15" hidden="false" customHeight="false" outlineLevel="0" collapsed="false">
      <c r="A16472" s="0" t="e">
        <f aca="false">ODDLYIELD(DATE(2024,3,1),DATE(2024,6,30),DATE(2024,1,15),0.05,95,100,3,0)</f>
        <v>#VALUE!</v>
      </c>
      <c r="B16472" s="0" t="s">
        <v>16318</v>
      </c>
    </row>
    <row r="16473" customFormat="false" ht="15" hidden="false" customHeight="false" outlineLevel="0" collapsed="false">
      <c r="A16473" s="0" t="e">
        <f aca="false">ODDLYIELD(DATE(2024,3,1),DATE(2024,6,30),DATE(2024,1,15),0.05,95,100,2,0,1)</f>
        <v>#VALUE!</v>
      </c>
      <c r="B16473" s="0" t="s">
        <v>16319</v>
      </c>
    </row>
    <row r="16474" customFormat="false" ht="15" hidden="false" customHeight="false" outlineLevel="0" collapsed="false">
      <c r="A16474" s="0" t="n">
        <f aca="false">LENB("abc")</f>
        <v>3</v>
      </c>
      <c r="B16474" s="0" t="s">
        <v>16320</v>
      </c>
    </row>
    <row r="16475" customFormat="false" ht="15" hidden="false" customHeight="false" outlineLevel="0" collapsed="false">
      <c r="A16475" s="0" t="n">
        <f aca="false">LENB("日本")</f>
        <v>4</v>
      </c>
      <c r="B16475" s="0" t="s">
        <v>16321</v>
      </c>
    </row>
    <row r="16476" customFormat="false" ht="15" hidden="false" customHeight="false" outlineLevel="0" collapsed="false">
      <c r="A16476" s="0" t="n">
        <f aca="false">LENB("é")</f>
        <v>1</v>
      </c>
      <c r="B16476" s="0" t="s">
        <v>16322</v>
      </c>
    </row>
    <row r="16477" customFormat="false" ht="15" hidden="false" customHeight="false" outlineLevel="0" collapsed="false">
      <c r="A16477" s="0" t="n">
        <f aca="false">LENB("")</f>
        <v>0</v>
      </c>
      <c r="B16477" s="0" t="s">
        <v>16323</v>
      </c>
    </row>
    <row r="16478" customFormat="false" ht="15" hidden="false" customHeight="false" outlineLevel="0" collapsed="false">
      <c r="A16478" s="0" t="n">
        <f aca="false">LENB("ｱ")</f>
        <v>2</v>
      </c>
      <c r="B16478" s="0" t="s">
        <v>16324</v>
      </c>
    </row>
    <row r="16479" customFormat="false" ht="15" hidden="false" customHeight="false" outlineLevel="0" collapsed="false">
      <c r="A16479" s="0" t="n">
        <f aca="false">LENB("ア")</f>
        <v>2</v>
      </c>
      <c r="B16479" s="0" t="s">
        <v>16325</v>
      </c>
    </row>
    <row r="16480" customFormat="false" ht="15" hidden="false" customHeight="false" outlineLevel="0" collapsed="false">
      <c r="A16480" s="0" t="n">
        <f aca="false">LENB("ＡＢ")</f>
        <v>4</v>
      </c>
      <c r="B16480" s="0" t="s">
        <v>16326</v>
      </c>
    </row>
    <row r="16481" customFormat="false" ht="15" hidden="false" customHeight="false" outlineLevel="0" collapsed="false">
      <c r="A16481" s="0" t="n">
        <f aca="false">LENB("한국")</f>
        <v>4</v>
      </c>
      <c r="B16481" s="0" t="s">
        <v>16327</v>
      </c>
    </row>
    <row r="16482" customFormat="false" ht="15" hidden="false" customHeight="false" outlineLevel="0" collapsed="false">
      <c r="A16482" s="0" t="n">
        <f aca="false">LENB("中文")</f>
        <v>4</v>
      </c>
      <c r="B16482" s="0" t="s">
        <v>16328</v>
      </c>
    </row>
    <row r="16483" customFormat="false" ht="15" hidden="false" customHeight="false" outlineLevel="0" collapsed="false">
      <c r="A16483" s="0" t="n">
        <f aca="false">LENB("€")</f>
        <v>1</v>
      </c>
      <c r="B16483" s="0" t="s">
        <v>16329</v>
      </c>
    </row>
    <row r="16484" customFormat="false" ht="15" hidden="false" customHeight="false" outlineLevel="0" collapsed="false">
      <c r="A16484" s="0" t="n">
        <f aca="false">LENB("ñ")</f>
        <v>1</v>
      </c>
      <c r="B16484" s="0" t="s">
        <v>16330</v>
      </c>
    </row>
    <row r="16485" customFormat="false" ht="15" hidden="false" customHeight="false" outlineLevel="0" collapsed="false">
      <c r="A16485" s="0" t="n">
        <f aca="false">LENB("¥")</f>
        <v>1</v>
      </c>
      <c r="B16485" s="0" t="s">
        <v>16331</v>
      </c>
    </row>
    <row r="16486" customFormat="false" ht="15" hidden="false" customHeight="false" outlineLevel="0" collapsed="false">
      <c r="A16486" s="0" t="n">
        <f aca="false">LENB("£")</f>
        <v>1</v>
      </c>
      <c r="B16486" s="0" t="s">
        <v>16332</v>
      </c>
    </row>
    <row r="16487" customFormat="false" ht="15" hidden="false" customHeight="false" outlineLevel="0" collapsed="false">
      <c r="A16487" s="0" t="n">
        <f aca="false">LENB("😀")</f>
        <v>2</v>
      </c>
      <c r="B16487" s="0" t="s">
        <v>16333</v>
      </c>
    </row>
    <row r="16488" customFormat="false" ht="15" hidden="false" customHeight="false" outlineLevel="0" collapsed="false">
      <c r="A16488" s="0" t="n">
        <f aca="false">LENB("😀a")</f>
        <v>3</v>
      </c>
      <c r="B16488" s="0" t="s">
        <v>16334</v>
      </c>
    </row>
    <row r="16489" customFormat="false" ht="15" hidden="false" customHeight="false" outlineLevel="0" collapsed="false">
      <c r="A16489" s="0" t="n">
        <f aca="false">LENB(CHAR(200))</f>
        <v>1</v>
      </c>
      <c r="B16489" s="0" t="s">
        <v>16335</v>
      </c>
    </row>
    <row r="16490" customFormat="false" ht="15" hidden="false" customHeight="false" outlineLevel="0" collapsed="false">
      <c r="A16490" s="0" t="n">
        <f aca="false">LENB(123)</f>
        <v>3</v>
      </c>
      <c r="B16490" s="0" t="s">
        <v>16336</v>
      </c>
    </row>
    <row r="16491" customFormat="false" ht="15" hidden="false" customHeight="false" outlineLevel="0" collapsed="false">
      <c r="A16491" s="0" t="n">
        <f aca="false">LENB(TRUE())</f>
        <v>1</v>
      </c>
      <c r="B16491" s="0" t="s">
        <v>16337</v>
      </c>
    </row>
    <row r="16492" customFormat="false" ht="15" hidden="false" customHeight="false" outlineLevel="0" collapsed="false">
      <c r="A16492" s="0" t="n">
        <f aca="false">LENB(Data!A1)</f>
        <v>1</v>
      </c>
      <c r="B16492" s="0" t="s">
        <v>16338</v>
      </c>
    </row>
    <row r="16493" customFormat="false" ht="15" hidden="false" customHeight="false" outlineLevel="0" collapsed="false">
      <c r="A16493" s="0" t="e">
        <f aca="false">LENB(NA())</f>
        <v>#N/A</v>
      </c>
      <c r="B16493" s="0" t="s">
        <v>16339</v>
      </c>
    </row>
    <row r="16494" customFormat="false" ht="15" hidden="false" customHeight="false" outlineLevel="0" collapsed="false">
      <c r="A16494" s="0" t="n">
        <f aca="false">LENB(Data!D1)</f>
        <v>0</v>
      </c>
      <c r="B16494" s="0" t="s">
        <v>16340</v>
      </c>
    </row>
    <row r="16495" customFormat="false" ht="15" hidden="false" customHeight="false" outlineLevel="0" collapsed="false">
      <c r="A16495" s="0" t="n">
        <f aca="false">LENB("a"&amp;CHAR(10)&amp;"日")</f>
        <v>4</v>
      </c>
      <c r="B16495" s="0" t="s">
        <v>16341</v>
      </c>
    </row>
    <row r="16496" customFormat="false" ht="16.4" hidden="false" customHeight="false" outlineLevel="0" collapsed="false">
      <c r="A16496" s="0" t="n">
        <f aca="false">LENB("ก")</f>
        <v>1</v>
      </c>
      <c r="B16496" s="0" t="s">
        <v>16342</v>
      </c>
    </row>
    <row r="16497" customFormat="false" ht="15" hidden="false" customHeight="false" outlineLevel="0" collapsed="false">
      <c r="A16497" s="0" t="n">
        <f aca="false">LENB("é日ñ")</f>
        <v>4</v>
      </c>
      <c r="B16497" s="0" t="s">
        <v>16343</v>
      </c>
    </row>
    <row r="16498" customFormat="false" ht="15" hidden="false" customHeight="false" outlineLevel="0" collapsed="false">
      <c r="A16498" s="0" t="n">
        <f aca="false">LENB("ｶﾞ")</f>
        <v>4</v>
      </c>
      <c r="B16498" s="0" t="s">
        <v>16344</v>
      </c>
    </row>
    <row r="16499" customFormat="false" ht="15" hidden="false" customHeight="false" outlineLevel="0" collapsed="false">
      <c r="A16499" s="0" t="n">
        <f aca="false">LENB("①")</f>
        <v>1</v>
      </c>
      <c r="B16499" s="0" t="s">
        <v>16345</v>
      </c>
    </row>
    <row r="16500" customFormat="false" ht="15" hidden="false" customHeight="false" outlineLevel="0" collapsed="false">
      <c r="A16500" s="0" t="n">
        <f aca="false">LENB("ⅷ")</f>
        <v>1</v>
      </c>
      <c r="B16500" s="0" t="s">
        <v>16346</v>
      </c>
    </row>
    <row r="16501" customFormat="false" ht="15" hidden="false" customHeight="false" outlineLevel="0" collapsed="false">
      <c r="A16501" s="0" t="n">
        <f aca="false">LENB("☆")</f>
        <v>1</v>
      </c>
      <c r="B16501" s="0" t="s">
        <v>16347</v>
      </c>
    </row>
    <row r="16502" customFormat="false" ht="15" hidden="false" customHeight="false" outlineLevel="0" collapsed="false">
      <c r="A16502" s="0" t="n">
        <f aca="false">LENB("★")</f>
        <v>1</v>
      </c>
      <c r="B16502" s="0" t="s">
        <v>16348</v>
      </c>
    </row>
    <row r="16503" customFormat="false" ht="15" hidden="false" customHeight="false" outlineLevel="0" collapsed="false">
      <c r="A16503" s="0" t="n">
        <f aca="false">LENB("±×÷")</f>
        <v>3</v>
      </c>
      <c r="B16503" s="0" t="s">
        <v>16349</v>
      </c>
    </row>
    <row r="16504" customFormat="false" ht="15" hidden="false" customHeight="false" outlineLevel="0" collapsed="false">
      <c r="A16504" s="0" t="str">
        <f aca="false">LEFTB("日本語",1)</f>
        <v> </v>
      </c>
      <c r="B16504" s="0" t="s">
        <v>16350</v>
      </c>
    </row>
    <row r="16505" customFormat="false" ht="15" hidden="false" customHeight="false" outlineLevel="0" collapsed="false">
      <c r="A16505" s="0" t="str">
        <f aca="false">LEFTB("日本語",2)</f>
        <v>日</v>
      </c>
      <c r="B16505" s="0" t="s">
        <v>16351</v>
      </c>
    </row>
    <row r="16506" customFormat="false" ht="15" hidden="false" customHeight="false" outlineLevel="0" collapsed="false">
      <c r="A16506" s="0" t="str">
        <f aca="false">LEFTB("日本語",3)</f>
        <v>日 </v>
      </c>
      <c r="B16506" s="0" t="s">
        <v>16352</v>
      </c>
    </row>
    <row r="16507" customFormat="false" ht="15" hidden="false" customHeight="false" outlineLevel="0" collapsed="false">
      <c r="A16507" s="0" t="str">
        <f aca="false">LEFTB("日本語",4)</f>
        <v>日本</v>
      </c>
      <c r="B16507" s="0" t="s">
        <v>16353</v>
      </c>
    </row>
    <row r="16508" customFormat="false" ht="15" hidden="false" customHeight="false" outlineLevel="0" collapsed="false">
      <c r="A16508" s="0" t="str">
        <f aca="false">LEFTB("日本語",5)</f>
        <v>日本 </v>
      </c>
      <c r="B16508" s="0" t="s">
        <v>16354</v>
      </c>
    </row>
    <row r="16509" customFormat="false" ht="15" hidden="false" customHeight="false" outlineLevel="0" collapsed="false">
      <c r="A16509" s="0" t="str">
        <f aca="false">LEFTB("日本語",6)</f>
        <v>日本語</v>
      </c>
      <c r="B16509" s="0" t="s">
        <v>16355</v>
      </c>
    </row>
    <row r="16510" customFormat="false" ht="15" hidden="false" customHeight="false" outlineLevel="0" collapsed="false">
      <c r="A16510" s="0" t="str">
        <f aca="false">LEFTB("日本語",7)</f>
        <v>日本語</v>
      </c>
      <c r="B16510" s="0" t="s">
        <v>16356</v>
      </c>
    </row>
    <row r="16511" customFormat="false" ht="15" hidden="false" customHeight="false" outlineLevel="0" collapsed="false">
      <c r="A16511" s="0" t="e">
        <f aca="false">LEFTB("日本語",-1)</f>
        <v>#VALUE!</v>
      </c>
      <c r="B16511" s="0" t="s">
        <v>16357</v>
      </c>
    </row>
    <row r="16512" customFormat="false" ht="15" hidden="false" customHeight="false" outlineLevel="0" collapsed="false">
      <c r="A16512" s="0" t="str">
        <f aca="false">LEFTB("日本語")</f>
        <v> </v>
      </c>
      <c r="B16512" s="0" t="s">
        <v>16358</v>
      </c>
    </row>
    <row r="16513" customFormat="false" ht="15" hidden="false" customHeight="false" outlineLevel="0" collapsed="false">
      <c r="A16513" s="0" t="str">
        <f aca="false">LEFTB("abc",2)</f>
        <v>ab</v>
      </c>
      <c r="B16513" s="0" t="s">
        <v>16359</v>
      </c>
    </row>
    <row r="16514" customFormat="false" ht="15" hidden="false" customHeight="false" outlineLevel="0" collapsed="false">
      <c r="A16514" s="0" t="str">
        <f aca="false">LEFTB("ab",0)</f>
        <v/>
      </c>
      <c r="B16514" s="0" t="s">
        <v>16360</v>
      </c>
    </row>
    <row r="16515" customFormat="false" ht="15" hidden="false" customHeight="false" outlineLevel="0" collapsed="false">
      <c r="A16515" s="0" t="str">
        <f aca="false">LEFTB("a日b",2)</f>
        <v>a </v>
      </c>
      <c r="B16515" s="0" t="s">
        <v>16361</v>
      </c>
    </row>
    <row r="16516" customFormat="false" ht="15" hidden="false" customHeight="false" outlineLevel="0" collapsed="false">
      <c r="A16516" s="0" t="str">
        <f aca="false">LEFTB("a日b",3)</f>
        <v>a日</v>
      </c>
      <c r="B16516" s="0" t="s">
        <v>16362</v>
      </c>
    </row>
    <row r="16517" customFormat="false" ht="15" hidden="false" customHeight="false" outlineLevel="0" collapsed="false">
      <c r="A16517" s="0" t="str">
        <f aca="false">LEFTB("a日b",4)</f>
        <v>a日b</v>
      </c>
      <c r="B16517" s="0" t="s">
        <v>16363</v>
      </c>
    </row>
    <row r="16518" customFormat="false" ht="15" hidden="false" customHeight="false" outlineLevel="0" collapsed="false">
      <c r="A16518" s="0" t="str">
        <f aca="false">LEFTB("日a",1)</f>
        <v> </v>
      </c>
      <c r="B16518" s="0" t="s">
        <v>16364</v>
      </c>
    </row>
    <row r="16519" customFormat="false" ht="15" hidden="false" customHeight="false" outlineLevel="0" collapsed="false">
      <c r="A16519" s="0" t="str">
        <f aca="false">LEFTB(12345,2)</f>
        <v>12</v>
      </c>
      <c r="B16519" s="0" t="s">
        <v>16365</v>
      </c>
    </row>
    <row r="16520" customFormat="false" ht="15" hidden="false" customHeight="false" outlineLevel="0" collapsed="false">
      <c r="A16520" s="0" t="e">
        <f aca="false">LEFTB("日本語","x")</f>
        <v>#VALUE!</v>
      </c>
      <c r="B16520" s="0" t="s">
        <v>16366</v>
      </c>
    </row>
    <row r="16521" customFormat="false" ht="15" hidden="false" customHeight="false" outlineLevel="0" collapsed="false">
      <c r="A16521" s="0" t="str">
        <f aca="false">LEFTB("日本語",1.9)</f>
        <v> </v>
      </c>
      <c r="B16521" s="0" t="s">
        <v>16367</v>
      </c>
    </row>
    <row r="16522" customFormat="false" ht="15" hidden="false" customHeight="false" outlineLevel="0" collapsed="false">
      <c r="A16522" s="0" t="str">
        <f aca="false">LEFTB(Data!D1,1)</f>
        <v/>
      </c>
      <c r="B16522" s="0" t="s">
        <v>16368</v>
      </c>
    </row>
    <row r="16523" customFormat="false" ht="15" hidden="false" customHeight="false" outlineLevel="0" collapsed="false">
      <c r="A16523" s="0" t="str">
        <f aca="false">LEFTB("😀",2)</f>
        <v>😀</v>
      </c>
      <c r="B16523" s="0" t="s">
        <v>16369</v>
      </c>
    </row>
    <row r="16524" customFormat="false" ht="15" hidden="false" customHeight="false" outlineLevel="0" collapsed="false">
      <c r="A16524" s="0" t="n">
        <f aca="false">FINDB("b","a😀b")</f>
        <v>4</v>
      </c>
      <c r="B16524" s="0" t="s">
        <v>16370</v>
      </c>
    </row>
    <row r="16525" customFormat="false" ht="15" hidden="false" customHeight="false" outlineLevel="0" collapsed="false">
      <c r="A16525" s="0" t="str">
        <f aca="false">RIGHTB("日本語",1)</f>
        <v> </v>
      </c>
      <c r="B16525" s="0" t="s">
        <v>16371</v>
      </c>
    </row>
    <row r="16526" customFormat="false" ht="15" hidden="false" customHeight="false" outlineLevel="0" collapsed="false">
      <c r="A16526" s="0" t="str">
        <f aca="false">RIGHTB("日本語",2)</f>
        <v>語</v>
      </c>
      <c r="B16526" s="0" t="s">
        <v>16372</v>
      </c>
    </row>
    <row r="16527" customFormat="false" ht="15" hidden="false" customHeight="false" outlineLevel="0" collapsed="false">
      <c r="A16527" s="0" t="str">
        <f aca="false">RIGHTB("日本語",3)</f>
        <v> 語</v>
      </c>
      <c r="B16527" s="0" t="s">
        <v>16373</v>
      </c>
    </row>
    <row r="16528" customFormat="false" ht="15" hidden="false" customHeight="false" outlineLevel="0" collapsed="false">
      <c r="A16528" s="0" t="str">
        <f aca="false">RIGHTB("日本語",4)</f>
        <v>本語</v>
      </c>
      <c r="B16528" s="0" t="s">
        <v>16374</v>
      </c>
    </row>
    <row r="16529" customFormat="false" ht="15" hidden="false" customHeight="false" outlineLevel="0" collapsed="false">
      <c r="A16529" s="0" t="str">
        <f aca="false">RIGHTB("日本語",5)</f>
        <v> 本語</v>
      </c>
      <c r="B16529" s="0" t="s">
        <v>16375</v>
      </c>
    </row>
    <row r="16530" customFormat="false" ht="15" hidden="false" customHeight="false" outlineLevel="0" collapsed="false">
      <c r="A16530" s="0" t="str">
        <f aca="false">RIGHTB("日本語",7)</f>
        <v>日本語</v>
      </c>
      <c r="B16530" s="0" t="s">
        <v>16376</v>
      </c>
    </row>
    <row r="16531" customFormat="false" ht="15" hidden="false" customHeight="false" outlineLevel="0" collapsed="false">
      <c r="A16531" s="0" t="str">
        <f aca="false">RIGHTB("a日b",2)</f>
        <v> b</v>
      </c>
      <c r="B16531" s="0" t="s">
        <v>16377</v>
      </c>
    </row>
    <row r="16532" customFormat="false" ht="15" hidden="false" customHeight="false" outlineLevel="0" collapsed="false">
      <c r="A16532" s="0" t="str">
        <f aca="false">RIGHTB("a日b",3)</f>
        <v>日b</v>
      </c>
      <c r="B16532" s="0" t="s">
        <v>16378</v>
      </c>
    </row>
    <row r="16533" customFormat="false" ht="15" hidden="false" customHeight="false" outlineLevel="0" collapsed="false">
      <c r="A16533" s="0" t="str">
        <f aca="false">RIGHTB("日a",2)</f>
        <v> a</v>
      </c>
      <c r="B16533" s="0" t="s">
        <v>16379</v>
      </c>
    </row>
    <row r="16534" customFormat="false" ht="15" hidden="false" customHeight="false" outlineLevel="0" collapsed="false">
      <c r="A16534" s="0" t="str">
        <f aca="false">RIGHTB("日本語")</f>
        <v> </v>
      </c>
      <c r="B16534" s="0" t="s">
        <v>16380</v>
      </c>
    </row>
    <row r="16535" customFormat="false" ht="15" hidden="false" customHeight="false" outlineLevel="0" collapsed="false">
      <c r="A16535" s="0" t="str">
        <f aca="false">RIGHTB("abc")</f>
        <v>c</v>
      </c>
      <c r="B16535" s="0" t="s">
        <v>16381</v>
      </c>
    </row>
    <row r="16536" customFormat="false" ht="15" hidden="false" customHeight="false" outlineLevel="0" collapsed="false">
      <c r="A16536" s="0" t="str">
        <f aca="false">RIGHTB("abc",0)</f>
        <v/>
      </c>
      <c r="B16536" s="0" t="s">
        <v>16382</v>
      </c>
    </row>
    <row r="16537" customFormat="false" ht="15" hidden="false" customHeight="false" outlineLevel="0" collapsed="false">
      <c r="A16537" s="0" t="e">
        <f aca="false">RIGHTB("abc",-1)</f>
        <v>#VALUE!</v>
      </c>
      <c r="B16537" s="0" t="s">
        <v>16383</v>
      </c>
    </row>
    <row r="16538" customFormat="false" ht="15" hidden="false" customHeight="false" outlineLevel="0" collapsed="false">
      <c r="A16538" s="0" t="str">
        <f aca="false">MIDB("日本語",1,2)</f>
        <v>日</v>
      </c>
      <c r="B16538" s="0" t="s">
        <v>16384</v>
      </c>
    </row>
    <row r="16539" customFormat="false" ht="15" hidden="false" customHeight="false" outlineLevel="0" collapsed="false">
      <c r="A16539" s="0" t="str">
        <f aca="false">MIDB("日本語",2,2)</f>
        <v>  </v>
      </c>
      <c r="B16539" s="0" t="s">
        <v>16385</v>
      </c>
    </row>
    <row r="16540" customFormat="false" ht="15" hidden="false" customHeight="false" outlineLevel="0" collapsed="false">
      <c r="A16540" s="0" t="str">
        <f aca="false">MIDB("日本語",2,1)</f>
        <v> </v>
      </c>
      <c r="B16540" s="0" t="s">
        <v>16386</v>
      </c>
    </row>
    <row r="16541" customFormat="false" ht="15" hidden="false" customHeight="false" outlineLevel="0" collapsed="false">
      <c r="A16541" s="0" t="str">
        <f aca="false">MIDB("日本語",2,3)</f>
        <v> 本</v>
      </c>
      <c r="B16541" s="0" t="s">
        <v>16387</v>
      </c>
    </row>
    <row r="16542" customFormat="false" ht="15" hidden="false" customHeight="false" outlineLevel="0" collapsed="false">
      <c r="A16542" s="0" t="str">
        <f aca="false">MIDB("日本語",3,1)</f>
        <v> </v>
      </c>
      <c r="B16542" s="0" t="s">
        <v>16388</v>
      </c>
    </row>
    <row r="16543" customFormat="false" ht="15" hidden="false" customHeight="false" outlineLevel="0" collapsed="false">
      <c r="A16543" s="0" t="str">
        <f aca="false">MIDB("日本語",3,2)</f>
        <v>本</v>
      </c>
      <c r="B16543" s="0" t="s">
        <v>16389</v>
      </c>
    </row>
    <row r="16544" customFormat="false" ht="15" hidden="false" customHeight="false" outlineLevel="0" collapsed="false">
      <c r="A16544" s="0" t="str">
        <f aca="false">MIDB("日本語",4,2)</f>
        <v>  </v>
      </c>
      <c r="B16544" s="0" t="s">
        <v>16390</v>
      </c>
    </row>
    <row r="16545" customFormat="false" ht="15" hidden="false" customHeight="false" outlineLevel="0" collapsed="false">
      <c r="A16545" s="0" t="str">
        <f aca="false">MIDB("日本語",5,10)</f>
        <v>語</v>
      </c>
      <c r="B16545" s="0" t="s">
        <v>16391</v>
      </c>
    </row>
    <row r="16546" customFormat="false" ht="15" hidden="false" customHeight="false" outlineLevel="0" collapsed="false">
      <c r="A16546" s="0" t="str">
        <f aca="false">MIDB("日本語",7,1)</f>
        <v/>
      </c>
      <c r="B16546" s="0" t="s">
        <v>16392</v>
      </c>
    </row>
    <row r="16547" customFormat="false" ht="15" hidden="false" customHeight="false" outlineLevel="0" collapsed="false">
      <c r="A16547" s="0" t="str">
        <f aca="false">MIDB("日本語",8,1)</f>
        <v/>
      </c>
      <c r="B16547" s="0" t="s">
        <v>16393</v>
      </c>
    </row>
    <row r="16548" customFormat="false" ht="15" hidden="false" customHeight="false" outlineLevel="0" collapsed="false">
      <c r="A16548" s="0" t="e">
        <f aca="false">MIDB("日本語",0,2)</f>
        <v>#VALUE!</v>
      </c>
      <c r="B16548" s="0" t="s">
        <v>16394</v>
      </c>
    </row>
    <row r="16549" customFormat="false" ht="15" hidden="false" customHeight="false" outlineLevel="0" collapsed="false">
      <c r="A16549" s="0" t="str">
        <f aca="false">MIDB("日本語",1,0)</f>
        <v/>
      </c>
      <c r="B16549" s="0" t="s">
        <v>16395</v>
      </c>
    </row>
    <row r="16550" customFormat="false" ht="15" hidden="false" customHeight="false" outlineLevel="0" collapsed="false">
      <c r="A16550" s="0" t="e">
        <f aca="false">MIDB("日本語",1,-1)</f>
        <v>#VALUE!</v>
      </c>
      <c r="B16550" s="0" t="s">
        <v>16396</v>
      </c>
    </row>
    <row r="16551" customFormat="false" ht="15" hidden="false" customHeight="false" outlineLevel="0" collapsed="false">
      <c r="A16551" s="0" t="str">
        <f aca="false">MIDB("a日b",2,2)</f>
        <v>日</v>
      </c>
      <c r="B16551" s="0" t="s">
        <v>16397</v>
      </c>
    </row>
    <row r="16552" customFormat="false" ht="15" hidden="false" customHeight="false" outlineLevel="0" collapsed="false">
      <c r="A16552" s="0" t="str">
        <f aca="false">MIDB("a日b",3,2)</f>
        <v> b</v>
      </c>
      <c r="B16552" s="0" t="s">
        <v>16398</v>
      </c>
    </row>
    <row r="16553" customFormat="false" ht="15" hidden="false" customHeight="false" outlineLevel="0" collapsed="false">
      <c r="A16553" s="0" t="str">
        <f aca="false">MIDB("a日b",2,1)</f>
        <v> </v>
      </c>
      <c r="B16553" s="0" t="s">
        <v>16399</v>
      </c>
    </row>
    <row r="16554" customFormat="false" ht="15" hidden="false" customHeight="false" outlineLevel="0" collapsed="false">
      <c r="A16554" s="0" t="str">
        <f aca="false">MIDB("a日b",3,1)</f>
        <v> </v>
      </c>
      <c r="B16554" s="0" t="s">
        <v>16400</v>
      </c>
    </row>
    <row r="16555" customFormat="false" ht="15" hidden="false" customHeight="false" outlineLevel="0" collapsed="false">
      <c r="A16555" s="0" t="str">
        <f aca="false">MIDB("abc",2,100)</f>
        <v>bc</v>
      </c>
      <c r="B16555" s="0" t="s">
        <v>16401</v>
      </c>
    </row>
    <row r="16556" customFormat="false" ht="15" hidden="false" customHeight="false" outlineLevel="0" collapsed="false">
      <c r="A16556" s="0" t="str">
        <f aca="false">MIDB("abcdef",2,3)</f>
        <v>bcd</v>
      </c>
      <c r="B16556" s="0" t="s">
        <v>16402</v>
      </c>
    </row>
    <row r="16557" customFormat="false" ht="15" hidden="false" customHeight="false" outlineLevel="0" collapsed="false">
      <c r="A16557" s="0" t="n">
        <f aca="false">FINDB("本","日本語",1)</f>
        <v>3</v>
      </c>
      <c r="B16557" s="0" t="s">
        <v>16403</v>
      </c>
    </row>
    <row r="16558" customFormat="false" ht="15" hidden="false" customHeight="false" outlineLevel="0" collapsed="false">
      <c r="A16558" s="0" t="n">
        <f aca="false">FINDB("本","日本語",2)</f>
        <v>3</v>
      </c>
      <c r="B16558" s="0" t="s">
        <v>16404</v>
      </c>
    </row>
    <row r="16559" customFormat="false" ht="15" hidden="false" customHeight="false" outlineLevel="0" collapsed="false">
      <c r="A16559" s="0" t="n">
        <f aca="false">FINDB("本","日本語",3)</f>
        <v>3</v>
      </c>
      <c r="B16559" s="0" t="s">
        <v>16405</v>
      </c>
    </row>
    <row r="16560" customFormat="false" ht="15" hidden="false" customHeight="false" outlineLevel="0" collapsed="false">
      <c r="A16560" s="0" t="e">
        <f aca="false">FINDB("本","日本語",4)</f>
        <v>#VALUE!</v>
      </c>
      <c r="B16560" s="0" t="s">
        <v>16406</v>
      </c>
    </row>
    <row r="16561" customFormat="false" ht="15" hidden="false" customHeight="false" outlineLevel="0" collapsed="false">
      <c r="A16561" s="0" t="n">
        <f aca="false">FINDB("語","日本語")</f>
        <v>5</v>
      </c>
      <c r="B16561" s="0" t="s">
        <v>16407</v>
      </c>
    </row>
    <row r="16562" customFormat="false" ht="15" hidden="false" customHeight="false" outlineLevel="0" collapsed="false">
      <c r="A16562" s="0" t="e">
        <f aca="false">FINDB("","日本語")</f>
        <v>#VALUE!</v>
      </c>
      <c r="B16562" s="0" t="s">
        <v>16408</v>
      </c>
    </row>
    <row r="16563" customFormat="false" ht="15" hidden="false" customHeight="false" outlineLevel="0" collapsed="false">
      <c r="A16563" s="0" t="e">
        <f aca="false">FINDB("","日本語",3)</f>
        <v>#VALUE!</v>
      </c>
      <c r="B16563" s="0" t="s">
        <v>16409</v>
      </c>
    </row>
    <row r="16564" customFormat="false" ht="15" hidden="false" customHeight="false" outlineLevel="0" collapsed="false">
      <c r="A16564" s="0" t="e">
        <f aca="false">FINDB("x","日本語")</f>
        <v>#VALUE!</v>
      </c>
      <c r="B16564" s="0" t="s">
        <v>16410</v>
      </c>
    </row>
    <row r="16565" customFormat="false" ht="15" hidden="false" customHeight="false" outlineLevel="0" collapsed="false">
      <c r="A16565" s="0" t="n">
        <f aca="false">FINDB("a","日a本a",3)</f>
        <v>3</v>
      </c>
      <c r="B16565" s="0" t="s">
        <v>16411</v>
      </c>
    </row>
    <row r="16566" customFormat="false" ht="15" hidden="false" customHeight="false" outlineLevel="0" collapsed="false">
      <c r="A16566" s="0" t="n">
        <f aca="false">FINDB("a","日a本a",5)</f>
        <v>6</v>
      </c>
      <c r="B16566" s="0" t="s">
        <v>16412</v>
      </c>
    </row>
    <row r="16567" customFormat="false" ht="15" hidden="false" customHeight="false" outlineLevel="0" collapsed="false">
      <c r="A16567" s="0" t="n">
        <f aca="false">FINDB("a","日a本a",6)</f>
        <v>6</v>
      </c>
      <c r="B16567" s="0" t="s">
        <v>16413</v>
      </c>
    </row>
    <row r="16568" customFormat="false" ht="15" hidden="false" customHeight="false" outlineLevel="0" collapsed="false">
      <c r="A16568" s="0" t="e">
        <f aca="false">FINDB("a","日a本a",7)</f>
        <v>#VALUE!</v>
      </c>
      <c r="B16568" s="0" t="s">
        <v>16414</v>
      </c>
    </row>
    <row r="16569" customFormat="false" ht="15" hidden="false" customHeight="false" outlineLevel="0" collapsed="false">
      <c r="A16569" s="0" t="e">
        <f aca="false">FINDB("a","日a本a",0)</f>
        <v>#VALUE!</v>
      </c>
      <c r="B16569" s="0" t="s">
        <v>16415</v>
      </c>
    </row>
    <row r="16570" customFormat="false" ht="15" hidden="false" customHeight="false" outlineLevel="0" collapsed="false">
      <c r="A16570" s="0" t="e">
        <f aca="false">FINDB("日","日本語",2)</f>
        <v>#VALUE!</v>
      </c>
      <c r="B16570" s="0" t="s">
        <v>16416</v>
      </c>
    </row>
    <row r="16571" customFormat="false" ht="15" hidden="false" customHeight="false" outlineLevel="0" collapsed="false">
      <c r="A16571" s="0" t="n">
        <f aca="false">FINDB("b","abc")</f>
        <v>2</v>
      </c>
      <c r="B16571" s="0" t="s">
        <v>16417</v>
      </c>
    </row>
    <row r="16572" customFormat="false" ht="15" hidden="false" customHeight="false" outlineLevel="0" collapsed="false">
      <c r="A16572" s="0" t="e">
        <f aca="false">FINDB("B","abc")</f>
        <v>#VALUE!</v>
      </c>
      <c r="B16572" s="0" t="s">
        <v>16418</v>
      </c>
    </row>
    <row r="16573" customFormat="false" ht="15" hidden="false" customHeight="false" outlineLevel="0" collapsed="false">
      <c r="A16573" s="0" t="e">
        <f aca="false">FINDB("","abc")</f>
        <v>#VALUE!</v>
      </c>
      <c r="B16573" s="0" t="s">
        <v>16419</v>
      </c>
    </row>
    <row r="16574" customFormat="false" ht="15" hidden="false" customHeight="false" outlineLevel="0" collapsed="false">
      <c r="A16574" s="0" t="e">
        <f aca="false">FINDB("c","abc",4)</f>
        <v>#VALUE!</v>
      </c>
      <c r="B16574" s="0" t="s">
        <v>16420</v>
      </c>
    </row>
    <row r="16575" customFormat="false" ht="15" hidden="false" customHeight="false" outlineLevel="0" collapsed="false">
      <c r="A16575" s="0" t="n">
        <f aca="false">FINDB("c","abc",3)</f>
        <v>3</v>
      </c>
      <c r="B16575" s="0" t="s">
        <v>16421</v>
      </c>
    </row>
    <row r="16576" customFormat="false" ht="15" hidden="false" customHeight="false" outlineLevel="0" collapsed="false">
      <c r="A16576" s="0" t="n">
        <f aca="false">SEARCHB("本","日本語",2)</f>
        <v>3</v>
      </c>
      <c r="B16576" s="0" t="s">
        <v>16422</v>
      </c>
    </row>
    <row r="16577" customFormat="false" ht="15" hidden="false" customHeight="false" outlineLevel="0" collapsed="false">
      <c r="A16577" s="0" t="n">
        <f aca="false">SEARCHB("?","日本語")</f>
        <v>1</v>
      </c>
      <c r="B16577" s="0" t="s">
        <v>16423</v>
      </c>
    </row>
    <row r="16578" customFormat="false" ht="15" hidden="false" customHeight="false" outlineLevel="0" collapsed="false">
      <c r="A16578" s="0" t="n">
        <f aca="false">SEARCHB("*語","日本語")</f>
        <v>1</v>
      </c>
      <c r="B16578" s="0" t="s">
        <v>16424</v>
      </c>
    </row>
    <row r="16579" customFormat="false" ht="15" hidden="false" customHeight="false" outlineLevel="0" collapsed="false">
      <c r="A16579" s="0" t="n">
        <f aca="false">SEARCHB("本?","日本語")</f>
        <v>3</v>
      </c>
      <c r="B16579" s="0" t="s">
        <v>16425</v>
      </c>
    </row>
    <row r="16580" customFormat="false" ht="15" hidden="false" customHeight="false" outlineLevel="0" collapsed="false">
      <c r="A16580" s="0" t="n">
        <f aca="false">SEARCHB("B","a日b")</f>
        <v>4</v>
      </c>
      <c r="B16580" s="0" t="s">
        <v>16426</v>
      </c>
    </row>
    <row r="16581" customFormat="false" ht="15" hidden="false" customHeight="false" outlineLevel="0" collapsed="false">
      <c r="A16581" s="0" t="e">
        <f aca="false">SEARCHB("","日本語")</f>
        <v>#VALUE!</v>
      </c>
      <c r="B16581" s="0" t="s">
        <v>16427</v>
      </c>
    </row>
    <row r="16582" customFormat="false" ht="15" hidden="false" customHeight="false" outlineLevel="0" collapsed="false">
      <c r="A16582" s="0" t="n">
        <f aca="false">SEARCHB("a","日a本a",3)</f>
        <v>3</v>
      </c>
      <c r="B16582" s="0" t="s">
        <v>16428</v>
      </c>
    </row>
    <row r="16583" customFormat="false" ht="15" hidden="false" customHeight="false" outlineLevel="0" collapsed="false">
      <c r="A16583" s="0" t="n">
        <f aca="false">SEARCHB("~?","日?")</f>
        <v>3</v>
      </c>
      <c r="B16583" s="0" t="s">
        <v>16429</v>
      </c>
    </row>
    <row r="16584" customFormat="false" ht="15" hidden="false" customHeight="false" outlineLevel="0" collapsed="false">
      <c r="A16584" s="0" t="n">
        <f aca="false">SEARCHB("B","abc")</f>
        <v>2</v>
      </c>
      <c r="B16584" s="0" t="s">
        <v>16430</v>
      </c>
    </row>
    <row r="16585" customFormat="false" ht="15" hidden="false" customHeight="false" outlineLevel="0" collapsed="false">
      <c r="A16585" s="0" t="e">
        <f aca="false">SEARCHB("语","日本語")</f>
        <v>#VALUE!</v>
      </c>
      <c r="B16585" s="0" t="s">
        <v>16431</v>
      </c>
    </row>
    <row r="16586" customFormat="false" ht="15" hidden="false" customHeight="false" outlineLevel="0" collapsed="false">
      <c r="A16586" s="0" t="str">
        <f aca="false">REPLACEB("日本語",2,2,"x")</f>
        <v> x 語</v>
      </c>
      <c r="B16586" s="0" t="s">
        <v>16432</v>
      </c>
    </row>
    <row r="16587" customFormat="false" ht="15" hidden="false" customHeight="false" outlineLevel="0" collapsed="false">
      <c r="A16587" s="0" t="str">
        <f aca="false">REPLACEB("日本語",1,1,"x")</f>
        <v>x 本語</v>
      </c>
      <c r="B16587" s="0" t="s">
        <v>16433</v>
      </c>
    </row>
    <row r="16588" customFormat="false" ht="15" hidden="false" customHeight="false" outlineLevel="0" collapsed="false">
      <c r="A16588" s="0" t="str">
        <f aca="false">REPLACEB("日本語",3,4,"x")</f>
        <v>日x</v>
      </c>
      <c r="B16588" s="0" t="s">
        <v>16434</v>
      </c>
    </row>
    <row r="16589" customFormat="false" ht="15" hidden="false" customHeight="false" outlineLevel="0" collapsed="false">
      <c r="A16589" s="0" t="e">
        <f aca="false">REPLACEB("日本語",7,2,"x")</f>
        <v>#VALUE!</v>
      </c>
      <c r="B16589" s="0" t="s">
        <v>16435</v>
      </c>
    </row>
    <row r="16590" customFormat="false" ht="15" hidden="false" customHeight="false" outlineLevel="0" collapsed="false">
      <c r="A16590" s="0" t="e">
        <f aca="false">REPLACEB("日本語",8,2,"x")</f>
        <v>#VALUE!</v>
      </c>
      <c r="B16590" s="0" t="s">
        <v>16436</v>
      </c>
    </row>
    <row r="16591" customFormat="false" ht="15" hidden="false" customHeight="false" outlineLevel="0" collapsed="false">
      <c r="A16591" s="0" t="str">
        <f aca="false">REPLACEB("日本語",1,0,"x")</f>
        <v>x日本語</v>
      </c>
      <c r="B16591" s="0" t="s">
        <v>16437</v>
      </c>
    </row>
    <row r="16592" customFormat="false" ht="15" hidden="false" customHeight="false" outlineLevel="0" collapsed="false">
      <c r="A16592" s="0" t="e">
        <f aca="false">REPLACEB("日本語",0,1,"x")</f>
        <v>#VALUE!</v>
      </c>
      <c r="B16592" s="0" t="s">
        <v>16438</v>
      </c>
    </row>
    <row r="16593" customFormat="false" ht="15" hidden="false" customHeight="false" outlineLevel="0" collapsed="false">
      <c r="A16593" s="0" t="str">
        <f aca="false">REPLACEB("abc",2,1,"日")</f>
        <v>a日c</v>
      </c>
      <c r="B16593" s="0" t="s">
        <v>16439</v>
      </c>
    </row>
    <row r="16594" customFormat="false" ht="15" hidden="false" customHeight="false" outlineLevel="0" collapsed="false">
      <c r="A16594" s="0" t="str">
        <f aca="false">REPLACEB("日本語",1,6,"")</f>
        <v/>
      </c>
      <c r="B16594" s="0" t="s">
        <v>16440</v>
      </c>
    </row>
    <row r="16595" customFormat="false" ht="15" hidden="false" customHeight="false" outlineLevel="0" collapsed="false">
      <c r="A16595" s="0" t="e">
        <f aca="false">REPLACEB("日本語",1,100,"x")</f>
        <v>#VALUE!</v>
      </c>
      <c r="B16595" s="0" t="s">
        <v>16441</v>
      </c>
    </row>
    <row r="16596" customFormat="false" ht="15" hidden="false" customHeight="false" outlineLevel="0" collapsed="false">
      <c r="A16596" s="0" t="str">
        <f aca="false">REPLACEB("a日b",3,1,"x")</f>
        <v>a xb</v>
      </c>
      <c r="B16596" s="0" t="s">
        <v>16442</v>
      </c>
    </row>
    <row r="16597" customFormat="false" ht="15" hidden="false" customHeight="false" outlineLevel="0" collapsed="false">
      <c r="A16597" s="0" t="str">
        <f aca="false">REPLACEB("a日b",2,1,"x")</f>
        <v>ax b</v>
      </c>
      <c r="B16597" s="0" t="s">
        <v>16443</v>
      </c>
    </row>
    <row r="16598" customFormat="false" ht="15" hidden="false" customHeight="false" outlineLevel="0" collapsed="false">
      <c r="A16598" s="0" t="str">
        <f aca="false">REPLACEB("a日b",2,2,"x")</f>
        <v>axb</v>
      </c>
      <c r="B16598" s="0" t="s">
        <v>16444</v>
      </c>
    </row>
    <row r="16599" customFormat="false" ht="15" hidden="false" customHeight="false" outlineLevel="0" collapsed="false">
      <c r="A16599" s="0" t="str">
        <f aca="false">REPLACEB("abcdef",2,3,"X")</f>
        <v>aXef</v>
      </c>
      <c r="B16599" s="0" t="s">
        <v>16445</v>
      </c>
    </row>
    <row r="16600" customFormat="false" ht="15" hidden="false" customHeight="false" outlineLevel="0" collapsed="false">
      <c r="A16600" s="0" t="e">
        <f aca="false">REPLACEB("abc",4,1,"x")</f>
        <v>#VALUE!</v>
      </c>
      <c r="B16600" s="0" t="s">
        <v>16446</v>
      </c>
    </row>
    <row r="16601" customFormat="false" ht="15" hidden="false" customHeight="false" outlineLevel="0" collapsed="false">
      <c r="A16601" s="0" t="str">
        <f aca="false">REPLACEB("abc",3,1,"x")</f>
        <v>abx</v>
      </c>
      <c r="B16601" s="0" t="s">
        <v>16447</v>
      </c>
    </row>
    <row r="16602" customFormat="false" ht="15" hidden="false" customHeight="false" outlineLevel="0" collapsed="false">
      <c r="A16602" s="0" t="e">
        <f aca="false">REPLACEB("abc",3,2,"x")</f>
        <v>#VALUE!</v>
      </c>
      <c r="B16602" s="0" t="s">
        <v>16448</v>
      </c>
    </row>
    <row r="16603" customFormat="false" ht="15" hidden="false" customHeight="false" outlineLevel="0" collapsed="false">
      <c r="A16603" s="0" t="e">
        <f aca="false">REPLACEB("",1,0,"x")</f>
        <v>#VALUE!</v>
      </c>
      <c r="B16603" s="0" t="s">
        <v>16449</v>
      </c>
    </row>
    <row r="16604" customFormat="false" ht="15" hidden="false" customHeight="false" outlineLevel="0" collapsed="false">
      <c r="A16604" s="0" t="str">
        <f aca="false">ASC("ＡＢＣ１２３")</f>
        <v>ABC123</v>
      </c>
      <c r="B16604" s="0" t="s">
        <v>16450</v>
      </c>
    </row>
    <row r="16605" customFormat="false" ht="15" hidden="false" customHeight="false" outlineLevel="0" collapsed="false">
      <c r="A16605" s="0" t="str">
        <f aca="false">ASC("ｱｲｳ")</f>
        <v>ｱｲｳ</v>
      </c>
      <c r="B16605" s="0" t="s">
        <v>16451</v>
      </c>
    </row>
    <row r="16606" customFormat="false" ht="15" hidden="false" customHeight="false" outlineLevel="0" collapsed="false">
      <c r="A16606" s="0" t="str">
        <f aca="false">ASC("アイウ")</f>
        <v>ｱｲｳ</v>
      </c>
      <c r="B16606" s="0" t="s">
        <v>16452</v>
      </c>
    </row>
    <row r="16607" customFormat="false" ht="15" hidden="false" customHeight="false" outlineLevel="0" collapsed="false">
      <c r="A16607" s="0" t="str">
        <f aca="false">ASC("ａ　ｂ")</f>
        <v>a　b</v>
      </c>
      <c r="B16607" s="0" t="s">
        <v>16453</v>
      </c>
    </row>
    <row r="16608" customFormat="false" ht="15" hidden="false" customHeight="false" outlineLevel="0" collapsed="false">
      <c r="A16608" s="0" t="str">
        <f aca="false">ASC("ガ")</f>
        <v>ｶﾞ</v>
      </c>
      <c r="B16608" s="0" t="s">
        <v>16454</v>
      </c>
    </row>
    <row r="16609" customFormat="false" ht="15" hidden="false" customHeight="false" outlineLevel="0" collapsed="false">
      <c r="A16609" s="0" t="str">
        <f aca="false">ASC("abc")</f>
        <v>abc</v>
      </c>
      <c r="B16609" s="0" t="s">
        <v>16455</v>
      </c>
    </row>
    <row r="16610" customFormat="false" ht="15" hidden="false" customHeight="false" outlineLevel="0" collapsed="false">
      <c r="A16610" s="0" t="str">
        <f aca="false">ASC("")</f>
        <v/>
      </c>
      <c r="B16610" s="0" t="s">
        <v>16456</v>
      </c>
    </row>
    <row r="16611" customFormat="false" ht="15" hidden="false" customHeight="false" outlineLevel="0" collapsed="false">
      <c r="A16611" s="0" t="str">
        <f aca="false">ASC("￥")</f>
        <v>\</v>
      </c>
      <c r="B16611" s="0" t="s">
        <v>16457</v>
      </c>
    </row>
    <row r="16612" customFormat="false" ht="15" hidden="false" customHeight="false" outlineLevel="0" collapsed="false">
      <c r="A16612" s="0" t="str">
        <f aca="false">ASC(123)</f>
        <v>123</v>
      </c>
      <c r="B16612" s="0" t="s">
        <v>16458</v>
      </c>
    </row>
    <row r="16613" customFormat="false" ht="15" hidden="false" customHeight="false" outlineLevel="0" collapsed="false">
      <c r="A16613" s="0" t="e">
        <f aca="false">ASC(NA())</f>
        <v>#N/A</v>
      </c>
      <c r="B16613" s="0" t="s">
        <v>16459</v>
      </c>
    </row>
    <row r="16614" customFormat="false" ht="15" hidden="false" customHeight="false" outlineLevel="0" collapsed="false">
      <c r="A16614" s="0" t="str">
        <f aca="false">ASC(Data!D1)</f>
        <v/>
      </c>
      <c r="B16614" s="0" t="s">
        <v>16460</v>
      </c>
    </row>
    <row r="16615" customFormat="false" ht="15" hidden="false" customHeight="false" outlineLevel="0" collapsed="false">
      <c r="A16615" s="0" t="str">
        <f aca="false">ASC(TRUE())</f>
        <v>1</v>
      </c>
      <c r="B16615" s="0" t="s">
        <v>16461</v>
      </c>
    </row>
    <row r="16616" customFormat="false" ht="15" hidden="false" customHeight="false" outlineLevel="0" collapsed="false">
      <c r="A16616" s="0" t="str">
        <f aca="false">ASC("ｳﾞ")</f>
        <v>ｳﾞ</v>
      </c>
      <c r="B16616" s="0" t="s">
        <v>16462</v>
      </c>
    </row>
    <row r="16617" customFormat="false" ht="15" hidden="false" customHeight="false" outlineLevel="0" collapsed="false">
      <c r="A16617" s="0" t="str">
        <f aca="false">ASC("ヴ")</f>
        <v>ｳﾞ</v>
      </c>
      <c r="B16617" s="0" t="s">
        <v>16463</v>
      </c>
    </row>
    <row r="16618" customFormat="false" ht="15" hidden="false" customHeight="false" outlineLevel="0" collapsed="false">
      <c r="A16618" s="0" t="str">
        <f aca="false">ASC("　")</f>
        <v>　</v>
      </c>
      <c r="B16618" s="0" t="s">
        <v>16464</v>
      </c>
    </row>
    <row r="16619" customFormat="false" ht="15" hidden="false" customHeight="false" outlineLevel="0" collapsed="false">
      <c r="A16619" s="0" t="str">
        <f aca="false">ASC("～")</f>
        <v>~</v>
      </c>
      <c r="B16619" s="0" t="s">
        <v>16465</v>
      </c>
    </row>
    <row r="16620" customFormat="false" ht="15" hidden="false" customHeight="false" outlineLevel="0" collapsed="false">
      <c r="A16620" s="0" t="str">
        <f aca="false">ASC("￠")</f>
        <v>￠</v>
      </c>
      <c r="B16620" s="0" t="s">
        <v>16466</v>
      </c>
    </row>
    <row r="16621" customFormat="false" ht="15" hidden="false" customHeight="false" outlineLevel="0" collapsed="false">
      <c r="A16621" s="0" t="str">
        <f aca="false">ASC("―")</f>
        <v>ｰ</v>
      </c>
      <c r="B16621" s="0" t="s">
        <v>16467</v>
      </c>
    </row>
    <row r="16622" customFormat="false" ht="15" hidden="false" customHeight="false" outlineLevel="0" collapsed="false">
      <c r="A16622" s="0" t="str">
        <f aca="false">ASC("゛")</f>
        <v>ﾞ</v>
      </c>
      <c r="B16622" s="0" t="s">
        <v>16468</v>
      </c>
    </row>
    <row r="16623" customFormat="false" ht="15" hidden="false" customHeight="false" outlineLevel="0" collapsed="false">
      <c r="A16623" s="0" t="str">
        <f aca="false">ASC("パピプペポ")</f>
        <v>ﾊﾟﾋﾟﾌﾟﾍﾟﾎﾟ</v>
      </c>
      <c r="B16623" s="0" t="s">
        <v>16469</v>
      </c>
    </row>
    <row r="16624" customFormat="false" ht="15" hidden="false" customHeight="false" outlineLevel="0" collapsed="false">
      <c r="A16624" s="0" t="str">
        <f aca="false">ASC("ー")</f>
        <v>ｰ</v>
      </c>
      <c r="B16624" s="0" t="s">
        <v>16470</v>
      </c>
    </row>
    <row r="16625" customFormat="false" ht="15" hidden="false" customHeight="false" outlineLevel="0" collapsed="false">
      <c r="A16625" s="0" t="str">
        <f aca="false">ASC("日本語ＡＢＣ")</f>
        <v>日本語ABC</v>
      </c>
      <c r="B16625" s="0" t="s">
        <v>16471</v>
      </c>
    </row>
    <row r="16626" customFormat="false" ht="15" hidden="false" customHeight="false" outlineLevel="0" collapsed="false">
      <c r="A16626" s="0" t="str">
        <f aca="false">ASC("「」、。・")</f>
        <v>｢｣､｡･</v>
      </c>
      <c r="B16626" s="0" t="s">
        <v>16472</v>
      </c>
    </row>
    <row r="16627" customFormat="false" ht="15" hidden="false" customHeight="false" outlineLevel="0" collapsed="false">
      <c r="A16627" s="0" t="str">
        <f aca="false">ASC("ヷ")</f>
        <v>ﾜﾞ</v>
      </c>
      <c r="B16627" s="0" t="s">
        <v>16473</v>
      </c>
    </row>
    <row r="16628" customFormat="false" ht="15" hidden="false" customHeight="false" outlineLevel="0" collapsed="false">
      <c r="A16628" s="0" t="str">
        <f aca="false">ASC("ヺ")</f>
        <v>ｦﾞ</v>
      </c>
      <c r="B16628" s="0" t="s">
        <v>16474</v>
      </c>
    </row>
    <row r="16629" customFormat="false" ht="15" hidden="false" customHeight="false" outlineLevel="0" collapsed="false">
      <c r="A16629" s="0" t="str">
        <f aca="false">ASC("ヰ")</f>
        <v>ヰ</v>
      </c>
      <c r="B16629" s="0" t="s">
        <v>16475</v>
      </c>
    </row>
    <row r="16630" customFormat="false" ht="15" hidden="false" customHeight="false" outlineLevel="0" collapsed="false">
      <c r="A16630" s="0" t="str">
        <f aca="false">JIS("ABC123")</f>
        <v>ＡＢＣ１２３</v>
      </c>
      <c r="B16630" s="0" t="s">
        <v>16476</v>
      </c>
    </row>
    <row r="16631" customFormat="false" ht="15" hidden="false" customHeight="false" outlineLevel="0" collapsed="false">
      <c r="A16631" s="0" t="str">
        <f aca="false">JIS("ｱｲｳ")</f>
        <v>アイウ</v>
      </c>
      <c r="B16631" s="0" t="s">
        <v>16477</v>
      </c>
    </row>
    <row r="16632" customFormat="false" ht="15" hidden="false" customHeight="false" outlineLevel="0" collapsed="false">
      <c r="A16632" s="0" t="str">
        <f aca="false">JIS("ｶﾞ")</f>
        <v>ガ</v>
      </c>
      <c r="B16632" s="0" t="s">
        <v>16478</v>
      </c>
    </row>
    <row r="16633" customFormat="false" ht="15" hidden="false" customHeight="false" outlineLevel="0" collapsed="false">
      <c r="A16633" s="0" t="str">
        <f aca="false">JIS("a b")</f>
        <v>ａ ｂ</v>
      </c>
      <c r="B16633" s="0" t="s">
        <v>16479</v>
      </c>
    </row>
    <row r="16634" customFormat="false" ht="15" hidden="false" customHeight="false" outlineLevel="0" collapsed="false">
      <c r="A16634" s="0" t="str">
        <f aca="false">JIS("abc")</f>
        <v>ａｂｃ</v>
      </c>
      <c r="B16634" s="0" t="s">
        <v>16480</v>
      </c>
    </row>
    <row r="16635" customFormat="false" ht="15" hidden="false" customHeight="false" outlineLevel="0" collapsed="false">
      <c r="A16635" s="0" t="str">
        <f aca="false">JIS("")</f>
        <v/>
      </c>
      <c r="B16635" s="0" t="s">
        <v>16481</v>
      </c>
    </row>
    <row r="16636" customFormat="false" ht="15" hidden="false" customHeight="false" outlineLevel="0" collapsed="false">
      <c r="A16636" s="0" t="str">
        <f aca="false">JIS("ﾊﾟ")</f>
        <v>パ</v>
      </c>
      <c r="B16636" s="0" t="s">
        <v>16482</v>
      </c>
    </row>
    <row r="16637" customFormat="false" ht="15" hidden="false" customHeight="false" outlineLevel="0" collapsed="false">
      <c r="A16637" s="0" t="str">
        <f aca="false">JIS("¥")</f>
        <v>¥</v>
      </c>
      <c r="B16637" s="0" t="s">
        <v>16483</v>
      </c>
    </row>
    <row r="16638" customFormat="false" ht="15" hidden="false" customHeight="false" outlineLevel="0" collapsed="false">
      <c r="A16638" s="0" t="str">
        <f aca="false">JIS(123)</f>
        <v>１２３</v>
      </c>
      <c r="B16638" s="0" t="s">
        <v>16484</v>
      </c>
    </row>
    <row r="16639" customFormat="false" ht="15" hidden="false" customHeight="false" outlineLevel="0" collapsed="false">
      <c r="A16639" s="0" t="e">
        <f aca="false">JIS(NA())</f>
        <v>#N/A</v>
      </c>
      <c r="B16639" s="0" t="s">
        <v>16485</v>
      </c>
    </row>
    <row r="16640" customFormat="false" ht="15" hidden="false" customHeight="false" outlineLevel="0" collapsed="false">
      <c r="A16640" s="0" t="str">
        <f aca="false">JIS("ｳﾞ")</f>
        <v>ウ゛</v>
      </c>
      <c r="B16640" s="0" t="s">
        <v>16486</v>
      </c>
    </row>
    <row r="16641" customFormat="false" ht="15" hidden="false" customHeight="false" outlineLevel="0" collapsed="false">
      <c r="A16641" s="0" t="str">
        <f aca="false">JIS("ﾞ")</f>
        <v>゛</v>
      </c>
      <c r="B16641" s="0" t="s">
        <v>16487</v>
      </c>
    </row>
    <row r="16642" customFormat="false" ht="15" hidden="false" customHeight="false" outlineLevel="0" collapsed="false">
      <c r="A16642" s="0" t="str">
        <f aca="false">JIS("ｱﾞ")</f>
        <v>ア゛</v>
      </c>
      <c r="B16642" s="0" t="s">
        <v>16488</v>
      </c>
    </row>
    <row r="16643" customFormat="false" ht="15" hidden="false" customHeight="false" outlineLevel="0" collapsed="false">
      <c r="A16643" s="0" t="str">
        <f aca="false">JIS("ﾊﾞﾊﾟ")</f>
        <v>バパ</v>
      </c>
      <c r="B16643" s="0" t="s">
        <v>16489</v>
      </c>
    </row>
    <row r="16644" customFormat="false" ht="15" hidden="false" customHeight="false" outlineLevel="0" collapsed="false">
      <c r="A16644" s="0" t="str">
        <f aca="false">JIS(" ")</f>
        <v> </v>
      </c>
      <c r="B16644" s="0" t="s">
        <v>16490</v>
      </c>
    </row>
    <row r="16645" customFormat="false" ht="15" hidden="false" customHeight="false" outlineLevel="0" collapsed="false">
      <c r="A16645" s="0" t="str">
        <f aca="false">JIS("~")</f>
        <v>～</v>
      </c>
      <c r="B16645" s="0" t="s">
        <v>16491</v>
      </c>
    </row>
    <row r="16646" customFormat="false" ht="15" hidden="false" customHeight="false" outlineLevel="0" collapsed="false">
      <c r="A16646" s="0" t="str">
        <f aca="false">JIS("ｦﾞ")</f>
        <v>ヺ</v>
      </c>
      <c r="B16646" s="0" t="s">
        <v>16492</v>
      </c>
    </row>
    <row r="16647" customFormat="false" ht="15" hidden="false" customHeight="false" outlineLevel="0" collapsed="false">
      <c r="A16647" s="0" t="str">
        <f aca="false">JIS("ﾜﾞ")</f>
        <v>ヷ</v>
      </c>
      <c r="B16647" s="0" t="s">
        <v>16493</v>
      </c>
    </row>
    <row r="16648" customFormat="false" ht="15" hidden="false" customHeight="false" outlineLevel="0" collapsed="false">
      <c r="A16648" s="0" t="str">
        <f aca="false">JIS("ﾊﾞﾟ")</f>
        <v>バ゜</v>
      </c>
      <c r="B16648" s="0" t="s">
        <v>16494</v>
      </c>
    </row>
    <row r="16649" customFormat="false" ht="15" hidden="false" customHeight="false" outlineLevel="0" collapsed="false">
      <c r="A16649" s="0" t="str">
        <f aca="false">JIS("ｶﾟ")</f>
        <v>カ゜</v>
      </c>
      <c r="B16649" s="0" t="s">
        <v>16495</v>
      </c>
    </row>
    <row r="16650" customFormat="false" ht="15" hidden="false" customHeight="false" outlineLevel="0" collapsed="false">
      <c r="A16650" s="0" t="str">
        <f aca="false">JIS("ｱｲｳｴｵ")</f>
        <v>アイウエオ</v>
      </c>
      <c r="B16650" s="0" t="s">
        <v>16496</v>
      </c>
    </row>
    <row r="16651" customFormat="false" ht="15" hidden="false" customHeight="false" outlineLevel="0" collapsed="false">
      <c r="A16651" s="0" t="str">
        <f aca="false">JIS("ｶｷｸｹｺ")</f>
        <v>カキクケコ</v>
      </c>
      <c r="B16651" s="0" t="s">
        <v>16497</v>
      </c>
    </row>
    <row r="16652" customFormat="false" ht="15" hidden="false" customHeight="false" outlineLevel="0" collapsed="false">
      <c r="A16652" s="0" t="str">
        <f aca="false">JIS("ﾊﾋﾌﾍﾎ")</f>
        <v>ハヒフヘホ</v>
      </c>
      <c r="B16652" s="0" t="s">
        <v>16498</v>
      </c>
    </row>
    <row r="16653" customFormat="false" ht="15" hidden="false" customHeight="false" outlineLevel="0" collapsed="false">
      <c r="A16653" s="0" t="str">
        <f aca="false">JIS("ﾏﾐﾑﾒﾓ")</f>
        <v>マミムメモ</v>
      </c>
      <c r="B16653" s="0" t="s">
        <v>16499</v>
      </c>
    </row>
    <row r="16654" customFormat="false" ht="15" hidden="false" customHeight="false" outlineLevel="0" collapsed="false">
      <c r="A16654" s="0" t="str">
        <f aca="false">JIS("ｰ｡｢｣､･")</f>
        <v>ー。「」、・</v>
      </c>
      <c r="B16654" s="0" t="s">
        <v>16500</v>
      </c>
    </row>
    <row r="16655" customFormat="false" ht="15" hidden="false" customHeight="false" outlineLevel="0" collapsed="false">
      <c r="A16655" s="0" t="str">
        <f aca="false">JIS("ｧｨｩｪｫｬｭｮｯ")</f>
        <v>ァィゥェォャュョッ</v>
      </c>
      <c r="B16655" s="0" t="s">
        <v>16501</v>
      </c>
    </row>
    <row r="16656" customFormat="false" ht="15" hidden="false" customHeight="false" outlineLevel="0" collapsed="false">
      <c r="A16656" s="0" t="str">
        <f aca="false">JIS("日本語abc")</f>
        <v>日本語ａｂｃ</v>
      </c>
      <c r="B16656" s="0" t="s">
        <v>16502</v>
      </c>
    </row>
    <row r="16657" customFormat="false" ht="15" hidden="false" customHeight="false" outlineLevel="0" collapsed="false">
      <c r="A16657" s="0" t="str">
        <f aca="false">JIS("!")</f>
        <v>！</v>
      </c>
      <c r="B16657" s="0" t="s">
        <v>16503</v>
      </c>
    </row>
    <row r="16658" customFormat="false" ht="15" hidden="false" customHeight="false" outlineLevel="0" collapsed="false">
      <c r="A16658" s="0" t="str">
        <f aca="false">JIS("`")</f>
        <v>‘</v>
      </c>
      <c r="B16658" s="0" t="s">
        <v>16504</v>
      </c>
    </row>
    <row r="16659" customFormat="false" ht="15" hidden="false" customHeight="false" outlineLevel="0" collapsed="false">
      <c r="A16659" s="0" t="str">
        <f aca="false">JIS("é")</f>
        <v>é</v>
      </c>
      <c r="B16659" s="0" t="s">
        <v>16505</v>
      </c>
    </row>
    <row r="16660" customFormat="false" ht="15" hidden="false" customHeight="false" outlineLevel="0" collapsed="false">
      <c r="A16660" s="0" t="str">
        <f aca="false">_xlfn.BAHTTEXT(0)</f>
        <v>ศูนย์บาทถ้วน</v>
      </c>
      <c r="B16660" s="0" t="s">
        <v>16506</v>
      </c>
    </row>
    <row r="16661" customFormat="false" ht="15" hidden="false" customHeight="false" outlineLevel="0" collapsed="false">
      <c r="A16661" s="0" t="str">
        <f aca="false">_xlfn.BAHTTEXT(1)</f>
        <v>หนึ่งบาทถ้วน</v>
      </c>
      <c r="B16661" s="0" t="s">
        <v>16507</v>
      </c>
    </row>
    <row r="16662" customFormat="false" ht="15" hidden="false" customHeight="false" outlineLevel="0" collapsed="false">
      <c r="A16662" s="0" t="str">
        <f aca="false">_xlfn.BAHTTEXT(2)</f>
        <v>สองบาทถ้วน</v>
      </c>
      <c r="B16662" s="0" t="s">
        <v>16508</v>
      </c>
    </row>
    <row r="16663" customFormat="false" ht="15" hidden="false" customHeight="false" outlineLevel="0" collapsed="false">
      <c r="A16663" s="0" t="str">
        <f aca="false">_xlfn.BAHTTEXT(3)</f>
        <v>สามบาทถ้วน</v>
      </c>
      <c r="B16663" s="0" t="s">
        <v>16509</v>
      </c>
    </row>
    <row r="16664" customFormat="false" ht="15" hidden="false" customHeight="false" outlineLevel="0" collapsed="false">
      <c r="A16664" s="0" t="str">
        <f aca="false">_xlfn.BAHTTEXT(4)</f>
        <v>สี่บาทถ้วน</v>
      </c>
      <c r="B16664" s="0" t="s">
        <v>16510</v>
      </c>
    </row>
    <row r="16665" customFormat="false" ht="15" hidden="false" customHeight="false" outlineLevel="0" collapsed="false">
      <c r="A16665" s="0" t="str">
        <f aca="false">_xlfn.BAHTTEXT(5)</f>
        <v>ห้าบาทถ้วน</v>
      </c>
      <c r="B16665" s="0" t="s">
        <v>16511</v>
      </c>
    </row>
    <row r="16666" customFormat="false" ht="15" hidden="false" customHeight="false" outlineLevel="0" collapsed="false">
      <c r="A16666" s="0" t="str">
        <f aca="false">_xlfn.BAHTTEXT(6)</f>
        <v>หกบาทถ้วน</v>
      </c>
      <c r="B16666" s="0" t="s">
        <v>16512</v>
      </c>
    </row>
    <row r="16667" customFormat="false" ht="15" hidden="false" customHeight="false" outlineLevel="0" collapsed="false">
      <c r="A16667" s="0" t="str">
        <f aca="false">_xlfn.BAHTTEXT(7)</f>
        <v>เจ็ดบาทถ้วน</v>
      </c>
      <c r="B16667" s="0" t="s">
        <v>16513</v>
      </c>
    </row>
    <row r="16668" customFormat="false" ht="15" hidden="false" customHeight="false" outlineLevel="0" collapsed="false">
      <c r="A16668" s="0" t="str">
        <f aca="false">_xlfn.BAHTTEXT(8)</f>
        <v>แปดบาทถ้วน</v>
      </c>
      <c r="B16668" s="0" t="s">
        <v>16514</v>
      </c>
    </row>
    <row r="16669" customFormat="false" ht="15" hidden="false" customHeight="false" outlineLevel="0" collapsed="false">
      <c r="A16669" s="0" t="str">
        <f aca="false">_xlfn.BAHTTEXT(9)</f>
        <v>เก้าบาทถ้วน</v>
      </c>
      <c r="B16669" s="0" t="s">
        <v>16515</v>
      </c>
    </row>
    <row r="16670" customFormat="false" ht="15" hidden="false" customHeight="false" outlineLevel="0" collapsed="false">
      <c r="A16670" s="0" t="str">
        <f aca="false">_xlfn.BAHTTEXT(10)</f>
        <v>สิบบาทถ้วน</v>
      </c>
      <c r="B16670" s="0" t="s">
        <v>16516</v>
      </c>
    </row>
    <row r="16671" customFormat="false" ht="15" hidden="false" customHeight="false" outlineLevel="0" collapsed="false">
      <c r="A16671" s="0" t="str">
        <f aca="false">_xlfn.BAHTTEXT(11)</f>
        <v>สิบเอ็ดบาทถ้วน</v>
      </c>
      <c r="B16671" s="0" t="s">
        <v>16517</v>
      </c>
    </row>
    <row r="16672" customFormat="false" ht="15" hidden="false" customHeight="false" outlineLevel="0" collapsed="false">
      <c r="A16672" s="0" t="str">
        <f aca="false">_xlfn.BAHTTEXT(12)</f>
        <v>สิบสองบาทถ้วน</v>
      </c>
      <c r="B16672" s="0" t="s">
        <v>16518</v>
      </c>
    </row>
    <row r="16673" customFormat="false" ht="15" hidden="false" customHeight="false" outlineLevel="0" collapsed="false">
      <c r="A16673" s="0" t="str">
        <f aca="false">_xlfn.BAHTTEXT(19)</f>
        <v>สิบเก้าบาทถ้วน</v>
      </c>
      <c r="B16673" s="0" t="s">
        <v>16519</v>
      </c>
    </row>
    <row r="16674" customFormat="false" ht="15" hidden="false" customHeight="false" outlineLevel="0" collapsed="false">
      <c r="A16674" s="0" t="str">
        <f aca="false">_xlfn.BAHTTEXT(20)</f>
        <v>ยี่สิบบาทถ้วน</v>
      </c>
      <c r="B16674" s="0" t="s">
        <v>16520</v>
      </c>
    </row>
    <row r="16675" customFormat="false" ht="15" hidden="false" customHeight="false" outlineLevel="0" collapsed="false">
      <c r="A16675" s="0" t="str">
        <f aca="false">_xlfn.BAHTTEXT(21)</f>
        <v>ยี่สิบเอ็ดบาทถ้วน</v>
      </c>
      <c r="B16675" s="0" t="s">
        <v>16521</v>
      </c>
    </row>
    <row r="16676" customFormat="false" ht="15" hidden="false" customHeight="false" outlineLevel="0" collapsed="false">
      <c r="A16676" s="0" t="str">
        <f aca="false">_xlfn.BAHTTEXT(22)</f>
        <v>ยี่สิบสองบาทถ้วน</v>
      </c>
      <c r="B16676" s="0" t="s">
        <v>16522</v>
      </c>
    </row>
    <row r="16677" customFormat="false" ht="15" hidden="false" customHeight="false" outlineLevel="0" collapsed="false">
      <c r="A16677" s="0" t="str">
        <f aca="false">_xlfn.BAHTTEXT(29)</f>
        <v>ยี่สิบเก้าบาทถ้วน</v>
      </c>
      <c r="B16677" s="0" t="s">
        <v>16523</v>
      </c>
    </row>
    <row r="16678" customFormat="false" ht="15" hidden="false" customHeight="false" outlineLevel="0" collapsed="false">
      <c r="A16678" s="0" t="str">
        <f aca="false">_xlfn.BAHTTEXT(30)</f>
        <v>สามสิบบาทถ้วน</v>
      </c>
      <c r="B16678" s="0" t="s">
        <v>16524</v>
      </c>
    </row>
    <row r="16679" customFormat="false" ht="15" hidden="false" customHeight="false" outlineLevel="0" collapsed="false">
      <c r="A16679" s="0" t="str">
        <f aca="false">_xlfn.BAHTTEXT(31)</f>
        <v>สามสิบเอ็ดบาทถ้วน</v>
      </c>
      <c r="B16679" s="0" t="s">
        <v>16525</v>
      </c>
    </row>
    <row r="16680" customFormat="false" ht="15" hidden="false" customHeight="false" outlineLevel="0" collapsed="false">
      <c r="A16680" s="0" t="str">
        <f aca="false">_xlfn.BAHTTEXT(41)</f>
        <v>สี่สิบเอ็ดบาทถ้วน</v>
      </c>
      <c r="B16680" s="0" t="s">
        <v>16526</v>
      </c>
    </row>
    <row r="16681" customFormat="false" ht="15" hidden="false" customHeight="false" outlineLevel="0" collapsed="false">
      <c r="A16681" s="0" t="str">
        <f aca="false">_xlfn.BAHTTEXT(51)</f>
        <v>ห้าสิบเอ็ดบาทถ้วน</v>
      </c>
      <c r="B16681" s="0" t="s">
        <v>16527</v>
      </c>
    </row>
    <row r="16682" customFormat="false" ht="15" hidden="false" customHeight="false" outlineLevel="0" collapsed="false">
      <c r="A16682" s="0" t="str">
        <f aca="false">_xlfn.BAHTTEXT(61)</f>
        <v>หกสิบเอ็ดบาทถ้วน</v>
      </c>
      <c r="B16682" s="0" t="s">
        <v>16528</v>
      </c>
    </row>
    <row r="16683" customFormat="false" ht="15" hidden="false" customHeight="false" outlineLevel="0" collapsed="false">
      <c r="A16683" s="0" t="str">
        <f aca="false">_xlfn.BAHTTEXT(71)</f>
        <v>เจ็ดสิบเอ็ดบาทถ้วน</v>
      </c>
      <c r="B16683" s="0" t="s">
        <v>16529</v>
      </c>
    </row>
    <row r="16684" customFormat="false" ht="15" hidden="false" customHeight="false" outlineLevel="0" collapsed="false">
      <c r="A16684" s="0" t="str">
        <f aca="false">_xlfn.BAHTTEXT(81)</f>
        <v>แปดสิบเอ็ดบาทถ้วน</v>
      </c>
      <c r="B16684" s="0" t="s">
        <v>16530</v>
      </c>
    </row>
    <row r="16685" customFormat="false" ht="15" hidden="false" customHeight="false" outlineLevel="0" collapsed="false">
      <c r="A16685" s="0" t="str">
        <f aca="false">_xlfn.BAHTTEXT(91)</f>
        <v>เก้าสิบเอ็ดบาทถ้วน</v>
      </c>
      <c r="B16685" s="0" t="s">
        <v>16531</v>
      </c>
    </row>
    <row r="16686" customFormat="false" ht="15" hidden="false" customHeight="false" outlineLevel="0" collapsed="false">
      <c r="A16686" s="0" t="str">
        <f aca="false">_xlfn.BAHTTEXT(99)</f>
        <v>เก้าสิบเก้าบาทถ้วน</v>
      </c>
      <c r="B16686" s="0" t="s">
        <v>16532</v>
      </c>
    </row>
    <row r="16687" customFormat="false" ht="15" hidden="false" customHeight="false" outlineLevel="0" collapsed="false">
      <c r="A16687" s="0" t="str">
        <f aca="false">_xlfn.BAHTTEXT(100)</f>
        <v>หนึ่งร้อยบาทถ้วน</v>
      </c>
      <c r="B16687" s="0" t="s">
        <v>16533</v>
      </c>
    </row>
    <row r="16688" customFormat="false" ht="15" hidden="false" customHeight="false" outlineLevel="0" collapsed="false">
      <c r="A16688" s="0" t="str">
        <f aca="false">_xlfn.BAHTTEXT(101)</f>
        <v>หนึ่งร้อยหนึ่งบาทถ้วน</v>
      </c>
      <c r="B16688" s="0" t="s">
        <v>16534</v>
      </c>
    </row>
    <row r="16689" customFormat="false" ht="15" hidden="false" customHeight="false" outlineLevel="0" collapsed="false">
      <c r="A16689" s="0" t="str">
        <f aca="false">_xlfn.BAHTTEXT(102)</f>
        <v>หนึ่งร้อยสองบาทถ้วน</v>
      </c>
      <c r="B16689" s="0" t="s">
        <v>16535</v>
      </c>
    </row>
    <row r="16690" customFormat="false" ht="15" hidden="false" customHeight="false" outlineLevel="0" collapsed="false">
      <c r="A16690" s="0" t="str">
        <f aca="false">_xlfn.BAHTTEXT(110)</f>
        <v>หนึ่งร้อยสิบบาทถ้วน</v>
      </c>
      <c r="B16690" s="0" t="s">
        <v>16536</v>
      </c>
    </row>
    <row r="16691" customFormat="false" ht="15" hidden="false" customHeight="false" outlineLevel="0" collapsed="false">
      <c r="A16691" s="0" t="str">
        <f aca="false">_xlfn.BAHTTEXT(111)</f>
        <v>หนึ่งร้อยสิบเอ็ดบาทถ้วน</v>
      </c>
      <c r="B16691" s="0" t="s">
        <v>16537</v>
      </c>
    </row>
    <row r="16692" customFormat="false" ht="15" hidden="false" customHeight="false" outlineLevel="0" collapsed="false">
      <c r="A16692" s="0" t="str">
        <f aca="false">_xlfn.BAHTTEXT(112)</f>
        <v>หนึ่งร้อยสิบสองบาทถ้วน</v>
      </c>
      <c r="B16692" s="0" t="s">
        <v>16538</v>
      </c>
    </row>
    <row r="16693" customFormat="false" ht="15" hidden="false" customHeight="false" outlineLevel="0" collapsed="false">
      <c r="A16693" s="0" t="str">
        <f aca="false">_xlfn.BAHTTEXT(120)</f>
        <v>หนึ่งร้อยยี่สิบบาทถ้วน</v>
      </c>
      <c r="B16693" s="0" t="s">
        <v>16539</v>
      </c>
    </row>
    <row r="16694" customFormat="false" ht="15" hidden="false" customHeight="false" outlineLevel="0" collapsed="false">
      <c r="A16694" s="0" t="str">
        <f aca="false">_xlfn.BAHTTEXT(121)</f>
        <v>หนึ่งร้อยยี่สิบเอ็ดบาทถ้วน</v>
      </c>
      <c r="B16694" s="0" t="s">
        <v>16540</v>
      </c>
    </row>
    <row r="16695" customFormat="false" ht="15" hidden="false" customHeight="false" outlineLevel="0" collapsed="false">
      <c r="A16695" s="0" t="str">
        <f aca="false">_xlfn.BAHTTEXT(200)</f>
        <v>สองร้อยบาทถ้วน</v>
      </c>
      <c r="B16695" s="0" t="s">
        <v>16541</v>
      </c>
    </row>
    <row r="16696" customFormat="false" ht="15" hidden="false" customHeight="false" outlineLevel="0" collapsed="false">
      <c r="A16696" s="0" t="str">
        <f aca="false">_xlfn.BAHTTEXT(201)</f>
        <v>สองร้อยหนึ่งบาทถ้วน</v>
      </c>
      <c r="B16696" s="0" t="s">
        <v>16542</v>
      </c>
    </row>
    <row r="16697" customFormat="false" ht="15" hidden="false" customHeight="false" outlineLevel="0" collapsed="false">
      <c r="A16697" s="0" t="str">
        <f aca="false">_xlfn.BAHTTEXT(210)</f>
        <v>สองร้อยสิบบาทถ้วน</v>
      </c>
      <c r="B16697" s="0" t="s">
        <v>16543</v>
      </c>
    </row>
    <row r="16698" customFormat="false" ht="15" hidden="false" customHeight="false" outlineLevel="0" collapsed="false">
      <c r="A16698" s="0" t="str">
        <f aca="false">_xlfn.BAHTTEXT(211)</f>
        <v>สองร้อยสิบเอ็ดบาทถ้วน</v>
      </c>
      <c r="B16698" s="0" t="s">
        <v>16544</v>
      </c>
    </row>
    <row r="16699" customFormat="false" ht="15" hidden="false" customHeight="false" outlineLevel="0" collapsed="false">
      <c r="A16699" s="0" t="str">
        <f aca="false">_xlfn.BAHTTEXT(1000)</f>
        <v>หนึ่งพันบาทถ้วน</v>
      </c>
      <c r="B16699" s="0" t="s">
        <v>16545</v>
      </c>
    </row>
    <row r="16700" customFormat="false" ht="15" hidden="false" customHeight="false" outlineLevel="0" collapsed="false">
      <c r="A16700" s="0" t="str">
        <f aca="false">_xlfn.BAHTTEXT(1001)</f>
        <v>หนึ่งพันหนึ่งบาทถ้วน</v>
      </c>
      <c r="B16700" s="0" t="s">
        <v>16546</v>
      </c>
    </row>
    <row r="16701" customFormat="false" ht="15" hidden="false" customHeight="false" outlineLevel="0" collapsed="false">
      <c r="A16701" s="0" t="str">
        <f aca="false">_xlfn.BAHTTEXT(1010)</f>
        <v>หนึ่งพันสิบบาทถ้วน</v>
      </c>
      <c r="B16701" s="0" t="s">
        <v>16547</v>
      </c>
    </row>
    <row r="16702" customFormat="false" ht="15" hidden="false" customHeight="false" outlineLevel="0" collapsed="false">
      <c r="A16702" s="0" t="str">
        <f aca="false">_xlfn.BAHTTEXT(1011)</f>
        <v>หนึ่งพันสิบเอ็ดบาทถ้วน</v>
      </c>
      <c r="B16702" s="0" t="s">
        <v>16548</v>
      </c>
    </row>
    <row r="16703" customFormat="false" ht="15" hidden="false" customHeight="false" outlineLevel="0" collapsed="false">
      <c r="A16703" s="0" t="str">
        <f aca="false">_xlfn.BAHTTEXT(1021)</f>
        <v>หนึ่งพันยี่สิบเอ็ดบาทถ้วน</v>
      </c>
      <c r="B16703" s="0" t="s">
        <v>16549</v>
      </c>
    </row>
    <row r="16704" customFormat="false" ht="15" hidden="false" customHeight="false" outlineLevel="0" collapsed="false">
      <c r="A16704" s="0" t="str">
        <f aca="false">_xlfn.BAHTTEXT(1100)</f>
        <v>หนึ่งพันหนึ่งร้อยบาทถ้วน</v>
      </c>
      <c r="B16704" s="0" t="s">
        <v>16550</v>
      </c>
    </row>
    <row r="16705" customFormat="false" ht="15" hidden="false" customHeight="false" outlineLevel="0" collapsed="false">
      <c r="A16705" s="0" t="str">
        <f aca="false">_xlfn.BAHTTEXT(1101)</f>
        <v>หนึ่งพันหนึ่งร้อยหนึ่งบาทถ้วน</v>
      </c>
      <c r="B16705" s="0" t="s">
        <v>16551</v>
      </c>
    </row>
    <row r="16706" customFormat="false" ht="15" hidden="false" customHeight="false" outlineLevel="0" collapsed="false">
      <c r="A16706" s="0" t="str">
        <f aca="false">_xlfn.BAHTTEXT(1111)</f>
        <v>หนึ่งพันหนึ่งร้อยสิบเอ็ดบาทถ้วน</v>
      </c>
      <c r="B16706" s="0" t="s">
        <v>16552</v>
      </c>
    </row>
    <row r="16707" customFormat="false" ht="15" hidden="false" customHeight="false" outlineLevel="0" collapsed="false">
      <c r="A16707" s="0" t="str">
        <f aca="false">_xlfn.BAHTTEXT(2000)</f>
        <v>สองพันบาทถ้วน</v>
      </c>
      <c r="B16707" s="0" t="s">
        <v>16553</v>
      </c>
    </row>
    <row r="16708" customFormat="false" ht="15" hidden="false" customHeight="false" outlineLevel="0" collapsed="false">
      <c r="A16708" s="0" t="str">
        <f aca="false">_xlfn.BAHTTEXT(2001)</f>
        <v>สองพันหนึ่งบาทถ้วน</v>
      </c>
      <c r="B16708" s="0" t="s">
        <v>16554</v>
      </c>
    </row>
    <row r="16709" customFormat="false" ht="15" hidden="false" customHeight="false" outlineLevel="0" collapsed="false">
      <c r="A16709" s="0" t="str">
        <f aca="false">_xlfn.BAHTTEXT(9999)</f>
        <v>เก้าพันเก้าร้อยเก้าสิบเก้าบาทถ้วน</v>
      </c>
      <c r="B16709" s="0" t="s">
        <v>16555</v>
      </c>
    </row>
    <row r="16710" customFormat="false" ht="15" hidden="false" customHeight="false" outlineLevel="0" collapsed="false">
      <c r="A16710" s="0" t="str">
        <f aca="false">_xlfn.BAHTTEXT(10000)</f>
        <v>หนึ่งหมื่นบาทถ้วน</v>
      </c>
      <c r="B16710" s="0" t="s">
        <v>16556</v>
      </c>
    </row>
    <row r="16711" customFormat="false" ht="15" hidden="false" customHeight="false" outlineLevel="0" collapsed="false">
      <c r="A16711" s="0" t="str">
        <f aca="false">_xlfn.BAHTTEXT(10001)</f>
        <v>หนึ่งหมื่นหนึ่งบาทถ้วน</v>
      </c>
      <c r="B16711" s="0" t="s">
        <v>16557</v>
      </c>
    </row>
    <row r="16712" customFormat="false" ht="15" hidden="false" customHeight="false" outlineLevel="0" collapsed="false">
      <c r="A16712" s="0" t="str">
        <f aca="false">_xlfn.BAHTTEXT(10011)</f>
        <v>หนึ่งหมื่นสิบเอ็ดบาทถ้วน</v>
      </c>
      <c r="B16712" s="0" t="s">
        <v>16558</v>
      </c>
    </row>
    <row r="16713" customFormat="false" ht="15" hidden="false" customHeight="false" outlineLevel="0" collapsed="false">
      <c r="A16713" s="0" t="str">
        <f aca="false">_xlfn.BAHTTEXT(10101)</f>
        <v>หนึ่งหมื่นหนึ่งร้อยหนึ่งบาทถ้วน</v>
      </c>
      <c r="B16713" s="0" t="s">
        <v>16559</v>
      </c>
    </row>
    <row r="16714" customFormat="false" ht="15" hidden="false" customHeight="false" outlineLevel="0" collapsed="false">
      <c r="A16714" s="0" t="str">
        <f aca="false">_xlfn.BAHTTEXT(11000)</f>
        <v>หนึ่งหมื่นหนึ่งพันบาทถ้วน</v>
      </c>
      <c r="B16714" s="0" t="s">
        <v>16560</v>
      </c>
    </row>
    <row r="16715" customFormat="false" ht="15" hidden="false" customHeight="false" outlineLevel="0" collapsed="false">
      <c r="A16715" s="0" t="str">
        <f aca="false">_xlfn.BAHTTEXT(100000)</f>
        <v>หนึ่งแสนบาทถ้วน</v>
      </c>
      <c r="B16715" s="0" t="s">
        <v>16561</v>
      </c>
    </row>
    <row r="16716" customFormat="false" ht="15" hidden="false" customHeight="false" outlineLevel="0" collapsed="false">
      <c r="A16716" s="0" t="str">
        <f aca="false">_xlfn.BAHTTEXT(100001)</f>
        <v>หนึ่งแสนหนึ่งบาทถ้วน</v>
      </c>
      <c r="B16716" s="0" t="s">
        <v>16562</v>
      </c>
    </row>
    <row r="16717" customFormat="false" ht="15" hidden="false" customHeight="false" outlineLevel="0" collapsed="false">
      <c r="A16717" s="0" t="str">
        <f aca="false">_xlfn.BAHTTEXT(100011)</f>
        <v>หนึ่งแสนสิบเอ็ดบาทถ้วน</v>
      </c>
      <c r="B16717" s="0" t="s">
        <v>16563</v>
      </c>
    </row>
    <row r="16718" customFormat="false" ht="15" hidden="false" customHeight="false" outlineLevel="0" collapsed="false">
      <c r="A16718" s="0" t="str">
        <f aca="false">_xlfn.BAHTTEXT(110000)</f>
        <v>หนึ่งแสนหนึ่งหมื่นบาทถ้วน</v>
      </c>
      <c r="B16718" s="0" t="s">
        <v>16564</v>
      </c>
    </row>
    <row r="16719" customFormat="false" ht="15" hidden="false" customHeight="false" outlineLevel="0" collapsed="false">
      <c r="A16719" s="0" t="str">
        <f aca="false">_xlfn.BAHTTEXT(111111)</f>
        <v>หนึ่งแสนหนึ่งหมื่นหนึ่งพันหนึ่งร้อยสิบเอ็ดบาทถ้วน</v>
      </c>
      <c r="B16719" s="0" t="s">
        <v>16565</v>
      </c>
    </row>
    <row r="16720" customFormat="false" ht="15" hidden="false" customHeight="false" outlineLevel="0" collapsed="false">
      <c r="A16720" s="0" t="str">
        <f aca="false">_xlfn.BAHTTEXT(200000)</f>
        <v>สองแสนบาทถ้วน</v>
      </c>
      <c r="B16720" s="0" t="s">
        <v>16566</v>
      </c>
    </row>
    <row r="16721" customFormat="false" ht="15" hidden="false" customHeight="false" outlineLevel="0" collapsed="false">
      <c r="A16721" s="0" t="str">
        <f aca="false">_xlfn.BAHTTEXT(999999)</f>
        <v>เก้าแสนเก้าหมื่นเก้าพันเก้าร้อยเก้าสิบเก้าบาทถ้วน</v>
      </c>
      <c r="B16721" s="0" t="s">
        <v>16567</v>
      </c>
    </row>
    <row r="16722" customFormat="false" ht="15" hidden="false" customHeight="false" outlineLevel="0" collapsed="false">
      <c r="A16722" s="0" t="str">
        <f aca="false">_xlfn.BAHTTEXT(1000000)</f>
        <v>หนึ่งล้านบาทถ้วน</v>
      </c>
      <c r="B16722" s="0" t="s">
        <v>16568</v>
      </c>
    </row>
    <row r="16723" customFormat="false" ht="15" hidden="false" customHeight="false" outlineLevel="0" collapsed="false">
      <c r="A16723" s="0" t="str">
        <f aca="false">_xlfn.BAHTTEXT(1000001)</f>
        <v>หนึ่งล้านหนึ่งบาทถ้วน</v>
      </c>
      <c r="B16723" s="0" t="s">
        <v>16569</v>
      </c>
    </row>
    <row r="16724" customFormat="false" ht="15" hidden="false" customHeight="false" outlineLevel="0" collapsed="false">
      <c r="A16724" s="0" t="str">
        <f aca="false">_xlfn.BAHTTEXT(1000011)</f>
        <v>หนึ่งล้านสิบเอ็ดบาทถ้วน</v>
      </c>
      <c r="B16724" s="0" t="s">
        <v>16570</v>
      </c>
    </row>
    <row r="16725" customFormat="false" ht="15" hidden="false" customHeight="false" outlineLevel="0" collapsed="false">
      <c r="A16725" s="0" t="str">
        <f aca="false">_xlfn.BAHTTEXT(1000021)</f>
        <v>หนึ่งล้านยี่สิบเอ็ดบาทถ้วน</v>
      </c>
      <c r="B16725" s="0" t="s">
        <v>16571</v>
      </c>
    </row>
    <row r="16726" customFormat="false" ht="15" hidden="false" customHeight="false" outlineLevel="0" collapsed="false">
      <c r="A16726" s="0" t="str">
        <f aca="false">_xlfn.BAHTTEXT(1000100)</f>
        <v>หนึ่งล้านหนึ่งร้อยบาทถ้วน</v>
      </c>
      <c r="B16726" s="0" t="s">
        <v>16572</v>
      </c>
    </row>
    <row r="16727" customFormat="false" ht="15" hidden="false" customHeight="false" outlineLevel="0" collapsed="false">
      <c r="A16727" s="0" t="str">
        <f aca="false">_xlfn.BAHTTEXT(1010000)</f>
        <v>หนึ่งล้านหนึ่งหมื่นบาทถ้วน</v>
      </c>
      <c r="B16727" s="0" t="s">
        <v>16573</v>
      </c>
    </row>
    <row r="16728" customFormat="false" ht="15" hidden="false" customHeight="false" outlineLevel="0" collapsed="false">
      <c r="A16728" s="0" t="str">
        <f aca="false">_xlfn.BAHTTEXT(1100000)</f>
        <v>หนึ่งล้านหนึ่งแสนบาทถ้วน</v>
      </c>
      <c r="B16728" s="0" t="s">
        <v>16574</v>
      </c>
    </row>
    <row r="16729" customFormat="false" ht="15" hidden="false" customHeight="false" outlineLevel="0" collapsed="false">
      <c r="A16729" s="0" t="str">
        <f aca="false">_xlfn.BAHTTEXT(1500000)</f>
        <v>หนึ่งล้านห้าแสนบาทถ้วน</v>
      </c>
      <c r="B16729" s="0" t="s">
        <v>16575</v>
      </c>
    </row>
    <row r="16730" customFormat="false" ht="15" hidden="false" customHeight="false" outlineLevel="0" collapsed="false">
      <c r="A16730" s="0" t="str">
        <f aca="false">_xlfn.BAHTTEXT(2000000)</f>
        <v>สองล้านบาทถ้วน</v>
      </c>
      <c r="B16730" s="0" t="s">
        <v>16576</v>
      </c>
    </row>
    <row r="16731" customFormat="false" ht="15" hidden="false" customHeight="false" outlineLevel="0" collapsed="false">
      <c r="A16731" s="0" t="str">
        <f aca="false">_xlfn.BAHTTEXT(2000001)</f>
        <v>สองล้านหนึ่งบาทถ้วน</v>
      </c>
      <c r="B16731" s="0" t="s">
        <v>16577</v>
      </c>
    </row>
    <row r="16732" customFormat="false" ht="15" hidden="false" customHeight="false" outlineLevel="0" collapsed="false">
      <c r="A16732" s="0" t="str">
        <f aca="false">_xlfn.BAHTTEXT(10000000)</f>
        <v>สิบล้านบาทถ้วน</v>
      </c>
      <c r="B16732" s="0" t="s">
        <v>16578</v>
      </c>
    </row>
    <row r="16733" customFormat="false" ht="15" hidden="false" customHeight="false" outlineLevel="0" collapsed="false">
      <c r="A16733" s="0" t="str">
        <f aca="false">_xlfn.BAHTTEXT(12345678)</f>
        <v>สิบสองล้านสามแสนสี่หมื่นห้าพันหกร้อยเจ็ดสิบแปดบาทถ้วน</v>
      </c>
      <c r="B16733" s="0" t="s">
        <v>16579</v>
      </c>
    </row>
    <row r="16734" customFormat="false" ht="15" hidden="false" customHeight="false" outlineLevel="0" collapsed="false">
      <c r="A16734" s="0" t="str">
        <f aca="false">_xlfn.BAHTTEXT(100000000)</f>
        <v>หนึ่งร้อยล้านบาทถ้วน</v>
      </c>
      <c r="B16734" s="0" t="s">
        <v>16580</v>
      </c>
    </row>
    <row r="16735" customFormat="false" ht="15" hidden="false" customHeight="false" outlineLevel="0" collapsed="false">
      <c r="A16735" s="0" t="str">
        <f aca="false">_xlfn.BAHTTEXT(123456789)</f>
        <v>หนึ่งร้อยยี่สิบสามล้านสี่แสนห้าหมื่นหกพันเจ็ดร้อยแปดสิบเก้าบาทถ้วน</v>
      </c>
      <c r="B16735" s="0" t="s">
        <v>16581</v>
      </c>
    </row>
    <row r="16736" customFormat="false" ht="15" hidden="false" customHeight="false" outlineLevel="0" collapsed="false">
      <c r="A16736" s="0" t="str">
        <f aca="false">_xlfn.BAHTTEXT(1000000000)</f>
        <v>หนึ่งพันล้านบาทถ้วน</v>
      </c>
      <c r="B16736" s="0" t="s">
        <v>16582</v>
      </c>
    </row>
    <row r="16737" customFormat="false" ht="15" hidden="false" customHeight="false" outlineLevel="0" collapsed="false">
      <c r="A16737" s="0" t="str">
        <f aca="false">_xlfn.BAHTTEXT(1000001000)</f>
        <v>หนึ่งพันล้านหนึ่งพันบาทถ้วน</v>
      </c>
      <c r="B16737" s="0" t="s">
        <v>16583</v>
      </c>
    </row>
    <row r="16738" customFormat="false" ht="15" hidden="false" customHeight="false" outlineLevel="0" collapsed="false">
      <c r="A16738" s="0" t="str">
        <f aca="false">_xlfn.BAHTTEXT(1234567890)</f>
        <v>หนึ่งพันสองร้อยสามสิบสี่ล้านห้าแสนหกหมื่นเจ็ดพันแปดร้อยเก้าสิบบาทถ้วน</v>
      </c>
      <c r="B16738" s="0" t="s">
        <v>16584</v>
      </c>
    </row>
    <row r="16739" customFormat="false" ht="15" hidden="false" customHeight="false" outlineLevel="0" collapsed="false">
      <c r="A16739" s="0" t="str">
        <f aca="false">_xlfn.BAHTTEXT(1000000000000)</f>
        <v>หนึ่งล้านล้านบาทถ้วน</v>
      </c>
      <c r="B16739" s="0" t="s">
        <v>16585</v>
      </c>
    </row>
    <row r="16740" customFormat="false" ht="15" hidden="false" customHeight="false" outlineLevel="0" collapsed="false">
      <c r="A16740" s="0" t="str">
        <f aca="false">_xlfn.BAHTTEXT(1234567890123)</f>
        <v>หนึ่งล้านสองแสนสามหมื่นสี่พันห้าร้อยหกสิบเจ็ดล้านแปดแสนเก้าหมื่นหนึ่งร้อยยี่สิบสามบาทถ้วน</v>
      </c>
      <c r="B16740" s="0" t="s">
        <v>16586</v>
      </c>
    </row>
    <row r="16741" customFormat="false" ht="15" hidden="false" customHeight="false" outlineLevel="0" collapsed="false">
      <c r="A16741" s="0" t="str">
        <f aca="false">_xlfn.BAHTTEXT(999999999999999)</f>
        <v>เก้าร้อยเก้าสิบเก้าล้านเก้าแสนเก้าหมื่นเก้าพันเก้าร้อยเก้าสิบเก้าล้านเก้าแสนเก้าหมื่นเก้าพันเก้าร้อยเก้าสิบเก้าบาทถ้วน</v>
      </c>
      <c r="B16741" s="0" t="s">
        <v>16587</v>
      </c>
    </row>
    <row r="16742" customFormat="false" ht="15" hidden="false" customHeight="false" outlineLevel="0" collapsed="false">
      <c r="A16742" s="0" t="str">
        <f aca="false">_xlfn.BAHTTEXT(1000000000000000)</f>
        <v>หนึ่งพันล้านล้านบาทถ้วน</v>
      </c>
      <c r="B16742" s="0" t="s">
        <v>16588</v>
      </c>
    </row>
    <row r="16743" customFormat="false" ht="15" hidden="false" customHeight="false" outlineLevel="0" collapsed="false">
      <c r="A16743" s="0" t="str">
        <f aca="false">_xlfn.BAHTTEXT(1E+016)</f>
        <v>หนึ่งหมื่นล้านล้านบาทถ้วน</v>
      </c>
      <c r="B16743" s="0" t="s">
        <v>16589</v>
      </c>
    </row>
    <row r="16744" customFormat="false" ht="15" hidden="false" customHeight="false" outlineLevel="0" collapsed="false">
      <c r="A16744" s="0" t="str">
        <f aca="false">_xlfn.BAHTTEXT(1E+018)</f>
        <v>หนึ่งล้านล้านล้านบาทถ้วน</v>
      </c>
      <c r="B16744" s="0" t="s">
        <v>16590</v>
      </c>
    </row>
    <row r="16745" customFormat="false" ht="15" hidden="false" customHeight="false" outlineLevel="0" collapsed="false">
      <c r="A16745" s="0" t="str">
        <f aca="false">_xlfn.BAHTTEXT(1E+021)</f>
        <v>หนึ่งพันล้านล้านล้านบาทถ้วน</v>
      </c>
      <c r="B16745" s="0" t="s">
        <v>16591</v>
      </c>
    </row>
    <row r="16746" customFormat="false" ht="15" hidden="false" customHeight="false" outlineLevel="0" collapsed="false">
      <c r="A16746" s="0" t="str">
        <f aca="false">_xlfn.BAHTTEXT(0.01)</f>
        <v>หนึ่งสตางค์</v>
      </c>
      <c r="B16746" s="0" t="s">
        <v>16592</v>
      </c>
    </row>
    <row r="16747" customFormat="false" ht="15" hidden="false" customHeight="false" outlineLevel="0" collapsed="false">
      <c r="A16747" s="0" t="str">
        <f aca="false">_xlfn.BAHTTEXT(0.02)</f>
        <v>สองสตางค์</v>
      </c>
      <c r="B16747" s="0" t="s">
        <v>16593</v>
      </c>
    </row>
    <row r="16748" customFormat="false" ht="15" hidden="false" customHeight="false" outlineLevel="0" collapsed="false">
      <c r="A16748" s="0" t="str">
        <f aca="false">_xlfn.BAHTTEXT(0.1)</f>
        <v>สิบสตางค์</v>
      </c>
      <c r="B16748" s="0" t="s">
        <v>16594</v>
      </c>
    </row>
    <row r="16749" customFormat="false" ht="15" hidden="false" customHeight="false" outlineLevel="0" collapsed="false">
      <c r="A16749" s="0" t="str">
        <f aca="false">_xlfn.BAHTTEXT(0.11)</f>
        <v>สิบเอ็ดสตางค์</v>
      </c>
      <c r="B16749" s="0" t="s">
        <v>16595</v>
      </c>
    </row>
    <row r="16750" customFormat="false" ht="15" hidden="false" customHeight="false" outlineLevel="0" collapsed="false">
      <c r="A16750" s="0" t="str">
        <f aca="false">_xlfn.BAHTTEXT(0.21)</f>
        <v>ยี่สิบเอ็ดสตางค์</v>
      </c>
      <c r="B16750" s="0" t="s">
        <v>16596</v>
      </c>
    </row>
    <row r="16751" customFormat="false" ht="15" hidden="false" customHeight="false" outlineLevel="0" collapsed="false">
      <c r="A16751" s="0" t="str">
        <f aca="false">_xlfn.BAHTTEXT(0.99)</f>
        <v>เก้าสิบเก้าสตางค์</v>
      </c>
      <c r="B16751" s="0" t="s">
        <v>16597</v>
      </c>
    </row>
    <row r="16752" customFormat="false" ht="15" hidden="false" customHeight="false" outlineLevel="0" collapsed="false">
      <c r="A16752" s="0" t="str">
        <f aca="false">_xlfn.BAHTTEXT(0.999)</f>
        <v>หนึ่งบาทถ้วน</v>
      </c>
      <c r="B16752" s="0" t="s">
        <v>16598</v>
      </c>
    </row>
    <row r="16753" customFormat="false" ht="15" hidden="false" customHeight="false" outlineLevel="0" collapsed="false">
      <c r="A16753" s="0" t="str">
        <f aca="false">_xlfn.BAHTTEXT(0.995)</f>
        <v>หนึ่งบาทถ้วน</v>
      </c>
      <c r="B16753" s="0" t="s">
        <v>16599</v>
      </c>
    </row>
    <row r="16754" customFormat="false" ht="15" hidden="false" customHeight="false" outlineLevel="0" collapsed="false">
      <c r="A16754" s="0" t="str">
        <f aca="false">_xlfn.BAHTTEXT(0.994)</f>
        <v>เก้าสิบเก้าสตางค์</v>
      </c>
      <c r="B16754" s="0" t="s">
        <v>16600</v>
      </c>
    </row>
    <row r="16755" customFormat="false" ht="15" hidden="false" customHeight="false" outlineLevel="0" collapsed="false">
      <c r="A16755" s="0" t="str">
        <f aca="false">_xlfn.BAHTTEXT(1.005)</f>
        <v>หนึ่งบาทหนึ่งสตางค์</v>
      </c>
      <c r="B16755" s="0" t="s">
        <v>16601</v>
      </c>
    </row>
    <row r="16756" customFormat="false" ht="15" hidden="false" customHeight="false" outlineLevel="0" collapsed="false">
      <c r="A16756" s="0" t="str">
        <f aca="false">_xlfn.BAHTTEXT(1.234)</f>
        <v>หนึ่งบาทยี่สิบสามสตางค์</v>
      </c>
      <c r="B16756" s="0" t="s">
        <v>16602</v>
      </c>
    </row>
    <row r="16757" customFormat="false" ht="15" hidden="false" customHeight="false" outlineLevel="0" collapsed="false">
      <c r="A16757" s="0" t="str">
        <f aca="false">_xlfn.BAHTTEXT(1.5)</f>
        <v>หนึ่งบาทห้าสิบสตางค์</v>
      </c>
      <c r="B16757" s="0" t="s">
        <v>16603</v>
      </c>
    </row>
    <row r="16758" customFormat="false" ht="15" hidden="false" customHeight="false" outlineLevel="0" collapsed="false">
      <c r="A16758" s="0" t="str">
        <f aca="false">_xlfn.BAHTTEXT(2.5)</f>
        <v>สองบาทห้าสิบสตางค์</v>
      </c>
      <c r="B16758" s="0" t="s">
        <v>16604</v>
      </c>
    </row>
    <row r="16759" customFormat="false" ht="15" hidden="false" customHeight="false" outlineLevel="0" collapsed="false">
      <c r="A16759" s="0" t="str">
        <f aca="false">_xlfn.BAHTTEXT(21.21)</f>
        <v>ยี่สิบเอ็ดบาทยี่สิบเอ็ดสตางค์</v>
      </c>
      <c r="B16759" s="0" t="s">
        <v>16605</v>
      </c>
    </row>
    <row r="16760" customFormat="false" ht="15" hidden="false" customHeight="false" outlineLevel="0" collapsed="false">
      <c r="A16760" s="0" t="str">
        <f aca="false">_xlfn.BAHTTEXT(100.01)</f>
        <v>หนึ่งร้อยบาทหนึ่งสตางค์</v>
      </c>
      <c r="B16760" s="0" t="s">
        <v>16606</v>
      </c>
    </row>
    <row r="16761" customFormat="false" ht="15" hidden="false" customHeight="false" outlineLevel="0" collapsed="false">
      <c r="A16761" s="0" t="str">
        <f aca="false">_xlfn.BAHTTEXT(1000.1)</f>
        <v>หนึ่งพันบาทสิบสตางค์</v>
      </c>
      <c r="B16761" s="0" t="s">
        <v>16607</v>
      </c>
    </row>
    <row r="16762" customFormat="false" ht="15" hidden="false" customHeight="false" outlineLevel="0" collapsed="false">
      <c r="A16762" s="0" t="str">
        <f aca="false">_xlfn.BAHTTEXT(1234.56)</f>
        <v>หนึ่งพันสองร้อยสามสิบสี่บาทห้าสิบหกสตางค์</v>
      </c>
      <c r="B16762" s="0" t="s">
        <v>16608</v>
      </c>
    </row>
    <row r="16763" customFormat="false" ht="15" hidden="false" customHeight="false" outlineLevel="0" collapsed="false">
      <c r="A16763" s="0" t="str">
        <f aca="false">_xlfn.BAHTTEXT(-1)</f>
        <v>ลบหนึ่งบาทถ้วน</v>
      </c>
      <c r="B16763" s="0" t="s">
        <v>16609</v>
      </c>
    </row>
    <row r="16764" customFormat="false" ht="15" hidden="false" customHeight="false" outlineLevel="0" collapsed="false">
      <c r="A16764" s="0" t="str">
        <f aca="false">_xlfn.BAHTTEXT(-0.01)</f>
        <v>ลบหนึ่งสตางค์</v>
      </c>
      <c r="B16764" s="0" t="s">
        <v>16610</v>
      </c>
    </row>
    <row r="16765" customFormat="false" ht="15" hidden="false" customHeight="false" outlineLevel="0" collapsed="false">
      <c r="A16765" s="0" t="str">
        <f aca="false">_xlfn.BAHTTEXT(-0.5)</f>
        <v>ลบห้าสิบสตางค์</v>
      </c>
      <c r="B16765" s="0" t="s">
        <v>16611</v>
      </c>
    </row>
    <row r="16766" customFormat="false" ht="15" hidden="false" customHeight="false" outlineLevel="0" collapsed="false">
      <c r="A16766" s="0" t="str">
        <f aca="false">_xlfn.BAHTTEXT(-21)</f>
        <v>ลบยี่สิบเอ็ดบาทถ้วน</v>
      </c>
      <c r="B16766" s="0" t="s">
        <v>16612</v>
      </c>
    </row>
    <row r="16767" customFormat="false" ht="15" hidden="false" customHeight="false" outlineLevel="0" collapsed="false">
      <c r="A16767" s="0" t="str">
        <f aca="false">_xlfn.BAHTTEXT(-1234.56)</f>
        <v>ลบหนึ่งพันสองร้อยสามสิบสี่บาทห้าสิบหกสตางค์</v>
      </c>
      <c r="B16767" s="0" t="s">
        <v>16613</v>
      </c>
    </row>
    <row r="16768" customFormat="false" ht="15" hidden="false" customHeight="false" outlineLevel="0" collapsed="false">
      <c r="A16768" s="0" t="str">
        <f aca="false">_xlfn.BAHTTEXT(-0.004)</f>
        <v>ศูนย์บาทถ้วน</v>
      </c>
      <c r="B16768" s="0" t="s">
        <v>16614</v>
      </c>
    </row>
    <row r="16769" customFormat="false" ht="15" hidden="false" customHeight="false" outlineLevel="0" collapsed="false">
      <c r="A16769" s="0" t="str">
        <f aca="false">_xlfn.BAHTTEXT(-0.005)</f>
        <v>ลบหนึ่งสตางค์</v>
      </c>
      <c r="B16769" s="0" t="s">
        <v>16615</v>
      </c>
    </row>
    <row r="16770" customFormat="false" ht="15" hidden="false" customHeight="false" outlineLevel="0" collapsed="false">
      <c r="A16770" s="0" t="str">
        <f aca="false">_xlfn.BAHTTEXT(0.004)</f>
        <v>ศูนย์บาทถ้วน</v>
      </c>
      <c r="B16770" s="0" t="s">
        <v>16616</v>
      </c>
    </row>
    <row r="16771" customFormat="false" ht="15" hidden="false" customHeight="false" outlineLevel="0" collapsed="false">
      <c r="A16771" s="0" t="str">
        <f aca="false">_xlfn.BAHTTEXT(0.005)</f>
        <v>หนึ่งสตางค์</v>
      </c>
      <c r="B16771" s="0" t="s">
        <v>16617</v>
      </c>
    </row>
    <row r="16772" customFormat="false" ht="15" hidden="false" customHeight="false" outlineLevel="0" collapsed="false">
      <c r="A16772" s="0" t="str">
        <f aca="false">_xlfn.BAHTTEXT(0.0049)</f>
        <v>ศูนย์บาทถ้วน</v>
      </c>
      <c r="B16772" s="0" t="s">
        <v>16618</v>
      </c>
    </row>
    <row r="16773" customFormat="false" ht="15" hidden="false" customHeight="false" outlineLevel="0" collapsed="false">
      <c r="A16773" s="0" t="str">
        <f aca="false">_xlfn.BAHTTEXT(999999.999)</f>
        <v>หนึ่งล้านบาทถ้วน</v>
      </c>
      <c r="B16773" s="0" t="s">
        <v>16619</v>
      </c>
    </row>
    <row r="16774" customFormat="false" ht="15" hidden="false" customHeight="false" outlineLevel="0" collapsed="false">
      <c r="A16774" s="0" t="str">
        <f aca="false">_xlfn.BAHTTEXT(99.995)</f>
        <v>หนึ่งร้อยบาทถ้วน</v>
      </c>
      <c r="B16774" s="0" t="s">
        <v>16620</v>
      </c>
    </row>
    <row r="16775" customFormat="false" ht="15" hidden="false" customHeight="false" outlineLevel="0" collapsed="false">
      <c r="A16775" s="0" t="str">
        <f aca="false">_xlfn.BAHTTEXT(0.0000000001)</f>
        <v>ศูนย์บาทถ้วน</v>
      </c>
      <c r="B16775" s="0" t="s">
        <v>16621</v>
      </c>
    </row>
    <row r="16776" customFormat="false" ht="15" hidden="false" customHeight="false" outlineLevel="0" collapsed="false">
      <c r="A16776" s="0" t="str">
        <f aca="false">_xlfn.BAHTTEXT(1E+300)</f>
        <v>หนึ่ง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ล้านบาทถ้วน</v>
      </c>
      <c r="B16776" s="0" t="s">
        <v>16622</v>
      </c>
    </row>
    <row r="16777" customFormat="false" ht="15" hidden="false" customHeight="false" outlineLevel="0" collapsed="false">
      <c r="A16777" s="0" t="str">
        <f aca="false">_xlfn.BAHTTEXT("5")</f>
        <v>ห้าบาทถ้วน</v>
      </c>
      <c r="B16777" s="0" t="s">
        <v>16623</v>
      </c>
    </row>
    <row r="16778" customFormat="false" ht="15" hidden="false" customHeight="false" outlineLevel="0" collapsed="false">
      <c r="A16778" s="0" t="e">
        <f aca="false">_xlfn.BAHTTEXT("x")</f>
        <v>#VALUE!</v>
      </c>
      <c r="B16778" s="0" t="s">
        <v>16624</v>
      </c>
    </row>
    <row r="16779" customFormat="false" ht="15" hidden="false" customHeight="false" outlineLevel="0" collapsed="false">
      <c r="A16779" s="0" t="e">
        <f aca="false">_xlfn.BAHTTEXT("")</f>
        <v>#VALUE!</v>
      </c>
      <c r="B16779" s="0" t="s">
        <v>16625</v>
      </c>
    </row>
    <row r="16780" customFormat="false" ht="15" hidden="false" customHeight="false" outlineLevel="0" collapsed="false">
      <c r="A16780" s="0" t="str">
        <f aca="false">_xlfn.BAHTTEXT(TRUE())</f>
        <v>หนึ่งบาทถ้วน</v>
      </c>
      <c r="B16780" s="0" t="s">
        <v>16626</v>
      </c>
    </row>
    <row r="16781" customFormat="false" ht="15" hidden="false" customHeight="false" outlineLevel="0" collapsed="false">
      <c r="A16781" s="0" t="str">
        <f aca="false">_xlfn.BAHTTEXT(FALSE())</f>
        <v>ศูนย์บาทถ้วน</v>
      </c>
      <c r="B16781" s="0" t="s">
        <v>16627</v>
      </c>
    </row>
    <row r="16782" customFormat="false" ht="15" hidden="false" customHeight="false" outlineLevel="0" collapsed="false">
      <c r="A16782" s="0" t="str">
        <f aca="false">_xlfn.BAHTTEXT(Data!D1)</f>
        <v>ศูนย์บาทถ้วน</v>
      </c>
      <c r="B16782" s="0" t="s">
        <v>16628</v>
      </c>
    </row>
    <row r="16783" customFormat="false" ht="15" hidden="false" customHeight="false" outlineLevel="0" collapsed="false">
      <c r="A16783" s="0" t="str">
        <f aca="false">_xlfn.BAHTTEXT(Data!A1)</f>
        <v>ห้าบาทถ้วน</v>
      </c>
      <c r="B16783" s="0" t="s">
        <v>16629</v>
      </c>
    </row>
    <row r="16784" customFormat="false" ht="15" hidden="false" customHeight="false" outlineLevel="0" collapsed="false">
      <c r="A16784" s="0" t="e">
        <f aca="false">_xlfn.BAHTTEXT(NA())</f>
        <v>#N/A</v>
      </c>
      <c r="B16784" s="0" t="s">
        <v>16630</v>
      </c>
    </row>
    <row r="16785" customFormat="false" ht="15" hidden="false" customHeight="false" outlineLevel="0" collapsed="false">
      <c r="A16785" s="0" t="str">
        <f aca="false">_xlfn.BAHTTEXT(DATE(2024,1,15))</f>
        <v>สี่หมื่นห้าพันสามร้อยหกบาทถ้วน</v>
      </c>
      <c r="B16785" s="0" t="s">
        <v>16631</v>
      </c>
    </row>
    <row r="16786" customFormat="false" ht="15" hidden="false" customHeight="false" outlineLevel="0" collapsed="false">
      <c r="A16786" s="0" t="str">
        <f aca="false">_xlfn.BAHTTEXT(1/3)</f>
        <v>สามสิบสามสตางค์</v>
      </c>
      <c r="B16786" s="0" t="s">
        <v>16632</v>
      </c>
    </row>
    <row r="16787" customFormat="false" ht="15" hidden="false" customHeight="false" outlineLevel="0" collapsed="false">
      <c r="A16787" s="0" t="str">
        <f aca="false">_xlfn.BAHTTEXT(2/3)</f>
        <v>หกสิบเจ็ดสตางค์</v>
      </c>
      <c r="B16787" s="0" t="s">
        <v>16633</v>
      </c>
    </row>
    <row r="16788" customFormat="false" ht="15" hidden="false" customHeight="false" outlineLevel="0" collapsed="false">
      <c r="A16788" s="0" t="str">
        <f aca="false">_xlfn.BAHTTEXT(1E+020)</f>
        <v>หนึ่งร้อยล้านล้านล้านบาทถ้วน</v>
      </c>
      <c r="B16788" s="0" t="s">
        <v>16634</v>
      </c>
    </row>
    <row r="16789" customFormat="false" ht="15" hidden="false" customHeight="false" outlineLevel="0" collapsed="false">
      <c r="A16789" s="0" t="str">
        <f aca="false">_xlfn.BAHTTEXT(123456.789)</f>
        <v>หนึ่งแสนสองหมื่นสามพันสี่ร้อยห้าสิบหกบาทเจ็ดสิบเก้าสตางค์</v>
      </c>
      <c r="B16789" s="0" t="s">
        <v>16635</v>
      </c>
    </row>
    <row r="16790" customFormat="false" ht="15" hidden="false" customHeight="false" outlineLevel="0" collapsed="false">
      <c r="A16790" s="0" t="e">
        <f aca="false">_xlfn.BAHTTEXT()</f>
        <v>#VALUE!</v>
      </c>
      <c r="B16790" s="0" t="s">
        <v>16636</v>
      </c>
    </row>
    <row r="16791" customFormat="false" ht="15" hidden="false" customHeight="false" outlineLevel="0" collapsed="false">
      <c r="A16791" s="0" t="e">
        <f aca="false">_xlfn.BAHTTEXT(1,2)</f>
        <v>#VALUE!</v>
      </c>
      <c r="B16791" s="0" t="s">
        <v>16637</v>
      </c>
    </row>
    <row r="16792" customFormat="false" ht="15" hidden="false" customHeight="false" outlineLevel="0" collapsed="false">
      <c r="A16792" s="0" t="e">
        <f aca="false">_xlfn.BAHTTEXT(Data!A1:A3)</f>
        <v>#VALUE!</v>
      </c>
      <c r="B16792" s="0" t="s">
        <v>16638</v>
      </c>
    </row>
    <row r="16793" customFormat="false" ht="15" hidden="false" customHeight="false" outlineLevel="0" collapsed="false">
      <c r="A16793" s="0" t="str">
        <f aca="false">_xlfn.ORG.LIBREOFFICE.REGEX("abc","b")</f>
        <v>b</v>
      </c>
      <c r="B16793" s="0" t="s">
        <v>16639</v>
      </c>
    </row>
    <row r="16794" customFormat="false" ht="15" hidden="false" customHeight="false" outlineLevel="0" collapsed="false">
      <c r="A16794" s="0" t="e">
        <f aca="false">_xlfn.ORG.LIBREOFFICE.REGEX("abc","B")</f>
        <v>#N/A</v>
      </c>
      <c r="B16794" s="0" t="s">
        <v>16640</v>
      </c>
    </row>
    <row r="16795" customFormat="false" ht="15" hidden="false" customHeight="false" outlineLevel="0" collapsed="false">
      <c r="A16795" s="0" t="e">
        <f aca="false">_xlfn.ORG.LIBREOFFICE.REGEX("ABC","b")</f>
        <v>#N/A</v>
      </c>
      <c r="B16795" s="0" t="s">
        <v>16641</v>
      </c>
    </row>
    <row r="16796" customFormat="false" ht="15" hidden="false" customHeight="false" outlineLevel="0" collapsed="false">
      <c r="A16796" s="0" t="str">
        <f aca="false">_xlfn.ORG.LIBREOFFICE.REGEX("abc","b","X")</f>
        <v>aXc</v>
      </c>
      <c r="B16796" s="0" t="s">
        <v>16642</v>
      </c>
    </row>
    <row r="16797" customFormat="false" ht="15" hidden="false" customHeight="false" outlineLevel="0" collapsed="false">
      <c r="A16797" s="0" t="str">
        <f aca="false">_xlfn.ORG.LIBREOFFICE.REGEX("abc","B","X")</f>
        <v>abc</v>
      </c>
      <c r="B16797" s="0" t="s">
        <v>16643</v>
      </c>
    </row>
    <row r="16798" customFormat="false" ht="15" hidden="false" customHeight="false" outlineLevel="0" collapsed="false">
      <c r="A16798" s="0" t="str">
        <f aca="false">_xlfn.ORG.LIBREOFFICE.REGEX("abc123","[0-9]+")</f>
        <v>123</v>
      </c>
      <c r="B16798" s="0" t="s">
        <v>16644</v>
      </c>
    </row>
    <row r="16799" customFormat="false" ht="15" hidden="false" customHeight="false" outlineLevel="0" collapsed="false">
      <c r="A16799" s="0" t="str">
        <f aca="false">_xlfn.ORG.LIBREOFFICE.REGEX("abc123","[0-9]+","X")</f>
        <v>abcX</v>
      </c>
      <c r="B16799" s="0" t="s">
        <v>16645</v>
      </c>
    </row>
    <row r="16800" customFormat="false" ht="15" hidden="false" customHeight="false" outlineLevel="0" collapsed="false">
      <c r="A16800" s="0" t="str">
        <f aca="false">_xlfn.ORG.LIBREOFFICE.REGEX("abc123abc","abc","X",2)</f>
        <v>abc123X</v>
      </c>
      <c r="B16800" s="0" t="s">
        <v>16646</v>
      </c>
    </row>
    <row r="16801" customFormat="false" ht="15" hidden="false" customHeight="false" outlineLevel="0" collapsed="false">
      <c r="A16801" s="0" t="str">
        <f aca="false">_xlfn.ORG.LIBREOFFICE.REGEX("abc123abc","abc","X","g")</f>
        <v>X123X</v>
      </c>
      <c r="B16801" s="0" t="s">
        <v>16647</v>
      </c>
    </row>
    <row r="16802" customFormat="false" ht="15" hidden="false" customHeight="false" outlineLevel="0" collapsed="false">
      <c r="A16802" s="0" t="str">
        <f aca="false">_xlfn.ORG.LIBREOFFICE.REGEX("abc","(a)(b)","$2$1")</f>
        <v>bac</v>
      </c>
      <c r="B16802" s="0" t="s">
        <v>16648</v>
      </c>
    </row>
    <row r="16803" customFormat="false" ht="15" hidden="false" customHeight="false" outlineLevel="0" collapsed="false">
      <c r="A16803" s="0" t="e">
        <f aca="false">_xlfn.ORG.LIBREOFFICE.REGEX("abc","(a)(b)",,2)</f>
        <v>#N/A</v>
      </c>
      <c r="B16803" s="0" t="s">
        <v>16649</v>
      </c>
    </row>
    <row r="16804" customFormat="false" ht="15" hidden="false" customHeight="false" outlineLevel="0" collapsed="false">
      <c r="A16804" s="0" t="e">
        <f aca="false">_xlfn.ORG.LIBREOFFICE.REGEX("abc","x")</f>
        <v>#N/A</v>
      </c>
      <c r="B16804" s="0" t="s">
        <v>16650</v>
      </c>
    </row>
    <row r="16805" customFormat="false" ht="15" hidden="false" customHeight="false" outlineLevel="0" collapsed="false">
      <c r="A16805" s="0" t="str">
        <f aca="false">_xlfn.ORG.LIBREOFFICE.REGEX("abc","(b)","[$0]")</f>
        <v>a[b]c</v>
      </c>
      <c r="B16805" s="0" t="s">
        <v>16651</v>
      </c>
    </row>
    <row r="16806" customFormat="false" ht="15" hidden="false" customHeight="false" outlineLevel="0" collapsed="false">
      <c r="A16806" s="0" t="str">
        <f aca="false">_xlfn.ORG.LIBREOFFICE.REGEX("abc","(b)","[$1]")</f>
        <v>a[b]c</v>
      </c>
      <c r="B16806" s="0" t="s">
        <v>16652</v>
      </c>
    </row>
    <row r="16807" customFormat="false" ht="15" hidden="false" customHeight="false" outlineLevel="0" collapsed="false">
      <c r="A16807" s="0" t="e">
        <f aca="false">_xlfn.ORG.LIBREOFFICE.REGEX("abc","(b)","[$2]")</f>
        <v>#VALUE!</v>
      </c>
      <c r="B16807" s="0" t="s">
        <v>16653</v>
      </c>
    </row>
    <row r="16808" customFormat="false" ht="15" hidden="false" customHeight="false" outlineLevel="0" collapsed="false">
      <c r="A16808" s="0" t="str">
        <f aca="false">_xlfn.ORG.LIBREOFFICE.REGEX("abc","x","[$2]")</f>
        <v>abc</v>
      </c>
      <c r="B16808" s="0" t="s">
        <v>16654</v>
      </c>
    </row>
    <row r="16809" customFormat="false" ht="15" hidden="false" customHeight="false" outlineLevel="0" collapsed="false">
      <c r="A16809" s="0" t="str">
        <f aca="false">_xlfn.ORG.LIBREOFFICE.REGEX("abc","(b)","[\$1]")</f>
        <v>a[$1]c</v>
      </c>
      <c r="B16809" s="0" t="s">
        <v>16655</v>
      </c>
    </row>
    <row r="16810" customFormat="false" ht="15" hidden="false" customHeight="false" outlineLevel="0" collapsed="false">
      <c r="A16810" s="0" t="str">
        <f aca="false">_xlfn.ORG.LIBREOFFICE.REGEX("abc","b","\$1")</f>
        <v>a$1c</v>
      </c>
      <c r="B16810" s="0" t="s">
        <v>16656</v>
      </c>
    </row>
    <row r="16811" customFormat="false" ht="15" hidden="false" customHeight="false" outlineLevel="0" collapsed="false">
      <c r="A16811" s="0" t="str">
        <f aca="false">_xlfn.ORG.LIBREOFFICE.REGEX("abc","b","\")</f>
        <v>ac</v>
      </c>
      <c r="B16811" s="0" t="s">
        <v>16657</v>
      </c>
    </row>
    <row r="16812" customFormat="false" ht="15" hidden="false" customHeight="false" outlineLevel="0" collapsed="false">
      <c r="A16812" s="0" t="e">
        <f aca="false">_xlfn.ORG.LIBREOFFICE.REGEX("abc","(b)","[$$]")</f>
        <v>#VALUE!</v>
      </c>
      <c r="B16812" s="0" t="s">
        <v>16658</v>
      </c>
    </row>
    <row r="16813" customFormat="false" ht="15" hidden="false" customHeight="false" outlineLevel="0" collapsed="false">
      <c r="A16813" s="0" t="e">
        <f aca="false">_xlfn.ORG.LIBREOFFICE.REGEX("abc","b","$")</f>
        <v>#VALUE!</v>
      </c>
      <c r="B16813" s="0" t="s">
        <v>16659</v>
      </c>
    </row>
    <row r="16814" customFormat="false" ht="15" hidden="false" customHeight="false" outlineLevel="0" collapsed="false">
      <c r="A16814" s="0" t="e">
        <f aca="false">_xlfn.ORG.LIBREOFFICE.REGEX("abc","(b)","$a")</f>
        <v>#VALUE!</v>
      </c>
      <c r="B16814" s="0" t="s">
        <v>16660</v>
      </c>
    </row>
    <row r="16815" customFormat="false" ht="15" hidden="false" customHeight="false" outlineLevel="0" collapsed="false">
      <c r="A16815" s="0" t="e">
        <f aca="false">_xlfn.ORG.LIBREOFFICE.REGEX("abc","(b)","x$")</f>
        <v>#VALUE!</v>
      </c>
      <c r="B16815" s="0" t="s">
        <v>16661</v>
      </c>
    </row>
    <row r="16816" customFormat="false" ht="15" hidden="false" customHeight="false" outlineLevel="0" collapsed="false">
      <c r="A16816" s="0" t="str">
        <f aca="false">_xlfn.ORG.LIBREOFFICE.REGEX("abc","(b)","$10")</f>
        <v>ab0c</v>
      </c>
      <c r="B16816" s="0" t="s">
        <v>16662</v>
      </c>
    </row>
    <row r="16817" customFormat="false" ht="15" hidden="false" customHeight="false" outlineLevel="0" collapsed="false">
      <c r="A16817" s="0" t="str">
        <f aca="false">_xlfn.ORG.LIBREOFFICE.REGEX("abc","(b)","$0$0")</f>
        <v>abbc</v>
      </c>
      <c r="B16817" s="0" t="s">
        <v>16663</v>
      </c>
    </row>
    <row r="16818" customFormat="false" ht="15" hidden="false" customHeight="false" outlineLevel="0" collapsed="false">
      <c r="A16818" s="0" t="str">
        <f aca="false">_xlfn.ORG.LIBREOFFICE.REGEX("abc","(b)","$1$1")</f>
        <v>abbc</v>
      </c>
      <c r="B16818" s="0" t="s">
        <v>16664</v>
      </c>
    </row>
    <row r="16819" customFormat="false" ht="15" hidden="false" customHeight="false" outlineLevel="0" collapsed="false">
      <c r="A16819" s="0" t="str">
        <f aca="false">_xlfn.ORG.LIBREOFFICE.REGEX("abcabc","b","X",1)</f>
        <v>aXcabc</v>
      </c>
      <c r="B16819" s="0" t="s">
        <v>16665</v>
      </c>
    </row>
    <row r="16820" customFormat="false" ht="15" hidden="false" customHeight="false" outlineLevel="0" collapsed="false">
      <c r="A16820" s="0" t="str">
        <f aca="false">_xlfn.ORG.LIBREOFFICE.REGEX("abcabc","b","X",2)</f>
        <v>abcaXc</v>
      </c>
      <c r="B16820" s="0" t="s">
        <v>16666</v>
      </c>
    </row>
    <row r="16821" customFormat="false" ht="15" hidden="false" customHeight="false" outlineLevel="0" collapsed="false">
      <c r="A16821" s="0" t="str">
        <f aca="false">_xlfn.ORG.LIBREOFFICE.REGEX("abcabc","b","X",3)</f>
        <v>abcabc</v>
      </c>
      <c r="B16821" s="0" t="s">
        <v>16667</v>
      </c>
    </row>
    <row r="16822" customFormat="false" ht="15" hidden="false" customHeight="false" outlineLevel="0" collapsed="false">
      <c r="A16822" s="0" t="str">
        <f aca="false">_xlfn.ORG.LIBREOFFICE.REGEX("abcabc","b","X",0)</f>
        <v>abcabc</v>
      </c>
      <c r="B16822" s="0" t="s">
        <v>16668</v>
      </c>
    </row>
    <row r="16823" customFormat="false" ht="15" hidden="false" customHeight="false" outlineLevel="0" collapsed="false">
      <c r="A16823" s="0" t="e">
        <f aca="false">_xlfn.ORG.LIBREOFFICE.REGEX("abcabc","b","X",-1)</f>
        <v>#VALUE!</v>
      </c>
      <c r="B16823" s="0" t="s">
        <v>16669</v>
      </c>
    </row>
    <row r="16824" customFormat="false" ht="15" hidden="false" customHeight="false" outlineLevel="0" collapsed="false">
      <c r="A16824" s="0" t="str">
        <f aca="false">_xlfn.ORG.LIBREOFFICE.REGEX("abcabc","b",,2)</f>
        <v>b</v>
      </c>
      <c r="B16824" s="0" t="s">
        <v>16670</v>
      </c>
    </row>
    <row r="16825" customFormat="false" ht="15" hidden="false" customHeight="false" outlineLevel="0" collapsed="false">
      <c r="A16825" s="0" t="str">
        <f aca="false">_xlfn.ORG.LIBREOFFICE.REGEX("abcabc","b",,1)</f>
        <v>b</v>
      </c>
      <c r="B16825" s="0" t="s">
        <v>16671</v>
      </c>
    </row>
    <row r="16826" customFormat="false" ht="15" hidden="false" customHeight="false" outlineLevel="0" collapsed="false">
      <c r="A16826" s="0" t="str">
        <f aca="false">_xlfn.ORG.LIBREOFFICE.REGEX("abcabc","b",,0)</f>
        <v>abcabc</v>
      </c>
      <c r="B16826" s="0" t="s">
        <v>16672</v>
      </c>
    </row>
    <row r="16827" customFormat="false" ht="15" hidden="false" customHeight="false" outlineLevel="0" collapsed="false">
      <c r="A16827" s="0" t="e">
        <f aca="false">_xlfn.ORG.LIBREOFFICE.REGEX("abcabc","b",,3)</f>
        <v>#N/A</v>
      </c>
      <c r="B16827" s="0" t="s">
        <v>16673</v>
      </c>
    </row>
    <row r="16828" customFormat="false" ht="15" hidden="false" customHeight="false" outlineLevel="0" collapsed="false">
      <c r="A16828" s="0" t="str">
        <f aca="false">_xlfn.ORG.LIBREOFFICE.REGEX("abcabc","b","X","g")</f>
        <v>aXcaXc</v>
      </c>
      <c r="B16828" s="0" t="s">
        <v>16674</v>
      </c>
    </row>
    <row r="16829" customFormat="false" ht="15" hidden="false" customHeight="false" outlineLevel="0" collapsed="false">
      <c r="A16829" s="0" t="e">
        <f aca="false">_xlfn.ORG.LIBREOFFICE.REGEX("abcabc","b","X","G")</f>
        <v>#VALUE!</v>
      </c>
      <c r="B16829" s="0" t="s">
        <v>16675</v>
      </c>
    </row>
    <row r="16830" customFormat="false" ht="15" hidden="false" customHeight="false" outlineLevel="0" collapsed="false">
      <c r="A16830" s="0" t="e">
        <f aca="false">_xlfn.ORG.LIBREOFFICE.REGEX("abcabc","b","X","x")</f>
        <v>#VALUE!</v>
      </c>
      <c r="B16830" s="0" t="s">
        <v>16676</v>
      </c>
    </row>
    <row r="16831" customFormat="false" ht="15" hidden="false" customHeight="false" outlineLevel="0" collapsed="false">
      <c r="A16831" s="0" t="str">
        <f aca="false">_xlfn.ORG.LIBREOFFICE.REGEX("abcabc","b","X","")</f>
        <v>aXcabc</v>
      </c>
      <c r="B16831" s="0" t="s">
        <v>16677</v>
      </c>
    </row>
    <row r="16832" customFormat="false" ht="15" hidden="false" customHeight="false" outlineLevel="0" collapsed="false">
      <c r="A16832" s="0" t="str">
        <f aca="false">_xlfn.ORG.LIBREOFFICE.REGEX("abcabc","b","","g")</f>
        <v>acac</v>
      </c>
      <c r="B16832" s="0" t="s">
        <v>16678</v>
      </c>
    </row>
    <row r="16833" customFormat="false" ht="15" hidden="false" customHeight="false" outlineLevel="0" collapsed="false">
      <c r="A16833" s="0" t="str">
        <f aca="false">_xlfn.ORG.LIBREOFFICE.REGEX("abcabc","b","")</f>
        <v>acabc</v>
      </c>
      <c r="B16833" s="0" t="s">
        <v>16679</v>
      </c>
    </row>
    <row r="16834" customFormat="false" ht="15" hidden="false" customHeight="false" outlineLevel="0" collapsed="false">
      <c r="A16834" s="0" t="str">
        <f aca="false">_xlfn.ORG.LIBREOFFICE.REGEX("abcabc","b",,"g")</f>
        <v>b</v>
      </c>
      <c r="B16834" s="0" t="s">
        <v>16680</v>
      </c>
    </row>
    <row r="16835" customFormat="false" ht="15" hidden="false" customHeight="false" outlineLevel="0" collapsed="false">
      <c r="A16835" s="0" t="e">
        <f aca="false">_xlfn.ORG.LIBREOFFICE.REGEX("","a")</f>
        <v>#N/A</v>
      </c>
      <c r="B16835" s="0" t="s">
        <v>16681</v>
      </c>
    </row>
    <row r="16836" customFormat="false" ht="15" hidden="false" customHeight="false" outlineLevel="0" collapsed="false">
      <c r="A16836" s="0" t="str">
        <f aca="false">_xlfn.ORG.LIBREOFFICE.REGEX("","a","X")</f>
        <v/>
      </c>
      <c r="B16836" s="0" t="s">
        <v>16682</v>
      </c>
    </row>
    <row r="16837" customFormat="false" ht="15" hidden="false" customHeight="false" outlineLevel="0" collapsed="false">
      <c r="A16837" s="0" t="str">
        <f aca="false">_xlfn.ORG.LIBREOFFICE.REGEX("a.c","\.")</f>
        <v>.</v>
      </c>
      <c r="B16837" s="0" t="s">
        <v>16683</v>
      </c>
    </row>
    <row r="16838" customFormat="false" ht="15" hidden="false" customHeight="false" outlineLevel="0" collapsed="false">
      <c r="A16838" s="0" t="str">
        <f aca="false">_xlfn.ORG.LIBREOFFICE.REGEX("a.c",".","X","g")</f>
        <v>XXX</v>
      </c>
      <c r="B16838" s="0" t="s">
        <v>16684</v>
      </c>
    </row>
    <row r="16839" customFormat="false" ht="15" hidden="false" customHeight="false" outlineLevel="0" collapsed="false">
      <c r="A16839" s="0" t="str">
        <f aca="false">_xlfn.ORG.LIBREOFFICE.REGEX("aaa","a","b","g")</f>
        <v>bbb</v>
      </c>
      <c r="B16839" s="0" t="s">
        <v>16685</v>
      </c>
    </row>
    <row r="16840" customFormat="false" ht="15" hidden="false" customHeight="false" outlineLevel="0" collapsed="false">
      <c r="A16840" s="0" t="str">
        <f aca="false">_xlfn.ORG.LIBREOFFICE.REGEX("a1b22","\d+","&lt;$0&gt;","g")</f>
        <v>a&lt;1&gt;b&lt;22&gt;</v>
      </c>
      <c r="B16840" s="0" t="s">
        <v>16686</v>
      </c>
    </row>
    <row r="16841" customFormat="false" ht="15" hidden="false" customHeight="false" outlineLevel="0" collapsed="false">
      <c r="A16841" s="0" t="str">
        <f aca="false">_xlfn.ORG.LIBREOFFICE.REGEX("hello world","(\w+) (\w+)","$2 $1")</f>
        <v>world hello</v>
      </c>
      <c r="B16841" s="0" t="s">
        <v>16687</v>
      </c>
    </row>
    <row r="16842" customFormat="false" ht="15" hidden="false" customHeight="false" outlineLevel="0" collapsed="false">
      <c r="A16842" s="0" t="str">
        <f aca="false">_xlfn.ORG.LIBREOFFICE.REGEX("123","2")</f>
        <v>2</v>
      </c>
      <c r="B16842" s="0" t="s">
        <v>16688</v>
      </c>
    </row>
    <row r="16843" customFormat="false" ht="15" hidden="false" customHeight="false" outlineLevel="0" collapsed="false">
      <c r="A16843" s="0" t="str">
        <f aca="false">_xlfn.ORG.LIBREOFFICE.REGEX("abc","b","5")</f>
        <v>a5c</v>
      </c>
      <c r="B16843" s="0" t="s">
        <v>16689</v>
      </c>
    </row>
    <row r="16844" customFormat="false" ht="15" hidden="false" customHeight="false" outlineLevel="0" collapsed="false">
      <c r="A16844" s="0" t="str">
        <f aca="false">_xlfn.ORG.LIBREOFFICE.REGEX("abc","[a-b]+")</f>
        <v>ab</v>
      </c>
      <c r="B16844" s="0" t="s">
        <v>16690</v>
      </c>
    </row>
    <row r="16845" customFormat="false" ht="15" hidden="false" customHeight="false" outlineLevel="0" collapsed="false">
      <c r="A16845" s="0" t="str">
        <f aca="false">_xlfn.ORG.LIBREOFFICE.REGEX("abc","a|c","X","g")</f>
        <v>XbX</v>
      </c>
      <c r="B16845" s="0" t="s">
        <v>16691</v>
      </c>
    </row>
    <row r="16846" customFormat="false" ht="15" hidden="false" customHeight="false" outlineLevel="0" collapsed="false">
      <c r="A16846" s="0" t="str">
        <f aca="false">_xlfn.ORG.LIBREOFFICE.REGEX("abc","(a)|(c)","[$1$2]","g")</f>
        <v>[a]b[c]</v>
      </c>
      <c r="B16846" s="0" t="s">
        <v>16692</v>
      </c>
    </row>
    <row r="16847" customFormat="false" ht="15" hidden="false" customHeight="false" outlineLevel="0" collapsed="false">
      <c r="A16847" s="0" t="str">
        <f aca="false">_xlfn.ORG.LIBREOFFICE.REGEX("日本語","本","X")</f>
        <v>日X語</v>
      </c>
      <c r="B16847" s="0" t="s">
        <v>16693</v>
      </c>
    </row>
    <row r="16848" customFormat="false" ht="15" hidden="false" customHeight="false" outlineLevel="0" collapsed="false">
      <c r="A16848" s="0" t="str">
        <f aca="false">_xlfn.ORG.LIBREOFFICE.REGEX("abcabc","(a)(b)(c)","$3$2$1","g")</f>
        <v>cbacba</v>
      </c>
      <c r="B16848" s="0" t="s">
        <v>16694</v>
      </c>
    </row>
    <row r="16849" customFormat="false" ht="15" hidden="false" customHeight="false" outlineLevel="0" collapsed="false">
      <c r="A16849" s="0" t="str">
        <f aca="false">_xlfn.ORG.LIBREOFFICE.REGEX("abc","a{1,2}","X")</f>
        <v>Xbc</v>
      </c>
      <c r="B16849" s="0" t="s">
        <v>16695</v>
      </c>
    </row>
    <row r="16850" customFormat="false" ht="15" hidden="false" customHeight="false" outlineLevel="0" collapsed="false">
      <c r="A16850" s="0" t="str">
        <f aca="false">_xlfn.ORG.LIBREOFFICE.REGEX("aaa","a{2}","X")</f>
        <v>Xa</v>
      </c>
      <c r="B16850" s="0" t="s">
        <v>16696</v>
      </c>
    </row>
    <row r="16851" customFormat="false" ht="15" hidden="false" customHeight="false" outlineLevel="0" collapsed="false">
      <c r="A16851" s="0" t="str">
        <f aca="false">_xlfn.ORG.LIBREOFFICE.REGEX("aaa","a+?","X","g")</f>
        <v>XXX</v>
      </c>
      <c r="B16851" s="0" t="s">
        <v>16697</v>
      </c>
    </row>
    <row r="16852" customFormat="false" ht="15" hidden="false" customHeight="false" outlineLevel="0" collapsed="false">
      <c r="A16852" s="0" t="str">
        <f aca="false">_xlfn.ORG.LIBREOFFICE.REGEX("abc","[^a]","X","g")</f>
        <v>aXX</v>
      </c>
      <c r="B16852" s="0" t="s">
        <v>16698</v>
      </c>
    </row>
    <row r="16853" customFormat="false" ht="15" hidden="false" customHeight="false" outlineLevel="0" collapsed="false">
      <c r="A16853" s="0" t="str">
        <f aca="false">_xlfn.ORG.LIBREOFFICE.REGEX("é","é","X")</f>
        <v>X</v>
      </c>
      <c r="B16853" s="0" t="s">
        <v>16699</v>
      </c>
    </row>
    <row r="16854" customFormat="false" ht="15" hidden="false" customHeight="false" outlineLevel="0" collapsed="false">
      <c r="A16854" s="0" t="str">
        <f aca="false">_xlfn.ORG.LIBREOFFICE.REGEX("É","é","X")</f>
        <v>É</v>
      </c>
      <c r="B16854" s="0" t="s">
        <v>16700</v>
      </c>
    </row>
    <row r="16855" customFormat="false" ht="15" hidden="false" customHeight="false" outlineLevel="0" collapsed="false">
      <c r="A16855" s="0" t="str">
        <f aca="false">_xlfn.ORG.LIBREOFFICE.REGEX("a b","a b","X")</f>
        <v>X</v>
      </c>
      <c r="B16855" s="0" t="s">
        <v>16701</v>
      </c>
    </row>
    <row r="16856" customFormat="false" ht="15" hidden="false" customHeight="false" outlineLevel="0" collapsed="false">
      <c r="A16856" s="0" t="str">
        <f aca="false">_xlfn.ORG.LIBREOFFICE.REGEX("xay","a","X",2)</f>
        <v>xay</v>
      </c>
      <c r="B16856" s="0" t="s">
        <v>16702</v>
      </c>
    </row>
    <row r="16857" customFormat="false" ht="15" hidden="false" customHeight="false" outlineLevel="0" collapsed="false">
      <c r="A16857" s="0" t="str">
        <f aca="false">_xlfn.ORG.LIBREOFFICE.REGEX("xay","a","X",1)</f>
        <v>xXy</v>
      </c>
      <c r="B16857" s="0" t="s">
        <v>16703</v>
      </c>
    </row>
    <row r="16858" customFormat="false" ht="15" hidden="false" customHeight="false" outlineLevel="0" collapsed="false">
      <c r="A16858" s="0" t="str">
        <f aca="false">_xlfn.ORG.LIBREOFFICE.REGEX("a,b",",","$0$0")</f>
        <v>a,,b</v>
      </c>
      <c r="B16858" s="0" t="s">
        <v>16704</v>
      </c>
    </row>
    <row r="16859" customFormat="false" ht="15" hidden="false" customHeight="false" outlineLevel="0" collapsed="false">
      <c r="A16859" s="0" t="str">
        <f aca="false">_xlfn.ORG.LIBREOFFICE.REGEX("abc","b","$0$0$0","g")</f>
        <v>abbbc</v>
      </c>
      <c r="B16859" s="0" t="s">
        <v>16705</v>
      </c>
    </row>
    <row r="16860" customFormat="false" ht="15" hidden="false" customHeight="false" outlineLevel="0" collapsed="false">
      <c r="A16860" s="0" t="str">
        <f aca="false">_xlfn.ORG.LIBREOFFICE.REGEX("a1b2c3","[a-c]\d","&lt;$0&gt;","g")</f>
        <v>&lt;a1&gt;&lt;b2&gt;&lt;c3&gt;</v>
      </c>
      <c r="B16860" s="0" t="s">
        <v>16706</v>
      </c>
    </row>
    <row r="16861" customFormat="false" ht="15" hidden="false" customHeight="false" outlineLevel="0" collapsed="false">
      <c r="A16861" s="0" t="str">
        <f aca="false">_xlfn.ORG.LIBREOFFICE.REGEX("a1b2c3","(?:[a-c])(\d)","$1","g")</f>
        <v>123</v>
      </c>
      <c r="B16861" s="0" t="s">
        <v>16707</v>
      </c>
    </row>
    <row r="16862" customFormat="false" ht="15" hidden="false" customHeight="false" outlineLevel="0" collapsed="false">
      <c r="A16862" s="0" t="str">
        <f aca="false">_xlfn.ORG.LIBREOFFICE.REGEX("aaa","a","b",2)</f>
        <v>aba</v>
      </c>
      <c r="B16862" s="0" t="s">
        <v>16708</v>
      </c>
    </row>
    <row r="16863" customFormat="false" ht="15" hidden="false" customHeight="false" outlineLevel="0" collapsed="false">
      <c r="A16863" s="0" t="str">
        <f aca="false">_xlfn.ORG.LIBREOFFICE.REGEX("aaa","aa","b","g")</f>
        <v>ba</v>
      </c>
      <c r="B16863" s="0" t="s">
        <v>16709</v>
      </c>
    </row>
    <row r="16864" customFormat="false" ht="15" hidden="false" customHeight="false" outlineLevel="0" collapsed="false">
      <c r="A16864" s="0" t="str">
        <f aca="false">_xlfn.ORG.LIBREOFFICE.REGEX("abab","(ab)+","X")</f>
        <v>X</v>
      </c>
      <c r="B16864" s="0" t="s">
        <v>16710</v>
      </c>
    </row>
    <row r="16865" customFormat="false" ht="15" hidden="false" customHeight="false" outlineLevel="0" collapsed="false">
      <c r="A16865" s="0" t="str">
        <f aca="false">_xlfn.ORG.LIBREOFFICE.REGEX("abab","(ab)+?","X")</f>
        <v>Xab</v>
      </c>
      <c r="B16865" s="0" t="s">
        <v>16711</v>
      </c>
    </row>
    <row r="16866" customFormat="false" ht="15" hidden="false" customHeight="false" outlineLevel="0" collapsed="false">
      <c r="A16866" s="0" t="str">
        <f aca="false">_xlfn.ORG.LIBREOFFICE.REGEX("foo.bar","\.","_")</f>
        <v>foo_bar</v>
      </c>
      <c r="B16866" s="0" t="s">
        <v>16712</v>
      </c>
    </row>
    <row r="16867" customFormat="false" ht="15" hidden="false" customHeight="false" outlineLevel="0" collapsed="false">
      <c r="A16867" s="0" t="str">
        <f aca="false">_xlfn.ORG.LIBREOFFICE.REGEX("foo bar","\s","_")</f>
        <v>foo_bar</v>
      </c>
      <c r="B16867" s="0" t="s">
        <v>16713</v>
      </c>
    </row>
    <row r="16868" customFormat="false" ht="15" hidden="false" customHeight="false" outlineLevel="0" collapsed="false">
      <c r="A16868" s="0" t="str">
        <f aca="false">_xlfn.ORG.LIBREOFFICE.REGEX("x","x","\$1")</f>
        <v>$1</v>
      </c>
      <c r="B16868" s="0" t="s">
        <v>16714</v>
      </c>
    </row>
    <row r="16869" customFormat="false" ht="15" hidden="false" customHeight="false" outlineLevel="0" collapsed="false">
      <c r="A16869" s="0" t="e">
        <f aca="false">_xlfn.ORG.LIBREOFFICE.REGEX(NA(),"a")</f>
        <v>#N/A</v>
      </c>
      <c r="B16869" s="0" t="s">
        <v>16715</v>
      </c>
    </row>
    <row r="16870" customFormat="false" ht="15" hidden="false" customHeight="false" outlineLevel="0" collapsed="false">
      <c r="A16870" s="0" t="e">
        <f aca="false">_xlfn.ORG.LIBREOFFICE.REGEX("abc",NA())</f>
        <v>#N/A</v>
      </c>
      <c r="B16870" s="0" t="s">
        <v>16716</v>
      </c>
    </row>
    <row r="16871" customFormat="false" ht="15" hidden="false" customHeight="false" outlineLevel="0" collapsed="false">
      <c r="A16871" s="0" t="str">
        <f aca="false">_xlfn.ORG.LIBREOFFICE.REGEX(123,"2")</f>
        <v>2</v>
      </c>
      <c r="B16871" s="0" t="s">
        <v>16717</v>
      </c>
    </row>
    <row r="16872" customFormat="false" ht="15" hidden="false" customHeight="false" outlineLevel="0" collapsed="false">
      <c r="A16872" s="0" t="str">
        <f aca="false">_xlfn.ORG.LIBREOFFICE.REGEX("abc","b",5)</f>
        <v>a5c</v>
      </c>
      <c r="B16872" s="0" t="s">
        <v>16718</v>
      </c>
    </row>
    <row r="16873" customFormat="false" ht="15" hidden="false" customHeight="false" outlineLevel="0" collapsed="false">
      <c r="A16873" s="0" t="str">
        <f aca="false">_xlfn.ORG.LIBREOFFICE.REGEX("abc","b",TRUE())</f>
        <v>a1c</v>
      </c>
      <c r="B16873" s="0" t="s">
        <v>16719</v>
      </c>
    </row>
    <row r="16874" customFormat="false" ht="15" hidden="false" customHeight="false" outlineLevel="0" collapsed="false">
      <c r="A16874" s="0" t="str">
        <f aca="false">_xlfn.ORG.LIBREOFFICE.REGEX("abc","b","X",TRUE())</f>
        <v>aXc</v>
      </c>
      <c r="B16874" s="0" t="s">
        <v>16720</v>
      </c>
    </row>
    <row r="16875" customFormat="false" ht="15" hidden="false" customHeight="false" outlineLevel="0" collapsed="false">
      <c r="A16875" s="0" t="str">
        <f aca="false">_xlfn.ORG.LIBREOFFICE.REGEX("abc","b","X",1.5)</f>
        <v>aXc</v>
      </c>
      <c r="B16875" s="0" t="s">
        <v>16721</v>
      </c>
    </row>
    <row r="16876" customFormat="false" ht="15" hidden="false" customHeight="false" outlineLevel="0" collapsed="false">
      <c r="A16876" s="0" t="e">
        <f aca="false">_xlfn.ORG.LIBREOFFICE.REGEX("abc","b","X","1")</f>
        <v>#VALUE!</v>
      </c>
      <c r="B16876" s="0" t="s">
        <v>16722</v>
      </c>
    </row>
    <row r="16877" customFormat="false" ht="15" hidden="false" customHeight="false" outlineLevel="0" collapsed="false">
      <c r="A16877" s="0" t="e">
        <f aca="false">_xlfn.ORG.LIBREOFFICE.REGEX("abc")</f>
        <v>#VALUE!</v>
      </c>
      <c r="B16877" s="0" t="s">
        <v>16723</v>
      </c>
    </row>
    <row r="16878" customFormat="false" ht="15" hidden="false" customHeight="false" outlineLevel="0" collapsed="false">
      <c r="A16878" s="0" t="e">
        <f aca="false">_xlfn.ORG.LIBREOFFICE.REGEX("abc","b","X",1,2)</f>
        <v>#VALUE!</v>
      </c>
      <c r="B16878" s="0" t="s">
        <v>16724</v>
      </c>
    </row>
    <row r="16879" customFormat="false" ht="15" hidden="false" customHeight="false" outlineLevel="0" collapsed="false">
      <c r="A16879" s="0" t="str">
        <f aca="false">_xlfn.ORG.LIBREOFFICE.REGEX(Data!B1,"p+")</f>
        <v>pp</v>
      </c>
      <c r="B16879" s="0" t="s">
        <v>16725</v>
      </c>
    </row>
    <row r="16880" customFormat="false" ht="15" hidden="false" customHeight="false" outlineLevel="0" collapsed="false">
      <c r="A16880" s="0" t="str">
        <f aca="false">_xlfn.ORG.LIBREOFFICE.REGEX(Data!A1,"5")</f>
        <v>5</v>
      </c>
      <c r="B16880" s="0" t="s">
        <v>16726</v>
      </c>
    </row>
    <row r="16881" customFormat="false" ht="15" hidden="false" customHeight="false" outlineLevel="0" collapsed="false">
      <c r="A16881" s="0" t="str">
        <f aca="false">_xlfn.ORG.LIBREOFFICE.REGEX(Data!D1,"a","X")</f>
        <v/>
      </c>
      <c r="B16881" s="0" t="s">
        <v>16727</v>
      </c>
    </row>
    <row r="16882" customFormat="false" ht="15" hidden="false" customHeight="false" outlineLevel="0" collapsed="false">
      <c r="A16882" s="0" t="e">
        <f aca="false">_xlfn.ORG.LIBREOFFICE.REGEX(Data!B1:B3,"a")</f>
        <v>#VALUE!</v>
      </c>
      <c r="B16882" s="0" t="s">
        <v>16728</v>
      </c>
    </row>
    <row r="16883" customFormat="false" ht="15" hidden="false" customHeight="false" outlineLevel="0" collapsed="false">
      <c r="A16883" s="0" t="n">
        <f aca="false">IMABS("3+4i")</f>
        <v>5</v>
      </c>
      <c r="B16883" s="0" t="s">
        <v>16729</v>
      </c>
    </row>
    <row r="16884" customFormat="false" ht="15" hidden="false" customHeight="false" outlineLevel="0" collapsed="false">
      <c r="A16884" s="0" t="n">
        <f aca="false">IMABS("3-4i")</f>
        <v>5</v>
      </c>
      <c r="B16884" s="0" t="s">
        <v>16730</v>
      </c>
    </row>
    <row r="16885" customFormat="false" ht="15" hidden="false" customHeight="false" outlineLevel="0" collapsed="false">
      <c r="A16885" s="0" t="n">
        <f aca="false">IMABS("4i")</f>
        <v>4</v>
      </c>
      <c r="B16885" s="0" t="s">
        <v>16731</v>
      </c>
    </row>
    <row r="16886" customFormat="false" ht="15" hidden="false" customHeight="false" outlineLevel="0" collapsed="false">
      <c r="A16886" s="0" t="n">
        <f aca="false">IMABS("-4i")</f>
        <v>4</v>
      </c>
      <c r="B16886" s="0" t="s">
        <v>16732</v>
      </c>
    </row>
    <row r="16887" customFormat="false" ht="15" hidden="false" customHeight="false" outlineLevel="0" collapsed="false">
      <c r="A16887" s="0" t="n">
        <f aca="false">IMABS("i")</f>
        <v>1</v>
      </c>
      <c r="B16887" s="0" t="s">
        <v>16733</v>
      </c>
    </row>
    <row r="16888" customFormat="false" ht="15" hidden="false" customHeight="false" outlineLevel="0" collapsed="false">
      <c r="A16888" s="0" t="n">
        <f aca="false">IMABS("-i")</f>
        <v>1</v>
      </c>
      <c r="B16888" s="0" t="s">
        <v>16734</v>
      </c>
    </row>
    <row r="16889" customFormat="false" ht="15" hidden="false" customHeight="false" outlineLevel="0" collapsed="false">
      <c r="A16889" s="0" t="n">
        <f aca="false">IMABS("3")</f>
        <v>3</v>
      </c>
      <c r="B16889" s="0" t="s">
        <v>16735</v>
      </c>
    </row>
    <row r="16890" customFormat="false" ht="15" hidden="false" customHeight="false" outlineLevel="0" collapsed="false">
      <c r="A16890" s="0" t="n">
        <f aca="false">IMABS("0")</f>
        <v>0</v>
      </c>
      <c r="B16890" s="0" t="s">
        <v>16736</v>
      </c>
    </row>
    <row r="16891" customFormat="false" ht="15" hidden="false" customHeight="false" outlineLevel="0" collapsed="false">
      <c r="A16891" s="0" t="n">
        <f aca="false">IMABS("1+i")</f>
        <v>1.4142135623731</v>
      </c>
      <c r="B16891" s="0" t="s">
        <v>16737</v>
      </c>
    </row>
    <row r="16892" customFormat="false" ht="15" hidden="false" customHeight="false" outlineLevel="0" collapsed="false">
      <c r="A16892" s="0" t="n">
        <f aca="false">IMABS("1-i")</f>
        <v>1.4142135623731</v>
      </c>
      <c r="B16892" s="0" t="s">
        <v>16738</v>
      </c>
    </row>
    <row r="16893" customFormat="false" ht="15" hidden="false" customHeight="false" outlineLevel="0" collapsed="false">
      <c r="A16893" s="0" t="n">
        <f aca="false">IMABS("-1-i")</f>
        <v>1.4142135623731</v>
      </c>
      <c r="B16893" s="0" t="s">
        <v>16739</v>
      </c>
    </row>
    <row r="16894" customFormat="false" ht="15" hidden="false" customHeight="false" outlineLevel="0" collapsed="false">
      <c r="A16894" s="0" t="n">
        <f aca="false">IMABS("2.5+3.5i")</f>
        <v>4.30116263352131</v>
      </c>
      <c r="B16894" s="0" t="s">
        <v>16740</v>
      </c>
    </row>
    <row r="16895" customFormat="false" ht="15" hidden="false" customHeight="false" outlineLevel="0" collapsed="false">
      <c r="A16895" s="0" t="n">
        <f aca="false">IMABS("1E2+1E-2i")</f>
        <v>100.0000005</v>
      </c>
      <c r="B16895" s="0" t="s">
        <v>16741</v>
      </c>
    </row>
    <row r="16896" customFormat="false" ht="15" hidden="false" customHeight="false" outlineLevel="0" collapsed="false">
      <c r="A16896" s="0" t="n">
        <f aca="false">IMABS("3+4j")</f>
        <v>5</v>
      </c>
      <c r="B16896" s="0" t="s">
        <v>16742</v>
      </c>
    </row>
    <row r="16897" customFormat="false" ht="15" hidden="false" customHeight="false" outlineLevel="0" collapsed="false">
      <c r="A16897" s="0" t="n">
        <f aca="false">IMABS("j")</f>
        <v>1</v>
      </c>
      <c r="B16897" s="0" t="s">
        <v>16743</v>
      </c>
    </row>
    <row r="16898" customFormat="false" ht="15" hidden="false" customHeight="false" outlineLevel="0" collapsed="false">
      <c r="A16898" s="0" t="n">
        <f aca="false">IMABS("-j")</f>
        <v>1</v>
      </c>
      <c r="B16898" s="0" t="s">
        <v>16744</v>
      </c>
    </row>
    <row r="16899" customFormat="false" ht="15" hidden="false" customHeight="false" outlineLevel="0" collapsed="false">
      <c r="A16899" s="0" t="n">
        <f aca="false">IMABS("2j")</f>
        <v>2</v>
      </c>
      <c r="B16899" s="0" t="s">
        <v>16745</v>
      </c>
    </row>
    <row r="16900" customFormat="false" ht="15" hidden="false" customHeight="false" outlineLevel="0" collapsed="false">
      <c r="A16900" s="0" t="e">
        <f aca="false">IMABS("1+2k")</f>
        <v>#VALUE!</v>
      </c>
      <c r="B16900" s="0" t="s">
        <v>16746</v>
      </c>
    </row>
    <row r="16901" customFormat="false" ht="15" hidden="false" customHeight="false" outlineLevel="0" collapsed="false">
      <c r="A16901" s="0" t="n">
        <f aca="false">IMABS("+3+4i")</f>
        <v>5</v>
      </c>
      <c r="B16901" s="0" t="s">
        <v>16747</v>
      </c>
    </row>
    <row r="16902" customFormat="false" ht="15" hidden="false" customHeight="false" outlineLevel="0" collapsed="false">
      <c r="A16902" s="0" t="e">
        <f aca="false">IMABS("3+ 4i")</f>
        <v>#VALUE!</v>
      </c>
      <c r="B16902" s="0" t="s">
        <v>16748</v>
      </c>
    </row>
    <row r="16903" customFormat="false" ht="15" hidden="false" customHeight="false" outlineLevel="0" collapsed="false">
      <c r="A16903" s="0" t="e">
        <f aca="false">IMABS(" 3+4i")</f>
        <v>#VALUE!</v>
      </c>
      <c r="B16903" s="0" t="s">
        <v>16749</v>
      </c>
    </row>
    <row r="16904" customFormat="false" ht="15" hidden="false" customHeight="false" outlineLevel="0" collapsed="false">
      <c r="A16904" s="0" t="e">
        <f aca="false">IMABS("3+4I")</f>
        <v>#VALUE!</v>
      </c>
      <c r="B16904" s="0" t="s">
        <v>16750</v>
      </c>
    </row>
    <row r="16905" customFormat="false" ht="15" hidden="false" customHeight="false" outlineLevel="0" collapsed="false">
      <c r="A16905" s="0" t="e">
        <f aca="false">IMABS("3+4i ")</f>
        <v>#VALUE!</v>
      </c>
      <c r="B16905" s="0" t="s">
        <v>16751</v>
      </c>
    </row>
    <row r="16906" customFormat="false" ht="15" hidden="false" customHeight="false" outlineLevel="0" collapsed="false">
      <c r="A16906" s="0" t="e">
        <f aca="false">IMABS("1+i+j")</f>
        <v>#VALUE!</v>
      </c>
      <c r="B16906" s="0" t="s">
        <v>16752</v>
      </c>
    </row>
    <row r="16907" customFormat="false" ht="15" hidden="false" customHeight="false" outlineLevel="0" collapsed="false">
      <c r="A16907" s="0" t="e">
        <f aca="false">IMABS("abc")</f>
        <v>#VALUE!</v>
      </c>
      <c r="B16907" s="0" t="s">
        <v>16753</v>
      </c>
    </row>
    <row r="16908" customFormat="false" ht="15" hidden="false" customHeight="false" outlineLevel="0" collapsed="false">
      <c r="A16908" s="0" t="e">
        <f aca="false">IMABS("")</f>
        <v>#VALUE!</v>
      </c>
      <c r="B16908" s="0" t="s">
        <v>16754</v>
      </c>
    </row>
    <row r="16909" customFormat="false" ht="15" hidden="false" customHeight="false" outlineLevel="0" collapsed="false">
      <c r="A16909" s="0" t="e">
        <f aca="false">IMABS("i3")</f>
        <v>#VALUE!</v>
      </c>
      <c r="B16909" s="0" t="s">
        <v>16755</v>
      </c>
    </row>
    <row r="16910" customFormat="false" ht="15" hidden="false" customHeight="false" outlineLevel="0" collapsed="false">
      <c r="A16910" s="0" t="e">
        <f aca="false">IMABS("3i+4")</f>
        <v>#VALUE!</v>
      </c>
      <c r="B16910" s="0" t="s">
        <v>16756</v>
      </c>
    </row>
    <row r="16911" customFormat="false" ht="15" hidden="false" customHeight="false" outlineLevel="0" collapsed="false">
      <c r="A16911" s="0" t="e">
        <f aca="false">IMABS("(1+i)")</f>
        <v>#VALUE!</v>
      </c>
      <c r="B16911" s="0" t="s">
        <v>16757</v>
      </c>
    </row>
    <row r="16912" customFormat="false" ht="15" hidden="false" customHeight="false" outlineLevel="0" collapsed="false">
      <c r="A16912" s="0" t="n">
        <f aca="false">IMABS("1.5E300+1E300i")</f>
        <v>1.80277563773199E+300</v>
      </c>
      <c r="B16912" s="0" t="s">
        <v>16758</v>
      </c>
    </row>
    <row r="16913" customFormat="false" ht="15" hidden="false" customHeight="false" outlineLevel="0" collapsed="false">
      <c r="A16913" s="0" t="n">
        <f aca="false">IMABS("0+0i")</f>
        <v>0</v>
      </c>
      <c r="B16913" s="0" t="s">
        <v>16759</v>
      </c>
    </row>
    <row r="16914" customFormat="false" ht="15" hidden="false" customHeight="false" outlineLevel="0" collapsed="false">
      <c r="A16914" s="0" t="n">
        <f aca="false">IMABS("-0-0i")</f>
        <v>0</v>
      </c>
      <c r="B16914" s="0" t="s">
        <v>16760</v>
      </c>
    </row>
    <row r="16915" customFormat="false" ht="15" hidden="false" customHeight="false" outlineLevel="0" collapsed="false">
      <c r="A16915" s="0" t="e">
        <f aca="false">IMABS("1/2+i")</f>
        <v>#VALUE!</v>
      </c>
      <c r="B16915" s="0" t="s">
        <v>16761</v>
      </c>
    </row>
    <row r="16916" customFormat="false" ht="15" hidden="false" customHeight="false" outlineLevel="0" collapsed="false">
      <c r="A16916" s="0" t="n">
        <f aca="false">IMABS("1e1+i")</f>
        <v>10.0498756211209</v>
      </c>
      <c r="B16916" s="0" t="s">
        <v>16762</v>
      </c>
    </row>
    <row r="16917" customFormat="false" ht="15" hidden="false" customHeight="false" outlineLevel="0" collapsed="false">
      <c r="A16917" s="0" t="n">
        <f aca="false">IMABS("1+1e1i")</f>
        <v>10.0498756211209</v>
      </c>
      <c r="B16917" s="0" t="s">
        <v>16763</v>
      </c>
    </row>
    <row r="16918" customFormat="false" ht="15" hidden="false" customHeight="false" outlineLevel="0" collapsed="false">
      <c r="A16918" s="0" t="n">
        <f aca="false">IMABS(".5+.5i")</f>
        <v>0.707106781186548</v>
      </c>
      <c r="B16918" s="0" t="s">
        <v>16764</v>
      </c>
    </row>
    <row r="16919" customFormat="false" ht="15" hidden="false" customHeight="false" outlineLevel="0" collapsed="false">
      <c r="A16919" s="0" t="n">
        <f aca="false">IMABS("5.")</f>
        <v>5</v>
      </c>
      <c r="B16919" s="0" t="s">
        <v>16765</v>
      </c>
    </row>
    <row r="16920" customFormat="false" ht="15" hidden="false" customHeight="false" outlineLevel="0" collapsed="false">
      <c r="A16920" s="0" t="n">
        <f aca="false">IMABS("1,5+2i")</f>
        <v>2.5</v>
      </c>
      <c r="B16920" s="0" t="s">
        <v>16766</v>
      </c>
    </row>
    <row r="16921" customFormat="false" ht="15" hidden="false" customHeight="false" outlineLevel="0" collapsed="false">
      <c r="A16921" s="0" t="e">
        <f aca="false">IMABS("3++4i")</f>
        <v>#VALUE!</v>
      </c>
      <c r="B16921" s="0" t="s">
        <v>16767</v>
      </c>
    </row>
    <row r="16922" customFormat="false" ht="15" hidden="false" customHeight="false" outlineLevel="0" collapsed="false">
      <c r="A16922" s="0" t="e">
        <f aca="false">IMABS("3+-4i")</f>
        <v>#VALUE!</v>
      </c>
      <c r="B16922" s="0" t="s">
        <v>16768</v>
      </c>
    </row>
    <row r="16923" customFormat="false" ht="15" hidden="false" customHeight="false" outlineLevel="0" collapsed="false">
      <c r="A16923" s="0" t="e">
        <f aca="false">IMABS("--3")</f>
        <v>#VALUE!</v>
      </c>
      <c r="B16923" s="0" t="s">
        <v>16769</v>
      </c>
    </row>
    <row r="16924" customFormat="false" ht="15" hidden="false" customHeight="false" outlineLevel="0" collapsed="false">
      <c r="A16924" s="0" t="e">
        <f aca="false">IMABS("3i4")</f>
        <v>#VALUE!</v>
      </c>
      <c r="B16924" s="0" t="s">
        <v>16770</v>
      </c>
    </row>
    <row r="16925" customFormat="false" ht="15" hidden="false" customHeight="false" outlineLevel="0" collapsed="false">
      <c r="A16925" s="0" t="n">
        <f aca="false">IMABS("0.1+0.2i")</f>
        <v>0.223606797749979</v>
      </c>
      <c r="B16925" s="0" t="s">
        <v>16771</v>
      </c>
    </row>
    <row r="16926" customFormat="false" ht="15" hidden="false" customHeight="false" outlineLevel="0" collapsed="false">
      <c r="A16926" s="0" t="n">
        <f aca="false">IMABS("-2.5")</f>
        <v>2.5</v>
      </c>
      <c r="B16926" s="0" t="s">
        <v>16772</v>
      </c>
    </row>
    <row r="16927" customFormat="false" ht="15" hidden="false" customHeight="false" outlineLevel="0" collapsed="false">
      <c r="A16927" s="0" t="n">
        <f aca="false">IMABS("1E+2i")</f>
        <v>100</v>
      </c>
      <c r="B16927" s="0" t="s">
        <v>16773</v>
      </c>
    </row>
    <row r="16928" customFormat="false" ht="15" hidden="false" customHeight="false" outlineLevel="0" collapsed="false">
      <c r="A16928" s="0" t="n">
        <f aca="false">IMABS("1E-2i")</f>
        <v>0.01</v>
      </c>
      <c r="B16928" s="0" t="s">
        <v>16774</v>
      </c>
    </row>
    <row r="16929" customFormat="false" ht="15" hidden="false" customHeight="false" outlineLevel="0" collapsed="false">
      <c r="A16929" s="0" t="n">
        <f aca="false">IMABS("12345678901234567890+1i")</f>
        <v>1.23456789012346E+019</v>
      </c>
      <c r="B16929" s="0" t="s">
        <v>16775</v>
      </c>
    </row>
    <row r="16930" customFormat="false" ht="15" hidden="false" customHeight="false" outlineLevel="0" collapsed="false">
      <c r="A16930" s="0" t="e">
        <f aca="false">IMABS("1+i2")</f>
        <v>#VALUE!</v>
      </c>
      <c r="B16930" s="0" t="s">
        <v>16776</v>
      </c>
    </row>
    <row r="16931" customFormat="false" ht="15" hidden="false" customHeight="false" outlineLevel="0" collapsed="false">
      <c r="A16931" s="0" t="e">
        <f aca="false">IMABS("ii")</f>
        <v>#VALUE!</v>
      </c>
      <c r="B16931" s="0" t="s">
        <v>16777</v>
      </c>
    </row>
    <row r="16932" customFormat="false" ht="15" hidden="false" customHeight="false" outlineLevel="0" collapsed="false">
      <c r="A16932" s="0" t="e">
        <f aca="false">IMABS("3 + 4i")</f>
        <v>#VALUE!</v>
      </c>
      <c r="B16932" s="0" t="s">
        <v>16778</v>
      </c>
    </row>
    <row r="16933" customFormat="false" ht="15" hidden="false" customHeight="false" outlineLevel="0" collapsed="false">
      <c r="A16933" s="0" t="e">
        <f aca="false">IMABS("4i+3")</f>
        <v>#VALUE!</v>
      </c>
      <c r="B16933" s="0" t="s">
        <v>16779</v>
      </c>
    </row>
    <row r="16934" customFormat="false" ht="15" hidden="false" customHeight="false" outlineLevel="0" collapsed="false">
      <c r="A16934" s="0" t="n">
        <f aca="false">IMABS("1+0i")</f>
        <v>1</v>
      </c>
      <c r="B16934" s="0" t="s">
        <v>16780</v>
      </c>
    </row>
    <row r="16935" customFormat="false" ht="15" hidden="false" customHeight="false" outlineLevel="0" collapsed="false">
      <c r="A16935" s="0" t="n">
        <f aca="false">IMABS("0+1i")</f>
        <v>1</v>
      </c>
      <c r="B16935" s="0" t="s">
        <v>16781</v>
      </c>
    </row>
    <row r="16936" customFormat="false" ht="15" hidden="false" customHeight="false" outlineLevel="0" collapsed="false">
      <c r="A16936" s="0" t="n">
        <f aca="false">IMABS("0-1i")</f>
        <v>1</v>
      </c>
      <c r="B16936" s="0" t="s">
        <v>16782</v>
      </c>
    </row>
    <row r="16937" customFormat="false" ht="15" hidden="false" customHeight="false" outlineLevel="0" collapsed="false">
      <c r="A16937" s="0" t="n">
        <f aca="false">IMABS("-1+0i")</f>
        <v>1</v>
      </c>
      <c r="B16937" s="0" t="s">
        <v>16783</v>
      </c>
    </row>
    <row r="16938" customFormat="false" ht="15" hidden="false" customHeight="false" outlineLevel="0" collapsed="false">
      <c r="A16938" s="0" t="n">
        <f aca="false">IMABS("1e-10+1e-10i")</f>
        <v>1.4142135623731E-010</v>
      </c>
      <c r="B16938" s="0" t="s">
        <v>16784</v>
      </c>
    </row>
    <row r="16939" customFormat="false" ht="15" hidden="false" customHeight="false" outlineLevel="0" collapsed="false">
      <c r="A16939" s="0" t="n">
        <f aca="false">IMABS("2+0.0000001i")</f>
        <v>2</v>
      </c>
      <c r="B16939" s="0" t="s">
        <v>16785</v>
      </c>
    </row>
    <row r="16940" customFormat="false" ht="15" hidden="false" customHeight="false" outlineLevel="0" collapsed="false">
      <c r="A16940" s="0" t="e">
        <f aca="false">IMABS("TRUE")</f>
        <v>#VALUE!</v>
      </c>
      <c r="B16940" s="0" t="s">
        <v>16786</v>
      </c>
    </row>
    <row r="16941" customFormat="false" ht="15" hidden="false" customHeight="false" outlineLevel="0" collapsed="false">
      <c r="A16941" s="0" t="e">
        <f aca="false">IMABS("1+Ii")</f>
        <v>#VALUE!</v>
      </c>
      <c r="B16941" s="0" t="s">
        <v>16787</v>
      </c>
    </row>
    <row r="16942" customFormat="false" ht="15" hidden="false" customHeight="false" outlineLevel="0" collapsed="false">
      <c r="A16942" s="0" t="n">
        <f aca="false">IMABS(5)</f>
        <v>5</v>
      </c>
      <c r="B16942" s="0" t="s">
        <v>16788</v>
      </c>
    </row>
    <row r="16943" customFormat="false" ht="15" hidden="false" customHeight="false" outlineLevel="0" collapsed="false">
      <c r="A16943" s="0" t="n">
        <f aca="false">IMABS(TRUE())</f>
        <v>1</v>
      </c>
      <c r="B16943" s="0" t="s">
        <v>16789</v>
      </c>
    </row>
    <row r="16944" customFormat="false" ht="15" hidden="false" customHeight="false" outlineLevel="0" collapsed="false">
      <c r="A16944" s="0" t="e">
        <f aca="false">IMABS(Data!D1)</f>
        <v>#VALUE!</v>
      </c>
      <c r="B16944" s="0" t="s">
        <v>16790</v>
      </c>
    </row>
    <row r="16945" customFormat="false" ht="15" hidden="false" customHeight="false" outlineLevel="0" collapsed="false">
      <c r="A16945" s="0" t="n">
        <f aca="false">IMABS(Data!A1)</f>
        <v>5</v>
      </c>
      <c r="B16945" s="0" t="s">
        <v>16791</v>
      </c>
    </row>
    <row r="16946" customFormat="false" ht="15" hidden="false" customHeight="false" outlineLevel="0" collapsed="false">
      <c r="A16946" s="0" t="e">
        <f aca="false">IMABS(Data!B1)</f>
        <v>#VALUE!</v>
      </c>
      <c r="B16946" s="0" t="s">
        <v>16792</v>
      </c>
    </row>
    <row r="16947" customFormat="false" ht="15" hidden="false" customHeight="false" outlineLevel="0" collapsed="false">
      <c r="A16947" s="0" t="e">
        <f aca="false">IMABS(NA())</f>
        <v>#N/A</v>
      </c>
      <c r="B16947" s="0" t="s">
        <v>16793</v>
      </c>
    </row>
    <row r="16948" customFormat="false" ht="15" hidden="false" customHeight="false" outlineLevel="0" collapsed="false">
      <c r="A16948" s="0" t="e">
        <f aca="false">IMABS("3+4i",1)</f>
        <v>#VALUE!</v>
      </c>
      <c r="B16948" s="0" t="s">
        <v>16794</v>
      </c>
    </row>
    <row r="16949" customFormat="false" ht="15" hidden="false" customHeight="false" outlineLevel="0" collapsed="false">
      <c r="A16949" s="0" t="e">
        <f aca="false">IMABS()</f>
        <v>#VALUE!</v>
      </c>
      <c r="B16949" s="0" t="s">
        <v>16795</v>
      </c>
    </row>
    <row r="16950" customFormat="false" ht="15" hidden="false" customHeight="false" outlineLevel="0" collapsed="false">
      <c r="A16950" s="0" t="e">
        <f aca="false">IMABS(Data!A1:A3)</f>
        <v>#VALUE!</v>
      </c>
      <c r="B16950" s="0" t="s">
        <v>16796</v>
      </c>
    </row>
    <row r="16951" customFormat="false" ht="15" hidden="false" customHeight="false" outlineLevel="0" collapsed="false">
      <c r="A16951" s="0" t="n">
        <f aca="false">IMABS(-2.5)</f>
        <v>2.5</v>
      </c>
      <c r="B16951" s="0" t="s">
        <v>16797</v>
      </c>
    </row>
    <row r="16952" customFormat="false" ht="15" hidden="false" customHeight="false" outlineLevel="0" collapsed="false">
      <c r="A16952" s="0" t="n">
        <f aca="false">IMABS(1E+300)</f>
        <v>1E+300</v>
      </c>
      <c r="B16952" s="0" t="s">
        <v>16798</v>
      </c>
    </row>
    <row r="16953" customFormat="false" ht="15" hidden="false" customHeight="false" outlineLevel="0" collapsed="false">
      <c r="A16953" s="0" t="n">
        <f aca="false">IMABS(1E-300)</f>
        <v>1E-300</v>
      </c>
      <c r="B16953" s="0" t="s">
        <v>16799</v>
      </c>
    </row>
    <row r="16954" customFormat="false" ht="15" hidden="false" customHeight="false" outlineLevel="0" collapsed="false">
      <c r="A16954" s="0" t="n">
        <f aca="false">IMAGINARY("3+4i")</f>
        <v>4</v>
      </c>
      <c r="B16954" s="0" t="s">
        <v>16800</v>
      </c>
    </row>
    <row r="16955" customFormat="false" ht="15" hidden="false" customHeight="false" outlineLevel="0" collapsed="false">
      <c r="A16955" s="0" t="n">
        <f aca="false">IMAGINARY("3-4i")</f>
        <v>-4</v>
      </c>
      <c r="B16955" s="0" t="s">
        <v>16801</v>
      </c>
    </row>
    <row r="16956" customFormat="false" ht="15" hidden="false" customHeight="false" outlineLevel="0" collapsed="false">
      <c r="A16956" s="0" t="n">
        <f aca="false">IMAGINARY("4i")</f>
        <v>4</v>
      </c>
      <c r="B16956" s="0" t="s">
        <v>16802</v>
      </c>
    </row>
    <row r="16957" customFormat="false" ht="15" hidden="false" customHeight="false" outlineLevel="0" collapsed="false">
      <c r="A16957" s="0" t="n">
        <f aca="false">IMAGINARY("-4i")</f>
        <v>-4</v>
      </c>
      <c r="B16957" s="0" t="s">
        <v>16803</v>
      </c>
    </row>
    <row r="16958" customFormat="false" ht="15" hidden="false" customHeight="false" outlineLevel="0" collapsed="false">
      <c r="A16958" s="0" t="n">
        <f aca="false">IMAGINARY("i")</f>
        <v>1</v>
      </c>
      <c r="B16958" s="0" t="s">
        <v>16804</v>
      </c>
    </row>
    <row r="16959" customFormat="false" ht="15" hidden="false" customHeight="false" outlineLevel="0" collapsed="false">
      <c r="A16959" s="0" t="n">
        <f aca="false">IMAGINARY("-i")</f>
        <v>-1</v>
      </c>
      <c r="B16959" s="0" t="s">
        <v>16805</v>
      </c>
    </row>
    <row r="16960" customFormat="false" ht="15" hidden="false" customHeight="false" outlineLevel="0" collapsed="false">
      <c r="A16960" s="0" t="n">
        <f aca="false">IMAGINARY("3")</f>
        <v>0</v>
      </c>
      <c r="B16960" s="0" t="s">
        <v>16806</v>
      </c>
    </row>
    <row r="16961" customFormat="false" ht="15" hidden="false" customHeight="false" outlineLevel="0" collapsed="false">
      <c r="A16961" s="0" t="n">
        <f aca="false">IMAGINARY("0")</f>
        <v>0</v>
      </c>
      <c r="B16961" s="0" t="s">
        <v>16807</v>
      </c>
    </row>
    <row r="16962" customFormat="false" ht="15" hidden="false" customHeight="false" outlineLevel="0" collapsed="false">
      <c r="A16962" s="0" t="n">
        <f aca="false">IMAGINARY("1+i")</f>
        <v>1</v>
      </c>
      <c r="B16962" s="0" t="s">
        <v>16808</v>
      </c>
    </row>
    <row r="16963" customFormat="false" ht="15" hidden="false" customHeight="false" outlineLevel="0" collapsed="false">
      <c r="A16963" s="0" t="n">
        <f aca="false">IMAGINARY("1-i")</f>
        <v>-1</v>
      </c>
      <c r="B16963" s="0" t="s">
        <v>16809</v>
      </c>
    </row>
    <row r="16964" customFormat="false" ht="15" hidden="false" customHeight="false" outlineLevel="0" collapsed="false">
      <c r="A16964" s="0" t="n">
        <f aca="false">IMAGINARY("-1-i")</f>
        <v>-1</v>
      </c>
      <c r="B16964" s="0" t="s">
        <v>16810</v>
      </c>
    </row>
    <row r="16965" customFormat="false" ht="15" hidden="false" customHeight="false" outlineLevel="0" collapsed="false">
      <c r="A16965" s="0" t="n">
        <f aca="false">IMAGINARY("2.5+3.5i")</f>
        <v>3.5</v>
      </c>
      <c r="B16965" s="0" t="s">
        <v>16811</v>
      </c>
    </row>
    <row r="16966" customFormat="false" ht="15" hidden="false" customHeight="false" outlineLevel="0" collapsed="false">
      <c r="A16966" s="0" t="n">
        <f aca="false">IMAGINARY("1E2+1E-2i")</f>
        <v>0.01</v>
      </c>
      <c r="B16966" s="0" t="s">
        <v>16812</v>
      </c>
    </row>
    <row r="16967" customFormat="false" ht="15" hidden="false" customHeight="false" outlineLevel="0" collapsed="false">
      <c r="A16967" s="0" t="n">
        <f aca="false">IMAGINARY("3+4j")</f>
        <v>4</v>
      </c>
      <c r="B16967" s="0" t="s">
        <v>16813</v>
      </c>
    </row>
    <row r="16968" customFormat="false" ht="15" hidden="false" customHeight="false" outlineLevel="0" collapsed="false">
      <c r="A16968" s="0" t="n">
        <f aca="false">IMAGINARY("j")</f>
        <v>1</v>
      </c>
      <c r="B16968" s="0" t="s">
        <v>16814</v>
      </c>
    </row>
    <row r="16969" customFormat="false" ht="15" hidden="false" customHeight="false" outlineLevel="0" collapsed="false">
      <c r="A16969" s="0" t="n">
        <f aca="false">IMAGINARY("-j")</f>
        <v>-1</v>
      </c>
      <c r="B16969" s="0" t="s">
        <v>16815</v>
      </c>
    </row>
    <row r="16970" customFormat="false" ht="15" hidden="false" customHeight="false" outlineLevel="0" collapsed="false">
      <c r="A16970" s="0" t="n">
        <f aca="false">IMAGINARY("2j")</f>
        <v>2</v>
      </c>
      <c r="B16970" s="0" t="s">
        <v>16816</v>
      </c>
    </row>
    <row r="16971" customFormat="false" ht="15" hidden="false" customHeight="false" outlineLevel="0" collapsed="false">
      <c r="A16971" s="0" t="e">
        <f aca="false">IMAGINARY("1+2k")</f>
        <v>#VALUE!</v>
      </c>
      <c r="B16971" s="0" t="s">
        <v>16817</v>
      </c>
    </row>
    <row r="16972" customFormat="false" ht="15" hidden="false" customHeight="false" outlineLevel="0" collapsed="false">
      <c r="A16972" s="0" t="n">
        <f aca="false">IMAGINARY("+3+4i")</f>
        <v>4</v>
      </c>
      <c r="B16972" s="0" t="s">
        <v>16818</v>
      </c>
    </row>
    <row r="16973" customFormat="false" ht="15" hidden="false" customHeight="false" outlineLevel="0" collapsed="false">
      <c r="A16973" s="0" t="e">
        <f aca="false">IMAGINARY("3+ 4i")</f>
        <v>#VALUE!</v>
      </c>
      <c r="B16973" s="0" t="s">
        <v>16819</v>
      </c>
    </row>
    <row r="16974" customFormat="false" ht="15" hidden="false" customHeight="false" outlineLevel="0" collapsed="false">
      <c r="A16974" s="0" t="e">
        <f aca="false">IMAGINARY(" 3+4i")</f>
        <v>#VALUE!</v>
      </c>
      <c r="B16974" s="0" t="s">
        <v>16820</v>
      </c>
    </row>
    <row r="16975" customFormat="false" ht="15" hidden="false" customHeight="false" outlineLevel="0" collapsed="false">
      <c r="A16975" s="0" t="e">
        <f aca="false">IMAGINARY("3+4I")</f>
        <v>#VALUE!</v>
      </c>
      <c r="B16975" s="0" t="s">
        <v>16821</v>
      </c>
    </row>
    <row r="16976" customFormat="false" ht="15" hidden="false" customHeight="false" outlineLevel="0" collapsed="false">
      <c r="A16976" s="0" t="e">
        <f aca="false">IMAGINARY("3+4i ")</f>
        <v>#VALUE!</v>
      </c>
      <c r="B16976" s="0" t="s">
        <v>16822</v>
      </c>
    </row>
    <row r="16977" customFormat="false" ht="15" hidden="false" customHeight="false" outlineLevel="0" collapsed="false">
      <c r="A16977" s="0" t="e">
        <f aca="false">IMAGINARY("1+i+j")</f>
        <v>#VALUE!</v>
      </c>
      <c r="B16977" s="0" t="s">
        <v>16823</v>
      </c>
    </row>
    <row r="16978" customFormat="false" ht="15" hidden="false" customHeight="false" outlineLevel="0" collapsed="false">
      <c r="A16978" s="0" t="e">
        <f aca="false">IMAGINARY("abc")</f>
        <v>#VALUE!</v>
      </c>
      <c r="B16978" s="0" t="s">
        <v>16824</v>
      </c>
    </row>
    <row r="16979" customFormat="false" ht="15" hidden="false" customHeight="false" outlineLevel="0" collapsed="false">
      <c r="A16979" s="0" t="e">
        <f aca="false">IMAGINARY("")</f>
        <v>#VALUE!</v>
      </c>
      <c r="B16979" s="0" t="s">
        <v>16825</v>
      </c>
    </row>
    <row r="16980" customFormat="false" ht="15" hidden="false" customHeight="false" outlineLevel="0" collapsed="false">
      <c r="A16980" s="0" t="e">
        <f aca="false">IMAGINARY("i3")</f>
        <v>#VALUE!</v>
      </c>
      <c r="B16980" s="0" t="s">
        <v>16826</v>
      </c>
    </row>
    <row r="16981" customFormat="false" ht="15" hidden="false" customHeight="false" outlineLevel="0" collapsed="false">
      <c r="A16981" s="0" t="e">
        <f aca="false">IMAGINARY("3i+4")</f>
        <v>#VALUE!</v>
      </c>
      <c r="B16981" s="0" t="s">
        <v>16827</v>
      </c>
    </row>
    <row r="16982" customFormat="false" ht="15" hidden="false" customHeight="false" outlineLevel="0" collapsed="false">
      <c r="A16982" s="0" t="e">
        <f aca="false">IMAGINARY("(1+i)")</f>
        <v>#VALUE!</v>
      </c>
      <c r="B16982" s="0" t="s">
        <v>16828</v>
      </c>
    </row>
    <row r="16983" customFormat="false" ht="15" hidden="false" customHeight="false" outlineLevel="0" collapsed="false">
      <c r="A16983" s="0" t="n">
        <f aca="false">IMAGINARY("1.5E300+1E300i")</f>
        <v>1E+300</v>
      </c>
      <c r="B16983" s="0" t="s">
        <v>16829</v>
      </c>
    </row>
    <row r="16984" customFormat="false" ht="15" hidden="false" customHeight="false" outlineLevel="0" collapsed="false">
      <c r="A16984" s="0" t="n">
        <f aca="false">IMAGINARY("0+0i")</f>
        <v>0</v>
      </c>
      <c r="B16984" s="0" t="s">
        <v>16830</v>
      </c>
    </row>
    <row r="16985" customFormat="false" ht="15" hidden="false" customHeight="false" outlineLevel="0" collapsed="false">
      <c r="A16985" s="0" t="n">
        <f aca="false">IMAGINARY("-0-0i")</f>
        <v>-0</v>
      </c>
      <c r="B16985" s="0" t="s">
        <v>16831</v>
      </c>
    </row>
    <row r="16986" customFormat="false" ht="15" hidden="false" customHeight="false" outlineLevel="0" collapsed="false">
      <c r="A16986" s="0" t="e">
        <f aca="false">IMAGINARY("1/2+i")</f>
        <v>#VALUE!</v>
      </c>
      <c r="B16986" s="0" t="s">
        <v>16832</v>
      </c>
    </row>
    <row r="16987" customFormat="false" ht="15" hidden="false" customHeight="false" outlineLevel="0" collapsed="false">
      <c r="A16987" s="0" t="n">
        <f aca="false">IMAGINARY("1e1+i")</f>
        <v>1</v>
      </c>
      <c r="B16987" s="0" t="s">
        <v>16833</v>
      </c>
    </row>
    <row r="16988" customFormat="false" ht="15" hidden="false" customHeight="false" outlineLevel="0" collapsed="false">
      <c r="A16988" s="0" t="n">
        <f aca="false">IMAGINARY("1+1e1i")</f>
        <v>10</v>
      </c>
      <c r="B16988" s="0" t="s">
        <v>16834</v>
      </c>
    </row>
    <row r="16989" customFormat="false" ht="15" hidden="false" customHeight="false" outlineLevel="0" collapsed="false">
      <c r="A16989" s="0" t="n">
        <f aca="false">IMAGINARY(".5+.5i")</f>
        <v>0.5</v>
      </c>
      <c r="B16989" s="0" t="s">
        <v>16835</v>
      </c>
    </row>
    <row r="16990" customFormat="false" ht="15" hidden="false" customHeight="false" outlineLevel="0" collapsed="false">
      <c r="A16990" s="0" t="n">
        <f aca="false">IMAGINARY("5.")</f>
        <v>0</v>
      </c>
      <c r="B16990" s="0" t="s">
        <v>16836</v>
      </c>
    </row>
    <row r="16991" customFormat="false" ht="15" hidden="false" customHeight="false" outlineLevel="0" collapsed="false">
      <c r="A16991" s="0" t="n">
        <f aca="false">IMAGINARY("1,5+2i")</f>
        <v>2</v>
      </c>
      <c r="B16991" s="0" t="s">
        <v>16837</v>
      </c>
    </row>
    <row r="16992" customFormat="false" ht="15" hidden="false" customHeight="false" outlineLevel="0" collapsed="false">
      <c r="A16992" s="0" t="e">
        <f aca="false">IMAGINARY("3++4i")</f>
        <v>#VALUE!</v>
      </c>
      <c r="B16992" s="0" t="s">
        <v>16838</v>
      </c>
    </row>
    <row r="16993" customFormat="false" ht="15" hidden="false" customHeight="false" outlineLevel="0" collapsed="false">
      <c r="A16993" s="0" t="e">
        <f aca="false">IMAGINARY("3+-4i")</f>
        <v>#VALUE!</v>
      </c>
      <c r="B16993" s="0" t="s">
        <v>16839</v>
      </c>
    </row>
    <row r="16994" customFormat="false" ht="15" hidden="false" customHeight="false" outlineLevel="0" collapsed="false">
      <c r="A16994" s="0" t="e">
        <f aca="false">IMAGINARY("--3")</f>
        <v>#VALUE!</v>
      </c>
      <c r="B16994" s="0" t="s">
        <v>16840</v>
      </c>
    </row>
    <row r="16995" customFormat="false" ht="15" hidden="false" customHeight="false" outlineLevel="0" collapsed="false">
      <c r="A16995" s="0" t="e">
        <f aca="false">IMAGINARY("3i4")</f>
        <v>#VALUE!</v>
      </c>
      <c r="B16995" s="0" t="s">
        <v>16841</v>
      </c>
    </row>
    <row r="16996" customFormat="false" ht="15" hidden="false" customHeight="false" outlineLevel="0" collapsed="false">
      <c r="A16996" s="0" t="n">
        <f aca="false">IMAGINARY("0.1+0.2i")</f>
        <v>0.2</v>
      </c>
      <c r="B16996" s="0" t="s">
        <v>16842</v>
      </c>
    </row>
    <row r="16997" customFormat="false" ht="15" hidden="false" customHeight="false" outlineLevel="0" collapsed="false">
      <c r="A16997" s="0" t="n">
        <f aca="false">IMAGINARY("-2.5")</f>
        <v>0</v>
      </c>
      <c r="B16997" s="0" t="s">
        <v>16843</v>
      </c>
    </row>
    <row r="16998" customFormat="false" ht="15" hidden="false" customHeight="false" outlineLevel="0" collapsed="false">
      <c r="A16998" s="0" t="n">
        <f aca="false">IMAGINARY("1E+2i")</f>
        <v>100</v>
      </c>
      <c r="B16998" s="0" t="s">
        <v>16844</v>
      </c>
    </row>
    <row r="16999" customFormat="false" ht="15" hidden="false" customHeight="false" outlineLevel="0" collapsed="false">
      <c r="A16999" s="0" t="n">
        <f aca="false">IMAGINARY("1E-2i")</f>
        <v>0.01</v>
      </c>
      <c r="B16999" s="0" t="s">
        <v>16845</v>
      </c>
    </row>
    <row r="17000" customFormat="false" ht="15" hidden="false" customHeight="false" outlineLevel="0" collapsed="false">
      <c r="A17000" s="0" t="n">
        <f aca="false">IMAGINARY("12345678901234567890+1i")</f>
        <v>1</v>
      </c>
      <c r="B17000" s="0" t="s">
        <v>16846</v>
      </c>
    </row>
    <row r="17001" customFormat="false" ht="15" hidden="false" customHeight="false" outlineLevel="0" collapsed="false">
      <c r="A17001" s="0" t="e">
        <f aca="false">IMAGINARY("1+i2")</f>
        <v>#VALUE!</v>
      </c>
      <c r="B17001" s="0" t="s">
        <v>16847</v>
      </c>
    </row>
    <row r="17002" customFormat="false" ht="15" hidden="false" customHeight="false" outlineLevel="0" collapsed="false">
      <c r="A17002" s="0" t="e">
        <f aca="false">IMAGINARY("ii")</f>
        <v>#VALUE!</v>
      </c>
      <c r="B17002" s="0" t="s">
        <v>16848</v>
      </c>
    </row>
    <row r="17003" customFormat="false" ht="15" hidden="false" customHeight="false" outlineLevel="0" collapsed="false">
      <c r="A17003" s="0" t="e">
        <f aca="false">IMAGINARY("3 + 4i")</f>
        <v>#VALUE!</v>
      </c>
      <c r="B17003" s="0" t="s">
        <v>16849</v>
      </c>
    </row>
    <row r="17004" customFormat="false" ht="15" hidden="false" customHeight="false" outlineLevel="0" collapsed="false">
      <c r="A17004" s="0" t="e">
        <f aca="false">IMAGINARY("4i+3")</f>
        <v>#VALUE!</v>
      </c>
      <c r="B17004" s="0" t="s">
        <v>16850</v>
      </c>
    </row>
    <row r="17005" customFormat="false" ht="15" hidden="false" customHeight="false" outlineLevel="0" collapsed="false">
      <c r="A17005" s="0" t="n">
        <f aca="false">IMAGINARY("1+0i")</f>
        <v>0</v>
      </c>
      <c r="B17005" s="0" t="s">
        <v>16851</v>
      </c>
    </row>
    <row r="17006" customFormat="false" ht="15" hidden="false" customHeight="false" outlineLevel="0" collapsed="false">
      <c r="A17006" s="0" t="n">
        <f aca="false">IMAGINARY("0+1i")</f>
        <v>1</v>
      </c>
      <c r="B17006" s="0" t="s">
        <v>16852</v>
      </c>
    </row>
    <row r="17007" customFormat="false" ht="15" hidden="false" customHeight="false" outlineLevel="0" collapsed="false">
      <c r="A17007" s="0" t="n">
        <f aca="false">IMAGINARY("0-1i")</f>
        <v>-1</v>
      </c>
      <c r="B17007" s="0" t="s">
        <v>16853</v>
      </c>
    </row>
    <row r="17008" customFormat="false" ht="15" hidden="false" customHeight="false" outlineLevel="0" collapsed="false">
      <c r="A17008" s="0" t="n">
        <f aca="false">IMAGINARY("-1+0i")</f>
        <v>0</v>
      </c>
      <c r="B17008" s="0" t="s">
        <v>16854</v>
      </c>
    </row>
    <row r="17009" customFormat="false" ht="15" hidden="false" customHeight="false" outlineLevel="0" collapsed="false">
      <c r="A17009" s="0" t="n">
        <f aca="false">IMAGINARY("1e-10+1e-10i")</f>
        <v>1E-010</v>
      </c>
      <c r="B17009" s="0" t="s">
        <v>16855</v>
      </c>
    </row>
    <row r="17010" customFormat="false" ht="15" hidden="false" customHeight="false" outlineLevel="0" collapsed="false">
      <c r="A17010" s="0" t="n">
        <f aca="false">IMAGINARY("2+0.0000001i")</f>
        <v>1E-007</v>
      </c>
      <c r="B17010" s="0" t="s">
        <v>16856</v>
      </c>
    </row>
    <row r="17011" customFormat="false" ht="15" hidden="false" customHeight="false" outlineLevel="0" collapsed="false">
      <c r="A17011" s="0" t="e">
        <f aca="false">IMAGINARY("TRUE")</f>
        <v>#VALUE!</v>
      </c>
      <c r="B17011" s="0" t="s">
        <v>16857</v>
      </c>
    </row>
    <row r="17012" customFormat="false" ht="15" hidden="false" customHeight="false" outlineLevel="0" collapsed="false">
      <c r="A17012" s="0" t="e">
        <f aca="false">IMAGINARY("1+Ii")</f>
        <v>#VALUE!</v>
      </c>
      <c r="B17012" s="0" t="s">
        <v>16858</v>
      </c>
    </row>
    <row r="17013" customFormat="false" ht="15" hidden="false" customHeight="false" outlineLevel="0" collapsed="false">
      <c r="A17013" s="0" t="n">
        <f aca="false">IMAGINARY(5)</f>
        <v>0</v>
      </c>
      <c r="B17013" s="0" t="s">
        <v>16859</v>
      </c>
    </row>
    <row r="17014" customFormat="false" ht="15" hidden="false" customHeight="false" outlineLevel="0" collapsed="false">
      <c r="A17014" s="0" t="n">
        <f aca="false">IMAGINARY(TRUE())</f>
        <v>0</v>
      </c>
      <c r="B17014" s="0" t="s">
        <v>16860</v>
      </c>
    </row>
    <row r="17015" customFormat="false" ht="15" hidden="false" customHeight="false" outlineLevel="0" collapsed="false">
      <c r="A17015" s="0" t="e">
        <f aca="false">IMAGINARY(Data!D1)</f>
        <v>#VALUE!</v>
      </c>
      <c r="B17015" s="0" t="s">
        <v>16861</v>
      </c>
    </row>
    <row r="17016" customFormat="false" ht="15" hidden="false" customHeight="false" outlineLevel="0" collapsed="false">
      <c r="A17016" s="0" t="n">
        <f aca="false">IMAGINARY(Data!A1)</f>
        <v>0</v>
      </c>
      <c r="B17016" s="0" t="s">
        <v>16862</v>
      </c>
    </row>
    <row r="17017" customFormat="false" ht="15" hidden="false" customHeight="false" outlineLevel="0" collapsed="false">
      <c r="A17017" s="0" t="e">
        <f aca="false">IMAGINARY(Data!B1)</f>
        <v>#VALUE!</v>
      </c>
      <c r="B17017" s="0" t="s">
        <v>16863</v>
      </c>
    </row>
    <row r="17018" customFormat="false" ht="15" hidden="false" customHeight="false" outlineLevel="0" collapsed="false">
      <c r="A17018" s="0" t="e">
        <f aca="false">IMAGINARY(NA())</f>
        <v>#N/A</v>
      </c>
      <c r="B17018" s="0" t="s">
        <v>16864</v>
      </c>
    </row>
    <row r="17019" customFormat="false" ht="15" hidden="false" customHeight="false" outlineLevel="0" collapsed="false">
      <c r="A17019" s="0" t="e">
        <f aca="false">IMAGINARY("3+4i",1)</f>
        <v>#VALUE!</v>
      </c>
      <c r="B17019" s="0" t="s">
        <v>16865</v>
      </c>
    </row>
    <row r="17020" customFormat="false" ht="15" hidden="false" customHeight="false" outlineLevel="0" collapsed="false">
      <c r="A17020" s="0" t="e">
        <f aca="false">IMAGINARY()</f>
        <v>#VALUE!</v>
      </c>
      <c r="B17020" s="0" t="s">
        <v>16866</v>
      </c>
    </row>
    <row r="17021" customFormat="false" ht="15" hidden="false" customHeight="false" outlineLevel="0" collapsed="false">
      <c r="A17021" s="0" t="e">
        <f aca="false">IMAGINARY(Data!A1:A3)</f>
        <v>#VALUE!</v>
      </c>
      <c r="B17021" s="0" t="s">
        <v>16867</v>
      </c>
    </row>
    <row r="17022" customFormat="false" ht="15" hidden="false" customHeight="false" outlineLevel="0" collapsed="false">
      <c r="A17022" s="0" t="n">
        <f aca="false">IMAGINARY(-2.5)</f>
        <v>0</v>
      </c>
      <c r="B17022" s="0" t="s">
        <v>16868</v>
      </c>
    </row>
    <row r="17023" customFormat="false" ht="15" hidden="false" customHeight="false" outlineLevel="0" collapsed="false">
      <c r="A17023" s="0" t="n">
        <f aca="false">IMAGINARY(1E+300)</f>
        <v>0</v>
      </c>
      <c r="B17023" s="0" t="s">
        <v>16869</v>
      </c>
    </row>
    <row r="17024" customFormat="false" ht="15" hidden="false" customHeight="false" outlineLevel="0" collapsed="false">
      <c r="A17024" s="0" t="n">
        <f aca="false">IMAGINARY(1E-300)</f>
        <v>0</v>
      </c>
      <c r="B17024" s="0" t="s">
        <v>16870</v>
      </c>
    </row>
    <row r="17025" customFormat="false" ht="15" hidden="false" customHeight="false" outlineLevel="0" collapsed="false">
      <c r="A17025" s="0" t="n">
        <f aca="false">IMREAL("3+4i")</f>
        <v>3</v>
      </c>
      <c r="B17025" s="0" t="s">
        <v>16871</v>
      </c>
    </row>
    <row r="17026" customFormat="false" ht="15" hidden="false" customHeight="false" outlineLevel="0" collapsed="false">
      <c r="A17026" s="0" t="n">
        <f aca="false">IMREAL("3-4i")</f>
        <v>3</v>
      </c>
      <c r="B17026" s="0" t="s">
        <v>16872</v>
      </c>
    </row>
    <row r="17027" customFormat="false" ht="15" hidden="false" customHeight="false" outlineLevel="0" collapsed="false">
      <c r="A17027" s="0" t="n">
        <f aca="false">IMREAL("4i")</f>
        <v>0</v>
      </c>
      <c r="B17027" s="0" t="s">
        <v>16873</v>
      </c>
    </row>
    <row r="17028" customFormat="false" ht="15" hidden="false" customHeight="false" outlineLevel="0" collapsed="false">
      <c r="A17028" s="0" t="n">
        <f aca="false">IMREAL("-4i")</f>
        <v>0</v>
      </c>
      <c r="B17028" s="0" t="s">
        <v>16874</v>
      </c>
    </row>
    <row r="17029" customFormat="false" ht="15" hidden="false" customHeight="false" outlineLevel="0" collapsed="false">
      <c r="A17029" s="0" t="n">
        <f aca="false">IMREAL("i")</f>
        <v>0</v>
      </c>
      <c r="B17029" s="0" t="s">
        <v>16875</v>
      </c>
    </row>
    <row r="17030" customFormat="false" ht="15" hidden="false" customHeight="false" outlineLevel="0" collapsed="false">
      <c r="A17030" s="0" t="n">
        <f aca="false">IMREAL("-i")</f>
        <v>0</v>
      </c>
      <c r="B17030" s="0" t="s">
        <v>16876</v>
      </c>
    </row>
    <row r="17031" customFormat="false" ht="15" hidden="false" customHeight="false" outlineLevel="0" collapsed="false">
      <c r="A17031" s="0" t="n">
        <f aca="false">IMREAL("3")</f>
        <v>3</v>
      </c>
      <c r="B17031" s="0" t="s">
        <v>16877</v>
      </c>
    </row>
    <row r="17032" customFormat="false" ht="15" hidden="false" customHeight="false" outlineLevel="0" collapsed="false">
      <c r="A17032" s="0" t="n">
        <f aca="false">IMREAL("0")</f>
        <v>0</v>
      </c>
      <c r="B17032" s="0" t="s">
        <v>16878</v>
      </c>
    </row>
    <row r="17033" customFormat="false" ht="15" hidden="false" customHeight="false" outlineLevel="0" collapsed="false">
      <c r="A17033" s="0" t="n">
        <f aca="false">IMREAL("1+i")</f>
        <v>1</v>
      </c>
      <c r="B17033" s="0" t="s">
        <v>16879</v>
      </c>
    </row>
    <row r="17034" customFormat="false" ht="15" hidden="false" customHeight="false" outlineLevel="0" collapsed="false">
      <c r="A17034" s="0" t="n">
        <f aca="false">IMREAL("1-i")</f>
        <v>1</v>
      </c>
      <c r="B17034" s="0" t="s">
        <v>16880</v>
      </c>
    </row>
    <row r="17035" customFormat="false" ht="15" hidden="false" customHeight="false" outlineLevel="0" collapsed="false">
      <c r="A17035" s="0" t="n">
        <f aca="false">IMREAL("-1-i")</f>
        <v>-1</v>
      </c>
      <c r="B17035" s="0" t="s">
        <v>16881</v>
      </c>
    </row>
    <row r="17036" customFormat="false" ht="15" hidden="false" customHeight="false" outlineLevel="0" collapsed="false">
      <c r="A17036" s="0" t="n">
        <f aca="false">IMREAL("2.5+3.5i")</f>
        <v>2.5</v>
      </c>
      <c r="B17036" s="0" t="s">
        <v>16882</v>
      </c>
    </row>
    <row r="17037" customFormat="false" ht="15" hidden="false" customHeight="false" outlineLevel="0" collapsed="false">
      <c r="A17037" s="0" t="n">
        <f aca="false">IMREAL("1E2+1E-2i")</f>
        <v>100</v>
      </c>
      <c r="B17037" s="0" t="s">
        <v>16883</v>
      </c>
    </row>
    <row r="17038" customFormat="false" ht="15" hidden="false" customHeight="false" outlineLevel="0" collapsed="false">
      <c r="A17038" s="0" t="n">
        <f aca="false">IMREAL("3+4j")</f>
        <v>3</v>
      </c>
      <c r="B17038" s="0" t="s">
        <v>16884</v>
      </c>
    </row>
    <row r="17039" customFormat="false" ht="15" hidden="false" customHeight="false" outlineLevel="0" collapsed="false">
      <c r="A17039" s="0" t="n">
        <f aca="false">IMREAL("j")</f>
        <v>0</v>
      </c>
      <c r="B17039" s="0" t="s">
        <v>16885</v>
      </c>
    </row>
    <row r="17040" customFormat="false" ht="15" hidden="false" customHeight="false" outlineLevel="0" collapsed="false">
      <c r="A17040" s="0" t="n">
        <f aca="false">IMREAL("-j")</f>
        <v>0</v>
      </c>
      <c r="B17040" s="0" t="s">
        <v>16886</v>
      </c>
    </row>
    <row r="17041" customFormat="false" ht="15" hidden="false" customHeight="false" outlineLevel="0" collapsed="false">
      <c r="A17041" s="0" t="n">
        <f aca="false">IMREAL("2j")</f>
        <v>0</v>
      </c>
      <c r="B17041" s="0" t="s">
        <v>16887</v>
      </c>
    </row>
    <row r="17042" customFormat="false" ht="15" hidden="false" customHeight="false" outlineLevel="0" collapsed="false">
      <c r="A17042" s="0" t="e">
        <f aca="false">IMREAL("1+2k")</f>
        <v>#VALUE!</v>
      </c>
      <c r="B17042" s="0" t="s">
        <v>16888</v>
      </c>
    </row>
    <row r="17043" customFormat="false" ht="15" hidden="false" customHeight="false" outlineLevel="0" collapsed="false">
      <c r="A17043" s="0" t="n">
        <f aca="false">IMREAL("+3+4i")</f>
        <v>3</v>
      </c>
      <c r="B17043" s="0" t="s">
        <v>16889</v>
      </c>
    </row>
    <row r="17044" customFormat="false" ht="15" hidden="false" customHeight="false" outlineLevel="0" collapsed="false">
      <c r="A17044" s="0" t="e">
        <f aca="false">IMREAL("3+ 4i")</f>
        <v>#VALUE!</v>
      </c>
      <c r="B17044" s="0" t="s">
        <v>16890</v>
      </c>
    </row>
    <row r="17045" customFormat="false" ht="15" hidden="false" customHeight="false" outlineLevel="0" collapsed="false">
      <c r="A17045" s="0" t="e">
        <f aca="false">IMREAL(" 3+4i")</f>
        <v>#VALUE!</v>
      </c>
      <c r="B17045" s="0" t="s">
        <v>16891</v>
      </c>
    </row>
    <row r="17046" customFormat="false" ht="15" hidden="false" customHeight="false" outlineLevel="0" collapsed="false">
      <c r="A17046" s="0" t="e">
        <f aca="false">IMREAL("3+4I")</f>
        <v>#VALUE!</v>
      </c>
      <c r="B17046" s="0" t="s">
        <v>16892</v>
      </c>
    </row>
    <row r="17047" customFormat="false" ht="15" hidden="false" customHeight="false" outlineLevel="0" collapsed="false">
      <c r="A17047" s="0" t="e">
        <f aca="false">IMREAL("3+4i ")</f>
        <v>#VALUE!</v>
      </c>
      <c r="B17047" s="0" t="s">
        <v>16893</v>
      </c>
    </row>
    <row r="17048" customFormat="false" ht="15" hidden="false" customHeight="false" outlineLevel="0" collapsed="false">
      <c r="A17048" s="0" t="e">
        <f aca="false">IMREAL("1+i+j")</f>
        <v>#VALUE!</v>
      </c>
      <c r="B17048" s="0" t="s">
        <v>16894</v>
      </c>
    </row>
    <row r="17049" customFormat="false" ht="15" hidden="false" customHeight="false" outlineLevel="0" collapsed="false">
      <c r="A17049" s="0" t="e">
        <f aca="false">IMREAL("abc")</f>
        <v>#VALUE!</v>
      </c>
      <c r="B17049" s="0" t="s">
        <v>16895</v>
      </c>
    </row>
    <row r="17050" customFormat="false" ht="15" hidden="false" customHeight="false" outlineLevel="0" collapsed="false">
      <c r="A17050" s="0" t="e">
        <f aca="false">IMREAL("")</f>
        <v>#VALUE!</v>
      </c>
      <c r="B17050" s="0" t="s">
        <v>16896</v>
      </c>
    </row>
    <row r="17051" customFormat="false" ht="15" hidden="false" customHeight="false" outlineLevel="0" collapsed="false">
      <c r="A17051" s="0" t="e">
        <f aca="false">IMREAL("i3")</f>
        <v>#VALUE!</v>
      </c>
      <c r="B17051" s="0" t="s">
        <v>16897</v>
      </c>
    </row>
    <row r="17052" customFormat="false" ht="15" hidden="false" customHeight="false" outlineLevel="0" collapsed="false">
      <c r="A17052" s="0" t="e">
        <f aca="false">IMREAL("3i+4")</f>
        <v>#VALUE!</v>
      </c>
      <c r="B17052" s="0" t="s">
        <v>16898</v>
      </c>
    </row>
    <row r="17053" customFormat="false" ht="15" hidden="false" customHeight="false" outlineLevel="0" collapsed="false">
      <c r="A17053" s="0" t="e">
        <f aca="false">IMREAL("(1+i)")</f>
        <v>#VALUE!</v>
      </c>
      <c r="B17053" s="0" t="s">
        <v>16899</v>
      </c>
    </row>
    <row r="17054" customFormat="false" ht="15" hidden="false" customHeight="false" outlineLevel="0" collapsed="false">
      <c r="A17054" s="0" t="n">
        <f aca="false">IMREAL("1.5E300+1E300i")</f>
        <v>1.5E+300</v>
      </c>
      <c r="B17054" s="0" t="s">
        <v>16900</v>
      </c>
    </row>
    <row r="17055" customFormat="false" ht="15" hidden="false" customHeight="false" outlineLevel="0" collapsed="false">
      <c r="A17055" s="0" t="n">
        <f aca="false">IMREAL("0+0i")</f>
        <v>0</v>
      </c>
      <c r="B17055" s="0" t="s">
        <v>16901</v>
      </c>
    </row>
    <row r="17056" customFormat="false" ht="15" hidden="false" customHeight="false" outlineLevel="0" collapsed="false">
      <c r="A17056" s="0" t="n">
        <f aca="false">IMREAL("-0-0i")</f>
        <v>-0</v>
      </c>
      <c r="B17056" s="0" t="s">
        <v>16902</v>
      </c>
    </row>
    <row r="17057" customFormat="false" ht="15" hidden="false" customHeight="false" outlineLevel="0" collapsed="false">
      <c r="A17057" s="0" t="e">
        <f aca="false">IMREAL("1/2+i")</f>
        <v>#VALUE!</v>
      </c>
      <c r="B17057" s="0" t="s">
        <v>16903</v>
      </c>
    </row>
    <row r="17058" customFormat="false" ht="15" hidden="false" customHeight="false" outlineLevel="0" collapsed="false">
      <c r="A17058" s="0" t="n">
        <f aca="false">IMREAL("1e1+i")</f>
        <v>10</v>
      </c>
      <c r="B17058" s="0" t="s">
        <v>16904</v>
      </c>
    </row>
    <row r="17059" customFormat="false" ht="15" hidden="false" customHeight="false" outlineLevel="0" collapsed="false">
      <c r="A17059" s="0" t="n">
        <f aca="false">IMREAL("1+1e1i")</f>
        <v>1</v>
      </c>
      <c r="B17059" s="0" t="s">
        <v>16905</v>
      </c>
    </row>
    <row r="17060" customFormat="false" ht="15" hidden="false" customHeight="false" outlineLevel="0" collapsed="false">
      <c r="A17060" s="0" t="n">
        <f aca="false">IMREAL(".5+.5i")</f>
        <v>0.5</v>
      </c>
      <c r="B17060" s="0" t="s">
        <v>16906</v>
      </c>
    </row>
    <row r="17061" customFormat="false" ht="15" hidden="false" customHeight="false" outlineLevel="0" collapsed="false">
      <c r="A17061" s="0" t="n">
        <f aca="false">IMREAL("5.")</f>
        <v>5</v>
      </c>
      <c r="B17061" s="0" t="s">
        <v>16907</v>
      </c>
    </row>
    <row r="17062" customFormat="false" ht="15" hidden="false" customHeight="false" outlineLevel="0" collapsed="false">
      <c r="A17062" s="0" t="n">
        <f aca="false">IMREAL("1,5+2i")</f>
        <v>1.5</v>
      </c>
      <c r="B17062" s="0" t="s">
        <v>16908</v>
      </c>
    </row>
    <row r="17063" customFormat="false" ht="15" hidden="false" customHeight="false" outlineLevel="0" collapsed="false">
      <c r="A17063" s="0" t="e">
        <f aca="false">IMREAL("3++4i")</f>
        <v>#VALUE!</v>
      </c>
      <c r="B17063" s="0" t="s">
        <v>16909</v>
      </c>
    </row>
    <row r="17064" customFormat="false" ht="15" hidden="false" customHeight="false" outlineLevel="0" collapsed="false">
      <c r="A17064" s="0" t="e">
        <f aca="false">IMREAL("3+-4i")</f>
        <v>#VALUE!</v>
      </c>
      <c r="B17064" s="0" t="s">
        <v>16910</v>
      </c>
    </row>
    <row r="17065" customFormat="false" ht="15" hidden="false" customHeight="false" outlineLevel="0" collapsed="false">
      <c r="A17065" s="0" t="e">
        <f aca="false">IMREAL("--3")</f>
        <v>#VALUE!</v>
      </c>
      <c r="B17065" s="0" t="s">
        <v>16911</v>
      </c>
    </row>
    <row r="17066" customFormat="false" ht="15" hidden="false" customHeight="false" outlineLevel="0" collapsed="false">
      <c r="A17066" s="0" t="e">
        <f aca="false">IMREAL("3i4")</f>
        <v>#VALUE!</v>
      </c>
      <c r="B17066" s="0" t="s">
        <v>16912</v>
      </c>
    </row>
    <row r="17067" customFormat="false" ht="15" hidden="false" customHeight="false" outlineLevel="0" collapsed="false">
      <c r="A17067" s="0" t="n">
        <f aca="false">IMREAL("0.1+0.2i")</f>
        <v>0.1</v>
      </c>
      <c r="B17067" s="0" t="s">
        <v>16913</v>
      </c>
    </row>
    <row r="17068" customFormat="false" ht="15" hidden="false" customHeight="false" outlineLevel="0" collapsed="false">
      <c r="A17068" s="0" t="n">
        <f aca="false">IMREAL("-2.5")</f>
        <v>-2.5</v>
      </c>
      <c r="B17068" s="0" t="s">
        <v>16914</v>
      </c>
    </row>
    <row r="17069" customFormat="false" ht="15" hidden="false" customHeight="false" outlineLevel="0" collapsed="false">
      <c r="A17069" s="0" t="n">
        <f aca="false">IMREAL("1E+2i")</f>
        <v>0</v>
      </c>
      <c r="B17069" s="0" t="s">
        <v>16915</v>
      </c>
    </row>
    <row r="17070" customFormat="false" ht="15" hidden="false" customHeight="false" outlineLevel="0" collapsed="false">
      <c r="A17070" s="0" t="n">
        <f aca="false">IMREAL("1E-2i")</f>
        <v>0</v>
      </c>
      <c r="B17070" s="0" t="s">
        <v>16916</v>
      </c>
    </row>
    <row r="17071" customFormat="false" ht="15" hidden="false" customHeight="false" outlineLevel="0" collapsed="false">
      <c r="A17071" s="0" t="n">
        <f aca="false">IMREAL("12345678901234567890+1i")</f>
        <v>1.23456789012346E+019</v>
      </c>
      <c r="B17071" s="0" t="s">
        <v>16917</v>
      </c>
    </row>
    <row r="17072" customFormat="false" ht="15" hidden="false" customHeight="false" outlineLevel="0" collapsed="false">
      <c r="A17072" s="0" t="e">
        <f aca="false">IMREAL("1+i2")</f>
        <v>#VALUE!</v>
      </c>
      <c r="B17072" s="0" t="s">
        <v>16918</v>
      </c>
    </row>
    <row r="17073" customFormat="false" ht="15" hidden="false" customHeight="false" outlineLevel="0" collapsed="false">
      <c r="A17073" s="0" t="e">
        <f aca="false">IMREAL("ii")</f>
        <v>#VALUE!</v>
      </c>
      <c r="B17073" s="0" t="s">
        <v>16919</v>
      </c>
    </row>
    <row r="17074" customFormat="false" ht="15" hidden="false" customHeight="false" outlineLevel="0" collapsed="false">
      <c r="A17074" s="0" t="e">
        <f aca="false">IMREAL("3 + 4i")</f>
        <v>#VALUE!</v>
      </c>
      <c r="B17074" s="0" t="s">
        <v>16920</v>
      </c>
    </row>
    <row r="17075" customFormat="false" ht="15" hidden="false" customHeight="false" outlineLevel="0" collapsed="false">
      <c r="A17075" s="0" t="e">
        <f aca="false">IMREAL("4i+3")</f>
        <v>#VALUE!</v>
      </c>
      <c r="B17075" s="0" t="s">
        <v>16921</v>
      </c>
    </row>
    <row r="17076" customFormat="false" ht="15" hidden="false" customHeight="false" outlineLevel="0" collapsed="false">
      <c r="A17076" s="0" t="n">
        <f aca="false">IMREAL("1+0i")</f>
        <v>1</v>
      </c>
      <c r="B17076" s="0" t="s">
        <v>16922</v>
      </c>
    </row>
    <row r="17077" customFormat="false" ht="15" hidden="false" customHeight="false" outlineLevel="0" collapsed="false">
      <c r="A17077" s="0" t="n">
        <f aca="false">IMREAL("0+1i")</f>
        <v>0</v>
      </c>
      <c r="B17077" s="0" t="s">
        <v>16923</v>
      </c>
    </row>
    <row r="17078" customFormat="false" ht="15" hidden="false" customHeight="false" outlineLevel="0" collapsed="false">
      <c r="A17078" s="0" t="n">
        <f aca="false">IMREAL("0-1i")</f>
        <v>0</v>
      </c>
      <c r="B17078" s="0" t="s">
        <v>16924</v>
      </c>
    </row>
    <row r="17079" customFormat="false" ht="15" hidden="false" customHeight="false" outlineLevel="0" collapsed="false">
      <c r="A17079" s="0" t="n">
        <f aca="false">IMREAL("-1+0i")</f>
        <v>-1</v>
      </c>
      <c r="B17079" s="0" t="s">
        <v>16925</v>
      </c>
    </row>
    <row r="17080" customFormat="false" ht="15" hidden="false" customHeight="false" outlineLevel="0" collapsed="false">
      <c r="A17080" s="0" t="n">
        <f aca="false">IMREAL("1e-10+1e-10i")</f>
        <v>1E-010</v>
      </c>
      <c r="B17080" s="0" t="s">
        <v>16926</v>
      </c>
    </row>
    <row r="17081" customFormat="false" ht="15" hidden="false" customHeight="false" outlineLevel="0" collapsed="false">
      <c r="A17081" s="0" t="n">
        <f aca="false">IMREAL("2+0.0000001i")</f>
        <v>2</v>
      </c>
      <c r="B17081" s="0" t="s">
        <v>16927</v>
      </c>
    </row>
    <row r="17082" customFormat="false" ht="15" hidden="false" customHeight="false" outlineLevel="0" collapsed="false">
      <c r="A17082" s="0" t="e">
        <f aca="false">IMREAL("TRUE")</f>
        <v>#VALUE!</v>
      </c>
      <c r="B17082" s="0" t="s">
        <v>16928</v>
      </c>
    </row>
    <row r="17083" customFormat="false" ht="15" hidden="false" customHeight="false" outlineLevel="0" collapsed="false">
      <c r="A17083" s="0" t="e">
        <f aca="false">IMREAL("1+Ii")</f>
        <v>#VALUE!</v>
      </c>
      <c r="B17083" s="0" t="s">
        <v>16929</v>
      </c>
    </row>
    <row r="17084" customFormat="false" ht="15" hidden="false" customHeight="false" outlineLevel="0" collapsed="false">
      <c r="A17084" s="0" t="n">
        <f aca="false">IMREAL(5)</f>
        <v>5</v>
      </c>
      <c r="B17084" s="0" t="s">
        <v>16930</v>
      </c>
    </row>
    <row r="17085" customFormat="false" ht="15" hidden="false" customHeight="false" outlineLevel="0" collapsed="false">
      <c r="A17085" s="0" t="n">
        <f aca="false">IMREAL(TRUE())</f>
        <v>1</v>
      </c>
      <c r="B17085" s="0" t="s">
        <v>16931</v>
      </c>
    </row>
    <row r="17086" customFormat="false" ht="15" hidden="false" customHeight="false" outlineLevel="0" collapsed="false">
      <c r="A17086" s="0" t="e">
        <f aca="false">IMREAL(Data!D1)</f>
        <v>#VALUE!</v>
      </c>
      <c r="B17086" s="0" t="s">
        <v>16932</v>
      </c>
    </row>
    <row r="17087" customFormat="false" ht="15" hidden="false" customHeight="false" outlineLevel="0" collapsed="false">
      <c r="A17087" s="0" t="n">
        <f aca="false">IMREAL(Data!A1)</f>
        <v>5</v>
      </c>
      <c r="B17087" s="0" t="s">
        <v>16933</v>
      </c>
    </row>
    <row r="17088" customFormat="false" ht="15" hidden="false" customHeight="false" outlineLevel="0" collapsed="false">
      <c r="A17088" s="0" t="e">
        <f aca="false">IMREAL(Data!B1)</f>
        <v>#VALUE!</v>
      </c>
      <c r="B17088" s="0" t="s">
        <v>16934</v>
      </c>
    </row>
    <row r="17089" customFormat="false" ht="15" hidden="false" customHeight="false" outlineLevel="0" collapsed="false">
      <c r="A17089" s="0" t="e">
        <f aca="false">IMREAL(NA())</f>
        <v>#N/A</v>
      </c>
      <c r="B17089" s="0" t="s">
        <v>16935</v>
      </c>
    </row>
    <row r="17090" customFormat="false" ht="15" hidden="false" customHeight="false" outlineLevel="0" collapsed="false">
      <c r="A17090" s="0" t="e">
        <f aca="false">IMREAL("3+4i",1)</f>
        <v>#VALUE!</v>
      </c>
      <c r="B17090" s="0" t="s">
        <v>16936</v>
      </c>
    </row>
    <row r="17091" customFormat="false" ht="15" hidden="false" customHeight="false" outlineLevel="0" collapsed="false">
      <c r="A17091" s="0" t="e">
        <f aca="false">IMREAL()</f>
        <v>#VALUE!</v>
      </c>
      <c r="B17091" s="0" t="s">
        <v>16937</v>
      </c>
    </row>
    <row r="17092" customFormat="false" ht="15" hidden="false" customHeight="false" outlineLevel="0" collapsed="false">
      <c r="A17092" s="0" t="e">
        <f aca="false">IMREAL(Data!A1:A3)</f>
        <v>#VALUE!</v>
      </c>
      <c r="B17092" s="0" t="s">
        <v>16938</v>
      </c>
    </row>
    <row r="17093" customFormat="false" ht="15" hidden="false" customHeight="false" outlineLevel="0" collapsed="false">
      <c r="A17093" s="0" t="n">
        <f aca="false">IMREAL(-2.5)</f>
        <v>-2.5</v>
      </c>
      <c r="B17093" s="0" t="s">
        <v>16939</v>
      </c>
    </row>
    <row r="17094" customFormat="false" ht="15" hidden="false" customHeight="false" outlineLevel="0" collapsed="false">
      <c r="A17094" s="0" t="n">
        <f aca="false">IMREAL(1E+300)</f>
        <v>1E+300</v>
      </c>
      <c r="B17094" s="0" t="s">
        <v>16940</v>
      </c>
    </row>
    <row r="17095" customFormat="false" ht="15" hidden="false" customHeight="false" outlineLevel="0" collapsed="false">
      <c r="A17095" s="0" t="n">
        <f aca="false">IMREAL(1E-300)</f>
        <v>1E-300</v>
      </c>
      <c r="B17095" s="0" t="s">
        <v>16941</v>
      </c>
    </row>
    <row r="17096" customFormat="false" ht="15" hidden="false" customHeight="false" outlineLevel="0" collapsed="false">
      <c r="A17096" s="0" t="n">
        <f aca="false">IMARGUMENT("3+4i")</f>
        <v>0.927295218001612</v>
      </c>
      <c r="B17096" s="0" t="s">
        <v>16942</v>
      </c>
    </row>
    <row r="17097" customFormat="false" ht="15" hidden="false" customHeight="false" outlineLevel="0" collapsed="false">
      <c r="A17097" s="0" t="n">
        <f aca="false">IMARGUMENT("3-4i")</f>
        <v>-0.927295218001612</v>
      </c>
      <c r="B17097" s="0" t="s">
        <v>16943</v>
      </c>
    </row>
    <row r="17098" customFormat="false" ht="15" hidden="false" customHeight="false" outlineLevel="0" collapsed="false">
      <c r="A17098" s="0" t="n">
        <f aca="false">IMARGUMENT("4i")</f>
        <v>1.5707963267949</v>
      </c>
      <c r="B17098" s="0" t="s">
        <v>16944</v>
      </c>
    </row>
    <row r="17099" customFormat="false" ht="15" hidden="false" customHeight="false" outlineLevel="0" collapsed="false">
      <c r="A17099" s="0" t="n">
        <f aca="false">IMARGUMENT("-4i")</f>
        <v>-1.5707963267949</v>
      </c>
      <c r="B17099" s="0" t="s">
        <v>16945</v>
      </c>
    </row>
    <row r="17100" customFormat="false" ht="15" hidden="false" customHeight="false" outlineLevel="0" collapsed="false">
      <c r="A17100" s="0" t="n">
        <f aca="false">IMARGUMENT("i")</f>
        <v>1.5707963267949</v>
      </c>
      <c r="B17100" s="0" t="s">
        <v>16946</v>
      </c>
    </row>
    <row r="17101" customFormat="false" ht="15" hidden="false" customHeight="false" outlineLevel="0" collapsed="false">
      <c r="A17101" s="0" t="n">
        <f aca="false">IMARGUMENT("-i")</f>
        <v>-1.5707963267949</v>
      </c>
      <c r="B17101" s="0" t="s">
        <v>16947</v>
      </c>
    </row>
    <row r="17102" customFormat="false" ht="15" hidden="false" customHeight="false" outlineLevel="0" collapsed="false">
      <c r="A17102" s="0" t="n">
        <f aca="false">IMARGUMENT("3")</f>
        <v>0</v>
      </c>
      <c r="B17102" s="0" t="s">
        <v>16948</v>
      </c>
    </row>
    <row r="17103" customFormat="false" ht="15" hidden="false" customHeight="false" outlineLevel="0" collapsed="false">
      <c r="A17103" s="0" t="e">
        <f aca="false">IMARGUMENT("0")</f>
        <v>#VALUE!</v>
      </c>
      <c r="B17103" s="0" t="s">
        <v>16949</v>
      </c>
    </row>
    <row r="17104" customFormat="false" ht="15" hidden="false" customHeight="false" outlineLevel="0" collapsed="false">
      <c r="A17104" s="0" t="n">
        <f aca="false">IMARGUMENT("1+i")</f>
        <v>0.785398163397448</v>
      </c>
      <c r="B17104" s="0" t="s">
        <v>16950</v>
      </c>
    </row>
    <row r="17105" customFormat="false" ht="15" hidden="false" customHeight="false" outlineLevel="0" collapsed="false">
      <c r="A17105" s="0" t="n">
        <f aca="false">IMARGUMENT("1-i")</f>
        <v>-0.785398163397448</v>
      </c>
      <c r="B17105" s="0" t="s">
        <v>16951</v>
      </c>
    </row>
    <row r="17106" customFormat="false" ht="15" hidden="false" customHeight="false" outlineLevel="0" collapsed="false">
      <c r="A17106" s="0" t="n">
        <f aca="false">IMARGUMENT("-1-i")</f>
        <v>-2.35619449019235</v>
      </c>
      <c r="B17106" s="0" t="s">
        <v>16952</v>
      </c>
    </row>
    <row r="17107" customFormat="false" ht="15" hidden="false" customHeight="false" outlineLevel="0" collapsed="false">
      <c r="A17107" s="0" t="n">
        <f aca="false">IMARGUMENT("2.5+3.5i")</f>
        <v>0.950546840812075</v>
      </c>
      <c r="B17107" s="0" t="s">
        <v>16953</v>
      </c>
    </row>
    <row r="17108" customFormat="false" ht="15" hidden="false" customHeight="false" outlineLevel="0" collapsed="false">
      <c r="A17108" s="0" t="n">
        <f aca="false">IMARGUMENT("1E2+1E-2i")</f>
        <v>9.99999996666667E-005</v>
      </c>
      <c r="B17108" s="0" t="s">
        <v>16954</v>
      </c>
    </row>
    <row r="17109" customFormat="false" ht="15" hidden="false" customHeight="false" outlineLevel="0" collapsed="false">
      <c r="A17109" s="0" t="n">
        <f aca="false">IMARGUMENT("3+4j")</f>
        <v>0.927295218001612</v>
      </c>
      <c r="B17109" s="0" t="s">
        <v>16955</v>
      </c>
    </row>
    <row r="17110" customFormat="false" ht="15" hidden="false" customHeight="false" outlineLevel="0" collapsed="false">
      <c r="A17110" s="0" t="n">
        <f aca="false">IMARGUMENT("j")</f>
        <v>1.5707963267949</v>
      </c>
      <c r="B17110" s="0" t="s">
        <v>16956</v>
      </c>
    </row>
    <row r="17111" customFormat="false" ht="15" hidden="false" customHeight="false" outlineLevel="0" collapsed="false">
      <c r="A17111" s="0" t="n">
        <f aca="false">IMARGUMENT("-j")</f>
        <v>-1.5707963267949</v>
      </c>
      <c r="B17111" s="0" t="s">
        <v>16957</v>
      </c>
    </row>
    <row r="17112" customFormat="false" ht="15" hidden="false" customHeight="false" outlineLevel="0" collapsed="false">
      <c r="A17112" s="0" t="n">
        <f aca="false">IMARGUMENT("2j")</f>
        <v>1.5707963267949</v>
      </c>
      <c r="B17112" s="0" t="s">
        <v>16958</v>
      </c>
    </row>
    <row r="17113" customFormat="false" ht="15" hidden="false" customHeight="false" outlineLevel="0" collapsed="false">
      <c r="A17113" s="0" t="e">
        <f aca="false">IMARGUMENT("1+2k")</f>
        <v>#VALUE!</v>
      </c>
      <c r="B17113" s="0" t="s">
        <v>16959</v>
      </c>
    </row>
    <row r="17114" customFormat="false" ht="15" hidden="false" customHeight="false" outlineLevel="0" collapsed="false">
      <c r="A17114" s="0" t="n">
        <f aca="false">IMARGUMENT("+3+4i")</f>
        <v>0.927295218001612</v>
      </c>
      <c r="B17114" s="0" t="s">
        <v>16960</v>
      </c>
    </row>
    <row r="17115" customFormat="false" ht="15" hidden="false" customHeight="false" outlineLevel="0" collapsed="false">
      <c r="A17115" s="0" t="e">
        <f aca="false">IMARGUMENT("3+ 4i")</f>
        <v>#VALUE!</v>
      </c>
      <c r="B17115" s="0" t="s">
        <v>16961</v>
      </c>
    </row>
    <row r="17116" customFormat="false" ht="15" hidden="false" customHeight="false" outlineLevel="0" collapsed="false">
      <c r="A17116" s="0" t="e">
        <f aca="false">IMARGUMENT(" 3+4i")</f>
        <v>#VALUE!</v>
      </c>
      <c r="B17116" s="0" t="s">
        <v>16962</v>
      </c>
    </row>
    <row r="17117" customFormat="false" ht="15" hidden="false" customHeight="false" outlineLevel="0" collapsed="false">
      <c r="A17117" s="0" t="e">
        <f aca="false">IMARGUMENT("3+4I")</f>
        <v>#VALUE!</v>
      </c>
      <c r="B17117" s="0" t="s">
        <v>16963</v>
      </c>
    </row>
    <row r="17118" customFormat="false" ht="15" hidden="false" customHeight="false" outlineLevel="0" collapsed="false">
      <c r="A17118" s="0" t="e">
        <f aca="false">IMARGUMENT("3+4i ")</f>
        <v>#VALUE!</v>
      </c>
      <c r="B17118" s="0" t="s">
        <v>16964</v>
      </c>
    </row>
    <row r="17119" customFormat="false" ht="15" hidden="false" customHeight="false" outlineLevel="0" collapsed="false">
      <c r="A17119" s="0" t="e">
        <f aca="false">IMARGUMENT("1+i+j")</f>
        <v>#VALUE!</v>
      </c>
      <c r="B17119" s="0" t="s">
        <v>16965</v>
      </c>
    </row>
    <row r="17120" customFormat="false" ht="15" hidden="false" customHeight="false" outlineLevel="0" collapsed="false">
      <c r="A17120" s="0" t="e">
        <f aca="false">IMARGUMENT("abc")</f>
        <v>#VALUE!</v>
      </c>
      <c r="B17120" s="0" t="s">
        <v>16966</v>
      </c>
    </row>
    <row r="17121" customFormat="false" ht="15" hidden="false" customHeight="false" outlineLevel="0" collapsed="false">
      <c r="A17121" s="0" t="e">
        <f aca="false">IMARGUMENT("")</f>
        <v>#VALUE!</v>
      </c>
      <c r="B17121" s="0" t="s">
        <v>16967</v>
      </c>
    </row>
    <row r="17122" customFormat="false" ht="15" hidden="false" customHeight="false" outlineLevel="0" collapsed="false">
      <c r="A17122" s="0" t="e">
        <f aca="false">IMARGUMENT("i3")</f>
        <v>#VALUE!</v>
      </c>
      <c r="B17122" s="0" t="s">
        <v>16968</v>
      </c>
    </row>
    <row r="17123" customFormat="false" ht="15" hidden="false" customHeight="false" outlineLevel="0" collapsed="false">
      <c r="A17123" s="0" t="e">
        <f aca="false">IMARGUMENT("3i+4")</f>
        <v>#VALUE!</v>
      </c>
      <c r="B17123" s="0" t="s">
        <v>16969</v>
      </c>
    </row>
    <row r="17124" customFormat="false" ht="15" hidden="false" customHeight="false" outlineLevel="0" collapsed="false">
      <c r="A17124" s="0" t="e">
        <f aca="false">IMARGUMENT("(1+i)")</f>
        <v>#VALUE!</v>
      </c>
      <c r="B17124" s="0" t="s">
        <v>16970</v>
      </c>
    </row>
    <row r="17125" customFormat="false" ht="15" hidden="false" customHeight="false" outlineLevel="0" collapsed="false">
      <c r="A17125" s="0" t="n">
        <f aca="false">IMARGUMENT("1.5E300+1E300i")</f>
        <v>0.588002603547568</v>
      </c>
      <c r="B17125" s="0" t="s">
        <v>16971</v>
      </c>
    </row>
    <row r="17126" customFormat="false" ht="15" hidden="false" customHeight="false" outlineLevel="0" collapsed="false">
      <c r="A17126" s="0" t="e">
        <f aca="false">IMARGUMENT("0+0i")</f>
        <v>#VALUE!</v>
      </c>
      <c r="B17126" s="0" t="s">
        <v>16972</v>
      </c>
    </row>
    <row r="17127" customFormat="false" ht="15" hidden="false" customHeight="false" outlineLevel="0" collapsed="false">
      <c r="A17127" s="0" t="e">
        <f aca="false">IMARGUMENT("-0-0i")</f>
        <v>#VALUE!</v>
      </c>
      <c r="B17127" s="0" t="s">
        <v>16973</v>
      </c>
    </row>
    <row r="17128" customFormat="false" ht="15" hidden="false" customHeight="false" outlineLevel="0" collapsed="false">
      <c r="A17128" s="0" t="e">
        <f aca="false">IMARGUMENT("1/2+i")</f>
        <v>#VALUE!</v>
      </c>
      <c r="B17128" s="0" t="s">
        <v>16974</v>
      </c>
    </row>
    <row r="17129" customFormat="false" ht="15" hidden="false" customHeight="false" outlineLevel="0" collapsed="false">
      <c r="A17129" s="0" t="n">
        <f aca="false">IMARGUMENT("1e1+i")</f>
        <v>0.099668652491162</v>
      </c>
      <c r="B17129" s="0" t="s">
        <v>16975</v>
      </c>
    </row>
    <row r="17130" customFormat="false" ht="15" hidden="false" customHeight="false" outlineLevel="0" collapsed="false">
      <c r="A17130" s="0" t="n">
        <f aca="false">IMARGUMENT("1+1e1i")</f>
        <v>1.47112767430373</v>
      </c>
      <c r="B17130" s="0" t="s">
        <v>16976</v>
      </c>
    </row>
    <row r="17131" customFormat="false" ht="15" hidden="false" customHeight="false" outlineLevel="0" collapsed="false">
      <c r="A17131" s="0" t="n">
        <f aca="false">IMARGUMENT(".5+.5i")</f>
        <v>0.785398163397448</v>
      </c>
      <c r="B17131" s="0" t="s">
        <v>16977</v>
      </c>
    </row>
    <row r="17132" customFormat="false" ht="15" hidden="false" customHeight="false" outlineLevel="0" collapsed="false">
      <c r="A17132" s="0" t="n">
        <f aca="false">IMARGUMENT("5.")</f>
        <v>0</v>
      </c>
      <c r="B17132" s="0" t="s">
        <v>16978</v>
      </c>
    </row>
    <row r="17133" customFormat="false" ht="15" hidden="false" customHeight="false" outlineLevel="0" collapsed="false">
      <c r="A17133" s="0" t="n">
        <f aca="false">IMARGUMENT("1,5+2i")</f>
        <v>0.927295218001612</v>
      </c>
      <c r="B17133" s="0" t="s">
        <v>16979</v>
      </c>
    </row>
    <row r="17134" customFormat="false" ht="15" hidden="false" customHeight="false" outlineLevel="0" collapsed="false">
      <c r="A17134" s="0" t="e">
        <f aca="false">IMARGUMENT("3++4i")</f>
        <v>#VALUE!</v>
      </c>
      <c r="B17134" s="0" t="s">
        <v>16980</v>
      </c>
    </row>
    <row r="17135" customFormat="false" ht="15" hidden="false" customHeight="false" outlineLevel="0" collapsed="false">
      <c r="A17135" s="0" t="e">
        <f aca="false">IMARGUMENT("3+-4i")</f>
        <v>#VALUE!</v>
      </c>
      <c r="B17135" s="0" t="s">
        <v>16981</v>
      </c>
    </row>
    <row r="17136" customFormat="false" ht="15" hidden="false" customHeight="false" outlineLevel="0" collapsed="false">
      <c r="A17136" s="0" t="e">
        <f aca="false">IMARGUMENT("--3")</f>
        <v>#VALUE!</v>
      </c>
      <c r="B17136" s="0" t="s">
        <v>16982</v>
      </c>
    </row>
    <row r="17137" customFormat="false" ht="15" hidden="false" customHeight="false" outlineLevel="0" collapsed="false">
      <c r="A17137" s="0" t="e">
        <f aca="false">IMARGUMENT("3i4")</f>
        <v>#VALUE!</v>
      </c>
      <c r="B17137" s="0" t="s">
        <v>16983</v>
      </c>
    </row>
    <row r="17138" customFormat="false" ht="15" hidden="false" customHeight="false" outlineLevel="0" collapsed="false">
      <c r="A17138" s="0" t="n">
        <f aca="false">IMARGUMENT("0.1+0.2i")</f>
        <v>1.10714871779409</v>
      </c>
      <c r="B17138" s="0" t="s">
        <v>16984</v>
      </c>
    </row>
    <row r="17139" customFormat="false" ht="15" hidden="false" customHeight="false" outlineLevel="0" collapsed="false">
      <c r="A17139" s="0" t="n">
        <f aca="false">IMARGUMENT("-2.5")</f>
        <v>3.14159265358979</v>
      </c>
      <c r="B17139" s="0" t="s">
        <v>16985</v>
      </c>
    </row>
    <row r="17140" customFormat="false" ht="15" hidden="false" customHeight="false" outlineLevel="0" collapsed="false">
      <c r="A17140" s="0" t="n">
        <f aca="false">IMARGUMENT("1E+2i")</f>
        <v>1.5707963267949</v>
      </c>
      <c r="B17140" s="0" t="s">
        <v>16986</v>
      </c>
    </row>
    <row r="17141" customFormat="false" ht="15" hidden="false" customHeight="false" outlineLevel="0" collapsed="false">
      <c r="A17141" s="0" t="n">
        <f aca="false">IMARGUMENT("1E-2i")</f>
        <v>1.5707963267949</v>
      </c>
      <c r="B17141" s="0" t="s">
        <v>16987</v>
      </c>
    </row>
    <row r="17142" customFormat="false" ht="15" hidden="false" customHeight="false" outlineLevel="0" collapsed="false">
      <c r="A17142" s="0" t="n">
        <f aca="false">IMARGUMENT("12345678901234567890+1i")</f>
        <v>8.1000000729E-020</v>
      </c>
      <c r="B17142" s="0" t="s">
        <v>16988</v>
      </c>
    </row>
    <row r="17143" customFormat="false" ht="15" hidden="false" customHeight="false" outlineLevel="0" collapsed="false">
      <c r="A17143" s="0" t="e">
        <f aca="false">IMARGUMENT("1+i2")</f>
        <v>#VALUE!</v>
      </c>
      <c r="B17143" s="0" t="s">
        <v>16989</v>
      </c>
    </row>
    <row r="17144" customFormat="false" ht="15" hidden="false" customHeight="false" outlineLevel="0" collapsed="false">
      <c r="A17144" s="0" t="e">
        <f aca="false">IMARGUMENT("ii")</f>
        <v>#VALUE!</v>
      </c>
      <c r="B17144" s="0" t="s">
        <v>16990</v>
      </c>
    </row>
    <row r="17145" customFormat="false" ht="15" hidden="false" customHeight="false" outlineLevel="0" collapsed="false">
      <c r="A17145" s="0" t="e">
        <f aca="false">IMARGUMENT("3 + 4i")</f>
        <v>#VALUE!</v>
      </c>
      <c r="B17145" s="0" t="s">
        <v>16991</v>
      </c>
    </row>
    <row r="17146" customFormat="false" ht="15" hidden="false" customHeight="false" outlineLevel="0" collapsed="false">
      <c r="A17146" s="0" t="e">
        <f aca="false">IMARGUMENT("4i+3")</f>
        <v>#VALUE!</v>
      </c>
      <c r="B17146" s="0" t="s">
        <v>16992</v>
      </c>
    </row>
    <row r="17147" customFormat="false" ht="15" hidden="false" customHeight="false" outlineLevel="0" collapsed="false">
      <c r="A17147" s="0" t="n">
        <f aca="false">IMARGUMENT("1+0i")</f>
        <v>0</v>
      </c>
      <c r="B17147" s="0" t="s">
        <v>16993</v>
      </c>
    </row>
    <row r="17148" customFormat="false" ht="15" hidden="false" customHeight="false" outlineLevel="0" collapsed="false">
      <c r="A17148" s="0" t="n">
        <f aca="false">IMARGUMENT("0+1i")</f>
        <v>1.5707963267949</v>
      </c>
      <c r="B17148" s="0" t="s">
        <v>16994</v>
      </c>
    </row>
    <row r="17149" customFormat="false" ht="15" hidden="false" customHeight="false" outlineLevel="0" collapsed="false">
      <c r="A17149" s="0" t="n">
        <f aca="false">IMARGUMENT("0-1i")</f>
        <v>-1.5707963267949</v>
      </c>
      <c r="B17149" s="0" t="s">
        <v>16995</v>
      </c>
    </row>
    <row r="17150" customFormat="false" ht="15" hidden="false" customHeight="false" outlineLevel="0" collapsed="false">
      <c r="A17150" s="0" t="n">
        <f aca="false">IMARGUMENT("-1+0i")</f>
        <v>3.14159265358979</v>
      </c>
      <c r="B17150" s="0" t="s">
        <v>16996</v>
      </c>
    </row>
    <row r="17151" customFormat="false" ht="15" hidden="false" customHeight="false" outlineLevel="0" collapsed="false">
      <c r="A17151" s="0" t="n">
        <f aca="false">IMARGUMENT("1e-10+1e-10i")</f>
        <v>0.785398163397448</v>
      </c>
      <c r="B17151" s="0" t="s">
        <v>16997</v>
      </c>
    </row>
    <row r="17152" customFormat="false" ht="15" hidden="false" customHeight="false" outlineLevel="0" collapsed="false">
      <c r="A17152" s="0" t="n">
        <f aca="false">IMARGUMENT("2+0.0000001i")</f>
        <v>5E-008</v>
      </c>
      <c r="B17152" s="0" t="s">
        <v>16998</v>
      </c>
    </row>
    <row r="17153" customFormat="false" ht="15" hidden="false" customHeight="false" outlineLevel="0" collapsed="false">
      <c r="A17153" s="0" t="e">
        <f aca="false">IMARGUMENT("TRUE")</f>
        <v>#VALUE!</v>
      </c>
      <c r="B17153" s="0" t="s">
        <v>16999</v>
      </c>
    </row>
    <row r="17154" customFormat="false" ht="15" hidden="false" customHeight="false" outlineLevel="0" collapsed="false">
      <c r="A17154" s="0" t="e">
        <f aca="false">IMARGUMENT("1+Ii")</f>
        <v>#VALUE!</v>
      </c>
      <c r="B17154" s="0" t="s">
        <v>17000</v>
      </c>
    </row>
    <row r="17155" customFormat="false" ht="15" hidden="false" customHeight="false" outlineLevel="0" collapsed="false">
      <c r="A17155" s="0" t="n">
        <f aca="false">IMARGUMENT(5)</f>
        <v>0</v>
      </c>
      <c r="B17155" s="0" t="s">
        <v>17001</v>
      </c>
    </row>
    <row r="17156" customFormat="false" ht="15" hidden="false" customHeight="false" outlineLevel="0" collapsed="false">
      <c r="A17156" s="0" t="n">
        <f aca="false">IMARGUMENT(TRUE())</f>
        <v>0</v>
      </c>
      <c r="B17156" s="0" t="s">
        <v>17002</v>
      </c>
    </row>
    <row r="17157" customFormat="false" ht="15" hidden="false" customHeight="false" outlineLevel="0" collapsed="false">
      <c r="A17157" s="0" t="e">
        <f aca="false">IMARGUMENT(Data!D1)</f>
        <v>#VALUE!</v>
      </c>
      <c r="B17157" s="0" t="s">
        <v>17003</v>
      </c>
    </row>
    <row r="17158" customFormat="false" ht="15" hidden="false" customHeight="false" outlineLevel="0" collapsed="false">
      <c r="A17158" s="0" t="n">
        <f aca="false">IMARGUMENT(Data!A1)</f>
        <v>0</v>
      </c>
      <c r="B17158" s="0" t="s">
        <v>17004</v>
      </c>
    </row>
    <row r="17159" customFormat="false" ht="15" hidden="false" customHeight="false" outlineLevel="0" collapsed="false">
      <c r="A17159" s="0" t="e">
        <f aca="false">IMARGUMENT(Data!B1)</f>
        <v>#VALUE!</v>
      </c>
      <c r="B17159" s="0" t="s">
        <v>17005</v>
      </c>
    </row>
    <row r="17160" customFormat="false" ht="15" hidden="false" customHeight="false" outlineLevel="0" collapsed="false">
      <c r="A17160" s="0" t="e">
        <f aca="false">IMARGUMENT(NA())</f>
        <v>#N/A</v>
      </c>
      <c r="B17160" s="0" t="s">
        <v>17006</v>
      </c>
    </row>
    <row r="17161" customFormat="false" ht="15" hidden="false" customHeight="false" outlineLevel="0" collapsed="false">
      <c r="A17161" s="0" t="e">
        <f aca="false">IMARGUMENT("3+4i",1)</f>
        <v>#VALUE!</v>
      </c>
      <c r="B17161" s="0" t="s">
        <v>17007</v>
      </c>
    </row>
    <row r="17162" customFormat="false" ht="15" hidden="false" customHeight="false" outlineLevel="0" collapsed="false">
      <c r="A17162" s="0" t="e">
        <f aca="false">IMARGUMENT()</f>
        <v>#VALUE!</v>
      </c>
      <c r="B17162" s="0" t="s">
        <v>17008</v>
      </c>
    </row>
    <row r="17163" customFormat="false" ht="15" hidden="false" customHeight="false" outlineLevel="0" collapsed="false">
      <c r="A17163" s="0" t="e">
        <f aca="false">IMARGUMENT(Data!A1:A3)</f>
        <v>#VALUE!</v>
      </c>
      <c r="B17163" s="0" t="s">
        <v>17009</v>
      </c>
    </row>
    <row r="17164" customFormat="false" ht="15" hidden="false" customHeight="false" outlineLevel="0" collapsed="false">
      <c r="A17164" s="0" t="n">
        <f aca="false">IMARGUMENT(-2.5)</f>
        <v>3.14159265358979</v>
      </c>
      <c r="B17164" s="0" t="s">
        <v>17010</v>
      </c>
    </row>
    <row r="17165" customFormat="false" ht="15" hidden="false" customHeight="false" outlineLevel="0" collapsed="false">
      <c r="A17165" s="0" t="n">
        <f aca="false">IMARGUMENT(1E+300)</f>
        <v>0</v>
      </c>
      <c r="B17165" s="0" t="s">
        <v>17011</v>
      </c>
    </row>
    <row r="17166" customFormat="false" ht="15" hidden="false" customHeight="false" outlineLevel="0" collapsed="false">
      <c r="A17166" s="0" t="n">
        <f aca="false">IMARGUMENT(1E-300)</f>
        <v>0</v>
      </c>
      <c r="B17166" s="0" t="s">
        <v>17012</v>
      </c>
    </row>
    <row r="17167" customFormat="false" ht="15" hidden="false" customHeight="false" outlineLevel="0" collapsed="false">
      <c r="A17167" s="0" t="str">
        <f aca="false">IMCONJUGATE("3+4i")</f>
        <v>3-4i</v>
      </c>
      <c r="B17167" s="0" t="s">
        <v>17013</v>
      </c>
    </row>
    <row r="17168" customFormat="false" ht="15" hidden="false" customHeight="false" outlineLevel="0" collapsed="false">
      <c r="A17168" s="0" t="str">
        <f aca="false">IMCONJUGATE("3-4i")</f>
        <v>3+4i</v>
      </c>
      <c r="B17168" s="0" t="s">
        <v>17014</v>
      </c>
    </row>
    <row r="17169" customFormat="false" ht="15" hidden="false" customHeight="false" outlineLevel="0" collapsed="false">
      <c r="A17169" s="0" t="str">
        <f aca="false">IMCONJUGATE("4i")</f>
        <v>-4i</v>
      </c>
      <c r="B17169" s="0" t="s">
        <v>17015</v>
      </c>
    </row>
    <row r="17170" customFormat="false" ht="15" hidden="false" customHeight="false" outlineLevel="0" collapsed="false">
      <c r="A17170" s="0" t="str">
        <f aca="false">IMCONJUGATE("-4i")</f>
        <v>4i</v>
      </c>
      <c r="B17170" s="0" t="s">
        <v>17016</v>
      </c>
    </row>
    <row r="17171" customFormat="false" ht="15" hidden="false" customHeight="false" outlineLevel="0" collapsed="false">
      <c r="A17171" s="0" t="str">
        <f aca="false">IMCONJUGATE("i")</f>
        <v>-i</v>
      </c>
      <c r="B17171" s="0" t="s">
        <v>17017</v>
      </c>
    </row>
    <row r="17172" customFormat="false" ht="15" hidden="false" customHeight="false" outlineLevel="0" collapsed="false">
      <c r="A17172" s="0" t="str">
        <f aca="false">IMCONJUGATE("-i")</f>
        <v>i</v>
      </c>
      <c r="B17172" s="0" t="s">
        <v>17018</v>
      </c>
    </row>
    <row r="17173" customFormat="false" ht="15" hidden="false" customHeight="false" outlineLevel="0" collapsed="false">
      <c r="A17173" s="0" t="str">
        <f aca="false">IMCONJUGATE("3")</f>
        <v>3</v>
      </c>
      <c r="B17173" s="0" t="s">
        <v>17019</v>
      </c>
    </row>
    <row r="17174" customFormat="false" ht="15" hidden="false" customHeight="false" outlineLevel="0" collapsed="false">
      <c r="A17174" s="0" t="str">
        <f aca="false">IMCONJUGATE("0")</f>
        <v>0</v>
      </c>
      <c r="B17174" s="0" t="s">
        <v>17020</v>
      </c>
    </row>
    <row r="17175" customFormat="false" ht="15" hidden="false" customHeight="false" outlineLevel="0" collapsed="false">
      <c r="A17175" s="0" t="str">
        <f aca="false">IMCONJUGATE("1+i")</f>
        <v>1-i</v>
      </c>
      <c r="B17175" s="0" t="s">
        <v>17021</v>
      </c>
    </row>
    <row r="17176" customFormat="false" ht="15" hidden="false" customHeight="false" outlineLevel="0" collapsed="false">
      <c r="A17176" s="0" t="str">
        <f aca="false">IMCONJUGATE("1-i")</f>
        <v>1+i</v>
      </c>
      <c r="B17176" s="0" t="s">
        <v>17022</v>
      </c>
    </row>
    <row r="17177" customFormat="false" ht="15" hidden="false" customHeight="false" outlineLevel="0" collapsed="false">
      <c r="A17177" s="0" t="str">
        <f aca="false">IMCONJUGATE("-1-i")</f>
        <v>-1+i</v>
      </c>
      <c r="B17177" s="0" t="s">
        <v>17023</v>
      </c>
    </row>
    <row r="17178" customFormat="false" ht="15" hidden="false" customHeight="false" outlineLevel="0" collapsed="false">
      <c r="A17178" s="0" t="str">
        <f aca="false">IMCONJUGATE("2.5+3.5i")</f>
        <v>2.5-3.5i</v>
      </c>
      <c r="B17178" s="0" t="s">
        <v>17024</v>
      </c>
    </row>
    <row r="17179" customFormat="false" ht="15" hidden="false" customHeight="false" outlineLevel="0" collapsed="false">
      <c r="A17179" s="0" t="str">
        <f aca="false">IMCONJUGATE("1E2+1E-2i")</f>
        <v>100-0.01i</v>
      </c>
      <c r="B17179" s="0" t="s">
        <v>17025</v>
      </c>
    </row>
    <row r="17180" customFormat="false" ht="15" hidden="false" customHeight="false" outlineLevel="0" collapsed="false">
      <c r="A17180" s="0" t="str">
        <f aca="false">IMCONJUGATE("3+4j")</f>
        <v>3-4j</v>
      </c>
      <c r="B17180" s="0" t="s">
        <v>17026</v>
      </c>
    </row>
    <row r="17181" customFormat="false" ht="15" hidden="false" customHeight="false" outlineLevel="0" collapsed="false">
      <c r="A17181" s="0" t="str">
        <f aca="false">IMCONJUGATE("j")</f>
        <v>-j</v>
      </c>
      <c r="B17181" s="0" t="s">
        <v>17027</v>
      </c>
    </row>
    <row r="17182" customFormat="false" ht="15" hidden="false" customHeight="false" outlineLevel="0" collapsed="false">
      <c r="A17182" s="0" t="str">
        <f aca="false">IMCONJUGATE("-j")</f>
        <v>j</v>
      </c>
      <c r="B17182" s="0" t="s">
        <v>17028</v>
      </c>
    </row>
    <row r="17183" customFormat="false" ht="15" hidden="false" customHeight="false" outlineLevel="0" collapsed="false">
      <c r="A17183" s="0" t="str">
        <f aca="false">IMCONJUGATE("2j")</f>
        <v>-2j</v>
      </c>
      <c r="B17183" s="0" t="s">
        <v>17029</v>
      </c>
    </row>
    <row r="17184" customFormat="false" ht="15" hidden="false" customHeight="false" outlineLevel="0" collapsed="false">
      <c r="A17184" s="0" t="e">
        <f aca="false">IMCONJUGATE("1+2k")</f>
        <v>#VALUE!</v>
      </c>
      <c r="B17184" s="0" t="s">
        <v>17030</v>
      </c>
    </row>
    <row r="17185" customFormat="false" ht="15" hidden="false" customHeight="false" outlineLevel="0" collapsed="false">
      <c r="A17185" s="0" t="str">
        <f aca="false">IMCONJUGATE("+3+4i")</f>
        <v>3-4i</v>
      </c>
      <c r="B17185" s="0" t="s">
        <v>17031</v>
      </c>
    </row>
    <row r="17186" customFormat="false" ht="15" hidden="false" customHeight="false" outlineLevel="0" collapsed="false">
      <c r="A17186" s="0" t="e">
        <f aca="false">IMCONJUGATE("3+ 4i")</f>
        <v>#VALUE!</v>
      </c>
      <c r="B17186" s="0" t="s">
        <v>17032</v>
      </c>
    </row>
    <row r="17187" customFormat="false" ht="15" hidden="false" customHeight="false" outlineLevel="0" collapsed="false">
      <c r="A17187" s="0" t="e">
        <f aca="false">IMCONJUGATE(" 3+4i")</f>
        <v>#VALUE!</v>
      </c>
      <c r="B17187" s="0" t="s">
        <v>17033</v>
      </c>
    </row>
    <row r="17188" customFormat="false" ht="15" hidden="false" customHeight="false" outlineLevel="0" collapsed="false">
      <c r="A17188" s="0" t="e">
        <f aca="false">IMCONJUGATE("3+4I")</f>
        <v>#VALUE!</v>
      </c>
      <c r="B17188" s="0" t="s">
        <v>17034</v>
      </c>
    </row>
    <row r="17189" customFormat="false" ht="15" hidden="false" customHeight="false" outlineLevel="0" collapsed="false">
      <c r="A17189" s="0" t="e">
        <f aca="false">IMCONJUGATE("3+4i ")</f>
        <v>#VALUE!</v>
      </c>
      <c r="B17189" s="0" t="s">
        <v>17035</v>
      </c>
    </row>
    <row r="17190" customFormat="false" ht="15" hidden="false" customHeight="false" outlineLevel="0" collapsed="false">
      <c r="A17190" s="0" t="e">
        <f aca="false">IMCONJUGATE("1+i+j")</f>
        <v>#VALUE!</v>
      </c>
      <c r="B17190" s="0" t="s">
        <v>17036</v>
      </c>
    </row>
    <row r="17191" customFormat="false" ht="15" hidden="false" customHeight="false" outlineLevel="0" collapsed="false">
      <c r="A17191" s="0" t="e">
        <f aca="false">IMCONJUGATE("abc")</f>
        <v>#VALUE!</v>
      </c>
      <c r="B17191" s="0" t="s">
        <v>17037</v>
      </c>
    </row>
    <row r="17192" customFormat="false" ht="15" hidden="false" customHeight="false" outlineLevel="0" collapsed="false">
      <c r="A17192" s="0" t="e">
        <f aca="false">IMCONJUGATE("")</f>
        <v>#VALUE!</v>
      </c>
      <c r="B17192" s="0" t="s">
        <v>17038</v>
      </c>
    </row>
    <row r="17193" customFormat="false" ht="15" hidden="false" customHeight="false" outlineLevel="0" collapsed="false">
      <c r="A17193" s="0" t="e">
        <f aca="false">IMCONJUGATE("i3")</f>
        <v>#VALUE!</v>
      </c>
      <c r="B17193" s="0" t="s">
        <v>17039</v>
      </c>
    </row>
    <row r="17194" customFormat="false" ht="15" hidden="false" customHeight="false" outlineLevel="0" collapsed="false">
      <c r="A17194" s="0" t="e">
        <f aca="false">IMCONJUGATE("3i+4")</f>
        <v>#VALUE!</v>
      </c>
      <c r="B17194" s="0" t="s">
        <v>17040</v>
      </c>
    </row>
    <row r="17195" customFormat="false" ht="15" hidden="false" customHeight="false" outlineLevel="0" collapsed="false">
      <c r="A17195" s="0" t="e">
        <f aca="false">IMCONJUGATE("(1+i)")</f>
        <v>#VALUE!</v>
      </c>
      <c r="B17195" s="0" t="s">
        <v>17041</v>
      </c>
    </row>
    <row r="17196" customFormat="false" ht="15" hidden="false" customHeight="false" outlineLevel="0" collapsed="false">
      <c r="A17196" s="0" t="str">
        <f aca="false">IMCONJUGATE("1.5E300+1E300i")</f>
        <v>1.5e+300-1e+300i</v>
      </c>
      <c r="B17196" s="0" t="s">
        <v>17042</v>
      </c>
    </row>
    <row r="17197" customFormat="false" ht="15" hidden="false" customHeight="false" outlineLevel="0" collapsed="false">
      <c r="A17197" s="0" t="str">
        <f aca="false">IMCONJUGATE("0+0i")</f>
        <v>0</v>
      </c>
      <c r="B17197" s="0" t="s">
        <v>17043</v>
      </c>
    </row>
    <row r="17198" customFormat="false" ht="15" hidden="false" customHeight="false" outlineLevel="0" collapsed="false">
      <c r="A17198" s="0" t="str">
        <f aca="false">IMCONJUGATE("-0-0i")</f>
        <v>-0</v>
      </c>
      <c r="B17198" s="0" t="s">
        <v>17044</v>
      </c>
    </row>
    <row r="17199" customFormat="false" ht="15" hidden="false" customHeight="false" outlineLevel="0" collapsed="false">
      <c r="A17199" s="0" t="e">
        <f aca="false">IMCONJUGATE("1/2+i")</f>
        <v>#VALUE!</v>
      </c>
      <c r="B17199" s="0" t="s">
        <v>17045</v>
      </c>
    </row>
    <row r="17200" customFormat="false" ht="15" hidden="false" customHeight="false" outlineLevel="0" collapsed="false">
      <c r="A17200" s="0" t="str">
        <f aca="false">IMCONJUGATE("1e1+i")</f>
        <v>10-i</v>
      </c>
      <c r="B17200" s="0" t="s">
        <v>17046</v>
      </c>
    </row>
    <row r="17201" customFormat="false" ht="15" hidden="false" customHeight="false" outlineLevel="0" collapsed="false">
      <c r="A17201" s="0" t="str">
        <f aca="false">IMCONJUGATE("1+1e1i")</f>
        <v>1-10i</v>
      </c>
      <c r="B17201" s="0" t="s">
        <v>17047</v>
      </c>
    </row>
    <row r="17202" customFormat="false" ht="15" hidden="false" customHeight="false" outlineLevel="0" collapsed="false">
      <c r="A17202" s="0" t="str">
        <f aca="false">IMCONJUGATE(".5+.5i")</f>
        <v>0.5-0.5i</v>
      </c>
      <c r="B17202" s="0" t="s">
        <v>17048</v>
      </c>
    </row>
    <row r="17203" customFormat="false" ht="15" hidden="false" customHeight="false" outlineLevel="0" collapsed="false">
      <c r="A17203" s="0" t="str">
        <f aca="false">IMCONJUGATE("5.")</f>
        <v>5</v>
      </c>
      <c r="B17203" s="0" t="s">
        <v>17049</v>
      </c>
    </row>
    <row r="17204" customFormat="false" ht="15" hidden="false" customHeight="false" outlineLevel="0" collapsed="false">
      <c r="A17204" s="0" t="str">
        <f aca="false">IMCONJUGATE("1,5+2i")</f>
        <v>1.5-2i</v>
      </c>
      <c r="B17204" s="0" t="s">
        <v>17050</v>
      </c>
    </row>
    <row r="17205" customFormat="false" ht="15" hidden="false" customHeight="false" outlineLevel="0" collapsed="false">
      <c r="A17205" s="0" t="e">
        <f aca="false">IMCONJUGATE("3++4i")</f>
        <v>#VALUE!</v>
      </c>
      <c r="B17205" s="0" t="s">
        <v>17051</v>
      </c>
    </row>
    <row r="17206" customFormat="false" ht="15" hidden="false" customHeight="false" outlineLevel="0" collapsed="false">
      <c r="A17206" s="0" t="e">
        <f aca="false">IMCONJUGATE("3+-4i")</f>
        <v>#VALUE!</v>
      </c>
      <c r="B17206" s="0" t="s">
        <v>17052</v>
      </c>
    </row>
    <row r="17207" customFormat="false" ht="15" hidden="false" customHeight="false" outlineLevel="0" collapsed="false">
      <c r="A17207" s="0" t="e">
        <f aca="false">IMCONJUGATE("--3")</f>
        <v>#VALUE!</v>
      </c>
      <c r="B17207" s="0" t="s">
        <v>17053</v>
      </c>
    </row>
    <row r="17208" customFormat="false" ht="15" hidden="false" customHeight="false" outlineLevel="0" collapsed="false">
      <c r="A17208" s="0" t="e">
        <f aca="false">IMCONJUGATE("3i4")</f>
        <v>#VALUE!</v>
      </c>
      <c r="B17208" s="0" t="s">
        <v>17054</v>
      </c>
    </row>
    <row r="17209" customFormat="false" ht="15" hidden="false" customHeight="false" outlineLevel="0" collapsed="false">
      <c r="A17209" s="0" t="str">
        <f aca="false">IMCONJUGATE("0.1+0.2i")</f>
        <v>0.1-0.2i</v>
      </c>
      <c r="B17209" s="0" t="s">
        <v>17055</v>
      </c>
    </row>
    <row r="17210" customFormat="false" ht="15" hidden="false" customHeight="false" outlineLevel="0" collapsed="false">
      <c r="A17210" s="0" t="str">
        <f aca="false">IMCONJUGATE("-2.5")</f>
        <v>-2.5</v>
      </c>
      <c r="B17210" s="0" t="s">
        <v>17056</v>
      </c>
    </row>
    <row r="17211" customFormat="false" ht="15" hidden="false" customHeight="false" outlineLevel="0" collapsed="false">
      <c r="A17211" s="0" t="str">
        <f aca="false">IMCONJUGATE("1E+2i")</f>
        <v>-100i</v>
      </c>
      <c r="B17211" s="0" t="s">
        <v>17057</v>
      </c>
    </row>
    <row r="17212" customFormat="false" ht="15" hidden="false" customHeight="false" outlineLevel="0" collapsed="false">
      <c r="A17212" s="0" t="str">
        <f aca="false">IMCONJUGATE("1E-2i")</f>
        <v>-0.01i</v>
      </c>
      <c r="B17212" s="0" t="s">
        <v>17058</v>
      </c>
    </row>
    <row r="17213" customFormat="false" ht="15" hidden="false" customHeight="false" outlineLevel="0" collapsed="false">
      <c r="A17213" s="0" t="str">
        <f aca="false">IMCONJUGATE("12345678901234567890+1i")</f>
        <v>1.23456789012346e+19-i</v>
      </c>
      <c r="B17213" s="0" t="s">
        <v>17059</v>
      </c>
    </row>
    <row r="17214" customFormat="false" ht="15" hidden="false" customHeight="false" outlineLevel="0" collapsed="false">
      <c r="A17214" s="0" t="e">
        <f aca="false">IMCONJUGATE("1+i2")</f>
        <v>#VALUE!</v>
      </c>
      <c r="B17214" s="0" t="s">
        <v>17060</v>
      </c>
    </row>
    <row r="17215" customFormat="false" ht="15" hidden="false" customHeight="false" outlineLevel="0" collapsed="false">
      <c r="A17215" s="0" t="e">
        <f aca="false">IMCONJUGATE("ii")</f>
        <v>#VALUE!</v>
      </c>
      <c r="B17215" s="0" t="s">
        <v>17061</v>
      </c>
    </row>
    <row r="17216" customFormat="false" ht="15" hidden="false" customHeight="false" outlineLevel="0" collapsed="false">
      <c r="A17216" s="0" t="e">
        <f aca="false">IMCONJUGATE("3 + 4i")</f>
        <v>#VALUE!</v>
      </c>
      <c r="B17216" s="0" t="s">
        <v>17062</v>
      </c>
    </row>
    <row r="17217" customFormat="false" ht="15" hidden="false" customHeight="false" outlineLevel="0" collapsed="false">
      <c r="A17217" s="0" t="e">
        <f aca="false">IMCONJUGATE("4i+3")</f>
        <v>#VALUE!</v>
      </c>
      <c r="B17217" s="0" t="s">
        <v>17063</v>
      </c>
    </row>
    <row r="17218" customFormat="false" ht="15" hidden="false" customHeight="false" outlineLevel="0" collapsed="false">
      <c r="A17218" s="0" t="str">
        <f aca="false">IMCONJUGATE("1+0i")</f>
        <v>1</v>
      </c>
      <c r="B17218" s="0" t="s">
        <v>17064</v>
      </c>
    </row>
    <row r="17219" customFormat="false" ht="15" hidden="false" customHeight="false" outlineLevel="0" collapsed="false">
      <c r="A17219" s="0" t="str">
        <f aca="false">IMCONJUGATE("0+1i")</f>
        <v>-i</v>
      </c>
      <c r="B17219" s="0" t="s">
        <v>17065</v>
      </c>
    </row>
    <row r="17220" customFormat="false" ht="15" hidden="false" customHeight="false" outlineLevel="0" collapsed="false">
      <c r="A17220" s="0" t="str">
        <f aca="false">IMCONJUGATE("0-1i")</f>
        <v>i</v>
      </c>
      <c r="B17220" s="0" t="s">
        <v>17066</v>
      </c>
    </row>
    <row r="17221" customFormat="false" ht="15" hidden="false" customHeight="false" outlineLevel="0" collapsed="false">
      <c r="A17221" s="0" t="str">
        <f aca="false">IMCONJUGATE("-1+0i")</f>
        <v>-1</v>
      </c>
      <c r="B17221" s="0" t="s">
        <v>17067</v>
      </c>
    </row>
    <row r="17222" customFormat="false" ht="15" hidden="false" customHeight="false" outlineLevel="0" collapsed="false">
      <c r="A17222" s="0" t="str">
        <f aca="false">IMCONJUGATE("1e-10+1e-10i")</f>
        <v>1e-10-1e-10i</v>
      </c>
      <c r="B17222" s="0" t="s">
        <v>17068</v>
      </c>
    </row>
    <row r="17223" customFormat="false" ht="15" hidden="false" customHeight="false" outlineLevel="0" collapsed="false">
      <c r="A17223" s="0" t="str">
        <f aca="false">IMCONJUGATE("2+0.0000001i")</f>
        <v>2-1e-07i</v>
      </c>
      <c r="B17223" s="0" t="s">
        <v>17069</v>
      </c>
    </row>
    <row r="17224" customFormat="false" ht="15" hidden="false" customHeight="false" outlineLevel="0" collapsed="false">
      <c r="A17224" s="0" t="e">
        <f aca="false">IMCONJUGATE("TRUE")</f>
        <v>#VALUE!</v>
      </c>
      <c r="B17224" s="0" t="s">
        <v>17070</v>
      </c>
    </row>
    <row r="17225" customFormat="false" ht="15" hidden="false" customHeight="false" outlineLevel="0" collapsed="false">
      <c r="A17225" s="0" t="e">
        <f aca="false">IMCONJUGATE("1+Ii")</f>
        <v>#VALUE!</v>
      </c>
      <c r="B17225" s="0" t="s">
        <v>17071</v>
      </c>
    </row>
    <row r="17226" customFormat="false" ht="15" hidden="false" customHeight="false" outlineLevel="0" collapsed="false">
      <c r="A17226" s="0" t="str">
        <f aca="false">IMCONJUGATE(5)</f>
        <v>5</v>
      </c>
      <c r="B17226" s="0" t="s">
        <v>17072</v>
      </c>
    </row>
    <row r="17227" customFormat="false" ht="15" hidden="false" customHeight="false" outlineLevel="0" collapsed="false">
      <c r="A17227" s="0" t="str">
        <f aca="false">IMCONJUGATE(TRUE())</f>
        <v>1</v>
      </c>
      <c r="B17227" s="0" t="s">
        <v>17073</v>
      </c>
    </row>
    <row r="17228" customFormat="false" ht="15" hidden="false" customHeight="false" outlineLevel="0" collapsed="false">
      <c r="A17228" s="0" t="e">
        <f aca="false">IMCONJUGATE(Data!D1)</f>
        <v>#VALUE!</v>
      </c>
      <c r="B17228" s="0" t="s">
        <v>17074</v>
      </c>
    </row>
    <row r="17229" customFormat="false" ht="15" hidden="false" customHeight="false" outlineLevel="0" collapsed="false">
      <c r="A17229" s="0" t="str">
        <f aca="false">IMCONJUGATE(Data!A1)</f>
        <v>5</v>
      </c>
      <c r="B17229" s="0" t="s">
        <v>17075</v>
      </c>
    </row>
    <row r="17230" customFormat="false" ht="15" hidden="false" customHeight="false" outlineLevel="0" collapsed="false">
      <c r="A17230" s="0" t="e">
        <f aca="false">IMCONJUGATE(Data!B1)</f>
        <v>#VALUE!</v>
      </c>
      <c r="B17230" s="0" t="s">
        <v>17076</v>
      </c>
    </row>
    <row r="17231" customFormat="false" ht="15" hidden="false" customHeight="false" outlineLevel="0" collapsed="false">
      <c r="A17231" s="0" t="e">
        <f aca="false">IMCONJUGATE(NA())</f>
        <v>#N/A</v>
      </c>
      <c r="B17231" s="0" t="s">
        <v>17077</v>
      </c>
    </row>
    <row r="17232" customFormat="false" ht="15" hidden="false" customHeight="false" outlineLevel="0" collapsed="false">
      <c r="A17232" s="0" t="e">
        <f aca="false">IMCONJUGATE("3+4i",1)</f>
        <v>#VALUE!</v>
      </c>
      <c r="B17232" s="0" t="s">
        <v>17078</v>
      </c>
    </row>
    <row r="17233" customFormat="false" ht="15" hidden="false" customHeight="false" outlineLevel="0" collapsed="false">
      <c r="A17233" s="0" t="e">
        <f aca="false">IMCONJUGATE()</f>
        <v>#VALUE!</v>
      </c>
      <c r="B17233" s="0" t="s">
        <v>17079</v>
      </c>
    </row>
    <row r="17234" customFormat="false" ht="15" hidden="false" customHeight="false" outlineLevel="0" collapsed="false">
      <c r="A17234" s="0" t="e">
        <f aca="false">IMCONJUGATE(Data!A1:A3)</f>
        <v>#VALUE!</v>
      </c>
      <c r="B17234" s="0" t="s">
        <v>17080</v>
      </c>
    </row>
    <row r="17235" customFormat="false" ht="15" hidden="false" customHeight="false" outlineLevel="0" collapsed="false">
      <c r="A17235" s="0" t="str">
        <f aca="false">IMCONJUGATE(-2.5)</f>
        <v>-2.5</v>
      </c>
      <c r="B17235" s="0" t="s">
        <v>17081</v>
      </c>
    </row>
    <row r="17236" customFormat="false" ht="15" hidden="false" customHeight="false" outlineLevel="0" collapsed="false">
      <c r="A17236" s="0" t="str">
        <f aca="false">IMCONJUGATE(1E+300)</f>
        <v>1e+300</v>
      </c>
      <c r="B17236" s="0" t="s">
        <v>17082</v>
      </c>
    </row>
    <row r="17237" customFormat="false" ht="15" hidden="false" customHeight="false" outlineLevel="0" collapsed="false">
      <c r="A17237" s="0" t="str">
        <f aca="false">IMCONJUGATE(1E-300)</f>
        <v>1e-300</v>
      </c>
      <c r="B17237" s="0" t="s">
        <v>17083</v>
      </c>
    </row>
    <row r="17238" customFormat="false" ht="15" hidden="false" customHeight="false" outlineLevel="0" collapsed="false">
      <c r="A17238" s="0" t="str">
        <f aca="false">IMSQRT("3+4i")</f>
        <v>2+i</v>
      </c>
      <c r="B17238" s="0" t="s">
        <v>17084</v>
      </c>
    </row>
    <row r="17239" customFormat="false" ht="15" hidden="false" customHeight="false" outlineLevel="0" collapsed="false">
      <c r="A17239" s="0" t="str">
        <f aca="false">IMSQRT("3-4i")</f>
        <v>2-i</v>
      </c>
      <c r="B17239" s="0" t="s">
        <v>17085</v>
      </c>
    </row>
    <row r="17240" customFormat="false" ht="15" hidden="false" customHeight="false" outlineLevel="0" collapsed="false">
      <c r="A17240" s="0" t="str">
        <f aca="false">IMSQRT("4i")</f>
        <v>1.4142135623731+1.4142135623731i</v>
      </c>
      <c r="B17240" s="0" t="s">
        <v>17086</v>
      </c>
    </row>
    <row r="17241" customFormat="false" ht="15" hidden="false" customHeight="false" outlineLevel="0" collapsed="false">
      <c r="A17241" s="0" t="str">
        <f aca="false">IMSQRT("-4i")</f>
        <v>1.4142135623731-1.4142135623731i</v>
      </c>
      <c r="B17241" s="0" t="s">
        <v>17087</v>
      </c>
    </row>
    <row r="17242" customFormat="false" ht="15" hidden="false" customHeight="false" outlineLevel="0" collapsed="false">
      <c r="A17242" s="0" t="str">
        <f aca="false">IMSQRT("i")</f>
        <v>0.707106781186548+0.707106781186548i</v>
      </c>
      <c r="B17242" s="0" t="s">
        <v>17088</v>
      </c>
    </row>
    <row r="17243" customFormat="false" ht="15" hidden="false" customHeight="false" outlineLevel="0" collapsed="false">
      <c r="A17243" s="0" t="str">
        <f aca="false">IMSQRT("-i")</f>
        <v>0.707106781186548-0.707106781186548i</v>
      </c>
      <c r="B17243" s="0" t="s">
        <v>17089</v>
      </c>
    </row>
    <row r="17244" customFormat="false" ht="15" hidden="false" customHeight="false" outlineLevel="0" collapsed="false">
      <c r="A17244" s="0" t="str">
        <f aca="false">IMSQRT("3")</f>
        <v>1.73205080756888</v>
      </c>
      <c r="B17244" s="0" t="s">
        <v>17090</v>
      </c>
    </row>
    <row r="17245" customFormat="false" ht="15" hidden="false" customHeight="false" outlineLevel="0" collapsed="false">
      <c r="A17245" s="0" t="str">
        <f aca="false">IMSQRT("0")</f>
        <v>0</v>
      </c>
      <c r="B17245" s="0" t="s">
        <v>17091</v>
      </c>
    </row>
    <row r="17246" customFormat="false" ht="15" hidden="false" customHeight="false" outlineLevel="0" collapsed="false">
      <c r="A17246" s="0" t="str">
        <f aca="false">IMSQRT("1+i")</f>
        <v>1.09868411346781+0.455089860562227i</v>
      </c>
      <c r="B17246" s="0" t="s">
        <v>17092</v>
      </c>
    </row>
    <row r="17247" customFormat="false" ht="15" hidden="false" customHeight="false" outlineLevel="0" collapsed="false">
      <c r="A17247" s="0" t="str">
        <f aca="false">IMSQRT("1-i")</f>
        <v>1.09868411346781-0.455089860562227i</v>
      </c>
      <c r="B17247" s="0" t="s">
        <v>17093</v>
      </c>
    </row>
    <row r="17248" customFormat="false" ht="15" hidden="false" customHeight="false" outlineLevel="0" collapsed="false">
      <c r="A17248" s="0" t="str">
        <f aca="false">IMSQRT("-1-i")</f>
        <v>0.455089860562227-1.09868411346781i</v>
      </c>
      <c r="B17248" s="0" t="s">
        <v>17094</v>
      </c>
    </row>
    <row r="17249" customFormat="false" ht="15" hidden="false" customHeight="false" outlineLevel="0" collapsed="false">
      <c r="A17249" s="0" t="str">
        <f aca="false">IMSQRT("2.5+3.5i")</f>
        <v>1.84406651636015+0.948989629427349i</v>
      </c>
      <c r="B17249" s="0" t="s">
        <v>17095</v>
      </c>
    </row>
    <row r="17250" customFormat="false" ht="15" hidden="false" customHeight="false" outlineLevel="0" collapsed="false">
      <c r="A17250" s="0" t="str">
        <f aca="false">IMSQRT("1E2+1E-2i")</f>
        <v>10.0000000125+0.000499999999375i</v>
      </c>
      <c r="B17250" s="0" t="s">
        <v>17096</v>
      </c>
    </row>
    <row r="17251" customFormat="false" ht="15" hidden="false" customHeight="false" outlineLevel="0" collapsed="false">
      <c r="A17251" s="0" t="str">
        <f aca="false">IMSQRT("3+4j")</f>
        <v>2+j</v>
      </c>
      <c r="B17251" s="0" t="s">
        <v>17097</v>
      </c>
    </row>
    <row r="17252" customFormat="false" ht="15" hidden="false" customHeight="false" outlineLevel="0" collapsed="false">
      <c r="A17252" s="0" t="str">
        <f aca="false">IMSQRT("j")</f>
        <v>0.707106781186548+0.707106781186548j</v>
      </c>
      <c r="B17252" s="0" t="s">
        <v>17098</v>
      </c>
    </row>
    <row r="17253" customFormat="false" ht="15" hidden="false" customHeight="false" outlineLevel="0" collapsed="false">
      <c r="A17253" s="0" t="str">
        <f aca="false">IMSQRT("-j")</f>
        <v>0.707106781186548-0.707106781186548j</v>
      </c>
      <c r="B17253" s="0" t="s">
        <v>17099</v>
      </c>
    </row>
    <row r="17254" customFormat="false" ht="15" hidden="false" customHeight="false" outlineLevel="0" collapsed="false">
      <c r="A17254" s="0" t="str">
        <f aca="false">IMSQRT("2j")</f>
        <v>1+j</v>
      </c>
      <c r="B17254" s="0" t="s">
        <v>17100</v>
      </c>
    </row>
    <row r="17255" customFormat="false" ht="15" hidden="false" customHeight="false" outlineLevel="0" collapsed="false">
      <c r="A17255" s="0" t="e">
        <f aca="false">IMSQRT("1+2k")</f>
        <v>#VALUE!</v>
      </c>
      <c r="B17255" s="0" t="s">
        <v>17101</v>
      </c>
    </row>
    <row r="17256" customFormat="false" ht="15" hidden="false" customHeight="false" outlineLevel="0" collapsed="false">
      <c r="A17256" s="0" t="str">
        <f aca="false">IMSQRT("+3+4i")</f>
        <v>2+i</v>
      </c>
      <c r="B17256" s="0" t="s">
        <v>17102</v>
      </c>
    </row>
    <row r="17257" customFormat="false" ht="15" hidden="false" customHeight="false" outlineLevel="0" collapsed="false">
      <c r="A17257" s="0" t="e">
        <f aca="false">IMSQRT("3+ 4i")</f>
        <v>#VALUE!</v>
      </c>
      <c r="B17257" s="0" t="s">
        <v>17103</v>
      </c>
    </row>
    <row r="17258" customFormat="false" ht="15" hidden="false" customHeight="false" outlineLevel="0" collapsed="false">
      <c r="A17258" s="0" t="e">
        <f aca="false">IMSQRT(" 3+4i")</f>
        <v>#VALUE!</v>
      </c>
      <c r="B17258" s="0" t="s">
        <v>17104</v>
      </c>
    </row>
    <row r="17259" customFormat="false" ht="15" hidden="false" customHeight="false" outlineLevel="0" collapsed="false">
      <c r="A17259" s="0" t="e">
        <f aca="false">IMSQRT("3+4I")</f>
        <v>#VALUE!</v>
      </c>
      <c r="B17259" s="0" t="s">
        <v>17105</v>
      </c>
    </row>
    <row r="17260" customFormat="false" ht="15" hidden="false" customHeight="false" outlineLevel="0" collapsed="false">
      <c r="A17260" s="0" t="e">
        <f aca="false">IMSQRT("3+4i ")</f>
        <v>#VALUE!</v>
      </c>
      <c r="B17260" s="0" t="s">
        <v>17106</v>
      </c>
    </row>
    <row r="17261" customFormat="false" ht="15" hidden="false" customHeight="false" outlineLevel="0" collapsed="false">
      <c r="A17261" s="0" t="e">
        <f aca="false">IMSQRT("1+i+j")</f>
        <v>#VALUE!</v>
      </c>
      <c r="B17261" s="0" t="s">
        <v>17107</v>
      </c>
    </row>
    <row r="17262" customFormat="false" ht="15" hidden="false" customHeight="false" outlineLevel="0" collapsed="false">
      <c r="A17262" s="0" t="e">
        <f aca="false">IMSQRT("abc")</f>
        <v>#VALUE!</v>
      </c>
      <c r="B17262" s="0" t="s">
        <v>17108</v>
      </c>
    </row>
    <row r="17263" customFormat="false" ht="15" hidden="false" customHeight="false" outlineLevel="0" collapsed="false">
      <c r="A17263" s="0" t="e">
        <f aca="false">IMSQRT("")</f>
        <v>#VALUE!</v>
      </c>
      <c r="B17263" s="0" t="s">
        <v>17109</v>
      </c>
    </row>
    <row r="17264" customFormat="false" ht="15" hidden="false" customHeight="false" outlineLevel="0" collapsed="false">
      <c r="A17264" s="0" t="e">
        <f aca="false">IMSQRT("i3")</f>
        <v>#VALUE!</v>
      </c>
      <c r="B17264" s="0" t="s">
        <v>17110</v>
      </c>
    </row>
    <row r="17265" customFormat="false" ht="15" hidden="false" customHeight="false" outlineLevel="0" collapsed="false">
      <c r="A17265" s="0" t="e">
        <f aca="false">IMSQRT("3i+4")</f>
        <v>#VALUE!</v>
      </c>
      <c r="B17265" s="0" t="s">
        <v>17111</v>
      </c>
    </row>
    <row r="17266" customFormat="false" ht="15" hidden="false" customHeight="false" outlineLevel="0" collapsed="false">
      <c r="A17266" s="0" t="e">
        <f aca="false">IMSQRT("(1+i)")</f>
        <v>#VALUE!</v>
      </c>
      <c r="B17266" s="0" t="s">
        <v>17112</v>
      </c>
    </row>
    <row r="17267" customFormat="false" ht="15" hidden="false" customHeight="false" outlineLevel="0" collapsed="false">
      <c r="A17267" s="0" t="str">
        <f aca="false">IMSQRT("1.5E300+1E300i")</f>
        <v>1.28506335208269e+150+3.89085875952851e+149i</v>
      </c>
      <c r="B17267" s="0" t="s">
        <v>17113</v>
      </c>
    </row>
    <row r="17268" customFormat="false" ht="15" hidden="false" customHeight="false" outlineLevel="0" collapsed="false">
      <c r="A17268" s="0" t="str">
        <f aca="false">IMSQRT("0+0i")</f>
        <v>0</v>
      </c>
      <c r="B17268" s="0" t="s">
        <v>17114</v>
      </c>
    </row>
    <row r="17269" customFormat="false" ht="15" hidden="false" customHeight="false" outlineLevel="0" collapsed="false">
      <c r="A17269" s="0" t="str">
        <f aca="false">IMSQRT("-0-0i")</f>
        <v>0</v>
      </c>
      <c r="B17269" s="0" t="s">
        <v>17115</v>
      </c>
    </row>
    <row r="17270" customFormat="false" ht="15" hidden="false" customHeight="false" outlineLevel="0" collapsed="false">
      <c r="A17270" s="0" t="e">
        <f aca="false">IMSQRT("1/2+i")</f>
        <v>#VALUE!</v>
      </c>
      <c r="B17270" s="0" t="s">
        <v>17116</v>
      </c>
    </row>
    <row r="17271" customFormat="false" ht="15" hidden="false" customHeight="false" outlineLevel="0" collapsed="false">
      <c r="A17271" s="0" t="str">
        <f aca="false">IMSQRT("1e1+i")</f>
        <v>3.16621821903678+0.157917100278738i</v>
      </c>
      <c r="B17271" s="0" t="s">
        <v>17117</v>
      </c>
    </row>
    <row r="17272" customFormat="false" ht="15" hidden="false" customHeight="false" outlineLevel="0" collapsed="false">
      <c r="A17272" s="0" t="str">
        <f aca="false">IMSQRT("1+1e1i")</f>
        <v>2.35051862586971+2.12719012092489i</v>
      </c>
      <c r="B17272" s="0" t="s">
        <v>17118</v>
      </c>
    </row>
    <row r="17273" customFormat="false" ht="15" hidden="false" customHeight="false" outlineLevel="0" collapsed="false">
      <c r="A17273" s="0" t="str">
        <f aca="false">IMSQRT(".5+.5i")</f>
        <v>0.776886987015019+0.321797126452791i</v>
      </c>
      <c r="B17273" s="0" t="s">
        <v>17119</v>
      </c>
    </row>
    <row r="17274" customFormat="false" ht="15" hidden="false" customHeight="false" outlineLevel="0" collapsed="false">
      <c r="A17274" s="0" t="str">
        <f aca="false">IMSQRT("5.")</f>
        <v>2.23606797749979</v>
      </c>
      <c r="B17274" s="0" t="s">
        <v>17120</v>
      </c>
    </row>
    <row r="17275" customFormat="false" ht="15" hidden="false" customHeight="false" outlineLevel="0" collapsed="false">
      <c r="A17275" s="0" t="str">
        <f aca="false">IMSQRT("1,5+2i")</f>
        <v>1.4142135623731+0.707106781186547i</v>
      </c>
      <c r="B17275" s="0" t="s">
        <v>17121</v>
      </c>
    </row>
    <row r="17276" customFormat="false" ht="15" hidden="false" customHeight="false" outlineLevel="0" collapsed="false">
      <c r="A17276" s="0" t="e">
        <f aca="false">IMSQRT("3++4i")</f>
        <v>#VALUE!</v>
      </c>
      <c r="B17276" s="0" t="s">
        <v>17122</v>
      </c>
    </row>
    <row r="17277" customFormat="false" ht="15" hidden="false" customHeight="false" outlineLevel="0" collapsed="false">
      <c r="A17277" s="0" t="e">
        <f aca="false">IMSQRT("3+-4i")</f>
        <v>#VALUE!</v>
      </c>
      <c r="B17277" s="0" t="s">
        <v>17123</v>
      </c>
    </row>
    <row r="17278" customFormat="false" ht="15" hidden="false" customHeight="false" outlineLevel="0" collapsed="false">
      <c r="A17278" s="0" t="e">
        <f aca="false">IMSQRT("--3")</f>
        <v>#VALUE!</v>
      </c>
      <c r="B17278" s="0" t="s">
        <v>17124</v>
      </c>
    </row>
    <row r="17279" customFormat="false" ht="15" hidden="false" customHeight="false" outlineLevel="0" collapsed="false">
      <c r="A17279" s="0" t="e">
        <f aca="false">IMSQRT("3i4")</f>
        <v>#VALUE!</v>
      </c>
      <c r="B17279" s="0" t="s">
        <v>17125</v>
      </c>
    </row>
    <row r="17280" customFormat="false" ht="15" hidden="false" customHeight="false" outlineLevel="0" collapsed="false">
      <c r="A17280" s="0" t="str">
        <f aca="false">IMSQRT("0.1+0.2i")</f>
        <v>0.402247932095355+0.248602893939289i</v>
      </c>
      <c r="B17280" s="0" t="s">
        <v>17126</v>
      </c>
    </row>
    <row r="17281" customFormat="false" ht="15" hidden="false" customHeight="false" outlineLevel="0" collapsed="false">
      <c r="A17281" s="0" t="str">
        <f aca="false">IMSQRT("-2.5")</f>
        <v>1.58113883008419i</v>
      </c>
      <c r="B17281" s="0" t="s">
        <v>17127</v>
      </c>
    </row>
    <row r="17282" customFormat="false" ht="15" hidden="false" customHeight="false" outlineLevel="0" collapsed="false">
      <c r="A17282" s="0" t="str">
        <f aca="false">IMSQRT("1E+2i")</f>
        <v>7.07106781186548+7.07106781186548i</v>
      </c>
      <c r="B17282" s="0" t="s">
        <v>17128</v>
      </c>
    </row>
    <row r="17283" customFormat="false" ht="15" hidden="false" customHeight="false" outlineLevel="0" collapsed="false">
      <c r="A17283" s="0" t="str">
        <f aca="false">IMSQRT("1E-2i")</f>
        <v>0.0707106781186548+0.0707106781186548i</v>
      </c>
      <c r="B17283" s="0" t="s">
        <v>17129</v>
      </c>
    </row>
    <row r="17284" customFormat="false" ht="15" hidden="false" customHeight="false" outlineLevel="0" collapsed="false">
      <c r="A17284" s="0" t="str">
        <f aca="false">IMSQRT("12345678901234567890+1i")</f>
        <v>3513641828.82014+1.42302495347938e-10i</v>
      </c>
      <c r="B17284" s="0" t="s">
        <v>17130</v>
      </c>
    </row>
    <row r="17285" customFormat="false" ht="15" hidden="false" customHeight="false" outlineLevel="0" collapsed="false">
      <c r="A17285" s="0" t="e">
        <f aca="false">IMSQRT("1+i2")</f>
        <v>#VALUE!</v>
      </c>
      <c r="B17285" s="0" t="s">
        <v>17131</v>
      </c>
    </row>
    <row r="17286" customFormat="false" ht="15" hidden="false" customHeight="false" outlineLevel="0" collapsed="false">
      <c r="A17286" s="0" t="e">
        <f aca="false">IMSQRT("ii")</f>
        <v>#VALUE!</v>
      </c>
      <c r="B17286" s="0" t="s">
        <v>17132</v>
      </c>
    </row>
    <row r="17287" customFormat="false" ht="15" hidden="false" customHeight="false" outlineLevel="0" collapsed="false">
      <c r="A17287" s="0" t="e">
        <f aca="false">IMSQRT("3 + 4i")</f>
        <v>#VALUE!</v>
      </c>
      <c r="B17287" s="0" t="s">
        <v>17133</v>
      </c>
    </row>
    <row r="17288" customFormat="false" ht="15" hidden="false" customHeight="false" outlineLevel="0" collapsed="false">
      <c r="A17288" s="0" t="e">
        <f aca="false">IMSQRT("4i+3")</f>
        <v>#VALUE!</v>
      </c>
      <c r="B17288" s="0" t="s">
        <v>17134</v>
      </c>
    </row>
    <row r="17289" customFormat="false" ht="15" hidden="false" customHeight="false" outlineLevel="0" collapsed="false">
      <c r="A17289" s="0" t="str">
        <f aca="false">IMSQRT("1+0i")</f>
        <v>1</v>
      </c>
      <c r="B17289" s="0" t="s">
        <v>17135</v>
      </c>
    </row>
    <row r="17290" customFormat="false" ht="15" hidden="false" customHeight="false" outlineLevel="0" collapsed="false">
      <c r="A17290" s="0" t="str">
        <f aca="false">IMSQRT("0+1i")</f>
        <v>0.707106781186548+0.707106781186548i</v>
      </c>
      <c r="B17290" s="0" t="s">
        <v>17136</v>
      </c>
    </row>
    <row r="17291" customFormat="false" ht="15" hidden="false" customHeight="false" outlineLevel="0" collapsed="false">
      <c r="A17291" s="0" t="str">
        <f aca="false">IMSQRT("0-1i")</f>
        <v>0.707106781186548-0.707106781186548i</v>
      </c>
      <c r="B17291" s="0" t="s">
        <v>17137</v>
      </c>
    </row>
    <row r="17292" customFormat="false" ht="15" hidden="false" customHeight="false" outlineLevel="0" collapsed="false">
      <c r="A17292" s="0" t="str">
        <f aca="false">IMSQRT("-1+0i")</f>
        <v>i</v>
      </c>
      <c r="B17292" s="0" t="s">
        <v>17138</v>
      </c>
    </row>
    <row r="17293" customFormat="false" ht="15" hidden="false" customHeight="false" outlineLevel="0" collapsed="false">
      <c r="A17293" s="0" t="str">
        <f aca="false">IMSQRT("1e-10+1e-10i")</f>
        <v>1.09868411346781e-05+4.55089860562227e-06i</v>
      </c>
      <c r="B17293" s="0" t="s">
        <v>17139</v>
      </c>
    </row>
    <row r="17294" customFormat="false" ht="15" hidden="false" customHeight="false" outlineLevel="0" collapsed="false">
      <c r="A17294" s="0" t="str">
        <f aca="false">IMSQRT("2+0.0000001i")</f>
        <v>1.4142135623731+3.53553390593274e-08i</v>
      </c>
      <c r="B17294" s="0" t="s">
        <v>17140</v>
      </c>
    </row>
    <row r="17295" customFormat="false" ht="15" hidden="false" customHeight="false" outlineLevel="0" collapsed="false">
      <c r="A17295" s="0" t="e">
        <f aca="false">IMSQRT("TRUE")</f>
        <v>#VALUE!</v>
      </c>
      <c r="B17295" s="0" t="s">
        <v>17141</v>
      </c>
    </row>
    <row r="17296" customFormat="false" ht="15" hidden="false" customHeight="false" outlineLevel="0" collapsed="false">
      <c r="A17296" s="0" t="e">
        <f aca="false">IMSQRT("1+Ii")</f>
        <v>#VALUE!</v>
      </c>
      <c r="B17296" s="0" t="s">
        <v>17142</v>
      </c>
    </row>
    <row r="17297" customFormat="false" ht="15" hidden="false" customHeight="false" outlineLevel="0" collapsed="false">
      <c r="A17297" s="0" t="str">
        <f aca="false">IMSQRT(5)</f>
        <v>2.23606797749979</v>
      </c>
      <c r="B17297" s="0" t="s">
        <v>17143</v>
      </c>
    </row>
    <row r="17298" customFormat="false" ht="15" hidden="false" customHeight="false" outlineLevel="0" collapsed="false">
      <c r="A17298" s="0" t="str">
        <f aca="false">IMSQRT(TRUE())</f>
        <v>1</v>
      </c>
      <c r="B17298" s="0" t="s">
        <v>17144</v>
      </c>
    </row>
    <row r="17299" customFormat="false" ht="15" hidden="false" customHeight="false" outlineLevel="0" collapsed="false">
      <c r="A17299" s="0" t="e">
        <f aca="false">IMSQRT(Data!D1)</f>
        <v>#VALUE!</v>
      </c>
      <c r="B17299" s="0" t="s">
        <v>17145</v>
      </c>
    </row>
    <row r="17300" customFormat="false" ht="15" hidden="false" customHeight="false" outlineLevel="0" collapsed="false">
      <c r="A17300" s="0" t="str">
        <f aca="false">IMSQRT(Data!A1)</f>
        <v>2.23606797749979</v>
      </c>
      <c r="B17300" s="0" t="s">
        <v>17146</v>
      </c>
    </row>
    <row r="17301" customFormat="false" ht="15" hidden="false" customHeight="false" outlineLevel="0" collapsed="false">
      <c r="A17301" s="0" t="e">
        <f aca="false">IMSQRT(Data!B1)</f>
        <v>#VALUE!</v>
      </c>
      <c r="B17301" s="0" t="s">
        <v>17147</v>
      </c>
    </row>
    <row r="17302" customFormat="false" ht="15" hidden="false" customHeight="false" outlineLevel="0" collapsed="false">
      <c r="A17302" s="0" t="e">
        <f aca="false">IMSQRT(NA())</f>
        <v>#N/A</v>
      </c>
      <c r="B17302" s="0" t="s">
        <v>17148</v>
      </c>
    </row>
    <row r="17303" customFormat="false" ht="15" hidden="false" customHeight="false" outlineLevel="0" collapsed="false">
      <c r="A17303" s="0" t="e">
        <f aca="false">IMSQRT("3+4i",1)</f>
        <v>#VALUE!</v>
      </c>
      <c r="B17303" s="0" t="s">
        <v>17149</v>
      </c>
    </row>
    <row r="17304" customFormat="false" ht="15" hidden="false" customHeight="false" outlineLevel="0" collapsed="false">
      <c r="A17304" s="0" t="e">
        <f aca="false">IMSQRT()</f>
        <v>#VALUE!</v>
      </c>
      <c r="B17304" s="0" t="s">
        <v>17150</v>
      </c>
    </row>
    <row r="17305" customFormat="false" ht="15" hidden="false" customHeight="false" outlineLevel="0" collapsed="false">
      <c r="A17305" s="0" t="e">
        <f aca="false">IMSQRT(Data!A1:A3)</f>
        <v>#VALUE!</v>
      </c>
      <c r="B17305" s="0" t="s">
        <v>17151</v>
      </c>
    </row>
    <row r="17306" customFormat="false" ht="15" hidden="false" customHeight="false" outlineLevel="0" collapsed="false">
      <c r="A17306" s="0" t="str">
        <f aca="false">IMSQRT(-2.5)</f>
        <v>1.58113883008419i</v>
      </c>
      <c r="B17306" s="0" t="s">
        <v>17152</v>
      </c>
    </row>
    <row r="17307" customFormat="false" ht="15" hidden="false" customHeight="false" outlineLevel="0" collapsed="false">
      <c r="A17307" s="0" t="str">
        <f aca="false">IMSQRT(1E+300)</f>
        <v>1e+150</v>
      </c>
      <c r="B17307" s="0" t="s">
        <v>17153</v>
      </c>
    </row>
    <row r="17308" customFormat="false" ht="15" hidden="false" customHeight="false" outlineLevel="0" collapsed="false">
      <c r="A17308" s="0" t="str">
        <f aca="false">IMSQRT(1E-300)</f>
        <v>1e-150</v>
      </c>
      <c r="B17308" s="0" t="s">
        <v>17154</v>
      </c>
    </row>
    <row r="17309" customFormat="false" ht="15" hidden="false" customHeight="false" outlineLevel="0" collapsed="false">
      <c r="A17309" s="0" t="str">
        <f aca="false">IMEXP("3+4i")</f>
        <v>-13.1287830814622-15.200784463068i</v>
      </c>
      <c r="B17309" s="0" t="s">
        <v>17155</v>
      </c>
    </row>
    <row r="17310" customFormat="false" ht="15" hidden="false" customHeight="false" outlineLevel="0" collapsed="false">
      <c r="A17310" s="0" t="str">
        <f aca="false">IMEXP("3-4i")</f>
        <v>-13.1287830814622+15.200784463068i</v>
      </c>
      <c r="B17310" s="0" t="s">
        <v>17156</v>
      </c>
    </row>
    <row r="17311" customFormat="false" ht="15" hidden="false" customHeight="false" outlineLevel="0" collapsed="false">
      <c r="A17311" s="0" t="str">
        <f aca="false">IMEXP("4i")</f>
        <v>-0.653643620863612-0.756802495307928i</v>
      </c>
      <c r="B17311" s="0" t="s">
        <v>17157</v>
      </c>
    </row>
    <row r="17312" customFormat="false" ht="15" hidden="false" customHeight="false" outlineLevel="0" collapsed="false">
      <c r="A17312" s="0" t="str">
        <f aca="false">IMEXP("-4i")</f>
        <v>-0.653643620863612+0.756802495307928i</v>
      </c>
      <c r="B17312" s="0" t="s">
        <v>17158</v>
      </c>
    </row>
    <row r="17313" customFormat="false" ht="15" hidden="false" customHeight="false" outlineLevel="0" collapsed="false">
      <c r="A17313" s="0" t="str">
        <f aca="false">IMEXP("i")</f>
        <v>0.54030230586814+0.841470984807897i</v>
      </c>
      <c r="B17313" s="0" t="s">
        <v>17159</v>
      </c>
    </row>
    <row r="17314" customFormat="false" ht="15" hidden="false" customHeight="false" outlineLevel="0" collapsed="false">
      <c r="A17314" s="0" t="str">
        <f aca="false">IMEXP("-i")</f>
        <v>0.54030230586814-0.841470984807897i</v>
      </c>
      <c r="B17314" s="0" t="s">
        <v>17160</v>
      </c>
    </row>
    <row r="17315" customFormat="false" ht="15" hidden="false" customHeight="false" outlineLevel="0" collapsed="false">
      <c r="A17315" s="0" t="str">
        <f aca="false">IMEXP("3")</f>
        <v>20.0855369231877</v>
      </c>
      <c r="B17315" s="0" t="s">
        <v>17161</v>
      </c>
    </row>
    <row r="17316" customFormat="false" ht="15" hidden="false" customHeight="false" outlineLevel="0" collapsed="false">
      <c r="A17316" s="0" t="str">
        <f aca="false">IMEXP("0")</f>
        <v>1</v>
      </c>
      <c r="B17316" s="0" t="s">
        <v>17162</v>
      </c>
    </row>
    <row r="17317" customFormat="false" ht="15" hidden="false" customHeight="false" outlineLevel="0" collapsed="false">
      <c r="A17317" s="0" t="str">
        <f aca="false">IMEXP("1+i")</f>
        <v>1.46869393991589+2.28735528717884i</v>
      </c>
      <c r="B17317" s="0" t="s">
        <v>17163</v>
      </c>
    </row>
    <row r="17318" customFormat="false" ht="15" hidden="false" customHeight="false" outlineLevel="0" collapsed="false">
      <c r="A17318" s="0" t="str">
        <f aca="false">IMEXP("1-i")</f>
        <v>1.46869393991589-2.28735528717884i</v>
      </c>
      <c r="B17318" s="0" t="s">
        <v>17164</v>
      </c>
    </row>
    <row r="17319" customFormat="false" ht="15" hidden="false" customHeight="false" outlineLevel="0" collapsed="false">
      <c r="A17319" s="0" t="str">
        <f aca="false">IMEXP("-1-i")</f>
        <v>0.198766110346413-0.309559875653112i</v>
      </c>
      <c r="B17319" s="0" t="s">
        <v>17165</v>
      </c>
    </row>
    <row r="17320" customFormat="false" ht="15" hidden="false" customHeight="false" outlineLevel="0" collapsed="false">
      <c r="A17320" s="0" t="str">
        <f aca="false">IMEXP("2.5+3.5i")</f>
        <v>-11.4083779373805-4.27341455284486i</v>
      </c>
      <c r="B17320" s="0" t="s">
        <v>17166</v>
      </c>
    </row>
    <row r="17321" customFormat="false" ht="15" hidden="false" customHeight="false" outlineLevel="0" collapsed="false">
      <c r="A17321" s="0" t="str">
        <f aca="false">IMEXP("1E2+1E-2i")</f>
        <v>2.68798273707909e+43+2.68807234008778e+41i</v>
      </c>
      <c r="B17321" s="0" t="s">
        <v>17167</v>
      </c>
    </row>
    <row r="17322" customFormat="false" ht="15" hidden="false" customHeight="false" outlineLevel="0" collapsed="false">
      <c r="A17322" s="0" t="str">
        <f aca="false">IMEXP("3+4j")</f>
        <v>-13.1287830814622-15.200784463068j</v>
      </c>
      <c r="B17322" s="0" t="s">
        <v>17168</v>
      </c>
    </row>
    <row r="17323" customFormat="false" ht="15" hidden="false" customHeight="false" outlineLevel="0" collapsed="false">
      <c r="A17323" s="0" t="str">
        <f aca="false">IMEXP("j")</f>
        <v>0.54030230586814+0.841470984807897j</v>
      </c>
      <c r="B17323" s="0" t="s">
        <v>17169</v>
      </c>
    </row>
    <row r="17324" customFormat="false" ht="15" hidden="false" customHeight="false" outlineLevel="0" collapsed="false">
      <c r="A17324" s="0" t="str">
        <f aca="false">IMEXP("-j")</f>
        <v>0.54030230586814-0.841470984807897j</v>
      </c>
      <c r="B17324" s="0" t="s">
        <v>17170</v>
      </c>
    </row>
    <row r="17325" customFormat="false" ht="15" hidden="false" customHeight="false" outlineLevel="0" collapsed="false">
      <c r="A17325" s="0" t="str">
        <f aca="false">IMEXP("2j")</f>
        <v>-0.416146836547142+0.909297426825682j</v>
      </c>
      <c r="B17325" s="0" t="s">
        <v>17171</v>
      </c>
    </row>
    <row r="17326" customFormat="false" ht="15" hidden="false" customHeight="false" outlineLevel="0" collapsed="false">
      <c r="A17326" s="0" t="e">
        <f aca="false">IMEXP("1+2k")</f>
        <v>#VALUE!</v>
      </c>
      <c r="B17326" s="0" t="s">
        <v>17172</v>
      </c>
    </row>
    <row r="17327" customFormat="false" ht="15" hidden="false" customHeight="false" outlineLevel="0" collapsed="false">
      <c r="A17327" s="0" t="str">
        <f aca="false">IMEXP("+3+4i")</f>
        <v>-13.1287830814622-15.200784463068i</v>
      </c>
      <c r="B17327" s="0" t="s">
        <v>17173</v>
      </c>
    </row>
    <row r="17328" customFormat="false" ht="15" hidden="false" customHeight="false" outlineLevel="0" collapsed="false">
      <c r="A17328" s="0" t="e">
        <f aca="false">IMEXP("3+ 4i")</f>
        <v>#VALUE!</v>
      </c>
      <c r="B17328" s="0" t="s">
        <v>17174</v>
      </c>
    </row>
    <row r="17329" customFormat="false" ht="15" hidden="false" customHeight="false" outlineLevel="0" collapsed="false">
      <c r="A17329" s="0" t="e">
        <f aca="false">IMEXP(" 3+4i")</f>
        <v>#VALUE!</v>
      </c>
      <c r="B17329" s="0" t="s">
        <v>17175</v>
      </c>
    </row>
    <row r="17330" customFormat="false" ht="15" hidden="false" customHeight="false" outlineLevel="0" collapsed="false">
      <c r="A17330" s="0" t="e">
        <f aca="false">IMEXP("3+4I")</f>
        <v>#VALUE!</v>
      </c>
      <c r="B17330" s="0" t="s">
        <v>17176</v>
      </c>
    </row>
    <row r="17331" customFormat="false" ht="15" hidden="false" customHeight="false" outlineLevel="0" collapsed="false">
      <c r="A17331" s="0" t="e">
        <f aca="false">IMEXP("3+4i ")</f>
        <v>#VALUE!</v>
      </c>
      <c r="B17331" s="0" t="s">
        <v>17177</v>
      </c>
    </row>
    <row r="17332" customFormat="false" ht="15" hidden="false" customHeight="false" outlineLevel="0" collapsed="false">
      <c r="A17332" s="0" t="e">
        <f aca="false">IMEXP("1+i+j")</f>
        <v>#VALUE!</v>
      </c>
      <c r="B17332" s="0" t="s">
        <v>17178</v>
      </c>
    </row>
    <row r="17333" customFormat="false" ht="15" hidden="false" customHeight="false" outlineLevel="0" collapsed="false">
      <c r="A17333" s="0" t="e">
        <f aca="false">IMEXP("abc")</f>
        <v>#VALUE!</v>
      </c>
      <c r="B17333" s="0" t="s">
        <v>17179</v>
      </c>
    </row>
    <row r="17334" customFormat="false" ht="15" hidden="false" customHeight="false" outlineLevel="0" collapsed="false">
      <c r="A17334" s="0" t="e">
        <f aca="false">IMEXP("")</f>
        <v>#VALUE!</v>
      </c>
      <c r="B17334" s="0" t="s">
        <v>17180</v>
      </c>
    </row>
    <row r="17335" customFormat="false" ht="15" hidden="false" customHeight="false" outlineLevel="0" collapsed="false">
      <c r="A17335" s="0" t="e">
        <f aca="false">IMEXP("i3")</f>
        <v>#VALUE!</v>
      </c>
      <c r="B17335" s="0" t="s">
        <v>17181</v>
      </c>
    </row>
    <row r="17336" customFormat="false" ht="15" hidden="false" customHeight="false" outlineLevel="0" collapsed="false">
      <c r="A17336" s="0" t="e">
        <f aca="false">IMEXP("3i+4")</f>
        <v>#VALUE!</v>
      </c>
      <c r="B17336" s="0" t="s">
        <v>17182</v>
      </c>
    </row>
    <row r="17337" customFormat="false" ht="15" hidden="false" customHeight="false" outlineLevel="0" collapsed="false">
      <c r="A17337" s="0" t="e">
        <f aca="false">IMEXP("(1+i)")</f>
        <v>#VALUE!</v>
      </c>
      <c r="B17337" s="0" t="s">
        <v>17183</v>
      </c>
    </row>
    <row r="17338" customFormat="false" ht="15" hidden="false" customHeight="false" outlineLevel="0" collapsed="false">
      <c r="A17338" s="0" t="e">
        <f aca="false">IMEXP("1.5E300+1E300i")</f>
        <v>#VALUE!</v>
      </c>
      <c r="B17338" s="0" t="s">
        <v>17184</v>
      </c>
    </row>
    <row r="17339" customFormat="false" ht="15" hidden="false" customHeight="false" outlineLevel="0" collapsed="false">
      <c r="A17339" s="0" t="str">
        <f aca="false">IMEXP("0+0i")</f>
        <v>1</v>
      </c>
      <c r="B17339" s="0" t="s">
        <v>17185</v>
      </c>
    </row>
    <row r="17340" customFormat="false" ht="15" hidden="false" customHeight="false" outlineLevel="0" collapsed="false">
      <c r="A17340" s="0" t="str">
        <f aca="false">IMEXP("-0-0i")</f>
        <v>1</v>
      </c>
      <c r="B17340" s="0" t="s">
        <v>17186</v>
      </c>
    </row>
    <row r="17341" customFormat="false" ht="15" hidden="false" customHeight="false" outlineLevel="0" collapsed="false">
      <c r="A17341" s="0" t="e">
        <f aca="false">IMEXP("1/2+i")</f>
        <v>#VALUE!</v>
      </c>
      <c r="B17341" s="0" t="s">
        <v>17187</v>
      </c>
    </row>
    <row r="17342" customFormat="false" ht="15" hidden="false" customHeight="false" outlineLevel="0" collapsed="false">
      <c r="A17342" s="0" t="str">
        <f aca="false">IMEXP("1e1+i")</f>
        <v>11900.9502590598+18534.6318641935i</v>
      </c>
      <c r="B17342" s="0" t="s">
        <v>17188</v>
      </c>
    </row>
    <row r="17343" customFormat="false" ht="15" hidden="false" customHeight="false" outlineLevel="0" collapsed="false">
      <c r="A17343" s="0" t="str">
        <f aca="false">IMEXP("1+1e1i")</f>
        <v>-2.28083289026587-1.47880270002868i</v>
      </c>
      <c r="B17343" s="0" t="s">
        <v>17189</v>
      </c>
    </row>
    <row r="17344" customFormat="false" ht="15" hidden="false" customHeight="false" outlineLevel="0" collapsed="false">
      <c r="A17344" s="0" t="str">
        <f aca="false">IMEXP(".5+.5i")</f>
        <v>1.44688903658417+0.790439083213615i</v>
      </c>
      <c r="B17344" s="0" t="s">
        <v>17190</v>
      </c>
    </row>
    <row r="17345" customFormat="false" ht="15" hidden="false" customHeight="false" outlineLevel="0" collapsed="false">
      <c r="A17345" s="0" t="str">
        <f aca="false">IMEXP("5.")</f>
        <v>148.413159102577</v>
      </c>
      <c r="B17345" s="0" t="s">
        <v>17191</v>
      </c>
    </row>
    <row r="17346" customFormat="false" ht="15" hidden="false" customHeight="false" outlineLevel="0" collapsed="false">
      <c r="A17346" s="0" t="str">
        <f aca="false">IMEXP("1,5+2i")</f>
        <v>-1.86504072900909+4.07518833949118i</v>
      </c>
      <c r="B17346" s="0" t="s">
        <v>17192</v>
      </c>
    </row>
    <row r="17347" customFormat="false" ht="15" hidden="false" customHeight="false" outlineLevel="0" collapsed="false">
      <c r="A17347" s="0" t="e">
        <f aca="false">IMEXP("3++4i")</f>
        <v>#VALUE!</v>
      </c>
      <c r="B17347" s="0" t="s">
        <v>17193</v>
      </c>
    </row>
    <row r="17348" customFormat="false" ht="15" hidden="false" customHeight="false" outlineLevel="0" collapsed="false">
      <c r="A17348" s="0" t="e">
        <f aca="false">IMEXP("3+-4i")</f>
        <v>#VALUE!</v>
      </c>
      <c r="B17348" s="0" t="s">
        <v>17194</v>
      </c>
    </row>
    <row r="17349" customFormat="false" ht="15" hidden="false" customHeight="false" outlineLevel="0" collapsed="false">
      <c r="A17349" s="0" t="e">
        <f aca="false">IMEXP("--3")</f>
        <v>#VALUE!</v>
      </c>
      <c r="B17349" s="0" t="s">
        <v>17195</v>
      </c>
    </row>
    <row r="17350" customFormat="false" ht="15" hidden="false" customHeight="false" outlineLevel="0" collapsed="false">
      <c r="A17350" s="0" t="e">
        <f aca="false">IMEXP("3i4")</f>
        <v>#VALUE!</v>
      </c>
      <c r="B17350" s="0" t="s">
        <v>17196</v>
      </c>
    </row>
    <row r="17351" customFormat="false" ht="15" hidden="false" customHeight="false" outlineLevel="0" collapsed="false">
      <c r="A17351" s="0" t="str">
        <f aca="false">IMEXP("0.1+0.2i")</f>
        <v>1.08314107960806+0.219563566708252i</v>
      </c>
      <c r="B17351" s="0" t="s">
        <v>17197</v>
      </c>
    </row>
    <row r="17352" customFormat="false" ht="15" hidden="false" customHeight="false" outlineLevel="0" collapsed="false">
      <c r="A17352" s="0" t="str">
        <f aca="false">IMEXP("-2.5")</f>
        <v>0.0820849986238988</v>
      </c>
      <c r="B17352" s="0" t="s">
        <v>17198</v>
      </c>
    </row>
    <row r="17353" customFormat="false" ht="15" hidden="false" customHeight="false" outlineLevel="0" collapsed="false">
      <c r="A17353" s="0" t="str">
        <f aca="false">IMEXP("1E+2i")</f>
        <v>0.862318872287684-0.506365641109759i</v>
      </c>
      <c r="B17353" s="0" t="s">
        <v>17199</v>
      </c>
    </row>
    <row r="17354" customFormat="false" ht="15" hidden="false" customHeight="false" outlineLevel="0" collapsed="false">
      <c r="A17354" s="0" t="str">
        <f aca="false">IMEXP("1E-2i")</f>
        <v>0.999950000416665+0.00999983333416666i</v>
      </c>
      <c r="B17354" s="0" t="s">
        <v>17200</v>
      </c>
    </row>
    <row r="17355" customFormat="false" ht="15" hidden="false" customHeight="false" outlineLevel="0" collapsed="false">
      <c r="A17355" s="0" t="e">
        <f aca="false">IMEXP("12345678901234567890+1i")</f>
        <v>#VALUE!</v>
      </c>
      <c r="B17355" s="0" t="s">
        <v>17201</v>
      </c>
    </row>
    <row r="17356" customFormat="false" ht="15" hidden="false" customHeight="false" outlineLevel="0" collapsed="false">
      <c r="A17356" s="0" t="e">
        <f aca="false">IMEXP("1+i2")</f>
        <v>#VALUE!</v>
      </c>
      <c r="B17356" s="0" t="s">
        <v>17202</v>
      </c>
    </row>
    <row r="17357" customFormat="false" ht="15" hidden="false" customHeight="false" outlineLevel="0" collapsed="false">
      <c r="A17357" s="0" t="e">
        <f aca="false">IMEXP("ii")</f>
        <v>#VALUE!</v>
      </c>
      <c r="B17357" s="0" t="s">
        <v>17203</v>
      </c>
    </row>
    <row r="17358" customFormat="false" ht="15" hidden="false" customHeight="false" outlineLevel="0" collapsed="false">
      <c r="A17358" s="0" t="e">
        <f aca="false">IMEXP("3 + 4i")</f>
        <v>#VALUE!</v>
      </c>
      <c r="B17358" s="0" t="s">
        <v>17204</v>
      </c>
    </row>
    <row r="17359" customFormat="false" ht="15" hidden="false" customHeight="false" outlineLevel="0" collapsed="false">
      <c r="A17359" s="0" t="e">
        <f aca="false">IMEXP("4i+3")</f>
        <v>#VALUE!</v>
      </c>
      <c r="B17359" s="0" t="s">
        <v>17205</v>
      </c>
    </row>
    <row r="17360" customFormat="false" ht="15" hidden="false" customHeight="false" outlineLevel="0" collapsed="false">
      <c r="A17360" s="0" t="str">
        <f aca="false">IMEXP("1+0i")</f>
        <v>2.71828182845905</v>
      </c>
      <c r="B17360" s="0" t="s">
        <v>17206</v>
      </c>
    </row>
    <row r="17361" customFormat="false" ht="15" hidden="false" customHeight="false" outlineLevel="0" collapsed="false">
      <c r="A17361" s="0" t="str">
        <f aca="false">IMEXP("0+1i")</f>
        <v>0.54030230586814+0.841470984807897i</v>
      </c>
      <c r="B17361" s="0" t="s">
        <v>17207</v>
      </c>
    </row>
    <row r="17362" customFormat="false" ht="15" hidden="false" customHeight="false" outlineLevel="0" collapsed="false">
      <c r="A17362" s="0" t="str">
        <f aca="false">IMEXP("0-1i")</f>
        <v>0.54030230586814-0.841470984807897i</v>
      </c>
      <c r="B17362" s="0" t="s">
        <v>17208</v>
      </c>
    </row>
    <row r="17363" customFormat="false" ht="15" hidden="false" customHeight="false" outlineLevel="0" collapsed="false">
      <c r="A17363" s="0" t="str">
        <f aca="false">IMEXP("-1+0i")</f>
        <v>0.367879441171442</v>
      </c>
      <c r="B17363" s="0" t="s">
        <v>17209</v>
      </c>
    </row>
    <row r="17364" customFormat="false" ht="15" hidden="false" customHeight="false" outlineLevel="0" collapsed="false">
      <c r="A17364" s="0" t="str">
        <f aca="false">IMEXP("1e-10+1e-10i")</f>
        <v>1.0000000001+1.0000000001e-10i</v>
      </c>
      <c r="B17364" s="0" t="s">
        <v>17210</v>
      </c>
    </row>
    <row r="17365" customFormat="false" ht="15" hidden="false" customHeight="false" outlineLevel="0" collapsed="false">
      <c r="A17365" s="0" t="str">
        <f aca="false">IMEXP("2+0.0000001i")</f>
        <v>7.38905609893061+7.38905609893064e-07i</v>
      </c>
      <c r="B17365" s="0" t="s">
        <v>17211</v>
      </c>
    </row>
    <row r="17366" customFormat="false" ht="15" hidden="false" customHeight="false" outlineLevel="0" collapsed="false">
      <c r="A17366" s="0" t="e">
        <f aca="false">IMEXP("TRUE")</f>
        <v>#VALUE!</v>
      </c>
      <c r="B17366" s="0" t="s">
        <v>17212</v>
      </c>
    </row>
    <row r="17367" customFormat="false" ht="15" hidden="false" customHeight="false" outlineLevel="0" collapsed="false">
      <c r="A17367" s="0" t="e">
        <f aca="false">IMEXP("1+Ii")</f>
        <v>#VALUE!</v>
      </c>
      <c r="B17367" s="0" t="s">
        <v>17213</v>
      </c>
    </row>
    <row r="17368" customFormat="false" ht="15" hidden="false" customHeight="false" outlineLevel="0" collapsed="false">
      <c r="A17368" s="0" t="str">
        <f aca="false">IMEXP(5)</f>
        <v>148.413159102577</v>
      </c>
      <c r="B17368" s="0" t="s">
        <v>17214</v>
      </c>
    </row>
    <row r="17369" customFormat="false" ht="15" hidden="false" customHeight="false" outlineLevel="0" collapsed="false">
      <c r="A17369" s="0" t="str">
        <f aca="false">IMEXP(TRUE())</f>
        <v>2.71828182845905</v>
      </c>
      <c r="B17369" s="0" t="s">
        <v>17215</v>
      </c>
    </row>
    <row r="17370" customFormat="false" ht="15" hidden="false" customHeight="false" outlineLevel="0" collapsed="false">
      <c r="A17370" s="0" t="e">
        <f aca="false">IMEXP(Data!D1)</f>
        <v>#VALUE!</v>
      </c>
      <c r="B17370" s="0" t="s">
        <v>17216</v>
      </c>
    </row>
    <row r="17371" customFormat="false" ht="15" hidden="false" customHeight="false" outlineLevel="0" collapsed="false">
      <c r="A17371" s="0" t="str">
        <f aca="false">IMEXP(Data!A1)</f>
        <v>148.413159102577</v>
      </c>
      <c r="B17371" s="0" t="s">
        <v>17217</v>
      </c>
    </row>
    <row r="17372" customFormat="false" ht="15" hidden="false" customHeight="false" outlineLevel="0" collapsed="false">
      <c r="A17372" s="0" t="e">
        <f aca="false">IMEXP(Data!B1)</f>
        <v>#VALUE!</v>
      </c>
      <c r="B17372" s="0" t="s">
        <v>17218</v>
      </c>
    </row>
    <row r="17373" customFormat="false" ht="15" hidden="false" customHeight="false" outlineLevel="0" collapsed="false">
      <c r="A17373" s="0" t="e">
        <f aca="false">IMEXP(NA())</f>
        <v>#N/A</v>
      </c>
      <c r="B17373" s="0" t="s">
        <v>17219</v>
      </c>
    </row>
    <row r="17374" customFormat="false" ht="15" hidden="false" customHeight="false" outlineLevel="0" collapsed="false">
      <c r="A17374" s="0" t="e">
        <f aca="false">IMEXP("3+4i",1)</f>
        <v>#VALUE!</v>
      </c>
      <c r="B17374" s="0" t="s">
        <v>17220</v>
      </c>
    </row>
    <row r="17375" customFormat="false" ht="15" hidden="false" customHeight="false" outlineLevel="0" collapsed="false">
      <c r="A17375" s="0" t="e">
        <f aca="false">IMEXP()</f>
        <v>#VALUE!</v>
      </c>
      <c r="B17375" s="0" t="s">
        <v>17221</v>
      </c>
    </row>
    <row r="17376" customFormat="false" ht="15" hidden="false" customHeight="false" outlineLevel="0" collapsed="false">
      <c r="A17376" s="0" t="e">
        <f aca="false">IMEXP(Data!A1:A3)</f>
        <v>#VALUE!</v>
      </c>
      <c r="B17376" s="0" t="s">
        <v>17222</v>
      </c>
    </row>
    <row r="17377" customFormat="false" ht="15" hidden="false" customHeight="false" outlineLevel="0" collapsed="false">
      <c r="A17377" s="0" t="str">
        <f aca="false">IMEXP(-2.5)</f>
        <v>0.0820849986238988</v>
      </c>
      <c r="B17377" s="0" t="s">
        <v>17223</v>
      </c>
    </row>
    <row r="17378" customFormat="false" ht="15" hidden="false" customHeight="false" outlineLevel="0" collapsed="false">
      <c r="A17378" s="0" t="e">
        <f aca="false">IMEXP(1E+300)</f>
        <v>#VALUE!</v>
      </c>
      <c r="B17378" s="0" t="s">
        <v>17224</v>
      </c>
    </row>
    <row r="17379" customFormat="false" ht="15" hidden="false" customHeight="false" outlineLevel="0" collapsed="false">
      <c r="A17379" s="0" t="str">
        <f aca="false">IMEXP(1E-300)</f>
        <v>1</v>
      </c>
      <c r="B17379" s="0" t="s">
        <v>17225</v>
      </c>
    </row>
    <row r="17380" customFormat="false" ht="15" hidden="false" customHeight="false" outlineLevel="0" collapsed="false">
      <c r="A17380" s="0" t="str">
        <f aca="false">IMLN("3+4i")</f>
        <v>1.6094379124341+0.927295218001612i</v>
      </c>
      <c r="B17380" s="0" t="s">
        <v>17226</v>
      </c>
    </row>
    <row r="17381" customFormat="false" ht="15" hidden="false" customHeight="false" outlineLevel="0" collapsed="false">
      <c r="A17381" s="0" t="str">
        <f aca="false">IMLN("3-4i")</f>
        <v>1.6094379124341-0.927295218001612i</v>
      </c>
      <c r="B17381" s="0" t="s">
        <v>17227</v>
      </c>
    </row>
    <row r="17382" customFormat="false" ht="15" hidden="false" customHeight="false" outlineLevel="0" collapsed="false">
      <c r="A17382" s="0" t="str">
        <f aca="false">IMLN("4i")</f>
        <v>1.38629436111989+1.5707963267949i</v>
      </c>
      <c r="B17382" s="0" t="s">
        <v>17228</v>
      </c>
    </row>
    <row r="17383" customFormat="false" ht="15" hidden="false" customHeight="false" outlineLevel="0" collapsed="false">
      <c r="A17383" s="0" t="str">
        <f aca="false">IMLN("-4i")</f>
        <v>1.38629436111989-1.5707963267949i</v>
      </c>
      <c r="B17383" s="0" t="s">
        <v>17229</v>
      </c>
    </row>
    <row r="17384" customFormat="false" ht="15" hidden="false" customHeight="false" outlineLevel="0" collapsed="false">
      <c r="A17384" s="0" t="str">
        <f aca="false">IMLN("i")</f>
        <v>1.5707963267949i</v>
      </c>
      <c r="B17384" s="0" t="s">
        <v>17230</v>
      </c>
    </row>
    <row r="17385" customFormat="false" ht="15" hidden="false" customHeight="false" outlineLevel="0" collapsed="false">
      <c r="A17385" s="0" t="str">
        <f aca="false">IMLN("-i")</f>
        <v>-1.5707963267949i</v>
      </c>
      <c r="B17385" s="0" t="s">
        <v>17231</v>
      </c>
    </row>
    <row r="17386" customFormat="false" ht="15" hidden="false" customHeight="false" outlineLevel="0" collapsed="false">
      <c r="A17386" s="0" t="str">
        <f aca="false">IMLN("3")</f>
        <v>1.09861228866811</v>
      </c>
      <c r="B17386" s="0" t="s">
        <v>17232</v>
      </c>
    </row>
    <row r="17387" customFormat="false" ht="15" hidden="false" customHeight="false" outlineLevel="0" collapsed="false">
      <c r="A17387" s="0" t="e">
        <f aca="false">IMLN("0")</f>
        <v>#VALUE!</v>
      </c>
      <c r="B17387" s="0" t="s">
        <v>17233</v>
      </c>
    </row>
    <row r="17388" customFormat="false" ht="15" hidden="false" customHeight="false" outlineLevel="0" collapsed="false">
      <c r="A17388" s="0" t="str">
        <f aca="false">IMLN("1+i")</f>
        <v>0.346573590279973+0.785398163397448i</v>
      </c>
      <c r="B17388" s="0" t="s">
        <v>17234</v>
      </c>
    </row>
    <row r="17389" customFormat="false" ht="15" hidden="false" customHeight="false" outlineLevel="0" collapsed="false">
      <c r="A17389" s="0" t="str">
        <f aca="false">IMLN("1-i")</f>
        <v>0.346573590279973-0.785398163397448i</v>
      </c>
      <c r="B17389" s="0" t="s">
        <v>17235</v>
      </c>
    </row>
    <row r="17390" customFormat="false" ht="15" hidden="false" customHeight="false" outlineLevel="0" collapsed="false">
      <c r="A17390" s="0" t="str">
        <f aca="false">IMLN("-1-i")</f>
        <v>0.346573590279973-2.35619449019234i</v>
      </c>
      <c r="B17390" s="0" t="s">
        <v>17236</v>
      </c>
    </row>
    <row r="17391" customFormat="false" ht="15" hidden="false" customHeight="false" outlineLevel="0" collapsed="false">
      <c r="A17391" s="0" t="str">
        <f aca="false">IMLN("2.5+3.5i")</f>
        <v>1.45888536604214+0.950546840812075i</v>
      </c>
      <c r="B17391" s="0" t="s">
        <v>17237</v>
      </c>
    </row>
    <row r="17392" customFormat="false" ht="15" hidden="false" customHeight="false" outlineLevel="0" collapsed="false">
      <c r="A17392" s="0" t="str">
        <f aca="false">IMLN("1E2+1E-2i")</f>
        <v>4.60517019098809+9.99999996666667e-05i</v>
      </c>
      <c r="B17392" s="0" t="s">
        <v>17238</v>
      </c>
    </row>
    <row r="17393" customFormat="false" ht="15" hidden="false" customHeight="false" outlineLevel="0" collapsed="false">
      <c r="A17393" s="0" t="str">
        <f aca="false">IMLN("3+4j")</f>
        <v>1.6094379124341+0.927295218001612j</v>
      </c>
      <c r="B17393" s="0" t="s">
        <v>17239</v>
      </c>
    </row>
    <row r="17394" customFormat="false" ht="15" hidden="false" customHeight="false" outlineLevel="0" collapsed="false">
      <c r="A17394" s="0" t="str">
        <f aca="false">IMLN("j")</f>
        <v>1.5707963267949j</v>
      </c>
      <c r="B17394" s="0" t="s">
        <v>17240</v>
      </c>
    </row>
    <row r="17395" customFormat="false" ht="15" hidden="false" customHeight="false" outlineLevel="0" collapsed="false">
      <c r="A17395" s="0" t="str">
        <f aca="false">IMLN("-j")</f>
        <v>-1.5707963267949j</v>
      </c>
      <c r="B17395" s="0" t="s">
        <v>17241</v>
      </c>
    </row>
    <row r="17396" customFormat="false" ht="15" hidden="false" customHeight="false" outlineLevel="0" collapsed="false">
      <c r="A17396" s="0" t="str">
        <f aca="false">IMLN("2j")</f>
        <v>0.693147180559945+1.5707963267949j</v>
      </c>
      <c r="B17396" s="0" t="s">
        <v>17242</v>
      </c>
    </row>
    <row r="17397" customFormat="false" ht="15" hidden="false" customHeight="false" outlineLevel="0" collapsed="false">
      <c r="A17397" s="0" t="e">
        <f aca="false">IMLN("1+2k")</f>
        <v>#VALUE!</v>
      </c>
      <c r="B17397" s="0" t="s">
        <v>17243</v>
      </c>
    </row>
    <row r="17398" customFormat="false" ht="15" hidden="false" customHeight="false" outlineLevel="0" collapsed="false">
      <c r="A17398" s="0" t="str">
        <f aca="false">IMLN("+3+4i")</f>
        <v>1.6094379124341+0.927295218001612i</v>
      </c>
      <c r="B17398" s="0" t="s">
        <v>17244</v>
      </c>
    </row>
    <row r="17399" customFormat="false" ht="15" hidden="false" customHeight="false" outlineLevel="0" collapsed="false">
      <c r="A17399" s="0" t="e">
        <f aca="false">IMLN("3+ 4i")</f>
        <v>#VALUE!</v>
      </c>
      <c r="B17399" s="0" t="s">
        <v>17245</v>
      </c>
    </row>
    <row r="17400" customFormat="false" ht="15" hidden="false" customHeight="false" outlineLevel="0" collapsed="false">
      <c r="A17400" s="0" t="e">
        <f aca="false">IMLN(" 3+4i")</f>
        <v>#VALUE!</v>
      </c>
      <c r="B17400" s="0" t="s">
        <v>17246</v>
      </c>
    </row>
    <row r="17401" customFormat="false" ht="15" hidden="false" customHeight="false" outlineLevel="0" collapsed="false">
      <c r="A17401" s="0" t="e">
        <f aca="false">IMLN("3+4I")</f>
        <v>#VALUE!</v>
      </c>
      <c r="B17401" s="0" t="s">
        <v>17247</v>
      </c>
    </row>
    <row r="17402" customFormat="false" ht="15" hidden="false" customHeight="false" outlineLevel="0" collapsed="false">
      <c r="A17402" s="0" t="e">
        <f aca="false">IMLN("3+4i ")</f>
        <v>#VALUE!</v>
      </c>
      <c r="B17402" s="0" t="s">
        <v>17248</v>
      </c>
    </row>
    <row r="17403" customFormat="false" ht="15" hidden="false" customHeight="false" outlineLevel="0" collapsed="false">
      <c r="A17403" s="0" t="e">
        <f aca="false">IMLN("1+i+j")</f>
        <v>#VALUE!</v>
      </c>
      <c r="B17403" s="0" t="s">
        <v>17249</v>
      </c>
    </row>
    <row r="17404" customFormat="false" ht="15" hidden="false" customHeight="false" outlineLevel="0" collapsed="false">
      <c r="A17404" s="0" t="e">
        <f aca="false">IMLN("abc")</f>
        <v>#VALUE!</v>
      </c>
      <c r="B17404" s="0" t="s">
        <v>17250</v>
      </c>
    </row>
    <row r="17405" customFormat="false" ht="15" hidden="false" customHeight="false" outlineLevel="0" collapsed="false">
      <c r="A17405" s="0" t="e">
        <f aca="false">IMLN("")</f>
        <v>#VALUE!</v>
      </c>
      <c r="B17405" s="0" t="s">
        <v>17251</v>
      </c>
    </row>
    <row r="17406" customFormat="false" ht="15" hidden="false" customHeight="false" outlineLevel="0" collapsed="false">
      <c r="A17406" s="0" t="e">
        <f aca="false">IMLN("i3")</f>
        <v>#VALUE!</v>
      </c>
      <c r="B17406" s="0" t="s">
        <v>17252</v>
      </c>
    </row>
    <row r="17407" customFormat="false" ht="15" hidden="false" customHeight="false" outlineLevel="0" collapsed="false">
      <c r="A17407" s="0" t="e">
        <f aca="false">IMLN("3i+4")</f>
        <v>#VALUE!</v>
      </c>
      <c r="B17407" s="0" t="s">
        <v>17253</v>
      </c>
    </row>
    <row r="17408" customFormat="false" ht="15" hidden="false" customHeight="false" outlineLevel="0" collapsed="false">
      <c r="A17408" s="0" t="e">
        <f aca="false">IMLN("(1+i)")</f>
        <v>#VALUE!</v>
      </c>
      <c r="B17408" s="0" t="s">
        <v>17254</v>
      </c>
    </row>
    <row r="17409" customFormat="false" ht="15" hidden="false" customHeight="false" outlineLevel="0" collapsed="false">
      <c r="A17409" s="0" t="str">
        <f aca="false">IMLN("1.5E300+1E300i")</f>
        <v>691.364855396385+0.588002603547568i</v>
      </c>
      <c r="B17409" s="0" t="s">
        <v>17255</v>
      </c>
    </row>
    <row r="17410" customFormat="false" ht="15" hidden="false" customHeight="false" outlineLevel="0" collapsed="false">
      <c r="A17410" s="0" t="e">
        <f aca="false">IMLN("0+0i")</f>
        <v>#VALUE!</v>
      </c>
      <c r="B17410" s="0" t="s">
        <v>17256</v>
      </c>
    </row>
    <row r="17411" customFormat="false" ht="15" hidden="false" customHeight="false" outlineLevel="0" collapsed="false">
      <c r="A17411" s="0" t="e">
        <f aca="false">IMLN("-0-0i")</f>
        <v>#VALUE!</v>
      </c>
      <c r="B17411" s="0" t="s">
        <v>17257</v>
      </c>
    </row>
    <row r="17412" customFormat="false" ht="15" hidden="false" customHeight="false" outlineLevel="0" collapsed="false">
      <c r="A17412" s="0" t="e">
        <f aca="false">IMLN("1/2+i")</f>
        <v>#VALUE!</v>
      </c>
      <c r="B17412" s="0" t="s">
        <v>17258</v>
      </c>
    </row>
    <row r="17413" customFormat="false" ht="15" hidden="false" customHeight="false" outlineLevel="0" collapsed="false">
      <c r="A17413" s="0" t="str">
        <f aca="false">IMLN("1e1+i")</f>
        <v>2.30756025842063+0.099668652491162i</v>
      </c>
      <c r="B17413" s="0" t="s">
        <v>17259</v>
      </c>
    </row>
    <row r="17414" customFormat="false" ht="15" hidden="false" customHeight="false" outlineLevel="0" collapsed="false">
      <c r="A17414" s="0" t="str">
        <f aca="false">IMLN("1+1e1i")</f>
        <v>2.30756025842063+1.47112767430373i</v>
      </c>
      <c r="B17414" s="0" t="s">
        <v>17260</v>
      </c>
    </row>
    <row r="17415" customFormat="false" ht="15" hidden="false" customHeight="false" outlineLevel="0" collapsed="false">
      <c r="A17415" s="0" t="str">
        <f aca="false">IMLN(".5+.5i")</f>
        <v>-0.346573590279973+0.785398163397448i</v>
      </c>
      <c r="B17415" s="0" t="s">
        <v>17261</v>
      </c>
    </row>
    <row r="17416" customFormat="false" ht="15" hidden="false" customHeight="false" outlineLevel="0" collapsed="false">
      <c r="A17416" s="0" t="str">
        <f aca="false">IMLN("5.")</f>
        <v>1.6094379124341</v>
      </c>
      <c r="B17416" s="0" t="s">
        <v>17262</v>
      </c>
    </row>
    <row r="17417" customFormat="false" ht="15" hidden="false" customHeight="false" outlineLevel="0" collapsed="false">
      <c r="A17417" s="0" t="str">
        <f aca="false">IMLN("1,5+2i")</f>
        <v>0.916290731874155+0.927295218001612i</v>
      </c>
      <c r="B17417" s="0" t="s">
        <v>17263</v>
      </c>
    </row>
    <row r="17418" customFormat="false" ht="15" hidden="false" customHeight="false" outlineLevel="0" collapsed="false">
      <c r="A17418" s="0" t="e">
        <f aca="false">IMLN("3++4i")</f>
        <v>#VALUE!</v>
      </c>
      <c r="B17418" s="0" t="s">
        <v>17264</v>
      </c>
    </row>
    <row r="17419" customFormat="false" ht="15" hidden="false" customHeight="false" outlineLevel="0" collapsed="false">
      <c r="A17419" s="0" t="e">
        <f aca="false">IMLN("3+-4i")</f>
        <v>#VALUE!</v>
      </c>
      <c r="B17419" s="0" t="s">
        <v>17265</v>
      </c>
    </row>
    <row r="17420" customFormat="false" ht="15" hidden="false" customHeight="false" outlineLevel="0" collapsed="false">
      <c r="A17420" s="0" t="e">
        <f aca="false">IMLN("--3")</f>
        <v>#VALUE!</v>
      </c>
      <c r="B17420" s="0" t="s">
        <v>17266</v>
      </c>
    </row>
    <row r="17421" customFormat="false" ht="15" hidden="false" customHeight="false" outlineLevel="0" collapsed="false">
      <c r="A17421" s="0" t="e">
        <f aca="false">IMLN("3i4")</f>
        <v>#VALUE!</v>
      </c>
      <c r="B17421" s="0" t="s">
        <v>17267</v>
      </c>
    </row>
    <row r="17422" customFormat="false" ht="15" hidden="false" customHeight="false" outlineLevel="0" collapsed="false">
      <c r="A17422" s="0" t="str">
        <f aca="false">IMLN("0.1+0.2i")</f>
        <v>-1.497866136777+1.10714871779409i</v>
      </c>
      <c r="B17422" s="0" t="s">
        <v>17268</v>
      </c>
    </row>
    <row r="17423" customFormat="false" ht="15" hidden="false" customHeight="false" outlineLevel="0" collapsed="false">
      <c r="A17423" s="0" t="str">
        <f aca="false">IMLN("-2.5")</f>
        <v>0.916290731874155+3.14159265358979i</v>
      </c>
      <c r="B17423" s="0" t="s">
        <v>17269</v>
      </c>
    </row>
    <row r="17424" customFormat="false" ht="15" hidden="false" customHeight="false" outlineLevel="0" collapsed="false">
      <c r="A17424" s="0" t="str">
        <f aca="false">IMLN("1E+2i")</f>
        <v>4.60517018598809+1.5707963267949i</v>
      </c>
      <c r="B17424" s="0" t="s">
        <v>17270</v>
      </c>
    </row>
    <row r="17425" customFormat="false" ht="15" hidden="false" customHeight="false" outlineLevel="0" collapsed="false">
      <c r="A17425" s="0" t="str">
        <f aca="false">IMLN("1E-2i")</f>
        <v>-4.60517018598809+1.5707963267949i</v>
      </c>
      <c r="B17425" s="0" t="s">
        <v>17271</v>
      </c>
    </row>
    <row r="17426" customFormat="false" ht="15" hidden="false" customHeight="false" outlineLevel="0" collapsed="false">
      <c r="A17426" s="0" t="str">
        <f aca="false">IMLN("12345678901234567890+1i")</f>
        <v>43.9598377892025+8.1000000729e-20i</v>
      </c>
      <c r="B17426" s="0" t="s">
        <v>17272</v>
      </c>
    </row>
    <row r="17427" customFormat="false" ht="15" hidden="false" customHeight="false" outlineLevel="0" collapsed="false">
      <c r="A17427" s="0" t="e">
        <f aca="false">IMLN("1+i2")</f>
        <v>#VALUE!</v>
      </c>
      <c r="B17427" s="0" t="s">
        <v>17273</v>
      </c>
    </row>
    <row r="17428" customFormat="false" ht="15" hidden="false" customHeight="false" outlineLevel="0" collapsed="false">
      <c r="A17428" s="0" t="e">
        <f aca="false">IMLN("ii")</f>
        <v>#VALUE!</v>
      </c>
      <c r="B17428" s="0" t="s">
        <v>17274</v>
      </c>
    </row>
    <row r="17429" customFormat="false" ht="15" hidden="false" customHeight="false" outlineLevel="0" collapsed="false">
      <c r="A17429" s="0" t="e">
        <f aca="false">IMLN("3 + 4i")</f>
        <v>#VALUE!</v>
      </c>
      <c r="B17429" s="0" t="s">
        <v>17275</v>
      </c>
    </row>
    <row r="17430" customFormat="false" ht="15" hidden="false" customHeight="false" outlineLevel="0" collapsed="false">
      <c r="A17430" s="0" t="e">
        <f aca="false">IMLN("4i+3")</f>
        <v>#VALUE!</v>
      </c>
      <c r="B17430" s="0" t="s">
        <v>17276</v>
      </c>
    </row>
    <row r="17431" customFormat="false" ht="15" hidden="false" customHeight="false" outlineLevel="0" collapsed="false">
      <c r="A17431" s="0" t="str">
        <f aca="false">IMLN("1+0i")</f>
        <v>0</v>
      </c>
      <c r="B17431" s="0" t="s">
        <v>17277</v>
      </c>
    </row>
    <row r="17432" customFormat="false" ht="15" hidden="false" customHeight="false" outlineLevel="0" collapsed="false">
      <c r="A17432" s="0" t="str">
        <f aca="false">IMLN("0+1i")</f>
        <v>1.5707963267949i</v>
      </c>
      <c r="B17432" s="0" t="s">
        <v>17278</v>
      </c>
    </row>
    <row r="17433" customFormat="false" ht="15" hidden="false" customHeight="false" outlineLevel="0" collapsed="false">
      <c r="A17433" s="0" t="str">
        <f aca="false">IMLN("0-1i")</f>
        <v>-1.5707963267949i</v>
      </c>
      <c r="B17433" s="0" t="s">
        <v>17279</v>
      </c>
    </row>
    <row r="17434" customFormat="false" ht="15" hidden="false" customHeight="false" outlineLevel="0" collapsed="false">
      <c r="A17434" s="0" t="str">
        <f aca="false">IMLN("-1+0i")</f>
        <v>3.14159265358979i</v>
      </c>
      <c r="B17434" s="0" t="s">
        <v>17280</v>
      </c>
    </row>
    <row r="17435" customFormat="false" ht="15" hidden="false" customHeight="false" outlineLevel="0" collapsed="false">
      <c r="A17435" s="0" t="str">
        <f aca="false">IMLN("1e-10+1e-10i")</f>
        <v>-22.6792773396605+0.785398163397448i</v>
      </c>
      <c r="B17435" s="0" t="s">
        <v>17281</v>
      </c>
    </row>
    <row r="17436" customFormat="false" ht="15" hidden="false" customHeight="false" outlineLevel="0" collapsed="false">
      <c r="A17436" s="0" t="str">
        <f aca="false">IMLN("2+0.0000001i")</f>
        <v>0.693147180559947+5e-08i</v>
      </c>
      <c r="B17436" s="0" t="s">
        <v>17282</v>
      </c>
    </row>
    <row r="17437" customFormat="false" ht="15" hidden="false" customHeight="false" outlineLevel="0" collapsed="false">
      <c r="A17437" s="0" t="e">
        <f aca="false">IMLN("TRUE")</f>
        <v>#VALUE!</v>
      </c>
      <c r="B17437" s="0" t="s">
        <v>17283</v>
      </c>
    </row>
    <row r="17438" customFormat="false" ht="15" hidden="false" customHeight="false" outlineLevel="0" collapsed="false">
      <c r="A17438" s="0" t="e">
        <f aca="false">IMLN("1+Ii")</f>
        <v>#VALUE!</v>
      </c>
      <c r="B17438" s="0" t="s">
        <v>17284</v>
      </c>
    </row>
    <row r="17439" customFormat="false" ht="15" hidden="false" customHeight="false" outlineLevel="0" collapsed="false">
      <c r="A17439" s="0" t="str">
        <f aca="false">IMLN(5)</f>
        <v>1.6094379124341</v>
      </c>
      <c r="B17439" s="0" t="s">
        <v>17285</v>
      </c>
    </row>
    <row r="17440" customFormat="false" ht="15" hidden="false" customHeight="false" outlineLevel="0" collapsed="false">
      <c r="A17440" s="0" t="str">
        <f aca="false">IMLN(TRUE())</f>
        <v>0</v>
      </c>
      <c r="B17440" s="0" t="s">
        <v>17286</v>
      </c>
    </row>
    <row r="17441" customFormat="false" ht="15" hidden="false" customHeight="false" outlineLevel="0" collapsed="false">
      <c r="A17441" s="0" t="e">
        <f aca="false">IMLN(Data!D1)</f>
        <v>#VALUE!</v>
      </c>
      <c r="B17441" s="0" t="s">
        <v>17287</v>
      </c>
    </row>
    <row r="17442" customFormat="false" ht="15" hidden="false" customHeight="false" outlineLevel="0" collapsed="false">
      <c r="A17442" s="0" t="str">
        <f aca="false">IMLN(Data!A1)</f>
        <v>1.6094379124341</v>
      </c>
      <c r="B17442" s="0" t="s">
        <v>17288</v>
      </c>
    </row>
    <row r="17443" customFormat="false" ht="15" hidden="false" customHeight="false" outlineLevel="0" collapsed="false">
      <c r="A17443" s="0" t="e">
        <f aca="false">IMLN(Data!B1)</f>
        <v>#VALUE!</v>
      </c>
      <c r="B17443" s="0" t="s">
        <v>17289</v>
      </c>
    </row>
    <row r="17444" customFormat="false" ht="15" hidden="false" customHeight="false" outlineLevel="0" collapsed="false">
      <c r="A17444" s="0" t="e">
        <f aca="false">IMLN(NA())</f>
        <v>#N/A</v>
      </c>
      <c r="B17444" s="0" t="s">
        <v>17290</v>
      </c>
    </row>
    <row r="17445" customFormat="false" ht="15" hidden="false" customHeight="false" outlineLevel="0" collapsed="false">
      <c r="A17445" s="0" t="e">
        <f aca="false">IMLN("3+4i",1)</f>
        <v>#VALUE!</v>
      </c>
      <c r="B17445" s="0" t="s">
        <v>17291</v>
      </c>
    </row>
    <row r="17446" customFormat="false" ht="15" hidden="false" customHeight="false" outlineLevel="0" collapsed="false">
      <c r="A17446" s="0" t="e">
        <f aca="false">IMLN()</f>
        <v>#VALUE!</v>
      </c>
      <c r="B17446" s="0" t="s">
        <v>17292</v>
      </c>
    </row>
    <row r="17447" customFormat="false" ht="15" hidden="false" customHeight="false" outlineLevel="0" collapsed="false">
      <c r="A17447" s="0" t="e">
        <f aca="false">IMLN(Data!A1:A3)</f>
        <v>#VALUE!</v>
      </c>
      <c r="B17447" s="0" t="s">
        <v>17293</v>
      </c>
    </row>
    <row r="17448" customFormat="false" ht="15" hidden="false" customHeight="false" outlineLevel="0" collapsed="false">
      <c r="A17448" s="0" t="str">
        <f aca="false">IMLN(-2.5)</f>
        <v>0.916290731874155+3.14159265358979i</v>
      </c>
      <c r="B17448" s="0" t="s">
        <v>17294</v>
      </c>
    </row>
    <row r="17449" customFormat="false" ht="15" hidden="false" customHeight="false" outlineLevel="0" collapsed="false">
      <c r="A17449" s="0" t="str">
        <f aca="false">IMLN(1E+300)</f>
        <v>690.775527898214</v>
      </c>
      <c r="B17449" s="0" t="s">
        <v>17295</v>
      </c>
    </row>
    <row r="17450" customFormat="false" ht="15" hidden="false" customHeight="false" outlineLevel="0" collapsed="false">
      <c r="A17450" s="0" t="str">
        <f aca="false">IMLN(1E-300)</f>
        <v>-690.775527898214</v>
      </c>
      <c r="B17450" s="0" t="s">
        <v>17296</v>
      </c>
    </row>
    <row r="17451" customFormat="false" ht="15" hidden="false" customHeight="false" outlineLevel="0" collapsed="false">
      <c r="A17451" s="0" t="str">
        <f aca="false">IMLOG10("3+4i")</f>
        <v>0.698970004336019+0.402719196273373i</v>
      </c>
      <c r="B17451" s="0" t="s">
        <v>17297</v>
      </c>
    </row>
    <row r="17452" customFormat="false" ht="15" hidden="false" customHeight="false" outlineLevel="0" collapsed="false">
      <c r="A17452" s="0" t="str">
        <f aca="false">IMLOG10("3-4i")</f>
        <v>0.698970004336019-0.402719196273373i</v>
      </c>
      <c r="B17452" s="0" t="s">
        <v>17298</v>
      </c>
    </row>
    <row r="17453" customFormat="false" ht="15" hidden="false" customHeight="false" outlineLevel="0" collapsed="false">
      <c r="A17453" s="0" t="str">
        <f aca="false">IMLOG10("4i")</f>
        <v>0.602059991327962+0.682188176920921i</v>
      </c>
      <c r="B17453" s="0" t="s">
        <v>17299</v>
      </c>
    </row>
    <row r="17454" customFormat="false" ht="15" hidden="false" customHeight="false" outlineLevel="0" collapsed="false">
      <c r="A17454" s="0" t="str">
        <f aca="false">IMLOG10("-4i")</f>
        <v>0.602059991327962-0.682188176920921i</v>
      </c>
      <c r="B17454" s="0" t="s">
        <v>17300</v>
      </c>
    </row>
    <row r="17455" customFormat="false" ht="15" hidden="false" customHeight="false" outlineLevel="0" collapsed="false">
      <c r="A17455" s="0" t="str">
        <f aca="false">IMLOG10("i")</f>
        <v>0.682188176920921i</v>
      </c>
      <c r="B17455" s="0" t="s">
        <v>17301</v>
      </c>
    </row>
    <row r="17456" customFormat="false" ht="15" hidden="false" customHeight="false" outlineLevel="0" collapsed="false">
      <c r="A17456" s="0" t="str">
        <f aca="false">IMLOG10("-i")</f>
        <v>-0.682188176920921i</v>
      </c>
      <c r="B17456" s="0" t="s">
        <v>17302</v>
      </c>
    </row>
    <row r="17457" customFormat="false" ht="15" hidden="false" customHeight="false" outlineLevel="0" collapsed="false">
      <c r="A17457" s="0" t="str">
        <f aca="false">IMLOG10("3")</f>
        <v>0.477121254719662</v>
      </c>
      <c r="B17457" s="0" t="s">
        <v>17303</v>
      </c>
    </row>
    <row r="17458" customFormat="false" ht="15" hidden="false" customHeight="false" outlineLevel="0" collapsed="false">
      <c r="A17458" s="0" t="e">
        <f aca="false">IMLOG10("0")</f>
        <v>#VALUE!</v>
      </c>
      <c r="B17458" s="0" t="s">
        <v>17304</v>
      </c>
    </row>
    <row r="17459" customFormat="false" ht="15" hidden="false" customHeight="false" outlineLevel="0" collapsed="false">
      <c r="A17459" s="0" t="str">
        <f aca="false">IMLOG10("1+i")</f>
        <v>0.150514997831991+0.34109408846046i</v>
      </c>
      <c r="B17459" s="0" t="s">
        <v>17305</v>
      </c>
    </row>
    <row r="17460" customFormat="false" ht="15" hidden="false" customHeight="false" outlineLevel="0" collapsed="false">
      <c r="A17460" s="0" t="str">
        <f aca="false">IMLOG10("1-i")</f>
        <v>0.150514997831991-0.34109408846046i</v>
      </c>
      <c r="B17460" s="0" t="s">
        <v>17306</v>
      </c>
    </row>
    <row r="17461" customFormat="false" ht="15" hidden="false" customHeight="false" outlineLevel="0" collapsed="false">
      <c r="A17461" s="0" t="str">
        <f aca="false">IMLOG10("-1-i")</f>
        <v>0.150514997831991-1.02328226538138i</v>
      </c>
      <c r="B17461" s="0" t="s">
        <v>17307</v>
      </c>
    </row>
    <row r="17462" customFormat="false" ht="15" hidden="false" customHeight="false" outlineLevel="0" collapsed="false">
      <c r="A17462" s="0" t="str">
        <f aca="false">IMLOG10("2.5+3.5i")</f>
        <v>0.633585864201507+0.412817247755253i</v>
      </c>
      <c r="B17462" s="0" t="s">
        <v>17308</v>
      </c>
    </row>
    <row r="17463" customFormat="false" ht="15" hidden="false" customHeight="false" outlineLevel="0" collapsed="false">
      <c r="A17463" s="0" t="str">
        <f aca="false">IMLOG10("1E2+1E-2i")</f>
        <v>2.00000000217147+4.34294480455603e-05i</v>
      </c>
      <c r="B17463" s="0" t="s">
        <v>17309</v>
      </c>
    </row>
    <row r="17464" customFormat="false" ht="15" hidden="false" customHeight="false" outlineLevel="0" collapsed="false">
      <c r="A17464" s="0" t="str">
        <f aca="false">IMLOG10("3+4j")</f>
        <v>0.698970004336019+0.402719196273373j</v>
      </c>
      <c r="B17464" s="0" t="s">
        <v>17310</v>
      </c>
    </row>
    <row r="17465" customFormat="false" ht="15" hidden="false" customHeight="false" outlineLevel="0" collapsed="false">
      <c r="A17465" s="0" t="str">
        <f aca="false">IMLOG10("j")</f>
        <v>0.682188176920921j</v>
      </c>
      <c r="B17465" s="0" t="s">
        <v>17311</v>
      </c>
    </row>
    <row r="17466" customFormat="false" ht="15" hidden="false" customHeight="false" outlineLevel="0" collapsed="false">
      <c r="A17466" s="0" t="str">
        <f aca="false">IMLOG10("-j")</f>
        <v>-0.682188176920921j</v>
      </c>
      <c r="B17466" s="0" t="s">
        <v>17312</v>
      </c>
    </row>
    <row r="17467" customFormat="false" ht="15" hidden="false" customHeight="false" outlineLevel="0" collapsed="false">
      <c r="A17467" s="0" t="str">
        <f aca="false">IMLOG10("2j")</f>
        <v>0.301029995663981+0.682188176920921j</v>
      </c>
      <c r="B17467" s="0" t="s">
        <v>17313</v>
      </c>
    </row>
    <row r="17468" customFormat="false" ht="15" hidden="false" customHeight="false" outlineLevel="0" collapsed="false">
      <c r="A17468" s="0" t="e">
        <f aca="false">IMLOG10("1+2k")</f>
        <v>#VALUE!</v>
      </c>
      <c r="B17468" s="0" t="s">
        <v>17314</v>
      </c>
    </row>
    <row r="17469" customFormat="false" ht="15" hidden="false" customHeight="false" outlineLevel="0" collapsed="false">
      <c r="A17469" s="0" t="str">
        <f aca="false">IMLOG10("+3+4i")</f>
        <v>0.698970004336019+0.402719196273373i</v>
      </c>
      <c r="B17469" s="0" t="s">
        <v>17315</v>
      </c>
    </row>
    <row r="17470" customFormat="false" ht="15" hidden="false" customHeight="false" outlineLevel="0" collapsed="false">
      <c r="A17470" s="0" t="e">
        <f aca="false">IMLOG10("3+ 4i")</f>
        <v>#VALUE!</v>
      </c>
      <c r="B17470" s="0" t="s">
        <v>17316</v>
      </c>
    </row>
    <row r="17471" customFormat="false" ht="15" hidden="false" customHeight="false" outlineLevel="0" collapsed="false">
      <c r="A17471" s="0" t="e">
        <f aca="false">IMLOG10(" 3+4i")</f>
        <v>#VALUE!</v>
      </c>
      <c r="B17471" s="0" t="s">
        <v>17317</v>
      </c>
    </row>
    <row r="17472" customFormat="false" ht="15" hidden="false" customHeight="false" outlineLevel="0" collapsed="false">
      <c r="A17472" s="0" t="e">
        <f aca="false">IMLOG10("3+4I")</f>
        <v>#VALUE!</v>
      </c>
      <c r="B17472" s="0" t="s">
        <v>17318</v>
      </c>
    </row>
    <row r="17473" customFormat="false" ht="15" hidden="false" customHeight="false" outlineLevel="0" collapsed="false">
      <c r="A17473" s="0" t="e">
        <f aca="false">IMLOG10("3+4i ")</f>
        <v>#VALUE!</v>
      </c>
      <c r="B17473" s="0" t="s">
        <v>17319</v>
      </c>
    </row>
    <row r="17474" customFormat="false" ht="15" hidden="false" customHeight="false" outlineLevel="0" collapsed="false">
      <c r="A17474" s="0" t="e">
        <f aca="false">IMLOG10("1+i+j")</f>
        <v>#VALUE!</v>
      </c>
      <c r="B17474" s="0" t="s">
        <v>17320</v>
      </c>
    </row>
    <row r="17475" customFormat="false" ht="15" hidden="false" customHeight="false" outlineLevel="0" collapsed="false">
      <c r="A17475" s="0" t="e">
        <f aca="false">IMLOG10("abc")</f>
        <v>#VALUE!</v>
      </c>
      <c r="B17475" s="0" t="s">
        <v>17321</v>
      </c>
    </row>
    <row r="17476" customFormat="false" ht="15" hidden="false" customHeight="false" outlineLevel="0" collapsed="false">
      <c r="A17476" s="0" t="e">
        <f aca="false">IMLOG10("")</f>
        <v>#VALUE!</v>
      </c>
      <c r="B17476" s="0" t="s">
        <v>17322</v>
      </c>
    </row>
    <row r="17477" customFormat="false" ht="15" hidden="false" customHeight="false" outlineLevel="0" collapsed="false">
      <c r="A17477" s="0" t="e">
        <f aca="false">IMLOG10("i3")</f>
        <v>#VALUE!</v>
      </c>
      <c r="B17477" s="0" t="s">
        <v>17323</v>
      </c>
    </row>
    <row r="17478" customFormat="false" ht="15" hidden="false" customHeight="false" outlineLevel="0" collapsed="false">
      <c r="A17478" s="0" t="e">
        <f aca="false">IMLOG10("3i+4")</f>
        <v>#VALUE!</v>
      </c>
      <c r="B17478" s="0" t="s">
        <v>17324</v>
      </c>
    </row>
    <row r="17479" customFormat="false" ht="15" hidden="false" customHeight="false" outlineLevel="0" collapsed="false">
      <c r="A17479" s="0" t="e">
        <f aca="false">IMLOG10("(1+i)")</f>
        <v>#VALUE!</v>
      </c>
      <c r="B17479" s="0" t="s">
        <v>17325</v>
      </c>
    </row>
    <row r="17480" customFormat="false" ht="15" hidden="false" customHeight="false" outlineLevel="0" collapsed="false">
      <c r="A17480" s="0" t="str">
        <f aca="false">IMLOG10("1.5E300+1E300i")</f>
        <v>300.255941680489+0.255366286065454i</v>
      </c>
      <c r="B17480" s="0" t="s">
        <v>17326</v>
      </c>
    </row>
    <row r="17481" customFormat="false" ht="15" hidden="false" customHeight="false" outlineLevel="0" collapsed="false">
      <c r="A17481" s="0" t="e">
        <f aca="false">IMLOG10("0+0i")</f>
        <v>#VALUE!</v>
      </c>
      <c r="B17481" s="0" t="s">
        <v>17327</v>
      </c>
    </row>
    <row r="17482" customFormat="false" ht="15" hidden="false" customHeight="false" outlineLevel="0" collapsed="false">
      <c r="A17482" s="0" t="e">
        <f aca="false">IMLOG10("-0-0i")</f>
        <v>#VALUE!</v>
      </c>
      <c r="B17482" s="0" t="s">
        <v>17328</v>
      </c>
    </row>
    <row r="17483" customFormat="false" ht="15" hidden="false" customHeight="false" outlineLevel="0" collapsed="false">
      <c r="A17483" s="0" t="e">
        <f aca="false">IMLOG10("1/2+i")</f>
        <v>#VALUE!</v>
      </c>
      <c r="B17483" s="0" t="s">
        <v>17329</v>
      </c>
    </row>
    <row r="17484" customFormat="false" ht="15" hidden="false" customHeight="false" outlineLevel="0" collapsed="false">
      <c r="A17484" s="0" t="str">
        <f aca="false">IMLOG10("1e1+i")</f>
        <v>1.00216068689132+0.0432855457956445i</v>
      </c>
      <c r="B17484" s="0" t="s">
        <v>17330</v>
      </c>
    </row>
    <row r="17485" customFormat="false" ht="15" hidden="false" customHeight="false" outlineLevel="0" collapsed="false">
      <c r="A17485" s="0" t="str">
        <f aca="false">IMLOG10("1+1e1i")</f>
        <v>1.00216068689132+0.638902631125276i</v>
      </c>
      <c r="B17485" s="0" t="s">
        <v>17331</v>
      </c>
    </row>
    <row r="17486" customFormat="false" ht="15" hidden="false" customHeight="false" outlineLevel="0" collapsed="false">
      <c r="A17486" s="0" t="str">
        <f aca="false">IMLOG10(".5+.5i")</f>
        <v>-0.150514997831991+0.34109408846046i</v>
      </c>
      <c r="B17486" s="0" t="s">
        <v>17332</v>
      </c>
    </row>
    <row r="17487" customFormat="false" ht="15" hidden="false" customHeight="false" outlineLevel="0" collapsed="false">
      <c r="A17487" s="0" t="str">
        <f aca="false">IMLOG10("5.")</f>
        <v>0.698970004336019</v>
      </c>
      <c r="B17487" s="0" t="s">
        <v>17333</v>
      </c>
    </row>
    <row r="17488" customFormat="false" ht="15" hidden="false" customHeight="false" outlineLevel="0" collapsed="false">
      <c r="A17488" s="0" t="str">
        <f aca="false">IMLOG10("1,5+2i")</f>
        <v>0.397940008672038+0.402719196273373i</v>
      </c>
      <c r="B17488" s="0" t="s">
        <v>17334</v>
      </c>
    </row>
    <row r="17489" customFormat="false" ht="15" hidden="false" customHeight="false" outlineLevel="0" collapsed="false">
      <c r="A17489" s="0" t="e">
        <f aca="false">IMLOG10("3++4i")</f>
        <v>#VALUE!</v>
      </c>
      <c r="B17489" s="0" t="s">
        <v>17335</v>
      </c>
    </row>
    <row r="17490" customFormat="false" ht="15" hidden="false" customHeight="false" outlineLevel="0" collapsed="false">
      <c r="A17490" s="0" t="e">
        <f aca="false">IMLOG10("3+-4i")</f>
        <v>#VALUE!</v>
      </c>
      <c r="B17490" s="0" t="s">
        <v>17336</v>
      </c>
    </row>
    <row r="17491" customFormat="false" ht="15" hidden="false" customHeight="false" outlineLevel="0" collapsed="false">
      <c r="A17491" s="0" t="e">
        <f aca="false">IMLOG10("--3")</f>
        <v>#VALUE!</v>
      </c>
      <c r="B17491" s="0" t="s">
        <v>17337</v>
      </c>
    </row>
    <row r="17492" customFormat="false" ht="15" hidden="false" customHeight="false" outlineLevel="0" collapsed="false">
      <c r="A17492" s="0" t="e">
        <f aca="false">IMLOG10("3i4")</f>
        <v>#VALUE!</v>
      </c>
      <c r="B17492" s="0" t="s">
        <v>17338</v>
      </c>
    </row>
    <row r="17493" customFormat="false" ht="15" hidden="false" customHeight="false" outlineLevel="0" collapsed="false">
      <c r="A17493" s="0" t="str">
        <f aca="false">IMLOG10("0.1+0.2i")</f>
        <v>-0.650514997831991+0.480828578784234i</v>
      </c>
      <c r="B17493" s="0" t="s">
        <v>17339</v>
      </c>
    </row>
    <row r="17494" customFormat="false" ht="15" hidden="false" customHeight="false" outlineLevel="0" collapsed="false">
      <c r="A17494" s="0" t="str">
        <f aca="false">IMLOG10("-2.5")</f>
        <v>0.397940008672038+1.36437635384184i</v>
      </c>
      <c r="B17494" s="0" t="s">
        <v>17340</v>
      </c>
    </row>
    <row r="17495" customFormat="false" ht="15" hidden="false" customHeight="false" outlineLevel="0" collapsed="false">
      <c r="A17495" s="0" t="str">
        <f aca="false">IMLOG10("1E+2i")</f>
        <v>2+0.682188176920921i</v>
      </c>
      <c r="B17495" s="0" t="s">
        <v>17341</v>
      </c>
    </row>
    <row r="17496" customFormat="false" ht="15" hidden="false" customHeight="false" outlineLevel="0" collapsed="false">
      <c r="A17496" s="0" t="str">
        <f aca="false">IMLOG10("1E-2i")</f>
        <v>-2+0.682188176920921i</v>
      </c>
      <c r="B17496" s="0" t="s">
        <v>17342</v>
      </c>
    </row>
    <row r="17497" customFormat="false" ht="15" hidden="false" customHeight="false" outlineLevel="0" collapsed="false">
      <c r="A17497" s="0" t="str">
        <f aca="false">IMLOG10("12345678901234567890+1i")</f>
        <v>19.0915149772127+3.51778533507641e-20i</v>
      </c>
      <c r="B17497" s="0" t="s">
        <v>17343</v>
      </c>
    </row>
    <row r="17498" customFormat="false" ht="15" hidden="false" customHeight="false" outlineLevel="0" collapsed="false">
      <c r="A17498" s="0" t="e">
        <f aca="false">IMLOG10("1+i2")</f>
        <v>#VALUE!</v>
      </c>
      <c r="B17498" s="0" t="s">
        <v>17344</v>
      </c>
    </row>
    <row r="17499" customFormat="false" ht="15" hidden="false" customHeight="false" outlineLevel="0" collapsed="false">
      <c r="A17499" s="0" t="e">
        <f aca="false">IMLOG10("ii")</f>
        <v>#VALUE!</v>
      </c>
      <c r="B17499" s="0" t="s">
        <v>17345</v>
      </c>
    </row>
    <row r="17500" customFormat="false" ht="15" hidden="false" customHeight="false" outlineLevel="0" collapsed="false">
      <c r="A17500" s="0" t="e">
        <f aca="false">IMLOG10("3 + 4i")</f>
        <v>#VALUE!</v>
      </c>
      <c r="B17500" s="0" t="s">
        <v>17346</v>
      </c>
    </row>
    <row r="17501" customFormat="false" ht="15" hidden="false" customHeight="false" outlineLevel="0" collapsed="false">
      <c r="A17501" s="0" t="e">
        <f aca="false">IMLOG10("4i+3")</f>
        <v>#VALUE!</v>
      </c>
      <c r="B17501" s="0" t="s">
        <v>17347</v>
      </c>
    </row>
    <row r="17502" customFormat="false" ht="15" hidden="false" customHeight="false" outlineLevel="0" collapsed="false">
      <c r="A17502" s="0" t="str">
        <f aca="false">IMLOG10("1+0i")</f>
        <v>0</v>
      </c>
      <c r="B17502" s="0" t="s">
        <v>17348</v>
      </c>
    </row>
    <row r="17503" customFormat="false" ht="15" hidden="false" customHeight="false" outlineLevel="0" collapsed="false">
      <c r="A17503" s="0" t="str">
        <f aca="false">IMLOG10("0+1i")</f>
        <v>0.682188176920921i</v>
      </c>
      <c r="B17503" s="0" t="s">
        <v>17349</v>
      </c>
    </row>
    <row r="17504" customFormat="false" ht="15" hidden="false" customHeight="false" outlineLevel="0" collapsed="false">
      <c r="A17504" s="0" t="str">
        <f aca="false">IMLOG10("0-1i")</f>
        <v>-0.682188176920921i</v>
      </c>
      <c r="B17504" s="0" t="s">
        <v>17350</v>
      </c>
    </row>
    <row r="17505" customFormat="false" ht="15" hidden="false" customHeight="false" outlineLevel="0" collapsed="false">
      <c r="A17505" s="0" t="str">
        <f aca="false">IMLOG10("-1+0i")</f>
        <v>1.36437635384184i</v>
      </c>
      <c r="B17505" s="0" t="s">
        <v>17351</v>
      </c>
    </row>
    <row r="17506" customFormat="false" ht="15" hidden="false" customHeight="false" outlineLevel="0" collapsed="false">
      <c r="A17506" s="0" t="str">
        <f aca="false">IMLOG10("1e-10+1e-10i")</f>
        <v>-9.84948500216801+0.34109408846046i</v>
      </c>
      <c r="B17506" s="0" t="s">
        <v>17352</v>
      </c>
    </row>
    <row r="17507" customFormat="false" ht="15" hidden="false" customHeight="false" outlineLevel="0" collapsed="false">
      <c r="A17507" s="0" t="str">
        <f aca="false">IMLOG10("2+0.0000001i")</f>
        <v>0.301029995663982+2.17147240951626e-08i</v>
      </c>
      <c r="B17507" s="0" t="s">
        <v>17353</v>
      </c>
    </row>
    <row r="17508" customFormat="false" ht="15" hidden="false" customHeight="false" outlineLevel="0" collapsed="false">
      <c r="A17508" s="0" t="e">
        <f aca="false">IMLOG10("TRUE")</f>
        <v>#VALUE!</v>
      </c>
      <c r="B17508" s="0" t="s">
        <v>17354</v>
      </c>
    </row>
    <row r="17509" customFormat="false" ht="15" hidden="false" customHeight="false" outlineLevel="0" collapsed="false">
      <c r="A17509" s="0" t="e">
        <f aca="false">IMLOG10("1+Ii")</f>
        <v>#VALUE!</v>
      </c>
      <c r="B17509" s="0" t="s">
        <v>17355</v>
      </c>
    </row>
    <row r="17510" customFormat="false" ht="15" hidden="false" customHeight="false" outlineLevel="0" collapsed="false">
      <c r="A17510" s="0" t="str">
        <f aca="false">IMLOG10(5)</f>
        <v>0.698970004336019</v>
      </c>
      <c r="B17510" s="0" t="s">
        <v>17356</v>
      </c>
    </row>
    <row r="17511" customFormat="false" ht="15" hidden="false" customHeight="false" outlineLevel="0" collapsed="false">
      <c r="A17511" s="0" t="str">
        <f aca="false">IMLOG10(TRUE())</f>
        <v>0</v>
      </c>
      <c r="B17511" s="0" t="s">
        <v>17357</v>
      </c>
    </row>
    <row r="17512" customFormat="false" ht="15" hidden="false" customHeight="false" outlineLevel="0" collapsed="false">
      <c r="A17512" s="0" t="e">
        <f aca="false">IMLOG10(Data!D1)</f>
        <v>#VALUE!</v>
      </c>
      <c r="B17512" s="0" t="s">
        <v>17358</v>
      </c>
    </row>
    <row r="17513" customFormat="false" ht="15" hidden="false" customHeight="false" outlineLevel="0" collapsed="false">
      <c r="A17513" s="0" t="str">
        <f aca="false">IMLOG10(Data!A1)</f>
        <v>0.698970004336019</v>
      </c>
      <c r="B17513" s="0" t="s">
        <v>17359</v>
      </c>
    </row>
    <row r="17514" customFormat="false" ht="15" hidden="false" customHeight="false" outlineLevel="0" collapsed="false">
      <c r="A17514" s="0" t="e">
        <f aca="false">IMLOG10(Data!B1)</f>
        <v>#VALUE!</v>
      </c>
      <c r="B17514" s="0" t="s">
        <v>17360</v>
      </c>
    </row>
    <row r="17515" customFormat="false" ht="15" hidden="false" customHeight="false" outlineLevel="0" collapsed="false">
      <c r="A17515" s="0" t="e">
        <f aca="false">IMLOG10(NA())</f>
        <v>#N/A</v>
      </c>
      <c r="B17515" s="0" t="s">
        <v>17361</v>
      </c>
    </row>
    <row r="17516" customFormat="false" ht="15" hidden="false" customHeight="false" outlineLevel="0" collapsed="false">
      <c r="A17516" s="0" t="e">
        <f aca="false">IMLOG10("3+4i",1)</f>
        <v>#VALUE!</v>
      </c>
      <c r="B17516" s="0" t="s">
        <v>17362</v>
      </c>
    </row>
    <row r="17517" customFormat="false" ht="15" hidden="false" customHeight="false" outlineLevel="0" collapsed="false">
      <c r="A17517" s="0" t="e">
        <f aca="false">IMLOG10()</f>
        <v>#VALUE!</v>
      </c>
      <c r="B17517" s="0" t="s">
        <v>17363</v>
      </c>
    </row>
    <row r="17518" customFormat="false" ht="15" hidden="false" customHeight="false" outlineLevel="0" collapsed="false">
      <c r="A17518" s="0" t="e">
        <f aca="false">IMLOG10(Data!A1:A3)</f>
        <v>#VALUE!</v>
      </c>
      <c r="B17518" s="0" t="s">
        <v>17364</v>
      </c>
    </row>
    <row r="17519" customFormat="false" ht="15" hidden="false" customHeight="false" outlineLevel="0" collapsed="false">
      <c r="A17519" s="0" t="str">
        <f aca="false">IMLOG10(-2.5)</f>
        <v>0.397940008672038+1.36437635384184i</v>
      </c>
      <c r="B17519" s="0" t="s">
        <v>17365</v>
      </c>
    </row>
    <row r="17520" customFormat="false" ht="15" hidden="false" customHeight="false" outlineLevel="0" collapsed="false">
      <c r="A17520" s="0" t="str">
        <f aca="false">IMLOG10(1E+300)</f>
        <v>300</v>
      </c>
      <c r="B17520" s="0" t="s">
        <v>17366</v>
      </c>
    </row>
    <row r="17521" customFormat="false" ht="15" hidden="false" customHeight="false" outlineLevel="0" collapsed="false">
      <c r="A17521" s="0" t="str">
        <f aca="false">IMLOG10(1E-300)</f>
        <v>-300</v>
      </c>
      <c r="B17521" s="0" t="s">
        <v>17367</v>
      </c>
    </row>
    <row r="17522" customFormat="false" ht="15" hidden="false" customHeight="false" outlineLevel="0" collapsed="false">
      <c r="A17522" s="0" t="str">
        <f aca="false">IMLOG2("3+4i")</f>
        <v>2.32192809488736+1.33780421245098i</v>
      </c>
      <c r="B17522" s="0" t="s">
        <v>17368</v>
      </c>
    </row>
    <row r="17523" customFormat="false" ht="15" hidden="false" customHeight="false" outlineLevel="0" collapsed="false">
      <c r="A17523" s="0" t="str">
        <f aca="false">IMLOG2("3-4i")</f>
        <v>2.32192809488736-1.33780421245098i</v>
      </c>
      <c r="B17523" s="0" t="s">
        <v>17369</v>
      </c>
    </row>
    <row r="17524" customFormat="false" ht="15" hidden="false" customHeight="false" outlineLevel="0" collapsed="false">
      <c r="A17524" s="0" t="str">
        <f aca="false">IMLOG2("4i")</f>
        <v>2+2.2661800709136i</v>
      </c>
      <c r="B17524" s="0" t="s">
        <v>17370</v>
      </c>
    </row>
    <row r="17525" customFormat="false" ht="15" hidden="false" customHeight="false" outlineLevel="0" collapsed="false">
      <c r="A17525" s="0" t="str">
        <f aca="false">IMLOG2("-4i")</f>
        <v>2-2.2661800709136i</v>
      </c>
      <c r="B17525" s="0" t="s">
        <v>17371</v>
      </c>
    </row>
    <row r="17526" customFormat="false" ht="15" hidden="false" customHeight="false" outlineLevel="0" collapsed="false">
      <c r="A17526" s="0" t="str">
        <f aca="false">IMLOG2("i")</f>
        <v>2.2661800709136i</v>
      </c>
      <c r="B17526" s="0" t="s">
        <v>17372</v>
      </c>
    </row>
    <row r="17527" customFormat="false" ht="15" hidden="false" customHeight="false" outlineLevel="0" collapsed="false">
      <c r="A17527" s="0" t="str">
        <f aca="false">IMLOG2("-i")</f>
        <v>-2.2661800709136i</v>
      </c>
      <c r="B17527" s="0" t="s">
        <v>17373</v>
      </c>
    </row>
    <row r="17528" customFormat="false" ht="15" hidden="false" customHeight="false" outlineLevel="0" collapsed="false">
      <c r="A17528" s="0" t="str">
        <f aca="false">IMLOG2("3")</f>
        <v>1.58496250072116</v>
      </c>
      <c r="B17528" s="0" t="s">
        <v>17374</v>
      </c>
    </row>
    <row r="17529" customFormat="false" ht="15" hidden="false" customHeight="false" outlineLevel="0" collapsed="false">
      <c r="A17529" s="0" t="e">
        <f aca="false">IMLOG2("0")</f>
        <v>#VALUE!</v>
      </c>
      <c r="B17529" s="0" t="s">
        <v>17375</v>
      </c>
    </row>
    <row r="17530" customFormat="false" ht="15" hidden="false" customHeight="false" outlineLevel="0" collapsed="false">
      <c r="A17530" s="0" t="str">
        <f aca="false">IMLOG2("1+i")</f>
        <v>0.5+1.1330900354568i</v>
      </c>
      <c r="B17530" s="0" t="s">
        <v>17376</v>
      </c>
    </row>
    <row r="17531" customFormat="false" ht="15" hidden="false" customHeight="false" outlineLevel="0" collapsed="false">
      <c r="A17531" s="0" t="str">
        <f aca="false">IMLOG2("1-i")</f>
        <v>0.5-1.1330900354568i</v>
      </c>
      <c r="B17531" s="0" t="s">
        <v>17377</v>
      </c>
    </row>
    <row r="17532" customFormat="false" ht="15" hidden="false" customHeight="false" outlineLevel="0" collapsed="false">
      <c r="A17532" s="0" t="str">
        <f aca="false">IMLOG2("-1-i")</f>
        <v>0.5-3.3992701063704i</v>
      </c>
      <c r="B17532" s="0" t="s">
        <v>17378</v>
      </c>
    </row>
    <row r="17533" customFormat="false" ht="15" hidden="false" customHeight="false" outlineLevel="0" collapsed="false">
      <c r="A17533" s="0" t="str">
        <f aca="false">IMLOG2("2.5+3.5i")</f>
        <v>2.10472668281447+1.37134921337225i</v>
      </c>
      <c r="B17533" s="0" t="s">
        <v>17379</v>
      </c>
    </row>
    <row r="17534" customFormat="false" ht="15" hidden="false" customHeight="false" outlineLevel="0" collapsed="false">
      <c r="A17534" s="0" t="str">
        <f aca="false">IMLOG2("1E2+1E-2i")</f>
        <v>6.6438561969882+0.000144269503607998i</v>
      </c>
      <c r="B17534" s="0" t="s">
        <v>17380</v>
      </c>
    </row>
    <row r="17535" customFormat="false" ht="15" hidden="false" customHeight="false" outlineLevel="0" collapsed="false">
      <c r="A17535" s="0" t="str">
        <f aca="false">IMLOG2("3+4j")</f>
        <v>2.32192809488736+1.33780421245098j</v>
      </c>
      <c r="B17535" s="0" t="s">
        <v>17381</v>
      </c>
    </row>
    <row r="17536" customFormat="false" ht="15" hidden="false" customHeight="false" outlineLevel="0" collapsed="false">
      <c r="A17536" s="0" t="str">
        <f aca="false">IMLOG2("j")</f>
        <v>2.2661800709136j</v>
      </c>
      <c r="B17536" s="0" t="s">
        <v>17382</v>
      </c>
    </row>
    <row r="17537" customFormat="false" ht="15" hidden="false" customHeight="false" outlineLevel="0" collapsed="false">
      <c r="A17537" s="0" t="str">
        <f aca="false">IMLOG2("-j")</f>
        <v>-2.2661800709136j</v>
      </c>
      <c r="B17537" s="0" t="s">
        <v>17383</v>
      </c>
    </row>
    <row r="17538" customFormat="false" ht="15" hidden="false" customHeight="false" outlineLevel="0" collapsed="false">
      <c r="A17538" s="0" t="str">
        <f aca="false">IMLOG2("2j")</f>
        <v>1+2.2661800709136j</v>
      </c>
      <c r="B17538" s="0" t="s">
        <v>17384</v>
      </c>
    </row>
    <row r="17539" customFormat="false" ht="15" hidden="false" customHeight="false" outlineLevel="0" collapsed="false">
      <c r="A17539" s="0" t="e">
        <f aca="false">IMLOG2("1+2k")</f>
        <v>#VALUE!</v>
      </c>
      <c r="B17539" s="0" t="s">
        <v>17385</v>
      </c>
    </row>
    <row r="17540" customFormat="false" ht="15" hidden="false" customHeight="false" outlineLevel="0" collapsed="false">
      <c r="A17540" s="0" t="str">
        <f aca="false">IMLOG2("+3+4i")</f>
        <v>2.32192809488736+1.33780421245098i</v>
      </c>
      <c r="B17540" s="0" t="s">
        <v>17386</v>
      </c>
    </row>
    <row r="17541" customFormat="false" ht="15" hidden="false" customHeight="false" outlineLevel="0" collapsed="false">
      <c r="A17541" s="0" t="e">
        <f aca="false">IMLOG2("3+ 4i")</f>
        <v>#VALUE!</v>
      </c>
      <c r="B17541" s="0" t="s">
        <v>17387</v>
      </c>
    </row>
    <row r="17542" customFormat="false" ht="15" hidden="false" customHeight="false" outlineLevel="0" collapsed="false">
      <c r="A17542" s="0" t="e">
        <f aca="false">IMLOG2(" 3+4i")</f>
        <v>#VALUE!</v>
      </c>
      <c r="B17542" s="0" t="s">
        <v>17388</v>
      </c>
    </row>
    <row r="17543" customFormat="false" ht="15" hidden="false" customHeight="false" outlineLevel="0" collapsed="false">
      <c r="A17543" s="0" t="e">
        <f aca="false">IMLOG2("3+4I")</f>
        <v>#VALUE!</v>
      </c>
      <c r="B17543" s="0" t="s">
        <v>17389</v>
      </c>
    </row>
    <row r="17544" customFormat="false" ht="15" hidden="false" customHeight="false" outlineLevel="0" collapsed="false">
      <c r="A17544" s="0" t="e">
        <f aca="false">IMLOG2("3+4i ")</f>
        <v>#VALUE!</v>
      </c>
      <c r="B17544" s="0" t="s">
        <v>17390</v>
      </c>
    </row>
    <row r="17545" customFormat="false" ht="15" hidden="false" customHeight="false" outlineLevel="0" collapsed="false">
      <c r="A17545" s="0" t="e">
        <f aca="false">IMLOG2("1+i+j")</f>
        <v>#VALUE!</v>
      </c>
      <c r="B17545" s="0" t="s">
        <v>17391</v>
      </c>
    </row>
    <row r="17546" customFormat="false" ht="15" hidden="false" customHeight="false" outlineLevel="0" collapsed="false">
      <c r="A17546" s="0" t="e">
        <f aca="false">IMLOG2("abc")</f>
        <v>#VALUE!</v>
      </c>
      <c r="B17546" s="0" t="s">
        <v>17392</v>
      </c>
    </row>
    <row r="17547" customFormat="false" ht="15" hidden="false" customHeight="false" outlineLevel="0" collapsed="false">
      <c r="A17547" s="0" t="e">
        <f aca="false">IMLOG2("")</f>
        <v>#VALUE!</v>
      </c>
      <c r="B17547" s="0" t="s">
        <v>17393</v>
      </c>
    </row>
    <row r="17548" customFormat="false" ht="15" hidden="false" customHeight="false" outlineLevel="0" collapsed="false">
      <c r="A17548" s="0" t="e">
        <f aca="false">IMLOG2("i3")</f>
        <v>#VALUE!</v>
      </c>
      <c r="B17548" s="0" t="s">
        <v>17394</v>
      </c>
    </row>
    <row r="17549" customFormat="false" ht="15" hidden="false" customHeight="false" outlineLevel="0" collapsed="false">
      <c r="A17549" s="0" t="e">
        <f aca="false">IMLOG2("3i+4")</f>
        <v>#VALUE!</v>
      </c>
      <c r="B17549" s="0" t="s">
        <v>17395</v>
      </c>
    </row>
    <row r="17550" customFormat="false" ht="15" hidden="false" customHeight="false" outlineLevel="0" collapsed="false">
      <c r="A17550" s="0" t="e">
        <f aca="false">IMLOG2("(1+i)")</f>
        <v>#VALUE!</v>
      </c>
      <c r="B17550" s="0" t="s">
        <v>17396</v>
      </c>
    </row>
    <row r="17551" customFormat="false" ht="15" hidden="false" customHeight="false" outlineLevel="0" collapsed="false">
      <c r="A17551" s="0" t="str">
        <f aca="false">IMLOG2("1.5E300+1E300i")</f>
        <v>997.428648325279+0.848308440167875i</v>
      </c>
      <c r="B17551" s="0" t="s">
        <v>17397</v>
      </c>
    </row>
    <row r="17552" customFormat="false" ht="15" hidden="false" customHeight="false" outlineLevel="0" collapsed="false">
      <c r="A17552" s="0" t="e">
        <f aca="false">IMLOG2("0+0i")</f>
        <v>#VALUE!</v>
      </c>
      <c r="B17552" s="0" t="s">
        <v>17398</v>
      </c>
    </row>
    <row r="17553" customFormat="false" ht="15" hidden="false" customHeight="false" outlineLevel="0" collapsed="false">
      <c r="A17553" s="0" t="e">
        <f aca="false">IMLOG2("-0-0i")</f>
        <v>#VALUE!</v>
      </c>
      <c r="B17553" s="0" t="s">
        <v>17399</v>
      </c>
    </row>
    <row r="17554" customFormat="false" ht="15" hidden="false" customHeight="false" outlineLevel="0" collapsed="false">
      <c r="A17554" s="0" t="e">
        <f aca="false">IMLOG2("1/2+i")</f>
        <v>#VALUE!</v>
      </c>
      <c r="B17554" s="0" t="s">
        <v>17400</v>
      </c>
    </row>
    <row r="17555" customFormat="false" ht="15" hidden="false" customHeight="false" outlineLevel="0" collapsed="false">
      <c r="A17555" s="0" t="str">
        <f aca="false">IMLOG2("1e1+i")</f>
        <v>3.3291057413759+0.143791470681085i</v>
      </c>
      <c r="B17555" s="0" t="s">
        <v>17401</v>
      </c>
    </row>
    <row r="17556" customFormat="false" ht="15" hidden="false" customHeight="false" outlineLevel="0" collapsed="false">
      <c r="A17556" s="0" t="str">
        <f aca="false">IMLOG2("1+1e1i")</f>
        <v>3.3291057413759+2.12238860023251i</v>
      </c>
      <c r="B17556" s="0" t="s">
        <v>17402</v>
      </c>
    </row>
    <row r="17557" customFormat="false" ht="15" hidden="false" customHeight="false" outlineLevel="0" collapsed="false">
      <c r="A17557" s="0" t="str">
        <f aca="false">IMLOG2(".5+.5i")</f>
        <v>-0.5+1.1330900354568i</v>
      </c>
      <c r="B17557" s="0" t="s">
        <v>17403</v>
      </c>
    </row>
    <row r="17558" customFormat="false" ht="15" hidden="false" customHeight="false" outlineLevel="0" collapsed="false">
      <c r="A17558" s="0" t="str">
        <f aca="false">IMLOG2("5.")</f>
        <v>2.32192809488736</v>
      </c>
      <c r="B17558" s="0" t="s">
        <v>17404</v>
      </c>
    </row>
    <row r="17559" customFormat="false" ht="15" hidden="false" customHeight="false" outlineLevel="0" collapsed="false">
      <c r="A17559" s="0" t="str">
        <f aca="false">IMLOG2("1,5+2i")</f>
        <v>1.32192809488736+1.33780421245098i</v>
      </c>
      <c r="B17559" s="0" t="s">
        <v>17405</v>
      </c>
    </row>
    <row r="17560" customFormat="false" ht="15" hidden="false" customHeight="false" outlineLevel="0" collapsed="false">
      <c r="A17560" s="0" t="e">
        <f aca="false">IMLOG2("3++4i")</f>
        <v>#VALUE!</v>
      </c>
      <c r="B17560" s="0" t="s">
        <v>17406</v>
      </c>
    </row>
    <row r="17561" customFormat="false" ht="15" hidden="false" customHeight="false" outlineLevel="0" collapsed="false">
      <c r="A17561" s="0" t="e">
        <f aca="false">IMLOG2("3+-4i")</f>
        <v>#VALUE!</v>
      </c>
      <c r="B17561" s="0" t="s">
        <v>17407</v>
      </c>
    </row>
    <row r="17562" customFormat="false" ht="15" hidden="false" customHeight="false" outlineLevel="0" collapsed="false">
      <c r="A17562" s="0" t="e">
        <f aca="false">IMLOG2("--3")</f>
        <v>#VALUE!</v>
      </c>
      <c r="B17562" s="0" t="s">
        <v>17408</v>
      </c>
    </row>
    <row r="17563" customFormat="false" ht="15" hidden="false" customHeight="false" outlineLevel="0" collapsed="false">
      <c r="A17563" s="0" t="e">
        <f aca="false">IMLOG2("3i4")</f>
        <v>#VALUE!</v>
      </c>
      <c r="B17563" s="0" t="s">
        <v>17409</v>
      </c>
    </row>
    <row r="17564" customFormat="false" ht="15" hidden="false" customHeight="false" outlineLevel="0" collapsed="false">
      <c r="A17564" s="0" t="str">
        <f aca="false">IMLOG2("0.1+0.2i")</f>
        <v>-2.16096404744368+1.59727796468811i</v>
      </c>
      <c r="B17564" s="0" t="s">
        <v>17410</v>
      </c>
    </row>
    <row r="17565" customFormat="false" ht="15" hidden="false" customHeight="false" outlineLevel="0" collapsed="false">
      <c r="A17565" s="0" t="str">
        <f aca="false">IMLOG2("-2.5")</f>
        <v>1.32192809488736+4.53236014182719i</v>
      </c>
      <c r="B17565" s="0" t="s">
        <v>17411</v>
      </c>
    </row>
    <row r="17566" customFormat="false" ht="15" hidden="false" customHeight="false" outlineLevel="0" collapsed="false">
      <c r="A17566" s="0" t="str">
        <f aca="false">IMLOG2("1E+2i")</f>
        <v>6.64385618977473+2.2661800709136i</v>
      </c>
      <c r="B17566" s="0" t="s">
        <v>17412</v>
      </c>
    </row>
    <row r="17567" customFormat="false" ht="15" hidden="false" customHeight="false" outlineLevel="0" collapsed="false">
      <c r="A17567" s="0" t="str">
        <f aca="false">IMLOG2("1E-2i")</f>
        <v>-6.64385618977472+2.2661800709136i</v>
      </c>
      <c r="B17567" s="0" t="s">
        <v>17413</v>
      </c>
    </row>
    <row r="17568" customFormat="false" ht="15" hidden="false" customHeight="false" outlineLevel="0" collapsed="false">
      <c r="A17568" s="0" t="str">
        <f aca="false">IMLOG2("12345678901234567890+1i")</f>
        <v>63.4206399767657+1.16858299363731e-19i</v>
      </c>
      <c r="B17568" s="0" t="s">
        <v>17414</v>
      </c>
    </row>
    <row r="17569" customFormat="false" ht="15" hidden="false" customHeight="false" outlineLevel="0" collapsed="false">
      <c r="A17569" s="0" t="e">
        <f aca="false">IMLOG2("1+i2")</f>
        <v>#VALUE!</v>
      </c>
      <c r="B17569" s="0" t="s">
        <v>17415</v>
      </c>
    </row>
    <row r="17570" customFormat="false" ht="15" hidden="false" customHeight="false" outlineLevel="0" collapsed="false">
      <c r="A17570" s="0" t="e">
        <f aca="false">IMLOG2("ii")</f>
        <v>#VALUE!</v>
      </c>
      <c r="B17570" s="0" t="s">
        <v>17416</v>
      </c>
    </row>
    <row r="17571" customFormat="false" ht="15" hidden="false" customHeight="false" outlineLevel="0" collapsed="false">
      <c r="A17571" s="0" t="e">
        <f aca="false">IMLOG2("3 + 4i")</f>
        <v>#VALUE!</v>
      </c>
      <c r="B17571" s="0" t="s">
        <v>17417</v>
      </c>
    </row>
    <row r="17572" customFormat="false" ht="15" hidden="false" customHeight="false" outlineLevel="0" collapsed="false">
      <c r="A17572" s="0" t="e">
        <f aca="false">IMLOG2("4i+3")</f>
        <v>#VALUE!</v>
      </c>
      <c r="B17572" s="0" t="s">
        <v>17418</v>
      </c>
    </row>
    <row r="17573" customFormat="false" ht="15" hidden="false" customHeight="false" outlineLevel="0" collapsed="false">
      <c r="A17573" s="0" t="str">
        <f aca="false">IMLOG2("1+0i")</f>
        <v>0</v>
      </c>
      <c r="B17573" s="0" t="s">
        <v>17419</v>
      </c>
    </row>
    <row r="17574" customFormat="false" ht="15" hidden="false" customHeight="false" outlineLevel="0" collapsed="false">
      <c r="A17574" s="0" t="str">
        <f aca="false">IMLOG2("0+1i")</f>
        <v>2.2661800709136i</v>
      </c>
      <c r="B17574" s="0" t="s">
        <v>17420</v>
      </c>
    </row>
    <row r="17575" customFormat="false" ht="15" hidden="false" customHeight="false" outlineLevel="0" collapsed="false">
      <c r="A17575" s="0" t="str">
        <f aca="false">IMLOG2("0-1i")</f>
        <v>-2.2661800709136i</v>
      </c>
      <c r="B17575" s="0" t="s">
        <v>17421</v>
      </c>
    </row>
    <row r="17576" customFormat="false" ht="15" hidden="false" customHeight="false" outlineLevel="0" collapsed="false">
      <c r="A17576" s="0" t="str">
        <f aca="false">IMLOG2("-1+0i")</f>
        <v>4.53236014182719i</v>
      </c>
      <c r="B17576" s="0" t="s">
        <v>17422</v>
      </c>
    </row>
    <row r="17577" customFormat="false" ht="15" hidden="false" customHeight="false" outlineLevel="0" collapsed="false">
      <c r="A17577" s="0" t="str">
        <f aca="false">IMLOG2("1e-10+1e-10i")</f>
        <v>-32.7192809488736+1.1330900354568i</v>
      </c>
      <c r="B17577" s="0" t="s">
        <v>17423</v>
      </c>
    </row>
    <row r="17578" customFormat="false" ht="15" hidden="false" customHeight="false" outlineLevel="0" collapsed="false">
      <c r="A17578" s="0" t="str">
        <f aca="false">IMLOG2("2+0.0000001i")</f>
        <v>1+7.21347520444482e-08i</v>
      </c>
      <c r="B17578" s="0" t="s">
        <v>17424</v>
      </c>
    </row>
    <row r="17579" customFormat="false" ht="15" hidden="false" customHeight="false" outlineLevel="0" collapsed="false">
      <c r="A17579" s="0" t="e">
        <f aca="false">IMLOG2("TRUE")</f>
        <v>#VALUE!</v>
      </c>
      <c r="B17579" s="0" t="s">
        <v>17425</v>
      </c>
    </row>
    <row r="17580" customFormat="false" ht="15" hidden="false" customHeight="false" outlineLevel="0" collapsed="false">
      <c r="A17580" s="0" t="e">
        <f aca="false">IMLOG2("1+Ii")</f>
        <v>#VALUE!</v>
      </c>
      <c r="B17580" s="0" t="s">
        <v>17426</v>
      </c>
    </row>
    <row r="17581" customFormat="false" ht="15" hidden="false" customHeight="false" outlineLevel="0" collapsed="false">
      <c r="A17581" s="0" t="str">
        <f aca="false">IMLOG2(5)</f>
        <v>2.32192809488736</v>
      </c>
      <c r="B17581" s="0" t="s">
        <v>17427</v>
      </c>
    </row>
    <row r="17582" customFormat="false" ht="15" hidden="false" customHeight="false" outlineLevel="0" collapsed="false">
      <c r="A17582" s="0" t="str">
        <f aca="false">IMLOG2(TRUE())</f>
        <v>0</v>
      </c>
      <c r="B17582" s="0" t="s">
        <v>17428</v>
      </c>
    </row>
    <row r="17583" customFormat="false" ht="15" hidden="false" customHeight="false" outlineLevel="0" collapsed="false">
      <c r="A17583" s="0" t="e">
        <f aca="false">IMLOG2(Data!D1)</f>
        <v>#VALUE!</v>
      </c>
      <c r="B17583" s="0" t="s">
        <v>17429</v>
      </c>
    </row>
    <row r="17584" customFormat="false" ht="15" hidden="false" customHeight="false" outlineLevel="0" collapsed="false">
      <c r="A17584" s="0" t="str">
        <f aca="false">IMLOG2(Data!A1)</f>
        <v>2.32192809488736</v>
      </c>
      <c r="B17584" s="0" t="s">
        <v>17430</v>
      </c>
    </row>
    <row r="17585" customFormat="false" ht="15" hidden="false" customHeight="false" outlineLevel="0" collapsed="false">
      <c r="A17585" s="0" t="e">
        <f aca="false">IMLOG2(Data!B1)</f>
        <v>#VALUE!</v>
      </c>
      <c r="B17585" s="0" t="s">
        <v>17431</v>
      </c>
    </row>
    <row r="17586" customFormat="false" ht="15" hidden="false" customHeight="false" outlineLevel="0" collapsed="false">
      <c r="A17586" s="0" t="e">
        <f aca="false">IMLOG2(NA())</f>
        <v>#N/A</v>
      </c>
      <c r="B17586" s="0" t="s">
        <v>17432</v>
      </c>
    </row>
    <row r="17587" customFormat="false" ht="15" hidden="false" customHeight="false" outlineLevel="0" collapsed="false">
      <c r="A17587" s="0" t="e">
        <f aca="false">IMLOG2("3+4i",1)</f>
        <v>#VALUE!</v>
      </c>
      <c r="B17587" s="0" t="s">
        <v>17433</v>
      </c>
    </row>
    <row r="17588" customFormat="false" ht="15" hidden="false" customHeight="false" outlineLevel="0" collapsed="false">
      <c r="A17588" s="0" t="e">
        <f aca="false">IMLOG2()</f>
        <v>#VALUE!</v>
      </c>
      <c r="B17588" s="0" t="s">
        <v>17434</v>
      </c>
    </row>
    <row r="17589" customFormat="false" ht="15" hidden="false" customHeight="false" outlineLevel="0" collapsed="false">
      <c r="A17589" s="0" t="e">
        <f aca="false">IMLOG2(Data!A1:A3)</f>
        <v>#VALUE!</v>
      </c>
      <c r="B17589" s="0" t="s">
        <v>17435</v>
      </c>
    </row>
    <row r="17590" customFormat="false" ht="15" hidden="false" customHeight="false" outlineLevel="0" collapsed="false">
      <c r="A17590" s="0" t="str">
        <f aca="false">IMLOG2(-2.5)</f>
        <v>1.32192809488736+4.53236014182719i</v>
      </c>
      <c r="B17590" s="0" t="s">
        <v>17436</v>
      </c>
    </row>
    <row r="17591" customFormat="false" ht="15" hidden="false" customHeight="false" outlineLevel="0" collapsed="false">
      <c r="A17591" s="0" t="str">
        <f aca="false">IMLOG2(1E+300)</f>
        <v>996.578428466209</v>
      </c>
      <c r="B17591" s="0" t="s">
        <v>17437</v>
      </c>
    </row>
    <row r="17592" customFormat="false" ht="15" hidden="false" customHeight="false" outlineLevel="0" collapsed="false">
      <c r="A17592" s="0" t="str">
        <f aca="false">IMLOG2(1E-300)</f>
        <v>-996.578428466209</v>
      </c>
      <c r="B17592" s="0" t="s">
        <v>17438</v>
      </c>
    </row>
    <row r="17593" customFormat="false" ht="15" hidden="false" customHeight="false" outlineLevel="0" collapsed="false">
      <c r="A17593" s="0" t="str">
        <f aca="false">IMSIN("3+4i")</f>
        <v>3.85373803791938-27.0168132580039i</v>
      </c>
      <c r="B17593" s="0" t="s">
        <v>17439</v>
      </c>
    </row>
    <row r="17594" customFormat="false" ht="15" hidden="false" customHeight="false" outlineLevel="0" collapsed="false">
      <c r="A17594" s="0" t="str">
        <f aca="false">IMSIN("3-4i")</f>
        <v>3.85373803791938+27.0168132580039i</v>
      </c>
      <c r="B17594" s="0" t="s">
        <v>17440</v>
      </c>
    </row>
    <row r="17595" customFormat="false" ht="15" hidden="false" customHeight="false" outlineLevel="0" collapsed="false">
      <c r="A17595" s="0" t="str">
        <f aca="false">IMSIN("4i")</f>
        <v>27.2899171971277i</v>
      </c>
      <c r="B17595" s="0" t="s">
        <v>17441</v>
      </c>
    </row>
    <row r="17596" customFormat="false" ht="15" hidden="false" customHeight="false" outlineLevel="0" collapsed="false">
      <c r="A17596" s="0" t="str">
        <f aca="false">IMSIN("-4i")</f>
        <v>-27.2899171971277i</v>
      </c>
      <c r="B17596" s="0" t="s">
        <v>17442</v>
      </c>
    </row>
    <row r="17597" customFormat="false" ht="15" hidden="false" customHeight="false" outlineLevel="0" collapsed="false">
      <c r="A17597" s="0" t="str">
        <f aca="false">IMSIN("i")</f>
        <v>1.1752011936438i</v>
      </c>
      <c r="B17597" s="0" t="s">
        <v>17443</v>
      </c>
    </row>
    <row r="17598" customFormat="false" ht="15" hidden="false" customHeight="false" outlineLevel="0" collapsed="false">
      <c r="A17598" s="0" t="str">
        <f aca="false">IMSIN("-i")</f>
        <v>-1.1752011936438i</v>
      </c>
      <c r="B17598" s="0" t="s">
        <v>17444</v>
      </c>
    </row>
    <row r="17599" customFormat="false" ht="15" hidden="false" customHeight="false" outlineLevel="0" collapsed="false">
      <c r="A17599" s="0" t="str">
        <f aca="false">IMSIN("3")</f>
        <v>0.141120008059867</v>
      </c>
      <c r="B17599" s="0" t="s">
        <v>17445</v>
      </c>
    </row>
    <row r="17600" customFormat="false" ht="15" hidden="false" customHeight="false" outlineLevel="0" collapsed="false">
      <c r="A17600" s="0" t="str">
        <f aca="false">IMSIN("0")</f>
        <v>0</v>
      </c>
      <c r="B17600" s="0" t="s">
        <v>17446</v>
      </c>
    </row>
    <row r="17601" customFormat="false" ht="15" hidden="false" customHeight="false" outlineLevel="0" collapsed="false">
      <c r="A17601" s="0" t="str">
        <f aca="false">IMSIN("1+i")</f>
        <v>1.29845758141598+0.634963914784736i</v>
      </c>
      <c r="B17601" s="0" t="s">
        <v>17447</v>
      </c>
    </row>
    <row r="17602" customFormat="false" ht="15" hidden="false" customHeight="false" outlineLevel="0" collapsed="false">
      <c r="A17602" s="0" t="str">
        <f aca="false">IMSIN("1-i")</f>
        <v>1.29845758141598-0.634963914784736i</v>
      </c>
      <c r="B17602" s="0" t="s">
        <v>17448</v>
      </c>
    </row>
    <row r="17603" customFormat="false" ht="15" hidden="false" customHeight="false" outlineLevel="0" collapsed="false">
      <c r="A17603" s="0" t="str">
        <f aca="false">IMSIN("-1-i")</f>
        <v>-1.29845758141598-0.634963914784736i</v>
      </c>
      <c r="B17603" s="0" t="s">
        <v>17449</v>
      </c>
    </row>
    <row r="17604" customFormat="false" ht="15" hidden="false" customHeight="false" outlineLevel="0" collapsed="false">
      <c r="A17604" s="0" t="str">
        <f aca="false">IMSIN("2.5+3.5i")</f>
        <v>9.91837391474662-13.2530202358613i</v>
      </c>
      <c r="B17604" s="0" t="s">
        <v>17450</v>
      </c>
    </row>
    <row r="17605" customFormat="false" ht="15" hidden="false" customHeight="false" outlineLevel="0" collapsed="false">
      <c r="A17605" s="0" t="str">
        <f aca="false">IMSIN("1E2+1E-2i")</f>
        <v>-0.506390959602801+0.00862333244340749i</v>
      </c>
      <c r="B17605" s="0" t="s">
        <v>17451</v>
      </c>
    </row>
    <row r="17606" customFormat="false" ht="15" hidden="false" customHeight="false" outlineLevel="0" collapsed="false">
      <c r="A17606" s="0" t="str">
        <f aca="false">IMSIN("3+4j")</f>
        <v>3.85373803791938-27.0168132580039j</v>
      </c>
      <c r="B17606" s="0" t="s">
        <v>17452</v>
      </c>
    </row>
    <row r="17607" customFormat="false" ht="15" hidden="false" customHeight="false" outlineLevel="0" collapsed="false">
      <c r="A17607" s="0" t="str">
        <f aca="false">IMSIN("j")</f>
        <v>1.1752011936438j</v>
      </c>
      <c r="B17607" s="0" t="s">
        <v>17453</v>
      </c>
    </row>
    <row r="17608" customFormat="false" ht="15" hidden="false" customHeight="false" outlineLevel="0" collapsed="false">
      <c r="A17608" s="0" t="str">
        <f aca="false">IMSIN("-j")</f>
        <v>-1.1752011936438j</v>
      </c>
      <c r="B17608" s="0" t="s">
        <v>17454</v>
      </c>
    </row>
    <row r="17609" customFormat="false" ht="15" hidden="false" customHeight="false" outlineLevel="0" collapsed="false">
      <c r="A17609" s="0" t="str">
        <f aca="false">IMSIN("2j")</f>
        <v>3.62686040784702j</v>
      </c>
      <c r="B17609" s="0" t="s">
        <v>17455</v>
      </c>
    </row>
    <row r="17610" customFormat="false" ht="15" hidden="false" customHeight="false" outlineLevel="0" collapsed="false">
      <c r="A17610" s="0" t="e">
        <f aca="false">IMSIN("1+2k")</f>
        <v>#VALUE!</v>
      </c>
      <c r="B17610" s="0" t="s">
        <v>17456</v>
      </c>
    </row>
    <row r="17611" customFormat="false" ht="15" hidden="false" customHeight="false" outlineLevel="0" collapsed="false">
      <c r="A17611" s="0" t="str">
        <f aca="false">IMSIN("+3+4i")</f>
        <v>3.85373803791938-27.0168132580039i</v>
      </c>
      <c r="B17611" s="0" t="s">
        <v>17457</v>
      </c>
    </row>
    <row r="17612" customFormat="false" ht="15" hidden="false" customHeight="false" outlineLevel="0" collapsed="false">
      <c r="A17612" s="0" t="e">
        <f aca="false">IMSIN("3+ 4i")</f>
        <v>#VALUE!</v>
      </c>
      <c r="B17612" s="0" t="s">
        <v>17458</v>
      </c>
    </row>
    <row r="17613" customFormat="false" ht="15" hidden="false" customHeight="false" outlineLevel="0" collapsed="false">
      <c r="A17613" s="0" t="e">
        <f aca="false">IMSIN(" 3+4i")</f>
        <v>#VALUE!</v>
      </c>
      <c r="B17613" s="0" t="s">
        <v>17459</v>
      </c>
    </row>
    <row r="17614" customFormat="false" ht="15" hidden="false" customHeight="false" outlineLevel="0" collapsed="false">
      <c r="A17614" s="0" t="e">
        <f aca="false">IMSIN("3+4I")</f>
        <v>#VALUE!</v>
      </c>
      <c r="B17614" s="0" t="s">
        <v>17460</v>
      </c>
    </row>
    <row r="17615" customFormat="false" ht="15" hidden="false" customHeight="false" outlineLevel="0" collapsed="false">
      <c r="A17615" s="0" t="e">
        <f aca="false">IMSIN("3+4i ")</f>
        <v>#VALUE!</v>
      </c>
      <c r="B17615" s="0" t="s">
        <v>17461</v>
      </c>
    </row>
    <row r="17616" customFormat="false" ht="15" hidden="false" customHeight="false" outlineLevel="0" collapsed="false">
      <c r="A17616" s="0" t="e">
        <f aca="false">IMSIN("1+i+j")</f>
        <v>#VALUE!</v>
      </c>
      <c r="B17616" s="0" t="s">
        <v>17462</v>
      </c>
    </row>
    <row r="17617" customFormat="false" ht="15" hidden="false" customHeight="false" outlineLevel="0" collapsed="false">
      <c r="A17617" s="0" t="e">
        <f aca="false">IMSIN("abc")</f>
        <v>#VALUE!</v>
      </c>
      <c r="B17617" s="0" t="s">
        <v>17463</v>
      </c>
    </row>
    <row r="17618" customFormat="false" ht="15" hidden="false" customHeight="false" outlineLevel="0" collapsed="false">
      <c r="A17618" s="0" t="e">
        <f aca="false">IMSIN("")</f>
        <v>#VALUE!</v>
      </c>
      <c r="B17618" s="0" t="s">
        <v>17464</v>
      </c>
    </row>
    <row r="17619" customFormat="false" ht="15" hidden="false" customHeight="false" outlineLevel="0" collapsed="false">
      <c r="A17619" s="0" t="e">
        <f aca="false">IMSIN("i3")</f>
        <v>#VALUE!</v>
      </c>
      <c r="B17619" s="0" t="s">
        <v>17465</v>
      </c>
    </row>
    <row r="17620" customFormat="false" ht="15" hidden="false" customHeight="false" outlineLevel="0" collapsed="false">
      <c r="A17620" s="0" t="e">
        <f aca="false">IMSIN("3i+4")</f>
        <v>#VALUE!</v>
      </c>
      <c r="B17620" s="0" t="s">
        <v>17466</v>
      </c>
    </row>
    <row r="17621" customFormat="false" ht="15" hidden="false" customHeight="false" outlineLevel="0" collapsed="false">
      <c r="A17621" s="0" t="e">
        <f aca="false">IMSIN("(1+i)")</f>
        <v>#VALUE!</v>
      </c>
      <c r="B17621" s="0" t="s">
        <v>17467</v>
      </c>
    </row>
    <row r="17622" customFormat="false" ht="15" hidden="false" customHeight="false" outlineLevel="0" collapsed="false">
      <c r="A17622" s="0" t="e">
        <f aca="false">IMSIN("1.5E300+1E300i")</f>
        <v>#VALUE!</v>
      </c>
      <c r="B17622" s="0" t="s">
        <v>17468</v>
      </c>
    </row>
    <row r="17623" customFormat="false" ht="15" hidden="false" customHeight="false" outlineLevel="0" collapsed="false">
      <c r="A17623" s="0" t="str">
        <f aca="false">IMSIN("0+0i")</f>
        <v>0</v>
      </c>
      <c r="B17623" s="0" t="s">
        <v>17469</v>
      </c>
    </row>
    <row r="17624" customFormat="false" ht="15" hidden="false" customHeight="false" outlineLevel="0" collapsed="false">
      <c r="A17624" s="0" t="str">
        <f aca="false">IMSIN("-0-0i")</f>
        <v>-0</v>
      </c>
      <c r="B17624" s="0" t="s">
        <v>17470</v>
      </c>
    </row>
    <row r="17625" customFormat="false" ht="15" hidden="false" customHeight="false" outlineLevel="0" collapsed="false">
      <c r="A17625" s="0" t="e">
        <f aca="false">IMSIN("1/2+i")</f>
        <v>#VALUE!</v>
      </c>
      <c r="B17625" s="0" t="s">
        <v>17471</v>
      </c>
    </row>
    <row r="17626" customFormat="false" ht="15" hidden="false" customHeight="false" outlineLevel="0" collapsed="false">
      <c r="A17626" s="0" t="str">
        <f aca="false">IMSIN("1e1+i")</f>
        <v>-0.839468441144063-0.986077862523177i</v>
      </c>
      <c r="B17626" s="0" t="s">
        <v>17472</v>
      </c>
    </row>
    <row r="17627" customFormat="false" ht="15" hidden="false" customHeight="false" outlineLevel="0" collapsed="false">
      <c r="A17627" s="0" t="str">
        <f aca="false">IMSIN("1+1e1i")</f>
        <v>9267.31595119809+5950.47511726504i</v>
      </c>
      <c r="B17627" s="0" t="s">
        <v>17473</v>
      </c>
    </row>
    <row r="17628" customFormat="false" ht="15" hidden="false" customHeight="false" outlineLevel="0" collapsed="false">
      <c r="A17628" s="0" t="str">
        <f aca="false">IMSIN(".5+.5i")</f>
        <v>0.540612685713153+0.457304153184249i</v>
      </c>
      <c r="B17628" s="0" t="s">
        <v>17474</v>
      </c>
    </row>
    <row r="17629" customFormat="false" ht="15" hidden="false" customHeight="false" outlineLevel="0" collapsed="false">
      <c r="A17629" s="0" t="str">
        <f aca="false">IMSIN("5.")</f>
        <v>-0.958924274663138</v>
      </c>
      <c r="B17629" s="0" t="s">
        <v>17475</v>
      </c>
    </row>
    <row r="17630" customFormat="false" ht="15" hidden="false" customHeight="false" outlineLevel="0" collapsed="false">
      <c r="A17630" s="0" t="str">
        <f aca="false">IMSIN("1,5+2i")</f>
        <v>3.7527713404793+0.256553956090482i</v>
      </c>
      <c r="B17630" s="0" t="s">
        <v>17476</v>
      </c>
    </row>
    <row r="17631" customFormat="false" ht="15" hidden="false" customHeight="false" outlineLevel="0" collapsed="false">
      <c r="A17631" s="0" t="e">
        <f aca="false">IMSIN("3++4i")</f>
        <v>#VALUE!</v>
      </c>
      <c r="B17631" s="0" t="s">
        <v>17477</v>
      </c>
    </row>
    <row r="17632" customFormat="false" ht="15" hidden="false" customHeight="false" outlineLevel="0" collapsed="false">
      <c r="A17632" s="0" t="e">
        <f aca="false">IMSIN("3+-4i")</f>
        <v>#VALUE!</v>
      </c>
      <c r="B17632" s="0" t="s">
        <v>17478</v>
      </c>
    </row>
    <row r="17633" customFormat="false" ht="15" hidden="false" customHeight="false" outlineLevel="0" collapsed="false">
      <c r="A17633" s="0" t="e">
        <f aca="false">IMSIN("--3")</f>
        <v>#VALUE!</v>
      </c>
      <c r="B17633" s="0" t="s">
        <v>17479</v>
      </c>
    </row>
    <row r="17634" customFormat="false" ht="15" hidden="false" customHeight="false" outlineLevel="0" collapsed="false">
      <c r="A17634" s="0" t="e">
        <f aca="false">IMSIN("3i4")</f>
        <v>#VALUE!</v>
      </c>
      <c r="B17634" s="0" t="s">
        <v>17480</v>
      </c>
    </row>
    <row r="17635" customFormat="false" ht="15" hidden="false" customHeight="false" outlineLevel="0" collapsed="false">
      <c r="A17635" s="0" t="str">
        <f aca="false">IMSIN("0.1+0.2i")</f>
        <v>0.101836749421297+0.200330161148816i</v>
      </c>
      <c r="B17635" s="0" t="s">
        <v>17481</v>
      </c>
    </row>
    <row r="17636" customFormat="false" ht="15" hidden="false" customHeight="false" outlineLevel="0" collapsed="false">
      <c r="A17636" s="0" t="str">
        <f aca="false">IMSIN("-2.5")</f>
        <v>-0.598472144103957</v>
      </c>
      <c r="B17636" s="0" t="s">
        <v>17482</v>
      </c>
    </row>
    <row r="17637" customFormat="false" ht="15" hidden="false" customHeight="false" outlineLevel="0" collapsed="false">
      <c r="A17637" s="0" t="str">
        <f aca="false">IMSIN("1E+2i")</f>
        <v>1.34405857090807e+43i</v>
      </c>
      <c r="B17637" s="0" t="s">
        <v>17483</v>
      </c>
    </row>
    <row r="17638" customFormat="false" ht="15" hidden="false" customHeight="false" outlineLevel="0" collapsed="false">
      <c r="A17638" s="0" t="str">
        <f aca="false">IMSIN("1E-2i")</f>
        <v>0.0100001666675i</v>
      </c>
      <c r="B17638" s="0" t="s">
        <v>17484</v>
      </c>
    </row>
    <row r="17639" customFormat="false" ht="15" hidden="false" customHeight="false" outlineLevel="0" collapsed="false">
      <c r="A17639" s="0" t="str">
        <f aca="false">IMSIN("12345678901234567890+1i")</f>
        <v>1.0966576354893+0.826755928302173i</v>
      </c>
      <c r="B17639" s="0" t="s">
        <v>17485</v>
      </c>
    </row>
    <row r="17640" customFormat="false" ht="15" hidden="false" customHeight="false" outlineLevel="0" collapsed="false">
      <c r="A17640" s="0" t="e">
        <f aca="false">IMSIN("1+i2")</f>
        <v>#VALUE!</v>
      </c>
      <c r="B17640" s="0" t="s">
        <v>17486</v>
      </c>
    </row>
    <row r="17641" customFormat="false" ht="15" hidden="false" customHeight="false" outlineLevel="0" collapsed="false">
      <c r="A17641" s="0" t="e">
        <f aca="false">IMSIN("ii")</f>
        <v>#VALUE!</v>
      </c>
      <c r="B17641" s="0" t="s">
        <v>17487</v>
      </c>
    </row>
    <row r="17642" customFormat="false" ht="15" hidden="false" customHeight="false" outlineLevel="0" collapsed="false">
      <c r="A17642" s="0" t="e">
        <f aca="false">IMSIN("3 + 4i")</f>
        <v>#VALUE!</v>
      </c>
      <c r="B17642" s="0" t="s">
        <v>17488</v>
      </c>
    </row>
    <row r="17643" customFormat="false" ht="15" hidden="false" customHeight="false" outlineLevel="0" collapsed="false">
      <c r="A17643" s="0" t="e">
        <f aca="false">IMSIN("4i+3")</f>
        <v>#VALUE!</v>
      </c>
      <c r="B17643" s="0" t="s">
        <v>17489</v>
      </c>
    </row>
    <row r="17644" customFormat="false" ht="15" hidden="false" customHeight="false" outlineLevel="0" collapsed="false">
      <c r="A17644" s="0" t="str">
        <f aca="false">IMSIN("1+0i")</f>
        <v>0.841470984807897</v>
      </c>
      <c r="B17644" s="0" t="s">
        <v>17490</v>
      </c>
    </row>
    <row r="17645" customFormat="false" ht="15" hidden="false" customHeight="false" outlineLevel="0" collapsed="false">
      <c r="A17645" s="0" t="str">
        <f aca="false">IMSIN("0+1i")</f>
        <v>1.1752011936438i</v>
      </c>
      <c r="B17645" s="0" t="s">
        <v>17491</v>
      </c>
    </row>
    <row r="17646" customFormat="false" ht="15" hidden="false" customHeight="false" outlineLevel="0" collapsed="false">
      <c r="A17646" s="0" t="str">
        <f aca="false">IMSIN("0-1i")</f>
        <v>-1.1752011936438i</v>
      </c>
      <c r="B17646" s="0" t="s">
        <v>17492</v>
      </c>
    </row>
    <row r="17647" customFormat="false" ht="15" hidden="false" customHeight="false" outlineLevel="0" collapsed="false">
      <c r="A17647" s="0" t="str">
        <f aca="false">IMSIN("-1+0i")</f>
        <v>-0.841470984807897</v>
      </c>
      <c r="B17647" s="0" t="s">
        <v>17493</v>
      </c>
    </row>
    <row r="17648" customFormat="false" ht="15" hidden="false" customHeight="false" outlineLevel="0" collapsed="false">
      <c r="A17648" s="0" t="str">
        <f aca="false">IMSIN("1e-10+1e-10i")</f>
        <v>1e-10+1e-10i</v>
      </c>
      <c r="B17648" s="0" t="s">
        <v>17494</v>
      </c>
    </row>
    <row r="17649" customFormat="false" ht="15" hidden="false" customHeight="false" outlineLevel="0" collapsed="false">
      <c r="A17649" s="0" t="str">
        <f aca="false">IMSIN("2+0.0000001i")</f>
        <v>0.909297426825686-4.16146836547143e-08i</v>
      </c>
      <c r="B17649" s="0" t="s">
        <v>17495</v>
      </c>
    </row>
    <row r="17650" customFormat="false" ht="15" hidden="false" customHeight="false" outlineLevel="0" collapsed="false">
      <c r="A17650" s="0" t="e">
        <f aca="false">IMSIN("TRUE")</f>
        <v>#VALUE!</v>
      </c>
      <c r="B17650" s="0" t="s">
        <v>17496</v>
      </c>
    </row>
    <row r="17651" customFormat="false" ht="15" hidden="false" customHeight="false" outlineLevel="0" collapsed="false">
      <c r="A17651" s="0" t="e">
        <f aca="false">IMSIN("1+Ii")</f>
        <v>#VALUE!</v>
      </c>
      <c r="B17651" s="0" t="s">
        <v>17497</v>
      </c>
    </row>
    <row r="17652" customFormat="false" ht="15" hidden="false" customHeight="false" outlineLevel="0" collapsed="false">
      <c r="A17652" s="0" t="str">
        <f aca="false">IMSIN(5)</f>
        <v>-0.958924274663138</v>
      </c>
      <c r="B17652" s="0" t="s">
        <v>17498</v>
      </c>
    </row>
    <row r="17653" customFormat="false" ht="15" hidden="false" customHeight="false" outlineLevel="0" collapsed="false">
      <c r="A17653" s="0" t="str">
        <f aca="false">IMSIN(TRUE())</f>
        <v>0.841470984807897</v>
      </c>
      <c r="B17653" s="0" t="s">
        <v>17499</v>
      </c>
    </row>
    <row r="17654" customFormat="false" ht="15" hidden="false" customHeight="false" outlineLevel="0" collapsed="false">
      <c r="A17654" s="0" t="e">
        <f aca="false">IMSIN(Data!D1)</f>
        <v>#VALUE!</v>
      </c>
      <c r="B17654" s="0" t="s">
        <v>17500</v>
      </c>
    </row>
    <row r="17655" customFormat="false" ht="15" hidden="false" customHeight="false" outlineLevel="0" collapsed="false">
      <c r="A17655" s="0" t="str">
        <f aca="false">IMSIN(Data!A1)</f>
        <v>-0.958924274663138</v>
      </c>
      <c r="B17655" s="0" t="s">
        <v>17501</v>
      </c>
    </row>
    <row r="17656" customFormat="false" ht="15" hidden="false" customHeight="false" outlineLevel="0" collapsed="false">
      <c r="A17656" s="0" t="e">
        <f aca="false">IMSIN(Data!B1)</f>
        <v>#VALUE!</v>
      </c>
      <c r="B17656" s="0" t="s">
        <v>17502</v>
      </c>
    </row>
    <row r="17657" customFormat="false" ht="15" hidden="false" customHeight="false" outlineLevel="0" collapsed="false">
      <c r="A17657" s="0" t="e">
        <f aca="false">IMSIN(NA())</f>
        <v>#N/A</v>
      </c>
      <c r="B17657" s="0" t="s">
        <v>17503</v>
      </c>
    </row>
    <row r="17658" customFormat="false" ht="15" hidden="false" customHeight="false" outlineLevel="0" collapsed="false">
      <c r="A17658" s="0" t="e">
        <f aca="false">IMSIN("3+4i",1)</f>
        <v>#VALUE!</v>
      </c>
      <c r="B17658" s="0" t="s">
        <v>17504</v>
      </c>
    </row>
    <row r="17659" customFormat="false" ht="15" hidden="false" customHeight="false" outlineLevel="0" collapsed="false">
      <c r="A17659" s="0" t="e">
        <f aca="false">IMSIN()</f>
        <v>#VALUE!</v>
      </c>
      <c r="B17659" s="0" t="s">
        <v>17505</v>
      </c>
    </row>
    <row r="17660" customFormat="false" ht="15" hidden="false" customHeight="false" outlineLevel="0" collapsed="false">
      <c r="A17660" s="0" t="e">
        <f aca="false">IMSIN(Data!A1:A3)</f>
        <v>#VALUE!</v>
      </c>
      <c r="B17660" s="0" t="s">
        <v>17506</v>
      </c>
    </row>
    <row r="17661" customFormat="false" ht="15" hidden="false" customHeight="false" outlineLevel="0" collapsed="false">
      <c r="A17661" s="0" t="str">
        <f aca="false">IMSIN(-2.5)</f>
        <v>-0.598472144103957</v>
      </c>
      <c r="B17661" s="0" t="s">
        <v>17507</v>
      </c>
    </row>
    <row r="17662" customFormat="false" ht="15" hidden="false" customHeight="false" outlineLevel="0" collapsed="false">
      <c r="A17662" s="0" t="e">
        <f aca="false">IMSIN(1E+300)</f>
        <v>#VALUE!</v>
      </c>
      <c r="B17662" s="0" t="s">
        <v>17508</v>
      </c>
    </row>
    <row r="17663" customFormat="false" ht="15" hidden="false" customHeight="false" outlineLevel="0" collapsed="false">
      <c r="A17663" s="0" t="str">
        <f aca="false">IMSIN(1E-300)</f>
        <v>1e-300</v>
      </c>
      <c r="B17663" s="0" t="s">
        <v>17509</v>
      </c>
    </row>
    <row r="17664" customFormat="false" ht="15" hidden="false" customHeight="false" outlineLevel="0" collapsed="false">
      <c r="A17664" s="0" t="str">
        <f aca="false">IMCOS("3+4i")</f>
        <v>-27.0349456030742-3.85115333481178i</v>
      </c>
      <c r="B17664" s="0" t="s">
        <v>17510</v>
      </c>
    </row>
    <row r="17665" customFormat="false" ht="15" hidden="false" customHeight="false" outlineLevel="0" collapsed="false">
      <c r="A17665" s="0" t="str">
        <f aca="false">IMCOS("3-4i")</f>
        <v>-27.0349456030742+3.85115333481178i</v>
      </c>
      <c r="B17665" s="0" t="s">
        <v>17511</v>
      </c>
    </row>
    <row r="17666" customFormat="false" ht="15" hidden="false" customHeight="false" outlineLevel="0" collapsed="false">
      <c r="A17666" s="0" t="str">
        <f aca="false">IMCOS("4i")</f>
        <v>27.3082328360165</v>
      </c>
      <c r="B17666" s="0" t="s">
        <v>17512</v>
      </c>
    </row>
    <row r="17667" customFormat="false" ht="15" hidden="false" customHeight="false" outlineLevel="0" collapsed="false">
      <c r="A17667" s="0" t="str">
        <f aca="false">IMCOS("-4i")</f>
        <v>27.3082328360165</v>
      </c>
      <c r="B17667" s="0" t="s">
        <v>17513</v>
      </c>
    </row>
    <row r="17668" customFormat="false" ht="15" hidden="false" customHeight="false" outlineLevel="0" collapsed="false">
      <c r="A17668" s="0" t="str">
        <f aca="false">IMCOS("i")</f>
        <v>1.54308063481524</v>
      </c>
      <c r="B17668" s="0" t="s">
        <v>17514</v>
      </c>
    </row>
    <row r="17669" customFormat="false" ht="15" hidden="false" customHeight="false" outlineLevel="0" collapsed="false">
      <c r="A17669" s="0" t="str">
        <f aca="false">IMCOS("-i")</f>
        <v>1.54308063481524</v>
      </c>
      <c r="B17669" s="0" t="s">
        <v>17515</v>
      </c>
    </row>
    <row r="17670" customFormat="false" ht="15" hidden="false" customHeight="false" outlineLevel="0" collapsed="false">
      <c r="A17670" s="0" t="str">
        <f aca="false">IMCOS("3")</f>
        <v>-0.989992496600445</v>
      </c>
      <c r="B17670" s="0" t="s">
        <v>17516</v>
      </c>
    </row>
    <row r="17671" customFormat="false" ht="15" hidden="false" customHeight="false" outlineLevel="0" collapsed="false">
      <c r="A17671" s="0" t="str">
        <f aca="false">IMCOS("0")</f>
        <v>1</v>
      </c>
      <c r="B17671" s="0" t="s">
        <v>17517</v>
      </c>
    </row>
    <row r="17672" customFormat="false" ht="15" hidden="false" customHeight="false" outlineLevel="0" collapsed="false">
      <c r="A17672" s="0" t="str">
        <f aca="false">IMCOS("1+i")</f>
        <v>0.833730025131149-0.988897705762865i</v>
      </c>
      <c r="B17672" s="0" t="s">
        <v>17518</v>
      </c>
    </row>
    <row r="17673" customFormat="false" ht="15" hidden="false" customHeight="false" outlineLevel="0" collapsed="false">
      <c r="A17673" s="0" t="str">
        <f aca="false">IMCOS("1-i")</f>
        <v>0.833730025131149+0.988897705762865i</v>
      </c>
      <c r="B17673" s="0" t="s">
        <v>17519</v>
      </c>
    </row>
    <row r="17674" customFormat="false" ht="15" hidden="false" customHeight="false" outlineLevel="0" collapsed="false">
      <c r="A17674" s="0" t="str">
        <f aca="false">IMCOS("-1-i")</f>
        <v>0.833730025131149-0.988897705762865i</v>
      </c>
      <c r="B17674" s="0" t="s">
        <v>17520</v>
      </c>
    </row>
    <row r="17675" customFormat="false" ht="15" hidden="false" customHeight="false" outlineLevel="0" collapsed="false">
      <c r="A17675" s="0" t="str">
        <f aca="false">IMCOS("2.5+3.5i")</f>
        <v>-13.2772126767963-9.90030162194354i</v>
      </c>
      <c r="B17675" s="0" t="s">
        <v>17521</v>
      </c>
    </row>
    <row r="17676" customFormat="false" ht="15" hidden="false" customHeight="false" outlineLevel="0" collapsed="false">
      <c r="A17676" s="0" t="str">
        <f aca="false">IMCOS("1E2+1E-2i")</f>
        <v>0.862361988590599+0.00506374080579308i</v>
      </c>
      <c r="B17676" s="0" t="s">
        <v>17522</v>
      </c>
    </row>
    <row r="17677" customFormat="false" ht="15" hidden="false" customHeight="false" outlineLevel="0" collapsed="false">
      <c r="A17677" s="0" t="str">
        <f aca="false">IMCOS("3+4j")</f>
        <v>-27.0349456030742-3.85115333481178j</v>
      </c>
      <c r="B17677" s="0" t="s">
        <v>17523</v>
      </c>
    </row>
    <row r="17678" customFormat="false" ht="15" hidden="false" customHeight="false" outlineLevel="0" collapsed="false">
      <c r="A17678" s="0" t="str">
        <f aca="false">IMCOS("j")</f>
        <v>1.54308063481524</v>
      </c>
      <c r="B17678" s="0" t="s">
        <v>17524</v>
      </c>
    </row>
    <row r="17679" customFormat="false" ht="15" hidden="false" customHeight="false" outlineLevel="0" collapsed="false">
      <c r="A17679" s="0" t="str">
        <f aca="false">IMCOS("-j")</f>
        <v>1.54308063481524</v>
      </c>
      <c r="B17679" s="0" t="s">
        <v>17525</v>
      </c>
    </row>
    <row r="17680" customFormat="false" ht="15" hidden="false" customHeight="false" outlineLevel="0" collapsed="false">
      <c r="A17680" s="0" t="str">
        <f aca="false">IMCOS("2j")</f>
        <v>3.76219569108363</v>
      </c>
      <c r="B17680" s="0" t="s">
        <v>17526</v>
      </c>
    </row>
    <row r="17681" customFormat="false" ht="15" hidden="false" customHeight="false" outlineLevel="0" collapsed="false">
      <c r="A17681" s="0" t="e">
        <f aca="false">IMCOS("1+2k")</f>
        <v>#VALUE!</v>
      </c>
      <c r="B17681" s="0" t="s">
        <v>17527</v>
      </c>
    </row>
    <row r="17682" customFormat="false" ht="15" hidden="false" customHeight="false" outlineLevel="0" collapsed="false">
      <c r="A17682" s="0" t="str">
        <f aca="false">IMCOS("+3+4i")</f>
        <v>-27.0349456030742-3.85115333481178i</v>
      </c>
      <c r="B17682" s="0" t="s">
        <v>17528</v>
      </c>
    </row>
    <row r="17683" customFormat="false" ht="15" hidden="false" customHeight="false" outlineLevel="0" collapsed="false">
      <c r="A17683" s="0" t="e">
        <f aca="false">IMCOS("3+ 4i")</f>
        <v>#VALUE!</v>
      </c>
      <c r="B17683" s="0" t="s">
        <v>17529</v>
      </c>
    </row>
    <row r="17684" customFormat="false" ht="15" hidden="false" customHeight="false" outlineLevel="0" collapsed="false">
      <c r="A17684" s="0" t="e">
        <f aca="false">IMCOS(" 3+4i")</f>
        <v>#VALUE!</v>
      </c>
      <c r="B17684" s="0" t="s">
        <v>17530</v>
      </c>
    </row>
    <row r="17685" customFormat="false" ht="15" hidden="false" customHeight="false" outlineLevel="0" collapsed="false">
      <c r="A17685" s="0" t="e">
        <f aca="false">IMCOS("3+4I")</f>
        <v>#VALUE!</v>
      </c>
      <c r="B17685" s="0" t="s">
        <v>17531</v>
      </c>
    </row>
    <row r="17686" customFormat="false" ht="15" hidden="false" customHeight="false" outlineLevel="0" collapsed="false">
      <c r="A17686" s="0" t="e">
        <f aca="false">IMCOS("3+4i ")</f>
        <v>#VALUE!</v>
      </c>
      <c r="B17686" s="0" t="s">
        <v>17532</v>
      </c>
    </row>
    <row r="17687" customFormat="false" ht="15" hidden="false" customHeight="false" outlineLevel="0" collapsed="false">
      <c r="A17687" s="0" t="e">
        <f aca="false">IMCOS("1+i+j")</f>
        <v>#VALUE!</v>
      </c>
      <c r="B17687" s="0" t="s">
        <v>17533</v>
      </c>
    </row>
    <row r="17688" customFormat="false" ht="15" hidden="false" customHeight="false" outlineLevel="0" collapsed="false">
      <c r="A17688" s="0" t="e">
        <f aca="false">IMCOS("abc")</f>
        <v>#VALUE!</v>
      </c>
      <c r="B17688" s="0" t="s">
        <v>17534</v>
      </c>
    </row>
    <row r="17689" customFormat="false" ht="15" hidden="false" customHeight="false" outlineLevel="0" collapsed="false">
      <c r="A17689" s="0" t="e">
        <f aca="false">IMCOS("")</f>
        <v>#VALUE!</v>
      </c>
      <c r="B17689" s="0" t="s">
        <v>17535</v>
      </c>
    </row>
    <row r="17690" customFormat="false" ht="15" hidden="false" customHeight="false" outlineLevel="0" collapsed="false">
      <c r="A17690" s="0" t="e">
        <f aca="false">IMCOS("i3")</f>
        <v>#VALUE!</v>
      </c>
      <c r="B17690" s="0" t="s">
        <v>17536</v>
      </c>
    </row>
    <row r="17691" customFormat="false" ht="15" hidden="false" customHeight="false" outlineLevel="0" collapsed="false">
      <c r="A17691" s="0" t="e">
        <f aca="false">IMCOS("3i+4")</f>
        <v>#VALUE!</v>
      </c>
      <c r="B17691" s="0" t="s">
        <v>17537</v>
      </c>
    </row>
    <row r="17692" customFormat="false" ht="15" hidden="false" customHeight="false" outlineLevel="0" collapsed="false">
      <c r="A17692" s="0" t="e">
        <f aca="false">IMCOS("(1+i)")</f>
        <v>#VALUE!</v>
      </c>
      <c r="B17692" s="0" t="s">
        <v>17538</v>
      </c>
    </row>
    <row r="17693" customFormat="false" ht="15" hidden="false" customHeight="false" outlineLevel="0" collapsed="false">
      <c r="A17693" s="0" t="e">
        <f aca="false">IMCOS("1.5E300+1E300i")</f>
        <v>#VALUE!</v>
      </c>
      <c r="B17693" s="0" t="s">
        <v>17539</v>
      </c>
    </row>
    <row r="17694" customFormat="false" ht="15" hidden="false" customHeight="false" outlineLevel="0" collapsed="false">
      <c r="A17694" s="0" t="str">
        <f aca="false">IMCOS("0+0i")</f>
        <v>1</v>
      </c>
      <c r="B17694" s="0" t="s">
        <v>17540</v>
      </c>
    </row>
    <row r="17695" customFormat="false" ht="15" hidden="false" customHeight="false" outlineLevel="0" collapsed="false">
      <c r="A17695" s="0" t="str">
        <f aca="false">IMCOS("-0-0i")</f>
        <v>1</v>
      </c>
      <c r="B17695" s="0" t="s">
        <v>17541</v>
      </c>
    </row>
    <row r="17696" customFormat="false" ht="15" hidden="false" customHeight="false" outlineLevel="0" collapsed="false">
      <c r="A17696" s="0" t="e">
        <f aca="false">IMCOS("1/2+i")</f>
        <v>#VALUE!</v>
      </c>
      <c r="B17696" s="0" t="s">
        <v>17542</v>
      </c>
    </row>
    <row r="17697" customFormat="false" ht="15" hidden="false" customHeight="false" outlineLevel="0" collapsed="false">
      <c r="A17697" s="0" t="str">
        <f aca="false">IMCOS("1e1+i")</f>
        <v>-1.29475502774269+0.639334258884614i</v>
      </c>
      <c r="B17697" s="0" t="s">
        <v>17543</v>
      </c>
    </row>
    <row r="17698" customFormat="false" ht="15" hidden="false" customHeight="false" outlineLevel="0" collapsed="false">
      <c r="A17698" s="0" t="str">
        <f aca="false">IMCOS("1+1e1i")</f>
        <v>5950.47514179473-9267.31591299537i</v>
      </c>
      <c r="B17698" s="0" t="s">
        <v>17544</v>
      </c>
    </row>
    <row r="17699" customFormat="false" ht="15" hidden="false" customHeight="false" outlineLevel="0" collapsed="false">
      <c r="A17699" s="0" t="str">
        <f aca="false">IMCOS(".5+.5i")</f>
        <v>0.98958488339992-0.249826397500462i</v>
      </c>
      <c r="B17699" s="0" t="s">
        <v>17545</v>
      </c>
    </row>
    <row r="17700" customFormat="false" ht="15" hidden="false" customHeight="false" outlineLevel="0" collapsed="false">
      <c r="A17700" s="0" t="str">
        <f aca="false">IMCOS("5.")</f>
        <v>0.283662185463226</v>
      </c>
      <c r="B17700" s="0" t="s">
        <v>17546</v>
      </c>
    </row>
    <row r="17701" customFormat="false" ht="15" hidden="false" customHeight="false" outlineLevel="0" collapsed="false">
      <c r="A17701" s="0" t="str">
        <f aca="false">IMCOS("1,5+2i")</f>
        <v>0.266127195313546-3.61777507394014i</v>
      </c>
      <c r="B17701" s="0" t="s">
        <v>17547</v>
      </c>
    </row>
    <row r="17702" customFormat="false" ht="15" hidden="false" customHeight="false" outlineLevel="0" collapsed="false">
      <c r="A17702" s="0" t="e">
        <f aca="false">IMCOS("3++4i")</f>
        <v>#VALUE!</v>
      </c>
      <c r="B17702" s="0" t="s">
        <v>17548</v>
      </c>
    </row>
    <row r="17703" customFormat="false" ht="15" hidden="false" customHeight="false" outlineLevel="0" collapsed="false">
      <c r="A17703" s="0" t="e">
        <f aca="false">IMCOS("3+-4i")</f>
        <v>#VALUE!</v>
      </c>
      <c r="B17703" s="0" t="s">
        <v>17549</v>
      </c>
    </row>
    <row r="17704" customFormat="false" ht="15" hidden="false" customHeight="false" outlineLevel="0" collapsed="false">
      <c r="A17704" s="0" t="e">
        <f aca="false">IMCOS("--3")</f>
        <v>#VALUE!</v>
      </c>
      <c r="B17704" s="0" t="s">
        <v>17550</v>
      </c>
    </row>
    <row r="17705" customFormat="false" ht="15" hidden="false" customHeight="false" outlineLevel="0" collapsed="false">
      <c r="A17705" s="0" t="e">
        <f aca="false">IMCOS("3i4")</f>
        <v>#VALUE!</v>
      </c>
      <c r="B17705" s="0" t="s">
        <v>17551</v>
      </c>
    </row>
    <row r="17706" customFormat="false" ht="15" hidden="false" customHeight="false" outlineLevel="0" collapsed="false">
      <c r="A17706" s="0" t="str">
        <f aca="false">IMCOS("0.1+0.2i")</f>
        <v>1.01497067070262-0.0201000610276919i</v>
      </c>
      <c r="B17706" s="0" t="s">
        <v>17552</v>
      </c>
    </row>
    <row r="17707" customFormat="false" ht="15" hidden="false" customHeight="false" outlineLevel="0" collapsed="false">
      <c r="A17707" s="0" t="str">
        <f aca="false">IMCOS("-2.5")</f>
        <v>-0.801143615546934</v>
      </c>
      <c r="B17707" s="0" t="s">
        <v>17553</v>
      </c>
    </row>
    <row r="17708" customFormat="false" ht="15" hidden="false" customHeight="false" outlineLevel="0" collapsed="false">
      <c r="A17708" s="0" t="str">
        <f aca="false">IMCOS("1E+2i")</f>
        <v>1.34405857090807e+43</v>
      </c>
      <c r="B17708" s="0" t="s">
        <v>17554</v>
      </c>
    </row>
    <row r="17709" customFormat="false" ht="15" hidden="false" customHeight="false" outlineLevel="0" collapsed="false">
      <c r="A17709" s="0" t="str">
        <f aca="false">IMCOS("1E-2i")</f>
        <v>1.00005000041667</v>
      </c>
      <c r="B17709" s="0" t="s">
        <v>17555</v>
      </c>
    </row>
    <row r="17710" customFormat="false" ht="15" hidden="false" customHeight="false" outlineLevel="0" collapsed="false">
      <c r="A17710" s="0" t="str">
        <f aca="false">IMCOS("12345678901234567890+1i")</f>
        <v>1.08555970635651-0.83520804627292i</v>
      </c>
      <c r="B17710" s="0" t="s">
        <v>17556</v>
      </c>
    </row>
    <row r="17711" customFormat="false" ht="15" hidden="false" customHeight="false" outlineLevel="0" collapsed="false">
      <c r="A17711" s="0" t="e">
        <f aca="false">IMCOS("1+i2")</f>
        <v>#VALUE!</v>
      </c>
      <c r="B17711" s="0" t="s">
        <v>17557</v>
      </c>
    </row>
    <row r="17712" customFormat="false" ht="15" hidden="false" customHeight="false" outlineLevel="0" collapsed="false">
      <c r="A17712" s="0" t="e">
        <f aca="false">IMCOS("ii")</f>
        <v>#VALUE!</v>
      </c>
      <c r="B17712" s="0" t="s">
        <v>17558</v>
      </c>
    </row>
    <row r="17713" customFormat="false" ht="15" hidden="false" customHeight="false" outlineLevel="0" collapsed="false">
      <c r="A17713" s="0" t="e">
        <f aca="false">IMCOS("3 + 4i")</f>
        <v>#VALUE!</v>
      </c>
      <c r="B17713" s="0" t="s">
        <v>17559</v>
      </c>
    </row>
    <row r="17714" customFormat="false" ht="15" hidden="false" customHeight="false" outlineLevel="0" collapsed="false">
      <c r="A17714" s="0" t="e">
        <f aca="false">IMCOS("4i+3")</f>
        <v>#VALUE!</v>
      </c>
      <c r="B17714" s="0" t="s">
        <v>17560</v>
      </c>
    </row>
    <row r="17715" customFormat="false" ht="15" hidden="false" customHeight="false" outlineLevel="0" collapsed="false">
      <c r="A17715" s="0" t="str">
        <f aca="false">IMCOS("1+0i")</f>
        <v>0.54030230586814</v>
      </c>
      <c r="B17715" s="0" t="s">
        <v>17561</v>
      </c>
    </row>
    <row r="17716" customFormat="false" ht="15" hidden="false" customHeight="false" outlineLevel="0" collapsed="false">
      <c r="A17716" s="0" t="str">
        <f aca="false">IMCOS("0+1i")</f>
        <v>1.54308063481524</v>
      </c>
      <c r="B17716" s="0" t="s">
        <v>17562</v>
      </c>
    </row>
    <row r="17717" customFormat="false" ht="15" hidden="false" customHeight="false" outlineLevel="0" collapsed="false">
      <c r="A17717" s="0" t="str">
        <f aca="false">IMCOS("0-1i")</f>
        <v>1.54308063481524</v>
      </c>
      <c r="B17717" s="0" t="s">
        <v>17563</v>
      </c>
    </row>
    <row r="17718" customFormat="false" ht="15" hidden="false" customHeight="false" outlineLevel="0" collapsed="false">
      <c r="A17718" s="0" t="str">
        <f aca="false">IMCOS("-1+0i")</f>
        <v>0.54030230586814</v>
      </c>
      <c r="B17718" s="0" t="s">
        <v>17564</v>
      </c>
    </row>
    <row r="17719" customFormat="false" ht="15" hidden="false" customHeight="false" outlineLevel="0" collapsed="false">
      <c r="A17719" s="0" t="str">
        <f aca="false">IMCOS("1e-10+1e-10i")</f>
        <v>1-1e-20i</v>
      </c>
      <c r="B17719" s="0" t="s">
        <v>17565</v>
      </c>
    </row>
    <row r="17720" customFormat="false" ht="15" hidden="false" customHeight="false" outlineLevel="0" collapsed="false">
      <c r="A17720" s="0" t="str">
        <f aca="false">IMCOS("2+0.0000001i")</f>
        <v>-0.416146836547145-9.09297426825684e-08i</v>
      </c>
      <c r="B17720" s="0" t="s">
        <v>17566</v>
      </c>
    </row>
    <row r="17721" customFormat="false" ht="15" hidden="false" customHeight="false" outlineLevel="0" collapsed="false">
      <c r="A17721" s="0" t="e">
        <f aca="false">IMCOS("TRUE")</f>
        <v>#VALUE!</v>
      </c>
      <c r="B17721" s="0" t="s">
        <v>17567</v>
      </c>
    </row>
    <row r="17722" customFormat="false" ht="15" hidden="false" customHeight="false" outlineLevel="0" collapsed="false">
      <c r="A17722" s="0" t="e">
        <f aca="false">IMCOS("1+Ii")</f>
        <v>#VALUE!</v>
      </c>
      <c r="B17722" s="0" t="s">
        <v>17568</v>
      </c>
    </row>
    <row r="17723" customFormat="false" ht="15" hidden="false" customHeight="false" outlineLevel="0" collapsed="false">
      <c r="A17723" s="0" t="str">
        <f aca="false">IMCOS(5)</f>
        <v>0.283662185463226</v>
      </c>
      <c r="B17723" s="0" t="s">
        <v>17569</v>
      </c>
    </row>
    <row r="17724" customFormat="false" ht="15" hidden="false" customHeight="false" outlineLevel="0" collapsed="false">
      <c r="A17724" s="0" t="str">
        <f aca="false">IMCOS(TRUE())</f>
        <v>0.54030230586814</v>
      </c>
      <c r="B17724" s="0" t="s">
        <v>17570</v>
      </c>
    </row>
    <row r="17725" customFormat="false" ht="15" hidden="false" customHeight="false" outlineLevel="0" collapsed="false">
      <c r="A17725" s="0" t="e">
        <f aca="false">IMCOS(Data!D1)</f>
        <v>#VALUE!</v>
      </c>
      <c r="B17725" s="0" t="s">
        <v>17571</v>
      </c>
    </row>
    <row r="17726" customFormat="false" ht="15" hidden="false" customHeight="false" outlineLevel="0" collapsed="false">
      <c r="A17726" s="0" t="str">
        <f aca="false">IMCOS(Data!A1)</f>
        <v>0.283662185463226</v>
      </c>
      <c r="B17726" s="0" t="s">
        <v>17572</v>
      </c>
    </row>
    <row r="17727" customFormat="false" ht="15" hidden="false" customHeight="false" outlineLevel="0" collapsed="false">
      <c r="A17727" s="0" t="e">
        <f aca="false">IMCOS(Data!B1)</f>
        <v>#VALUE!</v>
      </c>
      <c r="B17727" s="0" t="s">
        <v>17573</v>
      </c>
    </row>
    <row r="17728" customFormat="false" ht="15" hidden="false" customHeight="false" outlineLevel="0" collapsed="false">
      <c r="A17728" s="0" t="e">
        <f aca="false">IMCOS(NA())</f>
        <v>#N/A</v>
      </c>
      <c r="B17728" s="0" t="s">
        <v>17574</v>
      </c>
    </row>
    <row r="17729" customFormat="false" ht="15" hidden="false" customHeight="false" outlineLevel="0" collapsed="false">
      <c r="A17729" s="0" t="e">
        <f aca="false">IMCOS("3+4i",1)</f>
        <v>#VALUE!</v>
      </c>
      <c r="B17729" s="0" t="s">
        <v>17575</v>
      </c>
    </row>
    <row r="17730" customFormat="false" ht="15" hidden="false" customHeight="false" outlineLevel="0" collapsed="false">
      <c r="A17730" s="0" t="e">
        <f aca="false">IMCOS()</f>
        <v>#VALUE!</v>
      </c>
      <c r="B17730" s="0" t="s">
        <v>17576</v>
      </c>
    </row>
    <row r="17731" customFormat="false" ht="15" hidden="false" customHeight="false" outlineLevel="0" collapsed="false">
      <c r="A17731" s="0" t="e">
        <f aca="false">IMCOS(Data!A1:A3)</f>
        <v>#VALUE!</v>
      </c>
      <c r="B17731" s="0" t="s">
        <v>17577</v>
      </c>
    </row>
    <row r="17732" customFormat="false" ht="15" hidden="false" customHeight="false" outlineLevel="0" collapsed="false">
      <c r="A17732" s="0" t="str">
        <f aca="false">IMCOS(-2.5)</f>
        <v>-0.801143615546934</v>
      </c>
      <c r="B17732" s="0" t="s">
        <v>17578</v>
      </c>
    </row>
    <row r="17733" customFormat="false" ht="15" hidden="false" customHeight="false" outlineLevel="0" collapsed="false">
      <c r="A17733" s="0" t="e">
        <f aca="false">IMCOS(1E+300)</f>
        <v>#VALUE!</v>
      </c>
      <c r="B17733" s="0" t="s">
        <v>17579</v>
      </c>
    </row>
    <row r="17734" customFormat="false" ht="15" hidden="false" customHeight="false" outlineLevel="0" collapsed="false">
      <c r="A17734" s="0" t="str">
        <f aca="false">IMCOS(1E-300)</f>
        <v>1</v>
      </c>
      <c r="B17734" s="0" t="s">
        <v>17580</v>
      </c>
    </row>
    <row r="17735" customFormat="false" ht="15" hidden="false" customHeight="false" outlineLevel="0" collapsed="false">
      <c r="A17735" s="0" t="str">
        <f aca="false">IMTAN("3+4i")</f>
        <v>-0.000187346204629478+0.999355987381473i</v>
      </c>
      <c r="B17735" s="0" t="s">
        <v>17581</v>
      </c>
    </row>
    <row r="17736" customFormat="false" ht="15" hidden="false" customHeight="false" outlineLevel="0" collapsed="false">
      <c r="A17736" s="0" t="str">
        <f aca="false">IMTAN("3-4i")</f>
        <v>-0.000187346204629478-0.999355987381473i</v>
      </c>
      <c r="B17736" s="0" t="s">
        <v>17582</v>
      </c>
    </row>
    <row r="17737" customFormat="false" ht="15" hidden="false" customHeight="false" outlineLevel="0" collapsed="false">
      <c r="A17737" s="0" t="str">
        <f aca="false">IMTAN("4i")</f>
        <v>0.999329299739067i</v>
      </c>
      <c r="B17737" s="0" t="s">
        <v>17583</v>
      </c>
    </row>
    <row r="17738" customFormat="false" ht="15" hidden="false" customHeight="false" outlineLevel="0" collapsed="false">
      <c r="A17738" s="0" t="str">
        <f aca="false">IMTAN("-4i")</f>
        <v>-0.999329299739067i</v>
      </c>
      <c r="B17738" s="0" t="s">
        <v>17584</v>
      </c>
    </row>
    <row r="17739" customFormat="false" ht="15" hidden="false" customHeight="false" outlineLevel="0" collapsed="false">
      <c r="A17739" s="0" t="str">
        <f aca="false">IMTAN("i")</f>
        <v>0.761594155955765i</v>
      </c>
      <c r="B17739" s="0" t="s">
        <v>17585</v>
      </c>
    </row>
    <row r="17740" customFormat="false" ht="15" hidden="false" customHeight="false" outlineLevel="0" collapsed="false">
      <c r="A17740" s="0" t="str">
        <f aca="false">IMTAN("-i")</f>
        <v>-0.761594155955765i</v>
      </c>
      <c r="B17740" s="0" t="s">
        <v>17586</v>
      </c>
    </row>
    <row r="17741" customFormat="false" ht="15" hidden="false" customHeight="false" outlineLevel="0" collapsed="false">
      <c r="A17741" s="0" t="str">
        <f aca="false">IMTAN("3")</f>
        <v>-0.142546543074278</v>
      </c>
      <c r="B17741" s="0" t="s">
        <v>17587</v>
      </c>
    </row>
    <row r="17742" customFormat="false" ht="15" hidden="false" customHeight="false" outlineLevel="0" collapsed="false">
      <c r="A17742" s="0" t="str">
        <f aca="false">IMTAN("0")</f>
        <v>0</v>
      </c>
      <c r="B17742" s="0" t="s">
        <v>17588</v>
      </c>
    </row>
    <row r="17743" customFormat="false" ht="15" hidden="false" customHeight="false" outlineLevel="0" collapsed="false">
      <c r="A17743" s="0" t="str">
        <f aca="false">IMTAN("1+i")</f>
        <v>0.271752585319512+1.08392332733869i</v>
      </c>
      <c r="B17743" s="0" t="s">
        <v>17589</v>
      </c>
    </row>
    <row r="17744" customFormat="false" ht="15" hidden="false" customHeight="false" outlineLevel="0" collapsed="false">
      <c r="A17744" s="0" t="str">
        <f aca="false">IMTAN("1-i")</f>
        <v>0.271752585319512-1.08392332733869i</v>
      </c>
      <c r="B17744" s="0" t="s">
        <v>17590</v>
      </c>
    </row>
    <row r="17745" customFormat="false" ht="15" hidden="false" customHeight="false" outlineLevel="0" collapsed="false">
      <c r="A17745" s="0" t="str">
        <f aca="false">IMTAN("-1-i")</f>
        <v>-0.271752585319512-1.08392332733869i</v>
      </c>
      <c r="B17745" s="0" t="s">
        <v>17591</v>
      </c>
    </row>
    <row r="17746" customFormat="false" ht="15" hidden="false" customHeight="false" outlineLevel="0" collapsed="false">
      <c r="A17746" s="0" t="str">
        <f aca="false">IMTAN("2.5+3.5i")</f>
        <v>-0.00174794578153381+0.999481272866024i</v>
      </c>
      <c r="B17746" s="0" t="s">
        <v>17592</v>
      </c>
    </row>
    <row r="17747" customFormat="false" ht="15" hidden="false" customHeight="false" outlineLevel="0" collapsed="false">
      <c r="A17747" s="0" t="str">
        <f aca="false">IMTAN("1E2+1E-2i")</f>
        <v>-0.587134953431422+0.0134472899072908i</v>
      </c>
      <c r="B17747" s="0" t="s">
        <v>17593</v>
      </c>
    </row>
    <row r="17748" customFormat="false" ht="15" hidden="false" customHeight="false" outlineLevel="0" collapsed="false">
      <c r="A17748" s="0" t="str">
        <f aca="false">IMTAN("3+4j")</f>
        <v>-0.000187346204629478+0.999355987381473j</v>
      </c>
      <c r="B17748" s="0" t="s">
        <v>17594</v>
      </c>
    </row>
    <row r="17749" customFormat="false" ht="15" hidden="false" customHeight="false" outlineLevel="0" collapsed="false">
      <c r="A17749" s="0" t="str">
        <f aca="false">IMTAN("j")</f>
        <v>0.761594155955765j</v>
      </c>
      <c r="B17749" s="0" t="s">
        <v>17595</v>
      </c>
    </row>
    <row r="17750" customFormat="false" ht="15" hidden="false" customHeight="false" outlineLevel="0" collapsed="false">
      <c r="A17750" s="0" t="str">
        <f aca="false">IMTAN("-j")</f>
        <v>-0.761594155955765j</v>
      </c>
      <c r="B17750" s="0" t="s">
        <v>17596</v>
      </c>
    </row>
    <row r="17751" customFormat="false" ht="15" hidden="false" customHeight="false" outlineLevel="0" collapsed="false">
      <c r="A17751" s="0" t="str">
        <f aca="false">IMTAN("2j")</f>
        <v>0.964027580075817j</v>
      </c>
      <c r="B17751" s="0" t="s">
        <v>17597</v>
      </c>
    </row>
    <row r="17752" customFormat="false" ht="15" hidden="false" customHeight="false" outlineLevel="0" collapsed="false">
      <c r="A17752" s="0" t="e">
        <f aca="false">IMTAN("1+2k")</f>
        <v>#VALUE!</v>
      </c>
      <c r="B17752" s="0" t="s">
        <v>17598</v>
      </c>
    </row>
    <row r="17753" customFormat="false" ht="15" hidden="false" customHeight="false" outlineLevel="0" collapsed="false">
      <c r="A17753" s="0" t="str">
        <f aca="false">IMTAN("+3+4i")</f>
        <v>-0.000187346204629478+0.999355987381473i</v>
      </c>
      <c r="B17753" s="0" t="s">
        <v>17599</v>
      </c>
    </row>
    <row r="17754" customFormat="false" ht="15" hidden="false" customHeight="false" outlineLevel="0" collapsed="false">
      <c r="A17754" s="0" t="e">
        <f aca="false">IMTAN("3+ 4i")</f>
        <v>#VALUE!</v>
      </c>
      <c r="B17754" s="0" t="s">
        <v>17600</v>
      </c>
    </row>
    <row r="17755" customFormat="false" ht="15" hidden="false" customHeight="false" outlineLevel="0" collapsed="false">
      <c r="A17755" s="0" t="e">
        <f aca="false">IMTAN(" 3+4i")</f>
        <v>#VALUE!</v>
      </c>
      <c r="B17755" s="0" t="s">
        <v>17601</v>
      </c>
    </row>
    <row r="17756" customFormat="false" ht="15" hidden="false" customHeight="false" outlineLevel="0" collapsed="false">
      <c r="A17756" s="0" t="e">
        <f aca="false">IMTAN("3+4I")</f>
        <v>#VALUE!</v>
      </c>
      <c r="B17756" s="0" t="s">
        <v>17602</v>
      </c>
    </row>
    <row r="17757" customFormat="false" ht="15" hidden="false" customHeight="false" outlineLevel="0" collapsed="false">
      <c r="A17757" s="0" t="e">
        <f aca="false">IMTAN("3+4i ")</f>
        <v>#VALUE!</v>
      </c>
      <c r="B17757" s="0" t="s">
        <v>17603</v>
      </c>
    </row>
    <row r="17758" customFormat="false" ht="15" hidden="false" customHeight="false" outlineLevel="0" collapsed="false">
      <c r="A17758" s="0" t="e">
        <f aca="false">IMTAN("1+i+j")</f>
        <v>#VALUE!</v>
      </c>
      <c r="B17758" s="0" t="s">
        <v>17604</v>
      </c>
    </row>
    <row r="17759" customFormat="false" ht="15" hidden="false" customHeight="false" outlineLevel="0" collapsed="false">
      <c r="A17759" s="0" t="e">
        <f aca="false">IMTAN("abc")</f>
        <v>#VALUE!</v>
      </c>
      <c r="B17759" s="0" t="s">
        <v>17605</v>
      </c>
    </row>
    <row r="17760" customFormat="false" ht="15" hidden="false" customHeight="false" outlineLevel="0" collapsed="false">
      <c r="A17760" s="0" t="e">
        <f aca="false">IMTAN("")</f>
        <v>#VALUE!</v>
      </c>
      <c r="B17760" s="0" t="s">
        <v>17606</v>
      </c>
    </row>
    <row r="17761" customFormat="false" ht="15" hidden="false" customHeight="false" outlineLevel="0" collapsed="false">
      <c r="A17761" s="0" t="e">
        <f aca="false">IMTAN("i3")</f>
        <v>#VALUE!</v>
      </c>
      <c r="B17761" s="0" t="s">
        <v>17607</v>
      </c>
    </row>
    <row r="17762" customFormat="false" ht="15" hidden="false" customHeight="false" outlineLevel="0" collapsed="false">
      <c r="A17762" s="0" t="e">
        <f aca="false">IMTAN("3i+4")</f>
        <v>#VALUE!</v>
      </c>
      <c r="B17762" s="0" t="s">
        <v>17608</v>
      </c>
    </row>
    <row r="17763" customFormat="false" ht="15" hidden="false" customHeight="false" outlineLevel="0" collapsed="false">
      <c r="A17763" s="0" t="e">
        <f aca="false">IMTAN("(1+i)")</f>
        <v>#VALUE!</v>
      </c>
      <c r="B17763" s="0" t="s">
        <v>17609</v>
      </c>
    </row>
    <row r="17764" customFormat="false" ht="15" hidden="false" customHeight="false" outlineLevel="0" collapsed="false">
      <c r="A17764" s="0" t="e">
        <f aca="false">IMTAN("1.5E300+1E300i")</f>
        <v>#VALUE!</v>
      </c>
      <c r="B17764" s="0" t="s">
        <v>17610</v>
      </c>
    </row>
    <row r="17765" customFormat="false" ht="15" hidden="false" customHeight="false" outlineLevel="0" collapsed="false">
      <c r="A17765" s="0" t="str">
        <f aca="false">IMTAN("0+0i")</f>
        <v>0</v>
      </c>
      <c r="B17765" s="0" t="s">
        <v>17611</v>
      </c>
    </row>
    <row r="17766" customFormat="false" ht="15" hidden="false" customHeight="false" outlineLevel="0" collapsed="false">
      <c r="A17766" s="0" t="str">
        <f aca="false">IMTAN("-0-0i")</f>
        <v>-0</v>
      </c>
      <c r="B17766" s="0" t="s">
        <v>17612</v>
      </c>
    </row>
    <row r="17767" customFormat="false" ht="15" hidden="false" customHeight="false" outlineLevel="0" collapsed="false">
      <c r="A17767" s="0" t="e">
        <f aca="false">IMTAN("1/2+i")</f>
        <v>#VALUE!</v>
      </c>
      <c r="B17767" s="0" t="s">
        <v>17613</v>
      </c>
    </row>
    <row r="17768" customFormat="false" ht="15" hidden="false" customHeight="false" outlineLevel="0" collapsed="false">
      <c r="A17768" s="0" t="str">
        <f aca="false">IMTAN("1e1+i")</f>
        <v>0.218917133299675+0.869692769343121i</v>
      </c>
      <c r="B17768" s="0" t="s">
        <v>17614</v>
      </c>
    </row>
    <row r="17769" customFormat="false" ht="15" hidden="false" customHeight="false" outlineLevel="0" collapsed="false">
      <c r="A17769" s="0" t="str">
        <f aca="false">IMTAN("1+1e1i")</f>
        <v>3.74840337678196e-09+1.00000000171549i</v>
      </c>
      <c r="B17769" s="0" t="s">
        <v>17615</v>
      </c>
    </row>
    <row r="17770" customFormat="false" ht="15" hidden="false" customHeight="false" outlineLevel="0" collapsed="false">
      <c r="A17770" s="0" t="str">
        <f aca="false">IMTAN(".5+.5i")</f>
        <v>0.403896455316026+0.564083141267498i</v>
      </c>
      <c r="B17770" s="0" t="s">
        <v>17616</v>
      </c>
    </row>
    <row r="17771" customFormat="false" ht="15" hidden="false" customHeight="false" outlineLevel="0" collapsed="false">
      <c r="A17771" s="0" t="str">
        <f aca="false">IMTAN("5.")</f>
        <v>-3.38051500624659</v>
      </c>
      <c r="B17771" s="0" t="s">
        <v>17617</v>
      </c>
    </row>
    <row r="17772" customFormat="false" ht="15" hidden="false" customHeight="false" outlineLevel="0" collapsed="false">
      <c r="A17772" s="0" t="str">
        <f aca="false">IMTAN("1,5+2i")</f>
        <v>0.00536206092200306+1.03692028210019i</v>
      </c>
      <c r="B17772" s="0" t="s">
        <v>17618</v>
      </c>
    </row>
    <row r="17773" customFormat="false" ht="15" hidden="false" customHeight="false" outlineLevel="0" collapsed="false">
      <c r="A17773" s="0" t="e">
        <f aca="false">IMTAN("3++4i")</f>
        <v>#VALUE!</v>
      </c>
      <c r="B17773" s="0" t="s">
        <v>17619</v>
      </c>
    </row>
    <row r="17774" customFormat="false" ht="15" hidden="false" customHeight="false" outlineLevel="0" collapsed="false">
      <c r="A17774" s="0" t="e">
        <f aca="false">IMTAN("3+-4i")</f>
        <v>#VALUE!</v>
      </c>
      <c r="B17774" s="0" t="s">
        <v>17620</v>
      </c>
    </row>
    <row r="17775" customFormat="false" ht="15" hidden="false" customHeight="false" outlineLevel="0" collapsed="false">
      <c r="A17775" s="0" t="e">
        <f aca="false">IMTAN("--3")</f>
        <v>#VALUE!</v>
      </c>
      <c r="B17775" s="0" t="s">
        <v>17621</v>
      </c>
    </row>
    <row r="17776" customFormat="false" ht="15" hidden="false" customHeight="false" outlineLevel="0" collapsed="false">
      <c r="A17776" s="0" t="e">
        <f aca="false">IMTAN("3i4")</f>
        <v>#VALUE!</v>
      </c>
      <c r="B17776" s="0" t="s">
        <v>17622</v>
      </c>
    </row>
    <row r="17777" customFormat="false" ht="15" hidden="false" customHeight="false" outlineLevel="0" collapsed="false">
      <c r="A17777" s="0" t="str">
        <f aca="false">IMTAN("0.1+0.2i")</f>
        <v>0.0963881308564542+0.19928415105961i</v>
      </c>
      <c r="B17777" s="0" t="s">
        <v>17623</v>
      </c>
    </row>
    <row r="17778" customFormat="false" ht="15" hidden="false" customHeight="false" outlineLevel="0" collapsed="false">
      <c r="A17778" s="0" t="str">
        <f aca="false">IMTAN("-2.5")</f>
        <v>0.74702229723866</v>
      </c>
      <c r="B17778" s="0" t="s">
        <v>17624</v>
      </c>
    </row>
    <row r="17779" customFormat="false" ht="15" hidden="false" customHeight="false" outlineLevel="0" collapsed="false">
      <c r="A17779" s="0" t="str">
        <f aca="false">IMTAN("1E+2i")</f>
        <v>i</v>
      </c>
      <c r="B17779" s="0" t="s">
        <v>17625</v>
      </c>
    </row>
    <row r="17780" customFormat="false" ht="15" hidden="false" customHeight="false" outlineLevel="0" collapsed="false">
      <c r="A17780" s="0" t="str">
        <f aca="false">IMTAN("1E-2i")</f>
        <v>0.00999966667999946i</v>
      </c>
      <c r="B17780" s="0" t="s">
        <v>17626</v>
      </c>
    </row>
    <row r="17781" customFormat="false" ht="15" hidden="false" customHeight="false" outlineLevel="0" collapsed="false">
      <c r="A17781" s="0" t="e">
        <f aca="false">IMTAN("12345678901234567890+1i")</f>
        <v>#VALUE!</v>
      </c>
      <c r="B17781" s="0" t="s">
        <v>17627</v>
      </c>
    </row>
    <row r="17782" customFormat="false" ht="15" hidden="false" customHeight="false" outlineLevel="0" collapsed="false">
      <c r="A17782" s="0" t="e">
        <f aca="false">IMTAN("1+i2")</f>
        <v>#VALUE!</v>
      </c>
      <c r="B17782" s="0" t="s">
        <v>17628</v>
      </c>
    </row>
    <row r="17783" customFormat="false" ht="15" hidden="false" customHeight="false" outlineLevel="0" collapsed="false">
      <c r="A17783" s="0" t="e">
        <f aca="false">IMTAN("ii")</f>
        <v>#VALUE!</v>
      </c>
      <c r="B17783" s="0" t="s">
        <v>17629</v>
      </c>
    </row>
    <row r="17784" customFormat="false" ht="15" hidden="false" customHeight="false" outlineLevel="0" collapsed="false">
      <c r="A17784" s="0" t="e">
        <f aca="false">IMTAN("3 + 4i")</f>
        <v>#VALUE!</v>
      </c>
      <c r="B17784" s="0" t="s">
        <v>17630</v>
      </c>
    </row>
    <row r="17785" customFormat="false" ht="15" hidden="false" customHeight="false" outlineLevel="0" collapsed="false">
      <c r="A17785" s="0" t="e">
        <f aca="false">IMTAN("4i+3")</f>
        <v>#VALUE!</v>
      </c>
      <c r="B17785" s="0" t="s">
        <v>17631</v>
      </c>
    </row>
    <row r="17786" customFormat="false" ht="15" hidden="false" customHeight="false" outlineLevel="0" collapsed="false">
      <c r="A17786" s="0" t="str">
        <f aca="false">IMTAN("1+0i")</f>
        <v>1.5574077246549</v>
      </c>
      <c r="B17786" s="0" t="s">
        <v>17632</v>
      </c>
    </row>
    <row r="17787" customFormat="false" ht="15" hidden="false" customHeight="false" outlineLevel="0" collapsed="false">
      <c r="A17787" s="0" t="str">
        <f aca="false">IMTAN("0+1i")</f>
        <v>0.761594155955765i</v>
      </c>
      <c r="B17787" s="0" t="s">
        <v>17633</v>
      </c>
    </row>
    <row r="17788" customFormat="false" ht="15" hidden="false" customHeight="false" outlineLevel="0" collapsed="false">
      <c r="A17788" s="0" t="str">
        <f aca="false">IMTAN("0-1i")</f>
        <v>-0.761594155955765i</v>
      </c>
      <c r="B17788" s="0" t="s">
        <v>17634</v>
      </c>
    </row>
    <row r="17789" customFormat="false" ht="15" hidden="false" customHeight="false" outlineLevel="0" collapsed="false">
      <c r="A17789" s="0" t="str">
        <f aca="false">IMTAN("-1+0i")</f>
        <v>-1.5574077246549</v>
      </c>
      <c r="B17789" s="0" t="s">
        <v>17635</v>
      </c>
    </row>
    <row r="17790" customFormat="false" ht="15" hidden="false" customHeight="false" outlineLevel="0" collapsed="false">
      <c r="A17790" s="0" t="str">
        <f aca="false">IMTAN("1e-10+1e-10i")</f>
        <v>1e-10+1e-10i</v>
      </c>
      <c r="B17790" s="0" t="s">
        <v>17636</v>
      </c>
    </row>
    <row r="17791" customFormat="false" ht="15" hidden="false" customHeight="false" outlineLevel="0" collapsed="false">
      <c r="A17791" s="0" t="str">
        <f aca="false">IMTAN("2+0.0000001i")</f>
        <v>-2.18503986326139+5.77439920404163e-07i</v>
      </c>
      <c r="B17791" s="0" t="s">
        <v>17637</v>
      </c>
    </row>
    <row r="17792" customFormat="false" ht="15" hidden="false" customHeight="false" outlineLevel="0" collapsed="false">
      <c r="A17792" s="0" t="e">
        <f aca="false">IMTAN("TRUE")</f>
        <v>#VALUE!</v>
      </c>
      <c r="B17792" s="0" t="s">
        <v>17638</v>
      </c>
    </row>
    <row r="17793" customFormat="false" ht="15" hidden="false" customHeight="false" outlineLevel="0" collapsed="false">
      <c r="A17793" s="0" t="e">
        <f aca="false">IMTAN("1+Ii")</f>
        <v>#VALUE!</v>
      </c>
      <c r="B17793" s="0" t="s">
        <v>17639</v>
      </c>
    </row>
    <row r="17794" customFormat="false" ht="15" hidden="false" customHeight="false" outlineLevel="0" collapsed="false">
      <c r="A17794" s="0" t="str">
        <f aca="false">IMTAN(5)</f>
        <v>-3.38051500624659</v>
      </c>
      <c r="B17794" s="0" t="s">
        <v>17640</v>
      </c>
    </row>
    <row r="17795" customFormat="false" ht="15" hidden="false" customHeight="false" outlineLevel="0" collapsed="false">
      <c r="A17795" s="0" t="str">
        <f aca="false">IMTAN(TRUE())</f>
        <v>1.5574077246549</v>
      </c>
      <c r="B17795" s="0" t="s">
        <v>17641</v>
      </c>
    </row>
    <row r="17796" customFormat="false" ht="15" hidden="false" customHeight="false" outlineLevel="0" collapsed="false">
      <c r="A17796" s="0" t="e">
        <f aca="false">IMTAN(Data!D1)</f>
        <v>#VALUE!</v>
      </c>
      <c r="B17796" s="0" t="s">
        <v>17642</v>
      </c>
    </row>
    <row r="17797" customFormat="false" ht="15" hidden="false" customHeight="false" outlineLevel="0" collapsed="false">
      <c r="A17797" s="0" t="str">
        <f aca="false">IMTAN(Data!A1)</f>
        <v>-3.38051500624659</v>
      </c>
      <c r="B17797" s="0" t="s">
        <v>17643</v>
      </c>
    </row>
    <row r="17798" customFormat="false" ht="15" hidden="false" customHeight="false" outlineLevel="0" collapsed="false">
      <c r="A17798" s="0" t="e">
        <f aca="false">IMTAN(Data!B1)</f>
        <v>#VALUE!</v>
      </c>
      <c r="B17798" s="0" t="s">
        <v>17644</v>
      </c>
    </row>
    <row r="17799" customFormat="false" ht="15" hidden="false" customHeight="false" outlineLevel="0" collapsed="false">
      <c r="A17799" s="0" t="e">
        <f aca="false">IMTAN(NA())</f>
        <v>#N/A</v>
      </c>
      <c r="B17799" s="0" t="s">
        <v>17645</v>
      </c>
    </row>
    <row r="17800" customFormat="false" ht="15" hidden="false" customHeight="false" outlineLevel="0" collapsed="false">
      <c r="A17800" s="0" t="e">
        <f aca="false">IMTAN("3+4i",1)</f>
        <v>#VALUE!</v>
      </c>
      <c r="B17800" s="0" t="s">
        <v>17646</v>
      </c>
    </row>
    <row r="17801" customFormat="false" ht="15" hidden="false" customHeight="false" outlineLevel="0" collapsed="false">
      <c r="A17801" s="0" t="e">
        <f aca="false">IMTAN()</f>
        <v>#VALUE!</v>
      </c>
      <c r="B17801" s="0" t="s">
        <v>17647</v>
      </c>
    </row>
    <row r="17802" customFormat="false" ht="15" hidden="false" customHeight="false" outlineLevel="0" collapsed="false">
      <c r="A17802" s="0" t="e">
        <f aca="false">IMTAN(Data!A1:A3)</f>
        <v>#VALUE!</v>
      </c>
      <c r="B17802" s="0" t="s">
        <v>17648</v>
      </c>
    </row>
    <row r="17803" customFormat="false" ht="15" hidden="false" customHeight="false" outlineLevel="0" collapsed="false">
      <c r="A17803" s="0" t="str">
        <f aca="false">IMTAN(-2.5)</f>
        <v>0.74702229723866</v>
      </c>
      <c r="B17803" s="0" t="s">
        <v>17649</v>
      </c>
    </row>
    <row r="17804" customFormat="false" ht="15" hidden="false" customHeight="false" outlineLevel="0" collapsed="false">
      <c r="A17804" s="0" t="e">
        <f aca="false">IMTAN(1E+300)</f>
        <v>#VALUE!</v>
      </c>
      <c r="B17804" s="0" t="s">
        <v>17650</v>
      </c>
    </row>
    <row r="17805" customFormat="false" ht="15" hidden="false" customHeight="false" outlineLevel="0" collapsed="false">
      <c r="A17805" s="0" t="str">
        <f aca="false">IMTAN(1E-300)</f>
        <v>1e-300</v>
      </c>
      <c r="B17805" s="0" t="s">
        <v>17651</v>
      </c>
    </row>
    <row r="17806" customFormat="false" ht="15" hidden="false" customHeight="false" outlineLevel="0" collapsed="false">
      <c r="A17806" s="0" t="str">
        <f aca="false">IMSEC("3+4i")</f>
        <v>-0.0362534969158689+0.00516434460775318i</v>
      </c>
      <c r="B17806" s="0" t="s">
        <v>17652</v>
      </c>
    </row>
    <row r="17807" customFormat="false" ht="15" hidden="false" customHeight="false" outlineLevel="0" collapsed="false">
      <c r="A17807" s="0" t="str">
        <f aca="false">IMSEC("3-4i")</f>
        <v>-0.0362534969158689-0.00516434460775318i</v>
      </c>
      <c r="B17807" s="0" t="s">
        <v>17653</v>
      </c>
    </row>
    <row r="17808" customFormat="false" ht="15" hidden="false" customHeight="false" outlineLevel="0" collapsed="false">
      <c r="A17808" s="0" t="str">
        <f aca="false">IMSEC("4i")</f>
        <v>0.0366189934736865</v>
      </c>
      <c r="B17808" s="0" t="s">
        <v>17654</v>
      </c>
    </row>
    <row r="17809" customFormat="false" ht="15" hidden="false" customHeight="false" outlineLevel="0" collapsed="false">
      <c r="A17809" s="0" t="str">
        <f aca="false">IMSEC("-4i")</f>
        <v>0.0366189934736865</v>
      </c>
      <c r="B17809" s="0" t="s">
        <v>17655</v>
      </c>
    </row>
    <row r="17810" customFormat="false" ht="15" hidden="false" customHeight="false" outlineLevel="0" collapsed="false">
      <c r="A17810" s="0" t="str">
        <f aca="false">IMSEC("i")</f>
        <v>0.648054273663885</v>
      </c>
      <c r="B17810" s="0" t="s">
        <v>17656</v>
      </c>
    </row>
    <row r="17811" customFormat="false" ht="15" hidden="false" customHeight="false" outlineLevel="0" collapsed="false">
      <c r="A17811" s="0" t="str">
        <f aca="false">IMSEC("-i")</f>
        <v>0.648054273663885</v>
      </c>
      <c r="B17811" s="0" t="s">
        <v>17657</v>
      </c>
    </row>
    <row r="17812" customFormat="false" ht="15" hidden="false" customHeight="false" outlineLevel="0" collapsed="false">
      <c r="A17812" s="0" t="str">
        <f aca="false">IMSEC("3")</f>
        <v>-1.01010866590799</v>
      </c>
      <c r="B17812" s="0" t="s">
        <v>17658</v>
      </c>
    </row>
    <row r="17813" customFormat="false" ht="15" hidden="false" customHeight="false" outlineLevel="0" collapsed="false">
      <c r="A17813" s="0" t="str">
        <f aca="false">IMSEC("0")</f>
        <v>1</v>
      </c>
      <c r="B17813" s="0" t="s">
        <v>17659</v>
      </c>
    </row>
    <row r="17814" customFormat="false" ht="15" hidden="false" customHeight="false" outlineLevel="0" collapsed="false">
      <c r="A17814" s="0" t="str">
        <f aca="false">IMSEC("1+i")</f>
        <v>0.498337030555187+0.591083841721045i</v>
      </c>
      <c r="B17814" s="0" t="s">
        <v>17660</v>
      </c>
    </row>
    <row r="17815" customFormat="false" ht="15" hidden="false" customHeight="false" outlineLevel="0" collapsed="false">
      <c r="A17815" s="0" t="str">
        <f aca="false">IMSEC("1-i")</f>
        <v>0.498337030555187-0.591083841721045i</v>
      </c>
      <c r="B17815" s="0" t="s">
        <v>17661</v>
      </c>
    </row>
    <row r="17816" customFormat="false" ht="15" hidden="false" customHeight="false" outlineLevel="0" collapsed="false">
      <c r="A17816" s="0" t="str">
        <f aca="false">IMSEC("-1-i")</f>
        <v>0.498337030555187+0.591083841721045i</v>
      </c>
      <c r="B17816" s="0" t="s">
        <v>17662</v>
      </c>
    </row>
    <row r="17817" customFormat="false" ht="15" hidden="false" customHeight="false" outlineLevel="0" collapsed="false">
      <c r="A17817" s="0" t="str">
        <f aca="false">IMSEC("2.5+3.5i")</f>
        <v>-0.0484039219824443+0.036092923942441i</v>
      </c>
      <c r="B17817" s="0" t="s">
        <v>17663</v>
      </c>
    </row>
    <row r="17818" customFormat="false" ht="15" hidden="false" customHeight="false" outlineLevel="0" collapsed="false">
      <c r="A17818" s="0" t="str">
        <f aca="false">IMSEC("1E2+1E-2i")</f>
        <v>1.15956586062375-0.0068089051270007i</v>
      </c>
      <c r="B17818" s="0" t="s">
        <v>17664</v>
      </c>
    </row>
    <row r="17819" customFormat="false" ht="15" hidden="false" customHeight="false" outlineLevel="0" collapsed="false">
      <c r="A17819" s="0" t="str">
        <f aca="false">IMSEC("3+4j")</f>
        <v>-0.0362534969158689+0.00516434460775318j</v>
      </c>
      <c r="B17819" s="0" t="s">
        <v>17665</v>
      </c>
    </row>
    <row r="17820" customFormat="false" ht="15" hidden="false" customHeight="false" outlineLevel="0" collapsed="false">
      <c r="A17820" s="0" t="str">
        <f aca="false">IMSEC("j")</f>
        <v>0.648054273663885</v>
      </c>
      <c r="B17820" s="0" t="s">
        <v>17666</v>
      </c>
    </row>
    <row r="17821" customFormat="false" ht="15" hidden="false" customHeight="false" outlineLevel="0" collapsed="false">
      <c r="A17821" s="0" t="str">
        <f aca="false">IMSEC("-j")</f>
        <v>0.648054273663885</v>
      </c>
      <c r="B17821" s="0" t="s">
        <v>17667</v>
      </c>
    </row>
    <row r="17822" customFormat="false" ht="15" hidden="false" customHeight="false" outlineLevel="0" collapsed="false">
      <c r="A17822" s="0" t="str">
        <f aca="false">IMSEC("2j")</f>
        <v>0.26580222883408</v>
      </c>
      <c r="B17822" s="0" t="s">
        <v>17668</v>
      </c>
    </row>
    <row r="17823" customFormat="false" ht="15" hidden="false" customHeight="false" outlineLevel="0" collapsed="false">
      <c r="A17823" s="0" t="e">
        <f aca="false">IMSEC("1+2k")</f>
        <v>#VALUE!</v>
      </c>
      <c r="B17823" s="0" t="s">
        <v>17669</v>
      </c>
    </row>
    <row r="17824" customFormat="false" ht="15" hidden="false" customHeight="false" outlineLevel="0" collapsed="false">
      <c r="A17824" s="0" t="str">
        <f aca="false">IMSEC("+3+4i")</f>
        <v>-0.0362534969158689+0.00516434460775318i</v>
      </c>
      <c r="B17824" s="0" t="s">
        <v>17670</v>
      </c>
    </row>
    <row r="17825" customFormat="false" ht="15" hidden="false" customHeight="false" outlineLevel="0" collapsed="false">
      <c r="A17825" s="0" t="e">
        <f aca="false">IMSEC("3+ 4i")</f>
        <v>#VALUE!</v>
      </c>
      <c r="B17825" s="0" t="s">
        <v>17671</v>
      </c>
    </row>
    <row r="17826" customFormat="false" ht="15" hidden="false" customHeight="false" outlineLevel="0" collapsed="false">
      <c r="A17826" s="0" t="e">
        <f aca="false">IMSEC(" 3+4i")</f>
        <v>#VALUE!</v>
      </c>
      <c r="B17826" s="0" t="s">
        <v>17672</v>
      </c>
    </row>
    <row r="17827" customFormat="false" ht="15" hidden="false" customHeight="false" outlineLevel="0" collapsed="false">
      <c r="A17827" s="0" t="e">
        <f aca="false">IMSEC("3+4I")</f>
        <v>#VALUE!</v>
      </c>
      <c r="B17827" s="0" t="s">
        <v>17673</v>
      </c>
    </row>
    <row r="17828" customFormat="false" ht="15" hidden="false" customHeight="false" outlineLevel="0" collapsed="false">
      <c r="A17828" s="0" t="e">
        <f aca="false">IMSEC("3+4i ")</f>
        <v>#VALUE!</v>
      </c>
      <c r="B17828" s="0" t="s">
        <v>17674</v>
      </c>
    </row>
    <row r="17829" customFormat="false" ht="15" hidden="false" customHeight="false" outlineLevel="0" collapsed="false">
      <c r="A17829" s="0" t="e">
        <f aca="false">IMSEC("1+i+j")</f>
        <v>#VALUE!</v>
      </c>
      <c r="B17829" s="0" t="s">
        <v>17675</v>
      </c>
    </row>
    <row r="17830" customFormat="false" ht="15" hidden="false" customHeight="false" outlineLevel="0" collapsed="false">
      <c r="A17830" s="0" t="e">
        <f aca="false">IMSEC("abc")</f>
        <v>#VALUE!</v>
      </c>
      <c r="B17830" s="0" t="s">
        <v>17676</v>
      </c>
    </row>
    <row r="17831" customFormat="false" ht="15" hidden="false" customHeight="false" outlineLevel="0" collapsed="false">
      <c r="A17831" s="0" t="e">
        <f aca="false">IMSEC("")</f>
        <v>#VALUE!</v>
      </c>
      <c r="B17831" s="0" t="s">
        <v>17677</v>
      </c>
    </row>
    <row r="17832" customFormat="false" ht="15" hidden="false" customHeight="false" outlineLevel="0" collapsed="false">
      <c r="A17832" s="0" t="e">
        <f aca="false">IMSEC("i3")</f>
        <v>#VALUE!</v>
      </c>
      <c r="B17832" s="0" t="s">
        <v>17678</v>
      </c>
    </row>
    <row r="17833" customFormat="false" ht="15" hidden="false" customHeight="false" outlineLevel="0" collapsed="false">
      <c r="A17833" s="0" t="e">
        <f aca="false">IMSEC("3i+4")</f>
        <v>#VALUE!</v>
      </c>
      <c r="B17833" s="0" t="s">
        <v>17679</v>
      </c>
    </row>
    <row r="17834" customFormat="false" ht="15" hidden="false" customHeight="false" outlineLevel="0" collapsed="false">
      <c r="A17834" s="0" t="e">
        <f aca="false">IMSEC("(1+i)")</f>
        <v>#VALUE!</v>
      </c>
      <c r="B17834" s="0" t="s">
        <v>17680</v>
      </c>
    </row>
    <row r="17835" customFormat="false" ht="15" hidden="false" customHeight="false" outlineLevel="0" collapsed="false">
      <c r="A17835" s="0" t="e">
        <f aca="false">IMSEC("1.5E300+1E300i")</f>
        <v>#VALUE!</v>
      </c>
      <c r="B17835" s="0" t="s">
        <v>17681</v>
      </c>
    </row>
    <row r="17836" customFormat="false" ht="15" hidden="false" customHeight="false" outlineLevel="0" collapsed="false">
      <c r="A17836" s="0" t="str">
        <f aca="false">IMSEC("0+0i")</f>
        <v>1</v>
      </c>
      <c r="B17836" s="0" t="s">
        <v>17682</v>
      </c>
    </row>
    <row r="17837" customFormat="false" ht="15" hidden="false" customHeight="false" outlineLevel="0" collapsed="false">
      <c r="A17837" s="0" t="str">
        <f aca="false">IMSEC("-0-0i")</f>
        <v>1</v>
      </c>
      <c r="B17837" s="0" t="s">
        <v>17683</v>
      </c>
    </row>
    <row r="17838" customFormat="false" ht="15" hidden="false" customHeight="false" outlineLevel="0" collapsed="false">
      <c r="A17838" s="0" t="e">
        <f aca="false">IMSEC("1/2+i")</f>
        <v>#VALUE!</v>
      </c>
      <c r="B17838" s="0" t="s">
        <v>17684</v>
      </c>
    </row>
    <row r="17839" customFormat="false" ht="15" hidden="false" customHeight="false" outlineLevel="0" collapsed="false">
      <c r="A17839" s="0" t="str">
        <f aca="false">IMSEC("1e1+i")</f>
        <v>-0.620944265327768-0.306614713343963i</v>
      </c>
      <c r="B17839" s="0" t="s">
        <v>17685</v>
      </c>
    </row>
    <row r="17840" customFormat="false" ht="15" hidden="false" customHeight="false" outlineLevel="0" collapsed="false">
      <c r="A17840" s="0" t="str">
        <f aca="false">IMSEC("1+1e1i")</f>
        <v>4.90593736591238e-05+7.6405447188484e-05i</v>
      </c>
      <c r="B17840" s="0" t="s">
        <v>17686</v>
      </c>
    </row>
    <row r="17841" customFormat="false" ht="15" hidden="false" customHeight="false" outlineLevel="0" collapsed="false">
      <c r="A17841" s="0" t="str">
        <f aca="false">IMSEC(".5+.5i")</f>
        <v>0.949978867615495+0.239827630938088i</v>
      </c>
      <c r="B17841" s="0" t="s">
        <v>17687</v>
      </c>
    </row>
    <row r="17842" customFormat="false" ht="15" hidden="false" customHeight="false" outlineLevel="0" collapsed="false">
      <c r="A17842" s="0" t="str">
        <f aca="false">IMSEC("5.")</f>
        <v>3.52532008581609</v>
      </c>
      <c r="B17842" s="0" t="s">
        <v>17688</v>
      </c>
    </row>
    <row r="17843" customFormat="false" ht="15" hidden="false" customHeight="false" outlineLevel="0" collapsed="false">
      <c r="A17843" s="0" t="str">
        <f aca="false">IMSEC("1,5+2i")</f>
        <v>0.0202237833442819+0.274925301029484i</v>
      </c>
      <c r="B17843" s="0" t="s">
        <v>17689</v>
      </c>
    </row>
    <row r="17844" customFormat="false" ht="15" hidden="false" customHeight="false" outlineLevel="0" collapsed="false">
      <c r="A17844" s="0" t="e">
        <f aca="false">IMSEC("3++4i")</f>
        <v>#VALUE!</v>
      </c>
      <c r="B17844" s="0" t="s">
        <v>17690</v>
      </c>
    </row>
    <row r="17845" customFormat="false" ht="15" hidden="false" customHeight="false" outlineLevel="0" collapsed="false">
      <c r="A17845" s="0" t="e">
        <f aca="false">IMSEC("3+-4i")</f>
        <v>#VALUE!</v>
      </c>
      <c r="B17845" s="0" t="s">
        <v>17691</v>
      </c>
    </row>
    <row r="17846" customFormat="false" ht="15" hidden="false" customHeight="false" outlineLevel="0" collapsed="false">
      <c r="A17846" s="0" t="e">
        <f aca="false">IMSEC("--3")</f>
        <v>#VALUE!</v>
      </c>
      <c r="B17846" s="0" t="s">
        <v>17692</v>
      </c>
    </row>
    <row r="17847" customFormat="false" ht="15" hidden="false" customHeight="false" outlineLevel="0" collapsed="false">
      <c r="A17847" s="0" t="e">
        <f aca="false">IMSEC("3i4")</f>
        <v>#VALUE!</v>
      </c>
      <c r="B17847" s="0" t="s">
        <v>17693</v>
      </c>
    </row>
    <row r="17848" customFormat="false" ht="15" hidden="false" customHeight="false" outlineLevel="0" collapsed="false">
      <c r="A17848" s="0" t="str">
        <f aca="false">IMSEC("0.1+0.2i")</f>
        <v>0.984863898535662+0.0195038389147083i</v>
      </c>
      <c r="B17848" s="0" t="s">
        <v>17694</v>
      </c>
    </row>
    <row r="17849" customFormat="false" ht="15" hidden="false" customHeight="false" outlineLevel="0" collapsed="false">
      <c r="A17849" s="0" t="str">
        <f aca="false">IMSEC("-2.5")</f>
        <v>-1.24821565146882</v>
      </c>
      <c r="B17849" s="0" t="s">
        <v>17695</v>
      </c>
    </row>
    <row r="17850" customFormat="false" ht="15" hidden="false" customHeight="false" outlineLevel="0" collapsed="false">
      <c r="A17850" s="0" t="str">
        <f aca="false">IMSEC("1E+2i")</f>
        <v>7.44015195204167e-44</v>
      </c>
      <c r="B17850" s="0" t="s">
        <v>17696</v>
      </c>
    </row>
    <row r="17851" customFormat="false" ht="15" hidden="false" customHeight="false" outlineLevel="0" collapsed="false">
      <c r="A17851" s="0" t="str">
        <f aca="false">IMSEC("1E-2i")</f>
        <v>0.999950002083249</v>
      </c>
      <c r="B17851" s="0" t="s">
        <v>17697</v>
      </c>
    </row>
    <row r="17852" customFormat="false" ht="15" hidden="false" customHeight="false" outlineLevel="0" collapsed="false">
      <c r="A17852" s="0" t="str">
        <f aca="false">IMSEC("12345678901234567890+1i")</f>
        <v>0.578652748487288+0.44520391527484i</v>
      </c>
      <c r="B17852" s="0" t="s">
        <v>17698</v>
      </c>
    </row>
    <row r="17853" customFormat="false" ht="15" hidden="false" customHeight="false" outlineLevel="0" collapsed="false">
      <c r="A17853" s="0" t="e">
        <f aca="false">IMSEC("1+i2")</f>
        <v>#VALUE!</v>
      </c>
      <c r="B17853" s="0" t="s">
        <v>17699</v>
      </c>
    </row>
    <row r="17854" customFormat="false" ht="15" hidden="false" customHeight="false" outlineLevel="0" collapsed="false">
      <c r="A17854" s="0" t="e">
        <f aca="false">IMSEC("ii")</f>
        <v>#VALUE!</v>
      </c>
      <c r="B17854" s="0" t="s">
        <v>17700</v>
      </c>
    </row>
    <row r="17855" customFormat="false" ht="15" hidden="false" customHeight="false" outlineLevel="0" collapsed="false">
      <c r="A17855" s="0" t="e">
        <f aca="false">IMSEC("3 + 4i")</f>
        <v>#VALUE!</v>
      </c>
      <c r="B17855" s="0" t="s">
        <v>17701</v>
      </c>
    </row>
    <row r="17856" customFormat="false" ht="15" hidden="false" customHeight="false" outlineLevel="0" collapsed="false">
      <c r="A17856" s="0" t="e">
        <f aca="false">IMSEC("4i+3")</f>
        <v>#VALUE!</v>
      </c>
      <c r="B17856" s="0" t="s">
        <v>17702</v>
      </c>
    </row>
    <row r="17857" customFormat="false" ht="15" hidden="false" customHeight="false" outlineLevel="0" collapsed="false">
      <c r="A17857" s="0" t="str">
        <f aca="false">IMSEC("1+0i")</f>
        <v>1.85081571768093</v>
      </c>
      <c r="B17857" s="0" t="s">
        <v>17703</v>
      </c>
    </row>
    <row r="17858" customFormat="false" ht="15" hidden="false" customHeight="false" outlineLevel="0" collapsed="false">
      <c r="A17858" s="0" t="str">
        <f aca="false">IMSEC("0+1i")</f>
        <v>0.648054273663885</v>
      </c>
      <c r="B17858" s="0" t="s">
        <v>17704</v>
      </c>
    </row>
    <row r="17859" customFormat="false" ht="15" hidden="false" customHeight="false" outlineLevel="0" collapsed="false">
      <c r="A17859" s="0" t="str">
        <f aca="false">IMSEC("0-1i")</f>
        <v>0.648054273663885</v>
      </c>
      <c r="B17859" s="0" t="s">
        <v>17705</v>
      </c>
    </row>
    <row r="17860" customFormat="false" ht="15" hidden="false" customHeight="false" outlineLevel="0" collapsed="false">
      <c r="A17860" s="0" t="str">
        <f aca="false">IMSEC("-1+0i")</f>
        <v>1.85081571768093</v>
      </c>
      <c r="B17860" s="0" t="s">
        <v>17706</v>
      </c>
    </row>
    <row r="17861" customFormat="false" ht="15" hidden="false" customHeight="false" outlineLevel="0" collapsed="false">
      <c r="A17861" s="0" t="str">
        <f aca="false">IMSEC("1e-10+1e-10i")</f>
        <v>1+1e-20i</v>
      </c>
      <c r="B17861" s="0" t="s">
        <v>17707</v>
      </c>
    </row>
    <row r="17862" customFormat="false" ht="15" hidden="false" customHeight="false" outlineLevel="0" collapsed="false">
      <c r="A17862" s="0" t="str">
        <f aca="false">IMSEC("2+0.0000001i")</f>
        <v>-2.40299796172225+5.25064633769929e-07i</v>
      </c>
      <c r="B17862" s="0" t="s">
        <v>17708</v>
      </c>
    </row>
    <row r="17863" customFormat="false" ht="15" hidden="false" customHeight="false" outlineLevel="0" collapsed="false">
      <c r="A17863" s="0" t="e">
        <f aca="false">IMSEC("TRUE")</f>
        <v>#VALUE!</v>
      </c>
      <c r="B17863" s="0" t="s">
        <v>17709</v>
      </c>
    </row>
    <row r="17864" customFormat="false" ht="15" hidden="false" customHeight="false" outlineLevel="0" collapsed="false">
      <c r="A17864" s="0" t="e">
        <f aca="false">IMSEC("1+Ii")</f>
        <v>#VALUE!</v>
      </c>
      <c r="B17864" s="0" t="s">
        <v>17710</v>
      </c>
    </row>
    <row r="17865" customFormat="false" ht="15" hidden="false" customHeight="false" outlineLevel="0" collapsed="false">
      <c r="A17865" s="0" t="str">
        <f aca="false">IMSEC(5)</f>
        <v>3.52532008581609</v>
      </c>
      <c r="B17865" s="0" t="s">
        <v>17711</v>
      </c>
    </row>
    <row r="17866" customFormat="false" ht="15" hidden="false" customHeight="false" outlineLevel="0" collapsed="false">
      <c r="A17866" s="0" t="str">
        <f aca="false">IMSEC(TRUE())</f>
        <v>1.85081571768093</v>
      </c>
      <c r="B17866" s="0" t="s">
        <v>17712</v>
      </c>
    </row>
    <row r="17867" customFormat="false" ht="15" hidden="false" customHeight="false" outlineLevel="0" collapsed="false">
      <c r="A17867" s="0" t="e">
        <f aca="false">IMSEC(Data!D1)</f>
        <v>#VALUE!</v>
      </c>
      <c r="B17867" s="0" t="s">
        <v>17713</v>
      </c>
    </row>
    <row r="17868" customFormat="false" ht="15" hidden="false" customHeight="false" outlineLevel="0" collapsed="false">
      <c r="A17868" s="0" t="str">
        <f aca="false">IMSEC(Data!A1)</f>
        <v>3.52532008581609</v>
      </c>
      <c r="B17868" s="0" t="s">
        <v>17714</v>
      </c>
    </row>
    <row r="17869" customFormat="false" ht="15" hidden="false" customHeight="false" outlineLevel="0" collapsed="false">
      <c r="A17869" s="0" t="e">
        <f aca="false">IMSEC(Data!B1)</f>
        <v>#VALUE!</v>
      </c>
      <c r="B17869" s="0" t="s">
        <v>17715</v>
      </c>
    </row>
    <row r="17870" customFormat="false" ht="15" hidden="false" customHeight="false" outlineLevel="0" collapsed="false">
      <c r="A17870" s="0" t="e">
        <f aca="false">IMSEC(NA())</f>
        <v>#N/A</v>
      </c>
      <c r="B17870" s="0" t="s">
        <v>17716</v>
      </c>
    </row>
    <row r="17871" customFormat="false" ht="15" hidden="false" customHeight="false" outlineLevel="0" collapsed="false">
      <c r="A17871" s="0" t="e">
        <f aca="false">IMSEC("3+4i",1)</f>
        <v>#VALUE!</v>
      </c>
      <c r="B17871" s="0" t="s">
        <v>17717</v>
      </c>
    </row>
    <row r="17872" customFormat="false" ht="15" hidden="false" customHeight="false" outlineLevel="0" collapsed="false">
      <c r="A17872" s="0" t="e">
        <f aca="false">IMSEC()</f>
        <v>#VALUE!</v>
      </c>
      <c r="B17872" s="0" t="s">
        <v>17718</v>
      </c>
    </row>
    <row r="17873" customFormat="false" ht="15" hidden="false" customHeight="false" outlineLevel="0" collapsed="false">
      <c r="A17873" s="0" t="e">
        <f aca="false">IMSEC(Data!A1:A3)</f>
        <v>#VALUE!</v>
      </c>
      <c r="B17873" s="0" t="s">
        <v>17719</v>
      </c>
    </row>
    <row r="17874" customFormat="false" ht="15" hidden="false" customHeight="false" outlineLevel="0" collapsed="false">
      <c r="A17874" s="0" t="str">
        <f aca="false">IMSEC(-2.5)</f>
        <v>-1.24821565146882</v>
      </c>
      <c r="B17874" s="0" t="s">
        <v>17720</v>
      </c>
    </row>
    <row r="17875" customFormat="false" ht="15" hidden="false" customHeight="false" outlineLevel="0" collapsed="false">
      <c r="A17875" s="0" t="e">
        <f aca="false">IMSEC(1E+300)</f>
        <v>#VALUE!</v>
      </c>
      <c r="B17875" s="0" t="s">
        <v>17721</v>
      </c>
    </row>
    <row r="17876" customFormat="false" ht="15" hidden="false" customHeight="false" outlineLevel="0" collapsed="false">
      <c r="A17876" s="0" t="str">
        <f aca="false">IMSEC(1E-300)</f>
        <v>1</v>
      </c>
      <c r="B17876" s="0" t="s">
        <v>17722</v>
      </c>
    </row>
    <row r="17877" customFormat="false" ht="15" hidden="false" customHeight="false" outlineLevel="0" collapsed="false">
      <c r="A17877" s="0" t="str">
        <f aca="false">IMCSC("3+4i")</f>
        <v>0.0051744731840194+0.036275889628626i</v>
      </c>
      <c r="B17877" s="0" t="s">
        <v>17723</v>
      </c>
    </row>
    <row r="17878" customFormat="false" ht="15" hidden="false" customHeight="false" outlineLevel="0" collapsed="false">
      <c r="A17878" s="0" t="str">
        <f aca="false">IMCSC("3-4i")</f>
        <v>0.0051744731840194-0.036275889628626i</v>
      </c>
      <c r="B17878" s="0" t="s">
        <v>17724</v>
      </c>
    </row>
    <row r="17879" customFormat="false" ht="15" hidden="false" customHeight="false" outlineLevel="0" collapsed="false">
      <c r="A17879" s="0" t="str">
        <f aca="false">IMCSC("4i")</f>
        <v>-0.0366435703258656i</v>
      </c>
      <c r="B17879" s="0" t="s">
        <v>17725</v>
      </c>
    </row>
    <row r="17880" customFormat="false" ht="15" hidden="false" customHeight="false" outlineLevel="0" collapsed="false">
      <c r="A17880" s="0" t="str">
        <f aca="false">IMCSC("-4i")</f>
        <v>0.0366435703258656i</v>
      </c>
      <c r="B17880" s="0" t="s">
        <v>17726</v>
      </c>
    </row>
    <row r="17881" customFormat="false" ht="15" hidden="false" customHeight="false" outlineLevel="0" collapsed="false">
      <c r="A17881" s="0" t="str">
        <f aca="false">IMCSC("i")</f>
        <v>-0.850918128239322i</v>
      </c>
      <c r="B17881" s="0" t="s">
        <v>17727</v>
      </c>
    </row>
    <row r="17882" customFormat="false" ht="15" hidden="false" customHeight="false" outlineLevel="0" collapsed="false">
      <c r="A17882" s="0" t="str">
        <f aca="false">IMCSC("-i")</f>
        <v>0.850918128239322i</v>
      </c>
      <c r="B17882" s="0" t="s">
        <v>17728</v>
      </c>
    </row>
    <row r="17883" customFormat="false" ht="15" hidden="false" customHeight="false" outlineLevel="0" collapsed="false">
      <c r="A17883" s="0" t="str">
        <f aca="false">IMCSC("3")</f>
        <v>7.08616739573719</v>
      </c>
      <c r="B17883" s="0" t="s">
        <v>17729</v>
      </c>
    </row>
    <row r="17884" customFormat="false" ht="15" hidden="false" customHeight="false" outlineLevel="0" collapsed="false">
      <c r="A17884" s="0" t="e">
        <f aca="false">IMCSC("0")</f>
        <v>#VALUE!</v>
      </c>
      <c r="B17884" s="0" t="s">
        <v>17730</v>
      </c>
    </row>
    <row r="17885" customFormat="false" ht="15" hidden="false" customHeight="false" outlineLevel="0" collapsed="false">
      <c r="A17885" s="0" t="str">
        <f aca="false">IMCSC("1+i")</f>
        <v>0.621518017170428-0.303931001628426i</v>
      </c>
      <c r="B17885" s="0" t="s">
        <v>17731</v>
      </c>
    </row>
    <row r="17886" customFormat="false" ht="15" hidden="false" customHeight="false" outlineLevel="0" collapsed="false">
      <c r="A17886" s="0" t="str">
        <f aca="false">IMCSC("1-i")</f>
        <v>0.621518017170428+0.303931001628426i</v>
      </c>
      <c r="B17886" s="0" t="s">
        <v>17732</v>
      </c>
    </row>
    <row r="17887" customFormat="false" ht="15" hidden="false" customHeight="false" outlineLevel="0" collapsed="false">
      <c r="A17887" s="0" t="str">
        <f aca="false">IMCSC("-1-i")</f>
        <v>-0.621518017170428+0.303931001628426i</v>
      </c>
      <c r="B17887" s="0" t="s">
        <v>17733</v>
      </c>
    </row>
    <row r="17888" customFormat="false" ht="15" hidden="false" customHeight="false" outlineLevel="0" collapsed="false">
      <c r="A17888" s="0" t="str">
        <f aca="false">IMCSC("2.5+3.5i")</f>
        <v>0.0361962406084861+0.0483657415388563i</v>
      </c>
      <c r="B17888" s="0" t="s">
        <v>17734</v>
      </c>
    </row>
    <row r="17889" customFormat="false" ht="15" hidden="false" customHeight="false" outlineLevel="0" collapsed="false">
      <c r="A17889" s="0" t="str">
        <f aca="false">IMCSC("1E2+1E-2i")</f>
        <v>-1.97418630450646-0.0336184216683775i</v>
      </c>
      <c r="B17889" s="0" t="s">
        <v>17735</v>
      </c>
    </row>
    <row r="17890" customFormat="false" ht="15" hidden="false" customHeight="false" outlineLevel="0" collapsed="false">
      <c r="A17890" s="0" t="str">
        <f aca="false">IMCSC("3+4j")</f>
        <v>0.0051744731840194+0.036275889628626j</v>
      </c>
      <c r="B17890" s="0" t="s">
        <v>17736</v>
      </c>
    </row>
    <row r="17891" customFormat="false" ht="15" hidden="false" customHeight="false" outlineLevel="0" collapsed="false">
      <c r="A17891" s="0" t="str">
        <f aca="false">IMCSC("j")</f>
        <v>-0.850918128239322j</v>
      </c>
      <c r="B17891" s="0" t="s">
        <v>17737</v>
      </c>
    </row>
    <row r="17892" customFormat="false" ht="15" hidden="false" customHeight="false" outlineLevel="0" collapsed="false">
      <c r="A17892" s="0" t="str">
        <f aca="false">IMCSC("-j")</f>
        <v>0.850918128239322j</v>
      </c>
      <c r="B17892" s="0" t="s">
        <v>17738</v>
      </c>
    </row>
    <row r="17893" customFormat="false" ht="15" hidden="false" customHeight="false" outlineLevel="0" collapsed="false">
      <c r="A17893" s="0" t="str">
        <f aca="false">IMCSC("2j")</f>
        <v>-0.275720564771783j</v>
      </c>
      <c r="B17893" s="0" t="s">
        <v>17739</v>
      </c>
    </row>
    <row r="17894" customFormat="false" ht="15" hidden="false" customHeight="false" outlineLevel="0" collapsed="false">
      <c r="A17894" s="0" t="e">
        <f aca="false">IMCSC("1+2k")</f>
        <v>#VALUE!</v>
      </c>
      <c r="B17894" s="0" t="s">
        <v>17740</v>
      </c>
    </row>
    <row r="17895" customFormat="false" ht="15" hidden="false" customHeight="false" outlineLevel="0" collapsed="false">
      <c r="A17895" s="0" t="str">
        <f aca="false">IMCSC("+3+4i")</f>
        <v>0.0051744731840194+0.036275889628626i</v>
      </c>
      <c r="B17895" s="0" t="s">
        <v>17741</v>
      </c>
    </row>
    <row r="17896" customFormat="false" ht="15" hidden="false" customHeight="false" outlineLevel="0" collapsed="false">
      <c r="A17896" s="0" t="e">
        <f aca="false">IMCSC("3+ 4i")</f>
        <v>#VALUE!</v>
      </c>
      <c r="B17896" s="0" t="s">
        <v>17742</v>
      </c>
    </row>
    <row r="17897" customFormat="false" ht="15" hidden="false" customHeight="false" outlineLevel="0" collapsed="false">
      <c r="A17897" s="0" t="e">
        <f aca="false">IMCSC(" 3+4i")</f>
        <v>#VALUE!</v>
      </c>
      <c r="B17897" s="0" t="s">
        <v>17743</v>
      </c>
    </row>
    <row r="17898" customFormat="false" ht="15" hidden="false" customHeight="false" outlineLevel="0" collapsed="false">
      <c r="A17898" s="0" t="e">
        <f aca="false">IMCSC("3+4I")</f>
        <v>#VALUE!</v>
      </c>
      <c r="B17898" s="0" t="s">
        <v>17744</v>
      </c>
    </row>
    <row r="17899" customFormat="false" ht="15" hidden="false" customHeight="false" outlineLevel="0" collapsed="false">
      <c r="A17899" s="0" t="e">
        <f aca="false">IMCSC("3+4i ")</f>
        <v>#VALUE!</v>
      </c>
      <c r="B17899" s="0" t="s">
        <v>17745</v>
      </c>
    </row>
    <row r="17900" customFormat="false" ht="15" hidden="false" customHeight="false" outlineLevel="0" collapsed="false">
      <c r="A17900" s="0" t="e">
        <f aca="false">IMCSC("1+i+j")</f>
        <v>#VALUE!</v>
      </c>
      <c r="B17900" s="0" t="s">
        <v>17746</v>
      </c>
    </row>
    <row r="17901" customFormat="false" ht="15" hidden="false" customHeight="false" outlineLevel="0" collapsed="false">
      <c r="A17901" s="0" t="e">
        <f aca="false">IMCSC("abc")</f>
        <v>#VALUE!</v>
      </c>
      <c r="B17901" s="0" t="s">
        <v>17747</v>
      </c>
    </row>
    <row r="17902" customFormat="false" ht="15" hidden="false" customHeight="false" outlineLevel="0" collapsed="false">
      <c r="A17902" s="0" t="e">
        <f aca="false">IMCSC("")</f>
        <v>#VALUE!</v>
      </c>
      <c r="B17902" s="0" t="s">
        <v>17748</v>
      </c>
    </row>
    <row r="17903" customFormat="false" ht="15" hidden="false" customHeight="false" outlineLevel="0" collapsed="false">
      <c r="A17903" s="0" t="e">
        <f aca="false">IMCSC("i3")</f>
        <v>#VALUE!</v>
      </c>
      <c r="B17903" s="0" t="s">
        <v>17749</v>
      </c>
    </row>
    <row r="17904" customFormat="false" ht="15" hidden="false" customHeight="false" outlineLevel="0" collapsed="false">
      <c r="A17904" s="0" t="e">
        <f aca="false">IMCSC("3i+4")</f>
        <v>#VALUE!</v>
      </c>
      <c r="B17904" s="0" t="s">
        <v>17750</v>
      </c>
    </row>
    <row r="17905" customFormat="false" ht="15" hidden="false" customHeight="false" outlineLevel="0" collapsed="false">
      <c r="A17905" s="0" t="e">
        <f aca="false">IMCSC("(1+i)")</f>
        <v>#VALUE!</v>
      </c>
      <c r="B17905" s="0" t="s">
        <v>17751</v>
      </c>
    </row>
    <row r="17906" customFormat="false" ht="15" hidden="false" customHeight="false" outlineLevel="0" collapsed="false">
      <c r="A17906" s="0" t="e">
        <f aca="false">IMCSC("1.5E300+1E300i")</f>
        <v>#VALUE!</v>
      </c>
      <c r="B17906" s="0" t="s">
        <v>17752</v>
      </c>
    </row>
    <row r="17907" customFormat="false" ht="15" hidden="false" customHeight="false" outlineLevel="0" collapsed="false">
      <c r="A17907" s="0" t="e">
        <f aca="false">IMCSC("0+0i")</f>
        <v>#VALUE!</v>
      </c>
      <c r="B17907" s="0" t="s">
        <v>17753</v>
      </c>
    </row>
    <row r="17908" customFormat="false" ht="15" hidden="false" customHeight="false" outlineLevel="0" collapsed="false">
      <c r="A17908" s="0" t="e">
        <f aca="false">IMCSC("-0-0i")</f>
        <v>#VALUE!</v>
      </c>
      <c r="B17908" s="0" t="s">
        <v>17754</v>
      </c>
    </row>
    <row r="17909" customFormat="false" ht="15" hidden="false" customHeight="false" outlineLevel="0" collapsed="false">
      <c r="A17909" s="0" t="e">
        <f aca="false">IMCSC("1/2+i")</f>
        <v>#VALUE!</v>
      </c>
      <c r="B17909" s="0" t="s">
        <v>17755</v>
      </c>
    </row>
    <row r="17910" customFormat="false" ht="15" hidden="false" customHeight="false" outlineLevel="0" collapsed="false">
      <c r="A17910" s="0" t="str">
        <f aca="false">IMCSC("1e1+i")</f>
        <v>-0.500560525927506+0.587981190570291i</v>
      </c>
      <c r="B17910" s="0" t="s">
        <v>17756</v>
      </c>
    </row>
    <row r="17911" customFormat="false" ht="15" hidden="false" customHeight="false" outlineLevel="0" collapsed="false">
      <c r="A17911" s="0" t="str">
        <f aca="false">IMCSC("1+1e1i")</f>
        <v>7.64054472413059e-05-4.90593732885648e-05i</v>
      </c>
      <c r="B17911" s="0" t="s">
        <v>17757</v>
      </c>
    </row>
    <row r="17912" customFormat="false" ht="15" hidden="false" customHeight="false" outlineLevel="0" collapsed="false">
      <c r="A17912" s="0" t="str">
        <f aca="false">IMCSC(".5+.5i")</f>
        <v>1.07822969465402-0.912074264038811i</v>
      </c>
      <c r="B17912" s="0" t="s">
        <v>17758</v>
      </c>
    </row>
    <row r="17913" customFormat="false" ht="15" hidden="false" customHeight="false" outlineLevel="0" collapsed="false">
      <c r="A17913" s="0" t="str">
        <f aca="false">IMCSC("5.")</f>
        <v>-1.04283521277141</v>
      </c>
      <c r="B17913" s="0" t="s">
        <v>17759</v>
      </c>
    </row>
    <row r="17914" customFormat="false" ht="15" hidden="false" customHeight="false" outlineLevel="0" collapsed="false">
      <c r="A17914" s="0" t="str">
        <f aca="false">IMCSC("1,5+2i")</f>
        <v>0.26523015463827-0.0181321586830941i</v>
      </c>
      <c r="B17914" s="0" t="s">
        <v>17760</v>
      </c>
    </row>
    <row r="17915" customFormat="false" ht="15" hidden="false" customHeight="false" outlineLevel="0" collapsed="false">
      <c r="A17915" s="0" t="e">
        <f aca="false">IMCSC("3++4i")</f>
        <v>#VALUE!</v>
      </c>
      <c r="B17915" s="0" t="s">
        <v>17761</v>
      </c>
    </row>
    <row r="17916" customFormat="false" ht="15" hidden="false" customHeight="false" outlineLevel="0" collapsed="false">
      <c r="A17916" s="0" t="e">
        <f aca="false">IMCSC("3+-4i")</f>
        <v>#VALUE!</v>
      </c>
      <c r="B17916" s="0" t="s">
        <v>17762</v>
      </c>
    </row>
    <row r="17917" customFormat="false" ht="15" hidden="false" customHeight="false" outlineLevel="0" collapsed="false">
      <c r="A17917" s="0" t="e">
        <f aca="false">IMCSC("--3")</f>
        <v>#VALUE!</v>
      </c>
      <c r="B17917" s="0" t="s">
        <v>17763</v>
      </c>
    </row>
    <row r="17918" customFormat="false" ht="15" hidden="false" customHeight="false" outlineLevel="0" collapsed="false">
      <c r="A17918" s="0" t="e">
        <f aca="false">IMCSC("3i4")</f>
        <v>#VALUE!</v>
      </c>
      <c r="B17918" s="0" t="s">
        <v>17764</v>
      </c>
    </row>
    <row r="17919" customFormat="false" ht="15" hidden="false" customHeight="false" outlineLevel="0" collapsed="false">
      <c r="A17919" s="0" t="str">
        <f aca="false">IMCSC("0.1+0.2i")</f>
        <v>2.01645361896976-3.96670632883383i</v>
      </c>
      <c r="B17919" s="0" t="s">
        <v>17765</v>
      </c>
    </row>
    <row r="17920" customFormat="false" ht="15" hidden="false" customHeight="false" outlineLevel="0" collapsed="false">
      <c r="A17920" s="0" t="str">
        <f aca="false">IMCSC("-2.5")</f>
        <v>-1.67092154555868</v>
      </c>
      <c r="B17920" s="0" t="s">
        <v>17766</v>
      </c>
    </row>
    <row r="17921" customFormat="false" ht="15" hidden="false" customHeight="false" outlineLevel="0" collapsed="false">
      <c r="A17921" s="0" t="str">
        <f aca="false">IMCSC("1E+2i")</f>
        <v>-7.44015195204167e-44i</v>
      </c>
      <c r="B17921" s="0" t="s">
        <v>17767</v>
      </c>
    </row>
    <row r="17922" customFormat="false" ht="15" hidden="false" customHeight="false" outlineLevel="0" collapsed="false">
      <c r="A17922" s="0" t="str">
        <f aca="false">IMCSC("1E-2i")</f>
        <v>-99.9983333527776i</v>
      </c>
      <c r="B17922" s="0" t="s">
        <v>17768</v>
      </c>
    </row>
    <row r="17923" customFormat="false" ht="15" hidden="false" customHeight="false" outlineLevel="0" collapsed="false">
      <c r="A17923" s="0" t="str">
        <f aca="false">IMCSC("12345678901234567890+1i")</f>
        <v>0.581416247007292-0.438322146738172i</v>
      </c>
      <c r="B17923" s="0" t="s">
        <v>17769</v>
      </c>
    </row>
    <row r="17924" customFormat="false" ht="15" hidden="false" customHeight="false" outlineLevel="0" collapsed="false">
      <c r="A17924" s="0" t="e">
        <f aca="false">IMCSC("1+i2")</f>
        <v>#VALUE!</v>
      </c>
      <c r="B17924" s="0" t="s">
        <v>17770</v>
      </c>
    </row>
    <row r="17925" customFormat="false" ht="15" hidden="false" customHeight="false" outlineLevel="0" collapsed="false">
      <c r="A17925" s="0" t="e">
        <f aca="false">IMCSC("ii")</f>
        <v>#VALUE!</v>
      </c>
      <c r="B17925" s="0" t="s">
        <v>17771</v>
      </c>
    </row>
    <row r="17926" customFormat="false" ht="15" hidden="false" customHeight="false" outlineLevel="0" collapsed="false">
      <c r="A17926" s="0" t="e">
        <f aca="false">IMCSC("3 + 4i")</f>
        <v>#VALUE!</v>
      </c>
      <c r="B17926" s="0" t="s">
        <v>17772</v>
      </c>
    </row>
    <row r="17927" customFormat="false" ht="15" hidden="false" customHeight="false" outlineLevel="0" collapsed="false">
      <c r="A17927" s="0" t="e">
        <f aca="false">IMCSC("4i+3")</f>
        <v>#VALUE!</v>
      </c>
      <c r="B17927" s="0" t="s">
        <v>17773</v>
      </c>
    </row>
    <row r="17928" customFormat="false" ht="15" hidden="false" customHeight="false" outlineLevel="0" collapsed="false">
      <c r="A17928" s="0" t="str">
        <f aca="false">IMCSC("1+0i")</f>
        <v>1.18839510577812</v>
      </c>
      <c r="B17928" s="0" t="s">
        <v>17774</v>
      </c>
    </row>
    <row r="17929" customFormat="false" ht="15" hidden="false" customHeight="false" outlineLevel="0" collapsed="false">
      <c r="A17929" s="0" t="str">
        <f aca="false">IMCSC("0+1i")</f>
        <v>-0.850918128239322i</v>
      </c>
      <c r="B17929" s="0" t="s">
        <v>17775</v>
      </c>
    </row>
    <row r="17930" customFormat="false" ht="15" hidden="false" customHeight="false" outlineLevel="0" collapsed="false">
      <c r="A17930" s="0" t="str">
        <f aca="false">IMCSC("0-1i")</f>
        <v>0.850918128239322i</v>
      </c>
      <c r="B17930" s="0" t="s">
        <v>17776</v>
      </c>
    </row>
    <row r="17931" customFormat="false" ht="15" hidden="false" customHeight="false" outlineLevel="0" collapsed="false">
      <c r="A17931" s="0" t="str">
        <f aca="false">IMCSC("-1+0i")</f>
        <v>-1.18839510577812</v>
      </c>
      <c r="B17931" s="0" t="s">
        <v>17777</v>
      </c>
    </row>
    <row r="17932" customFormat="false" ht="15" hidden="false" customHeight="false" outlineLevel="0" collapsed="false">
      <c r="A17932" s="0" t="str">
        <f aca="false">IMCSC("1e-10+1e-10i")</f>
        <v>5000000000-5000000000i</v>
      </c>
      <c r="B17932" s="0" t="s">
        <v>17778</v>
      </c>
    </row>
    <row r="17933" customFormat="false" ht="15" hidden="false" customHeight="false" outlineLevel="0" collapsed="false">
      <c r="A17933" s="0" t="str">
        <f aca="false">IMCSC("2+0.0000001i")</f>
        <v>1.09975017029461+5.03308973344337e-08i</v>
      </c>
      <c r="B17933" s="0" t="s">
        <v>17779</v>
      </c>
    </row>
    <row r="17934" customFormat="false" ht="15" hidden="false" customHeight="false" outlineLevel="0" collapsed="false">
      <c r="A17934" s="0" t="e">
        <f aca="false">IMCSC("TRUE")</f>
        <v>#VALUE!</v>
      </c>
      <c r="B17934" s="0" t="s">
        <v>17780</v>
      </c>
    </row>
    <row r="17935" customFormat="false" ht="15" hidden="false" customHeight="false" outlineLevel="0" collapsed="false">
      <c r="A17935" s="0" t="e">
        <f aca="false">IMCSC("1+Ii")</f>
        <v>#VALUE!</v>
      </c>
      <c r="B17935" s="0" t="s">
        <v>17781</v>
      </c>
    </row>
    <row r="17936" customFormat="false" ht="15" hidden="false" customHeight="false" outlineLevel="0" collapsed="false">
      <c r="A17936" s="0" t="str">
        <f aca="false">IMCSC(5)</f>
        <v>-1.04283521277141</v>
      </c>
      <c r="B17936" s="0" t="s">
        <v>17782</v>
      </c>
    </row>
    <row r="17937" customFormat="false" ht="15" hidden="false" customHeight="false" outlineLevel="0" collapsed="false">
      <c r="A17937" s="0" t="str">
        <f aca="false">IMCSC(TRUE())</f>
        <v>1.18839510577812</v>
      </c>
      <c r="B17937" s="0" t="s">
        <v>17783</v>
      </c>
    </row>
    <row r="17938" customFormat="false" ht="15" hidden="false" customHeight="false" outlineLevel="0" collapsed="false">
      <c r="A17938" s="0" t="e">
        <f aca="false">IMCSC(Data!D1)</f>
        <v>#VALUE!</v>
      </c>
      <c r="B17938" s="0" t="s">
        <v>17784</v>
      </c>
    </row>
    <row r="17939" customFormat="false" ht="15" hidden="false" customHeight="false" outlineLevel="0" collapsed="false">
      <c r="A17939" s="0" t="str">
        <f aca="false">IMCSC(Data!A1)</f>
        <v>-1.04283521277141</v>
      </c>
      <c r="B17939" s="0" t="s">
        <v>17785</v>
      </c>
    </row>
    <row r="17940" customFormat="false" ht="15" hidden="false" customHeight="false" outlineLevel="0" collapsed="false">
      <c r="A17940" s="0" t="e">
        <f aca="false">IMCSC(Data!B1)</f>
        <v>#VALUE!</v>
      </c>
      <c r="B17940" s="0" t="s">
        <v>17786</v>
      </c>
    </row>
    <row r="17941" customFormat="false" ht="15" hidden="false" customHeight="false" outlineLevel="0" collapsed="false">
      <c r="A17941" s="0" t="e">
        <f aca="false">IMCSC(NA())</f>
        <v>#N/A</v>
      </c>
      <c r="B17941" s="0" t="s">
        <v>17787</v>
      </c>
    </row>
    <row r="17942" customFormat="false" ht="15" hidden="false" customHeight="false" outlineLevel="0" collapsed="false">
      <c r="A17942" s="0" t="e">
        <f aca="false">IMCSC("3+4i",1)</f>
        <v>#VALUE!</v>
      </c>
      <c r="B17942" s="0" t="s">
        <v>17788</v>
      </c>
    </row>
    <row r="17943" customFormat="false" ht="15" hidden="false" customHeight="false" outlineLevel="0" collapsed="false">
      <c r="A17943" s="0" t="e">
        <f aca="false">IMCSC()</f>
        <v>#VALUE!</v>
      </c>
      <c r="B17943" s="0" t="s">
        <v>17789</v>
      </c>
    </row>
    <row r="17944" customFormat="false" ht="15" hidden="false" customHeight="false" outlineLevel="0" collapsed="false">
      <c r="A17944" s="0" t="e">
        <f aca="false">IMCSC(Data!A1:A3)</f>
        <v>#VALUE!</v>
      </c>
      <c r="B17944" s="0" t="s">
        <v>17790</v>
      </c>
    </row>
    <row r="17945" customFormat="false" ht="15" hidden="false" customHeight="false" outlineLevel="0" collapsed="false">
      <c r="A17945" s="0" t="str">
        <f aca="false">IMCSC(-2.5)</f>
        <v>-1.67092154555868</v>
      </c>
      <c r="B17945" s="0" t="s">
        <v>17791</v>
      </c>
    </row>
    <row r="17946" customFormat="false" ht="15" hidden="false" customHeight="false" outlineLevel="0" collapsed="false">
      <c r="A17946" s="0" t="e">
        <f aca="false">IMCSC(1E+300)</f>
        <v>#VALUE!</v>
      </c>
      <c r="B17946" s="0" t="s">
        <v>17792</v>
      </c>
    </row>
    <row r="17947" customFormat="false" ht="15" hidden="false" customHeight="false" outlineLevel="0" collapsed="false">
      <c r="A17947" s="0" t="str">
        <f aca="false">IMCSC(1E-300)</f>
        <v>1e+300</v>
      </c>
      <c r="B17947" s="0" t="s">
        <v>17793</v>
      </c>
    </row>
    <row r="17948" customFormat="false" ht="15" hidden="false" customHeight="false" outlineLevel="0" collapsed="false">
      <c r="A17948" s="0" t="str">
        <f aca="false">IMCOT("3+4i")</f>
        <v>-0.000187587737983659-1.00064439247156i</v>
      </c>
      <c r="B17948" s="0" t="s">
        <v>17794</v>
      </c>
    </row>
    <row r="17949" customFormat="false" ht="15" hidden="false" customHeight="false" outlineLevel="0" collapsed="false">
      <c r="A17949" s="0" t="str">
        <f aca="false">IMCOT("3-4i")</f>
        <v>-0.000187587737983659+1.00064439247156i</v>
      </c>
      <c r="B17949" s="0" t="s">
        <v>17795</v>
      </c>
    </row>
    <row r="17950" customFormat="false" ht="15" hidden="false" customHeight="false" outlineLevel="0" collapsed="false">
      <c r="A17950" s="0" t="str">
        <f aca="false">IMCOT("4i")</f>
        <v>-1.00067115040168i</v>
      </c>
      <c r="B17950" s="0" t="s">
        <v>17796</v>
      </c>
    </row>
    <row r="17951" customFormat="false" ht="15" hidden="false" customHeight="false" outlineLevel="0" collapsed="false">
      <c r="A17951" s="0" t="str">
        <f aca="false">IMCOT("-4i")</f>
        <v>1.00067115040168i</v>
      </c>
      <c r="B17951" s="0" t="s">
        <v>17797</v>
      </c>
    </row>
    <row r="17952" customFormat="false" ht="15" hidden="false" customHeight="false" outlineLevel="0" collapsed="false">
      <c r="A17952" s="0" t="str">
        <f aca="false">IMCOT("i")</f>
        <v>-1.31303528549933i</v>
      </c>
      <c r="B17952" s="0" t="s">
        <v>17798</v>
      </c>
    </row>
    <row r="17953" customFormat="false" ht="15" hidden="false" customHeight="false" outlineLevel="0" collapsed="false">
      <c r="A17953" s="0" t="str">
        <f aca="false">IMCOT("-i")</f>
        <v>1.31303528549933i</v>
      </c>
      <c r="B17953" s="0" t="s">
        <v>17799</v>
      </c>
    </row>
    <row r="17954" customFormat="false" ht="15" hidden="false" customHeight="false" outlineLevel="0" collapsed="false">
      <c r="A17954" s="0" t="str">
        <f aca="false">IMCOT("3")</f>
        <v>-7.01525255143453</v>
      </c>
      <c r="B17954" s="0" t="s">
        <v>17800</v>
      </c>
    </row>
    <row r="17955" customFormat="false" ht="15" hidden="false" customHeight="false" outlineLevel="0" collapsed="false">
      <c r="A17955" s="0" t="e">
        <f aca="false">IMCOT("0")</f>
        <v>#VALUE!</v>
      </c>
      <c r="B17955" s="0" t="s">
        <v>17801</v>
      </c>
    </row>
    <row r="17956" customFormat="false" ht="15" hidden="false" customHeight="false" outlineLevel="0" collapsed="false">
      <c r="A17956" s="0" t="str">
        <f aca="false">IMCOT("1+i")</f>
        <v>0.217621561854403-0.868014142895925i</v>
      </c>
      <c r="B17956" s="0" t="s">
        <v>17802</v>
      </c>
    </row>
    <row r="17957" customFormat="false" ht="15" hidden="false" customHeight="false" outlineLevel="0" collapsed="false">
      <c r="A17957" s="0" t="str">
        <f aca="false">IMCOT("1-i")</f>
        <v>0.217621561854403+0.868014142895925i</v>
      </c>
      <c r="B17957" s="0" t="s">
        <v>17803</v>
      </c>
    </row>
    <row r="17958" customFormat="false" ht="15" hidden="false" customHeight="false" outlineLevel="0" collapsed="false">
      <c r="A17958" s="0" t="str">
        <f aca="false">IMCOT("-1-i")</f>
        <v>-0.217621561854403+0.868014142895925i</v>
      </c>
      <c r="B17958" s="0" t="s">
        <v>17804</v>
      </c>
    </row>
    <row r="17959" customFormat="false" ht="15" hidden="false" customHeight="false" outlineLevel="0" collapsed="false">
      <c r="A17959" s="0" t="str">
        <f aca="false">IMCOT("2.5+3.5i")</f>
        <v>-0.00174975525571883-1.00051593628681i</v>
      </c>
      <c r="B17959" s="0" t="s">
        <v>17805</v>
      </c>
    </row>
    <row r="17960" customFormat="false" ht="15" hidden="false" customHeight="false" outlineLevel="0" collapsed="false">
      <c r="A17960" s="0" t="str">
        <f aca="false">IMCOT("1E2+1E-2i")</f>
        <v>-1.70229299242888-0.0389880167115865i</v>
      </c>
      <c r="B17960" s="0" t="s">
        <v>17806</v>
      </c>
    </row>
    <row r="17961" customFormat="false" ht="15" hidden="false" customHeight="false" outlineLevel="0" collapsed="false">
      <c r="A17961" s="0" t="str">
        <f aca="false">IMCOT("3+4j")</f>
        <v>-0.000187587737983659-1.00064439247156j</v>
      </c>
      <c r="B17961" s="0" t="s">
        <v>17807</v>
      </c>
    </row>
    <row r="17962" customFormat="false" ht="15" hidden="false" customHeight="false" outlineLevel="0" collapsed="false">
      <c r="A17962" s="0" t="str">
        <f aca="false">IMCOT("j")</f>
        <v>-1.31303528549933j</v>
      </c>
      <c r="B17962" s="0" t="s">
        <v>17808</v>
      </c>
    </row>
    <row r="17963" customFormat="false" ht="15" hidden="false" customHeight="false" outlineLevel="0" collapsed="false">
      <c r="A17963" s="0" t="str">
        <f aca="false">IMCOT("-j")</f>
        <v>1.31303528549933j</v>
      </c>
      <c r="B17963" s="0" t="s">
        <v>17809</v>
      </c>
    </row>
    <row r="17964" customFormat="false" ht="15" hidden="false" customHeight="false" outlineLevel="0" collapsed="false">
      <c r="A17964" s="0" t="str">
        <f aca="false">IMCOT("2j")</f>
        <v>-1.03731472072755j</v>
      </c>
      <c r="B17964" s="0" t="s">
        <v>17810</v>
      </c>
    </row>
    <row r="17965" customFormat="false" ht="15" hidden="false" customHeight="false" outlineLevel="0" collapsed="false">
      <c r="A17965" s="0" t="e">
        <f aca="false">IMCOT("1+2k")</f>
        <v>#VALUE!</v>
      </c>
      <c r="B17965" s="0" t="s">
        <v>17811</v>
      </c>
    </row>
    <row r="17966" customFormat="false" ht="15" hidden="false" customHeight="false" outlineLevel="0" collapsed="false">
      <c r="A17966" s="0" t="str">
        <f aca="false">IMCOT("+3+4i")</f>
        <v>-0.000187587737983659-1.00064439247156i</v>
      </c>
      <c r="B17966" s="0" t="s">
        <v>17812</v>
      </c>
    </row>
    <row r="17967" customFormat="false" ht="15" hidden="false" customHeight="false" outlineLevel="0" collapsed="false">
      <c r="A17967" s="0" t="e">
        <f aca="false">IMCOT("3+ 4i")</f>
        <v>#VALUE!</v>
      </c>
      <c r="B17967" s="0" t="s">
        <v>17813</v>
      </c>
    </row>
    <row r="17968" customFormat="false" ht="15" hidden="false" customHeight="false" outlineLevel="0" collapsed="false">
      <c r="A17968" s="0" t="e">
        <f aca="false">IMCOT(" 3+4i")</f>
        <v>#VALUE!</v>
      </c>
      <c r="B17968" s="0" t="s">
        <v>17814</v>
      </c>
    </row>
    <row r="17969" customFormat="false" ht="15" hidden="false" customHeight="false" outlineLevel="0" collapsed="false">
      <c r="A17969" s="0" t="e">
        <f aca="false">IMCOT("3+4I")</f>
        <v>#VALUE!</v>
      </c>
      <c r="B17969" s="0" t="s">
        <v>17815</v>
      </c>
    </row>
    <row r="17970" customFormat="false" ht="15" hidden="false" customHeight="false" outlineLevel="0" collapsed="false">
      <c r="A17970" s="0" t="e">
        <f aca="false">IMCOT("3+4i ")</f>
        <v>#VALUE!</v>
      </c>
      <c r="B17970" s="0" t="s">
        <v>17816</v>
      </c>
    </row>
    <row r="17971" customFormat="false" ht="15" hidden="false" customHeight="false" outlineLevel="0" collapsed="false">
      <c r="A17971" s="0" t="e">
        <f aca="false">IMCOT("1+i+j")</f>
        <v>#VALUE!</v>
      </c>
      <c r="B17971" s="0" t="s">
        <v>17817</v>
      </c>
    </row>
    <row r="17972" customFormat="false" ht="15" hidden="false" customHeight="false" outlineLevel="0" collapsed="false">
      <c r="A17972" s="0" t="e">
        <f aca="false">IMCOT("abc")</f>
        <v>#VALUE!</v>
      </c>
      <c r="B17972" s="0" t="s">
        <v>17818</v>
      </c>
    </row>
    <row r="17973" customFormat="false" ht="15" hidden="false" customHeight="false" outlineLevel="0" collapsed="false">
      <c r="A17973" s="0" t="e">
        <f aca="false">IMCOT("")</f>
        <v>#VALUE!</v>
      </c>
      <c r="B17973" s="0" t="s">
        <v>17819</v>
      </c>
    </row>
    <row r="17974" customFormat="false" ht="15" hidden="false" customHeight="false" outlineLevel="0" collapsed="false">
      <c r="A17974" s="0" t="e">
        <f aca="false">IMCOT("i3")</f>
        <v>#VALUE!</v>
      </c>
      <c r="B17974" s="0" t="s">
        <v>17820</v>
      </c>
    </row>
    <row r="17975" customFormat="false" ht="15" hidden="false" customHeight="false" outlineLevel="0" collapsed="false">
      <c r="A17975" s="0" t="e">
        <f aca="false">IMCOT("3i+4")</f>
        <v>#VALUE!</v>
      </c>
      <c r="B17975" s="0" t="s">
        <v>17821</v>
      </c>
    </row>
    <row r="17976" customFormat="false" ht="15" hidden="false" customHeight="false" outlineLevel="0" collapsed="false">
      <c r="A17976" s="0" t="e">
        <f aca="false">IMCOT("(1+i)")</f>
        <v>#VALUE!</v>
      </c>
      <c r="B17976" s="0" t="s">
        <v>17822</v>
      </c>
    </row>
    <row r="17977" customFormat="false" ht="15" hidden="false" customHeight="false" outlineLevel="0" collapsed="false">
      <c r="A17977" s="0" t="e">
        <f aca="false">IMCOT("1.5E300+1E300i")</f>
        <v>#VALUE!</v>
      </c>
      <c r="B17977" s="0" t="s">
        <v>17823</v>
      </c>
    </row>
    <row r="17978" customFormat="false" ht="15" hidden="false" customHeight="false" outlineLevel="0" collapsed="false">
      <c r="A17978" s="0" t="e">
        <f aca="false">IMCOT("0+0i")</f>
        <v>#VALUE!</v>
      </c>
      <c r="B17978" s="0" t="s">
        <v>17824</v>
      </c>
    </row>
    <row r="17979" customFormat="false" ht="15" hidden="false" customHeight="false" outlineLevel="0" collapsed="false">
      <c r="A17979" s="0" t="e">
        <f aca="false">IMCOT("-0-0i")</f>
        <v>#VALUE!</v>
      </c>
      <c r="B17979" s="0" t="s">
        <v>17825</v>
      </c>
    </row>
    <row r="17980" customFormat="false" ht="15" hidden="false" customHeight="false" outlineLevel="0" collapsed="false">
      <c r="A17980" s="0" t="e">
        <f aca="false">IMCOT("1/2+i")</f>
        <v>#VALUE!</v>
      </c>
      <c r="B17980" s="0" t="s">
        <v>17826</v>
      </c>
    </row>
    <row r="17981" customFormat="false" ht="15" hidden="false" customHeight="false" outlineLevel="0" collapsed="false">
      <c r="A17981" s="0" t="str">
        <f aca="false">IMCOT("1e1+i")</f>
        <v>0.272186738922813-1.08131709557977i</v>
      </c>
      <c r="B17981" s="0" t="s">
        <v>17827</v>
      </c>
    </row>
    <row r="17982" customFormat="false" ht="15" hidden="false" customHeight="false" outlineLevel="0" collapsed="false">
      <c r="A17982" s="0" t="str">
        <f aca="false">IMCOT("1+1e1i")</f>
        <v>3.7484033639213e-09-0.999999998284515i</v>
      </c>
      <c r="B17982" s="0" t="s">
        <v>17828</v>
      </c>
    </row>
    <row r="17983" customFormat="false" ht="15" hidden="false" customHeight="false" outlineLevel="0" collapsed="false">
      <c r="A17983" s="0" t="str">
        <f aca="false">IMCOT(".5+.5i")</f>
        <v>0.839139579024831-1.17194514452435i</v>
      </c>
      <c r="B17983" s="0" t="s">
        <v>17829</v>
      </c>
    </row>
    <row r="17984" customFormat="false" ht="15" hidden="false" customHeight="false" outlineLevel="0" collapsed="false">
      <c r="A17984" s="0" t="str">
        <f aca="false">IMCOT("5.")</f>
        <v>-0.295812915532746</v>
      </c>
      <c r="B17984" s="0" t="s">
        <v>17830</v>
      </c>
    </row>
    <row r="17985" customFormat="false" ht="15" hidden="false" customHeight="false" outlineLevel="0" collapsed="false">
      <c r="A17985" s="0" t="str">
        <f aca="false">IMCOT("1,5+2i")</f>
        <v>0.00498688544603574-0.964368502842933i</v>
      </c>
      <c r="B17985" s="0" t="s">
        <v>17831</v>
      </c>
    </row>
    <row r="17986" customFormat="false" ht="15" hidden="false" customHeight="false" outlineLevel="0" collapsed="false">
      <c r="A17986" s="0" t="e">
        <f aca="false">IMCOT("3++4i")</f>
        <v>#VALUE!</v>
      </c>
      <c r="B17986" s="0" t="s">
        <v>17832</v>
      </c>
    </row>
    <row r="17987" customFormat="false" ht="15" hidden="false" customHeight="false" outlineLevel="0" collapsed="false">
      <c r="A17987" s="0" t="e">
        <f aca="false">IMCOT("3+-4i")</f>
        <v>#VALUE!</v>
      </c>
      <c r="B17987" s="0" t="s">
        <v>17833</v>
      </c>
    </row>
    <row r="17988" customFormat="false" ht="15" hidden="false" customHeight="false" outlineLevel="0" collapsed="false">
      <c r="A17988" s="0" t="e">
        <f aca="false">IMCOT("--3")</f>
        <v>#VALUE!</v>
      </c>
      <c r="B17988" s="0" t="s">
        <v>17834</v>
      </c>
    </row>
    <row r="17989" customFormat="false" ht="15" hidden="false" customHeight="false" outlineLevel="0" collapsed="false">
      <c r="A17989" s="0" t="e">
        <f aca="false">IMCOT("3i4")</f>
        <v>#VALUE!</v>
      </c>
      <c r="B17989" s="0" t="s">
        <v>17835</v>
      </c>
    </row>
    <row r="17990" customFormat="false" ht="15" hidden="false" customHeight="false" outlineLevel="0" collapsed="false">
      <c r="A17990" s="0" t="str">
        <f aca="false">IMCOT("0.1+0.2i")</f>
        <v>1.96691024279798-4.06662142385761i</v>
      </c>
      <c r="B17990" s="0" t="s">
        <v>17836</v>
      </c>
    </row>
    <row r="17991" customFormat="false" ht="15" hidden="false" customHeight="false" outlineLevel="0" collapsed="false">
      <c r="A17991" s="0" t="str">
        <f aca="false">IMCOT("-2.5")</f>
        <v>1.33864812830415</v>
      </c>
      <c r="B17991" s="0" t="s">
        <v>17837</v>
      </c>
    </row>
    <row r="17992" customFormat="false" ht="15" hidden="false" customHeight="false" outlineLevel="0" collapsed="false">
      <c r="A17992" s="0" t="str">
        <f aca="false">IMCOT("1E+2i")</f>
        <v>-i</v>
      </c>
      <c r="B17992" s="0" t="s">
        <v>17838</v>
      </c>
    </row>
    <row r="17993" customFormat="false" ht="15" hidden="false" customHeight="false" outlineLevel="0" collapsed="false">
      <c r="A17993" s="0" t="str">
        <f aca="false">IMCOT("1E-2i")</f>
        <v>-100.003333311111i</v>
      </c>
      <c r="B17993" s="0" t="s">
        <v>17839</v>
      </c>
    </row>
    <row r="17994" customFormat="false" ht="15" hidden="false" customHeight="false" outlineLevel="0" collapsed="false">
      <c r="A17994" s="0" t="e">
        <f aca="false">IMCOT("12345678901234567890+1i")</f>
        <v>#VALUE!</v>
      </c>
      <c r="B17994" s="0" t="s">
        <v>17840</v>
      </c>
    </row>
    <row r="17995" customFormat="false" ht="15" hidden="false" customHeight="false" outlineLevel="0" collapsed="false">
      <c r="A17995" s="0" t="e">
        <f aca="false">IMCOT("1+i2")</f>
        <v>#VALUE!</v>
      </c>
      <c r="B17995" s="0" t="s">
        <v>17841</v>
      </c>
    </row>
    <row r="17996" customFormat="false" ht="15" hidden="false" customHeight="false" outlineLevel="0" collapsed="false">
      <c r="A17996" s="0" t="e">
        <f aca="false">IMCOT("ii")</f>
        <v>#VALUE!</v>
      </c>
      <c r="B17996" s="0" t="s">
        <v>17842</v>
      </c>
    </row>
    <row r="17997" customFormat="false" ht="15" hidden="false" customHeight="false" outlineLevel="0" collapsed="false">
      <c r="A17997" s="0" t="e">
        <f aca="false">IMCOT("3 + 4i")</f>
        <v>#VALUE!</v>
      </c>
      <c r="B17997" s="0" t="s">
        <v>17843</v>
      </c>
    </row>
    <row r="17998" customFormat="false" ht="15" hidden="false" customHeight="false" outlineLevel="0" collapsed="false">
      <c r="A17998" s="0" t="e">
        <f aca="false">IMCOT("4i+3")</f>
        <v>#VALUE!</v>
      </c>
      <c r="B17998" s="0" t="s">
        <v>17844</v>
      </c>
    </row>
    <row r="17999" customFormat="false" ht="15" hidden="false" customHeight="false" outlineLevel="0" collapsed="false">
      <c r="A17999" s="0" t="str">
        <f aca="false">IMCOT("1+0i")</f>
        <v>0.642092615934331</v>
      </c>
      <c r="B17999" s="0" t="s">
        <v>17845</v>
      </c>
    </row>
    <row r="18000" customFormat="false" ht="15" hidden="false" customHeight="false" outlineLevel="0" collapsed="false">
      <c r="A18000" s="0" t="str">
        <f aca="false">IMCOT("0+1i")</f>
        <v>-1.31303528549933i</v>
      </c>
      <c r="B18000" s="0" t="s">
        <v>17846</v>
      </c>
    </row>
    <row r="18001" customFormat="false" ht="15" hidden="false" customHeight="false" outlineLevel="0" collapsed="false">
      <c r="A18001" s="0" t="str">
        <f aca="false">IMCOT("0-1i")</f>
        <v>1.31303528549933i</v>
      </c>
      <c r="B18001" s="0" t="s">
        <v>17847</v>
      </c>
    </row>
    <row r="18002" customFormat="false" ht="15" hidden="false" customHeight="false" outlineLevel="0" collapsed="false">
      <c r="A18002" s="0" t="str">
        <f aca="false">IMCOT("-1+0i")</f>
        <v>-0.642092615934331</v>
      </c>
      <c r="B18002" s="0" t="s">
        <v>17848</v>
      </c>
    </row>
    <row r="18003" customFormat="false" ht="15" hidden="false" customHeight="false" outlineLevel="0" collapsed="false">
      <c r="A18003" s="0" t="str">
        <f aca="false">IMCOT("1e-10+1e-10i")</f>
        <v>5000000000-5000000000i</v>
      </c>
      <c r="B18003" s="0" t="s">
        <v>17849</v>
      </c>
    </row>
    <row r="18004" customFormat="false" ht="15" hidden="false" customHeight="false" outlineLevel="0" collapsed="false">
      <c r="A18004" s="0" t="str">
        <f aca="false">IMCOT("2+0.0000001i")</f>
        <v>-0.45765755436028-1.20945043706303e-07i</v>
      </c>
      <c r="B18004" s="0" t="s">
        <v>17850</v>
      </c>
    </row>
    <row r="18005" customFormat="false" ht="15" hidden="false" customHeight="false" outlineLevel="0" collapsed="false">
      <c r="A18005" s="0" t="e">
        <f aca="false">IMCOT("TRUE")</f>
        <v>#VALUE!</v>
      </c>
      <c r="B18005" s="0" t="s">
        <v>17851</v>
      </c>
    </row>
    <row r="18006" customFormat="false" ht="15" hidden="false" customHeight="false" outlineLevel="0" collapsed="false">
      <c r="A18006" s="0" t="e">
        <f aca="false">IMCOT("1+Ii")</f>
        <v>#VALUE!</v>
      </c>
      <c r="B18006" s="0" t="s">
        <v>17852</v>
      </c>
    </row>
    <row r="18007" customFormat="false" ht="15" hidden="false" customHeight="false" outlineLevel="0" collapsed="false">
      <c r="A18007" s="0" t="str">
        <f aca="false">IMCOT(5)</f>
        <v>-0.295812915532746</v>
      </c>
      <c r="B18007" s="0" t="s">
        <v>17853</v>
      </c>
    </row>
    <row r="18008" customFormat="false" ht="15" hidden="false" customHeight="false" outlineLevel="0" collapsed="false">
      <c r="A18008" s="0" t="str">
        <f aca="false">IMCOT(TRUE())</f>
        <v>0.642092615934331</v>
      </c>
      <c r="B18008" s="0" t="s">
        <v>17854</v>
      </c>
    </row>
    <row r="18009" customFormat="false" ht="15" hidden="false" customHeight="false" outlineLevel="0" collapsed="false">
      <c r="A18009" s="0" t="e">
        <f aca="false">IMCOT(Data!D1)</f>
        <v>#VALUE!</v>
      </c>
      <c r="B18009" s="0" t="s">
        <v>17855</v>
      </c>
    </row>
    <row r="18010" customFormat="false" ht="15" hidden="false" customHeight="false" outlineLevel="0" collapsed="false">
      <c r="A18010" s="0" t="str">
        <f aca="false">IMCOT(Data!A1)</f>
        <v>-0.295812915532746</v>
      </c>
      <c r="B18010" s="0" t="s">
        <v>17856</v>
      </c>
    </row>
    <row r="18011" customFormat="false" ht="15" hidden="false" customHeight="false" outlineLevel="0" collapsed="false">
      <c r="A18011" s="0" t="e">
        <f aca="false">IMCOT(Data!B1)</f>
        <v>#VALUE!</v>
      </c>
      <c r="B18011" s="0" t="s">
        <v>17857</v>
      </c>
    </row>
    <row r="18012" customFormat="false" ht="15" hidden="false" customHeight="false" outlineLevel="0" collapsed="false">
      <c r="A18012" s="0" t="e">
        <f aca="false">IMCOT(NA())</f>
        <v>#N/A</v>
      </c>
      <c r="B18012" s="0" t="s">
        <v>17858</v>
      </c>
    </row>
    <row r="18013" customFormat="false" ht="15" hidden="false" customHeight="false" outlineLevel="0" collapsed="false">
      <c r="A18013" s="0" t="e">
        <f aca="false">IMCOT("3+4i",1)</f>
        <v>#VALUE!</v>
      </c>
      <c r="B18013" s="0" t="s">
        <v>17859</v>
      </c>
    </row>
    <row r="18014" customFormat="false" ht="15" hidden="false" customHeight="false" outlineLevel="0" collapsed="false">
      <c r="A18014" s="0" t="e">
        <f aca="false">IMCOT()</f>
        <v>#VALUE!</v>
      </c>
      <c r="B18014" s="0" t="s">
        <v>17860</v>
      </c>
    </row>
    <row r="18015" customFormat="false" ht="15" hidden="false" customHeight="false" outlineLevel="0" collapsed="false">
      <c r="A18015" s="0" t="e">
        <f aca="false">IMCOT(Data!A1:A3)</f>
        <v>#VALUE!</v>
      </c>
      <c r="B18015" s="0" t="s">
        <v>17861</v>
      </c>
    </row>
    <row r="18016" customFormat="false" ht="15" hidden="false" customHeight="false" outlineLevel="0" collapsed="false">
      <c r="A18016" s="0" t="str">
        <f aca="false">IMCOT(-2.5)</f>
        <v>1.33864812830415</v>
      </c>
      <c r="B18016" s="0" t="s">
        <v>17862</v>
      </c>
    </row>
    <row r="18017" customFormat="false" ht="15" hidden="false" customHeight="false" outlineLevel="0" collapsed="false">
      <c r="A18017" s="0" t="e">
        <f aca="false">IMCOT(1E+300)</f>
        <v>#VALUE!</v>
      </c>
      <c r="B18017" s="0" t="s">
        <v>17863</v>
      </c>
    </row>
    <row r="18018" customFormat="false" ht="15" hidden="false" customHeight="false" outlineLevel="0" collapsed="false">
      <c r="A18018" s="0" t="str">
        <f aca="false">IMCOT(1E-300)</f>
        <v>1e+300</v>
      </c>
      <c r="B18018" s="0" t="s">
        <v>17864</v>
      </c>
    </row>
    <row r="18019" customFormat="false" ht="15" hidden="false" customHeight="false" outlineLevel="0" collapsed="false">
      <c r="A18019" s="0" t="str">
        <f aca="false">IMSINH("3+4i")</f>
        <v>-6.548120040911-7.61923172032141i</v>
      </c>
      <c r="B18019" s="0" t="s">
        <v>17865</v>
      </c>
    </row>
    <row r="18020" customFormat="false" ht="15" hidden="false" customHeight="false" outlineLevel="0" collapsed="false">
      <c r="A18020" s="0" t="str">
        <f aca="false">IMSINH("3-4i")</f>
        <v>-6.548120040911+7.61923172032141i</v>
      </c>
      <c r="B18020" s="0" t="s">
        <v>17866</v>
      </c>
    </row>
    <row r="18021" customFormat="false" ht="15" hidden="false" customHeight="false" outlineLevel="0" collapsed="false">
      <c r="A18021" s="0" t="str">
        <f aca="false">IMSINH("4i")</f>
        <v>-0.756802495307928i</v>
      </c>
      <c r="B18021" s="0" t="s">
        <v>17867</v>
      </c>
    </row>
    <row r="18022" customFormat="false" ht="15" hidden="false" customHeight="false" outlineLevel="0" collapsed="false">
      <c r="A18022" s="0" t="str">
        <f aca="false">IMSINH("-4i")</f>
        <v>0.756802495307928i</v>
      </c>
      <c r="B18022" s="0" t="s">
        <v>17868</v>
      </c>
    </row>
    <row r="18023" customFormat="false" ht="15" hidden="false" customHeight="false" outlineLevel="0" collapsed="false">
      <c r="A18023" s="0" t="str">
        <f aca="false">IMSINH("i")</f>
        <v>0.841470984807897i</v>
      </c>
      <c r="B18023" s="0" t="s">
        <v>17869</v>
      </c>
    </row>
    <row r="18024" customFormat="false" ht="15" hidden="false" customHeight="false" outlineLevel="0" collapsed="false">
      <c r="A18024" s="0" t="str">
        <f aca="false">IMSINH("-i")</f>
        <v>-0.841470984807897i</v>
      </c>
      <c r="B18024" s="0" t="s">
        <v>17870</v>
      </c>
    </row>
    <row r="18025" customFormat="false" ht="15" hidden="false" customHeight="false" outlineLevel="0" collapsed="false">
      <c r="A18025" s="0" t="str">
        <f aca="false">IMSINH("3")</f>
        <v>10.0178749274099</v>
      </c>
      <c r="B18025" s="0" t="s">
        <v>17871</v>
      </c>
    </row>
    <row r="18026" customFormat="false" ht="15" hidden="false" customHeight="false" outlineLevel="0" collapsed="false">
      <c r="A18026" s="0" t="str">
        <f aca="false">IMSINH("0")</f>
        <v>0</v>
      </c>
      <c r="B18026" s="0" t="s">
        <v>17872</v>
      </c>
    </row>
    <row r="18027" customFormat="false" ht="15" hidden="false" customHeight="false" outlineLevel="0" collapsed="false">
      <c r="A18027" s="0" t="str">
        <f aca="false">IMSINH("1+i")</f>
        <v>0.634963914784736+1.29845758141598i</v>
      </c>
      <c r="B18027" s="0" t="s">
        <v>17873</v>
      </c>
    </row>
    <row r="18028" customFormat="false" ht="15" hidden="false" customHeight="false" outlineLevel="0" collapsed="false">
      <c r="A18028" s="0" t="str">
        <f aca="false">IMSINH("1-i")</f>
        <v>0.634963914784736-1.29845758141598i</v>
      </c>
      <c r="B18028" s="0" t="s">
        <v>17874</v>
      </c>
    </row>
    <row r="18029" customFormat="false" ht="15" hidden="false" customHeight="false" outlineLevel="0" collapsed="false">
      <c r="A18029" s="0" t="str">
        <f aca="false">IMSINH("-1-i")</f>
        <v>-0.634963914784736-1.29845758141598i</v>
      </c>
      <c r="B18029" s="0" t="s">
        <v>17875</v>
      </c>
    </row>
    <row r="18030" customFormat="false" ht="15" hidden="false" customHeight="false" outlineLevel="0" collapsed="false">
      <c r="A18030" s="0" t="str">
        <f aca="false">IMSINH("2.5+3.5i")</f>
        <v>-5.66575444574645-2.15110429680353i</v>
      </c>
      <c r="B18030" s="0" t="s">
        <v>17876</v>
      </c>
    </row>
    <row r="18031" customFormat="false" ht="15" hidden="false" customHeight="false" outlineLevel="0" collapsed="false">
      <c r="A18031" s="0" t="str">
        <f aca="false">IMSINH("1E2+1E-2i")</f>
        <v>1.34399136853954e+43+1.34403617004389e+41i</v>
      </c>
      <c r="B18031" s="0" t="s">
        <v>17877</v>
      </c>
    </row>
    <row r="18032" customFormat="false" ht="15" hidden="false" customHeight="false" outlineLevel="0" collapsed="false">
      <c r="A18032" s="0" t="str">
        <f aca="false">IMSINH("3+4j")</f>
        <v>-6.548120040911-7.61923172032141j</v>
      </c>
      <c r="B18032" s="0" t="s">
        <v>17878</v>
      </c>
    </row>
    <row r="18033" customFormat="false" ht="15" hidden="false" customHeight="false" outlineLevel="0" collapsed="false">
      <c r="A18033" s="0" t="str">
        <f aca="false">IMSINH("j")</f>
        <v>0.841470984807897j</v>
      </c>
      <c r="B18033" s="0" t="s">
        <v>17879</v>
      </c>
    </row>
    <row r="18034" customFormat="false" ht="15" hidden="false" customHeight="false" outlineLevel="0" collapsed="false">
      <c r="A18034" s="0" t="str">
        <f aca="false">IMSINH("-j")</f>
        <v>-0.841470984807897j</v>
      </c>
      <c r="B18034" s="0" t="s">
        <v>17880</v>
      </c>
    </row>
    <row r="18035" customFormat="false" ht="15" hidden="false" customHeight="false" outlineLevel="0" collapsed="false">
      <c r="A18035" s="0" t="str">
        <f aca="false">IMSINH("2j")</f>
        <v>0.909297426825682j</v>
      </c>
      <c r="B18035" s="0" t="s">
        <v>17881</v>
      </c>
    </row>
    <row r="18036" customFormat="false" ht="15" hidden="false" customHeight="false" outlineLevel="0" collapsed="false">
      <c r="A18036" s="0" t="e">
        <f aca="false">IMSINH("1+2k")</f>
        <v>#VALUE!</v>
      </c>
      <c r="B18036" s="0" t="s">
        <v>17882</v>
      </c>
    </row>
    <row r="18037" customFormat="false" ht="15" hidden="false" customHeight="false" outlineLevel="0" collapsed="false">
      <c r="A18037" s="0" t="str">
        <f aca="false">IMSINH("+3+4i")</f>
        <v>-6.548120040911-7.61923172032141i</v>
      </c>
      <c r="B18037" s="0" t="s">
        <v>17883</v>
      </c>
    </row>
    <row r="18038" customFormat="false" ht="15" hidden="false" customHeight="false" outlineLevel="0" collapsed="false">
      <c r="A18038" s="0" t="e">
        <f aca="false">IMSINH("3+ 4i")</f>
        <v>#VALUE!</v>
      </c>
      <c r="B18038" s="0" t="s">
        <v>17884</v>
      </c>
    </row>
    <row r="18039" customFormat="false" ht="15" hidden="false" customHeight="false" outlineLevel="0" collapsed="false">
      <c r="A18039" s="0" t="e">
        <f aca="false">IMSINH(" 3+4i")</f>
        <v>#VALUE!</v>
      </c>
      <c r="B18039" s="0" t="s">
        <v>17885</v>
      </c>
    </row>
    <row r="18040" customFormat="false" ht="15" hidden="false" customHeight="false" outlineLevel="0" collapsed="false">
      <c r="A18040" s="0" t="e">
        <f aca="false">IMSINH("3+4I")</f>
        <v>#VALUE!</v>
      </c>
      <c r="B18040" s="0" t="s">
        <v>17886</v>
      </c>
    </row>
    <row r="18041" customFormat="false" ht="15" hidden="false" customHeight="false" outlineLevel="0" collapsed="false">
      <c r="A18041" s="0" t="e">
        <f aca="false">IMSINH("3+4i ")</f>
        <v>#VALUE!</v>
      </c>
      <c r="B18041" s="0" t="s">
        <v>17887</v>
      </c>
    </row>
    <row r="18042" customFormat="false" ht="15" hidden="false" customHeight="false" outlineLevel="0" collapsed="false">
      <c r="A18042" s="0" t="e">
        <f aca="false">IMSINH("1+i+j")</f>
        <v>#VALUE!</v>
      </c>
      <c r="B18042" s="0" t="s">
        <v>17888</v>
      </c>
    </row>
    <row r="18043" customFormat="false" ht="15" hidden="false" customHeight="false" outlineLevel="0" collapsed="false">
      <c r="A18043" s="0" t="e">
        <f aca="false">IMSINH("abc")</f>
        <v>#VALUE!</v>
      </c>
      <c r="B18043" s="0" t="s">
        <v>17889</v>
      </c>
    </row>
    <row r="18044" customFormat="false" ht="15" hidden="false" customHeight="false" outlineLevel="0" collapsed="false">
      <c r="A18044" s="0" t="e">
        <f aca="false">IMSINH("")</f>
        <v>#VALUE!</v>
      </c>
      <c r="B18044" s="0" t="s">
        <v>17890</v>
      </c>
    </row>
    <row r="18045" customFormat="false" ht="15" hidden="false" customHeight="false" outlineLevel="0" collapsed="false">
      <c r="A18045" s="0" t="e">
        <f aca="false">IMSINH("i3")</f>
        <v>#VALUE!</v>
      </c>
      <c r="B18045" s="0" t="s">
        <v>17891</v>
      </c>
    </row>
    <row r="18046" customFormat="false" ht="15" hidden="false" customHeight="false" outlineLevel="0" collapsed="false">
      <c r="A18046" s="0" t="e">
        <f aca="false">IMSINH("3i+4")</f>
        <v>#VALUE!</v>
      </c>
      <c r="B18046" s="0" t="s">
        <v>17892</v>
      </c>
    </row>
    <row r="18047" customFormat="false" ht="15" hidden="false" customHeight="false" outlineLevel="0" collapsed="false">
      <c r="A18047" s="0" t="e">
        <f aca="false">IMSINH("(1+i)")</f>
        <v>#VALUE!</v>
      </c>
      <c r="B18047" s="0" t="s">
        <v>17893</v>
      </c>
    </row>
    <row r="18048" customFormat="false" ht="15" hidden="false" customHeight="false" outlineLevel="0" collapsed="false">
      <c r="A18048" s="0" t="e">
        <f aca="false">IMSINH("1.5E300+1E300i")</f>
        <v>#VALUE!</v>
      </c>
      <c r="B18048" s="0" t="s">
        <v>17894</v>
      </c>
    </row>
    <row r="18049" customFormat="false" ht="15" hidden="false" customHeight="false" outlineLevel="0" collapsed="false">
      <c r="A18049" s="0" t="str">
        <f aca="false">IMSINH("0+0i")</f>
        <v>0</v>
      </c>
      <c r="B18049" s="0" t="s">
        <v>17895</v>
      </c>
    </row>
    <row r="18050" customFormat="false" ht="15" hidden="false" customHeight="false" outlineLevel="0" collapsed="false">
      <c r="A18050" s="0" t="str">
        <f aca="false">IMSINH("-0-0i")</f>
        <v>-0</v>
      </c>
      <c r="B18050" s="0" t="s">
        <v>17896</v>
      </c>
    </row>
    <row r="18051" customFormat="false" ht="15" hidden="false" customHeight="false" outlineLevel="0" collapsed="false">
      <c r="A18051" s="0" t="e">
        <f aca="false">IMSINH("1/2+i")</f>
        <v>#VALUE!</v>
      </c>
      <c r="B18051" s="0" t="s">
        <v>17897</v>
      </c>
    </row>
    <row r="18052" customFormat="false" ht="15" hidden="false" customHeight="false" outlineLevel="0" collapsed="false">
      <c r="A18052" s="0" t="str">
        <f aca="false">IMSINH("1e1+i")</f>
        <v>5950.47511726504+9267.31595119809i</v>
      </c>
      <c r="B18052" s="0" t="s">
        <v>17898</v>
      </c>
    </row>
    <row r="18053" customFormat="false" ht="15" hidden="false" customHeight="false" outlineLevel="0" collapsed="false">
      <c r="A18053" s="0" t="str">
        <f aca="false">IMSINH("1+1e1i")</f>
        <v>-0.986077862523177-0.839468441144063i</v>
      </c>
      <c r="B18053" s="0" t="s">
        <v>17899</v>
      </c>
    </row>
    <row r="18054" customFormat="false" ht="15" hidden="false" customHeight="false" outlineLevel="0" collapsed="false">
      <c r="A18054" s="0" t="str">
        <f aca="false">IMSINH(".5+.5i")</f>
        <v>0.457304153184249+0.540612685713153i</v>
      </c>
      <c r="B18054" s="0" t="s">
        <v>17900</v>
      </c>
    </row>
    <row r="18055" customFormat="false" ht="15" hidden="false" customHeight="false" outlineLevel="0" collapsed="false">
      <c r="A18055" s="0" t="str">
        <f aca="false">IMSINH("5.")</f>
        <v>74.2032105777888</v>
      </c>
      <c r="B18055" s="0" t="s">
        <v>17901</v>
      </c>
    </row>
    <row r="18056" customFormat="false" ht="15" hidden="false" customHeight="false" outlineLevel="0" collapsed="false">
      <c r="A18056" s="0" t="str">
        <f aca="false">IMSINH("1,5+2i")</f>
        <v>-0.886092909362531+2.13904000998068i</v>
      </c>
      <c r="B18056" s="0" t="s">
        <v>17902</v>
      </c>
    </row>
    <row r="18057" customFormat="false" ht="15" hidden="false" customHeight="false" outlineLevel="0" collapsed="false">
      <c r="A18057" s="0" t="e">
        <f aca="false">IMSINH("3++4i")</f>
        <v>#VALUE!</v>
      </c>
      <c r="B18057" s="0" t="s">
        <v>17903</v>
      </c>
    </row>
    <row r="18058" customFormat="false" ht="15" hidden="false" customHeight="false" outlineLevel="0" collapsed="false">
      <c r="A18058" s="0" t="e">
        <f aca="false">IMSINH("3+-4i")</f>
        <v>#VALUE!</v>
      </c>
      <c r="B18058" s="0" t="s">
        <v>17904</v>
      </c>
    </row>
    <row r="18059" customFormat="false" ht="15" hidden="false" customHeight="false" outlineLevel="0" collapsed="false">
      <c r="A18059" s="0" t="e">
        <f aca="false">IMSINH("--3")</f>
        <v>#VALUE!</v>
      </c>
      <c r="B18059" s="0" t="s">
        <v>17905</v>
      </c>
    </row>
    <row r="18060" customFormat="false" ht="15" hidden="false" customHeight="false" outlineLevel="0" collapsed="false">
      <c r="A18060" s="0" t="e">
        <f aca="false">IMSINH("3i4")</f>
        <v>#VALUE!</v>
      </c>
      <c r="B18060" s="0" t="s">
        <v>17906</v>
      </c>
    </row>
    <row r="18061" customFormat="false" ht="15" hidden="false" customHeight="false" outlineLevel="0" collapsed="false">
      <c r="A18061" s="0" t="str">
        <f aca="false">IMSINH("0.1+0.2i")</f>
        <v>0.0981700839054277+0.199663505513894i</v>
      </c>
      <c r="B18061" s="0" t="s">
        <v>17907</v>
      </c>
    </row>
    <row r="18062" customFormat="false" ht="15" hidden="false" customHeight="false" outlineLevel="0" collapsed="false">
      <c r="A18062" s="0" t="str">
        <f aca="false">IMSINH("-2.5")</f>
        <v>-6.05020448103979</v>
      </c>
      <c r="B18062" s="0" t="s">
        <v>17908</v>
      </c>
    </row>
    <row r="18063" customFormat="false" ht="15" hidden="false" customHeight="false" outlineLevel="0" collapsed="false">
      <c r="A18063" s="0" t="str">
        <f aca="false">IMSINH("1E+2i")</f>
        <v>-0.506365641109759i</v>
      </c>
      <c r="B18063" s="0" t="s">
        <v>17909</v>
      </c>
    </row>
    <row r="18064" customFormat="false" ht="15" hidden="false" customHeight="false" outlineLevel="0" collapsed="false">
      <c r="A18064" s="0" t="str">
        <f aca="false">IMSINH("1E-2i")</f>
        <v>0.00999983333416666i</v>
      </c>
      <c r="B18064" s="0" t="s">
        <v>17910</v>
      </c>
    </row>
    <row r="18065" customFormat="false" ht="15" hidden="false" customHeight="false" outlineLevel="0" collapsed="false">
      <c r="A18065" s="0" t="e">
        <f aca="false">IMSINH("12345678901234567890+1i")</f>
        <v>#VALUE!</v>
      </c>
      <c r="B18065" s="0" t="s">
        <v>17911</v>
      </c>
    </row>
    <row r="18066" customFormat="false" ht="15" hidden="false" customHeight="false" outlineLevel="0" collapsed="false">
      <c r="A18066" s="0" t="e">
        <f aca="false">IMSINH("1+i2")</f>
        <v>#VALUE!</v>
      </c>
      <c r="B18066" s="0" t="s">
        <v>17912</v>
      </c>
    </row>
    <row r="18067" customFormat="false" ht="15" hidden="false" customHeight="false" outlineLevel="0" collapsed="false">
      <c r="A18067" s="0" t="e">
        <f aca="false">IMSINH("ii")</f>
        <v>#VALUE!</v>
      </c>
      <c r="B18067" s="0" t="s">
        <v>17913</v>
      </c>
    </row>
    <row r="18068" customFormat="false" ht="15" hidden="false" customHeight="false" outlineLevel="0" collapsed="false">
      <c r="A18068" s="0" t="e">
        <f aca="false">IMSINH("3 + 4i")</f>
        <v>#VALUE!</v>
      </c>
      <c r="B18068" s="0" t="s">
        <v>17914</v>
      </c>
    </row>
    <row r="18069" customFormat="false" ht="15" hidden="false" customHeight="false" outlineLevel="0" collapsed="false">
      <c r="A18069" s="0" t="e">
        <f aca="false">IMSINH("4i+3")</f>
        <v>#VALUE!</v>
      </c>
      <c r="B18069" s="0" t="s">
        <v>17915</v>
      </c>
    </row>
    <row r="18070" customFormat="false" ht="15" hidden="false" customHeight="false" outlineLevel="0" collapsed="false">
      <c r="A18070" s="0" t="str">
        <f aca="false">IMSINH("1+0i")</f>
        <v>1.1752011936438</v>
      </c>
      <c r="B18070" s="0" t="s">
        <v>17916</v>
      </c>
    </row>
    <row r="18071" customFormat="false" ht="15" hidden="false" customHeight="false" outlineLevel="0" collapsed="false">
      <c r="A18071" s="0" t="str">
        <f aca="false">IMSINH("0+1i")</f>
        <v>0.841470984807897i</v>
      </c>
      <c r="B18071" s="0" t="s">
        <v>17917</v>
      </c>
    </row>
    <row r="18072" customFormat="false" ht="15" hidden="false" customHeight="false" outlineLevel="0" collapsed="false">
      <c r="A18072" s="0" t="str">
        <f aca="false">IMSINH("0-1i")</f>
        <v>-0.841470984807897i</v>
      </c>
      <c r="B18072" s="0" t="s">
        <v>17918</v>
      </c>
    </row>
    <row r="18073" customFormat="false" ht="15" hidden="false" customHeight="false" outlineLevel="0" collapsed="false">
      <c r="A18073" s="0" t="str">
        <f aca="false">IMSINH("-1+0i")</f>
        <v>-1.1752011936438</v>
      </c>
      <c r="B18073" s="0" t="s">
        <v>17919</v>
      </c>
    </row>
    <row r="18074" customFormat="false" ht="15" hidden="false" customHeight="false" outlineLevel="0" collapsed="false">
      <c r="A18074" s="0" t="str">
        <f aca="false">IMSINH("1e-10+1e-10i")</f>
        <v>1e-10+1e-10i</v>
      </c>
      <c r="B18074" s="0" t="s">
        <v>17920</v>
      </c>
    </row>
    <row r="18075" customFormat="false" ht="15" hidden="false" customHeight="false" outlineLevel="0" collapsed="false">
      <c r="A18075" s="0" t="str">
        <f aca="false">IMSINH("2+0.0000001i")</f>
        <v>3.626860407847+3.76219569108363e-07i</v>
      </c>
      <c r="B18075" s="0" t="s">
        <v>17921</v>
      </c>
    </row>
    <row r="18076" customFormat="false" ht="15" hidden="false" customHeight="false" outlineLevel="0" collapsed="false">
      <c r="A18076" s="0" t="e">
        <f aca="false">IMSINH("TRUE")</f>
        <v>#VALUE!</v>
      </c>
      <c r="B18076" s="0" t="s">
        <v>17922</v>
      </c>
    </row>
    <row r="18077" customFormat="false" ht="15" hidden="false" customHeight="false" outlineLevel="0" collapsed="false">
      <c r="A18077" s="0" t="e">
        <f aca="false">IMSINH("1+Ii")</f>
        <v>#VALUE!</v>
      </c>
      <c r="B18077" s="0" t="s">
        <v>17923</v>
      </c>
    </row>
    <row r="18078" customFormat="false" ht="15" hidden="false" customHeight="false" outlineLevel="0" collapsed="false">
      <c r="A18078" s="0" t="str">
        <f aca="false">IMSINH(5)</f>
        <v>74.2032105777888</v>
      </c>
      <c r="B18078" s="0" t="s">
        <v>17924</v>
      </c>
    </row>
    <row r="18079" customFormat="false" ht="15" hidden="false" customHeight="false" outlineLevel="0" collapsed="false">
      <c r="A18079" s="0" t="str">
        <f aca="false">IMSINH(TRUE())</f>
        <v>1.1752011936438</v>
      </c>
      <c r="B18079" s="0" t="s">
        <v>17925</v>
      </c>
    </row>
    <row r="18080" customFormat="false" ht="15" hidden="false" customHeight="false" outlineLevel="0" collapsed="false">
      <c r="A18080" s="0" t="e">
        <f aca="false">IMSINH(Data!D1)</f>
        <v>#VALUE!</v>
      </c>
      <c r="B18080" s="0" t="s">
        <v>17926</v>
      </c>
    </row>
    <row r="18081" customFormat="false" ht="15" hidden="false" customHeight="false" outlineLevel="0" collapsed="false">
      <c r="A18081" s="0" t="str">
        <f aca="false">IMSINH(Data!A1)</f>
        <v>74.2032105777888</v>
      </c>
      <c r="B18081" s="0" t="s">
        <v>17927</v>
      </c>
    </row>
    <row r="18082" customFormat="false" ht="15" hidden="false" customHeight="false" outlineLevel="0" collapsed="false">
      <c r="A18082" s="0" t="e">
        <f aca="false">IMSINH(Data!B1)</f>
        <v>#VALUE!</v>
      </c>
      <c r="B18082" s="0" t="s">
        <v>17928</v>
      </c>
    </row>
    <row r="18083" customFormat="false" ht="15" hidden="false" customHeight="false" outlineLevel="0" collapsed="false">
      <c r="A18083" s="0" t="e">
        <f aca="false">IMSINH(NA())</f>
        <v>#N/A</v>
      </c>
      <c r="B18083" s="0" t="s">
        <v>17929</v>
      </c>
    </row>
    <row r="18084" customFormat="false" ht="15" hidden="false" customHeight="false" outlineLevel="0" collapsed="false">
      <c r="A18084" s="0" t="e">
        <f aca="false">IMSINH("3+4i",1)</f>
        <v>#VALUE!</v>
      </c>
      <c r="B18084" s="0" t="s">
        <v>17930</v>
      </c>
    </row>
    <row r="18085" customFormat="false" ht="15" hidden="false" customHeight="false" outlineLevel="0" collapsed="false">
      <c r="A18085" s="0" t="e">
        <f aca="false">IMSINH()</f>
        <v>#VALUE!</v>
      </c>
      <c r="B18085" s="0" t="s">
        <v>17931</v>
      </c>
    </row>
    <row r="18086" customFormat="false" ht="15" hidden="false" customHeight="false" outlineLevel="0" collapsed="false">
      <c r="A18086" s="0" t="e">
        <f aca="false">IMSINH(Data!A1:A3)</f>
        <v>#VALUE!</v>
      </c>
      <c r="B18086" s="0" t="s">
        <v>17932</v>
      </c>
    </row>
    <row r="18087" customFormat="false" ht="15" hidden="false" customHeight="false" outlineLevel="0" collapsed="false">
      <c r="A18087" s="0" t="str">
        <f aca="false">IMSINH(-2.5)</f>
        <v>-6.05020448103979</v>
      </c>
      <c r="B18087" s="0" t="s">
        <v>17933</v>
      </c>
    </row>
    <row r="18088" customFormat="false" ht="15" hidden="false" customHeight="false" outlineLevel="0" collapsed="false">
      <c r="A18088" s="0" t="e">
        <f aca="false">IMSINH(1E+300)</f>
        <v>#VALUE!</v>
      </c>
      <c r="B18088" s="0" t="s">
        <v>17934</v>
      </c>
    </row>
    <row r="18089" customFormat="false" ht="15" hidden="false" customHeight="false" outlineLevel="0" collapsed="false">
      <c r="A18089" s="0" t="str">
        <f aca="false">IMSINH(1E-300)</f>
        <v>1e-300</v>
      </c>
      <c r="B18089" s="0" t="s">
        <v>17935</v>
      </c>
    </row>
    <row r="18090" customFormat="false" ht="15" hidden="false" customHeight="false" outlineLevel="0" collapsed="false">
      <c r="A18090" s="0" t="str">
        <f aca="false">IMCOSH("3+4i")</f>
        <v>-6.58066304055116-7.58155274274654i</v>
      </c>
      <c r="B18090" s="0" t="s">
        <v>17936</v>
      </c>
    </row>
    <row r="18091" customFormat="false" ht="15" hidden="false" customHeight="false" outlineLevel="0" collapsed="false">
      <c r="A18091" s="0" t="str">
        <f aca="false">IMCOSH("3-4i")</f>
        <v>-6.58066304055116+7.58155274274654i</v>
      </c>
      <c r="B18091" s="0" t="s">
        <v>17937</v>
      </c>
    </row>
    <row r="18092" customFormat="false" ht="15" hidden="false" customHeight="false" outlineLevel="0" collapsed="false">
      <c r="A18092" s="0" t="str">
        <f aca="false">IMCOSH("4i")</f>
        <v>-0.653643620863612</v>
      </c>
      <c r="B18092" s="0" t="s">
        <v>17938</v>
      </c>
    </row>
    <row r="18093" customFormat="false" ht="15" hidden="false" customHeight="false" outlineLevel="0" collapsed="false">
      <c r="A18093" s="0" t="str">
        <f aca="false">IMCOSH("-4i")</f>
        <v>-0.653643620863612</v>
      </c>
      <c r="B18093" s="0" t="s">
        <v>17939</v>
      </c>
    </row>
    <row r="18094" customFormat="false" ht="15" hidden="false" customHeight="false" outlineLevel="0" collapsed="false">
      <c r="A18094" s="0" t="str">
        <f aca="false">IMCOSH("i")</f>
        <v>0.54030230586814</v>
      </c>
      <c r="B18094" s="0" t="s">
        <v>17940</v>
      </c>
    </row>
    <row r="18095" customFormat="false" ht="15" hidden="false" customHeight="false" outlineLevel="0" collapsed="false">
      <c r="A18095" s="0" t="str">
        <f aca="false">IMCOSH("-i")</f>
        <v>0.54030230586814</v>
      </c>
      <c r="B18095" s="0" t="s">
        <v>17941</v>
      </c>
    </row>
    <row r="18096" customFormat="false" ht="15" hidden="false" customHeight="false" outlineLevel="0" collapsed="false">
      <c r="A18096" s="0" t="str">
        <f aca="false">IMCOSH("3")</f>
        <v>10.0676619957778</v>
      </c>
      <c r="B18096" s="0" t="s">
        <v>17942</v>
      </c>
    </row>
    <row r="18097" customFormat="false" ht="15" hidden="false" customHeight="false" outlineLevel="0" collapsed="false">
      <c r="A18097" s="0" t="str">
        <f aca="false">IMCOSH("0")</f>
        <v>1</v>
      </c>
      <c r="B18097" s="0" t="s">
        <v>17943</v>
      </c>
    </row>
    <row r="18098" customFormat="false" ht="15" hidden="false" customHeight="false" outlineLevel="0" collapsed="false">
      <c r="A18098" s="0" t="str">
        <f aca="false">IMCOSH("1+i")</f>
        <v>0.833730025131149+0.988897705762865i</v>
      </c>
      <c r="B18098" s="0" t="s">
        <v>17944</v>
      </c>
    </row>
    <row r="18099" customFormat="false" ht="15" hidden="false" customHeight="false" outlineLevel="0" collapsed="false">
      <c r="A18099" s="0" t="str">
        <f aca="false">IMCOSH("1-i")</f>
        <v>0.833730025131149-0.988897705762865i</v>
      </c>
      <c r="B18099" s="0" t="s">
        <v>17945</v>
      </c>
    </row>
    <row r="18100" customFormat="false" ht="15" hidden="false" customHeight="false" outlineLevel="0" collapsed="false">
      <c r="A18100" s="0" t="str">
        <f aca="false">IMCOSH("-1-i")</f>
        <v>0.833730025131149+0.988897705762865i</v>
      </c>
      <c r="B18100" s="0" t="s">
        <v>17946</v>
      </c>
    </row>
    <row r="18101" customFormat="false" ht="15" hidden="false" customHeight="false" outlineLevel="0" collapsed="false">
      <c r="A18101" s="0" t="str">
        <f aca="false">IMCOSH("2.5+3.5i")</f>
        <v>-5.74262349163406-2.12231025604134i</v>
      </c>
      <c r="B18101" s="0" t="s">
        <v>17947</v>
      </c>
    </row>
    <row r="18102" customFormat="false" ht="15" hidden="false" customHeight="false" outlineLevel="0" collapsed="false">
      <c r="A18102" s="0" t="str">
        <f aca="false">IMCOSH("1E2+1E-2i")</f>
        <v>1.34399136853954e+43+1.34403617004389e+41i</v>
      </c>
      <c r="B18102" s="0" t="s">
        <v>17948</v>
      </c>
    </row>
    <row r="18103" customFormat="false" ht="15" hidden="false" customHeight="false" outlineLevel="0" collapsed="false">
      <c r="A18103" s="0" t="str">
        <f aca="false">IMCOSH("3+4j")</f>
        <v>-6.58066304055116-7.58155274274654j</v>
      </c>
      <c r="B18103" s="0" t="s">
        <v>17949</v>
      </c>
    </row>
    <row r="18104" customFormat="false" ht="15" hidden="false" customHeight="false" outlineLevel="0" collapsed="false">
      <c r="A18104" s="0" t="str">
        <f aca="false">IMCOSH("j")</f>
        <v>0.54030230586814</v>
      </c>
      <c r="B18104" s="0" t="s">
        <v>17950</v>
      </c>
    </row>
    <row r="18105" customFormat="false" ht="15" hidden="false" customHeight="false" outlineLevel="0" collapsed="false">
      <c r="A18105" s="0" t="str">
        <f aca="false">IMCOSH("-j")</f>
        <v>0.54030230586814</v>
      </c>
      <c r="B18105" s="0" t="s">
        <v>17951</v>
      </c>
    </row>
    <row r="18106" customFormat="false" ht="15" hidden="false" customHeight="false" outlineLevel="0" collapsed="false">
      <c r="A18106" s="0" t="str">
        <f aca="false">IMCOSH("2j")</f>
        <v>-0.416146836547142</v>
      </c>
      <c r="B18106" s="0" t="s">
        <v>17952</v>
      </c>
    </row>
    <row r="18107" customFormat="false" ht="15" hidden="false" customHeight="false" outlineLevel="0" collapsed="false">
      <c r="A18107" s="0" t="e">
        <f aca="false">IMCOSH("1+2k")</f>
        <v>#VALUE!</v>
      </c>
      <c r="B18107" s="0" t="s">
        <v>17953</v>
      </c>
    </row>
    <row r="18108" customFormat="false" ht="15" hidden="false" customHeight="false" outlineLevel="0" collapsed="false">
      <c r="A18108" s="0" t="str">
        <f aca="false">IMCOSH("+3+4i")</f>
        <v>-6.58066304055116-7.58155274274654i</v>
      </c>
      <c r="B18108" s="0" t="s">
        <v>17954</v>
      </c>
    </row>
    <row r="18109" customFormat="false" ht="15" hidden="false" customHeight="false" outlineLevel="0" collapsed="false">
      <c r="A18109" s="0" t="e">
        <f aca="false">IMCOSH("3+ 4i")</f>
        <v>#VALUE!</v>
      </c>
      <c r="B18109" s="0" t="s">
        <v>17955</v>
      </c>
    </row>
    <row r="18110" customFormat="false" ht="15" hidden="false" customHeight="false" outlineLevel="0" collapsed="false">
      <c r="A18110" s="0" t="e">
        <f aca="false">IMCOSH(" 3+4i")</f>
        <v>#VALUE!</v>
      </c>
      <c r="B18110" s="0" t="s">
        <v>17956</v>
      </c>
    </row>
    <row r="18111" customFormat="false" ht="15" hidden="false" customHeight="false" outlineLevel="0" collapsed="false">
      <c r="A18111" s="0" t="e">
        <f aca="false">IMCOSH("3+4I")</f>
        <v>#VALUE!</v>
      </c>
      <c r="B18111" s="0" t="s">
        <v>17957</v>
      </c>
    </row>
    <row r="18112" customFormat="false" ht="15" hidden="false" customHeight="false" outlineLevel="0" collapsed="false">
      <c r="A18112" s="0" t="e">
        <f aca="false">IMCOSH("3+4i ")</f>
        <v>#VALUE!</v>
      </c>
      <c r="B18112" s="0" t="s">
        <v>17958</v>
      </c>
    </row>
    <row r="18113" customFormat="false" ht="15" hidden="false" customHeight="false" outlineLevel="0" collapsed="false">
      <c r="A18113" s="0" t="e">
        <f aca="false">IMCOSH("1+i+j")</f>
        <v>#VALUE!</v>
      </c>
      <c r="B18113" s="0" t="s">
        <v>17959</v>
      </c>
    </row>
    <row r="18114" customFormat="false" ht="15" hidden="false" customHeight="false" outlineLevel="0" collapsed="false">
      <c r="A18114" s="0" t="e">
        <f aca="false">IMCOSH("abc")</f>
        <v>#VALUE!</v>
      </c>
      <c r="B18114" s="0" t="s">
        <v>17960</v>
      </c>
    </row>
    <row r="18115" customFormat="false" ht="15" hidden="false" customHeight="false" outlineLevel="0" collapsed="false">
      <c r="A18115" s="0" t="e">
        <f aca="false">IMCOSH("")</f>
        <v>#VALUE!</v>
      </c>
      <c r="B18115" s="0" t="s">
        <v>17961</v>
      </c>
    </row>
    <row r="18116" customFormat="false" ht="15" hidden="false" customHeight="false" outlineLevel="0" collapsed="false">
      <c r="A18116" s="0" t="e">
        <f aca="false">IMCOSH("i3")</f>
        <v>#VALUE!</v>
      </c>
      <c r="B18116" s="0" t="s">
        <v>17962</v>
      </c>
    </row>
    <row r="18117" customFormat="false" ht="15" hidden="false" customHeight="false" outlineLevel="0" collapsed="false">
      <c r="A18117" s="0" t="e">
        <f aca="false">IMCOSH("3i+4")</f>
        <v>#VALUE!</v>
      </c>
      <c r="B18117" s="0" t="s">
        <v>17963</v>
      </c>
    </row>
    <row r="18118" customFormat="false" ht="15" hidden="false" customHeight="false" outlineLevel="0" collapsed="false">
      <c r="A18118" s="0" t="e">
        <f aca="false">IMCOSH("(1+i)")</f>
        <v>#VALUE!</v>
      </c>
      <c r="B18118" s="0" t="s">
        <v>17964</v>
      </c>
    </row>
    <row r="18119" customFormat="false" ht="15" hidden="false" customHeight="false" outlineLevel="0" collapsed="false">
      <c r="A18119" s="0" t="e">
        <f aca="false">IMCOSH("1.5E300+1E300i")</f>
        <v>#VALUE!</v>
      </c>
      <c r="B18119" s="0" t="s">
        <v>17965</v>
      </c>
    </row>
    <row r="18120" customFormat="false" ht="15" hidden="false" customHeight="false" outlineLevel="0" collapsed="false">
      <c r="A18120" s="0" t="str">
        <f aca="false">IMCOSH("0+0i")</f>
        <v>1</v>
      </c>
      <c r="B18120" s="0" t="s">
        <v>17966</v>
      </c>
    </row>
    <row r="18121" customFormat="false" ht="15" hidden="false" customHeight="false" outlineLevel="0" collapsed="false">
      <c r="A18121" s="0" t="str">
        <f aca="false">IMCOSH("-0-0i")</f>
        <v>1</v>
      </c>
      <c r="B18121" s="0" t="s">
        <v>17967</v>
      </c>
    </row>
    <row r="18122" customFormat="false" ht="15" hidden="false" customHeight="false" outlineLevel="0" collapsed="false">
      <c r="A18122" s="0" t="e">
        <f aca="false">IMCOSH("1/2+i")</f>
        <v>#VALUE!</v>
      </c>
      <c r="B18122" s="0" t="s">
        <v>17968</v>
      </c>
    </row>
    <row r="18123" customFormat="false" ht="15" hidden="false" customHeight="false" outlineLevel="0" collapsed="false">
      <c r="A18123" s="0" t="str">
        <f aca="false">IMCOSH("1e1+i")</f>
        <v>5950.47514179473+9267.31591299537i</v>
      </c>
      <c r="B18123" s="0" t="s">
        <v>17969</v>
      </c>
    </row>
    <row r="18124" customFormat="false" ht="15" hidden="false" customHeight="false" outlineLevel="0" collapsed="false">
      <c r="A18124" s="0" t="str">
        <f aca="false">IMCOSH("1+1e1i")</f>
        <v>-1.29475502774269-0.639334258884614i</v>
      </c>
      <c r="B18124" s="0" t="s">
        <v>17970</v>
      </c>
    </row>
    <row r="18125" customFormat="false" ht="15" hidden="false" customHeight="false" outlineLevel="0" collapsed="false">
      <c r="A18125" s="0" t="str">
        <f aca="false">IMCOSH(".5+.5i")</f>
        <v>0.98958488339992+0.249826397500462i</v>
      </c>
      <c r="B18125" s="0" t="s">
        <v>17971</v>
      </c>
    </row>
    <row r="18126" customFormat="false" ht="15" hidden="false" customHeight="false" outlineLevel="0" collapsed="false">
      <c r="A18126" s="0" t="str">
        <f aca="false">IMCOSH("5.")</f>
        <v>74.2099485247878</v>
      </c>
      <c r="B18126" s="0" t="s">
        <v>17972</v>
      </c>
    </row>
    <row r="18127" customFormat="false" ht="15" hidden="false" customHeight="false" outlineLevel="0" collapsed="false">
      <c r="A18127" s="0" t="str">
        <f aca="false">IMCOSH("1,5+2i")</f>
        <v>-0.978947819646558+1.93614832951051i</v>
      </c>
      <c r="B18127" s="0" t="s">
        <v>17973</v>
      </c>
    </row>
    <row r="18128" customFormat="false" ht="15" hidden="false" customHeight="false" outlineLevel="0" collapsed="false">
      <c r="A18128" s="0" t="e">
        <f aca="false">IMCOSH("3++4i")</f>
        <v>#VALUE!</v>
      </c>
      <c r="B18128" s="0" t="s">
        <v>17974</v>
      </c>
    </row>
    <row r="18129" customFormat="false" ht="15" hidden="false" customHeight="false" outlineLevel="0" collapsed="false">
      <c r="A18129" s="0" t="e">
        <f aca="false">IMCOSH("3+-4i")</f>
        <v>#VALUE!</v>
      </c>
      <c r="B18129" s="0" t="s">
        <v>17975</v>
      </c>
    </row>
    <row r="18130" customFormat="false" ht="15" hidden="false" customHeight="false" outlineLevel="0" collapsed="false">
      <c r="A18130" s="0" t="e">
        <f aca="false">IMCOSH("--3")</f>
        <v>#VALUE!</v>
      </c>
      <c r="B18130" s="0" t="s">
        <v>17976</v>
      </c>
    </row>
    <row r="18131" customFormat="false" ht="15" hidden="false" customHeight="false" outlineLevel="0" collapsed="false">
      <c r="A18131" s="0" t="e">
        <f aca="false">IMCOSH("3i4")</f>
        <v>#VALUE!</v>
      </c>
      <c r="B18131" s="0" t="s">
        <v>17977</v>
      </c>
    </row>
    <row r="18132" customFormat="false" ht="15" hidden="false" customHeight="false" outlineLevel="0" collapsed="false">
      <c r="A18132" s="0" t="str">
        <f aca="false">IMCOSH("0.1+0.2i")</f>
        <v>0.984970995702635+0.0199000611943586i</v>
      </c>
      <c r="B18132" s="0" t="s">
        <v>17978</v>
      </c>
    </row>
    <row r="18133" customFormat="false" ht="15" hidden="false" customHeight="false" outlineLevel="0" collapsed="false">
      <c r="A18133" s="0" t="str">
        <f aca="false">IMCOSH("-2.5")</f>
        <v>6.13228947966369</v>
      </c>
      <c r="B18133" s="0" t="s">
        <v>17979</v>
      </c>
    </row>
    <row r="18134" customFormat="false" ht="15" hidden="false" customHeight="false" outlineLevel="0" collapsed="false">
      <c r="A18134" s="0" t="str">
        <f aca="false">IMCOSH("1E+2i")</f>
        <v>0.862318872287684</v>
      </c>
      <c r="B18134" s="0" t="s">
        <v>17980</v>
      </c>
    </row>
    <row r="18135" customFormat="false" ht="15" hidden="false" customHeight="false" outlineLevel="0" collapsed="false">
      <c r="A18135" s="0" t="str">
        <f aca="false">IMCOSH("1E-2i")</f>
        <v>0.999950000416665</v>
      </c>
      <c r="B18135" s="0" t="s">
        <v>17981</v>
      </c>
    </row>
    <row r="18136" customFormat="false" ht="15" hidden="false" customHeight="false" outlineLevel="0" collapsed="false">
      <c r="A18136" s="0" t="e">
        <f aca="false">IMCOSH("12345678901234567890+1i")</f>
        <v>#VALUE!</v>
      </c>
      <c r="B18136" s="0" t="s">
        <v>17982</v>
      </c>
    </row>
    <row r="18137" customFormat="false" ht="15" hidden="false" customHeight="false" outlineLevel="0" collapsed="false">
      <c r="A18137" s="0" t="e">
        <f aca="false">IMCOSH("1+i2")</f>
        <v>#VALUE!</v>
      </c>
      <c r="B18137" s="0" t="s">
        <v>17983</v>
      </c>
    </row>
    <row r="18138" customFormat="false" ht="15" hidden="false" customHeight="false" outlineLevel="0" collapsed="false">
      <c r="A18138" s="0" t="e">
        <f aca="false">IMCOSH("ii")</f>
        <v>#VALUE!</v>
      </c>
      <c r="B18138" s="0" t="s">
        <v>17984</v>
      </c>
    </row>
    <row r="18139" customFormat="false" ht="15" hidden="false" customHeight="false" outlineLevel="0" collapsed="false">
      <c r="A18139" s="0" t="e">
        <f aca="false">IMCOSH("3 + 4i")</f>
        <v>#VALUE!</v>
      </c>
      <c r="B18139" s="0" t="s">
        <v>17985</v>
      </c>
    </row>
    <row r="18140" customFormat="false" ht="15" hidden="false" customHeight="false" outlineLevel="0" collapsed="false">
      <c r="A18140" s="0" t="e">
        <f aca="false">IMCOSH("4i+3")</f>
        <v>#VALUE!</v>
      </c>
      <c r="B18140" s="0" t="s">
        <v>17986</v>
      </c>
    </row>
    <row r="18141" customFormat="false" ht="15" hidden="false" customHeight="false" outlineLevel="0" collapsed="false">
      <c r="A18141" s="0" t="str">
        <f aca="false">IMCOSH("1+0i")</f>
        <v>1.54308063481524</v>
      </c>
      <c r="B18141" s="0" t="s">
        <v>17987</v>
      </c>
    </row>
    <row r="18142" customFormat="false" ht="15" hidden="false" customHeight="false" outlineLevel="0" collapsed="false">
      <c r="A18142" s="0" t="str">
        <f aca="false">IMCOSH("0+1i")</f>
        <v>0.54030230586814</v>
      </c>
      <c r="B18142" s="0" t="s">
        <v>17988</v>
      </c>
    </row>
    <row r="18143" customFormat="false" ht="15" hidden="false" customHeight="false" outlineLevel="0" collapsed="false">
      <c r="A18143" s="0" t="str">
        <f aca="false">IMCOSH("0-1i")</f>
        <v>0.54030230586814</v>
      </c>
      <c r="B18143" s="0" t="s">
        <v>17989</v>
      </c>
    </row>
    <row r="18144" customFormat="false" ht="15" hidden="false" customHeight="false" outlineLevel="0" collapsed="false">
      <c r="A18144" s="0" t="str">
        <f aca="false">IMCOSH("-1+0i")</f>
        <v>1.54308063481524</v>
      </c>
      <c r="B18144" s="0" t="s">
        <v>17990</v>
      </c>
    </row>
    <row r="18145" customFormat="false" ht="15" hidden="false" customHeight="false" outlineLevel="0" collapsed="false">
      <c r="A18145" s="0" t="str">
        <f aca="false">IMCOSH("1e-10+1e-10i")</f>
        <v>1+1e-20i</v>
      </c>
      <c r="B18145" s="0" t="s">
        <v>17991</v>
      </c>
    </row>
    <row r="18146" customFormat="false" ht="15" hidden="false" customHeight="false" outlineLevel="0" collapsed="false">
      <c r="A18146" s="0" t="str">
        <f aca="false">IMCOSH("2+0.0000001i")</f>
        <v>3.76219569108361+3.62686040784701e-07i</v>
      </c>
      <c r="B18146" s="0" t="s">
        <v>17992</v>
      </c>
    </row>
    <row r="18147" customFormat="false" ht="15" hidden="false" customHeight="false" outlineLevel="0" collapsed="false">
      <c r="A18147" s="0" t="e">
        <f aca="false">IMCOSH("TRUE")</f>
        <v>#VALUE!</v>
      </c>
      <c r="B18147" s="0" t="s">
        <v>17993</v>
      </c>
    </row>
    <row r="18148" customFormat="false" ht="15" hidden="false" customHeight="false" outlineLevel="0" collapsed="false">
      <c r="A18148" s="0" t="e">
        <f aca="false">IMCOSH("1+Ii")</f>
        <v>#VALUE!</v>
      </c>
      <c r="B18148" s="0" t="s">
        <v>17994</v>
      </c>
    </row>
    <row r="18149" customFormat="false" ht="15" hidden="false" customHeight="false" outlineLevel="0" collapsed="false">
      <c r="A18149" s="0" t="str">
        <f aca="false">IMCOSH(5)</f>
        <v>74.2099485247878</v>
      </c>
      <c r="B18149" s="0" t="s">
        <v>17995</v>
      </c>
    </row>
    <row r="18150" customFormat="false" ht="15" hidden="false" customHeight="false" outlineLevel="0" collapsed="false">
      <c r="A18150" s="0" t="str">
        <f aca="false">IMCOSH(TRUE())</f>
        <v>1.54308063481524</v>
      </c>
      <c r="B18150" s="0" t="s">
        <v>17996</v>
      </c>
    </row>
    <row r="18151" customFormat="false" ht="15" hidden="false" customHeight="false" outlineLevel="0" collapsed="false">
      <c r="A18151" s="0" t="e">
        <f aca="false">IMCOSH(Data!D1)</f>
        <v>#VALUE!</v>
      </c>
      <c r="B18151" s="0" t="s">
        <v>17997</v>
      </c>
    </row>
    <row r="18152" customFormat="false" ht="15" hidden="false" customHeight="false" outlineLevel="0" collapsed="false">
      <c r="A18152" s="0" t="str">
        <f aca="false">IMCOSH(Data!A1)</f>
        <v>74.2099485247878</v>
      </c>
      <c r="B18152" s="0" t="s">
        <v>17998</v>
      </c>
    </row>
    <row r="18153" customFormat="false" ht="15" hidden="false" customHeight="false" outlineLevel="0" collapsed="false">
      <c r="A18153" s="0" t="e">
        <f aca="false">IMCOSH(Data!B1)</f>
        <v>#VALUE!</v>
      </c>
      <c r="B18153" s="0" t="s">
        <v>17999</v>
      </c>
    </row>
    <row r="18154" customFormat="false" ht="15" hidden="false" customHeight="false" outlineLevel="0" collapsed="false">
      <c r="A18154" s="0" t="e">
        <f aca="false">IMCOSH(NA())</f>
        <v>#N/A</v>
      </c>
      <c r="B18154" s="0" t="s">
        <v>18000</v>
      </c>
    </row>
    <row r="18155" customFormat="false" ht="15" hidden="false" customHeight="false" outlineLevel="0" collapsed="false">
      <c r="A18155" s="0" t="e">
        <f aca="false">IMCOSH("3+4i",1)</f>
        <v>#VALUE!</v>
      </c>
      <c r="B18155" s="0" t="s">
        <v>18001</v>
      </c>
    </row>
    <row r="18156" customFormat="false" ht="15" hidden="false" customHeight="false" outlineLevel="0" collapsed="false">
      <c r="A18156" s="0" t="e">
        <f aca="false">IMCOSH()</f>
        <v>#VALUE!</v>
      </c>
      <c r="B18156" s="0" t="s">
        <v>18002</v>
      </c>
    </row>
    <row r="18157" customFormat="false" ht="15" hidden="false" customHeight="false" outlineLevel="0" collapsed="false">
      <c r="A18157" s="0" t="e">
        <f aca="false">IMCOSH(Data!A1:A3)</f>
        <v>#VALUE!</v>
      </c>
      <c r="B18157" s="0" t="s">
        <v>18003</v>
      </c>
    </row>
    <row r="18158" customFormat="false" ht="15" hidden="false" customHeight="false" outlineLevel="0" collapsed="false">
      <c r="A18158" s="0" t="str">
        <f aca="false">IMCOSH(-2.5)</f>
        <v>6.13228947966369</v>
      </c>
      <c r="B18158" s="0" t="s">
        <v>18004</v>
      </c>
    </row>
    <row r="18159" customFormat="false" ht="15" hidden="false" customHeight="false" outlineLevel="0" collapsed="false">
      <c r="A18159" s="0" t="e">
        <f aca="false">IMCOSH(1E+300)</f>
        <v>#VALUE!</v>
      </c>
      <c r="B18159" s="0" t="s">
        <v>18005</v>
      </c>
    </row>
    <row r="18160" customFormat="false" ht="15" hidden="false" customHeight="false" outlineLevel="0" collapsed="false">
      <c r="A18160" s="0" t="str">
        <f aca="false">IMCOSH(1E-300)</f>
        <v>1</v>
      </c>
      <c r="B18160" s="0" t="s">
        <v>18006</v>
      </c>
    </row>
    <row r="18161" customFormat="false" ht="15" hidden="false" customHeight="false" outlineLevel="0" collapsed="false">
      <c r="A18161" s="0" t="str">
        <f aca="false">IMSECH("3+4i")</f>
        <v>-0.065294027857947+0.0752249603027732i</v>
      </c>
      <c r="B18161" s="0" t="s">
        <v>18007</v>
      </c>
    </row>
    <row r="18162" customFormat="false" ht="15" hidden="false" customHeight="false" outlineLevel="0" collapsed="false">
      <c r="A18162" s="0" t="str">
        <f aca="false">IMSECH("3-4i")</f>
        <v>-0.065294027857947-0.0752249603027732i</v>
      </c>
      <c r="B18162" s="0" t="s">
        <v>18008</v>
      </c>
    </row>
    <row r="18163" customFormat="false" ht="15" hidden="false" customHeight="false" outlineLevel="0" collapsed="false">
      <c r="A18163" s="0" t="str">
        <f aca="false">IMSECH("4i")</f>
        <v>-1.5298856564664</v>
      </c>
      <c r="B18163" s="0" t="s">
        <v>18009</v>
      </c>
    </row>
    <row r="18164" customFormat="false" ht="15" hidden="false" customHeight="false" outlineLevel="0" collapsed="false">
      <c r="A18164" s="0" t="str">
        <f aca="false">IMSECH("-4i")</f>
        <v>-1.5298856564664</v>
      </c>
      <c r="B18164" s="0" t="s">
        <v>18010</v>
      </c>
    </row>
    <row r="18165" customFormat="false" ht="15" hidden="false" customHeight="false" outlineLevel="0" collapsed="false">
      <c r="A18165" s="0" t="str">
        <f aca="false">IMSECH("i")</f>
        <v>1.85081571768093</v>
      </c>
      <c r="B18165" s="0" t="s">
        <v>18011</v>
      </c>
    </row>
    <row r="18166" customFormat="false" ht="15" hidden="false" customHeight="false" outlineLevel="0" collapsed="false">
      <c r="A18166" s="0" t="str">
        <f aca="false">IMSECH("-i")</f>
        <v>1.85081571768093</v>
      </c>
      <c r="B18166" s="0" t="s">
        <v>18012</v>
      </c>
    </row>
    <row r="18167" customFormat="false" ht="15" hidden="false" customHeight="false" outlineLevel="0" collapsed="false">
      <c r="A18167" s="0" t="str">
        <f aca="false">IMSECH("3")</f>
        <v>0.0993279274194332</v>
      </c>
      <c r="B18167" s="0" t="s">
        <v>18013</v>
      </c>
    </row>
    <row r="18168" customFormat="false" ht="15" hidden="false" customHeight="false" outlineLevel="0" collapsed="false">
      <c r="A18168" s="0" t="str">
        <f aca="false">IMSECH("0")</f>
        <v>1</v>
      </c>
      <c r="B18168" s="0" t="s">
        <v>18014</v>
      </c>
    </row>
    <row r="18169" customFormat="false" ht="15" hidden="false" customHeight="false" outlineLevel="0" collapsed="false">
      <c r="A18169" s="0" t="str">
        <f aca="false">IMSECH("1+i")</f>
        <v>0.498337030555187-0.591083841721045i</v>
      </c>
      <c r="B18169" s="0" t="s">
        <v>18015</v>
      </c>
    </row>
    <row r="18170" customFormat="false" ht="15" hidden="false" customHeight="false" outlineLevel="0" collapsed="false">
      <c r="A18170" s="0" t="str">
        <f aca="false">IMSECH("1-i")</f>
        <v>0.498337030555187+0.591083841721045i</v>
      </c>
      <c r="B18170" s="0" t="s">
        <v>18016</v>
      </c>
    </row>
    <row r="18171" customFormat="false" ht="15" hidden="false" customHeight="false" outlineLevel="0" collapsed="false">
      <c r="A18171" s="0" t="str">
        <f aca="false">IMSECH("-1-i")</f>
        <v>0.498337030555187-0.591083841721045i</v>
      </c>
      <c r="B18171" s="0" t="s">
        <v>18017</v>
      </c>
    </row>
    <row r="18172" customFormat="false" ht="15" hidden="false" customHeight="false" outlineLevel="0" collapsed="false">
      <c r="A18172" s="0" t="str">
        <f aca="false">IMSECH("2.5+3.5i")</f>
        <v>-0.153210472299609+0.0566222314884645i</v>
      </c>
      <c r="B18172" s="0" t="s">
        <v>18018</v>
      </c>
    </row>
    <row r="18173" customFormat="false" ht="15" hidden="false" customHeight="false" outlineLevel="0" collapsed="false">
      <c r="A18173" s="0" t="str">
        <f aca="false">IMSECH("1E2+1E-2i")</f>
        <v>7.43977994754412e-44-7.44002795012915e-46i</v>
      </c>
      <c r="B18173" s="0" t="s">
        <v>18019</v>
      </c>
    </row>
    <row r="18174" customFormat="false" ht="15" hidden="false" customHeight="false" outlineLevel="0" collapsed="false">
      <c r="A18174" s="0" t="str">
        <f aca="false">IMSECH("3+4j")</f>
        <v>-0.065294027857947+0.0752249603027732j</v>
      </c>
      <c r="B18174" s="0" t="s">
        <v>18020</v>
      </c>
    </row>
    <row r="18175" customFormat="false" ht="15" hidden="false" customHeight="false" outlineLevel="0" collapsed="false">
      <c r="A18175" s="0" t="str">
        <f aca="false">IMSECH("j")</f>
        <v>1.85081571768093</v>
      </c>
      <c r="B18175" s="0" t="s">
        <v>18021</v>
      </c>
    </row>
    <row r="18176" customFormat="false" ht="15" hidden="false" customHeight="false" outlineLevel="0" collapsed="false">
      <c r="A18176" s="0" t="str">
        <f aca="false">IMSECH("-j")</f>
        <v>1.85081571768093</v>
      </c>
      <c r="B18176" s="0" t="s">
        <v>18022</v>
      </c>
    </row>
    <row r="18177" customFormat="false" ht="15" hidden="false" customHeight="false" outlineLevel="0" collapsed="false">
      <c r="A18177" s="0" t="str">
        <f aca="false">IMSECH("2j")</f>
        <v>-2.40299796172238</v>
      </c>
      <c r="B18177" s="0" t="s">
        <v>18023</v>
      </c>
    </row>
    <row r="18178" customFormat="false" ht="15" hidden="false" customHeight="false" outlineLevel="0" collapsed="false">
      <c r="A18178" s="0" t="e">
        <f aca="false">IMSECH("1+2k")</f>
        <v>#VALUE!</v>
      </c>
      <c r="B18178" s="0" t="s">
        <v>18024</v>
      </c>
    </row>
    <row r="18179" customFormat="false" ht="15" hidden="false" customHeight="false" outlineLevel="0" collapsed="false">
      <c r="A18179" s="0" t="str">
        <f aca="false">IMSECH("+3+4i")</f>
        <v>-0.065294027857947+0.0752249603027732i</v>
      </c>
      <c r="B18179" s="0" t="s">
        <v>18025</v>
      </c>
    </row>
    <row r="18180" customFormat="false" ht="15" hidden="false" customHeight="false" outlineLevel="0" collapsed="false">
      <c r="A18180" s="0" t="e">
        <f aca="false">IMSECH("3+ 4i")</f>
        <v>#VALUE!</v>
      </c>
      <c r="B18180" s="0" t="s">
        <v>18026</v>
      </c>
    </row>
    <row r="18181" customFormat="false" ht="15" hidden="false" customHeight="false" outlineLevel="0" collapsed="false">
      <c r="A18181" s="0" t="e">
        <f aca="false">IMSECH(" 3+4i")</f>
        <v>#VALUE!</v>
      </c>
      <c r="B18181" s="0" t="s">
        <v>18027</v>
      </c>
    </row>
    <row r="18182" customFormat="false" ht="15" hidden="false" customHeight="false" outlineLevel="0" collapsed="false">
      <c r="A18182" s="0" t="e">
        <f aca="false">IMSECH("3+4I")</f>
        <v>#VALUE!</v>
      </c>
      <c r="B18182" s="0" t="s">
        <v>18028</v>
      </c>
    </row>
    <row r="18183" customFormat="false" ht="15" hidden="false" customHeight="false" outlineLevel="0" collapsed="false">
      <c r="A18183" s="0" t="e">
        <f aca="false">IMSECH("3+4i ")</f>
        <v>#VALUE!</v>
      </c>
      <c r="B18183" s="0" t="s">
        <v>18029</v>
      </c>
    </row>
    <row r="18184" customFormat="false" ht="15" hidden="false" customHeight="false" outlineLevel="0" collapsed="false">
      <c r="A18184" s="0" t="e">
        <f aca="false">IMSECH("1+i+j")</f>
        <v>#VALUE!</v>
      </c>
      <c r="B18184" s="0" t="s">
        <v>18030</v>
      </c>
    </row>
    <row r="18185" customFormat="false" ht="15" hidden="false" customHeight="false" outlineLevel="0" collapsed="false">
      <c r="A18185" s="0" t="e">
        <f aca="false">IMSECH("abc")</f>
        <v>#VALUE!</v>
      </c>
      <c r="B18185" s="0" t="s">
        <v>18031</v>
      </c>
    </row>
    <row r="18186" customFormat="false" ht="15" hidden="false" customHeight="false" outlineLevel="0" collapsed="false">
      <c r="A18186" s="0" t="e">
        <f aca="false">IMSECH("")</f>
        <v>#VALUE!</v>
      </c>
      <c r="B18186" s="0" t="s">
        <v>18032</v>
      </c>
    </row>
    <row r="18187" customFormat="false" ht="15" hidden="false" customHeight="false" outlineLevel="0" collapsed="false">
      <c r="A18187" s="0" t="e">
        <f aca="false">IMSECH("i3")</f>
        <v>#VALUE!</v>
      </c>
      <c r="B18187" s="0" t="s">
        <v>18033</v>
      </c>
    </row>
    <row r="18188" customFormat="false" ht="15" hidden="false" customHeight="false" outlineLevel="0" collapsed="false">
      <c r="A18188" s="0" t="e">
        <f aca="false">IMSECH("3i+4")</f>
        <v>#VALUE!</v>
      </c>
      <c r="B18188" s="0" t="s">
        <v>18034</v>
      </c>
    </row>
    <row r="18189" customFormat="false" ht="15" hidden="false" customHeight="false" outlineLevel="0" collapsed="false">
      <c r="A18189" s="0" t="e">
        <f aca="false">IMSECH("(1+i)")</f>
        <v>#VALUE!</v>
      </c>
      <c r="B18189" s="0" t="s">
        <v>18035</v>
      </c>
    </row>
    <row r="18190" customFormat="false" ht="15" hidden="false" customHeight="false" outlineLevel="0" collapsed="false">
      <c r="A18190" s="0" t="e">
        <f aca="false">IMSECH("1.5E300+1E300i")</f>
        <v>#VALUE!</v>
      </c>
      <c r="B18190" s="0" t="s">
        <v>18036</v>
      </c>
    </row>
    <row r="18191" customFormat="false" ht="15" hidden="false" customHeight="false" outlineLevel="0" collapsed="false">
      <c r="A18191" s="0" t="str">
        <f aca="false">IMSECH("0+0i")</f>
        <v>1</v>
      </c>
      <c r="B18191" s="0" t="s">
        <v>18037</v>
      </c>
    </row>
    <row r="18192" customFormat="false" ht="15" hidden="false" customHeight="false" outlineLevel="0" collapsed="false">
      <c r="A18192" s="0" t="str">
        <f aca="false">IMSECH("-0-0i")</f>
        <v>1</v>
      </c>
      <c r="B18192" s="0" t="s">
        <v>18038</v>
      </c>
    </row>
    <row r="18193" customFormat="false" ht="15" hidden="false" customHeight="false" outlineLevel="0" collapsed="false">
      <c r="A18193" s="0" t="e">
        <f aca="false">IMSECH("1/2+i")</f>
        <v>#VALUE!</v>
      </c>
      <c r="B18193" s="0" t="s">
        <v>18039</v>
      </c>
    </row>
    <row r="18194" customFormat="false" ht="15" hidden="false" customHeight="false" outlineLevel="0" collapsed="false">
      <c r="A18194" s="0" t="str">
        <f aca="false">IMSECH("1e1+i")</f>
        <v>4.90593736591238e-05-7.6405447188484e-05i</v>
      </c>
      <c r="B18194" s="0" t="s">
        <v>18040</v>
      </c>
    </row>
    <row r="18195" customFormat="false" ht="15" hidden="false" customHeight="false" outlineLevel="0" collapsed="false">
      <c r="A18195" s="0" t="str">
        <f aca="false">IMSECH("1+1e1i")</f>
        <v>-0.620944265327768+0.306614713343963i</v>
      </c>
      <c r="B18195" s="0" t="s">
        <v>18041</v>
      </c>
    </row>
    <row r="18196" customFormat="false" ht="15" hidden="false" customHeight="false" outlineLevel="0" collapsed="false">
      <c r="A18196" s="0" t="str">
        <f aca="false">IMSECH(".5+.5i")</f>
        <v>0.949978867615495-0.239827630938088i</v>
      </c>
      <c r="B18196" s="0" t="s">
        <v>18042</v>
      </c>
    </row>
    <row r="18197" customFormat="false" ht="15" hidden="false" customHeight="false" outlineLevel="0" collapsed="false">
      <c r="A18197" s="0" t="str">
        <f aca="false">IMSECH("5.")</f>
        <v>0.0134752822213046</v>
      </c>
      <c r="B18197" s="0" t="s">
        <v>18043</v>
      </c>
    </row>
    <row r="18198" customFormat="false" ht="15" hidden="false" customHeight="false" outlineLevel="0" collapsed="false">
      <c r="A18198" s="0" t="str">
        <f aca="false">IMSECH("1,5+2i")</f>
        <v>-0.207976611189796-0.411333025367749i</v>
      </c>
      <c r="B18198" s="0" t="s">
        <v>18044</v>
      </c>
    </row>
    <row r="18199" customFormat="false" ht="15" hidden="false" customHeight="false" outlineLevel="0" collapsed="false">
      <c r="A18199" s="0" t="e">
        <f aca="false">IMSECH("3++4i")</f>
        <v>#VALUE!</v>
      </c>
      <c r="B18199" s="0" t="s">
        <v>18045</v>
      </c>
    </row>
    <row r="18200" customFormat="false" ht="15" hidden="false" customHeight="false" outlineLevel="0" collapsed="false">
      <c r="A18200" s="0" t="e">
        <f aca="false">IMSECH("3+-4i")</f>
        <v>#VALUE!</v>
      </c>
      <c r="B18200" s="0" t="s">
        <v>18046</v>
      </c>
    </row>
    <row r="18201" customFormat="false" ht="15" hidden="false" customHeight="false" outlineLevel="0" collapsed="false">
      <c r="A18201" s="0" t="e">
        <f aca="false">IMSECH("--3")</f>
        <v>#VALUE!</v>
      </c>
      <c r="B18201" s="0" t="s">
        <v>18047</v>
      </c>
    </row>
    <row r="18202" customFormat="false" ht="15" hidden="false" customHeight="false" outlineLevel="0" collapsed="false">
      <c r="A18202" s="0" t="e">
        <f aca="false">IMSECH("3i4")</f>
        <v>#VALUE!</v>
      </c>
      <c r="B18202" s="0" t="s">
        <v>18048</v>
      </c>
    </row>
    <row r="18203" customFormat="false" ht="15" hidden="false" customHeight="false" outlineLevel="0" collapsed="false">
      <c r="A18203" s="0" t="str">
        <f aca="false">IMSECH("0.1+0.2i")</f>
        <v>1.01484407287924-0.0205036079652503i</v>
      </c>
      <c r="B18203" s="0" t="s">
        <v>18049</v>
      </c>
    </row>
    <row r="18204" customFormat="false" ht="15" hidden="false" customHeight="false" outlineLevel="0" collapsed="false">
      <c r="A18204" s="0" t="str">
        <f aca="false">IMSECH("-2.5")</f>
        <v>0.163071231929978</v>
      </c>
      <c r="B18204" s="0" t="s">
        <v>18050</v>
      </c>
    </row>
    <row r="18205" customFormat="false" ht="15" hidden="false" customHeight="false" outlineLevel="0" collapsed="false">
      <c r="A18205" s="0" t="str">
        <f aca="false">IMSECH("1E+2i")</f>
        <v>1.15966382290469</v>
      </c>
      <c r="B18205" s="0" t="s">
        <v>18051</v>
      </c>
    </row>
    <row r="18206" customFormat="false" ht="15" hidden="false" customHeight="false" outlineLevel="0" collapsed="false">
      <c r="A18206" s="0" t="str">
        <f aca="false">IMSECH("1E-2i")</f>
        <v>1.00005000208342</v>
      </c>
      <c r="B18206" s="0" t="s">
        <v>18052</v>
      </c>
    </row>
    <row r="18207" customFormat="false" ht="15" hidden="false" customHeight="false" outlineLevel="0" collapsed="false">
      <c r="A18207" s="0" t="str">
        <f aca="false">IMSECH("12345678901234567890+1i")</f>
        <v>0</v>
      </c>
      <c r="B18207" s="0" t="s">
        <v>18053</v>
      </c>
    </row>
    <row r="18208" customFormat="false" ht="15" hidden="false" customHeight="false" outlineLevel="0" collapsed="false">
      <c r="A18208" s="0" t="e">
        <f aca="false">IMSECH("1+i2")</f>
        <v>#VALUE!</v>
      </c>
      <c r="B18208" s="0" t="s">
        <v>18054</v>
      </c>
    </row>
    <row r="18209" customFormat="false" ht="15" hidden="false" customHeight="false" outlineLevel="0" collapsed="false">
      <c r="A18209" s="0" t="e">
        <f aca="false">IMSECH("ii")</f>
        <v>#VALUE!</v>
      </c>
      <c r="B18209" s="0" t="s">
        <v>18055</v>
      </c>
    </row>
    <row r="18210" customFormat="false" ht="15" hidden="false" customHeight="false" outlineLevel="0" collapsed="false">
      <c r="A18210" s="0" t="e">
        <f aca="false">IMSECH("3 + 4i")</f>
        <v>#VALUE!</v>
      </c>
      <c r="B18210" s="0" t="s">
        <v>18056</v>
      </c>
    </row>
    <row r="18211" customFormat="false" ht="15" hidden="false" customHeight="false" outlineLevel="0" collapsed="false">
      <c r="A18211" s="0" t="e">
        <f aca="false">IMSECH("4i+3")</f>
        <v>#VALUE!</v>
      </c>
      <c r="B18211" s="0" t="s">
        <v>18057</v>
      </c>
    </row>
    <row r="18212" customFormat="false" ht="15" hidden="false" customHeight="false" outlineLevel="0" collapsed="false">
      <c r="A18212" s="0" t="str">
        <f aca="false">IMSECH("1+0i")</f>
        <v>0.648054273663885</v>
      </c>
      <c r="B18212" s="0" t="s">
        <v>18058</v>
      </c>
    </row>
    <row r="18213" customFormat="false" ht="15" hidden="false" customHeight="false" outlineLevel="0" collapsed="false">
      <c r="A18213" s="0" t="str">
        <f aca="false">IMSECH("0+1i")</f>
        <v>1.85081571768093</v>
      </c>
      <c r="B18213" s="0" t="s">
        <v>18059</v>
      </c>
    </row>
    <row r="18214" customFormat="false" ht="15" hidden="false" customHeight="false" outlineLevel="0" collapsed="false">
      <c r="A18214" s="0" t="str">
        <f aca="false">IMSECH("0-1i")</f>
        <v>1.85081571768093</v>
      </c>
      <c r="B18214" s="0" t="s">
        <v>18060</v>
      </c>
    </row>
    <row r="18215" customFormat="false" ht="15" hidden="false" customHeight="false" outlineLevel="0" collapsed="false">
      <c r="A18215" s="0" t="str">
        <f aca="false">IMSECH("-1+0i")</f>
        <v>0.648054273663885</v>
      </c>
      <c r="B18215" s="0" t="s">
        <v>18061</v>
      </c>
    </row>
    <row r="18216" customFormat="false" ht="15" hidden="false" customHeight="false" outlineLevel="0" collapsed="false">
      <c r="A18216" s="0" t="str">
        <f aca="false">IMSECH("1e-10+1e-10i")</f>
        <v>1-1e-20i</v>
      </c>
      <c r="B18216" s="0" t="s">
        <v>18062</v>
      </c>
    </row>
    <row r="18217" customFormat="false" ht="15" hidden="false" customHeight="false" outlineLevel="0" collapsed="false">
      <c r="A18217" s="0" t="str">
        <f aca="false">IMSECH("2+0.0000001i")</f>
        <v>0.265802228834079-2.56240679441676e-08i</v>
      </c>
      <c r="B18217" s="0" t="s">
        <v>18063</v>
      </c>
    </row>
    <row r="18218" customFormat="false" ht="15" hidden="false" customHeight="false" outlineLevel="0" collapsed="false">
      <c r="A18218" s="0" t="e">
        <f aca="false">IMSECH("TRUE")</f>
        <v>#VALUE!</v>
      </c>
      <c r="B18218" s="0" t="s">
        <v>18064</v>
      </c>
    </row>
    <row r="18219" customFormat="false" ht="15" hidden="false" customHeight="false" outlineLevel="0" collapsed="false">
      <c r="A18219" s="0" t="e">
        <f aca="false">IMSECH("1+Ii")</f>
        <v>#VALUE!</v>
      </c>
      <c r="B18219" s="0" t="s">
        <v>18065</v>
      </c>
    </row>
    <row r="18220" customFormat="false" ht="15" hidden="false" customHeight="false" outlineLevel="0" collapsed="false">
      <c r="A18220" s="0" t="str">
        <f aca="false">IMSECH(5)</f>
        <v>0.0134752822213046</v>
      </c>
      <c r="B18220" s="0" t="s">
        <v>18066</v>
      </c>
    </row>
    <row r="18221" customFormat="false" ht="15" hidden="false" customHeight="false" outlineLevel="0" collapsed="false">
      <c r="A18221" s="0" t="str">
        <f aca="false">IMSECH(TRUE())</f>
        <v>0.648054273663885</v>
      </c>
      <c r="B18221" s="0" t="s">
        <v>18067</v>
      </c>
    </row>
    <row r="18222" customFormat="false" ht="15" hidden="false" customHeight="false" outlineLevel="0" collapsed="false">
      <c r="A18222" s="0" t="e">
        <f aca="false">IMSECH(Data!D1)</f>
        <v>#VALUE!</v>
      </c>
      <c r="B18222" s="0" t="s">
        <v>18068</v>
      </c>
    </row>
    <row r="18223" customFormat="false" ht="15" hidden="false" customHeight="false" outlineLevel="0" collapsed="false">
      <c r="A18223" s="0" t="str">
        <f aca="false">IMSECH(Data!A1)</f>
        <v>0.0134752822213046</v>
      </c>
      <c r="B18223" s="0" t="s">
        <v>18069</v>
      </c>
    </row>
    <row r="18224" customFormat="false" ht="15" hidden="false" customHeight="false" outlineLevel="0" collapsed="false">
      <c r="A18224" s="0" t="e">
        <f aca="false">IMSECH(Data!B1)</f>
        <v>#VALUE!</v>
      </c>
      <c r="B18224" s="0" t="s">
        <v>18070</v>
      </c>
    </row>
    <row r="18225" customFormat="false" ht="15" hidden="false" customHeight="false" outlineLevel="0" collapsed="false">
      <c r="A18225" s="0" t="e">
        <f aca="false">IMSECH(NA())</f>
        <v>#N/A</v>
      </c>
      <c r="B18225" s="0" t="s">
        <v>18071</v>
      </c>
    </row>
    <row r="18226" customFormat="false" ht="15" hidden="false" customHeight="false" outlineLevel="0" collapsed="false">
      <c r="A18226" s="0" t="e">
        <f aca="false">IMSECH("3+4i",1)</f>
        <v>#VALUE!</v>
      </c>
      <c r="B18226" s="0" t="s">
        <v>18072</v>
      </c>
    </row>
    <row r="18227" customFormat="false" ht="15" hidden="false" customHeight="false" outlineLevel="0" collapsed="false">
      <c r="A18227" s="0" t="e">
        <f aca="false">IMSECH()</f>
        <v>#VALUE!</v>
      </c>
      <c r="B18227" s="0" t="s">
        <v>18073</v>
      </c>
    </row>
    <row r="18228" customFormat="false" ht="15" hidden="false" customHeight="false" outlineLevel="0" collapsed="false">
      <c r="A18228" s="0" t="e">
        <f aca="false">IMSECH(Data!A1:A3)</f>
        <v>#VALUE!</v>
      </c>
      <c r="B18228" s="0" t="s">
        <v>18074</v>
      </c>
    </row>
    <row r="18229" customFormat="false" ht="15" hidden="false" customHeight="false" outlineLevel="0" collapsed="false">
      <c r="A18229" s="0" t="str">
        <f aca="false">IMSECH(-2.5)</f>
        <v>0.163071231929978</v>
      </c>
      <c r="B18229" s="0" t="s">
        <v>18075</v>
      </c>
    </row>
    <row r="18230" customFormat="false" ht="15" hidden="false" customHeight="false" outlineLevel="0" collapsed="false">
      <c r="A18230" s="0" t="str">
        <f aca="false">IMSECH(1E+300)</f>
        <v>0</v>
      </c>
      <c r="B18230" s="0" t="s">
        <v>18076</v>
      </c>
    </row>
    <row r="18231" customFormat="false" ht="15" hidden="false" customHeight="false" outlineLevel="0" collapsed="false">
      <c r="A18231" s="0" t="str">
        <f aca="false">IMSECH(1E-300)</f>
        <v>1</v>
      </c>
      <c r="B18231" s="0" t="s">
        <v>18077</v>
      </c>
    </row>
    <row r="18232" customFormat="false" ht="15" hidden="false" customHeight="false" outlineLevel="0" collapsed="false">
      <c r="A18232" s="0" t="str">
        <f aca="false">IMCSCH("3+4i")</f>
        <v>-0.0648774713706355+0.0754898329158637i</v>
      </c>
      <c r="B18232" s="0" t="s">
        <v>18078</v>
      </c>
    </row>
    <row r="18233" customFormat="false" ht="15" hidden="false" customHeight="false" outlineLevel="0" collapsed="false">
      <c r="A18233" s="0" t="str">
        <f aca="false">IMCSCH("3-4i")</f>
        <v>-0.0648774713706355-0.0754898329158637i</v>
      </c>
      <c r="B18233" s="0" t="s">
        <v>18079</v>
      </c>
    </row>
    <row r="18234" customFormat="false" ht="15" hidden="false" customHeight="false" outlineLevel="0" collapsed="false">
      <c r="A18234" s="0" t="str">
        <f aca="false">IMCSCH("4i")</f>
        <v>1.3213487088109i</v>
      </c>
      <c r="B18234" s="0" t="s">
        <v>18080</v>
      </c>
    </row>
    <row r="18235" customFormat="false" ht="15" hidden="false" customHeight="false" outlineLevel="0" collapsed="false">
      <c r="A18235" s="0" t="str">
        <f aca="false">IMCSCH("-4i")</f>
        <v>-1.3213487088109i</v>
      </c>
      <c r="B18235" s="0" t="s">
        <v>18081</v>
      </c>
    </row>
    <row r="18236" customFormat="false" ht="15" hidden="false" customHeight="false" outlineLevel="0" collapsed="false">
      <c r="A18236" s="0" t="str">
        <f aca="false">IMCSCH("i")</f>
        <v>-1.18839510577812i</v>
      </c>
      <c r="B18236" s="0" t="s">
        <v>18082</v>
      </c>
    </row>
    <row r="18237" customFormat="false" ht="15" hidden="false" customHeight="false" outlineLevel="0" collapsed="false">
      <c r="A18237" s="0" t="str">
        <f aca="false">IMCSCH("-i")</f>
        <v>1.18839510577812i</v>
      </c>
      <c r="B18237" s="0" t="s">
        <v>18083</v>
      </c>
    </row>
    <row r="18238" customFormat="false" ht="15" hidden="false" customHeight="false" outlineLevel="0" collapsed="false">
      <c r="A18238" s="0" t="str">
        <f aca="false">IMCSCH("3")</f>
        <v>0.0998215696688227</v>
      </c>
      <c r="B18238" s="0" t="s">
        <v>18084</v>
      </c>
    </row>
    <row r="18239" customFormat="false" ht="15" hidden="false" customHeight="false" outlineLevel="0" collapsed="false">
      <c r="A18239" s="0" t="e">
        <f aca="false">IMCSCH("0")</f>
        <v>#VALUE!</v>
      </c>
      <c r="B18239" s="0" t="s">
        <v>18085</v>
      </c>
    </row>
    <row r="18240" customFormat="false" ht="15" hidden="false" customHeight="false" outlineLevel="0" collapsed="false">
      <c r="A18240" s="0" t="str">
        <f aca="false">IMCSCH("1+i")</f>
        <v>0.303931001628426-0.621518017170428i</v>
      </c>
      <c r="B18240" s="0" t="s">
        <v>18086</v>
      </c>
    </row>
    <row r="18241" customFormat="false" ht="15" hidden="false" customHeight="false" outlineLevel="0" collapsed="false">
      <c r="A18241" s="0" t="str">
        <f aca="false">IMCSCH("1-i")</f>
        <v>0.303931001628426+0.621518017170428i</v>
      </c>
      <c r="B18241" s="0" t="s">
        <v>18087</v>
      </c>
    </row>
    <row r="18242" customFormat="false" ht="15" hidden="false" customHeight="false" outlineLevel="0" collapsed="false">
      <c r="A18242" s="0" t="str">
        <f aca="false">IMCSCH("-1-i")</f>
        <v>-0.303931001628426+0.621518017170428i</v>
      </c>
      <c r="B18242" s="0" t="s">
        <v>18088</v>
      </c>
    </row>
    <row r="18243" customFormat="false" ht="15" hidden="false" customHeight="false" outlineLevel="0" collapsed="false">
      <c r="A18243" s="0" t="str">
        <f aca="false">IMCSCH("2.5+3.5i")</f>
        <v>-0.154262439469904+0.0585684747824234i</v>
      </c>
      <c r="B18243" s="0" t="s">
        <v>18089</v>
      </c>
    </row>
    <row r="18244" customFormat="false" ht="15" hidden="false" customHeight="false" outlineLevel="0" collapsed="false">
      <c r="A18244" s="0" t="str">
        <f aca="false">IMCSCH("1E2+1E-2i")</f>
        <v>7.43977994754412e-44-7.44002795012915e-46i</v>
      </c>
      <c r="B18244" s="0" t="s">
        <v>18090</v>
      </c>
    </row>
    <row r="18245" customFormat="false" ht="15" hidden="false" customHeight="false" outlineLevel="0" collapsed="false">
      <c r="A18245" s="0" t="str">
        <f aca="false">IMCSCH("3+4j")</f>
        <v>-0.0648774713706355+0.0754898329158637j</v>
      </c>
      <c r="B18245" s="0" t="s">
        <v>18091</v>
      </c>
    </row>
    <row r="18246" customFormat="false" ht="15" hidden="false" customHeight="false" outlineLevel="0" collapsed="false">
      <c r="A18246" s="0" t="str">
        <f aca="false">IMCSCH("j")</f>
        <v>-1.18839510577812j</v>
      </c>
      <c r="B18246" s="0" t="s">
        <v>18092</v>
      </c>
    </row>
    <row r="18247" customFormat="false" ht="15" hidden="false" customHeight="false" outlineLevel="0" collapsed="false">
      <c r="A18247" s="0" t="str">
        <f aca="false">IMCSCH("-j")</f>
        <v>1.18839510577812j</v>
      </c>
      <c r="B18247" s="0" t="s">
        <v>18093</v>
      </c>
    </row>
    <row r="18248" customFormat="false" ht="15" hidden="false" customHeight="false" outlineLevel="0" collapsed="false">
      <c r="A18248" s="0" t="str">
        <f aca="false">IMCSCH("2j")</f>
        <v>-1.09975017029462j</v>
      </c>
      <c r="B18248" s="0" t="s">
        <v>18094</v>
      </c>
    </row>
    <row r="18249" customFormat="false" ht="15" hidden="false" customHeight="false" outlineLevel="0" collapsed="false">
      <c r="A18249" s="0" t="e">
        <f aca="false">IMCSCH("1+2k")</f>
        <v>#VALUE!</v>
      </c>
      <c r="B18249" s="0" t="s">
        <v>18095</v>
      </c>
    </row>
    <row r="18250" customFormat="false" ht="15" hidden="false" customHeight="false" outlineLevel="0" collapsed="false">
      <c r="A18250" s="0" t="str">
        <f aca="false">IMCSCH("+3+4i")</f>
        <v>-0.0648774713706355+0.0754898329158637i</v>
      </c>
      <c r="B18250" s="0" t="s">
        <v>18096</v>
      </c>
    </row>
    <row r="18251" customFormat="false" ht="15" hidden="false" customHeight="false" outlineLevel="0" collapsed="false">
      <c r="A18251" s="0" t="e">
        <f aca="false">IMCSCH("3+ 4i")</f>
        <v>#VALUE!</v>
      </c>
      <c r="B18251" s="0" t="s">
        <v>18097</v>
      </c>
    </row>
    <row r="18252" customFormat="false" ht="15" hidden="false" customHeight="false" outlineLevel="0" collapsed="false">
      <c r="A18252" s="0" t="e">
        <f aca="false">IMCSCH(" 3+4i")</f>
        <v>#VALUE!</v>
      </c>
      <c r="B18252" s="0" t="s">
        <v>18098</v>
      </c>
    </row>
    <row r="18253" customFormat="false" ht="15" hidden="false" customHeight="false" outlineLevel="0" collapsed="false">
      <c r="A18253" s="0" t="e">
        <f aca="false">IMCSCH("3+4I")</f>
        <v>#VALUE!</v>
      </c>
      <c r="B18253" s="0" t="s">
        <v>18099</v>
      </c>
    </row>
    <row r="18254" customFormat="false" ht="15" hidden="false" customHeight="false" outlineLevel="0" collapsed="false">
      <c r="A18254" s="0" t="e">
        <f aca="false">IMCSCH("3+4i ")</f>
        <v>#VALUE!</v>
      </c>
      <c r="B18254" s="0" t="s">
        <v>18100</v>
      </c>
    </row>
    <row r="18255" customFormat="false" ht="15" hidden="false" customHeight="false" outlineLevel="0" collapsed="false">
      <c r="A18255" s="0" t="e">
        <f aca="false">IMCSCH("1+i+j")</f>
        <v>#VALUE!</v>
      </c>
      <c r="B18255" s="0" t="s">
        <v>18101</v>
      </c>
    </row>
    <row r="18256" customFormat="false" ht="15" hidden="false" customHeight="false" outlineLevel="0" collapsed="false">
      <c r="A18256" s="0" t="e">
        <f aca="false">IMCSCH("abc")</f>
        <v>#VALUE!</v>
      </c>
      <c r="B18256" s="0" t="s">
        <v>18102</v>
      </c>
    </row>
    <row r="18257" customFormat="false" ht="15" hidden="false" customHeight="false" outlineLevel="0" collapsed="false">
      <c r="A18257" s="0" t="e">
        <f aca="false">IMCSCH("")</f>
        <v>#VALUE!</v>
      </c>
      <c r="B18257" s="0" t="s">
        <v>18103</v>
      </c>
    </row>
    <row r="18258" customFormat="false" ht="15" hidden="false" customHeight="false" outlineLevel="0" collapsed="false">
      <c r="A18258" s="0" t="e">
        <f aca="false">IMCSCH("i3")</f>
        <v>#VALUE!</v>
      </c>
      <c r="B18258" s="0" t="s">
        <v>18104</v>
      </c>
    </row>
    <row r="18259" customFormat="false" ht="15" hidden="false" customHeight="false" outlineLevel="0" collapsed="false">
      <c r="A18259" s="0" t="e">
        <f aca="false">IMCSCH("3i+4")</f>
        <v>#VALUE!</v>
      </c>
      <c r="B18259" s="0" t="s">
        <v>18105</v>
      </c>
    </row>
    <row r="18260" customFormat="false" ht="15" hidden="false" customHeight="false" outlineLevel="0" collapsed="false">
      <c r="A18260" s="0" t="e">
        <f aca="false">IMCSCH("(1+i)")</f>
        <v>#VALUE!</v>
      </c>
      <c r="B18260" s="0" t="s">
        <v>18106</v>
      </c>
    </row>
    <row r="18261" customFormat="false" ht="15" hidden="false" customHeight="false" outlineLevel="0" collapsed="false">
      <c r="A18261" s="0" t="e">
        <f aca="false">IMCSCH("1.5E300+1E300i")</f>
        <v>#VALUE!</v>
      </c>
      <c r="B18261" s="0" t="s">
        <v>18107</v>
      </c>
    </row>
    <row r="18262" customFormat="false" ht="15" hidden="false" customHeight="false" outlineLevel="0" collapsed="false">
      <c r="A18262" s="0" t="e">
        <f aca="false">IMCSCH("0+0i")</f>
        <v>#VALUE!</v>
      </c>
      <c r="B18262" s="0" t="s">
        <v>18108</v>
      </c>
    </row>
    <row r="18263" customFormat="false" ht="15" hidden="false" customHeight="false" outlineLevel="0" collapsed="false">
      <c r="A18263" s="0" t="e">
        <f aca="false">IMCSCH("-0-0i")</f>
        <v>#VALUE!</v>
      </c>
      <c r="B18263" s="0" t="s">
        <v>18109</v>
      </c>
    </row>
    <row r="18264" customFormat="false" ht="15" hidden="false" customHeight="false" outlineLevel="0" collapsed="false">
      <c r="A18264" s="0" t="e">
        <f aca="false">IMCSCH("1/2+i")</f>
        <v>#VALUE!</v>
      </c>
      <c r="B18264" s="0" t="s">
        <v>18110</v>
      </c>
    </row>
    <row r="18265" customFormat="false" ht="15" hidden="false" customHeight="false" outlineLevel="0" collapsed="false">
      <c r="A18265" s="0" t="str">
        <f aca="false">IMCSCH("1e1+i")</f>
        <v>4.90593732885648e-05-7.64054472413059e-05i</v>
      </c>
      <c r="B18265" s="0" t="s">
        <v>18111</v>
      </c>
    </row>
    <row r="18266" customFormat="false" ht="15" hidden="false" customHeight="false" outlineLevel="0" collapsed="false">
      <c r="A18266" s="0" t="str">
        <f aca="false">IMCSCH("1+1e1i")</f>
        <v>-0.587981190570291+0.500560525927506i</v>
      </c>
      <c r="B18266" s="0" t="s">
        <v>18112</v>
      </c>
    </row>
    <row r="18267" customFormat="false" ht="15" hidden="false" customHeight="false" outlineLevel="0" collapsed="false">
      <c r="A18267" s="0" t="str">
        <f aca="false">IMCSCH(".5+.5i")</f>
        <v>0.912074264038811-1.07822969465402i</v>
      </c>
      <c r="B18267" s="0" t="s">
        <v>18113</v>
      </c>
    </row>
    <row r="18268" customFormat="false" ht="15" hidden="false" customHeight="false" outlineLevel="0" collapsed="false">
      <c r="A18268" s="0" t="str">
        <f aca="false">IMCSCH("5.")</f>
        <v>0.0134765058305891</v>
      </c>
      <c r="B18268" s="0" t="s">
        <v>18114</v>
      </c>
    </row>
    <row r="18269" customFormat="false" ht="15" hidden="false" customHeight="false" outlineLevel="0" collapsed="false">
      <c r="A18269" s="0" t="str">
        <f aca="false">IMCSCH("1,5+2i")</f>
        <v>-0.165295709505222-0.399026030311179i</v>
      </c>
      <c r="B18269" s="0" t="s">
        <v>18115</v>
      </c>
    </row>
    <row r="18270" customFormat="false" ht="15" hidden="false" customHeight="false" outlineLevel="0" collapsed="false">
      <c r="A18270" s="0" t="e">
        <f aca="false">IMCSCH("3++4i")</f>
        <v>#VALUE!</v>
      </c>
      <c r="B18270" s="0" t="s">
        <v>18116</v>
      </c>
    </row>
    <row r="18271" customFormat="false" ht="15" hidden="false" customHeight="false" outlineLevel="0" collapsed="false">
      <c r="A18271" s="0" t="e">
        <f aca="false">IMCSCH("3+-4i")</f>
        <v>#VALUE!</v>
      </c>
      <c r="B18271" s="0" t="s">
        <v>18117</v>
      </c>
    </row>
    <row r="18272" customFormat="false" ht="15" hidden="false" customHeight="false" outlineLevel="0" collapsed="false">
      <c r="A18272" s="0" t="e">
        <f aca="false">IMCSCH("--3")</f>
        <v>#VALUE!</v>
      </c>
      <c r="B18272" s="0" t="s">
        <v>18118</v>
      </c>
    </row>
    <row r="18273" customFormat="false" ht="15" hidden="false" customHeight="false" outlineLevel="0" collapsed="false">
      <c r="A18273" s="0" t="e">
        <f aca="false">IMCSCH("3i4")</f>
        <v>#VALUE!</v>
      </c>
      <c r="B18273" s="0" t="s">
        <v>18119</v>
      </c>
    </row>
    <row r="18274" customFormat="false" ht="15" hidden="false" customHeight="false" outlineLevel="0" collapsed="false">
      <c r="A18274" s="0" t="str">
        <f aca="false">IMCSCH("0.1+0.2i")</f>
        <v>1.98311860447066-4.0333714372688i</v>
      </c>
      <c r="B18274" s="0" t="s">
        <v>18120</v>
      </c>
    </row>
    <row r="18275" customFormat="false" ht="15" hidden="false" customHeight="false" outlineLevel="0" collapsed="false">
      <c r="A18275" s="0" t="str">
        <f aca="false">IMCSCH("-2.5")</f>
        <v>-0.165283669855096</v>
      </c>
      <c r="B18275" s="0" t="s">
        <v>18121</v>
      </c>
    </row>
    <row r="18276" customFormat="false" ht="15" hidden="false" customHeight="false" outlineLevel="0" collapsed="false">
      <c r="A18276" s="0" t="str">
        <f aca="false">IMCSCH("1E+2i")</f>
        <v>1.9748575314241i</v>
      </c>
      <c r="B18276" s="0" t="s">
        <v>18122</v>
      </c>
    </row>
    <row r="18277" customFormat="false" ht="15" hidden="false" customHeight="false" outlineLevel="0" collapsed="false">
      <c r="A18277" s="0" t="str">
        <f aca="false">IMCSCH("1E-2i")</f>
        <v>-100.001666686111i</v>
      </c>
      <c r="B18277" s="0" t="s">
        <v>18123</v>
      </c>
    </row>
    <row r="18278" customFormat="false" ht="15" hidden="false" customHeight="false" outlineLevel="0" collapsed="false">
      <c r="A18278" s="0" t="str">
        <f aca="false">IMCSCH("12345678901234567890+1i")</f>
        <v>0</v>
      </c>
      <c r="B18278" s="0" t="s">
        <v>18124</v>
      </c>
    </row>
    <row r="18279" customFormat="false" ht="15" hidden="false" customHeight="false" outlineLevel="0" collapsed="false">
      <c r="A18279" s="0" t="e">
        <f aca="false">IMCSCH("1+i2")</f>
        <v>#VALUE!</v>
      </c>
      <c r="B18279" s="0" t="s">
        <v>18125</v>
      </c>
    </row>
    <row r="18280" customFormat="false" ht="15" hidden="false" customHeight="false" outlineLevel="0" collapsed="false">
      <c r="A18280" s="0" t="e">
        <f aca="false">IMCSCH("ii")</f>
        <v>#VALUE!</v>
      </c>
      <c r="B18280" s="0" t="s">
        <v>18126</v>
      </c>
    </row>
    <row r="18281" customFormat="false" ht="15" hidden="false" customHeight="false" outlineLevel="0" collapsed="false">
      <c r="A18281" s="0" t="e">
        <f aca="false">IMCSCH("3 + 4i")</f>
        <v>#VALUE!</v>
      </c>
      <c r="B18281" s="0" t="s">
        <v>18127</v>
      </c>
    </row>
    <row r="18282" customFormat="false" ht="15" hidden="false" customHeight="false" outlineLevel="0" collapsed="false">
      <c r="A18282" s="0" t="e">
        <f aca="false">IMCSCH("4i+3")</f>
        <v>#VALUE!</v>
      </c>
      <c r="B18282" s="0" t="s">
        <v>18128</v>
      </c>
    </row>
    <row r="18283" customFormat="false" ht="15" hidden="false" customHeight="false" outlineLevel="0" collapsed="false">
      <c r="A18283" s="0" t="str">
        <f aca="false">IMCSCH("1+0i")</f>
        <v>0.850918128239322</v>
      </c>
      <c r="B18283" s="0" t="s">
        <v>18129</v>
      </c>
    </row>
    <row r="18284" customFormat="false" ht="15" hidden="false" customHeight="false" outlineLevel="0" collapsed="false">
      <c r="A18284" s="0" t="str">
        <f aca="false">IMCSCH("0+1i")</f>
        <v>-1.18839510577812i</v>
      </c>
      <c r="B18284" s="0" t="s">
        <v>18130</v>
      </c>
    </row>
    <row r="18285" customFormat="false" ht="15" hidden="false" customHeight="false" outlineLevel="0" collapsed="false">
      <c r="A18285" s="0" t="str">
        <f aca="false">IMCSCH("0-1i")</f>
        <v>1.18839510577812i</v>
      </c>
      <c r="B18285" s="0" t="s">
        <v>18131</v>
      </c>
    </row>
    <row r="18286" customFormat="false" ht="15" hidden="false" customHeight="false" outlineLevel="0" collapsed="false">
      <c r="A18286" s="0" t="str">
        <f aca="false">IMCSCH("-1+0i")</f>
        <v>-0.850918128239322</v>
      </c>
      <c r="B18286" s="0" t="s">
        <v>18132</v>
      </c>
    </row>
    <row r="18287" customFormat="false" ht="15" hidden="false" customHeight="false" outlineLevel="0" collapsed="false">
      <c r="A18287" s="0" t="str">
        <f aca="false">IMCSCH("1e-10+1e-10i")</f>
        <v>5000000000-5000000000i</v>
      </c>
      <c r="B18287" s="0" t="s">
        <v>18133</v>
      </c>
    </row>
    <row r="18288" customFormat="false" ht="15" hidden="false" customHeight="false" outlineLevel="0" collapsed="false">
      <c r="A18288" s="0" t="str">
        <f aca="false">IMCSCH("2+0.0000001i")</f>
        <v>0.275720564771782-2.86009000645084e-08i</v>
      </c>
      <c r="B18288" s="0" t="s">
        <v>18134</v>
      </c>
    </row>
    <row r="18289" customFormat="false" ht="15" hidden="false" customHeight="false" outlineLevel="0" collapsed="false">
      <c r="A18289" s="0" t="e">
        <f aca="false">IMCSCH("TRUE")</f>
        <v>#VALUE!</v>
      </c>
      <c r="B18289" s="0" t="s">
        <v>18135</v>
      </c>
    </row>
    <row r="18290" customFormat="false" ht="15" hidden="false" customHeight="false" outlineLevel="0" collapsed="false">
      <c r="A18290" s="0" t="e">
        <f aca="false">IMCSCH("1+Ii")</f>
        <v>#VALUE!</v>
      </c>
      <c r="B18290" s="0" t="s">
        <v>18136</v>
      </c>
    </row>
    <row r="18291" customFormat="false" ht="15" hidden="false" customHeight="false" outlineLevel="0" collapsed="false">
      <c r="A18291" s="0" t="str">
        <f aca="false">IMCSCH(5)</f>
        <v>0.0134765058305891</v>
      </c>
      <c r="B18291" s="0" t="s">
        <v>18137</v>
      </c>
    </row>
    <row r="18292" customFormat="false" ht="15" hidden="false" customHeight="false" outlineLevel="0" collapsed="false">
      <c r="A18292" s="0" t="str">
        <f aca="false">IMCSCH(TRUE())</f>
        <v>0.850918128239322</v>
      </c>
      <c r="B18292" s="0" t="s">
        <v>18138</v>
      </c>
    </row>
    <row r="18293" customFormat="false" ht="15" hidden="false" customHeight="false" outlineLevel="0" collapsed="false">
      <c r="A18293" s="0" t="e">
        <f aca="false">IMCSCH(Data!D1)</f>
        <v>#VALUE!</v>
      </c>
      <c r="B18293" s="0" t="s">
        <v>18139</v>
      </c>
    </row>
    <row r="18294" customFormat="false" ht="15" hidden="false" customHeight="false" outlineLevel="0" collapsed="false">
      <c r="A18294" s="0" t="str">
        <f aca="false">IMCSCH(Data!A1)</f>
        <v>0.0134765058305891</v>
      </c>
      <c r="B18294" s="0" t="s">
        <v>18140</v>
      </c>
    </row>
    <row r="18295" customFormat="false" ht="15" hidden="false" customHeight="false" outlineLevel="0" collapsed="false">
      <c r="A18295" s="0" t="e">
        <f aca="false">IMCSCH(Data!B1)</f>
        <v>#VALUE!</v>
      </c>
      <c r="B18295" s="0" t="s">
        <v>18141</v>
      </c>
    </row>
    <row r="18296" customFormat="false" ht="15" hidden="false" customHeight="false" outlineLevel="0" collapsed="false">
      <c r="A18296" s="0" t="e">
        <f aca="false">IMCSCH(NA())</f>
        <v>#N/A</v>
      </c>
      <c r="B18296" s="0" t="s">
        <v>18142</v>
      </c>
    </row>
    <row r="18297" customFormat="false" ht="15" hidden="false" customHeight="false" outlineLevel="0" collapsed="false">
      <c r="A18297" s="0" t="e">
        <f aca="false">IMCSCH("3+4i",1)</f>
        <v>#VALUE!</v>
      </c>
      <c r="B18297" s="0" t="s">
        <v>18143</v>
      </c>
    </row>
    <row r="18298" customFormat="false" ht="15" hidden="false" customHeight="false" outlineLevel="0" collapsed="false">
      <c r="A18298" s="0" t="e">
        <f aca="false">IMCSCH()</f>
        <v>#VALUE!</v>
      </c>
      <c r="B18298" s="0" t="s">
        <v>18144</v>
      </c>
    </row>
    <row r="18299" customFormat="false" ht="15" hidden="false" customHeight="false" outlineLevel="0" collapsed="false">
      <c r="A18299" s="0" t="e">
        <f aca="false">IMCSCH(Data!A1:A3)</f>
        <v>#VALUE!</v>
      </c>
      <c r="B18299" s="0" t="s">
        <v>18145</v>
      </c>
    </row>
    <row r="18300" customFormat="false" ht="15" hidden="false" customHeight="false" outlineLevel="0" collapsed="false">
      <c r="A18300" s="0" t="str">
        <f aca="false">IMCSCH(-2.5)</f>
        <v>-0.165283669855096</v>
      </c>
      <c r="B18300" s="0" t="s">
        <v>18146</v>
      </c>
    </row>
    <row r="18301" customFormat="false" ht="15" hidden="false" customHeight="false" outlineLevel="0" collapsed="false">
      <c r="A18301" s="0" t="str">
        <f aca="false">IMCSCH(1E+300)</f>
        <v>0</v>
      </c>
      <c r="B18301" s="0" t="s">
        <v>18147</v>
      </c>
    </row>
    <row r="18302" customFormat="false" ht="15" hidden="false" customHeight="false" outlineLevel="0" collapsed="false">
      <c r="A18302" s="0" t="str">
        <f aca="false">IMCSCH(1E-300)</f>
        <v>1e+300</v>
      </c>
      <c r="B18302" s="0" t="s">
        <v>18148</v>
      </c>
    </row>
    <row r="18303" customFormat="false" ht="15" hidden="false" customHeight="false" outlineLevel="0" collapsed="false">
      <c r="A18303" s="0" t="str">
        <f aca="false">IMSUM("3+4i","1-2i")</f>
        <v>4+2i</v>
      </c>
      <c r="B18303" s="0" t="s">
        <v>18149</v>
      </c>
    </row>
    <row r="18304" customFormat="false" ht="15" hidden="false" customHeight="false" outlineLevel="0" collapsed="false">
      <c r="A18304" s="0" t="str">
        <f aca="false">IMSUM("1+i","1-i")</f>
        <v>2</v>
      </c>
      <c r="B18304" s="0" t="s">
        <v>18150</v>
      </c>
    </row>
    <row r="18305" customFormat="false" ht="15" hidden="false" customHeight="false" outlineLevel="0" collapsed="false">
      <c r="A18305" s="0" t="str">
        <f aca="false">IMSUM("3+4i","3+4i")</f>
        <v>6+8i</v>
      </c>
      <c r="B18305" s="0" t="s">
        <v>18151</v>
      </c>
    </row>
    <row r="18306" customFormat="false" ht="15" hidden="false" customHeight="false" outlineLevel="0" collapsed="false">
      <c r="A18306" s="0" t="str">
        <f aca="false">IMSUM("0","1+i")</f>
        <v>1+i</v>
      </c>
      <c r="B18306" s="0" t="s">
        <v>18152</v>
      </c>
    </row>
    <row r="18307" customFormat="false" ht="15" hidden="false" customHeight="false" outlineLevel="0" collapsed="false">
      <c r="A18307" s="0" t="str">
        <f aca="false">IMSUM("1+i","0")</f>
        <v>1+i</v>
      </c>
      <c r="B18307" s="0" t="s">
        <v>18153</v>
      </c>
    </row>
    <row r="18308" customFormat="false" ht="15" hidden="false" customHeight="false" outlineLevel="0" collapsed="false">
      <c r="A18308" s="0" t="str">
        <f aca="false">IMSUM("2","3")</f>
        <v>5</v>
      </c>
      <c r="B18308" s="0" t="s">
        <v>18154</v>
      </c>
    </row>
    <row r="18309" customFormat="false" ht="15" hidden="false" customHeight="false" outlineLevel="0" collapsed="false">
      <c r="A18309" s="0" t="str">
        <f aca="false">IMSUM("4i","2i")</f>
        <v>6i</v>
      </c>
      <c r="B18309" s="0" t="s">
        <v>18155</v>
      </c>
    </row>
    <row r="18310" customFormat="false" ht="15" hidden="false" customHeight="false" outlineLevel="0" collapsed="false">
      <c r="A18310" s="0" t="str">
        <f aca="false">IMSUM("1+i","1+j")</f>
        <v>2+2i</v>
      </c>
      <c r="B18310" s="0" t="s">
        <v>18156</v>
      </c>
    </row>
    <row r="18311" customFormat="false" ht="15" hidden="false" customHeight="false" outlineLevel="0" collapsed="false">
      <c r="A18311" s="0" t="e">
        <f aca="false">IMSUM("1+i","abc")</f>
        <v>#VALUE!</v>
      </c>
      <c r="B18311" s="0" t="s">
        <v>18157</v>
      </c>
    </row>
    <row r="18312" customFormat="false" ht="15" hidden="false" customHeight="false" outlineLevel="0" collapsed="false">
      <c r="A18312" s="0" t="str">
        <f aca="false">IMSUM("1+i","")</f>
        <v>1+i</v>
      </c>
      <c r="B18312" s="0" t="s">
        <v>18158</v>
      </c>
    </row>
    <row r="18313" customFormat="false" ht="15" hidden="false" customHeight="false" outlineLevel="0" collapsed="false">
      <c r="A18313" s="0" t="str">
        <f aca="false">IMSUM("1E200+1E200i","1E200+1E200i")</f>
        <v>2e+200+2e+200i</v>
      </c>
      <c r="B18313" s="0" t="s">
        <v>18159</v>
      </c>
    </row>
    <row r="18314" customFormat="false" ht="15" hidden="false" customHeight="false" outlineLevel="0" collapsed="false">
      <c r="A18314" s="0" t="str">
        <f aca="false">IMSUM("i","i")</f>
        <v>2i</v>
      </c>
      <c r="B18314" s="0" t="s">
        <v>18160</v>
      </c>
    </row>
    <row r="18315" customFormat="false" ht="15" hidden="false" customHeight="false" outlineLevel="0" collapsed="false">
      <c r="A18315" s="0" t="str">
        <f aca="false">IMSUM("5","i")</f>
        <v>5+i</v>
      </c>
      <c r="B18315" s="0" t="s">
        <v>18161</v>
      </c>
    </row>
    <row r="18316" customFormat="false" ht="15" hidden="false" customHeight="false" outlineLevel="0" collapsed="false">
      <c r="A18316" s="0" t="str">
        <f aca="false">IMSUM("3+4i","2")</f>
        <v>5+4i</v>
      </c>
      <c r="B18316" s="0" t="s">
        <v>18162</v>
      </c>
    </row>
    <row r="18317" customFormat="false" ht="15" hidden="false" customHeight="false" outlineLevel="0" collapsed="false">
      <c r="A18317" s="0" t="str">
        <f aca="false">IMSUM("1.5+2.5i","-0.5-1.5i")</f>
        <v>1+i</v>
      </c>
      <c r="B18317" s="0" t="s">
        <v>18163</v>
      </c>
    </row>
    <row r="18318" customFormat="false" ht="15" hidden="false" customHeight="false" outlineLevel="0" collapsed="false">
      <c r="A18318" s="0" t="str">
        <f aca="false">IMSUM("1E-200+1i","1E-200+1i")</f>
        <v>2e-200+2i</v>
      </c>
      <c r="B18318" s="0" t="s">
        <v>18164</v>
      </c>
    </row>
    <row r="18319" customFormat="false" ht="15" hidden="false" customHeight="false" outlineLevel="0" collapsed="false">
      <c r="A18319" s="0" t="str">
        <f aca="false">IMSUM("j","j")</f>
        <v>2j</v>
      </c>
      <c r="B18319" s="0" t="s">
        <v>18165</v>
      </c>
    </row>
    <row r="18320" customFormat="false" ht="15" hidden="false" customHeight="false" outlineLevel="0" collapsed="false">
      <c r="A18320" s="0" t="str">
        <f aca="false">IMSUM("1+i","1")</f>
        <v>2+i</v>
      </c>
      <c r="B18320" s="0" t="s">
        <v>18166</v>
      </c>
    </row>
    <row r="18321" customFormat="false" ht="15" hidden="false" customHeight="false" outlineLevel="0" collapsed="false">
      <c r="A18321" s="0" t="str">
        <f aca="false">IMSUM("1+i")</f>
        <v>1+i</v>
      </c>
      <c r="B18321" s="0" t="s">
        <v>18167</v>
      </c>
    </row>
    <row r="18322" customFormat="false" ht="15" hidden="false" customHeight="false" outlineLevel="0" collapsed="false">
      <c r="A18322" s="0" t="str">
        <f aca="false">IMSUM("1+i","2+i","3-i")</f>
        <v>6+i</v>
      </c>
      <c r="B18322" s="0" t="s">
        <v>18168</v>
      </c>
    </row>
    <row r="18323" customFormat="false" ht="15" hidden="false" customHeight="false" outlineLevel="0" collapsed="false">
      <c r="A18323" s="0" t="str">
        <f aca="false">IMSUM(Data!A1:A3)</f>
        <v>16</v>
      </c>
      <c r="B18323" s="0" t="s">
        <v>18169</v>
      </c>
    </row>
    <row r="18324" customFormat="false" ht="15" hidden="false" customHeight="false" outlineLevel="0" collapsed="false">
      <c r="A18324" s="0" t="str">
        <f aca="false">IMSUM(Data!A1:A2,Data!A3)</f>
        <v>16</v>
      </c>
      <c r="B18324" s="0" t="s">
        <v>18170</v>
      </c>
    </row>
    <row r="18325" customFormat="false" ht="15" hidden="false" customHeight="false" outlineLevel="0" collapsed="false">
      <c r="A18325" s="0" t="str">
        <f aca="false">IMSUM(1,2)</f>
        <v>3</v>
      </c>
      <c r="B18325" s="0" t="s">
        <v>18171</v>
      </c>
    </row>
    <row r="18326" customFormat="false" ht="15" hidden="false" customHeight="false" outlineLevel="0" collapsed="false">
      <c r="A18326" s="0" t="str">
        <f aca="false">IMSUM(TRUE(),1)</f>
        <v>2</v>
      </c>
      <c r="B18326" s="0" t="s">
        <v>18172</v>
      </c>
    </row>
    <row r="18327" customFormat="false" ht="15" hidden="false" customHeight="false" outlineLevel="0" collapsed="false">
      <c r="A18327" s="0" t="e">
        <f aca="false">IMSUM("1+i",NA())</f>
        <v>#N/A</v>
      </c>
      <c r="B18327" s="0" t="s">
        <v>18173</v>
      </c>
    </row>
    <row r="18328" customFormat="false" ht="15" hidden="false" customHeight="false" outlineLevel="0" collapsed="false">
      <c r="A18328" s="0" t="str">
        <f aca="false">IMSUM("1+i",Data!D1)</f>
        <v>1+i</v>
      </c>
      <c r="B18328" s="0" t="s">
        <v>18174</v>
      </c>
    </row>
    <row r="18329" customFormat="false" ht="15" hidden="false" customHeight="false" outlineLevel="0" collapsed="false">
      <c r="A18329" s="0" t="e">
        <f aca="false">IMSUM("1+i",Data!B1)</f>
        <v>#VALUE!</v>
      </c>
      <c r="B18329" s="0" t="s">
        <v>18175</v>
      </c>
    </row>
    <row r="18330" customFormat="false" ht="15" hidden="false" customHeight="false" outlineLevel="0" collapsed="false">
      <c r="A18330" s="0" t="e">
        <f aca="false">IMSUM("1+i",Data!B1:B2)</f>
        <v>#VALUE!</v>
      </c>
      <c r="B18330" s="0" t="s">
        <v>18176</v>
      </c>
    </row>
    <row r="18331" customFormat="false" ht="15" hidden="false" customHeight="false" outlineLevel="0" collapsed="false">
      <c r="A18331" s="0" t="e">
        <f aca="false">IMSUM()</f>
        <v>#VALUE!</v>
      </c>
      <c r="B18331" s="0" t="s">
        <v>18177</v>
      </c>
    </row>
    <row r="18332" customFormat="false" ht="15" hidden="false" customHeight="false" outlineLevel="0" collapsed="false">
      <c r="A18332" s="0" t="str">
        <f aca="false">IMSUB("3+4i","1-2i")</f>
        <v>2+6i</v>
      </c>
      <c r="B18332" s="0" t="s">
        <v>18178</v>
      </c>
    </row>
    <row r="18333" customFormat="false" ht="15" hidden="false" customHeight="false" outlineLevel="0" collapsed="false">
      <c r="A18333" s="0" t="str">
        <f aca="false">IMSUB("1+i","1-i")</f>
        <v>2i</v>
      </c>
      <c r="B18333" s="0" t="s">
        <v>18179</v>
      </c>
    </row>
    <row r="18334" customFormat="false" ht="15" hidden="false" customHeight="false" outlineLevel="0" collapsed="false">
      <c r="A18334" s="0" t="str">
        <f aca="false">IMSUB("3+4i","3+4i")</f>
        <v>0</v>
      </c>
      <c r="B18334" s="0" t="s">
        <v>18180</v>
      </c>
    </row>
    <row r="18335" customFormat="false" ht="15" hidden="false" customHeight="false" outlineLevel="0" collapsed="false">
      <c r="A18335" s="0" t="str">
        <f aca="false">IMSUB("0","1+i")</f>
        <v>-1-i</v>
      </c>
      <c r="B18335" s="0" t="s">
        <v>18181</v>
      </c>
    </row>
    <row r="18336" customFormat="false" ht="15" hidden="false" customHeight="false" outlineLevel="0" collapsed="false">
      <c r="A18336" s="0" t="str">
        <f aca="false">IMSUB("1+i","0")</f>
        <v>1+i</v>
      </c>
      <c r="B18336" s="0" t="s">
        <v>18182</v>
      </c>
    </row>
    <row r="18337" customFormat="false" ht="15" hidden="false" customHeight="false" outlineLevel="0" collapsed="false">
      <c r="A18337" s="0" t="str">
        <f aca="false">IMSUB("2","3")</f>
        <v>-1</v>
      </c>
      <c r="B18337" s="0" t="s">
        <v>18183</v>
      </c>
    </row>
    <row r="18338" customFormat="false" ht="15" hidden="false" customHeight="false" outlineLevel="0" collapsed="false">
      <c r="A18338" s="0" t="str">
        <f aca="false">IMSUB("4i","2i")</f>
        <v>2i</v>
      </c>
      <c r="B18338" s="0" t="s">
        <v>18184</v>
      </c>
    </row>
    <row r="18339" customFormat="false" ht="15" hidden="false" customHeight="false" outlineLevel="0" collapsed="false">
      <c r="A18339" s="0" t="str">
        <f aca="false">IMSUB("1+i","1+j")</f>
        <v>0</v>
      </c>
      <c r="B18339" s="0" t="s">
        <v>18185</v>
      </c>
    </row>
    <row r="18340" customFormat="false" ht="15" hidden="false" customHeight="false" outlineLevel="0" collapsed="false">
      <c r="A18340" s="0" t="e">
        <f aca="false">IMSUB("1+i","abc")</f>
        <v>#VALUE!</v>
      </c>
      <c r="B18340" s="0" t="s">
        <v>18186</v>
      </c>
    </row>
    <row r="18341" customFormat="false" ht="15" hidden="false" customHeight="false" outlineLevel="0" collapsed="false">
      <c r="A18341" s="0" t="e">
        <f aca="false">IMSUB("1+i","")</f>
        <v>#VALUE!</v>
      </c>
      <c r="B18341" s="0" t="s">
        <v>18187</v>
      </c>
    </row>
    <row r="18342" customFormat="false" ht="15" hidden="false" customHeight="false" outlineLevel="0" collapsed="false">
      <c r="A18342" s="0" t="str">
        <f aca="false">IMSUB("1E200+1E200i","1E200+1E200i")</f>
        <v>0</v>
      </c>
      <c r="B18342" s="0" t="s">
        <v>18188</v>
      </c>
    </row>
    <row r="18343" customFormat="false" ht="15" hidden="false" customHeight="false" outlineLevel="0" collapsed="false">
      <c r="A18343" s="0" t="str">
        <f aca="false">IMSUB("i","i")</f>
        <v>0</v>
      </c>
      <c r="B18343" s="0" t="s">
        <v>18189</v>
      </c>
    </row>
    <row r="18344" customFormat="false" ht="15" hidden="false" customHeight="false" outlineLevel="0" collapsed="false">
      <c r="A18344" s="0" t="str">
        <f aca="false">IMSUB("5","i")</f>
        <v>5-i</v>
      </c>
      <c r="B18344" s="0" t="s">
        <v>18190</v>
      </c>
    </row>
    <row r="18345" customFormat="false" ht="15" hidden="false" customHeight="false" outlineLevel="0" collapsed="false">
      <c r="A18345" s="0" t="str">
        <f aca="false">IMSUB("3+4i","2")</f>
        <v>1+4i</v>
      </c>
      <c r="B18345" s="0" t="s">
        <v>18191</v>
      </c>
    </row>
    <row r="18346" customFormat="false" ht="15" hidden="false" customHeight="false" outlineLevel="0" collapsed="false">
      <c r="A18346" s="0" t="str">
        <f aca="false">IMSUB("1.5+2.5i","-0.5-1.5i")</f>
        <v>2+4i</v>
      </c>
      <c r="B18346" s="0" t="s">
        <v>18192</v>
      </c>
    </row>
    <row r="18347" customFormat="false" ht="15" hidden="false" customHeight="false" outlineLevel="0" collapsed="false">
      <c r="A18347" s="0" t="str">
        <f aca="false">IMSUB("1E-200+1i","1E-200+1i")</f>
        <v>0</v>
      </c>
      <c r="B18347" s="0" t="s">
        <v>18193</v>
      </c>
    </row>
    <row r="18348" customFormat="false" ht="15" hidden="false" customHeight="false" outlineLevel="0" collapsed="false">
      <c r="A18348" s="0" t="str">
        <f aca="false">IMSUB("j","j")</f>
        <v>0</v>
      </c>
      <c r="B18348" s="0" t="s">
        <v>18194</v>
      </c>
    </row>
    <row r="18349" customFormat="false" ht="15" hidden="false" customHeight="false" outlineLevel="0" collapsed="false">
      <c r="A18349" s="0" t="str">
        <f aca="false">IMSUB("1+i","1")</f>
        <v>i</v>
      </c>
      <c r="B18349" s="0" t="s">
        <v>18195</v>
      </c>
    </row>
    <row r="18350" customFormat="false" ht="15" hidden="false" customHeight="false" outlineLevel="0" collapsed="false">
      <c r="A18350" s="0" t="e">
        <f aca="false">IMSUB("1+i")</f>
        <v>#VALUE!</v>
      </c>
      <c r="B18350" s="0" t="s">
        <v>18196</v>
      </c>
    </row>
    <row r="18351" customFormat="false" ht="15" hidden="false" customHeight="false" outlineLevel="0" collapsed="false">
      <c r="A18351" s="0" t="e">
        <f aca="false">IMSUB("1+i","2+i","3-i")</f>
        <v>#VALUE!</v>
      </c>
      <c r="B18351" s="0" t="s">
        <v>18197</v>
      </c>
    </row>
    <row r="18352" customFormat="false" ht="15" hidden="false" customHeight="false" outlineLevel="0" collapsed="false">
      <c r="A18352" s="0" t="e">
        <f aca="false">IMSUB(Data!A1:A3)</f>
        <v>#VALUE!</v>
      </c>
      <c r="B18352" s="0" t="s">
        <v>18198</v>
      </c>
    </row>
    <row r="18353" customFormat="false" ht="15" hidden="false" customHeight="false" outlineLevel="0" collapsed="false">
      <c r="A18353" s="0" t="e">
        <f aca="false">IMSUB(Data!A1:A2,Data!A3)</f>
        <v>#VALUE!</v>
      </c>
      <c r="B18353" s="0" t="s">
        <v>18199</v>
      </c>
    </row>
    <row r="18354" customFormat="false" ht="15" hidden="false" customHeight="false" outlineLevel="0" collapsed="false">
      <c r="A18354" s="0" t="str">
        <f aca="false">IMSUB(1,2)</f>
        <v>-1</v>
      </c>
      <c r="B18354" s="0" t="s">
        <v>18200</v>
      </c>
    </row>
    <row r="18355" customFormat="false" ht="15" hidden="false" customHeight="false" outlineLevel="0" collapsed="false">
      <c r="A18355" s="0" t="str">
        <f aca="false">IMSUB(TRUE(),1)</f>
        <v>0</v>
      </c>
      <c r="B18355" s="0" t="s">
        <v>18201</v>
      </c>
    </row>
    <row r="18356" customFormat="false" ht="15" hidden="false" customHeight="false" outlineLevel="0" collapsed="false">
      <c r="A18356" s="0" t="e">
        <f aca="false">IMSUB("1+i",NA())</f>
        <v>#N/A</v>
      </c>
      <c r="B18356" s="0" t="s">
        <v>18202</v>
      </c>
    </row>
    <row r="18357" customFormat="false" ht="15" hidden="false" customHeight="false" outlineLevel="0" collapsed="false">
      <c r="A18357" s="0" t="e">
        <f aca="false">IMSUB("1+i",Data!D1)</f>
        <v>#VALUE!</v>
      </c>
      <c r="B18357" s="0" t="s">
        <v>18203</v>
      </c>
    </row>
    <row r="18358" customFormat="false" ht="15" hidden="false" customHeight="false" outlineLevel="0" collapsed="false">
      <c r="A18358" s="0" t="e">
        <f aca="false">IMSUB("1+i",Data!B1)</f>
        <v>#VALUE!</v>
      </c>
      <c r="B18358" s="0" t="s">
        <v>18204</v>
      </c>
    </row>
    <row r="18359" customFormat="false" ht="15" hidden="false" customHeight="false" outlineLevel="0" collapsed="false">
      <c r="A18359" s="0" t="e">
        <f aca="false">IMSUB("1+i",Data!B1:B2)</f>
        <v>#VALUE!</v>
      </c>
      <c r="B18359" s="0" t="s">
        <v>18205</v>
      </c>
    </row>
    <row r="18360" customFormat="false" ht="15" hidden="false" customHeight="false" outlineLevel="0" collapsed="false">
      <c r="A18360" s="0" t="e">
        <f aca="false">IMSUB()</f>
        <v>#VALUE!</v>
      </c>
      <c r="B18360" s="0" t="s">
        <v>18206</v>
      </c>
    </row>
    <row r="18361" customFormat="false" ht="15" hidden="false" customHeight="false" outlineLevel="0" collapsed="false">
      <c r="A18361" s="0" t="str">
        <f aca="false">IMPRODUCT("3+4i","1-2i")</f>
        <v>11-2i</v>
      </c>
      <c r="B18361" s="0" t="s">
        <v>18207</v>
      </c>
    </row>
    <row r="18362" customFormat="false" ht="15" hidden="false" customHeight="false" outlineLevel="0" collapsed="false">
      <c r="A18362" s="0" t="str">
        <f aca="false">IMPRODUCT("1+i","1-i")</f>
        <v>2</v>
      </c>
      <c r="B18362" s="0" t="s">
        <v>18208</v>
      </c>
    </row>
    <row r="18363" customFormat="false" ht="15" hidden="false" customHeight="false" outlineLevel="0" collapsed="false">
      <c r="A18363" s="0" t="str">
        <f aca="false">IMPRODUCT("3+4i","3+4i")</f>
        <v>-7+24i</v>
      </c>
      <c r="B18363" s="0" t="s">
        <v>18209</v>
      </c>
    </row>
    <row r="18364" customFormat="false" ht="15" hidden="false" customHeight="false" outlineLevel="0" collapsed="false">
      <c r="A18364" s="0" t="str">
        <f aca="false">IMPRODUCT("0","1+i")</f>
        <v>0</v>
      </c>
      <c r="B18364" s="0" t="s">
        <v>18210</v>
      </c>
    </row>
    <row r="18365" customFormat="false" ht="15" hidden="false" customHeight="false" outlineLevel="0" collapsed="false">
      <c r="A18365" s="0" t="str">
        <f aca="false">IMPRODUCT("1+i","0")</f>
        <v>0</v>
      </c>
      <c r="B18365" s="0" t="s">
        <v>18211</v>
      </c>
    </row>
    <row r="18366" customFormat="false" ht="15" hidden="false" customHeight="false" outlineLevel="0" collapsed="false">
      <c r="A18366" s="0" t="str">
        <f aca="false">IMPRODUCT("2","3")</f>
        <v>6</v>
      </c>
      <c r="B18366" s="0" t="s">
        <v>18212</v>
      </c>
    </row>
    <row r="18367" customFormat="false" ht="15" hidden="false" customHeight="false" outlineLevel="0" collapsed="false">
      <c r="A18367" s="0" t="str">
        <f aca="false">IMPRODUCT("4i","2i")</f>
        <v>-8</v>
      </c>
      <c r="B18367" s="0" t="s">
        <v>18213</v>
      </c>
    </row>
    <row r="18368" customFormat="false" ht="15" hidden="false" customHeight="false" outlineLevel="0" collapsed="false">
      <c r="A18368" s="0" t="str">
        <f aca="false">IMPRODUCT("1+i","1+j")</f>
        <v>2i</v>
      </c>
      <c r="B18368" s="0" t="s">
        <v>18214</v>
      </c>
    </row>
    <row r="18369" customFormat="false" ht="15" hidden="false" customHeight="false" outlineLevel="0" collapsed="false">
      <c r="A18369" s="0" t="e">
        <f aca="false">IMPRODUCT("1+i","abc")</f>
        <v>#VALUE!</v>
      </c>
      <c r="B18369" s="0" t="s">
        <v>18215</v>
      </c>
    </row>
    <row r="18370" customFormat="false" ht="15" hidden="false" customHeight="false" outlineLevel="0" collapsed="false">
      <c r="A18370" s="0" t="str">
        <f aca="false">IMPRODUCT("1+i","")</f>
        <v>1+i</v>
      </c>
      <c r="B18370" s="0" t="s">
        <v>18216</v>
      </c>
    </row>
    <row r="18371" customFormat="false" ht="15" hidden="false" customHeight="false" outlineLevel="0" collapsed="false">
      <c r="A18371" s="0" t="e">
        <f aca="false">IMPRODUCT("1E200+1E200i","1E200+1E200i")</f>
        <v>#VALUE!</v>
      </c>
      <c r="B18371" s="0" t="s">
        <v>18217</v>
      </c>
    </row>
    <row r="18372" customFormat="false" ht="15" hidden="false" customHeight="false" outlineLevel="0" collapsed="false">
      <c r="A18372" s="0" t="str">
        <f aca="false">IMPRODUCT("i","i")</f>
        <v>-1</v>
      </c>
      <c r="B18372" s="0" t="s">
        <v>18218</v>
      </c>
    </row>
    <row r="18373" customFormat="false" ht="15" hidden="false" customHeight="false" outlineLevel="0" collapsed="false">
      <c r="A18373" s="0" t="str">
        <f aca="false">IMPRODUCT("5","i")</f>
        <v>5i</v>
      </c>
      <c r="B18373" s="0" t="s">
        <v>18219</v>
      </c>
    </row>
    <row r="18374" customFormat="false" ht="15" hidden="false" customHeight="false" outlineLevel="0" collapsed="false">
      <c r="A18374" s="0" t="str">
        <f aca="false">IMPRODUCT("3+4i","2")</f>
        <v>6+8i</v>
      </c>
      <c r="B18374" s="0" t="s">
        <v>18220</v>
      </c>
    </row>
    <row r="18375" customFormat="false" ht="15" hidden="false" customHeight="false" outlineLevel="0" collapsed="false">
      <c r="A18375" s="0" t="str">
        <f aca="false">IMPRODUCT("1.5+2.5i","-0.5-1.5i")</f>
        <v>3-3.5i</v>
      </c>
      <c r="B18375" s="0" t="s">
        <v>18221</v>
      </c>
    </row>
    <row r="18376" customFormat="false" ht="15" hidden="false" customHeight="false" outlineLevel="0" collapsed="false">
      <c r="A18376" s="0" t="str">
        <f aca="false">IMPRODUCT("1E-200+1i","1E-200+1i")</f>
        <v>-1+2e-200i</v>
      </c>
      <c r="B18376" s="0" t="s">
        <v>18222</v>
      </c>
    </row>
    <row r="18377" customFormat="false" ht="15" hidden="false" customHeight="false" outlineLevel="0" collapsed="false">
      <c r="A18377" s="0" t="str">
        <f aca="false">IMPRODUCT("j","j")</f>
        <v>-1</v>
      </c>
      <c r="B18377" s="0" t="s">
        <v>18223</v>
      </c>
    </row>
    <row r="18378" customFormat="false" ht="15" hidden="false" customHeight="false" outlineLevel="0" collapsed="false">
      <c r="A18378" s="0" t="str">
        <f aca="false">IMPRODUCT("1+i","1")</f>
        <v>1+i</v>
      </c>
      <c r="B18378" s="0" t="s">
        <v>18224</v>
      </c>
    </row>
    <row r="18379" customFormat="false" ht="15" hidden="false" customHeight="false" outlineLevel="0" collapsed="false">
      <c r="A18379" s="0" t="str">
        <f aca="false">IMPRODUCT("1+i")</f>
        <v>1+i</v>
      </c>
      <c r="B18379" s="0" t="s">
        <v>18225</v>
      </c>
    </row>
    <row r="18380" customFormat="false" ht="15" hidden="false" customHeight="false" outlineLevel="0" collapsed="false">
      <c r="A18380" s="0" t="str">
        <f aca="false">IMPRODUCT("1+i","2+i","3-i")</f>
        <v>6+8i</v>
      </c>
      <c r="B18380" s="0" t="s">
        <v>18226</v>
      </c>
    </row>
    <row r="18381" customFormat="false" ht="15" hidden="false" customHeight="false" outlineLevel="0" collapsed="false">
      <c r="A18381" s="0" t="str">
        <f aca="false">IMPRODUCT(Data!A1:A3)</f>
        <v>120</v>
      </c>
      <c r="B18381" s="0" t="s">
        <v>18227</v>
      </c>
    </row>
    <row r="18382" customFormat="false" ht="15" hidden="false" customHeight="false" outlineLevel="0" collapsed="false">
      <c r="A18382" s="0" t="str">
        <f aca="false">IMPRODUCT(Data!A1:A2,Data!A3)</f>
        <v>120</v>
      </c>
      <c r="B18382" s="0" t="s">
        <v>18228</v>
      </c>
    </row>
    <row r="18383" customFormat="false" ht="15" hidden="false" customHeight="false" outlineLevel="0" collapsed="false">
      <c r="A18383" s="0" t="str">
        <f aca="false">IMPRODUCT(1,2)</f>
        <v>2</v>
      </c>
      <c r="B18383" s="0" t="s">
        <v>18229</v>
      </c>
    </row>
    <row r="18384" customFormat="false" ht="15" hidden="false" customHeight="false" outlineLevel="0" collapsed="false">
      <c r="A18384" s="0" t="str">
        <f aca="false">IMPRODUCT(TRUE(),1)</f>
        <v>1</v>
      </c>
      <c r="B18384" s="0" t="s">
        <v>18230</v>
      </c>
    </row>
    <row r="18385" customFormat="false" ht="15" hidden="false" customHeight="false" outlineLevel="0" collapsed="false">
      <c r="A18385" s="0" t="e">
        <f aca="false">IMPRODUCT("1+i",NA())</f>
        <v>#N/A</v>
      </c>
      <c r="B18385" s="0" t="s">
        <v>18231</v>
      </c>
    </row>
    <row r="18386" customFormat="false" ht="15" hidden="false" customHeight="false" outlineLevel="0" collapsed="false">
      <c r="A18386" s="0" t="str">
        <f aca="false">IMPRODUCT("1+i",Data!D1)</f>
        <v>0</v>
      </c>
      <c r="B18386" s="0" t="s">
        <v>18232</v>
      </c>
    </row>
    <row r="18387" customFormat="false" ht="15" hidden="false" customHeight="false" outlineLevel="0" collapsed="false">
      <c r="A18387" s="0" t="e">
        <f aca="false">IMPRODUCT("1+i",Data!B1)</f>
        <v>#VALUE!</v>
      </c>
      <c r="B18387" s="0" t="s">
        <v>18233</v>
      </c>
    </row>
    <row r="18388" customFormat="false" ht="15" hidden="false" customHeight="false" outlineLevel="0" collapsed="false">
      <c r="A18388" s="0" t="e">
        <f aca="false">IMPRODUCT("1+i",Data!B1:B2)</f>
        <v>#VALUE!</v>
      </c>
      <c r="B18388" s="0" t="s">
        <v>18234</v>
      </c>
    </row>
    <row r="18389" customFormat="false" ht="15" hidden="false" customHeight="false" outlineLevel="0" collapsed="false">
      <c r="A18389" s="0" t="e">
        <f aca="false">IMPRODUCT()</f>
        <v>#VALUE!</v>
      </c>
      <c r="B18389" s="0" t="s">
        <v>18235</v>
      </c>
    </row>
    <row r="18390" customFormat="false" ht="15" hidden="false" customHeight="false" outlineLevel="0" collapsed="false">
      <c r="A18390" s="0" t="str">
        <f aca="false">IMDIV("3+4i","1-2i")</f>
        <v>-1+2i</v>
      </c>
      <c r="B18390" s="0" t="s">
        <v>18236</v>
      </c>
    </row>
    <row r="18391" customFormat="false" ht="15" hidden="false" customHeight="false" outlineLevel="0" collapsed="false">
      <c r="A18391" s="0" t="str">
        <f aca="false">IMDIV("1+i","1-i")</f>
        <v>i</v>
      </c>
      <c r="B18391" s="0" t="s">
        <v>18237</v>
      </c>
    </row>
    <row r="18392" customFormat="false" ht="15" hidden="false" customHeight="false" outlineLevel="0" collapsed="false">
      <c r="A18392" s="0" t="str">
        <f aca="false">IMDIV("3+4i","3+4i")</f>
        <v>1</v>
      </c>
      <c r="B18392" s="0" t="s">
        <v>18238</v>
      </c>
    </row>
    <row r="18393" customFormat="false" ht="15" hidden="false" customHeight="false" outlineLevel="0" collapsed="false">
      <c r="A18393" s="0" t="str">
        <f aca="false">IMDIV("0","1+i")</f>
        <v>0</v>
      </c>
      <c r="B18393" s="0" t="s">
        <v>18239</v>
      </c>
    </row>
    <row r="18394" customFormat="false" ht="15" hidden="false" customHeight="false" outlineLevel="0" collapsed="false">
      <c r="A18394" s="0" t="e">
        <f aca="false">IMDIV("1+i","0")</f>
        <v>#VALUE!</v>
      </c>
      <c r="B18394" s="0" t="s">
        <v>18240</v>
      </c>
    </row>
    <row r="18395" customFormat="false" ht="15" hidden="false" customHeight="false" outlineLevel="0" collapsed="false">
      <c r="A18395" s="0" t="str">
        <f aca="false">IMDIV("2","3")</f>
        <v>0.666666666666667</v>
      </c>
      <c r="B18395" s="0" t="s">
        <v>18241</v>
      </c>
    </row>
    <row r="18396" customFormat="false" ht="15" hidden="false" customHeight="false" outlineLevel="0" collapsed="false">
      <c r="A18396" s="0" t="str">
        <f aca="false">IMDIV("4i","2i")</f>
        <v>2</v>
      </c>
      <c r="B18396" s="0" t="s">
        <v>18242</v>
      </c>
    </row>
    <row r="18397" customFormat="false" ht="15" hidden="false" customHeight="false" outlineLevel="0" collapsed="false">
      <c r="A18397" s="0" t="str">
        <f aca="false">IMDIV("1+i","1+j")</f>
        <v>1</v>
      </c>
      <c r="B18397" s="0" t="s">
        <v>18243</v>
      </c>
    </row>
    <row r="18398" customFormat="false" ht="15" hidden="false" customHeight="false" outlineLevel="0" collapsed="false">
      <c r="A18398" s="0" t="e">
        <f aca="false">IMDIV("1+i","abc")</f>
        <v>#VALUE!</v>
      </c>
      <c r="B18398" s="0" t="s">
        <v>18244</v>
      </c>
    </row>
    <row r="18399" customFormat="false" ht="15" hidden="false" customHeight="false" outlineLevel="0" collapsed="false">
      <c r="A18399" s="0" t="e">
        <f aca="false">IMDIV("1+i","")</f>
        <v>#VALUE!</v>
      </c>
      <c r="B18399" s="0" t="s">
        <v>18245</v>
      </c>
    </row>
    <row r="18400" customFormat="false" ht="15" hidden="false" customHeight="false" outlineLevel="0" collapsed="false">
      <c r="A18400" s="0" t="str">
        <f aca="false">IMDIV("1E200+1E200i","1E200+1E200i")</f>
        <v>1</v>
      </c>
      <c r="B18400" s="0" t="s">
        <v>18246</v>
      </c>
    </row>
    <row r="18401" customFormat="false" ht="15" hidden="false" customHeight="false" outlineLevel="0" collapsed="false">
      <c r="A18401" s="0" t="str">
        <f aca="false">IMDIV("i","i")</f>
        <v>1</v>
      </c>
      <c r="B18401" s="0" t="s">
        <v>18247</v>
      </c>
    </row>
    <row r="18402" customFormat="false" ht="15" hidden="false" customHeight="false" outlineLevel="0" collapsed="false">
      <c r="A18402" s="0" t="str">
        <f aca="false">IMDIV("5","i")</f>
        <v>-5i</v>
      </c>
      <c r="B18402" s="0" t="s">
        <v>18248</v>
      </c>
    </row>
    <row r="18403" customFormat="false" ht="15" hidden="false" customHeight="false" outlineLevel="0" collapsed="false">
      <c r="A18403" s="0" t="str">
        <f aca="false">IMDIV("3+4i","2")</f>
        <v>1.5+2i</v>
      </c>
      <c r="B18403" s="0" t="s">
        <v>18249</v>
      </c>
    </row>
    <row r="18404" customFormat="false" ht="15" hidden="false" customHeight="false" outlineLevel="0" collapsed="false">
      <c r="A18404" s="0" t="str">
        <f aca="false">IMDIV("1.5+2.5i","-0.5-1.5i")</f>
        <v>-1.8+0.4i</v>
      </c>
      <c r="B18404" s="0" t="s">
        <v>18250</v>
      </c>
    </row>
    <row r="18405" customFormat="false" ht="15" hidden="false" customHeight="false" outlineLevel="0" collapsed="false">
      <c r="A18405" s="0" t="str">
        <f aca="false">IMDIV("1E-200+1i","1E-200+1i")</f>
        <v>1</v>
      </c>
      <c r="B18405" s="0" t="s">
        <v>18251</v>
      </c>
    </row>
    <row r="18406" customFormat="false" ht="15" hidden="false" customHeight="false" outlineLevel="0" collapsed="false">
      <c r="A18406" s="0" t="str">
        <f aca="false">IMDIV("j","j")</f>
        <v>1</v>
      </c>
      <c r="B18406" s="0" t="s">
        <v>18252</v>
      </c>
    </row>
    <row r="18407" customFormat="false" ht="15" hidden="false" customHeight="false" outlineLevel="0" collapsed="false">
      <c r="A18407" s="0" t="str">
        <f aca="false">IMDIV("1+i","1")</f>
        <v>1+i</v>
      </c>
      <c r="B18407" s="0" t="s">
        <v>18253</v>
      </c>
    </row>
    <row r="18408" customFormat="false" ht="15" hidden="false" customHeight="false" outlineLevel="0" collapsed="false">
      <c r="A18408" s="0" t="e">
        <f aca="false">IMDIV("1+i")</f>
        <v>#VALUE!</v>
      </c>
      <c r="B18408" s="0" t="s">
        <v>18254</v>
      </c>
    </row>
    <row r="18409" customFormat="false" ht="15" hidden="false" customHeight="false" outlineLevel="0" collapsed="false">
      <c r="A18409" s="0" t="e">
        <f aca="false">IMDIV("1+i","2+i","3-i")</f>
        <v>#VALUE!</v>
      </c>
      <c r="B18409" s="0" t="s">
        <v>18255</v>
      </c>
    </row>
    <row r="18410" customFormat="false" ht="15" hidden="false" customHeight="false" outlineLevel="0" collapsed="false">
      <c r="A18410" s="0" t="e">
        <f aca="false">IMDIV(Data!A1:A3)</f>
        <v>#VALUE!</v>
      </c>
      <c r="B18410" s="0" t="s">
        <v>18256</v>
      </c>
    </row>
    <row r="18411" customFormat="false" ht="15" hidden="false" customHeight="false" outlineLevel="0" collapsed="false">
      <c r="A18411" s="0" t="e">
        <f aca="false">IMDIV(Data!A1:A2,Data!A3)</f>
        <v>#VALUE!</v>
      </c>
      <c r="B18411" s="0" t="s">
        <v>18257</v>
      </c>
    </row>
    <row r="18412" customFormat="false" ht="15" hidden="false" customHeight="false" outlineLevel="0" collapsed="false">
      <c r="A18412" s="0" t="str">
        <f aca="false">IMDIV(1,2)</f>
        <v>0.5</v>
      </c>
      <c r="B18412" s="0" t="s">
        <v>18258</v>
      </c>
    </row>
    <row r="18413" customFormat="false" ht="15" hidden="false" customHeight="false" outlineLevel="0" collapsed="false">
      <c r="A18413" s="0" t="str">
        <f aca="false">IMDIV(TRUE(),1)</f>
        <v>1</v>
      </c>
      <c r="B18413" s="0" t="s">
        <v>18259</v>
      </c>
    </row>
    <row r="18414" customFormat="false" ht="15" hidden="false" customHeight="false" outlineLevel="0" collapsed="false">
      <c r="A18414" s="0" t="e">
        <f aca="false">IMDIV("1+i",NA())</f>
        <v>#N/A</v>
      </c>
      <c r="B18414" s="0" t="s">
        <v>18260</v>
      </c>
    </row>
    <row r="18415" customFormat="false" ht="15" hidden="false" customHeight="false" outlineLevel="0" collapsed="false">
      <c r="A18415" s="0" t="e">
        <f aca="false">IMDIV("1+i",Data!D1)</f>
        <v>#VALUE!</v>
      </c>
      <c r="B18415" s="0" t="s">
        <v>18261</v>
      </c>
    </row>
    <row r="18416" customFormat="false" ht="15" hidden="false" customHeight="false" outlineLevel="0" collapsed="false">
      <c r="A18416" s="0" t="e">
        <f aca="false">IMDIV("1+i",Data!B1)</f>
        <v>#VALUE!</v>
      </c>
      <c r="B18416" s="0" t="s">
        <v>18262</v>
      </c>
    </row>
    <row r="18417" customFormat="false" ht="15" hidden="false" customHeight="false" outlineLevel="0" collapsed="false">
      <c r="A18417" s="0" t="e">
        <f aca="false">IMDIV("1+i",Data!B1:B2)</f>
        <v>#VALUE!</v>
      </c>
      <c r="B18417" s="0" t="s">
        <v>18263</v>
      </c>
    </row>
    <row r="18418" customFormat="false" ht="15" hidden="false" customHeight="false" outlineLevel="0" collapsed="false">
      <c r="A18418" s="0" t="e">
        <f aca="false">IMDIV()</f>
        <v>#VALUE!</v>
      </c>
      <c r="B18418" s="0" t="s">
        <v>18264</v>
      </c>
    </row>
    <row r="18419" customFormat="false" ht="15" hidden="false" customHeight="false" outlineLevel="0" collapsed="false">
      <c r="A18419" s="0" t="str">
        <f aca="false">IMSUM("1+i","2+i","3-i","1","i")</f>
        <v>7+2i</v>
      </c>
      <c r="B18419" s="0" t="s">
        <v>18265</v>
      </c>
    </row>
    <row r="18420" customFormat="false" ht="15" hidden="false" customHeight="false" outlineLevel="0" collapsed="false">
      <c r="A18420" s="0" t="str">
        <f aca="false">IMPRODUCT("1+i","2+i","3-i","1","i")</f>
        <v>-8+6i</v>
      </c>
      <c r="B18420" s="0" t="s">
        <v>18266</v>
      </c>
    </row>
    <row r="18421" customFormat="false" ht="15" hidden="false" customHeight="false" outlineLevel="0" collapsed="false">
      <c r="A18421" s="0" t="str">
        <f aca="false">IMSUM(Data!A1:A3,"i")</f>
        <v>16+i</v>
      </c>
      <c r="B18421" s="0" t="s">
        <v>18267</v>
      </c>
    </row>
    <row r="18422" customFormat="false" ht="15" hidden="false" customHeight="false" outlineLevel="0" collapsed="false">
      <c r="A18422" s="0" t="str">
        <f aca="false">IMPRODUCT(Data!A1:A3,"i")</f>
        <v>120i</v>
      </c>
      <c r="B18422" s="0" t="s">
        <v>18268</v>
      </c>
    </row>
    <row r="18423" customFormat="false" ht="15" hidden="false" customHeight="false" outlineLevel="0" collapsed="false">
      <c r="A18423" s="0" t="str">
        <f aca="false">IMPRODUCT(Data!D1:D3)</f>
        <v>0</v>
      </c>
      <c r="B18423" s="0" t="s">
        <v>18269</v>
      </c>
    </row>
    <row r="18424" customFormat="false" ht="15" hidden="false" customHeight="false" outlineLevel="0" collapsed="false">
      <c r="A18424" s="0" t="str">
        <f aca="false">IMSUM(Data!D1:D3)</f>
        <v>0</v>
      </c>
      <c r="B18424" s="0" t="s">
        <v>18270</v>
      </c>
    </row>
    <row r="18425" customFormat="false" ht="15" hidden="false" customHeight="false" outlineLevel="0" collapsed="false">
      <c r="A18425" s="0" t="str">
        <f aca="false">IMPRODUCT("1+i",Data!D1:D3)</f>
        <v>1+i</v>
      </c>
      <c r="B18425" s="0" t="s">
        <v>18271</v>
      </c>
    </row>
    <row r="18426" customFormat="false" ht="15" hidden="false" customHeight="false" outlineLevel="0" collapsed="false">
      <c r="A18426" s="0" t="str">
        <f aca="false">IMSUM("1+i",Data!D1:D3)</f>
        <v>1+i</v>
      </c>
      <c r="B18426" s="0" t="s">
        <v>18272</v>
      </c>
    </row>
    <row r="18427" customFormat="false" ht="15" hidden="false" customHeight="false" outlineLevel="0" collapsed="false">
      <c r="A18427" s="0" t="e">
        <f aca="false">IMSUM(Data!B1:B3)</f>
        <v>#VALUE!</v>
      </c>
      <c r="B18427" s="0" t="s">
        <v>18273</v>
      </c>
    </row>
    <row r="18428" customFormat="false" ht="15" hidden="false" customHeight="false" outlineLevel="0" collapsed="false">
      <c r="A18428" s="0" t="e">
        <f aca="false">IMPRODUCT(Data!M1:M4)</f>
        <v>#VALUE!</v>
      </c>
      <c r="B18428" s="0" t="s">
        <v>18274</v>
      </c>
    </row>
    <row r="18429" customFormat="false" ht="15" hidden="false" customHeight="false" outlineLevel="0" collapsed="false">
      <c r="A18429" s="0" t="e">
        <f aca="false">IMSUM(Data!M1:M4)</f>
        <v>#VALUE!</v>
      </c>
      <c r="B18429" s="0" t="s">
        <v>18275</v>
      </c>
    </row>
    <row r="18430" customFormat="false" ht="15" hidden="false" customHeight="false" outlineLevel="0" collapsed="false">
      <c r="A18430" s="0" t="str">
        <f aca="false">IMSUM(Data!K1:K3,Data!K4)</f>
        <v>15</v>
      </c>
      <c r="B18430" s="0" t="s">
        <v>18276</v>
      </c>
    </row>
    <row r="18431" customFormat="false" ht="15" hidden="false" customHeight="false" outlineLevel="0" collapsed="false">
      <c r="A18431" s="0" t="str">
        <f aca="false">IMPRODUCT({"1+i","2";"i","3"})</f>
        <v>-6+6i</v>
      </c>
      <c r="B18431" s="0" t="s">
        <v>18277</v>
      </c>
    </row>
    <row r="18432" customFormat="false" ht="15" hidden="false" customHeight="false" outlineLevel="0" collapsed="false">
      <c r="A18432" s="0" t="str">
        <f aca="false">IMSUM({"1+i","2";"i","3"})</f>
        <v>6+2i</v>
      </c>
      <c r="B18432" s="0" t="s">
        <v>18278</v>
      </c>
    </row>
    <row r="18433" customFormat="false" ht="15" hidden="false" customHeight="false" outlineLevel="0" collapsed="false">
      <c r="A18433" s="0" t="str">
        <f aca="false">IMPOWER("3+4i",2)</f>
        <v>-7+24i</v>
      </c>
      <c r="B18433" s="0" t="s">
        <v>18279</v>
      </c>
    </row>
    <row r="18434" customFormat="false" ht="15" hidden="false" customHeight="false" outlineLevel="0" collapsed="false">
      <c r="A18434" s="0" t="str">
        <f aca="false">IMPOWER("3+4i",0)</f>
        <v>1</v>
      </c>
      <c r="B18434" s="0" t="s">
        <v>18280</v>
      </c>
    </row>
    <row r="18435" customFormat="false" ht="15" hidden="false" customHeight="false" outlineLevel="0" collapsed="false">
      <c r="A18435" s="0" t="str">
        <f aca="false">IMPOWER("3+4i",1)</f>
        <v>3+4i</v>
      </c>
      <c r="B18435" s="0" t="s">
        <v>18281</v>
      </c>
    </row>
    <row r="18436" customFormat="false" ht="15" hidden="false" customHeight="false" outlineLevel="0" collapsed="false">
      <c r="A18436" s="0" t="str">
        <f aca="false">IMPOWER("3+4i",-1)</f>
        <v>0.12-0.16i</v>
      </c>
      <c r="B18436" s="0" t="s">
        <v>18282</v>
      </c>
    </row>
    <row r="18437" customFormat="false" ht="15" hidden="false" customHeight="false" outlineLevel="0" collapsed="false">
      <c r="A18437" s="0" t="str">
        <f aca="false">IMPOWER("3+4i",0.5)</f>
        <v>2+i</v>
      </c>
      <c r="B18437" s="0" t="s">
        <v>18283</v>
      </c>
    </row>
    <row r="18438" customFormat="false" ht="15" hidden="false" customHeight="false" outlineLevel="0" collapsed="false">
      <c r="A18438" s="0" t="str">
        <f aca="false">IMPOWER("3+4i",-0.5)</f>
        <v>0.4-0.2i</v>
      </c>
      <c r="B18438" s="0" t="s">
        <v>18284</v>
      </c>
    </row>
    <row r="18439" customFormat="false" ht="15" hidden="false" customHeight="false" outlineLevel="0" collapsed="false">
      <c r="A18439" s="0" t="str">
        <f aca="false">IMPOWER("3+4i",3)</f>
        <v>-117+44i</v>
      </c>
      <c r="B18439" s="0" t="s">
        <v>18285</v>
      </c>
    </row>
    <row r="18440" customFormat="false" ht="15" hidden="false" customHeight="false" outlineLevel="0" collapsed="false">
      <c r="A18440" s="0" t="str">
        <f aca="false">IMPOWER("3+4i",1.5)</f>
        <v>2+11i</v>
      </c>
      <c r="B18440" s="0" t="s">
        <v>18286</v>
      </c>
    </row>
    <row r="18441" customFormat="false" ht="15" hidden="false" customHeight="false" outlineLevel="0" collapsed="false">
      <c r="A18441" s="0" t="str">
        <f aca="false">IMPOWER("3+4i",10)</f>
        <v>-9653286.99999999+1476984.00000001i</v>
      </c>
      <c r="B18441" s="0" t="s">
        <v>18287</v>
      </c>
    </row>
    <row r="18442" customFormat="false" ht="15" hidden="false" customHeight="false" outlineLevel="0" collapsed="false">
      <c r="A18442" s="0" t="str">
        <f aca="false">IMPOWER("3+4i",TRUE())</f>
        <v>3+4i</v>
      </c>
      <c r="B18442" s="0" t="s">
        <v>18288</v>
      </c>
    </row>
    <row r="18443" customFormat="false" ht="15" hidden="false" customHeight="false" outlineLevel="0" collapsed="false">
      <c r="A18443" s="0" t="str">
        <f aca="false">IMPOWER("3+4i","2")</f>
        <v>-7+24i</v>
      </c>
      <c r="B18443" s="0" t="s">
        <v>18289</v>
      </c>
    </row>
    <row r="18444" customFormat="false" ht="15" hidden="false" customHeight="false" outlineLevel="0" collapsed="false">
      <c r="A18444" s="0" t="e">
        <f aca="false">IMPOWER("3+4i","x")</f>
        <v>#VALUE!</v>
      </c>
      <c r="B18444" s="0" t="s">
        <v>18290</v>
      </c>
    </row>
    <row r="18445" customFormat="false" ht="15" hidden="false" customHeight="false" outlineLevel="0" collapsed="false">
      <c r="A18445" s="0" t="str">
        <f aca="false">IMPOWER("3+4i",Data!D1)</f>
        <v>1</v>
      </c>
      <c r="B18445" s="0" t="s">
        <v>18291</v>
      </c>
    </row>
    <row r="18446" customFormat="false" ht="15" hidden="false" customHeight="false" outlineLevel="0" collapsed="false">
      <c r="A18446" s="0" t="e">
        <f aca="false">IMPOWER("3+4i",NA())</f>
        <v>#N/A</v>
      </c>
      <c r="B18446" s="0" t="s">
        <v>18292</v>
      </c>
    </row>
    <row r="18447" customFormat="false" ht="15" hidden="false" customHeight="false" outlineLevel="0" collapsed="false">
      <c r="A18447" s="0" t="e">
        <f aca="false">IMPOWER("3+4i",10000000000)</f>
        <v>#VALUE!</v>
      </c>
      <c r="B18447" s="0" t="s">
        <v>18293</v>
      </c>
    </row>
    <row r="18448" customFormat="false" ht="15" hidden="false" customHeight="false" outlineLevel="0" collapsed="false">
      <c r="A18448" s="0" t="str">
        <f aca="false">IMPOWER("3+4i",-3)</f>
        <v>-0.007488-0.002816i</v>
      </c>
      <c r="B18448" s="0" t="s">
        <v>18294</v>
      </c>
    </row>
    <row r="18449" customFormat="false" ht="15" hidden="false" customHeight="false" outlineLevel="0" collapsed="false">
      <c r="A18449" s="0" t="str">
        <f aca="false">IMPOWER("3+4i",0.1)</f>
        <v>1.16957242512874+0.108765821100655i</v>
      </c>
      <c r="B18449" s="0" t="s">
        <v>18295</v>
      </c>
    </row>
    <row r="18450" customFormat="false" ht="15" hidden="false" customHeight="false" outlineLevel="0" collapsed="false">
      <c r="A18450" s="0" t="e">
        <f aca="false">IMPOWER("3+4i",Data!A1:A2)</f>
        <v>#VALUE!</v>
      </c>
      <c r="B18450" s="0" t="s">
        <v>18296</v>
      </c>
    </row>
    <row r="18451" customFormat="false" ht="15" hidden="false" customHeight="false" outlineLevel="0" collapsed="false">
      <c r="A18451" s="0" t="str">
        <f aca="false">IMPOWER("3+4i",2.5)</f>
        <v>-38+41i</v>
      </c>
      <c r="B18451" s="0" t="s">
        <v>18297</v>
      </c>
    </row>
    <row r="18452" customFormat="false" ht="15" hidden="false" customHeight="false" outlineLevel="0" collapsed="false">
      <c r="A18452" s="0" t="str">
        <f aca="false">IMPOWER("3+4i",100)</f>
        <v>4.14265194823342e+68-7.87772410833032e+69i</v>
      </c>
      <c r="B18452" s="0" t="s">
        <v>18298</v>
      </c>
    </row>
    <row r="18453" customFormat="false" ht="15" hidden="false" customHeight="false" outlineLevel="0" collapsed="false">
      <c r="A18453" s="0" t="str">
        <f aca="false">IMPOWER("1+i",2)</f>
        <v>1.22464679914735e-16+2i</v>
      </c>
      <c r="B18453" s="0" t="s">
        <v>18299</v>
      </c>
    </row>
    <row r="18454" customFormat="false" ht="15" hidden="false" customHeight="false" outlineLevel="0" collapsed="false">
      <c r="A18454" s="0" t="str">
        <f aca="false">IMPOWER("1+i",0)</f>
        <v>1</v>
      </c>
      <c r="B18454" s="0" t="s">
        <v>18300</v>
      </c>
    </row>
    <row r="18455" customFormat="false" ht="15" hidden="false" customHeight="false" outlineLevel="0" collapsed="false">
      <c r="A18455" s="0" t="str">
        <f aca="false">IMPOWER("1+i",1)</f>
        <v>1+1i</v>
      </c>
      <c r="B18455" s="0" t="s">
        <v>18301</v>
      </c>
    </row>
    <row r="18456" customFormat="false" ht="15" hidden="false" customHeight="false" outlineLevel="0" collapsed="false">
      <c r="A18456" s="0" t="str">
        <f aca="false">IMPOWER("1+i",-1)</f>
        <v>0.5-0.5i</v>
      </c>
      <c r="B18456" s="0" t="s">
        <v>18302</v>
      </c>
    </row>
    <row r="18457" customFormat="false" ht="15" hidden="false" customHeight="false" outlineLevel="0" collapsed="false">
      <c r="A18457" s="0" t="str">
        <f aca="false">IMPOWER("1+i",0.5)</f>
        <v>1.09868411346781+0.455089860562227i</v>
      </c>
      <c r="B18457" s="0" t="s">
        <v>18303</v>
      </c>
    </row>
    <row r="18458" customFormat="false" ht="15" hidden="false" customHeight="false" outlineLevel="0" collapsed="false">
      <c r="A18458" s="0" t="str">
        <f aca="false">IMPOWER("1+i",-0.5)</f>
        <v>0.776886987015019-0.321797126452791i</v>
      </c>
      <c r="B18458" s="0" t="s">
        <v>18304</v>
      </c>
    </row>
    <row r="18459" customFormat="false" ht="15" hidden="false" customHeight="false" outlineLevel="0" collapsed="false">
      <c r="A18459" s="0" t="str">
        <f aca="false">IMPOWER("1+i",3)</f>
        <v>-2+2i</v>
      </c>
      <c r="B18459" s="0" t="s">
        <v>18305</v>
      </c>
    </row>
    <row r="18460" customFormat="false" ht="15" hidden="false" customHeight="false" outlineLevel="0" collapsed="false">
      <c r="A18460" s="0" t="str">
        <f aca="false">IMPOWER("1+i",1.5)</f>
        <v>0.643594252905583+1.55377397403004i</v>
      </c>
      <c r="B18460" s="0" t="s">
        <v>18306</v>
      </c>
    </row>
    <row r="18461" customFormat="false" ht="15" hidden="false" customHeight="false" outlineLevel="0" collapsed="false">
      <c r="A18461" s="0" t="str">
        <f aca="false">IMPOWER("1+i",10)</f>
        <v>9.79717439317883e-15+32i</v>
      </c>
      <c r="B18461" s="0" t="s">
        <v>18307</v>
      </c>
    </row>
    <row r="18462" customFormat="false" ht="15" hidden="false" customHeight="false" outlineLevel="0" collapsed="false">
      <c r="A18462" s="0" t="str">
        <f aca="false">IMPOWER("1+i",TRUE())</f>
        <v>1+1i</v>
      </c>
      <c r="B18462" s="0" t="s">
        <v>18308</v>
      </c>
    </row>
    <row r="18463" customFormat="false" ht="15" hidden="false" customHeight="false" outlineLevel="0" collapsed="false">
      <c r="A18463" s="0" t="str">
        <f aca="false">IMPOWER("1+i","2")</f>
        <v>1.22464679914735e-16+2i</v>
      </c>
      <c r="B18463" s="0" t="s">
        <v>18309</v>
      </c>
    </row>
    <row r="18464" customFormat="false" ht="15" hidden="false" customHeight="false" outlineLevel="0" collapsed="false">
      <c r="A18464" s="0" t="e">
        <f aca="false">IMPOWER("1+i","x")</f>
        <v>#VALUE!</v>
      </c>
      <c r="B18464" s="0" t="s">
        <v>18310</v>
      </c>
    </row>
    <row r="18465" customFormat="false" ht="15" hidden="false" customHeight="false" outlineLevel="0" collapsed="false">
      <c r="A18465" s="0" t="str">
        <f aca="false">IMPOWER("1+i",Data!D1)</f>
        <v>1</v>
      </c>
      <c r="B18465" s="0" t="s">
        <v>18311</v>
      </c>
    </row>
    <row r="18466" customFormat="false" ht="15" hidden="false" customHeight="false" outlineLevel="0" collapsed="false">
      <c r="A18466" s="0" t="e">
        <f aca="false">IMPOWER("1+i",NA())</f>
        <v>#N/A</v>
      </c>
      <c r="B18466" s="0" t="s">
        <v>18312</v>
      </c>
    </row>
    <row r="18467" customFormat="false" ht="15" hidden="false" customHeight="false" outlineLevel="0" collapsed="false">
      <c r="A18467" s="0" t="e">
        <f aca="false">IMPOWER("1+i",10000000000)</f>
        <v>#VALUE!</v>
      </c>
      <c r="B18467" s="0" t="s">
        <v>18313</v>
      </c>
    </row>
    <row r="18468" customFormat="false" ht="15" hidden="false" customHeight="false" outlineLevel="0" collapsed="false">
      <c r="A18468" s="0" t="str">
        <f aca="false">IMPOWER("1+i",-3)</f>
        <v>-0.25-0.25i</v>
      </c>
      <c r="B18468" s="0" t="s">
        <v>18314</v>
      </c>
    </row>
    <row r="18469" customFormat="false" ht="15" hidden="false" customHeight="false" outlineLevel="0" collapsed="false">
      <c r="A18469" s="0" t="str">
        <f aca="false">IMPOWER("1+i",0.1)</f>
        <v>1.03207354758338+0.0812259497633507i</v>
      </c>
      <c r="B18469" s="0" t="s">
        <v>18315</v>
      </c>
    </row>
    <row r="18470" customFormat="false" ht="15" hidden="false" customHeight="false" outlineLevel="0" collapsed="false">
      <c r="A18470" s="0" t="e">
        <f aca="false">IMPOWER("1+i",Data!A1:A2)</f>
        <v>#VALUE!</v>
      </c>
      <c r="B18470" s="0" t="s">
        <v>18316</v>
      </c>
    </row>
    <row r="18471" customFormat="false" ht="15" hidden="false" customHeight="false" outlineLevel="0" collapsed="false">
      <c r="A18471" s="0" t="str">
        <f aca="false">IMPOWER("1+i",2.5)</f>
        <v>-0.910179721124455+2.19736822693562i</v>
      </c>
      <c r="B18471" s="0" t="s">
        <v>18317</v>
      </c>
    </row>
    <row r="18472" customFormat="false" ht="15" hidden="false" customHeight="false" outlineLevel="0" collapsed="false">
      <c r="A18472" s="0" t="str">
        <f aca="false">IMPOWER("1+i",100)</f>
        <v>-1.12589990684262e+15-0.552925707312194i</v>
      </c>
      <c r="B18472" s="0" t="s">
        <v>18318</v>
      </c>
    </row>
    <row r="18473" customFormat="false" ht="15" hidden="false" customHeight="false" outlineLevel="0" collapsed="false">
      <c r="A18473" s="0" t="str">
        <f aca="false">IMPOWER("i",2)</f>
        <v>-1+1.22464679914735e-16i</v>
      </c>
      <c r="B18473" s="0" t="s">
        <v>18319</v>
      </c>
    </row>
    <row r="18474" customFormat="false" ht="15" hidden="false" customHeight="false" outlineLevel="0" collapsed="false">
      <c r="A18474" s="0" t="str">
        <f aca="false">IMPOWER("i",0)</f>
        <v>1</v>
      </c>
      <c r="B18474" s="0" t="s">
        <v>18320</v>
      </c>
    </row>
    <row r="18475" customFormat="false" ht="15" hidden="false" customHeight="false" outlineLevel="0" collapsed="false">
      <c r="A18475" s="0" t="str">
        <f aca="false">IMPOWER("i",1)</f>
        <v>6.12323399573677e-17+i</v>
      </c>
      <c r="B18475" s="0" t="s">
        <v>18321</v>
      </c>
    </row>
    <row r="18476" customFormat="false" ht="15" hidden="false" customHeight="false" outlineLevel="0" collapsed="false">
      <c r="A18476" s="0" t="str">
        <f aca="false">IMPOWER("i",-1)</f>
        <v>6.12323399573677e-17-i</v>
      </c>
      <c r="B18476" s="0" t="s">
        <v>18322</v>
      </c>
    </row>
    <row r="18477" customFormat="false" ht="15" hidden="false" customHeight="false" outlineLevel="0" collapsed="false">
      <c r="A18477" s="0" t="str">
        <f aca="false">IMPOWER("i",0.5)</f>
        <v>0.707106781186548+0.707106781186547i</v>
      </c>
      <c r="B18477" s="0" t="s">
        <v>18323</v>
      </c>
    </row>
    <row r="18478" customFormat="false" ht="15" hidden="false" customHeight="false" outlineLevel="0" collapsed="false">
      <c r="A18478" s="0" t="str">
        <f aca="false">IMPOWER("i",-0.5)</f>
        <v>0.707106781186548-0.707106781186547i</v>
      </c>
      <c r="B18478" s="0" t="s">
        <v>18324</v>
      </c>
    </row>
    <row r="18479" customFormat="false" ht="15" hidden="false" customHeight="false" outlineLevel="0" collapsed="false">
      <c r="A18479" s="0" t="str">
        <f aca="false">IMPOWER("i",3)</f>
        <v>-1.83697019872103e-16-i</v>
      </c>
      <c r="B18479" s="0" t="s">
        <v>18325</v>
      </c>
    </row>
    <row r="18480" customFormat="false" ht="15" hidden="false" customHeight="false" outlineLevel="0" collapsed="false">
      <c r="A18480" s="0" t="str">
        <f aca="false">IMPOWER("i",1.5)</f>
        <v>-0.707106781186547+0.707106781186548i</v>
      </c>
      <c r="B18480" s="0" t="s">
        <v>18326</v>
      </c>
    </row>
    <row r="18481" customFormat="false" ht="15" hidden="false" customHeight="false" outlineLevel="0" collapsed="false">
      <c r="A18481" s="0" t="str">
        <f aca="false">IMPOWER("i",10)</f>
        <v>-1+6.12323399573677e-16i</v>
      </c>
      <c r="B18481" s="0" t="s">
        <v>18327</v>
      </c>
    </row>
    <row r="18482" customFormat="false" ht="15" hidden="false" customHeight="false" outlineLevel="0" collapsed="false">
      <c r="A18482" s="0" t="str">
        <f aca="false">IMPOWER("i",TRUE())</f>
        <v>6.12323399573677e-17+i</v>
      </c>
      <c r="B18482" s="0" t="s">
        <v>18328</v>
      </c>
    </row>
    <row r="18483" customFormat="false" ht="15" hidden="false" customHeight="false" outlineLevel="0" collapsed="false">
      <c r="A18483" s="0" t="str">
        <f aca="false">IMPOWER("i","2")</f>
        <v>-1+1.22464679914735e-16i</v>
      </c>
      <c r="B18483" s="0" t="s">
        <v>18329</v>
      </c>
    </row>
    <row r="18484" customFormat="false" ht="15" hidden="false" customHeight="false" outlineLevel="0" collapsed="false">
      <c r="A18484" s="0" t="e">
        <f aca="false">IMPOWER("i","x")</f>
        <v>#VALUE!</v>
      </c>
      <c r="B18484" s="0" t="s">
        <v>18330</v>
      </c>
    </row>
    <row r="18485" customFormat="false" ht="15" hidden="false" customHeight="false" outlineLevel="0" collapsed="false">
      <c r="A18485" s="0" t="str">
        <f aca="false">IMPOWER("i",Data!D1)</f>
        <v>1</v>
      </c>
      <c r="B18485" s="0" t="s">
        <v>18331</v>
      </c>
    </row>
    <row r="18486" customFormat="false" ht="15" hidden="false" customHeight="false" outlineLevel="0" collapsed="false">
      <c r="A18486" s="0" t="e">
        <f aca="false">IMPOWER("i",NA())</f>
        <v>#N/A</v>
      </c>
      <c r="B18486" s="0" t="s">
        <v>18332</v>
      </c>
    </row>
    <row r="18487" customFormat="false" ht="15" hidden="false" customHeight="false" outlineLevel="0" collapsed="false">
      <c r="A18487" s="0" t="str">
        <f aca="false">IMPOWER("i",10000000000)</f>
        <v>0.999999999999373-1.11968138097866e-06i</v>
      </c>
      <c r="B18487" s="0" t="s">
        <v>18333</v>
      </c>
    </row>
    <row r="18488" customFormat="false" ht="15" hidden="false" customHeight="false" outlineLevel="0" collapsed="false">
      <c r="A18488" s="0" t="str">
        <f aca="false">IMPOWER("i",-3)</f>
        <v>-1.83697019872103e-16+i</v>
      </c>
      <c r="B18488" s="0" t="s">
        <v>18334</v>
      </c>
    </row>
    <row r="18489" customFormat="false" ht="15" hidden="false" customHeight="false" outlineLevel="0" collapsed="false">
      <c r="A18489" s="0" t="str">
        <f aca="false">IMPOWER("i",0.1)</f>
        <v>0.987688340595138+0.156434465040231i</v>
      </c>
      <c r="B18489" s="0" t="s">
        <v>18335</v>
      </c>
    </row>
    <row r="18490" customFormat="false" ht="15" hidden="false" customHeight="false" outlineLevel="0" collapsed="false">
      <c r="A18490" s="0" t="e">
        <f aca="false">IMPOWER("i",Data!A1:A2)</f>
        <v>#VALUE!</v>
      </c>
      <c r="B18490" s="0" t="s">
        <v>18336</v>
      </c>
    </row>
    <row r="18491" customFormat="false" ht="15" hidden="false" customHeight="false" outlineLevel="0" collapsed="false">
      <c r="A18491" s="0" t="str">
        <f aca="false">IMPOWER("i",2.5)</f>
        <v>-0.707106781186548-0.707106781186547i</v>
      </c>
      <c r="B18491" s="0" t="s">
        <v>18337</v>
      </c>
    </row>
    <row r="18492" customFormat="false" ht="15" hidden="false" customHeight="false" outlineLevel="0" collapsed="false">
      <c r="A18492" s="0" t="str">
        <f aca="false">IMPOWER("i",100)</f>
        <v>1+9.82193361864236e-16i</v>
      </c>
      <c r="B18492" s="0" t="s">
        <v>18338</v>
      </c>
    </row>
    <row r="18493" customFormat="false" ht="15" hidden="false" customHeight="false" outlineLevel="0" collapsed="false">
      <c r="A18493" s="0" t="str">
        <f aca="false">IMPOWER("2",2)</f>
        <v>4</v>
      </c>
      <c r="B18493" s="0" t="s">
        <v>18339</v>
      </c>
    </row>
    <row r="18494" customFormat="false" ht="15" hidden="false" customHeight="false" outlineLevel="0" collapsed="false">
      <c r="A18494" s="0" t="str">
        <f aca="false">IMPOWER("2",0)</f>
        <v>1</v>
      </c>
      <c r="B18494" s="0" t="s">
        <v>18340</v>
      </c>
    </row>
    <row r="18495" customFormat="false" ht="15" hidden="false" customHeight="false" outlineLevel="0" collapsed="false">
      <c r="A18495" s="0" t="str">
        <f aca="false">IMPOWER("2",1)</f>
        <v>2</v>
      </c>
      <c r="B18495" s="0" t="s">
        <v>18341</v>
      </c>
    </row>
    <row r="18496" customFormat="false" ht="15" hidden="false" customHeight="false" outlineLevel="0" collapsed="false">
      <c r="A18496" s="0" t="str">
        <f aca="false">IMPOWER("2",-1)</f>
        <v>0.5</v>
      </c>
      <c r="B18496" s="0" t="s">
        <v>18342</v>
      </c>
    </row>
    <row r="18497" customFormat="false" ht="15" hidden="false" customHeight="false" outlineLevel="0" collapsed="false">
      <c r="A18497" s="0" t="str">
        <f aca="false">IMPOWER("2",0.5)</f>
        <v>1.4142135623731</v>
      </c>
      <c r="B18497" s="0" t="s">
        <v>18343</v>
      </c>
    </row>
    <row r="18498" customFormat="false" ht="15" hidden="false" customHeight="false" outlineLevel="0" collapsed="false">
      <c r="A18498" s="0" t="str">
        <f aca="false">IMPOWER("2",-0.5)</f>
        <v>0.707106781186548</v>
      </c>
      <c r="B18498" s="0" t="s">
        <v>18344</v>
      </c>
    </row>
    <row r="18499" customFormat="false" ht="15" hidden="false" customHeight="false" outlineLevel="0" collapsed="false">
      <c r="A18499" s="0" t="str">
        <f aca="false">IMPOWER("2",3)</f>
        <v>8</v>
      </c>
      <c r="B18499" s="0" t="s">
        <v>18345</v>
      </c>
    </row>
    <row r="18500" customFormat="false" ht="15" hidden="false" customHeight="false" outlineLevel="0" collapsed="false">
      <c r="A18500" s="0" t="str">
        <f aca="false">IMPOWER("2",1.5)</f>
        <v>2.82842712474619</v>
      </c>
      <c r="B18500" s="0" t="s">
        <v>18346</v>
      </c>
    </row>
    <row r="18501" customFormat="false" ht="15" hidden="false" customHeight="false" outlineLevel="0" collapsed="false">
      <c r="A18501" s="0" t="str">
        <f aca="false">IMPOWER("2",10)</f>
        <v>1024</v>
      </c>
      <c r="B18501" s="0" t="s">
        <v>18347</v>
      </c>
    </row>
    <row r="18502" customFormat="false" ht="15" hidden="false" customHeight="false" outlineLevel="0" collapsed="false">
      <c r="A18502" s="0" t="str">
        <f aca="false">IMPOWER("2",TRUE())</f>
        <v>2</v>
      </c>
      <c r="B18502" s="0" t="s">
        <v>18348</v>
      </c>
    </row>
    <row r="18503" customFormat="false" ht="15" hidden="false" customHeight="false" outlineLevel="0" collapsed="false">
      <c r="A18503" s="0" t="str">
        <f aca="false">IMPOWER("2","2")</f>
        <v>4</v>
      </c>
      <c r="B18503" s="0" t="s">
        <v>18349</v>
      </c>
    </row>
    <row r="18504" customFormat="false" ht="15" hidden="false" customHeight="false" outlineLevel="0" collapsed="false">
      <c r="A18504" s="0" t="e">
        <f aca="false">IMPOWER("2","x")</f>
        <v>#VALUE!</v>
      </c>
      <c r="B18504" s="0" t="s">
        <v>18350</v>
      </c>
    </row>
    <row r="18505" customFormat="false" ht="15" hidden="false" customHeight="false" outlineLevel="0" collapsed="false">
      <c r="A18505" s="0" t="str">
        <f aca="false">IMPOWER("2",Data!D1)</f>
        <v>1</v>
      </c>
      <c r="B18505" s="0" t="s">
        <v>18351</v>
      </c>
    </row>
    <row r="18506" customFormat="false" ht="15" hidden="false" customHeight="false" outlineLevel="0" collapsed="false">
      <c r="A18506" s="0" t="e">
        <f aca="false">IMPOWER("2",NA())</f>
        <v>#N/A</v>
      </c>
      <c r="B18506" s="0" t="s">
        <v>18352</v>
      </c>
    </row>
    <row r="18507" customFormat="false" ht="15" hidden="false" customHeight="false" outlineLevel="0" collapsed="false">
      <c r="A18507" s="0" t="e">
        <f aca="false">IMPOWER("2",10000000000)</f>
        <v>#VALUE!</v>
      </c>
      <c r="B18507" s="0" t="s">
        <v>18353</v>
      </c>
    </row>
    <row r="18508" customFormat="false" ht="15" hidden="false" customHeight="false" outlineLevel="0" collapsed="false">
      <c r="A18508" s="0" t="str">
        <f aca="false">IMPOWER("2",-3)</f>
        <v>0.125</v>
      </c>
      <c r="B18508" s="0" t="s">
        <v>18354</v>
      </c>
    </row>
    <row r="18509" customFormat="false" ht="15" hidden="false" customHeight="false" outlineLevel="0" collapsed="false">
      <c r="A18509" s="0" t="str">
        <f aca="false">IMPOWER("2",0.1)</f>
        <v>1.07177346253629</v>
      </c>
      <c r="B18509" s="0" t="s">
        <v>18355</v>
      </c>
    </row>
    <row r="18510" customFormat="false" ht="15" hidden="false" customHeight="false" outlineLevel="0" collapsed="false">
      <c r="A18510" s="0" t="e">
        <f aca="false">IMPOWER("2",Data!A1:A2)</f>
        <v>#VALUE!</v>
      </c>
      <c r="B18510" s="0" t="s">
        <v>18356</v>
      </c>
    </row>
    <row r="18511" customFormat="false" ht="15" hidden="false" customHeight="false" outlineLevel="0" collapsed="false">
      <c r="A18511" s="0" t="str">
        <f aca="false">IMPOWER("2",2.5)</f>
        <v>5.65685424949238</v>
      </c>
      <c r="B18511" s="0" t="s">
        <v>18357</v>
      </c>
    </row>
    <row r="18512" customFormat="false" ht="15" hidden="false" customHeight="false" outlineLevel="0" collapsed="false">
      <c r="A18512" s="0" t="str">
        <f aca="false">IMPOWER("2",100)</f>
        <v>1.26765060022823e+30</v>
      </c>
      <c r="B18512" s="0" t="s">
        <v>18358</v>
      </c>
    </row>
    <row r="18513" customFormat="false" ht="15" hidden="false" customHeight="false" outlineLevel="0" collapsed="false">
      <c r="A18513" s="0" t="str">
        <f aca="false">IMPOWER("0",2)</f>
        <v>0</v>
      </c>
      <c r="B18513" s="0" t="s">
        <v>18359</v>
      </c>
    </row>
    <row r="18514" customFormat="false" ht="15" hidden="false" customHeight="false" outlineLevel="0" collapsed="false">
      <c r="A18514" s="0" t="e">
        <f aca="false">IMPOWER("0",0)</f>
        <v>#VALUE!</v>
      </c>
      <c r="B18514" s="0" t="s">
        <v>18360</v>
      </c>
    </row>
    <row r="18515" customFormat="false" ht="15" hidden="false" customHeight="false" outlineLevel="0" collapsed="false">
      <c r="A18515" s="0" t="str">
        <f aca="false">IMPOWER("0",1)</f>
        <v>0</v>
      </c>
      <c r="B18515" s="0" t="s">
        <v>18361</v>
      </c>
    </row>
    <row r="18516" customFormat="false" ht="15" hidden="false" customHeight="false" outlineLevel="0" collapsed="false">
      <c r="A18516" s="0" t="e">
        <f aca="false">IMPOWER("0",-1)</f>
        <v>#VALUE!</v>
      </c>
      <c r="B18516" s="0" t="s">
        <v>18362</v>
      </c>
    </row>
    <row r="18517" customFormat="false" ht="15" hidden="false" customHeight="false" outlineLevel="0" collapsed="false">
      <c r="A18517" s="0" t="str">
        <f aca="false">IMPOWER("0",0.5)</f>
        <v>0</v>
      </c>
      <c r="B18517" s="0" t="s">
        <v>18363</v>
      </c>
    </row>
    <row r="18518" customFormat="false" ht="15" hidden="false" customHeight="false" outlineLevel="0" collapsed="false">
      <c r="A18518" s="0" t="e">
        <f aca="false">IMPOWER("0",-0.5)</f>
        <v>#VALUE!</v>
      </c>
      <c r="B18518" s="0" t="s">
        <v>18364</v>
      </c>
    </row>
    <row r="18519" customFormat="false" ht="15" hidden="false" customHeight="false" outlineLevel="0" collapsed="false">
      <c r="A18519" s="0" t="str">
        <f aca="false">IMPOWER("0",3)</f>
        <v>0</v>
      </c>
      <c r="B18519" s="0" t="s">
        <v>18365</v>
      </c>
    </row>
    <row r="18520" customFormat="false" ht="15" hidden="false" customHeight="false" outlineLevel="0" collapsed="false">
      <c r="A18520" s="0" t="str">
        <f aca="false">IMPOWER("0",1.5)</f>
        <v>0</v>
      </c>
      <c r="B18520" s="0" t="s">
        <v>18366</v>
      </c>
    </row>
    <row r="18521" customFormat="false" ht="15" hidden="false" customHeight="false" outlineLevel="0" collapsed="false">
      <c r="A18521" s="0" t="str">
        <f aca="false">IMPOWER("0",10)</f>
        <v>0</v>
      </c>
      <c r="B18521" s="0" t="s">
        <v>18367</v>
      </c>
    </row>
    <row r="18522" customFormat="false" ht="15" hidden="false" customHeight="false" outlineLevel="0" collapsed="false">
      <c r="A18522" s="0" t="str">
        <f aca="false">IMPOWER("0",TRUE())</f>
        <v>0</v>
      </c>
      <c r="B18522" s="0" t="s">
        <v>18368</v>
      </c>
    </row>
    <row r="18523" customFormat="false" ht="15" hidden="false" customHeight="false" outlineLevel="0" collapsed="false">
      <c r="A18523" s="0" t="str">
        <f aca="false">IMPOWER("0","2")</f>
        <v>0</v>
      </c>
      <c r="B18523" s="0" t="s">
        <v>18369</v>
      </c>
    </row>
    <row r="18524" customFormat="false" ht="15" hidden="false" customHeight="false" outlineLevel="0" collapsed="false">
      <c r="A18524" s="0" t="e">
        <f aca="false">IMPOWER("0","x")</f>
        <v>#VALUE!</v>
      </c>
      <c r="B18524" s="0" t="s">
        <v>18370</v>
      </c>
    </row>
    <row r="18525" customFormat="false" ht="15" hidden="false" customHeight="false" outlineLevel="0" collapsed="false">
      <c r="A18525" s="0" t="e">
        <f aca="false">IMPOWER("0",Data!D1)</f>
        <v>#VALUE!</v>
      </c>
      <c r="B18525" s="0" t="s">
        <v>18371</v>
      </c>
    </row>
    <row r="18526" customFormat="false" ht="15" hidden="false" customHeight="false" outlineLevel="0" collapsed="false">
      <c r="A18526" s="0" t="e">
        <f aca="false">IMPOWER("0",NA())</f>
        <v>#N/A</v>
      </c>
      <c r="B18526" s="0" t="s">
        <v>18372</v>
      </c>
    </row>
    <row r="18527" customFormat="false" ht="15" hidden="false" customHeight="false" outlineLevel="0" collapsed="false">
      <c r="A18527" s="0" t="str">
        <f aca="false">IMPOWER("0",10000000000)</f>
        <v>0</v>
      </c>
      <c r="B18527" s="0" t="s">
        <v>18373</v>
      </c>
    </row>
    <row r="18528" customFormat="false" ht="15" hidden="false" customHeight="false" outlineLevel="0" collapsed="false">
      <c r="A18528" s="0" t="e">
        <f aca="false">IMPOWER("0",-3)</f>
        <v>#VALUE!</v>
      </c>
      <c r="B18528" s="0" t="s">
        <v>18374</v>
      </c>
    </row>
    <row r="18529" customFormat="false" ht="15" hidden="false" customHeight="false" outlineLevel="0" collapsed="false">
      <c r="A18529" s="0" t="str">
        <f aca="false">IMPOWER("0",0.1)</f>
        <v>0</v>
      </c>
      <c r="B18529" s="0" t="s">
        <v>18375</v>
      </c>
    </row>
    <row r="18530" customFormat="false" ht="15" hidden="false" customHeight="false" outlineLevel="0" collapsed="false">
      <c r="A18530" s="0" t="e">
        <f aca="false">IMPOWER("0",Data!A1:A2)</f>
        <v>#VALUE!</v>
      </c>
      <c r="B18530" s="0" t="s">
        <v>18376</v>
      </c>
    </row>
    <row r="18531" customFormat="false" ht="15" hidden="false" customHeight="false" outlineLevel="0" collapsed="false">
      <c r="A18531" s="0" t="str">
        <f aca="false">IMPOWER("0",2.5)</f>
        <v>0</v>
      </c>
      <c r="B18531" s="0" t="s">
        <v>18377</v>
      </c>
    </row>
    <row r="18532" customFormat="false" ht="15" hidden="false" customHeight="false" outlineLevel="0" collapsed="false">
      <c r="A18532" s="0" t="str">
        <f aca="false">IMPOWER("0",100)</f>
        <v>0</v>
      </c>
      <c r="B18532" s="0" t="s">
        <v>18378</v>
      </c>
    </row>
    <row r="18533" customFormat="false" ht="15" hidden="false" customHeight="false" outlineLevel="0" collapsed="false">
      <c r="A18533" s="0" t="str">
        <f aca="false">IMPOWER("-1",2)</f>
        <v>1-2.44929359829471e-16i</v>
      </c>
      <c r="B18533" s="0" t="s">
        <v>18379</v>
      </c>
    </row>
    <row r="18534" customFormat="false" ht="15" hidden="false" customHeight="false" outlineLevel="0" collapsed="false">
      <c r="A18534" s="0" t="str">
        <f aca="false">IMPOWER("-1",0)</f>
        <v>1</v>
      </c>
      <c r="B18534" s="0" t="s">
        <v>18380</v>
      </c>
    </row>
    <row r="18535" customFormat="false" ht="15" hidden="false" customHeight="false" outlineLevel="0" collapsed="false">
      <c r="A18535" s="0" t="str">
        <f aca="false">IMPOWER("-1",1)</f>
        <v>-1+1.22464679914735e-16i</v>
      </c>
      <c r="B18535" s="0" t="s">
        <v>18381</v>
      </c>
    </row>
    <row r="18536" customFormat="false" ht="15" hidden="false" customHeight="false" outlineLevel="0" collapsed="false">
      <c r="A18536" s="0" t="str">
        <f aca="false">IMPOWER("-1",-1)</f>
        <v>-1-1.22464679914735e-16i</v>
      </c>
      <c r="B18536" s="0" t="s">
        <v>18382</v>
      </c>
    </row>
    <row r="18537" customFormat="false" ht="15" hidden="false" customHeight="false" outlineLevel="0" collapsed="false">
      <c r="A18537" s="0" t="str">
        <f aca="false">IMPOWER("-1",0.5)</f>
        <v>6.12323399573677e-17+i</v>
      </c>
      <c r="B18537" s="0" t="s">
        <v>18383</v>
      </c>
    </row>
    <row r="18538" customFormat="false" ht="15" hidden="false" customHeight="false" outlineLevel="0" collapsed="false">
      <c r="A18538" s="0" t="str">
        <f aca="false">IMPOWER("-1",-0.5)</f>
        <v>6.12323399573677e-17-i</v>
      </c>
      <c r="B18538" s="0" t="s">
        <v>18384</v>
      </c>
    </row>
    <row r="18539" customFormat="false" ht="15" hidden="false" customHeight="false" outlineLevel="0" collapsed="false">
      <c r="A18539" s="0" t="str">
        <f aca="false">IMPOWER("-1",3)</f>
        <v>-1+3.67394039744206e-16i</v>
      </c>
      <c r="B18539" s="0" t="s">
        <v>18385</v>
      </c>
    </row>
    <row r="18540" customFormat="false" ht="15" hidden="false" customHeight="false" outlineLevel="0" collapsed="false">
      <c r="A18540" s="0" t="str">
        <f aca="false">IMPOWER("-1",1.5)</f>
        <v>-1.83697019872103e-16-i</v>
      </c>
      <c r="B18540" s="0" t="s">
        <v>18386</v>
      </c>
    </row>
    <row r="18541" customFormat="false" ht="15" hidden="false" customHeight="false" outlineLevel="0" collapsed="false">
      <c r="A18541" s="0" t="str">
        <f aca="false">IMPOWER("-1",10)</f>
        <v>1-1.22464679914735e-15i</v>
      </c>
      <c r="B18541" s="0" t="s">
        <v>18387</v>
      </c>
    </row>
    <row r="18542" customFormat="false" ht="15" hidden="false" customHeight="false" outlineLevel="0" collapsed="false">
      <c r="A18542" s="0" t="str">
        <f aca="false">IMPOWER("-1",TRUE())</f>
        <v>-1+1.22464679914735e-16i</v>
      </c>
      <c r="B18542" s="0" t="s">
        <v>18388</v>
      </c>
    </row>
    <row r="18543" customFormat="false" ht="15" hidden="false" customHeight="false" outlineLevel="0" collapsed="false">
      <c r="A18543" s="0" t="str">
        <f aca="false">IMPOWER("-1","2")</f>
        <v>1-2.44929359829471e-16i</v>
      </c>
      <c r="B18543" s="0" t="s">
        <v>18389</v>
      </c>
    </row>
    <row r="18544" customFormat="false" ht="15" hidden="false" customHeight="false" outlineLevel="0" collapsed="false">
      <c r="A18544" s="0" t="e">
        <f aca="false">IMPOWER("-1","x")</f>
        <v>#VALUE!</v>
      </c>
      <c r="B18544" s="0" t="s">
        <v>18390</v>
      </c>
    </row>
    <row r="18545" customFormat="false" ht="15" hidden="false" customHeight="false" outlineLevel="0" collapsed="false">
      <c r="A18545" s="0" t="str">
        <f aca="false">IMPOWER("-1",Data!D1)</f>
        <v>1</v>
      </c>
      <c r="B18545" s="0" t="s">
        <v>18391</v>
      </c>
    </row>
    <row r="18546" customFormat="false" ht="15" hidden="false" customHeight="false" outlineLevel="0" collapsed="false">
      <c r="A18546" s="0" t="e">
        <f aca="false">IMPOWER("-1",NA())</f>
        <v>#N/A</v>
      </c>
      <c r="B18546" s="0" t="s">
        <v>18392</v>
      </c>
    </row>
    <row r="18547" customFormat="false" ht="15" hidden="false" customHeight="false" outlineLevel="0" collapsed="false">
      <c r="A18547" s="0" t="str">
        <f aca="false">IMPOWER("-1",10000000000)</f>
        <v>0.999999999997493-2.23936276195592e-06i</v>
      </c>
      <c r="B18547" s="0" t="s">
        <v>18393</v>
      </c>
    </row>
    <row r="18548" customFormat="false" ht="15" hidden="false" customHeight="false" outlineLevel="0" collapsed="false">
      <c r="A18548" s="0" t="str">
        <f aca="false">IMPOWER("-1",-3)</f>
        <v>-1-3.67394039744206e-16i</v>
      </c>
      <c r="B18548" s="0" t="s">
        <v>18394</v>
      </c>
    </row>
    <row r="18549" customFormat="false" ht="15" hidden="false" customHeight="false" outlineLevel="0" collapsed="false">
      <c r="A18549" s="0" t="str">
        <f aca="false">IMPOWER("-1",0.1)</f>
        <v>0.951056516295154+0.309016994374947i</v>
      </c>
      <c r="B18549" s="0" t="s">
        <v>18395</v>
      </c>
    </row>
    <row r="18550" customFormat="false" ht="15" hidden="false" customHeight="false" outlineLevel="0" collapsed="false">
      <c r="A18550" s="0" t="e">
        <f aca="false">IMPOWER("-1",Data!A1:A2)</f>
        <v>#VALUE!</v>
      </c>
      <c r="B18550" s="0" t="s">
        <v>18396</v>
      </c>
    </row>
    <row r="18551" customFormat="false" ht="15" hidden="false" customHeight="false" outlineLevel="0" collapsed="false">
      <c r="A18551" s="0" t="str">
        <f aca="false">IMPOWER("-1",2.5)</f>
        <v>3.06161699786838e-16+i</v>
      </c>
      <c r="B18551" s="0" t="s">
        <v>18397</v>
      </c>
    </row>
    <row r="18552" customFormat="false" ht="15" hidden="false" customHeight="false" outlineLevel="0" collapsed="false">
      <c r="A18552" s="0" t="str">
        <f aca="false">IMPOWER("-1",100)</f>
        <v>1+1.96438672372847e-15i</v>
      </c>
      <c r="B18552" s="0" t="s">
        <v>18398</v>
      </c>
    </row>
    <row r="18553" customFormat="false" ht="15" hidden="false" customHeight="false" outlineLevel="0" collapsed="false">
      <c r="A18553" s="0" t="str">
        <f aca="false">IMPOWER("1-i",2)</f>
        <v>1.22464679914735e-16-2i</v>
      </c>
      <c r="B18553" s="0" t="s">
        <v>18399</v>
      </c>
    </row>
    <row r="18554" customFormat="false" ht="15" hidden="false" customHeight="false" outlineLevel="0" collapsed="false">
      <c r="A18554" s="0" t="str">
        <f aca="false">IMPOWER("1-i",0)</f>
        <v>1</v>
      </c>
      <c r="B18554" s="0" t="s">
        <v>18400</v>
      </c>
    </row>
    <row r="18555" customFormat="false" ht="15" hidden="false" customHeight="false" outlineLevel="0" collapsed="false">
      <c r="A18555" s="0" t="str">
        <f aca="false">IMPOWER("1-i",1)</f>
        <v>1-1i</v>
      </c>
      <c r="B18555" s="0" t="s">
        <v>18401</v>
      </c>
    </row>
    <row r="18556" customFormat="false" ht="15" hidden="false" customHeight="false" outlineLevel="0" collapsed="false">
      <c r="A18556" s="0" t="str">
        <f aca="false">IMPOWER("1-i",-1)</f>
        <v>0.5+0.5i</v>
      </c>
      <c r="B18556" s="0" t="s">
        <v>18402</v>
      </c>
    </row>
    <row r="18557" customFormat="false" ht="15" hidden="false" customHeight="false" outlineLevel="0" collapsed="false">
      <c r="A18557" s="0" t="str">
        <f aca="false">IMPOWER("1-i",0.5)</f>
        <v>1.09868411346781-0.455089860562227i</v>
      </c>
      <c r="B18557" s="0" t="s">
        <v>18403</v>
      </c>
    </row>
    <row r="18558" customFormat="false" ht="15" hidden="false" customHeight="false" outlineLevel="0" collapsed="false">
      <c r="A18558" s="0" t="str">
        <f aca="false">IMPOWER("1-i",-0.5)</f>
        <v>0.776886987015019+0.321797126452791i</v>
      </c>
      <c r="B18558" s="0" t="s">
        <v>18404</v>
      </c>
    </row>
    <row r="18559" customFormat="false" ht="15" hidden="false" customHeight="false" outlineLevel="0" collapsed="false">
      <c r="A18559" s="0" t="str">
        <f aca="false">IMPOWER("1-i",3)</f>
        <v>-2-2i</v>
      </c>
      <c r="B18559" s="0" t="s">
        <v>18405</v>
      </c>
    </row>
    <row r="18560" customFormat="false" ht="15" hidden="false" customHeight="false" outlineLevel="0" collapsed="false">
      <c r="A18560" s="0" t="str">
        <f aca="false">IMPOWER("1-i",1.5)</f>
        <v>0.643594252905583-1.55377397403004i</v>
      </c>
      <c r="B18560" s="0" t="s">
        <v>18406</v>
      </c>
    </row>
    <row r="18561" customFormat="false" ht="15" hidden="false" customHeight="false" outlineLevel="0" collapsed="false">
      <c r="A18561" s="0" t="str">
        <f aca="false">IMPOWER("1-i",10)</f>
        <v>9.79717439317883e-15-32i</v>
      </c>
      <c r="B18561" s="0" t="s">
        <v>18407</v>
      </c>
    </row>
    <row r="18562" customFormat="false" ht="15" hidden="false" customHeight="false" outlineLevel="0" collapsed="false">
      <c r="A18562" s="0" t="str">
        <f aca="false">IMPOWER("1-i",TRUE())</f>
        <v>1-1i</v>
      </c>
      <c r="B18562" s="0" t="s">
        <v>18408</v>
      </c>
    </row>
    <row r="18563" customFormat="false" ht="15" hidden="false" customHeight="false" outlineLevel="0" collapsed="false">
      <c r="A18563" s="0" t="str">
        <f aca="false">IMPOWER("1-i","2")</f>
        <v>1.22464679914735e-16-2i</v>
      </c>
      <c r="B18563" s="0" t="s">
        <v>18409</v>
      </c>
    </row>
    <row r="18564" customFormat="false" ht="15" hidden="false" customHeight="false" outlineLevel="0" collapsed="false">
      <c r="A18564" s="0" t="e">
        <f aca="false">IMPOWER("1-i","x")</f>
        <v>#VALUE!</v>
      </c>
      <c r="B18564" s="0" t="s">
        <v>18410</v>
      </c>
    </row>
    <row r="18565" customFormat="false" ht="15" hidden="false" customHeight="false" outlineLevel="0" collapsed="false">
      <c r="A18565" s="0" t="str">
        <f aca="false">IMPOWER("1-i",Data!D1)</f>
        <v>1</v>
      </c>
      <c r="B18565" s="0" t="s">
        <v>18411</v>
      </c>
    </row>
    <row r="18566" customFormat="false" ht="15" hidden="false" customHeight="false" outlineLevel="0" collapsed="false">
      <c r="A18566" s="0" t="e">
        <f aca="false">IMPOWER("1-i",NA())</f>
        <v>#N/A</v>
      </c>
      <c r="B18566" s="0" t="s">
        <v>18412</v>
      </c>
    </row>
    <row r="18567" customFormat="false" ht="15" hidden="false" customHeight="false" outlineLevel="0" collapsed="false">
      <c r="A18567" s="0" t="e">
        <f aca="false">IMPOWER("1-i",10000000000)</f>
        <v>#VALUE!</v>
      </c>
      <c r="B18567" s="0" t="s">
        <v>18413</v>
      </c>
    </row>
    <row r="18568" customFormat="false" ht="15" hidden="false" customHeight="false" outlineLevel="0" collapsed="false">
      <c r="A18568" s="0" t="str">
        <f aca="false">IMPOWER("1-i",-3)</f>
        <v>-0.25+0.25i</v>
      </c>
      <c r="B18568" s="0" t="s">
        <v>18414</v>
      </c>
    </row>
    <row r="18569" customFormat="false" ht="15" hidden="false" customHeight="false" outlineLevel="0" collapsed="false">
      <c r="A18569" s="0" t="str">
        <f aca="false">IMPOWER("1-i",0.1)</f>
        <v>1.03207354758338-0.0812259497633507i</v>
      </c>
      <c r="B18569" s="0" t="s">
        <v>18415</v>
      </c>
    </row>
    <row r="18570" customFormat="false" ht="15" hidden="false" customHeight="false" outlineLevel="0" collapsed="false">
      <c r="A18570" s="0" t="e">
        <f aca="false">IMPOWER("1-i",Data!A1:A2)</f>
        <v>#VALUE!</v>
      </c>
      <c r="B18570" s="0" t="s">
        <v>18416</v>
      </c>
    </row>
    <row r="18571" customFormat="false" ht="15" hidden="false" customHeight="false" outlineLevel="0" collapsed="false">
      <c r="A18571" s="0" t="str">
        <f aca="false">IMPOWER("1-i",2.5)</f>
        <v>-0.910179721124455-2.19736822693562i</v>
      </c>
      <c r="B18571" s="0" t="s">
        <v>18417</v>
      </c>
    </row>
    <row r="18572" customFormat="false" ht="15" hidden="false" customHeight="false" outlineLevel="0" collapsed="false">
      <c r="A18572" s="0" t="str">
        <f aca="false">IMPOWER("1-i",100)</f>
        <v>-1.12589990684262e+15+0.552925707312194i</v>
      </c>
      <c r="B18572" s="0" t="s">
        <v>18418</v>
      </c>
    </row>
    <row r="18573" customFormat="false" ht="15" hidden="false" customHeight="false" outlineLevel="0" collapsed="false">
      <c r="A18573" s="0" t="str">
        <f aca="false">IMPOWER("4i",2)</f>
        <v>-16+1.95943487863576e-15i</v>
      </c>
      <c r="B18573" s="0" t="s">
        <v>18419</v>
      </c>
    </row>
    <row r="18574" customFormat="false" ht="15" hidden="false" customHeight="false" outlineLevel="0" collapsed="false">
      <c r="A18574" s="0" t="str">
        <f aca="false">IMPOWER("4i",0)</f>
        <v>1</v>
      </c>
      <c r="B18574" s="0" t="s">
        <v>18420</v>
      </c>
    </row>
    <row r="18575" customFormat="false" ht="15" hidden="false" customHeight="false" outlineLevel="0" collapsed="false">
      <c r="A18575" s="0" t="str">
        <f aca="false">IMPOWER("4i",1)</f>
        <v>2.44929359829471e-16+4i</v>
      </c>
      <c r="B18575" s="0" t="s">
        <v>18421</v>
      </c>
    </row>
    <row r="18576" customFormat="false" ht="15" hidden="false" customHeight="false" outlineLevel="0" collapsed="false">
      <c r="A18576" s="0" t="str">
        <f aca="false">IMPOWER("4i",-1)</f>
        <v>1.53080849893419e-17-0.25i</v>
      </c>
      <c r="B18576" s="0" t="s">
        <v>18422</v>
      </c>
    </row>
    <row r="18577" customFormat="false" ht="15" hidden="false" customHeight="false" outlineLevel="0" collapsed="false">
      <c r="A18577" s="0" t="str">
        <f aca="false">IMPOWER("4i",0.5)</f>
        <v>1.4142135623731+1.41421356237309i</v>
      </c>
      <c r="B18577" s="0" t="s">
        <v>18423</v>
      </c>
    </row>
    <row r="18578" customFormat="false" ht="15" hidden="false" customHeight="false" outlineLevel="0" collapsed="false">
      <c r="A18578" s="0" t="str">
        <f aca="false">IMPOWER("4i",-0.5)</f>
        <v>0.353553390593274-0.353553390593274i</v>
      </c>
      <c r="B18578" s="0" t="s">
        <v>18424</v>
      </c>
    </row>
    <row r="18579" customFormat="false" ht="15" hidden="false" customHeight="false" outlineLevel="0" collapsed="false">
      <c r="A18579" s="0" t="str">
        <f aca="false">IMPOWER("4i",3)</f>
        <v>-1.17566092718146e-14-64i</v>
      </c>
      <c r="B18579" s="0" t="s">
        <v>18425</v>
      </c>
    </row>
    <row r="18580" customFormat="false" ht="15" hidden="false" customHeight="false" outlineLevel="0" collapsed="false">
      <c r="A18580" s="0" t="str">
        <f aca="false">IMPOWER("4i",1.5)</f>
        <v>-5.65685424949238+5.65685424949238i</v>
      </c>
      <c r="B18580" s="0" t="s">
        <v>18426</v>
      </c>
    </row>
    <row r="18581" customFormat="false" ht="15" hidden="false" customHeight="false" outlineLevel="0" collapsed="false">
      <c r="A18581" s="0" t="str">
        <f aca="false">IMPOWER("4i",10)</f>
        <v>-1048576+6.42067621031368e-10i</v>
      </c>
      <c r="B18581" s="0" t="s">
        <v>18427</v>
      </c>
    </row>
    <row r="18582" customFormat="false" ht="15" hidden="false" customHeight="false" outlineLevel="0" collapsed="false">
      <c r="A18582" s="0" t="str">
        <f aca="false">IMPOWER("4i",TRUE())</f>
        <v>2.44929359829471e-16+4i</v>
      </c>
      <c r="B18582" s="0" t="s">
        <v>18428</v>
      </c>
    </row>
    <row r="18583" customFormat="false" ht="15" hidden="false" customHeight="false" outlineLevel="0" collapsed="false">
      <c r="A18583" s="0" t="str">
        <f aca="false">IMPOWER("4i","2")</f>
        <v>-16+1.95943487863576e-15i</v>
      </c>
      <c r="B18583" s="0" t="s">
        <v>18429</v>
      </c>
    </row>
    <row r="18584" customFormat="false" ht="15" hidden="false" customHeight="false" outlineLevel="0" collapsed="false">
      <c r="A18584" s="0" t="e">
        <f aca="false">IMPOWER("4i","x")</f>
        <v>#VALUE!</v>
      </c>
      <c r="B18584" s="0" t="s">
        <v>18430</v>
      </c>
    </row>
    <row r="18585" customFormat="false" ht="15" hidden="false" customHeight="false" outlineLevel="0" collapsed="false">
      <c r="A18585" s="0" t="str">
        <f aca="false">IMPOWER("4i",Data!D1)</f>
        <v>1</v>
      </c>
      <c r="B18585" s="0" t="s">
        <v>18431</v>
      </c>
    </row>
    <row r="18586" customFormat="false" ht="15" hidden="false" customHeight="false" outlineLevel="0" collapsed="false">
      <c r="A18586" s="0" t="e">
        <f aca="false">IMPOWER("4i",NA())</f>
        <v>#N/A</v>
      </c>
      <c r="B18586" s="0" t="s">
        <v>18432</v>
      </c>
    </row>
    <row r="18587" customFormat="false" ht="15" hidden="false" customHeight="false" outlineLevel="0" collapsed="false">
      <c r="A18587" s="0" t="e">
        <f aca="false">IMPOWER("4i",10000000000)</f>
        <v>#VALUE!</v>
      </c>
      <c r="B18587" s="0" t="s">
        <v>18433</v>
      </c>
    </row>
    <row r="18588" customFormat="false" ht="15" hidden="false" customHeight="false" outlineLevel="0" collapsed="false">
      <c r="A18588" s="0" t="str">
        <f aca="false">IMPOWER("4i",-3)</f>
        <v>-2.87026593550161e-18+0.015625i</v>
      </c>
      <c r="B18588" s="0" t="s">
        <v>18434</v>
      </c>
    </row>
    <row r="18589" customFormat="false" ht="15" hidden="false" customHeight="false" outlineLevel="0" collapsed="false">
      <c r="A18589" s="0" t="str">
        <f aca="false">IMPOWER("4i",0.1)</f>
        <v>1.13455597209139+0.179696012656554i</v>
      </c>
      <c r="B18589" s="0" t="s">
        <v>18435</v>
      </c>
    </row>
    <row r="18590" customFormat="false" ht="15" hidden="false" customHeight="false" outlineLevel="0" collapsed="false">
      <c r="A18590" s="0" t="e">
        <f aca="false">IMPOWER("4i",Data!A1:A2)</f>
        <v>#VALUE!</v>
      </c>
      <c r="B18590" s="0" t="s">
        <v>18436</v>
      </c>
    </row>
    <row r="18591" customFormat="false" ht="15" hidden="false" customHeight="false" outlineLevel="0" collapsed="false">
      <c r="A18591" s="0" t="str">
        <f aca="false">IMPOWER("4i",2.5)</f>
        <v>-22.6274169979695-22.6274169979695i</v>
      </c>
      <c r="B18591" s="0" t="s">
        <v>18437</v>
      </c>
    </row>
    <row r="18592" customFormat="false" ht="15" hidden="false" customHeight="false" outlineLevel="0" collapsed="false">
      <c r="A18592" s="0" t="str">
        <f aca="false">IMPOWER("4i",100)</f>
        <v>1.606938044259e+60+1.57832387999828e+45i</v>
      </c>
      <c r="B18592" s="0" t="s">
        <v>18438</v>
      </c>
    </row>
    <row r="18593" customFormat="false" ht="15" hidden="false" customHeight="false" outlineLevel="0" collapsed="false">
      <c r="A18593" s="0" t="e">
        <f aca="false">IMPOWER("abc",2)</f>
        <v>#VALUE!</v>
      </c>
      <c r="B18593" s="0" t="s">
        <v>18439</v>
      </c>
    </row>
    <row r="18594" customFormat="false" ht="15" hidden="false" customHeight="false" outlineLevel="0" collapsed="false">
      <c r="A18594" s="0" t="e">
        <f aca="false">IMPOWER("abc",0)</f>
        <v>#VALUE!</v>
      </c>
      <c r="B18594" s="0" t="s">
        <v>18440</v>
      </c>
    </row>
    <row r="18595" customFormat="false" ht="15" hidden="false" customHeight="false" outlineLevel="0" collapsed="false">
      <c r="A18595" s="0" t="e">
        <f aca="false">IMPOWER("abc",1)</f>
        <v>#VALUE!</v>
      </c>
      <c r="B18595" s="0" t="s">
        <v>18441</v>
      </c>
    </row>
    <row r="18596" customFormat="false" ht="15" hidden="false" customHeight="false" outlineLevel="0" collapsed="false">
      <c r="A18596" s="0" t="e">
        <f aca="false">IMPOWER("abc",-1)</f>
        <v>#VALUE!</v>
      </c>
      <c r="B18596" s="0" t="s">
        <v>18442</v>
      </c>
    </row>
    <row r="18597" customFormat="false" ht="15" hidden="false" customHeight="false" outlineLevel="0" collapsed="false">
      <c r="A18597" s="0" t="e">
        <f aca="false">IMPOWER("abc",0.5)</f>
        <v>#VALUE!</v>
      </c>
      <c r="B18597" s="0" t="s">
        <v>18443</v>
      </c>
    </row>
    <row r="18598" customFormat="false" ht="15" hidden="false" customHeight="false" outlineLevel="0" collapsed="false">
      <c r="A18598" s="0" t="e">
        <f aca="false">IMPOWER("abc",-0.5)</f>
        <v>#VALUE!</v>
      </c>
      <c r="B18598" s="0" t="s">
        <v>18444</v>
      </c>
    </row>
    <row r="18599" customFormat="false" ht="15" hidden="false" customHeight="false" outlineLevel="0" collapsed="false">
      <c r="A18599" s="0" t="e">
        <f aca="false">IMPOWER("abc",3)</f>
        <v>#VALUE!</v>
      </c>
      <c r="B18599" s="0" t="s">
        <v>18445</v>
      </c>
    </row>
    <row r="18600" customFormat="false" ht="15" hidden="false" customHeight="false" outlineLevel="0" collapsed="false">
      <c r="A18600" s="0" t="e">
        <f aca="false">IMPOWER("abc",1.5)</f>
        <v>#VALUE!</v>
      </c>
      <c r="B18600" s="0" t="s">
        <v>18446</v>
      </c>
    </row>
    <row r="18601" customFormat="false" ht="15" hidden="false" customHeight="false" outlineLevel="0" collapsed="false">
      <c r="A18601" s="0" t="e">
        <f aca="false">IMPOWER("abc",10)</f>
        <v>#VALUE!</v>
      </c>
      <c r="B18601" s="0" t="s">
        <v>18447</v>
      </c>
    </row>
    <row r="18602" customFormat="false" ht="15" hidden="false" customHeight="false" outlineLevel="0" collapsed="false">
      <c r="A18602" s="0" t="e">
        <f aca="false">IMPOWER("abc",TRUE())</f>
        <v>#VALUE!</v>
      </c>
      <c r="B18602" s="0" t="s">
        <v>18448</v>
      </c>
    </row>
    <row r="18603" customFormat="false" ht="15" hidden="false" customHeight="false" outlineLevel="0" collapsed="false">
      <c r="A18603" s="0" t="e">
        <f aca="false">IMPOWER("abc","2")</f>
        <v>#VALUE!</v>
      </c>
      <c r="B18603" s="0" t="s">
        <v>18449</v>
      </c>
    </row>
    <row r="18604" customFormat="false" ht="15" hidden="false" customHeight="false" outlineLevel="0" collapsed="false">
      <c r="A18604" s="0" t="e">
        <f aca="false">IMPOWER("abc","x")</f>
        <v>#VALUE!</v>
      </c>
      <c r="B18604" s="0" t="s">
        <v>18450</v>
      </c>
    </row>
    <row r="18605" customFormat="false" ht="15" hidden="false" customHeight="false" outlineLevel="0" collapsed="false">
      <c r="A18605" s="0" t="e">
        <f aca="false">IMPOWER("abc",Data!D1)</f>
        <v>#VALUE!</v>
      </c>
      <c r="B18605" s="0" t="s">
        <v>18451</v>
      </c>
    </row>
    <row r="18606" customFormat="false" ht="15" hidden="false" customHeight="false" outlineLevel="0" collapsed="false">
      <c r="A18606" s="0" t="e">
        <f aca="false">IMPOWER("abc",NA())</f>
        <v>#N/A</v>
      </c>
      <c r="B18606" s="0" t="s">
        <v>18452</v>
      </c>
    </row>
    <row r="18607" customFormat="false" ht="15" hidden="false" customHeight="false" outlineLevel="0" collapsed="false">
      <c r="A18607" s="0" t="e">
        <f aca="false">IMPOWER("abc",10000000000)</f>
        <v>#VALUE!</v>
      </c>
      <c r="B18607" s="0" t="s">
        <v>18453</v>
      </c>
    </row>
    <row r="18608" customFormat="false" ht="15" hidden="false" customHeight="false" outlineLevel="0" collapsed="false">
      <c r="A18608" s="0" t="e">
        <f aca="false">IMPOWER("abc",-3)</f>
        <v>#VALUE!</v>
      </c>
      <c r="B18608" s="0" t="s">
        <v>18454</v>
      </c>
    </row>
    <row r="18609" customFormat="false" ht="15" hidden="false" customHeight="false" outlineLevel="0" collapsed="false">
      <c r="A18609" s="0" t="e">
        <f aca="false">IMPOWER("abc",0.1)</f>
        <v>#VALUE!</v>
      </c>
      <c r="B18609" s="0" t="s">
        <v>18455</v>
      </c>
    </row>
    <row r="18610" customFormat="false" ht="15" hidden="false" customHeight="false" outlineLevel="0" collapsed="false">
      <c r="A18610" s="0" t="e">
        <f aca="false">IMPOWER("abc",Data!A1:A2)</f>
        <v>#VALUE!</v>
      </c>
      <c r="B18610" s="0" t="s">
        <v>18456</v>
      </c>
    </row>
    <row r="18611" customFormat="false" ht="15" hidden="false" customHeight="false" outlineLevel="0" collapsed="false">
      <c r="A18611" s="0" t="e">
        <f aca="false">IMPOWER("abc",2.5)</f>
        <v>#VALUE!</v>
      </c>
      <c r="B18611" s="0" t="s">
        <v>18457</v>
      </c>
    </row>
    <row r="18612" customFormat="false" ht="15" hidden="false" customHeight="false" outlineLevel="0" collapsed="false">
      <c r="A18612" s="0" t="e">
        <f aca="false">IMPOWER("abc",100)</f>
        <v>#VALUE!</v>
      </c>
      <c r="B18612" s="0" t="s">
        <v>18458</v>
      </c>
    </row>
    <row r="18613" customFormat="false" ht="15" hidden="false" customHeight="false" outlineLevel="0" collapsed="false">
      <c r="A18613" s="0" t="e">
        <f aca="false">IMPOWER("",2)</f>
        <v>#VALUE!</v>
      </c>
      <c r="B18613" s="0" t="s">
        <v>18459</v>
      </c>
    </row>
    <row r="18614" customFormat="false" ht="15" hidden="false" customHeight="false" outlineLevel="0" collapsed="false">
      <c r="A18614" s="0" t="e">
        <f aca="false">IMPOWER("",0)</f>
        <v>#VALUE!</v>
      </c>
      <c r="B18614" s="0" t="s">
        <v>18460</v>
      </c>
    </row>
    <row r="18615" customFormat="false" ht="15" hidden="false" customHeight="false" outlineLevel="0" collapsed="false">
      <c r="A18615" s="0" t="e">
        <f aca="false">IMPOWER("",1)</f>
        <v>#VALUE!</v>
      </c>
      <c r="B18615" s="0" t="s">
        <v>18461</v>
      </c>
    </row>
    <row r="18616" customFormat="false" ht="15" hidden="false" customHeight="false" outlineLevel="0" collapsed="false">
      <c r="A18616" s="0" t="e">
        <f aca="false">IMPOWER("",-1)</f>
        <v>#VALUE!</v>
      </c>
      <c r="B18616" s="0" t="s">
        <v>18462</v>
      </c>
    </row>
    <row r="18617" customFormat="false" ht="15" hidden="false" customHeight="false" outlineLevel="0" collapsed="false">
      <c r="A18617" s="0" t="e">
        <f aca="false">IMPOWER("",0.5)</f>
        <v>#VALUE!</v>
      </c>
      <c r="B18617" s="0" t="s">
        <v>18463</v>
      </c>
    </row>
    <row r="18618" customFormat="false" ht="15" hidden="false" customHeight="false" outlineLevel="0" collapsed="false">
      <c r="A18618" s="0" t="e">
        <f aca="false">IMPOWER("",-0.5)</f>
        <v>#VALUE!</v>
      </c>
      <c r="B18618" s="0" t="s">
        <v>18464</v>
      </c>
    </row>
    <row r="18619" customFormat="false" ht="15" hidden="false" customHeight="false" outlineLevel="0" collapsed="false">
      <c r="A18619" s="0" t="e">
        <f aca="false">IMPOWER("",3)</f>
        <v>#VALUE!</v>
      </c>
      <c r="B18619" s="0" t="s">
        <v>18465</v>
      </c>
    </row>
    <row r="18620" customFormat="false" ht="15" hidden="false" customHeight="false" outlineLevel="0" collapsed="false">
      <c r="A18620" s="0" t="e">
        <f aca="false">IMPOWER("",1.5)</f>
        <v>#VALUE!</v>
      </c>
      <c r="B18620" s="0" t="s">
        <v>18466</v>
      </c>
    </row>
    <row r="18621" customFormat="false" ht="15" hidden="false" customHeight="false" outlineLevel="0" collapsed="false">
      <c r="A18621" s="0" t="e">
        <f aca="false">IMPOWER("",10)</f>
        <v>#VALUE!</v>
      </c>
      <c r="B18621" s="0" t="s">
        <v>18467</v>
      </c>
    </row>
    <row r="18622" customFormat="false" ht="15" hidden="false" customHeight="false" outlineLevel="0" collapsed="false">
      <c r="A18622" s="0" t="e">
        <f aca="false">IMPOWER("",TRUE())</f>
        <v>#VALUE!</v>
      </c>
      <c r="B18622" s="0" t="s">
        <v>18468</v>
      </c>
    </row>
    <row r="18623" customFormat="false" ht="15" hidden="false" customHeight="false" outlineLevel="0" collapsed="false">
      <c r="A18623" s="0" t="e">
        <f aca="false">IMPOWER("","2")</f>
        <v>#VALUE!</v>
      </c>
      <c r="B18623" s="0" t="s">
        <v>18469</v>
      </c>
    </row>
    <row r="18624" customFormat="false" ht="15" hidden="false" customHeight="false" outlineLevel="0" collapsed="false">
      <c r="A18624" s="0" t="e">
        <f aca="false">IMPOWER("","x")</f>
        <v>#VALUE!</v>
      </c>
      <c r="B18624" s="0" t="s">
        <v>18470</v>
      </c>
    </row>
    <row r="18625" customFormat="false" ht="15" hidden="false" customHeight="false" outlineLevel="0" collapsed="false">
      <c r="A18625" s="0" t="e">
        <f aca="false">IMPOWER("",Data!D1)</f>
        <v>#VALUE!</v>
      </c>
      <c r="B18625" s="0" t="s">
        <v>18471</v>
      </c>
    </row>
    <row r="18626" customFormat="false" ht="15" hidden="false" customHeight="false" outlineLevel="0" collapsed="false">
      <c r="A18626" s="0" t="e">
        <f aca="false">IMPOWER("",NA())</f>
        <v>#N/A</v>
      </c>
      <c r="B18626" s="0" t="s">
        <v>18472</v>
      </c>
    </row>
    <row r="18627" customFormat="false" ht="15" hidden="false" customHeight="false" outlineLevel="0" collapsed="false">
      <c r="A18627" s="0" t="e">
        <f aca="false">IMPOWER("",10000000000)</f>
        <v>#VALUE!</v>
      </c>
      <c r="B18627" s="0" t="s">
        <v>18473</v>
      </c>
    </row>
    <row r="18628" customFormat="false" ht="15" hidden="false" customHeight="false" outlineLevel="0" collapsed="false">
      <c r="A18628" s="0" t="e">
        <f aca="false">IMPOWER("",-3)</f>
        <v>#VALUE!</v>
      </c>
      <c r="B18628" s="0" t="s">
        <v>18474</v>
      </c>
    </row>
    <row r="18629" customFormat="false" ht="15" hidden="false" customHeight="false" outlineLevel="0" collapsed="false">
      <c r="A18629" s="0" t="e">
        <f aca="false">IMPOWER("",0.1)</f>
        <v>#VALUE!</v>
      </c>
      <c r="B18629" s="0" t="s">
        <v>18475</v>
      </c>
    </row>
    <row r="18630" customFormat="false" ht="15" hidden="false" customHeight="false" outlineLevel="0" collapsed="false">
      <c r="A18630" s="0" t="e">
        <f aca="false">IMPOWER("",Data!A1:A2)</f>
        <v>#VALUE!</v>
      </c>
      <c r="B18630" s="0" t="s">
        <v>18476</v>
      </c>
    </row>
    <row r="18631" customFormat="false" ht="15" hidden="false" customHeight="false" outlineLevel="0" collapsed="false">
      <c r="A18631" s="0" t="e">
        <f aca="false">IMPOWER("",2.5)</f>
        <v>#VALUE!</v>
      </c>
      <c r="B18631" s="0" t="s">
        <v>18477</v>
      </c>
    </row>
    <row r="18632" customFormat="false" ht="15" hidden="false" customHeight="false" outlineLevel="0" collapsed="false">
      <c r="A18632" s="0" t="e">
        <f aca="false">IMPOWER("",100)</f>
        <v>#VALUE!</v>
      </c>
      <c r="B18632" s="0" t="s">
        <v>18478</v>
      </c>
    </row>
    <row r="18633" customFormat="false" ht="15" hidden="false" customHeight="false" outlineLevel="0" collapsed="false">
      <c r="A18633" s="0" t="e">
        <f aca="false">IMPOWER("1+2k",2)</f>
        <v>#VALUE!</v>
      </c>
      <c r="B18633" s="0" t="s">
        <v>18479</v>
      </c>
    </row>
    <row r="18634" customFormat="false" ht="15" hidden="false" customHeight="false" outlineLevel="0" collapsed="false">
      <c r="A18634" s="0" t="e">
        <f aca="false">IMPOWER("1+2k",0)</f>
        <v>#VALUE!</v>
      </c>
      <c r="B18634" s="0" t="s">
        <v>18480</v>
      </c>
    </row>
    <row r="18635" customFormat="false" ht="15" hidden="false" customHeight="false" outlineLevel="0" collapsed="false">
      <c r="A18635" s="0" t="e">
        <f aca="false">IMPOWER("1+2k",1)</f>
        <v>#VALUE!</v>
      </c>
      <c r="B18635" s="0" t="s">
        <v>18481</v>
      </c>
    </row>
    <row r="18636" customFormat="false" ht="15" hidden="false" customHeight="false" outlineLevel="0" collapsed="false">
      <c r="A18636" s="0" t="e">
        <f aca="false">IMPOWER("1+2k",-1)</f>
        <v>#VALUE!</v>
      </c>
      <c r="B18636" s="0" t="s">
        <v>18482</v>
      </c>
    </row>
    <row r="18637" customFormat="false" ht="15" hidden="false" customHeight="false" outlineLevel="0" collapsed="false">
      <c r="A18637" s="0" t="e">
        <f aca="false">IMPOWER("1+2k",0.5)</f>
        <v>#VALUE!</v>
      </c>
      <c r="B18637" s="0" t="s">
        <v>18483</v>
      </c>
    </row>
    <row r="18638" customFormat="false" ht="15" hidden="false" customHeight="false" outlineLevel="0" collapsed="false">
      <c r="A18638" s="0" t="e">
        <f aca="false">IMPOWER("1+2k",-0.5)</f>
        <v>#VALUE!</v>
      </c>
      <c r="B18638" s="0" t="s">
        <v>18484</v>
      </c>
    </row>
    <row r="18639" customFormat="false" ht="15" hidden="false" customHeight="false" outlineLevel="0" collapsed="false">
      <c r="A18639" s="0" t="e">
        <f aca="false">IMPOWER("1+2k",3)</f>
        <v>#VALUE!</v>
      </c>
      <c r="B18639" s="0" t="s">
        <v>18485</v>
      </c>
    </row>
    <row r="18640" customFormat="false" ht="15" hidden="false" customHeight="false" outlineLevel="0" collapsed="false">
      <c r="A18640" s="0" t="e">
        <f aca="false">IMPOWER("1+2k",1.5)</f>
        <v>#VALUE!</v>
      </c>
      <c r="B18640" s="0" t="s">
        <v>18486</v>
      </c>
    </row>
    <row r="18641" customFormat="false" ht="15" hidden="false" customHeight="false" outlineLevel="0" collapsed="false">
      <c r="A18641" s="0" t="e">
        <f aca="false">IMPOWER("1+2k",10)</f>
        <v>#VALUE!</v>
      </c>
      <c r="B18641" s="0" t="s">
        <v>18487</v>
      </c>
    </row>
    <row r="18642" customFormat="false" ht="15" hidden="false" customHeight="false" outlineLevel="0" collapsed="false">
      <c r="A18642" s="0" t="e">
        <f aca="false">IMPOWER("1+2k",TRUE())</f>
        <v>#VALUE!</v>
      </c>
      <c r="B18642" s="0" t="s">
        <v>18488</v>
      </c>
    </row>
    <row r="18643" customFormat="false" ht="15" hidden="false" customHeight="false" outlineLevel="0" collapsed="false">
      <c r="A18643" s="0" t="e">
        <f aca="false">IMPOWER("1+2k","2")</f>
        <v>#VALUE!</v>
      </c>
      <c r="B18643" s="0" t="s">
        <v>18489</v>
      </c>
    </row>
    <row r="18644" customFormat="false" ht="15" hidden="false" customHeight="false" outlineLevel="0" collapsed="false">
      <c r="A18644" s="0" t="e">
        <f aca="false">IMPOWER("1+2k","x")</f>
        <v>#VALUE!</v>
      </c>
      <c r="B18644" s="0" t="s">
        <v>18490</v>
      </c>
    </row>
    <row r="18645" customFormat="false" ht="15" hidden="false" customHeight="false" outlineLevel="0" collapsed="false">
      <c r="A18645" s="0" t="e">
        <f aca="false">IMPOWER("1+2k",Data!D1)</f>
        <v>#VALUE!</v>
      </c>
      <c r="B18645" s="0" t="s">
        <v>18491</v>
      </c>
    </row>
    <row r="18646" customFormat="false" ht="15" hidden="false" customHeight="false" outlineLevel="0" collapsed="false">
      <c r="A18646" s="0" t="e">
        <f aca="false">IMPOWER("1+2k",NA())</f>
        <v>#N/A</v>
      </c>
      <c r="B18646" s="0" t="s">
        <v>18492</v>
      </c>
    </row>
    <row r="18647" customFormat="false" ht="15" hidden="false" customHeight="false" outlineLevel="0" collapsed="false">
      <c r="A18647" s="0" t="e">
        <f aca="false">IMPOWER("1+2k",10000000000)</f>
        <v>#VALUE!</v>
      </c>
      <c r="B18647" s="0" t="s">
        <v>18493</v>
      </c>
    </row>
    <row r="18648" customFormat="false" ht="15" hidden="false" customHeight="false" outlineLevel="0" collapsed="false">
      <c r="A18648" s="0" t="e">
        <f aca="false">IMPOWER("1+2k",-3)</f>
        <v>#VALUE!</v>
      </c>
      <c r="B18648" s="0" t="s">
        <v>18494</v>
      </c>
    </row>
    <row r="18649" customFormat="false" ht="15" hidden="false" customHeight="false" outlineLevel="0" collapsed="false">
      <c r="A18649" s="0" t="e">
        <f aca="false">IMPOWER("1+2k",0.1)</f>
        <v>#VALUE!</v>
      </c>
      <c r="B18649" s="0" t="s">
        <v>18495</v>
      </c>
    </row>
    <row r="18650" customFormat="false" ht="15" hidden="false" customHeight="false" outlineLevel="0" collapsed="false">
      <c r="A18650" s="0" t="e">
        <f aca="false">IMPOWER("1+2k",Data!A1:A2)</f>
        <v>#VALUE!</v>
      </c>
      <c r="B18650" s="0" t="s">
        <v>18496</v>
      </c>
    </row>
    <row r="18651" customFormat="false" ht="15" hidden="false" customHeight="false" outlineLevel="0" collapsed="false">
      <c r="A18651" s="0" t="e">
        <f aca="false">IMPOWER("1+2k",2.5)</f>
        <v>#VALUE!</v>
      </c>
      <c r="B18651" s="0" t="s">
        <v>18497</v>
      </c>
    </row>
    <row r="18652" customFormat="false" ht="15" hidden="false" customHeight="false" outlineLevel="0" collapsed="false">
      <c r="A18652" s="0" t="e">
        <f aca="false">IMPOWER("1+2k",100)</f>
        <v>#VALUE!</v>
      </c>
      <c r="B18652" s="0" t="s">
        <v>18498</v>
      </c>
    </row>
    <row r="18653" customFormat="false" ht="15" hidden="false" customHeight="false" outlineLevel="0" collapsed="false">
      <c r="A18653" s="0" t="str">
        <f aca="false">COMPLEX(3,4)</f>
        <v>3+4i</v>
      </c>
      <c r="B18653" s="0" t="s">
        <v>18499</v>
      </c>
    </row>
    <row r="18654" customFormat="false" ht="15" hidden="false" customHeight="false" outlineLevel="0" collapsed="false">
      <c r="A18654" s="0" t="str">
        <f aca="false">COMPLEX(3,4,"i")</f>
        <v>3+4i</v>
      </c>
      <c r="B18654" s="0" t="s">
        <v>18500</v>
      </c>
    </row>
    <row r="18655" customFormat="false" ht="15" hidden="false" customHeight="false" outlineLevel="0" collapsed="false">
      <c r="A18655" s="0" t="str">
        <f aca="false">COMPLEX(3,4,"j")</f>
        <v>3+4j</v>
      </c>
      <c r="B18655" s="0" t="s">
        <v>18501</v>
      </c>
    </row>
    <row r="18656" customFormat="false" ht="15" hidden="false" customHeight="false" outlineLevel="0" collapsed="false">
      <c r="A18656" s="0" t="e">
        <f aca="false">COMPLEX(3,4,"k")</f>
        <v>#VALUE!</v>
      </c>
      <c r="B18656" s="0" t="s">
        <v>18502</v>
      </c>
    </row>
    <row r="18657" customFormat="false" ht="15" hidden="false" customHeight="false" outlineLevel="0" collapsed="false">
      <c r="A18657" s="0" t="e">
        <f aca="false">COMPLEX(3,4,"I")</f>
        <v>#VALUE!</v>
      </c>
      <c r="B18657" s="0" t="s">
        <v>18503</v>
      </c>
    </row>
    <row r="18658" customFormat="false" ht="15" hidden="false" customHeight="false" outlineLevel="0" collapsed="false">
      <c r="A18658" s="0" t="e">
        <f aca="false">COMPLEX(3,4,"J")</f>
        <v>#VALUE!</v>
      </c>
      <c r="B18658" s="0" t="s">
        <v>18504</v>
      </c>
    </row>
    <row r="18659" customFormat="false" ht="15" hidden="false" customHeight="false" outlineLevel="0" collapsed="false">
      <c r="A18659" s="0" t="str">
        <f aca="false">COMPLEX(3,4,"")</f>
        <v>3+4i</v>
      </c>
      <c r="B18659" s="0" t="s">
        <v>18505</v>
      </c>
    </row>
    <row r="18660" customFormat="false" ht="15" hidden="false" customHeight="false" outlineLevel="0" collapsed="false">
      <c r="A18660" s="0" t="str">
        <f aca="false">COMPLEX(0,1)</f>
        <v>i</v>
      </c>
      <c r="B18660" s="0" t="s">
        <v>18506</v>
      </c>
    </row>
    <row r="18661" customFormat="false" ht="15" hidden="false" customHeight="false" outlineLevel="0" collapsed="false">
      <c r="A18661" s="0" t="str">
        <f aca="false">COMPLEX(1,0)</f>
        <v>1</v>
      </c>
      <c r="B18661" s="0" t="s">
        <v>18507</v>
      </c>
    </row>
    <row r="18662" customFormat="false" ht="15" hidden="false" customHeight="false" outlineLevel="0" collapsed="false">
      <c r="A18662" s="0" t="str">
        <f aca="false">COMPLEX(0,0)</f>
        <v>0</v>
      </c>
      <c r="B18662" s="0" t="s">
        <v>18508</v>
      </c>
    </row>
    <row r="18663" customFormat="false" ht="15" hidden="false" customHeight="false" outlineLevel="0" collapsed="false">
      <c r="A18663" s="0" t="str">
        <f aca="false">COMPLEX(-1,-1)</f>
        <v>-1-i</v>
      </c>
      <c r="B18663" s="0" t="s">
        <v>18509</v>
      </c>
    </row>
    <row r="18664" customFormat="false" ht="15" hidden="false" customHeight="false" outlineLevel="0" collapsed="false">
      <c r="A18664" s="0" t="str">
        <f aca="false">COMPLEX(1.5,-2.5)</f>
        <v>1.5-2.5i</v>
      </c>
      <c r="B18664" s="0" t="s">
        <v>18510</v>
      </c>
    </row>
    <row r="18665" customFormat="false" ht="15" hidden="false" customHeight="false" outlineLevel="0" collapsed="false">
      <c r="A18665" s="0" t="str">
        <f aca="false">COMPLEX(1E+020,1E-020)</f>
        <v>1e+20+1e-20i</v>
      </c>
      <c r="B18665" s="0" t="s">
        <v>18511</v>
      </c>
    </row>
    <row r="18666" customFormat="false" ht="15" hidden="false" customHeight="false" outlineLevel="0" collapsed="false">
      <c r="A18666" s="0" t="str">
        <f aca="false">COMPLEX(3,1)</f>
        <v>3+i</v>
      </c>
      <c r="B18666" s="0" t="s">
        <v>18512</v>
      </c>
    </row>
    <row r="18667" customFormat="false" ht="15" hidden="false" customHeight="false" outlineLevel="0" collapsed="false">
      <c r="A18667" s="0" t="str">
        <f aca="false">COMPLEX(3,-1)</f>
        <v>3-i</v>
      </c>
      <c r="B18667" s="0" t="s">
        <v>18513</v>
      </c>
    </row>
    <row r="18668" customFormat="false" ht="15" hidden="false" customHeight="false" outlineLevel="0" collapsed="false">
      <c r="A18668" s="0" t="str">
        <f aca="false">COMPLEX(0,-1)</f>
        <v>-i</v>
      </c>
      <c r="B18668" s="0" t="s">
        <v>18514</v>
      </c>
    </row>
    <row r="18669" customFormat="false" ht="15" hidden="false" customHeight="false" outlineLevel="0" collapsed="false">
      <c r="A18669" s="0" t="str">
        <f aca="false">COMPLEX(0,5)</f>
        <v>5i</v>
      </c>
      <c r="B18669" s="0" t="s">
        <v>18515</v>
      </c>
    </row>
    <row r="18670" customFormat="false" ht="15" hidden="false" customHeight="false" outlineLevel="0" collapsed="false">
      <c r="A18670" s="0" t="str">
        <f aca="false">COMPLEX(5,0,"j")</f>
        <v>5</v>
      </c>
      <c r="B18670" s="0" t="s">
        <v>18516</v>
      </c>
    </row>
    <row r="18671" customFormat="false" ht="15" hidden="false" customHeight="false" outlineLevel="0" collapsed="false">
      <c r="A18671" s="0" t="str">
        <f aca="false">COMPLEX(0,1,"j")</f>
        <v>j</v>
      </c>
      <c r="B18671" s="0" t="s">
        <v>18517</v>
      </c>
    </row>
    <row r="18672" customFormat="false" ht="15" hidden="false" customHeight="false" outlineLevel="0" collapsed="false">
      <c r="A18672" s="0" t="str">
        <f aca="false">COMPLEX("3",4)</f>
        <v>3+4i</v>
      </c>
      <c r="B18672" s="0" t="s">
        <v>18518</v>
      </c>
    </row>
    <row r="18673" customFormat="false" ht="15" hidden="false" customHeight="false" outlineLevel="0" collapsed="false">
      <c r="A18673" s="0" t="str">
        <f aca="false">COMPLEX(3,"4")</f>
        <v>3+4i</v>
      </c>
      <c r="B18673" s="0" t="s">
        <v>18519</v>
      </c>
    </row>
    <row r="18674" customFormat="false" ht="15" hidden="false" customHeight="false" outlineLevel="0" collapsed="false">
      <c r="A18674" s="0" t="e">
        <f aca="false">COMPLEX("x",4)</f>
        <v>#VALUE!</v>
      </c>
      <c r="B18674" s="0" t="s">
        <v>18520</v>
      </c>
    </row>
    <row r="18675" customFormat="false" ht="15" hidden="false" customHeight="false" outlineLevel="0" collapsed="false">
      <c r="A18675" s="0" t="e">
        <f aca="false">COMPLEX(3,"x")</f>
        <v>#VALUE!</v>
      </c>
      <c r="B18675" s="0" t="s">
        <v>18521</v>
      </c>
    </row>
    <row r="18676" customFormat="false" ht="15" hidden="false" customHeight="false" outlineLevel="0" collapsed="false">
      <c r="A18676" s="0" t="str">
        <f aca="false">COMPLEX(TRUE(),1)</f>
        <v>1+i</v>
      </c>
      <c r="B18676" s="0" t="s">
        <v>18522</v>
      </c>
    </row>
    <row r="18677" customFormat="false" ht="15" hidden="false" customHeight="false" outlineLevel="0" collapsed="false">
      <c r="A18677" s="0" t="e">
        <f aca="false">COMPLEX(3,4,1)</f>
        <v>#VALUE!</v>
      </c>
      <c r="B18677" s="0" t="s">
        <v>18523</v>
      </c>
    </row>
    <row r="18678" customFormat="false" ht="15" hidden="false" customHeight="false" outlineLevel="0" collapsed="false">
      <c r="A18678" s="0" t="e">
        <f aca="false">COMPLEX(3,4,"ij")</f>
        <v>#VALUE!</v>
      </c>
      <c r="B18678" s="0" t="s">
        <v>18524</v>
      </c>
    </row>
    <row r="18679" customFormat="false" ht="15" hidden="false" customHeight="false" outlineLevel="0" collapsed="false">
      <c r="A18679" s="0" t="e">
        <f aca="false">COMPLEX(3,4,Data!D1)</f>
        <v>#VALUE!</v>
      </c>
      <c r="B18679" s="0" t="s">
        <v>18525</v>
      </c>
    </row>
    <row r="18680" customFormat="false" ht="15" hidden="false" customHeight="false" outlineLevel="0" collapsed="false">
      <c r="A18680" s="0" t="str">
        <f aca="false">COMPLEX(Data!D1,Data!D1)</f>
        <v>0</v>
      </c>
      <c r="B18680" s="0" t="s">
        <v>18526</v>
      </c>
    </row>
    <row r="18681" customFormat="false" ht="15" hidden="false" customHeight="false" outlineLevel="0" collapsed="false">
      <c r="A18681" s="0" t="e">
        <f aca="false">COMPLEX(NA(),1)</f>
        <v>#N/A</v>
      </c>
      <c r="B18681" s="0" t="s">
        <v>18527</v>
      </c>
    </row>
    <row r="18682" customFormat="false" ht="15" hidden="false" customHeight="false" outlineLevel="0" collapsed="false">
      <c r="A18682" s="0" t="e">
        <f aca="false">COMPLEX(1,NA())</f>
        <v>#N/A</v>
      </c>
      <c r="B18682" s="0" t="s">
        <v>18528</v>
      </c>
    </row>
    <row r="18683" customFormat="false" ht="15" hidden="false" customHeight="false" outlineLevel="0" collapsed="false">
      <c r="A18683" s="0" t="e">
        <f aca="false">COMPLEX(3,4,NA())</f>
        <v>#N/A</v>
      </c>
      <c r="B18683" s="0" t="s">
        <v>18529</v>
      </c>
    </row>
    <row r="18684" customFormat="false" ht="15" hidden="false" customHeight="false" outlineLevel="0" collapsed="false">
      <c r="A18684" s="0" t="str">
        <f aca="false">COMPLEX(0.1,0.2)</f>
        <v>0.1+0.2i</v>
      </c>
      <c r="B18684" s="0" t="s">
        <v>18530</v>
      </c>
    </row>
    <row r="18685" customFormat="false" ht="15" hidden="false" customHeight="false" outlineLevel="0" collapsed="false">
      <c r="A18685" s="0" t="str">
        <f aca="false">COMPLEX(1E-300,1E+300)</f>
        <v>1e-300+1e+300i</v>
      </c>
      <c r="B18685" s="0" t="s">
        <v>18531</v>
      </c>
    </row>
    <row r="18686" customFormat="false" ht="15" hidden="false" customHeight="false" outlineLevel="0" collapsed="false">
      <c r="A18686" s="0" t="str">
        <f aca="false">COMPLEX(1000000000000000,1)</f>
        <v>1e+15+i</v>
      </c>
      <c r="B18686" s="0" t="s">
        <v>18532</v>
      </c>
    </row>
    <row r="18687" customFormat="false" ht="15" hidden="false" customHeight="false" outlineLevel="0" collapsed="false">
      <c r="A18687" s="0" t="str">
        <f aca="false">COMPLEX(123456789.123457,1)</f>
        <v>123456789.123457+i</v>
      </c>
      <c r="B18687" s="0" t="s">
        <v>18533</v>
      </c>
    </row>
    <row r="18688" customFormat="false" ht="15" hidden="false" customHeight="false" outlineLevel="0" collapsed="false">
      <c r="A18688" s="0" t="e">
        <f aca="false">COMPLEX(1,1," ")</f>
        <v>#VALUE!</v>
      </c>
      <c r="B18688" s="0" t="s">
        <v>18534</v>
      </c>
    </row>
    <row r="18689" customFormat="false" ht="15" hidden="false" customHeight="false" outlineLevel="0" collapsed="false">
      <c r="A18689" s="0" t="e">
        <f aca="false">COMPLEX(1,1,"i ")</f>
        <v>#VALUE!</v>
      </c>
      <c r="B18689" s="0" t="s">
        <v>18535</v>
      </c>
    </row>
    <row r="18690" customFormat="false" ht="15" hidden="false" customHeight="false" outlineLevel="0" collapsed="false">
      <c r="A18690" s="0" t="str">
        <f aca="false">COMPLEX(1,-1,"j")</f>
        <v>1-j</v>
      </c>
      <c r="B18690" s="0" t="s">
        <v>18536</v>
      </c>
    </row>
    <row r="18691" customFormat="false" ht="15" hidden="false" customHeight="false" outlineLevel="0" collapsed="false">
      <c r="A18691" s="0" t="str">
        <f aca="false">COMPLEX(-0,-0)</f>
        <v>-0</v>
      </c>
      <c r="B18691" s="0" t="s">
        <v>18537</v>
      </c>
    </row>
    <row r="18692" customFormat="false" ht="15" hidden="false" customHeight="false" outlineLevel="0" collapsed="false">
      <c r="A18692" s="0" t="e">
        <f aca="false">COMPLEX(1)</f>
        <v>#VALUE!</v>
      </c>
      <c r="B18692" s="0" t="s">
        <v>18538</v>
      </c>
    </row>
    <row r="18693" customFormat="false" ht="15" hidden="false" customHeight="false" outlineLevel="0" collapsed="false">
      <c r="A18693" s="0" t="e">
        <f aca="false">COMPLEX()</f>
        <v>#VALUE!</v>
      </c>
      <c r="B18693" s="0" t="s">
        <v>18539</v>
      </c>
    </row>
    <row r="18694" customFormat="false" ht="15" hidden="false" customHeight="false" outlineLevel="0" collapsed="false">
      <c r="A18694" s="0" t="e">
        <f aca="false">COMPLEX(1,2,"i",1)</f>
        <v>#VALUE!</v>
      </c>
      <c r="B18694" s="0" t="s">
        <v>18540</v>
      </c>
    </row>
    <row r="18695" customFormat="false" ht="15" hidden="false" customHeight="false" outlineLevel="0" collapsed="false">
      <c r="A18695" s="0" t="e">
        <f aca="false">COMPLEX(Data!A1:A2,1)</f>
        <v>#VALUE!</v>
      </c>
      <c r="B18695" s="0" t="s">
        <v>18541</v>
      </c>
    </row>
    <row r="18696" customFormat="false" ht="15" hidden="false" customHeight="false" outlineLevel="0" collapsed="false">
      <c r="A18696" s="0" t="e">
        <f aca="false">COMPLEX(1,Data!A1:A2)</f>
        <v>#VALUE!</v>
      </c>
      <c r="B18696" s="0" t="s">
        <v>18542</v>
      </c>
    </row>
    <row r="18697" customFormat="false" ht="15" hidden="false" customHeight="false" outlineLevel="0" collapsed="false">
      <c r="A18697" s="0" t="n">
        <f aca="false">IMABS("0.7-137.121j")</f>
        <v>137.122786731455</v>
      </c>
      <c r="B18697" s="0" t="s">
        <v>18543</v>
      </c>
    </row>
    <row r="18698" customFormat="false" ht="15" hidden="false" customHeight="false" outlineLevel="0" collapsed="false">
      <c r="A18698" s="0" t="n">
        <f aca="false">IMABS("-325.0")</f>
        <v>325</v>
      </c>
      <c r="B18698" s="0" t="s">
        <v>18544</v>
      </c>
    </row>
    <row r="18699" customFormat="false" ht="15" hidden="false" customHeight="false" outlineLevel="0" collapsed="false">
      <c r="A18699" s="0" t="n">
        <f aca="false">IMABS("93.9955")</f>
        <v>93.9955</v>
      </c>
      <c r="B18699" s="0" t="s">
        <v>18545</v>
      </c>
    </row>
    <row r="18700" customFormat="false" ht="15" hidden="false" customHeight="false" outlineLevel="0" collapsed="false">
      <c r="A18700" s="0" t="n">
        <f aca="false">IMABS("235.8098j")</f>
        <v>235.8098</v>
      </c>
      <c r="B18700" s="0" t="s">
        <v>18546</v>
      </c>
    </row>
    <row r="18701" customFormat="false" ht="15" hidden="false" customHeight="false" outlineLevel="0" collapsed="false">
      <c r="A18701" s="0" t="n">
        <f aca="false">IMABS("-56.2+11.621i")</f>
        <v>57.3889156632185</v>
      </c>
      <c r="B18701" s="0" t="s">
        <v>18547</v>
      </c>
    </row>
    <row r="18702" customFormat="false" ht="15" hidden="false" customHeight="false" outlineLevel="0" collapsed="false">
      <c r="A18702" s="0" t="n">
        <f aca="false">IMABS("-8.0903+6.3394i")</f>
        <v>10.2781781678467</v>
      </c>
      <c r="B18702" s="0" t="s">
        <v>18548</v>
      </c>
    </row>
    <row r="18703" customFormat="false" ht="15" hidden="false" customHeight="false" outlineLevel="0" collapsed="false">
      <c r="A18703" s="0" t="n">
        <f aca="false">IMABS("35.04+262.7i")</f>
        <v>265.026586590855</v>
      </c>
      <c r="B18703" s="0" t="s">
        <v>18549</v>
      </c>
    </row>
    <row r="18704" customFormat="false" ht="15" hidden="false" customHeight="false" outlineLevel="0" collapsed="false">
      <c r="A18704" s="0" t="n">
        <f aca="false">IMABS("0.47-0.01i")</f>
        <v>0.470106370941726</v>
      </c>
      <c r="B18704" s="0" t="s">
        <v>18550</v>
      </c>
    </row>
    <row r="18705" customFormat="false" ht="15" hidden="false" customHeight="false" outlineLevel="0" collapsed="false">
      <c r="A18705" s="0" t="n">
        <f aca="false">IMABS("42.0")</f>
        <v>42</v>
      </c>
      <c r="B18705" s="0" t="s">
        <v>18551</v>
      </c>
    </row>
    <row r="18706" customFormat="false" ht="15" hidden="false" customHeight="false" outlineLevel="0" collapsed="false">
      <c r="A18706" s="0" t="e">
        <f aca="false">IMABS("0.0+-0.0i")</f>
        <v>#VALUE!</v>
      </c>
      <c r="B18706" s="0" t="s">
        <v>18552</v>
      </c>
    </row>
    <row r="18707" customFormat="false" ht="15" hidden="false" customHeight="false" outlineLevel="0" collapsed="false">
      <c r="A18707" s="0" t="n">
        <f aca="false">IMABS("30.86+936.2275i")</f>
        <v>936.735966725016</v>
      </c>
      <c r="B18707" s="0" t="s">
        <v>18553</v>
      </c>
    </row>
    <row r="18708" customFormat="false" ht="15" hidden="false" customHeight="false" outlineLevel="0" collapsed="false">
      <c r="A18708" s="0" t="n">
        <f aca="false">IMABS("-67.0+4.326i")</f>
        <v>67.1395135222173</v>
      </c>
      <c r="B18708" s="0" t="s">
        <v>18554</v>
      </c>
    </row>
    <row r="18709" customFormat="false" ht="15" hidden="false" customHeight="false" outlineLevel="0" collapsed="false">
      <c r="A18709" s="0" t="n">
        <f aca="false">IMABS("76.2i")</f>
        <v>76.2</v>
      </c>
      <c r="B18709" s="0" t="s">
        <v>18555</v>
      </c>
    </row>
    <row r="18710" customFormat="false" ht="15" hidden="false" customHeight="false" outlineLevel="0" collapsed="false">
      <c r="A18710" s="0" t="n">
        <f aca="false">IMABS("0.076-552.2343j")</f>
        <v>552.234305229664</v>
      </c>
      <c r="B18710" s="0" t="s">
        <v>18556</v>
      </c>
    </row>
    <row r="18711" customFormat="false" ht="15" hidden="false" customHeight="false" outlineLevel="0" collapsed="false">
      <c r="A18711" s="0" t="n">
        <f aca="false">IMABS("0.0-4.6597i")</f>
        <v>4.6597</v>
      </c>
      <c r="B18711" s="0" t="s">
        <v>18557</v>
      </c>
    </row>
    <row r="18712" customFormat="false" ht="15" hidden="false" customHeight="false" outlineLevel="0" collapsed="false">
      <c r="A18712" s="0" t="n">
        <f aca="false">IMABS("-407.491i")</f>
        <v>407.491</v>
      </c>
      <c r="B18712" s="0" t="s">
        <v>18558</v>
      </c>
    </row>
    <row r="18713" customFormat="false" ht="15" hidden="false" customHeight="false" outlineLevel="0" collapsed="false">
      <c r="A18713" s="0" t="n">
        <f aca="false">IMABS("-543.0")</f>
        <v>543</v>
      </c>
      <c r="B18713" s="0" t="s">
        <v>18559</v>
      </c>
    </row>
    <row r="18714" customFormat="false" ht="15" hidden="false" customHeight="false" outlineLevel="0" collapsed="false">
      <c r="A18714" s="0" t="n">
        <f aca="false">IMABS("-337.0+73.676i")</f>
        <v>344.959639633393</v>
      </c>
      <c r="B18714" s="0" t="s">
        <v>18560</v>
      </c>
    </row>
    <row r="18715" customFormat="false" ht="15" hidden="false" customHeight="false" outlineLevel="0" collapsed="false">
      <c r="A18715" s="0" t="n">
        <f aca="false">IMABS("-8.955-7.127i")</f>
        <v>11.4449182609576</v>
      </c>
      <c r="B18715" s="0" t="s">
        <v>18561</v>
      </c>
    </row>
    <row r="18716" customFormat="false" ht="15" hidden="false" customHeight="false" outlineLevel="0" collapsed="false">
      <c r="A18716" s="0" t="n">
        <f aca="false">IMABS("-90.0i")</f>
        <v>90</v>
      </c>
      <c r="B18716" s="0" t="s">
        <v>18562</v>
      </c>
    </row>
    <row r="18717" customFormat="false" ht="15" hidden="false" customHeight="false" outlineLevel="0" collapsed="false">
      <c r="A18717" s="0" t="n">
        <f aca="false">IMABS("-474.4462+4.804i")</f>
        <v>474.470520802336</v>
      </c>
      <c r="B18717" s="0" t="s">
        <v>18563</v>
      </c>
    </row>
    <row r="18718" customFormat="false" ht="15" hidden="false" customHeight="false" outlineLevel="0" collapsed="false">
      <c r="A18718" s="0" t="n">
        <f aca="false">IMABS("-8.0-0.0031j")</f>
        <v>8.00000060062498</v>
      </c>
      <c r="B18718" s="0" t="s">
        <v>18564</v>
      </c>
    </row>
    <row r="18719" customFormat="false" ht="15" hidden="false" customHeight="false" outlineLevel="0" collapsed="false">
      <c r="A18719" s="0" t="n">
        <f aca="false">IMABS("-345.21-2.0i")</f>
        <v>345.21579352631</v>
      </c>
      <c r="B18719" s="0" t="s">
        <v>18565</v>
      </c>
    </row>
    <row r="18720" customFormat="false" ht="15" hidden="false" customHeight="false" outlineLevel="0" collapsed="false">
      <c r="A18720" s="0" t="n">
        <f aca="false">IMABS("5.0-3.64j")</f>
        <v>6.18462610025861</v>
      </c>
      <c r="B18720" s="0" t="s">
        <v>18566</v>
      </c>
    </row>
    <row r="18721" customFormat="false" ht="15" hidden="false" customHeight="false" outlineLevel="0" collapsed="false">
      <c r="A18721" s="0" t="e">
        <f aca="false">IMABS("-6.0+-0.0j")</f>
        <v>#VALUE!</v>
      </c>
      <c r="B18721" s="0" t="s">
        <v>18567</v>
      </c>
    </row>
    <row r="18722" customFormat="false" ht="15" hidden="false" customHeight="false" outlineLevel="0" collapsed="false">
      <c r="A18722" s="0" t="n">
        <f aca="false">IMABS("0.0i")</f>
        <v>0</v>
      </c>
      <c r="B18722" s="0" t="s">
        <v>18568</v>
      </c>
    </row>
    <row r="18723" customFormat="false" ht="15" hidden="false" customHeight="false" outlineLevel="0" collapsed="false">
      <c r="A18723" s="0" t="n">
        <f aca="false">IMABS("-72.695-2.14i")</f>
        <v>72.7264919063198</v>
      </c>
      <c r="B18723" s="0" t="s">
        <v>18569</v>
      </c>
    </row>
    <row r="18724" customFormat="false" ht="15" hidden="false" customHeight="false" outlineLevel="0" collapsed="false">
      <c r="A18724" s="0" t="n">
        <f aca="false">IMABS("-961.53+0.0i")</f>
        <v>961.53</v>
      </c>
      <c r="B18724" s="0" t="s">
        <v>18570</v>
      </c>
    </row>
    <row r="18725" customFormat="false" ht="15" hidden="false" customHeight="false" outlineLevel="0" collapsed="false">
      <c r="A18725" s="0" t="n">
        <f aca="false">IMABS("10.99-23.4i")</f>
        <v>25.8522745614385</v>
      </c>
      <c r="B18725" s="0" t="s">
        <v>18571</v>
      </c>
    </row>
    <row r="18726" customFormat="false" ht="15" hidden="false" customHeight="false" outlineLevel="0" collapsed="false">
      <c r="A18726" s="0" t="n">
        <f aca="false">IMABS("-1.0-1.0j")</f>
        <v>1.4142135623731</v>
      </c>
      <c r="B18726" s="0" t="s">
        <v>18572</v>
      </c>
    </row>
    <row r="18727" customFormat="false" ht="15" hidden="false" customHeight="false" outlineLevel="0" collapsed="false">
      <c r="A18727" s="0" t="n">
        <f aca="false">IMABS("-0.0048")</f>
        <v>0.0048</v>
      </c>
      <c r="B18727" s="0" t="s">
        <v>18573</v>
      </c>
    </row>
    <row r="18728" customFormat="false" ht="15" hidden="false" customHeight="false" outlineLevel="0" collapsed="false">
      <c r="A18728" s="0" t="n">
        <f aca="false">IMABS("-0.0")</f>
        <v>0</v>
      </c>
      <c r="B18728" s="0" t="s">
        <v>18574</v>
      </c>
    </row>
    <row r="18729" customFormat="false" ht="15" hidden="false" customHeight="false" outlineLevel="0" collapsed="false">
      <c r="A18729" s="0" t="n">
        <f aca="false">IMABS("22.851-0.0079i")</f>
        <v>22.8510013655857</v>
      </c>
      <c r="B18729" s="0" t="s">
        <v>18575</v>
      </c>
    </row>
    <row r="18730" customFormat="false" ht="15" hidden="false" customHeight="false" outlineLevel="0" collapsed="false">
      <c r="A18730" s="0" t="n">
        <f aca="false">IMABS("-0.5-0.008i")</f>
        <v>0.500063995904524</v>
      </c>
      <c r="B18730" s="0" t="s">
        <v>18576</v>
      </c>
    </row>
    <row r="18731" customFormat="false" ht="15" hidden="false" customHeight="false" outlineLevel="0" collapsed="false">
      <c r="A18731" s="0" t="n">
        <f aca="false">IMABS("-68.0+3.5712i")</f>
        <v>68.09371093897</v>
      </c>
      <c r="B18731" s="0" t="s">
        <v>18577</v>
      </c>
    </row>
    <row r="18732" customFormat="false" ht="15" hidden="false" customHeight="false" outlineLevel="0" collapsed="false">
      <c r="A18732" s="0" t="n">
        <f aca="false">IMABS("-903.434+40.2796j")</f>
        <v>904.331487084332</v>
      </c>
      <c r="B18732" s="0" t="s">
        <v>18578</v>
      </c>
    </row>
    <row r="18733" customFormat="false" ht="15" hidden="false" customHeight="false" outlineLevel="0" collapsed="false">
      <c r="A18733" s="0" t="n">
        <f aca="false">IMABS("-22.0412+0.01j")</f>
        <v>22.0412022684789</v>
      </c>
      <c r="B18733" s="0" t="s">
        <v>18579</v>
      </c>
    </row>
    <row r="18734" customFormat="false" ht="15" hidden="false" customHeight="false" outlineLevel="0" collapsed="false">
      <c r="A18734" s="0" t="n">
        <f aca="false">IMABS("-9.52+0.324i")</f>
        <v>9.52551184976429</v>
      </c>
      <c r="B18734" s="0" t="s">
        <v>18580</v>
      </c>
    </row>
    <row r="18735" customFormat="false" ht="15" hidden="false" customHeight="false" outlineLevel="0" collapsed="false">
      <c r="A18735" s="0" t="n">
        <f aca="false">IMABS("1.0-1.0j")</f>
        <v>1.4142135623731</v>
      </c>
      <c r="B18735" s="0" t="s">
        <v>18581</v>
      </c>
    </row>
    <row r="18736" customFormat="false" ht="15" hidden="false" customHeight="false" outlineLevel="0" collapsed="false">
      <c r="A18736" s="0" t="n">
        <f aca="false">IMABS("0.0-9.266i")</f>
        <v>9.266</v>
      </c>
      <c r="B18736" s="0" t="s">
        <v>18582</v>
      </c>
    </row>
    <row r="18737" customFormat="false" ht="15" hidden="false" customHeight="false" outlineLevel="0" collapsed="false">
      <c r="A18737" s="0" t="n">
        <f aca="false">IMABS("-824.0")</f>
        <v>824</v>
      </c>
      <c r="B18737" s="0" t="s">
        <v>18583</v>
      </c>
    </row>
    <row r="18738" customFormat="false" ht="15" hidden="false" customHeight="false" outlineLevel="0" collapsed="false">
      <c r="A18738" s="0" t="n">
        <f aca="false">IMABS("1.0-0.899i")</f>
        <v>1.34469364540776</v>
      </c>
      <c r="B18738" s="0" t="s">
        <v>18584</v>
      </c>
    </row>
    <row r="18739" customFormat="false" ht="15" hidden="false" customHeight="false" outlineLevel="0" collapsed="false">
      <c r="A18739" s="0" t="n">
        <f aca="false">IMABS("92.0+3.7865i")</f>
        <v>92.0778886717653</v>
      </c>
      <c r="B18739" s="0" t="s">
        <v>18585</v>
      </c>
    </row>
    <row r="18740" customFormat="false" ht="15" hidden="false" customHeight="false" outlineLevel="0" collapsed="false">
      <c r="A18740" s="0" t="n">
        <f aca="false">IMABS("1.1-0.193j")</f>
        <v>1.1168030265002</v>
      </c>
      <c r="B18740" s="0" t="s">
        <v>18586</v>
      </c>
    </row>
    <row r="18741" customFormat="false" ht="15" hidden="false" customHeight="false" outlineLevel="0" collapsed="false">
      <c r="A18741" s="0" t="n">
        <f aca="false">IMABS("61.93-0.002i")</f>
        <v>61.9300000322945</v>
      </c>
      <c r="B18741" s="0" t="s">
        <v>18587</v>
      </c>
    </row>
    <row r="18742" customFormat="false" ht="15" hidden="false" customHeight="false" outlineLevel="0" collapsed="false">
      <c r="A18742" s="0" t="n">
        <f aca="false">IMABS("-574.9+8.8j")</f>
        <v>574.967346898935</v>
      </c>
      <c r="B18742" s="0" t="s">
        <v>18588</v>
      </c>
    </row>
    <row r="18743" customFormat="false" ht="15" hidden="false" customHeight="false" outlineLevel="0" collapsed="false">
      <c r="A18743" s="0" t="n">
        <f aca="false">IMABS("-825.0+3.0i")</f>
        <v>825.005454527423</v>
      </c>
      <c r="B18743" s="0" t="s">
        <v>18589</v>
      </c>
    </row>
    <row r="18744" customFormat="false" ht="15" hidden="false" customHeight="false" outlineLevel="0" collapsed="false">
      <c r="A18744" s="0" t="n">
        <f aca="false">IMABS("19.492+0.0077i")</f>
        <v>19.4920015208803</v>
      </c>
      <c r="B18744" s="0" t="s">
        <v>18590</v>
      </c>
    </row>
    <row r="18745" customFormat="false" ht="15" hidden="false" customHeight="false" outlineLevel="0" collapsed="false">
      <c r="A18745" s="0" t="n">
        <f aca="false">IMABS("42.31+0.477i")</f>
        <v>42.3126887469941</v>
      </c>
      <c r="B18745" s="0" t="s">
        <v>18591</v>
      </c>
    </row>
    <row r="18746" customFormat="false" ht="15" hidden="false" customHeight="false" outlineLevel="0" collapsed="false">
      <c r="A18746" s="0" t="n">
        <f aca="false">IMABS("-0.7056")</f>
        <v>0.7056</v>
      </c>
      <c r="B18746" s="0" t="s">
        <v>18592</v>
      </c>
    </row>
    <row r="18747" customFormat="false" ht="15" hidden="false" customHeight="false" outlineLevel="0" collapsed="false">
      <c r="A18747" s="0" t="n">
        <f aca="false">IMABS("-0.9-1.0i")</f>
        <v>1.34536240470737</v>
      </c>
      <c r="B18747" s="0" t="s">
        <v>18593</v>
      </c>
    </row>
    <row r="18748" customFormat="false" ht="15" hidden="false" customHeight="false" outlineLevel="0" collapsed="false">
      <c r="A18748" s="0" t="e">
        <f aca="false">IMABS("-0.0009+-0.0i")</f>
        <v>#VALUE!</v>
      </c>
      <c r="B18748" s="0" t="s">
        <v>18594</v>
      </c>
    </row>
    <row r="18749" customFormat="false" ht="15" hidden="false" customHeight="false" outlineLevel="0" collapsed="false">
      <c r="A18749" s="0" t="n">
        <f aca="false">IMABS("-0.0+130.0i")</f>
        <v>130</v>
      </c>
      <c r="B18749" s="0" t="s">
        <v>18595</v>
      </c>
    </row>
    <row r="18750" customFormat="false" ht="15" hidden="false" customHeight="false" outlineLevel="0" collapsed="false">
      <c r="A18750" s="0" t="n">
        <f aca="false">IMABS("69.56-216.88i")</f>
        <v>227.761998586244</v>
      </c>
      <c r="B18750" s="0" t="s">
        <v>18596</v>
      </c>
    </row>
    <row r="18751" customFormat="false" ht="15" hidden="false" customHeight="false" outlineLevel="0" collapsed="false">
      <c r="A18751" s="0" t="n">
        <f aca="false">IMABS("-6.52-0.83i")</f>
        <v>6.57261743904207</v>
      </c>
      <c r="B18751" s="0" t="s">
        <v>18597</v>
      </c>
    </row>
    <row r="18752" customFormat="false" ht="15" hidden="false" customHeight="false" outlineLevel="0" collapsed="false">
      <c r="A18752" s="0" t="n">
        <f aca="false">IMABS("0.0084-1.0i")</f>
        <v>1.00003527937768</v>
      </c>
      <c r="B18752" s="0" t="s">
        <v>18598</v>
      </c>
    </row>
    <row r="18753" customFormat="false" ht="15" hidden="false" customHeight="false" outlineLevel="0" collapsed="false">
      <c r="A18753" s="0" t="n">
        <f aca="false">IMABS("-0.23")</f>
        <v>0.23</v>
      </c>
      <c r="B18753" s="0" t="s">
        <v>18599</v>
      </c>
    </row>
    <row r="18754" customFormat="false" ht="15" hidden="false" customHeight="false" outlineLevel="0" collapsed="false">
      <c r="A18754" s="0" t="n">
        <f aca="false">IMABS("-0.0")</f>
        <v>0</v>
      </c>
      <c r="B18754" s="0" t="s">
        <v>18574</v>
      </c>
    </row>
    <row r="18755" customFormat="false" ht="15" hidden="false" customHeight="false" outlineLevel="0" collapsed="false">
      <c r="A18755" s="0" t="n">
        <f aca="false">IMABS("-1.6437i")</f>
        <v>1.6437</v>
      </c>
      <c r="B18755" s="0" t="s">
        <v>18600</v>
      </c>
    </row>
    <row r="18756" customFormat="false" ht="15" hidden="false" customHeight="false" outlineLevel="0" collapsed="false">
      <c r="A18756" s="0" t="e">
        <f aca="false">IMABS("-0.0055+-0.0i")</f>
        <v>#VALUE!</v>
      </c>
      <c r="B18756" s="0" t="s">
        <v>18601</v>
      </c>
    </row>
    <row r="18757" customFormat="false" ht="15" hidden="false" customHeight="false" outlineLevel="0" collapsed="false">
      <c r="A18757" s="0" t="n">
        <f aca="false">IMAGINARY("0.7-137.121j")</f>
        <v>-137.121</v>
      </c>
      <c r="B18757" s="0" t="s">
        <v>18602</v>
      </c>
    </row>
    <row r="18758" customFormat="false" ht="15" hidden="false" customHeight="false" outlineLevel="0" collapsed="false">
      <c r="A18758" s="0" t="n">
        <f aca="false">IMAGINARY("-325.0")</f>
        <v>0</v>
      </c>
      <c r="B18758" s="0" t="s">
        <v>18603</v>
      </c>
    </row>
    <row r="18759" customFormat="false" ht="15" hidden="false" customHeight="false" outlineLevel="0" collapsed="false">
      <c r="A18759" s="0" t="n">
        <f aca="false">IMAGINARY("93.9955")</f>
        <v>0</v>
      </c>
      <c r="B18759" s="0" t="s">
        <v>18604</v>
      </c>
    </row>
    <row r="18760" customFormat="false" ht="15" hidden="false" customHeight="false" outlineLevel="0" collapsed="false">
      <c r="A18760" s="0" t="n">
        <f aca="false">IMAGINARY("235.8098j")</f>
        <v>235.8098</v>
      </c>
      <c r="B18760" s="0" t="s">
        <v>18605</v>
      </c>
    </row>
    <row r="18761" customFormat="false" ht="15" hidden="false" customHeight="false" outlineLevel="0" collapsed="false">
      <c r="A18761" s="0" t="n">
        <f aca="false">IMAGINARY("-56.2+11.621i")</f>
        <v>11.621</v>
      </c>
      <c r="B18761" s="0" t="s">
        <v>18606</v>
      </c>
    </row>
    <row r="18762" customFormat="false" ht="15" hidden="false" customHeight="false" outlineLevel="0" collapsed="false">
      <c r="A18762" s="0" t="n">
        <f aca="false">IMAGINARY("-8.0903+6.3394i")</f>
        <v>6.3394</v>
      </c>
      <c r="B18762" s="0" t="s">
        <v>18607</v>
      </c>
    </row>
    <row r="18763" customFormat="false" ht="15" hidden="false" customHeight="false" outlineLevel="0" collapsed="false">
      <c r="A18763" s="0" t="n">
        <f aca="false">IMAGINARY("35.04+262.7i")</f>
        <v>262.7</v>
      </c>
      <c r="B18763" s="0" t="s">
        <v>18608</v>
      </c>
    </row>
    <row r="18764" customFormat="false" ht="15" hidden="false" customHeight="false" outlineLevel="0" collapsed="false">
      <c r="A18764" s="0" t="n">
        <f aca="false">IMAGINARY("0.47-0.01i")</f>
        <v>-0.01</v>
      </c>
      <c r="B18764" s="0" t="s">
        <v>18609</v>
      </c>
    </row>
    <row r="18765" customFormat="false" ht="15" hidden="false" customHeight="false" outlineLevel="0" collapsed="false">
      <c r="A18765" s="0" t="n">
        <f aca="false">IMAGINARY("42.0")</f>
        <v>0</v>
      </c>
      <c r="B18765" s="0" t="s">
        <v>18610</v>
      </c>
    </row>
    <row r="18766" customFormat="false" ht="15" hidden="false" customHeight="false" outlineLevel="0" collapsed="false">
      <c r="A18766" s="0" t="e">
        <f aca="false">IMAGINARY("0.0+-0.0i")</f>
        <v>#VALUE!</v>
      </c>
      <c r="B18766" s="0" t="s">
        <v>18611</v>
      </c>
    </row>
    <row r="18767" customFormat="false" ht="15" hidden="false" customHeight="false" outlineLevel="0" collapsed="false">
      <c r="A18767" s="0" t="n">
        <f aca="false">IMAGINARY("30.86+936.2275i")</f>
        <v>936.2275</v>
      </c>
      <c r="B18767" s="0" t="s">
        <v>18612</v>
      </c>
    </row>
    <row r="18768" customFormat="false" ht="15" hidden="false" customHeight="false" outlineLevel="0" collapsed="false">
      <c r="A18768" s="0" t="n">
        <f aca="false">IMAGINARY("-67.0+4.326i")</f>
        <v>4.326</v>
      </c>
      <c r="B18768" s="0" t="s">
        <v>18613</v>
      </c>
    </row>
    <row r="18769" customFormat="false" ht="15" hidden="false" customHeight="false" outlineLevel="0" collapsed="false">
      <c r="A18769" s="0" t="n">
        <f aca="false">IMAGINARY("76.2i")</f>
        <v>76.2</v>
      </c>
      <c r="B18769" s="0" t="s">
        <v>18614</v>
      </c>
    </row>
    <row r="18770" customFormat="false" ht="15" hidden="false" customHeight="false" outlineLevel="0" collapsed="false">
      <c r="A18770" s="0" t="n">
        <f aca="false">IMAGINARY("0.076-552.2343j")</f>
        <v>-552.2343</v>
      </c>
      <c r="B18770" s="0" t="s">
        <v>18615</v>
      </c>
    </row>
    <row r="18771" customFormat="false" ht="15" hidden="false" customHeight="false" outlineLevel="0" collapsed="false">
      <c r="A18771" s="0" t="n">
        <f aca="false">IMAGINARY("0.0-4.6597i")</f>
        <v>-4.6597</v>
      </c>
      <c r="B18771" s="0" t="s">
        <v>18616</v>
      </c>
    </row>
    <row r="18772" customFormat="false" ht="15" hidden="false" customHeight="false" outlineLevel="0" collapsed="false">
      <c r="A18772" s="0" t="n">
        <f aca="false">IMAGINARY("-407.491i")</f>
        <v>-407.491</v>
      </c>
      <c r="B18772" s="0" t="s">
        <v>18617</v>
      </c>
    </row>
    <row r="18773" customFormat="false" ht="15" hidden="false" customHeight="false" outlineLevel="0" collapsed="false">
      <c r="A18773" s="0" t="n">
        <f aca="false">IMAGINARY("-543.0")</f>
        <v>0</v>
      </c>
      <c r="B18773" s="0" t="s">
        <v>18618</v>
      </c>
    </row>
    <row r="18774" customFormat="false" ht="15" hidden="false" customHeight="false" outlineLevel="0" collapsed="false">
      <c r="A18774" s="0" t="n">
        <f aca="false">IMAGINARY("-337.0+73.676i")</f>
        <v>73.676</v>
      </c>
      <c r="B18774" s="0" t="s">
        <v>18619</v>
      </c>
    </row>
    <row r="18775" customFormat="false" ht="15" hidden="false" customHeight="false" outlineLevel="0" collapsed="false">
      <c r="A18775" s="0" t="n">
        <f aca="false">IMAGINARY("-8.955-7.127i")</f>
        <v>-7.127</v>
      </c>
      <c r="B18775" s="0" t="s">
        <v>18620</v>
      </c>
    </row>
    <row r="18776" customFormat="false" ht="15" hidden="false" customHeight="false" outlineLevel="0" collapsed="false">
      <c r="A18776" s="0" t="n">
        <f aca="false">IMAGINARY("-90.0i")</f>
        <v>-90</v>
      </c>
      <c r="B18776" s="0" t="s">
        <v>18621</v>
      </c>
    </row>
    <row r="18777" customFormat="false" ht="15" hidden="false" customHeight="false" outlineLevel="0" collapsed="false">
      <c r="A18777" s="0" t="n">
        <f aca="false">IMAGINARY("-474.4462+4.804i")</f>
        <v>4.804</v>
      </c>
      <c r="B18777" s="0" t="s">
        <v>18622</v>
      </c>
    </row>
    <row r="18778" customFormat="false" ht="15" hidden="false" customHeight="false" outlineLevel="0" collapsed="false">
      <c r="A18778" s="0" t="n">
        <f aca="false">IMAGINARY("-8.0-0.0031j")</f>
        <v>-0.0031</v>
      </c>
      <c r="B18778" s="0" t="s">
        <v>18623</v>
      </c>
    </row>
    <row r="18779" customFormat="false" ht="15" hidden="false" customHeight="false" outlineLevel="0" collapsed="false">
      <c r="A18779" s="0" t="n">
        <f aca="false">IMAGINARY("-345.21-2.0i")</f>
        <v>-2</v>
      </c>
      <c r="B18779" s="0" t="s">
        <v>18624</v>
      </c>
    </row>
    <row r="18780" customFormat="false" ht="15" hidden="false" customHeight="false" outlineLevel="0" collapsed="false">
      <c r="A18780" s="0" t="n">
        <f aca="false">IMAGINARY("5.0-3.64j")</f>
        <v>-3.64</v>
      </c>
      <c r="B18780" s="0" t="s">
        <v>18625</v>
      </c>
    </row>
    <row r="18781" customFormat="false" ht="15" hidden="false" customHeight="false" outlineLevel="0" collapsed="false">
      <c r="A18781" s="0" t="e">
        <f aca="false">IMAGINARY("-6.0+-0.0j")</f>
        <v>#VALUE!</v>
      </c>
      <c r="B18781" s="0" t="s">
        <v>18626</v>
      </c>
    </row>
    <row r="18782" customFormat="false" ht="15" hidden="false" customHeight="false" outlineLevel="0" collapsed="false">
      <c r="A18782" s="0" t="n">
        <f aca="false">IMAGINARY("0.0i")</f>
        <v>0</v>
      </c>
      <c r="B18782" s="0" t="s">
        <v>18627</v>
      </c>
    </row>
    <row r="18783" customFormat="false" ht="15" hidden="false" customHeight="false" outlineLevel="0" collapsed="false">
      <c r="A18783" s="0" t="n">
        <f aca="false">IMAGINARY("-72.695-2.14i")</f>
        <v>-2.14</v>
      </c>
      <c r="B18783" s="0" t="s">
        <v>18628</v>
      </c>
    </row>
    <row r="18784" customFormat="false" ht="15" hidden="false" customHeight="false" outlineLevel="0" collapsed="false">
      <c r="A18784" s="0" t="n">
        <f aca="false">IMAGINARY("-961.53+0.0i")</f>
        <v>0</v>
      </c>
      <c r="B18784" s="0" t="s">
        <v>18629</v>
      </c>
    </row>
    <row r="18785" customFormat="false" ht="15" hidden="false" customHeight="false" outlineLevel="0" collapsed="false">
      <c r="A18785" s="0" t="n">
        <f aca="false">IMAGINARY("10.99-23.4i")</f>
        <v>-23.4</v>
      </c>
      <c r="B18785" s="0" t="s">
        <v>18630</v>
      </c>
    </row>
    <row r="18786" customFormat="false" ht="15" hidden="false" customHeight="false" outlineLevel="0" collapsed="false">
      <c r="A18786" s="0" t="n">
        <f aca="false">IMAGINARY("-1.0-1.0j")</f>
        <v>-1</v>
      </c>
      <c r="B18786" s="0" t="s">
        <v>18631</v>
      </c>
    </row>
    <row r="18787" customFormat="false" ht="15" hidden="false" customHeight="false" outlineLevel="0" collapsed="false">
      <c r="A18787" s="0" t="n">
        <f aca="false">IMAGINARY("-0.0048")</f>
        <v>0</v>
      </c>
      <c r="B18787" s="0" t="s">
        <v>18632</v>
      </c>
    </row>
    <row r="18788" customFormat="false" ht="15" hidden="false" customHeight="false" outlineLevel="0" collapsed="false">
      <c r="A18788" s="0" t="n">
        <f aca="false">IMAGINARY("-0.0")</f>
        <v>0</v>
      </c>
      <c r="B18788" s="0" t="s">
        <v>18633</v>
      </c>
    </row>
    <row r="18789" customFormat="false" ht="15" hidden="false" customHeight="false" outlineLevel="0" collapsed="false">
      <c r="A18789" s="0" t="n">
        <f aca="false">IMAGINARY("22.851-0.0079i")</f>
        <v>-0.0079</v>
      </c>
      <c r="B18789" s="0" t="s">
        <v>18634</v>
      </c>
    </row>
    <row r="18790" customFormat="false" ht="15" hidden="false" customHeight="false" outlineLevel="0" collapsed="false">
      <c r="A18790" s="0" t="n">
        <f aca="false">IMAGINARY("-0.5-0.008i")</f>
        <v>-0.008</v>
      </c>
      <c r="B18790" s="0" t="s">
        <v>18635</v>
      </c>
    </row>
    <row r="18791" customFormat="false" ht="15" hidden="false" customHeight="false" outlineLevel="0" collapsed="false">
      <c r="A18791" s="0" t="n">
        <f aca="false">IMAGINARY("-68.0+3.5712i")</f>
        <v>3.5712</v>
      </c>
      <c r="B18791" s="0" t="s">
        <v>18636</v>
      </c>
    </row>
    <row r="18792" customFormat="false" ht="15" hidden="false" customHeight="false" outlineLevel="0" collapsed="false">
      <c r="A18792" s="0" t="n">
        <f aca="false">IMAGINARY("-903.434+40.2796j")</f>
        <v>40.2796</v>
      </c>
      <c r="B18792" s="0" t="s">
        <v>18637</v>
      </c>
    </row>
    <row r="18793" customFormat="false" ht="15" hidden="false" customHeight="false" outlineLevel="0" collapsed="false">
      <c r="A18793" s="0" t="n">
        <f aca="false">IMAGINARY("-22.0412+0.01j")</f>
        <v>0.01</v>
      </c>
      <c r="B18793" s="0" t="s">
        <v>18638</v>
      </c>
    </row>
    <row r="18794" customFormat="false" ht="15" hidden="false" customHeight="false" outlineLevel="0" collapsed="false">
      <c r="A18794" s="0" t="n">
        <f aca="false">IMAGINARY("-9.52+0.324i")</f>
        <v>0.324</v>
      </c>
      <c r="B18794" s="0" t="s">
        <v>18639</v>
      </c>
    </row>
    <row r="18795" customFormat="false" ht="15" hidden="false" customHeight="false" outlineLevel="0" collapsed="false">
      <c r="A18795" s="0" t="n">
        <f aca="false">IMAGINARY("1.0-1.0j")</f>
        <v>-1</v>
      </c>
      <c r="B18795" s="0" t="s">
        <v>18640</v>
      </c>
    </row>
    <row r="18796" customFormat="false" ht="15" hidden="false" customHeight="false" outlineLevel="0" collapsed="false">
      <c r="A18796" s="0" t="n">
        <f aca="false">IMAGINARY("0.0-9.266i")</f>
        <v>-9.266</v>
      </c>
      <c r="B18796" s="0" t="s">
        <v>18641</v>
      </c>
    </row>
    <row r="18797" customFormat="false" ht="15" hidden="false" customHeight="false" outlineLevel="0" collapsed="false">
      <c r="A18797" s="0" t="n">
        <f aca="false">IMAGINARY("-824.0")</f>
        <v>0</v>
      </c>
      <c r="B18797" s="0" t="s">
        <v>18642</v>
      </c>
    </row>
    <row r="18798" customFormat="false" ht="15" hidden="false" customHeight="false" outlineLevel="0" collapsed="false">
      <c r="A18798" s="0" t="n">
        <f aca="false">IMAGINARY("1.0-0.899i")</f>
        <v>-0.899</v>
      </c>
      <c r="B18798" s="0" t="s">
        <v>18643</v>
      </c>
    </row>
    <row r="18799" customFormat="false" ht="15" hidden="false" customHeight="false" outlineLevel="0" collapsed="false">
      <c r="A18799" s="0" t="n">
        <f aca="false">IMAGINARY("92.0+3.7865i")</f>
        <v>3.7865</v>
      </c>
      <c r="B18799" s="0" t="s">
        <v>18644</v>
      </c>
    </row>
    <row r="18800" customFormat="false" ht="15" hidden="false" customHeight="false" outlineLevel="0" collapsed="false">
      <c r="A18800" s="0" t="n">
        <f aca="false">IMAGINARY("1.1-0.193j")</f>
        <v>-0.193</v>
      </c>
      <c r="B18800" s="0" t="s">
        <v>18645</v>
      </c>
    </row>
    <row r="18801" customFormat="false" ht="15" hidden="false" customHeight="false" outlineLevel="0" collapsed="false">
      <c r="A18801" s="0" t="n">
        <f aca="false">IMAGINARY("61.93-0.002i")</f>
        <v>-0.002</v>
      </c>
      <c r="B18801" s="0" t="s">
        <v>18646</v>
      </c>
    </row>
    <row r="18802" customFormat="false" ht="15" hidden="false" customHeight="false" outlineLevel="0" collapsed="false">
      <c r="A18802" s="0" t="n">
        <f aca="false">IMAGINARY("-574.9+8.8j")</f>
        <v>8.8</v>
      </c>
      <c r="B18802" s="0" t="s">
        <v>18647</v>
      </c>
    </row>
    <row r="18803" customFormat="false" ht="15" hidden="false" customHeight="false" outlineLevel="0" collapsed="false">
      <c r="A18803" s="0" t="n">
        <f aca="false">IMAGINARY("-825.0+3.0i")</f>
        <v>3</v>
      </c>
      <c r="B18803" s="0" t="s">
        <v>18648</v>
      </c>
    </row>
    <row r="18804" customFormat="false" ht="15" hidden="false" customHeight="false" outlineLevel="0" collapsed="false">
      <c r="A18804" s="0" t="n">
        <f aca="false">IMAGINARY("19.492+0.0077i")</f>
        <v>0.0077</v>
      </c>
      <c r="B18804" s="0" t="s">
        <v>18649</v>
      </c>
    </row>
    <row r="18805" customFormat="false" ht="15" hidden="false" customHeight="false" outlineLevel="0" collapsed="false">
      <c r="A18805" s="0" t="n">
        <f aca="false">IMAGINARY("42.31+0.477i")</f>
        <v>0.477</v>
      </c>
      <c r="B18805" s="0" t="s">
        <v>18650</v>
      </c>
    </row>
    <row r="18806" customFormat="false" ht="15" hidden="false" customHeight="false" outlineLevel="0" collapsed="false">
      <c r="A18806" s="0" t="n">
        <f aca="false">IMAGINARY("-0.7056")</f>
        <v>0</v>
      </c>
      <c r="B18806" s="0" t="s">
        <v>18651</v>
      </c>
    </row>
    <row r="18807" customFormat="false" ht="15" hidden="false" customHeight="false" outlineLevel="0" collapsed="false">
      <c r="A18807" s="0" t="n">
        <f aca="false">IMAGINARY("-0.9-1.0i")</f>
        <v>-1</v>
      </c>
      <c r="B18807" s="0" t="s">
        <v>18652</v>
      </c>
    </row>
    <row r="18808" customFormat="false" ht="15" hidden="false" customHeight="false" outlineLevel="0" collapsed="false">
      <c r="A18808" s="0" t="e">
        <f aca="false">IMAGINARY("-0.0009+-0.0i")</f>
        <v>#VALUE!</v>
      </c>
      <c r="B18808" s="0" t="s">
        <v>18653</v>
      </c>
    </row>
    <row r="18809" customFormat="false" ht="15" hidden="false" customHeight="false" outlineLevel="0" collapsed="false">
      <c r="A18809" s="0" t="n">
        <f aca="false">IMAGINARY("-0.0+130.0i")</f>
        <v>130</v>
      </c>
      <c r="B18809" s="0" t="s">
        <v>18654</v>
      </c>
    </row>
    <row r="18810" customFormat="false" ht="15" hidden="false" customHeight="false" outlineLevel="0" collapsed="false">
      <c r="A18810" s="0" t="n">
        <f aca="false">IMAGINARY("69.56-216.88i")</f>
        <v>-216.88</v>
      </c>
      <c r="B18810" s="0" t="s">
        <v>18655</v>
      </c>
    </row>
    <row r="18811" customFormat="false" ht="15" hidden="false" customHeight="false" outlineLevel="0" collapsed="false">
      <c r="A18811" s="0" t="n">
        <f aca="false">IMAGINARY("-6.52-0.83i")</f>
        <v>-0.83</v>
      </c>
      <c r="B18811" s="0" t="s">
        <v>18656</v>
      </c>
    </row>
    <row r="18812" customFormat="false" ht="15" hidden="false" customHeight="false" outlineLevel="0" collapsed="false">
      <c r="A18812" s="0" t="n">
        <f aca="false">IMAGINARY("0.0084-1.0i")</f>
        <v>-1</v>
      </c>
      <c r="B18812" s="0" t="s">
        <v>18657</v>
      </c>
    </row>
    <row r="18813" customFormat="false" ht="15" hidden="false" customHeight="false" outlineLevel="0" collapsed="false">
      <c r="A18813" s="0" t="n">
        <f aca="false">IMAGINARY("-0.23")</f>
        <v>0</v>
      </c>
      <c r="B18813" s="0" t="s">
        <v>18658</v>
      </c>
    </row>
    <row r="18814" customFormat="false" ht="15" hidden="false" customHeight="false" outlineLevel="0" collapsed="false">
      <c r="A18814" s="0" t="n">
        <f aca="false">IMAGINARY("-0.0")</f>
        <v>0</v>
      </c>
      <c r="B18814" s="0" t="s">
        <v>18633</v>
      </c>
    </row>
    <row r="18815" customFormat="false" ht="15" hidden="false" customHeight="false" outlineLevel="0" collapsed="false">
      <c r="A18815" s="0" t="n">
        <f aca="false">IMAGINARY("-1.6437i")</f>
        <v>-1.6437</v>
      </c>
      <c r="B18815" s="0" t="s">
        <v>18659</v>
      </c>
    </row>
    <row r="18816" customFormat="false" ht="15" hidden="false" customHeight="false" outlineLevel="0" collapsed="false">
      <c r="A18816" s="0" t="e">
        <f aca="false">IMAGINARY("-0.0055+-0.0i")</f>
        <v>#VALUE!</v>
      </c>
      <c r="B18816" s="0" t="s">
        <v>18660</v>
      </c>
    </row>
    <row r="18817" customFormat="false" ht="15" hidden="false" customHeight="false" outlineLevel="0" collapsed="false">
      <c r="A18817" s="0" t="n">
        <f aca="false">IMREAL("0.7-137.121j")</f>
        <v>0.7</v>
      </c>
      <c r="B18817" s="0" t="s">
        <v>18661</v>
      </c>
    </row>
    <row r="18818" customFormat="false" ht="15" hidden="false" customHeight="false" outlineLevel="0" collapsed="false">
      <c r="A18818" s="0" t="n">
        <f aca="false">IMREAL("-325.0")</f>
        <v>-325</v>
      </c>
      <c r="B18818" s="0" t="s">
        <v>18662</v>
      </c>
    </row>
    <row r="18819" customFormat="false" ht="15" hidden="false" customHeight="false" outlineLevel="0" collapsed="false">
      <c r="A18819" s="0" t="n">
        <f aca="false">IMREAL("93.9955")</f>
        <v>93.9955</v>
      </c>
      <c r="B18819" s="0" t="s">
        <v>18663</v>
      </c>
    </row>
    <row r="18820" customFormat="false" ht="15" hidden="false" customHeight="false" outlineLevel="0" collapsed="false">
      <c r="A18820" s="0" t="n">
        <f aca="false">IMREAL("235.8098j")</f>
        <v>0</v>
      </c>
      <c r="B18820" s="0" t="s">
        <v>18664</v>
      </c>
    </row>
    <row r="18821" customFormat="false" ht="15" hidden="false" customHeight="false" outlineLevel="0" collapsed="false">
      <c r="A18821" s="0" t="n">
        <f aca="false">IMREAL("-56.2+11.621i")</f>
        <v>-56.2</v>
      </c>
      <c r="B18821" s="0" t="s">
        <v>18665</v>
      </c>
    </row>
    <row r="18822" customFormat="false" ht="15" hidden="false" customHeight="false" outlineLevel="0" collapsed="false">
      <c r="A18822" s="0" t="n">
        <f aca="false">IMREAL("-8.0903+6.3394i")</f>
        <v>-8.0903</v>
      </c>
      <c r="B18822" s="0" t="s">
        <v>18666</v>
      </c>
    </row>
    <row r="18823" customFormat="false" ht="15" hidden="false" customHeight="false" outlineLevel="0" collapsed="false">
      <c r="A18823" s="0" t="n">
        <f aca="false">IMREAL("35.04+262.7i")</f>
        <v>35.04</v>
      </c>
      <c r="B18823" s="0" t="s">
        <v>18667</v>
      </c>
    </row>
    <row r="18824" customFormat="false" ht="15" hidden="false" customHeight="false" outlineLevel="0" collapsed="false">
      <c r="A18824" s="0" t="n">
        <f aca="false">IMREAL("0.47-0.01i")</f>
        <v>0.47</v>
      </c>
      <c r="B18824" s="0" t="s">
        <v>18668</v>
      </c>
    </row>
    <row r="18825" customFormat="false" ht="15" hidden="false" customHeight="false" outlineLevel="0" collapsed="false">
      <c r="A18825" s="0" t="n">
        <f aca="false">IMREAL("42.0")</f>
        <v>42</v>
      </c>
      <c r="B18825" s="0" t="s">
        <v>18669</v>
      </c>
    </row>
    <row r="18826" customFormat="false" ht="15" hidden="false" customHeight="false" outlineLevel="0" collapsed="false">
      <c r="A18826" s="0" t="e">
        <f aca="false">IMREAL("0.0+-0.0i")</f>
        <v>#VALUE!</v>
      </c>
      <c r="B18826" s="0" t="s">
        <v>18670</v>
      </c>
    </row>
    <row r="18827" customFormat="false" ht="15" hidden="false" customHeight="false" outlineLevel="0" collapsed="false">
      <c r="A18827" s="0" t="n">
        <f aca="false">IMREAL("30.86+936.2275i")</f>
        <v>30.86</v>
      </c>
      <c r="B18827" s="0" t="s">
        <v>18671</v>
      </c>
    </row>
    <row r="18828" customFormat="false" ht="15" hidden="false" customHeight="false" outlineLevel="0" collapsed="false">
      <c r="A18828" s="0" t="n">
        <f aca="false">IMREAL("-67.0+4.326i")</f>
        <v>-67</v>
      </c>
      <c r="B18828" s="0" t="s">
        <v>18672</v>
      </c>
    </row>
    <row r="18829" customFormat="false" ht="15" hidden="false" customHeight="false" outlineLevel="0" collapsed="false">
      <c r="A18829" s="0" t="n">
        <f aca="false">IMREAL("76.2i")</f>
        <v>0</v>
      </c>
      <c r="B18829" s="0" t="s">
        <v>18673</v>
      </c>
    </row>
    <row r="18830" customFormat="false" ht="15" hidden="false" customHeight="false" outlineLevel="0" collapsed="false">
      <c r="A18830" s="0" t="n">
        <f aca="false">IMREAL("0.076-552.2343j")</f>
        <v>0.076</v>
      </c>
      <c r="B18830" s="0" t="s">
        <v>18674</v>
      </c>
    </row>
    <row r="18831" customFormat="false" ht="15" hidden="false" customHeight="false" outlineLevel="0" collapsed="false">
      <c r="A18831" s="0" t="n">
        <f aca="false">IMREAL("0.0-4.6597i")</f>
        <v>0</v>
      </c>
      <c r="B18831" s="0" t="s">
        <v>18675</v>
      </c>
    </row>
    <row r="18832" customFormat="false" ht="15" hidden="false" customHeight="false" outlineLevel="0" collapsed="false">
      <c r="A18832" s="0" t="n">
        <f aca="false">IMREAL("-407.491i")</f>
        <v>0</v>
      </c>
      <c r="B18832" s="0" t="s">
        <v>18676</v>
      </c>
    </row>
    <row r="18833" customFormat="false" ht="15" hidden="false" customHeight="false" outlineLevel="0" collapsed="false">
      <c r="A18833" s="0" t="n">
        <f aca="false">IMREAL("-543.0")</f>
        <v>-543</v>
      </c>
      <c r="B18833" s="0" t="s">
        <v>18677</v>
      </c>
    </row>
    <row r="18834" customFormat="false" ht="15" hidden="false" customHeight="false" outlineLevel="0" collapsed="false">
      <c r="A18834" s="0" t="n">
        <f aca="false">IMREAL("-337.0+73.676i")</f>
        <v>-337</v>
      </c>
      <c r="B18834" s="0" t="s">
        <v>18678</v>
      </c>
    </row>
    <row r="18835" customFormat="false" ht="15" hidden="false" customHeight="false" outlineLevel="0" collapsed="false">
      <c r="A18835" s="0" t="n">
        <f aca="false">IMREAL("-8.955-7.127i")</f>
        <v>-8.955</v>
      </c>
      <c r="B18835" s="0" t="s">
        <v>18679</v>
      </c>
    </row>
    <row r="18836" customFormat="false" ht="15" hidden="false" customHeight="false" outlineLevel="0" collapsed="false">
      <c r="A18836" s="0" t="n">
        <f aca="false">IMREAL("-90.0i")</f>
        <v>0</v>
      </c>
      <c r="B18836" s="0" t="s">
        <v>18680</v>
      </c>
    </row>
    <row r="18837" customFormat="false" ht="15" hidden="false" customHeight="false" outlineLevel="0" collapsed="false">
      <c r="A18837" s="0" t="n">
        <f aca="false">IMREAL("-474.4462+4.804i")</f>
        <v>-474.4462</v>
      </c>
      <c r="B18837" s="0" t="s">
        <v>18681</v>
      </c>
    </row>
    <row r="18838" customFormat="false" ht="15" hidden="false" customHeight="false" outlineLevel="0" collapsed="false">
      <c r="A18838" s="0" t="n">
        <f aca="false">IMREAL("-8.0-0.0031j")</f>
        <v>-8</v>
      </c>
      <c r="B18838" s="0" t="s">
        <v>18682</v>
      </c>
    </row>
    <row r="18839" customFormat="false" ht="15" hidden="false" customHeight="false" outlineLevel="0" collapsed="false">
      <c r="A18839" s="0" t="n">
        <f aca="false">IMREAL("-345.21-2.0i")</f>
        <v>-345.21</v>
      </c>
      <c r="B18839" s="0" t="s">
        <v>18683</v>
      </c>
    </row>
    <row r="18840" customFormat="false" ht="15" hidden="false" customHeight="false" outlineLevel="0" collapsed="false">
      <c r="A18840" s="0" t="n">
        <f aca="false">IMREAL("5.0-3.64j")</f>
        <v>5</v>
      </c>
      <c r="B18840" s="0" t="s">
        <v>18684</v>
      </c>
    </row>
    <row r="18841" customFormat="false" ht="15" hidden="false" customHeight="false" outlineLevel="0" collapsed="false">
      <c r="A18841" s="0" t="e">
        <f aca="false">IMREAL("-6.0+-0.0j")</f>
        <v>#VALUE!</v>
      </c>
      <c r="B18841" s="0" t="s">
        <v>18685</v>
      </c>
    </row>
    <row r="18842" customFormat="false" ht="15" hidden="false" customHeight="false" outlineLevel="0" collapsed="false">
      <c r="A18842" s="0" t="n">
        <f aca="false">IMREAL("0.0i")</f>
        <v>0</v>
      </c>
      <c r="B18842" s="0" t="s">
        <v>18686</v>
      </c>
    </row>
    <row r="18843" customFormat="false" ht="15" hidden="false" customHeight="false" outlineLevel="0" collapsed="false">
      <c r="A18843" s="0" t="n">
        <f aca="false">IMREAL("-72.695-2.14i")</f>
        <v>-72.695</v>
      </c>
      <c r="B18843" s="0" t="s">
        <v>18687</v>
      </c>
    </row>
    <row r="18844" customFormat="false" ht="15" hidden="false" customHeight="false" outlineLevel="0" collapsed="false">
      <c r="A18844" s="0" t="n">
        <f aca="false">IMREAL("-961.53+0.0i")</f>
        <v>-961.53</v>
      </c>
      <c r="B18844" s="0" t="s">
        <v>18688</v>
      </c>
    </row>
    <row r="18845" customFormat="false" ht="15" hidden="false" customHeight="false" outlineLevel="0" collapsed="false">
      <c r="A18845" s="0" t="n">
        <f aca="false">IMREAL("10.99-23.4i")</f>
        <v>10.99</v>
      </c>
      <c r="B18845" s="0" t="s">
        <v>18689</v>
      </c>
    </row>
    <row r="18846" customFormat="false" ht="15" hidden="false" customHeight="false" outlineLevel="0" collapsed="false">
      <c r="A18846" s="0" t="n">
        <f aca="false">IMREAL("-1.0-1.0j")</f>
        <v>-1</v>
      </c>
      <c r="B18846" s="0" t="s">
        <v>18690</v>
      </c>
    </row>
    <row r="18847" customFormat="false" ht="15" hidden="false" customHeight="false" outlineLevel="0" collapsed="false">
      <c r="A18847" s="0" t="n">
        <f aca="false">IMREAL("-0.0048")</f>
        <v>-0.0048</v>
      </c>
      <c r="B18847" s="0" t="s">
        <v>18691</v>
      </c>
    </row>
    <row r="18848" customFormat="false" ht="15" hidden="false" customHeight="false" outlineLevel="0" collapsed="false">
      <c r="A18848" s="0" t="n">
        <f aca="false">IMREAL("-0.0")</f>
        <v>-0</v>
      </c>
      <c r="B18848" s="0" t="s">
        <v>18692</v>
      </c>
    </row>
    <row r="18849" customFormat="false" ht="15" hidden="false" customHeight="false" outlineLevel="0" collapsed="false">
      <c r="A18849" s="0" t="n">
        <f aca="false">IMREAL("22.851-0.0079i")</f>
        <v>22.851</v>
      </c>
      <c r="B18849" s="0" t="s">
        <v>18693</v>
      </c>
    </row>
    <row r="18850" customFormat="false" ht="15" hidden="false" customHeight="false" outlineLevel="0" collapsed="false">
      <c r="A18850" s="0" t="n">
        <f aca="false">IMREAL("-0.5-0.008i")</f>
        <v>-0.5</v>
      </c>
      <c r="B18850" s="0" t="s">
        <v>18694</v>
      </c>
    </row>
    <row r="18851" customFormat="false" ht="15" hidden="false" customHeight="false" outlineLevel="0" collapsed="false">
      <c r="A18851" s="0" t="n">
        <f aca="false">IMREAL("-68.0+3.5712i")</f>
        <v>-68</v>
      </c>
      <c r="B18851" s="0" t="s">
        <v>18695</v>
      </c>
    </row>
    <row r="18852" customFormat="false" ht="15" hidden="false" customHeight="false" outlineLevel="0" collapsed="false">
      <c r="A18852" s="0" t="n">
        <f aca="false">IMREAL("-903.434+40.2796j")</f>
        <v>-903.434</v>
      </c>
      <c r="B18852" s="0" t="s">
        <v>18696</v>
      </c>
    </row>
    <row r="18853" customFormat="false" ht="15" hidden="false" customHeight="false" outlineLevel="0" collapsed="false">
      <c r="A18853" s="0" t="n">
        <f aca="false">IMREAL("-22.0412+0.01j")</f>
        <v>-22.0412</v>
      </c>
      <c r="B18853" s="0" t="s">
        <v>18697</v>
      </c>
    </row>
    <row r="18854" customFormat="false" ht="15" hidden="false" customHeight="false" outlineLevel="0" collapsed="false">
      <c r="A18854" s="0" t="n">
        <f aca="false">IMREAL("-9.52+0.324i")</f>
        <v>-9.52</v>
      </c>
      <c r="B18854" s="0" t="s">
        <v>18698</v>
      </c>
    </row>
    <row r="18855" customFormat="false" ht="15" hidden="false" customHeight="false" outlineLevel="0" collapsed="false">
      <c r="A18855" s="0" t="n">
        <f aca="false">IMREAL("1.0-1.0j")</f>
        <v>1</v>
      </c>
      <c r="B18855" s="0" t="s">
        <v>18699</v>
      </c>
    </row>
    <row r="18856" customFormat="false" ht="15" hidden="false" customHeight="false" outlineLevel="0" collapsed="false">
      <c r="A18856" s="0" t="n">
        <f aca="false">IMREAL("0.0-9.266i")</f>
        <v>0</v>
      </c>
      <c r="B18856" s="0" t="s">
        <v>18700</v>
      </c>
    </row>
    <row r="18857" customFormat="false" ht="15" hidden="false" customHeight="false" outlineLevel="0" collapsed="false">
      <c r="A18857" s="0" t="n">
        <f aca="false">IMREAL("-824.0")</f>
        <v>-824</v>
      </c>
      <c r="B18857" s="0" t="s">
        <v>18701</v>
      </c>
    </row>
    <row r="18858" customFormat="false" ht="15" hidden="false" customHeight="false" outlineLevel="0" collapsed="false">
      <c r="A18858" s="0" t="n">
        <f aca="false">IMREAL("1.0-0.899i")</f>
        <v>1</v>
      </c>
      <c r="B18858" s="0" t="s">
        <v>18702</v>
      </c>
    </row>
    <row r="18859" customFormat="false" ht="15" hidden="false" customHeight="false" outlineLevel="0" collapsed="false">
      <c r="A18859" s="0" t="n">
        <f aca="false">IMREAL("92.0+3.7865i")</f>
        <v>92</v>
      </c>
      <c r="B18859" s="0" t="s">
        <v>18703</v>
      </c>
    </row>
    <row r="18860" customFormat="false" ht="15" hidden="false" customHeight="false" outlineLevel="0" collapsed="false">
      <c r="A18860" s="0" t="n">
        <f aca="false">IMREAL("1.1-0.193j")</f>
        <v>1.1</v>
      </c>
      <c r="B18860" s="0" t="s">
        <v>18704</v>
      </c>
    </row>
    <row r="18861" customFormat="false" ht="15" hidden="false" customHeight="false" outlineLevel="0" collapsed="false">
      <c r="A18861" s="0" t="n">
        <f aca="false">IMREAL("61.93-0.002i")</f>
        <v>61.93</v>
      </c>
      <c r="B18861" s="0" t="s">
        <v>18705</v>
      </c>
    </row>
    <row r="18862" customFormat="false" ht="15" hidden="false" customHeight="false" outlineLevel="0" collapsed="false">
      <c r="A18862" s="0" t="n">
        <f aca="false">IMREAL("-574.9+8.8j")</f>
        <v>-574.9</v>
      </c>
      <c r="B18862" s="0" t="s">
        <v>18706</v>
      </c>
    </row>
    <row r="18863" customFormat="false" ht="15" hidden="false" customHeight="false" outlineLevel="0" collapsed="false">
      <c r="A18863" s="0" t="n">
        <f aca="false">IMREAL("-825.0+3.0i")</f>
        <v>-825</v>
      </c>
      <c r="B18863" s="0" t="s">
        <v>18707</v>
      </c>
    </row>
    <row r="18864" customFormat="false" ht="15" hidden="false" customHeight="false" outlineLevel="0" collapsed="false">
      <c r="A18864" s="0" t="n">
        <f aca="false">IMREAL("19.492+0.0077i")</f>
        <v>19.492</v>
      </c>
      <c r="B18864" s="0" t="s">
        <v>18708</v>
      </c>
    </row>
    <row r="18865" customFormat="false" ht="15" hidden="false" customHeight="false" outlineLevel="0" collapsed="false">
      <c r="A18865" s="0" t="n">
        <f aca="false">IMREAL("42.31+0.477i")</f>
        <v>42.31</v>
      </c>
      <c r="B18865" s="0" t="s">
        <v>18709</v>
      </c>
    </row>
    <row r="18866" customFormat="false" ht="15" hidden="false" customHeight="false" outlineLevel="0" collapsed="false">
      <c r="A18866" s="0" t="n">
        <f aca="false">IMREAL("-0.7056")</f>
        <v>-0.7056</v>
      </c>
      <c r="B18866" s="0" t="s">
        <v>18710</v>
      </c>
    </row>
    <row r="18867" customFormat="false" ht="15" hidden="false" customHeight="false" outlineLevel="0" collapsed="false">
      <c r="A18867" s="0" t="n">
        <f aca="false">IMREAL("-0.9-1.0i")</f>
        <v>-0.9</v>
      </c>
      <c r="B18867" s="0" t="s">
        <v>18711</v>
      </c>
    </row>
    <row r="18868" customFormat="false" ht="15" hidden="false" customHeight="false" outlineLevel="0" collapsed="false">
      <c r="A18868" s="0" t="e">
        <f aca="false">IMREAL("-0.0009+-0.0i")</f>
        <v>#VALUE!</v>
      </c>
      <c r="B18868" s="0" t="s">
        <v>18712</v>
      </c>
    </row>
    <row r="18869" customFormat="false" ht="15" hidden="false" customHeight="false" outlineLevel="0" collapsed="false">
      <c r="A18869" s="0" t="n">
        <f aca="false">IMREAL("-0.0+130.0i")</f>
        <v>-0</v>
      </c>
      <c r="B18869" s="0" t="s">
        <v>18713</v>
      </c>
    </row>
    <row r="18870" customFormat="false" ht="15" hidden="false" customHeight="false" outlineLevel="0" collapsed="false">
      <c r="A18870" s="0" t="n">
        <f aca="false">IMREAL("69.56-216.88i")</f>
        <v>69.56</v>
      </c>
      <c r="B18870" s="0" t="s">
        <v>18714</v>
      </c>
    </row>
    <row r="18871" customFormat="false" ht="15" hidden="false" customHeight="false" outlineLevel="0" collapsed="false">
      <c r="A18871" s="0" t="n">
        <f aca="false">IMREAL("-6.52-0.83i")</f>
        <v>-6.52</v>
      </c>
      <c r="B18871" s="0" t="s">
        <v>18715</v>
      </c>
    </row>
    <row r="18872" customFormat="false" ht="15" hidden="false" customHeight="false" outlineLevel="0" collapsed="false">
      <c r="A18872" s="0" t="n">
        <f aca="false">IMREAL("0.0084-1.0i")</f>
        <v>0.0084</v>
      </c>
      <c r="B18872" s="0" t="s">
        <v>18716</v>
      </c>
    </row>
    <row r="18873" customFormat="false" ht="15" hidden="false" customHeight="false" outlineLevel="0" collapsed="false">
      <c r="A18873" s="0" t="n">
        <f aca="false">IMREAL("-0.23")</f>
        <v>-0.23</v>
      </c>
      <c r="B18873" s="0" t="s">
        <v>18717</v>
      </c>
    </row>
    <row r="18874" customFormat="false" ht="15" hidden="false" customHeight="false" outlineLevel="0" collapsed="false">
      <c r="A18874" s="0" t="n">
        <f aca="false">IMREAL("-0.0")</f>
        <v>-0</v>
      </c>
      <c r="B18874" s="0" t="s">
        <v>18692</v>
      </c>
    </row>
    <row r="18875" customFormat="false" ht="15" hidden="false" customHeight="false" outlineLevel="0" collapsed="false">
      <c r="A18875" s="0" t="n">
        <f aca="false">IMREAL("-1.6437i")</f>
        <v>0</v>
      </c>
      <c r="B18875" s="0" t="s">
        <v>18718</v>
      </c>
    </row>
    <row r="18876" customFormat="false" ht="15" hidden="false" customHeight="false" outlineLevel="0" collapsed="false">
      <c r="A18876" s="0" t="e">
        <f aca="false">IMREAL("-0.0055+-0.0i")</f>
        <v>#VALUE!</v>
      </c>
      <c r="B18876" s="0" t="s">
        <v>18719</v>
      </c>
    </row>
    <row r="18877" customFormat="false" ht="15" hidden="false" customHeight="false" outlineLevel="0" collapsed="false">
      <c r="A18877" s="0" t="n">
        <f aca="false">IMARGUMENT("0.7-137.121j")</f>
        <v>-1.56569139086797</v>
      </c>
      <c r="B18877" s="0" t="s">
        <v>18720</v>
      </c>
    </row>
    <row r="18878" customFormat="false" ht="15" hidden="false" customHeight="false" outlineLevel="0" collapsed="false">
      <c r="A18878" s="0" t="n">
        <f aca="false">IMARGUMENT("-325.0")</f>
        <v>3.14159265358979</v>
      </c>
      <c r="B18878" s="0" t="s">
        <v>18721</v>
      </c>
    </row>
    <row r="18879" customFormat="false" ht="15" hidden="false" customHeight="false" outlineLevel="0" collapsed="false">
      <c r="A18879" s="0" t="n">
        <f aca="false">IMARGUMENT("93.9955")</f>
        <v>0</v>
      </c>
      <c r="B18879" s="0" t="s">
        <v>18722</v>
      </c>
    </row>
    <row r="18880" customFormat="false" ht="15" hidden="false" customHeight="false" outlineLevel="0" collapsed="false">
      <c r="A18880" s="0" t="n">
        <f aca="false">IMARGUMENT("235.8098j")</f>
        <v>1.5707963267949</v>
      </c>
      <c r="B18880" s="0" t="s">
        <v>18723</v>
      </c>
    </row>
    <row r="18881" customFormat="false" ht="15" hidden="false" customHeight="false" outlineLevel="0" collapsed="false">
      <c r="A18881" s="0" t="n">
        <f aca="false">IMARGUMENT("-56.2+11.621i")</f>
        <v>2.93768705827333</v>
      </c>
      <c r="B18881" s="0" t="s">
        <v>18724</v>
      </c>
    </row>
    <row r="18882" customFormat="false" ht="15" hidden="false" customHeight="false" outlineLevel="0" collapsed="false">
      <c r="A18882" s="0" t="n">
        <f aca="false">IMARGUMENT("-8.0903+6.3394i")</f>
        <v>2.47694419779172</v>
      </c>
      <c r="B18882" s="0" t="s">
        <v>18725</v>
      </c>
    </row>
    <row r="18883" customFormat="false" ht="15" hidden="false" customHeight="false" outlineLevel="0" collapsed="false">
      <c r="A18883" s="0" t="n">
        <f aca="false">IMARGUMENT("35.04+262.7i")</f>
        <v>1.43819492639939</v>
      </c>
      <c r="B18883" s="0" t="s">
        <v>18726</v>
      </c>
    </row>
    <row r="18884" customFormat="false" ht="15" hidden="false" customHeight="false" outlineLevel="0" collapsed="false">
      <c r="A18884" s="0" t="n">
        <f aca="false">IMARGUMENT("0.47-0.01i")</f>
        <v>-0.0212733860240612</v>
      </c>
      <c r="B18884" s="0" t="s">
        <v>18727</v>
      </c>
    </row>
    <row r="18885" customFormat="false" ht="15" hidden="false" customHeight="false" outlineLevel="0" collapsed="false">
      <c r="A18885" s="0" t="n">
        <f aca="false">IMARGUMENT("42.0")</f>
        <v>0</v>
      </c>
      <c r="B18885" s="0" t="s">
        <v>18728</v>
      </c>
    </row>
    <row r="18886" customFormat="false" ht="15" hidden="false" customHeight="false" outlineLevel="0" collapsed="false">
      <c r="A18886" s="0" t="e">
        <f aca="false">IMARGUMENT("0.0+-0.0i")</f>
        <v>#VALUE!</v>
      </c>
      <c r="B18886" s="0" t="s">
        <v>18729</v>
      </c>
    </row>
    <row r="18887" customFormat="false" ht="15" hidden="false" customHeight="false" outlineLevel="0" collapsed="false">
      <c r="A18887" s="0" t="n">
        <f aca="false">IMARGUMENT("30.86+936.2275i")</f>
        <v>1.53784618290969</v>
      </c>
      <c r="B18887" s="0" t="s">
        <v>18730</v>
      </c>
    </row>
    <row r="18888" customFormat="false" ht="15" hidden="false" customHeight="false" outlineLevel="0" collapsed="false">
      <c r="A18888" s="0" t="n">
        <f aca="false">IMARGUMENT("-67.0+4.326i")</f>
        <v>3.07711499072873</v>
      </c>
      <c r="B18888" s="0" t="s">
        <v>18731</v>
      </c>
    </row>
    <row r="18889" customFormat="false" ht="15" hidden="false" customHeight="false" outlineLevel="0" collapsed="false">
      <c r="A18889" s="0" t="n">
        <f aca="false">IMARGUMENT("76.2i")</f>
        <v>1.5707963267949</v>
      </c>
      <c r="B18889" s="0" t="s">
        <v>18732</v>
      </c>
    </row>
    <row r="18890" customFormat="false" ht="15" hidden="false" customHeight="false" outlineLevel="0" collapsed="false">
      <c r="A18890" s="0" t="n">
        <f aca="false">IMARGUMENT("0.076-552.2343j")</f>
        <v>-1.57065870405122</v>
      </c>
      <c r="B18890" s="0" t="s">
        <v>18733</v>
      </c>
    </row>
    <row r="18891" customFormat="false" ht="15" hidden="false" customHeight="false" outlineLevel="0" collapsed="false">
      <c r="A18891" s="0" t="n">
        <f aca="false">IMARGUMENT("0.0-4.6597i")</f>
        <v>-1.5707963267949</v>
      </c>
      <c r="B18891" s="0" t="s">
        <v>18734</v>
      </c>
    </row>
    <row r="18892" customFormat="false" ht="15" hidden="false" customHeight="false" outlineLevel="0" collapsed="false">
      <c r="A18892" s="0" t="n">
        <f aca="false">IMARGUMENT("-407.491i")</f>
        <v>-1.5707963267949</v>
      </c>
      <c r="B18892" s="0" t="s">
        <v>18735</v>
      </c>
    </row>
    <row r="18893" customFormat="false" ht="15" hidden="false" customHeight="false" outlineLevel="0" collapsed="false">
      <c r="A18893" s="0" t="n">
        <f aca="false">IMARGUMENT("-543.0")</f>
        <v>3.14159265358979</v>
      </c>
      <c r="B18893" s="0" t="s">
        <v>18736</v>
      </c>
    </row>
    <row r="18894" customFormat="false" ht="15" hidden="false" customHeight="false" outlineLevel="0" collapsed="false">
      <c r="A18894" s="0" t="n">
        <f aca="false">IMARGUMENT("-337.0+73.676i")</f>
        <v>2.92635601870964</v>
      </c>
      <c r="B18894" s="0" t="s">
        <v>18737</v>
      </c>
    </row>
    <row r="18895" customFormat="false" ht="15" hidden="false" customHeight="false" outlineLevel="0" collapsed="false">
      <c r="A18895" s="0" t="n">
        <f aca="false">IMARGUMENT("-8.955-7.127i")</f>
        <v>-2.4693761659738</v>
      </c>
      <c r="B18895" s="0" t="s">
        <v>18738</v>
      </c>
    </row>
    <row r="18896" customFormat="false" ht="15" hidden="false" customHeight="false" outlineLevel="0" collapsed="false">
      <c r="A18896" s="0" t="n">
        <f aca="false">IMARGUMENT("-90.0i")</f>
        <v>-1.5707963267949</v>
      </c>
      <c r="B18896" s="0" t="s">
        <v>18739</v>
      </c>
    </row>
    <row r="18897" customFormat="false" ht="15" hidden="false" customHeight="false" outlineLevel="0" collapsed="false">
      <c r="A18897" s="0" t="n">
        <f aca="false">IMARGUMENT("-474.4462+4.804i")</f>
        <v>3.13146751014352</v>
      </c>
      <c r="B18897" s="0" t="s">
        <v>18740</v>
      </c>
    </row>
    <row r="18898" customFormat="false" ht="15" hidden="false" customHeight="false" outlineLevel="0" collapsed="false">
      <c r="A18898" s="0" t="n">
        <f aca="false">IMARGUMENT("-8.0-0.0031j")</f>
        <v>-3.14120515360919</v>
      </c>
      <c r="B18898" s="0" t="s">
        <v>18741</v>
      </c>
    </row>
    <row r="18899" customFormat="false" ht="15" hidden="false" customHeight="false" outlineLevel="0" collapsed="false">
      <c r="A18899" s="0" t="n">
        <f aca="false">IMARGUMENT("-345.21-2.0i")</f>
        <v>-3.13579914348451</v>
      </c>
      <c r="B18899" s="0" t="s">
        <v>18742</v>
      </c>
    </row>
    <row r="18900" customFormat="false" ht="15" hidden="false" customHeight="false" outlineLevel="0" collapsed="false">
      <c r="A18900" s="0" t="n">
        <f aca="false">IMARGUMENT("5.0-3.64j")</f>
        <v>-0.629271797554106</v>
      </c>
      <c r="B18900" s="0" t="s">
        <v>18743</v>
      </c>
    </row>
    <row r="18901" customFormat="false" ht="15" hidden="false" customHeight="false" outlineLevel="0" collapsed="false">
      <c r="A18901" s="0" t="e">
        <f aca="false">IMARGUMENT("-6.0+-0.0j")</f>
        <v>#VALUE!</v>
      </c>
      <c r="B18901" s="0" t="s">
        <v>18744</v>
      </c>
    </row>
    <row r="18902" customFormat="false" ht="15" hidden="false" customHeight="false" outlineLevel="0" collapsed="false">
      <c r="A18902" s="0" t="e">
        <f aca="false">IMARGUMENT("0.0i")</f>
        <v>#VALUE!</v>
      </c>
      <c r="B18902" s="0" t="s">
        <v>18745</v>
      </c>
    </row>
    <row r="18903" customFormat="false" ht="15" hidden="false" customHeight="false" outlineLevel="0" collapsed="false">
      <c r="A18903" s="0" t="n">
        <f aca="false">IMARGUMENT("-72.695-2.14i")</f>
        <v>-3.11216308970131</v>
      </c>
      <c r="B18903" s="0" t="s">
        <v>18746</v>
      </c>
    </row>
    <row r="18904" customFormat="false" ht="15" hidden="false" customHeight="false" outlineLevel="0" collapsed="false">
      <c r="A18904" s="0" t="n">
        <f aca="false">IMARGUMENT("-961.53+0.0i")</f>
        <v>3.14159265358979</v>
      </c>
      <c r="B18904" s="0" t="s">
        <v>18747</v>
      </c>
    </row>
    <row r="18905" customFormat="false" ht="15" hidden="false" customHeight="false" outlineLevel="0" collapsed="false">
      <c r="A18905" s="0" t="n">
        <f aca="false">IMARGUMENT("10.99-23.4i")</f>
        <v>-1.13171549957587</v>
      </c>
      <c r="B18905" s="0" t="s">
        <v>18748</v>
      </c>
    </row>
    <row r="18906" customFormat="false" ht="15" hidden="false" customHeight="false" outlineLevel="0" collapsed="false">
      <c r="A18906" s="0" t="n">
        <f aca="false">IMARGUMENT("-1.0-1.0j")</f>
        <v>-2.35619449019235</v>
      </c>
      <c r="B18906" s="0" t="s">
        <v>18749</v>
      </c>
    </row>
    <row r="18907" customFormat="false" ht="15" hidden="false" customHeight="false" outlineLevel="0" collapsed="false">
      <c r="A18907" s="0" t="n">
        <f aca="false">IMARGUMENT("-0.0048")</f>
        <v>3.14159265358979</v>
      </c>
      <c r="B18907" s="0" t="s">
        <v>18750</v>
      </c>
    </row>
    <row r="18908" customFormat="false" ht="15" hidden="false" customHeight="false" outlineLevel="0" collapsed="false">
      <c r="A18908" s="0" t="e">
        <f aca="false">IMARGUMENT("-0.0")</f>
        <v>#VALUE!</v>
      </c>
      <c r="B18908" s="0" t="s">
        <v>18751</v>
      </c>
    </row>
    <row r="18909" customFormat="false" ht="15" hidden="false" customHeight="false" outlineLevel="0" collapsed="false">
      <c r="A18909" s="0" t="n">
        <f aca="false">IMARGUMENT("22.851-0.0079i")</f>
        <v>-0.000345717897915265</v>
      </c>
      <c r="B18909" s="0" t="s">
        <v>18752</v>
      </c>
    </row>
    <row r="18910" customFormat="false" ht="15" hidden="false" customHeight="false" outlineLevel="0" collapsed="false">
      <c r="A18910" s="0" t="n">
        <f aca="false">IMARGUMENT("-0.5-0.008i")</f>
        <v>-3.12559401871345</v>
      </c>
      <c r="B18910" s="0" t="s">
        <v>18753</v>
      </c>
    </row>
    <row r="18911" customFormat="false" ht="15" hidden="false" customHeight="false" outlineLevel="0" collapsed="false">
      <c r="A18911" s="0" t="n">
        <f aca="false">IMARGUMENT("-68.0+3.5712i")</f>
        <v>3.08912320981735</v>
      </c>
      <c r="B18911" s="0" t="s">
        <v>18754</v>
      </c>
    </row>
    <row r="18912" customFormat="false" ht="15" hidden="false" customHeight="false" outlineLevel="0" collapsed="false">
      <c r="A18912" s="0" t="n">
        <f aca="false">IMARGUMENT("-903.434+40.2796j")</f>
        <v>3.09703716615802</v>
      </c>
      <c r="B18912" s="0" t="s">
        <v>18755</v>
      </c>
    </row>
    <row r="18913" customFormat="false" ht="15" hidden="false" customHeight="false" outlineLevel="0" collapsed="false">
      <c r="A18913" s="0" t="n">
        <f aca="false">IMARGUMENT("-22.0412+0.01j")</f>
        <v>3.14113895781489</v>
      </c>
      <c r="B18913" s="0" t="s">
        <v>18756</v>
      </c>
    </row>
    <row r="18914" customFormat="false" ht="15" hidden="false" customHeight="false" outlineLevel="0" collapsed="false">
      <c r="A18914" s="0" t="n">
        <f aca="false">IMARGUMENT("-9.52+0.324i")</f>
        <v>3.10757217124878</v>
      </c>
      <c r="B18914" s="0" t="s">
        <v>18757</v>
      </c>
    </row>
    <row r="18915" customFormat="false" ht="15" hidden="false" customHeight="false" outlineLevel="0" collapsed="false">
      <c r="A18915" s="0" t="n">
        <f aca="false">IMARGUMENT("1.0-1.0j")</f>
        <v>-0.785398163397448</v>
      </c>
      <c r="B18915" s="0" t="s">
        <v>18758</v>
      </c>
    </row>
    <row r="18916" customFormat="false" ht="15" hidden="false" customHeight="false" outlineLevel="0" collapsed="false">
      <c r="A18916" s="0" t="n">
        <f aca="false">IMARGUMENT("0.0-9.266i")</f>
        <v>-1.5707963267949</v>
      </c>
      <c r="B18916" s="0" t="s">
        <v>18759</v>
      </c>
    </row>
    <row r="18917" customFormat="false" ht="15" hidden="false" customHeight="false" outlineLevel="0" collapsed="false">
      <c r="A18917" s="0" t="n">
        <f aca="false">IMARGUMENT("-824.0")</f>
        <v>3.14159265358979</v>
      </c>
      <c r="B18917" s="0" t="s">
        <v>18760</v>
      </c>
    </row>
    <row r="18918" customFormat="false" ht="15" hidden="false" customHeight="false" outlineLevel="0" collapsed="false">
      <c r="A18918" s="0" t="n">
        <f aca="false">IMARGUMENT("1.0-0.899i")</f>
        <v>-0.732262340801403</v>
      </c>
      <c r="B18918" s="0" t="s">
        <v>18761</v>
      </c>
    </row>
    <row r="18919" customFormat="false" ht="15" hidden="false" customHeight="false" outlineLevel="0" collapsed="false">
      <c r="A18919" s="0" t="n">
        <f aca="false">IMARGUMENT("92.0+3.7865i")</f>
        <v>0.0411343926605027</v>
      </c>
      <c r="B18919" s="0" t="s">
        <v>18762</v>
      </c>
    </row>
    <row r="18920" customFormat="false" ht="15" hidden="false" customHeight="false" outlineLevel="0" collapsed="false">
      <c r="A18920" s="0" t="n">
        <f aca="false">IMARGUMENT("1.1-0.193j")</f>
        <v>-0.173686671032274</v>
      </c>
      <c r="B18920" s="0" t="s">
        <v>18763</v>
      </c>
    </row>
    <row r="18921" customFormat="false" ht="15" hidden="false" customHeight="false" outlineLevel="0" collapsed="false">
      <c r="A18921" s="0" t="n">
        <f aca="false">IMARGUMENT("61.93-0.002i")</f>
        <v>-3.22945260666028E-005</v>
      </c>
      <c r="B18921" s="0" t="s">
        <v>18764</v>
      </c>
    </row>
    <row r="18922" customFormat="false" ht="15" hidden="false" customHeight="false" outlineLevel="0" collapsed="false">
      <c r="A18922" s="0" t="n">
        <f aca="false">IMARGUMENT("-574.9+8.8j")</f>
        <v>3.12628683900769</v>
      </c>
      <c r="B18922" s="0" t="s">
        <v>18765</v>
      </c>
    </row>
    <row r="18923" customFormat="false" ht="15" hidden="false" customHeight="false" outlineLevel="0" collapsed="false">
      <c r="A18923" s="0" t="n">
        <f aca="false">IMARGUMENT("-825.0+3.0i")</f>
        <v>3.13795630598135</v>
      </c>
      <c r="B18923" s="0" t="s">
        <v>18766</v>
      </c>
    </row>
    <row r="18924" customFormat="false" ht="15" hidden="false" customHeight="false" outlineLevel="0" collapsed="false">
      <c r="A18924" s="0" t="n">
        <f aca="false">IMARGUMENT("19.492+0.0077i")</f>
        <v>0.000395033839496574</v>
      </c>
      <c r="B18924" s="0" t="s">
        <v>18767</v>
      </c>
    </row>
    <row r="18925" customFormat="false" ht="15" hidden="false" customHeight="false" outlineLevel="0" collapsed="false">
      <c r="A18925" s="0" t="n">
        <f aca="false">IMARGUMENT("42.31+0.477i")</f>
        <v>0.0112734529047758</v>
      </c>
      <c r="B18925" s="0" t="s">
        <v>18768</v>
      </c>
    </row>
    <row r="18926" customFormat="false" ht="15" hidden="false" customHeight="false" outlineLevel="0" collapsed="false">
      <c r="A18926" s="0" t="n">
        <f aca="false">IMARGUMENT("-0.7056")</f>
        <v>3.14159265358979</v>
      </c>
      <c r="B18926" s="0" t="s">
        <v>18769</v>
      </c>
    </row>
    <row r="18927" customFormat="false" ht="15" hidden="false" customHeight="false" outlineLevel="0" collapsed="false">
      <c r="A18927" s="0" t="n">
        <f aca="false">IMARGUMENT("-0.9-1.0i")</f>
        <v>-2.3036114285814</v>
      </c>
      <c r="B18927" s="0" t="s">
        <v>18770</v>
      </c>
    </row>
    <row r="18928" customFormat="false" ht="15" hidden="false" customHeight="false" outlineLevel="0" collapsed="false">
      <c r="A18928" s="0" t="e">
        <f aca="false">IMARGUMENT("-0.0009+-0.0i")</f>
        <v>#VALUE!</v>
      </c>
      <c r="B18928" s="0" t="s">
        <v>18771</v>
      </c>
    </row>
    <row r="18929" customFormat="false" ht="15" hidden="false" customHeight="false" outlineLevel="0" collapsed="false">
      <c r="A18929" s="0" t="n">
        <f aca="false">IMARGUMENT("-0.0+130.0i")</f>
        <v>1.5707963267949</v>
      </c>
      <c r="B18929" s="0" t="s">
        <v>18772</v>
      </c>
    </row>
    <row r="18930" customFormat="false" ht="15" hidden="false" customHeight="false" outlineLevel="0" collapsed="false">
      <c r="A18930" s="0" t="n">
        <f aca="false">IMARGUMENT("69.56-216.88i")</f>
        <v>-1.26043100662839</v>
      </c>
      <c r="B18930" s="0" t="s">
        <v>18773</v>
      </c>
    </row>
    <row r="18931" customFormat="false" ht="15" hidden="false" customHeight="false" outlineLevel="0" collapsed="false">
      <c r="A18931" s="0" t="n">
        <f aca="false">IMARGUMENT("-6.52-0.83i")</f>
        <v>-3.01497308469187</v>
      </c>
      <c r="B18931" s="0" t="s">
        <v>18774</v>
      </c>
    </row>
    <row r="18932" customFormat="false" ht="15" hidden="false" customHeight="false" outlineLevel="0" collapsed="false">
      <c r="A18932" s="0" t="n">
        <f aca="false">IMARGUMENT("0.0084-1.0i")</f>
        <v>-1.56239652435453</v>
      </c>
      <c r="B18932" s="0" t="s">
        <v>18775</v>
      </c>
    </row>
    <row r="18933" customFormat="false" ht="15" hidden="false" customHeight="false" outlineLevel="0" collapsed="false">
      <c r="A18933" s="0" t="n">
        <f aca="false">IMARGUMENT("-0.23")</f>
        <v>3.14159265358979</v>
      </c>
      <c r="B18933" s="0" t="s">
        <v>18776</v>
      </c>
    </row>
    <row r="18934" customFormat="false" ht="15" hidden="false" customHeight="false" outlineLevel="0" collapsed="false">
      <c r="A18934" s="0" t="e">
        <f aca="false">IMARGUMENT("-0.0")</f>
        <v>#VALUE!</v>
      </c>
      <c r="B18934" s="0" t="s">
        <v>18751</v>
      </c>
    </row>
    <row r="18935" customFormat="false" ht="15" hidden="false" customHeight="false" outlineLevel="0" collapsed="false">
      <c r="A18935" s="0" t="n">
        <f aca="false">IMARGUMENT("-1.6437i")</f>
        <v>-1.5707963267949</v>
      </c>
      <c r="B18935" s="0" t="s">
        <v>18777</v>
      </c>
    </row>
    <row r="18936" customFormat="false" ht="15" hidden="false" customHeight="false" outlineLevel="0" collapsed="false">
      <c r="A18936" s="0" t="e">
        <f aca="false">IMARGUMENT("-0.0055+-0.0i")</f>
        <v>#VALUE!</v>
      </c>
      <c r="B18936" s="0" t="s">
        <v>18778</v>
      </c>
    </row>
    <row r="18937" customFormat="false" ht="15" hidden="false" customHeight="false" outlineLevel="0" collapsed="false">
      <c r="A18937" s="0" t="str">
        <f aca="false">IMCONJUGATE("0.7-137.121j")</f>
        <v>0.7+137.121j</v>
      </c>
      <c r="B18937" s="0" t="s">
        <v>18779</v>
      </c>
    </row>
    <row r="18938" customFormat="false" ht="15" hidden="false" customHeight="false" outlineLevel="0" collapsed="false">
      <c r="A18938" s="0" t="str">
        <f aca="false">IMCONJUGATE("-325.0")</f>
        <v>-325</v>
      </c>
      <c r="B18938" s="0" t="s">
        <v>18780</v>
      </c>
    </row>
    <row r="18939" customFormat="false" ht="15" hidden="false" customHeight="false" outlineLevel="0" collapsed="false">
      <c r="A18939" s="0" t="str">
        <f aca="false">IMCONJUGATE("93.9955")</f>
        <v>93.9955</v>
      </c>
      <c r="B18939" s="0" t="s">
        <v>18781</v>
      </c>
    </row>
    <row r="18940" customFormat="false" ht="15" hidden="false" customHeight="false" outlineLevel="0" collapsed="false">
      <c r="A18940" s="0" t="str">
        <f aca="false">IMCONJUGATE("235.8098j")</f>
        <v>-235.8098j</v>
      </c>
      <c r="B18940" s="0" t="s">
        <v>18782</v>
      </c>
    </row>
    <row r="18941" customFormat="false" ht="15" hidden="false" customHeight="false" outlineLevel="0" collapsed="false">
      <c r="A18941" s="0" t="str">
        <f aca="false">IMCONJUGATE("-56.2+11.621i")</f>
        <v>-56.2-11.621i</v>
      </c>
      <c r="B18941" s="0" t="s">
        <v>18783</v>
      </c>
    </row>
    <row r="18942" customFormat="false" ht="15" hidden="false" customHeight="false" outlineLevel="0" collapsed="false">
      <c r="A18942" s="0" t="str">
        <f aca="false">IMCONJUGATE("-8.0903+6.3394i")</f>
        <v>-8.0903-6.3394i</v>
      </c>
      <c r="B18942" s="0" t="s">
        <v>18784</v>
      </c>
    </row>
    <row r="18943" customFormat="false" ht="15" hidden="false" customHeight="false" outlineLevel="0" collapsed="false">
      <c r="A18943" s="0" t="str">
        <f aca="false">IMCONJUGATE("35.04+262.7i")</f>
        <v>35.04-262.7i</v>
      </c>
      <c r="B18943" s="0" t="s">
        <v>18785</v>
      </c>
    </row>
    <row r="18944" customFormat="false" ht="15" hidden="false" customHeight="false" outlineLevel="0" collapsed="false">
      <c r="A18944" s="0" t="str">
        <f aca="false">IMCONJUGATE("0.47-0.01i")</f>
        <v>0.47+0.01i</v>
      </c>
      <c r="B18944" s="0" t="s">
        <v>18786</v>
      </c>
    </row>
    <row r="18945" customFormat="false" ht="15" hidden="false" customHeight="false" outlineLevel="0" collapsed="false">
      <c r="A18945" s="0" t="str">
        <f aca="false">IMCONJUGATE("42.0")</f>
        <v>42</v>
      </c>
      <c r="B18945" s="0" t="s">
        <v>18787</v>
      </c>
    </row>
    <row r="18946" customFormat="false" ht="15" hidden="false" customHeight="false" outlineLevel="0" collapsed="false">
      <c r="A18946" s="0" t="e">
        <f aca="false">IMCONJUGATE("0.0+-0.0i")</f>
        <v>#VALUE!</v>
      </c>
      <c r="B18946" s="0" t="s">
        <v>18788</v>
      </c>
    </row>
    <row r="18947" customFormat="false" ht="15" hidden="false" customHeight="false" outlineLevel="0" collapsed="false">
      <c r="A18947" s="0" t="str">
        <f aca="false">IMCONJUGATE("30.86+936.2275i")</f>
        <v>30.86-936.2275i</v>
      </c>
      <c r="B18947" s="0" t="s">
        <v>18789</v>
      </c>
    </row>
    <row r="18948" customFormat="false" ht="15" hidden="false" customHeight="false" outlineLevel="0" collapsed="false">
      <c r="A18948" s="0" t="str">
        <f aca="false">IMCONJUGATE("-67.0+4.326i")</f>
        <v>-67-4.326i</v>
      </c>
      <c r="B18948" s="0" t="s">
        <v>18790</v>
      </c>
    </row>
    <row r="18949" customFormat="false" ht="15" hidden="false" customHeight="false" outlineLevel="0" collapsed="false">
      <c r="A18949" s="0" t="str">
        <f aca="false">IMCONJUGATE("76.2i")</f>
        <v>-76.2i</v>
      </c>
      <c r="B18949" s="0" t="s">
        <v>18791</v>
      </c>
    </row>
    <row r="18950" customFormat="false" ht="15" hidden="false" customHeight="false" outlineLevel="0" collapsed="false">
      <c r="A18950" s="0" t="str">
        <f aca="false">IMCONJUGATE("0.076-552.2343j")</f>
        <v>0.076+552.2343j</v>
      </c>
      <c r="B18950" s="0" t="s">
        <v>18792</v>
      </c>
    </row>
    <row r="18951" customFormat="false" ht="15" hidden="false" customHeight="false" outlineLevel="0" collapsed="false">
      <c r="A18951" s="0" t="str">
        <f aca="false">IMCONJUGATE("0.0-4.6597i")</f>
        <v>4.6597i</v>
      </c>
      <c r="B18951" s="0" t="s">
        <v>18793</v>
      </c>
    </row>
    <row r="18952" customFormat="false" ht="15" hidden="false" customHeight="false" outlineLevel="0" collapsed="false">
      <c r="A18952" s="0" t="str">
        <f aca="false">IMCONJUGATE("-407.491i")</f>
        <v>407.491i</v>
      </c>
      <c r="B18952" s="0" t="s">
        <v>18794</v>
      </c>
    </row>
    <row r="18953" customFormat="false" ht="15" hidden="false" customHeight="false" outlineLevel="0" collapsed="false">
      <c r="A18953" s="0" t="str">
        <f aca="false">IMCONJUGATE("-543.0")</f>
        <v>-543</v>
      </c>
      <c r="B18953" s="0" t="s">
        <v>18795</v>
      </c>
    </row>
    <row r="18954" customFormat="false" ht="15" hidden="false" customHeight="false" outlineLevel="0" collapsed="false">
      <c r="A18954" s="0" t="str">
        <f aca="false">IMCONJUGATE("-337.0+73.676i")</f>
        <v>-337-73.676i</v>
      </c>
      <c r="B18954" s="0" t="s">
        <v>18796</v>
      </c>
    </row>
    <row r="18955" customFormat="false" ht="15" hidden="false" customHeight="false" outlineLevel="0" collapsed="false">
      <c r="A18955" s="0" t="str">
        <f aca="false">IMCONJUGATE("-8.955-7.127i")</f>
        <v>-8.955+7.127i</v>
      </c>
      <c r="B18955" s="0" t="s">
        <v>18797</v>
      </c>
    </row>
    <row r="18956" customFormat="false" ht="15" hidden="false" customHeight="false" outlineLevel="0" collapsed="false">
      <c r="A18956" s="0" t="str">
        <f aca="false">IMCONJUGATE("-90.0i")</f>
        <v>90i</v>
      </c>
      <c r="B18956" s="0" t="s">
        <v>18798</v>
      </c>
    </row>
    <row r="18957" customFormat="false" ht="15" hidden="false" customHeight="false" outlineLevel="0" collapsed="false">
      <c r="A18957" s="0" t="str">
        <f aca="false">IMCONJUGATE("-474.4462+4.804i")</f>
        <v>-474.4462-4.804i</v>
      </c>
      <c r="B18957" s="0" t="s">
        <v>18799</v>
      </c>
    </row>
    <row r="18958" customFormat="false" ht="15" hidden="false" customHeight="false" outlineLevel="0" collapsed="false">
      <c r="A18958" s="0" t="str">
        <f aca="false">IMCONJUGATE("-8.0-0.0031j")</f>
        <v>-8+0.0031j</v>
      </c>
      <c r="B18958" s="0" t="s">
        <v>18800</v>
      </c>
    </row>
    <row r="18959" customFormat="false" ht="15" hidden="false" customHeight="false" outlineLevel="0" collapsed="false">
      <c r="A18959" s="0" t="str">
        <f aca="false">IMCONJUGATE("-345.21-2.0i")</f>
        <v>-345.21+2i</v>
      </c>
      <c r="B18959" s="0" t="s">
        <v>18801</v>
      </c>
    </row>
    <row r="18960" customFormat="false" ht="15" hidden="false" customHeight="false" outlineLevel="0" collapsed="false">
      <c r="A18960" s="0" t="str">
        <f aca="false">IMCONJUGATE("5.0-3.64j")</f>
        <v>5+3.64j</v>
      </c>
      <c r="B18960" s="0" t="s">
        <v>18802</v>
      </c>
    </row>
    <row r="18961" customFormat="false" ht="15" hidden="false" customHeight="false" outlineLevel="0" collapsed="false">
      <c r="A18961" s="0" t="e">
        <f aca="false">IMCONJUGATE("-6.0+-0.0j")</f>
        <v>#VALUE!</v>
      </c>
      <c r="B18961" s="0" t="s">
        <v>18803</v>
      </c>
    </row>
    <row r="18962" customFormat="false" ht="15" hidden="false" customHeight="false" outlineLevel="0" collapsed="false">
      <c r="A18962" s="0" t="str">
        <f aca="false">IMCONJUGATE("0.0i")</f>
        <v>0</v>
      </c>
      <c r="B18962" s="0" t="s">
        <v>18804</v>
      </c>
    </row>
    <row r="18963" customFormat="false" ht="15" hidden="false" customHeight="false" outlineLevel="0" collapsed="false">
      <c r="A18963" s="0" t="str">
        <f aca="false">IMCONJUGATE("-72.695-2.14i")</f>
        <v>-72.695+2.14i</v>
      </c>
      <c r="B18963" s="0" t="s">
        <v>18805</v>
      </c>
    </row>
    <row r="18964" customFormat="false" ht="15" hidden="false" customHeight="false" outlineLevel="0" collapsed="false">
      <c r="A18964" s="0" t="str">
        <f aca="false">IMCONJUGATE("-961.53+0.0i")</f>
        <v>-961.53</v>
      </c>
      <c r="B18964" s="0" t="s">
        <v>18806</v>
      </c>
    </row>
    <row r="18965" customFormat="false" ht="15" hidden="false" customHeight="false" outlineLevel="0" collapsed="false">
      <c r="A18965" s="0" t="str">
        <f aca="false">IMCONJUGATE("10.99-23.4i")</f>
        <v>10.99+23.4i</v>
      </c>
      <c r="B18965" s="0" t="s">
        <v>18807</v>
      </c>
    </row>
    <row r="18966" customFormat="false" ht="15" hidden="false" customHeight="false" outlineLevel="0" collapsed="false">
      <c r="A18966" s="0" t="str">
        <f aca="false">IMCONJUGATE("-1.0-1.0j")</f>
        <v>-1+j</v>
      </c>
      <c r="B18966" s="0" t="s">
        <v>18808</v>
      </c>
    </row>
    <row r="18967" customFormat="false" ht="15" hidden="false" customHeight="false" outlineLevel="0" collapsed="false">
      <c r="A18967" s="0" t="str">
        <f aca="false">IMCONJUGATE("-0.0048")</f>
        <v>-0.0048</v>
      </c>
      <c r="B18967" s="0" t="s">
        <v>18809</v>
      </c>
    </row>
    <row r="18968" customFormat="false" ht="15" hidden="false" customHeight="false" outlineLevel="0" collapsed="false">
      <c r="A18968" s="0" t="str">
        <f aca="false">IMCONJUGATE("-0.0")</f>
        <v>-0</v>
      </c>
      <c r="B18968" s="0" t="s">
        <v>18810</v>
      </c>
    </row>
    <row r="18969" customFormat="false" ht="15" hidden="false" customHeight="false" outlineLevel="0" collapsed="false">
      <c r="A18969" s="0" t="str">
        <f aca="false">IMCONJUGATE("22.851-0.0079i")</f>
        <v>22.851+0.0079i</v>
      </c>
      <c r="B18969" s="0" t="s">
        <v>18811</v>
      </c>
    </row>
    <row r="18970" customFormat="false" ht="15" hidden="false" customHeight="false" outlineLevel="0" collapsed="false">
      <c r="A18970" s="0" t="str">
        <f aca="false">IMCONJUGATE("-0.5-0.008i")</f>
        <v>-0.5+0.008i</v>
      </c>
      <c r="B18970" s="0" t="s">
        <v>18812</v>
      </c>
    </row>
    <row r="18971" customFormat="false" ht="15" hidden="false" customHeight="false" outlineLevel="0" collapsed="false">
      <c r="A18971" s="0" t="str">
        <f aca="false">IMCONJUGATE("-68.0+3.5712i")</f>
        <v>-68-3.5712i</v>
      </c>
      <c r="B18971" s="0" t="s">
        <v>18813</v>
      </c>
    </row>
    <row r="18972" customFormat="false" ht="15" hidden="false" customHeight="false" outlineLevel="0" collapsed="false">
      <c r="A18972" s="0" t="str">
        <f aca="false">IMCONJUGATE("-903.434+40.2796j")</f>
        <v>-903.434-40.2796j</v>
      </c>
      <c r="B18972" s="0" t="s">
        <v>18814</v>
      </c>
    </row>
    <row r="18973" customFormat="false" ht="15" hidden="false" customHeight="false" outlineLevel="0" collapsed="false">
      <c r="A18973" s="0" t="str">
        <f aca="false">IMCONJUGATE("-22.0412+0.01j")</f>
        <v>-22.0412-0.01j</v>
      </c>
      <c r="B18973" s="0" t="s">
        <v>18815</v>
      </c>
    </row>
    <row r="18974" customFormat="false" ht="15" hidden="false" customHeight="false" outlineLevel="0" collapsed="false">
      <c r="A18974" s="0" t="str">
        <f aca="false">IMCONJUGATE("-9.52+0.324i")</f>
        <v>-9.52-0.324i</v>
      </c>
      <c r="B18974" s="0" t="s">
        <v>18816</v>
      </c>
    </row>
    <row r="18975" customFormat="false" ht="15" hidden="false" customHeight="false" outlineLevel="0" collapsed="false">
      <c r="A18975" s="0" t="str">
        <f aca="false">IMCONJUGATE("1.0-1.0j")</f>
        <v>1+j</v>
      </c>
      <c r="B18975" s="0" t="s">
        <v>18817</v>
      </c>
    </row>
    <row r="18976" customFormat="false" ht="15" hidden="false" customHeight="false" outlineLevel="0" collapsed="false">
      <c r="A18976" s="0" t="str">
        <f aca="false">IMCONJUGATE("0.0-9.266i")</f>
        <v>9.266i</v>
      </c>
      <c r="B18976" s="0" t="s">
        <v>18818</v>
      </c>
    </row>
    <row r="18977" customFormat="false" ht="15" hidden="false" customHeight="false" outlineLevel="0" collapsed="false">
      <c r="A18977" s="0" t="str">
        <f aca="false">IMCONJUGATE("-824.0")</f>
        <v>-824</v>
      </c>
      <c r="B18977" s="0" t="s">
        <v>18819</v>
      </c>
    </row>
    <row r="18978" customFormat="false" ht="15" hidden="false" customHeight="false" outlineLevel="0" collapsed="false">
      <c r="A18978" s="0" t="str">
        <f aca="false">IMCONJUGATE("1.0-0.899i")</f>
        <v>1+0.899i</v>
      </c>
      <c r="B18978" s="0" t="s">
        <v>18820</v>
      </c>
    </row>
    <row r="18979" customFormat="false" ht="15" hidden="false" customHeight="false" outlineLevel="0" collapsed="false">
      <c r="A18979" s="0" t="str">
        <f aca="false">IMCONJUGATE("92.0+3.7865i")</f>
        <v>92-3.7865i</v>
      </c>
      <c r="B18979" s="0" t="s">
        <v>18821</v>
      </c>
    </row>
    <row r="18980" customFormat="false" ht="15" hidden="false" customHeight="false" outlineLevel="0" collapsed="false">
      <c r="A18980" s="0" t="str">
        <f aca="false">IMCONJUGATE("1.1-0.193j")</f>
        <v>1.1+0.193j</v>
      </c>
      <c r="B18980" s="0" t="s">
        <v>18822</v>
      </c>
    </row>
    <row r="18981" customFormat="false" ht="15" hidden="false" customHeight="false" outlineLevel="0" collapsed="false">
      <c r="A18981" s="0" t="str">
        <f aca="false">IMCONJUGATE("61.93-0.002i")</f>
        <v>61.93+0.002i</v>
      </c>
      <c r="B18981" s="0" t="s">
        <v>18823</v>
      </c>
    </row>
    <row r="18982" customFormat="false" ht="15" hidden="false" customHeight="false" outlineLevel="0" collapsed="false">
      <c r="A18982" s="0" t="str">
        <f aca="false">IMCONJUGATE("-574.9+8.8j")</f>
        <v>-574.9-8.8j</v>
      </c>
      <c r="B18982" s="0" t="s">
        <v>18824</v>
      </c>
    </row>
    <row r="18983" customFormat="false" ht="15" hidden="false" customHeight="false" outlineLevel="0" collapsed="false">
      <c r="A18983" s="0" t="str">
        <f aca="false">IMCONJUGATE("-825.0+3.0i")</f>
        <v>-825-3i</v>
      </c>
      <c r="B18983" s="0" t="s">
        <v>18825</v>
      </c>
    </row>
    <row r="18984" customFormat="false" ht="15" hidden="false" customHeight="false" outlineLevel="0" collapsed="false">
      <c r="A18984" s="0" t="str">
        <f aca="false">IMCONJUGATE("19.492+0.0077i")</f>
        <v>19.492-0.0077i</v>
      </c>
      <c r="B18984" s="0" t="s">
        <v>18826</v>
      </c>
    </row>
    <row r="18985" customFormat="false" ht="15" hidden="false" customHeight="false" outlineLevel="0" collapsed="false">
      <c r="A18985" s="0" t="str">
        <f aca="false">IMCONJUGATE("42.31+0.477i")</f>
        <v>42.31-0.477i</v>
      </c>
      <c r="B18985" s="0" t="s">
        <v>18827</v>
      </c>
    </row>
    <row r="18986" customFormat="false" ht="15" hidden="false" customHeight="false" outlineLevel="0" collapsed="false">
      <c r="A18986" s="0" t="str">
        <f aca="false">IMCONJUGATE("-0.7056")</f>
        <v>-0.7056</v>
      </c>
      <c r="B18986" s="0" t="s">
        <v>18828</v>
      </c>
    </row>
    <row r="18987" customFormat="false" ht="15" hidden="false" customHeight="false" outlineLevel="0" collapsed="false">
      <c r="A18987" s="0" t="str">
        <f aca="false">IMCONJUGATE("-0.9-1.0i")</f>
        <v>-0.9+i</v>
      </c>
      <c r="B18987" s="0" t="s">
        <v>18829</v>
      </c>
    </row>
    <row r="18988" customFormat="false" ht="15" hidden="false" customHeight="false" outlineLevel="0" collapsed="false">
      <c r="A18988" s="0" t="e">
        <f aca="false">IMCONJUGATE("-0.0009+-0.0i")</f>
        <v>#VALUE!</v>
      </c>
      <c r="B18988" s="0" t="s">
        <v>18830</v>
      </c>
    </row>
    <row r="18989" customFormat="false" ht="15" hidden="false" customHeight="false" outlineLevel="0" collapsed="false">
      <c r="A18989" s="0" t="str">
        <f aca="false">IMCONJUGATE("-0.0+130.0i")</f>
        <v>-130i</v>
      </c>
      <c r="B18989" s="0" t="s">
        <v>18831</v>
      </c>
    </row>
    <row r="18990" customFormat="false" ht="15" hidden="false" customHeight="false" outlineLevel="0" collapsed="false">
      <c r="A18990" s="0" t="str">
        <f aca="false">IMCONJUGATE("69.56-216.88i")</f>
        <v>69.56+216.88i</v>
      </c>
      <c r="B18990" s="0" t="s">
        <v>18832</v>
      </c>
    </row>
    <row r="18991" customFormat="false" ht="15" hidden="false" customHeight="false" outlineLevel="0" collapsed="false">
      <c r="A18991" s="0" t="str">
        <f aca="false">IMCONJUGATE("-6.52-0.83i")</f>
        <v>-6.52+0.83i</v>
      </c>
      <c r="B18991" s="0" t="s">
        <v>18833</v>
      </c>
    </row>
    <row r="18992" customFormat="false" ht="15" hidden="false" customHeight="false" outlineLevel="0" collapsed="false">
      <c r="A18992" s="0" t="str">
        <f aca="false">IMCONJUGATE("0.0084-1.0i")</f>
        <v>0.0084+i</v>
      </c>
      <c r="B18992" s="0" t="s">
        <v>18834</v>
      </c>
    </row>
    <row r="18993" customFormat="false" ht="15" hidden="false" customHeight="false" outlineLevel="0" collapsed="false">
      <c r="A18993" s="0" t="str">
        <f aca="false">IMCONJUGATE("-0.23")</f>
        <v>-0.23</v>
      </c>
      <c r="B18993" s="0" t="s">
        <v>18835</v>
      </c>
    </row>
    <row r="18994" customFormat="false" ht="15" hidden="false" customHeight="false" outlineLevel="0" collapsed="false">
      <c r="A18994" s="0" t="str">
        <f aca="false">IMCONJUGATE("-0.0")</f>
        <v>-0</v>
      </c>
      <c r="B18994" s="0" t="s">
        <v>18810</v>
      </c>
    </row>
    <row r="18995" customFormat="false" ht="15" hidden="false" customHeight="false" outlineLevel="0" collapsed="false">
      <c r="A18995" s="0" t="str">
        <f aca="false">IMCONJUGATE("-1.6437i")</f>
        <v>1.6437i</v>
      </c>
      <c r="B18995" s="0" t="s">
        <v>18836</v>
      </c>
    </row>
    <row r="18996" customFormat="false" ht="15" hidden="false" customHeight="false" outlineLevel="0" collapsed="false">
      <c r="A18996" s="0" t="e">
        <f aca="false">IMCONJUGATE("-0.0055+-0.0i")</f>
        <v>#VALUE!</v>
      </c>
      <c r="B18996" s="0" t="s">
        <v>18837</v>
      </c>
    </row>
    <row r="18997" customFormat="false" ht="15" hidden="false" customHeight="false" outlineLevel="0" collapsed="false">
      <c r="A18997" s="0" t="str">
        <f aca="false">IMSQRT("0.7-137.121j")</f>
        <v>8.30128865693317-8.25901891060478j</v>
      </c>
      <c r="B18997" s="0" t="s">
        <v>18838</v>
      </c>
    </row>
    <row r="18998" customFormat="false" ht="15" hidden="false" customHeight="false" outlineLevel="0" collapsed="false">
      <c r="A18998" s="0" t="str">
        <f aca="false">IMSQRT("-325.0")</f>
        <v>18.0277563773199i</v>
      </c>
      <c r="B18998" s="0" t="s">
        <v>18839</v>
      </c>
    </row>
    <row r="18999" customFormat="false" ht="15" hidden="false" customHeight="false" outlineLevel="0" collapsed="false">
      <c r="A18999" s="0" t="str">
        <f aca="false">IMSQRT("93.9955")</f>
        <v>9.69512764227475</v>
      </c>
      <c r="B18999" s="0" t="s">
        <v>18840</v>
      </c>
    </row>
    <row r="19000" customFormat="false" ht="15" hidden="false" customHeight="false" outlineLevel="0" collapsed="false">
      <c r="A19000" s="0" t="str">
        <f aca="false">IMSQRT("235.8098j")</f>
        <v>10.8584022765783+10.8584022765783j</v>
      </c>
      <c r="B19000" s="0" t="s">
        <v>18841</v>
      </c>
    </row>
    <row r="19001" customFormat="false" ht="15" hidden="false" customHeight="false" outlineLevel="0" collapsed="false">
      <c r="A19001" s="0" t="str">
        <f aca="false">IMSQRT("-56.2+11.621i")</f>
        <v>0.771010915363217+7.53620977890141i</v>
      </c>
      <c r="B19001" s="0" t="s">
        <v>18842</v>
      </c>
    </row>
    <row r="19002" customFormat="false" ht="15" hidden="false" customHeight="false" outlineLevel="0" collapsed="false">
      <c r="A19002" s="0" t="str">
        <f aca="false">IMSQRT("-8.0903+6.3394i")</f>
        <v>1.04591542866684+3.03055095385696i</v>
      </c>
      <c r="B19002" s="0" t="s">
        <v>18843</v>
      </c>
    </row>
    <row r="19003" customFormat="false" ht="15" hidden="false" customHeight="false" outlineLevel="0" collapsed="false">
      <c r="A19003" s="0" t="str">
        <f aca="false">IMSQRT("35.04+262.7i")</f>
        <v>12.2488078315984+10.7234925884913i</v>
      </c>
      <c r="B19003" s="0" t="s">
        <v>18844</v>
      </c>
    </row>
    <row r="19004" customFormat="false" ht="15" hidden="false" customHeight="false" outlineLevel="0" collapsed="false">
      <c r="A19004" s="0" t="str">
        <f aca="false">IMSQRT("0.47-0.01i")</f>
        <v>0.685604248434083-0.00729283695575105i</v>
      </c>
      <c r="B19004" s="0" t="s">
        <v>18845</v>
      </c>
    </row>
    <row r="19005" customFormat="false" ht="15" hidden="false" customHeight="false" outlineLevel="0" collapsed="false">
      <c r="A19005" s="0" t="str">
        <f aca="false">IMSQRT("42.0")</f>
        <v>6.48074069840786</v>
      </c>
      <c r="B19005" s="0" t="s">
        <v>18846</v>
      </c>
    </row>
    <row r="19006" customFormat="false" ht="15" hidden="false" customHeight="false" outlineLevel="0" collapsed="false">
      <c r="A19006" s="0" t="e">
        <f aca="false">IMSQRT("0.0+-0.0i")</f>
        <v>#VALUE!</v>
      </c>
      <c r="B19006" s="0" t="s">
        <v>18847</v>
      </c>
    </row>
    <row r="19007" customFormat="false" ht="15" hidden="false" customHeight="false" outlineLevel="0" collapsed="false">
      <c r="A19007" s="0" t="str">
        <f aca="false">IMSQRT("30.86+936.2275i")</f>
        <v>21.9954082335952+21.2823397060217i</v>
      </c>
      <c r="B19007" s="0" t="s">
        <v>18848</v>
      </c>
    </row>
    <row r="19008" customFormat="false" ht="15" hidden="false" customHeight="false" outlineLevel="0" collapsed="false">
      <c r="A19008" s="0" t="str">
        <f aca="false">IMSQRT("-67.0+4.326i")</f>
        <v>0.264115052786946+8.18961273572253i</v>
      </c>
      <c r="B19008" s="0" t="s">
        <v>18849</v>
      </c>
    </row>
    <row r="19009" customFormat="false" ht="15" hidden="false" customHeight="false" outlineLevel="0" collapsed="false">
      <c r="A19009" s="0" t="str">
        <f aca="false">IMSQRT("76.2i")</f>
        <v>6.17251974480439+6.17251974480439i</v>
      </c>
      <c r="B19009" s="0" t="s">
        <v>18850</v>
      </c>
    </row>
    <row r="19010" customFormat="false" ht="15" hidden="false" customHeight="false" outlineLevel="0" collapsed="false">
      <c r="A19010" s="0" t="str">
        <f aca="false">IMSQRT("0.076-552.2343j")</f>
        <v>16.6179166147514-16.6156297688301j</v>
      </c>
      <c r="B19010" s="0" t="s">
        <v>18851</v>
      </c>
    </row>
    <row r="19011" customFormat="false" ht="15" hidden="false" customHeight="false" outlineLevel="0" collapsed="false">
      <c r="A19011" s="0" t="str">
        <f aca="false">IMSQRT("0.0-4.6597i")</f>
        <v>1.52638461732291-1.52638461732291i</v>
      </c>
      <c r="B19011" s="0" t="s">
        <v>18852</v>
      </c>
    </row>
    <row r="19012" customFormat="false" ht="15" hidden="false" customHeight="false" outlineLevel="0" collapsed="false">
      <c r="A19012" s="0" t="str">
        <f aca="false">IMSQRT("-407.491i")</f>
        <v>14.2739447946249-14.2739447946249i</v>
      </c>
      <c r="B19012" s="0" t="s">
        <v>18853</v>
      </c>
    </row>
    <row r="19013" customFormat="false" ht="15" hidden="false" customHeight="false" outlineLevel="0" collapsed="false">
      <c r="A19013" s="0" t="str">
        <f aca="false">IMSQRT("-543.0")</f>
        <v>23.3023603954621i</v>
      </c>
      <c r="B19013" s="0" t="s">
        <v>18854</v>
      </c>
    </row>
    <row r="19014" customFormat="false" ht="15" hidden="false" customHeight="false" outlineLevel="0" collapsed="false">
      <c r="A19014" s="0" t="str">
        <f aca="false">IMSQRT("-337.0+73.676i")</f>
        <v>1.9949485749503+18.4656388954376i</v>
      </c>
      <c r="B19014" s="0" t="s">
        <v>18855</v>
      </c>
    </row>
    <row r="19015" customFormat="false" ht="15" hidden="false" customHeight="false" outlineLevel="0" collapsed="false">
      <c r="A19015" s="0" t="str">
        <f aca="false">IMSQRT("-8.955-7.127i")</f>
        <v>1.1157773660004-3.19373748615612i</v>
      </c>
      <c r="B19015" s="0" t="s">
        <v>18856</v>
      </c>
    </row>
    <row r="19016" customFormat="false" ht="15" hidden="false" customHeight="false" outlineLevel="0" collapsed="false">
      <c r="A19016" s="0" t="str">
        <f aca="false">IMSQRT("-90.0i")</f>
        <v>6.70820393249937-6.70820393249937i</v>
      </c>
      <c r="B19016" s="0" t="s">
        <v>18857</v>
      </c>
    </row>
    <row r="19017" customFormat="false" ht="15" hidden="false" customHeight="false" outlineLevel="0" collapsed="false">
      <c r="A19017" s="0" t="str">
        <f aca="false">IMSQRT("-474.4462+4.804i")</f>
        <v>0.11027420898842+21.7820651087349i</v>
      </c>
      <c r="B19017" s="0" t="s">
        <v>18858</v>
      </c>
    </row>
    <row r="19018" customFormat="false" ht="15" hidden="false" customHeight="false" outlineLevel="0" collapsed="false">
      <c r="A19018" s="0" t="str">
        <f aca="false">IMSQRT("-8.0-0.0031j")</f>
        <v>0.000548007745133726-2.82842717783444j</v>
      </c>
      <c r="B19018" s="0" t="s">
        <v>18859</v>
      </c>
    </row>
    <row r="19019" customFormat="false" ht="15" hidden="false" customHeight="false" outlineLevel="0" collapsed="false">
      <c r="A19019" s="0" t="str">
        <f aca="false">IMSQRT("-345.21-2.0i")</f>
        <v>0.0538215863299696-18.579905725357i</v>
      </c>
      <c r="B19019" s="0" t="s">
        <v>18860</v>
      </c>
    </row>
    <row r="19020" customFormat="false" ht="15" hidden="false" customHeight="false" outlineLevel="0" collapsed="false">
      <c r="A19020" s="0" t="str">
        <f aca="false">IMSQRT("5.0-3.64j")</f>
        <v>2.36480719089936-0.769618769345774j</v>
      </c>
      <c r="B19020" s="0" t="s">
        <v>18861</v>
      </c>
    </row>
    <row r="19021" customFormat="false" ht="15" hidden="false" customHeight="false" outlineLevel="0" collapsed="false">
      <c r="A19021" s="0" t="e">
        <f aca="false">IMSQRT("-6.0+-0.0j")</f>
        <v>#VALUE!</v>
      </c>
      <c r="B19021" s="0" t="s">
        <v>18862</v>
      </c>
    </row>
    <row r="19022" customFormat="false" ht="15" hidden="false" customHeight="false" outlineLevel="0" collapsed="false">
      <c r="A19022" s="0" t="str">
        <f aca="false">IMSQRT("0.0i")</f>
        <v>0</v>
      </c>
      <c r="B19022" s="0" t="s">
        <v>18863</v>
      </c>
    </row>
    <row r="19023" customFormat="false" ht="15" hidden="false" customHeight="false" outlineLevel="0" collapsed="false">
      <c r="A19023" s="0" t="str">
        <f aca="false">IMSQRT("-72.695-2.14i")</f>
        <v>0.125482879947434-8.52705963114835i</v>
      </c>
      <c r="B19023" s="0" t="s">
        <v>18864</v>
      </c>
    </row>
    <row r="19024" customFormat="false" ht="15" hidden="false" customHeight="false" outlineLevel="0" collapsed="false">
      <c r="A19024" s="0" t="str">
        <f aca="false">IMSQRT("-961.53+0.0i")</f>
        <v>31.0085472087939i</v>
      </c>
      <c r="B19024" s="0" t="s">
        <v>18865</v>
      </c>
    </row>
    <row r="19025" customFormat="false" ht="15" hidden="false" customHeight="false" outlineLevel="0" collapsed="false">
      <c r="A19025" s="0" t="str">
        <f aca="false">IMSQRT("10.99-23.4i")</f>
        <v>4.29198523770985-2.72601124002071i</v>
      </c>
      <c r="B19025" s="0" t="s">
        <v>18866</v>
      </c>
    </row>
    <row r="19026" customFormat="false" ht="15" hidden="false" customHeight="false" outlineLevel="0" collapsed="false">
      <c r="A19026" s="0" t="str">
        <f aca="false">IMSQRT("-1.0-1.0j")</f>
        <v>0.455089860562227-1.09868411346781j</v>
      </c>
      <c r="B19026" s="0" t="s">
        <v>18867</v>
      </c>
    </row>
    <row r="19027" customFormat="false" ht="15" hidden="false" customHeight="false" outlineLevel="0" collapsed="false">
      <c r="A19027" s="0" t="str">
        <f aca="false">IMSQRT("-0.0048")</f>
        <v>0.0692820323027551i</v>
      </c>
      <c r="B19027" s="0" t="s">
        <v>18868</v>
      </c>
    </row>
    <row r="19028" customFormat="false" ht="15" hidden="false" customHeight="false" outlineLevel="0" collapsed="false">
      <c r="A19028" s="0" t="str">
        <f aca="false">IMSQRT("-0.0")</f>
        <v>0</v>
      </c>
      <c r="B19028" s="0" t="s">
        <v>18869</v>
      </c>
    </row>
    <row r="19029" customFormat="false" ht="15" hidden="false" customHeight="false" outlineLevel="0" collapsed="false">
      <c r="A19029" s="0" t="str">
        <f aca="false">IMSQRT("22.851-0.0079i")</f>
        <v>4.78027203020841-0.00082631280710353i</v>
      </c>
      <c r="B19029" s="0" t="s">
        <v>18870</v>
      </c>
    </row>
    <row r="19030" customFormat="false" ht="15" hidden="false" customHeight="false" outlineLevel="0" collapsed="false">
      <c r="A19030" s="0" t="str">
        <f aca="false">IMSQRT("-0.5-0.008i")</f>
        <v>0.00565667325042751-0.707129406793595i</v>
      </c>
      <c r="B19030" s="0" t="s">
        <v>18871</v>
      </c>
    </row>
    <row r="19031" customFormat="false" ht="15" hidden="false" customHeight="false" outlineLevel="0" collapsed="false">
      <c r="A19031" s="0" t="str">
        <f aca="false">IMSQRT("-68.0+3.5712i")</f>
        <v>0.216461242454603+8.24905179214466i</v>
      </c>
      <c r="B19031" s="0" t="s">
        <v>18872</v>
      </c>
    </row>
    <row r="19032" customFormat="false" ht="15" hidden="false" customHeight="false" outlineLevel="0" collapsed="false">
      <c r="A19032" s="0" t="str">
        <f aca="false">IMSQRT("-903.434+40.2796j")</f>
        <v>0.669883230247021+30.0646427476224j</v>
      </c>
      <c r="B19032" s="0" t="s">
        <v>18873</v>
      </c>
    </row>
    <row r="19033" customFormat="false" ht="15" hidden="false" customHeight="false" outlineLevel="0" collapsed="false">
      <c r="A19033" s="0" t="str">
        <f aca="false">IMSQRT("-22.0412+0.01j")</f>
        <v>0.0010650067871718+4.69480576107675j</v>
      </c>
      <c r="B19033" s="0" t="s">
        <v>18874</v>
      </c>
    </row>
    <row r="19034" customFormat="false" ht="15" hidden="false" customHeight="false" outlineLevel="0" collapsed="false">
      <c r="A19034" s="0" t="str">
        <f aca="false">IMSQRT("-9.52+0.324i")</f>
        <v>0.0524969035481854+3.08589629198425i</v>
      </c>
      <c r="B19034" s="0" t="s">
        <v>18875</v>
      </c>
    </row>
    <row r="19035" customFormat="false" ht="15" hidden="false" customHeight="false" outlineLevel="0" collapsed="false">
      <c r="A19035" s="0" t="str">
        <f aca="false">IMSQRT("1.0-1.0j")</f>
        <v>1.09868411346781-0.455089860562227j</v>
      </c>
      <c r="B19035" s="0" t="s">
        <v>18876</v>
      </c>
    </row>
    <row r="19036" customFormat="false" ht="15" hidden="false" customHeight="false" outlineLevel="0" collapsed="false">
      <c r="A19036" s="0" t="str">
        <f aca="false">IMSQRT("0.0-9.266i")</f>
        <v>2.15244047536744-2.15244047536744i</v>
      </c>
      <c r="B19036" s="0" t="s">
        <v>18877</v>
      </c>
    </row>
    <row r="19037" customFormat="false" ht="15" hidden="false" customHeight="false" outlineLevel="0" collapsed="false">
      <c r="A19037" s="0" t="str">
        <f aca="false">IMSQRT("-824.0")</f>
        <v>28.7054001888146i</v>
      </c>
      <c r="B19037" s="0" t="s">
        <v>18878</v>
      </c>
    </row>
    <row r="19038" customFormat="false" ht="15" hidden="false" customHeight="false" outlineLevel="0" collapsed="false">
      <c r="A19038" s="0" t="str">
        <f aca="false">IMSQRT("1.0-0.899i")</f>
        <v>1.08274965837163-0.415146748396128i</v>
      </c>
      <c r="B19038" s="0" t="s">
        <v>18879</v>
      </c>
    </row>
    <row r="19039" customFormat="false" ht="15" hidden="false" customHeight="false" outlineLevel="0" collapsed="false">
      <c r="A19039" s="0" t="str">
        <f aca="false">IMSQRT("92.0+3.7865i")</f>
        <v>9.59369294567439+0.197343193149998i</v>
      </c>
      <c r="B19039" s="0" t="s">
        <v>18880</v>
      </c>
    </row>
    <row r="19040" customFormat="false" ht="15" hidden="false" customHeight="false" outlineLevel="0" collapsed="false">
      <c r="A19040" s="0" t="str">
        <f aca="false">IMSQRT("1.1-0.193j")</f>
        <v>1.05280649373477-0.0916597689834453j</v>
      </c>
      <c r="B19040" s="0" t="s">
        <v>18881</v>
      </c>
    </row>
    <row r="19041" customFormat="false" ht="15" hidden="false" customHeight="false" outlineLevel="0" collapsed="false">
      <c r="A19041" s="0" t="str">
        <f aca="false">IMSQRT("61.93-0.002i")</f>
        <v>7.86956161524562-0.000127071881369187i</v>
      </c>
      <c r="B19041" s="0" t="s">
        <v>18882</v>
      </c>
    </row>
    <row r="19042" customFormat="false" ht="15" hidden="false" customHeight="false" outlineLevel="0" collapsed="false">
      <c r="A19042" s="0" t="str">
        <f aca="false">IMSQRT("-574.9+8.8j")</f>
        <v>0.183503268274402+23.9777745724967j</v>
      </c>
      <c r="B19042" s="0" t="s">
        <v>18883</v>
      </c>
    </row>
    <row r="19043" customFormat="false" ht="15" hidden="false" customHeight="false" outlineLevel="0" collapsed="false">
      <c r="A19043" s="0" t="str">
        <f aca="false">IMSQRT("-825.0+3.0i")</f>
        <v>0.0522232104677099+28.7228607082183i</v>
      </c>
      <c r="B19043" s="0" t="s">
        <v>18884</v>
      </c>
    </row>
    <row r="19044" customFormat="false" ht="15" hidden="false" customHeight="false" outlineLevel="0" collapsed="false">
      <c r="A19044" s="0" t="str">
        <f aca="false">IMSQRT("19.492+0.0077i")</f>
        <v>4.41497460473332+0.000872032196034014i</v>
      </c>
      <c r="B19044" s="0" t="s">
        <v>18885</v>
      </c>
    </row>
    <row r="19045" customFormat="false" ht="15" hidden="false" customHeight="false" outlineLevel="0" collapsed="false">
      <c r="A19045" s="0" t="str">
        <f aca="false">IMSQRT("42.31+0.477i")</f>
        <v>6.50471708635334+0.0366656991893413i</v>
      </c>
      <c r="B19045" s="0" t="s">
        <v>18886</v>
      </c>
    </row>
    <row r="19046" customFormat="false" ht="15" hidden="false" customHeight="false" outlineLevel="0" collapsed="false">
      <c r="A19046" s="0" t="str">
        <f aca="false">IMSQRT("-0.7056")</f>
        <v>0.84i</v>
      </c>
      <c r="B19046" s="0" t="s">
        <v>18887</v>
      </c>
    </row>
    <row r="19047" customFormat="false" ht="15" hidden="false" customHeight="false" outlineLevel="0" collapsed="false">
      <c r="A19047" s="0" t="str">
        <f aca="false">IMSQRT("-0.9-1.0i")</f>
        <v>0.471891091623571-1.05956651624789i</v>
      </c>
      <c r="B19047" s="0" t="s">
        <v>18888</v>
      </c>
    </row>
    <row r="19048" customFormat="false" ht="15" hidden="false" customHeight="false" outlineLevel="0" collapsed="false">
      <c r="A19048" s="0" t="e">
        <f aca="false">IMSQRT("-0.0009+-0.0i")</f>
        <v>#VALUE!</v>
      </c>
      <c r="B19048" s="0" t="s">
        <v>18889</v>
      </c>
    </row>
    <row r="19049" customFormat="false" ht="15" hidden="false" customHeight="false" outlineLevel="0" collapsed="false">
      <c r="A19049" s="0" t="str">
        <f aca="false">IMSQRT("-0.0+130.0i")</f>
        <v>8.06225774829855+8.06225774829855i</v>
      </c>
      <c r="B19049" s="0" t="s">
        <v>18890</v>
      </c>
    </row>
    <row r="19050" customFormat="false" ht="15" hidden="false" customHeight="false" outlineLevel="0" collapsed="false">
      <c r="A19050" s="0" t="str">
        <f aca="false">IMSQRT("69.56-216.88i")</f>
        <v>12.1926616984612-8.89387425665113i</v>
      </c>
      <c r="B19050" s="0" t="s">
        <v>18891</v>
      </c>
    </row>
    <row r="19051" customFormat="false" ht="15" hidden="false" customHeight="false" outlineLevel="0" collapsed="false">
      <c r="A19051" s="0" t="str">
        <f aca="false">IMSQRT("-6.52-0.83i")</f>
        <v>0.162199628609431-2.55857552546745i</v>
      </c>
      <c r="B19051" s="0" t="s">
        <v>18892</v>
      </c>
    </row>
    <row r="19052" customFormat="false" ht="15" hidden="false" customHeight="false" outlineLevel="0" collapsed="false">
      <c r="A19052" s="0" t="str">
        <f aca="false">IMSQRT("0.0084-1.0i")</f>
        <v>0.710082840018572-0.704143195443115i</v>
      </c>
      <c r="B19052" s="0" t="s">
        <v>18893</v>
      </c>
    </row>
    <row r="19053" customFormat="false" ht="15" hidden="false" customHeight="false" outlineLevel="0" collapsed="false">
      <c r="A19053" s="0" t="str">
        <f aca="false">IMSQRT("-0.23")</f>
        <v>0.479583152331272i</v>
      </c>
      <c r="B19053" s="0" t="s">
        <v>18894</v>
      </c>
    </row>
    <row r="19054" customFormat="false" ht="15" hidden="false" customHeight="false" outlineLevel="0" collapsed="false">
      <c r="A19054" s="0" t="str">
        <f aca="false">IMSQRT("-0.0")</f>
        <v>0</v>
      </c>
      <c r="B19054" s="0" t="s">
        <v>18869</v>
      </c>
    </row>
    <row r="19055" customFormat="false" ht="15" hidden="false" customHeight="false" outlineLevel="0" collapsed="false">
      <c r="A19055" s="0" t="str">
        <f aca="false">IMSQRT("-1.6437i")</f>
        <v>0.906559429932754-0.906559429932754i</v>
      </c>
      <c r="B19055" s="0" t="s">
        <v>18895</v>
      </c>
    </row>
    <row r="19056" customFormat="false" ht="15" hidden="false" customHeight="false" outlineLevel="0" collapsed="false">
      <c r="A19056" s="0" t="e">
        <f aca="false">IMSQRT("-0.0055+-0.0i")</f>
        <v>#VALUE!</v>
      </c>
      <c r="B19056" s="0" t="s">
        <v>18896</v>
      </c>
    </row>
    <row r="19057" customFormat="false" ht="15" hidden="false" customHeight="false" outlineLevel="0" collapsed="false">
      <c r="A19057" s="0" t="str">
        <f aca="false">IMEXP("0.7-137.121j")</f>
        <v>0.897103217520796+1.80288817843995j</v>
      </c>
      <c r="B19057" s="0" t="s">
        <v>18897</v>
      </c>
    </row>
    <row r="19058" customFormat="false" ht="15" hidden="false" customHeight="false" outlineLevel="0" collapsed="false">
      <c r="A19058" s="0" t="str">
        <f aca="false">IMEXP("-325.0")</f>
        <v>7.14979156944533e-142</v>
      </c>
      <c r="B19058" s="0" t="s">
        <v>18898</v>
      </c>
    </row>
    <row r="19059" customFormat="false" ht="15" hidden="false" customHeight="false" outlineLevel="0" collapsed="false">
      <c r="A19059" s="0" t="str">
        <f aca="false">IMEXP("93.9955")</f>
        <v>6.63325928701304e+40</v>
      </c>
      <c r="B19059" s="0" t="s">
        <v>18899</v>
      </c>
    </row>
    <row r="19060" customFormat="false" ht="15" hidden="false" customHeight="false" outlineLevel="0" collapsed="false">
      <c r="A19060" s="0" t="str">
        <f aca="false">IMEXP("235.8098j")</f>
        <v>-0.981937888793779-0.189203547935065j</v>
      </c>
      <c r="B19060" s="0" t="s">
        <v>18900</v>
      </c>
    </row>
    <row r="19061" customFormat="false" ht="15" hidden="false" customHeight="false" outlineLevel="0" collapsed="false">
      <c r="A19061" s="0" t="str">
        <f aca="false">IMEXP("-56.2+11.621i")</f>
        <v>2.29157635176196e-25-3.17334850434987e-25i</v>
      </c>
      <c r="B19061" s="0" t="s">
        <v>18901</v>
      </c>
    </row>
    <row r="19062" customFormat="false" ht="15" hidden="false" customHeight="false" outlineLevel="0" collapsed="false">
      <c r="A19062" s="0" t="str">
        <f aca="false">IMEXP("-8.0903+6.3394i")</f>
        <v>0.000306013640952903+1.72206062125436e-05i</v>
      </c>
      <c r="B19062" s="0" t="s">
        <v>18902</v>
      </c>
    </row>
    <row r="19063" customFormat="false" ht="15" hidden="false" customHeight="false" outlineLevel="0" collapsed="false">
      <c r="A19063" s="0" t="str">
        <f aca="false">IMEXP("35.04+262.7i")</f>
        <v>607712120089051-1.53480557753518e+15i</v>
      </c>
      <c r="B19063" s="0" t="s">
        <v>18903</v>
      </c>
    </row>
    <row r="19064" customFormat="false" ht="15" hidden="false" customHeight="false" outlineLevel="0" collapsed="false">
      <c r="A19064" s="0" t="str">
        <f aca="false">IMEXP("0.47-0.01i")</f>
        <v>1.59991419417436-0.0159996752678081i</v>
      </c>
      <c r="B19064" s="0" t="s">
        <v>18904</v>
      </c>
    </row>
    <row r="19065" customFormat="false" ht="15" hidden="false" customHeight="false" outlineLevel="0" collapsed="false">
      <c r="A19065" s="0" t="str">
        <f aca="false">IMEXP("42.0")</f>
        <v>1.7392749415205e+18</v>
      </c>
      <c r="B19065" s="0" t="s">
        <v>18905</v>
      </c>
    </row>
    <row r="19066" customFormat="false" ht="15" hidden="false" customHeight="false" outlineLevel="0" collapsed="false">
      <c r="A19066" s="0" t="e">
        <f aca="false">IMEXP("0.0+-0.0i")</f>
        <v>#VALUE!</v>
      </c>
      <c r="B19066" s="0" t="s">
        <v>18906</v>
      </c>
    </row>
    <row r="19067" customFormat="false" ht="15" hidden="false" customHeight="false" outlineLevel="0" collapsed="false">
      <c r="A19067" s="0" t="str">
        <f aca="false">IMEXP("30.86+936.2275i")</f>
        <v>25240199349610.1+830430175193.457i</v>
      </c>
      <c r="B19067" s="0" t="s">
        <v>18907</v>
      </c>
    </row>
    <row r="19068" customFormat="false" ht="15" hidden="false" customHeight="false" outlineLevel="0" collapsed="false">
      <c r="A19068" s="0" t="str">
        <f aca="false">IMEXP("-67.0+4.326i")</f>
        <v>-3.00907985538186e-30-7.39622432303977e-30i</v>
      </c>
      <c r="B19068" s="0" t="s">
        <v>18908</v>
      </c>
    </row>
    <row r="19069" customFormat="false" ht="15" hidden="false" customHeight="false" outlineLevel="0" collapsed="false">
      <c r="A19069" s="0" t="str">
        <f aca="false">IMEXP("76.2i")</f>
        <v>0.695431361305363+0.718592528289134i</v>
      </c>
      <c r="B19069" s="0" t="s">
        <v>18909</v>
      </c>
    </row>
    <row r="19070" customFormat="false" ht="15" hidden="false" customHeight="false" outlineLevel="0" collapsed="false">
      <c r="A19070" s="0" t="str">
        <f aca="false">IMEXP("0.076-552.2343j")</f>
        <v>0.83488131433742+0.683471599557974j</v>
      </c>
      <c r="B19070" s="0" t="s">
        <v>18910</v>
      </c>
    </row>
    <row r="19071" customFormat="false" ht="15" hidden="false" customHeight="false" outlineLevel="0" collapsed="false">
      <c r="A19071" s="0" t="str">
        <f aca="false">IMEXP("0.0-4.6597i")</f>
        <v>-0.0526646052036687+0.998612256763726i</v>
      </c>
      <c r="B19071" s="0" t="s">
        <v>18911</v>
      </c>
    </row>
    <row r="19072" customFormat="false" ht="15" hidden="false" customHeight="false" outlineLevel="0" collapsed="false">
      <c r="A19072" s="0" t="str">
        <f aca="false">IMEXP("-407.491i")</f>
        <v>0.608962041161509+0.793199364866368i</v>
      </c>
      <c r="B19072" s="0" t="s">
        <v>18912</v>
      </c>
    </row>
    <row r="19073" customFormat="false" ht="15" hidden="false" customHeight="false" outlineLevel="0" collapsed="false">
      <c r="A19073" s="0" t="str">
        <f aca="false">IMEXP("-543.0")</f>
        <v>1.50694126875876e-236</v>
      </c>
      <c r="B19073" s="0" t="s">
        <v>18913</v>
      </c>
    </row>
    <row r="19074" customFormat="false" ht="15" hidden="false" customHeight="false" outlineLevel="0" collapsed="false">
      <c r="A19074" s="0" t="str">
        <f aca="false">IMEXP("-337.0+73.676i")</f>
        <v>-6.62678576545488e-148-4.34271383978216e-147i</v>
      </c>
      <c r="B19074" s="0" t="s">
        <v>18914</v>
      </c>
    </row>
    <row r="19075" customFormat="false" ht="15" hidden="false" customHeight="false" outlineLevel="0" collapsed="false">
      <c r="A19075" s="0" t="str">
        <f aca="false">IMEXP("-8.955-7.127i")</f>
        <v>8.57955210581645e-05-9.64540343602789e-05i</v>
      </c>
      <c r="B19075" s="0" t="s">
        <v>18915</v>
      </c>
    </row>
    <row r="19076" customFormat="false" ht="15" hidden="false" customHeight="false" outlineLevel="0" collapsed="false">
      <c r="A19076" s="0" t="str">
        <f aca="false">IMEXP("-90.0i")</f>
        <v>-0.44807361612917-0.893996663600558i</v>
      </c>
      <c r="B19076" s="0" t="s">
        <v>18916</v>
      </c>
    </row>
    <row r="19077" customFormat="false" ht="15" hidden="false" customHeight="false" outlineLevel="0" collapsed="false">
      <c r="A19077" s="0" t="str">
        <f aca="false">IMEXP("-474.4462+4.804i")</f>
        <v>8.16532455384911e-208-8.88808910431511e-207i</v>
      </c>
      <c r="B19077" s="0" t="s">
        <v>18917</v>
      </c>
    </row>
    <row r="19078" customFormat="false" ht="15" hidden="false" customHeight="false" outlineLevel="0" collapsed="false">
      <c r="A19078" s="0" t="str">
        <f aca="false">IMEXP("-8.0-0.0031j")</f>
        <v>0.000335461016005876-1.03993248087073e-06j</v>
      </c>
      <c r="B19078" s="0" t="s">
        <v>18918</v>
      </c>
    </row>
    <row r="19079" customFormat="false" ht="15" hidden="false" customHeight="false" outlineLevel="0" collapsed="false">
      <c r="A19079" s="0" t="str">
        <f aca="false">IMEXP("-345.21-2.0i")</f>
        <v>-4.97105421629079e-151-1.08619516250296e-150i</v>
      </c>
      <c r="B19079" s="0" t="s">
        <v>18919</v>
      </c>
    </row>
    <row r="19080" customFormat="false" ht="15" hidden="false" customHeight="false" outlineLevel="0" collapsed="false">
      <c r="A19080" s="0" t="str">
        <f aca="false">IMEXP("5.0-3.64j")</f>
        <v>-130.357957324106+70.9455337360512j</v>
      </c>
      <c r="B19080" s="0" t="s">
        <v>18920</v>
      </c>
    </row>
    <row r="19081" customFormat="false" ht="15" hidden="false" customHeight="false" outlineLevel="0" collapsed="false">
      <c r="A19081" s="0" t="e">
        <f aca="false">IMEXP("-6.0+-0.0j")</f>
        <v>#VALUE!</v>
      </c>
      <c r="B19081" s="0" t="s">
        <v>18921</v>
      </c>
    </row>
    <row r="19082" customFormat="false" ht="15" hidden="false" customHeight="false" outlineLevel="0" collapsed="false">
      <c r="A19082" s="0" t="str">
        <f aca="false">IMEXP("0.0i")</f>
        <v>1</v>
      </c>
      <c r="B19082" s="0" t="s">
        <v>18922</v>
      </c>
    </row>
    <row r="19083" customFormat="false" ht="15" hidden="false" customHeight="false" outlineLevel="0" collapsed="false">
      <c r="A19083" s="0" t="str">
        <f aca="false">IMEXP("-72.695-2.14i")</f>
        <v>-1.44717263027643e-32-2.26175276111426e-32i</v>
      </c>
      <c r="B19083" s="0" t="s">
        <v>18923</v>
      </c>
    </row>
    <row r="19084" customFormat="false" ht="15" hidden="false" customHeight="false" outlineLevel="0" collapsed="false">
      <c r="A19084" s="0" t="str">
        <f aca="false">IMEXP("-961.53+0.0i")</f>
        <v>0</v>
      </c>
      <c r="B19084" s="0" t="s">
        <v>18924</v>
      </c>
    </row>
    <row r="19085" customFormat="false" ht="15" hidden="false" customHeight="false" outlineLevel="0" collapsed="false">
      <c r="A19085" s="0" t="str">
        <f aca="false">IMEXP("10.99-23.4i")</f>
        <v>-9557.92597281163+58502.7594801885i</v>
      </c>
      <c r="B19085" s="0" t="s">
        <v>18925</v>
      </c>
    </row>
    <row r="19086" customFormat="false" ht="15" hidden="false" customHeight="false" outlineLevel="0" collapsed="false">
      <c r="A19086" s="0" t="str">
        <f aca="false">IMEXP("-1.0-1.0j")</f>
        <v>0.198766110346413-0.309559875653112j</v>
      </c>
      <c r="B19086" s="0" t="s">
        <v>18926</v>
      </c>
    </row>
    <row r="19087" customFormat="false" ht="15" hidden="false" customHeight="false" outlineLevel="0" collapsed="false">
      <c r="A19087" s="0" t="str">
        <f aca="false">IMEXP("-0.0048")</f>
        <v>0.995211501590097</v>
      </c>
      <c r="B19087" s="0" t="s">
        <v>18927</v>
      </c>
    </row>
    <row r="19088" customFormat="false" ht="15" hidden="false" customHeight="false" outlineLevel="0" collapsed="false">
      <c r="A19088" s="0" t="str">
        <f aca="false">IMEXP("-0.0")</f>
        <v>1</v>
      </c>
      <c r="B19088" s="0" t="s">
        <v>18928</v>
      </c>
    </row>
    <row r="19089" customFormat="false" ht="15" hidden="false" customHeight="false" outlineLevel="0" collapsed="false">
      <c r="A19089" s="0" t="str">
        <f aca="false">IMEXP("22.851-0.0079i")</f>
        <v>8395559689.79602-66326301.3632856i</v>
      </c>
      <c r="B19089" s="0" t="s">
        <v>18929</v>
      </c>
    </row>
    <row r="19090" customFormat="false" ht="15" hidden="false" customHeight="false" outlineLevel="0" collapsed="false">
      <c r="A19090" s="0" t="str">
        <f aca="false">IMEXP("-0.5-0.008i")</f>
        <v>0.606511250835037-0.00485219352058373i</v>
      </c>
      <c r="B19090" s="0" t="s">
        <v>18930</v>
      </c>
    </row>
    <row r="19091" customFormat="false" ht="15" hidden="false" customHeight="false" outlineLevel="0" collapsed="false">
      <c r="A19091" s="0" t="str">
        <f aca="false">IMEXP("-68.0+3.5712i")</f>
        <v>-2.67055124814343e-30-1.22350201784081e-30i</v>
      </c>
      <c r="B19091" s="0" t="s">
        <v>18931</v>
      </c>
    </row>
    <row r="19092" customFormat="false" ht="15" hidden="false" customHeight="false" outlineLevel="0" collapsed="false">
      <c r="A19092" s="0" t="str">
        <f aca="false">IMEXP("-903.434+40.2796j")</f>
        <v>-0</v>
      </c>
      <c r="B19092" s="0" t="s">
        <v>18932</v>
      </c>
    </row>
    <row r="19093" customFormat="false" ht="15" hidden="false" customHeight="false" outlineLevel="0" collapsed="false">
      <c r="A19093" s="0" t="str">
        <f aca="false">IMEXP("-22.0412+0.01j")</f>
        <v>2.67674346084387e-10+2.67683268919504e-12j</v>
      </c>
      <c r="B19093" s="0" t="s">
        <v>18933</v>
      </c>
    </row>
    <row r="19094" customFormat="false" ht="15" hidden="false" customHeight="false" outlineLevel="0" collapsed="false">
      <c r="A19094" s="0" t="str">
        <f aca="false">IMEXP("-9.52+0.324i")</f>
        <v>6.95522085287022e-05+2.33580379245774e-05i</v>
      </c>
      <c r="B19094" s="0" t="s">
        <v>18934</v>
      </c>
    </row>
    <row r="19095" customFormat="false" ht="15" hidden="false" customHeight="false" outlineLevel="0" collapsed="false">
      <c r="A19095" s="0" t="str">
        <f aca="false">IMEXP("1.0-1.0j")</f>
        <v>1.46869393991589-2.28735528717884j</v>
      </c>
      <c r="B19095" s="0" t="s">
        <v>18935</v>
      </c>
    </row>
    <row r="19096" customFormat="false" ht="15" hidden="false" customHeight="false" outlineLevel="0" collapsed="false">
      <c r="A19096" s="0" t="str">
        <f aca="false">IMEXP("0.0-9.266i")</f>
        <v>-0.987421239273213-0.158111657483411i</v>
      </c>
      <c r="B19096" s="0" t="s">
        <v>18936</v>
      </c>
    </row>
    <row r="19097" customFormat="false" ht="15" hidden="false" customHeight="false" outlineLevel="0" collapsed="false">
      <c r="A19097" s="0" t="str">
        <f aca="false">IMEXP("-824.0")</f>
        <v>0</v>
      </c>
      <c r="B19097" s="0" t="s">
        <v>18937</v>
      </c>
    </row>
    <row r="19098" customFormat="false" ht="15" hidden="false" customHeight="false" outlineLevel="0" collapsed="false">
      <c r="A19098" s="0" t="str">
        <f aca="false">IMEXP("1.0-0.899i")</f>
        <v>1.69183953923298-2.12761252873229i</v>
      </c>
      <c r="B19098" s="0" t="s">
        <v>18938</v>
      </c>
    </row>
    <row r="19099" customFormat="false" ht="15" hidden="false" customHeight="false" outlineLevel="0" collapsed="false">
      <c r="A19099" s="0" t="str">
        <f aca="false">IMEXP("92.0+3.7865i")</f>
        <v>-7.20648703660977e+39-5.42071643258128e+39i</v>
      </c>
      <c r="B19099" s="0" t="s">
        <v>18939</v>
      </c>
    </row>
    <row r="19100" customFormat="false" ht="15" hidden="false" customHeight="false" outlineLevel="0" collapsed="false">
      <c r="A19100" s="0" t="str">
        <f aca="false">IMEXP("1.1-0.193j")</f>
        <v>2.94838839518016-0.576211220474817j</v>
      </c>
      <c r="B19100" s="0" t="s">
        <v>18940</v>
      </c>
    </row>
    <row r="19101" customFormat="false" ht="15" hidden="false" customHeight="false" outlineLevel="0" collapsed="false">
      <c r="A19101" s="0" t="str">
        <f aca="false">IMEXP("61.93-0.002i")</f>
        <v>7.8678558723587e+26-1.57357327257e+24i</v>
      </c>
      <c r="B19101" s="0" t="s">
        <v>18941</v>
      </c>
    </row>
    <row r="19102" customFormat="false" ht="15" hidden="false" customHeight="false" outlineLevel="0" collapsed="false">
      <c r="A19102" s="0" t="str">
        <f aca="false">IMEXP("-574.9+8.8j")</f>
        <v>-1.71069668838519e-250+1.23366357188651e-250j</v>
      </c>
      <c r="B19102" s="0" t="s">
        <v>18942</v>
      </c>
    </row>
    <row r="19103" customFormat="false" ht="15" hidden="false" customHeight="false" outlineLevel="0" collapsed="false">
      <c r="A19103" s="0" t="str">
        <f aca="false">IMEXP("-825.0+3.0i")</f>
        <v>-0</v>
      </c>
      <c r="B19103" s="0" t="s">
        <v>18943</v>
      </c>
    </row>
    <row r="19104" customFormat="false" ht="15" hidden="false" customHeight="false" outlineLevel="0" collapsed="false">
      <c r="A19104" s="0" t="str">
        <f aca="false">IMEXP("19.492+0.0077i")</f>
        <v>291914163.005447+2247783.47901169i</v>
      </c>
      <c r="B19104" s="0" t="s">
        <v>18944</v>
      </c>
    </row>
    <row r="19105" customFormat="false" ht="15" hidden="false" customHeight="false" outlineLevel="0" collapsed="false">
      <c r="A19105" s="0" t="str">
        <f aca="false">IMEXP("42.31+0.477i")</f>
        <v>2.10666983657618e+18+1.08873470719604e+18i</v>
      </c>
      <c r="B19105" s="0" t="s">
        <v>18945</v>
      </c>
    </row>
    <row r="19106" customFormat="false" ht="15" hidden="false" customHeight="false" outlineLevel="0" collapsed="false">
      <c r="A19106" s="0" t="str">
        <f aca="false">IMEXP("-0.7056")</f>
        <v>0.493812198033346</v>
      </c>
      <c r="B19106" s="0" t="s">
        <v>18946</v>
      </c>
    </row>
    <row r="19107" customFormat="false" ht="15" hidden="false" customHeight="false" outlineLevel="0" collapsed="false">
      <c r="A19107" s="0" t="str">
        <f aca="false">IMEXP("-0.9-1.0i")</f>
        <v>0.219670524653871-0.342116571974933i</v>
      </c>
      <c r="B19107" s="0" t="s">
        <v>18947</v>
      </c>
    </row>
    <row r="19108" customFormat="false" ht="15" hidden="false" customHeight="false" outlineLevel="0" collapsed="false">
      <c r="A19108" s="0" t="e">
        <f aca="false">IMEXP("-0.0009+-0.0i")</f>
        <v>#VALUE!</v>
      </c>
      <c r="B19108" s="0" t="s">
        <v>18948</v>
      </c>
    </row>
    <row r="19109" customFormat="false" ht="15" hidden="false" customHeight="false" outlineLevel="0" collapsed="false">
      <c r="A19109" s="0" t="str">
        <f aca="false">IMEXP("-0.0+130.0i")</f>
        <v>-0.367291330454696-0.930105950186762i</v>
      </c>
      <c r="B19109" s="0" t="s">
        <v>18949</v>
      </c>
    </row>
    <row r="19110" customFormat="false" ht="15" hidden="false" customHeight="false" outlineLevel="0" collapsed="false">
      <c r="A19110" s="0" t="str">
        <f aca="false">IMEXP("69.56-216.88i")</f>
        <v>-1.61022377035268e+30+1.78016730538371e+29i</v>
      </c>
      <c r="B19110" s="0" t="s">
        <v>18950</v>
      </c>
    </row>
    <row r="19111" customFormat="false" ht="15" hidden="false" customHeight="false" outlineLevel="0" collapsed="false">
      <c r="A19111" s="0" t="str">
        <f aca="false">IMEXP("-6.52-0.83i")</f>
        <v>0.000994543555544695-0.00108746666126247i</v>
      </c>
      <c r="B19111" s="0" t="s">
        <v>18951</v>
      </c>
    </row>
    <row r="19112" customFormat="false" ht="15" hidden="false" customHeight="false" outlineLevel="0" collapsed="false">
      <c r="A19112" s="0" t="str">
        <f aca="false">IMEXP("0.0084-1.0i")</f>
        <v>0.544859960588279-0.848569111475351i</v>
      </c>
      <c r="B19112" s="0" t="s">
        <v>18952</v>
      </c>
    </row>
    <row r="19113" customFormat="false" ht="15" hidden="false" customHeight="false" outlineLevel="0" collapsed="false">
      <c r="A19113" s="0" t="str">
        <f aca="false">IMEXP("-0.23")</f>
        <v>0.794533602503334</v>
      </c>
      <c r="B19113" s="0" t="s">
        <v>18953</v>
      </c>
    </row>
    <row r="19114" customFormat="false" ht="15" hidden="false" customHeight="false" outlineLevel="0" collapsed="false">
      <c r="A19114" s="0" t="str">
        <f aca="false">IMEXP("-0.0")</f>
        <v>1</v>
      </c>
      <c r="B19114" s="0" t="s">
        <v>18928</v>
      </c>
    </row>
    <row r="19115" customFormat="false" ht="15" hidden="false" customHeight="false" outlineLevel="0" collapsed="false">
      <c r="A19115" s="0" t="str">
        <f aca="false">IMEXP("-1.6437i")</f>
        <v>-0.0728391105223985-0.997343704035026i</v>
      </c>
      <c r="B19115" s="0" t="s">
        <v>18954</v>
      </c>
    </row>
    <row r="19116" customFormat="false" ht="15" hidden="false" customHeight="false" outlineLevel="0" collapsed="false">
      <c r="A19116" s="0" t="e">
        <f aca="false">IMEXP("-0.0055+-0.0i")</f>
        <v>#VALUE!</v>
      </c>
      <c r="B19116" s="0" t="s">
        <v>18955</v>
      </c>
    </row>
    <row r="19117" customFormat="false" ht="15" hidden="false" customHeight="false" outlineLevel="0" collapsed="false">
      <c r="A19117" s="0" t="str">
        <f aca="false">IMLN("0.7-137.121j")</f>
        <v>4.92087677794703-1.56569139086797j</v>
      </c>
      <c r="B19117" s="0" t="s">
        <v>18956</v>
      </c>
    </row>
    <row r="19118" customFormat="false" ht="15" hidden="false" customHeight="false" outlineLevel="0" collapsed="false">
      <c r="A19118" s="0" t="str">
        <f aca="false">IMLN("-325.0")</f>
        <v>5.78382518232974+3.14159265358979i</v>
      </c>
      <c r="B19118" s="0" t="s">
        <v>18957</v>
      </c>
    </row>
    <row r="19119" customFormat="false" ht="15" hidden="false" customHeight="false" outlineLevel="0" collapsed="false">
      <c r="A19119" s="0" t="str">
        <f aca="false">IMLN("93.9955")</f>
        <v>4.54324690878366</v>
      </c>
      <c r="B19119" s="0" t="s">
        <v>18958</v>
      </c>
    </row>
    <row r="19120" customFormat="false" ht="15" hidden="false" customHeight="false" outlineLevel="0" collapsed="false">
      <c r="A19120" s="0" t="str">
        <f aca="false">IMLN("235.8098j")</f>
        <v>5.46302554788427+1.5707963267949j</v>
      </c>
      <c r="B19120" s="0" t="s">
        <v>18959</v>
      </c>
    </row>
    <row r="19121" customFormat="false" ht="15" hidden="false" customHeight="false" outlineLevel="0" collapsed="false">
      <c r="A19121" s="0" t="str">
        <f aca="false">IMLN("-56.2+11.621i")</f>
        <v>4.04985117776541+2.93768705827333i</v>
      </c>
      <c r="B19121" s="0" t="s">
        <v>18960</v>
      </c>
    </row>
    <row r="19122" customFormat="false" ht="15" hidden="false" customHeight="false" outlineLevel="0" collapsed="false">
      <c r="A19122" s="0" t="str">
        <f aca="false">IMLN("-8.0903+6.3394i")</f>
        <v>2.33002302329493+2.47694419779172i</v>
      </c>
      <c r="B19122" s="0" t="s">
        <v>18961</v>
      </c>
    </row>
    <row r="19123" customFormat="false" ht="15" hidden="false" customHeight="false" outlineLevel="0" collapsed="false">
      <c r="A19123" s="0" t="str">
        <f aca="false">IMLN("35.04+262.7i")</f>
        <v>5.57983014771177+1.43819492639939i</v>
      </c>
      <c r="B19123" s="0" t="s">
        <v>18962</v>
      </c>
    </row>
    <row r="19124" customFormat="false" ht="15" hidden="false" customHeight="false" outlineLevel="0" collapsed="false">
      <c r="A19124" s="0" t="str">
        <f aca="false">IMLN("0.47-0.01i")</f>
        <v>-0.754796288732192-0.0212733860240612i</v>
      </c>
      <c r="B19124" s="0" t="s">
        <v>18963</v>
      </c>
    </row>
    <row r="19125" customFormat="false" ht="15" hidden="false" customHeight="false" outlineLevel="0" collapsed="false">
      <c r="A19125" s="0" t="str">
        <f aca="false">IMLN("42.0")</f>
        <v>3.73766961828337</v>
      </c>
      <c r="B19125" s="0" t="s">
        <v>18964</v>
      </c>
    </row>
    <row r="19126" customFormat="false" ht="15" hidden="false" customHeight="false" outlineLevel="0" collapsed="false">
      <c r="A19126" s="0" t="e">
        <f aca="false">IMLN("0.0+-0.0i")</f>
        <v>#VALUE!</v>
      </c>
      <c r="B19126" s="0" t="s">
        <v>18965</v>
      </c>
    </row>
    <row r="19127" customFormat="false" ht="15" hidden="false" customHeight="false" outlineLevel="0" collapsed="false">
      <c r="A19127" s="0" t="str">
        <f aca="false">IMLN("30.86+936.2275i")</f>
        <v>6.84240145675028+1.53784618290969i</v>
      </c>
      <c r="B19127" s="0" t="s">
        <v>18966</v>
      </c>
    </row>
    <row r="19128" customFormat="false" ht="15" hidden="false" customHeight="false" outlineLevel="0" collapsed="false">
      <c r="A19128" s="0" t="str">
        <f aca="false">IMLN("-67.0+4.326i")</f>
        <v>4.20677274580352+3.07711499072873i</v>
      </c>
      <c r="B19128" s="0" t="s">
        <v>18967</v>
      </c>
    </row>
    <row r="19129" customFormat="false" ht="15" hidden="false" customHeight="false" outlineLevel="0" collapsed="false">
      <c r="A19129" s="0" t="str">
        <f aca="false">IMLN("76.2i")</f>
        <v>4.3333614626926+1.5707963267949i</v>
      </c>
      <c r="B19129" s="0" t="s">
        <v>18968</v>
      </c>
    </row>
    <row r="19130" customFormat="false" ht="15" hidden="false" customHeight="false" outlineLevel="0" collapsed="false">
      <c r="A19130" s="0" t="str">
        <f aca="false">IMLN("0.076-552.2343j")</f>
        <v>6.31397242221266-1.57065870405122j</v>
      </c>
      <c r="B19130" s="0" t="s">
        <v>18969</v>
      </c>
    </row>
    <row r="19131" customFormat="false" ht="15" hidden="false" customHeight="false" outlineLevel="0" collapsed="false">
      <c r="A19131" s="0" t="str">
        <f aca="false">IMLN("0.0-4.6597i")</f>
        <v>1.53895106838282-1.5707963267949i</v>
      </c>
      <c r="B19131" s="0" t="s">
        <v>18970</v>
      </c>
    </row>
    <row r="19132" customFormat="false" ht="15" hidden="false" customHeight="false" outlineLevel="0" collapsed="false">
      <c r="A19132" s="0" t="str">
        <f aca="false">IMLN("-407.491i")</f>
        <v>6.01001884654745-1.5707963267949i</v>
      </c>
      <c r="B19132" s="0" t="s">
        <v>18971</v>
      </c>
    </row>
    <row r="19133" customFormat="false" ht="15" hidden="false" customHeight="false" outlineLevel="0" collapsed="false">
      <c r="A19133" s="0" t="str">
        <f aca="false">IMLN("-543.0")</f>
        <v>6.29710931993394+3.14159265358979i</v>
      </c>
      <c r="B19133" s="0" t="s">
        <v>18972</v>
      </c>
    </row>
    <row r="19134" customFormat="false" ht="15" hidden="false" customHeight="false" outlineLevel="0" collapsed="false">
      <c r="A19134" s="0" t="str">
        <f aca="false">IMLN("-337.0+73.676i")</f>
        <v>5.84342742361802+2.92635601870964i</v>
      </c>
      <c r="B19134" s="0" t="s">
        <v>18973</v>
      </c>
    </row>
    <row r="19135" customFormat="false" ht="15" hidden="false" customHeight="false" outlineLevel="0" collapsed="false">
      <c r="A19135" s="0" t="str">
        <f aca="false">IMLN("-8.955-7.127i")</f>
        <v>2.43754581147929-2.4693761659738i</v>
      </c>
      <c r="B19135" s="0" t="s">
        <v>18974</v>
      </c>
    </row>
    <row r="19136" customFormat="false" ht="15" hidden="false" customHeight="false" outlineLevel="0" collapsed="false">
      <c r="A19136" s="0" t="str">
        <f aca="false">IMLN("-90.0i")</f>
        <v>4.49980967033027-1.5707963267949i</v>
      </c>
      <c r="B19136" s="0" t="s">
        <v>18975</v>
      </c>
    </row>
    <row r="19137" customFormat="false" ht="15" hidden="false" customHeight="false" outlineLevel="0" collapsed="false">
      <c r="A19137" s="0" t="str">
        <f aca="false">IMLN("-474.4462+4.804i")</f>
        <v>6.16219948925456+3.13146751014352i</v>
      </c>
      <c r="B19137" s="0" t="s">
        <v>18976</v>
      </c>
    </row>
    <row r="19138" customFormat="false" ht="15" hidden="false" customHeight="false" outlineLevel="0" collapsed="false">
      <c r="A19138" s="0" t="str">
        <f aca="false">IMLN("-8.0-0.0031j")</f>
        <v>2.07944161675796-3.14120515360919j</v>
      </c>
      <c r="B19138" s="0" t="s">
        <v>18977</v>
      </c>
    </row>
    <row r="19139" customFormat="false" ht="15" hidden="false" customHeight="false" outlineLevel="0" collapsed="false">
      <c r="A19139" s="0" t="str">
        <f aca="false">IMLN("-345.21-2.0i")</f>
        <v>5.84416970997703-3.13579914348451i</v>
      </c>
      <c r="B19139" s="0" t="s">
        <v>18978</v>
      </c>
    </row>
    <row r="19140" customFormat="false" ht="15" hidden="false" customHeight="false" outlineLevel="0" collapsed="false">
      <c r="A19140" s="0" t="str">
        <f aca="false">IMLN("5.0-3.64j")</f>
        <v>1.82206655135076-0.629271797554106j</v>
      </c>
      <c r="B19140" s="0" t="s">
        <v>18979</v>
      </c>
    </row>
    <row r="19141" customFormat="false" ht="15" hidden="false" customHeight="false" outlineLevel="0" collapsed="false">
      <c r="A19141" s="0" t="e">
        <f aca="false">IMLN("-6.0+-0.0j")</f>
        <v>#VALUE!</v>
      </c>
      <c r="B19141" s="0" t="s">
        <v>18980</v>
      </c>
    </row>
    <row r="19142" customFormat="false" ht="15" hidden="false" customHeight="false" outlineLevel="0" collapsed="false">
      <c r="A19142" s="0" t="e">
        <f aca="false">IMLN("0.0i")</f>
        <v>#VALUE!</v>
      </c>
      <c r="B19142" s="0" t="s">
        <v>18981</v>
      </c>
    </row>
    <row r="19143" customFormat="false" ht="15" hidden="false" customHeight="false" outlineLevel="0" collapsed="false">
      <c r="A19143" s="0" t="str">
        <f aca="false">IMLN("-72.695-2.14i")</f>
        <v>4.28670571852382-3.11216308970131i</v>
      </c>
      <c r="B19143" s="0" t="s">
        <v>18982</v>
      </c>
    </row>
    <row r="19144" customFormat="false" ht="15" hidden="false" customHeight="false" outlineLevel="0" collapsed="false">
      <c r="A19144" s="0" t="str">
        <f aca="false">IMLN("-961.53+0.0i")</f>
        <v>6.86852576579014+3.14159265358979i</v>
      </c>
      <c r="B19144" s="0" t="s">
        <v>18983</v>
      </c>
    </row>
    <row r="19145" customFormat="false" ht="15" hidden="false" customHeight="false" outlineLevel="0" collapsed="false">
      <c r="A19145" s="0" t="str">
        <f aca="false">IMLN("10.99-23.4i")</f>
        <v>3.25239858785479-1.13171549957587i</v>
      </c>
      <c r="B19145" s="0" t="s">
        <v>18984</v>
      </c>
    </row>
    <row r="19146" customFormat="false" ht="15" hidden="false" customHeight="false" outlineLevel="0" collapsed="false">
      <c r="A19146" s="0" t="str">
        <f aca="false">IMLN("-1.0-1.0j")</f>
        <v>0.346573590279973-2.35619449019234j</v>
      </c>
      <c r="B19146" s="0" t="s">
        <v>18985</v>
      </c>
    </row>
    <row r="19147" customFormat="false" ht="15" hidden="false" customHeight="false" outlineLevel="0" collapsed="false">
      <c r="A19147" s="0" t="str">
        <f aca="false">IMLN("-0.0048")</f>
        <v>-5.33913936106829+3.14159265358979i</v>
      </c>
      <c r="B19147" s="0" t="s">
        <v>18986</v>
      </c>
    </row>
    <row r="19148" customFormat="false" ht="15" hidden="false" customHeight="false" outlineLevel="0" collapsed="false">
      <c r="A19148" s="0" t="e">
        <f aca="false">IMLN("-0.0")</f>
        <v>#VALUE!</v>
      </c>
      <c r="B19148" s="0" t="s">
        <v>18987</v>
      </c>
    </row>
    <row r="19149" customFormat="false" ht="15" hidden="false" customHeight="false" outlineLevel="0" collapsed="false">
      <c r="A19149" s="0" t="str">
        <f aca="false">IMLN("22.851-0.0079i")</f>
        <v>3.12899493981919-0.000345717897915265i</v>
      </c>
      <c r="B19149" s="0" t="s">
        <v>18988</v>
      </c>
    </row>
    <row r="19150" customFormat="false" ht="15" hidden="false" customHeight="false" outlineLevel="0" collapsed="false">
      <c r="A19150" s="0" t="str">
        <f aca="false">IMLN("-0.5-0.008i")</f>
        <v>-0.69301919694115-3.12559401871345i</v>
      </c>
      <c r="B19150" s="0" t="s">
        <v>18989</v>
      </c>
    </row>
    <row r="19151" customFormat="false" ht="15" hidden="false" customHeight="false" outlineLevel="0" collapsed="false">
      <c r="A19151" s="0" t="str">
        <f aca="false">IMLN("-68.0+3.5712i")</f>
        <v>4.22088485850868+3.08912320981735i</v>
      </c>
      <c r="B19151" s="0" t="s">
        <v>18990</v>
      </c>
    </row>
    <row r="19152" customFormat="false" ht="15" hidden="false" customHeight="false" outlineLevel="0" collapsed="false">
      <c r="A19152" s="0" t="str">
        <f aca="false">IMLN("-903.434+40.2796j")</f>
        <v>6.80719598243068+3.09703716615802j</v>
      </c>
      <c r="B19152" s="0" t="s">
        <v>18991</v>
      </c>
    </row>
    <row r="19153" customFormat="false" ht="15" hidden="false" customHeight="false" outlineLevel="0" collapsed="false">
      <c r="A19153" s="0" t="str">
        <f aca="false">IMLN("-22.0412+0.01j")</f>
        <v>3.09291353218347+3.14113895781489j</v>
      </c>
      <c r="B19153" s="0" t="s">
        <v>18992</v>
      </c>
    </row>
    <row r="19154" customFormat="false" ht="15" hidden="false" customHeight="false" outlineLevel="0" collapsed="false">
      <c r="A19154" s="0" t="str">
        <f aca="false">IMLN("-9.52+0.324i")</f>
        <v>2.25397365707702+3.10757217124878i</v>
      </c>
      <c r="B19154" s="0" t="s">
        <v>18993</v>
      </c>
    </row>
    <row r="19155" customFormat="false" ht="15" hidden="false" customHeight="false" outlineLevel="0" collapsed="false">
      <c r="A19155" s="0" t="str">
        <f aca="false">IMLN("1.0-1.0j")</f>
        <v>0.346573590279973-0.785398163397448j</v>
      </c>
      <c r="B19155" s="0" t="s">
        <v>18994</v>
      </c>
    </row>
    <row r="19156" customFormat="false" ht="15" hidden="false" customHeight="false" outlineLevel="0" collapsed="false">
      <c r="A19156" s="0" t="str">
        <f aca="false">IMLN("0.0-9.266i")</f>
        <v>2.22635178699446-1.5707963267949i</v>
      </c>
      <c r="B19156" s="0" t="s">
        <v>18995</v>
      </c>
    </row>
    <row r="19157" customFormat="false" ht="15" hidden="false" customHeight="false" outlineLevel="0" collapsed="false">
      <c r="A19157" s="0" t="str">
        <f aca="false">IMLN("-824.0")</f>
        <v>6.71417052990947+3.14159265358979i</v>
      </c>
      <c r="B19157" s="0" t="s">
        <v>18996</v>
      </c>
    </row>
    <row r="19158" customFormat="false" ht="15" hidden="false" customHeight="false" outlineLevel="0" collapsed="false">
      <c r="A19158" s="0" t="str">
        <f aca="false">IMLN("1.0-0.899i")</f>
        <v>0.296166214178572-0.732262340801403i</v>
      </c>
      <c r="B19158" s="0" t="s">
        <v>18997</v>
      </c>
    </row>
    <row r="19159" customFormat="false" ht="15" hidden="false" customHeight="false" outlineLevel="0" collapsed="false">
      <c r="A19159" s="0" t="str">
        <f aca="false">IMLN("92.0+3.7865i")</f>
        <v>4.52263483486931+0.0411343926605027i</v>
      </c>
      <c r="B19159" s="0" t="s">
        <v>18998</v>
      </c>
    </row>
    <row r="19160" customFormat="false" ht="15" hidden="false" customHeight="false" outlineLevel="0" collapsed="false">
      <c r="A19160" s="0" t="str">
        <f aca="false">IMLN("1.1-0.193j")</f>
        <v>0.110470162997404-0.173686671032274j</v>
      </c>
      <c r="B19160" s="0" t="s">
        <v>18999</v>
      </c>
    </row>
    <row r="19161" customFormat="false" ht="15" hidden="false" customHeight="false" outlineLevel="0" collapsed="false">
      <c r="A19161" s="0" t="str">
        <f aca="false">IMLN("61.93-0.002i")</f>
        <v>4.12600471547144-3.22945260666028e-05i</v>
      </c>
      <c r="B19161" s="0" t="s">
        <v>19000</v>
      </c>
    </row>
    <row r="19162" customFormat="false" ht="15" hidden="false" customHeight="false" outlineLevel="0" collapsed="false">
      <c r="A19162" s="0" t="str">
        <f aca="false">IMLN("-574.9+8.8j")</f>
        <v>6.354313251183+3.12628683900769j</v>
      </c>
      <c r="B19162" s="0" t="s">
        <v>19001</v>
      </c>
    </row>
    <row r="19163" customFormat="false" ht="15" hidden="false" customHeight="false" outlineLevel="0" collapsed="false">
      <c r="A19163" s="0" t="str">
        <f aca="false">IMLN("-825.0+3.0i")</f>
        <v>6.71538999786122+3.13795630598135i</v>
      </c>
      <c r="B19163" s="0" t="s">
        <v>19002</v>
      </c>
    </row>
    <row r="19164" customFormat="false" ht="15" hidden="false" customHeight="false" outlineLevel="0" collapsed="false">
      <c r="A19164" s="0" t="str">
        <f aca="false">IMLN("19.492+0.0077i")</f>
        <v>2.97000420300713+0.000395033839496574i</v>
      </c>
      <c r="B19164" s="0" t="s">
        <v>19003</v>
      </c>
    </row>
    <row r="19165" customFormat="false" ht="15" hidden="false" customHeight="false" outlineLevel="0" collapsed="false">
      <c r="A19165" s="0" t="str">
        <f aca="false">IMLN("42.31+0.477i")</f>
        <v>3.74508701144822+0.0112734529047758i</v>
      </c>
      <c r="B19165" s="0" t="s">
        <v>19004</v>
      </c>
    </row>
    <row r="19166" customFormat="false" ht="15" hidden="false" customHeight="false" outlineLevel="0" collapsed="false">
      <c r="A19166" s="0" t="str">
        <f aca="false">IMLN("-0.7056")</f>
        <v>-0.348706774289555+3.14159265358979i</v>
      </c>
      <c r="B19166" s="0" t="s">
        <v>19005</v>
      </c>
    </row>
    <row r="19167" customFormat="false" ht="15" hidden="false" customHeight="false" outlineLevel="0" collapsed="false">
      <c r="A19167" s="0" t="str">
        <f aca="false">IMLN("-0.9-1.0i")</f>
        <v>0.296663422638867-2.3036114285814i</v>
      </c>
      <c r="B19167" s="0" t="s">
        <v>19006</v>
      </c>
    </row>
    <row r="19168" customFormat="false" ht="15" hidden="false" customHeight="false" outlineLevel="0" collapsed="false">
      <c r="A19168" s="0" t="e">
        <f aca="false">IMLN("-0.0009+-0.0i")</f>
        <v>#VALUE!</v>
      </c>
      <c r="B19168" s="0" t="s">
        <v>19007</v>
      </c>
    </row>
    <row r="19169" customFormat="false" ht="15" hidden="false" customHeight="false" outlineLevel="0" collapsed="false">
      <c r="A19169" s="0" t="str">
        <f aca="false">IMLN("-0.0+130.0i")</f>
        <v>4.86753445045558+1.5707963267949i</v>
      </c>
      <c r="B19169" s="0" t="s">
        <v>19008</v>
      </c>
    </row>
    <row r="19170" customFormat="false" ht="15" hidden="false" customHeight="false" outlineLevel="0" collapsed="false">
      <c r="A19170" s="0" t="str">
        <f aca="false">IMLN("69.56-216.88i")</f>
        <v>5.42830121789723-1.26043100662839i</v>
      </c>
      <c r="B19170" s="0" t="s">
        <v>19009</v>
      </c>
    </row>
    <row r="19171" customFormat="false" ht="15" hidden="false" customHeight="false" outlineLevel="0" collapsed="false">
      <c r="A19171" s="0" t="str">
        <f aca="false">IMLN("-6.52-0.83i")</f>
        <v>1.88291214570754-3.01497308469187i</v>
      </c>
      <c r="B19171" s="0" t="s">
        <v>19010</v>
      </c>
    </row>
    <row r="19172" customFormat="false" ht="15" hidden="false" customHeight="false" outlineLevel="0" collapsed="false">
      <c r="A19172" s="0" t="str">
        <f aca="false">IMLN("0.0084-1.0i")</f>
        <v>3.52787553801466e-05-1.56239652435453i</v>
      </c>
      <c r="B19172" s="0" t="s">
        <v>19011</v>
      </c>
    </row>
    <row r="19173" customFormat="false" ht="15" hidden="false" customHeight="false" outlineLevel="0" collapsed="false">
      <c r="A19173" s="0" t="str">
        <f aca="false">IMLN("-0.23")</f>
        <v>-1.46967597005894+3.14159265358979i</v>
      </c>
      <c r="B19173" s="0" t="s">
        <v>19012</v>
      </c>
    </row>
    <row r="19174" customFormat="false" ht="15" hidden="false" customHeight="false" outlineLevel="0" collapsed="false">
      <c r="A19174" s="0" t="e">
        <f aca="false">IMLN("-0.0")</f>
        <v>#VALUE!</v>
      </c>
      <c r="B19174" s="0" t="s">
        <v>18987</v>
      </c>
    </row>
    <row r="19175" customFormat="false" ht="15" hidden="false" customHeight="false" outlineLevel="0" collapsed="false">
      <c r="A19175" s="0" t="str">
        <f aca="false">IMLN("-1.6437i")</f>
        <v>0.496949798230343-1.5707963267949i</v>
      </c>
      <c r="B19175" s="0" t="s">
        <v>19013</v>
      </c>
    </row>
    <row r="19176" customFormat="false" ht="15" hidden="false" customHeight="false" outlineLevel="0" collapsed="false">
      <c r="A19176" s="0" t="e">
        <f aca="false">IMLN("-0.0055+-0.0i")</f>
        <v>#VALUE!</v>
      </c>
      <c r="B19176" s="0" t="s">
        <v>19014</v>
      </c>
    </row>
    <row r="19177" customFormat="false" ht="15" hidden="false" customHeight="false" outlineLevel="0" collapsed="false">
      <c r="A19177" s="0" t="str">
        <f aca="false">IMLOG10("0.7-137.121j")</f>
        <v>2.13710963078825-0.679971131417386j</v>
      </c>
      <c r="B19177" s="0" t="s">
        <v>19015</v>
      </c>
    </row>
    <row r="19178" customFormat="false" ht="15" hidden="false" customHeight="false" outlineLevel="0" collapsed="false">
      <c r="A19178" s="0" t="str">
        <f aca="false">IMLOG10("-325.0")</f>
        <v>2.51188336097887+1.36437635384184i</v>
      </c>
      <c r="B19178" s="0" t="s">
        <v>19016</v>
      </c>
    </row>
    <row r="19179" customFormat="false" ht="15" hidden="false" customHeight="false" outlineLevel="0" collapsed="false">
      <c r="A19179" s="0" t="str">
        <f aca="false">IMLOG10("93.9955")</f>
        <v>1.97310706240875</v>
      </c>
      <c r="B19179" s="0" t="s">
        <v>19017</v>
      </c>
    </row>
    <row r="19180" customFormat="false" ht="15" hidden="false" customHeight="false" outlineLevel="0" collapsed="false">
      <c r="A19180" s="0" t="str">
        <f aca="false">IMLOG10("235.8098j")</f>
        <v>2.37256184994263+0.682188176920921j</v>
      </c>
      <c r="B19180" s="0" t="s">
        <v>19018</v>
      </c>
    </row>
    <row r="19181" customFormat="false" ht="15" hidden="false" customHeight="false" outlineLevel="0" collapsed="false">
      <c r="A19181" s="0" t="str">
        <f aca="false">IMLOG10("-56.2+11.621i")</f>
        <v>1.7588280190329+1.2758212789667i</v>
      </c>
      <c r="B19181" s="0" t="s">
        <v>19019</v>
      </c>
    </row>
    <row r="19182" customFormat="false" ht="15" hidden="false" customHeight="false" outlineLevel="0" collapsed="false">
      <c r="A19182" s="0" t="str">
        <f aca="false">IMLOG10("-8.0903+6.3394i")</f>
        <v>1.01191614172452+1.07572319708322i</v>
      </c>
      <c r="B19182" s="0" t="s">
        <v>19020</v>
      </c>
    </row>
    <row r="19183" customFormat="false" ht="15" hidden="false" customHeight="false" outlineLevel="0" collapsed="false">
      <c r="A19183" s="0" t="str">
        <f aca="false">IMLOG10("35.04+262.7i")</f>
        <v>2.42328944310863+0.624600120436506i</v>
      </c>
      <c r="B19183" s="0" t="s">
        <v>19021</v>
      </c>
    </row>
    <row r="19184" customFormat="false" ht="15" hidden="false" customHeight="false" outlineLevel="0" collapsed="false">
      <c r="A19184" s="0" t="str">
        <f aca="false">IMLOG10("0.47-0.01i")</f>
        <v>-0.327803863157445-0.00923891416164754i</v>
      </c>
      <c r="B19184" s="0" t="s">
        <v>19022</v>
      </c>
    </row>
    <row r="19185" customFormat="false" ht="15" hidden="false" customHeight="false" outlineLevel="0" collapsed="false">
      <c r="A19185" s="0" t="str">
        <f aca="false">IMLOG10("42.0")</f>
        <v>1.6232492903979</v>
      </c>
      <c r="B19185" s="0" t="s">
        <v>19023</v>
      </c>
    </row>
    <row r="19186" customFormat="false" ht="15" hidden="false" customHeight="false" outlineLevel="0" collapsed="false">
      <c r="A19186" s="0" t="e">
        <f aca="false">IMLOG10("0.0+-0.0i")</f>
        <v>#VALUE!</v>
      </c>
      <c r="B19186" s="0" t="s">
        <v>19024</v>
      </c>
    </row>
    <row r="19187" customFormat="false" ht="15" hidden="false" customHeight="false" outlineLevel="0" collapsed="false">
      <c r="A19187" s="0" t="str">
        <f aca="false">IMLOG10("30.86+936.2275i")</f>
        <v>2.97161719563342+0.667878111253658i</v>
      </c>
      <c r="B19187" s="0" t="s">
        <v>19025</v>
      </c>
    </row>
    <row r="19188" customFormat="false" ht="15" hidden="false" customHeight="false" outlineLevel="0" collapsed="false">
      <c r="A19188" s="0" t="str">
        <f aca="false">IMLOG10("-67.0+4.326i")</f>
        <v>1.82697819012346+1.33637406065526i</v>
      </c>
      <c r="B19188" s="0" t="s">
        <v>19026</v>
      </c>
    </row>
    <row r="19189" customFormat="false" ht="15" hidden="false" customHeight="false" outlineLevel="0" collapsed="false">
      <c r="A19189" s="0" t="str">
        <f aca="false">IMLOG10("76.2i")</f>
        <v>1.8819549713396+0.682188176920921i</v>
      </c>
      <c r="B19189" s="0" t="s">
        <v>19027</v>
      </c>
    </row>
    <row r="19190" customFormat="false" ht="15" hidden="false" customHeight="false" outlineLevel="0" collapsed="false">
      <c r="A19190" s="0" t="str">
        <f aca="false">IMLOG10("0.076-552.2343j")</f>
        <v>2.74212338185627-0.682128408122756j</v>
      </c>
      <c r="B19190" s="0" t="s">
        <v>19028</v>
      </c>
    </row>
    <row r="19191" customFormat="false" ht="15" hidden="false" customHeight="false" outlineLevel="0" collapsed="false">
      <c r="A19191" s="0" t="str">
        <f aca="false">IMLOG10("0.0-4.6597i")</f>
        <v>0.668357956917772-0.682188176920921i</v>
      </c>
      <c r="B19191" s="0" t="s">
        <v>19029</v>
      </c>
    </row>
    <row r="19192" customFormat="false" ht="15" hidden="false" customHeight="false" outlineLevel="0" collapsed="false">
      <c r="A19192" s="0" t="str">
        <f aca="false">IMLOG10("-407.491i")</f>
        <v>2.6101180211901-0.682188176920921i</v>
      </c>
      <c r="B19192" s="0" t="s">
        <v>19030</v>
      </c>
    </row>
    <row r="19193" customFormat="false" ht="15" hidden="false" customHeight="false" outlineLevel="0" collapsed="false">
      <c r="A19193" s="0" t="str">
        <f aca="false">IMLOG10("-543.0")</f>
        <v>2.73479982958885+1.36437635384184i</v>
      </c>
      <c r="B19193" s="0" t="s">
        <v>19031</v>
      </c>
    </row>
    <row r="19194" customFormat="false" ht="15" hidden="false" customHeight="false" outlineLevel="0" collapsed="false">
      <c r="A19194" s="0" t="str">
        <f aca="false">IMLOG10("-337.0+73.676i")</f>
        <v>2.53776828547944+1.27090027100996i</v>
      </c>
      <c r="B19194" s="0" t="s">
        <v>19032</v>
      </c>
    </row>
    <row r="19195" customFormat="false" ht="15" hidden="false" customHeight="false" outlineLevel="0" collapsed="false">
      <c r="A19195" s="0" t="str">
        <f aca="false">IMLOG10("-8.955-7.127i")</f>
        <v>1.05861269531184-1.07243644262583i</v>
      </c>
      <c r="B19195" s="0" t="s">
        <v>19033</v>
      </c>
    </row>
    <row r="19196" customFormat="false" ht="15" hidden="false" customHeight="false" outlineLevel="0" collapsed="false">
      <c r="A19196" s="0" t="str">
        <f aca="false">IMLOG10("-90.0i")</f>
        <v>1.95424250943932-0.682188176920921i</v>
      </c>
      <c r="B19196" s="0" t="s">
        <v>19034</v>
      </c>
    </row>
    <row r="19197" customFormat="false" ht="15" hidden="false" customHeight="false" outlineLevel="0" collapsed="false">
      <c r="A19197" s="0" t="str">
        <f aca="false">IMLOG10("-474.4462+4.804i")</f>
        <v>2.67620923457029+1.35997905991465i</v>
      </c>
      <c r="B19197" s="0" t="s">
        <v>19035</v>
      </c>
    </row>
    <row r="19198" customFormat="false" ht="15" hidden="false" customHeight="false" outlineLevel="0" collapsed="false">
      <c r="A19198" s="0" t="str">
        <f aca="false">IMLOG10("-8.0-0.0031j")</f>
        <v>0.903090019597957-1.36420806473853j</v>
      </c>
      <c r="B19198" s="0" t="s">
        <v>19036</v>
      </c>
    </row>
    <row r="19199" customFormat="false" ht="15" hidden="false" customHeight="false" outlineLevel="0" collapsed="false">
      <c r="A19199" s="0" t="str">
        <f aca="false">IMLOG10("-345.21-2.0i")</f>
        <v>2.53809065634915-1.36186026437227i</v>
      </c>
      <c r="B19199" s="0" t="s">
        <v>19037</v>
      </c>
    </row>
    <row r="19200" customFormat="false" ht="15" hidden="false" customHeight="false" outlineLevel="0" collapsed="false">
      <c r="A19200" s="0" t="str">
        <f aca="false">IMLOG10("5.0-3.64j")</f>
        <v>0.791313448912124-0.273289269295088j</v>
      </c>
      <c r="B19200" s="0" t="s">
        <v>19038</v>
      </c>
    </row>
    <row r="19201" customFormat="false" ht="15" hidden="false" customHeight="false" outlineLevel="0" collapsed="false">
      <c r="A19201" s="0" t="e">
        <f aca="false">IMLOG10("-6.0+-0.0j")</f>
        <v>#VALUE!</v>
      </c>
      <c r="B19201" s="0" t="s">
        <v>19039</v>
      </c>
    </row>
    <row r="19202" customFormat="false" ht="15" hidden="false" customHeight="false" outlineLevel="0" collapsed="false">
      <c r="A19202" s="0" t="e">
        <f aca="false">IMLOG10("0.0i")</f>
        <v>#VALUE!</v>
      </c>
      <c r="B19202" s="0" t="s">
        <v>19040</v>
      </c>
    </row>
    <row r="19203" customFormat="false" ht="15" hidden="false" customHeight="false" outlineLevel="0" collapsed="false">
      <c r="A19203" s="0" t="str">
        <f aca="false">IMLOG10("-72.695-2.14i")</f>
        <v>1.86169263909801-1.35159525664025i</v>
      </c>
      <c r="B19203" s="0" t="s">
        <v>19041</v>
      </c>
    </row>
    <row r="19204" customFormat="false" ht="15" hidden="false" customHeight="false" outlineLevel="0" collapsed="false">
      <c r="A19204" s="0" t="str">
        <f aca="false">IMLOG10("-961.53+0.0i")</f>
        <v>2.98296283889296+1.36437635384184i</v>
      </c>
      <c r="B19204" s="0" t="s">
        <v>19042</v>
      </c>
    </row>
    <row r="19205" customFormat="false" ht="15" hidden="false" customHeight="false" outlineLevel="0" collapsed="false">
      <c r="A19205" s="0" t="str">
        <f aca="false">IMLOG10("10.99-23.4i")</f>
        <v>1.41249875965526-0.491497796550182i</v>
      </c>
      <c r="B19205" s="0" t="s">
        <v>19043</v>
      </c>
    </row>
    <row r="19206" customFormat="false" ht="15" hidden="false" customHeight="false" outlineLevel="0" collapsed="false">
      <c r="A19206" s="0" t="str">
        <f aca="false">IMLOG10("-1.0-1.0j")</f>
        <v>0.150514997831991-1.02328226538138j</v>
      </c>
      <c r="B19206" s="0" t="s">
        <v>19044</v>
      </c>
    </row>
    <row r="19207" customFormat="false" ht="15" hidden="false" customHeight="false" outlineLevel="0" collapsed="false">
      <c r="A19207" s="0" t="str">
        <f aca="false">IMLOG10("-0.0048")</f>
        <v>-2.31875876262441+1.36437635384184i</v>
      </c>
      <c r="B19207" s="0" t="s">
        <v>19045</v>
      </c>
    </row>
    <row r="19208" customFormat="false" ht="15" hidden="false" customHeight="false" outlineLevel="0" collapsed="false">
      <c r="A19208" s="0" t="e">
        <f aca="false">IMLOG10("-0.0")</f>
        <v>#VALUE!</v>
      </c>
      <c r="B19208" s="0" t="s">
        <v>19046</v>
      </c>
    </row>
    <row r="19209" customFormat="false" ht="15" hidden="false" customHeight="false" outlineLevel="0" collapsed="false">
      <c r="A19209" s="0" t="str">
        <f aca="false">IMLOG10("22.851-0.0079i")</f>
        <v>1.35890523626667-0.000150143375359791i</v>
      </c>
      <c r="B19209" s="0" t="s">
        <v>19047</v>
      </c>
    </row>
    <row r="19210" customFormat="false" ht="15" hidden="false" customHeight="false" outlineLevel="0" collapsed="false">
      <c r="A19210" s="0" t="str">
        <f aca="false">IMLOG10("-0.5-0.008i")</f>
        <v>-0.300974413084564-1.35742823499706i</v>
      </c>
      <c r="B19210" s="0" t="s">
        <v>19048</v>
      </c>
    </row>
    <row r="19211" customFormat="false" ht="15" hidden="false" customHeight="false" outlineLevel="0" collapsed="false">
      <c r="A19211" s="0" t="str">
        <f aca="false">IMLOG10("-68.0+3.5712i")</f>
        <v>1.83310700279931+1.34158916394294i</v>
      </c>
      <c r="B19211" s="0" t="s">
        <v>19049</v>
      </c>
    </row>
    <row r="19212" customFormat="false" ht="15" hidden="false" customHeight="false" outlineLevel="0" collapsed="false">
      <c r="A19212" s="0" t="str">
        <f aca="false">IMLOG10("-903.434+40.2796j")</f>
        <v>2.95632765240363+1.34502615151171j</v>
      </c>
      <c r="B19212" s="0" t="s">
        <v>19050</v>
      </c>
    </row>
    <row r="19213" customFormat="false" ht="15" hidden="false" customHeight="false" outlineLevel="0" collapsed="false">
      <c r="A19213" s="0" t="str">
        <f aca="false">IMLOG10("-22.0412+0.01j")</f>
        <v>1.34323528003118+1.36417931627034j</v>
      </c>
      <c r="B19213" s="0" t="s">
        <v>19051</v>
      </c>
    </row>
    <row r="19214" customFormat="false" ht="15" hidden="false" customHeight="false" outlineLevel="0" collapsed="false">
      <c r="A19214" s="0" t="str">
        <f aca="false">IMLOG10("-9.52+0.324i")</f>
        <v>0.978888321623842+1.34960144608945i</v>
      </c>
      <c r="B19214" s="0" t="s">
        <v>19052</v>
      </c>
    </row>
    <row r="19215" customFormat="false" ht="15" hidden="false" customHeight="false" outlineLevel="0" collapsed="false">
      <c r="A19215" s="0" t="str">
        <f aca="false">IMLOG10("1.0-1.0j")</f>
        <v>0.150514997831991-0.34109408846046j</v>
      </c>
      <c r="B19215" s="0" t="s">
        <v>19053</v>
      </c>
    </row>
    <row r="19216" customFormat="false" ht="15" hidden="false" customHeight="false" outlineLevel="0" collapsed="false">
      <c r="A19216" s="0" t="str">
        <f aca="false">IMLOG10("0.0-9.266i")</f>
        <v>0.966892295867136-0.682188176920921i</v>
      </c>
      <c r="B19216" s="0" t="s">
        <v>19054</v>
      </c>
    </row>
    <row r="19217" customFormat="false" ht="15" hidden="false" customHeight="false" outlineLevel="0" collapsed="false">
      <c r="A19217" s="0" t="str">
        <f aca="false">IMLOG10("-824.0")</f>
        <v>2.91592721169712+1.36437635384184i</v>
      </c>
      <c r="B19217" s="0" t="s">
        <v>19055</v>
      </c>
    </row>
    <row r="19218" customFormat="false" ht="15" hidden="false" customHeight="false" outlineLevel="0" collapsed="false">
      <c r="A19218" s="0" t="str">
        <f aca="false">IMLOG10("1.0-0.899i")</f>
        <v>0.128623352543931-0.318017493915608i</v>
      </c>
      <c r="B19218" s="0" t="s">
        <v>19056</v>
      </c>
    </row>
    <row r="19219" customFormat="false" ht="15" hidden="false" customHeight="false" outlineLevel="0" collapsed="false">
      <c r="A19219" s="0" t="str">
        <f aca="false">IMLOG10("92.0+3.7865i")</f>
        <v>1.96415535244717+0.017864439748898i</v>
      </c>
      <c r="B19219" s="0" t="s">
        <v>19057</v>
      </c>
    </row>
    <row r="19220" customFormat="false" ht="15" hidden="false" customHeight="false" outlineLevel="0" collapsed="false">
      <c r="A19220" s="0" t="str">
        <f aca="false">IMLOG10("1.1-0.193j")</f>
        <v>0.0479765822047253-0.0754311628094618j</v>
      </c>
      <c r="B19220" s="0" t="s">
        <v>19058</v>
      </c>
    </row>
    <row r="19221" customFormat="false" ht="15" hidden="false" customHeight="false" outlineLevel="0" collapsed="false">
      <c r="A19221" s="0" t="str">
        <f aca="false">IMLOG10("61.93-0.002i")</f>
        <v>1.79190108023604-1.40253344664063e-05i</v>
      </c>
      <c r="B19221" s="0" t="s">
        <v>19059</v>
      </c>
    </row>
    <row r="19222" customFormat="false" ht="15" hidden="false" customHeight="false" outlineLevel="0" collapsed="false">
      <c r="A19222" s="0" t="str">
        <f aca="false">IMLOG10("-574.9+8.8j")</f>
        <v>2.75964318127349+1.3577291230278j</v>
      </c>
      <c r="B19222" s="0" t="s">
        <v>19060</v>
      </c>
    </row>
    <row r="19223" customFormat="false" ht="15" hidden="false" customHeight="false" outlineLevel="0" collapsed="false">
      <c r="A19223" s="0" t="str">
        <f aca="false">IMLOG10("-825.0+3.0i")</f>
        <v>2.91645681989942+1.36279710814121i</v>
      </c>
      <c r="B19223" s="0" t="s">
        <v>19061</v>
      </c>
    </row>
    <row r="19224" customFormat="false" ht="15" hidden="false" customHeight="false" outlineLevel="0" collapsed="false">
      <c r="A19224" s="0" t="str">
        <f aca="false">IMLOG10("19.492+0.0077i")</f>
        <v>1.28985643659546+0.000171561016658417i</v>
      </c>
      <c r="B19224" s="0" t="s">
        <v>19062</v>
      </c>
    </row>
    <row r="19225" customFormat="false" ht="15" hidden="false" customHeight="false" outlineLevel="0" collapsed="false">
      <c r="A19225" s="0" t="str">
        <f aca="false">IMLOG10("42.31+0.477i")</f>
        <v>1.6264706233195+0.0048959983885403i</v>
      </c>
      <c r="B19225" s="0" t="s">
        <v>19063</v>
      </c>
    </row>
    <row r="19226" customFormat="false" ht="15" hidden="false" customHeight="false" outlineLevel="0" collapsed="false">
      <c r="A19226" s="0" t="str">
        <f aca="false">IMLOG10("-0.7056")</f>
        <v>-0.151441427876237+1.36437635384184i</v>
      </c>
      <c r="B19226" s="0" t="s">
        <v>19064</v>
      </c>
    </row>
    <row r="19227" customFormat="false" ht="15" hidden="false" customHeight="false" outlineLevel="0" collapsed="false">
      <c r="A19227" s="0" t="str">
        <f aca="false">IMLOG10("-0.9-1.0i")</f>
        <v>0.128839287434592-1.00044573188217i</v>
      </c>
      <c r="B19227" s="0" t="s">
        <v>19065</v>
      </c>
    </row>
    <row r="19228" customFormat="false" ht="15" hidden="false" customHeight="false" outlineLevel="0" collapsed="false">
      <c r="A19228" s="0" t="e">
        <f aca="false">IMLOG10("-0.0009+-0.0i")</f>
        <v>#VALUE!</v>
      </c>
      <c r="B19228" s="0" t="s">
        <v>19066</v>
      </c>
    </row>
    <row r="19229" customFormat="false" ht="15" hidden="false" customHeight="false" outlineLevel="0" collapsed="false">
      <c r="A19229" s="0" t="str">
        <f aca="false">IMLOG10("-0.0+130.0i")</f>
        <v>2.11394335230684+0.682188176920921i</v>
      </c>
      <c r="B19229" s="0" t="s">
        <v>19067</v>
      </c>
    </row>
    <row r="19230" customFormat="false" ht="15" hidden="false" customHeight="false" outlineLevel="0" collapsed="false">
      <c r="A19230" s="0" t="str">
        <f aca="false">IMLOG10("69.56-216.88i")</f>
        <v>2.35748126504147-0.547398230998472i</v>
      </c>
      <c r="B19230" s="0" t="s">
        <v>19068</v>
      </c>
    </row>
    <row r="19231" customFormat="false" ht="15" hidden="false" customHeight="false" outlineLevel="0" collapsed="false">
      <c r="A19231" s="0" t="str">
        <f aca="false">IMLOG10("-6.52-0.83i")</f>
        <v>0.817738354789396-1.3093861737685i</v>
      </c>
      <c r="B19231" s="0" t="s">
        <v>19069</v>
      </c>
    </row>
    <row r="19232" customFormat="false" ht="15" hidden="false" customHeight="false" outlineLevel="0" collapsed="false">
      <c r="A19232" s="0" t="str">
        <f aca="false">IMLOG10("0.0084-1.0i")</f>
        <v>1.53213687900123e-05-0.678540189071993i</v>
      </c>
      <c r="B19232" s="0" t="s">
        <v>19070</v>
      </c>
    </row>
    <row r="19233" customFormat="false" ht="15" hidden="false" customHeight="false" outlineLevel="0" collapsed="false">
      <c r="A19233" s="0" t="str">
        <f aca="false">IMLOG10("-0.23")</f>
        <v>-0.638272163982407+1.36437635384184i</v>
      </c>
      <c r="B19233" s="0" t="s">
        <v>19071</v>
      </c>
    </row>
    <row r="19234" customFormat="false" ht="15" hidden="false" customHeight="false" outlineLevel="0" collapsed="false">
      <c r="A19234" s="0" t="e">
        <f aca="false">IMLOG10("-0.0")</f>
        <v>#VALUE!</v>
      </c>
      <c r="B19234" s="0" t="s">
        <v>19046</v>
      </c>
    </row>
    <row r="19235" customFormat="false" ht="15" hidden="false" customHeight="false" outlineLevel="0" collapsed="false">
      <c r="A19235" s="0" t="str">
        <f aca="false">IMLOG10("-1.6437i")</f>
        <v>0.215822555154372-0.682188176920921i</v>
      </c>
      <c r="B19235" s="0" t="s">
        <v>19072</v>
      </c>
    </row>
    <row r="19236" customFormat="false" ht="15" hidden="false" customHeight="false" outlineLevel="0" collapsed="false">
      <c r="A19236" s="0" t="e">
        <f aca="false">IMLOG10("-0.0055+-0.0i")</f>
        <v>#VALUE!</v>
      </c>
      <c r="B19236" s="0" t="s">
        <v>19073</v>
      </c>
    </row>
    <row r="19237" customFormat="false" ht="15" hidden="false" customHeight="false" outlineLevel="0" collapsed="false">
      <c r="A19237" s="0" t="str">
        <f aca="false">IMLOG2("0.7-137.121j")</f>
        <v>7.09932452436984-2.25881520516776j</v>
      </c>
      <c r="B19237" s="0" t="s">
        <v>19074</v>
      </c>
    </row>
    <row r="19238" customFormat="false" ht="15" hidden="false" customHeight="false" outlineLevel="0" collapsed="false">
      <c r="A19238" s="0" t="str">
        <f aca="false">IMLOG2("-325.0")</f>
        <v>8.34429590791582+4.53236014182719i</v>
      </c>
      <c r="B19238" s="0" t="s">
        <v>19075</v>
      </c>
    </row>
    <row r="19239" customFormat="false" ht="15" hidden="false" customHeight="false" outlineLevel="0" collapsed="false">
      <c r="A19239" s="0" t="str">
        <f aca="false">IMLOG2("93.9955")</f>
        <v>6.5545197848363</v>
      </c>
      <c r="B19239" s="0" t="s">
        <v>19076</v>
      </c>
    </row>
    <row r="19240" customFormat="false" ht="15" hidden="false" customHeight="false" outlineLevel="0" collapsed="false">
      <c r="A19240" s="0" t="str">
        <f aca="false">IMLOG2("235.8098j")</f>
        <v>7.88147986618234+2.2661800709136j</v>
      </c>
      <c r="B19240" s="0" t="s">
        <v>19077</v>
      </c>
    </row>
    <row r="19241" customFormat="false" ht="15" hidden="false" customHeight="false" outlineLevel="0" collapsed="false">
      <c r="A19241" s="0" t="str">
        <f aca="false">IMLOG2("-56.2+11.621i")</f>
        <v>5.84270021050048+4.23818655065462i</v>
      </c>
      <c r="B19241" s="0" t="s">
        <v>19078</v>
      </c>
    </row>
    <row r="19242" customFormat="false" ht="15" hidden="false" customHeight="false" outlineLevel="0" collapsed="false">
      <c r="A19242" s="0" t="str">
        <f aca="false">IMLOG2("-8.0903+6.3394i")</f>
        <v>3.3615126608647+3.57347511071281i</v>
      </c>
      <c r="B19242" s="0" t="s">
        <v>19079</v>
      </c>
    </row>
    <row r="19243" customFormat="false" ht="15" hidden="false" customHeight="false" outlineLevel="0" collapsed="false">
      <c r="A19243" s="0" t="str">
        <f aca="false">IMLOG2("35.04+262.7i")</f>
        <v>8.04999328310651+2.07487668814806i</v>
      </c>
      <c r="B19243" s="0" t="s">
        <v>19080</v>
      </c>
    </row>
    <row r="19244" customFormat="false" ht="15" hidden="false" customHeight="false" outlineLevel="0" collapsed="false">
      <c r="A19244" s="0" t="str">
        <f aca="false">IMLOG2("0.47-0.01i")</f>
        <v>-1.08894086263533-0.0306910085198297i</v>
      </c>
      <c r="B19244" s="0" t="s">
        <v>19081</v>
      </c>
    </row>
    <row r="19245" customFormat="false" ht="15" hidden="false" customHeight="false" outlineLevel="0" collapsed="false">
      <c r="A19245" s="0" t="str">
        <f aca="false">IMLOG2("42.0")</f>
        <v>5.39231742277876</v>
      </c>
      <c r="B19245" s="0" t="s">
        <v>19082</v>
      </c>
    </row>
    <row r="19246" customFormat="false" ht="15" hidden="false" customHeight="false" outlineLevel="0" collapsed="false">
      <c r="A19246" s="0" t="e">
        <f aca="false">IMLOG2("0.0+-0.0i")</f>
        <v>#VALUE!</v>
      </c>
      <c r="B19246" s="0" t="s">
        <v>19083</v>
      </c>
    </row>
    <row r="19247" customFormat="false" ht="15" hidden="false" customHeight="false" outlineLevel="0" collapsed="false">
      <c r="A19247" s="0" t="str">
        <f aca="false">IMLOG2("30.86+936.2275i")</f>
        <v>9.87149864942505+2.21864306173383i</v>
      </c>
      <c r="B19247" s="0" t="s">
        <v>19084</v>
      </c>
    </row>
    <row r="19248" customFormat="false" ht="15" hidden="false" customHeight="false" outlineLevel="0" collapsed="false">
      <c r="A19248" s="0" t="str">
        <f aca="false">IMLOG2("-67.0+4.326i")</f>
        <v>6.06909017851759+4.43933853736943i</v>
      </c>
      <c r="B19248" s="0" t="s">
        <v>19085</v>
      </c>
    </row>
    <row r="19249" customFormat="false" ht="15" hidden="false" customHeight="false" outlineLevel="0" collapsed="false">
      <c r="A19249" s="0" t="str">
        <f aca="false">IMLOG2("76.2i")</f>
        <v>6.25171909260596+2.2661800709136i</v>
      </c>
      <c r="B19249" s="0" t="s">
        <v>19086</v>
      </c>
    </row>
    <row r="19250" customFormat="false" ht="15" hidden="false" customHeight="false" outlineLevel="0" collapsed="false">
      <c r="A19250" s="0" t="str">
        <f aca="false">IMLOG2("0.076-552.2343j")</f>
        <v>9.10913670183588-2.26598152326378j</v>
      </c>
      <c r="B19250" s="0" t="s">
        <v>19087</v>
      </c>
    </row>
    <row r="19251" customFormat="false" ht="15" hidden="false" customHeight="false" outlineLevel="0" collapsed="false">
      <c r="A19251" s="0" t="str">
        <f aca="false">IMLOG2("0.0-4.6597i")</f>
        <v>2.22023707452667-2.2661800709136i</v>
      </c>
      <c r="B19251" s="0" t="s">
        <v>19088</v>
      </c>
    </row>
    <row r="19252" customFormat="false" ht="15" hidden="false" customHeight="false" outlineLevel="0" collapsed="false">
      <c r="A19252" s="0" t="str">
        <f aca="false">IMLOG2("-407.491i")</f>
        <v>8.67062438556321-2.2661800709136i</v>
      </c>
      <c r="B19252" s="0" t="s">
        <v>19089</v>
      </c>
    </row>
    <row r="19253" customFormat="false" ht="15" hidden="false" customHeight="false" outlineLevel="0" collapsed="false">
      <c r="A19253" s="0" t="str">
        <f aca="false">IMLOG2("-543.0")</f>
        <v>9.08480838780436+4.53236014182719i</v>
      </c>
      <c r="B19253" s="0" t="s">
        <v>19090</v>
      </c>
    </row>
    <row r="19254" customFormat="false" ht="15" hidden="false" customHeight="false" outlineLevel="0" collapsed="false">
      <c r="A19254" s="0" t="str">
        <f aca="false">IMLOG2("-337.0+73.676i")</f>
        <v>8.43028376584829+4.22183931606797i</v>
      </c>
      <c r="B19254" s="0" t="s">
        <v>19091</v>
      </c>
    </row>
    <row r="19255" customFormat="false" ht="15" hidden="false" customHeight="false" outlineLevel="0" collapsed="false">
      <c r="A19255" s="0" t="str">
        <f aca="false">IMLOG2("-8.955-7.127i")</f>
        <v>3.51663525416084-3.56255674873981i</v>
      </c>
      <c r="B19255" s="0" t="s">
        <v>19092</v>
      </c>
    </row>
    <row r="19256" customFormat="false" ht="15" hidden="false" customHeight="false" outlineLevel="0" collapsed="false">
      <c r="A19256" s="0" t="str">
        <f aca="false">IMLOG2("-90.0i")</f>
        <v>6.49185309632967-2.2661800709136i</v>
      </c>
      <c r="B19256" s="0" t="s">
        <v>19093</v>
      </c>
    </row>
    <row r="19257" customFormat="false" ht="15" hidden="false" customHeight="false" outlineLevel="0" collapsed="false">
      <c r="A19257" s="0" t="str">
        <f aca="false">IMLOG2("-474.4462+4.804i")</f>
        <v>8.89017464411606+4.51775264758897i</v>
      </c>
      <c r="B19257" s="0" t="s">
        <v>19094</v>
      </c>
    </row>
    <row r="19258" customFormat="false" ht="15" hidden="false" customHeight="false" outlineLevel="0" collapsed="false">
      <c r="A19258" s="0" t="str">
        <f aca="false">IMLOG2("-8.0-0.0031j")</f>
        <v>3.00000010831483-4.53180109752683j</v>
      </c>
      <c r="B19258" s="0" t="s">
        <v>19095</v>
      </c>
    </row>
    <row r="19259" customFormat="false" ht="15" hidden="false" customHeight="false" outlineLevel="0" collapsed="false">
      <c r="A19259" s="0" t="str">
        <f aca="false">IMLOG2("-345.21-2.0i")</f>
        <v>8.43135465869735-4.52400187352897i</v>
      </c>
      <c r="B19259" s="0" t="s">
        <v>19096</v>
      </c>
    </row>
    <row r="19260" customFormat="false" ht="15" hidden="false" customHeight="false" outlineLevel="0" collapsed="false">
      <c r="A19260" s="0" t="str">
        <f aca="false">IMLOG2("5.0-3.64j")</f>
        <v>2.6286863778034-0.907847301702593j</v>
      </c>
      <c r="B19260" s="0" t="s">
        <v>19097</v>
      </c>
    </row>
    <row r="19261" customFormat="false" ht="15" hidden="false" customHeight="false" outlineLevel="0" collapsed="false">
      <c r="A19261" s="0" t="e">
        <f aca="false">IMLOG2("-6.0+-0.0j")</f>
        <v>#VALUE!</v>
      </c>
      <c r="B19261" s="0" t="s">
        <v>19098</v>
      </c>
    </row>
    <row r="19262" customFormat="false" ht="15" hidden="false" customHeight="false" outlineLevel="0" collapsed="false">
      <c r="A19262" s="0" t="e">
        <f aca="false">IMLOG2("0.0i")</f>
        <v>#VALUE!</v>
      </c>
      <c r="B19262" s="0" t="s">
        <v>19099</v>
      </c>
    </row>
    <row r="19263" customFormat="false" ht="15" hidden="false" customHeight="false" outlineLevel="0" collapsed="false">
      <c r="A19263" s="0" t="str">
        <f aca="false">IMLOG2("-72.695-2.14i")</f>
        <v>6.18440908186467-4.48990225594976i</v>
      </c>
      <c r="B19263" s="0" t="s">
        <v>19100</v>
      </c>
    </row>
    <row r="19264" customFormat="false" ht="15" hidden="false" customHeight="false" outlineLevel="0" collapsed="false">
      <c r="A19264" s="0" t="str">
        <f aca="false">IMLOG2("-961.53+0.0i")</f>
        <v>9.9091880605235+4.53236014182719i</v>
      </c>
      <c r="B19264" s="0" t="s">
        <v>19101</v>
      </c>
    </row>
    <row r="19265" customFormat="false" ht="15" hidden="false" customHeight="false" outlineLevel="0" collapsed="false">
      <c r="A19265" s="0" t="str">
        <f aca="false">IMLOG2("10.99-23.4i")</f>
        <v>4.69221931369238-1.63272033893528i</v>
      </c>
      <c r="B19265" s="0" t="s">
        <v>19102</v>
      </c>
    </row>
    <row r="19266" customFormat="false" ht="15" hidden="false" customHeight="false" outlineLevel="0" collapsed="false">
      <c r="A19266" s="0" t="str">
        <f aca="false">IMLOG2("-1.0-1.0j")</f>
        <v>0.5-3.3992701063704j</v>
      </c>
      <c r="B19266" s="0" t="s">
        <v>19103</v>
      </c>
    </row>
    <row r="19267" customFormat="false" ht="15" hidden="false" customHeight="false" outlineLevel="0" collapsed="false">
      <c r="A19267" s="0" t="str">
        <f aca="false">IMLOG2("-0.0048")</f>
        <v>-7.70274987882829+4.53236014182719i</v>
      </c>
      <c r="B19267" s="0" t="s">
        <v>19104</v>
      </c>
    </row>
    <row r="19268" customFormat="false" ht="15" hidden="false" customHeight="false" outlineLevel="0" collapsed="false">
      <c r="A19268" s="0" t="e">
        <f aca="false">IMLOG2("-0.0")</f>
        <v>#VALUE!</v>
      </c>
      <c r="B19268" s="0" t="s">
        <v>19105</v>
      </c>
    </row>
    <row r="19269" customFormat="false" ht="15" hidden="false" customHeight="false" outlineLevel="0" collapsed="false">
      <c r="A19269" s="0" t="str">
        <f aca="false">IMLOG2("22.851-0.0079i")</f>
        <v>4.51418548264381-0.00049876549686891i</v>
      </c>
      <c r="B19269" s="0" t="s">
        <v>19106</v>
      </c>
    </row>
    <row r="19270" customFormat="false" ht="15" hidden="false" customHeight="false" outlineLevel="0" collapsed="false">
      <c r="A19270" s="0" t="str">
        <f aca="false">IMLOG2("-0.5-0.008i")</f>
        <v>-0.999815358667848-4.5092789906301i</v>
      </c>
      <c r="B19270" s="0" t="s">
        <v>19107</v>
      </c>
    </row>
    <row r="19271" customFormat="false" ht="15" hidden="false" customHeight="false" outlineLevel="0" collapsed="false">
      <c r="A19271" s="0" t="str">
        <f aca="false">IMLOG2("-68.0+3.5712i")</f>
        <v>6.08944965353378+4.45666273549849i</v>
      </c>
      <c r="B19271" s="0" t="s">
        <v>19108</v>
      </c>
    </row>
    <row r="19272" customFormat="false" ht="15" hidden="false" customHeight="false" outlineLevel="0" collapsed="false">
      <c r="A19272" s="0" t="str">
        <f aca="false">IMLOG2("-903.434+40.2796j")</f>
        <v>9.82070788621202+4.46808016106499j</v>
      </c>
      <c r="B19272" s="0" t="s">
        <v>19109</v>
      </c>
    </row>
    <row r="19273" customFormat="false" ht="15" hidden="false" customHeight="false" outlineLevel="0" collapsed="false">
      <c r="A19273" s="0" t="str">
        <f aca="false">IMLOG2("-22.0412+0.01j")</f>
        <v>4.46213101477946+4.53170559718266j</v>
      </c>
      <c r="B19273" s="0" t="s">
        <v>19110</v>
      </c>
    </row>
    <row r="19274" customFormat="false" ht="15" hidden="false" customHeight="false" outlineLevel="0" collapsed="false">
      <c r="A19274" s="0" t="str">
        <f aca="false">IMLOG2("-9.52+0.324i")</f>
        <v>3.25179661735938+4.48327896066516i</v>
      </c>
      <c r="B19274" s="0" t="s">
        <v>19111</v>
      </c>
    </row>
    <row r="19275" customFormat="false" ht="15" hidden="false" customHeight="false" outlineLevel="0" collapsed="false">
      <c r="A19275" s="0" t="str">
        <f aca="false">IMLOG2("1.0-1.0j")</f>
        <v>0.5-1.1330900354568j</v>
      </c>
      <c r="B19275" s="0" t="s">
        <v>19112</v>
      </c>
    </row>
    <row r="19276" customFormat="false" ht="15" hidden="false" customHeight="false" outlineLevel="0" collapsed="false">
      <c r="A19276" s="0" t="str">
        <f aca="false">IMLOG2("0.0-9.266i")</f>
        <v>3.21194668237118-2.2661800709136i</v>
      </c>
      <c r="B19276" s="0" t="s">
        <v>19113</v>
      </c>
    </row>
    <row r="19277" customFormat="false" ht="15" hidden="false" customHeight="false" outlineLevel="0" collapsed="false">
      <c r="A19277" s="0" t="str">
        <f aca="false">IMLOG2("-824.0")</f>
        <v>9.68650052718322+4.53236014182719i</v>
      </c>
      <c r="B19277" s="0" t="s">
        <v>19114</v>
      </c>
    </row>
    <row r="19278" customFormat="false" ht="15" hidden="false" customHeight="false" outlineLevel="0" collapsed="false">
      <c r="A19278" s="0" t="str">
        <f aca="false">IMLOG2("1.0-0.899i")</f>
        <v>0.427277528474285-1.05643124770393i</v>
      </c>
      <c r="B19278" s="0" t="s">
        <v>19115</v>
      </c>
    </row>
    <row r="19279" customFormat="false" ht="15" hidden="false" customHeight="false" outlineLevel="0" collapsed="false">
      <c r="A19279" s="0" t="str">
        <f aca="false">IMLOG2("92.0+3.7865i")</f>
        <v>6.52478284801763+0.0593443843012867i</v>
      </c>
      <c r="B19279" s="0" t="s">
        <v>19116</v>
      </c>
    </row>
    <row r="19280" customFormat="false" ht="15" hidden="false" customHeight="false" outlineLevel="0" collapsed="false">
      <c r="A19280" s="0" t="str">
        <f aca="false">IMLOG2("1.1-0.193j")</f>
        <v>0.15937475632255-0.250576898966774j</v>
      </c>
      <c r="B19280" s="0" t="s">
        <v>19117</v>
      </c>
    </row>
    <row r="19281" customFormat="false" ht="15" hidden="false" customHeight="false" outlineLevel="0" collapsed="false">
      <c r="A19281" s="0" t="str">
        <f aca="false">IMLOG2("61.93-0.002i")</f>
        <v>5.95256654169512-4.65911526041472e-05i</v>
      </c>
      <c r="B19281" s="0" t="s">
        <v>19118</v>
      </c>
    </row>
    <row r="19282" customFormat="false" ht="15" hidden="false" customHeight="false" outlineLevel="0" collapsed="false">
      <c r="A19282" s="0" t="str">
        <f aca="false">IMLOG2("-574.9+8.8j")</f>
        <v>9.16733621573674+4.51027851903283j</v>
      </c>
      <c r="B19282" s="0" t="s">
        <v>19119</v>
      </c>
    </row>
    <row r="19283" customFormat="false" ht="15" hidden="false" customHeight="false" outlineLevel="0" collapsed="false">
      <c r="A19283" s="0" t="str">
        <f aca="false">IMLOG2("-825.0+3.0i")</f>
        <v>9.68825984754972+4.52711400116555i</v>
      </c>
      <c r="B19283" s="0" t="s">
        <v>19120</v>
      </c>
    </row>
    <row r="19284" customFormat="false" ht="15" hidden="false" customHeight="false" outlineLevel="0" collapsed="false">
      <c r="A19284" s="0" t="str">
        <f aca="false">IMLOG2("19.492+0.0077i")</f>
        <v>4.28481033509776+0.000569913361225033i</v>
      </c>
      <c r="B19284" s="0" t="s">
        <v>19121</v>
      </c>
    </row>
    <row r="19285" customFormat="false" ht="15" hidden="false" customHeight="false" outlineLevel="0" collapsed="false">
      <c r="A19285" s="0" t="str">
        <f aca="false">IMLOG2("42.31+0.477i")</f>
        <v>5.40301845911402+0.0162641545994153i</v>
      </c>
      <c r="B19285" s="0" t="s">
        <v>19122</v>
      </c>
    </row>
    <row r="19286" customFormat="false" ht="15" hidden="false" customHeight="false" outlineLevel="0" collapsed="false">
      <c r="A19286" s="0" t="str">
        <f aca="false">IMLOG2("-0.7056")</f>
        <v>-0.503077533991929+4.53236014182719i</v>
      </c>
      <c r="B19286" s="0" t="s">
        <v>19123</v>
      </c>
    </row>
    <row r="19287" customFormat="false" ht="15" hidden="false" customHeight="false" outlineLevel="0" collapsed="false">
      <c r="A19287" s="0" t="str">
        <f aca="false">IMLOG2("-0.9-1.0i")</f>
        <v>0.42799484865424-3.32340878414953i</v>
      </c>
      <c r="B19287" s="0" t="s">
        <v>19124</v>
      </c>
    </row>
    <row r="19288" customFormat="false" ht="15" hidden="false" customHeight="false" outlineLevel="0" collapsed="false">
      <c r="A19288" s="0" t="e">
        <f aca="false">IMLOG2("-0.0009+-0.0i")</f>
        <v>#VALUE!</v>
      </c>
      <c r="B19288" s="0" t="s">
        <v>19125</v>
      </c>
    </row>
    <row r="19289" customFormat="false" ht="15" hidden="false" customHeight="false" outlineLevel="0" collapsed="false">
      <c r="A19289" s="0" t="str">
        <f aca="false">IMLOG2("-0.0+130.0i")</f>
        <v>7.02236781302845+2.2661800709136i</v>
      </c>
      <c r="B19289" s="0" t="s">
        <v>19126</v>
      </c>
    </row>
    <row r="19290" customFormat="false" ht="15" hidden="false" customHeight="false" outlineLevel="0" collapsed="false">
      <c r="A19290" s="0" t="str">
        <f aca="false">IMLOG2("69.56-216.88i")</f>
        <v>7.83138324751185-1.81841756264547i</v>
      </c>
      <c r="B19290" s="0" t="s">
        <v>19127</v>
      </c>
    </row>
    <row r="19291" customFormat="false" ht="15" hidden="false" customHeight="false" outlineLevel="0" collapsed="false">
      <c r="A19291" s="0" t="str">
        <f aca="false">IMLOG2("-6.52-0.83i")</f>
        <v>2.71646801504186-4.34968671769866i</v>
      </c>
      <c r="B19291" s="0" t="s">
        <v>19128</v>
      </c>
    </row>
    <row r="19292" customFormat="false" ht="15" hidden="false" customHeight="false" outlineLevel="0" collapsed="false">
      <c r="A19292" s="0" t="str">
        <f aca="false">IMLOG2("0.0084-1.0i")</f>
        <v>5.08964854356723e-05-2.25406171758844i</v>
      </c>
      <c r="B19292" s="0" t="s">
        <v>19129</v>
      </c>
    </row>
    <row r="19293" customFormat="false" ht="15" hidden="false" customHeight="false" outlineLevel="0" collapsed="false">
      <c r="A19293" s="0" t="str">
        <f aca="false">IMLOG2("-0.23")</f>
        <v>-2.12029423371771+4.53236014182719i</v>
      </c>
      <c r="B19293" s="0" t="s">
        <v>19130</v>
      </c>
    </row>
    <row r="19294" customFormat="false" ht="15" hidden="false" customHeight="false" outlineLevel="0" collapsed="false">
      <c r="A19294" s="0" t="e">
        <f aca="false">IMLOG2("-0.0")</f>
        <v>#VALUE!</v>
      </c>
      <c r="B19294" s="0" t="s">
        <v>19105</v>
      </c>
    </row>
    <row r="19295" customFormat="false" ht="15" hidden="false" customHeight="false" outlineLevel="0" collapsed="false">
      <c r="A19295" s="0" t="str">
        <f aca="false">IMLOG2("-1.6437i")</f>
        <v>0.716947009477687-2.2661800709136i</v>
      </c>
      <c r="B19295" s="0" t="s">
        <v>19131</v>
      </c>
    </row>
    <row r="19296" customFormat="false" ht="15" hidden="false" customHeight="false" outlineLevel="0" collapsed="false">
      <c r="A19296" s="0" t="e">
        <f aca="false">IMLOG2("-0.0055+-0.0i")</f>
        <v>#VALUE!</v>
      </c>
      <c r="B19296" s="0" t="s">
        <v>19132</v>
      </c>
    </row>
    <row r="19297" customFormat="false" ht="15" hidden="false" customHeight="false" outlineLevel="0" collapsed="false">
      <c r="A19297" s="0" t="str">
        <f aca="false">IMSIN("0.7-137.121j")</f>
        <v>1.14523945535702e+59-1.35967618920182e+59j</v>
      </c>
      <c r="B19297" s="0" t="s">
        <v>19133</v>
      </c>
    </row>
    <row r="19298" customFormat="false" ht="15" hidden="false" customHeight="false" outlineLevel="0" collapsed="false">
      <c r="A19298" s="0" t="str">
        <f aca="false">IMSIN("-325.0")</f>
        <v>0.98803627345417</v>
      </c>
      <c r="B19298" s="0" t="s">
        <v>19134</v>
      </c>
    </row>
    <row r="19299" customFormat="false" ht="15" hidden="false" customHeight="false" outlineLevel="0" collapsed="false">
      <c r="A19299" s="0" t="str">
        <f aca="false">IMSIN("93.9955")</f>
        <v>-0.249612054721851</v>
      </c>
      <c r="B19299" s="0" t="s">
        <v>19135</v>
      </c>
    </row>
    <row r="19300" customFormat="false" ht="15" hidden="false" customHeight="false" outlineLevel="0" collapsed="false">
      <c r="A19300" s="0" t="str">
        <f aca="false">IMSIN("235.8098j")</f>
        <v>1.28784893465809e+102j</v>
      </c>
      <c r="B19300" s="0" t="s">
        <v>19136</v>
      </c>
    </row>
    <row r="19301" customFormat="false" ht="15" hidden="false" customHeight="false" outlineLevel="0" collapsed="false">
      <c r="A19301" s="0" t="str">
        <f aca="false">IMSIN("-56.2+11.621i")</f>
        <v>19031.9184089107+52354.6042988108i</v>
      </c>
      <c r="B19301" s="0" t="s">
        <v>19137</v>
      </c>
    </row>
    <row r="19302" customFormat="false" ht="15" hidden="false" customHeight="false" outlineLevel="0" collapsed="false">
      <c r="A19302" s="0" t="str">
        <f aca="false">IMSIN("-8.0903+6.3394i")</f>
        <v>-275.357130657341-66.3105633904153i</v>
      </c>
      <c r="B19302" s="0" t="s">
        <v>19138</v>
      </c>
    </row>
    <row r="19303" customFormat="false" ht="15" hidden="false" customHeight="false" outlineLevel="0" collapsed="false">
      <c r="A19303" s="0" t="str">
        <f aca="false">IMSIN("35.04+262.7i")</f>
        <v>-2.84857719736798e+113-5.43862264696043e+113i</v>
      </c>
      <c r="B19303" s="0" t="s">
        <v>19139</v>
      </c>
    </row>
    <row r="19304" customFormat="false" ht="15" hidden="false" customHeight="false" outlineLevel="0" collapsed="false">
      <c r="A19304" s="0" t="str">
        <f aca="false">IMSIN("0.47-0.01i")</f>
        <v>0.452908929882041-0.00891583147741097i</v>
      </c>
      <c r="B19304" s="0" t="s">
        <v>19140</v>
      </c>
    </row>
    <row r="19305" customFormat="false" ht="15" hidden="false" customHeight="false" outlineLevel="0" collapsed="false">
      <c r="A19305" s="0" t="str">
        <f aca="false">IMSIN("42.0")</f>
        <v>-0.916521547915634</v>
      </c>
      <c r="B19305" s="0" t="s">
        <v>19141</v>
      </c>
    </row>
    <row r="19306" customFormat="false" ht="15" hidden="false" customHeight="false" outlineLevel="0" collapsed="false">
      <c r="A19306" s="0" t="e">
        <f aca="false">IMSIN("0.0+-0.0i")</f>
        <v>#VALUE!</v>
      </c>
      <c r="B19306" s="0" t="s">
        <v>19142</v>
      </c>
    </row>
    <row r="19307" customFormat="false" ht="15" hidden="false" customHeight="false" outlineLevel="0" collapsed="false">
      <c r="A19307" s="0" t="e">
        <f aca="false">IMSIN("30.86+936.2275i")</f>
        <v>#VALUE!</v>
      </c>
      <c r="B19307" s="0" t="s">
        <v>19143</v>
      </c>
    </row>
    <row r="19308" customFormat="false" ht="15" hidden="false" customHeight="false" outlineLevel="0" collapsed="false">
      <c r="A19308" s="0" t="str">
        <f aca="false">IMSIN("-67.0+4.326i")</f>
        <v>32.3618981821294-19.5789202450264i</v>
      </c>
      <c r="B19308" s="0" t="s">
        <v>19144</v>
      </c>
    </row>
    <row r="19309" customFormat="false" ht="15" hidden="false" customHeight="false" outlineLevel="0" collapsed="false">
      <c r="A19309" s="0" t="str">
        <f aca="false">IMSIN("76.2i")</f>
        <v>6.19739996512159e+32i</v>
      </c>
      <c r="B19309" s="0" t="s">
        <v>19145</v>
      </c>
    </row>
    <row r="19310" customFormat="false" ht="15" hidden="false" customHeight="false" outlineLevel="0" collapsed="false">
      <c r="A19310" s="0" t="str">
        <f aca="false">IMSIN("0.076-552.2343j")</f>
        <v>2.58032638328396e+238-3.38862694845746e+239j</v>
      </c>
      <c r="B19310" s="0" t="s">
        <v>19146</v>
      </c>
    </row>
    <row r="19311" customFormat="false" ht="15" hidden="false" customHeight="false" outlineLevel="0" collapsed="false">
      <c r="A19311" s="0" t="str">
        <f aca="false">IMSIN("0.0-4.6597i")</f>
        <v>-52.7974633911972i</v>
      </c>
      <c r="B19311" s="0" t="s">
        <v>19147</v>
      </c>
    </row>
    <row r="19312" customFormat="false" ht="15" hidden="false" customHeight="false" outlineLevel="0" collapsed="false">
      <c r="A19312" s="0" t="str">
        <f aca="false">IMSIN("-407.491i")</f>
        <v>-4.67802705915535e+176i</v>
      </c>
      <c r="B19312" s="0" t="s">
        <v>19148</v>
      </c>
    </row>
    <row r="19313" customFormat="false" ht="15" hidden="false" customHeight="false" outlineLevel="0" collapsed="false">
      <c r="A19313" s="0" t="str">
        <f aca="false">IMSIN("-543.0")</f>
        <v>-0.475497150720118</v>
      </c>
      <c r="B19313" s="0" t="s">
        <v>19149</v>
      </c>
    </row>
    <row r="19314" customFormat="false" ht="15" hidden="false" customHeight="false" outlineLevel="0" collapsed="false">
      <c r="A19314" s="0" t="str">
        <f aca="false">IMSIN("-337.0+73.676i")</f>
        <v>3.72987541265821e+31-3.27934908797349e+31i</v>
      </c>
      <c r="B19314" s="0" t="s">
        <v>19150</v>
      </c>
    </row>
    <row r="19315" customFormat="false" ht="15" hidden="false" customHeight="false" outlineLevel="0" collapsed="false">
      <c r="A19315" s="0" t="str">
        <f aca="false">IMSIN("-8.955-7.127i")</f>
        <v>-281.829426995577+555.124096680586i</v>
      </c>
      <c r="B19315" s="0" t="s">
        <v>19151</v>
      </c>
    </row>
    <row r="19316" customFormat="false" ht="15" hidden="false" customHeight="false" outlineLevel="0" collapsed="false">
      <c r="A19316" s="0" t="str">
        <f aca="false">IMSIN("-90.0i")</f>
        <v>-6.1020164715892e+38i</v>
      </c>
      <c r="B19316" s="0" t="s">
        <v>19152</v>
      </c>
    </row>
    <row r="19317" customFormat="false" ht="15" hidden="false" customHeight="false" outlineLevel="0" collapsed="false">
      <c r="A19317" s="0" t="str">
        <f aca="false">IMSIN("-474.4462+4.804i")</f>
        <v>4.00556880297137-60.8629865785061i</v>
      </c>
      <c r="B19317" s="0" t="s">
        <v>19153</v>
      </c>
    </row>
    <row r="19318" customFormat="false" ht="15" hidden="false" customHeight="false" outlineLevel="0" collapsed="false">
      <c r="A19318" s="0" t="str">
        <f aca="false">IMSIN("-8.0-0.0031j")</f>
        <v>-0.989363000493564+0.000451050827238967j</v>
      </c>
      <c r="B19318" s="0" t="s">
        <v>19154</v>
      </c>
    </row>
    <row r="19319" customFormat="false" ht="15" hidden="false" customHeight="false" outlineLevel="0" collapsed="false">
      <c r="A19319" s="0" t="str">
        <f aca="false">IMSIN("-345.21-2.0i")</f>
        <v>1.34358745987477-3.38768799490253i</v>
      </c>
      <c r="B19319" s="0" t="s">
        <v>19155</v>
      </c>
    </row>
    <row r="19320" customFormat="false" ht="15" hidden="false" customHeight="false" outlineLevel="0" collapsed="false">
      <c r="A19320" s="0" t="str">
        <f aca="false">IMSIN("5.0-3.64j")</f>
        <v>-18.2761804561927-5.39888342828612j</v>
      </c>
      <c r="B19320" s="0" t="s">
        <v>19156</v>
      </c>
    </row>
    <row r="19321" customFormat="false" ht="15" hidden="false" customHeight="false" outlineLevel="0" collapsed="false">
      <c r="A19321" s="0" t="e">
        <f aca="false">IMSIN("-6.0+-0.0j")</f>
        <v>#VALUE!</v>
      </c>
      <c r="B19321" s="0" t="s">
        <v>19157</v>
      </c>
    </row>
    <row r="19322" customFormat="false" ht="15" hidden="false" customHeight="false" outlineLevel="0" collapsed="false">
      <c r="A19322" s="0" t="str">
        <f aca="false">IMSIN("0.0i")</f>
        <v>0</v>
      </c>
      <c r="B19322" s="0" t="s">
        <v>19158</v>
      </c>
    </row>
    <row r="19323" customFormat="false" ht="15" hidden="false" customHeight="false" outlineLevel="0" collapsed="false">
      <c r="A19323" s="0" t="str">
        <f aca="false">IMSIN("-72.695-2.14i")</f>
        <v>1.82881940770233+3.79462241419018i</v>
      </c>
      <c r="B19323" s="0" t="s">
        <v>19159</v>
      </c>
    </row>
    <row r="19324" customFormat="false" ht="15" hidden="false" customHeight="false" outlineLevel="0" collapsed="false">
      <c r="A19324" s="0" t="str">
        <f aca="false">IMSIN("-961.53+0.0i")</f>
        <v>-0.201263849027626</v>
      </c>
      <c r="B19324" s="0" t="s">
        <v>19160</v>
      </c>
    </row>
    <row r="19325" customFormat="false" ht="15" hidden="false" customHeight="false" outlineLevel="0" collapsed="false">
      <c r="A19325" s="0" t="str">
        <f aca="false">IMSIN("10.99-23.4i")</f>
        <v>-7268656297.60253+40518000.0772343i</v>
      </c>
      <c r="B19325" s="0" t="s">
        <v>19161</v>
      </c>
    </row>
    <row r="19326" customFormat="false" ht="15" hidden="false" customHeight="false" outlineLevel="0" collapsed="false">
      <c r="A19326" s="0" t="str">
        <f aca="false">IMSIN("-1.0-1.0j")</f>
        <v>-1.29845758141598-0.634963914784736j</v>
      </c>
      <c r="B19326" s="0" t="s">
        <v>19162</v>
      </c>
    </row>
    <row r="19327" customFormat="false" ht="15" hidden="false" customHeight="false" outlineLevel="0" collapsed="false">
      <c r="A19327" s="0" t="str">
        <f aca="false">IMSIN("-0.0048")</f>
        <v>-0.00479998156802124</v>
      </c>
      <c r="B19327" s="0" t="s">
        <v>19163</v>
      </c>
    </row>
    <row r="19328" customFormat="false" ht="15" hidden="false" customHeight="false" outlineLevel="0" collapsed="false">
      <c r="A19328" s="0" t="str">
        <f aca="false">IMSIN("-0.0")</f>
        <v>-0</v>
      </c>
      <c r="B19328" s="0" t="s">
        <v>19164</v>
      </c>
    </row>
    <row r="19329" customFormat="false" ht="15" hidden="false" customHeight="false" outlineLevel="0" collapsed="false">
      <c r="A19329" s="0" t="str">
        <f aca="false">IMSIN("22.851-0.0079i")</f>
        <v>-0.757769264125407+0.00515519907666974i</v>
      </c>
      <c r="B19329" s="0" t="s">
        <v>19165</v>
      </c>
    </row>
    <row r="19330" customFormat="false" ht="15" hidden="false" customHeight="false" outlineLevel="0" collapsed="false">
      <c r="A19330" s="0" t="str">
        <f aca="false">IMSIN("-0.5-0.008i")</f>
        <v>-0.47944088030326-0.0070207353824079i</v>
      </c>
      <c r="B19330" s="0" t="s">
        <v>19166</v>
      </c>
    </row>
    <row r="19331" customFormat="false" ht="15" hidden="false" customHeight="false" outlineLevel="0" collapsed="false">
      <c r="A19331" s="0" t="str">
        <f aca="false">IMSIN("-68.0+3.5712i")</f>
        <v>15.9774381421976+7.81938651739593i</v>
      </c>
      <c r="B19331" s="0" t="s">
        <v>19167</v>
      </c>
    </row>
    <row r="19332" customFormat="false" ht="15" hidden="false" customHeight="false" outlineLevel="0" collapsed="false">
      <c r="A19332" s="0" t="str">
        <f aca="false">IMSIN("-903.434+40.2796j")</f>
        <v>1.5169808162799e+17+3.48975395249027e+16j</v>
      </c>
      <c r="B19332" s="0" t="s">
        <v>19168</v>
      </c>
    </row>
    <row r="19333" customFormat="false" ht="15" hidden="false" customHeight="false" outlineLevel="0" collapsed="false">
      <c r="A19333" s="0" t="str">
        <f aca="false">IMSIN("-22.0412+0.01j")</f>
        <v>0.0500330313556556-0.00998764334780051j</v>
      </c>
      <c r="B19333" s="0" t="s">
        <v>19169</v>
      </c>
    </row>
    <row r="19334" customFormat="false" ht="15" hidden="false" customHeight="false" outlineLevel="0" collapsed="false">
      <c r="A19334" s="0" t="str">
        <f aca="false">IMSIN("-9.52+0.324i")</f>
        <v>0.10011247875084-0.328204934123636i</v>
      </c>
      <c r="B19334" s="0" t="s">
        <v>19170</v>
      </c>
    </row>
    <row r="19335" customFormat="false" ht="15" hidden="false" customHeight="false" outlineLevel="0" collapsed="false">
      <c r="A19335" s="0" t="str">
        <f aca="false">IMSIN("1.0-1.0j")</f>
        <v>1.29845758141598-0.634963914784736j</v>
      </c>
      <c r="B19335" s="0" t="s">
        <v>19171</v>
      </c>
    </row>
    <row r="19336" customFormat="false" ht="15" hidden="false" customHeight="false" outlineLevel="0" collapsed="false">
      <c r="A19336" s="0" t="str">
        <f aca="false">IMSIN("0.0-9.266i")</f>
        <v>-5286.18879460203i</v>
      </c>
      <c r="B19336" s="0" t="s">
        <v>19172</v>
      </c>
    </row>
    <row r="19337" customFormat="false" ht="15" hidden="false" customHeight="false" outlineLevel="0" collapsed="false">
      <c r="A19337" s="0" t="str">
        <f aca="false">IMSIN("-824.0")</f>
        <v>-0.785017737351215</v>
      </c>
      <c r="B19337" s="0" t="s">
        <v>19173</v>
      </c>
    </row>
    <row r="19338" customFormat="false" ht="15" hidden="false" customHeight="false" outlineLevel="0" collapsed="false">
      <c r="A19338" s="0" t="str">
        <f aca="false">IMSIN("1.0-0.899i")</f>
        <v>1.20503743084466-0.553855331219424i</v>
      </c>
      <c r="B19338" s="0" t="s">
        <v>19174</v>
      </c>
    </row>
    <row r="19339" customFormat="false" ht="15" hidden="false" customHeight="false" outlineLevel="0" collapsed="false">
      <c r="A19339" s="0" t="str">
        <f aca="false">IMSIN("92.0+3.7865i")</f>
        <v>-17.1967552054026-13.8065533574787i</v>
      </c>
      <c r="B19339" s="0" t="s">
        <v>19175</v>
      </c>
    </row>
    <row r="19340" customFormat="false" ht="15" hidden="false" customHeight="false" outlineLevel="0" collapsed="false">
      <c r="A19340" s="0" t="str">
        <f aca="false">IMSIN("1.1-0.193j")</f>
        <v>0.907857238033434-0.0880885526146447j</v>
      </c>
      <c r="B19340" s="0" t="s">
        <v>19176</v>
      </c>
    </row>
    <row r="19341" customFormat="false" ht="15" hidden="false" customHeight="false" outlineLevel="0" collapsed="false">
      <c r="A19341" s="0" t="str">
        <f aca="false">IMSIN("61.93-0.002i")</f>
        <v>-0.784479020900909-0.00124031550854273i</v>
      </c>
      <c r="B19341" s="0" t="s">
        <v>19177</v>
      </c>
    </row>
    <row r="19342" customFormat="false" ht="15" hidden="false" customHeight="false" outlineLevel="0" collapsed="false">
      <c r="A19342" s="0" t="str">
        <f aca="false">IMSIN("-574.9+8.8j")</f>
        <v>-37.9988155613893-3316.90427565459j</v>
      </c>
      <c r="B19342" s="0" t="s">
        <v>19178</v>
      </c>
    </row>
    <row r="19343" customFormat="false" ht="15" hidden="false" customHeight="false" outlineLevel="0" collapsed="false">
      <c r="A19343" s="0" t="str">
        <f aca="false">IMSIN("-825.0+3.0i")</f>
        <v>-9.51812560894951-3.26449288247544i</v>
      </c>
      <c r="B19343" s="0" t="s">
        <v>19179</v>
      </c>
    </row>
    <row r="19344" customFormat="false" ht="15" hidden="false" customHeight="false" outlineLevel="0" collapsed="false">
      <c r="A19344" s="0" t="str">
        <f aca="false">IMSIN("19.492+0.0077i")</f>
        <v>0.599171802707226+0.00616494095737072i</v>
      </c>
      <c r="B19344" s="0" t="s">
        <v>19180</v>
      </c>
    </row>
    <row r="19345" customFormat="false" ht="15" hidden="false" customHeight="false" outlineLevel="0" collapsed="false">
      <c r="A19345" s="0" t="str">
        <f aca="false">IMSIN("42.31+0.477i")</f>
        <v>-1.11019449087209-0.0501866191774787i</v>
      </c>
      <c r="B19345" s="0" t="s">
        <v>19181</v>
      </c>
    </row>
    <row r="19346" customFormat="false" ht="15" hidden="false" customHeight="false" outlineLevel="0" collapsed="false">
      <c r="A19346" s="0" t="str">
        <f aca="false">IMSIN("-0.7056")</f>
        <v>-0.648490679793161</v>
      </c>
      <c r="B19346" s="0" t="s">
        <v>19182</v>
      </c>
    </row>
    <row r="19347" customFormat="false" ht="15" hidden="false" customHeight="false" outlineLevel="0" collapsed="false">
      <c r="A19347" s="0" t="str">
        <f aca="false">IMSIN("-0.9-1.0i")</f>
        <v>-1.20873658497584-0.73051677669257i</v>
      </c>
      <c r="B19347" s="0" t="s">
        <v>19183</v>
      </c>
    </row>
    <row r="19348" customFormat="false" ht="15" hidden="false" customHeight="false" outlineLevel="0" collapsed="false">
      <c r="A19348" s="0" t="e">
        <f aca="false">IMSIN("-0.0009+-0.0i")</f>
        <v>#VALUE!</v>
      </c>
      <c r="B19348" s="0" t="s">
        <v>19184</v>
      </c>
    </row>
    <row r="19349" customFormat="false" ht="15" hidden="false" customHeight="false" outlineLevel="0" collapsed="false">
      <c r="A19349" s="0" t="str">
        <f aca="false">IMSIN("-0.0+130.0i")</f>
        <v>1.43632477540892e+56i</v>
      </c>
      <c r="B19349" s="0" t="s">
        <v>19185</v>
      </c>
    </row>
    <row r="19350" customFormat="false" ht="15" hidden="false" customHeight="false" outlineLevel="0" collapsed="false">
      <c r="A19350" s="0" t="str">
        <f aca="false">IMSIN("69.56-216.88i")</f>
        <v>3.33160074498253e+93-6.98659629036243e+93i</v>
      </c>
      <c r="B19350" s="0" t="s">
        <v>19186</v>
      </c>
    </row>
    <row r="19351" customFormat="false" ht="15" hidden="false" customHeight="false" outlineLevel="0" collapsed="false">
      <c r="A19351" s="0" t="str">
        <f aca="false">IMSIN("-6.52-0.83i")</f>
        <v>-0.320164989944293-0.902716719114536i</v>
      </c>
      <c r="B19351" s="0" t="s">
        <v>19187</v>
      </c>
    </row>
    <row r="19352" customFormat="false" ht="15" hidden="false" customHeight="false" outlineLevel="0" collapsed="false">
      <c r="A19352" s="0" t="str">
        <f aca="false">IMSIN("0.0084-1.0i")</f>
        <v>0.0129617249013084-1.17515973278948i</v>
      </c>
      <c r="B19352" s="0" t="s">
        <v>19188</v>
      </c>
    </row>
    <row r="19353" customFormat="false" ht="15" hidden="false" customHeight="false" outlineLevel="0" collapsed="false">
      <c r="A19353" s="0" t="str">
        <f aca="false">IMSIN("-0.23")</f>
        <v>-0.227977523535188</v>
      </c>
      <c r="B19353" s="0" t="s">
        <v>19189</v>
      </c>
    </row>
    <row r="19354" customFormat="false" ht="15" hidden="false" customHeight="false" outlineLevel="0" collapsed="false">
      <c r="A19354" s="0" t="str">
        <f aca="false">IMSIN("-0.0")</f>
        <v>-0</v>
      </c>
      <c r="B19354" s="0" t="s">
        <v>19164</v>
      </c>
    </row>
    <row r="19355" customFormat="false" ht="15" hidden="false" customHeight="false" outlineLevel="0" collapsed="false">
      <c r="A19355" s="0" t="str">
        <f aca="false">IMSIN("-1.6437i")</f>
        <v>-2.49050766391732i</v>
      </c>
      <c r="B19355" s="0" t="s">
        <v>19190</v>
      </c>
    </row>
    <row r="19356" customFormat="false" ht="15" hidden="false" customHeight="false" outlineLevel="0" collapsed="false">
      <c r="A19356" s="0" t="e">
        <f aca="false">IMSIN("-0.0055+-0.0i")</f>
        <v>#VALUE!</v>
      </c>
      <c r="B19356" s="0" t="s">
        <v>19191</v>
      </c>
    </row>
    <row r="19357" customFormat="false" ht="15" hidden="false" customHeight="false" outlineLevel="0" collapsed="false">
      <c r="A19357" s="0" t="str">
        <f aca="false">IMCOS("0.7-137.121j")</f>
        <v>1.35967618920182e+59+1.14523945535702e+59j</v>
      </c>
      <c r="B19357" s="0" t="s">
        <v>19192</v>
      </c>
    </row>
    <row r="19358" customFormat="false" ht="15" hidden="false" customHeight="false" outlineLevel="0" collapsed="false">
      <c r="A19358" s="0" t="str">
        <f aca="false">IMCOS("-325.0")</f>
        <v>-0.154221666243094</v>
      </c>
      <c r="B19358" s="0" t="s">
        <v>19193</v>
      </c>
    </row>
    <row r="19359" customFormat="false" ht="15" hidden="false" customHeight="false" outlineLevel="0" collapsed="false">
      <c r="A19359" s="0" t="str">
        <f aca="false">IMCOS("93.9955")</f>
        <v>0.968345920700622</v>
      </c>
      <c r="B19359" s="0" t="s">
        <v>19194</v>
      </c>
    </row>
    <row r="19360" customFormat="false" ht="15" hidden="false" customHeight="false" outlineLevel="0" collapsed="false">
      <c r="A19360" s="0" t="str">
        <f aca="false">IMCOS("235.8098j")</f>
        <v>1.28784893465809e+102</v>
      </c>
      <c r="B19360" s="0" t="s">
        <v>19195</v>
      </c>
    </row>
    <row r="19361" customFormat="false" ht="15" hidden="false" customHeight="false" outlineLevel="0" collapsed="false">
      <c r="A19361" s="0" t="str">
        <f aca="false">IMCOS("-56.2+11.621i")</f>
        <v>52354.6043072464-19031.9184058443i</v>
      </c>
      <c r="B19361" s="0" t="s">
        <v>19196</v>
      </c>
    </row>
    <row r="19362" customFormat="false" ht="15" hidden="false" customHeight="false" outlineLevel="0" collapsed="false">
      <c r="A19362" s="0" t="str">
        <f aca="false">IMCOS("-8.0903+6.3394i")</f>
        <v>-66.310976705437+275.355414361728i</v>
      </c>
      <c r="B19362" s="0" t="s">
        <v>19197</v>
      </c>
    </row>
    <row r="19363" customFormat="false" ht="15" hidden="false" customHeight="false" outlineLevel="0" collapsed="false">
      <c r="A19363" s="0" t="str">
        <f aca="false">IMCOS("35.04+262.7i")</f>
        <v>-5.43862264696043e+113+2.84857719736798e+113i</v>
      </c>
      <c r="B19363" s="0" t="s">
        <v>19198</v>
      </c>
    </row>
    <row r="19364" customFormat="false" ht="15" hidden="false" customHeight="false" outlineLevel="0" collapsed="false">
      <c r="A19364" s="0" t="str">
        <f aca="false">IMCOS("0.47-0.01i")</f>
        <v>0.891612866981227+0.00452893833521565i</v>
      </c>
      <c r="B19364" s="0" t="s">
        <v>19199</v>
      </c>
    </row>
    <row r="19365" customFormat="false" ht="15" hidden="false" customHeight="false" outlineLevel="0" collapsed="false">
      <c r="A19365" s="0" t="str">
        <f aca="false">IMCOS("42.0")</f>
        <v>-0.399985314988351</v>
      </c>
      <c r="B19365" s="0" t="s">
        <v>19200</v>
      </c>
    </row>
    <row r="19366" customFormat="false" ht="15" hidden="false" customHeight="false" outlineLevel="0" collapsed="false">
      <c r="A19366" s="0" t="e">
        <f aca="false">IMCOS("0.0+-0.0i")</f>
        <v>#VALUE!</v>
      </c>
      <c r="B19366" s="0" t="s">
        <v>19201</v>
      </c>
    </row>
    <row r="19367" customFormat="false" ht="15" hidden="false" customHeight="false" outlineLevel="0" collapsed="false">
      <c r="A19367" s="0" t="e">
        <f aca="false">IMCOS("30.86+936.2275i")</f>
        <v>#VALUE!</v>
      </c>
      <c r="B19367" s="0" t="s">
        <v>19202</v>
      </c>
    </row>
    <row r="19368" customFormat="false" ht="15" hidden="false" customHeight="false" outlineLevel="0" collapsed="false">
      <c r="A19368" s="0" t="str">
        <f aca="false">IMCOS("-67.0+4.326i")</f>
        <v>-19.5857653291027-32.3505879315367i</v>
      </c>
      <c r="B19368" s="0" t="s">
        <v>19203</v>
      </c>
    </row>
    <row r="19369" customFormat="false" ht="15" hidden="false" customHeight="false" outlineLevel="0" collapsed="false">
      <c r="A19369" s="0" t="str">
        <f aca="false">IMCOS("76.2i")</f>
        <v>6.19739996512159e+32</v>
      </c>
      <c r="B19369" s="0" t="s">
        <v>19204</v>
      </c>
    </row>
    <row r="19370" customFormat="false" ht="15" hidden="false" customHeight="false" outlineLevel="0" collapsed="false">
      <c r="A19370" s="0" t="str">
        <f aca="false">IMCOS("0.076-552.2343j")</f>
        <v>3.38862694845746e+239+2.58032638328396e+238j</v>
      </c>
      <c r="B19370" s="0" t="s">
        <v>19205</v>
      </c>
    </row>
    <row r="19371" customFormat="false" ht="15" hidden="false" customHeight="false" outlineLevel="0" collapsed="false">
      <c r="A19371" s="0" t="str">
        <f aca="false">IMCOS("0.0-4.6597i")</f>
        <v>52.8069326939637</v>
      </c>
      <c r="B19371" s="0" t="s">
        <v>19206</v>
      </c>
    </row>
    <row r="19372" customFormat="false" ht="15" hidden="false" customHeight="false" outlineLevel="0" collapsed="false">
      <c r="A19372" s="0" t="str">
        <f aca="false">IMCOS("-407.491i")</f>
        <v>4.67802705915535e+176</v>
      </c>
      <c r="B19372" s="0" t="s">
        <v>19207</v>
      </c>
    </row>
    <row r="19373" customFormat="false" ht="15" hidden="false" customHeight="false" outlineLevel="0" collapsed="false">
      <c r="A19373" s="0" t="str">
        <f aca="false">IMCOS("-543.0")</f>
        <v>-0.879717261202171</v>
      </c>
      <c r="B19373" s="0" t="s">
        <v>19208</v>
      </c>
    </row>
    <row r="19374" customFormat="false" ht="15" hidden="false" customHeight="false" outlineLevel="0" collapsed="false">
      <c r="A19374" s="0" t="str">
        <f aca="false">IMCOS("-337.0+73.676i")</f>
        <v>-3.27934908797349e+31-3.72987541265821e+31i</v>
      </c>
      <c r="B19374" s="0" t="s">
        <v>19209</v>
      </c>
    </row>
    <row r="19375" customFormat="false" ht="15" hidden="false" customHeight="false" outlineLevel="0" collapsed="false">
      <c r="A19375" s="0" t="str">
        <f aca="false">IMCOS("-8.955-7.127i")</f>
        <v>-555.124812802247-281.829063430209i</v>
      </c>
      <c r="B19375" s="0" t="s">
        <v>19210</v>
      </c>
    </row>
    <row r="19376" customFormat="false" ht="15" hidden="false" customHeight="false" outlineLevel="0" collapsed="false">
      <c r="A19376" s="0" t="str">
        <f aca="false">IMCOS("-90.0i")</f>
        <v>6.1020164715892e+38</v>
      </c>
      <c r="B19376" s="0" t="s">
        <v>19211</v>
      </c>
    </row>
    <row r="19377" customFormat="false" ht="15" hidden="false" customHeight="false" outlineLevel="0" collapsed="false">
      <c r="A19377" s="0" t="str">
        <f aca="false">IMCOS("-474.4462+4.804i")</f>
        <v>-60.8711657827654-4.00503057826362i</v>
      </c>
      <c r="B19377" s="0" t="s">
        <v>19212</v>
      </c>
    </row>
    <row r="19378" customFormat="false" ht="15" hidden="false" customHeight="false" outlineLevel="0" collapsed="false">
      <c r="A19378" s="0" t="str">
        <f aca="false">IMCOS("-8.0-0.0031j")</f>
        <v>-0.145500732936836-0.00306701547686343j</v>
      </c>
      <c r="B19378" s="0" t="s">
        <v>19213</v>
      </c>
    </row>
    <row r="19379" customFormat="false" ht="15" hidden="false" customHeight="false" outlineLevel="0" collapsed="false">
      <c r="A19379" s="0" t="str">
        <f aca="false">IMCOS("-345.21-2.0i")</f>
        <v>3.51409862634439+1.29525536756329i</v>
      </c>
      <c r="B19379" s="0" t="s">
        <v>19214</v>
      </c>
    </row>
    <row r="19380" customFormat="false" ht="15" hidden="false" customHeight="false" outlineLevel="0" collapsed="false">
      <c r="A19380" s="0" t="str">
        <f aca="false">IMCOS("5.0-3.64j")</f>
        <v>5.40633022554895-18.2510064462972j</v>
      </c>
      <c r="B19380" s="0" t="s">
        <v>19215</v>
      </c>
    </row>
    <row r="19381" customFormat="false" ht="15" hidden="false" customHeight="false" outlineLevel="0" collapsed="false">
      <c r="A19381" s="0" t="e">
        <f aca="false">IMCOS("-6.0+-0.0j")</f>
        <v>#VALUE!</v>
      </c>
      <c r="B19381" s="0" t="s">
        <v>19216</v>
      </c>
    </row>
    <row r="19382" customFormat="false" ht="15" hidden="false" customHeight="false" outlineLevel="0" collapsed="false">
      <c r="A19382" s="0" t="str">
        <f aca="false">IMCOS("0.0i")</f>
        <v>1</v>
      </c>
      <c r="B19382" s="0" t="s">
        <v>19217</v>
      </c>
    </row>
    <row r="19383" customFormat="false" ht="15" hidden="false" customHeight="false" outlineLevel="0" collapsed="false">
      <c r="A19383" s="0" t="str">
        <f aca="false">IMCOS("-72.695-2.14i")</f>
        <v>-3.90115242477967+1.77887925421556i</v>
      </c>
      <c r="B19383" s="0" t="s">
        <v>19218</v>
      </c>
    </row>
    <row r="19384" customFormat="false" ht="15" hidden="false" customHeight="false" outlineLevel="0" collapsed="false">
      <c r="A19384" s="0" t="str">
        <f aca="false">IMCOS("-961.53+0.0i")</f>
        <v>0.979537065697151</v>
      </c>
      <c r="B19384" s="0" t="s">
        <v>19219</v>
      </c>
    </row>
    <row r="19385" customFormat="false" ht="15" hidden="false" customHeight="false" outlineLevel="0" collapsed="false">
      <c r="A19385" s="0" t="str">
        <f aca="false">IMCOS("10.99-23.4i")</f>
        <v>-40518000.0772343-7268656297.60253i</v>
      </c>
      <c r="B19385" s="0" t="s">
        <v>19220</v>
      </c>
    </row>
    <row r="19386" customFormat="false" ht="15" hidden="false" customHeight="false" outlineLevel="0" collapsed="false">
      <c r="A19386" s="0" t="str">
        <f aca="false">IMCOS("-1.0-1.0j")</f>
        <v>0.833730025131149-0.988897705762865j</v>
      </c>
      <c r="B19386" s="0" t="s">
        <v>19221</v>
      </c>
    </row>
    <row r="19387" customFormat="false" ht="15" hidden="false" customHeight="false" outlineLevel="0" collapsed="false">
      <c r="A19387" s="0" t="str">
        <f aca="false">IMCOS("-0.0048")</f>
        <v>0.999988480022118</v>
      </c>
      <c r="B19387" s="0" t="s">
        <v>19222</v>
      </c>
    </row>
    <row r="19388" customFormat="false" ht="15" hidden="false" customHeight="false" outlineLevel="0" collapsed="false">
      <c r="A19388" s="0" t="str">
        <f aca="false">IMCOS("-0.0")</f>
        <v>1</v>
      </c>
      <c r="B19388" s="0" t="s">
        <v>19223</v>
      </c>
    </row>
    <row r="19389" customFormat="false" ht="15" hidden="false" customHeight="false" outlineLevel="0" collapsed="false">
      <c r="A19389" s="0" t="str">
        <f aca="false">IMCOS("22.851-0.0079i")</f>
        <v>-0.652570420449154-0.0059862526530995i</v>
      </c>
      <c r="B19389" s="0" t="s">
        <v>19224</v>
      </c>
    </row>
    <row r="19390" customFormat="false" ht="15" hidden="false" customHeight="false" outlineLevel="0" collapsed="false">
      <c r="A19390" s="0" t="str">
        <f aca="false">IMCOS("-0.5-0.008i")</f>
        <v>0.877610644682128-0.00383544521994383i</v>
      </c>
      <c r="B19390" s="0" t="s">
        <v>19225</v>
      </c>
    </row>
    <row r="19391" customFormat="false" ht="15" hidden="false" customHeight="false" outlineLevel="0" collapsed="false">
      <c r="A19391" s="0" t="str">
        <f aca="false">IMCOS("-68.0+3.5712i")</f>
        <v>7.83176425773179-15.9521865419134i</v>
      </c>
      <c r="B19391" s="0" t="s">
        <v>19226</v>
      </c>
    </row>
    <row r="19392" customFormat="false" ht="15" hidden="false" customHeight="false" outlineLevel="0" collapsed="false">
      <c r="A19392" s="0" t="str">
        <f aca="false">IMCOS("-903.434+40.2796j")</f>
        <v>3.48975395249027e+16-1.5169808162799e+17j</v>
      </c>
      <c r="B19392" s="0" t="s">
        <v>19227</v>
      </c>
    </row>
    <row r="19393" customFormat="false" ht="15" hidden="false" customHeight="false" outlineLevel="0" collapsed="false">
      <c r="A19393" s="0" t="str">
        <f aca="false">IMCOS("-22.0412+0.01j")</f>
        <v>-0.998797626702598-0.000500313636546517j</v>
      </c>
      <c r="B19393" s="0" t="s">
        <v>19228</v>
      </c>
    </row>
    <row r="19394" customFormat="false" ht="15" hidden="false" customHeight="false" outlineLevel="0" collapsed="false">
      <c r="A19394" s="0" t="str">
        <f aca="false">IMCOS("-9.52+0.324i")</f>
        <v>-1.04817871274186-0.0313471444267589i</v>
      </c>
      <c r="B19394" s="0" t="s">
        <v>19229</v>
      </c>
    </row>
    <row r="19395" customFormat="false" ht="15" hidden="false" customHeight="false" outlineLevel="0" collapsed="false">
      <c r="A19395" s="0" t="str">
        <f aca="false">IMCOS("1.0-1.0j")</f>
        <v>0.833730025131149+0.988897705762865j</v>
      </c>
      <c r="B19395" s="0" t="s">
        <v>19230</v>
      </c>
    </row>
    <row r="19396" customFormat="false" ht="15" hidden="false" customHeight="false" outlineLevel="0" collapsed="false">
      <c r="A19396" s="0" t="str">
        <f aca="false">IMCOS("0.0-9.266i")</f>
        <v>5286.18888918814</v>
      </c>
      <c r="B19396" s="0" t="s">
        <v>19231</v>
      </c>
    </row>
    <row r="19397" customFormat="false" ht="15" hidden="false" customHeight="false" outlineLevel="0" collapsed="false">
      <c r="A19397" s="0" t="str">
        <f aca="false">IMCOS("-824.0")</f>
        <v>0.619473285980904</v>
      </c>
      <c r="B19397" s="0" t="s">
        <v>19232</v>
      </c>
    </row>
    <row r="19398" customFormat="false" ht="15" hidden="false" customHeight="false" outlineLevel="0" collapsed="false">
      <c r="A19398" s="0" t="str">
        <f aca="false">IMCOS("1.0-0.899i")</f>
        <v>0.773745636269832+0.86257857118243i</v>
      </c>
      <c r="B19398" s="0" t="s">
        <v>19233</v>
      </c>
    </row>
    <row r="19399" customFormat="false" ht="15" hidden="false" customHeight="false" outlineLevel="0" collapsed="false">
      <c r="A19399" s="0" t="str">
        <f aca="false">IMCOS("92.0+3.7865i")</f>
        <v>-13.8207578757181+17.1790809486672i</v>
      </c>
      <c r="B19399" s="0" t="s">
        <v>19234</v>
      </c>
    </row>
    <row r="19400" customFormat="false" ht="15" hidden="false" customHeight="false" outlineLevel="0" collapsed="false">
      <c r="A19400" s="0" t="str">
        <f aca="false">IMCOS("1.1-0.193j")</f>
        <v>0.462070378269447+0.173072834442679j</v>
      </c>
      <c r="B19400" s="0" t="s">
        <v>19235</v>
      </c>
    </row>
    <row r="19401" customFormat="false" ht="15" hidden="false" customHeight="false" outlineLevel="0" collapsed="false">
      <c r="A19401" s="0" t="str">
        <f aca="false">IMCOS("61.93-0.002i")</f>
        <v>0.620158581148149-0.00156895594986111i</v>
      </c>
      <c r="B19401" s="0" t="s">
        <v>19236</v>
      </c>
    </row>
    <row r="19402" customFormat="false" ht="15" hidden="false" customHeight="false" outlineLevel="0" collapsed="false">
      <c r="A19402" s="0" t="str">
        <f aca="false">IMCOS("-574.9+8.8j")</f>
        <v>-3316.90442637777+37.9988138346882j</v>
      </c>
      <c r="B19402" s="0" t="s">
        <v>19237</v>
      </c>
    </row>
    <row r="19403" customFormat="false" ht="15" hidden="false" customHeight="false" outlineLevel="0" collapsed="false">
      <c r="A19403" s="0" t="str">
        <f aca="false">IMCOS("-825.0+3.0i")</f>
        <v>-3.28071683531014+9.47105613337262i</v>
      </c>
      <c r="B19403" s="0" t="s">
        <v>19238</v>
      </c>
    </row>
    <row r="19404" customFormat="false" ht="15" hidden="false" customHeight="false" outlineLevel="0" collapsed="false">
      <c r="A19404" s="0" t="str">
        <f aca="false">IMCOS("19.492+0.0077i")</f>
        <v>0.800657506061331-0.00461353170244116i</v>
      </c>
      <c r="B19404" s="0" t="s">
        <v>19239</v>
      </c>
    </row>
    <row r="19405" customFormat="false" ht="15" hidden="false" customHeight="false" outlineLevel="0" collapsed="false">
      <c r="A19405" s="0" t="str">
        <f aca="false">IMCOS("42.31+0.477i")</f>
        <v>-0.113074234637829+0.492746276857772i</v>
      </c>
      <c r="B19405" s="0" t="s">
        <v>19240</v>
      </c>
    </row>
    <row r="19406" customFormat="false" ht="15" hidden="false" customHeight="false" outlineLevel="0" collapsed="false">
      <c r="A19406" s="0" t="str">
        <f aca="false">IMCOS("-0.7056")</f>
        <v>0.761222594397594</v>
      </c>
      <c r="B19406" s="0" t="s">
        <v>19241</v>
      </c>
    </row>
    <row r="19407" customFormat="false" ht="15" hidden="false" customHeight="false" outlineLevel="0" collapsed="false">
      <c r="A19407" s="0" t="str">
        <f aca="false">IMCOS("-0.9-1.0i")</f>
        <v>0.95919430444658-0.920566719207529i</v>
      </c>
      <c r="B19407" s="0" t="s">
        <v>19242</v>
      </c>
    </row>
    <row r="19408" customFormat="false" ht="15" hidden="false" customHeight="false" outlineLevel="0" collapsed="false">
      <c r="A19408" s="0" t="e">
        <f aca="false">IMCOS("-0.0009+-0.0i")</f>
        <v>#VALUE!</v>
      </c>
      <c r="B19408" s="0" t="s">
        <v>19243</v>
      </c>
    </row>
    <row r="19409" customFormat="false" ht="15" hidden="false" customHeight="false" outlineLevel="0" collapsed="false">
      <c r="A19409" s="0" t="str">
        <f aca="false">IMCOS("-0.0+130.0i")</f>
        <v>1.43632477540892e+56</v>
      </c>
      <c r="B19409" s="0" t="s">
        <v>19244</v>
      </c>
    </row>
    <row r="19410" customFormat="false" ht="15" hidden="false" customHeight="false" outlineLevel="0" collapsed="false">
      <c r="A19410" s="0" t="str">
        <f aca="false">IMCOS("69.56-216.88i")</f>
        <v>6.98659629036243e+93+3.33160074498253e+93i</v>
      </c>
      <c r="B19410" s="0" t="s">
        <v>19245</v>
      </c>
    </row>
    <row r="19411" customFormat="false" ht="15" hidden="false" customHeight="false" outlineLevel="0" collapsed="false">
      <c r="A19411" s="0" t="str">
        <f aca="false">IMCOS("-6.52-0.83i")</f>
        <v>1.32659595783761-0.217864593654393i</v>
      </c>
      <c r="B19411" s="0" t="s">
        <v>19246</v>
      </c>
    </row>
    <row r="19412" customFormat="false" ht="15" hidden="false" customHeight="false" outlineLevel="0" collapsed="false">
      <c r="A19412" s="0" t="str">
        <f aca="false">IMCOS("0.0084-1.0i")</f>
        <v>1.54302619525055+0.00987157393594279i</v>
      </c>
      <c r="B19412" s="0" t="s">
        <v>19247</v>
      </c>
    </row>
    <row r="19413" customFormat="false" ht="15" hidden="false" customHeight="false" outlineLevel="0" collapsed="false">
      <c r="A19413" s="0" t="str">
        <f aca="false">IMCOS("-0.23")</f>
        <v>0.973666395005375</v>
      </c>
      <c r="B19413" s="0" t="s">
        <v>19248</v>
      </c>
    </row>
    <row r="19414" customFormat="false" ht="15" hidden="false" customHeight="false" outlineLevel="0" collapsed="false">
      <c r="A19414" s="0" t="str">
        <f aca="false">IMCOS("-0.0")</f>
        <v>1</v>
      </c>
      <c r="B19414" s="0" t="s">
        <v>19223</v>
      </c>
    </row>
    <row r="19415" customFormat="false" ht="15" hidden="false" customHeight="false" outlineLevel="0" collapsed="false">
      <c r="A19415" s="0" t="str">
        <f aca="false">IMCOS("-1.6437i")</f>
        <v>2.68377130620903</v>
      </c>
      <c r="B19415" s="0" t="s">
        <v>19249</v>
      </c>
    </row>
    <row r="19416" customFormat="false" ht="15" hidden="false" customHeight="false" outlineLevel="0" collapsed="false">
      <c r="A19416" s="0" t="e">
        <f aca="false">IMCOS("-0.0055+-0.0i")</f>
        <v>#VALUE!</v>
      </c>
      <c r="B19416" s="0" t="s">
        <v>19250</v>
      </c>
    </row>
    <row r="19417" customFormat="false" ht="15" hidden="false" customHeight="false" outlineLevel="0" collapsed="false">
      <c r="A19417" s="0" t="str">
        <f aca="false">IMTAN("0.7-137.121j")</f>
        <v>1.55911146224772e-119-j</v>
      </c>
      <c r="B19417" s="0" t="s">
        <v>19251</v>
      </c>
    </row>
    <row r="19418" customFormat="false" ht="15" hidden="false" customHeight="false" outlineLevel="0" collapsed="false">
      <c r="A19418" s="0" t="str">
        <f aca="false">IMTAN("-325.0")</f>
        <v>-6.40659835626962</v>
      </c>
      <c r="B19418" s="0" t="s">
        <v>19252</v>
      </c>
    </row>
    <row r="19419" customFormat="false" ht="15" hidden="false" customHeight="false" outlineLevel="0" collapsed="false">
      <c r="A19419" s="0" t="str">
        <f aca="false">IMTAN("93.9955")</f>
        <v>-0.257771576650264</v>
      </c>
      <c r="B19419" s="0" t="s">
        <v>19253</v>
      </c>
    </row>
    <row r="19420" customFormat="false" ht="15" hidden="false" customHeight="false" outlineLevel="0" collapsed="false">
      <c r="A19420" s="0" t="str">
        <f aca="false">IMTAN("235.8098j")</f>
        <v>j</v>
      </c>
      <c r="B19420" s="0" t="s">
        <v>19254</v>
      </c>
    </row>
    <row r="19421" customFormat="false" ht="15" hidden="false" customHeight="false" outlineLevel="0" collapsed="false">
      <c r="A19421" s="0" t="str">
        <f aca="false">IMTAN("-56.2+11.621i")</f>
        <v>1.03469591501961e-10+0.99999999987649i</v>
      </c>
      <c r="B19421" s="0" t="s">
        <v>19255</v>
      </c>
    </row>
    <row r="19422" customFormat="false" ht="15" hidden="false" customHeight="false" outlineLevel="0" collapsed="false">
      <c r="A19422" s="0" t="str">
        <f aca="false">IMTAN("-8.0903+6.3394i")</f>
        <v>2.83749878222345e-06+1.00000554969402i</v>
      </c>
      <c r="B19422" s="0" t="s">
        <v>19256</v>
      </c>
    </row>
    <row r="19423" customFormat="false" ht="15" hidden="false" customHeight="false" outlineLevel="0" collapsed="false">
      <c r="A19423" s="0" t="str">
        <f aca="false">IMTAN("35.04+262.7i")</f>
        <v>1.09042379243849e-228+i</v>
      </c>
      <c r="B19423" s="0" t="s">
        <v>19257</v>
      </c>
    </row>
    <row r="19424" customFormat="false" ht="15" hidden="false" customHeight="false" outlineLevel="0" collapsed="false">
      <c r="A19424" s="0" t="str">
        <f aca="false">IMTAN("0.47-0.01i")</f>
        <v>0.507901999452644-0.0125795496326108i</v>
      </c>
      <c r="B19424" s="0" t="s">
        <v>19258</v>
      </c>
    </row>
    <row r="19425" customFormat="false" ht="15" hidden="false" customHeight="false" outlineLevel="0" collapsed="false">
      <c r="A19425" s="0" t="str">
        <f aca="false">IMTAN("42.0")</f>
        <v>2.29138799243749</v>
      </c>
      <c r="B19425" s="0" t="s">
        <v>19259</v>
      </c>
    </row>
    <row r="19426" customFormat="false" ht="15" hidden="false" customHeight="false" outlineLevel="0" collapsed="false">
      <c r="A19426" s="0" t="e">
        <f aca="false">IMTAN("0.0+-0.0i")</f>
        <v>#VALUE!</v>
      </c>
      <c r="B19426" s="0" t="s">
        <v>19260</v>
      </c>
    </row>
    <row r="19427" customFormat="false" ht="15" hidden="false" customHeight="false" outlineLevel="0" collapsed="false">
      <c r="A19427" s="0" t="str">
        <f aca="false">IMTAN("30.86+936.2275i")</f>
        <v>i</v>
      </c>
      <c r="B19427" s="0" t="s">
        <v>19261</v>
      </c>
    </row>
    <row r="19428" customFormat="false" ht="15" hidden="false" customHeight="false" outlineLevel="0" collapsed="false">
      <c r="A19428" s="0" t="str">
        <f aca="false">IMTAN("-67.0+4.326i")</f>
        <v>-0.000309728672757579+1.00016209836753i</v>
      </c>
      <c r="B19428" s="0" t="s">
        <v>19262</v>
      </c>
    </row>
    <row r="19429" customFormat="false" ht="15" hidden="false" customHeight="false" outlineLevel="0" collapsed="false">
      <c r="A19429" s="0" t="str">
        <f aca="false">IMTAN("76.2i")</f>
        <v>i</v>
      </c>
      <c r="B19429" s="0" t="s">
        <v>19263</v>
      </c>
    </row>
    <row r="19430" customFormat="false" ht="15" hidden="false" customHeight="false" outlineLevel="0" collapsed="false">
      <c r="A19430" s="0" t="str">
        <f aca="false">IMTAN("0.076-552.2343j")</f>
        <v>-j</v>
      </c>
      <c r="B19430" s="0" t="s">
        <v>19264</v>
      </c>
    </row>
    <row r="19431" customFormat="false" ht="15" hidden="false" customHeight="false" outlineLevel="0" collapsed="false">
      <c r="A19431" s="0" t="str">
        <f aca="false">IMTAN("0.0-4.6597i")</f>
        <v>-0.999820680689383i</v>
      </c>
      <c r="B19431" s="0" t="s">
        <v>19265</v>
      </c>
    </row>
    <row r="19432" customFormat="false" ht="15" hidden="false" customHeight="false" outlineLevel="0" collapsed="false">
      <c r="A19432" s="0" t="str">
        <f aca="false">IMTAN("-407.491i")</f>
        <v>-i</v>
      </c>
      <c r="B19432" s="0" t="s">
        <v>19266</v>
      </c>
    </row>
    <row r="19433" customFormat="false" ht="15" hidden="false" customHeight="false" outlineLevel="0" collapsed="false">
      <c r="A19433" s="0" t="str">
        <f aca="false">IMTAN("-543.0")</f>
        <v>0.54051133436933</v>
      </c>
      <c r="B19433" s="0" t="s">
        <v>19267</v>
      </c>
    </row>
    <row r="19434" customFormat="false" ht="15" hidden="false" customHeight="false" outlineLevel="0" collapsed="false">
      <c r="A19434" s="0" t="str">
        <f aca="false">IMTAN("-337.0+73.676i")</f>
        <v>-2.01039299944147e-64+i</v>
      </c>
      <c r="B19434" s="0" t="s">
        <v>19268</v>
      </c>
    </row>
    <row r="19435" customFormat="false" ht="15" hidden="false" customHeight="false" outlineLevel="0" collapsed="false">
      <c r="A19435" s="0" t="str">
        <f aca="false">IMTAN("-8.955-7.127i")</f>
        <v>1.0414273502858e-06-0.999999238698836i</v>
      </c>
      <c r="B19435" s="0" t="s">
        <v>19269</v>
      </c>
    </row>
    <row r="19436" customFormat="false" ht="15" hidden="false" customHeight="false" outlineLevel="0" collapsed="false">
      <c r="A19436" s="0" t="str">
        <f aca="false">IMTAN("-90.0i")</f>
        <v>-i</v>
      </c>
      <c r="B19436" s="0" t="s">
        <v>19270</v>
      </c>
    </row>
    <row r="19437" customFormat="false" ht="15" hidden="false" customHeight="false" outlineLevel="0" collapsed="false">
      <c r="A19437" s="0" t="str">
        <f aca="false">IMTAN("-474.4462+4.804i")</f>
        <v>-1.76066536611217e-05+0.999866789325148i</v>
      </c>
      <c r="B19437" s="0" t="s">
        <v>19271</v>
      </c>
    </row>
    <row r="19438" customFormat="false" ht="15" hidden="false" customHeight="false" outlineLevel="0" collapsed="false">
      <c r="A19438" s="0" t="str">
        <f aca="false">IMTAN("-8.0-0.0031j")</f>
        <v>6.79662619375223-0.146366331798325j</v>
      </c>
      <c r="B19438" s="0" t="s">
        <v>19272</v>
      </c>
    </row>
    <row r="19439" customFormat="false" ht="15" hidden="false" customHeight="false" outlineLevel="0" collapsed="false">
      <c r="A19439" s="0" t="str">
        <f aca="false">IMTAN("-345.21-2.0i")</f>
        <v>0.0237818407757485-0.972793286503177i</v>
      </c>
      <c r="B19439" s="0" t="s">
        <v>19273</v>
      </c>
    </row>
    <row r="19440" customFormat="false" ht="15" hidden="false" customHeight="false" outlineLevel="0" collapsed="false">
      <c r="A19440" s="0" t="str">
        <f aca="false">IMTAN("5.0-3.64j")</f>
        <v>-0.000750730894653194-1.00115693952718j</v>
      </c>
      <c r="B19440" s="0" t="s">
        <v>19274</v>
      </c>
    </row>
    <row r="19441" customFormat="false" ht="15" hidden="false" customHeight="false" outlineLevel="0" collapsed="false">
      <c r="A19441" s="0" t="e">
        <f aca="false">IMTAN("-6.0+-0.0j")</f>
        <v>#VALUE!</v>
      </c>
      <c r="B19441" s="0" t="s">
        <v>19275</v>
      </c>
    </row>
    <row r="19442" customFormat="false" ht="15" hidden="false" customHeight="false" outlineLevel="0" collapsed="false">
      <c r="A19442" s="0" t="str">
        <f aca="false">IMTAN("0.0i")</f>
        <v>0</v>
      </c>
      <c r="B19442" s="0" t="s">
        <v>19276</v>
      </c>
    </row>
    <row r="19443" customFormat="false" ht="15" hidden="false" customHeight="false" outlineLevel="0" collapsed="false">
      <c r="A19443" s="0" t="str">
        <f aca="false">IMTAN("-72.695-2.14i")</f>
        <v>-0.0209062601216569-0.982225688559258i</v>
      </c>
      <c r="B19443" s="0" t="s">
        <v>19277</v>
      </c>
    </row>
    <row r="19444" customFormat="false" ht="15" hidden="false" customHeight="false" outlineLevel="0" collapsed="false">
      <c r="A19444" s="0" t="str">
        <f aca="false">IMTAN("-961.53+0.0i")</f>
        <v>-0.205468334048578</v>
      </c>
      <c r="B19444" s="0" t="s">
        <v>19278</v>
      </c>
    </row>
    <row r="19445" customFormat="false" ht="15" hidden="false" customHeight="false" outlineLevel="0" collapsed="false">
      <c r="A19445" s="0" t="str">
        <f aca="false">IMTAN("10.99-23.4i")</f>
        <v>1.05501494301045e-22-i</v>
      </c>
      <c r="B19445" s="0" t="s">
        <v>19279</v>
      </c>
    </row>
    <row r="19446" customFormat="false" ht="15" hidden="false" customHeight="false" outlineLevel="0" collapsed="false">
      <c r="A19446" s="0" t="str">
        <f aca="false">IMTAN("-1.0-1.0j")</f>
        <v>-0.271752585319512-1.08392332733869j</v>
      </c>
      <c r="B19446" s="0" t="s">
        <v>19280</v>
      </c>
    </row>
    <row r="19447" customFormat="false" ht="15" hidden="false" customHeight="false" outlineLevel="0" collapsed="false">
      <c r="A19447" s="0" t="str">
        <f aca="false">IMTAN("-0.0048")</f>
        <v>-0.00480003686433974</v>
      </c>
      <c r="B19447" s="0" t="s">
        <v>19281</v>
      </c>
    </row>
    <row r="19448" customFormat="false" ht="15" hidden="false" customHeight="false" outlineLevel="0" collapsed="false">
      <c r="A19448" s="0" t="str">
        <f aca="false">IMTAN("-0.0")</f>
        <v>-0</v>
      </c>
      <c r="B19448" s="0" t="s">
        <v>19282</v>
      </c>
    </row>
    <row r="19449" customFormat="false" ht="15" hidden="false" customHeight="false" outlineLevel="0" collapsed="false">
      <c r="A19449" s="0" t="str">
        <f aca="false">IMTAN("22.851-0.0079i")</f>
        <v>1.16103671397982-0.0185504243017104i</v>
      </c>
      <c r="B19449" s="0" t="s">
        <v>19283</v>
      </c>
    </row>
    <row r="19450" customFormat="false" ht="15" hidden="false" customHeight="false" outlineLevel="0" collapsed="false">
      <c r="A19450" s="0" t="str">
        <f aca="false">IMTAN("-0.5-0.008i")</f>
        <v>-0.546257094599298-0.0103871512953799i</v>
      </c>
      <c r="B19450" s="0" t="s">
        <v>19284</v>
      </c>
    </row>
    <row r="19451" customFormat="false" ht="15" hidden="false" customHeight="false" outlineLevel="0" collapsed="false">
      <c r="A19451" s="0" t="str">
        <f aca="false">IMTAN("-68.0+3.5712i")</f>
        <v>0.00125144270776984+1.00096855662854i</v>
      </c>
      <c r="B19451" s="0" t="s">
        <v>19285</v>
      </c>
    </row>
    <row r="19452" customFormat="false" ht="15" hidden="false" customHeight="false" outlineLevel="0" collapsed="false">
      <c r="A19452" s="0" t="str">
        <f aca="false">IMTAN("-903.434+40.2796j")</f>
        <v>9.01701570564536e-36+j</v>
      </c>
      <c r="B19452" s="0" t="s">
        <v>19286</v>
      </c>
    </row>
    <row r="19453" customFormat="false" ht="15" hidden="false" customHeight="false" outlineLevel="0" collapsed="false">
      <c r="A19453" s="0" t="str">
        <f aca="false">IMTAN("-22.0412+0.01j")</f>
        <v>-0.0500882405961935+0.0100247566773432j</v>
      </c>
      <c r="B19453" s="0" t="s">
        <v>19287</v>
      </c>
    </row>
    <row r="19454" customFormat="false" ht="15" hidden="false" customHeight="false" outlineLevel="0" collapsed="false">
      <c r="A19454" s="0" t="str">
        <f aca="false">IMTAN("-9.52+0.324i")</f>
        <v>-0.0860696700968863+0.315693276805194i</v>
      </c>
      <c r="B19454" s="0" t="s">
        <v>19288</v>
      </c>
    </row>
    <row r="19455" customFormat="false" ht="15" hidden="false" customHeight="false" outlineLevel="0" collapsed="false">
      <c r="A19455" s="0" t="str">
        <f aca="false">IMTAN("1.0-1.0j")</f>
        <v>0.271752585319512-1.08392332733869j</v>
      </c>
      <c r="B19455" s="0" t="s">
        <v>19289</v>
      </c>
    </row>
    <row r="19456" customFormat="false" ht="15" hidden="false" customHeight="false" outlineLevel="0" collapsed="false">
      <c r="A19456" s="0" t="str">
        <f aca="false">IMTAN("0.0-9.266i")</f>
        <v>-0.999999982106939i</v>
      </c>
      <c r="B19456" s="0" t="s">
        <v>19290</v>
      </c>
    </row>
    <row r="19457" customFormat="false" ht="15" hidden="false" customHeight="false" outlineLevel="0" collapsed="false">
      <c r="A19457" s="0" t="str">
        <f aca="false">IMTAN("-824.0")</f>
        <v>-1.26723420543984</v>
      </c>
      <c r="B19457" s="0" t="s">
        <v>19291</v>
      </c>
    </row>
    <row r="19458" customFormat="false" ht="15" hidden="false" customHeight="false" outlineLevel="0" collapsed="false">
      <c r="A19458" s="0" t="str">
        <f aca="false">IMTAN("1.0-0.899i")</f>
        <v>0.338601737346551-1.09328685599811i</v>
      </c>
      <c r="B19458" s="0" t="s">
        <v>19292</v>
      </c>
    </row>
    <row r="19459" customFormat="false" ht="15" hidden="false" customHeight="false" outlineLevel="0" collapsed="false">
      <c r="A19459" s="0" t="str">
        <f aca="false">IMTAN("92.0+3.7865i")</f>
        <v>0.00100443914720706+1.00022074210444i</v>
      </c>
      <c r="B19459" s="0" t="s">
        <v>19293</v>
      </c>
    </row>
    <row r="19460" customFormat="false" ht="15" hidden="false" customHeight="false" outlineLevel="0" collapsed="false">
      <c r="A19460" s="0" t="str">
        <f aca="false">IMTAN("1.1-0.193j")</f>
        <v>1.66040754688912-0.812560187240177j</v>
      </c>
      <c r="B19460" s="0" t="s">
        <v>19294</v>
      </c>
    </row>
    <row r="19461" customFormat="false" ht="15" hidden="false" customHeight="false" outlineLevel="0" collapsed="false">
      <c r="A19461" s="0" t="str">
        <f aca="false">IMTAN("61.93-0.002i")</f>
        <v>-1.26495203938159-0.00520023367418182i</v>
      </c>
      <c r="B19461" s="0" t="s">
        <v>19295</v>
      </c>
    </row>
    <row r="19462" customFormat="false" ht="15" hidden="false" customHeight="false" outlineLevel="0" collapsed="false">
      <c r="A19462" s="0" t="str">
        <f aca="false">IMTAN("-574.9+8.8j")</f>
        <v>1.04101550450627e-09+0.999999954571007j</v>
      </c>
      <c r="B19462" s="0" t="s">
        <v>19296</v>
      </c>
    </row>
    <row r="19463" customFormat="false" ht="15" hidden="false" customHeight="false" outlineLevel="0" collapsed="false">
      <c r="A19463" s="0" t="str">
        <f aca="false">IMTAN("-825.0+3.0i")</f>
        <v>0.00306656679776239+1.00390758303358i</v>
      </c>
      <c r="B19463" s="0" t="s">
        <v>19297</v>
      </c>
    </row>
    <row r="19464" customFormat="false" ht="15" hidden="false" customHeight="false" outlineLevel="0" collapsed="false">
      <c r="A19464" s="0" t="str">
        <f aca="false">IMTAN("19.492+0.0077i")</f>
        <v>0.748280484970509+0.0120115737681769i</v>
      </c>
      <c r="B19464" s="0" t="s">
        <v>19298</v>
      </c>
    </row>
    <row r="19465" customFormat="false" ht="15" hidden="false" customHeight="false" outlineLevel="0" collapsed="false">
      <c r="A19465" s="0" t="str">
        <f aca="false">IMTAN("42.31+0.477i")</f>
        <v>0.394409884916896+2.16256711627898i</v>
      </c>
      <c r="B19465" s="0" t="s">
        <v>19299</v>
      </c>
    </row>
    <row r="19466" customFormat="false" ht="15" hidden="false" customHeight="false" outlineLevel="0" collapsed="false">
      <c r="A19466" s="0" t="str">
        <f aca="false">IMTAN("-0.7056")</f>
        <v>-0.851906767568236</v>
      </c>
      <c r="B19466" s="0" t="s">
        <v>19300</v>
      </c>
    </row>
    <row r="19467" customFormat="false" ht="15" hidden="false" customHeight="false" outlineLevel="0" collapsed="false">
      <c r="A19467" s="0" t="str">
        <f aca="false">IMTAN("-0.9-1.0i")</f>
        <v>-0.275487806221928-1.02598782966687i</v>
      </c>
      <c r="B19467" s="0" t="s">
        <v>19301</v>
      </c>
    </row>
    <row r="19468" customFormat="false" ht="15" hidden="false" customHeight="false" outlineLevel="0" collapsed="false">
      <c r="A19468" s="0" t="e">
        <f aca="false">IMTAN("-0.0009+-0.0i")</f>
        <v>#VALUE!</v>
      </c>
      <c r="B19468" s="0" t="s">
        <v>19302</v>
      </c>
    </row>
    <row r="19469" customFormat="false" ht="15" hidden="false" customHeight="false" outlineLevel="0" collapsed="false">
      <c r="A19469" s="0" t="str">
        <f aca="false">IMTAN("-0.0+130.0i")</f>
        <v>i</v>
      </c>
      <c r="B19469" s="0" t="s">
        <v>19303</v>
      </c>
    </row>
    <row r="19470" customFormat="false" ht="15" hidden="false" customHeight="false" outlineLevel="0" collapsed="false">
      <c r="A19470" s="0" t="str">
        <f aca="false">IMTAN("69.56-216.88i")</f>
        <v>6.48469629976454e-189-i</v>
      </c>
      <c r="B19470" s="0" t="s">
        <v>19304</v>
      </c>
    </row>
    <row r="19471" customFormat="false" ht="15" hidden="false" customHeight="false" outlineLevel="0" collapsed="false">
      <c r="A19471" s="0" t="str">
        <f aca="false">IMTAN("-6.52-0.83i")</f>
        <v>-0.126186475602626-0.701199395980861i</v>
      </c>
      <c r="B19471" s="0" t="s">
        <v>19305</v>
      </c>
    </row>
    <row r="19472" customFormat="false" ht="15" hidden="false" customHeight="false" outlineLevel="0" collapsed="false">
      <c r="A19472" s="0" t="str">
        <f aca="false">IMTAN("0.0084-1.0i")</f>
        <v>0.00352772306085115-0.761616724710027i</v>
      </c>
      <c r="B19472" s="0" t="s">
        <v>19306</v>
      </c>
    </row>
    <row r="19473" customFormat="false" ht="15" hidden="false" customHeight="false" outlineLevel="0" collapsed="false">
      <c r="A19473" s="0" t="str">
        <f aca="false">IMTAN("-0.23")</f>
        <v>-0.234143362351465</v>
      </c>
      <c r="B19473" s="0" t="s">
        <v>19307</v>
      </c>
    </row>
    <row r="19474" customFormat="false" ht="15" hidden="false" customHeight="false" outlineLevel="0" collapsed="false">
      <c r="A19474" s="0" t="str">
        <f aca="false">IMTAN("-0.0")</f>
        <v>-0</v>
      </c>
      <c r="B19474" s="0" t="s">
        <v>19282</v>
      </c>
    </row>
    <row r="19475" customFormat="false" ht="15" hidden="false" customHeight="false" outlineLevel="0" collapsed="false">
      <c r="A19475" s="0" t="str">
        <f aca="false">IMTAN("-1.6437i")</f>
        <v>-0.927988036147274i</v>
      </c>
      <c r="B19475" s="0" t="s">
        <v>19308</v>
      </c>
    </row>
    <row r="19476" customFormat="false" ht="15" hidden="false" customHeight="false" outlineLevel="0" collapsed="false">
      <c r="A19476" s="0" t="e">
        <f aca="false">IMTAN("-0.0055+-0.0i")</f>
        <v>#VALUE!</v>
      </c>
      <c r="B19476" s="0" t="s">
        <v>19309</v>
      </c>
    </row>
    <row r="19477" customFormat="false" ht="15" hidden="false" customHeight="false" outlineLevel="0" collapsed="false">
      <c r="A19477" s="0" t="str">
        <f aca="false">IMSEC("0.7-137.121j")</f>
        <v>4.302374168908e-60-3.62383977087571e-60j</v>
      </c>
      <c r="B19477" s="0" t="s">
        <v>19310</v>
      </c>
    </row>
    <row r="19478" customFormat="false" ht="15" hidden="false" customHeight="false" outlineLevel="0" collapsed="false">
      <c r="A19478" s="0" t="str">
        <f aca="false">IMSEC("-325.0")</f>
        <v>-6.48417323168934</v>
      </c>
      <c r="B19478" s="0" t="s">
        <v>19311</v>
      </c>
    </row>
    <row r="19479" customFormat="false" ht="15" hidden="false" customHeight="false" outlineLevel="0" collapsed="false">
      <c r="A19479" s="0" t="str">
        <f aca="false">IMSEC("93.9955")</f>
        <v>1.03268881359719</v>
      </c>
      <c r="B19479" s="0" t="s">
        <v>19312</v>
      </c>
    </row>
    <row r="19480" customFormat="false" ht="15" hidden="false" customHeight="false" outlineLevel="0" collapsed="false">
      <c r="A19480" s="0" t="str">
        <f aca="false">IMSEC("235.8098j")</f>
        <v>7.76488587355542e-103</v>
      </c>
      <c r="B19480" s="0" t="s">
        <v>19313</v>
      </c>
    </row>
    <row r="19481" customFormat="false" ht="15" hidden="false" customHeight="false" outlineLevel="0" collapsed="false">
      <c r="A19481" s="0" t="str">
        <f aca="false">IMSEC("-56.2+11.621i")</f>
        <v>1.6871066002026e-05+6.13296109900558e-06i</v>
      </c>
      <c r="B19481" s="0" t="s">
        <v>19314</v>
      </c>
    </row>
    <row r="19482" customFormat="false" ht="15" hidden="false" customHeight="false" outlineLevel="0" collapsed="false">
      <c r="A19482" s="0" t="str">
        <f aca="false">IMSEC("-8.0903+6.3394i")</f>
        <v>-0.000826637207220044-0.00343259957898092i</v>
      </c>
      <c r="B19482" s="0" t="s">
        <v>19315</v>
      </c>
    </row>
    <row r="19483" customFormat="false" ht="15" hidden="false" customHeight="false" outlineLevel="0" collapsed="false">
      <c r="A19483" s="0" t="str">
        <f aca="false">IMSEC("35.04+262.7i")</f>
        <v>-1.44287306471381e-114-7.55730922633014e-115i</v>
      </c>
      <c r="B19483" s="0" t="s">
        <v>19316</v>
      </c>
    </row>
    <row r="19484" customFormat="false" ht="15" hidden="false" customHeight="false" outlineLevel="0" collapsed="false">
      <c r="A19484" s="0" t="str">
        <f aca="false">IMSEC("0.47-0.01i")</f>
        <v>1.12153406089369-0.00569682066144796i</v>
      </c>
      <c r="B19484" s="0" t="s">
        <v>19317</v>
      </c>
    </row>
    <row r="19485" customFormat="false" ht="15" hidden="false" customHeight="false" outlineLevel="0" collapsed="false">
      <c r="A19485" s="0" t="str">
        <f aca="false">IMSEC("42.0")</f>
        <v>-2.50009178469245</v>
      </c>
      <c r="B19485" s="0" t="s">
        <v>19318</v>
      </c>
    </row>
    <row r="19486" customFormat="false" ht="15" hidden="false" customHeight="false" outlineLevel="0" collapsed="false">
      <c r="A19486" s="0" t="e">
        <f aca="false">IMSEC("0.0+-0.0i")</f>
        <v>#VALUE!</v>
      </c>
      <c r="B19486" s="0" t="s">
        <v>19319</v>
      </c>
    </row>
    <row r="19487" customFormat="false" ht="15" hidden="false" customHeight="false" outlineLevel="0" collapsed="false">
      <c r="A19487" s="0" t="str">
        <f aca="false">IMSEC("30.86+936.2275i")</f>
        <v>0</v>
      </c>
      <c r="B19487" s="0" t="s">
        <v>19320</v>
      </c>
    </row>
    <row r="19488" customFormat="false" ht="15" hidden="false" customHeight="false" outlineLevel="0" collapsed="false">
      <c r="A19488" s="0" t="str">
        <f aca="false">IMSEC("-67.0+4.326i")</f>
        <v>-0.013694780838321+0.0226202144398676i</v>
      </c>
      <c r="B19488" s="0" t="s">
        <v>19321</v>
      </c>
    </row>
    <row r="19489" customFormat="false" ht="15" hidden="false" customHeight="false" outlineLevel="0" collapsed="false">
      <c r="A19489" s="0" t="str">
        <f aca="false">IMSEC("76.2i")</f>
        <v>1.61357989742135e-33</v>
      </c>
      <c r="B19489" s="0" t="s">
        <v>19322</v>
      </c>
    </row>
    <row r="19490" customFormat="false" ht="15" hidden="false" customHeight="false" outlineLevel="0" collapsed="false">
      <c r="A19490" s="0" t="str">
        <f aca="false">IMSEC("0.076-552.2343j")</f>
        <v>2.93403531072374e-240-2.23417001543753e-241j</v>
      </c>
      <c r="B19490" s="0" t="s">
        <v>19323</v>
      </c>
    </row>
    <row r="19491" customFormat="false" ht="15" hidden="false" customHeight="false" outlineLevel="0" collapsed="false">
      <c r="A19491" s="0" t="str">
        <f aca="false">IMSEC("0.0-4.6597i")</f>
        <v>0.0189369075040844</v>
      </c>
      <c r="B19491" s="0" t="s">
        <v>19324</v>
      </c>
    </row>
    <row r="19492" customFormat="false" ht="15" hidden="false" customHeight="false" outlineLevel="0" collapsed="false">
      <c r="A19492" s="0" t="str">
        <f aca="false">IMSEC("-407.491i")</f>
        <v>2.13765330416998e-177</v>
      </c>
      <c r="B19492" s="0" t="s">
        <v>19325</v>
      </c>
    </row>
    <row r="19493" customFormat="false" ht="15" hidden="false" customHeight="false" outlineLevel="0" collapsed="false">
      <c r="A19493" s="0" t="str">
        <f aca="false">IMSEC("-543.0")</f>
        <v>-1.13672886062672</v>
      </c>
      <c r="B19493" s="0" t="s">
        <v>19326</v>
      </c>
    </row>
    <row r="19494" customFormat="false" ht="15" hidden="false" customHeight="false" outlineLevel="0" collapsed="false">
      <c r="A19494" s="0" t="str">
        <f aca="false">IMSEC("-337.0+73.676i")</f>
        <v>-1.32949633318788e-32+1.5121463288439e-32i</v>
      </c>
      <c r="B19494" s="0" t="s">
        <v>19327</v>
      </c>
    </row>
    <row r="19495" customFormat="false" ht="15" hidden="false" customHeight="false" outlineLevel="0" collapsed="false">
      <c r="A19495" s="0" t="str">
        <f aca="false">IMSEC("-8.955-7.127i")</f>
        <v>-0.00143224315513513+0.000727129715168853i</v>
      </c>
      <c r="B19495" s="0" t="s">
        <v>19328</v>
      </c>
    </row>
    <row r="19496" customFormat="false" ht="15" hidden="false" customHeight="false" outlineLevel="0" collapsed="false">
      <c r="A19496" s="0" t="str">
        <f aca="false">IMSEC("-90.0i")</f>
        <v>1.6388025247981e-39</v>
      </c>
      <c r="B19496" s="0" t="s">
        <v>19329</v>
      </c>
    </row>
    <row r="19497" customFormat="false" ht="15" hidden="false" customHeight="false" outlineLevel="0" collapsed="false">
      <c r="A19497" s="0" t="str">
        <f aca="false">IMSEC("-474.4462+4.804i")</f>
        <v>-0.0163573284375105+0.00107623370981141i</v>
      </c>
      <c r="B19497" s="0" t="s">
        <v>19330</v>
      </c>
    </row>
    <row r="19498" customFormat="false" ht="15" hidden="false" customHeight="false" outlineLevel="0" collapsed="false">
      <c r="A19498" s="0" t="str">
        <f aca="false">IMSEC("-8.0-0.0031j")</f>
        <v>-6.86976519856566+0.14480804158949j</v>
      </c>
      <c r="B19498" s="0" t="s">
        <v>19331</v>
      </c>
    </row>
    <row r="19499" customFormat="false" ht="15" hidden="false" customHeight="false" outlineLevel="0" collapsed="false">
      <c r="A19499" s="0" t="str">
        <f aca="false">IMSEC("-345.21-2.0i")</f>
        <v>0.25053147117483-0.0923429497254313i</v>
      </c>
      <c r="B19499" s="0" t="s">
        <v>19332</v>
      </c>
    </row>
    <row r="19500" customFormat="false" ht="15" hidden="false" customHeight="false" outlineLevel="0" collapsed="false">
      <c r="A19500" s="0" t="str">
        <f aca="false">IMSEC("5.0-3.64j")</f>
        <v>0.0149211089267539+0.0503715540573433j</v>
      </c>
      <c r="B19500" s="0" t="s">
        <v>19333</v>
      </c>
    </row>
    <row r="19501" customFormat="false" ht="15" hidden="false" customHeight="false" outlineLevel="0" collapsed="false">
      <c r="A19501" s="0" t="e">
        <f aca="false">IMSEC("-6.0+-0.0j")</f>
        <v>#VALUE!</v>
      </c>
      <c r="B19501" s="0" t="s">
        <v>19334</v>
      </c>
    </row>
    <row r="19502" customFormat="false" ht="15" hidden="false" customHeight="false" outlineLevel="0" collapsed="false">
      <c r="A19502" s="0" t="str">
        <f aca="false">IMSEC("0.0i")</f>
        <v>1</v>
      </c>
      <c r="B19502" s="0" t="s">
        <v>19335</v>
      </c>
    </row>
    <row r="19503" customFormat="false" ht="15" hidden="false" customHeight="false" outlineLevel="0" collapsed="false">
      <c r="A19503" s="0" t="str">
        <f aca="false">IMSEC("-72.695-2.14i")</f>
        <v>-0.212210585432288-0.0967655110199279i</v>
      </c>
      <c r="B19503" s="0" t="s">
        <v>19336</v>
      </c>
    </row>
    <row r="19504" customFormat="false" ht="15" hidden="false" customHeight="false" outlineLevel="0" collapsed="false">
      <c r="A19504" s="0" t="str">
        <f aca="false">IMSEC("-961.53+0.0i")</f>
        <v>1.02089041346106</v>
      </c>
      <c r="B19504" s="0" t="s">
        <v>19337</v>
      </c>
    </row>
    <row r="19505" customFormat="false" ht="15" hidden="false" customHeight="false" outlineLevel="0" collapsed="false">
      <c r="A19505" s="0" t="str">
        <f aca="false">IMSEC("10.99-23.4i")</f>
        <v>-7.66877929664884e-13+1.37572735138104e-10i</v>
      </c>
      <c r="B19505" s="0" t="s">
        <v>19338</v>
      </c>
    </row>
    <row r="19506" customFormat="false" ht="15" hidden="false" customHeight="false" outlineLevel="0" collapsed="false">
      <c r="A19506" s="0" t="str">
        <f aca="false">IMSEC("-1.0-1.0j")</f>
        <v>0.498337030555187+0.591083841721045j</v>
      </c>
      <c r="B19506" s="0" t="s">
        <v>19339</v>
      </c>
    </row>
    <row r="19507" customFormat="false" ht="15" hidden="false" customHeight="false" outlineLevel="0" collapsed="false">
      <c r="A19507" s="0" t="str">
        <f aca="false">IMSEC("-0.0048")</f>
        <v>1.00001152011059</v>
      </c>
      <c r="B19507" s="0" t="s">
        <v>19340</v>
      </c>
    </row>
    <row r="19508" customFormat="false" ht="15" hidden="false" customHeight="false" outlineLevel="0" collapsed="false">
      <c r="A19508" s="0" t="str">
        <f aca="false">IMSEC("-0.0")</f>
        <v>1</v>
      </c>
      <c r="B19508" s="0" t="s">
        <v>19341</v>
      </c>
    </row>
    <row r="19509" customFormat="false" ht="15" hidden="false" customHeight="false" outlineLevel="0" collapsed="false">
      <c r="A19509" s="0" t="str">
        <f aca="false">IMSEC("22.851-0.0079i")</f>
        <v>-1.53227272569399+0.0140560641151101i</v>
      </c>
      <c r="B19509" s="0" t="s">
        <v>19342</v>
      </c>
    </row>
    <row r="19510" customFormat="false" ht="15" hidden="false" customHeight="false" outlineLevel="0" collapsed="false">
      <c r="A19510" s="0" t="str">
        <f aca="false">IMSEC("-0.5-0.008i")</f>
        <v>1.13943570154809+0.00497970625290091i</v>
      </c>
      <c r="B19510" s="0" t="s">
        <v>19343</v>
      </c>
    </row>
    <row r="19511" customFormat="false" ht="15" hidden="false" customHeight="false" outlineLevel="0" collapsed="false">
      <c r="A19511" s="0" t="str">
        <f aca="false">IMSEC("-68.0+3.5712i")</f>
        <v>0.0247990701452071+0.0505121681403766i</v>
      </c>
      <c r="B19511" s="0" t="s">
        <v>19344</v>
      </c>
    </row>
    <row r="19512" customFormat="false" ht="15" hidden="false" customHeight="false" outlineLevel="0" collapsed="false">
      <c r="A19512" s="0" t="str">
        <f aca="false">IMSEC("-903.434+40.2796j")</f>
        <v>1.44025294718228e-18+6.26071671874466e-18j</v>
      </c>
      <c r="B19512" s="0" t="s">
        <v>19345</v>
      </c>
    </row>
    <row r="19513" customFormat="false" ht="15" hidden="false" customHeight="false" outlineLevel="0" collapsed="false">
      <c r="A19513" s="0" t="str">
        <f aca="false">IMSEC("-22.0412+0.01j")</f>
        <v>-1.00120356952055+0.000501518811617416j</v>
      </c>
      <c r="B19513" s="0" t="s">
        <v>19346</v>
      </c>
    </row>
    <row r="19514" customFormat="false" ht="15" hidden="false" customHeight="false" outlineLevel="0" collapsed="false">
      <c r="A19514" s="0" t="str">
        <f aca="false">IMSEC("-9.52+0.324i")</f>
        <v>-0.953183269643399+0.0285061824433756i</v>
      </c>
      <c r="B19514" s="0" t="s">
        <v>19347</v>
      </c>
    </row>
    <row r="19515" customFormat="false" ht="15" hidden="false" customHeight="false" outlineLevel="0" collapsed="false">
      <c r="A19515" s="0" t="str">
        <f aca="false">IMSEC("1.0-1.0j")</f>
        <v>0.498337030555187-0.591083841721045j</v>
      </c>
      <c r="B19515" s="0" t="s">
        <v>19348</v>
      </c>
    </row>
    <row r="19516" customFormat="false" ht="15" hidden="false" customHeight="false" outlineLevel="0" collapsed="false">
      <c r="A19516" s="0" t="str">
        <f aca="false">IMSEC("0.0-9.266i")</f>
        <v>0.000189172203446098</v>
      </c>
      <c r="B19516" s="0" t="s">
        <v>19349</v>
      </c>
    </row>
    <row r="19517" customFormat="false" ht="15" hidden="false" customHeight="false" outlineLevel="0" collapsed="false">
      <c r="A19517" s="0" t="str">
        <f aca="false">IMSEC("-824.0")</f>
        <v>1.61427461462935</v>
      </c>
      <c r="B19517" s="0" t="s">
        <v>19350</v>
      </c>
    </row>
    <row r="19518" customFormat="false" ht="15" hidden="false" customHeight="false" outlineLevel="0" collapsed="false">
      <c r="A19518" s="0" t="str">
        <f aca="false">IMSEC("1.0-0.899i")</f>
        <v>0.576250650174782-0.642409390335311i</v>
      </c>
      <c r="B19518" s="0" t="s">
        <v>19351</v>
      </c>
    </row>
    <row r="19519" customFormat="false" ht="15" hidden="false" customHeight="false" outlineLevel="0" collapsed="false">
      <c r="A19519" s="0" t="str">
        <f aca="false">IMSEC("92.0+3.7865i")</f>
        <v>-0.0284299247294235-0.0353381473493112i</v>
      </c>
      <c r="B19519" s="0" t="s">
        <v>19352</v>
      </c>
    </row>
    <row r="19520" customFormat="false" ht="15" hidden="false" customHeight="false" outlineLevel="0" collapsed="false">
      <c r="A19520" s="0" t="str">
        <f aca="false">IMSEC("1.1-0.193j")</f>
        <v>1.89790613699181-0.710878710437013j</v>
      </c>
      <c r="B19520" s="0" t="s">
        <v>19353</v>
      </c>
    </row>
    <row r="19521" customFormat="false" ht="15" hidden="false" customHeight="false" outlineLevel="0" collapsed="false">
      <c r="A19521" s="0" t="str">
        <f aca="false">IMSEC("61.93-0.002i")</f>
        <v>1.61248046855835+0.00407945790332472i</v>
      </c>
      <c r="B19521" s="0" t="s">
        <v>19354</v>
      </c>
    </row>
    <row r="19522" customFormat="false" ht="15" hidden="false" customHeight="false" outlineLevel="0" collapsed="false">
      <c r="A19522" s="0" t="str">
        <f aca="false">IMSEC("-574.9+8.8j")</f>
        <v>-0.000301446362720214-3.45340195124594e-06j</v>
      </c>
      <c r="B19522" s="0" t="s">
        <v>19355</v>
      </c>
    </row>
    <row r="19523" customFormat="false" ht="15" hidden="false" customHeight="false" outlineLevel="0" collapsed="false">
      <c r="A19523" s="0" t="str">
        <f aca="false">IMSEC("-825.0+3.0i")</f>
        <v>-0.0326556438032243-0.0942731272028607i</v>
      </c>
      <c r="B19523" s="0" t="s">
        <v>19356</v>
      </c>
    </row>
    <row r="19524" customFormat="false" ht="15" hidden="false" customHeight="false" outlineLevel="0" collapsed="false">
      <c r="A19524" s="0" t="str">
        <f aca="false">IMSEC("19.492+0.0077i")</f>
        <v>1.24893202252866+0.00719656961498413i</v>
      </c>
      <c r="B19524" s="0" t="s">
        <v>19357</v>
      </c>
    </row>
    <row r="19525" customFormat="false" ht="15" hidden="false" customHeight="false" outlineLevel="0" collapsed="false">
      <c r="A19525" s="0" t="str">
        <f aca="false">IMSEC("42.31+0.477i")</f>
        <v>-0.442413983707629-1.92791792047044i</v>
      </c>
      <c r="B19525" s="0" t="s">
        <v>19358</v>
      </c>
    </row>
    <row r="19526" customFormat="false" ht="15" hidden="false" customHeight="false" outlineLevel="0" collapsed="false">
      <c r="A19526" s="0" t="str">
        <f aca="false">IMSEC("-0.7056")</f>
        <v>1.31367619321831</v>
      </c>
      <c r="B19526" s="0" t="s">
        <v>19359</v>
      </c>
    </row>
    <row r="19527" customFormat="false" ht="15" hidden="false" customHeight="false" outlineLevel="0" collapsed="false">
      <c r="A19527" s="0" t="str">
        <f aca="false">IMSEC("-0.9-1.0i")</f>
        <v>0.542685172287712+0.520830770470128i</v>
      </c>
      <c r="B19527" s="0" t="s">
        <v>19360</v>
      </c>
    </row>
    <row r="19528" customFormat="false" ht="15" hidden="false" customHeight="false" outlineLevel="0" collapsed="false">
      <c r="A19528" s="0" t="e">
        <f aca="false">IMSEC("-0.0009+-0.0i")</f>
        <v>#VALUE!</v>
      </c>
      <c r="B19528" s="0" t="s">
        <v>19361</v>
      </c>
    </row>
    <row r="19529" customFormat="false" ht="15" hidden="false" customHeight="false" outlineLevel="0" collapsed="false">
      <c r="A19529" s="0" t="str">
        <f aca="false">IMSEC("-0.0+130.0i")</f>
        <v>6.96221367980862e-57</v>
      </c>
      <c r="B19529" s="0" t="s">
        <v>19362</v>
      </c>
    </row>
    <row r="19530" customFormat="false" ht="15" hidden="false" customHeight="false" outlineLevel="0" collapsed="false">
      <c r="A19530" s="0" t="str">
        <f aca="false">IMSEC("69.56-216.88i")</f>
        <v>1.16614128213065e-94-5.56081531383263e-95i</v>
      </c>
      <c r="B19530" s="0" t="s">
        <v>19363</v>
      </c>
    </row>
    <row r="19531" customFormat="false" ht="15" hidden="false" customHeight="false" outlineLevel="0" collapsed="false">
      <c r="A19531" s="0" t="str">
        <f aca="false">IMSEC("-6.52-0.83i")</f>
        <v>0.73401203134509+0.120545545161392i</v>
      </c>
      <c r="B19531" s="0" t="s">
        <v>19364</v>
      </c>
    </row>
    <row r="19532" customFormat="false" ht="15" hidden="false" customHeight="false" outlineLevel="0" collapsed="false">
      <c r="A19532" s="0" t="str">
        <f aca="false">IMSEC("0.0084-1.0i")</f>
        <v>0.648050613928162-0.00414593061952923i</v>
      </c>
      <c r="B19532" s="0" t="s">
        <v>19365</v>
      </c>
    </row>
    <row r="19533" customFormat="false" ht="15" hidden="false" customHeight="false" outlineLevel="0" collapsed="false">
      <c r="A19533" s="0" t="str">
        <f aca="false">IMSEC("-0.23")</f>
        <v>1.02704581890646</v>
      </c>
      <c r="B19533" s="0" t="s">
        <v>19366</v>
      </c>
    </row>
    <row r="19534" customFormat="false" ht="15" hidden="false" customHeight="false" outlineLevel="0" collapsed="false">
      <c r="A19534" s="0" t="str">
        <f aca="false">IMSEC("-0.0")</f>
        <v>1</v>
      </c>
      <c r="B19534" s="0" t="s">
        <v>19341</v>
      </c>
    </row>
    <row r="19535" customFormat="false" ht="15" hidden="false" customHeight="false" outlineLevel="0" collapsed="false">
      <c r="A19535" s="0" t="str">
        <f aca="false">IMSEC("-1.6437i")</f>
        <v>0.372609990160657</v>
      </c>
      <c r="B19535" s="0" t="s">
        <v>19367</v>
      </c>
    </row>
    <row r="19536" customFormat="false" ht="15" hidden="false" customHeight="false" outlineLevel="0" collapsed="false">
      <c r="A19536" s="0" t="e">
        <f aca="false">IMSEC("-0.0055+-0.0i")</f>
        <v>#VALUE!</v>
      </c>
      <c r="B19536" s="0" t="s">
        <v>19368</v>
      </c>
    </row>
    <row r="19537" customFormat="false" ht="15" hidden="false" customHeight="false" outlineLevel="0" collapsed="false">
      <c r="A19537" s="0" t="str">
        <f aca="false">IMCSC("0.7-137.121j")</f>
        <v>3.62383977087571e-60+4.302374168908e-60j</v>
      </c>
      <c r="B19537" s="0" t="s">
        <v>19369</v>
      </c>
    </row>
    <row r="19538" customFormat="false" ht="15" hidden="false" customHeight="false" outlineLevel="0" collapsed="false">
      <c r="A19538" s="0" t="str">
        <f aca="false">IMCSC("-325.0")</f>
        <v>1.01210859041035</v>
      </c>
      <c r="B19538" s="0" t="s">
        <v>19370</v>
      </c>
    </row>
    <row r="19539" customFormat="false" ht="15" hidden="false" customHeight="false" outlineLevel="0" collapsed="false">
      <c r="A19539" s="0" t="str">
        <f aca="false">IMCSC("93.9955")</f>
        <v>-4.00621677151901</v>
      </c>
      <c r="B19539" s="0" t="s">
        <v>19371</v>
      </c>
    </row>
    <row r="19540" customFormat="false" ht="15" hidden="false" customHeight="false" outlineLevel="0" collapsed="false">
      <c r="A19540" s="0" t="str">
        <f aca="false">IMCSC("235.8098j")</f>
        <v>-7.76488587355542e-103j</v>
      </c>
      <c r="B19540" s="0" t="s">
        <v>19372</v>
      </c>
    </row>
    <row r="19541" customFormat="false" ht="15" hidden="false" customHeight="false" outlineLevel="0" collapsed="false">
      <c r="A19541" s="0" t="str">
        <f aca="false">IMCSC("-56.2+11.621i")</f>
        <v>6.13296110150871e-06-1.68710660034752e-05i</v>
      </c>
      <c r="B19541" s="0" t="s">
        <v>19373</v>
      </c>
    </row>
    <row r="19542" customFormat="false" ht="15" hidden="false" customHeight="false" outlineLevel="0" collapsed="false">
      <c r="A19542" s="0" t="str">
        <f aca="false">IMCSC("-8.0903+6.3394i")</f>
        <v>-0.00343258287473767+0.000826622879766261i</v>
      </c>
      <c r="B19542" s="0" t="s">
        <v>19374</v>
      </c>
    </row>
    <row r="19543" customFormat="false" ht="15" hidden="false" customHeight="false" outlineLevel="0" collapsed="false">
      <c r="A19543" s="0" t="str">
        <f aca="false">IMCSC("35.04+262.7i")</f>
        <v>-7.55730922633014e-115+1.44287306471381e-114i</v>
      </c>
      <c r="B19543" s="0" t="s">
        <v>19375</v>
      </c>
    </row>
    <row r="19544" customFormat="false" ht="15" hidden="false" customHeight="false" outlineLevel="0" collapsed="false">
      <c r="A19544" s="0" t="str">
        <f aca="false">IMCSC("0.47-0.01i")</f>
        <v>2.20709409153707+0.0434482026663928i</v>
      </c>
      <c r="B19544" s="0" t="s">
        <v>19376</v>
      </c>
    </row>
    <row r="19545" customFormat="false" ht="15" hidden="false" customHeight="false" outlineLevel="0" collapsed="false">
      <c r="A19545" s="0" t="str">
        <f aca="false">IMCSC("42.0")</f>
        <v>-1.09108182156133</v>
      </c>
      <c r="B19545" s="0" t="s">
        <v>19377</v>
      </c>
    </row>
    <row r="19546" customFormat="false" ht="15" hidden="false" customHeight="false" outlineLevel="0" collapsed="false">
      <c r="A19546" s="0" t="e">
        <f aca="false">IMCSC("0.0+-0.0i")</f>
        <v>#VALUE!</v>
      </c>
      <c r="B19546" s="0" t="s">
        <v>19378</v>
      </c>
    </row>
    <row r="19547" customFormat="false" ht="15" hidden="false" customHeight="false" outlineLevel="0" collapsed="false">
      <c r="A19547" s="0" t="str">
        <f aca="false">IMCSC("30.86+936.2275i")</f>
        <v>-0</v>
      </c>
      <c r="B19547" s="0" t="s">
        <v>19379</v>
      </c>
    </row>
    <row r="19548" customFormat="false" ht="15" hidden="false" customHeight="false" outlineLevel="0" collapsed="false">
      <c r="A19548" s="0" t="str">
        <f aca="false">IMCSC("-67.0+4.326i")</f>
        <v>0.0226207864564455+0.0136855561258483i</v>
      </c>
      <c r="B19548" s="0" t="s">
        <v>19380</v>
      </c>
    </row>
    <row r="19549" customFormat="false" ht="15" hidden="false" customHeight="false" outlineLevel="0" collapsed="false">
      <c r="A19549" s="0" t="str">
        <f aca="false">IMCSC("76.2i")</f>
        <v>-1.61357989742135e-33i</v>
      </c>
      <c r="B19549" s="0" t="s">
        <v>19381</v>
      </c>
    </row>
    <row r="19550" customFormat="false" ht="15" hidden="false" customHeight="false" outlineLevel="0" collapsed="false">
      <c r="A19550" s="0" t="str">
        <f aca="false">IMCSC("0.076-552.2343j")</f>
        <v>2.23417001543753e-241+2.93403531072374e-240j</v>
      </c>
      <c r="B19550" s="0" t="s">
        <v>19382</v>
      </c>
    </row>
    <row r="19551" customFormat="false" ht="15" hidden="false" customHeight="false" outlineLevel="0" collapsed="false">
      <c r="A19551" s="0" t="str">
        <f aca="false">IMCSC("0.0-4.6597i")</f>
        <v>0.0189403038663166i</v>
      </c>
      <c r="B19551" s="0" t="s">
        <v>19383</v>
      </c>
    </row>
    <row r="19552" customFormat="false" ht="15" hidden="false" customHeight="false" outlineLevel="0" collapsed="false">
      <c r="A19552" s="0" t="str">
        <f aca="false">IMCSC("-407.491i")</f>
        <v>2.13765330416998e-177i</v>
      </c>
      <c r="B19552" s="0" t="s">
        <v>19384</v>
      </c>
    </row>
    <row r="19553" customFormat="false" ht="15" hidden="false" customHeight="false" outlineLevel="0" collapsed="false">
      <c r="A19553" s="0" t="str">
        <f aca="false">IMCSC("-543.0")</f>
        <v>-2.10306202358005</v>
      </c>
      <c r="B19553" s="0" t="s">
        <v>19385</v>
      </c>
    </row>
    <row r="19554" customFormat="false" ht="15" hidden="false" customHeight="false" outlineLevel="0" collapsed="false">
      <c r="A19554" s="0" t="str">
        <f aca="false">IMCSC("-337.0+73.676i")</f>
        <v>1.5121463288439e-32+1.32949633318788e-32i</v>
      </c>
      <c r="B19554" s="0" t="s">
        <v>19386</v>
      </c>
    </row>
    <row r="19555" customFormat="false" ht="15" hidden="false" customHeight="false" outlineLevel="0" collapsed="false">
      <c r="A19555" s="0" t="str">
        <f aca="false">IMCSC("-8.955-7.127i")</f>
        <v>-0.000727131760312649-0.00143224348824886i</v>
      </c>
      <c r="B19555" s="0" t="s">
        <v>19387</v>
      </c>
    </row>
    <row r="19556" customFormat="false" ht="15" hidden="false" customHeight="false" outlineLevel="0" collapsed="false">
      <c r="A19556" s="0" t="str">
        <f aca="false">IMCSC("-90.0i")</f>
        <v>1.6388025247981e-39i</v>
      </c>
      <c r="B19556" s="0" t="s">
        <v>19388</v>
      </c>
    </row>
    <row r="19557" customFormat="false" ht="15" hidden="false" customHeight="false" outlineLevel="0" collapsed="false">
      <c r="A19557" s="0" t="str">
        <f aca="false">IMCSC("-474.4462+4.804i")</f>
        <v>0.00107666516895746+0.016359488739575i</v>
      </c>
      <c r="B19557" s="0" t="s">
        <v>19389</v>
      </c>
    </row>
    <row r="19558" customFormat="false" ht="15" hidden="false" customHeight="false" outlineLevel="0" collapsed="false">
      <c r="A19558" s="0" t="str">
        <f aca="false">IMCSC("-8.0-0.0031j")</f>
        <v>-1.01075115165631-0.000460801690441106j</v>
      </c>
      <c r="B19558" s="0" t="s">
        <v>19390</v>
      </c>
    </row>
    <row r="19559" customFormat="false" ht="15" hidden="false" customHeight="false" outlineLevel="0" collapsed="false">
      <c r="A19559" s="0" t="str">
        <f aca="false">IMCSC("-345.21-2.0i")</f>
        <v>0.101161130596381+0.25506515794965i</v>
      </c>
      <c r="B19559" s="0" t="s">
        <v>19391</v>
      </c>
    </row>
    <row r="19560" customFormat="false" ht="15" hidden="false" customHeight="false" outlineLevel="0" collapsed="false">
      <c r="A19560" s="0" t="str">
        <f aca="false">IMCSC("5.0-3.64j")</f>
        <v>-0.0503244921259644+0.0148661295628498j</v>
      </c>
      <c r="B19560" s="0" t="s">
        <v>19392</v>
      </c>
    </row>
    <row r="19561" customFormat="false" ht="15" hidden="false" customHeight="false" outlineLevel="0" collapsed="false">
      <c r="A19561" s="0" t="e">
        <f aca="false">IMCSC("-6.0+-0.0j")</f>
        <v>#VALUE!</v>
      </c>
      <c r="B19561" s="0" t="s">
        <v>19393</v>
      </c>
    </row>
    <row r="19562" customFormat="false" ht="15" hidden="false" customHeight="false" outlineLevel="0" collapsed="false">
      <c r="A19562" s="0" t="e">
        <f aca="false">IMCSC("0.0i")</f>
        <v>#VALUE!</v>
      </c>
      <c r="B19562" s="0" t="s">
        <v>19394</v>
      </c>
    </row>
    <row r="19563" customFormat="false" ht="15" hidden="false" customHeight="false" outlineLevel="0" collapsed="false">
      <c r="A19563" s="0" t="str">
        <f aca="false">IMCSC("-72.695-2.14i")</f>
        <v>0.10306843086183-0.21385697040206i</v>
      </c>
      <c r="B19563" s="0" t="s">
        <v>19395</v>
      </c>
    </row>
    <row r="19564" customFormat="false" ht="15" hidden="false" customHeight="false" outlineLevel="0" collapsed="false">
      <c r="A19564" s="0" t="str">
        <f aca="false">IMCSC("-961.53+0.0i")</f>
        <v>-4.9686021848004</v>
      </c>
      <c r="B19564" s="0" t="s">
        <v>19396</v>
      </c>
    </row>
    <row r="19565" customFormat="false" ht="15" hidden="false" customHeight="false" outlineLevel="0" collapsed="false">
      <c r="A19565" s="0" t="str">
        <f aca="false">IMCSC("10.99-23.4i")</f>
        <v>-1.37572735138104e-10-7.66877929664884e-13i</v>
      </c>
      <c r="B19565" s="0" t="s">
        <v>19397</v>
      </c>
    </row>
    <row r="19566" customFormat="false" ht="15" hidden="false" customHeight="false" outlineLevel="0" collapsed="false">
      <c r="A19566" s="0" t="str">
        <f aca="false">IMCSC("-1.0-1.0j")</f>
        <v>-0.621518017170428+0.303931001628426j</v>
      </c>
      <c r="B19566" s="0" t="s">
        <v>19398</v>
      </c>
    </row>
    <row r="19567" customFormat="false" ht="15" hidden="false" customHeight="false" outlineLevel="0" collapsed="false">
      <c r="A19567" s="0" t="str">
        <f aca="false">IMCSC("-0.0048")</f>
        <v>-208.334133335484</v>
      </c>
      <c r="B19567" s="0" t="s">
        <v>19399</v>
      </c>
    </row>
    <row r="19568" customFormat="false" ht="15" hidden="false" customHeight="false" outlineLevel="0" collapsed="false">
      <c r="A19568" s="0" t="e">
        <f aca="false">IMCSC("-0.0")</f>
        <v>#VALUE!</v>
      </c>
      <c r="B19568" s="0" t="s">
        <v>19400</v>
      </c>
    </row>
    <row r="19569" customFormat="false" ht="15" hidden="false" customHeight="false" outlineLevel="0" collapsed="false">
      <c r="A19569" s="0" t="str">
        <f aca="false">IMCSC("22.851-0.0079i")</f>
        <v>-1.31960184580117-0.00897741639718976i</v>
      </c>
      <c r="B19569" s="0" t="s">
        <v>19401</v>
      </c>
    </row>
    <row r="19570" customFormat="false" ht="15" hidden="false" customHeight="false" outlineLevel="0" collapsed="false">
      <c r="A19570" s="0" t="str">
        <f aca="false">IMCSC("-0.5-0.008i")</f>
        <v>-2.08531573409032+0.0305365073344586i</v>
      </c>
      <c r="B19570" s="0" t="s">
        <v>19402</v>
      </c>
    </row>
    <row r="19571" customFormat="false" ht="15" hidden="false" customHeight="false" outlineLevel="0" collapsed="false">
      <c r="A19571" s="0" t="str">
        <f aca="false">IMCSC("-68.0+3.5712i")</f>
        <v>0.0504941872435399-0.0247119446450063i</v>
      </c>
      <c r="B19571" s="0" t="s">
        <v>19403</v>
      </c>
    </row>
    <row r="19572" customFormat="false" ht="15" hidden="false" customHeight="false" outlineLevel="0" collapsed="false">
      <c r="A19572" s="0" t="str">
        <f aca="false">IMCSC("-903.434+40.2796j")</f>
        <v>6.26071671874466e-18-1.44025294718228e-18j</v>
      </c>
      <c r="B19572" s="0" t="s">
        <v>19404</v>
      </c>
    </row>
    <row r="19573" customFormat="false" ht="15" hidden="false" customHeight="false" outlineLevel="0" collapsed="false">
      <c r="A19573" s="0" t="str">
        <f aca="false">IMCSC("-22.0412+0.01j")</f>
        <v>19.2208724672417+3.83688962740948j</v>
      </c>
      <c r="B19573" s="0" t="s">
        <v>19405</v>
      </c>
    </row>
    <row r="19574" customFormat="false" ht="15" hidden="false" customHeight="false" outlineLevel="0" collapsed="false">
      <c r="A19574" s="0" t="str">
        <f aca="false">IMCSC("-9.52+0.324i")</f>
        <v>0.850277215645912+2.78751641183946i</v>
      </c>
      <c r="B19574" s="0" t="s">
        <v>19406</v>
      </c>
    </row>
    <row r="19575" customFormat="false" ht="15" hidden="false" customHeight="false" outlineLevel="0" collapsed="false">
      <c r="A19575" s="0" t="str">
        <f aca="false">IMCSC("1.0-1.0j")</f>
        <v>0.621518017170428+0.303931001628426j</v>
      </c>
      <c r="B19575" s="0" t="s">
        <v>19407</v>
      </c>
    </row>
    <row r="19576" customFormat="false" ht="15" hidden="false" customHeight="false" outlineLevel="0" collapsed="false">
      <c r="A19576" s="0" t="str">
        <f aca="false">IMCSC("0.0-9.266i")</f>
        <v>0.000189172206830968i</v>
      </c>
      <c r="B19576" s="0" t="s">
        <v>19408</v>
      </c>
    </row>
    <row r="19577" customFormat="false" ht="15" hidden="false" customHeight="false" outlineLevel="0" collapsed="false">
      <c r="A19577" s="0" t="str">
        <f aca="false">IMCSC("-824.0")</f>
        <v>-1.27385656708111</v>
      </c>
      <c r="B19577" s="0" t="s">
        <v>19409</v>
      </c>
    </row>
    <row r="19578" customFormat="false" ht="15" hidden="false" customHeight="false" outlineLevel="0" collapsed="false">
      <c r="A19578" s="0" t="str">
        <f aca="false">IMCSC("1.0-0.899i")</f>
        <v>0.68511987152962+0.314892536661762i</v>
      </c>
      <c r="B19578" s="0" t="s">
        <v>19410</v>
      </c>
    </row>
    <row r="19579" customFormat="false" ht="15" hidden="false" customHeight="false" outlineLevel="0" collapsed="false">
      <c r="A19579" s="0" t="str">
        <f aca="false">IMCSC("92.0+3.7865i")</f>
        <v>-0.0353588563225508+0.0283881424516267i</v>
      </c>
      <c r="B19579" s="0" t="s">
        <v>19411</v>
      </c>
    </row>
    <row r="19580" customFormat="false" ht="15" hidden="false" customHeight="false" outlineLevel="0" collapsed="false">
      <c r="A19580" s="0" t="str">
        <f aca="false">IMCSC("1.1-0.193j")</f>
        <v>1.09122131203687+0.105880200027706j</v>
      </c>
      <c r="B19580" s="0" t="s">
        <v>19412</v>
      </c>
    </row>
    <row r="19581" customFormat="false" ht="15" hidden="false" customHeight="false" outlineLevel="0" collapsed="false">
      <c r="A19581" s="0" t="str">
        <f aca="false">IMCSC("61.93-0.002i")</f>
        <v>-1.27472816172759+0.00201543325703111i</v>
      </c>
      <c r="B19581" s="0" t="s">
        <v>19413</v>
      </c>
    </row>
    <row r="19582" customFormat="false" ht="15" hidden="false" customHeight="false" outlineLevel="0" collapsed="false">
      <c r="A19582" s="0" t="str">
        <f aca="false">IMCSC("-574.9+8.8j")</f>
        <v>-3.45340242194089e-06+0.000301446376411024j</v>
      </c>
      <c r="B19582" s="0" t="s">
        <v>19414</v>
      </c>
    </row>
    <row r="19583" customFormat="false" ht="15" hidden="false" customHeight="false" outlineLevel="0" collapsed="false">
      <c r="A19583" s="0" t="str">
        <f aca="false">IMCSC("-825.0+3.0i")</f>
        <v>-0.0940046665276619+0.0322413863198532i</v>
      </c>
      <c r="B19583" s="0" t="s">
        <v>19415</v>
      </c>
    </row>
    <row r="19584" customFormat="false" ht="15" hidden="false" customHeight="false" outlineLevel="0" collapsed="false">
      <c r="A19584" s="0" t="str">
        <f aca="false">IMCSC("19.492+0.0077i")</f>
        <v>1.66879372665505-0.0171703921118699i</v>
      </c>
      <c r="B19584" s="0" t="s">
        <v>19416</v>
      </c>
    </row>
    <row r="19585" customFormat="false" ht="15" hidden="false" customHeight="false" outlineLevel="0" collapsed="false">
      <c r="A19585" s="0" t="str">
        <f aca="false">IMCSC("42.31+0.477i")</f>
        <v>-0.898906147562647+0.0406352768590876i</v>
      </c>
      <c r="B19585" s="0" t="s">
        <v>19417</v>
      </c>
    </row>
    <row r="19586" customFormat="false" ht="15" hidden="false" customHeight="false" outlineLevel="0" collapsed="false">
      <c r="A19586" s="0" t="str">
        <f aca="false">IMCSC("-0.7056")</f>
        <v>-1.54204220840761</v>
      </c>
      <c r="B19586" s="0" t="s">
        <v>19418</v>
      </c>
    </row>
    <row r="19587" customFormat="false" ht="15" hidden="false" customHeight="false" outlineLevel="0" collapsed="false">
      <c r="A19587" s="0" t="str">
        <f aca="false">IMCSC("-0.9-1.0i")</f>
        <v>-0.605974460248268+0.366229098184724i</v>
      </c>
      <c r="B19587" s="0" t="s">
        <v>19419</v>
      </c>
    </row>
    <row r="19588" customFormat="false" ht="15" hidden="false" customHeight="false" outlineLevel="0" collapsed="false">
      <c r="A19588" s="0" t="e">
        <f aca="false">IMCSC("-0.0009+-0.0i")</f>
        <v>#VALUE!</v>
      </c>
      <c r="B19588" s="0" t="s">
        <v>19420</v>
      </c>
    </row>
    <row r="19589" customFormat="false" ht="15" hidden="false" customHeight="false" outlineLevel="0" collapsed="false">
      <c r="A19589" s="0" t="str">
        <f aca="false">IMCSC("-0.0+130.0i")</f>
        <v>-6.96221367980862e-57i</v>
      </c>
      <c r="B19589" s="0" t="s">
        <v>19421</v>
      </c>
    </row>
    <row r="19590" customFormat="false" ht="15" hidden="false" customHeight="false" outlineLevel="0" collapsed="false">
      <c r="A19590" s="0" t="str">
        <f aca="false">IMCSC("69.56-216.88i")</f>
        <v>5.56081531383263e-95+1.16614128213065e-94i</v>
      </c>
      <c r="B19590" s="0" t="s">
        <v>19422</v>
      </c>
    </row>
    <row r="19591" customFormat="false" ht="15" hidden="false" customHeight="false" outlineLevel="0" collapsed="false">
      <c r="A19591" s="0" t="str">
        <f aca="false">IMCSC("-6.52-0.83i")</f>
        <v>-0.348990527093029+0.983991359187295i</v>
      </c>
      <c r="B19591" s="0" t="s">
        <v>19423</v>
      </c>
    </row>
    <row r="19592" customFormat="false" ht="15" hidden="false" customHeight="false" outlineLevel="0" collapsed="false">
      <c r="A19592" s="0" t="str">
        <f aca="false">IMCSC("0.0084-1.0i")</f>
        <v>0.00938460861461564+0.850844639572032i</v>
      </c>
      <c r="B19592" s="0" t="s">
        <v>19424</v>
      </c>
    </row>
    <row r="19593" customFormat="false" ht="15" hidden="false" customHeight="false" outlineLevel="0" collapsed="false">
      <c r="A19593" s="0" t="str">
        <f aca="false">IMCSC("-0.23")</f>
        <v>-4.38639732765432</v>
      </c>
      <c r="B19593" s="0" t="s">
        <v>19425</v>
      </c>
    </row>
    <row r="19594" customFormat="false" ht="15" hidden="false" customHeight="false" outlineLevel="0" collapsed="false">
      <c r="A19594" s="0" t="e">
        <f aca="false">IMCSC("-0.0")</f>
        <v>#VALUE!</v>
      </c>
      <c r="B19594" s="0" t="s">
        <v>19400</v>
      </c>
    </row>
    <row r="19595" customFormat="false" ht="15" hidden="false" customHeight="false" outlineLevel="0" collapsed="false">
      <c r="A19595" s="0" t="str">
        <f aca="false">IMCSC("-1.6437i")</f>
        <v>0.40152456243684i</v>
      </c>
      <c r="B19595" s="0" t="s">
        <v>19426</v>
      </c>
    </row>
    <row r="19596" customFormat="false" ht="15" hidden="false" customHeight="false" outlineLevel="0" collapsed="false">
      <c r="A19596" s="0" t="e">
        <f aca="false">IMCSC("-0.0055+-0.0i")</f>
        <v>#VALUE!</v>
      </c>
      <c r="B19596" s="0" t="s">
        <v>19427</v>
      </c>
    </row>
    <row r="19597" customFormat="false" ht="15" hidden="false" customHeight="false" outlineLevel="0" collapsed="false">
      <c r="A19597" s="0" t="str">
        <f aca="false">IMCOT("0.7-137.121j")</f>
        <v>1.55911146224772e-119+j</v>
      </c>
      <c r="B19597" s="0" t="s">
        <v>19428</v>
      </c>
    </row>
    <row r="19598" customFormat="false" ht="15" hidden="false" customHeight="false" outlineLevel="0" collapsed="false">
      <c r="A19598" s="0" t="str">
        <f aca="false">IMCOT("-325.0")</f>
        <v>-0.156089073232034</v>
      </c>
      <c r="B19598" s="0" t="s">
        <v>19429</v>
      </c>
    </row>
    <row r="19599" customFormat="false" ht="15" hidden="false" customHeight="false" outlineLevel="0" collapsed="false">
      <c r="A19599" s="0" t="str">
        <f aca="false">IMCOT("93.9955")</f>
        <v>-3.87940366814285</v>
      </c>
      <c r="B19599" s="0" t="s">
        <v>19430</v>
      </c>
    </row>
    <row r="19600" customFormat="false" ht="15" hidden="false" customHeight="false" outlineLevel="0" collapsed="false">
      <c r="A19600" s="0" t="str">
        <f aca="false">IMCOT("235.8098j")</f>
        <v>-j</v>
      </c>
      <c r="B19600" s="0" t="s">
        <v>19431</v>
      </c>
    </row>
    <row r="19601" customFormat="false" ht="15" hidden="false" customHeight="false" outlineLevel="0" collapsed="false">
      <c r="A19601" s="0" t="str">
        <f aca="false">IMCOT("-56.2+11.621i")</f>
        <v>1.0346959152752e-10-1.00000000012351i</v>
      </c>
      <c r="B19601" s="0" t="s">
        <v>19432</v>
      </c>
    </row>
    <row r="19602" customFormat="false" ht="15" hidden="false" customHeight="false" outlineLevel="0" collapsed="false">
      <c r="A19602" s="0" t="str">
        <f aca="false">IMCOT("-8.0903+6.3394i")</f>
        <v>2.83746728796271e-06-0.999994450328723i</v>
      </c>
      <c r="B19602" s="0" t="s">
        <v>19433</v>
      </c>
    </row>
    <row r="19603" customFormat="false" ht="15" hidden="false" customHeight="false" outlineLevel="0" collapsed="false">
      <c r="A19603" s="0" t="str">
        <f aca="false">IMCOT("35.04+262.7i")</f>
        <v>1.09042379243849e-228-i</v>
      </c>
      <c r="B19603" s="0" t="s">
        <v>19434</v>
      </c>
    </row>
    <row r="19604" customFormat="false" ht="15" hidden="false" customHeight="false" outlineLevel="0" collapsed="false">
      <c r="A19604" s="0" t="str">
        <f aca="false">IMCOT("0.47-0.01i")</f>
        <v>1.96767671642204+0.0487347695851541i</v>
      </c>
      <c r="B19604" s="0" t="s">
        <v>19435</v>
      </c>
    </row>
    <row r="19605" customFormat="false" ht="15" hidden="false" customHeight="false" outlineLevel="0" collapsed="false">
      <c r="A19605" s="0" t="str">
        <f aca="false">IMCOT("42.0")</f>
        <v>0.436416706075273</v>
      </c>
      <c r="B19605" s="0" t="s">
        <v>19436</v>
      </c>
    </row>
    <row r="19606" customFormat="false" ht="15" hidden="false" customHeight="false" outlineLevel="0" collapsed="false">
      <c r="A19606" s="0" t="e">
        <f aca="false">IMCOT("0.0+-0.0i")</f>
        <v>#VALUE!</v>
      </c>
      <c r="B19606" s="0" t="s">
        <v>19437</v>
      </c>
    </row>
    <row r="19607" customFormat="false" ht="15" hidden="false" customHeight="false" outlineLevel="0" collapsed="false">
      <c r="A19607" s="0" t="str">
        <f aca="false">IMCOT("30.86+936.2275i")</f>
        <v>-i</v>
      </c>
      <c r="B19607" s="0" t="s">
        <v>19438</v>
      </c>
    </row>
    <row r="19608" customFormat="false" ht="15" hidden="false" customHeight="false" outlineLevel="0" collapsed="false">
      <c r="A19608" s="0" t="str">
        <f aca="false">IMCOT("-67.0+4.326i")</f>
        <v>-0.000309628254449436-0.999837832018884i</v>
      </c>
      <c r="B19608" s="0" t="s">
        <v>19439</v>
      </c>
    </row>
    <row r="19609" customFormat="false" ht="15" hidden="false" customHeight="false" outlineLevel="0" collapsed="false">
      <c r="A19609" s="0" t="str">
        <f aca="false">IMCOT("76.2i")</f>
        <v>-i</v>
      </c>
      <c r="B19609" s="0" t="s">
        <v>19440</v>
      </c>
    </row>
    <row r="19610" customFormat="false" ht="15" hidden="false" customHeight="false" outlineLevel="0" collapsed="false">
      <c r="A19610" s="0" t="str">
        <f aca="false">IMCOT("0.076-552.2343j")</f>
        <v>j</v>
      </c>
      <c r="B19610" s="0" t="s">
        <v>19441</v>
      </c>
    </row>
    <row r="19611" customFormat="false" ht="15" hidden="false" customHeight="false" outlineLevel="0" collapsed="false">
      <c r="A19611" s="0" t="str">
        <f aca="false">IMCOT("0.0-4.6597i")</f>
        <v>1.0001793514718i</v>
      </c>
      <c r="B19611" s="0" t="s">
        <v>19442</v>
      </c>
    </row>
    <row r="19612" customFormat="false" ht="15" hidden="false" customHeight="false" outlineLevel="0" collapsed="false">
      <c r="A19612" s="0" t="str">
        <f aca="false">IMCOT("-407.491i")</f>
        <v>i</v>
      </c>
      <c r="B19612" s="0" t="s">
        <v>19443</v>
      </c>
    </row>
    <row r="19613" customFormat="false" ht="15" hidden="false" customHeight="false" outlineLevel="0" collapsed="false">
      <c r="A19613" s="0" t="str">
        <f aca="false">IMCOT("-543.0")</f>
        <v>1.85009996352214</v>
      </c>
      <c r="B19613" s="0" t="s">
        <v>19444</v>
      </c>
    </row>
    <row r="19614" customFormat="false" ht="15" hidden="false" customHeight="false" outlineLevel="0" collapsed="false">
      <c r="A19614" s="0" t="str">
        <f aca="false">IMCOT("-337.0+73.676i")</f>
        <v>-2.01039299944147e-64-i</v>
      </c>
      <c r="B19614" s="0" t="s">
        <v>19445</v>
      </c>
    </row>
    <row r="19615" customFormat="false" ht="15" hidden="false" customHeight="false" outlineLevel="0" collapsed="false">
      <c r="A19615" s="0" t="str">
        <f aca="false">IMCOT("-8.955-7.127i")</f>
        <v>1.04142893596619e-06+1.00000076130066i</v>
      </c>
      <c r="B19615" s="0" t="s">
        <v>19446</v>
      </c>
    </row>
    <row r="19616" customFormat="false" ht="15" hidden="false" customHeight="false" outlineLevel="0" collapsed="false">
      <c r="A19616" s="0" t="str">
        <f aca="false">IMCOT("-90.0i")</f>
        <v>i</v>
      </c>
      <c r="B19616" s="0" t="s">
        <v>19447</v>
      </c>
    </row>
    <row r="19617" customFormat="false" ht="15" hidden="false" customHeight="false" outlineLevel="0" collapsed="false">
      <c r="A19617" s="0" t="str">
        <f aca="false">IMCOT("-474.4462+4.804i")</f>
        <v>-1.76113453815541e-05-1.00013322811218i</v>
      </c>
      <c r="B19617" s="0" t="s">
        <v>19448</v>
      </c>
    </row>
    <row r="19618" customFormat="false" ht="15" hidden="false" customHeight="false" outlineLevel="0" collapsed="false">
      <c r="A19618" s="0" t="str">
        <f aca="false">IMCOT("-8.0-0.0031j")</f>
        <v>0.147063620096828+0.00316703640908517j</v>
      </c>
      <c r="B19618" s="0" t="s">
        <v>19449</v>
      </c>
    </row>
    <row r="19619" customFormat="false" ht="15" hidden="false" customHeight="false" outlineLevel="0" collapsed="false">
      <c r="A19619" s="0" t="str">
        <f aca="false">IMCOT("-345.21-2.0i")</f>
        <v>0.0251156751555258+1.02735361857291i</v>
      </c>
      <c r="B19619" s="0" t="s">
        <v>19450</v>
      </c>
    </row>
    <row r="19620" customFormat="false" ht="15" hidden="false" customHeight="false" outlineLevel="0" collapsed="false">
      <c r="A19620" s="0" t="str">
        <f aca="false">IMCOT("5.0-3.64j")</f>
        <v>-0.000748996382940448+0.998843835790172j</v>
      </c>
      <c r="B19620" s="0" t="s">
        <v>19451</v>
      </c>
    </row>
    <row r="19621" customFormat="false" ht="15" hidden="false" customHeight="false" outlineLevel="0" collapsed="false">
      <c r="A19621" s="0" t="e">
        <f aca="false">IMCOT("-6.0+-0.0j")</f>
        <v>#VALUE!</v>
      </c>
      <c r="B19621" s="0" t="s">
        <v>19452</v>
      </c>
    </row>
    <row r="19622" customFormat="false" ht="15" hidden="false" customHeight="false" outlineLevel="0" collapsed="false">
      <c r="A19622" s="0" t="e">
        <f aca="false">IMCOT("0.0i")</f>
        <v>#VALUE!</v>
      </c>
      <c r="B19622" s="0" t="s">
        <v>19453</v>
      </c>
    </row>
    <row r="19623" customFormat="false" ht="15" hidden="false" customHeight="false" outlineLevel="0" collapsed="false">
      <c r="A19623" s="0" t="str">
        <f aca="false">IMCOT("-72.695-2.14i")</f>
        <v>-0.0216599309572481+1.01763493206469i</v>
      </c>
      <c r="B19623" s="0" t="s">
        <v>19454</v>
      </c>
    </row>
    <row r="19624" customFormat="false" ht="15" hidden="false" customHeight="false" outlineLevel="0" collapsed="false">
      <c r="A19624" s="0" t="str">
        <f aca="false">IMCOT("-961.53+0.0i")</f>
        <v>-4.86693000471584</v>
      </c>
      <c r="B19624" s="0" t="s">
        <v>19455</v>
      </c>
    </row>
    <row r="19625" customFormat="false" ht="15" hidden="false" customHeight="false" outlineLevel="0" collapsed="false">
      <c r="A19625" s="0" t="str">
        <f aca="false">IMCOT("10.99-23.4i")</f>
        <v>1.05501494301045e-22+i</v>
      </c>
      <c r="B19625" s="0" t="s">
        <v>19456</v>
      </c>
    </row>
    <row r="19626" customFormat="false" ht="15" hidden="false" customHeight="false" outlineLevel="0" collapsed="false">
      <c r="A19626" s="0" t="str">
        <f aca="false">IMCOT("-1.0-1.0j")</f>
        <v>-0.217621561854403+0.868014142895925j</v>
      </c>
      <c r="B19626" s="0" t="s">
        <v>19457</v>
      </c>
    </row>
    <row r="19627" customFormat="false" ht="15" hidden="false" customHeight="false" outlineLevel="0" collapsed="false">
      <c r="A19627" s="0" t="str">
        <f aca="false">IMCOT("-0.0048")</f>
        <v>-208.331733330876</v>
      </c>
      <c r="B19627" s="0" t="s">
        <v>19458</v>
      </c>
    </row>
    <row r="19628" customFormat="false" ht="15" hidden="false" customHeight="false" outlineLevel="0" collapsed="false">
      <c r="A19628" s="0" t="e">
        <f aca="false">IMCOT("-0.0")</f>
        <v>#VALUE!</v>
      </c>
      <c r="B19628" s="0" t="s">
        <v>19459</v>
      </c>
    </row>
    <row r="19629" customFormat="false" ht="15" hidden="false" customHeight="false" outlineLevel="0" collapsed="false">
      <c r="A19629" s="0" t="str">
        <f aca="false">IMCOT("22.851-0.0079i")</f>
        <v>0.861079390257221+0.0137578664433235i</v>
      </c>
      <c r="B19629" s="0" t="s">
        <v>19460</v>
      </c>
    </row>
    <row r="19630" customFormat="false" ht="15" hidden="false" customHeight="false" outlineLevel="0" collapsed="false">
      <c r="A19630" s="0" t="str">
        <f aca="false">IMCOT("-0.5-0.008i")</f>
        <v>-1.8299781646597+0.0347972781525251i</v>
      </c>
      <c r="B19630" s="0" t="s">
        <v>19461</v>
      </c>
    </row>
    <row r="19631" customFormat="false" ht="15" hidden="false" customHeight="false" outlineLevel="0" collapsed="false">
      <c r="A19631" s="0" t="str">
        <f aca="false">IMCOT("-68.0+3.5712i")</f>
        <v>0.00124902008659216-0.99903081900106i</v>
      </c>
      <c r="B19631" s="0" t="s">
        <v>19462</v>
      </c>
    </row>
    <row r="19632" customFormat="false" ht="15" hidden="false" customHeight="false" outlineLevel="0" collapsed="false">
      <c r="A19632" s="0" t="str">
        <f aca="false">IMCOT("-903.434+40.2796j")</f>
        <v>9.01701570564536e-36-j</v>
      </c>
      <c r="B19632" s="0" t="s">
        <v>19463</v>
      </c>
    </row>
    <row r="19633" customFormat="false" ht="15" hidden="false" customHeight="false" outlineLevel="0" collapsed="false">
      <c r="A19633" s="0" t="str">
        <f aca="false">IMCOT("-22.0412+0.01j")</f>
        <v>-19.1958421552318-3.84189271837809j</v>
      </c>
      <c r="B19633" s="0" t="s">
        <v>19464</v>
      </c>
    </row>
    <row r="19634" customFormat="false" ht="15" hidden="false" customHeight="false" outlineLevel="0" collapsed="false">
      <c r="A19634" s="0" t="str">
        <f aca="false">IMCOT("-9.52+0.324i")</f>
        <v>-0.803861797815569-2.94846912699032i</v>
      </c>
      <c r="B19634" s="0" t="s">
        <v>19465</v>
      </c>
    </row>
    <row r="19635" customFormat="false" ht="15" hidden="false" customHeight="false" outlineLevel="0" collapsed="false">
      <c r="A19635" s="0" t="str">
        <f aca="false">IMCOT("1.0-1.0j")</f>
        <v>0.217621561854403+0.868014142895925j</v>
      </c>
      <c r="B19635" s="0" t="s">
        <v>19466</v>
      </c>
    </row>
    <row r="19636" customFormat="false" ht="15" hidden="false" customHeight="false" outlineLevel="0" collapsed="false">
      <c r="A19636" s="0" t="str">
        <f aca="false">IMCOT("0.0-9.266i")</f>
        <v>1.00000001789306i</v>
      </c>
      <c r="B19636" s="0" t="s">
        <v>19467</v>
      </c>
    </row>
    <row r="19637" customFormat="false" ht="15" hidden="false" customHeight="false" outlineLevel="0" collapsed="false">
      <c r="A19637" s="0" t="str">
        <f aca="false">IMCOT("-824.0")</f>
        <v>-0.789120113478089</v>
      </c>
      <c r="B19637" s="0" t="s">
        <v>19468</v>
      </c>
    </row>
    <row r="19638" customFormat="false" ht="15" hidden="false" customHeight="false" outlineLevel="0" collapsed="false">
      <c r="A19638" s="0" t="str">
        <f aca="false">IMCOT("1.0-0.899i")</f>
        <v>0.258488956568078+0.834616446008686i</v>
      </c>
      <c r="B19638" s="0" t="s">
        <v>19469</v>
      </c>
    </row>
    <row r="19639" customFormat="false" ht="15" hidden="false" customHeight="false" outlineLevel="0" collapsed="false">
      <c r="A19639" s="0" t="str">
        <f aca="false">IMCOT("92.0+3.7865i")</f>
        <v>0.00100399483749039-0.999778298382721i</v>
      </c>
      <c r="B19639" s="0" t="s">
        <v>19470</v>
      </c>
    </row>
    <row r="19640" customFormat="false" ht="15" hidden="false" customHeight="false" outlineLevel="0" collapsed="false">
      <c r="A19640" s="0" t="str">
        <f aca="false">IMCOT("1.1-0.193j")</f>
        <v>0.485896058098405+0.237784869556527j</v>
      </c>
      <c r="B19640" s="0" t="s">
        <v>19471</v>
      </c>
    </row>
    <row r="19641" customFormat="false" ht="15" hidden="false" customHeight="false" outlineLevel="0" collapsed="false">
      <c r="A19641" s="0" t="str">
        <f aca="false">IMCOT("61.93-0.002i")</f>
        <v>-0.79053044600057+0.00324988056287722i</v>
      </c>
      <c r="B19641" s="0" t="s">
        <v>19472</v>
      </c>
    </row>
    <row r="19642" customFormat="false" ht="15" hidden="false" customHeight="false" outlineLevel="0" collapsed="false">
      <c r="A19642" s="0" t="str">
        <f aca="false">IMCOT("-574.9+8.8j")</f>
        <v>1.04101559909084e-09-1.00000004542899j</v>
      </c>
      <c r="B19642" s="0" t="s">
        <v>19473</v>
      </c>
    </row>
    <row r="19643" customFormat="false" ht="15" hidden="false" customHeight="false" outlineLevel="0" collapsed="false">
      <c r="A19643" s="0" t="str">
        <f aca="false">IMCOT("-825.0+3.0i")</f>
        <v>0.00304271242193392-0.996098332375741i</v>
      </c>
      <c r="B19643" s="0" t="s">
        <v>19474</v>
      </c>
    </row>
    <row r="19644" customFormat="false" ht="15" hidden="false" customHeight="false" outlineLevel="0" collapsed="false">
      <c r="A19644" s="0" t="str">
        <f aca="false">IMCOT("19.492+0.0077i")</f>
        <v>1.33605300716607-0.0214466360891429i</v>
      </c>
      <c r="B19644" s="0" t="s">
        <v>19475</v>
      </c>
    </row>
    <row r="19645" customFormat="false" ht="15" hidden="false" customHeight="false" outlineLevel="0" collapsed="false">
      <c r="A19645" s="0" t="str">
        <f aca="false">IMCOT("42.31+0.477i")</f>
        <v>0.0816202432654852-0.447527460286195i</v>
      </c>
      <c r="B19645" s="0" t="s">
        <v>19476</v>
      </c>
    </row>
    <row r="19646" customFormat="false" ht="15" hidden="false" customHeight="false" outlineLevel="0" collapsed="false">
      <c r="A19646" s="0" t="str">
        <f aca="false">IMCOT("-0.7056")</f>
        <v>-1.17383737055464</v>
      </c>
      <c r="B19646" s="0" t="s">
        <v>19477</v>
      </c>
    </row>
    <row r="19647" customFormat="false" ht="15" hidden="false" customHeight="false" outlineLevel="0" collapsed="false">
      <c r="A19647" s="0" t="str">
        <f aca="false">IMCOT("-0.9-1.0i")</f>
        <v>-0.244108931515986+0.909124785895695i</v>
      </c>
      <c r="B19647" s="0" t="s">
        <v>19478</v>
      </c>
    </row>
    <row r="19648" customFormat="false" ht="15" hidden="false" customHeight="false" outlineLevel="0" collapsed="false">
      <c r="A19648" s="0" t="e">
        <f aca="false">IMCOT("-0.0009+-0.0i")</f>
        <v>#VALUE!</v>
      </c>
      <c r="B19648" s="0" t="s">
        <v>19479</v>
      </c>
    </row>
    <row r="19649" customFormat="false" ht="15" hidden="false" customHeight="false" outlineLevel="0" collapsed="false">
      <c r="A19649" s="0" t="str">
        <f aca="false">IMCOT("-0.0+130.0i")</f>
        <v>-i</v>
      </c>
      <c r="B19649" s="0" t="s">
        <v>19480</v>
      </c>
    </row>
    <row r="19650" customFormat="false" ht="15" hidden="false" customHeight="false" outlineLevel="0" collapsed="false">
      <c r="A19650" s="0" t="str">
        <f aca="false">IMCOT("69.56-216.88i")</f>
        <v>6.48469629976454e-189+i</v>
      </c>
      <c r="B19650" s="0" t="s">
        <v>19481</v>
      </c>
    </row>
    <row r="19651" customFormat="false" ht="15" hidden="false" customHeight="false" outlineLevel="0" collapsed="false">
      <c r="A19651" s="0" t="str">
        <f aca="false">IMCOT("-6.52-0.83i")</f>
        <v>-0.248592544936454+1.38139163901935i</v>
      </c>
      <c r="B19651" s="0" t="s">
        <v>19482</v>
      </c>
    </row>
    <row r="19652" customFormat="false" ht="15" hidden="false" customHeight="false" outlineLevel="0" collapsed="false">
      <c r="A19652" s="0" t="str">
        <f aca="false">IMCOT("0.0084-1.0i")</f>
        <v>0.00608152115699004+1.31296820780596i</v>
      </c>
      <c r="B19652" s="0" t="s">
        <v>19483</v>
      </c>
    </row>
    <row r="19653" customFormat="false" ht="15" hidden="false" customHeight="false" outlineLevel="0" collapsed="false">
      <c r="A19653" s="0" t="str">
        <f aca="false">IMCOT("-0.23")</f>
        <v>-4.27088767307839</v>
      </c>
      <c r="B19653" s="0" t="s">
        <v>19484</v>
      </c>
    </row>
    <row r="19654" customFormat="false" ht="15" hidden="false" customHeight="false" outlineLevel="0" collapsed="false">
      <c r="A19654" s="0" t="e">
        <f aca="false">IMCOT("-0.0")</f>
        <v>#VALUE!</v>
      </c>
      <c r="B19654" s="0" t="s">
        <v>19459</v>
      </c>
    </row>
    <row r="19655" customFormat="false" ht="15" hidden="false" customHeight="false" outlineLevel="0" collapsed="false">
      <c r="A19655" s="0" t="str">
        <f aca="false">IMCOT("-1.6437i")</f>
        <v>1.07760009940613i</v>
      </c>
      <c r="B19655" s="0" t="s">
        <v>19485</v>
      </c>
    </row>
    <row r="19656" customFormat="false" ht="15" hidden="false" customHeight="false" outlineLevel="0" collapsed="false">
      <c r="A19656" s="0" t="e">
        <f aca="false">IMCOT("-0.0055+-0.0i")</f>
        <v>#VALUE!</v>
      </c>
      <c r="B19656" s="0" t="s">
        <v>19486</v>
      </c>
    </row>
    <row r="19657" customFormat="false" ht="15" hidden="false" customHeight="false" outlineLevel="0" collapsed="false">
      <c r="A19657" s="0" t="str">
        <f aca="false">IMSINH("0.7-137.121j")</f>
        <v>0.337940143868961+1.12373746478473j</v>
      </c>
      <c r="B19657" s="0" t="s">
        <v>19487</v>
      </c>
    </row>
    <row r="19658" customFormat="false" ht="15" hidden="false" customHeight="false" outlineLevel="0" collapsed="false">
      <c r="A19658" s="0" t="str">
        <f aca="false">IMSINH("-325.0")</f>
        <v>-6.9932108529814e+140</v>
      </c>
      <c r="B19658" s="0" t="s">
        <v>19488</v>
      </c>
    </row>
    <row r="19659" customFormat="false" ht="15" hidden="false" customHeight="false" outlineLevel="0" collapsed="false">
      <c r="A19659" s="0" t="str">
        <f aca="false">IMSINH("93.9955")</f>
        <v>3.31662964350652e+40</v>
      </c>
      <c r="B19659" s="0" t="s">
        <v>19489</v>
      </c>
    </row>
    <row r="19660" customFormat="false" ht="15" hidden="false" customHeight="false" outlineLevel="0" collapsed="false">
      <c r="A19660" s="0" t="str">
        <f aca="false">IMSINH("235.8098j")</f>
        <v>-0.189203547935065j</v>
      </c>
      <c r="B19660" s="0" t="s">
        <v>19490</v>
      </c>
    </row>
    <row r="19661" customFormat="false" ht="15" hidden="false" customHeight="false" outlineLevel="0" collapsed="false">
      <c r="A19661" s="0" t="str">
        <f aca="false">IMSINH("-56.2+11.621i")</f>
        <v>-7.47832098611953e+23-1.03558926579531e+24i</v>
      </c>
      <c r="B19661" s="0" t="s">
        <v>19491</v>
      </c>
    </row>
    <row r="19662" customFormat="false" ht="15" hidden="false" customHeight="false" outlineLevel="0" collapsed="false">
      <c r="A19662" s="0" t="str">
        <f aca="false">IMSINH("-8.0903+6.3394i")</f>
        <v>-1628.75605624464+91.6566066900968i</v>
      </c>
      <c r="B19662" s="0" t="s">
        <v>19492</v>
      </c>
    </row>
    <row r="19663" customFormat="false" ht="15" hidden="false" customHeight="false" outlineLevel="0" collapsed="false">
      <c r="A19663" s="0" t="str">
        <f aca="false">IMSINH("35.04+262.7i")</f>
        <v>303856060044526-767402788767588i</v>
      </c>
      <c r="B19663" s="0" t="s">
        <v>19493</v>
      </c>
    </row>
    <row r="19664" customFormat="false" ht="15" hidden="false" customHeight="false" outlineLevel="0" collapsed="false">
      <c r="A19664" s="0" t="str">
        <f aca="false">IMSINH("0.47-0.01i")</f>
        <v>0.487471587872329-0.0111247968920556i</v>
      </c>
      <c r="B19664" s="0" t="s">
        <v>19494</v>
      </c>
    </row>
    <row r="19665" customFormat="false" ht="15" hidden="false" customHeight="false" outlineLevel="0" collapsed="false">
      <c r="A19665" s="0" t="str">
        <f aca="false">IMSINH("42.0")</f>
        <v>8.6963747076025e+17</v>
      </c>
      <c r="B19665" s="0" t="s">
        <v>19495</v>
      </c>
    </row>
    <row r="19666" customFormat="false" ht="15" hidden="false" customHeight="false" outlineLevel="0" collapsed="false">
      <c r="A19666" s="0" t="e">
        <f aca="false">IMSINH("0.0+-0.0i")</f>
        <v>#VALUE!</v>
      </c>
      <c r="B19666" s="0" t="s">
        <v>19496</v>
      </c>
    </row>
    <row r="19667" customFormat="false" ht="15" hidden="false" customHeight="false" outlineLevel="0" collapsed="false">
      <c r="A19667" s="0" t="str">
        <f aca="false">IMSINH("30.86+936.2275i")</f>
        <v>12620099674805+415215087596.728i</v>
      </c>
      <c r="B19667" s="0" t="s">
        <v>19497</v>
      </c>
    </row>
    <row r="19668" customFormat="false" ht="15" hidden="false" customHeight="false" outlineLevel="0" collapsed="false">
      <c r="A19668" s="0" t="str">
        <f aca="false">IMSINH("-67.0+4.326i")</f>
        <v>2.35974075145546e+28-5.80016908184318e+28i</v>
      </c>
      <c r="B19668" s="0" t="s">
        <v>19498</v>
      </c>
    </row>
    <row r="19669" customFormat="false" ht="15" hidden="false" customHeight="false" outlineLevel="0" collapsed="false">
      <c r="A19669" s="0" t="str">
        <f aca="false">IMSINH("76.2i")</f>
        <v>0.718592528289134i</v>
      </c>
      <c r="B19669" s="0" t="s">
        <v>19499</v>
      </c>
    </row>
    <row r="19670" customFormat="false" ht="15" hidden="false" customHeight="false" outlineLevel="0" collapsed="false">
      <c r="A19670" s="0" t="str">
        <f aca="false">IMSINH("0.076-552.2343j")</f>
        <v>0.058864024755915+0.635282846898831j</v>
      </c>
      <c r="B19670" s="0" t="s">
        <v>19500</v>
      </c>
    </row>
    <row r="19671" customFormat="false" ht="15" hidden="false" customHeight="false" outlineLevel="0" collapsed="false">
      <c r="A19671" s="0" t="str">
        <f aca="false">IMSINH("0.0-4.6597i")</f>
        <v>0.998612256763726i</v>
      </c>
      <c r="B19671" s="0" t="s">
        <v>19501</v>
      </c>
    </row>
    <row r="19672" customFormat="false" ht="15" hidden="false" customHeight="false" outlineLevel="0" collapsed="false">
      <c r="A19672" s="0" t="str">
        <f aca="false">IMSINH("-407.491i")</f>
        <v>0.793199364866368i</v>
      </c>
      <c r="B19672" s="0" t="s">
        <v>19502</v>
      </c>
    </row>
    <row r="19673" customFormat="false" ht="15" hidden="false" customHeight="false" outlineLevel="0" collapsed="false">
      <c r="A19673" s="0" t="str">
        <f aca="false">IMSINH("-543.0")</f>
        <v>-3.3179793424321e+235</v>
      </c>
      <c r="B19673" s="0" t="s">
        <v>19503</v>
      </c>
    </row>
    <row r="19674" customFormat="false" ht="15" hidden="false" customHeight="false" outlineLevel="0" collapsed="false">
      <c r="A19674" s="0" t="str">
        <f aca="false">IMSINH("-337.0+73.676i")</f>
        <v>1.7169345411762e+145-1.12515413322013e+146i</v>
      </c>
      <c r="B19674" s="0" t="s">
        <v>19504</v>
      </c>
    </row>
    <row r="19675" customFormat="false" ht="15" hidden="false" customHeight="false" outlineLevel="0" collapsed="false">
      <c r="A19675" s="0" t="str">
        <f aca="false">IMSINH("-8.955-7.127i")</f>
        <v>-2574.23851703443-2894.04033668128i</v>
      </c>
      <c r="B19675" s="0" t="s">
        <v>19505</v>
      </c>
    </row>
    <row r="19676" customFormat="false" ht="15" hidden="false" customHeight="false" outlineLevel="0" collapsed="false">
      <c r="A19676" s="0" t="str">
        <f aca="false">IMSINH("-90.0i")</f>
        <v>-0.893996663600558i</v>
      </c>
      <c r="B19676" s="0" t="s">
        <v>19506</v>
      </c>
    </row>
    <row r="19677" customFormat="false" ht="15" hidden="false" customHeight="false" outlineLevel="0" collapsed="false">
      <c r="A19677" s="0" t="str">
        <f aca="false">IMSINH("-474.4462+4.804i")</f>
        <v>-5.12479734049926e+204-5.57842558535441e+205i</v>
      </c>
      <c r="B19677" s="0" t="s">
        <v>19507</v>
      </c>
    </row>
    <row r="19678" customFormat="false" ht="15" hidden="false" customHeight="false" outlineLevel="0" collapsed="false">
      <c r="A19678" s="0" t="str">
        <f aca="false">IMSINH("-8.0-0.0031j")</f>
        <v>-1490.47166404453-4.62047799940786j</v>
      </c>
      <c r="B19678" s="0" t="s">
        <v>19508</v>
      </c>
    </row>
    <row r="19679" customFormat="false" ht="15" hidden="false" customHeight="false" outlineLevel="0" collapsed="false">
      <c r="A19679" s="0" t="str">
        <f aca="false">IMSINH("-345.21-2.0i")</f>
        <v>1.74186582999504e+149-3.80604627499228e+149i</v>
      </c>
      <c r="B19679" s="0" t="s">
        <v>19509</v>
      </c>
    </row>
    <row r="19680" customFormat="false" ht="15" hidden="false" customHeight="false" outlineLevel="0" collapsed="false">
      <c r="A19680" s="0" t="str">
        <f aca="false">IMSINH("5.0-3.64j")</f>
        <v>-65.1760195409999+35.4743773291499j</v>
      </c>
      <c r="B19680" s="0" t="s">
        <v>19510</v>
      </c>
    </row>
    <row r="19681" customFormat="false" ht="15" hidden="false" customHeight="false" outlineLevel="0" collapsed="false">
      <c r="A19681" s="0" t="e">
        <f aca="false">IMSINH("-6.0+-0.0j")</f>
        <v>#VALUE!</v>
      </c>
      <c r="B19681" s="0" t="s">
        <v>19511</v>
      </c>
    </row>
    <row r="19682" customFormat="false" ht="15" hidden="false" customHeight="false" outlineLevel="0" collapsed="false">
      <c r="A19682" s="0" t="str">
        <f aca="false">IMSINH("0.0i")</f>
        <v>0</v>
      </c>
      <c r="B19682" s="0" t="s">
        <v>19512</v>
      </c>
    </row>
    <row r="19683" customFormat="false" ht="15" hidden="false" customHeight="false" outlineLevel="0" collapsed="false">
      <c r="A19683" s="0" t="str">
        <f aca="false">IMSINH("-72.695-2.14i")</f>
        <v>1.00361020469043e+31-1.56851926580965e+31i</v>
      </c>
      <c r="B19683" s="0" t="s">
        <v>19513</v>
      </c>
    </row>
    <row r="19684" customFormat="false" ht="15" hidden="false" customHeight="false" outlineLevel="0" collapsed="false">
      <c r="A19684" s="0" t="e">
        <f aca="false">IMSINH("-961.53+0.0i")</f>
        <v>#VALUE!</v>
      </c>
      <c r="B19684" s="0" t="s">
        <v>19514</v>
      </c>
    </row>
    <row r="19685" customFormat="false" ht="15" hidden="false" customHeight="false" outlineLevel="0" collapsed="false">
      <c r="A19685" s="0" t="str">
        <f aca="false">IMSINH("10.99-23.4i")</f>
        <v>-4778.96298504581+29251.3797484187i</v>
      </c>
      <c r="B19685" s="0" t="s">
        <v>19515</v>
      </c>
    </row>
    <row r="19686" customFormat="false" ht="15" hidden="false" customHeight="false" outlineLevel="0" collapsed="false">
      <c r="A19686" s="0" t="str">
        <f aca="false">IMSINH("-1.0-1.0j")</f>
        <v>-0.634963914784736-1.29845758141598j</v>
      </c>
      <c r="B19686" s="0" t="s">
        <v>19516</v>
      </c>
    </row>
    <row r="19687" customFormat="false" ht="15" hidden="false" customHeight="false" outlineLevel="0" collapsed="false">
      <c r="A19687" s="0" t="str">
        <f aca="false">IMSINH("-0.0048")</f>
        <v>-0.00480001843202124</v>
      </c>
      <c r="B19687" s="0" t="s">
        <v>19517</v>
      </c>
    </row>
    <row r="19688" customFormat="false" ht="15" hidden="false" customHeight="false" outlineLevel="0" collapsed="false">
      <c r="A19688" s="0" t="str">
        <f aca="false">IMSINH("-0.0")</f>
        <v>-0</v>
      </c>
      <c r="B19688" s="0" t="s">
        <v>19518</v>
      </c>
    </row>
    <row r="19689" customFormat="false" ht="15" hidden="false" customHeight="false" outlineLevel="0" collapsed="false">
      <c r="A19689" s="0" t="str">
        <f aca="false">IMSINH("22.851-0.0079i")</f>
        <v>4197779844.89801-33163150.6816428i</v>
      </c>
      <c r="B19689" s="0" t="s">
        <v>19519</v>
      </c>
    </row>
    <row r="19690" customFormat="false" ht="15" hidden="false" customHeight="false" outlineLevel="0" collapsed="false">
      <c r="A19690" s="0" t="str">
        <f aca="false">IMSINH("-0.5-0.008i")</f>
        <v>-0.521078630532905-0.0090209114978766i</v>
      </c>
      <c r="B19690" s="0" t="s">
        <v>19520</v>
      </c>
    </row>
    <row r="19691" customFormat="false" ht="15" hidden="false" customHeight="false" outlineLevel="0" collapsed="false">
      <c r="A19691" s="0" t="str">
        <f aca="false">IMSINH("-68.0+3.5712i")</f>
        <v>1.54746366248937e+29-7.08964081819178e+28i</v>
      </c>
      <c r="B19691" s="0" t="s">
        <v>19521</v>
      </c>
    </row>
    <row r="19692" customFormat="false" ht="15" hidden="false" customHeight="false" outlineLevel="0" collapsed="false">
      <c r="A19692" s="0" t="e">
        <f aca="false">IMSINH("-903.434+40.2796j")</f>
        <v>#VALUE!</v>
      </c>
      <c r="B19692" s="0" t="s">
        <v>19522</v>
      </c>
    </row>
    <row r="19693" customFormat="false" ht="15" hidden="false" customHeight="false" outlineLevel="0" collapsed="false">
      <c r="A19693" s="0" t="str">
        <f aca="false">IMSINH("-22.0412+0.01j")</f>
        <v>-1867754639.09802+18678169.0007643j</v>
      </c>
      <c r="B19693" s="0" t="s">
        <v>19523</v>
      </c>
    </row>
    <row r="19694" customFormat="false" ht="15" hidden="false" customHeight="false" outlineLevel="0" collapsed="false">
      <c r="A19694" s="0" t="str">
        <f aca="false">IMSINH("-9.52+0.324i")</f>
        <v>-6460.22824699318+2169.56817348258i</v>
      </c>
      <c r="B19694" s="0" t="s">
        <v>19524</v>
      </c>
    </row>
    <row r="19695" customFormat="false" ht="15" hidden="false" customHeight="false" outlineLevel="0" collapsed="false">
      <c r="A19695" s="0" t="str">
        <f aca="false">IMSINH("1.0-1.0j")</f>
        <v>0.634963914784736-1.29845758141598j</v>
      </c>
      <c r="B19695" s="0" t="s">
        <v>19525</v>
      </c>
    </row>
    <row r="19696" customFormat="false" ht="15" hidden="false" customHeight="false" outlineLevel="0" collapsed="false">
      <c r="A19696" s="0" t="str">
        <f aca="false">IMSINH("0.0-9.266i")</f>
        <v>-0.158111657483411i</v>
      </c>
      <c r="B19696" s="0" t="s">
        <v>19526</v>
      </c>
    </row>
    <row r="19697" customFormat="false" ht="15" hidden="false" customHeight="false" outlineLevel="0" collapsed="false">
      <c r="A19697" s="0" t="e">
        <f aca="false">IMSINH("-824.0")</f>
        <v>#VALUE!</v>
      </c>
      <c r="B19697" s="0" t="s">
        <v>19527</v>
      </c>
    </row>
    <row r="19698" customFormat="false" ht="15" hidden="false" customHeight="false" outlineLevel="0" collapsed="false">
      <c r="A19698" s="0" t="str">
        <f aca="false">IMSINH("1.0-0.899i")</f>
        <v>0.731436977999992-1.20777678646302i</v>
      </c>
      <c r="B19698" s="0" t="s">
        <v>19528</v>
      </c>
    </row>
    <row r="19699" customFormat="false" ht="15" hidden="false" customHeight="false" outlineLevel="0" collapsed="false">
      <c r="A19699" s="0" t="str">
        <f aca="false">IMSINH("92.0+3.7865i")</f>
        <v>-3.60324351830489e+39-2.71035821629064e+39i</v>
      </c>
      <c r="B19699" s="0" t="s">
        <v>19529</v>
      </c>
    </row>
    <row r="19700" customFormat="false" ht="15" hidden="false" customHeight="false" outlineLevel="0" collapsed="false">
      <c r="A19700" s="0" t="str">
        <f aca="false">IMSINH("1.1-0.193j")</f>
        <v>1.31084882445767-0.320028621793621j</v>
      </c>
      <c r="B19700" s="0" t="s">
        <v>19530</v>
      </c>
    </row>
    <row r="19701" customFormat="false" ht="15" hidden="false" customHeight="false" outlineLevel="0" collapsed="false">
      <c r="A19701" s="0" t="str">
        <f aca="false">IMSINH("61.93-0.002i")</f>
        <v>3.93392793617935e+26-7.86786636284999e+23i</v>
      </c>
      <c r="B19701" s="0" t="s">
        <v>19531</v>
      </c>
    </row>
    <row r="19702" customFormat="false" ht="15" hidden="false" customHeight="false" outlineLevel="0" collapsed="false">
      <c r="A19702" s="0" t="str">
        <f aca="false">IMSINH("-574.9+8.8j")</f>
        <v>1.92281858591957e+249+1.3866346155346e+249j</v>
      </c>
      <c r="B19702" s="0" t="s">
        <v>19532</v>
      </c>
    </row>
    <row r="19703" customFormat="false" ht="15" hidden="false" customHeight="false" outlineLevel="0" collapsed="false">
      <c r="A19703" s="0" t="e">
        <f aca="false">IMSINH("-825.0+3.0i")</f>
        <v>#VALUE!</v>
      </c>
      <c r="B19703" s="0" t="s">
        <v>19533</v>
      </c>
    </row>
    <row r="19704" customFormat="false" ht="15" hidden="false" customHeight="false" outlineLevel="0" collapsed="false">
      <c r="A19704" s="0" t="str">
        <f aca="false">IMSINH("19.492+0.0077i")</f>
        <v>145957081.502724+1123891.73950585i</v>
      </c>
      <c r="B19704" s="0" t="s">
        <v>19534</v>
      </c>
    </row>
    <row r="19705" customFormat="false" ht="15" hidden="false" customHeight="false" outlineLevel="0" collapsed="false">
      <c r="A19705" s="0" t="str">
        <f aca="false">IMSINH("42.31+0.477i")</f>
        <v>1.05333491828809e+18+5.44367353598019e+17i</v>
      </c>
      <c r="B19705" s="0" t="s">
        <v>19535</v>
      </c>
    </row>
    <row r="19706" customFormat="false" ht="15" hidden="false" customHeight="false" outlineLevel="0" collapsed="false">
      <c r="A19706" s="0" t="str">
        <f aca="false">IMSINH("-0.7056")</f>
        <v>-0.765624579632614</v>
      </c>
      <c r="B19706" s="0" t="s">
        <v>19536</v>
      </c>
    </row>
    <row r="19707" customFormat="false" ht="15" hidden="false" customHeight="false" outlineLevel="0" collapsed="false">
      <c r="A19707" s="0" t="str">
        <f aca="false">IMSINH("-0.9-1.0i")</f>
        <v>-0.55462935391234-1.20590061207837i</v>
      </c>
      <c r="B19707" s="0" t="s">
        <v>19537</v>
      </c>
    </row>
    <row r="19708" customFormat="false" ht="15" hidden="false" customHeight="false" outlineLevel="0" collapsed="false">
      <c r="A19708" s="0" t="e">
        <f aca="false">IMSINH("-0.0009+-0.0i")</f>
        <v>#VALUE!</v>
      </c>
      <c r="B19708" s="0" t="s">
        <v>19538</v>
      </c>
    </row>
    <row r="19709" customFormat="false" ht="15" hidden="false" customHeight="false" outlineLevel="0" collapsed="false">
      <c r="A19709" s="0" t="str">
        <f aca="false">IMSINH("-0.0+130.0i")</f>
        <v>-0.930105950186762i</v>
      </c>
      <c r="B19709" s="0" t="s">
        <v>19539</v>
      </c>
    </row>
    <row r="19710" customFormat="false" ht="15" hidden="false" customHeight="false" outlineLevel="0" collapsed="false">
      <c r="A19710" s="0" t="str">
        <f aca="false">IMSINH("69.56-216.88i")</f>
        <v>-8.05111885176339e+29+8.90083652691856e+28i</v>
      </c>
      <c r="B19710" s="0" t="s">
        <v>19540</v>
      </c>
    </row>
    <row r="19711" customFormat="false" ht="15" hidden="false" customHeight="false" outlineLevel="0" collapsed="false">
      <c r="A19711" s="0" t="str">
        <f aca="false">IMSINH("-6.52-0.83i")</f>
        <v>-228.977554515167-250.37268288289i</v>
      </c>
      <c r="B19711" s="0" t="s">
        <v>19541</v>
      </c>
    </row>
    <row r="19712" customFormat="false" ht="15" hidden="false" customHeight="false" outlineLevel="0" collapsed="false">
      <c r="A19712" s="0" t="str">
        <f aca="false">IMSINH("0.0084-1.0i")</f>
        <v>0.00453859274270366-0.841500672078801i</v>
      </c>
      <c r="B19712" s="0" t="s">
        <v>19542</v>
      </c>
    </row>
    <row r="19713" customFormat="false" ht="15" hidden="false" customHeight="false" outlineLevel="0" collapsed="false">
      <c r="A19713" s="0" t="str">
        <f aca="false">IMSINH("-0.23")</f>
        <v>-0.232033203713072</v>
      </c>
      <c r="B19713" s="0" t="s">
        <v>19543</v>
      </c>
    </row>
    <row r="19714" customFormat="false" ht="15" hidden="false" customHeight="false" outlineLevel="0" collapsed="false">
      <c r="A19714" s="0" t="str">
        <f aca="false">IMSINH("-0.0")</f>
        <v>-0</v>
      </c>
      <c r="B19714" s="0" t="s">
        <v>19518</v>
      </c>
    </row>
    <row r="19715" customFormat="false" ht="15" hidden="false" customHeight="false" outlineLevel="0" collapsed="false">
      <c r="A19715" s="0" t="str">
        <f aca="false">IMSINH("-1.6437i")</f>
        <v>-0.997343704035026i</v>
      </c>
      <c r="B19715" s="0" t="s">
        <v>19544</v>
      </c>
    </row>
    <row r="19716" customFormat="false" ht="15" hidden="false" customHeight="false" outlineLevel="0" collapsed="false">
      <c r="A19716" s="0" t="e">
        <f aca="false">IMSINH("-0.0055+-0.0i")</f>
        <v>#VALUE!</v>
      </c>
      <c r="B19716" s="0" t="s">
        <v>19545</v>
      </c>
    </row>
    <row r="19717" customFormat="false" ht="15" hidden="false" customHeight="false" outlineLevel="0" collapsed="false">
      <c r="A19717" s="0" t="str">
        <f aca="false">IMCOSH("0.7-137.121j")</f>
        <v>0.559163073651836+0.679150713655221j</v>
      </c>
      <c r="B19717" s="0" t="s">
        <v>19546</v>
      </c>
    </row>
    <row r="19718" customFormat="false" ht="15" hidden="false" customHeight="false" outlineLevel="0" collapsed="false">
      <c r="A19718" s="0" t="str">
        <f aca="false">IMCOSH("-325.0")</f>
        <v>6.9932108529814e+140</v>
      </c>
      <c r="B19718" s="0" t="s">
        <v>19547</v>
      </c>
    </row>
    <row r="19719" customFormat="false" ht="15" hidden="false" customHeight="false" outlineLevel="0" collapsed="false">
      <c r="A19719" s="0" t="str">
        <f aca="false">IMCOSH("93.9955")</f>
        <v>3.31662964350652e+40</v>
      </c>
      <c r="B19719" s="0" t="s">
        <v>19548</v>
      </c>
    </row>
    <row r="19720" customFormat="false" ht="15" hidden="false" customHeight="false" outlineLevel="0" collapsed="false">
      <c r="A19720" s="0" t="str">
        <f aca="false">IMCOSH("235.8098j")</f>
        <v>-0.981937888793779</v>
      </c>
      <c r="B19720" s="0" t="s">
        <v>19549</v>
      </c>
    </row>
    <row r="19721" customFormat="false" ht="15" hidden="false" customHeight="false" outlineLevel="0" collapsed="false">
      <c r="A19721" s="0" t="str">
        <f aca="false">IMCOSH("-56.2+11.621i")</f>
        <v>7.47832098611953e+23+1.03558926579531e+24i</v>
      </c>
      <c r="B19721" s="0" t="s">
        <v>19550</v>
      </c>
    </row>
    <row r="19722" customFormat="false" ht="15" hidden="false" customHeight="false" outlineLevel="0" collapsed="false">
      <c r="A19722" s="0" t="str">
        <f aca="false">IMCOSH("-8.0903+6.3394i")</f>
        <v>1628.75636225828-91.6565894694906i</v>
      </c>
      <c r="B19722" s="0" t="s">
        <v>19551</v>
      </c>
    </row>
    <row r="19723" customFormat="false" ht="15" hidden="false" customHeight="false" outlineLevel="0" collapsed="false">
      <c r="A19723" s="0" t="str">
        <f aca="false">IMCOSH("35.04+262.7i")</f>
        <v>303856060044526-767402788767588i</v>
      </c>
      <c r="B19723" s="0" t="s">
        <v>19552</v>
      </c>
    </row>
    <row r="19724" customFormat="false" ht="15" hidden="false" customHeight="false" outlineLevel="0" collapsed="false">
      <c r="A19724" s="0" t="str">
        <f aca="false">IMCOSH("0.47-0.01i")</f>
        <v>1.11244260630203-0.00487487837575247i</v>
      </c>
      <c r="B19724" s="0" t="s">
        <v>19553</v>
      </c>
    </row>
    <row r="19725" customFormat="false" ht="15" hidden="false" customHeight="false" outlineLevel="0" collapsed="false">
      <c r="A19725" s="0" t="str">
        <f aca="false">IMCOSH("42.0")</f>
        <v>8.6963747076025e+17</v>
      </c>
      <c r="B19725" s="0" t="s">
        <v>19554</v>
      </c>
    </row>
    <row r="19726" customFormat="false" ht="15" hidden="false" customHeight="false" outlineLevel="0" collapsed="false">
      <c r="A19726" s="0" t="e">
        <f aca="false">IMCOSH("0.0+-0.0i")</f>
        <v>#VALUE!</v>
      </c>
      <c r="B19726" s="0" t="s">
        <v>19555</v>
      </c>
    </row>
    <row r="19727" customFormat="false" ht="15" hidden="false" customHeight="false" outlineLevel="0" collapsed="false">
      <c r="A19727" s="0" t="str">
        <f aca="false">IMCOSH("30.86+936.2275i")</f>
        <v>12620099674805+415215087596.728i</v>
      </c>
      <c r="B19727" s="0" t="s">
        <v>19556</v>
      </c>
    </row>
    <row r="19728" customFormat="false" ht="15" hidden="false" customHeight="false" outlineLevel="0" collapsed="false">
      <c r="A19728" s="0" t="str">
        <f aca="false">IMCOSH("-67.0+4.326i")</f>
        <v>-2.35974075145546e+28+5.80016908184318e+28i</v>
      </c>
      <c r="B19728" s="0" t="s">
        <v>19557</v>
      </c>
    </row>
    <row r="19729" customFormat="false" ht="15" hidden="false" customHeight="false" outlineLevel="0" collapsed="false">
      <c r="A19729" s="0" t="str">
        <f aca="false">IMCOSH("76.2i")</f>
        <v>0.695431361305363</v>
      </c>
      <c r="B19729" s="0" t="s">
        <v>19558</v>
      </c>
    </row>
    <row r="19730" customFormat="false" ht="15" hidden="false" customHeight="false" outlineLevel="0" collapsed="false">
      <c r="A19730" s="0" t="str">
        <f aca="false">IMCOSH("0.076-552.2343j")</f>
        <v>0.776017289581505+0.0481887526591421j</v>
      </c>
      <c r="B19730" s="0" t="s">
        <v>19559</v>
      </c>
    </row>
    <row r="19731" customFormat="false" ht="15" hidden="false" customHeight="false" outlineLevel="0" collapsed="false">
      <c r="A19731" s="0" t="str">
        <f aca="false">IMCOSH("0.0-4.6597i")</f>
        <v>-0.0526646052036687</v>
      </c>
      <c r="B19731" s="0" t="s">
        <v>19560</v>
      </c>
    </row>
    <row r="19732" customFormat="false" ht="15" hidden="false" customHeight="false" outlineLevel="0" collapsed="false">
      <c r="A19732" s="0" t="str">
        <f aca="false">IMCOSH("-407.491i")</f>
        <v>0.608962041161509</v>
      </c>
      <c r="B19732" s="0" t="s">
        <v>19561</v>
      </c>
    </row>
    <row r="19733" customFormat="false" ht="15" hidden="false" customHeight="false" outlineLevel="0" collapsed="false">
      <c r="A19733" s="0" t="str">
        <f aca="false">IMCOSH("-543.0")</f>
        <v>3.3179793424321e+235</v>
      </c>
      <c r="B19733" s="0" t="s">
        <v>19562</v>
      </c>
    </row>
    <row r="19734" customFormat="false" ht="15" hidden="false" customHeight="false" outlineLevel="0" collapsed="false">
      <c r="A19734" s="0" t="str">
        <f aca="false">IMCOSH("-337.0+73.676i")</f>
        <v>-1.7169345411762e+145+1.12515413322013e+146i</v>
      </c>
      <c r="B19734" s="0" t="s">
        <v>19563</v>
      </c>
    </row>
    <row r="19735" customFormat="false" ht="15" hidden="false" customHeight="false" outlineLevel="0" collapsed="false">
      <c r="A19735" s="0" t="str">
        <f aca="false">IMCOSH("-8.955-7.127i")</f>
        <v>2574.23860282995+2894.04024022725i</v>
      </c>
      <c r="B19735" s="0" t="s">
        <v>19564</v>
      </c>
    </row>
    <row r="19736" customFormat="false" ht="15" hidden="false" customHeight="false" outlineLevel="0" collapsed="false">
      <c r="A19736" s="0" t="str">
        <f aca="false">IMCOSH("-90.0i")</f>
        <v>-0.44807361612917</v>
      </c>
      <c r="B19736" s="0" t="s">
        <v>19565</v>
      </c>
    </row>
    <row r="19737" customFormat="false" ht="15" hidden="false" customHeight="false" outlineLevel="0" collapsed="false">
      <c r="A19737" s="0" t="str">
        <f aca="false">IMCOSH("-474.4462+4.804i")</f>
        <v>5.12479734049926e+204+5.57842558535441e+205i</v>
      </c>
      <c r="B19737" s="0" t="s">
        <v>19566</v>
      </c>
    </row>
    <row r="19738" customFormat="false" ht="15" hidden="false" customHeight="false" outlineLevel="0" collapsed="false">
      <c r="A19738" s="0" t="str">
        <f aca="false">IMCOSH("-8.0-0.0031j")</f>
        <v>1490.47199950554+4.62047695947538j</v>
      </c>
      <c r="B19738" s="0" t="s">
        <v>19567</v>
      </c>
    </row>
    <row r="19739" customFormat="false" ht="15" hidden="false" customHeight="false" outlineLevel="0" collapsed="false">
      <c r="A19739" s="0" t="str">
        <f aca="false">IMCOSH("-345.21-2.0i")</f>
        <v>-1.74186582999504e+149+3.80604627499228e+149i</v>
      </c>
      <c r="B19739" s="0" t="s">
        <v>19568</v>
      </c>
    </row>
    <row r="19740" customFormat="false" ht="15" hidden="false" customHeight="false" outlineLevel="0" collapsed="false">
      <c r="A19740" s="0" t="str">
        <f aca="false">IMCOSH("5.0-3.64j")</f>
        <v>-65.1819377831064+35.4711564069013j</v>
      </c>
      <c r="B19740" s="0" t="s">
        <v>19569</v>
      </c>
    </row>
    <row r="19741" customFormat="false" ht="15" hidden="false" customHeight="false" outlineLevel="0" collapsed="false">
      <c r="A19741" s="0" t="e">
        <f aca="false">IMCOSH("-6.0+-0.0j")</f>
        <v>#VALUE!</v>
      </c>
      <c r="B19741" s="0" t="s">
        <v>19570</v>
      </c>
    </row>
    <row r="19742" customFormat="false" ht="15" hidden="false" customHeight="false" outlineLevel="0" collapsed="false">
      <c r="A19742" s="0" t="str">
        <f aca="false">IMCOSH("0.0i")</f>
        <v>1</v>
      </c>
      <c r="B19742" s="0" t="s">
        <v>19571</v>
      </c>
    </row>
    <row r="19743" customFormat="false" ht="15" hidden="false" customHeight="false" outlineLevel="0" collapsed="false">
      <c r="A19743" s="0" t="str">
        <f aca="false">IMCOSH("-72.695-2.14i")</f>
        <v>-1.00361020469043e+31+1.56851926580965e+31i</v>
      </c>
      <c r="B19743" s="0" t="s">
        <v>19572</v>
      </c>
    </row>
    <row r="19744" customFormat="false" ht="15" hidden="false" customHeight="false" outlineLevel="0" collapsed="false">
      <c r="A19744" s="0" t="e">
        <f aca="false">IMCOSH("-961.53+0.0i")</f>
        <v>#VALUE!</v>
      </c>
      <c r="B19744" s="0" t="s">
        <v>19573</v>
      </c>
    </row>
    <row r="19745" customFormat="false" ht="15" hidden="false" customHeight="false" outlineLevel="0" collapsed="false">
      <c r="A19745" s="0" t="str">
        <f aca="false">IMCOSH("10.99-23.4i")</f>
        <v>-4778.96298776582+29251.3797317698i</v>
      </c>
      <c r="B19745" s="0" t="s">
        <v>19574</v>
      </c>
    </row>
    <row r="19746" customFormat="false" ht="15" hidden="false" customHeight="false" outlineLevel="0" collapsed="false">
      <c r="A19746" s="0" t="str">
        <f aca="false">IMCOSH("-1.0-1.0j")</f>
        <v>0.833730025131149+0.988897705762865j</v>
      </c>
      <c r="B19746" s="0" t="s">
        <v>19575</v>
      </c>
    </row>
    <row r="19747" customFormat="false" ht="15" hidden="false" customHeight="false" outlineLevel="0" collapsed="false">
      <c r="A19747" s="0" t="str">
        <f aca="false">IMCOSH("-0.0048")</f>
        <v>1.00001152002212</v>
      </c>
      <c r="B19747" s="0" t="s">
        <v>19576</v>
      </c>
    </row>
    <row r="19748" customFormat="false" ht="15" hidden="false" customHeight="false" outlineLevel="0" collapsed="false">
      <c r="A19748" s="0" t="str">
        <f aca="false">IMCOSH("-0.0")</f>
        <v>1</v>
      </c>
      <c r="B19748" s="0" t="s">
        <v>19577</v>
      </c>
    </row>
    <row r="19749" customFormat="false" ht="15" hidden="false" customHeight="false" outlineLevel="0" collapsed="false">
      <c r="A19749" s="0" t="str">
        <f aca="false">IMCOSH("22.851-0.0079i")</f>
        <v>4197779844.89801-33163150.6816428i</v>
      </c>
      <c r="B19749" s="0" t="s">
        <v>19578</v>
      </c>
    </row>
    <row r="19750" customFormat="false" ht="15" hidden="false" customHeight="false" outlineLevel="0" collapsed="false">
      <c r="A19750" s="0" t="str">
        <f aca="false">IMCOSH("-0.5-0.008i")</f>
        <v>1.12758988136794+0.00416871797729287i</v>
      </c>
      <c r="B19750" s="0" t="s">
        <v>19579</v>
      </c>
    </row>
    <row r="19751" customFormat="false" ht="15" hidden="false" customHeight="false" outlineLevel="0" collapsed="false">
      <c r="A19751" s="0" t="str">
        <f aca="false">IMCOSH("-68.0+3.5712i")</f>
        <v>-1.54746366248937e+29+7.08964081819178e+28i</v>
      </c>
      <c r="B19751" s="0" t="s">
        <v>19580</v>
      </c>
    </row>
    <row r="19752" customFormat="false" ht="15" hidden="false" customHeight="false" outlineLevel="0" collapsed="false">
      <c r="A19752" s="0" t="e">
        <f aca="false">IMCOSH("-903.434+40.2796j")</f>
        <v>#VALUE!</v>
      </c>
      <c r="B19752" s="0" t="s">
        <v>19581</v>
      </c>
    </row>
    <row r="19753" customFormat="false" ht="15" hidden="false" customHeight="false" outlineLevel="0" collapsed="false">
      <c r="A19753" s="0" t="str">
        <f aca="false">IMCOSH("-22.0412+0.01j")</f>
        <v>1867754639.09802-18678169.0007643j</v>
      </c>
      <c r="B19753" s="0" t="s">
        <v>19582</v>
      </c>
    </row>
    <row r="19754" customFormat="false" ht="15" hidden="false" customHeight="false" outlineLevel="0" collapsed="false">
      <c r="A19754" s="0" t="str">
        <f aca="false">IMCOSH("-9.52+0.324i")</f>
        <v>6460.22831654539-2169.56815012455i</v>
      </c>
      <c r="B19754" s="0" t="s">
        <v>19583</v>
      </c>
    </row>
    <row r="19755" customFormat="false" ht="15" hidden="false" customHeight="false" outlineLevel="0" collapsed="false">
      <c r="A19755" s="0" t="str">
        <f aca="false">IMCOSH("1.0-1.0j")</f>
        <v>0.833730025131149-0.988897705762865j</v>
      </c>
      <c r="B19755" s="0" t="s">
        <v>19584</v>
      </c>
    </row>
    <row r="19756" customFormat="false" ht="15" hidden="false" customHeight="false" outlineLevel="0" collapsed="false">
      <c r="A19756" s="0" t="str">
        <f aca="false">IMCOSH("0.0-9.266i")</f>
        <v>-0.987421239273213</v>
      </c>
      <c r="B19756" s="0" t="s">
        <v>19585</v>
      </c>
    </row>
    <row r="19757" customFormat="false" ht="15" hidden="false" customHeight="false" outlineLevel="0" collapsed="false">
      <c r="A19757" s="0" t="e">
        <f aca="false">IMCOSH("-824.0")</f>
        <v>#VALUE!</v>
      </c>
      <c r="B19757" s="0" t="s">
        <v>19586</v>
      </c>
    </row>
    <row r="19758" customFormat="false" ht="15" hidden="false" customHeight="false" outlineLevel="0" collapsed="false">
      <c r="A19758" s="0" t="str">
        <f aca="false">IMCOSH("1.0-0.899i")</f>
        <v>0.960402561232988-0.919835742269268i</v>
      </c>
      <c r="B19758" s="0" t="s">
        <v>19587</v>
      </c>
    </row>
    <row r="19759" customFormat="false" ht="15" hidden="false" customHeight="false" outlineLevel="0" collapsed="false">
      <c r="A19759" s="0" t="str">
        <f aca="false">IMCOSH("92.0+3.7865i")</f>
        <v>-3.60324351830489e+39-2.71035821629064e+39i</v>
      </c>
      <c r="B19759" s="0" t="s">
        <v>19588</v>
      </c>
    </row>
    <row r="19760" customFormat="false" ht="15" hidden="false" customHeight="false" outlineLevel="0" collapsed="false">
      <c r="A19760" s="0" t="str">
        <f aca="false">IMCOSH("1.1-0.193j")</f>
        <v>1.63753957072249-0.256182598681196j</v>
      </c>
      <c r="B19760" s="0" t="s">
        <v>19589</v>
      </c>
    </row>
    <row r="19761" customFormat="false" ht="15" hidden="false" customHeight="false" outlineLevel="0" collapsed="false">
      <c r="A19761" s="0" t="str">
        <f aca="false">IMCOSH("61.93-0.002i")</f>
        <v>3.93392793617935e+26-7.86786636284999e+23i</v>
      </c>
      <c r="B19761" s="0" t="s">
        <v>19590</v>
      </c>
    </row>
    <row r="19762" customFormat="false" ht="15" hidden="false" customHeight="false" outlineLevel="0" collapsed="false">
      <c r="A19762" s="0" t="str">
        <f aca="false">IMCOSH("-574.9+8.8j")</f>
        <v>-1.92281858591957e+249-1.3866346155346e+249j</v>
      </c>
      <c r="B19762" s="0" t="s">
        <v>19591</v>
      </c>
    </row>
    <row r="19763" customFormat="false" ht="15" hidden="false" customHeight="false" outlineLevel="0" collapsed="false">
      <c r="A19763" s="0" t="e">
        <f aca="false">IMCOSH("-825.0+3.0i")</f>
        <v>#VALUE!</v>
      </c>
      <c r="B19763" s="0" t="s">
        <v>19592</v>
      </c>
    </row>
    <row r="19764" customFormat="false" ht="15" hidden="false" customHeight="false" outlineLevel="0" collapsed="false">
      <c r="A19764" s="0" t="str">
        <f aca="false">IMCOSH("19.492+0.0077i")</f>
        <v>145957081.502724+1123891.73950585i</v>
      </c>
      <c r="B19764" s="0" t="s">
        <v>19593</v>
      </c>
    </row>
    <row r="19765" customFormat="false" ht="15" hidden="false" customHeight="false" outlineLevel="0" collapsed="false">
      <c r="A19765" s="0" t="str">
        <f aca="false">IMCOSH("42.31+0.477i")</f>
        <v>1.05333491828809e+18+5.44367353598019e+17i</v>
      </c>
      <c r="B19765" s="0" t="s">
        <v>19594</v>
      </c>
    </row>
    <row r="19766" customFormat="false" ht="15" hidden="false" customHeight="false" outlineLevel="0" collapsed="false">
      <c r="A19766" s="0" t="str">
        <f aca="false">IMCOSH("-0.7056")</f>
        <v>1.25943677766596</v>
      </c>
      <c r="B19766" s="0" t="s">
        <v>19595</v>
      </c>
    </row>
    <row r="19767" customFormat="false" ht="15" hidden="false" customHeight="false" outlineLevel="0" collapsed="false">
      <c r="A19767" s="0" t="str">
        <f aca="false">IMCOSH("-0.9-1.0i")</f>
        <v>0.774299878566211+0.863784040103436i</v>
      </c>
      <c r="B19767" s="0" t="s">
        <v>19596</v>
      </c>
    </row>
    <row r="19768" customFormat="false" ht="15" hidden="false" customHeight="false" outlineLevel="0" collapsed="false">
      <c r="A19768" s="0" t="e">
        <f aca="false">IMCOSH("-0.0009+-0.0i")</f>
        <v>#VALUE!</v>
      </c>
      <c r="B19768" s="0" t="s">
        <v>19597</v>
      </c>
    </row>
    <row r="19769" customFormat="false" ht="15" hidden="false" customHeight="false" outlineLevel="0" collapsed="false">
      <c r="A19769" s="0" t="str">
        <f aca="false">IMCOSH("-0.0+130.0i")</f>
        <v>-0.367291330454696</v>
      </c>
      <c r="B19769" s="0" t="s">
        <v>19598</v>
      </c>
    </row>
    <row r="19770" customFormat="false" ht="15" hidden="false" customHeight="false" outlineLevel="0" collapsed="false">
      <c r="A19770" s="0" t="str">
        <f aca="false">IMCOSH("69.56-216.88i")</f>
        <v>-8.05111885176339e+29+8.90083652691856e+28i</v>
      </c>
      <c r="B19770" s="0" t="s">
        <v>19599</v>
      </c>
    </row>
    <row r="19771" customFormat="false" ht="15" hidden="false" customHeight="false" outlineLevel="0" collapsed="false">
      <c r="A19771" s="0" t="str">
        <f aca="false">IMCOSH("-6.52-0.83i")</f>
        <v>228.978549058722+250.371595416229i</v>
      </c>
      <c r="B19771" s="0" t="s">
        <v>19600</v>
      </c>
    </row>
    <row r="19772" customFormat="false" ht="15" hidden="false" customHeight="false" outlineLevel="0" collapsed="false">
      <c r="A19772" s="0" t="str">
        <f aca="false">IMCOSH("0.0084-1.0i")</f>
        <v>0.540321367845575-0.00706843939654936i</v>
      </c>
      <c r="B19772" s="0" t="s">
        <v>19601</v>
      </c>
    </row>
    <row r="19773" customFormat="false" ht="15" hidden="false" customHeight="false" outlineLevel="0" collapsed="false">
      <c r="A19773" s="0" t="str">
        <f aca="false">IMCOSH("-0.23")</f>
        <v>1.02656680621641</v>
      </c>
      <c r="B19773" s="0" t="s">
        <v>19602</v>
      </c>
    </row>
    <row r="19774" customFormat="false" ht="15" hidden="false" customHeight="false" outlineLevel="0" collapsed="false">
      <c r="A19774" s="0" t="str">
        <f aca="false">IMCOSH("-0.0")</f>
        <v>1</v>
      </c>
      <c r="B19774" s="0" t="s">
        <v>19577</v>
      </c>
    </row>
    <row r="19775" customFormat="false" ht="15" hidden="false" customHeight="false" outlineLevel="0" collapsed="false">
      <c r="A19775" s="0" t="str">
        <f aca="false">IMCOSH("-1.6437i")</f>
        <v>-0.0728391105223985</v>
      </c>
      <c r="B19775" s="0" t="s">
        <v>19603</v>
      </c>
    </row>
    <row r="19776" customFormat="false" ht="15" hidden="false" customHeight="false" outlineLevel="0" collapsed="false">
      <c r="A19776" s="0" t="e">
        <f aca="false">IMCOSH("-0.0055+-0.0i")</f>
        <v>#VALUE!</v>
      </c>
      <c r="B19776" s="0" t="s">
        <v>19604</v>
      </c>
    </row>
    <row r="19777" customFormat="false" ht="15" hidden="false" customHeight="false" outlineLevel="0" collapsed="false">
      <c r="A19777" s="0" t="str">
        <f aca="false">IMSECH("0.7-137.121j")</f>
        <v>0.722517826401336-0.877558838469761j</v>
      </c>
      <c r="B19777" s="0" t="s">
        <v>19605</v>
      </c>
    </row>
    <row r="19778" customFormat="false" ht="15" hidden="false" customHeight="false" outlineLevel="0" collapsed="false">
      <c r="A19778" s="0" t="str">
        <f aca="false">IMSECH("-325.0")</f>
        <v>1.42995831388907e-141</v>
      </c>
      <c r="B19778" s="0" t="s">
        <v>19606</v>
      </c>
    </row>
    <row r="19779" customFormat="false" ht="15" hidden="false" customHeight="false" outlineLevel="0" collapsed="false">
      <c r="A19779" s="0" t="str">
        <f aca="false">IMSECH("93.9955")</f>
        <v>3.01510903382853e-41</v>
      </c>
      <c r="B19779" s="0" t="s">
        <v>19607</v>
      </c>
    </row>
    <row r="19780" customFormat="false" ht="15" hidden="false" customHeight="false" outlineLevel="0" collapsed="false">
      <c r="A19780" s="0" t="str">
        <f aca="false">IMSECH("235.8098j")</f>
        <v>-1.0183943520383</v>
      </c>
      <c r="B19780" s="0" t="s">
        <v>19608</v>
      </c>
    </row>
    <row r="19781" customFormat="false" ht="15" hidden="false" customHeight="false" outlineLevel="0" collapsed="false">
      <c r="A19781" s="0" t="str">
        <f aca="false">IMSECH("-56.2+11.621i")</f>
        <v>4.58315270352392e-25-6.34669700869974e-25i</v>
      </c>
      <c r="B19781" s="0" t="s">
        <v>19609</v>
      </c>
    </row>
    <row r="19782" customFormat="false" ht="15" hidden="false" customHeight="false" outlineLevel="0" collapsed="false">
      <c r="A19782" s="0" t="str">
        <f aca="false">IMSECH("-8.0903+6.3394i")</f>
        <v>0.000612027225137404+3.44412027596274e-05i</v>
      </c>
      <c r="B19782" s="0" t="s">
        <v>19610</v>
      </c>
    </row>
    <row r="19783" customFormat="false" ht="15" hidden="false" customHeight="false" outlineLevel="0" collapsed="false">
      <c r="A19783" s="0" t="str">
        <f aca="false">IMSECH("35.04+262.7i")</f>
        <v>4.46036707980236e-16+1.12648671067014e-15i</v>
      </c>
      <c r="B19783" s="0" t="s">
        <v>19611</v>
      </c>
    </row>
    <row r="19784" customFormat="false" ht="15" hidden="false" customHeight="false" outlineLevel="0" collapsed="false">
      <c r="A19784" s="0" t="str">
        <f aca="false">IMSECH("0.47-0.01i")</f>
        <v>0.898905517965307+0.00393912912589748i</v>
      </c>
      <c r="B19784" s="0" t="s">
        <v>19612</v>
      </c>
    </row>
    <row r="19785" customFormat="false" ht="15" hidden="false" customHeight="false" outlineLevel="0" collapsed="false">
      <c r="A19785" s="0" t="str">
        <f aca="false">IMSECH("42.0")</f>
        <v>1.14990445285871e-18</v>
      </c>
      <c r="B19785" s="0" t="s">
        <v>19613</v>
      </c>
    </row>
    <row r="19786" customFormat="false" ht="15" hidden="false" customHeight="false" outlineLevel="0" collapsed="false">
      <c r="A19786" s="0" t="e">
        <f aca="false">IMSECH("0.0+-0.0i")</f>
        <v>#VALUE!</v>
      </c>
      <c r="B19786" s="0" t="s">
        <v>19614</v>
      </c>
    </row>
    <row r="19787" customFormat="false" ht="15" hidden="false" customHeight="false" outlineLevel="0" collapsed="false">
      <c r="A19787" s="0" t="str">
        <f aca="false">IMSECH("30.86+936.2275i")</f>
        <v>7.9152995162007e-14-2.60422014616488e-15i</v>
      </c>
      <c r="B19787" s="0" t="s">
        <v>19615</v>
      </c>
    </row>
    <row r="19788" customFormat="false" ht="15" hidden="false" customHeight="false" outlineLevel="0" collapsed="false">
      <c r="A19788" s="0" t="str">
        <f aca="false">IMSECH("-67.0+4.326i")</f>
        <v>-6.01815971076372e-30-1.47924486460795e-29i</v>
      </c>
      <c r="B19788" s="0" t="s">
        <v>19616</v>
      </c>
    </row>
    <row r="19789" customFormat="false" ht="15" hidden="false" customHeight="false" outlineLevel="0" collapsed="false">
      <c r="A19789" s="0" t="str">
        <f aca="false">IMSECH("76.2i")</f>
        <v>1.43795643343283</v>
      </c>
      <c r="B19789" s="0" t="s">
        <v>19617</v>
      </c>
    </row>
    <row r="19790" customFormat="false" ht="15" hidden="false" customHeight="false" outlineLevel="0" collapsed="false">
      <c r="A19790" s="0" t="str">
        <f aca="false">IMSECH("0.076-552.2343j")</f>
        <v>1.28368107673965-0.0797134171244922j</v>
      </c>
      <c r="B19790" s="0" t="s">
        <v>19618</v>
      </c>
    </row>
    <row r="19791" customFormat="false" ht="15" hidden="false" customHeight="false" outlineLevel="0" collapsed="false">
      <c r="A19791" s="0" t="str">
        <f aca="false">IMSECH("0.0-4.6597i")</f>
        <v>-18.9880849981258</v>
      </c>
      <c r="B19791" s="0" t="s">
        <v>19619</v>
      </c>
    </row>
    <row r="19792" customFormat="false" ht="15" hidden="false" customHeight="false" outlineLevel="0" collapsed="false">
      <c r="A19792" s="0" t="str">
        <f aca="false">IMSECH("-407.491i")</f>
        <v>1.64213847893153</v>
      </c>
      <c r="B19792" s="0" t="s">
        <v>19620</v>
      </c>
    </row>
    <row r="19793" customFormat="false" ht="15" hidden="false" customHeight="false" outlineLevel="0" collapsed="false">
      <c r="A19793" s="0" t="str">
        <f aca="false">IMSECH("-543.0")</f>
        <v>3.01388253751753e-236</v>
      </c>
      <c r="B19793" s="0" t="s">
        <v>19621</v>
      </c>
    </row>
    <row r="19794" customFormat="false" ht="15" hidden="false" customHeight="false" outlineLevel="0" collapsed="false">
      <c r="A19794" s="0" t="str">
        <f aca="false">IMSECH("-337.0+73.676i")</f>
        <v>-1.32535715309098e-147-8.68542767956431e-147i</v>
      </c>
      <c r="B19794" s="0" t="s">
        <v>19622</v>
      </c>
    </row>
    <row r="19795" customFormat="false" ht="15" hidden="false" customHeight="false" outlineLevel="0" collapsed="false">
      <c r="A19795" s="0" t="str">
        <f aca="false">IMSECH("-8.955-7.127i")</f>
        <v>0.0001715910456424-0.00019290806625534i</v>
      </c>
      <c r="B19795" s="0" t="s">
        <v>19623</v>
      </c>
    </row>
    <row r="19796" customFormat="false" ht="15" hidden="false" customHeight="false" outlineLevel="0" collapsed="false">
      <c r="A19796" s="0" t="str">
        <f aca="false">IMSECH("-90.0i")</f>
        <v>-2.2317761278578</v>
      </c>
      <c r="B19796" s="0" t="s">
        <v>19624</v>
      </c>
    </row>
    <row r="19797" customFormat="false" ht="15" hidden="false" customHeight="false" outlineLevel="0" collapsed="false">
      <c r="A19797" s="0" t="str">
        <f aca="false">IMSECH("-474.4462+4.804i")</f>
        <v>1.63306491076982e-207-1.77761782086302e-206i</v>
      </c>
      <c r="B19797" s="0" t="s">
        <v>19625</v>
      </c>
    </row>
    <row r="19798" customFormat="false" ht="15" hidden="false" customHeight="false" outlineLevel="0" collapsed="false">
      <c r="A19798" s="0" t="str">
        <f aca="false">IMSECH("-8.0-0.0031j")</f>
        <v>0.000670921956512334-2.07986425957669e-06j</v>
      </c>
      <c r="B19798" s="0" t="s">
        <v>19626</v>
      </c>
    </row>
    <row r="19799" customFormat="false" ht="15" hidden="false" customHeight="false" outlineLevel="0" collapsed="false">
      <c r="A19799" s="0" t="str">
        <f aca="false">IMSECH("-345.21-2.0i")</f>
        <v>-9.94210843258158e-151-2.17239032500593e-150i</v>
      </c>
      <c r="B19799" s="0" t="s">
        <v>19627</v>
      </c>
    </row>
    <row r="19800" customFormat="false" ht="15" hidden="false" customHeight="false" outlineLevel="0" collapsed="false">
      <c r="A19800" s="0" t="str">
        <f aca="false">IMSECH("5.0-3.64j")</f>
        <v>-0.0118364379981735-0.00644123445563806j</v>
      </c>
      <c r="B19800" s="0" t="s">
        <v>19628</v>
      </c>
    </row>
    <row r="19801" customFormat="false" ht="15" hidden="false" customHeight="false" outlineLevel="0" collapsed="false">
      <c r="A19801" s="0" t="e">
        <f aca="false">IMSECH("-6.0+-0.0j")</f>
        <v>#VALUE!</v>
      </c>
      <c r="B19801" s="0" t="s">
        <v>19629</v>
      </c>
    </row>
    <row r="19802" customFormat="false" ht="15" hidden="false" customHeight="false" outlineLevel="0" collapsed="false">
      <c r="A19802" s="0" t="str">
        <f aca="false">IMSECH("0.0i")</f>
        <v>1</v>
      </c>
      <c r="B19802" s="0" t="s">
        <v>19630</v>
      </c>
    </row>
    <row r="19803" customFormat="false" ht="15" hidden="false" customHeight="false" outlineLevel="0" collapsed="false">
      <c r="A19803" s="0" t="str">
        <f aca="false">IMSECH("-72.695-2.14i")</f>
        <v>-2.89434526055286e-32-4.52350552222851e-32i</v>
      </c>
      <c r="B19803" s="0" t="s">
        <v>19631</v>
      </c>
    </row>
    <row r="19804" customFormat="false" ht="15" hidden="false" customHeight="false" outlineLevel="0" collapsed="false">
      <c r="A19804" s="0" t="str">
        <f aca="false">IMSECH("-961.53+0.0i")</f>
        <v>0</v>
      </c>
      <c r="B19804" s="0" t="s">
        <v>19632</v>
      </c>
    </row>
    <row r="19805" customFormat="false" ht="15" hidden="false" customHeight="false" outlineLevel="0" collapsed="false">
      <c r="A19805" s="0" t="str">
        <f aca="false">IMSECH("10.99-23.4i")</f>
        <v>-5.44002563627028e-06-3.32976539145573e-05i</v>
      </c>
      <c r="B19805" s="0" t="s">
        <v>19633</v>
      </c>
    </row>
    <row r="19806" customFormat="false" ht="15" hidden="false" customHeight="false" outlineLevel="0" collapsed="false">
      <c r="A19806" s="0" t="str">
        <f aca="false">IMSECH("-1.0-1.0j")</f>
        <v>0.498337030555187-0.591083841721045j</v>
      </c>
      <c r="B19806" s="0" t="s">
        <v>19634</v>
      </c>
    </row>
    <row r="19807" customFormat="false" ht="15" hidden="false" customHeight="false" outlineLevel="0" collapsed="false">
      <c r="A19807" s="0" t="str">
        <f aca="false">IMSECH("-0.0048")</f>
        <v>0.999988480110591</v>
      </c>
      <c r="B19807" s="0" t="s">
        <v>19635</v>
      </c>
    </row>
    <row r="19808" customFormat="false" ht="15" hidden="false" customHeight="false" outlineLevel="0" collapsed="false">
      <c r="A19808" s="0" t="str">
        <f aca="false">IMSECH("-0.0")</f>
        <v>1</v>
      </c>
      <c r="B19808" s="0" t="s">
        <v>19636</v>
      </c>
    </row>
    <row r="19809" customFormat="false" ht="15" hidden="false" customHeight="false" outlineLevel="0" collapsed="false">
      <c r="A19809" s="0" t="str">
        <f aca="false">IMSECH("22.851-0.0079i")</f>
        <v>2.38206296719837e-10+1.88186889339548e-12i</v>
      </c>
      <c r="B19809" s="0" t="s">
        <v>19637</v>
      </c>
    </row>
    <row r="19810" customFormat="false" ht="15" hidden="false" customHeight="false" outlineLevel="0" collapsed="false">
      <c r="A19810" s="0" t="str">
        <f aca="false">IMSECH("-0.5-0.008i")</f>
        <v>0.886835141732045-0.00327864382194389i</v>
      </c>
      <c r="B19810" s="0" t="s">
        <v>19638</v>
      </c>
    </row>
    <row r="19811" customFormat="false" ht="15" hidden="false" customHeight="false" outlineLevel="0" collapsed="false">
      <c r="A19811" s="0" t="str">
        <f aca="false">IMSECH("-68.0+3.5712i")</f>
        <v>-5.34110249628686e-30-2.44700403568161e-30i</v>
      </c>
      <c r="B19811" s="0" t="s">
        <v>19639</v>
      </c>
    </row>
    <row r="19812" customFormat="false" ht="15" hidden="false" customHeight="false" outlineLevel="0" collapsed="false">
      <c r="A19812" s="0" t="str">
        <f aca="false">IMSECH("-903.434+40.2796j")</f>
        <v>-0</v>
      </c>
      <c r="B19812" s="0" t="s">
        <v>19640</v>
      </c>
    </row>
    <row r="19813" customFormat="false" ht="15" hidden="false" customHeight="false" outlineLevel="0" collapsed="false">
      <c r="A19813" s="0" t="str">
        <f aca="false">IMSECH("-22.0412+0.01j")</f>
        <v>5.35348692168775e-10+5.35366537839008e-12j</v>
      </c>
      <c r="B19813" s="0" t="s">
        <v>19641</v>
      </c>
    </row>
    <row r="19814" customFormat="false" ht="15" hidden="false" customHeight="false" outlineLevel="0" collapsed="false">
      <c r="A19814" s="0" t="str">
        <f aca="false">IMSECH("-9.52+0.324i")</f>
        <v>0.000139104416612171+4.67160751966746e-05i</v>
      </c>
      <c r="B19814" s="0" t="s">
        <v>19642</v>
      </c>
    </row>
    <row r="19815" customFormat="false" ht="15" hidden="false" customHeight="false" outlineLevel="0" collapsed="false">
      <c r="A19815" s="0" t="str">
        <f aca="false">IMSECH("1.0-1.0j")</f>
        <v>0.498337030555187+0.591083841721045j</v>
      </c>
      <c r="B19815" s="0" t="s">
        <v>19643</v>
      </c>
    </row>
    <row r="19816" customFormat="false" ht="15" hidden="false" customHeight="false" outlineLevel="0" collapsed="false">
      <c r="A19816" s="0" t="str">
        <f aca="false">IMSECH("0.0-9.266i")</f>
        <v>-1.01273900157955</v>
      </c>
      <c r="B19816" s="0" t="s">
        <v>19644</v>
      </c>
    </row>
    <row r="19817" customFormat="false" ht="15" hidden="false" customHeight="false" outlineLevel="0" collapsed="false">
      <c r="A19817" s="0" t="str">
        <f aca="false">IMSECH("-824.0")</f>
        <v>0</v>
      </c>
      <c r="B19817" s="0" t="s">
        <v>19645</v>
      </c>
    </row>
    <row r="19818" customFormat="false" ht="15" hidden="false" customHeight="false" outlineLevel="0" collapsed="false">
      <c r="A19818" s="0" t="str">
        <f aca="false">IMSECH("1.0-0.899i")</f>
        <v>0.543069482360803+0.520130558346098i</v>
      </c>
      <c r="B19818" s="0" t="s">
        <v>19646</v>
      </c>
    </row>
    <row r="19819" customFormat="false" ht="15" hidden="false" customHeight="false" outlineLevel="0" collapsed="false">
      <c r="A19819" s="0" t="str">
        <f aca="false">IMSECH("92.0+3.7865i")</f>
        <v>-1.77242935905458e-40+1.3332205974156e-40i</v>
      </c>
      <c r="B19819" s="0" t="s">
        <v>19647</v>
      </c>
    </row>
    <row r="19820" customFormat="false" ht="15" hidden="false" customHeight="false" outlineLevel="0" collapsed="false">
      <c r="A19820" s="0" t="str">
        <f aca="false">IMSECH("1.1-0.193j")</f>
        <v>0.596083362462922+0.0932534318905052j</v>
      </c>
      <c r="B19820" s="0" t="s">
        <v>19648</v>
      </c>
    </row>
    <row r="19821" customFormat="false" ht="15" hidden="false" customHeight="false" outlineLevel="0" collapsed="false">
      <c r="A19821" s="0" t="str">
        <f aca="false">IMSECH("61.93-0.002i")</f>
        <v>2.54197844045037e-27+5.08396365952076e-30i</v>
      </c>
      <c r="B19821" s="0" t="s">
        <v>19649</v>
      </c>
    </row>
    <row r="19822" customFormat="false" ht="15" hidden="false" customHeight="false" outlineLevel="0" collapsed="false">
      <c r="A19822" s="0" t="str">
        <f aca="false">IMSECH("-574.9+8.8j")</f>
        <v>-3.42139337677038e-250+2.46732714377302e-250j</v>
      </c>
      <c r="B19822" s="0" t="s">
        <v>19650</v>
      </c>
    </row>
    <row r="19823" customFormat="false" ht="15" hidden="false" customHeight="false" outlineLevel="0" collapsed="false">
      <c r="A19823" s="0" t="str">
        <f aca="false">IMSECH("-825.0+3.0i")</f>
        <v>-0</v>
      </c>
      <c r="B19823" s="0" t="s">
        <v>19651</v>
      </c>
    </row>
    <row r="19824" customFormat="false" ht="15" hidden="false" customHeight="false" outlineLevel="0" collapsed="false">
      <c r="A19824" s="0" t="str">
        <f aca="false">IMSECH("19.492+0.0077i")</f>
        <v>6.85092289374873e-09-5.27531488640516e-11i</v>
      </c>
      <c r="B19824" s="0" t="s">
        <v>19652</v>
      </c>
    </row>
    <row r="19825" customFormat="false" ht="15" hidden="false" customHeight="false" outlineLevel="0" collapsed="false">
      <c r="A19825" s="0" t="str">
        <f aca="false">IMSECH("42.31+0.477i")</f>
        <v>7.49251142850148e-19-3.87215741861576e-19i</v>
      </c>
      <c r="B19825" s="0" t="s">
        <v>19653</v>
      </c>
    </row>
    <row r="19826" customFormat="false" ht="15" hidden="false" customHeight="false" outlineLevel="0" collapsed="false">
      <c r="A19826" s="0" t="str">
        <f aca="false">IMSECH("-0.7056")</f>
        <v>0.794005715676527</v>
      </c>
      <c r="B19826" s="0" t="s">
        <v>19654</v>
      </c>
    </row>
    <row r="19827" customFormat="false" ht="15" hidden="false" customHeight="false" outlineLevel="0" collapsed="false">
      <c r="A19827" s="0" t="str">
        <f aca="false">IMSECH("-0.9-1.0i")</f>
        <v>0.575403931603736-0.641902118921197i</v>
      </c>
      <c r="B19827" s="0" t="s">
        <v>19655</v>
      </c>
    </row>
    <row r="19828" customFormat="false" ht="15" hidden="false" customHeight="false" outlineLevel="0" collapsed="false">
      <c r="A19828" s="0" t="e">
        <f aca="false">IMSECH("-0.0009+-0.0i")</f>
        <v>#VALUE!</v>
      </c>
      <c r="B19828" s="0" t="s">
        <v>19656</v>
      </c>
    </row>
    <row r="19829" customFormat="false" ht="15" hidden="false" customHeight="false" outlineLevel="0" collapsed="false">
      <c r="A19829" s="0" t="str">
        <f aca="false">IMSECH("-0.0+130.0i")</f>
        <v>-2.7226343697305</v>
      </c>
      <c r="B19829" s="0" t="s">
        <v>19657</v>
      </c>
    </row>
    <row r="19830" customFormat="false" ht="15" hidden="false" customHeight="false" outlineLevel="0" collapsed="false">
      <c r="A19830" s="0" t="str">
        <f aca="false">IMSECH("69.56-216.88i")</f>
        <v>-1.2270659549969e-30-1.35657089086226e-31i</v>
      </c>
      <c r="B19830" s="0" t="s">
        <v>19658</v>
      </c>
    </row>
    <row r="19831" customFormat="false" ht="15" hidden="false" customHeight="false" outlineLevel="0" collapsed="false">
      <c r="A19831" s="0" t="str">
        <f aca="false">IMSECH("-6.52-0.83i")</f>
        <v>0.00198909220042855-0.00217492944076415i</v>
      </c>
      <c r="B19831" s="0" t="s">
        <v>19659</v>
      </c>
    </row>
    <row r="19832" customFormat="false" ht="15" hidden="false" customHeight="false" outlineLevel="0" collapsed="false">
      <c r="A19832" s="0" t="str">
        <f aca="false">IMSECH("0.0084-1.0i")</f>
        <v>1.85043374596058+0.0242072210521765i</v>
      </c>
      <c r="B19832" s="0" t="s">
        <v>19660</v>
      </c>
    </row>
    <row r="19833" customFormat="false" ht="15" hidden="false" customHeight="false" outlineLevel="0" collapsed="false">
      <c r="A19833" s="0" t="str">
        <f aca="false">IMSECH("-0.23")</f>
        <v>0.974120723507199</v>
      </c>
      <c r="B19833" s="0" t="s">
        <v>19661</v>
      </c>
    </row>
    <row r="19834" customFormat="false" ht="15" hidden="false" customHeight="false" outlineLevel="0" collapsed="false">
      <c r="A19834" s="0" t="str">
        <f aca="false">IMSECH("-0.0")</f>
        <v>1</v>
      </c>
      <c r="B19834" s="0" t="s">
        <v>19636</v>
      </c>
    </row>
    <row r="19835" customFormat="false" ht="15" hidden="false" customHeight="false" outlineLevel="0" collapsed="false">
      <c r="A19835" s="0" t="str">
        <f aca="false">IMSECH("-1.6437i")</f>
        <v>-13.7288881320495</v>
      </c>
      <c r="B19835" s="0" t="s">
        <v>19662</v>
      </c>
    </row>
    <row r="19836" customFormat="false" ht="15" hidden="false" customHeight="false" outlineLevel="0" collapsed="false">
      <c r="A19836" s="0" t="e">
        <f aca="false">IMSECH("-0.0055+-0.0i")</f>
        <v>#VALUE!</v>
      </c>
      <c r="B19836" s="0" t="s">
        <v>19663</v>
      </c>
    </row>
    <row r="19837" customFormat="false" ht="15" hidden="false" customHeight="false" outlineLevel="0" collapsed="false">
      <c r="A19837" s="0" t="str">
        <f aca="false">IMCSCH("0.7-137.121j")</f>
        <v>0.24541956267737-0.816082854242325j</v>
      </c>
      <c r="B19837" s="0" t="s">
        <v>19664</v>
      </c>
    </row>
    <row r="19838" customFormat="false" ht="15" hidden="false" customHeight="false" outlineLevel="0" collapsed="false">
      <c r="A19838" s="0" t="str">
        <f aca="false">IMCSCH("-325.0")</f>
        <v>-1.42995831388907e-141</v>
      </c>
      <c r="B19838" s="0" t="s">
        <v>19665</v>
      </c>
    </row>
    <row r="19839" customFormat="false" ht="15" hidden="false" customHeight="false" outlineLevel="0" collapsed="false">
      <c r="A19839" s="0" t="str">
        <f aca="false">IMCSCH("93.9955")</f>
        <v>3.01510903382853e-41</v>
      </c>
      <c r="B19839" s="0" t="s">
        <v>19666</v>
      </c>
    </row>
    <row r="19840" customFormat="false" ht="15" hidden="false" customHeight="false" outlineLevel="0" collapsed="false">
      <c r="A19840" s="0" t="str">
        <f aca="false">IMCSCH("235.8098j")</f>
        <v>5.2853131503813j</v>
      </c>
      <c r="B19840" s="0" t="s">
        <v>19667</v>
      </c>
    </row>
    <row r="19841" customFormat="false" ht="15" hidden="false" customHeight="false" outlineLevel="0" collapsed="false">
      <c r="A19841" s="0" t="str">
        <f aca="false">IMCSCH("-56.2+11.621i")</f>
        <v>-4.58315270352392e-25+6.34669700869974e-25i</v>
      </c>
      <c r="B19841" s="0" t="s">
        <v>19668</v>
      </c>
    </row>
    <row r="19842" customFormat="false" ht="15" hidden="false" customHeight="false" outlineLevel="0" collapsed="false">
      <c r="A19842" s="0" t="str">
        <f aca="false">IMCSCH("-8.0903+6.3394i")</f>
        <v>-0.000612027338674218-3.44412220905498e-05i</v>
      </c>
      <c r="B19842" s="0" t="s">
        <v>19669</v>
      </c>
    </row>
    <row r="19843" customFormat="false" ht="15" hidden="false" customHeight="false" outlineLevel="0" collapsed="false">
      <c r="A19843" s="0" t="str">
        <f aca="false">IMCSCH("35.04+262.7i")</f>
        <v>4.46036707980236e-16+1.12648671067014e-15i</v>
      </c>
      <c r="B19843" s="0" t="s">
        <v>19670</v>
      </c>
    </row>
    <row r="19844" customFormat="false" ht="15" hidden="false" customHeight="false" outlineLevel="0" collapsed="false">
      <c r="A19844" s="0" t="str">
        <f aca="false">IMCSCH("0.47-0.01i")</f>
        <v>2.05033375991404+0.0467915406916849i</v>
      </c>
      <c r="B19844" s="0" t="s">
        <v>19671</v>
      </c>
    </row>
    <row r="19845" customFormat="false" ht="15" hidden="false" customHeight="false" outlineLevel="0" collapsed="false">
      <c r="A19845" s="0" t="str">
        <f aca="false">IMCSCH("42.0")</f>
        <v>1.14990445285871e-18</v>
      </c>
      <c r="B19845" s="0" t="s">
        <v>19672</v>
      </c>
    </row>
    <row r="19846" customFormat="false" ht="15" hidden="false" customHeight="false" outlineLevel="0" collapsed="false">
      <c r="A19846" s="0" t="e">
        <f aca="false">IMCSCH("0.0+-0.0i")</f>
        <v>#VALUE!</v>
      </c>
      <c r="B19846" s="0" t="s">
        <v>19673</v>
      </c>
    </row>
    <row r="19847" customFormat="false" ht="15" hidden="false" customHeight="false" outlineLevel="0" collapsed="false">
      <c r="A19847" s="0" t="str">
        <f aca="false">IMCSCH("30.86+936.2275i")</f>
        <v>7.9152995162007e-14-2.60422014616488e-15i</v>
      </c>
      <c r="B19847" s="0" t="s">
        <v>19674</v>
      </c>
    </row>
    <row r="19848" customFormat="false" ht="15" hidden="false" customHeight="false" outlineLevel="0" collapsed="false">
      <c r="A19848" s="0" t="str">
        <f aca="false">IMCSCH("-67.0+4.326i")</f>
        <v>6.01815971076372e-30+1.47924486460795e-29i</v>
      </c>
      <c r="B19848" s="0" t="s">
        <v>19675</v>
      </c>
    </row>
    <row r="19849" customFormat="false" ht="15" hidden="false" customHeight="false" outlineLevel="0" collapsed="false">
      <c r="A19849" s="0" t="str">
        <f aca="false">IMCSCH("76.2i")</f>
        <v>-1.39160923699117i</v>
      </c>
      <c r="B19849" s="0" t="s">
        <v>19676</v>
      </c>
    </row>
    <row r="19850" customFormat="false" ht="15" hidden="false" customHeight="false" outlineLevel="0" collapsed="false">
      <c r="A19850" s="0" t="str">
        <f aca="false">IMCSCH("0.076-552.2343j")</f>
        <v>0.144611547649345-1.56070258644505j</v>
      </c>
      <c r="B19850" s="0" t="s">
        <v>19677</v>
      </c>
    </row>
    <row r="19851" customFormat="false" ht="15" hidden="false" customHeight="false" outlineLevel="0" collapsed="false">
      <c r="A19851" s="0" t="str">
        <f aca="false">IMCSCH("0.0-4.6597i")</f>
        <v>-1.00138967174384i</v>
      </c>
      <c r="B19851" s="0" t="s">
        <v>19678</v>
      </c>
    </row>
    <row r="19852" customFormat="false" ht="15" hidden="false" customHeight="false" outlineLevel="0" collapsed="false">
      <c r="A19852" s="0" t="str">
        <f aca="false">IMCSCH("-407.491i")</f>
        <v>-1.26071709622268i</v>
      </c>
      <c r="B19852" s="0" t="s">
        <v>19679</v>
      </c>
    </row>
    <row r="19853" customFormat="false" ht="15" hidden="false" customHeight="false" outlineLevel="0" collapsed="false">
      <c r="A19853" s="0" t="str">
        <f aca="false">IMCSCH("-543.0")</f>
        <v>-3.01388253751753e-236</v>
      </c>
      <c r="B19853" s="0" t="s">
        <v>19680</v>
      </c>
    </row>
    <row r="19854" customFormat="false" ht="15" hidden="false" customHeight="false" outlineLevel="0" collapsed="false">
      <c r="A19854" s="0" t="str">
        <f aca="false">IMCSCH("-337.0+73.676i")</f>
        <v>1.32535715309098e-147+8.68542767956431e-147i</v>
      </c>
      <c r="B19854" s="0" t="s">
        <v>19681</v>
      </c>
    </row>
    <row r="19855" customFormat="false" ht="15" hidden="false" customHeight="false" outlineLevel="0" collapsed="false">
      <c r="A19855" s="0" t="str">
        <f aca="false">IMCSCH("-8.955-7.127i")</f>
        <v>-0.000171591038590258+0.000192908071185775i</v>
      </c>
      <c r="B19855" s="0" t="s">
        <v>19682</v>
      </c>
    </row>
    <row r="19856" customFormat="false" ht="15" hidden="false" customHeight="false" outlineLevel="0" collapsed="false">
      <c r="A19856" s="0" t="str">
        <f aca="false">IMCSCH("-90.0i")</f>
        <v>1.11857240716371i</v>
      </c>
      <c r="B19856" s="0" t="s">
        <v>19683</v>
      </c>
    </row>
    <row r="19857" customFormat="false" ht="15" hidden="false" customHeight="false" outlineLevel="0" collapsed="false">
      <c r="A19857" s="0" t="str">
        <f aca="false">IMCSCH("-474.4462+4.804i")</f>
        <v>-1.63306491076982e-207+1.77761782086302e-206i</v>
      </c>
      <c r="B19857" s="0" t="s">
        <v>19684</v>
      </c>
    </row>
    <row r="19858" customFormat="false" ht="15" hidden="false" customHeight="false" outlineLevel="0" collapsed="false">
      <c r="A19858" s="0" t="str">
        <f aca="false">IMCSCH("-8.0-0.0031j")</f>
        <v>-0.000670922107511186+2.07986566390649e-06j</v>
      </c>
      <c r="B19858" s="0" t="s">
        <v>19685</v>
      </c>
    </row>
    <row r="19859" customFormat="false" ht="15" hidden="false" customHeight="false" outlineLevel="0" collapsed="false">
      <c r="A19859" s="0" t="str">
        <f aca="false">IMCSCH("-345.21-2.0i")</f>
        <v>9.94210843258158e-151+2.17239032500593e-150i</v>
      </c>
      <c r="B19859" s="0" t="s">
        <v>19686</v>
      </c>
    </row>
    <row r="19860" customFormat="false" ht="15" hidden="false" customHeight="false" outlineLevel="0" collapsed="false">
      <c r="A19860" s="0" t="str">
        <f aca="false">IMCSCH("5.0-3.64j")</f>
        <v>-0.0118365303835694-0.00644245457227637j</v>
      </c>
      <c r="B19860" s="0" t="s">
        <v>19687</v>
      </c>
    </row>
    <row r="19861" customFormat="false" ht="15" hidden="false" customHeight="false" outlineLevel="0" collapsed="false">
      <c r="A19861" s="0" t="e">
        <f aca="false">IMCSCH("-6.0+-0.0j")</f>
        <v>#VALUE!</v>
      </c>
      <c r="B19861" s="0" t="s">
        <v>19688</v>
      </c>
    </row>
    <row r="19862" customFormat="false" ht="15" hidden="false" customHeight="false" outlineLevel="0" collapsed="false">
      <c r="A19862" s="0" t="e">
        <f aca="false">IMCSCH("0.0i")</f>
        <v>#VALUE!</v>
      </c>
      <c r="B19862" s="0" t="s">
        <v>19689</v>
      </c>
    </row>
    <row r="19863" customFormat="false" ht="15" hidden="false" customHeight="false" outlineLevel="0" collapsed="false">
      <c r="A19863" s="0" t="str">
        <f aca="false">IMCSCH("-72.695-2.14i")</f>
        <v>2.89434526055286e-32+4.52350552222851e-32i</v>
      </c>
      <c r="B19863" s="0" t="s">
        <v>19690</v>
      </c>
    </row>
    <row r="19864" customFormat="false" ht="15" hidden="false" customHeight="false" outlineLevel="0" collapsed="false">
      <c r="A19864" s="0" t="str">
        <f aca="false">IMCSCH("-961.53+0.0i")</f>
        <v>-0</v>
      </c>
      <c r="B19864" s="0" t="s">
        <v>19691</v>
      </c>
    </row>
    <row r="19865" customFormat="false" ht="15" hidden="false" customHeight="false" outlineLevel="0" collapsed="false">
      <c r="A19865" s="0" t="str">
        <f aca="false">IMCSCH("10.99-23.4i")</f>
        <v>-5.44002562730347e-06-3.32976538975763e-05i</v>
      </c>
      <c r="B19865" s="0" t="s">
        <v>19692</v>
      </c>
    </row>
    <row r="19866" customFormat="false" ht="15" hidden="false" customHeight="false" outlineLevel="0" collapsed="false">
      <c r="A19866" s="0" t="str">
        <f aca="false">IMCSCH("-1.0-1.0j")</f>
        <v>-0.303931001628426+0.621518017170428j</v>
      </c>
      <c r="B19866" s="0" t="s">
        <v>19693</v>
      </c>
    </row>
    <row r="19867" customFormat="false" ht="15" hidden="false" customHeight="false" outlineLevel="0" collapsed="false">
      <c r="A19867" s="0" t="str">
        <f aca="false">IMCSCH("-0.0048")</f>
        <v>-208.332533335484</v>
      </c>
      <c r="B19867" s="0" t="s">
        <v>19694</v>
      </c>
    </row>
    <row r="19868" customFormat="false" ht="15" hidden="false" customHeight="false" outlineLevel="0" collapsed="false">
      <c r="A19868" s="0" t="e">
        <f aca="false">IMCSCH("-0.0")</f>
        <v>#VALUE!</v>
      </c>
      <c r="B19868" s="0" t="s">
        <v>19695</v>
      </c>
    </row>
    <row r="19869" customFormat="false" ht="15" hidden="false" customHeight="false" outlineLevel="0" collapsed="false">
      <c r="A19869" s="0" t="str">
        <f aca="false">IMCSCH("22.851-0.0079i")</f>
        <v>2.38206296719837e-10+1.88186889339548e-12i</v>
      </c>
      <c r="B19869" s="0" t="s">
        <v>19696</v>
      </c>
    </row>
    <row r="19870" customFormat="false" ht="15" hidden="false" customHeight="false" outlineLevel="0" collapsed="false">
      <c r="A19870" s="0" t="str">
        <f aca="false">IMCSCH("-0.5-0.008i")</f>
        <v>-1.91852117126059+0.0332134320592743i</v>
      </c>
      <c r="B19870" s="0" t="s">
        <v>19697</v>
      </c>
    </row>
    <row r="19871" customFormat="false" ht="15" hidden="false" customHeight="false" outlineLevel="0" collapsed="false">
      <c r="A19871" s="0" t="str">
        <f aca="false">IMCSCH("-68.0+3.5712i")</f>
        <v>5.34110249628686e-30+2.44700403568161e-30i</v>
      </c>
      <c r="B19871" s="0" t="s">
        <v>19698</v>
      </c>
    </row>
    <row r="19872" customFormat="false" ht="15" hidden="false" customHeight="false" outlineLevel="0" collapsed="false">
      <c r="A19872" s="0" t="str">
        <f aca="false">IMCSCH("-903.434+40.2796j")</f>
        <v>0</v>
      </c>
      <c r="B19872" s="0" t="s">
        <v>19699</v>
      </c>
    </row>
    <row r="19873" customFormat="false" ht="15" hidden="false" customHeight="false" outlineLevel="0" collapsed="false">
      <c r="A19873" s="0" t="str">
        <f aca="false">IMCSCH("-22.0412+0.01j")</f>
        <v>-5.35348692168775e-10-5.35366537839008e-12j</v>
      </c>
      <c r="B19873" s="0" t="s">
        <v>19700</v>
      </c>
    </row>
    <row r="19874" customFormat="false" ht="15" hidden="false" customHeight="false" outlineLevel="0" collapsed="false">
      <c r="A19874" s="0" t="str">
        <f aca="false">IMCSCH("-9.52+0.324i")</f>
        <v>-0.000139104417502638-4.67160765016351e-05i</v>
      </c>
      <c r="B19874" s="0" t="s">
        <v>19701</v>
      </c>
    </row>
    <row r="19875" customFormat="false" ht="15" hidden="false" customHeight="false" outlineLevel="0" collapsed="false">
      <c r="A19875" s="0" t="str">
        <f aca="false">IMCSCH("1.0-1.0j")</f>
        <v>0.303931001628426+0.621518017170428j</v>
      </c>
      <c r="B19875" s="0" t="s">
        <v>19702</v>
      </c>
    </row>
    <row r="19876" customFormat="false" ht="15" hidden="false" customHeight="false" outlineLevel="0" collapsed="false">
      <c r="A19876" s="0" t="str">
        <f aca="false">IMCSCH("0.0-9.266i")</f>
        <v>6.32464434259009i</v>
      </c>
      <c r="B19876" s="0" t="s">
        <v>19703</v>
      </c>
    </row>
    <row r="19877" customFormat="false" ht="15" hidden="false" customHeight="false" outlineLevel="0" collapsed="false">
      <c r="A19877" s="0" t="str">
        <f aca="false">IMCSCH("-824.0")</f>
        <v>-0</v>
      </c>
      <c r="B19877" s="0" t="s">
        <v>19704</v>
      </c>
    </row>
    <row r="19878" customFormat="false" ht="15" hidden="false" customHeight="false" outlineLevel="0" collapsed="false">
      <c r="A19878" s="0" t="str">
        <f aca="false">IMCSCH("1.0-0.899i")</f>
        <v>0.366869575549147+0.605789111482145i</v>
      </c>
      <c r="B19878" s="0" t="s">
        <v>19705</v>
      </c>
    </row>
    <row r="19879" customFormat="false" ht="15" hidden="false" customHeight="false" outlineLevel="0" collapsed="false">
      <c r="A19879" s="0" t="str">
        <f aca="false">IMCSCH("92.0+3.7865i")</f>
        <v>-1.77242935905458e-40+1.3332205974156e-40i</v>
      </c>
      <c r="B19879" s="0" t="s">
        <v>19706</v>
      </c>
    </row>
    <row r="19880" customFormat="false" ht="15" hidden="false" customHeight="false" outlineLevel="0" collapsed="false">
      <c r="A19880" s="0" t="str">
        <f aca="false">IMCSCH("1.1-0.193j")</f>
        <v>0.719952708166026+0.175768150111652j</v>
      </c>
      <c r="B19880" s="0" t="s">
        <v>19707</v>
      </c>
    </row>
    <row r="19881" customFormat="false" ht="15" hidden="false" customHeight="false" outlineLevel="0" collapsed="false">
      <c r="A19881" s="0" t="str">
        <f aca="false">IMCSCH("61.93-0.002i")</f>
        <v>2.54197844045037e-27+5.08396365952076e-30i</v>
      </c>
      <c r="B19881" s="0" t="s">
        <v>19708</v>
      </c>
    </row>
    <row r="19882" customFormat="false" ht="15" hidden="false" customHeight="false" outlineLevel="0" collapsed="false">
      <c r="A19882" s="0" t="str">
        <f aca="false">IMCSCH("-574.9+8.8j")</f>
        <v>3.42139337677038e-250-2.46732714377302e-250j</v>
      </c>
      <c r="B19882" s="0" t="s">
        <v>19709</v>
      </c>
    </row>
    <row r="19883" customFormat="false" ht="15" hidden="false" customHeight="false" outlineLevel="0" collapsed="false">
      <c r="A19883" s="0" t="str">
        <f aca="false">IMCSCH("-825.0+3.0i")</f>
        <v>0</v>
      </c>
      <c r="B19883" s="0" t="s">
        <v>19710</v>
      </c>
    </row>
    <row r="19884" customFormat="false" ht="15" hidden="false" customHeight="false" outlineLevel="0" collapsed="false">
      <c r="A19884" s="0" t="str">
        <f aca="false">IMCSCH("19.492+0.0077i")</f>
        <v>6.85092289374873e-09-5.27531488640516e-11i</v>
      </c>
      <c r="B19884" s="0" t="s">
        <v>19711</v>
      </c>
    </row>
    <row r="19885" customFormat="false" ht="15" hidden="false" customHeight="false" outlineLevel="0" collapsed="false">
      <c r="A19885" s="0" t="str">
        <f aca="false">IMCSCH("42.31+0.477i")</f>
        <v>7.49251142850148e-19-3.87215741861576e-19i</v>
      </c>
      <c r="B19885" s="0" t="s">
        <v>19712</v>
      </c>
    </row>
    <row r="19886" customFormat="false" ht="15" hidden="false" customHeight="false" outlineLevel="0" collapsed="false">
      <c r="A19886" s="0" t="str">
        <f aca="false">IMCSCH("-0.7056")</f>
        <v>-1.30612316610819</v>
      </c>
      <c r="B19886" s="0" t="s">
        <v>19713</v>
      </c>
    </row>
    <row r="19887" customFormat="false" ht="15" hidden="false" customHeight="false" outlineLevel="0" collapsed="false">
      <c r="A19887" s="0" t="str">
        <f aca="false">IMCSCH("-0.9-1.0i")</f>
        <v>-0.314806563640483+0.684466887845873i</v>
      </c>
      <c r="B19887" s="0" t="s">
        <v>19714</v>
      </c>
    </row>
    <row r="19888" customFormat="false" ht="15" hidden="false" customHeight="false" outlineLevel="0" collapsed="false">
      <c r="A19888" s="0" t="e">
        <f aca="false">IMCSCH("-0.0009+-0.0i")</f>
        <v>#VALUE!</v>
      </c>
      <c r="B19888" s="0" t="s">
        <v>19715</v>
      </c>
    </row>
    <row r="19889" customFormat="false" ht="15" hidden="false" customHeight="false" outlineLevel="0" collapsed="false">
      <c r="A19889" s="0" t="str">
        <f aca="false">IMCSCH("-0.0+130.0i")</f>
        <v>1.07514633123162i</v>
      </c>
      <c r="B19889" s="0" t="s">
        <v>19716</v>
      </c>
    </row>
    <row r="19890" customFormat="false" ht="15" hidden="false" customHeight="false" outlineLevel="0" collapsed="false">
      <c r="A19890" s="0" t="str">
        <f aca="false">IMCSCH("69.56-216.88i")</f>
        <v>-1.2270659549969e-30-1.35657089086226e-31i</v>
      </c>
      <c r="B19890" s="0" t="s">
        <v>19717</v>
      </c>
    </row>
    <row r="19891" customFormat="false" ht="15" hidden="false" customHeight="false" outlineLevel="0" collapsed="false">
      <c r="A19891" s="0" t="str">
        <f aca="false">IMCSCH("-6.52-0.83i")</f>
        <v>-0.0019890820217354+0.00217493720426222i</v>
      </c>
      <c r="B19891" s="0" t="s">
        <v>19718</v>
      </c>
    </row>
    <row r="19892" customFormat="false" ht="15" hidden="false" customHeight="false" outlineLevel="0" collapsed="false">
      <c r="A19892" s="0" t="str">
        <f aca="false">IMCSCH("0.0084-1.0i")</f>
        <v>0.00640913835507302+1.18831861305695i</v>
      </c>
      <c r="B19892" s="0" t="s">
        <v>19719</v>
      </c>
    </row>
    <row r="19893" customFormat="false" ht="15" hidden="false" customHeight="false" outlineLevel="0" collapsed="false">
      <c r="A19893" s="0" t="str">
        <f aca="false">IMCSCH("-0.23")</f>
        <v>-4.30972802166961</v>
      </c>
      <c r="B19893" s="0" t="s">
        <v>19720</v>
      </c>
    </row>
    <row r="19894" customFormat="false" ht="15" hidden="false" customHeight="false" outlineLevel="0" collapsed="false">
      <c r="A19894" s="0" t="e">
        <f aca="false">IMCSCH("-0.0")</f>
        <v>#VALUE!</v>
      </c>
      <c r="B19894" s="0" t="s">
        <v>19695</v>
      </c>
    </row>
    <row r="19895" customFormat="false" ht="15" hidden="false" customHeight="false" outlineLevel="0" collapsed="false">
      <c r="A19895" s="0" t="str">
        <f aca="false">IMCSCH("-1.6437i")</f>
        <v>1.00266337066573i</v>
      </c>
      <c r="B19895" s="0" t="s">
        <v>19721</v>
      </c>
    </row>
    <row r="19896" customFormat="false" ht="15" hidden="false" customHeight="false" outlineLevel="0" collapsed="false">
      <c r="A19896" s="0" t="e">
        <f aca="false">IMCSCH("-0.0055+-0.0i")</f>
        <v>#VALUE!</v>
      </c>
      <c r="B19896" s="0" t="s">
        <v>19722</v>
      </c>
    </row>
    <row r="19897" customFormat="false" ht="15" hidden="false" customHeight="false" outlineLevel="0" collapsed="false">
      <c r="A19897" s="0" t="str">
        <f aca="false">IMSUM("0.7-137.121j","-325.0")</f>
        <v>-324.3-137.121j</v>
      </c>
      <c r="B19897" s="0" t="s">
        <v>19723</v>
      </c>
    </row>
    <row r="19898" customFormat="false" ht="15" hidden="false" customHeight="false" outlineLevel="0" collapsed="false">
      <c r="A19898" s="0" t="str">
        <f aca="false">IMSUB("0.7-137.121j","-325.0")</f>
        <v>325.7-137.121j</v>
      </c>
      <c r="B19898" s="0" t="s">
        <v>19724</v>
      </c>
    </row>
    <row r="19899" customFormat="false" ht="15" hidden="false" customHeight="false" outlineLevel="0" collapsed="false">
      <c r="A19899" s="0" t="str">
        <f aca="false">IMPRODUCT("0.7-137.121j","-325.0")</f>
        <v>-227.5+44564.325j</v>
      </c>
      <c r="B19899" s="0" t="s">
        <v>19725</v>
      </c>
    </row>
    <row r="19900" customFormat="false" ht="15" hidden="false" customHeight="false" outlineLevel="0" collapsed="false">
      <c r="A19900" s="0" t="str">
        <f aca="false">IMDIV("0.7-137.121j","-325.0")</f>
        <v>-0.00215384615384615+0.421910769230769j</v>
      </c>
      <c r="B19900" s="0" t="s">
        <v>19726</v>
      </c>
    </row>
    <row r="19901" customFormat="false" ht="15" hidden="false" customHeight="false" outlineLevel="0" collapsed="false">
      <c r="A19901" s="0" t="str">
        <f aca="false">IMSUM("93.9955","235.8098j")</f>
        <v>93.9955+235.8098j</v>
      </c>
      <c r="B19901" s="0" t="s">
        <v>19727</v>
      </c>
    </row>
    <row r="19902" customFormat="false" ht="15" hidden="false" customHeight="false" outlineLevel="0" collapsed="false">
      <c r="A19902" s="0" t="str">
        <f aca="false">IMSUB("93.9955","235.8098j")</f>
        <v>93.9955-235.8098j</v>
      </c>
      <c r="B19902" s="0" t="s">
        <v>19728</v>
      </c>
    </row>
    <row r="19903" customFormat="false" ht="15" hidden="false" customHeight="false" outlineLevel="0" collapsed="false">
      <c r="A19903" s="0" t="str">
        <f aca="false">IMPRODUCT("93.9955","235.8098j")</f>
        <v>22165.0600559j</v>
      </c>
      <c r="B19903" s="0" t="s">
        <v>19729</v>
      </c>
    </row>
    <row r="19904" customFormat="false" ht="15" hidden="false" customHeight="false" outlineLevel="0" collapsed="false">
      <c r="A19904" s="0" t="str">
        <f aca="false">IMDIV("93.9955","235.8098j")</f>
        <v>-0.398607267382441i</v>
      </c>
      <c r="B19904" s="0" t="s">
        <v>19730</v>
      </c>
    </row>
    <row r="19905" customFormat="false" ht="15" hidden="false" customHeight="false" outlineLevel="0" collapsed="false">
      <c r="A19905" s="0" t="str">
        <f aca="false">IMSUM("-56.2+11.621i","-8.0903+6.3394i")</f>
        <v>-64.2903+17.9604i</v>
      </c>
      <c r="B19905" s="0" t="s">
        <v>19731</v>
      </c>
    </row>
    <row r="19906" customFormat="false" ht="15" hidden="false" customHeight="false" outlineLevel="0" collapsed="false">
      <c r="A19906" s="0" t="str">
        <f aca="false">IMSUB("-56.2+11.621i","-8.0903+6.3394i")</f>
        <v>-48.1097+5.2816i</v>
      </c>
      <c r="B19906" s="0" t="s">
        <v>19732</v>
      </c>
    </row>
    <row r="19907" customFormat="false" ht="15" hidden="false" customHeight="false" outlineLevel="0" collapsed="false">
      <c r="A19907" s="0" t="str">
        <f aca="false">IMPRODUCT("-56.2+11.621i","-8.0903+6.3394i")</f>
        <v>381.0046926-450.2916563i</v>
      </c>
      <c r="B19907" s="0" t="s">
        <v>19733</v>
      </c>
    </row>
    <row r="19908" customFormat="false" ht="15" hidden="false" customHeight="false" outlineLevel="0" collapsed="false">
      <c r="A19908" s="0" t="str">
        <f aca="false">IMDIV("-56.2+11.621i","-8.0903+6.3394i")</f>
        <v>5.00132803760961+2.4825308037554i</v>
      </c>
      <c r="B19908" s="0" t="s">
        <v>19734</v>
      </c>
    </row>
    <row r="19909" customFormat="false" ht="15" hidden="false" customHeight="false" outlineLevel="0" collapsed="false">
      <c r="A19909" s="0" t="str">
        <f aca="false">IMSUM("35.04+262.7i","0.47-0.01i")</f>
        <v>35.51+262.69i</v>
      </c>
      <c r="B19909" s="0" t="s">
        <v>19735</v>
      </c>
    </row>
    <row r="19910" customFormat="false" ht="15" hidden="false" customHeight="false" outlineLevel="0" collapsed="false">
      <c r="A19910" s="0" t="str">
        <f aca="false">IMSUB("35.04+262.7i","0.47-0.01i")</f>
        <v>34.57+262.71i</v>
      </c>
      <c r="B19910" s="0" t="s">
        <v>19736</v>
      </c>
    </row>
    <row r="19911" customFormat="false" ht="15" hidden="false" customHeight="false" outlineLevel="0" collapsed="false">
      <c r="A19911" s="0" t="str">
        <f aca="false">IMPRODUCT("35.04+262.7i","0.47-0.01i")</f>
        <v>19.0958+123.1186i</v>
      </c>
      <c r="B19911" s="0" t="s">
        <v>19737</v>
      </c>
    </row>
    <row r="19912" customFormat="false" ht="15" hidden="false" customHeight="false" outlineLevel="0" collapsed="false">
      <c r="A19912" s="0" t="str">
        <f aca="false">IMDIV("35.04+262.7i","0.47-0.01i")</f>
        <v>62.6325791855204+560.268778280543i</v>
      </c>
      <c r="B19912" s="0" t="s">
        <v>19738</v>
      </c>
    </row>
    <row r="19913" customFormat="false" ht="15" hidden="false" customHeight="false" outlineLevel="0" collapsed="false">
      <c r="A19913" s="0" t="e">
        <f aca="false">IMSUM("42.0","0.0+-0.0i")</f>
        <v>#VALUE!</v>
      </c>
      <c r="B19913" s="0" t="s">
        <v>19739</v>
      </c>
    </row>
    <row r="19914" customFormat="false" ht="15" hidden="false" customHeight="false" outlineLevel="0" collapsed="false">
      <c r="A19914" s="0" t="e">
        <f aca="false">IMSUB("42.0","0.0+-0.0i")</f>
        <v>#VALUE!</v>
      </c>
      <c r="B19914" s="0" t="s">
        <v>19740</v>
      </c>
    </row>
    <row r="19915" customFormat="false" ht="15" hidden="false" customHeight="false" outlineLevel="0" collapsed="false">
      <c r="A19915" s="0" t="e">
        <f aca="false">IMPRODUCT("42.0","0.0+-0.0i")</f>
        <v>#VALUE!</v>
      </c>
      <c r="B19915" s="0" t="s">
        <v>19741</v>
      </c>
    </row>
    <row r="19916" customFormat="false" ht="15" hidden="false" customHeight="false" outlineLevel="0" collapsed="false">
      <c r="A19916" s="0" t="e">
        <f aca="false">IMDIV("42.0","0.0+-0.0i")</f>
        <v>#VALUE!</v>
      </c>
      <c r="B19916" s="0" t="s">
        <v>19742</v>
      </c>
    </row>
    <row r="19917" customFormat="false" ht="15" hidden="false" customHeight="false" outlineLevel="0" collapsed="false">
      <c r="A19917" s="0" t="str">
        <f aca="false">IMSUM("30.86+936.2275i","-67.0+4.326i")</f>
        <v>-36.14+940.5535i</v>
      </c>
      <c r="B19917" s="0" t="s">
        <v>19743</v>
      </c>
    </row>
    <row r="19918" customFormat="false" ht="15" hidden="false" customHeight="false" outlineLevel="0" collapsed="false">
      <c r="A19918" s="0" t="str">
        <f aca="false">IMSUB("30.86+936.2275i","-67.0+4.326i")</f>
        <v>97.86+931.9015i</v>
      </c>
      <c r="B19918" s="0" t="s">
        <v>19744</v>
      </c>
    </row>
    <row r="19919" customFormat="false" ht="15" hidden="false" customHeight="false" outlineLevel="0" collapsed="false">
      <c r="A19919" s="0" t="str">
        <f aca="false">IMPRODUCT("30.86+936.2275i","-67.0+4.326i")</f>
        <v>-6117.740165-62593.74214i</v>
      </c>
      <c r="B19919" s="0" t="s">
        <v>19745</v>
      </c>
    </row>
    <row r="19920" customFormat="false" ht="15" hidden="false" customHeight="false" outlineLevel="0" collapsed="false">
      <c r="A19920" s="0" t="str">
        <f aca="false">IMDIV("30.86+936.2275i","-67.0+4.326i")</f>
        <v>0.439801647490224-13.9451480309397i</v>
      </c>
      <c r="B19920" s="0" t="s">
        <v>19746</v>
      </c>
    </row>
    <row r="19921" customFormat="false" ht="15" hidden="false" customHeight="false" outlineLevel="0" collapsed="false">
      <c r="A19921" s="0" t="str">
        <f aca="false">IMSUM("76.2i","0.076-552.2343j")</f>
        <v>0.076-476.0343i</v>
      </c>
      <c r="B19921" s="0" t="s">
        <v>19747</v>
      </c>
    </row>
    <row r="19922" customFormat="false" ht="15" hidden="false" customHeight="false" outlineLevel="0" collapsed="false">
      <c r="A19922" s="0" t="str">
        <f aca="false">IMSUB("76.2i","0.076-552.2343j")</f>
        <v>-0.076+628.4343i</v>
      </c>
      <c r="B19922" s="0" t="s">
        <v>19748</v>
      </c>
    </row>
    <row r="19923" customFormat="false" ht="15" hidden="false" customHeight="false" outlineLevel="0" collapsed="false">
      <c r="A19923" s="0" t="str">
        <f aca="false">IMPRODUCT("76.2i","0.076-552.2343j")</f>
        <v>42080.25366+5.7912i</v>
      </c>
      <c r="B19923" s="0" t="s">
        <v>19749</v>
      </c>
    </row>
    <row r="19924" customFormat="false" ht="15" hidden="false" customHeight="false" outlineLevel="0" collapsed="false">
      <c r="A19924" s="0" t="str">
        <f aca="false">IMDIV("76.2i","0.076-552.2343j")</f>
        <v>-0.137984907052623+1.89898616148968e-05i</v>
      </c>
      <c r="B19924" s="0" t="s">
        <v>19750</v>
      </c>
    </row>
    <row r="19925" customFormat="false" ht="15" hidden="false" customHeight="false" outlineLevel="0" collapsed="false">
      <c r="A19925" s="0" t="str">
        <f aca="false">IMSUM("0.0-4.6597i","-407.491i")</f>
        <v>-412.1507i</v>
      </c>
      <c r="B19925" s="0" t="s">
        <v>19751</v>
      </c>
    </row>
    <row r="19926" customFormat="false" ht="15" hidden="false" customHeight="false" outlineLevel="0" collapsed="false">
      <c r="A19926" s="0" t="str">
        <f aca="false">IMSUB("0.0-4.6597i","-407.491i")</f>
        <v>402.8313i</v>
      </c>
      <c r="B19926" s="0" t="s">
        <v>19752</v>
      </c>
    </row>
    <row r="19927" customFormat="false" ht="15" hidden="false" customHeight="false" outlineLevel="0" collapsed="false">
      <c r="A19927" s="0" t="str">
        <f aca="false">IMPRODUCT("0.0-4.6597i","-407.491i")</f>
        <v>-1898.7858127</v>
      </c>
      <c r="B19927" s="0" t="s">
        <v>19753</v>
      </c>
    </row>
    <row r="19928" customFormat="false" ht="15" hidden="false" customHeight="false" outlineLevel="0" collapsed="false">
      <c r="A19928" s="0" t="str">
        <f aca="false">IMDIV("0.0-4.6597i","-407.491i")</f>
        <v>0.0114350991801046</v>
      </c>
      <c r="B19928" s="0" t="s">
        <v>19754</v>
      </c>
    </row>
    <row r="19929" customFormat="false" ht="15" hidden="false" customHeight="false" outlineLevel="0" collapsed="false">
      <c r="A19929" s="0" t="str">
        <f aca="false">IMSUM("-543.0","-337.0+73.676i")</f>
        <v>-880+73.676i</v>
      </c>
      <c r="B19929" s="0" t="s">
        <v>19755</v>
      </c>
    </row>
    <row r="19930" customFormat="false" ht="15" hidden="false" customHeight="false" outlineLevel="0" collapsed="false">
      <c r="A19930" s="0" t="str">
        <f aca="false">IMSUB("-543.0","-337.0+73.676i")</f>
        <v>-206-73.676i</v>
      </c>
      <c r="B19930" s="0" t="s">
        <v>19756</v>
      </c>
    </row>
    <row r="19931" customFormat="false" ht="15" hidden="false" customHeight="false" outlineLevel="0" collapsed="false">
      <c r="A19931" s="0" t="str">
        <f aca="false">IMPRODUCT("-543.0","-337.0+73.676i")</f>
        <v>182991-40006.068i</v>
      </c>
      <c r="B19931" s="0" t="s">
        <v>19757</v>
      </c>
    </row>
    <row r="19932" customFormat="false" ht="15" hidden="false" customHeight="false" outlineLevel="0" collapsed="false">
      <c r="A19932" s="0" t="str">
        <f aca="false">IMDIV("-543.0","-337.0+73.676i")</f>
        <v>1.53777628643693+0.336193488663285i</v>
      </c>
      <c r="B19932" s="0" t="s">
        <v>19758</v>
      </c>
    </row>
    <row r="19933" customFormat="false" ht="15" hidden="false" customHeight="false" outlineLevel="0" collapsed="false">
      <c r="A19933" s="0" t="str">
        <f aca="false">IMSUM("-8.955-7.127i","-90.0i")</f>
        <v>-8.955-97.127i</v>
      </c>
      <c r="B19933" s="0" t="s">
        <v>19759</v>
      </c>
    </row>
    <row r="19934" customFormat="false" ht="15" hidden="false" customHeight="false" outlineLevel="0" collapsed="false">
      <c r="A19934" s="0" t="str">
        <f aca="false">IMSUB("-8.955-7.127i","-90.0i")</f>
        <v>-8.955+82.873i</v>
      </c>
      <c r="B19934" s="0" t="s">
        <v>19760</v>
      </c>
    </row>
    <row r="19935" customFormat="false" ht="15" hidden="false" customHeight="false" outlineLevel="0" collapsed="false">
      <c r="A19935" s="0" t="str">
        <f aca="false">IMPRODUCT("-8.955-7.127i","-90.0i")</f>
        <v>-641.43+805.95i</v>
      </c>
      <c r="B19935" s="0" t="s">
        <v>19761</v>
      </c>
    </row>
    <row r="19936" customFormat="false" ht="15" hidden="false" customHeight="false" outlineLevel="0" collapsed="false">
      <c r="A19936" s="0" t="str">
        <f aca="false">IMDIV("-8.955-7.127i","-90.0i")</f>
        <v>0.0791888888888889-0.0995i</v>
      </c>
      <c r="B19936" s="0" t="s">
        <v>19762</v>
      </c>
    </row>
    <row r="19937" customFormat="false" ht="15" hidden="false" customHeight="false" outlineLevel="0" collapsed="false">
      <c r="A19937" s="0" t="str">
        <f aca="false">IMSUM("-474.4462+4.804i","-8.0-0.0031j")</f>
        <v>-482.4462+4.8009i</v>
      </c>
      <c r="B19937" s="0" t="s">
        <v>19763</v>
      </c>
    </row>
    <row r="19938" customFormat="false" ht="15" hidden="false" customHeight="false" outlineLevel="0" collapsed="false">
      <c r="A19938" s="0" t="str">
        <f aca="false">IMSUB("-474.4462+4.804i","-8.0-0.0031j")</f>
        <v>-466.4462+4.8071i</v>
      </c>
      <c r="B19938" s="0" t="s">
        <v>19764</v>
      </c>
    </row>
    <row r="19939" customFormat="false" ht="15" hidden="false" customHeight="false" outlineLevel="0" collapsed="false">
      <c r="A19939" s="0" t="str">
        <f aca="false">IMPRODUCT("-474.4462+4.804i","-8.0-0.0031j")</f>
        <v>3795.5844924-36.96121678i</v>
      </c>
      <c r="B19939" s="0" t="s">
        <v>19765</v>
      </c>
    </row>
    <row r="19940" customFormat="false" ht="15" hidden="false" customHeight="false" outlineLevel="0" collapsed="false">
      <c r="A19940" s="0" t="str">
        <f aca="false">IMDIV("-474.4462+4.804i","-8.0-0.0031j")</f>
        <v>59.3055334011535-0.623480894192947i</v>
      </c>
      <c r="B19940" s="0" t="s">
        <v>19766</v>
      </c>
    </row>
    <row r="19941" customFormat="false" ht="15" hidden="false" customHeight="false" outlineLevel="0" collapsed="false">
      <c r="A19941" s="0" t="str">
        <f aca="false">IMSUM("-345.21-2.0i","5.0-3.64j")</f>
        <v>-340.21-5.64i</v>
      </c>
      <c r="B19941" s="0" t="s">
        <v>19767</v>
      </c>
    </row>
    <row r="19942" customFormat="false" ht="15" hidden="false" customHeight="false" outlineLevel="0" collapsed="false">
      <c r="A19942" s="0" t="str">
        <f aca="false">IMSUB("-345.21-2.0i","5.0-3.64j")</f>
        <v>-350.21+1.64i</v>
      </c>
      <c r="B19942" s="0" t="s">
        <v>19768</v>
      </c>
    </row>
    <row r="19943" customFormat="false" ht="15" hidden="false" customHeight="false" outlineLevel="0" collapsed="false">
      <c r="A19943" s="0" t="str">
        <f aca="false">IMPRODUCT("-345.21-2.0i","5.0-3.64j")</f>
        <v>-1733.33+1246.5644i</v>
      </c>
      <c r="B19943" s="0" t="s">
        <v>19769</v>
      </c>
    </row>
    <row r="19944" customFormat="false" ht="15" hidden="false" customHeight="false" outlineLevel="0" collapsed="false">
      <c r="A19944" s="0" t="str">
        <f aca="false">IMDIV("-345.21-2.0i","5.0-3.64j")</f>
        <v>-44.9356333138124-33.1131410524554i</v>
      </c>
      <c r="B19944" s="0" t="s">
        <v>19770</v>
      </c>
    </row>
    <row r="19945" customFormat="false" ht="15" hidden="false" customHeight="false" outlineLevel="0" collapsed="false">
      <c r="A19945" s="0" t="e">
        <f aca="false">IMSUM("-6.0+-0.0j","0.0i")</f>
        <v>#VALUE!</v>
      </c>
      <c r="B19945" s="0" t="s">
        <v>19771</v>
      </c>
    </row>
    <row r="19946" customFormat="false" ht="15" hidden="false" customHeight="false" outlineLevel="0" collapsed="false">
      <c r="A19946" s="0" t="e">
        <f aca="false">IMSUB("-6.0+-0.0j","0.0i")</f>
        <v>#VALUE!</v>
      </c>
      <c r="B19946" s="0" t="s">
        <v>19772</v>
      </c>
    </row>
    <row r="19947" customFormat="false" ht="15" hidden="false" customHeight="false" outlineLevel="0" collapsed="false">
      <c r="A19947" s="0" t="e">
        <f aca="false">IMPRODUCT("-6.0+-0.0j","0.0i")</f>
        <v>#VALUE!</v>
      </c>
      <c r="B19947" s="0" t="s">
        <v>19773</v>
      </c>
    </row>
    <row r="19948" customFormat="false" ht="15" hidden="false" customHeight="false" outlineLevel="0" collapsed="false">
      <c r="A19948" s="0" t="e">
        <f aca="false">IMDIV("-6.0+-0.0j","0.0i")</f>
        <v>#VALUE!</v>
      </c>
      <c r="B19948" s="0" t="s">
        <v>19774</v>
      </c>
    </row>
    <row r="19949" customFormat="false" ht="15" hidden="false" customHeight="false" outlineLevel="0" collapsed="false">
      <c r="A19949" s="0" t="str">
        <f aca="false">IMSUM("-72.695-2.14i","-961.53+0.0i")</f>
        <v>-1034.225-2.14i</v>
      </c>
      <c r="B19949" s="0" t="s">
        <v>19775</v>
      </c>
    </row>
    <row r="19950" customFormat="false" ht="15" hidden="false" customHeight="false" outlineLevel="0" collapsed="false">
      <c r="A19950" s="0" t="str">
        <f aca="false">IMSUB("-72.695-2.14i","-961.53+0.0i")</f>
        <v>888.835-2.14i</v>
      </c>
      <c r="B19950" s="0" t="s">
        <v>19776</v>
      </c>
    </row>
    <row r="19951" customFormat="false" ht="15" hidden="false" customHeight="false" outlineLevel="0" collapsed="false">
      <c r="A19951" s="0" t="str">
        <f aca="false">IMPRODUCT("-72.695-2.14i","-961.53+0.0i")</f>
        <v>69898.42335+2057.6742i</v>
      </c>
      <c r="B19951" s="0" t="s">
        <v>19777</v>
      </c>
    </row>
    <row r="19952" customFormat="false" ht="15" hidden="false" customHeight="false" outlineLevel="0" collapsed="false">
      <c r="A19952" s="0" t="str">
        <f aca="false">IMDIV("-72.695-2.14i","-961.53+0.0i")</f>
        <v>0.0756034653104947+0.00222561958545235i</v>
      </c>
      <c r="B19952" s="0" t="s">
        <v>19778</v>
      </c>
    </row>
    <row r="19953" customFormat="false" ht="15" hidden="false" customHeight="false" outlineLevel="0" collapsed="false">
      <c r="A19953" s="0" t="str">
        <f aca="false">IMSUM("10.99-23.4i","-1.0-1.0j")</f>
        <v>9.99-24.4i</v>
      </c>
      <c r="B19953" s="0" t="s">
        <v>19779</v>
      </c>
    </row>
    <row r="19954" customFormat="false" ht="15" hidden="false" customHeight="false" outlineLevel="0" collapsed="false">
      <c r="A19954" s="0" t="str">
        <f aca="false">IMSUB("10.99-23.4i","-1.0-1.0j")</f>
        <v>11.99-22.4i</v>
      </c>
      <c r="B19954" s="0" t="s">
        <v>19780</v>
      </c>
    </row>
    <row r="19955" customFormat="false" ht="15" hidden="false" customHeight="false" outlineLevel="0" collapsed="false">
      <c r="A19955" s="0" t="str">
        <f aca="false">IMPRODUCT("10.99-23.4i","-1.0-1.0j")</f>
        <v>-34.39+12.41i</v>
      </c>
      <c r="B19955" s="0" t="s">
        <v>19781</v>
      </c>
    </row>
    <row r="19956" customFormat="false" ht="15" hidden="false" customHeight="false" outlineLevel="0" collapsed="false">
      <c r="A19956" s="0" t="str">
        <f aca="false">IMDIV("10.99-23.4i","-1.0-1.0j")</f>
        <v>6.205+17.195i</v>
      </c>
      <c r="B19956" s="0" t="s">
        <v>19782</v>
      </c>
    </row>
    <row r="19957" customFormat="false" ht="15" hidden="false" customHeight="false" outlineLevel="0" collapsed="false">
      <c r="A19957" s="0" t="str">
        <f aca="false">IMSUM("-0.0048","-0.0")</f>
        <v>-0.0048</v>
      </c>
      <c r="B19957" s="0" t="s">
        <v>19783</v>
      </c>
    </row>
    <row r="19958" customFormat="false" ht="15" hidden="false" customHeight="false" outlineLevel="0" collapsed="false">
      <c r="A19958" s="0" t="str">
        <f aca="false">IMSUB("-0.0048","-0.0")</f>
        <v>-0.0048</v>
      </c>
      <c r="B19958" s="0" t="s">
        <v>19784</v>
      </c>
    </row>
    <row r="19959" customFormat="false" ht="15" hidden="false" customHeight="false" outlineLevel="0" collapsed="false">
      <c r="A19959" s="0" t="str">
        <f aca="false">IMPRODUCT("-0.0048","-0.0")</f>
        <v>0</v>
      </c>
      <c r="B19959" s="0" t="s">
        <v>19785</v>
      </c>
    </row>
    <row r="19960" customFormat="false" ht="15" hidden="false" customHeight="false" outlineLevel="0" collapsed="false">
      <c r="A19960" s="0" t="e">
        <f aca="false">IMDIV("-0.0048","-0.0")</f>
        <v>#VALUE!</v>
      </c>
      <c r="B19960" s="0" t="s">
        <v>19786</v>
      </c>
    </row>
    <row r="19961" customFormat="false" ht="15" hidden="false" customHeight="false" outlineLevel="0" collapsed="false">
      <c r="A19961" s="0" t="str">
        <f aca="false">IMSUM("22.851-0.0079i","-0.5-0.008i")</f>
        <v>22.351-0.0159i</v>
      </c>
      <c r="B19961" s="0" t="s">
        <v>19787</v>
      </c>
    </row>
    <row r="19962" customFormat="false" ht="15" hidden="false" customHeight="false" outlineLevel="0" collapsed="false">
      <c r="A19962" s="0" t="str">
        <f aca="false">IMSUB("22.851-0.0079i","-0.5-0.008i")</f>
        <v>23.351+9.99999999999994e-05i</v>
      </c>
      <c r="B19962" s="0" t="s">
        <v>19788</v>
      </c>
    </row>
    <row r="19963" customFormat="false" ht="15" hidden="false" customHeight="false" outlineLevel="0" collapsed="false">
      <c r="A19963" s="0" t="str">
        <f aca="false">IMPRODUCT("22.851-0.0079i","-0.5-0.008i")</f>
        <v>-11.4255632-0.178858i</v>
      </c>
      <c r="B19963" s="0" t="s">
        <v>19789</v>
      </c>
    </row>
    <row r="19964" customFormat="false" ht="15" hidden="false" customHeight="false" outlineLevel="0" collapsed="false">
      <c r="A19964" s="0" t="str">
        <f aca="false">IMDIV("22.851-0.0079i","-0.5-0.008i")</f>
        <v>-45.69005054706+0.746840808752959i</v>
      </c>
      <c r="B19964" s="0" t="s">
        <v>19790</v>
      </c>
    </row>
    <row r="19965" customFormat="false" ht="15" hidden="false" customHeight="false" outlineLevel="0" collapsed="false">
      <c r="A19965" s="0" t="str">
        <f aca="false">IMSUM("-68.0+3.5712i","-903.434+40.2796j")</f>
        <v>-971.434+43.8508i</v>
      </c>
      <c r="B19965" s="0" t="s">
        <v>19791</v>
      </c>
    </row>
    <row r="19966" customFormat="false" ht="15" hidden="false" customHeight="false" outlineLevel="0" collapsed="false">
      <c r="A19966" s="0" t="str">
        <f aca="false">IMSUB("-68.0+3.5712i","-903.434+40.2796j")</f>
        <v>835.434-36.7084i</v>
      </c>
      <c r="B19966" s="0" t="s">
        <v>19792</v>
      </c>
    </row>
    <row r="19967" customFormat="false" ht="15" hidden="false" customHeight="false" outlineLevel="0" collapsed="false">
      <c r="A19967" s="0" t="str">
        <f aca="false">IMPRODUCT("-68.0+3.5712i","-903.434+40.2796j")</f>
        <v>61289.66549248-5965.3563008i</v>
      </c>
      <c r="B19967" s="0" t="s">
        <v>19793</v>
      </c>
    </row>
    <row r="19968" customFormat="false" ht="15" hidden="false" customHeight="false" outlineLevel="0" collapsed="false">
      <c r="A19968" s="0" t="str">
        <f aca="false">IMDIV("-68.0+3.5712i","-903.434+40.2796j")</f>
        <v>0.0752949328249916-0.000595893251507548i</v>
      </c>
      <c r="B19968" s="0" t="s">
        <v>19794</v>
      </c>
    </row>
    <row r="19969" customFormat="false" ht="15" hidden="false" customHeight="false" outlineLevel="0" collapsed="false">
      <c r="A19969" s="0" t="str">
        <f aca="false">IMSUM("-22.0412+0.01j","-9.52+0.324i")</f>
        <v>-31.5612+0.334j</v>
      </c>
      <c r="B19969" s="0" t="s">
        <v>19795</v>
      </c>
    </row>
    <row r="19970" customFormat="false" ht="15" hidden="false" customHeight="false" outlineLevel="0" collapsed="false">
      <c r="A19970" s="0" t="str">
        <f aca="false">IMSUB("-22.0412+0.01j","-9.52+0.324i")</f>
        <v>-12.5212-0.314j</v>
      </c>
      <c r="B19970" s="0" t="s">
        <v>19796</v>
      </c>
    </row>
    <row r="19971" customFormat="false" ht="15" hidden="false" customHeight="false" outlineLevel="0" collapsed="false">
      <c r="A19971" s="0" t="str">
        <f aca="false">IMPRODUCT("-22.0412+0.01j","-9.52+0.324i")</f>
        <v>209.828984-7.2365488j</v>
      </c>
      <c r="B19971" s="0" t="s">
        <v>19797</v>
      </c>
    </row>
    <row r="19972" customFormat="false" ht="15" hidden="false" customHeight="false" outlineLevel="0" collapsed="false">
      <c r="A19972" s="0" t="str">
        <f aca="false">IMDIV("-22.0412+0.01j","-9.52+0.324i")</f>
        <v>2.31260918563891+0.0776560269061981j</v>
      </c>
      <c r="B19972" s="0" t="s">
        <v>19798</v>
      </c>
    </row>
    <row r="19973" customFormat="false" ht="15" hidden="false" customHeight="false" outlineLevel="0" collapsed="false">
      <c r="A19973" s="0" t="str">
        <f aca="false">IMSUM("1.0-1.0j","0.0-9.266i")</f>
        <v>1-10.266j</v>
      </c>
      <c r="B19973" s="0" t="s">
        <v>19799</v>
      </c>
    </row>
    <row r="19974" customFormat="false" ht="15" hidden="false" customHeight="false" outlineLevel="0" collapsed="false">
      <c r="A19974" s="0" t="str">
        <f aca="false">IMSUB("1.0-1.0j","0.0-9.266i")</f>
        <v>1+8.266j</v>
      </c>
      <c r="B19974" s="0" t="s">
        <v>19800</v>
      </c>
    </row>
    <row r="19975" customFormat="false" ht="15" hidden="false" customHeight="false" outlineLevel="0" collapsed="false">
      <c r="A19975" s="0" t="str">
        <f aca="false">IMPRODUCT("1.0-1.0j","0.0-9.266i")</f>
        <v>-9.266-9.266j</v>
      </c>
      <c r="B19975" s="0" t="s">
        <v>19801</v>
      </c>
    </row>
    <row r="19976" customFormat="false" ht="15" hidden="false" customHeight="false" outlineLevel="0" collapsed="false">
      <c r="A19976" s="0" t="str">
        <f aca="false">IMDIV("1.0-1.0j","0.0-9.266i")</f>
        <v>0.107921433196633+0.107921433196633j</v>
      </c>
      <c r="B19976" s="0" t="s">
        <v>19802</v>
      </c>
    </row>
    <row r="19977" customFormat="false" ht="15" hidden="false" customHeight="false" outlineLevel="0" collapsed="false">
      <c r="A19977" s="0" t="str">
        <f aca="false">IMSUM("-824.0","1.0-0.899i")</f>
        <v>-823-0.899i</v>
      </c>
      <c r="B19977" s="0" t="s">
        <v>19803</v>
      </c>
    </row>
    <row r="19978" customFormat="false" ht="15" hidden="false" customHeight="false" outlineLevel="0" collapsed="false">
      <c r="A19978" s="0" t="str">
        <f aca="false">IMSUB("-824.0","1.0-0.899i")</f>
        <v>-825+0.899i</v>
      </c>
      <c r="B19978" s="0" t="s">
        <v>19804</v>
      </c>
    </row>
    <row r="19979" customFormat="false" ht="15" hidden="false" customHeight="false" outlineLevel="0" collapsed="false">
      <c r="A19979" s="0" t="str">
        <f aca="false">IMPRODUCT("-824.0","1.0-0.899i")</f>
        <v>-824+740.776i</v>
      </c>
      <c r="B19979" s="0" t="s">
        <v>19805</v>
      </c>
    </row>
    <row r="19980" customFormat="false" ht="15" hidden="false" customHeight="false" outlineLevel="0" collapsed="false">
      <c r="A19980" s="0" t="str">
        <f aca="false">IMDIV("-824.0","1.0-0.899i")</f>
        <v>-455.70155087847-409.675694239744i</v>
      </c>
      <c r="B19980" s="0" t="s">
        <v>19806</v>
      </c>
    </row>
    <row r="19981" customFormat="false" ht="15" hidden="false" customHeight="false" outlineLevel="0" collapsed="false">
      <c r="A19981" s="0" t="str">
        <f aca="false">IMSUM("92.0+3.7865i","1.1-0.193j")</f>
        <v>93.1+3.5935i</v>
      </c>
      <c r="B19981" s="0" t="s">
        <v>19807</v>
      </c>
    </row>
    <row r="19982" customFormat="false" ht="15" hidden="false" customHeight="false" outlineLevel="0" collapsed="false">
      <c r="A19982" s="0" t="str">
        <f aca="false">IMSUB("92.0+3.7865i","1.1-0.193j")</f>
        <v>90.9+3.9795i</v>
      </c>
      <c r="B19982" s="0" t="s">
        <v>19808</v>
      </c>
    </row>
    <row r="19983" customFormat="false" ht="15" hidden="false" customHeight="false" outlineLevel="0" collapsed="false">
      <c r="A19983" s="0" t="str">
        <f aca="false">IMPRODUCT("92.0+3.7865i","1.1-0.193j")</f>
        <v>101.9307945-13.59085i</v>
      </c>
      <c r="B19983" s="0" t="s">
        <v>19809</v>
      </c>
    </row>
    <row r="19984" customFormat="false" ht="15" hidden="false" customHeight="false" outlineLevel="0" collapsed="false">
      <c r="A19984" s="0" t="str">
        <f aca="false">IMDIV("92.0+3.7865i","1.1-0.193j")</f>
        <v>80.5526446603685+17.5756003813192i</v>
      </c>
      <c r="B19984" s="0" t="s">
        <v>19810</v>
      </c>
    </row>
    <row r="19985" customFormat="false" ht="15" hidden="false" customHeight="false" outlineLevel="0" collapsed="false">
      <c r="A19985" s="0" t="str">
        <f aca="false">IMSUM("61.93-0.002i","-574.9+8.8j")</f>
        <v>-512.97+8.798i</v>
      </c>
      <c r="B19985" s="0" t="s">
        <v>19811</v>
      </c>
    </row>
    <row r="19986" customFormat="false" ht="15" hidden="false" customHeight="false" outlineLevel="0" collapsed="false">
      <c r="A19986" s="0" t="str">
        <f aca="false">IMSUB("61.93-0.002i","-574.9+8.8j")</f>
        <v>636.83-8.802i</v>
      </c>
      <c r="B19986" s="0" t="s">
        <v>19812</v>
      </c>
    </row>
    <row r="19987" customFormat="false" ht="15" hidden="false" customHeight="false" outlineLevel="0" collapsed="false">
      <c r="A19987" s="0" t="str">
        <f aca="false">IMPRODUCT("61.93-0.002i","-574.9+8.8j")</f>
        <v>-35603.5394+546.1338i</v>
      </c>
      <c r="B19987" s="0" t="s">
        <v>19813</v>
      </c>
    </row>
    <row r="19988" customFormat="false" ht="15" hidden="false" customHeight="false" outlineLevel="0" collapsed="false">
      <c r="A19988" s="0" t="str">
        <f aca="false">IMDIV("61.93-0.002i","-574.9+8.8j")</f>
        <v>-0.107697901417613-0.00164505397890936i</v>
      </c>
      <c r="B19988" s="0" t="s">
        <v>19814</v>
      </c>
    </row>
    <row r="19989" customFormat="false" ht="15" hidden="false" customHeight="false" outlineLevel="0" collapsed="false">
      <c r="A19989" s="0" t="str">
        <f aca="false">IMSUM("-825.0+3.0i","19.492+0.0077i")</f>
        <v>-805.508+3.0077i</v>
      </c>
      <c r="B19989" s="0" t="s">
        <v>19815</v>
      </c>
    </row>
    <row r="19990" customFormat="false" ht="15" hidden="false" customHeight="false" outlineLevel="0" collapsed="false">
      <c r="A19990" s="0" t="str">
        <f aca="false">IMSUB("-825.0+3.0i","19.492+0.0077i")</f>
        <v>-844.492+2.9923i</v>
      </c>
      <c r="B19990" s="0" t="s">
        <v>19816</v>
      </c>
    </row>
    <row r="19991" customFormat="false" ht="15" hidden="false" customHeight="false" outlineLevel="0" collapsed="false">
      <c r="A19991" s="0" t="str">
        <f aca="false">IMPRODUCT("-825.0+3.0i","19.492+0.0077i")</f>
        <v>-16080.9231+52.1235i</v>
      </c>
      <c r="B19991" s="0" t="s">
        <v>19817</v>
      </c>
    </row>
    <row r="19992" customFormat="false" ht="15" hidden="false" customHeight="false" outlineLevel="0" collapsed="false">
      <c r="A19992" s="0" t="str">
        <f aca="false">IMDIV("-825.0+3.0i","19.492+0.0077i")</f>
        <v>-42.3249890291366+0.170629099914034i</v>
      </c>
      <c r="B19992" s="0" t="s">
        <v>19818</v>
      </c>
    </row>
    <row r="19993" customFormat="false" ht="15" hidden="false" customHeight="false" outlineLevel="0" collapsed="false">
      <c r="A19993" s="0" t="str">
        <f aca="false">IMSUM("42.31+0.477i","-0.7056")</f>
        <v>41.6044+0.477i</v>
      </c>
      <c r="B19993" s="0" t="s">
        <v>19819</v>
      </c>
    </row>
    <row r="19994" customFormat="false" ht="15" hidden="false" customHeight="false" outlineLevel="0" collapsed="false">
      <c r="A19994" s="0" t="str">
        <f aca="false">IMSUB("42.31+0.477i","-0.7056")</f>
        <v>43.0156+0.477i</v>
      </c>
      <c r="B19994" s="0" t="s">
        <v>19820</v>
      </c>
    </row>
    <row r="19995" customFormat="false" ht="15" hidden="false" customHeight="false" outlineLevel="0" collapsed="false">
      <c r="A19995" s="0" t="str">
        <f aca="false">IMPRODUCT("42.31+0.477i","-0.7056")</f>
        <v>-29.853936-0.3365712i</v>
      </c>
      <c r="B19995" s="0" t="s">
        <v>19821</v>
      </c>
    </row>
    <row r="19996" customFormat="false" ht="15" hidden="false" customHeight="false" outlineLevel="0" collapsed="false">
      <c r="A19996" s="0" t="str">
        <f aca="false">IMDIV("42.31+0.477i","-0.7056")</f>
        <v>-59.9631519274376-0.676020408163265i</v>
      </c>
      <c r="B19996" s="0" t="s">
        <v>19822</v>
      </c>
    </row>
    <row r="19997" customFormat="false" ht="15" hidden="false" customHeight="false" outlineLevel="0" collapsed="false">
      <c r="A19997" s="0" t="e">
        <f aca="false">IMSUM("-0.9-1.0i","-0.0009+-0.0i")</f>
        <v>#VALUE!</v>
      </c>
      <c r="B19997" s="0" t="s">
        <v>19823</v>
      </c>
    </row>
    <row r="19998" customFormat="false" ht="15" hidden="false" customHeight="false" outlineLevel="0" collapsed="false">
      <c r="A19998" s="0" t="e">
        <f aca="false">IMSUB("-0.9-1.0i","-0.0009+-0.0i")</f>
        <v>#VALUE!</v>
      </c>
      <c r="B19998" s="0" t="s">
        <v>19824</v>
      </c>
    </row>
    <row r="19999" customFormat="false" ht="15" hidden="false" customHeight="false" outlineLevel="0" collapsed="false">
      <c r="A19999" s="0" t="e">
        <f aca="false">IMPRODUCT("-0.9-1.0i","-0.0009+-0.0i")</f>
        <v>#VALUE!</v>
      </c>
      <c r="B19999" s="0" t="s">
        <v>19825</v>
      </c>
    </row>
    <row r="20000" customFormat="false" ht="15" hidden="false" customHeight="false" outlineLevel="0" collapsed="false">
      <c r="A20000" s="0" t="e">
        <f aca="false">IMDIV("-0.9-1.0i","-0.0009+-0.0i")</f>
        <v>#VALUE!</v>
      </c>
      <c r="B20000" s="0" t="s">
        <v>19826</v>
      </c>
    </row>
    <row r="20001" customFormat="false" ht="15" hidden="false" customHeight="false" outlineLevel="0" collapsed="false">
      <c r="A20001" s="0" t="str">
        <f aca="false">IMSUM("-0.0+130.0i","69.56-216.88i")</f>
        <v>69.56-86.88i</v>
      </c>
      <c r="B20001" s="0" t="s">
        <v>19827</v>
      </c>
    </row>
    <row r="20002" customFormat="false" ht="15" hidden="false" customHeight="false" outlineLevel="0" collapsed="false">
      <c r="A20002" s="0" t="str">
        <f aca="false">IMSUB("-0.0+130.0i","69.56-216.88i")</f>
        <v>-69.56+346.88i</v>
      </c>
      <c r="B20002" s="0" t="s">
        <v>19828</v>
      </c>
    </row>
    <row r="20003" customFormat="false" ht="15" hidden="false" customHeight="false" outlineLevel="0" collapsed="false">
      <c r="A20003" s="0" t="str">
        <f aca="false">IMPRODUCT("-0.0+130.0i","69.56-216.88i")</f>
        <v>28194.4+9042.8i</v>
      </c>
      <c r="B20003" s="0" t="s">
        <v>19829</v>
      </c>
    </row>
    <row r="20004" customFormat="false" ht="15" hidden="false" customHeight="false" outlineLevel="0" collapsed="false">
      <c r="A20004" s="0" t="str">
        <f aca="false">IMDIV("-0.0+130.0i","69.56-216.88i")</f>
        <v>-0.543500974100929+0.174317261888881i</v>
      </c>
      <c r="B20004" s="0" t="s">
        <v>19830</v>
      </c>
    </row>
    <row r="20005" customFormat="false" ht="15" hidden="false" customHeight="false" outlineLevel="0" collapsed="false">
      <c r="A20005" s="0" t="str">
        <f aca="false">IMSUM("-6.52-0.83i","0.0084-1.0i")</f>
        <v>-6.5116-1.83i</v>
      </c>
      <c r="B20005" s="0" t="s">
        <v>19831</v>
      </c>
    </row>
    <row r="20006" customFormat="false" ht="15" hidden="false" customHeight="false" outlineLevel="0" collapsed="false">
      <c r="A20006" s="0" t="str">
        <f aca="false">IMSUB("-6.52-0.83i","0.0084-1.0i")</f>
        <v>-6.5284+0.17i</v>
      </c>
      <c r="B20006" s="0" t="s">
        <v>19832</v>
      </c>
    </row>
    <row r="20007" customFormat="false" ht="15" hidden="false" customHeight="false" outlineLevel="0" collapsed="false">
      <c r="A20007" s="0" t="str">
        <f aca="false">IMPRODUCT("-6.52-0.83i","0.0084-1.0i")</f>
        <v>-0.884768+6.513028i</v>
      </c>
      <c r="B20007" s="0" t="s">
        <v>19833</v>
      </c>
    </row>
    <row r="20008" customFormat="false" ht="15" hidden="false" customHeight="false" outlineLevel="0" collapsed="false">
      <c r="A20008" s="0" t="str">
        <f aca="false">IMDIV("-6.52-0.83i","0.0084-1.0i")</f>
        <v>0.775177303489466-6.52651148934931i</v>
      </c>
      <c r="B20008" s="0" t="s">
        <v>19834</v>
      </c>
    </row>
    <row r="20009" customFormat="false" ht="15" hidden="false" customHeight="false" outlineLevel="0" collapsed="false">
      <c r="A20009" s="0" t="str">
        <f aca="false">IMSUM("-0.23","-0.0")</f>
        <v>-0.23</v>
      </c>
      <c r="B20009" s="0" t="s">
        <v>19835</v>
      </c>
    </row>
    <row r="20010" customFormat="false" ht="15" hidden="false" customHeight="false" outlineLevel="0" collapsed="false">
      <c r="A20010" s="0" t="str">
        <f aca="false">IMSUB("-0.23","-0.0")</f>
        <v>-0.23</v>
      </c>
      <c r="B20010" s="0" t="s">
        <v>19836</v>
      </c>
    </row>
    <row r="20011" customFormat="false" ht="15" hidden="false" customHeight="false" outlineLevel="0" collapsed="false">
      <c r="A20011" s="0" t="str">
        <f aca="false">IMPRODUCT("-0.23","-0.0")</f>
        <v>0</v>
      </c>
      <c r="B20011" s="0" t="s">
        <v>19837</v>
      </c>
    </row>
    <row r="20012" customFormat="false" ht="15" hidden="false" customHeight="false" outlineLevel="0" collapsed="false">
      <c r="A20012" s="0" t="e">
        <f aca="false">IMDIV("-0.23","-0.0")</f>
        <v>#VALUE!</v>
      </c>
      <c r="B20012" s="0" t="s">
        <v>19838</v>
      </c>
    </row>
    <row r="20013" customFormat="false" ht="15" hidden="false" customHeight="false" outlineLevel="0" collapsed="false">
      <c r="A20013" s="0" t="e">
        <f aca="false">IMSUM("-1.6437i","-0.0055+-0.0i")</f>
        <v>#VALUE!</v>
      </c>
      <c r="B20013" s="0" t="s">
        <v>19839</v>
      </c>
    </row>
    <row r="20014" customFormat="false" ht="15" hidden="false" customHeight="false" outlineLevel="0" collapsed="false">
      <c r="A20014" s="0" t="e">
        <f aca="false">IMSUB("-1.6437i","-0.0055+-0.0i")</f>
        <v>#VALUE!</v>
      </c>
      <c r="B20014" s="0" t="s">
        <v>19840</v>
      </c>
    </row>
    <row r="20015" customFormat="false" ht="15" hidden="false" customHeight="false" outlineLevel="0" collapsed="false">
      <c r="A20015" s="0" t="e">
        <f aca="false">IMPRODUCT("-1.6437i","-0.0055+-0.0i")</f>
        <v>#VALUE!</v>
      </c>
      <c r="B20015" s="0" t="s">
        <v>19841</v>
      </c>
    </row>
    <row r="20016" customFormat="false" ht="15" hidden="false" customHeight="false" outlineLevel="0" collapsed="false">
      <c r="A20016" s="0" t="e">
        <f aca="false">IMDIV("-1.6437i","-0.0055+-0.0i")</f>
        <v>#VALUE!</v>
      </c>
      <c r="B20016" s="0" t="s">
        <v>19842</v>
      </c>
    </row>
    <row r="20017" customFormat="false" ht="15" hidden="false" customHeight="false" outlineLevel="0" collapsed="false">
      <c r="A20017" s="0" t="str">
        <f aca="false">IMPOWER("0.7-137.121j",2)</f>
        <v>-18801.678641-191.969399999998j</v>
      </c>
      <c r="B20017" s="0" t="s">
        <v>19843</v>
      </c>
    </row>
    <row r="20018" customFormat="false" ht="15" hidden="false" customHeight="false" outlineLevel="0" collapsed="false">
      <c r="A20018" s="0" t="str">
        <f aca="false">IMPOWER("0.7-137.121j",3)</f>
        <v>-39484.2111461+2577970.59835256j</v>
      </c>
      <c r="B20018" s="0" t="s">
        <v>19844</v>
      </c>
    </row>
    <row r="20019" customFormat="false" ht="15" hidden="false" customHeight="false" outlineLevel="0" collapsed="false">
      <c r="A20019" s="0" t="str">
        <f aca="false">IMPOWER("0.7-137.121j",0.5)</f>
        <v>8.30128865693317-8.25901891060478j</v>
      </c>
      <c r="B20019" s="0" t="s">
        <v>19845</v>
      </c>
    </row>
    <row r="20020" customFormat="false" ht="15" hidden="false" customHeight="false" outlineLevel="0" collapsed="false">
      <c r="A20020" s="0" t="str">
        <f aca="false">IMPOWER("0.7-137.121j",-1)</f>
        <v>3.7228777768353e-05+0.00729263890910628j</v>
      </c>
      <c r="B20020" s="0" t="s">
        <v>19846</v>
      </c>
    </row>
    <row r="20021" customFormat="false" ht="15" hidden="false" customHeight="false" outlineLevel="0" collapsed="false">
      <c r="A20021" s="0" t="str">
        <f aca="false">IMPOWER("0.7-137.121j",1.5)</f>
        <v>-1126.67402998118-1144.06231516476j</v>
      </c>
      <c r="B20021" s="0" t="s">
        <v>19847</v>
      </c>
    </row>
    <row r="20022" customFormat="false" ht="15" hidden="false" customHeight="false" outlineLevel="0" collapsed="false">
      <c r="A20022" s="0" t="str">
        <f aca="false">IMPOWER("0.7-137.121j",7)</f>
        <v>-32565917461760.8+910940620608699j</v>
      </c>
      <c r="B20022" s="0" t="s">
        <v>19848</v>
      </c>
    </row>
    <row r="20023" customFormat="false" ht="15" hidden="false" customHeight="false" outlineLevel="0" collapsed="false">
      <c r="A20023" s="0" t="str">
        <f aca="false">IMPOWER("0.7-137.121j",-2.5)</f>
        <v>-3.25224606201772e-06-3.17027521258164e-06j</v>
      </c>
      <c r="B20023" s="0" t="s">
        <v>19849</v>
      </c>
    </row>
    <row r="20024" customFormat="false" ht="15" hidden="false" customHeight="false" outlineLevel="0" collapsed="false">
      <c r="A20024" s="0" t="str">
        <f aca="false">IMPOWER("0.7-137.121j",0.25)</f>
        <v>3.16316554910888-1.30549899813677j</v>
      </c>
      <c r="B20024" s="0" t="s">
        <v>19850</v>
      </c>
    </row>
    <row r="20025" customFormat="false" ht="15" hidden="false" customHeight="false" outlineLevel="0" collapsed="false">
      <c r="A20025" s="0" t="str">
        <f aca="false">IMPOWER("-325.0",2)</f>
        <v>105625-2.58706636319878e-11i</v>
      </c>
      <c r="B20025" s="0" t="s">
        <v>19851</v>
      </c>
    </row>
    <row r="20026" customFormat="false" ht="15" hidden="false" customHeight="false" outlineLevel="0" collapsed="false">
      <c r="A20026" s="0" t="str">
        <f aca="false">IMPOWER("-325.0",3)</f>
        <v>-34328125+1.26119485205941e-08i</v>
      </c>
      <c r="B20026" s="0" t="s">
        <v>19852</v>
      </c>
    </row>
    <row r="20027" customFormat="false" ht="15" hidden="false" customHeight="false" outlineLevel="0" collapsed="false">
      <c r="A20027" s="0" t="str">
        <f aca="false">IMPOWER("-325.0",0.5)</f>
        <v>1.10388170716466e-15+18.0277563773199i</v>
      </c>
      <c r="B20027" s="0" t="s">
        <v>19853</v>
      </c>
    </row>
    <row r="20028" customFormat="false" ht="15" hidden="false" customHeight="false" outlineLevel="0" collapsed="false">
      <c r="A20028" s="0" t="str">
        <f aca="false">IMPOWER("-325.0",-1)</f>
        <v>-0.00307692307692308-3.76814399737647e-19i</v>
      </c>
      <c r="B20028" s="0" t="s">
        <v>19854</v>
      </c>
    </row>
    <row r="20029" customFormat="false" ht="15" hidden="false" customHeight="false" outlineLevel="0" collapsed="false">
      <c r="A20029" s="0" t="str">
        <f aca="false">IMPOWER("-325.0",1.5)</f>
        <v>-1.07628466448554e-12-5859.02082262899i</v>
      </c>
      <c r="B20029" s="0" t="s">
        <v>19855</v>
      </c>
    </row>
    <row r="20030" customFormat="false" ht="15" hidden="false" customHeight="false" outlineLevel="0" collapsed="false">
      <c r="A20030" s="0" t="str">
        <f aca="false">IMPOWER("-325.0",7)</f>
        <v>-3.82986553955078e+17+328.316280192293i</v>
      </c>
      <c r="B20030" s="0" t="s">
        <v>19856</v>
      </c>
    </row>
    <row r="20031" customFormat="false" ht="15" hidden="false" customHeight="false" outlineLevel="0" collapsed="false">
      <c r="A20031" s="0" t="str">
        <f aca="false">IMPOWER("-325.0",-2.5)</f>
        <v>1.6078386267305e-22-5.25159949088975e-07i</v>
      </c>
      <c r="B20031" s="0" t="s">
        <v>19857</v>
      </c>
    </row>
    <row r="20032" customFormat="false" ht="15" hidden="false" customHeight="false" outlineLevel="0" collapsed="false">
      <c r="A20032" s="0" t="str">
        <f aca="false">IMPOWER("-325.0",0.25)</f>
        <v>3.00231214044442+3.00231214044442i</v>
      </c>
      <c r="B20032" s="0" t="s">
        <v>19858</v>
      </c>
    </row>
    <row r="20033" customFormat="false" ht="15" hidden="false" customHeight="false" outlineLevel="0" collapsed="false">
      <c r="A20033" s="0" t="str">
        <f aca="false">IMPOWER("93.9955",2)</f>
        <v>8835.15402025</v>
      </c>
      <c r="B20033" s="0" t="s">
        <v>19859</v>
      </c>
    </row>
    <row r="20034" customFormat="false" ht="15" hidden="false" customHeight="false" outlineLevel="0" collapsed="false">
      <c r="A20034" s="0" t="str">
        <f aca="false">IMPOWER("93.9955",3)</f>
        <v>830464.719710409</v>
      </c>
      <c r="B20034" s="0" t="s">
        <v>19860</v>
      </c>
    </row>
    <row r="20035" customFormat="false" ht="15" hidden="false" customHeight="false" outlineLevel="0" collapsed="false">
      <c r="A20035" s="0" t="str">
        <f aca="false">IMPOWER("93.9955",0.5)</f>
        <v>9.69512764227475</v>
      </c>
      <c r="B20035" s="0" t="s">
        <v>19861</v>
      </c>
    </row>
    <row r="20036" customFormat="false" ht="15" hidden="false" customHeight="false" outlineLevel="0" collapsed="false">
      <c r="A20036" s="0" t="str">
        <f aca="false">IMPOWER("93.9955",-1)</f>
        <v>0.0106388071769393</v>
      </c>
      <c r="B20036" s="0" t="s">
        <v>19862</v>
      </c>
    </row>
    <row r="20037" customFormat="false" ht="15" hidden="false" customHeight="false" outlineLevel="0" collapsed="false">
      <c r="A20037" s="0" t="str">
        <f aca="false">IMPOWER("93.9955",1.5)</f>
        <v>911.298370299437</v>
      </c>
      <c r="B20037" s="0" t="s">
        <v>19863</v>
      </c>
    </row>
    <row r="20038" customFormat="false" ht="15" hidden="false" customHeight="false" outlineLevel="0" collapsed="false">
      <c r="A20038" s="0" t="str">
        <f aca="false">IMPOWER("93.9955",7)</f>
        <v>64826031641838.6</v>
      </c>
      <c r="B20038" s="0" t="s">
        <v>19864</v>
      </c>
    </row>
    <row r="20039" customFormat="false" ht="15" hidden="false" customHeight="false" outlineLevel="0" collapsed="false">
      <c r="A20039" s="0" t="str">
        <f aca="false">IMPOWER("93.9955",-2.5)</f>
        <v>1.16743401762516e-05</v>
      </c>
      <c r="B20039" s="0" t="s">
        <v>19865</v>
      </c>
    </row>
    <row r="20040" customFormat="false" ht="15" hidden="false" customHeight="false" outlineLevel="0" collapsed="false">
      <c r="A20040" s="0" t="str">
        <f aca="false">IMPOWER("93.9955",0.25)</f>
        <v>3.11369999233625</v>
      </c>
      <c r="B20040" s="0" t="s">
        <v>19866</v>
      </c>
    </row>
    <row r="20041" customFormat="false" ht="15" hidden="false" customHeight="false" outlineLevel="0" collapsed="false">
      <c r="A20041" s="0" t="str">
        <f aca="false">IMPOWER("235.8098j",2)</f>
        <v>-55606.26177604+6.80980304965772e-12j</v>
      </c>
      <c r="B20041" s="0" t="s">
        <v>19867</v>
      </c>
    </row>
    <row r="20042" customFormat="false" ht="15" hidden="false" customHeight="false" outlineLevel="0" collapsed="false">
      <c r="A20042" s="0" t="str">
        <f aca="false">IMPOWER("235.8098j",3)</f>
        <v>-2.40872744276877e-09-13112501.4681557j</v>
      </c>
      <c r="B20042" s="0" t="s">
        <v>19868</v>
      </c>
    </row>
    <row r="20043" customFormat="false" ht="15" hidden="false" customHeight="false" outlineLevel="0" collapsed="false">
      <c r="A20043" s="0" t="str">
        <f aca="false">IMPOWER("235.8098j",0.5)</f>
        <v>10.8584022765783+10.8584022765783j</v>
      </c>
      <c r="B20043" s="0" t="s">
        <v>19869</v>
      </c>
    </row>
    <row r="20044" customFormat="false" ht="15" hidden="false" customHeight="false" outlineLevel="0" collapsed="false">
      <c r="A20044" s="0" t="str">
        <f aca="false">IMPOWER("235.8098j",-1)</f>
        <v>2.59668342695544e-19-0.00424070585700849j</v>
      </c>
      <c r="B20044" s="0" t="s">
        <v>19870</v>
      </c>
    </row>
    <row r="20045" customFormat="false" ht="15" hidden="false" customHeight="false" outlineLevel="0" collapsed="false">
      <c r="A20045" s="0" t="str">
        <f aca="false">IMPOWER("235.8098j",1.5)</f>
        <v>-2560.51766915947+2560.51766915947j</v>
      </c>
      <c r="B20045" s="0" t="s">
        <v>19871</v>
      </c>
    </row>
    <row r="20046" customFormat="false" ht="15" hidden="false" customHeight="false" outlineLevel="0" collapsed="false">
      <c r="A20046" s="0" t="str">
        <f aca="false">IMPOWER("235.8098j",7)</f>
        <v>-17.3784822906667-4.05445934120207e+16j</v>
      </c>
      <c r="B20046" s="0" t="s">
        <v>19872</v>
      </c>
    </row>
    <row r="20047" customFormat="false" ht="15" hidden="false" customHeight="false" outlineLevel="0" collapsed="false">
      <c r="A20047" s="0" t="str">
        <f aca="false">IMPOWER("235.8098j",-2.5)</f>
        <v>-8.28095409784963e-07+8.28095409784962e-07j</v>
      </c>
      <c r="B20047" s="0" t="s">
        <v>19873</v>
      </c>
    </row>
    <row r="20048" customFormat="false" ht="15" hidden="false" customHeight="false" outlineLevel="0" collapsed="false">
      <c r="A20048" s="0" t="str">
        <f aca="false">IMPOWER("235.8098j",0.25)</f>
        <v>3.6203937660024+1.4996161990092j</v>
      </c>
      <c r="B20048" s="0" t="s">
        <v>19874</v>
      </c>
    </row>
    <row r="20049" customFormat="false" ht="15" hidden="false" customHeight="false" outlineLevel="0" collapsed="false">
      <c r="A20049" s="0" t="str">
        <f aca="false">IMPOWER("-56.2+11.621i",2)</f>
        <v>3023.392359-1306.2004i</v>
      </c>
      <c r="B20049" s="0" t="s">
        <v>19875</v>
      </c>
    </row>
    <row r="20050" customFormat="false" ht="15" hidden="false" customHeight="false" outlineLevel="0" collapsed="false">
      <c r="A20050" s="0" t="str">
        <f aca="false">IMPOWER("-56.2+11.621i",3)</f>
        <v>-154735.2957274+108543.305083939i</v>
      </c>
      <c r="B20050" s="0" t="s">
        <v>19876</v>
      </c>
    </row>
    <row r="20051" customFormat="false" ht="15" hidden="false" customHeight="false" outlineLevel="0" collapsed="false">
      <c r="A20051" s="0" t="str">
        <f aca="false">IMPOWER("-56.2+11.621i",0.5)</f>
        <v>0.771010915363216+7.53620977890141i</v>
      </c>
      <c r="B20051" s="0" t="s">
        <v>19877</v>
      </c>
    </row>
    <row r="20052" customFormat="false" ht="15" hidden="false" customHeight="false" outlineLevel="0" collapsed="false">
      <c r="A20052" s="0" t="str">
        <f aca="false">IMPOWER("-56.2+11.621i",-1)</f>
        <v>-0.0170639778028546-0.00352847839941234i</v>
      </c>
      <c r="B20052" s="0" t="s">
        <v>19878</v>
      </c>
    </row>
    <row r="20053" customFormat="false" ht="15" hidden="false" customHeight="false" outlineLevel="0" collapsed="false">
      <c r="A20053" s="0" t="str">
        <f aca="false">IMPOWER("-56.2+11.621i",1.5)</f>
        <v>-130.909107284026-414.575071726823i</v>
      </c>
      <c r="B20053" s="0" t="s">
        <v>19879</v>
      </c>
    </row>
    <row r="20054" customFormat="false" ht="15" hidden="false" customHeight="false" outlineLevel="0" collapsed="false">
      <c r="A20054" s="0" t="str">
        <f aca="false">IMPOWER("-56.2+11.621i",7)</f>
        <v>-293108026068.32+2029139193774i</v>
      </c>
      <c r="B20054" s="0" t="s">
        <v>19880</v>
      </c>
    </row>
    <row r="20055" customFormat="false" ht="15" hidden="false" customHeight="false" outlineLevel="0" collapsed="false">
      <c r="A20055" s="0" t="str">
        <f aca="false">IMPOWER("-56.2+11.621i",-2.5)</f>
        <v>1.95579887709432e-05-3.49843971374534e-05i</v>
      </c>
      <c r="B20055" s="0" t="s">
        <v>19881</v>
      </c>
    </row>
    <row r="20056" customFormat="false" ht="15" hidden="false" customHeight="false" outlineLevel="0" collapsed="false">
      <c r="A20056" s="0" t="str">
        <f aca="false">IMPOWER("-56.2+11.621i",0.25)</f>
        <v>2.04286051091281+1.84452382789807i</v>
      </c>
      <c r="B20056" s="0" t="s">
        <v>19882</v>
      </c>
    </row>
    <row r="20057" customFormat="false" ht="15" hidden="false" customHeight="false" outlineLevel="0" collapsed="false">
      <c r="A20057" s="0" t="str">
        <f aca="false">IMPOWER("-8.0903+6.3394i",2)</f>
        <v>25.2649617299999-102.57529564i</v>
      </c>
      <c r="B20057" s="0" t="s">
        <v>19883</v>
      </c>
    </row>
    <row r="20058" customFormat="false" ht="15" hidden="false" customHeight="false" outlineLevel="0" collapsed="false">
      <c r="A20058" s="0" t="str">
        <f aca="false">IMPOWER("-8.0903+6.3394i",3)</f>
        <v>445.864709295997+990.029612707452i</v>
      </c>
      <c r="B20058" s="0" t="s">
        <v>19884</v>
      </c>
    </row>
    <row r="20059" customFormat="false" ht="15" hidden="false" customHeight="false" outlineLevel="0" collapsed="false">
      <c r="A20059" s="0" t="str">
        <f aca="false">IMPOWER("-8.0903+6.3394i",0.5)</f>
        <v>1.04591542866684+3.03055095385696i</v>
      </c>
      <c r="B20059" s="0" t="s">
        <v>19885</v>
      </c>
    </row>
    <row r="20060" customFormat="false" ht="15" hidden="false" customHeight="false" outlineLevel="0" collapsed="false">
      <c r="A20060" s="0" t="str">
        <f aca="false">IMPOWER("-8.0903+6.3394i",-1)</f>
        <v>-0.076582994301638-0.0600089284792658i</v>
      </c>
      <c r="B20060" s="0" t="s">
        <v>19886</v>
      </c>
    </row>
    <row r="20061" customFormat="false" ht="15" hidden="false" customHeight="false" outlineLevel="0" collapsed="false">
      <c r="A20061" s="0" t="str">
        <f aca="false">IMPOWER("-8.0903+6.3394i",1.5)</f>
        <v>-27.6736443094241-17.8875901134984i</v>
      </c>
      <c r="B20061" s="0" t="s">
        <v>19887</v>
      </c>
    </row>
    <row r="20062" customFormat="false" ht="15" hidden="false" customHeight="false" outlineLevel="0" collapsed="false">
      <c r="A20062" s="0" t="str">
        <f aca="false">IMPOWER("-8.0903+6.3394i",7)</f>
        <v>724796.882910826-12095803.0393603i</v>
      </c>
      <c r="B20062" s="0" t="s">
        <v>19888</v>
      </c>
    </row>
    <row r="20063" customFormat="false" ht="15" hidden="false" customHeight="false" outlineLevel="0" collapsed="false">
      <c r="A20063" s="0" t="str">
        <f aca="false">IMPOWER("-8.0903+6.3394i",-2.5)</f>
        <v>0.00294046421232944+0.000267803901171848i</v>
      </c>
      <c r="B20063" s="0" t="s">
        <v>19889</v>
      </c>
    </row>
    <row r="20064" customFormat="false" ht="15" hidden="false" customHeight="false" outlineLevel="0" collapsed="false">
      <c r="A20064" s="0" t="str">
        <f aca="false">IMPOWER("-8.0903+6.3394i",0.25)</f>
        <v>1.45805953539904+1.03924115589271i</v>
      </c>
      <c r="B20064" s="0" t="s">
        <v>19890</v>
      </c>
    </row>
    <row r="20065" customFormat="false" ht="15" hidden="false" customHeight="false" outlineLevel="0" collapsed="false">
      <c r="A20065" s="0" t="str">
        <f aca="false">IMPOWER("35.04+262.7i",2)</f>
        <v>-67783.4883999999+18410.016i</v>
      </c>
      <c r="B20065" s="0" t="s">
        <v>19891</v>
      </c>
    </row>
    <row r="20066" customFormat="false" ht="15" hidden="false" customHeight="false" outlineLevel="0" collapsed="false">
      <c r="A20066" s="0" t="str">
        <f aca="false">IMPOWER("35.04+262.7i",3)</f>
        <v>-7211444.63673597-17161635.44204i</v>
      </c>
      <c r="B20066" s="0" t="s">
        <v>19892</v>
      </c>
    </row>
    <row r="20067" customFormat="false" ht="15" hidden="false" customHeight="false" outlineLevel="0" collapsed="false">
      <c r="A20067" s="0" t="str">
        <f aca="false">IMPOWER("35.04+262.7i",0.5)</f>
        <v>12.2488078315984+10.7234925884913i</v>
      </c>
      <c r="B20067" s="0" t="s">
        <v>19893</v>
      </c>
    </row>
    <row r="20068" customFormat="false" ht="15" hidden="false" customHeight="false" outlineLevel="0" collapsed="false">
      <c r="A20068" s="0" t="str">
        <f aca="false">IMPOWER("35.04+262.7i",-1)</f>
        <v>0.000498867499590499-0.00374008253831119i</v>
      </c>
      <c r="B20068" s="0" t="s">
        <v>19894</v>
      </c>
    </row>
    <row r="20069" customFormat="false" ht="15" hidden="false" customHeight="false" outlineLevel="0" collapsed="false">
      <c r="A20069" s="0" t="str">
        <f aca="false">IMPOWER("35.04+262.7i",1.5)</f>
        <v>-2387.86327657745+3593.51299766164i</v>
      </c>
      <c r="B20069" s="0" t="s">
        <v>19895</v>
      </c>
    </row>
    <row r="20070" customFormat="false" ht="15" hidden="false" customHeight="false" outlineLevel="0" collapsed="false">
      <c r="A20070" s="0" t="str">
        <f aca="false">IMPOWER("35.04+262.7i",7)</f>
        <v>-7.3521389180537e+16-5.5036048964525e+16i</v>
      </c>
      <c r="B20070" s="0" t="s">
        <v>19896</v>
      </c>
    </row>
    <row r="20071" customFormat="false" ht="15" hidden="false" customHeight="false" outlineLevel="0" collapsed="false">
      <c r="A20071" s="0" t="str">
        <f aca="false">IMPOWER("35.04+262.7i",-2.5)</f>
        <v>-7.85983584191011e-07+3.83455921263842e-07i</v>
      </c>
      <c r="B20071" s="0" t="s">
        <v>19897</v>
      </c>
    </row>
    <row r="20072" customFormat="false" ht="15" hidden="false" customHeight="false" outlineLevel="0" collapsed="false">
      <c r="A20072" s="0" t="str">
        <f aca="false">IMPOWER("35.04+262.7i",0.25)</f>
        <v>3.77680056449002+1.41965301124383i</v>
      </c>
      <c r="B20072" s="0" t="s">
        <v>19898</v>
      </c>
    </row>
    <row r="20073" customFormat="false" ht="15" hidden="false" customHeight="false" outlineLevel="0" collapsed="false">
      <c r="A20073" s="0" t="str">
        <f aca="false">IMPOWER("0.47-0.01i",2)</f>
        <v>0.2208-0.0094i</v>
      </c>
      <c r="B20073" s="0" t="s">
        <v>19899</v>
      </c>
    </row>
    <row r="20074" customFormat="false" ht="15" hidden="false" customHeight="false" outlineLevel="0" collapsed="false">
      <c r="A20074" s="0" t="str">
        <f aca="false">IMPOWER("0.47-0.01i",3)</f>
        <v>0.103682-0.006626i</v>
      </c>
      <c r="B20074" s="0" t="s">
        <v>19900</v>
      </c>
    </row>
    <row r="20075" customFormat="false" ht="15" hidden="false" customHeight="false" outlineLevel="0" collapsed="false">
      <c r="A20075" s="0" t="str">
        <f aca="false">IMPOWER("0.47-0.01i",0.5)</f>
        <v>0.685604248434083-0.00729283695575105i</v>
      </c>
      <c r="B20075" s="0" t="s">
        <v>19901</v>
      </c>
    </row>
    <row r="20076" customFormat="false" ht="15" hidden="false" customHeight="false" outlineLevel="0" collapsed="false">
      <c r="A20076" s="0" t="str">
        <f aca="false">IMPOWER("0.47-0.01i",-1)</f>
        <v>2.12669683257919+0.0452488687782805i</v>
      </c>
      <c r="B20076" s="0" t="s">
        <v>19902</v>
      </c>
    </row>
    <row r="20077" customFormat="false" ht="15" hidden="false" customHeight="false" outlineLevel="0" collapsed="false">
      <c r="A20077" s="0" t="str">
        <f aca="false">IMPOWER("0.47-0.01i",1.5)</f>
        <v>0.322161068394461-0.0102836758535438i</v>
      </c>
      <c r="B20077" s="0" t="s">
        <v>19903</v>
      </c>
    </row>
    <row r="20078" customFormat="false" ht="15" hidden="false" customHeight="false" outlineLevel="0" collapsed="false">
      <c r="A20078" s="0" t="str">
        <f aca="false">IMPOWER("0.47-0.01i",7)</f>
        <v>0.00501810508792-0.00075283764856i</v>
      </c>
      <c r="B20078" s="0" t="s">
        <v>19904</v>
      </c>
    </row>
    <row r="20079" customFormat="false" ht="15" hidden="false" customHeight="false" outlineLevel="0" collapsed="false">
      <c r="A20079" s="0" t="str">
        <f aca="false">IMPOWER("0.47-0.01i",-2.5)</f>
        <v>6.59014805024924+0.350817731382501i</v>
      </c>
      <c r="B20079" s="0" t="s">
        <v>19905</v>
      </c>
    </row>
    <row r="20080" customFormat="false" ht="15" hidden="false" customHeight="false" outlineLevel="0" collapsed="false">
      <c r="A20080" s="0" t="str">
        <f aca="false">IMPOWER("0.47-0.01i",0.25)</f>
        <v>0.828023937778309-0.00440375973629376i</v>
      </c>
      <c r="B20080" s="0" t="s">
        <v>19906</v>
      </c>
    </row>
    <row r="20081" customFormat="false" ht="15" hidden="false" customHeight="false" outlineLevel="0" collapsed="false">
      <c r="A20081" s="0" t="str">
        <f aca="false">IMPOWER("42.0",2)</f>
        <v>1764</v>
      </c>
      <c r="B20081" s="0" t="s">
        <v>19907</v>
      </c>
    </row>
    <row r="20082" customFormat="false" ht="15" hidden="false" customHeight="false" outlineLevel="0" collapsed="false">
      <c r="A20082" s="0" t="str">
        <f aca="false">IMPOWER("42.0",3)</f>
        <v>74088</v>
      </c>
      <c r="B20082" s="0" t="s">
        <v>19908</v>
      </c>
    </row>
    <row r="20083" customFormat="false" ht="15" hidden="false" customHeight="false" outlineLevel="0" collapsed="false">
      <c r="A20083" s="0" t="str">
        <f aca="false">IMPOWER("42.0",0.5)</f>
        <v>6.48074069840786</v>
      </c>
      <c r="B20083" s="0" t="s">
        <v>19909</v>
      </c>
    </row>
    <row r="20084" customFormat="false" ht="15" hidden="false" customHeight="false" outlineLevel="0" collapsed="false">
      <c r="A20084" s="0" t="str">
        <f aca="false">IMPOWER("42.0",-1)</f>
        <v>0.0238095238095238</v>
      </c>
      <c r="B20084" s="0" t="s">
        <v>19910</v>
      </c>
    </row>
    <row r="20085" customFormat="false" ht="15" hidden="false" customHeight="false" outlineLevel="0" collapsed="false">
      <c r="A20085" s="0" t="str">
        <f aca="false">IMPOWER("42.0",1.5)</f>
        <v>272.19110933313</v>
      </c>
      <c r="B20085" s="0" t="s">
        <v>19911</v>
      </c>
    </row>
    <row r="20086" customFormat="false" ht="15" hidden="false" customHeight="false" outlineLevel="0" collapsed="false">
      <c r="A20086" s="0" t="str">
        <f aca="false">IMPOWER("42.0",7)</f>
        <v>230539333248</v>
      </c>
      <c r="B20086" s="0" t="s">
        <v>19912</v>
      </c>
    </row>
    <row r="20087" customFormat="false" ht="15" hidden="false" customHeight="false" outlineLevel="0" collapsed="false">
      <c r="A20087" s="0" t="str">
        <f aca="false">IMPOWER("42.0",-2.5)</f>
        <v>8.74735544002789e-05</v>
      </c>
      <c r="B20087" s="0" t="s">
        <v>19913</v>
      </c>
    </row>
    <row r="20088" customFormat="false" ht="15" hidden="false" customHeight="false" outlineLevel="0" collapsed="false">
      <c r="A20088" s="0" t="str">
        <f aca="false">IMPOWER("42.0",0.25)</f>
        <v>2.54572989502183</v>
      </c>
      <c r="B20088" s="0" t="s">
        <v>19914</v>
      </c>
    </row>
    <row r="20089" customFormat="false" ht="15" hidden="false" customHeight="false" outlineLevel="0" collapsed="false">
      <c r="A20089" s="0" t="e">
        <f aca="false">IMPOWER("0.0+-0.0i",2)</f>
        <v>#VALUE!</v>
      </c>
      <c r="B20089" s="0" t="s">
        <v>19915</v>
      </c>
    </row>
    <row r="20090" customFormat="false" ht="15" hidden="false" customHeight="false" outlineLevel="0" collapsed="false">
      <c r="A20090" s="0" t="e">
        <f aca="false">IMPOWER("0.0+-0.0i",3)</f>
        <v>#VALUE!</v>
      </c>
      <c r="B20090" s="0" t="s">
        <v>19916</v>
      </c>
    </row>
    <row r="20091" customFormat="false" ht="15" hidden="false" customHeight="false" outlineLevel="0" collapsed="false">
      <c r="A20091" s="0" t="e">
        <f aca="false">IMPOWER("0.0+-0.0i",0.5)</f>
        <v>#VALUE!</v>
      </c>
      <c r="B20091" s="0" t="s">
        <v>19917</v>
      </c>
    </row>
    <row r="20092" customFormat="false" ht="15" hidden="false" customHeight="false" outlineLevel="0" collapsed="false">
      <c r="A20092" s="0" t="e">
        <f aca="false">IMPOWER("0.0+-0.0i",-1)</f>
        <v>#VALUE!</v>
      </c>
      <c r="B20092" s="0" t="s">
        <v>19918</v>
      </c>
    </row>
    <row r="20093" customFormat="false" ht="15" hidden="false" customHeight="false" outlineLevel="0" collapsed="false">
      <c r="A20093" s="0" t="e">
        <f aca="false">IMPOWER("0.0+-0.0i",1.5)</f>
        <v>#VALUE!</v>
      </c>
      <c r="B20093" s="0" t="s">
        <v>19919</v>
      </c>
    </row>
    <row r="20094" customFormat="false" ht="15" hidden="false" customHeight="false" outlineLevel="0" collapsed="false">
      <c r="A20094" s="0" t="e">
        <f aca="false">IMPOWER("0.0+-0.0i",7)</f>
        <v>#VALUE!</v>
      </c>
      <c r="B20094" s="0" t="s">
        <v>19920</v>
      </c>
    </row>
    <row r="20095" customFormat="false" ht="15" hidden="false" customHeight="false" outlineLevel="0" collapsed="false">
      <c r="A20095" s="0" t="e">
        <f aca="false">IMPOWER("0.0+-0.0i",-2.5)</f>
        <v>#VALUE!</v>
      </c>
      <c r="B20095" s="0" t="s">
        <v>19921</v>
      </c>
    </row>
    <row r="20096" customFormat="false" ht="15" hidden="false" customHeight="false" outlineLevel="0" collapsed="false">
      <c r="A20096" s="0" t="e">
        <f aca="false">IMPOWER("0.0+-0.0i",0.25)</f>
        <v>#VALUE!</v>
      </c>
      <c r="B20096" s="0" t="s">
        <v>19922</v>
      </c>
    </row>
    <row r="20097" customFormat="false" ht="15" hidden="false" customHeight="false" outlineLevel="0" collapsed="false">
      <c r="A20097" s="0" t="str">
        <f aca="false">IMPOWER("30.86+936.2275i",2)</f>
        <v>-875569.59215625+57783.9613i</v>
      </c>
      <c r="B20097" s="0" t="s">
        <v>19923</v>
      </c>
    </row>
    <row r="20098" customFormat="false" ht="15" hidden="false" customHeight="false" outlineLevel="0" collapsed="false">
      <c r="A20098" s="0" t="str">
        <f aca="false">IMPOWER("30.86+936.2275i",3)</f>
        <v>-81119011.2419376-817949117.294748i</v>
      </c>
      <c r="B20098" s="0" t="s">
        <v>19924</v>
      </c>
    </row>
    <row r="20099" customFormat="false" ht="15" hidden="false" customHeight="false" outlineLevel="0" collapsed="false">
      <c r="A20099" s="0" t="str">
        <f aca="false">IMPOWER("30.86+936.2275i",0.5)</f>
        <v>21.9954082335952+21.2823397060217i</v>
      </c>
      <c r="B20099" s="0" t="s">
        <v>19925</v>
      </c>
    </row>
    <row r="20100" customFormat="false" ht="15" hidden="false" customHeight="false" outlineLevel="0" collapsed="false">
      <c r="A20100" s="0" t="str">
        <f aca="false">IMPOWER("30.86+936.2275i",-1)</f>
        <v>3.51691223405352e-05-0.00106695720952928i</v>
      </c>
      <c r="B20100" s="0" t="s">
        <v>19926</v>
      </c>
    </row>
    <row r="20101" customFormat="false" ht="15" hidden="false" customHeight="false" outlineLevel="0" collapsed="false">
      <c r="A20101" s="0" t="str">
        <f aca="false">IMPOWER("30.86+936.2275i",1.5)</f>
        <v>-19246.3333990307+21249.4790653461i</v>
      </c>
      <c r="B20101" s="0" t="s">
        <v>19927</v>
      </c>
    </row>
    <row r="20102" customFormat="false" ht="15" hidden="false" customHeight="false" outlineLevel="0" collapsed="false">
      <c r="A20102" s="0" t="str">
        <f aca="false">IMPOWER("30.86+936.2275i",7)</f>
        <v>-1.44683210397439e+20-6.16118507003033e+20i</v>
      </c>
      <c r="B20102" s="0" t="s">
        <v>19928</v>
      </c>
    </row>
    <row r="20103" customFormat="false" ht="15" hidden="false" customHeight="false" outlineLevel="0" collapsed="false">
      <c r="A20103" s="0" t="str">
        <f aca="false">IMPOWER("30.86+936.2275i",-2.5)</f>
        <v>-2.84066292401166e-08+2.40737353223709e-08i</v>
      </c>
      <c r="B20103" s="0" t="s">
        <v>19929</v>
      </c>
    </row>
    <row r="20104" customFormat="false" ht="15" hidden="false" customHeight="false" outlineLevel="0" collapsed="false">
      <c r="A20104" s="0" t="str">
        <f aca="false">IMPOWER("30.86+936.2275i",0.25)</f>
        <v>5.12842816388226+2.07493787822805i</v>
      </c>
      <c r="B20104" s="0" t="s">
        <v>19930</v>
      </c>
    </row>
    <row r="20105" customFormat="false" ht="15" hidden="false" customHeight="false" outlineLevel="0" collapsed="false">
      <c r="A20105" s="0" t="str">
        <f aca="false">IMPOWER("-67.0+4.326i",2)</f>
        <v>4470.285724-579.684000000001i</v>
      </c>
      <c r="B20105" s="0" t="s">
        <v>19931</v>
      </c>
    </row>
    <row r="20106" customFormat="false" ht="15" hidden="false" customHeight="false" outlineLevel="0" collapsed="false">
      <c r="A20106" s="0" t="str">
        <f aca="false">IMPOWER("-67.0+4.326i",3)</f>
        <v>-297001.430524+58177.2840420243i</v>
      </c>
      <c r="B20106" s="0" t="s">
        <v>19932</v>
      </c>
    </row>
    <row r="20107" customFormat="false" ht="15" hidden="false" customHeight="false" outlineLevel="0" collapsed="false">
      <c r="A20107" s="0" t="str">
        <f aca="false">IMPOWER("-67.0+4.326i",0.5)</f>
        <v>0.264115052786947+8.18961273572253i</v>
      </c>
      <c r="B20107" s="0" t="s">
        <v>19933</v>
      </c>
    </row>
    <row r="20108" customFormat="false" ht="15" hidden="false" customHeight="false" outlineLevel="0" collapsed="false">
      <c r="A20108" s="0" t="str">
        <f aca="false">IMPOWER("-67.0+4.326i",-1)</f>
        <v>-0.0148634087916179-0.000959688155709542i</v>
      </c>
      <c r="B20108" s="0" t="s">
        <v>19934</v>
      </c>
    </row>
    <row r="20109" customFormat="false" ht="15" hidden="false" customHeight="false" outlineLevel="0" collapsed="false">
      <c r="A20109" s="0" t="str">
        <f aca="false">IMPOWER("-67.0+4.326i",1.5)</f>
        <v>-53.1239732314613-547.561491575053i</v>
      </c>
      <c r="B20109" s="0" t="s">
        <v>19935</v>
      </c>
    </row>
    <row r="20110" customFormat="false" ht="15" hidden="false" customHeight="false" outlineLevel="0" collapsed="false">
      <c r="A20110" s="0" t="str">
        <f aca="false">IMPOWER("-67.0+4.326i",7)</f>
        <v>-5533796345842.37+2682304748333.46i</v>
      </c>
      <c r="B20110" s="0" t="s">
        <v>19936</v>
      </c>
    </row>
    <row r="20111" customFormat="false" ht="15" hidden="false" customHeight="false" outlineLevel="0" collapsed="false">
      <c r="A20111" s="0" t="str">
        <f aca="false">IMPOWER("-67.0+4.326i",-2.5)</f>
        <v>4.34531671640678e-06-2.67231507836735e-05i</v>
      </c>
      <c r="B20111" s="0" t="s">
        <v>19937</v>
      </c>
    </row>
    <row r="20112" customFormat="false" ht="15" hidden="false" customHeight="false" outlineLevel="0" collapsed="false">
      <c r="A20112" s="0" t="str">
        <f aca="false">IMPOWER("-67.0+4.326i",0.25)</f>
        <v>2.05645149926031+1.99120006931072i</v>
      </c>
      <c r="B20112" s="0" t="s">
        <v>19938</v>
      </c>
    </row>
    <row r="20113" customFormat="false" ht="15" hidden="false" customHeight="false" outlineLevel="0" collapsed="false">
      <c r="A20113" s="0" t="str">
        <f aca="false">IMPOWER("76.2i",2)</f>
        <v>-5806.44+7.11083816044116e-13i</v>
      </c>
      <c r="B20113" s="0" t="s">
        <v>19939</v>
      </c>
    </row>
    <row r="20114" customFormat="false" ht="15" hidden="false" customHeight="false" outlineLevel="0" collapsed="false">
      <c r="A20114" s="0" t="str">
        <f aca="false">IMPOWER("76.2i",3)</f>
        <v>-8.12768801738424e-11-442450.728i</v>
      </c>
      <c r="B20114" s="0" t="s">
        <v>19940</v>
      </c>
    </row>
    <row r="20115" customFormat="false" ht="15" hidden="false" customHeight="false" outlineLevel="0" collapsed="false">
      <c r="A20115" s="0" t="str">
        <f aca="false">IMPOWER("76.2i",0.5)</f>
        <v>6.17251974480439+6.17251974480439i</v>
      </c>
      <c r="B20115" s="0" t="s">
        <v>19941</v>
      </c>
    </row>
    <row r="20116" customFormat="false" ht="15" hidden="false" customHeight="false" outlineLevel="0" collapsed="false">
      <c r="A20116" s="0" t="str">
        <f aca="false">IMPOWER("76.2i",-1)</f>
        <v>8.03574015188552e-19-0.0131233595800525i</v>
      </c>
      <c r="B20116" s="0" t="s">
        <v>19942</v>
      </c>
    </row>
    <row r="20117" customFormat="false" ht="15" hidden="false" customHeight="false" outlineLevel="0" collapsed="false">
      <c r="A20117" s="0" t="str">
        <f aca="false">IMPOWER("76.2i",1.5)</f>
        <v>-470.346004554094+470.346004554094i</v>
      </c>
      <c r="B20117" s="0" t="s">
        <v>19943</v>
      </c>
    </row>
    <row r="20118" customFormat="false" ht="15" hidden="false" customHeight="false" outlineLevel="0" collapsed="false">
      <c r="A20118" s="0" t="str">
        <f aca="false">IMPOWER("76.2i",7)</f>
        <v>-0.0063938684318819-14917113679129i</v>
      </c>
      <c r="B20118" s="0" t="s">
        <v>19944</v>
      </c>
    </row>
    <row r="20119" customFormat="false" ht="15" hidden="false" customHeight="false" outlineLevel="0" collapsed="false">
      <c r="A20119" s="0" t="str">
        <f aca="false">IMPOWER("76.2i",-2.5)</f>
        <v>-1.39507505676528e-05+1.39507505676528e-05i</v>
      </c>
      <c r="B20119" s="0" t="s">
        <v>19945</v>
      </c>
    </row>
    <row r="20120" customFormat="false" ht="15" hidden="false" customHeight="false" outlineLevel="0" collapsed="false">
      <c r="A20120" s="0" t="str">
        <f aca="false">IMPOWER("76.2i",0.25)</f>
        <v>2.72963192408083+1.13065056324085i</v>
      </c>
      <c r="B20120" s="0" t="s">
        <v>19946</v>
      </c>
    </row>
    <row r="20121" customFormat="false" ht="15" hidden="false" customHeight="false" outlineLevel="0" collapsed="false">
      <c r="A20121" s="0" t="str">
        <f aca="false">IMPOWER("0.076-552.2343j",2)</f>
        <v>-304962.71632049-83.9396136000637j</v>
      </c>
      <c r="B20121" s="0" t="s">
        <v>19947</v>
      </c>
    </row>
    <row r="20122" customFormat="false" ht="15" hidden="false" customHeight="false" outlineLevel="0" collapsed="false">
      <c r="A20122" s="0" t="str">
        <f aca="false">IMPOWER("0.076-552.2343j",3)</f>
        <v>-69531.5001990391+168410865.793934j</v>
      </c>
      <c r="B20122" s="0" t="s">
        <v>19948</v>
      </c>
    </row>
    <row r="20123" customFormat="false" ht="15" hidden="false" customHeight="false" outlineLevel="0" collapsed="false">
      <c r="A20123" s="0" t="str">
        <f aca="false">IMPOWER("0.076-552.2343j",0.5)</f>
        <v>16.6179166147514-16.6156297688301j</v>
      </c>
      <c r="B20123" s="0" t="s">
        <v>19949</v>
      </c>
    </row>
    <row r="20124" customFormat="false" ht="15" hidden="false" customHeight="false" outlineLevel="0" collapsed="false">
      <c r="A20124" s="0" t="str">
        <f aca="false">IMPOWER("0.076-552.2343j",-1)</f>
        <v>2.49210782347915e-07+0.0018108255518717j</v>
      </c>
      <c r="B20124" s="0" t="s">
        <v>19950</v>
      </c>
    </row>
    <row r="20125" customFormat="false" ht="15" hidden="false" customHeight="false" outlineLevel="0" collapsed="false">
      <c r="A20125" s="0" t="str">
        <f aca="false">IMPOWER("0.076-552.2343j",1.5)</f>
        <v>-9174.45771278632-9178.24633706807j</v>
      </c>
      <c r="B20125" s="0" t="s">
        <v>19951</v>
      </c>
    </row>
    <row r="20126" customFormat="false" ht="15" hidden="false" customHeight="false" outlineLevel="0" collapsed="false">
      <c r="A20126" s="0" t="str">
        <f aca="false">IMPOWER("0.076-552.2343j",7)</f>
        <v>-1.50887011754922e+16+1.56625861023721e+19j</v>
      </c>
      <c r="B20126" s="0" t="s">
        <v>19952</v>
      </c>
    </row>
    <row r="20127" customFormat="false" ht="15" hidden="false" customHeight="false" outlineLevel="0" collapsed="false">
      <c r="A20127" s="0" t="str">
        <f aca="false">IMPOWER("0.076-552.2343j",-2.5)</f>
        <v>-9.87019921025928e-08-9.86340972647992e-08j</v>
      </c>
      <c r="B20127" s="0" t="s">
        <v>19953</v>
      </c>
    </row>
    <row r="20128" customFormat="false" ht="15" hidden="false" customHeight="false" outlineLevel="0" collapsed="false">
      <c r="A20128" s="0" t="str">
        <f aca="false">IMPOWER("0.076-552.2343j",0.25)</f>
        <v>4.47870420328777-1.85495949438151j</v>
      </c>
      <c r="B20128" s="0" t="s">
        <v>19954</v>
      </c>
    </row>
    <row r="20129" customFormat="false" ht="15" hidden="false" customHeight="false" outlineLevel="0" collapsed="false">
      <c r="A20129" s="0" t="str">
        <f aca="false">IMPOWER("0.0-4.6597i",2)</f>
        <v>-21.71280409-2.65905160293321e-15i</v>
      </c>
      <c r="B20129" s="0" t="s">
        <v>19955</v>
      </c>
    </row>
    <row r="20130" customFormat="false" ht="15" hidden="false" customHeight="false" outlineLevel="0" collapsed="false">
      <c r="A20130" s="0" t="str">
        <f aca="false">IMPOWER("0.0-4.6597i",3)</f>
        <v>-1.85855741312818e-14+101.175153218173i</v>
      </c>
      <c r="B20130" s="0" t="s">
        <v>19956</v>
      </c>
    </row>
    <row r="20131" customFormat="false" ht="15" hidden="false" customHeight="false" outlineLevel="0" collapsed="false">
      <c r="A20131" s="0" t="str">
        <f aca="false">IMPOWER("0.0-4.6597i",0.5)</f>
        <v>1.52638461732291-1.52638461732291i</v>
      </c>
      <c r="B20131" s="0" t="s">
        <v>19957</v>
      </c>
    </row>
    <row r="20132" customFormat="false" ht="15" hidden="false" customHeight="false" outlineLevel="0" collapsed="false">
      <c r="A20132" s="0" t="str">
        <f aca="false">IMPOWER("0.0-4.6597i",-1)</f>
        <v>1.31408330916942e-17+0.214606090520849i</v>
      </c>
      <c r="B20132" s="0" t="s">
        <v>19958</v>
      </c>
    </row>
    <row r="20133" customFormat="false" ht="15" hidden="false" customHeight="false" outlineLevel="0" collapsed="false">
      <c r="A20133" s="0" t="str">
        <f aca="false">IMPOWER("0.0-4.6597i",1.5)</f>
        <v>-7.11249440133955-7.11249440133955i</v>
      </c>
      <c r="B20133" s="0" t="s">
        <v>19959</v>
      </c>
    </row>
    <row r="20134" customFormat="false" ht="15" hidden="false" customHeight="false" outlineLevel="0" collapsed="false">
      <c r="A20134" s="0" t="str">
        <f aca="false">IMPOWER("0.0-4.6597i",7)</f>
        <v>-2.04448813493829e-11+47698.6072663503i</v>
      </c>
      <c r="B20134" s="0" t="s">
        <v>19960</v>
      </c>
    </row>
    <row r="20135" customFormat="false" ht="15" hidden="false" customHeight="false" outlineLevel="0" collapsed="false">
      <c r="A20135" s="0" t="str">
        <f aca="false">IMPOWER("0.0-4.6597i",-2.5)</f>
        <v>-0.0150865560245946-0.0150865560245946i</v>
      </c>
      <c r="B20135" s="0" t="s">
        <v>19961</v>
      </c>
    </row>
    <row r="20136" customFormat="false" ht="15" hidden="false" customHeight="false" outlineLevel="0" collapsed="false">
      <c r="A20136" s="0" t="str">
        <f aca="false">IMPOWER("0.0-4.6597i",0.25)</f>
        <v>1.35739059311214-0.562249593104706i</v>
      </c>
      <c r="B20136" s="0" t="s">
        <v>19962</v>
      </c>
    </row>
    <row r="20137" customFormat="false" ht="15" hidden="false" customHeight="false" outlineLevel="0" collapsed="false">
      <c r="A20137" s="0" t="str">
        <f aca="false">IMPOWER("-407.491i",2)</f>
        <v>-166048.915081-2.03351272355837e-11i</v>
      </c>
      <c r="B20137" s="0" t="s">
        <v>19963</v>
      </c>
    </row>
    <row r="20138" customFormat="false" ht="15" hidden="false" customHeight="false" outlineLevel="0" collapsed="false">
      <c r="A20138" s="0" t="str">
        <f aca="false">IMPOWER("-407.491i",3)</f>
        <v>-1.24295719985329e-08+67663438.4552717i</v>
      </c>
      <c r="B20138" s="0" t="s">
        <v>19964</v>
      </c>
    </row>
    <row r="20139" customFormat="false" ht="15" hidden="false" customHeight="false" outlineLevel="0" collapsed="false">
      <c r="A20139" s="0" t="str">
        <f aca="false">IMPOWER("-407.491i",0.5)</f>
        <v>14.2739447946249-14.2739447946249i</v>
      </c>
      <c r="B20139" s="0" t="s">
        <v>19965</v>
      </c>
    </row>
    <row r="20140" customFormat="false" ht="15" hidden="false" customHeight="false" outlineLevel="0" collapsed="false">
      <c r="A20140" s="0" t="str">
        <f aca="false">IMPOWER("-407.491i",-1)</f>
        <v>1.50266729712724e-19+0.00245404192976041i</v>
      </c>
      <c r="B20140" s="0" t="s">
        <v>19966</v>
      </c>
    </row>
    <row r="20141" customFormat="false" ht="15" hidden="false" customHeight="false" outlineLevel="0" collapsed="false">
      <c r="A20141" s="0" t="str">
        <f aca="false">IMPOWER("-407.491i",1.5)</f>
        <v>-5816.5040383065-5816.5040383065i</v>
      </c>
      <c r="B20141" s="0" t="s">
        <v>19967</v>
      </c>
    </row>
    <row r="20142" customFormat="false" ht="15" hidden="false" customHeight="false" outlineLevel="0" collapsed="false">
      <c r="A20142" s="0" t="str">
        <f aca="false">IMPOWER("-407.491i",7)</f>
        <v>-799.659395688133+1.86563271314492e+18i</v>
      </c>
      <c r="B20142" s="0" t="s">
        <v>19968</v>
      </c>
    </row>
    <row r="20143" customFormat="false" ht="15" hidden="false" customHeight="false" outlineLevel="0" collapsed="false">
      <c r="A20143" s="0" t="str">
        <f aca="false">IMPOWER("-407.491i",-2.5)</f>
        <v>-2.10955061115621e-07-2.10955061115621e-07i</v>
      </c>
      <c r="B20143" s="0" t="s">
        <v>19969</v>
      </c>
    </row>
    <row r="20144" customFormat="false" ht="15" hidden="false" customHeight="false" outlineLevel="0" collapsed="false">
      <c r="A20144" s="0" t="str">
        <f aca="false">IMPOWER("-407.491i",0.25)</f>
        <v>4.15092466275578-1.71936929170241i</v>
      </c>
      <c r="B20144" s="0" t="s">
        <v>19970</v>
      </c>
    </row>
    <row r="20145" customFormat="false" ht="15" hidden="false" customHeight="false" outlineLevel="0" collapsed="false">
      <c r="A20145" s="0" t="str">
        <f aca="false">IMPOWER("-543.0",2)</f>
        <v>294849-7.22171768163595e-11i</v>
      </c>
      <c r="B20145" s="0" t="s">
        <v>19971</v>
      </c>
    </row>
    <row r="20146" customFormat="false" ht="15" hidden="false" customHeight="false" outlineLevel="0" collapsed="false">
      <c r="A20146" s="0" t="str">
        <f aca="false">IMPOWER("-543.0",3)</f>
        <v>-160103007+5.88208905169249e-08i</v>
      </c>
      <c r="B20146" s="0" t="s">
        <v>19972</v>
      </c>
    </row>
    <row r="20147" customFormat="false" ht="15" hidden="false" customHeight="false" outlineLevel="0" collapsed="false">
      <c r="A20147" s="0" t="str">
        <f aca="false">IMPOWER("-543.0",0.5)</f>
        <v>1.42685805354403e-15+23.3023603954621i</v>
      </c>
      <c r="B20147" s="0" t="s">
        <v>19973</v>
      </c>
    </row>
    <row r="20148" customFormat="false" ht="15" hidden="false" customHeight="false" outlineLevel="0" collapsed="false">
      <c r="A20148" s="0" t="str">
        <f aca="false">IMPOWER("-543.0",-1)</f>
        <v>-0.00184162062615101-2.25533480505958e-19i</v>
      </c>
      <c r="B20148" s="0" t="s">
        <v>19974</v>
      </c>
    </row>
    <row r="20149" customFormat="false" ht="15" hidden="false" customHeight="false" outlineLevel="0" collapsed="false">
      <c r="A20149" s="0" t="str">
        <f aca="false">IMPOWER("-543.0",1.5)</f>
        <v>-2.32435176922323e-12-12653.1816947359i</v>
      </c>
      <c r="B20149" s="0" t="s">
        <v>19975</v>
      </c>
    </row>
    <row r="20150" customFormat="false" ht="15" hidden="false" customHeight="false" outlineLevel="0" collapsed="false">
      <c r="A20150" s="0" t="str">
        <f aca="false">IMPOWER("-543.0",7)</f>
        <v>-1.391870425779e+19+11931.8476323068i</v>
      </c>
      <c r="B20150" s="0" t="s">
        <v>19976</v>
      </c>
    </row>
    <row r="20151" customFormat="false" ht="15" hidden="false" customHeight="false" outlineLevel="0" collapsed="false">
      <c r="A20151" s="0" t="str">
        <f aca="false">IMPOWER("-543.0",-2.5)</f>
        <v>4.45606263205299e-23-1.45546050833774e-07i</v>
      </c>
      <c r="B20151" s="0" t="s">
        <v>19977</v>
      </c>
    </row>
    <row r="20152" customFormat="false" ht="15" hidden="false" customHeight="false" outlineLevel="0" collapsed="false">
      <c r="A20152" s="0" t="str">
        <f aca="false">IMPOWER("-543.0",0.25)</f>
        <v>3.41338251558934+3.41338251558934i</v>
      </c>
      <c r="B20152" s="0" t="s">
        <v>19978</v>
      </c>
    </row>
    <row r="20153" customFormat="false" ht="15" hidden="false" customHeight="false" outlineLevel="0" collapsed="false">
      <c r="A20153" s="0" t="str">
        <f aca="false">IMPOWER("-337.0+73.676i",2)</f>
        <v>108140.847024-49657.6240000001i</v>
      </c>
      <c r="B20153" s="0" t="s">
        <v>19979</v>
      </c>
    </row>
    <row r="20154" customFormat="false" ht="15" hidden="false" customHeight="false" outlineLevel="0" collapsed="false">
      <c r="A20154" s="0" t="str">
        <f aca="false">IMPOWER("-337.0+73.676i",3)</f>
        <v>-32784890.341264+24702004.3333403i</v>
      </c>
      <c r="B20154" s="0" t="s">
        <v>19980</v>
      </c>
    </row>
    <row r="20155" customFormat="false" ht="15" hidden="false" customHeight="false" outlineLevel="0" collapsed="false">
      <c r="A20155" s="0" t="str">
        <f aca="false">IMPOWER("-337.0+73.676i",0.5)</f>
        <v>1.9949485749503+18.4656388954376i</v>
      </c>
      <c r="B20155" s="0" t="s">
        <v>19981</v>
      </c>
    </row>
    <row r="20156" customFormat="false" ht="15" hidden="false" customHeight="false" outlineLevel="0" collapsed="false">
      <c r="A20156" s="0" t="str">
        <f aca="false">IMPOWER("-337.0+73.676i",-1)</f>
        <v>-0.00283200052750815-0.000619140863099972i</v>
      </c>
      <c r="B20156" s="0" t="s">
        <v>19982</v>
      </c>
    </row>
    <row r="20157" customFormat="false" ht="15" hidden="false" customHeight="false" outlineLevel="0" collapsed="false">
      <c r="A20157" s="0" t="str">
        <f aca="false">IMPOWER("-337.0+73.676i",1.5)</f>
        <v>-2032.77208101851-6075.94047655442i</v>
      </c>
      <c r="B20157" s="0" t="s">
        <v>19983</v>
      </c>
    </row>
    <row r="20158" customFormat="false" ht="15" hidden="false" customHeight="false" outlineLevel="0" collapsed="false">
      <c r="A20158" s="0" t="str">
        <f aca="false">IMPOWER("-337.0+73.676i",7)</f>
        <v>-3.72570395326468e+16+5.80074878592705e+17i</v>
      </c>
      <c r="B20158" s="0" t="s">
        <v>19984</v>
      </c>
    </row>
    <row r="20159" customFormat="false" ht="15" hidden="false" customHeight="false" outlineLevel="0" collapsed="false">
      <c r="A20159" s="0" t="str">
        <f aca="false">IMPOWER("-337.0+73.676i",-2.5)</f>
        <v>2.31884449792547e-07-3.88521299880508e-07i</v>
      </c>
      <c r="B20159" s="0" t="s">
        <v>19985</v>
      </c>
    </row>
    <row r="20160" customFormat="false" ht="15" hidden="false" customHeight="false" outlineLevel="0" collapsed="false">
      <c r="A20160" s="0" t="str">
        <f aca="false">IMPOWER("-337.0+73.676i",0.25)</f>
        <v>3.20687056954538+2.87907455180758i</v>
      </c>
      <c r="B20160" s="0" t="s">
        <v>19986</v>
      </c>
    </row>
    <row r="20161" customFormat="false" ht="15" hidden="false" customHeight="false" outlineLevel="0" collapsed="false">
      <c r="A20161" s="0" t="str">
        <f aca="false">IMPOWER("-8.955-7.127i",2)</f>
        <v>29.397896+127.64457i</v>
      </c>
      <c r="B20161" s="0" t="s">
        <v>19987</v>
      </c>
    </row>
    <row r="20162" customFormat="false" ht="15" hidden="false" customHeight="false" outlineLevel="0" collapsed="false">
      <c r="A20162" s="0" t="str">
        <f aca="false">IMPOWER("-8.955-7.127i",3)</f>
        <v>646.46469171-1352.575929142i</v>
      </c>
      <c r="B20162" s="0" t="s">
        <v>19988</v>
      </c>
    </row>
    <row r="20163" customFormat="false" ht="15" hidden="false" customHeight="false" outlineLevel="0" collapsed="false">
      <c r="A20163" s="0" t="str">
        <f aca="false">IMPOWER("-8.955-7.127i",0.5)</f>
        <v>1.1157773660004-3.19373748615612i</v>
      </c>
      <c r="B20163" s="0" t="s">
        <v>19989</v>
      </c>
    </row>
    <row r="20164" customFormat="false" ht="15" hidden="false" customHeight="false" outlineLevel="0" collapsed="false">
      <c r="A20164" s="0" t="str">
        <f aca="false">IMPOWER("-8.955-7.127i",-1)</f>
        <v>-0.0683660045473203+0.0544103310339198i</v>
      </c>
      <c r="B20164" s="0" t="s">
        <v>19990</v>
      </c>
    </row>
    <row r="20165" customFormat="false" ht="15" hidden="false" customHeight="false" outlineLevel="0" collapsed="false">
      <c r="A20165" s="0" t="str">
        <f aca="false">IMPOWER("-8.955-7.127i",1.5)</f>
        <v>-32.7535533763682+20.6477739010432i</v>
      </c>
      <c r="B20165" s="0" t="s">
        <v>19991</v>
      </c>
    </row>
    <row r="20166" customFormat="false" ht="15" hidden="false" customHeight="false" outlineLevel="0" collapsed="false">
      <c r="A20166" s="0" t="str">
        <f aca="false">IMPOWER("-8.955-7.127i",7)</f>
        <v>176794.04086262+25720452.6727221i</v>
      </c>
      <c r="B20166" s="0" t="s">
        <v>19992</v>
      </c>
    </row>
    <row r="20167" customFormat="false" ht="15" hidden="false" customHeight="false" outlineLevel="0" collapsed="false">
      <c r="A20167" s="0" t="str">
        <f aca="false">IMPOWER("-8.955-7.127i",-2.5)</f>
        <v>0.00224309509859763-0.000247161292898948i</v>
      </c>
      <c r="B20167" s="0" t="s">
        <v>19993</v>
      </c>
    </row>
    <row r="20168" customFormat="false" ht="15" hidden="false" customHeight="false" outlineLevel="0" collapsed="false">
      <c r="A20168" s="0" t="str">
        <f aca="false">IMPOWER("-8.955-7.127i",0.25)</f>
        <v>1.49980186193023-1.06471980306979i</v>
      </c>
      <c r="B20168" s="0" t="s">
        <v>19994</v>
      </c>
    </row>
    <row r="20169" customFormat="false" ht="15" hidden="false" customHeight="false" outlineLevel="0" collapsed="false">
      <c r="A20169" s="0" t="str">
        <f aca="false">IMPOWER("-90.0i",2)</f>
        <v>-8100-9.91963907309356e-13i</v>
      </c>
      <c r="B20169" s="0" t="s">
        <v>19995</v>
      </c>
    </row>
    <row r="20170" customFormat="false" ht="15" hidden="false" customHeight="false" outlineLevel="0" collapsed="false">
      <c r="A20170" s="0" t="str">
        <f aca="false">IMPOWER("-90.0i",3)</f>
        <v>-1.33915127486763e-10+729000i</v>
      </c>
      <c r="B20170" s="0" t="s">
        <v>19996</v>
      </c>
    </row>
    <row r="20171" customFormat="false" ht="15" hidden="false" customHeight="false" outlineLevel="0" collapsed="false">
      <c r="A20171" s="0" t="str">
        <f aca="false">IMPOWER("-90.0i",0.5)</f>
        <v>6.70820393249937-6.70820393249937i</v>
      </c>
      <c r="B20171" s="0" t="s">
        <v>19997</v>
      </c>
    </row>
    <row r="20172" customFormat="false" ht="15" hidden="false" customHeight="false" outlineLevel="0" collapsed="false">
      <c r="A20172" s="0" t="str">
        <f aca="false">IMPOWER("-90.0i",-1)</f>
        <v>6.80359332859641e-19+0.0111111111111111i</v>
      </c>
      <c r="B20172" s="0" t="s">
        <v>19998</v>
      </c>
    </row>
    <row r="20173" customFormat="false" ht="15" hidden="false" customHeight="false" outlineLevel="0" collapsed="false">
      <c r="A20173" s="0" t="str">
        <f aca="false">IMPOWER("-90.0i",1.5)</f>
        <v>-603.738353924943-603.738353924943i</v>
      </c>
      <c r="B20173" s="0" t="s">
        <v>19999</v>
      </c>
    </row>
    <row r="20174" customFormat="false" ht="15" hidden="false" customHeight="false" outlineLevel="0" collapsed="false">
      <c r="A20174" s="0" t="str">
        <f aca="false">IMPOWER("-90.0i",7)</f>
        <v>-0.0205010668669486+47829690000000i</v>
      </c>
      <c r="B20174" s="0" t="s">
        <v>20000</v>
      </c>
    </row>
    <row r="20175" customFormat="false" ht="15" hidden="false" customHeight="false" outlineLevel="0" collapsed="false">
      <c r="A20175" s="0" t="str">
        <f aca="false">IMPOWER("-90.0i",-2.5)</f>
        <v>-9.20192583333247e-06-9.20192583333247e-06i</v>
      </c>
      <c r="B20175" s="0" t="s">
        <v>20001</v>
      </c>
    </row>
    <row r="20176" customFormat="false" ht="15" hidden="false" customHeight="false" outlineLevel="0" collapsed="false">
      <c r="A20176" s="0" t="str">
        <f aca="false">IMPOWER("-90.0i",0.25)</f>
        <v>2.84561389800202-1.17869186982981i</v>
      </c>
      <c r="B20176" s="0" t="s">
        <v>20002</v>
      </c>
    </row>
    <row r="20177" customFormat="false" ht="15" hidden="false" customHeight="false" outlineLevel="0" collapsed="false">
      <c r="A20177" s="0" t="str">
        <f aca="false">IMPOWER("-474.4462+4.804i",2)</f>
        <v>225076.11827844-4558.47908960007i</v>
      </c>
      <c r="B20177" s="0" t="s">
        <v>20003</v>
      </c>
    </row>
    <row r="20178" customFormat="false" ht="15" hidden="false" customHeight="false" outlineLevel="0" collapsed="false">
      <c r="A20178" s="0" t="str">
        <f aca="false">IMPOWER("-474.4462+4.804i",3)</f>
        <v>-106764610.09441+3244018.7540499i</v>
      </c>
      <c r="B20178" s="0" t="s">
        <v>20004</v>
      </c>
    </row>
    <row r="20179" customFormat="false" ht="15" hidden="false" customHeight="false" outlineLevel="0" collapsed="false">
      <c r="A20179" s="0" t="str">
        <f aca="false">IMPOWER("-474.4462+4.804i",0.5)</f>
        <v>0.110274208988421+21.7820651087349i</v>
      </c>
      <c r="B20179" s="0" t="s">
        <v>20005</v>
      </c>
    </row>
    <row r="20180" customFormat="false" ht="15" hidden="false" customHeight="false" outlineLevel="0" collapsed="false">
      <c r="A20180" s="0" t="str">
        <f aca="false">IMPOWER("-474.4462+4.804i",-1)</f>
        <v>-0.00210750446515009-2.13395142601652e-05i</v>
      </c>
      <c r="B20180" s="0" t="s">
        <v>20006</v>
      </c>
    </row>
    <row r="20181" customFormat="false" ht="15" hidden="false" customHeight="false" outlineLevel="0" collapsed="false">
      <c r="A20181" s="0" t="str">
        <f aca="false">IMPOWER("-474.4462+4.804i",1.5)</f>
        <v>-156.960220194929-10333.8882616919i</v>
      </c>
      <c r="B20181" s="0" t="s">
        <v>20007</v>
      </c>
    </row>
    <row r="20182" customFormat="false" ht="15" hidden="false" customHeight="false" outlineLevel="0" collapsed="false">
      <c r="A20182" s="0" t="str">
        <f aca="false">IMPOWER("-474.4462+4.804i",7)</f>
        <v>-5.39974073943506e+18+3.8335417680028e+17i</v>
      </c>
      <c r="B20182" s="0" t="s">
        <v>20008</v>
      </c>
    </row>
    <row r="20183" customFormat="false" ht="15" hidden="false" customHeight="false" outlineLevel="0" collapsed="false">
      <c r="A20183" s="0" t="str">
        <f aca="false">IMPOWER("-474.4462+4.804i",-2.5)</f>
        <v>5.16145003582616e-09-2.03862696157219e-07i</v>
      </c>
      <c r="B20183" s="0" t="s">
        <v>20009</v>
      </c>
    </row>
    <row r="20184" customFormat="false" ht="15" hidden="false" customHeight="false" outlineLevel="0" collapsed="false">
      <c r="A20184" s="0" t="str">
        <f aca="false">IMPOWER("-474.4462+4.804i",0.25)</f>
        <v>3.30852070069583+3.29181333279158i</v>
      </c>
      <c r="B20184" s="0" t="s">
        <v>20010</v>
      </c>
    </row>
    <row r="20185" customFormat="false" ht="15" hidden="false" customHeight="false" outlineLevel="0" collapsed="false">
      <c r="A20185" s="0" t="str">
        <f aca="false">IMPOWER("-8.0-0.0031j",2)</f>
        <v>63.99999039+0.0496000000000174j</v>
      </c>
      <c r="B20185" s="0" t="s">
        <v>20011</v>
      </c>
    </row>
    <row r="20186" customFormat="false" ht="15" hidden="false" customHeight="false" outlineLevel="0" collapsed="false">
      <c r="A20186" s="0" t="str">
        <f aca="false">IMPOWER("-8.0-0.0031j",3)</f>
        <v>-511.99976936-0.595199970209436j</v>
      </c>
      <c r="B20186" s="0" t="s">
        <v>20012</v>
      </c>
    </row>
    <row r="20187" customFormat="false" ht="15" hidden="false" customHeight="false" outlineLevel="0" collapsed="false">
      <c r="A20187" s="0" t="str">
        <f aca="false">IMPOWER("-8.0-0.0031j",0.5)</f>
        <v>0.000548007745133919-2.82842717783444j</v>
      </c>
      <c r="B20187" s="0" t="s">
        <v>20013</v>
      </c>
    </row>
    <row r="20188" customFormat="false" ht="15" hidden="false" customHeight="false" outlineLevel="0" collapsed="false">
      <c r="A20188" s="0" t="str">
        <f aca="false">IMPOWER("-8.0-0.0031j",-1)</f>
        <v>-0.124999981230472+4.84374927268247e-05j</v>
      </c>
      <c r="B20188" s="0" t="s">
        <v>20014</v>
      </c>
    </row>
    <row r="20189" customFormat="false" ht="15" hidden="false" customHeight="false" outlineLevel="0" collapsed="false">
      <c r="A20189" s="0" t="str">
        <f aca="false">IMPOWER("-8.0-0.0031j",1.5)</f>
        <v>-0.0131521862123662+22.6274157238515j</v>
      </c>
      <c r="B20189" s="0" t="s">
        <v>20015</v>
      </c>
    </row>
    <row r="20190" customFormat="false" ht="15" hidden="false" customHeight="false" outlineLevel="0" collapsed="false">
      <c r="A20190" s="0" t="str">
        <f aca="false">IMPOWER("-8.0-0.0031j",7)</f>
        <v>-2097145.38709158-5688.52052916556j</v>
      </c>
      <c r="B20190" s="0" t="s">
        <v>20016</v>
      </c>
    </row>
    <row r="20191" customFormat="false" ht="15" hidden="false" customHeight="false" outlineLevel="0" collapsed="false">
      <c r="A20191" s="0" t="str">
        <f aca="false">IMPOWER("-8.0-0.0031j",-2.5)</f>
        <v>5.35163612711793e-06+0.00552426809894134j</v>
      </c>
      <c r="B20191" s="0" t="s">
        <v>20017</v>
      </c>
    </row>
    <row r="20192" customFormat="false" ht="15" hidden="false" customHeight="false" outlineLevel="0" collapsed="false">
      <c r="A20192" s="0" t="str">
        <f aca="false">IMPOWER("-8.0-0.0031j",0.25)</f>
        <v>1.18932233617885-1.18909192730788j</v>
      </c>
      <c r="B20192" s="0" t="s">
        <v>20018</v>
      </c>
    </row>
    <row r="20193" customFormat="false" ht="15" hidden="false" customHeight="false" outlineLevel="0" collapsed="false">
      <c r="A20193" s="0" t="str">
        <f aca="false">IMPOWER("-345.21-2.0i",2)</f>
        <v>119165.9441+1380.84000000002i</v>
      </c>
      <c r="B20193" s="0" t="s">
        <v>20019</v>
      </c>
    </row>
    <row r="20194" customFormat="false" ht="15" hidden="false" customHeight="false" outlineLevel="0" collapsed="false">
      <c r="A20194" s="0" t="str">
        <f aca="false">IMPOWER("-345.21-2.0i",3)</f>
        <v>-41134513.8827609-715011.664600028i</v>
      </c>
      <c r="B20194" s="0" t="s">
        <v>20020</v>
      </c>
    </row>
    <row r="20195" customFormat="false" ht="15" hidden="false" customHeight="false" outlineLevel="0" collapsed="false">
      <c r="A20195" s="0" t="str">
        <f aca="false">IMPOWER("-345.21-2.0i",0.5)</f>
        <v>0.0538215863299705-18.579905725357i</v>
      </c>
      <c r="B20195" s="0" t="s">
        <v>20021</v>
      </c>
    </row>
    <row r="20196" customFormat="false" ht="15" hidden="false" customHeight="false" outlineLevel="0" collapsed="false">
      <c r="A20196" s="0" t="str">
        <f aca="false">IMPOWER("-345.21-2.0i",-1)</f>
        <v>-0.00289669023381765+1.67821919053196e-05i</v>
      </c>
      <c r="B20196" s="0" t="s">
        <v>20022</v>
      </c>
    </row>
    <row r="20197" customFormat="false" ht="15" hidden="false" customHeight="false" outlineLevel="0" collapsed="false">
      <c r="A20197" s="0" t="str">
        <f aca="false">IMPOWER("-345.21-2.0i",1.5)</f>
        <v>-55.7395612676851+6413.86161227783i</v>
      </c>
      <c r="B20197" s="0" t="s">
        <v>20023</v>
      </c>
    </row>
    <row r="20198" customFormat="false" ht="15" hidden="false" customHeight="false" outlineLevel="0" collapsed="false">
      <c r="A20198" s="0" t="str">
        <f aca="false">IMPOWER("-345.21-2.0i",7)</f>
        <v>-5.83817837927305e+17-2.36894703756621e+16i</v>
      </c>
      <c r="B20198" s="0" t="s">
        <v>20024</v>
      </c>
    </row>
    <row r="20199" customFormat="false" ht="15" hidden="false" customHeight="false" outlineLevel="0" collapsed="false">
      <c r="A20199" s="0" t="str">
        <f aca="false">IMPOWER("-345.21-2.0i",-2.5)</f>
        <v>6.54093678859934e-09+4.5157283083976e-07i</v>
      </c>
      <c r="B20199" s="0" t="s">
        <v>20025</v>
      </c>
    </row>
    <row r="20200" customFormat="false" ht="15" hidden="false" customHeight="false" outlineLevel="0" collapsed="false">
      <c r="A20200" s="0" t="str">
        <f aca="false">IMPOWER("-345.21-2.0i",0.25)</f>
        <v>3.05236017416995-3.043531016193i</v>
      </c>
      <c r="B20200" s="0" t="s">
        <v>20026</v>
      </c>
    </row>
    <row r="20201" customFormat="false" ht="15" hidden="false" customHeight="false" outlineLevel="0" collapsed="false">
      <c r="A20201" s="0" t="str">
        <f aca="false">IMPOWER("5.0-3.64j",2)</f>
        <v>11.7504-36.4j</v>
      </c>
      <c r="B20201" s="0" t="s">
        <v>20027</v>
      </c>
    </row>
    <row r="20202" customFormat="false" ht="15" hidden="false" customHeight="false" outlineLevel="0" collapsed="false">
      <c r="A20202" s="0" t="str">
        <f aca="false">IMPOWER("5.0-3.64j",3)</f>
        <v>-73.744-224.771456j</v>
      </c>
      <c r="B20202" s="0" t="s">
        <v>20028</v>
      </c>
    </row>
    <row r="20203" customFormat="false" ht="15" hidden="false" customHeight="false" outlineLevel="0" collapsed="false">
      <c r="A20203" s="0" t="str">
        <f aca="false">IMPOWER("5.0-3.64j",0.5)</f>
        <v>2.36480719089936-0.769618769345774j</v>
      </c>
      <c r="B20203" s="0" t="s">
        <v>20029</v>
      </c>
    </row>
    <row r="20204" customFormat="false" ht="15" hidden="false" customHeight="false" outlineLevel="0" collapsed="false">
      <c r="A20204" s="0" t="str">
        <f aca="false">IMPOWER("5.0-3.64j",-1)</f>
        <v>0.130720321258262+0.0951643938760144j</v>
      </c>
      <c r="B20204" s="0" t="s">
        <v>20030</v>
      </c>
    </row>
    <row r="20205" customFormat="false" ht="15" hidden="false" customHeight="false" outlineLevel="0" collapsed="false">
      <c r="A20205" s="0" t="str">
        <f aca="false">IMPOWER("5.0-3.64j",1.5)</f>
        <v>9.02262363407816-12.4559920216025j</v>
      </c>
      <c r="B20205" s="0" t="s">
        <v>20031</v>
      </c>
    </row>
    <row r="20206" customFormat="false" ht="15" hidden="false" customHeight="false" outlineLevel="0" collapsed="false">
      <c r="A20206" s="0" t="str">
        <f aca="false">IMPOWER("5.0-3.64j",7)</f>
        <v>-104750.172772598+329861.33133539j</v>
      </c>
      <c r="B20206" s="0" t="s">
        <v>20032</v>
      </c>
    </row>
    <row r="20207" customFormat="false" ht="15" hidden="false" customHeight="false" outlineLevel="0" collapsed="false">
      <c r="A20207" s="0" t="str">
        <f aca="false">IMPOWER("5.0-3.64j",-2.5)</f>
        <v>-2.5053618478445e-05+0.0105127211386586j</v>
      </c>
      <c r="B20207" s="0" t="s">
        <v>20033</v>
      </c>
    </row>
    <row r="20208" customFormat="false" ht="15" hidden="false" customHeight="false" outlineLevel="0" collapsed="false">
      <c r="A20208" s="0" t="str">
        <f aca="false">IMPOWER("5.0-3.64j",0.25)</f>
        <v>1.55751373043527-0.247066447732275j</v>
      </c>
      <c r="B20208" s="0" t="s">
        <v>20034</v>
      </c>
    </row>
    <row r="20209" customFormat="false" ht="15" hidden="false" customHeight="false" outlineLevel="0" collapsed="false">
      <c r="A20209" s="0" t="e">
        <f aca="false">IMPOWER("-6.0+-0.0j",2)</f>
        <v>#VALUE!</v>
      </c>
      <c r="B20209" s="0" t="s">
        <v>20035</v>
      </c>
    </row>
    <row r="20210" customFormat="false" ht="15" hidden="false" customHeight="false" outlineLevel="0" collapsed="false">
      <c r="A20210" s="0" t="e">
        <f aca="false">IMPOWER("-6.0+-0.0j",3)</f>
        <v>#VALUE!</v>
      </c>
      <c r="B20210" s="0" t="s">
        <v>20036</v>
      </c>
    </row>
    <row r="20211" customFormat="false" ht="15" hidden="false" customHeight="false" outlineLevel="0" collapsed="false">
      <c r="A20211" s="0" t="e">
        <f aca="false">IMPOWER("-6.0+-0.0j",0.5)</f>
        <v>#VALUE!</v>
      </c>
      <c r="B20211" s="0" t="s">
        <v>20037</v>
      </c>
    </row>
    <row r="20212" customFormat="false" ht="15" hidden="false" customHeight="false" outlineLevel="0" collapsed="false">
      <c r="A20212" s="0" t="e">
        <f aca="false">IMPOWER("-6.0+-0.0j",-1)</f>
        <v>#VALUE!</v>
      </c>
      <c r="B20212" s="0" t="s">
        <v>20038</v>
      </c>
    </row>
    <row r="20213" customFormat="false" ht="15" hidden="false" customHeight="false" outlineLevel="0" collapsed="false">
      <c r="A20213" s="0" t="e">
        <f aca="false">IMPOWER("-6.0+-0.0j",1.5)</f>
        <v>#VALUE!</v>
      </c>
      <c r="B20213" s="0" t="s">
        <v>20039</v>
      </c>
    </row>
    <row r="20214" customFormat="false" ht="15" hidden="false" customHeight="false" outlineLevel="0" collapsed="false">
      <c r="A20214" s="0" t="e">
        <f aca="false">IMPOWER("-6.0+-0.0j",7)</f>
        <v>#VALUE!</v>
      </c>
      <c r="B20214" s="0" t="s">
        <v>20040</v>
      </c>
    </row>
    <row r="20215" customFormat="false" ht="15" hidden="false" customHeight="false" outlineLevel="0" collapsed="false">
      <c r="A20215" s="0" t="e">
        <f aca="false">IMPOWER("-6.0+-0.0j",-2.5)</f>
        <v>#VALUE!</v>
      </c>
      <c r="B20215" s="0" t="s">
        <v>20041</v>
      </c>
    </row>
    <row r="20216" customFormat="false" ht="15" hidden="false" customHeight="false" outlineLevel="0" collapsed="false">
      <c r="A20216" s="0" t="e">
        <f aca="false">IMPOWER("-6.0+-0.0j",0.25)</f>
        <v>#VALUE!</v>
      </c>
      <c r="B20216" s="0" t="s">
        <v>20042</v>
      </c>
    </row>
    <row r="20217" customFormat="false" ht="15" hidden="false" customHeight="false" outlineLevel="0" collapsed="false">
      <c r="A20217" s="0" t="str">
        <f aca="false">IMPOWER("0.0i",2)</f>
        <v>0</v>
      </c>
      <c r="B20217" s="0" t="s">
        <v>20043</v>
      </c>
    </row>
    <row r="20218" customFormat="false" ht="15" hidden="false" customHeight="false" outlineLevel="0" collapsed="false">
      <c r="A20218" s="0" t="str">
        <f aca="false">IMPOWER("0.0i",3)</f>
        <v>0</v>
      </c>
      <c r="B20218" s="0" t="s">
        <v>20044</v>
      </c>
    </row>
    <row r="20219" customFormat="false" ht="15" hidden="false" customHeight="false" outlineLevel="0" collapsed="false">
      <c r="A20219" s="0" t="str">
        <f aca="false">IMPOWER("0.0i",0.5)</f>
        <v>0</v>
      </c>
      <c r="B20219" s="0" t="s">
        <v>20045</v>
      </c>
    </row>
    <row r="20220" customFormat="false" ht="15" hidden="false" customHeight="false" outlineLevel="0" collapsed="false">
      <c r="A20220" s="0" t="e">
        <f aca="false">IMPOWER("0.0i",-1)</f>
        <v>#VALUE!</v>
      </c>
      <c r="B20220" s="0" t="s">
        <v>20046</v>
      </c>
    </row>
    <row r="20221" customFormat="false" ht="15" hidden="false" customHeight="false" outlineLevel="0" collapsed="false">
      <c r="A20221" s="0" t="str">
        <f aca="false">IMPOWER("0.0i",1.5)</f>
        <v>0</v>
      </c>
      <c r="B20221" s="0" t="s">
        <v>20047</v>
      </c>
    </row>
    <row r="20222" customFormat="false" ht="15" hidden="false" customHeight="false" outlineLevel="0" collapsed="false">
      <c r="A20222" s="0" t="str">
        <f aca="false">IMPOWER("0.0i",7)</f>
        <v>0</v>
      </c>
      <c r="B20222" s="0" t="s">
        <v>20048</v>
      </c>
    </row>
    <row r="20223" customFormat="false" ht="15" hidden="false" customHeight="false" outlineLevel="0" collapsed="false">
      <c r="A20223" s="0" t="e">
        <f aca="false">IMPOWER("0.0i",-2.5)</f>
        <v>#VALUE!</v>
      </c>
      <c r="B20223" s="0" t="s">
        <v>20049</v>
      </c>
    </row>
    <row r="20224" customFormat="false" ht="15" hidden="false" customHeight="false" outlineLevel="0" collapsed="false">
      <c r="A20224" s="0" t="str">
        <f aca="false">IMPOWER("0.0i",0.25)</f>
        <v>0</v>
      </c>
      <c r="B20224" s="0" t="s">
        <v>20050</v>
      </c>
    </row>
    <row r="20225" customFormat="false" ht="15" hidden="false" customHeight="false" outlineLevel="0" collapsed="false">
      <c r="A20225" s="0" t="str">
        <f aca="false">IMPOWER("-72.695-2.14i",2)</f>
        <v>5279.983425+311.134600000002i</v>
      </c>
      <c r="B20225" s="0" t="s">
        <v>20051</v>
      </c>
    </row>
    <row r="20226" customFormat="false" ht="15" hidden="false" customHeight="false" outlineLevel="0" collapsed="false">
      <c r="A20226" s="0" t="str">
        <f aca="false">IMPOWER("-72.695-2.14i",3)</f>
        <v>-383162.567036375-33917.0942765i</v>
      </c>
      <c r="B20226" s="0" t="s">
        <v>20052</v>
      </c>
    </row>
    <row r="20227" customFormat="false" ht="15" hidden="false" customHeight="false" outlineLevel="0" collapsed="false">
      <c r="A20227" s="0" t="str">
        <f aca="false">IMPOWER("-72.695-2.14i",0.5)</f>
        <v>0.125482879947435-8.52705963114835i</v>
      </c>
      <c r="B20227" s="0" t="s">
        <v>20053</v>
      </c>
    </row>
    <row r="20228" customFormat="false" ht="15" hidden="false" customHeight="false" outlineLevel="0" collapsed="false">
      <c r="A20228" s="0" t="str">
        <f aca="false">IMPOWER("-72.695-2.14i",-1)</f>
        <v>-0.0137441935591593+0.000404602437810044i</v>
      </c>
      <c r="B20228" s="0" t="s">
        <v>20054</v>
      </c>
    </row>
    <row r="20229" customFormat="false" ht="15" hidden="false" customHeight="false" outlineLevel="0" collapsed="false">
      <c r="A20229" s="0" t="str">
        <f aca="false">IMPOWER("-72.695-2.14i",1.5)</f>
        <v>-27.3698855684362+619.606066523242i</v>
      </c>
      <c r="B20229" s="0" t="s">
        <v>20055</v>
      </c>
    </row>
    <row r="20230" customFormat="false" ht="15" hidden="false" customHeight="false" outlineLevel="0" collapsed="false">
      <c r="A20230" s="0" t="str">
        <f aca="false">IMPOWER("-72.695-2.14i",7)</f>
        <v>-10533363267385.4-2201172891294.06i</v>
      </c>
      <c r="B20230" s="0" t="s">
        <v>20056</v>
      </c>
    </row>
    <row r="20231" customFormat="false" ht="15" hidden="false" customHeight="false" outlineLevel="0" collapsed="false">
      <c r="A20231" s="0" t="str">
        <f aca="false">IMPOWER("-72.695-2.14i",-2.5)</f>
        <v>1.62967255565229e-06+2.21101605487318e-05i</v>
      </c>
      <c r="B20231" s="0" t="s">
        <v>20057</v>
      </c>
    </row>
    <row r="20232" customFormat="false" ht="15" hidden="false" customHeight="false" outlineLevel="0" collapsed="false">
      <c r="A20232" s="0" t="str">
        <f aca="false">IMPOWER("-72.695-2.14i",0.25)</f>
        <v>2.08008001701409-2.04969509860221i</v>
      </c>
      <c r="B20232" s="0" t="s">
        <v>20058</v>
      </c>
    </row>
    <row r="20233" customFormat="false" ht="15" hidden="false" customHeight="false" outlineLevel="0" collapsed="false">
      <c r="A20233" s="0" t="str">
        <f aca="false">IMPOWER("-961.53+0.0i",2)</f>
        <v>924539.9409-2.26446975861414e-10i</v>
      </c>
      <c r="B20233" s="0" t="s">
        <v>20059</v>
      </c>
    </row>
    <row r="20234" customFormat="false" ht="15" hidden="false" customHeight="false" outlineLevel="0" collapsed="false">
      <c r="A20234" s="0" t="str">
        <f aca="false">IMPOWER("-961.53+0.0i",3)</f>
        <v>-888972889.373576+3.26603341050037e-07i</v>
      </c>
      <c r="B20234" s="0" t="s">
        <v>20060</v>
      </c>
    </row>
    <row r="20235" customFormat="false" ht="15" hidden="false" customHeight="false" outlineLevel="0" collapsed="false">
      <c r="A20235" s="0" t="str">
        <f aca="false">IMPOWER("-961.53+0.0i",0.5)</f>
        <v>1.89872590427295e-15+31.0085472087939i</v>
      </c>
      <c r="B20235" s="0" t="s">
        <v>20061</v>
      </c>
    </row>
    <row r="20236" customFormat="false" ht="15" hidden="false" customHeight="false" outlineLevel="0" collapsed="false">
      <c r="A20236" s="0" t="str">
        <f aca="false">IMPOWER("-961.53+0.0i",-1)</f>
        <v>-0.00104000915208054-1.27364387917938e-19i</v>
      </c>
      <c r="B20236" s="0" t="s">
        <v>20062</v>
      </c>
    </row>
    <row r="20237" customFormat="false" ht="15" hidden="false" customHeight="false" outlineLevel="0" collapsed="false">
      <c r="A20237" s="0" t="str">
        <f aca="false">IMPOWER("-961.53+0.0i",1.5)</f>
        <v>-5.47704575620671e-12-29815.6483976716i</v>
      </c>
      <c r="B20237" s="0" t="s">
        <v>20063</v>
      </c>
    </row>
    <row r="20238" customFormat="false" ht="15" hidden="false" customHeight="false" outlineLevel="0" collapsed="false">
      <c r="A20238" s="0" t="str">
        <f aca="false">IMPOWER("-961.53+0.0i",7)</f>
        <v>-7.59871003500557e+20+651401.514541291i</v>
      </c>
      <c r="B20238" s="0" t="s">
        <v>20064</v>
      </c>
    </row>
    <row r="20239" customFormat="false" ht="15" hidden="false" customHeight="false" outlineLevel="0" collapsed="false">
      <c r="A20239" s="0" t="str">
        <f aca="false">IMPOWER("-961.53+0.0i",-2.5)</f>
        <v>1.06793240095933e-23-3.48813193061988e-08i</v>
      </c>
      <c r="B20239" s="0" t="s">
        <v>20065</v>
      </c>
    </row>
    <row r="20240" customFormat="false" ht="15" hidden="false" customHeight="false" outlineLevel="0" collapsed="false">
      <c r="A20240" s="0" t="str">
        <f aca="false">IMPOWER("-961.53+0.0i",0.25)</f>
        <v>3.93754664790107+3.93754664790107i</v>
      </c>
      <c r="B20240" s="0" t="s">
        <v>20066</v>
      </c>
    </row>
    <row r="20241" customFormat="false" ht="15" hidden="false" customHeight="false" outlineLevel="0" collapsed="false">
      <c r="A20241" s="0" t="str">
        <f aca="false">IMPOWER("10.99-23.4i",2)</f>
        <v>-426.7799-514.332i</v>
      </c>
      <c r="B20241" s="0" t="s">
        <v>20067</v>
      </c>
    </row>
    <row r="20242" customFormat="false" ht="15" hidden="false" customHeight="false" outlineLevel="0" collapsed="false">
      <c r="A20242" s="0" t="str">
        <f aca="false">IMPOWER("10.99-23.4i",3)</f>
        <v>-16725.679901+4334.14098i</v>
      </c>
      <c r="B20242" s="0" t="s">
        <v>20068</v>
      </c>
    </row>
    <row r="20243" customFormat="false" ht="15" hidden="false" customHeight="false" outlineLevel="0" collapsed="false">
      <c r="A20243" s="0" t="str">
        <f aca="false">IMPOWER("10.99-23.4i",0.5)</f>
        <v>4.29198523770985-2.72601124002071i</v>
      </c>
      <c r="B20243" s="0" t="s">
        <v>20069</v>
      </c>
    </row>
    <row r="20244" customFormat="false" ht="15" hidden="false" customHeight="false" outlineLevel="0" collapsed="false">
      <c r="A20244" s="0" t="str">
        <f aca="false">IMPOWER("10.99-23.4i",-1)</f>
        <v>0.0164437237867367+0.0350121143411865i</v>
      </c>
      <c r="B20244" s="0" t="s">
        <v>20070</v>
      </c>
    </row>
    <row r="20245" customFormat="false" ht="15" hidden="false" customHeight="false" outlineLevel="0" collapsed="false">
      <c r="A20245" s="0" t="str">
        <f aca="false">IMPOWER("10.99-23.4i",1.5)</f>
        <v>-16.6197452540534-130.391318090238i</v>
      </c>
      <c r="B20245" s="0" t="s">
        <v>20071</v>
      </c>
    </row>
    <row r="20246" customFormat="false" ht="15" hidden="false" customHeight="false" outlineLevel="0" collapsed="false">
      <c r="A20246" s="0" t="str">
        <f aca="false">IMPOWER("10.99-23.4i",7)</f>
        <v>-524610223.519965-7699910182.52583i</v>
      </c>
      <c r="B20246" s="0" t="s">
        <v>20072</v>
      </c>
    </row>
    <row r="20247" customFormat="false" ht="15" hidden="false" customHeight="false" outlineLevel="0" collapsed="false">
      <c r="A20247" s="0" t="str">
        <f aca="false">IMPOWER("10.99-23.4i",-2.5)</f>
        <v>-0.000280040221065418+9.04165003039672e-05i</v>
      </c>
      <c r="B20247" s="0" t="s">
        <v>20073</v>
      </c>
    </row>
    <row r="20248" customFormat="false" ht="15" hidden="false" customHeight="false" outlineLevel="0" collapsed="false">
      <c r="A20248" s="0" t="str">
        <f aca="false">IMPOWER("10.99-23.4i",0.25)</f>
        <v>2.1652365281445-0.629495023889321i</v>
      </c>
      <c r="B20248" s="0" t="s">
        <v>20074</v>
      </c>
    </row>
    <row r="20249" customFormat="false" ht="15" hidden="false" customHeight="false" outlineLevel="0" collapsed="false">
      <c r="A20249" s="0" t="str">
        <f aca="false">IMPOWER("-1.0-1.0j",2)</f>
        <v>-3.67394039744206e-16+2j</v>
      </c>
      <c r="B20249" s="0" t="s">
        <v>20075</v>
      </c>
    </row>
    <row r="20250" customFormat="false" ht="15" hidden="false" customHeight="false" outlineLevel="0" collapsed="false">
      <c r="A20250" s="0" t="str">
        <f aca="false">IMPOWER("-1.0-1.0j",3)</f>
        <v>2-2j</v>
      </c>
      <c r="B20250" s="0" t="s">
        <v>20076</v>
      </c>
    </row>
    <row r="20251" customFormat="false" ht="15" hidden="false" customHeight="false" outlineLevel="0" collapsed="false">
      <c r="A20251" s="0" t="str">
        <f aca="false">IMPOWER("-1.0-1.0j",0.5)</f>
        <v>0.455089860562227-1.09868411346781j</v>
      </c>
      <c r="B20251" s="0" t="s">
        <v>20077</v>
      </c>
    </row>
    <row r="20252" customFormat="false" ht="15" hidden="false" customHeight="false" outlineLevel="0" collapsed="false">
      <c r="A20252" s="0" t="str">
        <f aca="false">IMPOWER("-1.0-1.0j",-1)</f>
        <v>-0.5+0.5j</v>
      </c>
      <c r="B20252" s="0" t="s">
        <v>20078</v>
      </c>
    </row>
    <row r="20253" customFormat="false" ht="15" hidden="false" customHeight="false" outlineLevel="0" collapsed="false">
      <c r="A20253" s="0" t="str">
        <f aca="false">IMPOWER("-1.0-1.0j",1.5)</f>
        <v>-1.55377397403004+0.643594252905582j</v>
      </c>
      <c r="B20253" s="0" t="s">
        <v>20079</v>
      </c>
    </row>
    <row r="20254" customFormat="false" ht="15" hidden="false" customHeight="false" outlineLevel="0" collapsed="false">
      <c r="A20254" s="0" t="str">
        <f aca="false">IMPOWER("-1.0-1.0j",7)</f>
        <v>-8+8j</v>
      </c>
      <c r="B20254" s="0" t="s">
        <v>20080</v>
      </c>
    </row>
    <row r="20255" customFormat="false" ht="15" hidden="false" customHeight="false" outlineLevel="0" collapsed="false">
      <c r="A20255" s="0" t="str">
        <f aca="false">IMPOWER("-1.0-1.0j",-2.5)</f>
        <v>0.388443493507509-0.160898563226396j</v>
      </c>
      <c r="B20255" s="0" t="s">
        <v>20081</v>
      </c>
    </row>
    <row r="20256" customFormat="false" ht="15" hidden="false" customHeight="false" outlineLevel="0" collapsed="false">
      <c r="A20256" s="0" t="str">
        <f aca="false">IMPOWER("-1.0-1.0j",0.25)</f>
        <v>0.906724041692109-0.605853635146515j</v>
      </c>
      <c r="B20256" s="0" t="s">
        <v>20082</v>
      </c>
    </row>
    <row r="20257" customFormat="false" ht="15" hidden="false" customHeight="false" outlineLevel="0" collapsed="false">
      <c r="A20257" s="0" t="str">
        <f aca="false">COMPLEX(15.14,-77.088)</f>
        <v>15.14-77.088i</v>
      </c>
      <c r="B20257" s="0" t="s">
        <v>20083</v>
      </c>
    </row>
    <row r="20258" customFormat="false" ht="15" hidden="false" customHeight="false" outlineLevel="0" collapsed="false">
      <c r="A20258" s="0" t="str">
        <f aca="false">COMPLEX(18.292,-66.729)</f>
        <v>18.292-66.729i</v>
      </c>
      <c r="B20258" s="0" t="s">
        <v>20084</v>
      </c>
    </row>
    <row r="20259" customFormat="false" ht="15" hidden="false" customHeight="false" outlineLevel="0" collapsed="false">
      <c r="A20259" s="0" t="str">
        <f aca="false">COMPLEX(32.661,-38.022)</f>
        <v>32.661-38.022i</v>
      </c>
      <c r="B20259" s="0" t="s">
        <v>20085</v>
      </c>
    </row>
    <row r="20260" customFormat="false" ht="15" hidden="false" customHeight="false" outlineLevel="0" collapsed="false">
      <c r="A20260" s="0" t="str">
        <f aca="false">COMPLEX(18.557,28.161)</f>
        <v>18.557+28.161i</v>
      </c>
      <c r="B20260" s="0" t="s">
        <v>20086</v>
      </c>
    </row>
    <row r="20261" customFormat="false" ht="15" hidden="false" customHeight="false" outlineLevel="0" collapsed="false">
      <c r="A20261" s="0" t="str">
        <f aca="false">COMPLEX(-0.964,-13.433)</f>
        <v>-0.964-13.433i</v>
      </c>
      <c r="B20261" s="0" t="s">
        <v>20087</v>
      </c>
    </row>
    <row r="20262" customFormat="false" ht="15" hidden="false" customHeight="false" outlineLevel="0" collapsed="false">
      <c r="A20262" s="0" t="str">
        <f aca="false">COMPLEX(27.828,-6.74)</f>
        <v>27.828-6.74i</v>
      </c>
      <c r="B20262" s="0" t="s">
        <v>20088</v>
      </c>
    </row>
    <row r="20263" customFormat="false" ht="15" hidden="false" customHeight="false" outlineLevel="0" collapsed="false">
      <c r="A20263" s="0" t="str">
        <f aca="false">COMPLEX(27.672,35.781)</f>
        <v>27.672+35.781i</v>
      </c>
      <c r="B20263" s="0" t="s">
        <v>20089</v>
      </c>
    </row>
    <row r="20264" customFormat="false" ht="15" hidden="false" customHeight="false" outlineLevel="0" collapsed="false">
      <c r="A20264" s="0" t="str">
        <f aca="false">COMPLEX(-95.711,-57.578)</f>
        <v>-95.711-57.578i</v>
      </c>
      <c r="B20264" s="0" t="s">
        <v>20090</v>
      </c>
    </row>
    <row r="20265" customFormat="false" ht="15" hidden="false" customHeight="false" outlineLevel="0" collapsed="false">
      <c r="A20265" s="0" t="str">
        <f aca="false">COMPLEX(-16.305,-36.756)</f>
        <v>-16.305-36.756i</v>
      </c>
      <c r="B20265" s="0" t="s">
        <v>20091</v>
      </c>
    </row>
    <row r="20266" customFormat="false" ht="15" hidden="false" customHeight="false" outlineLevel="0" collapsed="false">
      <c r="A20266" s="0" t="str">
        <f aca="false">COMPLEX(1.38,-18.674)</f>
        <v>1.38-18.674i</v>
      </c>
      <c r="B20266" s="0" t="s">
        <v>20092</v>
      </c>
    </row>
    <row r="20267" customFormat="false" ht="15" hidden="false" customHeight="false" outlineLevel="0" collapsed="false">
      <c r="A20267" s="0" t="str">
        <f aca="false">COMPLEX(46.103,-69.387)</f>
        <v>46.103-69.387i</v>
      </c>
      <c r="B20267" s="0" t="s">
        <v>20093</v>
      </c>
    </row>
    <row r="20268" customFormat="false" ht="15" hidden="false" customHeight="false" outlineLevel="0" collapsed="false">
      <c r="A20268" s="0" t="str">
        <f aca="false">COMPLEX(-16.461,7.144)</f>
        <v>-16.461+7.144i</v>
      </c>
      <c r="B20268" s="0" t="s">
        <v>20094</v>
      </c>
    </row>
    <row r="20269" customFormat="false" ht="15" hidden="false" customHeight="false" outlineLevel="0" collapsed="false">
      <c r="A20269" s="0" t="str">
        <f aca="false">COMPLEX(-57.866,64.093)</f>
        <v>-57.866+64.093i</v>
      </c>
      <c r="B20269" s="0" t="s">
        <v>20095</v>
      </c>
    </row>
    <row r="20270" customFormat="false" ht="15" hidden="false" customHeight="false" outlineLevel="0" collapsed="false">
      <c r="A20270" s="0" t="str">
        <f aca="false">COMPLEX(21.059,-63.589)</f>
        <v>21.059-63.589i</v>
      </c>
      <c r="B20270" s="0" t="s">
        <v>20096</v>
      </c>
    </row>
    <row r="20271" customFormat="false" ht="15" hidden="false" customHeight="false" outlineLevel="0" collapsed="false">
      <c r="A20271" s="0" t="str">
        <f aca="false">COMPLEX(72.013,-59.123)</f>
        <v>72.013-59.123i</v>
      </c>
      <c r="B20271" s="0" t="s">
        <v>20097</v>
      </c>
    </row>
    <row r="20272" customFormat="false" ht="15" hidden="false" customHeight="false" outlineLevel="0" collapsed="false">
      <c r="A20272" s="0" t="str">
        <f aca="false">COMPLEX(25.316,-85.018)</f>
        <v>25.316-85.018i</v>
      </c>
      <c r="B20272" s="0" t="s">
        <v>20098</v>
      </c>
    </row>
    <row r="20273" customFormat="false" ht="15" hidden="false" customHeight="false" outlineLevel="0" collapsed="false">
      <c r="A20273" s="0" t="str">
        <f aca="false">COMPLEX(-51.46,-7.373)</f>
        <v>-51.46-7.373i</v>
      </c>
      <c r="B20273" s="0" t="s">
        <v>20099</v>
      </c>
    </row>
    <row r="20274" customFormat="false" ht="15" hidden="false" customHeight="false" outlineLevel="0" collapsed="false">
      <c r="A20274" s="0" t="str">
        <f aca="false">COMPLEX(-12.594,88.812)</f>
        <v>-12.594+88.812i</v>
      </c>
      <c r="B20274" s="0" t="s">
        <v>20100</v>
      </c>
    </row>
    <row r="20275" customFormat="false" ht="15" hidden="false" customHeight="false" outlineLevel="0" collapsed="false">
      <c r="A20275" s="0" t="str">
        <f aca="false">COMPLEX(67.955,-46.502)</f>
        <v>67.955-46.502i</v>
      </c>
      <c r="B20275" s="0" t="s">
        <v>20101</v>
      </c>
    </row>
    <row r="20276" customFormat="false" ht="15" hidden="false" customHeight="false" outlineLevel="0" collapsed="false">
      <c r="A20276" s="0" t="str">
        <f aca="false">COMPLEX(8.961,58.195)</f>
        <v>8.961+58.195i</v>
      </c>
      <c r="B20276" s="0" t="s">
        <v>20102</v>
      </c>
    </row>
    <row r="20277" customFormat="false" ht="15" hidden="false" customHeight="false" outlineLevel="0" collapsed="false">
      <c r="A20277" s="0" t="str">
        <f aca="false">COMPLEX(-95.976,-5.865)</f>
        <v>-95.976-5.865i</v>
      </c>
      <c r="B20277" s="0" t="s">
        <v>20103</v>
      </c>
    </row>
    <row r="20278" customFormat="false" ht="15" hidden="false" customHeight="false" outlineLevel="0" collapsed="false">
      <c r="A20278" s="0" t="str">
        <f aca="false">COMPLEX(51.899,-33.264)</f>
        <v>51.899-33.264i</v>
      </c>
      <c r="B20278" s="0" t="s">
        <v>20104</v>
      </c>
    </row>
    <row r="20279" customFormat="false" ht="15" hidden="false" customHeight="false" outlineLevel="0" collapsed="false">
      <c r="A20279" s="0" t="str">
        <f aca="false">COMPLEX(-8.232,-10.662)</f>
        <v>-8.232-10.662i</v>
      </c>
      <c r="B20279" s="0" t="s">
        <v>20105</v>
      </c>
    </row>
    <row r="20280" customFormat="false" ht="15" hidden="false" customHeight="false" outlineLevel="0" collapsed="false">
      <c r="A20280" s="0" t="str">
        <f aca="false">COMPLEX(-74.466,-66.943)</f>
        <v>-74.466-66.943i</v>
      </c>
      <c r="B20280" s="0" t="s">
        <v>20106</v>
      </c>
    </row>
    <row r="20281" customFormat="false" ht="15" hidden="false" customHeight="false" outlineLevel="0" collapsed="false">
      <c r="A20281" s="0" t="str">
        <f aca="false">COMPLEX(7.247,-30.143)</f>
        <v>7.247-30.143i</v>
      </c>
      <c r="B20281" s="0" t="s">
        <v>20107</v>
      </c>
    </row>
    <row r="20282" customFormat="false" ht="15" hidden="false" customHeight="false" outlineLevel="0" collapsed="false">
      <c r="A20282" s="0" t="str">
        <f aca="false">COMPLEX(-81.725,-64.531)</f>
        <v>-81.725-64.531i</v>
      </c>
      <c r="B20282" s="0" t="s">
        <v>20108</v>
      </c>
    </row>
    <row r="20283" customFormat="false" ht="15" hidden="false" customHeight="false" outlineLevel="0" collapsed="false">
      <c r="A20283" s="0" t="str">
        <f aca="false">COMPLEX(-55.858,85.254)</f>
        <v>-55.858+85.254i</v>
      </c>
      <c r="B20283" s="0" t="s">
        <v>20109</v>
      </c>
    </row>
    <row r="20284" customFormat="false" ht="15" hidden="false" customHeight="false" outlineLevel="0" collapsed="false">
      <c r="A20284" s="0" t="str">
        <f aca="false">COMPLEX(20.431,64.149)</f>
        <v>20.431+64.149i</v>
      </c>
      <c r="B20284" s="0" t="s">
        <v>20110</v>
      </c>
    </row>
    <row r="20285" customFormat="false" ht="15" hidden="false" customHeight="false" outlineLevel="0" collapsed="false">
      <c r="A20285" s="0" t="str">
        <f aca="false">COMPLEX(-7.601,59.218)</f>
        <v>-7.601+59.218i</v>
      </c>
      <c r="B20285" s="0" t="s">
        <v>20111</v>
      </c>
    </row>
    <row r="20286" customFormat="false" ht="15" hidden="false" customHeight="false" outlineLevel="0" collapsed="false">
      <c r="A20286" s="0" t="str">
        <f aca="false">COMPLEX(-5.136,38.613)</f>
        <v>-5.136+38.613i</v>
      </c>
      <c r="B20286" s="0" t="s">
        <v>20112</v>
      </c>
    </row>
    <row r="20287" customFormat="false" ht="15" hidden="false" customHeight="false" outlineLevel="0" collapsed="false">
      <c r="A20287" s="0" t="n">
        <f aca="false">BESSELI(1.5,1)</f>
        <v>0.981666428577908</v>
      </c>
      <c r="B20287" s="0" t="s">
        <v>20113</v>
      </c>
    </row>
    <row r="20288" customFormat="false" ht="15" hidden="false" customHeight="false" outlineLevel="0" collapsed="false">
      <c r="A20288" s="0" t="n">
        <f aca="false">BESSELI(1.5,0)</f>
        <v>1.64672318977289</v>
      </c>
      <c r="B20288" s="0" t="s">
        <v>20114</v>
      </c>
    </row>
    <row r="20289" customFormat="false" ht="15" hidden="false" customHeight="false" outlineLevel="0" collapsed="false">
      <c r="A20289" s="0" t="n">
        <f aca="false">BESSELI(-2.5,3)</f>
        <v>-0.474370408778036</v>
      </c>
      <c r="B20289" s="0" t="s">
        <v>20115</v>
      </c>
    </row>
    <row r="20290" customFormat="false" ht="15" hidden="false" customHeight="false" outlineLevel="0" collapsed="false">
      <c r="A20290" s="0" t="n">
        <f aca="false">BESSELI(30,2)</f>
        <v>730436828561.381</v>
      </c>
      <c r="B20290" s="0" t="s">
        <v>20116</v>
      </c>
    </row>
    <row r="20291" customFormat="false" ht="15" hidden="false" customHeight="false" outlineLevel="0" collapsed="false">
      <c r="A20291" s="0" t="n">
        <f aca="false">BESSELI(1.5,1.9)</f>
        <v>0.981666428577908</v>
      </c>
      <c r="B20291" s="0" t="s">
        <v>20117</v>
      </c>
    </row>
    <row r="20292" customFormat="false" ht="15" hidden="false" customHeight="false" outlineLevel="0" collapsed="false">
      <c r="A20292" s="0" t="e">
        <f aca="false">BESSELI(1.5,-1)</f>
        <v>#VALUE!</v>
      </c>
      <c r="B20292" s="0" t="s">
        <v>20118</v>
      </c>
    </row>
    <row r="20293" customFormat="false" ht="15" hidden="false" customHeight="false" outlineLevel="0" collapsed="false">
      <c r="A20293" s="0" t="n">
        <f aca="false">BESSELI(0,0)</f>
        <v>1</v>
      </c>
      <c r="B20293" s="0" t="s">
        <v>20119</v>
      </c>
    </row>
    <row r="20294" customFormat="false" ht="15" hidden="false" customHeight="false" outlineLevel="0" collapsed="false">
      <c r="A20294" s="0" t="n">
        <f aca="false">BESSELI(0,1)</f>
        <v>0</v>
      </c>
      <c r="B20294" s="0" t="s">
        <v>20120</v>
      </c>
    </row>
    <row r="20295" customFormat="false" ht="15" hidden="false" customHeight="false" outlineLevel="0" collapsed="false">
      <c r="A20295" s="0" t="n">
        <f aca="false">BESSELI(1,-0.5)</f>
        <v>1.26606587775201</v>
      </c>
      <c r="B20295" s="0" t="s">
        <v>20121</v>
      </c>
    </row>
    <row r="20296" customFormat="false" ht="15" hidden="false" customHeight="false" outlineLevel="0" collapsed="false">
      <c r="A20296" s="0" t="e">
        <f aca="false">BESSELI(2,3000000000)</f>
        <v>#VALUE!</v>
      </c>
      <c r="B20296" s="0" t="s">
        <v>20122</v>
      </c>
    </row>
    <row r="20297" customFormat="false" ht="15" hidden="false" customHeight="false" outlineLevel="0" collapsed="false">
      <c r="A20297" s="0" t="n">
        <f aca="false">BESSELI(1,200)</f>
        <v>0</v>
      </c>
      <c r="B20297" s="0" t="s">
        <v>20123</v>
      </c>
    </row>
    <row r="20298" customFormat="false" ht="15" hidden="false" customHeight="false" outlineLevel="0" collapsed="false">
      <c r="A20298" s="0" t="n">
        <f aca="false">BESSELI(5,2000)</f>
        <v>0</v>
      </c>
      <c r="B20298" s="0" t="s">
        <v>20124</v>
      </c>
    </row>
    <row r="20299" customFormat="false" ht="15" hidden="false" customHeight="false" outlineLevel="0" collapsed="false">
      <c r="A20299" s="0" t="n">
        <f aca="false">BESSELI(700,1)</f>
        <v>1.5285003902339E+302</v>
      </c>
      <c r="B20299" s="0" t="s">
        <v>20125</v>
      </c>
    </row>
    <row r="20300" customFormat="false" ht="15" hidden="false" customHeight="false" outlineLevel="0" collapsed="false">
      <c r="A20300" s="0" t="e">
        <f aca="false">BESSELI(800,1)</f>
        <v>#VALUE!</v>
      </c>
      <c r="B20300" s="0" t="s">
        <v>20126</v>
      </c>
    </row>
    <row r="20301" customFormat="false" ht="15" hidden="false" customHeight="false" outlineLevel="0" collapsed="false">
      <c r="A20301" s="0" t="e">
        <f aca="false">BESSELI(1000,2)</f>
        <v>#VALUE!</v>
      </c>
      <c r="B20301" s="0" t="s">
        <v>20127</v>
      </c>
    </row>
    <row r="20302" customFormat="false" ht="15" hidden="false" customHeight="false" outlineLevel="0" collapsed="false">
      <c r="A20302" s="0" t="e">
        <f aca="false">BESSELI(10000,0)</f>
        <v>#VALUE!</v>
      </c>
      <c r="B20302" s="0" t="s">
        <v>20128</v>
      </c>
    </row>
    <row r="20303" customFormat="false" ht="15" hidden="false" customHeight="false" outlineLevel="0" collapsed="false">
      <c r="A20303" s="0" t="n">
        <f aca="false">BESSELI(-1.5,3)</f>
        <v>-0.0807741130160923</v>
      </c>
      <c r="B20303" s="0" t="s">
        <v>20129</v>
      </c>
    </row>
    <row r="20304" customFormat="false" ht="15" hidden="false" customHeight="false" outlineLevel="0" collapsed="false">
      <c r="A20304" s="0" t="n">
        <f aca="false">BESSELI(TRUE(),1)</f>
        <v>0.565159103992485</v>
      </c>
      <c r="B20304" s="0" t="s">
        <v>20130</v>
      </c>
    </row>
    <row r="20305" customFormat="false" ht="15" hidden="false" customHeight="false" outlineLevel="0" collapsed="false">
      <c r="A20305" s="0" t="e">
        <f aca="false">BESSELI("a",1)</f>
        <v>#VALUE!</v>
      </c>
      <c r="B20305" s="0" t="s">
        <v>20131</v>
      </c>
    </row>
    <row r="20306" customFormat="false" ht="15" hidden="false" customHeight="false" outlineLevel="0" collapsed="false">
      <c r="A20306" s="0" t="e">
        <f aca="false">BESSELI(2,"x")</f>
        <v>#VALUE!</v>
      </c>
      <c r="B20306" s="0" t="s">
        <v>20132</v>
      </c>
    </row>
    <row r="20307" customFormat="false" ht="15" hidden="false" customHeight="false" outlineLevel="0" collapsed="false">
      <c r="A20307" s="0" t="n">
        <f aca="false">BESSELJ(1.9,2)</f>
        <v>0.329925727692387</v>
      </c>
      <c r="B20307" s="0" t="s">
        <v>20133</v>
      </c>
    </row>
    <row r="20308" customFormat="false" ht="15" hidden="false" customHeight="false" outlineLevel="0" collapsed="false">
      <c r="A20308" s="0" t="n">
        <f aca="false">BESSELJ(0,0)</f>
        <v>1</v>
      </c>
      <c r="B20308" s="0" t="s">
        <v>20134</v>
      </c>
    </row>
    <row r="20309" customFormat="false" ht="15" hidden="false" customHeight="false" outlineLevel="0" collapsed="false">
      <c r="A20309" s="0" t="n">
        <f aca="false">BESSELJ(0,1)</f>
        <v>0</v>
      </c>
      <c r="B20309" s="0" t="s">
        <v>20135</v>
      </c>
    </row>
    <row r="20310" customFormat="false" ht="15" hidden="false" customHeight="false" outlineLevel="0" collapsed="false">
      <c r="A20310" s="0" t="n">
        <f aca="false">BESSELJ(0,0.5)</f>
        <v>1</v>
      </c>
      <c r="B20310" s="0" t="s">
        <v>20136</v>
      </c>
    </row>
    <row r="20311" customFormat="false" ht="15" hidden="false" customHeight="false" outlineLevel="0" collapsed="false">
      <c r="A20311" s="0" t="n">
        <f aca="false">BESSELJ(10,0)</f>
        <v>-0.245935764451348</v>
      </c>
      <c r="B20311" s="0" t="s">
        <v>20137</v>
      </c>
    </row>
    <row r="20312" customFormat="false" ht="15" hidden="false" customHeight="false" outlineLevel="0" collapsed="false">
      <c r="A20312" s="0" t="n">
        <f aca="false">BESSELJ(-3,1)</f>
        <v>-0.339058958525936</v>
      </c>
      <c r="B20312" s="0" t="s">
        <v>20138</v>
      </c>
    </row>
    <row r="20313" customFormat="false" ht="15" hidden="false" customHeight="false" outlineLevel="0" collapsed="false">
      <c r="A20313" s="0" t="n">
        <f aca="false">BESSELJ(-1.5,2)</f>
        <v>0.232087672144215</v>
      </c>
      <c r="B20313" s="0" t="s">
        <v>20139</v>
      </c>
    </row>
    <row r="20314" customFormat="false" ht="15" hidden="false" customHeight="false" outlineLevel="0" collapsed="false">
      <c r="A20314" s="0" t="n">
        <f aca="false">BESSELJ(-1.5,3)</f>
        <v>-0.0609639511411397</v>
      </c>
      <c r="B20314" s="0" t="s">
        <v>20140</v>
      </c>
    </row>
    <row r="20315" customFormat="false" ht="15" hidden="false" customHeight="false" outlineLevel="0" collapsed="false">
      <c r="A20315" s="0" t="n">
        <f aca="false">BESSELJ(100,5)</f>
        <v>-0.0741957369645138</v>
      </c>
      <c r="B20315" s="0" t="s">
        <v>20141</v>
      </c>
    </row>
    <row r="20316" customFormat="false" ht="15" hidden="false" customHeight="false" outlineLevel="0" collapsed="false">
      <c r="A20316" s="0" t="e">
        <f aca="false">BESSELJ(1.5,-1)</f>
        <v>#VALUE!</v>
      </c>
      <c r="B20316" s="0" t="s">
        <v>20142</v>
      </c>
    </row>
    <row r="20317" customFormat="false" ht="15" hidden="false" customHeight="false" outlineLevel="0" collapsed="false">
      <c r="A20317" s="0" t="n">
        <f aca="false">BESSELJ(1,-0.5)</f>
        <v>0.765197686557967</v>
      </c>
      <c r="B20317" s="0" t="s">
        <v>20143</v>
      </c>
    </row>
    <row r="20318" customFormat="false" ht="15" hidden="false" customHeight="false" outlineLevel="0" collapsed="false">
      <c r="A20318" s="0" t="n">
        <f aca="false">BESSELJ(100000,1)</f>
        <v>0.00184675756287401</v>
      </c>
      <c r="B20318" s="0" t="s">
        <v>20144</v>
      </c>
    </row>
    <row r="20319" customFormat="false" ht="15" hidden="false" customHeight="false" outlineLevel="0" collapsed="false">
      <c r="A20319" s="0" t="n">
        <f aca="false">BESSELJ(30,25)</f>
        <v>0.0842927406430319</v>
      </c>
      <c r="B20319" s="0" t="s">
        <v>20145</v>
      </c>
    </row>
    <row r="20320" customFormat="false" ht="15" hidden="false" customHeight="false" outlineLevel="0" collapsed="false">
      <c r="A20320" s="0" t="n">
        <f aca="false">BESSELJ(1000,1)</f>
        <v>0.0047283119070899</v>
      </c>
      <c r="B20320" s="0" t="s">
        <v>20146</v>
      </c>
    </row>
    <row r="20321" customFormat="false" ht="15" hidden="false" customHeight="false" outlineLevel="0" collapsed="false">
      <c r="A20321" s="0" t="n">
        <f aca="false">BESSELJ(500,2)</f>
        <v>0.0341424473346134</v>
      </c>
      <c r="B20321" s="0" t="s">
        <v>20147</v>
      </c>
    </row>
    <row r="20322" customFormat="false" ht="15" hidden="false" customHeight="false" outlineLevel="0" collapsed="false">
      <c r="A20322" s="0" t="n">
        <f aca="false">BESSELJ(5000000,2)</f>
        <v>0.000300723856644016</v>
      </c>
      <c r="B20322" s="0" t="s">
        <v>20148</v>
      </c>
    </row>
    <row r="20323" customFormat="false" ht="15" hidden="false" customHeight="false" outlineLevel="0" collapsed="false">
      <c r="A20323" s="0" t="n">
        <f aca="false">BESSELJ(10000000,2)</f>
        <v>8.68373517494639E-005</v>
      </c>
      <c r="B20323" s="0" t="s">
        <v>20149</v>
      </c>
    </row>
    <row r="20324" customFormat="false" ht="15" hidden="false" customHeight="false" outlineLevel="0" collapsed="false">
      <c r="A20324" s="0" t="e">
        <f aca="false">BESSELJ(10000000,1000)</f>
        <v>#N/A</v>
      </c>
      <c r="B20324" s="0" t="s">
        <v>20150</v>
      </c>
    </row>
    <row r="20325" customFormat="false" ht="15" hidden="false" customHeight="false" outlineLevel="0" collapsed="false">
      <c r="A20325" s="0" t="e">
        <f aca="false">BESSELJ(2,2147483647)</f>
        <v>#N/A</v>
      </c>
      <c r="B20325" s="0" t="s">
        <v>20151</v>
      </c>
    </row>
    <row r="20326" customFormat="false" ht="15" hidden="false" customHeight="false" outlineLevel="0" collapsed="false">
      <c r="A20326" s="0" t="e">
        <f aca="false">BESSELJ(2,2147483648)</f>
        <v>#VALUE!</v>
      </c>
      <c r="B20326" s="0" t="s">
        <v>20152</v>
      </c>
    </row>
    <row r="20327" customFormat="false" ht="15" hidden="false" customHeight="false" outlineLevel="0" collapsed="false">
      <c r="A20327" s="0" t="n">
        <f aca="false">BESSELJ(1,1000)</f>
        <v>0</v>
      </c>
      <c r="B20327" s="0" t="s">
        <v>20153</v>
      </c>
    </row>
    <row r="20328" customFormat="false" ht="15" hidden="false" customHeight="false" outlineLevel="0" collapsed="false">
      <c r="A20328" s="0" t="n">
        <f aca="false">BESSELJ(1E-300,2)</f>
        <v>0</v>
      </c>
      <c r="B20328" s="0" t="s">
        <v>20154</v>
      </c>
    </row>
    <row r="20329" customFormat="false" ht="15" hidden="false" customHeight="false" outlineLevel="0" collapsed="false">
      <c r="A20329" s="0" t="n">
        <f aca="false">BESSELJ(1,"1")</f>
        <v>0.440050585744934</v>
      </c>
      <c r="B20329" s="0" t="s">
        <v>20155</v>
      </c>
    </row>
    <row r="20330" customFormat="false" ht="15" hidden="false" customHeight="false" outlineLevel="0" collapsed="false">
      <c r="A20330" s="0" t="n">
        <f aca="false">BESSELJ(2,TRUE())</f>
        <v>0.576724807756874</v>
      </c>
      <c r="B20330" s="0" t="s">
        <v>20156</v>
      </c>
    </row>
    <row r="20331" customFormat="false" ht="15" hidden="false" customHeight="false" outlineLevel="0" collapsed="false">
      <c r="A20331" s="0" t="n">
        <f aca="false">BESSELK(1.5,1)</f>
        <v>0.277387803602702</v>
      </c>
      <c r="B20331" s="0" t="s">
        <v>20157</v>
      </c>
    </row>
    <row r="20332" customFormat="false" ht="15" hidden="false" customHeight="false" outlineLevel="0" collapsed="false">
      <c r="A20332" s="0" t="n">
        <f aca="false">BESSELK(0.1,0)</f>
        <v>2.42706902927493</v>
      </c>
      <c r="B20332" s="0" t="s">
        <v>20158</v>
      </c>
    </row>
    <row r="20333" customFormat="false" ht="15" hidden="false" customHeight="false" outlineLevel="0" collapsed="false">
      <c r="A20333" s="0" t="e">
        <f aca="false">BESSELK(0,1)</f>
        <v>#VALUE!</v>
      </c>
      <c r="B20333" s="0" t="s">
        <v>20159</v>
      </c>
    </row>
    <row r="20334" customFormat="false" ht="15" hidden="false" customHeight="false" outlineLevel="0" collapsed="false">
      <c r="A20334" s="0" t="e">
        <f aca="false">BESSELK(-1,1)</f>
        <v>#VALUE!</v>
      </c>
      <c r="B20334" s="0" t="s">
        <v>20160</v>
      </c>
    </row>
    <row r="20335" customFormat="false" ht="15" hidden="false" customHeight="false" outlineLevel="0" collapsed="false">
      <c r="A20335" s="0" t="n">
        <f aca="false">BESSELK(10,3)</f>
        <v>2.72527006358477E-005</v>
      </c>
      <c r="B20335" s="0" t="s">
        <v>20161</v>
      </c>
    </row>
    <row r="20336" customFormat="false" ht="15" hidden="false" customHeight="false" outlineLevel="0" collapsed="false">
      <c r="A20336" s="0" t="n">
        <f aca="false">BESSELK(800,1)</f>
        <v>0</v>
      </c>
      <c r="B20336" s="0" t="s">
        <v>20162</v>
      </c>
    </row>
    <row r="20337" customFormat="false" ht="15" hidden="false" customHeight="false" outlineLevel="0" collapsed="false">
      <c r="A20337" s="0" t="n">
        <f aca="false">BESSELK(0.00001,2)</f>
        <v>19999999999.5</v>
      </c>
      <c r="B20337" s="0" t="s">
        <v>20163</v>
      </c>
    </row>
    <row r="20338" customFormat="false" ht="15" hidden="false" customHeight="false" outlineLevel="0" collapsed="false">
      <c r="A20338" s="0" t="n">
        <f aca="false">BESSELK(2,100)</f>
        <v>4.61941604589418E+155</v>
      </c>
      <c r="B20338" s="0" t="s">
        <v>20164</v>
      </c>
    </row>
    <row r="20339" customFormat="false" ht="15" hidden="false" customHeight="false" outlineLevel="0" collapsed="false">
      <c r="A20339" s="0" t="n">
        <f aca="false">BESSELK(1,-0.5)</f>
        <v>0.421024441682191</v>
      </c>
      <c r="B20339" s="0" t="s">
        <v>20165</v>
      </c>
    </row>
    <row r="20340" customFormat="false" ht="15" hidden="false" customHeight="false" outlineLevel="0" collapsed="false">
      <c r="A20340" s="0" t="n">
        <f aca="false">BESSELK(2,3)</f>
        <v>0.6473854</v>
      </c>
      <c r="B20340" s="0" t="s">
        <v>20166</v>
      </c>
    </row>
    <row r="20341" customFormat="false" ht="15" hidden="false" customHeight="false" outlineLevel="0" collapsed="false">
      <c r="A20341" s="0" t="n">
        <f aca="false">BESSELK(2,2)</f>
        <v>0.25375976</v>
      </c>
      <c r="B20341" s="0" t="s">
        <v>20167</v>
      </c>
    </row>
    <row r="20342" customFormat="false" ht="15" hidden="false" customHeight="false" outlineLevel="0" collapsed="false">
      <c r="A20342" s="0" t="n">
        <f aca="false">BESSELK(2.5,0)</f>
        <v>0.0623475541910192</v>
      </c>
      <c r="B20342" s="0" t="s">
        <v>20168</v>
      </c>
    </row>
    <row r="20343" customFormat="false" ht="15" hidden="false" customHeight="false" outlineLevel="0" collapsed="false">
      <c r="A20343" s="0" t="n">
        <f aca="false">BESSELK(1E-300,0)</f>
        <v>690.891459418774</v>
      </c>
      <c r="B20343" s="0" t="s">
        <v>20169</v>
      </c>
    </row>
    <row r="20344" customFormat="false" ht="15" hidden="false" customHeight="false" outlineLevel="0" collapsed="false">
      <c r="A20344" s="0" t="e">
        <f aca="false">BESSELK(1E-300,3)</f>
        <v>#VALUE!</v>
      </c>
      <c r="B20344" s="0" t="s">
        <v>20170</v>
      </c>
    </row>
    <row r="20345" customFormat="false" ht="15" hidden="false" customHeight="false" outlineLevel="0" collapsed="false">
      <c r="A20345" s="0" t="n">
        <f aca="false">BESSELY(1.5,1)</f>
        <v>-0.412308626973911</v>
      </c>
      <c r="B20345" s="0" t="s">
        <v>20171</v>
      </c>
    </row>
    <row r="20346" customFormat="false" ht="15" hidden="false" customHeight="false" outlineLevel="0" collapsed="false">
      <c r="A20346" s="0" t="n">
        <f aca="false">BESSELY(0.1,0)</f>
        <v>-1.53423865135037</v>
      </c>
      <c r="B20346" s="0" t="s">
        <v>20172</v>
      </c>
    </row>
    <row r="20347" customFormat="false" ht="15" hidden="false" customHeight="false" outlineLevel="0" collapsed="false">
      <c r="A20347" s="0" t="e">
        <f aca="false">BESSELY(0,1)</f>
        <v>#VALUE!</v>
      </c>
      <c r="B20347" s="0" t="s">
        <v>20173</v>
      </c>
    </row>
    <row r="20348" customFormat="false" ht="15" hidden="false" customHeight="false" outlineLevel="0" collapsed="false">
      <c r="A20348" s="0" t="e">
        <f aca="false">BESSELY(-1,1)</f>
        <v>#VALUE!</v>
      </c>
      <c r="B20348" s="0" t="s">
        <v>20174</v>
      </c>
    </row>
    <row r="20349" customFormat="false" ht="15" hidden="false" customHeight="false" outlineLevel="0" collapsed="false">
      <c r="A20349" s="0" t="n">
        <f aca="false">BESSELY(10,3)</f>
        <v>-0.251362657183838</v>
      </c>
      <c r="B20349" s="0" t="s">
        <v>20175</v>
      </c>
    </row>
    <row r="20350" customFormat="false" ht="15" hidden="false" customHeight="false" outlineLevel="0" collapsed="false">
      <c r="A20350" s="0" t="n">
        <f aca="false">BESSELY(1000,2)</f>
        <v>-0.00476548664020807</v>
      </c>
      <c r="B20350" s="0" t="s">
        <v>20176</v>
      </c>
    </row>
    <row r="20351" customFormat="false" ht="15" hidden="false" customHeight="false" outlineLevel="0" collapsed="false">
      <c r="A20351" s="0" t="n">
        <f aca="false">BESSELY(2.5,0)</f>
        <v>0.498070359615232</v>
      </c>
      <c r="B20351" s="0" t="s">
        <v>20177</v>
      </c>
    </row>
    <row r="20352" customFormat="false" ht="15" hidden="false" customHeight="false" outlineLevel="0" collapsed="false">
      <c r="A20352" s="0" t="n">
        <f aca="false">BESSELY(0.00001,2)</f>
        <v>-12732395447.6699</v>
      </c>
      <c r="B20352" s="0" t="s">
        <v>20178</v>
      </c>
    </row>
    <row r="20353" customFormat="false" ht="15" hidden="false" customHeight="false" outlineLevel="0" collapsed="false">
      <c r="A20353" s="0" t="n">
        <f aca="false">BESSELY(2,100)</f>
        <v>-3.00082604885745E+155</v>
      </c>
      <c r="B20353" s="0" t="s">
        <v>20179</v>
      </c>
    </row>
    <row r="20354" customFormat="false" ht="15" hidden="false" customHeight="false" outlineLevel="0" collapsed="false">
      <c r="A20354" s="0" t="n">
        <f aca="false">BESSELY(1,-0.5)</f>
        <v>0.088256964215677</v>
      </c>
      <c r="B20354" s="0" t="s">
        <v>20180</v>
      </c>
    </row>
    <row r="20355" customFormat="false" ht="15" hidden="false" customHeight="false" outlineLevel="0" collapsed="false">
      <c r="A20355" s="0" t="n">
        <f aca="false">BESSELY(10000000,1)</f>
        <v>8.68373516031576E-005</v>
      </c>
      <c r="B20355" s="0" t="s">
        <v>20181</v>
      </c>
    </row>
    <row r="20356" customFormat="false" ht="15" hidden="false" customHeight="false" outlineLevel="0" collapsed="false">
      <c r="A20356" s="0" t="n">
        <f aca="false">BESSELY(6000000,0)</f>
        <v>-6.81605505553755E-005</v>
      </c>
      <c r="B20356" s="0" t="s">
        <v>20182</v>
      </c>
    </row>
    <row r="20357" customFormat="false" ht="15" hidden="false" customHeight="false" outlineLevel="0" collapsed="false">
      <c r="A20357" s="0" t="e">
        <f aca="false">BESSELY(2E+019,0)</f>
        <v>#VALUE!</v>
      </c>
      <c r="B20357" s="0" t="s">
        <v>20183</v>
      </c>
    </row>
    <row r="20358" customFormat="false" ht="15" hidden="false" customHeight="false" outlineLevel="0" collapsed="false">
      <c r="A20358" s="0" t="n">
        <f aca="false">BESSELY(1,50)</f>
        <v>-2.19114281260534E+077</v>
      </c>
      <c r="B20358" s="0" t="s">
        <v>20184</v>
      </c>
    </row>
    <row r="20359" customFormat="false" ht="15" hidden="false" customHeight="false" outlineLevel="0" collapsed="false">
      <c r="A20359" s="0" t="n">
        <f aca="false">BESSELY(2,3)</f>
        <v>-1.12778377684043</v>
      </c>
      <c r="B20359" s="0" t="s">
        <v>20185</v>
      </c>
    </row>
    <row r="20360" customFormat="false" ht="15" hidden="false" customHeight="false" outlineLevel="0" collapsed="false">
      <c r="A20360" s="0" t="n">
        <f aca="false">BESSELI(37.268,7)</f>
        <v>516958116784251</v>
      </c>
      <c r="B20360" s="0" t="s">
        <v>20186</v>
      </c>
    </row>
    <row r="20361" customFormat="false" ht="15" hidden="false" customHeight="false" outlineLevel="0" collapsed="false">
      <c r="A20361" s="0" t="n">
        <f aca="false">BESSELI(24.002,2)</f>
        <v>1995624558.9799</v>
      </c>
      <c r="B20361" s="0" t="s">
        <v>20187</v>
      </c>
    </row>
    <row r="20362" customFormat="false" ht="15" hidden="false" customHeight="false" outlineLevel="0" collapsed="false">
      <c r="A20362" s="0" t="n">
        <f aca="false">BESSELI(18.5,12)</f>
        <v>212604.42540707</v>
      </c>
      <c r="B20362" s="0" t="s">
        <v>20188</v>
      </c>
    </row>
    <row r="20363" customFormat="false" ht="15" hidden="false" customHeight="false" outlineLevel="0" collapsed="false">
      <c r="A20363" s="0" t="n">
        <f aca="false">BESSELI(44,3)</f>
        <v>6.9899392457728E+017</v>
      </c>
      <c r="B20363" s="0" t="s">
        <v>20189</v>
      </c>
    </row>
    <row r="20364" customFormat="false" ht="15" hidden="false" customHeight="false" outlineLevel="0" collapsed="false">
      <c r="A20364" s="0" t="n">
        <f aca="false">BESSELI(42.6,3)</f>
        <v>1.74594821820618E+017</v>
      </c>
      <c r="B20364" s="0" t="s">
        <v>20190</v>
      </c>
    </row>
    <row r="20365" customFormat="false" ht="15" hidden="false" customHeight="false" outlineLevel="0" collapsed="false">
      <c r="A20365" s="0" t="n">
        <f aca="false">BESSELI(52.249,0)</f>
        <v>2.71877087232426E+021</v>
      </c>
      <c r="B20365" s="0" t="s">
        <v>20191</v>
      </c>
    </row>
    <row r="20366" customFormat="false" ht="15" hidden="false" customHeight="false" outlineLevel="0" collapsed="false">
      <c r="A20366" s="0" t="n">
        <f aca="false">BESSELI(8.7,2)</f>
        <v>646.171376750513</v>
      </c>
      <c r="B20366" s="0" t="s">
        <v>20192</v>
      </c>
    </row>
    <row r="20367" customFormat="false" ht="15" hidden="false" customHeight="false" outlineLevel="0" collapsed="false">
      <c r="A20367" s="0" t="n">
        <f aca="false">BESSELI(28,0)</f>
        <v>109534604731.757</v>
      </c>
      <c r="B20367" s="0" t="s">
        <v>20193</v>
      </c>
    </row>
    <row r="20368" customFormat="false" ht="15" hidden="false" customHeight="false" outlineLevel="0" collapsed="false">
      <c r="A20368" s="0" t="n">
        <f aca="false">BESSELI(5,12)</f>
        <v>0.000199663402690499</v>
      </c>
      <c r="B20368" s="0" t="s">
        <v>20194</v>
      </c>
    </row>
    <row r="20369" customFormat="false" ht="15" hidden="false" customHeight="false" outlineLevel="0" collapsed="false">
      <c r="A20369" s="0" t="n">
        <f aca="false">BESSELI(2.3,0)</f>
        <v>2.82960560062759</v>
      </c>
      <c r="B20369" s="0" t="s">
        <v>20195</v>
      </c>
    </row>
    <row r="20370" customFormat="false" ht="15" hidden="false" customHeight="false" outlineLevel="0" collapsed="false">
      <c r="A20370" s="0" t="n">
        <f aca="false">BESSELI(25,3)</f>
        <v>4806356106.50654</v>
      </c>
      <c r="B20370" s="0" t="s">
        <v>20196</v>
      </c>
    </row>
    <row r="20371" customFormat="false" ht="15" hidden="false" customHeight="false" outlineLevel="0" collapsed="false">
      <c r="A20371" s="0" t="n">
        <f aca="false">BESSELI(50,1)</f>
        <v>2.90307859010356E+020</v>
      </c>
      <c r="B20371" s="0" t="s">
        <v>20197</v>
      </c>
    </row>
    <row r="20372" customFormat="false" ht="15" hidden="false" customHeight="false" outlineLevel="0" collapsed="false">
      <c r="A20372" s="0" t="n">
        <f aca="false">BESSELI(36,4)</f>
        <v>229670381391636</v>
      </c>
      <c r="B20372" s="0" t="s">
        <v>20198</v>
      </c>
    </row>
    <row r="20373" customFormat="false" ht="15" hidden="false" customHeight="false" outlineLevel="0" collapsed="false">
      <c r="A20373" s="0" t="n">
        <f aca="false">BESSELI(1.3,2)</f>
        <v>0.24261731336076</v>
      </c>
      <c r="B20373" s="0" t="s">
        <v>20199</v>
      </c>
    </row>
    <row r="20374" customFormat="false" ht="15" hidden="false" customHeight="false" outlineLevel="0" collapsed="false">
      <c r="A20374" s="0" t="n">
        <f aca="false">BESSELI(39,12)</f>
        <v>868094881569187</v>
      </c>
      <c r="B20374" s="0" t="s">
        <v>20200</v>
      </c>
    </row>
    <row r="20375" customFormat="false" ht="15" hidden="false" customHeight="false" outlineLevel="0" collapsed="false">
      <c r="A20375" s="0" t="n">
        <f aca="false">BESSELI(23.7,1)</f>
        <v>1582314199.98309</v>
      </c>
      <c r="B20375" s="0" t="s">
        <v>20201</v>
      </c>
    </row>
    <row r="20376" customFormat="false" ht="15" hidden="false" customHeight="false" outlineLevel="0" collapsed="false">
      <c r="A20376" s="0" t="n">
        <f aca="false">BESSELI(11.786,7)</f>
        <v>1881.62055441469</v>
      </c>
      <c r="B20376" s="0" t="s">
        <v>20202</v>
      </c>
    </row>
    <row r="20377" customFormat="false" ht="15" hidden="false" customHeight="false" outlineLevel="0" collapsed="false">
      <c r="A20377" s="0" t="n">
        <f aca="false">BESSELI(42.6,2)</f>
        <v>1.85271595763305E+017</v>
      </c>
      <c r="B20377" s="0" t="s">
        <v>20203</v>
      </c>
    </row>
    <row r="20378" customFormat="false" ht="15" hidden="false" customHeight="false" outlineLevel="0" collapsed="false">
      <c r="A20378" s="0" t="n">
        <f aca="false">BESSELI(49,3)</f>
        <v>9.93284967668802E+019</v>
      </c>
      <c r="B20378" s="0" t="s">
        <v>20204</v>
      </c>
    </row>
    <row r="20379" customFormat="false" ht="15" hidden="false" customHeight="false" outlineLevel="0" collapsed="false">
      <c r="A20379" s="0" t="n">
        <f aca="false">BESSELI(19.728,1)</f>
        <v>32557841.749535</v>
      </c>
      <c r="B20379" s="0" t="s">
        <v>20205</v>
      </c>
    </row>
    <row r="20380" customFormat="false" ht="15" hidden="false" customHeight="false" outlineLevel="0" collapsed="false">
      <c r="A20380" s="0" t="n">
        <f aca="false">BESSELI(33.8,0)</f>
        <v>32903026713453.4</v>
      </c>
      <c r="B20380" s="0" t="s">
        <v>20206</v>
      </c>
    </row>
    <row r="20381" customFormat="false" ht="15" hidden="false" customHeight="false" outlineLevel="0" collapsed="false">
      <c r="A20381" s="0" t="n">
        <f aca="false">BESSELI(42.4,0)</f>
        <v>1.59444301862925E+017</v>
      </c>
      <c r="B20381" s="0" t="s">
        <v>20207</v>
      </c>
    </row>
    <row r="20382" customFormat="false" ht="15" hidden="false" customHeight="false" outlineLevel="0" collapsed="false">
      <c r="A20382" s="0" t="n">
        <f aca="false">BESSELI(43,0)</f>
        <v>2.88480254859067E+017</v>
      </c>
      <c r="B20382" s="0" t="s">
        <v>20208</v>
      </c>
    </row>
    <row r="20383" customFormat="false" ht="15" hidden="false" customHeight="false" outlineLevel="0" collapsed="false">
      <c r="A20383" s="0" t="n">
        <f aca="false">BESSELI(48,4)</f>
        <v>3.42340403961615E+019</v>
      </c>
      <c r="B20383" s="0" t="s">
        <v>20209</v>
      </c>
    </row>
    <row r="20384" customFormat="false" ht="15" hidden="false" customHeight="false" outlineLevel="0" collapsed="false">
      <c r="A20384" s="0" t="n">
        <f aca="false">BESSELI(36.7,7)</f>
        <v>292168879527574</v>
      </c>
      <c r="B20384" s="0" t="s">
        <v>20210</v>
      </c>
    </row>
    <row r="20385" customFormat="false" ht="15" hidden="false" customHeight="false" outlineLevel="0" collapsed="false">
      <c r="A20385" s="0" t="n">
        <f aca="false">BESSELI(49.002,2)</f>
        <v>1.04788301614097E+020</v>
      </c>
      <c r="B20385" s="0" t="s">
        <v>20211</v>
      </c>
    </row>
    <row r="20386" customFormat="false" ht="15" hidden="false" customHeight="false" outlineLevel="0" collapsed="false">
      <c r="A20386" s="0" t="n">
        <f aca="false">BESSELI(33.8,12)</f>
        <v>3874364201525.56</v>
      </c>
      <c r="B20386" s="0" t="s">
        <v>20212</v>
      </c>
    </row>
    <row r="20387" customFormat="false" ht="15" hidden="false" customHeight="false" outlineLevel="0" collapsed="false">
      <c r="A20387" s="0" t="n">
        <f aca="false">BESSELI(4.8,4)</f>
        <v>3.99207544028431</v>
      </c>
      <c r="B20387" s="0" t="s">
        <v>20213</v>
      </c>
    </row>
    <row r="20388" customFormat="false" ht="15" hidden="false" customHeight="false" outlineLevel="0" collapsed="false">
      <c r="A20388" s="0" t="n">
        <f aca="false">BESSELI(12.8,2)</f>
        <v>34682.2438067818</v>
      </c>
      <c r="B20388" s="0" t="s">
        <v>20214</v>
      </c>
    </row>
    <row r="20389" customFormat="false" ht="15" hidden="false" customHeight="false" outlineLevel="0" collapsed="false">
      <c r="A20389" s="0" t="n">
        <f aca="false">BESSELI(41,7)</f>
        <v>21869393568587300</v>
      </c>
      <c r="B20389" s="0" t="s">
        <v>20215</v>
      </c>
    </row>
    <row r="20390" customFormat="false" ht="15" hidden="false" customHeight="false" outlineLevel="0" collapsed="false">
      <c r="A20390" s="0" t="n">
        <f aca="false">BESSELI(5.5,2)</f>
        <v>28.6625852913651</v>
      </c>
      <c r="B20390" s="0" t="s">
        <v>20216</v>
      </c>
    </row>
    <row r="20391" customFormat="false" ht="15" hidden="false" customHeight="false" outlineLevel="0" collapsed="false">
      <c r="A20391" s="0" t="n">
        <f aca="false">BESSELI(19,3)</f>
        <v>12899751.9487185</v>
      </c>
      <c r="B20391" s="0" t="s">
        <v>20217</v>
      </c>
    </row>
    <row r="20392" customFormat="false" ht="15" hidden="false" customHeight="false" outlineLevel="0" collapsed="false">
      <c r="A20392" s="0" t="n">
        <f aca="false">BESSELI(10.6,12)</f>
        <v>7.7286650936038</v>
      </c>
      <c r="B20392" s="0" t="s">
        <v>20218</v>
      </c>
    </row>
    <row r="20393" customFormat="false" ht="15" hidden="false" customHeight="false" outlineLevel="0" collapsed="false">
      <c r="A20393" s="0" t="n">
        <f aca="false">BESSELI(44.2,7)</f>
        <v>5.39847957329992E+017</v>
      </c>
      <c r="B20393" s="0" t="s">
        <v>20219</v>
      </c>
    </row>
    <row r="20394" customFormat="false" ht="15" hidden="false" customHeight="false" outlineLevel="0" collapsed="false">
      <c r="A20394" s="0" t="n">
        <f aca="false">BESSELI(47.23,0)</f>
        <v>1.89099914705558E+019</v>
      </c>
      <c r="B20394" s="0" t="s">
        <v>20220</v>
      </c>
    </row>
    <row r="20395" customFormat="false" ht="15" hidden="false" customHeight="false" outlineLevel="0" collapsed="false">
      <c r="A20395" s="0" t="n">
        <f aca="false">BESSELI(51.122,2)</f>
        <v>8.56097320698159E+020</v>
      </c>
      <c r="B20395" s="0" t="s">
        <v>20221</v>
      </c>
    </row>
    <row r="20396" customFormat="false" ht="15" hidden="false" customHeight="false" outlineLevel="0" collapsed="false">
      <c r="A20396" s="0" t="n">
        <f aca="false">BESSELI(51,1)</f>
        <v>7.81480875944409E+020</v>
      </c>
      <c r="B20396" s="0" t="s">
        <v>20222</v>
      </c>
    </row>
    <row r="20397" customFormat="false" ht="15" hidden="false" customHeight="false" outlineLevel="0" collapsed="false">
      <c r="A20397" s="0" t="n">
        <f aca="false">BESSELI(22.3,7)</f>
        <v>134892827.205125</v>
      </c>
      <c r="B20397" s="0" t="s">
        <v>20223</v>
      </c>
    </row>
    <row r="20398" customFormat="false" ht="15" hidden="false" customHeight="false" outlineLevel="0" collapsed="false">
      <c r="A20398" s="0" t="n">
        <f aca="false">BESSELI(57.558,2)</f>
        <v>5.05484470989618E+023</v>
      </c>
      <c r="B20398" s="0" t="s">
        <v>20224</v>
      </c>
    </row>
    <row r="20399" customFormat="false" ht="15" hidden="false" customHeight="false" outlineLevel="0" collapsed="false">
      <c r="A20399" s="0" t="n">
        <f aca="false">BESSELI(35,0)</f>
        <v>107338818494514</v>
      </c>
      <c r="B20399" s="0" t="s">
        <v>20225</v>
      </c>
    </row>
    <row r="20400" customFormat="false" ht="15" hidden="false" customHeight="false" outlineLevel="0" collapsed="false">
      <c r="A20400" s="0" t="n">
        <f aca="false">BESSELJ(20,3)</f>
        <v>-0.0989013945604499</v>
      </c>
      <c r="B20400" s="0" t="s">
        <v>20226</v>
      </c>
    </row>
    <row r="20401" customFormat="false" ht="15" hidden="false" customHeight="false" outlineLevel="0" collapsed="false">
      <c r="A20401" s="0" t="n">
        <f aca="false">BESSELJ(14.455,0)</f>
        <v>0.09617107050128</v>
      </c>
      <c r="B20401" s="0" t="s">
        <v>20227</v>
      </c>
    </row>
    <row r="20402" customFormat="false" ht="15" hidden="false" customHeight="false" outlineLevel="0" collapsed="false">
      <c r="A20402" s="0" t="n">
        <f aca="false">BESSELJ(34.784,0)</f>
        <v>-0.114434485443179</v>
      </c>
      <c r="B20402" s="0" t="s">
        <v>20228</v>
      </c>
    </row>
    <row r="20403" customFormat="false" ht="15" hidden="false" customHeight="false" outlineLevel="0" collapsed="false">
      <c r="A20403" s="0" t="n">
        <f aca="false">BESSELJ(6.4,1)</f>
        <v>-0.181637509024183</v>
      </c>
      <c r="B20403" s="0" t="s">
        <v>20229</v>
      </c>
    </row>
    <row r="20404" customFormat="false" ht="15" hidden="false" customHeight="false" outlineLevel="0" collapsed="false">
      <c r="A20404" s="0" t="n">
        <f aca="false">BESSELJ(14,3)</f>
        <v>-0.176809406865096</v>
      </c>
      <c r="B20404" s="0" t="s">
        <v>20230</v>
      </c>
    </row>
    <row r="20405" customFormat="false" ht="15" hidden="false" customHeight="false" outlineLevel="0" collapsed="false">
      <c r="A20405" s="0" t="n">
        <f aca="false">BESSELJ(46.2,4)</f>
        <v>-0.00376594230043577</v>
      </c>
      <c r="B20405" s="0" t="s">
        <v>20231</v>
      </c>
    </row>
    <row r="20406" customFormat="false" ht="15" hidden="false" customHeight="false" outlineLevel="0" collapsed="false">
      <c r="A20406" s="0" t="n">
        <f aca="false">BESSELJ(46,3)</f>
        <v>-0.114293103424701</v>
      </c>
      <c r="B20406" s="0" t="s">
        <v>20232</v>
      </c>
    </row>
    <row r="20407" customFormat="false" ht="15" hidden="false" customHeight="false" outlineLevel="0" collapsed="false">
      <c r="A20407" s="0" t="n">
        <f aca="false">BESSELJ(8.267,2)</f>
        <v>-0.0409961955503319</v>
      </c>
      <c r="B20407" s="0" t="s">
        <v>20233</v>
      </c>
    </row>
    <row r="20408" customFormat="false" ht="15" hidden="false" customHeight="false" outlineLevel="0" collapsed="false">
      <c r="A20408" s="0" t="n">
        <f aca="false">BESSELJ(56,1)</f>
        <v>-0.103484562805898</v>
      </c>
      <c r="B20408" s="0" t="s">
        <v>20234</v>
      </c>
    </row>
    <row r="20409" customFormat="false" ht="15" hidden="false" customHeight="false" outlineLevel="0" collapsed="false">
      <c r="A20409" s="0" t="n">
        <f aca="false">BESSELJ(20.6,1)</f>
        <v>0.146377389413668</v>
      </c>
      <c r="B20409" s="0" t="s">
        <v>20235</v>
      </c>
    </row>
    <row r="20410" customFormat="false" ht="15" hidden="false" customHeight="false" outlineLevel="0" collapsed="false">
      <c r="A20410" s="0" t="n">
        <f aca="false">BESSELJ(23.995,7)</f>
        <v>0.130533142404844</v>
      </c>
      <c r="B20410" s="0" t="s">
        <v>20236</v>
      </c>
    </row>
    <row r="20411" customFormat="false" ht="15" hidden="false" customHeight="false" outlineLevel="0" collapsed="false">
      <c r="A20411" s="0" t="n">
        <f aca="false">BESSELJ(42.484,2)</f>
        <v>0.0759380267210458</v>
      </c>
      <c r="B20411" s="0" t="s">
        <v>20237</v>
      </c>
    </row>
    <row r="20412" customFormat="false" ht="15" hidden="false" customHeight="false" outlineLevel="0" collapsed="false">
      <c r="A20412" s="0" t="n">
        <f aca="false">BESSELJ(14.699,2)</f>
        <v>-0.0200595072528701</v>
      </c>
      <c r="B20412" s="0" t="s">
        <v>20238</v>
      </c>
    </row>
    <row r="20413" customFormat="false" ht="15" hidden="false" customHeight="false" outlineLevel="0" collapsed="false">
      <c r="A20413" s="0" t="n">
        <f aca="false">BESSELJ(55.7,3)</f>
        <v>0.106971539283858</v>
      </c>
      <c r="B20413" s="0" t="s">
        <v>20239</v>
      </c>
    </row>
    <row r="20414" customFormat="false" ht="15" hidden="false" customHeight="false" outlineLevel="0" collapsed="false">
      <c r="A20414" s="0" t="n">
        <f aca="false">BESSELJ(0.226,4)</f>
        <v>6.77630889392532E-006</v>
      </c>
      <c r="B20414" s="0" t="s">
        <v>20240</v>
      </c>
    </row>
    <row r="20415" customFormat="false" ht="15" hidden="false" customHeight="false" outlineLevel="0" collapsed="false">
      <c r="A20415" s="0" t="n">
        <f aca="false">BESSELJ(28,7)</f>
        <v>-0.0282149583544856</v>
      </c>
      <c r="B20415" s="0" t="s">
        <v>20241</v>
      </c>
    </row>
    <row r="20416" customFormat="false" ht="15" hidden="false" customHeight="false" outlineLevel="0" collapsed="false">
      <c r="A20416" s="0" t="n">
        <f aca="false">BESSELJ(9.5,2)</f>
        <v>0.227879154162692</v>
      </c>
      <c r="B20416" s="0" t="s">
        <v>20242</v>
      </c>
    </row>
    <row r="20417" customFormat="false" ht="15" hidden="false" customHeight="false" outlineLevel="0" collapsed="false">
      <c r="A20417" s="0" t="n">
        <f aca="false">BESSELJ(51,0)</f>
        <v>0.111564658244686</v>
      </c>
      <c r="B20417" s="0" t="s">
        <v>20243</v>
      </c>
    </row>
    <row r="20418" customFormat="false" ht="15" hidden="false" customHeight="false" outlineLevel="0" collapsed="false">
      <c r="A20418" s="0" t="n">
        <f aca="false">BESSELJ(11,12)</f>
        <v>0.121599789293163</v>
      </c>
      <c r="B20418" s="0" t="s">
        <v>20244</v>
      </c>
    </row>
    <row r="20419" customFormat="false" ht="15" hidden="false" customHeight="false" outlineLevel="0" collapsed="false">
      <c r="A20419" s="0" t="n">
        <f aca="false">BESSELJ(20,1)</f>
        <v>0.0668331241758501</v>
      </c>
      <c r="B20419" s="0" t="s">
        <v>20245</v>
      </c>
    </row>
    <row r="20420" customFormat="false" ht="15" hidden="false" customHeight="false" outlineLevel="0" collapsed="false">
      <c r="A20420" s="0" t="n">
        <f aca="false">BESSELJ(46.913,2)</f>
        <v>0.0671890679558584</v>
      </c>
      <c r="B20420" s="0" t="s">
        <v>20246</v>
      </c>
    </row>
    <row r="20421" customFormat="false" ht="15" hidden="false" customHeight="false" outlineLevel="0" collapsed="false">
      <c r="A20421" s="0" t="n">
        <f aca="false">BESSELJ(26.6,2)</f>
        <v>-0.113098360139376</v>
      </c>
      <c r="B20421" s="0" t="s">
        <v>20247</v>
      </c>
    </row>
    <row r="20422" customFormat="false" ht="15" hidden="false" customHeight="false" outlineLevel="0" collapsed="false">
      <c r="A20422" s="0" t="n">
        <f aca="false">BESSELJ(10.1,3)</f>
        <v>0.0816727328232766</v>
      </c>
      <c r="B20422" s="0" t="s">
        <v>20248</v>
      </c>
    </row>
    <row r="20423" customFormat="false" ht="15" hidden="false" customHeight="false" outlineLevel="0" collapsed="false">
      <c r="A20423" s="0" t="n">
        <f aca="false">BESSELJ(24.7,12)</f>
        <v>-0.0305961016910945</v>
      </c>
      <c r="B20423" s="0" t="s">
        <v>20249</v>
      </c>
    </row>
    <row r="20424" customFormat="false" ht="15" hidden="false" customHeight="false" outlineLevel="0" collapsed="false">
      <c r="A20424" s="0" t="n">
        <f aca="false">BESSELJ(55.4,1)</f>
        <v>-0.100463550678563</v>
      </c>
      <c r="B20424" s="0" t="s">
        <v>20250</v>
      </c>
    </row>
    <row r="20425" customFormat="false" ht="15" hidden="false" customHeight="false" outlineLevel="0" collapsed="false">
      <c r="A20425" s="0" t="n">
        <f aca="false">BESSELJ(21.9,3)</f>
        <v>-0.107258160102365</v>
      </c>
      <c r="B20425" s="0" t="s">
        <v>20251</v>
      </c>
    </row>
    <row r="20426" customFormat="false" ht="15" hidden="false" customHeight="false" outlineLevel="0" collapsed="false">
      <c r="A20426" s="0" t="n">
        <f aca="false">BESSELJ(2,2)</f>
        <v>0.352834028615638</v>
      </c>
      <c r="B20426" s="0" t="s">
        <v>20252</v>
      </c>
    </row>
    <row r="20427" customFormat="false" ht="15" hidden="false" customHeight="false" outlineLevel="0" collapsed="false">
      <c r="A20427" s="0" t="n">
        <f aca="false">BESSELJ(31.3,2)</f>
        <v>-0.0951296443249747</v>
      </c>
      <c r="B20427" s="0" t="s">
        <v>20253</v>
      </c>
    </row>
    <row r="20428" customFormat="false" ht="15" hidden="false" customHeight="false" outlineLevel="0" collapsed="false">
      <c r="A20428" s="0" t="n">
        <f aca="false">BESSELJ(8.242,0)</f>
        <v>0.111302599475623</v>
      </c>
      <c r="B20428" s="0" t="s">
        <v>20254</v>
      </c>
    </row>
    <row r="20429" customFormat="false" ht="15" hidden="false" customHeight="false" outlineLevel="0" collapsed="false">
      <c r="A20429" s="0" t="n">
        <f aca="false">BESSELJ(14.85,0)</f>
        <v>0.016740434436335</v>
      </c>
      <c r="B20429" s="0" t="s">
        <v>20255</v>
      </c>
    </row>
    <row r="20430" customFormat="false" ht="15" hidden="false" customHeight="false" outlineLevel="0" collapsed="false">
      <c r="A20430" s="0" t="n">
        <f aca="false">BESSELJ(11.686,2)</f>
        <v>-0.0153236970798459</v>
      </c>
      <c r="B20430" s="0" t="s">
        <v>20256</v>
      </c>
    </row>
    <row r="20431" customFormat="false" ht="15" hidden="false" customHeight="false" outlineLevel="0" collapsed="false">
      <c r="A20431" s="0" t="n">
        <f aca="false">BESSELJ(15.354,0)</f>
        <v>-0.0836230843044304</v>
      </c>
      <c r="B20431" s="0" t="s">
        <v>20257</v>
      </c>
    </row>
    <row r="20432" customFormat="false" ht="15" hidden="false" customHeight="false" outlineLevel="0" collapsed="false">
      <c r="A20432" s="0" t="n">
        <f aca="false">BESSELJ(46.6,1)</f>
        <v>0.11267094994895</v>
      </c>
      <c r="B20432" s="0" t="s">
        <v>20258</v>
      </c>
    </row>
    <row r="20433" customFormat="false" ht="15" hidden="false" customHeight="false" outlineLevel="0" collapsed="false">
      <c r="A20433" s="0" t="n">
        <f aca="false">BESSELJ(31,7)</f>
        <v>0.0581485161950761</v>
      </c>
      <c r="B20433" s="0" t="s">
        <v>20259</v>
      </c>
    </row>
    <row r="20434" customFormat="false" ht="15" hidden="false" customHeight="false" outlineLevel="0" collapsed="false">
      <c r="A20434" s="0" t="n">
        <f aca="false">BESSELJ(33.438,3)</f>
        <v>-0.13540614265572</v>
      </c>
      <c r="B20434" s="0" t="s">
        <v>20260</v>
      </c>
    </row>
    <row r="20435" customFormat="false" ht="15" hidden="false" customHeight="false" outlineLevel="0" collapsed="false">
      <c r="A20435" s="0" t="n">
        <f aca="false">BESSELJ(6,3)</f>
        <v>0.114768384820775</v>
      </c>
      <c r="B20435" s="0" t="s">
        <v>20261</v>
      </c>
    </row>
    <row r="20436" customFormat="false" ht="15" hidden="false" customHeight="false" outlineLevel="0" collapsed="false">
      <c r="A20436" s="0" t="n">
        <f aca="false">BESSELJ(13,7)</f>
        <v>-0.240570949586161</v>
      </c>
      <c r="B20436" s="0" t="s">
        <v>20262</v>
      </c>
    </row>
    <row r="20437" customFormat="false" ht="15" hidden="false" customHeight="false" outlineLevel="0" collapsed="false">
      <c r="A20437" s="0" t="n">
        <f aca="false">BESSELJ(29.5,12)</f>
        <v>0.149573094686544</v>
      </c>
      <c r="B20437" s="0" t="s">
        <v>20263</v>
      </c>
    </row>
    <row r="20438" customFormat="false" ht="15" hidden="false" customHeight="false" outlineLevel="0" collapsed="false">
      <c r="A20438" s="0" t="n">
        <f aca="false">BESSELJ(55,2)</f>
        <v>0.071702846709739</v>
      </c>
      <c r="B20438" s="0" t="s">
        <v>20264</v>
      </c>
    </row>
    <row r="20439" customFormat="false" ht="15" hidden="false" customHeight="false" outlineLevel="0" collapsed="false">
      <c r="A20439" s="0" t="n">
        <f aca="false">BESSELJ(15,1)</f>
        <v>0.205104038613523</v>
      </c>
      <c r="B20439" s="0" t="s">
        <v>20265</v>
      </c>
    </row>
    <row r="20440" customFormat="false" ht="15" hidden="false" customHeight="false" outlineLevel="0" collapsed="false">
      <c r="A20440" s="0" t="n">
        <f aca="false">BESSELK(29.535,7)</f>
        <v>7.71009100889802E-014</v>
      </c>
      <c r="B20440" s="0" t="s">
        <v>20266</v>
      </c>
    </row>
    <row r="20441" customFormat="false" ht="15" hidden="false" customHeight="false" outlineLevel="0" collapsed="false">
      <c r="A20441" s="0" t="n">
        <f aca="false">BESSELK(41.1,12)</f>
        <v>1.53885009137483E-018</v>
      </c>
      <c r="B20441" s="0" t="s">
        <v>20267</v>
      </c>
    </row>
    <row r="20442" customFormat="false" ht="15" hidden="false" customHeight="false" outlineLevel="0" collapsed="false">
      <c r="A20442" s="0" t="n">
        <f aca="false">BESSELK(36.5,1)</f>
        <v>2.94826874121143E-017</v>
      </c>
      <c r="B20442" s="0" t="s">
        <v>20268</v>
      </c>
    </row>
    <row r="20443" customFormat="false" ht="15" hidden="false" customHeight="false" outlineLevel="0" collapsed="false">
      <c r="A20443" s="0" t="n">
        <f aca="false">BESSELK(19.7,3)</f>
        <v>9.75406698313768E-010</v>
      </c>
      <c r="B20443" s="0" t="s">
        <v>20269</v>
      </c>
    </row>
    <row r="20444" customFormat="false" ht="15" hidden="false" customHeight="false" outlineLevel="0" collapsed="false">
      <c r="A20444" s="0" t="n">
        <f aca="false">BESSELK(19.1,7)</f>
        <v>4.98652717234022E-009</v>
      </c>
      <c r="B20444" s="0" t="s">
        <v>20270</v>
      </c>
    </row>
    <row r="20445" customFormat="false" ht="15" hidden="false" customHeight="false" outlineLevel="0" collapsed="false">
      <c r="A20445" s="0" t="n">
        <f aca="false">BESSELK(29.4,12)</f>
        <v>4.23743072803455E-013</v>
      </c>
      <c r="B20445" s="0" t="s">
        <v>20271</v>
      </c>
    </row>
    <row r="20446" customFormat="false" ht="15" hidden="false" customHeight="false" outlineLevel="0" collapsed="false">
      <c r="A20446" s="0" t="n">
        <f aca="false">BESSELK(43.906,1)</f>
        <v>1.63054309730253E-020</v>
      </c>
      <c r="B20446" s="0" t="s">
        <v>20272</v>
      </c>
    </row>
    <row r="20447" customFormat="false" ht="15" hidden="false" customHeight="false" outlineLevel="0" collapsed="false">
      <c r="A20447" s="0" t="n">
        <f aca="false">BESSELK(45.6,4)</f>
        <v>3.4586089992342E-021</v>
      </c>
      <c r="B20447" s="0" t="s">
        <v>20273</v>
      </c>
    </row>
    <row r="20448" customFormat="false" ht="15" hidden="false" customHeight="false" outlineLevel="0" collapsed="false">
      <c r="A20448" s="0" t="n">
        <f aca="false">BESSELK(39.973,1)</f>
        <v>8.73268004853825E-019</v>
      </c>
      <c r="B20448" s="0" t="s">
        <v>20274</v>
      </c>
    </row>
    <row r="20449" customFormat="false" ht="15" hidden="false" customHeight="false" outlineLevel="0" collapsed="false">
      <c r="A20449" s="0" t="n">
        <f aca="false">BESSELK(21.4,4)</f>
        <v>1.97151021269918E-010</v>
      </c>
      <c r="B20449" s="0" t="s">
        <v>20275</v>
      </c>
    </row>
    <row r="20450" customFormat="false" ht="15" hidden="false" customHeight="false" outlineLevel="0" collapsed="false">
      <c r="A20450" s="0" t="n">
        <f aca="false">BESSELK(38,0)</f>
        <v>6.36161808696685E-018</v>
      </c>
      <c r="B20450" s="0" t="s">
        <v>20276</v>
      </c>
    </row>
    <row r="20451" customFormat="false" ht="15" hidden="false" customHeight="false" outlineLevel="0" collapsed="false">
      <c r="A20451" s="0" t="n">
        <f aca="false">BESSELK(16.3,12)</f>
        <v>1.61419512117158E-006</v>
      </c>
      <c r="B20451" s="0" t="s">
        <v>20277</v>
      </c>
    </row>
    <row r="20452" customFormat="false" ht="15" hidden="false" customHeight="false" outlineLevel="0" collapsed="false">
      <c r="A20452" s="0" t="n">
        <f aca="false">BESSELK(44.26,3)</f>
        <v>1.24629289236011E-020</v>
      </c>
      <c r="B20452" s="0" t="s">
        <v>20278</v>
      </c>
    </row>
    <row r="20453" customFormat="false" ht="15" hidden="false" customHeight="false" outlineLevel="0" collapsed="false">
      <c r="A20453" s="0" t="n">
        <f aca="false">BESSELK(33.1,3)</f>
        <v>1.04598277563119E-015</v>
      </c>
      <c r="B20453" s="0" t="s">
        <v>20279</v>
      </c>
    </row>
    <row r="20454" customFormat="false" ht="15" hidden="false" customHeight="false" outlineLevel="0" collapsed="false">
      <c r="A20454" s="0" t="n">
        <f aca="false">BESSELK(3.8,4)</f>
        <v>0.0839813659525236</v>
      </c>
      <c r="B20454" s="0" t="s">
        <v>20280</v>
      </c>
    </row>
    <row r="20455" customFormat="false" ht="15" hidden="false" customHeight="false" outlineLevel="0" collapsed="false">
      <c r="A20455" s="0" t="n">
        <f aca="false">BESSELK(0.588,4)</f>
        <v>390.216965698978</v>
      </c>
      <c r="B20455" s="0" t="s">
        <v>20281</v>
      </c>
    </row>
    <row r="20456" customFormat="false" ht="15" hidden="false" customHeight="false" outlineLevel="0" collapsed="false">
      <c r="A20456" s="0" t="n">
        <f aca="false">BESSELK(42.17,7)</f>
        <v>1.65558020739136E-019</v>
      </c>
      <c r="B20456" s="0" t="s">
        <v>20282</v>
      </c>
    </row>
    <row r="20457" customFormat="false" ht="15" hidden="false" customHeight="false" outlineLevel="0" collapsed="false">
      <c r="A20457" s="0" t="n">
        <f aca="false">BESSELK(54,1)</f>
        <v>6.06665667441178E-025</v>
      </c>
      <c r="B20457" s="0" t="s">
        <v>20283</v>
      </c>
    </row>
    <row r="20458" customFormat="false" ht="15" hidden="false" customHeight="false" outlineLevel="0" collapsed="false">
      <c r="A20458" s="0" t="n">
        <f aca="false">BESSELK(4,12)</f>
        <v>3408.54360305283</v>
      </c>
      <c r="B20458" s="0" t="s">
        <v>20284</v>
      </c>
    </row>
    <row r="20459" customFormat="false" ht="15" hidden="false" customHeight="false" outlineLevel="0" collapsed="false">
      <c r="A20459" s="0" t="n">
        <f aca="false">BESSELK(25,3)</f>
        <v>4.13226304693452E-012</v>
      </c>
      <c r="B20459" s="0" t="s">
        <v>20285</v>
      </c>
    </row>
    <row r="20460" customFormat="false" ht="15" hidden="false" customHeight="false" outlineLevel="0" collapsed="false">
      <c r="A20460" s="0" t="n">
        <f aca="false">BESSELK(56.876,0)</f>
        <v>3.30153789448355E-026</v>
      </c>
      <c r="B20460" s="0" t="s">
        <v>20286</v>
      </c>
    </row>
    <row r="20461" customFormat="false" ht="15" hidden="false" customHeight="false" outlineLevel="0" collapsed="false">
      <c r="A20461" s="0" t="n">
        <f aca="false">BESSELK(13.1,3)</f>
        <v>9.76243928495228E-007</v>
      </c>
      <c r="B20461" s="0" t="s">
        <v>20287</v>
      </c>
    </row>
    <row r="20462" customFormat="false" ht="15" hidden="false" customHeight="false" outlineLevel="0" collapsed="false">
      <c r="A20462" s="0" t="n">
        <f aca="false">BESSELK(52,7)</f>
        <v>7.21293802844759E-024</v>
      </c>
      <c r="B20462" s="0" t="s">
        <v>20288</v>
      </c>
    </row>
    <row r="20463" customFormat="false" ht="15" hidden="false" customHeight="false" outlineLevel="0" collapsed="false">
      <c r="A20463" s="0" t="n">
        <f aca="false">BESSELK(34.282,3)</f>
        <v>3.13797789086426E-016</v>
      </c>
      <c r="B20463" s="0" t="s">
        <v>20289</v>
      </c>
    </row>
    <row r="20464" customFormat="false" ht="15" hidden="false" customHeight="false" outlineLevel="0" collapsed="false">
      <c r="A20464" s="0" t="n">
        <f aca="false">BESSELK(53.7,4)</f>
        <v>9.43056981162444E-025</v>
      </c>
      <c r="B20464" s="0" t="s">
        <v>20290</v>
      </c>
    </row>
    <row r="20465" customFormat="false" ht="15" hidden="false" customHeight="false" outlineLevel="0" collapsed="false">
      <c r="A20465" s="0" t="n">
        <f aca="false">BESSELK(12,4)</f>
        <v>4.15843343222956E-006</v>
      </c>
      <c r="B20465" s="0" t="s">
        <v>20291</v>
      </c>
    </row>
    <row r="20466" customFormat="false" ht="15" hidden="false" customHeight="false" outlineLevel="0" collapsed="false">
      <c r="A20466" s="0" t="n">
        <f aca="false">BESSELK(26,0)</f>
        <v>1.24987755908793E-012</v>
      </c>
      <c r="B20466" s="0" t="s">
        <v>20292</v>
      </c>
    </row>
    <row r="20467" customFormat="false" ht="15" hidden="false" customHeight="false" outlineLevel="0" collapsed="false">
      <c r="A20467" s="0" t="n">
        <f aca="false">BESSELK(23,1)</f>
        <v>2.72493023554831E-011</v>
      </c>
      <c r="B20467" s="0" t="s">
        <v>20293</v>
      </c>
    </row>
    <row r="20468" customFormat="false" ht="15" hidden="false" customHeight="false" outlineLevel="0" collapsed="false">
      <c r="A20468" s="0" t="n">
        <f aca="false">BESSELK(50.943,12)</f>
        <v>5.30232874437303E-023</v>
      </c>
      <c r="B20468" s="0" t="s">
        <v>20294</v>
      </c>
    </row>
    <row r="20469" customFormat="false" ht="15" hidden="false" customHeight="false" outlineLevel="0" collapsed="false">
      <c r="A20469" s="0" t="n">
        <f aca="false">BESSELK(39.3,1)</f>
        <v>1.72656485910853E-018</v>
      </c>
      <c r="B20469" s="0" t="s">
        <v>20295</v>
      </c>
    </row>
    <row r="20470" customFormat="false" ht="15" hidden="false" customHeight="false" outlineLevel="0" collapsed="false">
      <c r="A20470" s="0" t="n">
        <f aca="false">BESSELK(55,12)</f>
        <v>7.98095706615508E-025</v>
      </c>
      <c r="B20470" s="0" t="s">
        <v>20296</v>
      </c>
    </row>
    <row r="20471" customFormat="false" ht="15" hidden="false" customHeight="false" outlineLevel="0" collapsed="false">
      <c r="A20471" s="0" t="n">
        <f aca="false">BESSELK(6.762,7)</f>
        <v>0.0135070808396127</v>
      </c>
      <c r="B20471" s="0" t="s">
        <v>20297</v>
      </c>
    </row>
    <row r="20472" customFormat="false" ht="15" hidden="false" customHeight="false" outlineLevel="0" collapsed="false">
      <c r="A20472" s="0" t="n">
        <f aca="false">BESSELK(9.107,1)</f>
        <v>4.78891023588099E-005</v>
      </c>
      <c r="B20472" s="0" t="s">
        <v>20298</v>
      </c>
    </row>
    <row r="20473" customFormat="false" ht="15" hidden="false" customHeight="false" outlineLevel="0" collapsed="false">
      <c r="A20473" s="0" t="n">
        <f aca="false">BESSELK(43.871,12)</f>
        <v>8.38615678353374E-020</v>
      </c>
      <c r="B20473" s="0" t="s">
        <v>20299</v>
      </c>
    </row>
    <row r="20474" customFormat="false" ht="15" hidden="false" customHeight="false" outlineLevel="0" collapsed="false">
      <c r="A20474" s="0" t="n">
        <f aca="false">BESSELK(6,7)</f>
        <v>0.0430971802023238</v>
      </c>
      <c r="B20474" s="0" t="s">
        <v>20300</v>
      </c>
    </row>
    <row r="20475" customFormat="false" ht="15" hidden="false" customHeight="false" outlineLevel="0" collapsed="false">
      <c r="A20475" s="0" t="n">
        <f aca="false">BESSELK(16,3)</f>
        <v>4.59473351787566E-008</v>
      </c>
      <c r="B20475" s="0" t="s">
        <v>20301</v>
      </c>
    </row>
    <row r="20476" customFormat="false" ht="15" hidden="false" customHeight="false" outlineLevel="0" collapsed="false">
      <c r="A20476" s="0" t="n">
        <f aca="false">BESSELK(11,1)</f>
        <v>6.52086077254219E-006</v>
      </c>
      <c r="B20476" s="0" t="s">
        <v>20302</v>
      </c>
    </row>
    <row r="20477" customFormat="false" ht="15" hidden="false" customHeight="false" outlineLevel="0" collapsed="false">
      <c r="A20477" s="0" t="n">
        <f aca="false">BESSELK(8,3)</f>
        <v>0.000248025719270793</v>
      </c>
      <c r="B20477" s="0" t="s">
        <v>20303</v>
      </c>
    </row>
    <row r="20478" customFormat="false" ht="15" hidden="false" customHeight="false" outlineLevel="0" collapsed="false">
      <c r="A20478" s="0" t="n">
        <f aca="false">BESSELK(49.88,4)</f>
        <v>4.51175972038483E-023</v>
      </c>
      <c r="B20478" s="0" t="s">
        <v>20304</v>
      </c>
    </row>
    <row r="20479" customFormat="false" ht="15" hidden="false" customHeight="false" outlineLevel="0" collapsed="false">
      <c r="A20479" s="0" t="n">
        <f aca="false">BESSELK(18.3,2)</f>
        <v>3.65218708609379E-009</v>
      </c>
      <c r="B20479" s="0" t="s">
        <v>20305</v>
      </c>
    </row>
    <row r="20480" customFormat="false" ht="15" hidden="false" customHeight="false" outlineLevel="0" collapsed="false">
      <c r="A20480" s="0" t="n">
        <f aca="false">BESSELY(57,2)</f>
        <v>0.0313587470558751</v>
      </c>
      <c r="B20480" s="0" t="s">
        <v>20306</v>
      </c>
    </row>
    <row r="20481" customFormat="false" ht="15" hidden="false" customHeight="false" outlineLevel="0" collapsed="false">
      <c r="A20481" s="0" t="n">
        <f aca="false">BESSELY(33.3,2)</f>
        <v>-0.12659123624061</v>
      </c>
      <c r="B20481" s="0" t="s">
        <v>20307</v>
      </c>
    </row>
    <row r="20482" customFormat="false" ht="15" hidden="false" customHeight="false" outlineLevel="0" collapsed="false">
      <c r="A20482" s="0" t="n">
        <f aca="false">BESSELY(6.8,1)</f>
        <v>-0.300186875758557</v>
      </c>
      <c r="B20482" s="0" t="s">
        <v>20308</v>
      </c>
    </row>
    <row r="20483" customFormat="false" ht="15" hidden="false" customHeight="false" outlineLevel="0" collapsed="false">
      <c r="A20483" s="0" t="n">
        <f aca="false">BESSELY(47.227,4)</f>
        <v>0.057334825420012</v>
      </c>
      <c r="B20483" s="0" t="s">
        <v>20309</v>
      </c>
    </row>
    <row r="20484" customFormat="false" ht="15" hidden="false" customHeight="false" outlineLevel="0" collapsed="false">
      <c r="A20484" s="0" t="n">
        <f aca="false">BESSELY(7.786,0)</f>
        <v>0.18435195164297</v>
      </c>
      <c r="B20484" s="0" t="s">
        <v>20310</v>
      </c>
    </row>
    <row r="20485" customFormat="false" ht="15" hidden="false" customHeight="false" outlineLevel="0" collapsed="false">
      <c r="A20485" s="0" t="n">
        <f aca="false">BESSELY(25.1,12)</f>
        <v>0.146561353991727</v>
      </c>
      <c r="B20485" s="0" t="s">
        <v>20311</v>
      </c>
    </row>
    <row r="20486" customFormat="false" ht="15" hidden="false" customHeight="false" outlineLevel="0" collapsed="false">
      <c r="A20486" s="0" t="n">
        <f aca="false">BESSELY(49.5,0)</f>
        <v>-0.113386333702916</v>
      </c>
      <c r="B20486" s="0" t="s">
        <v>20312</v>
      </c>
    </row>
    <row r="20487" customFormat="false" ht="15" hidden="false" customHeight="false" outlineLevel="0" collapsed="false">
      <c r="A20487" s="0" t="n">
        <f aca="false">BESSELY(50.834,12)</f>
        <v>0.105944746274891</v>
      </c>
      <c r="B20487" s="0" t="s">
        <v>20313</v>
      </c>
    </row>
    <row r="20488" customFormat="false" ht="15" hidden="false" customHeight="false" outlineLevel="0" collapsed="false">
      <c r="A20488" s="0" t="n">
        <f aca="false">BESSELY(30,1)</f>
        <v>0.0844255706617468</v>
      </c>
      <c r="B20488" s="0" t="s">
        <v>20314</v>
      </c>
    </row>
    <row r="20489" customFormat="false" ht="15" hidden="false" customHeight="false" outlineLevel="0" collapsed="false">
      <c r="A20489" s="0" t="n">
        <f aca="false">BESSELY(31,7)</f>
        <v>0.133024386812517</v>
      </c>
      <c r="B20489" s="0" t="s">
        <v>20315</v>
      </c>
    </row>
    <row r="20490" customFormat="false" ht="15" hidden="false" customHeight="false" outlineLevel="0" collapsed="false">
      <c r="A20490" s="0" t="n">
        <f aca="false">BESSELY(39.931,1)</f>
        <v>-0.0144799360374229</v>
      </c>
      <c r="B20490" s="0" t="s">
        <v>20316</v>
      </c>
    </row>
    <row r="20491" customFormat="false" ht="15" hidden="false" customHeight="false" outlineLevel="0" collapsed="false">
      <c r="A20491" s="0" t="n">
        <f aca="false">BESSELY(53.806,4)</f>
        <v>0.0258988448834816</v>
      </c>
      <c r="B20491" s="0" t="s">
        <v>20317</v>
      </c>
    </row>
    <row r="20492" customFormat="false" ht="15" hidden="false" customHeight="false" outlineLevel="0" collapsed="false">
      <c r="A20492" s="0" t="n">
        <f aca="false">BESSELY(2.677,3)</f>
        <v>-0.670298276989204</v>
      </c>
      <c r="B20492" s="0" t="s">
        <v>20318</v>
      </c>
    </row>
    <row r="20493" customFormat="false" ht="15" hidden="false" customHeight="false" outlineLevel="0" collapsed="false">
      <c r="A20493" s="0" t="n">
        <f aca="false">BESSELY(41.2,4)</f>
        <v>0.0289955307362292</v>
      </c>
      <c r="B20493" s="0" t="s">
        <v>20319</v>
      </c>
    </row>
    <row r="20494" customFormat="false" ht="15" hidden="false" customHeight="false" outlineLevel="0" collapsed="false">
      <c r="A20494" s="0" t="n">
        <f aca="false">BESSELY(46,7)</f>
        <v>-0.0226140296244358</v>
      </c>
      <c r="B20494" s="0" t="s">
        <v>20320</v>
      </c>
    </row>
    <row r="20495" customFormat="false" ht="15" hidden="false" customHeight="false" outlineLevel="0" collapsed="false">
      <c r="A20495" s="0" t="n">
        <f aca="false">BESSELY(28.5,1)</f>
        <v>0.127711925119587</v>
      </c>
      <c r="B20495" s="0" t="s">
        <v>20321</v>
      </c>
    </row>
    <row r="20496" customFormat="false" ht="15" hidden="false" customHeight="false" outlineLevel="0" collapsed="false">
      <c r="A20496" s="0" t="n">
        <f aca="false">BESSELY(22.487,2)</f>
        <v>-0.0345127276348873</v>
      </c>
      <c r="B20496" s="0" t="s">
        <v>20322</v>
      </c>
    </row>
    <row r="20497" customFormat="false" ht="15" hidden="false" customHeight="false" outlineLevel="0" collapsed="false">
      <c r="A20497" s="0" t="n">
        <f aca="false">BESSELY(37,4)</f>
        <v>-0.125704585530367</v>
      </c>
      <c r="B20497" s="0" t="s">
        <v>20323</v>
      </c>
    </row>
    <row r="20498" customFormat="false" ht="15" hidden="false" customHeight="false" outlineLevel="0" collapsed="false">
      <c r="A20498" s="0" t="n">
        <f aca="false">BESSELY(24.669,0)</f>
        <v>-0.152644484223252</v>
      </c>
      <c r="B20498" s="0" t="s">
        <v>20324</v>
      </c>
    </row>
    <row r="20499" customFormat="false" ht="15" hidden="false" customHeight="false" outlineLevel="0" collapsed="false">
      <c r="A20499" s="0" t="n">
        <f aca="false">BESSELY(50,2)</f>
        <v>0.0957931687275965</v>
      </c>
      <c r="B20499" s="0" t="s">
        <v>20325</v>
      </c>
    </row>
    <row r="20500" customFormat="false" ht="15" hidden="false" customHeight="false" outlineLevel="0" collapsed="false">
      <c r="A20500" s="0" t="n">
        <f aca="false">BESSELY(57,4)</f>
        <v>-0.0205932608999663</v>
      </c>
      <c r="B20500" s="0" t="s">
        <v>20326</v>
      </c>
    </row>
    <row r="20501" customFormat="false" ht="15" hidden="false" customHeight="false" outlineLevel="0" collapsed="false">
      <c r="A20501" s="0" t="n">
        <f aca="false">BESSELY(36,1)</f>
        <v>0.104454766338477</v>
      </c>
      <c r="B20501" s="0" t="s">
        <v>20327</v>
      </c>
    </row>
    <row r="20502" customFormat="false" ht="15" hidden="false" customHeight="false" outlineLevel="0" collapsed="false">
      <c r="A20502" s="0" t="n">
        <f aca="false">BESSELY(51.5,7)</f>
        <v>0.0673974724094036</v>
      </c>
      <c r="B20502" s="0" t="s">
        <v>20328</v>
      </c>
    </row>
    <row r="20503" customFormat="false" ht="15" hidden="false" customHeight="false" outlineLevel="0" collapsed="false">
      <c r="A20503" s="0" t="n">
        <f aca="false">BESSELY(0.28,7)</f>
        <v>-218125044.670171</v>
      </c>
      <c r="B20503" s="0" t="s">
        <v>20329</v>
      </c>
    </row>
    <row r="20504" customFormat="false" ht="15" hidden="false" customHeight="false" outlineLevel="0" collapsed="false">
      <c r="A20504" s="0" t="n">
        <f aca="false">BESSELY(22.981,3)</f>
        <v>-0.154269770029285</v>
      </c>
      <c r="B20504" s="0" t="s">
        <v>20330</v>
      </c>
    </row>
    <row r="20505" customFormat="false" ht="15" hidden="false" customHeight="false" outlineLevel="0" collapsed="false">
      <c r="A20505" s="0" t="n">
        <f aca="false">BESSELY(24.2,3)</f>
        <v>0.00545473146981841</v>
      </c>
      <c r="B20505" s="0" t="s">
        <v>20331</v>
      </c>
    </row>
    <row r="20506" customFormat="false" ht="15" hidden="false" customHeight="false" outlineLevel="0" collapsed="false">
      <c r="A20506" s="0" t="n">
        <f aca="false">BESSELY(30.655,3)</f>
        <v>0.0240422075306248</v>
      </c>
      <c r="B20506" s="0" t="s">
        <v>20332</v>
      </c>
    </row>
    <row r="20507" customFormat="false" ht="15" hidden="false" customHeight="false" outlineLevel="0" collapsed="false">
      <c r="A20507" s="0" t="n">
        <f aca="false">BESSELY(44.5,0)</f>
        <v>-0.0319602373167899</v>
      </c>
      <c r="B20507" s="0" t="s">
        <v>20333</v>
      </c>
    </row>
    <row r="20508" customFormat="false" ht="15" hidden="false" customHeight="false" outlineLevel="0" collapsed="false">
      <c r="A20508" s="0" t="n">
        <f aca="false">BESSELY(45.3,7)</f>
        <v>0.057121900298759</v>
      </c>
      <c r="B20508" s="0" t="s">
        <v>20334</v>
      </c>
    </row>
    <row r="20509" customFormat="false" ht="15" hidden="false" customHeight="false" outlineLevel="0" collapsed="false">
      <c r="A20509" s="0" t="n">
        <f aca="false">BESSELY(23.019,12)</f>
        <v>0.0524641418871783</v>
      </c>
      <c r="B20509" s="0" t="s">
        <v>20335</v>
      </c>
    </row>
    <row r="20510" customFormat="false" ht="15" hidden="false" customHeight="false" outlineLevel="0" collapsed="false">
      <c r="A20510" s="0" t="n">
        <f aca="false">BESSELY(28,3)</f>
        <v>-0.0935852741266242</v>
      </c>
      <c r="B20510" s="0" t="s">
        <v>20336</v>
      </c>
    </row>
    <row r="20511" customFormat="false" ht="15" hidden="false" customHeight="false" outlineLevel="0" collapsed="false">
      <c r="A20511" s="0" t="n">
        <f aca="false">BESSELY(37,7)</f>
        <v>0.0899137483408284</v>
      </c>
      <c r="B20511" s="0" t="s">
        <v>20337</v>
      </c>
    </row>
    <row r="20512" customFormat="false" ht="15" hidden="false" customHeight="false" outlineLevel="0" collapsed="false">
      <c r="A20512" s="0" t="n">
        <f aca="false">BESSELY(26,0)</f>
        <v>0.0120446258607558</v>
      </c>
      <c r="B20512" s="0" t="s">
        <v>20338</v>
      </c>
    </row>
    <row r="20513" customFormat="false" ht="15" hidden="false" customHeight="false" outlineLevel="0" collapsed="false">
      <c r="A20513" s="0" t="n">
        <f aca="false">BESSELY(17,3)</f>
        <v>-0.140779535099047</v>
      </c>
      <c r="B20513" s="0" t="s">
        <v>20339</v>
      </c>
    </row>
    <row r="20514" customFormat="false" ht="15" hidden="false" customHeight="false" outlineLevel="0" collapsed="false">
      <c r="A20514" s="0" t="n">
        <f aca="false">BESSELY(6,4)</f>
        <v>0.0983910434510274</v>
      </c>
      <c r="B20514" s="0" t="s">
        <v>20340</v>
      </c>
    </row>
    <row r="20515" customFormat="false" ht="15" hidden="false" customHeight="false" outlineLevel="0" collapsed="false">
      <c r="A20515" s="0" t="n">
        <f aca="false">BESSELY(16.3,1)</f>
        <v>0.194901923983888</v>
      </c>
      <c r="B20515" s="0" t="s">
        <v>20341</v>
      </c>
    </row>
    <row r="20516" customFormat="false" ht="15" hidden="false" customHeight="false" outlineLevel="0" collapsed="false">
      <c r="A20516" s="0" t="n">
        <f aca="false">BESSELY(22.597,1)</f>
        <v>0.165684209866695</v>
      </c>
      <c r="B20516" s="0" t="s">
        <v>20342</v>
      </c>
    </row>
    <row r="20517" customFormat="false" ht="15" hidden="false" customHeight="false" outlineLevel="0" collapsed="false">
      <c r="A20517" s="0" t="n">
        <f aca="false">BESSELY(38.2,0)</f>
        <v>-0.036638767563922</v>
      </c>
      <c r="B20517" s="0" t="s">
        <v>20343</v>
      </c>
    </row>
    <row r="20518" customFormat="false" ht="15" hidden="false" customHeight="false" outlineLevel="0" collapsed="false">
      <c r="A20518" s="0" t="n">
        <f aca="false">BESSELY(12,2)</f>
        <v>0.215720776257546</v>
      </c>
      <c r="B20518" s="0" t="s">
        <v>20344</v>
      </c>
    </row>
    <row r="20519" customFormat="false" ht="15" hidden="false" customHeight="false" outlineLevel="0" collapsed="false">
      <c r="A20519" s="0" t="n">
        <f aca="false">BESSELY(21.3,7)</f>
        <v>-0.168644647401917</v>
      </c>
      <c r="B20519" s="0" t="s">
        <v>20345</v>
      </c>
    </row>
    <row r="20520" customFormat="false" ht="15" hidden="false" customHeight="false" outlineLevel="0" collapsed="false">
      <c r="A20520" s="0" t="n">
        <f aca="false">CONVERT(1,"m","km")</f>
        <v>0.001</v>
      </c>
      <c r="B20520" s="0" t="s">
        <v>20346</v>
      </c>
    </row>
    <row r="20521" customFormat="false" ht="15" hidden="false" customHeight="false" outlineLevel="0" collapsed="false">
      <c r="A20521" s="0" t="n">
        <f aca="false">CONVERT(1,"km","m")</f>
        <v>1000</v>
      </c>
      <c r="B20521" s="0" t="s">
        <v>20347</v>
      </c>
    </row>
    <row r="20522" customFormat="false" ht="15" hidden="false" customHeight="false" outlineLevel="0" collapsed="false">
      <c r="A20522" s="0" t="n">
        <f aca="false">CONVERT(1,"m","mi")</f>
        <v>0.000621371192237334</v>
      </c>
      <c r="B20522" s="0" t="s">
        <v>20348</v>
      </c>
    </row>
    <row r="20523" customFormat="false" ht="15" hidden="false" customHeight="false" outlineLevel="0" collapsed="false">
      <c r="A20523" s="0" t="n">
        <f aca="false">CONVERT(100,"C","F")</f>
        <v>212</v>
      </c>
      <c r="B20523" s="0" t="s">
        <v>20349</v>
      </c>
    </row>
    <row r="20524" customFormat="false" ht="15" hidden="false" customHeight="false" outlineLevel="0" collapsed="false">
      <c r="A20524" s="0" t="n">
        <f aca="false">CONVERT(32,"F","C")</f>
        <v>0</v>
      </c>
      <c r="B20524" s="0" t="s">
        <v>20350</v>
      </c>
    </row>
    <row r="20525" customFormat="false" ht="15" hidden="false" customHeight="false" outlineLevel="0" collapsed="false">
      <c r="A20525" s="0" t="n">
        <f aca="false">CONVERT(0,"C","K")</f>
        <v>273.15</v>
      </c>
      <c r="B20525" s="0" t="s">
        <v>20351</v>
      </c>
    </row>
    <row r="20526" customFormat="false" ht="15" hidden="false" customHeight="false" outlineLevel="0" collapsed="false">
      <c r="A20526" s="0" t="e">
        <f aca="false">CONVERT(1,"m","kg")</f>
        <v>#VALUE!</v>
      </c>
      <c r="B20526" s="0" t="s">
        <v>20352</v>
      </c>
    </row>
    <row r="20527" customFormat="false" ht="15" hidden="false" customHeight="false" outlineLevel="0" collapsed="false">
      <c r="A20527" s="0" t="e">
        <f aca="false">CONVERT(1,"x","m")</f>
        <v>#VALUE!</v>
      </c>
      <c r="B20527" s="0" t="s">
        <v>20353</v>
      </c>
    </row>
    <row r="20528" customFormat="false" ht="15" hidden="false" customHeight="false" outlineLevel="0" collapsed="false">
      <c r="A20528" s="0" t="e">
        <f aca="false">CONVERT(1,"m","x")</f>
        <v>#VALUE!</v>
      </c>
      <c r="B20528" s="0" t="s">
        <v>20354</v>
      </c>
    </row>
    <row r="20529" customFormat="false" ht="15" hidden="false" customHeight="false" outlineLevel="0" collapsed="false">
      <c r="A20529" s="0" t="e">
        <f aca="false">CONVERT(1,"","m")</f>
        <v>#VALUE!</v>
      </c>
      <c r="B20529" s="0" t="s">
        <v>20355</v>
      </c>
    </row>
    <row r="20530" customFormat="false" ht="15" hidden="false" customHeight="false" outlineLevel="0" collapsed="false">
      <c r="A20530" s="0" t="e">
        <f aca="false">CONVERT(1,"M","m")</f>
        <v>#VALUE!</v>
      </c>
      <c r="B20530" s="0" t="s">
        <v>20356</v>
      </c>
    </row>
    <row r="20531" customFormat="false" ht="15" hidden="false" customHeight="false" outlineLevel="0" collapsed="false">
      <c r="A20531" s="0" t="e">
        <f aca="false">CONVERT(1,"km","KM")</f>
        <v>#VALUE!</v>
      </c>
      <c r="B20531" s="0" t="s">
        <v>20357</v>
      </c>
    </row>
    <row r="20532" customFormat="false" ht="15" hidden="false" customHeight="false" outlineLevel="0" collapsed="false">
      <c r="A20532" s="0" t="n">
        <f aca="false">CONVERT(1,"cm3","m3")</f>
        <v>1E-006</v>
      </c>
      <c r="B20532" s="0" t="s">
        <v>20358</v>
      </c>
    </row>
    <row r="20533" customFormat="false" ht="15" hidden="false" customHeight="false" outlineLevel="0" collapsed="false">
      <c r="A20533" s="0" t="n">
        <f aca="false">CONVERT(1,"cm^3","m^3")</f>
        <v>1E-006</v>
      </c>
      <c r="B20533" s="0" t="s">
        <v>20359</v>
      </c>
    </row>
    <row r="20534" customFormat="false" ht="15" hidden="false" customHeight="false" outlineLevel="0" collapsed="false">
      <c r="A20534" s="0" t="n">
        <f aca="false">CONVERT(1,"m^2","cm^2")</f>
        <v>10000</v>
      </c>
      <c r="B20534" s="0" t="s">
        <v>20360</v>
      </c>
    </row>
    <row r="20535" customFormat="false" ht="15" hidden="false" customHeight="false" outlineLevel="0" collapsed="false">
      <c r="A20535" s="0" t="e">
        <f aca="false">CONVERT(1,"m^","cm")</f>
        <v>#VALUE!</v>
      </c>
      <c r="B20535" s="0" t="s">
        <v>20361</v>
      </c>
    </row>
    <row r="20536" customFormat="false" ht="15" hidden="false" customHeight="false" outlineLevel="0" collapsed="false">
      <c r="A20536" s="0" t="e">
        <f aca="false">CONVERT(1,"^m","m")</f>
        <v>#VALUE!</v>
      </c>
      <c r="B20536" s="0" t="s">
        <v>20362</v>
      </c>
    </row>
    <row r="20537" customFormat="false" ht="15" hidden="false" customHeight="false" outlineLevel="0" collapsed="false">
      <c r="A20537" s="0" t="e">
        <f aca="false">CONVERT(1,"da","m")</f>
        <v>#VALUE!</v>
      </c>
      <c r="B20537" s="0" t="s">
        <v>20363</v>
      </c>
    </row>
    <row r="20538" customFormat="false" ht="15" hidden="false" customHeight="false" outlineLevel="0" collapsed="false">
      <c r="A20538" s="0" t="n">
        <f aca="false">CONVERT(1,"dam","m")</f>
        <v>10</v>
      </c>
      <c r="B20538" s="0" t="s">
        <v>20364</v>
      </c>
    </row>
    <row r="20539" customFormat="false" ht="15" hidden="false" customHeight="false" outlineLevel="0" collapsed="false">
      <c r="A20539" s="0" t="n">
        <f aca="false">CONVERT(1,"dag","g")</f>
        <v>10</v>
      </c>
      <c r="B20539" s="0" t="s">
        <v>20365</v>
      </c>
    </row>
    <row r="20540" customFormat="false" ht="15" hidden="false" customHeight="false" outlineLevel="0" collapsed="false">
      <c r="A20540" s="0" t="n">
        <f aca="false">CONVERT(1,"kibit","bit")</f>
        <v>1024</v>
      </c>
      <c r="B20540" s="0" t="s">
        <v>20366</v>
      </c>
    </row>
    <row r="20541" customFormat="false" ht="15" hidden="false" customHeight="false" outlineLevel="0" collapsed="false">
      <c r="A20541" s="0" t="n">
        <f aca="false">CONVERT(1,"kibyte","kbyte")</f>
        <v>1.024</v>
      </c>
      <c r="B20541" s="0" t="s">
        <v>20367</v>
      </c>
    </row>
    <row r="20542" customFormat="false" ht="15" hidden="false" customHeight="false" outlineLevel="0" collapsed="false">
      <c r="A20542" s="0" t="n">
        <f aca="false">CONVERT(1,"kbit","kibit")</f>
        <v>0.9765625</v>
      </c>
      <c r="B20542" s="0" t="s">
        <v>20368</v>
      </c>
    </row>
    <row r="20543" customFormat="false" ht="15" hidden="false" customHeight="false" outlineLevel="0" collapsed="false">
      <c r="A20543" s="0" t="e">
        <f aca="false">CONVERT(1,"mibit","bit")</f>
        <v>#VALUE!</v>
      </c>
      <c r="B20543" s="0" t="s">
        <v>20369</v>
      </c>
    </row>
    <row r="20544" customFormat="false" ht="15" hidden="false" customHeight="false" outlineLevel="0" collapsed="false">
      <c r="A20544" s="0" t="n">
        <f aca="false">CONVERT(1,"kg","lbm")</f>
        <v>2.20462291469134</v>
      </c>
      <c r="B20544" s="0" t="s">
        <v>20370</v>
      </c>
    </row>
    <row r="20545" customFormat="false" ht="15" hidden="false" customHeight="false" outlineLevel="0" collapsed="false">
      <c r="A20545" s="0" t="n">
        <f aca="false">CONVERT(1,"u","g")</f>
        <v>1.66054010395313E-024</v>
      </c>
      <c r="B20545" s="0" t="s">
        <v>20371</v>
      </c>
    </row>
    <row r="20546" customFormat="false" ht="15" hidden="false" customHeight="false" outlineLevel="0" collapsed="false">
      <c r="A20546" s="0" t="n">
        <f aca="false">CONVERT(1,"Tm","m")</f>
        <v>1000000000000</v>
      </c>
      <c r="B20546" s="0" t="s">
        <v>20372</v>
      </c>
    </row>
    <row r="20547" customFormat="false" ht="15" hidden="false" customHeight="false" outlineLevel="0" collapsed="false">
      <c r="A20547" s="0" t="e">
        <f aca="false">CONVERT(1E+308,"Ym","m")</f>
        <v>#VALUE!</v>
      </c>
      <c r="B20547" s="0" t="s">
        <v>20373</v>
      </c>
    </row>
    <row r="20548" customFormat="false" ht="15" hidden="false" customHeight="false" outlineLevel="0" collapsed="false">
      <c r="A20548" s="0" t="n">
        <f aca="false">CONVERT(1E-308,"ym","Ym")</f>
        <v>0</v>
      </c>
      <c r="B20548" s="0" t="s">
        <v>20374</v>
      </c>
    </row>
    <row r="20549" customFormat="false" ht="15" hidden="false" customHeight="false" outlineLevel="0" collapsed="false">
      <c r="A20549" s="0" t="e">
        <f aca="false">CONVERT(1,5,"m")</f>
        <v>#VALUE!</v>
      </c>
      <c r="B20549" s="0" t="s">
        <v>20375</v>
      </c>
    </row>
    <row r="20550" customFormat="false" ht="15" hidden="false" customHeight="false" outlineLevel="0" collapsed="false">
      <c r="A20550" s="0" t="n">
        <f aca="false">CONVERT("1","m","km")</f>
        <v>0.001</v>
      </c>
      <c r="B20550" s="0" t="s">
        <v>20376</v>
      </c>
    </row>
    <row r="20551" customFormat="false" ht="15" hidden="false" customHeight="false" outlineLevel="0" collapsed="false">
      <c r="A20551" s="0" t="e">
        <f aca="false">CONVERT("a","m","km")</f>
        <v>#VALUE!</v>
      </c>
      <c r="B20551" s="0" t="s">
        <v>20377</v>
      </c>
    </row>
    <row r="20552" customFormat="false" ht="15" hidden="false" customHeight="false" outlineLevel="0" collapsed="false">
      <c r="A20552" s="0" t="n">
        <f aca="false">CONVERT(TRUE(),"m","km")</f>
        <v>0.001</v>
      </c>
      <c r="B20552" s="0" t="s">
        <v>20378</v>
      </c>
    </row>
    <row r="20553" customFormat="false" ht="15" hidden="false" customHeight="false" outlineLevel="0" collapsed="false">
      <c r="A20553" s="0" t="n">
        <f aca="false">CONVERT(-40,"C","F")</f>
        <v>-40</v>
      </c>
      <c r="B20553" s="0" t="s">
        <v>20379</v>
      </c>
    </row>
    <row r="20554" customFormat="false" ht="15" hidden="false" customHeight="false" outlineLevel="0" collapsed="false">
      <c r="A20554" s="0" t="n">
        <f aca="false">CONVERT(-273.15,"C","K")</f>
        <v>0</v>
      </c>
      <c r="B20554" s="0" t="s">
        <v>20380</v>
      </c>
    </row>
    <row r="20555" customFormat="false" ht="15" hidden="false" customHeight="false" outlineLevel="0" collapsed="false">
      <c r="A20555" s="0" t="n">
        <f aca="false">CONVERT(1,"Rank","K")</f>
        <v>0.555555555555556</v>
      </c>
      <c r="B20555" s="0" t="s">
        <v>20381</v>
      </c>
    </row>
    <row r="20556" customFormat="false" ht="15" hidden="false" customHeight="false" outlineLevel="0" collapsed="false">
      <c r="A20556" s="0" t="n">
        <f aca="false">CONVERT(1,"Reau","C")</f>
        <v>1.25</v>
      </c>
      <c r="B20556" s="0" t="s">
        <v>20382</v>
      </c>
    </row>
    <row r="20557" customFormat="false" ht="15" hidden="false" customHeight="false" outlineLevel="0" collapsed="false">
      <c r="A20557" s="0" t="e">
        <f aca="false">CONVERT(1,"kC","C")</f>
        <v>#VALUE!</v>
      </c>
      <c r="B20557" s="0" t="s">
        <v>20383</v>
      </c>
    </row>
    <row r="20558" customFormat="false" ht="15" hidden="false" customHeight="false" outlineLevel="0" collapsed="false">
      <c r="A20558" s="0" t="n">
        <f aca="false">CONVERT(1,"mK","K")</f>
        <v>0.001</v>
      </c>
      <c r="B20558" s="0" t="s">
        <v>20384</v>
      </c>
    </row>
    <row r="20559" customFormat="false" ht="15" hidden="false" customHeight="false" outlineLevel="0" collapsed="false">
      <c r="A20559" s="0" t="n">
        <f aca="false">CONVERT(1,"cel","kel")</f>
        <v>274.15</v>
      </c>
      <c r="B20559" s="0" t="s">
        <v>20385</v>
      </c>
    </row>
    <row r="20560" customFormat="false" ht="15" hidden="false" customHeight="false" outlineLevel="0" collapsed="false">
      <c r="A20560" s="0" t="n">
        <f aca="false">CONVERT(1,"g","g")</f>
        <v>1</v>
      </c>
      <c r="B20560" s="0" t="s">
        <v>20386</v>
      </c>
    </row>
    <row r="20561" customFormat="false" ht="15" hidden="false" customHeight="false" outlineLevel="0" collapsed="false">
      <c r="A20561" s="0" t="e">
        <f aca="false">CONVERT(1,"hh","h")</f>
        <v>#VALUE!</v>
      </c>
      <c r="B20561" s="0" t="s">
        <v>20387</v>
      </c>
    </row>
    <row r="20562" customFormat="false" ht="15" hidden="false" customHeight="false" outlineLevel="0" collapsed="false">
      <c r="A20562" s="0" t="n">
        <f aca="false">CONVERT(1,"e","c")</f>
        <v>2.39006249473467E-008</v>
      </c>
      <c r="B20562" s="0" t="s">
        <v>20388</v>
      </c>
    </row>
    <row r="20563" customFormat="false" ht="15" hidden="false" customHeight="false" outlineLevel="0" collapsed="false">
      <c r="A20563" s="0" t="n">
        <f aca="false">CONVERT(1,"c","e")</f>
        <v>41839910.1363671</v>
      </c>
      <c r="B20563" s="0" t="s">
        <v>20389</v>
      </c>
    </row>
    <row r="20564" customFormat="false" ht="15" hidden="false" customHeight="false" outlineLevel="0" collapsed="false">
      <c r="A20564" s="0" t="n">
        <f aca="false">CONVERT(35.39,"lbm","ug")</f>
        <v>16052631842.0104</v>
      </c>
      <c r="B20564" s="0" t="s">
        <v>20390</v>
      </c>
    </row>
    <row r="20565" customFormat="false" ht="15" hidden="false" customHeight="false" outlineLevel="0" collapsed="false">
      <c r="A20565" s="0" t="n">
        <f aca="false">CONVERT(-13.676,"grain","u")</f>
        <v>-5.33675637504568E+023</v>
      </c>
      <c r="B20565" s="0" t="s">
        <v>20391</v>
      </c>
    </row>
    <row r="20566" customFormat="false" ht="15" hidden="false" customHeight="false" outlineLevel="0" collapsed="false">
      <c r="A20566" s="0" t="n">
        <f aca="false">CONVERT(493.3,"Gg","uk_ton")</f>
        <v>485509.080070536</v>
      </c>
      <c r="B20566" s="0" t="s">
        <v>20392</v>
      </c>
    </row>
    <row r="20567" customFormat="false" ht="15" hidden="false" customHeight="false" outlineLevel="0" collapsed="false">
      <c r="A20567" s="0" t="n">
        <f aca="false">CONVERT(354.6,"brton","Gg")</f>
        <v>0.360290243968111</v>
      </c>
      <c r="B20567" s="0" t="s">
        <v>20393</v>
      </c>
    </row>
    <row r="20568" customFormat="false" ht="15" hidden="false" customHeight="false" outlineLevel="0" collapsed="false">
      <c r="A20568" s="0" t="n">
        <f aca="false">CONVERT(330.7,"ug","lbm")</f>
        <v>7.29068797888426E-007</v>
      </c>
      <c r="B20568" s="0" t="s">
        <v>20394</v>
      </c>
    </row>
    <row r="20569" customFormat="false" ht="15" hidden="false" customHeight="false" outlineLevel="0" collapsed="false">
      <c r="A20569" s="0" t="n">
        <f aca="false">CONVERT(169,"sg","ton")</f>
        <v>2.71869506218014</v>
      </c>
      <c r="B20569" s="0" t="s">
        <v>20395</v>
      </c>
    </row>
    <row r="20570" customFormat="false" ht="15" hidden="false" customHeight="false" outlineLevel="0" collapsed="false">
      <c r="A20570" s="0" t="n">
        <f aca="false">CONVERT(-9.8,"hweight","uk_ton")</f>
        <v>-0.490000013746526</v>
      </c>
      <c r="B20570" s="0" t="s">
        <v>20396</v>
      </c>
    </row>
    <row r="20571" customFormat="false" ht="15" hidden="false" customHeight="false" outlineLevel="0" collapsed="false">
      <c r="A20571" s="0" t="n">
        <f aca="false">CONVERT(346,"uk_cwt","stone")</f>
        <v>2767.9992192417</v>
      </c>
      <c r="B20571" s="0" t="s">
        <v>20397</v>
      </c>
    </row>
    <row r="20572" customFormat="false" ht="15" hidden="false" customHeight="false" outlineLevel="0" collapsed="false">
      <c r="A20572" s="0" t="n">
        <f aca="false">CONVERT(75,"cwt","kg")</f>
        <v>3401.942775</v>
      </c>
      <c r="B20572" s="0" t="s">
        <v>20398</v>
      </c>
    </row>
    <row r="20573" customFormat="false" ht="15" hidden="false" customHeight="false" outlineLevel="0" collapsed="false">
      <c r="A20573" s="0" t="n">
        <f aca="false">CONVERT(179,"sg","pweight")</f>
        <v>1842921.75715911</v>
      </c>
      <c r="B20573" s="0" t="s">
        <v>20399</v>
      </c>
    </row>
    <row r="20574" customFormat="false" ht="15" hidden="false" customHeight="false" outlineLevel="0" collapsed="false">
      <c r="A20574" s="0" t="n">
        <f aca="false">CONVERT(-48.906,"brton","pweight")</f>
        <v>-35055819.8459368</v>
      </c>
      <c r="B20574" s="0" t="s">
        <v>20400</v>
      </c>
    </row>
    <row r="20575" customFormat="false" ht="15" hidden="false" customHeight="false" outlineLevel="0" collapsed="false">
      <c r="A20575" s="0" t="n">
        <f aca="false">CONVERT(74,"ozm","sg")</f>
        <v>0.1437499505044</v>
      </c>
      <c r="B20575" s="0" t="s">
        <v>20401</v>
      </c>
    </row>
    <row r="20576" customFormat="false" ht="15" hidden="false" customHeight="false" outlineLevel="0" collapsed="false">
      <c r="A20576" s="0" t="n">
        <f aca="false">CONVERT(-17.124,"hweight","pweight")</f>
        <v>-613724.143297164</v>
      </c>
      <c r="B20576" s="0" t="s">
        <v>20402</v>
      </c>
    </row>
    <row r="20577" customFormat="false" ht="15" hidden="false" customHeight="false" outlineLevel="0" collapsed="false">
      <c r="A20577" s="0" t="n">
        <f aca="false">CONVERT(-37.248,"kg","sg")</f>
        <v>-2.55230931859919</v>
      </c>
      <c r="B20577" s="0" t="s">
        <v>20403</v>
      </c>
    </row>
    <row r="20578" customFormat="false" ht="15" hidden="false" customHeight="false" outlineLevel="0" collapsed="false">
      <c r="A20578" s="0" t="n">
        <f aca="false">CONVERT(255.984,"ton","uk_cwt")</f>
        <v>4571.14414650656</v>
      </c>
      <c r="B20578" s="0" t="s">
        <v>20404</v>
      </c>
    </row>
    <row r="20579" customFormat="false" ht="15" hidden="false" customHeight="false" outlineLevel="0" collapsed="false">
      <c r="A20579" s="0" t="n">
        <f aca="false">CONVERT(-22,"Gg","Gg")</f>
        <v>-22</v>
      </c>
      <c r="B20579" s="0" t="s">
        <v>20405</v>
      </c>
    </row>
    <row r="20580" customFormat="false" ht="15" hidden="false" customHeight="false" outlineLevel="0" collapsed="false">
      <c r="A20580" s="0" t="n">
        <f aca="false">CONVERT(68,"uk_ton","hweight")</f>
        <v>1359.99996184638</v>
      </c>
      <c r="B20580" s="0" t="s">
        <v>20406</v>
      </c>
    </row>
    <row r="20581" customFormat="false" ht="15" hidden="false" customHeight="false" outlineLevel="0" collapsed="false">
      <c r="A20581" s="0" t="n">
        <f aca="false">CONVERT(5,"kg","shweight")</f>
        <v>0.11023115</v>
      </c>
      <c r="B20581" s="0" t="s">
        <v>20407</v>
      </c>
    </row>
    <row r="20582" customFormat="false" ht="15" hidden="false" customHeight="false" outlineLevel="0" collapsed="false">
      <c r="A20582" s="0" t="n">
        <f aca="false">CONVERT(70,"LTON","ug")</f>
        <v>71123283616000</v>
      </c>
      <c r="B20582" s="0" t="s">
        <v>20408</v>
      </c>
    </row>
    <row r="20583" customFormat="false" ht="15" hidden="false" customHeight="false" outlineLevel="0" collapsed="false">
      <c r="A20583" s="0" t="n">
        <f aca="false">CONVERT(56,"u","lbm")</f>
        <v>2.05008426780585E-025</v>
      </c>
      <c r="B20583" s="0" t="s">
        <v>20409</v>
      </c>
    </row>
    <row r="20584" customFormat="false" ht="15" hidden="false" customHeight="false" outlineLevel="0" collapsed="false">
      <c r="A20584" s="0" t="n">
        <f aca="false">CONVERT(355,"lcwt","Gg")</f>
        <v>0.0180348326312</v>
      </c>
      <c r="B20584" s="0" t="s">
        <v>20410</v>
      </c>
    </row>
    <row r="20585" customFormat="false" ht="15" hidden="false" customHeight="false" outlineLevel="0" collapsed="false">
      <c r="A20585" s="0" t="n">
        <f aca="false">CONVERT(71.4,"ozm","hweight")</f>
        <v>0.0398437377552575</v>
      </c>
      <c r="B20585" s="0" t="s">
        <v>20411</v>
      </c>
    </row>
    <row r="20586" customFormat="false" ht="15" hidden="false" customHeight="false" outlineLevel="0" collapsed="false">
      <c r="A20586" s="0" t="n">
        <f aca="false">CONVERT(162.5,"pweight","ton")</f>
        <v>0.000253906192415028</v>
      </c>
      <c r="B20586" s="0" t="s">
        <v>20412</v>
      </c>
    </row>
    <row r="20587" customFormat="false" ht="15" hidden="false" customHeight="false" outlineLevel="0" collapsed="false">
      <c r="A20587" s="0" t="n">
        <f aca="false">CONVERT(297.2,"ozm","ton")</f>
        <v>0.00928749478664128</v>
      </c>
      <c r="B20587" s="0" t="s">
        <v>20413</v>
      </c>
    </row>
    <row r="20588" customFormat="false" ht="15" hidden="false" customHeight="false" outlineLevel="0" collapsed="false">
      <c r="A20588" s="0" t="n">
        <f aca="false">CONVERT(267,"lbm","brton")</f>
        <v>0.11919640939448</v>
      </c>
      <c r="B20588" s="0" t="s">
        <v>20414</v>
      </c>
    </row>
    <row r="20589" customFormat="false" ht="15" hidden="false" customHeight="false" outlineLevel="0" collapsed="false">
      <c r="A20589" s="0" t="n">
        <f aca="false">CONVERT(193,"ton","cwt")</f>
        <v>3860.00108877453</v>
      </c>
      <c r="B20589" s="0" t="s">
        <v>20415</v>
      </c>
    </row>
    <row r="20590" customFormat="false" ht="15" hidden="false" customHeight="false" outlineLevel="0" collapsed="false">
      <c r="A20590" s="0" t="n">
        <f aca="false">CONVERT(-14.1,"mg","brton")</f>
        <v>-1.387731165E-008</v>
      </c>
      <c r="B20590" s="0" t="s">
        <v>20416</v>
      </c>
    </row>
    <row r="20591" customFormat="false" ht="15" hidden="false" customHeight="false" outlineLevel="0" collapsed="false">
      <c r="A20591" s="0" t="n">
        <f aca="false">CONVERT(269.3,"cwt","ug")</f>
        <v>12215242524100</v>
      </c>
      <c r="B20591" s="0" t="s">
        <v>20417</v>
      </c>
    </row>
    <row r="20592" customFormat="false" ht="15" hidden="false" customHeight="false" outlineLevel="0" collapsed="false">
      <c r="A20592" s="0" t="n">
        <f aca="false">CONVERT(175.1,"sg","brton")</f>
        <v>2.51502338497681</v>
      </c>
      <c r="B20592" s="0" t="s">
        <v>20418</v>
      </c>
    </row>
    <row r="20593" customFormat="false" ht="15" hidden="false" customHeight="false" outlineLevel="0" collapsed="false">
      <c r="A20593" s="0" t="n">
        <f aca="false">CONVERT(216.036,"u","u")</f>
        <v>216.036</v>
      </c>
      <c r="B20593" s="0" t="s">
        <v>20419</v>
      </c>
    </row>
    <row r="20594" customFormat="false" ht="15" hidden="false" customHeight="false" outlineLevel="0" collapsed="false">
      <c r="A20594" s="0" t="n">
        <f aca="false">CONVERT(339.392,"ton","lbm")</f>
        <v>678784.281625533</v>
      </c>
      <c r="B20594" s="0" t="s">
        <v>20420</v>
      </c>
    </row>
    <row r="20595" customFormat="false" ht="15" hidden="false" customHeight="false" outlineLevel="0" collapsed="false">
      <c r="A20595" s="0" t="n">
        <f aca="false">CONVERT(387.903,"pweight","hweight")</f>
        <v>0.0108231866784875</v>
      </c>
      <c r="B20595" s="0" t="s">
        <v>20421</v>
      </c>
    </row>
    <row r="20596" customFormat="false" ht="15" hidden="false" customHeight="false" outlineLevel="0" collapsed="false">
      <c r="A20596" s="0" t="n">
        <f aca="false">CONVERT(85.733,"uk_cwt","Gg")</f>
        <v>0.00435543748160752</v>
      </c>
      <c r="B20596" s="0" t="s">
        <v>20422</v>
      </c>
    </row>
    <row r="20597" customFormat="false" ht="15" hidden="false" customHeight="false" outlineLevel="0" collapsed="false">
      <c r="A20597" s="0" t="n">
        <f aca="false">CONVERT(403,"ton","lbm")</f>
        <v>806000.334407087</v>
      </c>
      <c r="B20597" s="0" t="s">
        <v>20423</v>
      </c>
    </row>
    <row r="20598" customFormat="false" ht="15" hidden="false" customHeight="false" outlineLevel="0" collapsed="false">
      <c r="A20598" s="0" t="n">
        <f aca="false">CONVERT(123,"ug","lcwt")</f>
        <v>2.42114805792321E-009</v>
      </c>
      <c r="B20598" s="0" t="s">
        <v>20424</v>
      </c>
    </row>
    <row r="20599" customFormat="false" ht="15" hidden="false" customHeight="false" outlineLevel="0" collapsed="false">
      <c r="A20599" s="0" t="n">
        <f aca="false">CONVERT(93,"brton","lbm")</f>
        <v>208320.033515624</v>
      </c>
      <c r="B20599" s="0" t="s">
        <v>20425</v>
      </c>
    </row>
    <row r="20600" customFormat="false" ht="15" hidden="false" customHeight="false" outlineLevel="0" collapsed="false">
      <c r="A20600" s="0" t="n">
        <f aca="false">CONVERT(330,"cwt","mg")</f>
        <v>14968548210</v>
      </c>
      <c r="B20600" s="0" t="s">
        <v>20426</v>
      </c>
    </row>
    <row r="20601" customFormat="false" ht="15" hidden="false" customHeight="false" outlineLevel="0" collapsed="false">
      <c r="A20601" s="0" t="n">
        <f aca="false">CONVERT(85.1,"g","stone")</f>
        <v>0.0134009523</v>
      </c>
      <c r="B20601" s="0" t="s">
        <v>20427</v>
      </c>
    </row>
    <row r="20602" customFormat="false" ht="15" hidden="false" customHeight="false" outlineLevel="0" collapsed="false">
      <c r="A20602" s="0" t="n">
        <f aca="false">CONVERT(333,"u","u")</f>
        <v>333</v>
      </c>
      <c r="B20602" s="0" t="s">
        <v>20428</v>
      </c>
    </row>
    <row r="20603" customFormat="false" ht="15" hidden="false" customHeight="false" outlineLevel="0" collapsed="false">
      <c r="A20603" s="0" t="n">
        <f aca="false">CONVERT(246.3,"uk_cwt","pweight")</f>
        <v>8827391.51211291</v>
      </c>
      <c r="B20603" s="0" t="s">
        <v>20429</v>
      </c>
    </row>
    <row r="20604" customFormat="false" ht="15" hidden="false" customHeight="false" outlineLevel="0" collapsed="false">
      <c r="A20604" s="0" t="n">
        <f aca="false">CONVERT(338.5,"dam","ang")</f>
        <v>33850000000000</v>
      </c>
      <c r="B20604" s="0" t="s">
        <v>20430</v>
      </c>
    </row>
    <row r="20605" customFormat="false" ht="15" hidden="false" customHeight="false" outlineLevel="0" collapsed="false">
      <c r="A20605" s="0" t="n">
        <f aca="false">CONVERT(20,"ang","survey_mi")</f>
        <v>1.2427398989899E-012</v>
      </c>
      <c r="B20605" s="0" t="s">
        <v>20431</v>
      </c>
    </row>
    <row r="20606" customFormat="false" ht="15" hidden="false" customHeight="false" outlineLevel="0" collapsed="false">
      <c r="A20606" s="0" t="n">
        <f aca="false">CONVERT(373.45,"dam","ft")</f>
        <v>12252.2965879265</v>
      </c>
      <c r="B20606" s="0" t="s">
        <v>20432</v>
      </c>
    </row>
    <row r="20607" customFormat="false" ht="15" hidden="false" customHeight="false" outlineLevel="0" collapsed="false">
      <c r="A20607" s="0" t="n">
        <f aca="false">CONVERT(64.372,"survey_mi","hm")</f>
        <v>1035.96899161798</v>
      </c>
      <c r="B20607" s="0" t="s">
        <v>20433</v>
      </c>
    </row>
    <row r="20608" customFormat="false" ht="15" hidden="false" customHeight="false" outlineLevel="0" collapsed="false">
      <c r="A20608" s="0" t="n">
        <f aca="false">CONVERT(28.1,"ang","mm")</f>
        <v>2.81E-006</v>
      </c>
      <c r="B20608" s="0" t="s">
        <v>20434</v>
      </c>
    </row>
    <row r="20609" customFormat="false" ht="15" hidden="false" customHeight="false" outlineLevel="0" collapsed="false">
      <c r="A20609" s="0" t="n">
        <f aca="false">CONVERT(280,"m","Nmi")</f>
        <v>0.151187904967603</v>
      </c>
      <c r="B20609" s="0" t="s">
        <v>20435</v>
      </c>
    </row>
    <row r="20610" customFormat="false" ht="15" hidden="false" customHeight="false" outlineLevel="0" collapsed="false">
      <c r="A20610" s="0" t="n">
        <f aca="false">CONVERT(24,"um","ell")</f>
        <v>2.09973744E-005</v>
      </c>
      <c r="B20610" s="0" t="s">
        <v>20436</v>
      </c>
    </row>
    <row r="20611" customFormat="false" ht="15" hidden="false" customHeight="false" outlineLevel="0" collapsed="false">
      <c r="A20611" s="0" t="n">
        <f aca="false">CONVERT(446.172,"pc","m")</f>
        <v>1.37674306085049E+019</v>
      </c>
      <c r="B20611" s="0" t="s">
        <v>20437</v>
      </c>
    </row>
    <row r="20612" customFormat="false" ht="15" hidden="false" customHeight="false" outlineLevel="0" collapsed="false">
      <c r="A20612" s="0" t="n">
        <f aca="false">CONVERT(134.662,"in","ell")</f>
        <v>2.99248875662088</v>
      </c>
      <c r="B20612" s="0" t="s">
        <v>20438</v>
      </c>
    </row>
    <row r="20613" customFormat="false" ht="15" hidden="false" customHeight="false" outlineLevel="0" collapsed="false">
      <c r="A20613" s="0" t="n">
        <f aca="false">CONVERT(-1,"km","lightyear")</f>
        <v>-1.05702345577329E-013</v>
      </c>
      <c r="B20613" s="0" t="s">
        <v>20439</v>
      </c>
    </row>
    <row r="20614" customFormat="false" ht="15" hidden="false" customHeight="false" outlineLevel="0" collapsed="false">
      <c r="A20614" s="0" t="n">
        <f aca="false">CONVERT(356,"parsec","ly")</f>
        <v>1161.14165839538</v>
      </c>
      <c r="B20614" s="0" t="s">
        <v>20440</v>
      </c>
    </row>
    <row r="20615" customFormat="false" ht="15" hidden="false" customHeight="false" outlineLevel="0" collapsed="false">
      <c r="A20615" s="0" t="n">
        <f aca="false">CONVERT(408,"ell","ft")</f>
        <v>1530.000067626</v>
      </c>
      <c r="B20615" s="0" t="s">
        <v>20441</v>
      </c>
    </row>
    <row r="20616" customFormat="false" ht="15" hidden="false" customHeight="false" outlineLevel="0" collapsed="false">
      <c r="A20616" s="0" t="n">
        <f aca="false">CONVERT(422,"lightyear","Nmi")</f>
        <v>2155692665226780</v>
      </c>
      <c r="B20616" s="0" t="s">
        <v>20442</v>
      </c>
    </row>
    <row r="20617" customFormat="false" ht="15" hidden="false" customHeight="false" outlineLevel="0" collapsed="false">
      <c r="A20617" s="0" t="n">
        <f aca="false">CONVERT(62.4,"km","Mpc")</f>
        <v>2.022246096E-018</v>
      </c>
      <c r="B20617" s="0" t="s">
        <v>20443</v>
      </c>
    </row>
    <row r="20618" customFormat="false" ht="15" hidden="false" customHeight="false" outlineLevel="0" collapsed="false">
      <c r="A20618" s="0" t="n">
        <f aca="false">CONVERT(239.221,"yd","cm")</f>
        <v>21874.36824</v>
      </c>
      <c r="B20618" s="0" t="s">
        <v>20444</v>
      </c>
    </row>
    <row r="20619" customFormat="false" ht="15" hidden="false" customHeight="false" outlineLevel="0" collapsed="false">
      <c r="A20619" s="0" t="n">
        <f aca="false">CONVERT(81.2,"ell","ell")</f>
        <v>81.2</v>
      </c>
      <c r="B20619" s="0" t="s">
        <v>20445</v>
      </c>
    </row>
    <row r="20620" customFormat="false" ht="15" hidden="false" customHeight="false" outlineLevel="0" collapsed="false">
      <c r="A20620" s="0" t="n">
        <f aca="false">CONVERT(-25,"m","parsec")</f>
        <v>-8.1019475E-016</v>
      </c>
      <c r="B20620" s="0" t="s">
        <v>20446</v>
      </c>
    </row>
    <row r="20621" customFormat="false" ht="15" hidden="false" customHeight="false" outlineLevel="0" collapsed="false">
      <c r="A20621" s="0" t="n">
        <f aca="false">CONVERT(288,"mm","cm")</f>
        <v>28.8</v>
      </c>
      <c r="B20621" s="0" t="s">
        <v>20447</v>
      </c>
    </row>
    <row r="20622" customFormat="false" ht="15" hidden="false" customHeight="false" outlineLevel="0" collapsed="false">
      <c r="A20622" s="0" t="n">
        <f aca="false">CONVERT(334,"ly","survey_mi")</f>
        <v>1963414927055560</v>
      </c>
      <c r="B20622" s="0" t="s">
        <v>20448</v>
      </c>
    </row>
    <row r="20623" customFormat="false" ht="15" hidden="false" customHeight="false" outlineLevel="0" collapsed="false">
      <c r="A20623" s="0" t="n">
        <f aca="false">CONVERT(21,"Nmi","cm")</f>
        <v>3889200</v>
      </c>
      <c r="B20623" s="0" t="s">
        <v>20449</v>
      </c>
    </row>
    <row r="20624" customFormat="false" ht="15" hidden="false" customHeight="false" outlineLevel="0" collapsed="false">
      <c r="A20624" s="0" t="n">
        <f aca="false">CONVERT(263,"pc","Pica")</f>
        <v>2.30040928746953E+022</v>
      </c>
      <c r="B20624" s="0" t="s">
        <v>20450</v>
      </c>
    </row>
    <row r="20625" customFormat="false" ht="15" hidden="false" customHeight="false" outlineLevel="0" collapsed="false">
      <c r="A20625" s="0" t="n">
        <f aca="false">CONVERT(251.4,"mi","ang")</f>
        <v>4045890816000000</v>
      </c>
      <c r="B20625" s="0" t="s">
        <v>20451</v>
      </c>
    </row>
    <row r="20626" customFormat="false" ht="15" hidden="false" customHeight="false" outlineLevel="0" collapsed="false">
      <c r="A20626" s="0" t="n">
        <f aca="false">CONVERT(-9.479,"dam","pica")</f>
        <v>-22391.3385826824</v>
      </c>
      <c r="B20626" s="0" t="s">
        <v>20452</v>
      </c>
    </row>
    <row r="20627" customFormat="false" ht="15" hidden="false" customHeight="false" outlineLevel="0" collapsed="false">
      <c r="A20627" s="0" t="n">
        <f aca="false">CONVERT(360,"Nmi","mi")</f>
        <v>414.280601288475</v>
      </c>
      <c r="B20627" s="0" t="s">
        <v>20453</v>
      </c>
    </row>
    <row r="20628" customFormat="false" ht="15" hidden="false" customHeight="false" outlineLevel="0" collapsed="false">
      <c r="A20628" s="0" t="n">
        <f aca="false">CONVERT(335.2,"pc","m")</f>
        <v>1.03431921769426E+019</v>
      </c>
      <c r="B20628" s="0" t="s">
        <v>20454</v>
      </c>
    </row>
    <row r="20629" customFormat="false" ht="15" hidden="false" customHeight="false" outlineLevel="0" collapsed="false">
      <c r="A20629" s="0" t="n">
        <f aca="false">CONVERT(24.1,"survey_mi","um")</f>
        <v>38785267970.536</v>
      </c>
      <c r="B20629" s="0" t="s">
        <v>20455</v>
      </c>
    </row>
    <row r="20630" customFormat="false" ht="15" hidden="false" customHeight="false" outlineLevel="0" collapsed="false">
      <c r="A20630" s="0" t="n">
        <f aca="false">CONVERT(53.484,"cm","parsec")</f>
        <v>1.73329824036E-017</v>
      </c>
      <c r="B20630" s="0" t="s">
        <v>20456</v>
      </c>
    </row>
    <row r="20631" customFormat="false" ht="15" hidden="false" customHeight="false" outlineLevel="0" collapsed="false">
      <c r="A20631" s="0" t="n">
        <f aca="false">CONVERT(219,"hm","ell")</f>
        <v>19160.10414</v>
      </c>
      <c r="B20631" s="0" t="s">
        <v>20457</v>
      </c>
    </row>
    <row r="20632" customFormat="false" ht="15" hidden="false" customHeight="false" outlineLevel="0" collapsed="false">
      <c r="A20632" s="0" t="n">
        <f aca="false">CONVERT(224.5,"survey_mi","Pica")</f>
        <v>1024153088.30618</v>
      </c>
      <c r="B20632" s="0" t="s">
        <v>20458</v>
      </c>
    </row>
    <row r="20633" customFormat="false" ht="15" hidden="false" customHeight="false" outlineLevel="0" collapsed="false">
      <c r="A20633" s="0" t="n">
        <f aca="false">CONVERT(407,"mm","lightyear")</f>
        <v>4.3020854649973E-017</v>
      </c>
      <c r="B20633" s="0" t="s">
        <v>20459</v>
      </c>
    </row>
    <row r="20634" customFormat="false" ht="15" hidden="false" customHeight="false" outlineLevel="0" collapsed="false">
      <c r="A20634" s="0" t="n">
        <f aca="false">CONVERT(122,"ell","Pica")</f>
        <v>395280.017471377</v>
      </c>
      <c r="B20634" s="0" t="s">
        <v>20460</v>
      </c>
    </row>
    <row r="20635" customFormat="false" ht="15" hidden="false" customHeight="false" outlineLevel="0" collapsed="false">
      <c r="A20635" s="0" t="n">
        <f aca="false">CONVERT(407.6,"hm","ly")</f>
        <v>4.30842760573194E-012</v>
      </c>
      <c r="B20635" s="0" t="s">
        <v>20461</v>
      </c>
    </row>
    <row r="20636" customFormat="false" ht="15" hidden="false" customHeight="false" outlineLevel="0" collapsed="false">
      <c r="A20636" s="0" t="n">
        <f aca="false">CONVERT(18.2,"survey_mi","mi")</f>
        <v>18.2000364000728</v>
      </c>
      <c r="B20636" s="0" t="s">
        <v>20462</v>
      </c>
    </row>
    <row r="20637" customFormat="false" ht="15" hidden="false" customHeight="false" outlineLevel="0" collapsed="false">
      <c r="A20637" s="0" t="n">
        <f aca="false">CONVERT(463,"hm","Mpc")</f>
        <v>1.500480677E-018</v>
      </c>
      <c r="B20637" s="0" t="s">
        <v>20463</v>
      </c>
    </row>
    <row r="20638" customFormat="false" ht="15" hidden="false" customHeight="false" outlineLevel="0" collapsed="false">
      <c r="A20638" s="0" t="n">
        <f aca="false">CONVERT(458,"pc","lightyear")</f>
        <v>1493.82831332889</v>
      </c>
      <c r="B20638" s="0" t="s">
        <v>20464</v>
      </c>
    </row>
    <row r="20639" customFormat="false" ht="15" hidden="false" customHeight="false" outlineLevel="0" collapsed="false">
      <c r="A20639" s="0" t="n">
        <f aca="false">CONVERT(485.744,"Pica","um")</f>
        <v>171359.688888889</v>
      </c>
      <c r="B20639" s="0" t="s">
        <v>20465</v>
      </c>
    </row>
    <row r="20640" customFormat="false" ht="15" hidden="false" customHeight="false" outlineLevel="0" collapsed="false">
      <c r="A20640" s="0" t="n">
        <f aca="false">CONVERT(272.4,"mi","cm")</f>
        <v>43838530.56</v>
      </c>
      <c r="B20640" s="0" t="s">
        <v>20466</v>
      </c>
    </row>
    <row r="20641" customFormat="false" ht="15" hidden="false" customHeight="false" outlineLevel="0" collapsed="false">
      <c r="A20641" s="0" t="n">
        <f aca="false">CONVERT(279.7,"parsec","mi")</f>
        <v>5362831666978288</v>
      </c>
      <c r="B20641" s="0" t="s">
        <v>20467</v>
      </c>
    </row>
    <row r="20642" customFormat="false" ht="15" hidden="false" customHeight="false" outlineLevel="0" collapsed="false">
      <c r="A20642" s="0" t="n">
        <f aca="false">CONVERT(212,"pc","yd")</f>
        <v>7.1540212784517E+018</v>
      </c>
      <c r="B20642" s="0" t="s">
        <v>20468</v>
      </c>
    </row>
    <row r="20643" customFormat="false" ht="15" hidden="false" customHeight="false" outlineLevel="0" collapsed="false">
      <c r="A20643" s="0" t="n">
        <f aca="false">CONVERT(68.464,"lightyear","Pica")</f>
        <v>1.83601584281197E+021</v>
      </c>
      <c r="B20643" s="0" t="s">
        <v>20469</v>
      </c>
    </row>
    <row r="20644" customFormat="false" ht="15" hidden="false" customHeight="false" outlineLevel="0" collapsed="false">
      <c r="A20644" s="0" t="n">
        <f aca="false">CONVERT(232,"sec","ms")</f>
        <v>232000</v>
      </c>
      <c r="B20644" s="0" t="s">
        <v>20470</v>
      </c>
    </row>
    <row r="20645" customFormat="false" ht="15" hidden="false" customHeight="false" outlineLevel="0" collapsed="false">
      <c r="A20645" s="0" t="n">
        <f aca="false">CONVERT(320,"ms","ks")</f>
        <v>0.00032</v>
      </c>
      <c r="B20645" s="0" t="s">
        <v>20471</v>
      </c>
    </row>
    <row r="20646" customFormat="false" ht="15" hidden="false" customHeight="false" outlineLevel="0" collapsed="false">
      <c r="A20646" s="0" t="n">
        <f aca="false">CONVERT(124.9,"sec","mn")</f>
        <v>2.08166666666667</v>
      </c>
      <c r="B20646" s="0" t="s">
        <v>20472</v>
      </c>
    </row>
    <row r="20647" customFormat="false" ht="15" hidden="false" customHeight="false" outlineLevel="0" collapsed="false">
      <c r="A20647" s="0" t="n">
        <f aca="false">CONVERT(332,"min","mn")</f>
        <v>332</v>
      </c>
      <c r="B20647" s="0" t="s">
        <v>20473</v>
      </c>
    </row>
    <row r="20648" customFormat="false" ht="15" hidden="false" customHeight="false" outlineLevel="0" collapsed="false">
      <c r="A20648" s="0" t="n">
        <f aca="false">CONVERT(85.223,"mn","us")</f>
        <v>5113380000</v>
      </c>
      <c r="B20648" s="0" t="s">
        <v>20474</v>
      </c>
    </row>
    <row r="20649" customFormat="false" ht="15" hidden="false" customHeight="false" outlineLevel="0" collapsed="false">
      <c r="A20649" s="0" t="n">
        <f aca="false">CONVERT(266.1,"us","hr")</f>
        <v>7.39166666666667E-008</v>
      </c>
      <c r="B20649" s="0" t="s">
        <v>20475</v>
      </c>
    </row>
    <row r="20650" customFormat="false" ht="15" hidden="false" customHeight="false" outlineLevel="0" collapsed="false">
      <c r="A20650" s="0" t="n">
        <f aca="false">CONVERT(398.5,"us","ks")</f>
        <v>3.985E-007</v>
      </c>
      <c r="B20650" s="0" t="s">
        <v>20476</v>
      </c>
    </row>
    <row r="20651" customFormat="false" ht="15" hidden="false" customHeight="false" outlineLevel="0" collapsed="false">
      <c r="A20651" s="0" t="n">
        <f aca="false">CONVERT(404.1,"s","s")</f>
        <v>404.1</v>
      </c>
      <c r="B20651" s="0" t="s">
        <v>20477</v>
      </c>
    </row>
    <row r="20652" customFormat="false" ht="15" hidden="false" customHeight="false" outlineLevel="0" collapsed="false">
      <c r="A20652" s="0" t="n">
        <f aca="false">CONVERT(64.715,"ms","day")</f>
        <v>7.49016203703704E-007</v>
      </c>
      <c r="B20652" s="0" t="s">
        <v>20478</v>
      </c>
    </row>
    <row r="20653" customFormat="false" ht="15" hidden="false" customHeight="false" outlineLevel="0" collapsed="false">
      <c r="A20653" s="0" t="n">
        <f aca="false">CONVERT(25.8,"hr","s")</f>
        <v>92880</v>
      </c>
      <c r="B20653" s="0" t="s">
        <v>20479</v>
      </c>
    </row>
    <row r="20654" customFormat="false" ht="15" hidden="false" customHeight="false" outlineLevel="0" collapsed="false">
      <c r="A20654" s="0" t="n">
        <f aca="false">CONVERT(425.881,"ns","sec")</f>
        <v>4.25881E-007</v>
      </c>
      <c r="B20654" s="0" t="s">
        <v>20480</v>
      </c>
    </row>
    <row r="20655" customFormat="false" ht="15" hidden="false" customHeight="false" outlineLevel="0" collapsed="false">
      <c r="A20655" s="0" t="n">
        <f aca="false">CONVERT(72,"sec","ms")</f>
        <v>72000</v>
      </c>
      <c r="B20655" s="0" t="s">
        <v>20481</v>
      </c>
    </row>
    <row r="20656" customFormat="false" ht="15" hidden="false" customHeight="false" outlineLevel="0" collapsed="false">
      <c r="A20656" s="0" t="n">
        <f aca="false">CONVERT(279,"us","mn")</f>
        <v>4.65E-006</v>
      </c>
      <c r="B20656" s="0" t="s">
        <v>20482</v>
      </c>
    </row>
    <row r="20657" customFormat="false" ht="15" hidden="false" customHeight="false" outlineLevel="0" collapsed="false">
      <c r="A20657" s="0" t="n">
        <f aca="false">CONVERT(183,"sec","day")</f>
        <v>0.00211805555555556</v>
      </c>
      <c r="B20657" s="0" t="s">
        <v>20483</v>
      </c>
    </row>
    <row r="20658" customFormat="false" ht="15" hidden="false" customHeight="false" outlineLevel="0" collapsed="false">
      <c r="A20658" s="0" t="n">
        <f aca="false">CONVERT(454.319,"ks","ns")</f>
        <v>454319000000000</v>
      </c>
      <c r="B20658" s="0" t="s">
        <v>20484</v>
      </c>
    </row>
    <row r="20659" customFormat="false" ht="15" hidden="false" customHeight="false" outlineLevel="0" collapsed="false">
      <c r="A20659" s="0" t="n">
        <f aca="false">CONVERT(170.513,"s","hr")</f>
        <v>0.0473647222222222</v>
      </c>
      <c r="B20659" s="0" t="s">
        <v>20485</v>
      </c>
    </row>
    <row r="20660" customFormat="false" ht="15" hidden="false" customHeight="false" outlineLevel="0" collapsed="false">
      <c r="A20660" s="0" t="n">
        <f aca="false">CONVERT(49.4,"ms","mn")</f>
        <v>0.000823333333333333</v>
      </c>
      <c r="B20660" s="0" t="s">
        <v>20486</v>
      </c>
    </row>
    <row r="20661" customFormat="false" ht="15" hidden="false" customHeight="false" outlineLevel="0" collapsed="false">
      <c r="A20661" s="0" t="n">
        <f aca="false">CONVERT(184,"day","hr")</f>
        <v>4416</v>
      </c>
      <c r="B20661" s="0" t="s">
        <v>20487</v>
      </c>
    </row>
    <row r="20662" customFormat="false" ht="15" hidden="false" customHeight="false" outlineLevel="0" collapsed="false">
      <c r="A20662" s="0" t="n">
        <f aca="false">CONVERT(372,"yr","ks")</f>
        <v>11739427.2</v>
      </c>
      <c r="B20662" s="0" t="s">
        <v>20488</v>
      </c>
    </row>
    <row r="20663" customFormat="false" ht="15" hidden="false" customHeight="false" outlineLevel="0" collapsed="false">
      <c r="A20663" s="0" t="n">
        <f aca="false">CONVERT(188.008,"ks","mn")</f>
        <v>3133.46666666667</v>
      </c>
      <c r="B20663" s="0" t="s">
        <v>20489</v>
      </c>
    </row>
    <row r="20664" customFormat="false" ht="15" hidden="false" customHeight="false" outlineLevel="0" collapsed="false">
      <c r="A20664" s="0" t="n">
        <f aca="false">CONVERT(115.5,"day","day")</f>
        <v>115.5</v>
      </c>
      <c r="B20664" s="0" t="s">
        <v>20490</v>
      </c>
    </row>
    <row r="20665" customFormat="false" ht="15" hidden="false" customHeight="false" outlineLevel="0" collapsed="false">
      <c r="A20665" s="0" t="n">
        <f aca="false">CONVERT(449.5,"yr","sec")</f>
        <v>14185141200</v>
      </c>
      <c r="B20665" s="0" t="s">
        <v>20491</v>
      </c>
    </row>
    <row r="20666" customFormat="false" ht="15" hidden="false" customHeight="false" outlineLevel="0" collapsed="false">
      <c r="A20666" s="0" t="n">
        <f aca="false">CONVERT(10.76,"day","ms")</f>
        <v>929664000</v>
      </c>
      <c r="B20666" s="0" t="s">
        <v>20492</v>
      </c>
    </row>
    <row r="20667" customFormat="false" ht="15" hidden="false" customHeight="false" outlineLevel="0" collapsed="false">
      <c r="A20667" s="0" t="n">
        <f aca="false">CONVERT(364.517,"hr","day")</f>
        <v>15.1882083333333</v>
      </c>
      <c r="B20667" s="0" t="s">
        <v>20493</v>
      </c>
    </row>
    <row r="20668" customFormat="false" ht="15" hidden="false" customHeight="false" outlineLevel="0" collapsed="false">
      <c r="A20668" s="0" t="n">
        <f aca="false">CONVERT(362.4,"d","yr")</f>
        <v>0.992197125256674</v>
      </c>
      <c r="B20668" s="0" t="s">
        <v>20494</v>
      </c>
    </row>
    <row r="20669" customFormat="false" ht="15" hidden="false" customHeight="false" outlineLevel="0" collapsed="false">
      <c r="A20669" s="0" t="n">
        <f aca="false">CONVERT(380.851,"s","ns")</f>
        <v>380851000000</v>
      </c>
      <c r="B20669" s="0" t="s">
        <v>20495</v>
      </c>
    </row>
    <row r="20670" customFormat="false" ht="15" hidden="false" customHeight="false" outlineLevel="0" collapsed="false">
      <c r="A20670" s="0" t="n">
        <f aca="false">CONVERT(-40.482,"s","d")</f>
        <v>-0.000468541666666667</v>
      </c>
      <c r="B20670" s="0" t="s">
        <v>20496</v>
      </c>
    </row>
    <row r="20671" customFormat="false" ht="15" hidden="false" customHeight="false" outlineLevel="0" collapsed="false">
      <c r="A20671" s="0" t="n">
        <f aca="false">CONVERT(172.343,"yr","mn")</f>
        <v>90645524.28</v>
      </c>
      <c r="B20671" s="0" t="s">
        <v>20497</v>
      </c>
    </row>
    <row r="20672" customFormat="false" ht="15" hidden="false" customHeight="false" outlineLevel="0" collapsed="false">
      <c r="A20672" s="0" t="n">
        <f aca="false">CONVERT(380.5,"hr","sec")</f>
        <v>1369800</v>
      </c>
      <c r="B20672" s="0" t="s">
        <v>20498</v>
      </c>
    </row>
    <row r="20673" customFormat="false" ht="15" hidden="false" customHeight="false" outlineLevel="0" collapsed="false">
      <c r="A20673" s="0" t="n">
        <f aca="false">CONVERT(97,"s","mn")</f>
        <v>1.61666666666667</v>
      </c>
      <c r="B20673" s="0" t="s">
        <v>20499</v>
      </c>
    </row>
    <row r="20674" customFormat="false" ht="15" hidden="false" customHeight="false" outlineLevel="0" collapsed="false">
      <c r="A20674" s="0" t="n">
        <f aca="false">CONVERT(168.5,"ns","sec")</f>
        <v>1.685E-007</v>
      </c>
      <c r="B20674" s="0" t="s">
        <v>20500</v>
      </c>
    </row>
    <row r="20675" customFormat="false" ht="15" hidden="false" customHeight="false" outlineLevel="0" collapsed="false">
      <c r="A20675" s="0" t="n">
        <f aca="false">CONVERT(366.772,"us","min")</f>
        <v>6.11286666666667E-006</v>
      </c>
      <c r="B20675" s="0" t="s">
        <v>20501</v>
      </c>
    </row>
    <row r="20676" customFormat="false" ht="15" hidden="false" customHeight="false" outlineLevel="0" collapsed="false">
      <c r="A20676" s="0" t="n">
        <f aca="false">CONVERT(-43.735,"day","d")</f>
        <v>-43.735</v>
      </c>
      <c r="B20676" s="0" t="s">
        <v>20502</v>
      </c>
    </row>
    <row r="20677" customFormat="false" ht="15" hidden="false" customHeight="false" outlineLevel="0" collapsed="false">
      <c r="A20677" s="0" t="n">
        <f aca="false">CONVERT(37,"d","sec")</f>
        <v>3196800</v>
      </c>
      <c r="B20677" s="0" t="s">
        <v>20503</v>
      </c>
    </row>
    <row r="20678" customFormat="false" ht="15" hidden="false" customHeight="false" outlineLevel="0" collapsed="false">
      <c r="A20678" s="0" t="n">
        <f aca="false">CONVERT(68.374,"yr","yr")</f>
        <v>68.374</v>
      </c>
      <c r="B20678" s="0" t="s">
        <v>20504</v>
      </c>
    </row>
    <row r="20679" customFormat="false" ht="15" hidden="false" customHeight="false" outlineLevel="0" collapsed="false">
      <c r="A20679" s="0" t="n">
        <f aca="false">CONVERT(231.3,"min","yr")</f>
        <v>0.000439767282683094</v>
      </c>
      <c r="B20679" s="0" t="s">
        <v>20505</v>
      </c>
    </row>
    <row r="20680" customFormat="false" ht="15" hidden="false" customHeight="false" outlineLevel="0" collapsed="false">
      <c r="A20680" s="0" t="n">
        <f aca="false">CONVERT(265.7,"ks","d")</f>
        <v>3.07523148148148</v>
      </c>
      <c r="B20680" s="0" t="s">
        <v>20506</v>
      </c>
    </row>
    <row r="20681" customFormat="false" ht="15" hidden="false" customHeight="false" outlineLevel="0" collapsed="false">
      <c r="A20681" s="0" t="n">
        <f aca="false">CONVERT(443.722,"min","sec")</f>
        <v>26623.32</v>
      </c>
      <c r="B20681" s="0" t="s">
        <v>20507</v>
      </c>
    </row>
    <row r="20682" customFormat="false" ht="15" hidden="false" customHeight="false" outlineLevel="0" collapsed="false">
      <c r="A20682" s="0" t="n">
        <f aca="false">CONVERT(391.6,"sec","us")</f>
        <v>391600000</v>
      </c>
      <c r="B20682" s="0" t="s">
        <v>20508</v>
      </c>
    </row>
    <row r="20683" customFormat="false" ht="15" hidden="false" customHeight="false" outlineLevel="0" collapsed="false">
      <c r="A20683" s="0" t="n">
        <f aca="false">CONVERT(368.492,"yr","mn")</f>
        <v>193812052.32</v>
      </c>
      <c r="B20683" s="0" t="s">
        <v>20509</v>
      </c>
    </row>
    <row r="20684" customFormat="false" ht="15" hidden="false" customHeight="false" outlineLevel="0" collapsed="false">
      <c r="A20684" s="0" t="n">
        <f aca="false">CONVERT(101.813,"Pa","kPa")</f>
        <v>0.101813</v>
      </c>
      <c r="B20684" s="0" t="s">
        <v>20510</v>
      </c>
    </row>
    <row r="20685" customFormat="false" ht="15" hidden="false" customHeight="false" outlineLevel="0" collapsed="false">
      <c r="A20685" s="0" t="n">
        <f aca="false">CONVERT(35,"GPa","GPa")</f>
        <v>35</v>
      </c>
      <c r="B20685" s="0" t="s">
        <v>20511</v>
      </c>
    </row>
    <row r="20686" customFormat="false" ht="15" hidden="false" customHeight="false" outlineLevel="0" collapsed="false">
      <c r="A20686" s="0" t="n">
        <f aca="false">CONVERT(-31.9,"Pa","Torr")</f>
        <v>-0.2392703522</v>
      </c>
      <c r="B20686" s="0" t="s">
        <v>20512</v>
      </c>
    </row>
    <row r="20687" customFormat="false" ht="15" hidden="false" customHeight="false" outlineLevel="0" collapsed="false">
      <c r="A20687" s="0" t="n">
        <f aca="false">CONVERT(69,"Pa","kPa")</f>
        <v>0.069</v>
      </c>
      <c r="B20687" s="0" t="s">
        <v>20513</v>
      </c>
    </row>
    <row r="20688" customFormat="false" ht="15" hidden="false" customHeight="false" outlineLevel="0" collapsed="false">
      <c r="A20688" s="0" t="n">
        <f aca="false">CONVERT(376,"kPa","Torr")</f>
        <v>2820.239888</v>
      </c>
      <c r="B20688" s="0" t="s">
        <v>20514</v>
      </c>
    </row>
    <row r="20689" customFormat="false" ht="15" hidden="false" customHeight="false" outlineLevel="0" collapsed="false">
      <c r="A20689" s="0" t="n">
        <f aca="false">CONVERT(121,"hPa","GPa")</f>
        <v>1.21E-005</v>
      </c>
      <c r="B20689" s="0" t="s">
        <v>20515</v>
      </c>
    </row>
    <row r="20690" customFormat="false" ht="15" hidden="false" customHeight="false" outlineLevel="0" collapsed="false">
      <c r="A20690" s="0" t="n">
        <f aca="false">CONVERT(46,"atm","at")</f>
        <v>46</v>
      </c>
      <c r="B20690" s="0" t="s">
        <v>20516</v>
      </c>
    </row>
    <row r="20691" customFormat="false" ht="15" hidden="false" customHeight="false" outlineLevel="0" collapsed="false">
      <c r="A20691" s="0" t="n">
        <f aca="false">CONVERT(62.308,"atm","GPa")</f>
        <v>0.00631335788709357</v>
      </c>
      <c r="B20691" s="0" t="s">
        <v>20517</v>
      </c>
    </row>
    <row r="20692" customFormat="false" ht="15" hidden="false" customHeight="false" outlineLevel="0" collapsed="false">
      <c r="A20692" s="0" t="n">
        <f aca="false">CONVERT(97.178,"mPa","hPa")</f>
        <v>0.00097178</v>
      </c>
      <c r="B20692" s="0" t="s">
        <v>20518</v>
      </c>
    </row>
    <row r="20693" customFormat="false" ht="15" hidden="false" customHeight="false" outlineLevel="0" collapsed="false">
      <c r="A20693" s="0" t="n">
        <f aca="false">CONVERT(295.075,"hPa","GPa")</f>
        <v>2.95075E-005</v>
      </c>
      <c r="B20693" s="0" t="s">
        <v>20519</v>
      </c>
    </row>
    <row r="20694" customFormat="false" ht="15" hidden="false" customHeight="false" outlineLevel="0" collapsed="false">
      <c r="A20694" s="0" t="n">
        <f aca="false">CONVERT(63.521,"psi","atm")</f>
        <v>4.3223489437012</v>
      </c>
      <c r="B20694" s="0" t="s">
        <v>20520</v>
      </c>
    </row>
    <row r="20695" customFormat="false" ht="15" hidden="false" customHeight="false" outlineLevel="0" collapsed="false">
      <c r="A20695" s="0" t="n">
        <f aca="false">CONVERT(291.917,"kPa","mmHg")</f>
        <v>2189.55763613835</v>
      </c>
      <c r="B20695" s="0" t="s">
        <v>20521</v>
      </c>
    </row>
    <row r="20696" customFormat="false" ht="15" hidden="false" customHeight="false" outlineLevel="0" collapsed="false">
      <c r="A20696" s="0" t="n">
        <f aca="false">CONVERT(355.64,"psi","Pa")</f>
        <v>2452052.12162079</v>
      </c>
      <c r="B20696" s="0" t="s">
        <v>20522</v>
      </c>
    </row>
    <row r="20697" customFormat="false" ht="15" hidden="false" customHeight="false" outlineLevel="0" collapsed="false">
      <c r="A20697" s="0" t="n">
        <f aca="false">CONVERT(336.9,"atm","GPa")</f>
        <v>0.0341363913488127</v>
      </c>
      <c r="B20697" s="0" t="s">
        <v>20523</v>
      </c>
    </row>
    <row r="20698" customFormat="false" ht="15" hidden="false" customHeight="false" outlineLevel="0" collapsed="false">
      <c r="A20698" s="0" t="n">
        <f aca="false">CONVERT(109,"kPa","mPa")</f>
        <v>109000000</v>
      </c>
      <c r="B20698" s="0" t="s">
        <v>20524</v>
      </c>
    </row>
    <row r="20699" customFormat="false" ht="15" hidden="false" customHeight="false" outlineLevel="0" collapsed="false">
      <c r="A20699" s="0" t="n">
        <f aca="false">CONVERT(224.151,"kPa","mPa")</f>
        <v>224151000</v>
      </c>
      <c r="B20699" s="0" t="s">
        <v>20525</v>
      </c>
    </row>
    <row r="20700" customFormat="false" ht="15" hidden="false" customHeight="false" outlineLevel="0" collapsed="false">
      <c r="A20700" s="0" t="n">
        <f aca="false">CONVERT(76.5,"atm","hPa")</f>
        <v>77513.622385995</v>
      </c>
      <c r="B20700" s="0" t="s">
        <v>20526</v>
      </c>
    </row>
    <row r="20701" customFormat="false" ht="15" hidden="false" customHeight="false" outlineLevel="0" collapsed="false">
      <c r="A20701" s="0" t="n">
        <f aca="false">CONVERT(395,"Pa","mPa")</f>
        <v>395000</v>
      </c>
      <c r="B20701" s="0" t="s">
        <v>20527</v>
      </c>
    </row>
    <row r="20702" customFormat="false" ht="15" hidden="false" customHeight="false" outlineLevel="0" collapsed="false">
      <c r="A20702" s="0" t="n">
        <f aca="false">CONVERT(170,"Torr","Torr")</f>
        <v>170</v>
      </c>
      <c r="B20702" s="0" t="s">
        <v>20528</v>
      </c>
    </row>
    <row r="20703" customFormat="false" ht="15" hidden="false" customHeight="false" outlineLevel="0" collapsed="false">
      <c r="A20703" s="0" t="n">
        <f aca="false">CONVERT(77.6,"psi","atm")</f>
        <v>5.28036835111559</v>
      </c>
      <c r="B20703" s="0" t="s">
        <v>20529</v>
      </c>
    </row>
    <row r="20704" customFormat="false" ht="15" hidden="false" customHeight="false" outlineLevel="0" collapsed="false">
      <c r="A20704" s="0" t="n">
        <f aca="false">CONVERT(139.428,"atm","psi")</f>
        <v>2049.02614373752</v>
      </c>
      <c r="B20704" s="0" t="s">
        <v>20530</v>
      </c>
    </row>
    <row r="20705" customFormat="false" ht="15" hidden="false" customHeight="false" outlineLevel="0" collapsed="false">
      <c r="A20705" s="0" t="n">
        <f aca="false">CONVERT(397,"Pa","mmHg")</f>
        <v>2.97774498075455</v>
      </c>
      <c r="B20705" s="0" t="s">
        <v>20531</v>
      </c>
    </row>
    <row r="20706" customFormat="false" ht="15" hidden="false" customHeight="false" outlineLevel="0" collapsed="false">
      <c r="A20706" s="0" t="n">
        <f aca="false">CONVERT(286.3,"mmHg","hPa")</f>
        <v>381.701927917275</v>
      </c>
      <c r="B20706" s="0" t="s">
        <v>20532</v>
      </c>
    </row>
    <row r="20707" customFormat="false" ht="15" hidden="false" customHeight="false" outlineLevel="0" collapsed="false">
      <c r="A20707" s="0" t="n">
        <f aca="false">CONVERT(284.795,"GPa","mPa")</f>
        <v>284795000000000</v>
      </c>
      <c r="B20707" s="0" t="s">
        <v>20533</v>
      </c>
    </row>
    <row r="20708" customFormat="false" ht="15" hidden="false" customHeight="false" outlineLevel="0" collapsed="false">
      <c r="A20708" s="0" t="n">
        <f aca="false">CONVERT(22.6,"Pa","mmHg")</f>
        <v>0.16951394600769</v>
      </c>
      <c r="B20708" s="0" t="s">
        <v>20534</v>
      </c>
    </row>
    <row r="20709" customFormat="false" ht="15" hidden="false" customHeight="false" outlineLevel="0" collapsed="false">
      <c r="A20709" s="0" t="n">
        <f aca="false">CONVERT(224.424,"kPa","psi")</f>
        <v>32.5499407848</v>
      </c>
      <c r="B20709" s="0" t="s">
        <v>20535</v>
      </c>
    </row>
    <row r="20710" customFormat="false" ht="15" hidden="false" customHeight="false" outlineLevel="0" collapsed="false">
      <c r="A20710" s="0" t="n">
        <f aca="false">CONVERT(445.657,"GPa","GPa")</f>
        <v>445.657</v>
      </c>
      <c r="B20710" s="0" t="s">
        <v>20536</v>
      </c>
    </row>
    <row r="20711" customFormat="false" ht="15" hidden="false" customHeight="false" outlineLevel="0" collapsed="false">
      <c r="A20711" s="0" t="n">
        <f aca="false">CONVERT(-6.9,"kPa","atm")</f>
        <v>-0.0680977076998753</v>
      </c>
      <c r="B20711" s="0" t="s">
        <v>20537</v>
      </c>
    </row>
    <row r="20712" customFormat="false" ht="15" hidden="false" customHeight="false" outlineLevel="0" collapsed="false">
      <c r="A20712" s="0" t="n">
        <f aca="false">CONVERT(97.7,"Pa","psi")</f>
        <v>0.01417018329</v>
      </c>
      <c r="B20712" s="0" t="s">
        <v>20538</v>
      </c>
    </row>
    <row r="20713" customFormat="false" ht="15" hidden="false" customHeight="false" outlineLevel="0" collapsed="false">
      <c r="A20713" s="0" t="n">
        <f aca="false">CONVERT(485.44,"Torr","GPa")</f>
        <v>6.47198278333123E-005</v>
      </c>
      <c r="B20713" s="0" t="s">
        <v>20539</v>
      </c>
    </row>
    <row r="20714" customFormat="false" ht="15" hidden="false" customHeight="false" outlineLevel="0" collapsed="false">
      <c r="A20714" s="0" t="n">
        <f aca="false">CONVERT(383.7,"atm","psi")</f>
        <v>5638.8338881149</v>
      </c>
      <c r="B20714" s="0" t="s">
        <v>20540</v>
      </c>
    </row>
    <row r="20715" customFormat="false" ht="15" hidden="false" customHeight="false" outlineLevel="0" collapsed="false">
      <c r="A20715" s="0" t="n">
        <f aca="false">CONVERT(90,"atm","kPa")</f>
        <v>9119.24969247</v>
      </c>
      <c r="B20715" s="0" t="s">
        <v>20541</v>
      </c>
    </row>
    <row r="20716" customFormat="false" ht="15" hidden="false" customHeight="false" outlineLevel="0" collapsed="false">
      <c r="A20716" s="0" t="n">
        <f aca="false">CONVERT(-7.5,"mPa","Torr")</f>
        <v>-5.6254785E-005</v>
      </c>
      <c r="B20716" s="0" t="s">
        <v>20542</v>
      </c>
    </row>
    <row r="20717" customFormat="false" ht="15" hidden="false" customHeight="false" outlineLevel="0" collapsed="false">
      <c r="A20717" s="0" t="n">
        <f aca="false">CONVERT(17.176,"at","Pa")</f>
        <v>1740358.14130961</v>
      </c>
      <c r="B20717" s="0" t="s">
        <v>20543</v>
      </c>
    </row>
    <row r="20718" customFormat="false" ht="15" hidden="false" customHeight="false" outlineLevel="0" collapsed="false">
      <c r="A20718" s="0" t="n">
        <f aca="false">CONVERT(91.372,"mmHg","Pa")</f>
        <v>12181.9310365551</v>
      </c>
      <c r="B20718" s="0" t="s">
        <v>20544</v>
      </c>
    </row>
    <row r="20719" customFormat="false" ht="15" hidden="false" customHeight="false" outlineLevel="0" collapsed="false">
      <c r="A20719" s="0" t="n">
        <f aca="false">CONVERT(441.3,"kPa","psi")</f>
        <v>64.00513701</v>
      </c>
      <c r="B20719" s="0" t="s">
        <v>20545</v>
      </c>
    </row>
    <row r="20720" customFormat="false" ht="15" hidden="false" customHeight="false" outlineLevel="0" collapsed="false">
      <c r="A20720" s="0" t="n">
        <f aca="false">CONVERT(404.712,"kPa","Torr")</f>
        <v>3035.598206256</v>
      </c>
      <c r="B20720" s="0" t="s">
        <v>20546</v>
      </c>
    </row>
    <row r="20721" customFormat="false" ht="15" hidden="false" customHeight="false" outlineLevel="0" collapsed="false">
      <c r="A20721" s="0" t="n">
        <f aca="false">CONVERT(61,"atm","at")</f>
        <v>61</v>
      </c>
      <c r="B20721" s="0" t="s">
        <v>20547</v>
      </c>
    </row>
    <row r="20722" customFormat="false" ht="15" hidden="false" customHeight="false" outlineLevel="0" collapsed="false">
      <c r="A20722" s="0" t="n">
        <f aca="false">CONVERT(233.7,"psi","at")</f>
        <v>15.9023464388623</v>
      </c>
      <c r="B20722" s="0" t="s">
        <v>20548</v>
      </c>
    </row>
    <row r="20723" customFormat="false" ht="15" hidden="false" customHeight="false" outlineLevel="0" collapsed="false">
      <c r="A20723" s="0" t="n">
        <f aca="false">CONVERT(486.1,"kPa","Torr")</f>
        <v>3646.0601318</v>
      </c>
      <c r="B20723" s="0" t="s">
        <v>20549</v>
      </c>
    </row>
    <row r="20724" customFormat="false" ht="15" hidden="false" customHeight="false" outlineLevel="0" collapsed="false">
      <c r="A20724" s="0" t="n">
        <f aca="false">CONVERT(-1.085,"lbf","N")</f>
        <v>-4.82632087</v>
      </c>
      <c r="B20724" s="0" t="s">
        <v>20550</v>
      </c>
    </row>
    <row r="20725" customFormat="false" ht="15" hidden="false" customHeight="false" outlineLevel="0" collapsed="false">
      <c r="A20725" s="0" t="n">
        <f aca="false">CONVERT(-0.1,"dyn","dyn")</f>
        <v>-0.1</v>
      </c>
      <c r="B20725" s="0" t="s">
        <v>20551</v>
      </c>
    </row>
    <row r="20726" customFormat="false" ht="15" hidden="false" customHeight="false" outlineLevel="0" collapsed="false">
      <c r="A20726" s="0" t="n">
        <f aca="false">CONVERT(-26.7,"dyn","lbf")</f>
        <v>-6.00239826159755E-005</v>
      </c>
      <c r="B20726" s="0" t="s">
        <v>20552</v>
      </c>
    </row>
    <row r="20727" customFormat="false" ht="15" hidden="false" customHeight="false" outlineLevel="0" collapsed="false">
      <c r="A20727" s="0" t="n">
        <f aca="false">CONVERT(79.017,"N","mN")</f>
        <v>79017</v>
      </c>
      <c r="B20727" s="0" t="s">
        <v>20553</v>
      </c>
    </row>
    <row r="20728" customFormat="false" ht="15" hidden="false" customHeight="false" outlineLevel="0" collapsed="false">
      <c r="A20728" s="0" t="n">
        <f aca="false">CONVERT(314.4,"kN","N")</f>
        <v>314400</v>
      </c>
      <c r="B20728" s="0" t="s">
        <v>20554</v>
      </c>
    </row>
    <row r="20729" customFormat="false" ht="15" hidden="false" customHeight="false" outlineLevel="0" collapsed="false">
      <c r="A20729" s="0" t="n">
        <f aca="false">CONVERT(24,"dy","N")</f>
        <v>0.00024</v>
      </c>
      <c r="B20729" s="0" t="s">
        <v>20555</v>
      </c>
    </row>
    <row r="20730" customFormat="false" ht="15" hidden="false" customHeight="false" outlineLevel="0" collapsed="false">
      <c r="A20730" s="0" t="n">
        <f aca="false">CONVERT(494.8,"dyn","mdyn")</f>
        <v>494800</v>
      </c>
      <c r="B20730" s="0" t="s">
        <v>20556</v>
      </c>
    </row>
    <row r="20731" customFormat="false" ht="15" hidden="false" customHeight="false" outlineLevel="0" collapsed="false">
      <c r="A20731" s="0" t="n">
        <f aca="false">CONVERT(486.549,"dyn","mN")</f>
        <v>4.86549</v>
      </c>
      <c r="B20731" s="0" t="s">
        <v>20557</v>
      </c>
    </row>
    <row r="20732" customFormat="false" ht="15" hidden="false" customHeight="false" outlineLevel="0" collapsed="false">
      <c r="A20732" s="0" t="n">
        <f aca="false">CONVERT(155,"dyn","kN")</f>
        <v>1.55E-006</v>
      </c>
      <c r="B20732" s="0" t="s">
        <v>20558</v>
      </c>
    </row>
    <row r="20733" customFormat="false" ht="15" hidden="false" customHeight="false" outlineLevel="0" collapsed="false">
      <c r="A20733" s="0" t="n">
        <f aca="false">CONVERT(15.3,"N","mN")</f>
        <v>15300</v>
      </c>
      <c r="B20733" s="0" t="s">
        <v>20559</v>
      </c>
    </row>
    <row r="20734" customFormat="false" ht="15" hidden="false" customHeight="false" outlineLevel="0" collapsed="false">
      <c r="A20734" s="0" t="n">
        <f aca="false">CONVERT(31.687,"dy","dyn")</f>
        <v>31.687</v>
      </c>
      <c r="B20734" s="0" t="s">
        <v>20560</v>
      </c>
    </row>
    <row r="20735" customFormat="false" ht="15" hidden="false" customHeight="false" outlineLevel="0" collapsed="false">
      <c r="A20735" s="0" t="n">
        <f aca="false">CONVERT(382,"kN","mdyn")</f>
        <v>38200000000000</v>
      </c>
      <c r="B20735" s="0" t="s">
        <v>20561</v>
      </c>
    </row>
    <row r="20736" customFormat="false" ht="15" hidden="false" customHeight="false" outlineLevel="0" collapsed="false">
      <c r="A20736" s="0" t="n">
        <f aca="false">CONVERT(87.401,"N","dy")</f>
        <v>8740100</v>
      </c>
      <c r="B20736" s="0" t="s">
        <v>20562</v>
      </c>
    </row>
    <row r="20737" customFormat="false" ht="15" hidden="false" customHeight="false" outlineLevel="0" collapsed="false">
      <c r="A20737" s="0" t="n">
        <f aca="false">CONVERT(265.26,"N","lbf")</f>
        <v>59.6328150888152</v>
      </c>
      <c r="B20737" s="0" t="s">
        <v>20563</v>
      </c>
    </row>
    <row r="20738" customFormat="false" ht="15" hidden="false" customHeight="false" outlineLevel="0" collapsed="false">
      <c r="A20738" s="0" t="n">
        <f aca="false">CONVERT(445,"mdyn","mN")</f>
        <v>0.00445</v>
      </c>
      <c r="B20738" s="0" t="s">
        <v>20564</v>
      </c>
    </row>
    <row r="20739" customFormat="false" ht="15" hidden="false" customHeight="false" outlineLevel="0" collapsed="false">
      <c r="A20739" s="0" t="n">
        <f aca="false">CONVERT(357,"lbf","dy")</f>
        <v>158801525.4</v>
      </c>
      <c r="B20739" s="0" t="s">
        <v>20565</v>
      </c>
    </row>
    <row r="20740" customFormat="false" ht="15" hidden="false" customHeight="false" outlineLevel="0" collapsed="false">
      <c r="A20740" s="0" t="n">
        <f aca="false">CONVERT(419.76,"kN","kN")</f>
        <v>419.76</v>
      </c>
      <c r="B20740" s="0" t="s">
        <v>20566</v>
      </c>
    </row>
    <row r="20741" customFormat="false" ht="15" hidden="false" customHeight="false" outlineLevel="0" collapsed="false">
      <c r="A20741" s="0" t="n">
        <f aca="false">CONVERT(333.2,"kN","N")</f>
        <v>333200</v>
      </c>
      <c r="B20741" s="0" t="s">
        <v>20567</v>
      </c>
    </row>
    <row r="20742" customFormat="false" ht="15" hidden="false" customHeight="false" outlineLevel="0" collapsed="false">
      <c r="A20742" s="0" t="n">
        <f aca="false">CONVERT(220,"pond","N")</f>
        <v>2.15746345060782</v>
      </c>
      <c r="B20742" s="0" t="s">
        <v>20568</v>
      </c>
    </row>
    <row r="20743" customFormat="false" ht="15" hidden="false" customHeight="false" outlineLevel="0" collapsed="false">
      <c r="A20743" s="0" t="n">
        <f aca="false">CONVERT(386,"mdyn","dyn")</f>
        <v>0.386</v>
      </c>
      <c r="B20743" s="0" t="s">
        <v>20569</v>
      </c>
    </row>
    <row r="20744" customFormat="false" ht="15" hidden="false" customHeight="false" outlineLevel="0" collapsed="false">
      <c r="A20744" s="0" t="n">
        <f aca="false">CONVERT(96.185,"N","mN")</f>
        <v>96185</v>
      </c>
      <c r="B20744" s="0" t="s">
        <v>20570</v>
      </c>
    </row>
    <row r="20745" customFormat="false" ht="15" hidden="false" customHeight="false" outlineLevel="0" collapsed="false">
      <c r="A20745" s="0" t="n">
        <f aca="false">CONVERT(12.915,"dyn","dyn")</f>
        <v>12.915</v>
      </c>
      <c r="B20745" s="0" t="s">
        <v>20571</v>
      </c>
    </row>
    <row r="20746" customFormat="false" ht="15" hidden="false" customHeight="false" outlineLevel="0" collapsed="false">
      <c r="A20746" s="0" t="n">
        <f aca="false">CONVERT(462.1,"mN","kN")</f>
        <v>0.0004621</v>
      </c>
      <c r="B20746" s="0" t="s">
        <v>20572</v>
      </c>
    </row>
    <row r="20747" customFormat="false" ht="15" hidden="false" customHeight="false" outlineLevel="0" collapsed="false">
      <c r="A20747" s="0" t="n">
        <f aca="false">CONVERT(413,"pond","dy")</f>
        <v>405014.729591376</v>
      </c>
      <c r="B20747" s="0" t="s">
        <v>20573</v>
      </c>
    </row>
    <row r="20748" customFormat="false" ht="15" hidden="false" customHeight="false" outlineLevel="0" collapsed="false">
      <c r="A20748" s="0" t="n">
        <f aca="false">CONVERT(131.6,"lbf","dyn")</f>
        <v>58538601.52</v>
      </c>
      <c r="B20748" s="0" t="s">
        <v>20574</v>
      </c>
    </row>
    <row r="20749" customFormat="false" ht="15" hidden="false" customHeight="false" outlineLevel="0" collapsed="false">
      <c r="A20749" s="0" t="n">
        <f aca="false">CONVERT(422.871,"mN","dy")</f>
        <v>42287.1</v>
      </c>
      <c r="B20749" s="0" t="s">
        <v>20575</v>
      </c>
    </row>
    <row r="20750" customFormat="false" ht="15" hidden="false" customHeight="false" outlineLevel="0" collapsed="false">
      <c r="A20750" s="0" t="n">
        <f aca="false">CONVERT(90.5,"mdyn","dyn")</f>
        <v>0.0905</v>
      </c>
      <c r="B20750" s="0" t="s">
        <v>20576</v>
      </c>
    </row>
    <row r="20751" customFormat="false" ht="15" hidden="false" customHeight="false" outlineLevel="0" collapsed="false">
      <c r="A20751" s="0" t="n">
        <f aca="false">CONVERT(159.717,"N","mdyn")</f>
        <v>15971700000</v>
      </c>
      <c r="B20751" s="0" t="s">
        <v>20577</v>
      </c>
    </row>
    <row r="20752" customFormat="false" ht="15" hidden="false" customHeight="false" outlineLevel="0" collapsed="false">
      <c r="A20752" s="0" t="n">
        <f aca="false">CONVERT(147,"mdyn","N")</f>
        <v>1.47E-006</v>
      </c>
      <c r="B20752" s="0" t="s">
        <v>20578</v>
      </c>
    </row>
    <row r="20753" customFormat="false" ht="15" hidden="false" customHeight="false" outlineLevel="0" collapsed="false">
      <c r="A20753" s="0" t="n">
        <f aca="false">CONVERT(68.4,"mN","N")</f>
        <v>0.0684</v>
      </c>
      <c r="B20753" s="0" t="s">
        <v>20579</v>
      </c>
    </row>
    <row r="20754" customFormat="false" ht="15" hidden="false" customHeight="false" outlineLevel="0" collapsed="false">
      <c r="A20754" s="0" t="n">
        <f aca="false">CONVERT(398.1,"mN","dyn")</f>
        <v>39810</v>
      </c>
      <c r="B20754" s="0" t="s">
        <v>20580</v>
      </c>
    </row>
    <row r="20755" customFormat="false" ht="15" hidden="false" customHeight="false" outlineLevel="0" collapsed="false">
      <c r="A20755" s="0" t="n">
        <f aca="false">CONVERT(293.743,"N","N")</f>
        <v>293.743</v>
      </c>
      <c r="B20755" s="0" t="s">
        <v>20581</v>
      </c>
    </row>
    <row r="20756" customFormat="false" ht="15" hidden="false" customHeight="false" outlineLevel="0" collapsed="false">
      <c r="A20756" s="0" t="n">
        <f aca="false">CONVERT(168.945,"dyn","N")</f>
        <v>0.00168945</v>
      </c>
      <c r="B20756" s="0" t="s">
        <v>20582</v>
      </c>
    </row>
    <row r="20757" customFormat="false" ht="15" hidden="false" customHeight="false" outlineLevel="0" collapsed="false">
      <c r="A20757" s="0" t="n">
        <f aca="false">CONVERT(-29.3,"N","N")</f>
        <v>-29.3</v>
      </c>
      <c r="B20757" s="0" t="s">
        <v>20583</v>
      </c>
    </row>
    <row r="20758" customFormat="false" ht="15" hidden="false" customHeight="false" outlineLevel="0" collapsed="false">
      <c r="A20758" s="0" t="n">
        <f aca="false">CONVERT(101.433,"dyn","N")</f>
        <v>0.00101433</v>
      </c>
      <c r="B20758" s="0" t="s">
        <v>20584</v>
      </c>
    </row>
    <row r="20759" customFormat="false" ht="15" hidden="false" customHeight="false" outlineLevel="0" collapsed="false">
      <c r="A20759" s="0" t="n">
        <f aca="false">CONVERT(115.034,"mdyn","mN")</f>
        <v>0.00115034</v>
      </c>
      <c r="B20759" s="0" t="s">
        <v>20585</v>
      </c>
    </row>
    <row r="20760" customFormat="false" ht="15" hidden="false" customHeight="false" outlineLevel="0" collapsed="false">
      <c r="A20760" s="0" t="n">
        <f aca="false">CONVERT(485,"mN","mdyn")</f>
        <v>48500000</v>
      </c>
      <c r="B20760" s="0" t="s">
        <v>20586</v>
      </c>
    </row>
    <row r="20761" customFormat="false" ht="15" hidden="false" customHeight="false" outlineLevel="0" collapsed="false">
      <c r="A20761" s="0" t="n">
        <f aca="false">CONVERT(-48,"pond","mN")</f>
        <v>-470.719298314433</v>
      </c>
      <c r="B20761" s="0" t="s">
        <v>20587</v>
      </c>
    </row>
    <row r="20762" customFormat="false" ht="15" hidden="false" customHeight="false" outlineLevel="0" collapsed="false">
      <c r="A20762" s="0" t="n">
        <f aca="false">CONVERT(469.775,"dy","pond")</f>
        <v>0.4790370839</v>
      </c>
      <c r="B20762" s="0" t="s">
        <v>20588</v>
      </c>
    </row>
    <row r="20763" customFormat="false" ht="15" hidden="false" customHeight="false" outlineLevel="0" collapsed="false">
      <c r="A20763" s="0" t="n">
        <f aca="false">CONVERT(310.465,"mdyn","N")</f>
        <v>3.10465E-006</v>
      </c>
      <c r="B20763" s="0" t="s">
        <v>20589</v>
      </c>
    </row>
    <row r="20764" customFormat="false" ht="15" hidden="false" customHeight="false" outlineLevel="0" collapsed="false">
      <c r="A20764" s="0" t="n">
        <f aca="false">CONVERT(282.462,"e","kJ")</f>
        <v>2.82462E-008</v>
      </c>
      <c r="B20764" s="0" t="s">
        <v>20590</v>
      </c>
    </row>
    <row r="20765" customFormat="false" ht="15" hidden="false" customHeight="false" outlineLevel="0" collapsed="false">
      <c r="A20765" s="0" t="n">
        <f aca="false">CONVERT(435,"BTU","e")</f>
        <v>4589502899723.58</v>
      </c>
      <c r="B20765" s="0" t="s">
        <v>20591</v>
      </c>
    </row>
    <row r="20766" customFormat="false" ht="15" hidden="false" customHeight="false" outlineLevel="0" collapsed="false">
      <c r="A20766" s="0" t="n">
        <f aca="false">CONVERT(201,"kWh","uJ")</f>
        <v>723600000000000</v>
      </c>
      <c r="B20766" s="0" t="s">
        <v>20592</v>
      </c>
    </row>
    <row r="20767" customFormat="false" ht="15" hidden="false" customHeight="false" outlineLevel="0" collapsed="false">
      <c r="A20767" s="0" t="n">
        <f aca="false">CONVERT(481,"ev","J")</f>
        <v>7.70653390706689E-017</v>
      </c>
      <c r="B20767" s="0" t="s">
        <v>20593</v>
      </c>
    </row>
    <row r="20768" customFormat="false" ht="15" hidden="false" customHeight="false" outlineLevel="0" collapsed="false">
      <c r="A20768" s="0" t="n">
        <f aca="false">CONVERT(305.8,"btu","keV")</f>
        <v>2.01372358E+021</v>
      </c>
      <c r="B20768" s="0" t="s">
        <v>20594</v>
      </c>
    </row>
    <row r="20769" customFormat="false" ht="15" hidden="false" customHeight="false" outlineLevel="0" collapsed="false">
      <c r="A20769" s="0" t="n">
        <f aca="false">CONVERT(314,"hh","ev")</f>
        <v>5.26116871520378E+027</v>
      </c>
      <c r="B20769" s="0" t="s">
        <v>20595</v>
      </c>
    </row>
    <row r="20770" customFormat="false" ht="15" hidden="false" customHeight="false" outlineLevel="0" collapsed="false">
      <c r="A20770" s="0" t="n">
        <f aca="false">CONVERT(162.874,"flb","flb")</f>
        <v>162.874</v>
      </c>
      <c r="B20770" s="0" t="s">
        <v>20596</v>
      </c>
    </row>
    <row r="20771" customFormat="false" ht="15" hidden="false" customHeight="false" outlineLevel="0" collapsed="false">
      <c r="A20771" s="0" t="n">
        <f aca="false">CONVERT(245.072,"flb","c")</f>
        <v>2.46829740447726</v>
      </c>
      <c r="B20771" s="0" t="s">
        <v>20597</v>
      </c>
    </row>
    <row r="20772" customFormat="false" ht="15" hidden="false" customHeight="false" outlineLevel="0" collapsed="false">
      <c r="A20772" s="0" t="n">
        <f aca="false">CONVERT(293.9,"uJ","e")</f>
        <v>2939</v>
      </c>
      <c r="B20772" s="0" t="s">
        <v>20598</v>
      </c>
    </row>
    <row r="20773" customFormat="false" ht="15" hidden="false" customHeight="false" outlineLevel="0" collapsed="false">
      <c r="A20773" s="0" t="n">
        <f aca="false">CONVERT(9.258,"cal","c")</f>
        <v>9.26420409585592</v>
      </c>
      <c r="B20773" s="0" t="s">
        <v>20599</v>
      </c>
    </row>
    <row r="20774" customFormat="false" ht="15" hidden="false" customHeight="false" outlineLevel="0" collapsed="false">
      <c r="A20774" s="0" t="n">
        <f aca="false">CONVERT(149,"BTU","kcal")</f>
        <v>37.5474959531909</v>
      </c>
      <c r="B20774" s="0" t="s">
        <v>20600</v>
      </c>
    </row>
    <row r="20775" customFormat="false" ht="15" hidden="false" customHeight="false" outlineLevel="0" collapsed="false">
      <c r="A20775" s="0" t="n">
        <f aca="false">CONVERT(149.598,"eV","kJ")</f>
        <v>2.39684419839791E-020</v>
      </c>
      <c r="B20775" s="0" t="s">
        <v>20601</v>
      </c>
    </row>
    <row r="20776" customFormat="false" ht="15" hidden="false" customHeight="false" outlineLevel="0" collapsed="false">
      <c r="A20776" s="0" t="n">
        <f aca="false">CONVERT(-7.3,"kWh","kcal")</f>
        <v>-6276.87789007221</v>
      </c>
      <c r="B20776" s="0" t="s">
        <v>20602</v>
      </c>
    </row>
    <row r="20777" customFormat="false" ht="15" hidden="false" customHeight="false" outlineLevel="0" collapsed="false">
      <c r="A20777" s="0" t="n">
        <f aca="false">CONVERT(432.3,"BTU","ev")</f>
        <v>2.84673873E+024</v>
      </c>
      <c r="B20777" s="0" t="s">
        <v>20603</v>
      </c>
    </row>
    <row r="20778" customFormat="false" ht="15" hidden="false" customHeight="false" outlineLevel="0" collapsed="false">
      <c r="A20778" s="0" t="n">
        <f aca="false">CONVERT(356,"Mcal","Wh")</f>
        <v>414027.490340441</v>
      </c>
      <c r="B20778" s="0" t="s">
        <v>20604</v>
      </c>
    </row>
    <row r="20779" customFormat="false" ht="15" hidden="false" customHeight="false" outlineLevel="0" collapsed="false">
      <c r="A20779" s="0" t="n">
        <f aca="false">CONVERT(105.605,"BTU","Wh")</f>
        <v>30.9498374026378</v>
      </c>
      <c r="B20779" s="0" t="s">
        <v>20605</v>
      </c>
    </row>
    <row r="20780" customFormat="false" ht="15" hidden="false" customHeight="false" outlineLevel="0" collapsed="false">
      <c r="A20780" s="0" t="n">
        <f aca="false">CONVERT(147.4,"keV","kcal")</f>
        <v>5.64065866361545E-018</v>
      </c>
      <c r="B20780" s="0" t="s">
        <v>20606</v>
      </c>
    </row>
    <row r="20781" customFormat="false" ht="15" hidden="false" customHeight="false" outlineLevel="0" collapsed="false">
      <c r="A20781" s="0" t="n">
        <f aca="false">CONVERT(355.522,"flb","uJ")</f>
        <v>14981697.195062</v>
      </c>
      <c r="B20781" s="0" t="s">
        <v>20607</v>
      </c>
    </row>
    <row r="20782" customFormat="false" ht="15" hidden="false" customHeight="false" outlineLevel="0" collapsed="false">
      <c r="A20782" s="0" t="n">
        <f aca="false">CONVERT(493.034,"Wh","kcal")</f>
        <v>423.933453925186</v>
      </c>
      <c r="B20782" s="0" t="s">
        <v>20608</v>
      </c>
    </row>
    <row r="20783" customFormat="false" ht="15" hidden="false" customHeight="false" outlineLevel="0" collapsed="false">
      <c r="A20783" s="0" t="n">
        <f aca="false">CONVERT(168,"uJ","keV")</f>
        <v>1048564776000</v>
      </c>
      <c r="B20783" s="0" t="s">
        <v>20609</v>
      </c>
    </row>
    <row r="20784" customFormat="false" ht="15" hidden="false" customHeight="false" outlineLevel="0" collapsed="false">
      <c r="A20784" s="0" t="n">
        <f aca="false">CONVERT(-12.809,"Mcal","c")</f>
        <v>-12817583.739881</v>
      </c>
      <c r="B20784" s="0" t="s">
        <v>20610</v>
      </c>
    </row>
    <row r="20785" customFormat="false" ht="15" hidden="false" customHeight="false" outlineLevel="0" collapsed="false">
      <c r="A20785" s="0" t="n">
        <f aca="false">CONVERT(224.3,"e","BTU")</f>
        <v>2.12594919606384E-008</v>
      </c>
      <c r="B20785" s="0" t="s">
        <v>20611</v>
      </c>
    </row>
    <row r="20786" customFormat="false" ht="15" hidden="false" customHeight="false" outlineLevel="0" collapsed="false">
      <c r="A20786" s="0" t="n">
        <f aca="false">CONVERT(187.973,"eV","Mcal")</f>
        <v>7.19329396862814E-024</v>
      </c>
      <c r="B20786" s="0" t="s">
        <v>20612</v>
      </c>
    </row>
    <row r="20787" customFormat="false" ht="15" hidden="false" customHeight="false" outlineLevel="0" collapsed="false">
      <c r="A20787" s="0" t="n">
        <f aca="false">CONVERT(249.181,"mJ","cal")</f>
        <v>0.0595159326303684</v>
      </c>
      <c r="B20787" s="0" t="s">
        <v>20613</v>
      </c>
    </row>
    <row r="20788" customFormat="false" ht="15" hidden="false" customHeight="false" outlineLevel="0" collapsed="false">
      <c r="A20788" s="0" t="n">
        <f aca="false">CONVERT(406.2,"BTU","e")</f>
        <v>4285646156017.74</v>
      </c>
      <c r="B20788" s="0" t="s">
        <v>20614</v>
      </c>
    </row>
    <row r="20789" customFormat="false" ht="15" hidden="false" customHeight="false" outlineLevel="0" collapsed="false">
      <c r="A20789" s="0" t="n">
        <f aca="false">CONVERT(373,"hh","BTU")</f>
        <v>949071.732183557</v>
      </c>
      <c r="B20789" s="0" t="s">
        <v>20615</v>
      </c>
    </row>
    <row r="20790" customFormat="false" ht="15" hidden="false" customHeight="false" outlineLevel="0" collapsed="false">
      <c r="A20790" s="0" t="n">
        <f aca="false">CONVERT(417.636,"cal","kJ")</f>
        <v>1.74855625236223</v>
      </c>
      <c r="B20790" s="0" t="s">
        <v>20616</v>
      </c>
    </row>
    <row r="20791" customFormat="false" ht="15" hidden="false" customHeight="false" outlineLevel="0" collapsed="false">
      <c r="A20791" s="0" t="n">
        <f aca="false">CONVERT(468,"BTU","btu")</f>
        <v>468</v>
      </c>
      <c r="B20791" s="0" t="s">
        <v>20617</v>
      </c>
    </row>
    <row r="20792" customFormat="false" ht="15" hidden="false" customHeight="false" outlineLevel="0" collapsed="false">
      <c r="A20792" s="0" t="n">
        <f aca="false">CONVERT(295.865,"keV","kJ")</f>
        <v>4.74031944784687E-017</v>
      </c>
      <c r="B20792" s="0" t="s">
        <v>20618</v>
      </c>
    </row>
    <row r="20793" customFormat="false" ht="15" hidden="false" customHeight="false" outlineLevel="0" collapsed="false">
      <c r="A20793" s="0" t="n">
        <f aca="false">CONVERT(-30.5,"mJ","J")</f>
        <v>-0.0305</v>
      </c>
      <c r="B20793" s="0" t="s">
        <v>20619</v>
      </c>
    </row>
    <row r="20794" customFormat="false" ht="15" hidden="false" customHeight="false" outlineLevel="0" collapsed="false">
      <c r="A20794" s="0" t="n">
        <f aca="false">CONVERT(317.819,"BTU","mJ")</f>
        <v>335317522.318907</v>
      </c>
      <c r="B20794" s="0" t="s">
        <v>20620</v>
      </c>
    </row>
    <row r="20795" customFormat="false" ht="15" hidden="false" customHeight="false" outlineLevel="0" collapsed="false">
      <c r="A20795" s="0" t="n">
        <f aca="false">CONVERT(467.468,"uJ","HPh")</f>
        <v>1.74134686748889E-010</v>
      </c>
      <c r="B20795" s="0" t="s">
        <v>20621</v>
      </c>
    </row>
    <row r="20796" customFormat="false" ht="15" hidden="false" customHeight="false" outlineLevel="0" collapsed="false">
      <c r="A20796" s="0" t="n">
        <f aca="false">CONVERT(372.2,"kWh","hh")</f>
        <v>499.1283884</v>
      </c>
      <c r="B20796" s="0" t="s">
        <v>20622</v>
      </c>
    </row>
    <row r="20797" customFormat="false" ht="15" hidden="false" customHeight="false" outlineLevel="0" collapsed="false">
      <c r="A20797" s="0" t="n">
        <f aca="false">CONVERT(216.5,"c","mJ")</f>
        <v>905834.054452348</v>
      </c>
      <c r="B20797" s="0" t="s">
        <v>20623</v>
      </c>
    </row>
    <row r="20798" customFormat="false" ht="15" hidden="false" customHeight="false" outlineLevel="0" collapsed="false">
      <c r="A20798" s="0" t="n">
        <f aca="false">CONVERT(499.1,"hh","J")</f>
        <v>1339843790.78046</v>
      </c>
      <c r="B20798" s="0" t="s">
        <v>20624</v>
      </c>
    </row>
    <row r="20799" customFormat="false" ht="15" hidden="false" customHeight="false" outlineLevel="0" collapsed="false">
      <c r="A20799" s="0" t="n">
        <f aca="false">CONVERT(469,"uJ","Mcal")</f>
        <v>1.12018863411106E-010</v>
      </c>
      <c r="B20799" s="0" t="s">
        <v>20625</v>
      </c>
    </row>
    <row r="20800" customFormat="false" ht="15" hidden="false" customHeight="false" outlineLevel="0" collapsed="false">
      <c r="A20800" s="0" t="n">
        <f aca="false">CONVERT(-48,"flb","kJ")</f>
        <v>-0.00202272001553483</v>
      </c>
      <c r="B20800" s="0" t="s">
        <v>20626</v>
      </c>
    </row>
    <row r="20801" customFormat="false" ht="15" hidden="false" customHeight="false" outlineLevel="0" collapsed="false">
      <c r="A20801" s="0" t="n">
        <f aca="false">CONVERT(429.2,"kWh","ev")</f>
        <v>9.64380003984E+027</v>
      </c>
      <c r="B20801" s="0" t="s">
        <v>20627</v>
      </c>
    </row>
    <row r="20802" customFormat="false" ht="15" hidden="false" customHeight="false" outlineLevel="0" collapsed="false">
      <c r="A20802" s="0" t="n">
        <f aca="false">CONVERT(387.7,"kJ","Mcal")</f>
        <v>0.09260066811191</v>
      </c>
      <c r="B20802" s="0" t="s">
        <v>20628</v>
      </c>
    </row>
    <row r="20803" customFormat="false" ht="15" hidden="false" customHeight="false" outlineLevel="0" collapsed="false">
      <c r="A20803" s="0" t="n">
        <f aca="false">CONVERT(294.9,"Mcal","keV")</f>
        <v>7.70623833000001E+024</v>
      </c>
      <c r="B20803" s="0" t="s">
        <v>20629</v>
      </c>
    </row>
    <row r="20804" customFormat="false" ht="15" hidden="false" customHeight="false" outlineLevel="0" collapsed="false">
      <c r="A20804" s="0" t="n">
        <f aca="false">CONVERT(19.078,"W","w")</f>
        <v>19.078</v>
      </c>
      <c r="B20804" s="0" t="s">
        <v>20630</v>
      </c>
    </row>
    <row r="20805" customFormat="false" ht="15" hidden="false" customHeight="false" outlineLevel="0" collapsed="false">
      <c r="A20805" s="0" t="n">
        <f aca="false">CONVERT(256.8,"MW","HP")</f>
        <v>344374.4496</v>
      </c>
      <c r="B20805" s="0" t="s">
        <v>20631</v>
      </c>
    </row>
    <row r="20806" customFormat="false" ht="15" hidden="false" customHeight="false" outlineLevel="0" collapsed="false">
      <c r="A20806" s="0" t="n">
        <f aca="false">CONVERT(120,"W","W")</f>
        <v>120</v>
      </c>
      <c r="B20806" s="0" t="s">
        <v>20632</v>
      </c>
    </row>
    <row r="20807" customFormat="false" ht="15" hidden="false" customHeight="false" outlineLevel="0" collapsed="false">
      <c r="A20807" s="0" t="n">
        <f aca="false">CONVERT(401,"HP","GW")</f>
        <v>0.000299025668482695</v>
      </c>
      <c r="B20807" s="0" t="s">
        <v>20633</v>
      </c>
    </row>
    <row r="20808" customFormat="false" ht="15" hidden="false" customHeight="false" outlineLevel="0" collapsed="false">
      <c r="A20808" s="0" t="n">
        <f aca="false">CONVERT(404,"HP","mW")</f>
        <v>301262768.246904</v>
      </c>
      <c r="B20808" s="0" t="s">
        <v>20634</v>
      </c>
    </row>
    <row r="20809" customFormat="false" ht="15" hidden="false" customHeight="false" outlineLevel="0" collapsed="false">
      <c r="A20809" s="0" t="n">
        <f aca="false">CONVERT(451.3,"GW","GW")</f>
        <v>451.3</v>
      </c>
      <c r="B20809" s="0" t="s">
        <v>20635</v>
      </c>
    </row>
    <row r="20810" customFormat="false" ht="15" hidden="false" customHeight="false" outlineLevel="0" collapsed="false">
      <c r="A20810" s="0" t="n">
        <f aca="false">CONVERT(336.514,"PS","W")</f>
        <v>247505.556691492</v>
      </c>
      <c r="B20810" s="0" t="s">
        <v>20636</v>
      </c>
    </row>
    <row r="20811" customFormat="false" ht="15" hidden="false" customHeight="false" outlineLevel="0" collapsed="false">
      <c r="A20811" s="0" t="n">
        <f aca="false">CONVERT(130,"PS","GW")</f>
        <v>9.56148105870602E-005</v>
      </c>
      <c r="B20811" s="0" t="s">
        <v>20637</v>
      </c>
    </row>
    <row r="20812" customFormat="false" ht="15" hidden="false" customHeight="false" outlineLevel="0" collapsed="false">
      <c r="A20812" s="0" t="n">
        <f aca="false">CONVERT(237,"kW","kW")</f>
        <v>237</v>
      </c>
      <c r="B20812" s="0" t="s">
        <v>20638</v>
      </c>
    </row>
    <row r="20813" customFormat="false" ht="15" hidden="false" customHeight="false" outlineLevel="0" collapsed="false">
      <c r="A20813" s="0" t="n">
        <f aca="false">CONVERT(181.886,"mW","w")</f>
        <v>0.181886</v>
      </c>
      <c r="B20813" s="0" t="s">
        <v>20639</v>
      </c>
    </row>
    <row r="20814" customFormat="false" ht="15" hidden="false" customHeight="false" outlineLevel="0" collapsed="false">
      <c r="A20814" s="0" t="n">
        <f aca="false">CONVERT(-29.137,"mW","MW")</f>
        <v>-2.9137E-008</v>
      </c>
      <c r="B20814" s="0" t="s">
        <v>20640</v>
      </c>
    </row>
    <row r="20815" customFormat="false" ht="15" hidden="false" customHeight="false" outlineLevel="0" collapsed="false">
      <c r="A20815" s="0" t="n">
        <f aca="false">CONVERT(304.132,"w","w")</f>
        <v>304.132</v>
      </c>
      <c r="B20815" s="0" t="s">
        <v>20641</v>
      </c>
    </row>
    <row r="20816" customFormat="false" ht="15" hidden="false" customHeight="false" outlineLevel="0" collapsed="false">
      <c r="A20816" s="0" t="n">
        <f aca="false">CONVERT(167.305,"mW","HP")</f>
        <v>0.00022435968571</v>
      </c>
      <c r="B20816" s="0" t="s">
        <v>20642</v>
      </c>
    </row>
    <row r="20817" customFormat="false" ht="15" hidden="false" customHeight="false" outlineLevel="0" collapsed="false">
      <c r="A20817" s="0" t="n">
        <f aca="false">CONVERT(37.739,"MW","HP")</f>
        <v>50608.829258</v>
      </c>
      <c r="B20817" s="0" t="s">
        <v>20643</v>
      </c>
    </row>
    <row r="20818" customFormat="false" ht="15" hidden="false" customHeight="false" outlineLevel="0" collapsed="false">
      <c r="A20818" s="0" t="n">
        <f aca="false">CONVERT(45.452,"HP","GW")</f>
        <v>3.38935528276195E-005</v>
      </c>
      <c r="B20818" s="0" t="s">
        <v>20644</v>
      </c>
    </row>
    <row r="20819" customFormat="false" ht="15" hidden="false" customHeight="false" outlineLevel="0" collapsed="false">
      <c r="A20819" s="0" t="n">
        <f aca="false">CONVERT(44.618,"MW","PS")</f>
        <v>60663.614396</v>
      </c>
      <c r="B20819" s="0" t="s">
        <v>20645</v>
      </c>
    </row>
    <row r="20820" customFormat="false" ht="15" hidden="false" customHeight="false" outlineLevel="0" collapsed="false">
      <c r="A20820" s="0" t="n">
        <f aca="false">CONVERT(0.275,"h","w")</f>
        <v>205.067478385888</v>
      </c>
      <c r="B20820" s="0" t="s">
        <v>20646</v>
      </c>
    </row>
    <row r="20821" customFormat="false" ht="15" hidden="false" customHeight="false" outlineLevel="0" collapsed="false">
      <c r="A20821" s="0" t="n">
        <f aca="false">CONVERT(36.748,"kW","h")</f>
        <v>49.279876456</v>
      </c>
      <c r="B20821" s="0" t="s">
        <v>20647</v>
      </c>
    </row>
    <row r="20822" customFormat="false" ht="15" hidden="false" customHeight="false" outlineLevel="0" collapsed="false">
      <c r="A20822" s="0" t="n">
        <f aca="false">CONVERT(-10,"MW","kW")</f>
        <v>-10000</v>
      </c>
      <c r="B20822" s="0" t="s">
        <v>20648</v>
      </c>
    </row>
    <row r="20823" customFormat="false" ht="15" hidden="false" customHeight="false" outlineLevel="0" collapsed="false">
      <c r="A20823" s="0" t="n">
        <f aca="false">CONVERT(164,"MW","h")</f>
        <v>219927.608</v>
      </c>
      <c r="B20823" s="0" t="s">
        <v>20649</v>
      </c>
    </row>
    <row r="20824" customFormat="false" ht="15" hidden="false" customHeight="false" outlineLevel="0" collapsed="false">
      <c r="A20824" s="0" t="n">
        <f aca="false">CONVERT(60.1,"GW","w")</f>
        <v>60100000000</v>
      </c>
      <c r="B20824" s="0" t="s">
        <v>20650</v>
      </c>
    </row>
    <row r="20825" customFormat="false" ht="15" hidden="false" customHeight="false" outlineLevel="0" collapsed="false">
      <c r="A20825" s="0" t="n">
        <f aca="false">CONVERT(427.7,"HP","W")</f>
        <v>318935.856384161</v>
      </c>
      <c r="B20825" s="0" t="s">
        <v>20651</v>
      </c>
    </row>
    <row r="20826" customFormat="false" ht="15" hidden="false" customHeight="false" outlineLevel="0" collapsed="false">
      <c r="A20826" s="0" t="n">
        <f aca="false">CONVERT(-16,"W","PS")</f>
        <v>-0.021753952</v>
      </c>
      <c r="B20826" s="0" t="s">
        <v>20652</v>
      </c>
    </row>
    <row r="20827" customFormat="false" ht="15" hidden="false" customHeight="false" outlineLevel="0" collapsed="false">
      <c r="A20827" s="0" t="n">
        <f aca="false">CONVERT(308.947,"GW","w")</f>
        <v>308947000000</v>
      </c>
      <c r="B20827" s="0" t="s">
        <v>20653</v>
      </c>
    </row>
    <row r="20828" customFormat="false" ht="15" hidden="false" customHeight="false" outlineLevel="0" collapsed="false">
      <c r="A20828" s="0" t="n">
        <f aca="false">CONVERT(499,"GW","W")</f>
        <v>499000000000</v>
      </c>
      <c r="B20828" s="0" t="s">
        <v>20654</v>
      </c>
    </row>
    <row r="20829" customFormat="false" ht="15" hidden="false" customHeight="false" outlineLevel="0" collapsed="false">
      <c r="A20829" s="0" t="n">
        <f aca="false">CONVERT(259.256,"MW","mW")</f>
        <v>259256000000</v>
      </c>
      <c r="B20829" s="0" t="s">
        <v>20655</v>
      </c>
    </row>
    <row r="20830" customFormat="false" ht="15" hidden="false" customHeight="false" outlineLevel="0" collapsed="false">
      <c r="A20830" s="0" t="n">
        <f aca="false">CONVERT(415.153,"h","MW")</f>
        <v>0.309579559470314</v>
      </c>
      <c r="B20830" s="0" t="s">
        <v>20656</v>
      </c>
    </row>
    <row r="20831" customFormat="false" ht="15" hidden="false" customHeight="false" outlineLevel="0" collapsed="false">
      <c r="A20831" s="0" t="n">
        <f aca="false">CONVERT(270.4,"HP","w")</f>
        <v>201637.258747433</v>
      </c>
      <c r="B20831" s="0" t="s">
        <v>20657</v>
      </c>
    </row>
    <row r="20832" customFormat="false" ht="15" hidden="false" customHeight="false" outlineLevel="0" collapsed="false">
      <c r="A20832" s="0" t="n">
        <f aca="false">CONVERT(81.369,"h","mW")</f>
        <v>60676856.9046593</v>
      </c>
      <c r="B20832" s="0" t="s">
        <v>20658</v>
      </c>
    </row>
    <row r="20833" customFormat="false" ht="15" hidden="false" customHeight="false" outlineLevel="0" collapsed="false">
      <c r="A20833" s="0" t="n">
        <f aca="false">CONVERT(449.335,"GW","GW")</f>
        <v>449.335</v>
      </c>
      <c r="B20833" s="0" t="s">
        <v>20659</v>
      </c>
    </row>
    <row r="20834" customFormat="false" ht="15" hidden="false" customHeight="false" outlineLevel="0" collapsed="false">
      <c r="A20834" s="0" t="n">
        <f aca="false">CONVERT(405,"kW","HP")</f>
        <v>543.11391</v>
      </c>
      <c r="B20834" s="0" t="s">
        <v>20660</v>
      </c>
    </row>
    <row r="20835" customFormat="false" ht="15" hidden="false" customHeight="false" outlineLevel="0" collapsed="false">
      <c r="A20835" s="0" t="n">
        <f aca="false">CONVERT(10.07,"W","HP")</f>
        <v>0.01350409154</v>
      </c>
      <c r="B20835" s="0" t="s">
        <v>20661</v>
      </c>
    </row>
    <row r="20836" customFormat="false" ht="15" hidden="false" customHeight="false" outlineLevel="0" collapsed="false">
      <c r="A20836" s="0" t="n">
        <f aca="false">CONVERT(343.4,"W","MW")</f>
        <v>0.0003434</v>
      </c>
      <c r="B20836" s="0" t="s">
        <v>20662</v>
      </c>
    </row>
    <row r="20837" customFormat="false" ht="15" hidden="false" customHeight="false" outlineLevel="0" collapsed="false">
      <c r="A20837" s="0" t="n">
        <f aca="false">CONVERT(-47.6,"kW","kW")</f>
        <v>-47.6</v>
      </c>
      <c r="B20837" s="0" t="s">
        <v>20663</v>
      </c>
    </row>
    <row r="20838" customFormat="false" ht="15" hidden="false" customHeight="false" outlineLevel="0" collapsed="false">
      <c r="A20838" s="0" t="n">
        <f aca="false">CONVERT(341.3,"GW","GW")</f>
        <v>341.3</v>
      </c>
      <c r="B20838" s="0" t="s">
        <v>20664</v>
      </c>
    </row>
    <row r="20839" customFormat="false" ht="15" hidden="false" customHeight="false" outlineLevel="0" collapsed="false">
      <c r="A20839" s="0" t="n">
        <f aca="false">CONVERT(416,"mW","MW")</f>
        <v>4.16E-007</v>
      </c>
      <c r="B20839" s="0" t="s">
        <v>20665</v>
      </c>
    </row>
    <row r="20840" customFormat="false" ht="15" hidden="false" customHeight="false" outlineLevel="0" collapsed="false">
      <c r="A20840" s="0" t="n">
        <f aca="false">CONVERT(387.2,"mW","h")</f>
        <v>0.0005192437184</v>
      </c>
      <c r="B20840" s="0" t="s">
        <v>20666</v>
      </c>
    </row>
    <row r="20841" customFormat="false" ht="15" hidden="false" customHeight="false" outlineLevel="0" collapsed="false">
      <c r="A20841" s="0" t="n">
        <f aca="false">CONVERT(386.4,"mW","kW")</f>
        <v>0.0003864</v>
      </c>
      <c r="B20841" s="0" t="s">
        <v>20667</v>
      </c>
    </row>
    <row r="20842" customFormat="false" ht="15" hidden="false" customHeight="false" outlineLevel="0" collapsed="false">
      <c r="A20842" s="0" t="n">
        <f aca="false">CONVERT(349.271,"PS","GW")</f>
        <v>0.000256888311604255</v>
      </c>
      <c r="B20842" s="0" t="s">
        <v>20668</v>
      </c>
    </row>
    <row r="20843" customFormat="false" ht="15" hidden="false" customHeight="false" outlineLevel="0" collapsed="false">
      <c r="A20843" s="0" t="n">
        <f aca="false">CONVERT(26.612,"HP","PS")</f>
        <v>26.9811089333359</v>
      </c>
      <c r="B20843" s="0" t="s">
        <v>20669</v>
      </c>
    </row>
    <row r="20844" customFormat="false" ht="15" hidden="false" customHeight="false" outlineLevel="0" collapsed="false">
      <c r="A20844" s="0" t="n">
        <f aca="false">CONVERT(-7.05,"uT","uT")</f>
        <v>-7.05</v>
      </c>
      <c r="B20844" s="0" t="s">
        <v>20670</v>
      </c>
    </row>
    <row r="20845" customFormat="false" ht="15" hidden="false" customHeight="false" outlineLevel="0" collapsed="false">
      <c r="A20845" s="0" t="n">
        <f aca="false">CONVERT(76.996,"T","ga")</f>
        <v>769960</v>
      </c>
      <c r="B20845" s="0" t="s">
        <v>20671</v>
      </c>
    </row>
    <row r="20846" customFormat="false" ht="15" hidden="false" customHeight="false" outlineLevel="0" collapsed="false">
      <c r="A20846" s="0" t="n">
        <f aca="false">CONVERT(473.4,"ga","ga")</f>
        <v>473.4</v>
      </c>
      <c r="B20846" s="0" t="s">
        <v>20672</v>
      </c>
    </row>
    <row r="20847" customFormat="false" ht="15" hidden="false" customHeight="false" outlineLevel="0" collapsed="false">
      <c r="A20847" s="0" t="n">
        <f aca="false">CONVERT(239,"uT","nT")</f>
        <v>239000</v>
      </c>
      <c r="B20847" s="0" t="s">
        <v>20673</v>
      </c>
    </row>
    <row r="20848" customFormat="false" ht="15" hidden="false" customHeight="false" outlineLevel="0" collapsed="false">
      <c r="A20848" s="0" t="n">
        <f aca="false">CONVERT(203,"uT","T")</f>
        <v>0.000203</v>
      </c>
      <c r="B20848" s="0" t="s">
        <v>20674</v>
      </c>
    </row>
    <row r="20849" customFormat="false" ht="15" hidden="false" customHeight="false" outlineLevel="0" collapsed="false">
      <c r="A20849" s="0" t="n">
        <f aca="false">CONVERT(262.6,"ga","T")</f>
        <v>0.02626</v>
      </c>
      <c r="B20849" s="0" t="s">
        <v>20675</v>
      </c>
    </row>
    <row r="20850" customFormat="false" ht="15" hidden="false" customHeight="false" outlineLevel="0" collapsed="false">
      <c r="A20850" s="0" t="n">
        <f aca="false">CONVERT(122.5,"T","T")</f>
        <v>122.5</v>
      </c>
      <c r="B20850" s="0" t="s">
        <v>20676</v>
      </c>
    </row>
    <row r="20851" customFormat="false" ht="15" hidden="false" customHeight="false" outlineLevel="0" collapsed="false">
      <c r="A20851" s="0" t="n">
        <f aca="false">CONVERT(447.235,"T","nT")</f>
        <v>447235000000</v>
      </c>
      <c r="B20851" s="0" t="s">
        <v>20677</v>
      </c>
    </row>
    <row r="20852" customFormat="false" ht="15" hidden="false" customHeight="false" outlineLevel="0" collapsed="false">
      <c r="A20852" s="0" t="n">
        <f aca="false">CONVERT(66,"ga","nT")</f>
        <v>6600000</v>
      </c>
      <c r="B20852" s="0" t="s">
        <v>20678</v>
      </c>
    </row>
    <row r="20853" customFormat="false" ht="15" hidden="false" customHeight="false" outlineLevel="0" collapsed="false">
      <c r="A20853" s="0" t="n">
        <f aca="false">CONVERT(37.5,"nT","mT")</f>
        <v>3.75E-005</v>
      </c>
      <c r="B20853" s="0" t="s">
        <v>20679</v>
      </c>
    </row>
    <row r="20854" customFormat="false" ht="15" hidden="false" customHeight="false" outlineLevel="0" collapsed="false">
      <c r="A20854" s="0" t="n">
        <f aca="false">CONVERT(344,"ga","nT")</f>
        <v>34400000</v>
      </c>
      <c r="B20854" s="0" t="s">
        <v>20680</v>
      </c>
    </row>
    <row r="20855" customFormat="false" ht="15" hidden="false" customHeight="false" outlineLevel="0" collapsed="false">
      <c r="A20855" s="0" t="n">
        <f aca="false">CONVERT(186.789,"kga","ga")</f>
        <v>186789</v>
      </c>
      <c r="B20855" s="0" t="s">
        <v>20681</v>
      </c>
    </row>
    <row r="20856" customFormat="false" ht="15" hidden="false" customHeight="false" outlineLevel="0" collapsed="false">
      <c r="A20856" s="0" t="n">
        <f aca="false">CONVERT(-35.5,"mT","uT")</f>
        <v>-35500</v>
      </c>
      <c r="B20856" s="0" t="s">
        <v>20682</v>
      </c>
    </row>
    <row r="20857" customFormat="false" ht="15" hidden="false" customHeight="false" outlineLevel="0" collapsed="false">
      <c r="A20857" s="0" t="n">
        <f aca="false">CONVERT(207,"nT","mT")</f>
        <v>0.000207</v>
      </c>
      <c r="B20857" s="0" t="s">
        <v>20683</v>
      </c>
    </row>
    <row r="20858" customFormat="false" ht="15" hidden="false" customHeight="false" outlineLevel="0" collapsed="false">
      <c r="A20858" s="0" t="n">
        <f aca="false">CONVERT(272.1,"T","T")</f>
        <v>272.1</v>
      </c>
      <c r="B20858" s="0" t="s">
        <v>20684</v>
      </c>
    </row>
    <row r="20859" customFormat="false" ht="15" hidden="false" customHeight="false" outlineLevel="0" collapsed="false">
      <c r="A20859" s="0" t="n">
        <f aca="false">CONVERT(483.031,"kga","T")</f>
        <v>48.3031</v>
      </c>
      <c r="B20859" s="0" t="s">
        <v>20685</v>
      </c>
    </row>
    <row r="20860" customFormat="false" ht="15" hidden="false" customHeight="false" outlineLevel="0" collapsed="false">
      <c r="A20860" s="0" t="n">
        <f aca="false">CONVERT(72.201,"T","nT")</f>
        <v>72201000000</v>
      </c>
      <c r="B20860" s="0" t="s">
        <v>20686</v>
      </c>
    </row>
    <row r="20861" customFormat="false" ht="15" hidden="false" customHeight="false" outlineLevel="0" collapsed="false">
      <c r="A20861" s="0" t="n">
        <f aca="false">CONVERT(293.5,"kga","mT")</f>
        <v>29350</v>
      </c>
      <c r="B20861" s="0" t="s">
        <v>20687</v>
      </c>
    </row>
    <row r="20862" customFormat="false" ht="15" hidden="false" customHeight="false" outlineLevel="0" collapsed="false">
      <c r="A20862" s="0" t="n">
        <f aca="false">CONVERT(78.9,"T","uT")</f>
        <v>78900000</v>
      </c>
      <c r="B20862" s="0" t="s">
        <v>20688</v>
      </c>
    </row>
    <row r="20863" customFormat="false" ht="15" hidden="false" customHeight="false" outlineLevel="0" collapsed="false">
      <c r="A20863" s="0" t="n">
        <f aca="false">CONVERT(384.909,"mT","kga")</f>
        <v>3.84909</v>
      </c>
      <c r="B20863" s="0" t="s">
        <v>20689</v>
      </c>
    </row>
    <row r="20864" customFormat="false" ht="15" hidden="false" customHeight="false" outlineLevel="0" collapsed="false">
      <c r="A20864" s="0" t="n">
        <f aca="false">CONVERT(-7.2,"kga","kga")</f>
        <v>-7.2</v>
      </c>
      <c r="B20864" s="0" t="s">
        <v>20690</v>
      </c>
    </row>
    <row r="20865" customFormat="false" ht="15" hidden="false" customHeight="false" outlineLevel="0" collapsed="false">
      <c r="A20865" s="0" t="n">
        <f aca="false">CONVERT(442,"T","uT")</f>
        <v>442000000</v>
      </c>
      <c r="B20865" s="0" t="s">
        <v>20691</v>
      </c>
    </row>
    <row r="20866" customFormat="false" ht="15" hidden="false" customHeight="false" outlineLevel="0" collapsed="false">
      <c r="A20866" s="0" t="n">
        <f aca="false">CONVERT(339.904,"T","T")</f>
        <v>339.904</v>
      </c>
      <c r="B20866" s="0" t="s">
        <v>20692</v>
      </c>
    </row>
    <row r="20867" customFormat="false" ht="15" hidden="false" customHeight="false" outlineLevel="0" collapsed="false">
      <c r="A20867" s="0" t="n">
        <f aca="false">CONVERT(309.8,"uT","nT")</f>
        <v>309800</v>
      </c>
      <c r="B20867" s="0" t="s">
        <v>20693</v>
      </c>
    </row>
    <row r="20868" customFormat="false" ht="15" hidden="false" customHeight="false" outlineLevel="0" collapsed="false">
      <c r="A20868" s="0" t="n">
        <f aca="false">CONVERT(105.4,"T","kga")</f>
        <v>1054</v>
      </c>
      <c r="B20868" s="0" t="s">
        <v>20694</v>
      </c>
    </row>
    <row r="20869" customFormat="false" ht="15" hidden="false" customHeight="false" outlineLevel="0" collapsed="false">
      <c r="A20869" s="0" t="n">
        <f aca="false">CONVERT(-36.591,"kga","mT")</f>
        <v>-3659.1</v>
      </c>
      <c r="B20869" s="0" t="s">
        <v>20695</v>
      </c>
    </row>
    <row r="20870" customFormat="false" ht="15" hidden="false" customHeight="false" outlineLevel="0" collapsed="false">
      <c r="A20870" s="0" t="n">
        <f aca="false">CONVERT(128.1,"kga","kga")</f>
        <v>128.1</v>
      </c>
      <c r="B20870" s="0" t="s">
        <v>20696</v>
      </c>
    </row>
    <row r="20871" customFormat="false" ht="15" hidden="false" customHeight="false" outlineLevel="0" collapsed="false">
      <c r="A20871" s="0" t="n">
        <f aca="false">CONVERT(400,"mT","mT")</f>
        <v>400</v>
      </c>
      <c r="B20871" s="0" t="s">
        <v>20697</v>
      </c>
    </row>
    <row r="20872" customFormat="false" ht="15" hidden="false" customHeight="false" outlineLevel="0" collapsed="false">
      <c r="A20872" s="0" t="n">
        <f aca="false">CONVERT(-47,"T","ga")</f>
        <v>-470000</v>
      </c>
      <c r="B20872" s="0" t="s">
        <v>20698</v>
      </c>
    </row>
    <row r="20873" customFormat="false" ht="15" hidden="false" customHeight="false" outlineLevel="0" collapsed="false">
      <c r="A20873" s="0" t="n">
        <f aca="false">CONVERT(414,"ga","mT")</f>
        <v>41.4</v>
      </c>
      <c r="B20873" s="0" t="s">
        <v>20699</v>
      </c>
    </row>
    <row r="20874" customFormat="false" ht="15" hidden="false" customHeight="false" outlineLevel="0" collapsed="false">
      <c r="A20874" s="0" t="n">
        <f aca="false">CONVERT(274,"kga","T")</f>
        <v>27.4</v>
      </c>
      <c r="B20874" s="0" t="s">
        <v>20700</v>
      </c>
    </row>
    <row r="20875" customFormat="false" ht="15" hidden="false" customHeight="false" outlineLevel="0" collapsed="false">
      <c r="A20875" s="0" t="n">
        <f aca="false">CONVERT(126.43,"nT","nT")</f>
        <v>126.43</v>
      </c>
      <c r="B20875" s="0" t="s">
        <v>20701</v>
      </c>
    </row>
    <row r="20876" customFormat="false" ht="15" hidden="false" customHeight="false" outlineLevel="0" collapsed="false">
      <c r="A20876" s="0" t="n">
        <f aca="false">CONVERT(79.453,"mT","kga")</f>
        <v>0.79453</v>
      </c>
      <c r="B20876" s="0" t="s">
        <v>20702</v>
      </c>
    </row>
    <row r="20877" customFormat="false" ht="15" hidden="false" customHeight="false" outlineLevel="0" collapsed="false">
      <c r="A20877" s="0" t="n">
        <f aca="false">CONVERT(352.3,"mT","mT")</f>
        <v>352.3</v>
      </c>
      <c r="B20877" s="0" t="s">
        <v>20703</v>
      </c>
    </row>
    <row r="20878" customFormat="false" ht="15" hidden="false" customHeight="false" outlineLevel="0" collapsed="false">
      <c r="A20878" s="0" t="n">
        <f aca="false">CONVERT(-38.747,"kga","T")</f>
        <v>-3.8747</v>
      </c>
      <c r="B20878" s="0" t="s">
        <v>20704</v>
      </c>
    </row>
    <row r="20879" customFormat="false" ht="15" hidden="false" customHeight="false" outlineLevel="0" collapsed="false">
      <c r="A20879" s="0" t="n">
        <f aca="false">CONVERT(208.139,"nT","uT")</f>
        <v>0.208139</v>
      </c>
      <c r="B20879" s="0" t="s">
        <v>20705</v>
      </c>
    </row>
    <row r="20880" customFormat="false" ht="15" hidden="false" customHeight="false" outlineLevel="0" collapsed="false">
      <c r="A20880" s="0" t="n">
        <f aca="false">CONVERT(468.519,"ga","uT")</f>
        <v>46851.9</v>
      </c>
      <c r="B20880" s="0" t="s">
        <v>20706</v>
      </c>
    </row>
    <row r="20881" customFormat="false" ht="15" hidden="false" customHeight="false" outlineLevel="0" collapsed="false">
      <c r="A20881" s="0" t="n">
        <f aca="false">CONVERT(256.9,"mT","nT")</f>
        <v>256900000</v>
      </c>
      <c r="B20881" s="0" t="s">
        <v>20707</v>
      </c>
    </row>
    <row r="20882" customFormat="false" ht="15" hidden="false" customHeight="false" outlineLevel="0" collapsed="false">
      <c r="A20882" s="0" t="n">
        <f aca="false">CONVERT(279,"uT","ga")</f>
        <v>2.79</v>
      </c>
      <c r="B20882" s="0" t="s">
        <v>20708</v>
      </c>
    </row>
    <row r="20883" customFormat="false" ht="15" hidden="false" customHeight="false" outlineLevel="0" collapsed="false">
      <c r="A20883" s="0" t="n">
        <f aca="false">CONVERT(325,"uT","uT")</f>
        <v>325</v>
      </c>
      <c r="B20883" s="0" t="s">
        <v>20709</v>
      </c>
    </row>
    <row r="20884" customFormat="false" ht="15" hidden="false" customHeight="false" outlineLevel="0" collapsed="false">
      <c r="A20884" s="0" t="n">
        <f aca="false">CONVERT(73.5,"cel","fah")</f>
        <v>164.3</v>
      </c>
      <c r="B20884" s="0" t="s">
        <v>20710</v>
      </c>
    </row>
    <row r="20885" customFormat="false" ht="15" hidden="false" customHeight="false" outlineLevel="0" collapsed="false">
      <c r="A20885" s="0" t="n">
        <f aca="false">CONVERT(493,"uK","kel")</f>
        <v>0.000493</v>
      </c>
      <c r="B20885" s="0" t="s">
        <v>20711</v>
      </c>
    </row>
    <row r="20886" customFormat="false" ht="15" hidden="false" customHeight="false" outlineLevel="0" collapsed="false">
      <c r="A20886" s="0" t="n">
        <f aca="false">CONVERT(-36,"C","C")</f>
        <v>-36</v>
      </c>
      <c r="B20886" s="0" t="s">
        <v>20712</v>
      </c>
    </row>
    <row r="20887" customFormat="false" ht="15" hidden="false" customHeight="false" outlineLevel="0" collapsed="false">
      <c r="A20887" s="0" t="n">
        <f aca="false">CONVERT(328.3,"fah","F")</f>
        <v>328.3</v>
      </c>
      <c r="B20887" s="0" t="s">
        <v>20713</v>
      </c>
    </row>
    <row r="20888" customFormat="false" ht="15" hidden="false" customHeight="false" outlineLevel="0" collapsed="false">
      <c r="A20888" s="0" t="n">
        <f aca="false">CONVERT(413.932,"F","K")</f>
        <v>485.334444444444</v>
      </c>
      <c r="B20888" s="0" t="s">
        <v>20714</v>
      </c>
    </row>
    <row r="20889" customFormat="false" ht="15" hidden="false" customHeight="false" outlineLevel="0" collapsed="false">
      <c r="A20889" s="0" t="n">
        <f aca="false">CONVERT(191.261,"Reau","F")</f>
        <v>462.33725</v>
      </c>
      <c r="B20889" s="0" t="s">
        <v>20715</v>
      </c>
    </row>
    <row r="20890" customFormat="false" ht="15" hidden="false" customHeight="false" outlineLevel="0" collapsed="false">
      <c r="A20890" s="0" t="n">
        <f aca="false">CONVERT(311,"cel","F")</f>
        <v>591.8</v>
      </c>
      <c r="B20890" s="0" t="s">
        <v>20716</v>
      </c>
    </row>
    <row r="20891" customFormat="false" ht="15" hidden="false" customHeight="false" outlineLevel="0" collapsed="false">
      <c r="A20891" s="0" t="n">
        <f aca="false">CONVERT(-26,"uK","kel")</f>
        <v>-2.6E-005</v>
      </c>
      <c r="B20891" s="0" t="s">
        <v>20717</v>
      </c>
    </row>
    <row r="20892" customFormat="false" ht="15" hidden="false" customHeight="false" outlineLevel="0" collapsed="false">
      <c r="A20892" s="0" t="n">
        <f aca="false">CONVERT(342.7,"cel","F")</f>
        <v>648.86</v>
      </c>
      <c r="B20892" s="0" t="s">
        <v>20718</v>
      </c>
    </row>
    <row r="20893" customFormat="false" ht="15" hidden="false" customHeight="false" outlineLevel="0" collapsed="false">
      <c r="A20893" s="0" t="n">
        <f aca="false">CONVERT(-2,"kel","K")</f>
        <v>-2</v>
      </c>
      <c r="B20893" s="0" t="s">
        <v>20719</v>
      </c>
    </row>
    <row r="20894" customFormat="false" ht="15" hidden="false" customHeight="false" outlineLevel="0" collapsed="false">
      <c r="A20894" s="0" t="n">
        <f aca="false">CONVERT(363,"F","F")</f>
        <v>363</v>
      </c>
      <c r="B20894" s="0" t="s">
        <v>20720</v>
      </c>
    </row>
    <row r="20895" customFormat="false" ht="15" hidden="false" customHeight="false" outlineLevel="0" collapsed="false">
      <c r="A20895" s="0" t="n">
        <f aca="false">CONVERT(168.3,"Reau","uK")</f>
        <v>483525000</v>
      </c>
      <c r="B20895" s="0" t="s">
        <v>20721</v>
      </c>
    </row>
    <row r="20896" customFormat="false" ht="15" hidden="false" customHeight="false" outlineLevel="0" collapsed="false">
      <c r="A20896" s="0" t="n">
        <f aca="false">CONVERT(405.8,"uK","C")</f>
        <v>-273.1495942</v>
      </c>
      <c r="B20896" s="0" t="s">
        <v>20722</v>
      </c>
    </row>
    <row r="20897" customFormat="false" ht="15" hidden="false" customHeight="false" outlineLevel="0" collapsed="false">
      <c r="A20897" s="0" t="n">
        <f aca="false">CONVERT(378.3,"uK","fah")</f>
        <v>-459.66931906</v>
      </c>
      <c r="B20897" s="0" t="s">
        <v>20723</v>
      </c>
    </row>
    <row r="20898" customFormat="false" ht="15" hidden="false" customHeight="false" outlineLevel="0" collapsed="false">
      <c r="A20898" s="0" t="n">
        <f aca="false">CONVERT(-16.492,"fah","uK")</f>
        <v>246210000</v>
      </c>
      <c r="B20898" s="0" t="s">
        <v>20724</v>
      </c>
    </row>
    <row r="20899" customFormat="false" ht="15" hidden="false" customHeight="false" outlineLevel="0" collapsed="false">
      <c r="A20899" s="0" t="n">
        <f aca="false">CONVERT(173.4,"fah","K")</f>
        <v>351.705555555556</v>
      </c>
      <c r="B20899" s="0" t="s">
        <v>20725</v>
      </c>
    </row>
    <row r="20900" customFormat="false" ht="15" hidden="false" customHeight="false" outlineLevel="0" collapsed="false">
      <c r="A20900" s="0" t="n">
        <f aca="false">CONVERT(204.638,"K","uK")</f>
        <v>204638000</v>
      </c>
      <c r="B20900" s="0" t="s">
        <v>20726</v>
      </c>
    </row>
    <row r="20901" customFormat="false" ht="15" hidden="false" customHeight="false" outlineLevel="0" collapsed="false">
      <c r="A20901" s="0" t="n">
        <f aca="false">CONVERT(186.215,"Rank","uK")</f>
        <v>103452777.777778</v>
      </c>
      <c r="B20901" s="0" t="s">
        <v>20727</v>
      </c>
    </row>
    <row r="20902" customFormat="false" ht="15" hidden="false" customHeight="false" outlineLevel="0" collapsed="false">
      <c r="A20902" s="0" t="n">
        <f aca="false">CONVERT(317,"kK","cel")</f>
        <v>316726.85</v>
      </c>
      <c r="B20902" s="0" t="s">
        <v>20728</v>
      </c>
    </row>
    <row r="20903" customFormat="false" ht="15" hidden="false" customHeight="false" outlineLevel="0" collapsed="false">
      <c r="A20903" s="0" t="n">
        <f aca="false">CONVERT(292,"kK","Rank")</f>
        <v>525600</v>
      </c>
      <c r="B20903" s="0" t="s">
        <v>20729</v>
      </c>
    </row>
    <row r="20904" customFormat="false" ht="15" hidden="false" customHeight="false" outlineLevel="0" collapsed="false">
      <c r="A20904" s="0" t="n">
        <f aca="false">CONVERT(138,"F","kK")</f>
        <v>0.332038888888889</v>
      </c>
      <c r="B20904" s="0" t="s">
        <v>20730</v>
      </c>
    </row>
    <row r="20905" customFormat="false" ht="15" hidden="false" customHeight="false" outlineLevel="0" collapsed="false">
      <c r="A20905" s="0" t="n">
        <f aca="false">CONVERT(166,"kK","F")</f>
        <v>298340.33</v>
      </c>
      <c r="B20905" s="0" t="s">
        <v>20731</v>
      </c>
    </row>
    <row r="20906" customFormat="false" ht="15" hidden="false" customHeight="false" outlineLevel="0" collapsed="false">
      <c r="A20906" s="0" t="n">
        <f aca="false">CONVERT(356.113,"kK","kel")</f>
        <v>356113</v>
      </c>
      <c r="B20906" s="0" t="s">
        <v>20732</v>
      </c>
    </row>
    <row r="20907" customFormat="false" ht="15" hidden="false" customHeight="false" outlineLevel="0" collapsed="false">
      <c r="A20907" s="0" t="n">
        <f aca="false">CONVERT(11,"mK","fah")</f>
        <v>-459.6502</v>
      </c>
      <c r="B20907" s="0" t="s">
        <v>20733</v>
      </c>
    </row>
    <row r="20908" customFormat="false" ht="15" hidden="false" customHeight="false" outlineLevel="0" collapsed="false">
      <c r="A20908" s="0" t="n">
        <f aca="false">CONVERT(12.2,"Reau","kel")</f>
        <v>288.4</v>
      </c>
      <c r="B20908" s="0" t="s">
        <v>20734</v>
      </c>
    </row>
    <row r="20909" customFormat="false" ht="15" hidden="false" customHeight="false" outlineLevel="0" collapsed="false">
      <c r="A20909" s="0" t="n">
        <f aca="false">CONVERT(94.3,"kK","cel")</f>
        <v>94026.85</v>
      </c>
      <c r="B20909" s="0" t="s">
        <v>20735</v>
      </c>
    </row>
    <row r="20910" customFormat="false" ht="15" hidden="false" customHeight="false" outlineLevel="0" collapsed="false">
      <c r="A20910" s="0" t="n">
        <f aca="false">CONVERT(179.35,"C","kK")</f>
        <v>0.4525</v>
      </c>
      <c r="B20910" s="0" t="s">
        <v>20736</v>
      </c>
    </row>
    <row r="20911" customFormat="false" ht="15" hidden="false" customHeight="false" outlineLevel="0" collapsed="false">
      <c r="A20911" s="0" t="n">
        <f aca="false">CONVERT(-39.017,"kel","Reau")</f>
        <v>-249.7336</v>
      </c>
      <c r="B20911" s="0" t="s">
        <v>20737</v>
      </c>
    </row>
    <row r="20912" customFormat="false" ht="15" hidden="false" customHeight="false" outlineLevel="0" collapsed="false">
      <c r="A20912" s="0" t="n">
        <f aca="false">CONVERT(70,"uK","kel")</f>
        <v>7E-005</v>
      </c>
      <c r="B20912" s="0" t="s">
        <v>20738</v>
      </c>
    </row>
    <row r="20913" customFormat="false" ht="15" hidden="false" customHeight="false" outlineLevel="0" collapsed="false">
      <c r="A20913" s="0" t="n">
        <f aca="false">CONVERT(260,"cel","uK")</f>
        <v>533150000</v>
      </c>
      <c r="B20913" s="0" t="s">
        <v>20739</v>
      </c>
    </row>
    <row r="20914" customFormat="false" ht="15" hidden="false" customHeight="false" outlineLevel="0" collapsed="false">
      <c r="A20914" s="0" t="n">
        <f aca="false">CONVERT(438.6,"uK","kK")</f>
        <v>4.386E-007</v>
      </c>
      <c r="B20914" s="0" t="s">
        <v>20740</v>
      </c>
    </row>
    <row r="20915" customFormat="false" ht="15" hidden="false" customHeight="false" outlineLevel="0" collapsed="false">
      <c r="A20915" s="0" t="n">
        <f aca="false">CONVERT(308.74,"Reau","fah")</f>
        <v>726.665</v>
      </c>
      <c r="B20915" s="0" t="s">
        <v>20741</v>
      </c>
    </row>
    <row r="20916" customFormat="false" ht="15" hidden="false" customHeight="false" outlineLevel="0" collapsed="false">
      <c r="A20916" s="0" t="n">
        <f aca="false">CONVERT(255.669,"K","uK")</f>
        <v>255669000</v>
      </c>
      <c r="B20916" s="0" t="s">
        <v>20742</v>
      </c>
    </row>
    <row r="20917" customFormat="false" ht="15" hidden="false" customHeight="false" outlineLevel="0" collapsed="false">
      <c r="A20917" s="0" t="n">
        <f aca="false">CONVERT(178,"kK","mK")</f>
        <v>178000000</v>
      </c>
      <c r="B20917" s="0" t="s">
        <v>20743</v>
      </c>
    </row>
    <row r="20918" customFormat="false" ht="15" hidden="false" customHeight="false" outlineLevel="0" collapsed="false">
      <c r="A20918" s="0" t="n">
        <f aca="false">CONVERT(136.703,"mK","kK")</f>
        <v>0.000136703</v>
      </c>
      <c r="B20918" s="0" t="s">
        <v>20744</v>
      </c>
    </row>
    <row r="20919" customFormat="false" ht="15" hidden="false" customHeight="false" outlineLevel="0" collapsed="false">
      <c r="A20919" s="0" t="n">
        <f aca="false">CONVERT(481,"C","Rank")</f>
        <v>1357.47</v>
      </c>
      <c r="B20919" s="0" t="s">
        <v>20745</v>
      </c>
    </row>
    <row r="20920" customFormat="false" ht="15" hidden="false" customHeight="false" outlineLevel="0" collapsed="false">
      <c r="A20920" s="0" t="n">
        <f aca="false">CONVERT(36,"K","kel")</f>
        <v>36</v>
      </c>
      <c r="B20920" s="0" t="s">
        <v>20746</v>
      </c>
    </row>
    <row r="20921" customFormat="false" ht="15" hidden="false" customHeight="false" outlineLevel="0" collapsed="false">
      <c r="A20921" s="0" t="n">
        <f aca="false">CONVERT(-13,"kK","kel")</f>
        <v>-13000</v>
      </c>
      <c r="B20921" s="0" t="s">
        <v>20747</v>
      </c>
    </row>
    <row r="20922" customFormat="false" ht="15" hidden="false" customHeight="false" outlineLevel="0" collapsed="false">
      <c r="A20922" s="0" t="n">
        <f aca="false">CONVERT(297.216,"kK","kel")</f>
        <v>297216</v>
      </c>
      <c r="B20922" s="0" t="s">
        <v>20748</v>
      </c>
    </row>
    <row r="20923" customFormat="false" ht="15" hidden="false" customHeight="false" outlineLevel="0" collapsed="false">
      <c r="A20923" s="0" t="n">
        <f aca="false">CONVERT(313,"K","Rank")</f>
        <v>563.4</v>
      </c>
      <c r="B20923" s="0" t="s">
        <v>20749</v>
      </c>
    </row>
    <row r="20924" customFormat="false" ht="15" hidden="false" customHeight="false" outlineLevel="0" collapsed="false">
      <c r="A20924" s="0" t="n">
        <f aca="false">CONVERT(12.735,"us_pt","regton")</f>
        <v>0.0021280275413099</v>
      </c>
      <c r="B20924" s="0" t="s">
        <v>20750</v>
      </c>
    </row>
    <row r="20925" customFormat="false" ht="15" hidden="false" customHeight="false" outlineLevel="0" collapsed="false">
      <c r="A20925" s="0" t="n">
        <f aca="false">CONVERT(313,"tsp","us_pt")</f>
        <v>3.26041666666667</v>
      </c>
      <c r="B20925" s="0" t="s">
        <v>20751</v>
      </c>
    </row>
    <row r="20926" customFormat="false" ht="15" hidden="false" customHeight="false" outlineLevel="0" collapsed="false">
      <c r="A20926" s="0" t="n">
        <f aca="false">CONVERT(313.495,"pica3","tsp")</f>
        <v>4.82531986530602</v>
      </c>
      <c r="B20926" s="0" t="s">
        <v>20752</v>
      </c>
    </row>
    <row r="20927" customFormat="false" ht="15" hidden="false" customHeight="false" outlineLevel="0" collapsed="false">
      <c r="A20927" s="0" t="n">
        <f aca="false">CONVERT(326,"tbs","kl")</f>
        <v>0.0048204853186875</v>
      </c>
      <c r="B20927" s="0" t="s">
        <v>20753</v>
      </c>
    </row>
    <row r="20928" customFormat="false" ht="15" hidden="false" customHeight="false" outlineLevel="0" collapsed="false">
      <c r="A20928" s="0" t="n">
        <f aca="false">CONVERT(221.8,"qt","qt")</f>
        <v>221.8</v>
      </c>
      <c r="B20928" s="0" t="s">
        <v>20754</v>
      </c>
    </row>
    <row r="20929" customFormat="false" ht="15" hidden="false" customHeight="false" outlineLevel="0" collapsed="false">
      <c r="A20929" s="0" t="n">
        <f aca="false">CONVERT(258.708,"kl","m^3")</f>
        <v>258.708</v>
      </c>
      <c r="B20929" s="0" t="s">
        <v>20755</v>
      </c>
    </row>
    <row r="20930" customFormat="false" ht="15" hidden="false" customHeight="false" outlineLevel="0" collapsed="false">
      <c r="A20930" s="0" t="n">
        <f aca="false">CONVERT(90.9,"uk_pt","Nmi3")</f>
        <v>8.1318428743976E-012</v>
      </c>
      <c r="B20930" s="0" t="s">
        <v>20756</v>
      </c>
    </row>
    <row r="20931" customFormat="false" ht="15" hidden="false" customHeight="false" outlineLevel="0" collapsed="false">
      <c r="A20931" s="0" t="n">
        <f aca="false">CONVERT(106,"gal","yd3")</f>
        <v>0.524819958847737</v>
      </c>
      <c r="B20931" s="0" t="s">
        <v>20757</v>
      </c>
    </row>
    <row r="20932" customFormat="false" ht="15" hidden="false" customHeight="false" outlineLevel="0" collapsed="false">
      <c r="A20932" s="0" t="n">
        <f aca="false">CONVERT(29,"cm3","ang3")</f>
        <v>2.9E+025</v>
      </c>
      <c r="B20932" s="0" t="s">
        <v>20758</v>
      </c>
    </row>
    <row r="20933" customFormat="false" ht="15" hidden="false" customHeight="false" outlineLevel="0" collapsed="false">
      <c r="A20933" s="0" t="n">
        <f aca="false">CONVERT(321,"yd3","us_pt")</f>
        <v>518669.298701299</v>
      </c>
      <c r="B20933" s="0" t="s">
        <v>20759</v>
      </c>
    </row>
    <row r="20934" customFormat="false" ht="15" hidden="false" customHeight="false" outlineLevel="0" collapsed="false">
      <c r="A20934" s="0" t="n">
        <f aca="false">CONVERT(134.9,"us_pt","regton")</f>
        <v>0.0225418857732788</v>
      </c>
      <c r="B20934" s="0" t="s">
        <v>20760</v>
      </c>
    </row>
    <row r="20935" customFormat="false" ht="15" hidden="false" customHeight="false" outlineLevel="0" collapsed="false">
      <c r="A20935" s="0" t="n">
        <f aca="false">CONVERT(465.8,"pt","cl")</f>
        <v>22040.56011234</v>
      </c>
      <c r="B20935" s="0" t="s">
        <v>20761</v>
      </c>
    </row>
    <row r="20936" customFormat="false" ht="15" hidden="false" customHeight="false" outlineLevel="0" collapsed="false">
      <c r="A20936" s="0" t="n">
        <f aca="false">CONVERT(-5.7,"Pica3","bushel")</f>
        <v>-7.10156433772139E-009</v>
      </c>
      <c r="B20936" s="0" t="s">
        <v>20762</v>
      </c>
    </row>
    <row r="20937" customFormat="false" ht="15" hidden="false" customHeight="false" outlineLevel="0" collapsed="false">
      <c r="A20937" s="0" t="n">
        <f aca="false">CONVERT(236.092,"uk_gal","Schooner")</f>
        <v>2525.40113007059</v>
      </c>
      <c r="B20937" s="0" t="s">
        <v>20763</v>
      </c>
    </row>
    <row r="20938" customFormat="false" ht="15" hidden="false" customHeight="false" outlineLevel="0" collapsed="false">
      <c r="A20938" s="0" t="n">
        <f aca="false">CONVERT(-10.29,"bushel","ml")</f>
        <v>-362610.073653189</v>
      </c>
      <c r="B20938" s="0" t="s">
        <v>20764</v>
      </c>
    </row>
    <row r="20939" customFormat="false" ht="15" hidden="false" customHeight="false" outlineLevel="0" collapsed="false">
      <c r="A20939" s="0" t="n">
        <f aca="false">CONVERT(135.6,"uk_gal","ml")</f>
        <v>616449.804</v>
      </c>
      <c r="B20939" s="0" t="s">
        <v>20765</v>
      </c>
    </row>
    <row r="20940" customFormat="false" ht="15" hidden="false" customHeight="false" outlineLevel="0" collapsed="false">
      <c r="A20940" s="0" t="n">
        <f aca="false">CONVERT(357.6,"dam3","uk_gal")</f>
        <v>78661003.1917538</v>
      </c>
      <c r="B20940" s="0" t="s">
        <v>20766</v>
      </c>
    </row>
    <row r="20941" customFormat="false" ht="15" hidden="false" customHeight="false" outlineLevel="0" collapsed="false">
      <c r="A20941" s="0" t="n">
        <f aca="false">CONVERT(461,"Glass","tbs")</f>
        <v>6235.30578621985</v>
      </c>
      <c r="B20941" s="0" t="s">
        <v>20767</v>
      </c>
    </row>
    <row r="20942" customFormat="false" ht="15" hidden="false" customHeight="false" outlineLevel="0" collapsed="false">
      <c r="A20942" s="0" t="n">
        <f aca="false">CONVERT(463.413,"lt","hl")</f>
        <v>4.63413</v>
      </c>
      <c r="B20942" s="0" t="s">
        <v>20768</v>
      </c>
    </row>
    <row r="20943" customFormat="false" ht="15" hidden="false" customHeight="false" outlineLevel="0" collapsed="false">
      <c r="A20943" s="0" t="n">
        <f aca="false">CONVERT(107,"bushel","lt")</f>
        <v>3770.58094080576</v>
      </c>
      <c r="B20943" s="0" t="s">
        <v>20769</v>
      </c>
    </row>
    <row r="20944" customFormat="false" ht="15" hidden="false" customHeight="false" outlineLevel="0" collapsed="false">
      <c r="A20944" s="0" t="n">
        <f aca="false">CONVERT(119.279,"Schooner","uk_qt")</f>
        <v>44.6041103453737</v>
      </c>
      <c r="B20944" s="0" t="s">
        <v>20770</v>
      </c>
    </row>
    <row r="20945" customFormat="false" ht="15" hidden="false" customHeight="false" outlineLevel="0" collapsed="false">
      <c r="A20945" s="0" t="n">
        <f aca="false">CONVERT(-8.555,"kl","uk_pt")</f>
        <v>-15054.6953535896</v>
      </c>
      <c r="B20945" s="0" t="s">
        <v>20771</v>
      </c>
    </row>
    <row r="20946" customFormat="false" ht="15" hidden="false" customHeight="false" outlineLevel="0" collapsed="false">
      <c r="A20946" s="0" t="n">
        <f aca="false">CONVERT(260,"regton","uk_qt")</f>
        <v>647798.827600686</v>
      </c>
      <c r="B20946" s="0" t="s">
        <v>20772</v>
      </c>
    </row>
    <row r="20947" customFormat="false" ht="15" hidden="false" customHeight="false" outlineLevel="0" collapsed="false">
      <c r="A20947" s="0" t="n">
        <f aca="false">CONVERT(87,"regton","L")</f>
        <v>246356.542479372</v>
      </c>
      <c r="B20947" s="0" t="s">
        <v>20773</v>
      </c>
    </row>
    <row r="20948" customFormat="false" ht="15" hidden="false" customHeight="false" outlineLevel="0" collapsed="false">
      <c r="A20948" s="0" t="n">
        <f aca="false">CONVERT(264.405,"mm3","picapt3")</f>
        <v>6022.35015619638</v>
      </c>
      <c r="B20948" s="0" t="s">
        <v>20774</v>
      </c>
    </row>
    <row r="20949" customFormat="false" ht="15" hidden="false" customHeight="false" outlineLevel="0" collapsed="false">
      <c r="A20949" s="0" t="n">
        <f aca="false">CONVERT(311.7,"Glass","mi3")</f>
        <v>1.49561613698104E-011</v>
      </c>
      <c r="B20949" s="0" t="s">
        <v>20775</v>
      </c>
    </row>
    <row r="20950" customFormat="false" ht="15" hidden="false" customHeight="false" outlineLevel="0" collapsed="false">
      <c r="A20950" s="0" t="n">
        <f aca="false">CONVERT(324,"us_pt","oz")</f>
        <v>5184</v>
      </c>
      <c r="B20950" s="0" t="s">
        <v>20776</v>
      </c>
    </row>
    <row r="20951" customFormat="false" ht="15" hidden="false" customHeight="false" outlineLevel="0" collapsed="false">
      <c r="A20951" s="0" t="n">
        <f aca="false">CONVERT(390,"uk_qt","GRT")</f>
        <v>0.156530076436793</v>
      </c>
      <c r="B20951" s="0" t="s">
        <v>20777</v>
      </c>
    </row>
    <row r="20952" customFormat="false" ht="15" hidden="false" customHeight="false" outlineLevel="0" collapsed="false">
      <c r="A20952" s="0" t="n">
        <f aca="false">CONVERT(-3.054,"ft3","uk_pt")</f>
        <v>-152.182907935334</v>
      </c>
      <c r="B20952" s="0" t="s">
        <v>20778</v>
      </c>
    </row>
    <row r="20953" customFormat="false" ht="15" hidden="false" customHeight="false" outlineLevel="0" collapsed="false">
      <c r="A20953" s="0" t="n">
        <f aca="false">CONVERT(138,"mi3","ft3")</f>
        <v>20313317376000</v>
      </c>
      <c r="B20953" s="0" t="s">
        <v>20779</v>
      </c>
    </row>
    <row r="20954" customFormat="false" ht="15" hidden="false" customHeight="false" outlineLevel="0" collapsed="false">
      <c r="A20954" s="0" t="n">
        <f aca="false">CONVERT(82.381,"Humpen","uk_pt")</f>
        <v>72.4851465765086</v>
      </c>
      <c r="B20954" s="0" t="s">
        <v>20780</v>
      </c>
    </row>
    <row r="20955" customFormat="false" ht="15" hidden="false" customHeight="false" outlineLevel="0" collapsed="false">
      <c r="A20955" s="0" t="n">
        <f aca="false">CONVERT(35,"mm3","L")</f>
        <v>3.5E-005</v>
      </c>
      <c r="B20955" s="0" t="s">
        <v>20781</v>
      </c>
    </row>
    <row r="20956" customFormat="false" ht="15" hidden="false" customHeight="false" outlineLevel="0" collapsed="false">
      <c r="A20956" s="0" t="n">
        <f aca="false">CONVERT(292.599,"oz","gal")</f>
        <v>2.2859296875</v>
      </c>
      <c r="B20956" s="0" t="s">
        <v>20782</v>
      </c>
    </row>
    <row r="20957" customFormat="false" ht="15" hidden="false" customHeight="false" outlineLevel="0" collapsed="false">
      <c r="A20957" s="0" t="n">
        <f aca="false">CONVERT(32,"dam3","bushel")</f>
        <v>908082.88</v>
      </c>
      <c r="B20957" s="0" t="s">
        <v>20783</v>
      </c>
    </row>
    <row r="20958" customFormat="false" ht="15" hidden="false" customHeight="false" outlineLevel="0" collapsed="false">
      <c r="A20958" s="0" t="n">
        <f aca="false">CONVERT(399,"L","ml")</f>
        <v>399000</v>
      </c>
      <c r="B20958" s="0" t="s">
        <v>20784</v>
      </c>
    </row>
    <row r="20959" customFormat="false" ht="15" hidden="false" customHeight="false" outlineLevel="0" collapsed="false">
      <c r="A20959" s="0" t="n">
        <f aca="false">CONVERT(123,"oz","Humpen")</f>
        <v>7.275088272375</v>
      </c>
      <c r="B20959" s="0" t="s">
        <v>20785</v>
      </c>
    </row>
    <row r="20960" customFormat="false" ht="15" hidden="false" customHeight="false" outlineLevel="0" collapsed="false">
      <c r="A20960" s="0" t="n">
        <f aca="false">CONVERT(152,"Humpen","Sixpack")</f>
        <v>38</v>
      </c>
      <c r="B20960" s="0" t="s">
        <v>20786</v>
      </c>
    </row>
    <row r="20961" customFormat="false" ht="15" hidden="false" customHeight="false" outlineLevel="0" collapsed="false">
      <c r="A20961" s="0" t="n">
        <f aca="false">CONVERT(273,"cup","l")</f>
        <v>64.5885885645</v>
      </c>
      <c r="B20961" s="0" t="s">
        <v>20787</v>
      </c>
    </row>
    <row r="20962" customFormat="false" ht="15" hidden="false" customHeight="false" outlineLevel="0" collapsed="false">
      <c r="A20962" s="0" t="n">
        <f aca="false">CONVERT(484,"mm3","Schooner")</f>
        <v>0.00113882352941176</v>
      </c>
      <c r="B20962" s="0" t="s">
        <v>20788</v>
      </c>
    </row>
    <row r="20963" customFormat="false" ht="15" hidden="false" customHeight="false" outlineLevel="0" collapsed="false">
      <c r="A20963" s="0" t="n">
        <f aca="false">CONVERT(275,"lt","tspm")</f>
        <v>55000</v>
      </c>
      <c r="B20963" s="0" t="s">
        <v>20789</v>
      </c>
    </row>
    <row r="20964" customFormat="false" ht="15" hidden="false" customHeight="false" outlineLevel="0" collapsed="false">
      <c r="A20964" s="0" t="n">
        <f aca="false">CONVERT(95,"m^2","acre")</f>
        <v>0.0234750112425</v>
      </c>
      <c r="B20964" s="0" t="s">
        <v>20790</v>
      </c>
    </row>
    <row r="20965" customFormat="false" ht="15" hidden="false" customHeight="false" outlineLevel="0" collapsed="false">
      <c r="A20965" s="0" t="n">
        <f aca="false">CONVERT(427.838,"pica2","in2")</f>
        <v>11.8843888888889</v>
      </c>
      <c r="B20965" s="0" t="s">
        <v>20791</v>
      </c>
    </row>
    <row r="20966" customFormat="false" ht="15" hidden="false" customHeight="false" outlineLevel="0" collapsed="false">
      <c r="A20966" s="0" t="n">
        <f aca="false">CONVERT(222.6,"ang2","Morgen")</f>
        <v>8.904E-022</v>
      </c>
      <c r="B20966" s="0" t="s">
        <v>20792</v>
      </c>
    </row>
    <row r="20967" customFormat="false" ht="15" hidden="false" customHeight="false" outlineLevel="0" collapsed="false">
      <c r="A20967" s="0" t="n">
        <f aca="false">CONVERT(175.086,"us_acre","pica2")</f>
        <v>39537210242.1228</v>
      </c>
      <c r="B20967" s="0" t="s">
        <v>20793</v>
      </c>
    </row>
    <row r="20968" customFormat="false" ht="15" hidden="false" customHeight="false" outlineLevel="0" collapsed="false">
      <c r="A20968" s="0" t="n">
        <f aca="false">CONVERT(430.6,"km2","pica2")</f>
        <v>24027528055056.1</v>
      </c>
      <c r="B20968" s="0" t="s">
        <v>20794</v>
      </c>
    </row>
    <row r="20969" customFormat="false" ht="15" hidden="false" customHeight="false" outlineLevel="0" collapsed="false">
      <c r="A20969" s="0" t="n">
        <f aca="false">CONVERT(269.2,"ft2","cm2")</f>
        <v>250094.98368</v>
      </c>
      <c r="B20969" s="0" t="s">
        <v>20795</v>
      </c>
    </row>
    <row r="20970" customFormat="false" ht="15" hidden="false" customHeight="false" outlineLevel="0" collapsed="false">
      <c r="A20970" s="0" t="n">
        <f aca="false">CONVERT(265,"dam2","ft2")</f>
        <v>285243.626042808</v>
      </c>
      <c r="B20970" s="0" t="s">
        <v>20796</v>
      </c>
    </row>
    <row r="20971" customFormat="false" ht="15" hidden="false" customHeight="false" outlineLevel="0" collapsed="false">
      <c r="A20971" s="0" t="n">
        <f aca="false">CONVERT(146,"uk_acre","ang2")</f>
        <v>5.908410376704E+025</v>
      </c>
      <c r="B20971" s="0" t="s">
        <v>20797</v>
      </c>
    </row>
    <row r="20972" customFormat="false" ht="15" hidden="false" customHeight="false" outlineLevel="0" collapsed="false">
      <c r="A20972" s="0" t="n">
        <f aca="false">CONVERT(99.858,"ang2","acre")</f>
        <v>2.4675449185827E-022</v>
      </c>
      <c r="B20972" s="0" t="s">
        <v>20798</v>
      </c>
    </row>
    <row r="20973" customFormat="false" ht="15" hidden="false" customHeight="false" outlineLevel="0" collapsed="false">
      <c r="A20973" s="0" t="n">
        <f aca="false">CONVERT(35.649,"in2","ly2")</f>
        <v>2.56970952471723E-034</v>
      </c>
      <c r="B20973" s="0" t="s">
        <v>20799</v>
      </c>
    </row>
    <row r="20974" customFormat="false" ht="15" hidden="false" customHeight="false" outlineLevel="0" collapsed="false">
      <c r="A20974" s="0" t="n">
        <f aca="false">CONVERT(383.9,"km2","Pica2")</f>
        <v>3084719449438900</v>
      </c>
      <c r="B20974" s="0" t="s">
        <v>20800</v>
      </c>
    </row>
    <row r="20975" customFormat="false" ht="15" hidden="false" customHeight="false" outlineLevel="0" collapsed="false">
      <c r="A20975" s="0" t="n">
        <f aca="false">CONVERT(425.3,"ang2","pica2")</f>
        <v>2.37317874635749E-013</v>
      </c>
      <c r="B20975" s="0" t="s">
        <v>20801</v>
      </c>
    </row>
    <row r="20976" customFormat="false" ht="15" hidden="false" customHeight="false" outlineLevel="0" collapsed="false">
      <c r="A20976" s="0" t="n">
        <f aca="false">CONVERT(-36.953,"yd2","Pica2")</f>
        <v>-248267400.192</v>
      </c>
      <c r="B20976" s="0" t="s">
        <v>20802</v>
      </c>
    </row>
    <row r="20977" customFormat="false" ht="15" hidden="false" customHeight="false" outlineLevel="0" collapsed="false">
      <c r="A20977" s="0" t="n">
        <f aca="false">CONVERT(266.526,"us_acre","km2")</f>
        <v>1.07859676921935</v>
      </c>
      <c r="B20977" s="0" t="s">
        <v>20803</v>
      </c>
    </row>
    <row r="20978" customFormat="false" ht="15" hidden="false" customHeight="false" outlineLevel="0" collapsed="false">
      <c r="A20978" s="0" t="n">
        <f aca="false">CONVERT(345.2,"uk_acre","cm2")</f>
        <v>13969748370.1248</v>
      </c>
      <c r="B20978" s="0" t="s">
        <v>20804</v>
      </c>
    </row>
    <row r="20979" customFormat="false" ht="15" hidden="false" customHeight="false" outlineLevel="0" collapsed="false">
      <c r="A20979" s="0" t="n">
        <f aca="false">CONVERT(227.693,"dam2","km2")</f>
        <v>0.0227693</v>
      </c>
      <c r="B20979" s="0" t="s">
        <v>20805</v>
      </c>
    </row>
    <row r="20980" customFormat="false" ht="15" hidden="false" customHeight="false" outlineLevel="0" collapsed="false">
      <c r="A20980" s="0" t="n">
        <f aca="false">CONVERT(318.517,"ang2","pica2")</f>
        <v>1.77732841465683E-013</v>
      </c>
      <c r="B20980" s="0" t="s">
        <v>20806</v>
      </c>
    </row>
    <row r="20981" customFormat="false" ht="15" hidden="false" customHeight="false" outlineLevel="0" collapsed="false">
      <c r="A20981" s="0" t="n">
        <f aca="false">CONVERT(247.395,"dam2","ft2")</f>
        <v>266293.76175419</v>
      </c>
      <c r="B20981" s="0" t="s">
        <v>20807</v>
      </c>
    </row>
    <row r="20982" customFormat="false" ht="15" hidden="false" customHeight="false" outlineLevel="0" collapsed="false">
      <c r="A20982" s="0" t="n">
        <f aca="false">CONVERT(387.9,"Nmi2","m2")</f>
        <v>1330459761.6</v>
      </c>
      <c r="B20982" s="0" t="s">
        <v>20808</v>
      </c>
    </row>
    <row r="20983" customFormat="false" ht="15" hidden="false" customHeight="false" outlineLevel="0" collapsed="false">
      <c r="A20983" s="0" t="n">
        <f aca="false">CONVERT(51.3,"acre","ar")</f>
        <v>2076.03734441534</v>
      </c>
      <c r="B20983" s="0" t="s">
        <v>20809</v>
      </c>
    </row>
    <row r="20984" customFormat="false" ht="15" hidden="false" customHeight="false" outlineLevel="0" collapsed="false">
      <c r="A20984" s="0" t="n">
        <f aca="false">CONVERT(179,"yd2","Nmi2")</f>
        <v>4.36358561172558E-005</v>
      </c>
      <c r="B20984" s="0" t="s">
        <v>20810</v>
      </c>
    </row>
    <row r="20985" customFormat="false" ht="15" hidden="false" customHeight="false" outlineLevel="0" collapsed="false">
      <c r="A20985" s="0" t="n">
        <f aca="false">CONVERT(113.8,"us_acre","uk_acre")</f>
        <v>113.800455201366</v>
      </c>
      <c r="B20985" s="0" t="s">
        <v>20811</v>
      </c>
    </row>
    <row r="20986" customFormat="false" ht="15" hidden="false" customHeight="false" outlineLevel="0" collapsed="false">
      <c r="A20986" s="0" t="n">
        <f aca="false">CONVERT(149,"ly2","m^2")</f>
        <v>1.33357369157788E+034</v>
      </c>
      <c r="B20986" s="0" t="s">
        <v>20812</v>
      </c>
    </row>
    <row r="20987" customFormat="false" ht="15" hidden="false" customHeight="false" outlineLevel="0" collapsed="false">
      <c r="A20987" s="0" t="n">
        <f aca="false">CONVERT(478,"Morgen","km2")</f>
        <v>1.195</v>
      </c>
      <c r="B20987" s="0" t="s">
        <v>20813</v>
      </c>
    </row>
    <row r="20988" customFormat="false" ht="15" hidden="false" customHeight="false" outlineLevel="0" collapsed="false">
      <c r="A20988" s="0" t="n">
        <f aca="false">CONVERT(140,"ha","ly2")</f>
        <v>1.56421802047688E-026</v>
      </c>
      <c r="B20988" s="0" t="s">
        <v>20814</v>
      </c>
    </row>
    <row r="20989" customFormat="false" ht="15" hidden="false" customHeight="false" outlineLevel="0" collapsed="false">
      <c r="A20989" s="0" t="n">
        <f aca="false">CONVERT(278.3,"kar","mm2")</f>
        <v>27830000000000</v>
      </c>
      <c r="B20989" s="0" t="s">
        <v>20815</v>
      </c>
    </row>
    <row r="20990" customFormat="false" ht="15" hidden="false" customHeight="false" outlineLevel="0" collapsed="false">
      <c r="A20990" s="0" t="n">
        <f aca="false">CONVERT(358,"dam2","mi2")</f>
        <v>0.0138224572758196</v>
      </c>
      <c r="B20990" s="0" t="s">
        <v>20816</v>
      </c>
    </row>
    <row r="20991" customFormat="false" ht="15" hidden="false" customHeight="false" outlineLevel="0" collapsed="false">
      <c r="A20991" s="0" t="n">
        <f aca="false">CONVERT(11,"us_acre","Pica2")</f>
        <v>357692454128.386</v>
      </c>
      <c r="B20991" s="0" t="s">
        <v>20817</v>
      </c>
    </row>
    <row r="20992" customFormat="false" ht="15" hidden="false" customHeight="false" outlineLevel="0" collapsed="false">
      <c r="A20992" s="0" t="n">
        <f aca="false">CONVERT(-21,"dam2","kar")</f>
        <v>-0.021</v>
      </c>
      <c r="B20992" s="0" t="s">
        <v>20818</v>
      </c>
    </row>
    <row r="20993" customFormat="false" ht="15" hidden="false" customHeight="false" outlineLevel="0" collapsed="false">
      <c r="A20993" s="0" t="n">
        <f aca="false">CONVERT(184.1,"mm2","kar")</f>
        <v>1.841E-009</v>
      </c>
      <c r="B20993" s="0" t="s">
        <v>20819</v>
      </c>
    </row>
    <row r="20994" customFormat="false" ht="15" hidden="false" customHeight="false" outlineLevel="0" collapsed="false">
      <c r="A20994" s="0" t="n">
        <f aca="false">CONVERT(102.4,"m2","ha")</f>
        <v>0.01024</v>
      </c>
      <c r="B20994" s="0" t="s">
        <v>20820</v>
      </c>
    </row>
    <row r="20995" customFormat="false" ht="15" hidden="false" customHeight="false" outlineLevel="0" collapsed="false">
      <c r="A20995" s="0" t="n">
        <f aca="false">CONVERT(242,"Nmi2","ly2")</f>
        <v>9.27398907259991E-024</v>
      </c>
      <c r="B20995" s="0" t="s">
        <v>20821</v>
      </c>
    </row>
    <row r="20996" customFormat="false" ht="15" hidden="false" customHeight="false" outlineLevel="0" collapsed="false">
      <c r="A20996" s="0" t="n">
        <f aca="false">CONVERT(125.854,"mi2","mm2")</f>
        <v>325960363638227</v>
      </c>
      <c r="B20996" s="0" t="s">
        <v>20822</v>
      </c>
    </row>
    <row r="20997" customFormat="false" ht="15" hidden="false" customHeight="false" outlineLevel="0" collapsed="false">
      <c r="A20997" s="0" t="n">
        <f aca="false">CONVERT(477,"acre","Pica2")</f>
        <v>15510783465459</v>
      </c>
      <c r="B20997" s="0" t="s">
        <v>20823</v>
      </c>
    </row>
    <row r="20998" customFormat="false" ht="15" hidden="false" customHeight="false" outlineLevel="0" collapsed="false">
      <c r="A20998" s="0" t="n">
        <f aca="false">CONVERT(337,"yd2","mi2")</f>
        <v>0.000108793904958678</v>
      </c>
      <c r="B20998" s="0" t="s">
        <v>20824</v>
      </c>
    </row>
    <row r="20999" customFormat="false" ht="15" hidden="false" customHeight="false" outlineLevel="0" collapsed="false">
      <c r="A20999" s="0" t="n">
        <f aca="false">CONVERT(253,"us_acre","uk_acre")</f>
        <v>253.001012003036</v>
      </c>
      <c r="B20999" s="0" t="s">
        <v>20825</v>
      </c>
    </row>
    <row r="21000" customFormat="false" ht="15" hidden="false" customHeight="false" outlineLevel="0" collapsed="false">
      <c r="A21000" s="0" t="n">
        <f aca="false">CONVERT(413,"mi2","us_acre")</f>
        <v>264318.942721057</v>
      </c>
      <c r="B21000" s="0" t="s">
        <v>20826</v>
      </c>
    </row>
    <row r="21001" customFormat="false" ht="15" hidden="false" customHeight="false" outlineLevel="0" collapsed="false">
      <c r="A21001" s="0" t="n">
        <f aca="false">CONVERT(240.7,"in2","kar")</f>
        <v>1.55290012E-006</v>
      </c>
      <c r="B21001" s="0" t="s">
        <v>20827</v>
      </c>
    </row>
    <row r="21002" customFormat="false" ht="15" hidden="false" customHeight="false" outlineLevel="0" collapsed="false">
      <c r="A21002" s="0" t="n">
        <f aca="false">CONVERT(339,"Morgen","mi2")</f>
        <v>0.327221579364723</v>
      </c>
      <c r="B21002" s="0" t="s">
        <v>20828</v>
      </c>
    </row>
    <row r="21003" customFormat="false" ht="15" hidden="false" customHeight="false" outlineLevel="0" collapsed="false">
      <c r="A21003" s="0" t="n">
        <f aca="false">CONVERT(364.955,"ang2","picapt2")</f>
        <v>2.93249228098456E-011</v>
      </c>
      <c r="B21003" s="0" t="s">
        <v>20829</v>
      </c>
    </row>
    <row r="21004" customFormat="false" ht="15" hidden="false" customHeight="false" outlineLevel="0" collapsed="false">
      <c r="A21004" s="0" t="n">
        <f aca="false">CONVERT(125.3,"km/s","mm/s")</f>
        <v>125300000</v>
      </c>
      <c r="B21004" s="0" t="s">
        <v>20830</v>
      </c>
    </row>
    <row r="21005" customFormat="false" ht="15" hidden="false" customHeight="false" outlineLevel="0" collapsed="false">
      <c r="A21005" s="0" t="n">
        <f aca="false">CONVERT(436.16,"km/h","cm/s")</f>
        <v>12115.5555555556</v>
      </c>
      <c r="B21005" s="0" t="s">
        <v>20831</v>
      </c>
    </row>
    <row r="21006" customFormat="false" ht="15" hidden="false" customHeight="false" outlineLevel="0" collapsed="false">
      <c r="A21006" s="0" t="n">
        <f aca="false">CONVERT(138,"m/s","ludicrous speed")</f>
        <v>2.82829431539366E-012</v>
      </c>
      <c r="B21006" s="0" t="s">
        <v>20832</v>
      </c>
    </row>
    <row r="21007" customFormat="false" ht="15" hidden="false" customHeight="false" outlineLevel="0" collapsed="false">
      <c r="A21007" s="0" t="n">
        <f aca="false">CONVERT(-15.6,"km/h","mph")</f>
        <v>-9.69339059890241</v>
      </c>
      <c r="B21007" s="0" t="s">
        <v>20833</v>
      </c>
    </row>
    <row r="21008" customFormat="false" ht="15" hidden="false" customHeight="false" outlineLevel="0" collapsed="false">
      <c r="A21008" s="0" t="n">
        <f aca="false">CONVERT(152.413,"km/h","m/h")</f>
        <v>152413</v>
      </c>
      <c r="B21008" s="0" t="s">
        <v>20834</v>
      </c>
    </row>
    <row r="21009" customFormat="false" ht="15" hidden="false" customHeight="false" outlineLevel="0" collapsed="false">
      <c r="A21009" s="0" t="n">
        <f aca="false">CONVERT(265.567,"ridiculous speed","m/s")</f>
        <v>66132249.5798524</v>
      </c>
      <c r="B21009" s="0" t="s">
        <v>20835</v>
      </c>
    </row>
    <row r="21010" customFormat="false" ht="15" hidden="false" customHeight="false" outlineLevel="0" collapsed="false">
      <c r="A21010" s="0" t="n">
        <f aca="false">CONVERT(55.2,"km/s","ludicrous speed")</f>
        <v>1.13131772615746E-009</v>
      </c>
      <c r="B21010" s="0" t="s">
        <v>20836</v>
      </c>
    </row>
    <row r="21011" customFormat="false" ht="15" hidden="false" customHeight="false" outlineLevel="0" collapsed="false">
      <c r="A21011" s="0" t="n">
        <f aca="false">CONVERT(39,"kn","mph")</f>
        <v>44.8803984729182</v>
      </c>
      <c r="B21011" s="0" t="s">
        <v>20837</v>
      </c>
    </row>
    <row r="21012" customFormat="false" ht="15" hidden="false" customHeight="false" outlineLevel="0" collapsed="false">
      <c r="A21012" s="0" t="n">
        <f aca="false">CONVERT(333,"ridiculous speed","ridiculous speed")</f>
        <v>333</v>
      </c>
      <c r="B21012" s="0" t="s">
        <v>20838</v>
      </c>
    </row>
    <row r="21013" customFormat="false" ht="15" hidden="false" customHeight="false" outlineLevel="0" collapsed="false">
      <c r="A21013" s="0" t="n">
        <f aca="false">CONVERT(4,"mph","mph")</f>
        <v>4</v>
      </c>
      <c r="B21013" s="0" t="s">
        <v>20839</v>
      </c>
    </row>
    <row r="21014" customFormat="false" ht="15" hidden="false" customHeight="false" outlineLevel="0" collapsed="false">
      <c r="A21014" s="0" t="n">
        <f aca="false">CONVERT(258.906,"m/h","m/hr")</f>
        <v>258.906</v>
      </c>
      <c r="B21014" s="0" t="s">
        <v>20840</v>
      </c>
    </row>
    <row r="21015" customFormat="false" ht="15" hidden="false" customHeight="false" outlineLevel="0" collapsed="false">
      <c r="A21015" s="0" t="n">
        <f aca="false">CONVERT(193.2,"m/s","kn")</f>
        <v>375.550755939525</v>
      </c>
      <c r="B21015" s="0" t="s">
        <v>20841</v>
      </c>
    </row>
    <row r="21016" customFormat="false" ht="15" hidden="false" customHeight="false" outlineLevel="0" collapsed="false">
      <c r="A21016" s="0" t="n">
        <f aca="false">CONVERT(451.1,"km/h","ridiculous speed")</f>
        <v>0.000503188999068319</v>
      </c>
      <c r="B21016" s="0" t="s">
        <v>20842</v>
      </c>
    </row>
    <row r="21017" customFormat="false" ht="15" hidden="false" customHeight="false" outlineLevel="0" collapsed="false">
      <c r="A21017" s="0" t="n">
        <f aca="false">CONVERT(217,"mph","m/h")</f>
        <v>349227.648</v>
      </c>
      <c r="B21017" s="0" t="s">
        <v>20843</v>
      </c>
    </row>
    <row r="21018" customFormat="false" ht="15" hidden="false" customHeight="false" outlineLevel="0" collapsed="false">
      <c r="A21018" s="0" t="n">
        <f aca="false">CONVERT(185,"m/s","m/h")</f>
        <v>666000</v>
      </c>
      <c r="B21018" s="0" t="s">
        <v>20844</v>
      </c>
    </row>
    <row r="21019" customFormat="false" ht="15" hidden="false" customHeight="false" outlineLevel="0" collapsed="false">
      <c r="A21019" s="0" t="n">
        <f aca="false">CONVERT(217.731,"km/h","ridiculous speed")</f>
        <v>0.00024287263124838</v>
      </c>
      <c r="B21019" s="0" t="s">
        <v>20845</v>
      </c>
    </row>
    <row r="21020" customFormat="false" ht="15" hidden="false" customHeight="false" outlineLevel="0" collapsed="false">
      <c r="A21020" s="0" t="n">
        <f aca="false">CONVERT(238.7,"kn","m/sec")</f>
        <v>122.797888888889</v>
      </c>
      <c r="B21020" s="0" t="s">
        <v>20846</v>
      </c>
    </row>
    <row r="21021" customFormat="false" ht="15" hidden="false" customHeight="false" outlineLevel="0" collapsed="false">
      <c r="A21021" s="0" t="n">
        <f aca="false">CONVERT(197.2,"km/s","admkn")</f>
        <v>383326.167026019</v>
      </c>
      <c r="B21021" s="0" t="s">
        <v>20847</v>
      </c>
    </row>
    <row r="21022" customFormat="false" ht="15" hidden="false" customHeight="false" outlineLevel="0" collapsed="false">
      <c r="A21022" s="0" t="n">
        <f aca="false">CONVERT(286.941,"mm/s","cm/s")</f>
        <v>28.6941</v>
      </c>
      <c r="B21022" s="0" t="s">
        <v>20848</v>
      </c>
    </row>
    <row r="21023" customFormat="false" ht="15" hidden="false" customHeight="false" outlineLevel="0" collapsed="false">
      <c r="A21023" s="0" t="n">
        <f aca="false">CONVERT(442.8,"m/hr","mm/s")</f>
        <v>123</v>
      </c>
      <c r="B21023" s="0" t="s">
        <v>20849</v>
      </c>
    </row>
    <row r="21024" customFormat="false" ht="15" hidden="false" customHeight="false" outlineLevel="0" collapsed="false">
      <c r="A21024" s="0" t="n">
        <f aca="false">CONVERT(187,"mm/s","km/s")</f>
        <v>0.000187</v>
      </c>
      <c r="B21024" s="0" t="s">
        <v>20850</v>
      </c>
    </row>
    <row r="21025" customFormat="false" ht="15" hidden="false" customHeight="false" outlineLevel="0" collapsed="false">
      <c r="A21025" s="0" t="n">
        <f aca="false">CONVERT(34,"km/h","m/hr")</f>
        <v>34000</v>
      </c>
      <c r="B21025" s="0" t="s">
        <v>20851</v>
      </c>
    </row>
    <row r="21026" customFormat="false" ht="15" hidden="false" customHeight="false" outlineLevel="0" collapsed="false">
      <c r="A21026" s="0" t="n">
        <f aca="false">CONVERT(269.7,"m/h","km/h")</f>
        <v>0.2697</v>
      </c>
      <c r="B21026" s="0" t="s">
        <v>20852</v>
      </c>
    </row>
    <row r="21027" customFormat="false" ht="15" hidden="false" customHeight="false" outlineLevel="0" collapsed="false">
      <c r="A21027" s="0" t="n">
        <f aca="false">CONVERT(475.7,"km/h","mph")</f>
        <v>295.5862761473</v>
      </c>
      <c r="B21027" s="0" t="s">
        <v>20853</v>
      </c>
    </row>
    <row r="21028" customFormat="false" ht="15" hidden="false" customHeight="false" outlineLevel="0" collapsed="false">
      <c r="A21028" s="0" t="n">
        <f aca="false">CONVERT(304.066,"m/sec","mph")</f>
        <v>680.176270579814</v>
      </c>
      <c r="B21028" s="0" t="s">
        <v>20854</v>
      </c>
    </row>
    <row r="21029" customFormat="false" ht="15" hidden="false" customHeight="false" outlineLevel="0" collapsed="false">
      <c r="A21029" s="0" t="n">
        <f aca="false">CONVERT(433.8,"m/hr","km/s")</f>
        <v>0.0001205</v>
      </c>
      <c r="B21029" s="0" t="s">
        <v>20855</v>
      </c>
    </row>
    <row r="21030" customFormat="false" ht="15" hidden="false" customHeight="false" outlineLevel="0" collapsed="false">
      <c r="A21030" s="0" t="n">
        <f aca="false">CONVERT(44,"m/s","m/sec")</f>
        <v>44</v>
      </c>
      <c r="B21030" s="0" t="s">
        <v>20856</v>
      </c>
    </row>
    <row r="21031" customFormat="false" ht="15" hidden="false" customHeight="false" outlineLevel="0" collapsed="false">
      <c r="A21031" s="0" t="n">
        <f aca="false">CONVERT(98.834,"m/sec","admkn")</f>
        <v>192.117943163537</v>
      </c>
      <c r="B21031" s="0" t="s">
        <v>20857</v>
      </c>
    </row>
    <row r="21032" customFormat="false" ht="15" hidden="false" customHeight="false" outlineLevel="0" collapsed="false">
      <c r="A21032" s="0" t="n">
        <f aca="false">CONVERT(393,"m/hr","m/s")</f>
        <v>0.109166666666667</v>
      </c>
      <c r="B21032" s="0" t="s">
        <v>20858</v>
      </c>
    </row>
    <row r="21033" customFormat="false" ht="15" hidden="false" customHeight="false" outlineLevel="0" collapsed="false">
      <c r="A21033" s="0" t="n">
        <f aca="false">CONVERT(69,"km/h","cm/s")</f>
        <v>1916.66666666667</v>
      </c>
      <c r="B21033" s="0" t="s">
        <v>20859</v>
      </c>
    </row>
    <row r="21034" customFormat="false" ht="15" hidden="false" customHeight="false" outlineLevel="0" collapsed="false">
      <c r="A21034" s="0" t="n">
        <f aca="false">CONVERT(491,"mm/s","mph")</f>
        <v>1.09833571939871</v>
      </c>
      <c r="B21034" s="0" t="s">
        <v>20860</v>
      </c>
    </row>
    <row r="21035" customFormat="false" ht="15" hidden="false" customHeight="false" outlineLevel="0" collapsed="false">
      <c r="A21035" s="0" t="n">
        <f aca="false">CONVERT(440.9,"m/h","mm/s")</f>
        <v>122.472222222222</v>
      </c>
      <c r="B21035" s="0" t="s">
        <v>20861</v>
      </c>
    </row>
    <row r="21036" customFormat="false" ht="15" hidden="false" customHeight="false" outlineLevel="0" collapsed="false">
      <c r="A21036" s="0" t="n">
        <f aca="false">CONVERT(49,"cm/s","m/s")</f>
        <v>0.49</v>
      </c>
      <c r="B21036" s="0" t="s">
        <v>20862</v>
      </c>
    </row>
    <row r="21037" customFormat="false" ht="15" hidden="false" customHeight="false" outlineLevel="0" collapsed="false">
      <c r="A21037" s="0" t="n">
        <f aca="false">CONVERT(140.6,"kn","m/sec")</f>
        <v>72.3308888888889</v>
      </c>
      <c r="B21037" s="0" t="s">
        <v>20863</v>
      </c>
    </row>
    <row r="21038" customFormat="false" ht="15" hidden="false" customHeight="false" outlineLevel="0" collapsed="false">
      <c r="A21038" s="0" t="n">
        <f aca="false">CONVERT(147.41,"m/s","km/h")</f>
        <v>530.676</v>
      </c>
      <c r="B21038" s="0" t="s">
        <v>20864</v>
      </c>
    </row>
    <row r="21039" customFormat="false" ht="15" hidden="false" customHeight="false" outlineLevel="0" collapsed="false">
      <c r="A21039" s="0" t="n">
        <f aca="false">CONVERT(416,"ludicrous speed","admkn")</f>
        <v>39455665436040700</v>
      </c>
      <c r="B21039" s="0" t="s">
        <v>20865</v>
      </c>
    </row>
    <row r="21040" customFormat="false" ht="15" hidden="false" customHeight="false" outlineLevel="0" collapsed="false">
      <c r="A21040" s="0" t="n">
        <f aca="false">CONVERT(5,"mph","ridiculous speed")</f>
        <v>8.97588335753276E-006</v>
      </c>
      <c r="B21040" s="0" t="s">
        <v>20866</v>
      </c>
    </row>
    <row r="21041" customFormat="false" ht="15" hidden="false" customHeight="false" outlineLevel="0" collapsed="false">
      <c r="A21041" s="0" t="n">
        <f aca="false">CONVERT(317,"ridiculous speed","mph")</f>
        <v>176584291.134959</v>
      </c>
      <c r="B21041" s="0" t="s">
        <v>20867</v>
      </c>
    </row>
    <row r="21042" customFormat="false" ht="15" hidden="false" customHeight="false" outlineLevel="0" collapsed="false">
      <c r="A21042" s="0" t="n">
        <f aca="false">CONVERT(417.282,"m/h","ridiculous speed")</f>
        <v>4.65465998468691E-007</v>
      </c>
      <c r="B21042" s="0" t="s">
        <v>20868</v>
      </c>
    </row>
    <row r="21043" customFormat="false" ht="15" hidden="false" customHeight="false" outlineLevel="0" collapsed="false">
      <c r="A21043" s="0" t="n">
        <f aca="false">CONVERT(250.3,"km/h","m/h")</f>
        <v>250300</v>
      </c>
      <c r="B21043" s="0" t="s">
        <v>20869</v>
      </c>
    </row>
    <row r="21044" customFormat="false" ht="15" hidden="false" customHeight="false" outlineLevel="0" collapsed="false">
      <c r="A21044" s="0" t="n">
        <f aca="false">CONVERT(447.7,"Gibit","Mibyte")</f>
        <v>57305.6</v>
      </c>
      <c r="B21044" s="0" t="s">
        <v>20870</v>
      </c>
    </row>
    <row r="21045" customFormat="false" ht="15" hidden="false" customHeight="false" outlineLevel="0" collapsed="false">
      <c r="A21045" s="0" t="n">
        <f aca="false">CONVERT(339,"Mbyte","byte")</f>
        <v>339000000</v>
      </c>
      <c r="B21045" s="0" t="s">
        <v>20871</v>
      </c>
    </row>
    <row r="21046" customFormat="false" ht="15" hidden="false" customHeight="false" outlineLevel="0" collapsed="false">
      <c r="A21046" s="0" t="n">
        <f aca="false">CONVERT(143,"Yibyte","Gibyte")</f>
        <v>1.61003686678495E+017</v>
      </c>
      <c r="B21046" s="0" t="s">
        <v>20872</v>
      </c>
    </row>
    <row r="21047" customFormat="false" ht="15" hidden="false" customHeight="false" outlineLevel="0" collapsed="false">
      <c r="A21047" s="0" t="e">
        <f aca="false">CONVERT(411,"mibit","Tibit")</f>
        <v>#VALUE!</v>
      </c>
      <c r="B21047" s="0" t="s">
        <v>20873</v>
      </c>
    </row>
    <row r="21048" customFormat="false" ht="15" hidden="false" customHeight="false" outlineLevel="0" collapsed="false">
      <c r="A21048" s="0" t="n">
        <f aca="false">CONVERT(318.179,"kbyte","kbyte")</f>
        <v>318.179</v>
      </c>
      <c r="B21048" s="0" t="s">
        <v>20874</v>
      </c>
    </row>
    <row r="21049" customFormat="false" ht="15" hidden="false" customHeight="false" outlineLevel="0" collapsed="false">
      <c r="A21049" s="0" t="n">
        <f aca="false">CONVERT(422,"Mbyte","kbyte")</f>
        <v>422000</v>
      </c>
      <c r="B21049" s="0" t="s">
        <v>20875</v>
      </c>
    </row>
    <row r="21050" customFormat="false" ht="15" hidden="false" customHeight="false" outlineLevel="0" collapsed="false">
      <c r="A21050" s="0" t="n">
        <f aca="false">CONVERT(-5.91,"Pibyte","kibit")</f>
        <v>-51984909761249.3</v>
      </c>
      <c r="B21050" s="0" t="s">
        <v>20876</v>
      </c>
    </row>
    <row r="21051" customFormat="false" ht="15" hidden="false" customHeight="false" outlineLevel="0" collapsed="false">
      <c r="A21051" s="0" t="e">
        <f aca="false">CONVERT(446.8,"mibit","kbit")</f>
        <v>#VALUE!</v>
      </c>
      <c r="B21051" s="0" t="s">
        <v>20877</v>
      </c>
    </row>
    <row r="21052" customFormat="false" ht="15" hidden="false" customHeight="false" outlineLevel="0" collapsed="false">
      <c r="A21052" s="0" t="n">
        <f aca="false">CONVERT(429.726,"Tbyte","Pibyte")</f>
        <v>0.381673359584056</v>
      </c>
      <c r="B21052" s="0" t="s">
        <v>20878</v>
      </c>
    </row>
    <row r="21053" customFormat="false" ht="15" hidden="false" customHeight="false" outlineLevel="0" collapsed="false">
      <c r="A21053" s="0" t="n">
        <f aca="false">CONVERT(306,"bit","Zibyte")</f>
        <v>3.2399010232477E-020</v>
      </c>
      <c r="B21053" s="0" t="s">
        <v>20879</v>
      </c>
    </row>
    <row r="21054" customFormat="false" ht="15" hidden="false" customHeight="false" outlineLevel="0" collapsed="false">
      <c r="A21054" s="0" t="n">
        <f aca="false">CONVERT(486.3,"Pibyte","Pibyte")</f>
        <v>486.3</v>
      </c>
      <c r="B21054" s="0" t="s">
        <v>20880</v>
      </c>
    </row>
    <row r="21055" customFormat="false" ht="15" hidden="false" customHeight="false" outlineLevel="0" collapsed="false">
      <c r="A21055" s="0" t="e">
        <f aca="false">CONVERT(104,"Gibit","mibit")</f>
        <v>#VALUE!</v>
      </c>
      <c r="B21055" s="0" t="s">
        <v>20881</v>
      </c>
    </row>
    <row r="21056" customFormat="false" ht="15" hidden="false" customHeight="false" outlineLevel="0" collapsed="false">
      <c r="A21056" s="0" t="n">
        <f aca="false">CONVERT(167,"kbyte","Mibyte")</f>
        <v>0.159263610839844</v>
      </c>
      <c r="B21056" s="0" t="s">
        <v>20882</v>
      </c>
    </row>
    <row r="21057" customFormat="false" ht="15" hidden="false" customHeight="false" outlineLevel="0" collapsed="false">
      <c r="A21057" s="0" t="n">
        <f aca="false">CONVERT(6,"Yibyte","Yibyte")</f>
        <v>6</v>
      </c>
      <c r="B21057" s="0" t="s">
        <v>20883</v>
      </c>
    </row>
    <row r="21058" customFormat="false" ht="15" hidden="false" customHeight="false" outlineLevel="0" collapsed="false">
      <c r="A21058" s="0" t="n">
        <f aca="false">CONVERT(-46,"Yibyte","Yibyte")</f>
        <v>-46</v>
      </c>
      <c r="B21058" s="0" t="s">
        <v>20884</v>
      </c>
    </row>
    <row r="21059" customFormat="false" ht="15" hidden="false" customHeight="false" outlineLevel="0" collapsed="false">
      <c r="A21059" s="0" t="n">
        <f aca="false">CONVERT(380.686,"kibyte","Tibit")</f>
        <v>2.83633172512054E-006</v>
      </c>
      <c r="B21059" s="0" t="s">
        <v>20885</v>
      </c>
    </row>
    <row r="21060" customFormat="false" ht="15" hidden="false" customHeight="false" outlineLevel="0" collapsed="false">
      <c r="A21060" s="0" t="n">
        <f aca="false">CONVERT(351,"Gbit","kibit")</f>
        <v>342773437.5</v>
      </c>
      <c r="B21060" s="0" t="s">
        <v>20886</v>
      </c>
    </row>
    <row r="21061" customFormat="false" ht="15" hidden="false" customHeight="false" outlineLevel="0" collapsed="false">
      <c r="A21061" s="0" t="e">
        <f aca="false">CONVERT(189.9,"kiBit","kibyte")</f>
        <v>#VALUE!</v>
      </c>
      <c r="B21061" s="0" t="s">
        <v>20887</v>
      </c>
    </row>
    <row r="21062" customFormat="false" ht="15" hidden="false" customHeight="false" outlineLevel="0" collapsed="false">
      <c r="A21062" s="0" t="n">
        <f aca="false">CONVERT(64.515,"Tibit","Gibit")</f>
        <v>66063.36</v>
      </c>
      <c r="B21062" s="0" t="s">
        <v>20888</v>
      </c>
    </row>
    <row r="21063" customFormat="false" ht="15" hidden="false" customHeight="false" outlineLevel="0" collapsed="false">
      <c r="A21063" s="0" t="n">
        <f aca="false">CONVERT(60.4,"kbit","Zibyte")</f>
        <v>6.39509875176997E-018</v>
      </c>
      <c r="B21063" s="0" t="s">
        <v>20889</v>
      </c>
    </row>
    <row r="21064" customFormat="false" ht="15" hidden="false" customHeight="false" outlineLevel="0" collapsed="false">
      <c r="A21064" s="0" t="n">
        <f aca="false">CONVERT(320,"Mibit","Mibyte")</f>
        <v>40</v>
      </c>
      <c r="B21064" s="0" t="s">
        <v>20890</v>
      </c>
    </row>
    <row r="21065" customFormat="false" ht="15" hidden="false" customHeight="false" outlineLevel="0" collapsed="false">
      <c r="A21065" s="0" t="n">
        <f aca="false">CONVERT(-26.889,"Tibit","Tibit")</f>
        <v>-26.889</v>
      </c>
      <c r="B21065" s="0" t="s">
        <v>20891</v>
      </c>
    </row>
    <row r="21066" customFormat="false" ht="15" hidden="false" customHeight="false" outlineLevel="0" collapsed="false">
      <c r="A21066" s="0" t="n">
        <f aca="false">CONVERT(183,"kibit","mbit")</f>
        <v>187392000</v>
      </c>
      <c r="B21066" s="0" t="s">
        <v>20892</v>
      </c>
    </row>
    <row r="21067" customFormat="false" ht="15" hidden="false" customHeight="false" outlineLevel="0" collapsed="false">
      <c r="A21067" s="0" t="e">
        <f aca="false">CONVERT(-8.119,"bit","mibit")</f>
        <v>#VALUE!</v>
      </c>
      <c r="B21067" s="0" t="s">
        <v>20893</v>
      </c>
    </row>
    <row r="21068" customFormat="false" ht="15" hidden="false" customHeight="false" outlineLevel="0" collapsed="false">
      <c r="A21068" s="0" t="n">
        <f aca="false">CONVERT(154,"mbit","bit")</f>
        <v>0.154</v>
      </c>
      <c r="B21068" s="0" t="s">
        <v>20894</v>
      </c>
    </row>
    <row r="21069" customFormat="false" ht="15" hidden="false" customHeight="false" outlineLevel="0" collapsed="false">
      <c r="A21069" s="0" t="e">
        <f aca="false">CONVERT(447.7,"mibit","Tibit")</f>
        <v>#VALUE!</v>
      </c>
      <c r="B21069" s="0" t="s">
        <v>20895</v>
      </c>
    </row>
    <row r="21070" customFormat="false" ht="15" hidden="false" customHeight="false" outlineLevel="0" collapsed="false">
      <c r="A21070" s="0" t="n">
        <f aca="false">CONVERT(454,"Gibyte","kbyte")</f>
        <v>487478788.096</v>
      </c>
      <c r="B21070" s="0" t="s">
        <v>20896</v>
      </c>
    </row>
    <row r="21071" customFormat="false" ht="15" hidden="false" customHeight="false" outlineLevel="0" collapsed="false">
      <c r="A21071" s="0" t="n">
        <f aca="false">CONVERT(-30,"kibyte","Tbyte")</f>
        <v>-3.072E-008</v>
      </c>
      <c r="B21071" s="0" t="s">
        <v>20897</v>
      </c>
    </row>
    <row r="21072" customFormat="false" ht="15" hidden="false" customHeight="false" outlineLevel="0" collapsed="false">
      <c r="A21072" s="0" t="n">
        <f aca="false">CONVERT(470.071,"bit","Mbit")</f>
        <v>0.000470071</v>
      </c>
      <c r="B21072" s="0" t="s">
        <v>20898</v>
      </c>
    </row>
    <row r="21073" customFormat="false" ht="15" hidden="false" customHeight="false" outlineLevel="0" collapsed="false">
      <c r="A21073" s="0" t="n">
        <f aca="false">CONVERT(394,"Mibyte","Tbyte")</f>
        <v>0.000413138944</v>
      </c>
      <c r="B21073" s="0" t="s">
        <v>20899</v>
      </c>
    </row>
    <row r="21074" customFormat="false" ht="15" hidden="false" customHeight="false" outlineLevel="0" collapsed="false">
      <c r="A21074" s="0" t="n">
        <f aca="false">CONVERT(300.042,"byte","Zibyte")</f>
        <v>2.54145459560075E-019</v>
      </c>
      <c r="B21074" s="0" t="s">
        <v>20900</v>
      </c>
    </row>
    <row r="21075" customFormat="false" ht="15" hidden="false" customHeight="false" outlineLevel="0" collapsed="false">
      <c r="A21075" s="0" t="n">
        <f aca="false">CONVERT(292.6,"Gbit","Mibyte")</f>
        <v>34880.6381225586</v>
      </c>
      <c r="B21075" s="0" t="s">
        <v>20901</v>
      </c>
    </row>
    <row r="21076" customFormat="false" ht="15" hidden="false" customHeight="false" outlineLevel="0" collapsed="false">
      <c r="A21076" s="0" t="e">
        <f aca="false">CONVERT(38,"kibyte","mibit")</f>
        <v>#VALUE!</v>
      </c>
      <c r="B21076" s="0" t="s">
        <v>20902</v>
      </c>
    </row>
    <row r="21077" customFormat="false" ht="15" hidden="false" customHeight="false" outlineLevel="0" collapsed="false">
      <c r="A21077" s="0" t="n">
        <f aca="false">CONVERT(-32,"Mbyte","kibyte")</f>
        <v>-31250</v>
      </c>
      <c r="B21077" s="0" t="s">
        <v>20903</v>
      </c>
    </row>
    <row r="21078" customFormat="false" ht="15" hidden="false" customHeight="false" outlineLevel="0" collapsed="false">
      <c r="A21078" s="0" t="n">
        <f aca="false">CONVERT(5.3,"Eibyte","bit")</f>
        <v>4.88838717953303E+019</v>
      </c>
      <c r="B21078" s="0" t="s">
        <v>20904</v>
      </c>
    </row>
    <row r="21079" customFormat="false" ht="15" hidden="false" customHeight="false" outlineLevel="0" collapsed="false">
      <c r="A21079" s="0" t="n">
        <f aca="false">CONVERT(409.6,"Pibyte","Pibyte")</f>
        <v>409.6</v>
      </c>
      <c r="B21079" s="0" t="s">
        <v>20905</v>
      </c>
    </row>
    <row r="21080" customFormat="false" ht="15" hidden="false" customHeight="false" outlineLevel="0" collapsed="false">
      <c r="A21080" s="0" t="e">
        <f aca="false">CONVERT(122.256,"Mibit","Kibit")</f>
        <v>#VALUE!</v>
      </c>
      <c r="B21080" s="0" t="s">
        <v>20906</v>
      </c>
    </row>
    <row r="21081" customFormat="false" ht="15" hidden="false" customHeight="false" outlineLevel="0" collapsed="false">
      <c r="A21081" s="0" t="n">
        <f aca="false">CONVERT(-26,"Yibyte","Gbyte")</f>
        <v>-31432071309980400</v>
      </c>
      <c r="B21081" s="0" t="s">
        <v>20907</v>
      </c>
    </row>
    <row r="21082" customFormat="false" ht="15" hidden="false" customHeight="false" outlineLevel="0" collapsed="false">
      <c r="A21082" s="0" t="e">
        <f aca="false">CONVERT(248.2,"Gibit","kiBit")</f>
        <v>#VALUE!</v>
      </c>
      <c r="B21082" s="0" t="s">
        <v>20908</v>
      </c>
    </row>
    <row r="21083" customFormat="false" ht="15" hidden="false" customHeight="false" outlineLevel="0" collapsed="false">
      <c r="A21083" s="0" t="n">
        <f aca="false">CONVERT(479.8,"Eibyte","Gibyte")</f>
        <v>515181327155.2</v>
      </c>
      <c r="B21083" s="0" t="s">
        <v>20909</v>
      </c>
    </row>
    <row r="21084" customFormat="false" ht="15" hidden="false" customHeight="false" outlineLevel="0" collapsed="false">
      <c r="A21084" s="0" t="e">
        <f aca="false">CONVERT(37.34,"Wh","ly3")</f>
        <v>#VALUE!</v>
      </c>
      <c r="B21084" s="0" t="s">
        <v>20910</v>
      </c>
    </row>
    <row r="21085" customFormat="false" ht="15" hidden="false" customHeight="false" outlineLevel="0" collapsed="false">
      <c r="A21085" s="0" t="e">
        <f aca="false">CONVERT(23.72,"kbyte","l")</f>
        <v>#VALUE!</v>
      </c>
      <c r="B21085" s="0" t="s">
        <v>20911</v>
      </c>
    </row>
    <row r="21086" customFormat="false" ht="15" hidden="false" customHeight="false" outlineLevel="0" collapsed="false">
      <c r="A21086" s="0" t="e">
        <f aca="false">CONVERT(18.68,"GW","mN")</f>
        <v>#VALUE!</v>
      </c>
      <c r="B21086" s="0" t="s">
        <v>20912</v>
      </c>
    </row>
    <row r="21087" customFormat="false" ht="15" hidden="false" customHeight="false" outlineLevel="0" collapsed="false">
      <c r="A21087" s="0" t="n">
        <f aca="false">CONVERT(11.75,"tbs","m3")</f>
        <v>0.000173744486179688</v>
      </c>
      <c r="B21087" s="0" t="s">
        <v>20913</v>
      </c>
    </row>
    <row r="21088" customFormat="false" ht="15" hidden="false" customHeight="false" outlineLevel="0" collapsed="false">
      <c r="A21088" s="0" t="e">
        <f aca="false">CONVERT(28.96,"Zibyte","kN")</f>
        <v>#VALUE!</v>
      </c>
      <c r="B21088" s="0" t="s">
        <v>20914</v>
      </c>
    </row>
    <row r="21089" customFormat="false" ht="15" hidden="false" customHeight="false" outlineLevel="0" collapsed="false">
      <c r="A21089" s="0" t="e">
        <f aca="false">CONVERT(77.2,"pica3","lbf")</f>
        <v>#VALUE!</v>
      </c>
      <c r="B21089" s="0" t="s">
        <v>20915</v>
      </c>
    </row>
    <row r="21090" customFormat="false" ht="15" hidden="false" customHeight="false" outlineLevel="0" collapsed="false">
      <c r="A21090" s="0" t="e">
        <f aca="false">CONVERT(12.84,"ridiculous speed","ozm")</f>
        <v>#VALUE!</v>
      </c>
      <c r="B21090" s="0" t="s">
        <v>20916</v>
      </c>
    </row>
    <row r="21091" customFormat="false" ht="15" hidden="false" customHeight="false" outlineLevel="0" collapsed="false">
      <c r="A21091" s="0" t="e">
        <f aca="false">CONVERT(82.5,"kcal","ang")</f>
        <v>#VALUE!</v>
      </c>
      <c r="B21091" s="0" t="s">
        <v>20917</v>
      </c>
    </row>
    <row r="21092" customFormat="false" ht="15" hidden="false" customHeight="false" outlineLevel="0" collapsed="false">
      <c r="A21092" s="0" t="e">
        <f aca="false">CONVERT(45.88,"PS","uT")</f>
        <v>#VALUE!</v>
      </c>
      <c r="B21092" s="0" t="s">
        <v>20918</v>
      </c>
    </row>
    <row r="21093" customFormat="false" ht="15" hidden="false" customHeight="false" outlineLevel="0" collapsed="false">
      <c r="A21093" s="0" t="e">
        <f aca="false">CONVERT(24.63,"btu","ly")</f>
        <v>#VALUE!</v>
      </c>
      <c r="B21093" s="0" t="s">
        <v>20919</v>
      </c>
    </row>
    <row r="21094" customFormat="false" ht="15" hidden="false" customHeight="false" outlineLevel="0" collapsed="false">
      <c r="A21094" s="0" t="e">
        <f aca="false">CONVERT(93.9,"nm","kW")</f>
        <v>#VALUE!</v>
      </c>
      <c r="B21094" s="0" t="s">
        <v>20920</v>
      </c>
    </row>
    <row r="21095" customFormat="false" ht="15" hidden="false" customHeight="false" outlineLevel="0" collapsed="false">
      <c r="A21095" s="0" t="e">
        <f aca="false">CONVERT(58.51,"cwt","hr")</f>
        <v>#VALUE!</v>
      </c>
      <c r="B21095" s="0" t="s">
        <v>20921</v>
      </c>
    </row>
    <row r="21096" customFormat="false" ht="15" hidden="false" customHeight="false" outlineLevel="0" collapsed="false">
      <c r="A21096" s="0" t="e">
        <f aca="false">CONVERT(53.2,"ridiculous speed","pond")</f>
        <v>#VALUE!</v>
      </c>
      <c r="B21096" s="0" t="s">
        <v>20922</v>
      </c>
    </row>
    <row r="21097" customFormat="false" ht="15" hidden="false" customHeight="false" outlineLevel="0" collapsed="false">
      <c r="A21097" s="0" t="e">
        <f aca="false">CONVERT(29.43,"W","kg")</f>
        <v>#VALUE!</v>
      </c>
      <c r="B21097" s="0" t="s">
        <v>20923</v>
      </c>
    </row>
    <row r="21098" customFormat="false" ht="15" hidden="false" customHeight="false" outlineLevel="0" collapsed="false">
      <c r="A21098" s="0" t="e">
        <f aca="false">CONVERT(4.37,"K","pica3")</f>
        <v>#VALUE!</v>
      </c>
      <c r="B21098" s="0" t="s">
        <v>20924</v>
      </c>
    </row>
    <row r="21099" customFormat="false" ht="15" hidden="false" customHeight="false" outlineLevel="0" collapsed="false">
      <c r="A21099" s="0" t="e">
        <f aca="false">CONVERT(73.86,"ang","picapt2")</f>
        <v>#VALUE!</v>
      </c>
      <c r="B21099" s="0" t="s">
        <v>20925</v>
      </c>
    </row>
    <row r="21100" customFormat="false" ht="15" hidden="false" customHeight="false" outlineLevel="0" collapsed="false">
      <c r="A21100" s="0" t="e">
        <f aca="false">CONVERT(0.24,"mPa","cal")</f>
        <v>#VALUE!</v>
      </c>
      <c r="B21100" s="0" t="s">
        <v>20926</v>
      </c>
    </row>
    <row r="21101" customFormat="false" ht="15" hidden="false" customHeight="false" outlineLevel="0" collapsed="false">
      <c r="A21101" s="0" t="e">
        <f aca="false">CONVERT(53.01,"ft","pt")</f>
        <v>#VALUE!</v>
      </c>
      <c r="B21101" s="0" t="s">
        <v>20927</v>
      </c>
    </row>
    <row r="21102" customFormat="false" ht="15" hidden="false" customHeight="false" outlineLevel="0" collapsed="false">
      <c r="A21102" s="0" t="e">
        <f aca="false">CONVERT(49.55,"Eibyte","pt")</f>
        <v>#VALUE!</v>
      </c>
      <c r="B21102" s="0" t="s">
        <v>20928</v>
      </c>
    </row>
    <row r="21103" customFormat="false" ht="15" hidden="false" customHeight="false" outlineLevel="0" collapsed="false">
      <c r="A21103" s="0" t="n">
        <f aca="false">CONVERT(64.7,"Humpen","us_pt")</f>
        <v>68.3677271502888</v>
      </c>
      <c r="B21103" s="0" t="s">
        <v>20929</v>
      </c>
    </row>
    <row r="21104" customFormat="false" ht="15" hidden="false" customHeight="false" outlineLevel="0" collapsed="false">
      <c r="A21104" s="0" t="e">
        <f aca="false">CONVERT(59.98,"admkn","ton")</f>
        <v>#VALUE!</v>
      </c>
      <c r="B21104" s="0" t="s">
        <v>20930</v>
      </c>
    </row>
    <row r="21105" customFormat="false" ht="15" hidden="false" customHeight="false" outlineLevel="0" collapsed="false">
      <c r="A21105" s="0" t="e">
        <f aca="false">CONVERT(31.55,"Gibyte","ridiculous speed")</f>
        <v>#VALUE!</v>
      </c>
      <c r="B21105" s="0" t="s">
        <v>20931</v>
      </c>
    </row>
    <row r="21106" customFormat="false" ht="15" hidden="false" customHeight="false" outlineLevel="0" collapsed="false">
      <c r="A21106" s="0" t="e">
        <f aca="false">CONVERT(5.51,"ang2","m/h")</f>
        <v>#VALUE!</v>
      </c>
      <c r="B21106" s="0" t="s">
        <v>20932</v>
      </c>
    </row>
    <row r="21107" customFormat="false" ht="15" hidden="false" customHeight="false" outlineLevel="0" collapsed="false">
      <c r="A21107" s="0" t="e">
        <f aca="false">CONVERT(60.12,"grain","ang")</f>
        <v>#VALUE!</v>
      </c>
      <c r="B21107" s="0" t="s">
        <v>20933</v>
      </c>
    </row>
    <row r="21108" customFormat="false" ht="15" hidden="false" customHeight="false" outlineLevel="0" collapsed="false">
      <c r="A21108" s="0" t="n">
        <f aca="false">CONVERT(65.51,"km3","L")</f>
        <v>65510000000000</v>
      </c>
      <c r="B21108" s="0" t="s">
        <v>20934</v>
      </c>
    </row>
    <row r="21109" customFormat="false" ht="15" hidden="false" customHeight="false" outlineLevel="0" collapsed="false">
      <c r="A21109" s="0" t="e">
        <f aca="false">CONVERT(87.45,"Morgen","mJ")</f>
        <v>#VALUE!</v>
      </c>
      <c r="B21109" s="0" t="s">
        <v>20935</v>
      </c>
    </row>
    <row r="21110" customFormat="false" ht="15" hidden="false" customHeight="false" outlineLevel="0" collapsed="false">
      <c r="A21110" s="0" t="e">
        <f aca="false">CONVERT(0.8,"l","ms")</f>
        <v>#VALUE!</v>
      </c>
      <c r="B21110" s="0" t="s">
        <v>20936</v>
      </c>
    </row>
    <row r="21111" customFormat="false" ht="15" hidden="false" customHeight="false" outlineLevel="0" collapsed="false">
      <c r="A21111" s="0" t="e">
        <f aca="false">CONVERT(46.03,"MTON","pc")</f>
        <v>#VALUE!</v>
      </c>
      <c r="B21111" s="0" t="s">
        <v>20937</v>
      </c>
    </row>
    <row r="21112" customFormat="false" ht="15" hidden="false" customHeight="false" outlineLevel="0" collapsed="false">
      <c r="A21112" s="0" t="e">
        <f aca="false">CONVERT(15.79,"s","dam2")</f>
        <v>#VALUE!</v>
      </c>
      <c r="B21112" s="0" t="s">
        <v>20938</v>
      </c>
    </row>
    <row r="21113" customFormat="false" ht="15" hidden="false" customHeight="false" outlineLevel="0" collapsed="false">
      <c r="A21113" s="0" t="e">
        <f aca="false">CONVERT(12.92,"psi","kga")</f>
        <v>#VALUE!</v>
      </c>
      <c r="B21113" s="0" t="s">
        <v>20939</v>
      </c>
    </row>
    <row r="21114" customFormat="false" ht="15" hidden="false" customHeight="false" outlineLevel="0" collapsed="false">
      <c r="A21114" s="0" t="e">
        <f aca="false">CONVERT(14.83,"dam3","eV")</f>
        <v>#VALUE!</v>
      </c>
      <c r="B21114" s="0" t="s">
        <v>20940</v>
      </c>
    </row>
    <row r="21115" customFormat="false" ht="15" hidden="false" customHeight="false" outlineLevel="0" collapsed="false">
      <c r="A21115" s="0" t="e">
        <f aca="false">CONVERT(95.15,"m/s","us_pt")</f>
        <v>#VALUE!</v>
      </c>
      <c r="B21115" s="0" t="s">
        <v>20941</v>
      </c>
    </row>
    <row r="21116" customFormat="false" ht="15" hidden="false" customHeight="false" outlineLevel="0" collapsed="false">
      <c r="A21116" s="0" t="e">
        <f aca="false">CONVERT(87.47,"T","ha")</f>
        <v>#VALUE!</v>
      </c>
      <c r="B21116" s="0" t="s">
        <v>20942</v>
      </c>
    </row>
    <row r="21117" customFormat="false" ht="15" hidden="false" customHeight="false" outlineLevel="0" collapsed="false">
      <c r="A21117" s="0" t="n">
        <f aca="false">CONVERT(37.68,"uk_qt","hl")</f>
        <v>0.428241678</v>
      </c>
      <c r="B21117" s="0" t="s">
        <v>20943</v>
      </c>
    </row>
    <row r="21118" customFormat="false" ht="15" hidden="false" customHeight="false" outlineLevel="0" collapsed="false">
      <c r="A21118" s="0" t="e">
        <f aca="false">CONVERT(26.83,"acre","pica3")</f>
        <v>#VALUE!</v>
      </c>
      <c r="B21118" s="0" t="s">
        <v>20944</v>
      </c>
    </row>
    <row r="21119" customFormat="false" ht="15" hidden="false" customHeight="false" outlineLevel="0" collapsed="false">
      <c r="A21119" s="0" t="e">
        <f aca="false">CONVERT(7.41,"admkn","Mibyte")</f>
        <v>#VALUE!</v>
      </c>
      <c r="B21119" s="0" t="s">
        <v>20945</v>
      </c>
    </row>
    <row r="21120" customFormat="false" ht="15" hidden="false" customHeight="false" outlineLevel="0" collapsed="false">
      <c r="A21120" s="0" t="e">
        <f aca="false">CONVERT(40.18,"m2","uT")</f>
        <v>#VALUE!</v>
      </c>
      <c r="B21120" s="0" t="s">
        <v>20946</v>
      </c>
    </row>
    <row r="21121" customFormat="false" ht="15" hidden="false" customHeight="false" outlineLevel="0" collapsed="false">
      <c r="A21121" s="0" t="n">
        <f aca="false">CONVERT(83.24,"admkn","km/h")</f>
        <v>154.1604666816</v>
      </c>
      <c r="B21121" s="0" t="s">
        <v>20947</v>
      </c>
    </row>
    <row r="21122" customFormat="false" ht="15" hidden="false" customHeight="false" outlineLevel="0" collapsed="false">
      <c r="A21122" s="0" t="e">
        <f aca="false">CONVERT(10.31,"pt","Pica")</f>
        <v>#VALUE!</v>
      </c>
      <c r="B21122" s="0" t="s">
        <v>20948</v>
      </c>
    </row>
    <row r="21123" customFormat="false" ht="15" hidden="false" customHeight="false" outlineLevel="0" collapsed="false">
      <c r="A21123" s="0" t="e">
        <f aca="false">CONVERT(99.47,"tbs","km/s")</f>
        <v>#VALUE!</v>
      </c>
      <c r="B21123" s="0" t="s">
        <v>20949</v>
      </c>
    </row>
    <row r="21124" customFormat="false" ht="15" hidden="false" customHeight="false" outlineLevel="0" collapsed="false">
      <c r="A21124" s="0" t="e">
        <f aca="false">CONVERT(88.91,"Gg","hm")</f>
        <v>#VALUE!</v>
      </c>
      <c r="B21124" s="0" t="s">
        <v>20950</v>
      </c>
    </row>
    <row r="21125" customFormat="false" ht="15" hidden="false" customHeight="false" outlineLevel="0" collapsed="false">
      <c r="A21125" s="0" t="e">
        <f aca="false">CONVERT(42.49,"km3","mT")</f>
        <v>#VALUE!</v>
      </c>
      <c r="B21125" s="0" t="s">
        <v>20951</v>
      </c>
    </row>
    <row r="21126" customFormat="false" ht="15" hidden="false" customHeight="false" outlineLevel="0" collapsed="false">
      <c r="A21126" s="0" t="n">
        <f aca="false">CONVERT(71.02,"Sixpack","in3")</f>
        <v>8667.81261121577</v>
      </c>
      <c r="B21126" s="0" t="s">
        <v>20952</v>
      </c>
    </row>
    <row r="21127" customFormat="false" ht="15" hidden="false" customHeight="false" outlineLevel="0" collapsed="false">
      <c r="A21127" s="0" t="e">
        <f aca="false">CONVERT(21.91,"wh","lbm")</f>
        <v>#VALUE!</v>
      </c>
      <c r="B21127" s="0" t="s">
        <v>20953</v>
      </c>
    </row>
    <row r="21128" customFormat="false" ht="15" hidden="false" customHeight="false" outlineLevel="0" collapsed="false">
      <c r="A21128" s="0" t="e">
        <f aca="false">CONVERT(2.56,"Pica3","pica2")</f>
        <v>#VALUE!</v>
      </c>
      <c r="B21128" s="0" t="s">
        <v>20954</v>
      </c>
    </row>
    <row r="21129" customFormat="false" ht="15" hidden="false" customHeight="false" outlineLevel="0" collapsed="false">
      <c r="A21129" s="0" t="e">
        <f aca="false">CONVERT(47.26,"lcwt","Kibit")</f>
        <v>#VALUE!</v>
      </c>
      <c r="B21129" s="0" t="s">
        <v>20955</v>
      </c>
    </row>
    <row r="21130" customFormat="false" ht="15" hidden="false" customHeight="false" outlineLevel="0" collapsed="false">
      <c r="A21130" s="0" t="e">
        <f aca="false">CONVERT(91.77,"mJ","yd2")</f>
        <v>#VALUE!</v>
      </c>
      <c r="B21130" s="0" t="s">
        <v>20956</v>
      </c>
    </row>
    <row r="21131" customFormat="false" ht="15" hidden="false" customHeight="false" outlineLevel="0" collapsed="false">
      <c r="A21131" s="0" t="e">
        <f aca="false">CONVERT(12.82,"cm","kPa")</f>
        <v>#VALUE!</v>
      </c>
      <c r="B21131" s="0" t="s">
        <v>20957</v>
      </c>
    </row>
    <row r="21132" customFormat="false" ht="15" hidden="false" customHeight="false" outlineLevel="0" collapsed="false">
      <c r="A21132" s="0" t="e">
        <f aca="false">CONVERT(24.37,"kg","Yibyte")</f>
        <v>#VALUE!</v>
      </c>
      <c r="B21132" s="0" t="s">
        <v>20958</v>
      </c>
    </row>
    <row r="21133" customFormat="false" ht="15" hidden="false" customHeight="false" outlineLevel="0" collapsed="false">
      <c r="A21133" s="0" t="e">
        <f aca="false">CONVERT(49.59,"C","Pica3")</f>
        <v>#VALUE!</v>
      </c>
      <c r="B21133" s="0" t="s">
        <v>20959</v>
      </c>
    </row>
    <row r="21134" customFormat="false" ht="15" hidden="false" customHeight="false" outlineLevel="0" collapsed="false">
      <c r="A21134" s="0" t="e">
        <f aca="false">CONVERT(38.16,"uk_cwt","km")</f>
        <v>#VALUE!</v>
      </c>
      <c r="B21134" s="0" t="s">
        <v>20960</v>
      </c>
    </row>
    <row r="21135" customFormat="false" ht="15" hidden="false" customHeight="false" outlineLevel="0" collapsed="false">
      <c r="A21135" s="0" t="e">
        <f aca="false">CONVERT(15.74,"mn","mi")</f>
        <v>#VALUE!</v>
      </c>
      <c r="B21135" s="0" t="s">
        <v>20961</v>
      </c>
    </row>
    <row r="21136" customFormat="false" ht="15" hidden="false" customHeight="false" outlineLevel="0" collapsed="false">
      <c r="A21136" s="0" t="e">
        <f aca="false">CONVERT(76.39,"atm","s")</f>
        <v>#VALUE!</v>
      </c>
      <c r="B21136" s="0" t="s">
        <v>20962</v>
      </c>
    </row>
    <row r="21137" customFormat="false" ht="15" hidden="false" customHeight="false" outlineLevel="0" collapsed="false">
      <c r="A21137" s="0" t="n">
        <f aca="false">CONVERT(90.96,"MTON","pt")</f>
        <v>136.08561038961</v>
      </c>
      <c r="B21137" s="0" t="s">
        <v>20963</v>
      </c>
    </row>
    <row r="21138" customFormat="false" ht="15" hidden="false" customHeight="false" outlineLevel="0" collapsed="false">
      <c r="A21138" s="0" t="e">
        <f aca="false">CONVERT(37.09,"in3","day")</f>
        <v>#VALUE!</v>
      </c>
      <c r="B21138" s="0" t="s">
        <v>20964</v>
      </c>
    </row>
    <row r="21139" customFormat="false" ht="15" hidden="false" customHeight="false" outlineLevel="0" collapsed="false">
      <c r="A21139" s="0" t="e">
        <f aca="false">CONVERT(93.79,"GPa","Reau")</f>
        <v>#VALUE!</v>
      </c>
      <c r="B21139" s="0" t="s">
        <v>20965</v>
      </c>
    </row>
    <row r="21140" customFormat="false" ht="15" hidden="false" customHeight="false" outlineLevel="0" collapsed="false">
      <c r="A21140" s="0" t="e">
        <f aca="false">CONVERT(91.53,"Mbyte","ly2")</f>
        <v>#VALUE!</v>
      </c>
      <c r="B21140" s="0" t="s">
        <v>20966</v>
      </c>
    </row>
    <row r="21141" customFormat="false" ht="15" hidden="false" customHeight="false" outlineLevel="0" collapsed="false">
      <c r="A21141" s="0" t="e">
        <f aca="false">CONVERT(52.92,"picapt","barrel")</f>
        <v>#VALUE!</v>
      </c>
      <c r="B21141" s="0" t="s">
        <v>20967</v>
      </c>
    </row>
    <row r="21142" customFormat="false" ht="15" hidden="false" customHeight="false" outlineLevel="0" collapsed="false">
      <c r="A21142" s="0" t="e">
        <f aca="false">CONVERT(84.64,"ug","ga")</f>
        <v>#VALUE!</v>
      </c>
      <c r="B21142" s="0" t="s">
        <v>20968</v>
      </c>
    </row>
    <row r="21143" customFormat="false" ht="15" hidden="false" customHeight="false" outlineLevel="0" collapsed="false">
      <c r="A21143" s="0" t="e">
        <f aca="false">CONVERT(65.47,"m2","lbf")</f>
        <v>#VALUE!</v>
      </c>
      <c r="B21143" s="0" t="s">
        <v>20969</v>
      </c>
    </row>
    <row r="21144" customFormat="false" ht="15" hidden="false" customHeight="false" outlineLevel="0" collapsed="false">
      <c r="A21144" s="0" t="n">
        <f aca="false">CHISQDIST(3,2,1)</f>
        <v>0.77686983985157</v>
      </c>
      <c r="B21144" s="0" t="s">
        <v>20970</v>
      </c>
    </row>
    <row r="21145" customFormat="false" ht="15" hidden="false" customHeight="false" outlineLevel="0" collapsed="false">
      <c r="A21145" s="0" t="n">
        <f aca="false">CHISQDIST(3,2,0)</f>
        <v>0.111565080074215</v>
      </c>
      <c r="B21145" s="0" t="s">
        <v>20971</v>
      </c>
    </row>
    <row r="21146" customFormat="false" ht="15" hidden="false" customHeight="false" outlineLevel="0" collapsed="false">
      <c r="A21146" s="0" t="n">
        <f aca="false">CHISQDIST(3,2)</f>
        <v>0.77686983985157</v>
      </c>
      <c r="B21146" s="0" t="s">
        <v>20972</v>
      </c>
    </row>
    <row r="21147" customFormat="false" ht="15" hidden="false" customHeight="false" outlineLevel="0" collapsed="false">
      <c r="A21147" s="0" t="n">
        <f aca="false">CHISQDIST(-1,2,1)</f>
        <v>0</v>
      </c>
      <c r="B21147" s="0" t="s">
        <v>20973</v>
      </c>
    </row>
    <row r="21148" customFormat="false" ht="15" hidden="false" customHeight="false" outlineLevel="0" collapsed="false">
      <c r="A21148" s="0" t="n">
        <f aca="false">CHISQDIST(0,2,0)</f>
        <v>0</v>
      </c>
      <c r="B21148" s="0" t="s">
        <v>20974</v>
      </c>
    </row>
    <row r="21149" customFormat="false" ht="15" hidden="false" customHeight="false" outlineLevel="0" collapsed="false">
      <c r="A21149" s="0" t="n">
        <f aca="false">CHISQDIST(0,1,0)</f>
        <v>0</v>
      </c>
      <c r="B21149" s="0" t="s">
        <v>20975</v>
      </c>
    </row>
    <row r="21150" customFormat="false" ht="15" hidden="false" customHeight="false" outlineLevel="0" collapsed="false">
      <c r="A21150" s="0" t="e">
        <f aca="false">CHISQDIST(3,0,1)</f>
        <v>#VALUE!</v>
      </c>
      <c r="B21150" s="0" t="s">
        <v>20976</v>
      </c>
    </row>
    <row r="21151" customFormat="false" ht="15" hidden="false" customHeight="false" outlineLevel="0" collapsed="false">
      <c r="A21151" s="0" t="n">
        <f aca="false">CHISQDIST(3,1.9,1)</f>
        <v>0.91673548333645</v>
      </c>
      <c r="B21151" s="0" t="s">
        <v>20977</v>
      </c>
    </row>
    <row r="21152" customFormat="false" ht="15" hidden="false" customHeight="false" outlineLevel="0" collapsed="false">
      <c r="A21152" s="0" t="n">
        <f aca="false">CHISQDIST(3,2,5)</f>
        <v>0.77686983985157</v>
      </c>
      <c r="B21152" s="0" t="s">
        <v>20978</v>
      </c>
    </row>
    <row r="21153" customFormat="false" ht="15" hidden="false" customHeight="false" outlineLevel="0" collapsed="false">
      <c r="A21153" s="0" t="e">
        <f aca="false">CHISQDIST(3,2,"a")</f>
        <v>#VALUE!</v>
      </c>
      <c r="B21153" s="0" t="s">
        <v>20979</v>
      </c>
    </row>
    <row r="21154" customFormat="false" ht="15" hidden="false" customHeight="false" outlineLevel="0" collapsed="false">
      <c r="A21154" s="0" t="n">
        <f aca="false">CHISQDIST(3,2,TRUE())</f>
        <v>0.77686983985157</v>
      </c>
      <c r="B21154" s="0" t="s">
        <v>20980</v>
      </c>
    </row>
    <row r="21155" customFormat="false" ht="15" hidden="false" customHeight="false" outlineLevel="0" collapsed="false">
      <c r="A21155" s="0" t="n">
        <f aca="false">CHISQDIST(3,10000000000,1)</f>
        <v>0</v>
      </c>
      <c r="B21155" s="0" t="s">
        <v>20981</v>
      </c>
    </row>
    <row r="21156" customFormat="false" ht="15" hidden="false" customHeight="false" outlineLevel="0" collapsed="false">
      <c r="A21156" s="0" t="n">
        <f aca="false">CHISQDIST(3,20000000000,1)</f>
        <v>0</v>
      </c>
      <c r="B21156" s="0" t="s">
        <v>20982</v>
      </c>
    </row>
    <row r="21157" customFormat="false" ht="15" hidden="false" customHeight="false" outlineLevel="0" collapsed="false">
      <c r="A21157" s="0" t="e">
        <f aca="false">CHISQDIST(3,0.5,1)</f>
        <v>#VALUE!</v>
      </c>
      <c r="B21157" s="0" t="s">
        <v>20983</v>
      </c>
    </row>
    <row r="21158" customFormat="false" ht="15" hidden="false" customHeight="false" outlineLevel="0" collapsed="false">
      <c r="A21158" s="0" t="n">
        <f aca="false">CHISQDIST(3,10000000000,0)</f>
        <v>0</v>
      </c>
      <c r="B21158" s="0" t="s">
        <v>20984</v>
      </c>
    </row>
    <row r="21159" customFormat="false" ht="15" hidden="false" customHeight="false" outlineLevel="0" collapsed="false">
      <c r="A21159" s="0" t="e">
        <f aca="false">CHISQDIST(10000000000,10000000000,1)</f>
        <v>#N/A</v>
      </c>
      <c r="B21159" s="0" t="s">
        <v>20985</v>
      </c>
    </row>
    <row r="21160" customFormat="false" ht="15" hidden="false" customHeight="false" outlineLevel="0" collapsed="false">
      <c r="A21160" s="0" t="n">
        <f aca="false">CHISQDIST(10000000000,10000000000,0)</f>
        <v>2.82089134942357E-006</v>
      </c>
      <c r="B21160" s="0" t="s">
        <v>20986</v>
      </c>
    </row>
    <row r="21161" customFormat="false" ht="15" hidden="false" customHeight="false" outlineLevel="0" collapsed="false">
      <c r="A21161" s="0" t="n">
        <f aca="false">CHISQDIST(100000,100000,0)</f>
        <v>0.000892060571360128</v>
      </c>
      <c r="B21161" s="0" t="s">
        <v>20987</v>
      </c>
    </row>
    <row r="21162" customFormat="false" ht="15" hidden="false" customHeight="false" outlineLevel="0" collapsed="false">
      <c r="A21162" s="0" t="n">
        <f aca="false">CHISQDIST(100000,100000,1)</f>
        <v>0.500594708124668</v>
      </c>
      <c r="B21162" s="0" t="s">
        <v>20988</v>
      </c>
    </row>
    <row r="21163" customFormat="false" ht="15" hidden="false" customHeight="false" outlineLevel="0" collapsed="false">
      <c r="A21163" s="0" t="n">
        <f aca="false">CHISQDIST(1000000,1000000,0)</f>
        <v>0.000282094744684888</v>
      </c>
      <c r="B21163" s="0" t="s">
        <v>20989</v>
      </c>
    </row>
    <row r="21164" customFormat="false" ht="15" hidden="false" customHeight="false" outlineLevel="0" collapsed="false">
      <c r="A21164" s="0" t="n">
        <f aca="false">CHISQDIST(1000,1000,0)</f>
        <v>0.00891913393475592</v>
      </c>
      <c r="B21164" s="0" t="s">
        <v>20990</v>
      </c>
    </row>
    <row r="21165" customFormat="false" ht="15" hidden="false" customHeight="false" outlineLevel="0" collapsed="false">
      <c r="A21165" s="0" t="n">
        <f aca="false">CHISQDIST(10000000,20000000,1)</f>
        <v>0</v>
      </c>
      <c r="B21165" s="0" t="s">
        <v>20991</v>
      </c>
    </row>
    <row r="21166" customFormat="false" ht="15" hidden="false" customHeight="false" outlineLevel="0" collapsed="false">
      <c r="A21166" s="0" t="n">
        <f aca="false">CHISQDIST(0.5,1,0)</f>
        <v>0.439391289467722</v>
      </c>
      <c r="B21166" s="0" t="s">
        <v>20992</v>
      </c>
    </row>
    <row r="21167" customFormat="false" ht="15" hidden="false" customHeight="false" outlineLevel="0" collapsed="false">
      <c r="A21167" s="0" t="n">
        <f aca="false">CHISQDIST(1,1,0)</f>
        <v>0.241970724519143</v>
      </c>
      <c r="B21167" s="0" t="s">
        <v>20993</v>
      </c>
    </row>
    <row r="21168" customFormat="false" ht="15" hidden="false" customHeight="false" outlineLevel="0" collapsed="false">
      <c r="A21168" s="0" t="n">
        <f aca="false">CHISQDIST(100,3,0)</f>
        <v>7.69459862670642E-022</v>
      </c>
      <c r="B21168" s="0" t="s">
        <v>20994</v>
      </c>
    </row>
    <row r="21169" customFormat="false" ht="15" hidden="false" customHeight="false" outlineLevel="0" collapsed="false">
      <c r="A21169" s="0" t="n">
        <f aca="false">CHISQDIST(1000,3,0)</f>
        <v>8.98812521873324E-217</v>
      </c>
      <c r="B21169" s="0" t="s">
        <v>20995</v>
      </c>
    </row>
    <row r="21170" customFormat="false" ht="15" hidden="false" customHeight="false" outlineLevel="0" collapsed="false">
      <c r="A21170" s="0" t="n">
        <f aca="false">CHISQDIST(1500,3,0)</f>
        <v>0</v>
      </c>
      <c r="B21170" s="0" t="s">
        <v>20996</v>
      </c>
    </row>
    <row r="21171" customFormat="false" ht="15" hidden="false" customHeight="false" outlineLevel="0" collapsed="false">
      <c r="A21171" s="0" t="n">
        <f aca="false">CHISQDIST(1400,3,0)</f>
        <v>1.47175917325002E-303</v>
      </c>
      <c r="B21171" s="0" t="s">
        <v>20997</v>
      </c>
    </row>
    <row r="21172" customFormat="false" ht="15" hidden="false" customHeight="false" outlineLevel="0" collapsed="false">
      <c r="A21172" s="0" t="n">
        <f aca="false">CHISQDIST(-0.0001,3,0)</f>
        <v>0</v>
      </c>
      <c r="B21172" s="0" t="s">
        <v>20998</v>
      </c>
    </row>
    <row r="21173" customFormat="false" ht="15" hidden="false" customHeight="false" outlineLevel="0" collapsed="false">
      <c r="A21173" s="0" t="n">
        <f aca="false">CHISQINV(0.5,2)</f>
        <v>1.38629436111989</v>
      </c>
      <c r="B21173" s="0" t="s">
        <v>20999</v>
      </c>
    </row>
    <row r="21174" customFormat="false" ht="15" hidden="false" customHeight="false" outlineLevel="0" collapsed="false">
      <c r="A21174" s="0" t="n">
        <f aca="false">CHISQINV(0,2)</f>
        <v>0</v>
      </c>
      <c r="B21174" s="0" t="s">
        <v>21000</v>
      </c>
    </row>
    <row r="21175" customFormat="false" ht="15" hidden="false" customHeight="false" outlineLevel="0" collapsed="false">
      <c r="A21175" s="0" t="e">
        <f aca="false">CHISQINV(1,2)</f>
        <v>#VALUE!</v>
      </c>
      <c r="B21175" s="0" t="s">
        <v>21001</v>
      </c>
    </row>
    <row r="21176" customFormat="false" ht="15" hidden="false" customHeight="false" outlineLevel="0" collapsed="false">
      <c r="A21176" s="0" t="e">
        <f aca="false">CHISQINV(1.1,2)</f>
        <v>#VALUE!</v>
      </c>
      <c r="B21176" s="0" t="s">
        <v>21002</v>
      </c>
    </row>
    <row r="21177" customFormat="false" ht="15" hidden="false" customHeight="false" outlineLevel="0" collapsed="false">
      <c r="A21177" s="0" t="e">
        <f aca="false">CHISQINV(-0.1,2)</f>
        <v>#VALUE!</v>
      </c>
      <c r="B21177" s="0" t="s">
        <v>21003</v>
      </c>
    </row>
    <row r="21178" customFormat="false" ht="15" hidden="false" customHeight="false" outlineLevel="0" collapsed="false">
      <c r="A21178" s="0" t="e">
        <f aca="false">CHISQINV(0.5,0)</f>
        <v>#VALUE!</v>
      </c>
      <c r="B21178" s="0" t="s">
        <v>21004</v>
      </c>
    </row>
    <row r="21179" customFormat="false" ht="15" hidden="false" customHeight="false" outlineLevel="0" collapsed="false">
      <c r="A21179" s="0" t="n">
        <f aca="false">CHISQINV(0.5,1.5)</f>
        <v>0.454936423119573</v>
      </c>
      <c r="B21179" s="0" t="s">
        <v>21005</v>
      </c>
    </row>
    <row r="21180" customFormat="false" ht="15" hidden="false" customHeight="false" outlineLevel="0" collapsed="false">
      <c r="A21180" s="0" t="n">
        <f aca="false">CHISQINV(0.99999,3)</f>
        <v>25.9017497456759</v>
      </c>
      <c r="B21180" s="0" t="s">
        <v>21006</v>
      </c>
    </row>
    <row r="21181" customFormat="false" ht="15" hidden="false" customHeight="false" outlineLevel="0" collapsed="false">
      <c r="A21181" s="0" t="n">
        <f aca="false">CHISQINV(0.0000000001,3)</f>
        <v>5.20939762143448E-007</v>
      </c>
      <c r="B21181" s="0" t="s">
        <v>21007</v>
      </c>
    </row>
    <row r="21182" customFormat="false" ht="15" hidden="false" customHeight="false" outlineLevel="0" collapsed="false">
      <c r="A21182" s="0" t="e">
        <f aca="false">CHISQINV(0.5,10000000000)</f>
        <v>#N/A</v>
      </c>
      <c r="B21182" s="0" t="s">
        <v>21008</v>
      </c>
    </row>
    <row r="21183" customFormat="false" ht="15" hidden="false" customHeight="false" outlineLevel="0" collapsed="false">
      <c r="A21183" s="0" t="e">
        <f aca="false">CHISQINV(0.5,20000000000)</f>
        <v>#N/A</v>
      </c>
      <c r="B21183" s="0" t="s">
        <v>21009</v>
      </c>
    </row>
    <row r="21184" customFormat="false" ht="15" hidden="false" customHeight="false" outlineLevel="0" collapsed="false">
      <c r="A21184" s="0" t="n">
        <f aca="false">CHISQINV(0.5,1000000)</f>
        <v>999999.333333373</v>
      </c>
      <c r="B21184" s="0" t="s">
        <v>21010</v>
      </c>
    </row>
    <row r="21185" customFormat="false" ht="15" hidden="false" customHeight="false" outlineLevel="0" collapsed="false">
      <c r="A21185" s="0" t="n">
        <f aca="false">CHISQINV(0.001,50)</f>
        <v>24.6739052718773</v>
      </c>
      <c r="B21185" s="0" t="s">
        <v>21011</v>
      </c>
    </row>
    <row r="21186" customFormat="false" ht="15" hidden="false" customHeight="false" outlineLevel="0" collapsed="false">
      <c r="A21186" s="0" t="n">
        <f aca="false">CHISQINV(0.999,50)</f>
        <v>86.660815190403</v>
      </c>
      <c r="B21186" s="0" t="s">
        <v>21012</v>
      </c>
    </row>
    <row r="21187" customFormat="false" ht="15" hidden="false" customHeight="false" outlineLevel="0" collapsed="false">
      <c r="A21187" s="0" t="n">
        <f aca="false">CHISQINV(0.9999999,1)</f>
        <v>28.3739873637067</v>
      </c>
      <c r="B21187" s="0" t="s">
        <v>21013</v>
      </c>
    </row>
    <row r="21188" customFormat="false" ht="15" hidden="false" customHeight="false" outlineLevel="0" collapsed="false">
      <c r="A21188" s="0" t="e">
        <f aca="false">CHISQINV(0.5,"a")</f>
        <v>#VALUE!</v>
      </c>
      <c r="B21188" s="0" t="s">
        <v>21014</v>
      </c>
    </row>
    <row r="21189" customFormat="false" ht="15" hidden="false" customHeight="false" outlineLevel="0" collapsed="false">
      <c r="A21189" s="0" t="n">
        <f aca="false">CHISQINV(0.5,2.999)</f>
        <v>1.38629436111989</v>
      </c>
      <c r="B21189" s="0" t="s">
        <v>21015</v>
      </c>
    </row>
    <row r="21190" customFormat="false" ht="15" hidden="false" customHeight="false" outlineLevel="0" collapsed="false">
      <c r="A21190" s="0" t="n">
        <f aca="false">CHISQDIST(28.89,5,0)</f>
        <v>1.10033856060217E-005</v>
      </c>
      <c r="B21190" s="0" t="s">
        <v>21016</v>
      </c>
    </row>
    <row r="21191" customFormat="false" ht="15" hidden="false" customHeight="false" outlineLevel="0" collapsed="false">
      <c r="A21191" s="0" t="n">
        <f aca="false">CHISQINV(0.946,10)</f>
        <v>18.0575849232836</v>
      </c>
      <c r="B21191" s="0" t="s">
        <v>21017</v>
      </c>
    </row>
    <row r="21192" customFormat="false" ht="15" hidden="false" customHeight="false" outlineLevel="0" collapsed="false">
      <c r="A21192" s="0" t="n">
        <f aca="false">CHISQDIST(20.96,2,1)</f>
        <v>0.999971907277474</v>
      </c>
      <c r="B21192" s="0" t="s">
        <v>21018</v>
      </c>
    </row>
    <row r="21193" customFormat="false" ht="15" hidden="false" customHeight="false" outlineLevel="0" collapsed="false">
      <c r="A21193" s="0" t="n">
        <f aca="false">CHISQINV(0.078,2)</f>
        <v>0.162420110851086</v>
      </c>
      <c r="B21193" s="0" t="s">
        <v>21019</v>
      </c>
    </row>
    <row r="21194" customFormat="false" ht="15" hidden="false" customHeight="false" outlineLevel="0" collapsed="false">
      <c r="A21194" s="0" t="n">
        <f aca="false">CHISQDIST(2.14,3,1)</f>
        <v>0.456137028236756</v>
      </c>
      <c r="B21194" s="0" t="s">
        <v>21020</v>
      </c>
    </row>
    <row r="21195" customFormat="false" ht="15" hidden="false" customHeight="false" outlineLevel="0" collapsed="false">
      <c r="A21195" s="0" t="n">
        <f aca="false">CHISQINV(0.537,30)</f>
        <v>30.0518572596234</v>
      </c>
      <c r="B21195" s="0" t="s">
        <v>21021</v>
      </c>
    </row>
    <row r="21196" customFormat="false" ht="15" hidden="false" customHeight="false" outlineLevel="0" collapsed="false">
      <c r="A21196" s="0" t="n">
        <f aca="false">CHISQDIST(8.9,2,0)</f>
        <v>0.00583928348519772</v>
      </c>
      <c r="B21196" s="0" t="s">
        <v>21022</v>
      </c>
    </row>
    <row r="21197" customFormat="false" ht="15" hidden="false" customHeight="false" outlineLevel="0" collapsed="false">
      <c r="A21197" s="0" t="n">
        <f aca="false">CHISQINV(0.159,5)</f>
        <v>2.05844785782615</v>
      </c>
      <c r="B21197" s="0" t="s">
        <v>21023</v>
      </c>
    </row>
    <row r="21198" customFormat="false" ht="15" hidden="false" customHeight="false" outlineLevel="0" collapsed="false">
      <c r="A21198" s="0" t="n">
        <f aca="false">CHISQDIST(79.01,2,1)</f>
        <v>1</v>
      </c>
      <c r="B21198" s="0" t="s">
        <v>21024</v>
      </c>
    </row>
    <row r="21199" customFormat="false" ht="15" hidden="false" customHeight="false" outlineLevel="0" collapsed="false">
      <c r="A21199" s="0" t="n">
        <f aca="false">CHISQINV(0.069,10)</f>
        <v>4.33446380714523</v>
      </c>
      <c r="B21199" s="0" t="s">
        <v>21025</v>
      </c>
    </row>
    <row r="21200" customFormat="false" ht="15" hidden="false" customHeight="false" outlineLevel="0" collapsed="false">
      <c r="A21200" s="0" t="n">
        <f aca="false">CHISQDIST(47.45,30,1)</f>
        <v>0.977521311176025</v>
      </c>
      <c r="B21200" s="0" t="s">
        <v>21026</v>
      </c>
    </row>
    <row r="21201" customFormat="false" ht="15" hidden="false" customHeight="false" outlineLevel="0" collapsed="false">
      <c r="A21201" s="0" t="n">
        <f aca="false">CHISQINV(0.107,100)</f>
        <v>82.8423377172227</v>
      </c>
      <c r="B21201" s="0" t="s">
        <v>21027</v>
      </c>
    </row>
    <row r="21202" customFormat="false" ht="15" hidden="false" customHeight="false" outlineLevel="0" collapsed="false">
      <c r="A21202" s="0" t="n">
        <f aca="false">CHISQDIST(55.53,100,1)</f>
        <v>9.21761684356842E-005</v>
      </c>
      <c r="B21202" s="0" t="s">
        <v>21028</v>
      </c>
    </row>
    <row r="21203" customFormat="false" ht="15" hidden="false" customHeight="false" outlineLevel="0" collapsed="false">
      <c r="A21203" s="0" t="n">
        <f aca="false">CHISQINV(0.049,2)</f>
        <v>0.100482432873494</v>
      </c>
      <c r="B21203" s="0" t="s">
        <v>21029</v>
      </c>
    </row>
    <row r="21204" customFormat="false" ht="15" hidden="false" customHeight="false" outlineLevel="0" collapsed="false">
      <c r="A21204" s="0" t="n">
        <f aca="false">CHISQDIST(62.61,2,1)</f>
        <v>0.999999999999975</v>
      </c>
      <c r="B21204" s="0" t="s">
        <v>21030</v>
      </c>
    </row>
    <row r="21205" customFormat="false" ht="15" hidden="false" customHeight="false" outlineLevel="0" collapsed="false">
      <c r="A21205" s="0" t="n">
        <f aca="false">CHISQINV(0.534,2)</f>
        <v>1.52713928971298</v>
      </c>
      <c r="B21205" s="0" t="s">
        <v>21031</v>
      </c>
    </row>
    <row r="21206" customFormat="false" ht="15" hidden="false" customHeight="false" outlineLevel="0" collapsed="false">
      <c r="A21206" s="0" t="n">
        <f aca="false">CHISQDIST(61.15,10,1)</f>
        <v>0.999999997805539</v>
      </c>
      <c r="B21206" s="0" t="s">
        <v>21032</v>
      </c>
    </row>
    <row r="21207" customFormat="false" ht="15" hidden="false" customHeight="false" outlineLevel="0" collapsed="false">
      <c r="A21207" s="0" t="n">
        <f aca="false">CHISQINV(0.377,100)</f>
        <v>94.9848585041238</v>
      </c>
      <c r="B21207" s="0" t="s">
        <v>21033</v>
      </c>
    </row>
    <row r="21208" customFormat="false" ht="15" hidden="false" customHeight="false" outlineLevel="0" collapsed="false">
      <c r="A21208" s="0" t="n">
        <f aca="false">CHISQDIST(43.47,2,1)</f>
        <v>0.999999999636412</v>
      </c>
      <c r="B21208" s="0" t="s">
        <v>21034</v>
      </c>
    </row>
    <row r="21209" customFormat="false" ht="15" hidden="false" customHeight="false" outlineLevel="0" collapsed="false">
      <c r="A21209" s="0" t="n">
        <f aca="false">CHISQINV(0.344,3)</f>
        <v>1.61497113372533</v>
      </c>
      <c r="B21209" s="0" t="s">
        <v>21035</v>
      </c>
    </row>
    <row r="21210" customFormat="false" ht="15" hidden="false" customHeight="false" outlineLevel="0" collapsed="false">
      <c r="A21210" s="0" t="n">
        <f aca="false">CHISQDIST(78.76,1,1)</f>
        <v>1</v>
      </c>
      <c r="B21210" s="0" t="s">
        <v>21036</v>
      </c>
    </row>
    <row r="21211" customFormat="false" ht="15" hidden="false" customHeight="false" outlineLevel="0" collapsed="false">
      <c r="A21211" s="0" t="n">
        <f aca="false">CHISQINV(0.176,3)</f>
        <v>0.905915636992782</v>
      </c>
      <c r="B21211" s="0" t="s">
        <v>21037</v>
      </c>
    </row>
    <row r="21212" customFormat="false" ht="15" hidden="false" customHeight="false" outlineLevel="0" collapsed="false">
      <c r="A21212" s="0" t="n">
        <f aca="false">CHISQDIST(30.5,100,1)</f>
        <v>1.62277700847535E-012</v>
      </c>
      <c r="B21212" s="0" t="s">
        <v>21038</v>
      </c>
    </row>
    <row r="21213" customFormat="false" ht="15" hidden="false" customHeight="false" outlineLevel="0" collapsed="false">
      <c r="A21213" s="0" t="n">
        <f aca="false">CHISQINV(0.691,10)</f>
        <v>11.6523063788089</v>
      </c>
      <c r="B21213" s="0" t="s">
        <v>21039</v>
      </c>
    </row>
    <row r="21214" customFormat="false" ht="15" hidden="false" customHeight="false" outlineLevel="0" collapsed="false">
      <c r="A21214" s="0" t="n">
        <f aca="false">CHISQDIST(50,10,1)</f>
        <v>0.999999733091658</v>
      </c>
      <c r="B21214" s="0" t="s">
        <v>21040</v>
      </c>
    </row>
    <row r="21215" customFormat="false" ht="15" hidden="false" customHeight="false" outlineLevel="0" collapsed="false">
      <c r="A21215" s="0" t="n">
        <f aca="false">CHISQINV(0.303,30)</f>
        <v>25.5677205555685</v>
      </c>
      <c r="B21215" s="0" t="s">
        <v>21041</v>
      </c>
    </row>
    <row r="21216" customFormat="false" ht="15" hidden="false" customHeight="false" outlineLevel="0" collapsed="false">
      <c r="A21216" s="0" t="n">
        <f aca="false">CHISQDIST(38.25,2,0)</f>
        <v>2.47222525096932E-009</v>
      </c>
      <c r="B21216" s="0" t="s">
        <v>21042</v>
      </c>
    </row>
    <row r="21217" customFormat="false" ht="15" hidden="false" customHeight="false" outlineLevel="0" collapsed="false">
      <c r="A21217" s="0" t="n">
        <f aca="false">CHISQINV(0.58,30)</f>
        <v>30.906787427303</v>
      </c>
      <c r="B21217" s="0" t="s">
        <v>21043</v>
      </c>
    </row>
    <row r="21218" customFormat="false" ht="15" hidden="false" customHeight="false" outlineLevel="0" collapsed="false">
      <c r="A21218" s="0" t="n">
        <f aca="false">CHISQDIST(64.86,30,1)</f>
        <v>0.999771421185163</v>
      </c>
      <c r="B21218" s="0" t="s">
        <v>21044</v>
      </c>
    </row>
    <row r="21219" customFormat="false" ht="15" hidden="false" customHeight="false" outlineLevel="0" collapsed="false">
      <c r="A21219" s="0" t="n">
        <f aca="false">CHISQINV(0.445,3)</f>
        <v>2.08477017577306</v>
      </c>
      <c r="B21219" s="0" t="s">
        <v>21045</v>
      </c>
    </row>
    <row r="21220" customFormat="false" ht="15" hidden="false" customHeight="false" outlineLevel="0" collapsed="false">
      <c r="A21220" s="0" t="n">
        <f aca="false">CHISQDIST(10.6,10,0)</f>
        <v>0.0820543268378976</v>
      </c>
      <c r="B21220" s="0" t="s">
        <v>21046</v>
      </c>
    </row>
    <row r="21221" customFormat="false" ht="15" hidden="false" customHeight="false" outlineLevel="0" collapsed="false">
      <c r="A21221" s="0" t="n">
        <f aca="false">CHISQINV(0.54,1)</f>
        <v>0.545894666550918</v>
      </c>
      <c r="B21221" s="0" t="s">
        <v>21047</v>
      </c>
    </row>
    <row r="21222" customFormat="false" ht="15" hidden="false" customHeight="false" outlineLevel="0" collapsed="false">
      <c r="A21222" s="0" t="n">
        <f aca="false">CHISQDIST(50.41,30,0)</f>
        <v>0.00271008592537073</v>
      </c>
      <c r="B21222" s="0" t="s">
        <v>21048</v>
      </c>
    </row>
    <row r="21223" customFormat="false" ht="15" hidden="false" customHeight="false" outlineLevel="0" collapsed="false">
      <c r="A21223" s="0" t="n">
        <f aca="false">CHISQINV(0.702,3)</f>
        <v>3.68128435404829</v>
      </c>
      <c r="B21223" s="0" t="s">
        <v>21049</v>
      </c>
    </row>
    <row r="21224" customFormat="false" ht="15" hidden="false" customHeight="false" outlineLevel="0" collapsed="false">
      <c r="A21224" s="0" t="n">
        <f aca="false">CHISQDIST(19.76,3,1)</f>
        <v>0.999809666631534</v>
      </c>
      <c r="B21224" s="0" t="s">
        <v>21050</v>
      </c>
    </row>
    <row r="21225" customFormat="false" ht="15" hidden="false" customHeight="false" outlineLevel="0" collapsed="false">
      <c r="A21225" s="0" t="n">
        <f aca="false">CHISQINV(0.477,1)</f>
        <v>0.407973250378023</v>
      </c>
      <c r="B21225" s="0" t="s">
        <v>21051</v>
      </c>
    </row>
    <row r="21226" customFormat="false" ht="15" hidden="false" customHeight="false" outlineLevel="0" collapsed="false">
      <c r="A21226" s="0" t="n">
        <f aca="false">CHISQDIST(17.8,5,0)</f>
        <v>0.00136206528948305</v>
      </c>
      <c r="B21226" s="0" t="s">
        <v>21052</v>
      </c>
    </row>
    <row r="21227" customFormat="false" ht="15" hidden="false" customHeight="false" outlineLevel="0" collapsed="false">
      <c r="A21227" s="0" t="n">
        <f aca="false">CHISQINV(0.443,100)</f>
        <v>97.3281736343449</v>
      </c>
      <c r="B21227" s="0" t="s">
        <v>21053</v>
      </c>
    </row>
    <row r="21228" customFormat="false" ht="15" hidden="false" customHeight="false" outlineLevel="0" collapsed="false">
      <c r="A21228" s="0" t="n">
        <f aca="false">CHISQDIST(51.62,5,1)</f>
        <v>0.999999999354506</v>
      </c>
      <c r="B21228" s="0" t="s">
        <v>21054</v>
      </c>
    </row>
    <row r="21229" customFormat="false" ht="15" hidden="false" customHeight="false" outlineLevel="0" collapsed="false">
      <c r="A21229" s="0" t="n">
        <f aca="false">CHISQINV(0.274,2)</f>
        <v>0.640410528314682</v>
      </c>
      <c r="B21229" s="0" t="s">
        <v>21055</v>
      </c>
    </row>
    <row r="21230" customFormat="false" ht="15" hidden="false" customHeight="false" outlineLevel="0" collapsed="false">
      <c r="A21230" s="0" t="n">
        <f aca="false">CHISQDIST(47.47,1,0)</f>
        <v>2.84918678920254E-012</v>
      </c>
      <c r="B21230" s="0" t="s">
        <v>21056</v>
      </c>
    </row>
    <row r="21231" customFormat="false" ht="15" hidden="false" customHeight="false" outlineLevel="0" collapsed="false">
      <c r="A21231" s="0" t="n">
        <f aca="false">CHISQINV(0.485,3)</f>
        <v>2.28708287970473</v>
      </c>
      <c r="B21231" s="0" t="s">
        <v>21057</v>
      </c>
    </row>
    <row r="21232" customFormat="false" ht="15" hidden="false" customHeight="false" outlineLevel="0" collapsed="false">
      <c r="A21232" s="0" t="n">
        <f aca="false">CHISQDIST(53.33,2,0)</f>
        <v>1.31373461891469E-012</v>
      </c>
      <c r="B21232" s="0" t="s">
        <v>21058</v>
      </c>
    </row>
    <row r="21233" customFormat="false" ht="15" hidden="false" customHeight="false" outlineLevel="0" collapsed="false">
      <c r="A21233" s="0" t="n">
        <f aca="false">CHISQINV(0.196,100)</f>
        <v>87.7588471621523</v>
      </c>
      <c r="B21233" s="0" t="s">
        <v>21059</v>
      </c>
    </row>
    <row r="21234" customFormat="false" ht="15" hidden="false" customHeight="false" outlineLevel="0" collapsed="false">
      <c r="A21234" s="0" t="n">
        <f aca="false">CHISQDIST(50.64,10,0)</f>
        <v>8.6352971402093E-008</v>
      </c>
      <c r="B21234" s="0" t="s">
        <v>21060</v>
      </c>
    </row>
    <row r="21235" customFormat="false" ht="15" hidden="false" customHeight="false" outlineLevel="0" collapsed="false">
      <c r="A21235" s="0" t="n">
        <f aca="false">CHISQINV(0.016,30)</f>
        <v>15.84712113392</v>
      </c>
      <c r="B21235" s="0" t="s">
        <v>21061</v>
      </c>
    </row>
    <row r="21236" customFormat="false" ht="15" hidden="false" customHeight="false" outlineLevel="0" collapsed="false">
      <c r="A21236" s="0" t="n">
        <f aca="false">CHISQDIST(57.42,30,1)</f>
        <v>0.998131496499079</v>
      </c>
      <c r="B21236" s="0" t="s">
        <v>21062</v>
      </c>
    </row>
    <row r="21237" customFormat="false" ht="15" hidden="false" customHeight="false" outlineLevel="0" collapsed="false">
      <c r="A21237" s="0" t="n">
        <f aca="false">CHISQINV(0.885,2)</f>
        <v>4.32564630123777</v>
      </c>
      <c r="B21237" s="0" t="s">
        <v>21063</v>
      </c>
    </row>
    <row r="21238" customFormat="false" ht="15" hidden="false" customHeight="false" outlineLevel="0" collapsed="false">
      <c r="A21238" s="0" t="n">
        <f aca="false">CHISQDIST(57.89,3,0)</f>
        <v>8.15751839745135E-013</v>
      </c>
      <c r="B21238" s="0" t="s">
        <v>21064</v>
      </c>
    </row>
    <row r="21239" customFormat="false" ht="15" hidden="false" customHeight="false" outlineLevel="0" collapsed="false">
      <c r="A21239" s="0" t="n">
        <f aca="false">CHISQINV(0.061,30)</f>
        <v>19.0478754416727</v>
      </c>
      <c r="B21239" s="0" t="s">
        <v>21065</v>
      </c>
    </row>
    <row r="21240" customFormat="false" ht="15" hidden="false" customHeight="false" outlineLevel="0" collapsed="false">
      <c r="A21240" s="0" t="n">
        <f aca="false">CHISQDIST(47.27,5,0)</f>
        <v>2.35026663231938E-009</v>
      </c>
      <c r="B21240" s="0" t="s">
        <v>21066</v>
      </c>
    </row>
    <row r="21241" customFormat="false" ht="15" hidden="false" customHeight="false" outlineLevel="0" collapsed="false">
      <c r="A21241" s="0" t="n">
        <f aca="false">CHISQINV(0.312,2)</f>
        <v>0.747932882097587</v>
      </c>
      <c r="B21241" s="0" t="s">
        <v>21067</v>
      </c>
    </row>
    <row r="21242" customFormat="false" ht="15" hidden="false" customHeight="false" outlineLevel="0" collapsed="false">
      <c r="A21242" s="0" t="n">
        <f aca="false">CHISQDIST(12.29,100,0)</f>
        <v>7.65064443997757E-028</v>
      </c>
      <c r="B21242" s="0" t="s">
        <v>21068</v>
      </c>
    </row>
    <row r="21243" customFormat="false" ht="15" hidden="false" customHeight="false" outlineLevel="0" collapsed="false">
      <c r="A21243" s="0" t="n">
        <f aca="false">CHISQINV(0.691,30)</f>
        <v>33.3158533080262</v>
      </c>
      <c r="B21243" s="0" t="s">
        <v>21069</v>
      </c>
    </row>
    <row r="21244" customFormat="false" ht="15" hidden="false" customHeight="false" outlineLevel="0" collapsed="false">
      <c r="A21244" s="0" t="n">
        <f aca="false">CHISQDIST(57.44,10,0)</f>
        <v>4.77044600563436E-009</v>
      </c>
      <c r="B21244" s="0" t="s">
        <v>21070</v>
      </c>
    </row>
    <row r="21245" customFormat="false" ht="15" hidden="false" customHeight="false" outlineLevel="0" collapsed="false">
      <c r="A21245" s="0" t="n">
        <f aca="false">CHISQINV(0.357,1)</f>
        <v>0.214840030712329</v>
      </c>
      <c r="B21245" s="0" t="s">
        <v>21071</v>
      </c>
    </row>
    <row r="21246" customFormat="false" ht="15" hidden="false" customHeight="false" outlineLevel="0" collapsed="false">
      <c r="A21246" s="0" t="n">
        <f aca="false">CHISQDIST(8.97,100,1)</f>
        <v>1.57447888669431E-034</v>
      </c>
      <c r="B21246" s="0" t="s">
        <v>21072</v>
      </c>
    </row>
    <row r="21247" customFormat="false" ht="15" hidden="false" customHeight="false" outlineLevel="0" collapsed="false">
      <c r="A21247" s="0" t="n">
        <f aca="false">CHISQINV(0.991,1)</f>
        <v>6.82282683671303</v>
      </c>
      <c r="B21247" s="0" t="s">
        <v>21073</v>
      </c>
    </row>
    <row r="21248" customFormat="false" ht="15" hidden="false" customHeight="false" outlineLevel="0" collapsed="false">
      <c r="A21248" s="0" t="n">
        <f aca="false">CHISQDIST(38.93,3,1)</f>
        <v>0.999999982040477</v>
      </c>
      <c r="B21248" s="0" t="s">
        <v>21074</v>
      </c>
    </row>
    <row r="21249" customFormat="false" ht="15" hidden="false" customHeight="false" outlineLevel="0" collapsed="false">
      <c r="A21249" s="0" t="n">
        <f aca="false">CHISQINV(0.726,3)</f>
        <v>3.8863560245145</v>
      </c>
      <c r="B21249" s="0" t="s">
        <v>21075</v>
      </c>
    </row>
    <row r="21250" customFormat="false" ht="15" hidden="false" customHeight="false" outlineLevel="0" collapsed="false">
      <c r="A21250" s="0" t="n">
        <f aca="false">CHISQDIST(9.41,30,0)</f>
        <v>0.000135219991281815</v>
      </c>
      <c r="B21250" s="0" t="s">
        <v>21076</v>
      </c>
    </row>
    <row r="21251" customFormat="false" ht="15" hidden="false" customHeight="false" outlineLevel="0" collapsed="false">
      <c r="A21251" s="0" t="n">
        <f aca="false">CHISQINV(0.368,1)</f>
        <v>0.229358364721344</v>
      </c>
      <c r="B21251" s="0" t="s">
        <v>21077</v>
      </c>
    </row>
    <row r="21252" customFormat="false" ht="15" hidden="false" customHeight="false" outlineLevel="0" collapsed="false">
      <c r="A21252" s="0" t="n">
        <f aca="false">CHISQDIST(78.95,2,1)</f>
        <v>1</v>
      </c>
      <c r="B21252" s="0" t="s">
        <v>21078</v>
      </c>
    </row>
    <row r="21253" customFormat="false" ht="15" hidden="false" customHeight="false" outlineLevel="0" collapsed="false">
      <c r="A21253" s="0" t="n">
        <f aca="false">CHISQINV(0.502,10)</f>
        <v>9.36337302508482</v>
      </c>
      <c r="B21253" s="0" t="s">
        <v>21079</v>
      </c>
    </row>
    <row r="21254" customFormat="false" ht="15" hidden="false" customHeight="false" outlineLevel="0" collapsed="false">
      <c r="A21254" s="0" t="n">
        <f aca="false">CHISQDIST(4.49,10,1)</f>
        <v>0.0774524381786642</v>
      </c>
      <c r="B21254" s="0" t="s">
        <v>21080</v>
      </c>
    </row>
    <row r="21255" customFormat="false" ht="15" hidden="false" customHeight="false" outlineLevel="0" collapsed="false">
      <c r="A21255" s="0" t="n">
        <f aca="false">CHISQINV(0.344,5)</f>
        <v>3.28590696916998</v>
      </c>
      <c r="B21255" s="0" t="s">
        <v>21081</v>
      </c>
    </row>
    <row r="21256" customFormat="false" ht="15" hidden="false" customHeight="false" outlineLevel="0" collapsed="false">
      <c r="A21256" s="0" t="n">
        <f aca="false">CHISQDIST(12.19,30,0)</f>
        <v>0.00126231785279995</v>
      </c>
      <c r="B21256" s="0" t="s">
        <v>21082</v>
      </c>
    </row>
    <row r="21257" customFormat="false" ht="15" hidden="false" customHeight="false" outlineLevel="0" collapsed="false">
      <c r="A21257" s="0" t="n">
        <f aca="false">CHISQINV(0.867,5)</f>
        <v>8.45245527665423</v>
      </c>
      <c r="B21257" s="0" t="s">
        <v>21083</v>
      </c>
    </row>
    <row r="21258" customFormat="false" ht="15" hidden="false" customHeight="false" outlineLevel="0" collapsed="false">
      <c r="A21258" s="0" t="n">
        <f aca="false">CHISQDIST(15.91,30,0)</f>
        <v>0.00817921500409401</v>
      </c>
      <c r="B21258" s="0" t="s">
        <v>21084</v>
      </c>
    </row>
    <row r="21259" customFormat="false" ht="15" hidden="false" customHeight="false" outlineLevel="0" collapsed="false">
      <c r="A21259" s="0" t="n">
        <f aca="false">CHISQINV(0.552,1)</f>
        <v>0.575706941297946</v>
      </c>
      <c r="B21259" s="0" t="s">
        <v>21085</v>
      </c>
    </row>
    <row r="21260" customFormat="false" ht="15" hidden="false" customHeight="false" outlineLevel="0" collapsed="false">
      <c r="A21260" s="0" t="n">
        <f aca="false">CHISQDIST(52.62,100,0)</f>
        <v>1.18713162185191E-005</v>
      </c>
      <c r="B21260" s="0" t="s">
        <v>21086</v>
      </c>
    </row>
    <row r="21261" customFormat="false" ht="15" hidden="false" customHeight="false" outlineLevel="0" collapsed="false">
      <c r="A21261" s="0" t="n">
        <f aca="false">CHISQINV(0.753,2)</f>
        <v>2.79673388470832</v>
      </c>
      <c r="B21261" s="0" t="s">
        <v>21087</v>
      </c>
    </row>
    <row r="21262" customFormat="false" ht="15" hidden="false" customHeight="false" outlineLevel="0" collapsed="false">
      <c r="A21262" s="0" t="n">
        <f aca="false">CHISQDIST(26.06,30,0)</f>
        <v>0.0511595096279906</v>
      </c>
      <c r="B21262" s="0" t="s">
        <v>21088</v>
      </c>
    </row>
    <row r="21263" customFormat="false" ht="15" hidden="false" customHeight="false" outlineLevel="0" collapsed="false">
      <c r="A21263" s="0" t="n">
        <f aca="false">CHISQINV(0.176,10)</f>
        <v>5.89507704283287</v>
      </c>
      <c r="B21263" s="0" t="s">
        <v>21089</v>
      </c>
    </row>
    <row r="21264" customFormat="false" ht="15" hidden="false" customHeight="false" outlineLevel="0" collapsed="false">
      <c r="A21264" s="0" t="n">
        <f aca="false">CHISQDIST(49.53,5,0)</f>
        <v>8.14307544917678E-010</v>
      </c>
      <c r="B21264" s="0" t="s">
        <v>21090</v>
      </c>
    </row>
    <row r="21265" customFormat="false" ht="15" hidden="false" customHeight="false" outlineLevel="0" collapsed="false">
      <c r="A21265" s="0" t="n">
        <f aca="false">CHISQINV(0.458,10)</f>
        <v>8.89601313499304</v>
      </c>
      <c r="B21265" s="0" t="s">
        <v>21091</v>
      </c>
    </row>
    <row r="21266" customFormat="false" ht="15" hidden="false" customHeight="false" outlineLevel="0" collapsed="false">
      <c r="A21266" s="0" t="n">
        <f aca="false">CHISQDIST(8.41,1,1)</f>
        <v>0.996268373399232</v>
      </c>
      <c r="B21266" s="0" t="s">
        <v>21092</v>
      </c>
    </row>
    <row r="21267" customFormat="false" ht="15" hidden="false" customHeight="false" outlineLevel="0" collapsed="false">
      <c r="A21267" s="0" t="n">
        <f aca="false">CHISQINV(0.059,100)</f>
        <v>78.9100802516484</v>
      </c>
      <c r="B21267" s="0" t="s">
        <v>21093</v>
      </c>
    </row>
    <row r="21268" customFormat="false" ht="15" hidden="false" customHeight="false" outlineLevel="0" collapsed="false">
      <c r="A21268" s="0" t="n">
        <f aca="false">CHISQDIST(61.51,5,0)</f>
        <v>2.82150361281773E-012</v>
      </c>
      <c r="B21268" s="0" t="s">
        <v>21094</v>
      </c>
    </row>
    <row r="21269" customFormat="false" ht="15" hidden="false" customHeight="false" outlineLevel="0" collapsed="false">
      <c r="A21269" s="0" t="n">
        <f aca="false">CHISQINV(0.143,100)</f>
        <v>85.0528214732731</v>
      </c>
      <c r="B21269" s="0" t="s">
        <v>21095</v>
      </c>
    </row>
    <row r="21270" customFormat="false" ht="15" hidden="false" customHeight="false" outlineLevel="0" collapsed="false">
      <c r="A21270" s="0" t="n">
        <f aca="false">_xlfn.ORG.LIBREOFFICE.WEEKNUM_OOO(DATE(2024,1,7),0)</f>
        <v>1</v>
      </c>
      <c r="B21270" s="0" t="s">
        <v>21096</v>
      </c>
    </row>
    <row r="21271" customFormat="false" ht="15" hidden="false" customHeight="false" outlineLevel="0" collapsed="false">
      <c r="A21271" s="0" t="n">
        <f aca="false">_xlfn.ORG.LIBREOFFICE.WEEKNUM_OOO(DATE(2024,1,1),0)</f>
        <v>1</v>
      </c>
      <c r="B21271" s="0" t="s">
        <v>21097</v>
      </c>
    </row>
    <row r="21272" customFormat="false" ht="15" hidden="false" customHeight="false" outlineLevel="0" collapsed="false">
      <c r="A21272" s="0" t="n">
        <f aca="false">_xlfn.ORG.LIBREOFFICE.WEEKNUM_OOO(DATE(2024,12,30),0)</f>
        <v>1</v>
      </c>
      <c r="B21272" s="0" t="s">
        <v>21098</v>
      </c>
    </row>
    <row r="21273" customFormat="false" ht="15" hidden="false" customHeight="false" outlineLevel="0" collapsed="false">
      <c r="A21273" s="0" t="n">
        <f aca="false">_xlfn.ORG.LIBREOFFICE.WEEKNUM_OOO(DATE(2021,1,1),0)</f>
        <v>53</v>
      </c>
      <c r="B21273" s="0" t="s">
        <v>21099</v>
      </c>
    </row>
    <row r="21274" customFormat="false" ht="15" hidden="false" customHeight="false" outlineLevel="0" collapsed="false">
      <c r="A21274" s="0" t="n">
        <f aca="false">_xlfn.ORG.LIBREOFFICE.WEEKNUM_OOO(DATE(2023,1,1),0)</f>
        <v>52</v>
      </c>
      <c r="B21274" s="0" t="s">
        <v>21100</v>
      </c>
    </row>
    <row r="21275" customFormat="false" ht="15" hidden="false" customHeight="false" outlineLevel="0" collapsed="false">
      <c r="A21275" s="0" t="n">
        <f aca="false">_xlfn.ORG.LIBREOFFICE.WEEKNUM_OOO(DATE(2022,12,31),0)</f>
        <v>52</v>
      </c>
      <c r="B21275" s="0" t="s">
        <v>21101</v>
      </c>
    </row>
    <row r="21276" customFormat="false" ht="15" hidden="false" customHeight="false" outlineLevel="0" collapsed="false">
      <c r="A21276" s="0" t="n">
        <f aca="false">_xlfn.ORG.LIBREOFFICE.WEEKNUM_OOO(DATE(2026,12,31),0)</f>
        <v>53</v>
      </c>
      <c r="B21276" s="0" t="s">
        <v>21102</v>
      </c>
    </row>
    <row r="21277" customFormat="false" ht="15" hidden="false" customHeight="false" outlineLevel="0" collapsed="false">
      <c r="A21277" s="0" t="n">
        <f aca="false">_xlfn.ORG.LIBREOFFICE.WEEKNUM_OOO(DATE(1900,1,1),0)</f>
        <v>1</v>
      </c>
      <c r="B21277" s="0" t="s">
        <v>21103</v>
      </c>
    </row>
    <row r="21278" customFormat="false" ht="15" hidden="false" customHeight="false" outlineLevel="0" collapsed="false">
      <c r="A21278" s="0" t="n">
        <f aca="false">_xlfn.ORG.LIBREOFFICE.WEEKNUM_OOO(DATE(1900,3,1),0)</f>
        <v>9</v>
      </c>
      <c r="B21278" s="0" t="s">
        <v>21104</v>
      </c>
    </row>
    <row r="21279" customFormat="false" ht="15" hidden="false" customHeight="false" outlineLevel="0" collapsed="false">
      <c r="A21279" s="0" t="n">
        <f aca="false">_xlfn.ORG.LIBREOFFICE.WEEKNUM_OOO(DATE(2024,1,7),1)</f>
        <v>2</v>
      </c>
      <c r="B21279" s="0" t="s">
        <v>21105</v>
      </c>
    </row>
    <row r="21280" customFormat="false" ht="15" hidden="false" customHeight="false" outlineLevel="0" collapsed="false">
      <c r="A21280" s="0" t="n">
        <f aca="false">_xlfn.ORG.LIBREOFFICE.WEEKNUM_OOO(DATE(2024,1,1),1)</f>
        <v>1</v>
      </c>
      <c r="B21280" s="0" t="s">
        <v>21106</v>
      </c>
    </row>
    <row r="21281" customFormat="false" ht="15" hidden="false" customHeight="false" outlineLevel="0" collapsed="false">
      <c r="A21281" s="0" t="n">
        <f aca="false">_xlfn.ORG.LIBREOFFICE.WEEKNUM_OOO(DATE(2024,12,30),1)</f>
        <v>1</v>
      </c>
      <c r="B21281" s="0" t="s">
        <v>21107</v>
      </c>
    </row>
    <row r="21282" customFormat="false" ht="15" hidden="false" customHeight="false" outlineLevel="0" collapsed="false">
      <c r="A21282" s="0" t="n">
        <f aca="false">_xlfn.ORG.LIBREOFFICE.WEEKNUM_OOO(DATE(2021,1,1),1)</f>
        <v>53</v>
      </c>
      <c r="B21282" s="0" t="s">
        <v>21108</v>
      </c>
    </row>
    <row r="21283" customFormat="false" ht="15" hidden="false" customHeight="false" outlineLevel="0" collapsed="false">
      <c r="A21283" s="0" t="n">
        <f aca="false">_xlfn.ORG.LIBREOFFICE.WEEKNUM_OOO(DATE(2023,1,1),1)</f>
        <v>1</v>
      </c>
      <c r="B21283" s="0" t="s">
        <v>21109</v>
      </c>
    </row>
    <row r="21284" customFormat="false" ht="15" hidden="false" customHeight="false" outlineLevel="0" collapsed="false">
      <c r="A21284" s="0" t="n">
        <f aca="false">_xlfn.ORG.LIBREOFFICE.WEEKNUM_OOO(DATE(2022,12,31),1)</f>
        <v>52</v>
      </c>
      <c r="B21284" s="0" t="s">
        <v>21110</v>
      </c>
    </row>
    <row r="21285" customFormat="false" ht="15" hidden="false" customHeight="false" outlineLevel="0" collapsed="false">
      <c r="A21285" s="0" t="n">
        <f aca="false">_xlfn.ORG.LIBREOFFICE.WEEKNUM_OOO(DATE(2026,12,31),1)</f>
        <v>52</v>
      </c>
      <c r="B21285" s="0" t="s">
        <v>21111</v>
      </c>
    </row>
    <row r="21286" customFormat="false" ht="15" hidden="false" customHeight="false" outlineLevel="0" collapsed="false">
      <c r="A21286" s="0" t="n">
        <f aca="false">_xlfn.ORG.LIBREOFFICE.WEEKNUM_OOO(DATE(1900,1,1),1)</f>
        <v>1</v>
      </c>
      <c r="B21286" s="0" t="s">
        <v>21112</v>
      </c>
    </row>
    <row r="21287" customFormat="false" ht="15" hidden="false" customHeight="false" outlineLevel="0" collapsed="false">
      <c r="A21287" s="0" t="n">
        <f aca="false">_xlfn.ORG.LIBREOFFICE.WEEKNUM_OOO(DATE(1900,3,1),1)</f>
        <v>9</v>
      </c>
      <c r="B21287" s="0" t="s">
        <v>21113</v>
      </c>
    </row>
    <row r="21288" customFormat="false" ht="15" hidden="false" customHeight="false" outlineLevel="0" collapsed="false">
      <c r="A21288" s="0" t="n">
        <f aca="false">_xlfn.ORG.LIBREOFFICE.WEEKNUM_OOO(DATE(2024,1,7),2)</f>
        <v>1</v>
      </c>
      <c r="B21288" s="0" t="s">
        <v>21114</v>
      </c>
    </row>
    <row r="21289" customFormat="false" ht="15" hidden="false" customHeight="false" outlineLevel="0" collapsed="false">
      <c r="A21289" s="0" t="n">
        <f aca="false">_xlfn.ORG.LIBREOFFICE.WEEKNUM_OOO(DATE(2024,1,1),2)</f>
        <v>1</v>
      </c>
      <c r="B21289" s="0" t="s">
        <v>21115</v>
      </c>
    </row>
    <row r="21290" customFormat="false" ht="15" hidden="false" customHeight="false" outlineLevel="0" collapsed="false">
      <c r="A21290" s="0" t="n">
        <f aca="false">_xlfn.ORG.LIBREOFFICE.WEEKNUM_OOO(DATE(2024,12,30),2)</f>
        <v>1</v>
      </c>
      <c r="B21290" s="0" t="s">
        <v>21116</v>
      </c>
    </row>
    <row r="21291" customFormat="false" ht="15" hidden="false" customHeight="false" outlineLevel="0" collapsed="false">
      <c r="A21291" s="0" t="n">
        <f aca="false">_xlfn.ORG.LIBREOFFICE.WEEKNUM_OOO(DATE(2021,1,1),2)</f>
        <v>53</v>
      </c>
      <c r="B21291" s="0" t="s">
        <v>21117</v>
      </c>
    </row>
    <row r="21292" customFormat="false" ht="15" hidden="false" customHeight="false" outlineLevel="0" collapsed="false">
      <c r="A21292" s="0" t="n">
        <f aca="false">_xlfn.ORG.LIBREOFFICE.WEEKNUM_OOO(DATE(2023,1,1),2)</f>
        <v>52</v>
      </c>
      <c r="B21292" s="0" t="s">
        <v>21118</v>
      </c>
    </row>
    <row r="21293" customFormat="false" ht="15" hidden="false" customHeight="false" outlineLevel="0" collapsed="false">
      <c r="A21293" s="0" t="n">
        <f aca="false">_xlfn.ORG.LIBREOFFICE.WEEKNUM_OOO(DATE(2022,12,31),2)</f>
        <v>52</v>
      </c>
      <c r="B21293" s="0" t="s">
        <v>21119</v>
      </c>
    </row>
    <row r="21294" customFormat="false" ht="15" hidden="false" customHeight="false" outlineLevel="0" collapsed="false">
      <c r="A21294" s="0" t="n">
        <f aca="false">_xlfn.ORG.LIBREOFFICE.WEEKNUM_OOO(DATE(2026,12,31),2)</f>
        <v>53</v>
      </c>
      <c r="B21294" s="0" t="s">
        <v>21120</v>
      </c>
    </row>
    <row r="21295" customFormat="false" ht="15" hidden="false" customHeight="false" outlineLevel="0" collapsed="false">
      <c r="A21295" s="0" t="n">
        <f aca="false">_xlfn.ORG.LIBREOFFICE.WEEKNUM_OOO(DATE(1900,1,1),2)</f>
        <v>1</v>
      </c>
      <c r="B21295" s="0" t="s">
        <v>21121</v>
      </c>
    </row>
    <row r="21296" customFormat="false" ht="15" hidden="false" customHeight="false" outlineLevel="0" collapsed="false">
      <c r="A21296" s="0" t="n">
        <f aca="false">_xlfn.ORG.LIBREOFFICE.WEEKNUM_OOO(DATE(1900,3,1),2)</f>
        <v>9</v>
      </c>
      <c r="B21296" s="0" t="s">
        <v>21122</v>
      </c>
    </row>
    <row r="21297" customFormat="false" ht="15" hidden="false" customHeight="false" outlineLevel="0" collapsed="false">
      <c r="A21297" s="0" t="n">
        <f aca="false">_xlfn.ORG.LIBREOFFICE.WEEKNUM_OOO(DATE(2024,1,7),3)</f>
        <v>1</v>
      </c>
      <c r="B21297" s="0" t="s">
        <v>21123</v>
      </c>
    </row>
    <row r="21298" customFormat="false" ht="15" hidden="false" customHeight="false" outlineLevel="0" collapsed="false">
      <c r="A21298" s="0" t="n">
        <f aca="false">_xlfn.ORG.LIBREOFFICE.WEEKNUM_OOO(DATE(2024,1,1),3)</f>
        <v>1</v>
      </c>
      <c r="B21298" s="0" t="s">
        <v>21124</v>
      </c>
    </row>
    <row r="21299" customFormat="false" ht="15" hidden="false" customHeight="false" outlineLevel="0" collapsed="false">
      <c r="A21299" s="0" t="n">
        <f aca="false">_xlfn.ORG.LIBREOFFICE.WEEKNUM_OOO(DATE(2024,12,30),3)</f>
        <v>1</v>
      </c>
      <c r="B21299" s="0" t="s">
        <v>21125</v>
      </c>
    </row>
    <row r="21300" customFormat="false" ht="15" hidden="false" customHeight="false" outlineLevel="0" collapsed="false">
      <c r="A21300" s="0" t="n">
        <f aca="false">_xlfn.ORG.LIBREOFFICE.WEEKNUM_OOO(DATE(2021,1,1),3)</f>
        <v>53</v>
      </c>
      <c r="B21300" s="0" t="s">
        <v>21126</v>
      </c>
    </row>
    <row r="21301" customFormat="false" ht="15" hidden="false" customHeight="false" outlineLevel="0" collapsed="false">
      <c r="A21301" s="0" t="n">
        <f aca="false">_xlfn.ORG.LIBREOFFICE.WEEKNUM_OOO(DATE(2023,1,1),3)</f>
        <v>52</v>
      </c>
      <c r="B21301" s="0" t="s">
        <v>21127</v>
      </c>
    </row>
    <row r="21302" customFormat="false" ht="15" hidden="false" customHeight="false" outlineLevel="0" collapsed="false">
      <c r="A21302" s="0" t="n">
        <f aca="false">_xlfn.ORG.LIBREOFFICE.WEEKNUM_OOO(DATE(2022,12,31),3)</f>
        <v>52</v>
      </c>
      <c r="B21302" s="0" t="s">
        <v>21128</v>
      </c>
    </row>
    <row r="21303" customFormat="false" ht="15" hidden="false" customHeight="false" outlineLevel="0" collapsed="false">
      <c r="A21303" s="0" t="n">
        <f aca="false">_xlfn.ORG.LIBREOFFICE.WEEKNUM_OOO(DATE(2026,12,31),3)</f>
        <v>53</v>
      </c>
      <c r="B21303" s="0" t="s">
        <v>21129</v>
      </c>
    </row>
    <row r="21304" customFormat="false" ht="15" hidden="false" customHeight="false" outlineLevel="0" collapsed="false">
      <c r="A21304" s="0" t="n">
        <f aca="false">_xlfn.ORG.LIBREOFFICE.WEEKNUM_OOO(DATE(1900,1,1),3)</f>
        <v>1</v>
      </c>
      <c r="B21304" s="0" t="s">
        <v>21130</v>
      </c>
    </row>
    <row r="21305" customFormat="false" ht="15" hidden="false" customHeight="false" outlineLevel="0" collapsed="false">
      <c r="A21305" s="0" t="n">
        <f aca="false">_xlfn.ORG.LIBREOFFICE.WEEKNUM_OOO(DATE(1900,3,1),3)</f>
        <v>9</v>
      </c>
      <c r="B21305" s="0" t="s">
        <v>21131</v>
      </c>
    </row>
    <row r="21306" customFormat="false" ht="15" hidden="false" customHeight="false" outlineLevel="0" collapsed="false">
      <c r="A21306" s="0" t="n">
        <f aca="false">_xlfn.ORG.LIBREOFFICE.WEEKNUM_OOO(DATE(2024,1,7),10)</f>
        <v>1</v>
      </c>
      <c r="B21306" s="0" t="s">
        <v>21132</v>
      </c>
    </row>
    <row r="21307" customFormat="false" ht="15" hidden="false" customHeight="false" outlineLevel="0" collapsed="false">
      <c r="A21307" s="0" t="n">
        <f aca="false">_xlfn.ORG.LIBREOFFICE.WEEKNUM_OOO(DATE(2024,1,1),10)</f>
        <v>1</v>
      </c>
      <c r="B21307" s="0" t="s">
        <v>21133</v>
      </c>
    </row>
    <row r="21308" customFormat="false" ht="15" hidden="false" customHeight="false" outlineLevel="0" collapsed="false">
      <c r="A21308" s="0" t="n">
        <f aca="false">_xlfn.ORG.LIBREOFFICE.WEEKNUM_OOO(DATE(2024,12,30),10)</f>
        <v>1</v>
      </c>
      <c r="B21308" s="0" t="s">
        <v>21134</v>
      </c>
    </row>
    <row r="21309" customFormat="false" ht="15" hidden="false" customHeight="false" outlineLevel="0" collapsed="false">
      <c r="A21309" s="0" t="n">
        <f aca="false">_xlfn.ORG.LIBREOFFICE.WEEKNUM_OOO(DATE(2021,1,1),10)</f>
        <v>53</v>
      </c>
      <c r="B21309" s="0" t="s">
        <v>21135</v>
      </c>
    </row>
    <row r="21310" customFormat="false" ht="15" hidden="false" customHeight="false" outlineLevel="0" collapsed="false">
      <c r="A21310" s="0" t="n">
        <f aca="false">_xlfn.ORG.LIBREOFFICE.WEEKNUM_OOO(DATE(2023,1,1),10)</f>
        <v>52</v>
      </c>
      <c r="B21310" s="0" t="s">
        <v>21136</v>
      </c>
    </row>
    <row r="21311" customFormat="false" ht="15" hidden="false" customHeight="false" outlineLevel="0" collapsed="false">
      <c r="A21311" s="0" t="n">
        <f aca="false">_xlfn.ORG.LIBREOFFICE.WEEKNUM_OOO(DATE(2022,12,31),10)</f>
        <v>52</v>
      </c>
      <c r="B21311" s="0" t="s">
        <v>21137</v>
      </c>
    </row>
    <row r="21312" customFormat="false" ht="15" hidden="false" customHeight="false" outlineLevel="0" collapsed="false">
      <c r="A21312" s="0" t="n">
        <f aca="false">_xlfn.ORG.LIBREOFFICE.WEEKNUM_OOO(DATE(2026,12,31),10)</f>
        <v>53</v>
      </c>
      <c r="B21312" s="0" t="s">
        <v>21138</v>
      </c>
    </row>
    <row r="21313" customFormat="false" ht="15" hidden="false" customHeight="false" outlineLevel="0" collapsed="false">
      <c r="A21313" s="0" t="n">
        <f aca="false">_xlfn.ORG.LIBREOFFICE.WEEKNUM_OOO(DATE(1900,1,1),10)</f>
        <v>1</v>
      </c>
      <c r="B21313" s="0" t="s">
        <v>21139</v>
      </c>
    </row>
    <row r="21314" customFormat="false" ht="15" hidden="false" customHeight="false" outlineLevel="0" collapsed="false">
      <c r="A21314" s="0" t="n">
        <f aca="false">_xlfn.ORG.LIBREOFFICE.WEEKNUM_OOO(DATE(1900,3,1),10)</f>
        <v>9</v>
      </c>
      <c r="B21314" s="0" t="s">
        <v>21140</v>
      </c>
    </row>
    <row r="21315" customFormat="false" ht="15" hidden="false" customHeight="false" outlineLevel="0" collapsed="false">
      <c r="A21315" s="0" t="n">
        <f aca="false">_xlfn.ORG.LIBREOFFICE.WEEKNUM_OOO(DATE(2024,1,7),11)</f>
        <v>1</v>
      </c>
      <c r="B21315" s="0" t="s">
        <v>21141</v>
      </c>
    </row>
    <row r="21316" customFormat="false" ht="15" hidden="false" customHeight="false" outlineLevel="0" collapsed="false">
      <c r="A21316" s="0" t="n">
        <f aca="false">_xlfn.ORG.LIBREOFFICE.WEEKNUM_OOO(DATE(2024,1,1),11)</f>
        <v>1</v>
      </c>
      <c r="B21316" s="0" t="s">
        <v>21142</v>
      </c>
    </row>
    <row r="21317" customFormat="false" ht="15" hidden="false" customHeight="false" outlineLevel="0" collapsed="false">
      <c r="A21317" s="0" t="n">
        <f aca="false">_xlfn.ORG.LIBREOFFICE.WEEKNUM_OOO(DATE(2024,12,30),11)</f>
        <v>1</v>
      </c>
      <c r="B21317" s="0" t="s">
        <v>21143</v>
      </c>
    </row>
    <row r="21318" customFormat="false" ht="15" hidden="false" customHeight="false" outlineLevel="0" collapsed="false">
      <c r="A21318" s="0" t="n">
        <f aca="false">_xlfn.ORG.LIBREOFFICE.WEEKNUM_OOO(DATE(2021,1,1),11)</f>
        <v>53</v>
      </c>
      <c r="B21318" s="0" t="s">
        <v>21144</v>
      </c>
    </row>
    <row r="21319" customFormat="false" ht="15" hidden="false" customHeight="false" outlineLevel="0" collapsed="false">
      <c r="A21319" s="0" t="n">
        <f aca="false">_xlfn.ORG.LIBREOFFICE.WEEKNUM_OOO(DATE(2023,1,1),11)</f>
        <v>52</v>
      </c>
      <c r="B21319" s="0" t="s">
        <v>21145</v>
      </c>
    </row>
    <row r="21320" customFormat="false" ht="15" hidden="false" customHeight="false" outlineLevel="0" collapsed="false">
      <c r="A21320" s="0" t="n">
        <f aca="false">_xlfn.ORG.LIBREOFFICE.WEEKNUM_OOO(DATE(2022,12,31),11)</f>
        <v>52</v>
      </c>
      <c r="B21320" s="0" t="s">
        <v>21146</v>
      </c>
    </row>
    <row r="21321" customFormat="false" ht="15" hidden="false" customHeight="false" outlineLevel="0" collapsed="false">
      <c r="A21321" s="0" t="n">
        <f aca="false">_xlfn.ORG.LIBREOFFICE.WEEKNUM_OOO(DATE(2026,12,31),11)</f>
        <v>53</v>
      </c>
      <c r="B21321" s="0" t="s">
        <v>21147</v>
      </c>
    </row>
    <row r="21322" customFormat="false" ht="15" hidden="false" customHeight="false" outlineLevel="0" collapsed="false">
      <c r="A21322" s="0" t="n">
        <f aca="false">_xlfn.ORG.LIBREOFFICE.WEEKNUM_OOO(DATE(1900,1,1),11)</f>
        <v>1</v>
      </c>
      <c r="B21322" s="0" t="s">
        <v>21148</v>
      </c>
    </row>
    <row r="21323" customFormat="false" ht="15" hidden="false" customHeight="false" outlineLevel="0" collapsed="false">
      <c r="A21323" s="0" t="n">
        <f aca="false">_xlfn.ORG.LIBREOFFICE.WEEKNUM_OOO(DATE(1900,3,1),11)</f>
        <v>9</v>
      </c>
      <c r="B21323" s="0" t="s">
        <v>21149</v>
      </c>
    </row>
    <row r="21324" customFormat="false" ht="15" hidden="false" customHeight="false" outlineLevel="0" collapsed="false">
      <c r="A21324" s="0" t="n">
        <f aca="false">_xlfn.ORG.LIBREOFFICE.WEEKNUM_OOO(DATE(2024,1,7),12)</f>
        <v>1</v>
      </c>
      <c r="B21324" s="0" t="s">
        <v>21150</v>
      </c>
    </row>
    <row r="21325" customFormat="false" ht="15" hidden="false" customHeight="false" outlineLevel="0" collapsed="false">
      <c r="A21325" s="0" t="n">
        <f aca="false">_xlfn.ORG.LIBREOFFICE.WEEKNUM_OOO(DATE(2024,1,1),12)</f>
        <v>1</v>
      </c>
      <c r="B21325" s="0" t="s">
        <v>21151</v>
      </c>
    </row>
    <row r="21326" customFormat="false" ht="15" hidden="false" customHeight="false" outlineLevel="0" collapsed="false">
      <c r="A21326" s="0" t="n">
        <f aca="false">_xlfn.ORG.LIBREOFFICE.WEEKNUM_OOO(DATE(2024,12,30),12)</f>
        <v>1</v>
      </c>
      <c r="B21326" s="0" t="s">
        <v>21152</v>
      </c>
    </row>
    <row r="21327" customFormat="false" ht="15" hidden="false" customHeight="false" outlineLevel="0" collapsed="false">
      <c r="A21327" s="0" t="n">
        <f aca="false">_xlfn.ORG.LIBREOFFICE.WEEKNUM_OOO(DATE(2021,1,1),12)</f>
        <v>53</v>
      </c>
      <c r="B21327" s="0" t="s">
        <v>21153</v>
      </c>
    </row>
    <row r="21328" customFormat="false" ht="15" hidden="false" customHeight="false" outlineLevel="0" collapsed="false">
      <c r="A21328" s="0" t="n">
        <f aca="false">_xlfn.ORG.LIBREOFFICE.WEEKNUM_OOO(DATE(2023,1,1),12)</f>
        <v>52</v>
      </c>
      <c r="B21328" s="0" t="s">
        <v>21154</v>
      </c>
    </row>
    <row r="21329" customFormat="false" ht="15" hidden="false" customHeight="false" outlineLevel="0" collapsed="false">
      <c r="A21329" s="0" t="n">
        <f aca="false">_xlfn.ORG.LIBREOFFICE.WEEKNUM_OOO(DATE(2022,12,31),12)</f>
        <v>52</v>
      </c>
      <c r="B21329" s="0" t="s">
        <v>21155</v>
      </c>
    </row>
    <row r="21330" customFormat="false" ht="15" hidden="false" customHeight="false" outlineLevel="0" collapsed="false">
      <c r="A21330" s="0" t="n">
        <f aca="false">_xlfn.ORG.LIBREOFFICE.WEEKNUM_OOO(DATE(2026,12,31),12)</f>
        <v>53</v>
      </c>
      <c r="B21330" s="0" t="s">
        <v>21156</v>
      </c>
    </row>
    <row r="21331" customFormat="false" ht="15" hidden="false" customHeight="false" outlineLevel="0" collapsed="false">
      <c r="A21331" s="0" t="n">
        <f aca="false">_xlfn.ORG.LIBREOFFICE.WEEKNUM_OOO(DATE(1900,1,1),12)</f>
        <v>1</v>
      </c>
      <c r="B21331" s="0" t="s">
        <v>21157</v>
      </c>
    </row>
    <row r="21332" customFormat="false" ht="15" hidden="false" customHeight="false" outlineLevel="0" collapsed="false">
      <c r="A21332" s="0" t="n">
        <f aca="false">_xlfn.ORG.LIBREOFFICE.WEEKNUM_OOO(DATE(1900,3,1),12)</f>
        <v>9</v>
      </c>
      <c r="B21332" s="0" t="s">
        <v>21158</v>
      </c>
    </row>
    <row r="21333" customFormat="false" ht="15" hidden="false" customHeight="false" outlineLevel="0" collapsed="false">
      <c r="A21333" s="0" t="n">
        <f aca="false">_xlfn.ORG.LIBREOFFICE.WEEKNUM_OOO(DATE(2024,1,7),13)</f>
        <v>1</v>
      </c>
      <c r="B21333" s="0" t="s">
        <v>21159</v>
      </c>
    </row>
    <row r="21334" customFormat="false" ht="15" hidden="false" customHeight="false" outlineLevel="0" collapsed="false">
      <c r="A21334" s="0" t="n">
        <f aca="false">_xlfn.ORG.LIBREOFFICE.WEEKNUM_OOO(DATE(2024,1,1),13)</f>
        <v>1</v>
      </c>
      <c r="B21334" s="0" t="s">
        <v>21160</v>
      </c>
    </row>
    <row r="21335" customFormat="false" ht="15" hidden="false" customHeight="false" outlineLevel="0" collapsed="false">
      <c r="A21335" s="0" t="n">
        <f aca="false">_xlfn.ORG.LIBREOFFICE.WEEKNUM_OOO(DATE(2024,12,30),13)</f>
        <v>1</v>
      </c>
      <c r="B21335" s="0" t="s">
        <v>21161</v>
      </c>
    </row>
    <row r="21336" customFormat="false" ht="15" hidden="false" customHeight="false" outlineLevel="0" collapsed="false">
      <c r="A21336" s="0" t="n">
        <f aca="false">_xlfn.ORG.LIBREOFFICE.WEEKNUM_OOO(DATE(2021,1,1),13)</f>
        <v>53</v>
      </c>
      <c r="B21336" s="0" t="s">
        <v>21162</v>
      </c>
    </row>
    <row r="21337" customFormat="false" ht="15" hidden="false" customHeight="false" outlineLevel="0" collapsed="false">
      <c r="A21337" s="0" t="n">
        <f aca="false">_xlfn.ORG.LIBREOFFICE.WEEKNUM_OOO(DATE(2023,1,1),13)</f>
        <v>52</v>
      </c>
      <c r="B21337" s="0" t="s">
        <v>21163</v>
      </c>
    </row>
    <row r="21338" customFormat="false" ht="15" hidden="false" customHeight="false" outlineLevel="0" collapsed="false">
      <c r="A21338" s="0" t="n">
        <f aca="false">_xlfn.ORG.LIBREOFFICE.WEEKNUM_OOO(DATE(2022,12,31),13)</f>
        <v>52</v>
      </c>
      <c r="B21338" s="0" t="s">
        <v>21164</v>
      </c>
    </row>
    <row r="21339" customFormat="false" ht="15" hidden="false" customHeight="false" outlineLevel="0" collapsed="false">
      <c r="A21339" s="0" t="n">
        <f aca="false">_xlfn.ORG.LIBREOFFICE.WEEKNUM_OOO(DATE(2026,12,31),13)</f>
        <v>53</v>
      </c>
      <c r="B21339" s="0" t="s">
        <v>21165</v>
      </c>
    </row>
    <row r="21340" customFormat="false" ht="15" hidden="false" customHeight="false" outlineLevel="0" collapsed="false">
      <c r="A21340" s="0" t="n">
        <f aca="false">_xlfn.ORG.LIBREOFFICE.WEEKNUM_OOO(DATE(1900,1,1),13)</f>
        <v>1</v>
      </c>
      <c r="B21340" s="0" t="s">
        <v>21166</v>
      </c>
    </row>
    <row r="21341" customFormat="false" ht="15" hidden="false" customHeight="false" outlineLevel="0" collapsed="false">
      <c r="A21341" s="0" t="n">
        <f aca="false">_xlfn.ORG.LIBREOFFICE.WEEKNUM_OOO(DATE(1900,3,1),13)</f>
        <v>9</v>
      </c>
      <c r="B21341" s="0" t="s">
        <v>21167</v>
      </c>
    </row>
    <row r="21342" customFormat="false" ht="15" hidden="false" customHeight="false" outlineLevel="0" collapsed="false">
      <c r="A21342" s="0" t="n">
        <f aca="false">_xlfn.ORG.LIBREOFFICE.WEEKNUM_OOO(DATE(2024,1,7),14)</f>
        <v>1</v>
      </c>
      <c r="B21342" s="0" t="s">
        <v>21168</v>
      </c>
    </row>
    <row r="21343" customFormat="false" ht="15" hidden="false" customHeight="false" outlineLevel="0" collapsed="false">
      <c r="A21343" s="0" t="n">
        <f aca="false">_xlfn.ORG.LIBREOFFICE.WEEKNUM_OOO(DATE(2024,1,1),14)</f>
        <v>1</v>
      </c>
      <c r="B21343" s="0" t="s">
        <v>21169</v>
      </c>
    </row>
    <row r="21344" customFormat="false" ht="15" hidden="false" customHeight="false" outlineLevel="0" collapsed="false">
      <c r="A21344" s="0" t="n">
        <f aca="false">_xlfn.ORG.LIBREOFFICE.WEEKNUM_OOO(DATE(2024,12,30),14)</f>
        <v>1</v>
      </c>
      <c r="B21344" s="0" t="s">
        <v>21170</v>
      </c>
    </row>
    <row r="21345" customFormat="false" ht="15" hidden="false" customHeight="false" outlineLevel="0" collapsed="false">
      <c r="A21345" s="0" t="n">
        <f aca="false">_xlfn.ORG.LIBREOFFICE.WEEKNUM_OOO(DATE(2021,1,1),14)</f>
        <v>53</v>
      </c>
      <c r="B21345" s="0" t="s">
        <v>21171</v>
      </c>
    </row>
    <row r="21346" customFormat="false" ht="15" hidden="false" customHeight="false" outlineLevel="0" collapsed="false">
      <c r="A21346" s="0" t="n">
        <f aca="false">_xlfn.ORG.LIBREOFFICE.WEEKNUM_OOO(DATE(2023,1,1),14)</f>
        <v>52</v>
      </c>
      <c r="B21346" s="0" t="s">
        <v>21172</v>
      </c>
    </row>
    <row r="21347" customFormat="false" ht="15" hidden="false" customHeight="false" outlineLevel="0" collapsed="false">
      <c r="A21347" s="0" t="n">
        <f aca="false">_xlfn.ORG.LIBREOFFICE.WEEKNUM_OOO(DATE(2022,12,31),14)</f>
        <v>52</v>
      </c>
      <c r="B21347" s="0" t="s">
        <v>21173</v>
      </c>
    </row>
    <row r="21348" customFormat="false" ht="15" hidden="false" customHeight="false" outlineLevel="0" collapsed="false">
      <c r="A21348" s="0" t="n">
        <f aca="false">_xlfn.ORG.LIBREOFFICE.WEEKNUM_OOO(DATE(2026,12,31),14)</f>
        <v>53</v>
      </c>
      <c r="B21348" s="0" t="s">
        <v>21174</v>
      </c>
    </row>
    <row r="21349" customFormat="false" ht="15" hidden="false" customHeight="false" outlineLevel="0" collapsed="false">
      <c r="A21349" s="0" t="n">
        <f aca="false">_xlfn.ORG.LIBREOFFICE.WEEKNUM_OOO(DATE(1900,1,1),14)</f>
        <v>1</v>
      </c>
      <c r="B21349" s="0" t="s">
        <v>21175</v>
      </c>
    </row>
    <row r="21350" customFormat="false" ht="15" hidden="false" customHeight="false" outlineLevel="0" collapsed="false">
      <c r="A21350" s="0" t="n">
        <f aca="false">_xlfn.ORG.LIBREOFFICE.WEEKNUM_OOO(DATE(1900,3,1),14)</f>
        <v>9</v>
      </c>
      <c r="B21350" s="0" t="s">
        <v>21176</v>
      </c>
    </row>
    <row r="21351" customFormat="false" ht="15" hidden="false" customHeight="false" outlineLevel="0" collapsed="false">
      <c r="A21351" s="0" t="n">
        <f aca="false">_xlfn.ORG.LIBREOFFICE.WEEKNUM_OOO(DATE(2024,1,7),15)</f>
        <v>1</v>
      </c>
      <c r="B21351" s="0" t="s">
        <v>21177</v>
      </c>
    </row>
    <row r="21352" customFormat="false" ht="15" hidden="false" customHeight="false" outlineLevel="0" collapsed="false">
      <c r="A21352" s="0" t="n">
        <f aca="false">_xlfn.ORG.LIBREOFFICE.WEEKNUM_OOO(DATE(2024,1,1),15)</f>
        <v>1</v>
      </c>
      <c r="B21352" s="0" t="s">
        <v>21178</v>
      </c>
    </row>
    <row r="21353" customFormat="false" ht="15" hidden="false" customHeight="false" outlineLevel="0" collapsed="false">
      <c r="A21353" s="0" t="n">
        <f aca="false">_xlfn.ORG.LIBREOFFICE.WEEKNUM_OOO(DATE(2024,12,30),15)</f>
        <v>1</v>
      </c>
      <c r="B21353" s="0" t="s">
        <v>21179</v>
      </c>
    </row>
    <row r="21354" customFormat="false" ht="15" hidden="false" customHeight="false" outlineLevel="0" collapsed="false">
      <c r="A21354" s="0" t="n">
        <f aca="false">_xlfn.ORG.LIBREOFFICE.WEEKNUM_OOO(DATE(2021,1,1),15)</f>
        <v>53</v>
      </c>
      <c r="B21354" s="0" t="s">
        <v>21180</v>
      </c>
    </row>
    <row r="21355" customFormat="false" ht="15" hidden="false" customHeight="false" outlineLevel="0" collapsed="false">
      <c r="A21355" s="0" t="n">
        <f aca="false">_xlfn.ORG.LIBREOFFICE.WEEKNUM_OOO(DATE(2023,1,1),15)</f>
        <v>52</v>
      </c>
      <c r="B21355" s="0" t="s">
        <v>21181</v>
      </c>
    </row>
    <row r="21356" customFormat="false" ht="15" hidden="false" customHeight="false" outlineLevel="0" collapsed="false">
      <c r="A21356" s="0" t="n">
        <f aca="false">_xlfn.ORG.LIBREOFFICE.WEEKNUM_OOO(DATE(2022,12,31),15)</f>
        <v>52</v>
      </c>
      <c r="B21356" s="0" t="s">
        <v>21182</v>
      </c>
    </row>
    <row r="21357" customFormat="false" ht="15" hidden="false" customHeight="false" outlineLevel="0" collapsed="false">
      <c r="A21357" s="0" t="n">
        <f aca="false">_xlfn.ORG.LIBREOFFICE.WEEKNUM_OOO(DATE(2026,12,31),15)</f>
        <v>53</v>
      </c>
      <c r="B21357" s="0" t="s">
        <v>21183</v>
      </c>
    </row>
    <row r="21358" customFormat="false" ht="15" hidden="false" customHeight="false" outlineLevel="0" collapsed="false">
      <c r="A21358" s="0" t="n">
        <f aca="false">_xlfn.ORG.LIBREOFFICE.WEEKNUM_OOO(DATE(1900,1,1),15)</f>
        <v>1</v>
      </c>
      <c r="B21358" s="0" t="s">
        <v>21184</v>
      </c>
    </row>
    <row r="21359" customFormat="false" ht="15" hidden="false" customHeight="false" outlineLevel="0" collapsed="false">
      <c r="A21359" s="0" t="n">
        <f aca="false">_xlfn.ORG.LIBREOFFICE.WEEKNUM_OOO(DATE(1900,3,1),15)</f>
        <v>9</v>
      </c>
      <c r="B21359" s="0" t="s">
        <v>21185</v>
      </c>
    </row>
    <row r="21360" customFormat="false" ht="15" hidden="false" customHeight="false" outlineLevel="0" collapsed="false">
      <c r="A21360" s="0" t="n">
        <f aca="false">_xlfn.ORG.LIBREOFFICE.WEEKNUM_OOO(DATE(2024,1,7),16)</f>
        <v>1</v>
      </c>
      <c r="B21360" s="0" t="s">
        <v>21186</v>
      </c>
    </row>
    <row r="21361" customFormat="false" ht="15" hidden="false" customHeight="false" outlineLevel="0" collapsed="false">
      <c r="A21361" s="0" t="n">
        <f aca="false">_xlfn.ORG.LIBREOFFICE.WEEKNUM_OOO(DATE(2024,1,1),16)</f>
        <v>1</v>
      </c>
      <c r="B21361" s="0" t="s">
        <v>21187</v>
      </c>
    </row>
    <row r="21362" customFormat="false" ht="15" hidden="false" customHeight="false" outlineLevel="0" collapsed="false">
      <c r="A21362" s="0" t="n">
        <f aca="false">_xlfn.ORG.LIBREOFFICE.WEEKNUM_OOO(DATE(2024,12,30),16)</f>
        <v>1</v>
      </c>
      <c r="B21362" s="0" t="s">
        <v>21188</v>
      </c>
    </row>
    <row r="21363" customFormat="false" ht="15" hidden="false" customHeight="false" outlineLevel="0" collapsed="false">
      <c r="A21363" s="0" t="n">
        <f aca="false">_xlfn.ORG.LIBREOFFICE.WEEKNUM_OOO(DATE(2021,1,1),16)</f>
        <v>53</v>
      </c>
      <c r="B21363" s="0" t="s">
        <v>21189</v>
      </c>
    </row>
    <row r="21364" customFormat="false" ht="15" hidden="false" customHeight="false" outlineLevel="0" collapsed="false">
      <c r="A21364" s="0" t="n">
        <f aca="false">_xlfn.ORG.LIBREOFFICE.WEEKNUM_OOO(DATE(2023,1,1),16)</f>
        <v>52</v>
      </c>
      <c r="B21364" s="0" t="s">
        <v>21190</v>
      </c>
    </row>
    <row r="21365" customFormat="false" ht="15" hidden="false" customHeight="false" outlineLevel="0" collapsed="false">
      <c r="A21365" s="0" t="n">
        <f aca="false">_xlfn.ORG.LIBREOFFICE.WEEKNUM_OOO(DATE(2022,12,31),16)</f>
        <v>52</v>
      </c>
      <c r="B21365" s="0" t="s">
        <v>21191</v>
      </c>
    </row>
    <row r="21366" customFormat="false" ht="15" hidden="false" customHeight="false" outlineLevel="0" collapsed="false">
      <c r="A21366" s="0" t="n">
        <f aca="false">_xlfn.ORG.LIBREOFFICE.WEEKNUM_OOO(DATE(2026,12,31),16)</f>
        <v>53</v>
      </c>
      <c r="B21366" s="0" t="s">
        <v>21192</v>
      </c>
    </row>
    <row r="21367" customFormat="false" ht="15" hidden="false" customHeight="false" outlineLevel="0" collapsed="false">
      <c r="A21367" s="0" t="n">
        <f aca="false">_xlfn.ORG.LIBREOFFICE.WEEKNUM_OOO(DATE(1900,1,1),16)</f>
        <v>1</v>
      </c>
      <c r="B21367" s="0" t="s">
        <v>21193</v>
      </c>
    </row>
    <row r="21368" customFormat="false" ht="15" hidden="false" customHeight="false" outlineLevel="0" collapsed="false">
      <c r="A21368" s="0" t="n">
        <f aca="false">_xlfn.ORG.LIBREOFFICE.WEEKNUM_OOO(DATE(1900,3,1),16)</f>
        <v>9</v>
      </c>
      <c r="B21368" s="0" t="s">
        <v>21194</v>
      </c>
    </row>
    <row r="21369" customFormat="false" ht="15" hidden="false" customHeight="false" outlineLevel="0" collapsed="false">
      <c r="A21369" s="0" t="n">
        <f aca="false">_xlfn.ORG.LIBREOFFICE.WEEKNUM_OOO(DATE(2024,1,7),17)</f>
        <v>1</v>
      </c>
      <c r="B21369" s="0" t="s">
        <v>21195</v>
      </c>
    </row>
    <row r="21370" customFormat="false" ht="15" hidden="false" customHeight="false" outlineLevel="0" collapsed="false">
      <c r="A21370" s="0" t="n">
        <f aca="false">_xlfn.ORG.LIBREOFFICE.WEEKNUM_OOO(DATE(2024,1,1),17)</f>
        <v>1</v>
      </c>
      <c r="B21370" s="0" t="s">
        <v>21196</v>
      </c>
    </row>
    <row r="21371" customFormat="false" ht="15" hidden="false" customHeight="false" outlineLevel="0" collapsed="false">
      <c r="A21371" s="0" t="n">
        <f aca="false">_xlfn.ORG.LIBREOFFICE.WEEKNUM_OOO(DATE(2024,12,30),17)</f>
        <v>1</v>
      </c>
      <c r="B21371" s="0" t="s">
        <v>21197</v>
      </c>
    </row>
    <row r="21372" customFormat="false" ht="15" hidden="false" customHeight="false" outlineLevel="0" collapsed="false">
      <c r="A21372" s="0" t="n">
        <f aca="false">_xlfn.ORG.LIBREOFFICE.WEEKNUM_OOO(DATE(2021,1,1),17)</f>
        <v>53</v>
      </c>
      <c r="B21372" s="0" t="s">
        <v>21198</v>
      </c>
    </row>
    <row r="21373" customFormat="false" ht="15" hidden="false" customHeight="false" outlineLevel="0" collapsed="false">
      <c r="A21373" s="0" t="n">
        <f aca="false">_xlfn.ORG.LIBREOFFICE.WEEKNUM_OOO(DATE(2023,1,1),17)</f>
        <v>52</v>
      </c>
      <c r="B21373" s="0" t="s">
        <v>21199</v>
      </c>
    </row>
    <row r="21374" customFormat="false" ht="15" hidden="false" customHeight="false" outlineLevel="0" collapsed="false">
      <c r="A21374" s="0" t="n">
        <f aca="false">_xlfn.ORG.LIBREOFFICE.WEEKNUM_OOO(DATE(2022,12,31),17)</f>
        <v>52</v>
      </c>
      <c r="B21374" s="0" t="s">
        <v>21200</v>
      </c>
    </row>
    <row r="21375" customFormat="false" ht="15" hidden="false" customHeight="false" outlineLevel="0" collapsed="false">
      <c r="A21375" s="0" t="n">
        <f aca="false">_xlfn.ORG.LIBREOFFICE.WEEKNUM_OOO(DATE(2026,12,31),17)</f>
        <v>53</v>
      </c>
      <c r="B21375" s="0" t="s">
        <v>21201</v>
      </c>
    </row>
    <row r="21376" customFormat="false" ht="15" hidden="false" customHeight="false" outlineLevel="0" collapsed="false">
      <c r="A21376" s="0" t="n">
        <f aca="false">_xlfn.ORG.LIBREOFFICE.WEEKNUM_OOO(DATE(1900,1,1),17)</f>
        <v>1</v>
      </c>
      <c r="B21376" s="0" t="s">
        <v>21202</v>
      </c>
    </row>
    <row r="21377" customFormat="false" ht="15" hidden="false" customHeight="false" outlineLevel="0" collapsed="false">
      <c r="A21377" s="0" t="n">
        <f aca="false">_xlfn.ORG.LIBREOFFICE.WEEKNUM_OOO(DATE(1900,3,1),17)</f>
        <v>9</v>
      </c>
      <c r="B21377" s="0" t="s">
        <v>21203</v>
      </c>
    </row>
    <row r="21378" customFormat="false" ht="15" hidden="false" customHeight="false" outlineLevel="0" collapsed="false">
      <c r="A21378" s="0" t="n">
        <f aca="false">_xlfn.ORG.LIBREOFFICE.WEEKNUM_OOO(DATE(2024,1,7),18)</f>
        <v>1</v>
      </c>
      <c r="B21378" s="0" t="s">
        <v>21204</v>
      </c>
    </row>
    <row r="21379" customFormat="false" ht="15" hidden="false" customHeight="false" outlineLevel="0" collapsed="false">
      <c r="A21379" s="0" t="n">
        <f aca="false">_xlfn.ORG.LIBREOFFICE.WEEKNUM_OOO(DATE(2024,1,1),18)</f>
        <v>1</v>
      </c>
      <c r="B21379" s="0" t="s">
        <v>21205</v>
      </c>
    </row>
    <row r="21380" customFormat="false" ht="15" hidden="false" customHeight="false" outlineLevel="0" collapsed="false">
      <c r="A21380" s="0" t="n">
        <f aca="false">_xlfn.ORG.LIBREOFFICE.WEEKNUM_OOO(DATE(2024,12,30),18)</f>
        <v>1</v>
      </c>
      <c r="B21380" s="0" t="s">
        <v>21206</v>
      </c>
    </row>
    <row r="21381" customFormat="false" ht="15" hidden="false" customHeight="false" outlineLevel="0" collapsed="false">
      <c r="A21381" s="0" t="n">
        <f aca="false">_xlfn.ORG.LIBREOFFICE.WEEKNUM_OOO(DATE(2021,1,1),18)</f>
        <v>53</v>
      </c>
      <c r="B21381" s="0" t="s">
        <v>21207</v>
      </c>
    </row>
    <row r="21382" customFormat="false" ht="15" hidden="false" customHeight="false" outlineLevel="0" collapsed="false">
      <c r="A21382" s="0" t="n">
        <f aca="false">_xlfn.ORG.LIBREOFFICE.WEEKNUM_OOO(DATE(2023,1,1),18)</f>
        <v>52</v>
      </c>
      <c r="B21382" s="0" t="s">
        <v>21208</v>
      </c>
    </row>
    <row r="21383" customFormat="false" ht="15" hidden="false" customHeight="false" outlineLevel="0" collapsed="false">
      <c r="A21383" s="0" t="n">
        <f aca="false">_xlfn.ORG.LIBREOFFICE.WEEKNUM_OOO(DATE(2022,12,31),18)</f>
        <v>52</v>
      </c>
      <c r="B21383" s="0" t="s">
        <v>21209</v>
      </c>
    </row>
    <row r="21384" customFormat="false" ht="15" hidden="false" customHeight="false" outlineLevel="0" collapsed="false">
      <c r="A21384" s="0" t="n">
        <f aca="false">_xlfn.ORG.LIBREOFFICE.WEEKNUM_OOO(DATE(2026,12,31),18)</f>
        <v>53</v>
      </c>
      <c r="B21384" s="0" t="s">
        <v>21210</v>
      </c>
    </row>
    <row r="21385" customFormat="false" ht="15" hidden="false" customHeight="false" outlineLevel="0" collapsed="false">
      <c r="A21385" s="0" t="n">
        <f aca="false">_xlfn.ORG.LIBREOFFICE.WEEKNUM_OOO(DATE(1900,1,1),18)</f>
        <v>1</v>
      </c>
      <c r="B21385" s="0" t="s">
        <v>21211</v>
      </c>
    </row>
    <row r="21386" customFormat="false" ht="15" hidden="false" customHeight="false" outlineLevel="0" collapsed="false">
      <c r="A21386" s="0" t="n">
        <f aca="false">_xlfn.ORG.LIBREOFFICE.WEEKNUM_OOO(DATE(1900,3,1),18)</f>
        <v>9</v>
      </c>
      <c r="B21386" s="0" t="s">
        <v>21212</v>
      </c>
    </row>
    <row r="21387" customFormat="false" ht="15" hidden="false" customHeight="false" outlineLevel="0" collapsed="false">
      <c r="A21387" s="0" t="n">
        <f aca="false">_xlfn.ORG.LIBREOFFICE.WEEKNUM_OOO(DATE(2024,1,7),21)</f>
        <v>1</v>
      </c>
      <c r="B21387" s="0" t="s">
        <v>21213</v>
      </c>
    </row>
    <row r="21388" customFormat="false" ht="15" hidden="false" customHeight="false" outlineLevel="0" collapsed="false">
      <c r="A21388" s="0" t="n">
        <f aca="false">_xlfn.ORG.LIBREOFFICE.WEEKNUM_OOO(DATE(2024,1,1),21)</f>
        <v>1</v>
      </c>
      <c r="B21388" s="0" t="s">
        <v>21214</v>
      </c>
    </row>
    <row r="21389" customFormat="false" ht="15" hidden="false" customHeight="false" outlineLevel="0" collapsed="false">
      <c r="A21389" s="0" t="n">
        <f aca="false">_xlfn.ORG.LIBREOFFICE.WEEKNUM_OOO(DATE(2024,12,30),21)</f>
        <v>1</v>
      </c>
      <c r="B21389" s="0" t="s">
        <v>21215</v>
      </c>
    </row>
    <row r="21390" customFormat="false" ht="15" hidden="false" customHeight="false" outlineLevel="0" collapsed="false">
      <c r="A21390" s="0" t="n">
        <f aca="false">_xlfn.ORG.LIBREOFFICE.WEEKNUM_OOO(DATE(2021,1,1),21)</f>
        <v>53</v>
      </c>
      <c r="B21390" s="0" t="s">
        <v>21216</v>
      </c>
    </row>
    <row r="21391" customFormat="false" ht="15" hidden="false" customHeight="false" outlineLevel="0" collapsed="false">
      <c r="A21391" s="0" t="n">
        <f aca="false">_xlfn.ORG.LIBREOFFICE.WEEKNUM_OOO(DATE(2023,1,1),21)</f>
        <v>52</v>
      </c>
      <c r="B21391" s="0" t="s">
        <v>21217</v>
      </c>
    </row>
    <row r="21392" customFormat="false" ht="15" hidden="false" customHeight="false" outlineLevel="0" collapsed="false">
      <c r="A21392" s="0" t="n">
        <f aca="false">_xlfn.ORG.LIBREOFFICE.WEEKNUM_OOO(DATE(2022,12,31),21)</f>
        <v>52</v>
      </c>
      <c r="B21392" s="0" t="s">
        <v>21218</v>
      </c>
    </row>
    <row r="21393" customFormat="false" ht="15" hidden="false" customHeight="false" outlineLevel="0" collapsed="false">
      <c r="A21393" s="0" t="n">
        <f aca="false">_xlfn.ORG.LIBREOFFICE.WEEKNUM_OOO(DATE(2026,12,31),21)</f>
        <v>53</v>
      </c>
      <c r="B21393" s="0" t="s">
        <v>21219</v>
      </c>
    </row>
    <row r="21394" customFormat="false" ht="15" hidden="false" customHeight="false" outlineLevel="0" collapsed="false">
      <c r="A21394" s="0" t="n">
        <f aca="false">_xlfn.ORG.LIBREOFFICE.WEEKNUM_OOO(DATE(1900,1,1),21)</f>
        <v>1</v>
      </c>
      <c r="B21394" s="0" t="s">
        <v>21220</v>
      </c>
    </row>
    <row r="21395" customFormat="false" ht="15" hidden="false" customHeight="false" outlineLevel="0" collapsed="false">
      <c r="A21395" s="0" t="n">
        <f aca="false">_xlfn.ORG.LIBREOFFICE.WEEKNUM_OOO(DATE(1900,3,1),21)</f>
        <v>9</v>
      </c>
      <c r="B21395" s="0" t="s">
        <v>21221</v>
      </c>
    </row>
    <row r="21396" customFormat="false" ht="15" hidden="false" customHeight="false" outlineLevel="0" collapsed="false">
      <c r="A21396" s="0" t="n">
        <f aca="false">_xlfn.ORG.LIBREOFFICE.WEEKNUM_OOO(DATE(2024,1,7),22)</f>
        <v>1</v>
      </c>
      <c r="B21396" s="0" t="s">
        <v>21222</v>
      </c>
    </row>
    <row r="21397" customFormat="false" ht="15" hidden="false" customHeight="false" outlineLevel="0" collapsed="false">
      <c r="A21397" s="0" t="n">
        <f aca="false">_xlfn.ORG.LIBREOFFICE.WEEKNUM_OOO(DATE(2024,1,1),22)</f>
        <v>1</v>
      </c>
      <c r="B21397" s="0" t="s">
        <v>21223</v>
      </c>
    </row>
    <row r="21398" customFormat="false" ht="15" hidden="false" customHeight="false" outlineLevel="0" collapsed="false">
      <c r="A21398" s="0" t="n">
        <f aca="false">_xlfn.ORG.LIBREOFFICE.WEEKNUM_OOO(DATE(2024,12,30),22)</f>
        <v>1</v>
      </c>
      <c r="B21398" s="0" t="s">
        <v>21224</v>
      </c>
    </row>
    <row r="21399" customFormat="false" ht="15" hidden="false" customHeight="false" outlineLevel="0" collapsed="false">
      <c r="A21399" s="0" t="n">
        <f aca="false">_xlfn.ORG.LIBREOFFICE.WEEKNUM_OOO(DATE(2021,1,1),22)</f>
        <v>53</v>
      </c>
      <c r="B21399" s="0" t="s">
        <v>21225</v>
      </c>
    </row>
    <row r="21400" customFormat="false" ht="15" hidden="false" customHeight="false" outlineLevel="0" collapsed="false">
      <c r="A21400" s="0" t="n">
        <f aca="false">_xlfn.ORG.LIBREOFFICE.WEEKNUM_OOO(DATE(2023,1,1),22)</f>
        <v>52</v>
      </c>
      <c r="B21400" s="0" t="s">
        <v>21226</v>
      </c>
    </row>
    <row r="21401" customFormat="false" ht="15" hidden="false" customHeight="false" outlineLevel="0" collapsed="false">
      <c r="A21401" s="0" t="n">
        <f aca="false">_xlfn.ORG.LIBREOFFICE.WEEKNUM_OOO(DATE(2022,12,31),22)</f>
        <v>52</v>
      </c>
      <c r="B21401" s="0" t="s">
        <v>21227</v>
      </c>
    </row>
    <row r="21402" customFormat="false" ht="15" hidden="false" customHeight="false" outlineLevel="0" collapsed="false">
      <c r="A21402" s="0" t="n">
        <f aca="false">_xlfn.ORG.LIBREOFFICE.WEEKNUM_OOO(DATE(2026,12,31),22)</f>
        <v>53</v>
      </c>
      <c r="B21402" s="0" t="s">
        <v>21228</v>
      </c>
    </row>
    <row r="21403" customFormat="false" ht="15" hidden="false" customHeight="false" outlineLevel="0" collapsed="false">
      <c r="A21403" s="0" t="n">
        <f aca="false">_xlfn.ORG.LIBREOFFICE.WEEKNUM_OOO(DATE(1900,1,1),22)</f>
        <v>1</v>
      </c>
      <c r="B21403" s="0" t="s">
        <v>21229</v>
      </c>
    </row>
    <row r="21404" customFormat="false" ht="15" hidden="false" customHeight="false" outlineLevel="0" collapsed="false">
      <c r="A21404" s="0" t="n">
        <f aca="false">_xlfn.ORG.LIBREOFFICE.WEEKNUM_OOO(DATE(1900,3,1),22)</f>
        <v>9</v>
      </c>
      <c r="B21404" s="0" t="s">
        <v>21230</v>
      </c>
    </row>
    <row r="21405" customFormat="false" ht="15" hidden="false" customHeight="false" outlineLevel="0" collapsed="false">
      <c r="A21405" s="0" t="n">
        <f aca="false">_xlfn.ORG.LIBREOFFICE.WEEKNUM_OOO(DATE(2024,1,7),1.9)</f>
        <v>2</v>
      </c>
      <c r="B21405" s="0" t="s">
        <v>21231</v>
      </c>
    </row>
    <row r="21406" customFormat="false" ht="15" hidden="false" customHeight="false" outlineLevel="0" collapsed="false">
      <c r="A21406" s="0" t="n">
        <f aca="false">_xlfn.ORG.LIBREOFFICE.WEEKNUM_OOO(DATE(2024,1,1),1.9)</f>
        <v>1</v>
      </c>
      <c r="B21406" s="0" t="s">
        <v>21232</v>
      </c>
    </row>
    <row r="21407" customFormat="false" ht="15" hidden="false" customHeight="false" outlineLevel="0" collapsed="false">
      <c r="A21407" s="0" t="n">
        <f aca="false">_xlfn.ORG.LIBREOFFICE.WEEKNUM_OOO(DATE(2024,12,30),1.9)</f>
        <v>1</v>
      </c>
      <c r="B21407" s="0" t="s">
        <v>21233</v>
      </c>
    </row>
    <row r="21408" customFormat="false" ht="15" hidden="false" customHeight="false" outlineLevel="0" collapsed="false">
      <c r="A21408" s="0" t="n">
        <f aca="false">_xlfn.ORG.LIBREOFFICE.WEEKNUM_OOO(DATE(2021,1,1),1.9)</f>
        <v>53</v>
      </c>
      <c r="B21408" s="0" t="s">
        <v>21234</v>
      </c>
    </row>
    <row r="21409" customFormat="false" ht="15" hidden="false" customHeight="false" outlineLevel="0" collapsed="false">
      <c r="A21409" s="0" t="n">
        <f aca="false">_xlfn.ORG.LIBREOFFICE.WEEKNUM_OOO(DATE(2023,1,1),1.9)</f>
        <v>1</v>
      </c>
      <c r="B21409" s="0" t="s">
        <v>21235</v>
      </c>
    </row>
    <row r="21410" customFormat="false" ht="15" hidden="false" customHeight="false" outlineLevel="0" collapsed="false">
      <c r="A21410" s="0" t="n">
        <f aca="false">_xlfn.ORG.LIBREOFFICE.WEEKNUM_OOO(DATE(2022,12,31),1.9)</f>
        <v>52</v>
      </c>
      <c r="B21410" s="0" t="s">
        <v>21236</v>
      </c>
    </row>
    <row r="21411" customFormat="false" ht="15" hidden="false" customHeight="false" outlineLevel="0" collapsed="false">
      <c r="A21411" s="0" t="n">
        <f aca="false">_xlfn.ORG.LIBREOFFICE.WEEKNUM_OOO(DATE(2026,12,31),1.9)</f>
        <v>52</v>
      </c>
      <c r="B21411" s="0" t="s">
        <v>21237</v>
      </c>
    </row>
    <row r="21412" customFormat="false" ht="15" hidden="false" customHeight="false" outlineLevel="0" collapsed="false">
      <c r="A21412" s="0" t="n">
        <f aca="false">_xlfn.ORG.LIBREOFFICE.WEEKNUM_OOO(DATE(1900,1,1),1.9)</f>
        <v>1</v>
      </c>
      <c r="B21412" s="0" t="s">
        <v>21238</v>
      </c>
    </row>
    <row r="21413" customFormat="false" ht="15" hidden="false" customHeight="false" outlineLevel="0" collapsed="false">
      <c r="A21413" s="0" t="n">
        <f aca="false">_xlfn.ORG.LIBREOFFICE.WEEKNUM_OOO(DATE(1900,3,1),1.9)</f>
        <v>9</v>
      </c>
      <c r="B21413" s="0" t="s">
        <v>21239</v>
      </c>
    </row>
    <row r="21414" customFormat="false" ht="15" hidden="false" customHeight="false" outlineLevel="0" collapsed="false">
      <c r="A21414" s="0" t="n">
        <f aca="false">_xlfn.ORG.LIBREOFFICE.WEEKNUM_OOO(DATE(2024,1,7),-1)</f>
        <v>1</v>
      </c>
      <c r="B21414" s="0" t="s">
        <v>21240</v>
      </c>
    </row>
    <row r="21415" customFormat="false" ht="15" hidden="false" customHeight="false" outlineLevel="0" collapsed="false">
      <c r="A21415" s="0" t="n">
        <f aca="false">_xlfn.ORG.LIBREOFFICE.WEEKNUM_OOO(DATE(2024,1,1),-1)</f>
        <v>1</v>
      </c>
      <c r="B21415" s="0" t="s">
        <v>21241</v>
      </c>
    </row>
    <row r="21416" customFormat="false" ht="15" hidden="false" customHeight="false" outlineLevel="0" collapsed="false">
      <c r="A21416" s="0" t="n">
        <f aca="false">_xlfn.ORG.LIBREOFFICE.WEEKNUM_OOO(DATE(2024,12,30),-1)</f>
        <v>1</v>
      </c>
      <c r="B21416" s="0" t="s">
        <v>21242</v>
      </c>
    </row>
    <row r="21417" customFormat="false" ht="15" hidden="false" customHeight="false" outlineLevel="0" collapsed="false">
      <c r="A21417" s="0" t="n">
        <f aca="false">_xlfn.ORG.LIBREOFFICE.WEEKNUM_OOO(DATE(2021,1,1),-1)</f>
        <v>53</v>
      </c>
      <c r="B21417" s="0" t="s">
        <v>21243</v>
      </c>
    </row>
    <row r="21418" customFormat="false" ht="15" hidden="false" customHeight="false" outlineLevel="0" collapsed="false">
      <c r="A21418" s="0" t="n">
        <f aca="false">_xlfn.ORG.LIBREOFFICE.WEEKNUM_OOO(DATE(2023,1,1),-1)</f>
        <v>52</v>
      </c>
      <c r="B21418" s="0" t="s">
        <v>21244</v>
      </c>
    </row>
    <row r="21419" customFormat="false" ht="15" hidden="false" customHeight="false" outlineLevel="0" collapsed="false">
      <c r="A21419" s="0" t="n">
        <f aca="false">_xlfn.ORG.LIBREOFFICE.WEEKNUM_OOO(DATE(2022,12,31),-1)</f>
        <v>52</v>
      </c>
      <c r="B21419" s="0" t="s">
        <v>21245</v>
      </c>
    </row>
    <row r="21420" customFormat="false" ht="15" hidden="false" customHeight="false" outlineLevel="0" collapsed="false">
      <c r="A21420" s="0" t="n">
        <f aca="false">_xlfn.ORG.LIBREOFFICE.WEEKNUM_OOO(DATE(2026,12,31),-1)</f>
        <v>53</v>
      </c>
      <c r="B21420" s="0" t="s">
        <v>21246</v>
      </c>
    </row>
    <row r="21421" customFormat="false" ht="15" hidden="false" customHeight="false" outlineLevel="0" collapsed="false">
      <c r="A21421" s="0" t="n">
        <f aca="false">_xlfn.ORG.LIBREOFFICE.WEEKNUM_OOO(DATE(1900,1,1),-1)</f>
        <v>1</v>
      </c>
      <c r="B21421" s="0" t="s">
        <v>21247</v>
      </c>
    </row>
    <row r="21422" customFormat="false" ht="15" hidden="false" customHeight="false" outlineLevel="0" collapsed="false">
      <c r="A21422" s="0" t="n">
        <f aca="false">_xlfn.ORG.LIBREOFFICE.WEEKNUM_OOO(DATE(1900,3,1),-1)</f>
        <v>9</v>
      </c>
      <c r="B21422" s="0" t="s">
        <v>21248</v>
      </c>
    </row>
    <row r="21423" customFormat="false" ht="15" hidden="false" customHeight="false" outlineLevel="0" collapsed="false">
      <c r="A21423" s="0" t="n">
        <f aca="false">_xlfn.ORG.LIBREOFFICE.WEEKNUM_OOO(DATE(2024,1,7),"1")</f>
        <v>2</v>
      </c>
      <c r="B21423" s="0" t="s">
        <v>21249</v>
      </c>
    </row>
    <row r="21424" customFormat="false" ht="15" hidden="false" customHeight="false" outlineLevel="0" collapsed="false">
      <c r="A21424" s="0" t="n">
        <f aca="false">_xlfn.ORG.LIBREOFFICE.WEEKNUM_OOO(DATE(2024,1,1),"1")</f>
        <v>1</v>
      </c>
      <c r="B21424" s="0" t="s">
        <v>21250</v>
      </c>
    </row>
    <row r="21425" customFormat="false" ht="15" hidden="false" customHeight="false" outlineLevel="0" collapsed="false">
      <c r="A21425" s="0" t="n">
        <f aca="false">_xlfn.ORG.LIBREOFFICE.WEEKNUM_OOO(DATE(2024,12,30),"1")</f>
        <v>1</v>
      </c>
      <c r="B21425" s="0" t="s">
        <v>21251</v>
      </c>
    </row>
    <row r="21426" customFormat="false" ht="15" hidden="false" customHeight="false" outlineLevel="0" collapsed="false">
      <c r="A21426" s="0" t="n">
        <f aca="false">_xlfn.ORG.LIBREOFFICE.WEEKNUM_OOO(DATE(2021,1,1),"1")</f>
        <v>53</v>
      </c>
      <c r="B21426" s="0" t="s">
        <v>21252</v>
      </c>
    </row>
    <row r="21427" customFormat="false" ht="15" hidden="false" customHeight="false" outlineLevel="0" collapsed="false">
      <c r="A21427" s="0" t="n">
        <f aca="false">_xlfn.ORG.LIBREOFFICE.WEEKNUM_OOO(DATE(2023,1,1),"1")</f>
        <v>1</v>
      </c>
      <c r="B21427" s="0" t="s">
        <v>21253</v>
      </c>
    </row>
    <row r="21428" customFormat="false" ht="15" hidden="false" customHeight="false" outlineLevel="0" collapsed="false">
      <c r="A21428" s="0" t="n">
        <f aca="false">_xlfn.ORG.LIBREOFFICE.WEEKNUM_OOO(DATE(2022,12,31),"1")</f>
        <v>52</v>
      </c>
      <c r="B21428" s="0" t="s">
        <v>21254</v>
      </c>
    </row>
    <row r="21429" customFormat="false" ht="15" hidden="false" customHeight="false" outlineLevel="0" collapsed="false">
      <c r="A21429" s="0" t="n">
        <f aca="false">_xlfn.ORG.LIBREOFFICE.WEEKNUM_OOO(DATE(2026,12,31),"1")</f>
        <v>52</v>
      </c>
      <c r="B21429" s="0" t="s">
        <v>21255</v>
      </c>
    </row>
    <row r="21430" customFormat="false" ht="15" hidden="false" customHeight="false" outlineLevel="0" collapsed="false">
      <c r="A21430" s="0" t="n">
        <f aca="false">_xlfn.ORG.LIBREOFFICE.WEEKNUM_OOO(DATE(1900,1,1),"1")</f>
        <v>1</v>
      </c>
      <c r="B21430" s="0" t="s">
        <v>21256</v>
      </c>
    </row>
    <row r="21431" customFormat="false" ht="15" hidden="false" customHeight="false" outlineLevel="0" collapsed="false">
      <c r="A21431" s="0" t="n">
        <f aca="false">_xlfn.ORG.LIBREOFFICE.WEEKNUM_OOO(DATE(1900,3,1),"1")</f>
        <v>9</v>
      </c>
      <c r="B21431" s="0" t="s">
        <v>21257</v>
      </c>
    </row>
    <row r="21432" customFormat="false" ht="15" hidden="false" customHeight="false" outlineLevel="0" collapsed="false">
      <c r="A21432" s="0" t="e">
        <f aca="false">_xlfn.ORG.LIBREOFFICE.WEEKNUM_OOO(DATE(2024,1,7),"x")</f>
        <v>#VALUE!</v>
      </c>
      <c r="B21432" s="0" t="s">
        <v>21258</v>
      </c>
    </row>
    <row r="21433" customFormat="false" ht="15" hidden="false" customHeight="false" outlineLevel="0" collapsed="false">
      <c r="A21433" s="0" t="e">
        <f aca="false">_xlfn.ORG.LIBREOFFICE.WEEKNUM_OOO(DATE(2024,1,1),"x")</f>
        <v>#VALUE!</v>
      </c>
      <c r="B21433" s="0" t="s">
        <v>21259</v>
      </c>
    </row>
    <row r="21434" customFormat="false" ht="15" hidden="false" customHeight="false" outlineLevel="0" collapsed="false">
      <c r="A21434" s="0" t="e">
        <f aca="false">_xlfn.ORG.LIBREOFFICE.WEEKNUM_OOO(DATE(2024,12,30),"x")</f>
        <v>#VALUE!</v>
      </c>
      <c r="B21434" s="0" t="s">
        <v>21260</v>
      </c>
    </row>
    <row r="21435" customFormat="false" ht="15" hidden="false" customHeight="false" outlineLevel="0" collapsed="false">
      <c r="A21435" s="0" t="e">
        <f aca="false">_xlfn.ORG.LIBREOFFICE.WEEKNUM_OOO(DATE(2021,1,1),"x")</f>
        <v>#VALUE!</v>
      </c>
      <c r="B21435" s="0" t="s">
        <v>21261</v>
      </c>
    </row>
    <row r="21436" customFormat="false" ht="15" hidden="false" customHeight="false" outlineLevel="0" collapsed="false">
      <c r="A21436" s="0" t="e">
        <f aca="false">_xlfn.ORG.LIBREOFFICE.WEEKNUM_OOO(DATE(2023,1,1),"x")</f>
        <v>#VALUE!</v>
      </c>
      <c r="B21436" s="0" t="s">
        <v>21262</v>
      </c>
    </row>
    <row r="21437" customFormat="false" ht="15" hidden="false" customHeight="false" outlineLevel="0" collapsed="false">
      <c r="A21437" s="0" t="e">
        <f aca="false">_xlfn.ORG.LIBREOFFICE.WEEKNUM_OOO(DATE(2022,12,31),"x")</f>
        <v>#VALUE!</v>
      </c>
      <c r="B21437" s="0" t="s">
        <v>21263</v>
      </c>
    </row>
    <row r="21438" customFormat="false" ht="15" hidden="false" customHeight="false" outlineLevel="0" collapsed="false">
      <c r="A21438" s="0" t="e">
        <f aca="false">_xlfn.ORG.LIBREOFFICE.WEEKNUM_OOO(DATE(2026,12,31),"x")</f>
        <v>#VALUE!</v>
      </c>
      <c r="B21438" s="0" t="s">
        <v>21264</v>
      </c>
    </row>
    <row r="21439" customFormat="false" ht="15" hidden="false" customHeight="false" outlineLevel="0" collapsed="false">
      <c r="A21439" s="0" t="e">
        <f aca="false">_xlfn.ORG.LIBREOFFICE.WEEKNUM_OOO(DATE(1900,1,1),"x")</f>
        <v>#VALUE!</v>
      </c>
      <c r="B21439" s="0" t="s">
        <v>21265</v>
      </c>
    </row>
    <row r="21440" customFormat="false" ht="15" hidden="false" customHeight="false" outlineLevel="0" collapsed="false">
      <c r="A21440" s="0" t="e">
        <f aca="false">_xlfn.ORG.LIBREOFFICE.WEEKNUM_OOO(DATE(1900,3,1),"x")</f>
        <v>#VALUE!</v>
      </c>
      <c r="B21440" s="0" t="s">
        <v>21266</v>
      </c>
    </row>
    <row r="21441" customFormat="false" ht="15" hidden="false" customHeight="false" outlineLevel="0" collapsed="false">
      <c r="A21441" s="0" t="e">
        <f aca="false">_xlfn.ORG.LIBREOFFICE.WEEKNUM_OOO(DATE(2024,1,7))</f>
        <v>#VALUE!</v>
      </c>
      <c r="B21441" s="0" t="s">
        <v>21267</v>
      </c>
    </row>
    <row r="21442" customFormat="false" ht="15" hidden="false" customHeight="false" outlineLevel="0" collapsed="false">
      <c r="A21442" s="0" t="e">
        <f aca="false">_xlfn.ORG.LIBREOFFICE.WEEKNUM_OOO("x",1)</f>
        <v>#VALUE!</v>
      </c>
      <c r="B21442" s="0" t="s">
        <v>21268</v>
      </c>
    </row>
    <row r="21443" customFormat="false" ht="15" hidden="false" customHeight="false" outlineLevel="0" collapsed="false">
      <c r="A21443" s="0" t="n">
        <f aca="false">_xlfn.ORG.LIBREOFFICE.WEEKNUM_OOO(-5,1)</f>
        <v>52</v>
      </c>
      <c r="B21443" s="0" t="s">
        <v>21269</v>
      </c>
    </row>
    <row r="21444" customFormat="false" ht="15" hidden="false" customHeight="false" outlineLevel="0" collapsed="false">
      <c r="A21444" s="0" t="n">
        <f aca="false">_xlfn.ORG.LIBREOFFICE.WEEKNUM_OOO(DATE(2024,1,7),)</f>
        <v>1</v>
      </c>
      <c r="B21444" s="0" t="s">
        <v>21270</v>
      </c>
    </row>
    <row r="21445" customFormat="false" ht="15" hidden="false" customHeight="false" outlineLevel="0" collapsed="false">
      <c r="A21445" s="0" t="n">
        <f aca="false">_xlfn.ORG.LIBREOFFICE.RANDBETWEEN.NV(5,5)</f>
        <v>5</v>
      </c>
      <c r="B21445" s="0" t="s">
        <v>21271</v>
      </c>
    </row>
    <row r="21446" customFormat="false" ht="15" hidden="false" customHeight="false" outlineLevel="0" collapsed="false">
      <c r="A21446" s="0" t="e">
        <f aca="false">_xlfn.ORG.LIBREOFFICE.RANDBETWEEN.NV(5,4)</f>
        <v>#VALUE!</v>
      </c>
      <c r="B21446" s="0" t="s">
        <v>21272</v>
      </c>
    </row>
    <row r="21447" customFormat="false" ht="15" hidden="false" customHeight="false" outlineLevel="0" collapsed="false">
      <c r="A21447" s="0" t="n">
        <f aca="false">_xlfn.ORG.LIBREOFFICE.RANDBETWEEN.NV(1.2,1.9)</f>
        <v>2</v>
      </c>
      <c r="B21447" s="0" t="s">
        <v>21273</v>
      </c>
    </row>
    <row r="21448" customFormat="false" ht="15" hidden="false" customHeight="false" outlineLevel="0" collapsed="false">
      <c r="A21448" s="0" t="n">
        <f aca="false">_xlfn.ORG.LIBREOFFICE.RANDBETWEEN.NV(-3,-3)</f>
        <v>-3</v>
      </c>
      <c r="B21448" s="0" t="s">
        <v>21274</v>
      </c>
    </row>
    <row r="21449" customFormat="false" ht="15" hidden="false" customHeight="false" outlineLevel="0" collapsed="false">
      <c r="A21449" s="2" t="b">
        <f aca="false">_xlfn.ORG.LIBREOFFICE.RANDBETWEEN.NV(1,3)&lt;=3</f>
        <v>1</v>
      </c>
      <c r="B21449" s="0" t="s">
        <v>21275</v>
      </c>
    </row>
    <row r="21450" customFormat="false" ht="15" hidden="false" customHeight="false" outlineLevel="0" collapsed="false">
      <c r="A21450" s="2" t="b">
        <f aca="false">_xlfn.ORG.LIBREOFFICE.RAND.NV()&lt;1</f>
        <v>1</v>
      </c>
      <c r="B21450" s="0" t="s">
        <v>21276</v>
      </c>
    </row>
    <row r="21451" customFormat="false" ht="15" hidden="false" customHeight="false" outlineLevel="0" collapsed="false">
      <c r="A21451" s="2" t="b">
        <f aca="false">_xlfn.ORG.LIBREOFFICE.RAND.NV()&gt;=0</f>
        <v>1</v>
      </c>
      <c r="B21451" s="0" t="s">
        <v>21277</v>
      </c>
    </row>
    <row r="21452" customFormat="false" ht="15" hidden="false" customHeight="false" outlineLevel="0" collapsed="false">
      <c r="A21452" s="0" t="e">
        <f aca="false">_xlfn.ORG.LIBREOFFICE.RANDBETWEEN.NV("a",2)</f>
        <v>#VALUE!</v>
      </c>
      <c r="B21452" s="0" t="s">
        <v>21278</v>
      </c>
    </row>
    <row r="21453" customFormat="false" ht="15" hidden="false" customHeight="false" outlineLevel="0" collapsed="false">
      <c r="A21453" s="0" t="n">
        <f aca="false">_xlfn.ORG.LIBREOFFICE.WEEKNUM_OOO(DATE(2055,9,18),11)</f>
        <v>37</v>
      </c>
      <c r="B21453" s="0" t="s">
        <v>21279</v>
      </c>
    </row>
    <row r="21454" customFormat="false" ht="15" hidden="false" customHeight="false" outlineLevel="0" collapsed="false">
      <c r="A21454" s="0" t="n">
        <f aca="false">_xlfn.ORG.LIBREOFFICE.WEEKNUM_OOO(DATE(1916,11,20),11)</f>
        <v>47</v>
      </c>
      <c r="B21454" s="0" t="s">
        <v>21280</v>
      </c>
    </row>
    <row r="21455" customFormat="false" ht="15" hidden="false" customHeight="false" outlineLevel="0" collapsed="false">
      <c r="A21455" s="0" t="n">
        <f aca="false">_xlfn.ORG.LIBREOFFICE.WEEKNUM_OOO(DATE(1938,10,23),1)</f>
        <v>43</v>
      </c>
      <c r="B21455" s="0" t="s">
        <v>21281</v>
      </c>
    </row>
    <row r="21456" customFormat="false" ht="15" hidden="false" customHeight="false" outlineLevel="0" collapsed="false">
      <c r="A21456" s="0" t="n">
        <f aca="false">_xlfn.ORG.LIBREOFFICE.WEEKNUM_OOO(DATE(1929,4,18),21)</f>
        <v>16</v>
      </c>
      <c r="B21456" s="0" t="s">
        <v>21282</v>
      </c>
    </row>
    <row r="21457" customFormat="false" ht="15" hidden="false" customHeight="false" outlineLevel="0" collapsed="false">
      <c r="A21457" s="0" t="n">
        <f aca="false">_xlfn.ORG.LIBREOFFICE.WEEKNUM_OOO(DATE(1912,12,2),17)</f>
        <v>49</v>
      </c>
      <c r="B21457" s="0" t="s">
        <v>21283</v>
      </c>
    </row>
    <row r="21458" customFormat="false" ht="15" hidden="false" customHeight="false" outlineLevel="0" collapsed="false">
      <c r="A21458" s="0" t="n">
        <f aca="false">_xlfn.ORG.LIBREOFFICE.WEEKNUM_OOO(DATE(1909,11,2),17)</f>
        <v>44</v>
      </c>
      <c r="B21458" s="0" t="s">
        <v>21284</v>
      </c>
    </row>
    <row r="21459" customFormat="false" ht="15" hidden="false" customHeight="false" outlineLevel="0" collapsed="false">
      <c r="A21459" s="0" t="n">
        <f aca="false">_xlfn.ORG.LIBREOFFICE.WEEKNUM_OOO(DATE(1921,11,28),12)</f>
        <v>48</v>
      </c>
      <c r="B21459" s="0" t="s">
        <v>21285</v>
      </c>
    </row>
    <row r="21460" customFormat="false" ht="15" hidden="false" customHeight="false" outlineLevel="0" collapsed="false">
      <c r="A21460" s="0" t="n">
        <f aca="false">_xlfn.ORG.LIBREOFFICE.WEEKNUM_OOO(DATE(2004,3,23),13)</f>
        <v>13</v>
      </c>
      <c r="B21460" s="0" t="s">
        <v>21286</v>
      </c>
    </row>
    <row r="21461" customFormat="false" ht="15" hidden="false" customHeight="false" outlineLevel="0" collapsed="false">
      <c r="A21461" s="0" t="n">
        <f aca="false">_xlfn.ORG.LIBREOFFICE.WEEKNUM_OOO(DATE(1986,8,16),12)</f>
        <v>33</v>
      </c>
      <c r="B21461" s="0" t="s">
        <v>21287</v>
      </c>
    </row>
    <row r="21462" customFormat="false" ht="15" hidden="false" customHeight="false" outlineLevel="0" collapsed="false">
      <c r="A21462" s="0" t="n">
        <f aca="false">_xlfn.ORG.LIBREOFFICE.WEEKNUM_OOO(DATE(1990,4,1),13)</f>
        <v>13</v>
      </c>
      <c r="B21462" s="0" t="s">
        <v>21288</v>
      </c>
    </row>
    <row r="21463" customFormat="false" ht="15" hidden="false" customHeight="false" outlineLevel="0" collapsed="false">
      <c r="A21463" s="0" t="n">
        <f aca="false">_xlfn.ORG.LIBREOFFICE.WEEKNUM_OOO(DATE(1962,10,14),11)</f>
        <v>41</v>
      </c>
      <c r="B21463" s="0" t="s">
        <v>21289</v>
      </c>
    </row>
    <row r="21464" customFormat="false" ht="15" hidden="false" customHeight="false" outlineLevel="0" collapsed="false">
      <c r="A21464" s="0" t="n">
        <f aca="false">_xlfn.ORG.LIBREOFFICE.WEEKNUM_OOO(DATE(1970,9,26),21)</f>
        <v>39</v>
      </c>
      <c r="B21464" s="0" t="s">
        <v>21290</v>
      </c>
    </row>
    <row r="21465" customFormat="false" ht="15" hidden="false" customHeight="false" outlineLevel="0" collapsed="false">
      <c r="A21465" s="0" t="n">
        <f aca="false">_xlfn.ORG.LIBREOFFICE.WEEKNUM_OOO(DATE(1908,9,7),16)</f>
        <v>37</v>
      </c>
      <c r="B21465" s="0" t="s">
        <v>21291</v>
      </c>
    </row>
    <row r="21466" customFormat="false" ht="15" hidden="false" customHeight="false" outlineLevel="0" collapsed="false">
      <c r="A21466" s="0" t="n">
        <f aca="false">_xlfn.ORG.LIBREOFFICE.WEEKNUM_OOO(DATE(1945,10,16),12)</f>
        <v>42</v>
      </c>
      <c r="B21466" s="0" t="s">
        <v>21292</v>
      </c>
    </row>
    <row r="21467" customFormat="false" ht="15" hidden="false" customHeight="false" outlineLevel="0" collapsed="false">
      <c r="A21467" s="0" t="n">
        <f aca="false">_xlfn.ORG.LIBREOFFICE.WEEKNUM_OOO(DATE(1917,3,5),11)</f>
        <v>10</v>
      </c>
      <c r="B21467" s="0" t="s">
        <v>21293</v>
      </c>
    </row>
    <row r="21468" customFormat="false" ht="15" hidden="false" customHeight="false" outlineLevel="0" collapsed="false">
      <c r="A21468" s="0" t="n">
        <f aca="false">_xlfn.ORG.LIBREOFFICE.WEEKNUM_OOO(DATE(1940,10,21),2)</f>
        <v>43</v>
      </c>
      <c r="B21468" s="0" t="s">
        <v>21294</v>
      </c>
    </row>
    <row r="21469" customFormat="false" ht="15" hidden="false" customHeight="false" outlineLevel="0" collapsed="false">
      <c r="A21469" s="0" t="n">
        <f aca="false">_xlfn.ORG.LIBREOFFICE.WEEKNUM_OOO(DATE(2029,7,12),15)</f>
        <v>28</v>
      </c>
      <c r="B21469" s="0" t="s">
        <v>21295</v>
      </c>
    </row>
    <row r="21470" customFormat="false" ht="15" hidden="false" customHeight="false" outlineLevel="0" collapsed="false">
      <c r="A21470" s="0" t="n">
        <f aca="false">_xlfn.ORG.LIBREOFFICE.WEEKNUM_OOO(DATE(2012,1,6),16)</f>
        <v>1</v>
      </c>
      <c r="B21470" s="0" t="s">
        <v>21296</v>
      </c>
    </row>
    <row r="21471" customFormat="false" ht="15" hidden="false" customHeight="false" outlineLevel="0" collapsed="false">
      <c r="A21471" s="0" t="n">
        <f aca="false">_xlfn.ORG.LIBREOFFICE.WEEKNUM_OOO(DATE(1929,4,4),2)</f>
        <v>14</v>
      </c>
      <c r="B21471" s="0" t="s">
        <v>21297</v>
      </c>
    </row>
    <row r="21472" customFormat="false" ht="15" hidden="false" customHeight="false" outlineLevel="0" collapsed="false">
      <c r="A21472" s="0" t="n">
        <f aca="false">_xlfn.ORG.LIBREOFFICE.WEEKNUM_OOO(DATE(2063,3,9),17)</f>
        <v>10</v>
      </c>
      <c r="B21472" s="0" t="s">
        <v>21298</v>
      </c>
    </row>
    <row r="21473" customFormat="false" ht="15" hidden="false" customHeight="false" outlineLevel="0" collapsed="false">
      <c r="A21473" s="0" t="n">
        <f aca="false">_xlfn.ORG.LIBREOFFICE.WEEKNUM_OOO(DATE(2032,8,3),2)</f>
        <v>32</v>
      </c>
      <c r="B21473" s="0" t="s">
        <v>21299</v>
      </c>
    </row>
    <row r="21474" customFormat="false" ht="15" hidden="false" customHeight="false" outlineLevel="0" collapsed="false">
      <c r="A21474" s="0" t="n">
        <f aca="false">_xlfn.ORG.LIBREOFFICE.WEEKNUM_OOO(DATE(1997,9,9),11)</f>
        <v>37</v>
      </c>
      <c r="B21474" s="0" t="s">
        <v>21300</v>
      </c>
    </row>
    <row r="21475" customFormat="false" ht="15" hidden="false" customHeight="false" outlineLevel="0" collapsed="false">
      <c r="A21475" s="0" t="n">
        <f aca="false">_xlfn.ORG.LIBREOFFICE.WEEKNUM_OOO(DATE(2044,7,5),17)</f>
        <v>27</v>
      </c>
      <c r="B21475" s="0" t="s">
        <v>21301</v>
      </c>
    </row>
    <row r="21476" customFormat="false" ht="15" hidden="false" customHeight="false" outlineLevel="0" collapsed="false">
      <c r="A21476" s="0" t="n">
        <f aca="false">_xlfn.ORG.LIBREOFFICE.WEEKNUM_OOO(DATE(1972,6,1),17)</f>
        <v>22</v>
      </c>
      <c r="B21476" s="0" t="s">
        <v>21302</v>
      </c>
    </row>
    <row r="21477" customFormat="false" ht="15" hidden="false" customHeight="false" outlineLevel="0" collapsed="false">
      <c r="A21477" s="0" t="n">
        <f aca="false">_xlfn.ORG.LIBREOFFICE.WEEKNUM_OOO(DATE(1958,8,15),17)</f>
        <v>33</v>
      </c>
      <c r="B21477" s="0" t="s">
        <v>21303</v>
      </c>
    </row>
    <row r="21478" customFormat="false" ht="15" hidden="false" customHeight="false" outlineLevel="0" collapsed="false">
      <c r="A21478" s="0" t="n">
        <f aca="false">_xlfn.ORG.LIBREOFFICE.WEEKNUM_OOO(DATE(1972,6,16),2)</f>
        <v>24</v>
      </c>
      <c r="B21478" s="0" t="s">
        <v>21304</v>
      </c>
    </row>
    <row r="21479" customFormat="false" ht="15" hidden="false" customHeight="false" outlineLevel="0" collapsed="false">
      <c r="A21479" s="0" t="n">
        <f aca="false">_xlfn.ORG.LIBREOFFICE.WEEKNUM_OOO(DATE(2043,9,24),1)</f>
        <v>38</v>
      </c>
      <c r="B21479" s="0" t="s">
        <v>21305</v>
      </c>
    </row>
    <row r="21480" customFormat="false" ht="15" hidden="false" customHeight="false" outlineLevel="0" collapsed="false">
      <c r="A21480" s="0" t="n">
        <f aca="false">_xlfn.ORG.LIBREOFFICE.WEEKNUM_OOO(DATE(2010,8,27),11)</f>
        <v>34</v>
      </c>
      <c r="B21480" s="0" t="s">
        <v>21306</v>
      </c>
    </row>
    <row r="21481" customFormat="false" ht="15" hidden="false" customHeight="false" outlineLevel="0" collapsed="false">
      <c r="A21481" s="0" t="n">
        <f aca="false">_xlfn.ORG.LIBREOFFICE.WEEKNUM_OOO(DATE(2035,10,20),15)</f>
        <v>42</v>
      </c>
      <c r="B21481" s="0" t="s">
        <v>21307</v>
      </c>
    </row>
    <row r="21482" customFormat="false" ht="15" hidden="false" customHeight="false" outlineLevel="0" collapsed="false">
      <c r="A21482" s="0" t="n">
        <f aca="false">_xlfn.ORG.LIBREOFFICE.WEEKNUM_OOO(DATE(2093,10,6),16)</f>
        <v>41</v>
      </c>
      <c r="B21482" s="0" t="s">
        <v>21308</v>
      </c>
    </row>
    <row r="21483" customFormat="false" ht="15" hidden="false" customHeight="false" outlineLevel="0" collapsed="false">
      <c r="A21483" s="0" t="n">
        <f aca="false">_xlfn.ORG.LIBREOFFICE.WEEKNUM_OOO(DATE(1908,5,27),15)</f>
        <v>22</v>
      </c>
      <c r="B21483" s="0" t="s">
        <v>21309</v>
      </c>
    </row>
    <row r="21484" customFormat="false" ht="15" hidden="false" customHeight="false" outlineLevel="0" collapsed="false">
      <c r="A21484" s="0" t="n">
        <f aca="false">_xlfn.ORG.LIBREOFFICE.WEEKNUM_OOO(DATE(2008,7,27),13)</f>
        <v>30</v>
      </c>
      <c r="B21484" s="0" t="s">
        <v>21310</v>
      </c>
    </row>
    <row r="21485" customFormat="false" ht="15" hidden="false" customHeight="false" outlineLevel="0" collapsed="false">
      <c r="A21485" s="0" t="n">
        <f aca="false">_xlfn.ORG.LIBREOFFICE.WEEKNUM_OOO(DATE(1911,7,21),15)</f>
        <v>29</v>
      </c>
      <c r="B21485" s="0" t="s">
        <v>21311</v>
      </c>
    </row>
    <row r="21486" customFormat="false" ht="15" hidden="false" customHeight="false" outlineLevel="0" collapsed="false">
      <c r="A21486" s="0" t="n">
        <f aca="false">_xlfn.ORG.LIBREOFFICE.WEEKNUM_OOO(DATE(2089,7,27),1)</f>
        <v>30</v>
      </c>
      <c r="B21486" s="0" t="s">
        <v>21312</v>
      </c>
    </row>
    <row r="21487" customFormat="false" ht="15" hidden="false" customHeight="false" outlineLevel="0" collapsed="false">
      <c r="A21487" s="0" t="n">
        <f aca="false">_xlfn.ORG.LIBREOFFICE.WEEKNUM_OOO(DATE(2049,5,18),16)</f>
        <v>20</v>
      </c>
      <c r="B21487" s="0" t="s">
        <v>21313</v>
      </c>
    </row>
    <row r="21488" customFormat="false" ht="15" hidden="false" customHeight="false" outlineLevel="0" collapsed="false">
      <c r="A21488" s="0" t="n">
        <f aca="false">_xlfn.ORG.LIBREOFFICE.WEEKNUM_OOO(DATE(1957,2,1),12)</f>
        <v>5</v>
      </c>
      <c r="B21488" s="0" t="s">
        <v>21314</v>
      </c>
    </row>
    <row r="21489" customFormat="false" ht="15" hidden="false" customHeight="false" outlineLevel="0" collapsed="false">
      <c r="A21489" s="0" t="n">
        <f aca="false">_xlfn.ORG.LIBREOFFICE.WEEKNUM_OOO(DATE(2023,4,18),1)</f>
        <v>16</v>
      </c>
      <c r="B21489" s="0" t="s">
        <v>21315</v>
      </c>
    </row>
    <row r="21490" customFormat="false" ht="15" hidden="false" customHeight="false" outlineLevel="0" collapsed="false">
      <c r="A21490" s="0" t="n">
        <f aca="false">_xlfn.ORG.LIBREOFFICE.WEEKNUM_OOO(DATE(1998,10,7),2)</f>
        <v>41</v>
      </c>
      <c r="B21490" s="0" t="s">
        <v>21316</v>
      </c>
    </row>
    <row r="21491" customFormat="false" ht="15" hidden="false" customHeight="false" outlineLevel="0" collapsed="false">
      <c r="A21491" s="0" t="n">
        <f aca="false">_xlfn.ORG.LIBREOFFICE.WEEKNUM_OOO(DATE(1986,7,3),16)</f>
        <v>27</v>
      </c>
      <c r="B21491" s="0" t="s">
        <v>21317</v>
      </c>
    </row>
    <row r="21492" customFormat="false" ht="15" hidden="false" customHeight="false" outlineLevel="0" collapsed="false">
      <c r="A21492" s="0" t="n">
        <f aca="false">_xlfn.ORG.LIBREOFFICE.WEEKNUM_OOO(DATE(1958,5,5),21)</f>
        <v>19</v>
      </c>
      <c r="B21492" s="0" t="s">
        <v>21318</v>
      </c>
    </row>
    <row r="21493" customFormat="false" ht="15" hidden="false" customHeight="false" outlineLevel="0" collapsed="false">
      <c r="A21493" s="0" t="n">
        <f aca="false">_xlfn.ORG.LIBREOFFICE.WEEKNUM_OOO(DATE(1963,8,27),16)</f>
        <v>35</v>
      </c>
      <c r="B21493" s="0" t="s">
        <v>21319</v>
      </c>
    </row>
    <row r="21494" customFormat="false" ht="15" hidden="false" customHeight="false" outlineLevel="0" collapsed="false">
      <c r="A21494" s="0" t="n">
        <f aca="false">_xlfn.ORG.LIBREOFFICE.WEEKNUM_OOO(DATE(2080,3,11),15)</f>
        <v>11</v>
      </c>
      <c r="B21494" s="0" t="s">
        <v>21320</v>
      </c>
    </row>
    <row r="21495" customFormat="false" ht="15" hidden="false" customHeight="false" outlineLevel="0" collapsed="false">
      <c r="A21495" s="0" t="n">
        <f aca="false">_xlfn.ORG.LIBREOFFICE.WEEKNUM_OOO(DATE(2007,12,20),13)</f>
        <v>51</v>
      </c>
      <c r="B21495" s="0" t="s">
        <v>21321</v>
      </c>
    </row>
    <row r="21496" customFormat="false" ht="15" hidden="false" customHeight="false" outlineLevel="0" collapsed="false">
      <c r="A21496" s="0" t="n">
        <f aca="false">_xlfn.ORG.LIBREOFFICE.WEEKNUM_OOO(DATE(1910,2,9),14)</f>
        <v>6</v>
      </c>
      <c r="B21496" s="0" t="s">
        <v>21322</v>
      </c>
    </row>
    <row r="21497" customFormat="false" ht="15" hidden="false" customHeight="false" outlineLevel="0" collapsed="false">
      <c r="A21497" s="0" t="n">
        <f aca="false">_xlfn.ORG.LIBREOFFICE.WEEKNUM_OOO(DATE(1905,10,3),14)</f>
        <v>40</v>
      </c>
      <c r="B21497" s="0" t="s">
        <v>21323</v>
      </c>
    </row>
    <row r="21498" customFormat="false" ht="15" hidden="false" customHeight="false" outlineLevel="0" collapsed="false">
      <c r="A21498" s="0" t="n">
        <f aca="false">_xlfn.ORG.LIBREOFFICE.WEEKNUM_OOO(DATE(2013,6,5),12)</f>
        <v>23</v>
      </c>
      <c r="B21498" s="0" t="s">
        <v>21324</v>
      </c>
    </row>
    <row r="21499" customFormat="false" ht="15" hidden="false" customHeight="false" outlineLevel="0" collapsed="false">
      <c r="A21499" s="0" t="n">
        <f aca="false">_xlfn.ORG.LIBREOFFICE.WEEKNUM_OOO(DATE(1924,7,12),1)</f>
        <v>28</v>
      </c>
      <c r="B21499" s="0" t="s">
        <v>21325</v>
      </c>
    </row>
    <row r="21500" customFormat="false" ht="15" hidden="false" customHeight="false" outlineLevel="0" collapsed="false">
      <c r="A21500" s="0" t="n">
        <f aca="false">_xlfn.ORG.LIBREOFFICE.WEEKNUM_OOO(DATE(2097,3,6),1)</f>
        <v>10</v>
      </c>
      <c r="B21500" s="0" t="s">
        <v>21326</v>
      </c>
    </row>
    <row r="21501" customFormat="false" ht="15" hidden="false" customHeight="false" outlineLevel="0" collapsed="false">
      <c r="A21501" s="0" t="n">
        <f aca="false">_xlfn.ORG.LIBREOFFICE.WEEKNUM_OOO(DATE(1927,2,16),13)</f>
        <v>7</v>
      </c>
      <c r="B21501" s="0" t="s">
        <v>21327</v>
      </c>
    </row>
    <row r="21502" customFormat="false" ht="15" hidden="false" customHeight="false" outlineLevel="0" collapsed="false">
      <c r="A21502" s="0" t="n">
        <f aca="false">_xlfn.ORG.LIBREOFFICE.WEEKNUM_OOO(DATE(2096,1,24),14)</f>
        <v>4</v>
      </c>
      <c r="B21502" s="0" t="s">
        <v>21328</v>
      </c>
    </row>
    <row r="21503" customFormat="false" ht="15" hidden="false" customHeight="false" outlineLevel="0" collapsed="false">
      <c r="A21503" s="0" t="n">
        <f aca="false">_xlfn.ORG.LIBREOFFICE.WEEKNUM_OOO(DATE(1926,3,4),12)</f>
        <v>9</v>
      </c>
      <c r="B21503" s="0" t="s">
        <v>21329</v>
      </c>
    </row>
    <row r="21504" customFormat="false" ht="15" hidden="false" customHeight="false" outlineLevel="0" collapsed="false">
      <c r="A21504" s="0" t="n">
        <f aca="false">_xlfn.ORG.LIBREOFFICE.WEEKNUM_OOO(DATE(2091,6,10),2)</f>
        <v>23</v>
      </c>
      <c r="B21504" s="0" t="s">
        <v>21330</v>
      </c>
    </row>
    <row r="21505" customFormat="false" ht="15" hidden="false" customHeight="false" outlineLevel="0" collapsed="false">
      <c r="A21505" s="0" t="n">
        <f aca="false">_xlfn.ORG.LIBREOFFICE.WEEKNUM_OOO(DATE(2062,12,8),13)</f>
        <v>49</v>
      </c>
      <c r="B21505" s="0" t="s">
        <v>21331</v>
      </c>
    </row>
    <row r="21506" customFormat="false" ht="15" hidden="false" customHeight="false" outlineLevel="0" collapsed="false">
      <c r="A21506" s="0" t="n">
        <f aca="false">_xlfn.ORG.LIBREOFFICE.WEEKNUM_OOO(DATE(1965,1,18),21)</f>
        <v>3</v>
      </c>
      <c r="B21506" s="0" t="s">
        <v>21332</v>
      </c>
    </row>
    <row r="21507" customFormat="false" ht="15" hidden="false" customHeight="false" outlineLevel="0" collapsed="false">
      <c r="A21507" s="0" t="n">
        <f aca="false">_xlfn.ORG.LIBREOFFICE.WEEKNUM_OOO(DATE(2047,11,9),11)</f>
        <v>45</v>
      </c>
      <c r="B21507" s="0" t="s">
        <v>21333</v>
      </c>
    </row>
    <row r="21508" customFormat="false" ht="15" hidden="false" customHeight="false" outlineLevel="0" collapsed="false">
      <c r="A21508" s="0" t="n">
        <f aca="false">_xlfn.ORG.LIBREOFFICE.WEEKNUM_OOO(DATE(1907,8,5),2)</f>
        <v>32</v>
      </c>
      <c r="B21508" s="0" t="s">
        <v>21334</v>
      </c>
    </row>
    <row r="21509" customFormat="false" ht="15" hidden="false" customHeight="false" outlineLevel="0" collapsed="false">
      <c r="A21509" s="0" t="n">
        <f aca="false">_xlfn.ORG.LIBREOFFICE.WEEKNUM_OOO(DATE(2055,1,7),13)</f>
        <v>1</v>
      </c>
      <c r="B21509" s="0" t="s">
        <v>21335</v>
      </c>
    </row>
    <row r="21510" customFormat="false" ht="15" hidden="false" customHeight="false" outlineLevel="0" collapsed="false">
      <c r="A21510" s="0" t="n">
        <f aca="false">_xlfn.ORG.LIBREOFFICE.WEEKNUM_OOO(DATE(2006,3,25),2)</f>
        <v>12</v>
      </c>
      <c r="B21510" s="0" t="s">
        <v>21336</v>
      </c>
    </row>
    <row r="21511" customFormat="false" ht="15" hidden="false" customHeight="false" outlineLevel="0" collapsed="false">
      <c r="A21511" s="0" t="n">
        <f aca="false">_xlfn.ORG.LIBREOFFICE.WEEKNUM_OOO(DATE(2034,7,14),17)</f>
        <v>28</v>
      </c>
      <c r="B21511" s="0" t="s">
        <v>21337</v>
      </c>
    </row>
    <row r="21512" customFormat="false" ht="15" hidden="false" customHeight="false" outlineLevel="0" collapsed="false">
      <c r="A21512" s="0" t="n">
        <f aca="false">_xlfn.ORG.LIBREOFFICE.WEEKNUM_OOO(DATE(2028,9,8),16)</f>
        <v>36</v>
      </c>
      <c r="B21512" s="0" t="s">
        <v>21338</v>
      </c>
    </row>
    <row r="21513" customFormat="false" ht="15" hidden="false" customHeight="false" outlineLevel="0" collapsed="false">
      <c r="A21513" s="0" t="n">
        <f aca="false">RANDBETWEEN(1.2,1.9)</f>
        <v>2</v>
      </c>
      <c r="B21513" s="0" t="s">
        <v>21339</v>
      </c>
    </row>
    <row r="21514" customFormat="false" ht="15" hidden="false" customHeight="false" outlineLevel="0" collapsed="false">
      <c r="A21514" s="0" t="n">
        <f aca="false">RANDBETWEEN(1.5,1.5)</f>
        <v>2</v>
      </c>
      <c r="B21514" s="0" t="s">
        <v>21340</v>
      </c>
    </row>
    <row r="21515" customFormat="false" ht="15" hidden="false" customHeight="false" outlineLevel="0" collapsed="false">
      <c r="A21515" s="0" t="n">
        <f aca="false">RANDBETWEEN(-1.5,-1.5)</f>
        <v>-2</v>
      </c>
      <c r="B21515" s="0" t="s">
        <v>21341</v>
      </c>
    </row>
    <row r="21516" customFormat="false" ht="15" hidden="false" customHeight="false" outlineLevel="0" collapsed="false">
      <c r="A21516" s="0" t="n">
        <f aca="false">RANDBETWEEN(-1.2,-1.9)</f>
        <v>-2</v>
      </c>
      <c r="B21516" s="0" t="s">
        <v>21342</v>
      </c>
    </row>
    <row r="21517" customFormat="false" ht="15" hidden="false" customHeight="false" outlineLevel="0" collapsed="false">
      <c r="A21517" s="0" t="n">
        <f aca="false">RANDBETWEEN(0.2,0.9)</f>
        <v>1</v>
      </c>
      <c r="B21517" s="0" t="s">
        <v>21343</v>
      </c>
    </row>
    <row r="21518" customFormat="false" ht="15" hidden="false" customHeight="false" outlineLevel="0" collapsed="false">
      <c r="A21518" s="0" t="n">
        <f aca="false">RANDBETWEEN(0.2,0.4)</f>
        <v>1</v>
      </c>
      <c r="B21518" s="0" t="s">
        <v>21344</v>
      </c>
    </row>
    <row r="21519" customFormat="false" ht="15" hidden="false" customHeight="false" outlineLevel="0" collapsed="false">
      <c r="A21519" s="0" t="n">
        <f aca="false">RANDBETWEEN(1.9,1.2)</f>
        <v>2</v>
      </c>
      <c r="B21519" s="0" t="s">
        <v>21345</v>
      </c>
    </row>
    <row r="21520" customFormat="false" ht="15" hidden="false" customHeight="false" outlineLevel="0" collapsed="false">
      <c r="A21520" s="0" t="n">
        <f aca="false">RANDBETWEEN(-1.9,-1.2)</f>
        <v>-2</v>
      </c>
      <c r="B21520" s="0" t="s">
        <v>21346</v>
      </c>
    </row>
    <row r="21521" customFormat="false" ht="15" hidden="false" customHeight="false" outlineLevel="0" collapsed="false">
      <c r="A21521" s="0" t="n">
        <f aca="false">RANDBETWEEN(2.5,2.4)</f>
        <v>3</v>
      </c>
      <c r="B21521" s="0" t="s">
        <v>21347</v>
      </c>
    </row>
    <row r="21522" customFormat="false" ht="15" hidden="false" customHeight="false" outlineLevel="0" collapsed="false">
      <c r="A21522" s="0" t="n">
        <f aca="false">RANDBETWEEN(0,0)</f>
        <v>0</v>
      </c>
      <c r="B21522" s="0" t="s">
        <v>21348</v>
      </c>
    </row>
    <row r="21523" customFormat="false" ht="15" hidden="false" customHeight="false" outlineLevel="0" collapsed="false">
      <c r="A21523" s="0" t="n">
        <f aca="false">RANDBETWEEN(-0.5,-0.5)</f>
        <v>-1</v>
      </c>
      <c r="B21523" s="0" t="s">
        <v>21349</v>
      </c>
    </row>
    <row r="21524" customFormat="false" ht="15" hidden="false" customHeight="false" outlineLevel="0" collapsed="false">
      <c r="A21524" s="0" t="n">
        <f aca="false">RANDBETWEEN(7,7)</f>
        <v>7</v>
      </c>
      <c r="B21524" s="0" t="s">
        <v>21350</v>
      </c>
    </row>
    <row r="21525" customFormat="false" ht="15" hidden="false" customHeight="false" outlineLevel="0" collapsed="false">
      <c r="A21525" s="0" t="n">
        <f aca="false">RANDBETWEEN(1000,1000)</f>
        <v>1000</v>
      </c>
      <c r="B21525" s="0" t="s">
        <v>21351</v>
      </c>
    </row>
    <row r="21526" customFormat="false" ht="15" hidden="false" customHeight="false" outlineLevel="0" collapsed="false">
      <c r="A21526" s="0" t="n">
        <f aca="false">RANDBETWEEN(1.2,1.2)</f>
        <v>2</v>
      </c>
      <c r="B21526" s="0" t="s">
        <v>21352</v>
      </c>
    </row>
    <row r="21527" customFormat="false" ht="15" hidden="false" customHeight="false" outlineLevel="0" collapsed="false">
      <c r="A21527" s="0" t="n">
        <f aca="false">RANDBETWEEN(TRUE(),TRUE())</f>
        <v>1</v>
      </c>
      <c r="B21527" s="0" t="s">
        <v>21353</v>
      </c>
    </row>
    <row r="21528" customFormat="false" ht="15" hidden="false" customHeight="false" outlineLevel="0" collapsed="false">
      <c r="A21528" s="0" t="e">
        <f aca="false">RANDBETWEEN(-1,-2)</f>
        <v>#VALUE!</v>
      </c>
      <c r="B21528" s="0" t="s">
        <v>21354</v>
      </c>
    </row>
    <row r="21529" customFormat="false" ht="15" hidden="false" customHeight="false" outlineLevel="0" collapsed="false">
      <c r="A21529" s="2" t="b">
        <f aca="false">AND(RANDBETWEEN(1.2,2.9)&gt;=INT(1.2),RANDBETWEEN(1.2,2.9)&lt;=INT(2.9)+1)</f>
        <v>1</v>
      </c>
      <c r="B21529" s="0" t="s">
        <v>21355</v>
      </c>
    </row>
    <row r="21530" customFormat="false" ht="15" hidden="false" customHeight="false" outlineLevel="0" collapsed="false">
      <c r="A21530" s="2" t="b">
        <f aca="false">AND(RANDBETWEEN(2.5,3.5)&gt;=INT(2.5),RANDBETWEEN(2.5,3.5)&lt;=INT(3.5)+1)</f>
        <v>1</v>
      </c>
      <c r="B21530" s="0" t="s">
        <v>21356</v>
      </c>
    </row>
    <row r="21531" customFormat="false" ht="15" hidden="false" customHeight="false" outlineLevel="0" collapsed="false">
      <c r="A21531" s="2" t="b">
        <f aca="false">AND(RANDBETWEEN(-0.5,0.5)&gt;=INT(-0.5),RANDBETWEEN(-0.5,0.5)&lt;=INT(0.5)+1)</f>
        <v>1</v>
      </c>
      <c r="B21531" s="0" t="s">
        <v>21357</v>
      </c>
    </row>
    <row r="21532" customFormat="false" ht="15" hidden="false" customHeight="false" outlineLevel="0" collapsed="false">
      <c r="A21532" s="2" t="b">
        <f aca="false">AND(RANDBETWEEN(1,1.99)&gt;=INT(1),RANDBETWEEN(1,1.99)&lt;=INT(1.99)+1)</f>
        <v>1</v>
      </c>
      <c r="B21532" s="0" t="s">
        <v>21358</v>
      </c>
    </row>
    <row r="21533" customFormat="false" ht="15" hidden="false" customHeight="false" outlineLevel="0" collapsed="false">
      <c r="A21533" s="2" t="b">
        <f aca="false">AND(RANDBETWEEN(0.2,0.9)&gt;=INT(0.2),RANDBETWEEN(0.2,0.9)&lt;=INT(0.9)+1)</f>
        <v>1</v>
      </c>
      <c r="B21533" s="0" t="s">
        <v>21359</v>
      </c>
    </row>
    <row r="21534" customFormat="false" ht="15" hidden="false" customHeight="false" outlineLevel="0" collapsed="false">
      <c r="A21534" s="2" t="b">
        <f aca="false">AND(RANDBETWEEN(-7,3.5)&gt;=INT(-7),RANDBETWEEN(-7,3.5)&lt;=INT(3.5)+1)</f>
        <v>1</v>
      </c>
      <c r="B21534" s="0" t="s">
        <v>21360</v>
      </c>
    </row>
    <row r="21535" customFormat="false" ht="15" hidden="false" customHeight="false" outlineLevel="0" collapsed="false">
      <c r="A21535" s="0" t="n">
        <f aca="false">_xlfn.ORG.LIBREOFFICE.RANDBETWEEN.NV(1.2,1.9)</f>
        <v>2</v>
      </c>
      <c r="B21535" s="0" t="s">
        <v>21273</v>
      </c>
    </row>
    <row r="21536" customFormat="false" ht="15" hidden="false" customHeight="false" outlineLevel="0" collapsed="false">
      <c r="A21536" s="0" t="n">
        <f aca="false">_xlfn.ORG.LIBREOFFICE.RANDBETWEEN.NV(1.5,1.5)</f>
        <v>2</v>
      </c>
      <c r="B21536" s="0" t="s">
        <v>21361</v>
      </c>
    </row>
    <row r="21537" customFormat="false" ht="15" hidden="false" customHeight="false" outlineLevel="0" collapsed="false">
      <c r="A21537" s="0" t="n">
        <f aca="false">_xlfn.ORG.LIBREOFFICE.RANDBETWEEN.NV(-1.5,-1.5)</f>
        <v>-2</v>
      </c>
      <c r="B21537" s="0" t="s">
        <v>21362</v>
      </c>
    </row>
    <row r="21538" customFormat="false" ht="15" hidden="false" customHeight="false" outlineLevel="0" collapsed="false">
      <c r="A21538" s="0" t="n">
        <f aca="false">_xlfn.ORG.LIBREOFFICE.RANDBETWEEN.NV(-1.2,-1.9)</f>
        <v>-2</v>
      </c>
      <c r="B21538" s="0" t="s">
        <v>21363</v>
      </c>
    </row>
    <row r="21539" customFormat="false" ht="15" hidden="false" customHeight="false" outlineLevel="0" collapsed="false">
      <c r="A21539" s="0" t="n">
        <f aca="false">_xlfn.ORG.LIBREOFFICE.RANDBETWEEN.NV(0.2,0.9)</f>
        <v>1</v>
      </c>
      <c r="B21539" s="0" t="s">
        <v>21364</v>
      </c>
    </row>
    <row r="21540" customFormat="false" ht="15" hidden="false" customHeight="false" outlineLevel="0" collapsed="false">
      <c r="A21540" s="0" t="n">
        <f aca="false">_xlfn.ORG.LIBREOFFICE.RANDBETWEEN.NV(0.2,0.4)</f>
        <v>1</v>
      </c>
      <c r="B21540" s="0" t="s">
        <v>21365</v>
      </c>
    </row>
    <row r="21541" customFormat="false" ht="15" hidden="false" customHeight="false" outlineLevel="0" collapsed="false">
      <c r="A21541" s="0" t="n">
        <f aca="false">_xlfn.ORG.LIBREOFFICE.RANDBETWEEN.NV(1.9,1.2)</f>
        <v>2</v>
      </c>
      <c r="B21541" s="0" t="s">
        <v>21366</v>
      </c>
    </row>
    <row r="21542" customFormat="false" ht="15" hidden="false" customHeight="false" outlineLevel="0" collapsed="false">
      <c r="A21542" s="0" t="n">
        <f aca="false">_xlfn.ORG.LIBREOFFICE.RANDBETWEEN.NV(-1.9,-1.2)</f>
        <v>-2</v>
      </c>
      <c r="B21542" s="0" t="s">
        <v>21367</v>
      </c>
    </row>
    <row r="21543" customFormat="false" ht="15" hidden="false" customHeight="false" outlineLevel="0" collapsed="false">
      <c r="A21543" s="0" t="n">
        <f aca="false">_xlfn.ORG.LIBREOFFICE.RANDBETWEEN.NV(2.5,2.4)</f>
        <v>3</v>
      </c>
      <c r="B21543" s="0" t="s">
        <v>21368</v>
      </c>
    </row>
    <row r="21544" customFormat="false" ht="15" hidden="false" customHeight="false" outlineLevel="0" collapsed="false">
      <c r="A21544" s="0" t="n">
        <f aca="false">_xlfn.ORG.LIBREOFFICE.RANDBETWEEN.NV(0,0)</f>
        <v>0</v>
      </c>
      <c r="B21544" s="0" t="s">
        <v>21369</v>
      </c>
    </row>
    <row r="21545" customFormat="false" ht="15" hidden="false" customHeight="false" outlineLevel="0" collapsed="false">
      <c r="A21545" s="0" t="n">
        <f aca="false">_xlfn.ORG.LIBREOFFICE.RANDBETWEEN.NV(-0.5,-0.5)</f>
        <v>-1</v>
      </c>
      <c r="B21545" s="0" t="s">
        <v>21370</v>
      </c>
    </row>
    <row r="21546" customFormat="false" ht="15" hidden="false" customHeight="false" outlineLevel="0" collapsed="false">
      <c r="A21546" s="0" t="n">
        <f aca="false">_xlfn.ORG.LIBREOFFICE.RANDBETWEEN.NV(7,7)</f>
        <v>7</v>
      </c>
      <c r="B21546" s="0" t="s">
        <v>21371</v>
      </c>
    </row>
    <row r="21547" customFormat="false" ht="15" hidden="false" customHeight="false" outlineLevel="0" collapsed="false">
      <c r="A21547" s="0" t="n">
        <f aca="false">_xlfn.ORG.LIBREOFFICE.RANDBETWEEN.NV(1000,1000)</f>
        <v>1000</v>
      </c>
      <c r="B21547" s="0" t="s">
        <v>21372</v>
      </c>
    </row>
    <row r="21548" customFormat="false" ht="15" hidden="false" customHeight="false" outlineLevel="0" collapsed="false">
      <c r="A21548" s="0" t="n">
        <f aca="false">_xlfn.ORG.LIBREOFFICE.RANDBETWEEN.NV(1.2,1.2)</f>
        <v>2</v>
      </c>
      <c r="B21548" s="0" t="s">
        <v>21373</v>
      </c>
    </row>
    <row r="21549" customFormat="false" ht="15" hidden="false" customHeight="false" outlineLevel="0" collapsed="false">
      <c r="A21549" s="0" t="n">
        <f aca="false">_xlfn.ORG.LIBREOFFICE.RANDBETWEEN.NV(TRUE(),TRUE())</f>
        <v>1</v>
      </c>
      <c r="B21549" s="0" t="s">
        <v>21374</v>
      </c>
    </row>
    <row r="21550" customFormat="false" ht="15" hidden="false" customHeight="false" outlineLevel="0" collapsed="false">
      <c r="A21550" s="0" t="e">
        <f aca="false">_xlfn.ORG.LIBREOFFICE.RANDBETWEEN.NV(-1,-2)</f>
        <v>#VALUE!</v>
      </c>
      <c r="B21550" s="0" t="s">
        <v>21375</v>
      </c>
    </row>
    <row r="21551" customFormat="false" ht="15" hidden="false" customHeight="false" outlineLevel="0" collapsed="false">
      <c r="A21551" s="2" t="b">
        <f aca="false">AND(_xlfn.ORG.LIBREOFFICE.RANDBETWEEN.NV(1.2,2.9)&gt;=INT(1.2),_xlfn.ORG.LIBREOFFICE.RANDBETWEEN.NV(1.2,2.9)&lt;=INT(2.9)+1)</f>
        <v>1</v>
      </c>
      <c r="B21551" s="0" t="s">
        <v>21376</v>
      </c>
    </row>
    <row r="21552" customFormat="false" ht="15" hidden="false" customHeight="false" outlineLevel="0" collapsed="false">
      <c r="A21552" s="2" t="b">
        <f aca="false">AND(_xlfn.ORG.LIBREOFFICE.RANDBETWEEN.NV(2.5,3.5)&gt;=INT(2.5),_xlfn.ORG.LIBREOFFICE.RANDBETWEEN.NV(2.5,3.5)&lt;=INT(3.5)+1)</f>
        <v>1</v>
      </c>
      <c r="B21552" s="0" t="s">
        <v>21377</v>
      </c>
    </row>
    <row r="21553" customFormat="false" ht="15" hidden="false" customHeight="false" outlineLevel="0" collapsed="false">
      <c r="A21553" s="2" t="b">
        <f aca="false">AND(_xlfn.ORG.LIBREOFFICE.RANDBETWEEN.NV(-0.5,0.5)&gt;=INT(-0.5),_xlfn.ORG.LIBREOFFICE.RANDBETWEEN.NV(-0.5,0.5)&lt;=INT(0.5)+1)</f>
        <v>1</v>
      </c>
      <c r="B21553" s="0" t="s">
        <v>21378</v>
      </c>
    </row>
    <row r="21554" customFormat="false" ht="15" hidden="false" customHeight="false" outlineLevel="0" collapsed="false">
      <c r="A21554" s="2" t="b">
        <f aca="false">AND(_xlfn.ORG.LIBREOFFICE.RANDBETWEEN.NV(1,1.99)&gt;=INT(1),_xlfn.ORG.LIBREOFFICE.RANDBETWEEN.NV(1,1.99)&lt;=INT(1.99)+1)</f>
        <v>1</v>
      </c>
      <c r="B21554" s="0" t="s">
        <v>21379</v>
      </c>
    </row>
    <row r="21555" customFormat="false" ht="15" hidden="false" customHeight="false" outlineLevel="0" collapsed="false">
      <c r="A21555" s="2" t="b">
        <f aca="false">AND(_xlfn.ORG.LIBREOFFICE.RANDBETWEEN.NV(0.2,0.9)&gt;=INT(0.2),_xlfn.ORG.LIBREOFFICE.RANDBETWEEN.NV(0.2,0.9)&lt;=INT(0.9)+1)</f>
        <v>1</v>
      </c>
      <c r="B21555" s="0" t="s">
        <v>21380</v>
      </c>
    </row>
    <row r="21556" customFormat="false" ht="15" hidden="false" customHeight="false" outlineLevel="0" collapsed="false">
      <c r="A21556" s="2" t="b">
        <f aca="false">AND(_xlfn.ORG.LIBREOFFICE.RANDBETWEEN.NV(-7,3.5)&gt;=INT(-7),_xlfn.ORG.LIBREOFFICE.RANDBETWEEN.NV(-7,3.5)&lt;=INT(3.5)+1)</f>
        <v>1</v>
      </c>
      <c r="B21556" s="0" t="s">
        <v>21381</v>
      </c>
    </row>
    <row r="21557" customFormat="false" ht="15" hidden="false" customHeight="false" outlineLevel="0" collapsed="false">
      <c r="A21557" s="0" t="n">
        <f aca="false">_xlfn.ORG.LIBREOFFICE.COLOR(255,0,0)</f>
        <v>16711680</v>
      </c>
      <c r="B21557" s="0" t="s">
        <v>21382</v>
      </c>
    </row>
    <row r="21558" customFormat="false" ht="15" hidden="false" customHeight="false" outlineLevel="0" collapsed="false">
      <c r="A21558" s="0" t="n">
        <f aca="false">_xlfn.ORG.LIBREOFFICE.COLOR(0,255,0)</f>
        <v>65280</v>
      </c>
      <c r="B21558" s="0" t="s">
        <v>21383</v>
      </c>
    </row>
    <row r="21559" customFormat="false" ht="15" hidden="false" customHeight="false" outlineLevel="0" collapsed="false">
      <c r="A21559" s="0" t="n">
        <f aca="false">_xlfn.ORG.LIBREOFFICE.COLOR(0,0,255)</f>
        <v>255</v>
      </c>
      <c r="B21559" s="0" t="s">
        <v>21384</v>
      </c>
    </row>
    <row r="21560" customFormat="false" ht="15" hidden="false" customHeight="false" outlineLevel="0" collapsed="false">
      <c r="A21560" s="0" t="n">
        <f aca="false">_xlfn.ORG.LIBREOFFICE.COLOR(1,2,3)</f>
        <v>66051</v>
      </c>
      <c r="B21560" s="0" t="s">
        <v>21385</v>
      </c>
    </row>
    <row r="21561" customFormat="false" ht="15" hidden="false" customHeight="false" outlineLevel="0" collapsed="false">
      <c r="A21561" s="0" t="n">
        <f aca="false">_xlfn.ORG.LIBREOFFICE.COLOR(1,2,3,4)</f>
        <v>67174915</v>
      </c>
      <c r="B21561" s="0" t="s">
        <v>21386</v>
      </c>
    </row>
    <row r="21562" customFormat="false" ht="15" hidden="false" customHeight="false" outlineLevel="0" collapsed="false">
      <c r="A21562" s="0" t="n">
        <f aca="false">_xlfn.ORG.LIBREOFFICE.COLOR(255,255,255,255)</f>
        <v>4294967295</v>
      </c>
      <c r="B21562" s="0" t="s">
        <v>21387</v>
      </c>
    </row>
    <row r="21563" customFormat="false" ht="15" hidden="false" customHeight="false" outlineLevel="0" collapsed="false">
      <c r="A21563" s="0" t="e">
        <f aca="false">_xlfn.ORG.LIBREOFFICE.COLOR(256,0,0)</f>
        <v>#VALUE!</v>
      </c>
      <c r="B21563" s="0" t="s">
        <v>21388</v>
      </c>
    </row>
    <row r="21564" customFormat="false" ht="15" hidden="false" customHeight="false" outlineLevel="0" collapsed="false">
      <c r="A21564" s="0" t="e">
        <f aca="false">_xlfn.ORG.LIBREOFFICE.COLOR(0,256,0)</f>
        <v>#VALUE!</v>
      </c>
      <c r="B21564" s="0" t="s">
        <v>21389</v>
      </c>
    </row>
    <row r="21565" customFormat="false" ht="15" hidden="false" customHeight="false" outlineLevel="0" collapsed="false">
      <c r="A21565" s="0" t="e">
        <f aca="false">_xlfn.ORG.LIBREOFFICE.COLOR(0,0,256)</f>
        <v>#VALUE!</v>
      </c>
      <c r="B21565" s="0" t="s">
        <v>21390</v>
      </c>
    </row>
    <row r="21566" customFormat="false" ht="15" hidden="false" customHeight="false" outlineLevel="0" collapsed="false">
      <c r="A21566" s="0" t="e">
        <f aca="false">_xlfn.ORG.LIBREOFFICE.COLOR(0,0,0,256)</f>
        <v>#VALUE!</v>
      </c>
      <c r="B21566" s="0" t="s">
        <v>21391</v>
      </c>
    </row>
    <row r="21567" customFormat="false" ht="15" hidden="false" customHeight="false" outlineLevel="0" collapsed="false">
      <c r="A21567" s="0" t="e">
        <f aca="false">_xlfn.ORG.LIBREOFFICE.COLOR(-1,0,0)</f>
        <v>#VALUE!</v>
      </c>
      <c r="B21567" s="0" t="s">
        <v>21392</v>
      </c>
    </row>
    <row r="21568" customFormat="false" ht="15" hidden="false" customHeight="false" outlineLevel="0" collapsed="false">
      <c r="A21568" s="0" t="e">
        <f aca="false">_xlfn.ORG.LIBREOFFICE.COLOR(-0.5,0,0)</f>
        <v>#VALUE!</v>
      </c>
      <c r="B21568" s="0" t="s">
        <v>21393</v>
      </c>
    </row>
    <row r="21569" customFormat="false" ht="15" hidden="false" customHeight="false" outlineLevel="0" collapsed="false">
      <c r="A21569" s="0" t="n">
        <f aca="false">_xlfn.ORG.LIBREOFFICE.COLOR(1.9,2.9,3.9)</f>
        <v>66051</v>
      </c>
      <c r="B21569" s="0" t="s">
        <v>21394</v>
      </c>
    </row>
    <row r="21570" customFormat="false" ht="15" hidden="false" customHeight="false" outlineLevel="0" collapsed="false">
      <c r="A21570" s="0" t="n">
        <f aca="false">_xlfn.ORG.LIBREOFFICE.COLOR(255.9,0,0)</f>
        <v>16711680</v>
      </c>
      <c r="B21570" s="0" t="s">
        <v>21395</v>
      </c>
    </row>
    <row r="21571" customFormat="false" ht="15" hidden="false" customHeight="false" outlineLevel="0" collapsed="false">
      <c r="A21571" s="0" t="n">
        <f aca="false">_xlfn.ORG.LIBREOFFICE.COLOR("1",2,3)</f>
        <v>66051</v>
      </c>
      <c r="B21571" s="0" t="s">
        <v>21396</v>
      </c>
    </row>
    <row r="21572" customFormat="false" ht="15" hidden="false" customHeight="false" outlineLevel="0" collapsed="false">
      <c r="A21572" s="0" t="e">
        <f aca="false">_xlfn.ORG.LIBREOFFICE.COLOR("x",2,3)</f>
        <v>#VALUE!</v>
      </c>
      <c r="B21572" s="0" t="s">
        <v>21397</v>
      </c>
    </row>
    <row r="21573" customFormat="false" ht="15" hidden="false" customHeight="false" outlineLevel="0" collapsed="false">
      <c r="A21573" s="0" t="n">
        <f aca="false">_xlfn.ORG.LIBREOFFICE.COLOR(TRUE(),FALSE(),TRUE())</f>
        <v>65537</v>
      </c>
      <c r="B21573" s="0" t="s">
        <v>21398</v>
      </c>
    </row>
    <row r="21574" customFormat="false" ht="15" hidden="false" customHeight="false" outlineLevel="0" collapsed="false">
      <c r="A21574" s="0" t="e">
        <f aca="false">_xlfn.ORG.LIBREOFFICE.COLOR(1/0,2,3)</f>
        <v>#DIV/0!</v>
      </c>
      <c r="B21574" s="0" t="s">
        <v>21399</v>
      </c>
    </row>
    <row r="21575" customFormat="false" ht="15" hidden="false" customHeight="false" outlineLevel="0" collapsed="false">
      <c r="A21575" s="0" t="e">
        <f aca="false">_xlfn.ORG.LIBREOFFICE.COLOR(1/0,NA(),3)</f>
        <v>#DIV/0!</v>
      </c>
      <c r="B21575" s="0" t="s">
        <v>21400</v>
      </c>
    </row>
    <row r="21576" customFormat="false" ht="15" hidden="false" customHeight="false" outlineLevel="0" collapsed="false">
      <c r="A21576" s="0" t="e">
        <f aca="false">_xlfn.ORG.LIBREOFFICE.COLOR(300,NA(),1/0)</f>
        <v>#N/A</v>
      </c>
      <c r="B21576" s="0" t="s">
        <v>21401</v>
      </c>
    </row>
    <row r="21577" customFormat="false" ht="15" hidden="false" customHeight="false" outlineLevel="0" collapsed="false">
      <c r="A21577" s="0" t="e">
        <f aca="false">_xlfn.ORG.LIBREOFFICE.COLOR(300,0,0,NA())</f>
        <v>#N/A</v>
      </c>
      <c r="B21577" s="0" t="s">
        <v>21402</v>
      </c>
    </row>
    <row r="21578" customFormat="false" ht="15" hidden="false" customHeight="false" outlineLevel="0" collapsed="false">
      <c r="A21578" s="0" t="e">
        <f aca="false">_xlfn.ORG.LIBREOFFICE.COLOR(1,2)</f>
        <v>#VALUE!</v>
      </c>
      <c r="B21578" s="0" t="s">
        <v>21403</v>
      </c>
    </row>
    <row r="21579" customFormat="false" ht="15" hidden="false" customHeight="false" outlineLevel="0" collapsed="false">
      <c r="A21579" s="0" t="e">
        <f aca="false">_xlfn.ORG.OPENOFFICE.CURRENT()</f>
        <v>#N/A</v>
      </c>
      <c r="B21579" s="0" t="s">
        <v>21404</v>
      </c>
    </row>
    <row r="21580" customFormat="false" ht="15" hidden="false" customHeight="false" outlineLevel="0" collapsed="false">
      <c r="A21580" s="0" t="e">
        <f aca="false">_xlfn.ORG.OPENOFFICE.CURRENT()+1</f>
        <v>#N/A</v>
      </c>
      <c r="B21580" s="0" t="s">
        <v>21405</v>
      </c>
    </row>
    <row r="21581" customFormat="false" ht="15" hidden="false" customHeight="false" outlineLevel="0" collapsed="false">
      <c r="A21581" s="2" t="b">
        <f aca="false">ISERROR(_xlfn.ORG.OPENOFFICE.CURRENT())</f>
        <v>1</v>
      </c>
      <c r="B21581" s="0" t="s">
        <v>21406</v>
      </c>
    </row>
    <row r="21582" customFormat="false" ht="15" hidden="false" customHeight="false" outlineLevel="0" collapsed="false">
      <c r="A21582" s="0" t="n">
        <f aca="false">IFERROR(_xlfn.ORG.OPENOFFICE.CURRENT(),7)</f>
        <v>7</v>
      </c>
      <c r="B21582" s="0" t="s">
        <v>21407</v>
      </c>
    </row>
    <row r="21583" customFormat="false" ht="15" hidden="false" customHeight="false" outlineLevel="0" collapsed="false">
      <c r="A21583" s="0" t="n">
        <f aca="false">EUROCONVERT(1,"DEM","EUR",0)</f>
        <v>0.51</v>
      </c>
      <c r="B21583" s="0" t="s">
        <v>21408</v>
      </c>
    </row>
    <row r="21584" customFormat="false" ht="15" hidden="false" customHeight="false" outlineLevel="0" collapsed="false">
      <c r="A21584" s="0" t="n">
        <f aca="false">EUROCONVERT(1,"EUR","DEM",0)</f>
        <v>1.96</v>
      </c>
      <c r="B21584" s="0" t="s">
        <v>21409</v>
      </c>
    </row>
    <row r="21585" customFormat="false" ht="15" hidden="false" customHeight="false" outlineLevel="0" collapsed="false">
      <c r="A21585" s="0" t="n">
        <f aca="false">EUROCONVERT(100,"FRF","DEM",0)</f>
        <v>29.82</v>
      </c>
      <c r="B21585" s="0" t="s">
        <v>21410</v>
      </c>
    </row>
    <row r="21586" customFormat="false" ht="15" hidden="false" customHeight="false" outlineLevel="0" collapsed="false">
      <c r="A21586" s="0" t="n">
        <f aca="false">EUROCONVERT(100,"DEM","FRF",0)</f>
        <v>335.39</v>
      </c>
      <c r="B21586" s="0" t="s">
        <v>21411</v>
      </c>
    </row>
    <row r="21587" customFormat="false" ht="15" hidden="false" customHeight="false" outlineLevel="0" collapsed="false">
      <c r="A21587" s="0" t="n">
        <f aca="false">EUROCONVERT(100,"DEM","FRF",TRUE())</f>
        <v>335.385488513828</v>
      </c>
      <c r="B21587" s="0" t="s">
        <v>21412</v>
      </c>
    </row>
    <row r="21588" customFormat="false" ht="15" hidden="false" customHeight="false" outlineLevel="0" collapsed="false">
      <c r="A21588" s="0" t="n">
        <f aca="false">EUROCONVERT(100,"DEM","FRF",FALSE(),3)</f>
        <v>335.38</v>
      </c>
      <c r="B21588" s="0" t="s">
        <v>21413</v>
      </c>
    </row>
    <row r="21589" customFormat="false" ht="15" hidden="false" customHeight="false" outlineLevel="0" collapsed="false">
      <c r="A21589" s="0" t="n">
        <f aca="false">EUROCONVERT(100,"DEM","FRF",TRUE(),3)</f>
        <v>335.38425453</v>
      </c>
      <c r="B21589" s="0" t="s">
        <v>21414</v>
      </c>
    </row>
    <row r="21590" customFormat="false" ht="15" hidden="false" customHeight="false" outlineLevel="0" collapsed="false">
      <c r="A21590" s="0" t="e">
        <f aca="false">EUROCONVERT(100,"DEM","FRF",TRUE(),2)</f>
        <v>#VALUE!</v>
      </c>
      <c r="B21590" s="0" t="s">
        <v>21415</v>
      </c>
    </row>
    <row r="21591" customFormat="false" ht="15" hidden="false" customHeight="false" outlineLevel="0" collapsed="false">
      <c r="A21591" s="0" t="n">
        <f aca="false">EUROCONVERT(100,"DEM","FRF",TRUE(),5.9)</f>
        <v>335.3855008483</v>
      </c>
      <c r="B21591" s="0" t="s">
        <v>21416</v>
      </c>
    </row>
    <row r="21592" customFormat="false" ht="15" hidden="false" customHeight="false" outlineLevel="0" collapsed="false">
      <c r="A21592" s="0" t="n">
        <f aca="false">EUROCONVERT(100,"DEM","FRF",,4)</f>
        <v>335.39</v>
      </c>
      <c r="B21592" s="0" t="s">
        <v>21417</v>
      </c>
    </row>
    <row r="21593" customFormat="false" ht="15" hidden="false" customHeight="false" outlineLevel="0" collapsed="false">
      <c r="A21593" s="0" t="n">
        <f aca="false">EUROCONVERT(1,"eur","dem",0)</f>
        <v>1.96</v>
      </c>
      <c r="B21593" s="0" t="s">
        <v>21418</v>
      </c>
    </row>
    <row r="21594" customFormat="false" ht="15" hidden="false" customHeight="false" outlineLevel="0" collapsed="false">
      <c r="A21594" s="0" t="n">
        <f aca="false">EUROCONVERT(1,"Dem","Dem",0)</f>
        <v>1</v>
      </c>
      <c r="B21594" s="0" t="s">
        <v>21419</v>
      </c>
    </row>
    <row r="21595" customFormat="false" ht="15" hidden="false" customHeight="false" outlineLevel="0" collapsed="false">
      <c r="A21595" s="0" t="n">
        <f aca="false">EUROCONVERT(1.234,"DEM","DEM",0)</f>
        <v>1.234</v>
      </c>
      <c r="B21595" s="0" t="s">
        <v>21420</v>
      </c>
    </row>
    <row r="21596" customFormat="false" ht="15" hidden="false" customHeight="false" outlineLevel="0" collapsed="false">
      <c r="A21596" s="0" t="n">
        <f aca="false">EUROCONVERT(1.234,"EUR","EUR",0)</f>
        <v>1.234</v>
      </c>
      <c r="B21596" s="0" t="s">
        <v>21421</v>
      </c>
    </row>
    <row r="21597" customFormat="false" ht="15" hidden="false" customHeight="false" outlineLevel="0" collapsed="false">
      <c r="A21597" s="0" t="n">
        <f aca="false">EUROCONVERT(1.2345,"EUR","BEF",0)</f>
        <v>50</v>
      </c>
      <c r="B21597" s="0" t="s">
        <v>21422</v>
      </c>
    </row>
    <row r="21598" customFormat="false" ht="15" hidden="false" customHeight="false" outlineLevel="0" collapsed="false">
      <c r="A21598" s="0" t="n">
        <f aca="false">EUROCONVERT(1.2345,"EUR","ITL",0)</f>
        <v>2390</v>
      </c>
      <c r="B21598" s="0" t="s">
        <v>21423</v>
      </c>
    </row>
    <row r="21599" customFormat="false" ht="15" hidden="false" customHeight="false" outlineLevel="0" collapsed="false">
      <c r="A21599" s="0" t="e">
        <f aca="false">EUROCONVERT(1,"EUR","USD",0)</f>
        <v>#VALUE!</v>
      </c>
      <c r="B21599" s="0" t="s">
        <v>21424</v>
      </c>
    </row>
    <row r="21600" customFormat="false" ht="15" hidden="false" customHeight="false" outlineLevel="0" collapsed="false">
      <c r="A21600" s="0" t="e">
        <f aca="false">EUROCONVERT(1,"USD","EUR",0)</f>
        <v>#VALUE!</v>
      </c>
      <c r="B21600" s="0" t="s">
        <v>21425</v>
      </c>
    </row>
    <row r="21601" customFormat="false" ht="15" hidden="false" customHeight="false" outlineLevel="0" collapsed="false">
      <c r="A21601" s="0" t="e">
        <f aca="false">EUROCONVERT(1,"","EUR",0)</f>
        <v>#VALUE!</v>
      </c>
      <c r="B21601" s="0" t="s">
        <v>21426</v>
      </c>
    </row>
    <row r="21602" customFormat="false" ht="15" hidden="false" customHeight="false" outlineLevel="0" collapsed="false">
      <c r="A21602" s="0" t="e">
        <f aca="false">EUROCONVERT(1,"EUR","",0)</f>
        <v>#VALUE!</v>
      </c>
      <c r="B21602" s="0" t="s">
        <v>21427</v>
      </c>
    </row>
    <row r="21603" customFormat="false" ht="15" hidden="false" customHeight="false" outlineLevel="0" collapsed="false">
      <c r="A21603" s="0" t="e">
        <f aca="false">EUROCONVERT("a","EUR","DEM",0)</f>
        <v>#VALUE!</v>
      </c>
      <c r="B21603" s="0" t="s">
        <v>21428</v>
      </c>
    </row>
    <row r="21604" customFormat="false" ht="15" hidden="false" customHeight="false" outlineLevel="0" collapsed="false">
      <c r="A21604" s="0" t="e">
        <f aca="false">EUROCONVERT(1,"EUR","DEM","x")</f>
        <v>#VALUE!</v>
      </c>
      <c r="B21604" s="0" t="s">
        <v>21429</v>
      </c>
    </row>
    <row r="21605" customFormat="false" ht="15" hidden="false" customHeight="false" outlineLevel="0" collapsed="false">
      <c r="A21605" s="0" t="n">
        <f aca="false">EUROCONVERT(1,"EUR","DEM",1)</f>
        <v>1.95583</v>
      </c>
      <c r="B21605" s="0" t="s">
        <v>21430</v>
      </c>
    </row>
    <row r="21606" customFormat="false" ht="15" hidden="false" customHeight="false" outlineLevel="0" collapsed="false">
      <c r="A21606" s="0" t="n">
        <f aca="false">EUROCONVERT(1,"EUR","DEM",0)</f>
        <v>1.96</v>
      </c>
      <c r="B21606" s="0" t="s">
        <v>21431</v>
      </c>
    </row>
    <row r="21607" customFormat="false" ht="15" hidden="false" customHeight="false" outlineLevel="0" collapsed="false">
      <c r="A21607" s="0" t="e">
        <f aca="false">EUROCONVERT(1,5,"DEM",0)</f>
        <v>#VALUE!</v>
      </c>
      <c r="B21607" s="0" t="s">
        <v>21432</v>
      </c>
    </row>
    <row r="21608" customFormat="false" ht="15" hidden="false" customHeight="false" outlineLevel="0" collapsed="false">
      <c r="A21608" s="0" t="n">
        <f aca="false">EUROCONVERT(-1.005,"EUR","DEM",0)</f>
        <v>-1.97</v>
      </c>
      <c r="B21608" s="0" t="s">
        <v>21433</v>
      </c>
    </row>
    <row r="21609" customFormat="false" ht="15" hidden="false" customHeight="false" outlineLevel="0" collapsed="false">
      <c r="A21609" s="0" t="n">
        <f aca="false">EUROCONVERT(10000000000,"ITL","BEF",0)</f>
        <v>208338197</v>
      </c>
      <c r="B21609" s="0" t="s">
        <v>21434</v>
      </c>
    </row>
    <row r="21610" customFormat="false" ht="15" hidden="false" customHeight="false" outlineLevel="0" collapsed="false">
      <c r="A21610" s="0" t="n">
        <f aca="false">EUROCONVERT(1E+300,"EUR","ITL",0)</f>
        <v>1.93627E+303</v>
      </c>
      <c r="B21610" s="0" t="s">
        <v>21435</v>
      </c>
    </row>
    <row r="21611" customFormat="false" ht="15" hidden="false" customHeight="false" outlineLevel="0" collapsed="false">
      <c r="A21611" s="0" t="e">
        <f aca="false">EUROCONVERT(1/0,"EUR","DEM",TRUE(),NA())</f>
        <v>#DIV/0!</v>
      </c>
      <c r="B21611" s="0" t="s">
        <v>21436</v>
      </c>
    </row>
    <row r="21612" customFormat="false" ht="15" hidden="false" customHeight="false" outlineLevel="0" collapsed="false">
      <c r="A21612" s="0" t="e">
        <f aca="false">EUROCONVERT(NA(),"EUR","DEM",1/0)</f>
        <v>#N/A</v>
      </c>
      <c r="B21612" s="0" t="s">
        <v>21437</v>
      </c>
    </row>
    <row r="21613" customFormat="false" ht="15" hidden="false" customHeight="false" outlineLevel="0" collapsed="false">
      <c r="A21613" s="0" t="e">
        <f aca="false">EUROCONVERT(1,NA(),"DEM",TRUE(),1/0)</f>
        <v>#N/A</v>
      </c>
      <c r="B21613" s="0" t="s">
        <v>21438</v>
      </c>
    </row>
    <row r="21614" customFormat="false" ht="15" hidden="false" customHeight="false" outlineLevel="0" collapsed="false">
      <c r="A21614" s="0" t="e">
        <f aca="false">EUROCONVERT(1,"EUR",NA(),1/0)</f>
        <v>#N/A</v>
      </c>
      <c r="B21614" s="0" t="s">
        <v>21439</v>
      </c>
    </row>
    <row r="21615" customFormat="false" ht="15" hidden="false" customHeight="false" outlineLevel="0" collapsed="false">
      <c r="A21615" s="0" t="e">
        <f aca="false">EUROCONVERT(1,"EUR","DEM",NA(),2)</f>
        <v>#N/A</v>
      </c>
      <c r="B21615" s="0" t="s">
        <v>21440</v>
      </c>
    </row>
    <row r="21616" customFormat="false" ht="15" hidden="false" customHeight="false" outlineLevel="0" collapsed="false">
      <c r="A21616" s="0" t="e">
        <f aca="false">EUROCONVERT(1,"EUR","XXX",NA())</f>
        <v>#N/A</v>
      </c>
      <c r="B21616" s="0" t="s">
        <v>21441</v>
      </c>
    </row>
    <row r="21617" customFormat="false" ht="15" hidden="false" customHeight="false" outlineLevel="0" collapsed="false">
      <c r="A21617" s="0" t="e">
        <f aca="false">EUROCONVERT(1,"EUR","DEM",1/0)</f>
        <v>#DIV/0!</v>
      </c>
      <c r="B21617" s="0" t="s">
        <v>21442</v>
      </c>
    </row>
    <row r="21618" customFormat="false" ht="15" hidden="false" customHeight="false" outlineLevel="0" collapsed="false">
      <c r="A21618" s="0" t="e">
        <f aca="false">EUROCONVERT(1/0,"EUR","DEM",0)</f>
        <v>#DIV/0!</v>
      </c>
      <c r="B21618" s="0" t="s">
        <v>21443</v>
      </c>
    </row>
    <row r="21619" customFormat="false" ht="15" hidden="false" customHeight="false" outlineLevel="0" collapsed="false">
      <c r="A21619" s="0" t="e">
        <f aca="false">EUROCONVERT(1,"EUR","DEM",TRUE(),NA())</f>
        <v>#N/A</v>
      </c>
      <c r="B21619" s="0" t="s">
        <v>21444</v>
      </c>
    </row>
    <row r="21620" customFormat="false" ht="15" hidden="false" customHeight="false" outlineLevel="0" collapsed="false">
      <c r="A21620" s="0" t="n">
        <f aca="false">EUROCONVERT(2142.447,"BEF","LVL",TRUE(),10)</f>
        <v>37.325831779167</v>
      </c>
      <c r="B21620" s="0" t="s">
        <v>21445</v>
      </c>
    </row>
    <row r="21621" customFormat="false" ht="15" hidden="false" customHeight="false" outlineLevel="0" collapsed="false">
      <c r="A21621" s="0" t="n">
        <f aca="false">EUROCONVERT(3582,"LUF","ATS",0)</f>
        <v>1221.85</v>
      </c>
      <c r="B21621" s="0" t="s">
        <v>21446</v>
      </c>
    </row>
    <row r="21622" customFormat="false" ht="15" hidden="false" customHeight="false" outlineLevel="0" collapsed="false">
      <c r="A21622" s="0" t="n">
        <f aca="false">EUROCONVERT(9493.2791,"CYP","SKK",TRUE(),10)</f>
        <v>488650.659633948</v>
      </c>
      <c r="B21622" s="0" t="s">
        <v>21447</v>
      </c>
    </row>
    <row r="21623" customFormat="false" ht="15" hidden="false" customHeight="false" outlineLevel="0" collapsed="false">
      <c r="A21623" s="0" t="n">
        <f aca="false">EUROCONVERT(2543.24,"LTL","EEK",0)</f>
        <v>11524.87</v>
      </c>
      <c r="B21623" s="0" t="s">
        <v>21448</v>
      </c>
    </row>
    <row r="21624" customFormat="false" ht="15" hidden="false" customHeight="false" outlineLevel="0" collapsed="false">
      <c r="A21624" s="0" t="n">
        <f aca="false">EUROCONVERT(9641.2965,"EEK","IEP",TRUE(),10)</f>
        <v>485.289969496624</v>
      </c>
      <c r="B21624" s="0" t="s">
        <v>21449</v>
      </c>
    </row>
    <row r="21625" customFormat="false" ht="15" hidden="false" customHeight="false" outlineLevel="0" collapsed="false">
      <c r="A21625" s="0" t="n">
        <f aca="false">EUROCONVERT(8739.6598,"BGN","SKK",0)</f>
        <v>134618.55</v>
      </c>
      <c r="B21625" s="0" t="s">
        <v>21450</v>
      </c>
    </row>
    <row r="21626" customFormat="false" ht="15" hidden="false" customHeight="false" outlineLevel="0" collapsed="false">
      <c r="A21626" s="0" t="n">
        <f aca="false">EUROCONVERT(1311,"GRD","CYP",TRUE(),3)</f>
        <v>2.251549078</v>
      </c>
      <c r="B21626" s="0" t="s">
        <v>21451</v>
      </c>
    </row>
    <row r="21627" customFormat="false" ht="15" hidden="false" customHeight="false" outlineLevel="0" collapsed="false">
      <c r="A21627" s="0" t="n">
        <f aca="false">EUROCONVERT(5506,"EUR","PTE",0)</f>
        <v>1103853.89</v>
      </c>
      <c r="B21627" s="0" t="s">
        <v>21452</v>
      </c>
    </row>
    <row r="21628" customFormat="false" ht="15" hidden="false" customHeight="false" outlineLevel="0" collapsed="false">
      <c r="A21628" s="0" t="n">
        <f aca="false">EUROCONVERT(2155.51,"HRK","FIM",TRUE(),10)</f>
        <v>1700.98619315144</v>
      </c>
      <c r="B21628" s="0" t="s">
        <v>21453</v>
      </c>
    </row>
    <row r="21629" customFormat="false" ht="15" hidden="false" customHeight="false" outlineLevel="0" collapsed="false">
      <c r="A21629" s="0" t="n">
        <f aca="false">EUROCONVERT(3734.598,"GRD","LVL",0)</f>
        <v>7.7</v>
      </c>
      <c r="B21629" s="0" t="s">
        <v>21454</v>
      </c>
    </row>
    <row r="21630" customFormat="false" ht="15" hidden="false" customHeight="false" outlineLevel="0" collapsed="false">
      <c r="A21630" s="0" t="n">
        <f aca="false">EUROCONVERT(4380,"SIT","LUF",FALSE(),10)</f>
        <v>737</v>
      </c>
      <c r="B21630" s="0" t="s">
        <v>21455</v>
      </c>
    </row>
    <row r="21631" customFormat="false" ht="15" hidden="false" customHeight="false" outlineLevel="0" collapsed="false">
      <c r="A21631" s="0" t="n">
        <f aca="false">EUROCONVERT(1003.9725,"FIM","ESP",0)</f>
        <v>28095</v>
      </c>
      <c r="B21631" s="0" t="s">
        <v>21456</v>
      </c>
    </row>
    <row r="21632" customFormat="false" ht="15" hidden="false" customHeight="false" outlineLevel="0" collapsed="false">
      <c r="A21632" s="0" t="n">
        <f aca="false">EUROCONVERT(9518,"FIM","LUF",TRUE(),6)</f>
        <v>64576.6235912916</v>
      </c>
      <c r="B21632" s="0" t="s">
        <v>21457</v>
      </c>
    </row>
    <row r="21633" customFormat="false" ht="15" hidden="false" customHeight="false" outlineLevel="0" collapsed="false">
      <c r="A21633" s="0" t="n">
        <f aca="false">EUROCONVERT(9095.2293,"IEP","HRK",0)</f>
        <v>87012.62</v>
      </c>
      <c r="B21633" s="0" t="s">
        <v>21458</v>
      </c>
    </row>
    <row r="21634" customFormat="false" ht="15" hidden="false" customHeight="false" outlineLevel="0" collapsed="false">
      <c r="A21634" s="0" t="n">
        <f aca="false">EUROCONVERT(6851,"HRK","HRK",TRUE(),10)</f>
        <v>6851</v>
      </c>
      <c r="B21634" s="0" t="s">
        <v>21459</v>
      </c>
    </row>
    <row r="21635" customFormat="false" ht="15" hidden="false" customHeight="false" outlineLevel="0" collapsed="false">
      <c r="A21635" s="0" t="n">
        <f aca="false">EUROCONVERT(657.81,"EUR","ITL",0)</f>
        <v>1273698</v>
      </c>
      <c r="B21635" s="0" t="s">
        <v>21460</v>
      </c>
    </row>
    <row r="21636" customFormat="false" ht="15" hidden="false" customHeight="false" outlineLevel="0" collapsed="false">
      <c r="A21636" s="0" t="n">
        <f aca="false">EUROCONVERT(3743.4906,"FIM","NLG",FALSE(),10)</f>
        <v>1387.48</v>
      </c>
      <c r="B21636" s="0" t="s">
        <v>21461</v>
      </c>
    </row>
    <row r="21637" customFormat="false" ht="15" hidden="false" customHeight="false" outlineLevel="0" collapsed="false">
      <c r="A21637" s="0" t="n">
        <f aca="false">EUROCONVERT(326,"LUF","IEP",0)</f>
        <v>6.36</v>
      </c>
      <c r="B21637" s="0" t="s">
        <v>21462</v>
      </c>
    </row>
    <row r="21638" customFormat="false" ht="15" hidden="false" customHeight="false" outlineLevel="0" collapsed="false">
      <c r="A21638" s="0" t="n">
        <f aca="false">EUROCONVERT(3574.72,"GRD","EEK",TRUE(),10)</f>
        <v>164.144428326183</v>
      </c>
      <c r="B21638" s="0" t="s">
        <v>21463</v>
      </c>
    </row>
    <row r="21639" customFormat="false" ht="15" hidden="false" customHeight="false" outlineLevel="0" collapsed="false">
      <c r="A21639" s="0" t="n">
        <f aca="false">EUROCONVERT(2749.94,"LVL","ITL",0)</f>
        <v>7576261</v>
      </c>
      <c r="B21639" s="0" t="s">
        <v>21464</v>
      </c>
    </row>
    <row r="21640" customFormat="false" ht="15" hidden="false" customHeight="false" outlineLevel="0" collapsed="false">
      <c r="A21640" s="0" t="n">
        <f aca="false">EUROCONVERT(4372.12,"CYP","ESP",TRUE(),6)</f>
        <v>1242938.44991012</v>
      </c>
      <c r="B21640" s="0" t="s">
        <v>21465</v>
      </c>
    </row>
    <row r="21641" customFormat="false" ht="15" hidden="false" customHeight="false" outlineLevel="0" collapsed="false">
      <c r="A21641" s="0" t="n">
        <f aca="false">EUROCONVERT(5831.2882,"DEM","EEK",0)</f>
        <v>46650.19</v>
      </c>
      <c r="B21641" s="0" t="s">
        <v>21466</v>
      </c>
    </row>
    <row r="21642" customFormat="false" ht="15" hidden="false" customHeight="false" outlineLevel="0" collapsed="false">
      <c r="A21642" s="0" t="n">
        <f aca="false">EUROCONVERT(5207.0899,"BEF","LUF",FALSE(),10)</f>
        <v>5207</v>
      </c>
      <c r="B21642" s="0" t="s">
        <v>21467</v>
      </c>
    </row>
    <row r="21643" customFormat="false" ht="15" hidden="false" customHeight="false" outlineLevel="0" collapsed="false">
      <c r="A21643" s="0" t="n">
        <f aca="false">EUROCONVERT(5339,"LUF","HRK",0)</f>
        <v>997.19</v>
      </c>
      <c r="B21643" s="0" t="s">
        <v>21468</v>
      </c>
    </row>
    <row r="21644" customFormat="false" ht="15" hidden="false" customHeight="false" outlineLevel="0" collapsed="false">
      <c r="A21644" s="0" t="n">
        <f aca="false">EUROCONVERT(4853.4745,"ATS","BEF",TRUE(),3)</f>
        <v>14228.5281684</v>
      </c>
      <c r="B21644" s="0" t="s">
        <v>21469</v>
      </c>
    </row>
    <row r="21645" customFormat="false" ht="15" hidden="false" customHeight="false" outlineLevel="0" collapsed="false">
      <c r="A21645" s="0" t="n">
        <f aca="false">EUROCONVERT(8482.9958,"FIM","IEP",0)</f>
        <v>1123.65</v>
      </c>
      <c r="B21645" s="0" t="s">
        <v>21470</v>
      </c>
    </row>
    <row r="21646" customFormat="false" ht="15" hidden="false" customHeight="false" outlineLevel="0" collapsed="false">
      <c r="A21646" s="0" t="n">
        <f aca="false">EUROCONVERT(1816,"SIT","LVL",TRUE(),4)</f>
        <v>5.325848712</v>
      </c>
      <c r="B21646" s="0" t="s">
        <v>21471</v>
      </c>
    </row>
    <row r="21647" customFormat="false" ht="15" hidden="false" customHeight="false" outlineLevel="0" collapsed="false">
      <c r="A21647" s="0" t="n">
        <f aca="false">EUROCONVERT(448.53,"BGN","SIT",0)</f>
        <v>54956.58</v>
      </c>
      <c r="B21647" s="0" t="s">
        <v>21472</v>
      </c>
    </row>
    <row r="21648" customFormat="false" ht="15" hidden="false" customHeight="false" outlineLevel="0" collapsed="false">
      <c r="A21648" s="0" t="n">
        <f aca="false">EUROCONVERT(346.5483,"ESP","LUF",FALSE(),3)</f>
        <v>84</v>
      </c>
      <c r="B21648" s="0" t="s">
        <v>21473</v>
      </c>
    </row>
    <row r="21649" customFormat="false" ht="15" hidden="false" customHeight="false" outlineLevel="0" collapsed="false">
      <c r="A21649" s="0" t="n">
        <f aca="false">EUROCONVERT(2612.89,"MTL","FIM",0)</f>
        <v>36188.07</v>
      </c>
      <c r="B21649" s="0" t="s">
        <v>21474</v>
      </c>
    </row>
    <row r="21650" customFormat="false" ht="15" hidden="false" customHeight="false" outlineLevel="0" collapsed="false">
      <c r="A21650" s="0" t="n">
        <f aca="false">EUROCONVERT(8648.15,"MTL","FIM",TRUE(),4)</f>
        <v>119775.366899538</v>
      </c>
      <c r="B21650" s="0" t="s">
        <v>21475</v>
      </c>
    </row>
    <row r="21651" customFormat="false" ht="15" hidden="false" customHeight="false" outlineLevel="0" collapsed="false">
      <c r="A21651" s="0" t="n">
        <f aca="false">EUROCONVERT(2998.8451,"FIM","LUF",0)</f>
        <v>20346</v>
      </c>
      <c r="B21651" s="0" t="s">
        <v>21476</v>
      </c>
    </row>
    <row r="21652" customFormat="false" ht="15" hidden="false" customHeight="false" outlineLevel="0" collapsed="false">
      <c r="A21652" s="0" t="n">
        <f aca="false">EUROCONVERT(314.64,"DEM","IEP",FALSE(),6)</f>
        <v>126.7</v>
      </c>
      <c r="B21652" s="0" t="s">
        <v>21477</v>
      </c>
    </row>
    <row r="21653" customFormat="false" ht="15" hidden="false" customHeight="false" outlineLevel="0" collapsed="false">
      <c r="A21653" s="0" t="n">
        <f aca="false">EUROCONVERT(4630,"ESP","IEP",0)</f>
        <v>21.92</v>
      </c>
      <c r="B21653" s="0" t="s">
        <v>21478</v>
      </c>
    </row>
    <row r="21654" customFormat="false" ht="15" hidden="false" customHeight="false" outlineLevel="0" collapsed="false">
      <c r="A21654" s="0" t="n">
        <f aca="false">EUROCONVERT(2157,"SKK","LTL",TRUE(),6)</f>
        <v>247.2180043424</v>
      </c>
      <c r="B21654" s="0" t="s">
        <v>21479</v>
      </c>
    </row>
    <row r="21655" customFormat="false" ht="15" hidden="false" customHeight="false" outlineLevel="0" collapsed="false">
      <c r="A21655" s="0" t="n">
        <f aca="false">EUROCONVERT(6661.1979,"GRD","EUR",0)</f>
        <v>19.55</v>
      </c>
      <c r="B21655" s="0" t="s">
        <v>21480</v>
      </c>
    </row>
    <row r="21656" customFormat="false" ht="15" hidden="false" customHeight="false" outlineLevel="0" collapsed="false">
      <c r="A21656" s="0" t="n">
        <f aca="false">EUROCONVERT(6084.0953,"EEK","ITL",TRUE(),6)</f>
        <v>752908.0561912</v>
      </c>
      <c r="B21656" s="0" t="s">
        <v>21481</v>
      </c>
    </row>
    <row r="21657" customFormat="false" ht="15" hidden="false" customHeight="false" outlineLevel="0" collapsed="false">
      <c r="A21657" s="0" t="n">
        <f aca="false">EUROCONVERT(2845.7,"LVL","ESP",0)</f>
        <v>673708</v>
      </c>
      <c r="B21657" s="0" t="s">
        <v>21482</v>
      </c>
    </row>
    <row r="21658" customFormat="false" ht="15" hidden="false" customHeight="false" outlineLevel="0" collapsed="false">
      <c r="A21658" s="0" t="n">
        <f aca="false">EUROCONVERT(489.504,"BGN","LUF",FALSE(),4)</f>
        <v>10096</v>
      </c>
      <c r="B21658" s="0" t="s">
        <v>21483</v>
      </c>
    </row>
    <row r="21659" customFormat="false" ht="15" hidden="false" customHeight="false" outlineLevel="0" collapsed="false">
      <c r="A21659" s="0" t="n">
        <f aca="false">EUROCONVERT(2443.25,"DEM","LUF",0)</f>
        <v>50393</v>
      </c>
      <c r="B21659" s="0" t="s">
        <v>21484</v>
      </c>
    </row>
    <row r="21660" customFormat="false" ht="15" hidden="false" customHeight="false" outlineLevel="0" collapsed="false">
      <c r="A21660" s="0" t="n">
        <f aca="false">EUROCONVERT(3247.3501,"CYP","EUR",TRUE(),6)</f>
        <v>5548.427062</v>
      </c>
      <c r="B21660" s="0" t="s">
        <v>21485</v>
      </c>
    </row>
    <row r="21661" customFormat="false" ht="15" hidden="false" customHeight="false" outlineLevel="0" collapsed="false">
      <c r="A21661" s="0" t="n">
        <f aca="false">EUROCONVERT(9467,"ESP","ESP",0)</f>
        <v>9467</v>
      </c>
      <c r="B21661" s="0" t="s">
        <v>21486</v>
      </c>
    </row>
    <row r="21662" customFormat="false" ht="15" hidden="false" customHeight="false" outlineLevel="0" collapsed="false">
      <c r="A21662" s="0" t="n">
        <f aca="false">EUROCONVERT(8737.23,"SIT","SKK",TRUE(),3)</f>
        <v>1098.39396</v>
      </c>
      <c r="B21662" s="0" t="s">
        <v>21487</v>
      </c>
    </row>
    <row r="21663" customFormat="false" ht="15" hidden="false" customHeight="false" outlineLevel="0" collapsed="false">
      <c r="A21663" s="0" t="n">
        <f aca="false">EUROCONVERT(1670.5236,"LTL","HRK",0)</f>
        <v>3645.32</v>
      </c>
      <c r="B21663" s="0" t="s">
        <v>21488</v>
      </c>
    </row>
    <row r="21664" customFormat="false" ht="15" hidden="false" customHeight="false" outlineLevel="0" collapsed="false">
      <c r="A21664" s="0" t="n">
        <f aca="false">EUROCONVERT(8650.6759,"MTL","IEP",TRUE(),10)</f>
        <v>15869.9299196544</v>
      </c>
      <c r="B21664" s="0" t="s">
        <v>21489</v>
      </c>
    </row>
    <row r="21665" customFormat="false" ht="15" hidden="false" customHeight="false" outlineLevel="0" collapsed="false">
      <c r="A21665" s="0" t="n">
        <f aca="false">EUROCONVERT(4528.8975,"LUF","ITL",0)</f>
        <v>217382</v>
      </c>
      <c r="B21665" s="0" t="s">
        <v>21490</v>
      </c>
    </row>
    <row r="21666" customFormat="false" ht="15" hidden="false" customHeight="false" outlineLevel="0" collapsed="false">
      <c r="A21666" s="0" t="n">
        <f aca="false">EUROCONVERT(5058.8728,"ESP","LVL",FALSE(),10)</f>
        <v>21.37</v>
      </c>
      <c r="B21666" s="0" t="s">
        <v>21491</v>
      </c>
    </row>
    <row r="21667" customFormat="false" ht="15" hidden="false" customHeight="false" outlineLevel="0" collapsed="false">
      <c r="A21667" s="0" t="n">
        <f aca="false">EUROCONVERT(5249,"SKK","SKK",0)</f>
        <v>5249</v>
      </c>
      <c r="B21667" s="0" t="s">
        <v>21492</v>
      </c>
    </row>
    <row r="21668" customFormat="false" ht="15" hidden="false" customHeight="false" outlineLevel="0" collapsed="false">
      <c r="A21668" s="0" t="n">
        <f aca="false">EUROCONVERT(7212.64,"BEF","ESP",TRUE(),4)</f>
        <v>29749.2677262</v>
      </c>
      <c r="B21668" s="0" t="s">
        <v>21493</v>
      </c>
    </row>
    <row r="21669" customFormat="false" ht="15" hidden="false" customHeight="false" outlineLevel="0" collapsed="false">
      <c r="A21669" s="0" t="n">
        <f aca="false">EUROCONVERT(6179.2508,"EEK","HRK",0)</f>
        <v>2975.57</v>
      </c>
      <c r="B21669" s="0" t="s">
        <v>21494</v>
      </c>
    </row>
    <row r="21670" customFormat="false" ht="15" hidden="false" customHeight="false" outlineLevel="0" collapsed="false">
      <c r="A21670" s="0" t="n">
        <f aca="false">EUROCONVERT(5531.99,"HRK","GRD",TRUE(),10)</f>
        <v>250185.890570035</v>
      </c>
      <c r="B21670" s="0" t="s">
        <v>21495</v>
      </c>
    </row>
    <row r="21671" customFormat="false" ht="15" hidden="false" customHeight="false" outlineLevel="0" collapsed="false">
      <c r="A21671" s="0" t="n">
        <f aca="false">EUROCONVERT(343.51,"LUF","SKK",0)</f>
        <v>256.53</v>
      </c>
      <c r="B21671" s="0" t="s">
        <v>21496</v>
      </c>
    </row>
    <row r="21672" customFormat="false" ht="15" hidden="false" customHeight="false" outlineLevel="0" collapsed="false">
      <c r="A21672" s="0" t="n">
        <f aca="false">EUROCONVERT(797,"EEK","EEK",TRUE(),6)</f>
        <v>797</v>
      </c>
      <c r="B21672" s="0" t="s">
        <v>21497</v>
      </c>
    </row>
    <row r="21673" customFormat="false" ht="15" hidden="false" customHeight="false" outlineLevel="0" collapsed="false">
      <c r="A21673" s="0" t="n">
        <f aca="false">EUROCONVERT(5841.2385,"GRD","LUF",0)</f>
        <v>692</v>
      </c>
      <c r="B21673" s="0" t="s">
        <v>21498</v>
      </c>
    </row>
    <row r="21674" customFormat="false" ht="15" hidden="false" customHeight="false" outlineLevel="0" collapsed="false">
      <c r="A21674" s="0" t="n">
        <f aca="false">EUROCONVERT(960.69,"BGN","SKK",TRUE(),3)</f>
        <v>14797.680318</v>
      </c>
      <c r="B21674" s="0" t="s">
        <v>21499</v>
      </c>
    </row>
    <row r="21675" customFormat="false" ht="15" hidden="false" customHeight="false" outlineLevel="0" collapsed="false">
      <c r="A21675" s="0" t="n">
        <f aca="false">EUROCONVERT(6929,"BGN","GRD",0)</f>
        <v>1207189.15</v>
      </c>
      <c r="B21675" s="0" t="s">
        <v>21500</v>
      </c>
    </row>
    <row r="21676" customFormat="false" ht="15" hidden="false" customHeight="false" outlineLevel="0" collapsed="false">
      <c r="A21676" s="0" t="n">
        <f aca="false">EUROCONVERT(9251.72,"CYP","MTL",FALSE(),4)</f>
        <v>6786.16</v>
      </c>
      <c r="B21676" s="0" t="s">
        <v>21501</v>
      </c>
    </row>
    <row r="21677" customFormat="false" ht="15" hidden="false" customHeight="false" outlineLevel="0" collapsed="false">
      <c r="A21677" s="0" t="n">
        <f aca="false">EUROCONVERT(8823.85,"SKK","NLG",0)</f>
        <v>645.46</v>
      </c>
      <c r="B21677" s="0" t="s">
        <v>21502</v>
      </c>
    </row>
    <row r="21678" customFormat="false" ht="15" hidden="false" customHeight="false" outlineLevel="0" collapsed="false">
      <c r="A21678" s="0" t="n">
        <f aca="false">EUROCONVERT(8499.1796,"SKK","ATS",FALSE(),4)</f>
        <v>3882.07</v>
      </c>
      <c r="B21678" s="0" t="s">
        <v>21503</v>
      </c>
    </row>
    <row r="21679" customFormat="false" ht="15" hidden="false" customHeight="false" outlineLevel="0" collapsed="false">
      <c r="A21679" s="0" t="n">
        <f aca="false">EUROCONVERT(9712.652,"SIT","SKK",0)</f>
        <v>1221.01</v>
      </c>
      <c r="B21679" s="0" t="s">
        <v>21504</v>
      </c>
    </row>
    <row r="21680" customFormat="false" ht="15" hidden="false" customHeight="false" outlineLevel="0" collapsed="false">
      <c r="A21680" s="0" t="n">
        <f aca="false">EUROCONVERT(6952.4282,"LVL","ITL",FALSE(),3)</f>
        <v>19154384</v>
      </c>
      <c r="B21680" s="0" t="s">
        <v>21505</v>
      </c>
    </row>
    <row r="21681" customFormat="false" ht="15" hidden="false" customHeight="false" outlineLevel="0" collapsed="false">
      <c r="A21681" s="0" t="n">
        <f aca="false">EUROCONVERT(158.4897,"SIT","BGN",0)</f>
        <v>1.29</v>
      </c>
      <c r="B21681" s="0" t="s">
        <v>21506</v>
      </c>
    </row>
    <row r="21682" customFormat="false" ht="15" hidden="false" customHeight="false" outlineLevel="0" collapsed="false">
      <c r="A21682" s="0" t="n">
        <f aca="false">EUROCONVERT(3269,"ITL","FIM",TRUE(),3)</f>
        <v>10.03639224</v>
      </c>
      <c r="B21682" s="0" t="s">
        <v>21507</v>
      </c>
    </row>
    <row r="21683" customFormat="false" ht="15" hidden="false" customHeight="false" outlineLevel="0" collapsed="false">
      <c r="A21683" s="0" t="n">
        <f aca="false">EUROCONVERT(9154.88,"LUF","EUR",0)</f>
        <v>226.94</v>
      </c>
      <c r="B21683" s="0" t="s">
        <v>21508</v>
      </c>
    </row>
    <row r="21684" customFormat="false" ht="15" hidden="false" customHeight="false" outlineLevel="0" collapsed="false">
      <c r="A21684" s="0" t="n">
        <f aca="false">EUROCONVERT(3967.66,"LVL","BGN",TRUE(),4)</f>
        <v>11041.582719428</v>
      </c>
      <c r="B21684" s="0" t="s">
        <v>21509</v>
      </c>
    </row>
    <row r="21685" customFormat="false" ht="15" hidden="false" customHeight="false" outlineLevel="0" collapsed="false">
      <c r="A21685" s="0" t="n">
        <f aca="false">EUROCONVERT(8617.74,"EEK","SIT",0)</f>
        <v>131987.47</v>
      </c>
      <c r="B21685" s="0" t="s">
        <v>21510</v>
      </c>
    </row>
    <row r="21686" customFormat="false" ht="15" hidden="false" customHeight="false" outlineLevel="0" collapsed="false">
      <c r="A21686" s="0" t="n">
        <f aca="false">EUROCONVERT(8644.0879,"CYP","FRF",FALSE(),3)</f>
        <v>96880.26</v>
      </c>
      <c r="B21686" s="0" t="s">
        <v>21511</v>
      </c>
    </row>
    <row r="21687" customFormat="false" ht="15" hidden="false" customHeight="false" outlineLevel="0" collapsed="false">
      <c r="A21687" s="0" t="n">
        <f aca="false">EUROCONVERT(3562,"FRF","MTL",0)</f>
        <v>233.12</v>
      </c>
      <c r="B21687" s="0" t="s">
        <v>21512</v>
      </c>
    </row>
    <row r="21688" customFormat="false" ht="15" hidden="false" customHeight="false" outlineLevel="0" collapsed="false">
      <c r="A21688" s="0" t="n">
        <f aca="false">EUROCONVERT(4477.18,"ATS","DEM",TRUE(),6)</f>
        <v>636.3671553688</v>
      </c>
      <c r="B21688" s="0" t="s">
        <v>21513</v>
      </c>
    </row>
    <row r="21689" customFormat="false" ht="15" hidden="false" customHeight="false" outlineLevel="0" collapsed="false">
      <c r="A21689" s="0" t="n">
        <f aca="false">EUROCONVERT(3240.67,"FIM","MTL",0)</f>
        <v>233.99</v>
      </c>
      <c r="B21689" s="0" t="s">
        <v>21514</v>
      </c>
    </row>
    <row r="21690" customFormat="false" ht="15" hidden="false" customHeight="false" outlineLevel="0" collapsed="false">
      <c r="A21690" s="0" t="n">
        <f aca="false">EUROCONVERT(8012.74,"PTE","LUF",FALSE(),10)</f>
        <v>1612</v>
      </c>
      <c r="B21690" s="0" t="s">
        <v>21515</v>
      </c>
    </row>
    <row r="21691" customFormat="false" ht="15" hidden="false" customHeight="false" outlineLevel="0" collapsed="false">
      <c r="A21691" s="0" t="n">
        <f aca="false">EUROCONVERT(3558.34,"HRK","DEM",0)</f>
        <v>923.69</v>
      </c>
      <c r="B21691" s="0" t="s">
        <v>21516</v>
      </c>
    </row>
    <row r="21692" customFormat="false" ht="15" hidden="false" customHeight="false" outlineLevel="0" collapsed="false">
      <c r="A21692" s="0" t="n">
        <f aca="false">EUROCONVERT(6248.1,"CYP","PTE",TRUE(),4)</f>
        <v>2140248.1371214</v>
      </c>
      <c r="B21692" s="0" t="s">
        <v>21517</v>
      </c>
    </row>
    <row r="21693" customFormat="false" ht="15" hidden="false" customHeight="false" outlineLevel="0" collapsed="false">
      <c r="A21693" s="0" t="n">
        <f aca="false">EUROCONVERT(9418.28,"SKK","MTL",0)</f>
        <v>134.21</v>
      </c>
      <c r="B21693" s="0" t="s">
        <v>21518</v>
      </c>
    </row>
    <row r="21694" customFormat="false" ht="15" hidden="false" customHeight="false" outlineLevel="0" collapsed="false">
      <c r="A21694" s="0" t="n">
        <f aca="false">EUROCONVERT(3622,"GRD","BGN",FALSE(),3)</f>
        <v>20.79</v>
      </c>
      <c r="B21694" s="0" t="s">
        <v>21519</v>
      </c>
    </row>
    <row r="21695" customFormat="false" ht="15" hidden="false" customHeight="false" outlineLevel="0" collapsed="false">
      <c r="A21695" s="0" t="n">
        <f aca="false">EUROCONVERT(4517.1173,"SKK","PTE",0)</f>
        <v>30060.44</v>
      </c>
      <c r="B21695" s="0" t="s">
        <v>21520</v>
      </c>
    </row>
    <row r="21696" customFormat="false" ht="15" hidden="false" customHeight="false" outlineLevel="0" collapsed="false">
      <c r="A21696" s="0" t="n">
        <f aca="false">EUROCONVERT(6.57,"SIT","BGN",FALSE(),6)</f>
        <v>0.05</v>
      </c>
      <c r="B21696" s="0" t="s">
        <v>21521</v>
      </c>
    </row>
    <row r="21697" customFormat="false" ht="15" hidden="false" customHeight="false" outlineLevel="0" collapsed="false">
      <c r="A21697" s="0" t="n">
        <f aca="false">EUROCONVERT(5720.51,"BEF","ATS",0)</f>
        <v>1951.32</v>
      </c>
      <c r="B21697" s="0" t="s">
        <v>21522</v>
      </c>
    </row>
    <row r="21698" customFormat="false" ht="15" hidden="false" customHeight="false" outlineLevel="0" collapsed="false">
      <c r="A21698" s="0" t="n">
        <f aca="false">EUROCONVERT(752,"FRF","BEF",TRUE(),6)</f>
        <v>4624.6331405739</v>
      </c>
      <c r="B21698" s="0" t="s">
        <v>21523</v>
      </c>
    </row>
    <row r="21699" customFormat="false" ht="15" hidden="false" customHeight="false" outlineLevel="0" collapsed="false">
      <c r="A21699" s="0" t="n">
        <f aca="false">EUROCONVERT(9893.4265,"LTL","LTL",0)</f>
        <v>9893.4265</v>
      </c>
      <c r="B21699" s="0" t="s">
        <v>21524</v>
      </c>
    </row>
    <row r="21700" customFormat="false" ht="15" hidden="false" customHeight="false" outlineLevel="0" collapsed="false">
      <c r="A21700" s="0" t="n">
        <f aca="false">EUROCONVERT(8847.4117,"ESP","EEK",TRUE(),6)</f>
        <v>831.992543099</v>
      </c>
      <c r="B21700" s="0" t="s">
        <v>21525</v>
      </c>
    </row>
    <row r="21701" customFormat="false" ht="15" hidden="false" customHeight="false" outlineLevel="0" collapsed="false">
      <c r="A21701" s="0" t="n">
        <f aca="false">EUROCONVERT(1609,"ATS","EUR",0)</f>
        <v>116.93</v>
      </c>
      <c r="B21701" s="0" t="s">
        <v>21526</v>
      </c>
    </row>
    <row r="21702" customFormat="false" ht="15" hidden="false" customHeight="false" outlineLevel="0" collapsed="false">
      <c r="A21702" s="0" t="n">
        <f aca="false">EUROCONVERT(5106.3553,"EEK","LTL",TRUE(),10)</f>
        <v>1126.84056471322</v>
      </c>
      <c r="B21702" s="0" t="s">
        <v>21527</v>
      </c>
    </row>
    <row r="21703" customFormat="false" ht="15" hidden="false" customHeight="false" outlineLevel="0" collapsed="false">
      <c r="A21703" s="0" t="n">
        <f aca="false">EUROCONVERT(4783.2,"EUR","DEM",0)</f>
        <v>9355.13</v>
      </c>
      <c r="B21703" s="0" t="s">
        <v>21528</v>
      </c>
    </row>
    <row r="21704" customFormat="false" ht="15" hidden="false" customHeight="false" outlineLevel="0" collapsed="false">
      <c r="A21704" s="0" t="n">
        <f aca="false">EUROCONVERT(8767,"MTL","MTL",TRUE(),4)</f>
        <v>8767</v>
      </c>
      <c r="B21704" s="0" t="s">
        <v>21529</v>
      </c>
    </row>
    <row r="21705" customFormat="false" ht="15" hidden="false" customHeight="false" outlineLevel="0" collapsed="false">
      <c r="A21705" s="0" t="n">
        <f aca="false">EUROCONVERT(6610.9622,"BEF","EUR",0)</f>
        <v>163.88</v>
      </c>
      <c r="B21705" s="0" t="s">
        <v>21530</v>
      </c>
    </row>
    <row r="21706" customFormat="false" ht="15" hidden="false" customHeight="false" outlineLevel="0" collapsed="false">
      <c r="A21706" s="0" t="n">
        <f aca="false">EUROCONVERT(5306.9581,"LVL","EUR",TRUE(),6)</f>
        <v>7551.121081</v>
      </c>
      <c r="B21706" s="0" t="s">
        <v>21531</v>
      </c>
    </row>
    <row r="21707" customFormat="false" ht="15" hidden="false" customHeight="false" outlineLevel="0" collapsed="false">
      <c r="A21707" s="0" t="n">
        <f aca="false">EUROCONVERT(6928,"GRD","HRK",0)</f>
        <v>153.19</v>
      </c>
      <c r="B21707" s="0" t="s">
        <v>21532</v>
      </c>
    </row>
    <row r="21708" customFormat="false" ht="15" hidden="false" customHeight="false" outlineLevel="0" collapsed="false">
      <c r="A21708" s="0" t="n">
        <f aca="false">EUROCONVERT(8477,"LUF","CYP",FALSE(),4)</f>
        <v>122.99</v>
      </c>
      <c r="B21708" s="0" t="s">
        <v>21533</v>
      </c>
    </row>
    <row r="21709" customFormat="false" ht="15" hidden="false" customHeight="false" outlineLevel="0" collapsed="false">
      <c r="A21709" s="0" t="n">
        <f aca="false">EUROCONVERT(8388,"EUR","FIM",0)</f>
        <v>49872.78</v>
      </c>
      <c r="B21709" s="0" t="s">
        <v>21534</v>
      </c>
    </row>
    <row r="21710" customFormat="false" ht="15" hidden="false" customHeight="false" outlineLevel="0" collapsed="false">
      <c r="A21710" s="0" t="n">
        <f aca="false">EUROCONVERT(5285,"ITL","ITL",FALSE(),10)</f>
        <v>5285</v>
      </c>
      <c r="B21710" s="0" t="s">
        <v>21535</v>
      </c>
    </row>
    <row r="21711" customFormat="false" ht="15" hidden="false" customHeight="false" outlineLevel="0" collapsed="false">
      <c r="A21711" s="0" t="n">
        <f aca="false">EUROCONVERT(4183.46,"PTE","NLG",0)</f>
        <v>45.98</v>
      </c>
      <c r="B21711" s="0" t="s">
        <v>21536</v>
      </c>
    </row>
    <row r="21712" customFormat="false" ht="15" hidden="false" customHeight="false" outlineLevel="0" collapsed="false">
      <c r="A21712" s="0" t="n">
        <f aca="false">EUROCONVERT(9253.4549,"ITL","ESP",TRUE(),10)</f>
        <v>795.160461601671</v>
      </c>
      <c r="B21712" s="0" t="s">
        <v>21537</v>
      </c>
    </row>
    <row r="21713" customFormat="false" ht="15" hidden="false" customHeight="false" outlineLevel="0" collapsed="false">
      <c r="A21713" s="0" t="n">
        <f aca="false">EUROCONVERT(8016.7182,"ESP","HRK",0)</f>
        <v>363.02</v>
      </c>
      <c r="B21713" s="0" t="s">
        <v>21538</v>
      </c>
    </row>
    <row r="21714" customFormat="false" ht="15" hidden="false" customHeight="false" outlineLevel="0" collapsed="false">
      <c r="A21714" s="0" t="n">
        <f aca="false">EUROCONVERT(3175.417,"ITL","ESP",FALSE(),10)</f>
        <v>273</v>
      </c>
      <c r="B21714" s="0" t="s">
        <v>21539</v>
      </c>
    </row>
    <row r="21715" customFormat="false" ht="15" hidden="false" customHeight="false" outlineLevel="0" collapsed="false">
      <c r="A21715" s="0" t="n">
        <f aca="false">EUROCONVERT(4952.6,"ESP","FRF",0)</f>
        <v>195.25</v>
      </c>
      <c r="B21715" s="0" t="s">
        <v>21540</v>
      </c>
    </row>
    <row r="21716" customFormat="false" ht="15" hidden="false" customHeight="false" outlineLevel="0" collapsed="false">
      <c r="A21716" s="0" t="n">
        <f aca="false">EUROCONVERT(2153.5937,"CYP","PTE",FALSE(),6)</f>
        <v>737700.24</v>
      </c>
      <c r="B21716" s="0" t="s">
        <v>21541</v>
      </c>
    </row>
    <row r="21717" customFormat="false" ht="15" hidden="false" customHeight="false" outlineLevel="0" collapsed="false">
      <c r="A21717" s="0" t="n">
        <f aca="false">EUROCONVERT(5213.39,"EUR","ITL",0)</f>
        <v>10094531</v>
      </c>
      <c r="B21717" s="0" t="s">
        <v>21542</v>
      </c>
    </row>
    <row r="21718" customFormat="false" ht="15" hidden="false" customHeight="false" outlineLevel="0" collapsed="false">
      <c r="A21718" s="0" t="n">
        <f aca="false">EUROCONVERT(9764.7809,"LVL","IEP",FALSE(),6)</f>
        <v>10942.44</v>
      </c>
      <c r="B21718" s="0" t="s">
        <v>21543</v>
      </c>
    </row>
    <row r="21719" customFormat="false" ht="15" hidden="false" customHeight="false" outlineLevel="0" collapsed="false">
      <c r="A21719" s="0" t="n">
        <f aca="false">EUROCONVERT(5836,"GRD","LVL",0)</f>
        <v>12.04</v>
      </c>
      <c r="B21719" s="0" t="s">
        <v>21544</v>
      </c>
    </row>
    <row r="21720" customFormat="false" ht="15" hidden="false" customHeight="false" outlineLevel="0" collapsed="false">
      <c r="A21720" s="0" t="n">
        <f aca="false">EUROCONVERT(7278,"LVL","LVL",FALSE(),4)</f>
        <v>7278</v>
      </c>
      <c r="B21720" s="0" t="s">
        <v>21545</v>
      </c>
    </row>
    <row r="21721" customFormat="false" ht="15" hidden="false" customHeight="false" outlineLevel="0" collapsed="false">
      <c r="A21721" s="0" t="n">
        <f aca="false">EUROCONVERT(6722,"FRF","FRF",0)</f>
        <v>6722</v>
      </c>
      <c r="B21721" s="0" t="s">
        <v>21546</v>
      </c>
    </row>
    <row r="21722" customFormat="false" ht="15" hidden="false" customHeight="false" outlineLevel="0" collapsed="false">
      <c r="A21722" s="0" t="n">
        <f aca="false">EUROCONVERT(4998,"LUF","ESP",FALSE(),3)</f>
        <v>20615</v>
      </c>
      <c r="B21722" s="0" t="s">
        <v>21547</v>
      </c>
    </row>
    <row r="21723" customFormat="false" ht="15" hidden="false" customHeight="false" outlineLevel="0" collapsed="false">
      <c r="A21723" s="0" t="n">
        <f aca="false">EUROCONVERT(2389,"BGN","EEK",0)</f>
        <v>19111.95</v>
      </c>
      <c r="B21723" s="0" t="s">
        <v>21548</v>
      </c>
    </row>
    <row r="21724" customFormat="false" ht="15" hidden="false" customHeight="false" outlineLevel="0" collapsed="false">
      <c r="A21724" s="0" t="n">
        <f aca="false">EUROCONVERT(1952.8999,"BEF","ESP",FALSE(),6)</f>
        <v>8055</v>
      </c>
      <c r="B21724" s="0" t="s">
        <v>21549</v>
      </c>
    </row>
    <row r="21725" customFormat="false" ht="15" hidden="false" customHeight="false" outlineLevel="0" collapsed="false">
      <c r="A21725" s="0" t="n">
        <f aca="false">EUROCONVERT(6868,"BGN","ITL",0)</f>
        <v>6799314</v>
      </c>
      <c r="B21725" s="0" t="s">
        <v>21550</v>
      </c>
    </row>
    <row r="21726" customFormat="false" ht="15" hidden="false" customHeight="false" outlineLevel="0" collapsed="false">
      <c r="A21726" s="0" t="n">
        <f aca="false">EUROCONVERT(9761,"BGN","LUF",TRUE(),4)</f>
        <v>201325.14976199</v>
      </c>
      <c r="B21726" s="0" t="s">
        <v>21551</v>
      </c>
    </row>
    <row r="21727" customFormat="false" ht="15" hidden="false" customHeight="false" outlineLevel="0" collapsed="false">
      <c r="A21727" s="0" t="n">
        <f aca="false">EUROCONVERT(6004,"ATS","CYP",0)</f>
        <v>255.37</v>
      </c>
      <c r="B21727" s="0" t="s">
        <v>21552</v>
      </c>
    </row>
    <row r="21728" customFormat="false" ht="15" hidden="false" customHeight="false" outlineLevel="0" collapsed="false">
      <c r="A21728" s="0" t="n">
        <f aca="false">EUROCONVERT(6895.2155,"NLG","BEF",TRUE(),4)</f>
        <v>126220.01332476</v>
      </c>
      <c r="B21728" s="0" t="s">
        <v>21553</v>
      </c>
    </row>
    <row r="21729" customFormat="false" ht="15" hidden="false" customHeight="false" outlineLevel="0" collapsed="false">
      <c r="A21729" s="0" t="n">
        <f aca="false">EUROCONVERT(6472.4697,"ATS","BEF",0)</f>
        <v>18975</v>
      </c>
      <c r="B21729" s="0" t="s">
        <v>21554</v>
      </c>
    </row>
    <row r="21730" customFormat="false" ht="15" hidden="false" customHeight="false" outlineLevel="0" collapsed="false">
      <c r="A21730" s="0" t="n">
        <f aca="false">EUROCONVERT(1837.0235,"MTL","EUR",FALSE(),4)</f>
        <v>4279.11</v>
      </c>
      <c r="B21730" s="0" t="s">
        <v>21555</v>
      </c>
    </row>
    <row r="21731" customFormat="false" ht="15" hidden="false" customHeight="false" outlineLevel="0" collapsed="false">
      <c r="A21731" s="0" t="n">
        <f aca="false">EUROCONVERT(964.7452,"SKK","CYP",0)</f>
        <v>18.74</v>
      </c>
      <c r="B21731" s="0" t="s">
        <v>21556</v>
      </c>
    </row>
    <row r="21732" customFormat="false" ht="15" hidden="false" customHeight="false" outlineLevel="0" collapsed="false">
      <c r="A21732" s="0" t="n">
        <f aca="false">EUROCONVERT(9502.6932,"FRF","GRD",TRUE(),4)</f>
        <v>493636.41515</v>
      </c>
      <c r="B21732" s="0" t="s">
        <v>21557</v>
      </c>
    </row>
    <row r="21733" customFormat="false" ht="15" hidden="false" customHeight="false" outlineLevel="0" collapsed="false">
      <c r="A21733" s="0" t="n">
        <f aca="false">EUROCONVERT(8532.11,"BGN","LVL",0)</f>
        <v>3065.91</v>
      </c>
      <c r="B21733" s="0" t="s">
        <v>21558</v>
      </c>
    </row>
    <row r="21734" customFormat="false" ht="15" hidden="false" customHeight="false" outlineLevel="0" collapsed="false">
      <c r="A21734" s="0" t="n">
        <f aca="false">EUROCONVERT(5324,"ESP","LTL",TRUE(),10)</f>
        <v>110.482295385455</v>
      </c>
      <c r="B21734" s="0" t="s">
        <v>21559</v>
      </c>
    </row>
    <row r="21735" customFormat="false" ht="15" hidden="false" customHeight="false" outlineLevel="0" collapsed="false">
      <c r="A21735" s="0" t="n">
        <f aca="false">EUROCONVERT(9692.42,"ESP","IEP",0)</f>
        <v>45.88</v>
      </c>
      <c r="B21735" s="0" t="s">
        <v>21560</v>
      </c>
    </row>
    <row r="21736" customFormat="false" ht="15" hidden="false" customHeight="false" outlineLevel="0" collapsed="false">
      <c r="A21736" s="0" t="n">
        <f aca="false">EUROCONVERT(8215.02,"NLG","DEM",FALSE(),10)</f>
        <v>7290.97</v>
      </c>
      <c r="B21736" s="0" t="s">
        <v>21561</v>
      </c>
    </row>
    <row r="21737" customFormat="false" ht="15" hidden="false" customHeight="false" outlineLevel="0" collapsed="false">
      <c r="A21737" s="0" t="n">
        <f aca="false">EUROCONVERT(2375.05,"GRD","ITL",0)</f>
        <v>13496</v>
      </c>
      <c r="B21737" s="0" t="s">
        <v>21562</v>
      </c>
    </row>
    <row r="21738" customFormat="false" ht="15" hidden="false" customHeight="false" outlineLevel="0" collapsed="false">
      <c r="A21738" s="0" t="n">
        <f aca="false">EUROCONVERT(7377.728,"LVL","ITL",FALSE(),6)</f>
        <v>20326113</v>
      </c>
      <c r="B21738" s="0" t="s">
        <v>21563</v>
      </c>
    </row>
    <row r="21739" customFormat="false" ht="15" hidden="false" customHeight="false" outlineLevel="0" collapsed="false">
      <c r="A21739" s="0" t="n">
        <f aca="false">EUROCONVERT(83.0282,"BGN","SKK",0)</f>
        <v>1278.9</v>
      </c>
      <c r="B21739" s="0" t="s">
        <v>21564</v>
      </c>
    </row>
    <row r="21740" customFormat="false" ht="15" hidden="false" customHeight="false" outlineLevel="0" collapsed="false">
      <c r="A21740" s="0" t="n">
        <f aca="false">ROWS(_xlfn.ORG.LIBREOFFICE.FOURIER(Data!A1:A8,TRUE()))</f>
        <v>8</v>
      </c>
      <c r="B21740" s="0" t="s">
        <v>21565</v>
      </c>
    </row>
    <row r="21741" customFormat="false" ht="15" hidden="false" customHeight="false" outlineLevel="0" collapsed="false">
      <c r="A21741" s="0" t="n">
        <f aca="false">COLUMNS(_xlfn.ORG.LIBREOFFICE.FOURIER(Data!A1:A8,TRUE()))</f>
        <v>2</v>
      </c>
      <c r="B21741" s="0" t="s">
        <v>21566</v>
      </c>
    </row>
    <row r="21742" customFormat="false" ht="15" hidden="false" customHeight="false" outlineLevel="0" collapsed="false">
      <c r="A21742" s="0" t="n">
        <f aca="false">SUM(_xlfn.ORG.LIBREOFFICE.FOURIER(Data!A1:A8,TRUE()))</f>
        <v>40</v>
      </c>
      <c r="B21742" s="0" t="s">
        <v>21567</v>
      </c>
    </row>
    <row r="21743" customFormat="false" ht="15" hidden="false" customHeight="false" outlineLevel="0" collapsed="false">
      <c r="A21743" s="0" t="n">
        <f aca="false">INDEX(_xlfn.ORG.LIBREOFFICE.FOURIER(Data!A1:A8,TRUE()),1,1)</f>
        <v>39</v>
      </c>
      <c r="B21743" s="0" t="s">
        <v>21568</v>
      </c>
    </row>
    <row r="21744" customFormat="false" ht="15" hidden="false" customHeight="false" outlineLevel="0" collapsed="false">
      <c r="A21744" s="0" t="n">
        <f aca="false">INDEX(_xlfn.ORG.LIBREOFFICE.FOURIER(Data!A1:A8,TRUE()),2,1)</f>
        <v>-1.17157287525381</v>
      </c>
      <c r="B21744" s="0" t="s">
        <v>21569</v>
      </c>
    </row>
    <row r="21745" customFormat="false" ht="15" hidden="false" customHeight="false" outlineLevel="0" collapsed="false">
      <c r="A21745" s="0" t="n">
        <f aca="false">INDEX(_xlfn.ORG.LIBREOFFICE.FOURIER(Data!A1:A8,TRUE()),2,2)</f>
        <v>0.414213562373095</v>
      </c>
      <c r="B21745" s="0" t="s">
        <v>21570</v>
      </c>
    </row>
    <row r="21746" customFormat="false" ht="15" hidden="false" customHeight="false" outlineLevel="0" collapsed="false">
      <c r="A21746" s="0" t="n">
        <f aca="false">INDEX(_xlfn.ORG.LIBREOFFICE.FOURIER(Data!A1:A8,TRUE()),3,2)</f>
        <v>1.80666351906064E-015</v>
      </c>
      <c r="B21746" s="0" t="s">
        <v>21571</v>
      </c>
    </row>
    <row r="21747" customFormat="false" ht="15" hidden="false" customHeight="false" outlineLevel="0" collapsed="false">
      <c r="A21747" s="0" t="n">
        <f aca="false">INDEX(_xlfn.ORG.LIBREOFFICE.FOURIER(Data!A1:A8,TRUE()),ROWS(_xlfn.ORG.LIBREOFFICE.FOURIER(Data!A1:A8,TRUE())),1)</f>
        <v>-1.17157287525381</v>
      </c>
      <c r="B21747" s="0" t="s">
        <v>21572</v>
      </c>
    </row>
    <row r="21748" customFormat="false" ht="15" hidden="false" customHeight="false" outlineLevel="0" collapsed="false">
      <c r="A21748" s="0" t="n">
        <f aca="false">INDEX(_xlfn.ORG.LIBREOFFICE.FOURIER(Data!A1:A8,TRUE()),ROWS(_xlfn.ORG.LIBREOFFICE.FOURIER(Data!A1:A8,TRUE())),2)</f>
        <v>-0.414213562373095</v>
      </c>
      <c r="B21748" s="0" t="s">
        <v>21573</v>
      </c>
    </row>
    <row r="21749" customFormat="false" ht="15" hidden="false" customHeight="false" outlineLevel="0" collapsed="false">
      <c r="A21749" s="0" t="n">
        <f aca="false">SUM(_xlfn.ORG.LIBREOFFICE.FOURIER(Data!A1:A8,TRUE(),TRUE()))</f>
        <v>5</v>
      </c>
      <c r="B21749" s="0" t="s">
        <v>21574</v>
      </c>
    </row>
    <row r="21750" customFormat="false" ht="15" hidden="false" customHeight="false" outlineLevel="0" collapsed="false">
      <c r="A21750" s="0" t="n">
        <f aca="false">INDEX(_xlfn.ORG.LIBREOFFICE.FOURIER(Data!A1:A8,TRUE(),TRUE()),1,1)</f>
        <v>4.875</v>
      </c>
      <c r="B21750" s="0" t="s">
        <v>21575</v>
      </c>
    </row>
    <row r="21751" customFormat="false" ht="15" hidden="false" customHeight="false" outlineLevel="0" collapsed="false">
      <c r="A21751" s="0" t="n">
        <f aca="false">INDEX(_xlfn.ORG.LIBREOFFICE.FOURIER(Data!A1:A8,TRUE(),TRUE()),2,1)</f>
        <v>-0.146446609406726</v>
      </c>
      <c r="B21751" s="0" t="s">
        <v>21576</v>
      </c>
    </row>
    <row r="21752" customFormat="false" ht="15" hidden="false" customHeight="false" outlineLevel="0" collapsed="false">
      <c r="A21752" s="0" t="n">
        <f aca="false">INDEX(_xlfn.ORG.LIBREOFFICE.FOURIER(Data!A1:A8,TRUE(),TRUE()),2,2)</f>
        <v>-0.0517766952966369</v>
      </c>
      <c r="B21752" s="0" t="s">
        <v>21577</v>
      </c>
    </row>
    <row r="21753" customFormat="false" ht="15" hidden="false" customHeight="false" outlineLevel="0" collapsed="false">
      <c r="A21753" s="0" t="n">
        <f aca="false">INDEX(_xlfn.ORG.LIBREOFFICE.FOURIER(Data!A1:A8,TRUE(),TRUE()),3,2)</f>
        <v>2.2583293988258E-016</v>
      </c>
      <c r="B21753" s="0" t="s">
        <v>21578</v>
      </c>
    </row>
    <row r="21754" customFormat="false" ht="15" hidden="false" customHeight="false" outlineLevel="0" collapsed="false">
      <c r="A21754" s="0" t="n">
        <f aca="false">INDEX(_xlfn.ORG.LIBREOFFICE.FOURIER(Data!A1:A8,TRUE(),TRUE()),ROWS(_xlfn.ORG.LIBREOFFICE.FOURIER(Data!A1:A8,TRUE(),TRUE())),1)</f>
        <v>-0.146446609406726</v>
      </c>
      <c r="B21754" s="0" t="s">
        <v>21579</v>
      </c>
    </row>
    <row r="21755" customFormat="false" ht="15" hidden="false" customHeight="false" outlineLevel="0" collapsed="false">
      <c r="A21755" s="0" t="n">
        <f aca="false">INDEX(_xlfn.ORG.LIBREOFFICE.FOURIER(Data!A1:A8,TRUE(),TRUE()),ROWS(_xlfn.ORG.LIBREOFFICE.FOURIER(Data!A1:A8,TRUE(),TRUE())),2)</f>
        <v>0.0517766952966369</v>
      </c>
      <c r="B21755" s="0" t="s">
        <v>21580</v>
      </c>
    </row>
    <row r="21756" customFormat="false" ht="15" hidden="false" customHeight="false" outlineLevel="0" collapsed="false">
      <c r="A21756" s="0" t="n">
        <f aca="false">SUM(_xlfn.ORG.LIBREOFFICE.FOURIER(Data!A1:A8,TRUE(),FALSE(),TRUE()))</f>
        <v>76.9705627484771</v>
      </c>
      <c r="B21756" s="0" t="s">
        <v>21581</v>
      </c>
    </row>
    <row r="21757" customFormat="false" ht="15" hidden="false" customHeight="false" outlineLevel="0" collapsed="false">
      <c r="A21757" s="0" t="n">
        <f aca="false">INDEX(_xlfn.ORG.LIBREOFFICE.FOURIER(Data!A1:A8,TRUE(),FALSE(),TRUE()),1,1)</f>
        <v>39</v>
      </c>
      <c r="B21757" s="0" t="s">
        <v>21582</v>
      </c>
    </row>
    <row r="21758" customFormat="false" ht="15" hidden="false" customHeight="false" outlineLevel="0" collapsed="false">
      <c r="A21758" s="0" t="n">
        <f aca="false">INDEX(_xlfn.ORG.LIBREOFFICE.FOURIER(Data!A1:A8,TRUE(),FALSE(),TRUE()),2,1)</f>
        <v>1.24264068711929</v>
      </c>
      <c r="B21758" s="0" t="s">
        <v>21583</v>
      </c>
    </row>
    <row r="21759" customFormat="false" ht="15" hidden="false" customHeight="false" outlineLevel="0" collapsed="false">
      <c r="A21759" s="0" t="n">
        <f aca="false">INDEX(_xlfn.ORG.LIBREOFFICE.FOURIER(Data!A1:A8,TRUE(),FALSE(),TRUE()),2,2)</f>
        <v>2.80175574413567</v>
      </c>
      <c r="B21759" s="0" t="s">
        <v>21584</v>
      </c>
    </row>
    <row r="21760" customFormat="false" ht="15" hidden="false" customHeight="false" outlineLevel="0" collapsed="false">
      <c r="A21760" s="0" t="n">
        <f aca="false">INDEX(_xlfn.ORG.LIBREOFFICE.FOURIER(Data!A1:A8,TRUE(),FALSE(),TRUE()),3,2)</f>
        <v>3.14159265358979</v>
      </c>
      <c r="B21760" s="0" t="s">
        <v>21585</v>
      </c>
    </row>
    <row r="21761" customFormat="false" ht="15" hidden="false" customHeight="false" outlineLevel="0" collapsed="false">
      <c r="A21761" s="0" t="n">
        <f aca="false">INDEX(_xlfn.ORG.LIBREOFFICE.FOURIER(Data!A1:A8,TRUE(),FALSE(),TRUE()),ROWS(_xlfn.ORG.LIBREOFFICE.FOURIER(Data!A1:A8,TRUE(),FALSE(),TRUE())),1)</f>
        <v>1.24264068711929</v>
      </c>
      <c r="B21761" s="0" t="s">
        <v>21586</v>
      </c>
    </row>
    <row r="21762" customFormat="false" ht="15" hidden="false" customHeight="false" outlineLevel="0" collapsed="false">
      <c r="A21762" s="0" t="n">
        <f aca="false">INDEX(_xlfn.ORG.LIBREOFFICE.FOURIER(Data!A1:A8,TRUE(),FALSE(),TRUE()),ROWS(_xlfn.ORG.LIBREOFFICE.FOURIER(Data!A1:A8,TRUE(),FALSE(),TRUE())),2)</f>
        <v>-2.80175574413567</v>
      </c>
      <c r="B21762" s="0" t="s">
        <v>21587</v>
      </c>
    </row>
    <row r="21763" customFormat="false" ht="15" hidden="false" customHeight="false" outlineLevel="0" collapsed="false">
      <c r="A21763" s="0" t="n">
        <f aca="false">SUM(_xlfn.ORG.LIBREOFFICE.FOURIER(Data!A1:A8,TRUE(),TRUE(),TRUE()))</f>
        <v>9.62132034355964</v>
      </c>
      <c r="B21763" s="0" t="s">
        <v>21588</v>
      </c>
    </row>
    <row r="21764" customFormat="false" ht="15" hidden="false" customHeight="false" outlineLevel="0" collapsed="false">
      <c r="A21764" s="0" t="n">
        <f aca="false">INDEX(_xlfn.ORG.LIBREOFFICE.FOURIER(Data!A1:A8,TRUE(),TRUE(),TRUE()),1,1)</f>
        <v>4.875</v>
      </c>
      <c r="B21764" s="0" t="s">
        <v>21589</v>
      </c>
    </row>
    <row r="21765" customFormat="false" ht="15" hidden="false" customHeight="false" outlineLevel="0" collapsed="false">
      <c r="A21765" s="0" t="n">
        <f aca="false">INDEX(_xlfn.ORG.LIBREOFFICE.FOURIER(Data!A1:A8,TRUE(),TRUE(),TRUE()),2,1)</f>
        <v>0.155330085889911</v>
      </c>
      <c r="B21765" s="0" t="s">
        <v>21590</v>
      </c>
    </row>
    <row r="21766" customFormat="false" ht="15" hidden="false" customHeight="false" outlineLevel="0" collapsed="false">
      <c r="A21766" s="0" t="n">
        <f aca="false">INDEX(_xlfn.ORG.LIBREOFFICE.FOURIER(Data!A1:A8,TRUE(),TRUE(),TRUE()),2,2)</f>
        <v>-2.80175574413567</v>
      </c>
      <c r="B21766" s="0" t="s">
        <v>21591</v>
      </c>
    </row>
    <row r="21767" customFormat="false" ht="15" hidden="false" customHeight="false" outlineLevel="0" collapsed="false">
      <c r="A21767" s="0" t="n">
        <f aca="false">INDEX(_xlfn.ORG.LIBREOFFICE.FOURIER(Data!A1:A8,TRUE(),TRUE(),TRUE()),3,2)</f>
        <v>3.14159265358979</v>
      </c>
      <c r="B21767" s="0" t="s">
        <v>21592</v>
      </c>
    </row>
    <row r="21768" customFormat="false" ht="15" hidden="false" customHeight="false" outlineLevel="0" collapsed="false">
      <c r="A21768" s="0" t="n">
        <f aca="false">INDEX(_xlfn.ORG.LIBREOFFICE.FOURIER(Data!A1:A8,TRUE(),TRUE(),TRUE()),ROWS(_xlfn.ORG.LIBREOFFICE.FOURIER(Data!A1:A8,TRUE(),TRUE(),TRUE())),1)</f>
        <v>0.155330085889911</v>
      </c>
      <c r="B21768" s="0" t="s">
        <v>21593</v>
      </c>
    </row>
    <row r="21769" customFormat="false" ht="15" hidden="false" customHeight="false" outlineLevel="0" collapsed="false">
      <c r="A21769" s="0" t="n">
        <f aca="false">INDEX(_xlfn.ORG.LIBREOFFICE.FOURIER(Data!A1:A8,TRUE(),TRUE(),TRUE()),ROWS(_xlfn.ORG.LIBREOFFICE.FOURIER(Data!A1:A8,TRUE(),TRUE(),TRUE())),2)</f>
        <v>2.80175574413567</v>
      </c>
      <c r="B21769" s="0" t="s">
        <v>21594</v>
      </c>
    </row>
    <row r="21770" customFormat="false" ht="15" hidden="false" customHeight="false" outlineLevel="0" collapsed="false">
      <c r="A21770" s="0" t="n">
        <f aca="false">SUM(_xlfn.ORG.LIBREOFFICE.FOURIER(Data!A1:A8,TRUE(),FALSE(),TRUE(),1))</f>
        <v>74.9705627484771</v>
      </c>
      <c r="B21770" s="0" t="s">
        <v>21595</v>
      </c>
    </row>
    <row r="21771" customFormat="false" ht="15" hidden="false" customHeight="false" outlineLevel="0" collapsed="false">
      <c r="A21771" s="0" t="n">
        <f aca="false">INDEX(_xlfn.ORG.LIBREOFFICE.FOURIER(Data!A1:A8,TRUE(),FALSE(),TRUE(),1),1,1)</f>
        <v>39</v>
      </c>
      <c r="B21771" s="0" t="s">
        <v>21596</v>
      </c>
    </row>
    <row r="21772" customFormat="false" ht="15" hidden="false" customHeight="false" outlineLevel="0" collapsed="false">
      <c r="A21772" s="0" t="n">
        <f aca="false">INDEX(_xlfn.ORG.LIBREOFFICE.FOURIER(Data!A1:A8,TRUE(),FALSE(),TRUE(),1),2,1)</f>
        <v>1.24264068711929</v>
      </c>
      <c r="B21772" s="0" t="s">
        <v>21597</v>
      </c>
    </row>
    <row r="21773" customFormat="false" ht="15" hidden="false" customHeight="false" outlineLevel="0" collapsed="false">
      <c r="A21773" s="0" t="n">
        <f aca="false">INDEX(_xlfn.ORG.LIBREOFFICE.FOURIER(Data!A1:A8,TRUE(),FALSE(),TRUE(),1),2,2)</f>
        <v>2.80175574413567</v>
      </c>
      <c r="B21773" s="0" t="s">
        <v>21598</v>
      </c>
    </row>
    <row r="21774" customFormat="false" ht="15" hidden="false" customHeight="false" outlineLevel="0" collapsed="false">
      <c r="A21774" s="0" t="n">
        <f aca="false">INDEX(_xlfn.ORG.LIBREOFFICE.FOURIER(Data!A1:A8,TRUE(),FALSE(),TRUE(),1),3,2)</f>
        <v>0</v>
      </c>
      <c r="B21774" s="0" t="s">
        <v>21599</v>
      </c>
    </row>
    <row r="21775" customFormat="false" ht="15" hidden="false" customHeight="false" outlineLevel="0" collapsed="false">
      <c r="A21775" s="0" t="n">
        <f aca="false">INDEX(_xlfn.ORG.LIBREOFFICE.FOURIER(Data!A1:A8,TRUE(),FALSE(),TRUE(),1),ROWS(_xlfn.ORG.LIBREOFFICE.FOURIER(Data!A1:A8,TRUE(),FALSE(),TRUE(),1)),1)</f>
        <v>1.24264068711929</v>
      </c>
      <c r="B21775" s="0" t="s">
        <v>21600</v>
      </c>
    </row>
    <row r="21776" customFormat="false" ht="15" hidden="false" customHeight="false" outlineLevel="0" collapsed="false">
      <c r="A21776" s="0" t="n">
        <f aca="false">INDEX(_xlfn.ORG.LIBREOFFICE.FOURIER(Data!A1:A8,TRUE(),FALSE(),TRUE(),1),ROWS(_xlfn.ORG.LIBREOFFICE.FOURIER(Data!A1:A8,TRUE(),FALSE(),TRUE(),1)),2)</f>
        <v>-2.80175574413567</v>
      </c>
      <c r="B21776" s="0" t="s">
        <v>21601</v>
      </c>
    </row>
    <row r="21777" customFormat="false" ht="15" hidden="false" customHeight="false" outlineLevel="0" collapsed="false">
      <c r="A21777" s="0" t="n">
        <f aca="false">SUM(_xlfn.ORG.LIBREOFFICE.FOURIER(Data!A1:A8,TRUE(),TRUE(),TRUE(),5))</f>
        <v>9.06066017177982</v>
      </c>
      <c r="B21777" s="0" t="s">
        <v>21602</v>
      </c>
    </row>
    <row r="21778" customFormat="false" ht="15" hidden="false" customHeight="false" outlineLevel="0" collapsed="false">
      <c r="A21778" s="0" t="n">
        <f aca="false">INDEX(_xlfn.ORG.LIBREOFFICE.FOURIER(Data!A1:A8,TRUE(),TRUE(),TRUE(),5),1,1)</f>
        <v>4.875</v>
      </c>
      <c r="B21778" s="0" t="s">
        <v>21603</v>
      </c>
    </row>
    <row r="21779" customFormat="false" ht="15" hidden="false" customHeight="false" outlineLevel="0" collapsed="false">
      <c r="A21779" s="0" t="n">
        <f aca="false">INDEX(_xlfn.ORG.LIBREOFFICE.FOURIER(Data!A1:A8,TRUE(),TRUE(),TRUE(),5),2,1)</f>
        <v>0</v>
      </c>
      <c r="B21779" s="0" t="s">
        <v>21604</v>
      </c>
    </row>
    <row r="21780" customFormat="false" ht="15" hidden="false" customHeight="false" outlineLevel="0" collapsed="false">
      <c r="A21780" s="0" t="n">
        <f aca="false">INDEX(_xlfn.ORG.LIBREOFFICE.FOURIER(Data!A1:A8,TRUE(),TRUE(),TRUE(),5),2,2)</f>
        <v>0</v>
      </c>
      <c r="B21780" s="0" t="s">
        <v>21605</v>
      </c>
    </row>
    <row r="21781" customFormat="false" ht="15" hidden="false" customHeight="false" outlineLevel="0" collapsed="false">
      <c r="A21781" s="0" t="n">
        <f aca="false">INDEX(_xlfn.ORG.LIBREOFFICE.FOURIER(Data!A1:A8,TRUE(),TRUE(),TRUE(),5),3,2)</f>
        <v>0</v>
      </c>
      <c r="B21781" s="0" t="s">
        <v>21606</v>
      </c>
    </row>
    <row r="21782" customFormat="false" ht="15" hidden="false" customHeight="false" outlineLevel="0" collapsed="false">
      <c r="A21782" s="0" t="n">
        <f aca="false">INDEX(_xlfn.ORG.LIBREOFFICE.FOURIER(Data!A1:A8,TRUE(),TRUE(),TRUE(),5),ROWS(_xlfn.ORG.LIBREOFFICE.FOURIER(Data!A1:A8,TRUE(),TRUE(),TRUE(),5)),1)</f>
        <v>0</v>
      </c>
      <c r="B21782" s="0" t="s">
        <v>21607</v>
      </c>
    </row>
    <row r="21783" customFormat="false" ht="15" hidden="false" customHeight="false" outlineLevel="0" collapsed="false">
      <c r="A21783" s="0" t="n">
        <f aca="false">INDEX(_xlfn.ORG.LIBREOFFICE.FOURIER(Data!A1:A8,TRUE(),TRUE(),TRUE(),5),ROWS(_xlfn.ORG.LIBREOFFICE.FOURIER(Data!A1:A8,TRUE(),TRUE(),TRUE(),5)),2)</f>
        <v>0</v>
      </c>
      <c r="B21783" s="0" t="s">
        <v>21608</v>
      </c>
    </row>
    <row r="21784" customFormat="false" ht="15" hidden="false" customHeight="false" outlineLevel="0" collapsed="false">
      <c r="A21784" s="0" t="e">
        <f aca="false">ROWS(_xlfn.ORG.LIBREOFFICE.FOURIER(Data!A1:A8,FALSE()))</f>
        <v>#VALUE!</v>
      </c>
      <c r="B21784" s="0" t="s">
        <v>21609</v>
      </c>
    </row>
    <row r="21785" customFormat="false" ht="15" hidden="false" customHeight="false" outlineLevel="0" collapsed="false">
      <c r="A21785" s="0" t="e">
        <f aca="false">COLUMNS(_xlfn.ORG.LIBREOFFICE.FOURIER(Data!A1:A8,FALSE()))</f>
        <v>#VALUE!</v>
      </c>
      <c r="B21785" s="0" t="s">
        <v>21610</v>
      </c>
    </row>
    <row r="21786" customFormat="false" ht="15" hidden="false" customHeight="false" outlineLevel="0" collapsed="false">
      <c r="A21786" s="0" t="e">
        <f aca="false">SUM(_xlfn.ORG.LIBREOFFICE.FOURIER(Data!A1:A8,FALSE()))</f>
        <v>#VALUE!</v>
      </c>
      <c r="B21786" s="0" t="s">
        <v>21611</v>
      </c>
    </row>
    <row r="21787" customFormat="false" ht="15" hidden="false" customHeight="false" outlineLevel="0" collapsed="false">
      <c r="A21787" s="0" t="e">
        <f aca="false">INDEX(_xlfn.ORG.LIBREOFFICE.FOURIER(Data!A1:A8,FALSE()),1,1)</f>
        <v>#VALUE!</v>
      </c>
      <c r="B21787" s="0" t="s">
        <v>21612</v>
      </c>
    </row>
    <row r="21788" customFormat="false" ht="15" hidden="false" customHeight="false" outlineLevel="0" collapsed="false">
      <c r="A21788" s="0" t="e">
        <f aca="false">INDEX(_xlfn.ORG.LIBREOFFICE.FOURIER(Data!A1:A8,FALSE()),2,1)</f>
        <v>#VALUE!</v>
      </c>
      <c r="B21788" s="0" t="s">
        <v>21613</v>
      </c>
    </row>
    <row r="21789" customFormat="false" ht="15" hidden="false" customHeight="false" outlineLevel="0" collapsed="false">
      <c r="A21789" s="0" t="e">
        <f aca="false">INDEX(_xlfn.ORG.LIBREOFFICE.FOURIER(Data!A1:A8,FALSE()),2,2)</f>
        <v>#VALUE!</v>
      </c>
      <c r="B21789" s="0" t="s">
        <v>21614</v>
      </c>
    </row>
    <row r="21790" customFormat="false" ht="15" hidden="false" customHeight="false" outlineLevel="0" collapsed="false">
      <c r="A21790" s="0" t="e">
        <f aca="false">INDEX(_xlfn.ORG.LIBREOFFICE.FOURIER(Data!A1:A8,FALSE()),3,2)</f>
        <v>#VALUE!</v>
      </c>
      <c r="B21790" s="0" t="s">
        <v>21615</v>
      </c>
    </row>
    <row r="21791" customFormat="false" ht="15" hidden="false" customHeight="false" outlineLevel="0" collapsed="false">
      <c r="A21791" s="0" t="e">
        <f aca="false">INDEX(_xlfn.ORG.LIBREOFFICE.FOURIER(Data!A1:A8,FALSE()),ROWS(_xlfn.ORG.LIBREOFFICE.FOURIER(Data!A1:A8,FALSE())),1)</f>
        <v>#VALUE!</v>
      </c>
      <c r="B21791" s="0" t="s">
        <v>21616</v>
      </c>
    </row>
    <row r="21792" customFormat="false" ht="15" hidden="false" customHeight="false" outlineLevel="0" collapsed="false">
      <c r="A21792" s="0" t="e">
        <f aca="false">INDEX(_xlfn.ORG.LIBREOFFICE.FOURIER(Data!A1:A8,FALSE()),ROWS(_xlfn.ORG.LIBREOFFICE.FOURIER(Data!A1:A8,FALSE())),2)</f>
        <v>#VALUE!</v>
      </c>
      <c r="B21792" s="0" t="s">
        <v>21617</v>
      </c>
    </row>
    <row r="21793" customFormat="false" ht="15" hidden="false" customHeight="false" outlineLevel="0" collapsed="false">
      <c r="A21793" s="0" t="e">
        <f aca="false">SUM(_xlfn.ORG.LIBREOFFICE.FOURIER(Data!A1:A8,FALSE(),TRUE()))</f>
        <v>#VALUE!</v>
      </c>
      <c r="B21793" s="0" t="s">
        <v>21618</v>
      </c>
    </row>
    <row r="21794" customFormat="false" ht="15" hidden="false" customHeight="false" outlineLevel="0" collapsed="false">
      <c r="A21794" s="0" t="e">
        <f aca="false">INDEX(_xlfn.ORG.LIBREOFFICE.FOURIER(Data!A1:A8,FALSE(),TRUE()),1,1)</f>
        <v>#VALUE!</v>
      </c>
      <c r="B21794" s="0" t="s">
        <v>21619</v>
      </c>
    </row>
    <row r="21795" customFormat="false" ht="15" hidden="false" customHeight="false" outlineLevel="0" collapsed="false">
      <c r="A21795" s="0" t="e">
        <f aca="false">INDEX(_xlfn.ORG.LIBREOFFICE.FOURIER(Data!A1:A8,FALSE(),TRUE()),2,1)</f>
        <v>#VALUE!</v>
      </c>
      <c r="B21795" s="0" t="s">
        <v>21620</v>
      </c>
    </row>
    <row r="21796" customFormat="false" ht="15" hidden="false" customHeight="false" outlineLevel="0" collapsed="false">
      <c r="A21796" s="0" t="e">
        <f aca="false">INDEX(_xlfn.ORG.LIBREOFFICE.FOURIER(Data!A1:A8,FALSE(),TRUE()),2,2)</f>
        <v>#VALUE!</v>
      </c>
      <c r="B21796" s="0" t="s">
        <v>21621</v>
      </c>
    </row>
    <row r="21797" customFormat="false" ht="15" hidden="false" customHeight="false" outlineLevel="0" collapsed="false">
      <c r="A21797" s="0" t="e">
        <f aca="false">INDEX(_xlfn.ORG.LIBREOFFICE.FOURIER(Data!A1:A8,FALSE(),TRUE()),3,2)</f>
        <v>#VALUE!</v>
      </c>
      <c r="B21797" s="0" t="s">
        <v>21622</v>
      </c>
    </row>
    <row r="21798" customFormat="false" ht="15" hidden="false" customHeight="false" outlineLevel="0" collapsed="false">
      <c r="A21798" s="0" t="e">
        <f aca="false">INDEX(_xlfn.ORG.LIBREOFFICE.FOURIER(Data!A1:A8,FALSE(),TRUE()),ROWS(_xlfn.ORG.LIBREOFFICE.FOURIER(Data!A1:A8,FALSE(),TRUE())),1)</f>
        <v>#VALUE!</v>
      </c>
      <c r="B21798" s="0" t="s">
        <v>21623</v>
      </c>
    </row>
    <row r="21799" customFormat="false" ht="15" hidden="false" customHeight="false" outlineLevel="0" collapsed="false">
      <c r="A21799" s="0" t="e">
        <f aca="false">INDEX(_xlfn.ORG.LIBREOFFICE.FOURIER(Data!A1:A8,FALSE(),TRUE()),ROWS(_xlfn.ORG.LIBREOFFICE.FOURIER(Data!A1:A8,FALSE(),TRUE())),2)</f>
        <v>#VALUE!</v>
      </c>
      <c r="B21799" s="0" t="s">
        <v>21624</v>
      </c>
    </row>
    <row r="21800" customFormat="false" ht="15" hidden="false" customHeight="false" outlineLevel="0" collapsed="false">
      <c r="A21800" s="0" t="e">
        <f aca="false">SUM(_xlfn.ORG.LIBREOFFICE.FOURIER(Data!A1:A8,FALSE(),FALSE(),TRUE()))</f>
        <v>#VALUE!</v>
      </c>
      <c r="B21800" s="0" t="s">
        <v>21625</v>
      </c>
    </row>
    <row r="21801" customFormat="false" ht="15" hidden="false" customHeight="false" outlineLevel="0" collapsed="false">
      <c r="A21801" s="0" t="e">
        <f aca="false">INDEX(_xlfn.ORG.LIBREOFFICE.FOURIER(Data!A1:A8,FALSE(),FALSE(),TRUE()),1,1)</f>
        <v>#VALUE!</v>
      </c>
      <c r="B21801" s="0" t="s">
        <v>21626</v>
      </c>
    </row>
    <row r="21802" customFormat="false" ht="15" hidden="false" customHeight="false" outlineLevel="0" collapsed="false">
      <c r="A21802" s="0" t="e">
        <f aca="false">INDEX(_xlfn.ORG.LIBREOFFICE.FOURIER(Data!A1:A8,FALSE(),FALSE(),TRUE()),2,1)</f>
        <v>#VALUE!</v>
      </c>
      <c r="B21802" s="0" t="s">
        <v>21627</v>
      </c>
    </row>
    <row r="21803" customFormat="false" ht="15" hidden="false" customHeight="false" outlineLevel="0" collapsed="false">
      <c r="A21803" s="0" t="e">
        <f aca="false">INDEX(_xlfn.ORG.LIBREOFFICE.FOURIER(Data!A1:A8,FALSE(),FALSE(),TRUE()),2,2)</f>
        <v>#VALUE!</v>
      </c>
      <c r="B21803" s="0" t="s">
        <v>21628</v>
      </c>
    </row>
    <row r="21804" customFormat="false" ht="15" hidden="false" customHeight="false" outlineLevel="0" collapsed="false">
      <c r="A21804" s="0" t="e">
        <f aca="false">INDEX(_xlfn.ORG.LIBREOFFICE.FOURIER(Data!A1:A8,FALSE(),FALSE(),TRUE()),3,2)</f>
        <v>#VALUE!</v>
      </c>
      <c r="B21804" s="0" t="s">
        <v>21629</v>
      </c>
    </row>
    <row r="21805" customFormat="false" ht="15" hidden="false" customHeight="false" outlineLevel="0" collapsed="false">
      <c r="A21805" s="0" t="e">
        <f aca="false">INDEX(_xlfn.ORG.LIBREOFFICE.FOURIER(Data!A1:A8,FALSE(),FALSE(),TRUE()),ROWS(_xlfn.ORG.LIBREOFFICE.FOURIER(Data!A1:A8,FALSE(),FALSE(),TRUE())),1)</f>
        <v>#VALUE!</v>
      </c>
      <c r="B21805" s="0" t="s">
        <v>21630</v>
      </c>
    </row>
    <row r="21806" customFormat="false" ht="15" hidden="false" customHeight="false" outlineLevel="0" collapsed="false">
      <c r="A21806" s="0" t="e">
        <f aca="false">INDEX(_xlfn.ORG.LIBREOFFICE.FOURIER(Data!A1:A8,FALSE(),FALSE(),TRUE()),ROWS(_xlfn.ORG.LIBREOFFICE.FOURIER(Data!A1:A8,FALSE(),FALSE(),TRUE())),2)</f>
        <v>#VALUE!</v>
      </c>
      <c r="B21806" s="0" t="s">
        <v>21631</v>
      </c>
    </row>
    <row r="21807" customFormat="false" ht="15" hidden="false" customHeight="false" outlineLevel="0" collapsed="false">
      <c r="A21807" s="0" t="e">
        <f aca="false">SUM(_xlfn.ORG.LIBREOFFICE.FOURIER(Data!A1:A8,FALSE(),TRUE(),TRUE()))</f>
        <v>#VALUE!</v>
      </c>
      <c r="B21807" s="0" t="s">
        <v>21632</v>
      </c>
    </row>
    <row r="21808" customFormat="false" ht="15" hidden="false" customHeight="false" outlineLevel="0" collapsed="false">
      <c r="A21808" s="0" t="e">
        <f aca="false">INDEX(_xlfn.ORG.LIBREOFFICE.FOURIER(Data!A1:A8,FALSE(),TRUE(),TRUE()),1,1)</f>
        <v>#VALUE!</v>
      </c>
      <c r="B21808" s="0" t="s">
        <v>21633</v>
      </c>
    </row>
    <row r="21809" customFormat="false" ht="15" hidden="false" customHeight="false" outlineLevel="0" collapsed="false">
      <c r="A21809" s="0" t="e">
        <f aca="false">INDEX(_xlfn.ORG.LIBREOFFICE.FOURIER(Data!A1:A8,FALSE(),TRUE(),TRUE()),2,1)</f>
        <v>#VALUE!</v>
      </c>
      <c r="B21809" s="0" t="s">
        <v>21634</v>
      </c>
    </row>
    <row r="21810" customFormat="false" ht="15" hidden="false" customHeight="false" outlineLevel="0" collapsed="false">
      <c r="A21810" s="0" t="e">
        <f aca="false">INDEX(_xlfn.ORG.LIBREOFFICE.FOURIER(Data!A1:A8,FALSE(),TRUE(),TRUE()),2,2)</f>
        <v>#VALUE!</v>
      </c>
      <c r="B21810" s="0" t="s">
        <v>21635</v>
      </c>
    </row>
    <row r="21811" customFormat="false" ht="15" hidden="false" customHeight="false" outlineLevel="0" collapsed="false">
      <c r="A21811" s="0" t="e">
        <f aca="false">INDEX(_xlfn.ORG.LIBREOFFICE.FOURIER(Data!A1:A8,FALSE(),TRUE(),TRUE()),3,2)</f>
        <v>#VALUE!</v>
      </c>
      <c r="B21811" s="0" t="s">
        <v>21636</v>
      </c>
    </row>
    <row r="21812" customFormat="false" ht="15" hidden="false" customHeight="false" outlineLevel="0" collapsed="false">
      <c r="A21812" s="0" t="e">
        <f aca="false">INDEX(_xlfn.ORG.LIBREOFFICE.FOURIER(Data!A1:A8,FALSE(),TRUE(),TRUE()),ROWS(_xlfn.ORG.LIBREOFFICE.FOURIER(Data!A1:A8,FALSE(),TRUE(),TRUE())),1)</f>
        <v>#VALUE!</v>
      </c>
      <c r="B21812" s="0" t="s">
        <v>21637</v>
      </c>
    </row>
    <row r="21813" customFormat="false" ht="15" hidden="false" customHeight="false" outlineLevel="0" collapsed="false">
      <c r="A21813" s="0" t="e">
        <f aca="false">INDEX(_xlfn.ORG.LIBREOFFICE.FOURIER(Data!A1:A8,FALSE(),TRUE(),TRUE()),ROWS(_xlfn.ORG.LIBREOFFICE.FOURIER(Data!A1:A8,FALSE(),TRUE(),TRUE())),2)</f>
        <v>#VALUE!</v>
      </c>
      <c r="B21813" s="0" t="s">
        <v>21638</v>
      </c>
    </row>
    <row r="21814" customFormat="false" ht="15" hidden="false" customHeight="false" outlineLevel="0" collapsed="false">
      <c r="A21814" s="0" t="e">
        <f aca="false">SUM(_xlfn.ORG.LIBREOFFICE.FOURIER(Data!A1:A8,FALSE(),FALSE(),TRUE(),1))</f>
        <v>#VALUE!</v>
      </c>
      <c r="B21814" s="0" t="s">
        <v>21639</v>
      </c>
    </row>
    <row r="21815" customFormat="false" ht="15" hidden="false" customHeight="false" outlineLevel="0" collapsed="false">
      <c r="A21815" s="0" t="e">
        <f aca="false">INDEX(_xlfn.ORG.LIBREOFFICE.FOURIER(Data!A1:A8,FALSE(),FALSE(),TRUE(),1),1,1)</f>
        <v>#VALUE!</v>
      </c>
      <c r="B21815" s="0" t="s">
        <v>21640</v>
      </c>
    </row>
    <row r="21816" customFormat="false" ht="15" hidden="false" customHeight="false" outlineLevel="0" collapsed="false">
      <c r="A21816" s="0" t="e">
        <f aca="false">INDEX(_xlfn.ORG.LIBREOFFICE.FOURIER(Data!A1:A8,FALSE(),FALSE(),TRUE(),1),2,1)</f>
        <v>#VALUE!</v>
      </c>
      <c r="B21816" s="0" t="s">
        <v>21641</v>
      </c>
    </row>
    <row r="21817" customFormat="false" ht="15" hidden="false" customHeight="false" outlineLevel="0" collapsed="false">
      <c r="A21817" s="0" t="e">
        <f aca="false">INDEX(_xlfn.ORG.LIBREOFFICE.FOURIER(Data!A1:A8,FALSE(),FALSE(),TRUE(),1),2,2)</f>
        <v>#VALUE!</v>
      </c>
      <c r="B21817" s="0" t="s">
        <v>21642</v>
      </c>
    </row>
    <row r="21818" customFormat="false" ht="15" hidden="false" customHeight="false" outlineLevel="0" collapsed="false">
      <c r="A21818" s="0" t="e">
        <f aca="false">INDEX(_xlfn.ORG.LIBREOFFICE.FOURIER(Data!A1:A8,FALSE(),FALSE(),TRUE(),1),3,2)</f>
        <v>#VALUE!</v>
      </c>
      <c r="B21818" s="0" t="s">
        <v>21643</v>
      </c>
    </row>
    <row r="21819" customFormat="false" ht="15" hidden="false" customHeight="false" outlineLevel="0" collapsed="false">
      <c r="A21819" s="0" t="e">
        <f aca="false">INDEX(_xlfn.ORG.LIBREOFFICE.FOURIER(Data!A1:A8,FALSE(),FALSE(),TRUE(),1),ROWS(_xlfn.ORG.LIBREOFFICE.FOURIER(Data!A1:A8,FALSE(),FALSE(),TRUE(),1)),1)</f>
        <v>#VALUE!</v>
      </c>
      <c r="B21819" s="0" t="s">
        <v>21644</v>
      </c>
    </row>
    <row r="21820" customFormat="false" ht="15" hidden="false" customHeight="false" outlineLevel="0" collapsed="false">
      <c r="A21820" s="0" t="e">
        <f aca="false">INDEX(_xlfn.ORG.LIBREOFFICE.FOURIER(Data!A1:A8,FALSE(),FALSE(),TRUE(),1),ROWS(_xlfn.ORG.LIBREOFFICE.FOURIER(Data!A1:A8,FALSE(),FALSE(),TRUE(),1)),2)</f>
        <v>#VALUE!</v>
      </c>
      <c r="B21820" s="0" t="s">
        <v>21645</v>
      </c>
    </row>
    <row r="21821" customFormat="false" ht="15" hidden="false" customHeight="false" outlineLevel="0" collapsed="false">
      <c r="A21821" s="0" t="e">
        <f aca="false">SUM(_xlfn.ORG.LIBREOFFICE.FOURIER(Data!A1:A8,FALSE(),TRUE(),TRUE(),5))</f>
        <v>#VALUE!</v>
      </c>
      <c r="B21821" s="0" t="s">
        <v>21646</v>
      </c>
    </row>
    <row r="21822" customFormat="false" ht="15" hidden="false" customHeight="false" outlineLevel="0" collapsed="false">
      <c r="A21822" s="0" t="e">
        <f aca="false">INDEX(_xlfn.ORG.LIBREOFFICE.FOURIER(Data!A1:A8,FALSE(),TRUE(),TRUE(),5),1,1)</f>
        <v>#VALUE!</v>
      </c>
      <c r="B21822" s="0" t="s">
        <v>21647</v>
      </c>
    </row>
    <row r="21823" customFormat="false" ht="15" hidden="false" customHeight="false" outlineLevel="0" collapsed="false">
      <c r="A21823" s="0" t="e">
        <f aca="false">INDEX(_xlfn.ORG.LIBREOFFICE.FOURIER(Data!A1:A8,FALSE(),TRUE(),TRUE(),5),2,1)</f>
        <v>#VALUE!</v>
      </c>
      <c r="B21823" s="0" t="s">
        <v>21648</v>
      </c>
    </row>
    <row r="21824" customFormat="false" ht="15" hidden="false" customHeight="false" outlineLevel="0" collapsed="false">
      <c r="A21824" s="0" t="e">
        <f aca="false">INDEX(_xlfn.ORG.LIBREOFFICE.FOURIER(Data!A1:A8,FALSE(),TRUE(),TRUE(),5),2,2)</f>
        <v>#VALUE!</v>
      </c>
      <c r="B21824" s="0" t="s">
        <v>21649</v>
      </c>
    </row>
    <row r="21825" customFormat="false" ht="15" hidden="false" customHeight="false" outlineLevel="0" collapsed="false">
      <c r="A21825" s="0" t="e">
        <f aca="false">INDEX(_xlfn.ORG.LIBREOFFICE.FOURIER(Data!A1:A8,FALSE(),TRUE(),TRUE(),5),3,2)</f>
        <v>#VALUE!</v>
      </c>
      <c r="B21825" s="0" t="s">
        <v>21650</v>
      </c>
    </row>
    <row r="21826" customFormat="false" ht="15" hidden="false" customHeight="false" outlineLevel="0" collapsed="false">
      <c r="A21826" s="0" t="e">
        <f aca="false">INDEX(_xlfn.ORG.LIBREOFFICE.FOURIER(Data!A1:A8,FALSE(),TRUE(),TRUE(),5),ROWS(_xlfn.ORG.LIBREOFFICE.FOURIER(Data!A1:A8,FALSE(),TRUE(),TRUE(),5)),1)</f>
        <v>#VALUE!</v>
      </c>
      <c r="B21826" s="0" t="s">
        <v>21651</v>
      </c>
    </row>
    <row r="21827" customFormat="false" ht="15" hidden="false" customHeight="false" outlineLevel="0" collapsed="false">
      <c r="A21827" s="0" t="e">
        <f aca="false">INDEX(_xlfn.ORG.LIBREOFFICE.FOURIER(Data!A1:A8,FALSE(),TRUE(),TRUE(),5),ROWS(_xlfn.ORG.LIBREOFFICE.FOURIER(Data!A1:A8,FALSE(),TRUE(),TRUE(),5)),2)</f>
        <v>#VALUE!</v>
      </c>
      <c r="B21827" s="0" t="s">
        <v>21652</v>
      </c>
    </row>
    <row r="21828" customFormat="false" ht="15" hidden="false" customHeight="false" outlineLevel="0" collapsed="false">
      <c r="A21828" s="0" t="n">
        <f aca="false">ROWS(_xlfn.ORG.LIBREOFFICE.FOURIER(Data!A1:A5,TRUE()))</f>
        <v>5</v>
      </c>
      <c r="B21828" s="0" t="s">
        <v>21653</v>
      </c>
    </row>
    <row r="21829" customFormat="false" ht="15" hidden="false" customHeight="false" outlineLevel="0" collapsed="false">
      <c r="A21829" s="0" t="n">
        <f aca="false">COLUMNS(_xlfn.ORG.LIBREOFFICE.FOURIER(Data!A1:A5,TRUE()))</f>
        <v>2</v>
      </c>
      <c r="B21829" s="0" t="s">
        <v>21654</v>
      </c>
    </row>
    <row r="21830" customFormat="false" ht="15" hidden="false" customHeight="false" outlineLevel="0" collapsed="false">
      <c r="A21830" s="0" t="n">
        <f aca="false">SUM(_xlfn.ORG.LIBREOFFICE.FOURIER(Data!A1:A5,TRUE()))</f>
        <v>25</v>
      </c>
      <c r="B21830" s="0" t="s">
        <v>21655</v>
      </c>
    </row>
    <row r="21831" customFormat="false" ht="15" hidden="false" customHeight="false" outlineLevel="0" collapsed="false">
      <c r="A21831" s="0" t="n">
        <f aca="false">INDEX(_xlfn.ORG.LIBREOFFICE.FOURIER(Data!A1:A5,TRUE()),1,1)</f>
        <v>26</v>
      </c>
      <c r="B21831" s="0" t="s">
        <v>21656</v>
      </c>
    </row>
    <row r="21832" customFormat="false" ht="15" hidden="false" customHeight="false" outlineLevel="0" collapsed="false">
      <c r="A21832" s="0" t="n">
        <f aca="false">INDEX(_xlfn.ORG.LIBREOFFICE.FOURIER(Data!A1:A5,TRUE()),2,1)</f>
        <v>1.42705098312484</v>
      </c>
      <c r="B21832" s="0" t="s">
        <v>21657</v>
      </c>
    </row>
    <row r="21833" customFormat="false" ht="15" hidden="false" customHeight="false" outlineLevel="0" collapsed="false">
      <c r="A21833" s="0" t="n">
        <f aca="false">INDEX(_xlfn.ORG.LIBREOFFICE.FOURIER(Data!A1:A5,TRUE()),2,2)</f>
        <v>1.59184233172361</v>
      </c>
      <c r="B21833" s="0" t="s">
        <v>21658</v>
      </c>
    </row>
    <row r="21834" customFormat="false" ht="15" hidden="false" customHeight="false" outlineLevel="0" collapsed="false">
      <c r="A21834" s="0" t="n">
        <f aca="false">INDEX(_xlfn.ORG.LIBREOFFICE.FOURIER(Data!A1:A5,TRUE()),3,2)</f>
        <v>10.1841071278209</v>
      </c>
      <c r="B21834" s="0" t="s">
        <v>21659</v>
      </c>
    </row>
    <row r="21835" customFormat="false" ht="15" hidden="false" customHeight="false" outlineLevel="0" collapsed="false">
      <c r="A21835" s="0" t="n">
        <f aca="false">INDEX(_xlfn.ORG.LIBREOFFICE.FOURIER(Data!A1:A5,TRUE()),ROWS(_xlfn.ORG.LIBREOFFICE.FOURIER(Data!A1:A5,TRUE())),1)</f>
        <v>1.42705098312485</v>
      </c>
      <c r="B21835" s="0" t="s">
        <v>21660</v>
      </c>
    </row>
    <row r="21836" customFormat="false" ht="15" hidden="false" customHeight="false" outlineLevel="0" collapsed="false">
      <c r="A21836" s="0" t="n">
        <f aca="false">INDEX(_xlfn.ORG.LIBREOFFICE.FOURIER(Data!A1:A5,TRUE()),ROWS(_xlfn.ORG.LIBREOFFICE.FOURIER(Data!A1:A5,TRUE())),2)</f>
        <v>-1.59184233172361</v>
      </c>
      <c r="B21836" s="0" t="s">
        <v>21661</v>
      </c>
    </row>
    <row r="21837" customFormat="false" ht="15" hidden="false" customHeight="false" outlineLevel="0" collapsed="false">
      <c r="A21837" s="0" t="n">
        <f aca="false">SUM(_xlfn.ORG.LIBREOFFICE.FOURIER(Data!A1:A5,TRUE(),TRUE()))</f>
        <v>5</v>
      </c>
      <c r="B21837" s="0" t="s">
        <v>21662</v>
      </c>
    </row>
    <row r="21838" customFormat="false" ht="15" hidden="false" customHeight="false" outlineLevel="0" collapsed="false">
      <c r="A21838" s="0" t="n">
        <f aca="false">INDEX(_xlfn.ORG.LIBREOFFICE.FOURIER(Data!A1:A5,TRUE(),TRUE()),1,1)</f>
        <v>5.2</v>
      </c>
      <c r="B21838" s="0" t="s">
        <v>21663</v>
      </c>
    </row>
    <row r="21839" customFormat="false" ht="15" hidden="false" customHeight="false" outlineLevel="0" collapsed="false">
      <c r="A21839" s="0" t="n">
        <f aca="false">INDEX(_xlfn.ORG.LIBREOFFICE.FOURIER(Data!A1:A5,TRUE(),TRUE()),2,1)</f>
        <v>0.285410196624969</v>
      </c>
      <c r="B21839" s="0" t="s">
        <v>21664</v>
      </c>
    </row>
    <row r="21840" customFormat="false" ht="15" hidden="false" customHeight="false" outlineLevel="0" collapsed="false">
      <c r="A21840" s="0" t="n">
        <f aca="false">INDEX(_xlfn.ORG.LIBREOFFICE.FOURIER(Data!A1:A5,TRUE(),TRUE()),2,2)</f>
        <v>-0.318368466344722</v>
      </c>
      <c r="B21840" s="0" t="s">
        <v>21665</v>
      </c>
    </row>
    <row r="21841" customFormat="false" ht="15" hidden="false" customHeight="false" outlineLevel="0" collapsed="false">
      <c r="A21841" s="0" t="n">
        <f aca="false">INDEX(_xlfn.ORG.LIBREOFFICE.FOURIER(Data!A1:A5,TRUE(),TRUE()),3,2)</f>
        <v>-2.03682142556418</v>
      </c>
      <c r="B21841" s="0" t="s">
        <v>21666</v>
      </c>
    </row>
    <row r="21842" customFormat="false" ht="15" hidden="false" customHeight="false" outlineLevel="0" collapsed="false">
      <c r="A21842" s="0" t="n">
        <f aca="false">INDEX(_xlfn.ORG.LIBREOFFICE.FOURIER(Data!A1:A5,TRUE(),TRUE()),ROWS(_xlfn.ORG.LIBREOFFICE.FOURIER(Data!A1:A5,TRUE(),TRUE())),1)</f>
        <v>0.285410196624969</v>
      </c>
      <c r="B21842" s="0" t="s">
        <v>21667</v>
      </c>
    </row>
    <row r="21843" customFormat="false" ht="15" hidden="false" customHeight="false" outlineLevel="0" collapsed="false">
      <c r="A21843" s="0" t="n">
        <f aca="false">INDEX(_xlfn.ORG.LIBREOFFICE.FOURIER(Data!A1:A5,TRUE(),TRUE()),ROWS(_xlfn.ORG.LIBREOFFICE.FOURIER(Data!A1:A5,TRUE(),TRUE())),2)</f>
        <v>0.318368466344722</v>
      </c>
      <c r="B21843" s="0" t="s">
        <v>21668</v>
      </c>
    </row>
    <row r="21844" customFormat="false" ht="15" hidden="false" customHeight="false" outlineLevel="0" collapsed="false">
      <c r="A21844" s="0" t="n">
        <f aca="false">SUM(_xlfn.ORG.LIBREOFFICE.FOURIER(Data!A1:A5,TRUE(),FALSE(),TRUE()))</f>
        <v>51.0053625938374</v>
      </c>
      <c r="B21844" s="0" t="s">
        <v>21669</v>
      </c>
    </row>
    <row r="21845" customFormat="false" ht="15" hidden="false" customHeight="false" outlineLevel="0" collapsed="false">
      <c r="A21845" s="0" t="n">
        <f aca="false">INDEX(_xlfn.ORG.LIBREOFFICE.FOURIER(Data!A1:A5,TRUE(),FALSE(),TRUE()),1,1)</f>
        <v>26</v>
      </c>
      <c r="B21845" s="0" t="s">
        <v>21670</v>
      </c>
    </row>
    <row r="21846" customFormat="false" ht="15" hidden="false" customHeight="false" outlineLevel="0" collapsed="false">
      <c r="A21846" s="0" t="n">
        <f aca="false">INDEX(_xlfn.ORG.LIBREOFFICE.FOURIER(Data!A1:A5,TRUE(),FALSE(),TRUE()),2,1)</f>
        <v>2.13785792734336</v>
      </c>
      <c r="B21846" s="0" t="s">
        <v>21671</v>
      </c>
    </row>
    <row r="21847" customFormat="false" ht="15" hidden="false" customHeight="false" outlineLevel="0" collapsed="false">
      <c r="A21847" s="0" t="n">
        <f aca="false">INDEX(_xlfn.ORG.LIBREOFFICE.FOURIER(Data!A1:A5,TRUE(),FALSE(),TRUE()),2,2)</f>
        <v>0.839930717844376</v>
      </c>
      <c r="B21847" s="0" t="s">
        <v>21672</v>
      </c>
    </row>
    <row r="21848" customFormat="false" ht="15" hidden="false" customHeight="false" outlineLevel="0" collapsed="false">
      <c r="A21848" s="0" t="n">
        <f aca="false">INDEX(_xlfn.ORG.LIBREOFFICE.FOURIER(Data!A1:A5,TRUE(),FALSE(),TRUE()),3,2)</f>
        <v>1.75780669187088</v>
      </c>
      <c r="B21848" s="0" t="s">
        <v>21673</v>
      </c>
    </row>
    <row r="21849" customFormat="false" ht="15" hidden="false" customHeight="false" outlineLevel="0" collapsed="false">
      <c r="A21849" s="0" t="n">
        <f aca="false">INDEX(_xlfn.ORG.LIBREOFFICE.FOURIER(Data!A1:A5,TRUE(),FALSE(),TRUE()),ROWS(_xlfn.ORG.LIBREOFFICE.FOURIER(Data!A1:A5,TRUE(),FALSE(),TRUE())),1)</f>
        <v>2.13785792734336</v>
      </c>
      <c r="B21849" s="0" t="s">
        <v>21674</v>
      </c>
    </row>
    <row r="21850" customFormat="false" ht="15" hidden="false" customHeight="false" outlineLevel="0" collapsed="false">
      <c r="A21850" s="0" t="n">
        <f aca="false">INDEX(_xlfn.ORG.LIBREOFFICE.FOURIER(Data!A1:A5,TRUE(),FALSE(),TRUE()),ROWS(_xlfn.ORG.LIBREOFFICE.FOURIER(Data!A1:A5,TRUE(),FALSE(),TRUE())),2)</f>
        <v>-0.839930717844372</v>
      </c>
      <c r="B21850" s="0" t="s">
        <v>21675</v>
      </c>
    </row>
    <row r="21851" customFormat="false" ht="15" hidden="false" customHeight="false" outlineLevel="0" collapsed="false">
      <c r="A21851" s="0" t="n">
        <f aca="false">SUM(_xlfn.ORG.LIBREOFFICE.FOURIER(Data!A1:A5,TRUE(),TRUE(),TRUE()))</f>
        <v>10.2010725187675</v>
      </c>
      <c r="B21851" s="0" t="s">
        <v>21676</v>
      </c>
    </row>
    <row r="21852" customFormat="false" ht="15" hidden="false" customHeight="false" outlineLevel="0" collapsed="false">
      <c r="A21852" s="0" t="n">
        <f aca="false">INDEX(_xlfn.ORG.LIBREOFFICE.FOURIER(Data!A1:A5,TRUE(),TRUE(),TRUE()),1,1)</f>
        <v>5.2</v>
      </c>
      <c r="B21852" s="0" t="s">
        <v>21677</v>
      </c>
    </row>
    <row r="21853" customFormat="false" ht="15" hidden="false" customHeight="false" outlineLevel="0" collapsed="false">
      <c r="A21853" s="0" t="n">
        <f aca="false">INDEX(_xlfn.ORG.LIBREOFFICE.FOURIER(Data!A1:A5,TRUE(),TRUE(),TRUE()),2,1)</f>
        <v>0.427571585468672</v>
      </c>
      <c r="B21853" s="0" t="s">
        <v>21678</v>
      </c>
    </row>
    <row r="21854" customFormat="false" ht="15" hidden="false" customHeight="false" outlineLevel="0" collapsed="false">
      <c r="A21854" s="0" t="n">
        <f aca="false">INDEX(_xlfn.ORG.LIBREOFFICE.FOURIER(Data!A1:A5,TRUE(),TRUE(),TRUE()),2,2)</f>
        <v>-0.839930717844375</v>
      </c>
      <c r="B21854" s="0" t="s">
        <v>21679</v>
      </c>
    </row>
    <row r="21855" customFormat="false" ht="15" hidden="false" customHeight="false" outlineLevel="0" collapsed="false">
      <c r="A21855" s="0" t="n">
        <f aca="false">INDEX(_xlfn.ORG.LIBREOFFICE.FOURIER(Data!A1:A5,TRUE(),TRUE(),TRUE()),3,2)</f>
        <v>-1.75780669187088</v>
      </c>
      <c r="B21855" s="0" t="s">
        <v>21680</v>
      </c>
    </row>
    <row r="21856" customFormat="false" ht="15" hidden="false" customHeight="false" outlineLevel="0" collapsed="false">
      <c r="A21856" s="0" t="n">
        <f aca="false">INDEX(_xlfn.ORG.LIBREOFFICE.FOURIER(Data!A1:A5,TRUE(),TRUE(),TRUE()),ROWS(_xlfn.ORG.LIBREOFFICE.FOURIER(Data!A1:A5,TRUE(),TRUE(),TRUE())),1)</f>
        <v>0.427571585468672</v>
      </c>
      <c r="B21856" s="0" t="s">
        <v>21681</v>
      </c>
    </row>
    <row r="21857" customFormat="false" ht="15" hidden="false" customHeight="false" outlineLevel="0" collapsed="false">
      <c r="A21857" s="0" t="n">
        <f aca="false">INDEX(_xlfn.ORG.LIBREOFFICE.FOURIER(Data!A1:A5,TRUE(),TRUE(),TRUE()),ROWS(_xlfn.ORG.LIBREOFFICE.FOURIER(Data!A1:A5,TRUE(),TRUE(),TRUE())),2)</f>
        <v>0.839930717844374</v>
      </c>
      <c r="B21857" s="0" t="s">
        <v>21682</v>
      </c>
    </row>
    <row r="21858" customFormat="false" ht="15" hidden="false" customHeight="false" outlineLevel="0" collapsed="false">
      <c r="A21858" s="0" t="n">
        <f aca="false">SUM(_xlfn.ORG.LIBREOFFICE.FOURIER(Data!A1:A5,TRUE(),FALSE(),TRUE(),1))</f>
        <v>51.0053625938374</v>
      </c>
      <c r="B21858" s="0" t="s">
        <v>21683</v>
      </c>
    </row>
    <row r="21859" customFormat="false" ht="15" hidden="false" customHeight="false" outlineLevel="0" collapsed="false">
      <c r="A21859" s="0" t="n">
        <f aca="false">INDEX(_xlfn.ORG.LIBREOFFICE.FOURIER(Data!A1:A5,TRUE(),FALSE(),TRUE(),1),1,1)</f>
        <v>26</v>
      </c>
      <c r="B21859" s="0" t="s">
        <v>21684</v>
      </c>
    </row>
    <row r="21860" customFormat="false" ht="15" hidden="false" customHeight="false" outlineLevel="0" collapsed="false">
      <c r="A21860" s="0" t="n">
        <f aca="false">INDEX(_xlfn.ORG.LIBREOFFICE.FOURIER(Data!A1:A5,TRUE(),FALSE(),TRUE(),1),2,1)</f>
        <v>2.13785792734336</v>
      </c>
      <c r="B21860" s="0" t="s">
        <v>21685</v>
      </c>
    </row>
    <row r="21861" customFormat="false" ht="15" hidden="false" customHeight="false" outlineLevel="0" collapsed="false">
      <c r="A21861" s="0" t="n">
        <f aca="false">INDEX(_xlfn.ORG.LIBREOFFICE.FOURIER(Data!A1:A5,TRUE(),FALSE(),TRUE(),1),2,2)</f>
        <v>0.839930717844376</v>
      </c>
      <c r="B21861" s="0" t="s">
        <v>21686</v>
      </c>
    </row>
    <row r="21862" customFormat="false" ht="15" hidden="false" customHeight="false" outlineLevel="0" collapsed="false">
      <c r="A21862" s="0" t="n">
        <f aca="false">INDEX(_xlfn.ORG.LIBREOFFICE.FOURIER(Data!A1:A5,TRUE(),FALSE(),TRUE(),1),3,2)</f>
        <v>1.75780669187088</v>
      </c>
      <c r="B21862" s="0" t="s">
        <v>21687</v>
      </c>
    </row>
    <row r="21863" customFormat="false" ht="15" hidden="false" customHeight="false" outlineLevel="0" collapsed="false">
      <c r="A21863" s="0" t="n">
        <f aca="false">INDEX(_xlfn.ORG.LIBREOFFICE.FOURIER(Data!A1:A5,TRUE(),FALSE(),TRUE(),1),ROWS(_xlfn.ORG.LIBREOFFICE.FOURIER(Data!A1:A5,TRUE(),FALSE(),TRUE(),1)),1)</f>
        <v>2.13785792734336</v>
      </c>
      <c r="B21863" s="0" t="s">
        <v>21688</v>
      </c>
    </row>
    <row r="21864" customFormat="false" ht="15" hidden="false" customHeight="false" outlineLevel="0" collapsed="false">
      <c r="A21864" s="0" t="n">
        <f aca="false">INDEX(_xlfn.ORG.LIBREOFFICE.FOURIER(Data!A1:A5,TRUE(),FALSE(),TRUE(),1),ROWS(_xlfn.ORG.LIBREOFFICE.FOURIER(Data!A1:A5,TRUE(),FALSE(),TRUE(),1)),2)</f>
        <v>-0.839930717844372</v>
      </c>
      <c r="B21864" s="0" t="s">
        <v>21689</v>
      </c>
    </row>
    <row r="21865" customFormat="false" ht="15" hidden="false" customHeight="false" outlineLevel="0" collapsed="false">
      <c r="A21865" s="0" t="n">
        <f aca="false">SUM(_xlfn.ORG.LIBREOFFICE.FOURIER(Data!A1:A5,TRUE(),TRUE(),TRUE(),5))</f>
        <v>9.34592934783014</v>
      </c>
      <c r="B21865" s="0" t="s">
        <v>21690</v>
      </c>
    </row>
    <row r="21866" customFormat="false" ht="15" hidden="false" customHeight="false" outlineLevel="0" collapsed="false">
      <c r="A21866" s="0" t="n">
        <f aca="false">INDEX(_xlfn.ORG.LIBREOFFICE.FOURIER(Data!A1:A5,TRUE(),TRUE(),TRUE(),5),1,1)</f>
        <v>5.2</v>
      </c>
      <c r="B21866" s="0" t="s">
        <v>21691</v>
      </c>
    </row>
    <row r="21867" customFormat="false" ht="15" hidden="false" customHeight="false" outlineLevel="0" collapsed="false">
      <c r="A21867" s="0" t="n">
        <f aca="false">INDEX(_xlfn.ORG.LIBREOFFICE.FOURIER(Data!A1:A5,TRUE(),TRUE(),TRUE(),5),2,1)</f>
        <v>0</v>
      </c>
      <c r="B21867" s="0" t="s">
        <v>21692</v>
      </c>
    </row>
    <row r="21868" customFormat="false" ht="15" hidden="false" customHeight="false" outlineLevel="0" collapsed="false">
      <c r="A21868" s="0" t="n">
        <f aca="false">INDEX(_xlfn.ORG.LIBREOFFICE.FOURIER(Data!A1:A5,TRUE(),TRUE(),TRUE(),5),2,2)</f>
        <v>0</v>
      </c>
      <c r="B21868" s="0" t="s">
        <v>21693</v>
      </c>
    </row>
    <row r="21869" customFormat="false" ht="15" hidden="false" customHeight="false" outlineLevel="0" collapsed="false">
      <c r="A21869" s="0" t="n">
        <f aca="false">INDEX(_xlfn.ORG.LIBREOFFICE.FOURIER(Data!A1:A5,TRUE(),TRUE(),TRUE(),5),3,2)</f>
        <v>-1.75780669187088</v>
      </c>
      <c r="B21869" s="0" t="s">
        <v>21694</v>
      </c>
    </row>
    <row r="21870" customFormat="false" ht="15" hidden="false" customHeight="false" outlineLevel="0" collapsed="false">
      <c r="A21870" s="0" t="n">
        <f aca="false">INDEX(_xlfn.ORG.LIBREOFFICE.FOURIER(Data!A1:A5,TRUE(),TRUE(),TRUE(),5),ROWS(_xlfn.ORG.LIBREOFFICE.FOURIER(Data!A1:A5,TRUE(),TRUE(),TRUE(),5)),1)</f>
        <v>0</v>
      </c>
      <c r="B21870" s="0" t="s">
        <v>21695</v>
      </c>
    </row>
    <row r="21871" customFormat="false" ht="15" hidden="false" customHeight="false" outlineLevel="0" collapsed="false">
      <c r="A21871" s="0" t="n">
        <f aca="false">INDEX(_xlfn.ORG.LIBREOFFICE.FOURIER(Data!A1:A5,TRUE(),TRUE(),TRUE(),5),ROWS(_xlfn.ORG.LIBREOFFICE.FOURIER(Data!A1:A5,TRUE(),TRUE(),TRUE(),5)),2)</f>
        <v>0</v>
      </c>
      <c r="B21871" s="0" t="s">
        <v>21696</v>
      </c>
    </row>
    <row r="21872" customFormat="false" ht="15" hidden="false" customHeight="false" outlineLevel="0" collapsed="false">
      <c r="A21872" s="0" t="e">
        <f aca="false">ROWS(_xlfn.ORG.LIBREOFFICE.FOURIER(Data!A1:A5,FALSE()))</f>
        <v>#VALUE!</v>
      </c>
      <c r="B21872" s="0" t="s">
        <v>21697</v>
      </c>
    </row>
    <row r="21873" customFormat="false" ht="15" hidden="false" customHeight="false" outlineLevel="0" collapsed="false">
      <c r="A21873" s="0" t="e">
        <f aca="false">COLUMNS(_xlfn.ORG.LIBREOFFICE.FOURIER(Data!A1:A5,FALSE()))</f>
        <v>#VALUE!</v>
      </c>
      <c r="B21873" s="0" t="s">
        <v>21698</v>
      </c>
    </row>
    <row r="21874" customFormat="false" ht="15" hidden="false" customHeight="false" outlineLevel="0" collapsed="false">
      <c r="A21874" s="0" t="e">
        <f aca="false">SUM(_xlfn.ORG.LIBREOFFICE.FOURIER(Data!A1:A5,FALSE()))</f>
        <v>#VALUE!</v>
      </c>
      <c r="B21874" s="0" t="s">
        <v>21699</v>
      </c>
    </row>
    <row r="21875" customFormat="false" ht="15" hidden="false" customHeight="false" outlineLevel="0" collapsed="false">
      <c r="A21875" s="0" t="e">
        <f aca="false">INDEX(_xlfn.ORG.LIBREOFFICE.FOURIER(Data!A1:A5,FALSE()),1,1)</f>
        <v>#VALUE!</v>
      </c>
      <c r="B21875" s="0" t="s">
        <v>21700</v>
      </c>
    </row>
    <row r="21876" customFormat="false" ht="15" hidden="false" customHeight="false" outlineLevel="0" collapsed="false">
      <c r="A21876" s="0" t="e">
        <f aca="false">INDEX(_xlfn.ORG.LIBREOFFICE.FOURIER(Data!A1:A5,FALSE()),2,1)</f>
        <v>#VALUE!</v>
      </c>
      <c r="B21876" s="0" t="s">
        <v>21701</v>
      </c>
    </row>
    <row r="21877" customFormat="false" ht="15" hidden="false" customHeight="false" outlineLevel="0" collapsed="false">
      <c r="A21877" s="0" t="e">
        <f aca="false">INDEX(_xlfn.ORG.LIBREOFFICE.FOURIER(Data!A1:A5,FALSE()),2,2)</f>
        <v>#VALUE!</v>
      </c>
      <c r="B21877" s="0" t="s">
        <v>21702</v>
      </c>
    </row>
    <row r="21878" customFormat="false" ht="15" hidden="false" customHeight="false" outlineLevel="0" collapsed="false">
      <c r="A21878" s="0" t="e">
        <f aca="false">INDEX(_xlfn.ORG.LIBREOFFICE.FOURIER(Data!A1:A5,FALSE()),3,2)</f>
        <v>#VALUE!</v>
      </c>
      <c r="B21878" s="0" t="s">
        <v>21703</v>
      </c>
    </row>
    <row r="21879" customFormat="false" ht="15" hidden="false" customHeight="false" outlineLevel="0" collapsed="false">
      <c r="A21879" s="0" t="e">
        <f aca="false">INDEX(_xlfn.ORG.LIBREOFFICE.FOURIER(Data!A1:A5,FALSE()),ROWS(_xlfn.ORG.LIBREOFFICE.FOURIER(Data!A1:A5,FALSE())),1)</f>
        <v>#VALUE!</v>
      </c>
      <c r="B21879" s="0" t="s">
        <v>21704</v>
      </c>
    </row>
    <row r="21880" customFormat="false" ht="15" hidden="false" customHeight="false" outlineLevel="0" collapsed="false">
      <c r="A21880" s="0" t="e">
        <f aca="false">INDEX(_xlfn.ORG.LIBREOFFICE.FOURIER(Data!A1:A5,FALSE()),ROWS(_xlfn.ORG.LIBREOFFICE.FOURIER(Data!A1:A5,FALSE())),2)</f>
        <v>#VALUE!</v>
      </c>
      <c r="B21880" s="0" t="s">
        <v>21705</v>
      </c>
    </row>
    <row r="21881" customFormat="false" ht="15" hidden="false" customHeight="false" outlineLevel="0" collapsed="false">
      <c r="A21881" s="0" t="e">
        <f aca="false">SUM(_xlfn.ORG.LIBREOFFICE.FOURIER(Data!A1:A5,FALSE(),TRUE()))</f>
        <v>#VALUE!</v>
      </c>
      <c r="B21881" s="0" t="s">
        <v>21706</v>
      </c>
    </row>
    <row r="21882" customFormat="false" ht="15" hidden="false" customHeight="false" outlineLevel="0" collapsed="false">
      <c r="A21882" s="0" t="e">
        <f aca="false">INDEX(_xlfn.ORG.LIBREOFFICE.FOURIER(Data!A1:A5,FALSE(),TRUE()),1,1)</f>
        <v>#VALUE!</v>
      </c>
      <c r="B21882" s="0" t="s">
        <v>21707</v>
      </c>
    </row>
    <row r="21883" customFormat="false" ht="15" hidden="false" customHeight="false" outlineLevel="0" collapsed="false">
      <c r="A21883" s="0" t="e">
        <f aca="false">INDEX(_xlfn.ORG.LIBREOFFICE.FOURIER(Data!A1:A5,FALSE(),TRUE()),2,1)</f>
        <v>#VALUE!</v>
      </c>
      <c r="B21883" s="0" t="s">
        <v>21708</v>
      </c>
    </row>
    <row r="21884" customFormat="false" ht="15" hidden="false" customHeight="false" outlineLevel="0" collapsed="false">
      <c r="A21884" s="0" t="e">
        <f aca="false">INDEX(_xlfn.ORG.LIBREOFFICE.FOURIER(Data!A1:A5,FALSE(),TRUE()),2,2)</f>
        <v>#VALUE!</v>
      </c>
      <c r="B21884" s="0" t="s">
        <v>21709</v>
      </c>
    </row>
    <row r="21885" customFormat="false" ht="15" hidden="false" customHeight="false" outlineLevel="0" collapsed="false">
      <c r="A21885" s="0" t="e">
        <f aca="false">INDEX(_xlfn.ORG.LIBREOFFICE.FOURIER(Data!A1:A5,FALSE(),TRUE()),3,2)</f>
        <v>#VALUE!</v>
      </c>
      <c r="B21885" s="0" t="s">
        <v>21710</v>
      </c>
    </row>
    <row r="21886" customFormat="false" ht="15" hidden="false" customHeight="false" outlineLevel="0" collapsed="false">
      <c r="A21886" s="0" t="e">
        <f aca="false">INDEX(_xlfn.ORG.LIBREOFFICE.FOURIER(Data!A1:A5,FALSE(),TRUE()),ROWS(_xlfn.ORG.LIBREOFFICE.FOURIER(Data!A1:A5,FALSE(),TRUE())),1)</f>
        <v>#VALUE!</v>
      </c>
      <c r="B21886" s="0" t="s">
        <v>21711</v>
      </c>
    </row>
    <row r="21887" customFormat="false" ht="15" hidden="false" customHeight="false" outlineLevel="0" collapsed="false">
      <c r="A21887" s="0" t="e">
        <f aca="false">INDEX(_xlfn.ORG.LIBREOFFICE.FOURIER(Data!A1:A5,FALSE(),TRUE()),ROWS(_xlfn.ORG.LIBREOFFICE.FOURIER(Data!A1:A5,FALSE(),TRUE())),2)</f>
        <v>#VALUE!</v>
      </c>
      <c r="B21887" s="0" t="s">
        <v>21712</v>
      </c>
    </row>
    <row r="21888" customFormat="false" ht="15" hidden="false" customHeight="false" outlineLevel="0" collapsed="false">
      <c r="A21888" s="0" t="e">
        <f aca="false">SUM(_xlfn.ORG.LIBREOFFICE.FOURIER(Data!A1:A5,FALSE(),FALSE(),TRUE()))</f>
        <v>#VALUE!</v>
      </c>
      <c r="B21888" s="0" t="s">
        <v>21713</v>
      </c>
    </row>
    <row r="21889" customFormat="false" ht="15" hidden="false" customHeight="false" outlineLevel="0" collapsed="false">
      <c r="A21889" s="0" t="e">
        <f aca="false">INDEX(_xlfn.ORG.LIBREOFFICE.FOURIER(Data!A1:A5,FALSE(),FALSE(),TRUE()),1,1)</f>
        <v>#VALUE!</v>
      </c>
      <c r="B21889" s="0" t="s">
        <v>21714</v>
      </c>
    </row>
    <row r="21890" customFormat="false" ht="15" hidden="false" customHeight="false" outlineLevel="0" collapsed="false">
      <c r="A21890" s="0" t="e">
        <f aca="false">INDEX(_xlfn.ORG.LIBREOFFICE.FOURIER(Data!A1:A5,FALSE(),FALSE(),TRUE()),2,1)</f>
        <v>#VALUE!</v>
      </c>
      <c r="B21890" s="0" t="s">
        <v>21715</v>
      </c>
    </row>
    <row r="21891" customFormat="false" ht="15" hidden="false" customHeight="false" outlineLevel="0" collapsed="false">
      <c r="A21891" s="0" t="e">
        <f aca="false">INDEX(_xlfn.ORG.LIBREOFFICE.FOURIER(Data!A1:A5,FALSE(),FALSE(),TRUE()),2,2)</f>
        <v>#VALUE!</v>
      </c>
      <c r="B21891" s="0" t="s">
        <v>21716</v>
      </c>
    </row>
    <row r="21892" customFormat="false" ht="15" hidden="false" customHeight="false" outlineLevel="0" collapsed="false">
      <c r="A21892" s="0" t="e">
        <f aca="false">INDEX(_xlfn.ORG.LIBREOFFICE.FOURIER(Data!A1:A5,FALSE(),FALSE(),TRUE()),3,2)</f>
        <v>#VALUE!</v>
      </c>
      <c r="B21892" s="0" t="s">
        <v>21717</v>
      </c>
    </row>
    <row r="21893" customFormat="false" ht="15" hidden="false" customHeight="false" outlineLevel="0" collapsed="false">
      <c r="A21893" s="0" t="e">
        <f aca="false">INDEX(_xlfn.ORG.LIBREOFFICE.FOURIER(Data!A1:A5,FALSE(),FALSE(),TRUE()),ROWS(_xlfn.ORG.LIBREOFFICE.FOURIER(Data!A1:A5,FALSE(),FALSE(),TRUE())),1)</f>
        <v>#VALUE!</v>
      </c>
      <c r="B21893" s="0" t="s">
        <v>21718</v>
      </c>
    </row>
    <row r="21894" customFormat="false" ht="15" hidden="false" customHeight="false" outlineLevel="0" collapsed="false">
      <c r="A21894" s="0" t="e">
        <f aca="false">INDEX(_xlfn.ORG.LIBREOFFICE.FOURIER(Data!A1:A5,FALSE(),FALSE(),TRUE()),ROWS(_xlfn.ORG.LIBREOFFICE.FOURIER(Data!A1:A5,FALSE(),FALSE(),TRUE())),2)</f>
        <v>#VALUE!</v>
      </c>
      <c r="B21894" s="0" t="s">
        <v>21719</v>
      </c>
    </row>
    <row r="21895" customFormat="false" ht="15" hidden="false" customHeight="false" outlineLevel="0" collapsed="false">
      <c r="A21895" s="0" t="e">
        <f aca="false">SUM(_xlfn.ORG.LIBREOFFICE.FOURIER(Data!A1:A5,FALSE(),TRUE(),TRUE()))</f>
        <v>#VALUE!</v>
      </c>
      <c r="B21895" s="0" t="s">
        <v>21720</v>
      </c>
    </row>
    <row r="21896" customFormat="false" ht="15" hidden="false" customHeight="false" outlineLevel="0" collapsed="false">
      <c r="A21896" s="0" t="e">
        <f aca="false">INDEX(_xlfn.ORG.LIBREOFFICE.FOURIER(Data!A1:A5,FALSE(),TRUE(),TRUE()),1,1)</f>
        <v>#VALUE!</v>
      </c>
      <c r="B21896" s="0" t="s">
        <v>21721</v>
      </c>
    </row>
    <row r="21897" customFormat="false" ht="15" hidden="false" customHeight="false" outlineLevel="0" collapsed="false">
      <c r="A21897" s="0" t="e">
        <f aca="false">INDEX(_xlfn.ORG.LIBREOFFICE.FOURIER(Data!A1:A5,FALSE(),TRUE(),TRUE()),2,1)</f>
        <v>#VALUE!</v>
      </c>
      <c r="B21897" s="0" t="s">
        <v>21722</v>
      </c>
    </row>
    <row r="21898" customFormat="false" ht="15" hidden="false" customHeight="false" outlineLevel="0" collapsed="false">
      <c r="A21898" s="0" t="e">
        <f aca="false">INDEX(_xlfn.ORG.LIBREOFFICE.FOURIER(Data!A1:A5,FALSE(),TRUE(),TRUE()),2,2)</f>
        <v>#VALUE!</v>
      </c>
      <c r="B21898" s="0" t="s">
        <v>21723</v>
      </c>
    </row>
    <row r="21899" customFormat="false" ht="15" hidden="false" customHeight="false" outlineLevel="0" collapsed="false">
      <c r="A21899" s="0" t="e">
        <f aca="false">INDEX(_xlfn.ORG.LIBREOFFICE.FOURIER(Data!A1:A5,FALSE(),TRUE(),TRUE()),3,2)</f>
        <v>#VALUE!</v>
      </c>
      <c r="B21899" s="0" t="s">
        <v>21724</v>
      </c>
    </row>
    <row r="21900" customFormat="false" ht="15" hidden="false" customHeight="false" outlineLevel="0" collapsed="false">
      <c r="A21900" s="0" t="e">
        <f aca="false">INDEX(_xlfn.ORG.LIBREOFFICE.FOURIER(Data!A1:A5,FALSE(),TRUE(),TRUE()),ROWS(_xlfn.ORG.LIBREOFFICE.FOURIER(Data!A1:A5,FALSE(),TRUE(),TRUE())),1)</f>
        <v>#VALUE!</v>
      </c>
      <c r="B21900" s="0" t="s">
        <v>21725</v>
      </c>
    </row>
    <row r="21901" customFormat="false" ht="15" hidden="false" customHeight="false" outlineLevel="0" collapsed="false">
      <c r="A21901" s="0" t="e">
        <f aca="false">INDEX(_xlfn.ORG.LIBREOFFICE.FOURIER(Data!A1:A5,FALSE(),TRUE(),TRUE()),ROWS(_xlfn.ORG.LIBREOFFICE.FOURIER(Data!A1:A5,FALSE(),TRUE(),TRUE())),2)</f>
        <v>#VALUE!</v>
      </c>
      <c r="B21901" s="0" t="s">
        <v>21726</v>
      </c>
    </row>
    <row r="21902" customFormat="false" ht="15" hidden="false" customHeight="false" outlineLevel="0" collapsed="false">
      <c r="A21902" s="0" t="e">
        <f aca="false">SUM(_xlfn.ORG.LIBREOFFICE.FOURIER(Data!A1:A5,FALSE(),FALSE(),TRUE(),1))</f>
        <v>#VALUE!</v>
      </c>
      <c r="B21902" s="0" t="s">
        <v>21727</v>
      </c>
    </row>
    <row r="21903" customFormat="false" ht="15" hidden="false" customHeight="false" outlineLevel="0" collapsed="false">
      <c r="A21903" s="0" t="e">
        <f aca="false">INDEX(_xlfn.ORG.LIBREOFFICE.FOURIER(Data!A1:A5,FALSE(),FALSE(),TRUE(),1),1,1)</f>
        <v>#VALUE!</v>
      </c>
      <c r="B21903" s="0" t="s">
        <v>21728</v>
      </c>
    </row>
    <row r="21904" customFormat="false" ht="15" hidden="false" customHeight="false" outlineLevel="0" collapsed="false">
      <c r="A21904" s="0" t="e">
        <f aca="false">INDEX(_xlfn.ORG.LIBREOFFICE.FOURIER(Data!A1:A5,FALSE(),FALSE(),TRUE(),1),2,1)</f>
        <v>#VALUE!</v>
      </c>
      <c r="B21904" s="0" t="s">
        <v>21729</v>
      </c>
    </row>
    <row r="21905" customFormat="false" ht="15" hidden="false" customHeight="false" outlineLevel="0" collapsed="false">
      <c r="A21905" s="0" t="e">
        <f aca="false">INDEX(_xlfn.ORG.LIBREOFFICE.FOURIER(Data!A1:A5,FALSE(),FALSE(),TRUE(),1),2,2)</f>
        <v>#VALUE!</v>
      </c>
      <c r="B21905" s="0" t="s">
        <v>21730</v>
      </c>
    </row>
    <row r="21906" customFormat="false" ht="15" hidden="false" customHeight="false" outlineLevel="0" collapsed="false">
      <c r="A21906" s="0" t="e">
        <f aca="false">INDEX(_xlfn.ORG.LIBREOFFICE.FOURIER(Data!A1:A5,FALSE(),FALSE(),TRUE(),1),3,2)</f>
        <v>#VALUE!</v>
      </c>
      <c r="B21906" s="0" t="s">
        <v>21731</v>
      </c>
    </row>
    <row r="21907" customFormat="false" ht="15" hidden="false" customHeight="false" outlineLevel="0" collapsed="false">
      <c r="A21907" s="0" t="e">
        <f aca="false">INDEX(_xlfn.ORG.LIBREOFFICE.FOURIER(Data!A1:A5,FALSE(),FALSE(),TRUE(),1),ROWS(_xlfn.ORG.LIBREOFFICE.FOURIER(Data!A1:A5,FALSE(),FALSE(),TRUE(),1)),1)</f>
        <v>#VALUE!</v>
      </c>
      <c r="B21907" s="0" t="s">
        <v>21732</v>
      </c>
    </row>
    <row r="21908" customFormat="false" ht="15" hidden="false" customHeight="false" outlineLevel="0" collapsed="false">
      <c r="A21908" s="0" t="e">
        <f aca="false">INDEX(_xlfn.ORG.LIBREOFFICE.FOURIER(Data!A1:A5,FALSE(),FALSE(),TRUE(),1),ROWS(_xlfn.ORG.LIBREOFFICE.FOURIER(Data!A1:A5,FALSE(),FALSE(),TRUE(),1)),2)</f>
        <v>#VALUE!</v>
      </c>
      <c r="B21908" s="0" t="s">
        <v>21733</v>
      </c>
    </row>
    <row r="21909" customFormat="false" ht="15" hidden="false" customHeight="false" outlineLevel="0" collapsed="false">
      <c r="A21909" s="0" t="e">
        <f aca="false">SUM(_xlfn.ORG.LIBREOFFICE.FOURIER(Data!A1:A5,FALSE(),TRUE(),TRUE(),5))</f>
        <v>#VALUE!</v>
      </c>
      <c r="B21909" s="0" t="s">
        <v>21734</v>
      </c>
    </row>
    <row r="21910" customFormat="false" ht="15" hidden="false" customHeight="false" outlineLevel="0" collapsed="false">
      <c r="A21910" s="0" t="e">
        <f aca="false">INDEX(_xlfn.ORG.LIBREOFFICE.FOURIER(Data!A1:A5,FALSE(),TRUE(),TRUE(),5),1,1)</f>
        <v>#VALUE!</v>
      </c>
      <c r="B21910" s="0" t="s">
        <v>21735</v>
      </c>
    </row>
    <row r="21911" customFormat="false" ht="15" hidden="false" customHeight="false" outlineLevel="0" collapsed="false">
      <c r="A21911" s="0" t="e">
        <f aca="false">INDEX(_xlfn.ORG.LIBREOFFICE.FOURIER(Data!A1:A5,FALSE(),TRUE(),TRUE(),5),2,1)</f>
        <v>#VALUE!</v>
      </c>
      <c r="B21911" s="0" t="s">
        <v>21736</v>
      </c>
    </row>
    <row r="21912" customFormat="false" ht="15" hidden="false" customHeight="false" outlineLevel="0" collapsed="false">
      <c r="A21912" s="0" t="e">
        <f aca="false">INDEX(_xlfn.ORG.LIBREOFFICE.FOURIER(Data!A1:A5,FALSE(),TRUE(),TRUE(),5),2,2)</f>
        <v>#VALUE!</v>
      </c>
      <c r="B21912" s="0" t="s">
        <v>21737</v>
      </c>
    </row>
    <row r="21913" customFormat="false" ht="15" hidden="false" customHeight="false" outlineLevel="0" collapsed="false">
      <c r="A21913" s="0" t="e">
        <f aca="false">INDEX(_xlfn.ORG.LIBREOFFICE.FOURIER(Data!A1:A5,FALSE(),TRUE(),TRUE(),5),3,2)</f>
        <v>#VALUE!</v>
      </c>
      <c r="B21913" s="0" t="s">
        <v>21738</v>
      </c>
    </row>
    <row r="21914" customFormat="false" ht="15" hidden="false" customHeight="false" outlineLevel="0" collapsed="false">
      <c r="A21914" s="0" t="e">
        <f aca="false">INDEX(_xlfn.ORG.LIBREOFFICE.FOURIER(Data!A1:A5,FALSE(),TRUE(),TRUE(),5),ROWS(_xlfn.ORG.LIBREOFFICE.FOURIER(Data!A1:A5,FALSE(),TRUE(),TRUE(),5)),1)</f>
        <v>#VALUE!</v>
      </c>
      <c r="B21914" s="0" t="s">
        <v>21739</v>
      </c>
    </row>
    <row r="21915" customFormat="false" ht="15" hidden="false" customHeight="false" outlineLevel="0" collapsed="false">
      <c r="A21915" s="0" t="e">
        <f aca="false">INDEX(_xlfn.ORG.LIBREOFFICE.FOURIER(Data!A1:A5,FALSE(),TRUE(),TRUE(),5),ROWS(_xlfn.ORG.LIBREOFFICE.FOURIER(Data!A1:A5,FALSE(),TRUE(),TRUE(),5)),2)</f>
        <v>#VALUE!</v>
      </c>
      <c r="B21915" s="0" t="s">
        <v>21740</v>
      </c>
    </row>
    <row r="21916" customFormat="false" ht="15" hidden="false" customHeight="false" outlineLevel="0" collapsed="false">
      <c r="A21916" s="0" t="n">
        <f aca="false">ROWS(_xlfn.ORG.LIBREOFFICE.FOURIER(Data!A1:A3,TRUE()))</f>
        <v>3</v>
      </c>
      <c r="B21916" s="0" t="s">
        <v>21741</v>
      </c>
    </row>
    <row r="21917" customFormat="false" ht="15" hidden="false" customHeight="false" outlineLevel="0" collapsed="false">
      <c r="A21917" s="0" t="n">
        <f aca="false">COLUMNS(_xlfn.ORG.LIBREOFFICE.FOURIER(Data!A1:A3,TRUE()))</f>
        <v>2</v>
      </c>
      <c r="B21917" s="0" t="s">
        <v>21742</v>
      </c>
    </row>
    <row r="21918" customFormat="false" ht="15" hidden="false" customHeight="false" outlineLevel="0" collapsed="false">
      <c r="A21918" s="0" t="n">
        <f aca="false">SUM(_xlfn.ORG.LIBREOFFICE.FOURIER(Data!A1:A3,TRUE()))</f>
        <v>15</v>
      </c>
      <c r="B21918" s="0" t="s">
        <v>21743</v>
      </c>
    </row>
    <row r="21919" customFormat="false" ht="15" hidden="false" customHeight="false" outlineLevel="0" collapsed="false">
      <c r="A21919" s="0" t="n">
        <f aca="false">INDEX(_xlfn.ORG.LIBREOFFICE.FOURIER(Data!A1:A3,TRUE()),1,1)</f>
        <v>16</v>
      </c>
      <c r="B21919" s="0" t="s">
        <v>21744</v>
      </c>
    </row>
    <row r="21920" customFormat="false" ht="15" hidden="false" customHeight="false" outlineLevel="0" collapsed="false">
      <c r="A21920" s="0" t="n">
        <f aca="false">INDEX(_xlfn.ORG.LIBREOFFICE.FOURIER(Data!A1:A3,TRUE()),2,1)</f>
        <v>-0.500000000000005</v>
      </c>
      <c r="B21920" s="0" t="s">
        <v>21745</v>
      </c>
    </row>
    <row r="21921" customFormat="false" ht="15" hidden="false" customHeight="false" outlineLevel="0" collapsed="false">
      <c r="A21921" s="0" t="n">
        <f aca="false">INDEX(_xlfn.ORG.LIBREOFFICE.FOURIER(Data!A1:A3,TRUE()),2,2)</f>
        <v>4.33012701892219</v>
      </c>
      <c r="B21921" s="0" t="s">
        <v>21746</v>
      </c>
    </row>
    <row r="21922" customFormat="false" ht="15" hidden="false" customHeight="false" outlineLevel="0" collapsed="false">
      <c r="A21922" s="0" t="n">
        <f aca="false">INDEX(_xlfn.ORG.LIBREOFFICE.FOURIER(Data!A1:A3,TRUE()),3,2)</f>
        <v>-4.3301270189222</v>
      </c>
      <c r="B21922" s="0" t="s">
        <v>21747</v>
      </c>
    </row>
    <row r="21923" customFormat="false" ht="15" hidden="false" customHeight="false" outlineLevel="0" collapsed="false">
      <c r="A21923" s="0" t="n">
        <f aca="false">INDEX(_xlfn.ORG.LIBREOFFICE.FOURIER(Data!A1:A3,TRUE()),ROWS(_xlfn.ORG.LIBREOFFICE.FOURIER(Data!A1:A3,TRUE())),1)</f>
        <v>-0.499999999999995</v>
      </c>
      <c r="B21923" s="0" t="s">
        <v>21748</v>
      </c>
    </row>
    <row r="21924" customFormat="false" ht="15" hidden="false" customHeight="false" outlineLevel="0" collapsed="false">
      <c r="A21924" s="0" t="n">
        <f aca="false">INDEX(_xlfn.ORG.LIBREOFFICE.FOURIER(Data!A1:A3,TRUE()),ROWS(_xlfn.ORG.LIBREOFFICE.FOURIER(Data!A1:A3,TRUE())),2)</f>
        <v>-4.3301270189222</v>
      </c>
      <c r="B21924" s="0" t="s">
        <v>21749</v>
      </c>
    </row>
    <row r="21925" customFormat="false" ht="15" hidden="false" customHeight="false" outlineLevel="0" collapsed="false">
      <c r="A21925" s="0" t="n">
        <f aca="false">SUM(_xlfn.ORG.LIBREOFFICE.FOURIER(Data!A1:A3,TRUE(),TRUE()))</f>
        <v>5</v>
      </c>
      <c r="B21925" s="0" t="s">
        <v>21750</v>
      </c>
    </row>
    <row r="21926" customFormat="false" ht="15" hidden="false" customHeight="false" outlineLevel="0" collapsed="false">
      <c r="A21926" s="0" t="n">
        <f aca="false">INDEX(_xlfn.ORG.LIBREOFFICE.FOURIER(Data!A1:A3,TRUE(),TRUE()),1,1)</f>
        <v>5.33333333333333</v>
      </c>
      <c r="B21926" s="0" t="s">
        <v>21751</v>
      </c>
    </row>
    <row r="21927" customFormat="false" ht="15" hidden="false" customHeight="false" outlineLevel="0" collapsed="false">
      <c r="A21927" s="0" t="n">
        <f aca="false">INDEX(_xlfn.ORG.LIBREOFFICE.FOURIER(Data!A1:A3,TRUE(),TRUE()),2,1)</f>
        <v>-0.166666666666668</v>
      </c>
      <c r="B21927" s="0" t="s">
        <v>21752</v>
      </c>
    </row>
    <row r="21928" customFormat="false" ht="15" hidden="false" customHeight="false" outlineLevel="0" collapsed="false">
      <c r="A21928" s="0" t="n">
        <f aca="false">INDEX(_xlfn.ORG.LIBREOFFICE.FOURIER(Data!A1:A3,TRUE(),TRUE()),2,2)</f>
        <v>-1.44337567297406</v>
      </c>
      <c r="B21928" s="0" t="s">
        <v>21753</v>
      </c>
    </row>
    <row r="21929" customFormat="false" ht="15" hidden="false" customHeight="false" outlineLevel="0" collapsed="false">
      <c r="A21929" s="0" t="n">
        <f aca="false">INDEX(_xlfn.ORG.LIBREOFFICE.FOURIER(Data!A1:A3,TRUE(),TRUE()),3,2)</f>
        <v>1.44337567297407</v>
      </c>
      <c r="B21929" s="0" t="s">
        <v>21754</v>
      </c>
    </row>
    <row r="21930" customFormat="false" ht="15" hidden="false" customHeight="false" outlineLevel="0" collapsed="false">
      <c r="A21930" s="0" t="n">
        <f aca="false">INDEX(_xlfn.ORG.LIBREOFFICE.FOURIER(Data!A1:A3,TRUE(),TRUE()),ROWS(_xlfn.ORG.LIBREOFFICE.FOURIER(Data!A1:A3,TRUE(),TRUE())),1)</f>
        <v>-0.166666666666665</v>
      </c>
      <c r="B21930" s="0" t="s">
        <v>21755</v>
      </c>
    </row>
    <row r="21931" customFormat="false" ht="15" hidden="false" customHeight="false" outlineLevel="0" collapsed="false">
      <c r="A21931" s="0" t="n">
        <f aca="false">INDEX(_xlfn.ORG.LIBREOFFICE.FOURIER(Data!A1:A3,TRUE(),TRUE()),ROWS(_xlfn.ORG.LIBREOFFICE.FOURIER(Data!A1:A3,TRUE(),TRUE())),2)</f>
        <v>1.44337567297407</v>
      </c>
      <c r="B21931" s="0" t="s">
        <v>21756</v>
      </c>
    </row>
    <row r="21932" customFormat="false" ht="15" hidden="false" customHeight="false" outlineLevel="0" collapsed="false">
      <c r="A21932" s="0" t="n">
        <f aca="false">SUM(_xlfn.ORG.LIBREOFFICE.FOURIER(Data!A1:A3,TRUE(),FALSE(),TRUE()))</f>
        <v>24.7177978870814</v>
      </c>
      <c r="B21932" s="0" t="s">
        <v>21757</v>
      </c>
    </row>
    <row r="21933" customFormat="false" ht="15" hidden="false" customHeight="false" outlineLevel="0" collapsed="false">
      <c r="A21933" s="0" t="n">
        <f aca="false">INDEX(_xlfn.ORG.LIBREOFFICE.FOURIER(Data!A1:A3,TRUE(),FALSE(),TRUE()),1,1)</f>
        <v>16</v>
      </c>
      <c r="B21933" s="0" t="s">
        <v>21758</v>
      </c>
    </row>
    <row r="21934" customFormat="false" ht="15" hidden="false" customHeight="false" outlineLevel="0" collapsed="false">
      <c r="A21934" s="0" t="n">
        <f aca="false">INDEX(_xlfn.ORG.LIBREOFFICE.FOURIER(Data!A1:A3,TRUE(),FALSE(),TRUE()),2,1)</f>
        <v>4.35889894354067</v>
      </c>
      <c r="B21934" s="0" t="s">
        <v>21759</v>
      </c>
    </row>
    <row r="21935" customFormat="false" ht="15" hidden="false" customHeight="false" outlineLevel="0" collapsed="false">
      <c r="A21935" s="0" t="n">
        <f aca="false">INDEX(_xlfn.ORG.LIBREOFFICE.FOURIER(Data!A1:A3,TRUE(),FALSE(),TRUE()),2,2)</f>
        <v>1.6857572472956</v>
      </c>
      <c r="B21935" s="0" t="s">
        <v>21760</v>
      </c>
    </row>
    <row r="21936" customFormat="false" ht="15" hidden="false" customHeight="false" outlineLevel="0" collapsed="false">
      <c r="A21936" s="0" t="n">
        <f aca="false">INDEX(_xlfn.ORG.LIBREOFFICE.FOURIER(Data!A1:A3,TRUE(),FALSE(),TRUE()),3,2)</f>
        <v>-1.6857572472956</v>
      </c>
      <c r="B21936" s="0" t="s">
        <v>21761</v>
      </c>
    </row>
    <row r="21937" customFormat="false" ht="15" hidden="false" customHeight="false" outlineLevel="0" collapsed="false">
      <c r="A21937" s="0" t="n">
        <f aca="false">INDEX(_xlfn.ORG.LIBREOFFICE.FOURIER(Data!A1:A3,TRUE(),FALSE(),TRUE()),ROWS(_xlfn.ORG.LIBREOFFICE.FOURIER(Data!A1:A3,TRUE(),FALSE(),TRUE())),1)</f>
        <v>4.35889894354068</v>
      </c>
      <c r="B21937" s="0" t="s">
        <v>21762</v>
      </c>
    </row>
    <row r="21938" customFormat="false" ht="15" hidden="false" customHeight="false" outlineLevel="0" collapsed="false">
      <c r="A21938" s="0" t="n">
        <f aca="false">INDEX(_xlfn.ORG.LIBREOFFICE.FOURIER(Data!A1:A3,TRUE(),FALSE(),TRUE()),ROWS(_xlfn.ORG.LIBREOFFICE.FOURIER(Data!A1:A3,TRUE(),FALSE(),TRUE())),2)</f>
        <v>-1.6857572472956</v>
      </c>
      <c r="B21938" s="0" t="s">
        <v>21763</v>
      </c>
    </row>
    <row r="21939" customFormat="false" ht="15" hidden="false" customHeight="false" outlineLevel="0" collapsed="false">
      <c r="A21939" s="0" t="n">
        <f aca="false">SUM(_xlfn.ORG.LIBREOFFICE.FOURIER(Data!A1:A3,TRUE(),TRUE(),TRUE()))</f>
        <v>8.23926596236045</v>
      </c>
      <c r="B21939" s="0" t="s">
        <v>21764</v>
      </c>
    </row>
    <row r="21940" customFormat="false" ht="15" hidden="false" customHeight="false" outlineLevel="0" collapsed="false">
      <c r="A21940" s="0" t="n">
        <f aca="false">INDEX(_xlfn.ORG.LIBREOFFICE.FOURIER(Data!A1:A3,TRUE(),TRUE(),TRUE()),1,1)</f>
        <v>5.33333333333333</v>
      </c>
      <c r="B21940" s="0" t="s">
        <v>21765</v>
      </c>
    </row>
    <row r="21941" customFormat="false" ht="15" hidden="false" customHeight="false" outlineLevel="0" collapsed="false">
      <c r="A21941" s="0" t="n">
        <f aca="false">INDEX(_xlfn.ORG.LIBREOFFICE.FOURIER(Data!A1:A3,TRUE(),TRUE(),TRUE()),2,1)</f>
        <v>1.45296631451356</v>
      </c>
      <c r="B21941" s="0" t="s">
        <v>21766</v>
      </c>
    </row>
    <row r="21942" customFormat="false" ht="15" hidden="false" customHeight="false" outlineLevel="0" collapsed="false">
      <c r="A21942" s="0" t="n">
        <f aca="false">INDEX(_xlfn.ORG.LIBREOFFICE.FOURIER(Data!A1:A3,TRUE(),TRUE(),TRUE()),2,2)</f>
        <v>-1.6857572472956</v>
      </c>
      <c r="B21942" s="0" t="s">
        <v>21767</v>
      </c>
    </row>
    <row r="21943" customFormat="false" ht="15" hidden="false" customHeight="false" outlineLevel="0" collapsed="false">
      <c r="A21943" s="0" t="n">
        <f aca="false">INDEX(_xlfn.ORG.LIBREOFFICE.FOURIER(Data!A1:A3,TRUE(),TRUE(),TRUE()),3,2)</f>
        <v>1.6857572472956</v>
      </c>
      <c r="B21943" s="0" t="s">
        <v>21768</v>
      </c>
    </row>
    <row r="21944" customFormat="false" ht="15" hidden="false" customHeight="false" outlineLevel="0" collapsed="false">
      <c r="A21944" s="0" t="n">
        <f aca="false">INDEX(_xlfn.ORG.LIBREOFFICE.FOURIER(Data!A1:A3,TRUE(),TRUE(),TRUE()),ROWS(_xlfn.ORG.LIBREOFFICE.FOURIER(Data!A1:A3,TRUE(),TRUE(),TRUE())),1)</f>
        <v>1.45296631451356</v>
      </c>
      <c r="B21944" s="0" t="s">
        <v>21769</v>
      </c>
    </row>
    <row r="21945" customFormat="false" ht="15" hidden="false" customHeight="false" outlineLevel="0" collapsed="false">
      <c r="A21945" s="0" t="n">
        <f aca="false">INDEX(_xlfn.ORG.LIBREOFFICE.FOURIER(Data!A1:A3,TRUE(),TRUE(),TRUE()),ROWS(_xlfn.ORG.LIBREOFFICE.FOURIER(Data!A1:A3,TRUE(),TRUE(),TRUE())),2)</f>
        <v>1.6857572472956</v>
      </c>
      <c r="B21945" s="0" t="s">
        <v>21770</v>
      </c>
    </row>
    <row r="21946" customFormat="false" ht="15" hidden="false" customHeight="false" outlineLevel="0" collapsed="false">
      <c r="A21946" s="0" t="n">
        <f aca="false">SUM(_xlfn.ORG.LIBREOFFICE.FOURIER(Data!A1:A3,TRUE(),FALSE(),TRUE(),1))</f>
        <v>24.7177978870814</v>
      </c>
      <c r="B21946" s="0" t="s">
        <v>21771</v>
      </c>
    </row>
    <row r="21947" customFormat="false" ht="15" hidden="false" customHeight="false" outlineLevel="0" collapsed="false">
      <c r="A21947" s="0" t="n">
        <f aca="false">INDEX(_xlfn.ORG.LIBREOFFICE.FOURIER(Data!A1:A3,TRUE(),FALSE(),TRUE(),1),1,1)</f>
        <v>16</v>
      </c>
      <c r="B21947" s="0" t="s">
        <v>21772</v>
      </c>
    </row>
    <row r="21948" customFormat="false" ht="15" hidden="false" customHeight="false" outlineLevel="0" collapsed="false">
      <c r="A21948" s="0" t="n">
        <f aca="false">INDEX(_xlfn.ORG.LIBREOFFICE.FOURIER(Data!A1:A3,TRUE(),FALSE(),TRUE(),1),2,1)</f>
        <v>4.35889894354067</v>
      </c>
      <c r="B21948" s="0" t="s">
        <v>21773</v>
      </c>
    </row>
    <row r="21949" customFormat="false" ht="15" hidden="false" customHeight="false" outlineLevel="0" collapsed="false">
      <c r="A21949" s="0" t="n">
        <f aca="false">INDEX(_xlfn.ORG.LIBREOFFICE.FOURIER(Data!A1:A3,TRUE(),FALSE(),TRUE(),1),2,2)</f>
        <v>1.6857572472956</v>
      </c>
      <c r="B21949" s="0" t="s">
        <v>21774</v>
      </c>
    </row>
    <row r="21950" customFormat="false" ht="15" hidden="false" customHeight="false" outlineLevel="0" collapsed="false">
      <c r="A21950" s="0" t="n">
        <f aca="false">INDEX(_xlfn.ORG.LIBREOFFICE.FOURIER(Data!A1:A3,TRUE(),FALSE(),TRUE(),1),3,2)</f>
        <v>-1.6857572472956</v>
      </c>
      <c r="B21950" s="0" t="s">
        <v>21775</v>
      </c>
    </row>
    <row r="21951" customFormat="false" ht="15" hidden="false" customHeight="false" outlineLevel="0" collapsed="false">
      <c r="A21951" s="0" t="n">
        <f aca="false">INDEX(_xlfn.ORG.LIBREOFFICE.FOURIER(Data!A1:A3,TRUE(),FALSE(),TRUE(),1),ROWS(_xlfn.ORG.LIBREOFFICE.FOURIER(Data!A1:A3,TRUE(),FALSE(),TRUE(),1)),1)</f>
        <v>4.35889894354068</v>
      </c>
      <c r="B21951" s="0" t="s">
        <v>21776</v>
      </c>
    </row>
    <row r="21952" customFormat="false" ht="15" hidden="false" customHeight="false" outlineLevel="0" collapsed="false">
      <c r="A21952" s="0" t="n">
        <f aca="false">INDEX(_xlfn.ORG.LIBREOFFICE.FOURIER(Data!A1:A3,TRUE(),FALSE(),TRUE(),1),ROWS(_xlfn.ORG.LIBREOFFICE.FOURIER(Data!A1:A3,TRUE(),FALSE(),TRUE(),1)),2)</f>
        <v>-1.6857572472956</v>
      </c>
      <c r="B21952" s="0" t="s">
        <v>21777</v>
      </c>
    </row>
    <row r="21953" customFormat="false" ht="15" hidden="false" customHeight="false" outlineLevel="0" collapsed="false">
      <c r="A21953" s="0" t="n">
        <f aca="false">SUM(_xlfn.ORG.LIBREOFFICE.FOURIER(Data!A1:A3,TRUE(),TRUE(),TRUE(),5))</f>
        <v>5.33333333333333</v>
      </c>
      <c r="B21953" s="0" t="s">
        <v>21778</v>
      </c>
    </row>
    <row r="21954" customFormat="false" ht="15" hidden="false" customHeight="false" outlineLevel="0" collapsed="false">
      <c r="A21954" s="0" t="n">
        <f aca="false">INDEX(_xlfn.ORG.LIBREOFFICE.FOURIER(Data!A1:A3,TRUE(),TRUE(),TRUE(),5),1,1)</f>
        <v>5.33333333333333</v>
      </c>
      <c r="B21954" s="0" t="s">
        <v>21779</v>
      </c>
    </row>
    <row r="21955" customFormat="false" ht="15" hidden="false" customHeight="false" outlineLevel="0" collapsed="false">
      <c r="A21955" s="0" t="n">
        <f aca="false">INDEX(_xlfn.ORG.LIBREOFFICE.FOURIER(Data!A1:A3,TRUE(),TRUE(),TRUE(),5),2,1)</f>
        <v>0</v>
      </c>
      <c r="B21955" s="0" t="s">
        <v>21780</v>
      </c>
    </row>
    <row r="21956" customFormat="false" ht="15" hidden="false" customHeight="false" outlineLevel="0" collapsed="false">
      <c r="A21956" s="0" t="n">
        <f aca="false">INDEX(_xlfn.ORG.LIBREOFFICE.FOURIER(Data!A1:A3,TRUE(),TRUE(),TRUE(),5),2,2)</f>
        <v>0</v>
      </c>
      <c r="B21956" s="0" t="s">
        <v>21781</v>
      </c>
    </row>
    <row r="21957" customFormat="false" ht="15" hidden="false" customHeight="false" outlineLevel="0" collapsed="false">
      <c r="A21957" s="0" t="n">
        <f aca="false">INDEX(_xlfn.ORG.LIBREOFFICE.FOURIER(Data!A1:A3,TRUE(),TRUE(),TRUE(),5),3,2)</f>
        <v>0</v>
      </c>
      <c r="B21957" s="0" t="s">
        <v>21782</v>
      </c>
    </row>
    <row r="21958" customFormat="false" ht="15" hidden="false" customHeight="false" outlineLevel="0" collapsed="false">
      <c r="A21958" s="0" t="n">
        <f aca="false">INDEX(_xlfn.ORG.LIBREOFFICE.FOURIER(Data!A1:A3,TRUE(),TRUE(),TRUE(),5),ROWS(_xlfn.ORG.LIBREOFFICE.FOURIER(Data!A1:A3,TRUE(),TRUE(),TRUE(),5)),1)</f>
        <v>0</v>
      </c>
      <c r="B21958" s="0" t="s">
        <v>21783</v>
      </c>
    </row>
    <row r="21959" customFormat="false" ht="15" hidden="false" customHeight="false" outlineLevel="0" collapsed="false">
      <c r="A21959" s="0" t="n">
        <f aca="false">INDEX(_xlfn.ORG.LIBREOFFICE.FOURIER(Data!A1:A3,TRUE(),TRUE(),TRUE(),5),ROWS(_xlfn.ORG.LIBREOFFICE.FOURIER(Data!A1:A3,TRUE(),TRUE(),TRUE(),5)),2)</f>
        <v>0</v>
      </c>
      <c r="B21959" s="0" t="s">
        <v>21784</v>
      </c>
    </row>
    <row r="21960" customFormat="false" ht="15" hidden="false" customHeight="false" outlineLevel="0" collapsed="false">
      <c r="A21960" s="0" t="e">
        <f aca="false">ROWS(_xlfn.ORG.LIBREOFFICE.FOURIER(Data!A1:A3,FALSE()))</f>
        <v>#VALUE!</v>
      </c>
      <c r="B21960" s="0" t="s">
        <v>21785</v>
      </c>
    </row>
    <row r="21961" customFormat="false" ht="15" hidden="false" customHeight="false" outlineLevel="0" collapsed="false">
      <c r="A21961" s="0" t="e">
        <f aca="false">COLUMNS(_xlfn.ORG.LIBREOFFICE.FOURIER(Data!A1:A3,FALSE()))</f>
        <v>#VALUE!</v>
      </c>
      <c r="B21961" s="0" t="s">
        <v>21786</v>
      </c>
    </row>
    <row r="21962" customFormat="false" ht="15" hidden="false" customHeight="false" outlineLevel="0" collapsed="false">
      <c r="A21962" s="0" t="e">
        <f aca="false">SUM(_xlfn.ORG.LIBREOFFICE.FOURIER(Data!A1:A3,FALSE()))</f>
        <v>#VALUE!</v>
      </c>
      <c r="B21962" s="0" t="s">
        <v>21787</v>
      </c>
    </row>
    <row r="21963" customFormat="false" ht="15" hidden="false" customHeight="false" outlineLevel="0" collapsed="false">
      <c r="A21963" s="0" t="e">
        <f aca="false">INDEX(_xlfn.ORG.LIBREOFFICE.FOURIER(Data!A1:A3,FALSE()),1,1)</f>
        <v>#VALUE!</v>
      </c>
      <c r="B21963" s="0" t="s">
        <v>21788</v>
      </c>
    </row>
    <row r="21964" customFormat="false" ht="15" hidden="false" customHeight="false" outlineLevel="0" collapsed="false">
      <c r="A21964" s="0" t="e">
        <f aca="false">INDEX(_xlfn.ORG.LIBREOFFICE.FOURIER(Data!A1:A3,FALSE()),2,1)</f>
        <v>#VALUE!</v>
      </c>
      <c r="B21964" s="0" t="s">
        <v>21789</v>
      </c>
    </row>
    <row r="21965" customFormat="false" ht="15" hidden="false" customHeight="false" outlineLevel="0" collapsed="false">
      <c r="A21965" s="0" t="e">
        <f aca="false">INDEX(_xlfn.ORG.LIBREOFFICE.FOURIER(Data!A1:A3,FALSE()),2,2)</f>
        <v>#VALUE!</v>
      </c>
      <c r="B21965" s="0" t="s">
        <v>21790</v>
      </c>
    </row>
    <row r="21966" customFormat="false" ht="15" hidden="false" customHeight="false" outlineLevel="0" collapsed="false">
      <c r="A21966" s="0" t="e">
        <f aca="false">INDEX(_xlfn.ORG.LIBREOFFICE.FOURIER(Data!A1:A3,FALSE()),3,2)</f>
        <v>#VALUE!</v>
      </c>
      <c r="B21966" s="0" t="s">
        <v>21791</v>
      </c>
    </row>
    <row r="21967" customFormat="false" ht="15" hidden="false" customHeight="false" outlineLevel="0" collapsed="false">
      <c r="A21967" s="0" t="e">
        <f aca="false">INDEX(_xlfn.ORG.LIBREOFFICE.FOURIER(Data!A1:A3,FALSE()),ROWS(_xlfn.ORG.LIBREOFFICE.FOURIER(Data!A1:A3,FALSE())),1)</f>
        <v>#VALUE!</v>
      </c>
      <c r="B21967" s="0" t="s">
        <v>21792</v>
      </c>
    </row>
    <row r="21968" customFormat="false" ht="15" hidden="false" customHeight="false" outlineLevel="0" collapsed="false">
      <c r="A21968" s="0" t="e">
        <f aca="false">INDEX(_xlfn.ORG.LIBREOFFICE.FOURIER(Data!A1:A3,FALSE()),ROWS(_xlfn.ORG.LIBREOFFICE.FOURIER(Data!A1:A3,FALSE())),2)</f>
        <v>#VALUE!</v>
      </c>
      <c r="B21968" s="0" t="s">
        <v>21793</v>
      </c>
    </row>
    <row r="21969" customFormat="false" ht="15" hidden="false" customHeight="false" outlineLevel="0" collapsed="false">
      <c r="A21969" s="0" t="e">
        <f aca="false">SUM(_xlfn.ORG.LIBREOFFICE.FOURIER(Data!A1:A3,FALSE(),TRUE()))</f>
        <v>#VALUE!</v>
      </c>
      <c r="B21969" s="0" t="s">
        <v>21794</v>
      </c>
    </row>
    <row r="21970" customFormat="false" ht="15" hidden="false" customHeight="false" outlineLevel="0" collapsed="false">
      <c r="A21970" s="0" t="e">
        <f aca="false">INDEX(_xlfn.ORG.LIBREOFFICE.FOURIER(Data!A1:A3,FALSE(),TRUE()),1,1)</f>
        <v>#VALUE!</v>
      </c>
      <c r="B21970" s="0" t="s">
        <v>21795</v>
      </c>
    </row>
    <row r="21971" customFormat="false" ht="15" hidden="false" customHeight="false" outlineLevel="0" collapsed="false">
      <c r="A21971" s="0" t="e">
        <f aca="false">INDEX(_xlfn.ORG.LIBREOFFICE.FOURIER(Data!A1:A3,FALSE(),TRUE()),2,1)</f>
        <v>#VALUE!</v>
      </c>
      <c r="B21971" s="0" t="s">
        <v>21796</v>
      </c>
    </row>
    <row r="21972" customFormat="false" ht="15" hidden="false" customHeight="false" outlineLevel="0" collapsed="false">
      <c r="A21972" s="0" t="e">
        <f aca="false">INDEX(_xlfn.ORG.LIBREOFFICE.FOURIER(Data!A1:A3,FALSE(),TRUE()),2,2)</f>
        <v>#VALUE!</v>
      </c>
      <c r="B21972" s="0" t="s">
        <v>21797</v>
      </c>
    </row>
    <row r="21973" customFormat="false" ht="15" hidden="false" customHeight="false" outlineLevel="0" collapsed="false">
      <c r="A21973" s="0" t="e">
        <f aca="false">INDEX(_xlfn.ORG.LIBREOFFICE.FOURIER(Data!A1:A3,FALSE(),TRUE()),3,2)</f>
        <v>#VALUE!</v>
      </c>
      <c r="B21973" s="0" t="s">
        <v>21798</v>
      </c>
    </row>
    <row r="21974" customFormat="false" ht="15" hidden="false" customHeight="false" outlineLevel="0" collapsed="false">
      <c r="A21974" s="0" t="e">
        <f aca="false">INDEX(_xlfn.ORG.LIBREOFFICE.FOURIER(Data!A1:A3,FALSE(),TRUE()),ROWS(_xlfn.ORG.LIBREOFFICE.FOURIER(Data!A1:A3,FALSE(),TRUE())),1)</f>
        <v>#VALUE!</v>
      </c>
      <c r="B21974" s="0" t="s">
        <v>21799</v>
      </c>
    </row>
    <row r="21975" customFormat="false" ht="15" hidden="false" customHeight="false" outlineLevel="0" collapsed="false">
      <c r="A21975" s="0" t="e">
        <f aca="false">INDEX(_xlfn.ORG.LIBREOFFICE.FOURIER(Data!A1:A3,FALSE(),TRUE()),ROWS(_xlfn.ORG.LIBREOFFICE.FOURIER(Data!A1:A3,FALSE(),TRUE())),2)</f>
        <v>#VALUE!</v>
      </c>
      <c r="B21975" s="0" t="s">
        <v>21800</v>
      </c>
    </row>
    <row r="21976" customFormat="false" ht="15" hidden="false" customHeight="false" outlineLevel="0" collapsed="false">
      <c r="A21976" s="0" t="e">
        <f aca="false">SUM(_xlfn.ORG.LIBREOFFICE.FOURIER(Data!A1:A3,FALSE(),FALSE(),TRUE()))</f>
        <v>#VALUE!</v>
      </c>
      <c r="B21976" s="0" t="s">
        <v>21801</v>
      </c>
    </row>
    <row r="21977" customFormat="false" ht="15" hidden="false" customHeight="false" outlineLevel="0" collapsed="false">
      <c r="A21977" s="0" t="e">
        <f aca="false">INDEX(_xlfn.ORG.LIBREOFFICE.FOURIER(Data!A1:A3,FALSE(),FALSE(),TRUE()),1,1)</f>
        <v>#VALUE!</v>
      </c>
      <c r="B21977" s="0" t="s">
        <v>21802</v>
      </c>
    </row>
    <row r="21978" customFormat="false" ht="15" hidden="false" customHeight="false" outlineLevel="0" collapsed="false">
      <c r="A21978" s="0" t="e">
        <f aca="false">INDEX(_xlfn.ORG.LIBREOFFICE.FOURIER(Data!A1:A3,FALSE(),FALSE(),TRUE()),2,1)</f>
        <v>#VALUE!</v>
      </c>
      <c r="B21978" s="0" t="s">
        <v>21803</v>
      </c>
    </row>
    <row r="21979" customFormat="false" ht="15" hidden="false" customHeight="false" outlineLevel="0" collapsed="false">
      <c r="A21979" s="0" t="e">
        <f aca="false">INDEX(_xlfn.ORG.LIBREOFFICE.FOURIER(Data!A1:A3,FALSE(),FALSE(),TRUE()),2,2)</f>
        <v>#VALUE!</v>
      </c>
      <c r="B21979" s="0" t="s">
        <v>21804</v>
      </c>
    </row>
    <row r="21980" customFormat="false" ht="15" hidden="false" customHeight="false" outlineLevel="0" collapsed="false">
      <c r="A21980" s="0" t="e">
        <f aca="false">INDEX(_xlfn.ORG.LIBREOFFICE.FOURIER(Data!A1:A3,FALSE(),FALSE(),TRUE()),3,2)</f>
        <v>#VALUE!</v>
      </c>
      <c r="B21980" s="0" t="s">
        <v>21805</v>
      </c>
    </row>
    <row r="21981" customFormat="false" ht="15" hidden="false" customHeight="false" outlineLevel="0" collapsed="false">
      <c r="A21981" s="0" t="e">
        <f aca="false">INDEX(_xlfn.ORG.LIBREOFFICE.FOURIER(Data!A1:A3,FALSE(),FALSE(),TRUE()),ROWS(_xlfn.ORG.LIBREOFFICE.FOURIER(Data!A1:A3,FALSE(),FALSE(),TRUE())),1)</f>
        <v>#VALUE!</v>
      </c>
      <c r="B21981" s="0" t="s">
        <v>21806</v>
      </c>
    </row>
    <row r="21982" customFormat="false" ht="15" hidden="false" customHeight="false" outlineLevel="0" collapsed="false">
      <c r="A21982" s="0" t="e">
        <f aca="false">INDEX(_xlfn.ORG.LIBREOFFICE.FOURIER(Data!A1:A3,FALSE(),FALSE(),TRUE()),ROWS(_xlfn.ORG.LIBREOFFICE.FOURIER(Data!A1:A3,FALSE(),FALSE(),TRUE())),2)</f>
        <v>#VALUE!</v>
      </c>
      <c r="B21982" s="0" t="s">
        <v>21807</v>
      </c>
    </row>
    <row r="21983" customFormat="false" ht="15" hidden="false" customHeight="false" outlineLevel="0" collapsed="false">
      <c r="A21983" s="0" t="e">
        <f aca="false">SUM(_xlfn.ORG.LIBREOFFICE.FOURIER(Data!A1:A3,FALSE(),TRUE(),TRUE()))</f>
        <v>#VALUE!</v>
      </c>
      <c r="B21983" s="0" t="s">
        <v>21808</v>
      </c>
    </row>
    <row r="21984" customFormat="false" ht="15" hidden="false" customHeight="false" outlineLevel="0" collapsed="false">
      <c r="A21984" s="0" t="e">
        <f aca="false">INDEX(_xlfn.ORG.LIBREOFFICE.FOURIER(Data!A1:A3,FALSE(),TRUE(),TRUE()),1,1)</f>
        <v>#VALUE!</v>
      </c>
      <c r="B21984" s="0" t="s">
        <v>21809</v>
      </c>
    </row>
    <row r="21985" customFormat="false" ht="15" hidden="false" customHeight="false" outlineLevel="0" collapsed="false">
      <c r="A21985" s="0" t="e">
        <f aca="false">INDEX(_xlfn.ORG.LIBREOFFICE.FOURIER(Data!A1:A3,FALSE(),TRUE(),TRUE()),2,1)</f>
        <v>#VALUE!</v>
      </c>
      <c r="B21985" s="0" t="s">
        <v>21810</v>
      </c>
    </row>
    <row r="21986" customFormat="false" ht="15" hidden="false" customHeight="false" outlineLevel="0" collapsed="false">
      <c r="A21986" s="0" t="e">
        <f aca="false">INDEX(_xlfn.ORG.LIBREOFFICE.FOURIER(Data!A1:A3,FALSE(),TRUE(),TRUE()),2,2)</f>
        <v>#VALUE!</v>
      </c>
      <c r="B21986" s="0" t="s">
        <v>21811</v>
      </c>
    </row>
    <row r="21987" customFormat="false" ht="15" hidden="false" customHeight="false" outlineLevel="0" collapsed="false">
      <c r="A21987" s="0" t="e">
        <f aca="false">INDEX(_xlfn.ORG.LIBREOFFICE.FOURIER(Data!A1:A3,FALSE(),TRUE(),TRUE()),3,2)</f>
        <v>#VALUE!</v>
      </c>
      <c r="B21987" s="0" t="s">
        <v>21812</v>
      </c>
    </row>
    <row r="21988" customFormat="false" ht="15" hidden="false" customHeight="false" outlineLevel="0" collapsed="false">
      <c r="A21988" s="0" t="e">
        <f aca="false">INDEX(_xlfn.ORG.LIBREOFFICE.FOURIER(Data!A1:A3,FALSE(),TRUE(),TRUE()),ROWS(_xlfn.ORG.LIBREOFFICE.FOURIER(Data!A1:A3,FALSE(),TRUE(),TRUE())),1)</f>
        <v>#VALUE!</v>
      </c>
      <c r="B21988" s="0" t="s">
        <v>21813</v>
      </c>
    </row>
    <row r="21989" customFormat="false" ht="15" hidden="false" customHeight="false" outlineLevel="0" collapsed="false">
      <c r="A21989" s="0" t="e">
        <f aca="false">INDEX(_xlfn.ORG.LIBREOFFICE.FOURIER(Data!A1:A3,FALSE(),TRUE(),TRUE()),ROWS(_xlfn.ORG.LIBREOFFICE.FOURIER(Data!A1:A3,FALSE(),TRUE(),TRUE())),2)</f>
        <v>#VALUE!</v>
      </c>
      <c r="B21989" s="0" t="s">
        <v>21814</v>
      </c>
    </row>
    <row r="21990" customFormat="false" ht="15" hidden="false" customHeight="false" outlineLevel="0" collapsed="false">
      <c r="A21990" s="0" t="e">
        <f aca="false">SUM(_xlfn.ORG.LIBREOFFICE.FOURIER(Data!A1:A3,FALSE(),FALSE(),TRUE(),1))</f>
        <v>#VALUE!</v>
      </c>
      <c r="B21990" s="0" t="s">
        <v>21815</v>
      </c>
    </row>
    <row r="21991" customFormat="false" ht="15" hidden="false" customHeight="false" outlineLevel="0" collapsed="false">
      <c r="A21991" s="0" t="e">
        <f aca="false">INDEX(_xlfn.ORG.LIBREOFFICE.FOURIER(Data!A1:A3,FALSE(),FALSE(),TRUE(),1),1,1)</f>
        <v>#VALUE!</v>
      </c>
      <c r="B21991" s="0" t="s">
        <v>21816</v>
      </c>
    </row>
    <row r="21992" customFormat="false" ht="15" hidden="false" customHeight="false" outlineLevel="0" collapsed="false">
      <c r="A21992" s="0" t="e">
        <f aca="false">INDEX(_xlfn.ORG.LIBREOFFICE.FOURIER(Data!A1:A3,FALSE(),FALSE(),TRUE(),1),2,1)</f>
        <v>#VALUE!</v>
      </c>
      <c r="B21992" s="0" t="s">
        <v>21817</v>
      </c>
    </row>
    <row r="21993" customFormat="false" ht="15" hidden="false" customHeight="false" outlineLevel="0" collapsed="false">
      <c r="A21993" s="0" t="e">
        <f aca="false">INDEX(_xlfn.ORG.LIBREOFFICE.FOURIER(Data!A1:A3,FALSE(),FALSE(),TRUE(),1),2,2)</f>
        <v>#VALUE!</v>
      </c>
      <c r="B21993" s="0" t="s">
        <v>21818</v>
      </c>
    </row>
    <row r="21994" customFormat="false" ht="15" hidden="false" customHeight="false" outlineLevel="0" collapsed="false">
      <c r="A21994" s="0" t="e">
        <f aca="false">INDEX(_xlfn.ORG.LIBREOFFICE.FOURIER(Data!A1:A3,FALSE(),FALSE(),TRUE(),1),3,2)</f>
        <v>#VALUE!</v>
      </c>
      <c r="B21994" s="0" t="s">
        <v>21819</v>
      </c>
    </row>
    <row r="21995" customFormat="false" ht="15" hidden="false" customHeight="false" outlineLevel="0" collapsed="false">
      <c r="A21995" s="0" t="e">
        <f aca="false">INDEX(_xlfn.ORG.LIBREOFFICE.FOURIER(Data!A1:A3,FALSE(),FALSE(),TRUE(),1),ROWS(_xlfn.ORG.LIBREOFFICE.FOURIER(Data!A1:A3,FALSE(),FALSE(),TRUE(),1)),1)</f>
        <v>#VALUE!</v>
      </c>
      <c r="B21995" s="0" t="s">
        <v>21820</v>
      </c>
    </row>
    <row r="21996" customFormat="false" ht="15" hidden="false" customHeight="false" outlineLevel="0" collapsed="false">
      <c r="A21996" s="0" t="e">
        <f aca="false">INDEX(_xlfn.ORG.LIBREOFFICE.FOURIER(Data!A1:A3,FALSE(),FALSE(),TRUE(),1),ROWS(_xlfn.ORG.LIBREOFFICE.FOURIER(Data!A1:A3,FALSE(),FALSE(),TRUE(),1)),2)</f>
        <v>#VALUE!</v>
      </c>
      <c r="B21996" s="0" t="s">
        <v>21821</v>
      </c>
    </row>
    <row r="21997" customFormat="false" ht="15" hidden="false" customHeight="false" outlineLevel="0" collapsed="false">
      <c r="A21997" s="0" t="e">
        <f aca="false">SUM(_xlfn.ORG.LIBREOFFICE.FOURIER(Data!A1:A3,FALSE(),TRUE(),TRUE(),5))</f>
        <v>#VALUE!</v>
      </c>
      <c r="B21997" s="0" t="s">
        <v>21822</v>
      </c>
    </row>
    <row r="21998" customFormat="false" ht="15" hidden="false" customHeight="false" outlineLevel="0" collapsed="false">
      <c r="A21998" s="0" t="e">
        <f aca="false">INDEX(_xlfn.ORG.LIBREOFFICE.FOURIER(Data!A1:A3,FALSE(),TRUE(),TRUE(),5),1,1)</f>
        <v>#VALUE!</v>
      </c>
      <c r="B21998" s="0" t="s">
        <v>21823</v>
      </c>
    </row>
    <row r="21999" customFormat="false" ht="15" hidden="false" customHeight="false" outlineLevel="0" collapsed="false">
      <c r="A21999" s="0" t="e">
        <f aca="false">INDEX(_xlfn.ORG.LIBREOFFICE.FOURIER(Data!A1:A3,FALSE(),TRUE(),TRUE(),5),2,1)</f>
        <v>#VALUE!</v>
      </c>
      <c r="B21999" s="0" t="s">
        <v>21824</v>
      </c>
    </row>
    <row r="22000" customFormat="false" ht="15" hidden="false" customHeight="false" outlineLevel="0" collapsed="false">
      <c r="A22000" s="0" t="e">
        <f aca="false">INDEX(_xlfn.ORG.LIBREOFFICE.FOURIER(Data!A1:A3,FALSE(),TRUE(),TRUE(),5),2,2)</f>
        <v>#VALUE!</v>
      </c>
      <c r="B22000" s="0" t="s">
        <v>21825</v>
      </c>
    </row>
    <row r="22001" customFormat="false" ht="15" hidden="false" customHeight="false" outlineLevel="0" collapsed="false">
      <c r="A22001" s="0" t="e">
        <f aca="false">INDEX(_xlfn.ORG.LIBREOFFICE.FOURIER(Data!A1:A3,FALSE(),TRUE(),TRUE(),5),3,2)</f>
        <v>#VALUE!</v>
      </c>
      <c r="B22001" s="0" t="s">
        <v>21826</v>
      </c>
    </row>
    <row r="22002" customFormat="false" ht="15" hidden="false" customHeight="false" outlineLevel="0" collapsed="false">
      <c r="A22002" s="0" t="e">
        <f aca="false">INDEX(_xlfn.ORG.LIBREOFFICE.FOURIER(Data!A1:A3,FALSE(),TRUE(),TRUE(),5),ROWS(_xlfn.ORG.LIBREOFFICE.FOURIER(Data!A1:A3,FALSE(),TRUE(),TRUE(),5)),1)</f>
        <v>#VALUE!</v>
      </c>
      <c r="B22002" s="0" t="s">
        <v>21827</v>
      </c>
    </row>
    <row r="22003" customFormat="false" ht="15" hidden="false" customHeight="false" outlineLevel="0" collapsed="false">
      <c r="A22003" s="0" t="e">
        <f aca="false">INDEX(_xlfn.ORG.LIBREOFFICE.FOURIER(Data!A1:A3,FALSE(),TRUE(),TRUE(),5),ROWS(_xlfn.ORG.LIBREOFFICE.FOURIER(Data!A1:A3,FALSE(),TRUE(),TRUE(),5)),2)</f>
        <v>#VALUE!</v>
      </c>
      <c r="B22003" s="0" t="s">
        <v>21828</v>
      </c>
    </row>
    <row r="22004" customFormat="false" ht="15" hidden="false" customHeight="false" outlineLevel="0" collapsed="false">
      <c r="A22004" s="0" t="n">
        <f aca="false">ROWS(_xlfn.ORG.LIBREOFFICE.FOURIER(Data!A1:A2,TRUE()))</f>
        <v>2</v>
      </c>
      <c r="B22004" s="0" t="s">
        <v>21829</v>
      </c>
    </row>
    <row r="22005" customFormat="false" ht="15" hidden="false" customHeight="false" outlineLevel="0" collapsed="false">
      <c r="A22005" s="0" t="n">
        <f aca="false">COLUMNS(_xlfn.ORG.LIBREOFFICE.FOURIER(Data!A1:A2,TRUE()))</f>
        <v>2</v>
      </c>
      <c r="B22005" s="0" t="s">
        <v>21830</v>
      </c>
    </row>
    <row r="22006" customFormat="false" ht="15" hidden="false" customHeight="false" outlineLevel="0" collapsed="false">
      <c r="A22006" s="0" t="n">
        <f aca="false">SUM(_xlfn.ORG.LIBREOFFICE.FOURIER(Data!A1:A2,TRUE()))</f>
        <v>10</v>
      </c>
      <c r="B22006" s="0" t="s">
        <v>21831</v>
      </c>
    </row>
    <row r="22007" customFormat="false" ht="15" hidden="false" customHeight="false" outlineLevel="0" collapsed="false">
      <c r="A22007" s="0" t="n">
        <f aca="false">INDEX(_xlfn.ORG.LIBREOFFICE.FOURIER(Data!A1:A2,TRUE()),1,1)</f>
        <v>8</v>
      </c>
      <c r="B22007" s="0" t="s">
        <v>21832</v>
      </c>
    </row>
    <row r="22008" customFormat="false" ht="15" hidden="false" customHeight="false" outlineLevel="0" collapsed="false">
      <c r="A22008" s="0" t="n">
        <f aca="false">INDEX(_xlfn.ORG.LIBREOFFICE.FOURIER(Data!A1:A2,TRUE()),2,1)</f>
        <v>2</v>
      </c>
      <c r="B22008" s="0" t="s">
        <v>21833</v>
      </c>
    </row>
    <row r="22009" customFormat="false" ht="15" hidden="false" customHeight="false" outlineLevel="0" collapsed="false">
      <c r="A22009" s="0" t="n">
        <f aca="false">INDEX(_xlfn.ORG.LIBREOFFICE.FOURIER(Data!A1:A2,TRUE()),2,2)</f>
        <v>0</v>
      </c>
      <c r="B22009" s="0" t="s">
        <v>21834</v>
      </c>
    </row>
    <row r="22010" customFormat="false" ht="15" hidden="false" customHeight="false" outlineLevel="0" collapsed="false">
      <c r="A22010" s="0" t="e">
        <f aca="false">INDEX(_xlfn.ORG.LIBREOFFICE.FOURIER(Data!A1:A2,TRUE()),3,2)</f>
        <v>#REF!</v>
      </c>
      <c r="B22010" s="0" t="s">
        <v>21835</v>
      </c>
    </row>
    <row r="22011" customFormat="false" ht="15" hidden="false" customHeight="false" outlineLevel="0" collapsed="false">
      <c r="A22011" s="0" t="n">
        <f aca="false">INDEX(_xlfn.ORG.LIBREOFFICE.FOURIER(Data!A1:A2,TRUE()),ROWS(_xlfn.ORG.LIBREOFFICE.FOURIER(Data!A1:A2,TRUE())),1)</f>
        <v>2</v>
      </c>
      <c r="B22011" s="0" t="s">
        <v>21836</v>
      </c>
    </row>
    <row r="22012" customFormat="false" ht="15" hidden="false" customHeight="false" outlineLevel="0" collapsed="false">
      <c r="A22012" s="0" t="n">
        <f aca="false">INDEX(_xlfn.ORG.LIBREOFFICE.FOURIER(Data!A1:A2,TRUE()),ROWS(_xlfn.ORG.LIBREOFFICE.FOURIER(Data!A1:A2,TRUE())),2)</f>
        <v>0</v>
      </c>
      <c r="B22012" s="0" t="s">
        <v>21837</v>
      </c>
    </row>
    <row r="22013" customFormat="false" ht="15" hidden="false" customHeight="false" outlineLevel="0" collapsed="false">
      <c r="A22013" s="0" t="n">
        <f aca="false">SUM(_xlfn.ORG.LIBREOFFICE.FOURIER(Data!A1:A2,TRUE(),TRUE()))</f>
        <v>5</v>
      </c>
      <c r="B22013" s="0" t="s">
        <v>21838</v>
      </c>
    </row>
    <row r="22014" customFormat="false" ht="15" hidden="false" customHeight="false" outlineLevel="0" collapsed="false">
      <c r="A22014" s="0" t="n">
        <f aca="false">INDEX(_xlfn.ORG.LIBREOFFICE.FOURIER(Data!A1:A2,TRUE(),TRUE()),1,1)</f>
        <v>4</v>
      </c>
      <c r="B22014" s="0" t="s">
        <v>21839</v>
      </c>
    </row>
    <row r="22015" customFormat="false" ht="15" hidden="false" customHeight="false" outlineLevel="0" collapsed="false">
      <c r="A22015" s="0" t="n">
        <f aca="false">INDEX(_xlfn.ORG.LIBREOFFICE.FOURIER(Data!A1:A2,TRUE(),TRUE()),2,1)</f>
        <v>1</v>
      </c>
      <c r="B22015" s="0" t="s">
        <v>21840</v>
      </c>
    </row>
    <row r="22016" customFormat="false" ht="15" hidden="false" customHeight="false" outlineLevel="0" collapsed="false">
      <c r="A22016" s="0" t="n">
        <f aca="false">INDEX(_xlfn.ORG.LIBREOFFICE.FOURIER(Data!A1:A2,TRUE(),TRUE()),2,2)</f>
        <v>0</v>
      </c>
      <c r="B22016" s="0" t="s">
        <v>21841</v>
      </c>
    </row>
    <row r="22017" customFormat="false" ht="15" hidden="false" customHeight="false" outlineLevel="0" collapsed="false">
      <c r="A22017" s="0" t="e">
        <f aca="false">INDEX(_xlfn.ORG.LIBREOFFICE.FOURIER(Data!A1:A2,TRUE(),TRUE()),3,2)</f>
        <v>#REF!</v>
      </c>
      <c r="B22017" s="0" t="s">
        <v>21842</v>
      </c>
    </row>
    <row r="22018" customFormat="false" ht="15" hidden="false" customHeight="false" outlineLevel="0" collapsed="false">
      <c r="A22018" s="0" t="n">
        <f aca="false">INDEX(_xlfn.ORG.LIBREOFFICE.FOURIER(Data!A1:A2,TRUE(),TRUE()),ROWS(_xlfn.ORG.LIBREOFFICE.FOURIER(Data!A1:A2,TRUE(),TRUE())),1)</f>
        <v>1</v>
      </c>
      <c r="B22018" s="0" t="s">
        <v>21843</v>
      </c>
    </row>
    <row r="22019" customFormat="false" ht="15" hidden="false" customHeight="false" outlineLevel="0" collapsed="false">
      <c r="A22019" s="0" t="n">
        <f aca="false">INDEX(_xlfn.ORG.LIBREOFFICE.FOURIER(Data!A1:A2,TRUE(),TRUE()),ROWS(_xlfn.ORG.LIBREOFFICE.FOURIER(Data!A1:A2,TRUE(),TRUE())),2)</f>
        <v>0</v>
      </c>
      <c r="B22019" s="0" t="s">
        <v>21844</v>
      </c>
    </row>
    <row r="22020" customFormat="false" ht="15" hidden="false" customHeight="false" outlineLevel="0" collapsed="false">
      <c r="A22020" s="0" t="n">
        <f aca="false">SUM(_xlfn.ORG.LIBREOFFICE.FOURIER(Data!A1:A2,TRUE(),FALSE(),TRUE()))</f>
        <v>10</v>
      </c>
      <c r="B22020" s="0" t="s">
        <v>21845</v>
      </c>
    </row>
    <row r="22021" customFormat="false" ht="15" hidden="false" customHeight="false" outlineLevel="0" collapsed="false">
      <c r="A22021" s="0" t="n">
        <f aca="false">INDEX(_xlfn.ORG.LIBREOFFICE.FOURIER(Data!A1:A2,TRUE(),FALSE(),TRUE()),1,1)</f>
        <v>8</v>
      </c>
      <c r="B22021" s="0" t="s">
        <v>21846</v>
      </c>
    </row>
    <row r="22022" customFormat="false" ht="15" hidden="false" customHeight="false" outlineLevel="0" collapsed="false">
      <c r="A22022" s="0" t="n">
        <f aca="false">INDEX(_xlfn.ORG.LIBREOFFICE.FOURIER(Data!A1:A2,TRUE(),FALSE(),TRUE()),2,1)</f>
        <v>2</v>
      </c>
      <c r="B22022" s="0" t="s">
        <v>21847</v>
      </c>
    </row>
    <row r="22023" customFormat="false" ht="15" hidden="false" customHeight="false" outlineLevel="0" collapsed="false">
      <c r="A22023" s="0" t="n">
        <f aca="false">INDEX(_xlfn.ORG.LIBREOFFICE.FOURIER(Data!A1:A2,TRUE(),FALSE(),TRUE()),2,2)</f>
        <v>0</v>
      </c>
      <c r="B22023" s="0" t="s">
        <v>21848</v>
      </c>
    </row>
    <row r="22024" customFormat="false" ht="15" hidden="false" customHeight="false" outlineLevel="0" collapsed="false">
      <c r="A22024" s="0" t="e">
        <f aca="false">INDEX(_xlfn.ORG.LIBREOFFICE.FOURIER(Data!A1:A2,TRUE(),FALSE(),TRUE()),3,2)</f>
        <v>#REF!</v>
      </c>
      <c r="B22024" s="0" t="s">
        <v>21849</v>
      </c>
    </row>
    <row r="22025" customFormat="false" ht="15" hidden="false" customHeight="false" outlineLevel="0" collapsed="false">
      <c r="A22025" s="0" t="n">
        <f aca="false">INDEX(_xlfn.ORG.LIBREOFFICE.FOURIER(Data!A1:A2,TRUE(),FALSE(),TRUE()),ROWS(_xlfn.ORG.LIBREOFFICE.FOURIER(Data!A1:A2,TRUE(),FALSE(),TRUE())),1)</f>
        <v>2</v>
      </c>
      <c r="B22025" s="0" t="s">
        <v>21850</v>
      </c>
    </row>
    <row r="22026" customFormat="false" ht="15" hidden="false" customHeight="false" outlineLevel="0" collapsed="false">
      <c r="A22026" s="0" t="n">
        <f aca="false">INDEX(_xlfn.ORG.LIBREOFFICE.FOURIER(Data!A1:A2,TRUE(),FALSE(),TRUE()),ROWS(_xlfn.ORG.LIBREOFFICE.FOURIER(Data!A1:A2,TRUE(),FALSE(),TRUE())),2)</f>
        <v>0</v>
      </c>
      <c r="B22026" s="0" t="s">
        <v>21851</v>
      </c>
    </row>
    <row r="22027" customFormat="false" ht="15" hidden="false" customHeight="false" outlineLevel="0" collapsed="false">
      <c r="A22027" s="0" t="n">
        <f aca="false">SUM(_xlfn.ORG.LIBREOFFICE.FOURIER(Data!A1:A2,TRUE(),TRUE(),TRUE()))</f>
        <v>5</v>
      </c>
      <c r="B22027" s="0" t="s">
        <v>21852</v>
      </c>
    </row>
    <row r="22028" customFormat="false" ht="15" hidden="false" customHeight="false" outlineLevel="0" collapsed="false">
      <c r="A22028" s="0" t="n">
        <f aca="false">INDEX(_xlfn.ORG.LIBREOFFICE.FOURIER(Data!A1:A2,TRUE(),TRUE(),TRUE()),1,1)</f>
        <v>4</v>
      </c>
      <c r="B22028" s="0" t="s">
        <v>21853</v>
      </c>
    </row>
    <row r="22029" customFormat="false" ht="15" hidden="false" customHeight="false" outlineLevel="0" collapsed="false">
      <c r="A22029" s="0" t="n">
        <f aca="false">INDEX(_xlfn.ORG.LIBREOFFICE.FOURIER(Data!A1:A2,TRUE(),TRUE(),TRUE()),2,1)</f>
        <v>1</v>
      </c>
      <c r="B22029" s="0" t="s">
        <v>21854</v>
      </c>
    </row>
    <row r="22030" customFormat="false" ht="15" hidden="false" customHeight="false" outlineLevel="0" collapsed="false">
      <c r="A22030" s="0" t="n">
        <f aca="false">INDEX(_xlfn.ORG.LIBREOFFICE.FOURIER(Data!A1:A2,TRUE(),TRUE(),TRUE()),2,2)</f>
        <v>0</v>
      </c>
      <c r="B22030" s="0" t="s">
        <v>21855</v>
      </c>
    </row>
    <row r="22031" customFormat="false" ht="15" hidden="false" customHeight="false" outlineLevel="0" collapsed="false">
      <c r="A22031" s="0" t="e">
        <f aca="false">INDEX(_xlfn.ORG.LIBREOFFICE.FOURIER(Data!A1:A2,TRUE(),TRUE(),TRUE()),3,2)</f>
        <v>#REF!</v>
      </c>
      <c r="B22031" s="0" t="s">
        <v>21856</v>
      </c>
    </row>
    <row r="22032" customFormat="false" ht="15" hidden="false" customHeight="false" outlineLevel="0" collapsed="false">
      <c r="A22032" s="0" t="n">
        <f aca="false">INDEX(_xlfn.ORG.LIBREOFFICE.FOURIER(Data!A1:A2,TRUE(),TRUE(),TRUE()),ROWS(_xlfn.ORG.LIBREOFFICE.FOURIER(Data!A1:A2,TRUE(),TRUE(),TRUE())),1)</f>
        <v>1</v>
      </c>
      <c r="B22032" s="0" t="s">
        <v>21857</v>
      </c>
    </row>
    <row r="22033" customFormat="false" ht="15" hidden="false" customHeight="false" outlineLevel="0" collapsed="false">
      <c r="A22033" s="0" t="n">
        <f aca="false">INDEX(_xlfn.ORG.LIBREOFFICE.FOURIER(Data!A1:A2,TRUE(),TRUE(),TRUE()),ROWS(_xlfn.ORG.LIBREOFFICE.FOURIER(Data!A1:A2,TRUE(),TRUE(),TRUE())),2)</f>
        <v>0</v>
      </c>
      <c r="B22033" s="0" t="s">
        <v>21858</v>
      </c>
    </row>
    <row r="22034" customFormat="false" ht="15" hidden="false" customHeight="false" outlineLevel="0" collapsed="false">
      <c r="A22034" s="0" t="n">
        <f aca="false">SUM(_xlfn.ORG.LIBREOFFICE.FOURIER(Data!A1:A2,TRUE(),FALSE(),TRUE(),1))</f>
        <v>10</v>
      </c>
      <c r="B22034" s="0" t="s">
        <v>21859</v>
      </c>
    </row>
    <row r="22035" customFormat="false" ht="15" hidden="false" customHeight="false" outlineLevel="0" collapsed="false">
      <c r="A22035" s="0" t="n">
        <f aca="false">INDEX(_xlfn.ORG.LIBREOFFICE.FOURIER(Data!A1:A2,TRUE(),FALSE(),TRUE(),1),1,1)</f>
        <v>8</v>
      </c>
      <c r="B22035" s="0" t="s">
        <v>21860</v>
      </c>
    </row>
    <row r="22036" customFormat="false" ht="15" hidden="false" customHeight="false" outlineLevel="0" collapsed="false">
      <c r="A22036" s="0" t="n">
        <f aca="false">INDEX(_xlfn.ORG.LIBREOFFICE.FOURIER(Data!A1:A2,TRUE(),FALSE(),TRUE(),1),2,1)</f>
        <v>2</v>
      </c>
      <c r="B22036" s="0" t="s">
        <v>21861</v>
      </c>
    </row>
    <row r="22037" customFormat="false" ht="15" hidden="false" customHeight="false" outlineLevel="0" collapsed="false">
      <c r="A22037" s="0" t="n">
        <f aca="false">INDEX(_xlfn.ORG.LIBREOFFICE.FOURIER(Data!A1:A2,TRUE(),FALSE(),TRUE(),1),2,2)</f>
        <v>0</v>
      </c>
      <c r="B22037" s="0" t="s">
        <v>21862</v>
      </c>
    </row>
    <row r="22038" customFormat="false" ht="15" hidden="false" customHeight="false" outlineLevel="0" collapsed="false">
      <c r="A22038" s="0" t="e">
        <f aca="false">INDEX(_xlfn.ORG.LIBREOFFICE.FOURIER(Data!A1:A2,TRUE(),FALSE(),TRUE(),1),3,2)</f>
        <v>#REF!</v>
      </c>
      <c r="B22038" s="0" t="s">
        <v>21863</v>
      </c>
    </row>
    <row r="22039" customFormat="false" ht="15" hidden="false" customHeight="false" outlineLevel="0" collapsed="false">
      <c r="A22039" s="0" t="n">
        <f aca="false">INDEX(_xlfn.ORG.LIBREOFFICE.FOURIER(Data!A1:A2,TRUE(),FALSE(),TRUE(),1),ROWS(_xlfn.ORG.LIBREOFFICE.FOURIER(Data!A1:A2,TRUE(),FALSE(),TRUE(),1)),1)</f>
        <v>2</v>
      </c>
      <c r="B22039" s="0" t="s">
        <v>21864</v>
      </c>
    </row>
    <row r="22040" customFormat="false" ht="15" hidden="false" customHeight="false" outlineLevel="0" collapsed="false">
      <c r="A22040" s="0" t="n">
        <f aca="false">INDEX(_xlfn.ORG.LIBREOFFICE.FOURIER(Data!A1:A2,TRUE(),FALSE(),TRUE(),1),ROWS(_xlfn.ORG.LIBREOFFICE.FOURIER(Data!A1:A2,TRUE(),FALSE(),TRUE(),1)),2)</f>
        <v>0</v>
      </c>
      <c r="B22040" s="0" t="s">
        <v>21865</v>
      </c>
    </row>
    <row r="22041" customFormat="false" ht="15" hidden="false" customHeight="false" outlineLevel="0" collapsed="false">
      <c r="A22041" s="0" t="n">
        <f aca="false">SUM(_xlfn.ORG.LIBREOFFICE.FOURIER(Data!A1:A2,TRUE(),TRUE(),TRUE(),5))</f>
        <v>4</v>
      </c>
      <c r="B22041" s="0" t="s">
        <v>21866</v>
      </c>
    </row>
    <row r="22042" customFormat="false" ht="15" hidden="false" customHeight="false" outlineLevel="0" collapsed="false">
      <c r="A22042" s="0" t="n">
        <f aca="false">INDEX(_xlfn.ORG.LIBREOFFICE.FOURIER(Data!A1:A2,TRUE(),TRUE(),TRUE(),5),1,1)</f>
        <v>4</v>
      </c>
      <c r="B22042" s="0" t="s">
        <v>21867</v>
      </c>
    </row>
    <row r="22043" customFormat="false" ht="15" hidden="false" customHeight="false" outlineLevel="0" collapsed="false">
      <c r="A22043" s="0" t="n">
        <f aca="false">INDEX(_xlfn.ORG.LIBREOFFICE.FOURIER(Data!A1:A2,TRUE(),TRUE(),TRUE(),5),2,1)</f>
        <v>0</v>
      </c>
      <c r="B22043" s="0" t="s">
        <v>21868</v>
      </c>
    </row>
    <row r="22044" customFormat="false" ht="15" hidden="false" customHeight="false" outlineLevel="0" collapsed="false">
      <c r="A22044" s="0" t="n">
        <f aca="false">INDEX(_xlfn.ORG.LIBREOFFICE.FOURIER(Data!A1:A2,TRUE(),TRUE(),TRUE(),5),2,2)</f>
        <v>0</v>
      </c>
      <c r="B22044" s="0" t="s">
        <v>21869</v>
      </c>
    </row>
    <row r="22045" customFormat="false" ht="15" hidden="false" customHeight="false" outlineLevel="0" collapsed="false">
      <c r="A22045" s="0" t="e">
        <f aca="false">INDEX(_xlfn.ORG.LIBREOFFICE.FOURIER(Data!A1:A2,TRUE(),TRUE(),TRUE(),5),3,2)</f>
        <v>#REF!</v>
      </c>
      <c r="B22045" s="0" t="s">
        <v>21870</v>
      </c>
    </row>
    <row r="22046" customFormat="false" ht="15" hidden="false" customHeight="false" outlineLevel="0" collapsed="false">
      <c r="A22046" s="0" t="n">
        <f aca="false">INDEX(_xlfn.ORG.LIBREOFFICE.FOURIER(Data!A1:A2,TRUE(),TRUE(),TRUE(),5),ROWS(_xlfn.ORG.LIBREOFFICE.FOURIER(Data!A1:A2,TRUE(),TRUE(),TRUE(),5)),1)</f>
        <v>0</v>
      </c>
      <c r="B22046" s="0" t="s">
        <v>21871</v>
      </c>
    </row>
    <row r="22047" customFormat="false" ht="15" hidden="false" customHeight="false" outlineLevel="0" collapsed="false">
      <c r="A22047" s="0" t="n">
        <f aca="false">INDEX(_xlfn.ORG.LIBREOFFICE.FOURIER(Data!A1:A2,TRUE(),TRUE(),TRUE(),5),ROWS(_xlfn.ORG.LIBREOFFICE.FOURIER(Data!A1:A2,TRUE(),TRUE(),TRUE(),5)),2)</f>
        <v>0</v>
      </c>
      <c r="B22047" s="0" t="s">
        <v>21872</v>
      </c>
    </row>
    <row r="22048" customFormat="false" ht="15" hidden="false" customHeight="false" outlineLevel="0" collapsed="false">
      <c r="A22048" s="0" t="n">
        <f aca="false">ROWS(_xlfn.ORG.LIBREOFFICE.FOURIER(Data!A1:A2,FALSE()))</f>
        <v>1</v>
      </c>
      <c r="B22048" s="0" t="s">
        <v>21873</v>
      </c>
    </row>
    <row r="22049" customFormat="false" ht="15" hidden="false" customHeight="false" outlineLevel="0" collapsed="false">
      <c r="A22049" s="0" t="n">
        <f aca="false">COLUMNS(_xlfn.ORG.LIBREOFFICE.FOURIER(Data!A1:A2,FALSE()))</f>
        <v>2</v>
      </c>
      <c r="B22049" s="0" t="s">
        <v>21874</v>
      </c>
    </row>
    <row r="22050" customFormat="false" ht="15" hidden="false" customHeight="false" outlineLevel="0" collapsed="false">
      <c r="A22050" s="0" t="n">
        <f aca="false">SUM(_xlfn.ORG.LIBREOFFICE.FOURIER(Data!A1:A2,FALSE()))</f>
        <v>8</v>
      </c>
      <c r="B22050" s="0" t="s">
        <v>21875</v>
      </c>
    </row>
    <row r="22051" customFormat="false" ht="15" hidden="false" customHeight="false" outlineLevel="0" collapsed="false">
      <c r="A22051" s="0" t="n">
        <f aca="false">INDEX(_xlfn.ORG.LIBREOFFICE.FOURIER(Data!A1:A2,FALSE()),1,1)</f>
        <v>5</v>
      </c>
      <c r="B22051" s="0" t="s">
        <v>21876</v>
      </c>
    </row>
    <row r="22052" customFormat="false" ht="15" hidden="false" customHeight="false" outlineLevel="0" collapsed="false">
      <c r="A22052" s="0" t="e">
        <f aca="false">INDEX(_xlfn.ORG.LIBREOFFICE.FOURIER(Data!A1:A2,FALSE()),2,1)</f>
        <v>#REF!</v>
      </c>
      <c r="B22052" s="0" t="s">
        <v>21877</v>
      </c>
    </row>
    <row r="22053" customFormat="false" ht="15" hidden="false" customHeight="false" outlineLevel="0" collapsed="false">
      <c r="A22053" s="0" t="e">
        <f aca="false">INDEX(_xlfn.ORG.LIBREOFFICE.FOURIER(Data!A1:A2,FALSE()),2,2)</f>
        <v>#REF!</v>
      </c>
      <c r="B22053" s="0" t="s">
        <v>21878</v>
      </c>
    </row>
    <row r="22054" customFormat="false" ht="15" hidden="false" customHeight="false" outlineLevel="0" collapsed="false">
      <c r="A22054" s="0" t="e">
        <f aca="false">INDEX(_xlfn.ORG.LIBREOFFICE.FOURIER(Data!A1:A2,FALSE()),3,2)</f>
        <v>#REF!</v>
      </c>
      <c r="B22054" s="0" t="s">
        <v>21879</v>
      </c>
    </row>
    <row r="22055" customFormat="false" ht="15" hidden="false" customHeight="false" outlineLevel="0" collapsed="false">
      <c r="A22055" s="0" t="n">
        <f aca="false">INDEX(_xlfn.ORG.LIBREOFFICE.FOURIER(Data!A1:A2,FALSE()),ROWS(_xlfn.ORG.LIBREOFFICE.FOURIER(Data!A1:A2,FALSE())),1)</f>
        <v>5</v>
      </c>
      <c r="B22055" s="0" t="s">
        <v>21880</v>
      </c>
    </row>
    <row r="22056" customFormat="false" ht="15" hidden="false" customHeight="false" outlineLevel="0" collapsed="false">
      <c r="A22056" s="0" t="n">
        <f aca="false">INDEX(_xlfn.ORG.LIBREOFFICE.FOURIER(Data!A1:A2,FALSE()),ROWS(_xlfn.ORG.LIBREOFFICE.FOURIER(Data!A1:A2,FALSE())),2)</f>
        <v>3</v>
      </c>
      <c r="B22056" s="0" t="s">
        <v>21881</v>
      </c>
    </row>
    <row r="22057" customFormat="false" ht="15" hidden="false" customHeight="false" outlineLevel="0" collapsed="false">
      <c r="A22057" s="0" t="n">
        <f aca="false">SUM(_xlfn.ORG.LIBREOFFICE.FOURIER(Data!A1:A2,FALSE(),TRUE()))</f>
        <v>8</v>
      </c>
      <c r="B22057" s="0" t="s">
        <v>21882</v>
      </c>
    </row>
    <row r="22058" customFormat="false" ht="15" hidden="false" customHeight="false" outlineLevel="0" collapsed="false">
      <c r="A22058" s="0" t="n">
        <f aca="false">INDEX(_xlfn.ORG.LIBREOFFICE.FOURIER(Data!A1:A2,FALSE(),TRUE()),1,1)</f>
        <v>5</v>
      </c>
      <c r="B22058" s="0" t="s">
        <v>21883</v>
      </c>
    </row>
    <row r="22059" customFormat="false" ht="15" hidden="false" customHeight="false" outlineLevel="0" collapsed="false">
      <c r="A22059" s="0" t="e">
        <f aca="false">INDEX(_xlfn.ORG.LIBREOFFICE.FOURIER(Data!A1:A2,FALSE(),TRUE()),2,1)</f>
        <v>#REF!</v>
      </c>
      <c r="B22059" s="0" t="s">
        <v>21884</v>
      </c>
    </row>
    <row r="22060" customFormat="false" ht="15" hidden="false" customHeight="false" outlineLevel="0" collapsed="false">
      <c r="A22060" s="0" t="e">
        <f aca="false">INDEX(_xlfn.ORG.LIBREOFFICE.FOURIER(Data!A1:A2,FALSE(),TRUE()),2,2)</f>
        <v>#REF!</v>
      </c>
      <c r="B22060" s="0" t="s">
        <v>21885</v>
      </c>
    </row>
    <row r="22061" customFormat="false" ht="15" hidden="false" customHeight="false" outlineLevel="0" collapsed="false">
      <c r="A22061" s="0" t="e">
        <f aca="false">INDEX(_xlfn.ORG.LIBREOFFICE.FOURIER(Data!A1:A2,FALSE(),TRUE()),3,2)</f>
        <v>#REF!</v>
      </c>
      <c r="B22061" s="0" t="s">
        <v>21886</v>
      </c>
    </row>
    <row r="22062" customFormat="false" ht="15" hidden="false" customHeight="false" outlineLevel="0" collapsed="false">
      <c r="A22062" s="0" t="n">
        <f aca="false">INDEX(_xlfn.ORG.LIBREOFFICE.FOURIER(Data!A1:A2,FALSE(),TRUE()),ROWS(_xlfn.ORG.LIBREOFFICE.FOURIER(Data!A1:A2,FALSE(),TRUE())),1)</f>
        <v>5</v>
      </c>
      <c r="B22062" s="0" t="s">
        <v>21887</v>
      </c>
    </row>
    <row r="22063" customFormat="false" ht="15" hidden="false" customHeight="false" outlineLevel="0" collapsed="false">
      <c r="A22063" s="0" t="n">
        <f aca="false">INDEX(_xlfn.ORG.LIBREOFFICE.FOURIER(Data!A1:A2,FALSE(),TRUE()),ROWS(_xlfn.ORG.LIBREOFFICE.FOURIER(Data!A1:A2,FALSE(),TRUE())),2)</f>
        <v>3</v>
      </c>
      <c r="B22063" s="0" t="s">
        <v>21888</v>
      </c>
    </row>
    <row r="22064" customFormat="false" ht="15" hidden="false" customHeight="false" outlineLevel="0" collapsed="false">
      <c r="A22064" s="0" t="n">
        <f aca="false">SUM(_xlfn.ORG.LIBREOFFICE.FOURIER(Data!A1:A2,FALSE(),FALSE(),TRUE()))</f>
        <v>6.37137139511589</v>
      </c>
      <c r="B22064" s="0" t="s">
        <v>21889</v>
      </c>
    </row>
    <row r="22065" customFormat="false" ht="15" hidden="false" customHeight="false" outlineLevel="0" collapsed="false">
      <c r="A22065" s="0" t="n">
        <f aca="false">INDEX(_xlfn.ORG.LIBREOFFICE.FOURIER(Data!A1:A2,FALSE(),FALSE(),TRUE()),1,1)</f>
        <v>5.8309518948453</v>
      </c>
      <c r="B22065" s="0" t="s">
        <v>21890</v>
      </c>
    </row>
    <row r="22066" customFormat="false" ht="15" hidden="false" customHeight="false" outlineLevel="0" collapsed="false">
      <c r="A22066" s="0" t="e">
        <f aca="false">INDEX(_xlfn.ORG.LIBREOFFICE.FOURIER(Data!A1:A2,FALSE(),FALSE(),TRUE()),2,1)</f>
        <v>#REF!</v>
      </c>
      <c r="B22066" s="0" t="s">
        <v>21891</v>
      </c>
    </row>
    <row r="22067" customFormat="false" ht="15" hidden="false" customHeight="false" outlineLevel="0" collapsed="false">
      <c r="A22067" s="0" t="e">
        <f aca="false">INDEX(_xlfn.ORG.LIBREOFFICE.FOURIER(Data!A1:A2,FALSE(),FALSE(),TRUE()),2,2)</f>
        <v>#REF!</v>
      </c>
      <c r="B22067" s="0" t="s">
        <v>21892</v>
      </c>
    </row>
    <row r="22068" customFormat="false" ht="15" hidden="false" customHeight="false" outlineLevel="0" collapsed="false">
      <c r="A22068" s="0" t="e">
        <f aca="false">INDEX(_xlfn.ORG.LIBREOFFICE.FOURIER(Data!A1:A2,FALSE(),FALSE(),TRUE()),3,2)</f>
        <v>#REF!</v>
      </c>
      <c r="B22068" s="0" t="s">
        <v>21893</v>
      </c>
    </row>
    <row r="22069" customFormat="false" ht="15" hidden="false" customHeight="false" outlineLevel="0" collapsed="false">
      <c r="A22069" s="0" t="n">
        <f aca="false">INDEX(_xlfn.ORG.LIBREOFFICE.FOURIER(Data!A1:A2,FALSE(),FALSE(),TRUE()),ROWS(_xlfn.ORG.LIBREOFFICE.FOURIER(Data!A1:A2,FALSE(),FALSE(),TRUE())),1)</f>
        <v>5.8309518948453</v>
      </c>
      <c r="B22069" s="0" t="s">
        <v>21894</v>
      </c>
    </row>
    <row r="22070" customFormat="false" ht="15" hidden="false" customHeight="false" outlineLevel="0" collapsed="false">
      <c r="A22070" s="0" t="n">
        <f aca="false">INDEX(_xlfn.ORG.LIBREOFFICE.FOURIER(Data!A1:A2,FALSE(),FALSE(),TRUE()),ROWS(_xlfn.ORG.LIBREOFFICE.FOURIER(Data!A1:A2,FALSE(),FALSE(),TRUE())),2)</f>
        <v>0.540419500270584</v>
      </c>
      <c r="B22070" s="0" t="s">
        <v>21895</v>
      </c>
    </row>
    <row r="22071" customFormat="false" ht="15" hidden="false" customHeight="false" outlineLevel="0" collapsed="false">
      <c r="A22071" s="0" t="n">
        <f aca="false">SUM(_xlfn.ORG.LIBREOFFICE.FOURIER(Data!A1:A2,FALSE(),TRUE(),TRUE()))</f>
        <v>6.37137139511589</v>
      </c>
      <c r="B22071" s="0" t="s">
        <v>21896</v>
      </c>
    </row>
    <row r="22072" customFormat="false" ht="15" hidden="false" customHeight="false" outlineLevel="0" collapsed="false">
      <c r="A22072" s="0" t="n">
        <f aca="false">INDEX(_xlfn.ORG.LIBREOFFICE.FOURIER(Data!A1:A2,FALSE(),TRUE(),TRUE()),1,1)</f>
        <v>5.8309518948453</v>
      </c>
      <c r="B22072" s="0" t="s">
        <v>21897</v>
      </c>
    </row>
    <row r="22073" customFormat="false" ht="15" hidden="false" customHeight="false" outlineLevel="0" collapsed="false">
      <c r="A22073" s="0" t="e">
        <f aca="false">INDEX(_xlfn.ORG.LIBREOFFICE.FOURIER(Data!A1:A2,FALSE(),TRUE(),TRUE()),2,1)</f>
        <v>#REF!</v>
      </c>
      <c r="B22073" s="0" t="s">
        <v>21898</v>
      </c>
    </row>
    <row r="22074" customFormat="false" ht="15" hidden="false" customHeight="false" outlineLevel="0" collapsed="false">
      <c r="A22074" s="0" t="e">
        <f aca="false">INDEX(_xlfn.ORG.LIBREOFFICE.FOURIER(Data!A1:A2,FALSE(),TRUE(),TRUE()),2,2)</f>
        <v>#REF!</v>
      </c>
      <c r="B22074" s="0" t="s">
        <v>21899</v>
      </c>
    </row>
    <row r="22075" customFormat="false" ht="15" hidden="false" customHeight="false" outlineLevel="0" collapsed="false">
      <c r="A22075" s="0" t="e">
        <f aca="false">INDEX(_xlfn.ORG.LIBREOFFICE.FOURIER(Data!A1:A2,FALSE(),TRUE(),TRUE()),3,2)</f>
        <v>#REF!</v>
      </c>
      <c r="B22075" s="0" t="s">
        <v>21900</v>
      </c>
    </row>
    <row r="22076" customFormat="false" ht="15" hidden="false" customHeight="false" outlineLevel="0" collapsed="false">
      <c r="A22076" s="0" t="n">
        <f aca="false">INDEX(_xlfn.ORG.LIBREOFFICE.FOURIER(Data!A1:A2,FALSE(),TRUE(),TRUE()),ROWS(_xlfn.ORG.LIBREOFFICE.FOURIER(Data!A1:A2,FALSE(),TRUE(),TRUE())),1)</f>
        <v>5.8309518948453</v>
      </c>
      <c r="B22076" s="0" t="s">
        <v>21901</v>
      </c>
    </row>
    <row r="22077" customFormat="false" ht="15" hidden="false" customHeight="false" outlineLevel="0" collapsed="false">
      <c r="A22077" s="0" t="n">
        <f aca="false">INDEX(_xlfn.ORG.LIBREOFFICE.FOURIER(Data!A1:A2,FALSE(),TRUE(),TRUE()),ROWS(_xlfn.ORG.LIBREOFFICE.FOURIER(Data!A1:A2,FALSE(),TRUE(),TRUE())),2)</f>
        <v>0.540419500270584</v>
      </c>
      <c r="B22077" s="0" t="s">
        <v>21902</v>
      </c>
    </row>
    <row r="22078" customFormat="false" ht="15" hidden="false" customHeight="false" outlineLevel="0" collapsed="false">
      <c r="A22078" s="0" t="n">
        <f aca="false">SUM(_xlfn.ORG.LIBREOFFICE.FOURIER(Data!A1:A2,FALSE(),FALSE(),TRUE(),1))</f>
        <v>6.37137139511589</v>
      </c>
      <c r="B22078" s="0" t="s">
        <v>21903</v>
      </c>
    </row>
    <row r="22079" customFormat="false" ht="15" hidden="false" customHeight="false" outlineLevel="0" collapsed="false">
      <c r="A22079" s="0" t="n">
        <f aca="false">INDEX(_xlfn.ORG.LIBREOFFICE.FOURIER(Data!A1:A2,FALSE(),FALSE(),TRUE(),1),1,1)</f>
        <v>5.8309518948453</v>
      </c>
      <c r="B22079" s="0" t="s">
        <v>21904</v>
      </c>
    </row>
    <row r="22080" customFormat="false" ht="15" hidden="false" customHeight="false" outlineLevel="0" collapsed="false">
      <c r="A22080" s="0" t="e">
        <f aca="false">INDEX(_xlfn.ORG.LIBREOFFICE.FOURIER(Data!A1:A2,FALSE(),FALSE(),TRUE(),1),2,1)</f>
        <v>#REF!</v>
      </c>
      <c r="B22080" s="0" t="s">
        <v>21905</v>
      </c>
    </row>
    <row r="22081" customFormat="false" ht="15" hidden="false" customHeight="false" outlineLevel="0" collapsed="false">
      <c r="A22081" s="0" t="e">
        <f aca="false">INDEX(_xlfn.ORG.LIBREOFFICE.FOURIER(Data!A1:A2,FALSE(),FALSE(),TRUE(),1),2,2)</f>
        <v>#REF!</v>
      </c>
      <c r="B22081" s="0" t="s">
        <v>21906</v>
      </c>
    </row>
    <row r="22082" customFormat="false" ht="15" hidden="false" customHeight="false" outlineLevel="0" collapsed="false">
      <c r="A22082" s="0" t="e">
        <f aca="false">INDEX(_xlfn.ORG.LIBREOFFICE.FOURIER(Data!A1:A2,FALSE(),FALSE(),TRUE(),1),3,2)</f>
        <v>#REF!</v>
      </c>
      <c r="B22082" s="0" t="s">
        <v>21907</v>
      </c>
    </row>
    <row r="22083" customFormat="false" ht="15" hidden="false" customHeight="false" outlineLevel="0" collapsed="false">
      <c r="A22083" s="0" t="n">
        <f aca="false">INDEX(_xlfn.ORG.LIBREOFFICE.FOURIER(Data!A1:A2,FALSE(),FALSE(),TRUE(),1),ROWS(_xlfn.ORG.LIBREOFFICE.FOURIER(Data!A1:A2,FALSE(),FALSE(),TRUE(),1)),1)</f>
        <v>5.8309518948453</v>
      </c>
      <c r="B22083" s="0" t="s">
        <v>21908</v>
      </c>
    </row>
    <row r="22084" customFormat="false" ht="15" hidden="false" customHeight="false" outlineLevel="0" collapsed="false">
      <c r="A22084" s="0" t="n">
        <f aca="false">INDEX(_xlfn.ORG.LIBREOFFICE.FOURIER(Data!A1:A2,FALSE(),FALSE(),TRUE(),1),ROWS(_xlfn.ORG.LIBREOFFICE.FOURIER(Data!A1:A2,FALSE(),FALSE(),TRUE(),1)),2)</f>
        <v>0.540419500270584</v>
      </c>
      <c r="B22084" s="0" t="s">
        <v>21909</v>
      </c>
    </row>
    <row r="22085" customFormat="false" ht="15" hidden="false" customHeight="false" outlineLevel="0" collapsed="false">
      <c r="A22085" s="0" t="n">
        <f aca="false">SUM(_xlfn.ORG.LIBREOFFICE.FOURIER(Data!A1:A2,FALSE(),TRUE(),TRUE(),5))</f>
        <v>6.37137139511589</v>
      </c>
      <c r="B22085" s="0" t="s">
        <v>21910</v>
      </c>
    </row>
    <row r="22086" customFormat="false" ht="15" hidden="false" customHeight="false" outlineLevel="0" collapsed="false">
      <c r="A22086" s="0" t="n">
        <f aca="false">INDEX(_xlfn.ORG.LIBREOFFICE.FOURIER(Data!A1:A2,FALSE(),TRUE(),TRUE(),5),1,1)</f>
        <v>5.8309518948453</v>
      </c>
      <c r="B22086" s="0" t="s">
        <v>21911</v>
      </c>
    </row>
    <row r="22087" customFormat="false" ht="15" hidden="false" customHeight="false" outlineLevel="0" collapsed="false">
      <c r="A22087" s="0" t="e">
        <f aca="false">INDEX(_xlfn.ORG.LIBREOFFICE.FOURIER(Data!A1:A2,FALSE(),TRUE(),TRUE(),5),2,1)</f>
        <v>#REF!</v>
      </c>
      <c r="B22087" s="0" t="s">
        <v>21912</v>
      </c>
    </row>
    <row r="22088" customFormat="false" ht="15" hidden="false" customHeight="false" outlineLevel="0" collapsed="false">
      <c r="A22088" s="0" t="e">
        <f aca="false">INDEX(_xlfn.ORG.LIBREOFFICE.FOURIER(Data!A1:A2,FALSE(),TRUE(),TRUE(),5),2,2)</f>
        <v>#REF!</v>
      </c>
      <c r="B22088" s="0" t="s">
        <v>21913</v>
      </c>
    </row>
    <row r="22089" customFormat="false" ht="15" hidden="false" customHeight="false" outlineLevel="0" collapsed="false">
      <c r="A22089" s="0" t="e">
        <f aca="false">INDEX(_xlfn.ORG.LIBREOFFICE.FOURIER(Data!A1:A2,FALSE(),TRUE(),TRUE(),5),3,2)</f>
        <v>#REF!</v>
      </c>
      <c r="B22089" s="0" t="s">
        <v>21914</v>
      </c>
    </row>
    <row r="22090" customFormat="false" ht="15" hidden="false" customHeight="false" outlineLevel="0" collapsed="false">
      <c r="A22090" s="0" t="n">
        <f aca="false">INDEX(_xlfn.ORG.LIBREOFFICE.FOURIER(Data!A1:A2,FALSE(),TRUE(),TRUE(),5),ROWS(_xlfn.ORG.LIBREOFFICE.FOURIER(Data!A1:A2,FALSE(),TRUE(),TRUE(),5)),1)</f>
        <v>5.8309518948453</v>
      </c>
      <c r="B22090" s="0" t="s">
        <v>21915</v>
      </c>
    </row>
    <row r="22091" customFormat="false" ht="15" hidden="false" customHeight="false" outlineLevel="0" collapsed="false">
      <c r="A22091" s="0" t="n">
        <f aca="false">INDEX(_xlfn.ORG.LIBREOFFICE.FOURIER(Data!A1:A2,FALSE(),TRUE(),TRUE(),5),ROWS(_xlfn.ORG.LIBREOFFICE.FOURIER(Data!A1:A2,FALSE(),TRUE(),TRUE(),5)),2)</f>
        <v>0.540419500270584</v>
      </c>
      <c r="B22091" s="0" t="s">
        <v>21916</v>
      </c>
    </row>
    <row r="22092" customFormat="false" ht="15" hidden="false" customHeight="false" outlineLevel="0" collapsed="false">
      <c r="A22092" s="0" t="n">
        <f aca="false">ROWS(_xlfn.ORG.LIBREOFFICE.FOURIER(Data!A1,TRUE()))</f>
        <v>1</v>
      </c>
      <c r="B22092" s="0" t="s">
        <v>21917</v>
      </c>
    </row>
    <row r="22093" customFormat="false" ht="15" hidden="false" customHeight="false" outlineLevel="0" collapsed="false">
      <c r="A22093" s="0" t="n">
        <f aca="false">COLUMNS(_xlfn.ORG.LIBREOFFICE.FOURIER(Data!A1,TRUE()))</f>
        <v>2</v>
      </c>
      <c r="B22093" s="0" t="s">
        <v>21918</v>
      </c>
    </row>
    <row r="22094" customFormat="false" ht="15" hidden="false" customHeight="false" outlineLevel="0" collapsed="false">
      <c r="A22094" s="0" t="n">
        <f aca="false">SUM(_xlfn.ORG.LIBREOFFICE.FOURIER(Data!A1,TRUE()))</f>
        <v>5</v>
      </c>
      <c r="B22094" s="0" t="s">
        <v>21919</v>
      </c>
    </row>
    <row r="22095" customFormat="false" ht="15" hidden="false" customHeight="false" outlineLevel="0" collapsed="false">
      <c r="A22095" s="0" t="n">
        <f aca="false">INDEX(_xlfn.ORG.LIBREOFFICE.FOURIER(Data!A1,TRUE()),1,1)</f>
        <v>5</v>
      </c>
      <c r="B22095" s="0" t="s">
        <v>21920</v>
      </c>
    </row>
    <row r="22096" customFormat="false" ht="15" hidden="false" customHeight="false" outlineLevel="0" collapsed="false">
      <c r="A22096" s="0" t="e">
        <f aca="false">INDEX(_xlfn.ORG.LIBREOFFICE.FOURIER(Data!A1,TRUE()),2,1)</f>
        <v>#REF!</v>
      </c>
      <c r="B22096" s="0" t="s">
        <v>21921</v>
      </c>
    </row>
    <row r="22097" customFormat="false" ht="15" hidden="false" customHeight="false" outlineLevel="0" collapsed="false">
      <c r="A22097" s="0" t="e">
        <f aca="false">INDEX(_xlfn.ORG.LIBREOFFICE.FOURIER(Data!A1,TRUE()),2,2)</f>
        <v>#REF!</v>
      </c>
      <c r="B22097" s="0" t="s">
        <v>21922</v>
      </c>
    </row>
    <row r="22098" customFormat="false" ht="15" hidden="false" customHeight="false" outlineLevel="0" collapsed="false">
      <c r="A22098" s="0" t="e">
        <f aca="false">INDEX(_xlfn.ORG.LIBREOFFICE.FOURIER(Data!A1,TRUE()),3,2)</f>
        <v>#REF!</v>
      </c>
      <c r="B22098" s="0" t="s">
        <v>21923</v>
      </c>
    </row>
    <row r="22099" customFormat="false" ht="15" hidden="false" customHeight="false" outlineLevel="0" collapsed="false">
      <c r="A22099" s="0" t="n">
        <f aca="false">INDEX(_xlfn.ORG.LIBREOFFICE.FOURIER(Data!A1,TRUE()),ROWS(_xlfn.ORG.LIBREOFFICE.FOURIER(Data!A1,TRUE())),1)</f>
        <v>5</v>
      </c>
      <c r="B22099" s="0" t="s">
        <v>21924</v>
      </c>
    </row>
    <row r="22100" customFormat="false" ht="15" hidden="false" customHeight="false" outlineLevel="0" collapsed="false">
      <c r="A22100" s="0" t="n">
        <f aca="false">INDEX(_xlfn.ORG.LIBREOFFICE.FOURIER(Data!A1,TRUE()),ROWS(_xlfn.ORG.LIBREOFFICE.FOURIER(Data!A1,TRUE())),2)</f>
        <v>0</v>
      </c>
      <c r="B22100" s="0" t="s">
        <v>21925</v>
      </c>
    </row>
    <row r="22101" customFormat="false" ht="15" hidden="false" customHeight="false" outlineLevel="0" collapsed="false">
      <c r="A22101" s="0" t="n">
        <f aca="false">SUM(_xlfn.ORG.LIBREOFFICE.FOURIER(Data!A1,TRUE(),TRUE()))</f>
        <v>5</v>
      </c>
      <c r="B22101" s="0" t="s">
        <v>21926</v>
      </c>
    </row>
    <row r="22102" customFormat="false" ht="15" hidden="false" customHeight="false" outlineLevel="0" collapsed="false">
      <c r="A22102" s="0" t="n">
        <f aca="false">INDEX(_xlfn.ORG.LIBREOFFICE.FOURIER(Data!A1,TRUE(),TRUE()),1,1)</f>
        <v>5</v>
      </c>
      <c r="B22102" s="0" t="s">
        <v>21927</v>
      </c>
    </row>
    <row r="22103" customFormat="false" ht="15" hidden="false" customHeight="false" outlineLevel="0" collapsed="false">
      <c r="A22103" s="0" t="e">
        <f aca="false">INDEX(_xlfn.ORG.LIBREOFFICE.FOURIER(Data!A1,TRUE(),TRUE()),2,1)</f>
        <v>#REF!</v>
      </c>
      <c r="B22103" s="0" t="s">
        <v>21928</v>
      </c>
    </row>
    <row r="22104" customFormat="false" ht="15" hidden="false" customHeight="false" outlineLevel="0" collapsed="false">
      <c r="A22104" s="0" t="e">
        <f aca="false">INDEX(_xlfn.ORG.LIBREOFFICE.FOURIER(Data!A1,TRUE(),TRUE()),2,2)</f>
        <v>#REF!</v>
      </c>
      <c r="B22104" s="0" t="s">
        <v>21929</v>
      </c>
    </row>
    <row r="22105" customFormat="false" ht="15" hidden="false" customHeight="false" outlineLevel="0" collapsed="false">
      <c r="A22105" s="0" t="e">
        <f aca="false">INDEX(_xlfn.ORG.LIBREOFFICE.FOURIER(Data!A1,TRUE(),TRUE()),3,2)</f>
        <v>#REF!</v>
      </c>
      <c r="B22105" s="0" t="s">
        <v>21930</v>
      </c>
    </row>
    <row r="22106" customFormat="false" ht="15" hidden="false" customHeight="false" outlineLevel="0" collapsed="false">
      <c r="A22106" s="0" t="n">
        <f aca="false">INDEX(_xlfn.ORG.LIBREOFFICE.FOURIER(Data!A1,TRUE(),TRUE()),ROWS(_xlfn.ORG.LIBREOFFICE.FOURIER(Data!A1,TRUE(),TRUE())),1)</f>
        <v>5</v>
      </c>
      <c r="B22106" s="0" t="s">
        <v>21931</v>
      </c>
    </row>
    <row r="22107" customFormat="false" ht="15" hidden="false" customHeight="false" outlineLevel="0" collapsed="false">
      <c r="A22107" s="0" t="n">
        <f aca="false">INDEX(_xlfn.ORG.LIBREOFFICE.FOURIER(Data!A1,TRUE(),TRUE()),ROWS(_xlfn.ORG.LIBREOFFICE.FOURIER(Data!A1,TRUE(),TRUE())),2)</f>
        <v>0</v>
      </c>
      <c r="B22107" s="0" t="s">
        <v>21932</v>
      </c>
    </row>
    <row r="22108" customFormat="false" ht="15" hidden="false" customHeight="false" outlineLevel="0" collapsed="false">
      <c r="A22108" s="0" t="n">
        <f aca="false">SUM(_xlfn.ORG.LIBREOFFICE.FOURIER(Data!A1,TRUE(),FALSE(),TRUE()))</f>
        <v>5</v>
      </c>
      <c r="B22108" s="0" t="s">
        <v>21933</v>
      </c>
    </row>
    <row r="22109" customFormat="false" ht="15" hidden="false" customHeight="false" outlineLevel="0" collapsed="false">
      <c r="A22109" s="0" t="n">
        <f aca="false">INDEX(_xlfn.ORG.LIBREOFFICE.FOURIER(Data!A1,TRUE(),FALSE(),TRUE()),1,1)</f>
        <v>5</v>
      </c>
      <c r="B22109" s="0" t="s">
        <v>21934</v>
      </c>
    </row>
    <row r="22110" customFormat="false" ht="15" hidden="false" customHeight="false" outlineLevel="0" collapsed="false">
      <c r="A22110" s="0" t="e">
        <f aca="false">INDEX(_xlfn.ORG.LIBREOFFICE.FOURIER(Data!A1,TRUE(),FALSE(),TRUE()),2,1)</f>
        <v>#REF!</v>
      </c>
      <c r="B22110" s="0" t="s">
        <v>21935</v>
      </c>
    </row>
    <row r="22111" customFormat="false" ht="15" hidden="false" customHeight="false" outlineLevel="0" collapsed="false">
      <c r="A22111" s="0" t="e">
        <f aca="false">INDEX(_xlfn.ORG.LIBREOFFICE.FOURIER(Data!A1,TRUE(),FALSE(),TRUE()),2,2)</f>
        <v>#REF!</v>
      </c>
      <c r="B22111" s="0" t="s">
        <v>21936</v>
      </c>
    </row>
    <row r="22112" customFormat="false" ht="15" hidden="false" customHeight="false" outlineLevel="0" collapsed="false">
      <c r="A22112" s="0" t="e">
        <f aca="false">INDEX(_xlfn.ORG.LIBREOFFICE.FOURIER(Data!A1,TRUE(),FALSE(),TRUE()),3,2)</f>
        <v>#REF!</v>
      </c>
      <c r="B22112" s="0" t="s">
        <v>21937</v>
      </c>
    </row>
    <row r="22113" customFormat="false" ht="15" hidden="false" customHeight="false" outlineLevel="0" collapsed="false">
      <c r="A22113" s="0" t="n">
        <f aca="false">INDEX(_xlfn.ORG.LIBREOFFICE.FOURIER(Data!A1,TRUE(),FALSE(),TRUE()),ROWS(_xlfn.ORG.LIBREOFFICE.FOURIER(Data!A1,TRUE(),FALSE(),TRUE())),1)</f>
        <v>5</v>
      </c>
      <c r="B22113" s="0" t="s">
        <v>21938</v>
      </c>
    </row>
    <row r="22114" customFormat="false" ht="15" hidden="false" customHeight="false" outlineLevel="0" collapsed="false">
      <c r="A22114" s="0" t="n">
        <f aca="false">INDEX(_xlfn.ORG.LIBREOFFICE.FOURIER(Data!A1,TRUE(),FALSE(),TRUE()),ROWS(_xlfn.ORG.LIBREOFFICE.FOURIER(Data!A1,TRUE(),FALSE(),TRUE())),2)</f>
        <v>0</v>
      </c>
      <c r="B22114" s="0" t="s">
        <v>21939</v>
      </c>
    </row>
    <row r="22115" customFormat="false" ht="15" hidden="false" customHeight="false" outlineLevel="0" collapsed="false">
      <c r="A22115" s="0" t="n">
        <f aca="false">SUM(_xlfn.ORG.LIBREOFFICE.FOURIER(Data!A1,TRUE(),TRUE(),TRUE()))</f>
        <v>5</v>
      </c>
      <c r="B22115" s="0" t="s">
        <v>21940</v>
      </c>
    </row>
    <row r="22116" customFormat="false" ht="15" hidden="false" customHeight="false" outlineLevel="0" collapsed="false">
      <c r="A22116" s="0" t="n">
        <f aca="false">INDEX(_xlfn.ORG.LIBREOFFICE.FOURIER(Data!A1,TRUE(),TRUE(),TRUE()),1,1)</f>
        <v>5</v>
      </c>
      <c r="B22116" s="0" t="s">
        <v>21941</v>
      </c>
    </row>
    <row r="22117" customFormat="false" ht="15" hidden="false" customHeight="false" outlineLevel="0" collapsed="false">
      <c r="A22117" s="0" t="e">
        <f aca="false">INDEX(_xlfn.ORG.LIBREOFFICE.FOURIER(Data!A1,TRUE(),TRUE(),TRUE()),2,1)</f>
        <v>#REF!</v>
      </c>
      <c r="B22117" s="0" t="s">
        <v>21942</v>
      </c>
    </row>
    <row r="22118" customFormat="false" ht="15" hidden="false" customHeight="false" outlineLevel="0" collapsed="false">
      <c r="A22118" s="0" t="e">
        <f aca="false">INDEX(_xlfn.ORG.LIBREOFFICE.FOURIER(Data!A1,TRUE(),TRUE(),TRUE()),2,2)</f>
        <v>#REF!</v>
      </c>
      <c r="B22118" s="0" t="s">
        <v>21943</v>
      </c>
    </row>
    <row r="22119" customFormat="false" ht="15" hidden="false" customHeight="false" outlineLevel="0" collapsed="false">
      <c r="A22119" s="0" t="e">
        <f aca="false">INDEX(_xlfn.ORG.LIBREOFFICE.FOURIER(Data!A1,TRUE(),TRUE(),TRUE()),3,2)</f>
        <v>#REF!</v>
      </c>
      <c r="B22119" s="0" t="s">
        <v>21944</v>
      </c>
    </row>
    <row r="22120" customFormat="false" ht="15" hidden="false" customHeight="false" outlineLevel="0" collapsed="false">
      <c r="A22120" s="0" t="n">
        <f aca="false">INDEX(_xlfn.ORG.LIBREOFFICE.FOURIER(Data!A1,TRUE(),TRUE(),TRUE()),ROWS(_xlfn.ORG.LIBREOFFICE.FOURIER(Data!A1,TRUE(),TRUE(),TRUE())),1)</f>
        <v>5</v>
      </c>
      <c r="B22120" s="0" t="s">
        <v>21945</v>
      </c>
    </row>
    <row r="22121" customFormat="false" ht="15" hidden="false" customHeight="false" outlineLevel="0" collapsed="false">
      <c r="A22121" s="0" t="n">
        <f aca="false">INDEX(_xlfn.ORG.LIBREOFFICE.FOURIER(Data!A1,TRUE(),TRUE(),TRUE()),ROWS(_xlfn.ORG.LIBREOFFICE.FOURIER(Data!A1,TRUE(),TRUE(),TRUE())),2)</f>
        <v>0</v>
      </c>
      <c r="B22121" s="0" t="s">
        <v>21946</v>
      </c>
    </row>
    <row r="22122" customFormat="false" ht="15" hidden="false" customHeight="false" outlineLevel="0" collapsed="false">
      <c r="A22122" s="0" t="n">
        <f aca="false">SUM(_xlfn.ORG.LIBREOFFICE.FOURIER(Data!A1,TRUE(),FALSE(),TRUE(),1))</f>
        <v>5</v>
      </c>
      <c r="B22122" s="0" t="s">
        <v>21947</v>
      </c>
    </row>
    <row r="22123" customFormat="false" ht="15" hidden="false" customHeight="false" outlineLevel="0" collapsed="false">
      <c r="A22123" s="0" t="n">
        <f aca="false">INDEX(_xlfn.ORG.LIBREOFFICE.FOURIER(Data!A1,TRUE(),FALSE(),TRUE(),1),1,1)</f>
        <v>5</v>
      </c>
      <c r="B22123" s="0" t="s">
        <v>21948</v>
      </c>
    </row>
    <row r="22124" customFormat="false" ht="15" hidden="false" customHeight="false" outlineLevel="0" collapsed="false">
      <c r="A22124" s="0" t="e">
        <f aca="false">INDEX(_xlfn.ORG.LIBREOFFICE.FOURIER(Data!A1,TRUE(),FALSE(),TRUE(),1),2,1)</f>
        <v>#REF!</v>
      </c>
      <c r="B22124" s="0" t="s">
        <v>21949</v>
      </c>
    </row>
    <row r="22125" customFormat="false" ht="15" hidden="false" customHeight="false" outlineLevel="0" collapsed="false">
      <c r="A22125" s="0" t="e">
        <f aca="false">INDEX(_xlfn.ORG.LIBREOFFICE.FOURIER(Data!A1,TRUE(),FALSE(),TRUE(),1),2,2)</f>
        <v>#REF!</v>
      </c>
      <c r="B22125" s="0" t="s">
        <v>21950</v>
      </c>
    </row>
    <row r="22126" customFormat="false" ht="15" hidden="false" customHeight="false" outlineLevel="0" collapsed="false">
      <c r="A22126" s="0" t="e">
        <f aca="false">INDEX(_xlfn.ORG.LIBREOFFICE.FOURIER(Data!A1,TRUE(),FALSE(),TRUE(),1),3,2)</f>
        <v>#REF!</v>
      </c>
      <c r="B22126" s="0" t="s">
        <v>21951</v>
      </c>
    </row>
    <row r="22127" customFormat="false" ht="15" hidden="false" customHeight="false" outlineLevel="0" collapsed="false">
      <c r="A22127" s="0" t="n">
        <f aca="false">INDEX(_xlfn.ORG.LIBREOFFICE.FOURIER(Data!A1,TRUE(),FALSE(),TRUE(),1),ROWS(_xlfn.ORG.LIBREOFFICE.FOURIER(Data!A1,TRUE(),FALSE(),TRUE(),1)),1)</f>
        <v>5</v>
      </c>
      <c r="B22127" s="0" t="s">
        <v>21952</v>
      </c>
    </row>
    <row r="22128" customFormat="false" ht="15" hidden="false" customHeight="false" outlineLevel="0" collapsed="false">
      <c r="A22128" s="0" t="n">
        <f aca="false">INDEX(_xlfn.ORG.LIBREOFFICE.FOURIER(Data!A1,TRUE(),FALSE(),TRUE(),1),ROWS(_xlfn.ORG.LIBREOFFICE.FOURIER(Data!A1,TRUE(),FALSE(),TRUE(),1)),2)</f>
        <v>0</v>
      </c>
      <c r="B22128" s="0" t="s">
        <v>21953</v>
      </c>
    </row>
    <row r="22129" customFormat="false" ht="15" hidden="false" customHeight="false" outlineLevel="0" collapsed="false">
      <c r="A22129" s="0" t="n">
        <f aca="false">SUM(_xlfn.ORG.LIBREOFFICE.FOURIER(Data!A1,TRUE(),TRUE(),TRUE(),5))</f>
        <v>5</v>
      </c>
      <c r="B22129" s="0" t="s">
        <v>21954</v>
      </c>
    </row>
    <row r="22130" customFormat="false" ht="15" hidden="false" customHeight="false" outlineLevel="0" collapsed="false">
      <c r="A22130" s="0" t="n">
        <f aca="false">INDEX(_xlfn.ORG.LIBREOFFICE.FOURIER(Data!A1,TRUE(),TRUE(),TRUE(),5),1,1)</f>
        <v>5</v>
      </c>
      <c r="B22130" s="0" t="s">
        <v>21955</v>
      </c>
    </row>
    <row r="22131" customFormat="false" ht="15" hidden="false" customHeight="false" outlineLevel="0" collapsed="false">
      <c r="A22131" s="0" t="e">
        <f aca="false">INDEX(_xlfn.ORG.LIBREOFFICE.FOURIER(Data!A1,TRUE(),TRUE(),TRUE(),5),2,1)</f>
        <v>#REF!</v>
      </c>
      <c r="B22131" s="0" t="s">
        <v>21956</v>
      </c>
    </row>
    <row r="22132" customFormat="false" ht="15" hidden="false" customHeight="false" outlineLevel="0" collapsed="false">
      <c r="A22132" s="0" t="e">
        <f aca="false">INDEX(_xlfn.ORG.LIBREOFFICE.FOURIER(Data!A1,TRUE(),TRUE(),TRUE(),5),2,2)</f>
        <v>#REF!</v>
      </c>
      <c r="B22132" s="0" t="s">
        <v>21957</v>
      </c>
    </row>
    <row r="22133" customFormat="false" ht="15" hidden="false" customHeight="false" outlineLevel="0" collapsed="false">
      <c r="A22133" s="0" t="e">
        <f aca="false">INDEX(_xlfn.ORG.LIBREOFFICE.FOURIER(Data!A1,TRUE(),TRUE(),TRUE(),5),3,2)</f>
        <v>#REF!</v>
      </c>
      <c r="B22133" s="0" t="s">
        <v>21958</v>
      </c>
    </row>
    <row r="22134" customFormat="false" ht="15" hidden="false" customHeight="false" outlineLevel="0" collapsed="false">
      <c r="A22134" s="0" t="n">
        <f aca="false">INDEX(_xlfn.ORG.LIBREOFFICE.FOURIER(Data!A1,TRUE(),TRUE(),TRUE(),5),ROWS(_xlfn.ORG.LIBREOFFICE.FOURIER(Data!A1,TRUE(),TRUE(),TRUE(),5)),1)</f>
        <v>5</v>
      </c>
      <c r="B22134" s="0" t="s">
        <v>21959</v>
      </c>
    </row>
    <row r="22135" customFormat="false" ht="15" hidden="false" customHeight="false" outlineLevel="0" collapsed="false">
      <c r="A22135" s="0" t="n">
        <f aca="false">INDEX(_xlfn.ORG.LIBREOFFICE.FOURIER(Data!A1,TRUE(),TRUE(),TRUE(),5),ROWS(_xlfn.ORG.LIBREOFFICE.FOURIER(Data!A1,TRUE(),TRUE(),TRUE(),5)),2)</f>
        <v>0</v>
      </c>
      <c r="B22135" s="0" t="s">
        <v>21960</v>
      </c>
    </row>
    <row r="22136" customFormat="false" ht="15" hidden="false" customHeight="false" outlineLevel="0" collapsed="false">
      <c r="A22136" s="0" t="n">
        <f aca="false">ROWS(_xlfn.ORG.LIBREOFFICE.FOURIER(Data!A1,FALSE()))</f>
        <v>1</v>
      </c>
      <c r="B22136" s="0" t="s">
        <v>21961</v>
      </c>
    </row>
    <row r="22137" customFormat="false" ht="15" hidden="false" customHeight="false" outlineLevel="0" collapsed="false">
      <c r="A22137" s="0" t="n">
        <f aca="false">COLUMNS(_xlfn.ORG.LIBREOFFICE.FOURIER(Data!A1,FALSE()))</f>
        <v>2</v>
      </c>
      <c r="B22137" s="0" t="s">
        <v>21962</v>
      </c>
    </row>
    <row r="22138" customFormat="false" ht="15" hidden="false" customHeight="false" outlineLevel="0" collapsed="false">
      <c r="A22138" s="0" t="n">
        <f aca="false">SUM(_xlfn.ORG.LIBREOFFICE.FOURIER(Data!A1,FALSE()))</f>
        <v>5</v>
      </c>
      <c r="B22138" s="0" t="s">
        <v>21963</v>
      </c>
    </row>
    <row r="22139" customFormat="false" ht="15" hidden="false" customHeight="false" outlineLevel="0" collapsed="false">
      <c r="A22139" s="0" t="n">
        <f aca="false">INDEX(_xlfn.ORG.LIBREOFFICE.FOURIER(Data!A1,FALSE()),1,1)</f>
        <v>5</v>
      </c>
      <c r="B22139" s="0" t="s">
        <v>21964</v>
      </c>
    </row>
    <row r="22140" customFormat="false" ht="15" hidden="false" customHeight="false" outlineLevel="0" collapsed="false">
      <c r="A22140" s="0" t="e">
        <f aca="false">INDEX(_xlfn.ORG.LIBREOFFICE.FOURIER(Data!A1,FALSE()),2,1)</f>
        <v>#REF!</v>
      </c>
      <c r="B22140" s="0" t="s">
        <v>21965</v>
      </c>
    </row>
    <row r="22141" customFormat="false" ht="15" hidden="false" customHeight="false" outlineLevel="0" collapsed="false">
      <c r="A22141" s="0" t="e">
        <f aca="false">INDEX(_xlfn.ORG.LIBREOFFICE.FOURIER(Data!A1,FALSE()),2,2)</f>
        <v>#REF!</v>
      </c>
      <c r="B22141" s="0" t="s">
        <v>21966</v>
      </c>
    </row>
    <row r="22142" customFormat="false" ht="15" hidden="false" customHeight="false" outlineLevel="0" collapsed="false">
      <c r="A22142" s="0" t="e">
        <f aca="false">INDEX(_xlfn.ORG.LIBREOFFICE.FOURIER(Data!A1,FALSE()),3,2)</f>
        <v>#REF!</v>
      </c>
      <c r="B22142" s="0" t="s">
        <v>21967</v>
      </c>
    </row>
    <row r="22143" customFormat="false" ht="15" hidden="false" customHeight="false" outlineLevel="0" collapsed="false">
      <c r="A22143" s="0" t="n">
        <f aca="false">INDEX(_xlfn.ORG.LIBREOFFICE.FOURIER(Data!A1,FALSE()),ROWS(_xlfn.ORG.LIBREOFFICE.FOURIER(Data!A1,FALSE())),1)</f>
        <v>5</v>
      </c>
      <c r="B22143" s="0" t="s">
        <v>21968</v>
      </c>
    </row>
    <row r="22144" customFormat="false" ht="15" hidden="false" customHeight="false" outlineLevel="0" collapsed="false">
      <c r="A22144" s="0" t="n">
        <f aca="false">INDEX(_xlfn.ORG.LIBREOFFICE.FOURIER(Data!A1,FALSE()),ROWS(_xlfn.ORG.LIBREOFFICE.FOURIER(Data!A1,FALSE())),2)</f>
        <v>0</v>
      </c>
      <c r="B22144" s="0" t="s">
        <v>21969</v>
      </c>
    </row>
    <row r="22145" customFormat="false" ht="15" hidden="false" customHeight="false" outlineLevel="0" collapsed="false">
      <c r="A22145" s="0" t="n">
        <f aca="false">SUM(_xlfn.ORG.LIBREOFFICE.FOURIER(Data!A1,FALSE(),TRUE()))</f>
        <v>5</v>
      </c>
      <c r="B22145" s="0" t="s">
        <v>21970</v>
      </c>
    </row>
    <row r="22146" customFormat="false" ht="15" hidden="false" customHeight="false" outlineLevel="0" collapsed="false">
      <c r="A22146" s="0" t="n">
        <f aca="false">INDEX(_xlfn.ORG.LIBREOFFICE.FOURIER(Data!A1,FALSE(),TRUE()),1,1)</f>
        <v>5</v>
      </c>
      <c r="B22146" s="0" t="s">
        <v>21971</v>
      </c>
    </row>
    <row r="22147" customFormat="false" ht="15" hidden="false" customHeight="false" outlineLevel="0" collapsed="false">
      <c r="A22147" s="0" t="e">
        <f aca="false">INDEX(_xlfn.ORG.LIBREOFFICE.FOURIER(Data!A1,FALSE(),TRUE()),2,1)</f>
        <v>#REF!</v>
      </c>
      <c r="B22147" s="0" t="s">
        <v>21972</v>
      </c>
    </row>
    <row r="22148" customFormat="false" ht="15" hidden="false" customHeight="false" outlineLevel="0" collapsed="false">
      <c r="A22148" s="0" t="e">
        <f aca="false">INDEX(_xlfn.ORG.LIBREOFFICE.FOURIER(Data!A1,FALSE(),TRUE()),2,2)</f>
        <v>#REF!</v>
      </c>
      <c r="B22148" s="0" t="s">
        <v>21973</v>
      </c>
    </row>
    <row r="22149" customFormat="false" ht="15" hidden="false" customHeight="false" outlineLevel="0" collapsed="false">
      <c r="A22149" s="0" t="e">
        <f aca="false">INDEX(_xlfn.ORG.LIBREOFFICE.FOURIER(Data!A1,FALSE(),TRUE()),3,2)</f>
        <v>#REF!</v>
      </c>
      <c r="B22149" s="0" t="s">
        <v>21974</v>
      </c>
    </row>
    <row r="22150" customFormat="false" ht="15" hidden="false" customHeight="false" outlineLevel="0" collapsed="false">
      <c r="A22150" s="0" t="n">
        <f aca="false">INDEX(_xlfn.ORG.LIBREOFFICE.FOURIER(Data!A1,FALSE(),TRUE()),ROWS(_xlfn.ORG.LIBREOFFICE.FOURIER(Data!A1,FALSE(),TRUE())),1)</f>
        <v>5</v>
      </c>
      <c r="B22150" s="0" t="s">
        <v>21975</v>
      </c>
    </row>
    <row r="22151" customFormat="false" ht="15" hidden="false" customHeight="false" outlineLevel="0" collapsed="false">
      <c r="A22151" s="0" t="n">
        <f aca="false">INDEX(_xlfn.ORG.LIBREOFFICE.FOURIER(Data!A1,FALSE(),TRUE()),ROWS(_xlfn.ORG.LIBREOFFICE.FOURIER(Data!A1,FALSE(),TRUE())),2)</f>
        <v>0</v>
      </c>
      <c r="B22151" s="0" t="s">
        <v>21976</v>
      </c>
    </row>
    <row r="22152" customFormat="false" ht="15" hidden="false" customHeight="false" outlineLevel="0" collapsed="false">
      <c r="A22152" s="0" t="n">
        <f aca="false">SUM(_xlfn.ORG.LIBREOFFICE.FOURIER(Data!A1,FALSE(),FALSE(),TRUE()))</f>
        <v>5</v>
      </c>
      <c r="B22152" s="0" t="s">
        <v>21977</v>
      </c>
    </row>
    <row r="22153" customFormat="false" ht="15" hidden="false" customHeight="false" outlineLevel="0" collapsed="false">
      <c r="A22153" s="0" t="n">
        <f aca="false">INDEX(_xlfn.ORG.LIBREOFFICE.FOURIER(Data!A1,FALSE(),FALSE(),TRUE()),1,1)</f>
        <v>5</v>
      </c>
      <c r="B22153" s="0" t="s">
        <v>21978</v>
      </c>
    </row>
    <row r="22154" customFormat="false" ht="15" hidden="false" customHeight="false" outlineLevel="0" collapsed="false">
      <c r="A22154" s="0" t="e">
        <f aca="false">INDEX(_xlfn.ORG.LIBREOFFICE.FOURIER(Data!A1,FALSE(),FALSE(),TRUE()),2,1)</f>
        <v>#REF!</v>
      </c>
      <c r="B22154" s="0" t="s">
        <v>21979</v>
      </c>
    </row>
    <row r="22155" customFormat="false" ht="15" hidden="false" customHeight="false" outlineLevel="0" collapsed="false">
      <c r="A22155" s="0" t="e">
        <f aca="false">INDEX(_xlfn.ORG.LIBREOFFICE.FOURIER(Data!A1,FALSE(),FALSE(),TRUE()),2,2)</f>
        <v>#REF!</v>
      </c>
      <c r="B22155" s="0" t="s">
        <v>21980</v>
      </c>
    </row>
    <row r="22156" customFormat="false" ht="15" hidden="false" customHeight="false" outlineLevel="0" collapsed="false">
      <c r="A22156" s="0" t="e">
        <f aca="false">INDEX(_xlfn.ORG.LIBREOFFICE.FOURIER(Data!A1,FALSE(),FALSE(),TRUE()),3,2)</f>
        <v>#REF!</v>
      </c>
      <c r="B22156" s="0" t="s">
        <v>21981</v>
      </c>
    </row>
    <row r="22157" customFormat="false" ht="15" hidden="false" customHeight="false" outlineLevel="0" collapsed="false">
      <c r="A22157" s="0" t="n">
        <f aca="false">INDEX(_xlfn.ORG.LIBREOFFICE.FOURIER(Data!A1,FALSE(),FALSE(),TRUE()),ROWS(_xlfn.ORG.LIBREOFFICE.FOURIER(Data!A1,FALSE(),FALSE(),TRUE())),1)</f>
        <v>5</v>
      </c>
      <c r="B22157" s="0" t="s">
        <v>21982</v>
      </c>
    </row>
    <row r="22158" customFormat="false" ht="15" hidden="false" customHeight="false" outlineLevel="0" collapsed="false">
      <c r="A22158" s="0" t="n">
        <f aca="false">INDEX(_xlfn.ORG.LIBREOFFICE.FOURIER(Data!A1,FALSE(),FALSE(),TRUE()),ROWS(_xlfn.ORG.LIBREOFFICE.FOURIER(Data!A1,FALSE(),FALSE(),TRUE())),2)</f>
        <v>0</v>
      </c>
      <c r="B22158" s="0" t="s">
        <v>21983</v>
      </c>
    </row>
    <row r="22159" customFormat="false" ht="15" hidden="false" customHeight="false" outlineLevel="0" collapsed="false">
      <c r="A22159" s="0" t="n">
        <f aca="false">SUM(_xlfn.ORG.LIBREOFFICE.FOURIER(Data!A1,FALSE(),TRUE(),TRUE()))</f>
        <v>5</v>
      </c>
      <c r="B22159" s="0" t="s">
        <v>21984</v>
      </c>
    </row>
    <row r="22160" customFormat="false" ht="15" hidden="false" customHeight="false" outlineLevel="0" collapsed="false">
      <c r="A22160" s="0" t="n">
        <f aca="false">INDEX(_xlfn.ORG.LIBREOFFICE.FOURIER(Data!A1,FALSE(),TRUE(),TRUE()),1,1)</f>
        <v>5</v>
      </c>
      <c r="B22160" s="0" t="s">
        <v>21985</v>
      </c>
    </row>
    <row r="22161" customFormat="false" ht="15" hidden="false" customHeight="false" outlineLevel="0" collapsed="false">
      <c r="A22161" s="0" t="e">
        <f aca="false">INDEX(_xlfn.ORG.LIBREOFFICE.FOURIER(Data!A1,FALSE(),TRUE(),TRUE()),2,1)</f>
        <v>#REF!</v>
      </c>
      <c r="B22161" s="0" t="s">
        <v>21986</v>
      </c>
    </row>
    <row r="22162" customFormat="false" ht="15" hidden="false" customHeight="false" outlineLevel="0" collapsed="false">
      <c r="A22162" s="0" t="e">
        <f aca="false">INDEX(_xlfn.ORG.LIBREOFFICE.FOURIER(Data!A1,FALSE(),TRUE(),TRUE()),2,2)</f>
        <v>#REF!</v>
      </c>
      <c r="B22162" s="0" t="s">
        <v>21987</v>
      </c>
    </row>
    <row r="22163" customFormat="false" ht="15" hidden="false" customHeight="false" outlineLevel="0" collapsed="false">
      <c r="A22163" s="0" t="e">
        <f aca="false">INDEX(_xlfn.ORG.LIBREOFFICE.FOURIER(Data!A1,FALSE(),TRUE(),TRUE()),3,2)</f>
        <v>#REF!</v>
      </c>
      <c r="B22163" s="0" t="s">
        <v>21988</v>
      </c>
    </row>
    <row r="22164" customFormat="false" ht="15" hidden="false" customHeight="false" outlineLevel="0" collapsed="false">
      <c r="A22164" s="0" t="n">
        <f aca="false">INDEX(_xlfn.ORG.LIBREOFFICE.FOURIER(Data!A1,FALSE(),TRUE(),TRUE()),ROWS(_xlfn.ORG.LIBREOFFICE.FOURIER(Data!A1,FALSE(),TRUE(),TRUE())),1)</f>
        <v>5</v>
      </c>
      <c r="B22164" s="0" t="s">
        <v>21989</v>
      </c>
    </row>
    <row r="22165" customFormat="false" ht="15" hidden="false" customHeight="false" outlineLevel="0" collapsed="false">
      <c r="A22165" s="0" t="n">
        <f aca="false">INDEX(_xlfn.ORG.LIBREOFFICE.FOURIER(Data!A1,FALSE(),TRUE(),TRUE()),ROWS(_xlfn.ORG.LIBREOFFICE.FOURIER(Data!A1,FALSE(),TRUE(),TRUE())),2)</f>
        <v>0</v>
      </c>
      <c r="B22165" s="0" t="s">
        <v>21990</v>
      </c>
    </row>
    <row r="22166" customFormat="false" ht="15" hidden="false" customHeight="false" outlineLevel="0" collapsed="false">
      <c r="A22166" s="0" t="n">
        <f aca="false">SUM(_xlfn.ORG.LIBREOFFICE.FOURIER(Data!A1,FALSE(),FALSE(),TRUE(),1))</f>
        <v>5</v>
      </c>
      <c r="B22166" s="0" t="s">
        <v>21991</v>
      </c>
    </row>
    <row r="22167" customFormat="false" ht="15" hidden="false" customHeight="false" outlineLevel="0" collapsed="false">
      <c r="A22167" s="0" t="n">
        <f aca="false">INDEX(_xlfn.ORG.LIBREOFFICE.FOURIER(Data!A1,FALSE(),FALSE(),TRUE(),1),1,1)</f>
        <v>5</v>
      </c>
      <c r="B22167" s="0" t="s">
        <v>21992</v>
      </c>
    </row>
    <row r="22168" customFormat="false" ht="15" hidden="false" customHeight="false" outlineLevel="0" collapsed="false">
      <c r="A22168" s="0" t="e">
        <f aca="false">INDEX(_xlfn.ORG.LIBREOFFICE.FOURIER(Data!A1,FALSE(),FALSE(),TRUE(),1),2,1)</f>
        <v>#REF!</v>
      </c>
      <c r="B22168" s="0" t="s">
        <v>21993</v>
      </c>
    </row>
    <row r="22169" customFormat="false" ht="15" hidden="false" customHeight="false" outlineLevel="0" collapsed="false">
      <c r="A22169" s="0" t="e">
        <f aca="false">INDEX(_xlfn.ORG.LIBREOFFICE.FOURIER(Data!A1,FALSE(),FALSE(),TRUE(),1),2,2)</f>
        <v>#REF!</v>
      </c>
      <c r="B22169" s="0" t="s">
        <v>21994</v>
      </c>
    </row>
    <row r="22170" customFormat="false" ht="15" hidden="false" customHeight="false" outlineLevel="0" collapsed="false">
      <c r="A22170" s="0" t="e">
        <f aca="false">INDEX(_xlfn.ORG.LIBREOFFICE.FOURIER(Data!A1,FALSE(),FALSE(),TRUE(),1),3,2)</f>
        <v>#REF!</v>
      </c>
      <c r="B22170" s="0" t="s">
        <v>21995</v>
      </c>
    </row>
    <row r="22171" customFormat="false" ht="15" hidden="false" customHeight="false" outlineLevel="0" collapsed="false">
      <c r="A22171" s="0" t="n">
        <f aca="false">INDEX(_xlfn.ORG.LIBREOFFICE.FOURIER(Data!A1,FALSE(),FALSE(),TRUE(),1),ROWS(_xlfn.ORG.LIBREOFFICE.FOURIER(Data!A1,FALSE(),FALSE(),TRUE(),1)),1)</f>
        <v>5</v>
      </c>
      <c r="B22171" s="0" t="s">
        <v>21996</v>
      </c>
    </row>
    <row r="22172" customFormat="false" ht="15" hidden="false" customHeight="false" outlineLevel="0" collapsed="false">
      <c r="A22172" s="0" t="n">
        <f aca="false">INDEX(_xlfn.ORG.LIBREOFFICE.FOURIER(Data!A1,FALSE(),FALSE(),TRUE(),1),ROWS(_xlfn.ORG.LIBREOFFICE.FOURIER(Data!A1,FALSE(),FALSE(),TRUE(),1)),2)</f>
        <v>0</v>
      </c>
      <c r="B22172" s="0" t="s">
        <v>21997</v>
      </c>
    </row>
    <row r="22173" customFormat="false" ht="15" hidden="false" customHeight="false" outlineLevel="0" collapsed="false">
      <c r="A22173" s="0" t="n">
        <f aca="false">SUM(_xlfn.ORG.LIBREOFFICE.FOURIER(Data!A1,FALSE(),TRUE(),TRUE(),5))</f>
        <v>5</v>
      </c>
      <c r="B22173" s="0" t="s">
        <v>21998</v>
      </c>
    </row>
    <row r="22174" customFormat="false" ht="15" hidden="false" customHeight="false" outlineLevel="0" collapsed="false">
      <c r="A22174" s="0" t="n">
        <f aca="false">INDEX(_xlfn.ORG.LIBREOFFICE.FOURIER(Data!A1,FALSE(),TRUE(),TRUE(),5),1,1)</f>
        <v>5</v>
      </c>
      <c r="B22174" s="0" t="s">
        <v>21999</v>
      </c>
    </row>
    <row r="22175" customFormat="false" ht="15" hidden="false" customHeight="false" outlineLevel="0" collapsed="false">
      <c r="A22175" s="0" t="e">
        <f aca="false">INDEX(_xlfn.ORG.LIBREOFFICE.FOURIER(Data!A1,FALSE(),TRUE(),TRUE(),5),2,1)</f>
        <v>#REF!</v>
      </c>
      <c r="B22175" s="0" t="s">
        <v>22000</v>
      </c>
    </row>
    <row r="22176" customFormat="false" ht="15" hidden="false" customHeight="false" outlineLevel="0" collapsed="false">
      <c r="A22176" s="0" t="e">
        <f aca="false">INDEX(_xlfn.ORG.LIBREOFFICE.FOURIER(Data!A1,FALSE(),TRUE(),TRUE(),5),2,2)</f>
        <v>#REF!</v>
      </c>
      <c r="B22176" s="0" t="s">
        <v>22001</v>
      </c>
    </row>
    <row r="22177" customFormat="false" ht="15" hidden="false" customHeight="false" outlineLevel="0" collapsed="false">
      <c r="A22177" s="0" t="e">
        <f aca="false">INDEX(_xlfn.ORG.LIBREOFFICE.FOURIER(Data!A1,FALSE(),TRUE(),TRUE(),5),3,2)</f>
        <v>#REF!</v>
      </c>
      <c r="B22177" s="0" t="s">
        <v>22002</v>
      </c>
    </row>
    <row r="22178" customFormat="false" ht="15" hidden="false" customHeight="false" outlineLevel="0" collapsed="false">
      <c r="A22178" s="0" t="n">
        <f aca="false">INDEX(_xlfn.ORG.LIBREOFFICE.FOURIER(Data!A1,FALSE(),TRUE(),TRUE(),5),ROWS(_xlfn.ORG.LIBREOFFICE.FOURIER(Data!A1,FALSE(),TRUE(),TRUE(),5)),1)</f>
        <v>5</v>
      </c>
      <c r="B22178" s="0" t="s">
        <v>22003</v>
      </c>
    </row>
    <row r="22179" customFormat="false" ht="15" hidden="false" customHeight="false" outlineLevel="0" collapsed="false">
      <c r="A22179" s="0" t="n">
        <f aca="false">INDEX(_xlfn.ORG.LIBREOFFICE.FOURIER(Data!A1,FALSE(),TRUE(),TRUE(),5),ROWS(_xlfn.ORG.LIBREOFFICE.FOURIER(Data!A1,FALSE(),TRUE(),TRUE(),5)),2)</f>
        <v>0</v>
      </c>
      <c r="B22179" s="0" t="s">
        <v>22004</v>
      </c>
    </row>
    <row r="22180" customFormat="false" ht="15" hidden="false" customHeight="false" outlineLevel="0" collapsed="false">
      <c r="A22180" s="0" t="n">
        <f aca="false">ROWS(_xlfn.ORG.LIBREOFFICE.FOURIER(Data!A1:A4,TRUE()))</f>
        <v>4</v>
      </c>
      <c r="B22180" s="0" t="s">
        <v>22005</v>
      </c>
    </row>
    <row r="22181" customFormat="false" ht="15" hidden="false" customHeight="false" outlineLevel="0" collapsed="false">
      <c r="A22181" s="0" t="n">
        <f aca="false">COLUMNS(_xlfn.ORG.LIBREOFFICE.FOURIER(Data!A1:A4,TRUE()))</f>
        <v>2</v>
      </c>
      <c r="B22181" s="0" t="s">
        <v>22006</v>
      </c>
    </row>
    <row r="22182" customFormat="false" ht="15" hidden="false" customHeight="false" outlineLevel="0" collapsed="false">
      <c r="A22182" s="0" t="n">
        <f aca="false">SUM(_xlfn.ORG.LIBREOFFICE.FOURIER(Data!A1:A4,TRUE()))</f>
        <v>20</v>
      </c>
      <c r="B22182" s="0" t="s">
        <v>22007</v>
      </c>
    </row>
    <row r="22183" customFormat="false" ht="15" hidden="false" customHeight="false" outlineLevel="0" collapsed="false">
      <c r="A22183" s="0" t="n">
        <f aca="false">INDEX(_xlfn.ORG.LIBREOFFICE.FOURIER(Data!A1:A4,TRUE()),1,1)</f>
        <v>17</v>
      </c>
      <c r="B22183" s="0" t="s">
        <v>22008</v>
      </c>
    </row>
    <row r="22184" customFormat="false" ht="15" hidden="false" customHeight="false" outlineLevel="0" collapsed="false">
      <c r="A22184" s="0" t="n">
        <f aca="false">INDEX(_xlfn.ORG.LIBREOFFICE.FOURIER(Data!A1:A4,TRUE()),2,1)</f>
        <v>-3</v>
      </c>
      <c r="B22184" s="0" t="s">
        <v>22009</v>
      </c>
    </row>
    <row r="22185" customFormat="false" ht="15" hidden="false" customHeight="false" outlineLevel="0" collapsed="false">
      <c r="A22185" s="0" t="n">
        <f aca="false">INDEX(_xlfn.ORG.LIBREOFFICE.FOURIER(Data!A1:A4,TRUE()),2,2)</f>
        <v>-2</v>
      </c>
      <c r="B22185" s="0" t="s">
        <v>22010</v>
      </c>
    </row>
    <row r="22186" customFormat="false" ht="15" hidden="false" customHeight="false" outlineLevel="0" collapsed="false">
      <c r="A22186" s="0" t="n">
        <f aca="false">INDEX(_xlfn.ORG.LIBREOFFICE.FOURIER(Data!A1:A4,TRUE()),3,2)</f>
        <v>0</v>
      </c>
      <c r="B22186" s="0" t="s">
        <v>22011</v>
      </c>
    </row>
    <row r="22187" customFormat="false" ht="15" hidden="false" customHeight="false" outlineLevel="0" collapsed="false">
      <c r="A22187" s="0" t="n">
        <f aca="false">INDEX(_xlfn.ORG.LIBREOFFICE.FOURIER(Data!A1:A4,TRUE()),ROWS(_xlfn.ORG.LIBREOFFICE.FOURIER(Data!A1:A4,TRUE())),1)</f>
        <v>-3</v>
      </c>
      <c r="B22187" s="0" t="s">
        <v>22012</v>
      </c>
    </row>
    <row r="22188" customFormat="false" ht="15" hidden="false" customHeight="false" outlineLevel="0" collapsed="false">
      <c r="A22188" s="0" t="n">
        <f aca="false">INDEX(_xlfn.ORG.LIBREOFFICE.FOURIER(Data!A1:A4,TRUE()),ROWS(_xlfn.ORG.LIBREOFFICE.FOURIER(Data!A1:A4,TRUE())),2)</f>
        <v>2</v>
      </c>
      <c r="B22188" s="0" t="s">
        <v>22013</v>
      </c>
    </row>
    <row r="22189" customFormat="false" ht="15" hidden="false" customHeight="false" outlineLevel="0" collapsed="false">
      <c r="A22189" s="0" t="n">
        <f aca="false">SUM(_xlfn.ORG.LIBREOFFICE.FOURIER(Data!A1:A4,TRUE(),TRUE()))</f>
        <v>5</v>
      </c>
      <c r="B22189" s="0" t="s">
        <v>22014</v>
      </c>
    </row>
    <row r="22190" customFormat="false" ht="15" hidden="false" customHeight="false" outlineLevel="0" collapsed="false">
      <c r="A22190" s="0" t="n">
        <f aca="false">INDEX(_xlfn.ORG.LIBREOFFICE.FOURIER(Data!A1:A4,TRUE(),TRUE()),1,1)</f>
        <v>4.25</v>
      </c>
      <c r="B22190" s="0" t="s">
        <v>22015</v>
      </c>
    </row>
    <row r="22191" customFormat="false" ht="15" hidden="false" customHeight="false" outlineLevel="0" collapsed="false">
      <c r="A22191" s="0" t="n">
        <f aca="false">INDEX(_xlfn.ORG.LIBREOFFICE.FOURIER(Data!A1:A4,TRUE(),TRUE()),2,1)</f>
        <v>-0.75</v>
      </c>
      <c r="B22191" s="0" t="s">
        <v>22016</v>
      </c>
    </row>
    <row r="22192" customFormat="false" ht="15" hidden="false" customHeight="false" outlineLevel="0" collapsed="false">
      <c r="A22192" s="0" t="n">
        <f aca="false">INDEX(_xlfn.ORG.LIBREOFFICE.FOURIER(Data!A1:A4,TRUE(),TRUE()),2,2)</f>
        <v>0.5</v>
      </c>
      <c r="B22192" s="0" t="s">
        <v>22017</v>
      </c>
    </row>
    <row r="22193" customFormat="false" ht="15" hidden="false" customHeight="false" outlineLevel="0" collapsed="false">
      <c r="A22193" s="0" t="n">
        <f aca="false">INDEX(_xlfn.ORG.LIBREOFFICE.FOURIER(Data!A1:A4,TRUE(),TRUE()),3,2)</f>
        <v>0</v>
      </c>
      <c r="B22193" s="0" t="s">
        <v>22018</v>
      </c>
    </row>
    <row r="22194" customFormat="false" ht="15" hidden="false" customHeight="false" outlineLevel="0" collapsed="false">
      <c r="A22194" s="0" t="n">
        <f aca="false">INDEX(_xlfn.ORG.LIBREOFFICE.FOURIER(Data!A1:A4,TRUE(),TRUE()),ROWS(_xlfn.ORG.LIBREOFFICE.FOURIER(Data!A1:A4,TRUE(),TRUE())),1)</f>
        <v>-0.75</v>
      </c>
      <c r="B22194" s="0" t="s">
        <v>22019</v>
      </c>
    </row>
    <row r="22195" customFormat="false" ht="15" hidden="false" customHeight="false" outlineLevel="0" collapsed="false">
      <c r="A22195" s="0" t="n">
        <f aca="false">INDEX(_xlfn.ORG.LIBREOFFICE.FOURIER(Data!A1:A4,TRUE(),TRUE()),ROWS(_xlfn.ORG.LIBREOFFICE.FOURIER(Data!A1:A4,TRUE(),TRUE())),2)</f>
        <v>-0.5</v>
      </c>
      <c r="B22195" s="0" t="s">
        <v>22020</v>
      </c>
    </row>
    <row r="22196" customFormat="false" ht="15" hidden="false" customHeight="false" outlineLevel="0" collapsed="false">
      <c r="A22196" s="0" t="n">
        <f aca="false">SUM(_xlfn.ORG.LIBREOFFICE.FOURIER(Data!A1:A4,TRUE(),FALSE(),TRUE()))</f>
        <v>33.211102550928</v>
      </c>
      <c r="B22196" s="0" t="s">
        <v>22021</v>
      </c>
    </row>
    <row r="22197" customFormat="false" ht="15" hidden="false" customHeight="false" outlineLevel="0" collapsed="false">
      <c r="A22197" s="0" t="n">
        <f aca="false">INDEX(_xlfn.ORG.LIBREOFFICE.FOURIER(Data!A1:A4,TRUE(),FALSE(),TRUE()),1,1)</f>
        <v>17</v>
      </c>
      <c r="B22197" s="0" t="s">
        <v>22022</v>
      </c>
    </row>
    <row r="22198" customFormat="false" ht="15" hidden="false" customHeight="false" outlineLevel="0" collapsed="false">
      <c r="A22198" s="0" t="n">
        <f aca="false">INDEX(_xlfn.ORG.LIBREOFFICE.FOURIER(Data!A1:A4,TRUE(),FALSE(),TRUE()),2,1)</f>
        <v>3.60555127546399</v>
      </c>
      <c r="B22198" s="0" t="s">
        <v>22023</v>
      </c>
    </row>
    <row r="22199" customFormat="false" ht="15" hidden="false" customHeight="false" outlineLevel="0" collapsed="false">
      <c r="A22199" s="0" t="n">
        <f aca="false">INDEX(_xlfn.ORG.LIBREOFFICE.FOURIER(Data!A1:A4,TRUE(),FALSE(),TRUE()),2,2)</f>
        <v>-2.55359005004223</v>
      </c>
      <c r="B22199" s="0" t="s">
        <v>22024</v>
      </c>
    </row>
    <row r="22200" customFormat="false" ht="15" hidden="false" customHeight="false" outlineLevel="0" collapsed="false">
      <c r="A22200" s="0" t="n">
        <f aca="false">INDEX(_xlfn.ORG.LIBREOFFICE.FOURIER(Data!A1:A4,TRUE(),FALSE(),TRUE()),3,2)</f>
        <v>0</v>
      </c>
      <c r="B22200" s="0" t="s">
        <v>22025</v>
      </c>
    </row>
    <row r="22201" customFormat="false" ht="15" hidden="false" customHeight="false" outlineLevel="0" collapsed="false">
      <c r="A22201" s="0" t="n">
        <f aca="false">INDEX(_xlfn.ORG.LIBREOFFICE.FOURIER(Data!A1:A4,TRUE(),FALSE(),TRUE()),ROWS(_xlfn.ORG.LIBREOFFICE.FOURIER(Data!A1:A4,TRUE(),FALSE(),TRUE())),1)</f>
        <v>3.60555127546399</v>
      </c>
      <c r="B22201" s="0" t="s">
        <v>22026</v>
      </c>
    </row>
    <row r="22202" customFormat="false" ht="15" hidden="false" customHeight="false" outlineLevel="0" collapsed="false">
      <c r="A22202" s="0" t="n">
        <f aca="false">INDEX(_xlfn.ORG.LIBREOFFICE.FOURIER(Data!A1:A4,TRUE(),FALSE(),TRUE()),ROWS(_xlfn.ORG.LIBREOFFICE.FOURIER(Data!A1:A4,TRUE(),FALSE(),TRUE())),2)</f>
        <v>2.55359005004223</v>
      </c>
      <c r="B22202" s="0" t="s">
        <v>22027</v>
      </c>
    </row>
    <row r="22203" customFormat="false" ht="15" hidden="false" customHeight="false" outlineLevel="0" collapsed="false">
      <c r="A22203" s="0" t="n">
        <f aca="false">SUM(_xlfn.ORG.LIBREOFFICE.FOURIER(Data!A1:A4,TRUE(),TRUE(),TRUE()))</f>
        <v>8.30277563773199</v>
      </c>
      <c r="B22203" s="0" t="s">
        <v>22028</v>
      </c>
    </row>
    <row r="22204" customFormat="false" ht="15" hidden="false" customHeight="false" outlineLevel="0" collapsed="false">
      <c r="A22204" s="0" t="n">
        <f aca="false">INDEX(_xlfn.ORG.LIBREOFFICE.FOURIER(Data!A1:A4,TRUE(),TRUE(),TRUE()),1,1)</f>
        <v>4.25</v>
      </c>
      <c r="B22204" s="0" t="s">
        <v>22029</v>
      </c>
    </row>
    <row r="22205" customFormat="false" ht="15" hidden="false" customHeight="false" outlineLevel="0" collapsed="false">
      <c r="A22205" s="0" t="n">
        <f aca="false">INDEX(_xlfn.ORG.LIBREOFFICE.FOURIER(Data!A1:A4,TRUE(),TRUE(),TRUE()),2,1)</f>
        <v>0.901387818865997</v>
      </c>
      <c r="B22205" s="0" t="s">
        <v>22030</v>
      </c>
    </row>
    <row r="22206" customFormat="false" ht="15" hidden="false" customHeight="false" outlineLevel="0" collapsed="false">
      <c r="A22206" s="0" t="n">
        <f aca="false">INDEX(_xlfn.ORG.LIBREOFFICE.FOURIER(Data!A1:A4,TRUE(),TRUE(),TRUE()),2,2)</f>
        <v>2.55359005004223</v>
      </c>
      <c r="B22206" s="0" t="s">
        <v>22031</v>
      </c>
    </row>
    <row r="22207" customFormat="false" ht="15" hidden="false" customHeight="false" outlineLevel="0" collapsed="false">
      <c r="A22207" s="0" t="n">
        <f aca="false">INDEX(_xlfn.ORG.LIBREOFFICE.FOURIER(Data!A1:A4,TRUE(),TRUE(),TRUE()),3,2)</f>
        <v>0</v>
      </c>
      <c r="B22207" s="0" t="s">
        <v>22032</v>
      </c>
    </row>
    <row r="22208" customFormat="false" ht="15" hidden="false" customHeight="false" outlineLevel="0" collapsed="false">
      <c r="A22208" s="0" t="n">
        <f aca="false">INDEX(_xlfn.ORG.LIBREOFFICE.FOURIER(Data!A1:A4,TRUE(),TRUE(),TRUE()),ROWS(_xlfn.ORG.LIBREOFFICE.FOURIER(Data!A1:A4,TRUE(),TRUE(),TRUE())),1)</f>
        <v>0.901387818865997</v>
      </c>
      <c r="B22208" s="0" t="s">
        <v>22033</v>
      </c>
    </row>
    <row r="22209" customFormat="false" ht="15" hidden="false" customHeight="false" outlineLevel="0" collapsed="false">
      <c r="A22209" s="0" t="n">
        <f aca="false">INDEX(_xlfn.ORG.LIBREOFFICE.FOURIER(Data!A1:A4,TRUE(),TRUE(),TRUE()),ROWS(_xlfn.ORG.LIBREOFFICE.FOURIER(Data!A1:A4,TRUE(),TRUE(),TRUE())),2)</f>
        <v>-2.55359005004223</v>
      </c>
      <c r="B22209" s="0" t="s">
        <v>22034</v>
      </c>
    </row>
    <row r="22210" customFormat="false" ht="15" hidden="false" customHeight="false" outlineLevel="0" collapsed="false">
      <c r="A22210" s="0" t="n">
        <f aca="false">SUM(_xlfn.ORG.LIBREOFFICE.FOURIER(Data!A1:A4,TRUE(),FALSE(),TRUE(),1))</f>
        <v>33.211102550928</v>
      </c>
      <c r="B22210" s="0" t="s">
        <v>22035</v>
      </c>
    </row>
    <row r="22211" customFormat="false" ht="15" hidden="false" customHeight="false" outlineLevel="0" collapsed="false">
      <c r="A22211" s="0" t="n">
        <f aca="false">INDEX(_xlfn.ORG.LIBREOFFICE.FOURIER(Data!A1:A4,TRUE(),FALSE(),TRUE(),1),1,1)</f>
        <v>17</v>
      </c>
      <c r="B22211" s="0" t="s">
        <v>22036</v>
      </c>
    </row>
    <row r="22212" customFormat="false" ht="15" hidden="false" customHeight="false" outlineLevel="0" collapsed="false">
      <c r="A22212" s="0" t="n">
        <f aca="false">INDEX(_xlfn.ORG.LIBREOFFICE.FOURIER(Data!A1:A4,TRUE(),FALSE(),TRUE(),1),2,1)</f>
        <v>3.60555127546399</v>
      </c>
      <c r="B22212" s="0" t="s">
        <v>22037</v>
      </c>
    </row>
    <row r="22213" customFormat="false" ht="15" hidden="false" customHeight="false" outlineLevel="0" collapsed="false">
      <c r="A22213" s="0" t="n">
        <f aca="false">INDEX(_xlfn.ORG.LIBREOFFICE.FOURIER(Data!A1:A4,TRUE(),FALSE(),TRUE(),1),2,2)</f>
        <v>-2.55359005004223</v>
      </c>
      <c r="B22213" s="0" t="s">
        <v>22038</v>
      </c>
    </row>
    <row r="22214" customFormat="false" ht="15" hidden="false" customHeight="false" outlineLevel="0" collapsed="false">
      <c r="A22214" s="0" t="n">
        <f aca="false">INDEX(_xlfn.ORG.LIBREOFFICE.FOURIER(Data!A1:A4,TRUE(),FALSE(),TRUE(),1),3,2)</f>
        <v>0</v>
      </c>
      <c r="B22214" s="0" t="s">
        <v>22039</v>
      </c>
    </row>
    <row r="22215" customFormat="false" ht="15" hidden="false" customHeight="false" outlineLevel="0" collapsed="false">
      <c r="A22215" s="0" t="n">
        <f aca="false">INDEX(_xlfn.ORG.LIBREOFFICE.FOURIER(Data!A1:A4,TRUE(),FALSE(),TRUE(),1),ROWS(_xlfn.ORG.LIBREOFFICE.FOURIER(Data!A1:A4,TRUE(),FALSE(),TRUE(),1)),1)</f>
        <v>3.60555127546399</v>
      </c>
      <c r="B22215" s="0" t="s">
        <v>22040</v>
      </c>
    </row>
    <row r="22216" customFormat="false" ht="15" hidden="false" customHeight="false" outlineLevel="0" collapsed="false">
      <c r="A22216" s="0" t="n">
        <f aca="false">INDEX(_xlfn.ORG.LIBREOFFICE.FOURIER(Data!A1:A4,TRUE(),FALSE(),TRUE(),1),ROWS(_xlfn.ORG.LIBREOFFICE.FOURIER(Data!A1:A4,TRUE(),FALSE(),TRUE(),1)),2)</f>
        <v>2.55359005004223</v>
      </c>
      <c r="B22216" s="0" t="s">
        <v>22041</v>
      </c>
    </row>
    <row r="22217" customFormat="false" ht="15" hidden="false" customHeight="false" outlineLevel="0" collapsed="false">
      <c r="A22217" s="0" t="n">
        <f aca="false">SUM(_xlfn.ORG.LIBREOFFICE.FOURIER(Data!A1:A4,TRUE(),TRUE(),TRUE(),5))</f>
        <v>6.5</v>
      </c>
      <c r="B22217" s="0" t="s">
        <v>22042</v>
      </c>
    </row>
    <row r="22218" customFormat="false" ht="15" hidden="false" customHeight="false" outlineLevel="0" collapsed="false">
      <c r="A22218" s="0" t="n">
        <f aca="false">INDEX(_xlfn.ORG.LIBREOFFICE.FOURIER(Data!A1:A4,TRUE(),TRUE(),TRUE(),5),1,1)</f>
        <v>4.25</v>
      </c>
      <c r="B22218" s="0" t="s">
        <v>22043</v>
      </c>
    </row>
    <row r="22219" customFormat="false" ht="15" hidden="false" customHeight="false" outlineLevel="0" collapsed="false">
      <c r="A22219" s="0" t="n">
        <f aca="false">INDEX(_xlfn.ORG.LIBREOFFICE.FOURIER(Data!A1:A4,TRUE(),TRUE(),TRUE(),5),2,1)</f>
        <v>0</v>
      </c>
      <c r="B22219" s="0" t="s">
        <v>22044</v>
      </c>
    </row>
    <row r="22220" customFormat="false" ht="15" hidden="false" customHeight="false" outlineLevel="0" collapsed="false">
      <c r="A22220" s="0" t="n">
        <f aca="false">INDEX(_xlfn.ORG.LIBREOFFICE.FOURIER(Data!A1:A4,TRUE(),TRUE(),TRUE(),5),2,2)</f>
        <v>0</v>
      </c>
      <c r="B22220" s="0" t="s">
        <v>22045</v>
      </c>
    </row>
    <row r="22221" customFormat="false" ht="15" hidden="false" customHeight="false" outlineLevel="0" collapsed="false">
      <c r="A22221" s="0" t="n">
        <f aca="false">INDEX(_xlfn.ORG.LIBREOFFICE.FOURIER(Data!A1:A4,TRUE(),TRUE(),TRUE(),5),3,2)</f>
        <v>0</v>
      </c>
      <c r="B22221" s="0" t="s">
        <v>22046</v>
      </c>
    </row>
    <row r="22222" customFormat="false" ht="15" hidden="false" customHeight="false" outlineLevel="0" collapsed="false">
      <c r="A22222" s="0" t="n">
        <f aca="false">INDEX(_xlfn.ORG.LIBREOFFICE.FOURIER(Data!A1:A4,TRUE(),TRUE(),TRUE(),5),ROWS(_xlfn.ORG.LIBREOFFICE.FOURIER(Data!A1:A4,TRUE(),TRUE(),TRUE(),5)),1)</f>
        <v>0</v>
      </c>
      <c r="B22222" s="0" t="s">
        <v>22047</v>
      </c>
    </row>
    <row r="22223" customFormat="false" ht="15" hidden="false" customHeight="false" outlineLevel="0" collapsed="false">
      <c r="A22223" s="0" t="n">
        <f aca="false">INDEX(_xlfn.ORG.LIBREOFFICE.FOURIER(Data!A1:A4,TRUE(),TRUE(),TRUE(),5),ROWS(_xlfn.ORG.LIBREOFFICE.FOURIER(Data!A1:A4,TRUE(),TRUE(),TRUE(),5)),2)</f>
        <v>0</v>
      </c>
      <c r="B22223" s="0" t="s">
        <v>22048</v>
      </c>
    </row>
    <row r="22224" customFormat="false" ht="15" hidden="false" customHeight="false" outlineLevel="0" collapsed="false">
      <c r="A22224" s="0" t="e">
        <f aca="false">ROWS(_xlfn.ORG.LIBREOFFICE.FOURIER(Data!A1:A4,FALSE()))</f>
        <v>#VALUE!</v>
      </c>
      <c r="B22224" s="0" t="s">
        <v>22049</v>
      </c>
    </row>
    <row r="22225" customFormat="false" ht="15" hidden="false" customHeight="false" outlineLevel="0" collapsed="false">
      <c r="A22225" s="0" t="e">
        <f aca="false">COLUMNS(_xlfn.ORG.LIBREOFFICE.FOURIER(Data!A1:A4,FALSE()))</f>
        <v>#VALUE!</v>
      </c>
      <c r="B22225" s="0" t="s">
        <v>22050</v>
      </c>
    </row>
    <row r="22226" customFormat="false" ht="15" hidden="false" customHeight="false" outlineLevel="0" collapsed="false">
      <c r="A22226" s="0" t="e">
        <f aca="false">SUM(_xlfn.ORG.LIBREOFFICE.FOURIER(Data!A1:A4,FALSE()))</f>
        <v>#VALUE!</v>
      </c>
      <c r="B22226" s="0" t="s">
        <v>22051</v>
      </c>
    </row>
    <row r="22227" customFormat="false" ht="15" hidden="false" customHeight="false" outlineLevel="0" collapsed="false">
      <c r="A22227" s="0" t="e">
        <f aca="false">INDEX(_xlfn.ORG.LIBREOFFICE.FOURIER(Data!A1:A4,FALSE()),1,1)</f>
        <v>#VALUE!</v>
      </c>
      <c r="B22227" s="0" t="s">
        <v>22052</v>
      </c>
    </row>
    <row r="22228" customFormat="false" ht="15" hidden="false" customHeight="false" outlineLevel="0" collapsed="false">
      <c r="A22228" s="0" t="e">
        <f aca="false">INDEX(_xlfn.ORG.LIBREOFFICE.FOURIER(Data!A1:A4,FALSE()),2,1)</f>
        <v>#VALUE!</v>
      </c>
      <c r="B22228" s="0" t="s">
        <v>22053</v>
      </c>
    </row>
    <row r="22229" customFormat="false" ht="15" hidden="false" customHeight="false" outlineLevel="0" collapsed="false">
      <c r="A22229" s="0" t="e">
        <f aca="false">INDEX(_xlfn.ORG.LIBREOFFICE.FOURIER(Data!A1:A4,FALSE()),2,2)</f>
        <v>#VALUE!</v>
      </c>
      <c r="B22229" s="0" t="s">
        <v>22054</v>
      </c>
    </row>
    <row r="22230" customFormat="false" ht="15" hidden="false" customHeight="false" outlineLevel="0" collapsed="false">
      <c r="A22230" s="0" t="e">
        <f aca="false">INDEX(_xlfn.ORG.LIBREOFFICE.FOURIER(Data!A1:A4,FALSE()),3,2)</f>
        <v>#VALUE!</v>
      </c>
      <c r="B22230" s="0" t="s">
        <v>22055</v>
      </c>
    </row>
    <row r="22231" customFormat="false" ht="15" hidden="false" customHeight="false" outlineLevel="0" collapsed="false">
      <c r="A22231" s="0" t="e">
        <f aca="false">INDEX(_xlfn.ORG.LIBREOFFICE.FOURIER(Data!A1:A4,FALSE()),ROWS(_xlfn.ORG.LIBREOFFICE.FOURIER(Data!A1:A4,FALSE())),1)</f>
        <v>#VALUE!</v>
      </c>
      <c r="B22231" s="0" t="s">
        <v>22056</v>
      </c>
    </row>
    <row r="22232" customFormat="false" ht="15" hidden="false" customHeight="false" outlineLevel="0" collapsed="false">
      <c r="A22232" s="0" t="e">
        <f aca="false">INDEX(_xlfn.ORG.LIBREOFFICE.FOURIER(Data!A1:A4,FALSE()),ROWS(_xlfn.ORG.LIBREOFFICE.FOURIER(Data!A1:A4,FALSE())),2)</f>
        <v>#VALUE!</v>
      </c>
      <c r="B22232" s="0" t="s">
        <v>22057</v>
      </c>
    </row>
    <row r="22233" customFormat="false" ht="15" hidden="false" customHeight="false" outlineLevel="0" collapsed="false">
      <c r="A22233" s="0" t="e">
        <f aca="false">SUM(_xlfn.ORG.LIBREOFFICE.FOURIER(Data!A1:A4,FALSE(),TRUE()))</f>
        <v>#VALUE!</v>
      </c>
      <c r="B22233" s="0" t="s">
        <v>22058</v>
      </c>
    </row>
    <row r="22234" customFormat="false" ht="15" hidden="false" customHeight="false" outlineLevel="0" collapsed="false">
      <c r="A22234" s="0" t="e">
        <f aca="false">INDEX(_xlfn.ORG.LIBREOFFICE.FOURIER(Data!A1:A4,FALSE(),TRUE()),1,1)</f>
        <v>#VALUE!</v>
      </c>
      <c r="B22234" s="0" t="s">
        <v>22059</v>
      </c>
    </row>
    <row r="22235" customFormat="false" ht="15" hidden="false" customHeight="false" outlineLevel="0" collapsed="false">
      <c r="A22235" s="0" t="e">
        <f aca="false">INDEX(_xlfn.ORG.LIBREOFFICE.FOURIER(Data!A1:A4,FALSE(),TRUE()),2,1)</f>
        <v>#VALUE!</v>
      </c>
      <c r="B22235" s="0" t="s">
        <v>22060</v>
      </c>
    </row>
    <row r="22236" customFormat="false" ht="15" hidden="false" customHeight="false" outlineLevel="0" collapsed="false">
      <c r="A22236" s="0" t="e">
        <f aca="false">INDEX(_xlfn.ORG.LIBREOFFICE.FOURIER(Data!A1:A4,FALSE(),TRUE()),2,2)</f>
        <v>#VALUE!</v>
      </c>
      <c r="B22236" s="0" t="s">
        <v>22061</v>
      </c>
    </row>
    <row r="22237" customFormat="false" ht="15" hidden="false" customHeight="false" outlineLevel="0" collapsed="false">
      <c r="A22237" s="0" t="e">
        <f aca="false">INDEX(_xlfn.ORG.LIBREOFFICE.FOURIER(Data!A1:A4,FALSE(),TRUE()),3,2)</f>
        <v>#VALUE!</v>
      </c>
      <c r="B22237" s="0" t="s">
        <v>22062</v>
      </c>
    </row>
    <row r="22238" customFormat="false" ht="15" hidden="false" customHeight="false" outlineLevel="0" collapsed="false">
      <c r="A22238" s="0" t="e">
        <f aca="false">INDEX(_xlfn.ORG.LIBREOFFICE.FOURIER(Data!A1:A4,FALSE(),TRUE()),ROWS(_xlfn.ORG.LIBREOFFICE.FOURIER(Data!A1:A4,FALSE(),TRUE())),1)</f>
        <v>#VALUE!</v>
      </c>
      <c r="B22238" s="0" t="s">
        <v>22063</v>
      </c>
    </row>
    <row r="22239" customFormat="false" ht="15" hidden="false" customHeight="false" outlineLevel="0" collapsed="false">
      <c r="A22239" s="0" t="e">
        <f aca="false">INDEX(_xlfn.ORG.LIBREOFFICE.FOURIER(Data!A1:A4,FALSE(),TRUE()),ROWS(_xlfn.ORG.LIBREOFFICE.FOURIER(Data!A1:A4,FALSE(),TRUE())),2)</f>
        <v>#VALUE!</v>
      </c>
      <c r="B22239" s="0" t="s">
        <v>22064</v>
      </c>
    </row>
    <row r="22240" customFormat="false" ht="15" hidden="false" customHeight="false" outlineLevel="0" collapsed="false">
      <c r="A22240" s="0" t="e">
        <f aca="false">SUM(_xlfn.ORG.LIBREOFFICE.FOURIER(Data!A1:A4,FALSE(),FALSE(),TRUE()))</f>
        <v>#VALUE!</v>
      </c>
      <c r="B22240" s="0" t="s">
        <v>22065</v>
      </c>
    </row>
    <row r="22241" customFormat="false" ht="15" hidden="false" customHeight="false" outlineLevel="0" collapsed="false">
      <c r="A22241" s="0" t="e">
        <f aca="false">INDEX(_xlfn.ORG.LIBREOFFICE.FOURIER(Data!A1:A4,FALSE(),FALSE(),TRUE()),1,1)</f>
        <v>#VALUE!</v>
      </c>
      <c r="B22241" s="0" t="s">
        <v>22066</v>
      </c>
    </row>
    <row r="22242" customFormat="false" ht="15" hidden="false" customHeight="false" outlineLevel="0" collapsed="false">
      <c r="A22242" s="0" t="e">
        <f aca="false">INDEX(_xlfn.ORG.LIBREOFFICE.FOURIER(Data!A1:A4,FALSE(),FALSE(),TRUE()),2,1)</f>
        <v>#VALUE!</v>
      </c>
      <c r="B22242" s="0" t="s">
        <v>22067</v>
      </c>
    </row>
    <row r="22243" customFormat="false" ht="15" hidden="false" customHeight="false" outlineLevel="0" collapsed="false">
      <c r="A22243" s="0" t="e">
        <f aca="false">INDEX(_xlfn.ORG.LIBREOFFICE.FOURIER(Data!A1:A4,FALSE(),FALSE(),TRUE()),2,2)</f>
        <v>#VALUE!</v>
      </c>
      <c r="B22243" s="0" t="s">
        <v>22068</v>
      </c>
    </row>
    <row r="22244" customFormat="false" ht="15" hidden="false" customHeight="false" outlineLevel="0" collapsed="false">
      <c r="A22244" s="0" t="e">
        <f aca="false">INDEX(_xlfn.ORG.LIBREOFFICE.FOURIER(Data!A1:A4,FALSE(),FALSE(),TRUE()),3,2)</f>
        <v>#VALUE!</v>
      </c>
      <c r="B22244" s="0" t="s">
        <v>22069</v>
      </c>
    </row>
    <row r="22245" customFormat="false" ht="15" hidden="false" customHeight="false" outlineLevel="0" collapsed="false">
      <c r="A22245" s="0" t="e">
        <f aca="false">INDEX(_xlfn.ORG.LIBREOFFICE.FOURIER(Data!A1:A4,FALSE(),FALSE(),TRUE()),ROWS(_xlfn.ORG.LIBREOFFICE.FOURIER(Data!A1:A4,FALSE(),FALSE(),TRUE())),1)</f>
        <v>#VALUE!</v>
      </c>
      <c r="B22245" s="0" t="s">
        <v>22070</v>
      </c>
    </row>
    <row r="22246" customFormat="false" ht="15" hidden="false" customHeight="false" outlineLevel="0" collapsed="false">
      <c r="A22246" s="0" t="e">
        <f aca="false">INDEX(_xlfn.ORG.LIBREOFFICE.FOURIER(Data!A1:A4,FALSE(),FALSE(),TRUE()),ROWS(_xlfn.ORG.LIBREOFFICE.FOURIER(Data!A1:A4,FALSE(),FALSE(),TRUE())),2)</f>
        <v>#VALUE!</v>
      </c>
      <c r="B22246" s="0" t="s">
        <v>22071</v>
      </c>
    </row>
    <row r="22247" customFormat="false" ht="15" hidden="false" customHeight="false" outlineLevel="0" collapsed="false">
      <c r="A22247" s="0" t="e">
        <f aca="false">SUM(_xlfn.ORG.LIBREOFFICE.FOURIER(Data!A1:A4,FALSE(),TRUE(),TRUE()))</f>
        <v>#VALUE!</v>
      </c>
      <c r="B22247" s="0" t="s">
        <v>22072</v>
      </c>
    </row>
    <row r="22248" customFormat="false" ht="15" hidden="false" customHeight="false" outlineLevel="0" collapsed="false">
      <c r="A22248" s="0" t="e">
        <f aca="false">INDEX(_xlfn.ORG.LIBREOFFICE.FOURIER(Data!A1:A4,FALSE(),TRUE(),TRUE()),1,1)</f>
        <v>#VALUE!</v>
      </c>
      <c r="B22248" s="0" t="s">
        <v>22073</v>
      </c>
    </row>
    <row r="22249" customFormat="false" ht="15" hidden="false" customHeight="false" outlineLevel="0" collapsed="false">
      <c r="A22249" s="0" t="e">
        <f aca="false">INDEX(_xlfn.ORG.LIBREOFFICE.FOURIER(Data!A1:A4,FALSE(),TRUE(),TRUE()),2,1)</f>
        <v>#VALUE!</v>
      </c>
      <c r="B22249" s="0" t="s">
        <v>22074</v>
      </c>
    </row>
    <row r="22250" customFormat="false" ht="15" hidden="false" customHeight="false" outlineLevel="0" collapsed="false">
      <c r="A22250" s="0" t="e">
        <f aca="false">INDEX(_xlfn.ORG.LIBREOFFICE.FOURIER(Data!A1:A4,FALSE(),TRUE(),TRUE()),2,2)</f>
        <v>#VALUE!</v>
      </c>
      <c r="B22250" s="0" t="s">
        <v>22075</v>
      </c>
    </row>
    <row r="22251" customFormat="false" ht="15" hidden="false" customHeight="false" outlineLevel="0" collapsed="false">
      <c r="A22251" s="0" t="e">
        <f aca="false">INDEX(_xlfn.ORG.LIBREOFFICE.FOURIER(Data!A1:A4,FALSE(),TRUE(),TRUE()),3,2)</f>
        <v>#VALUE!</v>
      </c>
      <c r="B22251" s="0" t="s">
        <v>22076</v>
      </c>
    </row>
    <row r="22252" customFormat="false" ht="15" hidden="false" customHeight="false" outlineLevel="0" collapsed="false">
      <c r="A22252" s="0" t="e">
        <f aca="false">INDEX(_xlfn.ORG.LIBREOFFICE.FOURIER(Data!A1:A4,FALSE(),TRUE(),TRUE()),ROWS(_xlfn.ORG.LIBREOFFICE.FOURIER(Data!A1:A4,FALSE(),TRUE(),TRUE())),1)</f>
        <v>#VALUE!</v>
      </c>
      <c r="B22252" s="0" t="s">
        <v>22077</v>
      </c>
    </row>
    <row r="22253" customFormat="false" ht="15" hidden="false" customHeight="false" outlineLevel="0" collapsed="false">
      <c r="A22253" s="0" t="e">
        <f aca="false">INDEX(_xlfn.ORG.LIBREOFFICE.FOURIER(Data!A1:A4,FALSE(),TRUE(),TRUE()),ROWS(_xlfn.ORG.LIBREOFFICE.FOURIER(Data!A1:A4,FALSE(),TRUE(),TRUE())),2)</f>
        <v>#VALUE!</v>
      </c>
      <c r="B22253" s="0" t="s">
        <v>22078</v>
      </c>
    </row>
    <row r="22254" customFormat="false" ht="15" hidden="false" customHeight="false" outlineLevel="0" collapsed="false">
      <c r="A22254" s="0" t="e">
        <f aca="false">SUM(_xlfn.ORG.LIBREOFFICE.FOURIER(Data!A1:A4,FALSE(),FALSE(),TRUE(),1))</f>
        <v>#VALUE!</v>
      </c>
      <c r="B22254" s="0" t="s">
        <v>22079</v>
      </c>
    </row>
    <row r="22255" customFormat="false" ht="15" hidden="false" customHeight="false" outlineLevel="0" collapsed="false">
      <c r="A22255" s="0" t="e">
        <f aca="false">INDEX(_xlfn.ORG.LIBREOFFICE.FOURIER(Data!A1:A4,FALSE(),FALSE(),TRUE(),1),1,1)</f>
        <v>#VALUE!</v>
      </c>
      <c r="B22255" s="0" t="s">
        <v>22080</v>
      </c>
    </row>
    <row r="22256" customFormat="false" ht="15" hidden="false" customHeight="false" outlineLevel="0" collapsed="false">
      <c r="A22256" s="0" t="e">
        <f aca="false">INDEX(_xlfn.ORG.LIBREOFFICE.FOURIER(Data!A1:A4,FALSE(),FALSE(),TRUE(),1),2,1)</f>
        <v>#VALUE!</v>
      </c>
      <c r="B22256" s="0" t="s">
        <v>22081</v>
      </c>
    </row>
    <row r="22257" customFormat="false" ht="15" hidden="false" customHeight="false" outlineLevel="0" collapsed="false">
      <c r="A22257" s="0" t="e">
        <f aca="false">INDEX(_xlfn.ORG.LIBREOFFICE.FOURIER(Data!A1:A4,FALSE(),FALSE(),TRUE(),1),2,2)</f>
        <v>#VALUE!</v>
      </c>
      <c r="B22257" s="0" t="s">
        <v>22082</v>
      </c>
    </row>
    <row r="22258" customFormat="false" ht="15" hidden="false" customHeight="false" outlineLevel="0" collapsed="false">
      <c r="A22258" s="0" t="e">
        <f aca="false">INDEX(_xlfn.ORG.LIBREOFFICE.FOURIER(Data!A1:A4,FALSE(),FALSE(),TRUE(),1),3,2)</f>
        <v>#VALUE!</v>
      </c>
      <c r="B22258" s="0" t="s">
        <v>22083</v>
      </c>
    </row>
    <row r="22259" customFormat="false" ht="15" hidden="false" customHeight="false" outlineLevel="0" collapsed="false">
      <c r="A22259" s="0" t="e">
        <f aca="false">INDEX(_xlfn.ORG.LIBREOFFICE.FOURIER(Data!A1:A4,FALSE(),FALSE(),TRUE(),1),ROWS(_xlfn.ORG.LIBREOFFICE.FOURIER(Data!A1:A4,FALSE(),FALSE(),TRUE(),1)),1)</f>
        <v>#VALUE!</v>
      </c>
      <c r="B22259" s="0" t="s">
        <v>22084</v>
      </c>
    </row>
    <row r="22260" customFormat="false" ht="15" hidden="false" customHeight="false" outlineLevel="0" collapsed="false">
      <c r="A22260" s="0" t="e">
        <f aca="false">INDEX(_xlfn.ORG.LIBREOFFICE.FOURIER(Data!A1:A4,FALSE(),FALSE(),TRUE(),1),ROWS(_xlfn.ORG.LIBREOFFICE.FOURIER(Data!A1:A4,FALSE(),FALSE(),TRUE(),1)),2)</f>
        <v>#VALUE!</v>
      </c>
      <c r="B22260" s="0" t="s">
        <v>22085</v>
      </c>
    </row>
    <row r="22261" customFormat="false" ht="15" hidden="false" customHeight="false" outlineLevel="0" collapsed="false">
      <c r="A22261" s="0" t="e">
        <f aca="false">SUM(_xlfn.ORG.LIBREOFFICE.FOURIER(Data!A1:A4,FALSE(),TRUE(),TRUE(),5))</f>
        <v>#VALUE!</v>
      </c>
      <c r="B22261" s="0" t="s">
        <v>22086</v>
      </c>
    </row>
    <row r="22262" customFormat="false" ht="15" hidden="false" customHeight="false" outlineLevel="0" collapsed="false">
      <c r="A22262" s="0" t="e">
        <f aca="false">INDEX(_xlfn.ORG.LIBREOFFICE.FOURIER(Data!A1:A4,FALSE(),TRUE(),TRUE(),5),1,1)</f>
        <v>#VALUE!</v>
      </c>
      <c r="B22262" s="0" t="s">
        <v>22087</v>
      </c>
    </row>
    <row r="22263" customFormat="false" ht="15" hidden="false" customHeight="false" outlineLevel="0" collapsed="false">
      <c r="A22263" s="0" t="e">
        <f aca="false">INDEX(_xlfn.ORG.LIBREOFFICE.FOURIER(Data!A1:A4,FALSE(),TRUE(),TRUE(),5),2,1)</f>
        <v>#VALUE!</v>
      </c>
      <c r="B22263" s="0" t="s">
        <v>22088</v>
      </c>
    </row>
    <row r="22264" customFormat="false" ht="15" hidden="false" customHeight="false" outlineLevel="0" collapsed="false">
      <c r="A22264" s="0" t="e">
        <f aca="false">INDEX(_xlfn.ORG.LIBREOFFICE.FOURIER(Data!A1:A4,FALSE(),TRUE(),TRUE(),5),2,2)</f>
        <v>#VALUE!</v>
      </c>
      <c r="B22264" s="0" t="s">
        <v>22089</v>
      </c>
    </row>
    <row r="22265" customFormat="false" ht="15" hidden="false" customHeight="false" outlineLevel="0" collapsed="false">
      <c r="A22265" s="0" t="e">
        <f aca="false">INDEX(_xlfn.ORG.LIBREOFFICE.FOURIER(Data!A1:A4,FALSE(),TRUE(),TRUE(),5),3,2)</f>
        <v>#VALUE!</v>
      </c>
      <c r="B22265" s="0" t="s">
        <v>22090</v>
      </c>
    </row>
    <row r="22266" customFormat="false" ht="15" hidden="false" customHeight="false" outlineLevel="0" collapsed="false">
      <c r="A22266" s="0" t="e">
        <f aca="false">INDEX(_xlfn.ORG.LIBREOFFICE.FOURIER(Data!A1:A4,FALSE(),TRUE(),TRUE(),5),ROWS(_xlfn.ORG.LIBREOFFICE.FOURIER(Data!A1:A4,FALSE(),TRUE(),TRUE(),5)),1)</f>
        <v>#VALUE!</v>
      </c>
      <c r="B22266" s="0" t="s">
        <v>22091</v>
      </c>
    </row>
    <row r="22267" customFormat="false" ht="15" hidden="false" customHeight="false" outlineLevel="0" collapsed="false">
      <c r="A22267" s="0" t="e">
        <f aca="false">INDEX(_xlfn.ORG.LIBREOFFICE.FOURIER(Data!A1:A4,FALSE(),TRUE(),TRUE(),5),ROWS(_xlfn.ORG.LIBREOFFICE.FOURIER(Data!A1:A4,FALSE(),TRUE(),TRUE(),5)),2)</f>
        <v>#VALUE!</v>
      </c>
      <c r="B22267" s="0" t="s">
        <v>22092</v>
      </c>
    </row>
    <row r="22268" customFormat="false" ht="15" hidden="false" customHeight="false" outlineLevel="0" collapsed="false">
      <c r="A22268" s="0" t="n">
        <f aca="false">ROWS(_xlfn.ORG.LIBREOFFICE.FOURIER(Data!A1:A6,TRUE()))</f>
        <v>6</v>
      </c>
      <c r="B22268" s="0" t="s">
        <v>22093</v>
      </c>
    </row>
    <row r="22269" customFormat="false" ht="15" hidden="false" customHeight="false" outlineLevel="0" collapsed="false">
      <c r="A22269" s="0" t="n">
        <f aca="false">COLUMNS(_xlfn.ORG.LIBREOFFICE.FOURIER(Data!A1:A6,TRUE()))</f>
        <v>2</v>
      </c>
      <c r="B22269" s="0" t="s">
        <v>22094</v>
      </c>
    </row>
    <row r="22270" customFormat="false" ht="15" hidden="false" customHeight="false" outlineLevel="0" collapsed="false">
      <c r="A22270" s="0" t="n">
        <f aca="false">SUM(_xlfn.ORG.LIBREOFFICE.FOURIER(Data!A1:A6,TRUE()))</f>
        <v>30</v>
      </c>
      <c r="B22270" s="0" t="s">
        <v>22095</v>
      </c>
    </row>
    <row r="22271" customFormat="false" ht="15" hidden="false" customHeight="false" outlineLevel="0" collapsed="false">
      <c r="A22271" s="0" t="n">
        <f aca="false">INDEX(_xlfn.ORG.LIBREOFFICE.FOURIER(Data!A1:A6,TRUE()),1,1)</f>
        <v>28</v>
      </c>
      <c r="B22271" s="0" t="s">
        <v>22096</v>
      </c>
    </row>
    <row r="22272" customFormat="false" ht="15" hidden="false" customHeight="false" outlineLevel="0" collapsed="false">
      <c r="A22272" s="0" t="n">
        <f aca="false">INDEX(_xlfn.ORG.LIBREOFFICE.FOURIER(Data!A1:A6,TRUE()),2,1)</f>
        <v>-2</v>
      </c>
      <c r="B22272" s="0" t="s">
        <v>22097</v>
      </c>
    </row>
    <row r="22273" customFormat="false" ht="15" hidden="false" customHeight="false" outlineLevel="0" collapsed="false">
      <c r="A22273" s="0" t="n">
        <f aca="false">INDEX(_xlfn.ORG.LIBREOFFICE.FOURIER(Data!A1:A6,TRUE()),2,2)</f>
        <v>3.77475828372553E-015</v>
      </c>
      <c r="B22273" s="0" t="s">
        <v>22098</v>
      </c>
    </row>
    <row r="22274" customFormat="false" ht="15" hidden="false" customHeight="false" outlineLevel="0" collapsed="false">
      <c r="A22274" s="0" t="n">
        <f aca="false">INDEX(_xlfn.ORG.LIBREOFFICE.FOURIER(Data!A1:A6,TRUE()),3,2)</f>
        <v>-1.73205080756887</v>
      </c>
      <c r="B22274" s="0" t="s">
        <v>22099</v>
      </c>
    </row>
    <row r="22275" customFormat="false" ht="15" hidden="false" customHeight="false" outlineLevel="0" collapsed="false">
      <c r="A22275" s="0" t="n">
        <f aca="false">INDEX(_xlfn.ORG.LIBREOFFICE.FOURIER(Data!A1:A6,TRUE()),ROWS(_xlfn.ORG.LIBREOFFICE.FOURIER(Data!A1:A6,TRUE())),1)</f>
        <v>-2</v>
      </c>
      <c r="B22275" s="0" t="s">
        <v>22100</v>
      </c>
    </row>
    <row r="22276" customFormat="false" ht="15" hidden="false" customHeight="false" outlineLevel="0" collapsed="false">
      <c r="A22276" s="0" t="n">
        <f aca="false">INDEX(_xlfn.ORG.LIBREOFFICE.FOURIER(Data!A1:A6,TRUE()),ROWS(_xlfn.ORG.LIBREOFFICE.FOURIER(Data!A1:A6,TRUE())),2)</f>
        <v>-3.77475828372553E-015</v>
      </c>
      <c r="B22276" s="0" t="s">
        <v>22101</v>
      </c>
    </row>
    <row r="22277" customFormat="false" ht="15" hidden="false" customHeight="false" outlineLevel="0" collapsed="false">
      <c r="A22277" s="0" t="n">
        <f aca="false">SUM(_xlfn.ORG.LIBREOFFICE.FOURIER(Data!A1:A6,TRUE(),TRUE()))</f>
        <v>5</v>
      </c>
      <c r="B22277" s="0" t="s">
        <v>22102</v>
      </c>
    </row>
    <row r="22278" customFormat="false" ht="15" hidden="false" customHeight="false" outlineLevel="0" collapsed="false">
      <c r="A22278" s="0" t="n">
        <f aca="false">INDEX(_xlfn.ORG.LIBREOFFICE.FOURIER(Data!A1:A6,TRUE(),TRUE()),1,1)</f>
        <v>4.66666666666667</v>
      </c>
      <c r="B22278" s="0" t="s">
        <v>22103</v>
      </c>
    </row>
    <row r="22279" customFormat="false" ht="15" hidden="false" customHeight="false" outlineLevel="0" collapsed="false">
      <c r="A22279" s="0" t="n">
        <f aca="false">INDEX(_xlfn.ORG.LIBREOFFICE.FOURIER(Data!A1:A6,TRUE(),TRUE()),2,1)</f>
        <v>-0.333333333333333</v>
      </c>
      <c r="B22279" s="0" t="s">
        <v>22104</v>
      </c>
    </row>
    <row r="22280" customFormat="false" ht="15" hidden="false" customHeight="false" outlineLevel="0" collapsed="false">
      <c r="A22280" s="0" t="n">
        <f aca="false">INDEX(_xlfn.ORG.LIBREOFFICE.FOURIER(Data!A1:A6,TRUE(),TRUE()),2,2)</f>
        <v>5.18104078158406E-016</v>
      </c>
      <c r="B22280" s="0" t="s">
        <v>22105</v>
      </c>
    </row>
    <row r="22281" customFormat="false" ht="15" hidden="false" customHeight="false" outlineLevel="0" collapsed="false">
      <c r="A22281" s="0" t="n">
        <f aca="false">INDEX(_xlfn.ORG.LIBREOFFICE.FOURIER(Data!A1:A6,TRUE(),TRUE()),3,2)</f>
        <v>0.288675134594814</v>
      </c>
      <c r="B22281" s="0" t="s">
        <v>22106</v>
      </c>
    </row>
    <row r="22282" customFormat="false" ht="15" hidden="false" customHeight="false" outlineLevel="0" collapsed="false">
      <c r="A22282" s="0" t="n">
        <f aca="false">INDEX(_xlfn.ORG.LIBREOFFICE.FOURIER(Data!A1:A6,TRUE(),TRUE()),ROWS(_xlfn.ORG.LIBREOFFICE.FOURIER(Data!A1:A6,TRUE(),TRUE())),1)</f>
        <v>-0.333333333333333</v>
      </c>
      <c r="B22282" s="0" t="s">
        <v>22107</v>
      </c>
    </row>
    <row r="22283" customFormat="false" ht="15" hidden="false" customHeight="false" outlineLevel="0" collapsed="false">
      <c r="A22283" s="0" t="n">
        <f aca="false">INDEX(_xlfn.ORG.LIBREOFFICE.FOURIER(Data!A1:A6,TRUE(),TRUE()),ROWS(_xlfn.ORG.LIBREOFFICE.FOURIER(Data!A1:A6,TRUE(),TRUE())),2)</f>
        <v>-5.18104078158406E-016</v>
      </c>
      <c r="B22283" s="0" t="s">
        <v>22108</v>
      </c>
    </row>
    <row r="22284" customFormat="false" ht="15" hidden="false" customHeight="false" outlineLevel="0" collapsed="false">
      <c r="A22284" s="0" t="n">
        <f aca="false">SUM(_xlfn.ORG.LIBREOFFICE.FOURIER(Data!A1:A6,TRUE(),FALSE(),TRUE()))</f>
        <v>58.5830052442584</v>
      </c>
      <c r="B22284" s="0" t="s">
        <v>22109</v>
      </c>
    </row>
    <row r="22285" customFormat="false" ht="15" hidden="false" customHeight="false" outlineLevel="0" collapsed="false">
      <c r="A22285" s="0" t="n">
        <f aca="false">INDEX(_xlfn.ORG.LIBREOFFICE.FOURIER(Data!A1:A6,TRUE(),FALSE(),TRUE()),1,1)</f>
        <v>28</v>
      </c>
      <c r="B22285" s="0" t="s">
        <v>22110</v>
      </c>
    </row>
    <row r="22286" customFormat="false" ht="15" hidden="false" customHeight="false" outlineLevel="0" collapsed="false">
      <c r="A22286" s="0" t="n">
        <f aca="false">INDEX(_xlfn.ORG.LIBREOFFICE.FOURIER(Data!A1:A6,TRUE(),FALSE(),TRUE()),2,1)</f>
        <v>2</v>
      </c>
      <c r="B22286" s="0" t="s">
        <v>22111</v>
      </c>
    </row>
    <row r="22287" customFormat="false" ht="15" hidden="false" customHeight="false" outlineLevel="0" collapsed="false">
      <c r="A22287" s="0" t="n">
        <f aca="false">INDEX(_xlfn.ORG.LIBREOFFICE.FOURIER(Data!A1:A6,TRUE(),FALSE(),TRUE()),2,2)</f>
        <v>3.14159265358979</v>
      </c>
      <c r="B22287" s="0" t="s">
        <v>22112</v>
      </c>
    </row>
    <row r="22288" customFormat="false" ht="15" hidden="false" customHeight="false" outlineLevel="0" collapsed="false">
      <c r="A22288" s="0" t="n">
        <f aca="false">INDEX(_xlfn.ORG.LIBREOFFICE.FOURIER(Data!A1:A6,TRUE(),FALSE(),TRUE()),3,2)</f>
        <v>-2.80811948133796</v>
      </c>
      <c r="B22288" s="0" t="s">
        <v>22113</v>
      </c>
    </row>
    <row r="22289" customFormat="false" ht="15" hidden="false" customHeight="false" outlineLevel="0" collapsed="false">
      <c r="A22289" s="0" t="n">
        <f aca="false">INDEX(_xlfn.ORG.LIBREOFFICE.FOURIER(Data!A1:A6,TRUE(),FALSE(),TRUE()),ROWS(_xlfn.ORG.LIBREOFFICE.FOURIER(Data!A1:A6,TRUE(),FALSE(),TRUE())),1)</f>
        <v>2</v>
      </c>
      <c r="B22289" s="0" t="s">
        <v>22114</v>
      </c>
    </row>
    <row r="22290" customFormat="false" ht="15" hidden="false" customHeight="false" outlineLevel="0" collapsed="false">
      <c r="A22290" s="0" t="n">
        <f aca="false">INDEX(_xlfn.ORG.LIBREOFFICE.FOURIER(Data!A1:A6,TRUE(),FALSE(),TRUE()),ROWS(_xlfn.ORG.LIBREOFFICE.FOURIER(Data!A1:A6,TRUE(),FALSE(),TRUE())),2)</f>
        <v>-3.14159265358979</v>
      </c>
      <c r="B22290" s="0" t="s">
        <v>22115</v>
      </c>
    </row>
    <row r="22291" customFormat="false" ht="15" hidden="false" customHeight="false" outlineLevel="0" collapsed="false">
      <c r="A22291" s="0" t="n">
        <f aca="false">SUM(_xlfn.ORG.LIBREOFFICE.FOURIER(Data!A1:A6,TRUE(),TRUE(),TRUE()))</f>
        <v>9.76383420737639</v>
      </c>
      <c r="B22291" s="0" t="s">
        <v>22116</v>
      </c>
    </row>
    <row r="22292" customFormat="false" ht="15" hidden="false" customHeight="false" outlineLevel="0" collapsed="false">
      <c r="A22292" s="0" t="n">
        <f aca="false">INDEX(_xlfn.ORG.LIBREOFFICE.FOURIER(Data!A1:A6,TRUE(),TRUE(),TRUE()),1,1)</f>
        <v>4.66666666666667</v>
      </c>
      <c r="B22292" s="0" t="s">
        <v>22117</v>
      </c>
    </row>
    <row r="22293" customFormat="false" ht="15" hidden="false" customHeight="false" outlineLevel="0" collapsed="false">
      <c r="A22293" s="0" t="n">
        <f aca="false">INDEX(_xlfn.ORG.LIBREOFFICE.FOURIER(Data!A1:A6,TRUE(),TRUE(),TRUE()),2,1)</f>
        <v>0.333333333333333</v>
      </c>
      <c r="B22293" s="0" t="s">
        <v>22118</v>
      </c>
    </row>
    <row r="22294" customFormat="false" ht="15" hidden="false" customHeight="false" outlineLevel="0" collapsed="false">
      <c r="A22294" s="0" t="n">
        <f aca="false">INDEX(_xlfn.ORG.LIBREOFFICE.FOURIER(Data!A1:A6,TRUE(),TRUE(),TRUE()),2,2)</f>
        <v>3.14159265358979</v>
      </c>
      <c r="B22294" s="0" t="s">
        <v>22119</v>
      </c>
    </row>
    <row r="22295" customFormat="false" ht="15" hidden="false" customHeight="false" outlineLevel="0" collapsed="false">
      <c r="A22295" s="0" t="n">
        <f aca="false">INDEX(_xlfn.ORG.LIBREOFFICE.FOURIER(Data!A1:A6,TRUE(),TRUE(),TRUE()),3,2)</f>
        <v>2.80811948133796</v>
      </c>
      <c r="B22295" s="0" t="s">
        <v>22120</v>
      </c>
    </row>
    <row r="22296" customFormat="false" ht="15" hidden="false" customHeight="false" outlineLevel="0" collapsed="false">
      <c r="A22296" s="0" t="n">
        <f aca="false">INDEX(_xlfn.ORG.LIBREOFFICE.FOURIER(Data!A1:A6,TRUE(),TRUE(),TRUE()),ROWS(_xlfn.ORG.LIBREOFFICE.FOURIER(Data!A1:A6,TRUE(),TRUE(),TRUE())),1)</f>
        <v>0.333333333333333</v>
      </c>
      <c r="B22296" s="0" t="s">
        <v>22121</v>
      </c>
    </row>
    <row r="22297" customFormat="false" ht="15" hidden="false" customHeight="false" outlineLevel="0" collapsed="false">
      <c r="A22297" s="0" t="n">
        <f aca="false">INDEX(_xlfn.ORG.LIBREOFFICE.FOURIER(Data!A1:A6,TRUE(),TRUE(),TRUE()),ROWS(_xlfn.ORG.LIBREOFFICE.FOURIER(Data!A1:A6,TRUE(),TRUE(),TRUE())),2)</f>
        <v>-3.14159265358979</v>
      </c>
      <c r="B22297" s="0" t="s">
        <v>22122</v>
      </c>
    </row>
    <row r="22298" customFormat="false" ht="15" hidden="false" customHeight="false" outlineLevel="0" collapsed="false">
      <c r="A22298" s="0" t="n">
        <f aca="false">SUM(_xlfn.ORG.LIBREOFFICE.FOURIER(Data!A1:A6,TRUE(),FALSE(),TRUE(),1))</f>
        <v>58.5830052442584</v>
      </c>
      <c r="B22298" s="0" t="s">
        <v>22123</v>
      </c>
    </row>
    <row r="22299" customFormat="false" ht="15" hidden="false" customHeight="false" outlineLevel="0" collapsed="false">
      <c r="A22299" s="0" t="n">
        <f aca="false">INDEX(_xlfn.ORG.LIBREOFFICE.FOURIER(Data!A1:A6,TRUE(),FALSE(),TRUE(),1),1,1)</f>
        <v>28</v>
      </c>
      <c r="B22299" s="0" t="s">
        <v>22124</v>
      </c>
    </row>
    <row r="22300" customFormat="false" ht="15" hidden="false" customHeight="false" outlineLevel="0" collapsed="false">
      <c r="A22300" s="0" t="n">
        <f aca="false">INDEX(_xlfn.ORG.LIBREOFFICE.FOURIER(Data!A1:A6,TRUE(),FALSE(),TRUE(),1),2,1)</f>
        <v>2</v>
      </c>
      <c r="B22300" s="0" t="s">
        <v>22125</v>
      </c>
    </row>
    <row r="22301" customFormat="false" ht="15" hidden="false" customHeight="false" outlineLevel="0" collapsed="false">
      <c r="A22301" s="0" t="n">
        <f aca="false">INDEX(_xlfn.ORG.LIBREOFFICE.FOURIER(Data!A1:A6,TRUE(),FALSE(),TRUE(),1),2,2)</f>
        <v>3.14159265358979</v>
      </c>
      <c r="B22301" s="0" t="s">
        <v>22126</v>
      </c>
    </row>
    <row r="22302" customFormat="false" ht="15" hidden="false" customHeight="false" outlineLevel="0" collapsed="false">
      <c r="A22302" s="0" t="n">
        <f aca="false">INDEX(_xlfn.ORG.LIBREOFFICE.FOURIER(Data!A1:A6,TRUE(),FALSE(),TRUE(),1),3,2)</f>
        <v>-2.80811948133796</v>
      </c>
      <c r="B22302" s="0" t="s">
        <v>22127</v>
      </c>
    </row>
    <row r="22303" customFormat="false" ht="15" hidden="false" customHeight="false" outlineLevel="0" collapsed="false">
      <c r="A22303" s="0" t="n">
        <f aca="false">INDEX(_xlfn.ORG.LIBREOFFICE.FOURIER(Data!A1:A6,TRUE(),FALSE(),TRUE(),1),ROWS(_xlfn.ORG.LIBREOFFICE.FOURIER(Data!A1:A6,TRUE(),FALSE(),TRUE(),1)),1)</f>
        <v>2</v>
      </c>
      <c r="B22303" s="0" t="s">
        <v>22128</v>
      </c>
    </row>
    <row r="22304" customFormat="false" ht="15" hidden="false" customHeight="false" outlineLevel="0" collapsed="false">
      <c r="A22304" s="0" t="n">
        <f aca="false">INDEX(_xlfn.ORG.LIBREOFFICE.FOURIER(Data!A1:A6,TRUE(),FALSE(),TRUE(),1),ROWS(_xlfn.ORG.LIBREOFFICE.FOURIER(Data!A1:A6,TRUE(),FALSE(),TRUE(),1)),2)</f>
        <v>-3.14159265358979</v>
      </c>
      <c r="B22304" s="0" t="s">
        <v>22129</v>
      </c>
    </row>
    <row r="22305" customFormat="false" ht="15" hidden="false" customHeight="false" outlineLevel="0" collapsed="false">
      <c r="A22305" s="0" t="n">
        <f aca="false">SUM(_xlfn.ORG.LIBREOFFICE.FOURIER(Data!A1:A6,TRUE(),TRUE(),TRUE(),5))</f>
        <v>9.09716754070973</v>
      </c>
      <c r="B22305" s="0" t="s">
        <v>22130</v>
      </c>
    </row>
    <row r="22306" customFormat="false" ht="15" hidden="false" customHeight="false" outlineLevel="0" collapsed="false">
      <c r="A22306" s="0" t="n">
        <f aca="false">INDEX(_xlfn.ORG.LIBREOFFICE.FOURIER(Data!A1:A6,TRUE(),TRUE(),TRUE(),5),1,1)</f>
        <v>4.66666666666667</v>
      </c>
      <c r="B22306" s="0" t="s">
        <v>22131</v>
      </c>
    </row>
    <row r="22307" customFormat="false" ht="15" hidden="false" customHeight="false" outlineLevel="0" collapsed="false">
      <c r="A22307" s="0" t="n">
        <f aca="false">INDEX(_xlfn.ORG.LIBREOFFICE.FOURIER(Data!A1:A6,TRUE(),TRUE(),TRUE(),5),2,1)</f>
        <v>0</v>
      </c>
      <c r="B22307" s="0" t="s">
        <v>22132</v>
      </c>
    </row>
    <row r="22308" customFormat="false" ht="15" hidden="false" customHeight="false" outlineLevel="0" collapsed="false">
      <c r="A22308" s="0" t="n">
        <f aca="false">INDEX(_xlfn.ORG.LIBREOFFICE.FOURIER(Data!A1:A6,TRUE(),TRUE(),TRUE(),5),2,2)</f>
        <v>0</v>
      </c>
      <c r="B22308" s="0" t="s">
        <v>22133</v>
      </c>
    </row>
    <row r="22309" customFormat="false" ht="15" hidden="false" customHeight="false" outlineLevel="0" collapsed="false">
      <c r="A22309" s="0" t="n">
        <f aca="false">INDEX(_xlfn.ORG.LIBREOFFICE.FOURIER(Data!A1:A6,TRUE(),TRUE(),TRUE(),5),3,2)</f>
        <v>2.80811948133796</v>
      </c>
      <c r="B22309" s="0" t="s">
        <v>22134</v>
      </c>
    </row>
    <row r="22310" customFormat="false" ht="15" hidden="false" customHeight="false" outlineLevel="0" collapsed="false">
      <c r="A22310" s="0" t="n">
        <f aca="false">INDEX(_xlfn.ORG.LIBREOFFICE.FOURIER(Data!A1:A6,TRUE(),TRUE(),TRUE(),5),ROWS(_xlfn.ORG.LIBREOFFICE.FOURIER(Data!A1:A6,TRUE(),TRUE(),TRUE(),5)),1)</f>
        <v>0</v>
      </c>
      <c r="B22310" s="0" t="s">
        <v>22135</v>
      </c>
    </row>
    <row r="22311" customFormat="false" ht="15" hidden="false" customHeight="false" outlineLevel="0" collapsed="false">
      <c r="A22311" s="0" t="n">
        <f aca="false">INDEX(_xlfn.ORG.LIBREOFFICE.FOURIER(Data!A1:A6,TRUE(),TRUE(),TRUE(),5),ROWS(_xlfn.ORG.LIBREOFFICE.FOURIER(Data!A1:A6,TRUE(),TRUE(),TRUE(),5)),2)</f>
        <v>0</v>
      </c>
      <c r="B22311" s="0" t="s">
        <v>22136</v>
      </c>
    </row>
    <row r="22312" customFormat="false" ht="15" hidden="false" customHeight="false" outlineLevel="0" collapsed="false">
      <c r="A22312" s="0" t="e">
        <f aca="false">ROWS(_xlfn.ORG.LIBREOFFICE.FOURIER(Data!A1:A6,FALSE()))</f>
        <v>#VALUE!</v>
      </c>
      <c r="B22312" s="0" t="s">
        <v>22137</v>
      </c>
    </row>
    <row r="22313" customFormat="false" ht="15" hidden="false" customHeight="false" outlineLevel="0" collapsed="false">
      <c r="A22313" s="0" t="e">
        <f aca="false">COLUMNS(_xlfn.ORG.LIBREOFFICE.FOURIER(Data!A1:A6,FALSE()))</f>
        <v>#VALUE!</v>
      </c>
      <c r="B22313" s="0" t="s">
        <v>22138</v>
      </c>
    </row>
    <row r="22314" customFormat="false" ht="15" hidden="false" customHeight="false" outlineLevel="0" collapsed="false">
      <c r="A22314" s="0" t="e">
        <f aca="false">SUM(_xlfn.ORG.LIBREOFFICE.FOURIER(Data!A1:A6,FALSE()))</f>
        <v>#VALUE!</v>
      </c>
      <c r="B22314" s="0" t="s">
        <v>22139</v>
      </c>
    </row>
    <row r="22315" customFormat="false" ht="15" hidden="false" customHeight="false" outlineLevel="0" collapsed="false">
      <c r="A22315" s="0" t="e">
        <f aca="false">INDEX(_xlfn.ORG.LIBREOFFICE.FOURIER(Data!A1:A6,FALSE()),1,1)</f>
        <v>#VALUE!</v>
      </c>
      <c r="B22315" s="0" t="s">
        <v>22140</v>
      </c>
    </row>
    <row r="22316" customFormat="false" ht="15" hidden="false" customHeight="false" outlineLevel="0" collapsed="false">
      <c r="A22316" s="0" t="e">
        <f aca="false">INDEX(_xlfn.ORG.LIBREOFFICE.FOURIER(Data!A1:A6,FALSE()),2,1)</f>
        <v>#VALUE!</v>
      </c>
      <c r="B22316" s="0" t="s">
        <v>22141</v>
      </c>
    </row>
    <row r="22317" customFormat="false" ht="15" hidden="false" customHeight="false" outlineLevel="0" collapsed="false">
      <c r="A22317" s="0" t="e">
        <f aca="false">INDEX(_xlfn.ORG.LIBREOFFICE.FOURIER(Data!A1:A6,FALSE()),2,2)</f>
        <v>#VALUE!</v>
      </c>
      <c r="B22317" s="0" t="s">
        <v>22142</v>
      </c>
    </row>
    <row r="22318" customFormat="false" ht="15" hidden="false" customHeight="false" outlineLevel="0" collapsed="false">
      <c r="A22318" s="0" t="e">
        <f aca="false">INDEX(_xlfn.ORG.LIBREOFFICE.FOURIER(Data!A1:A6,FALSE()),3,2)</f>
        <v>#VALUE!</v>
      </c>
      <c r="B22318" s="0" t="s">
        <v>22143</v>
      </c>
    </row>
    <row r="22319" customFormat="false" ht="15" hidden="false" customHeight="false" outlineLevel="0" collapsed="false">
      <c r="A22319" s="0" t="e">
        <f aca="false">INDEX(_xlfn.ORG.LIBREOFFICE.FOURIER(Data!A1:A6,FALSE()),ROWS(_xlfn.ORG.LIBREOFFICE.FOURIER(Data!A1:A6,FALSE())),1)</f>
        <v>#VALUE!</v>
      </c>
      <c r="B22319" s="0" t="s">
        <v>22144</v>
      </c>
    </row>
    <row r="22320" customFormat="false" ht="15" hidden="false" customHeight="false" outlineLevel="0" collapsed="false">
      <c r="A22320" s="0" t="e">
        <f aca="false">INDEX(_xlfn.ORG.LIBREOFFICE.FOURIER(Data!A1:A6,FALSE()),ROWS(_xlfn.ORG.LIBREOFFICE.FOURIER(Data!A1:A6,FALSE())),2)</f>
        <v>#VALUE!</v>
      </c>
      <c r="B22320" s="0" t="s">
        <v>22145</v>
      </c>
    </row>
    <row r="22321" customFormat="false" ht="15" hidden="false" customHeight="false" outlineLevel="0" collapsed="false">
      <c r="A22321" s="0" t="e">
        <f aca="false">SUM(_xlfn.ORG.LIBREOFFICE.FOURIER(Data!A1:A6,FALSE(),TRUE()))</f>
        <v>#VALUE!</v>
      </c>
      <c r="B22321" s="0" t="s">
        <v>22146</v>
      </c>
    </row>
    <row r="22322" customFormat="false" ht="15" hidden="false" customHeight="false" outlineLevel="0" collapsed="false">
      <c r="A22322" s="0" t="e">
        <f aca="false">INDEX(_xlfn.ORG.LIBREOFFICE.FOURIER(Data!A1:A6,FALSE(),TRUE()),1,1)</f>
        <v>#VALUE!</v>
      </c>
      <c r="B22322" s="0" t="s">
        <v>22147</v>
      </c>
    </row>
    <row r="22323" customFormat="false" ht="15" hidden="false" customHeight="false" outlineLevel="0" collapsed="false">
      <c r="A22323" s="0" t="e">
        <f aca="false">INDEX(_xlfn.ORG.LIBREOFFICE.FOURIER(Data!A1:A6,FALSE(),TRUE()),2,1)</f>
        <v>#VALUE!</v>
      </c>
      <c r="B22323" s="0" t="s">
        <v>22148</v>
      </c>
    </row>
    <row r="22324" customFormat="false" ht="15" hidden="false" customHeight="false" outlineLevel="0" collapsed="false">
      <c r="A22324" s="0" t="e">
        <f aca="false">INDEX(_xlfn.ORG.LIBREOFFICE.FOURIER(Data!A1:A6,FALSE(),TRUE()),2,2)</f>
        <v>#VALUE!</v>
      </c>
      <c r="B22324" s="0" t="s">
        <v>22149</v>
      </c>
    </row>
    <row r="22325" customFormat="false" ht="15" hidden="false" customHeight="false" outlineLevel="0" collapsed="false">
      <c r="A22325" s="0" t="e">
        <f aca="false">INDEX(_xlfn.ORG.LIBREOFFICE.FOURIER(Data!A1:A6,FALSE(),TRUE()),3,2)</f>
        <v>#VALUE!</v>
      </c>
      <c r="B22325" s="0" t="s">
        <v>22150</v>
      </c>
    </row>
    <row r="22326" customFormat="false" ht="15" hidden="false" customHeight="false" outlineLevel="0" collapsed="false">
      <c r="A22326" s="0" t="e">
        <f aca="false">INDEX(_xlfn.ORG.LIBREOFFICE.FOURIER(Data!A1:A6,FALSE(),TRUE()),ROWS(_xlfn.ORG.LIBREOFFICE.FOURIER(Data!A1:A6,FALSE(),TRUE())),1)</f>
        <v>#VALUE!</v>
      </c>
      <c r="B22326" s="0" t="s">
        <v>22151</v>
      </c>
    </row>
    <row r="22327" customFormat="false" ht="15" hidden="false" customHeight="false" outlineLevel="0" collapsed="false">
      <c r="A22327" s="0" t="e">
        <f aca="false">INDEX(_xlfn.ORG.LIBREOFFICE.FOURIER(Data!A1:A6,FALSE(),TRUE()),ROWS(_xlfn.ORG.LIBREOFFICE.FOURIER(Data!A1:A6,FALSE(),TRUE())),2)</f>
        <v>#VALUE!</v>
      </c>
      <c r="B22327" s="0" t="s">
        <v>22152</v>
      </c>
    </row>
    <row r="22328" customFormat="false" ht="15" hidden="false" customHeight="false" outlineLevel="0" collapsed="false">
      <c r="A22328" s="0" t="e">
        <f aca="false">SUM(_xlfn.ORG.LIBREOFFICE.FOURIER(Data!A1:A6,FALSE(),FALSE(),TRUE()))</f>
        <v>#VALUE!</v>
      </c>
      <c r="B22328" s="0" t="s">
        <v>22153</v>
      </c>
    </row>
    <row r="22329" customFormat="false" ht="15" hidden="false" customHeight="false" outlineLevel="0" collapsed="false">
      <c r="A22329" s="0" t="e">
        <f aca="false">INDEX(_xlfn.ORG.LIBREOFFICE.FOURIER(Data!A1:A6,FALSE(),FALSE(),TRUE()),1,1)</f>
        <v>#VALUE!</v>
      </c>
      <c r="B22329" s="0" t="s">
        <v>22154</v>
      </c>
    </row>
    <row r="22330" customFormat="false" ht="15" hidden="false" customHeight="false" outlineLevel="0" collapsed="false">
      <c r="A22330" s="0" t="e">
        <f aca="false">INDEX(_xlfn.ORG.LIBREOFFICE.FOURIER(Data!A1:A6,FALSE(),FALSE(),TRUE()),2,1)</f>
        <v>#VALUE!</v>
      </c>
      <c r="B22330" s="0" t="s">
        <v>22155</v>
      </c>
    </row>
    <row r="22331" customFormat="false" ht="15" hidden="false" customHeight="false" outlineLevel="0" collapsed="false">
      <c r="A22331" s="0" t="e">
        <f aca="false">INDEX(_xlfn.ORG.LIBREOFFICE.FOURIER(Data!A1:A6,FALSE(),FALSE(),TRUE()),2,2)</f>
        <v>#VALUE!</v>
      </c>
      <c r="B22331" s="0" t="s">
        <v>22156</v>
      </c>
    </row>
    <row r="22332" customFormat="false" ht="15" hidden="false" customHeight="false" outlineLevel="0" collapsed="false">
      <c r="A22332" s="0" t="e">
        <f aca="false">INDEX(_xlfn.ORG.LIBREOFFICE.FOURIER(Data!A1:A6,FALSE(),FALSE(),TRUE()),3,2)</f>
        <v>#VALUE!</v>
      </c>
      <c r="B22332" s="0" t="s">
        <v>22157</v>
      </c>
    </row>
    <row r="22333" customFormat="false" ht="15" hidden="false" customHeight="false" outlineLevel="0" collapsed="false">
      <c r="A22333" s="0" t="e">
        <f aca="false">INDEX(_xlfn.ORG.LIBREOFFICE.FOURIER(Data!A1:A6,FALSE(),FALSE(),TRUE()),ROWS(_xlfn.ORG.LIBREOFFICE.FOURIER(Data!A1:A6,FALSE(),FALSE(),TRUE())),1)</f>
        <v>#VALUE!</v>
      </c>
      <c r="B22333" s="0" t="s">
        <v>22158</v>
      </c>
    </row>
    <row r="22334" customFormat="false" ht="15" hidden="false" customHeight="false" outlineLevel="0" collapsed="false">
      <c r="A22334" s="0" t="e">
        <f aca="false">INDEX(_xlfn.ORG.LIBREOFFICE.FOURIER(Data!A1:A6,FALSE(),FALSE(),TRUE()),ROWS(_xlfn.ORG.LIBREOFFICE.FOURIER(Data!A1:A6,FALSE(),FALSE(),TRUE())),2)</f>
        <v>#VALUE!</v>
      </c>
      <c r="B22334" s="0" t="s">
        <v>22159</v>
      </c>
    </row>
    <row r="22335" customFormat="false" ht="15" hidden="false" customHeight="false" outlineLevel="0" collapsed="false">
      <c r="A22335" s="0" t="e">
        <f aca="false">SUM(_xlfn.ORG.LIBREOFFICE.FOURIER(Data!A1:A6,FALSE(),TRUE(),TRUE()))</f>
        <v>#VALUE!</v>
      </c>
      <c r="B22335" s="0" t="s">
        <v>22160</v>
      </c>
    </row>
    <row r="22336" customFormat="false" ht="15" hidden="false" customHeight="false" outlineLevel="0" collapsed="false">
      <c r="A22336" s="0" t="e">
        <f aca="false">INDEX(_xlfn.ORG.LIBREOFFICE.FOURIER(Data!A1:A6,FALSE(),TRUE(),TRUE()),1,1)</f>
        <v>#VALUE!</v>
      </c>
      <c r="B22336" s="0" t="s">
        <v>22161</v>
      </c>
    </row>
    <row r="22337" customFormat="false" ht="15" hidden="false" customHeight="false" outlineLevel="0" collapsed="false">
      <c r="A22337" s="0" t="e">
        <f aca="false">INDEX(_xlfn.ORG.LIBREOFFICE.FOURIER(Data!A1:A6,FALSE(),TRUE(),TRUE()),2,1)</f>
        <v>#VALUE!</v>
      </c>
      <c r="B22337" s="0" t="s">
        <v>22162</v>
      </c>
    </row>
    <row r="22338" customFormat="false" ht="15" hidden="false" customHeight="false" outlineLevel="0" collapsed="false">
      <c r="A22338" s="0" t="e">
        <f aca="false">INDEX(_xlfn.ORG.LIBREOFFICE.FOURIER(Data!A1:A6,FALSE(),TRUE(),TRUE()),2,2)</f>
        <v>#VALUE!</v>
      </c>
      <c r="B22338" s="0" t="s">
        <v>22163</v>
      </c>
    </row>
    <row r="22339" customFormat="false" ht="15" hidden="false" customHeight="false" outlineLevel="0" collapsed="false">
      <c r="A22339" s="0" t="e">
        <f aca="false">INDEX(_xlfn.ORG.LIBREOFFICE.FOURIER(Data!A1:A6,FALSE(),TRUE(),TRUE()),3,2)</f>
        <v>#VALUE!</v>
      </c>
      <c r="B22339" s="0" t="s">
        <v>22164</v>
      </c>
    </row>
    <row r="22340" customFormat="false" ht="15" hidden="false" customHeight="false" outlineLevel="0" collapsed="false">
      <c r="A22340" s="0" t="e">
        <f aca="false">INDEX(_xlfn.ORG.LIBREOFFICE.FOURIER(Data!A1:A6,FALSE(),TRUE(),TRUE()),ROWS(_xlfn.ORG.LIBREOFFICE.FOURIER(Data!A1:A6,FALSE(),TRUE(),TRUE())),1)</f>
        <v>#VALUE!</v>
      </c>
      <c r="B22340" s="0" t="s">
        <v>22165</v>
      </c>
    </row>
    <row r="22341" customFormat="false" ht="15" hidden="false" customHeight="false" outlineLevel="0" collapsed="false">
      <c r="A22341" s="0" t="e">
        <f aca="false">INDEX(_xlfn.ORG.LIBREOFFICE.FOURIER(Data!A1:A6,FALSE(),TRUE(),TRUE()),ROWS(_xlfn.ORG.LIBREOFFICE.FOURIER(Data!A1:A6,FALSE(),TRUE(),TRUE())),2)</f>
        <v>#VALUE!</v>
      </c>
      <c r="B22341" s="0" t="s">
        <v>22166</v>
      </c>
    </row>
    <row r="22342" customFormat="false" ht="15" hidden="false" customHeight="false" outlineLevel="0" collapsed="false">
      <c r="A22342" s="0" t="e">
        <f aca="false">SUM(_xlfn.ORG.LIBREOFFICE.FOURIER(Data!A1:A6,FALSE(),FALSE(),TRUE(),1))</f>
        <v>#VALUE!</v>
      </c>
      <c r="B22342" s="0" t="s">
        <v>22167</v>
      </c>
    </row>
    <row r="22343" customFormat="false" ht="15" hidden="false" customHeight="false" outlineLevel="0" collapsed="false">
      <c r="A22343" s="0" t="e">
        <f aca="false">INDEX(_xlfn.ORG.LIBREOFFICE.FOURIER(Data!A1:A6,FALSE(),FALSE(),TRUE(),1),1,1)</f>
        <v>#VALUE!</v>
      </c>
      <c r="B22343" s="0" t="s">
        <v>22168</v>
      </c>
    </row>
    <row r="22344" customFormat="false" ht="15" hidden="false" customHeight="false" outlineLevel="0" collapsed="false">
      <c r="A22344" s="0" t="e">
        <f aca="false">INDEX(_xlfn.ORG.LIBREOFFICE.FOURIER(Data!A1:A6,FALSE(),FALSE(),TRUE(),1),2,1)</f>
        <v>#VALUE!</v>
      </c>
      <c r="B22344" s="0" t="s">
        <v>22169</v>
      </c>
    </row>
    <row r="22345" customFormat="false" ht="15" hidden="false" customHeight="false" outlineLevel="0" collapsed="false">
      <c r="A22345" s="0" t="e">
        <f aca="false">INDEX(_xlfn.ORG.LIBREOFFICE.FOURIER(Data!A1:A6,FALSE(),FALSE(),TRUE(),1),2,2)</f>
        <v>#VALUE!</v>
      </c>
      <c r="B22345" s="0" t="s">
        <v>22170</v>
      </c>
    </row>
    <row r="22346" customFormat="false" ht="15" hidden="false" customHeight="false" outlineLevel="0" collapsed="false">
      <c r="A22346" s="0" t="e">
        <f aca="false">INDEX(_xlfn.ORG.LIBREOFFICE.FOURIER(Data!A1:A6,FALSE(),FALSE(),TRUE(),1),3,2)</f>
        <v>#VALUE!</v>
      </c>
      <c r="B22346" s="0" t="s">
        <v>22171</v>
      </c>
    </row>
    <row r="22347" customFormat="false" ht="15" hidden="false" customHeight="false" outlineLevel="0" collapsed="false">
      <c r="A22347" s="0" t="e">
        <f aca="false">INDEX(_xlfn.ORG.LIBREOFFICE.FOURIER(Data!A1:A6,FALSE(),FALSE(),TRUE(),1),ROWS(_xlfn.ORG.LIBREOFFICE.FOURIER(Data!A1:A6,FALSE(),FALSE(),TRUE(),1)),1)</f>
        <v>#VALUE!</v>
      </c>
      <c r="B22347" s="0" t="s">
        <v>22172</v>
      </c>
    </row>
    <row r="22348" customFormat="false" ht="15" hidden="false" customHeight="false" outlineLevel="0" collapsed="false">
      <c r="A22348" s="0" t="e">
        <f aca="false">INDEX(_xlfn.ORG.LIBREOFFICE.FOURIER(Data!A1:A6,FALSE(),FALSE(),TRUE(),1),ROWS(_xlfn.ORG.LIBREOFFICE.FOURIER(Data!A1:A6,FALSE(),FALSE(),TRUE(),1)),2)</f>
        <v>#VALUE!</v>
      </c>
      <c r="B22348" s="0" t="s">
        <v>22173</v>
      </c>
    </row>
    <row r="22349" customFormat="false" ht="15" hidden="false" customHeight="false" outlineLevel="0" collapsed="false">
      <c r="A22349" s="0" t="e">
        <f aca="false">SUM(_xlfn.ORG.LIBREOFFICE.FOURIER(Data!A1:A6,FALSE(),TRUE(),TRUE(),5))</f>
        <v>#VALUE!</v>
      </c>
      <c r="B22349" s="0" t="s">
        <v>22174</v>
      </c>
    </row>
    <row r="22350" customFormat="false" ht="15" hidden="false" customHeight="false" outlineLevel="0" collapsed="false">
      <c r="A22350" s="0" t="e">
        <f aca="false">INDEX(_xlfn.ORG.LIBREOFFICE.FOURIER(Data!A1:A6,FALSE(),TRUE(),TRUE(),5),1,1)</f>
        <v>#VALUE!</v>
      </c>
      <c r="B22350" s="0" t="s">
        <v>22175</v>
      </c>
    </row>
    <row r="22351" customFormat="false" ht="15" hidden="false" customHeight="false" outlineLevel="0" collapsed="false">
      <c r="A22351" s="0" t="e">
        <f aca="false">INDEX(_xlfn.ORG.LIBREOFFICE.FOURIER(Data!A1:A6,FALSE(),TRUE(),TRUE(),5),2,1)</f>
        <v>#VALUE!</v>
      </c>
      <c r="B22351" s="0" t="s">
        <v>22176</v>
      </c>
    </row>
    <row r="22352" customFormat="false" ht="15" hidden="false" customHeight="false" outlineLevel="0" collapsed="false">
      <c r="A22352" s="0" t="e">
        <f aca="false">INDEX(_xlfn.ORG.LIBREOFFICE.FOURIER(Data!A1:A6,FALSE(),TRUE(),TRUE(),5),2,2)</f>
        <v>#VALUE!</v>
      </c>
      <c r="B22352" s="0" t="s">
        <v>22177</v>
      </c>
    </row>
    <row r="22353" customFormat="false" ht="15" hidden="false" customHeight="false" outlineLevel="0" collapsed="false">
      <c r="A22353" s="0" t="e">
        <f aca="false">INDEX(_xlfn.ORG.LIBREOFFICE.FOURIER(Data!A1:A6,FALSE(),TRUE(),TRUE(),5),3,2)</f>
        <v>#VALUE!</v>
      </c>
      <c r="B22353" s="0" t="s">
        <v>22178</v>
      </c>
    </row>
    <row r="22354" customFormat="false" ht="15" hidden="false" customHeight="false" outlineLevel="0" collapsed="false">
      <c r="A22354" s="0" t="e">
        <f aca="false">INDEX(_xlfn.ORG.LIBREOFFICE.FOURIER(Data!A1:A6,FALSE(),TRUE(),TRUE(),5),ROWS(_xlfn.ORG.LIBREOFFICE.FOURIER(Data!A1:A6,FALSE(),TRUE(),TRUE(),5)),1)</f>
        <v>#VALUE!</v>
      </c>
      <c r="B22354" s="0" t="s">
        <v>22179</v>
      </c>
    </row>
    <row r="22355" customFormat="false" ht="15" hidden="false" customHeight="false" outlineLevel="0" collapsed="false">
      <c r="A22355" s="0" t="e">
        <f aca="false">INDEX(_xlfn.ORG.LIBREOFFICE.FOURIER(Data!A1:A6,FALSE(),TRUE(),TRUE(),5),ROWS(_xlfn.ORG.LIBREOFFICE.FOURIER(Data!A1:A6,FALSE(),TRUE(),TRUE(),5)),2)</f>
        <v>#VALUE!</v>
      </c>
      <c r="B22355" s="0" t="s">
        <v>22180</v>
      </c>
    </row>
    <row r="22356" customFormat="false" ht="15" hidden="false" customHeight="false" outlineLevel="0" collapsed="false">
      <c r="A22356" s="0" t="n">
        <f aca="false">ROWS(_xlfn.ORG.LIBREOFFICE.FOURIER(Data!A1:A7,TRUE()))</f>
        <v>7</v>
      </c>
      <c r="B22356" s="0" t="s">
        <v>22181</v>
      </c>
    </row>
    <row r="22357" customFormat="false" ht="15" hidden="false" customHeight="false" outlineLevel="0" collapsed="false">
      <c r="A22357" s="0" t="n">
        <f aca="false">COLUMNS(_xlfn.ORG.LIBREOFFICE.FOURIER(Data!A1:A7,TRUE()))</f>
        <v>2</v>
      </c>
      <c r="B22357" s="0" t="s">
        <v>22182</v>
      </c>
    </row>
    <row r="22358" customFormat="false" ht="15" hidden="false" customHeight="false" outlineLevel="0" collapsed="false">
      <c r="A22358" s="0" t="n">
        <f aca="false">SUM(_xlfn.ORG.LIBREOFFICE.FOURIER(Data!A1:A7,TRUE()))</f>
        <v>35</v>
      </c>
      <c r="B22358" s="0" t="s">
        <v>22183</v>
      </c>
    </row>
    <row r="22359" customFormat="false" ht="15" hidden="false" customHeight="false" outlineLevel="0" collapsed="false">
      <c r="A22359" s="0" t="n">
        <f aca="false">INDEX(_xlfn.ORG.LIBREOFFICE.FOURIER(Data!A1:A7,TRUE()),1,1)</f>
        <v>35</v>
      </c>
      <c r="B22359" s="0" t="s">
        <v>22184</v>
      </c>
    </row>
    <row r="22360" customFormat="false" ht="15" hidden="false" customHeight="false" outlineLevel="0" collapsed="false">
      <c r="A22360" s="0" t="n">
        <f aca="false">INDEX(_xlfn.ORG.LIBREOFFICE.FOURIER(Data!A1:A7,TRUE()),2,1)</f>
        <v>-2.27595720048157E-015</v>
      </c>
      <c r="B22360" s="0" t="s">
        <v>22185</v>
      </c>
    </row>
    <row r="22361" customFormat="false" ht="15" hidden="false" customHeight="false" outlineLevel="0" collapsed="false">
      <c r="A22361" s="0" t="n">
        <f aca="false">INDEX(_xlfn.ORG.LIBREOFFICE.FOURIER(Data!A1:A7,TRUE()),2,2)</f>
        <v>0.748828369721642</v>
      </c>
      <c r="B22361" s="0" t="s">
        <v>22186</v>
      </c>
    </row>
    <row r="22362" customFormat="false" ht="15" hidden="false" customHeight="false" outlineLevel="0" collapsed="false">
      <c r="A22362" s="0" t="n">
        <f aca="false">INDEX(_xlfn.ORG.LIBREOFFICE.FOURIER(Data!A1:A7,TRUE()),3,2)</f>
        <v>0.2483622236884</v>
      </c>
      <c r="B22362" s="0" t="s">
        <v>22187</v>
      </c>
    </row>
    <row r="22363" customFormat="false" ht="15" hidden="false" customHeight="false" outlineLevel="0" collapsed="false">
      <c r="A22363" s="0" t="n">
        <f aca="false">INDEX(_xlfn.ORG.LIBREOFFICE.FOURIER(Data!A1:A7,TRUE()),ROWS(_xlfn.ORG.LIBREOFFICE.FOURIER(Data!A1:A7,TRUE())),1)</f>
        <v>7.66053886991358E-015</v>
      </c>
      <c r="B22363" s="0" t="s">
        <v>22188</v>
      </c>
    </row>
    <row r="22364" customFormat="false" ht="15" hidden="false" customHeight="false" outlineLevel="0" collapsed="false">
      <c r="A22364" s="0" t="n">
        <f aca="false">INDEX(_xlfn.ORG.LIBREOFFICE.FOURIER(Data!A1:A7,TRUE()),ROWS(_xlfn.ORG.LIBREOFFICE.FOURIER(Data!A1:A7,TRUE())),2)</f>
        <v>-0.748828369721644</v>
      </c>
      <c r="B22364" s="0" t="s">
        <v>22189</v>
      </c>
    </row>
    <row r="22365" customFormat="false" ht="15" hidden="false" customHeight="false" outlineLevel="0" collapsed="false">
      <c r="A22365" s="0" t="n">
        <f aca="false">SUM(_xlfn.ORG.LIBREOFFICE.FOURIER(Data!A1:A7,TRUE(),TRUE()))</f>
        <v>5</v>
      </c>
      <c r="B22365" s="0" t="s">
        <v>22190</v>
      </c>
    </row>
    <row r="22366" customFormat="false" ht="15" hidden="false" customHeight="false" outlineLevel="0" collapsed="false">
      <c r="A22366" s="0" t="n">
        <f aca="false">INDEX(_xlfn.ORG.LIBREOFFICE.FOURIER(Data!A1:A7,TRUE(),TRUE()),1,1)</f>
        <v>5</v>
      </c>
      <c r="B22366" s="0" t="s">
        <v>22191</v>
      </c>
    </row>
    <row r="22367" customFormat="false" ht="15" hidden="false" customHeight="false" outlineLevel="0" collapsed="false">
      <c r="A22367" s="0" t="n">
        <f aca="false">INDEX(_xlfn.ORG.LIBREOFFICE.FOURIER(Data!A1:A7,TRUE(),TRUE()),2,1)</f>
        <v>-2.53765262771464E-016</v>
      </c>
      <c r="B22367" s="0" t="s">
        <v>22192</v>
      </c>
    </row>
    <row r="22368" customFormat="false" ht="15" hidden="false" customHeight="false" outlineLevel="0" collapsed="false">
      <c r="A22368" s="0" t="n">
        <f aca="false">INDEX(_xlfn.ORG.LIBREOFFICE.FOURIER(Data!A1:A7,TRUE(),TRUE()),2,2)</f>
        <v>-0.106975481388806</v>
      </c>
      <c r="B22368" s="0" t="s">
        <v>22193</v>
      </c>
    </row>
    <row r="22369" customFormat="false" ht="15" hidden="false" customHeight="false" outlineLevel="0" collapsed="false">
      <c r="A22369" s="0" t="n">
        <f aca="false">INDEX(_xlfn.ORG.LIBREOFFICE.FOURIER(Data!A1:A7,TRUE(),TRUE()),3,2)</f>
        <v>-0.0354803176697711</v>
      </c>
      <c r="B22369" s="0" t="s">
        <v>22194</v>
      </c>
    </row>
    <row r="22370" customFormat="false" ht="15" hidden="false" customHeight="false" outlineLevel="0" collapsed="false">
      <c r="A22370" s="0" t="n">
        <f aca="false">INDEX(_xlfn.ORG.LIBREOFFICE.FOURIER(Data!A1:A7,TRUE(),TRUE()),ROWS(_xlfn.ORG.LIBREOFFICE.FOURIER(Data!A1:A7,TRUE(),TRUE())),1)</f>
        <v>1.03885154447068E-015</v>
      </c>
      <c r="B22370" s="0" t="s">
        <v>22195</v>
      </c>
    </row>
    <row r="22371" customFormat="false" ht="15" hidden="false" customHeight="false" outlineLevel="0" collapsed="false">
      <c r="A22371" s="0" t="n">
        <f aca="false">INDEX(_xlfn.ORG.LIBREOFFICE.FOURIER(Data!A1:A7,TRUE(),TRUE()),ROWS(_xlfn.ORG.LIBREOFFICE.FOURIER(Data!A1:A7,TRUE(),TRUE())),2)</f>
        <v>0.106975481388806</v>
      </c>
      <c r="B22371" s="0" t="s">
        <v>22196</v>
      </c>
    </row>
    <row r="22372" customFormat="false" ht="15" hidden="false" customHeight="false" outlineLevel="0" collapsed="false">
      <c r="A22372" s="0" t="n">
        <f aca="false">SUM(_xlfn.ORG.LIBREOFFICE.FOURIER(Data!A1:A7,TRUE(),FALSE(),TRUE()))</f>
        <v>65.4462754842861</v>
      </c>
      <c r="B22372" s="0" t="s">
        <v>22197</v>
      </c>
    </row>
    <row r="22373" customFormat="false" ht="15" hidden="false" customHeight="false" outlineLevel="0" collapsed="false">
      <c r="A22373" s="0" t="n">
        <f aca="false">INDEX(_xlfn.ORG.LIBREOFFICE.FOURIER(Data!A1:A7,TRUE(),FALSE(),TRUE()),1,1)</f>
        <v>35</v>
      </c>
      <c r="B22373" s="0" t="s">
        <v>22198</v>
      </c>
    </row>
    <row r="22374" customFormat="false" ht="15" hidden="false" customHeight="false" outlineLevel="0" collapsed="false">
      <c r="A22374" s="0" t="n">
        <f aca="false">INDEX(_xlfn.ORG.LIBREOFFICE.FOURIER(Data!A1:A7,TRUE(),FALSE(),TRUE()),2,1)</f>
        <v>0.748828369721642</v>
      </c>
      <c r="B22374" s="0" t="s">
        <v>22199</v>
      </c>
    </row>
    <row r="22375" customFormat="false" ht="15" hidden="false" customHeight="false" outlineLevel="0" collapsed="false">
      <c r="A22375" s="0" t="n">
        <f aca="false">INDEX(_xlfn.ORG.LIBREOFFICE.FOURIER(Data!A1:A7,TRUE(),FALSE(),TRUE()),2,2)</f>
        <v>1.5707963267949</v>
      </c>
      <c r="B22375" s="0" t="s">
        <v>22200</v>
      </c>
    </row>
    <row r="22376" customFormat="false" ht="15" hidden="false" customHeight="false" outlineLevel="0" collapsed="false">
      <c r="A22376" s="0" t="n">
        <f aca="false">INDEX(_xlfn.ORG.LIBREOFFICE.FOURIER(Data!A1:A7,TRUE(),FALSE(),TRUE()),3,2)</f>
        <v>1.57079632679491</v>
      </c>
      <c r="B22376" s="0" t="s">
        <v>22201</v>
      </c>
    </row>
    <row r="22377" customFormat="false" ht="15" hidden="false" customHeight="false" outlineLevel="0" collapsed="false">
      <c r="A22377" s="0" t="n">
        <f aca="false">INDEX(_xlfn.ORG.LIBREOFFICE.FOURIER(Data!A1:A7,TRUE(),FALSE(),TRUE()),ROWS(_xlfn.ORG.LIBREOFFICE.FOURIER(Data!A1:A7,TRUE(),FALSE(),TRUE())),1)</f>
        <v>0.748828369721644</v>
      </c>
      <c r="B22377" s="0" t="s">
        <v>22202</v>
      </c>
    </row>
    <row r="22378" customFormat="false" ht="15" hidden="false" customHeight="false" outlineLevel="0" collapsed="false">
      <c r="A22378" s="0" t="n">
        <f aca="false">INDEX(_xlfn.ORG.LIBREOFFICE.FOURIER(Data!A1:A7,TRUE(),FALSE(),TRUE()),ROWS(_xlfn.ORG.LIBREOFFICE.FOURIER(Data!A1:A7,TRUE(),FALSE(),TRUE())),2)</f>
        <v>-1.57079632679489</v>
      </c>
      <c r="B22378" s="0" t="s">
        <v>22203</v>
      </c>
    </row>
    <row r="22379" customFormat="false" ht="15" hidden="false" customHeight="false" outlineLevel="0" collapsed="false">
      <c r="A22379" s="0" t="n">
        <f aca="false">SUM(_xlfn.ORG.LIBREOFFICE.FOURIER(Data!A1:A7,TRUE(),TRUE(),TRUE()))</f>
        <v>9.34946792632657</v>
      </c>
      <c r="B22379" s="0" t="s">
        <v>22204</v>
      </c>
    </row>
    <row r="22380" customFormat="false" ht="15" hidden="false" customHeight="false" outlineLevel="0" collapsed="false">
      <c r="A22380" s="0" t="n">
        <f aca="false">INDEX(_xlfn.ORG.LIBREOFFICE.FOURIER(Data!A1:A7,TRUE(),TRUE(),TRUE()),1,1)</f>
        <v>5</v>
      </c>
      <c r="B22380" s="0" t="s">
        <v>22205</v>
      </c>
    </row>
    <row r="22381" customFormat="false" ht="15" hidden="false" customHeight="false" outlineLevel="0" collapsed="false">
      <c r="A22381" s="0" t="n">
        <f aca="false">INDEX(_xlfn.ORG.LIBREOFFICE.FOURIER(Data!A1:A7,TRUE(),TRUE(),TRUE()),2,1)</f>
        <v>0.106975481388806</v>
      </c>
      <c r="B22381" s="0" t="s">
        <v>22206</v>
      </c>
    </row>
    <row r="22382" customFormat="false" ht="15" hidden="false" customHeight="false" outlineLevel="0" collapsed="false">
      <c r="A22382" s="0" t="n">
        <f aca="false">INDEX(_xlfn.ORG.LIBREOFFICE.FOURIER(Data!A1:A7,TRUE(),TRUE(),TRUE()),2,2)</f>
        <v>-1.5707963267949</v>
      </c>
      <c r="B22382" s="0" t="s">
        <v>22207</v>
      </c>
    </row>
    <row r="22383" customFormat="false" ht="15" hidden="false" customHeight="false" outlineLevel="0" collapsed="false">
      <c r="A22383" s="0" t="n">
        <f aca="false">INDEX(_xlfn.ORG.LIBREOFFICE.FOURIER(Data!A1:A7,TRUE(),TRUE(),TRUE()),3,2)</f>
        <v>-1.57079632679489</v>
      </c>
      <c r="B22383" s="0" t="s">
        <v>22208</v>
      </c>
    </row>
    <row r="22384" customFormat="false" ht="15" hidden="false" customHeight="false" outlineLevel="0" collapsed="false">
      <c r="A22384" s="0" t="n">
        <f aca="false">INDEX(_xlfn.ORG.LIBREOFFICE.FOURIER(Data!A1:A7,TRUE(),TRUE(),TRUE()),ROWS(_xlfn.ORG.LIBREOFFICE.FOURIER(Data!A1:A7,TRUE(),TRUE(),TRUE())),1)</f>
        <v>0.106975481388806</v>
      </c>
      <c r="B22384" s="0" t="s">
        <v>22209</v>
      </c>
    </row>
    <row r="22385" customFormat="false" ht="15" hidden="false" customHeight="false" outlineLevel="0" collapsed="false">
      <c r="A22385" s="0" t="n">
        <f aca="false">INDEX(_xlfn.ORG.LIBREOFFICE.FOURIER(Data!A1:A7,TRUE(),TRUE(),TRUE()),ROWS(_xlfn.ORG.LIBREOFFICE.FOURIER(Data!A1:A7,TRUE(),TRUE(),TRUE())),2)</f>
        <v>1.57079632679489</v>
      </c>
      <c r="B22385" s="0" t="s">
        <v>22210</v>
      </c>
    </row>
    <row r="22386" customFormat="false" ht="15" hidden="false" customHeight="false" outlineLevel="0" collapsed="false">
      <c r="A22386" s="0" t="n">
        <f aca="false">SUM(_xlfn.ORG.LIBREOFFICE.FOURIER(Data!A1:A7,TRUE(),FALSE(),TRUE(),1))</f>
        <v>63.451894297466</v>
      </c>
      <c r="B22386" s="0" t="s">
        <v>22211</v>
      </c>
    </row>
    <row r="22387" customFormat="false" ht="15" hidden="false" customHeight="false" outlineLevel="0" collapsed="false">
      <c r="A22387" s="0" t="n">
        <f aca="false">INDEX(_xlfn.ORG.LIBREOFFICE.FOURIER(Data!A1:A7,TRUE(),FALSE(),TRUE(),1),1,1)</f>
        <v>35</v>
      </c>
      <c r="B22387" s="0" t="s">
        <v>22212</v>
      </c>
    </row>
    <row r="22388" customFormat="false" ht="15" hidden="false" customHeight="false" outlineLevel="0" collapsed="false">
      <c r="A22388" s="0" t="n">
        <f aca="false">INDEX(_xlfn.ORG.LIBREOFFICE.FOURIER(Data!A1:A7,TRUE(),FALSE(),TRUE(),1),2,1)</f>
        <v>0</v>
      </c>
      <c r="B22388" s="0" t="s">
        <v>22213</v>
      </c>
    </row>
    <row r="22389" customFormat="false" ht="15" hidden="false" customHeight="false" outlineLevel="0" collapsed="false">
      <c r="A22389" s="0" t="n">
        <f aca="false">INDEX(_xlfn.ORG.LIBREOFFICE.FOURIER(Data!A1:A7,TRUE(),FALSE(),TRUE(),1),2,2)</f>
        <v>0</v>
      </c>
      <c r="B22389" s="0" t="s">
        <v>22214</v>
      </c>
    </row>
    <row r="22390" customFormat="false" ht="15" hidden="false" customHeight="false" outlineLevel="0" collapsed="false">
      <c r="A22390" s="0" t="n">
        <f aca="false">INDEX(_xlfn.ORG.LIBREOFFICE.FOURIER(Data!A1:A7,TRUE(),FALSE(),TRUE(),1),3,2)</f>
        <v>0</v>
      </c>
      <c r="B22390" s="0" t="s">
        <v>22215</v>
      </c>
    </row>
    <row r="22391" customFormat="false" ht="15" hidden="false" customHeight="false" outlineLevel="0" collapsed="false">
      <c r="A22391" s="0" t="n">
        <f aca="false">INDEX(_xlfn.ORG.LIBREOFFICE.FOURIER(Data!A1:A7,TRUE(),FALSE(),TRUE(),1),ROWS(_xlfn.ORG.LIBREOFFICE.FOURIER(Data!A1:A7,TRUE(),FALSE(),TRUE(),1)),1)</f>
        <v>0</v>
      </c>
      <c r="B22391" s="0" t="s">
        <v>22216</v>
      </c>
    </row>
    <row r="22392" customFormat="false" ht="15" hidden="false" customHeight="false" outlineLevel="0" collapsed="false">
      <c r="A22392" s="0" t="n">
        <f aca="false">INDEX(_xlfn.ORG.LIBREOFFICE.FOURIER(Data!A1:A7,TRUE(),FALSE(),TRUE(),1),ROWS(_xlfn.ORG.LIBREOFFICE.FOURIER(Data!A1:A7,TRUE(),FALSE(),TRUE(),1)),2)</f>
        <v>0</v>
      </c>
      <c r="B22392" s="0" t="s">
        <v>22217</v>
      </c>
    </row>
    <row r="22393" customFormat="false" ht="15" hidden="false" customHeight="false" outlineLevel="0" collapsed="false">
      <c r="A22393" s="0" t="n">
        <f aca="false">SUM(_xlfn.ORG.LIBREOFFICE.FOURIER(Data!A1:A7,TRUE(),TRUE(),TRUE(),5))</f>
        <v>9.06455632820943</v>
      </c>
      <c r="B22393" s="0" t="s">
        <v>22218</v>
      </c>
    </row>
    <row r="22394" customFormat="false" ht="15" hidden="false" customHeight="false" outlineLevel="0" collapsed="false">
      <c r="A22394" s="0" t="n">
        <f aca="false">INDEX(_xlfn.ORG.LIBREOFFICE.FOURIER(Data!A1:A7,TRUE(),TRUE(),TRUE(),5),1,1)</f>
        <v>5</v>
      </c>
      <c r="B22394" s="0" t="s">
        <v>22219</v>
      </c>
    </row>
    <row r="22395" customFormat="false" ht="15" hidden="false" customHeight="false" outlineLevel="0" collapsed="false">
      <c r="A22395" s="0" t="n">
        <f aca="false">INDEX(_xlfn.ORG.LIBREOFFICE.FOURIER(Data!A1:A7,TRUE(),TRUE(),TRUE(),5),2,1)</f>
        <v>0</v>
      </c>
      <c r="B22395" s="0" t="s">
        <v>22220</v>
      </c>
    </row>
    <row r="22396" customFormat="false" ht="15" hidden="false" customHeight="false" outlineLevel="0" collapsed="false">
      <c r="A22396" s="0" t="n">
        <f aca="false">INDEX(_xlfn.ORG.LIBREOFFICE.FOURIER(Data!A1:A7,TRUE(),TRUE(),TRUE(),5),2,2)</f>
        <v>0</v>
      </c>
      <c r="B22396" s="0" t="s">
        <v>22221</v>
      </c>
    </row>
    <row r="22397" customFormat="false" ht="15" hidden="false" customHeight="false" outlineLevel="0" collapsed="false">
      <c r="A22397" s="0" t="n">
        <f aca="false">INDEX(_xlfn.ORG.LIBREOFFICE.FOURIER(Data!A1:A7,TRUE(),TRUE(),TRUE(),5),3,2)</f>
        <v>0</v>
      </c>
      <c r="B22397" s="0" t="s">
        <v>22222</v>
      </c>
    </row>
    <row r="22398" customFormat="false" ht="15" hidden="false" customHeight="false" outlineLevel="0" collapsed="false">
      <c r="A22398" s="0" t="n">
        <f aca="false">INDEX(_xlfn.ORG.LIBREOFFICE.FOURIER(Data!A1:A7,TRUE(),TRUE(),TRUE(),5),ROWS(_xlfn.ORG.LIBREOFFICE.FOURIER(Data!A1:A7,TRUE(),TRUE(),TRUE(),5)),1)</f>
        <v>0</v>
      </c>
      <c r="B22398" s="0" t="s">
        <v>22223</v>
      </c>
    </row>
    <row r="22399" customFormat="false" ht="15" hidden="false" customHeight="false" outlineLevel="0" collapsed="false">
      <c r="A22399" s="0" t="n">
        <f aca="false">INDEX(_xlfn.ORG.LIBREOFFICE.FOURIER(Data!A1:A7,TRUE(),TRUE(),TRUE(),5),ROWS(_xlfn.ORG.LIBREOFFICE.FOURIER(Data!A1:A7,TRUE(),TRUE(),TRUE(),5)),2)</f>
        <v>0</v>
      </c>
      <c r="B22399" s="0" t="s">
        <v>22224</v>
      </c>
    </row>
    <row r="22400" customFormat="false" ht="15" hidden="false" customHeight="false" outlineLevel="0" collapsed="false">
      <c r="A22400" s="0" t="e">
        <f aca="false">ROWS(_xlfn.ORG.LIBREOFFICE.FOURIER(Data!A1:A7,FALSE()))</f>
        <v>#VALUE!</v>
      </c>
      <c r="B22400" s="0" t="s">
        <v>22225</v>
      </c>
    </row>
    <row r="22401" customFormat="false" ht="15" hidden="false" customHeight="false" outlineLevel="0" collapsed="false">
      <c r="A22401" s="0" t="e">
        <f aca="false">COLUMNS(_xlfn.ORG.LIBREOFFICE.FOURIER(Data!A1:A7,FALSE()))</f>
        <v>#VALUE!</v>
      </c>
      <c r="B22401" s="0" t="s">
        <v>22226</v>
      </c>
    </row>
    <row r="22402" customFormat="false" ht="15" hidden="false" customHeight="false" outlineLevel="0" collapsed="false">
      <c r="A22402" s="0" t="e">
        <f aca="false">SUM(_xlfn.ORG.LIBREOFFICE.FOURIER(Data!A1:A7,FALSE()))</f>
        <v>#VALUE!</v>
      </c>
      <c r="B22402" s="0" t="s">
        <v>22227</v>
      </c>
    </row>
    <row r="22403" customFormat="false" ht="15" hidden="false" customHeight="false" outlineLevel="0" collapsed="false">
      <c r="A22403" s="0" t="e">
        <f aca="false">INDEX(_xlfn.ORG.LIBREOFFICE.FOURIER(Data!A1:A7,FALSE()),1,1)</f>
        <v>#VALUE!</v>
      </c>
      <c r="B22403" s="0" t="s">
        <v>22228</v>
      </c>
    </row>
    <row r="22404" customFormat="false" ht="15" hidden="false" customHeight="false" outlineLevel="0" collapsed="false">
      <c r="A22404" s="0" t="e">
        <f aca="false">INDEX(_xlfn.ORG.LIBREOFFICE.FOURIER(Data!A1:A7,FALSE()),2,1)</f>
        <v>#VALUE!</v>
      </c>
      <c r="B22404" s="0" t="s">
        <v>22229</v>
      </c>
    </row>
    <row r="22405" customFormat="false" ht="15" hidden="false" customHeight="false" outlineLevel="0" collapsed="false">
      <c r="A22405" s="0" t="e">
        <f aca="false">INDEX(_xlfn.ORG.LIBREOFFICE.FOURIER(Data!A1:A7,FALSE()),2,2)</f>
        <v>#VALUE!</v>
      </c>
      <c r="B22405" s="0" t="s">
        <v>22230</v>
      </c>
    </row>
    <row r="22406" customFormat="false" ht="15" hidden="false" customHeight="false" outlineLevel="0" collapsed="false">
      <c r="A22406" s="0" t="e">
        <f aca="false">INDEX(_xlfn.ORG.LIBREOFFICE.FOURIER(Data!A1:A7,FALSE()),3,2)</f>
        <v>#VALUE!</v>
      </c>
      <c r="B22406" s="0" t="s">
        <v>22231</v>
      </c>
    </row>
    <row r="22407" customFormat="false" ht="15" hidden="false" customHeight="false" outlineLevel="0" collapsed="false">
      <c r="A22407" s="0" t="e">
        <f aca="false">INDEX(_xlfn.ORG.LIBREOFFICE.FOURIER(Data!A1:A7,FALSE()),ROWS(_xlfn.ORG.LIBREOFFICE.FOURIER(Data!A1:A7,FALSE())),1)</f>
        <v>#VALUE!</v>
      </c>
      <c r="B22407" s="0" t="s">
        <v>22232</v>
      </c>
    </row>
    <row r="22408" customFormat="false" ht="15" hidden="false" customHeight="false" outlineLevel="0" collapsed="false">
      <c r="A22408" s="0" t="e">
        <f aca="false">INDEX(_xlfn.ORG.LIBREOFFICE.FOURIER(Data!A1:A7,FALSE()),ROWS(_xlfn.ORG.LIBREOFFICE.FOURIER(Data!A1:A7,FALSE())),2)</f>
        <v>#VALUE!</v>
      </c>
      <c r="B22408" s="0" t="s">
        <v>22233</v>
      </c>
    </row>
    <row r="22409" customFormat="false" ht="15" hidden="false" customHeight="false" outlineLevel="0" collapsed="false">
      <c r="A22409" s="0" t="e">
        <f aca="false">SUM(_xlfn.ORG.LIBREOFFICE.FOURIER(Data!A1:A7,FALSE(),TRUE()))</f>
        <v>#VALUE!</v>
      </c>
      <c r="B22409" s="0" t="s">
        <v>22234</v>
      </c>
    </row>
    <row r="22410" customFormat="false" ht="15" hidden="false" customHeight="false" outlineLevel="0" collapsed="false">
      <c r="A22410" s="0" t="e">
        <f aca="false">INDEX(_xlfn.ORG.LIBREOFFICE.FOURIER(Data!A1:A7,FALSE(),TRUE()),1,1)</f>
        <v>#VALUE!</v>
      </c>
      <c r="B22410" s="0" t="s">
        <v>22235</v>
      </c>
    </row>
    <row r="22411" customFormat="false" ht="15" hidden="false" customHeight="false" outlineLevel="0" collapsed="false">
      <c r="A22411" s="0" t="e">
        <f aca="false">INDEX(_xlfn.ORG.LIBREOFFICE.FOURIER(Data!A1:A7,FALSE(),TRUE()),2,1)</f>
        <v>#VALUE!</v>
      </c>
      <c r="B22411" s="0" t="s">
        <v>22236</v>
      </c>
    </row>
    <row r="22412" customFormat="false" ht="15" hidden="false" customHeight="false" outlineLevel="0" collapsed="false">
      <c r="A22412" s="0" t="e">
        <f aca="false">INDEX(_xlfn.ORG.LIBREOFFICE.FOURIER(Data!A1:A7,FALSE(),TRUE()),2,2)</f>
        <v>#VALUE!</v>
      </c>
      <c r="B22412" s="0" t="s">
        <v>22237</v>
      </c>
    </row>
    <row r="22413" customFormat="false" ht="15" hidden="false" customHeight="false" outlineLevel="0" collapsed="false">
      <c r="A22413" s="0" t="e">
        <f aca="false">INDEX(_xlfn.ORG.LIBREOFFICE.FOURIER(Data!A1:A7,FALSE(),TRUE()),3,2)</f>
        <v>#VALUE!</v>
      </c>
      <c r="B22413" s="0" t="s">
        <v>22238</v>
      </c>
    </row>
    <row r="22414" customFormat="false" ht="15" hidden="false" customHeight="false" outlineLevel="0" collapsed="false">
      <c r="A22414" s="0" t="e">
        <f aca="false">INDEX(_xlfn.ORG.LIBREOFFICE.FOURIER(Data!A1:A7,FALSE(),TRUE()),ROWS(_xlfn.ORG.LIBREOFFICE.FOURIER(Data!A1:A7,FALSE(),TRUE())),1)</f>
        <v>#VALUE!</v>
      </c>
      <c r="B22414" s="0" t="s">
        <v>22239</v>
      </c>
    </row>
    <row r="22415" customFormat="false" ht="15" hidden="false" customHeight="false" outlineLevel="0" collapsed="false">
      <c r="A22415" s="0" t="e">
        <f aca="false">INDEX(_xlfn.ORG.LIBREOFFICE.FOURIER(Data!A1:A7,FALSE(),TRUE()),ROWS(_xlfn.ORG.LIBREOFFICE.FOURIER(Data!A1:A7,FALSE(),TRUE())),2)</f>
        <v>#VALUE!</v>
      </c>
      <c r="B22415" s="0" t="s">
        <v>22240</v>
      </c>
    </row>
    <row r="22416" customFormat="false" ht="15" hidden="false" customHeight="false" outlineLevel="0" collapsed="false">
      <c r="A22416" s="0" t="e">
        <f aca="false">SUM(_xlfn.ORG.LIBREOFFICE.FOURIER(Data!A1:A7,FALSE(),FALSE(),TRUE()))</f>
        <v>#VALUE!</v>
      </c>
      <c r="B22416" s="0" t="s">
        <v>22241</v>
      </c>
    </row>
    <row r="22417" customFormat="false" ht="15" hidden="false" customHeight="false" outlineLevel="0" collapsed="false">
      <c r="A22417" s="0" t="e">
        <f aca="false">INDEX(_xlfn.ORG.LIBREOFFICE.FOURIER(Data!A1:A7,FALSE(),FALSE(),TRUE()),1,1)</f>
        <v>#VALUE!</v>
      </c>
      <c r="B22417" s="0" t="s">
        <v>22242</v>
      </c>
    </row>
    <row r="22418" customFormat="false" ht="15" hidden="false" customHeight="false" outlineLevel="0" collapsed="false">
      <c r="A22418" s="0" t="e">
        <f aca="false">INDEX(_xlfn.ORG.LIBREOFFICE.FOURIER(Data!A1:A7,FALSE(),FALSE(),TRUE()),2,1)</f>
        <v>#VALUE!</v>
      </c>
      <c r="B22418" s="0" t="s">
        <v>22243</v>
      </c>
    </row>
    <row r="22419" customFormat="false" ht="15" hidden="false" customHeight="false" outlineLevel="0" collapsed="false">
      <c r="A22419" s="0" t="e">
        <f aca="false">INDEX(_xlfn.ORG.LIBREOFFICE.FOURIER(Data!A1:A7,FALSE(),FALSE(),TRUE()),2,2)</f>
        <v>#VALUE!</v>
      </c>
      <c r="B22419" s="0" t="s">
        <v>22244</v>
      </c>
    </row>
    <row r="22420" customFormat="false" ht="15" hidden="false" customHeight="false" outlineLevel="0" collapsed="false">
      <c r="A22420" s="0" t="e">
        <f aca="false">INDEX(_xlfn.ORG.LIBREOFFICE.FOURIER(Data!A1:A7,FALSE(),FALSE(),TRUE()),3,2)</f>
        <v>#VALUE!</v>
      </c>
      <c r="B22420" s="0" t="s">
        <v>22245</v>
      </c>
    </row>
    <row r="22421" customFormat="false" ht="15" hidden="false" customHeight="false" outlineLevel="0" collapsed="false">
      <c r="A22421" s="0" t="e">
        <f aca="false">INDEX(_xlfn.ORG.LIBREOFFICE.FOURIER(Data!A1:A7,FALSE(),FALSE(),TRUE()),ROWS(_xlfn.ORG.LIBREOFFICE.FOURIER(Data!A1:A7,FALSE(),FALSE(),TRUE())),1)</f>
        <v>#VALUE!</v>
      </c>
      <c r="B22421" s="0" t="s">
        <v>22246</v>
      </c>
    </row>
    <row r="22422" customFormat="false" ht="15" hidden="false" customHeight="false" outlineLevel="0" collapsed="false">
      <c r="A22422" s="0" t="e">
        <f aca="false">INDEX(_xlfn.ORG.LIBREOFFICE.FOURIER(Data!A1:A7,FALSE(),FALSE(),TRUE()),ROWS(_xlfn.ORG.LIBREOFFICE.FOURIER(Data!A1:A7,FALSE(),FALSE(),TRUE())),2)</f>
        <v>#VALUE!</v>
      </c>
      <c r="B22422" s="0" t="s">
        <v>22247</v>
      </c>
    </row>
    <row r="22423" customFormat="false" ht="15" hidden="false" customHeight="false" outlineLevel="0" collapsed="false">
      <c r="A22423" s="0" t="e">
        <f aca="false">SUM(_xlfn.ORG.LIBREOFFICE.FOURIER(Data!A1:A7,FALSE(),TRUE(),TRUE()))</f>
        <v>#VALUE!</v>
      </c>
      <c r="B22423" s="0" t="s">
        <v>22248</v>
      </c>
    </row>
    <row r="22424" customFormat="false" ht="15" hidden="false" customHeight="false" outlineLevel="0" collapsed="false">
      <c r="A22424" s="0" t="e">
        <f aca="false">INDEX(_xlfn.ORG.LIBREOFFICE.FOURIER(Data!A1:A7,FALSE(),TRUE(),TRUE()),1,1)</f>
        <v>#VALUE!</v>
      </c>
      <c r="B22424" s="0" t="s">
        <v>22249</v>
      </c>
    </row>
    <row r="22425" customFormat="false" ht="15" hidden="false" customHeight="false" outlineLevel="0" collapsed="false">
      <c r="A22425" s="0" t="e">
        <f aca="false">INDEX(_xlfn.ORG.LIBREOFFICE.FOURIER(Data!A1:A7,FALSE(),TRUE(),TRUE()),2,1)</f>
        <v>#VALUE!</v>
      </c>
      <c r="B22425" s="0" t="s">
        <v>22250</v>
      </c>
    </row>
    <row r="22426" customFormat="false" ht="15" hidden="false" customHeight="false" outlineLevel="0" collapsed="false">
      <c r="A22426" s="0" t="e">
        <f aca="false">INDEX(_xlfn.ORG.LIBREOFFICE.FOURIER(Data!A1:A7,FALSE(),TRUE(),TRUE()),2,2)</f>
        <v>#VALUE!</v>
      </c>
      <c r="B22426" s="0" t="s">
        <v>22251</v>
      </c>
    </row>
    <row r="22427" customFormat="false" ht="15" hidden="false" customHeight="false" outlineLevel="0" collapsed="false">
      <c r="A22427" s="0" t="e">
        <f aca="false">INDEX(_xlfn.ORG.LIBREOFFICE.FOURIER(Data!A1:A7,FALSE(),TRUE(),TRUE()),3,2)</f>
        <v>#VALUE!</v>
      </c>
      <c r="B22427" s="0" t="s">
        <v>22252</v>
      </c>
    </row>
    <row r="22428" customFormat="false" ht="15" hidden="false" customHeight="false" outlineLevel="0" collapsed="false">
      <c r="A22428" s="0" t="e">
        <f aca="false">INDEX(_xlfn.ORG.LIBREOFFICE.FOURIER(Data!A1:A7,FALSE(),TRUE(),TRUE()),ROWS(_xlfn.ORG.LIBREOFFICE.FOURIER(Data!A1:A7,FALSE(),TRUE(),TRUE())),1)</f>
        <v>#VALUE!</v>
      </c>
      <c r="B22428" s="0" t="s">
        <v>22253</v>
      </c>
    </row>
    <row r="22429" customFormat="false" ht="15" hidden="false" customHeight="false" outlineLevel="0" collapsed="false">
      <c r="A22429" s="0" t="e">
        <f aca="false">INDEX(_xlfn.ORG.LIBREOFFICE.FOURIER(Data!A1:A7,FALSE(),TRUE(),TRUE()),ROWS(_xlfn.ORG.LIBREOFFICE.FOURIER(Data!A1:A7,FALSE(),TRUE(),TRUE())),2)</f>
        <v>#VALUE!</v>
      </c>
      <c r="B22429" s="0" t="s">
        <v>22254</v>
      </c>
    </row>
    <row r="22430" customFormat="false" ht="15" hidden="false" customHeight="false" outlineLevel="0" collapsed="false">
      <c r="A22430" s="0" t="e">
        <f aca="false">SUM(_xlfn.ORG.LIBREOFFICE.FOURIER(Data!A1:A7,FALSE(),FALSE(),TRUE(),1))</f>
        <v>#VALUE!</v>
      </c>
      <c r="B22430" s="0" t="s">
        <v>22255</v>
      </c>
    </row>
    <row r="22431" customFormat="false" ht="15" hidden="false" customHeight="false" outlineLevel="0" collapsed="false">
      <c r="A22431" s="0" t="e">
        <f aca="false">INDEX(_xlfn.ORG.LIBREOFFICE.FOURIER(Data!A1:A7,FALSE(),FALSE(),TRUE(),1),1,1)</f>
        <v>#VALUE!</v>
      </c>
      <c r="B22431" s="0" t="s">
        <v>22256</v>
      </c>
    </row>
    <row r="22432" customFormat="false" ht="15" hidden="false" customHeight="false" outlineLevel="0" collapsed="false">
      <c r="A22432" s="0" t="e">
        <f aca="false">INDEX(_xlfn.ORG.LIBREOFFICE.FOURIER(Data!A1:A7,FALSE(),FALSE(),TRUE(),1),2,1)</f>
        <v>#VALUE!</v>
      </c>
      <c r="B22432" s="0" t="s">
        <v>22257</v>
      </c>
    </row>
    <row r="22433" customFormat="false" ht="15" hidden="false" customHeight="false" outlineLevel="0" collapsed="false">
      <c r="A22433" s="0" t="e">
        <f aca="false">INDEX(_xlfn.ORG.LIBREOFFICE.FOURIER(Data!A1:A7,FALSE(),FALSE(),TRUE(),1),2,2)</f>
        <v>#VALUE!</v>
      </c>
      <c r="B22433" s="0" t="s">
        <v>22258</v>
      </c>
    </row>
    <row r="22434" customFormat="false" ht="15" hidden="false" customHeight="false" outlineLevel="0" collapsed="false">
      <c r="A22434" s="0" t="e">
        <f aca="false">INDEX(_xlfn.ORG.LIBREOFFICE.FOURIER(Data!A1:A7,FALSE(),FALSE(),TRUE(),1),3,2)</f>
        <v>#VALUE!</v>
      </c>
      <c r="B22434" s="0" t="s">
        <v>22259</v>
      </c>
    </row>
    <row r="22435" customFormat="false" ht="15" hidden="false" customHeight="false" outlineLevel="0" collapsed="false">
      <c r="A22435" s="0" t="e">
        <f aca="false">INDEX(_xlfn.ORG.LIBREOFFICE.FOURIER(Data!A1:A7,FALSE(),FALSE(),TRUE(),1),ROWS(_xlfn.ORG.LIBREOFFICE.FOURIER(Data!A1:A7,FALSE(),FALSE(),TRUE(),1)),1)</f>
        <v>#VALUE!</v>
      </c>
      <c r="B22435" s="0" t="s">
        <v>22260</v>
      </c>
    </row>
    <row r="22436" customFormat="false" ht="15" hidden="false" customHeight="false" outlineLevel="0" collapsed="false">
      <c r="A22436" s="0" t="e">
        <f aca="false">INDEX(_xlfn.ORG.LIBREOFFICE.FOURIER(Data!A1:A7,FALSE(),FALSE(),TRUE(),1),ROWS(_xlfn.ORG.LIBREOFFICE.FOURIER(Data!A1:A7,FALSE(),FALSE(),TRUE(),1)),2)</f>
        <v>#VALUE!</v>
      </c>
      <c r="B22436" s="0" t="s">
        <v>22261</v>
      </c>
    </row>
    <row r="22437" customFormat="false" ht="15" hidden="false" customHeight="false" outlineLevel="0" collapsed="false">
      <c r="A22437" s="0" t="e">
        <f aca="false">SUM(_xlfn.ORG.LIBREOFFICE.FOURIER(Data!A1:A7,FALSE(),TRUE(),TRUE(),5))</f>
        <v>#VALUE!</v>
      </c>
      <c r="B22437" s="0" t="s">
        <v>22262</v>
      </c>
    </row>
    <row r="22438" customFormat="false" ht="15" hidden="false" customHeight="false" outlineLevel="0" collapsed="false">
      <c r="A22438" s="0" t="e">
        <f aca="false">INDEX(_xlfn.ORG.LIBREOFFICE.FOURIER(Data!A1:A7,FALSE(),TRUE(),TRUE(),5),1,1)</f>
        <v>#VALUE!</v>
      </c>
      <c r="B22438" s="0" t="s">
        <v>22263</v>
      </c>
    </row>
    <row r="22439" customFormat="false" ht="15" hidden="false" customHeight="false" outlineLevel="0" collapsed="false">
      <c r="A22439" s="0" t="e">
        <f aca="false">INDEX(_xlfn.ORG.LIBREOFFICE.FOURIER(Data!A1:A7,FALSE(),TRUE(),TRUE(),5),2,1)</f>
        <v>#VALUE!</v>
      </c>
      <c r="B22439" s="0" t="s">
        <v>22264</v>
      </c>
    </row>
    <row r="22440" customFormat="false" ht="15" hidden="false" customHeight="false" outlineLevel="0" collapsed="false">
      <c r="A22440" s="0" t="e">
        <f aca="false">INDEX(_xlfn.ORG.LIBREOFFICE.FOURIER(Data!A1:A7,FALSE(),TRUE(),TRUE(),5),2,2)</f>
        <v>#VALUE!</v>
      </c>
      <c r="B22440" s="0" t="s">
        <v>22265</v>
      </c>
    </row>
    <row r="22441" customFormat="false" ht="15" hidden="false" customHeight="false" outlineLevel="0" collapsed="false">
      <c r="A22441" s="0" t="e">
        <f aca="false">INDEX(_xlfn.ORG.LIBREOFFICE.FOURIER(Data!A1:A7,FALSE(),TRUE(),TRUE(),5),3,2)</f>
        <v>#VALUE!</v>
      </c>
      <c r="B22441" s="0" t="s">
        <v>22266</v>
      </c>
    </row>
    <row r="22442" customFormat="false" ht="15" hidden="false" customHeight="false" outlineLevel="0" collapsed="false">
      <c r="A22442" s="0" t="e">
        <f aca="false">INDEX(_xlfn.ORG.LIBREOFFICE.FOURIER(Data!A1:A7,FALSE(),TRUE(),TRUE(),5),ROWS(_xlfn.ORG.LIBREOFFICE.FOURIER(Data!A1:A7,FALSE(),TRUE(),TRUE(),5)),1)</f>
        <v>#VALUE!</v>
      </c>
      <c r="B22442" s="0" t="s">
        <v>22267</v>
      </c>
    </row>
    <row r="22443" customFormat="false" ht="15" hidden="false" customHeight="false" outlineLevel="0" collapsed="false">
      <c r="A22443" s="0" t="e">
        <f aca="false">INDEX(_xlfn.ORG.LIBREOFFICE.FOURIER(Data!A1:A7,FALSE(),TRUE(),TRUE(),5),ROWS(_xlfn.ORG.LIBREOFFICE.FOURIER(Data!A1:A7,FALSE(),TRUE(),TRUE(),5)),2)</f>
        <v>#VALUE!</v>
      </c>
      <c r="B22443" s="0" t="s">
        <v>22268</v>
      </c>
    </row>
    <row r="22444" customFormat="false" ht="15" hidden="false" customHeight="false" outlineLevel="0" collapsed="false">
      <c r="A22444" s="0" t="n">
        <f aca="false">ROWS(_xlfn.ORG.LIBREOFFICE.FOURIER({1;2;3;4},TRUE()))</f>
        <v>4</v>
      </c>
      <c r="B22444" s="0" t="s">
        <v>22269</v>
      </c>
    </row>
    <row r="22445" customFormat="false" ht="15" hidden="false" customHeight="false" outlineLevel="0" collapsed="false">
      <c r="A22445" s="0" t="n">
        <f aca="false">COLUMNS(_xlfn.ORG.LIBREOFFICE.FOURIER({1;2;3;4},TRUE()))</f>
        <v>2</v>
      </c>
      <c r="B22445" s="0" t="s">
        <v>22270</v>
      </c>
    </row>
    <row r="22446" customFormat="false" ht="15" hidden="false" customHeight="false" outlineLevel="0" collapsed="false">
      <c r="A22446" s="0" t="n">
        <f aca="false">SUM(_xlfn.ORG.LIBREOFFICE.FOURIER({1;2;3;4},TRUE()))</f>
        <v>4</v>
      </c>
      <c r="B22446" s="0" t="s">
        <v>22271</v>
      </c>
    </row>
    <row r="22447" customFormat="false" ht="15" hidden="false" customHeight="false" outlineLevel="0" collapsed="false">
      <c r="A22447" s="0" t="n">
        <f aca="false">INDEX(_xlfn.ORG.LIBREOFFICE.FOURIER({1;2;3;4},TRUE()),1,1)</f>
        <v>10</v>
      </c>
      <c r="B22447" s="0" t="s">
        <v>22272</v>
      </c>
    </row>
    <row r="22448" customFormat="false" ht="15" hidden="false" customHeight="false" outlineLevel="0" collapsed="false">
      <c r="A22448" s="0" t="n">
        <f aca="false">INDEX(_xlfn.ORG.LIBREOFFICE.FOURIER({1;2;3;4},TRUE()),2,1)</f>
        <v>-2</v>
      </c>
      <c r="B22448" s="0" t="s">
        <v>22273</v>
      </c>
    </row>
    <row r="22449" customFormat="false" ht="15" hidden="false" customHeight="false" outlineLevel="0" collapsed="false">
      <c r="A22449" s="0" t="n">
        <f aca="false">INDEX(_xlfn.ORG.LIBREOFFICE.FOURIER({1;2;3;4},TRUE()),2,2)</f>
        <v>2</v>
      </c>
      <c r="B22449" s="0" t="s">
        <v>22274</v>
      </c>
    </row>
    <row r="22450" customFormat="false" ht="15" hidden="false" customHeight="false" outlineLevel="0" collapsed="false">
      <c r="A22450" s="0" t="n">
        <f aca="false">INDEX(_xlfn.ORG.LIBREOFFICE.FOURIER({1;2;3;4},TRUE()),3,2)</f>
        <v>0</v>
      </c>
      <c r="B22450" s="0" t="s">
        <v>22275</v>
      </c>
    </row>
    <row r="22451" customFormat="false" ht="15" hidden="false" customHeight="false" outlineLevel="0" collapsed="false">
      <c r="A22451" s="0" t="n">
        <f aca="false">INDEX(_xlfn.ORG.LIBREOFFICE.FOURIER({1;2;3;4},TRUE()),ROWS(_xlfn.ORG.LIBREOFFICE.FOURIER({1;2;3;4},TRUE())),1)</f>
        <v>-2</v>
      </c>
      <c r="B22451" s="0" t="s">
        <v>22276</v>
      </c>
    </row>
    <row r="22452" customFormat="false" ht="15" hidden="false" customHeight="false" outlineLevel="0" collapsed="false">
      <c r="A22452" s="0" t="n">
        <f aca="false">INDEX(_xlfn.ORG.LIBREOFFICE.FOURIER({1;2;3;4},TRUE()),ROWS(_xlfn.ORG.LIBREOFFICE.FOURIER({1;2;3;4},TRUE())),2)</f>
        <v>-2</v>
      </c>
      <c r="B22452" s="0" t="s">
        <v>22277</v>
      </c>
    </row>
    <row r="22453" customFormat="false" ht="15" hidden="false" customHeight="false" outlineLevel="0" collapsed="false">
      <c r="A22453" s="0" t="n">
        <f aca="false">SUM(_xlfn.ORG.LIBREOFFICE.FOURIER({1;2;3;4},TRUE(),TRUE()))</f>
        <v>1</v>
      </c>
      <c r="B22453" s="0" t="s">
        <v>22278</v>
      </c>
    </row>
    <row r="22454" customFormat="false" ht="15" hidden="false" customHeight="false" outlineLevel="0" collapsed="false">
      <c r="A22454" s="0" t="n">
        <f aca="false">INDEX(_xlfn.ORG.LIBREOFFICE.FOURIER({1;2;3;4},TRUE(),TRUE()),1,1)</f>
        <v>2.5</v>
      </c>
      <c r="B22454" s="0" t="s">
        <v>22279</v>
      </c>
    </row>
    <row r="22455" customFormat="false" ht="15" hidden="false" customHeight="false" outlineLevel="0" collapsed="false">
      <c r="A22455" s="0" t="n">
        <f aca="false">INDEX(_xlfn.ORG.LIBREOFFICE.FOURIER({1;2;3;4},TRUE(),TRUE()),2,1)</f>
        <v>-0.5</v>
      </c>
      <c r="B22455" s="0" t="s">
        <v>22280</v>
      </c>
    </row>
    <row r="22456" customFormat="false" ht="15" hidden="false" customHeight="false" outlineLevel="0" collapsed="false">
      <c r="A22456" s="0" t="n">
        <f aca="false">INDEX(_xlfn.ORG.LIBREOFFICE.FOURIER({1;2;3;4},TRUE(),TRUE()),2,2)</f>
        <v>-0.5</v>
      </c>
      <c r="B22456" s="0" t="s">
        <v>22281</v>
      </c>
    </row>
    <row r="22457" customFormat="false" ht="15" hidden="false" customHeight="false" outlineLevel="0" collapsed="false">
      <c r="A22457" s="0" t="n">
        <f aca="false">INDEX(_xlfn.ORG.LIBREOFFICE.FOURIER({1;2;3;4},TRUE(),TRUE()),3,2)</f>
        <v>0</v>
      </c>
      <c r="B22457" s="0" t="s">
        <v>22282</v>
      </c>
    </row>
    <row r="22458" customFormat="false" ht="15" hidden="false" customHeight="false" outlineLevel="0" collapsed="false">
      <c r="A22458" s="0" t="n">
        <f aca="false">INDEX(_xlfn.ORG.LIBREOFFICE.FOURIER({1;2;3;4},TRUE(),TRUE()),ROWS(_xlfn.ORG.LIBREOFFICE.FOURIER({1;2;3;4},TRUE(),TRUE())),1)</f>
        <v>-0.5</v>
      </c>
      <c r="B22458" s="0" t="s">
        <v>22283</v>
      </c>
    </row>
    <row r="22459" customFormat="false" ht="15" hidden="false" customHeight="false" outlineLevel="0" collapsed="false">
      <c r="A22459" s="0" t="n">
        <f aca="false">INDEX(_xlfn.ORG.LIBREOFFICE.FOURIER({1;2;3;4},TRUE(),TRUE()),ROWS(_xlfn.ORG.LIBREOFFICE.FOURIER({1;2;3;4},TRUE(),TRUE())),2)</f>
        <v>0.5</v>
      </c>
      <c r="B22459" s="0" t="s">
        <v>22284</v>
      </c>
    </row>
    <row r="22460" customFormat="false" ht="15" hidden="false" customHeight="false" outlineLevel="0" collapsed="false">
      <c r="A22460" s="0" t="n">
        <f aca="false">SUM(_xlfn.ORG.LIBREOFFICE.FOURIER({1;2;3;4},TRUE(),FALSE(),TRUE()))</f>
        <v>20.7984469030822</v>
      </c>
      <c r="B22460" s="0" t="s">
        <v>22285</v>
      </c>
    </row>
    <row r="22461" customFormat="false" ht="15" hidden="false" customHeight="false" outlineLevel="0" collapsed="false">
      <c r="A22461" s="0" t="n">
        <f aca="false">INDEX(_xlfn.ORG.LIBREOFFICE.FOURIER({1;2;3;4},TRUE(),FALSE(),TRUE()),1,1)</f>
        <v>10</v>
      </c>
      <c r="B22461" s="0" t="s">
        <v>22286</v>
      </c>
    </row>
    <row r="22462" customFormat="false" ht="15" hidden="false" customHeight="false" outlineLevel="0" collapsed="false">
      <c r="A22462" s="0" t="n">
        <f aca="false">INDEX(_xlfn.ORG.LIBREOFFICE.FOURIER({1;2;3;4},TRUE(),FALSE(),TRUE()),2,1)</f>
        <v>2.82842712474619</v>
      </c>
      <c r="B22462" s="0" t="s">
        <v>22287</v>
      </c>
    </row>
    <row r="22463" customFormat="false" ht="15" hidden="false" customHeight="false" outlineLevel="0" collapsed="false">
      <c r="A22463" s="0" t="n">
        <f aca="false">INDEX(_xlfn.ORG.LIBREOFFICE.FOURIER({1;2;3;4},TRUE(),FALSE(),TRUE()),2,2)</f>
        <v>2.35619449019235</v>
      </c>
      <c r="B22463" s="0" t="s">
        <v>22288</v>
      </c>
    </row>
    <row r="22464" customFormat="false" ht="15" hidden="false" customHeight="false" outlineLevel="0" collapsed="false">
      <c r="A22464" s="0" t="n">
        <f aca="false">INDEX(_xlfn.ORG.LIBREOFFICE.FOURIER({1;2;3;4},TRUE(),FALSE(),TRUE()),3,2)</f>
        <v>3.14159265358979</v>
      </c>
      <c r="B22464" s="0" t="s">
        <v>22289</v>
      </c>
    </row>
    <row r="22465" customFormat="false" ht="15" hidden="false" customHeight="false" outlineLevel="0" collapsed="false">
      <c r="A22465" s="0" t="n">
        <f aca="false">INDEX(_xlfn.ORG.LIBREOFFICE.FOURIER({1;2;3;4},TRUE(),FALSE(),TRUE()),ROWS(_xlfn.ORG.LIBREOFFICE.FOURIER({1;2;3;4},TRUE(),FALSE(),TRUE())),1)</f>
        <v>2.82842712474619</v>
      </c>
      <c r="B22465" s="0" t="s">
        <v>22290</v>
      </c>
    </row>
    <row r="22466" customFormat="false" ht="15" hidden="false" customHeight="false" outlineLevel="0" collapsed="false">
      <c r="A22466" s="0" t="n">
        <f aca="false">INDEX(_xlfn.ORG.LIBREOFFICE.FOURIER({1;2;3;4},TRUE(),FALSE(),TRUE()),ROWS(_xlfn.ORG.LIBREOFFICE.FOURIER({1;2;3;4},TRUE(),FALSE(),TRUE())),2)</f>
        <v>-2.35619449019235</v>
      </c>
      <c r="B22466" s="0" t="s">
        <v>22291</v>
      </c>
    </row>
    <row r="22467" customFormat="false" ht="15" hidden="false" customHeight="false" outlineLevel="0" collapsed="false">
      <c r="A22467" s="0" t="n">
        <f aca="false">SUM(_xlfn.ORG.LIBREOFFICE.FOURIER({1;2;3;4},TRUE(),TRUE(),TRUE()))</f>
        <v>7.55580621596289</v>
      </c>
      <c r="B22467" s="0" t="s">
        <v>22292</v>
      </c>
    </row>
    <row r="22468" customFormat="false" ht="15" hidden="false" customHeight="false" outlineLevel="0" collapsed="false">
      <c r="A22468" s="0" t="n">
        <f aca="false">INDEX(_xlfn.ORG.LIBREOFFICE.FOURIER({1;2;3;4},TRUE(),TRUE(),TRUE()),1,1)</f>
        <v>2.5</v>
      </c>
      <c r="B22468" s="0" t="s">
        <v>22293</v>
      </c>
    </row>
    <row r="22469" customFormat="false" ht="15" hidden="false" customHeight="false" outlineLevel="0" collapsed="false">
      <c r="A22469" s="0" t="n">
        <f aca="false">INDEX(_xlfn.ORG.LIBREOFFICE.FOURIER({1;2;3;4},TRUE(),TRUE(),TRUE()),2,1)</f>
        <v>0.707106781186548</v>
      </c>
      <c r="B22469" s="0" t="s">
        <v>22294</v>
      </c>
    </row>
    <row r="22470" customFormat="false" ht="15" hidden="false" customHeight="false" outlineLevel="0" collapsed="false">
      <c r="A22470" s="0" t="n">
        <f aca="false">INDEX(_xlfn.ORG.LIBREOFFICE.FOURIER({1;2;3;4},TRUE(),TRUE(),TRUE()),2,2)</f>
        <v>-2.35619449019235</v>
      </c>
      <c r="B22470" s="0" t="s">
        <v>22295</v>
      </c>
    </row>
    <row r="22471" customFormat="false" ht="15" hidden="false" customHeight="false" outlineLevel="0" collapsed="false">
      <c r="A22471" s="0" t="n">
        <f aca="false">INDEX(_xlfn.ORG.LIBREOFFICE.FOURIER({1;2;3;4},TRUE(),TRUE(),TRUE()),3,2)</f>
        <v>3.14159265358979</v>
      </c>
      <c r="B22471" s="0" t="s">
        <v>22296</v>
      </c>
    </row>
    <row r="22472" customFormat="false" ht="15" hidden="false" customHeight="false" outlineLevel="0" collapsed="false">
      <c r="A22472" s="0" t="n">
        <f aca="false">INDEX(_xlfn.ORG.LIBREOFFICE.FOURIER({1;2;3;4},TRUE(),TRUE(),TRUE()),ROWS(_xlfn.ORG.LIBREOFFICE.FOURIER({1;2;3;4},TRUE(),TRUE(),TRUE())),1)</f>
        <v>0.707106781186548</v>
      </c>
      <c r="B22472" s="0" t="s">
        <v>22297</v>
      </c>
    </row>
    <row r="22473" customFormat="false" ht="15" hidden="false" customHeight="false" outlineLevel="0" collapsed="false">
      <c r="A22473" s="0" t="n">
        <f aca="false">INDEX(_xlfn.ORG.LIBREOFFICE.FOURIER({1;2;3;4},TRUE(),TRUE(),TRUE()),ROWS(_xlfn.ORG.LIBREOFFICE.FOURIER({1;2;3;4},TRUE(),TRUE(),TRUE())),2)</f>
        <v>2.35619449019235</v>
      </c>
      <c r="B22473" s="0" t="s">
        <v>22298</v>
      </c>
    </row>
    <row r="22474" customFormat="false" ht="15" hidden="false" customHeight="false" outlineLevel="0" collapsed="false">
      <c r="A22474" s="0" t="n">
        <f aca="false">SUM(_xlfn.ORG.LIBREOFFICE.FOURIER({1;2;3;4},TRUE(),FALSE(),TRUE(),1))</f>
        <v>20.7984469030822</v>
      </c>
      <c r="B22474" s="0" t="s">
        <v>22299</v>
      </c>
    </row>
    <row r="22475" customFormat="false" ht="15" hidden="false" customHeight="false" outlineLevel="0" collapsed="false">
      <c r="A22475" s="0" t="n">
        <f aca="false">INDEX(_xlfn.ORG.LIBREOFFICE.FOURIER({1;2;3;4},TRUE(),FALSE(),TRUE(),1),1,1)</f>
        <v>10</v>
      </c>
      <c r="B22475" s="0" t="s">
        <v>22300</v>
      </c>
    </row>
    <row r="22476" customFormat="false" ht="15" hidden="false" customHeight="false" outlineLevel="0" collapsed="false">
      <c r="A22476" s="0" t="n">
        <f aca="false">INDEX(_xlfn.ORG.LIBREOFFICE.FOURIER({1;2;3;4},TRUE(),FALSE(),TRUE(),1),2,1)</f>
        <v>2.82842712474619</v>
      </c>
      <c r="B22476" s="0" t="s">
        <v>22301</v>
      </c>
    </row>
    <row r="22477" customFormat="false" ht="15" hidden="false" customHeight="false" outlineLevel="0" collapsed="false">
      <c r="A22477" s="0" t="n">
        <f aca="false">INDEX(_xlfn.ORG.LIBREOFFICE.FOURIER({1;2;3;4},TRUE(),FALSE(),TRUE(),1),2,2)</f>
        <v>2.35619449019235</v>
      </c>
      <c r="B22477" s="0" t="s">
        <v>22302</v>
      </c>
    </row>
    <row r="22478" customFormat="false" ht="15" hidden="false" customHeight="false" outlineLevel="0" collapsed="false">
      <c r="A22478" s="0" t="n">
        <f aca="false">INDEX(_xlfn.ORG.LIBREOFFICE.FOURIER({1;2;3;4},TRUE(),FALSE(),TRUE(),1),3,2)</f>
        <v>3.14159265358979</v>
      </c>
      <c r="B22478" s="0" t="s">
        <v>22303</v>
      </c>
    </row>
    <row r="22479" customFormat="false" ht="15" hidden="false" customHeight="false" outlineLevel="0" collapsed="false">
      <c r="A22479" s="0" t="n">
        <f aca="false">INDEX(_xlfn.ORG.LIBREOFFICE.FOURIER({1;2;3;4},TRUE(),FALSE(),TRUE(),1),ROWS(_xlfn.ORG.LIBREOFFICE.FOURIER({1;2;3;4},TRUE(),FALSE(),TRUE(),1)),1)</f>
        <v>2.82842712474619</v>
      </c>
      <c r="B22479" s="0" t="s">
        <v>22304</v>
      </c>
    </row>
    <row r="22480" customFormat="false" ht="15" hidden="false" customHeight="false" outlineLevel="0" collapsed="false">
      <c r="A22480" s="0" t="n">
        <f aca="false">INDEX(_xlfn.ORG.LIBREOFFICE.FOURIER({1;2;3;4},TRUE(),FALSE(),TRUE(),1),ROWS(_xlfn.ORG.LIBREOFFICE.FOURIER({1;2;3;4},TRUE(),FALSE(),TRUE(),1)),2)</f>
        <v>-2.35619449019235</v>
      </c>
      <c r="B22480" s="0" t="s">
        <v>22305</v>
      </c>
    </row>
    <row r="22481" customFormat="false" ht="15" hidden="false" customHeight="false" outlineLevel="0" collapsed="false">
      <c r="A22481" s="0" t="n">
        <f aca="false">SUM(_xlfn.ORG.LIBREOFFICE.FOURIER({1;2;3;4},TRUE(),TRUE(),TRUE(),5))</f>
        <v>2.5</v>
      </c>
      <c r="B22481" s="0" t="s">
        <v>22306</v>
      </c>
    </row>
    <row r="22482" customFormat="false" ht="15" hidden="false" customHeight="false" outlineLevel="0" collapsed="false">
      <c r="A22482" s="0" t="n">
        <f aca="false">INDEX(_xlfn.ORG.LIBREOFFICE.FOURIER({1;2;3;4},TRUE(),TRUE(),TRUE(),5),1,1)</f>
        <v>2.5</v>
      </c>
      <c r="B22482" s="0" t="s">
        <v>22307</v>
      </c>
    </row>
    <row r="22483" customFormat="false" ht="15" hidden="false" customHeight="false" outlineLevel="0" collapsed="false">
      <c r="A22483" s="0" t="n">
        <f aca="false">INDEX(_xlfn.ORG.LIBREOFFICE.FOURIER({1;2;3;4},TRUE(),TRUE(),TRUE(),5),2,1)</f>
        <v>0</v>
      </c>
      <c r="B22483" s="0" t="s">
        <v>22308</v>
      </c>
    </row>
    <row r="22484" customFormat="false" ht="15" hidden="false" customHeight="false" outlineLevel="0" collapsed="false">
      <c r="A22484" s="0" t="n">
        <f aca="false">INDEX(_xlfn.ORG.LIBREOFFICE.FOURIER({1;2;3;4},TRUE(),TRUE(),TRUE(),5),2,2)</f>
        <v>0</v>
      </c>
      <c r="B22484" s="0" t="s">
        <v>22309</v>
      </c>
    </row>
    <row r="22485" customFormat="false" ht="15" hidden="false" customHeight="false" outlineLevel="0" collapsed="false">
      <c r="A22485" s="0" t="n">
        <f aca="false">INDEX(_xlfn.ORG.LIBREOFFICE.FOURIER({1;2;3;4},TRUE(),TRUE(),TRUE(),5),3,2)</f>
        <v>0</v>
      </c>
      <c r="B22485" s="0" t="s">
        <v>22310</v>
      </c>
    </row>
    <row r="22486" customFormat="false" ht="15" hidden="false" customHeight="false" outlineLevel="0" collapsed="false">
      <c r="A22486" s="0" t="n">
        <f aca="false">INDEX(_xlfn.ORG.LIBREOFFICE.FOURIER({1;2;3;4},TRUE(),TRUE(),TRUE(),5),ROWS(_xlfn.ORG.LIBREOFFICE.FOURIER({1;2;3;4},TRUE(),TRUE(),TRUE(),5)),1)</f>
        <v>0</v>
      </c>
      <c r="B22486" s="0" t="s">
        <v>22311</v>
      </c>
    </row>
    <row r="22487" customFormat="false" ht="15" hidden="false" customHeight="false" outlineLevel="0" collapsed="false">
      <c r="A22487" s="0" t="n">
        <f aca="false">INDEX(_xlfn.ORG.LIBREOFFICE.FOURIER({1;2;3;4},TRUE(),TRUE(),TRUE(),5),ROWS(_xlfn.ORG.LIBREOFFICE.FOURIER({1;2;3;4},TRUE(),TRUE(),TRUE(),5)),2)</f>
        <v>0</v>
      </c>
      <c r="B22487" s="0" t="s">
        <v>22312</v>
      </c>
    </row>
    <row r="22488" customFormat="false" ht="15" hidden="false" customHeight="false" outlineLevel="0" collapsed="false">
      <c r="A22488" s="0" t="n">
        <f aca="false">ROWS(_xlfn.ORG.LIBREOFFICE.FOURIER(TRANSPOSE({1;2;3;4}),FALSE()))</f>
        <v>4</v>
      </c>
      <c r="B22488" s="0" t="s">
        <v>22313</v>
      </c>
    </row>
    <row r="22489" customFormat="false" ht="15" hidden="false" customHeight="false" outlineLevel="0" collapsed="false">
      <c r="A22489" s="0" t="n">
        <f aca="false">COLUMNS(_xlfn.ORG.LIBREOFFICE.FOURIER(TRANSPOSE({1;2;3;4}),FALSE()))</f>
        <v>2</v>
      </c>
      <c r="B22489" s="0" t="s">
        <v>22314</v>
      </c>
    </row>
    <row r="22490" customFormat="false" ht="15" hidden="false" customHeight="false" outlineLevel="0" collapsed="false">
      <c r="A22490" s="0" t="n">
        <f aca="false">SUM(_xlfn.ORG.LIBREOFFICE.FOURIER(TRANSPOSE({1;2;3;4}),FALSE()))</f>
        <v>4</v>
      </c>
      <c r="B22490" s="0" t="s">
        <v>22315</v>
      </c>
    </row>
    <row r="22491" customFormat="false" ht="15" hidden="false" customHeight="false" outlineLevel="0" collapsed="false">
      <c r="A22491" s="0" t="n">
        <f aca="false">INDEX(_xlfn.ORG.LIBREOFFICE.FOURIER(TRANSPOSE({1;2;3;4}),FALSE()),1,1)</f>
        <v>10</v>
      </c>
      <c r="B22491" s="0" t="s">
        <v>22316</v>
      </c>
    </row>
    <row r="22492" customFormat="false" ht="15" hidden="false" customHeight="false" outlineLevel="0" collapsed="false">
      <c r="A22492" s="0" t="n">
        <f aca="false">INDEX(_xlfn.ORG.LIBREOFFICE.FOURIER(TRANSPOSE({1;2;3;4}),FALSE()),2,1)</f>
        <v>-2</v>
      </c>
      <c r="B22492" s="0" t="s">
        <v>22317</v>
      </c>
    </row>
    <row r="22493" customFormat="false" ht="15" hidden="false" customHeight="false" outlineLevel="0" collapsed="false">
      <c r="A22493" s="0" t="n">
        <f aca="false">INDEX(_xlfn.ORG.LIBREOFFICE.FOURIER(TRANSPOSE({1;2;3;4}),FALSE()),2,2)</f>
        <v>2</v>
      </c>
      <c r="B22493" s="0" t="s">
        <v>22318</v>
      </c>
    </row>
    <row r="22494" customFormat="false" ht="15" hidden="false" customHeight="false" outlineLevel="0" collapsed="false">
      <c r="A22494" s="0" t="n">
        <f aca="false">INDEX(_xlfn.ORG.LIBREOFFICE.FOURIER(TRANSPOSE({1;2;3;4}),FALSE()),3,2)</f>
        <v>0</v>
      </c>
      <c r="B22494" s="0" t="s">
        <v>22319</v>
      </c>
    </row>
    <row r="22495" customFormat="false" ht="15" hidden="false" customHeight="false" outlineLevel="0" collapsed="false">
      <c r="A22495" s="0" t="n">
        <f aca="false">INDEX(_xlfn.ORG.LIBREOFFICE.FOURIER(TRANSPOSE({1;2;3;4}),FALSE()),ROWS(_xlfn.ORG.LIBREOFFICE.FOURIER(TRANSPOSE({1;2;3;4}),FALSE())),1)</f>
        <v>-2</v>
      </c>
      <c r="B22495" s="0" t="s">
        <v>22320</v>
      </c>
    </row>
    <row r="22496" customFormat="false" ht="15" hidden="false" customHeight="false" outlineLevel="0" collapsed="false">
      <c r="A22496" s="0" t="n">
        <f aca="false">INDEX(_xlfn.ORG.LIBREOFFICE.FOURIER(TRANSPOSE({1;2;3;4}),FALSE()),ROWS(_xlfn.ORG.LIBREOFFICE.FOURIER(TRANSPOSE({1;2;3;4}),FALSE())),2)</f>
        <v>-2</v>
      </c>
      <c r="B22496" s="0" t="s">
        <v>22321</v>
      </c>
    </row>
    <row r="22497" customFormat="false" ht="15" hidden="false" customHeight="false" outlineLevel="0" collapsed="false">
      <c r="A22497" s="0" t="n">
        <f aca="false">SUM(_xlfn.ORG.LIBREOFFICE.FOURIER(TRANSPOSE({1;2;3;4}),FALSE(),TRUE()))</f>
        <v>1</v>
      </c>
      <c r="B22497" s="0" t="s">
        <v>22322</v>
      </c>
    </row>
    <row r="22498" customFormat="false" ht="15" hidden="false" customHeight="false" outlineLevel="0" collapsed="false">
      <c r="A22498" s="0" t="n">
        <f aca="false">INDEX(_xlfn.ORG.LIBREOFFICE.FOURIER(TRANSPOSE({1;2;3;4}),FALSE(),TRUE()),1,1)</f>
        <v>2.5</v>
      </c>
      <c r="B22498" s="0" t="s">
        <v>22323</v>
      </c>
    </row>
    <row r="22499" customFormat="false" ht="15" hidden="false" customHeight="false" outlineLevel="0" collapsed="false">
      <c r="A22499" s="0" t="n">
        <f aca="false">INDEX(_xlfn.ORG.LIBREOFFICE.FOURIER(TRANSPOSE({1;2;3;4}),FALSE(),TRUE()),2,1)</f>
        <v>-0.5</v>
      </c>
      <c r="B22499" s="0" t="s">
        <v>22324</v>
      </c>
    </row>
    <row r="22500" customFormat="false" ht="15" hidden="false" customHeight="false" outlineLevel="0" collapsed="false">
      <c r="A22500" s="0" t="n">
        <f aca="false">INDEX(_xlfn.ORG.LIBREOFFICE.FOURIER(TRANSPOSE({1;2;3;4}),FALSE(),TRUE()),2,2)</f>
        <v>-0.5</v>
      </c>
      <c r="B22500" s="0" t="s">
        <v>22325</v>
      </c>
    </row>
    <row r="22501" customFormat="false" ht="15" hidden="false" customHeight="false" outlineLevel="0" collapsed="false">
      <c r="A22501" s="0" t="n">
        <f aca="false">INDEX(_xlfn.ORG.LIBREOFFICE.FOURIER(TRANSPOSE({1;2;3;4}),FALSE(),TRUE()),3,2)</f>
        <v>0</v>
      </c>
      <c r="B22501" s="0" t="s">
        <v>22326</v>
      </c>
    </row>
    <row r="22502" customFormat="false" ht="15" hidden="false" customHeight="false" outlineLevel="0" collapsed="false">
      <c r="A22502" s="0" t="n">
        <f aca="false">INDEX(_xlfn.ORG.LIBREOFFICE.FOURIER(TRANSPOSE({1;2;3;4}),FALSE(),TRUE()),ROWS(_xlfn.ORG.LIBREOFFICE.FOURIER(TRANSPOSE({1;2;3;4}),FALSE(),TRUE())),1)</f>
        <v>-0.5</v>
      </c>
      <c r="B22502" s="0" t="s">
        <v>22327</v>
      </c>
    </row>
    <row r="22503" customFormat="false" ht="15" hidden="false" customHeight="false" outlineLevel="0" collapsed="false">
      <c r="A22503" s="0" t="n">
        <f aca="false">INDEX(_xlfn.ORG.LIBREOFFICE.FOURIER(TRANSPOSE({1;2;3;4}),FALSE(),TRUE()),ROWS(_xlfn.ORG.LIBREOFFICE.FOURIER(TRANSPOSE({1;2;3;4}),FALSE(),TRUE())),2)</f>
        <v>0.5</v>
      </c>
      <c r="B22503" s="0" t="s">
        <v>22328</v>
      </c>
    </row>
    <row r="22504" customFormat="false" ht="15" hidden="false" customHeight="false" outlineLevel="0" collapsed="false">
      <c r="A22504" s="0" t="n">
        <f aca="false">SUM(_xlfn.ORG.LIBREOFFICE.FOURIER(TRANSPOSE({1;2;3;4}),FALSE(),FALSE(),TRUE()))</f>
        <v>20.7984469030822</v>
      </c>
      <c r="B22504" s="0" t="s">
        <v>22329</v>
      </c>
    </row>
    <row r="22505" customFormat="false" ht="15" hidden="false" customHeight="false" outlineLevel="0" collapsed="false">
      <c r="A22505" s="0" t="n">
        <f aca="false">INDEX(_xlfn.ORG.LIBREOFFICE.FOURIER(TRANSPOSE({1;2;3;4}),FALSE(),FALSE(),TRUE()),1,1)</f>
        <v>10</v>
      </c>
      <c r="B22505" s="0" t="s">
        <v>22330</v>
      </c>
    </row>
    <row r="22506" customFormat="false" ht="15" hidden="false" customHeight="false" outlineLevel="0" collapsed="false">
      <c r="A22506" s="0" t="n">
        <f aca="false">INDEX(_xlfn.ORG.LIBREOFFICE.FOURIER(TRANSPOSE({1;2;3;4}),FALSE(),FALSE(),TRUE()),2,1)</f>
        <v>2.82842712474619</v>
      </c>
      <c r="B22506" s="0" t="s">
        <v>22331</v>
      </c>
    </row>
    <row r="22507" customFormat="false" ht="15" hidden="false" customHeight="false" outlineLevel="0" collapsed="false">
      <c r="A22507" s="0" t="n">
        <f aca="false">INDEX(_xlfn.ORG.LIBREOFFICE.FOURIER(TRANSPOSE({1;2;3;4}),FALSE(),FALSE(),TRUE()),2,2)</f>
        <v>2.35619449019235</v>
      </c>
      <c r="B22507" s="0" t="s">
        <v>22332</v>
      </c>
    </row>
    <row r="22508" customFormat="false" ht="15" hidden="false" customHeight="false" outlineLevel="0" collapsed="false">
      <c r="A22508" s="0" t="n">
        <f aca="false">INDEX(_xlfn.ORG.LIBREOFFICE.FOURIER(TRANSPOSE({1;2;3;4}),FALSE(),FALSE(),TRUE()),3,2)</f>
        <v>3.14159265358979</v>
      </c>
      <c r="B22508" s="0" t="s">
        <v>22333</v>
      </c>
    </row>
    <row r="22509" customFormat="false" ht="15" hidden="false" customHeight="false" outlineLevel="0" collapsed="false">
      <c r="A22509" s="0" t="n">
        <f aca="false">INDEX(_xlfn.ORG.LIBREOFFICE.FOURIER(TRANSPOSE({1;2;3;4}),FALSE(),FALSE(),TRUE()),ROWS(_xlfn.ORG.LIBREOFFICE.FOURIER(TRANSPOSE({1;2;3;4}),FALSE(),FALSE(),TRUE())),1)</f>
        <v>2.82842712474619</v>
      </c>
      <c r="B22509" s="0" t="s">
        <v>22334</v>
      </c>
    </row>
    <row r="22510" customFormat="false" ht="15" hidden="false" customHeight="false" outlineLevel="0" collapsed="false">
      <c r="A22510" s="0" t="n">
        <f aca="false">INDEX(_xlfn.ORG.LIBREOFFICE.FOURIER(TRANSPOSE({1;2;3;4}),FALSE(),FALSE(),TRUE()),ROWS(_xlfn.ORG.LIBREOFFICE.FOURIER(TRANSPOSE({1;2;3;4}),FALSE(),FALSE(),TRUE())),2)</f>
        <v>-2.35619449019235</v>
      </c>
      <c r="B22510" s="0" t="s">
        <v>22335</v>
      </c>
    </row>
    <row r="22511" customFormat="false" ht="15" hidden="false" customHeight="false" outlineLevel="0" collapsed="false">
      <c r="A22511" s="0" t="n">
        <f aca="false">SUM(_xlfn.ORG.LIBREOFFICE.FOURIER(TRANSPOSE({1;2;3;4}),FALSE(),TRUE(),TRUE()))</f>
        <v>7.55580621596289</v>
      </c>
      <c r="B22511" s="0" t="s">
        <v>22336</v>
      </c>
    </row>
    <row r="22512" customFormat="false" ht="15" hidden="false" customHeight="false" outlineLevel="0" collapsed="false">
      <c r="A22512" s="0" t="n">
        <f aca="false">INDEX(_xlfn.ORG.LIBREOFFICE.FOURIER(TRANSPOSE({1;2;3;4}),FALSE(),TRUE(),TRUE()),1,1)</f>
        <v>2.5</v>
      </c>
      <c r="B22512" s="0" t="s">
        <v>22337</v>
      </c>
    </row>
    <row r="22513" customFormat="false" ht="15" hidden="false" customHeight="false" outlineLevel="0" collapsed="false">
      <c r="A22513" s="0" t="n">
        <f aca="false">INDEX(_xlfn.ORG.LIBREOFFICE.FOURIER(TRANSPOSE({1;2;3;4}),FALSE(),TRUE(),TRUE()),2,1)</f>
        <v>0.707106781186548</v>
      </c>
      <c r="B22513" s="0" t="s">
        <v>22338</v>
      </c>
    </row>
    <row r="22514" customFormat="false" ht="15" hidden="false" customHeight="false" outlineLevel="0" collapsed="false">
      <c r="A22514" s="0" t="n">
        <f aca="false">INDEX(_xlfn.ORG.LIBREOFFICE.FOURIER(TRANSPOSE({1;2;3;4}),FALSE(),TRUE(),TRUE()),2,2)</f>
        <v>-2.35619449019235</v>
      </c>
      <c r="B22514" s="0" t="s">
        <v>22339</v>
      </c>
    </row>
    <row r="22515" customFormat="false" ht="15" hidden="false" customHeight="false" outlineLevel="0" collapsed="false">
      <c r="A22515" s="0" t="n">
        <f aca="false">INDEX(_xlfn.ORG.LIBREOFFICE.FOURIER(TRANSPOSE({1;2;3;4}),FALSE(),TRUE(),TRUE()),3,2)</f>
        <v>3.14159265358979</v>
      </c>
      <c r="B22515" s="0" t="s">
        <v>22340</v>
      </c>
    </row>
    <row r="22516" customFormat="false" ht="15" hidden="false" customHeight="false" outlineLevel="0" collapsed="false">
      <c r="A22516" s="0" t="n">
        <f aca="false">INDEX(_xlfn.ORG.LIBREOFFICE.FOURIER(TRANSPOSE({1;2;3;4}),FALSE(),TRUE(),TRUE()),ROWS(_xlfn.ORG.LIBREOFFICE.FOURIER(TRANSPOSE({1;2;3;4}),FALSE(),TRUE(),TRUE())),1)</f>
        <v>0.707106781186548</v>
      </c>
      <c r="B22516" s="0" t="s">
        <v>22341</v>
      </c>
    </row>
    <row r="22517" customFormat="false" ht="15" hidden="false" customHeight="false" outlineLevel="0" collapsed="false">
      <c r="A22517" s="0" t="n">
        <f aca="false">INDEX(_xlfn.ORG.LIBREOFFICE.FOURIER(TRANSPOSE({1;2;3;4}),FALSE(),TRUE(),TRUE()),ROWS(_xlfn.ORG.LIBREOFFICE.FOURIER(TRANSPOSE({1;2;3;4}),FALSE(),TRUE(),TRUE())),2)</f>
        <v>2.35619449019235</v>
      </c>
      <c r="B22517" s="0" t="s">
        <v>22342</v>
      </c>
    </row>
    <row r="22518" customFormat="false" ht="15" hidden="false" customHeight="false" outlineLevel="0" collapsed="false">
      <c r="A22518" s="0" t="n">
        <f aca="false">SUM(_xlfn.ORG.LIBREOFFICE.FOURIER(TRANSPOSE({1;2;3;4}),FALSE(),FALSE(),TRUE(),1))</f>
        <v>20.7984469030822</v>
      </c>
      <c r="B22518" s="0" t="s">
        <v>22343</v>
      </c>
    </row>
    <row r="22519" customFormat="false" ht="15" hidden="false" customHeight="false" outlineLevel="0" collapsed="false">
      <c r="A22519" s="0" t="n">
        <f aca="false">INDEX(_xlfn.ORG.LIBREOFFICE.FOURIER(TRANSPOSE({1;2;3;4}),FALSE(),FALSE(),TRUE(),1),1,1)</f>
        <v>10</v>
      </c>
      <c r="B22519" s="0" t="s">
        <v>22344</v>
      </c>
    </row>
    <row r="22520" customFormat="false" ht="15" hidden="false" customHeight="false" outlineLevel="0" collapsed="false">
      <c r="A22520" s="0" t="n">
        <f aca="false">INDEX(_xlfn.ORG.LIBREOFFICE.FOURIER(TRANSPOSE({1;2;3;4}),FALSE(),FALSE(),TRUE(),1),2,1)</f>
        <v>2.82842712474619</v>
      </c>
      <c r="B22520" s="0" t="s">
        <v>22345</v>
      </c>
    </row>
    <row r="22521" customFormat="false" ht="15" hidden="false" customHeight="false" outlineLevel="0" collapsed="false">
      <c r="A22521" s="0" t="n">
        <f aca="false">INDEX(_xlfn.ORG.LIBREOFFICE.FOURIER(TRANSPOSE({1;2;3;4}),FALSE(),FALSE(),TRUE(),1),2,2)</f>
        <v>2.35619449019235</v>
      </c>
      <c r="B22521" s="0" t="s">
        <v>22346</v>
      </c>
    </row>
    <row r="22522" customFormat="false" ht="15" hidden="false" customHeight="false" outlineLevel="0" collapsed="false">
      <c r="A22522" s="0" t="n">
        <f aca="false">INDEX(_xlfn.ORG.LIBREOFFICE.FOURIER(TRANSPOSE({1;2;3;4}),FALSE(),FALSE(),TRUE(),1),3,2)</f>
        <v>3.14159265358979</v>
      </c>
      <c r="B22522" s="0" t="s">
        <v>22347</v>
      </c>
    </row>
    <row r="22523" customFormat="false" ht="15" hidden="false" customHeight="false" outlineLevel="0" collapsed="false">
      <c r="A22523" s="0" t="n">
        <f aca="false">INDEX(_xlfn.ORG.LIBREOFFICE.FOURIER(TRANSPOSE({1;2;3;4}),FALSE(),FALSE(),TRUE(),1),ROWS(_xlfn.ORG.LIBREOFFICE.FOURIER(TRANSPOSE({1;2;3;4}),FALSE(),FALSE(),TRUE(),1)),1)</f>
        <v>2.82842712474619</v>
      </c>
      <c r="B22523" s="0" t="s">
        <v>22348</v>
      </c>
    </row>
    <row r="22524" customFormat="false" ht="15" hidden="false" customHeight="false" outlineLevel="0" collapsed="false">
      <c r="A22524" s="0" t="n">
        <f aca="false">INDEX(_xlfn.ORG.LIBREOFFICE.FOURIER(TRANSPOSE({1;2;3;4}),FALSE(),FALSE(),TRUE(),1),ROWS(_xlfn.ORG.LIBREOFFICE.FOURIER(TRANSPOSE({1;2;3;4}),FALSE(),FALSE(),TRUE(),1)),2)</f>
        <v>-2.35619449019235</v>
      </c>
      <c r="B22524" s="0" t="s">
        <v>22349</v>
      </c>
    </row>
    <row r="22525" customFormat="false" ht="15" hidden="false" customHeight="false" outlineLevel="0" collapsed="false">
      <c r="A22525" s="0" t="n">
        <f aca="false">SUM(_xlfn.ORG.LIBREOFFICE.FOURIER(TRANSPOSE({1;2;3;4}),FALSE(),TRUE(),TRUE(),5))</f>
        <v>2.5</v>
      </c>
      <c r="B22525" s="0" t="s">
        <v>22350</v>
      </c>
    </row>
    <row r="22526" customFormat="false" ht="15" hidden="false" customHeight="false" outlineLevel="0" collapsed="false">
      <c r="A22526" s="0" t="n">
        <f aca="false">INDEX(_xlfn.ORG.LIBREOFFICE.FOURIER(TRANSPOSE({1;2;3;4}),FALSE(),TRUE(),TRUE(),5),1,1)</f>
        <v>2.5</v>
      </c>
      <c r="B22526" s="0" t="s">
        <v>22351</v>
      </c>
    </row>
    <row r="22527" customFormat="false" ht="15" hidden="false" customHeight="false" outlineLevel="0" collapsed="false">
      <c r="A22527" s="0" t="n">
        <f aca="false">INDEX(_xlfn.ORG.LIBREOFFICE.FOURIER(TRANSPOSE({1;2;3;4}),FALSE(),TRUE(),TRUE(),5),2,1)</f>
        <v>0</v>
      </c>
      <c r="B22527" s="0" t="s">
        <v>22352</v>
      </c>
    </row>
    <row r="22528" customFormat="false" ht="15" hidden="false" customHeight="false" outlineLevel="0" collapsed="false">
      <c r="A22528" s="0" t="n">
        <f aca="false">INDEX(_xlfn.ORG.LIBREOFFICE.FOURIER(TRANSPOSE({1;2;3;4}),FALSE(),TRUE(),TRUE(),5),2,2)</f>
        <v>0</v>
      </c>
      <c r="B22528" s="0" t="s">
        <v>22353</v>
      </c>
    </row>
    <row r="22529" customFormat="false" ht="15" hidden="false" customHeight="false" outlineLevel="0" collapsed="false">
      <c r="A22529" s="0" t="n">
        <f aca="false">INDEX(_xlfn.ORG.LIBREOFFICE.FOURIER(TRANSPOSE({1;2;3;4}),FALSE(),TRUE(),TRUE(),5),3,2)</f>
        <v>0</v>
      </c>
      <c r="B22529" s="0" t="s">
        <v>22354</v>
      </c>
    </row>
    <row r="22530" customFormat="false" ht="15" hidden="false" customHeight="false" outlineLevel="0" collapsed="false">
      <c r="A22530" s="0" t="n">
        <f aca="false">INDEX(_xlfn.ORG.LIBREOFFICE.FOURIER(TRANSPOSE({1;2;3;4}),FALSE(),TRUE(),TRUE(),5),ROWS(_xlfn.ORG.LIBREOFFICE.FOURIER(TRANSPOSE({1;2;3;4}),FALSE(),TRUE(),TRUE(),5)),1)</f>
        <v>0</v>
      </c>
      <c r="B22530" s="0" t="s">
        <v>22355</v>
      </c>
    </row>
    <row r="22531" customFormat="false" ht="15" hidden="false" customHeight="false" outlineLevel="0" collapsed="false">
      <c r="A22531" s="0" t="n">
        <f aca="false">INDEX(_xlfn.ORG.LIBREOFFICE.FOURIER(TRANSPOSE({1;2;3;4}),FALSE(),TRUE(),TRUE(),5),ROWS(_xlfn.ORG.LIBREOFFICE.FOURIER(TRANSPOSE({1;2;3;4}),FALSE(),TRUE(),TRUE(),5)),2)</f>
        <v>0</v>
      </c>
      <c r="B22531" s="0" t="s">
        <v>22356</v>
      </c>
    </row>
    <row r="22532" customFormat="false" ht="15" hidden="false" customHeight="false" outlineLevel="0" collapsed="false">
      <c r="A22532" s="0" t="n">
        <f aca="false">ROWS(_xlfn.ORG.LIBREOFFICE.FOURIER({1;2;3},TRUE()))</f>
        <v>3</v>
      </c>
      <c r="B22532" s="0" t="s">
        <v>22357</v>
      </c>
    </row>
    <row r="22533" customFormat="false" ht="15" hidden="false" customHeight="false" outlineLevel="0" collapsed="false">
      <c r="A22533" s="0" t="n">
        <f aca="false">COLUMNS(_xlfn.ORG.LIBREOFFICE.FOURIER({1;2;3},TRUE()))</f>
        <v>2</v>
      </c>
      <c r="B22533" s="0" t="s">
        <v>22358</v>
      </c>
    </row>
    <row r="22534" customFormat="false" ht="15" hidden="false" customHeight="false" outlineLevel="0" collapsed="false">
      <c r="A22534" s="0" t="n">
        <f aca="false">SUM(_xlfn.ORG.LIBREOFFICE.FOURIER({1;2;3},TRUE()))</f>
        <v>3</v>
      </c>
      <c r="B22534" s="0" t="s">
        <v>22359</v>
      </c>
    </row>
    <row r="22535" customFormat="false" ht="15" hidden="false" customHeight="false" outlineLevel="0" collapsed="false">
      <c r="A22535" s="0" t="n">
        <f aca="false">INDEX(_xlfn.ORG.LIBREOFFICE.FOURIER({1;2;3},TRUE()),1,1)</f>
        <v>6</v>
      </c>
      <c r="B22535" s="0" t="s">
        <v>22360</v>
      </c>
    </row>
    <row r="22536" customFormat="false" ht="15" hidden="false" customHeight="false" outlineLevel="0" collapsed="false">
      <c r="A22536" s="0" t="n">
        <f aca="false">INDEX(_xlfn.ORG.LIBREOFFICE.FOURIER({1;2;3},TRUE()),2,1)</f>
        <v>-1.5</v>
      </c>
      <c r="B22536" s="0" t="s">
        <v>22361</v>
      </c>
    </row>
    <row r="22537" customFormat="false" ht="15" hidden="false" customHeight="false" outlineLevel="0" collapsed="false">
      <c r="A22537" s="0" t="n">
        <f aca="false">INDEX(_xlfn.ORG.LIBREOFFICE.FOURIER({1;2;3},TRUE()),2,2)</f>
        <v>0.866025403784438</v>
      </c>
      <c r="B22537" s="0" t="s">
        <v>22362</v>
      </c>
    </row>
    <row r="22538" customFormat="false" ht="15" hidden="false" customHeight="false" outlineLevel="0" collapsed="false">
      <c r="A22538" s="0" t="n">
        <f aca="false">INDEX(_xlfn.ORG.LIBREOFFICE.FOURIER({1;2;3},TRUE()),3,2)</f>
        <v>-0.86602540378444</v>
      </c>
      <c r="B22538" s="0" t="s">
        <v>22363</v>
      </c>
    </row>
    <row r="22539" customFormat="false" ht="15" hidden="false" customHeight="false" outlineLevel="0" collapsed="false">
      <c r="A22539" s="0" t="n">
        <f aca="false">INDEX(_xlfn.ORG.LIBREOFFICE.FOURIER({1;2;3},TRUE()),ROWS(_xlfn.ORG.LIBREOFFICE.FOURIER({1;2;3},TRUE())),1)</f>
        <v>-1.5</v>
      </c>
      <c r="B22539" s="0" t="s">
        <v>22364</v>
      </c>
    </row>
    <row r="22540" customFormat="false" ht="15" hidden="false" customHeight="false" outlineLevel="0" collapsed="false">
      <c r="A22540" s="0" t="n">
        <f aca="false">INDEX(_xlfn.ORG.LIBREOFFICE.FOURIER({1;2;3},TRUE()),ROWS(_xlfn.ORG.LIBREOFFICE.FOURIER({1;2;3},TRUE())),2)</f>
        <v>-0.86602540378444</v>
      </c>
      <c r="B22540" s="0" t="s">
        <v>22365</v>
      </c>
    </row>
    <row r="22541" customFormat="false" ht="15" hidden="false" customHeight="false" outlineLevel="0" collapsed="false">
      <c r="A22541" s="0" t="n">
        <f aca="false">SUM(_xlfn.ORG.LIBREOFFICE.FOURIER({1;2;3},TRUE(),TRUE()))</f>
        <v>1</v>
      </c>
      <c r="B22541" s="0" t="s">
        <v>22366</v>
      </c>
    </row>
    <row r="22542" customFormat="false" ht="15" hidden="false" customHeight="false" outlineLevel="0" collapsed="false">
      <c r="A22542" s="0" t="n">
        <f aca="false">INDEX(_xlfn.ORG.LIBREOFFICE.FOURIER({1;2;3},TRUE(),TRUE()),1,1)</f>
        <v>2</v>
      </c>
      <c r="B22542" s="0" t="s">
        <v>22367</v>
      </c>
    </row>
    <row r="22543" customFormat="false" ht="15" hidden="false" customHeight="false" outlineLevel="0" collapsed="false">
      <c r="A22543" s="0" t="n">
        <f aca="false">INDEX(_xlfn.ORG.LIBREOFFICE.FOURIER({1;2;3},TRUE(),TRUE()),2,1)</f>
        <v>-0.5</v>
      </c>
      <c r="B22543" s="0" t="s">
        <v>22368</v>
      </c>
    </row>
    <row r="22544" customFormat="false" ht="15" hidden="false" customHeight="false" outlineLevel="0" collapsed="false">
      <c r="A22544" s="0" t="n">
        <f aca="false">INDEX(_xlfn.ORG.LIBREOFFICE.FOURIER({1;2;3},TRUE(),TRUE()),2,2)</f>
        <v>-0.288675134594813</v>
      </c>
      <c r="B22544" s="0" t="s">
        <v>22369</v>
      </c>
    </row>
    <row r="22545" customFormat="false" ht="15" hidden="false" customHeight="false" outlineLevel="0" collapsed="false">
      <c r="A22545" s="0" t="n">
        <f aca="false">INDEX(_xlfn.ORG.LIBREOFFICE.FOURIER({1;2;3},TRUE(),TRUE()),3,2)</f>
        <v>0.288675134594813</v>
      </c>
      <c r="B22545" s="0" t="s">
        <v>22370</v>
      </c>
    </row>
    <row r="22546" customFormat="false" ht="15" hidden="false" customHeight="false" outlineLevel="0" collapsed="false">
      <c r="A22546" s="0" t="n">
        <f aca="false">INDEX(_xlfn.ORG.LIBREOFFICE.FOURIER({1;2;3},TRUE(),TRUE()),ROWS(_xlfn.ORG.LIBREOFFICE.FOURIER({1;2;3},TRUE(),TRUE())),1)</f>
        <v>-0.499999999999999</v>
      </c>
      <c r="B22546" s="0" t="s">
        <v>22371</v>
      </c>
    </row>
    <row r="22547" customFormat="false" ht="15" hidden="false" customHeight="false" outlineLevel="0" collapsed="false">
      <c r="A22547" s="0" t="n">
        <f aca="false">INDEX(_xlfn.ORG.LIBREOFFICE.FOURIER({1;2;3},TRUE(),TRUE()),ROWS(_xlfn.ORG.LIBREOFFICE.FOURIER({1;2;3},TRUE(),TRUE())),2)</f>
        <v>0.288675134594813</v>
      </c>
      <c r="B22547" s="0" t="s">
        <v>22372</v>
      </c>
    </row>
    <row r="22548" customFormat="false" ht="15" hidden="false" customHeight="false" outlineLevel="0" collapsed="false">
      <c r="A22548" s="0" t="n">
        <f aca="false">SUM(_xlfn.ORG.LIBREOFFICE.FOURIER({1;2;3},TRUE(),FALSE(),TRUE()))</f>
        <v>9.46410161513776</v>
      </c>
      <c r="B22548" s="0" t="s">
        <v>22373</v>
      </c>
    </row>
    <row r="22549" customFormat="false" ht="15" hidden="false" customHeight="false" outlineLevel="0" collapsed="false">
      <c r="A22549" s="0" t="n">
        <f aca="false">INDEX(_xlfn.ORG.LIBREOFFICE.FOURIER({1;2;3},TRUE(),FALSE(),TRUE()),1,1)</f>
        <v>6</v>
      </c>
      <c r="B22549" s="0" t="s">
        <v>22374</v>
      </c>
    </row>
    <row r="22550" customFormat="false" ht="15" hidden="false" customHeight="false" outlineLevel="0" collapsed="false">
      <c r="A22550" s="0" t="n">
        <f aca="false">INDEX(_xlfn.ORG.LIBREOFFICE.FOURIER({1;2;3},TRUE(),FALSE(),TRUE()),2,1)</f>
        <v>1.73205080756888</v>
      </c>
      <c r="B22550" s="0" t="s">
        <v>22375</v>
      </c>
    </row>
    <row r="22551" customFormat="false" ht="15" hidden="false" customHeight="false" outlineLevel="0" collapsed="false">
      <c r="A22551" s="0" t="n">
        <f aca="false">INDEX(_xlfn.ORG.LIBREOFFICE.FOURIER({1;2;3},TRUE(),FALSE(),TRUE()),2,2)</f>
        <v>2.6179938779915</v>
      </c>
      <c r="B22551" s="0" t="s">
        <v>22376</v>
      </c>
    </row>
    <row r="22552" customFormat="false" ht="15" hidden="false" customHeight="false" outlineLevel="0" collapsed="false">
      <c r="A22552" s="0" t="n">
        <f aca="false">INDEX(_xlfn.ORG.LIBREOFFICE.FOURIER({1;2;3},TRUE(),FALSE(),TRUE()),3,2)</f>
        <v>-2.61799387799149</v>
      </c>
      <c r="B22552" s="0" t="s">
        <v>22377</v>
      </c>
    </row>
    <row r="22553" customFormat="false" ht="15" hidden="false" customHeight="false" outlineLevel="0" collapsed="false">
      <c r="A22553" s="0" t="n">
        <f aca="false">INDEX(_xlfn.ORG.LIBREOFFICE.FOURIER({1;2;3},TRUE(),FALSE(),TRUE()),ROWS(_xlfn.ORG.LIBREOFFICE.FOURIER({1;2;3},TRUE(),FALSE(),TRUE())),1)</f>
        <v>1.73205080756888</v>
      </c>
      <c r="B22553" s="0" t="s">
        <v>22378</v>
      </c>
    </row>
    <row r="22554" customFormat="false" ht="15" hidden="false" customHeight="false" outlineLevel="0" collapsed="false">
      <c r="A22554" s="0" t="n">
        <f aca="false">INDEX(_xlfn.ORG.LIBREOFFICE.FOURIER({1;2;3},TRUE(),FALSE(),TRUE()),ROWS(_xlfn.ORG.LIBREOFFICE.FOURIER({1;2;3},TRUE(),FALSE(),TRUE())),2)</f>
        <v>-2.61799387799149</v>
      </c>
      <c r="B22554" s="0" t="s">
        <v>22379</v>
      </c>
    </row>
    <row r="22555" customFormat="false" ht="15" hidden="false" customHeight="false" outlineLevel="0" collapsed="false">
      <c r="A22555" s="0" t="n">
        <f aca="false">SUM(_xlfn.ORG.LIBREOFFICE.FOURIER({1;2;3},TRUE(),TRUE(),TRUE()))</f>
        <v>3.15470053837925</v>
      </c>
      <c r="B22555" s="0" t="s">
        <v>22380</v>
      </c>
    </row>
    <row r="22556" customFormat="false" ht="15" hidden="false" customHeight="false" outlineLevel="0" collapsed="false">
      <c r="A22556" s="0" t="n">
        <f aca="false">INDEX(_xlfn.ORG.LIBREOFFICE.FOURIER({1;2;3},TRUE(),TRUE(),TRUE()),1,1)</f>
        <v>2</v>
      </c>
      <c r="B22556" s="0" t="s">
        <v>22381</v>
      </c>
    </row>
    <row r="22557" customFormat="false" ht="15" hidden="false" customHeight="false" outlineLevel="0" collapsed="false">
      <c r="A22557" s="0" t="n">
        <f aca="false">INDEX(_xlfn.ORG.LIBREOFFICE.FOURIER({1;2;3},TRUE(),TRUE(),TRUE()),2,1)</f>
        <v>0.577350269189626</v>
      </c>
      <c r="B22557" s="0" t="s">
        <v>22382</v>
      </c>
    </row>
    <row r="22558" customFormat="false" ht="15" hidden="false" customHeight="false" outlineLevel="0" collapsed="false">
      <c r="A22558" s="0" t="n">
        <f aca="false">INDEX(_xlfn.ORG.LIBREOFFICE.FOURIER({1;2;3},TRUE(),TRUE(),TRUE()),2,2)</f>
        <v>-2.6179938779915</v>
      </c>
      <c r="B22558" s="0" t="s">
        <v>22383</v>
      </c>
    </row>
    <row r="22559" customFormat="false" ht="15" hidden="false" customHeight="false" outlineLevel="0" collapsed="false">
      <c r="A22559" s="0" t="n">
        <f aca="false">INDEX(_xlfn.ORG.LIBREOFFICE.FOURIER({1;2;3},TRUE(),TRUE(),TRUE()),3,2)</f>
        <v>2.61799387799149</v>
      </c>
      <c r="B22559" s="0" t="s">
        <v>22384</v>
      </c>
    </row>
    <row r="22560" customFormat="false" ht="15" hidden="false" customHeight="false" outlineLevel="0" collapsed="false">
      <c r="A22560" s="0" t="n">
        <f aca="false">INDEX(_xlfn.ORG.LIBREOFFICE.FOURIER({1;2;3},TRUE(),TRUE(),TRUE()),ROWS(_xlfn.ORG.LIBREOFFICE.FOURIER({1;2;3},TRUE(),TRUE(),TRUE())),1)</f>
        <v>0.577350269189626</v>
      </c>
      <c r="B22560" s="0" t="s">
        <v>22385</v>
      </c>
    </row>
    <row r="22561" customFormat="false" ht="15" hidden="false" customHeight="false" outlineLevel="0" collapsed="false">
      <c r="A22561" s="0" t="n">
        <f aca="false">INDEX(_xlfn.ORG.LIBREOFFICE.FOURIER({1;2;3},TRUE(),TRUE(),TRUE()),ROWS(_xlfn.ORG.LIBREOFFICE.FOURIER({1;2;3},TRUE(),TRUE(),TRUE())),2)</f>
        <v>2.61799387799149</v>
      </c>
      <c r="B22561" s="0" t="s">
        <v>22386</v>
      </c>
    </row>
    <row r="22562" customFormat="false" ht="15" hidden="false" customHeight="false" outlineLevel="0" collapsed="false">
      <c r="A22562" s="0" t="n">
        <f aca="false">SUM(_xlfn.ORG.LIBREOFFICE.FOURIER({1;2;3},TRUE(),FALSE(),TRUE(),1))</f>
        <v>9.46410161513776</v>
      </c>
      <c r="B22562" s="0" t="s">
        <v>22387</v>
      </c>
    </row>
    <row r="22563" customFormat="false" ht="15" hidden="false" customHeight="false" outlineLevel="0" collapsed="false">
      <c r="A22563" s="0" t="n">
        <f aca="false">INDEX(_xlfn.ORG.LIBREOFFICE.FOURIER({1;2;3},TRUE(),FALSE(),TRUE(),1),1,1)</f>
        <v>6</v>
      </c>
      <c r="B22563" s="0" t="s">
        <v>22388</v>
      </c>
    </row>
    <row r="22564" customFormat="false" ht="15" hidden="false" customHeight="false" outlineLevel="0" collapsed="false">
      <c r="A22564" s="0" t="n">
        <f aca="false">INDEX(_xlfn.ORG.LIBREOFFICE.FOURIER({1;2;3},TRUE(),FALSE(),TRUE(),1),2,1)</f>
        <v>1.73205080756888</v>
      </c>
      <c r="B22564" s="0" t="s">
        <v>22389</v>
      </c>
    </row>
    <row r="22565" customFormat="false" ht="15" hidden="false" customHeight="false" outlineLevel="0" collapsed="false">
      <c r="A22565" s="0" t="n">
        <f aca="false">INDEX(_xlfn.ORG.LIBREOFFICE.FOURIER({1;2;3},TRUE(),FALSE(),TRUE(),1),2,2)</f>
        <v>2.6179938779915</v>
      </c>
      <c r="B22565" s="0" t="s">
        <v>22390</v>
      </c>
    </row>
    <row r="22566" customFormat="false" ht="15" hidden="false" customHeight="false" outlineLevel="0" collapsed="false">
      <c r="A22566" s="0" t="n">
        <f aca="false">INDEX(_xlfn.ORG.LIBREOFFICE.FOURIER({1;2;3},TRUE(),FALSE(),TRUE(),1),3,2)</f>
        <v>-2.61799387799149</v>
      </c>
      <c r="B22566" s="0" t="s">
        <v>22391</v>
      </c>
    </row>
    <row r="22567" customFormat="false" ht="15" hidden="false" customHeight="false" outlineLevel="0" collapsed="false">
      <c r="A22567" s="0" t="n">
        <f aca="false">INDEX(_xlfn.ORG.LIBREOFFICE.FOURIER({1;2;3},TRUE(),FALSE(),TRUE(),1),ROWS(_xlfn.ORG.LIBREOFFICE.FOURIER({1;2;3},TRUE(),FALSE(),TRUE(),1)),1)</f>
        <v>1.73205080756888</v>
      </c>
      <c r="B22567" s="0" t="s">
        <v>22392</v>
      </c>
    </row>
    <row r="22568" customFormat="false" ht="15" hidden="false" customHeight="false" outlineLevel="0" collapsed="false">
      <c r="A22568" s="0" t="n">
        <f aca="false">INDEX(_xlfn.ORG.LIBREOFFICE.FOURIER({1;2;3},TRUE(),FALSE(),TRUE(),1),ROWS(_xlfn.ORG.LIBREOFFICE.FOURIER({1;2;3},TRUE(),FALSE(),TRUE(),1)),2)</f>
        <v>-2.61799387799149</v>
      </c>
      <c r="B22568" s="0" t="s">
        <v>22393</v>
      </c>
    </row>
    <row r="22569" customFormat="false" ht="15" hidden="false" customHeight="false" outlineLevel="0" collapsed="false">
      <c r="A22569" s="0" t="n">
        <f aca="false">SUM(_xlfn.ORG.LIBREOFFICE.FOURIER({1;2;3},TRUE(),TRUE(),TRUE(),5))</f>
        <v>2</v>
      </c>
      <c r="B22569" s="0" t="s">
        <v>22394</v>
      </c>
    </row>
    <row r="22570" customFormat="false" ht="15" hidden="false" customHeight="false" outlineLevel="0" collapsed="false">
      <c r="A22570" s="0" t="n">
        <f aca="false">INDEX(_xlfn.ORG.LIBREOFFICE.FOURIER({1;2;3},TRUE(),TRUE(),TRUE(),5),1,1)</f>
        <v>2</v>
      </c>
      <c r="B22570" s="0" t="s">
        <v>22395</v>
      </c>
    </row>
    <row r="22571" customFormat="false" ht="15" hidden="false" customHeight="false" outlineLevel="0" collapsed="false">
      <c r="A22571" s="0" t="n">
        <f aca="false">INDEX(_xlfn.ORG.LIBREOFFICE.FOURIER({1;2;3},TRUE(),TRUE(),TRUE(),5),2,1)</f>
        <v>0</v>
      </c>
      <c r="B22571" s="0" t="s">
        <v>22396</v>
      </c>
    </row>
    <row r="22572" customFormat="false" ht="15" hidden="false" customHeight="false" outlineLevel="0" collapsed="false">
      <c r="A22572" s="0" t="n">
        <f aca="false">INDEX(_xlfn.ORG.LIBREOFFICE.FOURIER({1;2;3},TRUE(),TRUE(),TRUE(),5),2,2)</f>
        <v>0</v>
      </c>
      <c r="B22572" s="0" t="s">
        <v>22397</v>
      </c>
    </row>
    <row r="22573" customFormat="false" ht="15" hidden="false" customHeight="false" outlineLevel="0" collapsed="false">
      <c r="A22573" s="0" t="n">
        <f aca="false">INDEX(_xlfn.ORG.LIBREOFFICE.FOURIER({1;2;3},TRUE(),TRUE(),TRUE(),5),3,2)</f>
        <v>0</v>
      </c>
      <c r="B22573" s="0" t="s">
        <v>22398</v>
      </c>
    </row>
    <row r="22574" customFormat="false" ht="15" hidden="false" customHeight="false" outlineLevel="0" collapsed="false">
      <c r="A22574" s="0" t="n">
        <f aca="false">INDEX(_xlfn.ORG.LIBREOFFICE.FOURIER({1;2;3},TRUE(),TRUE(),TRUE(),5),ROWS(_xlfn.ORG.LIBREOFFICE.FOURIER({1;2;3},TRUE(),TRUE(),TRUE(),5)),1)</f>
        <v>0</v>
      </c>
      <c r="B22574" s="0" t="s">
        <v>22399</v>
      </c>
    </row>
    <row r="22575" customFormat="false" ht="15" hidden="false" customHeight="false" outlineLevel="0" collapsed="false">
      <c r="A22575" s="0" t="n">
        <f aca="false">INDEX(_xlfn.ORG.LIBREOFFICE.FOURIER({1;2;3},TRUE(),TRUE(),TRUE(),5),ROWS(_xlfn.ORG.LIBREOFFICE.FOURIER({1;2;3},TRUE(),TRUE(),TRUE(),5)),2)</f>
        <v>0</v>
      </c>
      <c r="B22575" s="0" t="s">
        <v>22400</v>
      </c>
    </row>
    <row r="22576" customFormat="false" ht="15" hidden="false" customHeight="false" outlineLevel="0" collapsed="false">
      <c r="A22576" s="0" t="n">
        <f aca="false">ROWS(_xlfn.ORG.LIBREOFFICE.FOURIER(TRANSPOSE({1;2;3}),FALSE()))</f>
        <v>3</v>
      </c>
      <c r="B22576" s="0" t="s">
        <v>22401</v>
      </c>
    </row>
    <row r="22577" customFormat="false" ht="15" hidden="false" customHeight="false" outlineLevel="0" collapsed="false">
      <c r="A22577" s="0" t="n">
        <f aca="false">COLUMNS(_xlfn.ORG.LIBREOFFICE.FOURIER(TRANSPOSE({1;2;3}),FALSE()))</f>
        <v>2</v>
      </c>
      <c r="B22577" s="0" t="s">
        <v>22402</v>
      </c>
    </row>
    <row r="22578" customFormat="false" ht="15" hidden="false" customHeight="false" outlineLevel="0" collapsed="false">
      <c r="A22578" s="0" t="n">
        <f aca="false">SUM(_xlfn.ORG.LIBREOFFICE.FOURIER(TRANSPOSE({1;2;3}),FALSE()))</f>
        <v>3</v>
      </c>
      <c r="B22578" s="0" t="s">
        <v>22403</v>
      </c>
    </row>
    <row r="22579" customFormat="false" ht="15" hidden="false" customHeight="false" outlineLevel="0" collapsed="false">
      <c r="A22579" s="0" t="n">
        <f aca="false">INDEX(_xlfn.ORG.LIBREOFFICE.FOURIER(TRANSPOSE({1;2;3}),FALSE()),1,1)</f>
        <v>6</v>
      </c>
      <c r="B22579" s="0" t="s">
        <v>22404</v>
      </c>
    </row>
    <row r="22580" customFormat="false" ht="15" hidden="false" customHeight="false" outlineLevel="0" collapsed="false">
      <c r="A22580" s="0" t="n">
        <f aca="false">INDEX(_xlfn.ORG.LIBREOFFICE.FOURIER(TRANSPOSE({1;2;3}),FALSE()),2,1)</f>
        <v>-1.5</v>
      </c>
      <c r="B22580" s="0" t="s">
        <v>22405</v>
      </c>
    </row>
    <row r="22581" customFormat="false" ht="15" hidden="false" customHeight="false" outlineLevel="0" collapsed="false">
      <c r="A22581" s="0" t="n">
        <f aca="false">INDEX(_xlfn.ORG.LIBREOFFICE.FOURIER(TRANSPOSE({1;2;3}),FALSE()),2,2)</f>
        <v>0.866025403784438</v>
      </c>
      <c r="B22581" s="0" t="s">
        <v>22406</v>
      </c>
    </row>
    <row r="22582" customFormat="false" ht="15" hidden="false" customHeight="false" outlineLevel="0" collapsed="false">
      <c r="A22582" s="0" t="n">
        <f aca="false">INDEX(_xlfn.ORG.LIBREOFFICE.FOURIER(TRANSPOSE({1;2;3}),FALSE()),3,2)</f>
        <v>-0.86602540378444</v>
      </c>
      <c r="B22582" s="0" t="s">
        <v>22407</v>
      </c>
    </row>
    <row r="22583" customFormat="false" ht="15" hidden="false" customHeight="false" outlineLevel="0" collapsed="false">
      <c r="A22583" s="0" t="n">
        <f aca="false">INDEX(_xlfn.ORG.LIBREOFFICE.FOURIER(TRANSPOSE({1;2;3}),FALSE()),ROWS(_xlfn.ORG.LIBREOFFICE.FOURIER(TRANSPOSE({1;2;3}),FALSE())),1)</f>
        <v>-1.5</v>
      </c>
      <c r="B22583" s="0" t="s">
        <v>22408</v>
      </c>
    </row>
    <row r="22584" customFormat="false" ht="15" hidden="false" customHeight="false" outlineLevel="0" collapsed="false">
      <c r="A22584" s="0" t="n">
        <f aca="false">INDEX(_xlfn.ORG.LIBREOFFICE.FOURIER(TRANSPOSE({1;2;3}),FALSE()),ROWS(_xlfn.ORG.LIBREOFFICE.FOURIER(TRANSPOSE({1;2;3}),FALSE())),2)</f>
        <v>-0.86602540378444</v>
      </c>
      <c r="B22584" s="0" t="s">
        <v>22409</v>
      </c>
    </row>
    <row r="22585" customFormat="false" ht="15" hidden="false" customHeight="false" outlineLevel="0" collapsed="false">
      <c r="A22585" s="0" t="n">
        <f aca="false">SUM(_xlfn.ORG.LIBREOFFICE.FOURIER(TRANSPOSE({1;2;3}),FALSE(),TRUE()))</f>
        <v>1</v>
      </c>
      <c r="B22585" s="0" t="s">
        <v>22410</v>
      </c>
    </row>
    <row r="22586" customFormat="false" ht="15" hidden="false" customHeight="false" outlineLevel="0" collapsed="false">
      <c r="A22586" s="0" t="n">
        <f aca="false">INDEX(_xlfn.ORG.LIBREOFFICE.FOURIER(TRANSPOSE({1;2;3}),FALSE(),TRUE()),1,1)</f>
        <v>2</v>
      </c>
      <c r="B22586" s="0" t="s">
        <v>22411</v>
      </c>
    </row>
    <row r="22587" customFormat="false" ht="15" hidden="false" customHeight="false" outlineLevel="0" collapsed="false">
      <c r="A22587" s="0" t="n">
        <f aca="false">INDEX(_xlfn.ORG.LIBREOFFICE.FOURIER(TRANSPOSE({1;2;3}),FALSE(),TRUE()),2,1)</f>
        <v>-0.5</v>
      </c>
      <c r="B22587" s="0" t="s">
        <v>22412</v>
      </c>
    </row>
    <row r="22588" customFormat="false" ht="15" hidden="false" customHeight="false" outlineLevel="0" collapsed="false">
      <c r="A22588" s="0" t="n">
        <f aca="false">INDEX(_xlfn.ORG.LIBREOFFICE.FOURIER(TRANSPOSE({1;2;3}),FALSE(),TRUE()),2,2)</f>
        <v>-0.288675134594813</v>
      </c>
      <c r="B22588" s="0" t="s">
        <v>22413</v>
      </c>
    </row>
    <row r="22589" customFormat="false" ht="15" hidden="false" customHeight="false" outlineLevel="0" collapsed="false">
      <c r="A22589" s="0" t="n">
        <f aca="false">INDEX(_xlfn.ORG.LIBREOFFICE.FOURIER(TRANSPOSE({1;2;3}),FALSE(),TRUE()),3,2)</f>
        <v>0.288675134594813</v>
      </c>
      <c r="B22589" s="0" t="s">
        <v>22414</v>
      </c>
    </row>
    <row r="22590" customFormat="false" ht="15" hidden="false" customHeight="false" outlineLevel="0" collapsed="false">
      <c r="A22590" s="0" t="n">
        <f aca="false">INDEX(_xlfn.ORG.LIBREOFFICE.FOURIER(TRANSPOSE({1;2;3}),FALSE(),TRUE()),ROWS(_xlfn.ORG.LIBREOFFICE.FOURIER(TRANSPOSE({1;2;3}),FALSE(),TRUE())),1)</f>
        <v>-0.499999999999999</v>
      </c>
      <c r="B22590" s="0" t="s">
        <v>22415</v>
      </c>
    </row>
    <row r="22591" customFormat="false" ht="15" hidden="false" customHeight="false" outlineLevel="0" collapsed="false">
      <c r="A22591" s="0" t="n">
        <f aca="false">INDEX(_xlfn.ORG.LIBREOFFICE.FOURIER(TRANSPOSE({1;2;3}),FALSE(),TRUE()),ROWS(_xlfn.ORG.LIBREOFFICE.FOURIER(TRANSPOSE({1;2;3}),FALSE(),TRUE())),2)</f>
        <v>0.288675134594813</v>
      </c>
      <c r="B22591" s="0" t="s">
        <v>22416</v>
      </c>
    </row>
    <row r="22592" customFormat="false" ht="15" hidden="false" customHeight="false" outlineLevel="0" collapsed="false">
      <c r="A22592" s="0" t="n">
        <f aca="false">SUM(_xlfn.ORG.LIBREOFFICE.FOURIER(TRANSPOSE({1;2;3}),FALSE(),FALSE(),TRUE()))</f>
        <v>9.46410161513776</v>
      </c>
      <c r="B22592" s="0" t="s">
        <v>22417</v>
      </c>
    </row>
    <row r="22593" customFormat="false" ht="15" hidden="false" customHeight="false" outlineLevel="0" collapsed="false">
      <c r="A22593" s="0" t="n">
        <f aca="false">INDEX(_xlfn.ORG.LIBREOFFICE.FOURIER(TRANSPOSE({1;2;3}),FALSE(),FALSE(),TRUE()),1,1)</f>
        <v>6</v>
      </c>
      <c r="B22593" s="0" t="s">
        <v>22418</v>
      </c>
    </row>
    <row r="22594" customFormat="false" ht="15" hidden="false" customHeight="false" outlineLevel="0" collapsed="false">
      <c r="A22594" s="0" t="n">
        <f aca="false">INDEX(_xlfn.ORG.LIBREOFFICE.FOURIER(TRANSPOSE({1;2;3}),FALSE(),FALSE(),TRUE()),2,1)</f>
        <v>1.73205080756888</v>
      </c>
      <c r="B22594" s="0" t="s">
        <v>22419</v>
      </c>
    </row>
    <row r="22595" customFormat="false" ht="15" hidden="false" customHeight="false" outlineLevel="0" collapsed="false">
      <c r="A22595" s="0" t="n">
        <f aca="false">INDEX(_xlfn.ORG.LIBREOFFICE.FOURIER(TRANSPOSE({1;2;3}),FALSE(),FALSE(),TRUE()),2,2)</f>
        <v>2.6179938779915</v>
      </c>
      <c r="B22595" s="0" t="s">
        <v>22420</v>
      </c>
    </row>
    <row r="22596" customFormat="false" ht="15" hidden="false" customHeight="false" outlineLevel="0" collapsed="false">
      <c r="A22596" s="0" t="n">
        <f aca="false">INDEX(_xlfn.ORG.LIBREOFFICE.FOURIER(TRANSPOSE({1;2;3}),FALSE(),FALSE(),TRUE()),3,2)</f>
        <v>-2.61799387799149</v>
      </c>
      <c r="B22596" s="0" t="s">
        <v>22421</v>
      </c>
    </row>
    <row r="22597" customFormat="false" ht="15" hidden="false" customHeight="false" outlineLevel="0" collapsed="false">
      <c r="A22597" s="0" t="n">
        <f aca="false">INDEX(_xlfn.ORG.LIBREOFFICE.FOURIER(TRANSPOSE({1;2;3}),FALSE(),FALSE(),TRUE()),ROWS(_xlfn.ORG.LIBREOFFICE.FOURIER(TRANSPOSE({1;2;3}),FALSE(),FALSE(),TRUE())),1)</f>
        <v>1.73205080756888</v>
      </c>
      <c r="B22597" s="0" t="s">
        <v>22422</v>
      </c>
    </row>
    <row r="22598" customFormat="false" ht="15" hidden="false" customHeight="false" outlineLevel="0" collapsed="false">
      <c r="A22598" s="0" t="n">
        <f aca="false">INDEX(_xlfn.ORG.LIBREOFFICE.FOURIER(TRANSPOSE({1;2;3}),FALSE(),FALSE(),TRUE()),ROWS(_xlfn.ORG.LIBREOFFICE.FOURIER(TRANSPOSE({1;2;3}),FALSE(),FALSE(),TRUE())),2)</f>
        <v>-2.61799387799149</v>
      </c>
      <c r="B22598" s="0" t="s">
        <v>22423</v>
      </c>
    </row>
    <row r="22599" customFormat="false" ht="15" hidden="false" customHeight="false" outlineLevel="0" collapsed="false">
      <c r="A22599" s="0" t="n">
        <f aca="false">SUM(_xlfn.ORG.LIBREOFFICE.FOURIER(TRANSPOSE({1;2;3}),FALSE(),TRUE(),TRUE()))</f>
        <v>3.15470053837925</v>
      </c>
      <c r="B22599" s="0" t="s">
        <v>22424</v>
      </c>
    </row>
    <row r="22600" customFormat="false" ht="15" hidden="false" customHeight="false" outlineLevel="0" collapsed="false">
      <c r="A22600" s="0" t="n">
        <f aca="false">INDEX(_xlfn.ORG.LIBREOFFICE.FOURIER(TRANSPOSE({1;2;3}),FALSE(),TRUE(),TRUE()),1,1)</f>
        <v>2</v>
      </c>
      <c r="B22600" s="0" t="s">
        <v>22425</v>
      </c>
    </row>
    <row r="22601" customFormat="false" ht="15" hidden="false" customHeight="false" outlineLevel="0" collapsed="false">
      <c r="A22601" s="0" t="n">
        <f aca="false">INDEX(_xlfn.ORG.LIBREOFFICE.FOURIER(TRANSPOSE({1;2;3}),FALSE(),TRUE(),TRUE()),2,1)</f>
        <v>0.577350269189626</v>
      </c>
      <c r="B22601" s="0" t="s">
        <v>22426</v>
      </c>
    </row>
    <row r="22602" customFormat="false" ht="15" hidden="false" customHeight="false" outlineLevel="0" collapsed="false">
      <c r="A22602" s="0" t="n">
        <f aca="false">INDEX(_xlfn.ORG.LIBREOFFICE.FOURIER(TRANSPOSE({1;2;3}),FALSE(),TRUE(),TRUE()),2,2)</f>
        <v>-2.6179938779915</v>
      </c>
      <c r="B22602" s="0" t="s">
        <v>22427</v>
      </c>
    </row>
    <row r="22603" customFormat="false" ht="15" hidden="false" customHeight="false" outlineLevel="0" collapsed="false">
      <c r="A22603" s="0" t="n">
        <f aca="false">INDEX(_xlfn.ORG.LIBREOFFICE.FOURIER(TRANSPOSE({1;2;3}),FALSE(),TRUE(),TRUE()),3,2)</f>
        <v>2.61799387799149</v>
      </c>
      <c r="B22603" s="0" t="s">
        <v>22428</v>
      </c>
    </row>
    <row r="22604" customFormat="false" ht="15" hidden="false" customHeight="false" outlineLevel="0" collapsed="false">
      <c r="A22604" s="0" t="n">
        <f aca="false">INDEX(_xlfn.ORG.LIBREOFFICE.FOURIER(TRANSPOSE({1;2;3}),FALSE(),TRUE(),TRUE()),ROWS(_xlfn.ORG.LIBREOFFICE.FOURIER(TRANSPOSE({1;2;3}),FALSE(),TRUE(),TRUE())),1)</f>
        <v>0.577350269189626</v>
      </c>
      <c r="B22604" s="0" t="s">
        <v>22429</v>
      </c>
    </row>
    <row r="22605" customFormat="false" ht="15" hidden="false" customHeight="false" outlineLevel="0" collapsed="false">
      <c r="A22605" s="0" t="n">
        <f aca="false">INDEX(_xlfn.ORG.LIBREOFFICE.FOURIER(TRANSPOSE({1;2;3}),FALSE(),TRUE(),TRUE()),ROWS(_xlfn.ORG.LIBREOFFICE.FOURIER(TRANSPOSE({1;2;3}),FALSE(),TRUE(),TRUE())),2)</f>
        <v>2.61799387799149</v>
      </c>
      <c r="B22605" s="0" t="s">
        <v>22430</v>
      </c>
    </row>
    <row r="22606" customFormat="false" ht="15" hidden="false" customHeight="false" outlineLevel="0" collapsed="false">
      <c r="A22606" s="0" t="n">
        <f aca="false">SUM(_xlfn.ORG.LIBREOFFICE.FOURIER(TRANSPOSE({1;2;3}),FALSE(),FALSE(),TRUE(),1))</f>
        <v>9.46410161513776</v>
      </c>
      <c r="B22606" s="0" t="s">
        <v>22431</v>
      </c>
    </row>
    <row r="22607" customFormat="false" ht="15" hidden="false" customHeight="false" outlineLevel="0" collapsed="false">
      <c r="A22607" s="0" t="n">
        <f aca="false">INDEX(_xlfn.ORG.LIBREOFFICE.FOURIER(TRANSPOSE({1;2;3}),FALSE(),FALSE(),TRUE(),1),1,1)</f>
        <v>6</v>
      </c>
      <c r="B22607" s="0" t="s">
        <v>22432</v>
      </c>
    </row>
    <row r="22608" customFormat="false" ht="15" hidden="false" customHeight="false" outlineLevel="0" collapsed="false">
      <c r="A22608" s="0" t="n">
        <f aca="false">INDEX(_xlfn.ORG.LIBREOFFICE.FOURIER(TRANSPOSE({1;2;3}),FALSE(),FALSE(),TRUE(),1),2,1)</f>
        <v>1.73205080756888</v>
      </c>
      <c r="B22608" s="0" t="s">
        <v>22433</v>
      </c>
    </row>
    <row r="22609" customFormat="false" ht="15" hidden="false" customHeight="false" outlineLevel="0" collapsed="false">
      <c r="A22609" s="0" t="n">
        <f aca="false">INDEX(_xlfn.ORG.LIBREOFFICE.FOURIER(TRANSPOSE({1;2;3}),FALSE(),FALSE(),TRUE(),1),2,2)</f>
        <v>2.6179938779915</v>
      </c>
      <c r="B22609" s="0" t="s">
        <v>22434</v>
      </c>
    </row>
    <row r="22610" customFormat="false" ht="15" hidden="false" customHeight="false" outlineLevel="0" collapsed="false">
      <c r="A22610" s="0" t="n">
        <f aca="false">INDEX(_xlfn.ORG.LIBREOFFICE.FOURIER(TRANSPOSE({1;2;3}),FALSE(),FALSE(),TRUE(),1),3,2)</f>
        <v>-2.61799387799149</v>
      </c>
      <c r="B22610" s="0" t="s">
        <v>22435</v>
      </c>
    </row>
    <row r="22611" customFormat="false" ht="15" hidden="false" customHeight="false" outlineLevel="0" collapsed="false">
      <c r="A22611" s="0" t="n">
        <f aca="false">INDEX(_xlfn.ORG.LIBREOFFICE.FOURIER(TRANSPOSE({1;2;3}),FALSE(),FALSE(),TRUE(),1),ROWS(_xlfn.ORG.LIBREOFFICE.FOURIER(TRANSPOSE({1;2;3}),FALSE(),FALSE(),TRUE(),1)),1)</f>
        <v>1.73205080756888</v>
      </c>
      <c r="B22611" s="0" t="s">
        <v>22436</v>
      </c>
    </row>
    <row r="22612" customFormat="false" ht="15" hidden="false" customHeight="false" outlineLevel="0" collapsed="false">
      <c r="A22612" s="0" t="n">
        <f aca="false">INDEX(_xlfn.ORG.LIBREOFFICE.FOURIER(TRANSPOSE({1;2;3}),FALSE(),FALSE(),TRUE(),1),ROWS(_xlfn.ORG.LIBREOFFICE.FOURIER(TRANSPOSE({1;2;3}),FALSE(),FALSE(),TRUE(),1)),2)</f>
        <v>-2.61799387799149</v>
      </c>
      <c r="B22612" s="0" t="s">
        <v>22437</v>
      </c>
    </row>
    <row r="22613" customFormat="false" ht="15" hidden="false" customHeight="false" outlineLevel="0" collapsed="false">
      <c r="A22613" s="0" t="n">
        <f aca="false">SUM(_xlfn.ORG.LIBREOFFICE.FOURIER(TRANSPOSE({1;2;3}),FALSE(),TRUE(),TRUE(),5))</f>
        <v>2</v>
      </c>
      <c r="B22613" s="0" t="s">
        <v>22438</v>
      </c>
    </row>
    <row r="22614" customFormat="false" ht="15" hidden="false" customHeight="false" outlineLevel="0" collapsed="false">
      <c r="A22614" s="0" t="n">
        <f aca="false">INDEX(_xlfn.ORG.LIBREOFFICE.FOURIER(TRANSPOSE({1;2;3}),FALSE(),TRUE(),TRUE(),5),1,1)</f>
        <v>2</v>
      </c>
      <c r="B22614" s="0" t="s">
        <v>22439</v>
      </c>
    </row>
    <row r="22615" customFormat="false" ht="15" hidden="false" customHeight="false" outlineLevel="0" collapsed="false">
      <c r="A22615" s="0" t="n">
        <f aca="false">INDEX(_xlfn.ORG.LIBREOFFICE.FOURIER(TRANSPOSE({1;2;3}),FALSE(),TRUE(),TRUE(),5),2,1)</f>
        <v>0</v>
      </c>
      <c r="B22615" s="0" t="s">
        <v>22440</v>
      </c>
    </row>
    <row r="22616" customFormat="false" ht="15" hidden="false" customHeight="false" outlineLevel="0" collapsed="false">
      <c r="A22616" s="0" t="n">
        <f aca="false">INDEX(_xlfn.ORG.LIBREOFFICE.FOURIER(TRANSPOSE({1;2;3}),FALSE(),TRUE(),TRUE(),5),2,2)</f>
        <v>0</v>
      </c>
      <c r="B22616" s="0" t="s">
        <v>22441</v>
      </c>
    </row>
    <row r="22617" customFormat="false" ht="15" hidden="false" customHeight="false" outlineLevel="0" collapsed="false">
      <c r="A22617" s="0" t="n">
        <f aca="false">INDEX(_xlfn.ORG.LIBREOFFICE.FOURIER(TRANSPOSE({1;2;3}),FALSE(),TRUE(),TRUE(),5),3,2)</f>
        <v>0</v>
      </c>
      <c r="B22617" s="0" t="s">
        <v>22442</v>
      </c>
    </row>
    <row r="22618" customFormat="false" ht="15" hidden="false" customHeight="false" outlineLevel="0" collapsed="false">
      <c r="A22618" s="0" t="n">
        <f aca="false">INDEX(_xlfn.ORG.LIBREOFFICE.FOURIER(TRANSPOSE({1;2;3}),FALSE(),TRUE(),TRUE(),5),ROWS(_xlfn.ORG.LIBREOFFICE.FOURIER(TRANSPOSE({1;2;3}),FALSE(),TRUE(),TRUE(),5)),1)</f>
        <v>0</v>
      </c>
      <c r="B22618" s="0" t="s">
        <v>22443</v>
      </c>
    </row>
    <row r="22619" customFormat="false" ht="15" hidden="false" customHeight="false" outlineLevel="0" collapsed="false">
      <c r="A22619" s="0" t="n">
        <f aca="false">INDEX(_xlfn.ORG.LIBREOFFICE.FOURIER(TRANSPOSE({1;2;3}),FALSE(),TRUE(),TRUE(),5),ROWS(_xlfn.ORG.LIBREOFFICE.FOURIER(TRANSPOSE({1;2;3}),FALSE(),TRUE(),TRUE(),5)),2)</f>
        <v>0</v>
      </c>
      <c r="B22619" s="0" t="s">
        <v>22444</v>
      </c>
    </row>
    <row r="22620" customFormat="false" ht="15" hidden="false" customHeight="false" outlineLevel="0" collapsed="false">
      <c r="A22620" s="0" t="n">
        <f aca="false">ROWS(_xlfn.ORG.LIBREOFFICE.FOURIER({1;2;3;4;5},TRUE()))</f>
        <v>5</v>
      </c>
      <c r="B22620" s="0" t="s">
        <v>22445</v>
      </c>
    </row>
    <row r="22621" customFormat="false" ht="15" hidden="false" customHeight="false" outlineLevel="0" collapsed="false">
      <c r="A22621" s="0" t="n">
        <f aca="false">COLUMNS(_xlfn.ORG.LIBREOFFICE.FOURIER({1;2;3;4;5},TRUE()))</f>
        <v>2</v>
      </c>
      <c r="B22621" s="0" t="s">
        <v>22446</v>
      </c>
    </row>
    <row r="22622" customFormat="false" ht="15" hidden="false" customHeight="false" outlineLevel="0" collapsed="false">
      <c r="A22622" s="0" t="n">
        <f aca="false">SUM(_xlfn.ORG.LIBREOFFICE.FOURIER({1;2;3;4;5},TRUE()))</f>
        <v>5</v>
      </c>
      <c r="B22622" s="0" t="s">
        <v>22447</v>
      </c>
    </row>
    <row r="22623" customFormat="false" ht="15" hidden="false" customHeight="false" outlineLevel="0" collapsed="false">
      <c r="A22623" s="0" t="n">
        <f aca="false">INDEX(_xlfn.ORG.LIBREOFFICE.FOURIER({1;2;3;4;5},TRUE()),1,1)</f>
        <v>15</v>
      </c>
      <c r="B22623" s="0" t="s">
        <v>22448</v>
      </c>
    </row>
    <row r="22624" customFormat="false" ht="15" hidden="false" customHeight="false" outlineLevel="0" collapsed="false">
      <c r="A22624" s="0" t="n">
        <f aca="false">INDEX(_xlfn.ORG.LIBREOFFICE.FOURIER({1;2;3;4;5},TRUE()),2,1)</f>
        <v>-2.5</v>
      </c>
      <c r="B22624" s="0" t="s">
        <v>22449</v>
      </c>
    </row>
    <row r="22625" customFormat="false" ht="15" hidden="false" customHeight="false" outlineLevel="0" collapsed="false">
      <c r="A22625" s="0" t="n">
        <f aca="false">INDEX(_xlfn.ORG.LIBREOFFICE.FOURIER({1;2;3;4;5},TRUE()),2,2)</f>
        <v>3.44095480117793</v>
      </c>
      <c r="B22625" s="0" t="s">
        <v>22450</v>
      </c>
    </row>
    <row r="22626" customFormat="false" ht="15" hidden="false" customHeight="false" outlineLevel="0" collapsed="false">
      <c r="A22626" s="0" t="n">
        <f aca="false">INDEX(_xlfn.ORG.LIBREOFFICE.FOURIER({1;2;3;4;5},TRUE()),3,2)</f>
        <v>0.812299240582264</v>
      </c>
      <c r="B22626" s="0" t="s">
        <v>22451</v>
      </c>
    </row>
    <row r="22627" customFormat="false" ht="15" hidden="false" customHeight="false" outlineLevel="0" collapsed="false">
      <c r="A22627" s="0" t="n">
        <f aca="false">INDEX(_xlfn.ORG.LIBREOFFICE.FOURIER({1;2;3;4;5},TRUE()),ROWS(_xlfn.ORG.LIBREOFFICE.FOURIER({1;2;3;4;5},TRUE())),1)</f>
        <v>-2.5</v>
      </c>
      <c r="B22627" s="0" t="s">
        <v>22452</v>
      </c>
    </row>
    <row r="22628" customFormat="false" ht="15" hidden="false" customHeight="false" outlineLevel="0" collapsed="false">
      <c r="A22628" s="0" t="n">
        <f aca="false">INDEX(_xlfn.ORG.LIBREOFFICE.FOURIER({1;2;3;4;5},TRUE()),ROWS(_xlfn.ORG.LIBREOFFICE.FOURIER({1;2;3;4;5},TRUE())),2)</f>
        <v>-3.44095480117793</v>
      </c>
      <c r="B22628" s="0" t="s">
        <v>22453</v>
      </c>
    </row>
    <row r="22629" customFormat="false" ht="15" hidden="false" customHeight="false" outlineLevel="0" collapsed="false">
      <c r="A22629" s="0" t="n">
        <f aca="false">SUM(_xlfn.ORG.LIBREOFFICE.FOURIER({1;2;3;4;5},TRUE(),TRUE()))</f>
        <v>1</v>
      </c>
      <c r="B22629" s="0" t="s">
        <v>22454</v>
      </c>
    </row>
    <row r="22630" customFormat="false" ht="15" hidden="false" customHeight="false" outlineLevel="0" collapsed="false">
      <c r="A22630" s="0" t="n">
        <f aca="false">INDEX(_xlfn.ORG.LIBREOFFICE.FOURIER({1;2;3;4;5},TRUE(),TRUE()),1,1)</f>
        <v>3</v>
      </c>
      <c r="B22630" s="0" t="s">
        <v>22455</v>
      </c>
    </row>
    <row r="22631" customFormat="false" ht="15" hidden="false" customHeight="false" outlineLevel="0" collapsed="false">
      <c r="A22631" s="0" t="n">
        <f aca="false">INDEX(_xlfn.ORG.LIBREOFFICE.FOURIER({1;2;3;4;5},TRUE(),TRUE()),2,1)</f>
        <v>-0.5</v>
      </c>
      <c r="B22631" s="0" t="s">
        <v>22456</v>
      </c>
    </row>
    <row r="22632" customFormat="false" ht="15" hidden="false" customHeight="false" outlineLevel="0" collapsed="false">
      <c r="A22632" s="0" t="n">
        <f aca="false">INDEX(_xlfn.ORG.LIBREOFFICE.FOURIER({1;2;3;4;5},TRUE(),TRUE()),2,2)</f>
        <v>-0.688190960235587</v>
      </c>
      <c r="B22632" s="0" t="s">
        <v>22457</v>
      </c>
    </row>
    <row r="22633" customFormat="false" ht="15" hidden="false" customHeight="false" outlineLevel="0" collapsed="false">
      <c r="A22633" s="0" t="n">
        <f aca="false">INDEX(_xlfn.ORG.LIBREOFFICE.FOURIER({1;2;3;4;5},TRUE(),TRUE()),3,2)</f>
        <v>-0.162459848116453</v>
      </c>
      <c r="B22633" s="0" t="s">
        <v>22458</v>
      </c>
    </row>
    <row r="22634" customFormat="false" ht="15" hidden="false" customHeight="false" outlineLevel="0" collapsed="false">
      <c r="A22634" s="0" t="n">
        <f aca="false">INDEX(_xlfn.ORG.LIBREOFFICE.FOURIER({1;2;3;4;5},TRUE(),TRUE()),ROWS(_xlfn.ORG.LIBREOFFICE.FOURIER({1;2;3;4;5},TRUE(),TRUE())),1)</f>
        <v>-0.499999999999999</v>
      </c>
      <c r="B22634" s="0" t="s">
        <v>22459</v>
      </c>
    </row>
    <row r="22635" customFormat="false" ht="15" hidden="false" customHeight="false" outlineLevel="0" collapsed="false">
      <c r="A22635" s="0" t="n">
        <f aca="false">INDEX(_xlfn.ORG.LIBREOFFICE.FOURIER({1;2;3;4;5},TRUE(),TRUE()),ROWS(_xlfn.ORG.LIBREOFFICE.FOURIER({1;2;3;4;5},TRUE(),TRUE())),2)</f>
        <v>0.688190960235587</v>
      </c>
      <c r="B22635" s="0" t="s">
        <v>22460</v>
      </c>
    </row>
    <row r="22636" customFormat="false" ht="15" hidden="false" customHeight="false" outlineLevel="0" collapsed="false">
      <c r="A22636" s="0" t="n">
        <f aca="false">SUM(_xlfn.ORG.LIBREOFFICE.FOURIER({1;2;3;4;5},TRUE(),FALSE(),TRUE()))</f>
        <v>28.7638192047117</v>
      </c>
      <c r="B22636" s="0" t="s">
        <v>22461</v>
      </c>
    </row>
    <row r="22637" customFormat="false" ht="15" hidden="false" customHeight="false" outlineLevel="0" collapsed="false">
      <c r="A22637" s="0" t="n">
        <f aca="false">INDEX(_xlfn.ORG.LIBREOFFICE.FOURIER({1;2;3;4;5},TRUE(),FALSE(),TRUE()),1,1)</f>
        <v>15</v>
      </c>
      <c r="B22637" s="0" t="s">
        <v>22462</v>
      </c>
    </row>
    <row r="22638" customFormat="false" ht="15" hidden="false" customHeight="false" outlineLevel="0" collapsed="false">
      <c r="A22638" s="0" t="n">
        <f aca="false">INDEX(_xlfn.ORG.LIBREOFFICE.FOURIER({1;2;3;4;5},TRUE(),FALSE(),TRUE()),2,1)</f>
        <v>4.2532540417602</v>
      </c>
      <c r="B22638" s="0" t="s">
        <v>22463</v>
      </c>
    </row>
    <row r="22639" customFormat="false" ht="15" hidden="false" customHeight="false" outlineLevel="0" collapsed="false">
      <c r="A22639" s="0" t="n">
        <f aca="false">INDEX(_xlfn.ORG.LIBREOFFICE.FOURIER({1;2;3;4;5},TRUE(),FALSE(),TRUE()),2,2)</f>
        <v>2.19911485751286</v>
      </c>
      <c r="B22639" s="0" t="s">
        <v>22464</v>
      </c>
    </row>
    <row r="22640" customFormat="false" ht="15" hidden="false" customHeight="false" outlineLevel="0" collapsed="false">
      <c r="A22640" s="0" t="n">
        <f aca="false">INDEX(_xlfn.ORG.LIBREOFFICE.FOURIER({1;2;3;4;5},TRUE(),FALSE(),TRUE()),3,2)</f>
        <v>2.82743338823081</v>
      </c>
      <c r="B22640" s="0" t="s">
        <v>22465</v>
      </c>
    </row>
    <row r="22641" customFormat="false" ht="15" hidden="false" customHeight="false" outlineLevel="0" collapsed="false">
      <c r="A22641" s="0" t="n">
        <f aca="false">INDEX(_xlfn.ORG.LIBREOFFICE.FOURIER({1;2;3;4;5},TRUE(),FALSE(),TRUE()),ROWS(_xlfn.ORG.LIBREOFFICE.FOURIER({1;2;3;4;5},TRUE(),FALSE(),TRUE())),1)</f>
        <v>4.2532540417602</v>
      </c>
      <c r="B22641" s="0" t="s">
        <v>22466</v>
      </c>
    </row>
    <row r="22642" customFormat="false" ht="15" hidden="false" customHeight="false" outlineLevel="0" collapsed="false">
      <c r="A22642" s="0" t="n">
        <f aca="false">INDEX(_xlfn.ORG.LIBREOFFICE.FOURIER({1;2;3;4;5},TRUE(),FALSE(),TRUE()),ROWS(_xlfn.ORG.LIBREOFFICE.FOURIER({1;2;3;4;5},TRUE(),FALSE(),TRUE())),2)</f>
        <v>-2.19911485751285</v>
      </c>
      <c r="B22642" s="0" t="s">
        <v>22467</v>
      </c>
    </row>
    <row r="22643" customFormat="false" ht="15" hidden="false" customHeight="false" outlineLevel="0" collapsed="false">
      <c r="A22643" s="0" t="n">
        <f aca="false">SUM(_xlfn.ORG.LIBREOFFICE.FOURIER({1;2;3;4;5},TRUE(),TRUE(),TRUE()))</f>
        <v>5.75276384094235</v>
      </c>
      <c r="B22643" s="0" t="s">
        <v>22468</v>
      </c>
    </row>
    <row r="22644" customFormat="false" ht="15" hidden="false" customHeight="false" outlineLevel="0" collapsed="false">
      <c r="A22644" s="0" t="n">
        <f aca="false">INDEX(_xlfn.ORG.LIBREOFFICE.FOURIER({1;2;3;4;5},TRUE(),TRUE(),TRUE()),1,1)</f>
        <v>3</v>
      </c>
      <c r="B22644" s="0" t="s">
        <v>22469</v>
      </c>
    </row>
    <row r="22645" customFormat="false" ht="15" hidden="false" customHeight="false" outlineLevel="0" collapsed="false">
      <c r="A22645" s="0" t="n">
        <f aca="false">INDEX(_xlfn.ORG.LIBREOFFICE.FOURIER({1;2;3;4;5},TRUE(),TRUE(),TRUE()),2,1)</f>
        <v>0.85065080835204</v>
      </c>
      <c r="B22645" s="0" t="s">
        <v>22470</v>
      </c>
    </row>
    <row r="22646" customFormat="false" ht="15" hidden="false" customHeight="false" outlineLevel="0" collapsed="false">
      <c r="A22646" s="0" t="n">
        <f aca="false">INDEX(_xlfn.ORG.LIBREOFFICE.FOURIER({1;2;3;4;5},TRUE(),TRUE(),TRUE()),2,2)</f>
        <v>-2.19911485751286</v>
      </c>
      <c r="B22646" s="0" t="s">
        <v>22471</v>
      </c>
    </row>
    <row r="22647" customFormat="false" ht="15" hidden="false" customHeight="false" outlineLevel="0" collapsed="false">
      <c r="A22647" s="0" t="n">
        <f aca="false">INDEX(_xlfn.ORG.LIBREOFFICE.FOURIER({1;2;3;4;5},TRUE(),TRUE(),TRUE()),3,2)</f>
        <v>-2.82743338823081</v>
      </c>
      <c r="B22647" s="0" t="s">
        <v>22472</v>
      </c>
    </row>
    <row r="22648" customFormat="false" ht="15" hidden="false" customHeight="false" outlineLevel="0" collapsed="false">
      <c r="A22648" s="0" t="n">
        <f aca="false">INDEX(_xlfn.ORG.LIBREOFFICE.FOURIER({1;2;3;4;5},TRUE(),TRUE(),TRUE()),ROWS(_xlfn.ORG.LIBREOFFICE.FOURIER({1;2;3;4;5},TRUE(),TRUE(),TRUE())),1)</f>
        <v>0.85065080835204</v>
      </c>
      <c r="B22648" s="0" t="s">
        <v>22473</v>
      </c>
    </row>
    <row r="22649" customFormat="false" ht="15" hidden="false" customHeight="false" outlineLevel="0" collapsed="false">
      <c r="A22649" s="0" t="n">
        <f aca="false">INDEX(_xlfn.ORG.LIBREOFFICE.FOURIER({1;2;3;4;5},TRUE(),TRUE(),TRUE()),ROWS(_xlfn.ORG.LIBREOFFICE.FOURIER({1;2;3;4;5},TRUE(),TRUE(),TRUE())),2)</f>
        <v>2.19911485751285</v>
      </c>
      <c r="B22649" s="0" t="s">
        <v>22474</v>
      </c>
    </row>
    <row r="22650" customFormat="false" ht="15" hidden="false" customHeight="false" outlineLevel="0" collapsed="false">
      <c r="A22650" s="0" t="n">
        <f aca="false">SUM(_xlfn.ORG.LIBREOFFICE.FOURIER({1;2;3;4;5},TRUE(),FALSE(),TRUE(),1))</f>
        <v>28.7638192047117</v>
      </c>
      <c r="B22650" s="0" t="s">
        <v>22475</v>
      </c>
    </row>
    <row r="22651" customFormat="false" ht="15" hidden="false" customHeight="false" outlineLevel="0" collapsed="false">
      <c r="A22651" s="0" t="n">
        <f aca="false">INDEX(_xlfn.ORG.LIBREOFFICE.FOURIER({1;2;3;4;5},TRUE(),FALSE(),TRUE(),1),1,1)</f>
        <v>15</v>
      </c>
      <c r="B22651" s="0" t="s">
        <v>22476</v>
      </c>
    </row>
    <row r="22652" customFormat="false" ht="15" hidden="false" customHeight="false" outlineLevel="0" collapsed="false">
      <c r="A22652" s="0" t="n">
        <f aca="false">INDEX(_xlfn.ORG.LIBREOFFICE.FOURIER({1;2;3;4;5},TRUE(),FALSE(),TRUE(),1),2,1)</f>
        <v>4.2532540417602</v>
      </c>
      <c r="B22652" s="0" t="s">
        <v>22477</v>
      </c>
    </row>
    <row r="22653" customFormat="false" ht="15" hidden="false" customHeight="false" outlineLevel="0" collapsed="false">
      <c r="A22653" s="0" t="n">
        <f aca="false">INDEX(_xlfn.ORG.LIBREOFFICE.FOURIER({1;2;3;4;5},TRUE(),FALSE(),TRUE(),1),2,2)</f>
        <v>2.19911485751286</v>
      </c>
      <c r="B22653" s="0" t="s">
        <v>22478</v>
      </c>
    </row>
    <row r="22654" customFormat="false" ht="15" hidden="false" customHeight="false" outlineLevel="0" collapsed="false">
      <c r="A22654" s="0" t="n">
        <f aca="false">INDEX(_xlfn.ORG.LIBREOFFICE.FOURIER({1;2;3;4;5},TRUE(),FALSE(),TRUE(),1),3,2)</f>
        <v>2.82743338823081</v>
      </c>
      <c r="B22654" s="0" t="s">
        <v>22479</v>
      </c>
    </row>
    <row r="22655" customFormat="false" ht="15" hidden="false" customHeight="false" outlineLevel="0" collapsed="false">
      <c r="A22655" s="0" t="n">
        <f aca="false">INDEX(_xlfn.ORG.LIBREOFFICE.FOURIER({1;2;3;4;5},TRUE(),FALSE(),TRUE(),1),ROWS(_xlfn.ORG.LIBREOFFICE.FOURIER({1;2;3;4;5},TRUE(),FALSE(),TRUE(),1)),1)</f>
        <v>4.2532540417602</v>
      </c>
      <c r="B22655" s="0" t="s">
        <v>22480</v>
      </c>
    </row>
    <row r="22656" customFormat="false" ht="15" hidden="false" customHeight="false" outlineLevel="0" collapsed="false">
      <c r="A22656" s="0" t="n">
        <f aca="false">INDEX(_xlfn.ORG.LIBREOFFICE.FOURIER({1;2;3;4;5},TRUE(),FALSE(),TRUE(),1),ROWS(_xlfn.ORG.LIBREOFFICE.FOURIER({1;2;3;4;5},TRUE(),FALSE(),TRUE(),1)),2)</f>
        <v>-2.19911485751285</v>
      </c>
      <c r="B22656" s="0" t="s">
        <v>22481</v>
      </c>
    </row>
    <row r="22657" customFormat="false" ht="15" hidden="false" customHeight="false" outlineLevel="0" collapsed="false">
      <c r="A22657" s="0" t="n">
        <f aca="false">SUM(_xlfn.ORG.LIBREOFFICE.FOURIER({1;2;3;4;5},TRUE(),TRUE(),TRUE(),5))</f>
        <v>3</v>
      </c>
      <c r="B22657" s="0" t="s">
        <v>22482</v>
      </c>
    </row>
    <row r="22658" customFormat="false" ht="15" hidden="false" customHeight="false" outlineLevel="0" collapsed="false">
      <c r="A22658" s="0" t="n">
        <f aca="false">INDEX(_xlfn.ORG.LIBREOFFICE.FOURIER({1;2;3;4;5},TRUE(),TRUE(),TRUE(),5),1,1)</f>
        <v>3</v>
      </c>
      <c r="B22658" s="0" t="s">
        <v>22483</v>
      </c>
    </row>
    <row r="22659" customFormat="false" ht="15" hidden="false" customHeight="false" outlineLevel="0" collapsed="false">
      <c r="A22659" s="0" t="n">
        <f aca="false">INDEX(_xlfn.ORG.LIBREOFFICE.FOURIER({1;2;3;4;5},TRUE(),TRUE(),TRUE(),5),2,1)</f>
        <v>0</v>
      </c>
      <c r="B22659" s="0" t="s">
        <v>22484</v>
      </c>
    </row>
    <row r="22660" customFormat="false" ht="15" hidden="false" customHeight="false" outlineLevel="0" collapsed="false">
      <c r="A22660" s="0" t="n">
        <f aca="false">INDEX(_xlfn.ORG.LIBREOFFICE.FOURIER({1;2;3;4;5},TRUE(),TRUE(),TRUE(),5),2,2)</f>
        <v>0</v>
      </c>
      <c r="B22660" s="0" t="s">
        <v>22485</v>
      </c>
    </row>
    <row r="22661" customFormat="false" ht="15" hidden="false" customHeight="false" outlineLevel="0" collapsed="false">
      <c r="A22661" s="0" t="n">
        <f aca="false">INDEX(_xlfn.ORG.LIBREOFFICE.FOURIER({1;2;3;4;5},TRUE(),TRUE(),TRUE(),5),3,2)</f>
        <v>0</v>
      </c>
      <c r="B22661" s="0" t="s">
        <v>22486</v>
      </c>
    </row>
    <row r="22662" customFormat="false" ht="15" hidden="false" customHeight="false" outlineLevel="0" collapsed="false">
      <c r="A22662" s="0" t="n">
        <f aca="false">INDEX(_xlfn.ORG.LIBREOFFICE.FOURIER({1;2;3;4;5},TRUE(),TRUE(),TRUE(),5),ROWS(_xlfn.ORG.LIBREOFFICE.FOURIER({1;2;3;4;5},TRUE(),TRUE(),TRUE(),5)),1)</f>
        <v>0</v>
      </c>
      <c r="B22662" s="0" t="s">
        <v>22487</v>
      </c>
    </row>
    <row r="22663" customFormat="false" ht="15" hidden="false" customHeight="false" outlineLevel="0" collapsed="false">
      <c r="A22663" s="0" t="n">
        <f aca="false">INDEX(_xlfn.ORG.LIBREOFFICE.FOURIER({1;2;3;4;5},TRUE(),TRUE(),TRUE(),5),ROWS(_xlfn.ORG.LIBREOFFICE.FOURIER({1;2;3;4;5},TRUE(),TRUE(),TRUE(),5)),2)</f>
        <v>0</v>
      </c>
      <c r="B22663" s="0" t="s">
        <v>22488</v>
      </c>
    </row>
    <row r="22664" customFormat="false" ht="15" hidden="false" customHeight="false" outlineLevel="0" collapsed="false">
      <c r="A22664" s="0" t="n">
        <f aca="false">ROWS(_xlfn.ORG.LIBREOFFICE.FOURIER(TRANSPOSE({1;2;3;4;5}),FALSE()))</f>
        <v>5</v>
      </c>
      <c r="B22664" s="0" t="s">
        <v>22489</v>
      </c>
    </row>
    <row r="22665" customFormat="false" ht="15" hidden="false" customHeight="false" outlineLevel="0" collapsed="false">
      <c r="A22665" s="0" t="n">
        <f aca="false">COLUMNS(_xlfn.ORG.LIBREOFFICE.FOURIER(TRANSPOSE({1;2;3;4;5}),FALSE()))</f>
        <v>2</v>
      </c>
      <c r="B22665" s="0" t="s">
        <v>22490</v>
      </c>
    </row>
    <row r="22666" customFormat="false" ht="15" hidden="false" customHeight="false" outlineLevel="0" collapsed="false">
      <c r="A22666" s="0" t="n">
        <f aca="false">SUM(_xlfn.ORG.LIBREOFFICE.FOURIER(TRANSPOSE({1;2;3;4;5}),FALSE()))</f>
        <v>5</v>
      </c>
      <c r="B22666" s="0" t="s">
        <v>22491</v>
      </c>
    </row>
    <row r="22667" customFormat="false" ht="15" hidden="false" customHeight="false" outlineLevel="0" collapsed="false">
      <c r="A22667" s="0" t="n">
        <f aca="false">INDEX(_xlfn.ORG.LIBREOFFICE.FOURIER(TRANSPOSE({1;2;3;4;5}),FALSE()),1,1)</f>
        <v>15</v>
      </c>
      <c r="B22667" s="0" t="s">
        <v>22492</v>
      </c>
    </row>
    <row r="22668" customFormat="false" ht="15" hidden="false" customHeight="false" outlineLevel="0" collapsed="false">
      <c r="A22668" s="0" t="n">
        <f aca="false">INDEX(_xlfn.ORG.LIBREOFFICE.FOURIER(TRANSPOSE({1;2;3;4;5}),FALSE()),2,1)</f>
        <v>-2.5</v>
      </c>
      <c r="B22668" s="0" t="s">
        <v>22493</v>
      </c>
    </row>
    <row r="22669" customFormat="false" ht="15" hidden="false" customHeight="false" outlineLevel="0" collapsed="false">
      <c r="A22669" s="0" t="n">
        <f aca="false">INDEX(_xlfn.ORG.LIBREOFFICE.FOURIER(TRANSPOSE({1;2;3;4;5}),FALSE()),2,2)</f>
        <v>3.44095480117793</v>
      </c>
      <c r="B22669" s="0" t="s">
        <v>22494</v>
      </c>
    </row>
    <row r="22670" customFormat="false" ht="15" hidden="false" customHeight="false" outlineLevel="0" collapsed="false">
      <c r="A22670" s="0" t="n">
        <f aca="false">INDEX(_xlfn.ORG.LIBREOFFICE.FOURIER(TRANSPOSE({1;2;3;4;5}),FALSE()),3,2)</f>
        <v>0.812299240582264</v>
      </c>
      <c r="B22670" s="0" t="s">
        <v>22495</v>
      </c>
    </row>
    <row r="22671" customFormat="false" ht="15" hidden="false" customHeight="false" outlineLevel="0" collapsed="false">
      <c r="A22671" s="0" t="n">
        <f aca="false">INDEX(_xlfn.ORG.LIBREOFFICE.FOURIER(TRANSPOSE({1;2;3;4;5}),FALSE()),ROWS(_xlfn.ORG.LIBREOFFICE.FOURIER(TRANSPOSE({1;2;3;4;5}),FALSE())),1)</f>
        <v>-2.5</v>
      </c>
      <c r="B22671" s="0" t="s">
        <v>22496</v>
      </c>
    </row>
    <row r="22672" customFormat="false" ht="15" hidden="false" customHeight="false" outlineLevel="0" collapsed="false">
      <c r="A22672" s="0" t="n">
        <f aca="false">INDEX(_xlfn.ORG.LIBREOFFICE.FOURIER(TRANSPOSE({1;2;3;4;5}),FALSE()),ROWS(_xlfn.ORG.LIBREOFFICE.FOURIER(TRANSPOSE({1;2;3;4;5}),FALSE())),2)</f>
        <v>-3.44095480117793</v>
      </c>
      <c r="B22672" s="0" t="s">
        <v>22497</v>
      </c>
    </row>
    <row r="22673" customFormat="false" ht="15" hidden="false" customHeight="false" outlineLevel="0" collapsed="false">
      <c r="A22673" s="0" t="n">
        <f aca="false">SUM(_xlfn.ORG.LIBREOFFICE.FOURIER(TRANSPOSE({1;2;3;4;5}),FALSE(),TRUE()))</f>
        <v>1</v>
      </c>
      <c r="B22673" s="0" t="s">
        <v>22498</v>
      </c>
    </row>
    <row r="22674" customFormat="false" ht="15" hidden="false" customHeight="false" outlineLevel="0" collapsed="false">
      <c r="A22674" s="0" t="n">
        <f aca="false">INDEX(_xlfn.ORG.LIBREOFFICE.FOURIER(TRANSPOSE({1;2;3;4;5}),FALSE(),TRUE()),1,1)</f>
        <v>3</v>
      </c>
      <c r="B22674" s="0" t="s">
        <v>22499</v>
      </c>
    </row>
    <row r="22675" customFormat="false" ht="15" hidden="false" customHeight="false" outlineLevel="0" collapsed="false">
      <c r="A22675" s="0" t="n">
        <f aca="false">INDEX(_xlfn.ORG.LIBREOFFICE.FOURIER(TRANSPOSE({1;2;3;4;5}),FALSE(),TRUE()),2,1)</f>
        <v>-0.5</v>
      </c>
      <c r="B22675" s="0" t="s">
        <v>22500</v>
      </c>
    </row>
    <row r="22676" customFormat="false" ht="15" hidden="false" customHeight="false" outlineLevel="0" collapsed="false">
      <c r="A22676" s="0" t="n">
        <f aca="false">INDEX(_xlfn.ORG.LIBREOFFICE.FOURIER(TRANSPOSE({1;2;3;4;5}),FALSE(),TRUE()),2,2)</f>
        <v>-0.688190960235587</v>
      </c>
      <c r="B22676" s="0" t="s">
        <v>22501</v>
      </c>
    </row>
    <row r="22677" customFormat="false" ht="15" hidden="false" customHeight="false" outlineLevel="0" collapsed="false">
      <c r="A22677" s="0" t="n">
        <f aca="false">INDEX(_xlfn.ORG.LIBREOFFICE.FOURIER(TRANSPOSE({1;2;3;4;5}),FALSE(),TRUE()),3,2)</f>
        <v>-0.162459848116453</v>
      </c>
      <c r="B22677" s="0" t="s">
        <v>22502</v>
      </c>
    </row>
    <row r="22678" customFormat="false" ht="15" hidden="false" customHeight="false" outlineLevel="0" collapsed="false">
      <c r="A22678" s="0" t="n">
        <f aca="false">INDEX(_xlfn.ORG.LIBREOFFICE.FOURIER(TRANSPOSE({1;2;3;4;5}),FALSE(),TRUE()),ROWS(_xlfn.ORG.LIBREOFFICE.FOURIER(TRANSPOSE({1;2;3;4;5}),FALSE(),TRUE())),1)</f>
        <v>-0.499999999999999</v>
      </c>
      <c r="B22678" s="0" t="s">
        <v>22503</v>
      </c>
    </row>
    <row r="22679" customFormat="false" ht="15" hidden="false" customHeight="false" outlineLevel="0" collapsed="false">
      <c r="A22679" s="0" t="n">
        <f aca="false">INDEX(_xlfn.ORG.LIBREOFFICE.FOURIER(TRANSPOSE({1;2;3;4;5}),FALSE(),TRUE()),ROWS(_xlfn.ORG.LIBREOFFICE.FOURIER(TRANSPOSE({1;2;3;4;5}),FALSE(),TRUE())),2)</f>
        <v>0.688190960235587</v>
      </c>
      <c r="B22679" s="0" t="s">
        <v>22504</v>
      </c>
    </row>
    <row r="22680" customFormat="false" ht="15" hidden="false" customHeight="false" outlineLevel="0" collapsed="false">
      <c r="A22680" s="0" t="n">
        <f aca="false">SUM(_xlfn.ORG.LIBREOFFICE.FOURIER(TRANSPOSE({1;2;3;4;5}),FALSE(),FALSE(),TRUE()))</f>
        <v>28.7638192047117</v>
      </c>
      <c r="B22680" s="0" t="s">
        <v>22505</v>
      </c>
    </row>
    <row r="22681" customFormat="false" ht="15" hidden="false" customHeight="false" outlineLevel="0" collapsed="false">
      <c r="A22681" s="0" t="n">
        <f aca="false">INDEX(_xlfn.ORG.LIBREOFFICE.FOURIER(TRANSPOSE({1;2;3;4;5}),FALSE(),FALSE(),TRUE()),1,1)</f>
        <v>15</v>
      </c>
      <c r="B22681" s="0" t="s">
        <v>22506</v>
      </c>
    </row>
    <row r="22682" customFormat="false" ht="15" hidden="false" customHeight="false" outlineLevel="0" collapsed="false">
      <c r="A22682" s="0" t="n">
        <f aca="false">INDEX(_xlfn.ORG.LIBREOFFICE.FOURIER(TRANSPOSE({1;2;3;4;5}),FALSE(),FALSE(),TRUE()),2,1)</f>
        <v>4.2532540417602</v>
      </c>
      <c r="B22682" s="0" t="s">
        <v>22507</v>
      </c>
    </row>
    <row r="22683" customFormat="false" ht="15" hidden="false" customHeight="false" outlineLevel="0" collapsed="false">
      <c r="A22683" s="0" t="n">
        <f aca="false">INDEX(_xlfn.ORG.LIBREOFFICE.FOURIER(TRANSPOSE({1;2;3;4;5}),FALSE(),FALSE(),TRUE()),2,2)</f>
        <v>2.19911485751286</v>
      </c>
      <c r="B22683" s="0" t="s">
        <v>22508</v>
      </c>
    </row>
    <row r="22684" customFormat="false" ht="15" hidden="false" customHeight="false" outlineLevel="0" collapsed="false">
      <c r="A22684" s="0" t="n">
        <f aca="false">INDEX(_xlfn.ORG.LIBREOFFICE.FOURIER(TRANSPOSE({1;2;3;4;5}),FALSE(),FALSE(),TRUE()),3,2)</f>
        <v>2.82743338823081</v>
      </c>
      <c r="B22684" s="0" t="s">
        <v>22509</v>
      </c>
    </row>
    <row r="22685" customFormat="false" ht="15" hidden="false" customHeight="false" outlineLevel="0" collapsed="false">
      <c r="A22685" s="0" t="n">
        <f aca="false">INDEX(_xlfn.ORG.LIBREOFFICE.FOURIER(TRANSPOSE({1;2;3;4;5}),FALSE(),FALSE(),TRUE()),ROWS(_xlfn.ORG.LIBREOFFICE.FOURIER(TRANSPOSE({1;2;3;4;5}),FALSE(),FALSE(),TRUE())),1)</f>
        <v>4.2532540417602</v>
      </c>
      <c r="B22685" s="0" t="s">
        <v>22510</v>
      </c>
    </row>
    <row r="22686" customFormat="false" ht="15" hidden="false" customHeight="false" outlineLevel="0" collapsed="false">
      <c r="A22686" s="0" t="n">
        <f aca="false">INDEX(_xlfn.ORG.LIBREOFFICE.FOURIER(TRANSPOSE({1;2;3;4;5}),FALSE(),FALSE(),TRUE()),ROWS(_xlfn.ORG.LIBREOFFICE.FOURIER(TRANSPOSE({1;2;3;4;5}),FALSE(),FALSE(),TRUE())),2)</f>
        <v>-2.19911485751285</v>
      </c>
      <c r="B22686" s="0" t="s">
        <v>22511</v>
      </c>
    </row>
    <row r="22687" customFormat="false" ht="15" hidden="false" customHeight="false" outlineLevel="0" collapsed="false">
      <c r="A22687" s="0" t="n">
        <f aca="false">SUM(_xlfn.ORG.LIBREOFFICE.FOURIER(TRANSPOSE({1;2;3;4;5}),FALSE(),TRUE(),TRUE()))</f>
        <v>5.75276384094235</v>
      </c>
      <c r="B22687" s="0" t="s">
        <v>22512</v>
      </c>
    </row>
    <row r="22688" customFormat="false" ht="15" hidden="false" customHeight="false" outlineLevel="0" collapsed="false">
      <c r="A22688" s="0" t="n">
        <f aca="false">INDEX(_xlfn.ORG.LIBREOFFICE.FOURIER(TRANSPOSE({1;2;3;4;5}),FALSE(),TRUE(),TRUE()),1,1)</f>
        <v>3</v>
      </c>
      <c r="B22688" s="0" t="s">
        <v>22513</v>
      </c>
    </row>
    <row r="22689" customFormat="false" ht="15" hidden="false" customHeight="false" outlineLevel="0" collapsed="false">
      <c r="A22689" s="0" t="n">
        <f aca="false">INDEX(_xlfn.ORG.LIBREOFFICE.FOURIER(TRANSPOSE({1;2;3;4;5}),FALSE(),TRUE(),TRUE()),2,1)</f>
        <v>0.85065080835204</v>
      </c>
      <c r="B22689" s="0" t="s">
        <v>22514</v>
      </c>
    </row>
    <row r="22690" customFormat="false" ht="15" hidden="false" customHeight="false" outlineLevel="0" collapsed="false">
      <c r="A22690" s="0" t="n">
        <f aca="false">INDEX(_xlfn.ORG.LIBREOFFICE.FOURIER(TRANSPOSE({1;2;3;4;5}),FALSE(),TRUE(),TRUE()),2,2)</f>
        <v>-2.19911485751286</v>
      </c>
      <c r="B22690" s="0" t="s">
        <v>22515</v>
      </c>
    </row>
    <row r="22691" customFormat="false" ht="15" hidden="false" customHeight="false" outlineLevel="0" collapsed="false">
      <c r="A22691" s="0" t="n">
        <f aca="false">INDEX(_xlfn.ORG.LIBREOFFICE.FOURIER(TRANSPOSE({1;2;3;4;5}),FALSE(),TRUE(),TRUE()),3,2)</f>
        <v>-2.82743338823081</v>
      </c>
      <c r="B22691" s="0" t="s">
        <v>22516</v>
      </c>
    </row>
    <row r="22692" customFormat="false" ht="15" hidden="false" customHeight="false" outlineLevel="0" collapsed="false">
      <c r="A22692" s="0" t="n">
        <f aca="false">INDEX(_xlfn.ORG.LIBREOFFICE.FOURIER(TRANSPOSE({1;2;3;4;5}),FALSE(),TRUE(),TRUE()),ROWS(_xlfn.ORG.LIBREOFFICE.FOURIER(TRANSPOSE({1;2;3;4;5}),FALSE(),TRUE(),TRUE())),1)</f>
        <v>0.85065080835204</v>
      </c>
      <c r="B22692" s="0" t="s">
        <v>22517</v>
      </c>
    </row>
    <row r="22693" customFormat="false" ht="15" hidden="false" customHeight="false" outlineLevel="0" collapsed="false">
      <c r="A22693" s="0" t="n">
        <f aca="false">INDEX(_xlfn.ORG.LIBREOFFICE.FOURIER(TRANSPOSE({1;2;3;4;5}),FALSE(),TRUE(),TRUE()),ROWS(_xlfn.ORG.LIBREOFFICE.FOURIER(TRANSPOSE({1;2;3;4;5}),FALSE(),TRUE(),TRUE())),2)</f>
        <v>2.19911485751285</v>
      </c>
      <c r="B22693" s="0" t="s">
        <v>22518</v>
      </c>
    </row>
    <row r="22694" customFormat="false" ht="15" hidden="false" customHeight="false" outlineLevel="0" collapsed="false">
      <c r="A22694" s="0" t="n">
        <f aca="false">SUM(_xlfn.ORG.LIBREOFFICE.FOURIER(TRANSPOSE({1;2;3;4;5}),FALSE(),FALSE(),TRUE(),1))</f>
        <v>28.7638192047117</v>
      </c>
      <c r="B22694" s="0" t="s">
        <v>22519</v>
      </c>
    </row>
    <row r="22695" customFormat="false" ht="15" hidden="false" customHeight="false" outlineLevel="0" collapsed="false">
      <c r="A22695" s="0" t="n">
        <f aca="false">INDEX(_xlfn.ORG.LIBREOFFICE.FOURIER(TRANSPOSE({1;2;3;4;5}),FALSE(),FALSE(),TRUE(),1),1,1)</f>
        <v>15</v>
      </c>
      <c r="B22695" s="0" t="s">
        <v>22520</v>
      </c>
    </row>
    <row r="22696" customFormat="false" ht="15" hidden="false" customHeight="false" outlineLevel="0" collapsed="false">
      <c r="A22696" s="0" t="n">
        <f aca="false">INDEX(_xlfn.ORG.LIBREOFFICE.FOURIER(TRANSPOSE({1;2;3;4;5}),FALSE(),FALSE(),TRUE(),1),2,1)</f>
        <v>4.2532540417602</v>
      </c>
      <c r="B22696" s="0" t="s">
        <v>22521</v>
      </c>
    </row>
    <row r="22697" customFormat="false" ht="15" hidden="false" customHeight="false" outlineLevel="0" collapsed="false">
      <c r="A22697" s="0" t="n">
        <f aca="false">INDEX(_xlfn.ORG.LIBREOFFICE.FOURIER(TRANSPOSE({1;2;3;4;5}),FALSE(),FALSE(),TRUE(),1),2,2)</f>
        <v>2.19911485751286</v>
      </c>
      <c r="B22697" s="0" t="s">
        <v>22522</v>
      </c>
    </row>
    <row r="22698" customFormat="false" ht="15" hidden="false" customHeight="false" outlineLevel="0" collapsed="false">
      <c r="A22698" s="0" t="n">
        <f aca="false">INDEX(_xlfn.ORG.LIBREOFFICE.FOURIER(TRANSPOSE({1;2;3;4;5}),FALSE(),FALSE(),TRUE(),1),3,2)</f>
        <v>2.82743338823081</v>
      </c>
      <c r="B22698" s="0" t="s">
        <v>22523</v>
      </c>
    </row>
    <row r="22699" customFormat="false" ht="15" hidden="false" customHeight="false" outlineLevel="0" collapsed="false">
      <c r="A22699" s="0" t="n">
        <f aca="false">INDEX(_xlfn.ORG.LIBREOFFICE.FOURIER(TRANSPOSE({1;2;3;4;5}),FALSE(),FALSE(),TRUE(),1),ROWS(_xlfn.ORG.LIBREOFFICE.FOURIER(TRANSPOSE({1;2;3;4;5}),FALSE(),FALSE(),TRUE(),1)),1)</f>
        <v>4.2532540417602</v>
      </c>
      <c r="B22699" s="0" t="s">
        <v>22524</v>
      </c>
    </row>
    <row r="22700" customFormat="false" ht="15" hidden="false" customHeight="false" outlineLevel="0" collapsed="false">
      <c r="A22700" s="0" t="n">
        <f aca="false">INDEX(_xlfn.ORG.LIBREOFFICE.FOURIER(TRANSPOSE({1;2;3;4;5}),FALSE(),FALSE(),TRUE(),1),ROWS(_xlfn.ORG.LIBREOFFICE.FOURIER(TRANSPOSE({1;2;3;4;5}),FALSE(),FALSE(),TRUE(),1)),2)</f>
        <v>-2.19911485751285</v>
      </c>
      <c r="B22700" s="0" t="s">
        <v>22525</v>
      </c>
    </row>
    <row r="22701" customFormat="false" ht="15" hidden="false" customHeight="false" outlineLevel="0" collapsed="false">
      <c r="A22701" s="0" t="n">
        <f aca="false">SUM(_xlfn.ORG.LIBREOFFICE.FOURIER(TRANSPOSE({1;2;3;4;5}),FALSE(),TRUE(),TRUE(),5))</f>
        <v>3</v>
      </c>
      <c r="B22701" s="0" t="s">
        <v>22526</v>
      </c>
    </row>
    <row r="22702" customFormat="false" ht="15" hidden="false" customHeight="false" outlineLevel="0" collapsed="false">
      <c r="A22702" s="0" t="n">
        <f aca="false">INDEX(_xlfn.ORG.LIBREOFFICE.FOURIER(TRANSPOSE({1;2;3;4;5}),FALSE(),TRUE(),TRUE(),5),1,1)</f>
        <v>3</v>
      </c>
      <c r="B22702" s="0" t="s">
        <v>22527</v>
      </c>
    </row>
    <row r="22703" customFormat="false" ht="15" hidden="false" customHeight="false" outlineLevel="0" collapsed="false">
      <c r="A22703" s="0" t="n">
        <f aca="false">INDEX(_xlfn.ORG.LIBREOFFICE.FOURIER(TRANSPOSE({1;2;3;4;5}),FALSE(),TRUE(),TRUE(),5),2,1)</f>
        <v>0</v>
      </c>
      <c r="B22703" s="0" t="s">
        <v>22528</v>
      </c>
    </row>
    <row r="22704" customFormat="false" ht="15" hidden="false" customHeight="false" outlineLevel="0" collapsed="false">
      <c r="A22704" s="0" t="n">
        <f aca="false">INDEX(_xlfn.ORG.LIBREOFFICE.FOURIER(TRANSPOSE({1;2;3;4;5}),FALSE(),TRUE(),TRUE(),5),2,2)</f>
        <v>0</v>
      </c>
      <c r="B22704" s="0" t="s">
        <v>22529</v>
      </c>
    </row>
    <row r="22705" customFormat="false" ht="15" hidden="false" customHeight="false" outlineLevel="0" collapsed="false">
      <c r="A22705" s="0" t="n">
        <f aca="false">INDEX(_xlfn.ORG.LIBREOFFICE.FOURIER(TRANSPOSE({1;2;3;4;5}),FALSE(),TRUE(),TRUE(),5),3,2)</f>
        <v>0</v>
      </c>
      <c r="B22705" s="0" t="s">
        <v>22530</v>
      </c>
    </row>
    <row r="22706" customFormat="false" ht="15" hidden="false" customHeight="false" outlineLevel="0" collapsed="false">
      <c r="A22706" s="0" t="n">
        <f aca="false">INDEX(_xlfn.ORG.LIBREOFFICE.FOURIER(TRANSPOSE({1;2;3;4;5}),FALSE(),TRUE(),TRUE(),5),ROWS(_xlfn.ORG.LIBREOFFICE.FOURIER(TRANSPOSE({1;2;3;4;5}),FALSE(),TRUE(),TRUE(),5)),1)</f>
        <v>0</v>
      </c>
      <c r="B22706" s="0" t="s">
        <v>22531</v>
      </c>
    </row>
    <row r="22707" customFormat="false" ht="15" hidden="false" customHeight="false" outlineLevel="0" collapsed="false">
      <c r="A22707" s="0" t="n">
        <f aca="false">INDEX(_xlfn.ORG.LIBREOFFICE.FOURIER(TRANSPOSE({1;2;3;4;5}),FALSE(),TRUE(),TRUE(),5),ROWS(_xlfn.ORG.LIBREOFFICE.FOURIER(TRANSPOSE({1;2;3;4;5}),FALSE(),TRUE(),TRUE(),5)),2)</f>
        <v>0</v>
      </c>
      <c r="B22707" s="0" t="s">
        <v>22532</v>
      </c>
    </row>
    <row r="22708" customFormat="false" ht="15" hidden="false" customHeight="false" outlineLevel="0" collapsed="false">
      <c r="A22708" s="0" t="n">
        <f aca="false">ROWS(_xlfn.ORG.LIBREOFFICE.FOURIER({1;2;3;4;5;6;7;8;9;10;11;12},TRUE()))</f>
        <v>12</v>
      </c>
      <c r="B22708" s="0" t="s">
        <v>22533</v>
      </c>
    </row>
    <row r="22709" customFormat="false" ht="15" hidden="false" customHeight="false" outlineLevel="0" collapsed="false">
      <c r="A22709" s="0" t="n">
        <f aca="false">COLUMNS(_xlfn.ORG.LIBREOFFICE.FOURIER({1;2;3;4;5;6;7;8;9;10;11;12},TRUE()))</f>
        <v>2</v>
      </c>
      <c r="B22709" s="0" t="s">
        <v>22534</v>
      </c>
    </row>
    <row r="22710" customFormat="false" ht="15" hidden="false" customHeight="false" outlineLevel="0" collapsed="false">
      <c r="A22710" s="0" t="n">
        <f aca="false">SUM(_xlfn.ORG.LIBREOFFICE.FOURIER({1;2;3;4;5;6;7;8;9;10;11;12},TRUE()))</f>
        <v>12.0000000000001</v>
      </c>
      <c r="B22710" s="0" t="s">
        <v>22535</v>
      </c>
    </row>
    <row r="22711" customFormat="false" ht="15" hidden="false" customHeight="false" outlineLevel="0" collapsed="false">
      <c r="A22711" s="0" t="n">
        <f aca="false">INDEX(_xlfn.ORG.LIBREOFFICE.FOURIER({1;2;3;4;5;6;7;8;9;10;11;12},TRUE()),1,1)</f>
        <v>78</v>
      </c>
      <c r="B22711" s="0" t="s">
        <v>22536</v>
      </c>
    </row>
    <row r="22712" customFormat="false" ht="15" hidden="false" customHeight="false" outlineLevel="0" collapsed="false">
      <c r="A22712" s="0" t="n">
        <f aca="false">INDEX(_xlfn.ORG.LIBREOFFICE.FOURIER({1;2;3;4;5;6;7;8;9;10;11;12},TRUE()),2,1)</f>
        <v>-5.99999999999997</v>
      </c>
      <c r="B22712" s="0" t="s">
        <v>22537</v>
      </c>
    </row>
    <row r="22713" customFormat="false" ht="15" hidden="false" customHeight="false" outlineLevel="0" collapsed="false">
      <c r="A22713" s="0" t="n">
        <f aca="false">INDEX(_xlfn.ORG.LIBREOFFICE.FOURIER({1;2;3;4;5;6;7;8;9;10;11;12},TRUE()),2,2)</f>
        <v>22.3923048454133</v>
      </c>
      <c r="B22713" s="0" t="s">
        <v>22538</v>
      </c>
    </row>
    <row r="22714" customFormat="false" ht="15" hidden="false" customHeight="false" outlineLevel="0" collapsed="false">
      <c r="A22714" s="0" t="n">
        <f aca="false">INDEX(_xlfn.ORG.LIBREOFFICE.FOURIER({1;2;3;4;5;6;7;8;9;10;11;12},TRUE()),3,2)</f>
        <v>10.3923048454133</v>
      </c>
      <c r="B22714" s="0" t="s">
        <v>22539</v>
      </c>
    </row>
    <row r="22715" customFormat="false" ht="15" hidden="false" customHeight="false" outlineLevel="0" collapsed="false">
      <c r="A22715" s="0" t="n">
        <f aca="false">INDEX(_xlfn.ORG.LIBREOFFICE.FOURIER({1;2;3;4;5;6;7;8;9;10;11;12},TRUE()),ROWS(_xlfn.ORG.LIBREOFFICE.FOURIER({1;2;3;4;5;6;7;8;9;10;11;12},TRUE())),1)</f>
        <v>-5.99999999999997</v>
      </c>
      <c r="B22715" s="0" t="s">
        <v>22540</v>
      </c>
    </row>
    <row r="22716" customFormat="false" ht="15" hidden="false" customHeight="false" outlineLevel="0" collapsed="false">
      <c r="A22716" s="0" t="n">
        <f aca="false">INDEX(_xlfn.ORG.LIBREOFFICE.FOURIER({1;2;3;4;5;6;7;8;9;10;11;12},TRUE()),ROWS(_xlfn.ORG.LIBREOFFICE.FOURIER({1;2;3;4;5;6;7;8;9;10;11;12},TRUE())),2)</f>
        <v>-22.3923048454133</v>
      </c>
      <c r="B22716" s="0" t="s">
        <v>22541</v>
      </c>
    </row>
    <row r="22717" customFormat="false" ht="15" hidden="false" customHeight="false" outlineLevel="0" collapsed="false">
      <c r="A22717" s="0" t="n">
        <f aca="false">SUM(_xlfn.ORG.LIBREOFFICE.FOURIER({1;2;3;4;5;6;7;8;9;10;11;12},TRUE(),TRUE()))</f>
        <v>0.999999999999998</v>
      </c>
      <c r="B22717" s="0" t="s">
        <v>22542</v>
      </c>
    </row>
    <row r="22718" customFormat="false" ht="15" hidden="false" customHeight="false" outlineLevel="0" collapsed="false">
      <c r="A22718" s="0" t="n">
        <f aca="false">INDEX(_xlfn.ORG.LIBREOFFICE.FOURIER({1;2;3;4;5;6;7;8;9;10;11;12},TRUE(),TRUE()),1,1)</f>
        <v>6.5</v>
      </c>
      <c r="B22718" s="0" t="s">
        <v>22543</v>
      </c>
    </row>
    <row r="22719" customFormat="false" ht="15" hidden="false" customHeight="false" outlineLevel="0" collapsed="false">
      <c r="A22719" s="0" t="n">
        <f aca="false">INDEX(_xlfn.ORG.LIBREOFFICE.FOURIER({1;2;3;4;5;6;7;8;9;10;11;12},TRUE(),TRUE()),2,1)</f>
        <v>-0.499999999999999</v>
      </c>
      <c r="B22719" s="0" t="s">
        <v>22544</v>
      </c>
    </row>
    <row r="22720" customFormat="false" ht="15" hidden="false" customHeight="false" outlineLevel="0" collapsed="false">
      <c r="A22720" s="0" t="n">
        <f aca="false">INDEX(_xlfn.ORG.LIBREOFFICE.FOURIER({1;2;3;4;5;6;7;8;9;10;11;12},TRUE(),TRUE()),2,2)</f>
        <v>-1.86602540378444</v>
      </c>
      <c r="B22720" s="0" t="s">
        <v>22545</v>
      </c>
    </row>
    <row r="22721" customFormat="false" ht="15" hidden="false" customHeight="false" outlineLevel="0" collapsed="false">
      <c r="A22721" s="0" t="n">
        <f aca="false">INDEX(_xlfn.ORG.LIBREOFFICE.FOURIER({1;2;3;4;5;6;7;8;9;10;11;12},TRUE(),TRUE()),3,2)</f>
        <v>-0.866025403784439</v>
      </c>
      <c r="B22721" s="0" t="s">
        <v>22546</v>
      </c>
    </row>
    <row r="22722" customFormat="false" ht="15" hidden="false" customHeight="false" outlineLevel="0" collapsed="false">
      <c r="A22722" s="0" t="n">
        <f aca="false">INDEX(_xlfn.ORG.LIBREOFFICE.FOURIER({1;2;3;4;5;6;7;8;9;10;11;12},TRUE(),TRUE()),ROWS(_xlfn.ORG.LIBREOFFICE.FOURIER({1;2;3;4;5;6;7;8;9;10;11;12},TRUE(),TRUE())),1)</f>
        <v>-0.499999999999999</v>
      </c>
      <c r="B22722" s="0" t="s">
        <v>22547</v>
      </c>
    </row>
    <row r="22723" customFormat="false" ht="15" hidden="false" customHeight="false" outlineLevel="0" collapsed="false">
      <c r="A22723" s="0" t="n">
        <f aca="false">INDEX(_xlfn.ORG.LIBREOFFICE.FOURIER({1;2;3;4;5;6;7;8;9;10;11;12},TRUE(),TRUE()),ROWS(_xlfn.ORG.LIBREOFFICE.FOURIER({1;2;3;4;5;6;7;8;9;10;11;12},TRUE(),TRUE())),2)</f>
        <v>1.86602540378444</v>
      </c>
      <c r="B22723" s="0" t="s">
        <v>22548</v>
      </c>
    </row>
    <row r="22724" customFormat="false" ht="15" hidden="false" customHeight="false" outlineLevel="0" collapsed="false">
      <c r="A22724" s="0" t="n">
        <f aca="false">SUM(_xlfn.ORG.LIBREOFFICE.FOURIER({1;2;3;4;5;6;7;8;9;10;11;12},TRUE(),FALSE(),TRUE()))</f>
        <v>200.756315689414</v>
      </c>
      <c r="B22724" s="0" t="s">
        <v>22549</v>
      </c>
    </row>
    <row r="22725" customFormat="false" ht="15" hidden="false" customHeight="false" outlineLevel="0" collapsed="false">
      <c r="A22725" s="0" t="n">
        <f aca="false">INDEX(_xlfn.ORG.LIBREOFFICE.FOURIER({1;2;3;4;5;6;7;8;9;10;11;12},TRUE(),FALSE(),TRUE()),1,1)</f>
        <v>78</v>
      </c>
      <c r="B22725" s="0" t="s">
        <v>22550</v>
      </c>
    </row>
    <row r="22726" customFormat="false" ht="15" hidden="false" customHeight="false" outlineLevel="0" collapsed="false">
      <c r="A22726" s="0" t="n">
        <f aca="false">INDEX(_xlfn.ORG.LIBREOFFICE.FOURIER({1;2;3;4;5;6;7;8;9;10;11;12},TRUE(),FALSE(),TRUE()),2,1)</f>
        <v>23.1822198309376</v>
      </c>
      <c r="B22726" s="0" t="s">
        <v>22551</v>
      </c>
    </row>
    <row r="22727" customFormat="false" ht="15" hidden="false" customHeight="false" outlineLevel="0" collapsed="false">
      <c r="A22727" s="0" t="n">
        <f aca="false">INDEX(_xlfn.ORG.LIBREOFFICE.FOURIER({1;2;3;4;5;6;7;8;9;10;11;12},TRUE(),FALSE(),TRUE()),2,2)</f>
        <v>1.83259571459404</v>
      </c>
      <c r="B22727" s="0" t="s">
        <v>22552</v>
      </c>
    </row>
    <row r="22728" customFormat="false" ht="15" hidden="false" customHeight="false" outlineLevel="0" collapsed="false">
      <c r="A22728" s="0" t="n">
        <f aca="false">INDEX(_xlfn.ORG.LIBREOFFICE.FOURIER({1;2;3;4;5;6;7;8;9;10;11;12},TRUE(),FALSE(),TRUE()),3,2)</f>
        <v>2.09439510239319</v>
      </c>
      <c r="B22728" s="0" t="s">
        <v>22553</v>
      </c>
    </row>
    <row r="22729" customFormat="false" ht="15" hidden="false" customHeight="false" outlineLevel="0" collapsed="false">
      <c r="A22729" s="0" t="n">
        <f aca="false">INDEX(_xlfn.ORG.LIBREOFFICE.FOURIER({1;2;3;4;5;6;7;8;9;10;11;12},TRUE(),FALSE(),TRUE()),ROWS(_xlfn.ORG.LIBREOFFICE.FOURIER({1;2;3;4;5;6;7;8;9;10;11;12},TRUE(),FALSE(),TRUE())),1)</f>
        <v>23.1822198309376</v>
      </c>
      <c r="B22729" s="0" t="s">
        <v>22554</v>
      </c>
    </row>
    <row r="22730" customFormat="false" ht="15" hidden="false" customHeight="false" outlineLevel="0" collapsed="false">
      <c r="A22730" s="0" t="n">
        <f aca="false">INDEX(_xlfn.ORG.LIBREOFFICE.FOURIER({1;2;3;4;5;6;7;8;9;10;11;12},TRUE(),FALSE(),TRUE()),ROWS(_xlfn.ORG.LIBREOFFICE.FOURIER({1;2;3;4;5;6;7;8;9;10;11;12},TRUE(),FALSE(),TRUE())),2)</f>
        <v>-1.83259571459404</v>
      </c>
      <c r="B22730" s="0" t="s">
        <v>22555</v>
      </c>
    </row>
    <row r="22731" customFormat="false" ht="15" hidden="false" customHeight="false" outlineLevel="0" collapsed="false">
      <c r="A22731" s="0" t="n">
        <f aca="false">SUM(_xlfn.ORG.LIBREOFFICE.FOURIER({1;2;3;4;5;6;7;8;9;10;11;12},TRUE(),TRUE(),TRUE()))</f>
        <v>19.6094862399085</v>
      </c>
      <c r="B22731" s="0" t="s">
        <v>22556</v>
      </c>
    </row>
    <row r="22732" customFormat="false" ht="15" hidden="false" customHeight="false" outlineLevel="0" collapsed="false">
      <c r="A22732" s="0" t="n">
        <f aca="false">INDEX(_xlfn.ORG.LIBREOFFICE.FOURIER({1;2;3;4;5;6;7;8;9;10;11;12},TRUE(),TRUE(),TRUE()),1,1)</f>
        <v>6.5</v>
      </c>
      <c r="B22732" s="0" t="s">
        <v>22557</v>
      </c>
    </row>
    <row r="22733" customFormat="false" ht="15" hidden="false" customHeight="false" outlineLevel="0" collapsed="false">
      <c r="A22733" s="0" t="n">
        <f aca="false">INDEX(_xlfn.ORG.LIBREOFFICE.FOURIER({1;2;3;4;5;6;7;8;9;10;11;12},TRUE(),TRUE(),TRUE()),2,1)</f>
        <v>1.93185165257814</v>
      </c>
      <c r="B22733" s="0" t="s">
        <v>22558</v>
      </c>
    </row>
    <row r="22734" customFormat="false" ht="15" hidden="false" customHeight="false" outlineLevel="0" collapsed="false">
      <c r="A22734" s="0" t="n">
        <f aca="false">INDEX(_xlfn.ORG.LIBREOFFICE.FOURIER({1;2;3;4;5;6;7;8;9;10;11;12},TRUE(),TRUE(),TRUE()),2,2)</f>
        <v>-1.83259571459405</v>
      </c>
      <c r="B22734" s="0" t="s">
        <v>22559</v>
      </c>
    </row>
    <row r="22735" customFormat="false" ht="15" hidden="false" customHeight="false" outlineLevel="0" collapsed="false">
      <c r="A22735" s="0" t="n">
        <f aca="false">INDEX(_xlfn.ORG.LIBREOFFICE.FOURIER({1;2;3;4;5;6;7;8;9;10;11;12},TRUE(),TRUE(),TRUE()),3,2)</f>
        <v>-2.0943951023932</v>
      </c>
      <c r="B22735" s="0" t="s">
        <v>22560</v>
      </c>
    </row>
    <row r="22736" customFormat="false" ht="15" hidden="false" customHeight="false" outlineLevel="0" collapsed="false">
      <c r="A22736" s="0" t="n">
        <f aca="false">INDEX(_xlfn.ORG.LIBREOFFICE.FOURIER({1;2;3;4;5;6;7;8;9;10;11;12},TRUE(),TRUE(),TRUE()),ROWS(_xlfn.ORG.LIBREOFFICE.FOURIER({1;2;3;4;5;6;7;8;9;10;11;12},TRUE(),TRUE(),TRUE())),1)</f>
        <v>1.93185165257814</v>
      </c>
      <c r="B22736" s="0" t="s">
        <v>22561</v>
      </c>
    </row>
    <row r="22737" customFormat="false" ht="15" hidden="false" customHeight="false" outlineLevel="0" collapsed="false">
      <c r="A22737" s="0" t="n">
        <f aca="false">INDEX(_xlfn.ORG.LIBREOFFICE.FOURIER({1;2;3;4;5;6;7;8;9;10;11;12},TRUE(),TRUE(),TRUE()),ROWS(_xlfn.ORG.LIBREOFFICE.FOURIER({1;2;3;4;5;6;7;8;9;10;11;12},TRUE(),TRUE(),TRUE())),2)</f>
        <v>1.83259571459405</v>
      </c>
      <c r="B22737" s="0" t="s">
        <v>22562</v>
      </c>
    </row>
    <row r="22738" customFormat="false" ht="15" hidden="false" customHeight="false" outlineLevel="0" collapsed="false">
      <c r="A22738" s="0" t="n">
        <f aca="false">SUM(_xlfn.ORG.LIBREOFFICE.FOURIER({1;2;3;4;5;6;7;8;9;10;11;12},TRUE(),FALSE(),TRUE(),1))</f>
        <v>200.756315689414</v>
      </c>
      <c r="B22738" s="0" t="s">
        <v>22563</v>
      </c>
    </row>
    <row r="22739" customFormat="false" ht="15" hidden="false" customHeight="false" outlineLevel="0" collapsed="false">
      <c r="A22739" s="0" t="n">
        <f aca="false">INDEX(_xlfn.ORG.LIBREOFFICE.FOURIER({1;2;3;4;5;6;7;8;9;10;11;12},TRUE(),FALSE(),TRUE(),1),1,1)</f>
        <v>78</v>
      </c>
      <c r="B22739" s="0" t="s">
        <v>22564</v>
      </c>
    </row>
    <row r="22740" customFormat="false" ht="15" hidden="false" customHeight="false" outlineLevel="0" collapsed="false">
      <c r="A22740" s="0" t="n">
        <f aca="false">INDEX(_xlfn.ORG.LIBREOFFICE.FOURIER({1;2;3;4;5;6;7;8;9;10;11;12},TRUE(),FALSE(),TRUE(),1),2,1)</f>
        <v>23.1822198309376</v>
      </c>
      <c r="B22740" s="0" t="s">
        <v>22565</v>
      </c>
    </row>
    <row r="22741" customFormat="false" ht="15" hidden="false" customHeight="false" outlineLevel="0" collapsed="false">
      <c r="A22741" s="0" t="n">
        <f aca="false">INDEX(_xlfn.ORG.LIBREOFFICE.FOURIER({1;2;3;4;5;6;7;8;9;10;11;12},TRUE(),FALSE(),TRUE(),1),2,2)</f>
        <v>1.83259571459404</v>
      </c>
      <c r="B22741" s="0" t="s">
        <v>22566</v>
      </c>
    </row>
    <row r="22742" customFormat="false" ht="15" hidden="false" customHeight="false" outlineLevel="0" collapsed="false">
      <c r="A22742" s="0" t="n">
        <f aca="false">INDEX(_xlfn.ORG.LIBREOFFICE.FOURIER({1;2;3;4;5;6;7;8;9;10;11;12},TRUE(),FALSE(),TRUE(),1),3,2)</f>
        <v>2.09439510239319</v>
      </c>
      <c r="B22742" s="0" t="s">
        <v>22567</v>
      </c>
    </row>
    <row r="22743" customFormat="false" ht="15" hidden="false" customHeight="false" outlineLevel="0" collapsed="false">
      <c r="A22743" s="0" t="n">
        <f aca="false">INDEX(_xlfn.ORG.LIBREOFFICE.FOURIER({1;2;3;4;5;6;7;8;9;10;11;12},TRUE(),FALSE(),TRUE(),1),ROWS(_xlfn.ORG.LIBREOFFICE.FOURIER({1;2;3;4;5;6;7;8;9;10;11;12},TRUE(),FALSE(),TRUE(),1)),1)</f>
        <v>23.1822198309376</v>
      </c>
      <c r="B22743" s="0" t="s">
        <v>22568</v>
      </c>
    </row>
    <row r="22744" customFormat="false" ht="15" hidden="false" customHeight="false" outlineLevel="0" collapsed="false">
      <c r="A22744" s="0" t="n">
        <f aca="false">INDEX(_xlfn.ORG.LIBREOFFICE.FOURIER({1;2;3;4;5;6;7;8;9;10;11;12},TRUE(),FALSE(),TRUE(),1),ROWS(_xlfn.ORG.LIBREOFFICE.FOURIER({1;2;3;4;5;6;7;8;9;10;11;12},TRUE(),FALSE(),TRUE(),1)),2)</f>
        <v>-1.83259571459404</v>
      </c>
      <c r="B22744" s="0" t="s">
        <v>22569</v>
      </c>
    </row>
    <row r="22745" customFormat="false" ht="15" hidden="false" customHeight="false" outlineLevel="0" collapsed="false">
      <c r="A22745" s="0" t="n">
        <f aca="false">SUM(_xlfn.ORG.LIBREOFFICE.FOURIER({1;2;3;4;5;6;7;8;9;10;11;12},TRUE(),TRUE(),TRUE(),5))</f>
        <v>19.6094862399085</v>
      </c>
      <c r="B22745" s="0" t="s">
        <v>22570</v>
      </c>
    </row>
    <row r="22746" customFormat="false" ht="15" hidden="false" customHeight="false" outlineLevel="0" collapsed="false">
      <c r="A22746" s="0" t="n">
        <f aca="false">INDEX(_xlfn.ORG.LIBREOFFICE.FOURIER({1;2;3;4;5;6;7;8;9;10;11;12},TRUE(),TRUE(),TRUE(),5),1,1)</f>
        <v>6.5</v>
      </c>
      <c r="B22746" s="0" t="s">
        <v>22571</v>
      </c>
    </row>
    <row r="22747" customFormat="false" ht="15" hidden="false" customHeight="false" outlineLevel="0" collapsed="false">
      <c r="A22747" s="0" t="n">
        <f aca="false">INDEX(_xlfn.ORG.LIBREOFFICE.FOURIER({1;2;3;4;5;6;7;8;9;10;11;12},TRUE(),TRUE(),TRUE(),5),2,1)</f>
        <v>1.93185165257814</v>
      </c>
      <c r="B22747" s="0" t="s">
        <v>22572</v>
      </c>
    </row>
    <row r="22748" customFormat="false" ht="15" hidden="false" customHeight="false" outlineLevel="0" collapsed="false">
      <c r="A22748" s="0" t="n">
        <f aca="false">INDEX(_xlfn.ORG.LIBREOFFICE.FOURIER({1;2;3;4;5;6;7;8;9;10;11;12},TRUE(),TRUE(),TRUE(),5),2,2)</f>
        <v>-1.83259571459405</v>
      </c>
      <c r="B22748" s="0" t="s">
        <v>22573</v>
      </c>
    </row>
    <row r="22749" customFormat="false" ht="15" hidden="false" customHeight="false" outlineLevel="0" collapsed="false">
      <c r="A22749" s="0" t="n">
        <f aca="false">INDEX(_xlfn.ORG.LIBREOFFICE.FOURIER({1;2;3;4;5;6;7;8;9;10;11;12},TRUE(),TRUE(),TRUE(),5),3,2)</f>
        <v>-2.0943951023932</v>
      </c>
      <c r="B22749" s="0" t="s">
        <v>22574</v>
      </c>
    </row>
    <row r="22750" customFormat="false" ht="15" hidden="false" customHeight="false" outlineLevel="0" collapsed="false">
      <c r="A22750" s="0" t="n">
        <f aca="false">INDEX(_xlfn.ORG.LIBREOFFICE.FOURIER({1;2;3;4;5;6;7;8;9;10;11;12},TRUE(),TRUE(),TRUE(),5),ROWS(_xlfn.ORG.LIBREOFFICE.FOURIER({1;2;3;4;5;6;7;8;9;10;11;12},TRUE(),TRUE(),TRUE(),5)),1)</f>
        <v>1.93185165257814</v>
      </c>
      <c r="B22750" s="0" t="s">
        <v>22575</v>
      </c>
    </row>
    <row r="22751" customFormat="false" ht="15" hidden="false" customHeight="false" outlineLevel="0" collapsed="false">
      <c r="A22751" s="0" t="n">
        <f aca="false">INDEX(_xlfn.ORG.LIBREOFFICE.FOURIER({1;2;3;4;5;6;7;8;9;10;11;12},TRUE(),TRUE(),TRUE(),5),ROWS(_xlfn.ORG.LIBREOFFICE.FOURIER({1;2;3;4;5;6;7;8;9;10;11;12},TRUE(),TRUE(),TRUE(),5)),2)</f>
        <v>1.83259571459405</v>
      </c>
      <c r="B22751" s="0" t="s">
        <v>22576</v>
      </c>
    </row>
    <row r="22752" customFormat="false" ht="15" hidden="false" customHeight="false" outlineLevel="0" collapsed="false">
      <c r="A22752" s="0" t="n">
        <f aca="false">ROWS(_xlfn.ORG.LIBREOFFICE.FOURIER(TRANSPOSE({1;2;3;4;5;6;7;8;9;10;11;12}),FALSE()))</f>
        <v>12</v>
      </c>
      <c r="B22752" s="0" t="s">
        <v>22577</v>
      </c>
    </row>
    <row r="22753" customFormat="false" ht="15" hidden="false" customHeight="false" outlineLevel="0" collapsed="false">
      <c r="A22753" s="0" t="n">
        <f aca="false">COLUMNS(_xlfn.ORG.LIBREOFFICE.FOURIER(TRANSPOSE({1;2;3;4;5;6;7;8;9;10;11;12}),FALSE()))</f>
        <v>2</v>
      </c>
      <c r="B22753" s="0" t="s">
        <v>22578</v>
      </c>
    </row>
    <row r="22754" customFormat="false" ht="15" hidden="false" customHeight="false" outlineLevel="0" collapsed="false">
      <c r="A22754" s="0" t="n">
        <f aca="false">SUM(_xlfn.ORG.LIBREOFFICE.FOURIER(TRANSPOSE({1;2;3;4;5;6;7;8;9;10;11;12}),FALSE()))</f>
        <v>12.0000000000001</v>
      </c>
      <c r="B22754" s="0" t="s">
        <v>22579</v>
      </c>
    </row>
    <row r="22755" customFormat="false" ht="15" hidden="false" customHeight="false" outlineLevel="0" collapsed="false">
      <c r="A22755" s="0" t="n">
        <f aca="false">INDEX(_xlfn.ORG.LIBREOFFICE.FOURIER(TRANSPOSE({1;2;3;4;5;6;7;8;9;10;11;12}),FALSE()),1,1)</f>
        <v>78</v>
      </c>
      <c r="B22755" s="0" t="s">
        <v>22580</v>
      </c>
    </row>
    <row r="22756" customFormat="false" ht="15" hidden="false" customHeight="false" outlineLevel="0" collapsed="false">
      <c r="A22756" s="0" t="n">
        <f aca="false">INDEX(_xlfn.ORG.LIBREOFFICE.FOURIER(TRANSPOSE({1;2;3;4;5;6;7;8;9;10;11;12}),FALSE()),2,1)</f>
        <v>-5.99999999999997</v>
      </c>
      <c r="B22756" s="0" t="s">
        <v>22581</v>
      </c>
    </row>
    <row r="22757" customFormat="false" ht="15" hidden="false" customHeight="false" outlineLevel="0" collapsed="false">
      <c r="A22757" s="0" t="n">
        <f aca="false">INDEX(_xlfn.ORG.LIBREOFFICE.FOURIER(TRANSPOSE({1;2;3;4;5;6;7;8;9;10;11;12}),FALSE()),2,2)</f>
        <v>22.3923048454133</v>
      </c>
      <c r="B22757" s="0" t="s">
        <v>22582</v>
      </c>
    </row>
    <row r="22758" customFormat="false" ht="15" hidden="false" customHeight="false" outlineLevel="0" collapsed="false">
      <c r="A22758" s="0" t="n">
        <f aca="false">INDEX(_xlfn.ORG.LIBREOFFICE.FOURIER(TRANSPOSE({1;2;3;4;5;6;7;8;9;10;11;12}),FALSE()),3,2)</f>
        <v>10.3923048454133</v>
      </c>
      <c r="B22758" s="0" t="s">
        <v>22583</v>
      </c>
    </row>
    <row r="22759" customFormat="false" ht="15" hidden="false" customHeight="false" outlineLevel="0" collapsed="false">
      <c r="A22759" s="0" t="n">
        <f aca="false">INDEX(_xlfn.ORG.LIBREOFFICE.FOURIER(TRANSPOSE({1;2;3;4;5;6;7;8;9;10;11;12}),FALSE()),ROWS(_xlfn.ORG.LIBREOFFICE.FOURIER(TRANSPOSE({1;2;3;4;5;6;7;8;9;10;11;12}),FALSE())),1)</f>
        <v>-5.99999999999997</v>
      </c>
      <c r="B22759" s="0" t="s">
        <v>22584</v>
      </c>
    </row>
    <row r="22760" customFormat="false" ht="15" hidden="false" customHeight="false" outlineLevel="0" collapsed="false">
      <c r="A22760" s="0" t="n">
        <f aca="false">INDEX(_xlfn.ORG.LIBREOFFICE.FOURIER(TRANSPOSE({1;2;3;4;5;6;7;8;9;10;11;12}),FALSE()),ROWS(_xlfn.ORG.LIBREOFFICE.FOURIER(TRANSPOSE({1;2;3;4;5;6;7;8;9;10;11;12}),FALSE())),2)</f>
        <v>-22.3923048454133</v>
      </c>
      <c r="B22760" s="0" t="s">
        <v>22585</v>
      </c>
    </row>
    <row r="22761" customFormat="false" ht="15" hidden="false" customHeight="false" outlineLevel="0" collapsed="false">
      <c r="A22761" s="0" t="n">
        <f aca="false">SUM(_xlfn.ORG.LIBREOFFICE.FOURIER(TRANSPOSE({1;2;3;4;5;6;7;8;9;10;11;12}),FALSE(),TRUE()))</f>
        <v>0.999999999999998</v>
      </c>
      <c r="B22761" s="0" t="s">
        <v>22586</v>
      </c>
    </row>
    <row r="22762" customFormat="false" ht="15" hidden="false" customHeight="false" outlineLevel="0" collapsed="false">
      <c r="A22762" s="0" t="n">
        <f aca="false">INDEX(_xlfn.ORG.LIBREOFFICE.FOURIER(TRANSPOSE({1;2;3;4;5;6;7;8;9;10;11;12}),FALSE(),TRUE()),1,1)</f>
        <v>6.5</v>
      </c>
      <c r="B22762" s="0" t="s">
        <v>22587</v>
      </c>
    </row>
    <row r="22763" customFormat="false" ht="15" hidden="false" customHeight="false" outlineLevel="0" collapsed="false">
      <c r="A22763" s="0" t="n">
        <f aca="false">INDEX(_xlfn.ORG.LIBREOFFICE.FOURIER(TRANSPOSE({1;2;3;4;5;6;7;8;9;10;11;12}),FALSE(),TRUE()),2,1)</f>
        <v>-0.499999999999999</v>
      </c>
      <c r="B22763" s="0" t="s">
        <v>22588</v>
      </c>
    </row>
    <row r="22764" customFormat="false" ht="15" hidden="false" customHeight="false" outlineLevel="0" collapsed="false">
      <c r="A22764" s="0" t="n">
        <f aca="false">INDEX(_xlfn.ORG.LIBREOFFICE.FOURIER(TRANSPOSE({1;2;3;4;5;6;7;8;9;10;11;12}),FALSE(),TRUE()),2,2)</f>
        <v>-1.86602540378444</v>
      </c>
      <c r="B22764" s="0" t="s">
        <v>22589</v>
      </c>
    </row>
    <row r="22765" customFormat="false" ht="15" hidden="false" customHeight="false" outlineLevel="0" collapsed="false">
      <c r="A22765" s="0" t="n">
        <f aca="false">INDEX(_xlfn.ORG.LIBREOFFICE.FOURIER(TRANSPOSE({1;2;3;4;5;6;7;8;9;10;11;12}),FALSE(),TRUE()),3,2)</f>
        <v>-0.866025403784439</v>
      </c>
      <c r="B22765" s="0" t="s">
        <v>22590</v>
      </c>
    </row>
    <row r="22766" customFormat="false" ht="15" hidden="false" customHeight="false" outlineLevel="0" collapsed="false">
      <c r="A22766" s="0" t="n">
        <f aca="false">INDEX(_xlfn.ORG.LIBREOFFICE.FOURIER(TRANSPOSE({1;2;3;4;5;6;7;8;9;10;11;12}),FALSE(),TRUE()),ROWS(_xlfn.ORG.LIBREOFFICE.FOURIER(TRANSPOSE({1;2;3;4;5;6;7;8;9;10;11;12}),FALSE(),TRUE())),1)</f>
        <v>-0.499999999999999</v>
      </c>
      <c r="B22766" s="0" t="s">
        <v>22591</v>
      </c>
    </row>
    <row r="22767" customFormat="false" ht="15" hidden="false" customHeight="false" outlineLevel="0" collapsed="false">
      <c r="A22767" s="0" t="n">
        <f aca="false">INDEX(_xlfn.ORG.LIBREOFFICE.FOURIER(TRANSPOSE({1;2;3;4;5;6;7;8;9;10;11;12}),FALSE(),TRUE()),ROWS(_xlfn.ORG.LIBREOFFICE.FOURIER(TRANSPOSE({1;2;3;4;5;6;7;8;9;10;11;12}),FALSE(),TRUE())),2)</f>
        <v>1.86602540378444</v>
      </c>
      <c r="B22767" s="0" t="s">
        <v>22592</v>
      </c>
    </row>
    <row r="22768" customFormat="false" ht="15" hidden="false" customHeight="false" outlineLevel="0" collapsed="false">
      <c r="A22768" s="0" t="n">
        <f aca="false">SUM(_xlfn.ORG.LIBREOFFICE.FOURIER(TRANSPOSE({1;2;3;4;5;6;7;8;9;10;11;12}),FALSE(),FALSE(),TRUE()))</f>
        <v>200.756315689414</v>
      </c>
      <c r="B22768" s="0" t="s">
        <v>22593</v>
      </c>
    </row>
    <row r="22769" customFormat="false" ht="15" hidden="false" customHeight="false" outlineLevel="0" collapsed="false">
      <c r="A22769" s="0" t="n">
        <f aca="false">INDEX(_xlfn.ORG.LIBREOFFICE.FOURIER(TRANSPOSE({1;2;3;4;5;6;7;8;9;10;11;12}),FALSE(),FALSE(),TRUE()),1,1)</f>
        <v>78</v>
      </c>
      <c r="B22769" s="0" t="s">
        <v>22594</v>
      </c>
    </row>
    <row r="22770" customFormat="false" ht="15" hidden="false" customHeight="false" outlineLevel="0" collapsed="false">
      <c r="A22770" s="0" t="n">
        <f aca="false">INDEX(_xlfn.ORG.LIBREOFFICE.FOURIER(TRANSPOSE({1;2;3;4;5;6;7;8;9;10;11;12}),FALSE(),FALSE(),TRUE()),2,1)</f>
        <v>23.1822198309376</v>
      </c>
      <c r="B22770" s="0" t="s">
        <v>22595</v>
      </c>
    </row>
    <row r="22771" customFormat="false" ht="15" hidden="false" customHeight="false" outlineLevel="0" collapsed="false">
      <c r="A22771" s="0" t="n">
        <f aca="false">INDEX(_xlfn.ORG.LIBREOFFICE.FOURIER(TRANSPOSE({1;2;3;4;5;6;7;8;9;10;11;12}),FALSE(),FALSE(),TRUE()),2,2)</f>
        <v>1.83259571459404</v>
      </c>
      <c r="B22771" s="0" t="s">
        <v>22596</v>
      </c>
    </row>
    <row r="22772" customFormat="false" ht="15" hidden="false" customHeight="false" outlineLevel="0" collapsed="false">
      <c r="A22772" s="0" t="n">
        <f aca="false">INDEX(_xlfn.ORG.LIBREOFFICE.FOURIER(TRANSPOSE({1;2;3;4;5;6;7;8;9;10;11;12}),FALSE(),FALSE(),TRUE()),3,2)</f>
        <v>2.09439510239319</v>
      </c>
      <c r="B22772" s="0" t="s">
        <v>22597</v>
      </c>
    </row>
    <row r="22773" customFormat="false" ht="15" hidden="false" customHeight="false" outlineLevel="0" collapsed="false">
      <c r="A22773" s="0" t="n">
        <f aca="false">INDEX(_xlfn.ORG.LIBREOFFICE.FOURIER(TRANSPOSE({1;2;3;4;5;6;7;8;9;10;11;12}),FALSE(),FALSE(),TRUE()),ROWS(_xlfn.ORG.LIBREOFFICE.FOURIER(TRANSPOSE({1;2;3;4;5;6;7;8;9;10;11;12}),FALSE(),FALSE(),TRUE())),1)</f>
        <v>23.1822198309376</v>
      </c>
      <c r="B22773" s="0" t="s">
        <v>22598</v>
      </c>
    </row>
    <row r="22774" customFormat="false" ht="15" hidden="false" customHeight="false" outlineLevel="0" collapsed="false">
      <c r="A22774" s="0" t="n">
        <f aca="false">INDEX(_xlfn.ORG.LIBREOFFICE.FOURIER(TRANSPOSE({1;2;3;4;5;6;7;8;9;10;11;12}),FALSE(),FALSE(),TRUE()),ROWS(_xlfn.ORG.LIBREOFFICE.FOURIER(TRANSPOSE({1;2;3;4;5;6;7;8;9;10;11;12}),FALSE(),FALSE(),TRUE())),2)</f>
        <v>-1.83259571459404</v>
      </c>
      <c r="B22774" s="0" t="s">
        <v>22599</v>
      </c>
    </row>
    <row r="22775" customFormat="false" ht="15" hidden="false" customHeight="false" outlineLevel="0" collapsed="false">
      <c r="A22775" s="0" t="n">
        <f aca="false">SUM(_xlfn.ORG.LIBREOFFICE.FOURIER(TRANSPOSE({1;2;3;4;5;6;7;8;9;10;11;12}),FALSE(),TRUE(),TRUE()))</f>
        <v>19.6094862399085</v>
      </c>
      <c r="B22775" s="0" t="s">
        <v>22600</v>
      </c>
    </row>
    <row r="22776" customFormat="false" ht="15" hidden="false" customHeight="false" outlineLevel="0" collapsed="false">
      <c r="A22776" s="0" t="n">
        <f aca="false">INDEX(_xlfn.ORG.LIBREOFFICE.FOURIER(TRANSPOSE({1;2;3;4;5;6;7;8;9;10;11;12}),FALSE(),TRUE(),TRUE()),1,1)</f>
        <v>6.5</v>
      </c>
      <c r="B22776" s="0" t="s">
        <v>22601</v>
      </c>
    </row>
    <row r="22777" customFormat="false" ht="15" hidden="false" customHeight="false" outlineLevel="0" collapsed="false">
      <c r="A22777" s="0" t="n">
        <f aca="false">INDEX(_xlfn.ORG.LIBREOFFICE.FOURIER(TRANSPOSE({1;2;3;4;5;6;7;8;9;10;11;12}),FALSE(),TRUE(),TRUE()),2,1)</f>
        <v>1.93185165257814</v>
      </c>
      <c r="B22777" s="0" t="s">
        <v>22602</v>
      </c>
    </row>
    <row r="22778" customFormat="false" ht="15" hidden="false" customHeight="false" outlineLevel="0" collapsed="false">
      <c r="A22778" s="0" t="n">
        <f aca="false">INDEX(_xlfn.ORG.LIBREOFFICE.FOURIER(TRANSPOSE({1;2;3;4;5;6;7;8;9;10;11;12}),FALSE(),TRUE(),TRUE()),2,2)</f>
        <v>-1.83259571459405</v>
      </c>
      <c r="B22778" s="0" t="s">
        <v>22603</v>
      </c>
    </row>
    <row r="22779" customFormat="false" ht="15" hidden="false" customHeight="false" outlineLevel="0" collapsed="false">
      <c r="A22779" s="0" t="n">
        <f aca="false">INDEX(_xlfn.ORG.LIBREOFFICE.FOURIER(TRANSPOSE({1;2;3;4;5;6;7;8;9;10;11;12}),FALSE(),TRUE(),TRUE()),3,2)</f>
        <v>-2.0943951023932</v>
      </c>
      <c r="B22779" s="0" t="s">
        <v>22604</v>
      </c>
    </row>
    <row r="22780" customFormat="false" ht="15" hidden="false" customHeight="false" outlineLevel="0" collapsed="false">
      <c r="A22780" s="0" t="n">
        <f aca="false">INDEX(_xlfn.ORG.LIBREOFFICE.FOURIER(TRANSPOSE({1;2;3;4;5;6;7;8;9;10;11;12}),FALSE(),TRUE(),TRUE()),ROWS(_xlfn.ORG.LIBREOFFICE.FOURIER(TRANSPOSE({1;2;3;4;5;6;7;8;9;10;11;12}),FALSE(),TRUE(),TRUE())),1)</f>
        <v>1.93185165257814</v>
      </c>
      <c r="B22780" s="0" t="s">
        <v>22605</v>
      </c>
    </row>
    <row r="22781" customFormat="false" ht="15" hidden="false" customHeight="false" outlineLevel="0" collapsed="false">
      <c r="A22781" s="0" t="n">
        <f aca="false">INDEX(_xlfn.ORG.LIBREOFFICE.FOURIER(TRANSPOSE({1;2;3;4;5;6;7;8;9;10;11;12}),FALSE(),TRUE(),TRUE()),ROWS(_xlfn.ORG.LIBREOFFICE.FOURIER(TRANSPOSE({1;2;3;4;5;6;7;8;9;10;11;12}),FALSE(),TRUE(),TRUE())),2)</f>
        <v>1.83259571459405</v>
      </c>
      <c r="B22781" s="0" t="s">
        <v>22606</v>
      </c>
    </row>
    <row r="22782" customFormat="false" ht="15" hidden="false" customHeight="false" outlineLevel="0" collapsed="false">
      <c r="A22782" s="0" t="n">
        <f aca="false">SUM(_xlfn.ORG.LIBREOFFICE.FOURIER(TRANSPOSE({1;2;3;4;5;6;7;8;9;10;11;12}),FALSE(),FALSE(),TRUE(),1))</f>
        <v>200.756315689414</v>
      </c>
      <c r="B22782" s="0" t="s">
        <v>22607</v>
      </c>
    </row>
    <row r="22783" customFormat="false" ht="15" hidden="false" customHeight="false" outlineLevel="0" collapsed="false">
      <c r="A22783" s="0" t="n">
        <f aca="false">INDEX(_xlfn.ORG.LIBREOFFICE.FOURIER(TRANSPOSE({1;2;3;4;5;6;7;8;9;10;11;12}),FALSE(),FALSE(),TRUE(),1),1,1)</f>
        <v>78</v>
      </c>
      <c r="B22783" s="0" t="s">
        <v>22608</v>
      </c>
    </row>
    <row r="22784" customFormat="false" ht="15" hidden="false" customHeight="false" outlineLevel="0" collapsed="false">
      <c r="A22784" s="0" t="n">
        <f aca="false">INDEX(_xlfn.ORG.LIBREOFFICE.FOURIER(TRANSPOSE({1;2;3;4;5;6;7;8;9;10;11;12}),FALSE(),FALSE(),TRUE(),1),2,1)</f>
        <v>23.1822198309376</v>
      </c>
      <c r="B22784" s="0" t="s">
        <v>22609</v>
      </c>
    </row>
    <row r="22785" customFormat="false" ht="15" hidden="false" customHeight="false" outlineLevel="0" collapsed="false">
      <c r="A22785" s="0" t="n">
        <f aca="false">INDEX(_xlfn.ORG.LIBREOFFICE.FOURIER(TRANSPOSE({1;2;3;4;5;6;7;8;9;10;11;12}),FALSE(),FALSE(),TRUE(),1),2,2)</f>
        <v>1.83259571459404</v>
      </c>
      <c r="B22785" s="0" t="s">
        <v>22610</v>
      </c>
    </row>
    <row r="22786" customFormat="false" ht="15" hidden="false" customHeight="false" outlineLevel="0" collapsed="false">
      <c r="A22786" s="0" t="n">
        <f aca="false">INDEX(_xlfn.ORG.LIBREOFFICE.FOURIER(TRANSPOSE({1;2;3;4;5;6;7;8;9;10;11;12}),FALSE(),FALSE(),TRUE(),1),3,2)</f>
        <v>2.09439510239319</v>
      </c>
      <c r="B22786" s="0" t="s">
        <v>22611</v>
      </c>
    </row>
    <row r="22787" customFormat="false" ht="15" hidden="false" customHeight="false" outlineLevel="0" collapsed="false">
      <c r="A22787" s="0" t="n">
        <f aca="false">INDEX(_xlfn.ORG.LIBREOFFICE.FOURIER(TRANSPOSE({1;2;3;4;5;6;7;8;9;10;11;12}),FALSE(),FALSE(),TRUE(),1),ROWS(_xlfn.ORG.LIBREOFFICE.FOURIER(TRANSPOSE({1;2;3;4;5;6;7;8;9;10;11;12}),FALSE(),FALSE(),TRUE(),1)),1)</f>
        <v>23.1822198309376</v>
      </c>
      <c r="B22787" s="0" t="s">
        <v>22612</v>
      </c>
    </row>
    <row r="22788" customFormat="false" ht="15" hidden="false" customHeight="false" outlineLevel="0" collapsed="false">
      <c r="A22788" s="0" t="n">
        <f aca="false">INDEX(_xlfn.ORG.LIBREOFFICE.FOURIER(TRANSPOSE({1;2;3;4;5;6;7;8;9;10;11;12}),FALSE(),FALSE(),TRUE(),1),ROWS(_xlfn.ORG.LIBREOFFICE.FOURIER(TRANSPOSE({1;2;3;4;5;6;7;8;9;10;11;12}),FALSE(),FALSE(),TRUE(),1)),2)</f>
        <v>-1.83259571459404</v>
      </c>
      <c r="B22788" s="0" t="s">
        <v>22613</v>
      </c>
    </row>
    <row r="22789" customFormat="false" ht="15" hidden="false" customHeight="false" outlineLevel="0" collapsed="false">
      <c r="A22789" s="0" t="n">
        <f aca="false">SUM(_xlfn.ORG.LIBREOFFICE.FOURIER(TRANSPOSE({1;2;3;4;5;6;7;8;9;10;11;12}),FALSE(),TRUE(),TRUE(),5))</f>
        <v>19.6094862399085</v>
      </c>
      <c r="B22789" s="0" t="s">
        <v>22614</v>
      </c>
    </row>
    <row r="22790" customFormat="false" ht="15" hidden="false" customHeight="false" outlineLevel="0" collapsed="false">
      <c r="A22790" s="0" t="n">
        <f aca="false">INDEX(_xlfn.ORG.LIBREOFFICE.FOURIER(TRANSPOSE({1;2;3;4;5;6;7;8;9;10;11;12}),FALSE(),TRUE(),TRUE(),5),1,1)</f>
        <v>6.5</v>
      </c>
      <c r="B22790" s="0" t="s">
        <v>22615</v>
      </c>
    </row>
    <row r="22791" customFormat="false" ht="15" hidden="false" customHeight="false" outlineLevel="0" collapsed="false">
      <c r="A22791" s="0" t="n">
        <f aca="false">INDEX(_xlfn.ORG.LIBREOFFICE.FOURIER(TRANSPOSE({1;2;3;4;5;6;7;8;9;10;11;12}),FALSE(),TRUE(),TRUE(),5),2,1)</f>
        <v>1.93185165257814</v>
      </c>
      <c r="B22791" s="0" t="s">
        <v>22616</v>
      </c>
    </row>
    <row r="22792" customFormat="false" ht="15" hidden="false" customHeight="false" outlineLevel="0" collapsed="false">
      <c r="A22792" s="0" t="n">
        <f aca="false">INDEX(_xlfn.ORG.LIBREOFFICE.FOURIER(TRANSPOSE({1;2;3;4;5;6;7;8;9;10;11;12}),FALSE(),TRUE(),TRUE(),5),2,2)</f>
        <v>-1.83259571459405</v>
      </c>
      <c r="B22792" s="0" t="s">
        <v>22617</v>
      </c>
    </row>
    <row r="22793" customFormat="false" ht="15" hidden="false" customHeight="false" outlineLevel="0" collapsed="false">
      <c r="A22793" s="0" t="n">
        <f aca="false">INDEX(_xlfn.ORG.LIBREOFFICE.FOURIER(TRANSPOSE({1;2;3;4;5;6;7;8;9;10;11;12}),FALSE(),TRUE(),TRUE(),5),3,2)</f>
        <v>-2.0943951023932</v>
      </c>
      <c r="B22793" s="0" t="s">
        <v>22618</v>
      </c>
    </row>
    <row r="22794" customFormat="false" ht="15" hidden="false" customHeight="false" outlineLevel="0" collapsed="false">
      <c r="A22794" s="0" t="n">
        <f aca="false">INDEX(_xlfn.ORG.LIBREOFFICE.FOURIER(TRANSPOSE({1;2;3;4;5;6;7;8;9;10;11;12}),FALSE(),TRUE(),TRUE(),5),ROWS(_xlfn.ORG.LIBREOFFICE.FOURIER(TRANSPOSE({1;2;3;4;5;6;7;8;9;10;11;12}),FALSE(),TRUE(),TRUE(),5)),1)</f>
        <v>1.93185165257814</v>
      </c>
      <c r="B22794" s="0" t="s">
        <v>22619</v>
      </c>
    </row>
    <row r="22795" customFormat="false" ht="15" hidden="false" customHeight="false" outlineLevel="0" collapsed="false">
      <c r="A22795" s="0" t="n">
        <f aca="false">INDEX(_xlfn.ORG.LIBREOFFICE.FOURIER(TRANSPOSE({1;2;3;4;5;6;7;8;9;10;11;12}),FALSE(),TRUE(),TRUE(),5),ROWS(_xlfn.ORG.LIBREOFFICE.FOURIER(TRANSPOSE({1;2;3;4;5;6;7;8;9;10;11;12}),FALSE(),TRUE(),TRUE(),5)),2)</f>
        <v>1.83259571459405</v>
      </c>
      <c r="B22795" s="0" t="s">
        <v>22620</v>
      </c>
    </row>
    <row r="22796" customFormat="false" ht="15" hidden="false" customHeight="false" outlineLevel="0" collapsed="false">
      <c r="A22796" s="0" t="n">
        <f aca="false">ROWS(_xlfn.ORG.LIBREOFFICE.FOURIER({1,2;3,4},TRUE()))</f>
        <v>2</v>
      </c>
      <c r="B22796" s="0" t="s">
        <v>22621</v>
      </c>
    </row>
    <row r="22797" customFormat="false" ht="15" hidden="false" customHeight="false" outlineLevel="0" collapsed="false">
      <c r="A22797" s="0" t="n">
        <f aca="false">COLUMNS(_xlfn.ORG.LIBREOFFICE.FOURIER({1,2;3,4},TRUE()))</f>
        <v>2</v>
      </c>
      <c r="B22797" s="0" t="s">
        <v>22622</v>
      </c>
    </row>
    <row r="22798" customFormat="false" ht="15" hidden="false" customHeight="false" outlineLevel="0" collapsed="false">
      <c r="A22798" s="0" t="n">
        <f aca="false">SUM(_xlfn.ORG.LIBREOFFICE.FOURIER({1,2;3,4},TRUE()))</f>
        <v>6</v>
      </c>
      <c r="B22798" s="0" t="s">
        <v>22623</v>
      </c>
    </row>
    <row r="22799" customFormat="false" ht="15" hidden="false" customHeight="false" outlineLevel="0" collapsed="false">
      <c r="A22799" s="0" t="n">
        <f aca="false">INDEX(_xlfn.ORG.LIBREOFFICE.FOURIER({1,2;3,4},TRUE()),1,1)</f>
        <v>4</v>
      </c>
      <c r="B22799" s="0" t="s">
        <v>22624</v>
      </c>
    </row>
    <row r="22800" customFormat="false" ht="15" hidden="false" customHeight="false" outlineLevel="0" collapsed="false">
      <c r="A22800" s="0" t="n">
        <f aca="false">INDEX(_xlfn.ORG.LIBREOFFICE.FOURIER({1,2;3,4},TRUE()),2,1)</f>
        <v>-2</v>
      </c>
      <c r="B22800" s="0" t="s">
        <v>22625</v>
      </c>
    </row>
    <row r="22801" customFormat="false" ht="15" hidden="false" customHeight="false" outlineLevel="0" collapsed="false">
      <c r="A22801" s="0" t="n">
        <f aca="false">INDEX(_xlfn.ORG.LIBREOFFICE.FOURIER({1,2;3,4},TRUE()),2,2)</f>
        <v>-2</v>
      </c>
      <c r="B22801" s="0" t="s">
        <v>22626</v>
      </c>
    </row>
    <row r="22802" customFormat="false" ht="15" hidden="false" customHeight="false" outlineLevel="0" collapsed="false">
      <c r="A22802" s="0" t="e">
        <f aca="false">INDEX(_xlfn.ORG.LIBREOFFICE.FOURIER({1,2;3,4},TRUE()),3,2)</f>
        <v>#REF!</v>
      </c>
      <c r="B22802" s="0" t="s">
        <v>22627</v>
      </c>
    </row>
    <row r="22803" customFormat="false" ht="15" hidden="false" customHeight="false" outlineLevel="0" collapsed="false">
      <c r="A22803" s="0" t="n">
        <f aca="false">INDEX(_xlfn.ORG.LIBREOFFICE.FOURIER({1,2;3,4},TRUE()),ROWS(_xlfn.ORG.LIBREOFFICE.FOURIER({1,2;3,4},TRUE())),1)</f>
        <v>-2</v>
      </c>
      <c r="B22803" s="0" t="s">
        <v>22628</v>
      </c>
    </row>
    <row r="22804" customFormat="false" ht="15" hidden="false" customHeight="false" outlineLevel="0" collapsed="false">
      <c r="A22804" s="0" t="n">
        <f aca="false">INDEX(_xlfn.ORG.LIBREOFFICE.FOURIER({1,2;3,4},TRUE()),ROWS(_xlfn.ORG.LIBREOFFICE.FOURIER({1,2;3,4},TRUE())),2)</f>
        <v>-2</v>
      </c>
      <c r="B22804" s="0" t="s">
        <v>22629</v>
      </c>
    </row>
    <row r="22805" customFormat="false" ht="15" hidden="false" customHeight="false" outlineLevel="0" collapsed="false">
      <c r="A22805" s="0" t="n">
        <f aca="false">SUM(_xlfn.ORG.LIBREOFFICE.FOURIER({1,2;3,4},TRUE(),TRUE()))</f>
        <v>3</v>
      </c>
      <c r="B22805" s="0" t="s">
        <v>22630</v>
      </c>
    </row>
    <row r="22806" customFormat="false" ht="15" hidden="false" customHeight="false" outlineLevel="0" collapsed="false">
      <c r="A22806" s="0" t="n">
        <f aca="false">INDEX(_xlfn.ORG.LIBREOFFICE.FOURIER({1,2;3,4},TRUE(),TRUE()),1,1)</f>
        <v>2</v>
      </c>
      <c r="B22806" s="0" t="s">
        <v>22631</v>
      </c>
    </row>
    <row r="22807" customFormat="false" ht="15" hidden="false" customHeight="false" outlineLevel="0" collapsed="false">
      <c r="A22807" s="0" t="n">
        <f aca="false">INDEX(_xlfn.ORG.LIBREOFFICE.FOURIER({1,2;3,4},TRUE(),TRUE()),2,1)</f>
        <v>-1</v>
      </c>
      <c r="B22807" s="0" t="s">
        <v>22632</v>
      </c>
    </row>
    <row r="22808" customFormat="false" ht="15" hidden="false" customHeight="false" outlineLevel="0" collapsed="false">
      <c r="A22808" s="0" t="n">
        <f aca="false">INDEX(_xlfn.ORG.LIBREOFFICE.FOURIER({1,2;3,4},TRUE(),TRUE()),2,2)</f>
        <v>-1</v>
      </c>
      <c r="B22808" s="0" t="s">
        <v>22633</v>
      </c>
    </row>
    <row r="22809" customFormat="false" ht="15" hidden="false" customHeight="false" outlineLevel="0" collapsed="false">
      <c r="A22809" s="0" t="e">
        <f aca="false">INDEX(_xlfn.ORG.LIBREOFFICE.FOURIER({1,2;3,4},TRUE(),TRUE()),3,2)</f>
        <v>#REF!</v>
      </c>
      <c r="B22809" s="0" t="s">
        <v>22634</v>
      </c>
    </row>
    <row r="22810" customFormat="false" ht="15" hidden="false" customHeight="false" outlineLevel="0" collapsed="false">
      <c r="A22810" s="0" t="n">
        <f aca="false">INDEX(_xlfn.ORG.LIBREOFFICE.FOURIER({1,2;3,4},TRUE(),TRUE()),ROWS(_xlfn.ORG.LIBREOFFICE.FOURIER({1,2;3,4},TRUE(),TRUE())),1)</f>
        <v>-1</v>
      </c>
      <c r="B22810" s="0" t="s">
        <v>22635</v>
      </c>
    </row>
    <row r="22811" customFormat="false" ht="15" hidden="false" customHeight="false" outlineLevel="0" collapsed="false">
      <c r="A22811" s="0" t="n">
        <f aca="false">INDEX(_xlfn.ORG.LIBREOFFICE.FOURIER({1,2;3,4},TRUE(),TRUE()),ROWS(_xlfn.ORG.LIBREOFFICE.FOURIER({1,2;3,4},TRUE(),TRUE())),2)</f>
        <v>-1</v>
      </c>
      <c r="B22811" s="0" t="s">
        <v>22636</v>
      </c>
    </row>
    <row r="22812" customFormat="false" ht="15" hidden="false" customHeight="false" outlineLevel="0" collapsed="false">
      <c r="A22812" s="0" t="n">
        <f aca="false">SUM(_xlfn.ORG.LIBREOFFICE.FOURIER({1,2;3,4},TRUE(),FALSE(),TRUE()))</f>
        <v>8.66612890872915</v>
      </c>
      <c r="B22812" s="0" t="s">
        <v>22637</v>
      </c>
    </row>
    <row r="22813" customFormat="false" ht="15" hidden="false" customHeight="false" outlineLevel="0" collapsed="false">
      <c r="A22813" s="0" t="n">
        <f aca="false">INDEX(_xlfn.ORG.LIBREOFFICE.FOURIER({1,2;3,4},TRUE(),FALSE(),TRUE()),1,1)</f>
        <v>7.21110255092798</v>
      </c>
      <c r="B22813" s="0" t="s">
        <v>22638</v>
      </c>
    </row>
    <row r="22814" customFormat="false" ht="15" hidden="false" customHeight="false" outlineLevel="0" collapsed="false">
      <c r="A22814" s="0" t="n">
        <f aca="false">INDEX(_xlfn.ORG.LIBREOFFICE.FOURIER({1,2;3,4},TRUE(),FALSE(),TRUE()),2,1)</f>
        <v>2.82842712474619</v>
      </c>
      <c r="B22814" s="0" t="s">
        <v>22639</v>
      </c>
    </row>
    <row r="22815" customFormat="false" ht="15" hidden="false" customHeight="false" outlineLevel="0" collapsed="false">
      <c r="A22815" s="0" t="n">
        <f aca="false">INDEX(_xlfn.ORG.LIBREOFFICE.FOURIER({1,2;3,4},TRUE(),FALSE(),TRUE()),2,2)</f>
        <v>-2.35619449019235</v>
      </c>
      <c r="B22815" s="0" t="s">
        <v>22640</v>
      </c>
    </row>
    <row r="22816" customFormat="false" ht="15" hidden="false" customHeight="false" outlineLevel="0" collapsed="false">
      <c r="A22816" s="0" t="e">
        <f aca="false">INDEX(_xlfn.ORG.LIBREOFFICE.FOURIER({1,2;3,4},TRUE(),FALSE(),TRUE()),3,2)</f>
        <v>#REF!</v>
      </c>
      <c r="B22816" s="0" t="s">
        <v>22641</v>
      </c>
    </row>
    <row r="22817" customFormat="false" ht="15" hidden="false" customHeight="false" outlineLevel="0" collapsed="false">
      <c r="A22817" s="0" t="n">
        <f aca="false">INDEX(_xlfn.ORG.LIBREOFFICE.FOURIER({1,2;3,4},TRUE(),FALSE(),TRUE()),ROWS(_xlfn.ORG.LIBREOFFICE.FOURIER({1,2;3,4},TRUE(),FALSE(),TRUE())),1)</f>
        <v>2.82842712474619</v>
      </c>
      <c r="B22817" s="0" t="s">
        <v>22642</v>
      </c>
    </row>
    <row r="22818" customFormat="false" ht="15" hidden="false" customHeight="false" outlineLevel="0" collapsed="false">
      <c r="A22818" s="0" t="n">
        <f aca="false">INDEX(_xlfn.ORG.LIBREOFFICE.FOURIER({1,2;3,4},TRUE(),FALSE(),TRUE()),ROWS(_xlfn.ORG.LIBREOFFICE.FOURIER({1,2;3,4},TRUE(),FALSE(),TRUE())),2)</f>
        <v>-2.35619449019235</v>
      </c>
      <c r="B22818" s="0" t="s">
        <v>22643</v>
      </c>
    </row>
    <row r="22819" customFormat="false" ht="15" hidden="false" customHeight="false" outlineLevel="0" collapsed="false">
      <c r="A22819" s="0" t="n">
        <f aca="false">SUM(_xlfn.ORG.LIBREOFFICE.FOURIER({1,2;3,4},TRUE(),TRUE(),TRUE()))</f>
        <v>3.64636407089207</v>
      </c>
      <c r="B22819" s="0" t="s">
        <v>22644</v>
      </c>
    </row>
    <row r="22820" customFormat="false" ht="15" hidden="false" customHeight="false" outlineLevel="0" collapsed="false">
      <c r="A22820" s="0" t="n">
        <f aca="false">INDEX(_xlfn.ORG.LIBREOFFICE.FOURIER({1,2;3,4},TRUE(),TRUE(),TRUE()),1,1)</f>
        <v>3.60555127546399</v>
      </c>
      <c r="B22820" s="0" t="s">
        <v>22645</v>
      </c>
    </row>
    <row r="22821" customFormat="false" ht="15" hidden="false" customHeight="false" outlineLevel="0" collapsed="false">
      <c r="A22821" s="0" t="n">
        <f aca="false">INDEX(_xlfn.ORG.LIBREOFFICE.FOURIER({1,2;3,4},TRUE(),TRUE(),TRUE()),2,1)</f>
        <v>1.4142135623731</v>
      </c>
      <c r="B22821" s="0" t="s">
        <v>22646</v>
      </c>
    </row>
    <row r="22822" customFormat="false" ht="15" hidden="false" customHeight="false" outlineLevel="0" collapsed="false">
      <c r="A22822" s="0" t="n">
        <f aca="false">INDEX(_xlfn.ORG.LIBREOFFICE.FOURIER({1,2;3,4},TRUE(),TRUE(),TRUE()),2,2)</f>
        <v>-2.35619449019235</v>
      </c>
      <c r="B22822" s="0" t="s">
        <v>22647</v>
      </c>
    </row>
    <row r="22823" customFormat="false" ht="15" hidden="false" customHeight="false" outlineLevel="0" collapsed="false">
      <c r="A22823" s="0" t="e">
        <f aca="false">INDEX(_xlfn.ORG.LIBREOFFICE.FOURIER({1,2;3,4},TRUE(),TRUE(),TRUE()),3,2)</f>
        <v>#REF!</v>
      </c>
      <c r="B22823" s="0" t="s">
        <v>22648</v>
      </c>
    </row>
    <row r="22824" customFormat="false" ht="15" hidden="false" customHeight="false" outlineLevel="0" collapsed="false">
      <c r="A22824" s="0" t="n">
        <f aca="false">INDEX(_xlfn.ORG.LIBREOFFICE.FOURIER({1,2;3,4},TRUE(),TRUE(),TRUE()),ROWS(_xlfn.ORG.LIBREOFFICE.FOURIER({1,2;3,4},TRUE(),TRUE(),TRUE())),1)</f>
        <v>1.4142135623731</v>
      </c>
      <c r="B22824" s="0" t="s">
        <v>22649</v>
      </c>
    </row>
    <row r="22825" customFormat="false" ht="15" hidden="false" customHeight="false" outlineLevel="0" collapsed="false">
      <c r="A22825" s="0" t="n">
        <f aca="false">INDEX(_xlfn.ORG.LIBREOFFICE.FOURIER({1,2;3,4},TRUE(),TRUE(),TRUE()),ROWS(_xlfn.ORG.LIBREOFFICE.FOURIER({1,2;3,4},TRUE(),TRUE(),TRUE())),2)</f>
        <v>-2.35619449019235</v>
      </c>
      <c r="B22825" s="0" t="s">
        <v>22650</v>
      </c>
    </row>
    <row r="22826" customFormat="false" ht="15" hidden="false" customHeight="false" outlineLevel="0" collapsed="false">
      <c r="A22826" s="0" t="n">
        <f aca="false">SUM(_xlfn.ORG.LIBREOFFICE.FOURIER({1,2;3,4},TRUE(),FALSE(),TRUE(),1))</f>
        <v>8.66612890872915</v>
      </c>
      <c r="B22826" s="0" t="s">
        <v>22651</v>
      </c>
    </row>
    <row r="22827" customFormat="false" ht="15" hidden="false" customHeight="false" outlineLevel="0" collapsed="false">
      <c r="A22827" s="0" t="n">
        <f aca="false">INDEX(_xlfn.ORG.LIBREOFFICE.FOURIER({1,2;3,4},TRUE(),FALSE(),TRUE(),1),1,1)</f>
        <v>7.21110255092798</v>
      </c>
      <c r="B22827" s="0" t="s">
        <v>22652</v>
      </c>
    </row>
    <row r="22828" customFormat="false" ht="15" hidden="false" customHeight="false" outlineLevel="0" collapsed="false">
      <c r="A22828" s="0" t="n">
        <f aca="false">INDEX(_xlfn.ORG.LIBREOFFICE.FOURIER({1,2;3,4},TRUE(),FALSE(),TRUE(),1),2,1)</f>
        <v>2.82842712474619</v>
      </c>
      <c r="B22828" s="0" t="s">
        <v>22653</v>
      </c>
    </row>
    <row r="22829" customFormat="false" ht="15" hidden="false" customHeight="false" outlineLevel="0" collapsed="false">
      <c r="A22829" s="0" t="n">
        <f aca="false">INDEX(_xlfn.ORG.LIBREOFFICE.FOURIER({1,2;3,4},TRUE(),FALSE(),TRUE(),1),2,2)</f>
        <v>-2.35619449019235</v>
      </c>
      <c r="B22829" s="0" t="s">
        <v>22654</v>
      </c>
    </row>
    <row r="22830" customFormat="false" ht="15" hidden="false" customHeight="false" outlineLevel="0" collapsed="false">
      <c r="A22830" s="0" t="e">
        <f aca="false">INDEX(_xlfn.ORG.LIBREOFFICE.FOURIER({1,2;3,4},TRUE(),FALSE(),TRUE(),1),3,2)</f>
        <v>#REF!</v>
      </c>
      <c r="B22830" s="0" t="s">
        <v>22655</v>
      </c>
    </row>
    <row r="22831" customFormat="false" ht="15" hidden="false" customHeight="false" outlineLevel="0" collapsed="false">
      <c r="A22831" s="0" t="n">
        <f aca="false">INDEX(_xlfn.ORG.LIBREOFFICE.FOURIER({1,2;3,4},TRUE(),FALSE(),TRUE(),1),ROWS(_xlfn.ORG.LIBREOFFICE.FOURIER({1,2;3,4},TRUE(),FALSE(),TRUE(),1)),1)</f>
        <v>2.82842712474619</v>
      </c>
      <c r="B22831" s="0" t="s">
        <v>22656</v>
      </c>
    </row>
    <row r="22832" customFormat="false" ht="15" hidden="false" customHeight="false" outlineLevel="0" collapsed="false">
      <c r="A22832" s="0" t="n">
        <f aca="false">INDEX(_xlfn.ORG.LIBREOFFICE.FOURIER({1,2;3,4},TRUE(),FALSE(),TRUE(),1),ROWS(_xlfn.ORG.LIBREOFFICE.FOURIER({1,2;3,4},TRUE(),FALSE(),TRUE(),1)),2)</f>
        <v>-2.35619449019235</v>
      </c>
      <c r="B22832" s="0" t="s">
        <v>22657</v>
      </c>
    </row>
    <row r="22833" customFormat="false" ht="15" hidden="false" customHeight="false" outlineLevel="0" collapsed="false">
      <c r="A22833" s="0" t="n">
        <f aca="false">SUM(_xlfn.ORG.LIBREOFFICE.FOURIER({1,2;3,4},TRUE(),TRUE(),TRUE(),5))</f>
        <v>4.58834499871132</v>
      </c>
      <c r="B22833" s="0" t="s">
        <v>22658</v>
      </c>
    </row>
    <row r="22834" customFormat="false" ht="15" hidden="false" customHeight="false" outlineLevel="0" collapsed="false">
      <c r="A22834" s="0" t="n">
        <f aca="false">INDEX(_xlfn.ORG.LIBREOFFICE.FOURIER({1,2;3,4},TRUE(),TRUE(),TRUE(),5),1,1)</f>
        <v>3.60555127546399</v>
      </c>
      <c r="B22834" s="0" t="s">
        <v>22659</v>
      </c>
    </row>
    <row r="22835" customFormat="false" ht="15" hidden="false" customHeight="false" outlineLevel="0" collapsed="false">
      <c r="A22835" s="0" t="n">
        <f aca="false">INDEX(_xlfn.ORG.LIBREOFFICE.FOURIER({1,2;3,4},TRUE(),TRUE(),TRUE(),5),2,1)</f>
        <v>0</v>
      </c>
      <c r="B22835" s="0" t="s">
        <v>22660</v>
      </c>
    </row>
    <row r="22836" customFormat="false" ht="15" hidden="false" customHeight="false" outlineLevel="0" collapsed="false">
      <c r="A22836" s="0" t="n">
        <f aca="false">INDEX(_xlfn.ORG.LIBREOFFICE.FOURIER({1,2;3,4},TRUE(),TRUE(),TRUE(),5),2,2)</f>
        <v>0</v>
      </c>
      <c r="B22836" s="0" t="s">
        <v>22661</v>
      </c>
    </row>
    <row r="22837" customFormat="false" ht="15" hidden="false" customHeight="false" outlineLevel="0" collapsed="false">
      <c r="A22837" s="0" t="e">
        <f aca="false">INDEX(_xlfn.ORG.LIBREOFFICE.FOURIER({1,2;3,4},TRUE(),TRUE(),TRUE(),5),3,2)</f>
        <v>#REF!</v>
      </c>
      <c r="B22837" s="0" t="s">
        <v>22662</v>
      </c>
    </row>
    <row r="22838" customFormat="false" ht="15" hidden="false" customHeight="false" outlineLevel="0" collapsed="false">
      <c r="A22838" s="0" t="n">
        <f aca="false">INDEX(_xlfn.ORG.LIBREOFFICE.FOURIER({1,2;3,4},TRUE(),TRUE(),TRUE(),5),ROWS(_xlfn.ORG.LIBREOFFICE.FOURIER({1,2;3,4},TRUE(),TRUE(),TRUE(),5)),1)</f>
        <v>0</v>
      </c>
      <c r="B22838" s="0" t="s">
        <v>22663</v>
      </c>
    </row>
    <row r="22839" customFormat="false" ht="15" hidden="false" customHeight="false" outlineLevel="0" collapsed="false">
      <c r="A22839" s="0" t="n">
        <f aca="false">INDEX(_xlfn.ORG.LIBREOFFICE.FOURIER({1,2;3,4},TRUE(),TRUE(),TRUE(),5),ROWS(_xlfn.ORG.LIBREOFFICE.FOURIER({1,2;3,4},TRUE(),TRUE(),TRUE(),5)),2)</f>
        <v>0</v>
      </c>
      <c r="B22839" s="0" t="s">
        <v>22664</v>
      </c>
    </row>
    <row r="22840" customFormat="false" ht="15" hidden="false" customHeight="false" outlineLevel="0" collapsed="false">
      <c r="A22840" s="0" t="n">
        <f aca="false">ROWS(_xlfn.ORG.LIBREOFFICE.FOURIER(TRANSPOSE({1,2;3,4}),FALSE()))</f>
        <v>2</v>
      </c>
      <c r="B22840" s="0" t="s">
        <v>22665</v>
      </c>
    </row>
    <row r="22841" customFormat="false" ht="15" hidden="false" customHeight="false" outlineLevel="0" collapsed="false">
      <c r="A22841" s="0" t="n">
        <f aca="false">COLUMNS(_xlfn.ORG.LIBREOFFICE.FOURIER(TRANSPOSE({1,2;3,4}),FALSE()))</f>
        <v>2</v>
      </c>
      <c r="B22841" s="0" t="s">
        <v>22666</v>
      </c>
    </row>
    <row r="22842" customFormat="false" ht="15" hidden="false" customHeight="false" outlineLevel="0" collapsed="false">
      <c r="A22842" s="0" t="n">
        <f aca="false">SUM(_xlfn.ORG.LIBREOFFICE.FOURIER(TRANSPOSE({1,2;3,4}),FALSE()))</f>
        <v>6</v>
      </c>
      <c r="B22842" s="0" t="s">
        <v>22667</v>
      </c>
    </row>
    <row r="22843" customFormat="false" ht="15" hidden="false" customHeight="false" outlineLevel="0" collapsed="false">
      <c r="A22843" s="0" t="n">
        <f aca="false">INDEX(_xlfn.ORG.LIBREOFFICE.FOURIER(TRANSPOSE({1,2;3,4}),FALSE()),1,1)</f>
        <v>4</v>
      </c>
      <c r="B22843" s="0" t="s">
        <v>22668</v>
      </c>
    </row>
    <row r="22844" customFormat="false" ht="15" hidden="false" customHeight="false" outlineLevel="0" collapsed="false">
      <c r="A22844" s="0" t="n">
        <f aca="false">INDEX(_xlfn.ORG.LIBREOFFICE.FOURIER(TRANSPOSE({1,2;3,4}),FALSE()),2,1)</f>
        <v>-2</v>
      </c>
      <c r="B22844" s="0" t="s">
        <v>22669</v>
      </c>
    </row>
    <row r="22845" customFormat="false" ht="15" hidden="false" customHeight="false" outlineLevel="0" collapsed="false">
      <c r="A22845" s="0" t="n">
        <f aca="false">INDEX(_xlfn.ORG.LIBREOFFICE.FOURIER(TRANSPOSE({1,2;3,4}),FALSE()),2,2)</f>
        <v>-2</v>
      </c>
      <c r="B22845" s="0" t="s">
        <v>22670</v>
      </c>
    </row>
    <row r="22846" customFormat="false" ht="15" hidden="false" customHeight="false" outlineLevel="0" collapsed="false">
      <c r="A22846" s="0" t="e">
        <f aca="false">INDEX(_xlfn.ORG.LIBREOFFICE.FOURIER(TRANSPOSE({1,2;3,4}),FALSE()),3,2)</f>
        <v>#REF!</v>
      </c>
      <c r="B22846" s="0" t="s">
        <v>22671</v>
      </c>
    </row>
    <row r="22847" customFormat="false" ht="15" hidden="false" customHeight="false" outlineLevel="0" collapsed="false">
      <c r="A22847" s="0" t="n">
        <f aca="false">INDEX(_xlfn.ORG.LIBREOFFICE.FOURIER(TRANSPOSE({1,2;3,4}),FALSE()),ROWS(_xlfn.ORG.LIBREOFFICE.FOURIER(TRANSPOSE({1,2;3,4}),FALSE())),1)</f>
        <v>-2</v>
      </c>
      <c r="B22847" s="0" t="s">
        <v>22672</v>
      </c>
    </row>
    <row r="22848" customFormat="false" ht="15" hidden="false" customHeight="false" outlineLevel="0" collapsed="false">
      <c r="A22848" s="0" t="n">
        <f aca="false">INDEX(_xlfn.ORG.LIBREOFFICE.FOURIER(TRANSPOSE({1,2;3,4}),FALSE()),ROWS(_xlfn.ORG.LIBREOFFICE.FOURIER(TRANSPOSE({1,2;3,4}),FALSE())),2)</f>
        <v>-2</v>
      </c>
      <c r="B22848" s="0" t="s">
        <v>22673</v>
      </c>
    </row>
    <row r="22849" customFormat="false" ht="15" hidden="false" customHeight="false" outlineLevel="0" collapsed="false">
      <c r="A22849" s="0" t="n">
        <f aca="false">SUM(_xlfn.ORG.LIBREOFFICE.FOURIER(TRANSPOSE({1,2;3,4}),FALSE(),TRUE()))</f>
        <v>3</v>
      </c>
      <c r="B22849" s="0" t="s">
        <v>22674</v>
      </c>
    </row>
    <row r="22850" customFormat="false" ht="15" hidden="false" customHeight="false" outlineLevel="0" collapsed="false">
      <c r="A22850" s="0" t="n">
        <f aca="false">INDEX(_xlfn.ORG.LIBREOFFICE.FOURIER(TRANSPOSE({1,2;3,4}),FALSE(),TRUE()),1,1)</f>
        <v>2</v>
      </c>
      <c r="B22850" s="0" t="s">
        <v>22675</v>
      </c>
    </row>
    <row r="22851" customFormat="false" ht="15" hidden="false" customHeight="false" outlineLevel="0" collapsed="false">
      <c r="A22851" s="0" t="n">
        <f aca="false">INDEX(_xlfn.ORG.LIBREOFFICE.FOURIER(TRANSPOSE({1,2;3,4}),FALSE(),TRUE()),2,1)</f>
        <v>-1</v>
      </c>
      <c r="B22851" s="0" t="s">
        <v>22676</v>
      </c>
    </row>
    <row r="22852" customFormat="false" ht="15" hidden="false" customHeight="false" outlineLevel="0" collapsed="false">
      <c r="A22852" s="0" t="n">
        <f aca="false">INDEX(_xlfn.ORG.LIBREOFFICE.FOURIER(TRANSPOSE({1,2;3,4}),FALSE(),TRUE()),2,2)</f>
        <v>-1</v>
      </c>
      <c r="B22852" s="0" t="s">
        <v>22677</v>
      </c>
    </row>
    <row r="22853" customFormat="false" ht="15" hidden="false" customHeight="false" outlineLevel="0" collapsed="false">
      <c r="A22853" s="0" t="e">
        <f aca="false">INDEX(_xlfn.ORG.LIBREOFFICE.FOURIER(TRANSPOSE({1,2;3,4}),FALSE(),TRUE()),3,2)</f>
        <v>#REF!</v>
      </c>
      <c r="B22853" s="0" t="s">
        <v>22678</v>
      </c>
    </row>
    <row r="22854" customFormat="false" ht="15" hidden="false" customHeight="false" outlineLevel="0" collapsed="false">
      <c r="A22854" s="0" t="n">
        <f aca="false">INDEX(_xlfn.ORG.LIBREOFFICE.FOURIER(TRANSPOSE({1,2;3,4}),FALSE(),TRUE()),ROWS(_xlfn.ORG.LIBREOFFICE.FOURIER(TRANSPOSE({1,2;3,4}),FALSE(),TRUE())),1)</f>
        <v>-1</v>
      </c>
      <c r="B22854" s="0" t="s">
        <v>22679</v>
      </c>
    </row>
    <row r="22855" customFormat="false" ht="15" hidden="false" customHeight="false" outlineLevel="0" collapsed="false">
      <c r="A22855" s="0" t="n">
        <f aca="false">INDEX(_xlfn.ORG.LIBREOFFICE.FOURIER(TRANSPOSE({1,2;3,4}),FALSE(),TRUE()),ROWS(_xlfn.ORG.LIBREOFFICE.FOURIER(TRANSPOSE({1,2;3,4}),FALSE(),TRUE())),2)</f>
        <v>-1</v>
      </c>
      <c r="B22855" s="0" t="s">
        <v>22680</v>
      </c>
    </row>
    <row r="22856" customFormat="false" ht="15" hidden="false" customHeight="false" outlineLevel="0" collapsed="false">
      <c r="A22856" s="0" t="n">
        <f aca="false">SUM(_xlfn.ORG.LIBREOFFICE.FOURIER(TRANSPOSE({1,2;3,4}),FALSE(),FALSE(),TRUE()))</f>
        <v>8.66612890872915</v>
      </c>
      <c r="B22856" s="0" t="s">
        <v>22681</v>
      </c>
    </row>
    <row r="22857" customFormat="false" ht="15" hidden="false" customHeight="false" outlineLevel="0" collapsed="false">
      <c r="A22857" s="0" t="n">
        <f aca="false">INDEX(_xlfn.ORG.LIBREOFFICE.FOURIER(TRANSPOSE({1,2;3,4}),FALSE(),FALSE(),TRUE()),1,1)</f>
        <v>7.21110255092798</v>
      </c>
      <c r="B22857" s="0" t="s">
        <v>22682</v>
      </c>
    </row>
    <row r="22858" customFormat="false" ht="15" hidden="false" customHeight="false" outlineLevel="0" collapsed="false">
      <c r="A22858" s="0" t="n">
        <f aca="false">INDEX(_xlfn.ORG.LIBREOFFICE.FOURIER(TRANSPOSE({1,2;3,4}),FALSE(),FALSE(),TRUE()),2,1)</f>
        <v>2.82842712474619</v>
      </c>
      <c r="B22858" s="0" t="s">
        <v>22683</v>
      </c>
    </row>
    <row r="22859" customFormat="false" ht="15" hidden="false" customHeight="false" outlineLevel="0" collapsed="false">
      <c r="A22859" s="0" t="n">
        <f aca="false">INDEX(_xlfn.ORG.LIBREOFFICE.FOURIER(TRANSPOSE({1,2;3,4}),FALSE(),FALSE(),TRUE()),2,2)</f>
        <v>-2.35619449019235</v>
      </c>
      <c r="B22859" s="0" t="s">
        <v>22684</v>
      </c>
    </row>
    <row r="22860" customFormat="false" ht="15" hidden="false" customHeight="false" outlineLevel="0" collapsed="false">
      <c r="A22860" s="0" t="e">
        <f aca="false">INDEX(_xlfn.ORG.LIBREOFFICE.FOURIER(TRANSPOSE({1,2;3,4}),FALSE(),FALSE(),TRUE()),3,2)</f>
        <v>#REF!</v>
      </c>
      <c r="B22860" s="0" t="s">
        <v>22685</v>
      </c>
    </row>
    <row r="22861" customFormat="false" ht="15" hidden="false" customHeight="false" outlineLevel="0" collapsed="false">
      <c r="A22861" s="0" t="n">
        <f aca="false">INDEX(_xlfn.ORG.LIBREOFFICE.FOURIER(TRANSPOSE({1,2;3,4}),FALSE(),FALSE(),TRUE()),ROWS(_xlfn.ORG.LIBREOFFICE.FOURIER(TRANSPOSE({1,2;3,4}),FALSE(),FALSE(),TRUE())),1)</f>
        <v>2.82842712474619</v>
      </c>
      <c r="B22861" s="0" t="s">
        <v>22686</v>
      </c>
    </row>
    <row r="22862" customFormat="false" ht="15" hidden="false" customHeight="false" outlineLevel="0" collapsed="false">
      <c r="A22862" s="0" t="n">
        <f aca="false">INDEX(_xlfn.ORG.LIBREOFFICE.FOURIER(TRANSPOSE({1,2;3,4}),FALSE(),FALSE(),TRUE()),ROWS(_xlfn.ORG.LIBREOFFICE.FOURIER(TRANSPOSE({1,2;3,4}),FALSE(),FALSE(),TRUE())),2)</f>
        <v>-2.35619449019235</v>
      </c>
      <c r="B22862" s="0" t="s">
        <v>22687</v>
      </c>
    </row>
    <row r="22863" customFormat="false" ht="15" hidden="false" customHeight="false" outlineLevel="0" collapsed="false">
      <c r="A22863" s="0" t="n">
        <f aca="false">SUM(_xlfn.ORG.LIBREOFFICE.FOURIER(TRANSPOSE({1,2;3,4}),FALSE(),TRUE(),TRUE()))</f>
        <v>3.64636407089207</v>
      </c>
      <c r="B22863" s="0" t="s">
        <v>22688</v>
      </c>
    </row>
    <row r="22864" customFormat="false" ht="15" hidden="false" customHeight="false" outlineLevel="0" collapsed="false">
      <c r="A22864" s="0" t="n">
        <f aca="false">INDEX(_xlfn.ORG.LIBREOFFICE.FOURIER(TRANSPOSE({1,2;3,4}),FALSE(),TRUE(),TRUE()),1,1)</f>
        <v>3.60555127546399</v>
      </c>
      <c r="B22864" s="0" t="s">
        <v>22689</v>
      </c>
    </row>
    <row r="22865" customFormat="false" ht="15" hidden="false" customHeight="false" outlineLevel="0" collapsed="false">
      <c r="A22865" s="0" t="n">
        <f aca="false">INDEX(_xlfn.ORG.LIBREOFFICE.FOURIER(TRANSPOSE({1,2;3,4}),FALSE(),TRUE(),TRUE()),2,1)</f>
        <v>1.4142135623731</v>
      </c>
      <c r="B22865" s="0" t="s">
        <v>22690</v>
      </c>
    </row>
    <row r="22866" customFormat="false" ht="15" hidden="false" customHeight="false" outlineLevel="0" collapsed="false">
      <c r="A22866" s="0" t="n">
        <f aca="false">INDEX(_xlfn.ORG.LIBREOFFICE.FOURIER(TRANSPOSE({1,2;3,4}),FALSE(),TRUE(),TRUE()),2,2)</f>
        <v>-2.35619449019235</v>
      </c>
      <c r="B22866" s="0" t="s">
        <v>22691</v>
      </c>
    </row>
    <row r="22867" customFormat="false" ht="15" hidden="false" customHeight="false" outlineLevel="0" collapsed="false">
      <c r="A22867" s="0" t="e">
        <f aca="false">INDEX(_xlfn.ORG.LIBREOFFICE.FOURIER(TRANSPOSE({1,2;3,4}),FALSE(),TRUE(),TRUE()),3,2)</f>
        <v>#REF!</v>
      </c>
      <c r="B22867" s="0" t="s">
        <v>22692</v>
      </c>
    </row>
    <row r="22868" customFormat="false" ht="15" hidden="false" customHeight="false" outlineLevel="0" collapsed="false">
      <c r="A22868" s="0" t="n">
        <f aca="false">INDEX(_xlfn.ORG.LIBREOFFICE.FOURIER(TRANSPOSE({1,2;3,4}),FALSE(),TRUE(),TRUE()),ROWS(_xlfn.ORG.LIBREOFFICE.FOURIER(TRANSPOSE({1,2;3,4}),FALSE(),TRUE(),TRUE())),1)</f>
        <v>1.4142135623731</v>
      </c>
      <c r="B22868" s="0" t="s">
        <v>22693</v>
      </c>
    </row>
    <row r="22869" customFormat="false" ht="15" hidden="false" customHeight="false" outlineLevel="0" collapsed="false">
      <c r="A22869" s="0" t="n">
        <f aca="false">INDEX(_xlfn.ORG.LIBREOFFICE.FOURIER(TRANSPOSE({1,2;3,4}),FALSE(),TRUE(),TRUE()),ROWS(_xlfn.ORG.LIBREOFFICE.FOURIER(TRANSPOSE({1,2;3,4}),FALSE(),TRUE(),TRUE())),2)</f>
        <v>-2.35619449019235</v>
      </c>
      <c r="B22869" s="0" t="s">
        <v>22694</v>
      </c>
    </row>
    <row r="22870" customFormat="false" ht="15" hidden="false" customHeight="false" outlineLevel="0" collapsed="false">
      <c r="A22870" s="0" t="n">
        <f aca="false">SUM(_xlfn.ORG.LIBREOFFICE.FOURIER(TRANSPOSE({1,2;3,4}),FALSE(),FALSE(),TRUE(),1))</f>
        <v>8.66612890872915</v>
      </c>
      <c r="B22870" s="0" t="s">
        <v>22695</v>
      </c>
    </row>
    <row r="22871" customFormat="false" ht="15" hidden="false" customHeight="false" outlineLevel="0" collapsed="false">
      <c r="A22871" s="0" t="n">
        <f aca="false">INDEX(_xlfn.ORG.LIBREOFFICE.FOURIER(TRANSPOSE({1,2;3,4}),FALSE(),FALSE(),TRUE(),1),1,1)</f>
        <v>7.21110255092798</v>
      </c>
      <c r="B22871" s="0" t="s">
        <v>22696</v>
      </c>
    </row>
    <row r="22872" customFormat="false" ht="15" hidden="false" customHeight="false" outlineLevel="0" collapsed="false">
      <c r="A22872" s="0" t="n">
        <f aca="false">INDEX(_xlfn.ORG.LIBREOFFICE.FOURIER(TRANSPOSE({1,2;3,4}),FALSE(),FALSE(),TRUE(),1),2,1)</f>
        <v>2.82842712474619</v>
      </c>
      <c r="B22872" s="0" t="s">
        <v>22697</v>
      </c>
    </row>
    <row r="22873" customFormat="false" ht="15" hidden="false" customHeight="false" outlineLevel="0" collapsed="false">
      <c r="A22873" s="0" t="n">
        <f aca="false">INDEX(_xlfn.ORG.LIBREOFFICE.FOURIER(TRANSPOSE({1,2;3,4}),FALSE(),FALSE(),TRUE(),1),2,2)</f>
        <v>-2.35619449019235</v>
      </c>
      <c r="B22873" s="0" t="s">
        <v>22698</v>
      </c>
    </row>
    <row r="22874" customFormat="false" ht="15" hidden="false" customHeight="false" outlineLevel="0" collapsed="false">
      <c r="A22874" s="0" t="e">
        <f aca="false">INDEX(_xlfn.ORG.LIBREOFFICE.FOURIER(TRANSPOSE({1,2;3,4}),FALSE(),FALSE(),TRUE(),1),3,2)</f>
        <v>#REF!</v>
      </c>
      <c r="B22874" s="0" t="s">
        <v>22699</v>
      </c>
    </row>
    <row r="22875" customFormat="false" ht="15" hidden="false" customHeight="false" outlineLevel="0" collapsed="false">
      <c r="A22875" s="0" t="n">
        <f aca="false">INDEX(_xlfn.ORG.LIBREOFFICE.FOURIER(TRANSPOSE({1,2;3,4}),FALSE(),FALSE(),TRUE(),1),ROWS(_xlfn.ORG.LIBREOFFICE.FOURIER(TRANSPOSE({1,2;3,4}),FALSE(),FALSE(),TRUE(),1)),1)</f>
        <v>2.82842712474619</v>
      </c>
      <c r="B22875" s="0" t="s">
        <v>22700</v>
      </c>
    </row>
    <row r="22876" customFormat="false" ht="15" hidden="false" customHeight="false" outlineLevel="0" collapsed="false">
      <c r="A22876" s="0" t="n">
        <f aca="false">INDEX(_xlfn.ORG.LIBREOFFICE.FOURIER(TRANSPOSE({1,2;3,4}),FALSE(),FALSE(),TRUE(),1),ROWS(_xlfn.ORG.LIBREOFFICE.FOURIER(TRANSPOSE({1,2;3,4}),FALSE(),FALSE(),TRUE(),1)),2)</f>
        <v>-2.35619449019235</v>
      </c>
      <c r="B22876" s="0" t="s">
        <v>22701</v>
      </c>
    </row>
    <row r="22877" customFormat="false" ht="15" hidden="false" customHeight="false" outlineLevel="0" collapsed="false">
      <c r="A22877" s="0" t="n">
        <f aca="false">SUM(_xlfn.ORG.LIBREOFFICE.FOURIER(TRANSPOSE({1,2;3,4}),FALSE(),TRUE(),TRUE(),5))</f>
        <v>4.58834499871132</v>
      </c>
      <c r="B22877" s="0" t="s">
        <v>22702</v>
      </c>
    </row>
    <row r="22878" customFormat="false" ht="15" hidden="false" customHeight="false" outlineLevel="0" collapsed="false">
      <c r="A22878" s="0" t="n">
        <f aca="false">INDEX(_xlfn.ORG.LIBREOFFICE.FOURIER(TRANSPOSE({1,2;3,4}),FALSE(),TRUE(),TRUE(),5),1,1)</f>
        <v>3.60555127546399</v>
      </c>
      <c r="B22878" s="0" t="s">
        <v>22703</v>
      </c>
    </row>
    <row r="22879" customFormat="false" ht="15" hidden="false" customHeight="false" outlineLevel="0" collapsed="false">
      <c r="A22879" s="0" t="n">
        <f aca="false">INDEX(_xlfn.ORG.LIBREOFFICE.FOURIER(TRANSPOSE({1,2;3,4}),FALSE(),TRUE(),TRUE(),5),2,1)</f>
        <v>0</v>
      </c>
      <c r="B22879" s="0" t="s">
        <v>22704</v>
      </c>
    </row>
    <row r="22880" customFormat="false" ht="15" hidden="false" customHeight="false" outlineLevel="0" collapsed="false">
      <c r="A22880" s="0" t="n">
        <f aca="false">INDEX(_xlfn.ORG.LIBREOFFICE.FOURIER(TRANSPOSE({1,2;3,4}),FALSE(),TRUE(),TRUE(),5),2,2)</f>
        <v>0</v>
      </c>
      <c r="B22880" s="0" t="s">
        <v>22705</v>
      </c>
    </row>
    <row r="22881" customFormat="false" ht="15" hidden="false" customHeight="false" outlineLevel="0" collapsed="false">
      <c r="A22881" s="0" t="e">
        <f aca="false">INDEX(_xlfn.ORG.LIBREOFFICE.FOURIER(TRANSPOSE({1,2;3,4}),FALSE(),TRUE(),TRUE(),5),3,2)</f>
        <v>#REF!</v>
      </c>
      <c r="B22881" s="0" t="s">
        <v>22706</v>
      </c>
    </row>
    <row r="22882" customFormat="false" ht="15" hidden="false" customHeight="false" outlineLevel="0" collapsed="false">
      <c r="A22882" s="0" t="n">
        <f aca="false">INDEX(_xlfn.ORG.LIBREOFFICE.FOURIER(TRANSPOSE({1,2;3,4}),FALSE(),TRUE(),TRUE(),5),ROWS(_xlfn.ORG.LIBREOFFICE.FOURIER(TRANSPOSE({1,2;3,4}),FALSE(),TRUE(),TRUE(),5)),1)</f>
        <v>0</v>
      </c>
      <c r="B22882" s="0" t="s">
        <v>22707</v>
      </c>
    </row>
    <row r="22883" customFormat="false" ht="15" hidden="false" customHeight="false" outlineLevel="0" collapsed="false">
      <c r="A22883" s="0" t="n">
        <f aca="false">INDEX(_xlfn.ORG.LIBREOFFICE.FOURIER(TRANSPOSE({1,2;3,4}),FALSE(),TRUE(),TRUE(),5),ROWS(_xlfn.ORG.LIBREOFFICE.FOURIER(TRANSPOSE({1,2;3,4}),FALSE(),TRUE(),TRUE(),5)),2)</f>
        <v>0</v>
      </c>
      <c r="B22883" s="0" t="s">
        <v>22708</v>
      </c>
    </row>
    <row r="22884" customFormat="false" ht="15" hidden="false" customHeight="false" outlineLevel="0" collapsed="false">
      <c r="A22884" s="0" t="n">
        <f aca="false">ROWS(_xlfn.ORG.LIBREOFFICE.FOURIER({1,2;3,4;5,6},TRUE()))</f>
        <v>3</v>
      </c>
      <c r="B22884" s="0" t="s">
        <v>22709</v>
      </c>
    </row>
    <row r="22885" customFormat="false" ht="15" hidden="false" customHeight="false" outlineLevel="0" collapsed="false">
      <c r="A22885" s="0" t="n">
        <f aca="false">COLUMNS(_xlfn.ORG.LIBREOFFICE.FOURIER({1,2;3,4;5,6},TRUE()))</f>
        <v>2</v>
      </c>
      <c r="B22885" s="0" t="s">
        <v>22710</v>
      </c>
    </row>
    <row r="22886" customFormat="false" ht="15" hidden="false" customHeight="false" outlineLevel="0" collapsed="false">
      <c r="A22886" s="0" t="n">
        <f aca="false">SUM(_xlfn.ORG.LIBREOFFICE.FOURIER({1,2;3,4;5,6},TRUE()))</f>
        <v>9</v>
      </c>
      <c r="B22886" s="0" t="s">
        <v>22711</v>
      </c>
    </row>
    <row r="22887" customFormat="false" ht="15" hidden="false" customHeight="false" outlineLevel="0" collapsed="false">
      <c r="A22887" s="0" t="n">
        <f aca="false">INDEX(_xlfn.ORG.LIBREOFFICE.FOURIER({1,2;3,4;5,6},TRUE()),1,1)</f>
        <v>9</v>
      </c>
      <c r="B22887" s="0" t="s">
        <v>22712</v>
      </c>
    </row>
    <row r="22888" customFormat="false" ht="15" hidden="false" customHeight="false" outlineLevel="0" collapsed="false">
      <c r="A22888" s="0" t="n">
        <f aca="false">INDEX(_xlfn.ORG.LIBREOFFICE.FOURIER({1,2;3,4;5,6},TRUE()),2,1)</f>
        <v>-4.73205080756888</v>
      </c>
      <c r="B22888" s="0" t="s">
        <v>22713</v>
      </c>
    </row>
    <row r="22889" customFormat="false" ht="15" hidden="false" customHeight="false" outlineLevel="0" collapsed="false">
      <c r="A22889" s="0" t="n">
        <f aca="false">INDEX(_xlfn.ORG.LIBREOFFICE.FOURIER({1,2;3,4;5,6},TRUE()),2,2)</f>
        <v>-1.26794919243113</v>
      </c>
      <c r="B22889" s="0" t="s">
        <v>22714</v>
      </c>
    </row>
    <row r="22890" customFormat="false" ht="15" hidden="false" customHeight="false" outlineLevel="0" collapsed="false">
      <c r="A22890" s="0" t="n">
        <f aca="false">INDEX(_xlfn.ORG.LIBREOFFICE.FOURIER({1,2;3,4;5,6},TRUE()),3,2)</f>
        <v>-4.73205080756888</v>
      </c>
      <c r="B22890" s="0" t="s">
        <v>22715</v>
      </c>
    </row>
    <row r="22891" customFormat="false" ht="15" hidden="false" customHeight="false" outlineLevel="0" collapsed="false">
      <c r="A22891" s="0" t="n">
        <f aca="false">INDEX(_xlfn.ORG.LIBREOFFICE.FOURIER({1,2;3,4;5,6},TRUE()),ROWS(_xlfn.ORG.LIBREOFFICE.FOURIER({1,2;3,4;5,6},TRUE())),1)</f>
        <v>-1.26794919243112</v>
      </c>
      <c r="B22891" s="0" t="s">
        <v>22716</v>
      </c>
    </row>
    <row r="22892" customFormat="false" ht="15" hidden="false" customHeight="false" outlineLevel="0" collapsed="false">
      <c r="A22892" s="0" t="n">
        <f aca="false">INDEX(_xlfn.ORG.LIBREOFFICE.FOURIER({1,2;3,4;5,6},TRUE()),ROWS(_xlfn.ORG.LIBREOFFICE.FOURIER({1,2;3,4;5,6},TRUE())),2)</f>
        <v>-4.73205080756888</v>
      </c>
      <c r="B22892" s="0" t="s">
        <v>22717</v>
      </c>
    </row>
    <row r="22893" customFormat="false" ht="15" hidden="false" customHeight="false" outlineLevel="0" collapsed="false">
      <c r="A22893" s="0" t="n">
        <f aca="false">SUM(_xlfn.ORG.LIBREOFFICE.FOURIER({1,2;3,4;5,6},TRUE(),TRUE()))</f>
        <v>3</v>
      </c>
      <c r="B22893" s="0" t="s">
        <v>22718</v>
      </c>
    </row>
    <row r="22894" customFormat="false" ht="15" hidden="false" customHeight="false" outlineLevel="0" collapsed="false">
      <c r="A22894" s="0" t="n">
        <f aca="false">INDEX(_xlfn.ORG.LIBREOFFICE.FOURIER({1,2;3,4;5,6},TRUE(),TRUE()),1,1)</f>
        <v>3</v>
      </c>
      <c r="B22894" s="0" t="s">
        <v>22719</v>
      </c>
    </row>
    <row r="22895" customFormat="false" ht="15" hidden="false" customHeight="false" outlineLevel="0" collapsed="false">
      <c r="A22895" s="0" t="n">
        <f aca="false">INDEX(_xlfn.ORG.LIBREOFFICE.FOURIER({1,2;3,4;5,6},TRUE(),TRUE()),2,1)</f>
        <v>-0.422649730810375</v>
      </c>
      <c r="B22895" s="0" t="s">
        <v>22720</v>
      </c>
    </row>
    <row r="22896" customFormat="false" ht="15" hidden="false" customHeight="false" outlineLevel="0" collapsed="false">
      <c r="A22896" s="0" t="n">
        <f aca="false">INDEX(_xlfn.ORG.LIBREOFFICE.FOURIER({1,2;3,4;5,6},TRUE(),TRUE()),2,2)</f>
        <v>-1.57735026918963</v>
      </c>
      <c r="B22896" s="0" t="s">
        <v>22721</v>
      </c>
    </row>
    <row r="22897" customFormat="false" ht="15" hidden="false" customHeight="false" outlineLevel="0" collapsed="false">
      <c r="A22897" s="0" t="n">
        <f aca="false">INDEX(_xlfn.ORG.LIBREOFFICE.FOURIER({1,2;3,4;5,6},TRUE(),TRUE()),3,2)</f>
        <v>-0.422649730810371</v>
      </c>
      <c r="B22897" s="0" t="s">
        <v>22722</v>
      </c>
    </row>
    <row r="22898" customFormat="false" ht="15" hidden="false" customHeight="false" outlineLevel="0" collapsed="false">
      <c r="A22898" s="0" t="n">
        <f aca="false">INDEX(_xlfn.ORG.LIBREOFFICE.FOURIER({1,2;3,4;5,6},TRUE(),TRUE()),ROWS(_xlfn.ORG.LIBREOFFICE.FOURIER({1,2;3,4;5,6},TRUE(),TRUE())),1)</f>
        <v>-1.57735026918963</v>
      </c>
      <c r="B22898" s="0" t="s">
        <v>22723</v>
      </c>
    </row>
    <row r="22899" customFormat="false" ht="15" hidden="false" customHeight="false" outlineLevel="0" collapsed="false">
      <c r="A22899" s="0" t="n">
        <f aca="false">INDEX(_xlfn.ORG.LIBREOFFICE.FOURIER({1,2;3,4;5,6},TRUE(),TRUE()),ROWS(_xlfn.ORG.LIBREOFFICE.FOURIER({1,2;3,4;5,6},TRUE(),TRUE())),2)</f>
        <v>-0.422649730810371</v>
      </c>
      <c r="B22899" s="0" t="s">
        <v>22724</v>
      </c>
    </row>
    <row r="22900" customFormat="false" ht="15" hidden="false" customHeight="false" outlineLevel="0" collapsed="false">
      <c r="A22900" s="0" t="n">
        <f aca="false">SUM(_xlfn.ORG.LIBREOFFICE.FOURIER({1,2;3,4;5,6},TRUE(),FALSE(),TRUE()))</f>
        <v>21.0128652087496</v>
      </c>
      <c r="B22900" s="0" t="s">
        <v>22725</v>
      </c>
    </row>
    <row r="22901" customFormat="false" ht="15" hidden="false" customHeight="false" outlineLevel="0" collapsed="false">
      <c r="A22901" s="0" t="n">
        <f aca="false">INDEX(_xlfn.ORG.LIBREOFFICE.FOURIER({1,2;3,4;5,6},TRUE(),FALSE(),TRUE()),1,1)</f>
        <v>15</v>
      </c>
      <c r="B22901" s="0" t="s">
        <v>22726</v>
      </c>
    </row>
    <row r="22902" customFormat="false" ht="15" hidden="false" customHeight="false" outlineLevel="0" collapsed="false">
      <c r="A22902" s="0" t="n">
        <f aca="false">INDEX(_xlfn.ORG.LIBREOFFICE.FOURIER({1,2;3,4;5,6},TRUE(),FALSE(),TRUE()),2,1)</f>
        <v>4.89897948556636</v>
      </c>
      <c r="B22902" s="0" t="s">
        <v>22727</v>
      </c>
    </row>
    <row r="22903" customFormat="false" ht="15" hidden="false" customHeight="false" outlineLevel="0" collapsed="false">
      <c r="A22903" s="0" t="n">
        <f aca="false">INDEX(_xlfn.ORG.LIBREOFFICE.FOURIER({1,2;3,4;5,6},TRUE(),FALSE(),TRUE()),2,2)</f>
        <v>-2.87979326579064</v>
      </c>
      <c r="B22903" s="0" t="s">
        <v>22728</v>
      </c>
    </row>
    <row r="22904" customFormat="false" ht="15" hidden="false" customHeight="false" outlineLevel="0" collapsed="false">
      <c r="A22904" s="0" t="n">
        <f aca="false">INDEX(_xlfn.ORG.LIBREOFFICE.FOURIER({1,2;3,4;5,6},TRUE(),FALSE(),TRUE()),3,2)</f>
        <v>-1.83259571459404</v>
      </c>
      <c r="B22904" s="0" t="s">
        <v>22729</v>
      </c>
    </row>
    <row r="22905" customFormat="false" ht="15" hidden="false" customHeight="false" outlineLevel="0" collapsed="false">
      <c r="A22905" s="0" t="n">
        <f aca="false">INDEX(_xlfn.ORG.LIBREOFFICE.FOURIER({1,2;3,4;5,6},TRUE(),FALSE(),TRUE()),ROWS(_xlfn.ORG.LIBREOFFICE.FOURIER({1,2;3,4;5,6},TRUE(),FALSE(),TRUE())),1)</f>
        <v>4.89897948556635</v>
      </c>
      <c r="B22905" s="0" t="s">
        <v>22730</v>
      </c>
    </row>
    <row r="22906" customFormat="false" ht="15" hidden="false" customHeight="false" outlineLevel="0" collapsed="false">
      <c r="A22906" s="0" t="n">
        <f aca="false">INDEX(_xlfn.ORG.LIBREOFFICE.FOURIER({1,2;3,4;5,6},TRUE(),FALSE(),TRUE()),ROWS(_xlfn.ORG.LIBREOFFICE.FOURIER({1,2;3,4;5,6},TRUE(),FALSE(),TRUE())),2)</f>
        <v>-1.83259571459404</v>
      </c>
      <c r="B22906" s="0" t="s">
        <v>22731</v>
      </c>
    </row>
    <row r="22907" customFormat="false" ht="15" hidden="false" customHeight="false" outlineLevel="0" collapsed="false">
      <c r="A22907" s="0" t="n">
        <f aca="false">SUM(_xlfn.ORG.LIBREOFFICE.FOURIER({1,2;3,4;5,6},TRUE(),TRUE(),TRUE()))</f>
        <v>4.48089256132782</v>
      </c>
      <c r="B22907" s="0" t="s">
        <v>22732</v>
      </c>
    </row>
    <row r="22908" customFormat="false" ht="15" hidden="false" customHeight="false" outlineLevel="0" collapsed="false">
      <c r="A22908" s="0" t="n">
        <f aca="false">INDEX(_xlfn.ORG.LIBREOFFICE.FOURIER({1,2;3,4;5,6},TRUE(),TRUE(),TRUE()),1,1)</f>
        <v>5</v>
      </c>
      <c r="B22908" s="0" t="s">
        <v>22733</v>
      </c>
    </row>
    <row r="22909" customFormat="false" ht="15" hidden="false" customHeight="false" outlineLevel="0" collapsed="false">
      <c r="A22909" s="0" t="n">
        <f aca="false">INDEX(_xlfn.ORG.LIBREOFFICE.FOURIER({1,2;3,4;5,6},TRUE(),TRUE(),TRUE()),2,1)</f>
        <v>1.63299316185545</v>
      </c>
      <c r="B22909" s="0" t="s">
        <v>22734</v>
      </c>
    </row>
    <row r="22910" customFormat="false" ht="15" hidden="false" customHeight="false" outlineLevel="0" collapsed="false">
      <c r="A22910" s="0" t="n">
        <f aca="false">INDEX(_xlfn.ORG.LIBREOFFICE.FOURIER({1,2;3,4;5,6},TRUE(),TRUE(),TRUE()),2,2)</f>
        <v>-1.83259571459405</v>
      </c>
      <c r="B22910" s="0" t="s">
        <v>22735</v>
      </c>
    </row>
    <row r="22911" customFormat="false" ht="15" hidden="false" customHeight="false" outlineLevel="0" collapsed="false">
      <c r="A22911" s="0" t="n">
        <f aca="false">INDEX(_xlfn.ORG.LIBREOFFICE.FOURIER({1,2;3,4;5,6},TRUE(),TRUE(),TRUE()),3,2)</f>
        <v>-2.87979326579065</v>
      </c>
      <c r="B22911" s="0" t="s">
        <v>22736</v>
      </c>
    </row>
    <row r="22912" customFormat="false" ht="15" hidden="false" customHeight="false" outlineLevel="0" collapsed="false">
      <c r="A22912" s="0" t="n">
        <f aca="false">INDEX(_xlfn.ORG.LIBREOFFICE.FOURIER({1,2;3,4;5,6},TRUE(),TRUE(),TRUE()),ROWS(_xlfn.ORG.LIBREOFFICE.FOURIER({1,2;3,4;5,6},TRUE(),TRUE(),TRUE())),1)</f>
        <v>1.63299316185545</v>
      </c>
      <c r="B22912" s="0" t="s">
        <v>22737</v>
      </c>
    </row>
    <row r="22913" customFormat="false" ht="15" hidden="false" customHeight="false" outlineLevel="0" collapsed="false">
      <c r="A22913" s="0" t="n">
        <f aca="false">INDEX(_xlfn.ORG.LIBREOFFICE.FOURIER({1,2;3,4;5,6},TRUE(),TRUE(),TRUE()),ROWS(_xlfn.ORG.LIBREOFFICE.FOURIER({1,2;3,4;5,6},TRUE(),TRUE(),TRUE())),2)</f>
        <v>-2.87979326579065</v>
      </c>
      <c r="B22913" s="0" t="s">
        <v>22738</v>
      </c>
    </row>
    <row r="22914" customFormat="false" ht="15" hidden="false" customHeight="false" outlineLevel="0" collapsed="false">
      <c r="A22914" s="0" t="n">
        <f aca="false">SUM(_xlfn.ORG.LIBREOFFICE.FOURIER({1,2;3,4;5,6},TRUE(),FALSE(),TRUE(),1))</f>
        <v>21.0128652087496</v>
      </c>
      <c r="B22914" s="0" t="s">
        <v>22739</v>
      </c>
    </row>
    <row r="22915" customFormat="false" ht="15" hidden="false" customHeight="false" outlineLevel="0" collapsed="false">
      <c r="A22915" s="0" t="n">
        <f aca="false">INDEX(_xlfn.ORG.LIBREOFFICE.FOURIER({1,2;3,4;5,6},TRUE(),FALSE(),TRUE(),1),1,1)</f>
        <v>15</v>
      </c>
      <c r="B22915" s="0" t="s">
        <v>22740</v>
      </c>
    </row>
    <row r="22916" customFormat="false" ht="15" hidden="false" customHeight="false" outlineLevel="0" collapsed="false">
      <c r="A22916" s="0" t="n">
        <f aca="false">INDEX(_xlfn.ORG.LIBREOFFICE.FOURIER({1,2;3,4;5,6},TRUE(),FALSE(),TRUE(),1),2,1)</f>
        <v>4.89897948556636</v>
      </c>
      <c r="B22916" s="0" t="s">
        <v>22741</v>
      </c>
    </row>
    <row r="22917" customFormat="false" ht="15" hidden="false" customHeight="false" outlineLevel="0" collapsed="false">
      <c r="A22917" s="0" t="n">
        <f aca="false">INDEX(_xlfn.ORG.LIBREOFFICE.FOURIER({1,2;3,4;5,6},TRUE(),FALSE(),TRUE(),1),2,2)</f>
        <v>-2.87979326579064</v>
      </c>
      <c r="B22917" s="0" t="s">
        <v>22742</v>
      </c>
    </row>
    <row r="22918" customFormat="false" ht="15" hidden="false" customHeight="false" outlineLevel="0" collapsed="false">
      <c r="A22918" s="0" t="n">
        <f aca="false">INDEX(_xlfn.ORG.LIBREOFFICE.FOURIER({1,2;3,4;5,6},TRUE(),FALSE(),TRUE(),1),3,2)</f>
        <v>-1.83259571459404</v>
      </c>
      <c r="B22918" s="0" t="s">
        <v>22743</v>
      </c>
    </row>
    <row r="22919" customFormat="false" ht="15" hidden="false" customHeight="false" outlineLevel="0" collapsed="false">
      <c r="A22919" s="0" t="n">
        <f aca="false">INDEX(_xlfn.ORG.LIBREOFFICE.FOURIER({1,2;3,4;5,6},TRUE(),FALSE(),TRUE(),1),ROWS(_xlfn.ORG.LIBREOFFICE.FOURIER({1,2;3,4;5,6},TRUE(),FALSE(),TRUE(),1)),1)</f>
        <v>4.89897948556635</v>
      </c>
      <c r="B22919" s="0" t="s">
        <v>22744</v>
      </c>
    </row>
    <row r="22920" customFormat="false" ht="15" hidden="false" customHeight="false" outlineLevel="0" collapsed="false">
      <c r="A22920" s="0" t="n">
        <f aca="false">INDEX(_xlfn.ORG.LIBREOFFICE.FOURIER({1,2;3,4;5,6},TRUE(),FALSE(),TRUE(),1),ROWS(_xlfn.ORG.LIBREOFFICE.FOURIER({1,2;3,4;5,6},TRUE(),FALSE(),TRUE(),1)),2)</f>
        <v>-1.83259571459404</v>
      </c>
      <c r="B22920" s="0" t="s">
        <v>22745</v>
      </c>
    </row>
    <row r="22921" customFormat="false" ht="15" hidden="false" customHeight="false" outlineLevel="0" collapsed="false">
      <c r="A22921" s="0" t="n">
        <f aca="false">SUM(_xlfn.ORG.LIBREOFFICE.FOURIER({1,2;3,4;5,6},TRUE(),TRUE(),TRUE(),5))</f>
        <v>5.92729521800161</v>
      </c>
      <c r="B22921" s="0" t="s">
        <v>22746</v>
      </c>
    </row>
    <row r="22922" customFormat="false" ht="15" hidden="false" customHeight="false" outlineLevel="0" collapsed="false">
      <c r="A22922" s="0" t="n">
        <f aca="false">INDEX(_xlfn.ORG.LIBREOFFICE.FOURIER({1,2;3,4;5,6},TRUE(),TRUE(),TRUE(),5),1,1)</f>
        <v>5</v>
      </c>
      <c r="B22922" s="0" t="s">
        <v>22747</v>
      </c>
    </row>
    <row r="22923" customFormat="false" ht="15" hidden="false" customHeight="false" outlineLevel="0" collapsed="false">
      <c r="A22923" s="0" t="n">
        <f aca="false">INDEX(_xlfn.ORG.LIBREOFFICE.FOURIER({1,2;3,4;5,6},TRUE(),TRUE(),TRUE(),5),2,1)</f>
        <v>0</v>
      </c>
      <c r="B22923" s="0" t="s">
        <v>22748</v>
      </c>
    </row>
    <row r="22924" customFormat="false" ht="15" hidden="false" customHeight="false" outlineLevel="0" collapsed="false">
      <c r="A22924" s="0" t="n">
        <f aca="false">INDEX(_xlfn.ORG.LIBREOFFICE.FOURIER({1,2;3,4;5,6},TRUE(),TRUE(),TRUE(),5),2,2)</f>
        <v>0</v>
      </c>
      <c r="B22924" s="0" t="s">
        <v>22749</v>
      </c>
    </row>
    <row r="22925" customFormat="false" ht="15" hidden="false" customHeight="false" outlineLevel="0" collapsed="false">
      <c r="A22925" s="0" t="n">
        <f aca="false">INDEX(_xlfn.ORG.LIBREOFFICE.FOURIER({1,2;3,4;5,6},TRUE(),TRUE(),TRUE(),5),3,2)</f>
        <v>0</v>
      </c>
      <c r="B22925" s="0" t="s">
        <v>22750</v>
      </c>
    </row>
    <row r="22926" customFormat="false" ht="15" hidden="false" customHeight="false" outlineLevel="0" collapsed="false">
      <c r="A22926" s="0" t="n">
        <f aca="false">INDEX(_xlfn.ORG.LIBREOFFICE.FOURIER({1,2;3,4;5,6},TRUE(),TRUE(),TRUE(),5),ROWS(_xlfn.ORG.LIBREOFFICE.FOURIER({1,2;3,4;5,6},TRUE(),TRUE(),TRUE(),5)),1)</f>
        <v>0</v>
      </c>
      <c r="B22926" s="0" t="s">
        <v>22751</v>
      </c>
    </row>
    <row r="22927" customFormat="false" ht="15" hidden="false" customHeight="false" outlineLevel="0" collapsed="false">
      <c r="A22927" s="0" t="n">
        <f aca="false">INDEX(_xlfn.ORG.LIBREOFFICE.FOURIER({1,2;3,4;5,6},TRUE(),TRUE(),TRUE(),5),ROWS(_xlfn.ORG.LIBREOFFICE.FOURIER({1,2;3,4;5,6},TRUE(),TRUE(),TRUE(),5)),2)</f>
        <v>0</v>
      </c>
      <c r="B22927" s="0" t="s">
        <v>22752</v>
      </c>
    </row>
    <row r="22928" customFormat="false" ht="15" hidden="false" customHeight="false" outlineLevel="0" collapsed="false">
      <c r="A22928" s="0" t="n">
        <f aca="false">ROWS(_xlfn.ORG.LIBREOFFICE.FOURIER(TRANSPOSE({1,2;3,4;5,6}),FALSE()))</f>
        <v>3</v>
      </c>
      <c r="B22928" s="0" t="s">
        <v>22753</v>
      </c>
    </row>
    <row r="22929" customFormat="false" ht="15" hidden="false" customHeight="false" outlineLevel="0" collapsed="false">
      <c r="A22929" s="0" t="n">
        <f aca="false">COLUMNS(_xlfn.ORG.LIBREOFFICE.FOURIER(TRANSPOSE({1,2;3,4;5,6}),FALSE()))</f>
        <v>2</v>
      </c>
      <c r="B22929" s="0" t="s">
        <v>22754</v>
      </c>
    </row>
    <row r="22930" customFormat="false" ht="15" hidden="false" customHeight="false" outlineLevel="0" collapsed="false">
      <c r="A22930" s="0" t="n">
        <f aca="false">SUM(_xlfn.ORG.LIBREOFFICE.FOURIER(TRANSPOSE({1,2;3,4;5,6}),FALSE()))</f>
        <v>9</v>
      </c>
      <c r="B22930" s="0" t="s">
        <v>22755</v>
      </c>
    </row>
    <row r="22931" customFormat="false" ht="15" hidden="false" customHeight="false" outlineLevel="0" collapsed="false">
      <c r="A22931" s="0" t="n">
        <f aca="false">INDEX(_xlfn.ORG.LIBREOFFICE.FOURIER(TRANSPOSE({1,2;3,4;5,6}),FALSE()),1,1)</f>
        <v>9</v>
      </c>
      <c r="B22931" s="0" t="s">
        <v>22756</v>
      </c>
    </row>
    <row r="22932" customFormat="false" ht="15" hidden="false" customHeight="false" outlineLevel="0" collapsed="false">
      <c r="A22932" s="0" t="n">
        <f aca="false">INDEX(_xlfn.ORG.LIBREOFFICE.FOURIER(TRANSPOSE({1,2;3,4;5,6}),FALSE()),2,1)</f>
        <v>-4.73205080756888</v>
      </c>
      <c r="B22932" s="0" t="s">
        <v>22757</v>
      </c>
    </row>
    <row r="22933" customFormat="false" ht="15" hidden="false" customHeight="false" outlineLevel="0" collapsed="false">
      <c r="A22933" s="0" t="n">
        <f aca="false">INDEX(_xlfn.ORG.LIBREOFFICE.FOURIER(TRANSPOSE({1,2;3,4;5,6}),FALSE()),2,2)</f>
        <v>-1.26794919243113</v>
      </c>
      <c r="B22933" s="0" t="s">
        <v>22758</v>
      </c>
    </row>
    <row r="22934" customFormat="false" ht="15" hidden="false" customHeight="false" outlineLevel="0" collapsed="false">
      <c r="A22934" s="0" t="n">
        <f aca="false">INDEX(_xlfn.ORG.LIBREOFFICE.FOURIER(TRANSPOSE({1,2;3,4;5,6}),FALSE()),3,2)</f>
        <v>-4.73205080756888</v>
      </c>
      <c r="B22934" s="0" t="s">
        <v>22759</v>
      </c>
    </row>
    <row r="22935" customFormat="false" ht="15" hidden="false" customHeight="false" outlineLevel="0" collapsed="false">
      <c r="A22935" s="0" t="n">
        <f aca="false">INDEX(_xlfn.ORG.LIBREOFFICE.FOURIER(TRANSPOSE({1,2;3,4;5,6}),FALSE()),ROWS(_xlfn.ORG.LIBREOFFICE.FOURIER(TRANSPOSE({1,2;3,4;5,6}),FALSE())),1)</f>
        <v>-1.26794919243112</v>
      </c>
      <c r="B22935" s="0" t="s">
        <v>22760</v>
      </c>
    </row>
    <row r="22936" customFormat="false" ht="15" hidden="false" customHeight="false" outlineLevel="0" collapsed="false">
      <c r="A22936" s="0" t="n">
        <f aca="false">INDEX(_xlfn.ORG.LIBREOFFICE.FOURIER(TRANSPOSE({1,2;3,4;5,6}),FALSE()),ROWS(_xlfn.ORG.LIBREOFFICE.FOURIER(TRANSPOSE({1,2;3,4;5,6}),FALSE())),2)</f>
        <v>-4.73205080756888</v>
      </c>
      <c r="B22936" s="0" t="s">
        <v>22761</v>
      </c>
    </row>
    <row r="22937" customFormat="false" ht="15" hidden="false" customHeight="false" outlineLevel="0" collapsed="false">
      <c r="A22937" s="0" t="n">
        <f aca="false">SUM(_xlfn.ORG.LIBREOFFICE.FOURIER(TRANSPOSE({1,2;3,4;5,6}),FALSE(),TRUE()))</f>
        <v>3</v>
      </c>
      <c r="B22937" s="0" t="s">
        <v>22762</v>
      </c>
    </row>
    <row r="22938" customFormat="false" ht="15" hidden="false" customHeight="false" outlineLevel="0" collapsed="false">
      <c r="A22938" s="0" t="n">
        <f aca="false">INDEX(_xlfn.ORG.LIBREOFFICE.FOURIER(TRANSPOSE({1,2;3,4;5,6}),FALSE(),TRUE()),1,1)</f>
        <v>3</v>
      </c>
      <c r="B22938" s="0" t="s">
        <v>22763</v>
      </c>
    </row>
    <row r="22939" customFormat="false" ht="15" hidden="false" customHeight="false" outlineLevel="0" collapsed="false">
      <c r="A22939" s="0" t="n">
        <f aca="false">INDEX(_xlfn.ORG.LIBREOFFICE.FOURIER(TRANSPOSE({1,2;3,4;5,6}),FALSE(),TRUE()),2,1)</f>
        <v>-0.422649730810375</v>
      </c>
      <c r="B22939" s="0" t="s">
        <v>22764</v>
      </c>
    </row>
    <row r="22940" customFormat="false" ht="15" hidden="false" customHeight="false" outlineLevel="0" collapsed="false">
      <c r="A22940" s="0" t="n">
        <f aca="false">INDEX(_xlfn.ORG.LIBREOFFICE.FOURIER(TRANSPOSE({1,2;3,4;5,6}),FALSE(),TRUE()),2,2)</f>
        <v>-1.57735026918963</v>
      </c>
      <c r="B22940" s="0" t="s">
        <v>22765</v>
      </c>
    </row>
    <row r="22941" customFormat="false" ht="15" hidden="false" customHeight="false" outlineLevel="0" collapsed="false">
      <c r="A22941" s="0" t="n">
        <f aca="false">INDEX(_xlfn.ORG.LIBREOFFICE.FOURIER(TRANSPOSE({1,2;3,4;5,6}),FALSE(),TRUE()),3,2)</f>
        <v>-0.422649730810371</v>
      </c>
      <c r="B22941" s="0" t="s">
        <v>22766</v>
      </c>
    </row>
    <row r="22942" customFormat="false" ht="15" hidden="false" customHeight="false" outlineLevel="0" collapsed="false">
      <c r="A22942" s="0" t="n">
        <f aca="false">INDEX(_xlfn.ORG.LIBREOFFICE.FOURIER(TRANSPOSE({1,2;3,4;5,6}),FALSE(),TRUE()),ROWS(_xlfn.ORG.LIBREOFFICE.FOURIER(TRANSPOSE({1,2;3,4;5,6}),FALSE(),TRUE())),1)</f>
        <v>-1.57735026918963</v>
      </c>
      <c r="B22942" s="0" t="s">
        <v>22767</v>
      </c>
    </row>
    <row r="22943" customFormat="false" ht="15" hidden="false" customHeight="false" outlineLevel="0" collapsed="false">
      <c r="A22943" s="0" t="n">
        <f aca="false">INDEX(_xlfn.ORG.LIBREOFFICE.FOURIER(TRANSPOSE({1,2;3,4;5,6}),FALSE(),TRUE()),ROWS(_xlfn.ORG.LIBREOFFICE.FOURIER(TRANSPOSE({1,2;3,4;5,6}),FALSE(),TRUE())),2)</f>
        <v>-0.422649730810371</v>
      </c>
      <c r="B22943" s="0" t="s">
        <v>22768</v>
      </c>
    </row>
    <row r="22944" customFormat="false" ht="15" hidden="false" customHeight="false" outlineLevel="0" collapsed="false">
      <c r="A22944" s="0" t="n">
        <f aca="false">SUM(_xlfn.ORG.LIBREOFFICE.FOURIER(TRANSPOSE({1,2;3,4;5,6}),FALSE(),FALSE(),TRUE()))</f>
        <v>21.0128652087496</v>
      </c>
      <c r="B22944" s="0" t="s">
        <v>22769</v>
      </c>
    </row>
    <row r="22945" customFormat="false" ht="15" hidden="false" customHeight="false" outlineLevel="0" collapsed="false">
      <c r="A22945" s="0" t="n">
        <f aca="false">INDEX(_xlfn.ORG.LIBREOFFICE.FOURIER(TRANSPOSE({1,2;3,4;5,6}),FALSE(),FALSE(),TRUE()),1,1)</f>
        <v>15</v>
      </c>
      <c r="B22945" s="0" t="s">
        <v>22770</v>
      </c>
    </row>
    <row r="22946" customFormat="false" ht="15" hidden="false" customHeight="false" outlineLevel="0" collapsed="false">
      <c r="A22946" s="0" t="n">
        <f aca="false">INDEX(_xlfn.ORG.LIBREOFFICE.FOURIER(TRANSPOSE({1,2;3,4;5,6}),FALSE(),FALSE(),TRUE()),2,1)</f>
        <v>4.89897948556636</v>
      </c>
      <c r="B22946" s="0" t="s">
        <v>22771</v>
      </c>
    </row>
    <row r="22947" customFormat="false" ht="15" hidden="false" customHeight="false" outlineLevel="0" collapsed="false">
      <c r="A22947" s="0" t="n">
        <f aca="false">INDEX(_xlfn.ORG.LIBREOFFICE.FOURIER(TRANSPOSE({1,2;3,4;5,6}),FALSE(),FALSE(),TRUE()),2,2)</f>
        <v>-2.87979326579064</v>
      </c>
      <c r="B22947" s="0" t="s">
        <v>22772</v>
      </c>
    </row>
    <row r="22948" customFormat="false" ht="15" hidden="false" customHeight="false" outlineLevel="0" collapsed="false">
      <c r="A22948" s="0" t="n">
        <f aca="false">INDEX(_xlfn.ORG.LIBREOFFICE.FOURIER(TRANSPOSE({1,2;3,4;5,6}),FALSE(),FALSE(),TRUE()),3,2)</f>
        <v>-1.83259571459404</v>
      </c>
      <c r="B22948" s="0" t="s">
        <v>22773</v>
      </c>
    </row>
    <row r="22949" customFormat="false" ht="15" hidden="false" customHeight="false" outlineLevel="0" collapsed="false">
      <c r="A22949" s="0" t="n">
        <f aca="false">INDEX(_xlfn.ORG.LIBREOFFICE.FOURIER(TRANSPOSE({1,2;3,4;5,6}),FALSE(),FALSE(),TRUE()),ROWS(_xlfn.ORG.LIBREOFFICE.FOURIER(TRANSPOSE({1,2;3,4;5,6}),FALSE(),FALSE(),TRUE())),1)</f>
        <v>4.89897948556635</v>
      </c>
      <c r="B22949" s="0" t="s">
        <v>22774</v>
      </c>
    </row>
    <row r="22950" customFormat="false" ht="15" hidden="false" customHeight="false" outlineLevel="0" collapsed="false">
      <c r="A22950" s="0" t="n">
        <f aca="false">INDEX(_xlfn.ORG.LIBREOFFICE.FOURIER(TRANSPOSE({1,2;3,4;5,6}),FALSE(),FALSE(),TRUE()),ROWS(_xlfn.ORG.LIBREOFFICE.FOURIER(TRANSPOSE({1,2;3,4;5,6}),FALSE(),FALSE(),TRUE())),2)</f>
        <v>-1.83259571459404</v>
      </c>
      <c r="B22950" s="0" t="s">
        <v>22775</v>
      </c>
    </row>
    <row r="22951" customFormat="false" ht="15" hidden="false" customHeight="false" outlineLevel="0" collapsed="false">
      <c r="A22951" s="0" t="n">
        <f aca="false">SUM(_xlfn.ORG.LIBREOFFICE.FOURIER(TRANSPOSE({1,2;3,4;5,6}),FALSE(),TRUE(),TRUE()))</f>
        <v>4.48089256132782</v>
      </c>
      <c r="B22951" s="0" t="s">
        <v>22776</v>
      </c>
    </row>
    <row r="22952" customFormat="false" ht="15" hidden="false" customHeight="false" outlineLevel="0" collapsed="false">
      <c r="A22952" s="0" t="n">
        <f aca="false">INDEX(_xlfn.ORG.LIBREOFFICE.FOURIER(TRANSPOSE({1,2;3,4;5,6}),FALSE(),TRUE(),TRUE()),1,1)</f>
        <v>5</v>
      </c>
      <c r="B22952" s="0" t="s">
        <v>22777</v>
      </c>
    </row>
    <row r="22953" customFormat="false" ht="15" hidden="false" customHeight="false" outlineLevel="0" collapsed="false">
      <c r="A22953" s="0" t="n">
        <f aca="false">INDEX(_xlfn.ORG.LIBREOFFICE.FOURIER(TRANSPOSE({1,2;3,4;5,6}),FALSE(),TRUE(),TRUE()),2,1)</f>
        <v>1.63299316185545</v>
      </c>
      <c r="B22953" s="0" t="s">
        <v>22778</v>
      </c>
    </row>
    <row r="22954" customFormat="false" ht="15" hidden="false" customHeight="false" outlineLevel="0" collapsed="false">
      <c r="A22954" s="0" t="n">
        <f aca="false">INDEX(_xlfn.ORG.LIBREOFFICE.FOURIER(TRANSPOSE({1,2;3,4;5,6}),FALSE(),TRUE(),TRUE()),2,2)</f>
        <v>-1.83259571459405</v>
      </c>
      <c r="B22954" s="0" t="s">
        <v>22779</v>
      </c>
    </row>
    <row r="22955" customFormat="false" ht="15" hidden="false" customHeight="false" outlineLevel="0" collapsed="false">
      <c r="A22955" s="0" t="n">
        <f aca="false">INDEX(_xlfn.ORG.LIBREOFFICE.FOURIER(TRANSPOSE({1,2;3,4;5,6}),FALSE(),TRUE(),TRUE()),3,2)</f>
        <v>-2.87979326579065</v>
      </c>
      <c r="B22955" s="0" t="s">
        <v>22780</v>
      </c>
    </row>
    <row r="22956" customFormat="false" ht="15" hidden="false" customHeight="false" outlineLevel="0" collapsed="false">
      <c r="A22956" s="0" t="n">
        <f aca="false">INDEX(_xlfn.ORG.LIBREOFFICE.FOURIER(TRANSPOSE({1,2;3,4;5,6}),FALSE(),TRUE(),TRUE()),ROWS(_xlfn.ORG.LIBREOFFICE.FOURIER(TRANSPOSE({1,2;3,4;5,6}),FALSE(),TRUE(),TRUE())),1)</f>
        <v>1.63299316185545</v>
      </c>
      <c r="B22956" s="0" t="s">
        <v>22781</v>
      </c>
    </row>
    <row r="22957" customFormat="false" ht="15" hidden="false" customHeight="false" outlineLevel="0" collapsed="false">
      <c r="A22957" s="0" t="n">
        <f aca="false">INDEX(_xlfn.ORG.LIBREOFFICE.FOURIER(TRANSPOSE({1,2;3,4;5,6}),FALSE(),TRUE(),TRUE()),ROWS(_xlfn.ORG.LIBREOFFICE.FOURIER(TRANSPOSE({1,2;3,4;5,6}),FALSE(),TRUE(),TRUE())),2)</f>
        <v>-2.87979326579065</v>
      </c>
      <c r="B22957" s="0" t="s">
        <v>22782</v>
      </c>
    </row>
    <row r="22958" customFormat="false" ht="15" hidden="false" customHeight="false" outlineLevel="0" collapsed="false">
      <c r="A22958" s="0" t="n">
        <f aca="false">SUM(_xlfn.ORG.LIBREOFFICE.FOURIER(TRANSPOSE({1,2;3,4;5,6}),FALSE(),FALSE(),TRUE(),1))</f>
        <v>21.0128652087496</v>
      </c>
      <c r="B22958" s="0" t="s">
        <v>22783</v>
      </c>
    </row>
    <row r="22959" customFormat="false" ht="15" hidden="false" customHeight="false" outlineLevel="0" collapsed="false">
      <c r="A22959" s="0" t="n">
        <f aca="false">INDEX(_xlfn.ORG.LIBREOFFICE.FOURIER(TRANSPOSE({1,2;3,4;5,6}),FALSE(),FALSE(),TRUE(),1),1,1)</f>
        <v>15</v>
      </c>
      <c r="B22959" s="0" t="s">
        <v>22784</v>
      </c>
    </row>
    <row r="22960" customFormat="false" ht="15" hidden="false" customHeight="false" outlineLevel="0" collapsed="false">
      <c r="A22960" s="0" t="n">
        <f aca="false">INDEX(_xlfn.ORG.LIBREOFFICE.FOURIER(TRANSPOSE({1,2;3,4;5,6}),FALSE(),FALSE(),TRUE(),1),2,1)</f>
        <v>4.89897948556636</v>
      </c>
      <c r="B22960" s="0" t="s">
        <v>22785</v>
      </c>
    </row>
    <row r="22961" customFormat="false" ht="15" hidden="false" customHeight="false" outlineLevel="0" collapsed="false">
      <c r="A22961" s="0" t="n">
        <f aca="false">INDEX(_xlfn.ORG.LIBREOFFICE.FOURIER(TRANSPOSE({1,2;3,4;5,6}),FALSE(),FALSE(),TRUE(),1),2,2)</f>
        <v>-2.87979326579064</v>
      </c>
      <c r="B22961" s="0" t="s">
        <v>22786</v>
      </c>
    </row>
    <row r="22962" customFormat="false" ht="15" hidden="false" customHeight="false" outlineLevel="0" collapsed="false">
      <c r="A22962" s="0" t="n">
        <f aca="false">INDEX(_xlfn.ORG.LIBREOFFICE.FOURIER(TRANSPOSE({1,2;3,4;5,6}),FALSE(),FALSE(),TRUE(),1),3,2)</f>
        <v>-1.83259571459404</v>
      </c>
      <c r="B22962" s="0" t="s">
        <v>22787</v>
      </c>
    </row>
    <row r="22963" customFormat="false" ht="15" hidden="false" customHeight="false" outlineLevel="0" collapsed="false">
      <c r="A22963" s="0" t="n">
        <f aca="false">INDEX(_xlfn.ORG.LIBREOFFICE.FOURIER(TRANSPOSE({1,2;3,4;5,6}),FALSE(),FALSE(),TRUE(),1),ROWS(_xlfn.ORG.LIBREOFFICE.FOURIER(TRANSPOSE({1,2;3,4;5,6}),FALSE(),FALSE(),TRUE(),1)),1)</f>
        <v>4.89897948556635</v>
      </c>
      <c r="B22963" s="0" t="s">
        <v>22788</v>
      </c>
    </row>
    <row r="22964" customFormat="false" ht="15" hidden="false" customHeight="false" outlineLevel="0" collapsed="false">
      <c r="A22964" s="0" t="n">
        <f aca="false">INDEX(_xlfn.ORG.LIBREOFFICE.FOURIER(TRANSPOSE({1,2;3,4;5,6}),FALSE(),FALSE(),TRUE(),1),ROWS(_xlfn.ORG.LIBREOFFICE.FOURIER(TRANSPOSE({1,2;3,4;5,6}),FALSE(),FALSE(),TRUE(),1)),2)</f>
        <v>-1.83259571459404</v>
      </c>
      <c r="B22964" s="0" t="s">
        <v>22789</v>
      </c>
    </row>
    <row r="22965" customFormat="false" ht="15" hidden="false" customHeight="false" outlineLevel="0" collapsed="false">
      <c r="A22965" s="0" t="n">
        <f aca="false">SUM(_xlfn.ORG.LIBREOFFICE.FOURIER(TRANSPOSE({1,2;3,4;5,6}),FALSE(),TRUE(),TRUE(),5))</f>
        <v>5.92729521800161</v>
      </c>
      <c r="B22965" s="0" t="s">
        <v>22790</v>
      </c>
    </row>
    <row r="22966" customFormat="false" ht="15" hidden="false" customHeight="false" outlineLevel="0" collapsed="false">
      <c r="A22966" s="0" t="n">
        <f aca="false">INDEX(_xlfn.ORG.LIBREOFFICE.FOURIER(TRANSPOSE({1,2;3,4;5,6}),FALSE(),TRUE(),TRUE(),5),1,1)</f>
        <v>5</v>
      </c>
      <c r="B22966" s="0" t="s">
        <v>22791</v>
      </c>
    </row>
    <row r="22967" customFormat="false" ht="15" hidden="false" customHeight="false" outlineLevel="0" collapsed="false">
      <c r="A22967" s="0" t="n">
        <f aca="false">INDEX(_xlfn.ORG.LIBREOFFICE.FOURIER(TRANSPOSE({1,2;3,4;5,6}),FALSE(),TRUE(),TRUE(),5),2,1)</f>
        <v>0</v>
      </c>
      <c r="B22967" s="0" t="s">
        <v>22792</v>
      </c>
    </row>
    <row r="22968" customFormat="false" ht="15" hidden="false" customHeight="false" outlineLevel="0" collapsed="false">
      <c r="A22968" s="0" t="n">
        <f aca="false">INDEX(_xlfn.ORG.LIBREOFFICE.FOURIER(TRANSPOSE({1,2;3,4;5,6}),FALSE(),TRUE(),TRUE(),5),2,2)</f>
        <v>0</v>
      </c>
      <c r="B22968" s="0" t="s">
        <v>22793</v>
      </c>
    </row>
    <row r="22969" customFormat="false" ht="15" hidden="false" customHeight="false" outlineLevel="0" collapsed="false">
      <c r="A22969" s="0" t="n">
        <f aca="false">INDEX(_xlfn.ORG.LIBREOFFICE.FOURIER(TRANSPOSE({1,2;3,4;5,6}),FALSE(),TRUE(),TRUE(),5),3,2)</f>
        <v>0</v>
      </c>
      <c r="B22969" s="0" t="s">
        <v>22794</v>
      </c>
    </row>
    <row r="22970" customFormat="false" ht="15" hidden="false" customHeight="false" outlineLevel="0" collapsed="false">
      <c r="A22970" s="0" t="n">
        <f aca="false">INDEX(_xlfn.ORG.LIBREOFFICE.FOURIER(TRANSPOSE({1,2;3,4;5,6}),FALSE(),TRUE(),TRUE(),5),ROWS(_xlfn.ORG.LIBREOFFICE.FOURIER(TRANSPOSE({1,2;3,4;5,6}),FALSE(),TRUE(),TRUE(),5)),1)</f>
        <v>0</v>
      </c>
      <c r="B22970" s="0" t="s">
        <v>22795</v>
      </c>
    </row>
    <row r="22971" customFormat="false" ht="15" hidden="false" customHeight="false" outlineLevel="0" collapsed="false">
      <c r="A22971" s="0" t="n">
        <f aca="false">INDEX(_xlfn.ORG.LIBREOFFICE.FOURIER(TRANSPOSE({1,2;3,4;5,6}),FALSE(),TRUE(),TRUE(),5),ROWS(_xlfn.ORG.LIBREOFFICE.FOURIER(TRANSPOSE({1,2;3,4;5,6}),FALSE(),TRUE(),TRUE(),5)),2)</f>
        <v>0</v>
      </c>
      <c r="B22971" s="0" t="s">
        <v>22796</v>
      </c>
    </row>
    <row r="22972" customFormat="false" ht="15" hidden="false" customHeight="false" outlineLevel="0" collapsed="false">
      <c r="A22972" s="0" t="n">
        <f aca="false">ROWS(_xlfn.ORG.LIBREOFFICE.FOURIER({1,2;3,4;5,6;7,8},TRUE()))</f>
        <v>4</v>
      </c>
      <c r="B22972" s="0" t="s">
        <v>22797</v>
      </c>
    </row>
    <row r="22973" customFormat="false" ht="15" hidden="false" customHeight="false" outlineLevel="0" collapsed="false">
      <c r="A22973" s="0" t="n">
        <f aca="false">COLUMNS(_xlfn.ORG.LIBREOFFICE.FOURIER({1,2;3,4;5,6;7,8},TRUE()))</f>
        <v>2</v>
      </c>
      <c r="B22973" s="0" t="s">
        <v>22798</v>
      </c>
    </row>
    <row r="22974" customFormat="false" ht="15" hidden="false" customHeight="false" outlineLevel="0" collapsed="false">
      <c r="A22974" s="0" t="n">
        <f aca="false">SUM(_xlfn.ORG.LIBREOFFICE.FOURIER({1,2;3,4;5,6;7,8},TRUE()))</f>
        <v>12</v>
      </c>
      <c r="B22974" s="0" t="s">
        <v>22799</v>
      </c>
    </row>
    <row r="22975" customFormat="false" ht="15" hidden="false" customHeight="false" outlineLevel="0" collapsed="false">
      <c r="A22975" s="0" t="n">
        <f aca="false">INDEX(_xlfn.ORG.LIBREOFFICE.FOURIER({1,2;3,4;5,6;7,8},TRUE()),1,1)</f>
        <v>16</v>
      </c>
      <c r="B22975" s="0" t="s">
        <v>22800</v>
      </c>
    </row>
    <row r="22976" customFormat="false" ht="15" hidden="false" customHeight="false" outlineLevel="0" collapsed="false">
      <c r="A22976" s="0" t="n">
        <f aca="false">INDEX(_xlfn.ORG.LIBREOFFICE.FOURIER({1,2;3,4;5,6;7,8},TRUE()),2,1)</f>
        <v>-8</v>
      </c>
      <c r="B22976" s="0" t="s">
        <v>22801</v>
      </c>
    </row>
    <row r="22977" customFormat="false" ht="15" hidden="false" customHeight="false" outlineLevel="0" collapsed="false">
      <c r="A22977" s="0" t="n">
        <f aca="false">INDEX(_xlfn.ORG.LIBREOFFICE.FOURIER({1,2;3,4;5,6;7,8},TRUE()),2,2)</f>
        <v>0</v>
      </c>
      <c r="B22977" s="0" t="s">
        <v>22802</v>
      </c>
    </row>
    <row r="22978" customFormat="false" ht="15" hidden="false" customHeight="false" outlineLevel="0" collapsed="false">
      <c r="A22978" s="0" t="n">
        <f aca="false">INDEX(_xlfn.ORG.LIBREOFFICE.FOURIER({1,2;3,4;5,6;7,8},TRUE()),3,2)</f>
        <v>-4</v>
      </c>
      <c r="B22978" s="0" t="s">
        <v>22803</v>
      </c>
    </row>
    <row r="22979" customFormat="false" ht="15" hidden="false" customHeight="false" outlineLevel="0" collapsed="false">
      <c r="A22979" s="0" t="n">
        <f aca="false">INDEX(_xlfn.ORG.LIBREOFFICE.FOURIER({1,2;3,4;5,6;7,8},TRUE()),ROWS(_xlfn.ORG.LIBREOFFICE.FOURIER({1,2;3,4;5,6;7,8},TRUE())),1)</f>
        <v>0</v>
      </c>
      <c r="B22979" s="0" t="s">
        <v>22804</v>
      </c>
    </row>
    <row r="22980" customFormat="false" ht="15" hidden="false" customHeight="false" outlineLevel="0" collapsed="false">
      <c r="A22980" s="0" t="n">
        <f aca="false">INDEX(_xlfn.ORG.LIBREOFFICE.FOURIER({1,2;3,4;5,6;7,8},TRUE()),ROWS(_xlfn.ORG.LIBREOFFICE.FOURIER({1,2;3,4;5,6;7,8},TRUE())),2)</f>
        <v>-8</v>
      </c>
      <c r="B22980" s="0" t="s">
        <v>22805</v>
      </c>
    </row>
    <row r="22981" customFormat="false" ht="15" hidden="false" customHeight="false" outlineLevel="0" collapsed="false">
      <c r="A22981" s="0" t="n">
        <f aca="false">SUM(_xlfn.ORG.LIBREOFFICE.FOURIER({1,2;3,4;5,6;7,8},TRUE(),TRUE()))</f>
        <v>3</v>
      </c>
      <c r="B22981" s="0" t="s">
        <v>22806</v>
      </c>
    </row>
    <row r="22982" customFormat="false" ht="15" hidden="false" customHeight="false" outlineLevel="0" collapsed="false">
      <c r="A22982" s="0" t="n">
        <f aca="false">INDEX(_xlfn.ORG.LIBREOFFICE.FOURIER({1,2;3,4;5,6;7,8},TRUE(),TRUE()),1,1)</f>
        <v>4</v>
      </c>
      <c r="B22982" s="0" t="s">
        <v>22807</v>
      </c>
    </row>
    <row r="22983" customFormat="false" ht="15" hidden="false" customHeight="false" outlineLevel="0" collapsed="false">
      <c r="A22983" s="0" t="n">
        <f aca="false">INDEX(_xlfn.ORG.LIBREOFFICE.FOURIER({1,2;3,4;5,6;7,8},TRUE(),TRUE()),2,1)</f>
        <v>0</v>
      </c>
      <c r="B22983" s="0" t="s">
        <v>22808</v>
      </c>
    </row>
    <row r="22984" customFormat="false" ht="15" hidden="false" customHeight="false" outlineLevel="0" collapsed="false">
      <c r="A22984" s="0" t="n">
        <f aca="false">INDEX(_xlfn.ORG.LIBREOFFICE.FOURIER({1,2;3,4;5,6;7,8},TRUE(),TRUE()),2,2)</f>
        <v>-2</v>
      </c>
      <c r="B22984" s="0" t="s">
        <v>22809</v>
      </c>
    </row>
    <row r="22985" customFormat="false" ht="15" hidden="false" customHeight="false" outlineLevel="0" collapsed="false">
      <c r="A22985" s="0" t="n">
        <f aca="false">INDEX(_xlfn.ORG.LIBREOFFICE.FOURIER({1,2;3,4;5,6;7,8},TRUE(),TRUE()),3,2)</f>
        <v>-1</v>
      </c>
      <c r="B22985" s="0" t="s">
        <v>22810</v>
      </c>
    </row>
    <row r="22986" customFormat="false" ht="15" hidden="false" customHeight="false" outlineLevel="0" collapsed="false">
      <c r="A22986" s="0" t="n">
        <f aca="false">INDEX(_xlfn.ORG.LIBREOFFICE.FOURIER({1,2;3,4;5,6;7,8},TRUE(),TRUE()),ROWS(_xlfn.ORG.LIBREOFFICE.FOURIER({1,2;3,4;5,6;7,8},TRUE(),TRUE())),1)</f>
        <v>-2</v>
      </c>
      <c r="B22986" s="0" t="s">
        <v>22811</v>
      </c>
    </row>
    <row r="22987" customFormat="false" ht="15" hidden="false" customHeight="false" outlineLevel="0" collapsed="false">
      <c r="A22987" s="0" t="n">
        <f aca="false">INDEX(_xlfn.ORG.LIBREOFFICE.FOURIER({1,2;3,4;5,6;7,8},TRUE(),TRUE()),ROWS(_xlfn.ORG.LIBREOFFICE.FOURIER({1,2;3,4;5,6;7,8},TRUE(),TRUE())),2)</f>
        <v>0</v>
      </c>
      <c r="B22987" s="0" t="s">
        <v>22812</v>
      </c>
    </row>
    <row r="22988" customFormat="false" ht="15" hidden="false" customHeight="false" outlineLevel="0" collapsed="false">
      <c r="A22988" s="0" t="n">
        <f aca="false">SUM(_xlfn.ORG.LIBREOFFICE.FOURIER({1,2;3,4;5,6;7,8},TRUE(),FALSE(),TRUE()))</f>
        <v>47.3800084203977</v>
      </c>
      <c r="B22988" s="0" t="s">
        <v>22813</v>
      </c>
    </row>
    <row r="22989" customFormat="false" ht="15" hidden="false" customHeight="false" outlineLevel="0" collapsed="false">
      <c r="A22989" s="0" t="n">
        <f aca="false">INDEX(_xlfn.ORG.LIBREOFFICE.FOURIER({1,2;3,4;5,6;7,8},TRUE(),FALSE(),TRUE()),1,1)</f>
        <v>25.6124969497314</v>
      </c>
      <c r="B22989" s="0" t="s">
        <v>22814</v>
      </c>
    </row>
    <row r="22990" customFormat="false" ht="15" hidden="false" customHeight="false" outlineLevel="0" collapsed="false">
      <c r="A22990" s="0" t="n">
        <f aca="false">INDEX(_xlfn.ORG.LIBREOFFICE.FOURIER({1,2;3,4;5,6;7,8},TRUE(),FALSE(),TRUE()),2,1)</f>
        <v>8</v>
      </c>
      <c r="B22990" s="0" t="s">
        <v>22815</v>
      </c>
    </row>
    <row r="22991" customFormat="false" ht="15" hidden="false" customHeight="false" outlineLevel="0" collapsed="false">
      <c r="A22991" s="0" t="n">
        <f aca="false">INDEX(_xlfn.ORG.LIBREOFFICE.FOURIER({1,2;3,4;5,6;7,8},TRUE(),FALSE(),TRUE()),2,2)</f>
        <v>3.14159265358979</v>
      </c>
      <c r="B22991" s="0" t="s">
        <v>22816</v>
      </c>
    </row>
    <row r="22992" customFormat="false" ht="15" hidden="false" customHeight="false" outlineLevel="0" collapsed="false">
      <c r="A22992" s="0" t="n">
        <f aca="false">INDEX(_xlfn.ORG.LIBREOFFICE.FOURIER({1,2;3,4;5,6;7,8},TRUE(),FALSE(),TRUE()),3,2)</f>
        <v>-2.35619449019235</v>
      </c>
      <c r="B22992" s="0" t="s">
        <v>22817</v>
      </c>
    </row>
    <row r="22993" customFormat="false" ht="15" hidden="false" customHeight="false" outlineLevel="0" collapsed="false">
      <c r="A22993" s="0" t="n">
        <f aca="false">INDEX(_xlfn.ORG.LIBREOFFICE.FOURIER({1,2;3,4;5,6;7,8},TRUE(),FALSE(),TRUE()),ROWS(_xlfn.ORG.LIBREOFFICE.FOURIER({1,2;3,4;5,6;7,8},TRUE(),FALSE(),TRUE())),1)</f>
        <v>8</v>
      </c>
      <c r="B22993" s="0" t="s">
        <v>22818</v>
      </c>
    </row>
    <row r="22994" customFormat="false" ht="15" hidden="false" customHeight="false" outlineLevel="0" collapsed="false">
      <c r="A22994" s="0" t="n">
        <f aca="false">INDEX(_xlfn.ORG.LIBREOFFICE.FOURIER({1,2;3,4;5,6;7,8},TRUE(),FALSE(),TRUE()),ROWS(_xlfn.ORG.LIBREOFFICE.FOURIER({1,2;3,4;5,6;7,8},TRUE(),FALSE(),TRUE())),2)</f>
        <v>-1.5707963267949</v>
      </c>
      <c r="B22994" s="0" t="s">
        <v>22819</v>
      </c>
    </row>
    <row r="22995" customFormat="false" ht="15" hidden="false" customHeight="false" outlineLevel="0" collapsed="false">
      <c r="A22995" s="0" t="n">
        <f aca="false">SUM(_xlfn.ORG.LIBREOFFICE.FOURIER({1,2;3,4;5,6;7,8},TRUE(),TRUE(),TRUE()))</f>
        <v>11.9279950209798</v>
      </c>
      <c r="B22995" s="0" t="s">
        <v>22820</v>
      </c>
    </row>
    <row r="22996" customFormat="false" ht="15" hidden="false" customHeight="false" outlineLevel="0" collapsed="false">
      <c r="A22996" s="0" t="n">
        <f aca="false">INDEX(_xlfn.ORG.LIBREOFFICE.FOURIER({1,2;3,4;5,6;7,8},TRUE(),TRUE(),TRUE()),1,1)</f>
        <v>6.40312423743285</v>
      </c>
      <c r="B22996" s="0" t="s">
        <v>22821</v>
      </c>
    </row>
    <row r="22997" customFormat="false" ht="15" hidden="false" customHeight="false" outlineLevel="0" collapsed="false">
      <c r="A22997" s="0" t="n">
        <f aca="false">INDEX(_xlfn.ORG.LIBREOFFICE.FOURIER({1,2;3,4;5,6;7,8},TRUE(),TRUE(),TRUE()),2,1)</f>
        <v>2</v>
      </c>
      <c r="B22997" s="0" t="s">
        <v>22822</v>
      </c>
    </row>
    <row r="22998" customFormat="false" ht="15" hidden="false" customHeight="false" outlineLevel="0" collapsed="false">
      <c r="A22998" s="0" t="n">
        <f aca="false">INDEX(_xlfn.ORG.LIBREOFFICE.FOURIER({1,2;3,4;5,6;7,8},TRUE(),TRUE(),TRUE()),2,2)</f>
        <v>-1.5707963267949</v>
      </c>
      <c r="B22998" s="0" t="s">
        <v>22823</v>
      </c>
    </row>
    <row r="22999" customFormat="false" ht="15" hidden="false" customHeight="false" outlineLevel="0" collapsed="false">
      <c r="A22999" s="0" t="n">
        <f aca="false">INDEX(_xlfn.ORG.LIBREOFFICE.FOURIER({1,2;3,4;5,6;7,8},TRUE(),TRUE(),TRUE()),3,2)</f>
        <v>-2.35619449019235</v>
      </c>
      <c r="B22999" s="0" t="s">
        <v>22824</v>
      </c>
    </row>
    <row r="23000" customFormat="false" ht="15" hidden="false" customHeight="false" outlineLevel="0" collapsed="false">
      <c r="A23000" s="0" t="n">
        <f aca="false">INDEX(_xlfn.ORG.LIBREOFFICE.FOURIER({1,2;3,4;5,6;7,8},TRUE(),TRUE(),TRUE()),ROWS(_xlfn.ORG.LIBREOFFICE.FOURIER({1,2;3,4;5,6;7,8},TRUE(),TRUE(),TRUE())),1)</f>
        <v>2</v>
      </c>
      <c r="B23000" s="0" t="s">
        <v>22825</v>
      </c>
    </row>
    <row r="23001" customFormat="false" ht="15" hidden="false" customHeight="false" outlineLevel="0" collapsed="false">
      <c r="A23001" s="0" t="n">
        <f aca="false">INDEX(_xlfn.ORG.LIBREOFFICE.FOURIER({1,2;3,4;5,6;7,8},TRUE(),TRUE(),TRUE()),ROWS(_xlfn.ORG.LIBREOFFICE.FOURIER({1,2;3,4;5,6;7,8},TRUE(),TRUE(),TRUE())),2)</f>
        <v>3.14159265358979</v>
      </c>
      <c r="B23001" s="0" t="s">
        <v>22826</v>
      </c>
    </row>
    <row r="23002" customFormat="false" ht="15" hidden="false" customHeight="false" outlineLevel="0" collapsed="false">
      <c r="A23002" s="0" t="n">
        <f aca="false">SUM(_xlfn.ORG.LIBREOFFICE.FOURIER({1,2;3,4;5,6;7,8},TRUE(),FALSE(),TRUE(),1))</f>
        <v>47.3800084203977</v>
      </c>
      <c r="B23002" s="0" t="s">
        <v>22827</v>
      </c>
    </row>
    <row r="23003" customFormat="false" ht="15" hidden="false" customHeight="false" outlineLevel="0" collapsed="false">
      <c r="A23003" s="0" t="n">
        <f aca="false">INDEX(_xlfn.ORG.LIBREOFFICE.FOURIER({1,2;3,4;5,6;7,8},TRUE(),FALSE(),TRUE(),1),1,1)</f>
        <v>25.6124969497314</v>
      </c>
      <c r="B23003" s="0" t="s">
        <v>22828</v>
      </c>
    </row>
    <row r="23004" customFormat="false" ht="15" hidden="false" customHeight="false" outlineLevel="0" collapsed="false">
      <c r="A23004" s="0" t="n">
        <f aca="false">INDEX(_xlfn.ORG.LIBREOFFICE.FOURIER({1,2;3,4;5,6;7,8},TRUE(),FALSE(),TRUE(),1),2,1)</f>
        <v>8</v>
      </c>
      <c r="B23004" s="0" t="s">
        <v>22829</v>
      </c>
    </row>
    <row r="23005" customFormat="false" ht="15" hidden="false" customHeight="false" outlineLevel="0" collapsed="false">
      <c r="A23005" s="0" t="n">
        <f aca="false">INDEX(_xlfn.ORG.LIBREOFFICE.FOURIER({1,2;3,4;5,6;7,8},TRUE(),FALSE(),TRUE(),1),2,2)</f>
        <v>3.14159265358979</v>
      </c>
      <c r="B23005" s="0" t="s">
        <v>22830</v>
      </c>
    </row>
    <row r="23006" customFormat="false" ht="15" hidden="false" customHeight="false" outlineLevel="0" collapsed="false">
      <c r="A23006" s="0" t="n">
        <f aca="false">INDEX(_xlfn.ORG.LIBREOFFICE.FOURIER({1,2;3,4;5,6;7,8},TRUE(),FALSE(),TRUE(),1),3,2)</f>
        <v>-2.35619449019235</v>
      </c>
      <c r="B23006" s="0" t="s">
        <v>22831</v>
      </c>
    </row>
    <row r="23007" customFormat="false" ht="15" hidden="false" customHeight="false" outlineLevel="0" collapsed="false">
      <c r="A23007" s="0" t="n">
        <f aca="false">INDEX(_xlfn.ORG.LIBREOFFICE.FOURIER({1,2;3,4;5,6;7,8},TRUE(),FALSE(),TRUE(),1),ROWS(_xlfn.ORG.LIBREOFFICE.FOURIER({1,2;3,4;5,6;7,8},TRUE(),FALSE(),TRUE(),1)),1)</f>
        <v>8</v>
      </c>
      <c r="B23007" s="0" t="s">
        <v>22832</v>
      </c>
    </row>
    <row r="23008" customFormat="false" ht="15" hidden="false" customHeight="false" outlineLevel="0" collapsed="false">
      <c r="A23008" s="0" t="n">
        <f aca="false">INDEX(_xlfn.ORG.LIBREOFFICE.FOURIER({1,2;3,4;5,6;7,8},TRUE(),FALSE(),TRUE(),1),ROWS(_xlfn.ORG.LIBREOFFICE.FOURIER({1,2;3,4;5,6;7,8},TRUE(),FALSE(),TRUE(),1)),2)</f>
        <v>-1.5707963267949</v>
      </c>
      <c r="B23008" s="0" t="s">
        <v>22833</v>
      </c>
    </row>
    <row r="23009" customFormat="false" ht="15" hidden="false" customHeight="false" outlineLevel="0" collapsed="false">
      <c r="A23009" s="0" t="n">
        <f aca="false">SUM(_xlfn.ORG.LIBREOFFICE.FOURIER({1,2;3,4;5,6;7,8},TRUE(),TRUE(),TRUE(),5))</f>
        <v>11.9279950209798</v>
      </c>
      <c r="B23009" s="0" t="s">
        <v>22834</v>
      </c>
    </row>
    <row r="23010" customFormat="false" ht="15" hidden="false" customHeight="false" outlineLevel="0" collapsed="false">
      <c r="A23010" s="0" t="n">
        <f aca="false">INDEX(_xlfn.ORG.LIBREOFFICE.FOURIER({1,2;3,4;5,6;7,8},TRUE(),TRUE(),TRUE(),5),1,1)</f>
        <v>6.40312423743285</v>
      </c>
      <c r="B23010" s="0" t="s">
        <v>22835</v>
      </c>
    </row>
    <row r="23011" customFormat="false" ht="15" hidden="false" customHeight="false" outlineLevel="0" collapsed="false">
      <c r="A23011" s="0" t="n">
        <f aca="false">INDEX(_xlfn.ORG.LIBREOFFICE.FOURIER({1,2;3,4;5,6;7,8},TRUE(),TRUE(),TRUE(),5),2,1)</f>
        <v>2</v>
      </c>
      <c r="B23011" s="0" t="s">
        <v>22836</v>
      </c>
    </row>
    <row r="23012" customFormat="false" ht="15" hidden="false" customHeight="false" outlineLevel="0" collapsed="false">
      <c r="A23012" s="0" t="n">
        <f aca="false">INDEX(_xlfn.ORG.LIBREOFFICE.FOURIER({1,2;3,4;5,6;7,8},TRUE(),TRUE(),TRUE(),5),2,2)</f>
        <v>-1.5707963267949</v>
      </c>
      <c r="B23012" s="0" t="s">
        <v>22837</v>
      </c>
    </row>
    <row r="23013" customFormat="false" ht="15" hidden="false" customHeight="false" outlineLevel="0" collapsed="false">
      <c r="A23013" s="0" t="n">
        <f aca="false">INDEX(_xlfn.ORG.LIBREOFFICE.FOURIER({1,2;3,4;5,6;7,8},TRUE(),TRUE(),TRUE(),5),3,2)</f>
        <v>-2.35619449019235</v>
      </c>
      <c r="B23013" s="0" t="s">
        <v>22838</v>
      </c>
    </row>
    <row r="23014" customFormat="false" ht="15" hidden="false" customHeight="false" outlineLevel="0" collapsed="false">
      <c r="A23014" s="0" t="n">
        <f aca="false">INDEX(_xlfn.ORG.LIBREOFFICE.FOURIER({1,2;3,4;5,6;7,8},TRUE(),TRUE(),TRUE(),5),ROWS(_xlfn.ORG.LIBREOFFICE.FOURIER({1,2;3,4;5,6;7,8},TRUE(),TRUE(),TRUE(),5)),1)</f>
        <v>2</v>
      </c>
      <c r="B23014" s="0" t="s">
        <v>22839</v>
      </c>
    </row>
    <row r="23015" customFormat="false" ht="15" hidden="false" customHeight="false" outlineLevel="0" collapsed="false">
      <c r="A23015" s="0" t="n">
        <f aca="false">INDEX(_xlfn.ORG.LIBREOFFICE.FOURIER({1,2;3,4;5,6;7,8},TRUE(),TRUE(),TRUE(),5),ROWS(_xlfn.ORG.LIBREOFFICE.FOURIER({1,2;3,4;5,6;7,8},TRUE(),TRUE(),TRUE(),5)),2)</f>
        <v>3.14159265358979</v>
      </c>
      <c r="B23015" s="0" t="s">
        <v>22840</v>
      </c>
    </row>
    <row r="23016" customFormat="false" ht="15" hidden="false" customHeight="false" outlineLevel="0" collapsed="false">
      <c r="A23016" s="0" t="n">
        <f aca="false">ROWS(_xlfn.ORG.LIBREOFFICE.FOURIER(TRANSPOSE({1,2;3,4;5,6;7,8}),FALSE()))</f>
        <v>4</v>
      </c>
      <c r="B23016" s="0" t="s">
        <v>22841</v>
      </c>
    </row>
    <row r="23017" customFormat="false" ht="15" hidden="false" customHeight="false" outlineLevel="0" collapsed="false">
      <c r="A23017" s="0" t="n">
        <f aca="false">COLUMNS(_xlfn.ORG.LIBREOFFICE.FOURIER(TRANSPOSE({1,2;3,4;5,6;7,8}),FALSE()))</f>
        <v>2</v>
      </c>
      <c r="B23017" s="0" t="s">
        <v>22842</v>
      </c>
    </row>
    <row r="23018" customFormat="false" ht="15" hidden="false" customHeight="false" outlineLevel="0" collapsed="false">
      <c r="A23018" s="0" t="n">
        <f aca="false">SUM(_xlfn.ORG.LIBREOFFICE.FOURIER(TRANSPOSE({1,2;3,4;5,6;7,8}),FALSE()))</f>
        <v>12</v>
      </c>
      <c r="B23018" s="0" t="s">
        <v>22843</v>
      </c>
    </row>
    <row r="23019" customFormat="false" ht="15" hidden="false" customHeight="false" outlineLevel="0" collapsed="false">
      <c r="A23019" s="0" t="n">
        <f aca="false">INDEX(_xlfn.ORG.LIBREOFFICE.FOURIER(TRANSPOSE({1,2;3,4;5,6;7,8}),FALSE()),1,1)</f>
        <v>16</v>
      </c>
      <c r="B23019" s="0" t="s">
        <v>22844</v>
      </c>
    </row>
    <row r="23020" customFormat="false" ht="15" hidden="false" customHeight="false" outlineLevel="0" collapsed="false">
      <c r="A23020" s="0" t="n">
        <f aca="false">INDEX(_xlfn.ORG.LIBREOFFICE.FOURIER(TRANSPOSE({1,2;3,4;5,6;7,8}),FALSE()),2,1)</f>
        <v>-8</v>
      </c>
      <c r="B23020" s="0" t="s">
        <v>22845</v>
      </c>
    </row>
    <row r="23021" customFormat="false" ht="15" hidden="false" customHeight="false" outlineLevel="0" collapsed="false">
      <c r="A23021" s="0" t="n">
        <f aca="false">INDEX(_xlfn.ORG.LIBREOFFICE.FOURIER(TRANSPOSE({1,2;3,4;5,6;7,8}),FALSE()),2,2)</f>
        <v>0</v>
      </c>
      <c r="B23021" s="0" t="s">
        <v>22846</v>
      </c>
    </row>
    <row r="23022" customFormat="false" ht="15" hidden="false" customHeight="false" outlineLevel="0" collapsed="false">
      <c r="A23022" s="0" t="n">
        <f aca="false">INDEX(_xlfn.ORG.LIBREOFFICE.FOURIER(TRANSPOSE({1,2;3,4;5,6;7,8}),FALSE()),3,2)</f>
        <v>-4</v>
      </c>
      <c r="B23022" s="0" t="s">
        <v>22847</v>
      </c>
    </row>
    <row r="23023" customFormat="false" ht="15" hidden="false" customHeight="false" outlineLevel="0" collapsed="false">
      <c r="A23023" s="0" t="n">
        <f aca="false">INDEX(_xlfn.ORG.LIBREOFFICE.FOURIER(TRANSPOSE({1,2;3,4;5,6;7,8}),FALSE()),ROWS(_xlfn.ORG.LIBREOFFICE.FOURIER(TRANSPOSE({1,2;3,4;5,6;7,8}),FALSE())),1)</f>
        <v>0</v>
      </c>
      <c r="B23023" s="0" t="s">
        <v>22848</v>
      </c>
    </row>
    <row r="23024" customFormat="false" ht="15" hidden="false" customHeight="false" outlineLevel="0" collapsed="false">
      <c r="A23024" s="0" t="n">
        <f aca="false">INDEX(_xlfn.ORG.LIBREOFFICE.FOURIER(TRANSPOSE({1,2;3,4;5,6;7,8}),FALSE()),ROWS(_xlfn.ORG.LIBREOFFICE.FOURIER(TRANSPOSE({1,2;3,4;5,6;7,8}),FALSE())),2)</f>
        <v>-8</v>
      </c>
      <c r="B23024" s="0" t="s">
        <v>22849</v>
      </c>
    </row>
    <row r="23025" customFormat="false" ht="15" hidden="false" customHeight="false" outlineLevel="0" collapsed="false">
      <c r="A23025" s="0" t="n">
        <f aca="false">SUM(_xlfn.ORG.LIBREOFFICE.FOURIER(TRANSPOSE({1,2;3,4;5,6;7,8}),FALSE(),TRUE()))</f>
        <v>3</v>
      </c>
      <c r="B23025" s="0" t="s">
        <v>22850</v>
      </c>
    </row>
    <row r="23026" customFormat="false" ht="15" hidden="false" customHeight="false" outlineLevel="0" collapsed="false">
      <c r="A23026" s="0" t="n">
        <f aca="false">INDEX(_xlfn.ORG.LIBREOFFICE.FOURIER(TRANSPOSE({1,2;3,4;5,6;7,8}),FALSE(),TRUE()),1,1)</f>
        <v>4</v>
      </c>
      <c r="B23026" s="0" t="s">
        <v>22851</v>
      </c>
    </row>
    <row r="23027" customFormat="false" ht="15" hidden="false" customHeight="false" outlineLevel="0" collapsed="false">
      <c r="A23027" s="0" t="n">
        <f aca="false">INDEX(_xlfn.ORG.LIBREOFFICE.FOURIER(TRANSPOSE({1,2;3,4;5,6;7,8}),FALSE(),TRUE()),2,1)</f>
        <v>0</v>
      </c>
      <c r="B23027" s="0" t="s">
        <v>22852</v>
      </c>
    </row>
    <row r="23028" customFormat="false" ht="15" hidden="false" customHeight="false" outlineLevel="0" collapsed="false">
      <c r="A23028" s="0" t="n">
        <f aca="false">INDEX(_xlfn.ORG.LIBREOFFICE.FOURIER(TRANSPOSE({1,2;3,4;5,6;7,8}),FALSE(),TRUE()),2,2)</f>
        <v>-2</v>
      </c>
      <c r="B23028" s="0" t="s">
        <v>22853</v>
      </c>
    </row>
    <row r="23029" customFormat="false" ht="15" hidden="false" customHeight="false" outlineLevel="0" collapsed="false">
      <c r="A23029" s="0" t="n">
        <f aca="false">INDEX(_xlfn.ORG.LIBREOFFICE.FOURIER(TRANSPOSE({1,2;3,4;5,6;7,8}),FALSE(),TRUE()),3,2)</f>
        <v>-1</v>
      </c>
      <c r="B23029" s="0" t="s">
        <v>22854</v>
      </c>
    </row>
    <row r="23030" customFormat="false" ht="15" hidden="false" customHeight="false" outlineLevel="0" collapsed="false">
      <c r="A23030" s="0" t="n">
        <f aca="false">INDEX(_xlfn.ORG.LIBREOFFICE.FOURIER(TRANSPOSE({1,2;3,4;5,6;7,8}),FALSE(),TRUE()),ROWS(_xlfn.ORG.LIBREOFFICE.FOURIER(TRANSPOSE({1,2;3,4;5,6;7,8}),FALSE(),TRUE())),1)</f>
        <v>-2</v>
      </c>
      <c r="B23030" s="0" t="s">
        <v>22855</v>
      </c>
    </row>
    <row r="23031" customFormat="false" ht="15" hidden="false" customHeight="false" outlineLevel="0" collapsed="false">
      <c r="A23031" s="0" t="n">
        <f aca="false">INDEX(_xlfn.ORG.LIBREOFFICE.FOURIER(TRANSPOSE({1,2;3,4;5,6;7,8}),FALSE(),TRUE()),ROWS(_xlfn.ORG.LIBREOFFICE.FOURIER(TRANSPOSE({1,2;3,4;5,6;7,8}),FALSE(),TRUE())),2)</f>
        <v>0</v>
      </c>
      <c r="B23031" s="0" t="s">
        <v>22856</v>
      </c>
    </row>
    <row r="23032" customFormat="false" ht="15" hidden="false" customHeight="false" outlineLevel="0" collapsed="false">
      <c r="A23032" s="0" t="n">
        <f aca="false">SUM(_xlfn.ORG.LIBREOFFICE.FOURIER(TRANSPOSE({1,2;3,4;5,6;7,8}),FALSE(),FALSE(),TRUE()))</f>
        <v>47.3800084203977</v>
      </c>
      <c r="B23032" s="0" t="s">
        <v>22857</v>
      </c>
    </row>
    <row r="23033" customFormat="false" ht="15" hidden="false" customHeight="false" outlineLevel="0" collapsed="false">
      <c r="A23033" s="0" t="n">
        <f aca="false">INDEX(_xlfn.ORG.LIBREOFFICE.FOURIER(TRANSPOSE({1,2;3,4;5,6;7,8}),FALSE(),FALSE(),TRUE()),1,1)</f>
        <v>25.6124969497314</v>
      </c>
      <c r="B23033" s="0" t="s">
        <v>22858</v>
      </c>
    </row>
    <row r="23034" customFormat="false" ht="15" hidden="false" customHeight="false" outlineLevel="0" collapsed="false">
      <c r="A23034" s="0" t="n">
        <f aca="false">INDEX(_xlfn.ORG.LIBREOFFICE.FOURIER(TRANSPOSE({1,2;3,4;5,6;7,8}),FALSE(),FALSE(),TRUE()),2,1)</f>
        <v>8</v>
      </c>
      <c r="B23034" s="0" t="s">
        <v>22859</v>
      </c>
    </row>
    <row r="23035" customFormat="false" ht="15" hidden="false" customHeight="false" outlineLevel="0" collapsed="false">
      <c r="A23035" s="0" t="n">
        <f aca="false">INDEX(_xlfn.ORG.LIBREOFFICE.FOURIER(TRANSPOSE({1,2;3,4;5,6;7,8}),FALSE(),FALSE(),TRUE()),2,2)</f>
        <v>3.14159265358979</v>
      </c>
      <c r="B23035" s="0" t="s">
        <v>22860</v>
      </c>
    </row>
    <row r="23036" customFormat="false" ht="15" hidden="false" customHeight="false" outlineLevel="0" collapsed="false">
      <c r="A23036" s="0" t="n">
        <f aca="false">INDEX(_xlfn.ORG.LIBREOFFICE.FOURIER(TRANSPOSE({1,2;3,4;5,6;7,8}),FALSE(),FALSE(),TRUE()),3,2)</f>
        <v>-2.35619449019235</v>
      </c>
      <c r="B23036" s="0" t="s">
        <v>22861</v>
      </c>
    </row>
    <row r="23037" customFormat="false" ht="15" hidden="false" customHeight="false" outlineLevel="0" collapsed="false">
      <c r="A23037" s="0" t="n">
        <f aca="false">INDEX(_xlfn.ORG.LIBREOFFICE.FOURIER(TRANSPOSE({1,2;3,4;5,6;7,8}),FALSE(),FALSE(),TRUE()),ROWS(_xlfn.ORG.LIBREOFFICE.FOURIER(TRANSPOSE({1,2;3,4;5,6;7,8}),FALSE(),FALSE(),TRUE())),1)</f>
        <v>8</v>
      </c>
      <c r="B23037" s="0" t="s">
        <v>22862</v>
      </c>
    </row>
    <row r="23038" customFormat="false" ht="15" hidden="false" customHeight="false" outlineLevel="0" collapsed="false">
      <c r="A23038" s="0" t="n">
        <f aca="false">INDEX(_xlfn.ORG.LIBREOFFICE.FOURIER(TRANSPOSE({1,2;3,4;5,6;7,8}),FALSE(),FALSE(),TRUE()),ROWS(_xlfn.ORG.LIBREOFFICE.FOURIER(TRANSPOSE({1,2;3,4;5,6;7,8}),FALSE(),FALSE(),TRUE())),2)</f>
        <v>-1.5707963267949</v>
      </c>
      <c r="B23038" s="0" t="s">
        <v>22863</v>
      </c>
    </row>
    <row r="23039" customFormat="false" ht="15" hidden="false" customHeight="false" outlineLevel="0" collapsed="false">
      <c r="A23039" s="0" t="n">
        <f aca="false">SUM(_xlfn.ORG.LIBREOFFICE.FOURIER(TRANSPOSE({1,2;3,4;5,6;7,8}),FALSE(),TRUE(),TRUE()))</f>
        <v>11.9279950209798</v>
      </c>
      <c r="B23039" s="0" t="s">
        <v>22864</v>
      </c>
    </row>
    <row r="23040" customFormat="false" ht="15" hidden="false" customHeight="false" outlineLevel="0" collapsed="false">
      <c r="A23040" s="0" t="n">
        <f aca="false">INDEX(_xlfn.ORG.LIBREOFFICE.FOURIER(TRANSPOSE({1,2;3,4;5,6;7,8}),FALSE(),TRUE(),TRUE()),1,1)</f>
        <v>6.40312423743285</v>
      </c>
      <c r="B23040" s="0" t="s">
        <v>22865</v>
      </c>
    </row>
    <row r="23041" customFormat="false" ht="15" hidden="false" customHeight="false" outlineLevel="0" collapsed="false">
      <c r="A23041" s="0" t="n">
        <f aca="false">INDEX(_xlfn.ORG.LIBREOFFICE.FOURIER(TRANSPOSE({1,2;3,4;5,6;7,8}),FALSE(),TRUE(),TRUE()),2,1)</f>
        <v>2</v>
      </c>
      <c r="B23041" s="0" t="s">
        <v>22866</v>
      </c>
    </row>
    <row r="23042" customFormat="false" ht="15" hidden="false" customHeight="false" outlineLevel="0" collapsed="false">
      <c r="A23042" s="0" t="n">
        <f aca="false">INDEX(_xlfn.ORG.LIBREOFFICE.FOURIER(TRANSPOSE({1,2;3,4;5,6;7,8}),FALSE(),TRUE(),TRUE()),2,2)</f>
        <v>-1.5707963267949</v>
      </c>
      <c r="B23042" s="0" t="s">
        <v>22867</v>
      </c>
    </row>
    <row r="23043" customFormat="false" ht="15" hidden="false" customHeight="false" outlineLevel="0" collapsed="false">
      <c r="A23043" s="0" t="n">
        <f aca="false">INDEX(_xlfn.ORG.LIBREOFFICE.FOURIER(TRANSPOSE({1,2;3,4;5,6;7,8}),FALSE(),TRUE(),TRUE()),3,2)</f>
        <v>-2.35619449019235</v>
      </c>
      <c r="B23043" s="0" t="s">
        <v>22868</v>
      </c>
    </row>
    <row r="23044" customFormat="false" ht="15" hidden="false" customHeight="false" outlineLevel="0" collapsed="false">
      <c r="A23044" s="0" t="n">
        <f aca="false">INDEX(_xlfn.ORG.LIBREOFFICE.FOURIER(TRANSPOSE({1,2;3,4;5,6;7,8}),FALSE(),TRUE(),TRUE()),ROWS(_xlfn.ORG.LIBREOFFICE.FOURIER(TRANSPOSE({1,2;3,4;5,6;7,8}),FALSE(),TRUE(),TRUE())),1)</f>
        <v>2</v>
      </c>
      <c r="B23044" s="0" t="s">
        <v>22869</v>
      </c>
    </row>
    <row r="23045" customFormat="false" ht="15" hidden="false" customHeight="false" outlineLevel="0" collapsed="false">
      <c r="A23045" s="0" t="n">
        <f aca="false">INDEX(_xlfn.ORG.LIBREOFFICE.FOURIER(TRANSPOSE({1,2;3,4;5,6;7,8}),FALSE(),TRUE(),TRUE()),ROWS(_xlfn.ORG.LIBREOFFICE.FOURIER(TRANSPOSE({1,2;3,4;5,6;7,8}),FALSE(),TRUE(),TRUE())),2)</f>
        <v>3.14159265358979</v>
      </c>
      <c r="B23045" s="0" t="s">
        <v>22870</v>
      </c>
    </row>
    <row r="23046" customFormat="false" ht="15" hidden="false" customHeight="false" outlineLevel="0" collapsed="false">
      <c r="A23046" s="0" t="n">
        <f aca="false">SUM(_xlfn.ORG.LIBREOFFICE.FOURIER(TRANSPOSE({1,2;3,4;5,6;7,8}),FALSE(),FALSE(),TRUE(),1))</f>
        <v>47.3800084203977</v>
      </c>
      <c r="B23046" s="0" t="s">
        <v>22871</v>
      </c>
    </row>
    <row r="23047" customFormat="false" ht="15" hidden="false" customHeight="false" outlineLevel="0" collapsed="false">
      <c r="A23047" s="0" t="n">
        <f aca="false">INDEX(_xlfn.ORG.LIBREOFFICE.FOURIER(TRANSPOSE({1,2;3,4;5,6;7,8}),FALSE(),FALSE(),TRUE(),1),1,1)</f>
        <v>25.6124969497314</v>
      </c>
      <c r="B23047" s="0" t="s">
        <v>22872</v>
      </c>
    </row>
    <row r="23048" customFormat="false" ht="15" hidden="false" customHeight="false" outlineLevel="0" collapsed="false">
      <c r="A23048" s="0" t="n">
        <f aca="false">INDEX(_xlfn.ORG.LIBREOFFICE.FOURIER(TRANSPOSE({1,2;3,4;5,6;7,8}),FALSE(),FALSE(),TRUE(),1),2,1)</f>
        <v>8</v>
      </c>
      <c r="B23048" s="0" t="s">
        <v>22873</v>
      </c>
    </row>
    <row r="23049" customFormat="false" ht="15" hidden="false" customHeight="false" outlineLevel="0" collapsed="false">
      <c r="A23049" s="0" t="n">
        <f aca="false">INDEX(_xlfn.ORG.LIBREOFFICE.FOURIER(TRANSPOSE({1,2;3,4;5,6;7,8}),FALSE(),FALSE(),TRUE(),1),2,2)</f>
        <v>3.14159265358979</v>
      </c>
      <c r="B23049" s="0" t="s">
        <v>22874</v>
      </c>
    </row>
    <row r="23050" customFormat="false" ht="15" hidden="false" customHeight="false" outlineLevel="0" collapsed="false">
      <c r="A23050" s="0" t="n">
        <f aca="false">INDEX(_xlfn.ORG.LIBREOFFICE.FOURIER(TRANSPOSE({1,2;3,4;5,6;7,8}),FALSE(),FALSE(),TRUE(),1),3,2)</f>
        <v>-2.35619449019235</v>
      </c>
      <c r="B23050" s="0" t="s">
        <v>22875</v>
      </c>
    </row>
    <row r="23051" customFormat="false" ht="15" hidden="false" customHeight="false" outlineLevel="0" collapsed="false">
      <c r="A23051" s="0" t="n">
        <f aca="false">INDEX(_xlfn.ORG.LIBREOFFICE.FOURIER(TRANSPOSE({1,2;3,4;5,6;7,8}),FALSE(),FALSE(),TRUE(),1),ROWS(_xlfn.ORG.LIBREOFFICE.FOURIER(TRANSPOSE({1,2;3,4;5,6;7,8}),FALSE(),FALSE(),TRUE(),1)),1)</f>
        <v>8</v>
      </c>
      <c r="B23051" s="0" t="s">
        <v>22876</v>
      </c>
    </row>
    <row r="23052" customFormat="false" ht="15" hidden="false" customHeight="false" outlineLevel="0" collapsed="false">
      <c r="A23052" s="0" t="n">
        <f aca="false">INDEX(_xlfn.ORG.LIBREOFFICE.FOURIER(TRANSPOSE({1,2;3,4;5,6;7,8}),FALSE(),FALSE(),TRUE(),1),ROWS(_xlfn.ORG.LIBREOFFICE.FOURIER(TRANSPOSE({1,2;3,4;5,6;7,8}),FALSE(),FALSE(),TRUE(),1)),2)</f>
        <v>-1.5707963267949</v>
      </c>
      <c r="B23052" s="0" t="s">
        <v>22877</v>
      </c>
    </row>
    <row r="23053" customFormat="false" ht="15" hidden="false" customHeight="false" outlineLevel="0" collapsed="false">
      <c r="A23053" s="0" t="n">
        <f aca="false">SUM(_xlfn.ORG.LIBREOFFICE.FOURIER(TRANSPOSE({1,2;3,4;5,6;7,8}),FALSE(),TRUE(),TRUE(),5))</f>
        <v>11.9279950209798</v>
      </c>
      <c r="B23053" s="0" t="s">
        <v>22878</v>
      </c>
    </row>
    <row r="23054" customFormat="false" ht="15" hidden="false" customHeight="false" outlineLevel="0" collapsed="false">
      <c r="A23054" s="0" t="n">
        <f aca="false">INDEX(_xlfn.ORG.LIBREOFFICE.FOURIER(TRANSPOSE({1,2;3,4;5,6;7,8}),FALSE(),TRUE(),TRUE(),5),1,1)</f>
        <v>6.40312423743285</v>
      </c>
      <c r="B23054" s="0" t="s">
        <v>22879</v>
      </c>
    </row>
    <row r="23055" customFormat="false" ht="15" hidden="false" customHeight="false" outlineLevel="0" collapsed="false">
      <c r="A23055" s="0" t="n">
        <f aca="false">INDEX(_xlfn.ORG.LIBREOFFICE.FOURIER(TRANSPOSE({1,2;3,4;5,6;7,8}),FALSE(),TRUE(),TRUE(),5),2,1)</f>
        <v>2</v>
      </c>
      <c r="B23055" s="0" t="s">
        <v>22880</v>
      </c>
    </row>
    <row r="23056" customFormat="false" ht="15" hidden="false" customHeight="false" outlineLevel="0" collapsed="false">
      <c r="A23056" s="0" t="n">
        <f aca="false">INDEX(_xlfn.ORG.LIBREOFFICE.FOURIER(TRANSPOSE({1,2;3,4;5,6;7,8}),FALSE(),TRUE(),TRUE(),5),2,2)</f>
        <v>-1.5707963267949</v>
      </c>
      <c r="B23056" s="0" t="s">
        <v>22881</v>
      </c>
    </row>
    <row r="23057" customFormat="false" ht="15" hidden="false" customHeight="false" outlineLevel="0" collapsed="false">
      <c r="A23057" s="0" t="n">
        <f aca="false">INDEX(_xlfn.ORG.LIBREOFFICE.FOURIER(TRANSPOSE({1,2;3,4;5,6;7,8}),FALSE(),TRUE(),TRUE(),5),3,2)</f>
        <v>-2.35619449019235</v>
      </c>
      <c r="B23057" s="0" t="s">
        <v>22882</v>
      </c>
    </row>
    <row r="23058" customFormat="false" ht="15" hidden="false" customHeight="false" outlineLevel="0" collapsed="false">
      <c r="A23058" s="0" t="n">
        <f aca="false">INDEX(_xlfn.ORG.LIBREOFFICE.FOURIER(TRANSPOSE({1,2;3,4;5,6;7,8}),FALSE(),TRUE(),TRUE(),5),ROWS(_xlfn.ORG.LIBREOFFICE.FOURIER(TRANSPOSE({1,2;3,4;5,6;7,8}),FALSE(),TRUE(),TRUE(),5)),1)</f>
        <v>2</v>
      </c>
      <c r="B23058" s="0" t="s">
        <v>22883</v>
      </c>
    </row>
    <row r="23059" customFormat="false" ht="15" hidden="false" customHeight="false" outlineLevel="0" collapsed="false">
      <c r="A23059" s="0" t="n">
        <f aca="false">INDEX(_xlfn.ORG.LIBREOFFICE.FOURIER(TRANSPOSE({1,2;3,4;5,6;7,8}),FALSE(),TRUE(),TRUE(),5),ROWS(_xlfn.ORG.LIBREOFFICE.FOURIER(TRANSPOSE({1,2;3,4;5,6;7,8}),FALSE(),TRUE(),TRUE(),5)),2)</f>
        <v>3.14159265358979</v>
      </c>
      <c r="B23059" s="0" t="s">
        <v>22884</v>
      </c>
    </row>
    <row r="23060" customFormat="false" ht="15" hidden="false" customHeight="false" outlineLevel="0" collapsed="false">
      <c r="A23060" s="0" t="n">
        <f aca="false">ROWS(_xlfn.ORG.LIBREOFFICE.FOURIER({1,2;3,4;5,6;7,8;9,10;11,12;13,14;15,16},TRUE()))</f>
        <v>8</v>
      </c>
      <c r="B23060" s="0" t="s">
        <v>22885</v>
      </c>
    </row>
    <row r="23061" customFormat="false" ht="15" hidden="false" customHeight="false" outlineLevel="0" collapsed="false">
      <c r="A23061" s="0" t="n">
        <f aca="false">COLUMNS(_xlfn.ORG.LIBREOFFICE.FOURIER({1,2;3,4;5,6;7,8;9,10;11,12;13,14;15,16},TRUE()))</f>
        <v>2</v>
      </c>
      <c r="B23061" s="0" t="s">
        <v>22886</v>
      </c>
    </row>
    <row r="23062" customFormat="false" ht="15" hidden="false" customHeight="false" outlineLevel="0" collapsed="false">
      <c r="A23062" s="0" t="n">
        <f aca="false">SUM(_xlfn.ORG.LIBREOFFICE.FOURIER({1,2;3,4;5,6;7,8;9,10;11,12;13,14;15,16},TRUE()))</f>
        <v>24</v>
      </c>
      <c r="B23062" s="0" t="s">
        <v>22887</v>
      </c>
    </row>
    <row r="23063" customFormat="false" ht="15" hidden="false" customHeight="false" outlineLevel="0" collapsed="false">
      <c r="A23063" s="0" t="n">
        <f aca="false">INDEX(_xlfn.ORG.LIBREOFFICE.FOURIER({1,2;3,4;5,6;7,8;9,10;11,12;13,14;15,16},TRUE()),1,1)</f>
        <v>64</v>
      </c>
      <c r="B23063" s="0" t="s">
        <v>22888</v>
      </c>
    </row>
    <row r="23064" customFormat="false" ht="15" hidden="false" customHeight="false" outlineLevel="0" collapsed="false">
      <c r="A23064" s="0" t="n">
        <f aca="false">INDEX(_xlfn.ORG.LIBREOFFICE.FOURIER({1,2;3,4;5,6;7,8;9,10;11,12;13,14;15,16},TRUE()),2,1)</f>
        <v>-27.3137084989848</v>
      </c>
      <c r="B23064" s="0" t="s">
        <v>22889</v>
      </c>
    </row>
    <row r="23065" customFormat="false" ht="15" hidden="false" customHeight="false" outlineLevel="0" collapsed="false">
      <c r="A23065" s="0" t="n">
        <f aca="false">INDEX(_xlfn.ORG.LIBREOFFICE.FOURIER({1,2;3,4;5,6;7,8;9,10;11,12;13,14;15,16},TRUE()),2,2)</f>
        <v>11.3137084989848</v>
      </c>
      <c r="B23065" s="0" t="s">
        <v>22890</v>
      </c>
    </row>
    <row r="23066" customFormat="false" ht="15" hidden="false" customHeight="false" outlineLevel="0" collapsed="false">
      <c r="A23066" s="0" t="n">
        <f aca="false">INDEX(_xlfn.ORG.LIBREOFFICE.FOURIER({1,2;3,4;5,6;7,8;9,10;11,12;13,14;15,16},TRUE()),3,2)</f>
        <v>-3.5527136788005E-015</v>
      </c>
      <c r="B23066" s="0" t="s">
        <v>22891</v>
      </c>
    </row>
    <row r="23067" customFormat="false" ht="15" hidden="false" customHeight="false" outlineLevel="0" collapsed="false">
      <c r="A23067" s="0" t="n">
        <f aca="false">INDEX(_xlfn.ORG.LIBREOFFICE.FOURIER({1,2;3,4;5,6;7,8;9,10;11,12;13,14;15,16},TRUE()),ROWS(_xlfn.ORG.LIBREOFFICE.FOURIER({1,2;3,4;5,6;7,8;9,10;11,12;13,14;15,16},TRUE())),1)</f>
        <v>11.3137084989848</v>
      </c>
      <c r="B23067" s="0" t="s">
        <v>22892</v>
      </c>
    </row>
    <row r="23068" customFormat="false" ht="15" hidden="false" customHeight="false" outlineLevel="0" collapsed="false">
      <c r="A23068" s="0" t="n">
        <f aca="false">INDEX(_xlfn.ORG.LIBREOFFICE.FOURIER({1,2;3,4;5,6;7,8;9,10;11,12;13,14;15,16},TRUE()),ROWS(_xlfn.ORG.LIBREOFFICE.FOURIER({1,2;3,4;5,6;7,8;9,10;11,12;13,14;15,16},TRUE())),2)</f>
        <v>-27.3137084989848</v>
      </c>
      <c r="B23068" s="0" t="s">
        <v>22893</v>
      </c>
    </row>
    <row r="23069" customFormat="false" ht="15" hidden="false" customHeight="false" outlineLevel="0" collapsed="false">
      <c r="A23069" s="0" t="n">
        <f aca="false">SUM(_xlfn.ORG.LIBREOFFICE.FOURIER({1,2;3,4;5,6;7,8;9,10;11,12;13,14;15,16},TRUE(),TRUE()))</f>
        <v>3</v>
      </c>
      <c r="B23069" s="0" t="s">
        <v>22894</v>
      </c>
    </row>
    <row r="23070" customFormat="false" ht="15" hidden="false" customHeight="false" outlineLevel="0" collapsed="false">
      <c r="A23070" s="0" t="n">
        <f aca="false">INDEX(_xlfn.ORG.LIBREOFFICE.FOURIER({1,2;3,4;5,6;7,8;9,10;11,12;13,14;15,16},TRUE(),TRUE()),1,1)</f>
        <v>8</v>
      </c>
      <c r="B23070" s="0" t="s">
        <v>22895</v>
      </c>
    </row>
    <row r="23071" customFormat="false" ht="15" hidden="false" customHeight="false" outlineLevel="0" collapsed="false">
      <c r="A23071" s="0" t="n">
        <f aca="false">INDEX(_xlfn.ORG.LIBREOFFICE.FOURIER({1,2;3,4;5,6;7,8;9,10;11,12;13,14;15,16},TRUE(),TRUE()),2,1)</f>
        <v>1.4142135623731</v>
      </c>
      <c r="B23071" s="0" t="s">
        <v>22896</v>
      </c>
    </row>
    <row r="23072" customFormat="false" ht="15" hidden="false" customHeight="false" outlineLevel="0" collapsed="false">
      <c r="A23072" s="0" t="n">
        <f aca="false">INDEX(_xlfn.ORG.LIBREOFFICE.FOURIER({1,2;3,4;5,6;7,8;9,10;11,12;13,14;15,16},TRUE(),TRUE()),2,2)</f>
        <v>-3.4142135623731</v>
      </c>
      <c r="B23072" s="0" t="s">
        <v>22897</v>
      </c>
    </row>
    <row r="23073" customFormat="false" ht="15" hidden="false" customHeight="false" outlineLevel="0" collapsed="false">
      <c r="A23073" s="0" t="n">
        <f aca="false">INDEX(_xlfn.ORG.LIBREOFFICE.FOURIER({1,2;3,4;5,6;7,8;9,10;11,12;13,14;15,16},TRUE(),TRUE()),3,2)</f>
        <v>-2</v>
      </c>
      <c r="B23073" s="0" t="s">
        <v>22898</v>
      </c>
    </row>
    <row r="23074" customFormat="false" ht="15" hidden="false" customHeight="false" outlineLevel="0" collapsed="false">
      <c r="A23074" s="0" t="n">
        <f aca="false">INDEX(_xlfn.ORG.LIBREOFFICE.FOURIER({1,2;3,4;5,6;7,8;9,10;11,12;13,14;15,16},TRUE(),TRUE()),ROWS(_xlfn.ORG.LIBREOFFICE.FOURIER({1,2;3,4;5,6;7,8;9,10;11,12;13,14;15,16},TRUE(),TRUE())),1)</f>
        <v>-3.41421356237309</v>
      </c>
      <c r="B23074" s="0" t="s">
        <v>22899</v>
      </c>
    </row>
    <row r="23075" customFormat="false" ht="15" hidden="false" customHeight="false" outlineLevel="0" collapsed="false">
      <c r="A23075" s="0" t="n">
        <f aca="false">INDEX(_xlfn.ORG.LIBREOFFICE.FOURIER({1,2;3,4;5,6;7,8;9,10;11,12;13,14;15,16},TRUE(),TRUE()),ROWS(_xlfn.ORG.LIBREOFFICE.FOURIER({1,2;3,4;5,6;7,8;9,10;11,12;13,14;15,16},TRUE(),TRUE())),2)</f>
        <v>1.4142135623731</v>
      </c>
      <c r="B23075" s="0" t="s">
        <v>22900</v>
      </c>
    </row>
    <row r="23076" customFormat="false" ht="15" hidden="false" customHeight="false" outlineLevel="0" collapsed="false">
      <c r="A23076" s="0" t="n">
        <f aca="false">SUM(_xlfn.ORG.LIBREOFFICE.FOURIER({1,2;3,4;5,6;7,8;9,10;11,12;13,14;15,16},TRUE(),FALSE(),TRUE()))</f>
        <v>213.900472743358</v>
      </c>
      <c r="B23076" s="0" t="s">
        <v>22901</v>
      </c>
    </row>
    <row r="23077" customFormat="false" ht="15" hidden="false" customHeight="false" outlineLevel="0" collapsed="false">
      <c r="A23077" s="0" t="n">
        <f aca="false">INDEX(_xlfn.ORG.LIBREOFFICE.FOURIER({1,2;3,4;5,6;7,8;9,10;11,12;13,14;15,16},TRUE(),FALSE(),TRUE()),1,1)</f>
        <v>96.3327566303384</v>
      </c>
      <c r="B23077" s="0" t="s">
        <v>22902</v>
      </c>
    </row>
    <row r="23078" customFormat="false" ht="15" hidden="false" customHeight="false" outlineLevel="0" collapsed="false">
      <c r="A23078" s="0" t="n">
        <f aca="false">INDEX(_xlfn.ORG.LIBREOFFICE.FOURIER({1,2;3,4;5,6;7,8;9,10;11,12;13,14;15,16},TRUE(),FALSE(),TRUE()),2,1)</f>
        <v>29.5641450403612</v>
      </c>
      <c r="B23078" s="0" t="s">
        <v>22903</v>
      </c>
    </row>
    <row r="23079" customFormat="false" ht="15" hidden="false" customHeight="false" outlineLevel="0" collapsed="false">
      <c r="A23079" s="0" t="n">
        <f aca="false">INDEX(_xlfn.ORG.LIBREOFFICE.FOURIER({1,2;3,4;5,6;7,8;9,10;11,12;13,14;15,16},TRUE(),FALSE(),TRUE()),2,2)</f>
        <v>2.74889357189107</v>
      </c>
      <c r="B23079" s="0" t="s">
        <v>22904</v>
      </c>
    </row>
    <row r="23080" customFormat="false" ht="15" hidden="false" customHeight="false" outlineLevel="0" collapsed="false">
      <c r="A23080" s="0" t="n">
        <f aca="false">INDEX(_xlfn.ORG.LIBREOFFICE.FOURIER({1,2;3,4;5,6;7,8;9,10;11,12;13,14;15,16},TRUE(),FALSE(),TRUE()),3,2)</f>
        <v>-3.14159265358979</v>
      </c>
      <c r="B23080" s="0" t="s">
        <v>22905</v>
      </c>
    </row>
    <row r="23081" customFormat="false" ht="15" hidden="false" customHeight="false" outlineLevel="0" collapsed="false">
      <c r="A23081" s="0" t="n">
        <f aca="false">INDEX(_xlfn.ORG.LIBREOFFICE.FOURIER({1,2;3,4;5,6;7,8;9,10;11,12;13,14;15,16},TRUE(),FALSE(),TRUE()),ROWS(_xlfn.ORG.LIBREOFFICE.FOURIER({1,2;3,4;5,6;7,8;9,10;11,12;13,14;15,16},TRUE(),FALSE(),TRUE())),1)</f>
        <v>29.5641450403612</v>
      </c>
      <c r="B23081" s="0" t="s">
        <v>22906</v>
      </c>
    </row>
    <row r="23082" customFormat="false" ht="15" hidden="false" customHeight="false" outlineLevel="0" collapsed="false">
      <c r="A23082" s="0" t="n">
        <f aca="false">INDEX(_xlfn.ORG.LIBREOFFICE.FOURIER({1,2;3,4;5,6;7,8;9,10;11,12;13,14;15,16},TRUE(),FALSE(),TRUE()),ROWS(_xlfn.ORG.LIBREOFFICE.FOURIER({1,2;3,4;5,6;7,8;9,10;11,12;13,14;15,16},TRUE(),FALSE(),TRUE())),2)</f>
        <v>-1.17809724509617</v>
      </c>
      <c r="B23082" s="0" t="s">
        <v>22907</v>
      </c>
    </row>
    <row r="23083" customFormat="false" ht="15" hidden="false" customHeight="false" outlineLevel="0" collapsed="false">
      <c r="A23083" s="0" t="n">
        <f aca="false">SUM(_xlfn.ORG.LIBREOFFICE.FOURIER({1,2;3,4;5,6;7,8;9,10;11,12;13,14;15,16},TRUE(),TRUE(),TRUE()))</f>
        <v>24.8254750293023</v>
      </c>
      <c r="B23083" s="0" t="s">
        <v>22908</v>
      </c>
    </row>
    <row r="23084" customFormat="false" ht="15" hidden="false" customHeight="false" outlineLevel="0" collapsed="false">
      <c r="A23084" s="0" t="n">
        <f aca="false">INDEX(_xlfn.ORG.LIBREOFFICE.FOURIER({1,2;3,4;5,6;7,8;9,10;11,12;13,14;15,16},TRUE(),TRUE(),TRUE()),1,1)</f>
        <v>12.0415945787923</v>
      </c>
      <c r="B23084" s="0" t="s">
        <v>22909</v>
      </c>
    </row>
    <row r="23085" customFormat="false" ht="15" hidden="false" customHeight="false" outlineLevel="0" collapsed="false">
      <c r="A23085" s="0" t="n">
        <f aca="false">INDEX(_xlfn.ORG.LIBREOFFICE.FOURIER({1,2;3,4;5,6;7,8;9,10;11,12;13,14;15,16},TRUE(),TRUE(),TRUE()),2,1)</f>
        <v>3.69551813004515</v>
      </c>
      <c r="B23085" s="0" t="s">
        <v>22910</v>
      </c>
    </row>
    <row r="23086" customFormat="false" ht="15" hidden="false" customHeight="false" outlineLevel="0" collapsed="false">
      <c r="A23086" s="0" t="n">
        <f aca="false">INDEX(_xlfn.ORG.LIBREOFFICE.FOURIER({1,2;3,4;5,6;7,8;9,10;11,12;13,14;15,16},TRUE(),TRUE(),TRUE()),2,2)</f>
        <v>-1.17809724509617</v>
      </c>
      <c r="B23086" s="0" t="s">
        <v>22911</v>
      </c>
    </row>
    <row r="23087" customFormat="false" ht="15" hidden="false" customHeight="false" outlineLevel="0" collapsed="false">
      <c r="A23087" s="0" t="n">
        <f aca="false">INDEX(_xlfn.ORG.LIBREOFFICE.FOURIER({1,2;3,4;5,6;7,8;9,10;11,12;13,14;15,16},TRUE(),TRUE(),TRUE()),3,2)</f>
        <v>-1.5707963267949</v>
      </c>
      <c r="B23087" s="0" t="s">
        <v>22912</v>
      </c>
    </row>
    <row r="23088" customFormat="false" ht="15" hidden="false" customHeight="false" outlineLevel="0" collapsed="false">
      <c r="A23088" s="0" t="n">
        <f aca="false">INDEX(_xlfn.ORG.LIBREOFFICE.FOURIER({1,2;3,4;5,6;7,8;9,10;11,12;13,14;15,16},TRUE(),TRUE(),TRUE()),ROWS(_xlfn.ORG.LIBREOFFICE.FOURIER({1,2;3,4;5,6;7,8;9,10;11,12;13,14;15,16},TRUE(),TRUE(),TRUE())),1)</f>
        <v>3.69551813004515</v>
      </c>
      <c r="B23088" s="0" t="s">
        <v>22913</v>
      </c>
    </row>
    <row r="23089" customFormat="false" ht="15" hidden="false" customHeight="false" outlineLevel="0" collapsed="false">
      <c r="A23089" s="0" t="n">
        <f aca="false">INDEX(_xlfn.ORG.LIBREOFFICE.FOURIER({1,2;3,4;5,6;7,8;9,10;11,12;13,14;15,16},TRUE(),TRUE(),TRUE()),ROWS(_xlfn.ORG.LIBREOFFICE.FOURIER({1,2;3,4;5,6;7,8;9,10;11,12;13,14;15,16},TRUE(),TRUE(),TRUE())),2)</f>
        <v>2.74889357189107</v>
      </c>
      <c r="B23089" s="0" t="s">
        <v>22914</v>
      </c>
    </row>
    <row r="23090" customFormat="false" ht="15" hidden="false" customHeight="false" outlineLevel="0" collapsed="false">
      <c r="A23090" s="0" t="n">
        <f aca="false">SUM(_xlfn.ORG.LIBREOFFICE.FOURIER({1,2;3,4;5,6;7,8;9,10;11,12;13,14;15,16},TRUE(),FALSE(),TRUE(),1))</f>
        <v>213.900472743358</v>
      </c>
      <c r="B23090" s="0" t="s">
        <v>22915</v>
      </c>
    </row>
    <row r="23091" customFormat="false" ht="15" hidden="false" customHeight="false" outlineLevel="0" collapsed="false">
      <c r="A23091" s="0" t="n">
        <f aca="false">INDEX(_xlfn.ORG.LIBREOFFICE.FOURIER({1,2;3,4;5,6;7,8;9,10;11,12;13,14;15,16},TRUE(),FALSE(),TRUE(),1),1,1)</f>
        <v>96.3327566303384</v>
      </c>
      <c r="B23091" s="0" t="s">
        <v>22916</v>
      </c>
    </row>
    <row r="23092" customFormat="false" ht="15" hidden="false" customHeight="false" outlineLevel="0" collapsed="false">
      <c r="A23092" s="0" t="n">
        <f aca="false">INDEX(_xlfn.ORG.LIBREOFFICE.FOURIER({1,2;3,4;5,6;7,8;9,10;11,12;13,14;15,16},TRUE(),FALSE(),TRUE(),1),2,1)</f>
        <v>29.5641450403612</v>
      </c>
      <c r="B23092" s="0" t="s">
        <v>22917</v>
      </c>
    </row>
    <row r="23093" customFormat="false" ht="15" hidden="false" customHeight="false" outlineLevel="0" collapsed="false">
      <c r="A23093" s="0" t="n">
        <f aca="false">INDEX(_xlfn.ORG.LIBREOFFICE.FOURIER({1,2;3,4;5,6;7,8;9,10;11,12;13,14;15,16},TRUE(),FALSE(),TRUE(),1),2,2)</f>
        <v>2.74889357189107</v>
      </c>
      <c r="B23093" s="0" t="s">
        <v>22918</v>
      </c>
    </row>
    <row r="23094" customFormat="false" ht="15" hidden="false" customHeight="false" outlineLevel="0" collapsed="false">
      <c r="A23094" s="0" t="n">
        <f aca="false">INDEX(_xlfn.ORG.LIBREOFFICE.FOURIER({1,2;3,4;5,6;7,8;9,10;11,12;13,14;15,16},TRUE(),FALSE(),TRUE(),1),3,2)</f>
        <v>-3.14159265358979</v>
      </c>
      <c r="B23094" s="0" t="s">
        <v>22919</v>
      </c>
    </row>
    <row r="23095" customFormat="false" ht="15" hidden="false" customHeight="false" outlineLevel="0" collapsed="false">
      <c r="A23095" s="0" t="n">
        <f aca="false">INDEX(_xlfn.ORG.LIBREOFFICE.FOURIER({1,2;3,4;5,6;7,8;9,10;11,12;13,14;15,16},TRUE(),FALSE(),TRUE(),1),ROWS(_xlfn.ORG.LIBREOFFICE.FOURIER({1,2;3,4;5,6;7,8;9,10;11,12;13,14;15,16},TRUE(),FALSE(),TRUE(),1)),1)</f>
        <v>29.5641450403612</v>
      </c>
      <c r="B23095" s="0" t="s">
        <v>22920</v>
      </c>
    </row>
    <row r="23096" customFormat="false" ht="15" hidden="false" customHeight="false" outlineLevel="0" collapsed="false">
      <c r="A23096" s="0" t="n">
        <f aca="false">INDEX(_xlfn.ORG.LIBREOFFICE.FOURIER({1,2;3,4;5,6;7,8;9,10;11,12;13,14;15,16},TRUE(),FALSE(),TRUE(),1),ROWS(_xlfn.ORG.LIBREOFFICE.FOURIER({1,2;3,4;5,6;7,8;9,10;11,12;13,14;15,16},TRUE(),FALSE(),TRUE(),1)),2)</f>
        <v>-1.17809724509617</v>
      </c>
      <c r="B23096" s="0" t="s">
        <v>22921</v>
      </c>
    </row>
    <row r="23097" customFormat="false" ht="15" hidden="false" customHeight="false" outlineLevel="0" collapsed="false">
      <c r="A23097" s="0" t="n">
        <f aca="false">SUM(_xlfn.ORG.LIBREOFFICE.FOURIER({1,2;3,4;5,6;7,8;9,10;11,12;13,14;15,16},TRUE(),TRUE(),TRUE(),5))</f>
        <v>24.8254750293023</v>
      </c>
      <c r="B23097" s="0" t="s">
        <v>22922</v>
      </c>
    </row>
    <row r="23098" customFormat="false" ht="15" hidden="false" customHeight="false" outlineLevel="0" collapsed="false">
      <c r="A23098" s="0" t="n">
        <f aca="false">INDEX(_xlfn.ORG.LIBREOFFICE.FOURIER({1,2;3,4;5,6;7,8;9,10;11,12;13,14;15,16},TRUE(),TRUE(),TRUE(),5),1,1)</f>
        <v>12.0415945787923</v>
      </c>
      <c r="B23098" s="0" t="s">
        <v>22923</v>
      </c>
    </row>
    <row r="23099" customFormat="false" ht="15" hidden="false" customHeight="false" outlineLevel="0" collapsed="false">
      <c r="A23099" s="0" t="n">
        <f aca="false">INDEX(_xlfn.ORG.LIBREOFFICE.FOURIER({1,2;3,4;5,6;7,8;9,10;11,12;13,14;15,16},TRUE(),TRUE(),TRUE(),5),2,1)</f>
        <v>3.69551813004515</v>
      </c>
      <c r="B23099" s="0" t="s">
        <v>22924</v>
      </c>
    </row>
    <row r="23100" customFormat="false" ht="15" hidden="false" customHeight="false" outlineLevel="0" collapsed="false">
      <c r="A23100" s="0" t="n">
        <f aca="false">INDEX(_xlfn.ORG.LIBREOFFICE.FOURIER({1,2;3,4;5,6;7,8;9,10;11,12;13,14;15,16},TRUE(),TRUE(),TRUE(),5),2,2)</f>
        <v>-1.17809724509617</v>
      </c>
      <c r="B23100" s="0" t="s">
        <v>22925</v>
      </c>
    </row>
    <row r="23101" customFormat="false" ht="15" hidden="false" customHeight="false" outlineLevel="0" collapsed="false">
      <c r="A23101" s="0" t="n">
        <f aca="false">INDEX(_xlfn.ORG.LIBREOFFICE.FOURIER({1,2;3,4;5,6;7,8;9,10;11,12;13,14;15,16},TRUE(),TRUE(),TRUE(),5),3,2)</f>
        <v>-1.5707963267949</v>
      </c>
      <c r="B23101" s="0" t="s">
        <v>22926</v>
      </c>
    </row>
    <row r="23102" customFormat="false" ht="15" hidden="false" customHeight="false" outlineLevel="0" collapsed="false">
      <c r="A23102" s="0" t="n">
        <f aca="false">INDEX(_xlfn.ORG.LIBREOFFICE.FOURIER({1,2;3,4;5,6;7,8;9,10;11,12;13,14;15,16},TRUE(),TRUE(),TRUE(),5),ROWS(_xlfn.ORG.LIBREOFFICE.FOURIER({1,2;3,4;5,6;7,8;9,10;11,12;13,14;15,16},TRUE(),TRUE(),TRUE(),5)),1)</f>
        <v>3.69551813004515</v>
      </c>
      <c r="B23102" s="0" t="s">
        <v>22927</v>
      </c>
    </row>
    <row r="23103" customFormat="false" ht="15" hidden="false" customHeight="false" outlineLevel="0" collapsed="false">
      <c r="A23103" s="0" t="n">
        <f aca="false">INDEX(_xlfn.ORG.LIBREOFFICE.FOURIER({1,2;3,4;5,6;7,8;9,10;11,12;13,14;15,16},TRUE(),TRUE(),TRUE(),5),ROWS(_xlfn.ORG.LIBREOFFICE.FOURIER({1,2;3,4;5,6;7,8;9,10;11,12;13,14;15,16},TRUE(),TRUE(),TRUE(),5)),2)</f>
        <v>2.74889357189107</v>
      </c>
      <c r="B23103" s="0" t="s">
        <v>22928</v>
      </c>
    </row>
    <row r="23104" customFormat="false" ht="15" hidden="false" customHeight="false" outlineLevel="0" collapsed="false">
      <c r="A23104" s="0" t="n">
        <f aca="false">ROWS(_xlfn.ORG.LIBREOFFICE.FOURIER(TRANSPOSE({1,2;3,4;5,6;7,8;9,10;11,12;13,14;15,16}),FALSE()))</f>
        <v>8</v>
      </c>
      <c r="B23104" s="0" t="s">
        <v>22929</v>
      </c>
    </row>
    <row r="23105" customFormat="false" ht="15" hidden="false" customHeight="false" outlineLevel="0" collapsed="false">
      <c r="A23105" s="0" t="n">
        <f aca="false">COLUMNS(_xlfn.ORG.LIBREOFFICE.FOURIER(TRANSPOSE({1,2;3,4;5,6;7,8;9,10;11,12;13,14;15,16}),FALSE()))</f>
        <v>2</v>
      </c>
      <c r="B23105" s="0" t="s">
        <v>22930</v>
      </c>
    </row>
    <row r="23106" customFormat="false" ht="15" hidden="false" customHeight="false" outlineLevel="0" collapsed="false">
      <c r="A23106" s="0" t="n">
        <f aca="false">SUM(_xlfn.ORG.LIBREOFFICE.FOURIER(TRANSPOSE({1,2;3,4;5,6;7,8;9,10;11,12;13,14;15,16}),FALSE()))</f>
        <v>24</v>
      </c>
      <c r="B23106" s="0" t="s">
        <v>22931</v>
      </c>
    </row>
    <row r="23107" customFormat="false" ht="15" hidden="false" customHeight="false" outlineLevel="0" collapsed="false">
      <c r="A23107" s="0" t="n">
        <f aca="false">INDEX(_xlfn.ORG.LIBREOFFICE.FOURIER(TRANSPOSE({1,2;3,4;5,6;7,8;9,10;11,12;13,14;15,16}),FALSE()),1,1)</f>
        <v>64</v>
      </c>
      <c r="B23107" s="0" t="s">
        <v>22932</v>
      </c>
    </row>
    <row r="23108" customFormat="false" ht="15" hidden="false" customHeight="false" outlineLevel="0" collapsed="false">
      <c r="A23108" s="0" t="n">
        <f aca="false">INDEX(_xlfn.ORG.LIBREOFFICE.FOURIER(TRANSPOSE({1,2;3,4;5,6;7,8;9,10;11,12;13,14;15,16}),FALSE()),2,1)</f>
        <v>-27.3137084989848</v>
      </c>
      <c r="B23108" s="0" t="s">
        <v>22933</v>
      </c>
    </row>
    <row r="23109" customFormat="false" ht="15" hidden="false" customHeight="false" outlineLevel="0" collapsed="false">
      <c r="A23109" s="0" t="n">
        <f aca="false">INDEX(_xlfn.ORG.LIBREOFFICE.FOURIER(TRANSPOSE({1,2;3,4;5,6;7,8;9,10;11,12;13,14;15,16}),FALSE()),2,2)</f>
        <v>11.3137084989848</v>
      </c>
      <c r="B23109" s="0" t="s">
        <v>22934</v>
      </c>
    </row>
    <row r="23110" customFormat="false" ht="15" hidden="false" customHeight="false" outlineLevel="0" collapsed="false">
      <c r="A23110" s="0" t="n">
        <f aca="false">INDEX(_xlfn.ORG.LIBREOFFICE.FOURIER(TRANSPOSE({1,2;3,4;5,6;7,8;9,10;11,12;13,14;15,16}),FALSE()),3,2)</f>
        <v>-3.5527136788005E-015</v>
      </c>
      <c r="B23110" s="0" t="s">
        <v>22935</v>
      </c>
    </row>
    <row r="23111" customFormat="false" ht="15" hidden="false" customHeight="false" outlineLevel="0" collapsed="false">
      <c r="A23111" s="0" t="n">
        <f aca="false">INDEX(_xlfn.ORG.LIBREOFFICE.FOURIER(TRANSPOSE({1,2;3,4;5,6;7,8;9,10;11,12;13,14;15,16}),FALSE()),ROWS(_xlfn.ORG.LIBREOFFICE.FOURIER(TRANSPOSE({1,2;3,4;5,6;7,8;9,10;11,12;13,14;15,16}),FALSE())),1)</f>
        <v>11.3137084989848</v>
      </c>
      <c r="B23111" s="0" t="s">
        <v>22936</v>
      </c>
    </row>
    <row r="23112" customFormat="false" ht="15" hidden="false" customHeight="false" outlineLevel="0" collapsed="false">
      <c r="A23112" s="0" t="n">
        <f aca="false">INDEX(_xlfn.ORG.LIBREOFFICE.FOURIER(TRANSPOSE({1,2;3,4;5,6;7,8;9,10;11,12;13,14;15,16}),FALSE()),ROWS(_xlfn.ORG.LIBREOFFICE.FOURIER(TRANSPOSE({1,2;3,4;5,6;7,8;9,10;11,12;13,14;15,16}),FALSE())),2)</f>
        <v>-27.3137084989848</v>
      </c>
      <c r="B23112" s="0" t="s">
        <v>22937</v>
      </c>
    </row>
    <row r="23113" customFormat="false" ht="15" hidden="false" customHeight="false" outlineLevel="0" collapsed="false">
      <c r="A23113" s="0" t="n">
        <f aca="false">SUM(_xlfn.ORG.LIBREOFFICE.FOURIER(TRANSPOSE({1,2;3,4;5,6;7,8;9,10;11,12;13,14;15,16}),FALSE(),TRUE()))</f>
        <v>3</v>
      </c>
      <c r="B23113" s="0" t="s">
        <v>22938</v>
      </c>
    </row>
    <row r="23114" customFormat="false" ht="15" hidden="false" customHeight="false" outlineLevel="0" collapsed="false">
      <c r="A23114" s="0" t="n">
        <f aca="false">INDEX(_xlfn.ORG.LIBREOFFICE.FOURIER(TRANSPOSE({1,2;3,4;5,6;7,8;9,10;11,12;13,14;15,16}),FALSE(),TRUE()),1,1)</f>
        <v>8</v>
      </c>
      <c r="B23114" s="0" t="s">
        <v>22939</v>
      </c>
    </row>
    <row r="23115" customFormat="false" ht="15" hidden="false" customHeight="false" outlineLevel="0" collapsed="false">
      <c r="A23115" s="0" t="n">
        <f aca="false">INDEX(_xlfn.ORG.LIBREOFFICE.FOURIER(TRANSPOSE({1,2;3,4;5,6;7,8;9,10;11,12;13,14;15,16}),FALSE(),TRUE()),2,1)</f>
        <v>1.4142135623731</v>
      </c>
      <c r="B23115" s="0" t="s">
        <v>22940</v>
      </c>
    </row>
    <row r="23116" customFormat="false" ht="15" hidden="false" customHeight="false" outlineLevel="0" collapsed="false">
      <c r="A23116" s="0" t="n">
        <f aca="false">INDEX(_xlfn.ORG.LIBREOFFICE.FOURIER(TRANSPOSE({1,2;3,4;5,6;7,8;9,10;11,12;13,14;15,16}),FALSE(),TRUE()),2,2)</f>
        <v>-3.4142135623731</v>
      </c>
      <c r="B23116" s="0" t="s">
        <v>22941</v>
      </c>
    </row>
    <row r="23117" customFormat="false" ht="15" hidden="false" customHeight="false" outlineLevel="0" collapsed="false">
      <c r="A23117" s="0" t="n">
        <f aca="false">INDEX(_xlfn.ORG.LIBREOFFICE.FOURIER(TRANSPOSE({1,2;3,4;5,6;7,8;9,10;11,12;13,14;15,16}),FALSE(),TRUE()),3,2)</f>
        <v>-2</v>
      </c>
      <c r="B23117" s="0" t="s">
        <v>22942</v>
      </c>
    </row>
    <row r="23118" customFormat="false" ht="15" hidden="false" customHeight="false" outlineLevel="0" collapsed="false">
      <c r="A23118" s="0" t="n">
        <f aca="false">INDEX(_xlfn.ORG.LIBREOFFICE.FOURIER(TRANSPOSE({1,2;3,4;5,6;7,8;9,10;11,12;13,14;15,16}),FALSE(),TRUE()),ROWS(_xlfn.ORG.LIBREOFFICE.FOURIER(TRANSPOSE({1,2;3,4;5,6;7,8;9,10;11,12;13,14;15,16}),FALSE(),TRUE())),1)</f>
        <v>-3.41421356237309</v>
      </c>
      <c r="B23118" s="0" t="s">
        <v>22943</v>
      </c>
    </row>
    <row r="23119" customFormat="false" ht="15" hidden="false" customHeight="false" outlineLevel="0" collapsed="false">
      <c r="A23119" s="0" t="n">
        <f aca="false">INDEX(_xlfn.ORG.LIBREOFFICE.FOURIER(TRANSPOSE({1,2;3,4;5,6;7,8;9,10;11,12;13,14;15,16}),FALSE(),TRUE()),ROWS(_xlfn.ORG.LIBREOFFICE.FOURIER(TRANSPOSE({1,2;3,4;5,6;7,8;9,10;11,12;13,14;15,16}),FALSE(),TRUE())),2)</f>
        <v>1.4142135623731</v>
      </c>
      <c r="B23119" s="0" t="s">
        <v>22944</v>
      </c>
    </row>
    <row r="23120" customFormat="false" ht="15" hidden="false" customHeight="false" outlineLevel="0" collapsed="false">
      <c r="A23120" s="0" t="n">
        <f aca="false">SUM(_xlfn.ORG.LIBREOFFICE.FOURIER(TRANSPOSE({1,2;3,4;5,6;7,8;9,10;11,12;13,14;15,16}),FALSE(),FALSE(),TRUE()))</f>
        <v>213.900472743358</v>
      </c>
      <c r="B23120" s="0" t="s">
        <v>22945</v>
      </c>
    </row>
    <row r="23121" customFormat="false" ht="15" hidden="false" customHeight="false" outlineLevel="0" collapsed="false">
      <c r="A23121" s="0" t="n">
        <f aca="false">INDEX(_xlfn.ORG.LIBREOFFICE.FOURIER(TRANSPOSE({1,2;3,4;5,6;7,8;9,10;11,12;13,14;15,16}),FALSE(),FALSE(),TRUE()),1,1)</f>
        <v>96.3327566303384</v>
      </c>
      <c r="B23121" s="0" t="s">
        <v>22946</v>
      </c>
    </row>
    <row r="23122" customFormat="false" ht="15" hidden="false" customHeight="false" outlineLevel="0" collapsed="false">
      <c r="A23122" s="0" t="n">
        <f aca="false">INDEX(_xlfn.ORG.LIBREOFFICE.FOURIER(TRANSPOSE({1,2;3,4;5,6;7,8;9,10;11,12;13,14;15,16}),FALSE(),FALSE(),TRUE()),2,1)</f>
        <v>29.5641450403612</v>
      </c>
      <c r="B23122" s="0" t="s">
        <v>22947</v>
      </c>
    </row>
    <row r="23123" customFormat="false" ht="15" hidden="false" customHeight="false" outlineLevel="0" collapsed="false">
      <c r="A23123" s="0" t="n">
        <f aca="false">INDEX(_xlfn.ORG.LIBREOFFICE.FOURIER(TRANSPOSE({1,2;3,4;5,6;7,8;9,10;11,12;13,14;15,16}),FALSE(),FALSE(),TRUE()),2,2)</f>
        <v>2.74889357189107</v>
      </c>
      <c r="B23123" s="0" t="s">
        <v>22948</v>
      </c>
    </row>
    <row r="23124" customFormat="false" ht="15" hidden="false" customHeight="false" outlineLevel="0" collapsed="false">
      <c r="A23124" s="0" t="n">
        <f aca="false">INDEX(_xlfn.ORG.LIBREOFFICE.FOURIER(TRANSPOSE({1,2;3,4;5,6;7,8;9,10;11,12;13,14;15,16}),FALSE(),FALSE(),TRUE()),3,2)</f>
        <v>-3.14159265358979</v>
      </c>
      <c r="B23124" s="0" t="s">
        <v>22949</v>
      </c>
    </row>
    <row r="23125" customFormat="false" ht="15" hidden="false" customHeight="false" outlineLevel="0" collapsed="false">
      <c r="A23125" s="0" t="n">
        <f aca="false">INDEX(_xlfn.ORG.LIBREOFFICE.FOURIER(TRANSPOSE({1,2;3,4;5,6;7,8;9,10;11,12;13,14;15,16}),FALSE(),FALSE(),TRUE()),ROWS(_xlfn.ORG.LIBREOFFICE.FOURIER(TRANSPOSE({1,2;3,4;5,6;7,8;9,10;11,12;13,14;15,16}),FALSE(),FALSE(),TRUE())),1)</f>
        <v>29.5641450403612</v>
      </c>
      <c r="B23125" s="0" t="s">
        <v>22950</v>
      </c>
    </row>
    <row r="23126" customFormat="false" ht="15" hidden="false" customHeight="false" outlineLevel="0" collapsed="false">
      <c r="A23126" s="0" t="n">
        <f aca="false">INDEX(_xlfn.ORG.LIBREOFFICE.FOURIER(TRANSPOSE({1,2;3,4;5,6;7,8;9,10;11,12;13,14;15,16}),FALSE(),FALSE(),TRUE()),ROWS(_xlfn.ORG.LIBREOFFICE.FOURIER(TRANSPOSE({1,2;3,4;5,6;7,8;9,10;11,12;13,14;15,16}),FALSE(),FALSE(),TRUE())),2)</f>
        <v>-1.17809724509617</v>
      </c>
      <c r="B23126" s="0" t="s">
        <v>22951</v>
      </c>
    </row>
    <row r="23127" customFormat="false" ht="15" hidden="false" customHeight="false" outlineLevel="0" collapsed="false">
      <c r="A23127" s="0" t="n">
        <f aca="false">SUM(_xlfn.ORG.LIBREOFFICE.FOURIER(TRANSPOSE({1,2;3,4;5,6;7,8;9,10;11,12;13,14;15,16}),FALSE(),TRUE(),TRUE()))</f>
        <v>24.8254750293023</v>
      </c>
      <c r="B23127" s="0" t="s">
        <v>22952</v>
      </c>
    </row>
    <row r="23128" customFormat="false" ht="15" hidden="false" customHeight="false" outlineLevel="0" collapsed="false">
      <c r="A23128" s="0" t="n">
        <f aca="false">INDEX(_xlfn.ORG.LIBREOFFICE.FOURIER(TRANSPOSE({1,2;3,4;5,6;7,8;9,10;11,12;13,14;15,16}),FALSE(),TRUE(),TRUE()),1,1)</f>
        <v>12.0415945787923</v>
      </c>
      <c r="B23128" s="0" t="s">
        <v>22953</v>
      </c>
    </row>
    <row r="23129" customFormat="false" ht="15" hidden="false" customHeight="false" outlineLevel="0" collapsed="false">
      <c r="A23129" s="0" t="n">
        <f aca="false">INDEX(_xlfn.ORG.LIBREOFFICE.FOURIER(TRANSPOSE({1,2;3,4;5,6;7,8;9,10;11,12;13,14;15,16}),FALSE(),TRUE(),TRUE()),2,1)</f>
        <v>3.69551813004515</v>
      </c>
      <c r="B23129" s="0" t="s">
        <v>22954</v>
      </c>
    </row>
    <row r="23130" customFormat="false" ht="15" hidden="false" customHeight="false" outlineLevel="0" collapsed="false">
      <c r="A23130" s="0" t="n">
        <f aca="false">INDEX(_xlfn.ORG.LIBREOFFICE.FOURIER(TRANSPOSE({1,2;3,4;5,6;7,8;9,10;11,12;13,14;15,16}),FALSE(),TRUE(),TRUE()),2,2)</f>
        <v>-1.17809724509617</v>
      </c>
      <c r="B23130" s="0" t="s">
        <v>22955</v>
      </c>
    </row>
    <row r="23131" customFormat="false" ht="15" hidden="false" customHeight="false" outlineLevel="0" collapsed="false">
      <c r="A23131" s="0" t="n">
        <f aca="false">INDEX(_xlfn.ORG.LIBREOFFICE.FOURIER(TRANSPOSE({1,2;3,4;5,6;7,8;9,10;11,12;13,14;15,16}),FALSE(),TRUE(),TRUE()),3,2)</f>
        <v>-1.5707963267949</v>
      </c>
      <c r="B23131" s="0" t="s">
        <v>22956</v>
      </c>
    </row>
    <row r="23132" customFormat="false" ht="15" hidden="false" customHeight="false" outlineLevel="0" collapsed="false">
      <c r="A23132" s="0" t="n">
        <f aca="false">INDEX(_xlfn.ORG.LIBREOFFICE.FOURIER(TRANSPOSE({1,2;3,4;5,6;7,8;9,10;11,12;13,14;15,16}),FALSE(),TRUE(),TRUE()),ROWS(_xlfn.ORG.LIBREOFFICE.FOURIER(TRANSPOSE({1,2;3,4;5,6;7,8;9,10;11,12;13,14;15,16}),FALSE(),TRUE(),TRUE())),1)</f>
        <v>3.69551813004515</v>
      </c>
      <c r="B23132" s="0" t="s">
        <v>22957</v>
      </c>
    </row>
    <row r="23133" customFormat="false" ht="15" hidden="false" customHeight="false" outlineLevel="0" collapsed="false">
      <c r="A23133" s="0" t="n">
        <f aca="false">INDEX(_xlfn.ORG.LIBREOFFICE.FOURIER(TRANSPOSE({1,2;3,4;5,6;7,8;9,10;11,12;13,14;15,16}),FALSE(),TRUE(),TRUE()),ROWS(_xlfn.ORG.LIBREOFFICE.FOURIER(TRANSPOSE({1,2;3,4;5,6;7,8;9,10;11,12;13,14;15,16}),FALSE(),TRUE(),TRUE())),2)</f>
        <v>2.74889357189107</v>
      </c>
      <c r="B23133" s="0" t="s">
        <v>22958</v>
      </c>
    </row>
    <row r="23134" customFormat="false" ht="15" hidden="false" customHeight="false" outlineLevel="0" collapsed="false">
      <c r="A23134" s="0" t="n">
        <f aca="false">SUM(_xlfn.ORG.LIBREOFFICE.FOURIER(TRANSPOSE({1,2;3,4;5,6;7,8;9,10;11,12;13,14;15,16}),FALSE(),FALSE(),TRUE(),1))</f>
        <v>213.900472743358</v>
      </c>
      <c r="B23134" s="0" t="s">
        <v>22959</v>
      </c>
    </row>
    <row r="23135" customFormat="false" ht="15" hidden="false" customHeight="false" outlineLevel="0" collapsed="false">
      <c r="A23135" s="0" t="n">
        <f aca="false">INDEX(_xlfn.ORG.LIBREOFFICE.FOURIER(TRANSPOSE({1,2;3,4;5,6;7,8;9,10;11,12;13,14;15,16}),FALSE(),FALSE(),TRUE(),1),1,1)</f>
        <v>96.3327566303384</v>
      </c>
      <c r="B23135" s="0" t="s">
        <v>22960</v>
      </c>
    </row>
    <row r="23136" customFormat="false" ht="15" hidden="false" customHeight="false" outlineLevel="0" collapsed="false">
      <c r="A23136" s="0" t="n">
        <f aca="false">INDEX(_xlfn.ORG.LIBREOFFICE.FOURIER(TRANSPOSE({1,2;3,4;5,6;7,8;9,10;11,12;13,14;15,16}),FALSE(),FALSE(),TRUE(),1),2,1)</f>
        <v>29.5641450403612</v>
      </c>
      <c r="B23136" s="0" t="s">
        <v>22961</v>
      </c>
    </row>
    <row r="23137" customFormat="false" ht="15" hidden="false" customHeight="false" outlineLevel="0" collapsed="false">
      <c r="A23137" s="0" t="n">
        <f aca="false">INDEX(_xlfn.ORG.LIBREOFFICE.FOURIER(TRANSPOSE({1,2;3,4;5,6;7,8;9,10;11,12;13,14;15,16}),FALSE(),FALSE(),TRUE(),1),2,2)</f>
        <v>2.74889357189107</v>
      </c>
      <c r="B23137" s="0" t="s">
        <v>22962</v>
      </c>
    </row>
    <row r="23138" customFormat="false" ht="15" hidden="false" customHeight="false" outlineLevel="0" collapsed="false">
      <c r="A23138" s="0" t="n">
        <f aca="false">INDEX(_xlfn.ORG.LIBREOFFICE.FOURIER(TRANSPOSE({1,2;3,4;5,6;7,8;9,10;11,12;13,14;15,16}),FALSE(),FALSE(),TRUE(),1),3,2)</f>
        <v>-3.14159265358979</v>
      </c>
      <c r="B23138" s="0" t="s">
        <v>22963</v>
      </c>
    </row>
    <row r="23139" customFormat="false" ht="15" hidden="false" customHeight="false" outlineLevel="0" collapsed="false">
      <c r="A23139" s="0" t="n">
        <f aca="false">INDEX(_xlfn.ORG.LIBREOFFICE.FOURIER(TRANSPOSE({1,2;3,4;5,6;7,8;9,10;11,12;13,14;15,16}),FALSE(),FALSE(),TRUE(),1),ROWS(_xlfn.ORG.LIBREOFFICE.FOURIER(TRANSPOSE({1,2;3,4;5,6;7,8;9,10;11,12;13,14;15,16}),FALSE(),FALSE(),TRUE(),1)),1)</f>
        <v>29.5641450403612</v>
      </c>
      <c r="B23139" s="0" t="s">
        <v>22964</v>
      </c>
    </row>
    <row r="23140" customFormat="false" ht="15" hidden="false" customHeight="false" outlineLevel="0" collapsed="false">
      <c r="A23140" s="0" t="n">
        <f aca="false">INDEX(_xlfn.ORG.LIBREOFFICE.FOURIER(TRANSPOSE({1,2;3,4;5,6;7,8;9,10;11,12;13,14;15,16}),FALSE(),FALSE(),TRUE(),1),ROWS(_xlfn.ORG.LIBREOFFICE.FOURIER(TRANSPOSE({1,2;3,4;5,6;7,8;9,10;11,12;13,14;15,16}),FALSE(),FALSE(),TRUE(),1)),2)</f>
        <v>-1.17809724509617</v>
      </c>
      <c r="B23140" s="0" t="s">
        <v>22965</v>
      </c>
    </row>
    <row r="23141" customFormat="false" ht="15" hidden="false" customHeight="false" outlineLevel="0" collapsed="false">
      <c r="A23141" s="0" t="n">
        <f aca="false">SUM(_xlfn.ORG.LIBREOFFICE.FOURIER(TRANSPOSE({1,2;3,4;5,6;7,8;9,10;11,12;13,14;15,16}),FALSE(),TRUE(),TRUE(),5))</f>
        <v>24.8254750293023</v>
      </c>
      <c r="B23141" s="0" t="s">
        <v>22966</v>
      </c>
    </row>
    <row r="23142" customFormat="false" ht="15" hidden="false" customHeight="false" outlineLevel="0" collapsed="false">
      <c r="A23142" s="0" t="n">
        <f aca="false">INDEX(_xlfn.ORG.LIBREOFFICE.FOURIER(TRANSPOSE({1,2;3,4;5,6;7,8;9,10;11,12;13,14;15,16}),FALSE(),TRUE(),TRUE(),5),1,1)</f>
        <v>12.0415945787923</v>
      </c>
      <c r="B23142" s="0" t="s">
        <v>22967</v>
      </c>
    </row>
    <row r="23143" customFormat="false" ht="15" hidden="false" customHeight="false" outlineLevel="0" collapsed="false">
      <c r="A23143" s="0" t="n">
        <f aca="false">INDEX(_xlfn.ORG.LIBREOFFICE.FOURIER(TRANSPOSE({1,2;3,4;5,6;7,8;9,10;11,12;13,14;15,16}),FALSE(),TRUE(),TRUE(),5),2,1)</f>
        <v>3.69551813004515</v>
      </c>
      <c r="B23143" s="0" t="s">
        <v>22968</v>
      </c>
    </row>
    <row r="23144" customFormat="false" ht="15" hidden="false" customHeight="false" outlineLevel="0" collapsed="false">
      <c r="A23144" s="0" t="n">
        <f aca="false">INDEX(_xlfn.ORG.LIBREOFFICE.FOURIER(TRANSPOSE({1,2;3,4;5,6;7,8;9,10;11,12;13,14;15,16}),FALSE(),TRUE(),TRUE(),5),2,2)</f>
        <v>-1.17809724509617</v>
      </c>
      <c r="B23144" s="0" t="s">
        <v>22969</v>
      </c>
    </row>
    <row r="23145" customFormat="false" ht="15" hidden="false" customHeight="false" outlineLevel="0" collapsed="false">
      <c r="A23145" s="0" t="n">
        <f aca="false">INDEX(_xlfn.ORG.LIBREOFFICE.FOURIER(TRANSPOSE({1,2;3,4;5,6;7,8;9,10;11,12;13,14;15,16}),FALSE(),TRUE(),TRUE(),5),3,2)</f>
        <v>-1.5707963267949</v>
      </c>
      <c r="B23145" s="0" t="s">
        <v>22970</v>
      </c>
    </row>
    <row r="23146" customFormat="false" ht="15" hidden="false" customHeight="false" outlineLevel="0" collapsed="false">
      <c r="A23146" s="0" t="n">
        <f aca="false">INDEX(_xlfn.ORG.LIBREOFFICE.FOURIER(TRANSPOSE({1,2;3,4;5,6;7,8;9,10;11,12;13,14;15,16}),FALSE(),TRUE(),TRUE(),5),ROWS(_xlfn.ORG.LIBREOFFICE.FOURIER(TRANSPOSE({1,2;3,4;5,6;7,8;9,10;11,12;13,14;15,16}),FALSE(),TRUE(),TRUE(),5)),1)</f>
        <v>3.69551813004515</v>
      </c>
      <c r="B23146" s="0" t="s">
        <v>22971</v>
      </c>
    </row>
    <row r="23147" customFormat="false" ht="15" hidden="false" customHeight="false" outlineLevel="0" collapsed="false">
      <c r="A23147" s="0" t="n">
        <f aca="false">INDEX(_xlfn.ORG.LIBREOFFICE.FOURIER(TRANSPOSE({1,2;3,4;5,6;7,8;9,10;11,12;13,14;15,16}),FALSE(),TRUE(),TRUE(),5),ROWS(_xlfn.ORG.LIBREOFFICE.FOURIER(TRANSPOSE({1,2;3,4;5,6;7,8;9,10;11,12;13,14;15,16}),FALSE(),TRUE(),TRUE(),5)),2)</f>
        <v>2.74889357189107</v>
      </c>
      <c r="B23147" s="0" t="s">
        <v>22972</v>
      </c>
    </row>
    <row r="23148" customFormat="false" ht="15" hidden="false" customHeight="false" outlineLevel="0" collapsed="false">
      <c r="A23148" s="0" t="e">
        <f aca="false">ROWS(_xlfn.ORG.LIBREOFFICE.FOURIER({1,2,3;4,5,6},TRUE()))</f>
        <v>#VALUE!</v>
      </c>
      <c r="B23148" s="0" t="s">
        <v>22973</v>
      </c>
    </row>
    <row r="23149" customFormat="false" ht="15" hidden="false" customHeight="false" outlineLevel="0" collapsed="false">
      <c r="A23149" s="0" t="e">
        <f aca="false">COLUMNS(_xlfn.ORG.LIBREOFFICE.FOURIER({1,2,3;4,5,6},TRUE()))</f>
        <v>#VALUE!</v>
      </c>
      <c r="B23149" s="0" t="s">
        <v>22974</v>
      </c>
    </row>
    <row r="23150" customFormat="false" ht="15" hidden="false" customHeight="false" outlineLevel="0" collapsed="false">
      <c r="A23150" s="0" t="e">
        <f aca="false">SUM(_xlfn.ORG.LIBREOFFICE.FOURIER({1,2,3;4,5,6},TRUE()))</f>
        <v>#VALUE!</v>
      </c>
      <c r="B23150" s="0" t="s">
        <v>22975</v>
      </c>
    </row>
    <row r="23151" customFormat="false" ht="15" hidden="false" customHeight="false" outlineLevel="0" collapsed="false">
      <c r="A23151" s="0" t="e">
        <f aca="false">INDEX(_xlfn.ORG.LIBREOFFICE.FOURIER({1,2,3;4,5,6},TRUE()),1,1)</f>
        <v>#VALUE!</v>
      </c>
      <c r="B23151" s="0" t="s">
        <v>22976</v>
      </c>
    </row>
    <row r="23152" customFormat="false" ht="15" hidden="false" customHeight="false" outlineLevel="0" collapsed="false">
      <c r="A23152" s="0" t="e">
        <f aca="false">INDEX(_xlfn.ORG.LIBREOFFICE.FOURIER({1,2,3;4,5,6},TRUE()),2,1)</f>
        <v>#VALUE!</v>
      </c>
      <c r="B23152" s="0" t="s">
        <v>22977</v>
      </c>
    </row>
    <row r="23153" customFormat="false" ht="15" hidden="false" customHeight="false" outlineLevel="0" collapsed="false">
      <c r="A23153" s="0" t="e">
        <f aca="false">INDEX(_xlfn.ORG.LIBREOFFICE.FOURIER({1,2,3;4,5,6},TRUE()),2,2)</f>
        <v>#VALUE!</v>
      </c>
      <c r="B23153" s="0" t="s">
        <v>22978</v>
      </c>
    </row>
    <row r="23154" customFormat="false" ht="15" hidden="false" customHeight="false" outlineLevel="0" collapsed="false">
      <c r="A23154" s="0" t="e">
        <f aca="false">INDEX(_xlfn.ORG.LIBREOFFICE.FOURIER({1,2,3;4,5,6},TRUE()),3,2)</f>
        <v>#VALUE!</v>
      </c>
      <c r="B23154" s="0" t="s">
        <v>22979</v>
      </c>
    </row>
    <row r="23155" customFormat="false" ht="15" hidden="false" customHeight="false" outlineLevel="0" collapsed="false">
      <c r="A23155" s="0" t="e">
        <f aca="false">INDEX(_xlfn.ORG.LIBREOFFICE.FOURIER({1,2,3;4,5,6},TRUE()),ROWS(_xlfn.ORG.LIBREOFFICE.FOURIER({1,2,3;4,5,6},TRUE())),1)</f>
        <v>#VALUE!</v>
      </c>
      <c r="B23155" s="0" t="s">
        <v>22980</v>
      </c>
    </row>
    <row r="23156" customFormat="false" ht="15" hidden="false" customHeight="false" outlineLevel="0" collapsed="false">
      <c r="A23156" s="0" t="e">
        <f aca="false">INDEX(_xlfn.ORG.LIBREOFFICE.FOURIER({1,2,3;4,5,6},TRUE()),ROWS(_xlfn.ORG.LIBREOFFICE.FOURIER({1,2,3;4,5,6},TRUE())),2)</f>
        <v>#VALUE!</v>
      </c>
      <c r="B23156" s="0" t="s">
        <v>22981</v>
      </c>
    </row>
    <row r="23157" customFormat="false" ht="15" hidden="false" customHeight="false" outlineLevel="0" collapsed="false">
      <c r="A23157" s="0" t="e">
        <f aca="false">SUM(_xlfn.ORG.LIBREOFFICE.FOURIER({1,2,3;4,5,6},TRUE(),TRUE()))</f>
        <v>#VALUE!</v>
      </c>
      <c r="B23157" s="0" t="s">
        <v>22982</v>
      </c>
    </row>
    <row r="23158" customFormat="false" ht="15" hidden="false" customHeight="false" outlineLevel="0" collapsed="false">
      <c r="A23158" s="0" t="e">
        <f aca="false">INDEX(_xlfn.ORG.LIBREOFFICE.FOURIER({1,2,3;4,5,6},TRUE(),TRUE()),1,1)</f>
        <v>#VALUE!</v>
      </c>
      <c r="B23158" s="0" t="s">
        <v>22983</v>
      </c>
    </row>
    <row r="23159" customFormat="false" ht="15" hidden="false" customHeight="false" outlineLevel="0" collapsed="false">
      <c r="A23159" s="0" t="e">
        <f aca="false">INDEX(_xlfn.ORG.LIBREOFFICE.FOURIER({1,2,3;4,5,6},TRUE(),TRUE()),2,1)</f>
        <v>#VALUE!</v>
      </c>
      <c r="B23159" s="0" t="s">
        <v>22984</v>
      </c>
    </row>
    <row r="23160" customFormat="false" ht="15" hidden="false" customHeight="false" outlineLevel="0" collapsed="false">
      <c r="A23160" s="0" t="e">
        <f aca="false">INDEX(_xlfn.ORG.LIBREOFFICE.FOURIER({1,2,3;4,5,6},TRUE(),TRUE()),2,2)</f>
        <v>#VALUE!</v>
      </c>
      <c r="B23160" s="0" t="s">
        <v>22985</v>
      </c>
    </row>
    <row r="23161" customFormat="false" ht="15" hidden="false" customHeight="false" outlineLevel="0" collapsed="false">
      <c r="A23161" s="0" t="e">
        <f aca="false">INDEX(_xlfn.ORG.LIBREOFFICE.FOURIER({1,2,3;4,5,6},TRUE(),TRUE()),3,2)</f>
        <v>#VALUE!</v>
      </c>
      <c r="B23161" s="0" t="s">
        <v>22986</v>
      </c>
    </row>
    <row r="23162" customFormat="false" ht="15" hidden="false" customHeight="false" outlineLevel="0" collapsed="false">
      <c r="A23162" s="0" t="e">
        <f aca="false">INDEX(_xlfn.ORG.LIBREOFFICE.FOURIER({1,2,3;4,5,6},TRUE(),TRUE()),ROWS(_xlfn.ORG.LIBREOFFICE.FOURIER({1,2,3;4,5,6},TRUE(),TRUE())),1)</f>
        <v>#VALUE!</v>
      </c>
      <c r="B23162" s="0" t="s">
        <v>22987</v>
      </c>
    </row>
    <row r="23163" customFormat="false" ht="15" hidden="false" customHeight="false" outlineLevel="0" collapsed="false">
      <c r="A23163" s="0" t="e">
        <f aca="false">INDEX(_xlfn.ORG.LIBREOFFICE.FOURIER({1,2,3;4,5,6},TRUE(),TRUE()),ROWS(_xlfn.ORG.LIBREOFFICE.FOURIER({1,2,3;4,5,6},TRUE(),TRUE())),2)</f>
        <v>#VALUE!</v>
      </c>
      <c r="B23163" s="0" t="s">
        <v>22988</v>
      </c>
    </row>
    <row r="23164" customFormat="false" ht="15" hidden="false" customHeight="false" outlineLevel="0" collapsed="false">
      <c r="A23164" s="0" t="e">
        <f aca="false">SUM(_xlfn.ORG.LIBREOFFICE.FOURIER({1,2,3;4,5,6},TRUE(),FALSE(),TRUE()))</f>
        <v>#VALUE!</v>
      </c>
      <c r="B23164" s="0" t="s">
        <v>22989</v>
      </c>
    </row>
    <row r="23165" customFormat="false" ht="15" hidden="false" customHeight="false" outlineLevel="0" collapsed="false">
      <c r="A23165" s="0" t="e">
        <f aca="false">INDEX(_xlfn.ORG.LIBREOFFICE.FOURIER({1,2,3;4,5,6},TRUE(),FALSE(),TRUE()),1,1)</f>
        <v>#VALUE!</v>
      </c>
      <c r="B23165" s="0" t="s">
        <v>22990</v>
      </c>
    </row>
    <row r="23166" customFormat="false" ht="15" hidden="false" customHeight="false" outlineLevel="0" collapsed="false">
      <c r="A23166" s="0" t="e">
        <f aca="false">INDEX(_xlfn.ORG.LIBREOFFICE.FOURIER({1,2,3;4,5,6},TRUE(),FALSE(),TRUE()),2,1)</f>
        <v>#VALUE!</v>
      </c>
      <c r="B23166" s="0" t="s">
        <v>22991</v>
      </c>
    </row>
    <row r="23167" customFormat="false" ht="15" hidden="false" customHeight="false" outlineLevel="0" collapsed="false">
      <c r="A23167" s="0" t="e">
        <f aca="false">INDEX(_xlfn.ORG.LIBREOFFICE.FOURIER({1,2,3;4,5,6},TRUE(),FALSE(),TRUE()),2,2)</f>
        <v>#VALUE!</v>
      </c>
      <c r="B23167" s="0" t="s">
        <v>22992</v>
      </c>
    </row>
    <row r="23168" customFormat="false" ht="15" hidden="false" customHeight="false" outlineLevel="0" collapsed="false">
      <c r="A23168" s="0" t="e">
        <f aca="false">INDEX(_xlfn.ORG.LIBREOFFICE.FOURIER({1,2,3;4,5,6},TRUE(),FALSE(),TRUE()),3,2)</f>
        <v>#VALUE!</v>
      </c>
      <c r="B23168" s="0" t="s">
        <v>22993</v>
      </c>
    </row>
    <row r="23169" customFormat="false" ht="15" hidden="false" customHeight="false" outlineLevel="0" collapsed="false">
      <c r="A23169" s="0" t="e">
        <f aca="false">INDEX(_xlfn.ORG.LIBREOFFICE.FOURIER({1,2,3;4,5,6},TRUE(),FALSE(),TRUE()),ROWS(_xlfn.ORG.LIBREOFFICE.FOURIER({1,2,3;4,5,6},TRUE(),FALSE(),TRUE())),1)</f>
        <v>#VALUE!</v>
      </c>
      <c r="B23169" s="0" t="s">
        <v>22994</v>
      </c>
    </row>
    <row r="23170" customFormat="false" ht="15" hidden="false" customHeight="false" outlineLevel="0" collapsed="false">
      <c r="A23170" s="0" t="e">
        <f aca="false">INDEX(_xlfn.ORG.LIBREOFFICE.FOURIER({1,2,3;4,5,6},TRUE(),FALSE(),TRUE()),ROWS(_xlfn.ORG.LIBREOFFICE.FOURIER({1,2,3;4,5,6},TRUE(),FALSE(),TRUE())),2)</f>
        <v>#VALUE!</v>
      </c>
      <c r="B23170" s="0" t="s">
        <v>22995</v>
      </c>
    </row>
    <row r="23171" customFormat="false" ht="15" hidden="false" customHeight="false" outlineLevel="0" collapsed="false">
      <c r="A23171" s="0" t="e">
        <f aca="false">SUM(_xlfn.ORG.LIBREOFFICE.FOURIER({1,2,3;4,5,6},TRUE(),TRUE(),TRUE()))</f>
        <v>#VALUE!</v>
      </c>
      <c r="B23171" s="0" t="s">
        <v>22996</v>
      </c>
    </row>
    <row r="23172" customFormat="false" ht="15" hidden="false" customHeight="false" outlineLevel="0" collapsed="false">
      <c r="A23172" s="0" t="e">
        <f aca="false">INDEX(_xlfn.ORG.LIBREOFFICE.FOURIER({1,2,3;4,5,6},TRUE(),TRUE(),TRUE()),1,1)</f>
        <v>#VALUE!</v>
      </c>
      <c r="B23172" s="0" t="s">
        <v>22997</v>
      </c>
    </row>
    <row r="23173" customFormat="false" ht="15" hidden="false" customHeight="false" outlineLevel="0" collapsed="false">
      <c r="A23173" s="0" t="e">
        <f aca="false">INDEX(_xlfn.ORG.LIBREOFFICE.FOURIER({1,2,3;4,5,6},TRUE(),TRUE(),TRUE()),2,1)</f>
        <v>#VALUE!</v>
      </c>
      <c r="B23173" s="0" t="s">
        <v>22998</v>
      </c>
    </row>
    <row r="23174" customFormat="false" ht="15" hidden="false" customHeight="false" outlineLevel="0" collapsed="false">
      <c r="A23174" s="0" t="e">
        <f aca="false">INDEX(_xlfn.ORG.LIBREOFFICE.FOURIER({1,2,3;4,5,6},TRUE(),TRUE(),TRUE()),2,2)</f>
        <v>#VALUE!</v>
      </c>
      <c r="B23174" s="0" t="s">
        <v>22999</v>
      </c>
    </row>
    <row r="23175" customFormat="false" ht="15" hidden="false" customHeight="false" outlineLevel="0" collapsed="false">
      <c r="A23175" s="0" t="e">
        <f aca="false">INDEX(_xlfn.ORG.LIBREOFFICE.FOURIER({1,2,3;4,5,6},TRUE(),TRUE(),TRUE()),3,2)</f>
        <v>#VALUE!</v>
      </c>
      <c r="B23175" s="0" t="s">
        <v>23000</v>
      </c>
    </row>
    <row r="23176" customFormat="false" ht="15" hidden="false" customHeight="false" outlineLevel="0" collapsed="false">
      <c r="A23176" s="0" t="e">
        <f aca="false">INDEX(_xlfn.ORG.LIBREOFFICE.FOURIER({1,2,3;4,5,6},TRUE(),TRUE(),TRUE()),ROWS(_xlfn.ORG.LIBREOFFICE.FOURIER({1,2,3;4,5,6},TRUE(),TRUE(),TRUE())),1)</f>
        <v>#VALUE!</v>
      </c>
      <c r="B23176" s="0" t="s">
        <v>23001</v>
      </c>
    </row>
    <row r="23177" customFormat="false" ht="15" hidden="false" customHeight="false" outlineLevel="0" collapsed="false">
      <c r="A23177" s="0" t="e">
        <f aca="false">INDEX(_xlfn.ORG.LIBREOFFICE.FOURIER({1,2,3;4,5,6},TRUE(),TRUE(),TRUE()),ROWS(_xlfn.ORG.LIBREOFFICE.FOURIER({1,2,3;4,5,6},TRUE(),TRUE(),TRUE())),2)</f>
        <v>#VALUE!</v>
      </c>
      <c r="B23177" s="0" t="s">
        <v>23002</v>
      </c>
    </row>
    <row r="23178" customFormat="false" ht="15" hidden="false" customHeight="false" outlineLevel="0" collapsed="false">
      <c r="A23178" s="0" t="e">
        <f aca="false">SUM(_xlfn.ORG.LIBREOFFICE.FOURIER({1,2,3;4,5,6},TRUE(),FALSE(),TRUE(),1))</f>
        <v>#VALUE!</v>
      </c>
      <c r="B23178" s="0" t="s">
        <v>23003</v>
      </c>
    </row>
    <row r="23179" customFormat="false" ht="15" hidden="false" customHeight="false" outlineLevel="0" collapsed="false">
      <c r="A23179" s="0" t="e">
        <f aca="false">INDEX(_xlfn.ORG.LIBREOFFICE.FOURIER({1,2,3;4,5,6},TRUE(),FALSE(),TRUE(),1),1,1)</f>
        <v>#VALUE!</v>
      </c>
      <c r="B23179" s="0" t="s">
        <v>23004</v>
      </c>
    </row>
    <row r="23180" customFormat="false" ht="15" hidden="false" customHeight="false" outlineLevel="0" collapsed="false">
      <c r="A23180" s="0" t="e">
        <f aca="false">INDEX(_xlfn.ORG.LIBREOFFICE.FOURIER({1,2,3;4,5,6},TRUE(),FALSE(),TRUE(),1),2,1)</f>
        <v>#VALUE!</v>
      </c>
      <c r="B23180" s="0" t="s">
        <v>23005</v>
      </c>
    </row>
    <row r="23181" customFormat="false" ht="15" hidden="false" customHeight="false" outlineLevel="0" collapsed="false">
      <c r="A23181" s="0" t="e">
        <f aca="false">INDEX(_xlfn.ORG.LIBREOFFICE.FOURIER({1,2,3;4,5,6},TRUE(),FALSE(),TRUE(),1),2,2)</f>
        <v>#VALUE!</v>
      </c>
      <c r="B23181" s="0" t="s">
        <v>23006</v>
      </c>
    </row>
    <row r="23182" customFormat="false" ht="15" hidden="false" customHeight="false" outlineLevel="0" collapsed="false">
      <c r="A23182" s="0" t="e">
        <f aca="false">INDEX(_xlfn.ORG.LIBREOFFICE.FOURIER({1,2,3;4,5,6},TRUE(),FALSE(),TRUE(),1),3,2)</f>
        <v>#VALUE!</v>
      </c>
      <c r="B23182" s="0" t="s">
        <v>23007</v>
      </c>
    </row>
    <row r="23183" customFormat="false" ht="15" hidden="false" customHeight="false" outlineLevel="0" collapsed="false">
      <c r="A23183" s="0" t="e">
        <f aca="false">INDEX(_xlfn.ORG.LIBREOFFICE.FOURIER({1,2,3;4,5,6},TRUE(),FALSE(),TRUE(),1),ROWS(_xlfn.ORG.LIBREOFFICE.FOURIER({1,2,3;4,5,6},TRUE(),FALSE(),TRUE(),1)),1)</f>
        <v>#VALUE!</v>
      </c>
      <c r="B23183" s="0" t="s">
        <v>23008</v>
      </c>
    </row>
    <row r="23184" customFormat="false" ht="15" hidden="false" customHeight="false" outlineLevel="0" collapsed="false">
      <c r="A23184" s="0" t="e">
        <f aca="false">INDEX(_xlfn.ORG.LIBREOFFICE.FOURIER({1,2,3;4,5,6},TRUE(),FALSE(),TRUE(),1),ROWS(_xlfn.ORG.LIBREOFFICE.FOURIER({1,2,3;4,5,6},TRUE(),FALSE(),TRUE(),1)),2)</f>
        <v>#VALUE!</v>
      </c>
      <c r="B23184" s="0" t="s">
        <v>23009</v>
      </c>
    </row>
    <row r="23185" customFormat="false" ht="15" hidden="false" customHeight="false" outlineLevel="0" collapsed="false">
      <c r="A23185" s="0" t="e">
        <f aca="false">SUM(_xlfn.ORG.LIBREOFFICE.FOURIER({1,2,3;4,5,6},TRUE(),TRUE(),TRUE(),5))</f>
        <v>#VALUE!</v>
      </c>
      <c r="B23185" s="0" t="s">
        <v>23010</v>
      </c>
    </row>
    <row r="23186" customFormat="false" ht="15" hidden="false" customHeight="false" outlineLevel="0" collapsed="false">
      <c r="A23186" s="0" t="e">
        <f aca="false">INDEX(_xlfn.ORG.LIBREOFFICE.FOURIER({1,2,3;4,5,6},TRUE(),TRUE(),TRUE(),5),1,1)</f>
        <v>#VALUE!</v>
      </c>
      <c r="B23186" s="0" t="s">
        <v>23011</v>
      </c>
    </row>
    <row r="23187" customFormat="false" ht="15" hidden="false" customHeight="false" outlineLevel="0" collapsed="false">
      <c r="A23187" s="0" t="e">
        <f aca="false">INDEX(_xlfn.ORG.LIBREOFFICE.FOURIER({1,2,3;4,5,6},TRUE(),TRUE(),TRUE(),5),2,1)</f>
        <v>#VALUE!</v>
      </c>
      <c r="B23187" s="0" t="s">
        <v>23012</v>
      </c>
    </row>
    <row r="23188" customFormat="false" ht="15" hidden="false" customHeight="false" outlineLevel="0" collapsed="false">
      <c r="A23188" s="0" t="e">
        <f aca="false">INDEX(_xlfn.ORG.LIBREOFFICE.FOURIER({1,2,3;4,5,6},TRUE(),TRUE(),TRUE(),5),2,2)</f>
        <v>#VALUE!</v>
      </c>
      <c r="B23188" s="0" t="s">
        <v>23013</v>
      </c>
    </row>
    <row r="23189" customFormat="false" ht="15" hidden="false" customHeight="false" outlineLevel="0" collapsed="false">
      <c r="A23189" s="0" t="e">
        <f aca="false">INDEX(_xlfn.ORG.LIBREOFFICE.FOURIER({1,2,3;4,5,6},TRUE(),TRUE(),TRUE(),5),3,2)</f>
        <v>#VALUE!</v>
      </c>
      <c r="B23189" s="0" t="s">
        <v>23014</v>
      </c>
    </row>
    <row r="23190" customFormat="false" ht="15" hidden="false" customHeight="false" outlineLevel="0" collapsed="false">
      <c r="A23190" s="0" t="e">
        <f aca="false">INDEX(_xlfn.ORG.LIBREOFFICE.FOURIER({1,2,3;4,5,6},TRUE(),TRUE(),TRUE(),5),ROWS(_xlfn.ORG.LIBREOFFICE.FOURIER({1,2,3;4,5,6},TRUE(),TRUE(),TRUE(),5)),1)</f>
        <v>#VALUE!</v>
      </c>
      <c r="B23190" s="0" t="s">
        <v>23015</v>
      </c>
    </row>
    <row r="23191" customFormat="false" ht="15" hidden="false" customHeight="false" outlineLevel="0" collapsed="false">
      <c r="A23191" s="0" t="e">
        <f aca="false">INDEX(_xlfn.ORG.LIBREOFFICE.FOURIER({1,2,3;4,5,6},TRUE(),TRUE(),TRUE(),5),ROWS(_xlfn.ORG.LIBREOFFICE.FOURIER({1,2,3;4,5,6},TRUE(),TRUE(),TRUE(),5)),2)</f>
        <v>#VALUE!</v>
      </c>
      <c r="B23191" s="0" t="s">
        <v>23016</v>
      </c>
    </row>
    <row r="23192" customFormat="false" ht="15" hidden="false" customHeight="false" outlineLevel="0" collapsed="false">
      <c r="A23192" s="0" t="e">
        <f aca="false">ROWS(_xlfn.ORG.LIBREOFFICE.FOURIER(TRANSPOSE({1,2,3;4,5,6}),FALSE()))</f>
        <v>#VALUE!</v>
      </c>
      <c r="B23192" s="0" t="s">
        <v>23017</v>
      </c>
    </row>
    <row r="23193" customFormat="false" ht="15" hidden="false" customHeight="false" outlineLevel="0" collapsed="false">
      <c r="A23193" s="0" t="e">
        <f aca="false">COLUMNS(_xlfn.ORG.LIBREOFFICE.FOURIER(TRANSPOSE({1,2,3;4,5,6}),FALSE()))</f>
        <v>#VALUE!</v>
      </c>
      <c r="B23193" s="0" t="s">
        <v>23018</v>
      </c>
    </row>
    <row r="23194" customFormat="false" ht="15" hidden="false" customHeight="false" outlineLevel="0" collapsed="false">
      <c r="A23194" s="0" t="e">
        <f aca="false">SUM(_xlfn.ORG.LIBREOFFICE.FOURIER(TRANSPOSE({1,2,3;4,5,6}),FALSE()))</f>
        <v>#VALUE!</v>
      </c>
      <c r="B23194" s="0" t="s">
        <v>23019</v>
      </c>
    </row>
    <row r="23195" customFormat="false" ht="15" hidden="false" customHeight="false" outlineLevel="0" collapsed="false">
      <c r="A23195" s="0" t="e">
        <f aca="false">INDEX(_xlfn.ORG.LIBREOFFICE.FOURIER(TRANSPOSE({1,2,3;4,5,6}),FALSE()),1,1)</f>
        <v>#VALUE!</v>
      </c>
      <c r="B23195" s="0" t="s">
        <v>23020</v>
      </c>
    </row>
    <row r="23196" customFormat="false" ht="15" hidden="false" customHeight="false" outlineLevel="0" collapsed="false">
      <c r="A23196" s="0" t="e">
        <f aca="false">INDEX(_xlfn.ORG.LIBREOFFICE.FOURIER(TRANSPOSE({1,2,3;4,5,6}),FALSE()),2,1)</f>
        <v>#VALUE!</v>
      </c>
      <c r="B23196" s="0" t="s">
        <v>23021</v>
      </c>
    </row>
    <row r="23197" customFormat="false" ht="15" hidden="false" customHeight="false" outlineLevel="0" collapsed="false">
      <c r="A23197" s="0" t="e">
        <f aca="false">INDEX(_xlfn.ORG.LIBREOFFICE.FOURIER(TRANSPOSE({1,2,3;4,5,6}),FALSE()),2,2)</f>
        <v>#VALUE!</v>
      </c>
      <c r="B23197" s="0" t="s">
        <v>23022</v>
      </c>
    </row>
    <row r="23198" customFormat="false" ht="15" hidden="false" customHeight="false" outlineLevel="0" collapsed="false">
      <c r="A23198" s="0" t="e">
        <f aca="false">INDEX(_xlfn.ORG.LIBREOFFICE.FOURIER(TRANSPOSE({1,2,3;4,5,6}),FALSE()),3,2)</f>
        <v>#VALUE!</v>
      </c>
      <c r="B23198" s="0" t="s">
        <v>23023</v>
      </c>
    </row>
    <row r="23199" customFormat="false" ht="15" hidden="false" customHeight="false" outlineLevel="0" collapsed="false">
      <c r="A23199" s="0" t="e">
        <f aca="false">INDEX(_xlfn.ORG.LIBREOFFICE.FOURIER(TRANSPOSE({1,2,3;4,5,6}),FALSE()),ROWS(_xlfn.ORG.LIBREOFFICE.FOURIER(TRANSPOSE({1,2,3;4,5,6}),FALSE())),1)</f>
        <v>#VALUE!</v>
      </c>
      <c r="B23199" s="0" t="s">
        <v>23024</v>
      </c>
    </row>
    <row r="23200" customFormat="false" ht="15" hidden="false" customHeight="false" outlineLevel="0" collapsed="false">
      <c r="A23200" s="0" t="e">
        <f aca="false">INDEX(_xlfn.ORG.LIBREOFFICE.FOURIER(TRANSPOSE({1,2,3;4,5,6}),FALSE()),ROWS(_xlfn.ORG.LIBREOFFICE.FOURIER(TRANSPOSE({1,2,3;4,5,6}),FALSE())),2)</f>
        <v>#VALUE!</v>
      </c>
      <c r="B23200" s="0" t="s">
        <v>23025</v>
      </c>
    </row>
    <row r="23201" customFormat="false" ht="15" hidden="false" customHeight="false" outlineLevel="0" collapsed="false">
      <c r="A23201" s="0" t="e">
        <f aca="false">SUM(_xlfn.ORG.LIBREOFFICE.FOURIER(TRANSPOSE({1,2,3;4,5,6}),FALSE(),TRUE()))</f>
        <v>#VALUE!</v>
      </c>
      <c r="B23201" s="0" t="s">
        <v>23026</v>
      </c>
    </row>
    <row r="23202" customFormat="false" ht="15" hidden="false" customHeight="false" outlineLevel="0" collapsed="false">
      <c r="A23202" s="0" t="e">
        <f aca="false">INDEX(_xlfn.ORG.LIBREOFFICE.FOURIER(TRANSPOSE({1,2,3;4,5,6}),FALSE(),TRUE()),1,1)</f>
        <v>#VALUE!</v>
      </c>
      <c r="B23202" s="0" t="s">
        <v>23027</v>
      </c>
    </row>
    <row r="23203" customFormat="false" ht="15" hidden="false" customHeight="false" outlineLevel="0" collapsed="false">
      <c r="A23203" s="0" t="e">
        <f aca="false">INDEX(_xlfn.ORG.LIBREOFFICE.FOURIER(TRANSPOSE({1,2,3;4,5,6}),FALSE(),TRUE()),2,1)</f>
        <v>#VALUE!</v>
      </c>
      <c r="B23203" s="0" t="s">
        <v>23028</v>
      </c>
    </row>
    <row r="23204" customFormat="false" ht="15" hidden="false" customHeight="false" outlineLevel="0" collapsed="false">
      <c r="A23204" s="0" t="e">
        <f aca="false">INDEX(_xlfn.ORG.LIBREOFFICE.FOURIER(TRANSPOSE({1,2,3;4,5,6}),FALSE(),TRUE()),2,2)</f>
        <v>#VALUE!</v>
      </c>
      <c r="B23204" s="0" t="s">
        <v>23029</v>
      </c>
    </row>
    <row r="23205" customFormat="false" ht="15" hidden="false" customHeight="false" outlineLevel="0" collapsed="false">
      <c r="A23205" s="0" t="e">
        <f aca="false">INDEX(_xlfn.ORG.LIBREOFFICE.FOURIER(TRANSPOSE({1,2,3;4,5,6}),FALSE(),TRUE()),3,2)</f>
        <v>#VALUE!</v>
      </c>
      <c r="B23205" s="0" t="s">
        <v>23030</v>
      </c>
    </row>
    <row r="23206" customFormat="false" ht="15" hidden="false" customHeight="false" outlineLevel="0" collapsed="false">
      <c r="A23206" s="0" t="e">
        <f aca="false">INDEX(_xlfn.ORG.LIBREOFFICE.FOURIER(TRANSPOSE({1,2,3;4,5,6}),FALSE(),TRUE()),ROWS(_xlfn.ORG.LIBREOFFICE.FOURIER(TRANSPOSE({1,2,3;4,5,6}),FALSE(),TRUE())),1)</f>
        <v>#VALUE!</v>
      </c>
      <c r="B23206" s="0" t="s">
        <v>23031</v>
      </c>
    </row>
    <row r="23207" customFormat="false" ht="15" hidden="false" customHeight="false" outlineLevel="0" collapsed="false">
      <c r="A23207" s="0" t="e">
        <f aca="false">INDEX(_xlfn.ORG.LIBREOFFICE.FOURIER(TRANSPOSE({1,2,3;4,5,6}),FALSE(),TRUE()),ROWS(_xlfn.ORG.LIBREOFFICE.FOURIER(TRANSPOSE({1,2,3;4,5,6}),FALSE(),TRUE())),2)</f>
        <v>#VALUE!</v>
      </c>
      <c r="B23207" s="0" t="s">
        <v>23032</v>
      </c>
    </row>
    <row r="23208" customFormat="false" ht="15" hidden="false" customHeight="false" outlineLevel="0" collapsed="false">
      <c r="A23208" s="0" t="e">
        <f aca="false">SUM(_xlfn.ORG.LIBREOFFICE.FOURIER(TRANSPOSE({1,2,3;4,5,6}),FALSE(),FALSE(),TRUE()))</f>
        <v>#VALUE!</v>
      </c>
      <c r="B23208" s="0" t="s">
        <v>23033</v>
      </c>
    </row>
    <row r="23209" customFormat="false" ht="15" hidden="false" customHeight="false" outlineLevel="0" collapsed="false">
      <c r="A23209" s="0" t="e">
        <f aca="false">INDEX(_xlfn.ORG.LIBREOFFICE.FOURIER(TRANSPOSE({1,2,3;4,5,6}),FALSE(),FALSE(),TRUE()),1,1)</f>
        <v>#VALUE!</v>
      </c>
      <c r="B23209" s="0" t="s">
        <v>23034</v>
      </c>
    </row>
    <row r="23210" customFormat="false" ht="15" hidden="false" customHeight="false" outlineLevel="0" collapsed="false">
      <c r="A23210" s="0" t="e">
        <f aca="false">INDEX(_xlfn.ORG.LIBREOFFICE.FOURIER(TRANSPOSE({1,2,3;4,5,6}),FALSE(),FALSE(),TRUE()),2,1)</f>
        <v>#VALUE!</v>
      </c>
      <c r="B23210" s="0" t="s">
        <v>23035</v>
      </c>
    </row>
    <row r="23211" customFormat="false" ht="15" hidden="false" customHeight="false" outlineLevel="0" collapsed="false">
      <c r="A23211" s="0" t="e">
        <f aca="false">INDEX(_xlfn.ORG.LIBREOFFICE.FOURIER(TRANSPOSE({1,2,3;4,5,6}),FALSE(),FALSE(),TRUE()),2,2)</f>
        <v>#VALUE!</v>
      </c>
      <c r="B23211" s="0" t="s">
        <v>23036</v>
      </c>
    </row>
    <row r="23212" customFormat="false" ht="15" hidden="false" customHeight="false" outlineLevel="0" collapsed="false">
      <c r="A23212" s="0" t="e">
        <f aca="false">INDEX(_xlfn.ORG.LIBREOFFICE.FOURIER(TRANSPOSE({1,2,3;4,5,6}),FALSE(),FALSE(),TRUE()),3,2)</f>
        <v>#VALUE!</v>
      </c>
      <c r="B23212" s="0" t="s">
        <v>23037</v>
      </c>
    </row>
    <row r="23213" customFormat="false" ht="15" hidden="false" customHeight="false" outlineLevel="0" collapsed="false">
      <c r="A23213" s="0" t="e">
        <f aca="false">INDEX(_xlfn.ORG.LIBREOFFICE.FOURIER(TRANSPOSE({1,2,3;4,5,6}),FALSE(),FALSE(),TRUE()),ROWS(_xlfn.ORG.LIBREOFFICE.FOURIER(TRANSPOSE({1,2,3;4,5,6}),FALSE(),FALSE(),TRUE())),1)</f>
        <v>#VALUE!</v>
      </c>
      <c r="B23213" s="0" t="s">
        <v>23038</v>
      </c>
    </row>
    <row r="23214" customFormat="false" ht="15" hidden="false" customHeight="false" outlineLevel="0" collapsed="false">
      <c r="A23214" s="0" t="e">
        <f aca="false">INDEX(_xlfn.ORG.LIBREOFFICE.FOURIER(TRANSPOSE({1,2,3;4,5,6}),FALSE(),FALSE(),TRUE()),ROWS(_xlfn.ORG.LIBREOFFICE.FOURIER(TRANSPOSE({1,2,3;4,5,6}),FALSE(),FALSE(),TRUE())),2)</f>
        <v>#VALUE!</v>
      </c>
      <c r="B23214" s="0" t="s">
        <v>23039</v>
      </c>
    </row>
    <row r="23215" customFormat="false" ht="15" hidden="false" customHeight="false" outlineLevel="0" collapsed="false">
      <c r="A23215" s="0" t="e">
        <f aca="false">SUM(_xlfn.ORG.LIBREOFFICE.FOURIER(TRANSPOSE({1,2,3;4,5,6}),FALSE(),TRUE(),TRUE()))</f>
        <v>#VALUE!</v>
      </c>
      <c r="B23215" s="0" t="s">
        <v>23040</v>
      </c>
    </row>
    <row r="23216" customFormat="false" ht="15" hidden="false" customHeight="false" outlineLevel="0" collapsed="false">
      <c r="A23216" s="0" t="e">
        <f aca="false">INDEX(_xlfn.ORG.LIBREOFFICE.FOURIER(TRANSPOSE({1,2,3;4,5,6}),FALSE(),TRUE(),TRUE()),1,1)</f>
        <v>#VALUE!</v>
      </c>
      <c r="B23216" s="0" t="s">
        <v>23041</v>
      </c>
    </row>
    <row r="23217" customFormat="false" ht="15" hidden="false" customHeight="false" outlineLevel="0" collapsed="false">
      <c r="A23217" s="0" t="e">
        <f aca="false">INDEX(_xlfn.ORG.LIBREOFFICE.FOURIER(TRANSPOSE({1,2,3;4,5,6}),FALSE(),TRUE(),TRUE()),2,1)</f>
        <v>#VALUE!</v>
      </c>
      <c r="B23217" s="0" t="s">
        <v>23042</v>
      </c>
    </row>
    <row r="23218" customFormat="false" ht="15" hidden="false" customHeight="false" outlineLevel="0" collapsed="false">
      <c r="A23218" s="0" t="e">
        <f aca="false">INDEX(_xlfn.ORG.LIBREOFFICE.FOURIER(TRANSPOSE({1,2,3;4,5,6}),FALSE(),TRUE(),TRUE()),2,2)</f>
        <v>#VALUE!</v>
      </c>
      <c r="B23218" s="0" t="s">
        <v>23043</v>
      </c>
    </row>
    <row r="23219" customFormat="false" ht="15" hidden="false" customHeight="false" outlineLevel="0" collapsed="false">
      <c r="A23219" s="0" t="e">
        <f aca="false">INDEX(_xlfn.ORG.LIBREOFFICE.FOURIER(TRANSPOSE({1,2,3;4,5,6}),FALSE(),TRUE(),TRUE()),3,2)</f>
        <v>#VALUE!</v>
      </c>
      <c r="B23219" s="0" t="s">
        <v>23044</v>
      </c>
    </row>
    <row r="23220" customFormat="false" ht="15" hidden="false" customHeight="false" outlineLevel="0" collapsed="false">
      <c r="A23220" s="0" t="e">
        <f aca="false">INDEX(_xlfn.ORG.LIBREOFFICE.FOURIER(TRANSPOSE({1,2,3;4,5,6}),FALSE(),TRUE(),TRUE()),ROWS(_xlfn.ORG.LIBREOFFICE.FOURIER(TRANSPOSE({1,2,3;4,5,6}),FALSE(),TRUE(),TRUE())),1)</f>
        <v>#VALUE!</v>
      </c>
      <c r="B23220" s="0" t="s">
        <v>23045</v>
      </c>
    </row>
    <row r="23221" customFormat="false" ht="15" hidden="false" customHeight="false" outlineLevel="0" collapsed="false">
      <c r="A23221" s="0" t="e">
        <f aca="false">INDEX(_xlfn.ORG.LIBREOFFICE.FOURIER(TRANSPOSE({1,2,3;4,5,6}),FALSE(),TRUE(),TRUE()),ROWS(_xlfn.ORG.LIBREOFFICE.FOURIER(TRANSPOSE({1,2,3;4,5,6}),FALSE(),TRUE(),TRUE())),2)</f>
        <v>#VALUE!</v>
      </c>
      <c r="B23221" s="0" t="s">
        <v>23046</v>
      </c>
    </row>
    <row r="23222" customFormat="false" ht="15" hidden="false" customHeight="false" outlineLevel="0" collapsed="false">
      <c r="A23222" s="0" t="e">
        <f aca="false">SUM(_xlfn.ORG.LIBREOFFICE.FOURIER(TRANSPOSE({1,2,3;4,5,6}),FALSE(),FALSE(),TRUE(),1))</f>
        <v>#VALUE!</v>
      </c>
      <c r="B23222" s="0" t="s">
        <v>23047</v>
      </c>
    </row>
    <row r="23223" customFormat="false" ht="15" hidden="false" customHeight="false" outlineLevel="0" collapsed="false">
      <c r="A23223" s="0" t="e">
        <f aca="false">INDEX(_xlfn.ORG.LIBREOFFICE.FOURIER(TRANSPOSE({1,2,3;4,5,6}),FALSE(),FALSE(),TRUE(),1),1,1)</f>
        <v>#VALUE!</v>
      </c>
      <c r="B23223" s="0" t="s">
        <v>23048</v>
      </c>
    </row>
    <row r="23224" customFormat="false" ht="15" hidden="false" customHeight="false" outlineLevel="0" collapsed="false">
      <c r="A23224" s="0" t="e">
        <f aca="false">INDEX(_xlfn.ORG.LIBREOFFICE.FOURIER(TRANSPOSE({1,2,3;4,5,6}),FALSE(),FALSE(),TRUE(),1),2,1)</f>
        <v>#VALUE!</v>
      </c>
      <c r="B23224" s="0" t="s">
        <v>23049</v>
      </c>
    </row>
    <row r="23225" customFormat="false" ht="15" hidden="false" customHeight="false" outlineLevel="0" collapsed="false">
      <c r="A23225" s="0" t="e">
        <f aca="false">INDEX(_xlfn.ORG.LIBREOFFICE.FOURIER(TRANSPOSE({1,2,3;4,5,6}),FALSE(),FALSE(),TRUE(),1),2,2)</f>
        <v>#VALUE!</v>
      </c>
      <c r="B23225" s="0" t="s">
        <v>23050</v>
      </c>
    </row>
    <row r="23226" customFormat="false" ht="15" hidden="false" customHeight="false" outlineLevel="0" collapsed="false">
      <c r="A23226" s="0" t="e">
        <f aca="false">INDEX(_xlfn.ORG.LIBREOFFICE.FOURIER(TRANSPOSE({1,2,3;4,5,6}),FALSE(),FALSE(),TRUE(),1),3,2)</f>
        <v>#VALUE!</v>
      </c>
      <c r="B23226" s="0" t="s">
        <v>23051</v>
      </c>
    </row>
    <row r="23227" customFormat="false" ht="15" hidden="false" customHeight="false" outlineLevel="0" collapsed="false">
      <c r="A23227" s="0" t="e">
        <f aca="false">INDEX(_xlfn.ORG.LIBREOFFICE.FOURIER(TRANSPOSE({1,2,3;4,5,6}),FALSE(),FALSE(),TRUE(),1),ROWS(_xlfn.ORG.LIBREOFFICE.FOURIER(TRANSPOSE({1,2,3;4,5,6}),FALSE(),FALSE(),TRUE(),1)),1)</f>
        <v>#VALUE!</v>
      </c>
      <c r="B23227" s="0" t="s">
        <v>23052</v>
      </c>
    </row>
    <row r="23228" customFormat="false" ht="15" hidden="false" customHeight="false" outlineLevel="0" collapsed="false">
      <c r="A23228" s="0" t="e">
        <f aca="false">INDEX(_xlfn.ORG.LIBREOFFICE.FOURIER(TRANSPOSE({1,2,3;4,5,6}),FALSE(),FALSE(),TRUE(),1),ROWS(_xlfn.ORG.LIBREOFFICE.FOURIER(TRANSPOSE({1,2,3;4,5,6}),FALSE(),FALSE(),TRUE(),1)),2)</f>
        <v>#VALUE!</v>
      </c>
      <c r="B23228" s="0" t="s">
        <v>23053</v>
      </c>
    </row>
    <row r="23229" customFormat="false" ht="15" hidden="false" customHeight="false" outlineLevel="0" collapsed="false">
      <c r="A23229" s="0" t="e">
        <f aca="false">SUM(_xlfn.ORG.LIBREOFFICE.FOURIER(TRANSPOSE({1,2,3;4,5,6}),FALSE(),TRUE(),TRUE(),5))</f>
        <v>#VALUE!</v>
      </c>
      <c r="B23229" s="0" t="s">
        <v>23054</v>
      </c>
    </row>
    <row r="23230" customFormat="false" ht="15" hidden="false" customHeight="false" outlineLevel="0" collapsed="false">
      <c r="A23230" s="0" t="e">
        <f aca="false">INDEX(_xlfn.ORG.LIBREOFFICE.FOURIER(TRANSPOSE({1,2,3;4,5,6}),FALSE(),TRUE(),TRUE(),5),1,1)</f>
        <v>#VALUE!</v>
      </c>
      <c r="B23230" s="0" t="s">
        <v>23055</v>
      </c>
    </row>
    <row r="23231" customFormat="false" ht="15" hidden="false" customHeight="false" outlineLevel="0" collapsed="false">
      <c r="A23231" s="0" t="e">
        <f aca="false">INDEX(_xlfn.ORG.LIBREOFFICE.FOURIER(TRANSPOSE({1,2,3;4,5,6}),FALSE(),TRUE(),TRUE(),5),2,1)</f>
        <v>#VALUE!</v>
      </c>
      <c r="B23231" s="0" t="s">
        <v>23056</v>
      </c>
    </row>
    <row r="23232" customFormat="false" ht="15" hidden="false" customHeight="false" outlineLevel="0" collapsed="false">
      <c r="A23232" s="0" t="e">
        <f aca="false">INDEX(_xlfn.ORG.LIBREOFFICE.FOURIER(TRANSPOSE({1,2,3;4,5,6}),FALSE(),TRUE(),TRUE(),5),2,2)</f>
        <v>#VALUE!</v>
      </c>
      <c r="B23232" s="0" t="s">
        <v>23057</v>
      </c>
    </row>
    <row r="23233" customFormat="false" ht="15" hidden="false" customHeight="false" outlineLevel="0" collapsed="false">
      <c r="A23233" s="0" t="e">
        <f aca="false">INDEX(_xlfn.ORG.LIBREOFFICE.FOURIER(TRANSPOSE({1,2,3;4,5,6}),FALSE(),TRUE(),TRUE(),5),3,2)</f>
        <v>#VALUE!</v>
      </c>
      <c r="B23233" s="0" t="s">
        <v>23058</v>
      </c>
    </row>
    <row r="23234" customFormat="false" ht="15" hidden="false" customHeight="false" outlineLevel="0" collapsed="false">
      <c r="A23234" s="0" t="e">
        <f aca="false">INDEX(_xlfn.ORG.LIBREOFFICE.FOURIER(TRANSPOSE({1,2,3;4,5,6}),FALSE(),TRUE(),TRUE(),5),ROWS(_xlfn.ORG.LIBREOFFICE.FOURIER(TRANSPOSE({1,2,3;4,5,6}),FALSE(),TRUE(),TRUE(),5)),1)</f>
        <v>#VALUE!</v>
      </c>
      <c r="B23234" s="0" t="s">
        <v>23059</v>
      </c>
    </row>
    <row r="23235" customFormat="false" ht="15" hidden="false" customHeight="false" outlineLevel="0" collapsed="false">
      <c r="A23235" s="0" t="e">
        <f aca="false">INDEX(_xlfn.ORG.LIBREOFFICE.FOURIER(TRANSPOSE({1,2,3;4,5,6}),FALSE(),TRUE(),TRUE(),5),ROWS(_xlfn.ORG.LIBREOFFICE.FOURIER(TRANSPOSE({1,2,3;4,5,6}),FALSE(),TRUE(),TRUE(),5)),2)</f>
        <v>#VALUE!</v>
      </c>
      <c r="B23235" s="0" t="s">
        <v>23060</v>
      </c>
    </row>
    <row r="23236" customFormat="false" ht="15" hidden="false" customHeight="false" outlineLevel="0" collapsed="false">
      <c r="A23236" s="0" t="e">
        <f aca="false">ROWS(_xlfn.ORG.LIBREOFFICE.FOURIER({1,2,3,4},TRUE()))</f>
        <v>#VALUE!</v>
      </c>
      <c r="B23236" s="0" t="s">
        <v>23061</v>
      </c>
    </row>
    <row r="23237" customFormat="false" ht="15" hidden="false" customHeight="false" outlineLevel="0" collapsed="false">
      <c r="A23237" s="0" t="e">
        <f aca="false">COLUMNS(_xlfn.ORG.LIBREOFFICE.FOURIER({1,2,3,4},TRUE()))</f>
        <v>#VALUE!</v>
      </c>
      <c r="B23237" s="0" t="s">
        <v>23062</v>
      </c>
    </row>
    <row r="23238" customFormat="false" ht="15" hidden="false" customHeight="false" outlineLevel="0" collapsed="false">
      <c r="A23238" s="0" t="e">
        <f aca="false">SUM(_xlfn.ORG.LIBREOFFICE.FOURIER({1,2,3,4},TRUE()))</f>
        <v>#VALUE!</v>
      </c>
      <c r="B23238" s="0" t="s">
        <v>23063</v>
      </c>
    </row>
    <row r="23239" customFormat="false" ht="15" hidden="false" customHeight="false" outlineLevel="0" collapsed="false">
      <c r="A23239" s="0" t="e">
        <f aca="false">INDEX(_xlfn.ORG.LIBREOFFICE.FOURIER({1,2,3,4},TRUE()),1,1)</f>
        <v>#VALUE!</v>
      </c>
      <c r="B23239" s="0" t="s">
        <v>23064</v>
      </c>
    </row>
    <row r="23240" customFormat="false" ht="15" hidden="false" customHeight="false" outlineLevel="0" collapsed="false">
      <c r="A23240" s="0" t="e">
        <f aca="false">INDEX(_xlfn.ORG.LIBREOFFICE.FOURIER({1,2,3,4},TRUE()),2,1)</f>
        <v>#VALUE!</v>
      </c>
      <c r="B23240" s="0" t="s">
        <v>23065</v>
      </c>
    </row>
    <row r="23241" customFormat="false" ht="15" hidden="false" customHeight="false" outlineLevel="0" collapsed="false">
      <c r="A23241" s="0" t="e">
        <f aca="false">INDEX(_xlfn.ORG.LIBREOFFICE.FOURIER({1,2,3,4},TRUE()),2,2)</f>
        <v>#VALUE!</v>
      </c>
      <c r="B23241" s="0" t="s">
        <v>23066</v>
      </c>
    </row>
    <row r="23242" customFormat="false" ht="15" hidden="false" customHeight="false" outlineLevel="0" collapsed="false">
      <c r="A23242" s="0" t="e">
        <f aca="false">INDEX(_xlfn.ORG.LIBREOFFICE.FOURIER({1,2,3,4},TRUE()),3,2)</f>
        <v>#VALUE!</v>
      </c>
      <c r="B23242" s="0" t="s">
        <v>23067</v>
      </c>
    </row>
    <row r="23243" customFormat="false" ht="15" hidden="false" customHeight="false" outlineLevel="0" collapsed="false">
      <c r="A23243" s="0" t="e">
        <f aca="false">INDEX(_xlfn.ORG.LIBREOFFICE.FOURIER({1,2,3,4},TRUE()),ROWS(_xlfn.ORG.LIBREOFFICE.FOURIER({1,2,3,4},TRUE())),1)</f>
        <v>#VALUE!</v>
      </c>
      <c r="B23243" s="0" t="s">
        <v>23068</v>
      </c>
    </row>
    <row r="23244" customFormat="false" ht="15" hidden="false" customHeight="false" outlineLevel="0" collapsed="false">
      <c r="A23244" s="0" t="e">
        <f aca="false">INDEX(_xlfn.ORG.LIBREOFFICE.FOURIER({1,2,3,4},TRUE()),ROWS(_xlfn.ORG.LIBREOFFICE.FOURIER({1,2,3,4},TRUE())),2)</f>
        <v>#VALUE!</v>
      </c>
      <c r="B23244" s="0" t="s">
        <v>23069</v>
      </c>
    </row>
    <row r="23245" customFormat="false" ht="15" hidden="false" customHeight="false" outlineLevel="0" collapsed="false">
      <c r="A23245" s="0" t="e">
        <f aca="false">SUM(_xlfn.ORG.LIBREOFFICE.FOURIER({1,2,3,4},TRUE(),TRUE()))</f>
        <v>#VALUE!</v>
      </c>
      <c r="B23245" s="0" t="s">
        <v>23070</v>
      </c>
    </row>
    <row r="23246" customFormat="false" ht="15" hidden="false" customHeight="false" outlineLevel="0" collapsed="false">
      <c r="A23246" s="0" t="e">
        <f aca="false">INDEX(_xlfn.ORG.LIBREOFFICE.FOURIER({1,2,3,4},TRUE(),TRUE()),1,1)</f>
        <v>#VALUE!</v>
      </c>
      <c r="B23246" s="0" t="s">
        <v>23071</v>
      </c>
    </row>
    <row r="23247" customFormat="false" ht="15" hidden="false" customHeight="false" outlineLevel="0" collapsed="false">
      <c r="A23247" s="0" t="e">
        <f aca="false">INDEX(_xlfn.ORG.LIBREOFFICE.FOURIER({1,2,3,4},TRUE(),TRUE()),2,1)</f>
        <v>#VALUE!</v>
      </c>
      <c r="B23247" s="0" t="s">
        <v>23072</v>
      </c>
    </row>
    <row r="23248" customFormat="false" ht="15" hidden="false" customHeight="false" outlineLevel="0" collapsed="false">
      <c r="A23248" s="0" t="e">
        <f aca="false">INDEX(_xlfn.ORG.LIBREOFFICE.FOURIER({1,2,3,4},TRUE(),TRUE()),2,2)</f>
        <v>#VALUE!</v>
      </c>
      <c r="B23248" s="0" t="s">
        <v>23073</v>
      </c>
    </row>
    <row r="23249" customFormat="false" ht="15" hidden="false" customHeight="false" outlineLevel="0" collapsed="false">
      <c r="A23249" s="0" t="e">
        <f aca="false">INDEX(_xlfn.ORG.LIBREOFFICE.FOURIER({1,2,3,4},TRUE(),TRUE()),3,2)</f>
        <v>#VALUE!</v>
      </c>
      <c r="B23249" s="0" t="s">
        <v>23074</v>
      </c>
    </row>
    <row r="23250" customFormat="false" ht="15" hidden="false" customHeight="false" outlineLevel="0" collapsed="false">
      <c r="A23250" s="0" t="e">
        <f aca="false">INDEX(_xlfn.ORG.LIBREOFFICE.FOURIER({1,2,3,4},TRUE(),TRUE()),ROWS(_xlfn.ORG.LIBREOFFICE.FOURIER({1,2,3,4},TRUE(),TRUE())),1)</f>
        <v>#VALUE!</v>
      </c>
      <c r="B23250" s="0" t="s">
        <v>23075</v>
      </c>
    </row>
    <row r="23251" customFormat="false" ht="15" hidden="false" customHeight="false" outlineLevel="0" collapsed="false">
      <c r="A23251" s="0" t="e">
        <f aca="false">INDEX(_xlfn.ORG.LIBREOFFICE.FOURIER({1,2,3,4},TRUE(),TRUE()),ROWS(_xlfn.ORG.LIBREOFFICE.FOURIER({1,2,3,4},TRUE(),TRUE())),2)</f>
        <v>#VALUE!</v>
      </c>
      <c r="B23251" s="0" t="s">
        <v>23076</v>
      </c>
    </row>
    <row r="23252" customFormat="false" ht="15" hidden="false" customHeight="false" outlineLevel="0" collapsed="false">
      <c r="A23252" s="0" t="e">
        <f aca="false">SUM(_xlfn.ORG.LIBREOFFICE.FOURIER({1,2,3,4},TRUE(),FALSE(),TRUE()))</f>
        <v>#VALUE!</v>
      </c>
      <c r="B23252" s="0" t="s">
        <v>23077</v>
      </c>
    </row>
    <row r="23253" customFormat="false" ht="15" hidden="false" customHeight="false" outlineLevel="0" collapsed="false">
      <c r="A23253" s="0" t="e">
        <f aca="false">INDEX(_xlfn.ORG.LIBREOFFICE.FOURIER({1,2,3,4},TRUE(),FALSE(),TRUE()),1,1)</f>
        <v>#VALUE!</v>
      </c>
      <c r="B23253" s="0" t="s">
        <v>23078</v>
      </c>
    </row>
    <row r="23254" customFormat="false" ht="15" hidden="false" customHeight="false" outlineLevel="0" collapsed="false">
      <c r="A23254" s="0" t="e">
        <f aca="false">INDEX(_xlfn.ORG.LIBREOFFICE.FOURIER({1,2,3,4},TRUE(),FALSE(),TRUE()),2,1)</f>
        <v>#VALUE!</v>
      </c>
      <c r="B23254" s="0" t="s">
        <v>23079</v>
      </c>
    </row>
    <row r="23255" customFormat="false" ht="15" hidden="false" customHeight="false" outlineLevel="0" collapsed="false">
      <c r="A23255" s="0" t="e">
        <f aca="false">INDEX(_xlfn.ORG.LIBREOFFICE.FOURIER({1,2,3,4},TRUE(),FALSE(),TRUE()),2,2)</f>
        <v>#VALUE!</v>
      </c>
      <c r="B23255" s="0" t="s">
        <v>23080</v>
      </c>
    </row>
    <row r="23256" customFormat="false" ht="15" hidden="false" customHeight="false" outlineLevel="0" collapsed="false">
      <c r="A23256" s="0" t="e">
        <f aca="false">INDEX(_xlfn.ORG.LIBREOFFICE.FOURIER({1,2,3,4},TRUE(),FALSE(),TRUE()),3,2)</f>
        <v>#VALUE!</v>
      </c>
      <c r="B23256" s="0" t="s">
        <v>23081</v>
      </c>
    </row>
    <row r="23257" customFormat="false" ht="15" hidden="false" customHeight="false" outlineLevel="0" collapsed="false">
      <c r="A23257" s="0" t="e">
        <f aca="false">INDEX(_xlfn.ORG.LIBREOFFICE.FOURIER({1,2,3,4},TRUE(),FALSE(),TRUE()),ROWS(_xlfn.ORG.LIBREOFFICE.FOURIER({1,2,3,4},TRUE(),FALSE(),TRUE())),1)</f>
        <v>#VALUE!</v>
      </c>
      <c r="B23257" s="0" t="s">
        <v>23082</v>
      </c>
    </row>
    <row r="23258" customFormat="false" ht="15" hidden="false" customHeight="false" outlineLevel="0" collapsed="false">
      <c r="A23258" s="0" t="e">
        <f aca="false">INDEX(_xlfn.ORG.LIBREOFFICE.FOURIER({1,2,3,4},TRUE(),FALSE(),TRUE()),ROWS(_xlfn.ORG.LIBREOFFICE.FOURIER({1,2,3,4},TRUE(),FALSE(),TRUE())),2)</f>
        <v>#VALUE!</v>
      </c>
      <c r="B23258" s="0" t="s">
        <v>23083</v>
      </c>
    </row>
    <row r="23259" customFormat="false" ht="15" hidden="false" customHeight="false" outlineLevel="0" collapsed="false">
      <c r="A23259" s="0" t="e">
        <f aca="false">SUM(_xlfn.ORG.LIBREOFFICE.FOURIER({1,2,3,4},TRUE(),TRUE(),TRUE()))</f>
        <v>#VALUE!</v>
      </c>
      <c r="B23259" s="0" t="s">
        <v>23084</v>
      </c>
    </row>
    <row r="23260" customFormat="false" ht="15" hidden="false" customHeight="false" outlineLevel="0" collapsed="false">
      <c r="A23260" s="0" t="e">
        <f aca="false">INDEX(_xlfn.ORG.LIBREOFFICE.FOURIER({1,2,3,4},TRUE(),TRUE(),TRUE()),1,1)</f>
        <v>#VALUE!</v>
      </c>
      <c r="B23260" s="0" t="s">
        <v>23085</v>
      </c>
    </row>
    <row r="23261" customFormat="false" ht="15" hidden="false" customHeight="false" outlineLevel="0" collapsed="false">
      <c r="A23261" s="0" t="e">
        <f aca="false">INDEX(_xlfn.ORG.LIBREOFFICE.FOURIER({1,2,3,4},TRUE(),TRUE(),TRUE()),2,1)</f>
        <v>#VALUE!</v>
      </c>
      <c r="B23261" s="0" t="s">
        <v>23086</v>
      </c>
    </row>
    <row r="23262" customFormat="false" ht="15" hidden="false" customHeight="false" outlineLevel="0" collapsed="false">
      <c r="A23262" s="0" t="e">
        <f aca="false">INDEX(_xlfn.ORG.LIBREOFFICE.FOURIER({1,2,3,4},TRUE(),TRUE(),TRUE()),2,2)</f>
        <v>#VALUE!</v>
      </c>
      <c r="B23262" s="0" t="s">
        <v>23087</v>
      </c>
    </row>
    <row r="23263" customFormat="false" ht="15" hidden="false" customHeight="false" outlineLevel="0" collapsed="false">
      <c r="A23263" s="0" t="e">
        <f aca="false">INDEX(_xlfn.ORG.LIBREOFFICE.FOURIER({1,2,3,4},TRUE(),TRUE(),TRUE()),3,2)</f>
        <v>#VALUE!</v>
      </c>
      <c r="B23263" s="0" t="s">
        <v>23088</v>
      </c>
    </row>
    <row r="23264" customFormat="false" ht="15" hidden="false" customHeight="false" outlineLevel="0" collapsed="false">
      <c r="A23264" s="0" t="e">
        <f aca="false">INDEX(_xlfn.ORG.LIBREOFFICE.FOURIER({1,2,3,4},TRUE(),TRUE(),TRUE()),ROWS(_xlfn.ORG.LIBREOFFICE.FOURIER({1,2,3,4},TRUE(),TRUE(),TRUE())),1)</f>
        <v>#VALUE!</v>
      </c>
      <c r="B23264" s="0" t="s">
        <v>23089</v>
      </c>
    </row>
    <row r="23265" customFormat="false" ht="15" hidden="false" customHeight="false" outlineLevel="0" collapsed="false">
      <c r="A23265" s="0" t="e">
        <f aca="false">INDEX(_xlfn.ORG.LIBREOFFICE.FOURIER({1,2,3,4},TRUE(),TRUE(),TRUE()),ROWS(_xlfn.ORG.LIBREOFFICE.FOURIER({1,2,3,4},TRUE(),TRUE(),TRUE())),2)</f>
        <v>#VALUE!</v>
      </c>
      <c r="B23265" s="0" t="s">
        <v>23090</v>
      </c>
    </row>
    <row r="23266" customFormat="false" ht="15" hidden="false" customHeight="false" outlineLevel="0" collapsed="false">
      <c r="A23266" s="0" t="e">
        <f aca="false">SUM(_xlfn.ORG.LIBREOFFICE.FOURIER({1,2,3,4},TRUE(),FALSE(),TRUE(),1))</f>
        <v>#VALUE!</v>
      </c>
      <c r="B23266" s="0" t="s">
        <v>23091</v>
      </c>
    </row>
    <row r="23267" customFormat="false" ht="15" hidden="false" customHeight="false" outlineLevel="0" collapsed="false">
      <c r="A23267" s="0" t="e">
        <f aca="false">INDEX(_xlfn.ORG.LIBREOFFICE.FOURIER({1,2,3,4},TRUE(),FALSE(),TRUE(),1),1,1)</f>
        <v>#VALUE!</v>
      </c>
      <c r="B23267" s="0" t="s">
        <v>23092</v>
      </c>
    </row>
    <row r="23268" customFormat="false" ht="15" hidden="false" customHeight="false" outlineLevel="0" collapsed="false">
      <c r="A23268" s="0" t="e">
        <f aca="false">INDEX(_xlfn.ORG.LIBREOFFICE.FOURIER({1,2,3,4},TRUE(),FALSE(),TRUE(),1),2,1)</f>
        <v>#VALUE!</v>
      </c>
      <c r="B23268" s="0" t="s">
        <v>23093</v>
      </c>
    </row>
    <row r="23269" customFormat="false" ht="15" hidden="false" customHeight="false" outlineLevel="0" collapsed="false">
      <c r="A23269" s="0" t="e">
        <f aca="false">INDEX(_xlfn.ORG.LIBREOFFICE.FOURIER({1,2,3,4},TRUE(),FALSE(),TRUE(),1),2,2)</f>
        <v>#VALUE!</v>
      </c>
      <c r="B23269" s="0" t="s">
        <v>23094</v>
      </c>
    </row>
    <row r="23270" customFormat="false" ht="15" hidden="false" customHeight="false" outlineLevel="0" collapsed="false">
      <c r="A23270" s="0" t="e">
        <f aca="false">INDEX(_xlfn.ORG.LIBREOFFICE.FOURIER({1,2,3,4},TRUE(),FALSE(),TRUE(),1),3,2)</f>
        <v>#VALUE!</v>
      </c>
      <c r="B23270" s="0" t="s">
        <v>23095</v>
      </c>
    </row>
    <row r="23271" customFormat="false" ht="15" hidden="false" customHeight="false" outlineLevel="0" collapsed="false">
      <c r="A23271" s="0" t="e">
        <f aca="false">INDEX(_xlfn.ORG.LIBREOFFICE.FOURIER({1,2,3,4},TRUE(),FALSE(),TRUE(),1),ROWS(_xlfn.ORG.LIBREOFFICE.FOURIER({1,2,3,4},TRUE(),FALSE(),TRUE(),1)),1)</f>
        <v>#VALUE!</v>
      </c>
      <c r="B23271" s="0" t="s">
        <v>23096</v>
      </c>
    </row>
    <row r="23272" customFormat="false" ht="15" hidden="false" customHeight="false" outlineLevel="0" collapsed="false">
      <c r="A23272" s="0" t="e">
        <f aca="false">INDEX(_xlfn.ORG.LIBREOFFICE.FOURIER({1,2,3,4},TRUE(),FALSE(),TRUE(),1),ROWS(_xlfn.ORG.LIBREOFFICE.FOURIER({1,2,3,4},TRUE(),FALSE(),TRUE(),1)),2)</f>
        <v>#VALUE!</v>
      </c>
      <c r="B23272" s="0" t="s">
        <v>23097</v>
      </c>
    </row>
    <row r="23273" customFormat="false" ht="15" hidden="false" customHeight="false" outlineLevel="0" collapsed="false">
      <c r="A23273" s="0" t="e">
        <f aca="false">SUM(_xlfn.ORG.LIBREOFFICE.FOURIER({1,2,3,4},TRUE(),TRUE(),TRUE(),5))</f>
        <v>#VALUE!</v>
      </c>
      <c r="B23273" s="0" t="s">
        <v>23098</v>
      </c>
    </row>
    <row r="23274" customFormat="false" ht="15" hidden="false" customHeight="false" outlineLevel="0" collapsed="false">
      <c r="A23274" s="0" t="e">
        <f aca="false">INDEX(_xlfn.ORG.LIBREOFFICE.FOURIER({1,2,3,4},TRUE(),TRUE(),TRUE(),5),1,1)</f>
        <v>#VALUE!</v>
      </c>
      <c r="B23274" s="0" t="s">
        <v>23099</v>
      </c>
    </row>
    <row r="23275" customFormat="false" ht="15" hidden="false" customHeight="false" outlineLevel="0" collapsed="false">
      <c r="A23275" s="0" t="e">
        <f aca="false">INDEX(_xlfn.ORG.LIBREOFFICE.FOURIER({1,2,3,4},TRUE(),TRUE(),TRUE(),5),2,1)</f>
        <v>#VALUE!</v>
      </c>
      <c r="B23275" s="0" t="s">
        <v>23100</v>
      </c>
    </row>
    <row r="23276" customFormat="false" ht="15" hidden="false" customHeight="false" outlineLevel="0" collapsed="false">
      <c r="A23276" s="0" t="e">
        <f aca="false">INDEX(_xlfn.ORG.LIBREOFFICE.FOURIER({1,2,3,4},TRUE(),TRUE(),TRUE(),5),2,2)</f>
        <v>#VALUE!</v>
      </c>
      <c r="B23276" s="0" t="s">
        <v>23101</v>
      </c>
    </row>
    <row r="23277" customFormat="false" ht="15" hidden="false" customHeight="false" outlineLevel="0" collapsed="false">
      <c r="A23277" s="0" t="e">
        <f aca="false">INDEX(_xlfn.ORG.LIBREOFFICE.FOURIER({1,2,3,4},TRUE(),TRUE(),TRUE(),5),3,2)</f>
        <v>#VALUE!</v>
      </c>
      <c r="B23277" s="0" t="s">
        <v>23102</v>
      </c>
    </row>
    <row r="23278" customFormat="false" ht="15" hidden="false" customHeight="false" outlineLevel="0" collapsed="false">
      <c r="A23278" s="0" t="e">
        <f aca="false">INDEX(_xlfn.ORG.LIBREOFFICE.FOURIER({1,2,3,4},TRUE(),TRUE(),TRUE(),5),ROWS(_xlfn.ORG.LIBREOFFICE.FOURIER({1,2,3,4},TRUE(),TRUE(),TRUE(),5)),1)</f>
        <v>#VALUE!</v>
      </c>
      <c r="B23278" s="0" t="s">
        <v>23103</v>
      </c>
    </row>
    <row r="23279" customFormat="false" ht="15" hidden="false" customHeight="false" outlineLevel="0" collapsed="false">
      <c r="A23279" s="0" t="e">
        <f aca="false">INDEX(_xlfn.ORG.LIBREOFFICE.FOURIER({1,2,3,4},TRUE(),TRUE(),TRUE(),5),ROWS(_xlfn.ORG.LIBREOFFICE.FOURIER({1,2,3,4},TRUE(),TRUE(),TRUE(),5)),2)</f>
        <v>#VALUE!</v>
      </c>
      <c r="B23279" s="0" t="s">
        <v>23104</v>
      </c>
    </row>
    <row r="23280" customFormat="false" ht="15" hidden="false" customHeight="false" outlineLevel="0" collapsed="false">
      <c r="A23280" s="0" t="e">
        <f aca="false">ROWS(_xlfn.ORG.LIBREOFFICE.FOURIER(TRANSPOSE({1,2,3,4}),FALSE()))</f>
        <v>#VALUE!</v>
      </c>
      <c r="B23280" s="0" t="s">
        <v>23105</v>
      </c>
    </row>
    <row r="23281" customFormat="false" ht="15" hidden="false" customHeight="false" outlineLevel="0" collapsed="false">
      <c r="A23281" s="0" t="e">
        <f aca="false">COLUMNS(_xlfn.ORG.LIBREOFFICE.FOURIER(TRANSPOSE({1,2,3,4}),FALSE()))</f>
        <v>#VALUE!</v>
      </c>
      <c r="B23281" s="0" t="s">
        <v>23106</v>
      </c>
    </row>
    <row r="23282" customFormat="false" ht="15" hidden="false" customHeight="false" outlineLevel="0" collapsed="false">
      <c r="A23282" s="0" t="e">
        <f aca="false">SUM(_xlfn.ORG.LIBREOFFICE.FOURIER(TRANSPOSE({1,2,3,4}),FALSE()))</f>
        <v>#VALUE!</v>
      </c>
      <c r="B23282" s="0" t="s">
        <v>23107</v>
      </c>
    </row>
    <row r="23283" customFormat="false" ht="15" hidden="false" customHeight="false" outlineLevel="0" collapsed="false">
      <c r="A23283" s="0" t="e">
        <f aca="false">INDEX(_xlfn.ORG.LIBREOFFICE.FOURIER(TRANSPOSE({1,2,3,4}),FALSE()),1,1)</f>
        <v>#VALUE!</v>
      </c>
      <c r="B23283" s="0" t="s">
        <v>23108</v>
      </c>
    </row>
    <row r="23284" customFormat="false" ht="15" hidden="false" customHeight="false" outlineLevel="0" collapsed="false">
      <c r="A23284" s="0" t="e">
        <f aca="false">INDEX(_xlfn.ORG.LIBREOFFICE.FOURIER(TRANSPOSE({1,2,3,4}),FALSE()),2,1)</f>
        <v>#VALUE!</v>
      </c>
      <c r="B23284" s="0" t="s">
        <v>23109</v>
      </c>
    </row>
    <row r="23285" customFormat="false" ht="15" hidden="false" customHeight="false" outlineLevel="0" collapsed="false">
      <c r="A23285" s="0" t="e">
        <f aca="false">INDEX(_xlfn.ORG.LIBREOFFICE.FOURIER(TRANSPOSE({1,2,3,4}),FALSE()),2,2)</f>
        <v>#VALUE!</v>
      </c>
      <c r="B23285" s="0" t="s">
        <v>23110</v>
      </c>
    </row>
    <row r="23286" customFormat="false" ht="15" hidden="false" customHeight="false" outlineLevel="0" collapsed="false">
      <c r="A23286" s="0" t="e">
        <f aca="false">INDEX(_xlfn.ORG.LIBREOFFICE.FOURIER(TRANSPOSE({1,2,3,4}),FALSE()),3,2)</f>
        <v>#VALUE!</v>
      </c>
      <c r="B23286" s="0" t="s">
        <v>23111</v>
      </c>
    </row>
    <row r="23287" customFormat="false" ht="15" hidden="false" customHeight="false" outlineLevel="0" collapsed="false">
      <c r="A23287" s="0" t="e">
        <f aca="false">INDEX(_xlfn.ORG.LIBREOFFICE.FOURIER(TRANSPOSE({1,2,3,4}),FALSE()),ROWS(_xlfn.ORG.LIBREOFFICE.FOURIER(TRANSPOSE({1,2,3,4}),FALSE())),1)</f>
        <v>#VALUE!</v>
      </c>
      <c r="B23287" s="0" t="s">
        <v>23112</v>
      </c>
    </row>
    <row r="23288" customFormat="false" ht="15" hidden="false" customHeight="false" outlineLevel="0" collapsed="false">
      <c r="A23288" s="0" t="e">
        <f aca="false">INDEX(_xlfn.ORG.LIBREOFFICE.FOURIER(TRANSPOSE({1,2,3,4}),FALSE()),ROWS(_xlfn.ORG.LIBREOFFICE.FOURIER(TRANSPOSE({1,2,3,4}),FALSE())),2)</f>
        <v>#VALUE!</v>
      </c>
      <c r="B23288" s="0" t="s">
        <v>23113</v>
      </c>
    </row>
    <row r="23289" customFormat="false" ht="15" hidden="false" customHeight="false" outlineLevel="0" collapsed="false">
      <c r="A23289" s="0" t="e">
        <f aca="false">SUM(_xlfn.ORG.LIBREOFFICE.FOURIER(TRANSPOSE({1,2,3,4}),FALSE(),TRUE()))</f>
        <v>#VALUE!</v>
      </c>
      <c r="B23289" s="0" t="s">
        <v>23114</v>
      </c>
    </row>
    <row r="23290" customFormat="false" ht="15" hidden="false" customHeight="false" outlineLevel="0" collapsed="false">
      <c r="A23290" s="0" t="e">
        <f aca="false">INDEX(_xlfn.ORG.LIBREOFFICE.FOURIER(TRANSPOSE({1,2,3,4}),FALSE(),TRUE()),1,1)</f>
        <v>#VALUE!</v>
      </c>
      <c r="B23290" s="0" t="s">
        <v>23115</v>
      </c>
    </row>
    <row r="23291" customFormat="false" ht="15" hidden="false" customHeight="false" outlineLevel="0" collapsed="false">
      <c r="A23291" s="0" t="e">
        <f aca="false">INDEX(_xlfn.ORG.LIBREOFFICE.FOURIER(TRANSPOSE({1,2,3,4}),FALSE(),TRUE()),2,1)</f>
        <v>#VALUE!</v>
      </c>
      <c r="B23291" s="0" t="s">
        <v>23116</v>
      </c>
    </row>
    <row r="23292" customFormat="false" ht="15" hidden="false" customHeight="false" outlineLevel="0" collapsed="false">
      <c r="A23292" s="0" t="e">
        <f aca="false">INDEX(_xlfn.ORG.LIBREOFFICE.FOURIER(TRANSPOSE({1,2,3,4}),FALSE(),TRUE()),2,2)</f>
        <v>#VALUE!</v>
      </c>
      <c r="B23292" s="0" t="s">
        <v>23117</v>
      </c>
    </row>
    <row r="23293" customFormat="false" ht="15" hidden="false" customHeight="false" outlineLevel="0" collapsed="false">
      <c r="A23293" s="0" t="e">
        <f aca="false">INDEX(_xlfn.ORG.LIBREOFFICE.FOURIER(TRANSPOSE({1,2,3,4}),FALSE(),TRUE()),3,2)</f>
        <v>#VALUE!</v>
      </c>
      <c r="B23293" s="0" t="s">
        <v>23118</v>
      </c>
    </row>
    <row r="23294" customFormat="false" ht="15" hidden="false" customHeight="false" outlineLevel="0" collapsed="false">
      <c r="A23294" s="0" t="e">
        <f aca="false">INDEX(_xlfn.ORG.LIBREOFFICE.FOURIER(TRANSPOSE({1,2,3,4}),FALSE(),TRUE()),ROWS(_xlfn.ORG.LIBREOFFICE.FOURIER(TRANSPOSE({1,2,3,4}),FALSE(),TRUE())),1)</f>
        <v>#VALUE!</v>
      </c>
      <c r="B23294" s="0" t="s">
        <v>23119</v>
      </c>
    </row>
    <row r="23295" customFormat="false" ht="15" hidden="false" customHeight="false" outlineLevel="0" collapsed="false">
      <c r="A23295" s="0" t="e">
        <f aca="false">INDEX(_xlfn.ORG.LIBREOFFICE.FOURIER(TRANSPOSE({1,2,3,4}),FALSE(),TRUE()),ROWS(_xlfn.ORG.LIBREOFFICE.FOURIER(TRANSPOSE({1,2,3,4}),FALSE(),TRUE())),2)</f>
        <v>#VALUE!</v>
      </c>
      <c r="B23295" s="0" t="s">
        <v>23120</v>
      </c>
    </row>
    <row r="23296" customFormat="false" ht="15" hidden="false" customHeight="false" outlineLevel="0" collapsed="false">
      <c r="A23296" s="0" t="e">
        <f aca="false">SUM(_xlfn.ORG.LIBREOFFICE.FOURIER(TRANSPOSE({1,2,3,4}),FALSE(),FALSE(),TRUE()))</f>
        <v>#VALUE!</v>
      </c>
      <c r="B23296" s="0" t="s">
        <v>23121</v>
      </c>
    </row>
    <row r="23297" customFormat="false" ht="15" hidden="false" customHeight="false" outlineLevel="0" collapsed="false">
      <c r="A23297" s="0" t="e">
        <f aca="false">INDEX(_xlfn.ORG.LIBREOFFICE.FOURIER(TRANSPOSE({1,2,3,4}),FALSE(),FALSE(),TRUE()),1,1)</f>
        <v>#VALUE!</v>
      </c>
      <c r="B23297" s="0" t="s">
        <v>23122</v>
      </c>
    </row>
    <row r="23298" customFormat="false" ht="15" hidden="false" customHeight="false" outlineLevel="0" collapsed="false">
      <c r="A23298" s="0" t="e">
        <f aca="false">INDEX(_xlfn.ORG.LIBREOFFICE.FOURIER(TRANSPOSE({1,2,3,4}),FALSE(),FALSE(),TRUE()),2,1)</f>
        <v>#VALUE!</v>
      </c>
      <c r="B23298" s="0" t="s">
        <v>23123</v>
      </c>
    </row>
    <row r="23299" customFormat="false" ht="15" hidden="false" customHeight="false" outlineLevel="0" collapsed="false">
      <c r="A23299" s="0" t="e">
        <f aca="false">INDEX(_xlfn.ORG.LIBREOFFICE.FOURIER(TRANSPOSE({1,2,3,4}),FALSE(),FALSE(),TRUE()),2,2)</f>
        <v>#VALUE!</v>
      </c>
      <c r="B23299" s="0" t="s">
        <v>23124</v>
      </c>
    </row>
    <row r="23300" customFormat="false" ht="15" hidden="false" customHeight="false" outlineLevel="0" collapsed="false">
      <c r="A23300" s="0" t="e">
        <f aca="false">INDEX(_xlfn.ORG.LIBREOFFICE.FOURIER(TRANSPOSE({1,2,3,4}),FALSE(),FALSE(),TRUE()),3,2)</f>
        <v>#VALUE!</v>
      </c>
      <c r="B23300" s="0" t="s">
        <v>23125</v>
      </c>
    </row>
    <row r="23301" customFormat="false" ht="15" hidden="false" customHeight="false" outlineLevel="0" collapsed="false">
      <c r="A23301" s="0" t="e">
        <f aca="false">INDEX(_xlfn.ORG.LIBREOFFICE.FOURIER(TRANSPOSE({1,2,3,4}),FALSE(),FALSE(),TRUE()),ROWS(_xlfn.ORG.LIBREOFFICE.FOURIER(TRANSPOSE({1,2,3,4}),FALSE(),FALSE(),TRUE())),1)</f>
        <v>#VALUE!</v>
      </c>
      <c r="B23301" s="0" t="s">
        <v>23126</v>
      </c>
    </row>
    <row r="23302" customFormat="false" ht="15" hidden="false" customHeight="false" outlineLevel="0" collapsed="false">
      <c r="A23302" s="0" t="e">
        <f aca="false">INDEX(_xlfn.ORG.LIBREOFFICE.FOURIER(TRANSPOSE({1,2,3,4}),FALSE(),FALSE(),TRUE()),ROWS(_xlfn.ORG.LIBREOFFICE.FOURIER(TRANSPOSE({1,2,3,4}),FALSE(),FALSE(),TRUE())),2)</f>
        <v>#VALUE!</v>
      </c>
      <c r="B23302" s="0" t="s">
        <v>23127</v>
      </c>
    </row>
    <row r="23303" customFormat="false" ht="15" hidden="false" customHeight="false" outlineLevel="0" collapsed="false">
      <c r="A23303" s="0" t="e">
        <f aca="false">SUM(_xlfn.ORG.LIBREOFFICE.FOURIER(TRANSPOSE({1,2,3,4}),FALSE(),TRUE(),TRUE()))</f>
        <v>#VALUE!</v>
      </c>
      <c r="B23303" s="0" t="s">
        <v>23128</v>
      </c>
    </row>
    <row r="23304" customFormat="false" ht="15" hidden="false" customHeight="false" outlineLevel="0" collapsed="false">
      <c r="A23304" s="0" t="e">
        <f aca="false">INDEX(_xlfn.ORG.LIBREOFFICE.FOURIER(TRANSPOSE({1,2,3,4}),FALSE(),TRUE(),TRUE()),1,1)</f>
        <v>#VALUE!</v>
      </c>
      <c r="B23304" s="0" t="s">
        <v>23129</v>
      </c>
    </row>
    <row r="23305" customFormat="false" ht="15" hidden="false" customHeight="false" outlineLevel="0" collapsed="false">
      <c r="A23305" s="0" t="e">
        <f aca="false">INDEX(_xlfn.ORG.LIBREOFFICE.FOURIER(TRANSPOSE({1,2,3,4}),FALSE(),TRUE(),TRUE()),2,1)</f>
        <v>#VALUE!</v>
      </c>
      <c r="B23305" s="0" t="s">
        <v>23130</v>
      </c>
    </row>
    <row r="23306" customFormat="false" ht="15" hidden="false" customHeight="false" outlineLevel="0" collapsed="false">
      <c r="A23306" s="0" t="e">
        <f aca="false">INDEX(_xlfn.ORG.LIBREOFFICE.FOURIER(TRANSPOSE({1,2,3,4}),FALSE(),TRUE(),TRUE()),2,2)</f>
        <v>#VALUE!</v>
      </c>
      <c r="B23306" s="0" t="s">
        <v>23131</v>
      </c>
    </row>
    <row r="23307" customFormat="false" ht="15" hidden="false" customHeight="false" outlineLevel="0" collapsed="false">
      <c r="A23307" s="0" t="e">
        <f aca="false">INDEX(_xlfn.ORG.LIBREOFFICE.FOURIER(TRANSPOSE({1,2,3,4}),FALSE(),TRUE(),TRUE()),3,2)</f>
        <v>#VALUE!</v>
      </c>
      <c r="B23307" s="0" t="s">
        <v>23132</v>
      </c>
    </row>
    <row r="23308" customFormat="false" ht="15" hidden="false" customHeight="false" outlineLevel="0" collapsed="false">
      <c r="A23308" s="0" t="e">
        <f aca="false">INDEX(_xlfn.ORG.LIBREOFFICE.FOURIER(TRANSPOSE({1,2,3,4}),FALSE(),TRUE(),TRUE()),ROWS(_xlfn.ORG.LIBREOFFICE.FOURIER(TRANSPOSE({1,2,3,4}),FALSE(),TRUE(),TRUE())),1)</f>
        <v>#VALUE!</v>
      </c>
      <c r="B23308" s="0" t="s">
        <v>23133</v>
      </c>
    </row>
    <row r="23309" customFormat="false" ht="15" hidden="false" customHeight="false" outlineLevel="0" collapsed="false">
      <c r="A23309" s="0" t="e">
        <f aca="false">INDEX(_xlfn.ORG.LIBREOFFICE.FOURIER(TRANSPOSE({1,2,3,4}),FALSE(),TRUE(),TRUE()),ROWS(_xlfn.ORG.LIBREOFFICE.FOURIER(TRANSPOSE({1,2,3,4}),FALSE(),TRUE(),TRUE())),2)</f>
        <v>#VALUE!</v>
      </c>
      <c r="B23309" s="0" t="s">
        <v>23134</v>
      </c>
    </row>
    <row r="23310" customFormat="false" ht="15" hidden="false" customHeight="false" outlineLevel="0" collapsed="false">
      <c r="A23310" s="0" t="e">
        <f aca="false">SUM(_xlfn.ORG.LIBREOFFICE.FOURIER(TRANSPOSE({1,2,3,4}),FALSE(),FALSE(),TRUE(),1))</f>
        <v>#VALUE!</v>
      </c>
      <c r="B23310" s="0" t="s">
        <v>23135</v>
      </c>
    </row>
    <row r="23311" customFormat="false" ht="15" hidden="false" customHeight="false" outlineLevel="0" collapsed="false">
      <c r="A23311" s="0" t="e">
        <f aca="false">INDEX(_xlfn.ORG.LIBREOFFICE.FOURIER(TRANSPOSE({1,2,3,4}),FALSE(),FALSE(),TRUE(),1),1,1)</f>
        <v>#VALUE!</v>
      </c>
      <c r="B23311" s="0" t="s">
        <v>23136</v>
      </c>
    </row>
    <row r="23312" customFormat="false" ht="15" hidden="false" customHeight="false" outlineLevel="0" collapsed="false">
      <c r="A23312" s="0" t="e">
        <f aca="false">INDEX(_xlfn.ORG.LIBREOFFICE.FOURIER(TRANSPOSE({1,2,3,4}),FALSE(),FALSE(),TRUE(),1),2,1)</f>
        <v>#VALUE!</v>
      </c>
      <c r="B23312" s="0" t="s">
        <v>23137</v>
      </c>
    </row>
    <row r="23313" customFormat="false" ht="15" hidden="false" customHeight="false" outlineLevel="0" collapsed="false">
      <c r="A23313" s="0" t="e">
        <f aca="false">INDEX(_xlfn.ORG.LIBREOFFICE.FOURIER(TRANSPOSE({1,2,3,4}),FALSE(),FALSE(),TRUE(),1),2,2)</f>
        <v>#VALUE!</v>
      </c>
      <c r="B23313" s="0" t="s">
        <v>23138</v>
      </c>
    </row>
    <row r="23314" customFormat="false" ht="15" hidden="false" customHeight="false" outlineLevel="0" collapsed="false">
      <c r="A23314" s="0" t="e">
        <f aca="false">INDEX(_xlfn.ORG.LIBREOFFICE.FOURIER(TRANSPOSE({1,2,3,4}),FALSE(),FALSE(),TRUE(),1),3,2)</f>
        <v>#VALUE!</v>
      </c>
      <c r="B23314" s="0" t="s">
        <v>23139</v>
      </c>
    </row>
    <row r="23315" customFormat="false" ht="15" hidden="false" customHeight="false" outlineLevel="0" collapsed="false">
      <c r="A23315" s="0" t="e">
        <f aca="false">INDEX(_xlfn.ORG.LIBREOFFICE.FOURIER(TRANSPOSE({1,2,3,4}),FALSE(),FALSE(),TRUE(),1),ROWS(_xlfn.ORG.LIBREOFFICE.FOURIER(TRANSPOSE({1,2,3,4}),FALSE(),FALSE(),TRUE(),1)),1)</f>
        <v>#VALUE!</v>
      </c>
      <c r="B23315" s="0" t="s">
        <v>23140</v>
      </c>
    </row>
    <row r="23316" customFormat="false" ht="15" hidden="false" customHeight="false" outlineLevel="0" collapsed="false">
      <c r="A23316" s="0" t="e">
        <f aca="false">INDEX(_xlfn.ORG.LIBREOFFICE.FOURIER(TRANSPOSE({1,2,3,4}),FALSE(),FALSE(),TRUE(),1),ROWS(_xlfn.ORG.LIBREOFFICE.FOURIER(TRANSPOSE({1,2,3,4}),FALSE(),FALSE(),TRUE(),1)),2)</f>
        <v>#VALUE!</v>
      </c>
      <c r="B23316" s="0" t="s">
        <v>23141</v>
      </c>
    </row>
    <row r="23317" customFormat="false" ht="15" hidden="false" customHeight="false" outlineLevel="0" collapsed="false">
      <c r="A23317" s="0" t="e">
        <f aca="false">SUM(_xlfn.ORG.LIBREOFFICE.FOURIER(TRANSPOSE({1,2,3,4}),FALSE(),TRUE(),TRUE(),5))</f>
        <v>#VALUE!</v>
      </c>
      <c r="B23317" s="0" t="s">
        <v>23142</v>
      </c>
    </row>
    <row r="23318" customFormat="false" ht="15" hidden="false" customHeight="false" outlineLevel="0" collapsed="false">
      <c r="A23318" s="0" t="e">
        <f aca="false">INDEX(_xlfn.ORG.LIBREOFFICE.FOURIER(TRANSPOSE({1,2,3,4}),FALSE(),TRUE(),TRUE(),5),1,1)</f>
        <v>#VALUE!</v>
      </c>
      <c r="B23318" s="0" t="s">
        <v>23143</v>
      </c>
    </row>
    <row r="23319" customFormat="false" ht="15" hidden="false" customHeight="false" outlineLevel="0" collapsed="false">
      <c r="A23319" s="0" t="e">
        <f aca="false">INDEX(_xlfn.ORG.LIBREOFFICE.FOURIER(TRANSPOSE({1,2,3,4}),FALSE(),TRUE(),TRUE(),5),2,1)</f>
        <v>#VALUE!</v>
      </c>
      <c r="B23319" s="0" t="s">
        <v>23144</v>
      </c>
    </row>
    <row r="23320" customFormat="false" ht="15" hidden="false" customHeight="false" outlineLevel="0" collapsed="false">
      <c r="A23320" s="0" t="e">
        <f aca="false">INDEX(_xlfn.ORG.LIBREOFFICE.FOURIER(TRANSPOSE({1,2,3,4}),FALSE(),TRUE(),TRUE(),5),2,2)</f>
        <v>#VALUE!</v>
      </c>
      <c r="B23320" s="0" t="s">
        <v>23145</v>
      </c>
    </row>
    <row r="23321" customFormat="false" ht="15" hidden="false" customHeight="false" outlineLevel="0" collapsed="false">
      <c r="A23321" s="0" t="e">
        <f aca="false">INDEX(_xlfn.ORG.LIBREOFFICE.FOURIER(TRANSPOSE({1,2,3,4}),FALSE(),TRUE(),TRUE(),5),3,2)</f>
        <v>#VALUE!</v>
      </c>
      <c r="B23321" s="0" t="s">
        <v>23146</v>
      </c>
    </row>
    <row r="23322" customFormat="false" ht="15" hidden="false" customHeight="false" outlineLevel="0" collapsed="false">
      <c r="A23322" s="0" t="e">
        <f aca="false">INDEX(_xlfn.ORG.LIBREOFFICE.FOURIER(TRANSPOSE({1,2,3,4}),FALSE(),TRUE(),TRUE(),5),ROWS(_xlfn.ORG.LIBREOFFICE.FOURIER(TRANSPOSE({1,2,3,4}),FALSE(),TRUE(),TRUE(),5)),1)</f>
        <v>#VALUE!</v>
      </c>
      <c r="B23322" s="0" t="s">
        <v>23147</v>
      </c>
    </row>
    <row r="23323" customFormat="false" ht="15" hidden="false" customHeight="false" outlineLevel="0" collapsed="false">
      <c r="A23323" s="0" t="e">
        <f aca="false">INDEX(_xlfn.ORG.LIBREOFFICE.FOURIER(TRANSPOSE({1,2,3,4}),FALSE(),TRUE(),TRUE(),5),ROWS(_xlfn.ORG.LIBREOFFICE.FOURIER(TRANSPOSE({1,2,3,4}),FALSE(),TRUE(),TRUE(),5)),2)</f>
        <v>#VALUE!</v>
      </c>
      <c r="B23323" s="0" t="s">
        <v>23148</v>
      </c>
    </row>
    <row r="23324" customFormat="false" ht="15" hidden="false" customHeight="false" outlineLevel="0" collapsed="false">
      <c r="A23324" s="0" t="e">
        <f aca="false">ROWS(_xlfn.ORG.LIBREOFFICE.FOURIER({1,2,3,4,5,6,7,8},TRUE()))</f>
        <v>#VALUE!</v>
      </c>
      <c r="B23324" s="0" t="s">
        <v>23149</v>
      </c>
    </row>
    <row r="23325" customFormat="false" ht="15" hidden="false" customHeight="false" outlineLevel="0" collapsed="false">
      <c r="A23325" s="0" t="e">
        <f aca="false">COLUMNS(_xlfn.ORG.LIBREOFFICE.FOURIER({1,2,3,4,5,6,7,8},TRUE()))</f>
        <v>#VALUE!</v>
      </c>
      <c r="B23325" s="0" t="s">
        <v>23150</v>
      </c>
    </row>
    <row r="23326" customFormat="false" ht="15" hidden="false" customHeight="false" outlineLevel="0" collapsed="false">
      <c r="A23326" s="0" t="e">
        <f aca="false">SUM(_xlfn.ORG.LIBREOFFICE.FOURIER({1,2,3,4,5,6,7,8},TRUE()))</f>
        <v>#VALUE!</v>
      </c>
      <c r="B23326" s="0" t="s">
        <v>23151</v>
      </c>
    </row>
    <row r="23327" customFormat="false" ht="15" hidden="false" customHeight="false" outlineLevel="0" collapsed="false">
      <c r="A23327" s="0" t="e">
        <f aca="false">INDEX(_xlfn.ORG.LIBREOFFICE.FOURIER({1,2,3,4,5,6,7,8},TRUE()),1,1)</f>
        <v>#VALUE!</v>
      </c>
      <c r="B23327" s="0" t="s">
        <v>23152</v>
      </c>
    </row>
    <row r="23328" customFormat="false" ht="15" hidden="false" customHeight="false" outlineLevel="0" collapsed="false">
      <c r="A23328" s="0" t="e">
        <f aca="false">INDEX(_xlfn.ORG.LIBREOFFICE.FOURIER({1,2,3,4,5,6,7,8},TRUE()),2,1)</f>
        <v>#VALUE!</v>
      </c>
      <c r="B23328" s="0" t="s">
        <v>23153</v>
      </c>
    </row>
    <row r="23329" customFormat="false" ht="15" hidden="false" customHeight="false" outlineLevel="0" collapsed="false">
      <c r="A23329" s="0" t="e">
        <f aca="false">INDEX(_xlfn.ORG.LIBREOFFICE.FOURIER({1,2,3,4,5,6,7,8},TRUE()),2,2)</f>
        <v>#VALUE!</v>
      </c>
      <c r="B23329" s="0" t="s">
        <v>23154</v>
      </c>
    </row>
    <row r="23330" customFormat="false" ht="15" hidden="false" customHeight="false" outlineLevel="0" collapsed="false">
      <c r="A23330" s="0" t="e">
        <f aca="false">INDEX(_xlfn.ORG.LIBREOFFICE.FOURIER({1,2,3,4,5,6,7,8},TRUE()),3,2)</f>
        <v>#VALUE!</v>
      </c>
      <c r="B23330" s="0" t="s">
        <v>23155</v>
      </c>
    </row>
    <row r="23331" customFormat="false" ht="15" hidden="false" customHeight="false" outlineLevel="0" collapsed="false">
      <c r="A23331" s="0" t="e">
        <f aca="false">INDEX(_xlfn.ORG.LIBREOFFICE.FOURIER({1,2,3,4,5,6,7,8},TRUE()),ROWS(_xlfn.ORG.LIBREOFFICE.FOURIER({1,2,3,4,5,6,7,8},TRUE())),1)</f>
        <v>#VALUE!</v>
      </c>
      <c r="B23331" s="0" t="s">
        <v>23156</v>
      </c>
    </row>
    <row r="23332" customFormat="false" ht="15" hidden="false" customHeight="false" outlineLevel="0" collapsed="false">
      <c r="A23332" s="0" t="e">
        <f aca="false">INDEX(_xlfn.ORG.LIBREOFFICE.FOURIER({1,2,3,4,5,6,7,8},TRUE()),ROWS(_xlfn.ORG.LIBREOFFICE.FOURIER({1,2,3,4,5,6,7,8},TRUE())),2)</f>
        <v>#VALUE!</v>
      </c>
      <c r="B23332" s="0" t="s">
        <v>23157</v>
      </c>
    </row>
    <row r="23333" customFormat="false" ht="15" hidden="false" customHeight="false" outlineLevel="0" collapsed="false">
      <c r="A23333" s="0" t="e">
        <f aca="false">SUM(_xlfn.ORG.LIBREOFFICE.FOURIER({1,2,3,4,5,6,7,8},TRUE(),TRUE()))</f>
        <v>#VALUE!</v>
      </c>
      <c r="B23333" s="0" t="s">
        <v>23158</v>
      </c>
    </row>
    <row r="23334" customFormat="false" ht="15" hidden="false" customHeight="false" outlineLevel="0" collapsed="false">
      <c r="A23334" s="0" t="e">
        <f aca="false">INDEX(_xlfn.ORG.LIBREOFFICE.FOURIER({1,2,3,4,5,6,7,8},TRUE(),TRUE()),1,1)</f>
        <v>#VALUE!</v>
      </c>
      <c r="B23334" s="0" t="s">
        <v>23159</v>
      </c>
    </row>
    <row r="23335" customFormat="false" ht="15" hidden="false" customHeight="false" outlineLevel="0" collapsed="false">
      <c r="A23335" s="0" t="e">
        <f aca="false">INDEX(_xlfn.ORG.LIBREOFFICE.FOURIER({1,2,3,4,5,6,7,8},TRUE(),TRUE()),2,1)</f>
        <v>#VALUE!</v>
      </c>
      <c r="B23335" s="0" t="s">
        <v>23160</v>
      </c>
    </row>
    <row r="23336" customFormat="false" ht="15" hidden="false" customHeight="false" outlineLevel="0" collapsed="false">
      <c r="A23336" s="0" t="e">
        <f aca="false">INDEX(_xlfn.ORG.LIBREOFFICE.FOURIER({1,2,3,4,5,6,7,8},TRUE(),TRUE()),2,2)</f>
        <v>#VALUE!</v>
      </c>
      <c r="B23336" s="0" t="s">
        <v>23161</v>
      </c>
    </row>
    <row r="23337" customFormat="false" ht="15" hidden="false" customHeight="false" outlineLevel="0" collapsed="false">
      <c r="A23337" s="0" t="e">
        <f aca="false">INDEX(_xlfn.ORG.LIBREOFFICE.FOURIER({1,2,3,4,5,6,7,8},TRUE(),TRUE()),3,2)</f>
        <v>#VALUE!</v>
      </c>
      <c r="B23337" s="0" t="s">
        <v>23162</v>
      </c>
    </row>
    <row r="23338" customFormat="false" ht="15" hidden="false" customHeight="false" outlineLevel="0" collapsed="false">
      <c r="A23338" s="0" t="e">
        <f aca="false">INDEX(_xlfn.ORG.LIBREOFFICE.FOURIER({1,2,3,4,5,6,7,8},TRUE(),TRUE()),ROWS(_xlfn.ORG.LIBREOFFICE.FOURIER({1,2,3,4,5,6,7,8},TRUE(),TRUE())),1)</f>
        <v>#VALUE!</v>
      </c>
      <c r="B23338" s="0" t="s">
        <v>23163</v>
      </c>
    </row>
    <row r="23339" customFormat="false" ht="15" hidden="false" customHeight="false" outlineLevel="0" collapsed="false">
      <c r="A23339" s="0" t="e">
        <f aca="false">INDEX(_xlfn.ORG.LIBREOFFICE.FOURIER({1,2,3,4,5,6,7,8},TRUE(),TRUE()),ROWS(_xlfn.ORG.LIBREOFFICE.FOURIER({1,2,3,4,5,6,7,8},TRUE(),TRUE())),2)</f>
        <v>#VALUE!</v>
      </c>
      <c r="B23339" s="0" t="s">
        <v>23164</v>
      </c>
    </row>
    <row r="23340" customFormat="false" ht="15" hidden="false" customHeight="false" outlineLevel="0" collapsed="false">
      <c r="A23340" s="0" t="e">
        <f aca="false">SUM(_xlfn.ORG.LIBREOFFICE.FOURIER({1,2,3,4,5,6,7,8},TRUE(),FALSE(),TRUE()))</f>
        <v>#VALUE!</v>
      </c>
      <c r="B23340" s="0" t="s">
        <v>23165</v>
      </c>
    </row>
    <row r="23341" customFormat="false" ht="15" hidden="false" customHeight="false" outlineLevel="0" collapsed="false">
      <c r="A23341" s="0" t="e">
        <f aca="false">INDEX(_xlfn.ORG.LIBREOFFICE.FOURIER({1,2,3,4,5,6,7,8},TRUE(),FALSE(),TRUE()),1,1)</f>
        <v>#VALUE!</v>
      </c>
      <c r="B23341" s="0" t="s">
        <v>23166</v>
      </c>
    </row>
    <row r="23342" customFormat="false" ht="15" hidden="false" customHeight="false" outlineLevel="0" collapsed="false">
      <c r="A23342" s="0" t="e">
        <f aca="false">INDEX(_xlfn.ORG.LIBREOFFICE.FOURIER({1,2,3,4,5,6,7,8},TRUE(),FALSE(),TRUE()),2,1)</f>
        <v>#VALUE!</v>
      </c>
      <c r="B23342" s="0" t="s">
        <v>23167</v>
      </c>
    </row>
    <row r="23343" customFormat="false" ht="15" hidden="false" customHeight="false" outlineLevel="0" collapsed="false">
      <c r="A23343" s="0" t="e">
        <f aca="false">INDEX(_xlfn.ORG.LIBREOFFICE.FOURIER({1,2,3,4,5,6,7,8},TRUE(),FALSE(),TRUE()),2,2)</f>
        <v>#VALUE!</v>
      </c>
      <c r="B23343" s="0" t="s">
        <v>23168</v>
      </c>
    </row>
    <row r="23344" customFormat="false" ht="15" hidden="false" customHeight="false" outlineLevel="0" collapsed="false">
      <c r="A23344" s="0" t="e">
        <f aca="false">INDEX(_xlfn.ORG.LIBREOFFICE.FOURIER({1,2,3,4,5,6,7,8},TRUE(),FALSE(),TRUE()),3,2)</f>
        <v>#VALUE!</v>
      </c>
      <c r="B23344" s="0" t="s">
        <v>23169</v>
      </c>
    </row>
    <row r="23345" customFormat="false" ht="15" hidden="false" customHeight="false" outlineLevel="0" collapsed="false">
      <c r="A23345" s="0" t="e">
        <f aca="false">INDEX(_xlfn.ORG.LIBREOFFICE.FOURIER({1,2,3,4,5,6,7,8},TRUE(),FALSE(),TRUE()),ROWS(_xlfn.ORG.LIBREOFFICE.FOURIER({1,2,3,4,5,6,7,8},TRUE(),FALSE(),TRUE())),1)</f>
        <v>#VALUE!</v>
      </c>
      <c r="B23345" s="0" t="s">
        <v>23170</v>
      </c>
    </row>
    <row r="23346" customFormat="false" ht="15" hidden="false" customHeight="false" outlineLevel="0" collapsed="false">
      <c r="A23346" s="0" t="e">
        <f aca="false">INDEX(_xlfn.ORG.LIBREOFFICE.FOURIER({1,2,3,4,5,6,7,8},TRUE(),FALSE(),TRUE()),ROWS(_xlfn.ORG.LIBREOFFICE.FOURIER({1,2,3,4,5,6,7,8},TRUE(),FALSE(),TRUE())),2)</f>
        <v>#VALUE!</v>
      </c>
      <c r="B23346" s="0" t="s">
        <v>23171</v>
      </c>
    </row>
    <row r="23347" customFormat="false" ht="15" hidden="false" customHeight="false" outlineLevel="0" collapsed="false">
      <c r="A23347" s="0" t="e">
        <f aca="false">SUM(_xlfn.ORG.LIBREOFFICE.FOURIER({1,2,3,4,5,6,7,8},TRUE(),TRUE(),TRUE()))</f>
        <v>#VALUE!</v>
      </c>
      <c r="B23347" s="0" t="s">
        <v>23172</v>
      </c>
    </row>
    <row r="23348" customFormat="false" ht="15" hidden="false" customHeight="false" outlineLevel="0" collapsed="false">
      <c r="A23348" s="0" t="e">
        <f aca="false">INDEX(_xlfn.ORG.LIBREOFFICE.FOURIER({1,2,3,4,5,6,7,8},TRUE(),TRUE(),TRUE()),1,1)</f>
        <v>#VALUE!</v>
      </c>
      <c r="B23348" s="0" t="s">
        <v>23173</v>
      </c>
    </row>
    <row r="23349" customFormat="false" ht="15" hidden="false" customHeight="false" outlineLevel="0" collapsed="false">
      <c r="A23349" s="0" t="e">
        <f aca="false">INDEX(_xlfn.ORG.LIBREOFFICE.FOURIER({1,2,3,4,5,6,7,8},TRUE(),TRUE(),TRUE()),2,1)</f>
        <v>#VALUE!</v>
      </c>
      <c r="B23349" s="0" t="s">
        <v>23174</v>
      </c>
    </row>
    <row r="23350" customFormat="false" ht="15" hidden="false" customHeight="false" outlineLevel="0" collapsed="false">
      <c r="A23350" s="0" t="e">
        <f aca="false">INDEX(_xlfn.ORG.LIBREOFFICE.FOURIER({1,2,3,4,5,6,7,8},TRUE(),TRUE(),TRUE()),2,2)</f>
        <v>#VALUE!</v>
      </c>
      <c r="B23350" s="0" t="s">
        <v>23175</v>
      </c>
    </row>
    <row r="23351" customFormat="false" ht="15" hidden="false" customHeight="false" outlineLevel="0" collapsed="false">
      <c r="A23351" s="0" t="e">
        <f aca="false">INDEX(_xlfn.ORG.LIBREOFFICE.FOURIER({1,2,3,4,5,6,7,8},TRUE(),TRUE(),TRUE()),3,2)</f>
        <v>#VALUE!</v>
      </c>
      <c r="B23351" s="0" t="s">
        <v>23176</v>
      </c>
    </row>
    <row r="23352" customFormat="false" ht="15" hidden="false" customHeight="false" outlineLevel="0" collapsed="false">
      <c r="A23352" s="0" t="e">
        <f aca="false">INDEX(_xlfn.ORG.LIBREOFFICE.FOURIER({1,2,3,4,5,6,7,8},TRUE(),TRUE(),TRUE()),ROWS(_xlfn.ORG.LIBREOFFICE.FOURIER({1,2,3,4,5,6,7,8},TRUE(),TRUE(),TRUE())),1)</f>
        <v>#VALUE!</v>
      </c>
      <c r="B23352" s="0" t="s">
        <v>23177</v>
      </c>
    </row>
    <row r="23353" customFormat="false" ht="15" hidden="false" customHeight="false" outlineLevel="0" collapsed="false">
      <c r="A23353" s="0" t="e">
        <f aca="false">INDEX(_xlfn.ORG.LIBREOFFICE.FOURIER({1,2,3,4,5,6,7,8},TRUE(),TRUE(),TRUE()),ROWS(_xlfn.ORG.LIBREOFFICE.FOURIER({1,2,3,4,5,6,7,8},TRUE(),TRUE(),TRUE())),2)</f>
        <v>#VALUE!</v>
      </c>
      <c r="B23353" s="0" t="s">
        <v>23178</v>
      </c>
    </row>
    <row r="23354" customFormat="false" ht="15" hidden="false" customHeight="false" outlineLevel="0" collapsed="false">
      <c r="A23354" s="0" t="e">
        <f aca="false">SUM(_xlfn.ORG.LIBREOFFICE.FOURIER({1,2,3,4,5,6,7,8},TRUE(),FALSE(),TRUE(),1))</f>
        <v>#VALUE!</v>
      </c>
      <c r="B23354" s="0" t="s">
        <v>23179</v>
      </c>
    </row>
    <row r="23355" customFormat="false" ht="15" hidden="false" customHeight="false" outlineLevel="0" collapsed="false">
      <c r="A23355" s="0" t="e">
        <f aca="false">INDEX(_xlfn.ORG.LIBREOFFICE.FOURIER({1,2,3,4,5,6,7,8},TRUE(),FALSE(),TRUE(),1),1,1)</f>
        <v>#VALUE!</v>
      </c>
      <c r="B23355" s="0" t="s">
        <v>23180</v>
      </c>
    </row>
    <row r="23356" customFormat="false" ht="15" hidden="false" customHeight="false" outlineLevel="0" collapsed="false">
      <c r="A23356" s="0" t="e">
        <f aca="false">INDEX(_xlfn.ORG.LIBREOFFICE.FOURIER({1,2,3,4,5,6,7,8},TRUE(),FALSE(),TRUE(),1),2,1)</f>
        <v>#VALUE!</v>
      </c>
      <c r="B23356" s="0" t="s">
        <v>23181</v>
      </c>
    </row>
    <row r="23357" customFormat="false" ht="15" hidden="false" customHeight="false" outlineLevel="0" collapsed="false">
      <c r="A23357" s="0" t="e">
        <f aca="false">INDEX(_xlfn.ORG.LIBREOFFICE.FOURIER({1,2,3,4,5,6,7,8},TRUE(),FALSE(),TRUE(),1),2,2)</f>
        <v>#VALUE!</v>
      </c>
      <c r="B23357" s="0" t="s">
        <v>23182</v>
      </c>
    </row>
    <row r="23358" customFormat="false" ht="15" hidden="false" customHeight="false" outlineLevel="0" collapsed="false">
      <c r="A23358" s="0" t="e">
        <f aca="false">INDEX(_xlfn.ORG.LIBREOFFICE.FOURIER({1,2,3,4,5,6,7,8},TRUE(),FALSE(),TRUE(),1),3,2)</f>
        <v>#VALUE!</v>
      </c>
      <c r="B23358" s="0" t="s">
        <v>23183</v>
      </c>
    </row>
    <row r="23359" customFormat="false" ht="15" hidden="false" customHeight="false" outlineLevel="0" collapsed="false">
      <c r="A23359" s="0" t="e">
        <f aca="false">INDEX(_xlfn.ORG.LIBREOFFICE.FOURIER({1,2,3,4,5,6,7,8},TRUE(),FALSE(),TRUE(),1),ROWS(_xlfn.ORG.LIBREOFFICE.FOURIER({1,2,3,4,5,6,7,8},TRUE(),FALSE(),TRUE(),1)),1)</f>
        <v>#VALUE!</v>
      </c>
      <c r="B23359" s="0" t="s">
        <v>23184</v>
      </c>
    </row>
    <row r="23360" customFormat="false" ht="15" hidden="false" customHeight="false" outlineLevel="0" collapsed="false">
      <c r="A23360" s="0" t="e">
        <f aca="false">INDEX(_xlfn.ORG.LIBREOFFICE.FOURIER({1,2,3,4,5,6,7,8},TRUE(),FALSE(),TRUE(),1),ROWS(_xlfn.ORG.LIBREOFFICE.FOURIER({1,2,3,4,5,6,7,8},TRUE(),FALSE(),TRUE(),1)),2)</f>
        <v>#VALUE!</v>
      </c>
      <c r="B23360" s="0" t="s">
        <v>23185</v>
      </c>
    </row>
    <row r="23361" customFormat="false" ht="15" hidden="false" customHeight="false" outlineLevel="0" collapsed="false">
      <c r="A23361" s="0" t="e">
        <f aca="false">SUM(_xlfn.ORG.LIBREOFFICE.FOURIER({1,2,3,4,5,6,7,8},TRUE(),TRUE(),TRUE(),5))</f>
        <v>#VALUE!</v>
      </c>
      <c r="B23361" s="0" t="s">
        <v>23186</v>
      </c>
    </row>
    <row r="23362" customFormat="false" ht="15" hidden="false" customHeight="false" outlineLevel="0" collapsed="false">
      <c r="A23362" s="0" t="e">
        <f aca="false">INDEX(_xlfn.ORG.LIBREOFFICE.FOURIER({1,2,3,4,5,6,7,8},TRUE(),TRUE(),TRUE(),5),1,1)</f>
        <v>#VALUE!</v>
      </c>
      <c r="B23362" s="0" t="s">
        <v>23187</v>
      </c>
    </row>
    <row r="23363" customFormat="false" ht="15" hidden="false" customHeight="false" outlineLevel="0" collapsed="false">
      <c r="A23363" s="0" t="e">
        <f aca="false">INDEX(_xlfn.ORG.LIBREOFFICE.FOURIER({1,2,3,4,5,6,7,8},TRUE(),TRUE(),TRUE(),5),2,1)</f>
        <v>#VALUE!</v>
      </c>
      <c r="B23363" s="0" t="s">
        <v>23188</v>
      </c>
    </row>
    <row r="23364" customFormat="false" ht="15" hidden="false" customHeight="false" outlineLevel="0" collapsed="false">
      <c r="A23364" s="0" t="e">
        <f aca="false">INDEX(_xlfn.ORG.LIBREOFFICE.FOURIER({1,2,3,4,5,6,7,8},TRUE(),TRUE(),TRUE(),5),2,2)</f>
        <v>#VALUE!</v>
      </c>
      <c r="B23364" s="0" t="s">
        <v>23189</v>
      </c>
    </row>
    <row r="23365" customFormat="false" ht="15" hidden="false" customHeight="false" outlineLevel="0" collapsed="false">
      <c r="A23365" s="0" t="e">
        <f aca="false">INDEX(_xlfn.ORG.LIBREOFFICE.FOURIER({1,2,3,4,5,6,7,8},TRUE(),TRUE(),TRUE(),5),3,2)</f>
        <v>#VALUE!</v>
      </c>
      <c r="B23365" s="0" t="s">
        <v>23190</v>
      </c>
    </row>
    <row r="23366" customFormat="false" ht="15" hidden="false" customHeight="false" outlineLevel="0" collapsed="false">
      <c r="A23366" s="0" t="e">
        <f aca="false">INDEX(_xlfn.ORG.LIBREOFFICE.FOURIER({1,2,3,4,5,6,7,8},TRUE(),TRUE(),TRUE(),5),ROWS(_xlfn.ORG.LIBREOFFICE.FOURIER({1,2,3,4,5,6,7,8},TRUE(),TRUE(),TRUE(),5)),1)</f>
        <v>#VALUE!</v>
      </c>
      <c r="B23366" s="0" t="s">
        <v>23191</v>
      </c>
    </row>
    <row r="23367" customFormat="false" ht="15" hidden="false" customHeight="false" outlineLevel="0" collapsed="false">
      <c r="A23367" s="0" t="e">
        <f aca="false">INDEX(_xlfn.ORG.LIBREOFFICE.FOURIER({1,2,3,4,5,6,7,8},TRUE(),TRUE(),TRUE(),5),ROWS(_xlfn.ORG.LIBREOFFICE.FOURIER({1,2,3,4,5,6,7,8},TRUE(),TRUE(),TRUE(),5)),2)</f>
        <v>#VALUE!</v>
      </c>
      <c r="B23367" s="0" t="s">
        <v>23192</v>
      </c>
    </row>
    <row r="23368" customFormat="false" ht="15" hidden="false" customHeight="false" outlineLevel="0" collapsed="false">
      <c r="A23368" s="0" t="e">
        <f aca="false">ROWS(_xlfn.ORG.LIBREOFFICE.FOURIER(TRANSPOSE({1,2,3,4,5,6,7,8}),FALSE()))</f>
        <v>#VALUE!</v>
      </c>
      <c r="B23368" s="0" t="s">
        <v>23193</v>
      </c>
    </row>
    <row r="23369" customFormat="false" ht="15" hidden="false" customHeight="false" outlineLevel="0" collapsed="false">
      <c r="A23369" s="0" t="e">
        <f aca="false">COLUMNS(_xlfn.ORG.LIBREOFFICE.FOURIER(TRANSPOSE({1,2,3,4,5,6,7,8}),FALSE()))</f>
        <v>#VALUE!</v>
      </c>
      <c r="B23369" s="0" t="s">
        <v>23194</v>
      </c>
    </row>
    <row r="23370" customFormat="false" ht="15" hidden="false" customHeight="false" outlineLevel="0" collapsed="false">
      <c r="A23370" s="0" t="e">
        <f aca="false">SUM(_xlfn.ORG.LIBREOFFICE.FOURIER(TRANSPOSE({1,2,3,4,5,6,7,8}),FALSE()))</f>
        <v>#VALUE!</v>
      </c>
      <c r="B23370" s="0" t="s">
        <v>23195</v>
      </c>
    </row>
    <row r="23371" customFormat="false" ht="15" hidden="false" customHeight="false" outlineLevel="0" collapsed="false">
      <c r="A23371" s="0" t="e">
        <f aca="false">INDEX(_xlfn.ORG.LIBREOFFICE.FOURIER(TRANSPOSE({1,2,3,4,5,6,7,8}),FALSE()),1,1)</f>
        <v>#VALUE!</v>
      </c>
      <c r="B23371" s="0" t="s">
        <v>23196</v>
      </c>
    </row>
    <row r="23372" customFormat="false" ht="15" hidden="false" customHeight="false" outlineLevel="0" collapsed="false">
      <c r="A23372" s="0" t="e">
        <f aca="false">INDEX(_xlfn.ORG.LIBREOFFICE.FOURIER(TRANSPOSE({1,2,3,4,5,6,7,8}),FALSE()),2,1)</f>
        <v>#VALUE!</v>
      </c>
      <c r="B23372" s="0" t="s">
        <v>23197</v>
      </c>
    </row>
    <row r="23373" customFormat="false" ht="15" hidden="false" customHeight="false" outlineLevel="0" collapsed="false">
      <c r="A23373" s="0" t="e">
        <f aca="false">INDEX(_xlfn.ORG.LIBREOFFICE.FOURIER(TRANSPOSE({1,2,3,4,5,6,7,8}),FALSE()),2,2)</f>
        <v>#VALUE!</v>
      </c>
      <c r="B23373" s="0" t="s">
        <v>23198</v>
      </c>
    </row>
    <row r="23374" customFormat="false" ht="15" hidden="false" customHeight="false" outlineLevel="0" collapsed="false">
      <c r="A23374" s="0" t="e">
        <f aca="false">INDEX(_xlfn.ORG.LIBREOFFICE.FOURIER(TRANSPOSE({1,2,3,4,5,6,7,8}),FALSE()),3,2)</f>
        <v>#VALUE!</v>
      </c>
      <c r="B23374" s="0" t="s">
        <v>23199</v>
      </c>
    </row>
    <row r="23375" customFormat="false" ht="15" hidden="false" customHeight="false" outlineLevel="0" collapsed="false">
      <c r="A23375" s="0" t="e">
        <f aca="false">INDEX(_xlfn.ORG.LIBREOFFICE.FOURIER(TRANSPOSE({1,2,3,4,5,6,7,8}),FALSE()),ROWS(_xlfn.ORG.LIBREOFFICE.FOURIER(TRANSPOSE({1,2,3,4,5,6,7,8}),FALSE())),1)</f>
        <v>#VALUE!</v>
      </c>
      <c r="B23375" s="0" t="s">
        <v>23200</v>
      </c>
    </row>
    <row r="23376" customFormat="false" ht="15" hidden="false" customHeight="false" outlineLevel="0" collapsed="false">
      <c r="A23376" s="0" t="e">
        <f aca="false">INDEX(_xlfn.ORG.LIBREOFFICE.FOURIER(TRANSPOSE({1,2,3,4,5,6,7,8}),FALSE()),ROWS(_xlfn.ORG.LIBREOFFICE.FOURIER(TRANSPOSE({1,2,3,4,5,6,7,8}),FALSE())),2)</f>
        <v>#VALUE!</v>
      </c>
      <c r="B23376" s="0" t="s">
        <v>23201</v>
      </c>
    </row>
    <row r="23377" customFormat="false" ht="15" hidden="false" customHeight="false" outlineLevel="0" collapsed="false">
      <c r="A23377" s="0" t="e">
        <f aca="false">SUM(_xlfn.ORG.LIBREOFFICE.FOURIER(TRANSPOSE({1,2,3,4,5,6,7,8}),FALSE(),TRUE()))</f>
        <v>#VALUE!</v>
      </c>
      <c r="B23377" s="0" t="s">
        <v>23202</v>
      </c>
    </row>
    <row r="23378" customFormat="false" ht="15" hidden="false" customHeight="false" outlineLevel="0" collapsed="false">
      <c r="A23378" s="0" t="e">
        <f aca="false">INDEX(_xlfn.ORG.LIBREOFFICE.FOURIER(TRANSPOSE({1,2,3,4,5,6,7,8}),FALSE(),TRUE()),1,1)</f>
        <v>#VALUE!</v>
      </c>
      <c r="B23378" s="0" t="s">
        <v>23203</v>
      </c>
    </row>
    <row r="23379" customFormat="false" ht="15" hidden="false" customHeight="false" outlineLevel="0" collapsed="false">
      <c r="A23379" s="0" t="e">
        <f aca="false">INDEX(_xlfn.ORG.LIBREOFFICE.FOURIER(TRANSPOSE({1,2,3,4,5,6,7,8}),FALSE(),TRUE()),2,1)</f>
        <v>#VALUE!</v>
      </c>
      <c r="B23379" s="0" t="s">
        <v>23204</v>
      </c>
    </row>
    <row r="23380" customFormat="false" ht="15" hidden="false" customHeight="false" outlineLevel="0" collapsed="false">
      <c r="A23380" s="0" t="e">
        <f aca="false">INDEX(_xlfn.ORG.LIBREOFFICE.FOURIER(TRANSPOSE({1,2,3,4,5,6,7,8}),FALSE(),TRUE()),2,2)</f>
        <v>#VALUE!</v>
      </c>
      <c r="B23380" s="0" t="s">
        <v>23205</v>
      </c>
    </row>
    <row r="23381" customFormat="false" ht="15" hidden="false" customHeight="false" outlineLevel="0" collapsed="false">
      <c r="A23381" s="0" t="e">
        <f aca="false">INDEX(_xlfn.ORG.LIBREOFFICE.FOURIER(TRANSPOSE({1,2,3,4,5,6,7,8}),FALSE(),TRUE()),3,2)</f>
        <v>#VALUE!</v>
      </c>
      <c r="B23381" s="0" t="s">
        <v>23206</v>
      </c>
    </row>
    <row r="23382" customFormat="false" ht="15" hidden="false" customHeight="false" outlineLevel="0" collapsed="false">
      <c r="A23382" s="0" t="e">
        <f aca="false">INDEX(_xlfn.ORG.LIBREOFFICE.FOURIER(TRANSPOSE({1,2,3,4,5,6,7,8}),FALSE(),TRUE()),ROWS(_xlfn.ORG.LIBREOFFICE.FOURIER(TRANSPOSE({1,2,3,4,5,6,7,8}),FALSE(),TRUE())),1)</f>
        <v>#VALUE!</v>
      </c>
      <c r="B23382" s="0" t="s">
        <v>23207</v>
      </c>
    </row>
    <row r="23383" customFormat="false" ht="15" hidden="false" customHeight="false" outlineLevel="0" collapsed="false">
      <c r="A23383" s="0" t="e">
        <f aca="false">INDEX(_xlfn.ORG.LIBREOFFICE.FOURIER(TRANSPOSE({1,2,3,4,5,6,7,8}),FALSE(),TRUE()),ROWS(_xlfn.ORG.LIBREOFFICE.FOURIER(TRANSPOSE({1,2,3,4,5,6,7,8}),FALSE(),TRUE())),2)</f>
        <v>#VALUE!</v>
      </c>
      <c r="B23383" s="0" t="s">
        <v>23208</v>
      </c>
    </row>
    <row r="23384" customFormat="false" ht="15" hidden="false" customHeight="false" outlineLevel="0" collapsed="false">
      <c r="A23384" s="0" t="e">
        <f aca="false">SUM(_xlfn.ORG.LIBREOFFICE.FOURIER(TRANSPOSE({1,2,3,4,5,6,7,8}),FALSE(),FALSE(),TRUE()))</f>
        <v>#VALUE!</v>
      </c>
      <c r="B23384" s="0" t="s">
        <v>23209</v>
      </c>
    </row>
    <row r="23385" customFormat="false" ht="15" hidden="false" customHeight="false" outlineLevel="0" collapsed="false">
      <c r="A23385" s="0" t="e">
        <f aca="false">INDEX(_xlfn.ORG.LIBREOFFICE.FOURIER(TRANSPOSE({1,2,3,4,5,6,7,8}),FALSE(),FALSE(),TRUE()),1,1)</f>
        <v>#VALUE!</v>
      </c>
      <c r="B23385" s="0" t="s">
        <v>23210</v>
      </c>
    </row>
    <row r="23386" customFormat="false" ht="15" hidden="false" customHeight="false" outlineLevel="0" collapsed="false">
      <c r="A23386" s="0" t="e">
        <f aca="false">INDEX(_xlfn.ORG.LIBREOFFICE.FOURIER(TRANSPOSE({1,2,3,4,5,6,7,8}),FALSE(),FALSE(),TRUE()),2,1)</f>
        <v>#VALUE!</v>
      </c>
      <c r="B23386" s="0" t="s">
        <v>23211</v>
      </c>
    </row>
    <row r="23387" customFormat="false" ht="15" hidden="false" customHeight="false" outlineLevel="0" collapsed="false">
      <c r="A23387" s="0" t="e">
        <f aca="false">INDEX(_xlfn.ORG.LIBREOFFICE.FOURIER(TRANSPOSE({1,2,3,4,5,6,7,8}),FALSE(),FALSE(),TRUE()),2,2)</f>
        <v>#VALUE!</v>
      </c>
      <c r="B23387" s="0" t="s">
        <v>23212</v>
      </c>
    </row>
    <row r="23388" customFormat="false" ht="15" hidden="false" customHeight="false" outlineLevel="0" collapsed="false">
      <c r="A23388" s="0" t="e">
        <f aca="false">INDEX(_xlfn.ORG.LIBREOFFICE.FOURIER(TRANSPOSE({1,2,3,4,5,6,7,8}),FALSE(),FALSE(),TRUE()),3,2)</f>
        <v>#VALUE!</v>
      </c>
      <c r="B23388" s="0" t="s">
        <v>23213</v>
      </c>
    </row>
    <row r="23389" customFormat="false" ht="15" hidden="false" customHeight="false" outlineLevel="0" collapsed="false">
      <c r="A23389" s="0" t="e">
        <f aca="false">INDEX(_xlfn.ORG.LIBREOFFICE.FOURIER(TRANSPOSE({1,2,3,4,5,6,7,8}),FALSE(),FALSE(),TRUE()),ROWS(_xlfn.ORG.LIBREOFFICE.FOURIER(TRANSPOSE({1,2,3,4,5,6,7,8}),FALSE(),FALSE(),TRUE())),1)</f>
        <v>#VALUE!</v>
      </c>
      <c r="B23389" s="0" t="s">
        <v>23214</v>
      </c>
    </row>
    <row r="23390" customFormat="false" ht="15" hidden="false" customHeight="false" outlineLevel="0" collapsed="false">
      <c r="A23390" s="0" t="e">
        <f aca="false">INDEX(_xlfn.ORG.LIBREOFFICE.FOURIER(TRANSPOSE({1,2,3,4,5,6,7,8}),FALSE(),FALSE(),TRUE()),ROWS(_xlfn.ORG.LIBREOFFICE.FOURIER(TRANSPOSE({1,2,3,4,5,6,7,8}),FALSE(),FALSE(),TRUE())),2)</f>
        <v>#VALUE!</v>
      </c>
      <c r="B23390" s="0" t="s">
        <v>23215</v>
      </c>
    </row>
    <row r="23391" customFormat="false" ht="15" hidden="false" customHeight="false" outlineLevel="0" collapsed="false">
      <c r="A23391" s="0" t="e">
        <f aca="false">SUM(_xlfn.ORG.LIBREOFFICE.FOURIER(TRANSPOSE({1,2,3,4,5,6,7,8}),FALSE(),TRUE(),TRUE()))</f>
        <v>#VALUE!</v>
      </c>
      <c r="B23391" s="0" t="s">
        <v>23216</v>
      </c>
    </row>
    <row r="23392" customFormat="false" ht="15" hidden="false" customHeight="false" outlineLevel="0" collapsed="false">
      <c r="A23392" s="0" t="e">
        <f aca="false">INDEX(_xlfn.ORG.LIBREOFFICE.FOURIER(TRANSPOSE({1,2,3,4,5,6,7,8}),FALSE(),TRUE(),TRUE()),1,1)</f>
        <v>#VALUE!</v>
      </c>
      <c r="B23392" s="0" t="s">
        <v>23217</v>
      </c>
    </row>
    <row r="23393" customFormat="false" ht="15" hidden="false" customHeight="false" outlineLevel="0" collapsed="false">
      <c r="A23393" s="0" t="e">
        <f aca="false">INDEX(_xlfn.ORG.LIBREOFFICE.FOURIER(TRANSPOSE({1,2,3,4,5,6,7,8}),FALSE(),TRUE(),TRUE()),2,1)</f>
        <v>#VALUE!</v>
      </c>
      <c r="B23393" s="0" t="s">
        <v>23218</v>
      </c>
    </row>
    <row r="23394" customFormat="false" ht="15" hidden="false" customHeight="false" outlineLevel="0" collapsed="false">
      <c r="A23394" s="0" t="e">
        <f aca="false">INDEX(_xlfn.ORG.LIBREOFFICE.FOURIER(TRANSPOSE({1,2,3,4,5,6,7,8}),FALSE(),TRUE(),TRUE()),2,2)</f>
        <v>#VALUE!</v>
      </c>
      <c r="B23394" s="0" t="s">
        <v>23219</v>
      </c>
    </row>
    <row r="23395" customFormat="false" ht="15" hidden="false" customHeight="false" outlineLevel="0" collapsed="false">
      <c r="A23395" s="0" t="e">
        <f aca="false">INDEX(_xlfn.ORG.LIBREOFFICE.FOURIER(TRANSPOSE({1,2,3,4,5,6,7,8}),FALSE(),TRUE(),TRUE()),3,2)</f>
        <v>#VALUE!</v>
      </c>
      <c r="B23395" s="0" t="s">
        <v>23220</v>
      </c>
    </row>
    <row r="23396" customFormat="false" ht="15" hidden="false" customHeight="false" outlineLevel="0" collapsed="false">
      <c r="A23396" s="0" t="e">
        <f aca="false">INDEX(_xlfn.ORG.LIBREOFFICE.FOURIER(TRANSPOSE({1,2,3,4,5,6,7,8}),FALSE(),TRUE(),TRUE()),ROWS(_xlfn.ORG.LIBREOFFICE.FOURIER(TRANSPOSE({1,2,3,4,5,6,7,8}),FALSE(),TRUE(),TRUE())),1)</f>
        <v>#VALUE!</v>
      </c>
      <c r="B23396" s="0" t="s">
        <v>23221</v>
      </c>
    </row>
    <row r="23397" customFormat="false" ht="15" hidden="false" customHeight="false" outlineLevel="0" collapsed="false">
      <c r="A23397" s="0" t="e">
        <f aca="false">INDEX(_xlfn.ORG.LIBREOFFICE.FOURIER(TRANSPOSE({1,2,3,4,5,6,7,8}),FALSE(),TRUE(),TRUE()),ROWS(_xlfn.ORG.LIBREOFFICE.FOURIER(TRANSPOSE({1,2,3,4,5,6,7,8}),FALSE(),TRUE(),TRUE())),2)</f>
        <v>#VALUE!</v>
      </c>
      <c r="B23397" s="0" t="s">
        <v>23222</v>
      </c>
    </row>
    <row r="23398" customFormat="false" ht="15" hidden="false" customHeight="false" outlineLevel="0" collapsed="false">
      <c r="A23398" s="0" t="e">
        <f aca="false">SUM(_xlfn.ORG.LIBREOFFICE.FOURIER(TRANSPOSE({1,2,3,4,5,6,7,8}),FALSE(),FALSE(),TRUE(),1))</f>
        <v>#VALUE!</v>
      </c>
      <c r="B23398" s="0" t="s">
        <v>23223</v>
      </c>
    </row>
    <row r="23399" customFormat="false" ht="15" hidden="false" customHeight="false" outlineLevel="0" collapsed="false">
      <c r="A23399" s="0" t="e">
        <f aca="false">INDEX(_xlfn.ORG.LIBREOFFICE.FOURIER(TRANSPOSE({1,2,3,4,5,6,7,8}),FALSE(),FALSE(),TRUE(),1),1,1)</f>
        <v>#VALUE!</v>
      </c>
      <c r="B23399" s="0" t="s">
        <v>23224</v>
      </c>
    </row>
    <row r="23400" customFormat="false" ht="15" hidden="false" customHeight="false" outlineLevel="0" collapsed="false">
      <c r="A23400" s="0" t="e">
        <f aca="false">INDEX(_xlfn.ORG.LIBREOFFICE.FOURIER(TRANSPOSE({1,2,3,4,5,6,7,8}),FALSE(),FALSE(),TRUE(),1),2,1)</f>
        <v>#VALUE!</v>
      </c>
      <c r="B23400" s="0" t="s">
        <v>23225</v>
      </c>
    </row>
    <row r="23401" customFormat="false" ht="15" hidden="false" customHeight="false" outlineLevel="0" collapsed="false">
      <c r="A23401" s="0" t="e">
        <f aca="false">INDEX(_xlfn.ORG.LIBREOFFICE.FOURIER(TRANSPOSE({1,2,3,4,5,6,7,8}),FALSE(),FALSE(),TRUE(),1),2,2)</f>
        <v>#VALUE!</v>
      </c>
      <c r="B23401" s="0" t="s">
        <v>23226</v>
      </c>
    </row>
    <row r="23402" customFormat="false" ht="15" hidden="false" customHeight="false" outlineLevel="0" collapsed="false">
      <c r="A23402" s="0" t="e">
        <f aca="false">INDEX(_xlfn.ORG.LIBREOFFICE.FOURIER(TRANSPOSE({1,2,3,4,5,6,7,8}),FALSE(),FALSE(),TRUE(),1),3,2)</f>
        <v>#VALUE!</v>
      </c>
      <c r="B23402" s="0" t="s">
        <v>23227</v>
      </c>
    </row>
    <row r="23403" customFormat="false" ht="15" hidden="false" customHeight="false" outlineLevel="0" collapsed="false">
      <c r="A23403" s="0" t="e">
        <f aca="false">INDEX(_xlfn.ORG.LIBREOFFICE.FOURIER(TRANSPOSE({1,2,3,4,5,6,7,8}),FALSE(),FALSE(),TRUE(),1),ROWS(_xlfn.ORG.LIBREOFFICE.FOURIER(TRANSPOSE({1,2,3,4,5,6,7,8}),FALSE(),FALSE(),TRUE(),1)),1)</f>
        <v>#VALUE!</v>
      </c>
      <c r="B23403" s="0" t="s">
        <v>23228</v>
      </c>
    </row>
    <row r="23404" customFormat="false" ht="15" hidden="false" customHeight="false" outlineLevel="0" collapsed="false">
      <c r="A23404" s="0" t="e">
        <f aca="false">INDEX(_xlfn.ORG.LIBREOFFICE.FOURIER(TRANSPOSE({1,2,3,4,5,6,7,8}),FALSE(),FALSE(),TRUE(),1),ROWS(_xlfn.ORG.LIBREOFFICE.FOURIER(TRANSPOSE({1,2,3,4,5,6,7,8}),FALSE(),FALSE(),TRUE(),1)),2)</f>
        <v>#VALUE!</v>
      </c>
      <c r="B23404" s="0" t="s">
        <v>23229</v>
      </c>
    </row>
    <row r="23405" customFormat="false" ht="15" hidden="false" customHeight="false" outlineLevel="0" collapsed="false">
      <c r="A23405" s="0" t="e">
        <f aca="false">SUM(_xlfn.ORG.LIBREOFFICE.FOURIER(TRANSPOSE({1,2,3,4,5,6,7,8}),FALSE(),TRUE(),TRUE(),5))</f>
        <v>#VALUE!</v>
      </c>
      <c r="B23405" s="0" t="s">
        <v>23230</v>
      </c>
    </row>
    <row r="23406" customFormat="false" ht="15" hidden="false" customHeight="false" outlineLevel="0" collapsed="false">
      <c r="A23406" s="0" t="e">
        <f aca="false">INDEX(_xlfn.ORG.LIBREOFFICE.FOURIER(TRANSPOSE({1,2,3,4,5,6,7,8}),FALSE(),TRUE(),TRUE(),5),1,1)</f>
        <v>#VALUE!</v>
      </c>
      <c r="B23406" s="0" t="s">
        <v>23231</v>
      </c>
    </row>
    <row r="23407" customFormat="false" ht="15" hidden="false" customHeight="false" outlineLevel="0" collapsed="false">
      <c r="A23407" s="0" t="e">
        <f aca="false">INDEX(_xlfn.ORG.LIBREOFFICE.FOURIER(TRANSPOSE({1,2,3,4,5,6,7,8}),FALSE(),TRUE(),TRUE(),5),2,1)</f>
        <v>#VALUE!</v>
      </c>
      <c r="B23407" s="0" t="s">
        <v>23232</v>
      </c>
    </row>
    <row r="23408" customFormat="false" ht="15" hidden="false" customHeight="false" outlineLevel="0" collapsed="false">
      <c r="A23408" s="0" t="e">
        <f aca="false">INDEX(_xlfn.ORG.LIBREOFFICE.FOURIER(TRANSPOSE({1,2,3,4,5,6,7,8}),FALSE(),TRUE(),TRUE(),5),2,2)</f>
        <v>#VALUE!</v>
      </c>
      <c r="B23408" s="0" t="s">
        <v>23233</v>
      </c>
    </row>
    <row r="23409" customFormat="false" ht="15" hidden="false" customHeight="false" outlineLevel="0" collapsed="false">
      <c r="A23409" s="0" t="e">
        <f aca="false">INDEX(_xlfn.ORG.LIBREOFFICE.FOURIER(TRANSPOSE({1,2,3,4,5,6,7,8}),FALSE(),TRUE(),TRUE(),5),3,2)</f>
        <v>#VALUE!</v>
      </c>
      <c r="B23409" s="0" t="s">
        <v>23234</v>
      </c>
    </row>
    <row r="23410" customFormat="false" ht="15" hidden="false" customHeight="false" outlineLevel="0" collapsed="false">
      <c r="A23410" s="0" t="e">
        <f aca="false">INDEX(_xlfn.ORG.LIBREOFFICE.FOURIER(TRANSPOSE({1,2,3,4,5,6,7,8}),FALSE(),TRUE(),TRUE(),5),ROWS(_xlfn.ORG.LIBREOFFICE.FOURIER(TRANSPOSE({1,2,3,4,5,6,7,8}),FALSE(),TRUE(),TRUE(),5)),1)</f>
        <v>#VALUE!</v>
      </c>
      <c r="B23410" s="0" t="s">
        <v>23235</v>
      </c>
    </row>
    <row r="23411" customFormat="false" ht="15" hidden="false" customHeight="false" outlineLevel="0" collapsed="false">
      <c r="A23411" s="0" t="e">
        <f aca="false">INDEX(_xlfn.ORG.LIBREOFFICE.FOURIER(TRANSPOSE({1,2,3,4,5,6,7,8}),FALSE(),TRUE(),TRUE(),5),ROWS(_xlfn.ORG.LIBREOFFICE.FOURIER(TRANSPOSE({1,2,3,4,5,6,7,8}),FALSE(),TRUE(),TRUE(),5)),2)</f>
        <v>#VALUE!</v>
      </c>
      <c r="B23411" s="0" t="s">
        <v>23236</v>
      </c>
    </row>
    <row r="23412" customFormat="false" ht="15" hidden="false" customHeight="false" outlineLevel="0" collapsed="false">
      <c r="A23412" s="0" t="e">
        <f aca="false">ROWS(_xlfn.ORG.LIBREOFFICE.FOURIER({1,2,3,4,5,6},TRUE()))</f>
        <v>#VALUE!</v>
      </c>
      <c r="B23412" s="0" t="s">
        <v>23237</v>
      </c>
    </row>
    <row r="23413" customFormat="false" ht="15" hidden="false" customHeight="false" outlineLevel="0" collapsed="false">
      <c r="A23413" s="0" t="e">
        <f aca="false">COLUMNS(_xlfn.ORG.LIBREOFFICE.FOURIER({1,2,3,4,5,6},TRUE()))</f>
        <v>#VALUE!</v>
      </c>
      <c r="B23413" s="0" t="s">
        <v>23238</v>
      </c>
    </row>
    <row r="23414" customFormat="false" ht="15" hidden="false" customHeight="false" outlineLevel="0" collapsed="false">
      <c r="A23414" s="0" t="e">
        <f aca="false">SUM(_xlfn.ORG.LIBREOFFICE.FOURIER({1,2,3,4,5,6},TRUE()))</f>
        <v>#VALUE!</v>
      </c>
      <c r="B23414" s="0" t="s">
        <v>23239</v>
      </c>
    </row>
    <row r="23415" customFormat="false" ht="15" hidden="false" customHeight="false" outlineLevel="0" collapsed="false">
      <c r="A23415" s="0" t="e">
        <f aca="false">INDEX(_xlfn.ORG.LIBREOFFICE.FOURIER({1,2,3,4,5,6},TRUE()),1,1)</f>
        <v>#VALUE!</v>
      </c>
      <c r="B23415" s="0" t="s">
        <v>23240</v>
      </c>
    </row>
    <row r="23416" customFormat="false" ht="15" hidden="false" customHeight="false" outlineLevel="0" collapsed="false">
      <c r="A23416" s="0" t="e">
        <f aca="false">INDEX(_xlfn.ORG.LIBREOFFICE.FOURIER({1,2,3,4,5,6},TRUE()),2,1)</f>
        <v>#VALUE!</v>
      </c>
      <c r="B23416" s="0" t="s">
        <v>23241</v>
      </c>
    </row>
    <row r="23417" customFormat="false" ht="15" hidden="false" customHeight="false" outlineLevel="0" collapsed="false">
      <c r="A23417" s="0" t="e">
        <f aca="false">INDEX(_xlfn.ORG.LIBREOFFICE.FOURIER({1,2,3,4,5,6},TRUE()),2,2)</f>
        <v>#VALUE!</v>
      </c>
      <c r="B23417" s="0" t="s">
        <v>23242</v>
      </c>
    </row>
    <row r="23418" customFormat="false" ht="15" hidden="false" customHeight="false" outlineLevel="0" collapsed="false">
      <c r="A23418" s="0" t="e">
        <f aca="false">INDEX(_xlfn.ORG.LIBREOFFICE.FOURIER({1,2,3,4,5,6},TRUE()),3,2)</f>
        <v>#VALUE!</v>
      </c>
      <c r="B23418" s="0" t="s">
        <v>23243</v>
      </c>
    </row>
    <row r="23419" customFormat="false" ht="15" hidden="false" customHeight="false" outlineLevel="0" collapsed="false">
      <c r="A23419" s="0" t="e">
        <f aca="false">INDEX(_xlfn.ORG.LIBREOFFICE.FOURIER({1,2,3,4,5,6},TRUE()),ROWS(_xlfn.ORG.LIBREOFFICE.FOURIER({1,2,3,4,5,6},TRUE())),1)</f>
        <v>#VALUE!</v>
      </c>
      <c r="B23419" s="0" t="s">
        <v>23244</v>
      </c>
    </row>
    <row r="23420" customFormat="false" ht="15" hidden="false" customHeight="false" outlineLevel="0" collapsed="false">
      <c r="A23420" s="0" t="e">
        <f aca="false">INDEX(_xlfn.ORG.LIBREOFFICE.FOURIER({1,2,3,4,5,6},TRUE()),ROWS(_xlfn.ORG.LIBREOFFICE.FOURIER({1,2,3,4,5,6},TRUE())),2)</f>
        <v>#VALUE!</v>
      </c>
      <c r="B23420" s="0" t="s">
        <v>23245</v>
      </c>
    </row>
    <row r="23421" customFormat="false" ht="15" hidden="false" customHeight="false" outlineLevel="0" collapsed="false">
      <c r="A23421" s="0" t="e">
        <f aca="false">SUM(_xlfn.ORG.LIBREOFFICE.FOURIER({1,2,3,4,5,6},TRUE(),TRUE()))</f>
        <v>#VALUE!</v>
      </c>
      <c r="B23421" s="0" t="s">
        <v>23246</v>
      </c>
    </row>
    <row r="23422" customFormat="false" ht="15" hidden="false" customHeight="false" outlineLevel="0" collapsed="false">
      <c r="A23422" s="0" t="e">
        <f aca="false">INDEX(_xlfn.ORG.LIBREOFFICE.FOURIER({1,2,3,4,5,6},TRUE(),TRUE()),1,1)</f>
        <v>#VALUE!</v>
      </c>
      <c r="B23422" s="0" t="s">
        <v>23247</v>
      </c>
    </row>
    <row r="23423" customFormat="false" ht="15" hidden="false" customHeight="false" outlineLevel="0" collapsed="false">
      <c r="A23423" s="0" t="e">
        <f aca="false">INDEX(_xlfn.ORG.LIBREOFFICE.FOURIER({1,2,3,4,5,6},TRUE(),TRUE()),2,1)</f>
        <v>#VALUE!</v>
      </c>
      <c r="B23423" s="0" t="s">
        <v>23248</v>
      </c>
    </row>
    <row r="23424" customFormat="false" ht="15" hidden="false" customHeight="false" outlineLevel="0" collapsed="false">
      <c r="A23424" s="0" t="e">
        <f aca="false">INDEX(_xlfn.ORG.LIBREOFFICE.FOURIER({1,2,3,4,5,6},TRUE(),TRUE()),2,2)</f>
        <v>#VALUE!</v>
      </c>
      <c r="B23424" s="0" t="s">
        <v>23249</v>
      </c>
    </row>
    <row r="23425" customFormat="false" ht="15" hidden="false" customHeight="false" outlineLevel="0" collapsed="false">
      <c r="A23425" s="0" t="e">
        <f aca="false">INDEX(_xlfn.ORG.LIBREOFFICE.FOURIER({1,2,3,4,5,6},TRUE(),TRUE()),3,2)</f>
        <v>#VALUE!</v>
      </c>
      <c r="B23425" s="0" t="s">
        <v>23250</v>
      </c>
    </row>
    <row r="23426" customFormat="false" ht="15" hidden="false" customHeight="false" outlineLevel="0" collapsed="false">
      <c r="A23426" s="0" t="e">
        <f aca="false">INDEX(_xlfn.ORG.LIBREOFFICE.FOURIER({1,2,3,4,5,6},TRUE(),TRUE()),ROWS(_xlfn.ORG.LIBREOFFICE.FOURIER({1,2,3,4,5,6},TRUE(),TRUE())),1)</f>
        <v>#VALUE!</v>
      </c>
      <c r="B23426" s="0" t="s">
        <v>23251</v>
      </c>
    </row>
    <row r="23427" customFormat="false" ht="15" hidden="false" customHeight="false" outlineLevel="0" collapsed="false">
      <c r="A23427" s="0" t="e">
        <f aca="false">INDEX(_xlfn.ORG.LIBREOFFICE.FOURIER({1,2,3,4,5,6},TRUE(),TRUE()),ROWS(_xlfn.ORG.LIBREOFFICE.FOURIER({1,2,3,4,5,6},TRUE(),TRUE())),2)</f>
        <v>#VALUE!</v>
      </c>
      <c r="B23427" s="0" t="s">
        <v>23252</v>
      </c>
    </row>
    <row r="23428" customFormat="false" ht="15" hidden="false" customHeight="false" outlineLevel="0" collapsed="false">
      <c r="A23428" s="0" t="e">
        <f aca="false">SUM(_xlfn.ORG.LIBREOFFICE.FOURIER({1,2,3,4,5,6},TRUE(),FALSE(),TRUE()))</f>
        <v>#VALUE!</v>
      </c>
      <c r="B23428" s="0" t="s">
        <v>23253</v>
      </c>
    </row>
    <row r="23429" customFormat="false" ht="15" hidden="false" customHeight="false" outlineLevel="0" collapsed="false">
      <c r="A23429" s="0" t="e">
        <f aca="false">INDEX(_xlfn.ORG.LIBREOFFICE.FOURIER({1,2,3,4,5,6},TRUE(),FALSE(),TRUE()),1,1)</f>
        <v>#VALUE!</v>
      </c>
      <c r="B23429" s="0" t="s">
        <v>23254</v>
      </c>
    </row>
    <row r="23430" customFormat="false" ht="15" hidden="false" customHeight="false" outlineLevel="0" collapsed="false">
      <c r="A23430" s="0" t="e">
        <f aca="false">INDEX(_xlfn.ORG.LIBREOFFICE.FOURIER({1,2,3,4,5,6},TRUE(),FALSE(),TRUE()),2,1)</f>
        <v>#VALUE!</v>
      </c>
      <c r="B23430" s="0" t="s">
        <v>23255</v>
      </c>
    </row>
    <row r="23431" customFormat="false" ht="15" hidden="false" customHeight="false" outlineLevel="0" collapsed="false">
      <c r="A23431" s="0" t="e">
        <f aca="false">INDEX(_xlfn.ORG.LIBREOFFICE.FOURIER({1,2,3,4,5,6},TRUE(),FALSE(),TRUE()),2,2)</f>
        <v>#VALUE!</v>
      </c>
      <c r="B23431" s="0" t="s">
        <v>23256</v>
      </c>
    </row>
    <row r="23432" customFormat="false" ht="15" hidden="false" customHeight="false" outlineLevel="0" collapsed="false">
      <c r="A23432" s="0" t="e">
        <f aca="false">INDEX(_xlfn.ORG.LIBREOFFICE.FOURIER({1,2,3,4,5,6},TRUE(),FALSE(),TRUE()),3,2)</f>
        <v>#VALUE!</v>
      </c>
      <c r="B23432" s="0" t="s">
        <v>23257</v>
      </c>
    </row>
    <row r="23433" customFormat="false" ht="15" hidden="false" customHeight="false" outlineLevel="0" collapsed="false">
      <c r="A23433" s="0" t="e">
        <f aca="false">INDEX(_xlfn.ORG.LIBREOFFICE.FOURIER({1,2,3,4,5,6},TRUE(),FALSE(),TRUE()),ROWS(_xlfn.ORG.LIBREOFFICE.FOURIER({1,2,3,4,5,6},TRUE(),FALSE(),TRUE())),1)</f>
        <v>#VALUE!</v>
      </c>
      <c r="B23433" s="0" t="s">
        <v>23258</v>
      </c>
    </row>
    <row r="23434" customFormat="false" ht="15" hidden="false" customHeight="false" outlineLevel="0" collapsed="false">
      <c r="A23434" s="0" t="e">
        <f aca="false">INDEX(_xlfn.ORG.LIBREOFFICE.FOURIER({1,2,3,4,5,6},TRUE(),FALSE(),TRUE()),ROWS(_xlfn.ORG.LIBREOFFICE.FOURIER({1,2,3,4,5,6},TRUE(),FALSE(),TRUE())),2)</f>
        <v>#VALUE!</v>
      </c>
      <c r="B23434" s="0" t="s">
        <v>23259</v>
      </c>
    </row>
    <row r="23435" customFormat="false" ht="15" hidden="false" customHeight="false" outlineLevel="0" collapsed="false">
      <c r="A23435" s="0" t="e">
        <f aca="false">SUM(_xlfn.ORG.LIBREOFFICE.FOURIER({1,2,3,4,5,6},TRUE(),TRUE(),TRUE()))</f>
        <v>#VALUE!</v>
      </c>
      <c r="B23435" s="0" t="s">
        <v>23260</v>
      </c>
    </row>
    <row r="23436" customFormat="false" ht="15" hidden="false" customHeight="false" outlineLevel="0" collapsed="false">
      <c r="A23436" s="0" t="e">
        <f aca="false">INDEX(_xlfn.ORG.LIBREOFFICE.FOURIER({1,2,3,4,5,6},TRUE(),TRUE(),TRUE()),1,1)</f>
        <v>#VALUE!</v>
      </c>
      <c r="B23436" s="0" t="s">
        <v>23261</v>
      </c>
    </row>
    <row r="23437" customFormat="false" ht="15" hidden="false" customHeight="false" outlineLevel="0" collapsed="false">
      <c r="A23437" s="0" t="e">
        <f aca="false">INDEX(_xlfn.ORG.LIBREOFFICE.FOURIER({1,2,3,4,5,6},TRUE(),TRUE(),TRUE()),2,1)</f>
        <v>#VALUE!</v>
      </c>
      <c r="B23437" s="0" t="s">
        <v>23262</v>
      </c>
    </row>
    <row r="23438" customFormat="false" ht="15" hidden="false" customHeight="false" outlineLevel="0" collapsed="false">
      <c r="A23438" s="0" t="e">
        <f aca="false">INDEX(_xlfn.ORG.LIBREOFFICE.FOURIER({1,2,3,4,5,6},TRUE(),TRUE(),TRUE()),2,2)</f>
        <v>#VALUE!</v>
      </c>
      <c r="B23438" s="0" t="s">
        <v>23263</v>
      </c>
    </row>
    <row r="23439" customFormat="false" ht="15" hidden="false" customHeight="false" outlineLevel="0" collapsed="false">
      <c r="A23439" s="0" t="e">
        <f aca="false">INDEX(_xlfn.ORG.LIBREOFFICE.FOURIER({1,2,3,4,5,6},TRUE(),TRUE(),TRUE()),3,2)</f>
        <v>#VALUE!</v>
      </c>
      <c r="B23439" s="0" t="s">
        <v>23264</v>
      </c>
    </row>
    <row r="23440" customFormat="false" ht="15" hidden="false" customHeight="false" outlineLevel="0" collapsed="false">
      <c r="A23440" s="0" t="e">
        <f aca="false">INDEX(_xlfn.ORG.LIBREOFFICE.FOURIER({1,2,3,4,5,6},TRUE(),TRUE(),TRUE()),ROWS(_xlfn.ORG.LIBREOFFICE.FOURIER({1,2,3,4,5,6},TRUE(),TRUE(),TRUE())),1)</f>
        <v>#VALUE!</v>
      </c>
      <c r="B23440" s="0" t="s">
        <v>23265</v>
      </c>
    </row>
    <row r="23441" customFormat="false" ht="15" hidden="false" customHeight="false" outlineLevel="0" collapsed="false">
      <c r="A23441" s="0" t="e">
        <f aca="false">INDEX(_xlfn.ORG.LIBREOFFICE.FOURIER({1,2,3,4,5,6},TRUE(),TRUE(),TRUE()),ROWS(_xlfn.ORG.LIBREOFFICE.FOURIER({1,2,3,4,5,6},TRUE(),TRUE(),TRUE())),2)</f>
        <v>#VALUE!</v>
      </c>
      <c r="B23441" s="0" t="s">
        <v>23266</v>
      </c>
    </row>
    <row r="23442" customFormat="false" ht="15" hidden="false" customHeight="false" outlineLevel="0" collapsed="false">
      <c r="A23442" s="0" t="e">
        <f aca="false">SUM(_xlfn.ORG.LIBREOFFICE.FOURIER({1,2,3,4,5,6},TRUE(),FALSE(),TRUE(),1))</f>
        <v>#VALUE!</v>
      </c>
      <c r="B23442" s="0" t="s">
        <v>23267</v>
      </c>
    </row>
    <row r="23443" customFormat="false" ht="15" hidden="false" customHeight="false" outlineLevel="0" collapsed="false">
      <c r="A23443" s="0" t="e">
        <f aca="false">INDEX(_xlfn.ORG.LIBREOFFICE.FOURIER({1,2,3,4,5,6},TRUE(),FALSE(),TRUE(),1),1,1)</f>
        <v>#VALUE!</v>
      </c>
      <c r="B23443" s="0" t="s">
        <v>23268</v>
      </c>
    </row>
    <row r="23444" customFormat="false" ht="15" hidden="false" customHeight="false" outlineLevel="0" collapsed="false">
      <c r="A23444" s="0" t="e">
        <f aca="false">INDEX(_xlfn.ORG.LIBREOFFICE.FOURIER({1,2,3,4,5,6},TRUE(),FALSE(),TRUE(),1),2,1)</f>
        <v>#VALUE!</v>
      </c>
      <c r="B23444" s="0" t="s">
        <v>23269</v>
      </c>
    </row>
    <row r="23445" customFormat="false" ht="15" hidden="false" customHeight="false" outlineLevel="0" collapsed="false">
      <c r="A23445" s="0" t="e">
        <f aca="false">INDEX(_xlfn.ORG.LIBREOFFICE.FOURIER({1,2,3,4,5,6},TRUE(),FALSE(),TRUE(),1),2,2)</f>
        <v>#VALUE!</v>
      </c>
      <c r="B23445" s="0" t="s">
        <v>23270</v>
      </c>
    </row>
    <row r="23446" customFormat="false" ht="15" hidden="false" customHeight="false" outlineLevel="0" collapsed="false">
      <c r="A23446" s="0" t="e">
        <f aca="false">INDEX(_xlfn.ORG.LIBREOFFICE.FOURIER({1,2,3,4,5,6},TRUE(),FALSE(),TRUE(),1),3,2)</f>
        <v>#VALUE!</v>
      </c>
      <c r="B23446" s="0" t="s">
        <v>23271</v>
      </c>
    </row>
    <row r="23447" customFormat="false" ht="15" hidden="false" customHeight="false" outlineLevel="0" collapsed="false">
      <c r="A23447" s="0" t="e">
        <f aca="false">INDEX(_xlfn.ORG.LIBREOFFICE.FOURIER({1,2,3,4,5,6},TRUE(),FALSE(),TRUE(),1),ROWS(_xlfn.ORG.LIBREOFFICE.FOURIER({1,2,3,4,5,6},TRUE(),FALSE(),TRUE(),1)),1)</f>
        <v>#VALUE!</v>
      </c>
      <c r="B23447" s="0" t="s">
        <v>23272</v>
      </c>
    </row>
    <row r="23448" customFormat="false" ht="15" hidden="false" customHeight="false" outlineLevel="0" collapsed="false">
      <c r="A23448" s="0" t="e">
        <f aca="false">INDEX(_xlfn.ORG.LIBREOFFICE.FOURIER({1,2,3,4,5,6},TRUE(),FALSE(),TRUE(),1),ROWS(_xlfn.ORG.LIBREOFFICE.FOURIER({1,2,3,4,5,6},TRUE(),FALSE(),TRUE(),1)),2)</f>
        <v>#VALUE!</v>
      </c>
      <c r="B23448" s="0" t="s">
        <v>23273</v>
      </c>
    </row>
    <row r="23449" customFormat="false" ht="15" hidden="false" customHeight="false" outlineLevel="0" collapsed="false">
      <c r="A23449" s="0" t="e">
        <f aca="false">SUM(_xlfn.ORG.LIBREOFFICE.FOURIER({1,2,3,4,5,6},TRUE(),TRUE(),TRUE(),5))</f>
        <v>#VALUE!</v>
      </c>
      <c r="B23449" s="0" t="s">
        <v>23274</v>
      </c>
    </row>
    <row r="23450" customFormat="false" ht="15" hidden="false" customHeight="false" outlineLevel="0" collapsed="false">
      <c r="A23450" s="0" t="e">
        <f aca="false">INDEX(_xlfn.ORG.LIBREOFFICE.FOURIER({1,2,3,4,5,6},TRUE(),TRUE(),TRUE(),5),1,1)</f>
        <v>#VALUE!</v>
      </c>
      <c r="B23450" s="0" t="s">
        <v>23275</v>
      </c>
    </row>
    <row r="23451" customFormat="false" ht="15" hidden="false" customHeight="false" outlineLevel="0" collapsed="false">
      <c r="A23451" s="0" t="e">
        <f aca="false">INDEX(_xlfn.ORG.LIBREOFFICE.FOURIER({1,2,3,4,5,6},TRUE(),TRUE(),TRUE(),5),2,1)</f>
        <v>#VALUE!</v>
      </c>
      <c r="B23451" s="0" t="s">
        <v>23276</v>
      </c>
    </row>
    <row r="23452" customFormat="false" ht="15" hidden="false" customHeight="false" outlineLevel="0" collapsed="false">
      <c r="A23452" s="0" t="e">
        <f aca="false">INDEX(_xlfn.ORG.LIBREOFFICE.FOURIER({1,2,3,4,5,6},TRUE(),TRUE(),TRUE(),5),2,2)</f>
        <v>#VALUE!</v>
      </c>
      <c r="B23452" s="0" t="s">
        <v>23277</v>
      </c>
    </row>
    <row r="23453" customFormat="false" ht="15" hidden="false" customHeight="false" outlineLevel="0" collapsed="false">
      <c r="A23453" s="0" t="e">
        <f aca="false">INDEX(_xlfn.ORG.LIBREOFFICE.FOURIER({1,2,3,4,5,6},TRUE(),TRUE(),TRUE(),5),3,2)</f>
        <v>#VALUE!</v>
      </c>
      <c r="B23453" s="0" t="s">
        <v>23278</v>
      </c>
    </row>
    <row r="23454" customFormat="false" ht="15" hidden="false" customHeight="false" outlineLevel="0" collapsed="false">
      <c r="A23454" s="0" t="e">
        <f aca="false">INDEX(_xlfn.ORG.LIBREOFFICE.FOURIER({1,2,3,4,5,6},TRUE(),TRUE(),TRUE(),5),ROWS(_xlfn.ORG.LIBREOFFICE.FOURIER({1,2,3,4,5,6},TRUE(),TRUE(),TRUE(),5)),1)</f>
        <v>#VALUE!</v>
      </c>
      <c r="B23454" s="0" t="s">
        <v>23279</v>
      </c>
    </row>
    <row r="23455" customFormat="false" ht="15" hidden="false" customHeight="false" outlineLevel="0" collapsed="false">
      <c r="A23455" s="0" t="e">
        <f aca="false">INDEX(_xlfn.ORG.LIBREOFFICE.FOURIER({1,2,3,4,5,6},TRUE(),TRUE(),TRUE(),5),ROWS(_xlfn.ORG.LIBREOFFICE.FOURIER({1,2,3,4,5,6},TRUE(),TRUE(),TRUE(),5)),2)</f>
        <v>#VALUE!</v>
      </c>
      <c r="B23455" s="0" t="s">
        <v>23280</v>
      </c>
    </row>
    <row r="23456" customFormat="false" ht="15" hidden="false" customHeight="false" outlineLevel="0" collapsed="false">
      <c r="A23456" s="0" t="e">
        <f aca="false">ROWS(_xlfn.ORG.LIBREOFFICE.FOURIER(TRANSPOSE({1,2,3,4,5,6}),FALSE()))</f>
        <v>#VALUE!</v>
      </c>
      <c r="B23456" s="0" t="s">
        <v>23281</v>
      </c>
    </row>
    <row r="23457" customFormat="false" ht="15" hidden="false" customHeight="false" outlineLevel="0" collapsed="false">
      <c r="A23457" s="0" t="e">
        <f aca="false">COLUMNS(_xlfn.ORG.LIBREOFFICE.FOURIER(TRANSPOSE({1,2,3,4,5,6}),FALSE()))</f>
        <v>#VALUE!</v>
      </c>
      <c r="B23457" s="0" t="s">
        <v>23282</v>
      </c>
    </row>
    <row r="23458" customFormat="false" ht="15" hidden="false" customHeight="false" outlineLevel="0" collapsed="false">
      <c r="A23458" s="0" t="e">
        <f aca="false">SUM(_xlfn.ORG.LIBREOFFICE.FOURIER(TRANSPOSE({1,2,3,4,5,6}),FALSE()))</f>
        <v>#VALUE!</v>
      </c>
      <c r="B23458" s="0" t="s">
        <v>23283</v>
      </c>
    </row>
    <row r="23459" customFormat="false" ht="15" hidden="false" customHeight="false" outlineLevel="0" collapsed="false">
      <c r="A23459" s="0" t="e">
        <f aca="false">INDEX(_xlfn.ORG.LIBREOFFICE.FOURIER(TRANSPOSE({1,2,3,4,5,6}),FALSE()),1,1)</f>
        <v>#VALUE!</v>
      </c>
      <c r="B23459" s="0" t="s">
        <v>23284</v>
      </c>
    </row>
    <row r="23460" customFormat="false" ht="15" hidden="false" customHeight="false" outlineLevel="0" collapsed="false">
      <c r="A23460" s="0" t="e">
        <f aca="false">INDEX(_xlfn.ORG.LIBREOFFICE.FOURIER(TRANSPOSE({1,2,3,4,5,6}),FALSE()),2,1)</f>
        <v>#VALUE!</v>
      </c>
      <c r="B23460" s="0" t="s">
        <v>23285</v>
      </c>
    </row>
    <row r="23461" customFormat="false" ht="15" hidden="false" customHeight="false" outlineLevel="0" collapsed="false">
      <c r="A23461" s="0" t="e">
        <f aca="false">INDEX(_xlfn.ORG.LIBREOFFICE.FOURIER(TRANSPOSE({1,2,3,4,5,6}),FALSE()),2,2)</f>
        <v>#VALUE!</v>
      </c>
      <c r="B23461" s="0" t="s">
        <v>23286</v>
      </c>
    </row>
    <row r="23462" customFormat="false" ht="15" hidden="false" customHeight="false" outlineLevel="0" collapsed="false">
      <c r="A23462" s="0" t="e">
        <f aca="false">INDEX(_xlfn.ORG.LIBREOFFICE.FOURIER(TRANSPOSE({1,2,3,4,5,6}),FALSE()),3,2)</f>
        <v>#VALUE!</v>
      </c>
      <c r="B23462" s="0" t="s">
        <v>23287</v>
      </c>
    </row>
    <row r="23463" customFormat="false" ht="15" hidden="false" customHeight="false" outlineLevel="0" collapsed="false">
      <c r="A23463" s="0" t="e">
        <f aca="false">INDEX(_xlfn.ORG.LIBREOFFICE.FOURIER(TRANSPOSE({1,2,3,4,5,6}),FALSE()),ROWS(_xlfn.ORG.LIBREOFFICE.FOURIER(TRANSPOSE({1,2,3,4,5,6}),FALSE())),1)</f>
        <v>#VALUE!</v>
      </c>
      <c r="B23463" s="0" t="s">
        <v>23288</v>
      </c>
    </row>
    <row r="23464" customFormat="false" ht="15" hidden="false" customHeight="false" outlineLevel="0" collapsed="false">
      <c r="A23464" s="0" t="e">
        <f aca="false">INDEX(_xlfn.ORG.LIBREOFFICE.FOURIER(TRANSPOSE({1,2,3,4,5,6}),FALSE()),ROWS(_xlfn.ORG.LIBREOFFICE.FOURIER(TRANSPOSE({1,2,3,4,5,6}),FALSE())),2)</f>
        <v>#VALUE!</v>
      </c>
      <c r="B23464" s="0" t="s">
        <v>23289</v>
      </c>
    </row>
    <row r="23465" customFormat="false" ht="15" hidden="false" customHeight="false" outlineLevel="0" collapsed="false">
      <c r="A23465" s="0" t="e">
        <f aca="false">SUM(_xlfn.ORG.LIBREOFFICE.FOURIER(TRANSPOSE({1,2,3,4,5,6}),FALSE(),TRUE()))</f>
        <v>#VALUE!</v>
      </c>
      <c r="B23465" s="0" t="s">
        <v>23290</v>
      </c>
    </row>
    <row r="23466" customFormat="false" ht="15" hidden="false" customHeight="false" outlineLevel="0" collapsed="false">
      <c r="A23466" s="0" t="e">
        <f aca="false">INDEX(_xlfn.ORG.LIBREOFFICE.FOURIER(TRANSPOSE({1,2,3,4,5,6}),FALSE(),TRUE()),1,1)</f>
        <v>#VALUE!</v>
      </c>
      <c r="B23466" s="0" t="s">
        <v>23291</v>
      </c>
    </row>
    <row r="23467" customFormat="false" ht="15" hidden="false" customHeight="false" outlineLevel="0" collapsed="false">
      <c r="A23467" s="0" t="e">
        <f aca="false">INDEX(_xlfn.ORG.LIBREOFFICE.FOURIER(TRANSPOSE({1,2,3,4,5,6}),FALSE(),TRUE()),2,1)</f>
        <v>#VALUE!</v>
      </c>
      <c r="B23467" s="0" t="s">
        <v>23292</v>
      </c>
    </row>
    <row r="23468" customFormat="false" ht="15" hidden="false" customHeight="false" outlineLevel="0" collapsed="false">
      <c r="A23468" s="0" t="e">
        <f aca="false">INDEX(_xlfn.ORG.LIBREOFFICE.FOURIER(TRANSPOSE({1,2,3,4,5,6}),FALSE(),TRUE()),2,2)</f>
        <v>#VALUE!</v>
      </c>
      <c r="B23468" s="0" t="s">
        <v>23293</v>
      </c>
    </row>
    <row r="23469" customFormat="false" ht="15" hidden="false" customHeight="false" outlineLevel="0" collapsed="false">
      <c r="A23469" s="0" t="e">
        <f aca="false">INDEX(_xlfn.ORG.LIBREOFFICE.FOURIER(TRANSPOSE({1,2,3,4,5,6}),FALSE(),TRUE()),3,2)</f>
        <v>#VALUE!</v>
      </c>
      <c r="B23469" s="0" t="s">
        <v>23294</v>
      </c>
    </row>
    <row r="23470" customFormat="false" ht="15" hidden="false" customHeight="false" outlineLevel="0" collapsed="false">
      <c r="A23470" s="0" t="e">
        <f aca="false">INDEX(_xlfn.ORG.LIBREOFFICE.FOURIER(TRANSPOSE({1,2,3,4,5,6}),FALSE(),TRUE()),ROWS(_xlfn.ORG.LIBREOFFICE.FOURIER(TRANSPOSE({1,2,3,4,5,6}),FALSE(),TRUE())),1)</f>
        <v>#VALUE!</v>
      </c>
      <c r="B23470" s="0" t="s">
        <v>23295</v>
      </c>
    </row>
    <row r="23471" customFormat="false" ht="15" hidden="false" customHeight="false" outlineLevel="0" collapsed="false">
      <c r="A23471" s="0" t="e">
        <f aca="false">INDEX(_xlfn.ORG.LIBREOFFICE.FOURIER(TRANSPOSE({1,2,3,4,5,6}),FALSE(),TRUE()),ROWS(_xlfn.ORG.LIBREOFFICE.FOURIER(TRANSPOSE({1,2,3,4,5,6}),FALSE(),TRUE())),2)</f>
        <v>#VALUE!</v>
      </c>
      <c r="B23471" s="0" t="s">
        <v>23296</v>
      </c>
    </row>
    <row r="23472" customFormat="false" ht="15" hidden="false" customHeight="false" outlineLevel="0" collapsed="false">
      <c r="A23472" s="0" t="e">
        <f aca="false">SUM(_xlfn.ORG.LIBREOFFICE.FOURIER(TRANSPOSE({1,2,3,4,5,6}),FALSE(),FALSE(),TRUE()))</f>
        <v>#VALUE!</v>
      </c>
      <c r="B23472" s="0" t="s">
        <v>23297</v>
      </c>
    </row>
    <row r="23473" customFormat="false" ht="15" hidden="false" customHeight="false" outlineLevel="0" collapsed="false">
      <c r="A23473" s="0" t="e">
        <f aca="false">INDEX(_xlfn.ORG.LIBREOFFICE.FOURIER(TRANSPOSE({1,2,3,4,5,6}),FALSE(),FALSE(),TRUE()),1,1)</f>
        <v>#VALUE!</v>
      </c>
      <c r="B23473" s="0" t="s">
        <v>23298</v>
      </c>
    </row>
    <row r="23474" customFormat="false" ht="15" hidden="false" customHeight="false" outlineLevel="0" collapsed="false">
      <c r="A23474" s="0" t="e">
        <f aca="false">INDEX(_xlfn.ORG.LIBREOFFICE.FOURIER(TRANSPOSE({1,2,3,4,5,6}),FALSE(),FALSE(),TRUE()),2,1)</f>
        <v>#VALUE!</v>
      </c>
      <c r="B23474" s="0" t="s">
        <v>23299</v>
      </c>
    </row>
    <row r="23475" customFormat="false" ht="15" hidden="false" customHeight="false" outlineLevel="0" collapsed="false">
      <c r="A23475" s="0" t="e">
        <f aca="false">INDEX(_xlfn.ORG.LIBREOFFICE.FOURIER(TRANSPOSE({1,2,3,4,5,6}),FALSE(),FALSE(),TRUE()),2,2)</f>
        <v>#VALUE!</v>
      </c>
      <c r="B23475" s="0" t="s">
        <v>23300</v>
      </c>
    </row>
    <row r="23476" customFormat="false" ht="15" hidden="false" customHeight="false" outlineLevel="0" collapsed="false">
      <c r="A23476" s="0" t="e">
        <f aca="false">INDEX(_xlfn.ORG.LIBREOFFICE.FOURIER(TRANSPOSE({1,2,3,4,5,6}),FALSE(),FALSE(),TRUE()),3,2)</f>
        <v>#VALUE!</v>
      </c>
      <c r="B23476" s="0" t="s">
        <v>23301</v>
      </c>
    </row>
    <row r="23477" customFormat="false" ht="15" hidden="false" customHeight="false" outlineLevel="0" collapsed="false">
      <c r="A23477" s="0" t="e">
        <f aca="false">INDEX(_xlfn.ORG.LIBREOFFICE.FOURIER(TRANSPOSE({1,2,3,4,5,6}),FALSE(),FALSE(),TRUE()),ROWS(_xlfn.ORG.LIBREOFFICE.FOURIER(TRANSPOSE({1,2,3,4,5,6}),FALSE(),FALSE(),TRUE())),1)</f>
        <v>#VALUE!</v>
      </c>
      <c r="B23477" s="0" t="s">
        <v>23302</v>
      </c>
    </row>
    <row r="23478" customFormat="false" ht="15" hidden="false" customHeight="false" outlineLevel="0" collapsed="false">
      <c r="A23478" s="0" t="e">
        <f aca="false">INDEX(_xlfn.ORG.LIBREOFFICE.FOURIER(TRANSPOSE({1,2,3,4,5,6}),FALSE(),FALSE(),TRUE()),ROWS(_xlfn.ORG.LIBREOFFICE.FOURIER(TRANSPOSE({1,2,3,4,5,6}),FALSE(),FALSE(),TRUE())),2)</f>
        <v>#VALUE!</v>
      </c>
      <c r="B23478" s="0" t="s">
        <v>23303</v>
      </c>
    </row>
    <row r="23479" customFormat="false" ht="15" hidden="false" customHeight="false" outlineLevel="0" collapsed="false">
      <c r="A23479" s="0" t="e">
        <f aca="false">SUM(_xlfn.ORG.LIBREOFFICE.FOURIER(TRANSPOSE({1,2,3,4,5,6}),FALSE(),TRUE(),TRUE()))</f>
        <v>#VALUE!</v>
      </c>
      <c r="B23479" s="0" t="s">
        <v>23304</v>
      </c>
    </row>
    <row r="23480" customFormat="false" ht="15" hidden="false" customHeight="false" outlineLevel="0" collapsed="false">
      <c r="A23480" s="0" t="e">
        <f aca="false">INDEX(_xlfn.ORG.LIBREOFFICE.FOURIER(TRANSPOSE({1,2,3,4,5,6}),FALSE(),TRUE(),TRUE()),1,1)</f>
        <v>#VALUE!</v>
      </c>
      <c r="B23480" s="0" t="s">
        <v>23305</v>
      </c>
    </row>
    <row r="23481" customFormat="false" ht="15" hidden="false" customHeight="false" outlineLevel="0" collapsed="false">
      <c r="A23481" s="0" t="e">
        <f aca="false">INDEX(_xlfn.ORG.LIBREOFFICE.FOURIER(TRANSPOSE({1,2,3,4,5,6}),FALSE(),TRUE(),TRUE()),2,1)</f>
        <v>#VALUE!</v>
      </c>
      <c r="B23481" s="0" t="s">
        <v>23306</v>
      </c>
    </row>
    <row r="23482" customFormat="false" ht="15" hidden="false" customHeight="false" outlineLevel="0" collapsed="false">
      <c r="A23482" s="0" t="e">
        <f aca="false">INDEX(_xlfn.ORG.LIBREOFFICE.FOURIER(TRANSPOSE({1,2,3,4,5,6}),FALSE(),TRUE(),TRUE()),2,2)</f>
        <v>#VALUE!</v>
      </c>
      <c r="B23482" s="0" t="s">
        <v>23307</v>
      </c>
    </row>
    <row r="23483" customFormat="false" ht="15" hidden="false" customHeight="false" outlineLevel="0" collapsed="false">
      <c r="A23483" s="0" t="e">
        <f aca="false">INDEX(_xlfn.ORG.LIBREOFFICE.FOURIER(TRANSPOSE({1,2,3,4,5,6}),FALSE(),TRUE(),TRUE()),3,2)</f>
        <v>#VALUE!</v>
      </c>
      <c r="B23483" s="0" t="s">
        <v>23308</v>
      </c>
    </row>
    <row r="23484" customFormat="false" ht="15" hidden="false" customHeight="false" outlineLevel="0" collapsed="false">
      <c r="A23484" s="0" t="e">
        <f aca="false">INDEX(_xlfn.ORG.LIBREOFFICE.FOURIER(TRANSPOSE({1,2,3,4,5,6}),FALSE(),TRUE(),TRUE()),ROWS(_xlfn.ORG.LIBREOFFICE.FOURIER(TRANSPOSE({1,2,3,4,5,6}),FALSE(),TRUE(),TRUE())),1)</f>
        <v>#VALUE!</v>
      </c>
      <c r="B23484" s="0" t="s">
        <v>23309</v>
      </c>
    </row>
    <row r="23485" customFormat="false" ht="15" hidden="false" customHeight="false" outlineLevel="0" collapsed="false">
      <c r="A23485" s="0" t="e">
        <f aca="false">INDEX(_xlfn.ORG.LIBREOFFICE.FOURIER(TRANSPOSE({1,2,3,4,5,6}),FALSE(),TRUE(),TRUE()),ROWS(_xlfn.ORG.LIBREOFFICE.FOURIER(TRANSPOSE({1,2,3,4,5,6}),FALSE(),TRUE(),TRUE())),2)</f>
        <v>#VALUE!</v>
      </c>
      <c r="B23485" s="0" t="s">
        <v>23310</v>
      </c>
    </row>
    <row r="23486" customFormat="false" ht="15" hidden="false" customHeight="false" outlineLevel="0" collapsed="false">
      <c r="A23486" s="0" t="e">
        <f aca="false">SUM(_xlfn.ORG.LIBREOFFICE.FOURIER(TRANSPOSE({1,2,3,4,5,6}),FALSE(),FALSE(),TRUE(),1))</f>
        <v>#VALUE!</v>
      </c>
      <c r="B23486" s="0" t="s">
        <v>23311</v>
      </c>
    </row>
    <row r="23487" customFormat="false" ht="15" hidden="false" customHeight="false" outlineLevel="0" collapsed="false">
      <c r="A23487" s="0" t="e">
        <f aca="false">INDEX(_xlfn.ORG.LIBREOFFICE.FOURIER(TRANSPOSE({1,2,3,4,5,6}),FALSE(),FALSE(),TRUE(),1),1,1)</f>
        <v>#VALUE!</v>
      </c>
      <c r="B23487" s="0" t="s">
        <v>23312</v>
      </c>
    </row>
    <row r="23488" customFormat="false" ht="15" hidden="false" customHeight="false" outlineLevel="0" collapsed="false">
      <c r="A23488" s="0" t="e">
        <f aca="false">INDEX(_xlfn.ORG.LIBREOFFICE.FOURIER(TRANSPOSE({1,2,3,4,5,6}),FALSE(),FALSE(),TRUE(),1),2,1)</f>
        <v>#VALUE!</v>
      </c>
      <c r="B23488" s="0" t="s">
        <v>23313</v>
      </c>
    </row>
    <row r="23489" customFormat="false" ht="15" hidden="false" customHeight="false" outlineLevel="0" collapsed="false">
      <c r="A23489" s="0" t="e">
        <f aca="false">INDEX(_xlfn.ORG.LIBREOFFICE.FOURIER(TRANSPOSE({1,2,3,4,5,6}),FALSE(),FALSE(),TRUE(),1),2,2)</f>
        <v>#VALUE!</v>
      </c>
      <c r="B23489" s="0" t="s">
        <v>23314</v>
      </c>
    </row>
    <row r="23490" customFormat="false" ht="15" hidden="false" customHeight="false" outlineLevel="0" collapsed="false">
      <c r="A23490" s="0" t="e">
        <f aca="false">INDEX(_xlfn.ORG.LIBREOFFICE.FOURIER(TRANSPOSE({1,2,3,4,5,6}),FALSE(),FALSE(),TRUE(),1),3,2)</f>
        <v>#VALUE!</v>
      </c>
      <c r="B23490" s="0" t="s">
        <v>23315</v>
      </c>
    </row>
    <row r="23491" customFormat="false" ht="15" hidden="false" customHeight="false" outlineLevel="0" collapsed="false">
      <c r="A23491" s="0" t="e">
        <f aca="false">INDEX(_xlfn.ORG.LIBREOFFICE.FOURIER(TRANSPOSE({1,2,3,4,5,6}),FALSE(),FALSE(),TRUE(),1),ROWS(_xlfn.ORG.LIBREOFFICE.FOURIER(TRANSPOSE({1,2,3,4,5,6}),FALSE(),FALSE(),TRUE(),1)),1)</f>
        <v>#VALUE!</v>
      </c>
      <c r="B23491" s="0" t="s">
        <v>23316</v>
      </c>
    </row>
    <row r="23492" customFormat="false" ht="15" hidden="false" customHeight="false" outlineLevel="0" collapsed="false">
      <c r="A23492" s="0" t="e">
        <f aca="false">INDEX(_xlfn.ORG.LIBREOFFICE.FOURIER(TRANSPOSE({1,2,3,4,5,6}),FALSE(),FALSE(),TRUE(),1),ROWS(_xlfn.ORG.LIBREOFFICE.FOURIER(TRANSPOSE({1,2,3,4,5,6}),FALSE(),FALSE(),TRUE(),1)),2)</f>
        <v>#VALUE!</v>
      </c>
      <c r="B23492" s="0" t="s">
        <v>23317</v>
      </c>
    </row>
    <row r="23493" customFormat="false" ht="15" hidden="false" customHeight="false" outlineLevel="0" collapsed="false">
      <c r="A23493" s="0" t="e">
        <f aca="false">SUM(_xlfn.ORG.LIBREOFFICE.FOURIER(TRANSPOSE({1,2,3,4,5,6}),FALSE(),TRUE(),TRUE(),5))</f>
        <v>#VALUE!</v>
      </c>
      <c r="B23493" s="0" t="s">
        <v>23318</v>
      </c>
    </row>
    <row r="23494" customFormat="false" ht="15" hidden="false" customHeight="false" outlineLevel="0" collapsed="false">
      <c r="A23494" s="0" t="e">
        <f aca="false">INDEX(_xlfn.ORG.LIBREOFFICE.FOURIER(TRANSPOSE({1,2,3,4,5,6}),FALSE(),TRUE(),TRUE(),5),1,1)</f>
        <v>#VALUE!</v>
      </c>
      <c r="B23494" s="0" t="s">
        <v>23319</v>
      </c>
    </row>
    <row r="23495" customFormat="false" ht="15" hidden="false" customHeight="false" outlineLevel="0" collapsed="false">
      <c r="A23495" s="0" t="e">
        <f aca="false">INDEX(_xlfn.ORG.LIBREOFFICE.FOURIER(TRANSPOSE({1,2,3,4,5,6}),FALSE(),TRUE(),TRUE(),5),2,1)</f>
        <v>#VALUE!</v>
      </c>
      <c r="B23495" s="0" t="s">
        <v>23320</v>
      </c>
    </row>
    <row r="23496" customFormat="false" ht="15" hidden="false" customHeight="false" outlineLevel="0" collapsed="false">
      <c r="A23496" s="0" t="e">
        <f aca="false">INDEX(_xlfn.ORG.LIBREOFFICE.FOURIER(TRANSPOSE({1,2,3,4,5,6}),FALSE(),TRUE(),TRUE(),5),2,2)</f>
        <v>#VALUE!</v>
      </c>
      <c r="B23496" s="0" t="s">
        <v>23321</v>
      </c>
    </row>
    <row r="23497" customFormat="false" ht="15" hidden="false" customHeight="false" outlineLevel="0" collapsed="false">
      <c r="A23497" s="0" t="e">
        <f aca="false">INDEX(_xlfn.ORG.LIBREOFFICE.FOURIER(TRANSPOSE({1,2,3,4,5,6}),FALSE(),TRUE(),TRUE(),5),3,2)</f>
        <v>#VALUE!</v>
      </c>
      <c r="B23497" s="0" t="s">
        <v>23322</v>
      </c>
    </row>
    <row r="23498" customFormat="false" ht="15" hidden="false" customHeight="false" outlineLevel="0" collapsed="false">
      <c r="A23498" s="0" t="e">
        <f aca="false">INDEX(_xlfn.ORG.LIBREOFFICE.FOURIER(TRANSPOSE({1,2,3,4,5,6}),FALSE(),TRUE(),TRUE(),5),ROWS(_xlfn.ORG.LIBREOFFICE.FOURIER(TRANSPOSE({1,2,3,4,5,6}),FALSE(),TRUE(),TRUE(),5)),1)</f>
        <v>#VALUE!</v>
      </c>
      <c r="B23498" s="0" t="s">
        <v>23323</v>
      </c>
    </row>
    <row r="23499" customFormat="false" ht="15" hidden="false" customHeight="false" outlineLevel="0" collapsed="false">
      <c r="A23499" s="0" t="e">
        <f aca="false">INDEX(_xlfn.ORG.LIBREOFFICE.FOURIER(TRANSPOSE({1,2,3,4,5,6}),FALSE(),TRUE(),TRUE(),5),ROWS(_xlfn.ORG.LIBREOFFICE.FOURIER(TRANSPOSE({1,2,3,4,5,6}),FALSE(),TRUE(),TRUE(),5)),2)</f>
        <v>#VALUE!</v>
      </c>
      <c r="B23499" s="0" t="s">
        <v>23324</v>
      </c>
    </row>
    <row r="23500" customFormat="false" ht="15" hidden="false" customHeight="false" outlineLevel="0" collapsed="false">
      <c r="A23500" s="0" t="e">
        <f aca="false">ROWS(_xlfn.ORG.LIBREOFFICE.FOURIER({1,2,3,4,5,6,7},TRUE()))</f>
        <v>#VALUE!</v>
      </c>
      <c r="B23500" s="0" t="s">
        <v>23325</v>
      </c>
    </row>
    <row r="23501" customFormat="false" ht="15" hidden="false" customHeight="false" outlineLevel="0" collapsed="false">
      <c r="A23501" s="0" t="e">
        <f aca="false">COLUMNS(_xlfn.ORG.LIBREOFFICE.FOURIER({1,2,3,4,5,6,7},TRUE()))</f>
        <v>#VALUE!</v>
      </c>
      <c r="B23501" s="0" t="s">
        <v>23326</v>
      </c>
    </row>
    <row r="23502" customFormat="false" ht="15" hidden="false" customHeight="false" outlineLevel="0" collapsed="false">
      <c r="A23502" s="0" t="e">
        <f aca="false">SUM(_xlfn.ORG.LIBREOFFICE.FOURIER({1,2,3,4,5,6,7},TRUE()))</f>
        <v>#VALUE!</v>
      </c>
      <c r="B23502" s="0" t="s">
        <v>23327</v>
      </c>
    </row>
    <row r="23503" customFormat="false" ht="15" hidden="false" customHeight="false" outlineLevel="0" collapsed="false">
      <c r="A23503" s="0" t="e">
        <f aca="false">INDEX(_xlfn.ORG.LIBREOFFICE.FOURIER({1,2,3,4,5,6,7},TRUE()),1,1)</f>
        <v>#VALUE!</v>
      </c>
      <c r="B23503" s="0" t="s">
        <v>23328</v>
      </c>
    </row>
    <row r="23504" customFormat="false" ht="15" hidden="false" customHeight="false" outlineLevel="0" collapsed="false">
      <c r="A23504" s="0" t="e">
        <f aca="false">INDEX(_xlfn.ORG.LIBREOFFICE.FOURIER({1,2,3,4,5,6,7},TRUE()),2,1)</f>
        <v>#VALUE!</v>
      </c>
      <c r="B23504" s="0" t="s">
        <v>23329</v>
      </c>
    </row>
    <row r="23505" customFormat="false" ht="15" hidden="false" customHeight="false" outlineLevel="0" collapsed="false">
      <c r="A23505" s="0" t="e">
        <f aca="false">INDEX(_xlfn.ORG.LIBREOFFICE.FOURIER({1,2,3,4,5,6,7},TRUE()),2,2)</f>
        <v>#VALUE!</v>
      </c>
      <c r="B23505" s="0" t="s">
        <v>23330</v>
      </c>
    </row>
    <row r="23506" customFormat="false" ht="15" hidden="false" customHeight="false" outlineLevel="0" collapsed="false">
      <c r="A23506" s="0" t="e">
        <f aca="false">INDEX(_xlfn.ORG.LIBREOFFICE.FOURIER({1,2,3,4,5,6,7},TRUE()),3,2)</f>
        <v>#VALUE!</v>
      </c>
      <c r="B23506" s="0" t="s">
        <v>23331</v>
      </c>
    </row>
    <row r="23507" customFormat="false" ht="15" hidden="false" customHeight="false" outlineLevel="0" collapsed="false">
      <c r="A23507" s="0" t="e">
        <f aca="false">INDEX(_xlfn.ORG.LIBREOFFICE.FOURIER({1,2,3,4,5,6,7},TRUE()),ROWS(_xlfn.ORG.LIBREOFFICE.FOURIER({1,2,3,4,5,6,7},TRUE())),1)</f>
        <v>#VALUE!</v>
      </c>
      <c r="B23507" s="0" t="s">
        <v>23332</v>
      </c>
    </row>
    <row r="23508" customFormat="false" ht="15" hidden="false" customHeight="false" outlineLevel="0" collapsed="false">
      <c r="A23508" s="0" t="e">
        <f aca="false">INDEX(_xlfn.ORG.LIBREOFFICE.FOURIER({1,2,3,4,5,6,7},TRUE()),ROWS(_xlfn.ORG.LIBREOFFICE.FOURIER({1,2,3,4,5,6,7},TRUE())),2)</f>
        <v>#VALUE!</v>
      </c>
      <c r="B23508" s="0" t="s">
        <v>23333</v>
      </c>
    </row>
    <row r="23509" customFormat="false" ht="15" hidden="false" customHeight="false" outlineLevel="0" collapsed="false">
      <c r="A23509" s="0" t="e">
        <f aca="false">SUM(_xlfn.ORG.LIBREOFFICE.FOURIER({1,2,3,4,5,6,7},TRUE(),TRUE()))</f>
        <v>#VALUE!</v>
      </c>
      <c r="B23509" s="0" t="s">
        <v>23334</v>
      </c>
    </row>
    <row r="23510" customFormat="false" ht="15" hidden="false" customHeight="false" outlineLevel="0" collapsed="false">
      <c r="A23510" s="0" t="e">
        <f aca="false">INDEX(_xlfn.ORG.LIBREOFFICE.FOURIER({1,2,3,4,5,6,7},TRUE(),TRUE()),1,1)</f>
        <v>#VALUE!</v>
      </c>
      <c r="B23510" s="0" t="s">
        <v>23335</v>
      </c>
    </row>
    <row r="23511" customFormat="false" ht="15" hidden="false" customHeight="false" outlineLevel="0" collapsed="false">
      <c r="A23511" s="0" t="e">
        <f aca="false">INDEX(_xlfn.ORG.LIBREOFFICE.FOURIER({1,2,3,4,5,6,7},TRUE(),TRUE()),2,1)</f>
        <v>#VALUE!</v>
      </c>
      <c r="B23511" s="0" t="s">
        <v>23336</v>
      </c>
    </row>
    <row r="23512" customFormat="false" ht="15" hidden="false" customHeight="false" outlineLevel="0" collapsed="false">
      <c r="A23512" s="0" t="e">
        <f aca="false">INDEX(_xlfn.ORG.LIBREOFFICE.FOURIER({1,2,3,4,5,6,7},TRUE(),TRUE()),2,2)</f>
        <v>#VALUE!</v>
      </c>
      <c r="B23512" s="0" t="s">
        <v>23337</v>
      </c>
    </row>
    <row r="23513" customFormat="false" ht="15" hidden="false" customHeight="false" outlineLevel="0" collapsed="false">
      <c r="A23513" s="0" t="e">
        <f aca="false">INDEX(_xlfn.ORG.LIBREOFFICE.FOURIER({1,2,3,4,5,6,7},TRUE(),TRUE()),3,2)</f>
        <v>#VALUE!</v>
      </c>
      <c r="B23513" s="0" t="s">
        <v>23338</v>
      </c>
    </row>
    <row r="23514" customFormat="false" ht="15" hidden="false" customHeight="false" outlineLevel="0" collapsed="false">
      <c r="A23514" s="0" t="e">
        <f aca="false">INDEX(_xlfn.ORG.LIBREOFFICE.FOURIER({1,2,3,4,5,6,7},TRUE(),TRUE()),ROWS(_xlfn.ORG.LIBREOFFICE.FOURIER({1,2,3,4,5,6,7},TRUE(),TRUE())),1)</f>
        <v>#VALUE!</v>
      </c>
      <c r="B23514" s="0" t="s">
        <v>23339</v>
      </c>
    </row>
    <row r="23515" customFormat="false" ht="15" hidden="false" customHeight="false" outlineLevel="0" collapsed="false">
      <c r="A23515" s="0" t="e">
        <f aca="false">INDEX(_xlfn.ORG.LIBREOFFICE.FOURIER({1,2,3,4,5,6,7},TRUE(),TRUE()),ROWS(_xlfn.ORG.LIBREOFFICE.FOURIER({1,2,3,4,5,6,7},TRUE(),TRUE())),2)</f>
        <v>#VALUE!</v>
      </c>
      <c r="B23515" s="0" t="s">
        <v>23340</v>
      </c>
    </row>
    <row r="23516" customFormat="false" ht="15" hidden="false" customHeight="false" outlineLevel="0" collapsed="false">
      <c r="A23516" s="0" t="e">
        <f aca="false">SUM(_xlfn.ORG.LIBREOFFICE.FOURIER({1,2,3,4,5,6,7},TRUE(),FALSE(),TRUE()))</f>
        <v>#VALUE!</v>
      </c>
      <c r="B23516" s="0" t="s">
        <v>23341</v>
      </c>
    </row>
    <row r="23517" customFormat="false" ht="15" hidden="false" customHeight="false" outlineLevel="0" collapsed="false">
      <c r="A23517" s="0" t="e">
        <f aca="false">INDEX(_xlfn.ORG.LIBREOFFICE.FOURIER({1,2,3,4,5,6,7},TRUE(),FALSE(),TRUE()),1,1)</f>
        <v>#VALUE!</v>
      </c>
      <c r="B23517" s="0" t="s">
        <v>23342</v>
      </c>
    </row>
    <row r="23518" customFormat="false" ht="15" hidden="false" customHeight="false" outlineLevel="0" collapsed="false">
      <c r="A23518" s="0" t="e">
        <f aca="false">INDEX(_xlfn.ORG.LIBREOFFICE.FOURIER({1,2,3,4,5,6,7},TRUE(),FALSE(),TRUE()),2,1)</f>
        <v>#VALUE!</v>
      </c>
      <c r="B23518" s="0" t="s">
        <v>23343</v>
      </c>
    </row>
    <row r="23519" customFormat="false" ht="15" hidden="false" customHeight="false" outlineLevel="0" collapsed="false">
      <c r="A23519" s="0" t="e">
        <f aca="false">INDEX(_xlfn.ORG.LIBREOFFICE.FOURIER({1,2,3,4,5,6,7},TRUE(),FALSE(),TRUE()),2,2)</f>
        <v>#VALUE!</v>
      </c>
      <c r="B23519" s="0" t="s">
        <v>23344</v>
      </c>
    </row>
    <row r="23520" customFormat="false" ht="15" hidden="false" customHeight="false" outlineLevel="0" collapsed="false">
      <c r="A23520" s="0" t="e">
        <f aca="false">INDEX(_xlfn.ORG.LIBREOFFICE.FOURIER({1,2,3,4,5,6,7},TRUE(),FALSE(),TRUE()),3,2)</f>
        <v>#VALUE!</v>
      </c>
      <c r="B23520" s="0" t="s">
        <v>23345</v>
      </c>
    </row>
    <row r="23521" customFormat="false" ht="15" hidden="false" customHeight="false" outlineLevel="0" collapsed="false">
      <c r="A23521" s="0" t="e">
        <f aca="false">INDEX(_xlfn.ORG.LIBREOFFICE.FOURIER({1,2,3,4,5,6,7},TRUE(),FALSE(),TRUE()),ROWS(_xlfn.ORG.LIBREOFFICE.FOURIER({1,2,3,4,5,6,7},TRUE(),FALSE(),TRUE())),1)</f>
        <v>#VALUE!</v>
      </c>
      <c r="B23521" s="0" t="s">
        <v>23346</v>
      </c>
    </row>
    <row r="23522" customFormat="false" ht="15" hidden="false" customHeight="false" outlineLevel="0" collapsed="false">
      <c r="A23522" s="0" t="e">
        <f aca="false">INDEX(_xlfn.ORG.LIBREOFFICE.FOURIER({1,2,3,4,5,6,7},TRUE(),FALSE(),TRUE()),ROWS(_xlfn.ORG.LIBREOFFICE.FOURIER({1,2,3,4,5,6,7},TRUE(),FALSE(),TRUE())),2)</f>
        <v>#VALUE!</v>
      </c>
      <c r="B23522" s="0" t="s">
        <v>23347</v>
      </c>
    </row>
    <row r="23523" customFormat="false" ht="15" hidden="false" customHeight="false" outlineLevel="0" collapsed="false">
      <c r="A23523" s="0" t="e">
        <f aca="false">SUM(_xlfn.ORG.LIBREOFFICE.FOURIER({1,2,3,4,5,6,7},TRUE(),TRUE(),TRUE()))</f>
        <v>#VALUE!</v>
      </c>
      <c r="B23523" s="0" t="s">
        <v>23348</v>
      </c>
    </row>
    <row r="23524" customFormat="false" ht="15" hidden="false" customHeight="false" outlineLevel="0" collapsed="false">
      <c r="A23524" s="0" t="e">
        <f aca="false">INDEX(_xlfn.ORG.LIBREOFFICE.FOURIER({1,2,3,4,5,6,7},TRUE(),TRUE(),TRUE()),1,1)</f>
        <v>#VALUE!</v>
      </c>
      <c r="B23524" s="0" t="s">
        <v>23349</v>
      </c>
    </row>
    <row r="23525" customFormat="false" ht="15" hidden="false" customHeight="false" outlineLevel="0" collapsed="false">
      <c r="A23525" s="0" t="e">
        <f aca="false">INDEX(_xlfn.ORG.LIBREOFFICE.FOURIER({1,2,3,4,5,6,7},TRUE(),TRUE(),TRUE()),2,1)</f>
        <v>#VALUE!</v>
      </c>
      <c r="B23525" s="0" t="s">
        <v>23350</v>
      </c>
    </row>
    <row r="23526" customFormat="false" ht="15" hidden="false" customHeight="false" outlineLevel="0" collapsed="false">
      <c r="A23526" s="0" t="e">
        <f aca="false">INDEX(_xlfn.ORG.LIBREOFFICE.FOURIER({1,2,3,4,5,6,7},TRUE(),TRUE(),TRUE()),2,2)</f>
        <v>#VALUE!</v>
      </c>
      <c r="B23526" s="0" t="s">
        <v>23351</v>
      </c>
    </row>
    <row r="23527" customFormat="false" ht="15" hidden="false" customHeight="false" outlineLevel="0" collapsed="false">
      <c r="A23527" s="0" t="e">
        <f aca="false">INDEX(_xlfn.ORG.LIBREOFFICE.FOURIER({1,2,3,4,5,6,7},TRUE(),TRUE(),TRUE()),3,2)</f>
        <v>#VALUE!</v>
      </c>
      <c r="B23527" s="0" t="s">
        <v>23352</v>
      </c>
    </row>
    <row r="23528" customFormat="false" ht="15" hidden="false" customHeight="false" outlineLevel="0" collapsed="false">
      <c r="A23528" s="0" t="e">
        <f aca="false">INDEX(_xlfn.ORG.LIBREOFFICE.FOURIER({1,2,3,4,5,6,7},TRUE(),TRUE(),TRUE()),ROWS(_xlfn.ORG.LIBREOFFICE.FOURIER({1,2,3,4,5,6,7},TRUE(),TRUE(),TRUE())),1)</f>
        <v>#VALUE!</v>
      </c>
      <c r="B23528" s="0" t="s">
        <v>23353</v>
      </c>
    </row>
    <row r="23529" customFormat="false" ht="15" hidden="false" customHeight="false" outlineLevel="0" collapsed="false">
      <c r="A23529" s="0" t="e">
        <f aca="false">INDEX(_xlfn.ORG.LIBREOFFICE.FOURIER({1,2,3,4,5,6,7},TRUE(),TRUE(),TRUE()),ROWS(_xlfn.ORG.LIBREOFFICE.FOURIER({1,2,3,4,5,6,7},TRUE(),TRUE(),TRUE())),2)</f>
        <v>#VALUE!</v>
      </c>
      <c r="B23529" s="0" t="s">
        <v>23354</v>
      </c>
    </row>
    <row r="23530" customFormat="false" ht="15" hidden="false" customHeight="false" outlineLevel="0" collapsed="false">
      <c r="A23530" s="0" t="e">
        <f aca="false">SUM(_xlfn.ORG.LIBREOFFICE.FOURIER({1,2,3,4,5,6,7},TRUE(),FALSE(),TRUE(),1))</f>
        <v>#VALUE!</v>
      </c>
      <c r="B23530" s="0" t="s">
        <v>23355</v>
      </c>
    </row>
    <row r="23531" customFormat="false" ht="15" hidden="false" customHeight="false" outlineLevel="0" collapsed="false">
      <c r="A23531" s="0" t="e">
        <f aca="false">INDEX(_xlfn.ORG.LIBREOFFICE.FOURIER({1,2,3,4,5,6,7},TRUE(),FALSE(),TRUE(),1),1,1)</f>
        <v>#VALUE!</v>
      </c>
      <c r="B23531" s="0" t="s">
        <v>23356</v>
      </c>
    </row>
    <row r="23532" customFormat="false" ht="15" hidden="false" customHeight="false" outlineLevel="0" collapsed="false">
      <c r="A23532" s="0" t="e">
        <f aca="false">INDEX(_xlfn.ORG.LIBREOFFICE.FOURIER({1,2,3,4,5,6,7},TRUE(),FALSE(),TRUE(),1),2,1)</f>
        <v>#VALUE!</v>
      </c>
      <c r="B23532" s="0" t="s">
        <v>23357</v>
      </c>
    </row>
    <row r="23533" customFormat="false" ht="15" hidden="false" customHeight="false" outlineLevel="0" collapsed="false">
      <c r="A23533" s="0" t="e">
        <f aca="false">INDEX(_xlfn.ORG.LIBREOFFICE.FOURIER({1,2,3,4,5,6,7},TRUE(),FALSE(),TRUE(),1),2,2)</f>
        <v>#VALUE!</v>
      </c>
      <c r="B23533" s="0" t="s">
        <v>23358</v>
      </c>
    </row>
    <row r="23534" customFormat="false" ht="15" hidden="false" customHeight="false" outlineLevel="0" collapsed="false">
      <c r="A23534" s="0" t="e">
        <f aca="false">INDEX(_xlfn.ORG.LIBREOFFICE.FOURIER({1,2,3,4,5,6,7},TRUE(),FALSE(),TRUE(),1),3,2)</f>
        <v>#VALUE!</v>
      </c>
      <c r="B23534" s="0" t="s">
        <v>23359</v>
      </c>
    </row>
    <row r="23535" customFormat="false" ht="15" hidden="false" customHeight="false" outlineLevel="0" collapsed="false">
      <c r="A23535" s="0" t="e">
        <f aca="false">INDEX(_xlfn.ORG.LIBREOFFICE.FOURIER({1,2,3,4,5,6,7},TRUE(),FALSE(),TRUE(),1),ROWS(_xlfn.ORG.LIBREOFFICE.FOURIER({1,2,3,4,5,6,7},TRUE(),FALSE(),TRUE(),1)),1)</f>
        <v>#VALUE!</v>
      </c>
      <c r="B23535" s="0" t="s">
        <v>23360</v>
      </c>
    </row>
    <row r="23536" customFormat="false" ht="15" hidden="false" customHeight="false" outlineLevel="0" collapsed="false">
      <c r="A23536" s="0" t="e">
        <f aca="false">INDEX(_xlfn.ORG.LIBREOFFICE.FOURIER({1,2,3,4,5,6,7},TRUE(),FALSE(),TRUE(),1),ROWS(_xlfn.ORG.LIBREOFFICE.FOURIER({1,2,3,4,5,6,7},TRUE(),FALSE(),TRUE(),1)),2)</f>
        <v>#VALUE!</v>
      </c>
      <c r="B23536" s="0" t="s">
        <v>23361</v>
      </c>
    </row>
    <row r="23537" customFormat="false" ht="15" hidden="false" customHeight="false" outlineLevel="0" collapsed="false">
      <c r="A23537" s="0" t="e">
        <f aca="false">SUM(_xlfn.ORG.LIBREOFFICE.FOURIER({1,2,3,4,5,6,7},TRUE(),TRUE(),TRUE(),5))</f>
        <v>#VALUE!</v>
      </c>
      <c r="B23537" s="0" t="s">
        <v>23362</v>
      </c>
    </row>
    <row r="23538" customFormat="false" ht="15" hidden="false" customHeight="false" outlineLevel="0" collapsed="false">
      <c r="A23538" s="0" t="e">
        <f aca="false">INDEX(_xlfn.ORG.LIBREOFFICE.FOURIER({1,2,3,4,5,6,7},TRUE(),TRUE(),TRUE(),5),1,1)</f>
        <v>#VALUE!</v>
      </c>
      <c r="B23538" s="0" t="s">
        <v>23363</v>
      </c>
    </row>
    <row r="23539" customFormat="false" ht="15" hidden="false" customHeight="false" outlineLevel="0" collapsed="false">
      <c r="A23539" s="0" t="e">
        <f aca="false">INDEX(_xlfn.ORG.LIBREOFFICE.FOURIER({1,2,3,4,5,6,7},TRUE(),TRUE(),TRUE(),5),2,1)</f>
        <v>#VALUE!</v>
      </c>
      <c r="B23539" s="0" t="s">
        <v>23364</v>
      </c>
    </row>
    <row r="23540" customFormat="false" ht="15" hidden="false" customHeight="false" outlineLevel="0" collapsed="false">
      <c r="A23540" s="0" t="e">
        <f aca="false">INDEX(_xlfn.ORG.LIBREOFFICE.FOURIER({1,2,3,4,5,6,7},TRUE(),TRUE(),TRUE(),5),2,2)</f>
        <v>#VALUE!</v>
      </c>
      <c r="B23540" s="0" t="s">
        <v>23365</v>
      </c>
    </row>
    <row r="23541" customFormat="false" ht="15" hidden="false" customHeight="false" outlineLevel="0" collapsed="false">
      <c r="A23541" s="0" t="e">
        <f aca="false">INDEX(_xlfn.ORG.LIBREOFFICE.FOURIER({1,2,3,4,5,6,7},TRUE(),TRUE(),TRUE(),5),3,2)</f>
        <v>#VALUE!</v>
      </c>
      <c r="B23541" s="0" t="s">
        <v>23366</v>
      </c>
    </row>
    <row r="23542" customFormat="false" ht="15" hidden="false" customHeight="false" outlineLevel="0" collapsed="false">
      <c r="A23542" s="0" t="e">
        <f aca="false">INDEX(_xlfn.ORG.LIBREOFFICE.FOURIER({1,2,3,4,5,6,7},TRUE(),TRUE(),TRUE(),5),ROWS(_xlfn.ORG.LIBREOFFICE.FOURIER({1,2,3,4,5,6,7},TRUE(),TRUE(),TRUE(),5)),1)</f>
        <v>#VALUE!</v>
      </c>
      <c r="B23542" s="0" t="s">
        <v>23367</v>
      </c>
    </row>
    <row r="23543" customFormat="false" ht="15" hidden="false" customHeight="false" outlineLevel="0" collapsed="false">
      <c r="A23543" s="0" t="e">
        <f aca="false">INDEX(_xlfn.ORG.LIBREOFFICE.FOURIER({1,2,3,4,5,6,7},TRUE(),TRUE(),TRUE(),5),ROWS(_xlfn.ORG.LIBREOFFICE.FOURIER({1,2,3,4,5,6,7},TRUE(),TRUE(),TRUE(),5)),2)</f>
        <v>#VALUE!</v>
      </c>
      <c r="B23543" s="0" t="s">
        <v>23368</v>
      </c>
    </row>
    <row r="23544" customFormat="false" ht="15" hidden="false" customHeight="false" outlineLevel="0" collapsed="false">
      <c r="A23544" s="0" t="e">
        <f aca="false">ROWS(_xlfn.ORG.LIBREOFFICE.FOURIER(TRANSPOSE({1,2,3,4,5,6,7}),FALSE()))</f>
        <v>#VALUE!</v>
      </c>
      <c r="B23544" s="0" t="s">
        <v>23369</v>
      </c>
    </row>
    <row r="23545" customFormat="false" ht="15" hidden="false" customHeight="false" outlineLevel="0" collapsed="false">
      <c r="A23545" s="0" t="e">
        <f aca="false">COLUMNS(_xlfn.ORG.LIBREOFFICE.FOURIER(TRANSPOSE({1,2,3,4,5,6,7}),FALSE()))</f>
        <v>#VALUE!</v>
      </c>
      <c r="B23545" s="0" t="s">
        <v>23370</v>
      </c>
    </row>
    <row r="23546" customFormat="false" ht="15" hidden="false" customHeight="false" outlineLevel="0" collapsed="false">
      <c r="A23546" s="0" t="e">
        <f aca="false">SUM(_xlfn.ORG.LIBREOFFICE.FOURIER(TRANSPOSE({1,2,3,4,5,6,7}),FALSE()))</f>
        <v>#VALUE!</v>
      </c>
      <c r="B23546" s="0" t="s">
        <v>23371</v>
      </c>
    </row>
    <row r="23547" customFormat="false" ht="15" hidden="false" customHeight="false" outlineLevel="0" collapsed="false">
      <c r="A23547" s="0" t="e">
        <f aca="false">INDEX(_xlfn.ORG.LIBREOFFICE.FOURIER(TRANSPOSE({1,2,3,4,5,6,7}),FALSE()),1,1)</f>
        <v>#VALUE!</v>
      </c>
      <c r="B23547" s="0" t="s">
        <v>23372</v>
      </c>
    </row>
    <row r="23548" customFormat="false" ht="15" hidden="false" customHeight="false" outlineLevel="0" collapsed="false">
      <c r="A23548" s="0" t="e">
        <f aca="false">INDEX(_xlfn.ORG.LIBREOFFICE.FOURIER(TRANSPOSE({1,2,3,4,5,6,7}),FALSE()),2,1)</f>
        <v>#VALUE!</v>
      </c>
      <c r="B23548" s="0" t="s">
        <v>23373</v>
      </c>
    </row>
    <row r="23549" customFormat="false" ht="15" hidden="false" customHeight="false" outlineLevel="0" collapsed="false">
      <c r="A23549" s="0" t="e">
        <f aca="false">INDEX(_xlfn.ORG.LIBREOFFICE.FOURIER(TRANSPOSE({1,2,3,4,5,6,7}),FALSE()),2,2)</f>
        <v>#VALUE!</v>
      </c>
      <c r="B23549" s="0" t="s">
        <v>23374</v>
      </c>
    </row>
    <row r="23550" customFormat="false" ht="15" hidden="false" customHeight="false" outlineLevel="0" collapsed="false">
      <c r="A23550" s="0" t="e">
        <f aca="false">INDEX(_xlfn.ORG.LIBREOFFICE.FOURIER(TRANSPOSE({1,2,3,4,5,6,7}),FALSE()),3,2)</f>
        <v>#VALUE!</v>
      </c>
      <c r="B23550" s="0" t="s">
        <v>23375</v>
      </c>
    </row>
    <row r="23551" customFormat="false" ht="15" hidden="false" customHeight="false" outlineLevel="0" collapsed="false">
      <c r="A23551" s="0" t="e">
        <f aca="false">INDEX(_xlfn.ORG.LIBREOFFICE.FOURIER(TRANSPOSE({1,2,3,4,5,6,7}),FALSE()),ROWS(_xlfn.ORG.LIBREOFFICE.FOURIER(TRANSPOSE({1,2,3,4,5,6,7}),FALSE())),1)</f>
        <v>#VALUE!</v>
      </c>
      <c r="B23551" s="0" t="s">
        <v>23376</v>
      </c>
    </row>
    <row r="23552" customFormat="false" ht="15" hidden="false" customHeight="false" outlineLevel="0" collapsed="false">
      <c r="A23552" s="0" t="e">
        <f aca="false">INDEX(_xlfn.ORG.LIBREOFFICE.FOURIER(TRANSPOSE({1,2,3,4,5,6,7}),FALSE()),ROWS(_xlfn.ORG.LIBREOFFICE.FOURIER(TRANSPOSE({1,2,3,4,5,6,7}),FALSE())),2)</f>
        <v>#VALUE!</v>
      </c>
      <c r="B23552" s="0" t="s">
        <v>23377</v>
      </c>
    </row>
    <row r="23553" customFormat="false" ht="15" hidden="false" customHeight="false" outlineLevel="0" collapsed="false">
      <c r="A23553" s="0" t="e">
        <f aca="false">SUM(_xlfn.ORG.LIBREOFFICE.FOURIER(TRANSPOSE({1,2,3,4,5,6,7}),FALSE(),TRUE()))</f>
        <v>#VALUE!</v>
      </c>
      <c r="B23553" s="0" t="s">
        <v>23378</v>
      </c>
    </row>
    <row r="23554" customFormat="false" ht="15" hidden="false" customHeight="false" outlineLevel="0" collapsed="false">
      <c r="A23554" s="0" t="e">
        <f aca="false">INDEX(_xlfn.ORG.LIBREOFFICE.FOURIER(TRANSPOSE({1,2,3,4,5,6,7}),FALSE(),TRUE()),1,1)</f>
        <v>#VALUE!</v>
      </c>
      <c r="B23554" s="0" t="s">
        <v>23379</v>
      </c>
    </row>
    <row r="23555" customFormat="false" ht="15" hidden="false" customHeight="false" outlineLevel="0" collapsed="false">
      <c r="A23555" s="0" t="e">
        <f aca="false">INDEX(_xlfn.ORG.LIBREOFFICE.FOURIER(TRANSPOSE({1,2,3,4,5,6,7}),FALSE(),TRUE()),2,1)</f>
        <v>#VALUE!</v>
      </c>
      <c r="B23555" s="0" t="s">
        <v>23380</v>
      </c>
    </row>
    <row r="23556" customFormat="false" ht="15" hidden="false" customHeight="false" outlineLevel="0" collapsed="false">
      <c r="A23556" s="0" t="e">
        <f aca="false">INDEX(_xlfn.ORG.LIBREOFFICE.FOURIER(TRANSPOSE({1,2,3,4,5,6,7}),FALSE(),TRUE()),2,2)</f>
        <v>#VALUE!</v>
      </c>
      <c r="B23556" s="0" t="s">
        <v>23381</v>
      </c>
    </row>
    <row r="23557" customFormat="false" ht="15" hidden="false" customHeight="false" outlineLevel="0" collapsed="false">
      <c r="A23557" s="0" t="e">
        <f aca="false">INDEX(_xlfn.ORG.LIBREOFFICE.FOURIER(TRANSPOSE({1,2,3,4,5,6,7}),FALSE(),TRUE()),3,2)</f>
        <v>#VALUE!</v>
      </c>
      <c r="B23557" s="0" t="s">
        <v>23382</v>
      </c>
    </row>
    <row r="23558" customFormat="false" ht="15" hidden="false" customHeight="false" outlineLevel="0" collapsed="false">
      <c r="A23558" s="0" t="e">
        <f aca="false">INDEX(_xlfn.ORG.LIBREOFFICE.FOURIER(TRANSPOSE({1,2,3,4,5,6,7}),FALSE(),TRUE()),ROWS(_xlfn.ORG.LIBREOFFICE.FOURIER(TRANSPOSE({1,2,3,4,5,6,7}),FALSE(),TRUE())),1)</f>
        <v>#VALUE!</v>
      </c>
      <c r="B23558" s="0" t="s">
        <v>23383</v>
      </c>
    </row>
    <row r="23559" customFormat="false" ht="15" hidden="false" customHeight="false" outlineLevel="0" collapsed="false">
      <c r="A23559" s="0" t="e">
        <f aca="false">INDEX(_xlfn.ORG.LIBREOFFICE.FOURIER(TRANSPOSE({1,2,3,4,5,6,7}),FALSE(),TRUE()),ROWS(_xlfn.ORG.LIBREOFFICE.FOURIER(TRANSPOSE({1,2,3,4,5,6,7}),FALSE(),TRUE())),2)</f>
        <v>#VALUE!</v>
      </c>
      <c r="B23559" s="0" t="s">
        <v>23384</v>
      </c>
    </row>
    <row r="23560" customFormat="false" ht="15" hidden="false" customHeight="false" outlineLevel="0" collapsed="false">
      <c r="A23560" s="0" t="e">
        <f aca="false">SUM(_xlfn.ORG.LIBREOFFICE.FOURIER(TRANSPOSE({1,2,3,4,5,6,7}),FALSE(),FALSE(),TRUE()))</f>
        <v>#VALUE!</v>
      </c>
      <c r="B23560" s="0" t="s">
        <v>23385</v>
      </c>
    </row>
    <row r="23561" customFormat="false" ht="15" hidden="false" customHeight="false" outlineLevel="0" collapsed="false">
      <c r="A23561" s="0" t="e">
        <f aca="false">INDEX(_xlfn.ORG.LIBREOFFICE.FOURIER(TRANSPOSE({1,2,3,4,5,6,7}),FALSE(),FALSE(),TRUE()),1,1)</f>
        <v>#VALUE!</v>
      </c>
      <c r="B23561" s="0" t="s">
        <v>23386</v>
      </c>
    </row>
    <row r="23562" customFormat="false" ht="15" hidden="false" customHeight="false" outlineLevel="0" collapsed="false">
      <c r="A23562" s="0" t="e">
        <f aca="false">INDEX(_xlfn.ORG.LIBREOFFICE.FOURIER(TRANSPOSE({1,2,3,4,5,6,7}),FALSE(),FALSE(),TRUE()),2,1)</f>
        <v>#VALUE!</v>
      </c>
      <c r="B23562" s="0" t="s">
        <v>23387</v>
      </c>
    </row>
    <row r="23563" customFormat="false" ht="15" hidden="false" customHeight="false" outlineLevel="0" collapsed="false">
      <c r="A23563" s="0" t="e">
        <f aca="false">INDEX(_xlfn.ORG.LIBREOFFICE.FOURIER(TRANSPOSE({1,2,3,4,5,6,7}),FALSE(),FALSE(),TRUE()),2,2)</f>
        <v>#VALUE!</v>
      </c>
      <c r="B23563" s="0" t="s">
        <v>23388</v>
      </c>
    </row>
    <row r="23564" customFormat="false" ht="15" hidden="false" customHeight="false" outlineLevel="0" collapsed="false">
      <c r="A23564" s="0" t="e">
        <f aca="false">INDEX(_xlfn.ORG.LIBREOFFICE.FOURIER(TRANSPOSE({1,2,3,4,5,6,7}),FALSE(),FALSE(),TRUE()),3,2)</f>
        <v>#VALUE!</v>
      </c>
      <c r="B23564" s="0" t="s">
        <v>23389</v>
      </c>
    </row>
    <row r="23565" customFormat="false" ht="15" hidden="false" customHeight="false" outlineLevel="0" collapsed="false">
      <c r="A23565" s="0" t="e">
        <f aca="false">INDEX(_xlfn.ORG.LIBREOFFICE.FOURIER(TRANSPOSE({1,2,3,4,5,6,7}),FALSE(),FALSE(),TRUE()),ROWS(_xlfn.ORG.LIBREOFFICE.FOURIER(TRANSPOSE({1,2,3,4,5,6,7}),FALSE(),FALSE(),TRUE())),1)</f>
        <v>#VALUE!</v>
      </c>
      <c r="B23565" s="0" t="s">
        <v>23390</v>
      </c>
    </row>
    <row r="23566" customFormat="false" ht="15" hidden="false" customHeight="false" outlineLevel="0" collapsed="false">
      <c r="A23566" s="0" t="e">
        <f aca="false">INDEX(_xlfn.ORG.LIBREOFFICE.FOURIER(TRANSPOSE({1,2,3,4,5,6,7}),FALSE(),FALSE(),TRUE()),ROWS(_xlfn.ORG.LIBREOFFICE.FOURIER(TRANSPOSE({1,2,3,4,5,6,7}),FALSE(),FALSE(),TRUE())),2)</f>
        <v>#VALUE!</v>
      </c>
      <c r="B23566" s="0" t="s">
        <v>23391</v>
      </c>
    </row>
    <row r="23567" customFormat="false" ht="15" hidden="false" customHeight="false" outlineLevel="0" collapsed="false">
      <c r="A23567" s="0" t="e">
        <f aca="false">SUM(_xlfn.ORG.LIBREOFFICE.FOURIER(TRANSPOSE({1,2,3,4,5,6,7}),FALSE(),TRUE(),TRUE()))</f>
        <v>#VALUE!</v>
      </c>
      <c r="B23567" s="0" t="s">
        <v>23392</v>
      </c>
    </row>
    <row r="23568" customFormat="false" ht="15" hidden="false" customHeight="false" outlineLevel="0" collapsed="false">
      <c r="A23568" s="0" t="e">
        <f aca="false">INDEX(_xlfn.ORG.LIBREOFFICE.FOURIER(TRANSPOSE({1,2,3,4,5,6,7}),FALSE(),TRUE(),TRUE()),1,1)</f>
        <v>#VALUE!</v>
      </c>
      <c r="B23568" s="0" t="s">
        <v>23393</v>
      </c>
    </row>
    <row r="23569" customFormat="false" ht="15" hidden="false" customHeight="false" outlineLevel="0" collapsed="false">
      <c r="A23569" s="0" t="e">
        <f aca="false">INDEX(_xlfn.ORG.LIBREOFFICE.FOURIER(TRANSPOSE({1,2,3,4,5,6,7}),FALSE(),TRUE(),TRUE()),2,1)</f>
        <v>#VALUE!</v>
      </c>
      <c r="B23569" s="0" t="s">
        <v>23394</v>
      </c>
    </row>
    <row r="23570" customFormat="false" ht="15" hidden="false" customHeight="false" outlineLevel="0" collapsed="false">
      <c r="A23570" s="0" t="e">
        <f aca="false">INDEX(_xlfn.ORG.LIBREOFFICE.FOURIER(TRANSPOSE({1,2,3,4,5,6,7}),FALSE(),TRUE(),TRUE()),2,2)</f>
        <v>#VALUE!</v>
      </c>
      <c r="B23570" s="0" t="s">
        <v>23395</v>
      </c>
    </row>
    <row r="23571" customFormat="false" ht="15" hidden="false" customHeight="false" outlineLevel="0" collapsed="false">
      <c r="A23571" s="0" t="e">
        <f aca="false">INDEX(_xlfn.ORG.LIBREOFFICE.FOURIER(TRANSPOSE({1,2,3,4,5,6,7}),FALSE(),TRUE(),TRUE()),3,2)</f>
        <v>#VALUE!</v>
      </c>
      <c r="B23571" s="0" t="s">
        <v>23396</v>
      </c>
    </row>
    <row r="23572" customFormat="false" ht="15" hidden="false" customHeight="false" outlineLevel="0" collapsed="false">
      <c r="A23572" s="0" t="e">
        <f aca="false">INDEX(_xlfn.ORG.LIBREOFFICE.FOURIER(TRANSPOSE({1,2,3,4,5,6,7}),FALSE(),TRUE(),TRUE()),ROWS(_xlfn.ORG.LIBREOFFICE.FOURIER(TRANSPOSE({1,2,3,4,5,6,7}),FALSE(),TRUE(),TRUE())),1)</f>
        <v>#VALUE!</v>
      </c>
      <c r="B23572" s="0" t="s">
        <v>23397</v>
      </c>
    </row>
    <row r="23573" customFormat="false" ht="15" hidden="false" customHeight="false" outlineLevel="0" collapsed="false">
      <c r="A23573" s="0" t="e">
        <f aca="false">INDEX(_xlfn.ORG.LIBREOFFICE.FOURIER(TRANSPOSE({1,2,3,4,5,6,7}),FALSE(),TRUE(),TRUE()),ROWS(_xlfn.ORG.LIBREOFFICE.FOURIER(TRANSPOSE({1,2,3,4,5,6,7}),FALSE(),TRUE(),TRUE())),2)</f>
        <v>#VALUE!</v>
      </c>
      <c r="B23573" s="0" t="s">
        <v>23398</v>
      </c>
    </row>
    <row r="23574" customFormat="false" ht="15" hidden="false" customHeight="false" outlineLevel="0" collapsed="false">
      <c r="A23574" s="0" t="e">
        <f aca="false">SUM(_xlfn.ORG.LIBREOFFICE.FOURIER(TRANSPOSE({1,2,3,4,5,6,7}),FALSE(),FALSE(),TRUE(),1))</f>
        <v>#VALUE!</v>
      </c>
      <c r="B23574" s="0" t="s">
        <v>23399</v>
      </c>
    </row>
    <row r="23575" customFormat="false" ht="15" hidden="false" customHeight="false" outlineLevel="0" collapsed="false">
      <c r="A23575" s="0" t="e">
        <f aca="false">INDEX(_xlfn.ORG.LIBREOFFICE.FOURIER(TRANSPOSE({1,2,3,4,5,6,7}),FALSE(),FALSE(),TRUE(),1),1,1)</f>
        <v>#VALUE!</v>
      </c>
      <c r="B23575" s="0" t="s">
        <v>23400</v>
      </c>
    </row>
    <row r="23576" customFormat="false" ht="15" hidden="false" customHeight="false" outlineLevel="0" collapsed="false">
      <c r="A23576" s="0" t="e">
        <f aca="false">INDEX(_xlfn.ORG.LIBREOFFICE.FOURIER(TRANSPOSE({1,2,3,4,5,6,7}),FALSE(),FALSE(),TRUE(),1),2,1)</f>
        <v>#VALUE!</v>
      </c>
      <c r="B23576" s="0" t="s">
        <v>23401</v>
      </c>
    </row>
    <row r="23577" customFormat="false" ht="15" hidden="false" customHeight="false" outlineLevel="0" collapsed="false">
      <c r="A23577" s="0" t="e">
        <f aca="false">INDEX(_xlfn.ORG.LIBREOFFICE.FOURIER(TRANSPOSE({1,2,3,4,5,6,7}),FALSE(),FALSE(),TRUE(),1),2,2)</f>
        <v>#VALUE!</v>
      </c>
      <c r="B23577" s="0" t="s">
        <v>23402</v>
      </c>
    </row>
    <row r="23578" customFormat="false" ht="15" hidden="false" customHeight="false" outlineLevel="0" collapsed="false">
      <c r="A23578" s="0" t="e">
        <f aca="false">INDEX(_xlfn.ORG.LIBREOFFICE.FOURIER(TRANSPOSE({1,2,3,4,5,6,7}),FALSE(),FALSE(),TRUE(),1),3,2)</f>
        <v>#VALUE!</v>
      </c>
      <c r="B23578" s="0" t="s">
        <v>23403</v>
      </c>
    </row>
    <row r="23579" customFormat="false" ht="15" hidden="false" customHeight="false" outlineLevel="0" collapsed="false">
      <c r="A23579" s="0" t="e">
        <f aca="false">INDEX(_xlfn.ORG.LIBREOFFICE.FOURIER(TRANSPOSE({1,2,3,4,5,6,7}),FALSE(),FALSE(),TRUE(),1),ROWS(_xlfn.ORG.LIBREOFFICE.FOURIER(TRANSPOSE({1,2,3,4,5,6,7}),FALSE(),FALSE(),TRUE(),1)),1)</f>
        <v>#VALUE!</v>
      </c>
      <c r="B23579" s="0" t="s">
        <v>23404</v>
      </c>
    </row>
    <row r="23580" customFormat="false" ht="15" hidden="false" customHeight="false" outlineLevel="0" collapsed="false">
      <c r="A23580" s="0" t="e">
        <f aca="false">INDEX(_xlfn.ORG.LIBREOFFICE.FOURIER(TRANSPOSE({1,2,3,4,5,6,7}),FALSE(),FALSE(),TRUE(),1),ROWS(_xlfn.ORG.LIBREOFFICE.FOURIER(TRANSPOSE({1,2,3,4,5,6,7}),FALSE(),FALSE(),TRUE(),1)),2)</f>
        <v>#VALUE!</v>
      </c>
      <c r="B23580" s="0" t="s">
        <v>23405</v>
      </c>
    </row>
    <row r="23581" customFormat="false" ht="15" hidden="false" customHeight="false" outlineLevel="0" collapsed="false">
      <c r="A23581" s="0" t="e">
        <f aca="false">SUM(_xlfn.ORG.LIBREOFFICE.FOURIER(TRANSPOSE({1,2,3,4,5,6,7}),FALSE(),TRUE(),TRUE(),5))</f>
        <v>#VALUE!</v>
      </c>
      <c r="B23581" s="0" t="s">
        <v>23406</v>
      </c>
    </row>
    <row r="23582" customFormat="false" ht="15" hidden="false" customHeight="false" outlineLevel="0" collapsed="false">
      <c r="A23582" s="0" t="e">
        <f aca="false">INDEX(_xlfn.ORG.LIBREOFFICE.FOURIER(TRANSPOSE({1,2,3,4,5,6,7}),FALSE(),TRUE(),TRUE(),5),1,1)</f>
        <v>#VALUE!</v>
      </c>
      <c r="B23582" s="0" t="s">
        <v>23407</v>
      </c>
    </row>
    <row r="23583" customFormat="false" ht="15" hidden="false" customHeight="false" outlineLevel="0" collapsed="false">
      <c r="A23583" s="0" t="e">
        <f aca="false">INDEX(_xlfn.ORG.LIBREOFFICE.FOURIER(TRANSPOSE({1,2,3,4,5,6,7}),FALSE(),TRUE(),TRUE(),5),2,1)</f>
        <v>#VALUE!</v>
      </c>
      <c r="B23583" s="0" t="s">
        <v>23408</v>
      </c>
    </row>
    <row r="23584" customFormat="false" ht="15" hidden="false" customHeight="false" outlineLevel="0" collapsed="false">
      <c r="A23584" s="0" t="e">
        <f aca="false">INDEX(_xlfn.ORG.LIBREOFFICE.FOURIER(TRANSPOSE({1,2,3,4,5,6,7}),FALSE(),TRUE(),TRUE(),5),2,2)</f>
        <v>#VALUE!</v>
      </c>
      <c r="B23584" s="0" t="s">
        <v>23409</v>
      </c>
    </row>
    <row r="23585" customFormat="false" ht="15" hidden="false" customHeight="false" outlineLevel="0" collapsed="false">
      <c r="A23585" s="0" t="e">
        <f aca="false">INDEX(_xlfn.ORG.LIBREOFFICE.FOURIER(TRANSPOSE({1,2,3,4,5,6,7}),FALSE(),TRUE(),TRUE(),5),3,2)</f>
        <v>#VALUE!</v>
      </c>
      <c r="B23585" s="0" t="s">
        <v>23410</v>
      </c>
    </row>
    <row r="23586" customFormat="false" ht="15" hidden="false" customHeight="false" outlineLevel="0" collapsed="false">
      <c r="A23586" s="0" t="e">
        <f aca="false">INDEX(_xlfn.ORG.LIBREOFFICE.FOURIER(TRANSPOSE({1,2,3,4,5,6,7}),FALSE(),TRUE(),TRUE(),5),ROWS(_xlfn.ORG.LIBREOFFICE.FOURIER(TRANSPOSE({1,2,3,4,5,6,7}),FALSE(),TRUE(),TRUE(),5)),1)</f>
        <v>#VALUE!</v>
      </c>
      <c r="B23586" s="0" t="s">
        <v>23411</v>
      </c>
    </row>
    <row r="23587" customFormat="false" ht="15" hidden="false" customHeight="false" outlineLevel="0" collapsed="false">
      <c r="A23587" s="0" t="e">
        <f aca="false">INDEX(_xlfn.ORG.LIBREOFFICE.FOURIER(TRANSPOSE({1,2,3,4,5,6,7}),FALSE(),TRUE(),TRUE(),5),ROWS(_xlfn.ORG.LIBREOFFICE.FOURIER(TRANSPOSE({1,2,3,4,5,6,7}),FALSE(),TRUE(),TRUE(),5)),2)</f>
        <v>#VALUE!</v>
      </c>
      <c r="B23587" s="0" t="s">
        <v>23412</v>
      </c>
    </row>
    <row r="23588" customFormat="false" ht="15" hidden="false" customHeight="false" outlineLevel="0" collapsed="false">
      <c r="A23588" s="0" t="e">
        <f aca="false">ROWS(_xlfn.ORG.LIBREOFFICE.FOURIER({1,2,3,4,5,6;7,8,9,10,11,12},TRUE()))</f>
        <v>#VALUE!</v>
      </c>
      <c r="B23588" s="0" t="s">
        <v>23413</v>
      </c>
    </row>
    <row r="23589" customFormat="false" ht="15" hidden="false" customHeight="false" outlineLevel="0" collapsed="false">
      <c r="A23589" s="0" t="e">
        <f aca="false">COLUMNS(_xlfn.ORG.LIBREOFFICE.FOURIER({1,2,3,4,5,6;7,8,9,10,11,12},TRUE()))</f>
        <v>#VALUE!</v>
      </c>
      <c r="B23589" s="0" t="s">
        <v>23414</v>
      </c>
    </row>
    <row r="23590" customFormat="false" ht="15" hidden="false" customHeight="false" outlineLevel="0" collapsed="false">
      <c r="A23590" s="0" t="e">
        <f aca="false">SUM(_xlfn.ORG.LIBREOFFICE.FOURIER({1,2,3,4,5,6;7,8,9,10,11,12},TRUE()))</f>
        <v>#VALUE!</v>
      </c>
      <c r="B23590" s="0" t="s">
        <v>23415</v>
      </c>
    </row>
    <row r="23591" customFormat="false" ht="15" hidden="false" customHeight="false" outlineLevel="0" collapsed="false">
      <c r="A23591" s="0" t="e">
        <f aca="false">INDEX(_xlfn.ORG.LIBREOFFICE.FOURIER({1,2,3,4,5,6;7,8,9,10,11,12},TRUE()),1,1)</f>
        <v>#VALUE!</v>
      </c>
      <c r="B23591" s="0" t="s">
        <v>23416</v>
      </c>
    </row>
    <row r="23592" customFormat="false" ht="15" hidden="false" customHeight="false" outlineLevel="0" collapsed="false">
      <c r="A23592" s="0" t="e">
        <f aca="false">INDEX(_xlfn.ORG.LIBREOFFICE.FOURIER({1,2,3,4,5,6;7,8,9,10,11,12},TRUE()),2,1)</f>
        <v>#VALUE!</v>
      </c>
      <c r="B23592" s="0" t="s">
        <v>23417</v>
      </c>
    </row>
    <row r="23593" customFormat="false" ht="15" hidden="false" customHeight="false" outlineLevel="0" collapsed="false">
      <c r="A23593" s="0" t="e">
        <f aca="false">INDEX(_xlfn.ORG.LIBREOFFICE.FOURIER({1,2,3,4,5,6;7,8,9,10,11,12},TRUE()),2,2)</f>
        <v>#VALUE!</v>
      </c>
      <c r="B23593" s="0" t="s">
        <v>23418</v>
      </c>
    </row>
    <row r="23594" customFormat="false" ht="15" hidden="false" customHeight="false" outlineLevel="0" collapsed="false">
      <c r="A23594" s="0" t="e">
        <f aca="false">INDEX(_xlfn.ORG.LIBREOFFICE.FOURIER({1,2,3,4,5,6;7,8,9,10,11,12},TRUE()),3,2)</f>
        <v>#VALUE!</v>
      </c>
      <c r="B23594" s="0" t="s">
        <v>23419</v>
      </c>
    </row>
    <row r="23595" customFormat="false" ht="15" hidden="false" customHeight="false" outlineLevel="0" collapsed="false">
      <c r="A23595" s="0" t="e">
        <f aca="false">INDEX(_xlfn.ORG.LIBREOFFICE.FOURIER({1,2,3,4,5,6;7,8,9,10,11,12},TRUE()),ROWS(_xlfn.ORG.LIBREOFFICE.FOURIER({1,2,3,4,5,6;7,8,9,10,11,12},TRUE())),1)</f>
        <v>#VALUE!</v>
      </c>
      <c r="B23595" s="0" t="s">
        <v>23420</v>
      </c>
    </row>
    <row r="23596" customFormat="false" ht="15" hidden="false" customHeight="false" outlineLevel="0" collapsed="false">
      <c r="A23596" s="0" t="e">
        <f aca="false">INDEX(_xlfn.ORG.LIBREOFFICE.FOURIER({1,2,3,4,5,6;7,8,9,10,11,12},TRUE()),ROWS(_xlfn.ORG.LIBREOFFICE.FOURIER({1,2,3,4,5,6;7,8,9,10,11,12},TRUE())),2)</f>
        <v>#VALUE!</v>
      </c>
      <c r="B23596" s="0" t="s">
        <v>23421</v>
      </c>
    </row>
    <row r="23597" customFormat="false" ht="15" hidden="false" customHeight="false" outlineLevel="0" collapsed="false">
      <c r="A23597" s="0" t="e">
        <f aca="false">SUM(_xlfn.ORG.LIBREOFFICE.FOURIER({1,2,3,4,5,6;7,8,9,10,11,12},TRUE(),TRUE()))</f>
        <v>#VALUE!</v>
      </c>
      <c r="B23597" s="0" t="s">
        <v>23422</v>
      </c>
    </row>
    <row r="23598" customFormat="false" ht="15" hidden="false" customHeight="false" outlineLevel="0" collapsed="false">
      <c r="A23598" s="0" t="e">
        <f aca="false">INDEX(_xlfn.ORG.LIBREOFFICE.FOURIER({1,2,3,4,5,6;7,8,9,10,11,12},TRUE(),TRUE()),1,1)</f>
        <v>#VALUE!</v>
      </c>
      <c r="B23598" s="0" t="s">
        <v>23423</v>
      </c>
    </row>
    <row r="23599" customFormat="false" ht="15" hidden="false" customHeight="false" outlineLevel="0" collapsed="false">
      <c r="A23599" s="0" t="e">
        <f aca="false">INDEX(_xlfn.ORG.LIBREOFFICE.FOURIER({1,2,3,4,5,6;7,8,9,10,11,12},TRUE(),TRUE()),2,1)</f>
        <v>#VALUE!</v>
      </c>
      <c r="B23599" s="0" t="s">
        <v>23424</v>
      </c>
    </row>
    <row r="23600" customFormat="false" ht="15" hidden="false" customHeight="false" outlineLevel="0" collapsed="false">
      <c r="A23600" s="0" t="e">
        <f aca="false">INDEX(_xlfn.ORG.LIBREOFFICE.FOURIER({1,2,3,4,5,6;7,8,9,10,11,12},TRUE(),TRUE()),2,2)</f>
        <v>#VALUE!</v>
      </c>
      <c r="B23600" s="0" t="s">
        <v>23425</v>
      </c>
    </row>
    <row r="23601" customFormat="false" ht="15" hidden="false" customHeight="false" outlineLevel="0" collapsed="false">
      <c r="A23601" s="0" t="e">
        <f aca="false">INDEX(_xlfn.ORG.LIBREOFFICE.FOURIER({1,2,3,4,5,6;7,8,9,10,11,12},TRUE(),TRUE()),3,2)</f>
        <v>#VALUE!</v>
      </c>
      <c r="B23601" s="0" t="s">
        <v>23426</v>
      </c>
    </row>
    <row r="23602" customFormat="false" ht="15" hidden="false" customHeight="false" outlineLevel="0" collapsed="false">
      <c r="A23602" s="0" t="e">
        <f aca="false">INDEX(_xlfn.ORG.LIBREOFFICE.FOURIER({1,2,3,4,5,6;7,8,9,10,11,12},TRUE(),TRUE()),ROWS(_xlfn.ORG.LIBREOFFICE.FOURIER({1,2,3,4,5,6;7,8,9,10,11,12},TRUE(),TRUE())),1)</f>
        <v>#VALUE!</v>
      </c>
      <c r="B23602" s="0" t="s">
        <v>23427</v>
      </c>
    </row>
    <row r="23603" customFormat="false" ht="15" hidden="false" customHeight="false" outlineLevel="0" collapsed="false">
      <c r="A23603" s="0" t="e">
        <f aca="false">INDEX(_xlfn.ORG.LIBREOFFICE.FOURIER({1,2,3,4,5,6;7,8,9,10,11,12},TRUE(),TRUE()),ROWS(_xlfn.ORG.LIBREOFFICE.FOURIER({1,2,3,4,5,6;7,8,9,10,11,12},TRUE(),TRUE())),2)</f>
        <v>#VALUE!</v>
      </c>
      <c r="B23603" s="0" t="s">
        <v>23428</v>
      </c>
    </row>
    <row r="23604" customFormat="false" ht="15" hidden="false" customHeight="false" outlineLevel="0" collapsed="false">
      <c r="A23604" s="0" t="e">
        <f aca="false">SUM(_xlfn.ORG.LIBREOFFICE.FOURIER({1,2,3,4,5,6;7,8,9,10,11,12},TRUE(),FALSE(),TRUE()))</f>
        <v>#VALUE!</v>
      </c>
      <c r="B23604" s="0" t="s">
        <v>23429</v>
      </c>
    </row>
    <row r="23605" customFormat="false" ht="15" hidden="false" customHeight="false" outlineLevel="0" collapsed="false">
      <c r="A23605" s="0" t="e">
        <f aca="false">INDEX(_xlfn.ORG.LIBREOFFICE.FOURIER({1,2,3,4,5,6;7,8,9,10,11,12},TRUE(),FALSE(),TRUE()),1,1)</f>
        <v>#VALUE!</v>
      </c>
      <c r="B23605" s="0" t="s">
        <v>23430</v>
      </c>
    </row>
    <row r="23606" customFormat="false" ht="15" hidden="false" customHeight="false" outlineLevel="0" collapsed="false">
      <c r="A23606" s="0" t="e">
        <f aca="false">INDEX(_xlfn.ORG.LIBREOFFICE.FOURIER({1,2,3,4,5,6;7,8,9,10,11,12},TRUE(),FALSE(),TRUE()),2,1)</f>
        <v>#VALUE!</v>
      </c>
      <c r="B23606" s="0" t="s">
        <v>23431</v>
      </c>
    </row>
    <row r="23607" customFormat="false" ht="15" hidden="false" customHeight="false" outlineLevel="0" collapsed="false">
      <c r="A23607" s="0" t="e">
        <f aca="false">INDEX(_xlfn.ORG.LIBREOFFICE.FOURIER({1,2,3,4,5,6;7,8,9,10,11,12},TRUE(),FALSE(),TRUE()),2,2)</f>
        <v>#VALUE!</v>
      </c>
      <c r="B23607" s="0" t="s">
        <v>23432</v>
      </c>
    </row>
    <row r="23608" customFormat="false" ht="15" hidden="false" customHeight="false" outlineLevel="0" collapsed="false">
      <c r="A23608" s="0" t="e">
        <f aca="false">INDEX(_xlfn.ORG.LIBREOFFICE.FOURIER({1,2,3,4,5,6;7,8,9,10,11,12},TRUE(),FALSE(),TRUE()),3,2)</f>
        <v>#VALUE!</v>
      </c>
      <c r="B23608" s="0" t="s">
        <v>23433</v>
      </c>
    </row>
    <row r="23609" customFormat="false" ht="15" hidden="false" customHeight="false" outlineLevel="0" collapsed="false">
      <c r="A23609" s="0" t="e">
        <f aca="false">INDEX(_xlfn.ORG.LIBREOFFICE.FOURIER({1,2,3,4,5,6;7,8,9,10,11,12},TRUE(),FALSE(),TRUE()),ROWS(_xlfn.ORG.LIBREOFFICE.FOURIER({1,2,3,4,5,6;7,8,9,10,11,12},TRUE(),FALSE(),TRUE())),1)</f>
        <v>#VALUE!</v>
      </c>
      <c r="B23609" s="0" t="s">
        <v>23434</v>
      </c>
    </row>
    <row r="23610" customFormat="false" ht="15" hidden="false" customHeight="false" outlineLevel="0" collapsed="false">
      <c r="A23610" s="0" t="e">
        <f aca="false">INDEX(_xlfn.ORG.LIBREOFFICE.FOURIER({1,2,3,4,5,6;7,8,9,10,11,12},TRUE(),FALSE(),TRUE()),ROWS(_xlfn.ORG.LIBREOFFICE.FOURIER({1,2,3,4,5,6;7,8,9,10,11,12},TRUE(),FALSE(),TRUE())),2)</f>
        <v>#VALUE!</v>
      </c>
      <c r="B23610" s="0" t="s">
        <v>23435</v>
      </c>
    </row>
    <row r="23611" customFormat="false" ht="15" hidden="false" customHeight="false" outlineLevel="0" collapsed="false">
      <c r="A23611" s="0" t="e">
        <f aca="false">SUM(_xlfn.ORG.LIBREOFFICE.FOURIER({1,2,3,4,5,6;7,8,9,10,11,12},TRUE(),TRUE(),TRUE()))</f>
        <v>#VALUE!</v>
      </c>
      <c r="B23611" s="0" t="s">
        <v>23436</v>
      </c>
    </row>
    <row r="23612" customFormat="false" ht="15" hidden="false" customHeight="false" outlineLevel="0" collapsed="false">
      <c r="A23612" s="0" t="e">
        <f aca="false">INDEX(_xlfn.ORG.LIBREOFFICE.FOURIER({1,2,3,4,5,6;7,8,9,10,11,12},TRUE(),TRUE(),TRUE()),1,1)</f>
        <v>#VALUE!</v>
      </c>
      <c r="B23612" s="0" t="s">
        <v>23437</v>
      </c>
    </row>
    <row r="23613" customFormat="false" ht="15" hidden="false" customHeight="false" outlineLevel="0" collapsed="false">
      <c r="A23613" s="0" t="e">
        <f aca="false">INDEX(_xlfn.ORG.LIBREOFFICE.FOURIER({1,2,3,4,5,6;7,8,9,10,11,12},TRUE(),TRUE(),TRUE()),2,1)</f>
        <v>#VALUE!</v>
      </c>
      <c r="B23613" s="0" t="s">
        <v>23438</v>
      </c>
    </row>
    <row r="23614" customFormat="false" ht="15" hidden="false" customHeight="false" outlineLevel="0" collapsed="false">
      <c r="A23614" s="0" t="e">
        <f aca="false">INDEX(_xlfn.ORG.LIBREOFFICE.FOURIER({1,2,3,4,5,6;7,8,9,10,11,12},TRUE(),TRUE(),TRUE()),2,2)</f>
        <v>#VALUE!</v>
      </c>
      <c r="B23614" s="0" t="s">
        <v>23439</v>
      </c>
    </row>
    <row r="23615" customFormat="false" ht="15" hidden="false" customHeight="false" outlineLevel="0" collapsed="false">
      <c r="A23615" s="0" t="e">
        <f aca="false">INDEX(_xlfn.ORG.LIBREOFFICE.FOURIER({1,2,3,4,5,6;7,8,9,10,11,12},TRUE(),TRUE(),TRUE()),3,2)</f>
        <v>#VALUE!</v>
      </c>
      <c r="B23615" s="0" t="s">
        <v>23440</v>
      </c>
    </row>
    <row r="23616" customFormat="false" ht="15" hidden="false" customHeight="false" outlineLevel="0" collapsed="false">
      <c r="A23616" s="0" t="e">
        <f aca="false">INDEX(_xlfn.ORG.LIBREOFFICE.FOURIER({1,2,3,4,5,6;7,8,9,10,11,12},TRUE(),TRUE(),TRUE()),ROWS(_xlfn.ORG.LIBREOFFICE.FOURIER({1,2,3,4,5,6;7,8,9,10,11,12},TRUE(),TRUE(),TRUE())),1)</f>
        <v>#VALUE!</v>
      </c>
      <c r="B23616" s="0" t="s">
        <v>23441</v>
      </c>
    </row>
    <row r="23617" customFormat="false" ht="15" hidden="false" customHeight="false" outlineLevel="0" collapsed="false">
      <c r="A23617" s="0" t="e">
        <f aca="false">INDEX(_xlfn.ORG.LIBREOFFICE.FOURIER({1,2,3,4,5,6;7,8,9,10,11,12},TRUE(),TRUE(),TRUE()),ROWS(_xlfn.ORG.LIBREOFFICE.FOURIER({1,2,3,4,5,6;7,8,9,10,11,12},TRUE(),TRUE(),TRUE())),2)</f>
        <v>#VALUE!</v>
      </c>
      <c r="B23617" s="0" t="s">
        <v>23442</v>
      </c>
    </row>
    <row r="23618" customFormat="false" ht="15" hidden="false" customHeight="false" outlineLevel="0" collapsed="false">
      <c r="A23618" s="0" t="e">
        <f aca="false">SUM(_xlfn.ORG.LIBREOFFICE.FOURIER({1,2,3,4,5,6;7,8,9,10,11,12},TRUE(),FALSE(),TRUE(),1))</f>
        <v>#VALUE!</v>
      </c>
      <c r="B23618" s="0" t="s">
        <v>23443</v>
      </c>
    </row>
    <row r="23619" customFormat="false" ht="15" hidden="false" customHeight="false" outlineLevel="0" collapsed="false">
      <c r="A23619" s="0" t="e">
        <f aca="false">INDEX(_xlfn.ORG.LIBREOFFICE.FOURIER({1,2,3,4,5,6;7,8,9,10,11,12},TRUE(),FALSE(),TRUE(),1),1,1)</f>
        <v>#VALUE!</v>
      </c>
      <c r="B23619" s="0" t="s">
        <v>23444</v>
      </c>
    </row>
    <row r="23620" customFormat="false" ht="15" hidden="false" customHeight="false" outlineLevel="0" collapsed="false">
      <c r="A23620" s="0" t="e">
        <f aca="false">INDEX(_xlfn.ORG.LIBREOFFICE.FOURIER({1,2,3,4,5,6;7,8,9,10,11,12},TRUE(),FALSE(),TRUE(),1),2,1)</f>
        <v>#VALUE!</v>
      </c>
      <c r="B23620" s="0" t="s">
        <v>23445</v>
      </c>
    </row>
    <row r="23621" customFormat="false" ht="15" hidden="false" customHeight="false" outlineLevel="0" collapsed="false">
      <c r="A23621" s="0" t="e">
        <f aca="false">INDEX(_xlfn.ORG.LIBREOFFICE.FOURIER({1,2,3,4,5,6;7,8,9,10,11,12},TRUE(),FALSE(),TRUE(),1),2,2)</f>
        <v>#VALUE!</v>
      </c>
      <c r="B23621" s="0" t="s">
        <v>23446</v>
      </c>
    </row>
    <row r="23622" customFormat="false" ht="15" hidden="false" customHeight="false" outlineLevel="0" collapsed="false">
      <c r="A23622" s="0" t="e">
        <f aca="false">INDEX(_xlfn.ORG.LIBREOFFICE.FOURIER({1,2,3,4,5,6;7,8,9,10,11,12},TRUE(),FALSE(),TRUE(),1),3,2)</f>
        <v>#VALUE!</v>
      </c>
      <c r="B23622" s="0" t="s">
        <v>23447</v>
      </c>
    </row>
    <row r="23623" customFormat="false" ht="15" hidden="false" customHeight="false" outlineLevel="0" collapsed="false">
      <c r="A23623" s="0" t="e">
        <f aca="false">INDEX(_xlfn.ORG.LIBREOFFICE.FOURIER({1,2,3,4,5,6;7,8,9,10,11,12},TRUE(),FALSE(),TRUE(),1),ROWS(_xlfn.ORG.LIBREOFFICE.FOURIER({1,2,3,4,5,6;7,8,9,10,11,12},TRUE(),FALSE(),TRUE(),1)),1)</f>
        <v>#VALUE!</v>
      </c>
      <c r="B23623" s="0" t="s">
        <v>23448</v>
      </c>
    </row>
    <row r="23624" customFormat="false" ht="15" hidden="false" customHeight="false" outlineLevel="0" collapsed="false">
      <c r="A23624" s="0" t="e">
        <f aca="false">INDEX(_xlfn.ORG.LIBREOFFICE.FOURIER({1,2,3,4,5,6;7,8,9,10,11,12},TRUE(),FALSE(),TRUE(),1),ROWS(_xlfn.ORG.LIBREOFFICE.FOURIER({1,2,3,4,5,6;7,8,9,10,11,12},TRUE(),FALSE(),TRUE(),1)),2)</f>
        <v>#VALUE!</v>
      </c>
      <c r="B23624" s="0" t="s">
        <v>23449</v>
      </c>
    </row>
    <row r="23625" customFormat="false" ht="15" hidden="false" customHeight="false" outlineLevel="0" collapsed="false">
      <c r="A23625" s="0" t="e">
        <f aca="false">SUM(_xlfn.ORG.LIBREOFFICE.FOURIER({1,2,3,4,5,6;7,8,9,10,11,12},TRUE(),TRUE(),TRUE(),5))</f>
        <v>#VALUE!</v>
      </c>
      <c r="B23625" s="0" t="s">
        <v>23450</v>
      </c>
    </row>
    <row r="23626" customFormat="false" ht="15" hidden="false" customHeight="false" outlineLevel="0" collapsed="false">
      <c r="A23626" s="0" t="e">
        <f aca="false">INDEX(_xlfn.ORG.LIBREOFFICE.FOURIER({1,2,3,4,5,6;7,8,9,10,11,12},TRUE(),TRUE(),TRUE(),5),1,1)</f>
        <v>#VALUE!</v>
      </c>
      <c r="B23626" s="0" t="s">
        <v>23451</v>
      </c>
    </row>
    <row r="23627" customFormat="false" ht="15" hidden="false" customHeight="false" outlineLevel="0" collapsed="false">
      <c r="A23627" s="0" t="e">
        <f aca="false">INDEX(_xlfn.ORG.LIBREOFFICE.FOURIER({1,2,3,4,5,6;7,8,9,10,11,12},TRUE(),TRUE(),TRUE(),5),2,1)</f>
        <v>#VALUE!</v>
      </c>
      <c r="B23627" s="0" t="s">
        <v>23452</v>
      </c>
    </row>
    <row r="23628" customFormat="false" ht="15" hidden="false" customHeight="false" outlineLevel="0" collapsed="false">
      <c r="A23628" s="0" t="e">
        <f aca="false">INDEX(_xlfn.ORG.LIBREOFFICE.FOURIER({1,2,3,4,5,6;7,8,9,10,11,12},TRUE(),TRUE(),TRUE(),5),2,2)</f>
        <v>#VALUE!</v>
      </c>
      <c r="B23628" s="0" t="s">
        <v>23453</v>
      </c>
    </row>
    <row r="23629" customFormat="false" ht="15" hidden="false" customHeight="false" outlineLevel="0" collapsed="false">
      <c r="A23629" s="0" t="e">
        <f aca="false">INDEX(_xlfn.ORG.LIBREOFFICE.FOURIER({1,2,3,4,5,6;7,8,9,10,11,12},TRUE(),TRUE(),TRUE(),5),3,2)</f>
        <v>#VALUE!</v>
      </c>
      <c r="B23629" s="0" t="s">
        <v>23454</v>
      </c>
    </row>
    <row r="23630" customFormat="false" ht="15" hidden="false" customHeight="false" outlineLevel="0" collapsed="false">
      <c r="A23630" s="0" t="e">
        <f aca="false">INDEX(_xlfn.ORG.LIBREOFFICE.FOURIER({1,2,3,4,5,6;7,8,9,10,11,12},TRUE(),TRUE(),TRUE(),5),ROWS(_xlfn.ORG.LIBREOFFICE.FOURIER({1,2,3,4,5,6;7,8,9,10,11,12},TRUE(),TRUE(),TRUE(),5)),1)</f>
        <v>#VALUE!</v>
      </c>
      <c r="B23630" s="0" t="s">
        <v>23455</v>
      </c>
    </row>
    <row r="23631" customFormat="false" ht="15" hidden="false" customHeight="false" outlineLevel="0" collapsed="false">
      <c r="A23631" s="0" t="e">
        <f aca="false">INDEX(_xlfn.ORG.LIBREOFFICE.FOURIER({1,2,3,4,5,6;7,8,9,10,11,12},TRUE(),TRUE(),TRUE(),5),ROWS(_xlfn.ORG.LIBREOFFICE.FOURIER({1,2,3,4,5,6;7,8,9,10,11,12},TRUE(),TRUE(),TRUE(),5)),2)</f>
        <v>#VALUE!</v>
      </c>
      <c r="B23631" s="0" t="s">
        <v>23456</v>
      </c>
    </row>
    <row r="23632" customFormat="false" ht="15" hidden="false" customHeight="false" outlineLevel="0" collapsed="false">
      <c r="A23632" s="0" t="e">
        <f aca="false">ROWS(_xlfn.ORG.LIBREOFFICE.FOURIER(TRANSPOSE({1,2,3,4,5,6;7,8,9,10,11,12}),FALSE()))</f>
        <v>#VALUE!</v>
      </c>
      <c r="B23632" s="0" t="s">
        <v>23457</v>
      </c>
    </row>
    <row r="23633" customFormat="false" ht="15" hidden="false" customHeight="false" outlineLevel="0" collapsed="false">
      <c r="A23633" s="0" t="e">
        <f aca="false">COLUMNS(_xlfn.ORG.LIBREOFFICE.FOURIER(TRANSPOSE({1,2,3,4,5,6;7,8,9,10,11,12}),FALSE()))</f>
        <v>#VALUE!</v>
      </c>
      <c r="B23633" s="0" t="s">
        <v>23458</v>
      </c>
    </row>
    <row r="23634" customFormat="false" ht="15" hidden="false" customHeight="false" outlineLevel="0" collapsed="false">
      <c r="A23634" s="0" t="e">
        <f aca="false">SUM(_xlfn.ORG.LIBREOFFICE.FOURIER(TRANSPOSE({1,2,3,4,5,6;7,8,9,10,11,12}),FALSE()))</f>
        <v>#VALUE!</v>
      </c>
      <c r="B23634" s="0" t="s">
        <v>23459</v>
      </c>
    </row>
    <row r="23635" customFormat="false" ht="15" hidden="false" customHeight="false" outlineLevel="0" collapsed="false">
      <c r="A23635" s="0" t="e">
        <f aca="false">INDEX(_xlfn.ORG.LIBREOFFICE.FOURIER(TRANSPOSE({1,2,3,4,5,6;7,8,9,10,11,12}),FALSE()),1,1)</f>
        <v>#VALUE!</v>
      </c>
      <c r="B23635" s="0" t="s">
        <v>23460</v>
      </c>
    </row>
    <row r="23636" customFormat="false" ht="15" hidden="false" customHeight="false" outlineLevel="0" collapsed="false">
      <c r="A23636" s="0" t="e">
        <f aca="false">INDEX(_xlfn.ORG.LIBREOFFICE.FOURIER(TRANSPOSE({1,2,3,4,5,6;7,8,9,10,11,12}),FALSE()),2,1)</f>
        <v>#VALUE!</v>
      </c>
      <c r="B23636" s="0" t="s">
        <v>23461</v>
      </c>
    </row>
    <row r="23637" customFormat="false" ht="15" hidden="false" customHeight="false" outlineLevel="0" collapsed="false">
      <c r="A23637" s="0" t="e">
        <f aca="false">INDEX(_xlfn.ORG.LIBREOFFICE.FOURIER(TRANSPOSE({1,2,3,4,5,6;7,8,9,10,11,12}),FALSE()),2,2)</f>
        <v>#VALUE!</v>
      </c>
      <c r="B23637" s="0" t="s">
        <v>23462</v>
      </c>
    </row>
    <row r="23638" customFormat="false" ht="15" hidden="false" customHeight="false" outlineLevel="0" collapsed="false">
      <c r="A23638" s="0" t="e">
        <f aca="false">INDEX(_xlfn.ORG.LIBREOFFICE.FOURIER(TRANSPOSE({1,2,3,4,5,6;7,8,9,10,11,12}),FALSE()),3,2)</f>
        <v>#VALUE!</v>
      </c>
      <c r="B23638" s="0" t="s">
        <v>23463</v>
      </c>
    </row>
    <row r="23639" customFormat="false" ht="15" hidden="false" customHeight="false" outlineLevel="0" collapsed="false">
      <c r="A23639" s="0" t="e">
        <f aca="false">INDEX(_xlfn.ORG.LIBREOFFICE.FOURIER(TRANSPOSE({1,2,3,4,5,6;7,8,9,10,11,12}),FALSE()),ROWS(_xlfn.ORG.LIBREOFFICE.FOURIER(TRANSPOSE({1,2,3,4,5,6;7,8,9,10,11,12}),FALSE())),1)</f>
        <v>#VALUE!</v>
      </c>
      <c r="B23639" s="0" t="s">
        <v>23464</v>
      </c>
    </row>
    <row r="23640" customFormat="false" ht="15" hidden="false" customHeight="false" outlineLevel="0" collapsed="false">
      <c r="A23640" s="0" t="e">
        <f aca="false">INDEX(_xlfn.ORG.LIBREOFFICE.FOURIER(TRANSPOSE({1,2,3,4,5,6;7,8,9,10,11,12}),FALSE()),ROWS(_xlfn.ORG.LIBREOFFICE.FOURIER(TRANSPOSE({1,2,3,4,5,6;7,8,9,10,11,12}),FALSE())),2)</f>
        <v>#VALUE!</v>
      </c>
      <c r="B23640" s="0" t="s">
        <v>23465</v>
      </c>
    </row>
    <row r="23641" customFormat="false" ht="15" hidden="false" customHeight="false" outlineLevel="0" collapsed="false">
      <c r="A23641" s="0" t="e">
        <f aca="false">SUM(_xlfn.ORG.LIBREOFFICE.FOURIER(TRANSPOSE({1,2,3,4,5,6;7,8,9,10,11,12}),FALSE(),TRUE()))</f>
        <v>#VALUE!</v>
      </c>
      <c r="B23641" s="0" t="s">
        <v>23466</v>
      </c>
    </row>
    <row r="23642" customFormat="false" ht="15" hidden="false" customHeight="false" outlineLevel="0" collapsed="false">
      <c r="A23642" s="0" t="e">
        <f aca="false">INDEX(_xlfn.ORG.LIBREOFFICE.FOURIER(TRANSPOSE({1,2,3,4,5,6;7,8,9,10,11,12}),FALSE(),TRUE()),1,1)</f>
        <v>#VALUE!</v>
      </c>
      <c r="B23642" s="0" t="s">
        <v>23467</v>
      </c>
    </row>
    <row r="23643" customFormat="false" ht="15" hidden="false" customHeight="false" outlineLevel="0" collapsed="false">
      <c r="A23643" s="0" t="e">
        <f aca="false">INDEX(_xlfn.ORG.LIBREOFFICE.FOURIER(TRANSPOSE({1,2,3,4,5,6;7,8,9,10,11,12}),FALSE(),TRUE()),2,1)</f>
        <v>#VALUE!</v>
      </c>
      <c r="B23643" s="0" t="s">
        <v>23468</v>
      </c>
    </row>
    <row r="23644" customFormat="false" ht="15" hidden="false" customHeight="false" outlineLevel="0" collapsed="false">
      <c r="A23644" s="0" t="e">
        <f aca="false">INDEX(_xlfn.ORG.LIBREOFFICE.FOURIER(TRANSPOSE({1,2,3,4,5,6;7,8,9,10,11,12}),FALSE(),TRUE()),2,2)</f>
        <v>#VALUE!</v>
      </c>
      <c r="B23644" s="0" t="s">
        <v>23469</v>
      </c>
    </row>
    <row r="23645" customFormat="false" ht="15" hidden="false" customHeight="false" outlineLevel="0" collapsed="false">
      <c r="A23645" s="0" t="e">
        <f aca="false">INDEX(_xlfn.ORG.LIBREOFFICE.FOURIER(TRANSPOSE({1,2,3,4,5,6;7,8,9,10,11,12}),FALSE(),TRUE()),3,2)</f>
        <v>#VALUE!</v>
      </c>
      <c r="B23645" s="0" t="s">
        <v>23470</v>
      </c>
    </row>
    <row r="23646" customFormat="false" ht="15" hidden="false" customHeight="false" outlineLevel="0" collapsed="false">
      <c r="A23646" s="0" t="e">
        <f aca="false">INDEX(_xlfn.ORG.LIBREOFFICE.FOURIER(TRANSPOSE({1,2,3,4,5,6;7,8,9,10,11,12}),FALSE(),TRUE()),ROWS(_xlfn.ORG.LIBREOFFICE.FOURIER(TRANSPOSE({1,2,3,4,5,6;7,8,9,10,11,12}),FALSE(),TRUE())),1)</f>
        <v>#VALUE!</v>
      </c>
      <c r="B23646" s="0" t="s">
        <v>23471</v>
      </c>
    </row>
    <row r="23647" customFormat="false" ht="15" hidden="false" customHeight="false" outlineLevel="0" collapsed="false">
      <c r="A23647" s="0" t="e">
        <f aca="false">INDEX(_xlfn.ORG.LIBREOFFICE.FOURIER(TRANSPOSE({1,2,3,4,5,6;7,8,9,10,11,12}),FALSE(),TRUE()),ROWS(_xlfn.ORG.LIBREOFFICE.FOURIER(TRANSPOSE({1,2,3,4,5,6;7,8,9,10,11,12}),FALSE(),TRUE())),2)</f>
        <v>#VALUE!</v>
      </c>
      <c r="B23647" s="0" t="s">
        <v>23472</v>
      </c>
    </row>
    <row r="23648" customFormat="false" ht="15" hidden="false" customHeight="false" outlineLevel="0" collapsed="false">
      <c r="A23648" s="0" t="e">
        <f aca="false">SUM(_xlfn.ORG.LIBREOFFICE.FOURIER(TRANSPOSE({1,2,3,4,5,6;7,8,9,10,11,12}),FALSE(),FALSE(),TRUE()))</f>
        <v>#VALUE!</v>
      </c>
      <c r="B23648" s="0" t="s">
        <v>23473</v>
      </c>
    </row>
    <row r="23649" customFormat="false" ht="15" hidden="false" customHeight="false" outlineLevel="0" collapsed="false">
      <c r="A23649" s="0" t="e">
        <f aca="false">INDEX(_xlfn.ORG.LIBREOFFICE.FOURIER(TRANSPOSE({1,2,3,4,5,6;7,8,9,10,11,12}),FALSE(),FALSE(),TRUE()),1,1)</f>
        <v>#VALUE!</v>
      </c>
      <c r="B23649" s="0" t="s">
        <v>23474</v>
      </c>
    </row>
    <row r="23650" customFormat="false" ht="15" hidden="false" customHeight="false" outlineLevel="0" collapsed="false">
      <c r="A23650" s="0" t="e">
        <f aca="false">INDEX(_xlfn.ORG.LIBREOFFICE.FOURIER(TRANSPOSE({1,2,3,4,5,6;7,8,9,10,11,12}),FALSE(),FALSE(),TRUE()),2,1)</f>
        <v>#VALUE!</v>
      </c>
      <c r="B23650" s="0" t="s">
        <v>23475</v>
      </c>
    </row>
    <row r="23651" customFormat="false" ht="15" hidden="false" customHeight="false" outlineLevel="0" collapsed="false">
      <c r="A23651" s="0" t="e">
        <f aca="false">INDEX(_xlfn.ORG.LIBREOFFICE.FOURIER(TRANSPOSE({1,2,3,4,5,6;7,8,9,10,11,12}),FALSE(),FALSE(),TRUE()),2,2)</f>
        <v>#VALUE!</v>
      </c>
      <c r="B23651" s="0" t="s">
        <v>23476</v>
      </c>
    </row>
    <row r="23652" customFormat="false" ht="15" hidden="false" customHeight="false" outlineLevel="0" collapsed="false">
      <c r="A23652" s="0" t="e">
        <f aca="false">INDEX(_xlfn.ORG.LIBREOFFICE.FOURIER(TRANSPOSE({1,2,3,4,5,6;7,8,9,10,11,12}),FALSE(),FALSE(),TRUE()),3,2)</f>
        <v>#VALUE!</v>
      </c>
      <c r="B23652" s="0" t="s">
        <v>23477</v>
      </c>
    </row>
    <row r="23653" customFormat="false" ht="15" hidden="false" customHeight="false" outlineLevel="0" collapsed="false">
      <c r="A23653" s="0" t="e">
        <f aca="false">INDEX(_xlfn.ORG.LIBREOFFICE.FOURIER(TRANSPOSE({1,2,3,4,5,6;7,8,9,10,11,12}),FALSE(),FALSE(),TRUE()),ROWS(_xlfn.ORG.LIBREOFFICE.FOURIER(TRANSPOSE({1,2,3,4,5,6;7,8,9,10,11,12}),FALSE(),FALSE(),TRUE())),1)</f>
        <v>#VALUE!</v>
      </c>
      <c r="B23653" s="0" t="s">
        <v>23478</v>
      </c>
    </row>
    <row r="23654" customFormat="false" ht="15" hidden="false" customHeight="false" outlineLevel="0" collapsed="false">
      <c r="A23654" s="0" t="e">
        <f aca="false">INDEX(_xlfn.ORG.LIBREOFFICE.FOURIER(TRANSPOSE({1,2,3,4,5,6;7,8,9,10,11,12}),FALSE(),FALSE(),TRUE()),ROWS(_xlfn.ORG.LIBREOFFICE.FOURIER(TRANSPOSE({1,2,3,4,5,6;7,8,9,10,11,12}),FALSE(),FALSE(),TRUE())),2)</f>
        <v>#VALUE!</v>
      </c>
      <c r="B23654" s="0" t="s">
        <v>23479</v>
      </c>
    </row>
    <row r="23655" customFormat="false" ht="15" hidden="false" customHeight="false" outlineLevel="0" collapsed="false">
      <c r="A23655" s="0" t="e">
        <f aca="false">SUM(_xlfn.ORG.LIBREOFFICE.FOURIER(TRANSPOSE({1,2,3,4,5,6;7,8,9,10,11,12}),FALSE(),TRUE(),TRUE()))</f>
        <v>#VALUE!</v>
      </c>
      <c r="B23655" s="0" t="s">
        <v>23480</v>
      </c>
    </row>
    <row r="23656" customFormat="false" ht="15" hidden="false" customHeight="false" outlineLevel="0" collapsed="false">
      <c r="A23656" s="0" t="e">
        <f aca="false">INDEX(_xlfn.ORG.LIBREOFFICE.FOURIER(TRANSPOSE({1,2,3,4,5,6;7,8,9,10,11,12}),FALSE(),TRUE(),TRUE()),1,1)</f>
        <v>#VALUE!</v>
      </c>
      <c r="B23656" s="0" t="s">
        <v>23481</v>
      </c>
    </row>
    <row r="23657" customFormat="false" ht="15" hidden="false" customHeight="false" outlineLevel="0" collapsed="false">
      <c r="A23657" s="0" t="e">
        <f aca="false">INDEX(_xlfn.ORG.LIBREOFFICE.FOURIER(TRANSPOSE({1,2,3,4,5,6;7,8,9,10,11,12}),FALSE(),TRUE(),TRUE()),2,1)</f>
        <v>#VALUE!</v>
      </c>
      <c r="B23657" s="0" t="s">
        <v>23482</v>
      </c>
    </row>
    <row r="23658" customFormat="false" ht="15" hidden="false" customHeight="false" outlineLevel="0" collapsed="false">
      <c r="A23658" s="0" t="e">
        <f aca="false">INDEX(_xlfn.ORG.LIBREOFFICE.FOURIER(TRANSPOSE({1,2,3,4,5,6;7,8,9,10,11,12}),FALSE(),TRUE(),TRUE()),2,2)</f>
        <v>#VALUE!</v>
      </c>
      <c r="B23658" s="0" t="s">
        <v>23483</v>
      </c>
    </row>
    <row r="23659" customFormat="false" ht="15" hidden="false" customHeight="false" outlineLevel="0" collapsed="false">
      <c r="A23659" s="0" t="e">
        <f aca="false">INDEX(_xlfn.ORG.LIBREOFFICE.FOURIER(TRANSPOSE({1,2,3,4,5,6;7,8,9,10,11,12}),FALSE(),TRUE(),TRUE()),3,2)</f>
        <v>#VALUE!</v>
      </c>
      <c r="B23659" s="0" t="s">
        <v>23484</v>
      </c>
    </row>
    <row r="23660" customFormat="false" ht="15" hidden="false" customHeight="false" outlineLevel="0" collapsed="false">
      <c r="A23660" s="0" t="e">
        <f aca="false">INDEX(_xlfn.ORG.LIBREOFFICE.FOURIER(TRANSPOSE({1,2,3,4,5,6;7,8,9,10,11,12}),FALSE(),TRUE(),TRUE()),ROWS(_xlfn.ORG.LIBREOFFICE.FOURIER(TRANSPOSE({1,2,3,4,5,6;7,8,9,10,11,12}),FALSE(),TRUE(),TRUE())),1)</f>
        <v>#VALUE!</v>
      </c>
      <c r="B23660" s="0" t="s">
        <v>23485</v>
      </c>
    </row>
    <row r="23661" customFormat="false" ht="15" hidden="false" customHeight="false" outlineLevel="0" collapsed="false">
      <c r="A23661" s="0" t="e">
        <f aca="false">INDEX(_xlfn.ORG.LIBREOFFICE.FOURIER(TRANSPOSE({1,2,3,4,5,6;7,8,9,10,11,12}),FALSE(),TRUE(),TRUE()),ROWS(_xlfn.ORG.LIBREOFFICE.FOURIER(TRANSPOSE({1,2,3,4,5,6;7,8,9,10,11,12}),FALSE(),TRUE(),TRUE())),2)</f>
        <v>#VALUE!</v>
      </c>
      <c r="B23661" s="0" t="s">
        <v>23486</v>
      </c>
    </row>
    <row r="23662" customFormat="false" ht="15" hidden="false" customHeight="false" outlineLevel="0" collapsed="false">
      <c r="A23662" s="0" t="e">
        <f aca="false">SUM(_xlfn.ORG.LIBREOFFICE.FOURIER(TRANSPOSE({1,2,3,4,5,6;7,8,9,10,11,12}),FALSE(),FALSE(),TRUE(),1))</f>
        <v>#VALUE!</v>
      </c>
      <c r="B23662" s="0" t="s">
        <v>23487</v>
      </c>
    </row>
    <row r="23663" customFormat="false" ht="15" hidden="false" customHeight="false" outlineLevel="0" collapsed="false">
      <c r="A23663" s="0" t="e">
        <f aca="false">INDEX(_xlfn.ORG.LIBREOFFICE.FOURIER(TRANSPOSE({1,2,3,4,5,6;7,8,9,10,11,12}),FALSE(),FALSE(),TRUE(),1),1,1)</f>
        <v>#VALUE!</v>
      </c>
      <c r="B23663" s="0" t="s">
        <v>23488</v>
      </c>
    </row>
    <row r="23664" customFormat="false" ht="15" hidden="false" customHeight="false" outlineLevel="0" collapsed="false">
      <c r="A23664" s="0" t="e">
        <f aca="false">INDEX(_xlfn.ORG.LIBREOFFICE.FOURIER(TRANSPOSE({1,2,3,4,5,6;7,8,9,10,11,12}),FALSE(),FALSE(),TRUE(),1),2,1)</f>
        <v>#VALUE!</v>
      </c>
      <c r="B23664" s="0" t="s">
        <v>23489</v>
      </c>
    </row>
    <row r="23665" customFormat="false" ht="15" hidden="false" customHeight="false" outlineLevel="0" collapsed="false">
      <c r="A23665" s="0" t="e">
        <f aca="false">INDEX(_xlfn.ORG.LIBREOFFICE.FOURIER(TRANSPOSE({1,2,3,4,5,6;7,8,9,10,11,12}),FALSE(),FALSE(),TRUE(),1),2,2)</f>
        <v>#VALUE!</v>
      </c>
      <c r="B23665" s="0" t="s">
        <v>23490</v>
      </c>
    </row>
    <row r="23666" customFormat="false" ht="15" hidden="false" customHeight="false" outlineLevel="0" collapsed="false">
      <c r="A23666" s="0" t="e">
        <f aca="false">INDEX(_xlfn.ORG.LIBREOFFICE.FOURIER(TRANSPOSE({1,2,3,4,5,6;7,8,9,10,11,12}),FALSE(),FALSE(),TRUE(),1),3,2)</f>
        <v>#VALUE!</v>
      </c>
      <c r="B23666" s="0" t="s">
        <v>23491</v>
      </c>
    </row>
    <row r="23667" customFormat="false" ht="15" hidden="false" customHeight="false" outlineLevel="0" collapsed="false">
      <c r="A23667" s="0" t="e">
        <f aca="false">INDEX(_xlfn.ORG.LIBREOFFICE.FOURIER(TRANSPOSE({1,2,3,4,5,6;7,8,9,10,11,12}),FALSE(),FALSE(),TRUE(),1),ROWS(_xlfn.ORG.LIBREOFFICE.FOURIER(TRANSPOSE({1,2,3,4,5,6;7,8,9,10,11,12}),FALSE(),FALSE(),TRUE(),1)),1)</f>
        <v>#VALUE!</v>
      </c>
      <c r="B23667" s="0" t="s">
        <v>23492</v>
      </c>
    </row>
    <row r="23668" customFormat="false" ht="15" hidden="false" customHeight="false" outlineLevel="0" collapsed="false">
      <c r="A23668" s="0" t="e">
        <f aca="false">INDEX(_xlfn.ORG.LIBREOFFICE.FOURIER(TRANSPOSE({1,2,3,4,5,6;7,8,9,10,11,12}),FALSE(),FALSE(),TRUE(),1),ROWS(_xlfn.ORG.LIBREOFFICE.FOURIER(TRANSPOSE({1,2,3,4,5,6;7,8,9,10,11,12}),FALSE(),FALSE(),TRUE(),1)),2)</f>
        <v>#VALUE!</v>
      </c>
      <c r="B23668" s="0" t="s">
        <v>23493</v>
      </c>
    </row>
    <row r="23669" customFormat="false" ht="15" hidden="false" customHeight="false" outlineLevel="0" collapsed="false">
      <c r="A23669" s="0" t="e">
        <f aca="false">SUM(_xlfn.ORG.LIBREOFFICE.FOURIER(TRANSPOSE({1,2,3,4,5,6;7,8,9,10,11,12}),FALSE(),TRUE(),TRUE(),5))</f>
        <v>#VALUE!</v>
      </c>
      <c r="B23669" s="0" t="s">
        <v>23494</v>
      </c>
    </row>
    <row r="23670" customFormat="false" ht="15" hidden="false" customHeight="false" outlineLevel="0" collapsed="false">
      <c r="A23670" s="0" t="e">
        <f aca="false">INDEX(_xlfn.ORG.LIBREOFFICE.FOURIER(TRANSPOSE({1,2,3,4,5,6;7,8,9,10,11,12}),FALSE(),TRUE(),TRUE(),5),1,1)</f>
        <v>#VALUE!</v>
      </c>
      <c r="B23670" s="0" t="s">
        <v>23495</v>
      </c>
    </row>
    <row r="23671" customFormat="false" ht="15" hidden="false" customHeight="false" outlineLevel="0" collapsed="false">
      <c r="A23671" s="0" t="e">
        <f aca="false">INDEX(_xlfn.ORG.LIBREOFFICE.FOURIER(TRANSPOSE({1,2,3,4,5,6;7,8,9,10,11,12}),FALSE(),TRUE(),TRUE(),5),2,1)</f>
        <v>#VALUE!</v>
      </c>
      <c r="B23671" s="0" t="s">
        <v>23496</v>
      </c>
    </row>
    <row r="23672" customFormat="false" ht="15" hidden="false" customHeight="false" outlineLevel="0" collapsed="false">
      <c r="A23672" s="0" t="e">
        <f aca="false">INDEX(_xlfn.ORG.LIBREOFFICE.FOURIER(TRANSPOSE({1,2,3,4,5,6;7,8,9,10,11,12}),FALSE(),TRUE(),TRUE(),5),2,2)</f>
        <v>#VALUE!</v>
      </c>
      <c r="B23672" s="0" t="s">
        <v>23497</v>
      </c>
    </row>
    <row r="23673" customFormat="false" ht="15" hidden="false" customHeight="false" outlineLevel="0" collapsed="false">
      <c r="A23673" s="0" t="e">
        <f aca="false">INDEX(_xlfn.ORG.LIBREOFFICE.FOURIER(TRANSPOSE({1,2,3,4,5,6;7,8,9,10,11,12}),FALSE(),TRUE(),TRUE(),5),3,2)</f>
        <v>#VALUE!</v>
      </c>
      <c r="B23673" s="0" t="s">
        <v>23498</v>
      </c>
    </row>
    <row r="23674" customFormat="false" ht="15" hidden="false" customHeight="false" outlineLevel="0" collapsed="false">
      <c r="A23674" s="0" t="e">
        <f aca="false">INDEX(_xlfn.ORG.LIBREOFFICE.FOURIER(TRANSPOSE({1,2,3,4,5,6;7,8,9,10,11,12}),FALSE(),TRUE(),TRUE(),5),ROWS(_xlfn.ORG.LIBREOFFICE.FOURIER(TRANSPOSE({1,2,3,4,5,6;7,8,9,10,11,12}),FALSE(),TRUE(),TRUE(),5)),1)</f>
        <v>#VALUE!</v>
      </c>
      <c r="B23674" s="0" t="s">
        <v>23499</v>
      </c>
    </row>
    <row r="23675" customFormat="false" ht="15" hidden="false" customHeight="false" outlineLevel="0" collapsed="false">
      <c r="A23675" s="0" t="e">
        <f aca="false">INDEX(_xlfn.ORG.LIBREOFFICE.FOURIER(TRANSPOSE({1,2,3,4,5,6;7,8,9,10,11,12}),FALSE(),TRUE(),TRUE(),5),ROWS(_xlfn.ORG.LIBREOFFICE.FOURIER(TRANSPOSE({1,2,3,4,5,6;7,8,9,10,11,12}),FALSE(),TRUE(),TRUE(),5)),2)</f>
        <v>#VALUE!</v>
      </c>
      <c r="B23675" s="0" t="s">
        <v>23500</v>
      </c>
    </row>
    <row r="23676" customFormat="false" ht="15" hidden="false" customHeight="false" outlineLevel="0" collapsed="false">
      <c r="A23676" s="0" t="e">
        <f aca="false">ROWS(_xlfn.ORG.LIBREOFFICE.FOURIER({1,2,3,4,5,6,7,8;9,10,11,12,13,14,15,16},TRUE()))</f>
        <v>#VALUE!</v>
      </c>
      <c r="B23676" s="0" t="s">
        <v>23501</v>
      </c>
    </row>
    <row r="23677" customFormat="false" ht="15" hidden="false" customHeight="false" outlineLevel="0" collapsed="false">
      <c r="A23677" s="0" t="e">
        <f aca="false">COLUMNS(_xlfn.ORG.LIBREOFFICE.FOURIER({1,2,3,4,5,6,7,8;9,10,11,12,13,14,15,16},TRUE()))</f>
        <v>#VALUE!</v>
      </c>
      <c r="B23677" s="0" t="s">
        <v>23502</v>
      </c>
    </row>
    <row r="23678" customFormat="false" ht="15" hidden="false" customHeight="false" outlineLevel="0" collapsed="false">
      <c r="A23678" s="0" t="e">
        <f aca="false">SUM(_xlfn.ORG.LIBREOFFICE.FOURIER({1,2,3,4,5,6,7,8;9,10,11,12,13,14,15,16},TRUE()))</f>
        <v>#VALUE!</v>
      </c>
      <c r="B23678" s="0" t="s">
        <v>23503</v>
      </c>
    </row>
    <row r="23679" customFormat="false" ht="15" hidden="false" customHeight="false" outlineLevel="0" collapsed="false">
      <c r="A23679" s="0" t="e">
        <f aca="false">INDEX(_xlfn.ORG.LIBREOFFICE.FOURIER({1,2,3,4,5,6,7,8;9,10,11,12,13,14,15,16},TRUE()),1,1)</f>
        <v>#VALUE!</v>
      </c>
      <c r="B23679" s="0" t="s">
        <v>23504</v>
      </c>
    </row>
    <row r="23680" customFormat="false" ht="15" hidden="false" customHeight="false" outlineLevel="0" collapsed="false">
      <c r="A23680" s="0" t="e">
        <f aca="false">INDEX(_xlfn.ORG.LIBREOFFICE.FOURIER({1,2,3,4,5,6,7,8;9,10,11,12,13,14,15,16},TRUE()),2,1)</f>
        <v>#VALUE!</v>
      </c>
      <c r="B23680" s="0" t="s">
        <v>23505</v>
      </c>
    </row>
    <row r="23681" customFormat="false" ht="15" hidden="false" customHeight="false" outlineLevel="0" collapsed="false">
      <c r="A23681" s="0" t="e">
        <f aca="false">INDEX(_xlfn.ORG.LIBREOFFICE.FOURIER({1,2,3,4,5,6,7,8;9,10,11,12,13,14,15,16},TRUE()),2,2)</f>
        <v>#VALUE!</v>
      </c>
      <c r="B23681" s="0" t="s">
        <v>23506</v>
      </c>
    </row>
    <row r="23682" customFormat="false" ht="15" hidden="false" customHeight="false" outlineLevel="0" collapsed="false">
      <c r="A23682" s="0" t="e">
        <f aca="false">INDEX(_xlfn.ORG.LIBREOFFICE.FOURIER({1,2,3,4,5,6,7,8;9,10,11,12,13,14,15,16},TRUE()),3,2)</f>
        <v>#VALUE!</v>
      </c>
      <c r="B23682" s="0" t="s">
        <v>23507</v>
      </c>
    </row>
    <row r="23683" customFormat="false" ht="15" hidden="false" customHeight="false" outlineLevel="0" collapsed="false">
      <c r="A23683" s="0" t="e">
        <f aca="false">INDEX(_xlfn.ORG.LIBREOFFICE.FOURIER({1,2,3,4,5,6,7,8;9,10,11,12,13,14,15,16},TRUE()),ROWS(_xlfn.ORG.LIBREOFFICE.FOURIER({1,2,3,4,5,6,7,8;9,10,11,12,13,14,15,16},TRUE())),1)</f>
        <v>#VALUE!</v>
      </c>
      <c r="B23683" s="0" t="s">
        <v>23508</v>
      </c>
    </row>
    <row r="23684" customFormat="false" ht="15" hidden="false" customHeight="false" outlineLevel="0" collapsed="false">
      <c r="A23684" s="0" t="e">
        <f aca="false">INDEX(_xlfn.ORG.LIBREOFFICE.FOURIER({1,2,3,4,5,6,7,8;9,10,11,12,13,14,15,16},TRUE()),ROWS(_xlfn.ORG.LIBREOFFICE.FOURIER({1,2,3,4,5,6,7,8;9,10,11,12,13,14,15,16},TRUE())),2)</f>
        <v>#VALUE!</v>
      </c>
      <c r="B23684" s="0" t="s">
        <v>23509</v>
      </c>
    </row>
    <row r="23685" customFormat="false" ht="15" hidden="false" customHeight="false" outlineLevel="0" collapsed="false">
      <c r="A23685" s="0" t="e">
        <f aca="false">SUM(_xlfn.ORG.LIBREOFFICE.FOURIER({1,2,3,4,5,6,7,8;9,10,11,12,13,14,15,16},TRUE(),TRUE()))</f>
        <v>#VALUE!</v>
      </c>
      <c r="B23685" s="0" t="s">
        <v>23510</v>
      </c>
    </row>
    <row r="23686" customFormat="false" ht="15" hidden="false" customHeight="false" outlineLevel="0" collapsed="false">
      <c r="A23686" s="0" t="e">
        <f aca="false">INDEX(_xlfn.ORG.LIBREOFFICE.FOURIER({1,2,3,4,5,6,7,8;9,10,11,12,13,14,15,16},TRUE(),TRUE()),1,1)</f>
        <v>#VALUE!</v>
      </c>
      <c r="B23686" s="0" t="s">
        <v>23511</v>
      </c>
    </row>
    <row r="23687" customFormat="false" ht="15" hidden="false" customHeight="false" outlineLevel="0" collapsed="false">
      <c r="A23687" s="0" t="e">
        <f aca="false">INDEX(_xlfn.ORG.LIBREOFFICE.FOURIER({1,2,3,4,5,6,7,8;9,10,11,12,13,14,15,16},TRUE(),TRUE()),2,1)</f>
        <v>#VALUE!</v>
      </c>
      <c r="B23687" s="0" t="s">
        <v>23512</v>
      </c>
    </row>
    <row r="23688" customFormat="false" ht="15" hidden="false" customHeight="false" outlineLevel="0" collapsed="false">
      <c r="A23688" s="0" t="e">
        <f aca="false">INDEX(_xlfn.ORG.LIBREOFFICE.FOURIER({1,2,3,4,5,6,7,8;9,10,11,12,13,14,15,16},TRUE(),TRUE()),2,2)</f>
        <v>#VALUE!</v>
      </c>
      <c r="B23688" s="0" t="s">
        <v>23513</v>
      </c>
    </row>
    <row r="23689" customFormat="false" ht="15" hidden="false" customHeight="false" outlineLevel="0" collapsed="false">
      <c r="A23689" s="0" t="e">
        <f aca="false">INDEX(_xlfn.ORG.LIBREOFFICE.FOURIER({1,2,3,4,5,6,7,8;9,10,11,12,13,14,15,16},TRUE(),TRUE()),3,2)</f>
        <v>#VALUE!</v>
      </c>
      <c r="B23689" s="0" t="s">
        <v>23514</v>
      </c>
    </row>
    <row r="23690" customFormat="false" ht="15" hidden="false" customHeight="false" outlineLevel="0" collapsed="false">
      <c r="A23690" s="0" t="e">
        <f aca="false">INDEX(_xlfn.ORG.LIBREOFFICE.FOURIER({1,2,3,4,5,6,7,8;9,10,11,12,13,14,15,16},TRUE(),TRUE()),ROWS(_xlfn.ORG.LIBREOFFICE.FOURIER({1,2,3,4,5,6,7,8;9,10,11,12,13,14,15,16},TRUE(),TRUE())),1)</f>
        <v>#VALUE!</v>
      </c>
      <c r="B23690" s="0" t="s">
        <v>23515</v>
      </c>
    </row>
    <row r="23691" customFormat="false" ht="15" hidden="false" customHeight="false" outlineLevel="0" collapsed="false">
      <c r="A23691" s="0" t="e">
        <f aca="false">INDEX(_xlfn.ORG.LIBREOFFICE.FOURIER({1,2,3,4,5,6,7,8;9,10,11,12,13,14,15,16},TRUE(),TRUE()),ROWS(_xlfn.ORG.LIBREOFFICE.FOURIER({1,2,3,4,5,6,7,8;9,10,11,12,13,14,15,16},TRUE(),TRUE())),2)</f>
        <v>#VALUE!</v>
      </c>
      <c r="B23691" s="0" t="s">
        <v>23516</v>
      </c>
    </row>
    <row r="23692" customFormat="false" ht="15" hidden="false" customHeight="false" outlineLevel="0" collapsed="false">
      <c r="A23692" s="0" t="e">
        <f aca="false">SUM(_xlfn.ORG.LIBREOFFICE.FOURIER({1,2,3,4,5,6,7,8;9,10,11,12,13,14,15,16},TRUE(),FALSE(),TRUE()))</f>
        <v>#VALUE!</v>
      </c>
      <c r="B23692" s="0" t="s">
        <v>23517</v>
      </c>
    </row>
    <row r="23693" customFormat="false" ht="15" hidden="false" customHeight="false" outlineLevel="0" collapsed="false">
      <c r="A23693" s="0" t="e">
        <f aca="false">INDEX(_xlfn.ORG.LIBREOFFICE.FOURIER({1,2,3,4,5,6,7,8;9,10,11,12,13,14,15,16},TRUE(),FALSE(),TRUE()),1,1)</f>
        <v>#VALUE!</v>
      </c>
      <c r="B23693" s="0" t="s">
        <v>23518</v>
      </c>
    </row>
    <row r="23694" customFormat="false" ht="15" hidden="false" customHeight="false" outlineLevel="0" collapsed="false">
      <c r="A23694" s="0" t="e">
        <f aca="false">INDEX(_xlfn.ORG.LIBREOFFICE.FOURIER({1,2,3,4,5,6,7,8;9,10,11,12,13,14,15,16},TRUE(),FALSE(),TRUE()),2,1)</f>
        <v>#VALUE!</v>
      </c>
      <c r="B23694" s="0" t="s">
        <v>23519</v>
      </c>
    </row>
    <row r="23695" customFormat="false" ht="15" hidden="false" customHeight="false" outlineLevel="0" collapsed="false">
      <c r="A23695" s="0" t="e">
        <f aca="false">INDEX(_xlfn.ORG.LIBREOFFICE.FOURIER({1,2,3,4,5,6,7,8;9,10,11,12,13,14,15,16},TRUE(),FALSE(),TRUE()),2,2)</f>
        <v>#VALUE!</v>
      </c>
      <c r="B23695" s="0" t="s">
        <v>23520</v>
      </c>
    </row>
    <row r="23696" customFormat="false" ht="15" hidden="false" customHeight="false" outlineLevel="0" collapsed="false">
      <c r="A23696" s="0" t="e">
        <f aca="false">INDEX(_xlfn.ORG.LIBREOFFICE.FOURIER({1,2,3,4,5,6,7,8;9,10,11,12,13,14,15,16},TRUE(),FALSE(),TRUE()),3,2)</f>
        <v>#VALUE!</v>
      </c>
      <c r="B23696" s="0" t="s">
        <v>23521</v>
      </c>
    </row>
    <row r="23697" customFormat="false" ht="15" hidden="false" customHeight="false" outlineLevel="0" collapsed="false">
      <c r="A23697" s="0" t="e">
        <f aca="false">INDEX(_xlfn.ORG.LIBREOFFICE.FOURIER({1,2,3,4,5,6,7,8;9,10,11,12,13,14,15,16},TRUE(),FALSE(),TRUE()),ROWS(_xlfn.ORG.LIBREOFFICE.FOURIER({1,2,3,4,5,6,7,8;9,10,11,12,13,14,15,16},TRUE(),FALSE(),TRUE())),1)</f>
        <v>#VALUE!</v>
      </c>
      <c r="B23697" s="0" t="s">
        <v>23522</v>
      </c>
    </row>
    <row r="23698" customFormat="false" ht="15" hidden="false" customHeight="false" outlineLevel="0" collapsed="false">
      <c r="A23698" s="0" t="e">
        <f aca="false">INDEX(_xlfn.ORG.LIBREOFFICE.FOURIER({1,2,3,4,5,6,7,8;9,10,11,12,13,14,15,16},TRUE(),FALSE(),TRUE()),ROWS(_xlfn.ORG.LIBREOFFICE.FOURIER({1,2,3,4,5,6,7,8;9,10,11,12,13,14,15,16},TRUE(),FALSE(),TRUE())),2)</f>
        <v>#VALUE!</v>
      </c>
      <c r="B23698" s="0" t="s">
        <v>23523</v>
      </c>
    </row>
    <row r="23699" customFormat="false" ht="15" hidden="false" customHeight="false" outlineLevel="0" collapsed="false">
      <c r="A23699" s="0" t="e">
        <f aca="false">SUM(_xlfn.ORG.LIBREOFFICE.FOURIER({1,2,3,4,5,6,7,8;9,10,11,12,13,14,15,16},TRUE(),TRUE(),TRUE()))</f>
        <v>#VALUE!</v>
      </c>
      <c r="B23699" s="0" t="s">
        <v>23524</v>
      </c>
    </row>
    <row r="23700" customFormat="false" ht="15" hidden="false" customHeight="false" outlineLevel="0" collapsed="false">
      <c r="A23700" s="0" t="e">
        <f aca="false">INDEX(_xlfn.ORG.LIBREOFFICE.FOURIER({1,2,3,4,5,6,7,8;9,10,11,12,13,14,15,16},TRUE(),TRUE(),TRUE()),1,1)</f>
        <v>#VALUE!</v>
      </c>
      <c r="B23700" s="0" t="s">
        <v>23525</v>
      </c>
    </row>
    <row r="23701" customFormat="false" ht="15" hidden="false" customHeight="false" outlineLevel="0" collapsed="false">
      <c r="A23701" s="0" t="e">
        <f aca="false">INDEX(_xlfn.ORG.LIBREOFFICE.FOURIER({1,2,3,4,5,6,7,8;9,10,11,12,13,14,15,16},TRUE(),TRUE(),TRUE()),2,1)</f>
        <v>#VALUE!</v>
      </c>
      <c r="B23701" s="0" t="s">
        <v>23526</v>
      </c>
    </row>
    <row r="23702" customFormat="false" ht="15" hidden="false" customHeight="false" outlineLevel="0" collapsed="false">
      <c r="A23702" s="0" t="e">
        <f aca="false">INDEX(_xlfn.ORG.LIBREOFFICE.FOURIER({1,2,3,4,5,6,7,8;9,10,11,12,13,14,15,16},TRUE(),TRUE(),TRUE()),2,2)</f>
        <v>#VALUE!</v>
      </c>
      <c r="B23702" s="0" t="s">
        <v>23527</v>
      </c>
    </row>
    <row r="23703" customFormat="false" ht="15" hidden="false" customHeight="false" outlineLevel="0" collapsed="false">
      <c r="A23703" s="0" t="e">
        <f aca="false">INDEX(_xlfn.ORG.LIBREOFFICE.FOURIER({1,2,3,4,5,6,7,8;9,10,11,12,13,14,15,16},TRUE(),TRUE(),TRUE()),3,2)</f>
        <v>#VALUE!</v>
      </c>
      <c r="B23703" s="0" t="s">
        <v>23528</v>
      </c>
    </row>
    <row r="23704" customFormat="false" ht="15" hidden="false" customHeight="false" outlineLevel="0" collapsed="false">
      <c r="A23704" s="0" t="e">
        <f aca="false">INDEX(_xlfn.ORG.LIBREOFFICE.FOURIER({1,2,3,4,5,6,7,8;9,10,11,12,13,14,15,16},TRUE(),TRUE(),TRUE()),ROWS(_xlfn.ORG.LIBREOFFICE.FOURIER({1,2,3,4,5,6,7,8;9,10,11,12,13,14,15,16},TRUE(),TRUE(),TRUE())),1)</f>
        <v>#VALUE!</v>
      </c>
      <c r="B23704" s="0" t="s">
        <v>23529</v>
      </c>
    </row>
    <row r="23705" customFormat="false" ht="15" hidden="false" customHeight="false" outlineLevel="0" collapsed="false">
      <c r="A23705" s="0" t="e">
        <f aca="false">INDEX(_xlfn.ORG.LIBREOFFICE.FOURIER({1,2,3,4,5,6,7,8;9,10,11,12,13,14,15,16},TRUE(),TRUE(),TRUE()),ROWS(_xlfn.ORG.LIBREOFFICE.FOURIER({1,2,3,4,5,6,7,8;9,10,11,12,13,14,15,16},TRUE(),TRUE(),TRUE())),2)</f>
        <v>#VALUE!</v>
      </c>
      <c r="B23705" s="0" t="s">
        <v>23530</v>
      </c>
    </row>
    <row r="23706" customFormat="false" ht="15" hidden="false" customHeight="false" outlineLevel="0" collapsed="false">
      <c r="A23706" s="0" t="e">
        <f aca="false">SUM(_xlfn.ORG.LIBREOFFICE.FOURIER({1,2,3,4,5,6,7,8;9,10,11,12,13,14,15,16},TRUE(),FALSE(),TRUE(),1))</f>
        <v>#VALUE!</v>
      </c>
      <c r="B23706" s="0" t="s">
        <v>23531</v>
      </c>
    </row>
    <row r="23707" customFormat="false" ht="15" hidden="false" customHeight="false" outlineLevel="0" collapsed="false">
      <c r="A23707" s="0" t="e">
        <f aca="false">INDEX(_xlfn.ORG.LIBREOFFICE.FOURIER({1,2,3,4,5,6,7,8;9,10,11,12,13,14,15,16},TRUE(),FALSE(),TRUE(),1),1,1)</f>
        <v>#VALUE!</v>
      </c>
      <c r="B23707" s="0" t="s">
        <v>23532</v>
      </c>
    </row>
    <row r="23708" customFormat="false" ht="15" hidden="false" customHeight="false" outlineLevel="0" collapsed="false">
      <c r="A23708" s="0" t="e">
        <f aca="false">INDEX(_xlfn.ORG.LIBREOFFICE.FOURIER({1,2,3,4,5,6,7,8;9,10,11,12,13,14,15,16},TRUE(),FALSE(),TRUE(),1),2,1)</f>
        <v>#VALUE!</v>
      </c>
      <c r="B23708" s="0" t="s">
        <v>23533</v>
      </c>
    </row>
    <row r="23709" customFormat="false" ht="15" hidden="false" customHeight="false" outlineLevel="0" collapsed="false">
      <c r="A23709" s="0" t="e">
        <f aca="false">INDEX(_xlfn.ORG.LIBREOFFICE.FOURIER({1,2,3,4,5,6,7,8;9,10,11,12,13,14,15,16},TRUE(),FALSE(),TRUE(),1),2,2)</f>
        <v>#VALUE!</v>
      </c>
      <c r="B23709" s="0" t="s">
        <v>23534</v>
      </c>
    </row>
    <row r="23710" customFormat="false" ht="15" hidden="false" customHeight="false" outlineLevel="0" collapsed="false">
      <c r="A23710" s="0" t="e">
        <f aca="false">INDEX(_xlfn.ORG.LIBREOFFICE.FOURIER({1,2,3,4,5,6,7,8;9,10,11,12,13,14,15,16},TRUE(),FALSE(),TRUE(),1),3,2)</f>
        <v>#VALUE!</v>
      </c>
      <c r="B23710" s="0" t="s">
        <v>23535</v>
      </c>
    </row>
    <row r="23711" customFormat="false" ht="15" hidden="false" customHeight="false" outlineLevel="0" collapsed="false">
      <c r="A23711" s="0" t="e">
        <f aca="false">INDEX(_xlfn.ORG.LIBREOFFICE.FOURIER({1,2,3,4,5,6,7,8;9,10,11,12,13,14,15,16},TRUE(),FALSE(),TRUE(),1),ROWS(_xlfn.ORG.LIBREOFFICE.FOURIER({1,2,3,4,5,6,7,8;9,10,11,12,13,14,15,16},TRUE(),FALSE(),TRUE(),1)),1)</f>
        <v>#VALUE!</v>
      </c>
      <c r="B23711" s="0" t="s">
        <v>23536</v>
      </c>
    </row>
    <row r="23712" customFormat="false" ht="15" hidden="false" customHeight="false" outlineLevel="0" collapsed="false">
      <c r="A23712" s="0" t="e">
        <f aca="false">INDEX(_xlfn.ORG.LIBREOFFICE.FOURIER({1,2,3,4,5,6,7,8;9,10,11,12,13,14,15,16},TRUE(),FALSE(),TRUE(),1),ROWS(_xlfn.ORG.LIBREOFFICE.FOURIER({1,2,3,4,5,6,7,8;9,10,11,12,13,14,15,16},TRUE(),FALSE(),TRUE(),1)),2)</f>
        <v>#VALUE!</v>
      </c>
      <c r="B23712" s="0" t="s">
        <v>23537</v>
      </c>
    </row>
    <row r="23713" customFormat="false" ht="15" hidden="false" customHeight="false" outlineLevel="0" collapsed="false">
      <c r="A23713" s="0" t="e">
        <f aca="false">SUM(_xlfn.ORG.LIBREOFFICE.FOURIER({1,2,3,4,5,6,7,8;9,10,11,12,13,14,15,16},TRUE(),TRUE(),TRUE(),5))</f>
        <v>#VALUE!</v>
      </c>
      <c r="B23713" s="0" t="s">
        <v>23538</v>
      </c>
    </row>
    <row r="23714" customFormat="false" ht="15" hidden="false" customHeight="false" outlineLevel="0" collapsed="false">
      <c r="A23714" s="0" t="e">
        <f aca="false">INDEX(_xlfn.ORG.LIBREOFFICE.FOURIER({1,2,3,4,5,6,7,8;9,10,11,12,13,14,15,16},TRUE(),TRUE(),TRUE(),5),1,1)</f>
        <v>#VALUE!</v>
      </c>
      <c r="B23714" s="0" t="s">
        <v>23539</v>
      </c>
    </row>
    <row r="23715" customFormat="false" ht="15" hidden="false" customHeight="false" outlineLevel="0" collapsed="false">
      <c r="A23715" s="0" t="e">
        <f aca="false">INDEX(_xlfn.ORG.LIBREOFFICE.FOURIER({1,2,3,4,5,6,7,8;9,10,11,12,13,14,15,16},TRUE(),TRUE(),TRUE(),5),2,1)</f>
        <v>#VALUE!</v>
      </c>
      <c r="B23715" s="0" t="s">
        <v>23540</v>
      </c>
    </row>
    <row r="23716" customFormat="false" ht="15" hidden="false" customHeight="false" outlineLevel="0" collapsed="false">
      <c r="A23716" s="0" t="e">
        <f aca="false">INDEX(_xlfn.ORG.LIBREOFFICE.FOURIER({1,2,3,4,5,6,7,8;9,10,11,12,13,14,15,16},TRUE(),TRUE(),TRUE(),5),2,2)</f>
        <v>#VALUE!</v>
      </c>
      <c r="B23716" s="0" t="s">
        <v>23541</v>
      </c>
    </row>
    <row r="23717" customFormat="false" ht="15" hidden="false" customHeight="false" outlineLevel="0" collapsed="false">
      <c r="A23717" s="0" t="e">
        <f aca="false">INDEX(_xlfn.ORG.LIBREOFFICE.FOURIER({1,2,3,4,5,6,7,8;9,10,11,12,13,14,15,16},TRUE(),TRUE(),TRUE(),5),3,2)</f>
        <v>#VALUE!</v>
      </c>
      <c r="B23717" s="0" t="s">
        <v>23542</v>
      </c>
    </row>
    <row r="23718" customFormat="false" ht="15" hidden="false" customHeight="false" outlineLevel="0" collapsed="false">
      <c r="A23718" s="0" t="e">
        <f aca="false">INDEX(_xlfn.ORG.LIBREOFFICE.FOURIER({1,2,3,4,5,6,7,8;9,10,11,12,13,14,15,16},TRUE(),TRUE(),TRUE(),5),ROWS(_xlfn.ORG.LIBREOFFICE.FOURIER({1,2,3,4,5,6,7,8;9,10,11,12,13,14,15,16},TRUE(),TRUE(),TRUE(),5)),1)</f>
        <v>#VALUE!</v>
      </c>
      <c r="B23718" s="0" t="s">
        <v>23543</v>
      </c>
    </row>
    <row r="23719" customFormat="false" ht="15" hidden="false" customHeight="false" outlineLevel="0" collapsed="false">
      <c r="A23719" s="0" t="e">
        <f aca="false">INDEX(_xlfn.ORG.LIBREOFFICE.FOURIER({1,2,3,4,5,6,7,8;9,10,11,12,13,14,15,16},TRUE(),TRUE(),TRUE(),5),ROWS(_xlfn.ORG.LIBREOFFICE.FOURIER({1,2,3,4,5,6,7,8;9,10,11,12,13,14,15,16},TRUE(),TRUE(),TRUE(),5)),2)</f>
        <v>#VALUE!</v>
      </c>
      <c r="B23719" s="0" t="s">
        <v>23544</v>
      </c>
    </row>
    <row r="23720" customFormat="false" ht="15" hidden="false" customHeight="false" outlineLevel="0" collapsed="false">
      <c r="A23720" s="0" t="e">
        <f aca="false">ROWS(_xlfn.ORG.LIBREOFFICE.FOURIER(TRANSPOSE({1,2,3,4,5,6,7,8;9,10,11,12,13,14,15,16}),FALSE()))</f>
        <v>#VALUE!</v>
      </c>
      <c r="B23720" s="0" t="s">
        <v>23545</v>
      </c>
    </row>
    <row r="23721" customFormat="false" ht="15" hidden="false" customHeight="false" outlineLevel="0" collapsed="false">
      <c r="A23721" s="0" t="e">
        <f aca="false">COLUMNS(_xlfn.ORG.LIBREOFFICE.FOURIER(TRANSPOSE({1,2,3,4,5,6,7,8;9,10,11,12,13,14,15,16}),FALSE()))</f>
        <v>#VALUE!</v>
      </c>
      <c r="B23721" s="0" t="s">
        <v>23546</v>
      </c>
    </row>
    <row r="23722" customFormat="false" ht="15" hidden="false" customHeight="false" outlineLevel="0" collapsed="false">
      <c r="A23722" s="0" t="e">
        <f aca="false">SUM(_xlfn.ORG.LIBREOFFICE.FOURIER(TRANSPOSE({1,2,3,4,5,6,7,8;9,10,11,12,13,14,15,16}),FALSE()))</f>
        <v>#VALUE!</v>
      </c>
      <c r="B23722" s="0" t="s">
        <v>23547</v>
      </c>
    </row>
    <row r="23723" customFormat="false" ht="15" hidden="false" customHeight="false" outlineLevel="0" collapsed="false">
      <c r="A23723" s="0" t="e">
        <f aca="false">INDEX(_xlfn.ORG.LIBREOFFICE.FOURIER(TRANSPOSE({1,2,3,4,5,6,7,8;9,10,11,12,13,14,15,16}),FALSE()),1,1)</f>
        <v>#VALUE!</v>
      </c>
      <c r="B23723" s="0" t="s">
        <v>23548</v>
      </c>
    </row>
    <row r="23724" customFormat="false" ht="15" hidden="false" customHeight="false" outlineLevel="0" collapsed="false">
      <c r="A23724" s="0" t="e">
        <f aca="false">INDEX(_xlfn.ORG.LIBREOFFICE.FOURIER(TRANSPOSE({1,2,3,4,5,6,7,8;9,10,11,12,13,14,15,16}),FALSE()),2,1)</f>
        <v>#VALUE!</v>
      </c>
      <c r="B23724" s="0" t="s">
        <v>23549</v>
      </c>
    </row>
    <row r="23725" customFormat="false" ht="15" hidden="false" customHeight="false" outlineLevel="0" collapsed="false">
      <c r="A23725" s="0" t="e">
        <f aca="false">INDEX(_xlfn.ORG.LIBREOFFICE.FOURIER(TRANSPOSE({1,2,3,4,5,6,7,8;9,10,11,12,13,14,15,16}),FALSE()),2,2)</f>
        <v>#VALUE!</v>
      </c>
      <c r="B23725" s="0" t="s">
        <v>23550</v>
      </c>
    </row>
    <row r="23726" customFormat="false" ht="15" hidden="false" customHeight="false" outlineLevel="0" collapsed="false">
      <c r="A23726" s="0" t="e">
        <f aca="false">INDEX(_xlfn.ORG.LIBREOFFICE.FOURIER(TRANSPOSE({1,2,3,4,5,6,7,8;9,10,11,12,13,14,15,16}),FALSE()),3,2)</f>
        <v>#VALUE!</v>
      </c>
      <c r="B23726" s="0" t="s">
        <v>23551</v>
      </c>
    </row>
    <row r="23727" customFormat="false" ht="15" hidden="false" customHeight="false" outlineLevel="0" collapsed="false">
      <c r="A23727" s="0" t="e">
        <f aca="false">INDEX(_xlfn.ORG.LIBREOFFICE.FOURIER(TRANSPOSE({1,2,3,4,5,6,7,8;9,10,11,12,13,14,15,16}),FALSE()),ROWS(_xlfn.ORG.LIBREOFFICE.FOURIER(TRANSPOSE({1,2,3,4,5,6,7,8;9,10,11,12,13,14,15,16}),FALSE())),1)</f>
        <v>#VALUE!</v>
      </c>
      <c r="B23727" s="0" t="s">
        <v>23552</v>
      </c>
    </row>
    <row r="23728" customFormat="false" ht="15" hidden="false" customHeight="false" outlineLevel="0" collapsed="false">
      <c r="A23728" s="0" t="e">
        <f aca="false">INDEX(_xlfn.ORG.LIBREOFFICE.FOURIER(TRANSPOSE({1,2,3,4,5,6,7,8;9,10,11,12,13,14,15,16}),FALSE()),ROWS(_xlfn.ORG.LIBREOFFICE.FOURIER(TRANSPOSE({1,2,3,4,5,6,7,8;9,10,11,12,13,14,15,16}),FALSE())),2)</f>
        <v>#VALUE!</v>
      </c>
      <c r="B23728" s="0" t="s">
        <v>23553</v>
      </c>
    </row>
    <row r="23729" customFormat="false" ht="15" hidden="false" customHeight="false" outlineLevel="0" collapsed="false">
      <c r="A23729" s="0" t="e">
        <f aca="false">SUM(_xlfn.ORG.LIBREOFFICE.FOURIER(TRANSPOSE({1,2,3,4,5,6,7,8;9,10,11,12,13,14,15,16}),FALSE(),TRUE()))</f>
        <v>#VALUE!</v>
      </c>
      <c r="B23729" s="0" t="s">
        <v>23554</v>
      </c>
    </row>
    <row r="23730" customFormat="false" ht="15" hidden="false" customHeight="false" outlineLevel="0" collapsed="false">
      <c r="A23730" s="0" t="e">
        <f aca="false">INDEX(_xlfn.ORG.LIBREOFFICE.FOURIER(TRANSPOSE({1,2,3,4,5,6,7,8;9,10,11,12,13,14,15,16}),FALSE(),TRUE()),1,1)</f>
        <v>#VALUE!</v>
      </c>
      <c r="B23730" s="0" t="s">
        <v>23555</v>
      </c>
    </row>
    <row r="23731" customFormat="false" ht="15" hidden="false" customHeight="false" outlineLevel="0" collapsed="false">
      <c r="A23731" s="0" t="e">
        <f aca="false">INDEX(_xlfn.ORG.LIBREOFFICE.FOURIER(TRANSPOSE({1,2,3,4,5,6,7,8;9,10,11,12,13,14,15,16}),FALSE(),TRUE()),2,1)</f>
        <v>#VALUE!</v>
      </c>
      <c r="B23731" s="0" t="s">
        <v>23556</v>
      </c>
    </row>
    <row r="23732" customFormat="false" ht="15" hidden="false" customHeight="false" outlineLevel="0" collapsed="false">
      <c r="A23732" s="0" t="e">
        <f aca="false">INDEX(_xlfn.ORG.LIBREOFFICE.FOURIER(TRANSPOSE({1,2,3,4,5,6,7,8;9,10,11,12,13,14,15,16}),FALSE(),TRUE()),2,2)</f>
        <v>#VALUE!</v>
      </c>
      <c r="B23732" s="0" t="s">
        <v>23557</v>
      </c>
    </row>
    <row r="23733" customFormat="false" ht="15" hidden="false" customHeight="false" outlineLevel="0" collapsed="false">
      <c r="A23733" s="0" t="e">
        <f aca="false">INDEX(_xlfn.ORG.LIBREOFFICE.FOURIER(TRANSPOSE({1,2,3,4,5,6,7,8;9,10,11,12,13,14,15,16}),FALSE(),TRUE()),3,2)</f>
        <v>#VALUE!</v>
      </c>
      <c r="B23733" s="0" t="s">
        <v>23558</v>
      </c>
    </row>
    <row r="23734" customFormat="false" ht="15" hidden="false" customHeight="false" outlineLevel="0" collapsed="false">
      <c r="A23734" s="0" t="e">
        <f aca="false">INDEX(_xlfn.ORG.LIBREOFFICE.FOURIER(TRANSPOSE({1,2,3,4,5,6,7,8;9,10,11,12,13,14,15,16}),FALSE(),TRUE()),ROWS(_xlfn.ORG.LIBREOFFICE.FOURIER(TRANSPOSE({1,2,3,4,5,6,7,8;9,10,11,12,13,14,15,16}),FALSE(),TRUE())),1)</f>
        <v>#VALUE!</v>
      </c>
      <c r="B23734" s="0" t="s">
        <v>23559</v>
      </c>
    </row>
    <row r="23735" customFormat="false" ht="15" hidden="false" customHeight="false" outlineLevel="0" collapsed="false">
      <c r="A23735" s="0" t="e">
        <f aca="false">INDEX(_xlfn.ORG.LIBREOFFICE.FOURIER(TRANSPOSE({1,2,3,4,5,6,7,8;9,10,11,12,13,14,15,16}),FALSE(),TRUE()),ROWS(_xlfn.ORG.LIBREOFFICE.FOURIER(TRANSPOSE({1,2,3,4,5,6,7,8;9,10,11,12,13,14,15,16}),FALSE(),TRUE())),2)</f>
        <v>#VALUE!</v>
      </c>
      <c r="B23735" s="0" t="s">
        <v>23560</v>
      </c>
    </row>
    <row r="23736" customFormat="false" ht="15" hidden="false" customHeight="false" outlineLevel="0" collapsed="false">
      <c r="A23736" s="0" t="e">
        <f aca="false">SUM(_xlfn.ORG.LIBREOFFICE.FOURIER(TRANSPOSE({1,2,3,4,5,6,7,8;9,10,11,12,13,14,15,16}),FALSE(),FALSE(),TRUE()))</f>
        <v>#VALUE!</v>
      </c>
      <c r="B23736" s="0" t="s">
        <v>23561</v>
      </c>
    </row>
    <row r="23737" customFormat="false" ht="15" hidden="false" customHeight="false" outlineLevel="0" collapsed="false">
      <c r="A23737" s="0" t="e">
        <f aca="false">INDEX(_xlfn.ORG.LIBREOFFICE.FOURIER(TRANSPOSE({1,2,3,4,5,6,7,8;9,10,11,12,13,14,15,16}),FALSE(),FALSE(),TRUE()),1,1)</f>
        <v>#VALUE!</v>
      </c>
      <c r="B23737" s="0" t="s">
        <v>23562</v>
      </c>
    </row>
    <row r="23738" customFormat="false" ht="15" hidden="false" customHeight="false" outlineLevel="0" collapsed="false">
      <c r="A23738" s="0" t="e">
        <f aca="false">INDEX(_xlfn.ORG.LIBREOFFICE.FOURIER(TRANSPOSE({1,2,3,4,5,6,7,8;9,10,11,12,13,14,15,16}),FALSE(),FALSE(),TRUE()),2,1)</f>
        <v>#VALUE!</v>
      </c>
      <c r="B23738" s="0" t="s">
        <v>23563</v>
      </c>
    </row>
    <row r="23739" customFormat="false" ht="15" hidden="false" customHeight="false" outlineLevel="0" collapsed="false">
      <c r="A23739" s="0" t="e">
        <f aca="false">INDEX(_xlfn.ORG.LIBREOFFICE.FOURIER(TRANSPOSE({1,2,3,4,5,6,7,8;9,10,11,12,13,14,15,16}),FALSE(),FALSE(),TRUE()),2,2)</f>
        <v>#VALUE!</v>
      </c>
      <c r="B23739" s="0" t="s">
        <v>23564</v>
      </c>
    </row>
    <row r="23740" customFormat="false" ht="15" hidden="false" customHeight="false" outlineLevel="0" collapsed="false">
      <c r="A23740" s="0" t="e">
        <f aca="false">INDEX(_xlfn.ORG.LIBREOFFICE.FOURIER(TRANSPOSE({1,2,3,4,5,6,7,8;9,10,11,12,13,14,15,16}),FALSE(),FALSE(),TRUE()),3,2)</f>
        <v>#VALUE!</v>
      </c>
      <c r="B23740" s="0" t="s">
        <v>23565</v>
      </c>
    </row>
    <row r="23741" customFormat="false" ht="15" hidden="false" customHeight="false" outlineLevel="0" collapsed="false">
      <c r="A23741" s="0" t="e">
        <f aca="false">INDEX(_xlfn.ORG.LIBREOFFICE.FOURIER(TRANSPOSE({1,2,3,4,5,6,7,8;9,10,11,12,13,14,15,16}),FALSE(),FALSE(),TRUE()),ROWS(_xlfn.ORG.LIBREOFFICE.FOURIER(TRANSPOSE({1,2,3,4,5,6,7,8;9,10,11,12,13,14,15,16}),FALSE(),FALSE(),TRUE())),1)</f>
        <v>#VALUE!</v>
      </c>
      <c r="B23741" s="0" t="s">
        <v>23566</v>
      </c>
    </row>
    <row r="23742" customFormat="false" ht="15" hidden="false" customHeight="false" outlineLevel="0" collapsed="false">
      <c r="A23742" s="0" t="e">
        <f aca="false">INDEX(_xlfn.ORG.LIBREOFFICE.FOURIER(TRANSPOSE({1,2,3,4,5,6,7,8;9,10,11,12,13,14,15,16}),FALSE(),FALSE(),TRUE()),ROWS(_xlfn.ORG.LIBREOFFICE.FOURIER(TRANSPOSE({1,2,3,4,5,6,7,8;9,10,11,12,13,14,15,16}),FALSE(),FALSE(),TRUE())),2)</f>
        <v>#VALUE!</v>
      </c>
      <c r="B23742" s="0" t="s">
        <v>23567</v>
      </c>
    </row>
    <row r="23743" customFormat="false" ht="15" hidden="false" customHeight="false" outlineLevel="0" collapsed="false">
      <c r="A23743" s="0" t="e">
        <f aca="false">SUM(_xlfn.ORG.LIBREOFFICE.FOURIER(TRANSPOSE({1,2,3,4,5,6,7,8;9,10,11,12,13,14,15,16}),FALSE(),TRUE(),TRUE()))</f>
        <v>#VALUE!</v>
      </c>
      <c r="B23743" s="0" t="s">
        <v>23568</v>
      </c>
    </row>
    <row r="23744" customFormat="false" ht="15" hidden="false" customHeight="false" outlineLevel="0" collapsed="false">
      <c r="A23744" s="0" t="e">
        <f aca="false">INDEX(_xlfn.ORG.LIBREOFFICE.FOURIER(TRANSPOSE({1,2,3,4,5,6,7,8;9,10,11,12,13,14,15,16}),FALSE(),TRUE(),TRUE()),1,1)</f>
        <v>#VALUE!</v>
      </c>
      <c r="B23744" s="0" t="s">
        <v>23569</v>
      </c>
    </row>
    <row r="23745" customFormat="false" ht="15" hidden="false" customHeight="false" outlineLevel="0" collapsed="false">
      <c r="A23745" s="0" t="e">
        <f aca="false">INDEX(_xlfn.ORG.LIBREOFFICE.FOURIER(TRANSPOSE({1,2,3,4,5,6,7,8;9,10,11,12,13,14,15,16}),FALSE(),TRUE(),TRUE()),2,1)</f>
        <v>#VALUE!</v>
      </c>
      <c r="B23745" s="0" t="s">
        <v>23570</v>
      </c>
    </row>
    <row r="23746" customFormat="false" ht="15" hidden="false" customHeight="false" outlineLevel="0" collapsed="false">
      <c r="A23746" s="0" t="e">
        <f aca="false">INDEX(_xlfn.ORG.LIBREOFFICE.FOURIER(TRANSPOSE({1,2,3,4,5,6,7,8;9,10,11,12,13,14,15,16}),FALSE(),TRUE(),TRUE()),2,2)</f>
        <v>#VALUE!</v>
      </c>
      <c r="B23746" s="0" t="s">
        <v>23571</v>
      </c>
    </row>
    <row r="23747" customFormat="false" ht="15" hidden="false" customHeight="false" outlineLevel="0" collapsed="false">
      <c r="A23747" s="0" t="e">
        <f aca="false">INDEX(_xlfn.ORG.LIBREOFFICE.FOURIER(TRANSPOSE({1,2,3,4,5,6,7,8;9,10,11,12,13,14,15,16}),FALSE(),TRUE(),TRUE()),3,2)</f>
        <v>#VALUE!</v>
      </c>
      <c r="B23747" s="0" t="s">
        <v>23572</v>
      </c>
    </row>
    <row r="23748" customFormat="false" ht="15" hidden="false" customHeight="false" outlineLevel="0" collapsed="false">
      <c r="A23748" s="0" t="e">
        <f aca="false">INDEX(_xlfn.ORG.LIBREOFFICE.FOURIER(TRANSPOSE({1,2,3,4,5,6,7,8;9,10,11,12,13,14,15,16}),FALSE(),TRUE(),TRUE()),ROWS(_xlfn.ORG.LIBREOFFICE.FOURIER(TRANSPOSE({1,2,3,4,5,6,7,8;9,10,11,12,13,14,15,16}),FALSE(),TRUE(),TRUE())),1)</f>
        <v>#VALUE!</v>
      </c>
      <c r="B23748" s="0" t="s">
        <v>23573</v>
      </c>
    </row>
    <row r="23749" customFormat="false" ht="15" hidden="false" customHeight="false" outlineLevel="0" collapsed="false">
      <c r="A23749" s="0" t="e">
        <f aca="false">INDEX(_xlfn.ORG.LIBREOFFICE.FOURIER(TRANSPOSE({1,2,3,4,5,6,7,8;9,10,11,12,13,14,15,16}),FALSE(),TRUE(),TRUE()),ROWS(_xlfn.ORG.LIBREOFFICE.FOURIER(TRANSPOSE({1,2,3,4,5,6,7,8;9,10,11,12,13,14,15,16}),FALSE(),TRUE(),TRUE())),2)</f>
        <v>#VALUE!</v>
      </c>
      <c r="B23749" s="0" t="s">
        <v>23574</v>
      </c>
    </row>
    <row r="23750" customFormat="false" ht="15" hidden="false" customHeight="false" outlineLevel="0" collapsed="false">
      <c r="A23750" s="0" t="e">
        <f aca="false">SUM(_xlfn.ORG.LIBREOFFICE.FOURIER(TRANSPOSE({1,2,3,4,5,6,7,8;9,10,11,12,13,14,15,16}),FALSE(),FALSE(),TRUE(),1))</f>
        <v>#VALUE!</v>
      </c>
      <c r="B23750" s="0" t="s">
        <v>23575</v>
      </c>
    </row>
    <row r="23751" customFormat="false" ht="15" hidden="false" customHeight="false" outlineLevel="0" collapsed="false">
      <c r="A23751" s="0" t="e">
        <f aca="false">INDEX(_xlfn.ORG.LIBREOFFICE.FOURIER(TRANSPOSE({1,2,3,4,5,6,7,8;9,10,11,12,13,14,15,16}),FALSE(),FALSE(),TRUE(),1),1,1)</f>
        <v>#VALUE!</v>
      </c>
      <c r="B23751" s="0" t="s">
        <v>23576</v>
      </c>
    </row>
    <row r="23752" customFormat="false" ht="15" hidden="false" customHeight="false" outlineLevel="0" collapsed="false">
      <c r="A23752" s="0" t="e">
        <f aca="false">INDEX(_xlfn.ORG.LIBREOFFICE.FOURIER(TRANSPOSE({1,2,3,4,5,6,7,8;9,10,11,12,13,14,15,16}),FALSE(),FALSE(),TRUE(),1),2,1)</f>
        <v>#VALUE!</v>
      </c>
      <c r="B23752" s="0" t="s">
        <v>23577</v>
      </c>
    </row>
    <row r="23753" customFormat="false" ht="15" hidden="false" customHeight="false" outlineLevel="0" collapsed="false">
      <c r="A23753" s="0" t="e">
        <f aca="false">INDEX(_xlfn.ORG.LIBREOFFICE.FOURIER(TRANSPOSE({1,2,3,4,5,6,7,8;9,10,11,12,13,14,15,16}),FALSE(),FALSE(),TRUE(),1),2,2)</f>
        <v>#VALUE!</v>
      </c>
      <c r="B23753" s="0" t="s">
        <v>23578</v>
      </c>
    </row>
    <row r="23754" customFormat="false" ht="15" hidden="false" customHeight="false" outlineLevel="0" collapsed="false">
      <c r="A23754" s="0" t="e">
        <f aca="false">INDEX(_xlfn.ORG.LIBREOFFICE.FOURIER(TRANSPOSE({1,2,3,4,5,6,7,8;9,10,11,12,13,14,15,16}),FALSE(),FALSE(),TRUE(),1),3,2)</f>
        <v>#VALUE!</v>
      </c>
      <c r="B23754" s="0" t="s">
        <v>23579</v>
      </c>
    </row>
    <row r="23755" customFormat="false" ht="15" hidden="false" customHeight="false" outlineLevel="0" collapsed="false">
      <c r="A23755" s="0" t="e">
        <f aca="false">INDEX(_xlfn.ORG.LIBREOFFICE.FOURIER(TRANSPOSE({1,2,3,4,5,6,7,8;9,10,11,12,13,14,15,16}),FALSE(),FALSE(),TRUE(),1),ROWS(_xlfn.ORG.LIBREOFFICE.FOURIER(TRANSPOSE({1,2,3,4,5,6,7,8;9,10,11,12,13,14,15,16}),FALSE(),FALSE(),TRUE(),1)),1)</f>
        <v>#VALUE!</v>
      </c>
      <c r="B23755" s="0" t="s">
        <v>23580</v>
      </c>
    </row>
    <row r="23756" customFormat="false" ht="15" hidden="false" customHeight="false" outlineLevel="0" collapsed="false">
      <c r="A23756" s="0" t="e">
        <f aca="false">INDEX(_xlfn.ORG.LIBREOFFICE.FOURIER(TRANSPOSE({1,2,3,4,5,6,7,8;9,10,11,12,13,14,15,16}),FALSE(),FALSE(),TRUE(),1),ROWS(_xlfn.ORG.LIBREOFFICE.FOURIER(TRANSPOSE({1,2,3,4,5,6,7,8;9,10,11,12,13,14,15,16}),FALSE(),FALSE(),TRUE(),1)),2)</f>
        <v>#VALUE!</v>
      </c>
      <c r="B23756" s="0" t="s">
        <v>23581</v>
      </c>
    </row>
    <row r="23757" customFormat="false" ht="15" hidden="false" customHeight="false" outlineLevel="0" collapsed="false">
      <c r="A23757" s="0" t="e">
        <f aca="false">SUM(_xlfn.ORG.LIBREOFFICE.FOURIER(TRANSPOSE({1,2,3,4,5,6,7,8;9,10,11,12,13,14,15,16}),FALSE(),TRUE(),TRUE(),5))</f>
        <v>#VALUE!</v>
      </c>
      <c r="B23757" s="0" t="s">
        <v>23582</v>
      </c>
    </row>
    <row r="23758" customFormat="false" ht="15" hidden="false" customHeight="false" outlineLevel="0" collapsed="false">
      <c r="A23758" s="0" t="e">
        <f aca="false">INDEX(_xlfn.ORG.LIBREOFFICE.FOURIER(TRANSPOSE({1,2,3,4,5,6,7,8;9,10,11,12,13,14,15,16}),FALSE(),TRUE(),TRUE(),5),1,1)</f>
        <v>#VALUE!</v>
      </c>
      <c r="B23758" s="0" t="s">
        <v>23583</v>
      </c>
    </row>
    <row r="23759" customFormat="false" ht="15" hidden="false" customHeight="false" outlineLevel="0" collapsed="false">
      <c r="A23759" s="0" t="e">
        <f aca="false">INDEX(_xlfn.ORG.LIBREOFFICE.FOURIER(TRANSPOSE({1,2,3,4,5,6,7,8;9,10,11,12,13,14,15,16}),FALSE(),TRUE(),TRUE(),5),2,1)</f>
        <v>#VALUE!</v>
      </c>
      <c r="B23759" s="0" t="s">
        <v>23584</v>
      </c>
    </row>
    <row r="23760" customFormat="false" ht="15" hidden="false" customHeight="false" outlineLevel="0" collapsed="false">
      <c r="A23760" s="0" t="e">
        <f aca="false">INDEX(_xlfn.ORG.LIBREOFFICE.FOURIER(TRANSPOSE({1,2,3,4,5,6,7,8;9,10,11,12,13,14,15,16}),FALSE(),TRUE(),TRUE(),5),2,2)</f>
        <v>#VALUE!</v>
      </c>
      <c r="B23760" s="0" t="s">
        <v>23585</v>
      </c>
    </row>
    <row r="23761" customFormat="false" ht="15" hidden="false" customHeight="false" outlineLevel="0" collapsed="false">
      <c r="A23761" s="0" t="e">
        <f aca="false">INDEX(_xlfn.ORG.LIBREOFFICE.FOURIER(TRANSPOSE({1,2,3,4,5,6,7,8;9,10,11,12,13,14,15,16}),FALSE(),TRUE(),TRUE(),5),3,2)</f>
        <v>#VALUE!</v>
      </c>
      <c r="B23761" s="0" t="s">
        <v>23586</v>
      </c>
    </row>
    <row r="23762" customFormat="false" ht="15" hidden="false" customHeight="false" outlineLevel="0" collapsed="false">
      <c r="A23762" s="0" t="e">
        <f aca="false">INDEX(_xlfn.ORG.LIBREOFFICE.FOURIER(TRANSPOSE({1,2,3,4,5,6,7,8;9,10,11,12,13,14,15,16}),FALSE(),TRUE(),TRUE(),5),ROWS(_xlfn.ORG.LIBREOFFICE.FOURIER(TRANSPOSE({1,2,3,4,5,6,7,8;9,10,11,12,13,14,15,16}),FALSE(),TRUE(),TRUE(),5)),1)</f>
        <v>#VALUE!</v>
      </c>
      <c r="B23762" s="0" t="s">
        <v>23587</v>
      </c>
    </row>
    <row r="23763" customFormat="false" ht="15" hidden="false" customHeight="false" outlineLevel="0" collapsed="false">
      <c r="A23763" s="0" t="e">
        <f aca="false">INDEX(_xlfn.ORG.LIBREOFFICE.FOURIER(TRANSPOSE({1,2,3,4,5,6,7,8;9,10,11,12,13,14,15,16}),FALSE(),TRUE(),TRUE(),5),ROWS(_xlfn.ORG.LIBREOFFICE.FOURIER(TRANSPOSE({1,2,3,4,5,6,7,8;9,10,11,12,13,14,15,16}),FALSE(),TRUE(),TRUE(),5)),2)</f>
        <v>#VALUE!</v>
      </c>
      <c r="B23763" s="0" t="s">
        <v>23588</v>
      </c>
    </row>
    <row r="23764" customFormat="false" ht="15" hidden="false" customHeight="false" outlineLevel="0" collapsed="false">
      <c r="A23764" s="0" t="n">
        <f aca="false">ROWS(_xlfn.ORG.LIBREOFFICE.FOURIER(5,TRUE()))</f>
        <v>1</v>
      </c>
      <c r="B23764" s="0" t="s">
        <v>23589</v>
      </c>
    </row>
    <row r="23765" customFormat="false" ht="15" hidden="false" customHeight="false" outlineLevel="0" collapsed="false">
      <c r="A23765" s="0" t="n">
        <f aca="false">COLUMNS(_xlfn.ORG.LIBREOFFICE.FOURIER(5,TRUE()))</f>
        <v>2</v>
      </c>
      <c r="B23765" s="0" t="s">
        <v>23590</v>
      </c>
    </row>
    <row r="23766" customFormat="false" ht="15" hidden="false" customHeight="false" outlineLevel="0" collapsed="false">
      <c r="A23766" s="0" t="n">
        <f aca="false">SUM(_xlfn.ORG.LIBREOFFICE.FOURIER(5,TRUE()))</f>
        <v>5</v>
      </c>
      <c r="B23766" s="0" t="s">
        <v>23591</v>
      </c>
    </row>
    <row r="23767" customFormat="false" ht="15" hidden="false" customHeight="false" outlineLevel="0" collapsed="false">
      <c r="A23767" s="0" t="n">
        <f aca="false">INDEX(_xlfn.ORG.LIBREOFFICE.FOURIER(5,TRUE()),1,1)</f>
        <v>5</v>
      </c>
      <c r="B23767" s="0" t="s">
        <v>23592</v>
      </c>
    </row>
    <row r="23768" customFormat="false" ht="15" hidden="false" customHeight="false" outlineLevel="0" collapsed="false">
      <c r="A23768" s="0" t="e">
        <f aca="false">INDEX(_xlfn.ORG.LIBREOFFICE.FOURIER(5,TRUE()),2,1)</f>
        <v>#REF!</v>
      </c>
      <c r="B23768" s="0" t="s">
        <v>23593</v>
      </c>
    </row>
    <row r="23769" customFormat="false" ht="15" hidden="false" customHeight="false" outlineLevel="0" collapsed="false">
      <c r="A23769" s="0" t="e">
        <f aca="false">INDEX(_xlfn.ORG.LIBREOFFICE.FOURIER(5,TRUE()),2,2)</f>
        <v>#REF!</v>
      </c>
      <c r="B23769" s="0" t="s">
        <v>23594</v>
      </c>
    </row>
    <row r="23770" customFormat="false" ht="15" hidden="false" customHeight="false" outlineLevel="0" collapsed="false">
      <c r="A23770" s="0" t="e">
        <f aca="false">INDEX(_xlfn.ORG.LIBREOFFICE.FOURIER(5,TRUE()),3,2)</f>
        <v>#REF!</v>
      </c>
      <c r="B23770" s="0" t="s">
        <v>23595</v>
      </c>
    </row>
    <row r="23771" customFormat="false" ht="15" hidden="false" customHeight="false" outlineLevel="0" collapsed="false">
      <c r="A23771" s="0" t="n">
        <f aca="false">INDEX(_xlfn.ORG.LIBREOFFICE.FOURIER(5,TRUE()),ROWS(_xlfn.ORG.LIBREOFFICE.FOURIER(5,TRUE())),1)</f>
        <v>5</v>
      </c>
      <c r="B23771" s="0" t="s">
        <v>23596</v>
      </c>
    </row>
    <row r="23772" customFormat="false" ht="15" hidden="false" customHeight="false" outlineLevel="0" collapsed="false">
      <c r="A23772" s="0" t="n">
        <f aca="false">INDEX(_xlfn.ORG.LIBREOFFICE.FOURIER(5,TRUE()),ROWS(_xlfn.ORG.LIBREOFFICE.FOURIER(5,TRUE())),2)</f>
        <v>0</v>
      </c>
      <c r="B23772" s="0" t="s">
        <v>23597</v>
      </c>
    </row>
    <row r="23773" customFormat="false" ht="15" hidden="false" customHeight="false" outlineLevel="0" collapsed="false">
      <c r="A23773" s="0" t="n">
        <f aca="false">SUM(_xlfn.ORG.LIBREOFFICE.FOURIER(5,TRUE(),TRUE()))</f>
        <v>5</v>
      </c>
      <c r="B23773" s="0" t="s">
        <v>23598</v>
      </c>
    </row>
    <row r="23774" customFormat="false" ht="15" hidden="false" customHeight="false" outlineLevel="0" collapsed="false">
      <c r="A23774" s="0" t="n">
        <f aca="false">INDEX(_xlfn.ORG.LIBREOFFICE.FOURIER(5,TRUE(),TRUE()),1,1)</f>
        <v>5</v>
      </c>
      <c r="B23774" s="0" t="s">
        <v>23599</v>
      </c>
    </row>
    <row r="23775" customFormat="false" ht="15" hidden="false" customHeight="false" outlineLevel="0" collapsed="false">
      <c r="A23775" s="0" t="e">
        <f aca="false">INDEX(_xlfn.ORG.LIBREOFFICE.FOURIER(5,TRUE(),TRUE()),2,1)</f>
        <v>#REF!</v>
      </c>
      <c r="B23775" s="0" t="s">
        <v>23600</v>
      </c>
    </row>
    <row r="23776" customFormat="false" ht="15" hidden="false" customHeight="false" outlineLevel="0" collapsed="false">
      <c r="A23776" s="0" t="e">
        <f aca="false">INDEX(_xlfn.ORG.LIBREOFFICE.FOURIER(5,TRUE(),TRUE()),2,2)</f>
        <v>#REF!</v>
      </c>
      <c r="B23776" s="0" t="s">
        <v>23601</v>
      </c>
    </row>
    <row r="23777" customFormat="false" ht="15" hidden="false" customHeight="false" outlineLevel="0" collapsed="false">
      <c r="A23777" s="0" t="e">
        <f aca="false">INDEX(_xlfn.ORG.LIBREOFFICE.FOURIER(5,TRUE(),TRUE()),3,2)</f>
        <v>#REF!</v>
      </c>
      <c r="B23777" s="0" t="s">
        <v>23602</v>
      </c>
    </row>
    <row r="23778" customFormat="false" ht="15" hidden="false" customHeight="false" outlineLevel="0" collapsed="false">
      <c r="A23778" s="0" t="n">
        <f aca="false">INDEX(_xlfn.ORG.LIBREOFFICE.FOURIER(5,TRUE(),TRUE()),ROWS(_xlfn.ORG.LIBREOFFICE.FOURIER(5,TRUE(),TRUE())),1)</f>
        <v>5</v>
      </c>
      <c r="B23778" s="0" t="s">
        <v>23603</v>
      </c>
    </row>
    <row r="23779" customFormat="false" ht="15" hidden="false" customHeight="false" outlineLevel="0" collapsed="false">
      <c r="A23779" s="0" t="n">
        <f aca="false">INDEX(_xlfn.ORG.LIBREOFFICE.FOURIER(5,TRUE(),TRUE()),ROWS(_xlfn.ORG.LIBREOFFICE.FOURIER(5,TRUE(),TRUE())),2)</f>
        <v>0</v>
      </c>
      <c r="B23779" s="0" t="s">
        <v>23604</v>
      </c>
    </row>
    <row r="23780" customFormat="false" ht="15" hidden="false" customHeight="false" outlineLevel="0" collapsed="false">
      <c r="A23780" s="0" t="n">
        <f aca="false">SUM(_xlfn.ORG.LIBREOFFICE.FOURIER(5,TRUE(),FALSE(),TRUE()))</f>
        <v>5</v>
      </c>
      <c r="B23780" s="0" t="s">
        <v>23605</v>
      </c>
    </row>
    <row r="23781" customFormat="false" ht="15" hidden="false" customHeight="false" outlineLevel="0" collapsed="false">
      <c r="A23781" s="0" t="n">
        <f aca="false">INDEX(_xlfn.ORG.LIBREOFFICE.FOURIER(5,TRUE(),FALSE(),TRUE()),1,1)</f>
        <v>5</v>
      </c>
      <c r="B23781" s="0" t="s">
        <v>23606</v>
      </c>
    </row>
    <row r="23782" customFormat="false" ht="15" hidden="false" customHeight="false" outlineLevel="0" collapsed="false">
      <c r="A23782" s="0" t="e">
        <f aca="false">INDEX(_xlfn.ORG.LIBREOFFICE.FOURIER(5,TRUE(),FALSE(),TRUE()),2,1)</f>
        <v>#REF!</v>
      </c>
      <c r="B23782" s="0" t="s">
        <v>23607</v>
      </c>
    </row>
    <row r="23783" customFormat="false" ht="15" hidden="false" customHeight="false" outlineLevel="0" collapsed="false">
      <c r="A23783" s="0" t="e">
        <f aca="false">INDEX(_xlfn.ORG.LIBREOFFICE.FOURIER(5,TRUE(),FALSE(),TRUE()),2,2)</f>
        <v>#REF!</v>
      </c>
      <c r="B23783" s="0" t="s">
        <v>23608</v>
      </c>
    </row>
    <row r="23784" customFormat="false" ht="15" hidden="false" customHeight="false" outlineLevel="0" collapsed="false">
      <c r="A23784" s="0" t="e">
        <f aca="false">INDEX(_xlfn.ORG.LIBREOFFICE.FOURIER(5,TRUE(),FALSE(),TRUE()),3,2)</f>
        <v>#REF!</v>
      </c>
      <c r="B23784" s="0" t="s">
        <v>23609</v>
      </c>
    </row>
    <row r="23785" customFormat="false" ht="15" hidden="false" customHeight="false" outlineLevel="0" collapsed="false">
      <c r="A23785" s="0" t="n">
        <f aca="false">INDEX(_xlfn.ORG.LIBREOFFICE.FOURIER(5,TRUE(),FALSE(),TRUE()),ROWS(_xlfn.ORG.LIBREOFFICE.FOURIER(5,TRUE(),FALSE(),TRUE())),1)</f>
        <v>5</v>
      </c>
      <c r="B23785" s="0" t="s">
        <v>23610</v>
      </c>
    </row>
    <row r="23786" customFormat="false" ht="15" hidden="false" customHeight="false" outlineLevel="0" collapsed="false">
      <c r="A23786" s="0" t="n">
        <f aca="false">INDEX(_xlfn.ORG.LIBREOFFICE.FOURIER(5,TRUE(),FALSE(),TRUE()),ROWS(_xlfn.ORG.LIBREOFFICE.FOURIER(5,TRUE(),FALSE(),TRUE())),2)</f>
        <v>0</v>
      </c>
      <c r="B23786" s="0" t="s">
        <v>23611</v>
      </c>
    </row>
    <row r="23787" customFormat="false" ht="15" hidden="false" customHeight="false" outlineLevel="0" collapsed="false">
      <c r="A23787" s="0" t="n">
        <f aca="false">SUM(_xlfn.ORG.LIBREOFFICE.FOURIER(5,TRUE(),TRUE(),TRUE()))</f>
        <v>5</v>
      </c>
      <c r="B23787" s="0" t="s">
        <v>23612</v>
      </c>
    </row>
    <row r="23788" customFormat="false" ht="15" hidden="false" customHeight="false" outlineLevel="0" collapsed="false">
      <c r="A23788" s="0" t="n">
        <f aca="false">INDEX(_xlfn.ORG.LIBREOFFICE.FOURIER(5,TRUE(),TRUE(),TRUE()),1,1)</f>
        <v>5</v>
      </c>
      <c r="B23788" s="0" t="s">
        <v>23613</v>
      </c>
    </row>
    <row r="23789" customFormat="false" ht="15" hidden="false" customHeight="false" outlineLevel="0" collapsed="false">
      <c r="A23789" s="0" t="e">
        <f aca="false">INDEX(_xlfn.ORG.LIBREOFFICE.FOURIER(5,TRUE(),TRUE(),TRUE()),2,1)</f>
        <v>#REF!</v>
      </c>
      <c r="B23789" s="0" t="s">
        <v>23614</v>
      </c>
    </row>
    <row r="23790" customFormat="false" ht="15" hidden="false" customHeight="false" outlineLevel="0" collapsed="false">
      <c r="A23790" s="0" t="e">
        <f aca="false">INDEX(_xlfn.ORG.LIBREOFFICE.FOURIER(5,TRUE(),TRUE(),TRUE()),2,2)</f>
        <v>#REF!</v>
      </c>
      <c r="B23790" s="0" t="s">
        <v>23615</v>
      </c>
    </row>
    <row r="23791" customFormat="false" ht="15" hidden="false" customHeight="false" outlineLevel="0" collapsed="false">
      <c r="A23791" s="0" t="e">
        <f aca="false">INDEX(_xlfn.ORG.LIBREOFFICE.FOURIER(5,TRUE(),TRUE(),TRUE()),3,2)</f>
        <v>#REF!</v>
      </c>
      <c r="B23791" s="0" t="s">
        <v>23616</v>
      </c>
    </row>
    <row r="23792" customFormat="false" ht="15" hidden="false" customHeight="false" outlineLevel="0" collapsed="false">
      <c r="A23792" s="0" t="n">
        <f aca="false">INDEX(_xlfn.ORG.LIBREOFFICE.FOURIER(5,TRUE(),TRUE(),TRUE()),ROWS(_xlfn.ORG.LIBREOFFICE.FOURIER(5,TRUE(),TRUE(),TRUE())),1)</f>
        <v>5</v>
      </c>
      <c r="B23792" s="0" t="s">
        <v>23617</v>
      </c>
    </row>
    <row r="23793" customFormat="false" ht="15" hidden="false" customHeight="false" outlineLevel="0" collapsed="false">
      <c r="A23793" s="0" t="n">
        <f aca="false">INDEX(_xlfn.ORG.LIBREOFFICE.FOURIER(5,TRUE(),TRUE(),TRUE()),ROWS(_xlfn.ORG.LIBREOFFICE.FOURIER(5,TRUE(),TRUE(),TRUE())),2)</f>
        <v>0</v>
      </c>
      <c r="B23793" s="0" t="s">
        <v>23618</v>
      </c>
    </row>
    <row r="23794" customFormat="false" ht="15" hidden="false" customHeight="false" outlineLevel="0" collapsed="false">
      <c r="A23794" s="0" t="n">
        <f aca="false">SUM(_xlfn.ORG.LIBREOFFICE.FOURIER(5,TRUE(),FALSE(),TRUE(),1))</f>
        <v>5</v>
      </c>
      <c r="B23794" s="0" t="s">
        <v>23619</v>
      </c>
    </row>
    <row r="23795" customFormat="false" ht="15" hidden="false" customHeight="false" outlineLevel="0" collapsed="false">
      <c r="A23795" s="0" t="n">
        <f aca="false">INDEX(_xlfn.ORG.LIBREOFFICE.FOURIER(5,TRUE(),FALSE(),TRUE(),1),1,1)</f>
        <v>5</v>
      </c>
      <c r="B23795" s="0" t="s">
        <v>23620</v>
      </c>
    </row>
    <row r="23796" customFormat="false" ht="15" hidden="false" customHeight="false" outlineLevel="0" collapsed="false">
      <c r="A23796" s="0" t="e">
        <f aca="false">INDEX(_xlfn.ORG.LIBREOFFICE.FOURIER(5,TRUE(),FALSE(),TRUE(),1),2,1)</f>
        <v>#REF!</v>
      </c>
      <c r="B23796" s="0" t="s">
        <v>23621</v>
      </c>
    </row>
    <row r="23797" customFormat="false" ht="15" hidden="false" customHeight="false" outlineLevel="0" collapsed="false">
      <c r="A23797" s="0" t="e">
        <f aca="false">INDEX(_xlfn.ORG.LIBREOFFICE.FOURIER(5,TRUE(),FALSE(),TRUE(),1),2,2)</f>
        <v>#REF!</v>
      </c>
      <c r="B23797" s="0" t="s">
        <v>23622</v>
      </c>
    </row>
    <row r="23798" customFormat="false" ht="15" hidden="false" customHeight="false" outlineLevel="0" collapsed="false">
      <c r="A23798" s="0" t="e">
        <f aca="false">INDEX(_xlfn.ORG.LIBREOFFICE.FOURIER(5,TRUE(),FALSE(),TRUE(),1),3,2)</f>
        <v>#REF!</v>
      </c>
      <c r="B23798" s="0" t="s">
        <v>23623</v>
      </c>
    </row>
    <row r="23799" customFormat="false" ht="15" hidden="false" customHeight="false" outlineLevel="0" collapsed="false">
      <c r="A23799" s="0" t="n">
        <f aca="false">INDEX(_xlfn.ORG.LIBREOFFICE.FOURIER(5,TRUE(),FALSE(),TRUE(),1),ROWS(_xlfn.ORG.LIBREOFFICE.FOURIER(5,TRUE(),FALSE(),TRUE(),1)),1)</f>
        <v>5</v>
      </c>
      <c r="B23799" s="0" t="s">
        <v>23624</v>
      </c>
    </row>
    <row r="23800" customFormat="false" ht="15" hidden="false" customHeight="false" outlineLevel="0" collapsed="false">
      <c r="A23800" s="0" t="n">
        <f aca="false">INDEX(_xlfn.ORG.LIBREOFFICE.FOURIER(5,TRUE(),FALSE(),TRUE(),1),ROWS(_xlfn.ORG.LIBREOFFICE.FOURIER(5,TRUE(),FALSE(),TRUE(),1)),2)</f>
        <v>0</v>
      </c>
      <c r="B23800" s="0" t="s">
        <v>23625</v>
      </c>
    </row>
    <row r="23801" customFormat="false" ht="15" hidden="false" customHeight="false" outlineLevel="0" collapsed="false">
      <c r="A23801" s="0" t="n">
        <f aca="false">SUM(_xlfn.ORG.LIBREOFFICE.FOURIER(5,TRUE(),TRUE(),TRUE(),5))</f>
        <v>5</v>
      </c>
      <c r="B23801" s="0" t="s">
        <v>23626</v>
      </c>
    </row>
    <row r="23802" customFormat="false" ht="15" hidden="false" customHeight="false" outlineLevel="0" collapsed="false">
      <c r="A23802" s="0" t="n">
        <f aca="false">INDEX(_xlfn.ORG.LIBREOFFICE.FOURIER(5,TRUE(),TRUE(),TRUE(),5),1,1)</f>
        <v>5</v>
      </c>
      <c r="B23802" s="0" t="s">
        <v>23627</v>
      </c>
    </row>
    <row r="23803" customFormat="false" ht="15" hidden="false" customHeight="false" outlineLevel="0" collapsed="false">
      <c r="A23803" s="0" t="e">
        <f aca="false">INDEX(_xlfn.ORG.LIBREOFFICE.FOURIER(5,TRUE(),TRUE(),TRUE(),5),2,1)</f>
        <v>#REF!</v>
      </c>
      <c r="B23803" s="0" t="s">
        <v>23628</v>
      </c>
    </row>
    <row r="23804" customFormat="false" ht="15" hidden="false" customHeight="false" outlineLevel="0" collapsed="false">
      <c r="A23804" s="0" t="e">
        <f aca="false">INDEX(_xlfn.ORG.LIBREOFFICE.FOURIER(5,TRUE(),TRUE(),TRUE(),5),2,2)</f>
        <v>#REF!</v>
      </c>
      <c r="B23804" s="0" t="s">
        <v>23629</v>
      </c>
    </row>
    <row r="23805" customFormat="false" ht="15" hidden="false" customHeight="false" outlineLevel="0" collapsed="false">
      <c r="A23805" s="0" t="e">
        <f aca="false">INDEX(_xlfn.ORG.LIBREOFFICE.FOURIER(5,TRUE(),TRUE(),TRUE(),5),3,2)</f>
        <v>#REF!</v>
      </c>
      <c r="B23805" s="0" t="s">
        <v>23630</v>
      </c>
    </row>
    <row r="23806" customFormat="false" ht="15" hidden="false" customHeight="false" outlineLevel="0" collapsed="false">
      <c r="A23806" s="0" t="n">
        <f aca="false">INDEX(_xlfn.ORG.LIBREOFFICE.FOURIER(5,TRUE(),TRUE(),TRUE(),5),ROWS(_xlfn.ORG.LIBREOFFICE.FOURIER(5,TRUE(),TRUE(),TRUE(),5)),1)</f>
        <v>5</v>
      </c>
      <c r="B23806" s="0" t="s">
        <v>23631</v>
      </c>
    </row>
    <row r="23807" customFormat="false" ht="15" hidden="false" customHeight="false" outlineLevel="0" collapsed="false">
      <c r="A23807" s="0" t="n">
        <f aca="false">INDEX(_xlfn.ORG.LIBREOFFICE.FOURIER(5,TRUE(),TRUE(),TRUE(),5),ROWS(_xlfn.ORG.LIBREOFFICE.FOURIER(5,TRUE(),TRUE(),TRUE(),5)),2)</f>
        <v>0</v>
      </c>
      <c r="B23807" s="0" t="s">
        <v>23632</v>
      </c>
    </row>
    <row r="23808" customFormat="false" ht="15" hidden="false" customHeight="false" outlineLevel="0" collapsed="false">
      <c r="A23808" s="0" t="n">
        <f aca="false">ROWS(_xlfn.ORG.LIBREOFFICE.FOURIER(5,FALSE()))</f>
        <v>1</v>
      </c>
      <c r="B23808" s="0" t="s">
        <v>23633</v>
      </c>
    </row>
    <row r="23809" customFormat="false" ht="15" hidden="false" customHeight="false" outlineLevel="0" collapsed="false">
      <c r="A23809" s="0" t="n">
        <f aca="false">COLUMNS(_xlfn.ORG.LIBREOFFICE.FOURIER(5,FALSE()))</f>
        <v>2</v>
      </c>
      <c r="B23809" s="0" t="s">
        <v>23634</v>
      </c>
    </row>
    <row r="23810" customFormat="false" ht="15" hidden="false" customHeight="false" outlineLevel="0" collapsed="false">
      <c r="A23810" s="0" t="n">
        <f aca="false">SUM(_xlfn.ORG.LIBREOFFICE.FOURIER(5,FALSE()))</f>
        <v>5</v>
      </c>
      <c r="B23810" s="0" t="s">
        <v>23635</v>
      </c>
    </row>
    <row r="23811" customFormat="false" ht="15" hidden="false" customHeight="false" outlineLevel="0" collapsed="false">
      <c r="A23811" s="0" t="n">
        <f aca="false">INDEX(_xlfn.ORG.LIBREOFFICE.FOURIER(5,FALSE()),1,1)</f>
        <v>5</v>
      </c>
      <c r="B23811" s="0" t="s">
        <v>23636</v>
      </c>
    </row>
    <row r="23812" customFormat="false" ht="15" hidden="false" customHeight="false" outlineLevel="0" collapsed="false">
      <c r="A23812" s="0" t="e">
        <f aca="false">INDEX(_xlfn.ORG.LIBREOFFICE.FOURIER(5,FALSE()),2,1)</f>
        <v>#REF!</v>
      </c>
      <c r="B23812" s="0" t="s">
        <v>23637</v>
      </c>
    </row>
    <row r="23813" customFormat="false" ht="15" hidden="false" customHeight="false" outlineLevel="0" collapsed="false">
      <c r="A23813" s="0" t="e">
        <f aca="false">INDEX(_xlfn.ORG.LIBREOFFICE.FOURIER(5,FALSE()),2,2)</f>
        <v>#REF!</v>
      </c>
      <c r="B23813" s="0" t="s">
        <v>23638</v>
      </c>
    </row>
    <row r="23814" customFormat="false" ht="15" hidden="false" customHeight="false" outlineLevel="0" collapsed="false">
      <c r="A23814" s="0" t="e">
        <f aca="false">INDEX(_xlfn.ORG.LIBREOFFICE.FOURIER(5,FALSE()),3,2)</f>
        <v>#REF!</v>
      </c>
      <c r="B23814" s="0" t="s">
        <v>23639</v>
      </c>
    </row>
    <row r="23815" customFormat="false" ht="15" hidden="false" customHeight="false" outlineLevel="0" collapsed="false">
      <c r="A23815" s="0" t="n">
        <f aca="false">INDEX(_xlfn.ORG.LIBREOFFICE.FOURIER(5,FALSE()),ROWS(_xlfn.ORG.LIBREOFFICE.FOURIER(5,FALSE())),1)</f>
        <v>5</v>
      </c>
      <c r="B23815" s="0" t="s">
        <v>23640</v>
      </c>
    </row>
    <row r="23816" customFormat="false" ht="15" hidden="false" customHeight="false" outlineLevel="0" collapsed="false">
      <c r="A23816" s="0" t="n">
        <f aca="false">INDEX(_xlfn.ORG.LIBREOFFICE.FOURIER(5,FALSE()),ROWS(_xlfn.ORG.LIBREOFFICE.FOURIER(5,FALSE())),2)</f>
        <v>0</v>
      </c>
      <c r="B23816" s="0" t="s">
        <v>23641</v>
      </c>
    </row>
    <row r="23817" customFormat="false" ht="15" hidden="false" customHeight="false" outlineLevel="0" collapsed="false">
      <c r="A23817" s="0" t="n">
        <f aca="false">SUM(_xlfn.ORG.LIBREOFFICE.FOURIER(5,FALSE(),TRUE()))</f>
        <v>5</v>
      </c>
      <c r="B23817" s="0" t="s">
        <v>23642</v>
      </c>
    </row>
    <row r="23818" customFormat="false" ht="15" hidden="false" customHeight="false" outlineLevel="0" collapsed="false">
      <c r="A23818" s="0" t="n">
        <f aca="false">INDEX(_xlfn.ORG.LIBREOFFICE.FOURIER(5,FALSE(),TRUE()),1,1)</f>
        <v>5</v>
      </c>
      <c r="B23818" s="0" t="s">
        <v>23643</v>
      </c>
    </row>
    <row r="23819" customFormat="false" ht="15" hidden="false" customHeight="false" outlineLevel="0" collapsed="false">
      <c r="A23819" s="0" t="e">
        <f aca="false">INDEX(_xlfn.ORG.LIBREOFFICE.FOURIER(5,FALSE(),TRUE()),2,1)</f>
        <v>#REF!</v>
      </c>
      <c r="B23819" s="0" t="s">
        <v>23644</v>
      </c>
    </row>
    <row r="23820" customFormat="false" ht="15" hidden="false" customHeight="false" outlineLevel="0" collapsed="false">
      <c r="A23820" s="0" t="e">
        <f aca="false">INDEX(_xlfn.ORG.LIBREOFFICE.FOURIER(5,FALSE(),TRUE()),2,2)</f>
        <v>#REF!</v>
      </c>
      <c r="B23820" s="0" t="s">
        <v>23645</v>
      </c>
    </row>
    <row r="23821" customFormat="false" ht="15" hidden="false" customHeight="false" outlineLevel="0" collapsed="false">
      <c r="A23821" s="0" t="e">
        <f aca="false">INDEX(_xlfn.ORG.LIBREOFFICE.FOURIER(5,FALSE(),TRUE()),3,2)</f>
        <v>#REF!</v>
      </c>
      <c r="B23821" s="0" t="s">
        <v>23646</v>
      </c>
    </row>
    <row r="23822" customFormat="false" ht="15" hidden="false" customHeight="false" outlineLevel="0" collapsed="false">
      <c r="A23822" s="0" t="n">
        <f aca="false">INDEX(_xlfn.ORG.LIBREOFFICE.FOURIER(5,FALSE(),TRUE()),ROWS(_xlfn.ORG.LIBREOFFICE.FOURIER(5,FALSE(),TRUE())),1)</f>
        <v>5</v>
      </c>
      <c r="B23822" s="0" t="s">
        <v>23647</v>
      </c>
    </row>
    <row r="23823" customFormat="false" ht="15" hidden="false" customHeight="false" outlineLevel="0" collapsed="false">
      <c r="A23823" s="0" t="n">
        <f aca="false">INDEX(_xlfn.ORG.LIBREOFFICE.FOURIER(5,FALSE(),TRUE()),ROWS(_xlfn.ORG.LIBREOFFICE.FOURIER(5,FALSE(),TRUE())),2)</f>
        <v>0</v>
      </c>
      <c r="B23823" s="0" t="s">
        <v>23648</v>
      </c>
    </row>
    <row r="23824" customFormat="false" ht="15" hidden="false" customHeight="false" outlineLevel="0" collapsed="false">
      <c r="A23824" s="0" t="n">
        <f aca="false">SUM(_xlfn.ORG.LIBREOFFICE.FOURIER(5,FALSE(),FALSE(),TRUE()))</f>
        <v>5</v>
      </c>
      <c r="B23824" s="0" t="s">
        <v>23649</v>
      </c>
    </row>
    <row r="23825" customFormat="false" ht="15" hidden="false" customHeight="false" outlineLevel="0" collapsed="false">
      <c r="A23825" s="0" t="n">
        <f aca="false">INDEX(_xlfn.ORG.LIBREOFFICE.FOURIER(5,FALSE(),FALSE(),TRUE()),1,1)</f>
        <v>5</v>
      </c>
      <c r="B23825" s="0" t="s">
        <v>23650</v>
      </c>
    </row>
    <row r="23826" customFormat="false" ht="15" hidden="false" customHeight="false" outlineLevel="0" collapsed="false">
      <c r="A23826" s="0" t="e">
        <f aca="false">INDEX(_xlfn.ORG.LIBREOFFICE.FOURIER(5,FALSE(),FALSE(),TRUE()),2,1)</f>
        <v>#REF!</v>
      </c>
      <c r="B23826" s="0" t="s">
        <v>23651</v>
      </c>
    </row>
    <row r="23827" customFormat="false" ht="15" hidden="false" customHeight="false" outlineLevel="0" collapsed="false">
      <c r="A23827" s="0" t="e">
        <f aca="false">INDEX(_xlfn.ORG.LIBREOFFICE.FOURIER(5,FALSE(),FALSE(),TRUE()),2,2)</f>
        <v>#REF!</v>
      </c>
      <c r="B23827" s="0" t="s">
        <v>23652</v>
      </c>
    </row>
    <row r="23828" customFormat="false" ht="15" hidden="false" customHeight="false" outlineLevel="0" collapsed="false">
      <c r="A23828" s="0" t="e">
        <f aca="false">INDEX(_xlfn.ORG.LIBREOFFICE.FOURIER(5,FALSE(),FALSE(),TRUE()),3,2)</f>
        <v>#REF!</v>
      </c>
      <c r="B23828" s="0" t="s">
        <v>23653</v>
      </c>
    </row>
    <row r="23829" customFormat="false" ht="15" hidden="false" customHeight="false" outlineLevel="0" collapsed="false">
      <c r="A23829" s="0" t="n">
        <f aca="false">INDEX(_xlfn.ORG.LIBREOFFICE.FOURIER(5,FALSE(),FALSE(),TRUE()),ROWS(_xlfn.ORG.LIBREOFFICE.FOURIER(5,FALSE(),FALSE(),TRUE())),1)</f>
        <v>5</v>
      </c>
      <c r="B23829" s="0" t="s">
        <v>23654</v>
      </c>
    </row>
    <row r="23830" customFormat="false" ht="15" hidden="false" customHeight="false" outlineLevel="0" collapsed="false">
      <c r="A23830" s="0" t="n">
        <f aca="false">INDEX(_xlfn.ORG.LIBREOFFICE.FOURIER(5,FALSE(),FALSE(),TRUE()),ROWS(_xlfn.ORG.LIBREOFFICE.FOURIER(5,FALSE(),FALSE(),TRUE())),2)</f>
        <v>0</v>
      </c>
      <c r="B23830" s="0" t="s">
        <v>23655</v>
      </c>
    </row>
    <row r="23831" customFormat="false" ht="15" hidden="false" customHeight="false" outlineLevel="0" collapsed="false">
      <c r="A23831" s="0" t="n">
        <f aca="false">SUM(_xlfn.ORG.LIBREOFFICE.FOURIER(5,FALSE(),TRUE(),TRUE()))</f>
        <v>5</v>
      </c>
      <c r="B23831" s="0" t="s">
        <v>23656</v>
      </c>
    </row>
    <row r="23832" customFormat="false" ht="15" hidden="false" customHeight="false" outlineLevel="0" collapsed="false">
      <c r="A23832" s="0" t="n">
        <f aca="false">INDEX(_xlfn.ORG.LIBREOFFICE.FOURIER(5,FALSE(),TRUE(),TRUE()),1,1)</f>
        <v>5</v>
      </c>
      <c r="B23832" s="0" t="s">
        <v>23657</v>
      </c>
    </row>
    <row r="23833" customFormat="false" ht="15" hidden="false" customHeight="false" outlineLevel="0" collapsed="false">
      <c r="A23833" s="0" t="e">
        <f aca="false">INDEX(_xlfn.ORG.LIBREOFFICE.FOURIER(5,FALSE(),TRUE(),TRUE()),2,1)</f>
        <v>#REF!</v>
      </c>
      <c r="B23833" s="0" t="s">
        <v>23658</v>
      </c>
    </row>
    <row r="23834" customFormat="false" ht="15" hidden="false" customHeight="false" outlineLevel="0" collapsed="false">
      <c r="A23834" s="0" t="e">
        <f aca="false">INDEX(_xlfn.ORG.LIBREOFFICE.FOURIER(5,FALSE(),TRUE(),TRUE()),2,2)</f>
        <v>#REF!</v>
      </c>
      <c r="B23834" s="0" t="s">
        <v>23659</v>
      </c>
    </row>
    <row r="23835" customFormat="false" ht="15" hidden="false" customHeight="false" outlineLevel="0" collapsed="false">
      <c r="A23835" s="0" t="e">
        <f aca="false">INDEX(_xlfn.ORG.LIBREOFFICE.FOURIER(5,FALSE(),TRUE(),TRUE()),3,2)</f>
        <v>#REF!</v>
      </c>
      <c r="B23835" s="0" t="s">
        <v>23660</v>
      </c>
    </row>
    <row r="23836" customFormat="false" ht="15" hidden="false" customHeight="false" outlineLevel="0" collapsed="false">
      <c r="A23836" s="0" t="n">
        <f aca="false">INDEX(_xlfn.ORG.LIBREOFFICE.FOURIER(5,FALSE(),TRUE(),TRUE()),ROWS(_xlfn.ORG.LIBREOFFICE.FOURIER(5,FALSE(),TRUE(),TRUE())),1)</f>
        <v>5</v>
      </c>
      <c r="B23836" s="0" t="s">
        <v>23661</v>
      </c>
    </row>
    <row r="23837" customFormat="false" ht="15" hidden="false" customHeight="false" outlineLevel="0" collapsed="false">
      <c r="A23837" s="0" t="n">
        <f aca="false">INDEX(_xlfn.ORG.LIBREOFFICE.FOURIER(5,FALSE(),TRUE(),TRUE()),ROWS(_xlfn.ORG.LIBREOFFICE.FOURIER(5,FALSE(),TRUE(),TRUE())),2)</f>
        <v>0</v>
      </c>
      <c r="B23837" s="0" t="s">
        <v>23662</v>
      </c>
    </row>
    <row r="23838" customFormat="false" ht="15" hidden="false" customHeight="false" outlineLevel="0" collapsed="false">
      <c r="A23838" s="0" t="n">
        <f aca="false">SUM(_xlfn.ORG.LIBREOFFICE.FOURIER(5,FALSE(),FALSE(),TRUE(),1))</f>
        <v>5</v>
      </c>
      <c r="B23838" s="0" t="s">
        <v>23663</v>
      </c>
    </row>
    <row r="23839" customFormat="false" ht="15" hidden="false" customHeight="false" outlineLevel="0" collapsed="false">
      <c r="A23839" s="0" t="n">
        <f aca="false">INDEX(_xlfn.ORG.LIBREOFFICE.FOURIER(5,FALSE(),FALSE(),TRUE(),1),1,1)</f>
        <v>5</v>
      </c>
      <c r="B23839" s="0" t="s">
        <v>23664</v>
      </c>
    </row>
    <row r="23840" customFormat="false" ht="15" hidden="false" customHeight="false" outlineLevel="0" collapsed="false">
      <c r="A23840" s="0" t="e">
        <f aca="false">INDEX(_xlfn.ORG.LIBREOFFICE.FOURIER(5,FALSE(),FALSE(),TRUE(),1),2,1)</f>
        <v>#REF!</v>
      </c>
      <c r="B23840" s="0" t="s">
        <v>23665</v>
      </c>
    </row>
    <row r="23841" customFormat="false" ht="15" hidden="false" customHeight="false" outlineLevel="0" collapsed="false">
      <c r="A23841" s="0" t="e">
        <f aca="false">INDEX(_xlfn.ORG.LIBREOFFICE.FOURIER(5,FALSE(),FALSE(),TRUE(),1),2,2)</f>
        <v>#REF!</v>
      </c>
      <c r="B23841" s="0" t="s">
        <v>23666</v>
      </c>
    </row>
    <row r="23842" customFormat="false" ht="15" hidden="false" customHeight="false" outlineLevel="0" collapsed="false">
      <c r="A23842" s="0" t="e">
        <f aca="false">INDEX(_xlfn.ORG.LIBREOFFICE.FOURIER(5,FALSE(),FALSE(),TRUE(),1),3,2)</f>
        <v>#REF!</v>
      </c>
      <c r="B23842" s="0" t="s">
        <v>23667</v>
      </c>
    </row>
    <row r="23843" customFormat="false" ht="15" hidden="false" customHeight="false" outlineLevel="0" collapsed="false">
      <c r="A23843" s="0" t="n">
        <f aca="false">INDEX(_xlfn.ORG.LIBREOFFICE.FOURIER(5,FALSE(),FALSE(),TRUE(),1),ROWS(_xlfn.ORG.LIBREOFFICE.FOURIER(5,FALSE(),FALSE(),TRUE(),1)),1)</f>
        <v>5</v>
      </c>
      <c r="B23843" s="0" t="s">
        <v>23668</v>
      </c>
    </row>
    <row r="23844" customFormat="false" ht="15" hidden="false" customHeight="false" outlineLevel="0" collapsed="false">
      <c r="A23844" s="0" t="n">
        <f aca="false">INDEX(_xlfn.ORG.LIBREOFFICE.FOURIER(5,FALSE(),FALSE(),TRUE(),1),ROWS(_xlfn.ORG.LIBREOFFICE.FOURIER(5,FALSE(),FALSE(),TRUE(),1)),2)</f>
        <v>0</v>
      </c>
      <c r="B23844" s="0" t="s">
        <v>23669</v>
      </c>
    </row>
    <row r="23845" customFormat="false" ht="15" hidden="false" customHeight="false" outlineLevel="0" collapsed="false">
      <c r="A23845" s="0" t="n">
        <f aca="false">SUM(_xlfn.ORG.LIBREOFFICE.FOURIER(5,FALSE(),TRUE(),TRUE(),5))</f>
        <v>5</v>
      </c>
      <c r="B23845" s="0" t="s">
        <v>23670</v>
      </c>
    </row>
    <row r="23846" customFormat="false" ht="15" hidden="false" customHeight="false" outlineLevel="0" collapsed="false">
      <c r="A23846" s="0" t="n">
        <f aca="false">INDEX(_xlfn.ORG.LIBREOFFICE.FOURIER(5,FALSE(),TRUE(),TRUE(),5),1,1)</f>
        <v>5</v>
      </c>
      <c r="B23846" s="0" t="s">
        <v>23671</v>
      </c>
    </row>
    <row r="23847" customFormat="false" ht="15" hidden="false" customHeight="false" outlineLevel="0" collapsed="false">
      <c r="A23847" s="0" t="e">
        <f aca="false">INDEX(_xlfn.ORG.LIBREOFFICE.FOURIER(5,FALSE(),TRUE(),TRUE(),5),2,1)</f>
        <v>#REF!</v>
      </c>
      <c r="B23847" s="0" t="s">
        <v>23672</v>
      </c>
    </row>
    <row r="23848" customFormat="false" ht="15" hidden="false" customHeight="false" outlineLevel="0" collapsed="false">
      <c r="A23848" s="0" t="e">
        <f aca="false">INDEX(_xlfn.ORG.LIBREOFFICE.FOURIER(5,FALSE(),TRUE(),TRUE(),5),2,2)</f>
        <v>#REF!</v>
      </c>
      <c r="B23848" s="0" t="s">
        <v>23673</v>
      </c>
    </row>
    <row r="23849" customFormat="false" ht="15" hidden="false" customHeight="false" outlineLevel="0" collapsed="false">
      <c r="A23849" s="0" t="e">
        <f aca="false">INDEX(_xlfn.ORG.LIBREOFFICE.FOURIER(5,FALSE(),TRUE(),TRUE(),5),3,2)</f>
        <v>#REF!</v>
      </c>
      <c r="B23849" s="0" t="s">
        <v>23674</v>
      </c>
    </row>
    <row r="23850" customFormat="false" ht="15" hidden="false" customHeight="false" outlineLevel="0" collapsed="false">
      <c r="A23850" s="0" t="n">
        <f aca="false">INDEX(_xlfn.ORG.LIBREOFFICE.FOURIER(5,FALSE(),TRUE(),TRUE(),5),ROWS(_xlfn.ORG.LIBREOFFICE.FOURIER(5,FALSE(),TRUE(),TRUE(),5)),1)</f>
        <v>5</v>
      </c>
      <c r="B23850" s="0" t="s">
        <v>23675</v>
      </c>
    </row>
    <row r="23851" customFormat="false" ht="15" hidden="false" customHeight="false" outlineLevel="0" collapsed="false">
      <c r="A23851" s="0" t="n">
        <f aca="false">INDEX(_xlfn.ORG.LIBREOFFICE.FOURIER(5,FALSE(),TRUE(),TRUE(),5),ROWS(_xlfn.ORG.LIBREOFFICE.FOURIER(5,FALSE(),TRUE(),TRUE(),5)),2)</f>
        <v>0</v>
      </c>
      <c r="B23851" s="0" t="s">
        <v>23676</v>
      </c>
    </row>
    <row r="23852" customFormat="false" ht="15" hidden="false" customHeight="false" outlineLevel="0" collapsed="false">
      <c r="A23852" s="0" t="n">
        <f aca="false">ROWS(_xlfn.ORG.LIBREOFFICE.FOURIER(TRUE(),TRUE()))</f>
        <v>1</v>
      </c>
      <c r="B23852" s="0" t="s">
        <v>23677</v>
      </c>
    </row>
    <row r="23853" customFormat="false" ht="15" hidden="false" customHeight="false" outlineLevel="0" collapsed="false">
      <c r="A23853" s="0" t="n">
        <f aca="false">COLUMNS(_xlfn.ORG.LIBREOFFICE.FOURIER(TRUE(),TRUE()))</f>
        <v>2</v>
      </c>
      <c r="B23853" s="0" t="s">
        <v>23678</v>
      </c>
    </row>
    <row r="23854" customFormat="false" ht="15" hidden="false" customHeight="false" outlineLevel="0" collapsed="false">
      <c r="A23854" s="0" t="n">
        <f aca="false">SUM(_xlfn.ORG.LIBREOFFICE.FOURIER(TRUE(),TRUE()))</f>
        <v>1</v>
      </c>
      <c r="B23854" s="0" t="s">
        <v>23679</v>
      </c>
    </row>
    <row r="23855" customFormat="false" ht="15" hidden="false" customHeight="false" outlineLevel="0" collapsed="false">
      <c r="A23855" s="0" t="n">
        <f aca="false">INDEX(_xlfn.ORG.LIBREOFFICE.FOURIER(TRUE(),TRUE()),1,1)</f>
        <v>1</v>
      </c>
      <c r="B23855" s="0" t="s">
        <v>23680</v>
      </c>
    </row>
    <row r="23856" customFormat="false" ht="15" hidden="false" customHeight="false" outlineLevel="0" collapsed="false">
      <c r="A23856" s="0" t="e">
        <f aca="false">INDEX(_xlfn.ORG.LIBREOFFICE.FOURIER(TRUE(),TRUE()),2,1)</f>
        <v>#REF!</v>
      </c>
      <c r="B23856" s="0" t="s">
        <v>23681</v>
      </c>
    </row>
    <row r="23857" customFormat="false" ht="15" hidden="false" customHeight="false" outlineLevel="0" collapsed="false">
      <c r="A23857" s="0" t="e">
        <f aca="false">INDEX(_xlfn.ORG.LIBREOFFICE.FOURIER(TRUE(),TRUE()),2,2)</f>
        <v>#REF!</v>
      </c>
      <c r="B23857" s="0" t="s">
        <v>23682</v>
      </c>
    </row>
    <row r="23858" customFormat="false" ht="15" hidden="false" customHeight="false" outlineLevel="0" collapsed="false">
      <c r="A23858" s="0" t="e">
        <f aca="false">INDEX(_xlfn.ORG.LIBREOFFICE.FOURIER(TRUE(),TRUE()),3,2)</f>
        <v>#REF!</v>
      </c>
      <c r="B23858" s="0" t="s">
        <v>23683</v>
      </c>
    </row>
    <row r="23859" customFormat="false" ht="15" hidden="false" customHeight="false" outlineLevel="0" collapsed="false">
      <c r="A23859" s="0" t="n">
        <f aca="false">INDEX(_xlfn.ORG.LIBREOFFICE.FOURIER(TRUE(),TRUE()),ROWS(_xlfn.ORG.LIBREOFFICE.FOURIER(TRUE(),TRUE())),1)</f>
        <v>1</v>
      </c>
      <c r="B23859" s="0" t="s">
        <v>23684</v>
      </c>
    </row>
    <row r="23860" customFormat="false" ht="15" hidden="false" customHeight="false" outlineLevel="0" collapsed="false">
      <c r="A23860" s="0" t="n">
        <f aca="false">INDEX(_xlfn.ORG.LIBREOFFICE.FOURIER(TRUE(),TRUE()),ROWS(_xlfn.ORG.LIBREOFFICE.FOURIER(TRUE(),TRUE())),2)</f>
        <v>0</v>
      </c>
      <c r="B23860" s="0" t="s">
        <v>23685</v>
      </c>
    </row>
    <row r="23861" customFormat="false" ht="15" hidden="false" customHeight="false" outlineLevel="0" collapsed="false">
      <c r="A23861" s="0" t="n">
        <f aca="false">SUM(_xlfn.ORG.LIBREOFFICE.FOURIER(TRUE(),TRUE(),TRUE()))</f>
        <v>1</v>
      </c>
      <c r="B23861" s="0" t="s">
        <v>23686</v>
      </c>
    </row>
    <row r="23862" customFormat="false" ht="15" hidden="false" customHeight="false" outlineLevel="0" collapsed="false">
      <c r="A23862" s="0" t="n">
        <f aca="false">INDEX(_xlfn.ORG.LIBREOFFICE.FOURIER(TRUE(),TRUE(),TRUE()),1,1)</f>
        <v>1</v>
      </c>
      <c r="B23862" s="0" t="s">
        <v>23687</v>
      </c>
    </row>
    <row r="23863" customFormat="false" ht="15" hidden="false" customHeight="false" outlineLevel="0" collapsed="false">
      <c r="A23863" s="0" t="e">
        <f aca="false">INDEX(_xlfn.ORG.LIBREOFFICE.FOURIER(TRUE(),TRUE(),TRUE()),2,1)</f>
        <v>#REF!</v>
      </c>
      <c r="B23863" s="0" t="s">
        <v>23688</v>
      </c>
    </row>
    <row r="23864" customFormat="false" ht="15" hidden="false" customHeight="false" outlineLevel="0" collapsed="false">
      <c r="A23864" s="0" t="e">
        <f aca="false">INDEX(_xlfn.ORG.LIBREOFFICE.FOURIER(TRUE(),TRUE(),TRUE()),2,2)</f>
        <v>#REF!</v>
      </c>
      <c r="B23864" s="0" t="s">
        <v>23689</v>
      </c>
    </row>
    <row r="23865" customFormat="false" ht="15" hidden="false" customHeight="false" outlineLevel="0" collapsed="false">
      <c r="A23865" s="0" t="e">
        <f aca="false">INDEX(_xlfn.ORG.LIBREOFFICE.FOURIER(TRUE(),TRUE(),TRUE()),3,2)</f>
        <v>#REF!</v>
      </c>
      <c r="B23865" s="0" t="s">
        <v>23690</v>
      </c>
    </row>
    <row r="23866" customFormat="false" ht="15" hidden="false" customHeight="false" outlineLevel="0" collapsed="false">
      <c r="A23866" s="0" t="n">
        <f aca="false">INDEX(_xlfn.ORG.LIBREOFFICE.FOURIER(TRUE(),TRUE(),TRUE()),ROWS(_xlfn.ORG.LIBREOFFICE.FOURIER(TRUE(),TRUE(),TRUE())),1)</f>
        <v>1</v>
      </c>
      <c r="B23866" s="0" t="s">
        <v>23691</v>
      </c>
    </row>
    <row r="23867" customFormat="false" ht="15" hidden="false" customHeight="false" outlineLevel="0" collapsed="false">
      <c r="A23867" s="0" t="n">
        <f aca="false">INDEX(_xlfn.ORG.LIBREOFFICE.FOURIER(TRUE(),TRUE(),TRUE()),ROWS(_xlfn.ORG.LIBREOFFICE.FOURIER(TRUE(),TRUE(),TRUE())),2)</f>
        <v>0</v>
      </c>
      <c r="B23867" s="0" t="s">
        <v>23692</v>
      </c>
    </row>
    <row r="23868" customFormat="false" ht="15" hidden="false" customHeight="false" outlineLevel="0" collapsed="false">
      <c r="A23868" s="0" t="n">
        <f aca="false">SUM(_xlfn.ORG.LIBREOFFICE.FOURIER(TRUE(),TRUE(),FALSE(),TRUE()))</f>
        <v>1</v>
      </c>
      <c r="B23868" s="0" t="s">
        <v>23693</v>
      </c>
    </row>
    <row r="23869" customFormat="false" ht="15" hidden="false" customHeight="false" outlineLevel="0" collapsed="false">
      <c r="A23869" s="0" t="n">
        <f aca="false">INDEX(_xlfn.ORG.LIBREOFFICE.FOURIER(TRUE(),TRUE(),FALSE(),TRUE()),1,1)</f>
        <v>1</v>
      </c>
      <c r="B23869" s="0" t="s">
        <v>23694</v>
      </c>
    </row>
    <row r="23870" customFormat="false" ht="15" hidden="false" customHeight="false" outlineLevel="0" collapsed="false">
      <c r="A23870" s="0" t="e">
        <f aca="false">INDEX(_xlfn.ORG.LIBREOFFICE.FOURIER(TRUE(),TRUE(),FALSE(),TRUE()),2,1)</f>
        <v>#REF!</v>
      </c>
      <c r="B23870" s="0" t="s">
        <v>23695</v>
      </c>
    </row>
    <row r="23871" customFormat="false" ht="15" hidden="false" customHeight="false" outlineLevel="0" collapsed="false">
      <c r="A23871" s="0" t="e">
        <f aca="false">INDEX(_xlfn.ORG.LIBREOFFICE.FOURIER(TRUE(),TRUE(),FALSE(),TRUE()),2,2)</f>
        <v>#REF!</v>
      </c>
      <c r="B23871" s="0" t="s">
        <v>23696</v>
      </c>
    </row>
    <row r="23872" customFormat="false" ht="15" hidden="false" customHeight="false" outlineLevel="0" collapsed="false">
      <c r="A23872" s="0" t="e">
        <f aca="false">INDEX(_xlfn.ORG.LIBREOFFICE.FOURIER(TRUE(),TRUE(),FALSE(),TRUE()),3,2)</f>
        <v>#REF!</v>
      </c>
      <c r="B23872" s="0" t="s">
        <v>23697</v>
      </c>
    </row>
    <row r="23873" customFormat="false" ht="15" hidden="false" customHeight="false" outlineLevel="0" collapsed="false">
      <c r="A23873" s="0" t="n">
        <f aca="false">INDEX(_xlfn.ORG.LIBREOFFICE.FOURIER(TRUE(),TRUE(),FALSE(),TRUE()),ROWS(_xlfn.ORG.LIBREOFFICE.FOURIER(TRUE(),TRUE(),FALSE(),TRUE())),1)</f>
        <v>1</v>
      </c>
      <c r="B23873" s="0" t="s">
        <v>23698</v>
      </c>
    </row>
    <row r="23874" customFormat="false" ht="15" hidden="false" customHeight="false" outlineLevel="0" collapsed="false">
      <c r="A23874" s="0" t="n">
        <f aca="false">INDEX(_xlfn.ORG.LIBREOFFICE.FOURIER(TRUE(),TRUE(),FALSE(),TRUE()),ROWS(_xlfn.ORG.LIBREOFFICE.FOURIER(TRUE(),TRUE(),FALSE(),TRUE())),2)</f>
        <v>0</v>
      </c>
      <c r="B23874" s="0" t="s">
        <v>23699</v>
      </c>
    </row>
    <row r="23875" customFormat="false" ht="15" hidden="false" customHeight="false" outlineLevel="0" collapsed="false">
      <c r="A23875" s="0" t="n">
        <f aca="false">SUM(_xlfn.ORG.LIBREOFFICE.FOURIER(TRUE(),TRUE(),TRUE(),TRUE()))</f>
        <v>1</v>
      </c>
      <c r="B23875" s="0" t="s">
        <v>23700</v>
      </c>
    </row>
    <row r="23876" customFormat="false" ht="15" hidden="false" customHeight="false" outlineLevel="0" collapsed="false">
      <c r="A23876" s="0" t="n">
        <f aca="false">INDEX(_xlfn.ORG.LIBREOFFICE.FOURIER(TRUE(),TRUE(),TRUE(),TRUE()),1,1)</f>
        <v>1</v>
      </c>
      <c r="B23876" s="0" t="s">
        <v>23701</v>
      </c>
    </row>
    <row r="23877" customFormat="false" ht="15" hidden="false" customHeight="false" outlineLevel="0" collapsed="false">
      <c r="A23877" s="0" t="e">
        <f aca="false">INDEX(_xlfn.ORG.LIBREOFFICE.FOURIER(TRUE(),TRUE(),TRUE(),TRUE()),2,1)</f>
        <v>#REF!</v>
      </c>
      <c r="B23877" s="0" t="s">
        <v>23702</v>
      </c>
    </row>
    <row r="23878" customFormat="false" ht="15" hidden="false" customHeight="false" outlineLevel="0" collapsed="false">
      <c r="A23878" s="0" t="e">
        <f aca="false">INDEX(_xlfn.ORG.LIBREOFFICE.FOURIER(TRUE(),TRUE(),TRUE(),TRUE()),2,2)</f>
        <v>#REF!</v>
      </c>
      <c r="B23878" s="0" t="s">
        <v>23703</v>
      </c>
    </row>
    <row r="23879" customFormat="false" ht="15" hidden="false" customHeight="false" outlineLevel="0" collapsed="false">
      <c r="A23879" s="0" t="e">
        <f aca="false">INDEX(_xlfn.ORG.LIBREOFFICE.FOURIER(TRUE(),TRUE(),TRUE(),TRUE()),3,2)</f>
        <v>#REF!</v>
      </c>
      <c r="B23879" s="0" t="s">
        <v>23704</v>
      </c>
    </row>
    <row r="23880" customFormat="false" ht="15" hidden="false" customHeight="false" outlineLevel="0" collapsed="false">
      <c r="A23880" s="0" t="n">
        <f aca="false">INDEX(_xlfn.ORG.LIBREOFFICE.FOURIER(TRUE(),TRUE(),TRUE(),TRUE()),ROWS(_xlfn.ORG.LIBREOFFICE.FOURIER(TRUE(),TRUE(),TRUE(),TRUE())),1)</f>
        <v>1</v>
      </c>
      <c r="B23880" s="0" t="s">
        <v>23705</v>
      </c>
    </row>
    <row r="23881" customFormat="false" ht="15" hidden="false" customHeight="false" outlineLevel="0" collapsed="false">
      <c r="A23881" s="0" t="n">
        <f aca="false">INDEX(_xlfn.ORG.LIBREOFFICE.FOURIER(TRUE(),TRUE(),TRUE(),TRUE()),ROWS(_xlfn.ORG.LIBREOFFICE.FOURIER(TRUE(),TRUE(),TRUE(),TRUE())),2)</f>
        <v>0</v>
      </c>
      <c r="B23881" s="0" t="s">
        <v>23706</v>
      </c>
    </row>
    <row r="23882" customFormat="false" ht="15" hidden="false" customHeight="false" outlineLevel="0" collapsed="false">
      <c r="A23882" s="0" t="n">
        <f aca="false">SUM(_xlfn.ORG.LIBREOFFICE.FOURIER(TRUE(),TRUE(),FALSE(),TRUE(),1))</f>
        <v>1</v>
      </c>
      <c r="B23882" s="0" t="s">
        <v>23707</v>
      </c>
    </row>
    <row r="23883" customFormat="false" ht="15" hidden="false" customHeight="false" outlineLevel="0" collapsed="false">
      <c r="A23883" s="0" t="n">
        <f aca="false">INDEX(_xlfn.ORG.LIBREOFFICE.FOURIER(TRUE(),TRUE(),FALSE(),TRUE(),1),1,1)</f>
        <v>1</v>
      </c>
      <c r="B23883" s="0" t="s">
        <v>23708</v>
      </c>
    </row>
    <row r="23884" customFormat="false" ht="15" hidden="false" customHeight="false" outlineLevel="0" collapsed="false">
      <c r="A23884" s="0" t="e">
        <f aca="false">INDEX(_xlfn.ORG.LIBREOFFICE.FOURIER(TRUE(),TRUE(),FALSE(),TRUE(),1),2,1)</f>
        <v>#REF!</v>
      </c>
      <c r="B23884" s="0" t="s">
        <v>23709</v>
      </c>
    </row>
    <row r="23885" customFormat="false" ht="15" hidden="false" customHeight="false" outlineLevel="0" collapsed="false">
      <c r="A23885" s="0" t="e">
        <f aca="false">INDEX(_xlfn.ORG.LIBREOFFICE.FOURIER(TRUE(),TRUE(),FALSE(),TRUE(),1),2,2)</f>
        <v>#REF!</v>
      </c>
      <c r="B23885" s="0" t="s">
        <v>23710</v>
      </c>
    </row>
    <row r="23886" customFormat="false" ht="15" hidden="false" customHeight="false" outlineLevel="0" collapsed="false">
      <c r="A23886" s="0" t="e">
        <f aca="false">INDEX(_xlfn.ORG.LIBREOFFICE.FOURIER(TRUE(),TRUE(),FALSE(),TRUE(),1),3,2)</f>
        <v>#REF!</v>
      </c>
      <c r="B23886" s="0" t="s">
        <v>23711</v>
      </c>
    </row>
    <row r="23887" customFormat="false" ht="15" hidden="false" customHeight="false" outlineLevel="0" collapsed="false">
      <c r="A23887" s="0" t="n">
        <f aca="false">INDEX(_xlfn.ORG.LIBREOFFICE.FOURIER(TRUE(),TRUE(),FALSE(),TRUE(),1),ROWS(_xlfn.ORG.LIBREOFFICE.FOURIER(TRUE(),TRUE(),FALSE(),TRUE(),1)),1)</f>
        <v>1</v>
      </c>
      <c r="B23887" s="0" t="s">
        <v>23712</v>
      </c>
    </row>
    <row r="23888" customFormat="false" ht="15" hidden="false" customHeight="false" outlineLevel="0" collapsed="false">
      <c r="A23888" s="0" t="n">
        <f aca="false">INDEX(_xlfn.ORG.LIBREOFFICE.FOURIER(TRUE(),TRUE(),FALSE(),TRUE(),1),ROWS(_xlfn.ORG.LIBREOFFICE.FOURIER(TRUE(),TRUE(),FALSE(),TRUE(),1)),2)</f>
        <v>0</v>
      </c>
      <c r="B23888" s="0" t="s">
        <v>23713</v>
      </c>
    </row>
    <row r="23889" customFormat="false" ht="15" hidden="false" customHeight="false" outlineLevel="0" collapsed="false">
      <c r="A23889" s="0" t="n">
        <f aca="false">SUM(_xlfn.ORG.LIBREOFFICE.FOURIER(TRUE(),TRUE(),TRUE(),TRUE(),5))</f>
        <v>0</v>
      </c>
      <c r="B23889" s="0" t="s">
        <v>23714</v>
      </c>
    </row>
    <row r="23890" customFormat="false" ht="15" hidden="false" customHeight="false" outlineLevel="0" collapsed="false">
      <c r="A23890" s="0" t="n">
        <f aca="false">INDEX(_xlfn.ORG.LIBREOFFICE.FOURIER(TRUE(),TRUE(),TRUE(),TRUE(),5),1,1)</f>
        <v>0</v>
      </c>
      <c r="B23890" s="0" t="s">
        <v>23715</v>
      </c>
    </row>
    <row r="23891" customFormat="false" ht="15" hidden="false" customHeight="false" outlineLevel="0" collapsed="false">
      <c r="A23891" s="0" t="e">
        <f aca="false">INDEX(_xlfn.ORG.LIBREOFFICE.FOURIER(TRUE(),TRUE(),TRUE(),TRUE(),5),2,1)</f>
        <v>#REF!</v>
      </c>
      <c r="B23891" s="0" t="s">
        <v>23716</v>
      </c>
    </row>
    <row r="23892" customFormat="false" ht="15" hidden="false" customHeight="false" outlineLevel="0" collapsed="false">
      <c r="A23892" s="0" t="e">
        <f aca="false">INDEX(_xlfn.ORG.LIBREOFFICE.FOURIER(TRUE(),TRUE(),TRUE(),TRUE(),5),2,2)</f>
        <v>#REF!</v>
      </c>
      <c r="B23892" s="0" t="s">
        <v>23717</v>
      </c>
    </row>
    <row r="23893" customFormat="false" ht="15" hidden="false" customHeight="false" outlineLevel="0" collapsed="false">
      <c r="A23893" s="0" t="e">
        <f aca="false">INDEX(_xlfn.ORG.LIBREOFFICE.FOURIER(TRUE(),TRUE(),TRUE(),TRUE(),5),3,2)</f>
        <v>#REF!</v>
      </c>
      <c r="B23893" s="0" t="s">
        <v>23718</v>
      </c>
    </row>
    <row r="23894" customFormat="false" ht="15" hidden="false" customHeight="false" outlineLevel="0" collapsed="false">
      <c r="A23894" s="0" t="n">
        <f aca="false">INDEX(_xlfn.ORG.LIBREOFFICE.FOURIER(TRUE(),TRUE(),TRUE(),TRUE(),5),ROWS(_xlfn.ORG.LIBREOFFICE.FOURIER(TRUE(),TRUE(),TRUE(),TRUE(),5)),1)</f>
        <v>0</v>
      </c>
      <c r="B23894" s="0" t="s">
        <v>23719</v>
      </c>
    </row>
    <row r="23895" customFormat="false" ht="15" hidden="false" customHeight="false" outlineLevel="0" collapsed="false">
      <c r="A23895" s="0" t="n">
        <f aca="false">INDEX(_xlfn.ORG.LIBREOFFICE.FOURIER(TRUE(),TRUE(),TRUE(),TRUE(),5),ROWS(_xlfn.ORG.LIBREOFFICE.FOURIER(TRUE(),TRUE(),TRUE(),TRUE(),5)),2)</f>
        <v>0</v>
      </c>
      <c r="B23895" s="0" t="s">
        <v>23720</v>
      </c>
    </row>
    <row r="23896" customFormat="false" ht="15" hidden="false" customHeight="false" outlineLevel="0" collapsed="false">
      <c r="A23896" s="0" t="n">
        <f aca="false">ROWS(_xlfn.ORG.LIBREOFFICE.FOURIER(TRUE(),FALSE()))</f>
        <v>1</v>
      </c>
      <c r="B23896" s="0" t="s">
        <v>23721</v>
      </c>
    </row>
    <row r="23897" customFormat="false" ht="15" hidden="false" customHeight="false" outlineLevel="0" collapsed="false">
      <c r="A23897" s="0" t="n">
        <f aca="false">COLUMNS(_xlfn.ORG.LIBREOFFICE.FOURIER(TRUE(),FALSE()))</f>
        <v>2</v>
      </c>
      <c r="B23897" s="0" t="s">
        <v>23722</v>
      </c>
    </row>
    <row r="23898" customFormat="false" ht="15" hidden="false" customHeight="false" outlineLevel="0" collapsed="false">
      <c r="A23898" s="0" t="n">
        <f aca="false">SUM(_xlfn.ORG.LIBREOFFICE.FOURIER(TRUE(),FALSE()))</f>
        <v>1</v>
      </c>
      <c r="B23898" s="0" t="s">
        <v>23723</v>
      </c>
    </row>
    <row r="23899" customFormat="false" ht="15" hidden="false" customHeight="false" outlineLevel="0" collapsed="false">
      <c r="A23899" s="0" t="n">
        <f aca="false">INDEX(_xlfn.ORG.LIBREOFFICE.FOURIER(TRUE(),FALSE()),1,1)</f>
        <v>1</v>
      </c>
      <c r="B23899" s="0" t="s">
        <v>23724</v>
      </c>
    </row>
    <row r="23900" customFormat="false" ht="15" hidden="false" customHeight="false" outlineLevel="0" collapsed="false">
      <c r="A23900" s="0" t="e">
        <f aca="false">INDEX(_xlfn.ORG.LIBREOFFICE.FOURIER(TRUE(),FALSE()),2,1)</f>
        <v>#REF!</v>
      </c>
      <c r="B23900" s="0" t="s">
        <v>23725</v>
      </c>
    </row>
    <row r="23901" customFormat="false" ht="15" hidden="false" customHeight="false" outlineLevel="0" collapsed="false">
      <c r="A23901" s="0" t="e">
        <f aca="false">INDEX(_xlfn.ORG.LIBREOFFICE.FOURIER(TRUE(),FALSE()),2,2)</f>
        <v>#REF!</v>
      </c>
      <c r="B23901" s="0" t="s">
        <v>23726</v>
      </c>
    </row>
    <row r="23902" customFormat="false" ht="15" hidden="false" customHeight="false" outlineLevel="0" collapsed="false">
      <c r="A23902" s="0" t="e">
        <f aca="false">INDEX(_xlfn.ORG.LIBREOFFICE.FOURIER(TRUE(),FALSE()),3,2)</f>
        <v>#REF!</v>
      </c>
      <c r="B23902" s="0" t="s">
        <v>23727</v>
      </c>
    </row>
    <row r="23903" customFormat="false" ht="15" hidden="false" customHeight="false" outlineLevel="0" collapsed="false">
      <c r="A23903" s="0" t="n">
        <f aca="false">INDEX(_xlfn.ORG.LIBREOFFICE.FOURIER(TRUE(),FALSE()),ROWS(_xlfn.ORG.LIBREOFFICE.FOURIER(TRUE(),FALSE())),1)</f>
        <v>1</v>
      </c>
      <c r="B23903" s="0" t="s">
        <v>23728</v>
      </c>
    </row>
    <row r="23904" customFormat="false" ht="15" hidden="false" customHeight="false" outlineLevel="0" collapsed="false">
      <c r="A23904" s="0" t="n">
        <f aca="false">INDEX(_xlfn.ORG.LIBREOFFICE.FOURIER(TRUE(),FALSE()),ROWS(_xlfn.ORG.LIBREOFFICE.FOURIER(TRUE(),FALSE())),2)</f>
        <v>0</v>
      </c>
      <c r="B23904" s="0" t="s">
        <v>23729</v>
      </c>
    </row>
    <row r="23905" customFormat="false" ht="15" hidden="false" customHeight="false" outlineLevel="0" collapsed="false">
      <c r="A23905" s="0" t="n">
        <f aca="false">SUM(_xlfn.ORG.LIBREOFFICE.FOURIER(TRUE(),FALSE(),TRUE()))</f>
        <v>1</v>
      </c>
      <c r="B23905" s="0" t="s">
        <v>23730</v>
      </c>
    </row>
    <row r="23906" customFormat="false" ht="15" hidden="false" customHeight="false" outlineLevel="0" collapsed="false">
      <c r="A23906" s="0" t="n">
        <f aca="false">INDEX(_xlfn.ORG.LIBREOFFICE.FOURIER(TRUE(),FALSE(),TRUE()),1,1)</f>
        <v>1</v>
      </c>
      <c r="B23906" s="0" t="s">
        <v>23731</v>
      </c>
    </row>
    <row r="23907" customFormat="false" ht="15" hidden="false" customHeight="false" outlineLevel="0" collapsed="false">
      <c r="A23907" s="0" t="e">
        <f aca="false">INDEX(_xlfn.ORG.LIBREOFFICE.FOURIER(TRUE(),FALSE(),TRUE()),2,1)</f>
        <v>#REF!</v>
      </c>
      <c r="B23907" s="0" t="s">
        <v>23732</v>
      </c>
    </row>
    <row r="23908" customFormat="false" ht="15" hidden="false" customHeight="false" outlineLevel="0" collapsed="false">
      <c r="A23908" s="0" t="e">
        <f aca="false">INDEX(_xlfn.ORG.LIBREOFFICE.FOURIER(TRUE(),FALSE(),TRUE()),2,2)</f>
        <v>#REF!</v>
      </c>
      <c r="B23908" s="0" t="s">
        <v>23733</v>
      </c>
    </row>
    <row r="23909" customFormat="false" ht="15" hidden="false" customHeight="false" outlineLevel="0" collapsed="false">
      <c r="A23909" s="0" t="e">
        <f aca="false">INDEX(_xlfn.ORG.LIBREOFFICE.FOURIER(TRUE(),FALSE(),TRUE()),3,2)</f>
        <v>#REF!</v>
      </c>
      <c r="B23909" s="0" t="s">
        <v>23734</v>
      </c>
    </row>
    <row r="23910" customFormat="false" ht="15" hidden="false" customHeight="false" outlineLevel="0" collapsed="false">
      <c r="A23910" s="0" t="n">
        <f aca="false">INDEX(_xlfn.ORG.LIBREOFFICE.FOURIER(TRUE(),FALSE(),TRUE()),ROWS(_xlfn.ORG.LIBREOFFICE.FOURIER(TRUE(),FALSE(),TRUE())),1)</f>
        <v>1</v>
      </c>
      <c r="B23910" s="0" t="s">
        <v>23735</v>
      </c>
    </row>
    <row r="23911" customFormat="false" ht="15" hidden="false" customHeight="false" outlineLevel="0" collapsed="false">
      <c r="A23911" s="0" t="n">
        <f aca="false">INDEX(_xlfn.ORG.LIBREOFFICE.FOURIER(TRUE(),FALSE(),TRUE()),ROWS(_xlfn.ORG.LIBREOFFICE.FOURIER(TRUE(),FALSE(),TRUE())),2)</f>
        <v>0</v>
      </c>
      <c r="B23911" s="0" t="s">
        <v>23736</v>
      </c>
    </row>
    <row r="23912" customFormat="false" ht="15" hidden="false" customHeight="false" outlineLevel="0" collapsed="false">
      <c r="A23912" s="0" t="n">
        <f aca="false">SUM(_xlfn.ORG.LIBREOFFICE.FOURIER(TRUE(),FALSE(),FALSE(),TRUE()))</f>
        <v>1</v>
      </c>
      <c r="B23912" s="0" t="s">
        <v>23737</v>
      </c>
    </row>
    <row r="23913" customFormat="false" ht="15" hidden="false" customHeight="false" outlineLevel="0" collapsed="false">
      <c r="A23913" s="0" t="n">
        <f aca="false">INDEX(_xlfn.ORG.LIBREOFFICE.FOURIER(TRUE(),FALSE(),FALSE(),TRUE()),1,1)</f>
        <v>1</v>
      </c>
      <c r="B23913" s="0" t="s">
        <v>23738</v>
      </c>
    </row>
    <row r="23914" customFormat="false" ht="15" hidden="false" customHeight="false" outlineLevel="0" collapsed="false">
      <c r="A23914" s="0" t="e">
        <f aca="false">INDEX(_xlfn.ORG.LIBREOFFICE.FOURIER(TRUE(),FALSE(),FALSE(),TRUE()),2,1)</f>
        <v>#REF!</v>
      </c>
      <c r="B23914" s="0" t="s">
        <v>23739</v>
      </c>
    </row>
    <row r="23915" customFormat="false" ht="15" hidden="false" customHeight="false" outlineLevel="0" collapsed="false">
      <c r="A23915" s="0" t="e">
        <f aca="false">INDEX(_xlfn.ORG.LIBREOFFICE.FOURIER(TRUE(),FALSE(),FALSE(),TRUE()),2,2)</f>
        <v>#REF!</v>
      </c>
      <c r="B23915" s="0" t="s">
        <v>23740</v>
      </c>
    </row>
    <row r="23916" customFormat="false" ht="15" hidden="false" customHeight="false" outlineLevel="0" collapsed="false">
      <c r="A23916" s="0" t="e">
        <f aca="false">INDEX(_xlfn.ORG.LIBREOFFICE.FOURIER(TRUE(),FALSE(),FALSE(),TRUE()),3,2)</f>
        <v>#REF!</v>
      </c>
      <c r="B23916" s="0" t="s">
        <v>23741</v>
      </c>
    </row>
    <row r="23917" customFormat="false" ht="15" hidden="false" customHeight="false" outlineLevel="0" collapsed="false">
      <c r="A23917" s="0" t="n">
        <f aca="false">INDEX(_xlfn.ORG.LIBREOFFICE.FOURIER(TRUE(),FALSE(),FALSE(),TRUE()),ROWS(_xlfn.ORG.LIBREOFFICE.FOURIER(TRUE(),FALSE(),FALSE(),TRUE())),1)</f>
        <v>1</v>
      </c>
      <c r="B23917" s="0" t="s">
        <v>23742</v>
      </c>
    </row>
    <row r="23918" customFormat="false" ht="15" hidden="false" customHeight="false" outlineLevel="0" collapsed="false">
      <c r="A23918" s="0" t="n">
        <f aca="false">INDEX(_xlfn.ORG.LIBREOFFICE.FOURIER(TRUE(),FALSE(),FALSE(),TRUE()),ROWS(_xlfn.ORG.LIBREOFFICE.FOURIER(TRUE(),FALSE(),FALSE(),TRUE())),2)</f>
        <v>0</v>
      </c>
      <c r="B23918" s="0" t="s">
        <v>23743</v>
      </c>
    </row>
    <row r="23919" customFormat="false" ht="15" hidden="false" customHeight="false" outlineLevel="0" collapsed="false">
      <c r="A23919" s="0" t="n">
        <f aca="false">SUM(_xlfn.ORG.LIBREOFFICE.FOURIER(TRUE(),FALSE(),TRUE(),TRUE()))</f>
        <v>1</v>
      </c>
      <c r="B23919" s="0" t="s">
        <v>23744</v>
      </c>
    </row>
    <row r="23920" customFormat="false" ht="15" hidden="false" customHeight="false" outlineLevel="0" collapsed="false">
      <c r="A23920" s="0" t="n">
        <f aca="false">INDEX(_xlfn.ORG.LIBREOFFICE.FOURIER(TRUE(),FALSE(),TRUE(),TRUE()),1,1)</f>
        <v>1</v>
      </c>
      <c r="B23920" s="0" t="s">
        <v>23745</v>
      </c>
    </row>
    <row r="23921" customFormat="false" ht="15" hidden="false" customHeight="false" outlineLevel="0" collapsed="false">
      <c r="A23921" s="0" t="e">
        <f aca="false">INDEX(_xlfn.ORG.LIBREOFFICE.FOURIER(TRUE(),FALSE(),TRUE(),TRUE()),2,1)</f>
        <v>#REF!</v>
      </c>
      <c r="B23921" s="0" t="s">
        <v>23746</v>
      </c>
    </row>
    <row r="23922" customFormat="false" ht="15" hidden="false" customHeight="false" outlineLevel="0" collapsed="false">
      <c r="A23922" s="0" t="e">
        <f aca="false">INDEX(_xlfn.ORG.LIBREOFFICE.FOURIER(TRUE(),FALSE(),TRUE(),TRUE()),2,2)</f>
        <v>#REF!</v>
      </c>
      <c r="B23922" s="0" t="s">
        <v>23747</v>
      </c>
    </row>
    <row r="23923" customFormat="false" ht="15" hidden="false" customHeight="false" outlineLevel="0" collapsed="false">
      <c r="A23923" s="0" t="e">
        <f aca="false">INDEX(_xlfn.ORG.LIBREOFFICE.FOURIER(TRUE(),FALSE(),TRUE(),TRUE()),3,2)</f>
        <v>#REF!</v>
      </c>
      <c r="B23923" s="0" t="s">
        <v>23748</v>
      </c>
    </row>
    <row r="23924" customFormat="false" ht="15" hidden="false" customHeight="false" outlineLevel="0" collapsed="false">
      <c r="A23924" s="0" t="n">
        <f aca="false">INDEX(_xlfn.ORG.LIBREOFFICE.FOURIER(TRUE(),FALSE(),TRUE(),TRUE()),ROWS(_xlfn.ORG.LIBREOFFICE.FOURIER(TRUE(),FALSE(),TRUE(),TRUE())),1)</f>
        <v>1</v>
      </c>
      <c r="B23924" s="0" t="s">
        <v>23749</v>
      </c>
    </row>
    <row r="23925" customFormat="false" ht="15" hidden="false" customHeight="false" outlineLevel="0" collapsed="false">
      <c r="A23925" s="0" t="n">
        <f aca="false">INDEX(_xlfn.ORG.LIBREOFFICE.FOURIER(TRUE(),FALSE(),TRUE(),TRUE()),ROWS(_xlfn.ORG.LIBREOFFICE.FOURIER(TRUE(),FALSE(),TRUE(),TRUE())),2)</f>
        <v>0</v>
      </c>
      <c r="B23925" s="0" t="s">
        <v>23750</v>
      </c>
    </row>
    <row r="23926" customFormat="false" ht="15" hidden="false" customHeight="false" outlineLevel="0" collapsed="false">
      <c r="A23926" s="0" t="n">
        <f aca="false">SUM(_xlfn.ORG.LIBREOFFICE.FOURIER(TRUE(),FALSE(),FALSE(),TRUE(),1))</f>
        <v>1</v>
      </c>
      <c r="B23926" s="0" t="s">
        <v>23751</v>
      </c>
    </row>
    <row r="23927" customFormat="false" ht="15" hidden="false" customHeight="false" outlineLevel="0" collapsed="false">
      <c r="A23927" s="0" t="n">
        <f aca="false">INDEX(_xlfn.ORG.LIBREOFFICE.FOURIER(TRUE(),FALSE(),FALSE(),TRUE(),1),1,1)</f>
        <v>1</v>
      </c>
      <c r="B23927" s="0" t="s">
        <v>23752</v>
      </c>
    </row>
    <row r="23928" customFormat="false" ht="15" hidden="false" customHeight="false" outlineLevel="0" collapsed="false">
      <c r="A23928" s="0" t="e">
        <f aca="false">INDEX(_xlfn.ORG.LIBREOFFICE.FOURIER(TRUE(),FALSE(),FALSE(),TRUE(),1),2,1)</f>
        <v>#REF!</v>
      </c>
      <c r="B23928" s="0" t="s">
        <v>23753</v>
      </c>
    </row>
    <row r="23929" customFormat="false" ht="15" hidden="false" customHeight="false" outlineLevel="0" collapsed="false">
      <c r="A23929" s="0" t="e">
        <f aca="false">INDEX(_xlfn.ORG.LIBREOFFICE.FOURIER(TRUE(),FALSE(),FALSE(),TRUE(),1),2,2)</f>
        <v>#REF!</v>
      </c>
      <c r="B23929" s="0" t="s">
        <v>23754</v>
      </c>
    </row>
    <row r="23930" customFormat="false" ht="15" hidden="false" customHeight="false" outlineLevel="0" collapsed="false">
      <c r="A23930" s="0" t="e">
        <f aca="false">INDEX(_xlfn.ORG.LIBREOFFICE.FOURIER(TRUE(),FALSE(),FALSE(),TRUE(),1),3,2)</f>
        <v>#REF!</v>
      </c>
      <c r="B23930" s="0" t="s">
        <v>23755</v>
      </c>
    </row>
    <row r="23931" customFormat="false" ht="15" hidden="false" customHeight="false" outlineLevel="0" collapsed="false">
      <c r="A23931" s="0" t="n">
        <f aca="false">INDEX(_xlfn.ORG.LIBREOFFICE.FOURIER(TRUE(),FALSE(),FALSE(),TRUE(),1),ROWS(_xlfn.ORG.LIBREOFFICE.FOURIER(TRUE(),FALSE(),FALSE(),TRUE(),1)),1)</f>
        <v>1</v>
      </c>
      <c r="B23931" s="0" t="s">
        <v>23756</v>
      </c>
    </row>
    <row r="23932" customFormat="false" ht="15" hidden="false" customHeight="false" outlineLevel="0" collapsed="false">
      <c r="A23932" s="0" t="n">
        <f aca="false">INDEX(_xlfn.ORG.LIBREOFFICE.FOURIER(TRUE(),FALSE(),FALSE(),TRUE(),1),ROWS(_xlfn.ORG.LIBREOFFICE.FOURIER(TRUE(),FALSE(),FALSE(),TRUE(),1)),2)</f>
        <v>0</v>
      </c>
      <c r="B23932" s="0" t="s">
        <v>23757</v>
      </c>
    </row>
    <row r="23933" customFormat="false" ht="15" hidden="false" customHeight="false" outlineLevel="0" collapsed="false">
      <c r="A23933" s="0" t="n">
        <f aca="false">SUM(_xlfn.ORG.LIBREOFFICE.FOURIER(TRUE(),FALSE(),TRUE(),TRUE(),5))</f>
        <v>0</v>
      </c>
      <c r="B23933" s="0" t="s">
        <v>23758</v>
      </c>
    </row>
    <row r="23934" customFormat="false" ht="15" hidden="false" customHeight="false" outlineLevel="0" collapsed="false">
      <c r="A23934" s="0" t="n">
        <f aca="false">INDEX(_xlfn.ORG.LIBREOFFICE.FOURIER(TRUE(),FALSE(),TRUE(),TRUE(),5),1,1)</f>
        <v>0</v>
      </c>
      <c r="B23934" s="0" t="s">
        <v>23759</v>
      </c>
    </row>
    <row r="23935" customFormat="false" ht="15" hidden="false" customHeight="false" outlineLevel="0" collapsed="false">
      <c r="A23935" s="0" t="e">
        <f aca="false">INDEX(_xlfn.ORG.LIBREOFFICE.FOURIER(TRUE(),FALSE(),TRUE(),TRUE(),5),2,1)</f>
        <v>#REF!</v>
      </c>
      <c r="B23935" s="0" t="s">
        <v>23760</v>
      </c>
    </row>
    <row r="23936" customFormat="false" ht="15" hidden="false" customHeight="false" outlineLevel="0" collapsed="false">
      <c r="A23936" s="0" t="e">
        <f aca="false">INDEX(_xlfn.ORG.LIBREOFFICE.FOURIER(TRUE(),FALSE(),TRUE(),TRUE(),5),2,2)</f>
        <v>#REF!</v>
      </c>
      <c r="B23936" s="0" t="s">
        <v>23761</v>
      </c>
    </row>
    <row r="23937" customFormat="false" ht="15" hidden="false" customHeight="false" outlineLevel="0" collapsed="false">
      <c r="A23937" s="0" t="e">
        <f aca="false">INDEX(_xlfn.ORG.LIBREOFFICE.FOURIER(TRUE(),FALSE(),TRUE(),TRUE(),5),3,2)</f>
        <v>#REF!</v>
      </c>
      <c r="B23937" s="0" t="s">
        <v>23762</v>
      </c>
    </row>
    <row r="23938" customFormat="false" ht="15" hidden="false" customHeight="false" outlineLevel="0" collapsed="false">
      <c r="A23938" s="0" t="n">
        <f aca="false">INDEX(_xlfn.ORG.LIBREOFFICE.FOURIER(TRUE(),FALSE(),TRUE(),TRUE(),5),ROWS(_xlfn.ORG.LIBREOFFICE.FOURIER(TRUE(),FALSE(),TRUE(),TRUE(),5)),1)</f>
        <v>0</v>
      </c>
      <c r="B23938" s="0" t="s">
        <v>23763</v>
      </c>
    </row>
    <row r="23939" customFormat="false" ht="15" hidden="false" customHeight="false" outlineLevel="0" collapsed="false">
      <c r="A23939" s="0" t="n">
        <f aca="false">INDEX(_xlfn.ORG.LIBREOFFICE.FOURIER(TRUE(),FALSE(),TRUE(),TRUE(),5),ROWS(_xlfn.ORG.LIBREOFFICE.FOURIER(TRUE(),FALSE(),TRUE(),TRUE(),5)),2)</f>
        <v>0</v>
      </c>
      <c r="B23939" s="0" t="s">
        <v>23764</v>
      </c>
    </row>
    <row r="23940" customFormat="false" ht="15" hidden="false" customHeight="false" outlineLevel="0" collapsed="false">
      <c r="A23940" s="0" t="n">
        <f aca="false">ROWS(_xlfn.ORG.LIBREOFFICE.FOURIER({1;TRUE;3;4},TRUE()))</f>
        <v>4</v>
      </c>
      <c r="B23940" s="0" t="s">
        <v>23765</v>
      </c>
    </row>
    <row r="23941" customFormat="false" ht="15" hidden="false" customHeight="false" outlineLevel="0" collapsed="false">
      <c r="A23941" s="0" t="n">
        <f aca="false">COLUMNS(_xlfn.ORG.LIBREOFFICE.FOURIER({1;TRUE;3;4},TRUE()))</f>
        <v>2</v>
      </c>
      <c r="B23941" s="0" t="s">
        <v>23766</v>
      </c>
    </row>
    <row r="23942" customFormat="false" ht="15" hidden="false" customHeight="false" outlineLevel="0" collapsed="false">
      <c r="A23942" s="0" t="n">
        <f aca="false">SUM(_xlfn.ORG.LIBREOFFICE.FOURIER({1;TRUE;3;4},TRUE()))</f>
        <v>4</v>
      </c>
      <c r="B23942" s="0" t="s">
        <v>23767</v>
      </c>
    </row>
    <row r="23943" customFormat="false" ht="15" hidden="false" customHeight="false" outlineLevel="0" collapsed="false">
      <c r="A23943" s="0" t="n">
        <f aca="false">INDEX(_xlfn.ORG.LIBREOFFICE.FOURIER({1;TRUE;3;4},TRUE()),1,1)</f>
        <v>9</v>
      </c>
      <c r="B23943" s="0" t="s">
        <v>23768</v>
      </c>
    </row>
    <row r="23944" customFormat="false" ht="15" hidden="false" customHeight="false" outlineLevel="0" collapsed="false">
      <c r="A23944" s="0" t="n">
        <f aca="false">INDEX(_xlfn.ORG.LIBREOFFICE.FOURIER({1;TRUE;3;4},TRUE()),2,1)</f>
        <v>-2</v>
      </c>
      <c r="B23944" s="0" t="s">
        <v>23769</v>
      </c>
    </row>
    <row r="23945" customFormat="false" ht="15" hidden="false" customHeight="false" outlineLevel="0" collapsed="false">
      <c r="A23945" s="0" t="n">
        <f aca="false">INDEX(_xlfn.ORG.LIBREOFFICE.FOURIER({1;TRUE;3;4},TRUE()),2,2)</f>
        <v>3</v>
      </c>
      <c r="B23945" s="0" t="s">
        <v>23770</v>
      </c>
    </row>
    <row r="23946" customFormat="false" ht="15" hidden="false" customHeight="false" outlineLevel="0" collapsed="false">
      <c r="A23946" s="0" t="n">
        <f aca="false">INDEX(_xlfn.ORG.LIBREOFFICE.FOURIER({1;TRUE;3;4},TRUE()),3,2)</f>
        <v>0</v>
      </c>
      <c r="B23946" s="0" t="s">
        <v>23771</v>
      </c>
    </row>
    <row r="23947" customFormat="false" ht="15" hidden="false" customHeight="false" outlineLevel="0" collapsed="false">
      <c r="A23947" s="0" t="n">
        <f aca="false">INDEX(_xlfn.ORG.LIBREOFFICE.FOURIER({1;TRUE;3;4},TRUE()),ROWS(_xlfn.ORG.LIBREOFFICE.FOURIER({1;TRUE;3;4},TRUE())),1)</f>
        <v>-2</v>
      </c>
      <c r="B23947" s="0" t="s">
        <v>23772</v>
      </c>
    </row>
    <row r="23948" customFormat="false" ht="15" hidden="false" customHeight="false" outlineLevel="0" collapsed="false">
      <c r="A23948" s="0" t="n">
        <f aca="false">INDEX(_xlfn.ORG.LIBREOFFICE.FOURIER({1;TRUE;3;4},TRUE()),ROWS(_xlfn.ORG.LIBREOFFICE.FOURIER({1;TRUE;3;4},TRUE())),2)</f>
        <v>-3</v>
      </c>
      <c r="B23948" s="0" t="s">
        <v>23773</v>
      </c>
    </row>
    <row r="23949" customFormat="false" ht="15" hidden="false" customHeight="false" outlineLevel="0" collapsed="false">
      <c r="A23949" s="0" t="n">
        <f aca="false">SUM(_xlfn.ORG.LIBREOFFICE.FOURIER({1;TRUE;3;4},TRUE(),TRUE()))</f>
        <v>1</v>
      </c>
      <c r="B23949" s="0" t="s">
        <v>23774</v>
      </c>
    </row>
    <row r="23950" customFormat="false" ht="15" hidden="false" customHeight="false" outlineLevel="0" collapsed="false">
      <c r="A23950" s="0" t="n">
        <f aca="false">INDEX(_xlfn.ORG.LIBREOFFICE.FOURIER({1;TRUE;3;4},TRUE(),TRUE()),1,1)</f>
        <v>2.25</v>
      </c>
      <c r="B23950" s="0" t="s">
        <v>23775</v>
      </c>
    </row>
    <row r="23951" customFormat="false" ht="15" hidden="false" customHeight="false" outlineLevel="0" collapsed="false">
      <c r="A23951" s="0" t="n">
        <f aca="false">INDEX(_xlfn.ORG.LIBREOFFICE.FOURIER({1;TRUE;3;4},TRUE(),TRUE()),2,1)</f>
        <v>-0.5</v>
      </c>
      <c r="B23951" s="0" t="s">
        <v>23776</v>
      </c>
    </row>
    <row r="23952" customFormat="false" ht="15" hidden="false" customHeight="false" outlineLevel="0" collapsed="false">
      <c r="A23952" s="0" t="n">
        <f aca="false">INDEX(_xlfn.ORG.LIBREOFFICE.FOURIER({1;TRUE;3;4},TRUE(),TRUE()),2,2)</f>
        <v>-0.75</v>
      </c>
      <c r="B23952" s="0" t="s">
        <v>23777</v>
      </c>
    </row>
    <row r="23953" customFormat="false" ht="15" hidden="false" customHeight="false" outlineLevel="0" collapsed="false">
      <c r="A23953" s="0" t="n">
        <f aca="false">INDEX(_xlfn.ORG.LIBREOFFICE.FOURIER({1;TRUE;3;4},TRUE(),TRUE()),3,2)</f>
        <v>0</v>
      </c>
      <c r="B23953" s="0" t="s">
        <v>23778</v>
      </c>
    </row>
    <row r="23954" customFormat="false" ht="15" hidden="false" customHeight="false" outlineLevel="0" collapsed="false">
      <c r="A23954" s="0" t="n">
        <f aca="false">INDEX(_xlfn.ORG.LIBREOFFICE.FOURIER({1;TRUE;3;4},TRUE(),TRUE()),ROWS(_xlfn.ORG.LIBREOFFICE.FOURIER({1;TRUE;3;4},TRUE(),TRUE())),1)</f>
        <v>-0.5</v>
      </c>
      <c r="B23954" s="0" t="s">
        <v>23779</v>
      </c>
    </row>
    <row r="23955" customFormat="false" ht="15" hidden="false" customHeight="false" outlineLevel="0" collapsed="false">
      <c r="A23955" s="0" t="n">
        <f aca="false">INDEX(_xlfn.ORG.LIBREOFFICE.FOURIER({1;TRUE;3;4},TRUE(),TRUE()),ROWS(_xlfn.ORG.LIBREOFFICE.FOURIER({1;TRUE;3;4},TRUE(),TRUE())),2)</f>
        <v>0.75</v>
      </c>
      <c r="B23955" s="0" t="s">
        <v>23780</v>
      </c>
    </row>
    <row r="23956" customFormat="false" ht="15" hidden="false" customHeight="false" outlineLevel="0" collapsed="false">
      <c r="A23956" s="0" t="n">
        <f aca="false">SUM(_xlfn.ORG.LIBREOFFICE.FOURIER({1;TRUE;3;4},TRUE(),FALSE(),TRUE()))</f>
        <v>20.3526952045178</v>
      </c>
      <c r="B23956" s="0" t="s">
        <v>23781</v>
      </c>
    </row>
    <row r="23957" customFormat="false" ht="15" hidden="false" customHeight="false" outlineLevel="0" collapsed="false">
      <c r="A23957" s="0" t="n">
        <f aca="false">INDEX(_xlfn.ORG.LIBREOFFICE.FOURIER({1;TRUE;3;4},TRUE(),FALSE(),TRUE()),1,1)</f>
        <v>9</v>
      </c>
      <c r="B23957" s="0" t="s">
        <v>23782</v>
      </c>
    </row>
    <row r="23958" customFormat="false" ht="15" hidden="false" customHeight="false" outlineLevel="0" collapsed="false">
      <c r="A23958" s="0" t="n">
        <f aca="false">INDEX(_xlfn.ORG.LIBREOFFICE.FOURIER({1;TRUE;3;4},TRUE(),FALSE(),TRUE()),2,1)</f>
        <v>3.60555127546399</v>
      </c>
      <c r="B23958" s="0" t="s">
        <v>23783</v>
      </c>
    </row>
    <row r="23959" customFormat="false" ht="15" hidden="false" customHeight="false" outlineLevel="0" collapsed="false">
      <c r="A23959" s="0" t="n">
        <f aca="false">INDEX(_xlfn.ORG.LIBREOFFICE.FOURIER({1;TRUE;3;4},TRUE(),FALSE(),TRUE()),2,2)</f>
        <v>2.15879893034246</v>
      </c>
      <c r="B23959" s="0" t="s">
        <v>23784</v>
      </c>
    </row>
    <row r="23960" customFormat="false" ht="15" hidden="false" customHeight="false" outlineLevel="0" collapsed="false">
      <c r="A23960" s="0" t="n">
        <f aca="false">INDEX(_xlfn.ORG.LIBREOFFICE.FOURIER({1;TRUE;3;4},TRUE(),FALSE(),TRUE()),3,2)</f>
        <v>3.14159265358979</v>
      </c>
      <c r="B23960" s="0" t="s">
        <v>23785</v>
      </c>
    </row>
    <row r="23961" customFormat="false" ht="15" hidden="false" customHeight="false" outlineLevel="0" collapsed="false">
      <c r="A23961" s="0" t="n">
        <f aca="false">INDEX(_xlfn.ORG.LIBREOFFICE.FOURIER({1;TRUE;3;4},TRUE(),FALSE(),TRUE()),ROWS(_xlfn.ORG.LIBREOFFICE.FOURIER({1;TRUE;3;4},TRUE(),FALSE(),TRUE())),1)</f>
        <v>3.60555127546399</v>
      </c>
      <c r="B23961" s="0" t="s">
        <v>23786</v>
      </c>
    </row>
    <row r="23962" customFormat="false" ht="15" hidden="false" customHeight="false" outlineLevel="0" collapsed="false">
      <c r="A23962" s="0" t="n">
        <f aca="false">INDEX(_xlfn.ORG.LIBREOFFICE.FOURIER({1;TRUE;3;4},TRUE(),FALSE(),TRUE()),ROWS(_xlfn.ORG.LIBREOFFICE.FOURIER({1;TRUE;3;4},TRUE(),FALSE(),TRUE())),2)</f>
        <v>-2.15879893034246</v>
      </c>
      <c r="B23962" s="0" t="s">
        <v>23787</v>
      </c>
    </row>
    <row r="23963" customFormat="false" ht="15" hidden="false" customHeight="false" outlineLevel="0" collapsed="false">
      <c r="A23963" s="0" t="n">
        <f aca="false">SUM(_xlfn.ORG.LIBREOFFICE.FOURIER({1;TRUE;3;4},TRUE(),TRUE(),TRUE()))</f>
        <v>7.44436829132179</v>
      </c>
      <c r="B23963" s="0" t="s">
        <v>23788</v>
      </c>
    </row>
    <row r="23964" customFormat="false" ht="15" hidden="false" customHeight="false" outlineLevel="0" collapsed="false">
      <c r="A23964" s="0" t="n">
        <f aca="false">INDEX(_xlfn.ORG.LIBREOFFICE.FOURIER({1;TRUE;3;4},TRUE(),TRUE(),TRUE()),1,1)</f>
        <v>2.25</v>
      </c>
      <c r="B23964" s="0" t="s">
        <v>23789</v>
      </c>
    </row>
    <row r="23965" customFormat="false" ht="15" hidden="false" customHeight="false" outlineLevel="0" collapsed="false">
      <c r="A23965" s="0" t="n">
        <f aca="false">INDEX(_xlfn.ORG.LIBREOFFICE.FOURIER({1;TRUE;3;4},TRUE(),TRUE(),TRUE()),2,1)</f>
        <v>0.901387818865997</v>
      </c>
      <c r="B23965" s="0" t="s">
        <v>23790</v>
      </c>
    </row>
    <row r="23966" customFormat="false" ht="15" hidden="false" customHeight="false" outlineLevel="0" collapsed="false">
      <c r="A23966" s="0" t="n">
        <f aca="false">INDEX(_xlfn.ORG.LIBREOFFICE.FOURIER({1;TRUE;3;4},TRUE(),TRUE(),TRUE()),2,2)</f>
        <v>-2.15879893034246</v>
      </c>
      <c r="B23966" s="0" t="s">
        <v>23791</v>
      </c>
    </row>
    <row r="23967" customFormat="false" ht="15" hidden="false" customHeight="false" outlineLevel="0" collapsed="false">
      <c r="A23967" s="0" t="n">
        <f aca="false">INDEX(_xlfn.ORG.LIBREOFFICE.FOURIER({1;TRUE;3;4},TRUE(),TRUE(),TRUE()),3,2)</f>
        <v>3.14159265358979</v>
      </c>
      <c r="B23967" s="0" t="s">
        <v>23792</v>
      </c>
    </row>
    <row r="23968" customFormat="false" ht="15" hidden="false" customHeight="false" outlineLevel="0" collapsed="false">
      <c r="A23968" s="0" t="n">
        <f aca="false">INDEX(_xlfn.ORG.LIBREOFFICE.FOURIER({1;TRUE;3;4},TRUE(),TRUE(),TRUE()),ROWS(_xlfn.ORG.LIBREOFFICE.FOURIER({1;TRUE;3;4},TRUE(),TRUE(),TRUE())),1)</f>
        <v>0.901387818865997</v>
      </c>
      <c r="B23968" s="0" t="s">
        <v>23793</v>
      </c>
    </row>
    <row r="23969" customFormat="false" ht="15" hidden="false" customHeight="false" outlineLevel="0" collapsed="false">
      <c r="A23969" s="0" t="n">
        <f aca="false">INDEX(_xlfn.ORG.LIBREOFFICE.FOURIER({1;TRUE;3;4},TRUE(),TRUE(),TRUE()),ROWS(_xlfn.ORG.LIBREOFFICE.FOURIER({1;TRUE;3;4},TRUE(),TRUE(),TRUE())),2)</f>
        <v>2.15879893034246</v>
      </c>
      <c r="B23969" s="0" t="s">
        <v>23794</v>
      </c>
    </row>
    <row r="23970" customFormat="false" ht="15" hidden="false" customHeight="false" outlineLevel="0" collapsed="false">
      <c r="A23970" s="0" t="n">
        <f aca="false">SUM(_xlfn.ORG.LIBREOFFICE.FOURIER({1;TRUE;3;4},TRUE(),FALSE(),TRUE(),1))</f>
        <v>20.3526952045178</v>
      </c>
      <c r="B23970" s="0" t="s">
        <v>23795</v>
      </c>
    </row>
    <row r="23971" customFormat="false" ht="15" hidden="false" customHeight="false" outlineLevel="0" collapsed="false">
      <c r="A23971" s="0" t="n">
        <f aca="false">INDEX(_xlfn.ORG.LIBREOFFICE.FOURIER({1;TRUE;3;4},TRUE(),FALSE(),TRUE(),1),1,1)</f>
        <v>9</v>
      </c>
      <c r="B23971" s="0" t="s">
        <v>23796</v>
      </c>
    </row>
    <row r="23972" customFormat="false" ht="15" hidden="false" customHeight="false" outlineLevel="0" collapsed="false">
      <c r="A23972" s="0" t="n">
        <f aca="false">INDEX(_xlfn.ORG.LIBREOFFICE.FOURIER({1;TRUE;3;4},TRUE(),FALSE(),TRUE(),1),2,1)</f>
        <v>3.60555127546399</v>
      </c>
      <c r="B23972" s="0" t="s">
        <v>23797</v>
      </c>
    </row>
    <row r="23973" customFormat="false" ht="15" hidden="false" customHeight="false" outlineLevel="0" collapsed="false">
      <c r="A23973" s="0" t="n">
        <f aca="false">INDEX(_xlfn.ORG.LIBREOFFICE.FOURIER({1;TRUE;3;4},TRUE(),FALSE(),TRUE(),1),2,2)</f>
        <v>2.15879893034246</v>
      </c>
      <c r="B23973" s="0" t="s">
        <v>23798</v>
      </c>
    </row>
    <row r="23974" customFormat="false" ht="15" hidden="false" customHeight="false" outlineLevel="0" collapsed="false">
      <c r="A23974" s="0" t="n">
        <f aca="false">INDEX(_xlfn.ORG.LIBREOFFICE.FOURIER({1;TRUE;3;4},TRUE(),FALSE(),TRUE(),1),3,2)</f>
        <v>3.14159265358979</v>
      </c>
      <c r="B23974" s="0" t="s">
        <v>23799</v>
      </c>
    </row>
    <row r="23975" customFormat="false" ht="15" hidden="false" customHeight="false" outlineLevel="0" collapsed="false">
      <c r="A23975" s="0" t="n">
        <f aca="false">INDEX(_xlfn.ORG.LIBREOFFICE.FOURIER({1;TRUE;3;4},TRUE(),FALSE(),TRUE(),1),ROWS(_xlfn.ORG.LIBREOFFICE.FOURIER({1;TRUE;3;4},TRUE(),FALSE(),TRUE(),1)),1)</f>
        <v>3.60555127546399</v>
      </c>
      <c r="B23975" s="0" t="s">
        <v>23800</v>
      </c>
    </row>
    <row r="23976" customFormat="false" ht="15" hidden="false" customHeight="false" outlineLevel="0" collapsed="false">
      <c r="A23976" s="0" t="n">
        <f aca="false">INDEX(_xlfn.ORG.LIBREOFFICE.FOURIER({1;TRUE;3;4},TRUE(),FALSE(),TRUE(),1),ROWS(_xlfn.ORG.LIBREOFFICE.FOURIER({1;TRUE;3;4},TRUE(),FALSE(),TRUE(),1)),2)</f>
        <v>-2.15879893034246</v>
      </c>
      <c r="B23976" s="0" t="s">
        <v>23801</v>
      </c>
    </row>
    <row r="23977" customFormat="false" ht="15" hidden="false" customHeight="false" outlineLevel="0" collapsed="false">
      <c r="A23977" s="0" t="n">
        <f aca="false">SUM(_xlfn.ORG.LIBREOFFICE.FOURIER({1;TRUE;3;4},TRUE(),TRUE(),TRUE(),5))</f>
        <v>2.25</v>
      </c>
      <c r="B23977" s="0" t="s">
        <v>23802</v>
      </c>
    </row>
    <row r="23978" customFormat="false" ht="15" hidden="false" customHeight="false" outlineLevel="0" collapsed="false">
      <c r="A23978" s="0" t="n">
        <f aca="false">INDEX(_xlfn.ORG.LIBREOFFICE.FOURIER({1;TRUE;3;4},TRUE(),TRUE(),TRUE(),5),1,1)</f>
        <v>2.25</v>
      </c>
      <c r="B23978" s="0" t="s">
        <v>23803</v>
      </c>
    </row>
    <row r="23979" customFormat="false" ht="15" hidden="false" customHeight="false" outlineLevel="0" collapsed="false">
      <c r="A23979" s="0" t="n">
        <f aca="false">INDEX(_xlfn.ORG.LIBREOFFICE.FOURIER({1;TRUE;3;4},TRUE(),TRUE(),TRUE(),5),2,1)</f>
        <v>0</v>
      </c>
      <c r="B23979" s="0" t="s">
        <v>23804</v>
      </c>
    </row>
    <row r="23980" customFormat="false" ht="15" hidden="false" customHeight="false" outlineLevel="0" collapsed="false">
      <c r="A23980" s="0" t="n">
        <f aca="false">INDEX(_xlfn.ORG.LIBREOFFICE.FOURIER({1;TRUE;3;4},TRUE(),TRUE(),TRUE(),5),2,2)</f>
        <v>0</v>
      </c>
      <c r="B23980" s="0" t="s">
        <v>23805</v>
      </c>
    </row>
    <row r="23981" customFormat="false" ht="15" hidden="false" customHeight="false" outlineLevel="0" collapsed="false">
      <c r="A23981" s="0" t="n">
        <f aca="false">INDEX(_xlfn.ORG.LIBREOFFICE.FOURIER({1;TRUE;3;4},TRUE(),TRUE(),TRUE(),5),3,2)</f>
        <v>0</v>
      </c>
      <c r="B23981" s="0" t="s">
        <v>23806</v>
      </c>
    </row>
    <row r="23982" customFormat="false" ht="15" hidden="false" customHeight="false" outlineLevel="0" collapsed="false">
      <c r="A23982" s="0" t="n">
        <f aca="false">INDEX(_xlfn.ORG.LIBREOFFICE.FOURIER({1;TRUE;3;4},TRUE(),TRUE(),TRUE(),5),ROWS(_xlfn.ORG.LIBREOFFICE.FOURIER({1;TRUE;3;4},TRUE(),TRUE(),TRUE(),5)),1)</f>
        <v>0</v>
      </c>
      <c r="B23982" s="0" t="s">
        <v>23807</v>
      </c>
    </row>
    <row r="23983" customFormat="false" ht="15" hidden="false" customHeight="false" outlineLevel="0" collapsed="false">
      <c r="A23983" s="0" t="n">
        <f aca="false">INDEX(_xlfn.ORG.LIBREOFFICE.FOURIER({1;TRUE;3;4},TRUE(),TRUE(),TRUE(),5),ROWS(_xlfn.ORG.LIBREOFFICE.FOURIER({1;TRUE;3;4},TRUE(),TRUE(),TRUE(),5)),2)</f>
        <v>0</v>
      </c>
      <c r="B23983" s="0" t="s">
        <v>23808</v>
      </c>
    </row>
    <row r="23984" customFormat="false" ht="15" hidden="false" customHeight="false" outlineLevel="0" collapsed="false">
      <c r="A23984" s="0" t="n">
        <f aca="false">ROWS(_xlfn.ORG.LIBREOFFICE.FOURIER(TRANSPOSE({1;TRUE;3;4}),FALSE()))</f>
        <v>4</v>
      </c>
      <c r="B23984" s="0" t="s">
        <v>23809</v>
      </c>
    </row>
    <row r="23985" customFormat="false" ht="15" hidden="false" customHeight="false" outlineLevel="0" collapsed="false">
      <c r="A23985" s="0" t="n">
        <f aca="false">COLUMNS(_xlfn.ORG.LIBREOFFICE.FOURIER(TRANSPOSE({1;TRUE;3;4}),FALSE()))</f>
        <v>2</v>
      </c>
      <c r="B23985" s="0" t="s">
        <v>23810</v>
      </c>
    </row>
    <row r="23986" customFormat="false" ht="15" hidden="false" customHeight="false" outlineLevel="0" collapsed="false">
      <c r="A23986" s="0" t="n">
        <f aca="false">SUM(_xlfn.ORG.LIBREOFFICE.FOURIER(TRANSPOSE({1;TRUE;3;4}),FALSE()))</f>
        <v>4</v>
      </c>
      <c r="B23986" s="0" t="s">
        <v>23811</v>
      </c>
    </row>
    <row r="23987" customFormat="false" ht="15" hidden="false" customHeight="false" outlineLevel="0" collapsed="false">
      <c r="A23987" s="0" t="n">
        <f aca="false">INDEX(_xlfn.ORG.LIBREOFFICE.FOURIER(TRANSPOSE({1;TRUE;3;4}),FALSE()),1,1)</f>
        <v>9</v>
      </c>
      <c r="B23987" s="0" t="s">
        <v>23812</v>
      </c>
    </row>
    <row r="23988" customFormat="false" ht="15" hidden="false" customHeight="false" outlineLevel="0" collapsed="false">
      <c r="A23988" s="0" t="n">
        <f aca="false">INDEX(_xlfn.ORG.LIBREOFFICE.FOURIER(TRANSPOSE({1;TRUE;3;4}),FALSE()),2,1)</f>
        <v>-2</v>
      </c>
      <c r="B23988" s="0" t="s">
        <v>23813</v>
      </c>
    </row>
    <row r="23989" customFormat="false" ht="15" hidden="false" customHeight="false" outlineLevel="0" collapsed="false">
      <c r="A23989" s="0" t="n">
        <f aca="false">INDEX(_xlfn.ORG.LIBREOFFICE.FOURIER(TRANSPOSE({1;TRUE;3;4}),FALSE()),2,2)</f>
        <v>3</v>
      </c>
      <c r="B23989" s="0" t="s">
        <v>23814</v>
      </c>
    </row>
    <row r="23990" customFormat="false" ht="15" hidden="false" customHeight="false" outlineLevel="0" collapsed="false">
      <c r="A23990" s="0" t="n">
        <f aca="false">INDEX(_xlfn.ORG.LIBREOFFICE.FOURIER(TRANSPOSE({1;TRUE;3;4}),FALSE()),3,2)</f>
        <v>0</v>
      </c>
      <c r="B23990" s="0" t="s">
        <v>23815</v>
      </c>
    </row>
    <row r="23991" customFormat="false" ht="15" hidden="false" customHeight="false" outlineLevel="0" collapsed="false">
      <c r="A23991" s="0" t="n">
        <f aca="false">INDEX(_xlfn.ORG.LIBREOFFICE.FOURIER(TRANSPOSE({1;TRUE;3;4}),FALSE()),ROWS(_xlfn.ORG.LIBREOFFICE.FOURIER(TRANSPOSE({1;TRUE;3;4}),FALSE())),1)</f>
        <v>-2</v>
      </c>
      <c r="B23991" s="0" t="s">
        <v>23816</v>
      </c>
    </row>
    <row r="23992" customFormat="false" ht="15" hidden="false" customHeight="false" outlineLevel="0" collapsed="false">
      <c r="A23992" s="0" t="n">
        <f aca="false">INDEX(_xlfn.ORG.LIBREOFFICE.FOURIER(TRANSPOSE({1;TRUE;3;4}),FALSE()),ROWS(_xlfn.ORG.LIBREOFFICE.FOURIER(TRANSPOSE({1;TRUE;3;4}),FALSE())),2)</f>
        <v>-3</v>
      </c>
      <c r="B23992" s="0" t="s">
        <v>23817</v>
      </c>
    </row>
    <row r="23993" customFormat="false" ht="15" hidden="false" customHeight="false" outlineLevel="0" collapsed="false">
      <c r="A23993" s="0" t="n">
        <f aca="false">SUM(_xlfn.ORG.LIBREOFFICE.FOURIER(TRANSPOSE({1;TRUE;3;4}),FALSE(),TRUE()))</f>
        <v>1</v>
      </c>
      <c r="B23993" s="0" t="s">
        <v>23818</v>
      </c>
    </row>
    <row r="23994" customFormat="false" ht="15" hidden="false" customHeight="false" outlineLevel="0" collapsed="false">
      <c r="A23994" s="0" t="n">
        <f aca="false">INDEX(_xlfn.ORG.LIBREOFFICE.FOURIER(TRANSPOSE({1;TRUE;3;4}),FALSE(),TRUE()),1,1)</f>
        <v>2.25</v>
      </c>
      <c r="B23994" s="0" t="s">
        <v>23819</v>
      </c>
    </row>
    <row r="23995" customFormat="false" ht="15" hidden="false" customHeight="false" outlineLevel="0" collapsed="false">
      <c r="A23995" s="0" t="n">
        <f aca="false">INDEX(_xlfn.ORG.LIBREOFFICE.FOURIER(TRANSPOSE({1;TRUE;3;4}),FALSE(),TRUE()),2,1)</f>
        <v>-0.5</v>
      </c>
      <c r="B23995" s="0" t="s">
        <v>23820</v>
      </c>
    </row>
    <row r="23996" customFormat="false" ht="15" hidden="false" customHeight="false" outlineLevel="0" collapsed="false">
      <c r="A23996" s="0" t="n">
        <f aca="false">INDEX(_xlfn.ORG.LIBREOFFICE.FOURIER(TRANSPOSE({1;TRUE;3;4}),FALSE(),TRUE()),2,2)</f>
        <v>-0.75</v>
      </c>
      <c r="B23996" s="0" t="s">
        <v>23821</v>
      </c>
    </row>
    <row r="23997" customFormat="false" ht="15" hidden="false" customHeight="false" outlineLevel="0" collapsed="false">
      <c r="A23997" s="0" t="n">
        <f aca="false">INDEX(_xlfn.ORG.LIBREOFFICE.FOURIER(TRANSPOSE({1;TRUE;3;4}),FALSE(),TRUE()),3,2)</f>
        <v>0</v>
      </c>
      <c r="B23997" s="0" t="s">
        <v>23822</v>
      </c>
    </row>
    <row r="23998" customFormat="false" ht="15" hidden="false" customHeight="false" outlineLevel="0" collapsed="false">
      <c r="A23998" s="0" t="n">
        <f aca="false">INDEX(_xlfn.ORG.LIBREOFFICE.FOURIER(TRANSPOSE({1;TRUE;3;4}),FALSE(),TRUE()),ROWS(_xlfn.ORG.LIBREOFFICE.FOURIER(TRANSPOSE({1;TRUE;3;4}),FALSE(),TRUE())),1)</f>
        <v>-0.5</v>
      </c>
      <c r="B23998" s="0" t="s">
        <v>23823</v>
      </c>
    </row>
    <row r="23999" customFormat="false" ht="15" hidden="false" customHeight="false" outlineLevel="0" collapsed="false">
      <c r="A23999" s="0" t="n">
        <f aca="false">INDEX(_xlfn.ORG.LIBREOFFICE.FOURIER(TRANSPOSE({1;TRUE;3;4}),FALSE(),TRUE()),ROWS(_xlfn.ORG.LIBREOFFICE.FOURIER(TRANSPOSE({1;TRUE;3;4}),FALSE(),TRUE())),2)</f>
        <v>0.75</v>
      </c>
      <c r="B23999" s="0" t="s">
        <v>23824</v>
      </c>
    </row>
    <row r="24000" customFormat="false" ht="15" hidden="false" customHeight="false" outlineLevel="0" collapsed="false">
      <c r="A24000" s="0" t="n">
        <f aca="false">SUM(_xlfn.ORG.LIBREOFFICE.FOURIER(TRANSPOSE({1;TRUE;3;4}),FALSE(),FALSE(),TRUE()))</f>
        <v>20.3526952045178</v>
      </c>
      <c r="B24000" s="0" t="s">
        <v>23825</v>
      </c>
    </row>
    <row r="24001" customFormat="false" ht="15" hidden="false" customHeight="false" outlineLevel="0" collapsed="false">
      <c r="A24001" s="0" t="n">
        <f aca="false">INDEX(_xlfn.ORG.LIBREOFFICE.FOURIER(TRANSPOSE({1;TRUE;3;4}),FALSE(),FALSE(),TRUE()),1,1)</f>
        <v>9</v>
      </c>
      <c r="B24001" s="0" t="s">
        <v>23826</v>
      </c>
    </row>
    <row r="24002" customFormat="false" ht="15" hidden="false" customHeight="false" outlineLevel="0" collapsed="false">
      <c r="A24002" s="0" t="n">
        <f aca="false">INDEX(_xlfn.ORG.LIBREOFFICE.FOURIER(TRANSPOSE({1;TRUE;3;4}),FALSE(),FALSE(),TRUE()),2,1)</f>
        <v>3.60555127546399</v>
      </c>
      <c r="B24002" s="0" t="s">
        <v>23827</v>
      </c>
    </row>
    <row r="24003" customFormat="false" ht="15" hidden="false" customHeight="false" outlineLevel="0" collapsed="false">
      <c r="A24003" s="0" t="n">
        <f aca="false">INDEX(_xlfn.ORG.LIBREOFFICE.FOURIER(TRANSPOSE({1;TRUE;3;4}),FALSE(),FALSE(),TRUE()),2,2)</f>
        <v>2.15879893034246</v>
      </c>
      <c r="B24003" s="0" t="s">
        <v>23828</v>
      </c>
    </row>
    <row r="24004" customFormat="false" ht="15" hidden="false" customHeight="false" outlineLevel="0" collapsed="false">
      <c r="A24004" s="0" t="n">
        <f aca="false">INDEX(_xlfn.ORG.LIBREOFFICE.FOURIER(TRANSPOSE({1;TRUE;3;4}),FALSE(),FALSE(),TRUE()),3,2)</f>
        <v>3.14159265358979</v>
      </c>
      <c r="B24004" s="0" t="s">
        <v>23829</v>
      </c>
    </row>
    <row r="24005" customFormat="false" ht="15" hidden="false" customHeight="false" outlineLevel="0" collapsed="false">
      <c r="A24005" s="0" t="n">
        <f aca="false">INDEX(_xlfn.ORG.LIBREOFFICE.FOURIER(TRANSPOSE({1;TRUE;3;4}),FALSE(),FALSE(),TRUE()),ROWS(_xlfn.ORG.LIBREOFFICE.FOURIER(TRANSPOSE({1;TRUE;3;4}),FALSE(),FALSE(),TRUE())),1)</f>
        <v>3.60555127546399</v>
      </c>
      <c r="B24005" s="0" t="s">
        <v>23830</v>
      </c>
    </row>
    <row r="24006" customFormat="false" ht="15" hidden="false" customHeight="false" outlineLevel="0" collapsed="false">
      <c r="A24006" s="0" t="n">
        <f aca="false">INDEX(_xlfn.ORG.LIBREOFFICE.FOURIER(TRANSPOSE({1;TRUE;3;4}),FALSE(),FALSE(),TRUE()),ROWS(_xlfn.ORG.LIBREOFFICE.FOURIER(TRANSPOSE({1;TRUE;3;4}),FALSE(),FALSE(),TRUE())),2)</f>
        <v>-2.15879893034246</v>
      </c>
      <c r="B24006" s="0" t="s">
        <v>23831</v>
      </c>
    </row>
    <row r="24007" customFormat="false" ht="15" hidden="false" customHeight="false" outlineLevel="0" collapsed="false">
      <c r="A24007" s="0" t="n">
        <f aca="false">SUM(_xlfn.ORG.LIBREOFFICE.FOURIER(TRANSPOSE({1;TRUE;3;4}),FALSE(),TRUE(),TRUE()))</f>
        <v>7.44436829132179</v>
      </c>
      <c r="B24007" s="0" t="s">
        <v>23832</v>
      </c>
    </row>
    <row r="24008" customFormat="false" ht="15" hidden="false" customHeight="false" outlineLevel="0" collapsed="false">
      <c r="A24008" s="0" t="n">
        <f aca="false">INDEX(_xlfn.ORG.LIBREOFFICE.FOURIER(TRANSPOSE({1;TRUE;3;4}),FALSE(),TRUE(),TRUE()),1,1)</f>
        <v>2.25</v>
      </c>
      <c r="B24008" s="0" t="s">
        <v>23833</v>
      </c>
    </row>
    <row r="24009" customFormat="false" ht="15" hidden="false" customHeight="false" outlineLevel="0" collapsed="false">
      <c r="A24009" s="0" t="n">
        <f aca="false">INDEX(_xlfn.ORG.LIBREOFFICE.FOURIER(TRANSPOSE({1;TRUE;3;4}),FALSE(),TRUE(),TRUE()),2,1)</f>
        <v>0.901387818865997</v>
      </c>
      <c r="B24009" s="0" t="s">
        <v>23834</v>
      </c>
    </row>
    <row r="24010" customFormat="false" ht="15" hidden="false" customHeight="false" outlineLevel="0" collapsed="false">
      <c r="A24010" s="0" t="n">
        <f aca="false">INDEX(_xlfn.ORG.LIBREOFFICE.FOURIER(TRANSPOSE({1;TRUE;3;4}),FALSE(),TRUE(),TRUE()),2,2)</f>
        <v>-2.15879893034246</v>
      </c>
      <c r="B24010" s="0" t="s">
        <v>23835</v>
      </c>
    </row>
    <row r="24011" customFormat="false" ht="15" hidden="false" customHeight="false" outlineLevel="0" collapsed="false">
      <c r="A24011" s="0" t="n">
        <f aca="false">INDEX(_xlfn.ORG.LIBREOFFICE.FOURIER(TRANSPOSE({1;TRUE;3;4}),FALSE(),TRUE(),TRUE()),3,2)</f>
        <v>3.14159265358979</v>
      </c>
      <c r="B24011" s="0" t="s">
        <v>23836</v>
      </c>
    </row>
    <row r="24012" customFormat="false" ht="15" hidden="false" customHeight="false" outlineLevel="0" collapsed="false">
      <c r="A24012" s="0" t="n">
        <f aca="false">INDEX(_xlfn.ORG.LIBREOFFICE.FOURIER(TRANSPOSE({1;TRUE;3;4}),FALSE(),TRUE(),TRUE()),ROWS(_xlfn.ORG.LIBREOFFICE.FOURIER(TRANSPOSE({1;TRUE;3;4}),FALSE(),TRUE(),TRUE())),1)</f>
        <v>0.901387818865997</v>
      </c>
      <c r="B24012" s="0" t="s">
        <v>23837</v>
      </c>
    </row>
    <row r="24013" customFormat="false" ht="15" hidden="false" customHeight="false" outlineLevel="0" collapsed="false">
      <c r="A24013" s="0" t="n">
        <f aca="false">INDEX(_xlfn.ORG.LIBREOFFICE.FOURIER(TRANSPOSE({1;TRUE;3;4}),FALSE(),TRUE(),TRUE()),ROWS(_xlfn.ORG.LIBREOFFICE.FOURIER(TRANSPOSE({1;TRUE;3;4}),FALSE(),TRUE(),TRUE())),2)</f>
        <v>2.15879893034246</v>
      </c>
      <c r="B24013" s="0" t="s">
        <v>23838</v>
      </c>
    </row>
    <row r="24014" customFormat="false" ht="15" hidden="false" customHeight="false" outlineLevel="0" collapsed="false">
      <c r="A24014" s="0" t="n">
        <f aca="false">SUM(_xlfn.ORG.LIBREOFFICE.FOURIER(TRANSPOSE({1;TRUE;3;4}),FALSE(),FALSE(),TRUE(),1))</f>
        <v>20.3526952045178</v>
      </c>
      <c r="B24014" s="0" t="s">
        <v>23839</v>
      </c>
    </row>
    <row r="24015" customFormat="false" ht="15" hidden="false" customHeight="false" outlineLevel="0" collapsed="false">
      <c r="A24015" s="0" t="n">
        <f aca="false">INDEX(_xlfn.ORG.LIBREOFFICE.FOURIER(TRANSPOSE({1;TRUE;3;4}),FALSE(),FALSE(),TRUE(),1),1,1)</f>
        <v>9</v>
      </c>
      <c r="B24015" s="0" t="s">
        <v>23840</v>
      </c>
    </row>
    <row r="24016" customFormat="false" ht="15" hidden="false" customHeight="false" outlineLevel="0" collapsed="false">
      <c r="A24016" s="0" t="n">
        <f aca="false">INDEX(_xlfn.ORG.LIBREOFFICE.FOURIER(TRANSPOSE({1;TRUE;3;4}),FALSE(),FALSE(),TRUE(),1),2,1)</f>
        <v>3.60555127546399</v>
      </c>
      <c r="B24016" s="0" t="s">
        <v>23841</v>
      </c>
    </row>
    <row r="24017" customFormat="false" ht="15" hidden="false" customHeight="false" outlineLevel="0" collapsed="false">
      <c r="A24017" s="0" t="n">
        <f aca="false">INDEX(_xlfn.ORG.LIBREOFFICE.FOURIER(TRANSPOSE({1;TRUE;3;4}),FALSE(),FALSE(),TRUE(),1),2,2)</f>
        <v>2.15879893034246</v>
      </c>
      <c r="B24017" s="0" t="s">
        <v>23842</v>
      </c>
    </row>
    <row r="24018" customFormat="false" ht="15" hidden="false" customHeight="false" outlineLevel="0" collapsed="false">
      <c r="A24018" s="0" t="n">
        <f aca="false">INDEX(_xlfn.ORG.LIBREOFFICE.FOURIER(TRANSPOSE({1;TRUE;3;4}),FALSE(),FALSE(),TRUE(),1),3,2)</f>
        <v>3.14159265358979</v>
      </c>
      <c r="B24018" s="0" t="s">
        <v>23843</v>
      </c>
    </row>
    <row r="24019" customFormat="false" ht="15" hidden="false" customHeight="false" outlineLevel="0" collapsed="false">
      <c r="A24019" s="0" t="n">
        <f aca="false">INDEX(_xlfn.ORG.LIBREOFFICE.FOURIER(TRANSPOSE({1;TRUE;3;4}),FALSE(),FALSE(),TRUE(),1),ROWS(_xlfn.ORG.LIBREOFFICE.FOURIER(TRANSPOSE({1;TRUE;3;4}),FALSE(),FALSE(),TRUE(),1)),1)</f>
        <v>3.60555127546399</v>
      </c>
      <c r="B24019" s="0" t="s">
        <v>23844</v>
      </c>
    </row>
    <row r="24020" customFormat="false" ht="15" hidden="false" customHeight="false" outlineLevel="0" collapsed="false">
      <c r="A24020" s="0" t="n">
        <f aca="false">INDEX(_xlfn.ORG.LIBREOFFICE.FOURIER(TRANSPOSE({1;TRUE;3;4}),FALSE(),FALSE(),TRUE(),1),ROWS(_xlfn.ORG.LIBREOFFICE.FOURIER(TRANSPOSE({1;TRUE;3;4}),FALSE(),FALSE(),TRUE(),1)),2)</f>
        <v>-2.15879893034246</v>
      </c>
      <c r="B24020" s="0" t="s">
        <v>23845</v>
      </c>
    </row>
    <row r="24021" customFormat="false" ht="15" hidden="false" customHeight="false" outlineLevel="0" collapsed="false">
      <c r="A24021" s="0" t="n">
        <f aca="false">SUM(_xlfn.ORG.LIBREOFFICE.FOURIER(TRANSPOSE({1;TRUE;3;4}),FALSE(),TRUE(),TRUE(),5))</f>
        <v>2.25</v>
      </c>
      <c r="B24021" s="0" t="s">
        <v>23846</v>
      </c>
    </row>
    <row r="24022" customFormat="false" ht="15" hidden="false" customHeight="false" outlineLevel="0" collapsed="false">
      <c r="A24022" s="0" t="n">
        <f aca="false">INDEX(_xlfn.ORG.LIBREOFFICE.FOURIER(TRANSPOSE({1;TRUE;3;4}),FALSE(),TRUE(),TRUE(),5),1,1)</f>
        <v>2.25</v>
      </c>
      <c r="B24022" s="0" t="s">
        <v>23847</v>
      </c>
    </row>
    <row r="24023" customFormat="false" ht="15" hidden="false" customHeight="false" outlineLevel="0" collapsed="false">
      <c r="A24023" s="0" t="n">
        <f aca="false">INDEX(_xlfn.ORG.LIBREOFFICE.FOURIER(TRANSPOSE({1;TRUE;3;4}),FALSE(),TRUE(),TRUE(),5),2,1)</f>
        <v>0</v>
      </c>
      <c r="B24023" s="0" t="s">
        <v>23848</v>
      </c>
    </row>
    <row r="24024" customFormat="false" ht="15" hidden="false" customHeight="false" outlineLevel="0" collapsed="false">
      <c r="A24024" s="0" t="n">
        <f aca="false">INDEX(_xlfn.ORG.LIBREOFFICE.FOURIER(TRANSPOSE({1;TRUE;3;4}),FALSE(),TRUE(),TRUE(),5),2,2)</f>
        <v>0</v>
      </c>
      <c r="B24024" s="0" t="s">
        <v>23849</v>
      </c>
    </row>
    <row r="24025" customFormat="false" ht="15" hidden="false" customHeight="false" outlineLevel="0" collapsed="false">
      <c r="A24025" s="0" t="n">
        <f aca="false">INDEX(_xlfn.ORG.LIBREOFFICE.FOURIER(TRANSPOSE({1;TRUE;3;4}),FALSE(),TRUE(),TRUE(),5),3,2)</f>
        <v>0</v>
      </c>
      <c r="B24025" s="0" t="s">
        <v>23850</v>
      </c>
    </row>
    <row r="24026" customFormat="false" ht="15" hidden="false" customHeight="false" outlineLevel="0" collapsed="false">
      <c r="A24026" s="0" t="n">
        <f aca="false">INDEX(_xlfn.ORG.LIBREOFFICE.FOURIER(TRANSPOSE({1;TRUE;3;4}),FALSE(),TRUE(),TRUE(),5),ROWS(_xlfn.ORG.LIBREOFFICE.FOURIER(TRANSPOSE({1;TRUE;3;4}),FALSE(),TRUE(),TRUE(),5)),1)</f>
        <v>0</v>
      </c>
      <c r="B24026" s="0" t="s">
        <v>23851</v>
      </c>
    </row>
    <row r="24027" customFormat="false" ht="15" hidden="false" customHeight="false" outlineLevel="0" collapsed="false">
      <c r="A24027" s="0" t="n">
        <f aca="false">INDEX(_xlfn.ORG.LIBREOFFICE.FOURIER(TRANSPOSE({1;TRUE;3;4}),FALSE(),TRUE(),TRUE(),5),ROWS(_xlfn.ORG.LIBREOFFICE.FOURIER(TRANSPOSE({1;TRUE;3;4}),FALSE(),TRUE(),TRUE(),5)),2)</f>
        <v>0</v>
      </c>
      <c r="B24027" s="0" t="s">
        <v>23852</v>
      </c>
    </row>
    <row r="24028" customFormat="false" ht="15" hidden="false" customHeight="false" outlineLevel="0" collapsed="false">
      <c r="A24028" s="0" t="n">
        <f aca="false">ROWS(_xlfn.ORG.LIBREOFFICE.FOURIER({0.5;-0.25;1000;7},TRUE()))</f>
        <v>4</v>
      </c>
      <c r="B24028" s="0" t="s">
        <v>23853</v>
      </c>
    </row>
    <row r="24029" customFormat="false" ht="15" hidden="false" customHeight="false" outlineLevel="0" collapsed="false">
      <c r="A24029" s="0" t="n">
        <f aca="false">COLUMNS(_xlfn.ORG.LIBREOFFICE.FOURIER({0.5;-0.25;1000;7},TRUE()))</f>
        <v>2</v>
      </c>
      <c r="B24029" s="0" t="s">
        <v>23854</v>
      </c>
    </row>
    <row r="24030" customFormat="false" ht="15" hidden="false" customHeight="false" outlineLevel="0" collapsed="false">
      <c r="A24030" s="0" t="n">
        <f aca="false">SUM(_xlfn.ORG.LIBREOFFICE.FOURIER({0.5;-0.25;1000;7},TRUE()))</f>
        <v>2</v>
      </c>
      <c r="B24030" s="0" t="s">
        <v>23855</v>
      </c>
    </row>
    <row r="24031" customFormat="false" ht="15" hidden="false" customHeight="false" outlineLevel="0" collapsed="false">
      <c r="A24031" s="0" t="n">
        <f aca="false">INDEX(_xlfn.ORG.LIBREOFFICE.FOURIER({0.5;-0.25;1000;7},TRUE()),1,1)</f>
        <v>1007.25</v>
      </c>
      <c r="B24031" s="0" t="s">
        <v>23856</v>
      </c>
    </row>
    <row r="24032" customFormat="false" ht="15" hidden="false" customHeight="false" outlineLevel="0" collapsed="false">
      <c r="A24032" s="0" t="n">
        <f aca="false">INDEX(_xlfn.ORG.LIBREOFFICE.FOURIER({0.5;-0.25;1000;7},TRUE()),2,1)</f>
        <v>-999.5</v>
      </c>
      <c r="B24032" s="0" t="s">
        <v>23857</v>
      </c>
    </row>
    <row r="24033" customFormat="false" ht="15" hidden="false" customHeight="false" outlineLevel="0" collapsed="false">
      <c r="A24033" s="0" t="n">
        <f aca="false">INDEX(_xlfn.ORG.LIBREOFFICE.FOURIER({0.5;-0.25;1000;7},TRUE()),2,2)</f>
        <v>7.25</v>
      </c>
      <c r="B24033" s="0" t="s">
        <v>23858</v>
      </c>
    </row>
    <row r="24034" customFormat="false" ht="15" hidden="false" customHeight="false" outlineLevel="0" collapsed="false">
      <c r="A24034" s="0" t="n">
        <f aca="false">INDEX(_xlfn.ORG.LIBREOFFICE.FOURIER({0.5;-0.25;1000;7},TRUE()),3,2)</f>
        <v>0</v>
      </c>
      <c r="B24034" s="0" t="s">
        <v>23859</v>
      </c>
    </row>
    <row r="24035" customFormat="false" ht="15" hidden="false" customHeight="false" outlineLevel="0" collapsed="false">
      <c r="A24035" s="0" t="n">
        <f aca="false">INDEX(_xlfn.ORG.LIBREOFFICE.FOURIER({0.5;-0.25;1000;7},TRUE()),ROWS(_xlfn.ORG.LIBREOFFICE.FOURIER({0.5;-0.25;1000;7},TRUE())),1)</f>
        <v>-999.5</v>
      </c>
      <c r="B24035" s="0" t="s">
        <v>23860</v>
      </c>
    </row>
    <row r="24036" customFormat="false" ht="15" hidden="false" customHeight="false" outlineLevel="0" collapsed="false">
      <c r="A24036" s="0" t="n">
        <f aca="false">INDEX(_xlfn.ORG.LIBREOFFICE.FOURIER({0.5;-0.25;1000;7},TRUE()),ROWS(_xlfn.ORG.LIBREOFFICE.FOURIER({0.5;-0.25;1000;7},TRUE())),2)</f>
        <v>-7.25</v>
      </c>
      <c r="B24036" s="0" t="s">
        <v>23861</v>
      </c>
    </row>
    <row r="24037" customFormat="false" ht="15" hidden="false" customHeight="false" outlineLevel="0" collapsed="false">
      <c r="A24037" s="0" t="n">
        <f aca="false">SUM(_xlfn.ORG.LIBREOFFICE.FOURIER({0.5;-0.25;1000;7},TRUE(),TRUE()))</f>
        <v>0.5</v>
      </c>
      <c r="B24037" s="0" t="s">
        <v>23862</v>
      </c>
    </row>
    <row r="24038" customFormat="false" ht="15" hidden="false" customHeight="false" outlineLevel="0" collapsed="false">
      <c r="A24038" s="0" t="n">
        <f aca="false">INDEX(_xlfn.ORG.LIBREOFFICE.FOURIER({0.5;-0.25;1000;7},TRUE(),TRUE()),1,1)</f>
        <v>251.8125</v>
      </c>
      <c r="B24038" s="0" t="s">
        <v>23863</v>
      </c>
    </row>
    <row r="24039" customFormat="false" ht="15" hidden="false" customHeight="false" outlineLevel="0" collapsed="false">
      <c r="A24039" s="0" t="n">
        <f aca="false">INDEX(_xlfn.ORG.LIBREOFFICE.FOURIER({0.5;-0.25;1000;7},TRUE(),TRUE()),2,1)</f>
        <v>-249.875</v>
      </c>
      <c r="B24039" s="0" t="s">
        <v>23864</v>
      </c>
    </row>
    <row r="24040" customFormat="false" ht="15" hidden="false" customHeight="false" outlineLevel="0" collapsed="false">
      <c r="A24040" s="0" t="n">
        <f aca="false">INDEX(_xlfn.ORG.LIBREOFFICE.FOURIER({0.5;-0.25;1000;7},TRUE(),TRUE()),2,2)</f>
        <v>-1.8125</v>
      </c>
      <c r="B24040" s="0" t="s">
        <v>23865</v>
      </c>
    </row>
    <row r="24041" customFormat="false" ht="15" hidden="false" customHeight="false" outlineLevel="0" collapsed="false">
      <c r="A24041" s="0" t="n">
        <f aca="false">INDEX(_xlfn.ORG.LIBREOFFICE.FOURIER({0.5;-0.25;1000;7},TRUE(),TRUE()),3,2)</f>
        <v>0</v>
      </c>
      <c r="B24041" s="0" t="s">
        <v>23866</v>
      </c>
    </row>
    <row r="24042" customFormat="false" ht="15" hidden="false" customHeight="false" outlineLevel="0" collapsed="false">
      <c r="A24042" s="0" t="n">
        <f aca="false">INDEX(_xlfn.ORG.LIBREOFFICE.FOURIER({0.5;-0.25;1000;7},TRUE(),TRUE()),ROWS(_xlfn.ORG.LIBREOFFICE.FOURIER({0.5;-0.25;1000;7},TRUE(),TRUE())),1)</f>
        <v>-249.875</v>
      </c>
      <c r="B24042" s="0" t="s">
        <v>23867</v>
      </c>
    </row>
    <row r="24043" customFormat="false" ht="15" hidden="false" customHeight="false" outlineLevel="0" collapsed="false">
      <c r="A24043" s="0" t="n">
        <f aca="false">INDEX(_xlfn.ORG.LIBREOFFICE.FOURIER({0.5;-0.25;1000;7},TRUE(),TRUE()),ROWS(_xlfn.ORG.LIBREOFFICE.FOURIER({0.5;-0.25;1000;7},TRUE(),TRUE())),2)</f>
        <v>1.8125</v>
      </c>
      <c r="B24043" s="0" t="s">
        <v>23868</v>
      </c>
    </row>
    <row r="24044" customFormat="false" ht="15" hidden="false" customHeight="false" outlineLevel="0" collapsed="false">
      <c r="A24044" s="0" t="n">
        <f aca="false">SUM(_xlfn.ORG.LIBREOFFICE.FOURIER({0.5;-0.25;1000;7},TRUE(),FALSE(),TRUE()))</f>
        <v>4000.05258810267</v>
      </c>
      <c r="B24044" s="0" t="s">
        <v>23869</v>
      </c>
    </row>
    <row r="24045" customFormat="false" ht="15" hidden="false" customHeight="false" outlineLevel="0" collapsed="false">
      <c r="A24045" s="0" t="n">
        <f aca="false">INDEX(_xlfn.ORG.LIBREOFFICE.FOURIER({0.5;-0.25;1000;7},TRUE(),FALSE(),TRUE()),1,1)</f>
        <v>1007.25</v>
      </c>
      <c r="B24045" s="0" t="s">
        <v>23870</v>
      </c>
    </row>
    <row r="24046" customFormat="false" ht="15" hidden="false" customHeight="false" outlineLevel="0" collapsed="false">
      <c r="A24046" s="0" t="n">
        <f aca="false">INDEX(_xlfn.ORG.LIBREOFFICE.FOURIER({0.5;-0.25;1000;7},TRUE(),FALSE(),TRUE()),2,1)</f>
        <v>999.526294051337</v>
      </c>
      <c r="B24046" s="0" t="s">
        <v>23871</v>
      </c>
    </row>
    <row r="24047" customFormat="false" ht="15" hidden="false" customHeight="false" outlineLevel="0" collapsed="false">
      <c r="A24047" s="0" t="n">
        <f aca="false">INDEX(_xlfn.ORG.LIBREOFFICE.FOURIER({0.5;-0.25;1000;7},TRUE(),FALSE(),TRUE()),2,2)</f>
        <v>3.13433915398914</v>
      </c>
      <c r="B24047" s="0" t="s">
        <v>23872</v>
      </c>
    </row>
    <row r="24048" customFormat="false" ht="15" hidden="false" customHeight="false" outlineLevel="0" collapsed="false">
      <c r="A24048" s="0" t="n">
        <f aca="false">INDEX(_xlfn.ORG.LIBREOFFICE.FOURIER({0.5;-0.25;1000;7},TRUE(),FALSE(),TRUE()),3,2)</f>
        <v>0</v>
      </c>
      <c r="B24048" s="0" t="s">
        <v>23873</v>
      </c>
    </row>
    <row r="24049" customFormat="false" ht="15" hidden="false" customHeight="false" outlineLevel="0" collapsed="false">
      <c r="A24049" s="0" t="n">
        <f aca="false">INDEX(_xlfn.ORG.LIBREOFFICE.FOURIER({0.5;-0.25;1000;7},TRUE(),FALSE(),TRUE()),ROWS(_xlfn.ORG.LIBREOFFICE.FOURIER({0.5;-0.25;1000;7},TRUE(),FALSE(),TRUE())),1)</f>
        <v>999.526294051337</v>
      </c>
      <c r="B24049" s="0" t="s">
        <v>23874</v>
      </c>
    </row>
    <row r="24050" customFormat="false" ht="15" hidden="false" customHeight="false" outlineLevel="0" collapsed="false">
      <c r="A24050" s="0" t="n">
        <f aca="false">INDEX(_xlfn.ORG.LIBREOFFICE.FOURIER({0.5;-0.25;1000;7},TRUE(),FALSE(),TRUE()),ROWS(_xlfn.ORG.LIBREOFFICE.FOURIER({0.5;-0.25;1000;7},TRUE(),FALSE(),TRUE())),2)</f>
        <v>-3.13433915398914</v>
      </c>
      <c r="B24050" s="0" t="s">
        <v>23875</v>
      </c>
    </row>
    <row r="24051" customFormat="false" ht="15" hidden="false" customHeight="false" outlineLevel="0" collapsed="false">
      <c r="A24051" s="0" t="n">
        <f aca="false">SUM(_xlfn.ORG.LIBREOFFICE.FOURIER({0.5;-0.25;1000;7},TRUE(),TRUE(),TRUE()))</f>
        <v>1000.01314702567</v>
      </c>
      <c r="B24051" s="0" t="s">
        <v>23876</v>
      </c>
    </row>
    <row r="24052" customFormat="false" ht="15" hidden="false" customHeight="false" outlineLevel="0" collapsed="false">
      <c r="A24052" s="0" t="n">
        <f aca="false">INDEX(_xlfn.ORG.LIBREOFFICE.FOURIER({0.5;-0.25;1000;7},TRUE(),TRUE(),TRUE()),1,1)</f>
        <v>251.8125</v>
      </c>
      <c r="B24052" s="0" t="s">
        <v>23877</v>
      </c>
    </row>
    <row r="24053" customFormat="false" ht="15" hidden="false" customHeight="false" outlineLevel="0" collapsed="false">
      <c r="A24053" s="0" t="n">
        <f aca="false">INDEX(_xlfn.ORG.LIBREOFFICE.FOURIER({0.5;-0.25;1000;7},TRUE(),TRUE(),TRUE()),2,1)</f>
        <v>249.881573512834</v>
      </c>
      <c r="B24053" s="0" t="s">
        <v>23878</v>
      </c>
    </row>
    <row r="24054" customFormat="false" ht="15" hidden="false" customHeight="false" outlineLevel="0" collapsed="false">
      <c r="A24054" s="0" t="n">
        <f aca="false">INDEX(_xlfn.ORG.LIBREOFFICE.FOURIER({0.5;-0.25;1000;7},TRUE(),TRUE(),TRUE()),2,2)</f>
        <v>-3.13433915398914</v>
      </c>
      <c r="B24054" s="0" t="s">
        <v>23879</v>
      </c>
    </row>
    <row r="24055" customFormat="false" ht="15" hidden="false" customHeight="false" outlineLevel="0" collapsed="false">
      <c r="A24055" s="0" t="n">
        <f aca="false">INDEX(_xlfn.ORG.LIBREOFFICE.FOURIER({0.5;-0.25;1000;7},TRUE(),TRUE(),TRUE()),3,2)</f>
        <v>0</v>
      </c>
      <c r="B24055" s="0" t="s">
        <v>23880</v>
      </c>
    </row>
    <row r="24056" customFormat="false" ht="15" hidden="false" customHeight="false" outlineLevel="0" collapsed="false">
      <c r="A24056" s="0" t="n">
        <f aca="false">INDEX(_xlfn.ORG.LIBREOFFICE.FOURIER({0.5;-0.25;1000;7},TRUE(),TRUE(),TRUE()),ROWS(_xlfn.ORG.LIBREOFFICE.FOURIER({0.5;-0.25;1000;7},TRUE(),TRUE(),TRUE())),1)</f>
        <v>249.881573512834</v>
      </c>
      <c r="B24056" s="0" t="s">
        <v>23881</v>
      </c>
    </row>
    <row r="24057" customFormat="false" ht="15" hidden="false" customHeight="false" outlineLevel="0" collapsed="false">
      <c r="A24057" s="0" t="n">
        <f aca="false">INDEX(_xlfn.ORG.LIBREOFFICE.FOURIER({0.5;-0.25;1000;7},TRUE(),TRUE(),TRUE()),ROWS(_xlfn.ORG.LIBREOFFICE.FOURIER({0.5;-0.25;1000;7},TRUE(),TRUE(),TRUE())),2)</f>
        <v>3.13433915398914</v>
      </c>
      <c r="B24057" s="0" t="s">
        <v>23882</v>
      </c>
    </row>
    <row r="24058" customFormat="false" ht="15" hidden="false" customHeight="false" outlineLevel="0" collapsed="false">
      <c r="A24058" s="0" t="n">
        <f aca="false">SUM(_xlfn.ORG.LIBREOFFICE.FOURIER({0.5;-0.25;1000;7},TRUE(),FALSE(),TRUE(),1))</f>
        <v>4000.05258810267</v>
      </c>
      <c r="B24058" s="0" t="s">
        <v>23883</v>
      </c>
    </row>
    <row r="24059" customFormat="false" ht="15" hidden="false" customHeight="false" outlineLevel="0" collapsed="false">
      <c r="A24059" s="0" t="n">
        <f aca="false">INDEX(_xlfn.ORG.LIBREOFFICE.FOURIER({0.5;-0.25;1000;7},TRUE(),FALSE(),TRUE(),1),1,1)</f>
        <v>1007.25</v>
      </c>
      <c r="B24059" s="0" t="s">
        <v>23884</v>
      </c>
    </row>
    <row r="24060" customFormat="false" ht="15" hidden="false" customHeight="false" outlineLevel="0" collapsed="false">
      <c r="A24060" s="0" t="n">
        <f aca="false">INDEX(_xlfn.ORG.LIBREOFFICE.FOURIER({0.5;-0.25;1000;7},TRUE(),FALSE(),TRUE(),1),2,1)</f>
        <v>999.526294051337</v>
      </c>
      <c r="B24060" s="0" t="s">
        <v>23885</v>
      </c>
    </row>
    <row r="24061" customFormat="false" ht="15" hidden="false" customHeight="false" outlineLevel="0" collapsed="false">
      <c r="A24061" s="0" t="n">
        <f aca="false">INDEX(_xlfn.ORG.LIBREOFFICE.FOURIER({0.5;-0.25;1000;7},TRUE(),FALSE(),TRUE(),1),2,2)</f>
        <v>3.13433915398914</v>
      </c>
      <c r="B24061" s="0" t="s">
        <v>23886</v>
      </c>
    </row>
    <row r="24062" customFormat="false" ht="15" hidden="false" customHeight="false" outlineLevel="0" collapsed="false">
      <c r="A24062" s="0" t="n">
        <f aca="false">INDEX(_xlfn.ORG.LIBREOFFICE.FOURIER({0.5;-0.25;1000;7},TRUE(),FALSE(),TRUE(),1),3,2)</f>
        <v>0</v>
      </c>
      <c r="B24062" s="0" t="s">
        <v>23887</v>
      </c>
    </row>
    <row r="24063" customFormat="false" ht="15" hidden="false" customHeight="false" outlineLevel="0" collapsed="false">
      <c r="A24063" s="0" t="n">
        <f aca="false">INDEX(_xlfn.ORG.LIBREOFFICE.FOURIER({0.5;-0.25;1000;7},TRUE(),FALSE(),TRUE(),1),ROWS(_xlfn.ORG.LIBREOFFICE.FOURIER({0.5;-0.25;1000;7},TRUE(),FALSE(),TRUE(),1)),1)</f>
        <v>999.526294051337</v>
      </c>
      <c r="B24063" s="0" t="s">
        <v>23888</v>
      </c>
    </row>
    <row r="24064" customFormat="false" ht="15" hidden="false" customHeight="false" outlineLevel="0" collapsed="false">
      <c r="A24064" s="0" t="n">
        <f aca="false">INDEX(_xlfn.ORG.LIBREOFFICE.FOURIER({0.5;-0.25;1000;7},TRUE(),FALSE(),TRUE(),1),ROWS(_xlfn.ORG.LIBREOFFICE.FOURIER({0.5;-0.25;1000;7},TRUE(),FALSE(),TRUE(),1)),2)</f>
        <v>-3.13433915398914</v>
      </c>
      <c r="B24064" s="0" t="s">
        <v>23889</v>
      </c>
    </row>
    <row r="24065" customFormat="false" ht="15" hidden="false" customHeight="false" outlineLevel="0" collapsed="false">
      <c r="A24065" s="0" t="n">
        <f aca="false">SUM(_xlfn.ORG.LIBREOFFICE.FOURIER({0.5;-0.25;1000;7},TRUE(),TRUE(),TRUE(),5))</f>
        <v>1000.01314702567</v>
      </c>
      <c r="B24065" s="0" t="s">
        <v>23890</v>
      </c>
    </row>
    <row r="24066" customFormat="false" ht="15" hidden="false" customHeight="false" outlineLevel="0" collapsed="false">
      <c r="A24066" s="0" t="n">
        <f aca="false">INDEX(_xlfn.ORG.LIBREOFFICE.FOURIER({0.5;-0.25;1000;7},TRUE(),TRUE(),TRUE(),5),1,1)</f>
        <v>251.8125</v>
      </c>
      <c r="B24066" s="0" t="s">
        <v>23891</v>
      </c>
    </row>
    <row r="24067" customFormat="false" ht="15" hidden="false" customHeight="false" outlineLevel="0" collapsed="false">
      <c r="A24067" s="0" t="n">
        <f aca="false">INDEX(_xlfn.ORG.LIBREOFFICE.FOURIER({0.5;-0.25;1000;7},TRUE(),TRUE(),TRUE(),5),2,1)</f>
        <v>249.881573512834</v>
      </c>
      <c r="B24067" s="0" t="s">
        <v>23892</v>
      </c>
    </row>
    <row r="24068" customFormat="false" ht="15" hidden="false" customHeight="false" outlineLevel="0" collapsed="false">
      <c r="A24068" s="0" t="n">
        <f aca="false">INDEX(_xlfn.ORG.LIBREOFFICE.FOURIER({0.5;-0.25;1000;7},TRUE(),TRUE(),TRUE(),5),2,2)</f>
        <v>-3.13433915398914</v>
      </c>
      <c r="B24068" s="0" t="s">
        <v>23893</v>
      </c>
    </row>
    <row r="24069" customFormat="false" ht="15" hidden="false" customHeight="false" outlineLevel="0" collapsed="false">
      <c r="A24069" s="0" t="n">
        <f aca="false">INDEX(_xlfn.ORG.LIBREOFFICE.FOURIER({0.5;-0.25;1000;7},TRUE(),TRUE(),TRUE(),5),3,2)</f>
        <v>0</v>
      </c>
      <c r="B24069" s="0" t="s">
        <v>23894</v>
      </c>
    </row>
    <row r="24070" customFormat="false" ht="15" hidden="false" customHeight="false" outlineLevel="0" collapsed="false">
      <c r="A24070" s="0" t="n">
        <f aca="false">INDEX(_xlfn.ORG.LIBREOFFICE.FOURIER({0.5;-0.25;1000;7},TRUE(),TRUE(),TRUE(),5),ROWS(_xlfn.ORG.LIBREOFFICE.FOURIER({0.5;-0.25;1000;7},TRUE(),TRUE(),TRUE(),5)),1)</f>
        <v>249.881573512834</v>
      </c>
      <c r="B24070" s="0" t="s">
        <v>23895</v>
      </c>
    </row>
    <row r="24071" customFormat="false" ht="15" hidden="false" customHeight="false" outlineLevel="0" collapsed="false">
      <c r="A24071" s="0" t="n">
        <f aca="false">INDEX(_xlfn.ORG.LIBREOFFICE.FOURIER({0.5;-0.25;1000;7},TRUE(),TRUE(),TRUE(),5),ROWS(_xlfn.ORG.LIBREOFFICE.FOURIER({0.5;-0.25;1000;7},TRUE(),TRUE(),TRUE(),5)),2)</f>
        <v>3.13433915398914</v>
      </c>
      <c r="B24071" s="0" t="s">
        <v>23896</v>
      </c>
    </row>
    <row r="24072" customFormat="false" ht="15" hidden="false" customHeight="false" outlineLevel="0" collapsed="false">
      <c r="A24072" s="0" t="n">
        <f aca="false">ROWS(_xlfn.ORG.LIBREOFFICE.FOURIER(TRANSPOSE({0.5;-0.25;1000;7}),FALSE()))</f>
        <v>4</v>
      </c>
      <c r="B24072" s="0" t="s">
        <v>23897</v>
      </c>
    </row>
    <row r="24073" customFormat="false" ht="15" hidden="false" customHeight="false" outlineLevel="0" collapsed="false">
      <c r="A24073" s="0" t="n">
        <f aca="false">COLUMNS(_xlfn.ORG.LIBREOFFICE.FOURIER(TRANSPOSE({0.5;-0.25;1000;7}),FALSE()))</f>
        <v>2</v>
      </c>
      <c r="B24073" s="0" t="s">
        <v>23898</v>
      </c>
    </row>
    <row r="24074" customFormat="false" ht="15" hidden="false" customHeight="false" outlineLevel="0" collapsed="false">
      <c r="A24074" s="0" t="n">
        <f aca="false">SUM(_xlfn.ORG.LIBREOFFICE.FOURIER(TRANSPOSE({0.5;-0.25;1000;7}),FALSE()))</f>
        <v>2</v>
      </c>
      <c r="B24074" s="0" t="s">
        <v>23899</v>
      </c>
    </row>
    <row r="24075" customFormat="false" ht="15" hidden="false" customHeight="false" outlineLevel="0" collapsed="false">
      <c r="A24075" s="0" t="n">
        <f aca="false">INDEX(_xlfn.ORG.LIBREOFFICE.FOURIER(TRANSPOSE({0.5;-0.25;1000;7}),FALSE()),1,1)</f>
        <v>1007.25</v>
      </c>
      <c r="B24075" s="0" t="s">
        <v>23900</v>
      </c>
    </row>
    <row r="24076" customFormat="false" ht="15" hidden="false" customHeight="false" outlineLevel="0" collapsed="false">
      <c r="A24076" s="0" t="n">
        <f aca="false">INDEX(_xlfn.ORG.LIBREOFFICE.FOURIER(TRANSPOSE({0.5;-0.25;1000;7}),FALSE()),2,1)</f>
        <v>-999.5</v>
      </c>
      <c r="B24076" s="0" t="s">
        <v>23901</v>
      </c>
    </row>
    <row r="24077" customFormat="false" ht="15" hidden="false" customHeight="false" outlineLevel="0" collapsed="false">
      <c r="A24077" s="0" t="n">
        <f aca="false">INDEX(_xlfn.ORG.LIBREOFFICE.FOURIER(TRANSPOSE({0.5;-0.25;1000;7}),FALSE()),2,2)</f>
        <v>7.25</v>
      </c>
      <c r="B24077" s="0" t="s">
        <v>23902</v>
      </c>
    </row>
    <row r="24078" customFormat="false" ht="15" hidden="false" customHeight="false" outlineLevel="0" collapsed="false">
      <c r="A24078" s="0" t="n">
        <f aca="false">INDEX(_xlfn.ORG.LIBREOFFICE.FOURIER(TRANSPOSE({0.5;-0.25;1000;7}),FALSE()),3,2)</f>
        <v>0</v>
      </c>
      <c r="B24078" s="0" t="s">
        <v>23903</v>
      </c>
    </row>
    <row r="24079" customFormat="false" ht="15" hidden="false" customHeight="false" outlineLevel="0" collapsed="false">
      <c r="A24079" s="0" t="n">
        <f aca="false">INDEX(_xlfn.ORG.LIBREOFFICE.FOURIER(TRANSPOSE({0.5;-0.25;1000;7}),FALSE()),ROWS(_xlfn.ORG.LIBREOFFICE.FOURIER(TRANSPOSE({0.5;-0.25;1000;7}),FALSE())),1)</f>
        <v>-999.5</v>
      </c>
      <c r="B24079" s="0" t="s">
        <v>23904</v>
      </c>
    </row>
    <row r="24080" customFormat="false" ht="15" hidden="false" customHeight="false" outlineLevel="0" collapsed="false">
      <c r="A24080" s="0" t="n">
        <f aca="false">INDEX(_xlfn.ORG.LIBREOFFICE.FOURIER(TRANSPOSE({0.5;-0.25;1000;7}),FALSE()),ROWS(_xlfn.ORG.LIBREOFFICE.FOURIER(TRANSPOSE({0.5;-0.25;1000;7}),FALSE())),2)</f>
        <v>-7.25</v>
      </c>
      <c r="B24080" s="0" t="s">
        <v>23905</v>
      </c>
    </row>
    <row r="24081" customFormat="false" ht="15" hidden="false" customHeight="false" outlineLevel="0" collapsed="false">
      <c r="A24081" s="0" t="n">
        <f aca="false">SUM(_xlfn.ORG.LIBREOFFICE.FOURIER(TRANSPOSE({0.5;-0.25;1000;7}),FALSE(),TRUE()))</f>
        <v>0.5</v>
      </c>
      <c r="B24081" s="0" t="s">
        <v>23906</v>
      </c>
    </row>
    <row r="24082" customFormat="false" ht="15" hidden="false" customHeight="false" outlineLevel="0" collapsed="false">
      <c r="A24082" s="0" t="n">
        <f aca="false">INDEX(_xlfn.ORG.LIBREOFFICE.FOURIER(TRANSPOSE({0.5;-0.25;1000;7}),FALSE(),TRUE()),1,1)</f>
        <v>251.8125</v>
      </c>
      <c r="B24082" s="0" t="s">
        <v>23907</v>
      </c>
    </row>
    <row r="24083" customFormat="false" ht="15" hidden="false" customHeight="false" outlineLevel="0" collapsed="false">
      <c r="A24083" s="0" t="n">
        <f aca="false">INDEX(_xlfn.ORG.LIBREOFFICE.FOURIER(TRANSPOSE({0.5;-0.25;1000;7}),FALSE(),TRUE()),2,1)</f>
        <v>-249.875</v>
      </c>
      <c r="B24083" s="0" t="s">
        <v>23908</v>
      </c>
    </row>
    <row r="24084" customFormat="false" ht="15" hidden="false" customHeight="false" outlineLevel="0" collapsed="false">
      <c r="A24084" s="0" t="n">
        <f aca="false">INDEX(_xlfn.ORG.LIBREOFFICE.FOURIER(TRANSPOSE({0.5;-0.25;1000;7}),FALSE(),TRUE()),2,2)</f>
        <v>-1.8125</v>
      </c>
      <c r="B24084" s="0" t="s">
        <v>23909</v>
      </c>
    </row>
    <row r="24085" customFormat="false" ht="15" hidden="false" customHeight="false" outlineLevel="0" collapsed="false">
      <c r="A24085" s="0" t="n">
        <f aca="false">INDEX(_xlfn.ORG.LIBREOFFICE.FOURIER(TRANSPOSE({0.5;-0.25;1000;7}),FALSE(),TRUE()),3,2)</f>
        <v>0</v>
      </c>
      <c r="B24085" s="0" t="s">
        <v>23910</v>
      </c>
    </row>
    <row r="24086" customFormat="false" ht="15" hidden="false" customHeight="false" outlineLevel="0" collapsed="false">
      <c r="A24086" s="0" t="n">
        <f aca="false">INDEX(_xlfn.ORG.LIBREOFFICE.FOURIER(TRANSPOSE({0.5;-0.25;1000;7}),FALSE(),TRUE()),ROWS(_xlfn.ORG.LIBREOFFICE.FOURIER(TRANSPOSE({0.5;-0.25;1000;7}),FALSE(),TRUE())),1)</f>
        <v>-249.875</v>
      </c>
      <c r="B24086" s="0" t="s">
        <v>23911</v>
      </c>
    </row>
    <row r="24087" customFormat="false" ht="15" hidden="false" customHeight="false" outlineLevel="0" collapsed="false">
      <c r="A24087" s="0" t="n">
        <f aca="false">INDEX(_xlfn.ORG.LIBREOFFICE.FOURIER(TRANSPOSE({0.5;-0.25;1000;7}),FALSE(),TRUE()),ROWS(_xlfn.ORG.LIBREOFFICE.FOURIER(TRANSPOSE({0.5;-0.25;1000;7}),FALSE(),TRUE())),2)</f>
        <v>1.8125</v>
      </c>
      <c r="B24087" s="0" t="s">
        <v>23912</v>
      </c>
    </row>
    <row r="24088" customFormat="false" ht="15" hidden="false" customHeight="false" outlineLevel="0" collapsed="false">
      <c r="A24088" s="0" t="n">
        <f aca="false">SUM(_xlfn.ORG.LIBREOFFICE.FOURIER(TRANSPOSE({0.5;-0.25;1000;7}),FALSE(),FALSE(),TRUE()))</f>
        <v>4000.05258810267</v>
      </c>
      <c r="B24088" s="0" t="s">
        <v>23913</v>
      </c>
    </row>
    <row r="24089" customFormat="false" ht="15" hidden="false" customHeight="false" outlineLevel="0" collapsed="false">
      <c r="A24089" s="0" t="n">
        <f aca="false">INDEX(_xlfn.ORG.LIBREOFFICE.FOURIER(TRANSPOSE({0.5;-0.25;1000;7}),FALSE(),FALSE(),TRUE()),1,1)</f>
        <v>1007.25</v>
      </c>
      <c r="B24089" s="0" t="s">
        <v>23914</v>
      </c>
    </row>
    <row r="24090" customFormat="false" ht="15" hidden="false" customHeight="false" outlineLevel="0" collapsed="false">
      <c r="A24090" s="0" t="n">
        <f aca="false">INDEX(_xlfn.ORG.LIBREOFFICE.FOURIER(TRANSPOSE({0.5;-0.25;1000;7}),FALSE(),FALSE(),TRUE()),2,1)</f>
        <v>999.526294051337</v>
      </c>
      <c r="B24090" s="0" t="s">
        <v>23915</v>
      </c>
    </row>
    <row r="24091" customFormat="false" ht="15" hidden="false" customHeight="false" outlineLevel="0" collapsed="false">
      <c r="A24091" s="0" t="n">
        <f aca="false">INDEX(_xlfn.ORG.LIBREOFFICE.FOURIER(TRANSPOSE({0.5;-0.25;1000;7}),FALSE(),FALSE(),TRUE()),2,2)</f>
        <v>3.13433915398914</v>
      </c>
      <c r="B24091" s="0" t="s">
        <v>23916</v>
      </c>
    </row>
    <row r="24092" customFormat="false" ht="15" hidden="false" customHeight="false" outlineLevel="0" collapsed="false">
      <c r="A24092" s="0" t="n">
        <f aca="false">INDEX(_xlfn.ORG.LIBREOFFICE.FOURIER(TRANSPOSE({0.5;-0.25;1000;7}),FALSE(),FALSE(),TRUE()),3,2)</f>
        <v>0</v>
      </c>
      <c r="B24092" s="0" t="s">
        <v>23917</v>
      </c>
    </row>
    <row r="24093" customFormat="false" ht="15" hidden="false" customHeight="false" outlineLevel="0" collapsed="false">
      <c r="A24093" s="0" t="n">
        <f aca="false">INDEX(_xlfn.ORG.LIBREOFFICE.FOURIER(TRANSPOSE({0.5;-0.25;1000;7}),FALSE(),FALSE(),TRUE()),ROWS(_xlfn.ORG.LIBREOFFICE.FOURIER(TRANSPOSE({0.5;-0.25;1000;7}),FALSE(),FALSE(),TRUE())),1)</f>
        <v>999.526294051337</v>
      </c>
      <c r="B24093" s="0" t="s">
        <v>23918</v>
      </c>
    </row>
    <row r="24094" customFormat="false" ht="15" hidden="false" customHeight="false" outlineLevel="0" collapsed="false">
      <c r="A24094" s="0" t="n">
        <f aca="false">INDEX(_xlfn.ORG.LIBREOFFICE.FOURIER(TRANSPOSE({0.5;-0.25;1000;7}),FALSE(),FALSE(),TRUE()),ROWS(_xlfn.ORG.LIBREOFFICE.FOURIER(TRANSPOSE({0.5;-0.25;1000;7}),FALSE(),FALSE(),TRUE())),2)</f>
        <v>-3.13433915398914</v>
      </c>
      <c r="B24094" s="0" t="s">
        <v>23919</v>
      </c>
    </row>
    <row r="24095" customFormat="false" ht="15" hidden="false" customHeight="false" outlineLevel="0" collapsed="false">
      <c r="A24095" s="0" t="n">
        <f aca="false">SUM(_xlfn.ORG.LIBREOFFICE.FOURIER(TRANSPOSE({0.5;-0.25;1000;7}),FALSE(),TRUE(),TRUE()))</f>
        <v>1000.01314702567</v>
      </c>
      <c r="B24095" s="0" t="s">
        <v>23920</v>
      </c>
    </row>
    <row r="24096" customFormat="false" ht="15" hidden="false" customHeight="false" outlineLevel="0" collapsed="false">
      <c r="A24096" s="0" t="n">
        <f aca="false">INDEX(_xlfn.ORG.LIBREOFFICE.FOURIER(TRANSPOSE({0.5;-0.25;1000;7}),FALSE(),TRUE(),TRUE()),1,1)</f>
        <v>251.8125</v>
      </c>
      <c r="B24096" s="0" t="s">
        <v>23921</v>
      </c>
    </row>
    <row r="24097" customFormat="false" ht="15" hidden="false" customHeight="false" outlineLevel="0" collapsed="false">
      <c r="A24097" s="0" t="n">
        <f aca="false">INDEX(_xlfn.ORG.LIBREOFFICE.FOURIER(TRANSPOSE({0.5;-0.25;1000;7}),FALSE(),TRUE(),TRUE()),2,1)</f>
        <v>249.881573512834</v>
      </c>
      <c r="B24097" s="0" t="s">
        <v>23922</v>
      </c>
    </row>
    <row r="24098" customFormat="false" ht="15" hidden="false" customHeight="false" outlineLevel="0" collapsed="false">
      <c r="A24098" s="0" t="n">
        <f aca="false">INDEX(_xlfn.ORG.LIBREOFFICE.FOURIER(TRANSPOSE({0.5;-0.25;1000;7}),FALSE(),TRUE(),TRUE()),2,2)</f>
        <v>-3.13433915398914</v>
      </c>
      <c r="B24098" s="0" t="s">
        <v>23923</v>
      </c>
    </row>
    <row r="24099" customFormat="false" ht="15" hidden="false" customHeight="false" outlineLevel="0" collapsed="false">
      <c r="A24099" s="0" t="n">
        <f aca="false">INDEX(_xlfn.ORG.LIBREOFFICE.FOURIER(TRANSPOSE({0.5;-0.25;1000;7}),FALSE(),TRUE(),TRUE()),3,2)</f>
        <v>0</v>
      </c>
      <c r="B24099" s="0" t="s">
        <v>23924</v>
      </c>
    </row>
    <row r="24100" customFormat="false" ht="15" hidden="false" customHeight="false" outlineLevel="0" collapsed="false">
      <c r="A24100" s="0" t="n">
        <f aca="false">INDEX(_xlfn.ORG.LIBREOFFICE.FOURIER(TRANSPOSE({0.5;-0.25;1000;7}),FALSE(),TRUE(),TRUE()),ROWS(_xlfn.ORG.LIBREOFFICE.FOURIER(TRANSPOSE({0.5;-0.25;1000;7}),FALSE(),TRUE(),TRUE())),1)</f>
        <v>249.881573512834</v>
      </c>
      <c r="B24100" s="0" t="s">
        <v>23925</v>
      </c>
    </row>
    <row r="24101" customFormat="false" ht="15" hidden="false" customHeight="false" outlineLevel="0" collapsed="false">
      <c r="A24101" s="0" t="n">
        <f aca="false">INDEX(_xlfn.ORG.LIBREOFFICE.FOURIER(TRANSPOSE({0.5;-0.25;1000;7}),FALSE(),TRUE(),TRUE()),ROWS(_xlfn.ORG.LIBREOFFICE.FOURIER(TRANSPOSE({0.5;-0.25;1000;7}),FALSE(),TRUE(),TRUE())),2)</f>
        <v>3.13433915398914</v>
      </c>
      <c r="B24101" s="0" t="s">
        <v>23926</v>
      </c>
    </row>
    <row r="24102" customFormat="false" ht="15" hidden="false" customHeight="false" outlineLevel="0" collapsed="false">
      <c r="A24102" s="0" t="n">
        <f aca="false">SUM(_xlfn.ORG.LIBREOFFICE.FOURIER(TRANSPOSE({0.5;-0.25;1000;7}),FALSE(),FALSE(),TRUE(),1))</f>
        <v>4000.05258810267</v>
      </c>
      <c r="B24102" s="0" t="s">
        <v>23927</v>
      </c>
    </row>
    <row r="24103" customFormat="false" ht="15" hidden="false" customHeight="false" outlineLevel="0" collapsed="false">
      <c r="A24103" s="0" t="n">
        <f aca="false">INDEX(_xlfn.ORG.LIBREOFFICE.FOURIER(TRANSPOSE({0.5;-0.25;1000;7}),FALSE(),FALSE(),TRUE(),1),1,1)</f>
        <v>1007.25</v>
      </c>
      <c r="B24103" s="0" t="s">
        <v>23928</v>
      </c>
    </row>
    <row r="24104" customFormat="false" ht="15" hidden="false" customHeight="false" outlineLevel="0" collapsed="false">
      <c r="A24104" s="0" t="n">
        <f aca="false">INDEX(_xlfn.ORG.LIBREOFFICE.FOURIER(TRANSPOSE({0.5;-0.25;1000;7}),FALSE(),FALSE(),TRUE(),1),2,1)</f>
        <v>999.526294051337</v>
      </c>
      <c r="B24104" s="0" t="s">
        <v>23929</v>
      </c>
    </row>
    <row r="24105" customFormat="false" ht="15" hidden="false" customHeight="false" outlineLevel="0" collapsed="false">
      <c r="A24105" s="0" t="n">
        <f aca="false">INDEX(_xlfn.ORG.LIBREOFFICE.FOURIER(TRANSPOSE({0.5;-0.25;1000;7}),FALSE(),FALSE(),TRUE(),1),2,2)</f>
        <v>3.13433915398914</v>
      </c>
      <c r="B24105" s="0" t="s">
        <v>23930</v>
      </c>
    </row>
    <row r="24106" customFormat="false" ht="15" hidden="false" customHeight="false" outlineLevel="0" collapsed="false">
      <c r="A24106" s="0" t="n">
        <f aca="false">INDEX(_xlfn.ORG.LIBREOFFICE.FOURIER(TRANSPOSE({0.5;-0.25;1000;7}),FALSE(),FALSE(),TRUE(),1),3,2)</f>
        <v>0</v>
      </c>
      <c r="B24106" s="0" t="s">
        <v>23931</v>
      </c>
    </row>
    <row r="24107" customFormat="false" ht="15" hidden="false" customHeight="false" outlineLevel="0" collapsed="false">
      <c r="A24107" s="0" t="n">
        <f aca="false">INDEX(_xlfn.ORG.LIBREOFFICE.FOURIER(TRANSPOSE({0.5;-0.25;1000;7}),FALSE(),FALSE(),TRUE(),1),ROWS(_xlfn.ORG.LIBREOFFICE.FOURIER(TRANSPOSE({0.5;-0.25;1000;7}),FALSE(),FALSE(),TRUE(),1)),1)</f>
        <v>999.526294051337</v>
      </c>
      <c r="B24107" s="0" t="s">
        <v>23932</v>
      </c>
    </row>
    <row r="24108" customFormat="false" ht="15" hidden="false" customHeight="false" outlineLevel="0" collapsed="false">
      <c r="A24108" s="0" t="n">
        <f aca="false">INDEX(_xlfn.ORG.LIBREOFFICE.FOURIER(TRANSPOSE({0.5;-0.25;1000;7}),FALSE(),FALSE(),TRUE(),1),ROWS(_xlfn.ORG.LIBREOFFICE.FOURIER(TRANSPOSE({0.5;-0.25;1000;7}),FALSE(),FALSE(),TRUE(),1)),2)</f>
        <v>-3.13433915398914</v>
      </c>
      <c r="B24108" s="0" t="s">
        <v>23933</v>
      </c>
    </row>
    <row r="24109" customFormat="false" ht="15" hidden="false" customHeight="false" outlineLevel="0" collapsed="false">
      <c r="A24109" s="0" t="n">
        <f aca="false">SUM(_xlfn.ORG.LIBREOFFICE.FOURIER(TRANSPOSE({0.5;-0.25;1000;7}),FALSE(),TRUE(),TRUE(),5))</f>
        <v>1000.01314702567</v>
      </c>
      <c r="B24109" s="0" t="s">
        <v>23934</v>
      </c>
    </row>
    <row r="24110" customFormat="false" ht="15" hidden="false" customHeight="false" outlineLevel="0" collapsed="false">
      <c r="A24110" s="0" t="n">
        <f aca="false">INDEX(_xlfn.ORG.LIBREOFFICE.FOURIER(TRANSPOSE({0.5;-0.25;1000;7}),FALSE(),TRUE(),TRUE(),5),1,1)</f>
        <v>251.8125</v>
      </c>
      <c r="B24110" s="0" t="s">
        <v>23935</v>
      </c>
    </row>
    <row r="24111" customFormat="false" ht="15" hidden="false" customHeight="false" outlineLevel="0" collapsed="false">
      <c r="A24111" s="0" t="n">
        <f aca="false">INDEX(_xlfn.ORG.LIBREOFFICE.FOURIER(TRANSPOSE({0.5;-0.25;1000;7}),FALSE(),TRUE(),TRUE(),5),2,1)</f>
        <v>249.881573512834</v>
      </c>
      <c r="B24111" s="0" t="s">
        <v>23936</v>
      </c>
    </row>
    <row r="24112" customFormat="false" ht="15" hidden="false" customHeight="false" outlineLevel="0" collapsed="false">
      <c r="A24112" s="0" t="n">
        <f aca="false">INDEX(_xlfn.ORG.LIBREOFFICE.FOURIER(TRANSPOSE({0.5;-0.25;1000;7}),FALSE(),TRUE(),TRUE(),5),2,2)</f>
        <v>-3.13433915398914</v>
      </c>
      <c r="B24112" s="0" t="s">
        <v>23937</v>
      </c>
    </row>
    <row r="24113" customFormat="false" ht="15" hidden="false" customHeight="false" outlineLevel="0" collapsed="false">
      <c r="A24113" s="0" t="n">
        <f aca="false">INDEX(_xlfn.ORG.LIBREOFFICE.FOURIER(TRANSPOSE({0.5;-0.25;1000;7}),FALSE(),TRUE(),TRUE(),5),3,2)</f>
        <v>0</v>
      </c>
      <c r="B24113" s="0" t="s">
        <v>23938</v>
      </c>
    </row>
    <row r="24114" customFormat="false" ht="15" hidden="false" customHeight="false" outlineLevel="0" collapsed="false">
      <c r="A24114" s="0" t="n">
        <f aca="false">INDEX(_xlfn.ORG.LIBREOFFICE.FOURIER(TRANSPOSE({0.5;-0.25;1000;7}),FALSE(),TRUE(),TRUE(),5),ROWS(_xlfn.ORG.LIBREOFFICE.FOURIER(TRANSPOSE({0.5;-0.25;1000;7}),FALSE(),TRUE(),TRUE(),5)),1)</f>
        <v>249.881573512834</v>
      </c>
      <c r="B24114" s="0" t="s">
        <v>23939</v>
      </c>
    </row>
    <row r="24115" customFormat="false" ht="15" hidden="false" customHeight="false" outlineLevel="0" collapsed="false">
      <c r="A24115" s="0" t="n">
        <f aca="false">INDEX(_xlfn.ORG.LIBREOFFICE.FOURIER(TRANSPOSE({0.5;-0.25;1000;7}),FALSE(),TRUE(),TRUE(),5),ROWS(_xlfn.ORG.LIBREOFFICE.FOURIER(TRANSPOSE({0.5;-0.25;1000;7}),FALSE(),TRUE(),TRUE(),5)),2)</f>
        <v>3.13433915398914</v>
      </c>
      <c r="B24115" s="0" t="s">
        <v>23940</v>
      </c>
    </row>
    <row r="24116" customFormat="false" ht="15" hidden="false" customHeight="false" outlineLevel="0" collapsed="false">
      <c r="A24116" s="0" t="n">
        <f aca="false">ROWS(_xlfn.ORG.LIBREOFFICE.FOURIER({10000000000;0.0000000001;3;4;5},TRUE()))</f>
        <v>5</v>
      </c>
      <c r="B24116" s="0" t="s">
        <v>23941</v>
      </c>
    </row>
    <row r="24117" customFormat="false" ht="15" hidden="false" customHeight="false" outlineLevel="0" collapsed="false">
      <c r="A24117" s="0" t="n">
        <f aca="false">COLUMNS(_xlfn.ORG.LIBREOFFICE.FOURIER({10000000000;0.0000000001;3;4;5},TRUE()))</f>
        <v>2</v>
      </c>
      <c r="B24117" s="0" t="s">
        <v>23942</v>
      </c>
    </row>
    <row r="24118" customFormat="false" ht="15" hidden="false" customHeight="false" outlineLevel="0" collapsed="false">
      <c r="A24118" s="0" t="n">
        <f aca="false">SUM(_xlfn.ORG.LIBREOFFICE.FOURIER({10000000000;0.0000000001;3;4;5},TRUE()))</f>
        <v>50000000000</v>
      </c>
      <c r="B24118" s="0" t="s">
        <v>23943</v>
      </c>
    </row>
    <row r="24119" customFormat="false" ht="15" hidden="false" customHeight="false" outlineLevel="0" collapsed="false">
      <c r="A24119" s="0" t="n">
        <f aca="false">INDEX(_xlfn.ORG.LIBREOFFICE.FOURIER({10000000000;0.0000000001;3;4;5},TRUE()),1,1)</f>
        <v>10000000012</v>
      </c>
      <c r="B24119" s="0" t="s">
        <v>23944</v>
      </c>
    </row>
    <row r="24120" customFormat="false" ht="15" hidden="false" customHeight="false" outlineLevel="0" collapsed="false">
      <c r="A24120" s="0" t="n">
        <f aca="false">INDEX(_xlfn.ORG.LIBREOFFICE.FOURIER({10000000000;0.0000000001;3;4;5},TRUE()),2,1)</f>
        <v>9999999995.88196</v>
      </c>
      <c r="B24120" s="0" t="s">
        <v>23945</v>
      </c>
    </row>
    <row r="24121" customFormat="false" ht="15" hidden="false" customHeight="false" outlineLevel="0" collapsed="false">
      <c r="A24121" s="0" t="n">
        <f aca="false">INDEX(_xlfn.ORG.LIBREOFFICE.FOURIER({10000000000;0.0000000001;3;4;5},TRUE()),2,2)</f>
        <v>5.34306812286377</v>
      </c>
      <c r="B24121" s="0" t="s">
        <v>23946</v>
      </c>
    </row>
    <row r="24122" customFormat="false" ht="15" hidden="false" customHeight="false" outlineLevel="0" collapsed="false">
      <c r="A24122" s="0" t="n">
        <f aca="false">INDEX(_xlfn.ORG.LIBREOFFICE.FOURIER({10000000000;0.0000000001;3;4;5},TRUE()),3,2)</f>
        <v>1.98787021636963</v>
      </c>
      <c r="B24122" s="0" t="s">
        <v>23947</v>
      </c>
    </row>
    <row r="24123" customFormat="false" ht="15" hidden="false" customHeight="false" outlineLevel="0" collapsed="false">
      <c r="A24123" s="0" t="n">
        <f aca="false">INDEX(_xlfn.ORG.LIBREOFFICE.FOURIER({10000000000;0.0000000001;3;4;5},TRUE()),ROWS(_xlfn.ORG.LIBREOFFICE.FOURIER({10000000000;0.0000000001;3;4;5},TRUE())),1)</f>
        <v>9999999995.88197</v>
      </c>
      <c r="B24123" s="0" t="s">
        <v>23948</v>
      </c>
    </row>
    <row r="24124" customFormat="false" ht="15" hidden="false" customHeight="false" outlineLevel="0" collapsed="false">
      <c r="A24124" s="0" t="n">
        <f aca="false">INDEX(_xlfn.ORG.LIBREOFFICE.FOURIER({10000000000;0.0000000001;3;4;5},TRUE()),ROWS(_xlfn.ORG.LIBREOFFICE.FOURIER({10000000000;0.0000000001;3;4;5},TRUE())),2)</f>
        <v>-5.34306716918945</v>
      </c>
      <c r="B24124" s="0" t="s">
        <v>23949</v>
      </c>
    </row>
    <row r="24125" customFormat="false" ht="15" hidden="false" customHeight="false" outlineLevel="0" collapsed="false">
      <c r="A24125" s="0" t="n">
        <f aca="false">SUM(_xlfn.ORG.LIBREOFFICE.FOURIER({10000000000;0.0000000001;3;4;5},TRUE(),TRUE()))</f>
        <v>10000000000</v>
      </c>
      <c r="B24125" s="0" t="s">
        <v>23950</v>
      </c>
    </row>
    <row r="24126" customFormat="false" ht="15" hidden="false" customHeight="false" outlineLevel="0" collapsed="false">
      <c r="A24126" s="0" t="n">
        <f aca="false">INDEX(_xlfn.ORG.LIBREOFFICE.FOURIER({10000000000;0.0000000001;3;4;5},TRUE(),TRUE()),1,1)</f>
        <v>2000000002.4</v>
      </c>
      <c r="B24126" s="0" t="s">
        <v>23951</v>
      </c>
    </row>
    <row r="24127" customFormat="false" ht="15" hidden="false" customHeight="false" outlineLevel="0" collapsed="false">
      <c r="A24127" s="0" t="n">
        <f aca="false">INDEX(_xlfn.ORG.LIBREOFFICE.FOURIER({10000000000;0.0000000001;3;4;5},TRUE(),TRUE()),2,1)</f>
        <v>1999999999.17639</v>
      </c>
      <c r="B24127" s="0" t="s">
        <v>23952</v>
      </c>
    </row>
    <row r="24128" customFormat="false" ht="15" hidden="false" customHeight="false" outlineLevel="0" collapsed="false">
      <c r="A24128" s="0" t="n">
        <f aca="false">INDEX(_xlfn.ORG.LIBREOFFICE.FOURIER({10000000000;0.0000000001;3;4;5},TRUE(),TRUE()),2,2)</f>
        <v>-1.06861381530762</v>
      </c>
      <c r="B24128" s="0" t="s">
        <v>23953</v>
      </c>
    </row>
    <row r="24129" customFormat="false" ht="15" hidden="false" customHeight="false" outlineLevel="0" collapsed="false">
      <c r="A24129" s="0" t="n">
        <f aca="false">INDEX(_xlfn.ORG.LIBREOFFICE.FOURIER({10000000000;0.0000000001;3;4;5},TRUE(),TRUE()),3,2)</f>
        <v>-0.397573661804199</v>
      </c>
      <c r="B24129" s="0" t="s">
        <v>23954</v>
      </c>
    </row>
    <row r="24130" customFormat="false" ht="15" hidden="false" customHeight="false" outlineLevel="0" collapsed="false">
      <c r="A24130" s="0" t="n">
        <f aca="false">INDEX(_xlfn.ORG.LIBREOFFICE.FOURIER({10000000000;0.0000000001;3;4;5},TRUE(),TRUE()),ROWS(_xlfn.ORG.LIBREOFFICE.FOURIER({10000000000;0.0000000001;3;4;5},TRUE(),TRUE())),1)</f>
        <v>1999999999.17639</v>
      </c>
      <c r="B24130" s="0" t="s">
        <v>23955</v>
      </c>
    </row>
    <row r="24131" customFormat="false" ht="15" hidden="false" customHeight="false" outlineLevel="0" collapsed="false">
      <c r="A24131" s="0" t="n">
        <f aca="false">INDEX(_xlfn.ORG.LIBREOFFICE.FOURIER({10000000000;0.0000000001;3;4;5},TRUE(),TRUE()),ROWS(_xlfn.ORG.LIBREOFFICE.FOURIER({10000000000;0.0000000001;3;4;5},TRUE(),TRUE())),2)</f>
        <v>1.06861362457275</v>
      </c>
      <c r="B24131" s="0" t="s">
        <v>23956</v>
      </c>
    </row>
    <row r="24132" customFormat="false" ht="15" hidden="false" customHeight="false" outlineLevel="0" collapsed="false">
      <c r="A24132" s="0" t="n">
        <f aca="false">SUM(_xlfn.ORG.LIBREOFFICE.FOURIER({10000000000;0.0000000001;3;4;5},TRUE(),FALSE(),TRUE()))</f>
        <v>50000000000</v>
      </c>
      <c r="B24132" s="0" t="s">
        <v>23957</v>
      </c>
    </row>
    <row r="24133" customFormat="false" ht="15" hidden="false" customHeight="false" outlineLevel="0" collapsed="false">
      <c r="A24133" s="0" t="n">
        <f aca="false">INDEX(_xlfn.ORG.LIBREOFFICE.FOURIER({10000000000;0.0000000001;3;4;5},TRUE(),FALSE(),TRUE()),1,1)</f>
        <v>10000000012</v>
      </c>
      <c r="B24133" s="0" t="s">
        <v>23958</v>
      </c>
    </row>
    <row r="24134" customFormat="false" ht="15" hidden="false" customHeight="false" outlineLevel="0" collapsed="false">
      <c r="A24134" s="0" t="n">
        <f aca="false">INDEX(_xlfn.ORG.LIBREOFFICE.FOURIER({10000000000;0.0000000001;3;4;5},TRUE(),FALSE(),TRUE()),2,1)</f>
        <v>9999999995.88196</v>
      </c>
      <c r="B24134" s="0" t="s">
        <v>23959</v>
      </c>
    </row>
    <row r="24135" customFormat="false" ht="15" hidden="false" customHeight="false" outlineLevel="0" collapsed="false">
      <c r="A24135" s="0" t="n">
        <f aca="false">INDEX(_xlfn.ORG.LIBREOFFICE.FOURIER({10000000000;0.0000000001;3;4;5},TRUE(),FALSE(),TRUE()),2,2)</f>
        <v>5.34306812506406E-010</v>
      </c>
      <c r="B24135" s="0" t="s">
        <v>23960</v>
      </c>
    </row>
    <row r="24136" customFormat="false" ht="15" hidden="false" customHeight="false" outlineLevel="0" collapsed="false">
      <c r="A24136" s="0" t="n">
        <f aca="false">INDEX(_xlfn.ORG.LIBREOFFICE.FOURIER({10000000000;0.0000000001;3;4;5},TRUE(),FALSE(),TRUE()),3,2)</f>
        <v>1.98787021674374E-010</v>
      </c>
      <c r="B24136" s="0" t="s">
        <v>23961</v>
      </c>
    </row>
    <row r="24137" customFormat="false" ht="15" hidden="false" customHeight="false" outlineLevel="0" collapsed="false">
      <c r="A24137" s="0" t="n">
        <f aca="false">INDEX(_xlfn.ORG.LIBREOFFICE.FOURIER({10000000000;0.0000000001;3;4;5},TRUE(),FALSE(),TRUE()),ROWS(_xlfn.ORG.LIBREOFFICE.FOURIER({10000000000;0.0000000001;3;4;5},TRUE(),FALSE(),TRUE())),1)</f>
        <v>9999999995.88197</v>
      </c>
      <c r="B24137" s="0" t="s">
        <v>23962</v>
      </c>
    </row>
    <row r="24138" customFormat="false" ht="15" hidden="false" customHeight="false" outlineLevel="0" collapsed="false">
      <c r="A24138" s="0" t="n">
        <f aca="false">INDEX(_xlfn.ORG.LIBREOFFICE.FOURIER({10000000000;0.0000000001;3;4;5},TRUE(),FALSE(),TRUE()),ROWS(_xlfn.ORG.LIBREOFFICE.FOURIER({10000000000;0.0000000001;3;4;5},TRUE(),FALSE(),TRUE())),2)</f>
        <v>-5.34306717138975E-010</v>
      </c>
      <c r="B24138" s="0" t="s">
        <v>23963</v>
      </c>
    </row>
    <row r="24139" customFormat="false" ht="15" hidden="false" customHeight="false" outlineLevel="0" collapsed="false">
      <c r="A24139" s="0" t="n">
        <f aca="false">SUM(_xlfn.ORG.LIBREOFFICE.FOURIER({10000000000;0.0000000001;3;4;5},TRUE(),TRUE(),TRUE()))</f>
        <v>10000000000</v>
      </c>
      <c r="B24139" s="0" t="s">
        <v>23964</v>
      </c>
    </row>
    <row r="24140" customFormat="false" ht="15" hidden="false" customHeight="false" outlineLevel="0" collapsed="false">
      <c r="A24140" s="0" t="n">
        <f aca="false">INDEX(_xlfn.ORG.LIBREOFFICE.FOURIER({10000000000;0.0000000001;3;4;5},TRUE(),TRUE(),TRUE()),1,1)</f>
        <v>2000000002.4</v>
      </c>
      <c r="B24140" s="0" t="s">
        <v>23965</v>
      </c>
    </row>
    <row r="24141" customFormat="false" ht="15" hidden="false" customHeight="false" outlineLevel="0" collapsed="false">
      <c r="A24141" s="0" t="n">
        <f aca="false">INDEX(_xlfn.ORG.LIBREOFFICE.FOURIER({10000000000;0.0000000001;3;4;5},TRUE(),TRUE(),TRUE()),2,1)</f>
        <v>1999999999.17639</v>
      </c>
      <c r="B24141" s="0" t="s">
        <v>23966</v>
      </c>
    </row>
    <row r="24142" customFormat="false" ht="15" hidden="false" customHeight="false" outlineLevel="0" collapsed="false">
      <c r="A24142" s="0" t="n">
        <f aca="false">INDEX(_xlfn.ORG.LIBREOFFICE.FOURIER({10000000000;0.0000000001;3;4;5},TRUE(),TRUE(),TRUE()),2,2)</f>
        <v>-5.34306907873838E-010</v>
      </c>
      <c r="B24142" s="0" t="s">
        <v>23967</v>
      </c>
    </row>
    <row r="24143" customFormat="false" ht="15" hidden="false" customHeight="false" outlineLevel="0" collapsed="false">
      <c r="A24143" s="0" t="n">
        <f aca="false">INDEX(_xlfn.ORG.LIBREOFFICE.FOURIER({10000000000;0.0000000001;3;4;5},TRUE(),TRUE(),TRUE()),3,2)</f>
        <v>-1.98786830939511E-010</v>
      </c>
      <c r="B24143" s="0" t="s">
        <v>23968</v>
      </c>
    </row>
    <row r="24144" customFormat="false" ht="15" hidden="false" customHeight="false" outlineLevel="0" collapsed="false">
      <c r="A24144" s="0" t="n">
        <f aca="false">INDEX(_xlfn.ORG.LIBREOFFICE.FOURIER({10000000000;0.0000000001;3;4;5},TRUE(),TRUE(),TRUE()),ROWS(_xlfn.ORG.LIBREOFFICE.FOURIER({10000000000;0.0000000001;3;4;5},TRUE(),TRUE(),TRUE())),1)</f>
        <v>1999999999.17639</v>
      </c>
      <c r="B24144" s="0" t="s">
        <v>23969</v>
      </c>
    </row>
    <row r="24145" customFormat="false" ht="15" hidden="false" customHeight="false" outlineLevel="0" collapsed="false">
      <c r="A24145" s="0" t="n">
        <f aca="false">INDEX(_xlfn.ORG.LIBREOFFICE.FOURIER({10000000000;0.0000000001;3;4;5},TRUE(),TRUE(),TRUE()),ROWS(_xlfn.ORG.LIBREOFFICE.FOURIER({10000000000;0.0000000001;3;4;5},TRUE(),TRUE(),TRUE())),2)</f>
        <v>5.34306812506406E-010</v>
      </c>
      <c r="B24145" s="0" t="s">
        <v>23970</v>
      </c>
    </row>
    <row r="24146" customFormat="false" ht="15" hidden="false" customHeight="false" outlineLevel="0" collapsed="false">
      <c r="A24146" s="0" t="n">
        <f aca="false">SUM(_xlfn.ORG.LIBREOFFICE.FOURIER({10000000000;0.0000000001;3;4;5},TRUE(),FALSE(),TRUE(),1))</f>
        <v>50000000000</v>
      </c>
      <c r="B24146" s="0" t="s">
        <v>23971</v>
      </c>
    </row>
    <row r="24147" customFormat="false" ht="15" hidden="false" customHeight="false" outlineLevel="0" collapsed="false">
      <c r="A24147" s="0" t="n">
        <f aca="false">INDEX(_xlfn.ORG.LIBREOFFICE.FOURIER({10000000000;0.0000000001;3;4;5},TRUE(),FALSE(),TRUE(),1),1,1)</f>
        <v>10000000012</v>
      </c>
      <c r="B24147" s="0" t="s">
        <v>23972</v>
      </c>
    </row>
    <row r="24148" customFormat="false" ht="15" hidden="false" customHeight="false" outlineLevel="0" collapsed="false">
      <c r="A24148" s="0" t="n">
        <f aca="false">INDEX(_xlfn.ORG.LIBREOFFICE.FOURIER({10000000000;0.0000000001;3;4;5},TRUE(),FALSE(),TRUE(),1),2,1)</f>
        <v>9999999995.88196</v>
      </c>
      <c r="B24148" s="0" t="s">
        <v>23973</v>
      </c>
    </row>
    <row r="24149" customFormat="false" ht="15" hidden="false" customHeight="false" outlineLevel="0" collapsed="false">
      <c r="A24149" s="0" t="n">
        <f aca="false">INDEX(_xlfn.ORG.LIBREOFFICE.FOURIER({10000000000;0.0000000001;3;4;5},TRUE(),FALSE(),TRUE(),1),2,2)</f>
        <v>5.34306812506406E-010</v>
      </c>
      <c r="B24149" s="0" t="s">
        <v>23974</v>
      </c>
    </row>
    <row r="24150" customFormat="false" ht="15" hidden="false" customHeight="false" outlineLevel="0" collapsed="false">
      <c r="A24150" s="0" t="n">
        <f aca="false">INDEX(_xlfn.ORG.LIBREOFFICE.FOURIER({10000000000;0.0000000001;3;4;5},TRUE(),FALSE(),TRUE(),1),3,2)</f>
        <v>1.98787021674374E-010</v>
      </c>
      <c r="B24150" s="0" t="s">
        <v>23975</v>
      </c>
    </row>
    <row r="24151" customFormat="false" ht="15" hidden="false" customHeight="false" outlineLevel="0" collapsed="false">
      <c r="A24151" s="0" t="n">
        <f aca="false">INDEX(_xlfn.ORG.LIBREOFFICE.FOURIER({10000000000;0.0000000001;3;4;5},TRUE(),FALSE(),TRUE(),1),ROWS(_xlfn.ORG.LIBREOFFICE.FOURIER({10000000000;0.0000000001;3;4;5},TRUE(),FALSE(),TRUE(),1)),1)</f>
        <v>9999999995.88197</v>
      </c>
      <c r="B24151" s="0" t="s">
        <v>23976</v>
      </c>
    </row>
    <row r="24152" customFormat="false" ht="15" hidden="false" customHeight="false" outlineLevel="0" collapsed="false">
      <c r="A24152" s="0" t="n">
        <f aca="false">INDEX(_xlfn.ORG.LIBREOFFICE.FOURIER({10000000000;0.0000000001;3;4;5},TRUE(),FALSE(),TRUE(),1),ROWS(_xlfn.ORG.LIBREOFFICE.FOURIER({10000000000;0.0000000001;3;4;5},TRUE(),FALSE(),TRUE(),1)),2)</f>
        <v>-5.34306717138975E-010</v>
      </c>
      <c r="B24152" s="0" t="s">
        <v>23977</v>
      </c>
    </row>
    <row r="24153" customFormat="false" ht="15" hidden="false" customHeight="false" outlineLevel="0" collapsed="false">
      <c r="A24153" s="0" t="n">
        <f aca="false">SUM(_xlfn.ORG.LIBREOFFICE.FOURIER({10000000000;0.0000000001;3;4;5},TRUE(),TRUE(),TRUE(),5))</f>
        <v>10000000000</v>
      </c>
      <c r="B24153" s="0" t="s">
        <v>23978</v>
      </c>
    </row>
    <row r="24154" customFormat="false" ht="15" hidden="false" customHeight="false" outlineLevel="0" collapsed="false">
      <c r="A24154" s="0" t="n">
        <f aca="false">INDEX(_xlfn.ORG.LIBREOFFICE.FOURIER({10000000000;0.0000000001;3;4;5},TRUE(),TRUE(),TRUE(),5),1,1)</f>
        <v>2000000002.4</v>
      </c>
      <c r="B24154" s="0" t="s">
        <v>23979</v>
      </c>
    </row>
    <row r="24155" customFormat="false" ht="15" hidden="false" customHeight="false" outlineLevel="0" collapsed="false">
      <c r="A24155" s="0" t="n">
        <f aca="false">INDEX(_xlfn.ORG.LIBREOFFICE.FOURIER({10000000000;0.0000000001;3;4;5},TRUE(),TRUE(),TRUE(),5),2,1)</f>
        <v>1999999999.17639</v>
      </c>
      <c r="B24155" s="0" t="s">
        <v>23980</v>
      </c>
    </row>
    <row r="24156" customFormat="false" ht="15" hidden="false" customHeight="false" outlineLevel="0" collapsed="false">
      <c r="A24156" s="0" t="n">
        <f aca="false">INDEX(_xlfn.ORG.LIBREOFFICE.FOURIER({10000000000;0.0000000001;3;4;5},TRUE(),TRUE(),TRUE(),5),2,2)</f>
        <v>-5.34306907873838E-010</v>
      </c>
      <c r="B24156" s="0" t="s">
        <v>23981</v>
      </c>
    </row>
    <row r="24157" customFormat="false" ht="15" hidden="false" customHeight="false" outlineLevel="0" collapsed="false">
      <c r="A24157" s="0" t="n">
        <f aca="false">INDEX(_xlfn.ORG.LIBREOFFICE.FOURIER({10000000000;0.0000000001;3;4;5},TRUE(),TRUE(),TRUE(),5),3,2)</f>
        <v>-1.98786830939511E-010</v>
      </c>
      <c r="B24157" s="0" t="s">
        <v>23982</v>
      </c>
    </row>
    <row r="24158" customFormat="false" ht="15" hidden="false" customHeight="false" outlineLevel="0" collapsed="false">
      <c r="A24158" s="0" t="n">
        <f aca="false">INDEX(_xlfn.ORG.LIBREOFFICE.FOURIER({10000000000;0.0000000001;3;4;5},TRUE(),TRUE(),TRUE(),5),ROWS(_xlfn.ORG.LIBREOFFICE.FOURIER({10000000000;0.0000000001;3;4;5},TRUE(),TRUE(),TRUE(),5)),1)</f>
        <v>1999999999.17639</v>
      </c>
      <c r="B24158" s="0" t="s">
        <v>23983</v>
      </c>
    </row>
    <row r="24159" customFormat="false" ht="15" hidden="false" customHeight="false" outlineLevel="0" collapsed="false">
      <c r="A24159" s="0" t="n">
        <f aca="false">INDEX(_xlfn.ORG.LIBREOFFICE.FOURIER({10000000000;0.0000000001;3;4;5},TRUE(),TRUE(),TRUE(),5),ROWS(_xlfn.ORG.LIBREOFFICE.FOURIER({10000000000;0.0000000001;3;4;5},TRUE(),TRUE(),TRUE(),5)),2)</f>
        <v>5.34306812506406E-010</v>
      </c>
      <c r="B24159" s="0" t="s">
        <v>23984</v>
      </c>
    </row>
    <row r="24160" customFormat="false" ht="15" hidden="false" customHeight="false" outlineLevel="0" collapsed="false">
      <c r="A24160" s="0" t="n">
        <f aca="false">ROWS(_xlfn.ORG.LIBREOFFICE.FOURIER(TRANSPOSE({10000000000;0.0000000001;3;4;5}),FALSE()))</f>
        <v>5</v>
      </c>
      <c r="B24160" s="0" t="s">
        <v>23985</v>
      </c>
    </row>
    <row r="24161" customFormat="false" ht="15" hidden="false" customHeight="false" outlineLevel="0" collapsed="false">
      <c r="A24161" s="0" t="n">
        <f aca="false">COLUMNS(_xlfn.ORG.LIBREOFFICE.FOURIER(TRANSPOSE({10000000000;0.0000000001;3;4;5}),FALSE()))</f>
        <v>2</v>
      </c>
      <c r="B24161" s="0" t="s">
        <v>23986</v>
      </c>
    </row>
    <row r="24162" customFormat="false" ht="15" hidden="false" customHeight="false" outlineLevel="0" collapsed="false">
      <c r="A24162" s="0" t="n">
        <f aca="false">SUM(_xlfn.ORG.LIBREOFFICE.FOURIER(TRANSPOSE({10000000000;0.0000000001;3;4;5}),FALSE()))</f>
        <v>50000000000</v>
      </c>
      <c r="B24162" s="0" t="s">
        <v>23987</v>
      </c>
    </row>
    <row r="24163" customFormat="false" ht="15" hidden="false" customHeight="false" outlineLevel="0" collapsed="false">
      <c r="A24163" s="0" t="n">
        <f aca="false">INDEX(_xlfn.ORG.LIBREOFFICE.FOURIER(TRANSPOSE({10000000000;0.0000000001;3;4;5}),FALSE()),1,1)</f>
        <v>10000000012</v>
      </c>
      <c r="B24163" s="0" t="s">
        <v>23988</v>
      </c>
    </row>
    <row r="24164" customFormat="false" ht="15" hidden="false" customHeight="false" outlineLevel="0" collapsed="false">
      <c r="A24164" s="0" t="n">
        <f aca="false">INDEX(_xlfn.ORG.LIBREOFFICE.FOURIER(TRANSPOSE({10000000000;0.0000000001;3;4;5}),FALSE()),2,1)</f>
        <v>9999999995.88196</v>
      </c>
      <c r="B24164" s="0" t="s">
        <v>23989</v>
      </c>
    </row>
    <row r="24165" customFormat="false" ht="15" hidden="false" customHeight="false" outlineLevel="0" collapsed="false">
      <c r="A24165" s="0" t="n">
        <f aca="false">INDEX(_xlfn.ORG.LIBREOFFICE.FOURIER(TRANSPOSE({10000000000;0.0000000001;3;4;5}),FALSE()),2,2)</f>
        <v>5.34306812286377</v>
      </c>
      <c r="B24165" s="0" t="s">
        <v>23990</v>
      </c>
    </row>
    <row r="24166" customFormat="false" ht="15" hidden="false" customHeight="false" outlineLevel="0" collapsed="false">
      <c r="A24166" s="0" t="n">
        <f aca="false">INDEX(_xlfn.ORG.LIBREOFFICE.FOURIER(TRANSPOSE({10000000000;0.0000000001;3;4;5}),FALSE()),3,2)</f>
        <v>1.98787021636963</v>
      </c>
      <c r="B24166" s="0" t="s">
        <v>23991</v>
      </c>
    </row>
    <row r="24167" customFormat="false" ht="15" hidden="false" customHeight="false" outlineLevel="0" collapsed="false">
      <c r="A24167" s="0" t="n">
        <f aca="false">INDEX(_xlfn.ORG.LIBREOFFICE.FOURIER(TRANSPOSE({10000000000;0.0000000001;3;4;5}),FALSE()),ROWS(_xlfn.ORG.LIBREOFFICE.FOURIER(TRANSPOSE({10000000000;0.0000000001;3;4;5}),FALSE())),1)</f>
        <v>9999999995.88197</v>
      </c>
      <c r="B24167" s="0" t="s">
        <v>23992</v>
      </c>
    </row>
    <row r="24168" customFormat="false" ht="15" hidden="false" customHeight="false" outlineLevel="0" collapsed="false">
      <c r="A24168" s="0" t="n">
        <f aca="false">INDEX(_xlfn.ORG.LIBREOFFICE.FOURIER(TRANSPOSE({10000000000;0.0000000001;3;4;5}),FALSE()),ROWS(_xlfn.ORG.LIBREOFFICE.FOURIER(TRANSPOSE({10000000000;0.0000000001;3;4;5}),FALSE())),2)</f>
        <v>-5.34306716918945</v>
      </c>
      <c r="B24168" s="0" t="s">
        <v>23993</v>
      </c>
    </row>
    <row r="24169" customFormat="false" ht="15" hidden="false" customHeight="false" outlineLevel="0" collapsed="false">
      <c r="A24169" s="0" t="n">
        <f aca="false">SUM(_xlfn.ORG.LIBREOFFICE.FOURIER(TRANSPOSE({10000000000;0.0000000001;3;4;5}),FALSE(),TRUE()))</f>
        <v>10000000000</v>
      </c>
      <c r="B24169" s="0" t="s">
        <v>23994</v>
      </c>
    </row>
    <row r="24170" customFormat="false" ht="15" hidden="false" customHeight="false" outlineLevel="0" collapsed="false">
      <c r="A24170" s="0" t="n">
        <f aca="false">INDEX(_xlfn.ORG.LIBREOFFICE.FOURIER(TRANSPOSE({10000000000;0.0000000001;3;4;5}),FALSE(),TRUE()),1,1)</f>
        <v>2000000002.4</v>
      </c>
      <c r="B24170" s="0" t="s">
        <v>23995</v>
      </c>
    </row>
    <row r="24171" customFormat="false" ht="15" hidden="false" customHeight="false" outlineLevel="0" collapsed="false">
      <c r="A24171" s="0" t="n">
        <f aca="false">INDEX(_xlfn.ORG.LIBREOFFICE.FOURIER(TRANSPOSE({10000000000;0.0000000001;3;4;5}),FALSE(),TRUE()),2,1)</f>
        <v>1999999999.17639</v>
      </c>
      <c r="B24171" s="0" t="s">
        <v>23996</v>
      </c>
    </row>
    <row r="24172" customFormat="false" ht="15" hidden="false" customHeight="false" outlineLevel="0" collapsed="false">
      <c r="A24172" s="0" t="n">
        <f aca="false">INDEX(_xlfn.ORG.LIBREOFFICE.FOURIER(TRANSPOSE({10000000000;0.0000000001;3;4;5}),FALSE(),TRUE()),2,2)</f>
        <v>-1.06861381530762</v>
      </c>
      <c r="B24172" s="0" t="s">
        <v>23997</v>
      </c>
    </row>
    <row r="24173" customFormat="false" ht="15" hidden="false" customHeight="false" outlineLevel="0" collapsed="false">
      <c r="A24173" s="0" t="n">
        <f aca="false">INDEX(_xlfn.ORG.LIBREOFFICE.FOURIER(TRANSPOSE({10000000000;0.0000000001;3;4;5}),FALSE(),TRUE()),3,2)</f>
        <v>-0.397573661804199</v>
      </c>
      <c r="B24173" s="0" t="s">
        <v>23998</v>
      </c>
    </row>
    <row r="24174" customFormat="false" ht="15" hidden="false" customHeight="false" outlineLevel="0" collapsed="false">
      <c r="A24174" s="0" t="n">
        <f aca="false">INDEX(_xlfn.ORG.LIBREOFFICE.FOURIER(TRANSPOSE({10000000000;0.0000000001;3;4;5}),FALSE(),TRUE()),ROWS(_xlfn.ORG.LIBREOFFICE.FOURIER(TRANSPOSE({10000000000;0.0000000001;3;4;5}),FALSE(),TRUE())),1)</f>
        <v>1999999999.17639</v>
      </c>
      <c r="B24174" s="0" t="s">
        <v>23999</v>
      </c>
    </row>
    <row r="24175" customFormat="false" ht="15" hidden="false" customHeight="false" outlineLevel="0" collapsed="false">
      <c r="A24175" s="0" t="n">
        <f aca="false">INDEX(_xlfn.ORG.LIBREOFFICE.FOURIER(TRANSPOSE({10000000000;0.0000000001;3;4;5}),FALSE(),TRUE()),ROWS(_xlfn.ORG.LIBREOFFICE.FOURIER(TRANSPOSE({10000000000;0.0000000001;3;4;5}),FALSE(),TRUE())),2)</f>
        <v>1.06861362457275</v>
      </c>
      <c r="B24175" s="0" t="s">
        <v>24000</v>
      </c>
    </row>
    <row r="24176" customFormat="false" ht="15" hidden="false" customHeight="false" outlineLevel="0" collapsed="false">
      <c r="A24176" s="0" t="n">
        <f aca="false">SUM(_xlfn.ORG.LIBREOFFICE.FOURIER(TRANSPOSE({10000000000;0.0000000001;3;4;5}),FALSE(),FALSE(),TRUE()))</f>
        <v>50000000000</v>
      </c>
      <c r="B24176" s="0" t="s">
        <v>24001</v>
      </c>
    </row>
    <row r="24177" customFormat="false" ht="15" hidden="false" customHeight="false" outlineLevel="0" collapsed="false">
      <c r="A24177" s="0" t="n">
        <f aca="false">INDEX(_xlfn.ORG.LIBREOFFICE.FOURIER(TRANSPOSE({10000000000;0.0000000001;3;4;5}),FALSE(),FALSE(),TRUE()),1,1)</f>
        <v>10000000012</v>
      </c>
      <c r="B24177" s="0" t="s">
        <v>24002</v>
      </c>
    </row>
    <row r="24178" customFormat="false" ht="15" hidden="false" customHeight="false" outlineLevel="0" collapsed="false">
      <c r="A24178" s="0" t="n">
        <f aca="false">INDEX(_xlfn.ORG.LIBREOFFICE.FOURIER(TRANSPOSE({10000000000;0.0000000001;3;4;5}),FALSE(),FALSE(),TRUE()),2,1)</f>
        <v>9999999995.88196</v>
      </c>
      <c r="B24178" s="0" t="s">
        <v>24003</v>
      </c>
    </row>
    <row r="24179" customFormat="false" ht="15" hidden="false" customHeight="false" outlineLevel="0" collapsed="false">
      <c r="A24179" s="0" t="n">
        <f aca="false">INDEX(_xlfn.ORG.LIBREOFFICE.FOURIER(TRANSPOSE({10000000000;0.0000000001;3;4;5}),FALSE(),FALSE(),TRUE()),2,2)</f>
        <v>5.34306812506406E-010</v>
      </c>
      <c r="B24179" s="0" t="s">
        <v>24004</v>
      </c>
    </row>
    <row r="24180" customFormat="false" ht="15" hidden="false" customHeight="false" outlineLevel="0" collapsed="false">
      <c r="A24180" s="0" t="n">
        <f aca="false">INDEX(_xlfn.ORG.LIBREOFFICE.FOURIER(TRANSPOSE({10000000000;0.0000000001;3;4;5}),FALSE(),FALSE(),TRUE()),3,2)</f>
        <v>1.98787021674374E-010</v>
      </c>
      <c r="B24180" s="0" t="s">
        <v>24005</v>
      </c>
    </row>
    <row r="24181" customFormat="false" ht="15" hidden="false" customHeight="false" outlineLevel="0" collapsed="false">
      <c r="A24181" s="0" t="n">
        <f aca="false">INDEX(_xlfn.ORG.LIBREOFFICE.FOURIER(TRANSPOSE({10000000000;0.0000000001;3;4;5}),FALSE(),FALSE(),TRUE()),ROWS(_xlfn.ORG.LIBREOFFICE.FOURIER(TRANSPOSE({10000000000;0.0000000001;3;4;5}),FALSE(),FALSE(),TRUE())),1)</f>
        <v>9999999995.88197</v>
      </c>
      <c r="B24181" s="0" t="s">
        <v>24006</v>
      </c>
    </row>
    <row r="24182" customFormat="false" ht="15" hidden="false" customHeight="false" outlineLevel="0" collapsed="false">
      <c r="A24182" s="0" t="n">
        <f aca="false">INDEX(_xlfn.ORG.LIBREOFFICE.FOURIER(TRANSPOSE({10000000000;0.0000000001;3;4;5}),FALSE(),FALSE(),TRUE()),ROWS(_xlfn.ORG.LIBREOFFICE.FOURIER(TRANSPOSE({10000000000;0.0000000001;3;4;5}),FALSE(),FALSE(),TRUE())),2)</f>
        <v>-5.34306717138975E-010</v>
      </c>
      <c r="B24182" s="0" t="s">
        <v>24007</v>
      </c>
    </row>
    <row r="24183" customFormat="false" ht="15" hidden="false" customHeight="false" outlineLevel="0" collapsed="false">
      <c r="A24183" s="0" t="n">
        <f aca="false">SUM(_xlfn.ORG.LIBREOFFICE.FOURIER(TRANSPOSE({10000000000;0.0000000001;3;4;5}),FALSE(),TRUE(),TRUE()))</f>
        <v>10000000000</v>
      </c>
      <c r="B24183" s="0" t="s">
        <v>24008</v>
      </c>
    </row>
    <row r="24184" customFormat="false" ht="15" hidden="false" customHeight="false" outlineLevel="0" collapsed="false">
      <c r="A24184" s="0" t="n">
        <f aca="false">INDEX(_xlfn.ORG.LIBREOFFICE.FOURIER(TRANSPOSE({10000000000;0.0000000001;3;4;5}),FALSE(),TRUE(),TRUE()),1,1)</f>
        <v>2000000002.4</v>
      </c>
      <c r="B24184" s="0" t="s">
        <v>24009</v>
      </c>
    </row>
    <row r="24185" customFormat="false" ht="15" hidden="false" customHeight="false" outlineLevel="0" collapsed="false">
      <c r="A24185" s="0" t="n">
        <f aca="false">INDEX(_xlfn.ORG.LIBREOFFICE.FOURIER(TRANSPOSE({10000000000;0.0000000001;3;4;5}),FALSE(),TRUE(),TRUE()),2,1)</f>
        <v>1999999999.17639</v>
      </c>
      <c r="B24185" s="0" t="s">
        <v>24010</v>
      </c>
    </row>
    <row r="24186" customFormat="false" ht="15" hidden="false" customHeight="false" outlineLevel="0" collapsed="false">
      <c r="A24186" s="0" t="n">
        <f aca="false">INDEX(_xlfn.ORG.LIBREOFFICE.FOURIER(TRANSPOSE({10000000000;0.0000000001;3;4;5}),FALSE(),TRUE(),TRUE()),2,2)</f>
        <v>-5.34306907873838E-010</v>
      </c>
      <c r="B24186" s="0" t="s">
        <v>24011</v>
      </c>
    </row>
    <row r="24187" customFormat="false" ht="15" hidden="false" customHeight="false" outlineLevel="0" collapsed="false">
      <c r="A24187" s="0" t="n">
        <f aca="false">INDEX(_xlfn.ORG.LIBREOFFICE.FOURIER(TRANSPOSE({10000000000;0.0000000001;3;4;5}),FALSE(),TRUE(),TRUE()),3,2)</f>
        <v>-1.98786830939511E-010</v>
      </c>
      <c r="B24187" s="0" t="s">
        <v>24012</v>
      </c>
    </row>
    <row r="24188" customFormat="false" ht="15" hidden="false" customHeight="false" outlineLevel="0" collapsed="false">
      <c r="A24188" s="0" t="n">
        <f aca="false">INDEX(_xlfn.ORG.LIBREOFFICE.FOURIER(TRANSPOSE({10000000000;0.0000000001;3;4;5}),FALSE(),TRUE(),TRUE()),ROWS(_xlfn.ORG.LIBREOFFICE.FOURIER(TRANSPOSE({10000000000;0.0000000001;3;4;5}),FALSE(),TRUE(),TRUE())),1)</f>
        <v>1999999999.17639</v>
      </c>
      <c r="B24188" s="0" t="s">
        <v>24013</v>
      </c>
    </row>
    <row r="24189" customFormat="false" ht="15" hidden="false" customHeight="false" outlineLevel="0" collapsed="false">
      <c r="A24189" s="0" t="n">
        <f aca="false">INDEX(_xlfn.ORG.LIBREOFFICE.FOURIER(TRANSPOSE({10000000000;0.0000000001;3;4;5}),FALSE(),TRUE(),TRUE()),ROWS(_xlfn.ORG.LIBREOFFICE.FOURIER(TRANSPOSE({10000000000;0.0000000001;3;4;5}),FALSE(),TRUE(),TRUE())),2)</f>
        <v>5.34306812506406E-010</v>
      </c>
      <c r="B24189" s="0" t="s">
        <v>24014</v>
      </c>
    </row>
    <row r="24190" customFormat="false" ht="15" hidden="false" customHeight="false" outlineLevel="0" collapsed="false">
      <c r="A24190" s="0" t="n">
        <f aca="false">SUM(_xlfn.ORG.LIBREOFFICE.FOURIER(TRANSPOSE({10000000000;0.0000000001;3;4;5}),FALSE(),FALSE(),TRUE(),1))</f>
        <v>50000000000</v>
      </c>
      <c r="B24190" s="0" t="s">
        <v>24015</v>
      </c>
    </row>
    <row r="24191" customFormat="false" ht="15" hidden="false" customHeight="false" outlineLevel="0" collapsed="false">
      <c r="A24191" s="0" t="n">
        <f aca="false">INDEX(_xlfn.ORG.LIBREOFFICE.FOURIER(TRANSPOSE({10000000000;0.0000000001;3;4;5}),FALSE(),FALSE(),TRUE(),1),1,1)</f>
        <v>10000000012</v>
      </c>
      <c r="B24191" s="0" t="s">
        <v>24016</v>
      </c>
    </row>
    <row r="24192" customFormat="false" ht="15" hidden="false" customHeight="false" outlineLevel="0" collapsed="false">
      <c r="A24192" s="0" t="n">
        <f aca="false">INDEX(_xlfn.ORG.LIBREOFFICE.FOURIER(TRANSPOSE({10000000000;0.0000000001;3;4;5}),FALSE(),FALSE(),TRUE(),1),2,1)</f>
        <v>9999999995.88196</v>
      </c>
      <c r="B24192" s="0" t="s">
        <v>24017</v>
      </c>
    </row>
    <row r="24193" customFormat="false" ht="15" hidden="false" customHeight="false" outlineLevel="0" collapsed="false">
      <c r="A24193" s="0" t="n">
        <f aca="false">INDEX(_xlfn.ORG.LIBREOFFICE.FOURIER(TRANSPOSE({10000000000;0.0000000001;3;4;5}),FALSE(),FALSE(),TRUE(),1),2,2)</f>
        <v>5.34306812506406E-010</v>
      </c>
      <c r="B24193" s="0" t="s">
        <v>24018</v>
      </c>
    </row>
    <row r="24194" customFormat="false" ht="15" hidden="false" customHeight="false" outlineLevel="0" collapsed="false">
      <c r="A24194" s="0" t="n">
        <f aca="false">INDEX(_xlfn.ORG.LIBREOFFICE.FOURIER(TRANSPOSE({10000000000;0.0000000001;3;4;5}),FALSE(),FALSE(),TRUE(),1),3,2)</f>
        <v>1.98787021674374E-010</v>
      </c>
      <c r="B24194" s="0" t="s">
        <v>24019</v>
      </c>
    </row>
    <row r="24195" customFormat="false" ht="15" hidden="false" customHeight="false" outlineLevel="0" collapsed="false">
      <c r="A24195" s="0" t="n">
        <f aca="false">INDEX(_xlfn.ORG.LIBREOFFICE.FOURIER(TRANSPOSE({10000000000;0.0000000001;3;4;5}),FALSE(),FALSE(),TRUE(),1),ROWS(_xlfn.ORG.LIBREOFFICE.FOURIER(TRANSPOSE({10000000000;0.0000000001;3;4;5}),FALSE(),FALSE(),TRUE(),1)),1)</f>
        <v>9999999995.88197</v>
      </c>
      <c r="B24195" s="0" t="s">
        <v>24020</v>
      </c>
    </row>
    <row r="24196" customFormat="false" ht="15" hidden="false" customHeight="false" outlineLevel="0" collapsed="false">
      <c r="A24196" s="0" t="n">
        <f aca="false">INDEX(_xlfn.ORG.LIBREOFFICE.FOURIER(TRANSPOSE({10000000000;0.0000000001;3;4;5}),FALSE(),FALSE(),TRUE(),1),ROWS(_xlfn.ORG.LIBREOFFICE.FOURIER(TRANSPOSE({10000000000;0.0000000001;3;4;5}),FALSE(),FALSE(),TRUE(),1)),2)</f>
        <v>-5.34306717138975E-010</v>
      </c>
      <c r="B24196" s="0" t="s">
        <v>24021</v>
      </c>
    </row>
    <row r="24197" customFormat="false" ht="15" hidden="false" customHeight="false" outlineLevel="0" collapsed="false">
      <c r="A24197" s="0" t="n">
        <f aca="false">SUM(_xlfn.ORG.LIBREOFFICE.FOURIER(TRANSPOSE({10000000000;0.0000000001;3;4;5}),FALSE(),TRUE(),TRUE(),5))</f>
        <v>10000000000</v>
      </c>
      <c r="B24197" s="0" t="s">
        <v>24022</v>
      </c>
    </row>
    <row r="24198" customFormat="false" ht="15" hidden="false" customHeight="false" outlineLevel="0" collapsed="false">
      <c r="A24198" s="0" t="n">
        <f aca="false">INDEX(_xlfn.ORG.LIBREOFFICE.FOURIER(TRANSPOSE({10000000000;0.0000000001;3;4;5}),FALSE(),TRUE(),TRUE(),5),1,1)</f>
        <v>2000000002.4</v>
      </c>
      <c r="B24198" s="0" t="s">
        <v>24023</v>
      </c>
    </row>
    <row r="24199" customFormat="false" ht="15" hidden="false" customHeight="false" outlineLevel="0" collapsed="false">
      <c r="A24199" s="0" t="n">
        <f aca="false">INDEX(_xlfn.ORG.LIBREOFFICE.FOURIER(TRANSPOSE({10000000000;0.0000000001;3;4;5}),FALSE(),TRUE(),TRUE(),5),2,1)</f>
        <v>1999999999.17639</v>
      </c>
      <c r="B24199" s="0" t="s">
        <v>24024</v>
      </c>
    </row>
    <row r="24200" customFormat="false" ht="15" hidden="false" customHeight="false" outlineLevel="0" collapsed="false">
      <c r="A24200" s="0" t="n">
        <f aca="false">INDEX(_xlfn.ORG.LIBREOFFICE.FOURIER(TRANSPOSE({10000000000;0.0000000001;3;4;5}),FALSE(),TRUE(),TRUE(),5),2,2)</f>
        <v>-5.34306907873838E-010</v>
      </c>
      <c r="B24200" s="0" t="s">
        <v>24025</v>
      </c>
    </row>
    <row r="24201" customFormat="false" ht="15" hidden="false" customHeight="false" outlineLevel="0" collapsed="false">
      <c r="A24201" s="0" t="n">
        <f aca="false">INDEX(_xlfn.ORG.LIBREOFFICE.FOURIER(TRANSPOSE({10000000000;0.0000000001;3;4;5}),FALSE(),TRUE(),TRUE(),5),3,2)</f>
        <v>-1.98786830939511E-010</v>
      </c>
      <c r="B24201" s="0" t="s">
        <v>24026</v>
      </c>
    </row>
    <row r="24202" customFormat="false" ht="15" hidden="false" customHeight="false" outlineLevel="0" collapsed="false">
      <c r="A24202" s="0" t="n">
        <f aca="false">INDEX(_xlfn.ORG.LIBREOFFICE.FOURIER(TRANSPOSE({10000000000;0.0000000001;3;4;5}),FALSE(),TRUE(),TRUE(),5),ROWS(_xlfn.ORG.LIBREOFFICE.FOURIER(TRANSPOSE({10000000000;0.0000000001;3;4;5}),FALSE(),TRUE(),TRUE(),5)),1)</f>
        <v>1999999999.17639</v>
      </c>
      <c r="B24202" s="0" t="s">
        <v>24027</v>
      </c>
    </row>
    <row r="24203" customFormat="false" ht="15" hidden="false" customHeight="false" outlineLevel="0" collapsed="false">
      <c r="A24203" s="0" t="n">
        <f aca="false">INDEX(_xlfn.ORG.LIBREOFFICE.FOURIER(TRANSPOSE({10000000000;0.0000000001;3;4;5}),FALSE(),TRUE(),TRUE(),5),ROWS(_xlfn.ORG.LIBREOFFICE.FOURIER(TRANSPOSE({10000000000;0.0000000001;3;4;5}),FALSE(),TRUE(),TRUE(),5)),2)</f>
        <v>5.34306812506406E-010</v>
      </c>
      <c r="B24203" s="0" t="s">
        <v>24028</v>
      </c>
    </row>
    <row r="24204" customFormat="false" ht="15" hidden="false" customHeight="false" outlineLevel="0" collapsed="false">
      <c r="A24204" s="0" t="n">
        <f aca="false">ROWS(_xlfn.ORG.LIBREOFFICE.FOURIER(Data!C1:C4,TRUE()))</f>
        <v>4</v>
      </c>
      <c r="B24204" s="0" t="s">
        <v>24029</v>
      </c>
    </row>
    <row r="24205" customFormat="false" ht="15" hidden="false" customHeight="false" outlineLevel="0" collapsed="false">
      <c r="A24205" s="0" t="n">
        <f aca="false">COLUMNS(_xlfn.ORG.LIBREOFFICE.FOURIER(Data!C1:C4,TRUE()))</f>
        <v>2</v>
      </c>
      <c r="B24205" s="0" t="s">
        <v>24030</v>
      </c>
    </row>
    <row r="24206" customFormat="false" ht="15" hidden="false" customHeight="false" outlineLevel="0" collapsed="false">
      <c r="A24206" s="0" t="n">
        <f aca="false">SUM(_xlfn.ORG.LIBREOFFICE.FOURIER(Data!C1:C4,TRUE()))</f>
        <v>181224</v>
      </c>
      <c r="B24206" s="0" t="s">
        <v>24031</v>
      </c>
    </row>
    <row r="24207" customFormat="false" ht="15" hidden="false" customHeight="false" outlineLevel="0" collapsed="false">
      <c r="A24207" s="0" t="n">
        <f aca="false">INDEX(_xlfn.ORG.LIBREOFFICE.FOURIER(Data!C1:C4,TRUE()),1,1)</f>
        <v>181412</v>
      </c>
      <c r="B24207" s="0" t="s">
        <v>24032</v>
      </c>
    </row>
    <row r="24208" customFormat="false" ht="15" hidden="false" customHeight="false" outlineLevel="0" collapsed="false">
      <c r="A24208" s="0" t="n">
        <f aca="false">INDEX(_xlfn.ORG.LIBREOFFICE.FOURIER(Data!C1:C4,TRUE()),2,1)</f>
        <v>-62</v>
      </c>
      <c r="B24208" s="0" t="s">
        <v>24033</v>
      </c>
    </row>
    <row r="24209" customFormat="false" ht="15" hidden="false" customHeight="false" outlineLevel="0" collapsed="false">
      <c r="A24209" s="0" t="n">
        <f aca="false">INDEX(_xlfn.ORG.LIBREOFFICE.FOURIER(Data!C1:C4,TRUE()),2,2)</f>
        <v>62</v>
      </c>
      <c r="B24209" s="0" t="s">
        <v>24034</v>
      </c>
    </row>
    <row r="24210" customFormat="false" ht="15" hidden="false" customHeight="false" outlineLevel="0" collapsed="false">
      <c r="A24210" s="0" t="n">
        <f aca="false">INDEX(_xlfn.ORG.LIBREOFFICE.FOURIER(Data!C1:C4,TRUE()),3,2)</f>
        <v>0</v>
      </c>
      <c r="B24210" s="0" t="s">
        <v>24035</v>
      </c>
    </row>
    <row r="24211" customFormat="false" ht="15" hidden="false" customHeight="false" outlineLevel="0" collapsed="false">
      <c r="A24211" s="0" t="n">
        <f aca="false">INDEX(_xlfn.ORG.LIBREOFFICE.FOURIER(Data!C1:C4,TRUE()),ROWS(_xlfn.ORG.LIBREOFFICE.FOURIER(Data!C1:C4,TRUE())),1)</f>
        <v>-62</v>
      </c>
      <c r="B24211" s="0" t="s">
        <v>24036</v>
      </c>
    </row>
    <row r="24212" customFormat="false" ht="15" hidden="false" customHeight="false" outlineLevel="0" collapsed="false">
      <c r="A24212" s="0" t="n">
        <f aca="false">INDEX(_xlfn.ORG.LIBREOFFICE.FOURIER(Data!C1:C4,TRUE()),ROWS(_xlfn.ORG.LIBREOFFICE.FOURIER(Data!C1:C4,TRUE())),2)</f>
        <v>-62</v>
      </c>
      <c r="B24212" s="0" t="s">
        <v>24037</v>
      </c>
    </row>
    <row r="24213" customFormat="false" ht="15" hidden="false" customHeight="false" outlineLevel="0" collapsed="false">
      <c r="A24213" s="0" t="n">
        <f aca="false">SUM(_xlfn.ORG.LIBREOFFICE.FOURIER(Data!C1:C4,TRUE(),TRUE()))</f>
        <v>45306</v>
      </c>
      <c r="B24213" s="0" t="s">
        <v>24038</v>
      </c>
    </row>
    <row r="24214" customFormat="false" ht="15" hidden="false" customHeight="false" outlineLevel="0" collapsed="false">
      <c r="A24214" s="0" t="n">
        <f aca="false">INDEX(_xlfn.ORG.LIBREOFFICE.FOURIER(Data!C1:C4,TRUE(),TRUE()),1,1)</f>
        <v>45353</v>
      </c>
      <c r="B24214" s="0" t="s">
        <v>24039</v>
      </c>
    </row>
    <row r="24215" customFormat="false" ht="15" hidden="false" customHeight="false" outlineLevel="0" collapsed="false">
      <c r="A24215" s="0" t="n">
        <f aca="false">INDEX(_xlfn.ORG.LIBREOFFICE.FOURIER(Data!C1:C4,TRUE(),TRUE()),2,1)</f>
        <v>-15.5</v>
      </c>
      <c r="B24215" s="0" t="s">
        <v>24040</v>
      </c>
    </row>
    <row r="24216" customFormat="false" ht="15" hidden="false" customHeight="false" outlineLevel="0" collapsed="false">
      <c r="A24216" s="0" t="n">
        <f aca="false">INDEX(_xlfn.ORG.LIBREOFFICE.FOURIER(Data!C1:C4,TRUE(),TRUE()),2,2)</f>
        <v>-15.5</v>
      </c>
      <c r="B24216" s="0" t="s">
        <v>24041</v>
      </c>
    </row>
    <row r="24217" customFormat="false" ht="15" hidden="false" customHeight="false" outlineLevel="0" collapsed="false">
      <c r="A24217" s="0" t="n">
        <f aca="false">INDEX(_xlfn.ORG.LIBREOFFICE.FOURIER(Data!C1:C4,TRUE(),TRUE()),3,2)</f>
        <v>0</v>
      </c>
      <c r="B24217" s="0" t="s">
        <v>24042</v>
      </c>
    </row>
    <row r="24218" customFormat="false" ht="15" hidden="false" customHeight="false" outlineLevel="0" collapsed="false">
      <c r="A24218" s="0" t="n">
        <f aca="false">INDEX(_xlfn.ORG.LIBREOFFICE.FOURIER(Data!C1:C4,TRUE(),TRUE()),ROWS(_xlfn.ORG.LIBREOFFICE.FOURIER(Data!C1:C4,TRUE(),TRUE())),1)</f>
        <v>-15.5</v>
      </c>
      <c r="B24218" s="0" t="s">
        <v>24043</v>
      </c>
    </row>
    <row r="24219" customFormat="false" ht="15" hidden="false" customHeight="false" outlineLevel="0" collapsed="false">
      <c r="A24219" s="0" t="n">
        <f aca="false">INDEX(_xlfn.ORG.LIBREOFFICE.FOURIER(Data!C1:C4,TRUE(),TRUE()),ROWS(_xlfn.ORG.LIBREOFFICE.FOURIER(Data!C1:C4,TRUE(),TRUE())),2)</f>
        <v>15.5</v>
      </c>
      <c r="B24219" s="0" t="s">
        <v>24044</v>
      </c>
    </row>
    <row r="24220" customFormat="false" ht="15" hidden="false" customHeight="false" outlineLevel="0" collapsed="false">
      <c r="A24220" s="0" t="n">
        <f aca="false">SUM(_xlfn.ORG.LIBREOFFICE.FOURIER(Data!C1:C4,TRUE(),FALSE(),TRUE()))</f>
        <v>181654.504074388</v>
      </c>
      <c r="B24220" s="0" t="s">
        <v>24045</v>
      </c>
    </row>
    <row r="24221" customFormat="false" ht="15" hidden="false" customHeight="false" outlineLevel="0" collapsed="false">
      <c r="A24221" s="0" t="n">
        <f aca="false">INDEX(_xlfn.ORG.LIBREOFFICE.FOURIER(Data!C1:C4,TRUE(),FALSE(),TRUE()),1,1)</f>
        <v>181412</v>
      </c>
      <c r="B24221" s="0" t="s">
        <v>24046</v>
      </c>
    </row>
    <row r="24222" customFormat="false" ht="15" hidden="false" customHeight="false" outlineLevel="0" collapsed="false">
      <c r="A24222" s="0" t="n">
        <f aca="false">INDEX(_xlfn.ORG.LIBREOFFICE.FOURIER(Data!C1:C4,TRUE(),FALSE(),TRUE()),2,1)</f>
        <v>87.6812408671319</v>
      </c>
      <c r="B24222" s="0" t="s">
        <v>24047</v>
      </c>
    </row>
    <row r="24223" customFormat="false" ht="15" hidden="false" customHeight="false" outlineLevel="0" collapsed="false">
      <c r="A24223" s="0" t="n">
        <f aca="false">INDEX(_xlfn.ORG.LIBREOFFICE.FOURIER(Data!C1:C4,TRUE(),FALSE(),TRUE()),2,2)</f>
        <v>2.35619449019235</v>
      </c>
      <c r="B24223" s="0" t="s">
        <v>24048</v>
      </c>
    </row>
    <row r="24224" customFormat="false" ht="15" hidden="false" customHeight="false" outlineLevel="0" collapsed="false">
      <c r="A24224" s="0" t="n">
        <f aca="false">INDEX(_xlfn.ORG.LIBREOFFICE.FOURIER(Data!C1:C4,TRUE(),FALSE(),TRUE()),3,2)</f>
        <v>3.14159265358979</v>
      </c>
      <c r="B24224" s="0" t="s">
        <v>24049</v>
      </c>
    </row>
    <row r="24225" customFormat="false" ht="15" hidden="false" customHeight="false" outlineLevel="0" collapsed="false">
      <c r="A24225" s="0" t="n">
        <f aca="false">INDEX(_xlfn.ORG.LIBREOFFICE.FOURIER(Data!C1:C4,TRUE(),FALSE(),TRUE()),ROWS(_xlfn.ORG.LIBREOFFICE.FOURIER(Data!C1:C4,TRUE(),FALSE(),TRUE())),1)</f>
        <v>87.6812408671319</v>
      </c>
      <c r="B24225" s="0" t="s">
        <v>24050</v>
      </c>
    </row>
    <row r="24226" customFormat="false" ht="15" hidden="false" customHeight="false" outlineLevel="0" collapsed="false">
      <c r="A24226" s="0" t="n">
        <f aca="false">INDEX(_xlfn.ORG.LIBREOFFICE.FOURIER(Data!C1:C4,TRUE(),FALSE(),TRUE()),ROWS(_xlfn.ORG.LIBREOFFICE.FOURIER(Data!C1:C4,TRUE(),FALSE(),TRUE())),2)</f>
        <v>-2.35619449019235</v>
      </c>
      <c r="B24226" s="0" t="s">
        <v>24051</v>
      </c>
    </row>
    <row r="24227" customFormat="false" ht="15" hidden="false" customHeight="false" outlineLevel="0" collapsed="false">
      <c r="A24227" s="0" t="n">
        <f aca="false">SUM(_xlfn.ORG.LIBREOFFICE.FOURIER(Data!C1:C4,TRUE(),TRUE(),TRUE()))</f>
        <v>45415.9822130872</v>
      </c>
      <c r="B24227" s="0" t="s">
        <v>24052</v>
      </c>
    </row>
    <row r="24228" customFormat="false" ht="15" hidden="false" customHeight="false" outlineLevel="0" collapsed="false">
      <c r="A24228" s="0" t="n">
        <f aca="false">INDEX(_xlfn.ORG.LIBREOFFICE.FOURIER(Data!C1:C4,TRUE(),TRUE(),TRUE()),1,1)</f>
        <v>45353</v>
      </c>
      <c r="B24228" s="0" t="s">
        <v>24053</v>
      </c>
    </row>
    <row r="24229" customFormat="false" ht="15" hidden="false" customHeight="false" outlineLevel="0" collapsed="false">
      <c r="A24229" s="0" t="n">
        <f aca="false">INDEX(_xlfn.ORG.LIBREOFFICE.FOURIER(Data!C1:C4,TRUE(),TRUE(),TRUE()),2,1)</f>
        <v>21.920310216783</v>
      </c>
      <c r="B24229" s="0" t="s">
        <v>24054</v>
      </c>
    </row>
    <row r="24230" customFormat="false" ht="15" hidden="false" customHeight="false" outlineLevel="0" collapsed="false">
      <c r="A24230" s="0" t="n">
        <f aca="false">INDEX(_xlfn.ORG.LIBREOFFICE.FOURIER(Data!C1:C4,TRUE(),TRUE(),TRUE()),2,2)</f>
        <v>-2.35619449019235</v>
      </c>
      <c r="B24230" s="0" t="s">
        <v>24055</v>
      </c>
    </row>
    <row r="24231" customFormat="false" ht="15" hidden="false" customHeight="false" outlineLevel="0" collapsed="false">
      <c r="A24231" s="0" t="n">
        <f aca="false">INDEX(_xlfn.ORG.LIBREOFFICE.FOURIER(Data!C1:C4,TRUE(),TRUE(),TRUE()),3,2)</f>
        <v>3.14159265358979</v>
      </c>
      <c r="B24231" s="0" t="s">
        <v>24056</v>
      </c>
    </row>
    <row r="24232" customFormat="false" ht="15" hidden="false" customHeight="false" outlineLevel="0" collapsed="false">
      <c r="A24232" s="0" t="n">
        <f aca="false">INDEX(_xlfn.ORG.LIBREOFFICE.FOURIER(Data!C1:C4,TRUE(),TRUE(),TRUE()),ROWS(_xlfn.ORG.LIBREOFFICE.FOURIER(Data!C1:C4,TRUE(),TRUE(),TRUE())),1)</f>
        <v>21.920310216783</v>
      </c>
      <c r="B24232" s="0" t="s">
        <v>24057</v>
      </c>
    </row>
    <row r="24233" customFormat="false" ht="15" hidden="false" customHeight="false" outlineLevel="0" collapsed="false">
      <c r="A24233" s="0" t="n">
        <f aca="false">INDEX(_xlfn.ORG.LIBREOFFICE.FOURIER(Data!C1:C4,TRUE(),TRUE(),TRUE()),ROWS(_xlfn.ORG.LIBREOFFICE.FOURIER(Data!C1:C4,TRUE(),TRUE(),TRUE())),2)</f>
        <v>2.35619449019235</v>
      </c>
      <c r="B24233" s="0" t="s">
        <v>24058</v>
      </c>
    </row>
    <row r="24234" customFormat="false" ht="15" hidden="false" customHeight="false" outlineLevel="0" collapsed="false">
      <c r="A24234" s="0" t="n">
        <f aca="false">SUM(_xlfn.ORG.LIBREOFFICE.FOURIER(Data!C1:C4,TRUE(),FALSE(),TRUE(),1))</f>
        <v>181654.504074388</v>
      </c>
      <c r="B24234" s="0" t="s">
        <v>24059</v>
      </c>
    </row>
    <row r="24235" customFormat="false" ht="15" hidden="false" customHeight="false" outlineLevel="0" collapsed="false">
      <c r="A24235" s="0" t="n">
        <f aca="false">INDEX(_xlfn.ORG.LIBREOFFICE.FOURIER(Data!C1:C4,TRUE(),FALSE(),TRUE(),1),1,1)</f>
        <v>181412</v>
      </c>
      <c r="B24235" s="0" t="s">
        <v>24060</v>
      </c>
    </row>
    <row r="24236" customFormat="false" ht="15" hidden="false" customHeight="false" outlineLevel="0" collapsed="false">
      <c r="A24236" s="0" t="n">
        <f aca="false">INDEX(_xlfn.ORG.LIBREOFFICE.FOURIER(Data!C1:C4,TRUE(),FALSE(),TRUE(),1),2,1)</f>
        <v>87.6812408671319</v>
      </c>
      <c r="B24236" s="0" t="s">
        <v>24061</v>
      </c>
    </row>
    <row r="24237" customFormat="false" ht="15" hidden="false" customHeight="false" outlineLevel="0" collapsed="false">
      <c r="A24237" s="0" t="n">
        <f aca="false">INDEX(_xlfn.ORG.LIBREOFFICE.FOURIER(Data!C1:C4,TRUE(),FALSE(),TRUE(),1),2,2)</f>
        <v>2.35619449019235</v>
      </c>
      <c r="B24237" s="0" t="s">
        <v>24062</v>
      </c>
    </row>
    <row r="24238" customFormat="false" ht="15" hidden="false" customHeight="false" outlineLevel="0" collapsed="false">
      <c r="A24238" s="0" t="n">
        <f aca="false">INDEX(_xlfn.ORG.LIBREOFFICE.FOURIER(Data!C1:C4,TRUE(),FALSE(),TRUE(),1),3,2)</f>
        <v>3.14159265358979</v>
      </c>
      <c r="B24238" s="0" t="s">
        <v>24063</v>
      </c>
    </row>
    <row r="24239" customFormat="false" ht="15" hidden="false" customHeight="false" outlineLevel="0" collapsed="false">
      <c r="A24239" s="0" t="n">
        <f aca="false">INDEX(_xlfn.ORG.LIBREOFFICE.FOURIER(Data!C1:C4,TRUE(),FALSE(),TRUE(),1),ROWS(_xlfn.ORG.LIBREOFFICE.FOURIER(Data!C1:C4,TRUE(),FALSE(),TRUE(),1)),1)</f>
        <v>87.6812408671319</v>
      </c>
      <c r="B24239" s="0" t="s">
        <v>24064</v>
      </c>
    </row>
    <row r="24240" customFormat="false" ht="15" hidden="false" customHeight="false" outlineLevel="0" collapsed="false">
      <c r="A24240" s="0" t="n">
        <f aca="false">INDEX(_xlfn.ORG.LIBREOFFICE.FOURIER(Data!C1:C4,TRUE(),FALSE(),TRUE(),1),ROWS(_xlfn.ORG.LIBREOFFICE.FOURIER(Data!C1:C4,TRUE(),FALSE(),TRUE(),1)),2)</f>
        <v>-2.35619449019235</v>
      </c>
      <c r="B24240" s="0" t="s">
        <v>24065</v>
      </c>
    </row>
    <row r="24241" customFormat="false" ht="15" hidden="false" customHeight="false" outlineLevel="0" collapsed="false">
      <c r="A24241" s="0" t="n">
        <f aca="false">SUM(_xlfn.ORG.LIBREOFFICE.FOURIER(Data!C1:C4,TRUE(),TRUE(),TRUE(),5))</f>
        <v>45415.9822130872</v>
      </c>
      <c r="B24241" s="0" t="s">
        <v>24066</v>
      </c>
    </row>
    <row r="24242" customFormat="false" ht="15" hidden="false" customHeight="false" outlineLevel="0" collapsed="false">
      <c r="A24242" s="0" t="n">
        <f aca="false">INDEX(_xlfn.ORG.LIBREOFFICE.FOURIER(Data!C1:C4,TRUE(),TRUE(),TRUE(),5),1,1)</f>
        <v>45353</v>
      </c>
      <c r="B24242" s="0" t="s">
        <v>24067</v>
      </c>
    </row>
    <row r="24243" customFormat="false" ht="15" hidden="false" customHeight="false" outlineLevel="0" collapsed="false">
      <c r="A24243" s="0" t="n">
        <f aca="false">INDEX(_xlfn.ORG.LIBREOFFICE.FOURIER(Data!C1:C4,TRUE(),TRUE(),TRUE(),5),2,1)</f>
        <v>21.920310216783</v>
      </c>
      <c r="B24243" s="0" t="s">
        <v>24068</v>
      </c>
    </row>
    <row r="24244" customFormat="false" ht="15" hidden="false" customHeight="false" outlineLevel="0" collapsed="false">
      <c r="A24244" s="0" t="n">
        <f aca="false">INDEX(_xlfn.ORG.LIBREOFFICE.FOURIER(Data!C1:C4,TRUE(),TRUE(),TRUE(),5),2,2)</f>
        <v>-2.35619449019235</v>
      </c>
      <c r="B24244" s="0" t="s">
        <v>24069</v>
      </c>
    </row>
    <row r="24245" customFormat="false" ht="15" hidden="false" customHeight="false" outlineLevel="0" collapsed="false">
      <c r="A24245" s="0" t="n">
        <f aca="false">INDEX(_xlfn.ORG.LIBREOFFICE.FOURIER(Data!C1:C4,TRUE(),TRUE(),TRUE(),5),3,2)</f>
        <v>3.14159265358979</v>
      </c>
      <c r="B24245" s="0" t="s">
        <v>24070</v>
      </c>
    </row>
    <row r="24246" customFormat="false" ht="15" hidden="false" customHeight="false" outlineLevel="0" collapsed="false">
      <c r="A24246" s="0" t="n">
        <f aca="false">INDEX(_xlfn.ORG.LIBREOFFICE.FOURIER(Data!C1:C4,TRUE(),TRUE(),TRUE(),5),ROWS(_xlfn.ORG.LIBREOFFICE.FOURIER(Data!C1:C4,TRUE(),TRUE(),TRUE(),5)),1)</f>
        <v>21.920310216783</v>
      </c>
      <c r="B24246" s="0" t="s">
        <v>24071</v>
      </c>
    </row>
    <row r="24247" customFormat="false" ht="15" hidden="false" customHeight="false" outlineLevel="0" collapsed="false">
      <c r="A24247" s="0" t="n">
        <f aca="false">INDEX(_xlfn.ORG.LIBREOFFICE.FOURIER(Data!C1:C4,TRUE(),TRUE(),TRUE(),5),ROWS(_xlfn.ORG.LIBREOFFICE.FOURIER(Data!C1:C4,TRUE(),TRUE(),TRUE(),5)),2)</f>
        <v>2.35619449019235</v>
      </c>
      <c r="B24247" s="0" t="s">
        <v>24072</v>
      </c>
    </row>
    <row r="24248" customFormat="false" ht="15" hidden="false" customHeight="false" outlineLevel="0" collapsed="false">
      <c r="A24248" s="0" t="e">
        <f aca="false">ROWS(_xlfn.ORG.LIBREOFFICE.FOURIER(Data!C1:C4,FALSE()))</f>
        <v>#VALUE!</v>
      </c>
      <c r="B24248" s="0" t="s">
        <v>24073</v>
      </c>
    </row>
    <row r="24249" customFormat="false" ht="15" hidden="false" customHeight="false" outlineLevel="0" collapsed="false">
      <c r="A24249" s="0" t="e">
        <f aca="false">COLUMNS(_xlfn.ORG.LIBREOFFICE.FOURIER(Data!C1:C4,FALSE()))</f>
        <v>#VALUE!</v>
      </c>
      <c r="B24249" s="0" t="s">
        <v>24074</v>
      </c>
    </row>
    <row r="24250" customFormat="false" ht="15" hidden="false" customHeight="false" outlineLevel="0" collapsed="false">
      <c r="A24250" s="0" t="e">
        <f aca="false">SUM(_xlfn.ORG.LIBREOFFICE.FOURIER(Data!C1:C4,FALSE()))</f>
        <v>#VALUE!</v>
      </c>
      <c r="B24250" s="0" t="s">
        <v>24075</v>
      </c>
    </row>
    <row r="24251" customFormat="false" ht="15" hidden="false" customHeight="false" outlineLevel="0" collapsed="false">
      <c r="A24251" s="0" t="e">
        <f aca="false">INDEX(_xlfn.ORG.LIBREOFFICE.FOURIER(Data!C1:C4,FALSE()),1,1)</f>
        <v>#VALUE!</v>
      </c>
      <c r="B24251" s="0" t="s">
        <v>24076</v>
      </c>
    </row>
    <row r="24252" customFormat="false" ht="15" hidden="false" customHeight="false" outlineLevel="0" collapsed="false">
      <c r="A24252" s="0" t="e">
        <f aca="false">INDEX(_xlfn.ORG.LIBREOFFICE.FOURIER(Data!C1:C4,FALSE()),2,1)</f>
        <v>#VALUE!</v>
      </c>
      <c r="B24252" s="0" t="s">
        <v>24077</v>
      </c>
    </row>
    <row r="24253" customFormat="false" ht="15" hidden="false" customHeight="false" outlineLevel="0" collapsed="false">
      <c r="A24253" s="0" t="e">
        <f aca="false">INDEX(_xlfn.ORG.LIBREOFFICE.FOURIER(Data!C1:C4,FALSE()),2,2)</f>
        <v>#VALUE!</v>
      </c>
      <c r="B24253" s="0" t="s">
        <v>24078</v>
      </c>
    </row>
    <row r="24254" customFormat="false" ht="15" hidden="false" customHeight="false" outlineLevel="0" collapsed="false">
      <c r="A24254" s="0" t="e">
        <f aca="false">INDEX(_xlfn.ORG.LIBREOFFICE.FOURIER(Data!C1:C4,FALSE()),3,2)</f>
        <v>#VALUE!</v>
      </c>
      <c r="B24254" s="0" t="s">
        <v>24079</v>
      </c>
    </row>
    <row r="24255" customFormat="false" ht="15" hidden="false" customHeight="false" outlineLevel="0" collapsed="false">
      <c r="A24255" s="0" t="e">
        <f aca="false">INDEX(_xlfn.ORG.LIBREOFFICE.FOURIER(Data!C1:C4,FALSE()),ROWS(_xlfn.ORG.LIBREOFFICE.FOURIER(Data!C1:C4,FALSE())),1)</f>
        <v>#VALUE!</v>
      </c>
      <c r="B24255" s="0" t="s">
        <v>24080</v>
      </c>
    </row>
    <row r="24256" customFormat="false" ht="15" hidden="false" customHeight="false" outlineLevel="0" collapsed="false">
      <c r="A24256" s="0" t="e">
        <f aca="false">INDEX(_xlfn.ORG.LIBREOFFICE.FOURIER(Data!C1:C4,FALSE()),ROWS(_xlfn.ORG.LIBREOFFICE.FOURIER(Data!C1:C4,FALSE())),2)</f>
        <v>#VALUE!</v>
      </c>
      <c r="B24256" s="0" t="s">
        <v>24081</v>
      </c>
    </row>
    <row r="24257" customFormat="false" ht="15" hidden="false" customHeight="false" outlineLevel="0" collapsed="false">
      <c r="A24257" s="0" t="e">
        <f aca="false">SUM(_xlfn.ORG.LIBREOFFICE.FOURIER(Data!C1:C4,FALSE(),TRUE()))</f>
        <v>#VALUE!</v>
      </c>
      <c r="B24257" s="0" t="s">
        <v>24082</v>
      </c>
    </row>
    <row r="24258" customFormat="false" ht="15" hidden="false" customHeight="false" outlineLevel="0" collapsed="false">
      <c r="A24258" s="0" t="e">
        <f aca="false">INDEX(_xlfn.ORG.LIBREOFFICE.FOURIER(Data!C1:C4,FALSE(),TRUE()),1,1)</f>
        <v>#VALUE!</v>
      </c>
      <c r="B24258" s="0" t="s">
        <v>24083</v>
      </c>
    </row>
    <row r="24259" customFormat="false" ht="15" hidden="false" customHeight="false" outlineLevel="0" collapsed="false">
      <c r="A24259" s="0" t="e">
        <f aca="false">INDEX(_xlfn.ORG.LIBREOFFICE.FOURIER(Data!C1:C4,FALSE(),TRUE()),2,1)</f>
        <v>#VALUE!</v>
      </c>
      <c r="B24259" s="0" t="s">
        <v>24084</v>
      </c>
    </row>
    <row r="24260" customFormat="false" ht="15" hidden="false" customHeight="false" outlineLevel="0" collapsed="false">
      <c r="A24260" s="0" t="e">
        <f aca="false">INDEX(_xlfn.ORG.LIBREOFFICE.FOURIER(Data!C1:C4,FALSE(),TRUE()),2,2)</f>
        <v>#VALUE!</v>
      </c>
      <c r="B24260" s="0" t="s">
        <v>24085</v>
      </c>
    </row>
    <row r="24261" customFormat="false" ht="15" hidden="false" customHeight="false" outlineLevel="0" collapsed="false">
      <c r="A24261" s="0" t="e">
        <f aca="false">INDEX(_xlfn.ORG.LIBREOFFICE.FOURIER(Data!C1:C4,FALSE(),TRUE()),3,2)</f>
        <v>#VALUE!</v>
      </c>
      <c r="B24261" s="0" t="s">
        <v>24086</v>
      </c>
    </row>
    <row r="24262" customFormat="false" ht="15" hidden="false" customHeight="false" outlineLevel="0" collapsed="false">
      <c r="A24262" s="0" t="e">
        <f aca="false">INDEX(_xlfn.ORG.LIBREOFFICE.FOURIER(Data!C1:C4,FALSE(),TRUE()),ROWS(_xlfn.ORG.LIBREOFFICE.FOURIER(Data!C1:C4,FALSE(),TRUE())),1)</f>
        <v>#VALUE!</v>
      </c>
      <c r="B24262" s="0" t="s">
        <v>24087</v>
      </c>
    </row>
    <row r="24263" customFormat="false" ht="15" hidden="false" customHeight="false" outlineLevel="0" collapsed="false">
      <c r="A24263" s="0" t="e">
        <f aca="false">INDEX(_xlfn.ORG.LIBREOFFICE.FOURIER(Data!C1:C4,FALSE(),TRUE()),ROWS(_xlfn.ORG.LIBREOFFICE.FOURIER(Data!C1:C4,FALSE(),TRUE())),2)</f>
        <v>#VALUE!</v>
      </c>
      <c r="B24263" s="0" t="s">
        <v>24088</v>
      </c>
    </row>
    <row r="24264" customFormat="false" ht="15" hidden="false" customHeight="false" outlineLevel="0" collapsed="false">
      <c r="A24264" s="0" t="e">
        <f aca="false">SUM(_xlfn.ORG.LIBREOFFICE.FOURIER(Data!C1:C4,FALSE(),FALSE(),TRUE()))</f>
        <v>#VALUE!</v>
      </c>
      <c r="B24264" s="0" t="s">
        <v>24089</v>
      </c>
    </row>
    <row r="24265" customFormat="false" ht="15" hidden="false" customHeight="false" outlineLevel="0" collapsed="false">
      <c r="A24265" s="0" t="e">
        <f aca="false">INDEX(_xlfn.ORG.LIBREOFFICE.FOURIER(Data!C1:C4,FALSE(),FALSE(),TRUE()),1,1)</f>
        <v>#VALUE!</v>
      </c>
      <c r="B24265" s="0" t="s">
        <v>24090</v>
      </c>
    </row>
    <row r="24266" customFormat="false" ht="15" hidden="false" customHeight="false" outlineLevel="0" collapsed="false">
      <c r="A24266" s="0" t="e">
        <f aca="false">INDEX(_xlfn.ORG.LIBREOFFICE.FOURIER(Data!C1:C4,FALSE(),FALSE(),TRUE()),2,1)</f>
        <v>#VALUE!</v>
      </c>
      <c r="B24266" s="0" t="s">
        <v>24091</v>
      </c>
    </row>
    <row r="24267" customFormat="false" ht="15" hidden="false" customHeight="false" outlineLevel="0" collapsed="false">
      <c r="A24267" s="0" t="e">
        <f aca="false">INDEX(_xlfn.ORG.LIBREOFFICE.FOURIER(Data!C1:C4,FALSE(),FALSE(),TRUE()),2,2)</f>
        <v>#VALUE!</v>
      </c>
      <c r="B24267" s="0" t="s">
        <v>24092</v>
      </c>
    </row>
    <row r="24268" customFormat="false" ht="15" hidden="false" customHeight="false" outlineLevel="0" collapsed="false">
      <c r="A24268" s="0" t="e">
        <f aca="false">INDEX(_xlfn.ORG.LIBREOFFICE.FOURIER(Data!C1:C4,FALSE(),FALSE(),TRUE()),3,2)</f>
        <v>#VALUE!</v>
      </c>
      <c r="B24268" s="0" t="s">
        <v>24093</v>
      </c>
    </row>
    <row r="24269" customFormat="false" ht="15" hidden="false" customHeight="false" outlineLevel="0" collapsed="false">
      <c r="A24269" s="0" t="e">
        <f aca="false">INDEX(_xlfn.ORG.LIBREOFFICE.FOURIER(Data!C1:C4,FALSE(),FALSE(),TRUE()),ROWS(_xlfn.ORG.LIBREOFFICE.FOURIER(Data!C1:C4,FALSE(),FALSE(),TRUE())),1)</f>
        <v>#VALUE!</v>
      </c>
      <c r="B24269" s="0" t="s">
        <v>24094</v>
      </c>
    </row>
    <row r="24270" customFormat="false" ht="15" hidden="false" customHeight="false" outlineLevel="0" collapsed="false">
      <c r="A24270" s="0" t="e">
        <f aca="false">INDEX(_xlfn.ORG.LIBREOFFICE.FOURIER(Data!C1:C4,FALSE(),FALSE(),TRUE()),ROWS(_xlfn.ORG.LIBREOFFICE.FOURIER(Data!C1:C4,FALSE(),FALSE(),TRUE())),2)</f>
        <v>#VALUE!</v>
      </c>
      <c r="B24270" s="0" t="s">
        <v>24095</v>
      </c>
    </row>
    <row r="24271" customFormat="false" ht="15" hidden="false" customHeight="false" outlineLevel="0" collapsed="false">
      <c r="A24271" s="0" t="e">
        <f aca="false">SUM(_xlfn.ORG.LIBREOFFICE.FOURIER(Data!C1:C4,FALSE(),TRUE(),TRUE()))</f>
        <v>#VALUE!</v>
      </c>
      <c r="B24271" s="0" t="s">
        <v>24096</v>
      </c>
    </row>
    <row r="24272" customFormat="false" ht="15" hidden="false" customHeight="false" outlineLevel="0" collapsed="false">
      <c r="A24272" s="0" t="e">
        <f aca="false">INDEX(_xlfn.ORG.LIBREOFFICE.FOURIER(Data!C1:C4,FALSE(),TRUE(),TRUE()),1,1)</f>
        <v>#VALUE!</v>
      </c>
      <c r="B24272" s="0" t="s">
        <v>24097</v>
      </c>
    </row>
    <row r="24273" customFormat="false" ht="15" hidden="false" customHeight="false" outlineLevel="0" collapsed="false">
      <c r="A24273" s="0" t="e">
        <f aca="false">INDEX(_xlfn.ORG.LIBREOFFICE.FOURIER(Data!C1:C4,FALSE(),TRUE(),TRUE()),2,1)</f>
        <v>#VALUE!</v>
      </c>
      <c r="B24273" s="0" t="s">
        <v>24098</v>
      </c>
    </row>
    <row r="24274" customFormat="false" ht="15" hidden="false" customHeight="false" outlineLevel="0" collapsed="false">
      <c r="A24274" s="0" t="e">
        <f aca="false">INDEX(_xlfn.ORG.LIBREOFFICE.FOURIER(Data!C1:C4,FALSE(),TRUE(),TRUE()),2,2)</f>
        <v>#VALUE!</v>
      </c>
      <c r="B24274" s="0" t="s">
        <v>24099</v>
      </c>
    </row>
    <row r="24275" customFormat="false" ht="15" hidden="false" customHeight="false" outlineLevel="0" collapsed="false">
      <c r="A24275" s="0" t="e">
        <f aca="false">INDEX(_xlfn.ORG.LIBREOFFICE.FOURIER(Data!C1:C4,FALSE(),TRUE(),TRUE()),3,2)</f>
        <v>#VALUE!</v>
      </c>
      <c r="B24275" s="0" t="s">
        <v>24100</v>
      </c>
    </row>
    <row r="24276" customFormat="false" ht="15" hidden="false" customHeight="false" outlineLevel="0" collapsed="false">
      <c r="A24276" s="0" t="e">
        <f aca="false">INDEX(_xlfn.ORG.LIBREOFFICE.FOURIER(Data!C1:C4,FALSE(),TRUE(),TRUE()),ROWS(_xlfn.ORG.LIBREOFFICE.FOURIER(Data!C1:C4,FALSE(),TRUE(),TRUE())),1)</f>
        <v>#VALUE!</v>
      </c>
      <c r="B24276" s="0" t="s">
        <v>24101</v>
      </c>
    </row>
    <row r="24277" customFormat="false" ht="15" hidden="false" customHeight="false" outlineLevel="0" collapsed="false">
      <c r="A24277" s="0" t="e">
        <f aca="false">INDEX(_xlfn.ORG.LIBREOFFICE.FOURIER(Data!C1:C4,FALSE(),TRUE(),TRUE()),ROWS(_xlfn.ORG.LIBREOFFICE.FOURIER(Data!C1:C4,FALSE(),TRUE(),TRUE())),2)</f>
        <v>#VALUE!</v>
      </c>
      <c r="B24277" s="0" t="s">
        <v>24102</v>
      </c>
    </row>
    <row r="24278" customFormat="false" ht="15" hidden="false" customHeight="false" outlineLevel="0" collapsed="false">
      <c r="A24278" s="0" t="e">
        <f aca="false">SUM(_xlfn.ORG.LIBREOFFICE.FOURIER(Data!C1:C4,FALSE(),FALSE(),TRUE(),1))</f>
        <v>#VALUE!</v>
      </c>
      <c r="B24278" s="0" t="s">
        <v>24103</v>
      </c>
    </row>
    <row r="24279" customFormat="false" ht="15" hidden="false" customHeight="false" outlineLevel="0" collapsed="false">
      <c r="A24279" s="0" t="e">
        <f aca="false">INDEX(_xlfn.ORG.LIBREOFFICE.FOURIER(Data!C1:C4,FALSE(),FALSE(),TRUE(),1),1,1)</f>
        <v>#VALUE!</v>
      </c>
      <c r="B24279" s="0" t="s">
        <v>24104</v>
      </c>
    </row>
    <row r="24280" customFormat="false" ht="15" hidden="false" customHeight="false" outlineLevel="0" collapsed="false">
      <c r="A24280" s="0" t="e">
        <f aca="false">INDEX(_xlfn.ORG.LIBREOFFICE.FOURIER(Data!C1:C4,FALSE(),FALSE(),TRUE(),1),2,1)</f>
        <v>#VALUE!</v>
      </c>
      <c r="B24280" s="0" t="s">
        <v>24105</v>
      </c>
    </row>
    <row r="24281" customFormat="false" ht="15" hidden="false" customHeight="false" outlineLevel="0" collapsed="false">
      <c r="A24281" s="0" t="e">
        <f aca="false">INDEX(_xlfn.ORG.LIBREOFFICE.FOURIER(Data!C1:C4,FALSE(),FALSE(),TRUE(),1),2,2)</f>
        <v>#VALUE!</v>
      </c>
      <c r="B24281" s="0" t="s">
        <v>24106</v>
      </c>
    </row>
    <row r="24282" customFormat="false" ht="15" hidden="false" customHeight="false" outlineLevel="0" collapsed="false">
      <c r="A24282" s="0" t="e">
        <f aca="false">INDEX(_xlfn.ORG.LIBREOFFICE.FOURIER(Data!C1:C4,FALSE(),FALSE(),TRUE(),1),3,2)</f>
        <v>#VALUE!</v>
      </c>
      <c r="B24282" s="0" t="s">
        <v>24107</v>
      </c>
    </row>
    <row r="24283" customFormat="false" ht="15" hidden="false" customHeight="false" outlineLevel="0" collapsed="false">
      <c r="A24283" s="0" t="e">
        <f aca="false">INDEX(_xlfn.ORG.LIBREOFFICE.FOURIER(Data!C1:C4,FALSE(),FALSE(),TRUE(),1),ROWS(_xlfn.ORG.LIBREOFFICE.FOURIER(Data!C1:C4,FALSE(),FALSE(),TRUE(),1)),1)</f>
        <v>#VALUE!</v>
      </c>
      <c r="B24283" s="0" t="s">
        <v>24108</v>
      </c>
    </row>
    <row r="24284" customFormat="false" ht="15" hidden="false" customHeight="false" outlineLevel="0" collapsed="false">
      <c r="A24284" s="0" t="e">
        <f aca="false">INDEX(_xlfn.ORG.LIBREOFFICE.FOURIER(Data!C1:C4,FALSE(),FALSE(),TRUE(),1),ROWS(_xlfn.ORG.LIBREOFFICE.FOURIER(Data!C1:C4,FALSE(),FALSE(),TRUE(),1)),2)</f>
        <v>#VALUE!</v>
      </c>
      <c r="B24284" s="0" t="s">
        <v>24109</v>
      </c>
    </row>
    <row r="24285" customFormat="false" ht="15" hidden="false" customHeight="false" outlineLevel="0" collapsed="false">
      <c r="A24285" s="0" t="e">
        <f aca="false">SUM(_xlfn.ORG.LIBREOFFICE.FOURIER(Data!C1:C4,FALSE(),TRUE(),TRUE(),5))</f>
        <v>#VALUE!</v>
      </c>
      <c r="B24285" s="0" t="s">
        <v>24110</v>
      </c>
    </row>
    <row r="24286" customFormat="false" ht="15" hidden="false" customHeight="false" outlineLevel="0" collapsed="false">
      <c r="A24286" s="0" t="e">
        <f aca="false">INDEX(_xlfn.ORG.LIBREOFFICE.FOURIER(Data!C1:C4,FALSE(),TRUE(),TRUE(),5),1,1)</f>
        <v>#VALUE!</v>
      </c>
      <c r="B24286" s="0" t="s">
        <v>24111</v>
      </c>
    </row>
    <row r="24287" customFormat="false" ht="15" hidden="false" customHeight="false" outlineLevel="0" collapsed="false">
      <c r="A24287" s="0" t="e">
        <f aca="false">INDEX(_xlfn.ORG.LIBREOFFICE.FOURIER(Data!C1:C4,FALSE(),TRUE(),TRUE(),5),2,1)</f>
        <v>#VALUE!</v>
      </c>
      <c r="B24287" s="0" t="s">
        <v>24112</v>
      </c>
    </row>
    <row r="24288" customFormat="false" ht="15" hidden="false" customHeight="false" outlineLevel="0" collapsed="false">
      <c r="A24288" s="0" t="e">
        <f aca="false">INDEX(_xlfn.ORG.LIBREOFFICE.FOURIER(Data!C1:C4,FALSE(),TRUE(),TRUE(),5),2,2)</f>
        <v>#VALUE!</v>
      </c>
      <c r="B24288" s="0" t="s">
        <v>24113</v>
      </c>
    </row>
    <row r="24289" customFormat="false" ht="15" hidden="false" customHeight="false" outlineLevel="0" collapsed="false">
      <c r="A24289" s="0" t="e">
        <f aca="false">INDEX(_xlfn.ORG.LIBREOFFICE.FOURIER(Data!C1:C4,FALSE(),TRUE(),TRUE(),5),3,2)</f>
        <v>#VALUE!</v>
      </c>
      <c r="B24289" s="0" t="s">
        <v>24114</v>
      </c>
    </row>
    <row r="24290" customFormat="false" ht="15" hidden="false" customHeight="false" outlineLevel="0" collapsed="false">
      <c r="A24290" s="0" t="e">
        <f aca="false">INDEX(_xlfn.ORG.LIBREOFFICE.FOURIER(Data!C1:C4,FALSE(),TRUE(),TRUE(),5),ROWS(_xlfn.ORG.LIBREOFFICE.FOURIER(Data!C1:C4,FALSE(),TRUE(),TRUE(),5)),1)</f>
        <v>#VALUE!</v>
      </c>
      <c r="B24290" s="0" t="s">
        <v>24115</v>
      </c>
    </row>
    <row r="24291" customFormat="false" ht="15" hidden="false" customHeight="false" outlineLevel="0" collapsed="false">
      <c r="A24291" s="0" t="e">
        <f aca="false">INDEX(_xlfn.ORG.LIBREOFFICE.FOURIER(Data!C1:C4,FALSE(),TRUE(),TRUE(),5),ROWS(_xlfn.ORG.LIBREOFFICE.FOURIER(Data!C1:C4,FALSE(),TRUE(),TRUE(),5)),2)</f>
        <v>#VALUE!</v>
      </c>
      <c r="B24291" s="0" t="s">
        <v>24116</v>
      </c>
    </row>
    <row r="24292" customFormat="false" ht="15" hidden="false" customHeight="false" outlineLevel="0" collapsed="false">
      <c r="A24292" s="0" t="e">
        <f aca="false">_xlfn.ORG.LIBREOFFICE.FOURIER(Data!Z1:Z4,TRUE())</f>
        <v>#VALUE!</v>
      </c>
      <c r="B24292" s="0" t="s">
        <v>24117</v>
      </c>
    </row>
    <row r="24293" customFormat="false" ht="15" hidden="false" customHeight="false" outlineLevel="0" collapsed="false">
      <c r="A24293" s="0" t="e">
        <f aca="false">SUM(_xlfn.ORG.LIBREOFFICE.FOURIER(Data!Z1:Z4,TRUE()))</f>
        <v>#VALUE!</v>
      </c>
      <c r="B24293" s="0" t="s">
        <v>24118</v>
      </c>
    </row>
    <row r="24294" customFormat="false" ht="15" hidden="false" customHeight="false" outlineLevel="0" collapsed="false">
      <c r="A24294" s="0" t="e">
        <f aca="false">SUM(_xlfn.ORG.LIBREOFFICE.FOURIER(Data!B1:B4,TRUE()))</f>
        <v>#VALUE!</v>
      </c>
      <c r="B24294" s="0" t="s">
        <v>24119</v>
      </c>
    </row>
    <row r="24295" customFormat="false" ht="15" hidden="false" customHeight="false" outlineLevel="0" collapsed="false">
      <c r="A24295" s="0" t="e">
        <f aca="false">SUM(_xlfn.ORG.LIBREOFFICE.FOURIER({1;"a";3;4},TRUE()))</f>
        <v>#VALUE!</v>
      </c>
      <c r="B24295" s="0" t="s">
        <v>24120</v>
      </c>
    </row>
    <row r="24296" customFormat="false" ht="15" hidden="false" customHeight="false" outlineLevel="0" collapsed="false">
      <c r="A24296" s="0" t="e">
        <f aca="false">SUM(_xlfn.ORG.LIBREOFFICE.FOURIER(1/0,TRUE()))</f>
        <v>#DIV/0!</v>
      </c>
      <c r="B24296" s="0" t="s">
        <v>24121</v>
      </c>
    </row>
    <row r="24297" customFormat="false" ht="15" hidden="false" customHeight="false" outlineLevel="0" collapsed="false">
      <c r="A24297" s="0" t="e">
        <f aca="false">SUM(_xlfn.ORG.LIBREOFFICE.FOURIER({1;2;#N/A;4},TRUE()))</f>
        <v>#N/A</v>
      </c>
      <c r="B24297" s="0" t="s">
        <v>24122</v>
      </c>
    </row>
    <row r="24298" customFormat="false" ht="15" hidden="false" customHeight="false" outlineLevel="0" collapsed="false">
      <c r="A24298" s="0" t="e">
        <f aca="false">SUM(_xlfn.ORG.LIBREOFFICE.FOURIER({1;2;""},TRUE()))</f>
        <v>#VALUE!</v>
      </c>
      <c r="B24298" s="0" t="s">
        <v>24123</v>
      </c>
    </row>
    <row r="24299" customFormat="false" ht="15" hidden="false" customHeight="false" outlineLevel="0" collapsed="false">
      <c r="A24299" s="0" t="n">
        <f aca="false">SUM(_xlfn.ORG.LIBREOFFICE.FOURIER({1;2;3},TRUE(),FALSE(),TRUE(),"x"))</f>
        <v>9.46410161513776</v>
      </c>
      <c r="B24299" s="0" t="s">
        <v>24124</v>
      </c>
    </row>
    <row r="24300" customFormat="false" ht="15" hidden="false" customHeight="false" outlineLevel="0" collapsed="false">
      <c r="A24300" s="0" t="n">
        <f aca="false">SUM(_xlfn.ORG.LIBREOFFICE.FOURIER({1;2;3},TRUE(),"x"))</f>
        <v>3</v>
      </c>
      <c r="B24300" s="0" t="s">
        <v>24125</v>
      </c>
    </row>
    <row r="24301" customFormat="false" ht="15" hidden="false" customHeight="false" outlineLevel="0" collapsed="false">
      <c r="A24301" s="0" t="n">
        <f aca="false">SUM(_xlfn.ORG.LIBREOFFICE.FOURIER({1;2;3},TRUE(),"1"))</f>
        <v>1</v>
      </c>
      <c r="B24301" s="0" t="s">
        <v>24126</v>
      </c>
    </row>
    <row r="24302" customFormat="false" ht="15" hidden="false" customHeight="false" outlineLevel="0" collapsed="false">
      <c r="A24302" s="0" t="n">
        <f aca="false">SUM(_xlfn.ORG.LIBREOFFICE.FOURIER({1;2;3},TRUE(),FALSE(),"x"))</f>
        <v>3</v>
      </c>
      <c r="B24302" s="0" t="s">
        <v>24127</v>
      </c>
    </row>
    <row r="24303" customFormat="false" ht="15" hidden="false" customHeight="false" outlineLevel="0" collapsed="false">
      <c r="A24303" s="0" t="e">
        <f aca="false">SUM(_xlfn.ORG.LIBREOFFICE.FOURIER({1;2;3},"x"))</f>
        <v>#VALUE!</v>
      </c>
      <c r="B24303" s="0" t="s">
        <v>24128</v>
      </c>
    </row>
    <row r="24304" customFormat="false" ht="15" hidden="false" customHeight="false" outlineLevel="0" collapsed="false">
      <c r="A24304" s="0" t="n">
        <f aca="false">SUM(_xlfn.ORG.LIBREOFFICE.FOURIER({1;2;3},"1"))</f>
        <v>3</v>
      </c>
      <c r="B24304" s="0" t="s">
        <v>24129</v>
      </c>
    </row>
    <row r="24305" customFormat="false" ht="15" hidden="false" customHeight="false" outlineLevel="0" collapsed="false">
      <c r="A24305" s="0" t="e">
        <f aca="false">SUM(_xlfn.ORG.LIBREOFFICE.FOURIER({1;2;3},TRUE(),1/0))</f>
        <v>#DIV/0!</v>
      </c>
      <c r="B24305" s="0" t="s">
        <v>24130</v>
      </c>
    </row>
    <row r="24306" customFormat="false" ht="15" hidden="false" customHeight="false" outlineLevel="0" collapsed="false">
      <c r="A24306" s="0" t="e">
        <f aca="false">SUM(_xlfn.ORG.LIBREOFFICE.FOURIER({1;2;3},1/0))</f>
        <v>#DIV/0!</v>
      </c>
      <c r="B24306" s="0" t="s">
        <v>24131</v>
      </c>
    </row>
    <row r="24307" customFormat="false" ht="15" hidden="false" customHeight="false" outlineLevel="0" collapsed="false">
      <c r="A24307" s="0" t="e">
        <f aca="false">SUM(_xlfn.ORG.LIBREOFFICE.FOURIER({1;2;3},TRUE(),FALSE(),TRUE(),1/0))</f>
        <v>#DIV/0!</v>
      </c>
      <c r="B24307" s="0" t="s">
        <v>24132</v>
      </c>
    </row>
    <row r="24308" customFormat="false" ht="15" hidden="false" customHeight="false" outlineLevel="0" collapsed="false">
      <c r="A24308" s="0" t="e">
        <f aca="false">SUM(_xlfn.ORG.LIBREOFFICE.FOURIER({1;2;3},TRUE(),NA(),TRUE(),1/0))</f>
        <v>#N/A</v>
      </c>
      <c r="B24308" s="0" t="s">
        <v>24133</v>
      </c>
    </row>
    <row r="24309" customFormat="false" ht="15" hidden="false" customHeight="false" outlineLevel="0" collapsed="false">
      <c r="A24309" s="0" t="e">
        <f aca="false">SUM(_xlfn.ORG.LIBREOFFICE.FOURIER(1/0,TRUE(),NA()))</f>
        <v>#DIV/0!</v>
      </c>
      <c r="B24309" s="0" t="s">
        <v>24134</v>
      </c>
    </row>
    <row r="24310" customFormat="false" ht="15" hidden="false" customHeight="false" outlineLevel="0" collapsed="false">
      <c r="A24310" s="0" t="n">
        <f aca="false">SUM(_xlfn.ORG.LIBREOFFICE.FOURIER({1;2;3},TRUE(),FALSE(),TRUE(),-1))</f>
        <v>9.46410161513776</v>
      </c>
      <c r="B24310" s="0" t="s">
        <v>24135</v>
      </c>
    </row>
    <row r="24311" customFormat="false" ht="15" hidden="false" customHeight="false" outlineLevel="0" collapsed="false">
      <c r="A24311" s="0" t="n">
        <f aca="false">SUM(_xlfn.ORG.LIBREOFFICE.FOURIER({1;2;3},TRUE(),FALSE(),TRUE(),1.5))</f>
        <v>9.46410161513776</v>
      </c>
      <c r="B24311" s="0" t="s">
        <v>24136</v>
      </c>
    </row>
    <row r="24312" customFormat="false" ht="15" hidden="false" customHeight="false" outlineLevel="0" collapsed="false">
      <c r="A24312" s="0" t="n">
        <f aca="false">SUM(_xlfn.ORG.LIBREOFFICE.FOURIER({1;2;3},TRUE(),FALSE(),TRUE(),2))</f>
        <v>6</v>
      </c>
      <c r="B24312" s="0" t="s">
        <v>24137</v>
      </c>
    </row>
    <row r="24313" customFormat="false" ht="15" hidden="false" customHeight="false" outlineLevel="0" collapsed="false">
      <c r="A24313" s="0" t="n">
        <f aca="false">SUM(_xlfn.ORG.LIBREOFFICE.FOURIER(Data!A1:A3,2))</f>
        <v>15</v>
      </c>
      <c r="B24313" s="0" t="s">
        <v>24138</v>
      </c>
    </row>
    <row r="24314" customFormat="false" ht="15" hidden="false" customHeight="false" outlineLevel="0" collapsed="false">
      <c r="A24314" s="0" t="e">
        <f aca="false">SUM(_xlfn.ORG.LIBREOFFICE.FOURIER(Data!A1:C3,TRUE()))</f>
        <v>#VALUE!</v>
      </c>
      <c r="B24314" s="0" t="s">
        <v>24139</v>
      </c>
    </row>
    <row r="24315" customFormat="false" ht="15" hidden="false" customHeight="false" outlineLevel="0" collapsed="false">
      <c r="A24315" s="0" t="e">
        <f aca="false">SUM(_xlfn.ORG.LIBREOFFICE.FOURIER(Data!A1:A5,FALSE()))</f>
        <v>#VALUE!</v>
      </c>
      <c r="B24315" s="0" t="s">
        <v>21699</v>
      </c>
    </row>
    <row r="24316" customFormat="false" ht="15" hidden="false" customHeight="false" outlineLevel="0" collapsed="false">
      <c r="A24316" s="0" t="e">
        <f aca="false">SUM(_xlfn.ORG.LIBREOFFICE.FOURIER(Data!A1:C1,FALSE()))</f>
        <v>#VALUE!</v>
      </c>
      <c r="B24316" s="0" t="s">
        <v>24140</v>
      </c>
    </row>
    <row r="24317" customFormat="false" ht="15" hidden="false" customHeight="false" outlineLevel="0" collapsed="false">
      <c r="A24317" s="0" t="n">
        <f aca="false">SUM(_xlfn.ORG.LIBREOFFICE.FOURIER({-92.70002;76;35;43;-95.16;-9.99;-80.93616;20;3.26},TRUE(),TRUE(),TRUE()))</f>
        <v>175.026817505723</v>
      </c>
      <c r="B24317" s="0" t="s">
        <v>24141</v>
      </c>
    </row>
    <row r="24318" customFormat="false" ht="15" hidden="false" customHeight="false" outlineLevel="0" collapsed="false">
      <c r="A24318" s="0" t="n">
        <f aca="false">INDEX(_xlfn.ORG.LIBREOFFICE.FOURIER({-92.70002;76;35;43;-95.16;-9.99;-80.93616;20;3.26},TRUE(),TRUE(),TRUE()),4,1)</f>
        <v>16.3468509538855</v>
      </c>
      <c r="B24318" s="0" t="s">
        <v>24142</v>
      </c>
    </row>
    <row r="24319" customFormat="false" ht="15" hidden="false" customHeight="false" outlineLevel="0" collapsed="false">
      <c r="A24319" s="0" t="n">
        <f aca="false">INDEX(_xlfn.ORG.LIBREOFFICE.FOURIER(TRANSPOSE({-92.70002;76;35;43;-95.16;-9.99;-80.93616;20;3.26}),FALSE(),TRUE(),TRUE()),1,1)</f>
        <v>11.2806866666667</v>
      </c>
      <c r="B24319" s="0" t="s">
        <v>24143</v>
      </c>
    </row>
    <row r="24320" customFormat="false" ht="15" hidden="false" customHeight="false" outlineLevel="0" collapsed="false">
      <c r="A24320" s="0" t="n">
        <f aca="false">INDEX(_xlfn.ORG.LIBREOFFICE.FOURIER({-70.18,-46.47;40.01,59.79;31.79,66.21;-56.95,54.17;-71.71,70.85;-86.82,-71.79;-18.46,-11.37;-80.01,62.1;16.71,-7.64},TRUE(),TRUE(),TRUE()),5,2)</f>
        <v>-2.1572707050863</v>
      </c>
      <c r="B24320" s="0" t="s">
        <v>24144</v>
      </c>
    </row>
    <row r="24321" customFormat="false" ht="15" hidden="false" customHeight="false" outlineLevel="0" collapsed="false">
      <c r="A24321" s="0" t="n">
        <f aca="false">SUM(_xlfn.ORG.LIBREOFFICE.FOURIER({-25;66.53;43.74;-87.31;-40.92;-88.16283;-76;-26;92;50.44714;-11.38052;85.86553;-37.99;-88.73859;74.18;-67.54317;-40.3999;-83.5;-10;51.80003;-9.53256;-55.21;-80.3428;-39.69506;-99.30359;99.57;-89.64236;-44.62;92.45;-26.06;72.67;-25.65},TRUE(),TRUE(),TRUE()))</f>
        <v>342.082474443095</v>
      </c>
      <c r="B24321" s="0" t="s">
        <v>24145</v>
      </c>
    </row>
    <row r="24322" customFormat="false" ht="15" hidden="false" customHeight="false" outlineLevel="0" collapsed="false">
      <c r="A24322" s="0" t="n">
        <f aca="false">INDEX(_xlfn.ORG.LIBREOFFICE.FOURIER({-25;66.53;43.74;-87.31;-40.92;-88.16283;-76;-26;92;50.44714;-11.38052;85.86553;-37.99;-88.73859;74.18;-67.54317;-40.3999;-83.5;-10;51.80003;-9.53256;-55.21;-80.3428;-39.69506;-99.30359;99.57;-89.64236;-44.62;92.45;-26.06;72.67;-25.65},TRUE(),TRUE(),TRUE()),3,2)</f>
        <v>-1.42906388405185</v>
      </c>
      <c r="B24322" s="0" t="s">
        <v>24146</v>
      </c>
    </row>
    <row r="24323" customFormat="false" ht="15" hidden="false" customHeight="false" outlineLevel="0" collapsed="false">
      <c r="A24323" s="0" t="n">
        <f aca="false">INDEX(_xlfn.ORG.LIBREOFFICE.FOURIER(TRANSPOSE({-25;66.53;43.74;-87.31;-40.92;-88.16283;-76;-26;92;50.44714;-11.38052;85.86553;-37.99;-88.73859;74.18;-67.54317;-40.3999;-83.5;-10;51.80003;-9.53256;-55.21;-80.3428;-39.69506;-99.30359;99.57;-89.64236;-44.62;92.45;-26.06;72.67;-25.65}),FALSE(),TRUE(),TRUE()),10,2)</f>
        <v>1.04343101290824</v>
      </c>
      <c r="B24323" s="0" t="s">
        <v>24147</v>
      </c>
    </row>
    <row r="24324" customFormat="false" ht="15" hidden="false" customHeight="false" outlineLevel="0" collapsed="false">
      <c r="A24324" s="0" t="n">
        <f aca="false">INDEX(_xlfn.ORG.LIBREOFFICE.FOURIER({-48.66,-59.58;42.94,-16.13;-17.59,-43.13;9.31,28.06;-36.07,-38.7;-55.51,-6.36;-57.64,-92.22;-47.67,60.51;-72.16,-81.65;-19.55,97.58;-33.47,34.31;81.33,85.25;-8.41,-55.77;-61.61,29.57;-7.73,71.49;53.28,-78.77;-17.97,63.2;60.37,-69.71;-31.35,-46.04;89.29,-14.49;69.46,-68.35;99.22,49.04;-65.45,-59.99;-29.07,-57.48;-82.5,17.11;-57.95,49.21;51.66,25.78;-82.78,-11.99;-98.24,-49.11;14.01,68.44;34.42,73.53;-43.45,-91.31},TRUE(),TRUE(),TRUE()),8,2)</f>
        <v>-2.83191593917988</v>
      </c>
      <c r="B24324" s="0" t="s">
        <v>24148</v>
      </c>
    </row>
    <row r="24325" customFormat="false" ht="15" hidden="false" customHeight="false" outlineLevel="0" collapsed="false">
      <c r="A24325" s="0" t="n">
        <f aca="false">SUM(_xlfn.ORG.LIBREOFFICE.FOURIER({23;-80.70105;-49.64;-61;-8.65762;-68;-19.27;-53.15673;45;-63.60242},TRUE(),FALSE(),TRUE(),1))</f>
        <v>1330.74158302381</v>
      </c>
      <c r="B24325" s="0" t="s">
        <v>24149</v>
      </c>
    </row>
    <row r="24326" customFormat="false" ht="15" hidden="false" customHeight="false" outlineLevel="0" collapsed="false">
      <c r="A24326" s="0" t="n">
        <f aca="false">INDEX(_xlfn.ORG.LIBREOFFICE.FOURIER({23;-80.70105;-49.64;-61;-8.65762;-68;-19.27;-53.15673;45;-63.60242},TRUE(),FALSE(),TRUE(),1),2,2)</f>
        <v>1.27654719853286</v>
      </c>
      <c r="B24326" s="0" t="s">
        <v>24150</v>
      </c>
    </row>
    <row r="24327" customFormat="false" ht="15" hidden="false" customHeight="false" outlineLevel="0" collapsed="false">
      <c r="A24327" s="0" t="n">
        <f aca="false">INDEX(_xlfn.ORG.LIBREOFFICE.FOURIER(TRANSPOSE({23;-80.70105;-49.64;-61;-8.65762;-68;-19.27;-53.15673;45;-63.60242}),FALSE(),FALSE(),TRUE(),1),9,2)</f>
        <v>-1.59810877841159</v>
      </c>
      <c r="B24327" s="0" t="s">
        <v>24151</v>
      </c>
    </row>
    <row r="24328" customFormat="false" ht="15" hidden="false" customHeight="false" outlineLevel="0" collapsed="false">
      <c r="A24328" s="0" t="n">
        <f aca="false">INDEX(_xlfn.ORG.LIBREOFFICE.FOURIER({-4.95,64.28;-50.12,18.91;94.41,13.5;60.14,41.46;82.26,-8.75;-94.38,-55.5;33.41,19.31;17.19,-32.89;69.5,91.99;16.74,79.11},TRUE(),FALSE(),TRUE(),1),2,2)</f>
        <v>1.91774607784154</v>
      </c>
      <c r="B24328" s="0" t="s">
        <v>24152</v>
      </c>
    </row>
    <row r="24329" customFormat="false" ht="15" hidden="false" customHeight="false" outlineLevel="0" collapsed="false">
      <c r="A24329" s="0" t="n">
        <f aca="false">SUM(_xlfn.ORG.LIBREOFFICE.FOURIER({60;-97;97.47;50.34;-42},TRUE(),TRUE()))</f>
        <v>60</v>
      </c>
      <c r="B24329" s="0" t="s">
        <v>24153</v>
      </c>
    </row>
    <row r="24330" customFormat="false" ht="15" hidden="false" customHeight="false" outlineLevel="0" collapsed="false">
      <c r="A24330" s="0" t="n">
        <f aca="false">INDEX(_xlfn.ORG.LIBREOFFICE.FOURIER({60;-97;97.47;50.34;-42},TRUE(),TRUE()),4,2)</f>
        <v>15.4302964978153</v>
      </c>
      <c r="B24330" s="0" t="s">
        <v>24154</v>
      </c>
    </row>
    <row r="24331" customFormat="false" ht="15" hidden="false" customHeight="false" outlineLevel="0" collapsed="false">
      <c r="A24331" s="0" t="n">
        <f aca="false">INDEX(_xlfn.ORG.LIBREOFFICE.FOURIER(TRANSPOSE({60;-97;97.47;50.34;-42}),FALSE(),TRUE()),3,1)</f>
        <v>43.6258328313357</v>
      </c>
      <c r="B24331" s="0" t="s">
        <v>24155</v>
      </c>
    </row>
    <row r="24332" customFormat="false" ht="15" hidden="false" customHeight="false" outlineLevel="0" collapsed="false">
      <c r="A24332" s="0" t="n">
        <f aca="false">INDEX(_xlfn.ORG.LIBREOFFICE.FOURIER({16.1,6.51;7.17,-30.11;77.74,-19.37;-65.02,-1.67;19.23,0.16},TRUE(),TRUE()),1,1)</f>
        <v>11.044</v>
      </c>
      <c r="B24332" s="0" t="s">
        <v>24156</v>
      </c>
    </row>
    <row r="24333" customFormat="false" ht="15" hidden="false" customHeight="false" outlineLevel="0" collapsed="false">
      <c r="A24333" s="0" t="n">
        <f aca="false">SUM(_xlfn.ORG.LIBREOFFICE.FOURIER({82;14.32198;34.45688;79.69814;-90.82;-37.00577;60;-100;-88.55;97.61;-14.68953;-86.19698;42;29.3;30.95;-1.42;93},TRUE(),TRUE(),TRUE()))</f>
        <v>212.187866030729</v>
      </c>
      <c r="B24333" s="0" t="s">
        <v>24157</v>
      </c>
    </row>
    <row r="24334" customFormat="false" ht="15" hidden="false" customHeight="false" outlineLevel="0" collapsed="false">
      <c r="A24334" s="0" t="n">
        <f aca="false">INDEX(_xlfn.ORG.LIBREOFFICE.FOURIER({82;14.32198;34.45688;79.69814;-90.82;-37.00577;60;-100;-88.55;97.61;-14.68953;-86.19698;42;29.3;30.95;-1.42;93},TRUE(),TRUE(),TRUE()),12,2)</f>
        <v>-0.615994022737122</v>
      </c>
      <c r="B24334" s="0" t="s">
        <v>24158</v>
      </c>
    </row>
    <row r="24335" customFormat="false" ht="15" hidden="false" customHeight="false" outlineLevel="0" collapsed="false">
      <c r="A24335" s="0" t="n">
        <f aca="false">INDEX(_xlfn.ORG.LIBREOFFICE.FOURIER(TRANSPOSE({82;14.32198;34.45688;79.69814;-90.82;-37.00577;60;-100;-88.55;97.61;-14.68953;-86.19698;42;29.3;30.95;-1.42;93}),FALSE(),TRUE(),TRUE()),2,1)</f>
        <v>21.9153400452629</v>
      </c>
      <c r="B24335" s="0" t="s">
        <v>24159</v>
      </c>
    </row>
    <row r="24336" customFormat="false" ht="15" hidden="false" customHeight="false" outlineLevel="0" collapsed="false">
      <c r="A24336" s="0" t="n">
        <f aca="false">INDEX(_xlfn.ORG.LIBREOFFICE.FOURIER({-23.2,-47.77;-7.31,-12.76;94.45,-53.88;79.79,-92.06;-4.04,-16.27;-56.81,-93.39;80.57,24.2;-63.09,26.16;-51.52,82.91;-53.75,33.95;-74.66,63.46;-46.21,-47.05;56.26,-13.79;-95.41,-69.92;92.48,80.16;0.2,-42.83;-81.56,-69.77},TRUE(),TRUE(),TRUE()),11,2)</f>
        <v>1.9412767784793</v>
      </c>
      <c r="B24336" s="0" t="s">
        <v>24160</v>
      </c>
    </row>
    <row r="24337" customFormat="false" ht="15" hidden="false" customHeight="false" outlineLevel="0" collapsed="false">
      <c r="A24337" s="0" t="n">
        <f aca="false">SUM(_xlfn.ORG.LIBREOFFICE.FOURIER({-57;86.09;-7.55155;58;39.49},TRUE(),TRUE(),TRUE(),10))</f>
        <v>115.053459264759</v>
      </c>
      <c r="B24337" s="0" t="s">
        <v>24161</v>
      </c>
    </row>
    <row r="24338" customFormat="false" ht="15" hidden="false" customHeight="false" outlineLevel="0" collapsed="false">
      <c r="A24338" s="0" t="n">
        <f aca="false">INDEX(_xlfn.ORG.LIBREOFFICE.FOURIER({-57;86.09;-7.55155;58;39.49},TRUE(),TRUE(),TRUE(),10),3,2)</f>
        <v>2.58121177547519</v>
      </c>
      <c r="B24338" s="0" t="s">
        <v>24162</v>
      </c>
    </row>
    <row r="24339" customFormat="false" ht="15" hidden="false" customHeight="false" outlineLevel="0" collapsed="false">
      <c r="A24339" s="0" t="n">
        <f aca="false">INDEX(_xlfn.ORG.LIBREOFFICE.FOURIER(TRANSPOSE({-57;86.09;-7.55155;58;39.49}),FALSE(),TRUE(),TRUE(),10),4,2)</f>
        <v>-2.58121177547519</v>
      </c>
      <c r="B24339" s="0" t="s">
        <v>24163</v>
      </c>
    </row>
    <row r="24340" customFormat="false" ht="15" hidden="false" customHeight="false" outlineLevel="0" collapsed="false">
      <c r="A24340" s="0" t="n">
        <f aca="false">INDEX(_xlfn.ORG.LIBREOFFICE.FOURIER({-83.23,-2.22;91.73,49.65;-39.68,78.26;-86.56,-54.9;-85.64,99.16},TRUE(),TRUE(),TRUE(),10),3,1)</f>
        <v>12.5243528316901</v>
      </c>
      <c r="B24340" s="0" t="s">
        <v>24164</v>
      </c>
    </row>
    <row r="24341" customFormat="false" ht="15" hidden="false" customHeight="false" outlineLevel="0" collapsed="false">
      <c r="A24341" s="0" t="n">
        <f aca="false">SUM(_xlfn.ORG.LIBREOFFICE.FOURIER({-49.79;-48.01881;-36;-12.74892;-83;98.98;-96},TRUE(),TRUE(),TRUE(),10))</f>
        <v>165.284656497537</v>
      </c>
      <c r="B24341" s="0" t="s">
        <v>24165</v>
      </c>
    </row>
    <row r="24342" customFormat="false" ht="15" hidden="false" customHeight="false" outlineLevel="0" collapsed="false">
      <c r="A24342" s="0" t="n">
        <f aca="false">INDEX(_xlfn.ORG.LIBREOFFICE.FOURIER({-49.79;-48.01881;-36;-12.74892;-83;98.98;-96},TRUE(),TRUE(),TRUE(),10),6,2)</f>
        <v>-2.78216739405005</v>
      </c>
      <c r="B24342" s="0" t="s">
        <v>24166</v>
      </c>
    </row>
    <row r="24343" customFormat="false" ht="15" hidden="false" customHeight="false" outlineLevel="0" collapsed="false">
      <c r="A24343" s="0" t="n">
        <f aca="false">INDEX(_xlfn.ORG.LIBREOFFICE.FOURIER(TRANSPOSE({-49.79;-48.01881;-36;-12.74892;-83;98.98;-96}),FALSE(),TRUE(),TRUE(),10),1,1)</f>
        <v>32.3682471428571</v>
      </c>
      <c r="B24343" s="0" t="s">
        <v>24167</v>
      </c>
    </row>
    <row r="24344" customFormat="false" ht="15" hidden="false" customHeight="false" outlineLevel="0" collapsed="false">
      <c r="A24344" s="0" t="n">
        <f aca="false">INDEX(_xlfn.ORG.LIBREOFFICE.FOURIER({-41.49,-54.21;93.23,60.74;-6.43,-77.9;90.77,63.02;-48.36,34.19;-52.93,-91.21;62.91,58.4},TRUE(),TRUE(),TRUE(),10),4,2)</f>
        <v>-2.52264519191144</v>
      </c>
      <c r="B24344" s="0" t="s">
        <v>24168</v>
      </c>
    </row>
    <row r="24345" customFormat="false" ht="15" hidden="false" customHeight="false" outlineLevel="0" collapsed="false">
      <c r="A24345" s="0" t="n">
        <f aca="false">SUM(_xlfn.ORG.LIBREOFFICE.FOURIER({29.15529;-77;74.18418;-80.14984;-54;89},TRUE(),TRUE(),TRUE(),10))</f>
        <v>150.407465740612</v>
      </c>
      <c r="B24345" s="0" t="s">
        <v>24169</v>
      </c>
    </row>
    <row r="24346" customFormat="false" ht="15" hidden="false" customHeight="false" outlineLevel="0" collapsed="false">
      <c r="A24346" s="0" t="n">
        <f aca="false">INDEX(_xlfn.ORG.LIBREOFFICE.FOURIER({29.15529;-77;74.18418;-80.14984;-54;89},TRUE(),TRUE(),TRUE(),10),6,1)</f>
        <v>18.3653591244691</v>
      </c>
      <c r="B24346" s="0" t="s">
        <v>24170</v>
      </c>
    </row>
    <row r="24347" customFormat="false" ht="15" hidden="false" customHeight="false" outlineLevel="0" collapsed="false">
      <c r="A24347" s="0" t="n">
        <f aca="false">INDEX(_xlfn.ORG.LIBREOFFICE.FOURIER(TRANSPOSE({29.15529;-77;74.18418;-80.14984;-54;89}),FALSE(),TRUE(),TRUE(),10),6,1)</f>
        <v>18.3653591244691</v>
      </c>
      <c r="B24347" s="0" t="s">
        <v>24171</v>
      </c>
    </row>
    <row r="24348" customFormat="false" ht="15" hidden="false" customHeight="false" outlineLevel="0" collapsed="false">
      <c r="A24348" s="0" t="n">
        <f aca="false">INDEX(_xlfn.ORG.LIBREOFFICE.FOURIER({-22.3,-32.83;-2.17,52.89;-22.73,-99.07;94.67,-48.52;-23.48,74.84;16.21,-44.88},TRUE(),TRUE(),TRUE(),10),3,1)</f>
        <v>28.6857557195955</v>
      </c>
      <c r="B24348" s="0" t="s">
        <v>24172</v>
      </c>
    </row>
    <row r="24349" customFormat="false" ht="15" hidden="false" customHeight="false" outlineLevel="0" collapsed="false">
      <c r="A24349" s="0" t="n">
        <f aca="false">SUM(_xlfn.ORG.LIBREOFFICE.FOURIER({43.89;-9.28},TRUE(),TRUE(),TRUE()))</f>
        <v>43.89</v>
      </c>
      <c r="B24349" s="0" t="s">
        <v>24173</v>
      </c>
    </row>
    <row r="24350" customFormat="false" ht="15" hidden="false" customHeight="false" outlineLevel="0" collapsed="false">
      <c r="A24350" s="0" t="n">
        <f aca="false">INDEX(_xlfn.ORG.LIBREOFFICE.FOURIER({43.89;-9.28},TRUE(),TRUE(),TRUE()),1,1)</f>
        <v>17.305</v>
      </c>
      <c r="B24350" s="0" t="s">
        <v>24174</v>
      </c>
    </row>
    <row r="24351" customFormat="false" ht="15" hidden="false" customHeight="false" outlineLevel="0" collapsed="false">
      <c r="A24351" s="0" t="n">
        <f aca="false">INDEX(_xlfn.ORG.LIBREOFFICE.FOURIER(TRANSPOSE({43.89;-9.28}),FALSE(),TRUE(),TRUE()),1,2)</f>
        <v>0</v>
      </c>
      <c r="B24351" s="0" t="s">
        <v>24175</v>
      </c>
    </row>
    <row r="24352" customFormat="false" ht="15" hidden="false" customHeight="false" outlineLevel="0" collapsed="false">
      <c r="A24352" s="0" t="n">
        <f aca="false">INDEX(_xlfn.ORG.LIBREOFFICE.FOURIER({5.05,-32.77;86.87,63.79},TRUE(),TRUE(),TRUE()),2,1)</f>
        <v>63.2818022815406</v>
      </c>
      <c r="B24352" s="0" t="s">
        <v>24176</v>
      </c>
    </row>
    <row r="24353" customFormat="false" ht="15" hidden="false" customHeight="false" outlineLevel="0" collapsed="false">
      <c r="A24353" s="0" t="n">
        <f aca="false">SUM(_xlfn.ORG.LIBREOFFICE.FOURIER({-86;-68.21;-98.0582;-36.5;29.24;-85.3078;34.10927;33.81545},TRUE(),FALSE(),TRUE(),1))</f>
        <v>1374.98495641364</v>
      </c>
      <c r="B24353" s="0" t="s">
        <v>24177</v>
      </c>
    </row>
    <row r="24354" customFormat="false" ht="15" hidden="false" customHeight="false" outlineLevel="0" collapsed="false">
      <c r="A24354" s="0" t="n">
        <f aca="false">INDEX(_xlfn.ORG.LIBREOFFICE.FOURIER({-86;-68.21;-98.0582;-36.5;29.24;-85.3078;34.10927;33.81545},TRUE(),FALSE(),TRUE(),1),1,1)</f>
        <v>276.91128</v>
      </c>
      <c r="B24354" s="0" t="s">
        <v>24178</v>
      </c>
    </row>
    <row r="24355" customFormat="false" ht="15" hidden="false" customHeight="false" outlineLevel="0" collapsed="false">
      <c r="A24355" s="0" t="n">
        <f aca="false">INDEX(_xlfn.ORG.LIBREOFFICE.FOURIER(TRANSPOSE({-86;-68.21;-98.0582;-36.5;29.24;-85.3078;34.10927;33.81545}),FALSE(),FALSE(),TRUE(),1),8,1)</f>
        <v>178.005850102925</v>
      </c>
      <c r="B24355" s="0" t="s">
        <v>24179</v>
      </c>
    </row>
    <row r="24356" customFormat="false" ht="15" hidden="false" customHeight="false" outlineLevel="0" collapsed="false">
      <c r="A24356" s="0" t="n">
        <f aca="false">INDEX(_xlfn.ORG.LIBREOFFICE.FOURIER({-60.59,-36.22;-29.08,12.88;76.35,-62.36;-27.86,53.12;-44.62,97.11;-68.94,-0.23;40.91,-58.99;-49.68,-98.21},TRUE(),FALSE(),TRUE(),1),1,2)</f>
        <v>-2.62491327619619</v>
      </c>
      <c r="B24356" s="0" t="s">
        <v>24180</v>
      </c>
    </row>
    <row r="24357" customFormat="false" ht="15" hidden="false" customHeight="false" outlineLevel="0" collapsed="false">
      <c r="A24357" s="0" t="n">
        <f aca="false">SUM(_xlfn.ORG.LIBREOFFICE.FOURIER({-66.6;45;-100;46.68291;-29.78281;74.71489;-31.92;83.13743;-22},TRUE(),TRUE(),TRUE()))</f>
        <v>139.464382036457</v>
      </c>
      <c r="B24357" s="0" t="s">
        <v>24181</v>
      </c>
    </row>
    <row r="24358" customFormat="false" ht="15" hidden="false" customHeight="false" outlineLevel="0" collapsed="false">
      <c r="A24358" s="0" t="n">
        <f aca="false">INDEX(_xlfn.ORG.LIBREOFFICE.FOURIER({-66.6;45;-100;46.68291;-29.78281;74.71489;-31.92;83.13743;-22},TRUE(),TRUE(),TRUE()),3,2)</f>
        <v>3.01834133456839</v>
      </c>
      <c r="B24358" s="0" t="s">
        <v>24182</v>
      </c>
    </row>
    <row r="24359" customFormat="false" ht="15" hidden="false" customHeight="false" outlineLevel="0" collapsed="false">
      <c r="A24359" s="0" t="n">
        <f aca="false">INDEX(_xlfn.ORG.LIBREOFFICE.FOURIER(TRANSPOSE({-66.6;45;-100;46.68291;-29.78281;74.71489;-31.92;83.13743;-22}),FALSE(),TRUE(),TRUE()),4,1)</f>
        <v>16.4409157680115</v>
      </c>
      <c r="B24359" s="0" t="s">
        <v>24183</v>
      </c>
    </row>
    <row r="24360" customFormat="false" ht="15" hidden="false" customHeight="false" outlineLevel="0" collapsed="false">
      <c r="A24360" s="0" t="n">
        <f aca="false">INDEX(_xlfn.ORG.LIBREOFFICE.FOURIER({-49.3,4.14;-58.93,12.39;25.85,-36.34;-75.18,34.18;42,-67.01;-38.45,17.08;8.37,54.17;-81.15,-29.38;-47.48,-71.2},TRUE(),TRUE(),TRUE()),9,2)</f>
        <v>-2.38817371113398</v>
      </c>
      <c r="B24360" s="0" t="s">
        <v>24184</v>
      </c>
    </row>
    <row r="24361" customFormat="false" ht="15" hidden="false" customHeight="false" outlineLevel="0" collapsed="false">
      <c r="A24361" s="0" t="n">
        <f aca="false">SUM(_xlfn.ORG.LIBREOFFICE.FOURIER({-68.04031;-0.1;49.57693;-80.22;31.63;51.99;-31.89985;36.97;-76.13;-67.08688},TRUE(),TRUE(),TRUE()))</f>
        <v>171.288008205851</v>
      </c>
      <c r="B24361" s="0" t="s">
        <v>24185</v>
      </c>
    </row>
    <row r="24362" customFormat="false" ht="15" hidden="false" customHeight="false" outlineLevel="0" collapsed="false">
      <c r="A24362" s="0" t="n">
        <f aca="false">INDEX(_xlfn.ORG.LIBREOFFICE.FOURIER({-68.04031;-0.1;49.57693;-80.22;31.63;51.99;-31.89985;36.97;-76.13;-67.08688},TRUE(),TRUE(),TRUE()),3,1)</f>
        <v>14.7365128591001</v>
      </c>
      <c r="B24362" s="0" t="s">
        <v>24186</v>
      </c>
    </row>
    <row r="24363" customFormat="false" ht="15" hidden="false" customHeight="false" outlineLevel="0" collapsed="false">
      <c r="A24363" s="0" t="n">
        <f aca="false">INDEX(_xlfn.ORG.LIBREOFFICE.FOURIER(TRANSPOSE({-68.04031;-0.1;49.57693;-80.22;31.63;51.99;-31.89985;36.97;-76.13;-67.08688}),FALSE(),TRUE(),TRUE()),3,2)</f>
        <v>1.43756044291408</v>
      </c>
      <c r="B24363" s="0" t="s">
        <v>24187</v>
      </c>
    </row>
    <row r="24364" customFormat="false" ht="15" hidden="false" customHeight="false" outlineLevel="0" collapsed="false">
      <c r="A24364" s="0" t="n">
        <f aca="false">INDEX(_xlfn.ORG.LIBREOFFICE.FOURIER({1.01,-60.05;66.34,-18.98;-28.31,-83.97;-77.24,-11.89;89.76,-19.31;-22.64,46.9;49.46,-47.28;45.91,-24.35;60.78,91.58;-68.42,96.46},TRUE(),TRUE(),TRUE()),9,1)</f>
        <v>24.6720435862941</v>
      </c>
      <c r="B24364" s="0" t="s">
        <v>24188</v>
      </c>
    </row>
    <row r="24365" customFormat="false" ht="15" hidden="false" customHeight="false" outlineLevel="0" collapsed="false">
      <c r="A24365" s="0" t="n">
        <f aca="false">SUM(_xlfn.ORG.LIBREOFFICE.FOURIER({63.56174;-21;-79.24;9;26;-68;-89.98;-79.66;-21.07889;-93;-10.44154;85.77657;-64.32271;18.18;12.12919;84.48965;28.93364;46;89.73061;8.00774;-93.32;75;86.5;-58.83277;-22.54;-52.55;-2;-64;-55.71;58.23181;87.3},TRUE(),TRUE(),TRUE()))</f>
        <v>303.861186134178</v>
      </c>
      <c r="B24365" s="0" t="s">
        <v>24189</v>
      </c>
    </row>
    <row r="24366" customFormat="false" ht="15" hidden="false" customHeight="false" outlineLevel="0" collapsed="false">
      <c r="A24366" s="0" t="n">
        <f aca="false">INDEX(_xlfn.ORG.LIBREOFFICE.FOURIER({63.56174;-21;-79.24;9;26;-68;-89.98;-79.66;-21.07889;-93;-10.44154;85.77657;-64.32271;18.18;12.12919;84.48965;28.93364;46;89.73061;8.00774;-93.32;75;86.5;-58.83277;-22.54;-52.55;-2;-64;-55.71;58.23181;87.3},TRUE(),TRUE(),TRUE()),4,2)</f>
        <v>0.12229464695229</v>
      </c>
      <c r="B24366" s="0" t="s">
        <v>24190</v>
      </c>
    </row>
    <row r="24367" customFormat="false" ht="15" hidden="false" customHeight="false" outlineLevel="0" collapsed="false">
      <c r="A24367" s="0" t="n">
        <f aca="false">INDEX(_xlfn.ORG.LIBREOFFICE.FOURIER(TRANSPOSE({63.56174;-21;-79.24;9;26;-68;-89.98;-79.66;-21.07889;-93;-10.44154;85.77657;-64.32271;18.18;12.12919;84.48965;28.93364;46;89.73061;8.00774;-93.32;75;86.5;-58.83277;-22.54;-52.55;-2;-64;-55.71;58.23181;87.3}),FALSE(),TRUE(),TRUE()),15,2)</f>
        <v>-1.26197621344397</v>
      </c>
      <c r="B24367" s="0" t="s">
        <v>24191</v>
      </c>
    </row>
    <row r="24368" customFormat="false" ht="15" hidden="false" customHeight="false" outlineLevel="0" collapsed="false">
      <c r="A24368" s="0" t="n">
        <f aca="false">INDEX(_xlfn.ORG.LIBREOFFICE.FOURIER({-38.28,-57.72;-7.8,90.18;17.36,15.73;-22.05,70.84;7.13,94.55;35.03,-40.23;75.46,-73.52;-58.4,-6.33;94.01,-40.19;84.17,44.75;-93.83,9.77;6.34,-71.55;-95.66,57.02;93.01,-79.69;5.31,-20.13;-75.44,27.87;-62.49,-87.01;70.34,70.13;-99.64,44.38;-77.05,24.03;-37.58,31.64;-20.76,-96.43;83.37,78.67;-23.49,-19.37;29.03,-98.2;72.2,23.82;61.95,-34.91;-61.26,-37.89;-0.87,-4.8;-46.84,-92.87;80.63,45.67},TRUE(),TRUE(),TRUE()),29,2)</f>
        <v>2.97955867736474</v>
      </c>
      <c r="B24368" s="0" t="s">
        <v>24192</v>
      </c>
    </row>
    <row r="24369" customFormat="false" ht="15" hidden="false" customHeight="false" outlineLevel="0" collapsed="false">
      <c r="A24369" s="0" t="n">
        <f aca="false">SUM(_xlfn.ORG.LIBREOFFICE.FOURIER({-24.32;19.50956;97;-69;-88.92;-1.34;98.20198;33.43;-31.67592;56;70.98972;65;-80;-17.33;-84.96053;-27;89.85558},TRUE(),FALSE(),TRUE()))</f>
        <v>4203.75421019001</v>
      </c>
      <c r="B24369" s="0" t="s">
        <v>24193</v>
      </c>
    </row>
    <row r="24370" customFormat="false" ht="15" hidden="false" customHeight="false" outlineLevel="0" collapsed="false">
      <c r="A24370" s="0" t="n">
        <f aca="false">INDEX(_xlfn.ORG.LIBREOFFICE.FOURIER({-24.32;19.50956;97;-69;-88.92;-1.34;98.20198;33.43;-31.67592;56;70.98972;65;-80;-17.33;-84.96053;-27;89.85558},TRUE(),FALSE(),TRUE()),16,1)</f>
        <v>360.303801238333</v>
      </c>
      <c r="B24370" s="0" t="s">
        <v>24194</v>
      </c>
    </row>
    <row r="24371" customFormat="false" ht="15" hidden="false" customHeight="false" outlineLevel="0" collapsed="false">
      <c r="A24371" s="0" t="n">
        <f aca="false">INDEX(_xlfn.ORG.LIBREOFFICE.FOURIER(TRANSPOSE({-24.32;19.50956;97;-69;-88.92;-1.34;98.20198;33.43;-31.67592;56;70.98972;65;-80;-17.33;-84.96053;-27;89.85558}),FALSE(),FALSE(),TRUE()),12,2)</f>
        <v>-2.20601569272431</v>
      </c>
      <c r="B24371" s="0" t="s">
        <v>24195</v>
      </c>
    </row>
    <row r="24372" customFormat="false" ht="15" hidden="false" customHeight="false" outlineLevel="0" collapsed="false">
      <c r="A24372" s="0" t="n">
        <f aca="false">INDEX(_xlfn.ORG.LIBREOFFICE.FOURIER({49.26,81.95;-22.81,-70.46;-9.7,48.92;-49.68,-50.66;91.45,-56.99;30.04,30.9;69.09,23.51;34.62,71.06;4.67,-85.64;63.39,82.05;15.79,-75.86;-58.48,-58.15;15.61,-95.27;16.36,-56.49;93,-10.61;72.26,-55.75;-38.23,-94.88},TRUE(),FALSE(),TRUE()),6,1)</f>
        <v>96.7935764056946</v>
      </c>
      <c r="B24372" s="0" t="s">
        <v>24196</v>
      </c>
    </row>
    <row r="24373" customFormat="false" ht="15" hidden="false" customHeight="false" outlineLevel="0" collapsed="false">
      <c r="A24373" s="0" t="n">
        <f aca="false">SUM(_xlfn.ORG.LIBREOFFICE.FOURIER({-83.44;37.71;-54.36805;17.01066;5;-39.3899;-50.8653},TRUE()))</f>
        <v>-584.08</v>
      </c>
      <c r="B24373" s="0" t="s">
        <v>24197</v>
      </c>
    </row>
    <row r="24374" customFormat="false" ht="15" hidden="false" customHeight="false" outlineLevel="0" collapsed="false">
      <c r="A24374" s="0" t="n">
        <f aca="false">INDEX(_xlfn.ORG.LIBREOFFICE.FOURIER({-83.44;37.71;-54.36805;17.01066;5;-39.3899;-50.8653},TRUE()),2,1)</f>
        <v>-90.6100082125478</v>
      </c>
      <c r="B24374" s="0" t="s">
        <v>24198</v>
      </c>
    </row>
    <row r="24375" customFormat="false" ht="15" hidden="false" customHeight="false" outlineLevel="0" collapsed="false">
      <c r="A24375" s="0" t="n">
        <f aca="false">INDEX(_xlfn.ORG.LIBREOFFICE.FOURIER(TRANSPOSE({-83.44;37.71;-54.36805;17.01066;5;-39.3899;-50.8653}),FALSE()),2,2)</f>
        <v>-59.859571671274</v>
      </c>
      <c r="B24375" s="0" t="s">
        <v>24199</v>
      </c>
    </row>
    <row r="24376" customFormat="false" ht="15" hidden="false" customHeight="false" outlineLevel="0" collapsed="false">
      <c r="A24376" s="0" t="n">
        <f aca="false">INDEX(_xlfn.ORG.LIBREOFFICE.FOURIER({42.35,-45.38;71.17,-81.46;54.41,91.52;-45.44,-13.93;96.73,-24.17;-48.09,-77.82;26.62,59.54},TRUE()),7,1)</f>
        <v>-3.59498092299505</v>
      </c>
      <c r="B24376" s="0" t="s">
        <v>24200</v>
      </c>
    </row>
    <row r="24377" customFormat="false" ht="15" hidden="false" customHeight="false" outlineLevel="0" collapsed="false">
      <c r="A24377" s="0" t="n">
        <f aca="false">SUM(_xlfn.ORG.LIBREOFFICE.FOURIER({76;54.69851;73;-51;61;-87;-62.20808},TRUE(),FALSE(),TRUE()))</f>
        <v>1204.5136513039</v>
      </c>
      <c r="B24377" s="0" t="s">
        <v>24201</v>
      </c>
    </row>
    <row r="24378" customFormat="false" ht="15" hidden="false" customHeight="false" outlineLevel="0" collapsed="false">
      <c r="A24378" s="0" t="n">
        <f aca="false">INDEX(_xlfn.ORG.LIBREOFFICE.FOURIER({76;54.69851;73;-51;61;-87;-62.20808},TRUE(),FALSE(),TRUE()),6,2)</f>
        <v>0.939860860813277</v>
      </c>
      <c r="B24378" s="0" t="s">
        <v>24202</v>
      </c>
    </row>
    <row r="24379" customFormat="false" ht="15" hidden="false" customHeight="false" outlineLevel="0" collapsed="false">
      <c r="A24379" s="0" t="n">
        <f aca="false">INDEX(_xlfn.ORG.LIBREOFFICE.FOURIER(TRANSPOSE({76;54.69851;73;-51;61;-87;-62.20808}),FALSE(),FALSE(),TRUE()),2,1)</f>
        <v>209.283487643785</v>
      </c>
      <c r="B24379" s="0" t="s">
        <v>24203</v>
      </c>
    </row>
    <row r="24380" customFormat="false" ht="15" hidden="false" customHeight="false" outlineLevel="0" collapsed="false">
      <c r="A24380" s="0" t="n">
        <f aca="false">INDEX(_xlfn.ORG.LIBREOFFICE.FOURIER({-65.05,37.56;-40.88,45.72;-8.88,-41;-27.07,35.52;-48.68,-48.86;94.51,-9.92;-97.81,10.3},TRUE(),FALSE(),TRUE()),3,2)</f>
        <v>-3.02423313159352</v>
      </c>
      <c r="B24380" s="0" t="s">
        <v>24204</v>
      </c>
    </row>
    <row r="24381" customFormat="false" ht="15" hidden="false" customHeight="false" outlineLevel="0" collapsed="false">
      <c r="A24381" s="0" t="n">
        <f aca="false">SUM(_xlfn.ORG.LIBREOFFICE.FOURIER({-88.44;-87;-76;-91;-90;-99.67;-29.47845},TRUE(),FALSE(),TRUE(),1))</f>
        <v>925.465721152813</v>
      </c>
      <c r="B24381" s="0" t="s">
        <v>24205</v>
      </c>
    </row>
    <row r="24382" customFormat="false" ht="15" hidden="false" customHeight="false" outlineLevel="0" collapsed="false">
      <c r="A24382" s="0" t="n">
        <f aca="false">INDEX(_xlfn.ORG.LIBREOFFICE.FOURIER({-88.44;-87;-76;-91;-90;-99.67;-29.47845},TRUE(),FALSE(),TRUE(),1),3,1)</f>
        <v>67.7606082501743</v>
      </c>
      <c r="B24382" s="0" t="s">
        <v>24206</v>
      </c>
    </row>
    <row r="24383" customFormat="false" ht="15" hidden="false" customHeight="false" outlineLevel="0" collapsed="false">
      <c r="A24383" s="0" t="n">
        <f aca="false">INDEX(_xlfn.ORG.LIBREOFFICE.FOURIER(TRANSPOSE({-88.44;-87;-76;-91;-90;-99.67;-29.47845}),FALSE(),FALSE(),TRUE(),1),1,2)</f>
        <v>-3.14159265358979</v>
      </c>
      <c r="B24383" s="0" t="s">
        <v>24207</v>
      </c>
    </row>
    <row r="24384" customFormat="false" ht="15" hidden="false" customHeight="false" outlineLevel="0" collapsed="false">
      <c r="A24384" s="0" t="n">
        <f aca="false">INDEX(_xlfn.ORG.LIBREOFFICE.FOURIER({-51.9,-37.84;-61.96,-18.23;33.72,-35.37;-82.24,4.85;-43.67,-91.79;24.71,-54.57;38.9,94.32},TRUE(),FALSE(),TRUE(),1),5,2)</f>
        <v>-1.55804638406659</v>
      </c>
      <c r="B24384" s="0" t="s">
        <v>24208</v>
      </c>
    </row>
    <row r="24385" customFormat="false" ht="15" hidden="false" customHeight="false" outlineLevel="0" collapsed="false">
      <c r="A24385" s="0" t="n">
        <f aca="false">SUM(_xlfn.ORG.LIBREOFFICE.FOURIER({-35.07;80.47;-17},TRUE(),TRUE(),TRUE(),10))</f>
        <v>81.2323616593147</v>
      </c>
      <c r="B24385" s="0" t="s">
        <v>24209</v>
      </c>
    </row>
    <row r="24386" customFormat="false" ht="15" hidden="false" customHeight="false" outlineLevel="0" collapsed="false">
      <c r="A24386" s="0" t="n">
        <f aca="false">INDEX(_xlfn.ORG.LIBREOFFICE.FOURIER({-35.07;80.47;-17},TRUE(),TRUE(),TRUE(),10),3,1)</f>
        <v>35.882847496324</v>
      </c>
      <c r="B24386" s="0" t="s">
        <v>24210</v>
      </c>
    </row>
    <row r="24387" customFormat="false" ht="15" hidden="false" customHeight="false" outlineLevel="0" collapsed="false">
      <c r="A24387" s="0" t="n">
        <f aca="false">INDEX(_xlfn.ORG.LIBREOFFICE.FOURIER(TRANSPOSE({-35.07;80.47;-17}),FALSE(),TRUE(),TRUE(),10),3,2)</f>
        <v>-2.24028401293422</v>
      </c>
      <c r="B24387" s="0" t="s">
        <v>24211</v>
      </c>
    </row>
    <row r="24388" customFormat="false" ht="15" hidden="false" customHeight="false" outlineLevel="0" collapsed="false">
      <c r="A24388" s="0" t="n">
        <f aca="false">INDEX(_xlfn.ORG.LIBREOFFICE.FOURIER({5.69,77.81;-6.62,88.06;-44.52,-96.52},TRUE(),TRUE(),TRUE(),10),2,1)</f>
        <v>57.4736651819268</v>
      </c>
      <c r="B24388" s="0" t="s">
        <v>24212</v>
      </c>
    </row>
    <row r="24389" customFormat="false" ht="15" hidden="false" customHeight="false" outlineLevel="0" collapsed="false">
      <c r="A24389" s="0" t="n">
        <f aca="false">SUM(_xlfn.ORG.LIBREOFFICE.FOURIER({80;22.77834;52;33.03;84;-76.57;12.86592;-80.06142;-66;-93.53242;-5.78012;-66.0629;-17.89202;-71;-0.15;-23.68992},TRUE()))</f>
        <v>1280</v>
      </c>
      <c r="B24389" s="0" t="s">
        <v>24213</v>
      </c>
    </row>
    <row r="24390" customFormat="false" ht="15" hidden="false" customHeight="false" outlineLevel="0" collapsed="false">
      <c r="A24390" s="0" t="n">
        <f aca="false">INDEX(_xlfn.ORG.LIBREOFFICE.FOURIER({80;22.77834;52;33.03;84;-76.57;12.86592;-80.06142;-66;-93.53242;-5.78012;-66.0629;-17.89202;-71;-0.15;-23.68992},TRUE()),8,1)</f>
        <v>-21.9372940806858</v>
      </c>
      <c r="B24390" s="0" t="s">
        <v>24214</v>
      </c>
    </row>
    <row r="24391" customFormat="false" ht="15" hidden="false" customHeight="false" outlineLevel="0" collapsed="false">
      <c r="A24391" s="0" t="n">
        <f aca="false">INDEX(_xlfn.ORG.LIBREOFFICE.FOURIER(TRANSPOSE({80;22.77834;52;33.03;84;-76.57;12.86592;-80.06142;-66;-93.53242;-5.78012;-66.0629;-17.89202;-71;-0.15;-23.68992}),FALSE()),16,1)</f>
        <v>377.243432829467</v>
      </c>
      <c r="B24391" s="0" t="s">
        <v>24215</v>
      </c>
    </row>
    <row r="24392" customFormat="false" ht="15" hidden="false" customHeight="false" outlineLevel="0" collapsed="false">
      <c r="A24392" s="0" t="n">
        <f aca="false">INDEX(_xlfn.ORG.LIBREOFFICE.FOURIER({67.16,-5.3;-96.05,-25.87;-69.55,0.23;-14.81,50.89;51.95,-76.31;-97.12,-13.51;-46.05,-39.63;-68.26,13.53;-40.25,-49.49;-70.47,70.84;-92.65,87.8;-95.55,-35.98;-85.22,-45.27;74.71,99.52;37.57,71.99;18.59,15.3},TRUE()),8,2)</f>
        <v>293.967805294227</v>
      </c>
      <c r="B24392" s="0" t="s">
        <v>24216</v>
      </c>
    </row>
    <row r="24393" customFormat="false" ht="15" hidden="false" customHeight="false" outlineLevel="0" collapsed="false">
      <c r="A24393" s="0" t="n">
        <f aca="false">SUM(_xlfn.ORG.LIBREOFFICE.FOURIER({25.92;78.62;-33.6;-37;41;18;15.97247;-29.82},TRUE(),FALSE(),TRUE(),1))</f>
        <v>751.873414128766</v>
      </c>
      <c r="B24393" s="0" t="s">
        <v>24217</v>
      </c>
    </row>
    <row r="24394" customFormat="false" ht="15" hidden="false" customHeight="false" outlineLevel="0" collapsed="false">
      <c r="A24394" s="0" t="n">
        <f aca="false">INDEX(_xlfn.ORG.LIBREOFFICE.FOURIER({25.92;78.62;-33.6;-37;41;18;15.97247;-29.82},TRUE(),FALSE(),TRUE(),1),7,1)</f>
        <v>184.013364811094</v>
      </c>
      <c r="B24394" s="0" t="s">
        <v>24218</v>
      </c>
    </row>
    <row r="24395" customFormat="false" ht="15" hidden="false" customHeight="false" outlineLevel="0" collapsed="false">
      <c r="A24395" s="0" t="n">
        <f aca="false">INDEX(_xlfn.ORG.LIBREOFFICE.FOURIER(TRANSPOSE({25.92;78.62;-33.6;-37;41;18;15.97247;-29.82}),FALSE(),FALSE(),TRUE(),1),7,1)</f>
        <v>184.013364811094</v>
      </c>
      <c r="B24395" s="0" t="s">
        <v>24219</v>
      </c>
    </row>
    <row r="24396" customFormat="false" ht="15" hidden="false" customHeight="false" outlineLevel="0" collapsed="false">
      <c r="A24396" s="0" t="n">
        <f aca="false">INDEX(_xlfn.ORG.LIBREOFFICE.FOURIER({27.14,-12.18;84.61,20.27;74.66,-67.35;92.08,16.93;88.84,-98.66;-37.59,62.82;-93.7,88.53;-94.54,-77.53},TRUE(),FALSE(),TRUE(),1),8,1)</f>
        <v>376.516820555409</v>
      </c>
      <c r="B24396" s="0" t="s">
        <v>24220</v>
      </c>
    </row>
    <row r="24397" customFormat="false" ht="15" hidden="false" customHeight="false" outlineLevel="0" collapsed="false">
      <c r="A24397" s="0" t="n">
        <f aca="false">SUM(_xlfn.ORG.LIBREOFFICE.FOURIER({94.22;-71.59423;50;-59;-0.03953;-18.84637;-7},TRUE(),TRUE(),TRUE(),10))</f>
        <v>119.140132284958</v>
      </c>
      <c r="B24397" s="0" t="s">
        <v>24221</v>
      </c>
    </row>
    <row r="24398" customFormat="false" ht="15" hidden="false" customHeight="false" outlineLevel="0" collapsed="false">
      <c r="A24398" s="0" t="n">
        <f aca="false">INDEX(_xlfn.ORG.LIBREOFFICE.FOURIER({94.22;-71.59423;50;-59;-0.03953;-18.84637;-7},TRUE(),TRUE(),TRUE(),10),6,2)</f>
        <v>0.784532803888605</v>
      </c>
      <c r="B24398" s="0" t="s">
        <v>24222</v>
      </c>
    </row>
    <row r="24399" customFormat="false" ht="15" hidden="false" customHeight="false" outlineLevel="0" collapsed="false">
      <c r="A24399" s="0" t="n">
        <f aca="false">INDEX(_xlfn.ORG.LIBREOFFICE.FOURIER(TRANSPOSE({94.22;-71.59423;50;-59;-0.03953;-18.84637;-7}),FALSE(),TRUE(),TRUE(),10),1,1)</f>
        <v>1.75144714285714</v>
      </c>
      <c r="B24399" s="0" t="s">
        <v>24223</v>
      </c>
    </row>
    <row r="24400" customFormat="false" ht="15" hidden="false" customHeight="false" outlineLevel="0" collapsed="false">
      <c r="A24400" s="0" t="n">
        <f aca="false">INDEX(_xlfn.ORG.LIBREOFFICE.FOURIER({3.36,94.56;-68.05,-64.34;-17.35,35.73;-65.13,-36.85;-90.2,-70.83;-58.45,-36.2;43.02,-18.22},TRUE(),TRUE(),TRUE(),10),2,1)</f>
        <v>20.2287371190896</v>
      </c>
      <c r="B24400" s="0" t="s">
        <v>24224</v>
      </c>
    </row>
    <row r="24401" customFormat="false" ht="15" hidden="false" customHeight="false" outlineLevel="0" collapsed="false">
      <c r="A24401" s="0" t="n">
        <f aca="false">SUM(_xlfn.ORG.LIBREOFFICE.FOURIER({-28.0776;-16;83.87958;-70.45556;-71;4.7541;50.09321;19.41608;87;-75;95;7},TRUE(),TRUE()))</f>
        <v>-28.0775999999999</v>
      </c>
      <c r="B24401" s="0" t="s">
        <v>24225</v>
      </c>
    </row>
    <row r="24402" customFormat="false" ht="15" hidden="false" customHeight="false" outlineLevel="0" collapsed="false">
      <c r="A24402" s="0" t="n">
        <f aca="false">INDEX(_xlfn.ORG.LIBREOFFICE.FOURIER({-28.0776;-16;83.87958;-70.45556;-71;4.7541;50.09321;19.41608;87;-75;95;7},TRUE(),TRUE()),1,1)</f>
        <v>7.21748416666667</v>
      </c>
      <c r="B24402" s="0" t="s">
        <v>24226</v>
      </c>
    </row>
    <row r="24403" customFormat="false" ht="15" hidden="false" customHeight="false" outlineLevel="0" collapsed="false">
      <c r="A24403" s="0" t="n">
        <f aca="false">INDEX(_xlfn.ORG.LIBREOFFICE.FOURIER(TRANSPOSE({-28.0776;-16;83.87958;-70.45556;-71;4.7541;50.09321;19.41608;87;-75;95;7}),FALSE(),TRUE()),9,2)</f>
        <v>11.2018653928709</v>
      </c>
      <c r="B24403" s="0" t="s">
        <v>24227</v>
      </c>
    </row>
    <row r="24404" customFormat="false" ht="15" hidden="false" customHeight="false" outlineLevel="0" collapsed="false">
      <c r="A24404" s="0" t="n">
        <f aca="false">INDEX(_xlfn.ORG.LIBREOFFICE.FOURIER({85.58,46.62;-36.9,13.11;49.87,86.79;-69.89,96.34;-41.23,64.66;54.29,94.38;-32,-39.92;-17.71,31.38;-55.17,45.71;79.07,85.58;81.04,-56.71;65.27,-23.23},TRUE(),TRUE()),11,1)</f>
        <v>12.0329355647049</v>
      </c>
      <c r="B24404" s="0" t="s">
        <v>24228</v>
      </c>
    </row>
    <row r="24405" customFormat="false" ht="15" hidden="false" customHeight="false" outlineLevel="0" collapsed="false">
      <c r="A24405" s="0" t="n">
        <f aca="false">SUM(_xlfn.ORG.LIBREOFFICE.FOURIER({73.19244;82;-12.37801;10.59},TRUE(),TRUE(),TRUE()))</f>
        <v>105.162910523162</v>
      </c>
      <c r="B24405" s="0" t="s">
        <v>24229</v>
      </c>
    </row>
    <row r="24406" customFormat="false" ht="15" hidden="false" customHeight="false" outlineLevel="0" collapsed="false">
      <c r="A24406" s="0" t="n">
        <f aca="false">INDEX(_xlfn.ORG.LIBREOFFICE.FOURIER({73.19244;82;-12.37801;10.59},TRUE(),TRUE(),TRUE()),3,1)</f>
        <v>7.9438925</v>
      </c>
      <c r="B24406" s="0" t="s">
        <v>24230</v>
      </c>
    </row>
    <row r="24407" customFormat="false" ht="15" hidden="false" customHeight="false" outlineLevel="0" collapsed="false">
      <c r="A24407" s="0" t="n">
        <f aca="false">INDEX(_xlfn.ORG.LIBREOFFICE.FOURIER(TRANSPOSE({73.19244;82;-12.37801;10.59}),FALSE(),TRUE(),TRUE()),3,1)</f>
        <v>7.9438925</v>
      </c>
      <c r="B24407" s="0" t="s">
        <v>24231</v>
      </c>
    </row>
    <row r="24408" customFormat="false" ht="15" hidden="false" customHeight="false" outlineLevel="0" collapsed="false">
      <c r="A24408" s="0" t="n">
        <f aca="false">INDEX(_xlfn.ORG.LIBREOFFICE.FOURIER({46.82,-31.29;-5.1,41.36;2.25,37.79;-81.41,75.69},TRUE(),TRUE(),TRUE()),1,2)</f>
        <v>1.86503538472319</v>
      </c>
      <c r="B24408" s="0" t="s">
        <v>24232</v>
      </c>
    </row>
    <row r="24409" customFormat="false" ht="15" hidden="false" customHeight="false" outlineLevel="0" collapsed="false">
      <c r="A24409" s="0" t="n">
        <f aca="false">SUM(_xlfn.ORG.LIBREOFFICE.FOURIER({-87.12443;52;-12;-28;60.18187;-18.29;61;-50.13;-85;-81.43;-45;80.2;-60.42;-64.62;-97;-70;-39.59},TRUE(),TRUE()))</f>
        <v>-87.12443</v>
      </c>
      <c r="B24409" s="0" t="s">
        <v>24233</v>
      </c>
    </row>
    <row r="24410" customFormat="false" ht="15" hidden="false" customHeight="false" outlineLevel="0" collapsed="false">
      <c r="A24410" s="0" t="n">
        <f aca="false">INDEX(_xlfn.ORG.LIBREOFFICE.FOURIER({-87.12443;52;-12;-28;60.18187;-18.29;61;-50.13;-85;-81.43;-45;80.2;-60.42;-64.62;-97;-70;-39.59},TRUE(),TRUE()),10,2)</f>
        <v>0.144049927188889</v>
      </c>
      <c r="B24410" s="0" t="s">
        <v>24234</v>
      </c>
    </row>
    <row r="24411" customFormat="false" ht="15" hidden="false" customHeight="false" outlineLevel="0" collapsed="false">
      <c r="A24411" s="0" t="n">
        <f aca="false">INDEX(_xlfn.ORG.LIBREOFFICE.FOURIER(TRANSPOSE({-87.12443;52;-12;-28;60.18187;-18.29;61;-50.13;-85;-81.43;-45;80.2;-60.42;-64.62;-97;-70;-39.59}),FALSE(),TRUE()),4,1)</f>
        <v>17.5371322556526</v>
      </c>
      <c r="B24411" s="0" t="s">
        <v>24235</v>
      </c>
    </row>
    <row r="24412" customFormat="false" ht="15" hidden="false" customHeight="false" outlineLevel="0" collapsed="false">
      <c r="A24412" s="0" t="n">
        <f aca="false">INDEX(_xlfn.ORG.LIBREOFFICE.FOURIER({30.9,-71.69;-84.93,-12.63;47.28,-17.48;85.05,2.24;-52.57,-1.17;-72,13.19;58.06,52.57;-29.45,75;38.34,-40.95;6.09,-4.68;86.78,56.8;40.21,87.22;-65.47,16.57;17.04,67.11;-88.3,31.14;-22,-34.48;37.27,-89.7},TRUE(),TRUE()),17,2)</f>
        <v>-22.6608192843023</v>
      </c>
      <c r="B24412" s="0" t="s">
        <v>24236</v>
      </c>
    </row>
    <row r="24413" customFormat="false" ht="15" hidden="false" customHeight="false" outlineLevel="0" collapsed="false">
      <c r="A24413" s="0" t="n">
        <f aca="false">SUM(_xlfn.ORG.LIBREOFFICE.FOURIER({-68.13447;61.42;13.12;-1.94;-78.44616;-15.7216},TRUE()))</f>
        <v>-408.80682</v>
      </c>
      <c r="B24413" s="0" t="s">
        <v>24237</v>
      </c>
    </row>
    <row r="24414" customFormat="false" ht="15" hidden="false" customHeight="false" outlineLevel="0" collapsed="false">
      <c r="A24414" s="0" t="n">
        <f aca="false">INDEX(_xlfn.ORG.LIBREOFFICE.FOURIER({-68.13447;61.42;13.12;-1.94;-78.44616;-15.7216},TRUE()),3,1)</f>
        <v>-60.26059</v>
      </c>
      <c r="B24414" s="0" t="s">
        <v>24238</v>
      </c>
    </row>
    <row r="24415" customFormat="false" ht="15" hidden="false" customHeight="false" outlineLevel="0" collapsed="false">
      <c r="A24415" s="0" t="n">
        <f aca="false">INDEX(_xlfn.ORG.LIBREOFFICE.FOURIER(TRANSPOSE({-68.13447;61.42;13.12;-1.94;-78.44616;-15.7216}),FALSE()),1,2)</f>
        <v>0</v>
      </c>
      <c r="B24415" s="0" t="s">
        <v>24239</v>
      </c>
    </row>
    <row r="24416" customFormat="false" ht="15" hidden="false" customHeight="false" outlineLevel="0" collapsed="false">
      <c r="A24416" s="0" t="n">
        <f aca="false">INDEX(_xlfn.ORG.LIBREOFFICE.FOURIER({-26.56,-98.77;31.2,-71;-5.97,31.33;-64.29,81.32;-53.62,39.39;67.82,86.27},TRUE()),3,2)</f>
        <v>12.5349607769146</v>
      </c>
      <c r="B24416" s="0" t="s">
        <v>24240</v>
      </c>
    </row>
    <row r="24417" customFormat="false" ht="15" hidden="false" customHeight="false" outlineLevel="0" collapsed="false">
      <c r="A24417" s="0" t="n">
        <f aca="false">OPT_BARRIER(150,0.05,0,0.05,5,0,120,90,0,"c","i","cont","g")</f>
        <v>0</v>
      </c>
      <c r="B24417" s="0" t="s">
        <v>24241</v>
      </c>
    </row>
    <row r="24418" customFormat="false" ht="15" hidden="false" customHeight="false" outlineLevel="0" collapsed="false">
      <c r="A24418" s="0" t="e">
        <f aca="false">OPT_BARRIER(100,0.05,0.1,-0.02,0.5,110,0,0,5.5,"Call","in","e")</f>
        <v>#VALUE!</v>
      </c>
      <c r="B24418" s="0" t="s">
        <v>24242</v>
      </c>
    </row>
    <row r="24419" customFormat="false" ht="15" hidden="false" customHeight="false" outlineLevel="0" collapsed="false">
      <c r="A24419" s="0" t="n">
        <f aca="false">OPT_BARRIER(100.5,0.1,0.02,0,5,80,0,0,0,"put","i","c","theta")</f>
        <v>0</v>
      </c>
      <c r="B24419" s="0" t="s">
        <v>24243</v>
      </c>
    </row>
    <row r="24420" customFormat="false" ht="15" hidden="false" customHeight="false" outlineLevel="0" collapsed="false">
      <c r="A24420" s="0" t="n">
        <f aca="false">OPT_BARRIER(120,0.3,0.02,0.05,0,100,90,0,0,"call","i","cont","g")</f>
        <v>0</v>
      </c>
      <c r="B24420" s="0" t="s">
        <v>24244</v>
      </c>
    </row>
    <row r="24421" customFormat="false" ht="15" hidden="false" customHeight="false" outlineLevel="0" collapsed="false">
      <c r="A24421" s="0" t="e">
        <f aca="false">OPT_BARRIER(100,0.1,-0.01,0.05,0.25,110,0,0,2,"p","in","end","x")</f>
        <v>#VALUE!</v>
      </c>
      <c r="B24421" s="0" t="s">
        <v>24245</v>
      </c>
    </row>
    <row r="24422" customFormat="false" ht="15" hidden="false" customHeight="false" outlineLevel="0" collapsed="false">
      <c r="A24422" s="0" t="e">
        <f aca="false">OPT_BARRIER(150,0.1,0.1,0.05,2,100,70,130,2,"c","out","end",TRUE())</f>
        <v>#VALUE!</v>
      </c>
      <c r="B24422" s="0" t="s">
        <v>24246</v>
      </c>
    </row>
    <row r="24423" customFormat="false" ht="15" hidden="false" customHeight="false" outlineLevel="0" collapsed="false">
      <c r="A24423" s="0" t="n">
        <f aca="false">OPT_BARRIER(150,0.5,0.05,0.02,1,80,0,0,0,"c","o","end","a")</f>
        <v>-0.244431104603453</v>
      </c>
      <c r="B24423" s="0" t="s">
        <v>24247</v>
      </c>
    </row>
    <row r="24424" customFormat="false" ht="15" hidden="false" customHeight="false" outlineLevel="0" collapsed="false">
      <c r="A24424" s="0" t="e">
        <f aca="false">OPT_BARRIER(60,0.5,0.1,0.02,0.25,90,0,120,5.5,"Call","in","e","theta")</f>
        <v>#VALUE!</v>
      </c>
      <c r="B24424" s="0" t="s">
        <v>24248</v>
      </c>
    </row>
    <row r="24425" customFormat="false" ht="15" hidden="false" customHeight="false" outlineLevel="0" collapsed="false">
      <c r="A24425" s="0" t="n">
        <f aca="false">OPT_BARRIER(60,0.3,0.02,-0.02,5,80,90,0,0,"call","out","end","volga")</f>
        <v>-23.6631335090761</v>
      </c>
      <c r="B24425" s="0" t="s">
        <v>24249</v>
      </c>
    </row>
    <row r="24426" customFormat="false" ht="15" hidden="false" customHeight="false" outlineLevel="0" collapsed="false">
      <c r="A24426" s="0" t="e">
        <f aca="false">OPT_BARRIER(80,0.1,-0.01,0.02,0.25,110,90,120,5.5,"put","out","x",1)</f>
        <v>#VALUE!</v>
      </c>
      <c r="B24426" s="0" t="s">
        <v>24250</v>
      </c>
    </row>
    <row r="24427" customFormat="false" ht="15" hidden="false" customHeight="false" outlineLevel="0" collapsed="false">
      <c r="A24427" s="0" t="n">
        <f aca="false">OPT_BARRIER(60,0.1,0.1,0.02,0.5,120,0,0,2,"call","o","cont","delta")</f>
        <v>1.74671383681555E-020</v>
      </c>
      <c r="B24427" s="0" t="s">
        <v>24251</v>
      </c>
    </row>
    <row r="24428" customFormat="false" ht="15" hidden="false" customHeight="false" outlineLevel="0" collapsed="false">
      <c r="A24428" s="0" t="e">
        <f aca="false">OPT_BARRIER(150,0.1,0,0.05,0.25,0,95,105,0,"Call","out","c","rhof")</f>
        <v>#VALUE!</v>
      </c>
      <c r="B24428" s="0" t="s">
        <v>24252</v>
      </c>
    </row>
    <row r="24429" customFormat="false" ht="15" hidden="false" customHeight="false" outlineLevel="0" collapsed="false">
      <c r="A24429" s="0" t="e">
        <f aca="false">OPT_BARRIER(120,0.3,-0.01,0,2,100,95,105,0,"call","i","end",TRUE())</f>
        <v>#VALUE!</v>
      </c>
      <c r="B24429" s="0" t="s">
        <v>24253</v>
      </c>
    </row>
    <row r="24430" customFormat="false" ht="15" hidden="false" customHeight="false" outlineLevel="0" collapsed="false">
      <c r="A24430" s="0" t="e">
        <f aca="false">OPT_BARRIER(60,0.3,0.02,0.05,0.01,110,70,130,5.5,"Call","in","cont","value")</f>
        <v>#VALUE!</v>
      </c>
      <c r="B24430" s="0" t="s">
        <v>24254</v>
      </c>
    </row>
    <row r="24431" customFormat="false" ht="15" hidden="false" customHeight="false" outlineLevel="0" collapsed="false">
      <c r="A24431" s="0" t="e">
        <f aca="false">OPT_BARRIER(120,0.2,0.02,0.02,0.01,110,95,105,5.5,"call","i","c","")</f>
        <v>#VALUE!</v>
      </c>
      <c r="B24431" s="0" t="s">
        <v>24255</v>
      </c>
    </row>
    <row r="24432" customFormat="false" ht="15" hidden="false" customHeight="false" outlineLevel="0" collapsed="false">
      <c r="A24432" s="0" t="e">
        <f aca="false">OPT_BARRIER(60,0.2,0.02,0.02,0.5,100,95,105,0,"Call","o","c","rhof")</f>
        <v>#VALUE!</v>
      </c>
      <c r="B24432" s="0" t="s">
        <v>24256</v>
      </c>
    </row>
    <row r="24433" customFormat="false" ht="15" hidden="false" customHeight="false" outlineLevel="0" collapsed="false">
      <c r="A24433" s="0" t="e">
        <f aca="false">OPT_BARRIER(80,0.05,0.05,0.05,5,90,70,130,0,"Call","o","cont","x")</f>
        <v>#VALUE!</v>
      </c>
      <c r="B24433" s="0" t="s">
        <v>24257</v>
      </c>
    </row>
    <row r="24434" customFormat="false" ht="15" hidden="false" customHeight="false" outlineLevel="0" collapsed="false">
      <c r="A24434" s="0" t="e">
        <f aca="false">OPT_BARRIER(120,0.3,0.1,0.05,5,100,70,130,0,"Call","out","x","x")</f>
        <v>#VALUE!</v>
      </c>
      <c r="B24434" s="0" t="s">
        <v>24258</v>
      </c>
    </row>
    <row r="24435" customFormat="false" ht="15" hidden="false" customHeight="false" outlineLevel="0" collapsed="false">
      <c r="A24435" s="0" t="n">
        <f aca="false">OPT_BARRIER(150,0.5,0.02,0.05,0,100,0,0,2,"c","o","cont","d")</f>
        <v>1</v>
      </c>
      <c r="B24435" s="0" t="s">
        <v>24259</v>
      </c>
    </row>
    <row r="24436" customFormat="false" ht="15" hidden="false" customHeight="false" outlineLevel="0" collapsed="false">
      <c r="A24436" s="0" t="n">
        <f aca="false">OPT_BARRIER(100,0.1,0.05,0,0.01,0,95,105,5.5,"put","in","cont")</f>
        <v>5.49724212649697</v>
      </c>
      <c r="B24436" s="0" t="s">
        <v>24260</v>
      </c>
    </row>
    <row r="24437" customFormat="false" ht="15" hidden="false" customHeight="false" outlineLevel="0" collapsed="false">
      <c r="A24437" s="0" t="n">
        <f aca="false">OPT_BARRIER(80,0.5,0.02,-0.02,5,120,90,120,0,"c","i","cont","value")</f>
        <v>32.294568439646</v>
      </c>
      <c r="B24437" s="0" t="s">
        <v>24261</v>
      </c>
    </row>
    <row r="24438" customFormat="false" ht="15" hidden="false" customHeight="false" outlineLevel="0" collapsed="false">
      <c r="A24438" s="0" t="n">
        <f aca="false">OPT_BARRIER(80,0.1,0.05,0.02,0,90,0,120,5.5,"p","i","e","vega")</f>
        <v>0</v>
      </c>
      <c r="B24438" s="0" t="s">
        <v>24262</v>
      </c>
    </row>
    <row r="24439" customFormat="false" ht="15" hidden="false" customHeight="false" outlineLevel="0" collapsed="false">
      <c r="A24439" s="0" t="e">
        <f aca="false">OPT_BARRIER(100.5,0.3,0.05,0.05,5,80,0,0,5.5,"c","i","cont","")</f>
        <v>#VALUE!</v>
      </c>
      <c r="B24439" s="0" t="s">
        <v>24263</v>
      </c>
    </row>
    <row r="24440" customFormat="false" ht="15" hidden="false" customHeight="false" outlineLevel="0" collapsed="false">
      <c r="A24440" s="0" t="e">
        <f aca="false">OPT_BARRIER(150,0.5,-0.01,0.02,0.01,100,90,120,0,"put","out","x","price")</f>
        <v>#VALUE!</v>
      </c>
      <c r="B24440" s="0" t="s">
        <v>24264</v>
      </c>
    </row>
    <row r="24441" customFormat="false" ht="15" hidden="false" customHeight="false" outlineLevel="0" collapsed="false">
      <c r="A24441" s="0" t="n">
        <f aca="false">OPT_BARRIER(60,0.2,-0.01,0.05,2,80,0,120,0,"p","in","cont","o")</f>
        <v>1.20384217432903</v>
      </c>
      <c r="B24441" s="0" t="s">
        <v>24265</v>
      </c>
    </row>
    <row r="24442" customFormat="false" ht="15" hidden="false" customHeight="false" outlineLevel="0" collapsed="false">
      <c r="A24442" s="0" t="e">
        <f aca="false">OPT_BARRIER(150,0.5,0.1,0.02,0.25,100,90,0,0,"Call","o","e","d")</f>
        <v>#VALUE!</v>
      </c>
      <c r="B24442" s="0" t="s">
        <v>24266</v>
      </c>
    </row>
    <row r="24443" customFormat="false" ht="15" hidden="false" customHeight="false" outlineLevel="0" collapsed="false">
      <c r="A24443" s="0" t="n">
        <f aca="false">OPT_BARRIER(150,0.2,-0.01,0.02,0.25,100,90,0,0,"call","o","e","a")</f>
        <v>-0.00232277218362502</v>
      </c>
      <c r="B24443" s="0" t="s">
        <v>24267</v>
      </c>
    </row>
    <row r="24444" customFormat="false" ht="15" hidden="false" customHeight="false" outlineLevel="0" collapsed="false">
      <c r="A24444" s="0" t="n">
        <f aca="false">OPT_BARRIER(100.5,0.3,-0.01,0,0.01,110,95,105,0,"p","o","c","gamma")</f>
        <v>-0.654580010093983</v>
      </c>
      <c r="B24444" s="0" t="s">
        <v>24268</v>
      </c>
    </row>
    <row r="24445" customFormat="false" ht="15" hidden="false" customHeight="false" outlineLevel="0" collapsed="false">
      <c r="A24445" s="0" t="n">
        <f aca="false">OPT_BARRIER(100,0.3,0.1,-0.02,0,0,85,115,2,"call","o","c","vega")</f>
        <v>0</v>
      </c>
      <c r="B24445" s="0" t="s">
        <v>24269</v>
      </c>
    </row>
    <row r="24446" customFormat="false" ht="15" hidden="false" customHeight="false" outlineLevel="0" collapsed="false">
      <c r="A24446" s="0" t="e">
        <f aca="false">OPT_BARRIER(60,0.1,0.05,-0.02,0.25,90,0,0,0,"put","in","c","x")</f>
        <v>#VALUE!</v>
      </c>
      <c r="B24446" s="0" t="s">
        <v>24270</v>
      </c>
    </row>
    <row r="24447" customFormat="false" ht="15" hidden="false" customHeight="false" outlineLevel="0" collapsed="false">
      <c r="A24447" s="0" t="e">
        <f aca="false">OPT_BARRIER(100,0.05,0.02,0,5,100,95,105,0,"c","out","c",1)</f>
        <v>#VALUE!</v>
      </c>
      <c r="B24447" s="0" t="s">
        <v>24271</v>
      </c>
    </row>
    <row r="24448" customFormat="false" ht="15" hidden="false" customHeight="false" outlineLevel="0" collapsed="false">
      <c r="A24448" s="0" t="n">
        <f aca="false">OPT_BARRIER(60,0.3,0,0,0.5,110,0,120,2,"put","i","cont","price")</f>
        <v>1.99896070552982</v>
      </c>
      <c r="B24448" s="0" t="s">
        <v>24272</v>
      </c>
    </row>
    <row r="24449" customFormat="false" ht="15" hidden="false" customHeight="false" outlineLevel="0" collapsed="false">
      <c r="A24449" s="0" t="n">
        <f aca="false">OPT_BARRIER(100,0.1,0.1,-0.02,0.25,100,0,120,0,"put","out","e","rhof")</f>
        <v>6.6829696765339</v>
      </c>
      <c r="B24449" s="0" t="s">
        <v>24273</v>
      </c>
    </row>
    <row r="24450" customFormat="false" ht="15" hidden="false" customHeight="false" outlineLevel="0" collapsed="false">
      <c r="A24450" s="0" t="n">
        <f aca="false">OPT_BARRIER(120,0.1,0.02,0,0.25,100,85,115,0,"c","o","c","d")</f>
        <v>0</v>
      </c>
      <c r="B24450" s="0" t="s">
        <v>24274</v>
      </c>
    </row>
    <row r="24451" customFormat="false" ht="15" hidden="false" customHeight="false" outlineLevel="0" collapsed="false">
      <c r="A24451" s="0" t="e">
        <f aca="false">OPT_BARRIER(100.5,0.05,0.05,0.05,2,90,0,120,2,"p","out","x","o")</f>
        <v>#VALUE!</v>
      </c>
      <c r="B24451" s="0" t="s">
        <v>24275</v>
      </c>
    </row>
    <row r="24452" customFormat="false" ht="15" hidden="false" customHeight="false" outlineLevel="0" collapsed="false">
      <c r="A24452" s="0" t="e">
        <f aca="false">OPT_BARRIER(100,0.5,0.05,0.05,0.5,120,0,0,0,"c","out","e",1)</f>
        <v>#VALUE!</v>
      </c>
      <c r="B24452" s="0" t="s">
        <v>24276</v>
      </c>
    </row>
    <row r="24453" customFormat="false" ht="15" hidden="false" customHeight="false" outlineLevel="0" collapsed="false">
      <c r="A24453" s="0" t="n">
        <f aca="false">OPT_BARRIER(120,0.05,-0.01,0,2,110,90,0,0,"call","o","cont","vanna")</f>
        <v>-4.49001295300463</v>
      </c>
      <c r="B24453" s="0" t="s">
        <v>24277</v>
      </c>
    </row>
    <row r="24454" customFormat="false" ht="15" hidden="false" customHeight="false" outlineLevel="0" collapsed="false">
      <c r="A24454" s="0" t="n">
        <f aca="false">OPT_BARRIER(120,0.1,0,0.02,0,80,0,0,5.5,"p","i","end")</f>
        <v>5.5</v>
      </c>
      <c r="B24454" s="0" t="s">
        <v>24278</v>
      </c>
    </row>
    <row r="24455" customFormat="false" ht="15" hidden="false" customHeight="false" outlineLevel="0" collapsed="false">
      <c r="A24455" s="0" t="n">
        <f aca="false">OPT_BARRIER(120,0.2,0.1,-0.02,0.5,100,95,105,5.5,"c","i","c","volga")</f>
        <v>102.013229354385</v>
      </c>
      <c r="B24455" s="0" t="s">
        <v>24279</v>
      </c>
    </row>
    <row r="24456" customFormat="false" ht="15" hidden="false" customHeight="false" outlineLevel="0" collapsed="false">
      <c r="A24456" s="0" t="n">
        <f aca="false">OPT_BARRIER(100.5,0.1,0.02,0.02,0.5,90,85,115,5.5,"call","i","end")</f>
        <v>5.97776177189288</v>
      </c>
      <c r="B24456" s="0" t="s">
        <v>24280</v>
      </c>
    </row>
    <row r="24457" customFormat="false" ht="15" hidden="false" customHeight="false" outlineLevel="0" collapsed="false">
      <c r="A24457" s="0" t="e">
        <f aca="false">OPT_BARRIER(150,0.3,0.1,0,0,110,0,120,0,"Call","out","x","f")</f>
        <v>#VALUE!</v>
      </c>
      <c r="B24457" s="0" t="s">
        <v>24281</v>
      </c>
    </row>
    <row r="24458" customFormat="false" ht="15" hidden="false" customHeight="false" outlineLevel="0" collapsed="false">
      <c r="A24458" s="0" t="e">
        <f aca="false">OPT_BARRIER(100,0.2,0.1,0.02,1,0,0,0,2,"Call","i","x","x")</f>
        <v>#VALUE!</v>
      </c>
      <c r="B24458" s="0" t="s">
        <v>24282</v>
      </c>
    </row>
    <row r="24459" customFormat="false" ht="15" hidden="false" customHeight="false" outlineLevel="0" collapsed="false">
      <c r="A24459" s="0" t="e">
        <f aca="false">OPT_BARRIER(95,0.2,0.1,-0.02,0.25,80,70,130,5.5,"p","in","x","o")</f>
        <v>#VALUE!</v>
      </c>
      <c r="B24459" s="0" t="s">
        <v>24283</v>
      </c>
    </row>
    <row r="24460" customFormat="false" ht="15" hidden="false" customHeight="false" outlineLevel="0" collapsed="false">
      <c r="A24460" s="0" t="n">
        <f aca="false">OPT_BARRIER(120,0.1,-0.01,0.02,0.25,100,95,105,0,"p","i","end","gamma")</f>
        <v>1.23840240708319E-005</v>
      </c>
      <c r="B24460" s="0" t="s">
        <v>24284</v>
      </c>
    </row>
    <row r="24461" customFormat="false" ht="15" hidden="false" customHeight="false" outlineLevel="0" collapsed="false">
      <c r="A24461" s="0" t="n">
        <f aca="false">OPT_BARRIER(100,0.2,-0.01,0,2,90,90,120,5.5,"c","i","end","d")</f>
        <v>0.605400311691061</v>
      </c>
      <c r="B24461" s="0" t="s">
        <v>24285</v>
      </c>
    </row>
    <row r="24462" customFormat="false" ht="15" hidden="false" customHeight="false" outlineLevel="0" collapsed="false">
      <c r="A24462" s="0" t="n">
        <f aca="false">OPT_BARRIER(80,0.5,0.1,0.05,5,100,90,120,2,"c","in","end","rho")</f>
        <v>90.2639317882104</v>
      </c>
      <c r="B24462" s="0" t="s">
        <v>24286</v>
      </c>
    </row>
    <row r="24463" customFormat="false" ht="15" hidden="false" customHeight="false" outlineLevel="0" collapsed="false">
      <c r="A24463" s="0" t="n">
        <f aca="false">OPT_BARRIER(120,0.05,0,-0.02,5,80,0,0,0,"put","i","c","o")</f>
        <v>0</v>
      </c>
      <c r="B24463" s="0" t="s">
        <v>24287</v>
      </c>
    </row>
    <row r="24464" customFormat="false" ht="15" hidden="false" customHeight="false" outlineLevel="0" collapsed="false">
      <c r="A24464" s="0" t="e">
        <f aca="false">OPT_BARRIER(80,0.3,0.05,0,0.25,100,120,90,2,"put","in","x","rhof")</f>
        <v>#VALUE!</v>
      </c>
      <c r="B24464" s="0" t="s">
        <v>24288</v>
      </c>
    </row>
    <row r="24465" customFormat="false" ht="15" hidden="false" customHeight="false" outlineLevel="0" collapsed="false">
      <c r="A24465" s="0" t="n">
        <f aca="false">OPT_BARRIER(100.5,0.3,0.1,0.02,0.25,100,85,115,0,"c","in","end","delta")</f>
        <v>0.515848387070048</v>
      </c>
      <c r="B24465" s="0" t="s">
        <v>24289</v>
      </c>
    </row>
    <row r="24466" customFormat="false" ht="15" hidden="false" customHeight="false" outlineLevel="0" collapsed="false">
      <c r="A24466" s="0" t="e">
        <f aca="false">OPT_BARRIER(95,0.5,0.1,0.02,0,100,120,90,0,"Call","in","cont","d")</f>
        <v>#VALUE!</v>
      </c>
      <c r="B24466" s="0" t="s">
        <v>24290</v>
      </c>
    </row>
    <row r="24467" customFormat="false" ht="15" hidden="false" customHeight="false" outlineLevel="0" collapsed="false">
      <c r="A24467" s="0" t="e">
        <f aca="false">OPT_BARRIER(120,0.1,0,-0.02,0,90,90,120,0,"c","o","x","f")</f>
        <v>#VALUE!</v>
      </c>
      <c r="B24467" s="0" t="s">
        <v>24291</v>
      </c>
    </row>
    <row r="24468" customFormat="false" ht="15" hidden="false" customHeight="false" outlineLevel="0" collapsed="false">
      <c r="A24468" s="0" t="e">
        <f aca="false">OPT_BARRIER(80,0.3,0.1,0,0.25,120,90,0,0,"Call","out","cont","theta")</f>
        <v>#VALUE!</v>
      </c>
      <c r="B24468" s="0" t="s">
        <v>24292</v>
      </c>
    </row>
    <row r="24469" customFormat="false" ht="15" hidden="false" customHeight="false" outlineLevel="0" collapsed="false">
      <c r="A24469" s="0" t="n">
        <f aca="false">OPT_BARRIER(60,0.1,0,0.05,0.01,80,0,120,2,"call","i","cont","f")</f>
        <v>0</v>
      </c>
      <c r="B24469" s="0" t="s">
        <v>24293</v>
      </c>
    </row>
    <row r="24470" customFormat="false" ht="15" hidden="false" customHeight="false" outlineLevel="0" collapsed="false">
      <c r="A24470" s="0" t="n">
        <f aca="false">OPT_BARRIER(150,0.05,0.02,0.05,0,80,90,120,5.5,"call","i","e","volga")</f>
        <v>0</v>
      </c>
      <c r="B24470" s="0" t="s">
        <v>24294</v>
      </c>
    </row>
    <row r="24471" customFormat="false" ht="15" hidden="false" customHeight="false" outlineLevel="0" collapsed="false">
      <c r="A24471" s="0" t="n">
        <f aca="false">OPT_BARRIER(150,0.2,0.1,0.02,5,100,70,130,5.5,"put","o","end","a")</f>
        <v>-0.110810074170398</v>
      </c>
      <c r="B24471" s="0" t="s">
        <v>24295</v>
      </c>
    </row>
    <row r="24472" customFormat="false" ht="15" hidden="false" customHeight="false" outlineLevel="0" collapsed="false">
      <c r="A24472" s="0" t="n">
        <f aca="false">OPT_BARRIER(150,0.05,-0.01,0.05,0,120,90,120,0,"p","i","e","o")</f>
        <v>0</v>
      </c>
      <c r="B24472" s="0" t="s">
        <v>24296</v>
      </c>
    </row>
    <row r="24473" customFormat="false" ht="15" hidden="false" customHeight="false" outlineLevel="0" collapsed="false">
      <c r="A24473" s="0" t="e">
        <f aca="false">OPT_BARRIER(100.5,0.5,0,0.05,5,0,0,0,0,"Call","in","x","gamma")</f>
        <v>#VALUE!</v>
      </c>
      <c r="B24473" s="0" t="s">
        <v>24297</v>
      </c>
    </row>
    <row r="24474" customFormat="false" ht="15" hidden="false" customHeight="false" outlineLevel="0" collapsed="false">
      <c r="A24474" s="0" t="n">
        <f aca="false">OPT_BARRIER(150,0.3,0.1,0,1,100,120,90,5.5,"call","i","cont","g")</f>
        <v>0.00164667017206735</v>
      </c>
      <c r="B24474" s="0" t="s">
        <v>24298</v>
      </c>
    </row>
    <row r="24475" customFormat="false" ht="15" hidden="false" customHeight="false" outlineLevel="0" collapsed="false">
      <c r="A24475" s="0" t="e">
        <f aca="false">OPT_BARRIER(120,0.2,-0.01,0,0.01,120,95,105,0,"Call","i","cont",1)</f>
        <v>#VALUE!</v>
      </c>
      <c r="B24475" s="0" t="s">
        <v>24299</v>
      </c>
    </row>
    <row r="24476" customFormat="false" ht="15" hidden="false" customHeight="false" outlineLevel="0" collapsed="false">
      <c r="A24476" s="0" t="n">
        <f aca="false">OPT_BARRIER(60,0.5,0.1,0.02,0.25,0,90,120,5.5,"c","i","c","value")</f>
        <v>59.7007487515609</v>
      </c>
      <c r="B24476" s="0" t="s">
        <v>24300</v>
      </c>
    </row>
    <row r="24477" customFormat="false" ht="15" hidden="false" customHeight="false" outlineLevel="0" collapsed="false">
      <c r="A24477" s="0" t="e">
        <f aca="false">OPT_BARRIER(120,0.1,0,-0.02,0.01,120,120,90,5.5,"Call","in","cont","d")</f>
        <v>#VALUE!</v>
      </c>
      <c r="B24477" s="0" t="s">
        <v>24301</v>
      </c>
    </row>
    <row r="24478" customFormat="false" ht="15" hidden="false" customHeight="false" outlineLevel="0" collapsed="false">
      <c r="A24478" s="0" t="n">
        <f aca="false">OPT_BARRIER(95,0.5,0.02,0.02,0.25,100,85,115,0,"call","out","c","rho")</f>
        <v>0.0313648123325962</v>
      </c>
      <c r="B24478" s="0" t="s">
        <v>24302</v>
      </c>
    </row>
    <row r="24479" customFormat="false" ht="15" hidden="false" customHeight="false" outlineLevel="0" collapsed="false">
      <c r="A24479" s="0" t="n">
        <f aca="false">OPT_BARRIER(60,0.2,-0.01,-0.02,1,110,0,0,5.5,"put","o","end")</f>
        <v>49.9001560761005</v>
      </c>
      <c r="B24479" s="0" t="s">
        <v>24303</v>
      </c>
    </row>
    <row r="24480" customFormat="false" ht="15" hidden="false" customHeight="false" outlineLevel="0" collapsed="false">
      <c r="A24480" s="0" t="n">
        <f aca="false">OPT_BARRIER(150,0.5,0.02,-0.02,2,100,85,115,5.5,"c","in","e","rhof")</f>
        <v>-265.1618115012</v>
      </c>
      <c r="B24480" s="0" t="s">
        <v>24304</v>
      </c>
    </row>
    <row r="24481" customFormat="false" ht="15" hidden="false" customHeight="false" outlineLevel="0" collapsed="false">
      <c r="A24481" s="0" t="n">
        <f aca="false">OPT_BARRIER(95,0.2,-0.01,0.05,0.01,110,0,0,0,"put","out","c","o")</f>
        <v>1.90445419712224E-009</v>
      </c>
      <c r="B24481" s="0" t="s">
        <v>24305</v>
      </c>
    </row>
    <row r="24482" customFormat="false" ht="15" hidden="false" customHeight="false" outlineLevel="0" collapsed="false">
      <c r="A24482" s="0" t="n">
        <f aca="false">OPT_BARRIER(100.5,0.5,0.02,0,0,0,120,90,2,"p","o","c","rho")</f>
        <v>0</v>
      </c>
      <c r="B24482" s="0" t="s">
        <v>24306</v>
      </c>
    </row>
    <row r="24483" customFormat="false" ht="15" hidden="false" customHeight="false" outlineLevel="0" collapsed="false">
      <c r="A24483" s="0" t="e">
        <f aca="false">OPT_BARRIER(150,0.05,0.1,-0.02,1,100,0,120,5.5,"Call","out","c","e")</f>
        <v>#VALUE!</v>
      </c>
      <c r="B24483" s="0" t="s">
        <v>24307</v>
      </c>
    </row>
    <row r="24484" customFormat="false" ht="15" hidden="false" customHeight="false" outlineLevel="0" collapsed="false">
      <c r="A24484" s="0" t="e">
        <f aca="false">OPT_BARRIER(80,0.2,0.1,0.02,0.5,120,85,115,5.5,"p","o","c",1)</f>
        <v>#VALUE!</v>
      </c>
      <c r="B24484" s="0" t="s">
        <v>24308</v>
      </c>
    </row>
    <row r="24485" customFormat="false" ht="15" hidden="false" customHeight="false" outlineLevel="0" collapsed="false">
      <c r="A24485" s="0" t="e">
        <f aca="false">OPT_BARRIER(100,0.1,0.1,0.02,1,100,0,120,0,"Call","i","e","value")</f>
        <v>#VALUE!</v>
      </c>
      <c r="B24485" s="0" t="s">
        <v>24309</v>
      </c>
    </row>
    <row r="24486" customFormat="false" ht="15" hidden="false" customHeight="false" outlineLevel="0" collapsed="false">
      <c r="A24486" s="0" t="n">
        <f aca="false">OPT_BARRIER(95,0.3,-0.01,0.02,1,90,120,90,2,"c","i","end","theta")</f>
        <v>-3.89664168148998</v>
      </c>
      <c r="B24486" s="0" t="s">
        <v>24310</v>
      </c>
    </row>
    <row r="24487" customFormat="false" ht="15" hidden="false" customHeight="false" outlineLevel="0" collapsed="false">
      <c r="A24487" s="0" t="e">
        <f aca="false">OPT_BARRIER(80,0.5,-0.01,-0.02,0.01,100,90,120,5.5,"Call","in","c","x")</f>
        <v>#VALUE!</v>
      </c>
      <c r="B24487" s="0" t="s">
        <v>24311</v>
      </c>
    </row>
    <row r="24488" customFormat="false" ht="15" hidden="false" customHeight="false" outlineLevel="0" collapsed="false">
      <c r="A24488" s="0" t="e">
        <f aca="false">OPT_BARRIER(100,0.1,0.1,-0.02,0.01,120,0,120,0,"put","in","end","x")</f>
        <v>#VALUE!</v>
      </c>
      <c r="B24488" s="0" t="s">
        <v>24312</v>
      </c>
    </row>
    <row r="24489" customFormat="false" ht="15" hidden="false" customHeight="false" outlineLevel="0" collapsed="false">
      <c r="A24489" s="0" t="e">
        <f aca="false">OPT_BARRIER(95,0.3,0.1,0,5,110,85,115,0,"put","o","x","gamma")</f>
        <v>#VALUE!</v>
      </c>
      <c r="B24489" s="0" t="s">
        <v>24313</v>
      </c>
    </row>
    <row r="24490" customFormat="false" ht="15" hidden="false" customHeight="false" outlineLevel="0" collapsed="false">
      <c r="A24490" s="0" t="n">
        <f aca="false">OPT_BARRIER(100.5,0.5,-0.01,0.05,0.25,100,90,0,0,"call","i","cont","rho")</f>
        <v>2.12388506113876</v>
      </c>
      <c r="B24490" s="0" t="s">
        <v>24314</v>
      </c>
    </row>
    <row r="24491" customFormat="false" ht="15" hidden="false" customHeight="false" outlineLevel="0" collapsed="false">
      <c r="A24491" s="0" t="e">
        <f aca="false">OPT_BARRIER(120,0.3,0.02,-0.02,0.5,90,120,90,2,"Call","out","end","a")</f>
        <v>#VALUE!</v>
      </c>
      <c r="B24491" s="0" t="s">
        <v>24315</v>
      </c>
    </row>
    <row r="24492" customFormat="false" ht="15" hidden="false" customHeight="false" outlineLevel="0" collapsed="false">
      <c r="A24492" s="0" t="n">
        <f aca="false">OPT_BARRIER(100.5,0.2,0,0,1,100,0,0,2,"call","out","end","a")</f>
        <v>0.148563577596425</v>
      </c>
      <c r="B24492" s="0" t="s">
        <v>24316</v>
      </c>
    </row>
    <row r="24493" customFormat="false" ht="15" hidden="false" customHeight="false" outlineLevel="0" collapsed="false">
      <c r="A24493" s="0" t="n">
        <f aca="false">OPT_BARRIER(120,0.3,-0.01,0.02,5,0,70,130,5.5,"c","o","cont","rho")</f>
        <v>-29.4098876461836</v>
      </c>
      <c r="B24493" s="0" t="s">
        <v>24317</v>
      </c>
    </row>
    <row r="24494" customFormat="false" ht="15" hidden="false" customHeight="false" outlineLevel="0" collapsed="false">
      <c r="A24494" s="0" t="n">
        <f aca="false">OPT_BARRIER(100,0.5,-0.01,0.02,0.01,120,70,130,5.5,"c","i","c","f")</f>
        <v>-6.33003606599337E-007</v>
      </c>
      <c r="B24494" s="0" t="s">
        <v>24318</v>
      </c>
    </row>
    <row r="24495" customFormat="false" ht="15" hidden="false" customHeight="false" outlineLevel="0" collapsed="false">
      <c r="A24495" s="0" t="n">
        <f aca="false">OPT_BARRIER(80,0.1,0.1,0,2,110,120,90,2,"c","i","end","f")</f>
        <v>-35.4520538722607</v>
      </c>
      <c r="B24495" s="0" t="s">
        <v>24319</v>
      </c>
    </row>
    <row r="24496" customFormat="false" ht="15" hidden="false" customHeight="false" outlineLevel="0" collapsed="false">
      <c r="A24496" s="0" t="e">
        <f aca="false">OPT_BARRIER(60,0.5,0,0.05,5,80,70,130,0,"Call","o","x",TRUE())</f>
        <v>#VALUE!</v>
      </c>
      <c r="B24496" s="0" t="s">
        <v>24320</v>
      </c>
    </row>
    <row r="24497" customFormat="false" ht="15" hidden="false" customHeight="false" outlineLevel="0" collapsed="false">
      <c r="A24497" s="0" t="e">
        <f aca="false">OPT_BARRIER(100,0.1,0.05,0,0.01,100,90,120,5.5,"Call","out","x","o")</f>
        <v>#VALUE!</v>
      </c>
      <c r="B24497" s="0" t="s">
        <v>24321</v>
      </c>
    </row>
    <row r="24498" customFormat="false" ht="15" hidden="false" customHeight="false" outlineLevel="0" collapsed="false">
      <c r="A24498" s="0" t="e">
        <f aca="false">OPT_BARRIER(80,0.5,-0.01,0,0.5,120,70,130,0,"p","out","x","d")</f>
        <v>#VALUE!</v>
      </c>
      <c r="B24498" s="0" t="s">
        <v>24322</v>
      </c>
    </row>
    <row r="24499" customFormat="false" ht="15" hidden="false" customHeight="false" outlineLevel="0" collapsed="false">
      <c r="A24499" s="0" t="n">
        <f aca="false">OPT_BARRIER(150,0.05,0.02,0,0,100,70,130,5.5,"p","o","cont","o")</f>
        <v>0</v>
      </c>
      <c r="B24499" s="0" t="s">
        <v>24323</v>
      </c>
    </row>
    <row r="24500" customFormat="false" ht="15" hidden="false" customHeight="false" outlineLevel="0" collapsed="false">
      <c r="A24500" s="0" t="n">
        <f aca="false">OPT_BARRIER(95,0.3,-0.01,0.05,0.25,100,0,120,2,"put","i","e","rhof")</f>
        <v>0.297266380738748</v>
      </c>
      <c r="B24500" s="0" t="s">
        <v>24324</v>
      </c>
    </row>
    <row r="24501" customFormat="false" ht="15" hidden="false" customHeight="false" outlineLevel="0" collapsed="false">
      <c r="A24501" s="0" t="n">
        <f aca="false">OPT_BARRIER(100.5,0.2,0,0.02,0,100,95,105,2,"c","in","e","value")</f>
        <v>2</v>
      </c>
      <c r="B24501" s="0" t="s">
        <v>24325</v>
      </c>
    </row>
    <row r="24502" customFormat="false" ht="15" hidden="false" customHeight="false" outlineLevel="0" collapsed="false">
      <c r="A24502" s="0" t="e">
        <f aca="false">OPT_BARRIER(95,0.2,0.05,0.02,0.25,80,0,0,0,"p","in","x","a")</f>
        <v>#VALUE!</v>
      </c>
      <c r="B24502" s="0" t="s">
        <v>24326</v>
      </c>
    </row>
    <row r="24503" customFormat="false" ht="15" hidden="false" customHeight="false" outlineLevel="0" collapsed="false">
      <c r="A24503" s="0" t="n">
        <f aca="false">OPT_BARRIER(60,0.05,0,-0.02,5,90,90,0,0,"c","o","end","rhof")</f>
        <v>-1.23417607460237</v>
      </c>
      <c r="B24503" s="0" t="s">
        <v>24327</v>
      </c>
    </row>
    <row r="24504" customFormat="false" ht="15" hidden="false" customHeight="false" outlineLevel="0" collapsed="false">
      <c r="A24504" s="0" t="n">
        <f aca="false">OPT_BARRIER(95,0.05,-0.01,0,5,110,95,105,2,"call","o","end","volga")</f>
        <v>194.87293042947</v>
      </c>
      <c r="B24504" s="0" t="s">
        <v>24328</v>
      </c>
    </row>
    <row r="24505" customFormat="false" ht="15" hidden="false" customHeight="false" outlineLevel="0" collapsed="false">
      <c r="A24505" s="0" t="e">
        <f aca="false">OPT_BARRIER(60,0.5,0,-0.02,0.01,100,85,115,2,"put","o","end","x")</f>
        <v>#VALUE!</v>
      </c>
      <c r="B24505" s="0" t="s">
        <v>24329</v>
      </c>
    </row>
    <row r="24506" customFormat="false" ht="15" hidden="false" customHeight="false" outlineLevel="0" collapsed="false">
      <c r="A24506" s="0" t="n">
        <f aca="false">OPT_BARRIER(95,0.1,0.05,-0.02,2,110,0,0,5.5,"call","in","cont","volga")</f>
        <v>0</v>
      </c>
      <c r="B24506" s="0" t="s">
        <v>24330</v>
      </c>
    </row>
    <row r="24507" customFormat="false" ht="15" hidden="false" customHeight="false" outlineLevel="0" collapsed="false">
      <c r="A24507" s="0" t="n">
        <f aca="false">OPT_BARRIER(120,0.2,-0.01,0.02,0,90,70,130,0,"c","o","end","o")</f>
        <v>0</v>
      </c>
      <c r="B24507" s="0" t="s">
        <v>24331</v>
      </c>
    </row>
    <row r="24508" customFormat="false" ht="15" hidden="false" customHeight="false" outlineLevel="0" collapsed="false">
      <c r="A24508" s="0" t="e">
        <f aca="false">OPT_BARRIER(100,0.5,0,0.02,2,100,0,0,0,"Call","i","cont","d")</f>
        <v>#VALUE!</v>
      </c>
      <c r="B24508" s="0" t="s">
        <v>24332</v>
      </c>
    </row>
    <row r="24509" customFormat="false" ht="15" hidden="false" customHeight="false" outlineLevel="0" collapsed="false">
      <c r="A24509" s="0" t="n">
        <f aca="false">OPT_BARRIER(95,0.05,0.1,0.05,0,100,0,0,5.5,"call","o","c","rhof")</f>
        <v>0</v>
      </c>
      <c r="B24509" s="0" t="s">
        <v>24333</v>
      </c>
    </row>
    <row r="24510" customFormat="false" ht="15" hidden="false" customHeight="false" outlineLevel="0" collapsed="false">
      <c r="A24510" s="0" t="n">
        <f aca="false">OPT_BARRIER(60,0.1,-0.01,0,0.01,100,70,130,0,"c","out","c","volga")</f>
        <v>0</v>
      </c>
      <c r="B24510" s="0" t="s">
        <v>24334</v>
      </c>
    </row>
    <row r="24511" customFormat="false" ht="15" hidden="false" customHeight="false" outlineLevel="0" collapsed="false">
      <c r="A24511" s="0" t="e">
        <f aca="false">OPT_BARRIER(60,0.05,0.1,0,1,110,120,90,2,"put","o","x","f")</f>
        <v>#VALUE!</v>
      </c>
      <c r="B24511" s="0" t="s">
        <v>24335</v>
      </c>
    </row>
    <row r="24512" customFormat="false" ht="15" hidden="false" customHeight="false" outlineLevel="0" collapsed="false">
      <c r="A24512" s="0" t="n">
        <f aca="false">OPT_BARRIER(95,0.1,0.1,0.02,5,100,0,120,0,"put","in","end","rho")</f>
        <v>0</v>
      </c>
      <c r="B24512" s="0" t="s">
        <v>24336</v>
      </c>
    </row>
    <row r="24513" customFormat="false" ht="15" hidden="false" customHeight="false" outlineLevel="0" collapsed="false">
      <c r="A24513" s="0" t="n">
        <f aca="false">OPT_BARRIER(80,0.2,0.05,0,2,90,0,120,5.5,"p","i","end","g")</f>
        <v>-0.00172619452292203</v>
      </c>
      <c r="B24513" s="0" t="s">
        <v>24337</v>
      </c>
    </row>
    <row r="24514" customFormat="false" ht="15" hidden="false" customHeight="false" outlineLevel="0" collapsed="false">
      <c r="A24514" s="0" t="e">
        <f aca="false">OPT_BARRIER(120,0.5,-0.01,-0.02,1,100,90,0,0,"c","i","x","o")</f>
        <v>#VALUE!</v>
      </c>
      <c r="B24514" s="0" t="s">
        <v>24338</v>
      </c>
    </row>
    <row r="24515" customFormat="false" ht="15" hidden="false" customHeight="false" outlineLevel="0" collapsed="false">
      <c r="A24515" s="0" t="n">
        <f aca="false">OPT_BARRIER(150,0.2,0.1,0,5,100,85,115,0,"put","in","c","o")</f>
        <v>216.373518626536</v>
      </c>
      <c r="B24515" s="0" t="s">
        <v>24339</v>
      </c>
    </row>
    <row r="24516" customFormat="false" ht="15" hidden="false" customHeight="false" outlineLevel="0" collapsed="false">
      <c r="A24516" s="0" t="n">
        <f aca="false">OPT_BARRIER(120,0.2,0.02,0.02,0.25,100,120,90,5.5,"call","o","e","volga")</f>
        <v>0</v>
      </c>
      <c r="B24516" s="0" t="s">
        <v>24340</v>
      </c>
    </row>
    <row r="24517" customFormat="false" ht="15" hidden="false" customHeight="false" outlineLevel="0" collapsed="false">
      <c r="A24517" s="0" t="n">
        <f aca="false">OPT_BARRIER(60,0.1,0,0.02,0.25,120,0,0,5.5,"put","i","e","price")</f>
        <v>5.5</v>
      </c>
      <c r="B24517" s="0" t="s">
        <v>24341</v>
      </c>
    </row>
    <row r="24518" customFormat="false" ht="15" hidden="false" customHeight="false" outlineLevel="0" collapsed="false">
      <c r="A24518" s="0" t="n">
        <f aca="false">OPT_BARRIER(150,0.3,0.1,0,0.5,110,85,115,0,"call","i","end","g")</f>
        <v>0.00236827249919044</v>
      </c>
      <c r="B24518" s="0" t="s">
        <v>24342</v>
      </c>
    </row>
    <row r="24519" customFormat="false" ht="15" hidden="false" customHeight="false" outlineLevel="0" collapsed="false">
      <c r="A24519" s="0" t="e">
        <f aca="false">OPT_BARRIER(120,0.05,0.1,0,0,100,120,90,5.5,"Call","i","x","e")</f>
        <v>#VALUE!</v>
      </c>
      <c r="B24519" s="0" t="s">
        <v>24343</v>
      </c>
    </row>
    <row r="24520" customFormat="false" ht="15" hidden="false" customHeight="false" outlineLevel="0" collapsed="false">
      <c r="A24520" s="0" t="n">
        <f aca="false">OPT_BARRIER(120,0.2,0.05,0.02,0.01,100,85,115,0,"put","i","cont","a")</f>
        <v>-1.30366809886728E-017</v>
      </c>
      <c r="B24520" s="0" t="s">
        <v>24344</v>
      </c>
    </row>
    <row r="24521" customFormat="false" ht="15" hidden="false" customHeight="false" outlineLevel="0" collapsed="false">
      <c r="A24521" s="0" t="e">
        <f aca="false">OPT_BARRIER(100,0.1,0.1,0.02,2,0,70,130,5.5,"Call","o","cont","volga")</f>
        <v>#VALUE!</v>
      </c>
      <c r="B24521" s="0" t="s">
        <v>24345</v>
      </c>
    </row>
    <row r="24522" customFormat="false" ht="15" hidden="false" customHeight="false" outlineLevel="0" collapsed="false">
      <c r="A24522" s="0" t="e">
        <f aca="false">OPT_BARRIER(100.5,0.2,0,0,5,0,70,130,2,"Call","o","cont","volga")</f>
        <v>#VALUE!</v>
      </c>
      <c r="B24522" s="0" t="s">
        <v>24346</v>
      </c>
    </row>
    <row r="24523" customFormat="false" ht="15" hidden="false" customHeight="false" outlineLevel="0" collapsed="false">
      <c r="A24523" s="0" t="e">
        <f aca="false">OPT_BARRIER(100.5,0.2,0.02,0.02,0.01,80,90,0,0,"Call","out","e","rhof")</f>
        <v>#VALUE!</v>
      </c>
      <c r="B24523" s="0" t="s">
        <v>24347</v>
      </c>
    </row>
    <row r="24524" customFormat="false" ht="15" hidden="false" customHeight="false" outlineLevel="0" collapsed="false">
      <c r="A24524" s="0" t="n">
        <f aca="false">OPT_BARRIER(60,0.1,0,-0.02,0.5,120,85,115,0,"p","in","cont","delta")</f>
        <v>-1.01005016708417</v>
      </c>
      <c r="B24524" s="0" t="s">
        <v>24348</v>
      </c>
    </row>
    <row r="24525" customFormat="false" ht="15" hidden="false" customHeight="false" outlineLevel="0" collapsed="false">
      <c r="A24525" s="0" t="n">
        <f aca="false">OPT_BARRIER(150,0.3,0.02,0.05,5,0,90,120,5.5,"c","in","cont","g")</f>
        <v>0</v>
      </c>
      <c r="B24525" s="0" t="s">
        <v>24349</v>
      </c>
    </row>
    <row r="24526" customFormat="false" ht="15" hidden="false" customHeight="false" outlineLevel="0" collapsed="false">
      <c r="A24526" s="0" t="n">
        <f aca="false">OPT_BARRIER(60,0.05,0.1,0.05,5,110,90,120,5.5,"p","in","cont","g")</f>
        <v>0.000345999648192534</v>
      </c>
      <c r="B24526" s="0" t="s">
        <v>24350</v>
      </c>
    </row>
    <row r="24527" customFormat="false" ht="15" hidden="false" customHeight="false" outlineLevel="0" collapsed="false">
      <c r="A24527" s="0" t="e">
        <f aca="false">OPT_BARRIER(100,0.2,0.1,0.02,0,0,120,90,5.5,"Call","i","end","g")</f>
        <v>#VALUE!</v>
      </c>
      <c r="B24527" s="0" t="s">
        <v>24351</v>
      </c>
    </row>
    <row r="24528" customFormat="false" ht="15" hidden="false" customHeight="false" outlineLevel="0" collapsed="false">
      <c r="A24528" s="0" t="n">
        <f aca="false">OPT_BARRIER(100,0.2,0.1,0.02,2,100,70,130,2,"p","in","e","o")</f>
        <v>298.519084313886</v>
      </c>
      <c r="B24528" s="0" t="s">
        <v>24352</v>
      </c>
    </row>
    <row r="24529" customFormat="false" ht="15" hidden="false" customHeight="false" outlineLevel="0" collapsed="false">
      <c r="A24529" s="0" t="e">
        <f aca="false">OPT_BARRIER(100.5,0.2,0.02,0,2,110,0,120,0,"Call","out","c","gamma")</f>
        <v>#VALUE!</v>
      </c>
      <c r="B24529" s="0" t="s">
        <v>24353</v>
      </c>
    </row>
    <row r="24530" customFormat="false" ht="15" hidden="false" customHeight="false" outlineLevel="0" collapsed="false">
      <c r="A24530" s="0" t="e">
        <f aca="false">OPT_BARRIER(95,0.5,0.1,0,2,90,0,0,5.5,"call","o","cont",1)</f>
        <v>#VALUE!</v>
      </c>
      <c r="B24530" s="0" t="s">
        <v>24354</v>
      </c>
    </row>
    <row r="24531" customFormat="false" ht="15" hidden="false" customHeight="false" outlineLevel="0" collapsed="false">
      <c r="A24531" s="0" t="n">
        <f aca="false">OPT_BARRIER(120,0.2,-0.01,-0.02,1,100,85,115,2,"p","o","cont","o")</f>
        <v>0</v>
      </c>
      <c r="B24531" s="0" t="s">
        <v>24355</v>
      </c>
    </row>
    <row r="24532" customFormat="false" ht="15" hidden="false" customHeight="false" outlineLevel="0" collapsed="false">
      <c r="A24532" s="0" t="n">
        <f aca="false">OPT_BARRIER(120,0.5,0.1,0,0,100,70,130,5.5,"p","o","cont","e")</f>
        <v>0</v>
      </c>
      <c r="B24532" s="0" t="s">
        <v>24356</v>
      </c>
    </row>
    <row r="24533" customFormat="false" ht="15" hidden="false" customHeight="false" outlineLevel="0" collapsed="false">
      <c r="A24533" s="0" t="n">
        <f aca="false">OPT_BARRIER(95,0.1,-0.01,-0.02,0,90,90,120,5.5,"put","o","e","g")</f>
        <v>0</v>
      </c>
      <c r="B24533" s="0" t="s">
        <v>24357</v>
      </c>
    </row>
    <row r="24534" customFormat="false" ht="15" hidden="false" customHeight="false" outlineLevel="0" collapsed="false">
      <c r="A24534" s="0" t="e">
        <f aca="false">OPT_BARRIER(80,0.1,0.1,0,0.5,0,70,130,0,"c","o","x","a")</f>
        <v>#VALUE!</v>
      </c>
      <c r="B24534" s="0" t="s">
        <v>24358</v>
      </c>
    </row>
    <row r="24535" customFormat="false" ht="15" hidden="false" customHeight="false" outlineLevel="0" collapsed="false">
      <c r="A24535" s="0" t="n">
        <f aca="false">OPT_BARRIER(95,0.05,0,-0.02,1,100,85,115,5.5,"c","in","end","rho")</f>
        <v>-3.74836496476145</v>
      </c>
      <c r="B24535" s="0" t="s">
        <v>24359</v>
      </c>
    </row>
    <row r="24536" customFormat="false" ht="15" hidden="false" customHeight="false" outlineLevel="0" collapsed="false">
      <c r="A24536" s="0" t="n">
        <f aca="false">OPT_BARRIER(100.5,0.3,0,0.05,0.5,100,0,120,0,"c","o","end","a")</f>
        <v>-0.627580714541348</v>
      </c>
      <c r="B24536" s="0" t="s">
        <v>24360</v>
      </c>
    </row>
    <row r="24537" customFormat="false" ht="15" hidden="false" customHeight="false" outlineLevel="0" collapsed="false">
      <c r="A24537" s="0" t="e">
        <f aca="false">OPT_BARRIER(100,0.5,0.1,0.02,1,100,0,120,5.5,"p","out","e",1)</f>
        <v>#VALUE!</v>
      </c>
      <c r="B24537" s="0" t="s">
        <v>24361</v>
      </c>
    </row>
    <row r="24538" customFormat="false" ht="15" hidden="false" customHeight="false" outlineLevel="0" collapsed="false">
      <c r="A24538" s="0" t="n">
        <f aca="false">OPT_BARRIER(80,0.05,0.05,0.02,0.01,120,90,0,5.5,"call","o","c","price")</f>
        <v>5.49725068738543</v>
      </c>
      <c r="B24538" s="0" t="s">
        <v>24362</v>
      </c>
    </row>
    <row r="24539" customFormat="false" ht="15" hidden="false" customHeight="false" outlineLevel="0" collapsed="false">
      <c r="A24539" s="0" t="e">
        <f aca="false">OPT_BARRIER(60,0.2,-0.01,-0.02,0.25,0,85,115,0,"put","o","x","rhof")</f>
        <v>#VALUE!</v>
      </c>
      <c r="B24539" s="0" t="s">
        <v>24363</v>
      </c>
    </row>
    <row r="24540" customFormat="false" ht="15" hidden="false" customHeight="false" outlineLevel="0" collapsed="false">
      <c r="A24540" s="0" t="e">
        <f aca="false">OPT_BARRIER(60,0.1,0.02,0.05,0,90,90,0,0,"Call","i","cont","f")</f>
        <v>#VALUE!</v>
      </c>
      <c r="B24540" s="0" t="s">
        <v>24364</v>
      </c>
    </row>
    <row r="24541" customFormat="false" ht="15" hidden="false" customHeight="false" outlineLevel="0" collapsed="false">
      <c r="A24541" s="0" t="n">
        <f aca="false">OPT_BARRIER(100,0.2,-0.01,-0.02,5,80,70,130,5.5,"call","out","e","theta")</f>
        <v>0.48418050200765</v>
      </c>
      <c r="B24541" s="0" t="s">
        <v>24365</v>
      </c>
    </row>
    <row r="24542" customFormat="false" ht="15" hidden="false" customHeight="false" outlineLevel="0" collapsed="false">
      <c r="A24542" s="0" t="e">
        <f aca="false">OPT_BARRIER(150,0.2,0,0.02,2,90,85,115,0,"Call","out","end","g")</f>
        <v>#VALUE!</v>
      </c>
      <c r="B24542" s="0" t="s">
        <v>24366</v>
      </c>
    </row>
    <row r="24543" customFormat="false" ht="15" hidden="false" customHeight="false" outlineLevel="0" collapsed="false">
      <c r="A24543" s="0" t="e">
        <f aca="false">OPT_BARRIER(100,0.5,0.05,-0.02,5,80,85,115,2,"call","i","e","")</f>
        <v>#VALUE!</v>
      </c>
      <c r="B24543" s="0" t="s">
        <v>24367</v>
      </c>
    </row>
    <row r="24544" customFormat="false" ht="15" hidden="false" customHeight="false" outlineLevel="0" collapsed="false">
      <c r="A24544" s="0" t="e">
        <f aca="false">OPT_BARRIER(95,0.2,0.1,0.05,5,100,95,105,5.5,"p","o","x","volga")</f>
        <v>#VALUE!</v>
      </c>
      <c r="B24544" s="0" t="s">
        <v>24368</v>
      </c>
    </row>
    <row r="24545" customFormat="false" ht="15" hidden="false" customHeight="false" outlineLevel="0" collapsed="false">
      <c r="A24545" s="0" t="e">
        <f aca="false">OPT_BARRIER(95,0.5,0.1,0.05,0.25,90,85,115,0,"Call","in","c","vanna")</f>
        <v>#VALUE!</v>
      </c>
      <c r="B24545" s="0" t="s">
        <v>24369</v>
      </c>
    </row>
    <row r="24546" customFormat="false" ht="15" hidden="false" customHeight="false" outlineLevel="0" collapsed="false">
      <c r="A24546" s="0" t="e">
        <f aca="false">OPT_BARRIER(100.5,0.2,0,0.02,5,90,70,130,2,"c","out","x","a")</f>
        <v>#VALUE!</v>
      </c>
      <c r="B24546" s="0" t="s">
        <v>24370</v>
      </c>
    </row>
    <row r="24547" customFormat="false" ht="15" hidden="false" customHeight="false" outlineLevel="0" collapsed="false">
      <c r="A24547" s="0" t="e">
        <f aca="false">OPT_BARRIER(150,0.5,0,0,0.5,120,0,120,0,"call","i","cont",1)</f>
        <v>#VALUE!</v>
      </c>
      <c r="B24547" s="0" t="s">
        <v>24371</v>
      </c>
    </row>
    <row r="24548" customFormat="false" ht="15" hidden="false" customHeight="false" outlineLevel="0" collapsed="false">
      <c r="A24548" s="0" t="e">
        <f aca="false">OPT_BARRIER(150,0.05,0,0.02,2,100,0,120,0,"c","i","x","rhof")</f>
        <v>#VALUE!</v>
      </c>
      <c r="B24548" s="0" t="s">
        <v>24372</v>
      </c>
    </row>
    <row r="24549" customFormat="false" ht="15" hidden="false" customHeight="false" outlineLevel="0" collapsed="false">
      <c r="A24549" s="0" t="e">
        <f aca="false">OPT_BARRIER(100,0.5,0.1,0,2,110,0,120,5.5,"Call","out","x","")</f>
        <v>#VALUE!</v>
      </c>
      <c r="B24549" s="0" t="s">
        <v>24373</v>
      </c>
    </row>
    <row r="24550" customFormat="false" ht="15" hidden="false" customHeight="false" outlineLevel="0" collapsed="false">
      <c r="A24550" s="0" t="e">
        <f aca="false">OPT_BARRIER(100.5,0.1,0.02,0.05,2,120,90,120,0,"call","i","x","volga")</f>
        <v>#VALUE!</v>
      </c>
      <c r="B24550" s="0" t="s">
        <v>24374</v>
      </c>
    </row>
    <row r="24551" customFormat="false" ht="15" hidden="false" customHeight="false" outlineLevel="0" collapsed="false">
      <c r="A24551" s="0" t="n">
        <f aca="false">OPT_BARRIER(150,0.05,0.1,-0.02,5,120,120,90,0,"put","out","e","g")</f>
        <v>0</v>
      </c>
      <c r="B24551" s="0" t="s">
        <v>24375</v>
      </c>
    </row>
    <row r="24552" customFormat="false" ht="15" hidden="false" customHeight="false" outlineLevel="0" collapsed="false">
      <c r="A24552" s="0" t="n">
        <f aca="false">OPT_BARRIER(80,0.3,0.05,-0.02,0,80,85,115,0,"p","out","e","rhof")</f>
        <v>-0</v>
      </c>
      <c r="B24552" s="0" t="s">
        <v>24376</v>
      </c>
    </row>
    <row r="24553" customFormat="false" ht="15" hidden="false" customHeight="false" outlineLevel="0" collapsed="false">
      <c r="A24553" s="0" t="e">
        <f aca="false">OPT_BARRIER(120,0.1,0.05,-0.02,0.01,90,0,0,0,"call","i","x","rhof")</f>
        <v>#VALUE!</v>
      </c>
      <c r="B24553" s="0" t="s">
        <v>24377</v>
      </c>
    </row>
    <row r="24554" customFormat="false" ht="15" hidden="false" customHeight="false" outlineLevel="0" collapsed="false">
      <c r="A24554" s="0" t="n">
        <f aca="false">OPT_BARRIER(100,0.3,0,0.02,0.25,80,95,105,0,"put","out","e","g")</f>
        <v>-0</v>
      </c>
      <c r="B24554" s="0" t="s">
        <v>24378</v>
      </c>
    </row>
    <row r="24555" customFormat="false" ht="15" hidden="false" customHeight="false" outlineLevel="0" collapsed="false">
      <c r="A24555" s="0" t="n">
        <f aca="false">OPT_BARRIER(100,0.1,-0.01,0,0.01,100,70,130,2,"call","out","c","value")</f>
        <v>0.393980263863938</v>
      </c>
      <c r="B24555" s="0" t="s">
        <v>24379</v>
      </c>
    </row>
    <row r="24556" customFormat="false" ht="15" hidden="false" customHeight="false" outlineLevel="0" collapsed="false">
      <c r="A24556" s="0" t="e">
        <f aca="false">OPT_BARRIER(100.5,0.5,-0.01,0,2,90,0,0,0,"Call","out","e","o")</f>
        <v>#VALUE!</v>
      </c>
      <c r="B24556" s="0" t="s">
        <v>24380</v>
      </c>
    </row>
    <row r="24557" customFormat="false" ht="15" hidden="false" customHeight="false" outlineLevel="0" collapsed="false">
      <c r="A24557" s="0" t="n">
        <f aca="false">OPT_BARRIER(120,0.5,0.05,0.02,0.25,0,95,105,0,"p","in","e","rho")</f>
        <v>0</v>
      </c>
      <c r="B24557" s="0" t="s">
        <v>24381</v>
      </c>
    </row>
    <row r="24558" customFormat="false" ht="15" hidden="false" customHeight="false" outlineLevel="0" collapsed="false">
      <c r="A24558" s="0" t="e">
        <f aca="false">OPT_BARRIER(120,0.3,0.1,-0.02,0,120,85,115,0,"call","i","c","")</f>
        <v>#VALUE!</v>
      </c>
      <c r="B24558" s="0" t="s">
        <v>24382</v>
      </c>
    </row>
    <row r="24559" customFormat="false" ht="15" hidden="false" customHeight="false" outlineLevel="0" collapsed="false">
      <c r="A24559" s="0" t="e">
        <f aca="false">OPT_BARRIER(95,0.1,0.1,0,1,80,70,130,0,"Call","in","cont","f")</f>
        <v>#VALUE!</v>
      </c>
      <c r="B24559" s="0" t="s">
        <v>24383</v>
      </c>
    </row>
    <row r="24560" customFormat="false" ht="15" hidden="false" customHeight="false" outlineLevel="0" collapsed="false">
      <c r="A24560" s="0" t="e">
        <f aca="false">OPT_BARRIER(60,0.3,0.02,0.05,5,100,85,115,2,"call","in","c",TRUE())</f>
        <v>#VALUE!</v>
      </c>
      <c r="B24560" s="0" t="s">
        <v>24384</v>
      </c>
    </row>
    <row r="24561" customFormat="false" ht="15" hidden="false" customHeight="false" outlineLevel="0" collapsed="false">
      <c r="A24561" s="0" t="n">
        <f aca="false">OPT_BARRIER(80,0.3,-0.01,0,0.5,100,70,130,0,"put","in","c","delta")</f>
        <v>-1.15355975549984</v>
      </c>
      <c r="B24561" s="0" t="s">
        <v>24385</v>
      </c>
    </row>
    <row r="24562" customFormat="false" ht="15" hidden="false" customHeight="false" outlineLevel="0" collapsed="false">
      <c r="A24562" s="0" t="n">
        <f aca="false">OPT_BARRIER(80,0.3,-0.01,0.02,1,100,0,0,2,"c","i","c","a")</f>
        <v>0</v>
      </c>
      <c r="B24562" s="0" t="s">
        <v>24386</v>
      </c>
    </row>
    <row r="24563" customFormat="false" ht="15" hidden="false" customHeight="false" outlineLevel="0" collapsed="false">
      <c r="A24563" s="0" t="n">
        <f aca="false">OPT_BARRIER(60,0.2,0.05,0.02,5,110,95,105,5.5,"p","o","cont","vanna")</f>
        <v>0</v>
      </c>
      <c r="B24563" s="0" t="s">
        <v>24387</v>
      </c>
    </row>
    <row r="24564" customFormat="false" ht="15" hidden="false" customHeight="false" outlineLevel="0" collapsed="false">
      <c r="A24564" s="0" t="e">
        <f aca="false">OPT_BARRIER(120,0.2,0,0,5,110,120,90,5.5,"put","o","x","theta")</f>
        <v>#VALUE!</v>
      </c>
      <c r="B24564" s="0" t="s">
        <v>24388</v>
      </c>
    </row>
    <row r="24565" customFormat="false" ht="15" hidden="false" customHeight="false" outlineLevel="0" collapsed="false">
      <c r="A24565" s="0" t="n">
        <f aca="false">OPT_BARRIER(80,0.3,0.02,0.05,2,120,90,0,2,"c","i","e","o")</f>
        <v>-5.66070621408657</v>
      </c>
      <c r="B24565" s="0" t="s">
        <v>24389</v>
      </c>
    </row>
    <row r="24566" customFormat="false" ht="15" hidden="false" customHeight="false" outlineLevel="0" collapsed="false">
      <c r="A24566" s="0" t="e">
        <f aca="false">OPT_BARRIER(150,0.3,0,0.05,0.25,100,90,120,0,"Call","in","e","delta")</f>
        <v>#VALUE!</v>
      </c>
      <c r="B24566" s="0" t="s">
        <v>24390</v>
      </c>
    </row>
    <row r="24567" customFormat="false" ht="15" hidden="false" customHeight="false" outlineLevel="0" collapsed="false">
      <c r="A24567" s="0" t="n">
        <f aca="false">OPT_BARRIER(80,0.2,0,0,1,90,85,115,2,"put","in","e","volga")</f>
        <v>22.686055504192</v>
      </c>
      <c r="B24567" s="0" t="s">
        <v>24391</v>
      </c>
    </row>
    <row r="24568" customFormat="false" ht="15" hidden="false" customHeight="false" outlineLevel="0" collapsed="false">
      <c r="A24568" s="0" t="n">
        <f aca="false">OPT_BARRIER(100,0.2,-0.01,0,0.5,80,95,105,0,"put","in","e","o")</f>
        <v>91.156194325679</v>
      </c>
      <c r="B24568" s="0" t="s">
        <v>24392</v>
      </c>
    </row>
    <row r="24569" customFormat="false" ht="15" hidden="false" customHeight="false" outlineLevel="0" collapsed="false">
      <c r="A24569" s="0" t="e">
        <f aca="false">OPT_BARRIER(100,0.1,0,0.05,0.5,90,85,115,0,"Call","in","cont","a")</f>
        <v>#VALUE!</v>
      </c>
      <c r="B24569" s="0" t="s">
        <v>24393</v>
      </c>
    </row>
    <row r="24570" customFormat="false" ht="15" hidden="false" customHeight="false" outlineLevel="0" collapsed="false">
      <c r="A24570" s="0" t="n">
        <f aca="false">OPT_BARRIER(150,0.1,0.02,0.02,0,110,0,120,0,"p","out","cont","delta")</f>
        <v>0</v>
      </c>
      <c r="B24570" s="0" t="s">
        <v>24394</v>
      </c>
    </row>
    <row r="24571" customFormat="false" ht="15" hidden="false" customHeight="false" outlineLevel="0" collapsed="false">
      <c r="A24571" s="0" t="n">
        <f aca="false">OPT_BARRIER(60,0.5,0,0.02,2,110,85,115,2,"call","o","cont","vega")</f>
        <v>0</v>
      </c>
      <c r="B24571" s="0" t="s">
        <v>24395</v>
      </c>
    </row>
    <row r="24572" customFormat="false" ht="15" hidden="false" customHeight="false" outlineLevel="0" collapsed="false">
      <c r="A24572" s="0" t="n">
        <f aca="false">OPT_BARRIER(60,0.1,0.02,-0.02,0.01,80,70,130,5.5,"call","i","e","a")</f>
        <v>3.71030582450547E-048</v>
      </c>
      <c r="B24572" s="0" t="s">
        <v>24396</v>
      </c>
    </row>
    <row r="24573" customFormat="false" ht="15" hidden="false" customHeight="false" outlineLevel="0" collapsed="false">
      <c r="A24573" s="0" t="e">
        <f aca="false">OPT_BARRIER(100.5,0.05,-0.01,-0.02,0.01,0,90,120,0,"c","o","x","a")</f>
        <v>#VALUE!</v>
      </c>
      <c r="B24573" s="0" t="s">
        <v>24397</v>
      </c>
    </row>
    <row r="24574" customFormat="false" ht="15" hidden="false" customHeight="false" outlineLevel="0" collapsed="false">
      <c r="A24574" s="0" t="n">
        <f aca="false">OPT_BARRIER(100.5,0.05,0.1,0,0.5,90,0,120,0,"call","i","e","volga")</f>
        <v>267.934917921174</v>
      </c>
      <c r="B24574" s="0" t="s">
        <v>24398</v>
      </c>
    </row>
    <row r="24575" customFormat="false" ht="15" hidden="false" customHeight="false" outlineLevel="0" collapsed="false">
      <c r="A24575" s="0" t="e">
        <f aca="false">OPT_BARRIER(95,0.3,-0.01,0.02,0.5,100,0,120,5.5,"c","out","x")</f>
        <v>#VALUE!</v>
      </c>
      <c r="B24575" s="0" t="s">
        <v>24399</v>
      </c>
    </row>
    <row r="24576" customFormat="false" ht="15" hidden="false" customHeight="false" outlineLevel="0" collapsed="false">
      <c r="A24576" s="0" t="n">
        <f aca="false">OPT_BARRIER(150,0.5,0,0.05,1,110,90,120,0,"p","out","c","o")</f>
        <v>0</v>
      </c>
      <c r="B24576" s="0" t="s">
        <v>24400</v>
      </c>
    </row>
    <row r="24577" customFormat="false" ht="15" hidden="false" customHeight="false" outlineLevel="0" collapsed="false">
      <c r="A24577" s="0" t="e">
        <f aca="false">OPT_BARRIER(100,0.5,0.05,0.05,0.5,100,90,120,0,"Call","i","e")</f>
        <v>#VALUE!</v>
      </c>
      <c r="B24577" s="0" t="s">
        <v>24401</v>
      </c>
    </row>
    <row r="24578" customFormat="false" ht="15" hidden="false" customHeight="false" outlineLevel="0" collapsed="false">
      <c r="A24578" s="0" t="e">
        <f aca="false">OPT_BARRIER(80,0.1,0,0.05,5,90,120,90,2,"Call","in","c","delta")</f>
        <v>#VALUE!</v>
      </c>
      <c r="B24578" s="0" t="s">
        <v>24402</v>
      </c>
    </row>
    <row r="24579" customFormat="false" ht="15" hidden="false" customHeight="false" outlineLevel="0" collapsed="false">
      <c r="A24579" s="0" t="e">
        <f aca="false">OPT_BARRIER(95,0.05,0.02,0,0,120,95,105,0,"Call","o","e","gamma")</f>
        <v>#VALUE!</v>
      </c>
      <c r="B24579" s="0" t="s">
        <v>24403</v>
      </c>
    </row>
    <row r="24580" customFormat="false" ht="15" hidden="false" customHeight="false" outlineLevel="0" collapsed="false">
      <c r="A24580" s="0" t="e">
        <f aca="false">OPT_BARRIER(150,0.3,0.05,-0.02,0.01,80,0,120,2,"Call","in","c")</f>
        <v>#VALUE!</v>
      </c>
      <c r="B24580" s="0" t="s">
        <v>24404</v>
      </c>
    </row>
    <row r="24581" customFormat="false" ht="15" hidden="false" customHeight="false" outlineLevel="0" collapsed="false">
      <c r="A24581" s="0" t="e">
        <f aca="false">OPT_BARRIER(95,0.1,0.05,0,0,90,90,0,0,"call","o","x",1)</f>
        <v>#VALUE!</v>
      </c>
      <c r="B24581" s="0" t="s">
        <v>24405</v>
      </c>
    </row>
    <row r="24582" customFormat="false" ht="15" hidden="false" customHeight="false" outlineLevel="0" collapsed="false">
      <c r="A24582" s="0" t="n">
        <f aca="false">OPT_BARRIER(95,0.2,0.02,0.02,2,100,95,105,2,"put","o","c","o")</f>
        <v>0</v>
      </c>
      <c r="B24582" s="0" t="s">
        <v>24406</v>
      </c>
    </row>
    <row r="24583" customFormat="false" ht="15" hidden="false" customHeight="false" outlineLevel="0" collapsed="false">
      <c r="A24583" s="0" t="e">
        <f aca="false">OPT_BARRIER(120,0.05,0.02,-0.02,2,100,120,90,0,"p","o","c","")</f>
        <v>#VALUE!</v>
      </c>
      <c r="B24583" s="0" t="s">
        <v>24407</v>
      </c>
    </row>
    <row r="24584" customFormat="false" ht="15" hidden="false" customHeight="false" outlineLevel="0" collapsed="false">
      <c r="A24584" s="0" t="n">
        <f aca="false">OPT_BARRIER(150,0.3,0.05,0,0.25,0,120,90,0,"c","out","end","d")</f>
        <v>0</v>
      </c>
      <c r="B24584" s="0" t="s">
        <v>24408</v>
      </c>
    </row>
    <row r="24585" customFormat="false" ht="15" hidden="false" customHeight="false" outlineLevel="0" collapsed="false">
      <c r="A24585" s="0" t="e">
        <f aca="false">OPT_BARRIER(100.5,0.2,0.02,0.05,2,80,0,0,0,"Call","in","e","gamma")</f>
        <v>#VALUE!</v>
      </c>
      <c r="B24585" s="0" t="s">
        <v>24409</v>
      </c>
    </row>
    <row r="24586" customFormat="false" ht="15" hidden="false" customHeight="false" outlineLevel="0" collapsed="false">
      <c r="A24586" s="0" t="e">
        <f aca="false">OPT_BARRIER(95,0.5,0.05,-0.02,0.01,0,85,115,5.5,"put","in","x","gamma")</f>
        <v>#VALUE!</v>
      </c>
      <c r="B24586" s="0" t="s">
        <v>24410</v>
      </c>
    </row>
    <row r="24587" customFormat="false" ht="15" hidden="false" customHeight="false" outlineLevel="0" collapsed="false">
      <c r="A24587" s="0" t="e">
        <f aca="false">OPT_BARRIER(60,0.2,0.1,0.02,5,0,85,115,0,"Call","out","x","g")</f>
        <v>#VALUE!</v>
      </c>
      <c r="B24587" s="0" t="s">
        <v>24411</v>
      </c>
    </row>
    <row r="24588" customFormat="false" ht="15" hidden="false" customHeight="false" outlineLevel="0" collapsed="false">
      <c r="A24588" s="0" t="e">
        <f aca="false">OPT_BARRIER(95,0.3,-0.01,0,0,120,120,90,5.5,"call","o","x","vega")</f>
        <v>#VALUE!</v>
      </c>
      <c r="B24588" s="0" t="s">
        <v>24412</v>
      </c>
    </row>
    <row r="24589" customFormat="false" ht="15" hidden="false" customHeight="false" outlineLevel="0" collapsed="false">
      <c r="A24589" s="0" t="n">
        <f aca="false">OPT_BARRIER(100.5,0.1,0,0.02,0,110,95,105,5.5,"call","out","end","gamma")</f>
        <v>0</v>
      </c>
      <c r="B24589" s="0" t="s">
        <v>24413</v>
      </c>
    </row>
    <row r="24590" customFormat="false" ht="15" hidden="false" customHeight="false" outlineLevel="0" collapsed="false">
      <c r="A24590" s="0" t="n">
        <f aca="false">OPT_BARRIER(80,0.2,0.1,-0.02,0,0,120,90,0,"put","i","cont")</f>
        <v>-0</v>
      </c>
      <c r="B24590" s="0" t="s">
        <v>24414</v>
      </c>
    </row>
    <row r="24591" customFormat="false" ht="15" hidden="false" customHeight="false" outlineLevel="0" collapsed="false">
      <c r="A24591" s="0" t="n">
        <f aca="false">OPT_BARRIER(100.5,0.05,0,0.05,0.5,120,120,90,0,"p","in","end","d")</f>
        <v>-0.975309906361213</v>
      </c>
      <c r="B24591" s="0" t="s">
        <v>24415</v>
      </c>
    </row>
    <row r="24592" customFormat="false" ht="15" hidden="false" customHeight="false" outlineLevel="0" collapsed="false">
      <c r="A24592" s="0" t="e">
        <f aca="false">OPT_BARRIER(120,0.05,0.02,0,5,90,95,105,0,"call","i","x","vanna")</f>
        <v>#VALUE!</v>
      </c>
      <c r="B24592" s="0" t="s">
        <v>24416</v>
      </c>
    </row>
    <row r="24593" customFormat="false" ht="15" hidden="false" customHeight="false" outlineLevel="0" collapsed="false">
      <c r="A24593" s="0" t="e">
        <f aca="false">OPT_BARRIER(120,0.1,0.05,-0.02,0.25,80,70,130,2,"Call","in","c","e")</f>
        <v>#VALUE!</v>
      </c>
      <c r="B24593" s="0" t="s">
        <v>24417</v>
      </c>
    </row>
    <row r="24594" customFormat="false" ht="15" hidden="false" customHeight="false" outlineLevel="0" collapsed="false">
      <c r="A24594" s="0" t="e">
        <f aca="false">OPT_BARRIER(100,0.3,0,0,0.5,110,0,120,2,"Call","out","x","a")</f>
        <v>#VALUE!</v>
      </c>
      <c r="B24594" s="0" t="s">
        <v>24418</v>
      </c>
    </row>
    <row r="24595" customFormat="false" ht="15" hidden="false" customHeight="false" outlineLevel="0" collapsed="false">
      <c r="A24595" s="0" t="e">
        <f aca="false">OPT_BARRIER(120,0.2,0.1,0.05,0.25,110,90,0,0,"put","out","c","")</f>
        <v>#VALUE!</v>
      </c>
      <c r="B24595" s="0" t="s">
        <v>24419</v>
      </c>
    </row>
    <row r="24596" customFormat="false" ht="15" hidden="false" customHeight="false" outlineLevel="0" collapsed="false">
      <c r="A24596" s="0" t="n">
        <f aca="false">OPT_BARRIER(60,0.05,-0.01,-0.02,5,110,0,0,5.5,"call","in","e","value")</f>
        <v>5.78199103006813</v>
      </c>
      <c r="B24596" s="0" t="s">
        <v>24420</v>
      </c>
    </row>
    <row r="24597" customFormat="false" ht="15" hidden="false" customHeight="false" outlineLevel="0" collapsed="false">
      <c r="A24597" s="0" t="n">
        <f aca="false">OPT_BARRIER(150,0.3,0.1,0.05,0.5,100,90,0,2,"c","out","end","o")</f>
        <v>63.0814081647241</v>
      </c>
      <c r="B24597" s="0" t="s">
        <v>24421</v>
      </c>
    </row>
    <row r="24598" customFormat="false" ht="15" hidden="false" customHeight="false" outlineLevel="0" collapsed="false">
      <c r="A24598" s="0" t="e">
        <f aca="false">OPT_BARRIER(100,0.5,0.1,-0.02,0.5,110,95,105,0,"Call","out","cont","delta")</f>
        <v>#VALUE!</v>
      </c>
      <c r="B24598" s="0" t="s">
        <v>24422</v>
      </c>
    </row>
    <row r="24599" customFormat="false" ht="15" hidden="false" customHeight="false" outlineLevel="0" collapsed="false">
      <c r="A24599" s="0" t="n">
        <f aca="false">OPT_BARRIER(95,0.1,0.05,-0.02,0.5,100,90,120,0,"call","o","cont","price")</f>
        <v>1.88228024698356</v>
      </c>
      <c r="B24599" s="0" t="s">
        <v>24423</v>
      </c>
    </row>
    <row r="24600" customFormat="false" ht="15" hidden="false" customHeight="false" outlineLevel="0" collapsed="false">
      <c r="A24600" s="0" t="n">
        <f aca="false">OPT_BARRIER(150,0.2,0.02,-0.02,0.25,120,95,105,5.5,"put","out","c","e")</f>
        <v>0</v>
      </c>
      <c r="B24600" s="0" t="s">
        <v>24424</v>
      </c>
    </row>
    <row r="24601" customFormat="false" ht="15" hidden="false" customHeight="false" outlineLevel="0" collapsed="false">
      <c r="A24601" s="0" t="n">
        <f aca="false">OPT_BARRIER(120,0.2,0,0,0,100,70,130,0,"put","in","e","g")</f>
        <v>0</v>
      </c>
      <c r="B24601" s="0" t="s">
        <v>24425</v>
      </c>
    </row>
    <row r="24602" customFormat="false" ht="15" hidden="false" customHeight="false" outlineLevel="0" collapsed="false">
      <c r="A24602" s="0" t="e">
        <f aca="false">OPT_BARRIER(80,0.05,-0.01,-0.02,0.5,0,70,130,0,"Call","o","e","rhof")</f>
        <v>#VALUE!</v>
      </c>
      <c r="B24602" s="0" t="s">
        <v>24426</v>
      </c>
    </row>
    <row r="24603" customFormat="false" ht="15" hidden="false" customHeight="false" outlineLevel="0" collapsed="false">
      <c r="A24603" s="0" t="n">
        <f aca="false">OPT_BARRIER(80,0.5,-0.01,-0.02,2,120,90,120,2,"put","out","end","o")</f>
        <v>13.0522017862647</v>
      </c>
      <c r="B24603" s="0" t="s">
        <v>24427</v>
      </c>
    </row>
    <row r="24604" customFormat="false" ht="15" hidden="false" customHeight="false" outlineLevel="0" collapsed="false">
      <c r="A24604" s="0" t="e">
        <f aca="false">OPT_BARRIER(150,0.5,0.05,0.05,0.01,80,0,0,5.5,"put","in","x","d")</f>
        <v>#VALUE!</v>
      </c>
      <c r="B24604" s="0" t="s">
        <v>24428</v>
      </c>
    </row>
    <row r="24605" customFormat="false" ht="15" hidden="false" customHeight="false" outlineLevel="0" collapsed="false">
      <c r="A24605" s="0" t="e">
        <f aca="false">OPT_BARRIER(95,0.1,0.02,0,0.25,120,0,0,2,"p","i","x","a")</f>
        <v>#VALUE!</v>
      </c>
      <c r="B24605" s="0" t="s">
        <v>24429</v>
      </c>
    </row>
    <row r="24606" customFormat="false" ht="15" hidden="false" customHeight="false" outlineLevel="0" collapsed="false">
      <c r="A24606" s="0" t="n">
        <f aca="false">OPT_BARRIER(120,0.3,0,-0.02,2,80,90,120,5.5,"call","in","end","gamma")</f>
        <v>0.00540296989268774</v>
      </c>
      <c r="B24606" s="0" t="s">
        <v>24430</v>
      </c>
    </row>
    <row r="24607" customFormat="false" ht="15" hidden="false" customHeight="false" outlineLevel="0" collapsed="false">
      <c r="A24607" s="0" t="e">
        <f aca="false">OPT_BARRIER(100.5,0.05,0.05,0.05,2,110,120,90,0,"c","i","x","delta")</f>
        <v>#VALUE!</v>
      </c>
      <c r="B24607" s="0" t="s">
        <v>24431</v>
      </c>
    </row>
    <row r="24608" customFormat="false" ht="15" hidden="false" customHeight="false" outlineLevel="0" collapsed="false">
      <c r="A24608" s="0" t="n">
        <f aca="false">OPT_BARRIER(80,0.3,0.1,-0.02,2,90,0,0,2,"put","out","c","rho")</f>
        <v>-69.2255627728603</v>
      </c>
      <c r="B24608" s="0" t="s">
        <v>24432</v>
      </c>
    </row>
    <row r="24609" customFormat="false" ht="15" hidden="false" customHeight="false" outlineLevel="0" collapsed="false">
      <c r="A24609" s="0" t="e">
        <f aca="false">OPT_BARRIER(150,0.5,0.1,0.05,0.5,80,90,0,5.5,"c","out","x","value")</f>
        <v>#VALUE!</v>
      </c>
      <c r="B24609" s="0" t="s">
        <v>24433</v>
      </c>
    </row>
    <row r="24610" customFormat="false" ht="15" hidden="false" customHeight="false" outlineLevel="0" collapsed="false">
      <c r="A24610" s="0" t="n">
        <f aca="false">OPT_BARRIER(60,0.2,-0.01,0.05,0.01,100,0,120,5.5,"put","i","end","e")</f>
        <v>-1.429910413592E-259</v>
      </c>
      <c r="B24610" s="0" t="s">
        <v>24434</v>
      </c>
    </row>
    <row r="24611" customFormat="false" ht="15" hidden="false" customHeight="false" outlineLevel="0" collapsed="false">
      <c r="A24611" s="0" t="e">
        <f aca="false">OPT_BARRIER(120,0.3,-0.01,0.02,0,0,90,120,2,"Call","o","x","rho")</f>
        <v>#VALUE!</v>
      </c>
      <c r="B24611" s="0" t="s">
        <v>24435</v>
      </c>
    </row>
    <row r="24612" customFormat="false" ht="15" hidden="false" customHeight="false" outlineLevel="0" collapsed="false">
      <c r="A24612" s="0" t="n">
        <f aca="false">OPT_BARRIER(100.5,0.05,0,-0.02,0.25,100,70,130,2,"c","o","e","value")</f>
        <v>1.58314939529309</v>
      </c>
      <c r="B24612" s="0" t="s">
        <v>24436</v>
      </c>
    </row>
    <row r="24613" customFormat="false" ht="15" hidden="false" customHeight="false" outlineLevel="0" collapsed="false">
      <c r="A24613" s="0" t="n">
        <f aca="false">OPT_BARRIER(100,0.2,0.02,0.02,0.25,100,70,130,0,"p","out","e","price")</f>
        <v>3.96097966767634</v>
      </c>
      <c r="B24613" s="0" t="s">
        <v>24437</v>
      </c>
    </row>
    <row r="24614" customFormat="false" ht="15" hidden="false" customHeight="false" outlineLevel="0" collapsed="false">
      <c r="A24614" s="0" t="n">
        <f aca="false">OPT_BARRIER(150,0.1,-0.01,-0.02,0.25,100,70,130,5.5,"put","out","e","vanna")</f>
        <v>0.339828759309887</v>
      </c>
      <c r="B24614" s="0" t="s">
        <v>24438</v>
      </c>
    </row>
    <row r="24615" customFormat="false" ht="15" hidden="false" customHeight="false" outlineLevel="0" collapsed="false">
      <c r="A24615" s="0" t="n">
        <f aca="false">OPT_BARRIER(80,0.1,0.1,0,5,110,0,120,0,"p","out","end","vanna")</f>
        <v>-1.82302173774395</v>
      </c>
      <c r="B24615" s="0" t="s">
        <v>24439</v>
      </c>
    </row>
    <row r="24616" customFormat="false" ht="15" hidden="false" customHeight="false" outlineLevel="0" collapsed="false">
      <c r="A24616" s="0" t="e">
        <f aca="false">OPT_BARRIER(95,0.2,0.02,0,0.25,120,120,90,2,"call","o","x","rhof")</f>
        <v>#VALUE!</v>
      </c>
      <c r="B24616" s="0" t="s">
        <v>24440</v>
      </c>
    </row>
    <row r="24617" customFormat="false" ht="15" hidden="false" customHeight="false" outlineLevel="0" collapsed="false">
      <c r="A24617" s="0" t="e">
        <f aca="false">OPT_BARRIER(95,0.05,0.02,0.02,5,120,70,130,0,"Call","o","e",1)</f>
        <v>#VALUE!</v>
      </c>
      <c r="B24617" s="0" t="s">
        <v>24441</v>
      </c>
    </row>
    <row r="24618" customFormat="false" ht="15" hidden="false" customHeight="false" outlineLevel="0" collapsed="false">
      <c r="A24618" s="0" t="n">
        <f aca="false">OPT_BARRIER(80,0.3,-0.01,0,0.01,90,95,105,0,"p","out","end","value")</f>
        <v>-0</v>
      </c>
      <c r="B24618" s="0" t="s">
        <v>24442</v>
      </c>
    </row>
    <row r="24619" customFormat="false" ht="15" hidden="false" customHeight="false" outlineLevel="0" collapsed="false">
      <c r="A24619" s="0" t="n">
        <f aca="false">OPT_BARRIER(95,0.1,0,0.05,5,90,85,115,0,"c","o","cont","d")</f>
        <v>0.0235566781736163</v>
      </c>
      <c r="B24619" s="0" t="s">
        <v>24443</v>
      </c>
    </row>
    <row r="24620" customFormat="false" ht="15" hidden="false" customHeight="false" outlineLevel="0" collapsed="false">
      <c r="A24620" s="0" t="n">
        <f aca="false">OPT_BARRIER(100.5,0.2,0.02,-0.02,2,110,0,0,0,"p","out","e","value")</f>
        <v>12.3753184303351</v>
      </c>
      <c r="B24620" s="0" t="s">
        <v>24444</v>
      </c>
    </row>
    <row r="24621" customFormat="false" ht="15" hidden="false" customHeight="false" outlineLevel="0" collapsed="false">
      <c r="A24621" s="0" t="n">
        <f aca="false">OPT_BARRIER(60,0.5,0.02,0.05,2,0,90,120,0,"call","i","end","delta")</f>
        <v>0.6854033963478</v>
      </c>
      <c r="B24621" s="0" t="s">
        <v>24445</v>
      </c>
    </row>
    <row r="24622" customFormat="false" ht="15" hidden="false" customHeight="false" outlineLevel="0" collapsed="false">
      <c r="A24622" s="0" t="e">
        <f aca="false">OPT_BARRIER(95,0.05,0.02,0.05,0.5,90,70,130,2,"Call","in","c","f")</f>
        <v>#VALUE!</v>
      </c>
      <c r="B24622" s="0" t="s">
        <v>24446</v>
      </c>
    </row>
    <row r="24623" customFormat="false" ht="15" hidden="false" customHeight="false" outlineLevel="0" collapsed="false">
      <c r="A24623" s="0" t="e">
        <f aca="false">OPT_BARRIER(120,0.3,-0.01,0.05,0.5,110,85,115,5.5,"put","o","e",1)</f>
        <v>#VALUE!</v>
      </c>
      <c r="B24623" s="0" t="s">
        <v>24447</v>
      </c>
    </row>
    <row r="24624" customFormat="false" ht="15" hidden="false" customHeight="false" outlineLevel="0" collapsed="false">
      <c r="A24624" s="0" t="n">
        <f aca="false">OPT_BARRIER(95,0.1,0,-0.02,0,120,95,105,2,"c","o","cont")</f>
        <v>2</v>
      </c>
      <c r="B24624" s="0" t="s">
        <v>24448</v>
      </c>
    </row>
    <row r="24625" customFormat="false" ht="15" hidden="false" customHeight="false" outlineLevel="0" collapsed="false">
      <c r="A24625" s="0" t="n">
        <f aca="false">OPT_BARRIER(100.5,0.3,0,0,2,0,120,90,0,"call","out","cont","price")</f>
        <v>0</v>
      </c>
      <c r="B24625" s="0" t="s">
        <v>24449</v>
      </c>
    </row>
    <row r="24626" customFormat="false" ht="15" hidden="false" customHeight="false" outlineLevel="0" collapsed="false">
      <c r="A24626" s="0" t="n">
        <f aca="false">OPT_BARRIER(80,0.2,0.05,0.02,0.01,100,90,0,0,"c","in","cont","rho")</f>
        <v>3.49200915063426E-029</v>
      </c>
      <c r="B24626" s="0" t="s">
        <v>24450</v>
      </c>
    </row>
    <row r="24627" customFormat="false" ht="15" hidden="false" customHeight="false" outlineLevel="0" collapsed="false">
      <c r="A24627" s="0" t="n">
        <f aca="false">OPT_BARRIER(120,0.05,0.05,-0.02,5,100,70,130,5.5,"put","o","e","g")</f>
        <v>-0.00145230119572827</v>
      </c>
      <c r="B24627" s="0" t="s">
        <v>24451</v>
      </c>
    </row>
    <row r="24628" customFormat="false" ht="15" hidden="false" customHeight="false" outlineLevel="0" collapsed="false">
      <c r="A24628" s="0" t="e">
        <f aca="false">OPT_BARRIER(95,0.1,-0.01,0,0.5,90,90,0,2,"c","out","cont",TRUE())</f>
        <v>#VALUE!</v>
      </c>
      <c r="B24628" s="0" t="s">
        <v>24452</v>
      </c>
    </row>
    <row r="24629" customFormat="false" ht="15" hidden="false" customHeight="false" outlineLevel="0" collapsed="false">
      <c r="A24629" s="0" t="e">
        <f aca="false">OPT_BARRIER(100.5,0.05,-0.01,-0.02,0.01,120,95,105,2,"Call","i","x","o")</f>
        <v>#VALUE!</v>
      </c>
      <c r="B24629" s="0" t="s">
        <v>24453</v>
      </c>
    </row>
    <row r="24630" customFormat="false" ht="15" hidden="false" customHeight="false" outlineLevel="0" collapsed="false">
      <c r="A24630" s="0" t="n">
        <f aca="false">OPT_BARRIER(150,0.1,0.1,-0.02,0.5,0,85,115,0,"p","i","cont","vanna")</f>
        <v>-0</v>
      </c>
      <c r="B24630" s="0" t="s">
        <v>24454</v>
      </c>
    </row>
    <row r="24631" customFormat="false" ht="15" hidden="false" customHeight="false" outlineLevel="0" collapsed="false">
      <c r="A24631" s="0" t="n">
        <f aca="false">OPT_BARRIER(100.5,0.2,-0.01,0,0,90,120,90,0,"p","out","c","rhof")</f>
        <v>0</v>
      </c>
      <c r="B24631" s="0" t="s">
        <v>24455</v>
      </c>
    </row>
    <row r="24632" customFormat="false" ht="15" hidden="false" customHeight="false" outlineLevel="0" collapsed="false">
      <c r="A24632" s="0" t="n">
        <f aca="false">OPT_BARRIER(80,0.05,0,0.02,0,120,70,130,0,"c","i","end","a")</f>
        <v>0</v>
      </c>
      <c r="B24632" s="0" t="s">
        <v>24456</v>
      </c>
    </row>
    <row r="24633" customFormat="false" ht="15" hidden="false" customHeight="false" outlineLevel="0" collapsed="false">
      <c r="A24633" s="0" t="n">
        <f aca="false">OPT_BARRIER(120,0.3,0.1,-0.02,5,0,0,0,0,"put","out","c","price")</f>
        <v>-0</v>
      </c>
      <c r="B24633" s="0" t="s">
        <v>24457</v>
      </c>
    </row>
    <row r="24634" customFormat="false" ht="15" hidden="false" customHeight="false" outlineLevel="0" collapsed="false">
      <c r="A24634" s="0" t="n">
        <f aca="false">OPT_BARRIER(120,0.2,0.1,0,0.01,100,95,105,0,"c","i","end","theta")</f>
        <v>-9.99000489916824</v>
      </c>
      <c r="B24634" s="0" t="s">
        <v>24458</v>
      </c>
    </row>
    <row r="24635" customFormat="false" ht="15" hidden="false" customHeight="false" outlineLevel="0" collapsed="false">
      <c r="A24635" s="0" t="n">
        <f aca="false">OPT_BARRIER(100.5,0.5,0.05,0.05,1,110,85,115,0,"p","in","e","volga")</f>
        <v>-21.0378063199379</v>
      </c>
      <c r="B24635" s="0" t="s">
        <v>24459</v>
      </c>
    </row>
    <row r="24636" customFormat="false" ht="15" hidden="false" customHeight="false" outlineLevel="0" collapsed="false">
      <c r="A24636" s="0" t="n">
        <f aca="false">OPT_BARRIER(100,0.5,0,0.05,2,90,120,90,2,"p","out","e","rhof")</f>
        <v>0</v>
      </c>
      <c r="B24636" s="0" t="s">
        <v>24460</v>
      </c>
    </row>
    <row r="24637" customFormat="false" ht="15" hidden="false" customHeight="false" outlineLevel="0" collapsed="false">
      <c r="A24637" s="0" t="e">
        <f aca="false">OPT_BARRIER(150,0.2,0.1,-0.02,1,110,70,130,2,"p","i","x","volga")</f>
        <v>#VALUE!</v>
      </c>
      <c r="B24637" s="0" t="s">
        <v>24461</v>
      </c>
    </row>
    <row r="24638" customFormat="false" ht="15" hidden="false" customHeight="false" outlineLevel="0" collapsed="false">
      <c r="A24638" s="0" t="e">
        <f aca="false">OPT_BARRIER(100.5,0.5,0.05,0,0.5,0,0,0,0,"put","o","cont","x")</f>
        <v>#VALUE!</v>
      </c>
      <c r="B24638" s="0" t="s">
        <v>24462</v>
      </c>
    </row>
    <row r="24639" customFormat="false" ht="15" hidden="false" customHeight="false" outlineLevel="0" collapsed="false">
      <c r="A24639" s="0" t="e">
        <f aca="false">OPT_BARRIER(120,0.1,0,-0.02,0.01,100,85,115,2,"Call","in","x","g")</f>
        <v>#VALUE!</v>
      </c>
      <c r="B24639" s="0" t="s">
        <v>24463</v>
      </c>
    </row>
    <row r="24640" customFormat="false" ht="15" hidden="false" customHeight="false" outlineLevel="0" collapsed="false">
      <c r="A24640" s="0" t="e">
        <f aca="false">OPT_BARRIER(100,0.3,0.02,0.05,0.25,80,0,0,0,"Call","o","cont",1)</f>
        <v>#VALUE!</v>
      </c>
      <c r="B24640" s="0" t="s">
        <v>24464</v>
      </c>
    </row>
    <row r="24641" customFormat="false" ht="15" hidden="false" customHeight="false" outlineLevel="0" collapsed="false">
      <c r="A24641" s="0" t="n">
        <f aca="false">OPT_BARRIER(95,0.05,0.1,0.02,5,110,95,105,0,"p","i","cont","delta")</f>
        <v>-0.00914525704776594</v>
      </c>
      <c r="B24641" s="0" t="s">
        <v>24465</v>
      </c>
    </row>
    <row r="24642" customFormat="false" ht="15" hidden="false" customHeight="false" outlineLevel="0" collapsed="false">
      <c r="A24642" s="0" t="e">
        <f aca="false">OPT_BARRIER(80,0.5,0.02,0.05,0.5,90,120,90,0,"p","i","end",1)</f>
        <v>#VALUE!</v>
      </c>
      <c r="B24642" s="0" t="s">
        <v>24466</v>
      </c>
    </row>
    <row r="24643" customFormat="false" ht="15" hidden="false" customHeight="false" outlineLevel="0" collapsed="false">
      <c r="A24643" s="0" t="n">
        <f aca="false">OPT_BARRIER(100,0.3,0.1,0.05,1,100,0,0,2,"p","in","c","delta")</f>
        <v>0</v>
      </c>
      <c r="B24643" s="0" t="s">
        <v>24467</v>
      </c>
    </row>
    <row r="24644" customFormat="false" ht="15" hidden="false" customHeight="false" outlineLevel="0" collapsed="false">
      <c r="A24644" s="0" t="n">
        <f aca="false">OPT_BARRIER(80,0.1,0.1,0,2,110,0,120,5.5,"c","i","end","f")</f>
        <v>-19.8662588710734</v>
      </c>
      <c r="B24644" s="0" t="s">
        <v>24468</v>
      </c>
    </row>
    <row r="24645" customFormat="false" ht="15" hidden="false" customHeight="false" outlineLevel="0" collapsed="false">
      <c r="A24645" s="0" t="e">
        <f aca="false">OPT_BARRIER(60,0.1,0.05,0.05,2,90,85,115,0,"Call","i","e","f")</f>
        <v>#VALUE!</v>
      </c>
      <c r="B24645" s="0" t="s">
        <v>24469</v>
      </c>
    </row>
    <row r="24646" customFormat="false" ht="15" hidden="false" customHeight="false" outlineLevel="0" collapsed="false">
      <c r="A24646" s="0" t="e">
        <f aca="false">OPT_BARRIER(120,0.2,0.1,0,0,90,70,130,2,"c","in","x","rhof")</f>
        <v>#VALUE!</v>
      </c>
      <c r="B24646" s="0" t="s">
        <v>24470</v>
      </c>
    </row>
    <row r="24647" customFormat="false" ht="15" hidden="false" customHeight="false" outlineLevel="0" collapsed="false">
      <c r="A24647" s="0" t="n">
        <f aca="false">OPT_BARRIER(80,0.3,0.02,0.02,1,0,70,130,0,"c","i","c","a")</f>
        <v>14.020111814232</v>
      </c>
      <c r="B24647" s="0" t="s">
        <v>24471</v>
      </c>
    </row>
    <row r="24648" customFormat="false" ht="15" hidden="false" customHeight="false" outlineLevel="0" collapsed="false">
      <c r="A24648" s="0" t="e">
        <f aca="false">OPT_BARRIER(100.5,0.2,0.1,-0.02,1,100,95,105,0,"p","i","x","gamma")</f>
        <v>#VALUE!</v>
      </c>
      <c r="B24648" s="0" t="s">
        <v>24472</v>
      </c>
    </row>
    <row r="24649" customFormat="false" ht="15" hidden="false" customHeight="false" outlineLevel="0" collapsed="false">
      <c r="A24649" s="0" t="e">
        <f aca="false">OPT_BARRIER(100.5,0.2,0.1,0.05,0.25,90,95,105,0,"call","i","x","rho")</f>
        <v>#VALUE!</v>
      </c>
      <c r="B24649" s="0" t="s">
        <v>24473</v>
      </c>
    </row>
    <row r="24650" customFormat="false" ht="15" hidden="false" customHeight="false" outlineLevel="0" collapsed="false">
      <c r="A24650" s="0" t="e">
        <f aca="false">OPT_BARRIER(60,0.05,-0.01,0.05,2,0,0,120,2,"call","o","x","o")</f>
        <v>#VALUE!</v>
      </c>
      <c r="B24650" s="0" t="s">
        <v>24474</v>
      </c>
    </row>
    <row r="24651" customFormat="false" ht="15" hidden="false" customHeight="false" outlineLevel="0" collapsed="false">
      <c r="A24651" s="0" t="e">
        <f aca="false">OPT_BARRIER(100.5,0.1,0.05,0.05,0.01,120,85,115,0,"Call","out","x","gamma")</f>
        <v>#VALUE!</v>
      </c>
      <c r="B24651" s="0" t="s">
        <v>24475</v>
      </c>
    </row>
    <row r="24652" customFormat="false" ht="15" hidden="false" customHeight="false" outlineLevel="0" collapsed="false">
      <c r="A24652" s="0" t="n">
        <f aca="false">OPT_BARRIER(95,0.05,0.02,-0.02,0.25,100,90,0,0,"call","o","c","price")</f>
        <v>0.0500748543563777</v>
      </c>
      <c r="B24652" s="0" t="s">
        <v>24476</v>
      </c>
    </row>
    <row r="24653" customFormat="false" ht="15" hidden="false" customHeight="false" outlineLevel="0" collapsed="false">
      <c r="A24653" s="0" t="n">
        <f aca="false">OPT_BARRIER(120,0.3,0.1,-0.02,0.5,80,90,0,0,"c","o","cont","f")</f>
        <v>-63.7378574316786</v>
      </c>
      <c r="B24653" s="0" t="s">
        <v>24477</v>
      </c>
    </row>
    <row r="24654" customFormat="false" ht="15" hidden="false" customHeight="false" outlineLevel="0" collapsed="false">
      <c r="A24654" s="0" t="e">
        <f aca="false">OPT_BARRIER(100,0.2,-0.01,-0.02,0,90,0,120,2,"Call","i","e","vega")</f>
        <v>#VALUE!</v>
      </c>
      <c r="B24654" s="0" t="s">
        <v>24478</v>
      </c>
    </row>
    <row r="24655" customFormat="false" ht="15" hidden="false" customHeight="false" outlineLevel="0" collapsed="false">
      <c r="A24655" s="0" t="e">
        <f aca="false">OPT_BARRIER(120,0.3,0,0.02,0.25,100,85,115,0,"c","out","cont","x")</f>
        <v>#VALUE!</v>
      </c>
      <c r="B24655" s="0" t="s">
        <v>24479</v>
      </c>
    </row>
    <row r="24656" customFormat="false" ht="15" hidden="false" customHeight="false" outlineLevel="0" collapsed="false">
      <c r="A24656" s="0" t="e">
        <f aca="false">OPT_BARRIER(100.5,0.5,0,0,5,80,85,115,0,"Call","out","end","f")</f>
        <v>#VALUE!</v>
      </c>
      <c r="B24656" s="0" t="s">
        <v>24480</v>
      </c>
    </row>
    <row r="24657" customFormat="false" ht="15" hidden="false" customHeight="false" outlineLevel="0" collapsed="false">
      <c r="A24657" s="0" t="n">
        <f aca="false">OPT_BARRIER(100,0.3,0.05,0,0.01,100,95,105,0,"call","out","cont","price")</f>
        <v>0.698684191719131</v>
      </c>
      <c r="B24657" s="0" t="s">
        <v>24481</v>
      </c>
    </row>
    <row r="24658" customFormat="false" ht="15" hidden="false" customHeight="false" outlineLevel="0" collapsed="false">
      <c r="A24658" s="0" t="n">
        <f aca="false">OPT_BARRIER(80,0.05,0.1,0.05,0.5,80,90,120,0,"p","i","end","rho")</f>
        <v>-9.33257407103361</v>
      </c>
      <c r="B24658" s="0" t="s">
        <v>24482</v>
      </c>
    </row>
    <row r="24659" customFormat="false" ht="15" hidden="false" customHeight="false" outlineLevel="0" collapsed="false">
      <c r="A24659" s="0" t="e">
        <f aca="false">OPT_BARRIER(100,0.3,-0.01,-0.02,0.01,100,90,0,0,"c","o","e","x")</f>
        <v>#VALUE!</v>
      </c>
      <c r="B24659" s="0" t="s">
        <v>24483</v>
      </c>
    </row>
    <row r="24660" customFormat="false" ht="15" hidden="false" customHeight="false" outlineLevel="0" collapsed="false">
      <c r="A24660" s="0" t="e">
        <f aca="false">OPT_BARRIER(60,0.3,-0.01,-0.02,0,80,90,0,2,"Call","in","cont","rhof")</f>
        <v>#VALUE!</v>
      </c>
      <c r="B24660" s="0" t="s">
        <v>24484</v>
      </c>
    </row>
    <row r="24661" customFormat="false" ht="15" hidden="false" customHeight="false" outlineLevel="0" collapsed="false">
      <c r="A24661" s="0" t="e">
        <f aca="false">OPT_BARRIER(80,0.1,0.02,0.05,0,120,0,120,2,"Call","in","e","rhof")</f>
        <v>#VALUE!</v>
      </c>
      <c r="B24661" s="0" t="s">
        <v>24485</v>
      </c>
    </row>
    <row r="24662" customFormat="false" ht="15" hidden="false" customHeight="false" outlineLevel="0" collapsed="false">
      <c r="A24662" s="0" t="n">
        <f aca="false">OPT_BARRIER(100.5,0.5,-0.01,0,0,100,120,90,5.5,"call","in","c","rhof")</f>
        <v>0</v>
      </c>
      <c r="B24662" s="0" t="s">
        <v>24486</v>
      </c>
    </row>
    <row r="24663" customFormat="false" ht="15" hidden="false" customHeight="false" outlineLevel="0" collapsed="false">
      <c r="A24663" s="0" t="n">
        <f aca="false">OPT_BARRIER(60,0.3,0.02,0,2,120,0,0,0,"put","in","c","theta")</f>
        <v>0</v>
      </c>
      <c r="B24663" s="0" t="s">
        <v>24487</v>
      </c>
    </row>
    <row r="24664" customFormat="false" ht="15" hidden="false" customHeight="false" outlineLevel="0" collapsed="false">
      <c r="A24664" s="0" t="e">
        <f aca="false">OPT_BARRIER(120,0.5,0.1,0.02,5,100,70,130,5.5,"call","i","x",TRUE())</f>
        <v>#VALUE!</v>
      </c>
      <c r="B24664" s="0" t="s">
        <v>24488</v>
      </c>
    </row>
    <row r="24665" customFormat="false" ht="15" hidden="false" customHeight="false" outlineLevel="0" collapsed="false">
      <c r="A24665" s="0" t="n">
        <f aca="false">OPT_BARRIER(100.5,0.2,0,-0.02,0.01,120,85,115,5.5,"c","i","e","rho")</f>
        <v>-0.0550000001507457</v>
      </c>
      <c r="B24665" s="0" t="s">
        <v>24489</v>
      </c>
    </row>
    <row r="24666" customFormat="false" ht="15" hidden="false" customHeight="false" outlineLevel="0" collapsed="false">
      <c r="A24666" s="0" t="e">
        <f aca="false">OPT_BARRIER(120,0.3,0.1,-0.02,2,90,0,0,5.5,"Call","in","x","vanna")</f>
        <v>#VALUE!</v>
      </c>
      <c r="B24666" s="0" t="s">
        <v>24490</v>
      </c>
    </row>
    <row r="24667" customFormat="false" ht="15" hidden="false" customHeight="false" outlineLevel="0" collapsed="false">
      <c r="A24667" s="0" t="n">
        <f aca="false">OPT_BARRIER(80,0.2,0.05,-0.02,2,80,90,0,0,"c","in","e","vega")</f>
        <v>-3.52626914971793</v>
      </c>
      <c r="B24667" s="0" t="s">
        <v>24491</v>
      </c>
    </row>
    <row r="24668" customFormat="false" ht="15" hidden="false" customHeight="false" outlineLevel="0" collapsed="false">
      <c r="A24668" s="0" t="n">
        <f aca="false">OPT_BARRIER(100.5,0.1,0.1,0.05,0.01,120,85,115,2,"c","o","cont","value")</f>
        <v>0</v>
      </c>
      <c r="B24668" s="0" t="s">
        <v>24492</v>
      </c>
    </row>
    <row r="24669" customFormat="false" ht="15" hidden="false" customHeight="false" outlineLevel="0" collapsed="false">
      <c r="A24669" s="0" t="e">
        <f aca="false">OPT_BARRIER(95,0.3,0.02,0.05,0.01,100,90,0,0,"c","out","c",TRUE())</f>
        <v>#VALUE!</v>
      </c>
      <c r="B24669" s="0" t="s">
        <v>24493</v>
      </c>
    </row>
    <row r="24670" customFormat="false" ht="15" hidden="false" customHeight="false" outlineLevel="0" collapsed="false">
      <c r="A24670" s="0" t="e">
        <f aca="false">OPT_BARRIER(120,0.2,0.05,0.05,0.25,0,90,120,0,"Call","i","end","x")</f>
        <v>#VALUE!</v>
      </c>
      <c r="B24670" s="0" t="s">
        <v>24494</v>
      </c>
    </row>
    <row r="24671" customFormat="false" ht="15" hidden="false" customHeight="false" outlineLevel="0" collapsed="false">
      <c r="A24671" s="0" t="e">
        <f aca="false">OPT_BARRIER(60,0.3,0,0.02,0.5,100,120,90,2,"Call","out","x","value")</f>
        <v>#VALUE!</v>
      </c>
      <c r="B24671" s="0" t="s">
        <v>24495</v>
      </c>
    </row>
    <row r="24672" customFormat="false" ht="15" hidden="false" customHeight="false" outlineLevel="0" collapsed="false">
      <c r="A24672" s="0" t="n">
        <f aca="false">OPT_BARRIER(80,0.05,0,0.02,2,110,95,105,0,"c","out","c","delta")</f>
        <v>0</v>
      </c>
      <c r="B24672" s="0" t="s">
        <v>24496</v>
      </c>
    </row>
    <row r="24673" customFormat="false" ht="15" hidden="false" customHeight="false" outlineLevel="0" collapsed="false">
      <c r="A24673" s="0" t="e">
        <f aca="false">OPT_BARRIER(60,0.05,0.05,0.05,0.5,110,90,120,5.5,"call","o","end",1)</f>
        <v>#VALUE!</v>
      </c>
      <c r="B24673" s="0" t="s">
        <v>24497</v>
      </c>
    </row>
    <row r="24674" customFormat="false" ht="15" hidden="false" customHeight="false" outlineLevel="0" collapsed="false">
      <c r="A24674" s="0" t="e">
        <f aca="false">OPT_BARRIER(100.5,0.3,-0.01,0,5,0,90,0,5.5,"call","in","end",TRUE())</f>
        <v>#VALUE!</v>
      </c>
      <c r="B24674" s="0" t="s">
        <v>24498</v>
      </c>
    </row>
    <row r="24675" customFormat="false" ht="15" hidden="false" customHeight="false" outlineLevel="0" collapsed="false">
      <c r="A24675" s="0" t="n">
        <f aca="false">OPT_BARRIER(150,0.1,-0.01,-0.02,0.01,0,0,0,2,"put","out","e","f")</f>
        <v>0</v>
      </c>
      <c r="B24675" s="0" t="s">
        <v>24499</v>
      </c>
    </row>
    <row r="24676" customFormat="false" ht="15" hidden="false" customHeight="false" outlineLevel="0" collapsed="false">
      <c r="A24676" s="0" t="e">
        <f aca="false">OPT_BARRIER(100,0.3,-0.01,0,0.25,100,90,0,0,"call","out","x","x")</f>
        <v>#VALUE!</v>
      </c>
      <c r="B24676" s="0" t="s">
        <v>24500</v>
      </c>
    </row>
    <row r="24677" customFormat="false" ht="15" hidden="false" customHeight="false" outlineLevel="0" collapsed="false">
      <c r="A24677" s="0" t="e">
        <f aca="false">OPT_BARRIER(120,0.5,0.05,0,0.5,100,0,120,0,"Call","i","end","a")</f>
        <v>#VALUE!</v>
      </c>
      <c r="B24677" s="0" t="s">
        <v>24501</v>
      </c>
    </row>
    <row r="24678" customFormat="false" ht="15" hidden="false" customHeight="false" outlineLevel="0" collapsed="false">
      <c r="A24678" s="0" t="e">
        <f aca="false">OPT_BARRIER(80,0.5,0,-0.02,0.25,110,95,105,2,"c","in","end","x")</f>
        <v>#VALUE!</v>
      </c>
      <c r="B24678" s="0" t="s">
        <v>24502</v>
      </c>
    </row>
    <row r="24679" customFormat="false" ht="15" hidden="false" customHeight="false" outlineLevel="0" collapsed="false">
      <c r="A24679" s="0" t="n">
        <f aca="false">OPT_BARRIER(60,0.05,0.02,0.02,0.01,80,0,120,5.5,"call","i","e","vega")</f>
        <v>0</v>
      </c>
      <c r="B24679" s="0" t="s">
        <v>24503</v>
      </c>
    </row>
    <row r="24680" customFormat="false" ht="15" hidden="false" customHeight="false" outlineLevel="0" collapsed="false">
      <c r="A24680" s="0" t="n">
        <f aca="false">OPT_BARRIER(100,0.1,0,0,0.01,120,0,120,0,"p","i","cont","a")</f>
        <v>5.2385624326767E-071</v>
      </c>
      <c r="B24680" s="0" t="s">
        <v>24504</v>
      </c>
    </row>
    <row r="24681" customFormat="false" ht="15" hidden="false" customHeight="false" outlineLevel="0" collapsed="false">
      <c r="A24681" s="0" t="n">
        <f aca="false">OPT_BARRIER(100,0.5,0.02,0,0,110,85,115,5.5,"c","o","cont","gamma")</f>
        <v>0</v>
      </c>
      <c r="B24681" s="0" t="s">
        <v>24505</v>
      </c>
    </row>
    <row r="24682" customFormat="false" ht="15" hidden="false" customHeight="false" outlineLevel="0" collapsed="false">
      <c r="A24682" s="0" t="e">
        <f aca="false">OPT_BARRIER(150,0.1,0,-0.02,1,90,70,130,0,"put","o","x","o")</f>
        <v>#VALUE!</v>
      </c>
      <c r="B24682" s="0" t="s">
        <v>24506</v>
      </c>
    </row>
    <row r="24683" customFormat="false" ht="15" hidden="false" customHeight="false" outlineLevel="0" collapsed="false">
      <c r="A24683" s="0" t="n">
        <f aca="false">OPT_BARRIER(100,0.3,0.02,0.02,0.5,110,120,90,5.5,"put","out","end","vanna")</f>
        <v>0</v>
      </c>
      <c r="B24683" s="0" t="s">
        <v>24507</v>
      </c>
    </row>
    <row r="24684" customFormat="false" ht="15" hidden="false" customHeight="false" outlineLevel="0" collapsed="false">
      <c r="A24684" s="0" t="n">
        <f aca="false">OPT_BARRIER(95,0.5,0.1,0.05,0,0,0,0,0,"c","i","cont","o")</f>
        <v>0</v>
      </c>
      <c r="B24684" s="0" t="s">
        <v>24508</v>
      </c>
    </row>
    <row r="24685" customFormat="false" ht="15" hidden="false" customHeight="false" outlineLevel="0" collapsed="false">
      <c r="A24685" s="0" t="e">
        <f aca="false">OPT_BARRIER(60,0.5,0.1,0.02,0.5,0,90,120,0,"c","i","x","vanna")</f>
        <v>#VALUE!</v>
      </c>
      <c r="B24685" s="0" t="s">
        <v>24509</v>
      </c>
    </row>
    <row r="24686" customFormat="false" ht="15" hidden="false" customHeight="false" outlineLevel="0" collapsed="false">
      <c r="A24686" s="0" t="n">
        <f aca="false">OPT_BARRIER(80,0.3,0.02,0,2,0,95,105,2,"p","i","end","price")</f>
        <v>0.147068454945986</v>
      </c>
      <c r="B24686" s="0" t="s">
        <v>24510</v>
      </c>
    </row>
    <row r="24687" customFormat="false" ht="15" hidden="false" customHeight="false" outlineLevel="0" collapsed="false">
      <c r="A24687" s="0" t="e">
        <f aca="false">OPT_BARRIER(100,0.2,-0.01,0.05,1,110,120,90,0,"Call","o","end","a")</f>
        <v>#VALUE!</v>
      </c>
      <c r="B24687" s="0" t="s">
        <v>24511</v>
      </c>
    </row>
    <row r="24688" customFormat="false" ht="15" hidden="false" customHeight="false" outlineLevel="0" collapsed="false">
      <c r="A24688" s="0" t="n">
        <f aca="false">OPT_BARRIER(100.5,0.1,0,0.02,0.5,100,90,0,0,"p","in","c","vanna")</f>
        <v>-4.42694119759835</v>
      </c>
      <c r="B24688" s="0" t="s">
        <v>24512</v>
      </c>
    </row>
    <row r="24689" customFormat="false" ht="15" hidden="false" customHeight="false" outlineLevel="0" collapsed="false">
      <c r="A24689" s="0" t="n">
        <f aca="false">OPT_BARRIER(95,0.5,-0.01,0.05,0,110,90,0,0,"call","in","cont","value")</f>
        <v>0</v>
      </c>
      <c r="B24689" s="0" t="s">
        <v>24513</v>
      </c>
    </row>
    <row r="24690" customFormat="false" ht="15" hidden="false" customHeight="false" outlineLevel="0" collapsed="false">
      <c r="A24690" s="0" t="n">
        <f aca="false">OPT_BARRIER(95,0.05,0,-0.02,5,110,85,115,0,"c","out","e","a")</f>
        <v>-0.976175865864814</v>
      </c>
      <c r="B24690" s="0" t="s">
        <v>24514</v>
      </c>
    </row>
    <row r="24691" customFormat="false" ht="15" hidden="false" customHeight="false" outlineLevel="0" collapsed="false">
      <c r="A24691" s="0" t="n">
        <f aca="false">OPT_BARRIER(95,0.2,0.02,-0.02,5,120,0,0,2,"call","out","e","value")</f>
        <v>17.1521746636264</v>
      </c>
      <c r="B24691" s="0" t="s">
        <v>24515</v>
      </c>
    </row>
    <row r="24692" customFormat="false" ht="15" hidden="false" customHeight="false" outlineLevel="0" collapsed="false">
      <c r="A24692" s="0" t="n">
        <f aca="false">OPT_BARRIER(95,0.05,0.02,0.02,5,0,90,0,0,"c","out","end","d")</f>
        <v>3.42952914123951</v>
      </c>
      <c r="B24692" s="0" t="s">
        <v>24516</v>
      </c>
    </row>
    <row r="24693" customFormat="false" ht="15" hidden="false" customHeight="false" outlineLevel="0" collapsed="false">
      <c r="A24693" s="0" t="e">
        <f aca="false">OPT_BARRIER(100.5,0.3,0.05,0.02,1,110,85,115,5.5,"put","o","c",1)</f>
        <v>#VALUE!</v>
      </c>
      <c r="B24693" s="0" t="s">
        <v>24517</v>
      </c>
    </row>
    <row r="24694" customFormat="false" ht="15" hidden="false" customHeight="false" outlineLevel="0" collapsed="false">
      <c r="A24694" s="0" t="e">
        <f aca="false">OPT_BARRIER(80,0.5,0,0,0,0,0,120,2,"call","out","e",1)</f>
        <v>#VALUE!</v>
      </c>
      <c r="B24694" s="0" t="s">
        <v>24518</v>
      </c>
    </row>
    <row r="24695" customFormat="false" ht="15" hidden="false" customHeight="false" outlineLevel="0" collapsed="false">
      <c r="A24695" s="0" t="e">
        <f aca="false">OPT_BARRIER(80,0.5,0.02,0,5,0,95,105,0,"p","in","x","d")</f>
        <v>#VALUE!</v>
      </c>
      <c r="B24695" s="0" t="s">
        <v>24519</v>
      </c>
    </row>
    <row r="24696" customFormat="false" ht="15" hidden="false" customHeight="false" outlineLevel="0" collapsed="false">
      <c r="A24696" s="0" t="e">
        <f aca="false">OPT_BARRIER(80,0.1,0.02,-0.02,0.25,90,120,90,5.5,"Call","i","x","gamma")</f>
        <v>#VALUE!</v>
      </c>
      <c r="B24696" s="0" t="s">
        <v>24520</v>
      </c>
    </row>
    <row r="24697" customFormat="false" ht="15" hidden="false" customHeight="false" outlineLevel="0" collapsed="false">
      <c r="A24697" s="0" t="n">
        <f aca="false">OPT_BARRIER(60,0.1,0,0.02,1,90,90,120,0,"p","i","end","price")</f>
        <v>31.1880959029569</v>
      </c>
      <c r="B24697" s="0" t="s">
        <v>24521</v>
      </c>
    </row>
    <row r="24698" customFormat="false" ht="15" hidden="false" customHeight="false" outlineLevel="0" collapsed="false">
      <c r="A24698" s="0" t="e">
        <f aca="false">OPT_BARRIER(120,0.2,0.05,0,0.25,0,0,0,0,"Call","in","end",TRUE())</f>
        <v>#VALUE!</v>
      </c>
      <c r="B24698" s="0" t="s">
        <v>24522</v>
      </c>
    </row>
    <row r="24699" customFormat="false" ht="15" hidden="false" customHeight="false" outlineLevel="0" collapsed="false">
      <c r="A24699" s="0" t="n">
        <f aca="false">OPT_BARRIER(150,0.5,-0.01,0.02,2,80,85,115,5.5,"put","o","cont","e")</f>
        <v>0</v>
      </c>
      <c r="B24699" s="0" t="s">
        <v>24523</v>
      </c>
    </row>
    <row r="24700" customFormat="false" ht="15" hidden="false" customHeight="false" outlineLevel="0" collapsed="false">
      <c r="A24700" s="0" t="n">
        <f aca="false">OPT_BARRIER(100,0.2,0,0,0.01,120,90,0,0,"p","out","c","a")</f>
        <v>0.00158514540740852</v>
      </c>
      <c r="B24700" s="0" t="s">
        <v>24524</v>
      </c>
    </row>
    <row r="24701" customFormat="false" ht="15" hidden="false" customHeight="false" outlineLevel="0" collapsed="false">
      <c r="A24701" s="0" t="n">
        <f aca="false">OPT_BARRIER(100.5,0.05,-0.01,0.02,0.01,100,0,0,5.5,"call","out","end","d")</f>
        <v>0.826228086788025</v>
      </c>
      <c r="B24701" s="0" t="s">
        <v>24525</v>
      </c>
    </row>
    <row r="24702" customFormat="false" ht="15" hidden="false" customHeight="false" outlineLevel="0" collapsed="false">
      <c r="A24702" s="0" t="n">
        <f aca="false">OPT_BARRIER(60,0.1,0.05,0.05,0.5,100,85,115,0,"call","out","e","d")</f>
        <v>3.18723487797923E-013</v>
      </c>
      <c r="B24702" s="0" t="s">
        <v>24526</v>
      </c>
    </row>
    <row r="24703" customFormat="false" ht="15" hidden="false" customHeight="false" outlineLevel="0" collapsed="false">
      <c r="A24703" s="0" t="e">
        <f aca="false">OPT_BARRIER(150,0.1,-0.01,0.05,1,100,90,120,0,"put","out","x")</f>
        <v>#VALUE!</v>
      </c>
      <c r="B24703" s="0" t="s">
        <v>24527</v>
      </c>
    </row>
    <row r="24704" customFormat="false" ht="15" hidden="false" customHeight="false" outlineLevel="0" collapsed="false">
      <c r="A24704" s="0" t="n">
        <f aca="false">OPT_BARRIER(80,0.3,0.02,-0.02,0.01,100,95,105,5.5,"put","in","cont")</f>
        <v>19.96400039976</v>
      </c>
      <c r="B24704" s="0" t="s">
        <v>24528</v>
      </c>
    </row>
    <row r="24705" customFormat="false" ht="15" hidden="false" customHeight="false" outlineLevel="0" collapsed="false">
      <c r="A24705" s="0" t="n">
        <f aca="false">OPT_BARRIER(150,0.5,0.1,0,0.01,80,90,0,5.5,"p","in","c","e")</f>
        <v>-2.0457654628168E-021</v>
      </c>
      <c r="B24705" s="0" t="s">
        <v>24529</v>
      </c>
    </row>
    <row r="24706" customFormat="false" ht="15" hidden="false" customHeight="false" outlineLevel="0" collapsed="false">
      <c r="A24706" s="0" t="e">
        <f aca="false">OPT_BARRIER(95,0.3,0.05,0.02,5,100,70,130,0,"Call","in","c","volga")</f>
        <v>#VALUE!</v>
      </c>
      <c r="B24706" s="0" t="s">
        <v>24530</v>
      </c>
    </row>
    <row r="24707" customFormat="false" ht="15" hidden="false" customHeight="false" outlineLevel="0" collapsed="false">
      <c r="A24707" s="0" t="e">
        <f aca="false">OPT_BARRIER(100,0.5,0.05,0.05,2,100,0,120,5.5,"Call","o","e","rho")</f>
        <v>#VALUE!</v>
      </c>
      <c r="B24707" s="0" t="s">
        <v>24531</v>
      </c>
    </row>
    <row r="24708" customFormat="false" ht="15" hidden="false" customHeight="false" outlineLevel="0" collapsed="false">
      <c r="A24708" s="0" t="n">
        <f aca="false">OPT_BARRIER(100.5,0.05,0.05,0.02,2,100,90,120,0,"put","out","cont","volga")</f>
        <v>-1061.97173876554</v>
      </c>
      <c r="B24708" s="0" t="s">
        <v>24532</v>
      </c>
    </row>
    <row r="24709" customFormat="false" ht="15" hidden="false" customHeight="false" outlineLevel="0" collapsed="false">
      <c r="A24709" s="0" t="n">
        <f aca="false">OPT_BARRIER(100,0.2,0.1,0,2,90,85,115,0,"p","i","cont","rho")</f>
        <v>-25.6411402051059</v>
      </c>
      <c r="B24709" s="0" t="s">
        <v>24533</v>
      </c>
    </row>
    <row r="24710" customFormat="false" ht="15" hidden="false" customHeight="false" outlineLevel="0" collapsed="false">
      <c r="A24710" s="0" t="e">
        <f aca="false">OPT_BARRIER(100,0.5,0.05,0.02,0.01,90,0,0,2,"call","o","x","x")</f>
        <v>#VALUE!</v>
      </c>
      <c r="B24710" s="0" t="s">
        <v>24534</v>
      </c>
    </row>
    <row r="24711" customFormat="false" ht="15" hidden="false" customHeight="false" outlineLevel="0" collapsed="false">
      <c r="A24711" s="0" t="n">
        <f aca="false">OPT_BARRIER(150,0.1,0.05,-0.02,0.5,100,120,90,0,"c","out","c","volga")</f>
        <v>0</v>
      </c>
      <c r="B24711" s="0" t="s">
        <v>24535</v>
      </c>
    </row>
    <row r="24712" customFormat="false" ht="15" hidden="false" customHeight="false" outlineLevel="0" collapsed="false">
      <c r="A24712" s="0" t="n">
        <f aca="false">OPT_BARRIER(60,0.5,-0.01,-0.02,2,100,0,120,5.5,"p","i","e","e")</f>
        <v>-1.1425863228414</v>
      </c>
      <c r="B24712" s="0" t="s">
        <v>24536</v>
      </c>
    </row>
    <row r="24713" customFormat="false" ht="15" hidden="false" customHeight="false" outlineLevel="0" collapsed="false">
      <c r="A24713" s="0" t="n">
        <f aca="false">OPT_BARRIER(95,0.05,0.1,0.05,2,90,90,120,0,"p","o","c","value")</f>
        <v>0</v>
      </c>
      <c r="B24713" s="0" t="s">
        <v>24537</v>
      </c>
    </row>
    <row r="24714" customFormat="false" ht="15" hidden="false" customHeight="false" outlineLevel="0" collapsed="false">
      <c r="A24714" s="0" t="e">
        <f aca="false">OPT_BARRIER(80,0.3,0.02,0.02,0,120,0,120,2,"put","o","cont",TRUE())</f>
        <v>#VALUE!</v>
      </c>
      <c r="B24714" s="0" t="s">
        <v>24538</v>
      </c>
    </row>
    <row r="24715" customFormat="false" ht="15" hidden="false" customHeight="false" outlineLevel="0" collapsed="false">
      <c r="A24715" s="0" t="e">
        <f aca="false">OPT_BARRIER(120,0.1,0.1,0.05,5,120,85,115,2,"p","o","x","")</f>
        <v>#VALUE!</v>
      </c>
      <c r="B24715" s="0" t="s">
        <v>24539</v>
      </c>
    </row>
    <row r="24716" customFormat="false" ht="15" hidden="false" customHeight="false" outlineLevel="0" collapsed="false">
      <c r="A24716" s="0" t="n">
        <f aca="false">OPT_BARRIER(60,0.2,0.1,0.05,0,0,90,0,2,"put","o","e")</f>
        <v>2</v>
      </c>
      <c r="B24716" s="0" t="s">
        <v>24540</v>
      </c>
    </row>
    <row r="24717" customFormat="false" ht="15" hidden="false" customHeight="false" outlineLevel="0" collapsed="false">
      <c r="A24717" s="0" t="n">
        <f aca="false">OPT_BARRIER(60,0.05,0.05,0,2,90,0,120,0,"put","o","cont","d")</f>
        <v>-0.999990845502365</v>
      </c>
      <c r="B24717" s="0" t="s">
        <v>24541</v>
      </c>
    </row>
    <row r="24718" customFormat="false" ht="15" hidden="false" customHeight="false" outlineLevel="0" collapsed="false">
      <c r="A24718" s="0" t="e">
        <f aca="false">OPT_BARRIER(100.5,0.05,0.1,0.02,0.25,120,90,0,0,"Call","i","c",1)</f>
        <v>#VALUE!</v>
      </c>
      <c r="B24718" s="0" t="s">
        <v>24542</v>
      </c>
    </row>
    <row r="24719" customFormat="false" ht="15" hidden="false" customHeight="false" outlineLevel="0" collapsed="false">
      <c r="A24719" s="0" t="e">
        <f aca="false">OPT_BARRIER(95,0.3,0.1,-0.02,0,100,120,90,0,"put","in","x","vega")</f>
        <v>#VALUE!</v>
      </c>
      <c r="B24719" s="0" t="s">
        <v>24543</v>
      </c>
    </row>
    <row r="24720" customFormat="false" ht="15" hidden="false" customHeight="false" outlineLevel="0" collapsed="false">
      <c r="A24720" s="0" t="e">
        <f aca="false">OPT_BARRIER(100,0.2,0.02,0.02,0.5,90,90,0,2,"Call","out","cont","e")</f>
        <v>#VALUE!</v>
      </c>
      <c r="B24720" s="0" t="s">
        <v>24544</v>
      </c>
    </row>
    <row r="24721" customFormat="false" ht="15" hidden="false" customHeight="false" outlineLevel="0" collapsed="false">
      <c r="A24721" s="0" t="n">
        <f aca="false">OPT_BARRIER(100.5,0.5,0.1,0.02,1,80,70,130,2,"put","in","c","e")</f>
        <v>26.0799092597069</v>
      </c>
      <c r="B24721" s="0" t="s">
        <v>24545</v>
      </c>
    </row>
    <row r="24722" customFormat="false" ht="15" hidden="false" customHeight="false" outlineLevel="0" collapsed="false">
      <c r="A24722" s="0" t="n">
        <f aca="false">OPT_BARRIER(95,0.5,0,0.05,0,90,95,105,0,"p","in","cont","d")</f>
        <v>-0</v>
      </c>
      <c r="B24722" s="0" t="s">
        <v>24546</v>
      </c>
    </row>
    <row r="24723" customFormat="false" ht="15" hidden="false" customHeight="false" outlineLevel="0" collapsed="false">
      <c r="A24723" s="0" t="n">
        <f aca="false">OPT_BARRIER(100,0.05,-0.01,0.05,0,110,95,105,5.5,"p","in","c","g")</f>
        <v>0</v>
      </c>
      <c r="B24723" s="0" t="s">
        <v>24547</v>
      </c>
    </row>
    <row r="24724" customFormat="false" ht="15" hidden="false" customHeight="false" outlineLevel="0" collapsed="false">
      <c r="A24724" s="0" t="e">
        <f aca="false">OPT_BARRIER(100,0.05,-0.01,-0.02,1,100,90,120,0,"put","out","cont",1)</f>
        <v>#VALUE!</v>
      </c>
      <c r="B24724" s="0" t="s">
        <v>24548</v>
      </c>
    </row>
    <row r="24725" customFormat="false" ht="15" hidden="false" customHeight="false" outlineLevel="0" collapsed="false">
      <c r="A24725" s="0" t="n">
        <f aca="false">OPT_BARRIER(150,0.1,-0.01,0,0.5,80,95,105,0,"c","in","cont","value")</f>
        <v>69.5989983312479</v>
      </c>
      <c r="B24725" s="0" t="s">
        <v>24549</v>
      </c>
    </row>
    <row r="24726" customFormat="false" ht="15" hidden="false" customHeight="false" outlineLevel="0" collapsed="false">
      <c r="A24726" s="0" t="e">
        <f aca="false">OPT_BARRIER(120,0.5,-0.01,-0.02,2,90,120,90,5.5,"c","out","c",1)</f>
        <v>#VALUE!</v>
      </c>
      <c r="B24726" s="0" t="s">
        <v>24550</v>
      </c>
    </row>
    <row r="24727" customFormat="false" ht="15" hidden="false" customHeight="false" outlineLevel="0" collapsed="false">
      <c r="A24727" s="0" t="n">
        <f aca="false">OPT_BARRIER(100,0.5,0.05,0.02,0,90,0,120,5.5,"c","o","cont","o")</f>
        <v>0</v>
      </c>
      <c r="B24727" s="0" t="s">
        <v>24551</v>
      </c>
    </row>
    <row r="24728" customFormat="false" ht="15" hidden="false" customHeight="false" outlineLevel="0" collapsed="false">
      <c r="A24728" s="0" t="n">
        <f aca="false">OPT_BARRIER(120,0.05,0.1,0.05,0.5,90,90,120,2,"p","o","e","volga")</f>
        <v>251.830319543307</v>
      </c>
      <c r="B24728" s="0" t="s">
        <v>24552</v>
      </c>
    </row>
    <row r="24729" customFormat="false" ht="15" hidden="false" customHeight="false" outlineLevel="0" collapsed="false">
      <c r="A24729" s="0" t="n">
        <f aca="false">OPT_BARRIER(95,0.05,0.02,0.02,0.01,80,70,130,0,"call","i","end")</f>
        <v>0</v>
      </c>
      <c r="B24729" s="0" t="s">
        <v>24553</v>
      </c>
    </row>
    <row r="24730" customFormat="false" ht="15" hidden="false" customHeight="false" outlineLevel="0" collapsed="false">
      <c r="A24730" s="0" t="e">
        <f aca="false">OPT_BARRIER(80,0.5,0.1,0,0.25,100,70,130,0,"Call","in","c","f")</f>
        <v>#VALUE!</v>
      </c>
      <c r="B24730" s="0" t="s">
        <v>24554</v>
      </c>
    </row>
    <row r="24731" customFormat="false" ht="15" hidden="false" customHeight="false" outlineLevel="0" collapsed="false">
      <c r="A24731" s="0" t="e">
        <f aca="false">OPT_BARRIER(60,0.1,0.02,0,5,90,120,90,5.5,"Call","in","cont",1)</f>
        <v>#VALUE!</v>
      </c>
      <c r="B24731" s="0" t="s">
        <v>24555</v>
      </c>
    </row>
    <row r="24732" customFormat="false" ht="15" hidden="false" customHeight="false" outlineLevel="0" collapsed="false">
      <c r="A24732" s="0" t="n">
        <f aca="false">OPT_BARRIER(60,0.1,0.05,0.02,0,100,90,120,0,"p","o","end","f")</f>
        <v>-0</v>
      </c>
      <c r="B24732" s="0" t="s">
        <v>24556</v>
      </c>
    </row>
    <row r="24733" customFormat="false" ht="15" hidden="false" customHeight="false" outlineLevel="0" collapsed="false">
      <c r="A24733" s="0" t="n">
        <f aca="false">OPT_BARRIER(80,0.3,0.05,0.02,5,120,95,105,2,"call","i","c","vega")</f>
        <v>64.5071332117665</v>
      </c>
      <c r="B24733" s="0" t="s">
        <v>24557</v>
      </c>
    </row>
    <row r="24734" customFormat="false" ht="15" hidden="false" customHeight="false" outlineLevel="0" collapsed="false">
      <c r="A24734" s="0" t="e">
        <f aca="false">OPT_BARRIER(120,0.3,0.1,0,1,80,70,130,5.5,"put","in","x","f")</f>
        <v>#VALUE!</v>
      </c>
      <c r="B24734" s="0" t="s">
        <v>24558</v>
      </c>
    </row>
    <row r="24735" customFormat="false" ht="15" hidden="false" customHeight="false" outlineLevel="0" collapsed="false">
      <c r="A24735" s="0" t="e">
        <f aca="false">OPT_BARRIER(120,0.05,-0.01,-0.02,0.25,90,90,0,5.5,"p","o","e","")</f>
        <v>#VALUE!</v>
      </c>
      <c r="B24735" s="0" t="s">
        <v>24559</v>
      </c>
    </row>
    <row r="24736" customFormat="false" ht="15" hidden="false" customHeight="false" outlineLevel="0" collapsed="false">
      <c r="A24736" s="0" t="n">
        <f aca="false">OPT_BARRIER(100,0.3,0.02,0.02,0.5,100,120,90,0,"call","i","e","rhof")</f>
        <v>-26.8419842391071</v>
      </c>
      <c r="B24736" s="0" t="s">
        <v>24560</v>
      </c>
    </row>
    <row r="24737" customFormat="false" ht="15" hidden="false" customHeight="false" outlineLevel="0" collapsed="false">
      <c r="A24737" s="0" t="e">
        <f aca="false">OPT_BARRIER(150,0.1,-0.01,0.02,0.25,110,90,120,2,"call","o","x","")</f>
        <v>#VALUE!</v>
      </c>
      <c r="B24737" s="0" t="s">
        <v>24561</v>
      </c>
    </row>
    <row r="24738" customFormat="false" ht="15" hidden="false" customHeight="false" outlineLevel="0" collapsed="false">
      <c r="A24738" s="0" t="e">
        <f aca="false">OPT_BARRIER(120,0.5,0.05,0.02,0.25,110,0,0,0,"Call","out","c","a")</f>
        <v>#VALUE!</v>
      </c>
      <c r="B24738" s="0" t="s">
        <v>24562</v>
      </c>
    </row>
    <row r="24739" customFormat="false" ht="15" hidden="false" customHeight="false" outlineLevel="0" collapsed="false">
      <c r="A24739" s="0" t="e">
        <f aca="false">OPT_BARRIER(150,0.05,-0.01,0.02,2,80,120,90,2,"call","o","x","f")</f>
        <v>#VALUE!</v>
      </c>
      <c r="B24739" s="0" t="s">
        <v>24563</v>
      </c>
    </row>
    <row r="24740" customFormat="false" ht="15" hidden="false" customHeight="false" outlineLevel="0" collapsed="false">
      <c r="A24740" s="0" t="e">
        <f aca="false">OPT_BARRIER(120,0.05,-0.01,0.02,1,80,95,105,2,"Call","o","c","value")</f>
        <v>#VALUE!</v>
      </c>
      <c r="B24740" s="0" t="s">
        <v>24564</v>
      </c>
    </row>
    <row r="24741" customFormat="false" ht="15" hidden="false" customHeight="false" outlineLevel="0" collapsed="false">
      <c r="A24741" s="0" t="n">
        <f aca="false">OPT_BARRIER(150,0.3,-0.01,0,0.5,110,0,120,2,"call","o","e","f")</f>
        <v>-0.0904351413785307</v>
      </c>
      <c r="B24741" s="0" t="s">
        <v>24565</v>
      </c>
    </row>
    <row r="24742" customFormat="false" ht="15" hidden="false" customHeight="false" outlineLevel="0" collapsed="false">
      <c r="A24742" s="0" t="n">
        <f aca="false">OPT_BARRIER(80,0.2,0,0.02,0.5,90,70,130,0,"c","out","cont")</f>
        <v>1.16437903099994</v>
      </c>
      <c r="B24742" s="0" t="s">
        <v>24566</v>
      </c>
    </row>
    <row r="24743" customFormat="false" ht="15" hidden="false" customHeight="false" outlineLevel="0" collapsed="false">
      <c r="A24743" s="0" t="e">
        <f aca="false">OPT_BARRIER(100,0.05,0.1,0,0.5,120,120,90,0,"put","i","end",TRUE())</f>
        <v>#VALUE!</v>
      </c>
      <c r="B24743" s="0" t="s">
        <v>24567</v>
      </c>
    </row>
    <row r="24744" customFormat="false" ht="15" hidden="false" customHeight="false" outlineLevel="0" collapsed="false">
      <c r="A24744" s="0" t="n">
        <f aca="false">OPT_BARRIER(120,0.1,0.05,0,0.25,80,0,0,0,"p","in","cont","e")</f>
        <v>0</v>
      </c>
      <c r="B24744" s="0" t="s">
        <v>24568</v>
      </c>
    </row>
    <row r="24745" customFormat="false" ht="15" hidden="false" customHeight="false" outlineLevel="0" collapsed="false">
      <c r="A24745" s="0" t="e">
        <f aca="false">OPT_BARRIER(100.5,0.3,0.05,-0.02,0.5,80,0,120,0,"put","out","x","rho")</f>
        <v>#VALUE!</v>
      </c>
      <c r="B24745" s="0" t="s">
        <v>24569</v>
      </c>
    </row>
    <row r="24746" customFormat="false" ht="15" hidden="false" customHeight="false" outlineLevel="0" collapsed="false">
      <c r="A24746" s="0" t="e">
        <f aca="false">OPT_BARRIER(95,0.1,0.02,0.05,0,80,95,105,2,"p","out","x","")</f>
        <v>#VALUE!</v>
      </c>
      <c r="B24746" s="0" t="s">
        <v>24570</v>
      </c>
    </row>
    <row r="24747" customFormat="false" ht="15" hidden="false" customHeight="false" outlineLevel="0" collapsed="false">
      <c r="A24747" s="0" t="e">
        <f aca="false">OPT_BARRIER(120,0.1,0.1,0.02,0.01,110,0,120,2,"put","in","x",1)</f>
        <v>#VALUE!</v>
      </c>
      <c r="B24747" s="0" t="s">
        <v>24571</v>
      </c>
    </row>
    <row r="24748" customFormat="false" ht="15" hidden="false" customHeight="false" outlineLevel="0" collapsed="false">
      <c r="A24748" s="0" t="n">
        <f aca="false">OPT_BARRIER(60,0.1,-0.01,-0.02,5,80,0,120,5.5,"put","in","c","f")</f>
        <v>1.05781377151095</v>
      </c>
      <c r="B24748" s="0" t="s">
        <v>24572</v>
      </c>
    </row>
    <row r="24749" customFormat="false" ht="15" hidden="false" customHeight="false" outlineLevel="0" collapsed="false">
      <c r="A24749" s="0" t="n">
        <f aca="false">OPT_BARRIER(100,0.2,0.02,0,0,90,70,130,0,"put","i","cont","value")</f>
        <v>-0</v>
      </c>
      <c r="B24749" s="0" t="s">
        <v>24573</v>
      </c>
    </row>
    <row r="24750" customFormat="false" ht="15" hidden="false" customHeight="false" outlineLevel="0" collapsed="false">
      <c r="A24750" s="0" t="n">
        <f aca="false">OPT_BARRIER(120,0.3,0.1,0.05,0,90,0,120,0,"c","out","end","rho")</f>
        <v>0</v>
      </c>
      <c r="B24750" s="0" t="s">
        <v>24574</v>
      </c>
    </row>
    <row r="24751" customFormat="false" ht="15" hidden="false" customHeight="false" outlineLevel="0" collapsed="false">
      <c r="A24751" s="0" t="e">
        <f aca="false">OPT_BARRIER(150,0.5,0.05,0.02,0.5,90,85,115,5.5,"Call","i","c","a")</f>
        <v>#VALUE!</v>
      </c>
      <c r="B24751" s="0" t="s">
        <v>24575</v>
      </c>
    </row>
    <row r="24752" customFormat="false" ht="15" hidden="false" customHeight="false" outlineLevel="0" collapsed="false">
      <c r="A24752" s="0" t="n">
        <f aca="false">OPT_BARRIER(100,0.05,-0.01,-0.02,5,110,95,105,0,"put","o","c","f")</f>
        <v>0.500454578776475</v>
      </c>
      <c r="B24752" s="0" t="s">
        <v>24576</v>
      </c>
    </row>
    <row r="24753" customFormat="false" ht="15" hidden="false" customHeight="false" outlineLevel="0" collapsed="false">
      <c r="A24753" s="0" t="e">
        <f aca="false">OPT_BARRIER(100.5,0.1,-0.01,0.02,2,90,0,0,5.5,"c","in","x","rho")</f>
        <v>#VALUE!</v>
      </c>
      <c r="B24753" s="0" t="s">
        <v>24577</v>
      </c>
    </row>
    <row r="24754" customFormat="false" ht="15" hidden="false" customHeight="false" outlineLevel="0" collapsed="false">
      <c r="A24754" s="0" t="e">
        <f aca="false">OPT_BARRIER(100,0.1,0,0.02,0,90,0,0,0,"put","o","x","price")</f>
        <v>#VALUE!</v>
      </c>
      <c r="B24754" s="0" t="s">
        <v>24578</v>
      </c>
    </row>
    <row r="24755" customFormat="false" ht="15" hidden="false" customHeight="false" outlineLevel="0" collapsed="false">
      <c r="A24755" s="0" t="n">
        <f aca="false">OPT_BARRIER(60,0.2,0.02,0,0,110,85,115,0,"call","o","cont","volga")</f>
        <v>0</v>
      </c>
      <c r="B24755" s="0" t="s">
        <v>24579</v>
      </c>
    </row>
    <row r="24756" customFormat="false" ht="15" hidden="false" customHeight="false" outlineLevel="0" collapsed="false">
      <c r="A24756" s="0" t="n">
        <f aca="false">OPT_BARRIER(60,0.05,0.1,0.05,5,110,90,0,0,"put","i","cont")</f>
        <v>19.9915446882129</v>
      </c>
      <c r="B24756" s="0" t="s">
        <v>24580</v>
      </c>
    </row>
    <row r="24757" customFormat="false" ht="15" hidden="false" customHeight="false" outlineLevel="0" collapsed="false">
      <c r="A24757" s="0" t="n">
        <f aca="false">OPT_BARRIER(100.5,0.05,-0.01,-0.02,1,90,0,120,5.5,"c","out","e","vega")</f>
        <v>-0.268496765584047</v>
      </c>
      <c r="B24757" s="0" t="s">
        <v>24581</v>
      </c>
    </row>
    <row r="24758" customFormat="false" ht="15" hidden="false" customHeight="false" outlineLevel="0" collapsed="false">
      <c r="A24758" s="0" t="n">
        <f aca="false">OPT_BARRIER(60,0.3,0.1,0.02,0.5,120,95,105,0,"put","i","end","rho")</f>
        <v>-58.3122350539012</v>
      </c>
      <c r="B24758" s="0" t="s">
        <v>24582</v>
      </c>
    </row>
    <row r="24759" customFormat="false" ht="15" hidden="false" customHeight="false" outlineLevel="0" collapsed="false">
      <c r="A24759" s="0" t="n">
        <f aca="false">OPT_BARRIER(60,0.5,0.02,0.02,2,110,95,105,0,"put","out","e","a")</f>
        <v>-0.0304125308147638</v>
      </c>
      <c r="B24759" s="0" t="s">
        <v>24583</v>
      </c>
    </row>
    <row r="24760" customFormat="false" ht="15" hidden="false" customHeight="false" outlineLevel="0" collapsed="false">
      <c r="A24760" s="0" t="n">
        <f aca="false">OPT_BARRIER(80,0.1,0.02,0.02,2,0,120,90,0,"c","i","c","a")</f>
        <v>0</v>
      </c>
      <c r="B24760" s="0" t="s">
        <v>24584</v>
      </c>
    </row>
    <row r="24761" customFormat="false" ht="15" hidden="false" customHeight="false" outlineLevel="0" collapsed="false">
      <c r="A24761" s="0" t="n">
        <f aca="false">OPT_BARRIER(95,0.1,0.1,-0.02,1,120,90,120,0,"call","i","c")</f>
        <v>0.654518522272538</v>
      </c>
      <c r="B24761" s="0" t="s">
        <v>24585</v>
      </c>
    </row>
    <row r="24762" customFormat="false" ht="15" hidden="false" customHeight="false" outlineLevel="0" collapsed="false">
      <c r="A24762" s="0" t="e">
        <f aca="false">OPT_BARRIER(100,0.5,0.02,0,0.01,80,85,115,0,"Call","o","c","rho")</f>
        <v>#VALUE!</v>
      </c>
      <c r="B24762" s="0" t="s">
        <v>24586</v>
      </c>
    </row>
    <row r="24763" customFormat="false" ht="15" hidden="false" customHeight="false" outlineLevel="0" collapsed="false">
      <c r="A24763" s="0" t="n">
        <f aca="false">OPT_BARRIER(120,0.1,-0.01,0.02,2,100,85,115,2,"c","in","e","rho")</f>
        <v>159.248818312645</v>
      </c>
      <c r="B24763" s="0" t="s">
        <v>24587</v>
      </c>
    </row>
    <row r="24764" customFormat="false" ht="15" hidden="false" customHeight="false" outlineLevel="0" collapsed="false">
      <c r="A24764" s="0" t="e">
        <f aca="false">OPT_BARRIER(60,0.3,0,0,0.5,0,85,115,5.5,"Call","i","x","vega")</f>
        <v>#VALUE!</v>
      </c>
      <c r="B24764" s="0" t="s">
        <v>24588</v>
      </c>
    </row>
    <row r="24765" customFormat="false" ht="15" hidden="false" customHeight="false" outlineLevel="0" collapsed="false">
      <c r="A24765" s="0" t="e">
        <f aca="false">OPT_BARRIER(80,0.05,0.05,0,5,100,70,130,0,"p","i","e",1)</f>
        <v>#VALUE!</v>
      </c>
      <c r="B24765" s="0" t="s">
        <v>24589</v>
      </c>
    </row>
    <row r="24766" customFormat="false" ht="15" hidden="false" customHeight="false" outlineLevel="0" collapsed="false">
      <c r="A24766" s="0" t="e">
        <f aca="false">OPT_BARRIER(150,0.05,-0.01,0,0,90,0,0,5.5,"call","in","x")</f>
        <v>#VALUE!</v>
      </c>
      <c r="B24766" s="0" t="s">
        <v>24590</v>
      </c>
    </row>
    <row r="24767" customFormat="false" ht="15" hidden="false" customHeight="false" outlineLevel="0" collapsed="false">
      <c r="A24767" s="0" t="e">
        <f aca="false">OPT_BARRIER(60,0.5,-0.01,0.05,5,120,120,90,2,"Call","o","e","o")</f>
        <v>#VALUE!</v>
      </c>
      <c r="B24767" s="0" t="s">
        <v>24591</v>
      </c>
    </row>
    <row r="24768" customFormat="false" ht="15" hidden="false" customHeight="false" outlineLevel="0" collapsed="false">
      <c r="A24768" s="0" t="e">
        <f aca="false">OPT_BARRIER(100.5,0.1,0.1,0.05,0.25,80,0,120,0,"Call","o","cont","rho")</f>
        <v>#VALUE!</v>
      </c>
      <c r="B24768" s="0" t="s">
        <v>24592</v>
      </c>
    </row>
    <row r="24769" customFormat="false" ht="15" hidden="false" customHeight="false" outlineLevel="0" collapsed="false">
      <c r="A24769" s="0" t="n">
        <f aca="false">OPT_BARRIER(150,0.5,0.1,-0.02,0.5,0,120,90,5.5,"call","out","end","theta")</f>
        <v>0.523176183475393</v>
      </c>
      <c r="B24769" s="0" t="s">
        <v>24593</v>
      </c>
    </row>
    <row r="24770" customFormat="false" ht="15" hidden="false" customHeight="false" outlineLevel="0" collapsed="false">
      <c r="A24770" s="0" t="n">
        <f aca="false">OPT_BARRIER(120,0.05,0.05,0.05,0.5,80,0,120,2,"put","in","e","rhof")</f>
        <v>11.0034744347381</v>
      </c>
      <c r="B24770" s="0" t="s">
        <v>24594</v>
      </c>
    </row>
    <row r="24771" customFormat="false" ht="15" hidden="false" customHeight="false" outlineLevel="0" collapsed="false">
      <c r="A24771" s="0" t="n">
        <f aca="false">OPT_BARRIER(60,0.2,-0.01,0,5,100,0,120,2,"put","out","cont","d")</f>
        <v>-0.870996343840207</v>
      </c>
      <c r="B24771" s="0" t="s">
        <v>24595</v>
      </c>
    </row>
    <row r="24772" customFormat="false" ht="15" hidden="false" customHeight="false" outlineLevel="0" collapsed="false">
      <c r="A24772" s="0" t="n">
        <f aca="false">OPT_BARRIER(100,0.3,0,0.05,1,100,85,115,2,"call","in","end","g")</f>
        <v>0.0128527271172083</v>
      </c>
      <c r="B24772" s="0" t="s">
        <v>24596</v>
      </c>
    </row>
    <row r="24773" customFormat="false" ht="15" hidden="false" customHeight="false" outlineLevel="0" collapsed="false">
      <c r="A24773" s="0" t="n">
        <f aca="false">OPT_BARRIER(95,0.5,-0.01,0.02,0.25,110,90,0,2,"c","o","c","rho")</f>
        <v>2.86129410088908</v>
      </c>
      <c r="B24773" s="0" t="s">
        <v>24597</v>
      </c>
    </row>
    <row r="24774" customFormat="false" ht="15" hidden="false" customHeight="false" outlineLevel="0" collapsed="false">
      <c r="A24774" s="0" t="e">
        <f aca="false">OPT_BARRIER(100.5,0.3,0.02,-0.02,0,80,85,115,2,"Call","o","c",1)</f>
        <v>#VALUE!</v>
      </c>
      <c r="B24774" s="0" t="s">
        <v>24598</v>
      </c>
    </row>
    <row r="24775" customFormat="false" ht="15" hidden="false" customHeight="false" outlineLevel="0" collapsed="false">
      <c r="A24775" s="0" t="n">
        <f aca="false">OPT_BARRIER(95,0.1,0.05,0,0.01,90,95,105,2,"c","i","cont","a")</f>
        <v>-7.2419055312631E-006</v>
      </c>
      <c r="B24775" s="0" t="s">
        <v>24599</v>
      </c>
    </row>
    <row r="24776" customFormat="false" ht="15" hidden="false" customHeight="false" outlineLevel="0" collapsed="false">
      <c r="A24776" s="0" t="e">
        <f aca="false">OPT_BARRIER(150,0.2,-0.01,-0.02,1,100,0,120,0,"Call","in","cont","theta")</f>
        <v>#VALUE!</v>
      </c>
      <c r="B24776" s="0" t="s">
        <v>24600</v>
      </c>
    </row>
    <row r="24777" customFormat="false" ht="15" hidden="false" customHeight="false" outlineLevel="0" collapsed="false">
      <c r="A24777" s="0" t="n">
        <f aca="false">OPT_BARRIER(100.5,0.1,-0.01,-0.02,0.01,0,90,0,0,"put","o","end","rho")</f>
        <v>0</v>
      </c>
      <c r="B24777" s="0" t="s">
        <v>24601</v>
      </c>
    </row>
    <row r="24778" customFormat="false" ht="15" hidden="false" customHeight="false" outlineLevel="0" collapsed="false">
      <c r="A24778" s="0" t="n">
        <f aca="false">OPT_BARRIER(100.5,0.3,0.1,0,0,0,0,0,0,"call","in","end","rhof")</f>
        <v>0</v>
      </c>
      <c r="B24778" s="0" t="s">
        <v>24602</v>
      </c>
    </row>
    <row r="24779" customFormat="false" ht="15" hidden="false" customHeight="false" outlineLevel="0" collapsed="false">
      <c r="A24779" s="0" t="e">
        <f aca="false">OPT_BARRIER(80,0.3,0.02,0.05,0.01,100,70,130,5.5,"call","out","cont",1)</f>
        <v>#VALUE!</v>
      </c>
      <c r="B24779" s="0" t="s">
        <v>24603</v>
      </c>
    </row>
    <row r="24780" customFormat="false" ht="15" hidden="false" customHeight="false" outlineLevel="0" collapsed="false">
      <c r="A24780" s="0" t="n">
        <f aca="false">OPT_BARRIER(95,0.3,0.05,0.02,0,80,0,0,5.5,"c","out","e","theta")</f>
        <v>0</v>
      </c>
      <c r="B24780" s="0" t="s">
        <v>24604</v>
      </c>
    </row>
    <row r="24781" customFormat="false" ht="15" hidden="false" customHeight="false" outlineLevel="0" collapsed="false">
      <c r="A24781" s="0" t="n">
        <f aca="false">OPT_BARRIER(120,0.1,0.1,0.02,5,90,120,90,2,"p","out","cont","volga")</f>
        <v>0</v>
      </c>
      <c r="B24781" s="0" t="s">
        <v>24605</v>
      </c>
    </row>
    <row r="24782" customFormat="false" ht="15" hidden="false" customHeight="false" outlineLevel="0" collapsed="false">
      <c r="A24782" s="0" t="n">
        <f aca="false">OPT_BARRIER(95,0.05,-0.01,-0.02,0.01,120,90,120,0,"put","in","end","o")</f>
        <v>2.01502497992857E-019</v>
      </c>
      <c r="B24782" s="0" t="s">
        <v>24606</v>
      </c>
    </row>
    <row r="24783" customFormat="false" ht="15" hidden="false" customHeight="false" outlineLevel="0" collapsed="false">
      <c r="A24783" s="0" t="n">
        <f aca="false">OPT_BARRIER(60,0.5,0.1,0.02,0.01,120,0,0,0,"p","i","e","e")</f>
        <v>0</v>
      </c>
      <c r="B24783" s="0" t="s">
        <v>24607</v>
      </c>
    </row>
    <row r="24784" customFormat="false" ht="15" hidden="false" customHeight="false" outlineLevel="0" collapsed="false">
      <c r="A24784" s="0" t="n">
        <f aca="false">OPT_BARRIER(60,0.5,0.02,0.05,2,110,85,115,0,"p","i","cont","g")</f>
        <v>0.00715546762181808</v>
      </c>
      <c r="B24784" s="0" t="s">
        <v>24608</v>
      </c>
    </row>
    <row r="24785" customFormat="false" ht="15" hidden="false" customHeight="false" outlineLevel="0" collapsed="false">
      <c r="A24785" s="0" t="n">
        <f aca="false">OPT_BARRIER(60,0.05,0.05,0.05,0.25,110,90,120,0,"c","i","e","g")</f>
        <v>0</v>
      </c>
      <c r="B24785" s="0" t="s">
        <v>24609</v>
      </c>
    </row>
    <row r="24786" customFormat="false" ht="15" hidden="false" customHeight="false" outlineLevel="0" collapsed="false">
      <c r="A24786" s="0" t="n">
        <f aca="false">OPT_BARRIER(120,0.3,0.02,0.02,2,120,0,0,0,"call","in","cont","g")</f>
        <v>0</v>
      </c>
      <c r="B24786" s="0" t="s">
        <v>24610</v>
      </c>
    </row>
    <row r="24787" customFormat="false" ht="15" hidden="false" customHeight="false" outlineLevel="0" collapsed="false">
      <c r="A24787" s="0" t="e">
        <f aca="false">OPT_BARRIER(60,0.5,0,0.05,0.5,90,90,120,5.5,"Call","in","end","d")</f>
        <v>#VALUE!</v>
      </c>
      <c r="B24787" s="0" t="s">
        <v>24611</v>
      </c>
    </row>
    <row r="24788" customFormat="false" ht="15" hidden="false" customHeight="false" outlineLevel="0" collapsed="false">
      <c r="A24788" s="0" t="n">
        <f aca="false">OPT_BARRIER(150,0.3,0,0.05,0.01,120,90,0,2,"call","in","cont","delta")</f>
        <v>6.66816008796467E-064</v>
      </c>
      <c r="B24788" s="0" t="s">
        <v>24612</v>
      </c>
    </row>
    <row r="24789" customFormat="false" ht="15" hidden="false" customHeight="false" outlineLevel="0" collapsed="false">
      <c r="A24789" s="0" t="n">
        <f aca="false">OPT_BARRIER(95,0.5,0.02,-0.02,0,0,0,0,2,"call","out","end","g")</f>
        <v>0</v>
      </c>
      <c r="B24789" s="0" t="s">
        <v>24613</v>
      </c>
    </row>
    <row r="24790" customFormat="false" ht="15" hidden="false" customHeight="false" outlineLevel="0" collapsed="false">
      <c r="A24790" s="0" t="e">
        <f aca="false">OPT_BARRIER(120,0.5,0.02,0.05,1,80,95,105,2,"Call","i","end","d")</f>
        <v>#VALUE!</v>
      </c>
      <c r="B24790" s="0" t="s">
        <v>24614</v>
      </c>
    </row>
    <row r="24791" customFormat="false" ht="15" hidden="false" customHeight="false" outlineLevel="0" collapsed="false">
      <c r="A24791" s="0" t="e">
        <f aca="false">OPT_BARRIER(95,0.05,-0.01,0,0.25,90,0,120,5.5,"Call","out","c","vega")</f>
        <v>#VALUE!</v>
      </c>
      <c r="B24791" s="0" t="s">
        <v>24615</v>
      </c>
    </row>
    <row r="24792" customFormat="false" ht="15" hidden="false" customHeight="false" outlineLevel="0" collapsed="false">
      <c r="A24792" s="0" t="e">
        <f aca="false">OPT_BARRIER(80,0.2,0,0.02,5,0,85,115,5.5,"Call","in","e","e")</f>
        <v>#VALUE!</v>
      </c>
      <c r="B24792" s="0" t="s">
        <v>24616</v>
      </c>
    </row>
    <row r="24793" customFormat="false" ht="15" hidden="false" customHeight="false" outlineLevel="0" collapsed="false">
      <c r="A24793" s="0" t="n">
        <f aca="false">OPT_BARRIER(100.5,0.3,0.1,0.05,0.25,90,95,105,0,"put","o","c","vega")</f>
        <v>0</v>
      </c>
      <c r="B24793" s="0" t="s">
        <v>24617</v>
      </c>
    </row>
    <row r="24794" customFormat="false" ht="15" hidden="false" customHeight="false" outlineLevel="0" collapsed="false">
      <c r="A24794" s="0" t="n">
        <f aca="false">OPT_BARRIER(95,0.2,0.1,0,2,80,0,0,0,"put","o","c","o")</f>
        <v>158.599577803667</v>
      </c>
      <c r="B24794" s="0" t="s">
        <v>24618</v>
      </c>
    </row>
    <row r="24795" customFormat="false" ht="15" hidden="false" customHeight="false" outlineLevel="0" collapsed="false">
      <c r="A24795" s="0" t="e">
        <f aca="false">OPT_BARRIER(100,0.3,-0.01,-0.02,1,80,70,130,2,"put","in","x","volga")</f>
        <v>#VALUE!</v>
      </c>
      <c r="B24795" s="0" t="s">
        <v>24619</v>
      </c>
    </row>
    <row r="24796" customFormat="false" ht="15" hidden="false" customHeight="false" outlineLevel="0" collapsed="false">
      <c r="A24796" s="0" t="e">
        <f aca="false">OPT_BARRIER(95,0.3,0.1,-0.02,1,120,90,120,5.5,"call","o","x","rho")</f>
        <v>#VALUE!</v>
      </c>
      <c r="B24796" s="0" t="s">
        <v>24620</v>
      </c>
    </row>
    <row r="24797" customFormat="false" ht="15" hidden="false" customHeight="false" outlineLevel="0" collapsed="false">
      <c r="A24797" s="0" t="n">
        <f aca="false">OPT_BARRIER(100,0.05,0.1,0,0.01,110,85,115,2,"call","i","c","e")</f>
        <v>-4.65490041055534E-165</v>
      </c>
      <c r="B24797" s="0" t="s">
        <v>24621</v>
      </c>
    </row>
    <row r="24798" customFormat="false" ht="15" hidden="false" customHeight="false" outlineLevel="0" collapsed="false">
      <c r="A24798" s="0" t="e">
        <f aca="false">OPT_BARRIER(80,0.1,0.05,0.02,0.25,0,85,115,5.5,"Call","out","e","vega")</f>
        <v>#VALUE!</v>
      </c>
      <c r="B24798" s="0" t="s">
        <v>24622</v>
      </c>
    </row>
    <row r="24799" customFormat="false" ht="15" hidden="false" customHeight="false" outlineLevel="0" collapsed="false">
      <c r="A24799" s="0" t="e">
        <f aca="false">OPT_BARRIER(100.5,0.05,-0.01,0,0,0,90,120,5.5,"Call","out","cont","volga")</f>
        <v>#VALUE!</v>
      </c>
      <c r="B24799" s="0" t="s">
        <v>24623</v>
      </c>
    </row>
    <row r="24800" customFormat="false" ht="15" hidden="false" customHeight="false" outlineLevel="0" collapsed="false">
      <c r="A24800" s="0" t="e">
        <f aca="false">OPT_BARRIER(150,0.5,-0.01,0,0.5,0,85,115,0,"call","o","x","volga")</f>
        <v>#VALUE!</v>
      </c>
      <c r="B24800" s="0" t="s">
        <v>24624</v>
      </c>
    </row>
    <row r="24801" customFormat="false" ht="15" hidden="false" customHeight="false" outlineLevel="0" collapsed="false">
      <c r="A24801" s="0" t="n">
        <f aca="false">OPT_BARRIER(120,0.3,0.02,0.05,5,100,90,120,0,"call","out","e","value")</f>
        <v>0.850529093800819</v>
      </c>
      <c r="B24801" s="0" t="s">
        <v>24625</v>
      </c>
    </row>
    <row r="24802" customFormat="false" ht="15" hidden="false" customHeight="false" outlineLevel="0" collapsed="false">
      <c r="A24802" s="0" t="e">
        <f aca="false">OPT_BARRIER(95,0.2,0,0.05,0.01,110,90,120,5.5,"c","i","x","vega")</f>
        <v>#VALUE!</v>
      </c>
      <c r="B24802" s="0" t="s">
        <v>24626</v>
      </c>
    </row>
    <row r="24803" customFormat="false" ht="15" hidden="false" customHeight="false" outlineLevel="0" collapsed="false">
      <c r="A24803" s="0" t="e">
        <f aca="false">OPT_BARRIER(95,0.2,-0.01,-0.02,2,80,70,130,0,"put","o","x","")</f>
        <v>#VALUE!</v>
      </c>
      <c r="B24803" s="0" t="s">
        <v>24627</v>
      </c>
    </row>
    <row r="24804" customFormat="false" ht="15" hidden="false" customHeight="false" outlineLevel="0" collapsed="false">
      <c r="A24804" s="0" t="e">
        <f aca="false">OPT_BARRIER(100,0.05,0,0.05,0,80,0,120,2,"Call","o","c","e")</f>
        <v>#VALUE!</v>
      </c>
      <c r="B24804" s="0" t="s">
        <v>24628</v>
      </c>
    </row>
    <row r="24805" customFormat="false" ht="15" hidden="false" customHeight="false" outlineLevel="0" collapsed="false">
      <c r="A24805" s="0" t="e">
        <f aca="false">OPT_BARRIER(120,0.05,0.1,0.02,0.25,100,0,120,2,"Call","o","cont","f")</f>
        <v>#VALUE!</v>
      </c>
      <c r="B24805" s="0" t="s">
        <v>24629</v>
      </c>
    </row>
    <row r="24806" customFormat="false" ht="15" hidden="false" customHeight="false" outlineLevel="0" collapsed="false">
      <c r="A24806" s="0" t="e">
        <f aca="false">OPT_BARRIER(60,0.3,-0.01,0.02,2,100,90,0,0,"put","o","x","o")</f>
        <v>#VALUE!</v>
      </c>
      <c r="B24806" s="0" t="s">
        <v>24630</v>
      </c>
    </row>
    <row r="24807" customFormat="false" ht="15" hidden="false" customHeight="false" outlineLevel="0" collapsed="false">
      <c r="A24807" s="0" t="e">
        <f aca="false">OPT_BARRIER(100,0.05,0,0.05,0.25,100,0,120,0,"Call","o","e","d")</f>
        <v>#VALUE!</v>
      </c>
      <c r="B24807" s="0" t="s">
        <v>24631</v>
      </c>
    </row>
    <row r="24808" customFormat="false" ht="15" hidden="false" customHeight="false" outlineLevel="0" collapsed="false">
      <c r="A24808" s="0" t="e">
        <f aca="false">OPT_BARRIER(100.5,0.05,0.1,0.02,1,110,95,105,0,"put","in","end",TRUE())</f>
        <v>#VALUE!</v>
      </c>
      <c r="B24808" s="0" t="s">
        <v>24632</v>
      </c>
    </row>
    <row r="24809" customFormat="false" ht="15" hidden="false" customHeight="false" outlineLevel="0" collapsed="false">
      <c r="A24809" s="0" t="e">
        <f aca="false">OPT_BARRIER(150,0.5,0.05,-0.02,0.25,110,70,130,2,"Call","i","e")</f>
        <v>#VALUE!</v>
      </c>
      <c r="B24809" s="0" t="s">
        <v>24633</v>
      </c>
    </row>
    <row r="24810" customFormat="false" ht="15" hidden="false" customHeight="false" outlineLevel="0" collapsed="false">
      <c r="A24810" s="0" t="e">
        <f aca="false">OPT_BARRIER(60,0.1,-0.01,0.05,1,90,120,90,5.5,"Call","i","c","theta")</f>
        <v>#VALUE!</v>
      </c>
      <c r="B24810" s="0" t="s">
        <v>24634</v>
      </c>
    </row>
    <row r="24811" customFormat="false" ht="15" hidden="false" customHeight="false" outlineLevel="0" collapsed="false">
      <c r="A24811" s="0" t="e">
        <f aca="false">OPT_BARRIER(120,0.1,0,0,0.25,110,0,0,5.5,"call","out","x","e")</f>
        <v>#VALUE!</v>
      </c>
      <c r="B24811" s="0" t="s">
        <v>24635</v>
      </c>
    </row>
    <row r="24812" customFormat="false" ht="15" hidden="false" customHeight="false" outlineLevel="0" collapsed="false">
      <c r="A24812" s="0" t="n">
        <f aca="false">OPT_BARRIER(80,0.5,-0.01,-0.02,0,100,90,120,0,"call","o","e","vega")</f>
        <v>0</v>
      </c>
      <c r="B24812" s="0" t="s">
        <v>24636</v>
      </c>
    </row>
    <row r="24813" customFormat="false" ht="15" hidden="false" customHeight="false" outlineLevel="0" collapsed="false">
      <c r="A24813" s="0" t="n">
        <f aca="false">OPT_BARRIER(100,0.05,0.05,0.05,0.5,90,85,115,5.5,"put","i","c","gamma")</f>
        <v>-0.000514218797454426</v>
      </c>
      <c r="B24813" s="0" t="s">
        <v>24637</v>
      </c>
    </row>
    <row r="24814" customFormat="false" ht="15" hidden="false" customHeight="false" outlineLevel="0" collapsed="false">
      <c r="A24814" s="0" t="n">
        <f aca="false">OPT_BARRIER(150,0.1,0.05,0.05,0.01,80,95,105,0,"c","in","c","volga")</f>
        <v>0</v>
      </c>
      <c r="B24814" s="0" t="s">
        <v>24638</v>
      </c>
    </row>
    <row r="24815" customFormat="false" ht="15" hidden="false" customHeight="false" outlineLevel="0" collapsed="false">
      <c r="A24815" s="0" t="e">
        <f aca="false">OPT_BARRIER(100,0.3,0.1,0,0.5,80,0,0,5.5,"c","in","e","x")</f>
        <v>#VALUE!</v>
      </c>
      <c r="B24815" s="0" t="s">
        <v>24639</v>
      </c>
    </row>
    <row r="24816" customFormat="false" ht="15" hidden="false" customHeight="false" outlineLevel="0" collapsed="false">
      <c r="A24816" s="0" t="e">
        <f aca="false">OPT_BARRIER(150,0.3,0,0.02,0.01,100,0,120,5.5,"put","o","cont",TRUE())</f>
        <v>#VALUE!</v>
      </c>
      <c r="B24816" s="0" t="s">
        <v>24640</v>
      </c>
    </row>
    <row r="24817" customFormat="false" ht="15" hidden="false" customHeight="false" outlineLevel="0" collapsed="false">
      <c r="A24817" s="0" t="n">
        <f aca="false">OPT_BARRIER(100.5,0.05,0,0.05,1,90,70,130,0,"c","out","end","d")</f>
        <v>0.847562712548668</v>
      </c>
      <c r="B24817" s="0" t="s">
        <v>24641</v>
      </c>
    </row>
    <row r="24818" customFormat="false" ht="15" hidden="false" customHeight="false" outlineLevel="0" collapsed="false">
      <c r="A24818" s="0" t="n">
        <f aca="false">OPT_BARRIER(95,0.05,-0.01,0.05,2,80,120,90,2,"c","out","e","volga")</f>
        <v>0</v>
      </c>
      <c r="B24818" s="0" t="s">
        <v>24642</v>
      </c>
    </row>
    <row r="24819" customFormat="false" ht="15" hidden="false" customHeight="false" outlineLevel="0" collapsed="false">
      <c r="A24819" s="0" t="n">
        <f aca="false">OPT_BARRIER(100.5,0.5,0.1,-0.02,0.25,90,0,120,2,"p","o","cont","delta")</f>
        <v>-0.224485856839743</v>
      </c>
      <c r="B24819" s="0" t="s">
        <v>24643</v>
      </c>
    </row>
    <row r="24820" customFormat="false" ht="15" hidden="false" customHeight="false" outlineLevel="0" collapsed="false">
      <c r="A24820" s="0" t="e">
        <f aca="false">OPT_BARRIER(120,0.2,0,0.02,0.5,80,90,120,0,"put","o","x","rhof")</f>
        <v>#VALUE!</v>
      </c>
      <c r="B24820" s="0" t="s">
        <v>24644</v>
      </c>
    </row>
    <row r="24821" customFormat="false" ht="15" hidden="false" customHeight="false" outlineLevel="0" collapsed="false">
      <c r="A24821" s="0" t="n">
        <f aca="false">OPT_BARRIER(100,0.5,0.1,0.02,5,80,0,120,2,"put","i","cont","d")</f>
        <v>0.109012823760872</v>
      </c>
      <c r="B24821" s="0" t="s">
        <v>24645</v>
      </c>
    </row>
    <row r="24822" customFormat="false" ht="15" hidden="false" customHeight="false" outlineLevel="0" collapsed="false">
      <c r="A24822" s="0" t="n">
        <f aca="false">OPT_BARRIER(60,0.3,0.05,0.02,0.25,100,90,120,0,"put","in","e","value")</f>
        <v>39.0390356568251</v>
      </c>
      <c r="B24822" s="0" t="s">
        <v>24646</v>
      </c>
    </row>
    <row r="24823" customFormat="false" ht="15" hidden="false" customHeight="false" outlineLevel="0" collapsed="false">
      <c r="A24823" s="0" t="n">
        <f aca="false">OPT_BARRIER(100.5,0.05,0.05,0.02,5,110,95,105,0,"put","out","end","g")</f>
        <v>0.00823756030032571</v>
      </c>
      <c r="B24823" s="0" t="s">
        <v>24647</v>
      </c>
    </row>
    <row r="24824" customFormat="false" ht="15" hidden="false" customHeight="false" outlineLevel="0" collapsed="false">
      <c r="A24824" s="0" t="e">
        <f aca="false">OPT_BARRIER(80,0.5,0,-0.02,0.5,100,85,115,0,"p","i","c","")</f>
        <v>#VALUE!</v>
      </c>
      <c r="B24824" s="0" t="s">
        <v>24648</v>
      </c>
    </row>
    <row r="24825" customFormat="false" ht="15" hidden="false" customHeight="false" outlineLevel="0" collapsed="false">
      <c r="A24825" s="0" t="n">
        <f aca="false">OPT_BARRIER(95,0.3,0.05,-0.02,2,110,90,0,2,"c","out","c","price")</f>
        <v>7.28079182857129</v>
      </c>
      <c r="B24825" s="0" t="s">
        <v>24649</v>
      </c>
    </row>
    <row r="24826" customFormat="false" ht="15" hidden="false" customHeight="false" outlineLevel="0" collapsed="false">
      <c r="A24826" s="0" t="n">
        <f aca="false">OPT_BARRIER(120,0.1,0.02,0.02,0,90,0,120,0,"p","i","e","e")</f>
        <v>0</v>
      </c>
      <c r="B24826" s="0" t="s">
        <v>24650</v>
      </c>
    </row>
    <row r="24827" customFormat="false" ht="15" hidden="false" customHeight="false" outlineLevel="0" collapsed="false">
      <c r="A24827" s="0" t="e">
        <f aca="false">OPT_BARRIER(100.5,0.2,0.1,0.02,0.5,90,90,0,2,"Call","i","c","")</f>
        <v>#VALUE!</v>
      </c>
      <c r="B24827" s="0" t="s">
        <v>24651</v>
      </c>
    </row>
    <row r="24828" customFormat="false" ht="15" hidden="false" customHeight="false" outlineLevel="0" collapsed="false">
      <c r="A24828" s="0" t="e">
        <f aca="false">OPT_BARRIER(100,0.2,-0.01,0.05,0.25,120,90,120,0,"call","i","x",TRUE())</f>
        <v>#VALUE!</v>
      </c>
      <c r="B24828" s="0" t="s">
        <v>24652</v>
      </c>
    </row>
    <row r="24829" customFormat="false" ht="15" hidden="false" customHeight="false" outlineLevel="0" collapsed="false">
      <c r="A24829" s="0" t="n">
        <f aca="false">OPT_BARRIER(60,0.5,-0.01,0.02,0.5,80,85,115,0,"p","out","cont","d")</f>
        <v>0</v>
      </c>
      <c r="B24829" s="0" t="s">
        <v>24653</v>
      </c>
    </row>
    <row r="24830" customFormat="false" ht="15" hidden="false" customHeight="false" outlineLevel="0" collapsed="false">
      <c r="A24830" s="0" t="e">
        <f aca="false">OPT_BARRIER(60,0.1,-0.01,-0.02,0.01,120,85,115,2,"Call","in","e","vanna")</f>
        <v>#VALUE!</v>
      </c>
      <c r="B24830" s="0" t="s">
        <v>24654</v>
      </c>
    </row>
    <row r="24831" customFormat="false" ht="15" hidden="false" customHeight="false" outlineLevel="0" collapsed="false">
      <c r="A24831" s="0" t="e">
        <f aca="false">OPT_BARRIER(100,0.3,0.02,0.02,0.5,100,90,120,5.5,"Call","i","x","")</f>
        <v>#VALUE!</v>
      </c>
      <c r="B24831" s="0" t="s">
        <v>24655</v>
      </c>
    </row>
    <row r="24832" customFormat="false" ht="15" hidden="false" customHeight="false" outlineLevel="0" collapsed="false">
      <c r="A24832" s="0" t="n">
        <f aca="false">OPT_BARRIER(150,0.1,0.1,-0.02,5,120,85,115,5.5,"call","o","cont","e")</f>
        <v>0</v>
      </c>
      <c r="B24832" s="0" t="s">
        <v>24656</v>
      </c>
    </row>
    <row r="24833" customFormat="false" ht="15" hidden="false" customHeight="false" outlineLevel="0" collapsed="false">
      <c r="A24833" s="0" t="n">
        <f aca="false">OPT_BARRIER(95,0.2,0.1,-0.02,1,110,70,130,2,"p","in","c","gamma")</f>
        <v>0.0257103236448767</v>
      </c>
      <c r="B24833" s="0" t="s">
        <v>24657</v>
      </c>
    </row>
    <row r="24834" customFormat="false" ht="15" hidden="false" customHeight="false" outlineLevel="0" collapsed="false">
      <c r="A24834" s="0" t="n">
        <f aca="false">OPT_BARRIER(80,0.05,0.1,0.05,0.25,110,95,105,0,"p","i","e","volga")</f>
        <v>-0.000776609934451255</v>
      </c>
      <c r="B24834" s="0" t="s">
        <v>24658</v>
      </c>
    </row>
    <row r="24835" customFormat="false" ht="15" hidden="false" customHeight="false" outlineLevel="0" collapsed="false">
      <c r="A24835" s="0" t="e">
        <f aca="false">OPT_BARRIER(150,0.1,-0.01,0.05,1,0,85,115,0,"Call","i","end","delta")</f>
        <v>#VALUE!</v>
      </c>
      <c r="B24835" s="0" t="s">
        <v>24659</v>
      </c>
    </row>
    <row r="24836" customFormat="false" ht="15" hidden="false" customHeight="false" outlineLevel="0" collapsed="false">
      <c r="A24836" s="0" t="n">
        <f aca="false">OPT_BARRIER(60,0.05,0.02,0.02,0,0,85,115,5.5,"p","out","c","o")</f>
        <v>0</v>
      </c>
      <c r="B24836" s="0" t="s">
        <v>24660</v>
      </c>
    </row>
    <row r="24837" customFormat="false" ht="15" hidden="false" customHeight="false" outlineLevel="0" collapsed="false">
      <c r="A24837" s="0" t="n">
        <f aca="false">OPT_BARRIER(150,0.5,-0.01,-0.02,0.5,100,85,115,5.5,"call","i","c","g")</f>
        <v>0.00310532459250327</v>
      </c>
      <c r="B24837" s="0" t="s">
        <v>24661</v>
      </c>
    </row>
    <row r="24838" customFormat="false" ht="15" hidden="false" customHeight="false" outlineLevel="0" collapsed="false">
      <c r="A24838" s="0" t="e">
        <f aca="false">OPT_BARRIER(60,0.3,0.1,-0.02,0.5,100,70,130,5.5,"c","o","c",1)</f>
        <v>#VALUE!</v>
      </c>
      <c r="B24838" s="0" t="s">
        <v>24662</v>
      </c>
    </row>
    <row r="24839" customFormat="false" ht="15" hidden="false" customHeight="false" outlineLevel="0" collapsed="false">
      <c r="A24839" s="0" t="e">
        <f aca="false">OPT_BARRIER(95,0.05,0.02,-0.02,0.5,80,90,120,5.5,"p","o","x","")</f>
        <v>#VALUE!</v>
      </c>
      <c r="B24839" s="0" t="s">
        <v>24663</v>
      </c>
    </row>
    <row r="24840" customFormat="false" ht="15" hidden="false" customHeight="false" outlineLevel="0" collapsed="false">
      <c r="A24840" s="0" t="e">
        <f aca="false">OPT_BARRIER(60,0.1,0.05,-0.02,5,100,95,105,2,"c","i","cont","")</f>
        <v>#VALUE!</v>
      </c>
      <c r="B24840" s="0" t="s">
        <v>24664</v>
      </c>
    </row>
    <row r="24841" customFormat="false" ht="15" hidden="false" customHeight="false" outlineLevel="0" collapsed="false">
      <c r="A24841" s="0" t="n">
        <f aca="false">OPT_BARRIER(80,0.2,0.05,0,0.01,80,85,115,2,"put","i","e","vanna")</f>
        <v>0.182009327949392</v>
      </c>
      <c r="B24841" s="0" t="s">
        <v>24665</v>
      </c>
    </row>
    <row r="24842" customFormat="false" ht="15" hidden="false" customHeight="false" outlineLevel="0" collapsed="false">
      <c r="A24842" s="0" t="e">
        <f aca="false">OPT_BARRIER(100.5,0.2,0,0.05,0.01,110,90,0,2,"Call","i","x","rhof")</f>
        <v>#VALUE!</v>
      </c>
      <c r="B24842" s="0" t="s">
        <v>24666</v>
      </c>
    </row>
    <row r="24843" customFormat="false" ht="15" hidden="false" customHeight="false" outlineLevel="0" collapsed="false">
      <c r="A24843" s="0" t="n">
        <f aca="false">OPT_BARRIER(100.5,0.1,0.1,-0.02,0.01,120,95,105,2,"c","i","cont","gamma")</f>
        <v>-0.00073414481853911</v>
      </c>
      <c r="B24843" s="0" t="s">
        <v>24667</v>
      </c>
    </row>
    <row r="24844" customFormat="false" ht="15" hidden="false" customHeight="false" outlineLevel="0" collapsed="false">
      <c r="A24844" s="0" t="n">
        <f aca="false">OPT_BARRIER(95,0.2,0,0,0.01,110,120,90,0,"c","out","cont")</f>
        <v>0</v>
      </c>
      <c r="B24844" s="0" t="s">
        <v>24668</v>
      </c>
    </row>
    <row r="24845" customFormat="false" ht="15" hidden="false" customHeight="false" outlineLevel="0" collapsed="false">
      <c r="A24845" s="0" t="e">
        <f aca="false">OPT_BARRIER(100.5,0.05,0.05,0.02,0.5,100,70,130,0,"call","in","x","a")</f>
        <v>#VALUE!</v>
      </c>
      <c r="B24845" s="0" t="s">
        <v>24669</v>
      </c>
    </row>
    <row r="24846" customFormat="false" ht="15" hidden="false" customHeight="false" outlineLevel="0" collapsed="false">
      <c r="A24846" s="0" t="n">
        <f aca="false">OPT_BARRIER(95,0.2,0.1,0.05,0.5,100,0,120,2,"call","o","c","f")</f>
        <v>-7.17303553585418</v>
      </c>
      <c r="B24846" s="0" t="s">
        <v>24670</v>
      </c>
    </row>
    <row r="24847" customFormat="false" ht="15" hidden="false" customHeight="false" outlineLevel="0" collapsed="false">
      <c r="A24847" s="0" t="e">
        <f aca="false">OPT_BARRIER(100.5,0.1,-0.01,-0.02,0,100,90,0,0,"c","in","cont",1)</f>
        <v>#VALUE!</v>
      </c>
      <c r="B24847" s="0" t="s">
        <v>24671</v>
      </c>
    </row>
    <row r="24848" customFormat="false" ht="15" hidden="false" customHeight="false" outlineLevel="0" collapsed="false">
      <c r="A24848" s="0" t="e">
        <f aca="false">OPT_BARRIER(120,0.5,-0.01,-0.02,1,100,70,130,2,"Call","o","e","e")</f>
        <v>#VALUE!</v>
      </c>
      <c r="B24848" s="0" t="s">
        <v>24672</v>
      </c>
    </row>
    <row r="24849" customFormat="false" ht="15" hidden="false" customHeight="false" outlineLevel="0" collapsed="false">
      <c r="A24849" s="0" t="n">
        <f aca="false">OPT_BARRIER(95,0.05,0,0.02,2,100,90,0,0,"p","out","end","vega")</f>
        <v>-45.1396171552448</v>
      </c>
      <c r="B24849" s="0" t="s">
        <v>24673</v>
      </c>
    </row>
    <row r="24850" customFormat="false" ht="15" hidden="false" customHeight="false" outlineLevel="0" collapsed="false">
      <c r="A24850" s="0" t="e">
        <f aca="false">OPT_BARRIER(80,0.3,0.05,0.02,5,100,70,130,0,"Call","i","e","x")</f>
        <v>#VALUE!</v>
      </c>
      <c r="B24850" s="0" t="s">
        <v>24674</v>
      </c>
    </row>
    <row r="24851" customFormat="false" ht="15" hidden="false" customHeight="false" outlineLevel="0" collapsed="false">
      <c r="A24851" s="0" t="e">
        <f aca="false">OPT_BARRIER(80,0.1,0.1,0,0,100,0,120,0,"Call","in","x","x")</f>
        <v>#VALUE!</v>
      </c>
      <c r="B24851" s="0" t="s">
        <v>24675</v>
      </c>
    </row>
    <row r="24852" customFormat="false" ht="15" hidden="false" customHeight="false" outlineLevel="0" collapsed="false">
      <c r="A24852" s="0" t="e">
        <f aca="false">OPT_BARRIER(80,0.05,-0.01,0.05,0.5,90,95,105,0,"p","out","cont",1)</f>
        <v>#VALUE!</v>
      </c>
      <c r="B24852" s="0" t="s">
        <v>24676</v>
      </c>
    </row>
    <row r="24853" customFormat="false" ht="15" hidden="false" customHeight="false" outlineLevel="0" collapsed="false">
      <c r="A24853" s="0" t="e">
        <f aca="false">OPT_BARRIER(100,0.2,0.02,0,0.25,80,95,105,0,"Call","i","c","g")</f>
        <v>#VALUE!</v>
      </c>
      <c r="B24853" s="0" t="s">
        <v>24677</v>
      </c>
    </row>
    <row r="24854" customFormat="false" ht="15" hidden="false" customHeight="false" outlineLevel="0" collapsed="false">
      <c r="A24854" s="0" t="e">
        <f aca="false">OPT_BARRIER(95,0.5,0,0,0.01,100,70,130,0,"Call","o","end",1)</f>
        <v>#VALUE!</v>
      </c>
      <c r="B24854" s="0" t="s">
        <v>24678</v>
      </c>
    </row>
    <row r="24855" customFormat="false" ht="15" hidden="false" customHeight="false" outlineLevel="0" collapsed="false">
      <c r="A24855" s="0" t="e">
        <f aca="false">OPT_BARRIER(150,0.1,0.05,0.05,1,90,90,120,0,"Call","in","e","f")</f>
        <v>#VALUE!</v>
      </c>
      <c r="B24855" s="0" t="s">
        <v>24679</v>
      </c>
    </row>
    <row r="24856" customFormat="false" ht="15" hidden="false" customHeight="false" outlineLevel="0" collapsed="false">
      <c r="A24856" s="0" t="n">
        <f aca="false">OPT_BARRIER(80,0.3,0.05,-0.02,0.5,90,120,90,0,"c","o","e","rhof")</f>
        <v>0</v>
      </c>
      <c r="B24856" s="0" t="s">
        <v>24680</v>
      </c>
    </row>
    <row r="24857" customFormat="false" ht="15" hidden="false" customHeight="false" outlineLevel="0" collapsed="false">
      <c r="A24857" s="0" t="n">
        <f aca="false">OPT_BARRIER(100.5,0.3,-0.01,-0.02,1,100,85,115,0,"p","i","e","delta")</f>
        <v>-0.415608948049537</v>
      </c>
      <c r="B24857" s="0" t="s">
        <v>24681</v>
      </c>
    </row>
    <row r="24858" customFormat="false" ht="15" hidden="false" customHeight="false" outlineLevel="0" collapsed="false">
      <c r="A24858" s="0" t="e">
        <f aca="false">OPT_BARRIER(80,0.5,0.02,0,0.25,90,120,90,0,"p","out","end",1)</f>
        <v>#VALUE!</v>
      </c>
      <c r="B24858" s="0" t="s">
        <v>24682</v>
      </c>
    </row>
    <row r="24859" customFormat="false" ht="15" hidden="false" customHeight="false" outlineLevel="0" collapsed="false">
      <c r="A24859" s="0" t="n">
        <f aca="false">OPT_BARRIER(100.5,0.3,0.02,0.05,0.5,0,0,120,0,"p","out","c","a")</f>
        <v>-0</v>
      </c>
      <c r="B24859" s="0" t="s">
        <v>24683</v>
      </c>
    </row>
    <row r="24860" customFormat="false" ht="15" hidden="false" customHeight="false" outlineLevel="0" collapsed="false">
      <c r="A24860" s="0" t="e">
        <f aca="false">OPT_BARRIER(100,0.5,0.05,0.02,0.25,0,0,0,0,"call","in","x","theta")</f>
        <v>#VALUE!</v>
      </c>
      <c r="B24860" s="0" t="s">
        <v>24684</v>
      </c>
    </row>
    <row r="24861" customFormat="false" ht="15" hidden="false" customHeight="false" outlineLevel="0" collapsed="false">
      <c r="A24861" s="0" t="n">
        <f aca="false">OPT_BARRIER(100.5,0.2,0.1,-0.02,0,80,0,0,5.5,"call","o","cont","g")</f>
        <v>0</v>
      </c>
      <c r="B24861" s="0" t="s">
        <v>24685</v>
      </c>
    </row>
    <row r="24862" customFormat="false" ht="15" hidden="false" customHeight="false" outlineLevel="0" collapsed="false">
      <c r="A24862" s="0" t="n">
        <f aca="false">OPT_BARRIER(100,0.5,0,-0.02,1,90,85,115,0,"call","in","end","theta")</f>
        <v>-11.510758502445</v>
      </c>
      <c r="B24862" s="0" t="s">
        <v>24686</v>
      </c>
    </row>
    <row r="24863" customFormat="false" ht="15" hidden="false" customHeight="false" outlineLevel="0" collapsed="false">
      <c r="A24863" s="0" t="e">
        <f aca="false">OPT_BARRIER(100,0.3,-0.01,0.02,0.01,90,70,130,5.5,"Call","out","c","a")</f>
        <v>#VALUE!</v>
      </c>
      <c r="B24863" s="0" t="s">
        <v>24687</v>
      </c>
    </row>
    <row r="24864" customFormat="false" ht="15" hidden="false" customHeight="false" outlineLevel="0" collapsed="false">
      <c r="A24864" s="0" t="e">
        <f aca="false">OPT_BARRIER(150,0.1,0.02,-0.02,2,90,120,90,5.5,"Call","i","end","value")</f>
        <v>#VALUE!</v>
      </c>
      <c r="B24864" s="0" t="s">
        <v>24688</v>
      </c>
    </row>
    <row r="24865" customFormat="false" ht="15" hidden="false" customHeight="false" outlineLevel="0" collapsed="false">
      <c r="A24865" s="0" t="e">
        <f aca="false">OPT_BARRIER(120,0.3,0,0.02,2,90,90,120,5.5,"Call","o","cont","f")</f>
        <v>#VALUE!</v>
      </c>
      <c r="B24865" s="0" t="s">
        <v>24689</v>
      </c>
    </row>
    <row r="24866" customFormat="false" ht="15" hidden="false" customHeight="false" outlineLevel="0" collapsed="false">
      <c r="A24866" s="0" t="n">
        <f aca="false">OPT_BARRIER(100.5,0.3,0.05,0,2,80,95,105,0,"p","in","c")</f>
        <v>4.49809073090582</v>
      </c>
      <c r="B24866" s="0" t="s">
        <v>24690</v>
      </c>
    </row>
    <row r="24867" customFormat="false" ht="15" hidden="false" customHeight="false" outlineLevel="0" collapsed="false">
      <c r="A24867" s="0" t="n">
        <f aca="false">OPT_BARRIER(120,0.05,0,0.02,2,110,0,0,5.5,"call","i","e","e")</f>
        <v>0</v>
      </c>
      <c r="B24867" s="0" t="s">
        <v>24691</v>
      </c>
    </row>
    <row r="24868" customFormat="false" ht="15" hidden="false" customHeight="false" outlineLevel="0" collapsed="false">
      <c r="A24868" s="0" t="e">
        <f aca="false">OPT_BARRIER(95,0.5,0.05,0.02,0.5,120,70,130,0,"Call","i","c",1)</f>
        <v>#VALUE!</v>
      </c>
      <c r="B24868" s="0" t="s">
        <v>24692</v>
      </c>
    </row>
    <row r="24869" customFormat="false" ht="15" hidden="false" customHeight="false" outlineLevel="0" collapsed="false">
      <c r="A24869" s="0" t="e">
        <f aca="false">OPT_BARRIER(95,0.05,0.05,0,0.5,100,85,115,2,"Call","i","e","gamma")</f>
        <v>#VALUE!</v>
      </c>
      <c r="B24869" s="0" t="s">
        <v>24693</v>
      </c>
    </row>
    <row r="24870" customFormat="false" ht="15" hidden="false" customHeight="false" outlineLevel="0" collapsed="false">
      <c r="A24870" s="0" t="e">
        <f aca="false">OPT_BARRIER(150,0.5,0.02,0.02,1,110,90,0,0,"Call","in","cont","vanna")</f>
        <v>#VALUE!</v>
      </c>
      <c r="B24870" s="0" t="s">
        <v>24694</v>
      </c>
    </row>
    <row r="24871" customFormat="false" ht="15" hidden="false" customHeight="false" outlineLevel="0" collapsed="false">
      <c r="A24871" s="0" t="e">
        <f aca="false">OPT_BARRIER(80,0.1,-0.01,0,5,90,90,0,0,"Call","i","x",TRUE())</f>
        <v>#VALUE!</v>
      </c>
      <c r="B24871" s="0" t="s">
        <v>24695</v>
      </c>
    </row>
    <row r="24872" customFormat="false" ht="15" hidden="false" customHeight="false" outlineLevel="0" collapsed="false">
      <c r="A24872" s="0" t="e">
        <f aca="false">OPT_BARRIER(120,0.5,-0.01,-0.02,0.5,100,95,105,5.5,"Call","out","e","f")</f>
        <v>#VALUE!</v>
      </c>
      <c r="B24872" s="0" t="s">
        <v>24696</v>
      </c>
    </row>
    <row r="24873" customFormat="false" ht="15" hidden="false" customHeight="false" outlineLevel="0" collapsed="false">
      <c r="A24873" s="0" t="e">
        <f aca="false">OPT_BARRIER(60,0.3,-0.01,0.02,5,100,120,90,5.5,"p","out","c",1)</f>
        <v>#VALUE!</v>
      </c>
      <c r="B24873" s="0" t="s">
        <v>24697</v>
      </c>
    </row>
    <row r="24874" customFormat="false" ht="15" hidden="false" customHeight="false" outlineLevel="0" collapsed="false">
      <c r="A24874" s="0" t="e">
        <f aca="false">OPT_BARRIER(100,0.3,0.05,-0.02,0,100,70,130,2,"Call","o","c","theta")</f>
        <v>#VALUE!</v>
      </c>
      <c r="B24874" s="0" t="s">
        <v>24698</v>
      </c>
    </row>
    <row r="24875" customFormat="false" ht="15" hidden="false" customHeight="false" outlineLevel="0" collapsed="false">
      <c r="A24875" s="0" t="e">
        <f aca="false">OPT_BARRIER(150,0.2,0.02,0.05,1,120,90,0,5.5,"Call","o","cont","delta")</f>
        <v>#VALUE!</v>
      </c>
      <c r="B24875" s="0" t="s">
        <v>24699</v>
      </c>
    </row>
    <row r="24876" customFormat="false" ht="15" hidden="false" customHeight="false" outlineLevel="0" collapsed="false">
      <c r="A24876" s="0" t="n">
        <f aca="false">OPT_BARRIER(95,0.3,0.1,0.05,1,0,90,0,0,"call","i","c","rhof")</f>
        <v>-18.976944698411</v>
      </c>
      <c r="B24876" s="0" t="s">
        <v>24700</v>
      </c>
    </row>
    <row r="24877" customFormat="false" ht="15" hidden="false" customHeight="false" outlineLevel="0" collapsed="false">
      <c r="A24877" s="0" t="n">
        <f aca="false">OPT_BARRIER(95,0.3,0.1,-0.02,2,100,0,0,0,"call","in","cont","price")</f>
        <v>0</v>
      </c>
      <c r="B24877" s="0" t="s">
        <v>24701</v>
      </c>
    </row>
    <row r="24878" customFormat="false" ht="15" hidden="false" customHeight="false" outlineLevel="0" collapsed="false">
      <c r="A24878" s="0" t="n">
        <f aca="false">OPT_BARRIER(120,0.2,0.1,-0.02,0.01,100,0,0,2,"call","out","end","gamma")</f>
        <v>7.88909598381066E-020</v>
      </c>
      <c r="B24878" s="0" t="s">
        <v>24702</v>
      </c>
    </row>
    <row r="24879" customFormat="false" ht="15" hidden="false" customHeight="false" outlineLevel="0" collapsed="false">
      <c r="A24879" s="0" t="e">
        <f aca="false">OPT_BARRIER(95,0.3,-0.01,0.05,0.01,120,0,120,2,"call","out","x","gamma")</f>
        <v>#VALUE!</v>
      </c>
      <c r="B24879" s="0" t="s">
        <v>24703</v>
      </c>
    </row>
    <row r="24880" customFormat="false" ht="15" hidden="false" customHeight="false" outlineLevel="0" collapsed="false">
      <c r="A24880" s="0" t="e">
        <f aca="false">OPT_BARRIER(80,0.05,0.05,-0.02,5,80,85,115,2,"c","i","end",1)</f>
        <v>#VALUE!</v>
      </c>
      <c r="B24880" s="0" t="s">
        <v>24704</v>
      </c>
    </row>
    <row r="24881" customFormat="false" ht="15" hidden="false" customHeight="false" outlineLevel="0" collapsed="false">
      <c r="A24881" s="0" t="n">
        <f aca="false">OPT_BARRIER(100.5,0.2,-0.01,0.05,1,110,85,115,0,"call","in","end","vega")</f>
        <v>30.9794158376773</v>
      </c>
      <c r="B24881" s="0" t="s">
        <v>24705</v>
      </c>
    </row>
    <row r="24882" customFormat="false" ht="15" hidden="false" customHeight="false" outlineLevel="0" collapsed="false">
      <c r="A24882" s="0" t="n">
        <f aca="false">OPT_BARRIER(80,0.2,0.1,0.05,0.01,100,120,90,0,"p","out","c","f")</f>
        <v>0</v>
      </c>
      <c r="B24882" s="0" t="s">
        <v>24706</v>
      </c>
    </row>
    <row r="24883" customFormat="false" ht="15" hidden="false" customHeight="false" outlineLevel="0" collapsed="false">
      <c r="A24883" s="0" t="e">
        <f aca="false">OPT_BARRIER(150,0.3,0.05,0.05,0.5,110,0,120,2,"Call","in","e","gamma")</f>
        <v>#VALUE!</v>
      </c>
      <c r="B24883" s="0" t="s">
        <v>24707</v>
      </c>
    </row>
    <row r="24884" customFormat="false" ht="15" hidden="false" customHeight="false" outlineLevel="0" collapsed="false">
      <c r="A24884" s="0" t="n">
        <f aca="false">OPT_BARRIER(60,0.2,0.05,-0.02,2,100,120,90,0,"call","in","c","price")</f>
        <v>0.938904519922261</v>
      </c>
      <c r="B24884" s="0" t="s">
        <v>24708</v>
      </c>
    </row>
    <row r="24885" customFormat="false" ht="15" hidden="false" customHeight="false" outlineLevel="0" collapsed="false">
      <c r="A24885" s="0" t="n">
        <f aca="false">OPT_BARRIER(100.5,0.5,0.05,-0.02,5,110,70,130,2,"put","in","e","o")</f>
        <v>-46.5410912665971</v>
      </c>
      <c r="B24885" s="0" t="s">
        <v>24709</v>
      </c>
    </row>
    <row r="24886" customFormat="false" ht="15" hidden="false" customHeight="false" outlineLevel="0" collapsed="false">
      <c r="A24886" s="0" t="n">
        <f aca="false">OPT_BARRIER(100,0.1,0.02,0.02,0.5,0,90,120,2,"put","i","e","vega")</f>
        <v>-4.8427638437848</v>
      </c>
      <c r="B24886" s="0" t="s">
        <v>24710</v>
      </c>
    </row>
    <row r="24887" customFormat="false" ht="15" hidden="false" customHeight="false" outlineLevel="0" collapsed="false">
      <c r="A24887" s="0" t="e">
        <f aca="false">OPT_BARRIER(80,0.3,0,0,0.25,110,95,105,0,"c","o","x",1)</f>
        <v>#VALUE!</v>
      </c>
      <c r="B24887" s="0" t="s">
        <v>24711</v>
      </c>
    </row>
    <row r="24888" customFormat="false" ht="15" hidden="false" customHeight="false" outlineLevel="0" collapsed="false">
      <c r="A24888" s="0" t="e">
        <f aca="false">OPT_BARRIER(80,0.3,0,0.05,0,90,0,0,2,"Call","in","end","d")</f>
        <v>#VALUE!</v>
      </c>
      <c r="B24888" s="0" t="s">
        <v>24712</v>
      </c>
    </row>
    <row r="24889" customFormat="false" ht="15" hidden="false" customHeight="false" outlineLevel="0" collapsed="false">
      <c r="A24889" s="0" t="e">
        <f aca="false">OPT_BARRIER(100,0.2,0.1,0.02,2,100,70,130,0,"Call","out","e","price")</f>
        <v>#VALUE!</v>
      </c>
      <c r="B24889" s="0" t="s">
        <v>24713</v>
      </c>
    </row>
    <row r="24890" customFormat="false" ht="15" hidden="false" customHeight="false" outlineLevel="0" collapsed="false">
      <c r="A24890" s="0" t="e">
        <f aca="false">OPT_BARRIER(100,0.1,0,0,0.25,0,95,105,0,"put","in","x","e")</f>
        <v>#VALUE!</v>
      </c>
      <c r="B24890" s="0" t="s">
        <v>24714</v>
      </c>
    </row>
    <row r="24891" customFormat="false" ht="15" hidden="false" customHeight="false" outlineLevel="0" collapsed="false">
      <c r="A24891" s="0" t="n">
        <f aca="false">OPT_BARRIER(100.5,0.3,0.02,0,0,90,0,0,2,"call","in","c","theta")</f>
        <v>0</v>
      </c>
      <c r="B24891" s="0" t="s">
        <v>24715</v>
      </c>
    </row>
    <row r="24892" customFormat="false" ht="15" hidden="false" customHeight="false" outlineLevel="0" collapsed="false">
      <c r="A24892" s="0" t="n">
        <f aca="false">OPT_BARRIER(100.5,0.1,0.05,0.05,0.5,0,90,120,0,"c","in","cont","g")</f>
        <v>0.859044471909873</v>
      </c>
      <c r="B24892" s="0" t="s">
        <v>24716</v>
      </c>
    </row>
    <row r="24893" customFormat="false" ht="15" hidden="false" customHeight="false" outlineLevel="0" collapsed="false">
      <c r="A24893" s="0" t="e">
        <f aca="false">OPT_BARRIER(80,0.2,-0.01,0.02,2,90,0,120,0,"put","in","x","vanna")</f>
        <v>#VALUE!</v>
      </c>
      <c r="B24893" s="0" t="s">
        <v>24717</v>
      </c>
    </row>
    <row r="24894" customFormat="false" ht="15" hidden="false" customHeight="false" outlineLevel="0" collapsed="false">
      <c r="A24894" s="0" t="n">
        <f aca="false">OPT_BARRIER(120,0.3,0,-0.02,2,110,95,105,5.5,"put","in","end","o")</f>
        <v>6.97088846113226</v>
      </c>
      <c r="B24894" s="0" t="s">
        <v>24718</v>
      </c>
    </row>
    <row r="24895" customFormat="false" ht="15" hidden="false" customHeight="false" outlineLevel="0" collapsed="false">
      <c r="A24895" s="0" t="e">
        <f aca="false">OPT_BARRIER(60,0.5,0,0.05,0.5,100,90,120,0,"call","out","x","o")</f>
        <v>#VALUE!</v>
      </c>
      <c r="B24895" s="0" t="s">
        <v>24719</v>
      </c>
    </row>
    <row r="24896" customFormat="false" ht="15" hidden="false" customHeight="false" outlineLevel="0" collapsed="false">
      <c r="A24896" s="0" t="n">
        <f aca="false">OPT_BARRIER(95,0.05,0.1,0.05,5,100,0,120,0,"put","o","c","theta")</f>
        <v>0.0733457531506724</v>
      </c>
      <c r="B24896" s="0" t="s">
        <v>24720</v>
      </c>
    </row>
    <row r="24897" customFormat="false" ht="15" hidden="false" customHeight="false" outlineLevel="0" collapsed="false">
      <c r="A24897" s="0" t="n">
        <f aca="false">OPT_BARRIER(95,0.1,0.1,-0.02,0,90,95,105,0,"call","in","cont","price")</f>
        <v>5</v>
      </c>
      <c r="B24897" s="0" t="s">
        <v>24721</v>
      </c>
    </row>
    <row r="24898" customFormat="false" ht="15" hidden="false" customHeight="false" outlineLevel="0" collapsed="false">
      <c r="A24898" s="0" t="n">
        <f aca="false">OPT_BARRIER(60,0.2,0.02,0.02,0.01,120,95,105,2,"c","i","e","a")</f>
        <v>3.20734959839672E-112</v>
      </c>
      <c r="B24898" s="0" t="s">
        <v>24722</v>
      </c>
    </row>
    <row r="24899" customFormat="false" ht="15" hidden="false" customHeight="false" outlineLevel="0" collapsed="false">
      <c r="A24899" s="0" t="n">
        <f aca="false">OPT_BARRIER(60,0.05,0.05,0.05,0,80,95,105,5.5,"c","in","e","theta")</f>
        <v>0</v>
      </c>
      <c r="B24899" s="0" t="s">
        <v>24723</v>
      </c>
    </row>
    <row r="24900" customFormat="false" ht="15" hidden="false" customHeight="false" outlineLevel="0" collapsed="false">
      <c r="A24900" s="0" t="n">
        <f aca="false">OPT_BARRIER(80,0.05,-0.01,0.05,2,0,120,90,5.5,"p","in","end","g")</f>
        <v>0</v>
      </c>
      <c r="B24900" s="0" t="s">
        <v>24724</v>
      </c>
    </row>
    <row r="24901" customFormat="false" ht="15" hidden="false" customHeight="false" outlineLevel="0" collapsed="false">
      <c r="A24901" s="0" t="n">
        <f aca="false">OPT_BARRIER(120,0.5,0.05,0,5,120,95,105,5.5,"put","out","cont","f")</f>
        <v>0</v>
      </c>
      <c r="B24901" s="0" t="s">
        <v>24725</v>
      </c>
    </row>
    <row r="24902" customFormat="false" ht="15" hidden="false" customHeight="false" outlineLevel="0" collapsed="false">
      <c r="A24902" s="0" t="e">
        <f aca="false">OPT_BARRIER(120,0.3,-0.01,0.02,0,80,120,90,2,"c","in","x","d")</f>
        <v>#VALUE!</v>
      </c>
      <c r="B24902" s="0" t="s">
        <v>24726</v>
      </c>
    </row>
    <row r="24903" customFormat="false" ht="15" hidden="false" customHeight="false" outlineLevel="0" collapsed="false">
      <c r="A24903" s="0" t="n">
        <f aca="false">OPT_BARRIER(150,0.5,0.1,-0.02,0.5,90,95,105,0,"call","o","c","o")</f>
        <v>0</v>
      </c>
      <c r="B24903" s="0" t="s">
        <v>24727</v>
      </c>
    </row>
    <row r="24904" customFormat="false" ht="15" hidden="false" customHeight="false" outlineLevel="0" collapsed="false">
      <c r="A24904" s="0" t="e">
        <f aca="false">OPT_BARRIER(120,0.05,0.05,0.02,0,100,0,120,0,"put","in","x","gamma")</f>
        <v>#VALUE!</v>
      </c>
      <c r="B24904" s="0" t="s">
        <v>24728</v>
      </c>
    </row>
    <row r="24905" customFormat="false" ht="15" hidden="false" customHeight="false" outlineLevel="0" collapsed="false">
      <c r="A24905" s="0" t="e">
        <f aca="false">OPT_BARRIER(120,0.3,0.05,0.05,0.01,120,90,120,0,"Call","o","e","volga")</f>
        <v>#VALUE!</v>
      </c>
      <c r="B24905" s="0" t="s">
        <v>24729</v>
      </c>
    </row>
    <row r="24906" customFormat="false" ht="15" hidden="false" customHeight="false" outlineLevel="0" collapsed="false">
      <c r="A24906" s="0" t="e">
        <f aca="false">OPT_BARRIER(120,0.1,0.1,0,0.25,100,120,90,2,"put","out","end","x")</f>
        <v>#VALUE!</v>
      </c>
      <c r="B24906" s="0" t="s">
        <v>24730</v>
      </c>
    </row>
    <row r="24907" customFormat="false" ht="15" hidden="false" customHeight="false" outlineLevel="0" collapsed="false">
      <c r="A24907" s="0" t="n">
        <f aca="false">OPT_BARRIER(80,0.3,0.1,-0.02,5,90,85,115,5.5,"call","in","cont","vega")</f>
        <v>45.2443749767885</v>
      </c>
      <c r="B24907" s="0" t="s">
        <v>24731</v>
      </c>
    </row>
    <row r="24908" customFormat="false" ht="15" hidden="false" customHeight="false" outlineLevel="0" collapsed="false">
      <c r="A24908" s="0" t="n">
        <f aca="false">OPT_BARRIER(95,0.3,0.02,-0.02,0.01,100,95,105,5.5,"p","o","e","f")</f>
        <v>0.505495281296644</v>
      </c>
      <c r="B24908" s="0" t="s">
        <v>24732</v>
      </c>
    </row>
    <row r="24909" customFormat="false" ht="15" hidden="false" customHeight="false" outlineLevel="0" collapsed="false">
      <c r="A24909" s="0" t="e">
        <f aca="false">OPT_BARRIER(150,0.2,0.1,0,2,110,0,0,5.5,"Call","in","c","o")</f>
        <v>#VALUE!</v>
      </c>
      <c r="B24909" s="0" t="s">
        <v>24733</v>
      </c>
    </row>
    <row r="24910" customFormat="false" ht="15" hidden="false" customHeight="false" outlineLevel="0" collapsed="false">
      <c r="A24910" s="0" t="e">
        <f aca="false">OPT_BARRIER(80,0.2,-0.01,0.05,5,100,120,90,0,"Call","i","c","delta")</f>
        <v>#VALUE!</v>
      </c>
      <c r="B24910" s="0" t="s">
        <v>24734</v>
      </c>
    </row>
    <row r="24911" customFormat="false" ht="15" hidden="false" customHeight="false" outlineLevel="0" collapsed="false">
      <c r="A24911" s="0" t="n">
        <f aca="false">OPT_BARRIER(95,0.05,0.1,-0.02,0.5,80,95,105,0,"p","in","c","a")</f>
        <v>-2.15441539752129E-008</v>
      </c>
      <c r="B24911" s="0" t="s">
        <v>24735</v>
      </c>
    </row>
    <row r="24912" customFormat="false" ht="15" hidden="false" customHeight="false" outlineLevel="0" collapsed="false">
      <c r="A24912" s="0" t="n">
        <f aca="false">OPT_BARRIER(100.5,0.3,-0.01,0,2,110,70,130,0,"call","i","e","g")</f>
        <v>0.00984615045231235</v>
      </c>
      <c r="B24912" s="0" t="s">
        <v>24736</v>
      </c>
    </row>
    <row r="24913" customFormat="false" ht="15" hidden="false" customHeight="false" outlineLevel="0" collapsed="false">
      <c r="A24913" s="0" t="e">
        <f aca="false">OPT_BARRIER(60,0.05,0,-0.02,0.25,110,85,115,0,"call","out","c",1)</f>
        <v>#VALUE!</v>
      </c>
      <c r="B24913" s="0" t="s">
        <v>24737</v>
      </c>
    </row>
    <row r="24914" customFormat="false" ht="15" hidden="false" customHeight="false" outlineLevel="0" collapsed="false">
      <c r="A24914" s="0" t="n">
        <f aca="false">OPT_BARRIER(100.5,0.3,0,0.05,0.01,120,0,120,0,"call","i","e","vanna")</f>
        <v>2.02223933368277E-007</v>
      </c>
      <c r="B24914" s="0" t="s">
        <v>24738</v>
      </c>
    </row>
    <row r="24915" customFormat="false" ht="15" hidden="false" customHeight="false" outlineLevel="0" collapsed="false">
      <c r="A24915" s="0" t="n">
        <f aca="false">OPT_BARRIER(100.5,0.1,0.02,0.02,1,100,95,105,5.5,"call","in","cont","vanna")</f>
        <v>0.232903391495468</v>
      </c>
      <c r="B24915" s="0" t="s">
        <v>24739</v>
      </c>
    </row>
    <row r="24916" customFormat="false" ht="15" hidden="false" customHeight="false" outlineLevel="0" collapsed="false">
      <c r="A24916" s="0" t="e">
        <f aca="false">OPT_BARRIER(80,0.2,-0.01,0.02,0.5,120,95,105,0,"Call","out","e","a")</f>
        <v>#VALUE!</v>
      </c>
      <c r="B24916" s="0" t="s">
        <v>24740</v>
      </c>
    </row>
    <row r="24917" customFormat="false" ht="15" hidden="false" customHeight="false" outlineLevel="0" collapsed="false">
      <c r="A24917" s="0" t="e">
        <f aca="false">OPT_TOUCH(100.5,0.5,0.05,0,2,85,115,"d","out","c",1)</f>
        <v>#VALUE!</v>
      </c>
      <c r="B24917" s="0" t="s">
        <v>24741</v>
      </c>
    </row>
    <row r="24918" customFormat="false" ht="15" hidden="false" customHeight="false" outlineLevel="0" collapsed="false">
      <c r="A24918" s="0" t="e">
        <f aca="false">OPT_TOUCH(150,0.2,0.02,0,2,90,0,"dom","out","e","x")</f>
        <v>#VALUE!</v>
      </c>
      <c r="B24918" s="0" t="s">
        <v>24742</v>
      </c>
    </row>
    <row r="24919" customFormat="false" ht="15" hidden="false" customHeight="false" outlineLevel="0" collapsed="false">
      <c r="A24919" s="0" t="n">
        <f aca="false">OPT_TOUCH(95,0.05,0.05,0.02,1,70,130,"for","o","cont","rho")</f>
        <v>-0.000156344815428564</v>
      </c>
      <c r="B24919" s="0" t="s">
        <v>24743</v>
      </c>
    </row>
    <row r="24920" customFormat="false" ht="15" hidden="false" customHeight="false" outlineLevel="0" collapsed="false">
      <c r="A24920" s="0" t="n">
        <f aca="false">OPT_TOUCH(80,0.3,0.1,0.05,0.5,70,130,"dom","o","e","rhof")</f>
        <v>-0.66126916640023</v>
      </c>
      <c r="B24920" s="0" t="s">
        <v>24744</v>
      </c>
    </row>
    <row r="24921" customFormat="false" ht="15" hidden="false" customHeight="false" outlineLevel="0" collapsed="false">
      <c r="A24921" s="0" t="e">
        <f aca="false">OPT_TOUCH(100,0.1,0,0.02,5,90,0,"x","i","end",TRUE())</f>
        <v>#VALUE!</v>
      </c>
      <c r="B24921" s="0" t="s">
        <v>24745</v>
      </c>
    </row>
    <row r="24922" customFormat="false" ht="15" hidden="false" customHeight="false" outlineLevel="0" collapsed="false">
      <c r="A24922" s="0" t="n">
        <f aca="false">OPT_TOUCH(150,0.1,0,0.02,0.01,120,90,"f","i","end","value")</f>
        <v>149.9700029998</v>
      </c>
      <c r="B24922" s="0" t="s">
        <v>24746</v>
      </c>
    </row>
    <row r="24923" customFormat="false" ht="15" hidden="false" customHeight="false" outlineLevel="0" collapsed="false">
      <c r="A24923" s="0" t="e">
        <f aca="false">OPT_TOUCH(150,0.2,-0.01,0.05,5,70,130,"x","i","e","rhof")</f>
        <v>#VALUE!</v>
      </c>
      <c r="B24923" s="0" t="s">
        <v>24747</v>
      </c>
    </row>
    <row r="24924" customFormat="false" ht="15" hidden="false" customHeight="false" outlineLevel="0" collapsed="false">
      <c r="A24924" s="0" t="e">
        <f aca="false">OPT_TOUCH(100,0.05,0,0.05,2,90,120,"d","in","cont",1)</f>
        <v>#VALUE!</v>
      </c>
      <c r="B24924" s="0" t="s">
        <v>24748</v>
      </c>
    </row>
    <row r="24925" customFormat="false" ht="15" hidden="false" customHeight="false" outlineLevel="0" collapsed="false">
      <c r="A24925" s="0" t="e">
        <f aca="false">OPT_TOUCH(100,0.3,0.05,0,0,90,0,"for","o","c","x")</f>
        <v>#VALUE!</v>
      </c>
      <c r="B24925" s="0" t="s">
        <v>24749</v>
      </c>
    </row>
    <row r="24926" customFormat="false" ht="15" hidden="false" customHeight="false" outlineLevel="0" collapsed="false">
      <c r="A24926" s="0" t="n">
        <f aca="false">OPT_TOUCH(95,0.1,0.02,-0.02,2,0,0,"dom","i","c","value")</f>
        <v>0</v>
      </c>
      <c r="B24926" s="0" t="s">
        <v>24750</v>
      </c>
    </row>
    <row r="24927" customFormat="false" ht="15" hidden="false" customHeight="false" outlineLevel="0" collapsed="false">
      <c r="A24927" s="0" t="e">
        <f aca="false">OPT_TOUCH(100.5,0.2,0.1,0.02,0,120,90,"x","i","cont","vanna")</f>
        <v>#VALUE!</v>
      </c>
      <c r="B24927" s="0" t="s">
        <v>24751</v>
      </c>
    </row>
    <row r="24928" customFormat="false" ht="15" hidden="false" customHeight="false" outlineLevel="0" collapsed="false">
      <c r="A24928" s="0" t="e">
        <f aca="false">OPT_TOUCH(100.5,0.5,0.02,0.02,0.5,70,130,"x","in","end","value")</f>
        <v>#VALUE!</v>
      </c>
      <c r="B24928" s="0" t="s">
        <v>24752</v>
      </c>
    </row>
    <row r="24929" customFormat="false" ht="15" hidden="false" customHeight="false" outlineLevel="0" collapsed="false">
      <c r="A24929" s="0" t="n">
        <f aca="false">OPT_TOUCH(95,0.1,0.02,-0.02,0.25,90,0,"dom","out","c","delta")</f>
        <v>0.0850734197236311</v>
      </c>
      <c r="B24929" s="0" t="s">
        <v>24753</v>
      </c>
    </row>
    <row r="24930" customFormat="false" ht="15" hidden="false" customHeight="false" outlineLevel="0" collapsed="false">
      <c r="A24930" s="0" t="e">
        <f aca="false">OPT_TOUCH(100.5,0.1,-0.01,0.05,0.01,85,115,"x","out","c","rhof")</f>
        <v>#VALUE!</v>
      </c>
      <c r="B24930" s="0" t="s">
        <v>24754</v>
      </c>
    </row>
    <row r="24931" customFormat="false" ht="15" hidden="false" customHeight="false" outlineLevel="0" collapsed="false">
      <c r="A24931" s="0" t="e">
        <f aca="false">OPT_TOUCH(100.5,0.1,0.1,-0.02,2,120,90,"x","o","end","value")</f>
        <v>#VALUE!</v>
      </c>
      <c r="B24931" s="0" t="s">
        <v>24755</v>
      </c>
    </row>
    <row r="24932" customFormat="false" ht="15" hidden="false" customHeight="false" outlineLevel="0" collapsed="false">
      <c r="A24932" s="0" t="e">
        <f aca="false">OPT_TOUCH(100.5,0.1,0.1,0.02,0.5,70,130,"x","out","c","vanna")</f>
        <v>#VALUE!</v>
      </c>
      <c r="B24932" s="0" t="s">
        <v>24756</v>
      </c>
    </row>
    <row r="24933" customFormat="false" ht="15" hidden="false" customHeight="false" outlineLevel="0" collapsed="false">
      <c r="A24933" s="0" t="n">
        <f aca="false">OPT_TOUCH(100,0.5,0.05,0.05,2,0,120,"d","in","c","vega")</f>
        <v>0.308832609543047</v>
      </c>
      <c r="B24933" s="0" t="s">
        <v>24757</v>
      </c>
    </row>
    <row r="24934" customFormat="false" ht="15" hidden="false" customHeight="false" outlineLevel="0" collapsed="false">
      <c r="A24934" s="0" t="e">
        <f aca="false">OPT_TOUCH(150,0.2,-0.01,-0.02,0,0,0,"for","out","e",1)</f>
        <v>#VALUE!</v>
      </c>
      <c r="B24934" s="0" t="s">
        <v>24758</v>
      </c>
    </row>
    <row r="24935" customFormat="false" ht="15" hidden="false" customHeight="false" outlineLevel="0" collapsed="false">
      <c r="A24935" s="0" t="n">
        <f aca="false">OPT_TOUCH(60,0.2,0,0.02,0.5,95,105,"f","o","e","volga")</f>
        <v>78.9815881667218</v>
      </c>
      <c r="B24935" s="0" t="s">
        <v>24759</v>
      </c>
    </row>
    <row r="24936" customFormat="false" ht="15" hidden="false" customHeight="false" outlineLevel="0" collapsed="false">
      <c r="A24936" s="0" t="n">
        <f aca="false">OPT_TOUCH(95,0.05,0.1,-0.02,2,90,0,"dom","i","cont","price")</f>
        <v>0.004805695794453</v>
      </c>
      <c r="B24936" s="0" t="s">
        <v>24760</v>
      </c>
    </row>
    <row r="24937" customFormat="false" ht="15" hidden="false" customHeight="false" outlineLevel="0" collapsed="false">
      <c r="A24937" s="0" t="e">
        <f aca="false">OPT_TOUCH(60,0.1,0.05,0.05,0,85,115,"f","i","cont","")</f>
        <v>#VALUE!</v>
      </c>
      <c r="B24937" s="0" t="s">
        <v>24761</v>
      </c>
    </row>
    <row r="24938" customFormat="false" ht="15" hidden="false" customHeight="false" outlineLevel="0" collapsed="false">
      <c r="A24938" s="0" t="n">
        <f aca="false">OPT_TOUCH(60,0.05,0.05,0.02,1,0,0,"dom","i","e","value")</f>
        <v>0</v>
      </c>
      <c r="B24938" s="0" t="s">
        <v>24762</v>
      </c>
    </row>
    <row r="24939" customFormat="false" ht="15" hidden="false" customHeight="false" outlineLevel="0" collapsed="false">
      <c r="A24939" s="0" t="e">
        <f aca="false">OPT_TOUCH(100,0.1,0.02,0.05,0.01,120,90,"x","out","c","volga")</f>
        <v>#VALUE!</v>
      </c>
      <c r="B24939" s="0" t="s">
        <v>24763</v>
      </c>
    </row>
    <row r="24940" customFormat="false" ht="15" hidden="false" customHeight="false" outlineLevel="0" collapsed="false">
      <c r="A24940" s="0" t="e">
        <f aca="false">OPT_TOUCH(100.5,0.2,0.02,-0.02,0.01,90,0,"d","i","c","x")</f>
        <v>#VALUE!</v>
      </c>
      <c r="B24940" s="0" t="s">
        <v>24764</v>
      </c>
    </row>
    <row r="24941" customFormat="false" ht="15" hidden="false" customHeight="false" outlineLevel="0" collapsed="false">
      <c r="A24941" s="0" t="n">
        <f aca="false">OPT_TOUCH(120,0.3,-0.01,-0.02,2,0,120,"dom","in","e","volga")</f>
        <v>0.47007532961503</v>
      </c>
      <c r="B24941" s="0" t="s">
        <v>24765</v>
      </c>
    </row>
    <row r="24942" customFormat="false" ht="15" hidden="false" customHeight="false" outlineLevel="0" collapsed="false">
      <c r="A24942" s="0" t="n">
        <f aca="false">OPT_TOUCH(100,0.1,-0.01,0.05,0.5,0,120,"dom","i","c","value")</f>
        <v>0.0027985031555422</v>
      </c>
      <c r="B24942" s="0" t="s">
        <v>24766</v>
      </c>
    </row>
    <row r="24943" customFormat="false" ht="15" hidden="false" customHeight="false" outlineLevel="0" collapsed="false">
      <c r="A24943" s="0" t="n">
        <f aca="false">OPT_TOUCH(80,0.5,0.1,-0.02,0.01,70,130,"f","i","c")</f>
        <v>0.530965403966647</v>
      </c>
      <c r="B24943" s="0" t="s">
        <v>24767</v>
      </c>
    </row>
    <row r="24944" customFormat="false" ht="15" hidden="false" customHeight="false" outlineLevel="0" collapsed="false">
      <c r="A24944" s="0" t="n">
        <f aca="false">OPT_TOUCH(120,0.5,0.02,-0.02,0.5,120,90,"for","out","e","o")</f>
        <v>0</v>
      </c>
      <c r="B24944" s="0" t="s">
        <v>24768</v>
      </c>
    </row>
    <row r="24945" customFormat="false" ht="15" hidden="false" customHeight="false" outlineLevel="0" collapsed="false">
      <c r="A24945" s="0" t="e">
        <f aca="false">OPT_TOUCH(60,0.1,0.1,0.02,0,90,0,"d","in","c","x")</f>
        <v>#VALUE!</v>
      </c>
      <c r="B24945" s="0" t="s">
        <v>24769</v>
      </c>
    </row>
    <row r="24946" customFormat="false" ht="15" hidden="false" customHeight="false" outlineLevel="0" collapsed="false">
      <c r="A24946" s="0" t="n">
        <f aca="false">OPT_TOUCH(80,0.3,0.05,0,0,0,0,"d","i","end","value")</f>
        <v>0</v>
      </c>
      <c r="B24946" s="0" t="s">
        <v>24770</v>
      </c>
    </row>
    <row r="24947" customFormat="false" ht="15" hidden="false" customHeight="false" outlineLevel="0" collapsed="false">
      <c r="A24947" s="0" t="n">
        <f aca="false">OPT_TOUCH(100.5,0.1,0,-0.02,5,0,0,"for","o","cont")</f>
        <v>111.069677266603</v>
      </c>
      <c r="B24947" s="0" t="s">
        <v>24771</v>
      </c>
    </row>
    <row r="24948" customFormat="false" ht="15" hidden="false" customHeight="false" outlineLevel="0" collapsed="false">
      <c r="A24948" s="0" t="e">
        <f aca="false">OPT_TOUCH(80,0.2,0.1,0.05,0,70,130,"x","in","e","x")</f>
        <v>#VALUE!</v>
      </c>
      <c r="B24948" s="0" t="s">
        <v>24772</v>
      </c>
    </row>
    <row r="24949" customFormat="false" ht="15" hidden="false" customHeight="false" outlineLevel="0" collapsed="false">
      <c r="A24949" s="0" t="e">
        <f aca="false">OPT_TOUCH(150,0.1,-0.01,0.05,0.01,85,115,"x","o","c","rho")</f>
        <v>#VALUE!</v>
      </c>
      <c r="B24949" s="0" t="s">
        <v>24773</v>
      </c>
    </row>
    <row r="24950" customFormat="false" ht="15" hidden="false" customHeight="false" outlineLevel="0" collapsed="false">
      <c r="A24950" s="0" t="n">
        <f aca="false">OPT_TOUCH(95,0.5,0.1,-0.02,0.01,85,115,"for","i","cont","vanna")</f>
        <v>-9.37061943913075</v>
      </c>
      <c r="B24950" s="0" t="s">
        <v>24774</v>
      </c>
    </row>
    <row r="24951" customFormat="false" ht="15" hidden="false" customHeight="false" outlineLevel="0" collapsed="false">
      <c r="A24951" s="0" t="e">
        <f aca="false">OPT_TOUCH(100,0.05,0.1,0,0.25,0,120,"x","out","e","a")</f>
        <v>#VALUE!</v>
      </c>
      <c r="B24951" s="0" t="s">
        <v>24775</v>
      </c>
    </row>
    <row r="24952" customFormat="false" ht="15" hidden="false" customHeight="false" outlineLevel="0" collapsed="false">
      <c r="A24952" s="0" t="n">
        <f aca="false">OPT_TOUCH(100.5,0.5,0.02,0.05,0.01,95,105,"for","out","e","value")</f>
        <v>68.1157945961305</v>
      </c>
      <c r="B24952" s="0" t="s">
        <v>24776</v>
      </c>
    </row>
    <row r="24953" customFormat="false" ht="15" hidden="false" customHeight="false" outlineLevel="0" collapsed="false">
      <c r="A24953" s="0" t="e">
        <f aca="false">OPT_TOUCH(120,0.05,0.02,0,0.25,70,130,"for","in","c","x")</f>
        <v>#VALUE!</v>
      </c>
      <c r="B24953" s="0" t="s">
        <v>24777</v>
      </c>
    </row>
    <row r="24954" customFormat="false" ht="15" hidden="false" customHeight="false" outlineLevel="0" collapsed="false">
      <c r="A24954" s="0" t="n">
        <f aca="false">OPT_TOUCH(60,0.5,-0.01,0.05,0.01,120,90,"f","out","end")</f>
        <v>0</v>
      </c>
      <c r="B24954" s="0" t="s">
        <v>24778</v>
      </c>
    </row>
    <row r="24955" customFormat="false" ht="15" hidden="false" customHeight="false" outlineLevel="0" collapsed="false">
      <c r="A24955" s="0" t="n">
        <f aca="false">OPT_TOUCH(80,0.05,-0.01,0.02,0.25,85,115,"dom","i","cont","value")</f>
        <v>1.0025031276058</v>
      </c>
      <c r="B24955" s="0" t="s">
        <v>24779</v>
      </c>
    </row>
    <row r="24956" customFormat="false" ht="15" hidden="false" customHeight="false" outlineLevel="0" collapsed="false">
      <c r="A24956" s="0" t="n">
        <f aca="false">OPT_TOUCH(100.5,0.1,0.05,0.05,0,90,120,"for","i","c","gamma")</f>
        <v>0</v>
      </c>
      <c r="B24956" s="0" t="s">
        <v>24780</v>
      </c>
    </row>
    <row r="24957" customFormat="false" ht="15" hidden="false" customHeight="false" outlineLevel="0" collapsed="false">
      <c r="A24957" s="0" t="n">
        <f aca="false">OPT_TOUCH(120,0.05,0,0,1,95,105,"for","out","end","theta")</f>
        <v>-1.67202322672798</v>
      </c>
      <c r="B24957" s="0" t="s">
        <v>24781</v>
      </c>
    </row>
    <row r="24958" customFormat="false" ht="15" hidden="false" customHeight="false" outlineLevel="0" collapsed="false">
      <c r="A24958" s="0" t="n">
        <f aca="false">OPT_TOUCH(80,0.5,0,0,0.25,95,105,"for","in","c","e")</f>
        <v>0</v>
      </c>
      <c r="B24958" s="0" t="s">
        <v>24782</v>
      </c>
    </row>
    <row r="24959" customFormat="false" ht="15" hidden="false" customHeight="false" outlineLevel="0" collapsed="false">
      <c r="A24959" s="0" t="n">
        <f aca="false">OPT_TOUCH(100,0.2,0.05,0,2,0,120,"for","i","c","a")</f>
        <v>-7.65153776598214</v>
      </c>
      <c r="B24959" s="0" t="s">
        <v>24783</v>
      </c>
    </row>
    <row r="24960" customFormat="false" ht="15" hidden="false" customHeight="false" outlineLevel="0" collapsed="false">
      <c r="A24960" s="0" t="e">
        <f aca="false">OPT_TOUCH(80,0.3,0.05,-0.02,2,85,115,"dom","out","e",TRUE())</f>
        <v>#VALUE!</v>
      </c>
      <c r="B24960" s="0" t="s">
        <v>24784</v>
      </c>
    </row>
    <row r="24961" customFormat="false" ht="15" hidden="false" customHeight="false" outlineLevel="0" collapsed="false">
      <c r="A24961" s="0" t="n">
        <f aca="false">OPT_TOUCH(80,0.2,0,-0.02,0.01,95,105,"d","out","e","e")</f>
        <v>1.58755988014063E-015</v>
      </c>
      <c r="B24961" s="0" t="s">
        <v>24785</v>
      </c>
    </row>
    <row r="24962" customFormat="false" ht="15" hidden="false" customHeight="false" outlineLevel="0" collapsed="false">
      <c r="A24962" s="0" t="n">
        <f aca="false">OPT_TOUCH(100,0.05,-0.01,0.05,2,90,120,"dom","o","cont","g")</f>
        <v>0.00345568262700593</v>
      </c>
      <c r="B24962" s="0" t="s">
        <v>24786</v>
      </c>
    </row>
    <row r="24963" customFormat="false" ht="15" hidden="false" customHeight="false" outlineLevel="0" collapsed="false">
      <c r="A24963" s="0" t="n">
        <f aca="false">OPT_TOUCH(150,0.5,0.05,0,1,0,120,"for","i","end","price")</f>
        <v>118.060111481435</v>
      </c>
      <c r="B24963" s="0" t="s">
        <v>24787</v>
      </c>
    </row>
    <row r="24964" customFormat="false" ht="15" hidden="false" customHeight="false" outlineLevel="0" collapsed="false">
      <c r="A24964" s="0" t="n">
        <f aca="false">OPT_TOUCH(120,0.05,0.1,-0.02,5,0,0,"dom","out","c","value")</f>
        <v>0.606530659712633</v>
      </c>
      <c r="B24964" s="0" t="s">
        <v>24788</v>
      </c>
    </row>
    <row r="24965" customFormat="false" ht="15" hidden="false" customHeight="false" outlineLevel="0" collapsed="false">
      <c r="A24965" s="0" t="e">
        <f aca="false">OPT_TOUCH(100.5,0.2,0.02,-0.02,0.01,90,120,"x","in","e","delta")</f>
        <v>#VALUE!</v>
      </c>
      <c r="B24965" s="0" t="s">
        <v>24789</v>
      </c>
    </row>
    <row r="24966" customFormat="false" ht="15" hidden="false" customHeight="false" outlineLevel="0" collapsed="false">
      <c r="A24966" s="0" t="n">
        <f aca="false">OPT_TOUCH(120,0.3,0.02,-0.02,2,85,115,"for","out","c","e")</f>
        <v>0</v>
      </c>
      <c r="B24966" s="0" t="s">
        <v>24790</v>
      </c>
    </row>
    <row r="24967" customFormat="false" ht="15" hidden="false" customHeight="false" outlineLevel="0" collapsed="false">
      <c r="A24967" s="0" t="n">
        <f aca="false">OPT_TOUCH(150,0.2,-0.01,0,1,95,105,"d","in","c","o")</f>
        <v>0</v>
      </c>
      <c r="B24967" s="0" t="s">
        <v>24791</v>
      </c>
    </row>
    <row r="24968" customFormat="false" ht="15" hidden="false" customHeight="false" outlineLevel="0" collapsed="false">
      <c r="A24968" s="0" t="n">
        <f aca="false">OPT_TOUCH(100,0.5,0.02,-0.02,5,0,0,"d","out","end","d")</f>
        <v>0</v>
      </c>
      <c r="B24968" s="0" t="s">
        <v>24792</v>
      </c>
    </row>
    <row r="24969" customFormat="false" ht="15" hidden="false" customHeight="false" outlineLevel="0" collapsed="false">
      <c r="A24969" s="0" t="e">
        <f aca="false">OPT_TOUCH(80,0.2,0.1,0.05,0,0,120,"dom","i","cont",TRUE())</f>
        <v>#VALUE!</v>
      </c>
      <c r="B24969" s="0" t="s">
        <v>24793</v>
      </c>
    </row>
    <row r="24970" customFormat="false" ht="15" hidden="false" customHeight="false" outlineLevel="0" collapsed="false">
      <c r="A24970" s="0" t="n">
        <f aca="false">OPT_TOUCH(150,0.05,-0.01,0.05,5,90,0,"dom","out","cont","g")</f>
        <v>-0.000658759370844065</v>
      </c>
      <c r="B24970" s="0" t="s">
        <v>24794</v>
      </c>
    </row>
    <row r="24971" customFormat="false" ht="15" hidden="false" customHeight="false" outlineLevel="0" collapsed="false">
      <c r="A24971" s="0" t="e">
        <f aca="false">OPT_TOUCH(80,0.3,0.05,0.02,0,90,120,"d","o","cont",1)</f>
        <v>#VALUE!</v>
      </c>
      <c r="B24971" s="0" t="s">
        <v>24795</v>
      </c>
    </row>
    <row r="24972" customFormat="false" ht="15" hidden="false" customHeight="false" outlineLevel="0" collapsed="false">
      <c r="A24972" s="0" t="e">
        <f aca="false">OPT_TOUCH(100,0.05,0.05,0.05,2,120,90,"x","out","cont","price")</f>
        <v>#VALUE!</v>
      </c>
      <c r="B24972" s="0" t="s">
        <v>24796</v>
      </c>
    </row>
    <row r="24973" customFormat="false" ht="15" hidden="false" customHeight="false" outlineLevel="0" collapsed="false">
      <c r="A24973" s="0" t="n">
        <f aca="false">OPT_TOUCH(60,0.05,0.02,-0.02,0.5,120,90,"for","i","end","e")</f>
        <v>0</v>
      </c>
      <c r="B24973" s="0" t="s">
        <v>24797</v>
      </c>
    </row>
    <row r="24974" customFormat="false" ht="15" hidden="false" customHeight="false" outlineLevel="0" collapsed="false">
      <c r="A24974" s="0" t="n">
        <f aca="false">OPT_TOUCH(120,0.3,0,-0.02,0.25,95,105,"for","o","cont","value")</f>
        <v>0</v>
      </c>
      <c r="B24974" s="0" t="s">
        <v>24798</v>
      </c>
    </row>
    <row r="24975" customFormat="false" ht="15" hidden="false" customHeight="false" outlineLevel="0" collapsed="false">
      <c r="A24975" s="0" t="n">
        <f aca="false">OPT_TOUCH(60,0.05,-0.01,0.02,0.01,90,120,"for","out","c","rhof")</f>
        <v>0</v>
      </c>
      <c r="B24975" s="0" t="s">
        <v>24799</v>
      </c>
    </row>
    <row r="24976" customFormat="false" ht="15" hidden="false" customHeight="false" outlineLevel="0" collapsed="false">
      <c r="A24976" s="0" t="e">
        <f aca="false">OPT_TOUCH(60,0.3,0.05,0.05,0.01,0,120,"x","in","c",TRUE())</f>
        <v>#VALUE!</v>
      </c>
      <c r="B24976" s="0" t="s">
        <v>24800</v>
      </c>
    </row>
    <row r="24977" customFormat="false" ht="15" hidden="false" customHeight="false" outlineLevel="0" collapsed="false">
      <c r="A24977" s="0" t="n">
        <f aca="false">OPT_TOUCH(100,0.2,0,0.02,0,90,120,"for","o","e","f")</f>
        <v>0</v>
      </c>
      <c r="B24977" s="0" t="s">
        <v>24801</v>
      </c>
    </row>
    <row r="24978" customFormat="false" ht="15" hidden="false" customHeight="false" outlineLevel="0" collapsed="false">
      <c r="A24978" s="0" t="n">
        <f aca="false">OPT_TOUCH(150,0.2,0.02,0.05,0.01,0,120,"dom","o","c","o")</f>
        <v>0</v>
      </c>
      <c r="B24978" s="0" t="s">
        <v>24802</v>
      </c>
    </row>
    <row r="24979" customFormat="false" ht="15" hidden="false" customHeight="false" outlineLevel="0" collapsed="false">
      <c r="A24979" s="0" t="e">
        <f aca="false">OPT_TOUCH(95,0.5,-0.01,0,5,90,0,"x","o","end","rhof")</f>
        <v>#VALUE!</v>
      </c>
      <c r="B24979" s="0" t="s">
        <v>24803</v>
      </c>
    </row>
    <row r="24980" customFormat="false" ht="15" hidden="false" customHeight="false" outlineLevel="0" collapsed="false">
      <c r="A24980" s="0" t="n">
        <f aca="false">OPT_TOUCH(150,0.1,0,0.05,0.25,90,0,"d","out","e","price")</f>
        <v>1</v>
      </c>
      <c r="B24980" s="0" t="s">
        <v>24804</v>
      </c>
    </row>
    <row r="24981" customFormat="false" ht="15" hidden="false" customHeight="false" outlineLevel="0" collapsed="false">
      <c r="A24981" s="0" t="e">
        <f aca="false">OPT_TOUCH(150,0.1,0.05,-0.02,0.25,90,120,"x","out","cont","e")</f>
        <v>#VALUE!</v>
      </c>
      <c r="B24981" s="0" t="s">
        <v>24805</v>
      </c>
    </row>
    <row r="24982" customFormat="false" ht="15" hidden="false" customHeight="false" outlineLevel="0" collapsed="false">
      <c r="A24982" s="0" t="n">
        <f aca="false">OPT_TOUCH(100.5,0.2,-0.01,-0.02,2,90,0,"d","out","c","vanna")</f>
        <v>-0.129845592568903</v>
      </c>
      <c r="B24982" s="0" t="s">
        <v>24806</v>
      </c>
    </row>
    <row r="24983" customFormat="false" ht="15" hidden="false" customHeight="false" outlineLevel="0" collapsed="false">
      <c r="A24983" s="0" t="e">
        <f aca="false">OPT_TOUCH(120,0.1,0.02,0.05,0.01,120,90,"x","i","cont","theta")</f>
        <v>#VALUE!</v>
      </c>
      <c r="B24983" s="0" t="s">
        <v>24807</v>
      </c>
    </row>
    <row r="24984" customFormat="false" ht="15" hidden="false" customHeight="false" outlineLevel="0" collapsed="false">
      <c r="A24984" s="0" t="n">
        <f aca="false">OPT_TOUCH(80,0.1,0.02,0,1,90,120,"for","o","end","vega")</f>
        <v>212.401703576359</v>
      </c>
      <c r="B24984" s="0" t="s">
        <v>24808</v>
      </c>
    </row>
    <row r="24985" customFormat="false" ht="15" hidden="false" customHeight="false" outlineLevel="0" collapsed="false">
      <c r="A24985" s="0" t="n">
        <f aca="false">OPT_TOUCH(120,0.3,0.1,-0.02,0.01,120,90,"for","i","c","a")</f>
        <v>0</v>
      </c>
      <c r="B24985" s="0" t="s">
        <v>24809</v>
      </c>
    </row>
    <row r="24986" customFormat="false" ht="15" hidden="false" customHeight="false" outlineLevel="0" collapsed="false">
      <c r="A24986" s="0" t="n">
        <f aca="false">OPT_TOUCH(60,0.05,0,0,5,120,90,"dom","i","cont","volga")</f>
        <v>0</v>
      </c>
      <c r="B24986" s="0" t="s">
        <v>24810</v>
      </c>
    </row>
    <row r="24987" customFormat="false" ht="15" hidden="false" customHeight="false" outlineLevel="0" collapsed="false">
      <c r="A24987" s="0" t="n">
        <f aca="false">OPT_TOUCH(120,0.1,0,0,0,90,120,"d","out","end","theta")</f>
        <v>0</v>
      </c>
      <c r="B24987" s="0" t="s">
        <v>24811</v>
      </c>
    </row>
    <row r="24988" customFormat="false" ht="15" hidden="false" customHeight="false" outlineLevel="0" collapsed="false">
      <c r="A24988" s="0" t="n">
        <f aca="false">OPT_TOUCH(80,0.1,0,0.02,0.25,0,120,"for","out","cont","o")</f>
        <v>-9.83451365296523E-009</v>
      </c>
      <c r="B24988" s="0" t="s">
        <v>24812</v>
      </c>
    </row>
    <row r="24989" customFormat="false" ht="15" hidden="false" customHeight="false" outlineLevel="0" collapsed="false">
      <c r="A24989" s="0" t="n">
        <f aca="false">OPT_TOUCH(120,0.5,-0.01,-0.02,1,0,0,"d","in","end")</f>
        <v>0</v>
      </c>
      <c r="B24989" s="0" t="s">
        <v>24813</v>
      </c>
    </row>
    <row r="24990" customFormat="false" ht="15" hidden="false" customHeight="false" outlineLevel="0" collapsed="false">
      <c r="A24990" s="0" t="n">
        <f aca="false">OPT_TOUCH(100,0.3,0.02,-0.02,0.01,90,0,"f","in","end","g")</f>
        <v>0.0295368117591239</v>
      </c>
      <c r="B24990" s="0" t="s">
        <v>24814</v>
      </c>
    </row>
    <row r="24991" customFormat="false" ht="15" hidden="false" customHeight="false" outlineLevel="0" collapsed="false">
      <c r="A24991" s="0" t="e">
        <f aca="false">OPT_TOUCH(150,0.5,0.1,0.05,2,120,90,"f","out","end",TRUE())</f>
        <v>#VALUE!</v>
      </c>
      <c r="B24991" s="0" t="s">
        <v>24815</v>
      </c>
    </row>
    <row r="24992" customFormat="false" ht="15" hidden="false" customHeight="false" outlineLevel="0" collapsed="false">
      <c r="A24992" s="0" t="n">
        <f aca="false">OPT_TOUCH(80,0.2,0,0.05,2,0,0,"dom","out","e","rho")</f>
        <v>-2</v>
      </c>
      <c r="B24992" s="0" t="s">
        <v>24816</v>
      </c>
    </row>
    <row r="24993" customFormat="false" ht="15" hidden="false" customHeight="false" outlineLevel="0" collapsed="false">
      <c r="A24993" s="0" t="n">
        <f aca="false">OPT_TOUCH(100,0.2,0.1,-0.02,2,70,130,"dom","in","cont","volga")</f>
        <v>7.63982916982956</v>
      </c>
      <c r="B24993" s="0" t="s">
        <v>24817</v>
      </c>
    </row>
    <row r="24994" customFormat="false" ht="15" hidden="false" customHeight="false" outlineLevel="0" collapsed="false">
      <c r="A24994" s="0" t="n">
        <f aca="false">OPT_TOUCH(100,0.5,0,0,0.25,0,120,"for","out","cont","volga")</f>
        <v>287.719812147413</v>
      </c>
      <c r="B24994" s="0" t="s">
        <v>24818</v>
      </c>
    </row>
    <row r="24995" customFormat="false" ht="15" hidden="false" customHeight="false" outlineLevel="0" collapsed="false">
      <c r="A24995" s="0" t="n">
        <f aca="false">OPT_TOUCH(120,0.2,0.1,0,0.01,90,0,"f","i","end","g")</f>
        <v>5.95478898039598E-044</v>
      </c>
      <c r="B24995" s="0" t="s">
        <v>24819</v>
      </c>
    </row>
    <row r="24996" customFormat="false" ht="15" hidden="false" customHeight="false" outlineLevel="0" collapsed="false">
      <c r="A24996" s="0" t="n">
        <f aca="false">OPT_TOUCH(100,0.1,0.1,-0.02,5,0,0,"d","in","e","a")</f>
        <v>0</v>
      </c>
      <c r="B24996" s="0" t="s">
        <v>24820</v>
      </c>
    </row>
    <row r="24997" customFormat="false" ht="15" hidden="false" customHeight="false" outlineLevel="0" collapsed="false">
      <c r="A24997" s="0" t="n">
        <f aca="false">OPT_TOUCH(100.5,0.5,0.05,-0.02,0.25,0,120,"f","o","c","price")</f>
        <v>45.9861192962057</v>
      </c>
      <c r="B24997" s="0" t="s">
        <v>24821</v>
      </c>
    </row>
    <row r="24998" customFormat="false" ht="15" hidden="false" customHeight="false" outlineLevel="0" collapsed="false">
      <c r="A24998" s="0" t="n">
        <f aca="false">OPT_TOUCH(80,0.5,-0.01,0,0.01,85,115,"f","in","c")</f>
        <v>80</v>
      </c>
      <c r="B24998" s="0" t="s">
        <v>24822</v>
      </c>
    </row>
    <row r="24999" customFormat="false" ht="15" hidden="false" customHeight="false" outlineLevel="0" collapsed="false">
      <c r="A24999" s="0" t="n">
        <f aca="false">OPT_TOUCH(100,0.2,-0.01,-0.02,2,95,105,"d","out","end","volga")</f>
        <v>6.93216998926166</v>
      </c>
      <c r="B24999" s="0" t="s">
        <v>24823</v>
      </c>
    </row>
    <row r="25000" customFormat="false" ht="15" hidden="false" customHeight="false" outlineLevel="0" collapsed="false">
      <c r="A25000" s="0" t="n">
        <f aca="false">OPT_TOUCH(150,0.05,-0.01,0.05,1,120,90,"for","i","end","theta")</f>
        <v>7.13422068375536</v>
      </c>
      <c r="B25000" s="0" t="s">
        <v>24824</v>
      </c>
    </row>
    <row r="25001" customFormat="false" ht="15" hidden="false" customHeight="false" outlineLevel="0" collapsed="false">
      <c r="A25001" s="0" t="n">
        <f aca="false">OPT_TOUCH(60,0.2,0,-0.02,0,120,90,"f","in","cont","volga")</f>
        <v>0</v>
      </c>
      <c r="B25001" s="0" t="s">
        <v>24825</v>
      </c>
    </row>
    <row r="25002" customFormat="false" ht="15" hidden="false" customHeight="false" outlineLevel="0" collapsed="false">
      <c r="A25002" s="0" t="e">
        <f aca="false">OPT_TOUCH(95,0.1,0,0.02,0.01,90,0,"x","o","c","g")</f>
        <v>#VALUE!</v>
      </c>
      <c r="B25002" s="0" t="s">
        <v>24826</v>
      </c>
    </row>
    <row r="25003" customFormat="false" ht="15" hidden="false" customHeight="false" outlineLevel="0" collapsed="false">
      <c r="A25003" s="0" t="n">
        <f aca="false">OPT_TOUCH(95,0.1,0.1,-0.02,2,120,90,"dom","i","e","rho")</f>
        <v>-1.63746150615596</v>
      </c>
      <c r="B25003" s="0" t="s">
        <v>24827</v>
      </c>
    </row>
    <row r="25004" customFormat="false" ht="15" hidden="false" customHeight="false" outlineLevel="0" collapsed="false">
      <c r="A25004" s="0" t="e">
        <f aca="false">OPT_TOUCH(80,0.05,0,-0.02,0.01,90,0,"dom","out","end",TRUE())</f>
        <v>#VALUE!</v>
      </c>
      <c r="B25004" s="0" t="s">
        <v>24828</v>
      </c>
    </row>
    <row r="25005" customFormat="false" ht="15" hidden="false" customHeight="false" outlineLevel="0" collapsed="false">
      <c r="A25005" s="0" t="n">
        <f aca="false">OPT_TOUCH(150,0.2,0.05,-0.02,0.01,120,90,"dom","out","cont","rhof")</f>
        <v>0</v>
      </c>
      <c r="B25005" s="0" t="s">
        <v>24829</v>
      </c>
    </row>
    <row r="25006" customFormat="false" ht="15" hidden="false" customHeight="false" outlineLevel="0" collapsed="false">
      <c r="A25006" s="0" t="n">
        <f aca="false">OPT_TOUCH(120,0.2,0,0,5,95,105,"f","out","e","gamma")</f>
        <v>-0.00267259866288128</v>
      </c>
      <c r="B25006" s="0" t="s">
        <v>24830</v>
      </c>
    </row>
    <row r="25007" customFormat="false" ht="15" hidden="false" customHeight="false" outlineLevel="0" collapsed="false">
      <c r="A25007" s="0" t="n">
        <f aca="false">OPT_TOUCH(150,0.2,0,0,0.5,95,105,"d","i","cont","price")</f>
        <v>1</v>
      </c>
      <c r="B25007" s="0" t="s">
        <v>24831</v>
      </c>
    </row>
    <row r="25008" customFormat="false" ht="15" hidden="false" customHeight="false" outlineLevel="0" collapsed="false">
      <c r="A25008" s="0" t="n">
        <f aca="false">OPT_TOUCH(80,0.05,0.02,0.02,1,120,90,"f","i","e","theta")</f>
        <v>1.56831787729081</v>
      </c>
      <c r="B25008" s="0" t="s">
        <v>24832</v>
      </c>
    </row>
    <row r="25009" customFormat="false" ht="15" hidden="false" customHeight="false" outlineLevel="0" collapsed="false">
      <c r="A25009" s="0" t="n">
        <f aca="false">OPT_TOUCH(95,0.3,0.02,0,0.01,90,0,"dom","in","e","f")</f>
        <v>0.0266011013976523</v>
      </c>
      <c r="B25009" s="0" t="s">
        <v>24833</v>
      </c>
    </row>
    <row r="25010" customFormat="false" ht="15" hidden="false" customHeight="false" outlineLevel="0" collapsed="false">
      <c r="A25010" s="0" t="e">
        <f aca="false">OPT_TOUCH(60,0.5,0,0.05,0.01,85,115,"x","i","c","theta")</f>
        <v>#VALUE!</v>
      </c>
      <c r="B25010" s="0" t="s">
        <v>24834</v>
      </c>
    </row>
    <row r="25011" customFormat="false" ht="15" hidden="false" customHeight="false" outlineLevel="0" collapsed="false">
      <c r="A25011" s="0" t="n">
        <f aca="false">OPT_TOUCH(100,0.5,0,-0.02,0,90,120,"f","in","e","vega")</f>
        <v>0</v>
      </c>
      <c r="B25011" s="0" t="s">
        <v>24835</v>
      </c>
    </row>
    <row r="25012" customFormat="false" ht="15" hidden="false" customHeight="false" outlineLevel="0" collapsed="false">
      <c r="A25012" s="0" t="n">
        <f aca="false">OPT_TOUCH(100.5,0.2,0.02,-0.02,5,90,120,"dom","in","end","theta")</f>
        <v>-0.00922126499373614</v>
      </c>
      <c r="B25012" s="0" t="s">
        <v>24836</v>
      </c>
    </row>
    <row r="25013" customFormat="false" ht="15" hidden="false" customHeight="false" outlineLevel="0" collapsed="false">
      <c r="A25013" s="0" t="n">
        <f aca="false">OPT_TOUCH(100.5,0.3,-0.01,0,0.25,120,90,"f","i","c","d")</f>
        <v>1</v>
      </c>
      <c r="B25013" s="0" t="s">
        <v>24837</v>
      </c>
    </row>
    <row r="25014" customFormat="false" ht="15" hidden="false" customHeight="false" outlineLevel="0" collapsed="false">
      <c r="A25014" s="0" t="n">
        <f aca="false">OPT_TOUCH(80,0.1,0.02,0,0,0,0,"f","i","cont","vega")</f>
        <v>0</v>
      </c>
      <c r="B25014" s="0" t="s">
        <v>24838</v>
      </c>
    </row>
    <row r="25015" customFormat="false" ht="15" hidden="false" customHeight="false" outlineLevel="0" collapsed="false">
      <c r="A25015" s="0" t="n">
        <f aca="false">OPT_TOUCH(100,0.1,0.05,0.05,0,90,0,"f","out","cont","value")</f>
        <v>100</v>
      </c>
      <c r="B25015" s="0" t="s">
        <v>24839</v>
      </c>
    </row>
    <row r="25016" customFormat="false" ht="15" hidden="false" customHeight="false" outlineLevel="0" collapsed="false">
      <c r="A25016" s="0" t="e">
        <f aca="false">OPT_TOUCH(120,0.1,0.05,0.05,0.25,0,0,"x","i","e",TRUE())</f>
        <v>#VALUE!</v>
      </c>
      <c r="B25016" s="0" t="s">
        <v>24840</v>
      </c>
    </row>
    <row r="25017" customFormat="false" ht="15" hidden="false" customHeight="false" outlineLevel="0" collapsed="false">
      <c r="A25017" s="0" t="e">
        <f aca="false">OPT_TOUCH(95,0.05,0.05,0,0.01,95,105,"x","o","cont","x")</f>
        <v>#VALUE!</v>
      </c>
      <c r="B25017" s="0" t="s">
        <v>24841</v>
      </c>
    </row>
    <row r="25018" customFormat="false" ht="15" hidden="false" customHeight="false" outlineLevel="0" collapsed="false">
      <c r="A25018" s="0" t="e">
        <f aca="false">OPT_TOUCH(95,0.2,0.05,0.05,0.01,85,115,"x","out","c","x")</f>
        <v>#VALUE!</v>
      </c>
      <c r="B25018" s="0" t="s">
        <v>24842</v>
      </c>
    </row>
    <row r="25019" customFormat="false" ht="15" hidden="false" customHeight="false" outlineLevel="0" collapsed="false">
      <c r="A25019" s="0" t="n">
        <f aca="false">OPT_TOUCH(80,0.3,0.1,-0.02,0.01,120,90,"for","in","cont")</f>
        <v>80.0160016001067</v>
      </c>
      <c r="B25019" s="0" t="s">
        <v>24843</v>
      </c>
    </row>
    <row r="25020" customFormat="false" ht="15" hidden="false" customHeight="false" outlineLevel="0" collapsed="false">
      <c r="A25020" s="0" t="e">
        <f aca="false">OPT_TOUCH(100,0.1,0.02,0,2,95,105,"f","out","cont",1)</f>
        <v>#VALUE!</v>
      </c>
      <c r="B25020" s="0" t="s">
        <v>24844</v>
      </c>
    </row>
    <row r="25021" customFormat="false" ht="15" hidden="false" customHeight="false" outlineLevel="0" collapsed="false">
      <c r="A25021" s="0" t="e">
        <f aca="false">OPT_TOUCH(120,0.5,0.02,-0.02,0,120,90,"for","i","e",TRUE())</f>
        <v>#VALUE!</v>
      </c>
      <c r="B25021" s="0" t="s">
        <v>24845</v>
      </c>
    </row>
    <row r="25022" customFormat="false" ht="15" hidden="false" customHeight="false" outlineLevel="0" collapsed="false">
      <c r="A25022" s="0" t="n">
        <f aca="false">OPT_TOUCH(100.5,0.05,0.1,0,1,0,120,"for","o","e","e")</f>
        <v>-395.97112699099</v>
      </c>
      <c r="B25022" s="0" t="s">
        <v>24846</v>
      </c>
    </row>
    <row r="25023" customFormat="false" ht="15" hidden="false" customHeight="false" outlineLevel="0" collapsed="false">
      <c r="A25023" s="0" t="e">
        <f aca="false">OPT_TOUCH(60,0.5,0.02,-0.02,1,120,90,"x","in","cont","f")</f>
        <v>#VALUE!</v>
      </c>
      <c r="B25023" s="0" t="s">
        <v>24847</v>
      </c>
    </row>
    <row r="25024" customFormat="false" ht="15" hidden="false" customHeight="false" outlineLevel="0" collapsed="false">
      <c r="A25024" s="0" t="n">
        <f aca="false">OPT_TOUCH(100.5,0.1,0.02,0.02,5,0,0,"dom","out","cont","f")</f>
        <v>0</v>
      </c>
      <c r="B25024" s="0" t="s">
        <v>24848</v>
      </c>
    </row>
    <row r="25025" customFormat="false" ht="15" hidden="false" customHeight="false" outlineLevel="0" collapsed="false">
      <c r="A25025" s="0" t="n">
        <f aca="false">OPT_TOUCH(100.5,0.5,0.1,-0.02,0.5,70,130,"d","in","end","rho")</f>
        <v>-0.094307493041046</v>
      </c>
      <c r="B25025" s="0" t="s">
        <v>24849</v>
      </c>
    </row>
    <row r="25026" customFormat="false" ht="15" hidden="false" customHeight="false" outlineLevel="0" collapsed="false">
      <c r="A25026" s="0" t="n">
        <f aca="false">OPT_TOUCH(120,0.5,-0.01,-0.02,0,0,0,"for","in","c","gamma")</f>
        <v>0</v>
      </c>
      <c r="B25026" s="0" t="s">
        <v>24850</v>
      </c>
    </row>
    <row r="25027" customFormat="false" ht="15" hidden="false" customHeight="false" outlineLevel="0" collapsed="false">
      <c r="A25027" s="0" t="n">
        <f aca="false">OPT_TOUCH(100,0.05,0.02,-0.02,0,0,0,"f","in","end","vega")</f>
        <v>0</v>
      </c>
      <c r="B25027" s="0" t="s">
        <v>24851</v>
      </c>
    </row>
    <row r="25028" customFormat="false" ht="15" hidden="false" customHeight="false" outlineLevel="0" collapsed="false">
      <c r="A25028" s="0" t="n">
        <f aca="false">OPT_TOUCH(100.5,0.1,0.1,-0.02,0.5,0,120,"dom","out","c","value")</f>
        <v>0.883168338808881</v>
      </c>
      <c r="B25028" s="0" t="s">
        <v>24852</v>
      </c>
    </row>
    <row r="25029" customFormat="false" ht="15" hidden="false" customHeight="false" outlineLevel="0" collapsed="false">
      <c r="A25029" s="0" t="n">
        <f aca="false">OPT_TOUCH(80,0.3,0,0.05,0,120,90,"dom","i","c","rhof")</f>
        <v>0</v>
      </c>
      <c r="B25029" s="0" t="s">
        <v>24853</v>
      </c>
    </row>
    <row r="25030" customFormat="false" ht="15" hidden="false" customHeight="false" outlineLevel="0" collapsed="false">
      <c r="A25030" s="0" t="n">
        <f aca="false">OPT_TOUCH(80,0.05,-0.01,0.02,5,120,90,"d","out","end","delta")</f>
        <v>0</v>
      </c>
      <c r="B25030" s="0" t="s">
        <v>24854</v>
      </c>
    </row>
    <row r="25031" customFormat="false" ht="15" hidden="false" customHeight="false" outlineLevel="0" collapsed="false">
      <c r="A25031" s="0" t="n">
        <f aca="false">OPT_TOUCH(60,0.2,0,0.05,0.25,95,105,"d","in","end","o")</f>
        <v>-0.0106972917281364</v>
      </c>
      <c r="B25031" s="0" t="s">
        <v>24855</v>
      </c>
    </row>
    <row r="25032" customFormat="false" ht="15" hidden="false" customHeight="false" outlineLevel="0" collapsed="false">
      <c r="A25032" s="0" t="n">
        <f aca="false">OPT_TOUCH(95,0.1,0.02,0.05,1,120,90,"f","o","end","gamma")</f>
        <v>0</v>
      </c>
      <c r="B25032" s="0" t="s">
        <v>24856</v>
      </c>
    </row>
    <row r="25033" customFormat="false" ht="15" hidden="false" customHeight="false" outlineLevel="0" collapsed="false">
      <c r="A25033" s="0" t="n">
        <f aca="false">OPT_TOUCH(60,0.1,-0.01,0.02,1,0,120,"dom","out","end","f")</f>
        <v>1.23635403592645E-011</v>
      </c>
      <c r="B25033" s="0" t="s">
        <v>24857</v>
      </c>
    </row>
    <row r="25034" customFormat="false" ht="15" hidden="false" customHeight="false" outlineLevel="0" collapsed="false">
      <c r="A25034" s="0" t="n">
        <f aca="false">OPT_TOUCH(95,0.2,0,0,0.5,120,90,"dom","out","cont")</f>
        <v>0</v>
      </c>
      <c r="B25034" s="0" t="s">
        <v>24858</v>
      </c>
    </row>
    <row r="25035" customFormat="false" ht="15" hidden="false" customHeight="false" outlineLevel="0" collapsed="false">
      <c r="A25035" s="0" t="n">
        <f aca="false">OPT_TOUCH(100,0.1,-0.01,0,1,85,115,"d","o","cont","a")</f>
        <v>-0.00554495866463757</v>
      </c>
      <c r="B25035" s="0" t="s">
        <v>24859</v>
      </c>
    </row>
    <row r="25036" customFormat="false" ht="15" hidden="false" customHeight="false" outlineLevel="0" collapsed="false">
      <c r="A25036" s="0" t="e">
        <f aca="false">OPT_TOUCH(95,0.5,0.1,-0.02,0.01,120,90,"for","i","end","")</f>
        <v>#VALUE!</v>
      </c>
      <c r="B25036" s="0" t="s">
        <v>24860</v>
      </c>
    </row>
    <row r="25037" customFormat="false" ht="15" hidden="false" customHeight="false" outlineLevel="0" collapsed="false">
      <c r="A25037" s="0" t="n">
        <f aca="false">OPT_TOUCH(120,0.3,0,0.02,0,0,0,"f","i","cont","e")</f>
        <v>0</v>
      </c>
      <c r="B25037" s="0" t="s">
        <v>24861</v>
      </c>
    </row>
    <row r="25038" customFormat="false" ht="15" hidden="false" customHeight="false" outlineLevel="0" collapsed="false">
      <c r="A25038" s="0" t="n">
        <f aca="false">OPT_TOUCH(80,0.05,0,0.02,1,95,105,"dom","out","c","o")</f>
        <v>0</v>
      </c>
      <c r="B25038" s="0" t="s">
        <v>24862</v>
      </c>
    </row>
    <row r="25039" customFormat="false" ht="15" hidden="false" customHeight="false" outlineLevel="0" collapsed="false">
      <c r="A25039" s="0" t="e">
        <f aca="false">OPT_TOUCH(100,0.1,0,0.02,0.01,0,0,"x","o","end","a")</f>
        <v>#VALUE!</v>
      </c>
      <c r="B25039" s="0" t="s">
        <v>24863</v>
      </c>
    </row>
    <row r="25040" customFormat="false" ht="15" hidden="false" customHeight="false" outlineLevel="0" collapsed="false">
      <c r="A25040" s="0" t="e">
        <f aca="false">OPT_TOUCH(100.5,0.3,0.02,0.05,2,85,115,"x","in","e","value")</f>
        <v>#VALUE!</v>
      </c>
      <c r="B25040" s="0" t="s">
        <v>24864</v>
      </c>
    </row>
    <row r="25041" customFormat="false" ht="15" hidden="false" customHeight="false" outlineLevel="0" collapsed="false">
      <c r="A25041" s="0" t="e">
        <f aca="false">OPT_TOUCH(95,0.2,0,0.05,0.01,95,105,"x","o","cont","theta")</f>
        <v>#VALUE!</v>
      </c>
      <c r="B25041" s="0" t="s">
        <v>24865</v>
      </c>
    </row>
    <row r="25042" customFormat="false" ht="15" hidden="false" customHeight="false" outlineLevel="0" collapsed="false">
      <c r="A25042" s="0" t="n">
        <f aca="false">OPT_TOUCH(80,0.2,0.02,0,5,95,105,"f","out","c","e")</f>
        <v>0</v>
      </c>
      <c r="B25042" s="0" t="s">
        <v>24866</v>
      </c>
    </row>
    <row r="25043" customFormat="false" ht="15" hidden="false" customHeight="false" outlineLevel="0" collapsed="false">
      <c r="A25043" s="0" t="e">
        <f aca="false">OPT_TOUCH(95,0.2,0.02,0,2,0,120,"x","o","e","")</f>
        <v>#VALUE!</v>
      </c>
      <c r="B25043" s="0" t="s">
        <v>24867</v>
      </c>
    </row>
    <row r="25044" customFormat="false" ht="15" hidden="false" customHeight="false" outlineLevel="0" collapsed="false">
      <c r="A25044" s="0" t="n">
        <f aca="false">OPT_TOUCH(95,0.05,0.05,0.02,5,95,105,"d","in","cont","o")</f>
        <v>0</v>
      </c>
      <c r="B25044" s="0" t="s">
        <v>24868</v>
      </c>
    </row>
    <row r="25045" customFormat="false" ht="15" hidden="false" customHeight="false" outlineLevel="0" collapsed="false">
      <c r="A25045" s="0" t="n">
        <f aca="false">OPT_TOUCH(150,0.3,-0.01,0.02,0.25,90,0,"d","out","cont","gamma")</f>
        <v>-2.40689757218225E-005</v>
      </c>
      <c r="B25045" s="0" t="s">
        <v>24869</v>
      </c>
    </row>
    <row r="25046" customFormat="false" ht="15" hidden="false" customHeight="false" outlineLevel="0" collapsed="false">
      <c r="A25046" s="0" t="e">
        <f aca="false">OPT_TOUCH(100.5,0.3,0.02,-0.02,0.25,95,105,"x","o","cont","price")</f>
        <v>#VALUE!</v>
      </c>
      <c r="B25046" s="0" t="s">
        <v>24870</v>
      </c>
    </row>
    <row r="25047" customFormat="false" ht="15" hidden="false" customHeight="false" outlineLevel="0" collapsed="false">
      <c r="A25047" s="0" t="e">
        <f aca="false">OPT_TOUCH(100.5,0.2,0.1,0.02,5,120,90,"f","out","c",1)</f>
        <v>#VALUE!</v>
      </c>
      <c r="B25047" s="0" t="s">
        <v>24871</v>
      </c>
    </row>
    <row r="25048" customFormat="false" ht="15" hidden="false" customHeight="false" outlineLevel="0" collapsed="false">
      <c r="A25048" s="0" t="e">
        <f aca="false">OPT_TOUCH(120,0.1,0,0,0.01,0,120,"x","o","end","vanna")</f>
        <v>#VALUE!</v>
      </c>
      <c r="B25048" s="0" t="s">
        <v>24872</v>
      </c>
    </row>
    <row r="25049" customFormat="false" ht="15" hidden="false" customHeight="false" outlineLevel="0" collapsed="false">
      <c r="A25049" s="0" t="n">
        <f aca="false">OPT_TOUCH(60,0.5,-0.01,0,1,95,105,"dom","i","e","volga")</f>
        <v>0.319508222158466</v>
      </c>
      <c r="B25049" s="0" t="s">
        <v>24873</v>
      </c>
    </row>
    <row r="25050" customFormat="false" ht="15" hidden="false" customHeight="false" outlineLevel="0" collapsed="false">
      <c r="A25050" s="0" t="n">
        <f aca="false">OPT_TOUCH(120,0.2,0.05,0.05,0,95,105,"for","o","end","vanna")</f>
        <v>0</v>
      </c>
      <c r="B25050" s="0" t="s">
        <v>24874</v>
      </c>
    </row>
    <row r="25051" customFormat="false" ht="15" hidden="false" customHeight="false" outlineLevel="0" collapsed="false">
      <c r="A25051" s="0" t="n">
        <f aca="false">OPT_TOUCH(120,0.2,0.1,0.05,0.01,95,105,"dom","in","c","f")</f>
        <v>0</v>
      </c>
      <c r="B25051" s="0" t="s">
        <v>24875</v>
      </c>
    </row>
    <row r="25052" customFormat="false" ht="15" hidden="false" customHeight="false" outlineLevel="0" collapsed="false">
      <c r="A25052" s="0" t="n">
        <f aca="false">OPT_TOUCH(80,0.3,0.05,0,0.25,90,0,"f","o","c","rhof")</f>
        <v>0</v>
      </c>
      <c r="B25052" s="0" t="s">
        <v>24876</v>
      </c>
    </row>
    <row r="25053" customFormat="false" ht="15" hidden="false" customHeight="false" outlineLevel="0" collapsed="false">
      <c r="A25053" s="0" t="n">
        <f aca="false">OPT_TOUCH(120,0.2,0.02,0.02,0.01,90,120,"d","in","e","f")</f>
        <v>-0.19942127864862</v>
      </c>
      <c r="B25053" s="0" t="s">
        <v>24877</v>
      </c>
    </row>
    <row r="25054" customFormat="false" ht="15" hidden="false" customHeight="false" outlineLevel="0" collapsed="false">
      <c r="A25054" s="0" t="e">
        <f aca="false">OPT_TOUCH(80,0.1,0,0.05,0.25,90,0,"d","i","c","")</f>
        <v>#VALUE!</v>
      </c>
      <c r="B25054" s="0" t="s">
        <v>24878</v>
      </c>
    </row>
    <row r="25055" customFormat="false" ht="15" hidden="false" customHeight="false" outlineLevel="0" collapsed="false">
      <c r="A25055" s="0" t="n">
        <f aca="false">OPT_TOUCH(100,0.2,0.1,0.02,0.25,85,115,"dom","in","end","e")</f>
        <v>1.7799214472652</v>
      </c>
      <c r="B25055" s="0" t="s">
        <v>24879</v>
      </c>
    </row>
    <row r="25056" customFormat="false" ht="15" hidden="false" customHeight="false" outlineLevel="0" collapsed="false">
      <c r="A25056" s="0" t="n">
        <f aca="false">OPT_TOUCH(60,0.3,0.1,-0.02,0,85,115,"for","in","cont","price")</f>
        <v>60</v>
      </c>
      <c r="B25056" s="0" t="s">
        <v>24880</v>
      </c>
    </row>
    <row r="25057" customFormat="false" ht="15" hidden="false" customHeight="false" outlineLevel="0" collapsed="false">
      <c r="A25057" s="0" t="n">
        <f aca="false">OPT_TOUCH(80,0.3,0.02,0,0.5,70,130,"dom","o","end","vega")</f>
        <v>-1.05439228972192</v>
      </c>
      <c r="B25057" s="0" t="s">
        <v>24881</v>
      </c>
    </row>
    <row r="25058" customFormat="false" ht="15" hidden="false" customHeight="false" outlineLevel="0" collapsed="false">
      <c r="A25058" s="0" t="n">
        <f aca="false">OPT_TOUCH(150,0.5,0.02,0.02,2,90,0,"f","in","c","delta")</f>
        <v>-0.47225750391964</v>
      </c>
      <c r="B25058" s="0" t="s">
        <v>24882</v>
      </c>
    </row>
    <row r="25059" customFormat="false" ht="15" hidden="false" customHeight="false" outlineLevel="0" collapsed="false">
      <c r="A25059" s="0" t="n">
        <f aca="false">OPT_TOUCH(120,0.2,0.02,0.05,0.25,85,115,"for","out","e","volga")</f>
        <v>-830.099619861332</v>
      </c>
      <c r="B25059" s="0" t="s">
        <v>24883</v>
      </c>
    </row>
    <row r="25060" customFormat="false" ht="15" hidden="false" customHeight="false" outlineLevel="0" collapsed="false">
      <c r="A25060" s="0" t="n">
        <f aca="false">OPT_TOUCH(60,0.5,-0.01,0.02,5,120,90,"dom","in","e","o")</f>
        <v>0</v>
      </c>
      <c r="B25060" s="0" t="s">
        <v>24884</v>
      </c>
    </row>
    <row r="25061" customFormat="false" ht="15" hidden="false" customHeight="false" outlineLevel="0" collapsed="false">
      <c r="A25061" s="0" t="e">
        <f aca="false">OPT_TOUCH(60,0.2,0.02,0,5,85,115,"f","o","c","x")</f>
        <v>#VALUE!</v>
      </c>
      <c r="B25061" s="0" t="s">
        <v>24885</v>
      </c>
    </row>
    <row r="25062" customFormat="false" ht="15" hidden="false" customHeight="false" outlineLevel="0" collapsed="false">
      <c r="A25062" s="0" t="n">
        <f aca="false">OPT_TOUCH(60,0.5,0,-0.02,5,0,0,"d","o","cont","g")</f>
        <v>0</v>
      </c>
      <c r="B25062" s="0" t="s">
        <v>24886</v>
      </c>
    </row>
    <row r="25063" customFormat="false" ht="15" hidden="false" customHeight="false" outlineLevel="0" collapsed="false">
      <c r="A25063" s="0" t="n">
        <f aca="false">OPT_TOUCH(95,0.2,0.05,0.05,5,0,0,"for","out","cont","a")</f>
        <v>0</v>
      </c>
      <c r="B25063" s="0" t="s">
        <v>24887</v>
      </c>
    </row>
    <row r="25064" customFormat="false" ht="15" hidden="false" customHeight="false" outlineLevel="0" collapsed="false">
      <c r="A25064" s="0" t="n">
        <f aca="false">OPT_TOUCH(150,0.5,0.1,0.05,0.01,0,120,"f","i","cont","theta")</f>
        <v>7.49625093734377</v>
      </c>
      <c r="B25064" s="0" t="s">
        <v>24888</v>
      </c>
    </row>
    <row r="25065" customFormat="false" ht="15" hidden="false" customHeight="false" outlineLevel="0" collapsed="false">
      <c r="A25065" s="0" t="n">
        <f aca="false">OPT_TOUCH(60,0.1,0.05,-0.02,0.25,95,105,"f","o","cont","g")</f>
        <v>0</v>
      </c>
      <c r="B25065" s="0" t="s">
        <v>24889</v>
      </c>
    </row>
    <row r="25066" customFormat="false" ht="15" hidden="false" customHeight="false" outlineLevel="0" collapsed="false">
      <c r="A25066" s="0" t="n">
        <f aca="false">OPT_TOUCH(100,0.3,0.02,0.02,0.25,90,0,"dom","o","c","theta")</f>
        <v>0.925819647278862</v>
      </c>
      <c r="B25066" s="0" t="s">
        <v>24890</v>
      </c>
    </row>
    <row r="25067" customFormat="false" ht="15" hidden="false" customHeight="false" outlineLevel="0" collapsed="false">
      <c r="A25067" s="0" t="e">
        <f aca="false">OPT_TOUCH(100.5,0.2,0.02,0.02,0.5,0,0,"x","out","e","vega")</f>
        <v>#VALUE!</v>
      </c>
      <c r="B25067" s="0" t="s">
        <v>24891</v>
      </c>
    </row>
    <row r="25068" customFormat="false" ht="15" hidden="false" customHeight="false" outlineLevel="0" collapsed="false">
      <c r="A25068" s="0" t="n">
        <f aca="false">OPT_TOUCH(100,0.1,0.05,0.02,0.25,85,115,"d","in","c","e")</f>
        <v>0.658524041259512</v>
      </c>
      <c r="B25068" s="0" t="s">
        <v>24892</v>
      </c>
    </row>
    <row r="25069" customFormat="false" ht="15" hidden="false" customHeight="false" outlineLevel="0" collapsed="false">
      <c r="A25069" s="0" t="e">
        <f aca="false">OPT_TOUCH(120,0.5,0.1,0.05,2,90,120,"x","in","end","f")</f>
        <v>#VALUE!</v>
      </c>
      <c r="B25069" s="0" t="s">
        <v>24893</v>
      </c>
    </row>
    <row r="25070" customFormat="false" ht="15" hidden="false" customHeight="false" outlineLevel="0" collapsed="false">
      <c r="A25070" s="0" t="e">
        <f aca="false">OPT_TOUCH(60,0.2,0.02,0.05,0.01,70,130,"x","out","e","x")</f>
        <v>#VALUE!</v>
      </c>
      <c r="B25070" s="0" t="s">
        <v>24894</v>
      </c>
    </row>
    <row r="25071" customFormat="false" ht="15" hidden="false" customHeight="false" outlineLevel="0" collapsed="false">
      <c r="A25071" s="0" t="n">
        <f aca="false">OPT_TOUCH(60,0.5,0.02,0.02,0.01,95,105,"f","i","end","g")</f>
        <v>-1.40255013158467E-017</v>
      </c>
      <c r="B25071" s="0" t="s">
        <v>24895</v>
      </c>
    </row>
    <row r="25072" customFormat="false" ht="15" hidden="false" customHeight="false" outlineLevel="0" collapsed="false">
      <c r="A25072" s="0" t="e">
        <f aca="false">OPT_TOUCH(100.5,0.1,0.05,0.02,0.01,90,120,"f","out","e",1)</f>
        <v>#VALUE!</v>
      </c>
      <c r="B25072" s="0" t="s">
        <v>24896</v>
      </c>
    </row>
    <row r="25073" customFormat="false" ht="15" hidden="false" customHeight="false" outlineLevel="0" collapsed="false">
      <c r="A25073" s="0" t="n">
        <f aca="false">OPT_TOUCH(150,0.3,-0.01,0.02,0.25,95,105,"f","out","e","theta")</f>
        <v>-12.3705634374296</v>
      </c>
      <c r="B25073" s="0" t="s">
        <v>24897</v>
      </c>
    </row>
    <row r="25074" customFormat="false" ht="15" hidden="false" customHeight="false" outlineLevel="0" collapsed="false">
      <c r="A25074" s="0" t="n">
        <f aca="false">OPT_TOUCH(100.5,0.3,0,0.02,0.25,90,0,"for","in","cont","gamma")</f>
        <v>0.173072034651245</v>
      </c>
      <c r="B25074" s="0" t="s">
        <v>24898</v>
      </c>
    </row>
    <row r="25075" customFormat="false" ht="15" hidden="false" customHeight="false" outlineLevel="0" collapsed="false">
      <c r="A25075" s="0" t="e">
        <f aca="false">OPT_TOUCH(80,0.05,0.05,0.02,0,85,115,"d","out","e","x")</f>
        <v>#VALUE!</v>
      </c>
      <c r="B25075" s="0" t="s">
        <v>24899</v>
      </c>
    </row>
    <row r="25076" customFormat="false" ht="15" hidden="false" customHeight="false" outlineLevel="0" collapsed="false">
      <c r="A25076" s="0" t="n">
        <f aca="false">OPT_TOUCH(100,0.5,0,0.05,0.25,95,105,"d","out","cont","gamma")</f>
        <v>-1.48716848072485E-016</v>
      </c>
      <c r="B25076" s="0" t="s">
        <v>24900</v>
      </c>
    </row>
    <row r="25077" customFormat="false" ht="15" hidden="false" customHeight="false" outlineLevel="0" collapsed="false">
      <c r="A25077" s="0" t="e">
        <f aca="false">OPT_TOUCH(150,0.1,0.02,0,0.01,120,90,"dom","o","end","x")</f>
        <v>#VALUE!</v>
      </c>
      <c r="B25077" s="0" t="s">
        <v>24901</v>
      </c>
    </row>
    <row r="25078" customFormat="false" ht="15" hidden="false" customHeight="false" outlineLevel="0" collapsed="false">
      <c r="A25078" s="0" t="e">
        <f aca="false">OPT_TOUCH(100,0.5,-0.01,0.02,1,0,0,"x","out","end","price")</f>
        <v>#VALUE!</v>
      </c>
      <c r="B25078" s="0" t="s">
        <v>24902</v>
      </c>
    </row>
    <row r="25079" customFormat="false" ht="15" hidden="false" customHeight="false" outlineLevel="0" collapsed="false">
      <c r="A25079" s="0" t="n">
        <f aca="false">OPT_TOUCH(120,0.1,0,0,0.5,70,130,"d","in","end","rho")</f>
        <v>1.36647159281921</v>
      </c>
      <c r="B25079" s="0" t="s">
        <v>24903</v>
      </c>
    </row>
    <row r="25080" customFormat="false" ht="15" hidden="false" customHeight="false" outlineLevel="0" collapsed="false">
      <c r="A25080" s="0" t="n">
        <f aca="false">OPT_TOUCH(60,0.1,0.02,-0.02,0.5,70,130,"for","o","end","volga")</f>
        <v>1349.68714600878</v>
      </c>
      <c r="B25080" s="0" t="s">
        <v>24904</v>
      </c>
    </row>
    <row r="25081" customFormat="false" ht="15" hidden="false" customHeight="false" outlineLevel="0" collapsed="false">
      <c r="A25081" s="0" t="n">
        <f aca="false">OPT_TOUCH(95,0.3,0.1,0.02,0.5,85,115,"d","o","end","o")</f>
        <v>6.96375500306734</v>
      </c>
      <c r="B25081" s="0" t="s">
        <v>24905</v>
      </c>
    </row>
    <row r="25082" customFormat="false" ht="15" hidden="false" customHeight="false" outlineLevel="0" collapsed="false">
      <c r="A25082" s="0" t="n">
        <f aca="false">OPT_TOUCH(100.5,0.2,0.05,-0.02,1,120,90,"dom","out","cont")</f>
        <v>0</v>
      </c>
      <c r="B25082" s="0" t="s">
        <v>24906</v>
      </c>
    </row>
    <row r="25083" customFormat="false" ht="15" hidden="false" customHeight="false" outlineLevel="0" collapsed="false">
      <c r="A25083" s="0" t="n">
        <f aca="false">OPT_TOUCH(95,0.2,-0.01,0,5,85,115,"for","in","end","value")</f>
        <v>69.8684973300333</v>
      </c>
      <c r="B25083" s="0" t="s">
        <v>24907</v>
      </c>
    </row>
    <row r="25084" customFormat="false" ht="15" hidden="false" customHeight="false" outlineLevel="0" collapsed="false">
      <c r="A25084" s="0" t="n">
        <f aca="false">OPT_TOUCH(150,0.05,0.05,-0.02,0.01,90,120,"dom","out","e","price")</f>
        <v>0</v>
      </c>
      <c r="B25084" s="0" t="s">
        <v>24908</v>
      </c>
    </row>
    <row r="25085" customFormat="false" ht="15" hidden="false" customHeight="false" outlineLevel="0" collapsed="false">
      <c r="A25085" s="0" t="n">
        <f aca="false">OPT_TOUCH(150,0.05,-0.01,0.02,2,0,120,"f","o","c","theta")</f>
        <v>0</v>
      </c>
      <c r="B25085" s="0" t="s">
        <v>24909</v>
      </c>
    </row>
    <row r="25086" customFormat="false" ht="15" hidden="false" customHeight="false" outlineLevel="0" collapsed="false">
      <c r="A25086" s="0" t="n">
        <f aca="false">OPT_TOUCH(150,0.3,0.05,0.05,5,0,120,"d","out","end","e")</f>
        <v>0.691869876381452</v>
      </c>
      <c r="B25086" s="0" t="s">
        <v>24910</v>
      </c>
    </row>
    <row r="25087" customFormat="false" ht="15" hidden="false" customHeight="false" outlineLevel="0" collapsed="false">
      <c r="A25087" s="0" t="n">
        <f aca="false">OPT_TOUCH(95,0.3,0.1,-0.02,2,70,130,"f","o","c","a")</f>
        <v>1.95406134502139</v>
      </c>
      <c r="B25087" s="0" t="s">
        <v>24911</v>
      </c>
    </row>
    <row r="25088" customFormat="false" ht="15" hidden="false" customHeight="false" outlineLevel="0" collapsed="false">
      <c r="A25088" s="0" t="n">
        <f aca="false">OPT_TOUCH(120,0.2,-0.01,0.02,2,70,130,"d","o","cont","price")</f>
        <v>0.228853194462309</v>
      </c>
      <c r="B25088" s="0" t="s">
        <v>24912</v>
      </c>
    </row>
    <row r="25089" customFormat="false" ht="15" hidden="false" customHeight="false" outlineLevel="0" collapsed="false">
      <c r="A25089" s="0" t="e">
        <f aca="false">OPT_TOUCH(100,0.3,0.1,0.05,0,90,0,"x","in","c","")</f>
        <v>#VALUE!</v>
      </c>
      <c r="B25089" s="0" t="s">
        <v>24913</v>
      </c>
    </row>
    <row r="25090" customFormat="false" ht="15" hidden="false" customHeight="false" outlineLevel="0" collapsed="false">
      <c r="A25090" s="0" t="n">
        <f aca="false">OPT_TOUCH(60,0.3,0.1,0.02,5,95,105,"d","i","end","a")</f>
        <v>0.00227951117948755</v>
      </c>
      <c r="B25090" s="0" t="s">
        <v>24914</v>
      </c>
    </row>
    <row r="25091" customFormat="false" ht="15" hidden="false" customHeight="false" outlineLevel="0" collapsed="false">
      <c r="A25091" s="0" t="n">
        <f aca="false">OPT_TOUCH(150,0.3,0.05,-0.02,0,70,130,"d","in","e","value")</f>
        <v>1</v>
      </c>
      <c r="B25091" s="0" t="s">
        <v>24915</v>
      </c>
    </row>
    <row r="25092" customFormat="false" ht="15" hidden="false" customHeight="false" outlineLevel="0" collapsed="false">
      <c r="A25092" s="0" t="e">
        <f aca="false">OPT_TOUCH(95,0.05,0.02,0.05,0,85,115,"for","i","cont",1)</f>
        <v>#VALUE!</v>
      </c>
      <c r="B25092" s="0" t="s">
        <v>24916</v>
      </c>
    </row>
    <row r="25093" customFormat="false" ht="15" hidden="false" customHeight="false" outlineLevel="0" collapsed="false">
      <c r="A25093" s="0" t="n">
        <f aca="false">OPT_TOUCH(150,0.2,0.02,0.02,2,70,130,"d","out","end","vega")</f>
        <v>0.952119953038859</v>
      </c>
      <c r="B25093" s="0" t="s">
        <v>24917</v>
      </c>
    </row>
    <row r="25094" customFormat="false" ht="15" hidden="false" customHeight="false" outlineLevel="0" collapsed="false">
      <c r="A25094" s="0" t="e">
        <f aca="false">OPT_TOUCH(95,0.5,0,0.02,0,0,120,"x","out","e",1)</f>
        <v>#VALUE!</v>
      </c>
      <c r="B25094" s="0" t="s">
        <v>24918</v>
      </c>
    </row>
    <row r="25095" customFormat="false" ht="15" hidden="false" customHeight="false" outlineLevel="0" collapsed="false">
      <c r="A25095" s="0" t="e">
        <f aca="false">OPT_TOUCH(120,0.2,0.02,0,1,85,115,"d","out","end","")</f>
        <v>#VALUE!</v>
      </c>
      <c r="B25095" s="0" t="s">
        <v>24919</v>
      </c>
    </row>
    <row r="25096" customFormat="false" ht="15" hidden="false" customHeight="false" outlineLevel="0" collapsed="false">
      <c r="A25096" s="0" t="n">
        <f aca="false">OPT_TOUCH(150,0.1,0.1,0.05,0.5,85,115,"for","out","e","f")</f>
        <v>0.0749876608924735</v>
      </c>
      <c r="B25096" s="0" t="s">
        <v>24920</v>
      </c>
    </row>
    <row r="25097" customFormat="false" ht="15" hidden="false" customHeight="false" outlineLevel="0" collapsed="false">
      <c r="A25097" s="0" t="e">
        <f aca="false">OPT_TOUCH(60,0.05,-0.01,0.05,0,90,120,"d","in","e",1)</f>
        <v>#VALUE!</v>
      </c>
      <c r="B25097" s="0" t="s">
        <v>24921</v>
      </c>
    </row>
    <row r="25098" customFormat="false" ht="15" hidden="false" customHeight="false" outlineLevel="0" collapsed="false">
      <c r="A25098" s="0" t="n">
        <f aca="false">OPT_TOUCH(100,0.3,0.1,0.05,0.5,90,0,"f","o","c","delta")</f>
        <v>3.91566392312491</v>
      </c>
      <c r="B25098" s="0" t="s">
        <v>24922</v>
      </c>
    </row>
    <row r="25099" customFormat="false" ht="15" hidden="false" customHeight="false" outlineLevel="0" collapsed="false">
      <c r="A25099" s="0" t="e">
        <f aca="false">OPT_TOUCH(120,0.05,-0.01,0.05,0.25,90,0,"for","out","end",1)</f>
        <v>#VALUE!</v>
      </c>
      <c r="B25099" s="0" t="s">
        <v>24923</v>
      </c>
    </row>
    <row r="25100" customFormat="false" ht="15" hidden="false" customHeight="false" outlineLevel="0" collapsed="false">
      <c r="A25100" s="0" t="e">
        <f aca="false">OPT_TOUCH(80,0.3,0.1,0.05,0,95,105,"x","in","c","delta")</f>
        <v>#VALUE!</v>
      </c>
      <c r="B25100" s="0" t="s">
        <v>24924</v>
      </c>
    </row>
    <row r="25101" customFormat="false" ht="15" hidden="false" customHeight="false" outlineLevel="0" collapsed="false">
      <c r="A25101" s="0" t="n">
        <f aca="false">OPT_TOUCH(150,0.05,0,0,0.5,0,120,"dom","in","c","rho")</f>
        <v>-0.5</v>
      </c>
      <c r="B25101" s="0" t="s">
        <v>24925</v>
      </c>
    </row>
    <row r="25102" customFormat="false" ht="15" hidden="false" customHeight="false" outlineLevel="0" collapsed="false">
      <c r="A25102" s="0" t="n">
        <f aca="false">OPT_TOUCH(80,0.3,0.02,0.05,0.01,90,120,"dom","i","end","g")</f>
        <v>-0.000110631712426056</v>
      </c>
      <c r="B25102" s="0" t="s">
        <v>24926</v>
      </c>
    </row>
    <row r="25103" customFormat="false" ht="15" hidden="false" customHeight="false" outlineLevel="0" collapsed="false">
      <c r="A25103" s="0" t="n">
        <f aca="false">OPT_TOUCH(100,0.3,0,0,2,95,105,"d","out","end","a")</f>
        <v>-0.00150719169874046</v>
      </c>
      <c r="B25103" s="0" t="s">
        <v>24927</v>
      </c>
    </row>
    <row r="25104" customFormat="false" ht="15" hidden="false" customHeight="false" outlineLevel="0" collapsed="false">
      <c r="A25104" s="0" t="e">
        <f aca="false">OPT_TOUCH(120,0.3,0.1,0.05,2,0,120,"x","in","cont",1)</f>
        <v>#VALUE!</v>
      </c>
      <c r="B25104" s="0" t="s">
        <v>24928</v>
      </c>
    </row>
    <row r="25105" customFormat="false" ht="15" hidden="false" customHeight="false" outlineLevel="0" collapsed="false">
      <c r="A25105" s="0" t="e">
        <f aca="false">OPT_TOUCH(95,0.05,0,-0.02,0.01,120,90,"f","i","end","x")</f>
        <v>#VALUE!</v>
      </c>
      <c r="B25105" s="0" t="s">
        <v>24929</v>
      </c>
    </row>
    <row r="25106" customFormat="false" ht="15" hidden="false" customHeight="false" outlineLevel="0" collapsed="false">
      <c r="A25106" s="0" t="n">
        <f aca="false">OPT_TOUCH(100.5,0.05,0.05,0.05,0,90,0,"dom","in","end","e")</f>
        <v>0</v>
      </c>
      <c r="B25106" s="0" t="s">
        <v>24930</v>
      </c>
    </row>
    <row r="25107" customFormat="false" ht="15" hidden="false" customHeight="false" outlineLevel="0" collapsed="false">
      <c r="A25107" s="0" t="n">
        <f aca="false">OPT_TOUCH(100.5,0.05,0.02,0.02,0.25,85,115,"dom","o","c")</f>
        <v>0.995012413992306</v>
      </c>
      <c r="B25107" s="0" t="s">
        <v>24931</v>
      </c>
    </row>
    <row r="25108" customFormat="false" ht="15" hidden="false" customHeight="false" outlineLevel="0" collapsed="false">
      <c r="A25108" s="0" t="n">
        <f aca="false">OPT_TOUCH(80,0.3,0.02,0,0,0,120,"f","in","c","rhof")</f>
        <v>0</v>
      </c>
      <c r="B25108" s="0" t="s">
        <v>24932</v>
      </c>
    </row>
    <row r="25109" customFormat="false" ht="15" hidden="false" customHeight="false" outlineLevel="0" collapsed="false">
      <c r="A25109" s="0" t="n">
        <f aca="false">OPT_TOUCH(60,0.1,0,0.02,0.25,120,90,"d","out","cont")</f>
        <v>0</v>
      </c>
      <c r="B25109" s="0" t="s">
        <v>24933</v>
      </c>
    </row>
    <row r="25110" customFormat="false" ht="15" hidden="false" customHeight="false" outlineLevel="0" collapsed="false">
      <c r="A25110" s="0" t="n">
        <f aca="false">OPT_TOUCH(100.5,0.3,-0.01,0,1,0,120,"d","out","cont","vanna")</f>
        <v>0.0364009149473631</v>
      </c>
      <c r="B25110" s="0" t="s">
        <v>24934</v>
      </c>
    </row>
    <row r="25111" customFormat="false" ht="15" hidden="false" customHeight="false" outlineLevel="0" collapsed="false">
      <c r="A25111" s="0" t="n">
        <f aca="false">OPT_TOUCH(60,0.3,0.05,0.02,5,70,130,"f","out","end","o")</f>
        <v>171.842355941337</v>
      </c>
      <c r="B25111" s="0" t="s">
        <v>24935</v>
      </c>
    </row>
    <row r="25112" customFormat="false" ht="15" hidden="false" customHeight="false" outlineLevel="0" collapsed="false">
      <c r="A25112" s="0" t="e">
        <f aca="false">OPT_TOUCH(80,0.5,0.1,0.05,0,95,105,"x","in","c","g")</f>
        <v>#VALUE!</v>
      </c>
      <c r="B25112" s="0" t="s">
        <v>24936</v>
      </c>
    </row>
    <row r="25113" customFormat="false" ht="15" hidden="false" customHeight="false" outlineLevel="0" collapsed="false">
      <c r="A25113" s="0" t="e">
        <f aca="false">OPT_TOUCH(60,0.2,0.02,0,0.5,95,105,"for","in","end",TRUE())</f>
        <v>#VALUE!</v>
      </c>
      <c r="B25113" s="0" t="s">
        <v>24937</v>
      </c>
    </row>
    <row r="25114" customFormat="false" ht="15" hidden="false" customHeight="false" outlineLevel="0" collapsed="false">
      <c r="A25114" s="0" t="n">
        <f aca="false">OPT_TOUCH(150,0.2,0.05,0.05,0.25,0,120,"for","i","c","delta")</f>
        <v>0.987577800493881</v>
      </c>
      <c r="B25114" s="0" t="s">
        <v>24938</v>
      </c>
    </row>
    <row r="25115" customFormat="false" ht="15" hidden="false" customHeight="false" outlineLevel="0" collapsed="false">
      <c r="A25115" s="0" t="n">
        <f aca="false">OPT_TOUCH(150,0.2,0.1,-0.02,1,120,90,"d","o","cont","price")</f>
        <v>0</v>
      </c>
      <c r="B25115" s="0" t="s">
        <v>24939</v>
      </c>
    </row>
    <row r="25116" customFormat="false" ht="15" hidden="false" customHeight="false" outlineLevel="0" collapsed="false">
      <c r="A25116" s="0" t="e">
        <f aca="false">OPT_TOUCH(100,0.2,0.05,0.05,1,120,90,"x","i","c",TRUE())</f>
        <v>#VALUE!</v>
      </c>
      <c r="B25116" s="0" t="s">
        <v>24940</v>
      </c>
    </row>
    <row r="25117" customFormat="false" ht="15" hidden="false" customHeight="false" outlineLevel="0" collapsed="false">
      <c r="A25117" s="0" t="n">
        <f aca="false">OPT_TOUCH(100,0.05,-0.01,0.05,1,90,0,"d","o","cont","a")</f>
        <v>-0.180046279175437</v>
      </c>
      <c r="B25117" s="0" t="s">
        <v>24941</v>
      </c>
    </row>
    <row r="25118" customFormat="false" ht="15" hidden="false" customHeight="false" outlineLevel="0" collapsed="false">
      <c r="A25118" s="0" t="n">
        <f aca="false">OPT_TOUCH(95,0.2,0.05,0,1,70,130,"f","in","end","rho")</f>
        <v>57.6644074562267</v>
      </c>
      <c r="B25118" s="0" t="s">
        <v>24942</v>
      </c>
    </row>
    <row r="25119" customFormat="false" ht="15" hidden="false" customHeight="false" outlineLevel="0" collapsed="false">
      <c r="A25119" s="0" t="e">
        <f aca="false">OPT_TOUCH(80,0.2,-0.01,0,0.25,0,120,"for","o","cont",1)</f>
        <v>#VALUE!</v>
      </c>
      <c r="B25119" s="0" t="s">
        <v>24943</v>
      </c>
    </row>
    <row r="25120" customFormat="false" ht="15" hidden="false" customHeight="false" outlineLevel="0" collapsed="false">
      <c r="A25120" s="0" t="e">
        <f aca="false">OPT_TOUCH(60,0.5,0.02,0.05,2,90,0,"d","i","end","")</f>
        <v>#VALUE!</v>
      </c>
      <c r="B25120" s="0" t="s">
        <v>24944</v>
      </c>
    </row>
    <row r="25121" customFormat="false" ht="15" hidden="false" customHeight="false" outlineLevel="0" collapsed="false">
      <c r="A25121" s="0" t="n">
        <f aca="false">OPT_TOUCH(95,0.3,0.1,0.02,5,0,120,"dom","out","end","f")</f>
        <v>1.79667149211643</v>
      </c>
      <c r="B25121" s="0" t="s">
        <v>24945</v>
      </c>
    </row>
    <row r="25122" customFormat="false" ht="15" hidden="false" customHeight="false" outlineLevel="0" collapsed="false">
      <c r="A25122" s="0" t="n">
        <f aca="false">OPT_TOUCH(80,0.1,0.02,0.02,0.5,95,105,"d","i","c","theta")</f>
        <v>0.0198009966749834</v>
      </c>
      <c r="B25122" s="0" t="s">
        <v>24946</v>
      </c>
    </row>
    <row r="25123" customFormat="false" ht="15" hidden="false" customHeight="false" outlineLevel="0" collapsed="false">
      <c r="A25123" s="0" t="e">
        <f aca="false">OPT_TOUCH(60,0.3,0.05,0.05,0.01,70,130,"x","in","end","vega")</f>
        <v>#VALUE!</v>
      </c>
      <c r="B25123" s="0" t="s">
        <v>24947</v>
      </c>
    </row>
    <row r="25124" customFormat="false" ht="15" hidden="false" customHeight="false" outlineLevel="0" collapsed="false">
      <c r="A25124" s="0" t="n">
        <f aca="false">OPT_TOUCH(60,0.5,0,0.05,5,90,0,"f","in","cont","volga")</f>
        <v>0</v>
      </c>
      <c r="B25124" s="0" t="s">
        <v>24948</v>
      </c>
    </row>
    <row r="25125" customFormat="false" ht="15" hidden="false" customHeight="false" outlineLevel="0" collapsed="false">
      <c r="A25125" s="0" t="n">
        <f aca="false">OPT_TOUCH(150,0.05,0.02,0.05,5,85,115,"for","i","end","f")</f>
        <v>-1651.85165210969</v>
      </c>
      <c r="B25125" s="0" t="s">
        <v>24949</v>
      </c>
    </row>
    <row r="25126" customFormat="false" ht="15" hidden="false" customHeight="false" outlineLevel="0" collapsed="false">
      <c r="A25126" s="0" t="n">
        <f aca="false">OPT_TOUCH(80,0.05,0.1,0,1,85,115,"dom","in","end","vanna")</f>
        <v>0.513497232690569</v>
      </c>
      <c r="B25126" s="0" t="s">
        <v>24950</v>
      </c>
    </row>
    <row r="25127" customFormat="false" ht="15" hidden="false" customHeight="false" outlineLevel="0" collapsed="false">
      <c r="A25127" s="0" t="e">
        <f aca="false">OPT_TOUCH(150,0.5,0,0.05,0,0,120,"x","in","end","gamma")</f>
        <v>#VALUE!</v>
      </c>
      <c r="B25127" s="0" t="s">
        <v>24951</v>
      </c>
    </row>
    <row r="25128" customFormat="false" ht="15" hidden="false" customHeight="false" outlineLevel="0" collapsed="false">
      <c r="A25128" s="0" t="n">
        <f aca="false">OPT_TOUCH(120,0.1,0.02,0.05,0.01,0,120,"d","in","end","gamma")</f>
        <v>0.0069204561014769</v>
      </c>
      <c r="B25128" s="0" t="s">
        <v>24952</v>
      </c>
    </row>
    <row r="25129" customFormat="false" ht="15" hidden="false" customHeight="false" outlineLevel="0" collapsed="false">
      <c r="A25129" s="0" t="e">
        <f aca="false">OPT_TOUCH(95,0.5,0,-0.02,0.5,90,0,"for","o","cont",TRUE())</f>
        <v>#VALUE!</v>
      </c>
      <c r="B25129" s="0" t="s">
        <v>24953</v>
      </c>
    </row>
    <row r="25130" customFormat="false" ht="15" hidden="false" customHeight="false" outlineLevel="0" collapsed="false">
      <c r="A25130" s="0" t="e">
        <f aca="false">OPT_TOUCH(100.5,0.2,0.1,0,0.01,120,90,"f","in","cont",1)</f>
        <v>#VALUE!</v>
      </c>
      <c r="B25130" s="0" t="s">
        <v>24954</v>
      </c>
    </row>
    <row r="25131" customFormat="false" ht="15" hidden="false" customHeight="false" outlineLevel="0" collapsed="false">
      <c r="A25131" s="0" t="e">
        <f aca="false">OPT_TOUCH(80,0.5,0.02,0.05,0,95,105,"f","i","c","")</f>
        <v>#VALUE!</v>
      </c>
      <c r="B25131" s="0" t="s">
        <v>24955</v>
      </c>
    </row>
    <row r="25132" customFormat="false" ht="15" hidden="false" customHeight="false" outlineLevel="0" collapsed="false">
      <c r="A25132" s="0" t="n">
        <f aca="false">OPT_TOUCH(60,0.2,0.02,0,0,0,0,"d","in","c","value")</f>
        <v>0</v>
      </c>
      <c r="B25132" s="0" t="s">
        <v>24956</v>
      </c>
    </row>
    <row r="25133" customFormat="false" ht="15" hidden="false" customHeight="false" outlineLevel="0" collapsed="false">
      <c r="A25133" s="0" t="e">
        <f aca="false">OPT_TOUCH(120,0.2,-0.01,0.02,0.25,120,90,"x","out","cont","x")</f>
        <v>#VALUE!</v>
      </c>
      <c r="B25133" s="0" t="s">
        <v>24957</v>
      </c>
    </row>
    <row r="25134" customFormat="false" ht="15" hidden="false" customHeight="false" outlineLevel="0" collapsed="false">
      <c r="A25134" s="0" t="e">
        <f aca="false">OPT_TOUCH(95,0.3,0.05,0,5,70,130,"dom","out","e","")</f>
        <v>#VALUE!</v>
      </c>
      <c r="B25134" s="0" t="s">
        <v>24958</v>
      </c>
    </row>
    <row r="25135" customFormat="false" ht="15" hidden="false" customHeight="false" outlineLevel="0" collapsed="false">
      <c r="A25135" s="0" t="n">
        <f aca="false">OPT_TOUCH(150,0.1,0.1,-0.02,0.25,70,130,"f","o","cont","f")</f>
        <v>0</v>
      </c>
      <c r="B25135" s="0" t="s">
        <v>24959</v>
      </c>
    </row>
    <row r="25136" customFormat="false" ht="15" hidden="false" customHeight="false" outlineLevel="0" collapsed="false">
      <c r="A25136" s="0" t="n">
        <f aca="false">OPT_TOUCH(80,0.5,0.1,0.05,5,70,130,"f","i","cont","volga")</f>
        <v>-0.0174363054752175</v>
      </c>
      <c r="B25136" s="0" t="s">
        <v>24960</v>
      </c>
    </row>
    <row r="25137" customFormat="false" ht="15" hidden="false" customHeight="false" outlineLevel="0" collapsed="false">
      <c r="A25137" s="0" t="n">
        <f aca="false">OPT_TOUCH(95,0.05,-0.01,-0.02,0,0,120,"d","in","end","price")</f>
        <v>0</v>
      </c>
      <c r="B25137" s="0" t="s">
        <v>24961</v>
      </c>
    </row>
    <row r="25138" customFormat="false" ht="15" hidden="false" customHeight="false" outlineLevel="0" collapsed="false">
      <c r="A25138" s="0" t="e">
        <f aca="false">OPT_TOUCH(60,0.5,0,0.05,0.25,95,105,"x","in","end","rho")</f>
        <v>#VALUE!</v>
      </c>
      <c r="B25138" s="0" t="s">
        <v>24962</v>
      </c>
    </row>
    <row r="25139" customFormat="false" ht="15" hidden="false" customHeight="false" outlineLevel="0" collapsed="false">
      <c r="A25139" s="0" t="n">
        <f aca="false">OPT_TOUCH(100,0.1,0.05,0.02,2,120,90,"dom","in","cont","delta")</f>
        <v>0</v>
      </c>
      <c r="B25139" s="0" t="s">
        <v>24963</v>
      </c>
    </row>
    <row r="25140" customFormat="false" ht="15" hidden="false" customHeight="false" outlineLevel="0" collapsed="false">
      <c r="A25140" s="0" t="n">
        <f aca="false">OPT_TOUCH(100.5,0.05,0.02,-0.02,2,90,0,"for","o","c","o")</f>
        <v>-18870.913512097</v>
      </c>
      <c r="B25140" s="0" t="s">
        <v>24964</v>
      </c>
    </row>
    <row r="25141" customFormat="false" ht="15" hidden="false" customHeight="false" outlineLevel="0" collapsed="false">
      <c r="A25141" s="0" t="e">
        <f aca="false">OPT_TOUCH(80,0.5,0.02,0,5,95,105,"for","i","cont","x")</f>
        <v>#VALUE!</v>
      </c>
      <c r="B25141" s="0" t="s">
        <v>24965</v>
      </c>
    </row>
    <row r="25142" customFormat="false" ht="15" hidden="false" customHeight="false" outlineLevel="0" collapsed="false">
      <c r="A25142" s="0" t="n">
        <f aca="false">OPT_TOUCH(100.5,0.1,-0.01,-0.02,1,0,120,"for","out","cont","rho")</f>
        <v>-168.49479437216</v>
      </c>
      <c r="B25142" s="0" t="s">
        <v>24966</v>
      </c>
    </row>
    <row r="25143" customFormat="false" ht="15" hidden="false" customHeight="false" outlineLevel="0" collapsed="false">
      <c r="A25143" s="0" t="e">
        <f aca="false">OPT_TOUCH(100.5,0.2,0,0,0.01,120,90,"x","i","cont","gamma")</f>
        <v>#VALUE!</v>
      </c>
      <c r="B25143" s="0" t="s">
        <v>24967</v>
      </c>
    </row>
    <row r="25144" customFormat="false" ht="15" hidden="false" customHeight="false" outlineLevel="0" collapsed="false">
      <c r="A25144" s="0" t="e">
        <f aca="false">OPT_TOUCH(60,0.3,0,0.02,0.01,90,120,"d","in","cont","")</f>
        <v>#VALUE!</v>
      </c>
      <c r="B25144" s="0" t="s">
        <v>24968</v>
      </c>
    </row>
    <row r="25145" customFormat="false" ht="15" hidden="false" customHeight="false" outlineLevel="0" collapsed="false">
      <c r="A25145" s="0" t="n">
        <f aca="false">OPT_TOUCH(100,0.05,-0.01,0,0,120,90,"f","o","end","theta")</f>
        <v>0</v>
      </c>
      <c r="B25145" s="0" t="s">
        <v>24969</v>
      </c>
    </row>
    <row r="25146" customFormat="false" ht="15" hidden="false" customHeight="false" outlineLevel="0" collapsed="false">
      <c r="A25146" s="0" t="e">
        <f aca="false">OPT_TOUCH(100,0.1,0.05,-0.02,0.25,0,0,"dom","o","c",TRUE())</f>
        <v>#VALUE!</v>
      </c>
      <c r="B25146" s="0" t="s">
        <v>24970</v>
      </c>
    </row>
    <row r="25147" customFormat="false" ht="15" hidden="false" customHeight="false" outlineLevel="0" collapsed="false">
      <c r="A25147" s="0" t="n">
        <f aca="false">OPT_TOUCH(100.5,0.2,-0.01,0,0.5,90,0,"dom","i","cont","d")</f>
        <v>-0.0416267158165382</v>
      </c>
      <c r="B25147" s="0" t="s">
        <v>24971</v>
      </c>
    </row>
    <row r="25148" customFormat="false" ht="15" hidden="false" customHeight="false" outlineLevel="0" collapsed="false">
      <c r="A25148" s="0" t="n">
        <f aca="false">OPT_TOUCH(100.5,0.2,0.05,0,2,120,90,"f","i","c","value")</f>
        <v>100.5</v>
      </c>
      <c r="B25148" s="0" t="s">
        <v>24972</v>
      </c>
    </row>
    <row r="25149" customFormat="false" ht="15" hidden="false" customHeight="false" outlineLevel="0" collapsed="false">
      <c r="A25149" s="0" t="n">
        <f aca="false">OPT_TOUCH(120,0.5,0.02,0.02,5,90,120,"for","out","c","o")</f>
        <v>0</v>
      </c>
      <c r="B25149" s="0" t="s">
        <v>24973</v>
      </c>
    </row>
    <row r="25150" customFormat="false" ht="15" hidden="false" customHeight="false" outlineLevel="0" collapsed="false">
      <c r="A25150" s="0" t="e">
        <f aca="false">OPT_TOUCH(100.5,0.05,0.1,0,0.25,0,120,"x","out","end","rho")</f>
        <v>#VALUE!</v>
      </c>
      <c r="B25150" s="0" t="s">
        <v>24974</v>
      </c>
    </row>
    <row r="25151" customFormat="false" ht="15" hidden="false" customHeight="false" outlineLevel="0" collapsed="false">
      <c r="A25151" s="0" t="e">
        <f aca="false">OPT_TOUCH(95,0.3,0.05,0,0.25,90,0,"x","out","e","d")</f>
        <v>#VALUE!</v>
      </c>
      <c r="B25151" s="0" t="s">
        <v>24975</v>
      </c>
    </row>
    <row r="25152" customFormat="false" ht="15" hidden="false" customHeight="false" outlineLevel="0" collapsed="false">
      <c r="A25152" s="0" t="n">
        <f aca="false">OPT_TOUCH(100.5,0.3,0.02,-0.02,0.25,70,130,"d","o","c")</f>
        <v>0.894324870092198</v>
      </c>
      <c r="B25152" s="0" t="s">
        <v>24976</v>
      </c>
    </row>
    <row r="25153" customFormat="false" ht="15" hidden="false" customHeight="false" outlineLevel="0" collapsed="false">
      <c r="A25153" s="0" t="n">
        <f aca="false">OPT_TOUCH(120,0.5,-0.01,0.02,0.01,0,120,"d","i","end","rho")</f>
        <v>0.0748812669903897</v>
      </c>
      <c r="B25153" s="0" t="s">
        <v>24977</v>
      </c>
    </row>
    <row r="25154" customFormat="false" ht="15" hidden="false" customHeight="false" outlineLevel="0" collapsed="false">
      <c r="A25154" s="0" t="n">
        <f aca="false">OPT_TOUCH(100,0.2,0.1,0.02,0.25,90,0,"for","o","e","d")</f>
        <v>2.59646314306017</v>
      </c>
      <c r="B25154" s="0" t="s">
        <v>24978</v>
      </c>
    </row>
    <row r="25155" customFormat="false" ht="15" hidden="false" customHeight="false" outlineLevel="0" collapsed="false">
      <c r="A25155" s="0" t="n">
        <f aca="false">OPT_TOUCH(100,0.05,0.02,0,5,90,0,"d","in","e")</f>
        <v>0.0338992898922952</v>
      </c>
      <c r="B25155" s="0" t="s">
        <v>24979</v>
      </c>
    </row>
    <row r="25156" customFormat="false" ht="15" hidden="false" customHeight="false" outlineLevel="0" collapsed="false">
      <c r="A25156" s="0" t="e">
        <f aca="false">OPT_TOUCH(95,0.05,0.1,0.02,1,0,120,"x","out","end","o")</f>
        <v>#VALUE!</v>
      </c>
      <c r="B25156" s="0" t="s">
        <v>24980</v>
      </c>
    </row>
    <row r="25157" customFormat="false" ht="15" hidden="false" customHeight="false" outlineLevel="0" collapsed="false">
      <c r="A25157" s="0" t="e">
        <f aca="false">OPT_TOUCH(100,0.2,0.1,0.05,0,0,0,"x","o","end","g")</f>
        <v>#VALUE!</v>
      </c>
      <c r="B25157" s="0" t="s">
        <v>24981</v>
      </c>
    </row>
    <row r="25158" customFormat="false" ht="15" hidden="false" customHeight="false" outlineLevel="0" collapsed="false">
      <c r="A25158" s="0" t="n">
        <f aca="false">OPT_TOUCH(100,0.05,0.02,0.05,0,95,105,"f","in","e","rhof")</f>
        <v>0</v>
      </c>
      <c r="B25158" s="0" t="s">
        <v>24982</v>
      </c>
    </row>
    <row r="25159" customFormat="false" ht="15" hidden="false" customHeight="false" outlineLevel="0" collapsed="false">
      <c r="A25159" s="0" t="n">
        <f aca="false">OPT_TOUCH(100,0.1,-0.01,0,0.5,70,130,"dom","i","c","rhof")</f>
        <v>-0.00372895151166565</v>
      </c>
      <c r="B25159" s="0" t="s">
        <v>24983</v>
      </c>
    </row>
    <row r="25160" customFormat="false" ht="15" hidden="false" customHeight="false" outlineLevel="0" collapsed="false">
      <c r="A25160" s="0" t="n">
        <f aca="false">OPT_TOUCH(95,0.5,0.02,0.02,0.01,90,120,"dom","out","cont","g")</f>
        <v>-0.0218865016567607</v>
      </c>
      <c r="B25160" s="0" t="s">
        <v>24984</v>
      </c>
    </row>
    <row r="25161" customFormat="false" ht="15" hidden="false" customHeight="false" outlineLevel="0" collapsed="false">
      <c r="A25161" s="0" t="n">
        <f aca="false">OPT_TOUCH(100.5,0.2,0.05,0,0,85,115,"dom","o","cont","vanna")</f>
        <v>0</v>
      </c>
      <c r="B25161" s="0" t="s">
        <v>24985</v>
      </c>
    </row>
    <row r="25162" customFormat="false" ht="15" hidden="false" customHeight="false" outlineLevel="0" collapsed="false">
      <c r="A25162" s="0" t="n">
        <f aca="false">OPT_TOUCH(120,0.05,0.05,0.05,2,0,120,"dom","i","end","value")</f>
        <v>0.43965887122138</v>
      </c>
      <c r="B25162" s="0" t="s">
        <v>24986</v>
      </c>
    </row>
    <row r="25163" customFormat="false" ht="15" hidden="false" customHeight="false" outlineLevel="0" collapsed="false">
      <c r="A25163" s="0" t="n">
        <f aca="false">OPT_TOUCH(150,0.5,0.02,0,5,0,120,"for","o","cont","vanna")</f>
        <v>0</v>
      </c>
      <c r="B25163" s="0" t="s">
        <v>24987</v>
      </c>
    </row>
    <row r="25164" customFormat="false" ht="15" hidden="false" customHeight="false" outlineLevel="0" collapsed="false">
      <c r="A25164" s="0" t="n">
        <f aca="false">OPT_TOUCH(60,0.05,0.05,0.02,0.25,120,90,"for","out","e","a")</f>
        <v>0</v>
      </c>
      <c r="B25164" s="0" t="s">
        <v>24988</v>
      </c>
    </row>
    <row r="25165" customFormat="false" ht="15" hidden="false" customHeight="false" outlineLevel="0" collapsed="false">
      <c r="A25165" s="0" t="n">
        <f aca="false">OPT_TOUCH(80,0.3,0.05,0.05,1,70,130,"for","out","c","value")</f>
        <v>20.5547256984111</v>
      </c>
      <c r="B25165" s="0" t="s">
        <v>24989</v>
      </c>
    </row>
    <row r="25166" customFormat="false" ht="15" hidden="false" customHeight="false" outlineLevel="0" collapsed="false">
      <c r="A25166" s="0" t="n">
        <f aca="false">OPT_TOUCH(150,0.05,0.02,0.02,0,0,0,"for","out","cont","gamma")</f>
        <v>0</v>
      </c>
      <c r="B25166" s="0" t="s">
        <v>24990</v>
      </c>
    </row>
    <row r="25167" customFormat="false" ht="15" hidden="false" customHeight="false" outlineLevel="0" collapsed="false">
      <c r="A25167" s="0" t="e">
        <f aca="false">OPT_TOUCH(120,0.05,-0.01,0.02,0,0,0,"x","out","end","vega")</f>
        <v>#VALUE!</v>
      </c>
      <c r="B25167" s="0" t="s">
        <v>24991</v>
      </c>
    </row>
    <row r="25168" customFormat="false" ht="15" hidden="false" customHeight="false" outlineLevel="0" collapsed="false">
      <c r="A25168" s="0" t="e">
        <f aca="false">OPT_TOUCH(100,0.2,0.05,0.02,1,90,0,"for","out","c",TRUE())</f>
        <v>#VALUE!</v>
      </c>
      <c r="B25168" s="0" t="s">
        <v>24992</v>
      </c>
    </row>
    <row r="25169" customFormat="false" ht="15" hidden="false" customHeight="false" outlineLevel="0" collapsed="false">
      <c r="A25169" s="0" t="e">
        <f aca="false">OPT_TOUCH(100.5,0.1,0.05,0.02,0.01,70,130,"dom","o","cont",TRUE())</f>
        <v>#VALUE!</v>
      </c>
      <c r="B25169" s="0" t="s">
        <v>24993</v>
      </c>
    </row>
    <row r="25170" customFormat="false" ht="15" hidden="false" customHeight="false" outlineLevel="0" collapsed="false">
      <c r="A25170" s="0" t="n">
        <f aca="false">OPT_TOUCH(95,0.3,0.1,0,0.01,0,0,"f","in","cont","d")</f>
        <v>0</v>
      </c>
      <c r="B25170" s="0" t="s">
        <v>24994</v>
      </c>
    </row>
    <row r="25171" customFormat="false" ht="15" hidden="false" customHeight="false" outlineLevel="0" collapsed="false">
      <c r="A25171" s="0" t="e">
        <f aca="false">OPT_TOUCH(100,0.5,0.05,-0.02,5,70,130,"x","i","cont",1)</f>
        <v>#VALUE!</v>
      </c>
      <c r="B25171" s="0" t="s">
        <v>24995</v>
      </c>
    </row>
    <row r="25172" customFormat="false" ht="15" hidden="false" customHeight="false" outlineLevel="0" collapsed="false">
      <c r="A25172" s="0" t="e">
        <f aca="false">OPT_TOUCH(150,0.05,0.1,0.05,0.5,120,90,"x","i","c","vega")</f>
        <v>#VALUE!</v>
      </c>
      <c r="B25172" s="0" t="s">
        <v>24996</v>
      </c>
    </row>
    <row r="25173" customFormat="false" ht="15" hidden="false" customHeight="false" outlineLevel="0" collapsed="false">
      <c r="A25173" s="0" t="n">
        <f aca="false">OPT_TOUCH(95,0.3,0.02,0.02,2,90,0,"f","in","e","vega")</f>
        <v>-9.70412685176616</v>
      </c>
      <c r="B25173" s="0" t="s">
        <v>24997</v>
      </c>
    </row>
    <row r="25174" customFormat="false" ht="15" hidden="false" customHeight="false" outlineLevel="0" collapsed="false">
      <c r="A25174" s="0" t="e">
        <f aca="false">OPT_TOUCH(150,0.2,0.05,-0.02,0.01,85,115,"x","out","end",TRUE())</f>
        <v>#VALUE!</v>
      </c>
      <c r="B25174" s="0" t="s">
        <v>24998</v>
      </c>
    </row>
    <row r="25175" customFormat="false" ht="15" hidden="false" customHeight="false" outlineLevel="0" collapsed="false">
      <c r="A25175" s="0" t="n">
        <f aca="false">OPT_TOUCH(80,0.2,0.1,-0.02,1,120,90,"f","i","end","gamma")</f>
        <v>0</v>
      </c>
      <c r="B25175" s="0" t="s">
        <v>24999</v>
      </c>
    </row>
    <row r="25176" customFormat="false" ht="15" hidden="false" customHeight="false" outlineLevel="0" collapsed="false">
      <c r="A25176" s="0" t="n">
        <f aca="false">OPT_TOUCH(95,0.5,0,0.02,2,95,105,"for","out","e","value")</f>
        <v>5.01976281872319</v>
      </c>
      <c r="B25176" s="0" t="s">
        <v>25000</v>
      </c>
    </row>
    <row r="25177" customFormat="false" ht="15" hidden="false" customHeight="false" outlineLevel="0" collapsed="false">
      <c r="A25177" s="0" t="n">
        <f aca="false">OPT_TOUCH(60,0.1,0.02,-0.02,1,90,120,"for","o","cont","e")</f>
        <v>0</v>
      </c>
      <c r="B25177" s="0" t="s">
        <v>25001</v>
      </c>
    </row>
    <row r="25178" customFormat="false" ht="15" hidden="false" customHeight="false" outlineLevel="0" collapsed="false">
      <c r="A25178" s="0" t="n">
        <f aca="false">OPT_TOUCH(100.5,0.5,0,0.05,0.25,0,0,"d","o","cont","gamma")</f>
        <v>0</v>
      </c>
      <c r="B25178" s="0" t="s">
        <v>25002</v>
      </c>
    </row>
    <row r="25179" customFormat="false" ht="15" hidden="false" customHeight="false" outlineLevel="0" collapsed="false">
      <c r="A25179" s="0" t="n">
        <f aca="false">OPT_TOUCH(150,0.3,0,0.05,5,90,0,"f","out","end","a")</f>
        <v>-1.18433350014989</v>
      </c>
      <c r="B25179" s="0" t="s">
        <v>25003</v>
      </c>
    </row>
    <row r="25180" customFormat="false" ht="15" hidden="false" customHeight="false" outlineLevel="0" collapsed="false">
      <c r="A25180" s="0" t="n">
        <f aca="false">OPT_TOUCH(120,0.2,0.02,0.05,0,70,130,"d","in","end","vega")</f>
        <v>0</v>
      </c>
      <c r="B25180" s="0" t="s">
        <v>25004</v>
      </c>
    </row>
    <row r="25181" customFormat="false" ht="15" hidden="false" customHeight="false" outlineLevel="0" collapsed="false">
      <c r="A25181" s="0" t="n">
        <f aca="false">OPT_TOUCH(95,0.05,0,-0.02,0.5,0,120,"for","o","e","delta")</f>
        <v>1.01005014071217</v>
      </c>
      <c r="B25181" s="0" t="s">
        <v>25005</v>
      </c>
    </row>
    <row r="25182" customFormat="false" ht="15" hidden="false" customHeight="false" outlineLevel="0" collapsed="false">
      <c r="A25182" s="0" t="e">
        <f aca="false">OPT_TOUCH(100.5,0.5,0.1,-0.02,0.01,70,130,"d","i","cont","x")</f>
        <v>#VALUE!</v>
      </c>
      <c r="B25182" s="0" t="s">
        <v>25006</v>
      </c>
    </row>
    <row r="25183" customFormat="false" ht="15" hidden="false" customHeight="false" outlineLevel="0" collapsed="false">
      <c r="A25183" s="0" t="n">
        <f aca="false">OPT_TOUCH(100.5,0.1,0.05,0.05,5,120,90,"for","out","c","delta")</f>
        <v>0</v>
      </c>
      <c r="B25183" s="0" t="s">
        <v>25007</v>
      </c>
    </row>
    <row r="25184" customFormat="false" ht="15" hidden="false" customHeight="false" outlineLevel="0" collapsed="false">
      <c r="A25184" s="0" t="n">
        <f aca="false">OPT_TOUCH(100.5,0.2,0.02,0.05,2,120,90,"dom","i","cont","vega")</f>
        <v>0</v>
      </c>
      <c r="B25184" s="0" t="s">
        <v>25008</v>
      </c>
    </row>
    <row r="25185" customFormat="false" ht="15" hidden="false" customHeight="false" outlineLevel="0" collapsed="false">
      <c r="A25185" s="0" t="n">
        <f aca="false">OPT_TOUCH(100,0.5,0.1,0,0,90,0,"f","out","end","g")</f>
        <v>0</v>
      </c>
      <c r="B25185" s="0" t="s">
        <v>25009</v>
      </c>
    </row>
    <row r="25186" customFormat="false" ht="15" hidden="false" customHeight="false" outlineLevel="0" collapsed="false">
      <c r="A25186" s="0" t="n">
        <f aca="false">OPT_TOUCH(100.5,0.1,0.05,0.05,2,70,130,"d","out","e","rhof")</f>
        <v>0.622770351409785</v>
      </c>
      <c r="B25186" s="0" t="s">
        <v>25010</v>
      </c>
    </row>
    <row r="25187" customFormat="false" ht="15" hidden="false" customHeight="false" outlineLevel="0" collapsed="false">
      <c r="A25187" s="0" t="n">
        <f aca="false">OPT_TOUCH(80,0.5,0.02,0.02,0,120,90,"for","out","cont","value")</f>
        <v>0</v>
      </c>
      <c r="B25187" s="0" t="s">
        <v>25011</v>
      </c>
    </row>
    <row r="25188" customFormat="false" ht="15" hidden="false" customHeight="false" outlineLevel="0" collapsed="false">
      <c r="A25188" s="0" t="n">
        <f aca="false">OPT_TOUCH(120,0.2,0.05,-0.02,5,90,120,"d","i","end","g")</f>
        <v>-6.47092737238091E-006</v>
      </c>
      <c r="B25188" s="0" t="s">
        <v>25012</v>
      </c>
    </row>
    <row r="25189" customFormat="false" ht="15" hidden="false" customHeight="false" outlineLevel="0" collapsed="false">
      <c r="A25189" s="0" t="n">
        <f aca="false">OPT_TOUCH(150,0.1,0.02,0,0,95,105,"d","out","end","price")</f>
        <v>0</v>
      </c>
      <c r="B25189" s="0" t="s">
        <v>25013</v>
      </c>
    </row>
    <row r="25190" customFormat="false" ht="15" hidden="false" customHeight="false" outlineLevel="0" collapsed="false">
      <c r="A25190" s="0" t="e">
        <f aca="false">OPT_TOUCH(150,0.3,0.1,0.02,0.25,90,0,"dom","i","end",1)</f>
        <v>#VALUE!</v>
      </c>
      <c r="B25190" s="0" t="s">
        <v>25014</v>
      </c>
    </row>
    <row r="25191" customFormat="false" ht="15" hidden="false" customHeight="false" outlineLevel="0" collapsed="false">
      <c r="A25191" s="0" t="n">
        <f aca="false">OPT_TOUCH(100,0.2,0.05,0.02,0.5,0,120,"for","in","end","rho")</f>
        <v>75.214510350885</v>
      </c>
      <c r="B25191" s="0" t="s">
        <v>25015</v>
      </c>
    </row>
    <row r="25192" customFormat="false" ht="15" hidden="false" customHeight="false" outlineLevel="0" collapsed="false">
      <c r="A25192" s="0" t="n">
        <f aca="false">OPT_TOUCH(80,0.5,0.05,0.02,0.5,120,90,"f","out","c","a")</f>
        <v>0</v>
      </c>
      <c r="B25192" s="0" t="s">
        <v>25016</v>
      </c>
    </row>
    <row r="25193" customFormat="false" ht="15" hidden="false" customHeight="false" outlineLevel="0" collapsed="false">
      <c r="A25193" s="0" t="e">
        <f aca="false">OPT_TOUCH(100,0.2,0.05,0.02,0.25,70,130,"x","i","e","o")</f>
        <v>#VALUE!</v>
      </c>
      <c r="B25193" s="0" t="s">
        <v>25017</v>
      </c>
    </row>
    <row r="25194" customFormat="false" ht="15" hidden="false" customHeight="false" outlineLevel="0" collapsed="false">
      <c r="A25194" s="0" t="n">
        <f aca="false">OPT_TOUCH(80,0.2,0.05,0,1,70,130,"for","o","e","gamma")</f>
        <v>-0.0935444043602484</v>
      </c>
      <c r="B25194" s="0" t="s">
        <v>25018</v>
      </c>
    </row>
    <row r="25195" customFormat="false" ht="15" hidden="false" customHeight="false" outlineLevel="0" collapsed="false">
      <c r="A25195" s="0" t="n">
        <f aca="false">OPT_TOUCH(100.5,0.2,0.1,0.05,1,70,130,"dom","in","e","d")</f>
        <v>0.00677113965163378</v>
      </c>
      <c r="B25195" s="0" t="s">
        <v>25019</v>
      </c>
    </row>
    <row r="25196" customFormat="false" ht="15" hidden="false" customHeight="false" outlineLevel="0" collapsed="false">
      <c r="A25196" s="0" t="n">
        <f aca="false">OPT_TOUCH(150,0.1,0.02,0,0.01,90,120,"f","in","end","gamma")</f>
        <v>-2.55306537378406E-106</v>
      </c>
      <c r="B25196" s="0" t="s">
        <v>25020</v>
      </c>
    </row>
    <row r="25197" customFormat="false" ht="15" hidden="false" customHeight="false" outlineLevel="0" collapsed="false">
      <c r="A25197" s="0" t="e">
        <f aca="false">OPT_TOUCH(100,0.1,0,0,2,90,0,"x","o","end","a")</f>
        <v>#VALUE!</v>
      </c>
      <c r="B25197" s="0" t="s">
        <v>25021</v>
      </c>
    </row>
    <row r="25198" customFormat="false" ht="15" hidden="false" customHeight="false" outlineLevel="0" collapsed="false">
      <c r="A25198" s="0" t="n">
        <f aca="false">OPT_TOUCH(80,0.05,0.05,0.05,0.01,90,0,"f","o","e","vanna")</f>
        <v>2.97765781018155E-115</v>
      </c>
      <c r="B25198" s="0" t="s">
        <v>25022</v>
      </c>
    </row>
    <row r="25199" customFormat="false" ht="15" hidden="false" customHeight="false" outlineLevel="0" collapsed="false">
      <c r="A25199" s="0" t="n">
        <f aca="false">OPT_TOUCH(95,0.3,0.1,0,0.5,90,0,"f","in","end","e")</f>
        <v>40.6556559895012</v>
      </c>
      <c r="B25199" s="0" t="s">
        <v>25023</v>
      </c>
    </row>
    <row r="25200" customFormat="false" ht="15" hidden="false" customHeight="false" outlineLevel="0" collapsed="false">
      <c r="A25200" s="0" t="e">
        <f aca="false">OPT_TOUCH(150,0.1,0.1,0.05,1,0,0,"x","i","cont",1)</f>
        <v>#VALUE!</v>
      </c>
      <c r="B25200" s="0" t="s">
        <v>25024</v>
      </c>
    </row>
    <row r="25201" customFormat="false" ht="15" hidden="false" customHeight="false" outlineLevel="0" collapsed="false">
      <c r="A25201" s="0" t="e">
        <f aca="false">OPT_TOUCH(100.5,0.2,0.02,0,0.5,90,0,"x","i","c","d")</f>
        <v>#VALUE!</v>
      </c>
      <c r="B25201" s="0" t="s">
        <v>25025</v>
      </c>
    </row>
    <row r="25202" customFormat="false" ht="15" hidden="false" customHeight="false" outlineLevel="0" collapsed="false">
      <c r="A25202" s="0" t="e">
        <f aca="false">OPT_TOUCH(60,0.3,-0.01,-0.02,0.01,120,90,"x","o","cont","delta")</f>
        <v>#VALUE!</v>
      </c>
      <c r="B25202" s="0" t="s">
        <v>25026</v>
      </c>
    </row>
    <row r="25203" customFormat="false" ht="15" hidden="false" customHeight="false" outlineLevel="0" collapsed="false">
      <c r="A25203" s="0" t="e">
        <f aca="false">OPT_TOUCH(95,0.3,-0.01,-0.02,0,0,120,"f","o","cont","x")</f>
        <v>#VALUE!</v>
      </c>
      <c r="B25203" s="0" t="s">
        <v>25027</v>
      </c>
    </row>
    <row r="25204" customFormat="false" ht="15" hidden="false" customHeight="false" outlineLevel="0" collapsed="false">
      <c r="A25204" s="0" t="e">
        <f aca="false">OPT_TOUCH(80,0.05,0,0.02,0.5,0,120,"x","o","e","value")</f>
        <v>#VALUE!</v>
      </c>
      <c r="B25204" s="0" t="s">
        <v>25028</v>
      </c>
    </row>
    <row r="25205" customFormat="false" ht="15" hidden="false" customHeight="false" outlineLevel="0" collapsed="false">
      <c r="A25205" s="0" t="n">
        <f aca="false">OPT_TOUCH(100,0.5,0.02,-0.02,0.25,85,115,"f","in","end","e")</f>
        <v>80.2927790991895</v>
      </c>
      <c r="B25205" s="0" t="s">
        <v>25029</v>
      </c>
    </row>
    <row r="25206" customFormat="false" ht="15" hidden="false" customHeight="false" outlineLevel="0" collapsed="false">
      <c r="A25206" s="0" t="e">
        <f aca="false">OPT_TOUCH(100,0.1,0,0,1,90,120,"x","i","e","f")</f>
        <v>#VALUE!</v>
      </c>
      <c r="B25206" s="0" t="s">
        <v>25030</v>
      </c>
    </row>
    <row r="25207" customFormat="false" ht="15" hidden="false" customHeight="false" outlineLevel="0" collapsed="false">
      <c r="A25207" s="0" t="e">
        <f aca="false">OPT_TOUCH(120,0.3,0,0.02,0.25,90,120,"f","in","cont","")</f>
        <v>#VALUE!</v>
      </c>
      <c r="B25207" s="0" t="s">
        <v>25031</v>
      </c>
    </row>
    <row r="25208" customFormat="false" ht="15" hidden="false" customHeight="false" outlineLevel="0" collapsed="false">
      <c r="A25208" s="0" t="n">
        <f aca="false">OPT_TOUCH(100,0.05,0.1,0,0,120,90,"for","out","cont","rhof")</f>
        <v>0</v>
      </c>
      <c r="B25208" s="0" t="s">
        <v>25032</v>
      </c>
    </row>
    <row r="25209" customFormat="false" ht="15" hidden="false" customHeight="false" outlineLevel="0" collapsed="false">
      <c r="A25209" s="0" t="e">
        <f aca="false">OPT_TOUCH(100.5,0.1,0.02,0,0.25,0,120,"x","in","cont","e")</f>
        <v>#VALUE!</v>
      </c>
      <c r="B25209" s="0" t="s">
        <v>25033</v>
      </c>
    </row>
    <row r="25210" customFormat="false" ht="15" hidden="false" customHeight="false" outlineLevel="0" collapsed="false">
      <c r="A25210" s="0" t="n">
        <f aca="false">OPT_TOUCH(80,0.1,0.1,0,0.25,120,90,"d","i","e","vanna")</f>
        <v>0</v>
      </c>
      <c r="B25210" s="0" t="s">
        <v>25034</v>
      </c>
    </row>
    <row r="25211" customFormat="false" ht="15" hidden="false" customHeight="false" outlineLevel="0" collapsed="false">
      <c r="A25211" s="0" t="n">
        <f aca="false">OPT_TOUCH(100.5,0.5,0.02,-0.02,5,90,120,"d","o","e","value")</f>
        <v>0.0851970268394824</v>
      </c>
      <c r="B25211" s="0" t="s">
        <v>25035</v>
      </c>
    </row>
    <row r="25212" customFormat="false" ht="15" hidden="false" customHeight="false" outlineLevel="0" collapsed="false">
      <c r="A25212" s="0" t="n">
        <f aca="false">OPT_TOUCH(95,0.1,-0.01,0.05,0,90,120,"f","o","c","d")</f>
        <v>1</v>
      </c>
      <c r="B25212" s="0" t="s">
        <v>25036</v>
      </c>
    </row>
    <row r="25213" customFormat="false" ht="15" hidden="false" customHeight="false" outlineLevel="0" collapsed="false">
      <c r="A25213" s="0" t="e">
        <f aca="false">OPT_TOUCH(120,0.1,0.05,-0.02,0.5,85,115,"d","out","end",TRUE())</f>
        <v>#VALUE!</v>
      </c>
      <c r="B25213" s="0" t="s">
        <v>25037</v>
      </c>
    </row>
    <row r="25214" customFormat="false" ht="15" hidden="false" customHeight="false" outlineLevel="0" collapsed="false">
      <c r="A25214" s="0" t="n">
        <f aca="false">OPT_TOUCH(60,0.2,-0.01,0.05,0.01,120,90,"f","out","c")</f>
        <v>0</v>
      </c>
      <c r="B25214" s="0" t="s">
        <v>25038</v>
      </c>
    </row>
    <row r="25215" customFormat="false" ht="15" hidden="false" customHeight="false" outlineLevel="0" collapsed="false">
      <c r="A25215" s="0" t="e">
        <f aca="false">OPT_TOUCH(150,0.1,0.1,0.05,0.5,90,0,"x","in","end","gamma")</f>
        <v>#VALUE!</v>
      </c>
      <c r="B25215" s="0" t="s">
        <v>25039</v>
      </c>
    </row>
    <row r="25216" customFormat="false" ht="15" hidden="false" customHeight="false" outlineLevel="0" collapsed="false">
      <c r="A25216" s="0" t="n">
        <f aca="false">OPT_TOUCH(95,0.05,-0.01,-0.02,0.25,70,130,"d","out","cont","o")</f>
        <v>-9.26310477844006E-028</v>
      </c>
      <c r="B25216" s="0" t="s">
        <v>25040</v>
      </c>
    </row>
    <row r="25217" customFormat="false" ht="15" hidden="false" customHeight="false" outlineLevel="0" collapsed="false">
      <c r="A25217" s="0" t="e">
        <f aca="false">OPT_TOUCH(100.5,0.5,0.05,0.05,5,0,0,"for","in","c","")</f>
        <v>#VALUE!</v>
      </c>
      <c r="B25217" s="0" t="s">
        <v>25041</v>
      </c>
    </row>
    <row r="25218" customFormat="false" ht="15" hidden="false" customHeight="false" outlineLevel="0" collapsed="false">
      <c r="A25218" s="0" t="e">
        <f aca="false">OPT_TOUCH(100.5,0.3,0.1,0.02,0.01,90,120,"x","in","e","vanna")</f>
        <v>#VALUE!</v>
      </c>
      <c r="B25218" s="0" t="s">
        <v>25042</v>
      </c>
    </row>
    <row r="25219" customFormat="false" ht="15" hidden="false" customHeight="false" outlineLevel="0" collapsed="false">
      <c r="A25219" s="0" t="e">
        <f aca="false">OPT_TOUCH(100,0.3,0.05,-0.02,2,0,0,"d","in","c",TRUE())</f>
        <v>#VALUE!</v>
      </c>
      <c r="B25219" s="0" t="s">
        <v>25043</v>
      </c>
    </row>
    <row r="25220" customFormat="false" ht="15" hidden="false" customHeight="false" outlineLevel="0" collapsed="false">
      <c r="A25220" s="0" t="e">
        <f aca="false">OPT_TOUCH(95,0.1,0.05,-0.02,0,0,0,"for","i","cont","x")</f>
        <v>#VALUE!</v>
      </c>
      <c r="B25220" s="0" t="s">
        <v>25044</v>
      </c>
    </row>
    <row r="25221" customFormat="false" ht="15" hidden="false" customHeight="false" outlineLevel="0" collapsed="false">
      <c r="A25221" s="0" t="n">
        <f aca="false">OPT_TOUCH(60,0.2,0.02,0,1,120,90,"for","in","end","vanna")</f>
        <v>0</v>
      </c>
      <c r="B25221" s="0" t="s">
        <v>25045</v>
      </c>
    </row>
    <row r="25222" customFormat="false" ht="15" hidden="false" customHeight="false" outlineLevel="0" collapsed="false">
      <c r="A25222" s="0" t="n">
        <f aca="false">OPT_TOUCH(95,0.1,0.1,0.05,2,90,120,"d","in","e","o")</f>
        <v>-37.4245540653836</v>
      </c>
      <c r="B25222" s="0" t="s">
        <v>25046</v>
      </c>
    </row>
    <row r="25223" customFormat="false" ht="15" hidden="false" customHeight="false" outlineLevel="0" collapsed="false">
      <c r="A25223" s="0" t="n">
        <f aca="false">OPT_TOUCH(60,0.2,0.1,-0.02,1,90,0,"d","in","end","volga")</f>
        <v>0.46051288239083</v>
      </c>
      <c r="B25223" s="0" t="s">
        <v>25047</v>
      </c>
    </row>
    <row r="25224" customFormat="false" ht="15" hidden="false" customHeight="false" outlineLevel="0" collapsed="false">
      <c r="A25224" s="0" t="n">
        <f aca="false">OPT_TOUCH(95,0.5,0.1,0.02,0,85,115,"for","in","c","price")</f>
        <v>0</v>
      </c>
      <c r="B25224" s="0" t="s">
        <v>25048</v>
      </c>
    </row>
    <row r="25225" customFormat="false" ht="15" hidden="false" customHeight="false" outlineLevel="0" collapsed="false">
      <c r="A25225" s="0" t="n">
        <f aca="false">OPT_TOUCH(60,0.2,0.05,-0.02,0.01,0,0,"d","in","cont","theta")</f>
        <v>0</v>
      </c>
      <c r="B25225" s="0" t="s">
        <v>25049</v>
      </c>
    </row>
    <row r="25226" customFormat="false" ht="15" hidden="false" customHeight="false" outlineLevel="0" collapsed="false">
      <c r="A25226" s="0" t="e">
        <f aca="false">OPT_TOUCH(95,0.5,0.02,-0.02,0.5,90,120,"for","i","end","x")</f>
        <v>#VALUE!</v>
      </c>
      <c r="B25226" s="0" t="s">
        <v>25050</v>
      </c>
    </row>
    <row r="25227" customFormat="false" ht="15" hidden="false" customHeight="false" outlineLevel="0" collapsed="false">
      <c r="A25227" s="0" t="n">
        <f aca="false">OPT_TOUCH(120,0.2,0.1,-0.02,1,0,120,"for","i","cont","theta")</f>
        <v>-2.44848321606421</v>
      </c>
      <c r="B25227" s="0" t="s">
        <v>25051</v>
      </c>
    </row>
    <row r="25228" customFormat="false" ht="15" hidden="false" customHeight="false" outlineLevel="0" collapsed="false">
      <c r="A25228" s="0" t="e">
        <f aca="false">OPT_TOUCH(120,0.3,0.02,0.05,2,90,120,"dom","i","end","x")</f>
        <v>#VALUE!</v>
      </c>
      <c r="B25228" s="0" t="s">
        <v>25052</v>
      </c>
    </row>
    <row r="25229" customFormat="false" ht="15" hidden="false" customHeight="false" outlineLevel="0" collapsed="false">
      <c r="A25229" s="0" t="n">
        <f aca="false">OPT_TOUCH(120,0.05,0.05,0.05,0.01,0,0,"for","o","cont","vanna")</f>
        <v>0</v>
      </c>
      <c r="B25229" s="0" t="s">
        <v>25053</v>
      </c>
    </row>
    <row r="25230" customFormat="false" ht="15" hidden="false" customHeight="false" outlineLevel="0" collapsed="false">
      <c r="A25230" s="0" t="e">
        <f aca="false">OPT_TOUCH(100.5,0.2,0,0,0.25,70,130,"x","out","e","vega")</f>
        <v>#VALUE!</v>
      </c>
      <c r="B25230" s="0" t="s">
        <v>25054</v>
      </c>
    </row>
    <row r="25231" customFormat="false" ht="15" hidden="false" customHeight="false" outlineLevel="0" collapsed="false">
      <c r="A25231" s="0" t="e">
        <f aca="false">OPT_TOUCH(150,0.05,-0.01,0.02,0,90,0,"d","i","cont",1)</f>
        <v>#VALUE!</v>
      </c>
      <c r="B25231" s="0" t="s">
        <v>25055</v>
      </c>
    </row>
    <row r="25232" customFormat="false" ht="15" hidden="false" customHeight="false" outlineLevel="0" collapsed="false">
      <c r="A25232" s="0" t="n">
        <f aca="false">OPT_TOUCH(150,0.5,0,0.02,0,95,105,"d","out","cont","e")</f>
        <v>0</v>
      </c>
      <c r="B25232" s="0" t="s">
        <v>25056</v>
      </c>
    </row>
    <row r="25233" customFormat="false" ht="15" hidden="false" customHeight="false" outlineLevel="0" collapsed="false">
      <c r="A25233" s="0" t="e">
        <f aca="false">OPT_TOUCH(100,0.05,0.1,-0.02,5,85,115,"x","i","cont","delta")</f>
        <v>#VALUE!</v>
      </c>
      <c r="B25233" s="0" t="s">
        <v>25057</v>
      </c>
    </row>
    <row r="25234" customFormat="false" ht="15" hidden="false" customHeight="false" outlineLevel="0" collapsed="false">
      <c r="A25234" s="0" t="e">
        <f aca="false">OPT_TOUCH(120,0.05,0.02,-0.02,0,90,120,"f","in","c","")</f>
        <v>#VALUE!</v>
      </c>
      <c r="B25234" s="0" t="s">
        <v>25058</v>
      </c>
    </row>
    <row r="25235" customFormat="false" ht="15" hidden="false" customHeight="false" outlineLevel="0" collapsed="false">
      <c r="A25235" s="0" t="e">
        <f aca="false">OPT_TOUCH(80,0.1,0.02,0.02,2,70,130,"x","out","c",1)</f>
        <v>#VALUE!</v>
      </c>
      <c r="B25235" s="0" t="s">
        <v>25059</v>
      </c>
    </row>
    <row r="25236" customFormat="false" ht="15" hidden="false" customHeight="false" outlineLevel="0" collapsed="false">
      <c r="A25236" s="0" t="n">
        <f aca="false">OPT_TOUCH(150,0.05,0.02,0,2,85,115,"for","out","cont","o")</f>
        <v>0</v>
      </c>
      <c r="B25236" s="0" t="s">
        <v>25060</v>
      </c>
    </row>
    <row r="25237" customFormat="false" ht="15" hidden="false" customHeight="false" outlineLevel="0" collapsed="false">
      <c r="A25237" s="0" t="e">
        <f aca="false">OPT_TOUCH(60,0.1,0.05,0.02,0.01,70,130,"for","i","cont","")</f>
        <v>#VALUE!</v>
      </c>
      <c r="B25237" s="0" t="s">
        <v>25061</v>
      </c>
    </row>
    <row r="25238" customFormat="false" ht="15" hidden="false" customHeight="false" outlineLevel="0" collapsed="false">
      <c r="A25238" s="0" t="n">
        <f aca="false">OPT_TOUCH(100.5,0.3,0.02,0.02,0.25,70,130,"f","i","e","value")</f>
        <v>5.68719949980016</v>
      </c>
      <c r="B25238" s="0" t="s">
        <v>25062</v>
      </c>
    </row>
    <row r="25239" customFormat="false" ht="15" hidden="false" customHeight="false" outlineLevel="0" collapsed="false">
      <c r="A25239" s="0" t="n">
        <f aca="false">OPT_TOUCH(100,0.5,-0.01,0.05,0.5,70,130,"d","o","cont","gamma")</f>
        <v>-0.000662451455313366</v>
      </c>
      <c r="B25239" s="0" t="s">
        <v>25063</v>
      </c>
    </row>
    <row r="25240" customFormat="false" ht="15" hidden="false" customHeight="false" outlineLevel="0" collapsed="false">
      <c r="A25240" s="0" t="n">
        <f aca="false">OPT_TOUCH(100,0.2,0.05,-0.02,0.01,85,115,"d","o","end","g")</f>
        <v>-2.05081852268149E-011</v>
      </c>
      <c r="B25240" s="0" t="s">
        <v>25064</v>
      </c>
    </row>
    <row r="25241" customFormat="false" ht="15" hidden="false" customHeight="false" outlineLevel="0" collapsed="false">
      <c r="A25241" s="0" t="n">
        <f aca="false">OPT_TOUCH(80,0.1,0.1,-0.02,2,95,105,"dom","o","cont")</f>
        <v>0</v>
      </c>
      <c r="B25241" s="0" t="s">
        <v>25065</v>
      </c>
    </row>
    <row r="25242" customFormat="false" ht="15" hidden="false" customHeight="false" outlineLevel="0" collapsed="false">
      <c r="A25242" s="0" t="e">
        <f aca="false">OPT_TOUCH(120,0.1,0.02,0.02,5,0,0,"x","in","c","rho")</f>
        <v>#VALUE!</v>
      </c>
      <c r="B25242" s="0" t="s">
        <v>25066</v>
      </c>
    </row>
    <row r="25243" customFormat="false" ht="15" hidden="false" customHeight="false" outlineLevel="0" collapsed="false">
      <c r="A25243" s="0" t="n">
        <f aca="false">OPT_TOUCH(100,0.05,0.05,0,2,95,105,"for","o","c","a")</f>
        <v>87.320511865936</v>
      </c>
      <c r="B25243" s="0" t="s">
        <v>25067</v>
      </c>
    </row>
    <row r="25244" customFormat="false" ht="15" hidden="false" customHeight="false" outlineLevel="0" collapsed="false">
      <c r="A25244" s="0" t="e">
        <f aca="false">OPT_TOUCH(100,0.3,0.05,-0.02,0,95,105,"x","in","end","")</f>
        <v>#VALUE!</v>
      </c>
      <c r="B25244" s="0" t="s">
        <v>25068</v>
      </c>
    </row>
    <row r="25245" customFormat="false" ht="15" hidden="false" customHeight="false" outlineLevel="0" collapsed="false">
      <c r="A25245" s="0" t="n">
        <f aca="false">OPT_TOUCH(150,0.1,-0.01,-0.02,0.01,120,90,"d","o","c","o")</f>
        <v>0</v>
      </c>
      <c r="B25245" s="0" t="s">
        <v>25069</v>
      </c>
    </row>
    <row r="25246" customFormat="false" ht="15" hidden="false" customHeight="false" outlineLevel="0" collapsed="false">
      <c r="A25246" s="0" t="n">
        <f aca="false">OPT_TOUCH(60,0.1,0.05,0,5,0,0,"dom","o","e","d")</f>
        <v>0</v>
      </c>
      <c r="B25246" s="0" t="s">
        <v>25070</v>
      </c>
    </row>
    <row r="25247" customFormat="false" ht="15" hidden="false" customHeight="false" outlineLevel="0" collapsed="false">
      <c r="A25247" s="0" t="e">
        <f aca="false">OPT_TOUCH(100,0.2,0.05,0.05,5,95,105,"x","o","cont")</f>
        <v>#VALUE!</v>
      </c>
      <c r="B25247" s="0" t="s">
        <v>25071</v>
      </c>
    </row>
    <row r="25248" customFormat="false" ht="15" hidden="false" customHeight="false" outlineLevel="0" collapsed="false">
      <c r="A25248" s="0" t="n">
        <f aca="false">OPT_TOUCH(100.5,0.5,0.1,0,1,90,120,"d","i","cont","g")</f>
        <v>4.36828950656473E-009</v>
      </c>
      <c r="B25248" s="0" t="s">
        <v>25072</v>
      </c>
    </row>
    <row r="25249" customFormat="false" ht="15" hidden="false" customHeight="false" outlineLevel="0" collapsed="false">
      <c r="A25249" s="0" t="n">
        <f aca="false">OPT_TOUCH(80,0.2,0.1,0.05,0,0,0,"for","out","c","d")</f>
        <v>1</v>
      </c>
      <c r="B25249" s="0" t="s">
        <v>25073</v>
      </c>
    </row>
    <row r="25250" customFormat="false" ht="15" hidden="false" customHeight="false" outlineLevel="0" collapsed="false">
      <c r="A25250" s="0" t="n">
        <f aca="false">OPT_TOUCH(100.5,0.05,0.02,0.05,2,90,0,"d","in","c","volga")</f>
        <v>-168.84553043964</v>
      </c>
      <c r="B25250" s="0" t="s">
        <v>25074</v>
      </c>
    </row>
    <row r="25251" customFormat="false" ht="15" hidden="false" customHeight="false" outlineLevel="0" collapsed="false">
      <c r="A25251" s="0" t="n">
        <f aca="false">OPT_TOUCH(150,0.2,0.1,-0.02,1,70,130,"f","o","cont","rhof")</f>
        <v>0</v>
      </c>
      <c r="B25251" s="0" t="s">
        <v>25075</v>
      </c>
    </row>
    <row r="25252" customFormat="false" ht="15" hidden="false" customHeight="false" outlineLevel="0" collapsed="false">
      <c r="A25252" s="0" t="n">
        <f aca="false">OPT_TOUCH(150,0.05,0,0.05,0.01,70,130,"for","in","c","rhof")</f>
        <v>-1.49925018746875</v>
      </c>
      <c r="B25252" s="0" t="s">
        <v>25076</v>
      </c>
    </row>
    <row r="25253" customFormat="false" ht="15" hidden="false" customHeight="false" outlineLevel="0" collapsed="false">
      <c r="A25253" s="0" t="n">
        <f aca="false">OPT_TOUCH(100.5,0.2,-0.01,-0.02,1,90,0,"dom","i","e","rho")</f>
        <v>-2.08748887350131</v>
      </c>
      <c r="B25253" s="0" t="s">
        <v>25077</v>
      </c>
    </row>
    <row r="25254" customFormat="false" ht="15" hidden="false" customHeight="false" outlineLevel="0" collapsed="false">
      <c r="A25254" s="0" t="e">
        <f aca="false">OPT_TOUCH(95,0.1,0.05,0.05,0.01,70,130,"f","out","end","x")</f>
        <v>#VALUE!</v>
      </c>
      <c r="B25254" s="0" t="s">
        <v>25078</v>
      </c>
    </row>
    <row r="25255" customFormat="false" ht="15" hidden="false" customHeight="false" outlineLevel="0" collapsed="false">
      <c r="A25255" s="0" t="n">
        <f aca="false">OPT_TOUCH(95,0.5,-0.01,0.02,0.25,90,0,"d","in","end","e")</f>
        <v>0.248511427430046</v>
      </c>
      <c r="B25255" s="0" t="s">
        <v>25079</v>
      </c>
    </row>
    <row r="25256" customFormat="false" ht="15" hidden="false" customHeight="false" outlineLevel="0" collapsed="false">
      <c r="A25256" s="0" t="n">
        <f aca="false">OPT_TOUCH(150,0.05,0.02,0.02,0.5,95,105,"for","o","cont","volga")</f>
        <v>0</v>
      </c>
      <c r="B25256" s="0" t="s">
        <v>25080</v>
      </c>
    </row>
    <row r="25257" customFormat="false" ht="15" hidden="false" customHeight="false" outlineLevel="0" collapsed="false">
      <c r="A25257" s="0" t="e">
        <f aca="false">OPT_TOUCH(100.5,0.3,0.1,-0.02,0.01,70,130,"x","out","e","a")</f>
        <v>#VALUE!</v>
      </c>
      <c r="B25257" s="0" t="s">
        <v>25081</v>
      </c>
    </row>
    <row r="25258" customFormat="false" ht="15" hidden="false" customHeight="false" outlineLevel="0" collapsed="false">
      <c r="A25258" s="0" t="e">
        <f aca="false">OPT_TOUCH(95,0.3,0.02,0,1,70,130,"dom","i","end",1)</f>
        <v>#VALUE!</v>
      </c>
      <c r="B25258" s="0" t="s">
        <v>25082</v>
      </c>
    </row>
    <row r="25259" customFormat="false" ht="15" hidden="false" customHeight="false" outlineLevel="0" collapsed="false">
      <c r="A25259" s="0" t="n">
        <f aca="false">OPT_TOUCH(120,0.5,0,0.05,0,0,120,"f","i","cont","g")</f>
        <v>0</v>
      </c>
      <c r="B25259" s="0" t="s">
        <v>25083</v>
      </c>
    </row>
    <row r="25260" customFormat="false" ht="15" hidden="false" customHeight="false" outlineLevel="0" collapsed="false">
      <c r="A25260" s="0" t="n">
        <f aca="false">OPT_TOUCH(120,0.3,0.05,0,0.01,0,120,"d","in","cont","value")</f>
        <v>0.999500124979169</v>
      </c>
      <c r="B25260" s="0" t="s">
        <v>25084</v>
      </c>
    </row>
    <row r="25261" customFormat="false" ht="15" hidden="false" customHeight="false" outlineLevel="0" collapsed="false">
      <c r="A25261" s="0" t="n">
        <f aca="false">OPT_TOUCH(60,0.5,0,0.02,0.5,90,120,"d","in","c","a")</f>
        <v>0</v>
      </c>
      <c r="B25261" s="0" t="s">
        <v>25085</v>
      </c>
    </row>
    <row r="25262" customFormat="false" ht="15" hidden="false" customHeight="false" outlineLevel="0" collapsed="false">
      <c r="A25262" s="0" t="n">
        <f aca="false">OPT_TOUCH(100,0.3,0.02,0,5,0,120,"dom","in","c","o")</f>
        <v>-2.39055212149913</v>
      </c>
      <c r="B25262" s="0" t="s">
        <v>25086</v>
      </c>
    </row>
    <row r="25263" customFormat="false" ht="15" hidden="false" customHeight="false" outlineLevel="0" collapsed="false">
      <c r="A25263" s="0" t="n">
        <f aca="false">OPT_TOUCH(100.5,0.05,0.1,0,0.25,70,130,"f","out","cont","vega")</f>
        <v>-2.64982627228887E-015</v>
      </c>
      <c r="B25263" s="0" t="s">
        <v>25087</v>
      </c>
    </row>
    <row r="25264" customFormat="false" ht="15" hidden="false" customHeight="false" outlineLevel="0" collapsed="false">
      <c r="A25264" s="0" t="n">
        <f aca="false">OPT_TOUCH(100.5,0.1,-0.01,0.02,5,90,0,"for","o","c","price")</f>
        <v>19.9959945861558</v>
      </c>
      <c r="B25264" s="0" t="s">
        <v>25088</v>
      </c>
    </row>
    <row r="25265" customFormat="false" ht="15" hidden="false" customHeight="false" outlineLevel="0" collapsed="false">
      <c r="A25265" s="0" t="e">
        <f aca="false">OPT_TOUCH(120,0.5,0,0,0,95,105,"x","out","e","price")</f>
        <v>#VALUE!</v>
      </c>
      <c r="B25265" s="0" t="s">
        <v>25089</v>
      </c>
    </row>
    <row r="25266" customFormat="false" ht="15" hidden="false" customHeight="false" outlineLevel="0" collapsed="false">
      <c r="A25266" s="0" t="e">
        <f aca="false">OPT_TOUCH(100.5,0.2,0.02,0.05,5,0,120,"x","i","c","gamma")</f>
        <v>#VALUE!</v>
      </c>
      <c r="B25266" s="0" t="s">
        <v>25090</v>
      </c>
    </row>
    <row r="25267" customFormat="false" ht="15" hidden="false" customHeight="false" outlineLevel="0" collapsed="false">
      <c r="A25267" s="0" t="n">
        <f aca="false">OPT_TOUCH(150,0.1,-0.01,0.02,0.01,70,130,"d","o","cont","value")</f>
        <v>0</v>
      </c>
      <c r="B25267" s="0" t="s">
        <v>25091</v>
      </c>
    </row>
    <row r="25268" customFormat="false" ht="15" hidden="false" customHeight="false" outlineLevel="0" collapsed="false">
      <c r="A25268" s="0" t="n">
        <f aca="false">OPT_TOUCH(100,0.5,-0.01,0.05,0.5,120,90,"dom","out","cont","f")</f>
        <v>0</v>
      </c>
      <c r="B25268" s="0" t="s">
        <v>25092</v>
      </c>
    </row>
    <row r="25269" customFormat="false" ht="15" hidden="false" customHeight="false" outlineLevel="0" collapsed="false">
      <c r="A25269" s="0" t="n">
        <f aca="false">OPT_TOUCH(80,0.3,0.02,0.05,5,120,90,"dom","o","end","g")</f>
        <v>0</v>
      </c>
      <c r="B25269" s="0" t="s">
        <v>25093</v>
      </c>
    </row>
    <row r="25270" customFormat="false" ht="15" hidden="false" customHeight="false" outlineLevel="0" collapsed="false">
      <c r="A25270" s="0" t="e">
        <f aca="false">OPT_TOUCH(80,0.05,0.02,0.05,5,90,120,"x","out","c","price")</f>
        <v>#VALUE!</v>
      </c>
      <c r="B25270" s="0" t="s">
        <v>25094</v>
      </c>
    </row>
    <row r="25271" customFormat="false" ht="15" hidden="false" customHeight="false" outlineLevel="0" collapsed="false">
      <c r="A25271" s="0" t="e">
        <f aca="false">OPT_TOUCH(100,0.1,0.02,-0.02,0.25,95,105,"dom","out","c","")</f>
        <v>#VALUE!</v>
      </c>
      <c r="B25271" s="0" t="s">
        <v>25095</v>
      </c>
    </row>
    <row r="25272" customFormat="false" ht="15" hidden="false" customHeight="false" outlineLevel="0" collapsed="false">
      <c r="A25272" s="0" t="n">
        <f aca="false">OPT_TOUCH(120,0.3,0.1,-0.02,2,95,105,"for","i","end","a")</f>
        <v>-0.747638751306116</v>
      </c>
      <c r="B25272" s="0" t="s">
        <v>25096</v>
      </c>
    </row>
    <row r="25273" customFormat="false" ht="15" hidden="false" customHeight="false" outlineLevel="0" collapsed="false">
      <c r="A25273" s="0" t="n">
        <f aca="false">OPT_TOUCH(150,0.1,0.1,-0.02,5,90,0,"dom","i","c","f")</f>
        <v>0.000299953499005857</v>
      </c>
      <c r="B25273" s="0" t="s">
        <v>25097</v>
      </c>
    </row>
    <row r="25274" customFormat="false" ht="15" hidden="false" customHeight="false" outlineLevel="0" collapsed="false">
      <c r="A25274" s="0" t="e">
        <f aca="false">OPT_TOUCH(100,0.2,0.1,-0.02,0,95,105,"x","in","e","delta")</f>
        <v>#VALUE!</v>
      </c>
      <c r="B25274" s="0" t="s">
        <v>25098</v>
      </c>
    </row>
    <row r="25275" customFormat="false" ht="15" hidden="false" customHeight="false" outlineLevel="0" collapsed="false">
      <c r="A25275" s="0" t="n">
        <f aca="false">OPT_TOUCH(60,0.5,0.1,0,1,120,90,"for","out","end","rho")</f>
        <v>0</v>
      </c>
      <c r="B25275" s="0" t="s">
        <v>25099</v>
      </c>
    </row>
    <row r="25276" customFormat="false" ht="15" hidden="false" customHeight="false" outlineLevel="0" collapsed="false">
      <c r="A25276" s="0" t="n">
        <f aca="false">OPT_TOUCH(100,0.05,0,0,2,90,120,"d","i","e","g")</f>
        <v>0.00489143442956401</v>
      </c>
      <c r="B25276" s="0" t="s">
        <v>25100</v>
      </c>
    </row>
    <row r="25277" customFormat="false" ht="15" hidden="false" customHeight="false" outlineLevel="0" collapsed="false">
      <c r="A25277" s="0" t="n">
        <f aca="false">OPT_TOUCH(60,0.5,0,0.02,0.01,0,120,"f","out","e","rhof")</f>
        <v>-0.5998800119992</v>
      </c>
      <c r="B25277" s="0" t="s">
        <v>25101</v>
      </c>
    </row>
    <row r="25278" customFormat="false" ht="15" hidden="false" customHeight="false" outlineLevel="0" collapsed="false">
      <c r="A25278" s="0" t="n">
        <f aca="false">OPT_TOUCH(100.5,0.5,-0.01,0,0.01,120,90,"dom","out","end","rho")</f>
        <v>0</v>
      </c>
      <c r="B25278" s="0" t="s">
        <v>25102</v>
      </c>
    </row>
    <row r="25279" customFormat="false" ht="15" hidden="false" customHeight="false" outlineLevel="0" collapsed="false">
      <c r="A25279" s="0" t="n">
        <f aca="false">OPT_TOUCH(120,0.5,0.05,0.02,2,120,90,"dom","i","e","value")</f>
        <v>0.90483741803596</v>
      </c>
      <c r="B25279" s="0" t="s">
        <v>25103</v>
      </c>
    </row>
    <row r="25280" customFormat="false" ht="15" hidden="false" customHeight="false" outlineLevel="0" collapsed="false">
      <c r="A25280" s="0" t="n">
        <f aca="false">OPT_TOUCH(150,0.05,0.05,0.05,0.5,90,120,"for","o","end","e")</f>
        <v>1.47104015085749E-005</v>
      </c>
      <c r="B25280" s="0" t="s">
        <v>25104</v>
      </c>
    </row>
    <row r="25281" customFormat="false" ht="15" hidden="false" customHeight="false" outlineLevel="0" collapsed="false">
      <c r="A25281" s="0" t="n">
        <f aca="false">OPT_TOUCH(60,0.1,0.05,0,1,90,120,"for","in","e","d")</f>
        <v>0.991185580776666</v>
      </c>
      <c r="B25281" s="0" t="s">
        <v>25105</v>
      </c>
    </row>
    <row r="25282" customFormat="false" ht="15" hidden="false" customHeight="false" outlineLevel="0" collapsed="false">
      <c r="A25282" s="0" t="n">
        <f aca="false">OPT_TOUCH(100.5,0.2,0.05,0.02,1,0,0,"f","i","c","rhof")</f>
        <v>0</v>
      </c>
      <c r="B25282" s="0" t="s">
        <v>25106</v>
      </c>
    </row>
    <row r="25283" customFormat="false" ht="15" hidden="false" customHeight="false" outlineLevel="0" collapsed="false">
      <c r="A25283" s="0" t="e">
        <f aca="false">OPT_TOUCH(80,0.3,0.02,0.02,0,0,0,"x","out","e","rho")</f>
        <v>#VALUE!</v>
      </c>
      <c r="B25283" s="0" t="s">
        <v>25107</v>
      </c>
    </row>
    <row r="25284" customFormat="false" ht="15" hidden="false" customHeight="false" outlineLevel="0" collapsed="false">
      <c r="A25284" s="0" t="n">
        <f aca="false">OPT_TOUCH(60,0.2,0.05,-0.02,0,85,115,"for","out","c","g")</f>
        <v>0</v>
      </c>
      <c r="B25284" s="0" t="s">
        <v>25108</v>
      </c>
    </row>
    <row r="25285" customFormat="false" ht="15" hidden="false" customHeight="false" outlineLevel="0" collapsed="false">
      <c r="A25285" s="0" t="e">
        <f aca="false">OPT_TOUCH(95,0.1,0.02,-0.02,0.5,70,130,"x","i","cont",TRUE())</f>
        <v>#VALUE!</v>
      </c>
      <c r="B25285" s="0" t="s">
        <v>25109</v>
      </c>
    </row>
    <row r="25286" customFormat="false" ht="15" hidden="false" customHeight="false" outlineLevel="0" collapsed="false">
      <c r="A25286" s="0" t="e">
        <f aca="false">OPT_TOUCH(100,0.05,0.02,0.02,1,0,120,"for","out","c",TRUE())</f>
        <v>#VALUE!</v>
      </c>
      <c r="B25286" s="0" t="s">
        <v>25110</v>
      </c>
    </row>
    <row r="25287" customFormat="false" ht="15" hidden="false" customHeight="false" outlineLevel="0" collapsed="false">
      <c r="A25287" s="0" t="n">
        <f aca="false">OPT_TOUCH(60,0.05,0.05,0.02,0.5,120,90,"d","in","end","o")</f>
        <v>0</v>
      </c>
      <c r="B25287" s="0" t="s">
        <v>25111</v>
      </c>
    </row>
    <row r="25288" customFormat="false" ht="15" hidden="false" customHeight="false" outlineLevel="0" collapsed="false">
      <c r="A25288" s="0" t="n">
        <f aca="false">OPT_TOUCH(60,0.5,0.02,-0.02,2,0,120,"f","out","e","a")</f>
        <v>-0.504418284212699</v>
      </c>
      <c r="B25288" s="0" t="s">
        <v>25112</v>
      </c>
    </row>
    <row r="25289" customFormat="false" ht="15" hidden="false" customHeight="false" outlineLevel="0" collapsed="false">
      <c r="A25289" s="0" t="e">
        <f aca="false">OPT_TOUCH(120,0.1,0.1,0.02,5,90,120,"d","o","cont",TRUE())</f>
        <v>#VALUE!</v>
      </c>
      <c r="B25289" s="0" t="s">
        <v>25113</v>
      </c>
    </row>
    <row r="25290" customFormat="false" ht="15" hidden="false" customHeight="false" outlineLevel="0" collapsed="false">
      <c r="A25290" s="0" t="n">
        <f aca="false">OPT_TOUCH(100,0.1,0,0,0.01,90,120,"dom","o","cont","e")</f>
        <v>-6.95548249848263E-023</v>
      </c>
      <c r="B25290" s="0" t="s">
        <v>25114</v>
      </c>
    </row>
    <row r="25291" customFormat="false" ht="15" hidden="false" customHeight="false" outlineLevel="0" collapsed="false">
      <c r="A25291" s="0" t="n">
        <f aca="false">OPT_TOUCH(100,0.05,-0.01,0.05,0.25,0,120,"for","in","e","d")</f>
        <v>5.17585974080248E-013</v>
      </c>
      <c r="B25291" s="0" t="s">
        <v>25115</v>
      </c>
    </row>
    <row r="25292" customFormat="false" ht="15" hidden="false" customHeight="false" outlineLevel="0" collapsed="false">
      <c r="A25292" s="0" t="n">
        <f aca="false">OPT_TOUCH(120,0.2,0,0,1,85,115,"for","o","end","volga")</f>
        <v>-789.689426066765</v>
      </c>
      <c r="B25292" s="0" t="s">
        <v>25116</v>
      </c>
    </row>
    <row r="25293" customFormat="false" ht="15" hidden="false" customHeight="false" outlineLevel="0" collapsed="false">
      <c r="A25293" s="0" t="n">
        <f aca="false">OPT_TOUCH(95,0.2,0,0,2,85,115,"dom","o","cont","d")</f>
        <v>0.000803773214771667</v>
      </c>
      <c r="B25293" s="0" t="s">
        <v>25117</v>
      </c>
    </row>
    <row r="25294" customFormat="false" ht="15" hidden="false" customHeight="false" outlineLevel="0" collapsed="false">
      <c r="A25294" s="0" t="n">
        <f aca="false">OPT_TOUCH(100.5,0.5,-0.01,0,0.01,85,115,"f","o","end","d")</f>
        <v>0.798450948978717</v>
      </c>
      <c r="B25294" s="0" t="s">
        <v>25118</v>
      </c>
    </row>
    <row r="25295" customFormat="false" ht="15" hidden="false" customHeight="false" outlineLevel="0" collapsed="false">
      <c r="A25295" s="0" t="e">
        <f aca="false">OPT_TOUCH(100.5,0.1,0,-0.02,0.01,70,130,"for","o","end",TRUE())</f>
        <v>#VALUE!</v>
      </c>
      <c r="B25295" s="0" t="s">
        <v>25119</v>
      </c>
    </row>
    <row r="25296" customFormat="false" ht="15" hidden="false" customHeight="false" outlineLevel="0" collapsed="false">
      <c r="A25296" s="0" t="n">
        <f aca="false">OPT_TOUCH(100,0.2,0.02,-0.02,0,90,0,"d","o","cont","f")</f>
        <v>0</v>
      </c>
      <c r="B25296" s="0" t="s">
        <v>25120</v>
      </c>
    </row>
    <row r="25297" customFormat="false" ht="15" hidden="false" customHeight="false" outlineLevel="0" collapsed="false">
      <c r="A25297" s="0" t="e">
        <f aca="false">OPT_TOUCH(100.5,0.5,0.05,0,0.01,85,115,"f","i","e","")</f>
        <v>#VALUE!</v>
      </c>
      <c r="B25297" s="0" t="s">
        <v>25121</v>
      </c>
    </row>
    <row r="25298" customFormat="false" ht="15" hidden="false" customHeight="false" outlineLevel="0" collapsed="false">
      <c r="A25298" s="0" t="n">
        <f aca="false">OPT_TOUCH(95,0.05,0,0,0,90,0,"dom","in","end","e")</f>
        <v>0</v>
      </c>
      <c r="B25298" s="0" t="s">
        <v>25122</v>
      </c>
    </row>
    <row r="25299" customFormat="false" ht="15" hidden="false" customHeight="false" outlineLevel="0" collapsed="false">
      <c r="A25299" s="0" t="n">
        <f aca="false">OPT_TOUCH(120,0.1,0,0.05,5,90,120,"d","o","end","value")</f>
        <v>0.413235264505457</v>
      </c>
      <c r="B25299" s="0" t="s">
        <v>25123</v>
      </c>
    </row>
    <row r="25300" customFormat="false" ht="15" hidden="false" customHeight="false" outlineLevel="0" collapsed="false">
      <c r="A25300" s="0" t="n">
        <f aca="false">OPT_TOUCH(60,0.05,-0.01,-0.02,1,90,120,"for","in","cont","rho")</f>
        <v>0</v>
      </c>
      <c r="B25300" s="0" t="s">
        <v>25124</v>
      </c>
    </row>
    <row r="25301" customFormat="false" ht="15" hidden="false" customHeight="false" outlineLevel="0" collapsed="false">
      <c r="A25301" s="0" t="n">
        <f aca="false">OPT_TOUCH(150,0.05,0.05,-0.02,1,120,90,"dom","i","end","g")</f>
        <v>0</v>
      </c>
      <c r="B25301" s="0" t="s">
        <v>25125</v>
      </c>
    </row>
    <row r="25302" customFormat="false" ht="15" hidden="false" customHeight="false" outlineLevel="0" collapsed="false">
      <c r="A25302" s="0" t="n">
        <f aca="false">OPT_TOUCH(80,0.3,0.02,0,0.5,120,90,"for","i","cont","d")</f>
        <v>1</v>
      </c>
      <c r="B25302" s="0" t="s">
        <v>25126</v>
      </c>
    </row>
    <row r="25303" customFormat="false" ht="15" hidden="false" customHeight="false" outlineLevel="0" collapsed="false">
      <c r="A25303" s="0" t="e">
        <f aca="false">OPT_TOUCH(150,0.5,0,0.02,0.25,90,0,"x","in","e","g")</f>
        <v>#VALUE!</v>
      </c>
      <c r="B25303" s="0" t="s">
        <v>25127</v>
      </c>
    </row>
    <row r="25304" customFormat="false" ht="15" hidden="false" customHeight="false" outlineLevel="0" collapsed="false">
      <c r="A25304" s="0" t="e">
        <f aca="false">OPT_TOUCH(60,0.5,0.05,0.05,0.25,70,130,"d","o","cont",1)</f>
        <v>#VALUE!</v>
      </c>
      <c r="B25304" s="0" t="s">
        <v>25128</v>
      </c>
    </row>
    <row r="25305" customFormat="false" ht="15" hidden="false" customHeight="false" outlineLevel="0" collapsed="false">
      <c r="A25305" s="0" t="n">
        <f aca="false">OPT_TOUCH(120,0.3,0.02,0.02,5,85,115,"d","i","c")</f>
        <v>0.90483741803596</v>
      </c>
      <c r="B25305" s="0" t="s">
        <v>25129</v>
      </c>
    </row>
    <row r="25306" customFormat="false" ht="15" hidden="false" customHeight="false" outlineLevel="0" collapsed="false">
      <c r="A25306" s="0" t="n">
        <f aca="false">OPT_TOUCH(150,0.1,0,-0.02,1,0,0,"f","in","end","vega")</f>
        <v>0</v>
      </c>
      <c r="B25306" s="0" t="s">
        <v>25130</v>
      </c>
    </row>
    <row r="25307" customFormat="false" ht="15" hidden="false" customHeight="false" outlineLevel="0" collapsed="false">
      <c r="A25307" s="0" t="n">
        <f aca="false">OPT_TOUCH(150,0.2,-0.01,0.05,0.5,85,115,"d","o","c","theta")</f>
        <v>0</v>
      </c>
      <c r="B25307" s="0" t="s">
        <v>25131</v>
      </c>
    </row>
    <row r="25308" customFormat="false" ht="15" hidden="false" customHeight="false" outlineLevel="0" collapsed="false">
      <c r="A25308" s="0" t="n">
        <f aca="false">OPT_TOUCH(100.5,0.3,0.02,0,0.25,0,120,"dom","in","e")</f>
        <v>0.109945113039005</v>
      </c>
      <c r="B25308" s="0" t="s">
        <v>25132</v>
      </c>
    </row>
    <row r="25309" customFormat="false" ht="15" hidden="false" customHeight="false" outlineLevel="0" collapsed="false">
      <c r="A25309" s="0" t="n">
        <f aca="false">OPT_TOUCH(100.5,0.2,-0.01,0.02,0.25,0,0,"d","i","c","o")</f>
        <v>0</v>
      </c>
      <c r="B25309" s="0" t="s">
        <v>25133</v>
      </c>
    </row>
    <row r="25310" customFormat="false" ht="15" hidden="false" customHeight="false" outlineLevel="0" collapsed="false">
      <c r="A25310" s="0" t="n">
        <f aca="false">OPT_TOUCH(100.5,0.05,0.1,-0.02,2,90,120,"f","out","end","theta")</f>
        <v>40.1358833933472</v>
      </c>
      <c r="B25310" s="0" t="s">
        <v>25134</v>
      </c>
    </row>
    <row r="25311" customFormat="false" ht="15" hidden="false" customHeight="false" outlineLevel="0" collapsed="false">
      <c r="A25311" s="0" t="e">
        <f aca="false">OPT_TOUCH(60,0.05,0,-0.02,0.5,90,120,"for","i","end","")</f>
        <v>#VALUE!</v>
      </c>
      <c r="B25311" s="0" t="s">
        <v>25135</v>
      </c>
    </row>
    <row r="25312" customFormat="false" ht="15" hidden="false" customHeight="false" outlineLevel="0" collapsed="false">
      <c r="A25312" s="0" t="n">
        <f aca="false">OPT_TOUCH(100.5,0.3,0,0,5,90,0,"for","in","c","volga")</f>
        <v>-269.744868652757</v>
      </c>
      <c r="B25312" s="0" t="s">
        <v>25136</v>
      </c>
    </row>
    <row r="25313" customFormat="false" ht="15" hidden="false" customHeight="false" outlineLevel="0" collapsed="false">
      <c r="A25313" s="0" t="n">
        <f aca="false">OPT_TOUCH(80,0.2,-0.01,0.05,5,90,0,"d","o","cont","vega")</f>
        <v>0</v>
      </c>
      <c r="B25313" s="0" t="s">
        <v>25137</v>
      </c>
    </row>
    <row r="25314" customFormat="false" ht="15" hidden="false" customHeight="false" outlineLevel="0" collapsed="false">
      <c r="A25314" s="0" t="e">
        <f aca="false">OPT_TOUCH(120,0.2,0.02,0.02,0,0,0,"x","out","end","vanna")</f>
        <v>#VALUE!</v>
      </c>
      <c r="B25314" s="0" t="s">
        <v>25138</v>
      </c>
    </row>
    <row r="25315" customFormat="false" ht="15" hidden="false" customHeight="false" outlineLevel="0" collapsed="false">
      <c r="A25315" s="0" t="e">
        <f aca="false">OPT_TOUCH(100,0.1,0.05,0.02,0,85,115,"x","i","end","gamma")</f>
        <v>#VALUE!</v>
      </c>
      <c r="B25315" s="0" t="s">
        <v>25139</v>
      </c>
    </row>
    <row r="25316" customFormat="false" ht="15" hidden="false" customHeight="false" outlineLevel="0" collapsed="false">
      <c r="A25316" s="0" t="n">
        <f aca="false">OPT_TOUCH(60,0.3,0,0.02,0.01,120,90,"dom","in","cont","volga")</f>
        <v>0</v>
      </c>
      <c r="B25316" s="0" t="s">
        <v>25140</v>
      </c>
    </row>
    <row r="25317" customFormat="false" ht="15" hidden="false" customHeight="false" outlineLevel="0" collapsed="false">
      <c r="A25317" s="0" t="n">
        <f aca="false">OPT_PROB_HIT(120,0.3,0.1,0.5,0,120)</f>
        <v>1</v>
      </c>
      <c r="B25317" s="0" t="s">
        <v>25141</v>
      </c>
    </row>
    <row r="25318" customFormat="false" ht="15" hidden="false" customHeight="false" outlineLevel="0" collapsed="false">
      <c r="A25318" s="0" t="n">
        <f aca="false">OPT_PROB_INMONEY(120,0.3,0.1,0.5,0,120,,"p")</f>
        <v>0.448427113624519</v>
      </c>
      <c r="B25318" s="0" t="s">
        <v>25142</v>
      </c>
    </row>
    <row r="25319" customFormat="false" ht="15" hidden="false" customHeight="false" outlineLevel="0" collapsed="false">
      <c r="A25319" s="0" t="n">
        <f aca="false">OPT_PROB_HIT(150,0.3,-0.02,0,90,0)</f>
        <v>0</v>
      </c>
      <c r="B25319" s="0" t="s">
        <v>25143</v>
      </c>
    </row>
    <row r="25320" customFormat="false" ht="15" hidden="false" customHeight="false" outlineLevel="0" collapsed="false">
      <c r="A25320" s="0" t="e">
        <f aca="false">OPT_PROB_INMONEY(150,0.3,-0.02,0,90,0,"a","c")</f>
        <v>#VALUE!</v>
      </c>
      <c r="B25320" s="0" t="s">
        <v>25144</v>
      </c>
    </row>
    <row r="25321" customFormat="false" ht="15" hidden="false" customHeight="false" outlineLevel="0" collapsed="false">
      <c r="A25321" s="0" t="n">
        <f aca="false">OPT_PROB_HIT(80,0.3,0.05,5,90,120)</f>
        <v>1</v>
      </c>
      <c r="B25321" s="0" t="s">
        <v>25145</v>
      </c>
    </row>
    <row r="25322" customFormat="false" ht="15" hidden="false" customHeight="false" outlineLevel="0" collapsed="false">
      <c r="A25322" s="0" t="e">
        <f aca="false">OPT_PROB_INMONEY(80,0.3,0.05,5,90,120,110,"")</f>
        <v>#VALUE!</v>
      </c>
      <c r="B25322" s="0" t="s">
        <v>25146</v>
      </c>
    </row>
    <row r="25323" customFormat="false" ht="15" hidden="false" customHeight="false" outlineLevel="0" collapsed="false">
      <c r="A25323" s="0" t="n">
        <f aca="false">OPT_PROB_HIT(100,0.2,0.05,1,90,0)</f>
        <v>0.550799043768813</v>
      </c>
      <c r="B25323" s="0" t="s">
        <v>25147</v>
      </c>
    </row>
    <row r="25324" customFormat="false" ht="15" hidden="false" customHeight="false" outlineLevel="0" collapsed="false">
      <c r="A25324" s="0" t="e">
        <f aca="false">OPT_PROB_INMONEY(100,0.2,0.05,1,90,0,"a","p")</f>
        <v>#VALUE!</v>
      </c>
      <c r="B25324" s="0" t="s">
        <v>25148</v>
      </c>
    </row>
    <row r="25325" customFormat="false" ht="15" hidden="false" customHeight="false" outlineLevel="0" collapsed="false">
      <c r="A25325" s="0" t="n">
        <f aca="false">OPT_PROB_HIT(80,0.5,-0.02,1,0,0)</f>
        <v>0</v>
      </c>
      <c r="B25325" s="0" t="s">
        <v>25149</v>
      </c>
    </row>
    <row r="25326" customFormat="false" ht="15" hidden="false" customHeight="false" outlineLevel="0" collapsed="false">
      <c r="A25326" s="0" t="n">
        <f aca="false">OPT_PROB_INMONEY(80,0.5,-0.02,1,0,0,,"p")</f>
        <v>1</v>
      </c>
      <c r="B25326" s="0" t="s">
        <v>25150</v>
      </c>
    </row>
    <row r="25327" customFormat="false" ht="15" hidden="false" customHeight="false" outlineLevel="0" collapsed="false">
      <c r="A25327" s="0" t="n">
        <f aca="false">OPT_PROB_HIT(100,0.1,0,0.5,0,0)</f>
        <v>0</v>
      </c>
      <c r="B25327" s="0" t="s">
        <v>25151</v>
      </c>
    </row>
    <row r="25328" customFormat="false" ht="15" hidden="false" customHeight="false" outlineLevel="0" collapsed="false">
      <c r="A25328" s="0" t="n">
        <f aca="false">OPT_PROB_INMONEY(100,0.1,0,0.5,0,0,TRUE(),"c")</f>
        <v>1</v>
      </c>
      <c r="B25328" s="0" t="s">
        <v>25152</v>
      </c>
    </row>
    <row r="25329" customFormat="false" ht="15" hidden="false" customHeight="false" outlineLevel="0" collapsed="false">
      <c r="A25329" s="0" t="n">
        <f aca="false">OPT_PROB_HIT(60,0.3,0,0,90,120)</f>
        <v>1</v>
      </c>
      <c r="B25329" s="0" t="s">
        <v>25153</v>
      </c>
    </row>
    <row r="25330" customFormat="false" ht="15" hidden="false" customHeight="false" outlineLevel="0" collapsed="false">
      <c r="A25330" s="0" t="e">
        <f aca="false">OPT_PROB_INMONEY(60,0.3,0,0,90,120,"a","")</f>
        <v>#VALUE!</v>
      </c>
      <c r="B25330" s="0" t="s">
        <v>25154</v>
      </c>
    </row>
    <row r="25331" customFormat="false" ht="15" hidden="false" customHeight="false" outlineLevel="0" collapsed="false">
      <c r="A25331" s="0" t="n">
        <f aca="false">OPT_PROB_HIT(120,0.2,-0.02,0.5,70,130)</f>
        <v>0.52582484949887</v>
      </c>
      <c r="B25331" s="0" t="s">
        <v>25155</v>
      </c>
    </row>
    <row r="25332" customFormat="false" ht="15" hidden="false" customHeight="false" outlineLevel="0" collapsed="false">
      <c r="A25332" s="0" t="n">
        <f aca="false">OPT_PROB_INMONEY(120,0.2,-0.02,0.5,70,130,TRUE(),"call")</f>
        <v>0.760222413853944</v>
      </c>
      <c r="B25332" s="0" t="s">
        <v>25156</v>
      </c>
    </row>
    <row r="25333" customFormat="false" ht="15" hidden="false" customHeight="false" outlineLevel="0" collapsed="false">
      <c r="A25333" s="0" t="n">
        <f aca="false">OPT_PROB_HIT(95,0.3,0,5,120,90)</f>
        <v>1</v>
      </c>
      <c r="B25333" s="0" t="s">
        <v>25157</v>
      </c>
    </row>
    <row r="25334" customFormat="false" ht="15" hidden="false" customHeight="false" outlineLevel="0" collapsed="false">
      <c r="A25334" s="0" t="e">
        <f aca="false">OPT_PROB_INMONEY(95,0.3,0,5,120,90,,"")</f>
        <v>#VALUE!</v>
      </c>
      <c r="B25334" s="0" t="s">
        <v>25158</v>
      </c>
    </row>
    <row r="25335" customFormat="false" ht="15" hidden="false" customHeight="false" outlineLevel="0" collapsed="false">
      <c r="A25335" s="0" t="n">
        <f aca="false">OPT_PROB_HIT(150,0.2,0.1,1,0,0)</f>
        <v>0</v>
      </c>
      <c r="B25335" s="0" t="s">
        <v>25159</v>
      </c>
    </row>
    <row r="25336" customFormat="false" ht="15" hidden="false" customHeight="false" outlineLevel="0" collapsed="false">
      <c r="A25336" s="0" t="n">
        <f aca="false">OPT_PROB_INMONEY(150,0.2,0.1,1,0,0,100,"call")</f>
        <v>0.992394699779997</v>
      </c>
      <c r="B25336" s="0" t="s">
        <v>25160</v>
      </c>
    </row>
    <row r="25337" customFormat="false" ht="15" hidden="false" customHeight="false" outlineLevel="0" collapsed="false">
      <c r="A25337" s="0" t="n">
        <f aca="false">OPT_PROB_HIT(80,0.1,0,0.5,85,115)</f>
        <v>1</v>
      </c>
      <c r="B25337" s="0" t="s">
        <v>25161</v>
      </c>
    </row>
    <row r="25338" customFormat="false" ht="15" hidden="false" customHeight="false" outlineLevel="0" collapsed="false">
      <c r="A25338" s="0" t="e">
        <f aca="false">OPT_PROB_INMONEY(80,0.1,0,0.5,85,115,90,1)</f>
        <v>#VALUE!</v>
      </c>
      <c r="B25338" s="0" t="s">
        <v>25162</v>
      </c>
    </row>
    <row r="25339" customFormat="false" ht="15" hidden="false" customHeight="false" outlineLevel="0" collapsed="false">
      <c r="A25339" s="0" t="n">
        <f aca="false">OPT_PROB_HIT(100,0.3,-0.02,1,90,0)</f>
        <v>0.778409990909886</v>
      </c>
      <c r="B25339" s="0" t="s">
        <v>25163</v>
      </c>
    </row>
    <row r="25340" customFormat="false" ht="15" hidden="false" customHeight="false" outlineLevel="0" collapsed="false">
      <c r="A25340" s="0" t="e">
        <f aca="false">OPT_PROB_INMONEY(100,0.3,-0.02,1,90,0,100,"x")</f>
        <v>#VALUE!</v>
      </c>
      <c r="B25340" s="0" t="s">
        <v>25164</v>
      </c>
    </row>
    <row r="25341" customFormat="false" ht="15" hidden="false" customHeight="false" outlineLevel="0" collapsed="false">
      <c r="A25341" s="0" t="n">
        <f aca="false">OPT_PROB_HIT(80,0.2,0.05,1,85,115)</f>
        <v>1</v>
      </c>
      <c r="B25341" s="0" t="s">
        <v>25165</v>
      </c>
    </row>
    <row r="25342" customFormat="false" ht="15" hidden="false" customHeight="false" outlineLevel="0" collapsed="false">
      <c r="A25342" s="0" t="e">
        <f aca="false">OPT_PROB_INMONEY(80,0.2,0.05,1,85,115,,1)</f>
        <v>#VALUE!</v>
      </c>
      <c r="B25342" s="0" t="s">
        <v>25166</v>
      </c>
    </row>
    <row r="25343" customFormat="false" ht="15" hidden="false" customHeight="false" outlineLevel="0" collapsed="false">
      <c r="A25343" s="0" t="n">
        <f aca="false">OPT_PROB_HIT(95,0.2,0.05,5,0,0)</f>
        <v>0</v>
      </c>
      <c r="B25343" s="0" t="s">
        <v>25167</v>
      </c>
    </row>
    <row r="25344" customFormat="false" ht="15" hidden="false" customHeight="false" outlineLevel="0" collapsed="false">
      <c r="A25344" s="0" t="n">
        <f aca="false">OPT_PROB_INMONEY(95,0.2,0.05,5,0,0,0,"put")</f>
        <v>0</v>
      </c>
      <c r="B25344" s="0" t="s">
        <v>25168</v>
      </c>
    </row>
    <row r="25345" customFormat="false" ht="15" hidden="false" customHeight="false" outlineLevel="0" collapsed="false">
      <c r="A25345" s="0" t="n">
        <f aca="false">OPT_PROB_HIT(95,0.3,0.05,0.5,0,0)</f>
        <v>0</v>
      </c>
      <c r="B25345" s="0" t="s">
        <v>25169</v>
      </c>
    </row>
    <row r="25346" customFormat="false" ht="15" hidden="false" customHeight="false" outlineLevel="0" collapsed="false">
      <c r="A25346" s="0" t="e">
        <f aca="false">OPT_PROB_INMONEY(95,0.3,0.05,0.5,0,0,110,"x")</f>
        <v>#VALUE!</v>
      </c>
      <c r="B25346" s="0" t="s">
        <v>25170</v>
      </c>
    </row>
    <row r="25347" customFormat="false" ht="15" hidden="false" customHeight="false" outlineLevel="0" collapsed="false">
      <c r="A25347" s="0" t="n">
        <f aca="false">OPT_PROB_HIT(60,0.3,-0.02,0,70,130)</f>
        <v>1</v>
      </c>
      <c r="B25347" s="0" t="s">
        <v>25171</v>
      </c>
    </row>
    <row r="25348" customFormat="false" ht="15" hidden="false" customHeight="false" outlineLevel="0" collapsed="false">
      <c r="A25348" s="0" t="e">
        <f aca="false">OPT_PROB_INMONEY(60,0.3,-0.02,0,70,130,110,"x")</f>
        <v>#VALUE!</v>
      </c>
      <c r="B25348" s="0" t="s">
        <v>25172</v>
      </c>
    </row>
    <row r="25349" customFormat="false" ht="15" hidden="false" customHeight="false" outlineLevel="0" collapsed="false">
      <c r="A25349" s="0" t="n">
        <f aca="false">OPT_PROB_HIT(100,0.3,-0.02,2,0,0)</f>
        <v>0</v>
      </c>
      <c r="B25349" s="0" t="s">
        <v>25173</v>
      </c>
    </row>
    <row r="25350" customFormat="false" ht="15" hidden="false" customHeight="false" outlineLevel="0" collapsed="false">
      <c r="A25350" s="0" t="e">
        <f aca="false">OPT_PROB_INMONEY(100,0.3,-0.02,2,0,0,,1)</f>
        <v>#VALUE!</v>
      </c>
      <c r="B25350" s="0" t="s">
        <v>25174</v>
      </c>
    </row>
    <row r="25351" customFormat="false" ht="15" hidden="false" customHeight="false" outlineLevel="0" collapsed="false">
      <c r="A25351" s="0" t="n">
        <f aca="false">OPT_PROB_HIT(120,0.5,0,0,0,0)</f>
        <v>0</v>
      </c>
      <c r="B25351" s="0" t="s">
        <v>25175</v>
      </c>
    </row>
    <row r="25352" customFormat="false" ht="15" hidden="false" customHeight="false" outlineLevel="0" collapsed="false">
      <c r="A25352" s="0" t="e">
        <f aca="false">OPT_PROB_INMONEY(120,0.5,0,0,0,0,100,"")</f>
        <v>#VALUE!</v>
      </c>
      <c r="B25352" s="0" t="s">
        <v>25176</v>
      </c>
    </row>
    <row r="25353" customFormat="false" ht="15" hidden="false" customHeight="false" outlineLevel="0" collapsed="false">
      <c r="A25353" s="0" t="n">
        <f aca="false">OPT_PROB_HIT(150,0.2,0.05,0,70,130)</f>
        <v>1</v>
      </c>
      <c r="B25353" s="0" t="s">
        <v>25177</v>
      </c>
    </row>
    <row r="25354" customFormat="false" ht="15" hidden="false" customHeight="false" outlineLevel="0" collapsed="false">
      <c r="A25354" s="0" t="e">
        <f aca="false">OPT_PROB_INMONEY(150,0.2,0.05,0,70,130,90,1)</f>
        <v>#VALUE!</v>
      </c>
      <c r="B25354" s="0" t="s">
        <v>25178</v>
      </c>
    </row>
    <row r="25355" customFormat="false" ht="15" hidden="false" customHeight="false" outlineLevel="0" collapsed="false">
      <c r="A25355" s="0" t="n">
        <f aca="false">OPT_PROB_HIT(120,0.1,0.05,0.5,0,0)</f>
        <v>0</v>
      </c>
      <c r="B25355" s="0" t="s">
        <v>25179</v>
      </c>
    </row>
    <row r="25356" customFormat="false" ht="15" hidden="false" customHeight="false" outlineLevel="0" collapsed="false">
      <c r="A25356" s="0" t="n">
        <f aca="false">OPT_PROB_INMONEY(120,0.1,0.05,0.5,0,0,-1,"put")</f>
        <v>1</v>
      </c>
      <c r="B25356" s="0" t="s">
        <v>25180</v>
      </c>
    </row>
    <row r="25357" customFormat="false" ht="15" hidden="false" customHeight="false" outlineLevel="0" collapsed="false">
      <c r="A25357" s="0" t="n">
        <f aca="false">OPT_PROB_HIT(60,0.2,0.05,0,70,130)</f>
        <v>1</v>
      </c>
      <c r="B25357" s="0" t="s">
        <v>25181</v>
      </c>
    </row>
    <row r="25358" customFormat="false" ht="15" hidden="false" customHeight="false" outlineLevel="0" collapsed="false">
      <c r="A25358" s="0" t="n">
        <f aca="false">OPT_PROB_INMONEY(60,0.2,0.05,0,70,130,,"p")</f>
        <v>0</v>
      </c>
      <c r="B25358" s="0" t="s">
        <v>25182</v>
      </c>
    </row>
    <row r="25359" customFormat="false" ht="15" hidden="false" customHeight="false" outlineLevel="0" collapsed="false">
      <c r="A25359" s="0" t="n">
        <f aca="false">OPT_PROB_HIT(80,0.3,0.05,5,120,90)</f>
        <v>1</v>
      </c>
      <c r="B25359" s="0" t="s">
        <v>25183</v>
      </c>
    </row>
    <row r="25360" customFormat="false" ht="15" hidden="false" customHeight="false" outlineLevel="0" collapsed="false">
      <c r="A25360" s="0" t="n">
        <f aca="false">OPT_PROB_INMONEY(80,0.3,0.05,5,120,90,80,"call")</f>
        <v>0</v>
      </c>
      <c r="B25360" s="0" t="s">
        <v>25184</v>
      </c>
    </row>
    <row r="25361" customFormat="false" ht="15" hidden="false" customHeight="false" outlineLevel="0" collapsed="false">
      <c r="A25361" s="0" t="n">
        <f aca="false">OPT_PROB_HIT(150,0.1,-0.02,0.5,90,120)</f>
        <v>1</v>
      </c>
      <c r="B25361" s="0" t="s">
        <v>25185</v>
      </c>
    </row>
    <row r="25362" customFormat="false" ht="15" hidden="false" customHeight="false" outlineLevel="0" collapsed="false">
      <c r="A25362" s="0" t="n">
        <f aca="false">OPT_PROB_INMONEY(150,0.1,-0.02,0.5,90,120,80,"put")</f>
        <v>0</v>
      </c>
      <c r="B25362" s="0" t="s">
        <v>25186</v>
      </c>
    </row>
    <row r="25363" customFormat="false" ht="15" hidden="false" customHeight="false" outlineLevel="0" collapsed="false">
      <c r="A25363" s="0" t="n">
        <f aca="false">OPT_PROB_HIT(100,0.5,0.1,5,120,90)</f>
        <v>1</v>
      </c>
      <c r="B25363" s="0" t="s">
        <v>25187</v>
      </c>
    </row>
    <row r="25364" customFormat="false" ht="15" hidden="false" customHeight="false" outlineLevel="0" collapsed="false">
      <c r="A25364" s="0" t="e">
        <f aca="false">OPT_PROB_INMONEY(100,0.5,0.1,5,120,90,90,"x")</f>
        <v>#VALUE!</v>
      </c>
      <c r="B25364" s="0" t="s">
        <v>25188</v>
      </c>
    </row>
    <row r="25365" customFormat="false" ht="15" hidden="false" customHeight="false" outlineLevel="0" collapsed="false">
      <c r="A25365" s="0" t="n">
        <f aca="false">OPT_PROB_HIT(80,0.2,0.1,2,90,0)</f>
        <v>1</v>
      </c>
      <c r="B25365" s="0" t="s">
        <v>25189</v>
      </c>
    </row>
    <row r="25366" customFormat="false" ht="15" hidden="false" customHeight="false" outlineLevel="0" collapsed="false">
      <c r="A25366" s="0" t="n">
        <f aca="false">OPT_PROB_INMONEY(80,0.2,0.1,2,90,0,0,"c")</f>
        <v>0.55932556771717</v>
      </c>
      <c r="B25366" s="0" t="s">
        <v>25190</v>
      </c>
    </row>
    <row r="25367" customFormat="false" ht="15" hidden="false" customHeight="false" outlineLevel="0" collapsed="false">
      <c r="A25367" s="0" t="n">
        <f aca="false">OPT_PROB_HIT(120,0.5,0.1,0.5,0,0)</f>
        <v>0</v>
      </c>
      <c r="B25367" s="0" t="s">
        <v>25191</v>
      </c>
    </row>
    <row r="25368" customFormat="false" ht="15" hidden="false" customHeight="false" outlineLevel="0" collapsed="false">
      <c r="A25368" s="0" t="e">
        <f aca="false">OPT_PROB_INMONEY(120,0.5,0.1,0.5,0,0,"a","p")</f>
        <v>#VALUE!</v>
      </c>
      <c r="B25368" s="0" t="s">
        <v>25192</v>
      </c>
    </row>
    <row r="25369" customFormat="false" ht="15" hidden="false" customHeight="false" outlineLevel="0" collapsed="false">
      <c r="A25369" s="0" t="n">
        <f aca="false">OPT_PROB_HIT(120,0.2,0,2,0,0)</f>
        <v>0</v>
      </c>
      <c r="B25369" s="0" t="s">
        <v>25193</v>
      </c>
    </row>
    <row r="25370" customFormat="false" ht="15" hidden="false" customHeight="false" outlineLevel="0" collapsed="false">
      <c r="A25370" s="0" t="n">
        <f aca="false">OPT_PROB_INMONEY(120,0.2,0,2,0,0,0)</f>
        <v>1</v>
      </c>
      <c r="B25370" s="0" t="s">
        <v>25194</v>
      </c>
    </row>
    <row r="25371" customFormat="false" ht="15" hidden="false" customHeight="false" outlineLevel="0" collapsed="false">
      <c r="A25371" s="0" t="n">
        <f aca="false">OPT_PROB_HIT(60,0.3,0,0.5,90,120)</f>
        <v>1</v>
      </c>
      <c r="B25371" s="0" t="s">
        <v>25195</v>
      </c>
    </row>
    <row r="25372" customFormat="false" ht="15" hidden="false" customHeight="false" outlineLevel="0" collapsed="false">
      <c r="A25372" s="0" t="n">
        <f aca="false">OPT_PROB_INMONEY(60,0.3,0,0.5,90,120,TRUE())</f>
        <v>0.0214534805945403</v>
      </c>
      <c r="B25372" s="0" t="s">
        <v>25196</v>
      </c>
    </row>
    <row r="25373" customFormat="false" ht="15" hidden="false" customHeight="false" outlineLevel="0" collapsed="false">
      <c r="A25373" s="0" t="n">
        <f aca="false">OPT_PROB_HIT(150,0.3,-0.02,0.5,85,115)</f>
        <v>1</v>
      </c>
      <c r="B25373" s="0" t="s">
        <v>25197</v>
      </c>
    </row>
    <row r="25374" customFormat="false" ht="15" hidden="false" customHeight="false" outlineLevel="0" collapsed="false">
      <c r="A25374" s="0" t="e">
        <f aca="false">OPT_PROB_INMONEY(150,0.3,-0.02,0.5,85,115,100,1)</f>
        <v>#VALUE!</v>
      </c>
      <c r="B25374" s="0" t="s">
        <v>25198</v>
      </c>
    </row>
    <row r="25375" customFormat="false" ht="15" hidden="false" customHeight="false" outlineLevel="0" collapsed="false">
      <c r="A25375" s="0" t="n">
        <f aca="false">OPT_PROB_HIT(120,0.2,-0.02,1,90,0)</f>
        <v>0.197858520369662</v>
      </c>
      <c r="B25375" s="0" t="s">
        <v>25199</v>
      </c>
    </row>
    <row r="25376" customFormat="false" ht="15" hidden="false" customHeight="false" outlineLevel="0" collapsed="false">
      <c r="A25376" s="0" t="e">
        <f aca="false">OPT_PROB_INMONEY(120,0.2,-0.02,1,90,0,90,"x")</f>
        <v>#VALUE!</v>
      </c>
      <c r="B25376" s="0" t="s">
        <v>25200</v>
      </c>
    </row>
    <row r="25377" customFormat="false" ht="15" hidden="false" customHeight="false" outlineLevel="0" collapsed="false">
      <c r="A25377" s="0" t="n">
        <f aca="false">OPT_PROB_HIT(95,0.5,0.1,1,85,115)</f>
        <v>0.999998413507543</v>
      </c>
      <c r="B25377" s="0" t="s">
        <v>25201</v>
      </c>
    </row>
    <row r="25378" customFormat="false" ht="15" hidden="false" customHeight="false" outlineLevel="0" collapsed="false">
      <c r="A25378" s="0" t="n">
        <f aca="false">OPT_PROB_INMONEY(95,0.5,0.1,1,85,115,0)</f>
        <v>0.235628054526658</v>
      </c>
      <c r="B25378" s="0" t="s">
        <v>25202</v>
      </c>
    </row>
    <row r="25379" customFormat="false" ht="15" hidden="false" customHeight="false" outlineLevel="0" collapsed="false">
      <c r="A25379" s="0" t="n">
        <f aca="false">OPT_PROB_HIT(95,0.2,-0.02,0.5,0,120)</f>
        <v>0.0774863098663874</v>
      </c>
      <c r="B25379" s="0" t="s">
        <v>25203</v>
      </c>
    </row>
    <row r="25380" customFormat="false" ht="15" hidden="false" customHeight="false" outlineLevel="0" collapsed="false">
      <c r="A25380" s="0" t="n">
        <f aca="false">OPT_PROB_INMONEY(95,0.2,-0.02,0.5,0,120,-1,"p")</f>
        <v>0.963539738495272</v>
      </c>
      <c r="B25380" s="0" t="s">
        <v>25204</v>
      </c>
    </row>
    <row r="25381" customFormat="false" ht="15" hidden="false" customHeight="false" outlineLevel="0" collapsed="false">
      <c r="A25381" s="0" t="n">
        <f aca="false">OPT_PROB_HIT(100,0.2,0.05,2,0,120)</f>
        <v>0.590078905111543</v>
      </c>
      <c r="B25381" s="0" t="s">
        <v>25205</v>
      </c>
    </row>
    <row r="25382" customFormat="false" ht="15" hidden="false" customHeight="false" outlineLevel="0" collapsed="false">
      <c r="A25382" s="0" t="n">
        <f aca="false">OPT_PROB_INMONEY(100,0.2,0.05,2,0,120,TRUE(),"p")</f>
        <v>2.03051703267254E-061</v>
      </c>
      <c r="B25382" s="0" t="s">
        <v>25206</v>
      </c>
    </row>
    <row r="25383" customFormat="false" ht="15" hidden="false" customHeight="false" outlineLevel="0" collapsed="false">
      <c r="A25383" s="0" t="n">
        <f aca="false">OPT_PROB_HIT(95,0.1,0.05,0.5,90,120)</f>
        <v>0.343457274278145</v>
      </c>
      <c r="B25383" s="0" t="s">
        <v>25207</v>
      </c>
    </row>
    <row r="25384" customFormat="false" ht="15" hidden="false" customHeight="false" outlineLevel="0" collapsed="false">
      <c r="A25384" s="0" t="n">
        <f aca="false">OPT_PROB_INMONEY(95,0.1,0.05,0.5,90,120,110)</f>
        <v>0.0382070701473898</v>
      </c>
      <c r="B25384" s="0" t="s">
        <v>25208</v>
      </c>
    </row>
    <row r="25385" customFormat="false" ht="15" hidden="false" customHeight="false" outlineLevel="0" collapsed="false">
      <c r="A25385" s="0" t="n">
        <f aca="false">OPT_PROB_HIT(95,0.5,0.05,5,70,130)</f>
        <v>0.999999877146768</v>
      </c>
      <c r="B25385" s="0" t="s">
        <v>25209</v>
      </c>
    </row>
    <row r="25386" customFormat="false" ht="15" hidden="false" customHeight="false" outlineLevel="0" collapsed="false">
      <c r="A25386" s="0" t="e">
        <f aca="false">OPT_PROB_INMONEY(95,0.5,0.05,5,70,130,-1,"")</f>
        <v>#VALUE!</v>
      </c>
      <c r="B25386" s="0" t="s">
        <v>25210</v>
      </c>
    </row>
    <row r="25387" customFormat="false" ht="15" hidden="false" customHeight="false" outlineLevel="0" collapsed="false">
      <c r="A25387" s="0" t="n">
        <f aca="false">OPT_PROB_HIT(100,0.5,0.1,5,70,130)</f>
        <v>0.999999873842696</v>
      </c>
      <c r="B25387" s="0" t="s">
        <v>25211</v>
      </c>
    </row>
    <row r="25388" customFormat="false" ht="15" hidden="false" customHeight="false" outlineLevel="0" collapsed="false">
      <c r="A25388" s="0" t="n">
        <f aca="false">OPT_PROB_INMONEY(100,0.5,0.1,5,70,130,100)</f>
        <v>0.0909945566525389</v>
      </c>
      <c r="B25388" s="0" t="s">
        <v>25212</v>
      </c>
    </row>
    <row r="25389" customFormat="false" ht="15" hidden="false" customHeight="false" outlineLevel="0" collapsed="false">
      <c r="A25389" s="0" t="n">
        <f aca="false">OPT_PROB_HIT(60,0.2,-0.02,0.5,70,130)</f>
        <v>1</v>
      </c>
      <c r="B25389" s="0" t="s">
        <v>25213</v>
      </c>
    </row>
    <row r="25390" customFormat="false" ht="15" hidden="false" customHeight="false" outlineLevel="0" collapsed="false">
      <c r="A25390" s="0" t="e">
        <f aca="false">OPT_PROB_INMONEY(60,0.2,-0.02,0.5,70,130,"a","x")</f>
        <v>#VALUE!</v>
      </c>
      <c r="B25390" s="0" t="s">
        <v>25214</v>
      </c>
    </row>
    <row r="25391" customFormat="false" ht="15" hidden="false" customHeight="false" outlineLevel="0" collapsed="false">
      <c r="A25391" s="0" t="n">
        <f aca="false">OPT_PROB_HIT(100,0.3,-0.02,0,85,115)</f>
        <v>0</v>
      </c>
      <c r="B25391" s="0" t="s">
        <v>25215</v>
      </c>
    </row>
    <row r="25392" customFormat="false" ht="15" hidden="false" customHeight="false" outlineLevel="0" collapsed="false">
      <c r="A25392" s="0" t="e">
        <f aca="false">OPT_PROB_INMONEY(100,0.3,-0.02,0,85,115,,1)</f>
        <v>#VALUE!</v>
      </c>
      <c r="B25392" s="0" t="s">
        <v>25216</v>
      </c>
    </row>
    <row r="25393" customFormat="false" ht="15" hidden="false" customHeight="false" outlineLevel="0" collapsed="false">
      <c r="A25393" s="0" t="n">
        <f aca="false">OPT_PROB_HIT(100,0.1,0.05,1,85,115)</f>
        <v>0.332149119143917</v>
      </c>
      <c r="B25393" s="0" t="s">
        <v>25217</v>
      </c>
    </row>
    <row r="25394" customFormat="false" ht="15" hidden="false" customHeight="false" outlineLevel="0" collapsed="false">
      <c r="A25394" s="0" t="e">
        <f aca="false">OPT_PROB_INMONEY(100,0.1,0.05,1,85,115,"a",1)</f>
        <v>#VALUE!</v>
      </c>
      <c r="B25394" s="0" t="s">
        <v>25218</v>
      </c>
    </row>
    <row r="25395" customFormat="false" ht="15" hidden="false" customHeight="false" outlineLevel="0" collapsed="false">
      <c r="A25395" s="0" t="n">
        <f aca="false">OPT_PROB_HIT(95,0.3,0.1,2,0,120)</f>
        <v>0.663449640829434</v>
      </c>
      <c r="B25395" s="0" t="s">
        <v>25219</v>
      </c>
    </row>
    <row r="25396" customFormat="false" ht="15" hidden="false" customHeight="false" outlineLevel="0" collapsed="false">
      <c r="A25396" s="0" t="e">
        <f aca="false">OPT_PROB_INMONEY(95,0.3,0.1,2,0,120,0,1)</f>
        <v>#VALUE!</v>
      </c>
      <c r="B25396" s="0" t="s">
        <v>25220</v>
      </c>
    </row>
    <row r="25397" customFormat="false" ht="15" hidden="false" customHeight="false" outlineLevel="0" collapsed="false">
      <c r="A25397" s="0" t="n">
        <f aca="false">OPT_PROB_HIT(150,0.2,0.05,0.25,70,130)</f>
        <v>1</v>
      </c>
      <c r="B25397" s="0" t="s">
        <v>25221</v>
      </c>
    </row>
    <row r="25398" customFormat="false" ht="15" hidden="false" customHeight="false" outlineLevel="0" collapsed="false">
      <c r="A25398" s="0" t="e">
        <f aca="false">OPT_PROB_INMONEY(150,0.2,0.05,0.25,70,130,"a","x")</f>
        <v>#VALUE!</v>
      </c>
      <c r="B25398" s="0" t="s">
        <v>25222</v>
      </c>
    </row>
    <row r="25399" customFormat="false" ht="15" hidden="false" customHeight="false" outlineLevel="0" collapsed="false">
      <c r="A25399" s="0" t="n">
        <f aca="false">OPT_PROB_HIT(95,0.2,0.1,0,70,130)</f>
        <v>0</v>
      </c>
      <c r="B25399" s="0" t="s">
        <v>25223</v>
      </c>
    </row>
    <row r="25400" customFormat="false" ht="15" hidden="false" customHeight="false" outlineLevel="0" collapsed="false">
      <c r="A25400" s="0" t="n">
        <f aca="false">OPT_PROB_INMONEY(95,0.2,0.1,0,70,130,TRUE(),"p")</f>
        <v>0</v>
      </c>
      <c r="B25400" s="0" t="s">
        <v>25224</v>
      </c>
    </row>
    <row r="25401" customFormat="false" ht="15" hidden="false" customHeight="false" outlineLevel="0" collapsed="false">
      <c r="A25401" s="0" t="n">
        <f aca="false">OPT_PROB_HIT(150,0.2,0,0.25,70,130)</f>
        <v>1</v>
      </c>
      <c r="B25401" s="0" t="s">
        <v>25225</v>
      </c>
    </row>
    <row r="25402" customFormat="false" ht="15" hidden="false" customHeight="false" outlineLevel="0" collapsed="false">
      <c r="A25402" s="0" t="e">
        <f aca="false">OPT_PROB_INMONEY(150,0.2,0,0.25,70,130,"a",1)</f>
        <v>#VALUE!</v>
      </c>
      <c r="B25402" s="0" t="s">
        <v>25226</v>
      </c>
    </row>
    <row r="25403" customFormat="false" ht="15" hidden="false" customHeight="false" outlineLevel="0" collapsed="false">
      <c r="A25403" s="0" t="n">
        <f aca="false">OPT_PROB_HIT(120,0.1,-0.02,0,90,0)</f>
        <v>0</v>
      </c>
      <c r="B25403" s="0" t="s">
        <v>25227</v>
      </c>
    </row>
    <row r="25404" customFormat="false" ht="15" hidden="false" customHeight="false" outlineLevel="0" collapsed="false">
      <c r="A25404" s="0" t="e">
        <f aca="false">OPT_PROB_INMONEY(120,0.1,-0.02,0,90,0,TRUE(),1)</f>
        <v>#VALUE!</v>
      </c>
      <c r="B25404" s="0" t="s">
        <v>25228</v>
      </c>
    </row>
    <row r="25405" customFormat="false" ht="15" hidden="false" customHeight="false" outlineLevel="0" collapsed="false">
      <c r="A25405" s="0" t="n">
        <f aca="false">OPT_PROB_HIT(100,0.5,0.05,1,0,120)</f>
        <v>0.675418567532583</v>
      </c>
      <c r="B25405" s="0" t="s">
        <v>25229</v>
      </c>
    </row>
    <row r="25406" customFormat="false" ht="15" hidden="false" customHeight="false" outlineLevel="0" collapsed="false">
      <c r="A25406" s="0" t="n">
        <f aca="false">OPT_PROB_INMONEY(100,0.5,0.05,1,0,120,,"put")</f>
        <v>0.6965987840682</v>
      </c>
      <c r="B25406" s="0" t="s">
        <v>25230</v>
      </c>
    </row>
    <row r="25407" customFormat="false" ht="15" hidden="false" customHeight="false" outlineLevel="0" collapsed="false">
      <c r="A25407" s="0" t="n">
        <f aca="false">OPT_PROB_HIT(80,0.2,-0.02,1,85,115)</f>
        <v>1</v>
      </c>
      <c r="B25407" s="0" t="s">
        <v>25231</v>
      </c>
    </row>
    <row r="25408" customFormat="false" ht="15" hidden="false" customHeight="false" outlineLevel="0" collapsed="false">
      <c r="A25408" s="0" t="e">
        <f aca="false">OPT_PROB_INMONEY(80,0.2,-0.02,1,85,115,0,"")</f>
        <v>#VALUE!</v>
      </c>
      <c r="B25408" s="0" t="s">
        <v>25232</v>
      </c>
    </row>
    <row r="25409" customFormat="false" ht="15" hidden="false" customHeight="false" outlineLevel="0" collapsed="false">
      <c r="A25409" s="0" t="n">
        <f aca="false">OPT_PROB_HIT(80,0.3,0.1,5,70,130)</f>
        <v>0.997504522711529</v>
      </c>
      <c r="B25409" s="0" t="s">
        <v>25233</v>
      </c>
    </row>
    <row r="25410" customFormat="false" ht="15" hidden="false" customHeight="false" outlineLevel="0" collapsed="false">
      <c r="A25410" s="0" t="e">
        <f aca="false">OPT_PROB_INMONEY(80,0.3,0.1,5,70,130,,"")</f>
        <v>#VALUE!</v>
      </c>
      <c r="B25410" s="0" t="s">
        <v>25234</v>
      </c>
    </row>
    <row r="25411" customFormat="false" ht="15" hidden="false" customHeight="false" outlineLevel="0" collapsed="false">
      <c r="A25411" s="0" t="n">
        <f aca="false">OPT_PROB_HIT(95,0.3,0.05,2,90,0)</f>
        <v>0.895875031305333</v>
      </c>
      <c r="B25411" s="0" t="s">
        <v>25235</v>
      </c>
    </row>
    <row r="25412" customFormat="false" ht="15" hidden="false" customHeight="false" outlineLevel="0" collapsed="false">
      <c r="A25412" s="0" t="e">
        <f aca="false">OPT_PROB_INMONEY(95,0.3,0.05,2,90,0,"a",1)</f>
        <v>#VALUE!</v>
      </c>
      <c r="B25412" s="0" t="s">
        <v>25236</v>
      </c>
    </row>
    <row r="25413" customFormat="false" ht="15" hidden="false" customHeight="false" outlineLevel="0" collapsed="false">
      <c r="A25413" s="0" t="n">
        <f aca="false">OPT_PROB_HIT(100,0.3,0,5,70,130)</f>
        <v>0.996348628913325</v>
      </c>
      <c r="B25413" s="0" t="s">
        <v>25237</v>
      </c>
    </row>
    <row r="25414" customFormat="false" ht="15" hidden="false" customHeight="false" outlineLevel="0" collapsed="false">
      <c r="A25414" s="0" t="n">
        <f aca="false">OPT_PROB_INMONEY(100,0.3,0,5,70,130,110)</f>
        <v>0.0827464380819984</v>
      </c>
      <c r="B25414" s="0" t="s">
        <v>25238</v>
      </c>
    </row>
    <row r="25415" customFormat="false" ht="15" hidden="false" customHeight="false" outlineLevel="0" collapsed="false">
      <c r="A25415" s="0" t="n">
        <f aca="false">OPT_PROB_HIT(100,0.5,0.1,2,0,120)</f>
        <v>0.781779960544335</v>
      </c>
      <c r="B25415" s="0" t="s">
        <v>25239</v>
      </c>
    </row>
    <row r="25416" customFormat="false" ht="15" hidden="false" customHeight="false" outlineLevel="0" collapsed="false">
      <c r="A25416" s="0" t="e">
        <f aca="false">OPT_PROB_INMONEY(100,0.5,0.1,2,0,120,,1)</f>
        <v>#VALUE!</v>
      </c>
      <c r="B25416" s="0" t="s">
        <v>25240</v>
      </c>
    </row>
    <row r="25417" customFormat="false" ht="15" hidden="false" customHeight="false" outlineLevel="0" collapsed="false">
      <c r="A25417" s="0" t="n">
        <f aca="false">OPT_PROB_HIT(120,0.3,0.05,2,70,130)</f>
        <v>0.951096761519863</v>
      </c>
      <c r="B25417" s="0" t="s">
        <v>25241</v>
      </c>
    </row>
    <row r="25418" customFormat="false" ht="15" hidden="false" customHeight="false" outlineLevel="0" collapsed="false">
      <c r="A25418" s="0" t="e">
        <f aca="false">OPT_PROB_INMONEY(120,0.3,0.05,2,70,130,,"")</f>
        <v>#VALUE!</v>
      </c>
      <c r="B25418" s="0" t="s">
        <v>25242</v>
      </c>
    </row>
    <row r="25419" customFormat="false" ht="15" hidden="false" customHeight="false" outlineLevel="0" collapsed="false">
      <c r="A25419" s="0" t="n">
        <f aca="false">OPT_PROB_HIT(60,0.2,0,0.5,0,120)</f>
        <v>6.71665827622903E-007</v>
      </c>
      <c r="B25419" s="0" t="s">
        <v>25243</v>
      </c>
    </row>
    <row r="25420" customFormat="false" ht="15" hidden="false" customHeight="false" outlineLevel="0" collapsed="false">
      <c r="A25420" s="0" t="n">
        <f aca="false">OPT_PROB_INMONEY(60,0.2,0,0.5,0,120,0,"put")</f>
        <v>0</v>
      </c>
      <c r="B25420" s="0" t="s">
        <v>25244</v>
      </c>
    </row>
    <row r="25421" customFormat="false" ht="15" hidden="false" customHeight="false" outlineLevel="0" collapsed="false">
      <c r="A25421" s="0" t="n">
        <f aca="false">OPT_PROB_HIT(150,0.5,0.05,0.5,70,130)</f>
        <v>1</v>
      </c>
      <c r="B25421" s="0" t="s">
        <v>25245</v>
      </c>
    </row>
    <row r="25422" customFormat="false" ht="15" hidden="false" customHeight="false" outlineLevel="0" collapsed="false">
      <c r="A25422" s="0" t="n">
        <f aca="false">OPT_PROB_INMONEY(150,0.5,0.05,0.5,70,130,90,"p")</f>
        <v>0.0701211116360921</v>
      </c>
      <c r="B25422" s="0" t="s">
        <v>25246</v>
      </c>
    </row>
    <row r="25423" customFormat="false" ht="15" hidden="false" customHeight="false" outlineLevel="0" collapsed="false">
      <c r="A25423" s="0" t="n">
        <f aca="false">OPT_PROB_HIT(120,0.3,0.1,2,70,130)</f>
        <v>0.95821518662254</v>
      </c>
      <c r="B25423" s="0" t="s">
        <v>25247</v>
      </c>
    </row>
    <row r="25424" customFormat="false" ht="15" hidden="false" customHeight="false" outlineLevel="0" collapsed="false">
      <c r="A25424" s="0" t="e">
        <f aca="false">OPT_PROB_INMONEY(120,0.3,0.1,2,70,130,,1)</f>
        <v>#VALUE!</v>
      </c>
      <c r="B25424" s="0" t="s">
        <v>25248</v>
      </c>
    </row>
    <row r="25425" customFormat="false" ht="15" hidden="false" customHeight="false" outlineLevel="0" collapsed="false">
      <c r="A25425" s="0" t="n">
        <f aca="false">OPT_PROB_HIT(120,0.3,0,0.25,0,0)</f>
        <v>0</v>
      </c>
      <c r="B25425" s="0" t="s">
        <v>25249</v>
      </c>
    </row>
    <row r="25426" customFormat="false" ht="15" hidden="false" customHeight="false" outlineLevel="0" collapsed="false">
      <c r="A25426" s="0" t="e">
        <f aca="false">OPT_PROB_INMONEY(120,0.3,0,0.25,0,0,,1)</f>
        <v>#VALUE!</v>
      </c>
      <c r="B25426" s="0" t="s">
        <v>25250</v>
      </c>
    </row>
    <row r="25427" customFormat="false" ht="15" hidden="false" customHeight="false" outlineLevel="0" collapsed="false">
      <c r="A25427" s="0" t="n">
        <f aca="false">OPT_PROB_HIT(100,0.3,-0.02,0.5,90,120)</f>
        <v>0.923554006310781</v>
      </c>
      <c r="B25427" s="0" t="s">
        <v>25251</v>
      </c>
    </row>
    <row r="25428" customFormat="false" ht="15" hidden="false" customHeight="false" outlineLevel="0" collapsed="false">
      <c r="A25428" s="0" t="e">
        <f aca="false">OPT_PROB_INMONEY(100,0.3,-0.02,0.5,90,120,"a")</f>
        <v>#VALUE!</v>
      </c>
      <c r="B25428" s="0" t="s">
        <v>25252</v>
      </c>
    </row>
    <row r="25429" customFormat="false" ht="15" hidden="false" customHeight="false" outlineLevel="0" collapsed="false">
      <c r="A25429" s="0" t="n">
        <f aca="false">OPT_PROB_HIT(80,0.1,0.1,1,85,115)</f>
        <v>1</v>
      </c>
      <c r="B25429" s="0" t="s">
        <v>25253</v>
      </c>
    </row>
    <row r="25430" customFormat="false" ht="15" hidden="false" customHeight="false" outlineLevel="0" collapsed="false">
      <c r="A25430" s="0" t="e">
        <f aca="false">OPT_PROB_INMONEY(80,0.1,0.1,1,85,115,"a","call")</f>
        <v>#VALUE!</v>
      </c>
      <c r="B25430" s="0" t="s">
        <v>25254</v>
      </c>
    </row>
    <row r="25431" customFormat="false" ht="15" hidden="false" customHeight="false" outlineLevel="0" collapsed="false">
      <c r="A25431" s="0" t="n">
        <f aca="false">OPT_PROB_HIT(120,0.3,0.1,2,0,0)</f>
        <v>0</v>
      </c>
      <c r="B25431" s="0" t="s">
        <v>25255</v>
      </c>
    </row>
    <row r="25432" customFormat="false" ht="15" hidden="false" customHeight="false" outlineLevel="0" collapsed="false">
      <c r="A25432" s="0" t="n">
        <f aca="false">OPT_PROB_INMONEY(120,0.3,0.1,2,0,0,100,"put")</f>
        <v>0.245408953933274</v>
      </c>
      <c r="B25432" s="0" t="s">
        <v>25256</v>
      </c>
    </row>
    <row r="25433" customFormat="false" ht="15" hidden="false" customHeight="false" outlineLevel="0" collapsed="false">
      <c r="A25433" s="0" t="n">
        <f aca="false">OPT_PROB_HIT(120,0.2,0.05,0.5,70,130)</f>
        <v>0.605643582804404</v>
      </c>
      <c r="B25433" s="0" t="s">
        <v>25257</v>
      </c>
    </row>
    <row r="25434" customFormat="false" ht="15" hidden="false" customHeight="false" outlineLevel="0" collapsed="false">
      <c r="A25434" s="0" t="n">
        <f aca="false">OPT_PROB_INMONEY(120,0.2,0.05,0.5,70,130,TRUE())</f>
        <v>0.677168914803434</v>
      </c>
      <c r="B25434" s="0" t="s">
        <v>25258</v>
      </c>
    </row>
    <row r="25435" customFormat="false" ht="15" hidden="false" customHeight="false" outlineLevel="0" collapsed="false">
      <c r="A25435" s="0" t="n">
        <f aca="false">OPT_PROB_HIT(150,0.5,0.1,1,0,120)</f>
        <v>1</v>
      </c>
      <c r="B25435" s="0" t="s">
        <v>25259</v>
      </c>
    </row>
    <row r="25436" customFormat="false" ht="15" hidden="false" customHeight="false" outlineLevel="0" collapsed="false">
      <c r="A25436" s="0" t="e">
        <f aca="false">OPT_PROB_INMONEY(150,0.5,0.1,1,0,120,-1,"")</f>
        <v>#VALUE!</v>
      </c>
      <c r="B25436" s="0" t="s">
        <v>25260</v>
      </c>
    </row>
    <row r="25437" customFormat="false" ht="15" hidden="false" customHeight="false" outlineLevel="0" collapsed="false">
      <c r="A25437" s="0" t="n">
        <f aca="false">OPT_PROB_HIT(150,0.2,0,0.5,90,120)</f>
        <v>1</v>
      </c>
      <c r="B25437" s="0" t="s">
        <v>25261</v>
      </c>
    </row>
    <row r="25438" customFormat="false" ht="15" hidden="false" customHeight="false" outlineLevel="0" collapsed="false">
      <c r="A25438" s="0" t="e">
        <f aca="false">OPT_PROB_INMONEY(150,0.2,0,0.5,90,120,"a",1)</f>
        <v>#VALUE!</v>
      </c>
      <c r="B25438" s="0" t="s">
        <v>25262</v>
      </c>
    </row>
    <row r="25439" customFormat="false" ht="15" hidden="false" customHeight="false" outlineLevel="0" collapsed="false">
      <c r="A25439" s="0" t="n">
        <f aca="false">OPT_PROB_HIT(95,0.5,0.05,0,120,90)</f>
        <v>1</v>
      </c>
      <c r="B25439" s="0" t="s">
        <v>25263</v>
      </c>
    </row>
    <row r="25440" customFormat="false" ht="15" hidden="false" customHeight="false" outlineLevel="0" collapsed="false">
      <c r="A25440" s="0" t="n">
        <f aca="false">OPT_PROB_INMONEY(95,0.5,0.05,0,120,90,80,"c")</f>
        <v>0</v>
      </c>
      <c r="B25440" s="0" t="s">
        <v>25264</v>
      </c>
    </row>
    <row r="25441" customFormat="false" ht="15" hidden="false" customHeight="false" outlineLevel="0" collapsed="false">
      <c r="A25441" s="0" t="n">
        <f aca="false">OPT_PROB_HIT(80,0.3,0.1,1,0,0)</f>
        <v>0</v>
      </c>
      <c r="B25441" s="0" t="s">
        <v>25265</v>
      </c>
    </row>
    <row r="25442" customFormat="false" ht="15" hidden="false" customHeight="false" outlineLevel="0" collapsed="false">
      <c r="A25442" s="0" t="e">
        <f aca="false">OPT_PROB_INMONEY(80,0.3,0.1,1,0,0,"a","c")</f>
        <v>#VALUE!</v>
      </c>
      <c r="B25442" s="0" t="s">
        <v>25266</v>
      </c>
    </row>
    <row r="25443" customFormat="false" ht="15" hidden="false" customHeight="false" outlineLevel="0" collapsed="false">
      <c r="A25443" s="0" t="n">
        <f aca="false">OPT_PROB_HIT(95,0.1,0.1,0,85,115)</f>
        <v>0</v>
      </c>
      <c r="B25443" s="0" t="s">
        <v>25267</v>
      </c>
    </row>
    <row r="25444" customFormat="false" ht="15" hidden="false" customHeight="false" outlineLevel="0" collapsed="false">
      <c r="A25444" s="0" t="n">
        <f aca="false">OPT_PROB_INMONEY(95,0.1,0.1,0,85,115,0)</f>
        <v>1</v>
      </c>
      <c r="B25444" s="0" t="s">
        <v>25268</v>
      </c>
    </row>
    <row r="25445" customFormat="false" ht="15" hidden="false" customHeight="false" outlineLevel="0" collapsed="false">
      <c r="A25445" s="0" t="n">
        <f aca="false">OPT_PROB_HIT(95,0.3,0.1,1,0,0)</f>
        <v>0</v>
      </c>
      <c r="B25445" s="0" t="s">
        <v>25269</v>
      </c>
    </row>
    <row r="25446" customFormat="false" ht="15" hidden="false" customHeight="false" outlineLevel="0" collapsed="false">
      <c r="A25446" s="0" t="n">
        <f aca="false">OPT_PROB_INMONEY(95,0.3,0.1,1,0,0,-1,"call")</f>
        <v>1</v>
      </c>
      <c r="B25446" s="0" t="s">
        <v>25270</v>
      </c>
    </row>
    <row r="25447" customFormat="false" ht="15" hidden="false" customHeight="false" outlineLevel="0" collapsed="false">
      <c r="A25447" s="0" t="n">
        <f aca="false">OPT_PROB_HIT(150,0.1,0.05,0.25,120,90)</f>
        <v>1</v>
      </c>
      <c r="B25447" s="0" t="s">
        <v>25271</v>
      </c>
    </row>
    <row r="25448" customFormat="false" ht="15" hidden="false" customHeight="false" outlineLevel="0" collapsed="false">
      <c r="A25448" s="0" t="n">
        <f aca="false">OPT_PROB_INMONEY(150,0.1,0.05,0.25,120,90,,"p")</f>
        <v>0</v>
      </c>
      <c r="B25448" s="0" t="s">
        <v>25272</v>
      </c>
    </row>
    <row r="25449" customFormat="false" ht="15" hidden="false" customHeight="false" outlineLevel="0" collapsed="false">
      <c r="A25449" s="0" t="n">
        <f aca="false">OPT_PROB_HIT(100,0.5,-0.02,0.25,90,0)</f>
        <v>0.713772178129879</v>
      </c>
      <c r="B25449" s="0" t="s">
        <v>25273</v>
      </c>
    </row>
    <row r="25450" customFormat="false" ht="15" hidden="false" customHeight="false" outlineLevel="0" collapsed="false">
      <c r="A25450" s="0" t="n">
        <f aca="false">OPT_PROB_INMONEY(100,0.5,-0.02,0.25,90,0,100,"c")</f>
        <v>0.442355435895077</v>
      </c>
      <c r="B25450" s="0" t="s">
        <v>25274</v>
      </c>
    </row>
    <row r="25451" customFormat="false" ht="15" hidden="false" customHeight="false" outlineLevel="0" collapsed="false">
      <c r="A25451" s="0" t="n">
        <f aca="false">OPT_PROB_HIT(80,0.3,0.1,5,85,115)</f>
        <v>1</v>
      </c>
      <c r="B25451" s="0" t="s">
        <v>25275</v>
      </c>
    </row>
    <row r="25452" customFormat="false" ht="15" hidden="false" customHeight="false" outlineLevel="0" collapsed="false">
      <c r="A25452" s="0" t="e">
        <f aca="false">OPT_PROB_INMONEY(80,0.3,0.1,5,85,115,110,"x")</f>
        <v>#VALUE!</v>
      </c>
      <c r="B25452" s="0" t="s">
        <v>25276</v>
      </c>
    </row>
    <row r="25453" customFormat="false" ht="15" hidden="false" customHeight="false" outlineLevel="0" collapsed="false">
      <c r="A25453" s="0" t="n">
        <f aca="false">OPT_PROB_HIT(120,0.2,0.1,0.5,0,120)</f>
        <v>1</v>
      </c>
      <c r="B25453" s="0" t="s">
        <v>25277</v>
      </c>
    </row>
    <row r="25454" customFormat="false" ht="15" hidden="false" customHeight="false" outlineLevel="0" collapsed="false">
      <c r="A25454" s="0" t="e">
        <f aca="false">OPT_PROB_INMONEY(120,0.2,0.1,0.5,0,120,"a","c")</f>
        <v>#VALUE!</v>
      </c>
      <c r="B25454" s="0" t="s">
        <v>25278</v>
      </c>
    </row>
    <row r="25455" customFormat="false" ht="15" hidden="false" customHeight="false" outlineLevel="0" collapsed="false">
      <c r="A25455" s="0" t="n">
        <f aca="false">OPT_PROB_HIT(60,0.3,0.05,0,0,0)</f>
        <v>0</v>
      </c>
      <c r="B25455" s="0" t="s">
        <v>25279</v>
      </c>
    </row>
    <row r="25456" customFormat="false" ht="15" hidden="false" customHeight="false" outlineLevel="0" collapsed="false">
      <c r="A25456" s="0" t="n">
        <f aca="false">OPT_PROB_INMONEY(60,0.3,0.05,0,0,0,,"put")</f>
        <v>1</v>
      </c>
      <c r="B25456" s="0" t="s">
        <v>25280</v>
      </c>
    </row>
    <row r="25457" customFormat="false" ht="15" hidden="false" customHeight="false" outlineLevel="0" collapsed="false">
      <c r="A25457" s="0" t="n">
        <f aca="false">OPT_PROB_HIT(120,0.5,0.1,1,120,90)</f>
        <v>1</v>
      </c>
      <c r="B25457" s="0" t="s">
        <v>25281</v>
      </c>
    </row>
    <row r="25458" customFormat="false" ht="15" hidden="false" customHeight="false" outlineLevel="0" collapsed="false">
      <c r="A25458" s="0" t="n">
        <f aca="false">OPT_PROB_INMONEY(120,0.5,0.1,1,120,90,,"c")</f>
        <v>0</v>
      </c>
      <c r="B25458" s="0" t="s">
        <v>25282</v>
      </c>
    </row>
    <row r="25459" customFormat="false" ht="15" hidden="false" customHeight="false" outlineLevel="0" collapsed="false">
      <c r="A25459" s="0" t="n">
        <f aca="false">OPT_PROB_HIT(95,0.5,0.1,5,90,120)</f>
        <v>0.999999861267662</v>
      </c>
      <c r="B25459" s="0" t="s">
        <v>25283</v>
      </c>
    </row>
    <row r="25460" customFormat="false" ht="15" hidden="false" customHeight="false" outlineLevel="0" collapsed="false">
      <c r="A25460" s="0" t="e">
        <f aca="false">OPT_PROB_INMONEY(95,0.5,0.1,5,90,120,TRUE(),1)</f>
        <v>#VALUE!</v>
      </c>
      <c r="B25460" s="0" t="s">
        <v>25284</v>
      </c>
    </row>
    <row r="25461" customFormat="false" ht="15" hidden="false" customHeight="false" outlineLevel="0" collapsed="false">
      <c r="A25461" s="0" t="n">
        <f aca="false">OPT_PROB_HIT(150,0.1,0,5,120,90)</f>
        <v>1</v>
      </c>
      <c r="B25461" s="0" t="s">
        <v>25285</v>
      </c>
    </row>
    <row r="25462" customFormat="false" ht="15" hidden="false" customHeight="false" outlineLevel="0" collapsed="false">
      <c r="A25462" s="0" t="e">
        <f aca="false">OPT_PROB_INMONEY(150,0.1,0,5,120,90,TRUE(),"")</f>
        <v>#VALUE!</v>
      </c>
      <c r="B25462" s="0" t="s">
        <v>25286</v>
      </c>
    </row>
    <row r="25463" customFormat="false" ht="15" hidden="false" customHeight="false" outlineLevel="0" collapsed="false">
      <c r="A25463" s="0" t="n">
        <f aca="false">OPT_PROB_HIT(60,0.3,-0.02,0.25,120,90)</f>
        <v>1</v>
      </c>
      <c r="B25463" s="0" t="s">
        <v>25287</v>
      </c>
    </row>
    <row r="25464" customFormat="false" ht="15" hidden="false" customHeight="false" outlineLevel="0" collapsed="false">
      <c r="A25464" s="0" t="e">
        <f aca="false">OPT_PROB_INMONEY(60,0.3,-0.02,0.25,120,90,"a","put")</f>
        <v>#VALUE!</v>
      </c>
      <c r="B25464" s="0" t="s">
        <v>25288</v>
      </c>
    </row>
    <row r="25465" customFormat="false" ht="15" hidden="false" customHeight="false" outlineLevel="0" collapsed="false">
      <c r="A25465" s="0" t="n">
        <f aca="false">OPT_PROB_HIT(120,0.5,-0.02,2,120,90)</f>
        <v>1</v>
      </c>
      <c r="B25465" s="0" t="s">
        <v>25289</v>
      </c>
    </row>
    <row r="25466" customFormat="false" ht="15" hidden="false" customHeight="false" outlineLevel="0" collapsed="false">
      <c r="A25466" s="0" t="e">
        <f aca="false">OPT_PROB_INMONEY(120,0.5,-0.02,2,120,90,"a","x")</f>
        <v>#VALUE!</v>
      </c>
      <c r="B25466" s="0" t="s">
        <v>25290</v>
      </c>
    </row>
    <row r="25467" customFormat="false" ht="15" hidden="false" customHeight="false" outlineLevel="0" collapsed="false">
      <c r="A25467" s="0" t="n">
        <f aca="false">OPT_PROB_HIT(95,0.3,0.1,0,90,0)</f>
        <v>0</v>
      </c>
      <c r="B25467" s="0" t="s">
        <v>25291</v>
      </c>
    </row>
    <row r="25468" customFormat="false" ht="15" hidden="false" customHeight="false" outlineLevel="0" collapsed="false">
      <c r="A25468" s="0" t="n">
        <f aca="false">OPT_PROB_INMONEY(95,0.3,0.1,0,90,0)</f>
        <v>1</v>
      </c>
      <c r="B25468" s="0" t="s">
        <v>25292</v>
      </c>
    </row>
    <row r="25469" customFormat="false" ht="15" hidden="false" customHeight="false" outlineLevel="0" collapsed="false">
      <c r="A25469" s="0" t="n">
        <f aca="false">OPT_PROB_HIT(80,0.1,0.1,0.25,90,0)</f>
        <v>1</v>
      </c>
      <c r="B25469" s="0" t="s">
        <v>25293</v>
      </c>
    </row>
    <row r="25470" customFormat="false" ht="15" hidden="false" customHeight="false" outlineLevel="0" collapsed="false">
      <c r="A25470" s="0" t="n">
        <f aca="false">OPT_PROB_INMONEY(80,0.1,0.1,0.25,90,0,110,"put")</f>
        <v>0.0300090416829411</v>
      </c>
      <c r="B25470" s="0" t="s">
        <v>25294</v>
      </c>
    </row>
    <row r="25471" customFormat="false" ht="15" hidden="false" customHeight="false" outlineLevel="0" collapsed="false">
      <c r="A25471" s="0" t="n">
        <f aca="false">OPT_PROB_HIT(60,0.5,0,2,70,130)</f>
        <v>1</v>
      </c>
      <c r="B25471" s="0" t="s">
        <v>25295</v>
      </c>
    </row>
    <row r="25472" customFormat="false" ht="15" hidden="false" customHeight="false" outlineLevel="0" collapsed="false">
      <c r="A25472" s="0" t="n">
        <f aca="false">OPT_PROB_INMONEY(60,0.5,0,2,70,130,110,"c")</f>
        <v>0.0390467182978306</v>
      </c>
      <c r="B25472" s="0" t="s">
        <v>25296</v>
      </c>
    </row>
    <row r="25473" customFormat="false" ht="15" hidden="false" customHeight="false" outlineLevel="0" collapsed="false">
      <c r="A25473" s="0" t="n">
        <f aca="false">OPT_PROB_HIT(100,0.2,-0.02,0,90,120)</f>
        <v>0</v>
      </c>
      <c r="B25473" s="0" t="s">
        <v>25297</v>
      </c>
    </row>
    <row r="25474" customFormat="false" ht="15" hidden="false" customHeight="false" outlineLevel="0" collapsed="false">
      <c r="A25474" s="0" t="e">
        <f aca="false">OPT_PROB_INMONEY(100,0.2,-0.02,0,90,120,"a")</f>
        <v>#VALUE!</v>
      </c>
      <c r="B25474" s="0" t="s">
        <v>25298</v>
      </c>
    </row>
    <row r="25475" customFormat="false" ht="15" hidden="false" customHeight="false" outlineLevel="0" collapsed="false">
      <c r="A25475" s="0" t="n">
        <f aca="false">OPT_PROB_HIT(95,0.1,-0.02,0.25,90,0)</f>
        <v>0.318628699075385</v>
      </c>
      <c r="B25475" s="0" t="s">
        <v>25299</v>
      </c>
    </row>
    <row r="25476" customFormat="false" ht="15" hidden="false" customHeight="false" outlineLevel="0" collapsed="false">
      <c r="A25476" s="0" t="n">
        <f aca="false">OPT_PROB_INMONEY(95,0.1,-0.02,0.25,90,0,TRUE(),"put")</f>
        <v>0</v>
      </c>
      <c r="B25476" s="0" t="s">
        <v>25300</v>
      </c>
    </row>
    <row r="25477" customFormat="false" ht="15" hidden="false" customHeight="false" outlineLevel="0" collapsed="false">
      <c r="A25477" s="0" t="n">
        <f aca="false">OPT_PROB_HIT(80,0.3,0,0.5,85,115)</f>
        <v>1</v>
      </c>
      <c r="B25477" s="0" t="s">
        <v>25301</v>
      </c>
    </row>
    <row r="25478" customFormat="false" ht="15" hidden="false" customHeight="false" outlineLevel="0" collapsed="false">
      <c r="A25478" s="0" t="n">
        <f aca="false">OPT_PROB_INMONEY(80,0.3,0,0.5,85,115,TRUE())</f>
        <v>0.312960910416769</v>
      </c>
      <c r="B25478" s="0" t="s">
        <v>25302</v>
      </c>
    </row>
    <row r="25479" customFormat="false" ht="15" hidden="false" customHeight="false" outlineLevel="0" collapsed="false">
      <c r="A25479" s="0" t="n">
        <f aca="false">OPT_PROB_HIT(100,0.1,-0.02,5,70,130)</f>
        <v>0.357007217556859</v>
      </c>
      <c r="B25479" s="0" t="s">
        <v>25303</v>
      </c>
    </row>
    <row r="25480" customFormat="false" ht="15" hidden="false" customHeight="false" outlineLevel="0" collapsed="false">
      <c r="A25480" s="0" t="n">
        <f aca="false">OPT_PROB_INMONEY(100,0.1,-0.02,5,70,130,0,"p")</f>
        <v>0</v>
      </c>
      <c r="B25480" s="0" t="s">
        <v>25304</v>
      </c>
    </row>
    <row r="25481" customFormat="false" ht="15" hidden="false" customHeight="false" outlineLevel="0" collapsed="false">
      <c r="A25481" s="0" t="n">
        <f aca="false">OPT_PROB_HIT(60,0.5,-0.02,1,120,90)</f>
        <v>1</v>
      </c>
      <c r="B25481" s="0" t="s">
        <v>25305</v>
      </c>
    </row>
    <row r="25482" customFormat="false" ht="15" hidden="false" customHeight="false" outlineLevel="0" collapsed="false">
      <c r="A25482" s="0" t="e">
        <f aca="false">OPT_PROB_INMONEY(60,0.5,-0.02,1,120,90,100,1)</f>
        <v>#VALUE!</v>
      </c>
      <c r="B25482" s="0" t="s">
        <v>25306</v>
      </c>
    </row>
    <row r="25483" customFormat="false" ht="15" hidden="false" customHeight="false" outlineLevel="0" collapsed="false">
      <c r="A25483" s="0" t="n">
        <f aca="false">OPT_PROB_HIT(60,0.5,0.1,0,85,115)</f>
        <v>1</v>
      </c>
      <c r="B25483" s="0" t="s">
        <v>25307</v>
      </c>
    </row>
    <row r="25484" customFormat="false" ht="15" hidden="false" customHeight="false" outlineLevel="0" collapsed="false">
      <c r="A25484" s="0" t="n">
        <f aca="false">OPT_PROB_INMONEY(60,0.5,0.1,0,85,115,-1,"call")</f>
        <v>0</v>
      </c>
      <c r="B25484" s="0" t="s">
        <v>25308</v>
      </c>
    </row>
    <row r="25485" customFormat="false" ht="15" hidden="false" customHeight="false" outlineLevel="0" collapsed="false">
      <c r="A25485" s="0" t="n">
        <f aca="false">OPT_PROB_HIT(60,0.3,0.05,0.5,90,0)</f>
        <v>1</v>
      </c>
      <c r="B25485" s="0" t="s">
        <v>25309</v>
      </c>
    </row>
    <row r="25486" customFormat="false" ht="15" hidden="false" customHeight="false" outlineLevel="0" collapsed="false">
      <c r="A25486" s="0" t="e">
        <f aca="false">OPT_PROB_INMONEY(60,0.3,0.05,0.5,90,0,TRUE(),"")</f>
        <v>#VALUE!</v>
      </c>
      <c r="B25486" s="0" t="s">
        <v>25310</v>
      </c>
    </row>
    <row r="25487" customFormat="false" ht="15" hidden="false" customHeight="false" outlineLevel="0" collapsed="false">
      <c r="A25487" s="0" t="n">
        <f aca="false">OPT_PROB_HIT(80,0.3,0.05,0.25,90,0)</f>
        <v>1</v>
      </c>
      <c r="B25487" s="0" t="s">
        <v>25311</v>
      </c>
    </row>
    <row r="25488" customFormat="false" ht="15" hidden="false" customHeight="false" outlineLevel="0" collapsed="false">
      <c r="A25488" s="0" t="n">
        <f aca="false">OPT_PROB_INMONEY(80,0.3,0.05,0.25,90,0,110,"c")</f>
        <v>0.0172281229081658</v>
      </c>
      <c r="B25488" s="0" t="s">
        <v>25312</v>
      </c>
    </row>
    <row r="25489" customFormat="false" ht="15" hidden="false" customHeight="false" outlineLevel="0" collapsed="false">
      <c r="A25489" s="0" t="n">
        <f aca="false">OPT_PROB_HIT(120,0.3,0,0.5,90,120)</f>
        <v>1</v>
      </c>
      <c r="B25489" s="0" t="s">
        <v>25313</v>
      </c>
    </row>
    <row r="25490" customFormat="false" ht="15" hidden="false" customHeight="false" outlineLevel="0" collapsed="false">
      <c r="A25490" s="0" t="n">
        <f aca="false">OPT_PROB_INMONEY(120,0.3,0,0.5,90,120,-1,"call")</f>
        <v>0.436599901587715</v>
      </c>
      <c r="B25490" s="0" t="s">
        <v>25314</v>
      </c>
    </row>
    <row r="25491" customFormat="false" ht="15" hidden="false" customHeight="false" outlineLevel="0" collapsed="false">
      <c r="A25491" s="0" t="n">
        <f aca="false">OPT_PROB_HIT(150,0.2,0,1,90,120)</f>
        <v>1</v>
      </c>
      <c r="B25491" s="0" t="s">
        <v>25315</v>
      </c>
    </row>
    <row r="25492" customFormat="false" ht="15" hidden="false" customHeight="false" outlineLevel="0" collapsed="false">
      <c r="A25492" s="0" t="n">
        <f aca="false">OPT_PROB_INMONEY(150,0.2,0,1,90,120,-1,"c")</f>
        <v>0.147820572200195</v>
      </c>
      <c r="B25492" s="0" t="s">
        <v>25316</v>
      </c>
    </row>
    <row r="25493" customFormat="false" ht="15" hidden="false" customHeight="false" outlineLevel="0" collapsed="false">
      <c r="A25493" s="0" t="n">
        <f aca="false">OPT_PROB_HIT(80,0.1,0.1,2,70,130)</f>
        <v>0.0902664071002644</v>
      </c>
      <c r="B25493" s="0" t="s">
        <v>25317</v>
      </c>
    </row>
    <row r="25494" customFormat="false" ht="15" hidden="false" customHeight="false" outlineLevel="0" collapsed="false">
      <c r="A25494" s="0" t="e">
        <f aca="false">OPT_PROB_INMONEY(80,0.1,0.1,2,70,130,"a","x")</f>
        <v>#VALUE!</v>
      </c>
      <c r="B25494" s="0" t="s">
        <v>25318</v>
      </c>
    </row>
    <row r="25495" customFormat="false" ht="15" hidden="false" customHeight="false" outlineLevel="0" collapsed="false">
      <c r="A25495" s="0" t="n">
        <f aca="false">OPT_PROB_HIT(120,0.1,0,0,90,0)</f>
        <v>0</v>
      </c>
      <c r="B25495" s="0" t="s">
        <v>25319</v>
      </c>
    </row>
    <row r="25496" customFormat="false" ht="15" hidden="false" customHeight="false" outlineLevel="0" collapsed="false">
      <c r="A25496" s="0" t="e">
        <f aca="false">OPT_PROB_INMONEY(120,0.1,0,0,90,0,TRUE(),1)</f>
        <v>#VALUE!</v>
      </c>
      <c r="B25496" s="0" t="s">
        <v>25320</v>
      </c>
    </row>
    <row r="25497" customFormat="false" ht="15" hidden="false" customHeight="false" outlineLevel="0" collapsed="false">
      <c r="A25497" s="0" t="n">
        <f aca="false">OPT_PROB_HIT(80,0.5,0.1,2,90,120)</f>
        <v>1</v>
      </c>
      <c r="B25497" s="0" t="s">
        <v>25321</v>
      </c>
    </row>
    <row r="25498" customFormat="false" ht="15" hidden="false" customHeight="false" outlineLevel="0" collapsed="false">
      <c r="A25498" s="0" t="n">
        <f aca="false">OPT_PROB_INMONEY(80,0.5,0.1,2,90,120,90,"p")</f>
        <v>0</v>
      </c>
      <c r="B25498" s="0" t="s">
        <v>25322</v>
      </c>
    </row>
    <row r="25499" customFormat="false" ht="15" hidden="false" customHeight="false" outlineLevel="0" collapsed="false">
      <c r="A25499" s="0" t="n">
        <f aca="false">OPT_PROB_HIT(60,0.2,-0.02,0.5,70,130)</f>
        <v>1</v>
      </c>
      <c r="B25499" s="0" t="s">
        <v>25213</v>
      </c>
    </row>
    <row r="25500" customFormat="false" ht="15" hidden="false" customHeight="false" outlineLevel="0" collapsed="false">
      <c r="A25500" s="0" t="e">
        <f aca="false">OPT_PROB_INMONEY(60,0.2,-0.02,0.5,70,130,-1,"")</f>
        <v>#VALUE!</v>
      </c>
      <c r="B25500" s="0" t="s">
        <v>25323</v>
      </c>
    </row>
    <row r="25501" customFormat="false" ht="15" hidden="false" customHeight="false" outlineLevel="0" collapsed="false">
      <c r="A25501" s="0" t="n">
        <f aca="false">OPT_PROB_HIT(150,0.5,0,0,85,115)</f>
        <v>1</v>
      </c>
      <c r="B25501" s="0" t="s">
        <v>25324</v>
      </c>
    </row>
    <row r="25502" customFormat="false" ht="15" hidden="false" customHeight="false" outlineLevel="0" collapsed="false">
      <c r="A25502" s="0" t="e">
        <f aca="false">OPT_PROB_INMONEY(150,0.5,0,0,85,115,TRUE(),"")</f>
        <v>#VALUE!</v>
      </c>
      <c r="B25502" s="0" t="s">
        <v>25325</v>
      </c>
    </row>
    <row r="25503" customFormat="false" ht="15" hidden="false" customHeight="false" outlineLevel="0" collapsed="false">
      <c r="A25503" s="0" t="n">
        <f aca="false">OPT_PROB_HIT(150,0.1,-0.02,0.25,120,90)</f>
        <v>1</v>
      </c>
      <c r="B25503" s="0" t="s">
        <v>25326</v>
      </c>
    </row>
    <row r="25504" customFormat="false" ht="15" hidden="false" customHeight="false" outlineLevel="0" collapsed="false">
      <c r="A25504" s="0" t="n">
        <f aca="false">OPT_PROB_INMONEY(150,0.1,-0.02,0.25,120,90,110)</f>
        <v>0</v>
      </c>
      <c r="B25504" s="0" t="s">
        <v>25327</v>
      </c>
    </row>
    <row r="25505" customFormat="false" ht="15" hidden="false" customHeight="false" outlineLevel="0" collapsed="false">
      <c r="A25505" s="0" t="n">
        <f aca="false">OPT_PROB_HIT(120,0.1,-0.02,1,90,0)</f>
        <v>0.00803255924068813</v>
      </c>
      <c r="B25505" s="0" t="s">
        <v>25328</v>
      </c>
    </row>
    <row r="25506" customFormat="false" ht="15" hidden="false" customHeight="false" outlineLevel="0" collapsed="false">
      <c r="A25506" s="0" t="n">
        <f aca="false">OPT_PROB_INMONEY(120,0.1,-0.02,1,90,0,TRUE())</f>
        <v>0.995690663578981</v>
      </c>
      <c r="B25506" s="0" t="s">
        <v>25329</v>
      </c>
    </row>
    <row r="25507" customFormat="false" ht="15" hidden="false" customHeight="false" outlineLevel="0" collapsed="false">
      <c r="A25507" s="0" t="n">
        <f aca="false">OPT_PROB_HIT(60,0.3,0,0.25,0,0)</f>
        <v>0</v>
      </c>
      <c r="B25507" s="0" t="s">
        <v>25330</v>
      </c>
    </row>
    <row r="25508" customFormat="false" ht="15" hidden="false" customHeight="false" outlineLevel="0" collapsed="false">
      <c r="A25508" s="0" t="n">
        <f aca="false">OPT_PROB_INMONEY(60,0.3,0,0.25,0,0,0,"c")</f>
        <v>1</v>
      </c>
      <c r="B25508" s="0" t="s">
        <v>25331</v>
      </c>
    </row>
    <row r="25509" customFormat="false" ht="15" hidden="false" customHeight="false" outlineLevel="0" collapsed="false">
      <c r="A25509" s="0" t="n">
        <f aca="false">OPT_PROB_HIT(95,0.5,-0.02,0.25,0,0)</f>
        <v>0</v>
      </c>
      <c r="B25509" s="0" t="s">
        <v>25332</v>
      </c>
    </row>
    <row r="25510" customFormat="false" ht="15" hidden="false" customHeight="false" outlineLevel="0" collapsed="false">
      <c r="A25510" s="0" t="n">
        <f aca="false">OPT_PROB_INMONEY(95,0.5,-0.02,0.25,0,0,,"c")</f>
        <v>1</v>
      </c>
      <c r="B25510" s="0" t="s">
        <v>25333</v>
      </c>
    </row>
    <row r="25511" customFormat="false" ht="15" hidden="false" customHeight="false" outlineLevel="0" collapsed="false">
      <c r="A25511" s="0" t="n">
        <f aca="false">OPT_PROB_HIT(60,0.1,0.05,0,90,0)</f>
        <v>1</v>
      </c>
      <c r="B25511" s="0" t="s">
        <v>25334</v>
      </c>
    </row>
    <row r="25512" customFormat="false" ht="15" hidden="false" customHeight="false" outlineLevel="0" collapsed="false">
      <c r="A25512" s="0" t="n">
        <f aca="false">OPT_PROB_INMONEY(60,0.1,0.05,0,90,0,,"c")</f>
        <v>0</v>
      </c>
      <c r="B25512" s="0" t="s">
        <v>25335</v>
      </c>
    </row>
    <row r="25513" customFormat="false" ht="15" hidden="false" customHeight="false" outlineLevel="0" collapsed="false">
      <c r="A25513" s="0" t="n">
        <f aca="false">OPT_PROB_HIT(80,0.2,0,2,90,0)</f>
        <v>1</v>
      </c>
      <c r="B25513" s="0" t="s">
        <v>25336</v>
      </c>
    </row>
    <row r="25514" customFormat="false" ht="15" hidden="false" customHeight="false" outlineLevel="0" collapsed="false">
      <c r="A25514" s="0" t="e">
        <f aca="false">OPT_PROB_INMONEY(80,0.2,0,2,90,0,"a","p")</f>
        <v>#VALUE!</v>
      </c>
      <c r="B25514" s="0" t="s">
        <v>25337</v>
      </c>
    </row>
    <row r="25515" customFormat="false" ht="15" hidden="false" customHeight="false" outlineLevel="0" collapsed="false">
      <c r="A25515" s="0" t="n">
        <f aca="false">OPT_PROB_HIT(120,0.1,0.05,0.5,85,115)</f>
        <v>1</v>
      </c>
      <c r="B25515" s="0" t="s">
        <v>25338</v>
      </c>
    </row>
    <row r="25516" customFormat="false" ht="15" hidden="false" customHeight="false" outlineLevel="0" collapsed="false">
      <c r="A25516" s="0" t="n">
        <f aca="false">OPT_PROB_INMONEY(120,0.1,0.05,0.5,85,115,TRUE(),"c")</f>
        <v>0.178764881120799</v>
      </c>
      <c r="B25516" s="0" t="s">
        <v>25339</v>
      </c>
    </row>
    <row r="25517" customFormat="false" ht="15" hidden="false" customHeight="false" outlineLevel="0" collapsed="false">
      <c r="A25517" s="0" t="n">
        <f aca="false">OPT_PROB_HIT(100,0.2,0.1,5,70,130)</f>
        <v>0.940452753990052</v>
      </c>
      <c r="B25517" s="0" t="s">
        <v>25340</v>
      </c>
    </row>
    <row r="25518" customFormat="false" ht="15" hidden="false" customHeight="false" outlineLevel="0" collapsed="false">
      <c r="A25518" s="0" t="e">
        <f aca="false">OPT_PROB_INMONEY(100,0.2,0.1,5,70,130,"a","p")</f>
        <v>#VALUE!</v>
      </c>
      <c r="B25518" s="0" t="s">
        <v>25341</v>
      </c>
    </row>
    <row r="25519" customFormat="false" ht="15" hidden="false" customHeight="false" outlineLevel="0" collapsed="false">
      <c r="A25519" s="0" t="n">
        <f aca="false">OPT_PROB_HIT(80,0.1,0.05,5,0,0)</f>
        <v>0</v>
      </c>
      <c r="B25519" s="0" t="s">
        <v>25342</v>
      </c>
    </row>
    <row r="25520" customFormat="false" ht="15" hidden="false" customHeight="false" outlineLevel="0" collapsed="false">
      <c r="A25520" s="0" t="e">
        <f aca="false">OPT_PROB_INMONEY(80,0.1,0.05,5,0,0,TRUE(),"x")</f>
        <v>#VALUE!</v>
      </c>
      <c r="B25520" s="0" t="s">
        <v>25343</v>
      </c>
    </row>
    <row r="25521" customFormat="false" ht="15" hidden="false" customHeight="false" outlineLevel="0" collapsed="false">
      <c r="A25521" s="0" t="n">
        <f aca="false">OPT_PROB_HIT(80,0.5,0,5,85,115)</f>
        <v>1</v>
      </c>
      <c r="B25521" s="0" t="s">
        <v>25344</v>
      </c>
    </row>
    <row r="25522" customFormat="false" ht="15" hidden="false" customHeight="false" outlineLevel="0" collapsed="false">
      <c r="A25522" s="0" t="n">
        <f aca="false">OPT_PROB_INMONEY(80,0.5,0,5,85,115,90,"c")</f>
        <v>0.064774739184043</v>
      </c>
      <c r="B25522" s="0" t="s">
        <v>25345</v>
      </c>
    </row>
    <row r="25523" customFormat="false" ht="15" hidden="false" customHeight="false" outlineLevel="0" collapsed="false">
      <c r="A25523" s="0" t="n">
        <f aca="false">OPT_PROB_HIT(80,0.5,0.1,1,90,120)</f>
        <v>1</v>
      </c>
      <c r="B25523" s="0" t="s">
        <v>25346</v>
      </c>
    </row>
    <row r="25524" customFormat="false" ht="15" hidden="false" customHeight="false" outlineLevel="0" collapsed="false">
      <c r="A25524" s="0" t="e">
        <f aca="false">OPT_PROB_INMONEY(80,0.5,0.1,1,90,120,80,1)</f>
        <v>#VALUE!</v>
      </c>
      <c r="B25524" s="0" t="s">
        <v>25347</v>
      </c>
    </row>
    <row r="25525" customFormat="false" ht="15" hidden="false" customHeight="false" outlineLevel="0" collapsed="false">
      <c r="A25525" s="0" t="n">
        <f aca="false">OPT_PROB_HIT(60,0.2,0.1,1,85,115)</f>
        <v>1</v>
      </c>
      <c r="B25525" s="0" t="s">
        <v>25348</v>
      </c>
    </row>
    <row r="25526" customFormat="false" ht="15" hidden="false" customHeight="false" outlineLevel="0" collapsed="false">
      <c r="A25526" s="0" t="n">
        <f aca="false">OPT_PROB_INMONEY(60,0.2,0.1,1,85,115)</f>
        <v>0.08770780022695</v>
      </c>
      <c r="B25526" s="0" t="s">
        <v>25349</v>
      </c>
    </row>
    <row r="25527" customFormat="false" ht="15" hidden="false" customHeight="false" outlineLevel="0" collapsed="false">
      <c r="A25527" s="0" t="n">
        <f aca="false">OPT_PROB_HIT(95,0.5,-0.02,0.5,90,0)</f>
        <v>0.904279572423593</v>
      </c>
      <c r="B25527" s="0" t="s">
        <v>25350</v>
      </c>
    </row>
    <row r="25528" customFormat="false" ht="15" hidden="false" customHeight="false" outlineLevel="0" collapsed="false">
      <c r="A25528" s="0" t="n">
        <f aca="false">OPT_PROB_INMONEY(95,0.5,-0.02,0.5,90,0,110,"p")</f>
        <v>0.211488592676666</v>
      </c>
      <c r="B25528" s="0" t="s">
        <v>25351</v>
      </c>
    </row>
    <row r="25529" customFormat="false" ht="15" hidden="false" customHeight="false" outlineLevel="0" collapsed="false">
      <c r="A25529" s="0" t="n">
        <f aca="false">OPT_PROB_HIT(95,0.1,0,2,90,0)</f>
        <v>0.721007564362346</v>
      </c>
      <c r="B25529" s="0" t="s">
        <v>25352</v>
      </c>
    </row>
    <row r="25530" customFormat="false" ht="15" hidden="false" customHeight="false" outlineLevel="0" collapsed="false">
      <c r="A25530" s="0" t="n">
        <f aca="false">OPT_PROB_INMONEY(95,0.1,0,2,90,0,TRUE(),"p")</f>
        <v>0</v>
      </c>
      <c r="B25530" s="0" t="s">
        <v>25353</v>
      </c>
    </row>
    <row r="25531" customFormat="false" ht="15" hidden="false" customHeight="false" outlineLevel="0" collapsed="false">
      <c r="A25531" s="0" t="n">
        <f aca="false">OPT_PROB_HIT(80,0.5,0.1,0.5,120,90)</f>
        <v>1</v>
      </c>
      <c r="B25531" s="0" t="s">
        <v>25354</v>
      </c>
    </row>
    <row r="25532" customFormat="false" ht="15" hidden="false" customHeight="false" outlineLevel="0" collapsed="false">
      <c r="A25532" s="0" t="n">
        <f aca="false">OPT_PROB_INMONEY(80,0.5,0.1,0.5,120,90,TRUE(),"p")</f>
        <v>0</v>
      </c>
      <c r="B25532" s="0" t="s">
        <v>25355</v>
      </c>
    </row>
    <row r="25533" customFormat="false" ht="15" hidden="false" customHeight="false" outlineLevel="0" collapsed="false">
      <c r="A25533" s="0" t="n">
        <f aca="false">OPT_PROB_HIT(150,0.5,-0.02,0.25,90,120)</f>
        <v>1</v>
      </c>
      <c r="B25533" s="0" t="s">
        <v>25356</v>
      </c>
    </row>
    <row r="25534" customFormat="false" ht="15" hidden="false" customHeight="false" outlineLevel="0" collapsed="false">
      <c r="A25534" s="0" t="n">
        <f aca="false">OPT_PROB_INMONEY(150,0.5,-0.02,0.25,90,120,,"call")</f>
        <v>0.198530391431578</v>
      </c>
      <c r="B25534" s="0" t="s">
        <v>25357</v>
      </c>
    </row>
    <row r="25535" customFormat="false" ht="15" hidden="false" customHeight="false" outlineLevel="0" collapsed="false">
      <c r="A25535" s="0" t="n">
        <f aca="false">OPT_PROB_HIT(95,0.1,0.05,2,0,0)</f>
        <v>0</v>
      </c>
      <c r="B25535" s="0" t="s">
        <v>25358</v>
      </c>
    </row>
    <row r="25536" customFormat="false" ht="15" hidden="false" customHeight="false" outlineLevel="0" collapsed="false">
      <c r="A25536" s="0" t="n">
        <f aca="false">OPT_PROB_INMONEY(95,0.1,0.05,2,0,0,TRUE(),"p")</f>
        <v>8.68352522362922E-237</v>
      </c>
      <c r="B25536" s="0" t="s">
        <v>25359</v>
      </c>
    </row>
    <row r="25537" customFormat="false" ht="15" hidden="false" customHeight="false" outlineLevel="0" collapsed="false">
      <c r="A25537" s="0" t="n">
        <f aca="false">OPT_PROB_HIT(95,0.1,0.05,2,0,0)</f>
        <v>0</v>
      </c>
      <c r="B25537" s="0" t="s">
        <v>25358</v>
      </c>
    </row>
    <row r="25538" customFormat="false" ht="15" hidden="false" customHeight="false" outlineLevel="0" collapsed="false">
      <c r="A25538" s="0" t="n">
        <f aca="false">OPT_PROB_INMONEY(95,0.1,0.05,2,0,0,80,"p")</f>
        <v>0.0320444493606242</v>
      </c>
      <c r="B25538" s="0" t="s">
        <v>25360</v>
      </c>
    </row>
    <row r="25539" customFormat="false" ht="15" hidden="false" customHeight="false" outlineLevel="0" collapsed="false">
      <c r="A25539" s="0" t="n">
        <f aca="false">OPT_PROB_HIT(120,0.3,0.1,2,0,0)</f>
        <v>0</v>
      </c>
      <c r="B25539" s="0" t="s">
        <v>25255</v>
      </c>
    </row>
    <row r="25540" customFormat="false" ht="15" hidden="false" customHeight="false" outlineLevel="0" collapsed="false">
      <c r="A25540" s="0" t="e">
        <f aca="false">OPT_PROB_INMONEY(120,0.3,0.1,2,0,0,"a","call")</f>
        <v>#VALUE!</v>
      </c>
      <c r="B25540" s="0" t="s">
        <v>25361</v>
      </c>
    </row>
    <row r="25541" customFormat="false" ht="15" hidden="false" customHeight="false" outlineLevel="0" collapsed="false">
      <c r="A25541" s="0" t="n">
        <f aca="false">OPT_PROB_HIT(60,0.3,-0.02,0,120,90)</f>
        <v>1</v>
      </c>
      <c r="B25541" s="0" t="s">
        <v>25362</v>
      </c>
    </row>
    <row r="25542" customFormat="false" ht="15" hidden="false" customHeight="false" outlineLevel="0" collapsed="false">
      <c r="A25542" s="0" t="n">
        <f aca="false">OPT_PROB_INMONEY(60,0.3,-0.02,0,120,90,TRUE(),"put")</f>
        <v>0</v>
      </c>
      <c r="B25542" s="0" t="s">
        <v>25363</v>
      </c>
    </row>
    <row r="25543" customFormat="false" ht="15" hidden="false" customHeight="false" outlineLevel="0" collapsed="false">
      <c r="A25543" s="0" t="n">
        <f aca="false">OPT_PROB_HIT(60,0.2,0.1,0,0,120)</f>
        <v>0</v>
      </c>
      <c r="B25543" s="0" t="s">
        <v>25364</v>
      </c>
    </row>
    <row r="25544" customFormat="false" ht="15" hidden="false" customHeight="false" outlineLevel="0" collapsed="false">
      <c r="A25544" s="0" t="n">
        <f aca="false">OPT_PROB_INMONEY(60,0.2,0.1,0,0,120,90,"call")</f>
        <v>0</v>
      </c>
      <c r="B25544" s="0" t="s">
        <v>25365</v>
      </c>
    </row>
    <row r="25545" customFormat="false" ht="15" hidden="false" customHeight="false" outlineLevel="0" collapsed="false">
      <c r="A25545" s="0" t="n">
        <f aca="false">OPT_PROB_HIT(100,0.1,0.05,2,120,90)</f>
        <v>1</v>
      </c>
      <c r="B25545" s="0" t="s">
        <v>25366</v>
      </c>
    </row>
    <row r="25546" customFormat="false" ht="15" hidden="false" customHeight="false" outlineLevel="0" collapsed="false">
      <c r="A25546" s="0" t="e">
        <f aca="false">OPT_PROB_INMONEY(100,0.1,0.05,2,120,90,"a","")</f>
        <v>#VALUE!</v>
      </c>
      <c r="B25546" s="0" t="s">
        <v>25367</v>
      </c>
    </row>
    <row r="25547" customFormat="false" ht="15" hidden="false" customHeight="false" outlineLevel="0" collapsed="false">
      <c r="A25547" s="0" t="n">
        <f aca="false">OPT_PROB_HIT(95,0.1,0.1,0,90,120)</f>
        <v>0</v>
      </c>
      <c r="B25547" s="0" t="s">
        <v>25368</v>
      </c>
    </row>
    <row r="25548" customFormat="false" ht="15" hidden="false" customHeight="false" outlineLevel="0" collapsed="false">
      <c r="A25548" s="0" t="n">
        <f aca="false">OPT_PROB_INMONEY(95,0.1,0.1,0,90,120,,"p")</f>
        <v>1</v>
      </c>
      <c r="B25548" s="0" t="s">
        <v>25369</v>
      </c>
    </row>
    <row r="25549" customFormat="false" ht="15" hidden="false" customHeight="false" outlineLevel="0" collapsed="false">
      <c r="A25549" s="0" t="n">
        <f aca="false">OPT_PROB_HIT(80,0.5,0.1,2,0,120)</f>
        <v>0.543375016037102</v>
      </c>
      <c r="B25549" s="0" t="s">
        <v>25370</v>
      </c>
    </row>
    <row r="25550" customFormat="false" ht="15" hidden="false" customHeight="false" outlineLevel="0" collapsed="false">
      <c r="A25550" s="0" t="e">
        <f aca="false">OPT_PROB_INMONEY(80,0.5,0.1,2,0,120,TRUE(),"")</f>
        <v>#VALUE!</v>
      </c>
      <c r="B25550" s="0" t="s">
        <v>25371</v>
      </c>
    </row>
    <row r="25551" customFormat="false" ht="15" hidden="false" customHeight="false" outlineLevel="0" collapsed="false">
      <c r="A25551" s="0" t="n">
        <f aca="false">OPT_PROB_HIT(150,0.3,0.05,0.25,90,0)</f>
        <v>0.000641921830461301</v>
      </c>
      <c r="B25551" s="0" t="s">
        <v>25372</v>
      </c>
    </row>
    <row r="25552" customFormat="false" ht="15" hidden="false" customHeight="false" outlineLevel="0" collapsed="false">
      <c r="A25552" s="0" t="e">
        <f aca="false">OPT_PROB_INMONEY(150,0.3,0.05,0.25,90,0,80,"x")</f>
        <v>#VALUE!</v>
      </c>
      <c r="B25552" s="0" t="s">
        <v>25373</v>
      </c>
    </row>
    <row r="25553" customFormat="false" ht="15" hidden="false" customHeight="false" outlineLevel="0" collapsed="false">
      <c r="A25553" s="0" t="n">
        <f aca="false">OPT_PROB_HIT(100,0.2,0.1,0.5,0,120)</f>
        <v>0.277325236728191</v>
      </c>
      <c r="B25553" s="0" t="s">
        <v>25374</v>
      </c>
    </row>
    <row r="25554" customFormat="false" ht="15" hidden="false" customHeight="false" outlineLevel="0" collapsed="false">
      <c r="A25554" s="0" t="e">
        <f aca="false">OPT_PROB_INMONEY(100,0.2,0.1,0.5,0,120,90,"x")</f>
        <v>#VALUE!</v>
      </c>
      <c r="B25554" s="0" t="s">
        <v>25375</v>
      </c>
    </row>
    <row r="25555" customFormat="false" ht="15" hidden="false" customHeight="false" outlineLevel="0" collapsed="false">
      <c r="A25555" s="0" t="n">
        <f aca="false">OPT_PROB_HIT(120,0.3,0.1,1,120,90)</f>
        <v>1</v>
      </c>
      <c r="B25555" s="0" t="s">
        <v>25376</v>
      </c>
    </row>
    <row r="25556" customFormat="false" ht="15" hidden="false" customHeight="false" outlineLevel="0" collapsed="false">
      <c r="A25556" s="0" t="n">
        <f aca="false">OPT_PROB_INMONEY(120,0.3,0.1,1,120,90,110,"p")</f>
        <v>0</v>
      </c>
      <c r="B25556" s="0" t="s">
        <v>25377</v>
      </c>
    </row>
    <row r="25557" customFormat="false" ht="15" hidden="false" customHeight="false" outlineLevel="0" collapsed="false">
      <c r="A25557" s="0" t="n">
        <f aca="false">OPT_PROB_HIT(60,0.5,-0.02,0.5,90,0)</f>
        <v>1</v>
      </c>
      <c r="B25557" s="0" t="s">
        <v>25378</v>
      </c>
    </row>
    <row r="25558" customFormat="false" ht="15" hidden="false" customHeight="false" outlineLevel="0" collapsed="false">
      <c r="A25558" s="0" t="e">
        <f aca="false">OPT_PROB_INMONEY(60,0.5,-0.02,0.5,90,0,110,"")</f>
        <v>#VALUE!</v>
      </c>
      <c r="B25558" s="0" t="s">
        <v>25379</v>
      </c>
    </row>
    <row r="25559" customFormat="false" ht="15" hidden="false" customHeight="false" outlineLevel="0" collapsed="false">
      <c r="A25559" s="0" t="n">
        <f aca="false">OPT_PROB_HIT(150,0.1,0.1,0,70,130)</f>
        <v>1</v>
      </c>
      <c r="B25559" s="0" t="s">
        <v>25380</v>
      </c>
    </row>
    <row r="25560" customFormat="false" ht="15" hidden="false" customHeight="false" outlineLevel="0" collapsed="false">
      <c r="A25560" s="0" t="n">
        <f aca="false">OPT_PROB_INMONEY(150,0.1,0.1,0,70,130,TRUE(),"p")</f>
        <v>0</v>
      </c>
      <c r="B25560" s="0" t="s">
        <v>25381</v>
      </c>
    </row>
    <row r="25561" customFormat="false" ht="15" hidden="false" customHeight="false" outlineLevel="0" collapsed="false">
      <c r="A25561" s="0" t="n">
        <f aca="false">OPT_PROB_HIT(60,0.5,0.05,1,0,120)</f>
        <v>0.133601710068729</v>
      </c>
      <c r="B25561" s="0" t="s">
        <v>25382</v>
      </c>
    </row>
    <row r="25562" customFormat="false" ht="15" hidden="false" customHeight="false" outlineLevel="0" collapsed="false">
      <c r="A25562" s="0" t="n">
        <f aca="false">OPT_PROB_INMONEY(60,0.5,0.05,1,0,120,-1,"p")</f>
        <v>0.937766899064932</v>
      </c>
      <c r="B25562" s="0" t="s">
        <v>25383</v>
      </c>
    </row>
    <row r="25563" customFormat="false" ht="15" hidden="false" customHeight="false" outlineLevel="0" collapsed="false">
      <c r="A25563" s="0" t="n">
        <f aca="false">OPT_PROB_HIT(60,0.2,0.05,1,85,115)</f>
        <v>1</v>
      </c>
      <c r="B25563" s="0" t="s">
        <v>25384</v>
      </c>
    </row>
    <row r="25564" customFormat="false" ht="15" hidden="false" customHeight="false" outlineLevel="0" collapsed="false">
      <c r="A25564" s="0" t="n">
        <f aca="false">OPT_PROB_INMONEY(60,0.2,0.05,1,85,115,90,"call")</f>
        <v>0.029278695448776</v>
      </c>
      <c r="B25564" s="0" t="s">
        <v>25385</v>
      </c>
    </row>
    <row r="25565" customFormat="false" ht="15" hidden="false" customHeight="false" outlineLevel="0" collapsed="false">
      <c r="A25565" s="0" t="n">
        <f aca="false">OPT_PROB_HIT(95,0.5,-0.02,0,90,120)</f>
        <v>0</v>
      </c>
      <c r="B25565" s="0" t="s">
        <v>25386</v>
      </c>
    </row>
    <row r="25566" customFormat="false" ht="15" hidden="false" customHeight="false" outlineLevel="0" collapsed="false">
      <c r="A25566" s="0" t="n">
        <f aca="false">OPT_PROB_INMONEY(95,0.5,-0.02,0,90,120,,"p")</f>
        <v>1</v>
      </c>
      <c r="B25566" s="0" t="s">
        <v>25387</v>
      </c>
    </row>
    <row r="25567" customFormat="false" ht="15" hidden="false" customHeight="false" outlineLevel="0" collapsed="false">
      <c r="A25567" s="0" t="n">
        <f aca="false">OPT_PROB_HIT(80,0.5,-0.02,0.25,0,120)</f>
        <v>0.0822714687070707</v>
      </c>
      <c r="B25567" s="0" t="s">
        <v>25388</v>
      </c>
    </row>
    <row r="25568" customFormat="false" ht="15" hidden="false" customHeight="false" outlineLevel="0" collapsed="false">
      <c r="A25568" s="0" t="n">
        <f aca="false">OPT_PROB_INMONEY(80,0.5,-0.02,0.25,0,120,TRUE(),"c")</f>
        <v>0.961374197540214</v>
      </c>
      <c r="B25568" s="0" t="s">
        <v>25389</v>
      </c>
    </row>
    <row r="25569" customFormat="false" ht="15" hidden="false" customHeight="false" outlineLevel="0" collapsed="false">
      <c r="A25569" s="0" t="n">
        <f aca="false">OPT_PROB_HIT(120,0.3,0.1,0.5,0,120)</f>
        <v>1</v>
      </c>
      <c r="B25569" s="0" t="s">
        <v>25141</v>
      </c>
    </row>
    <row r="25570" customFormat="false" ht="15" hidden="false" customHeight="false" outlineLevel="0" collapsed="false">
      <c r="A25570" s="0" t="e">
        <f aca="false">OPT_PROB_INMONEY(120,0.3,0.1,0.5,0,120,"a","c")</f>
        <v>#VALUE!</v>
      </c>
      <c r="B25570" s="0" t="s">
        <v>25390</v>
      </c>
    </row>
    <row r="25571" customFormat="false" ht="15" hidden="false" customHeight="false" outlineLevel="0" collapsed="false">
      <c r="A25571" s="0" t="n">
        <f aca="false">OPT_PROB_HIT(120,0.2,-0.02,0,85,115)</f>
        <v>1</v>
      </c>
      <c r="B25571" s="0" t="s">
        <v>25391</v>
      </c>
    </row>
    <row r="25572" customFormat="false" ht="15" hidden="false" customHeight="false" outlineLevel="0" collapsed="false">
      <c r="A25572" s="0" t="n">
        <f aca="false">OPT_PROB_INMONEY(120,0.2,-0.02,0,85,115,TRUE(),"c")</f>
        <v>0</v>
      </c>
      <c r="B25572" s="0" t="s">
        <v>25392</v>
      </c>
    </row>
    <row r="25573" customFormat="false" ht="15" hidden="false" customHeight="false" outlineLevel="0" collapsed="false">
      <c r="A25573" s="0" t="n">
        <f aca="false">OPT_PROB_HIT(150,0.3,-0.02,0.25,120,90)</f>
        <v>1</v>
      </c>
      <c r="B25573" s="0" t="s">
        <v>25393</v>
      </c>
    </row>
    <row r="25574" customFormat="false" ht="15" hidden="false" customHeight="false" outlineLevel="0" collapsed="false">
      <c r="A25574" s="0" t="e">
        <f aca="false">OPT_PROB_INMONEY(150,0.3,-0.02,0.25,120,90,"a","c")</f>
        <v>#VALUE!</v>
      </c>
      <c r="B25574" s="0" t="s">
        <v>25394</v>
      </c>
    </row>
    <row r="25575" customFormat="false" ht="15" hidden="false" customHeight="false" outlineLevel="0" collapsed="false">
      <c r="A25575" s="0" t="n">
        <f aca="false">OPT_PROB_HIT(150,0.1,0,0.25,90,120)</f>
        <v>1</v>
      </c>
      <c r="B25575" s="0" t="s">
        <v>25395</v>
      </c>
    </row>
    <row r="25576" customFormat="false" ht="15" hidden="false" customHeight="false" outlineLevel="0" collapsed="false">
      <c r="A25576" s="0" t="n">
        <f aca="false">OPT_PROB_INMONEY(150,0.1,0,0.25,90,120,100,"put")</f>
        <v>3.12605736170702E-016</v>
      </c>
      <c r="B25576" s="0" t="s">
        <v>25396</v>
      </c>
    </row>
    <row r="25577" customFormat="false" ht="15" hidden="false" customHeight="false" outlineLevel="0" collapsed="false">
      <c r="A25577" s="0" t="n">
        <f aca="false">OPT_PROB_HIT(100,0.2,-0.02,2,120,90)</f>
        <v>1</v>
      </c>
      <c r="B25577" s="0" t="s">
        <v>25397</v>
      </c>
    </row>
    <row r="25578" customFormat="false" ht="15" hidden="false" customHeight="false" outlineLevel="0" collapsed="false">
      <c r="A25578" s="0" t="n">
        <f aca="false">OPT_PROB_INMONEY(100,0.2,-0.02,2,120,90,,"c")</f>
        <v>0</v>
      </c>
      <c r="B25578" s="0" t="s">
        <v>25398</v>
      </c>
    </row>
    <row r="25579" customFormat="false" ht="15" hidden="false" customHeight="false" outlineLevel="0" collapsed="false">
      <c r="A25579" s="0" t="n">
        <f aca="false">OPT_PROB_HIT(80,0.2,0.05,1,90,0)</f>
        <v>1</v>
      </c>
      <c r="B25579" s="0" t="s">
        <v>25399</v>
      </c>
    </row>
    <row r="25580" customFormat="false" ht="15" hidden="false" customHeight="false" outlineLevel="0" collapsed="false">
      <c r="A25580" s="0" t="e">
        <f aca="false">OPT_PROB_INMONEY(80,0.2,0.05,1,90,0,,"")</f>
        <v>#VALUE!</v>
      </c>
      <c r="B25580" s="0" t="s">
        <v>25400</v>
      </c>
    </row>
    <row r="25581" customFormat="false" ht="15" hidden="false" customHeight="false" outlineLevel="0" collapsed="false">
      <c r="A25581" s="0" t="n">
        <f aca="false">OPT_PROB_HIT(150,0.2,0.1,1,70,130)</f>
        <v>1</v>
      </c>
      <c r="B25581" s="0" t="s">
        <v>25401</v>
      </c>
    </row>
    <row r="25582" customFormat="false" ht="15" hidden="false" customHeight="false" outlineLevel="0" collapsed="false">
      <c r="A25582" s="0" t="e">
        <f aca="false">OPT_PROB_INMONEY(150,0.2,0.1,1,70,130,"a","p")</f>
        <v>#VALUE!</v>
      </c>
      <c r="B25582" s="0" t="s">
        <v>25402</v>
      </c>
    </row>
    <row r="25583" customFormat="false" ht="15" hidden="false" customHeight="false" outlineLevel="0" collapsed="false">
      <c r="A25583" s="0" t="n">
        <f aca="false">OPT_PROB_HIT(150,0.1,0.1,5,120,90)</f>
        <v>1</v>
      </c>
      <c r="B25583" s="0" t="s">
        <v>25403</v>
      </c>
    </row>
    <row r="25584" customFormat="false" ht="15" hidden="false" customHeight="false" outlineLevel="0" collapsed="false">
      <c r="A25584" s="0" t="n">
        <f aca="false">OPT_PROB_INMONEY(150,0.1,0.1,5,120,90,100,"p")</f>
        <v>0</v>
      </c>
      <c r="B25584" s="0" t="s">
        <v>25404</v>
      </c>
    </row>
    <row r="25585" customFormat="false" ht="15" hidden="false" customHeight="false" outlineLevel="0" collapsed="false">
      <c r="A25585" s="0" t="n">
        <f aca="false">OPT_PROB_HIT(150,0.5,0.05,2,120,90)</f>
        <v>1</v>
      </c>
      <c r="B25585" s="0" t="s">
        <v>25405</v>
      </c>
    </row>
    <row r="25586" customFormat="false" ht="15" hidden="false" customHeight="false" outlineLevel="0" collapsed="false">
      <c r="A25586" s="0" t="e">
        <f aca="false">OPT_PROB_INMONEY(150,0.5,0.05,2,120,90,"a","p")</f>
        <v>#VALUE!</v>
      </c>
      <c r="B25586" s="0" t="s">
        <v>25406</v>
      </c>
    </row>
    <row r="25587" customFormat="false" ht="15" hidden="false" customHeight="false" outlineLevel="0" collapsed="false">
      <c r="A25587" s="0" t="n">
        <f aca="false">OPT_PROB_HIT(120,0.5,0.05,0,70,130)</f>
        <v>0</v>
      </c>
      <c r="B25587" s="0" t="s">
        <v>25407</v>
      </c>
    </row>
    <row r="25588" customFormat="false" ht="15" hidden="false" customHeight="false" outlineLevel="0" collapsed="false">
      <c r="A25588" s="0" t="e">
        <f aca="false">OPT_PROB_INMONEY(120,0.5,0.05,0,70,130,"a",1)</f>
        <v>#VALUE!</v>
      </c>
      <c r="B25588" s="0" t="s">
        <v>25408</v>
      </c>
    </row>
    <row r="25589" customFormat="false" ht="15" hidden="false" customHeight="false" outlineLevel="0" collapsed="false">
      <c r="A25589" s="0" t="n">
        <f aca="false">OPT_PROB_HIT(95,0.5,0.1,5,70,130)</f>
        <v>0.999999870834805</v>
      </c>
      <c r="B25589" s="0" t="s">
        <v>25409</v>
      </c>
    </row>
    <row r="25590" customFormat="false" ht="15" hidden="false" customHeight="false" outlineLevel="0" collapsed="false">
      <c r="A25590" s="0" t="n">
        <f aca="false">OPT_PROB_INMONEY(95,0.5,0.1,5,70,130)</f>
        <v>0.216685672745894</v>
      </c>
      <c r="B25590" s="0" t="s">
        <v>25410</v>
      </c>
    </row>
    <row r="25591" customFormat="false" ht="15" hidden="false" customHeight="false" outlineLevel="0" collapsed="false">
      <c r="A25591" s="0" t="n">
        <f aca="false">OPT_PROB_HIT(150,0.5,0.1,1,85,115)</f>
        <v>1</v>
      </c>
      <c r="B25591" s="0" t="s">
        <v>25411</v>
      </c>
    </row>
    <row r="25592" customFormat="false" ht="15" hidden="false" customHeight="false" outlineLevel="0" collapsed="false">
      <c r="A25592" s="0" t="n">
        <f aca="false">OPT_PROB_INMONEY(150,0.5,0.1,1,85,115,TRUE(),"call")</f>
        <v>0.176367310447783</v>
      </c>
      <c r="B25592" s="0" t="s">
        <v>25412</v>
      </c>
    </row>
    <row r="25593" customFormat="false" ht="15" hidden="false" customHeight="false" outlineLevel="0" collapsed="false">
      <c r="A25593" s="0" t="n">
        <f aca="false">OPT_PROB_HIT(60,0.3,-0.02,2,90,120)</f>
        <v>1</v>
      </c>
      <c r="B25593" s="0" t="s">
        <v>25413</v>
      </c>
    </row>
    <row r="25594" customFormat="false" ht="15" hidden="false" customHeight="false" outlineLevel="0" collapsed="false">
      <c r="A25594" s="0" t="n">
        <f aca="false">OPT_PROB_INMONEY(60,0.3,-0.02,2,90,120,,"p")</f>
        <v>0.0772766765196917</v>
      </c>
      <c r="B25594" s="0" t="s">
        <v>25414</v>
      </c>
    </row>
    <row r="25595" customFormat="false" ht="15" hidden="false" customHeight="false" outlineLevel="0" collapsed="false">
      <c r="A25595" s="0" t="n">
        <f aca="false">OPT_PROB_HIT(60,0.1,0.05,0.5,70,130)</f>
        <v>1</v>
      </c>
      <c r="B25595" s="0" t="s">
        <v>25415</v>
      </c>
    </row>
    <row r="25596" customFormat="false" ht="15" hidden="false" customHeight="false" outlineLevel="0" collapsed="false">
      <c r="A25596" s="0" t="n">
        <f aca="false">OPT_PROB_INMONEY(60,0.1,0.05,0.5,70,130,,"p")</f>
        <v>0.0313141084862961</v>
      </c>
      <c r="B25596" s="0" t="s">
        <v>25416</v>
      </c>
    </row>
    <row r="25597" customFormat="false" ht="15" hidden="false" customHeight="false" outlineLevel="0" collapsed="false">
      <c r="A25597" s="0" t="n">
        <f aca="false">OPT_PROB_HIT(150,0.2,0.1,0,90,120)</f>
        <v>1</v>
      </c>
      <c r="B25597" s="0" t="s">
        <v>25417</v>
      </c>
    </row>
    <row r="25598" customFormat="false" ht="15" hidden="false" customHeight="false" outlineLevel="0" collapsed="false">
      <c r="A25598" s="0" t="n">
        <f aca="false">OPT_PROB_INMONEY(150,0.2,0.1,0,90,120,0)</f>
        <v>0</v>
      </c>
      <c r="B25598" s="0" t="s">
        <v>25418</v>
      </c>
    </row>
    <row r="25599" customFormat="false" ht="15" hidden="false" customHeight="false" outlineLevel="0" collapsed="false">
      <c r="A25599" s="0" t="n">
        <f aca="false">OPT_PROB_HIT(150,0.2,0,5,70,130)</f>
        <v>1</v>
      </c>
      <c r="B25599" s="0" t="s">
        <v>25419</v>
      </c>
    </row>
    <row r="25600" customFormat="false" ht="15" hidden="false" customHeight="false" outlineLevel="0" collapsed="false">
      <c r="A25600" s="0" t="e">
        <f aca="false">OPT_PROB_INMONEY(150,0.2,0,5,70,130,"a","p")</f>
        <v>#VALUE!</v>
      </c>
      <c r="B25600" s="0" t="s">
        <v>25420</v>
      </c>
    </row>
    <row r="25601" customFormat="false" ht="15" hidden="false" customHeight="false" outlineLevel="0" collapsed="false">
      <c r="A25601" s="0" t="n">
        <f aca="false">OPT_PROB_HIT(60,0.3,0.1,0.25,0,0)</f>
        <v>0</v>
      </c>
      <c r="B25601" s="0" t="s">
        <v>25421</v>
      </c>
    </row>
    <row r="25602" customFormat="false" ht="15" hidden="false" customHeight="false" outlineLevel="0" collapsed="false">
      <c r="A25602" s="0" t="n">
        <f aca="false">OPT_PROB_INMONEY(60,0.3,0.1,0.25,0,0,100,"call")</f>
        <v>0.000460124874934718</v>
      </c>
      <c r="B25602" s="0" t="s">
        <v>25422</v>
      </c>
    </row>
    <row r="25603" customFormat="false" ht="15" hidden="false" customHeight="false" outlineLevel="0" collapsed="false">
      <c r="A25603" s="0" t="n">
        <f aca="false">OPT_PROB_HIT(150,0.1,-0.02,0,120,90)</f>
        <v>1</v>
      </c>
      <c r="B25603" s="0" t="s">
        <v>25423</v>
      </c>
    </row>
    <row r="25604" customFormat="false" ht="15" hidden="false" customHeight="false" outlineLevel="0" collapsed="false">
      <c r="A25604" s="0" t="n">
        <f aca="false">OPT_PROB_INMONEY(150,0.1,-0.02,0,120,90,,"p")</f>
        <v>0</v>
      </c>
      <c r="B25604" s="0" t="s">
        <v>25424</v>
      </c>
    </row>
    <row r="25605" customFormat="false" ht="15" hidden="false" customHeight="false" outlineLevel="0" collapsed="false">
      <c r="A25605" s="0" t="n">
        <f aca="false">OPT_PROB_HIT(60,0.3,-0.02,2,85,115)</f>
        <v>1</v>
      </c>
      <c r="B25605" s="0" t="s">
        <v>25425</v>
      </c>
    </row>
    <row r="25606" customFormat="false" ht="15" hidden="false" customHeight="false" outlineLevel="0" collapsed="false">
      <c r="A25606" s="0" t="e">
        <f aca="false">OPT_PROB_INMONEY(60,0.3,-0.02,2,85,115,"a","p")</f>
        <v>#VALUE!</v>
      </c>
      <c r="B25606" s="0" t="s">
        <v>25426</v>
      </c>
    </row>
    <row r="25607" customFormat="false" ht="15" hidden="false" customHeight="false" outlineLevel="0" collapsed="false">
      <c r="A25607" s="0" t="n">
        <f aca="false">OPT_PROB_HIT(150,0.5,0.05,0,0,0)</f>
        <v>0</v>
      </c>
      <c r="B25607" s="0" t="s">
        <v>25427</v>
      </c>
    </row>
    <row r="25608" customFormat="false" ht="15" hidden="false" customHeight="false" outlineLevel="0" collapsed="false">
      <c r="A25608" s="0" t="n">
        <f aca="false">OPT_PROB_INMONEY(150,0.5,0.05,0,0,0,,"call")</f>
        <v>1</v>
      </c>
      <c r="B25608" s="0" t="s">
        <v>25428</v>
      </c>
    </row>
    <row r="25609" customFormat="false" ht="15" hidden="false" customHeight="false" outlineLevel="0" collapsed="false">
      <c r="A25609" s="0" t="n">
        <f aca="false">OPT_PROB_HIT(95,0.1,0.05,0.25,85,115)</f>
        <v>0.0158296889998552</v>
      </c>
      <c r="B25609" s="0" t="s">
        <v>25429</v>
      </c>
    </row>
    <row r="25610" customFormat="false" ht="15" hidden="false" customHeight="false" outlineLevel="0" collapsed="false">
      <c r="A25610" s="0" t="n">
        <f aca="false">OPT_PROB_INMONEY(95,0.1,0.05,0.25,85,115,100,"c")</f>
        <v>0.211443136212932</v>
      </c>
      <c r="B25610" s="0" t="s">
        <v>25430</v>
      </c>
    </row>
    <row r="25611" customFormat="false" ht="15" hidden="false" customHeight="false" outlineLevel="0" collapsed="false">
      <c r="A25611" s="0" t="n">
        <f aca="false">OPT_PROB_HIT(60,0.1,-0.02,0,85,115)</f>
        <v>1</v>
      </c>
      <c r="B25611" s="0" t="s">
        <v>25431</v>
      </c>
    </row>
    <row r="25612" customFormat="false" ht="15" hidden="false" customHeight="false" outlineLevel="0" collapsed="false">
      <c r="A25612" s="0" t="n">
        <f aca="false">OPT_PROB_INMONEY(60,0.1,-0.02,0,85,115,TRUE(),"put")</f>
        <v>0</v>
      </c>
      <c r="B25612" s="0" t="s">
        <v>25432</v>
      </c>
    </row>
    <row r="25613" customFormat="false" ht="15" hidden="false" customHeight="false" outlineLevel="0" collapsed="false">
      <c r="A25613" s="0" t="n">
        <f aca="false">OPT_PROB_HIT(80,0.5,0.05,2,0,120)</f>
        <v>0.497497866008682</v>
      </c>
      <c r="B25613" s="0" t="s">
        <v>25433</v>
      </c>
    </row>
    <row r="25614" customFormat="false" ht="15" hidden="false" customHeight="false" outlineLevel="0" collapsed="false">
      <c r="A25614" s="0" t="n">
        <f aca="false">OPT_PROB_INMONEY(80,0.5,0.05,2,0,120,,"p")</f>
        <v>0.783933329246867</v>
      </c>
      <c r="B25614" s="0" t="s">
        <v>25434</v>
      </c>
    </row>
    <row r="25615" customFormat="false" ht="15" hidden="false" customHeight="false" outlineLevel="0" collapsed="false">
      <c r="A25615" s="0" t="n">
        <f aca="false">OPT_PROB_HIT(120,0.1,0.1,0.25,90,0)</f>
        <v>5.10393949326726E-010</v>
      </c>
      <c r="B25615" s="0" t="s">
        <v>25435</v>
      </c>
    </row>
    <row r="25616" customFormat="false" ht="15" hidden="false" customHeight="false" outlineLevel="0" collapsed="false">
      <c r="A25616" s="0" t="n">
        <f aca="false">OPT_PROB_INMONEY(120,0.1,0.1,0.25,90,0,TRUE(),"call")</f>
        <v>0.999999999764751</v>
      </c>
      <c r="B25616" s="0" t="s">
        <v>25436</v>
      </c>
    </row>
    <row r="25617" customFormat="false" ht="15" hidden="false" customHeight="false" outlineLevel="0" collapsed="false">
      <c r="A25617" s="0" t="e">
        <f aca="false">OPT_BARRIER(0,0.2,0.05,0.02,1,100,90,120,0,"call","in","cont")</f>
        <v>#VALUE!</v>
      </c>
      <c r="B25617" s="0" t="s">
        <v>25437</v>
      </c>
    </row>
    <row r="25618" customFormat="false" ht="15" hidden="false" customHeight="false" outlineLevel="0" collapsed="false">
      <c r="A25618" s="0" t="e">
        <f aca="false">OPT_BARRIER(100,0,0.05,0.02,1,100,90,120,0,"call","in","cont")</f>
        <v>#VALUE!</v>
      </c>
      <c r="B25618" s="0" t="s">
        <v>25438</v>
      </c>
    </row>
    <row r="25619" customFormat="false" ht="15" hidden="false" customHeight="false" outlineLevel="0" collapsed="false">
      <c r="A25619" s="0" t="e">
        <f aca="false">OPT_BARRIER(100,0.2,0.05,0.02,-1,100,90,120,0,"call","in","cont")</f>
        <v>#VALUE!</v>
      </c>
      <c r="B25619" s="0" t="s">
        <v>25439</v>
      </c>
    </row>
    <row r="25620" customFormat="false" ht="15" hidden="false" customHeight="false" outlineLevel="0" collapsed="false">
      <c r="A25620" s="0" t="e">
        <f aca="false">OPT_BARRIER(100,0.2,0.05,0.02,1,-100,90,120,0,"call","in","cont")</f>
        <v>#VALUE!</v>
      </c>
      <c r="B25620" s="0" t="s">
        <v>25440</v>
      </c>
    </row>
    <row r="25621" customFormat="false" ht="15" hidden="false" customHeight="false" outlineLevel="0" collapsed="false">
      <c r="A25621" s="0" t="e">
        <f aca="false">OPT_BARRIER("x",0.2,0.05,0.02,1,100,90,120,0,"call","in","cont")</f>
        <v>#VALUE!</v>
      </c>
      <c r="B25621" s="0" t="s">
        <v>25441</v>
      </c>
    </row>
    <row r="25622" customFormat="false" ht="15" hidden="false" customHeight="false" outlineLevel="0" collapsed="false">
      <c r="A25622" s="0" t="e">
        <f aca="false">OPT_BARRIER(1/0,0.2,0.05,0.02,1,100,90,120,0,"call",NA(),"cont")</f>
        <v>#DIV/0!</v>
      </c>
      <c r="B25622" s="0" t="s">
        <v>25442</v>
      </c>
    </row>
    <row r="25623" customFormat="false" ht="15" hidden="false" customHeight="false" outlineLevel="0" collapsed="false">
      <c r="A25623" s="0" t="e">
        <f aca="false">OPT_BARRIER(100,0.2,0.05,0.02,1,100,90,120,0,1,"in","cont")</f>
        <v>#VALUE!</v>
      </c>
      <c r="B25623" s="0" t="s">
        <v>25443</v>
      </c>
    </row>
    <row r="25624" customFormat="false" ht="15" hidden="false" customHeight="false" outlineLevel="0" collapsed="false">
      <c r="A25624" s="0" t="e">
        <f aca="false">OPT_BARRIER(100,0.2,0.05,0.02,1,100,90,120,0,"call","in")</f>
        <v>#VALUE!</v>
      </c>
      <c r="B25624" s="0" t="s">
        <v>25444</v>
      </c>
    </row>
    <row r="25625" customFormat="false" ht="15" hidden="false" customHeight="false" outlineLevel="0" collapsed="false">
      <c r="A25625" s="0" t="e">
        <f aca="false">OPT_PROB_HIT(100,0.2,0.05,1,90)</f>
        <v>#VALUE!</v>
      </c>
      <c r="B25625" s="0" t="s">
        <v>25445</v>
      </c>
    </row>
    <row r="25626" customFormat="false" ht="15" hidden="false" customHeight="false" outlineLevel="0" collapsed="false">
      <c r="A25626" s="0" t="n">
        <f aca="false">OPT_PROB_INMONEY(100,0.2,0.05,1,90,120,100,"put")</f>
        <v>0.191116696594836</v>
      </c>
      <c r="B25626" s="0" t="s">
        <v>25446</v>
      </c>
    </row>
    <row r="25627" customFormat="false" ht="15" hidden="false" customHeight="false" outlineLevel="0" collapsed="false">
      <c r="A25627" s="0" t="n">
        <f aca="false">OPT_PROB_INMONEY(100,0.2,0.05,1,90,120,,"put")</f>
        <v>0.527587325124323</v>
      </c>
      <c r="B25627" s="0" t="s">
        <v>25447</v>
      </c>
    </row>
    <row r="25628" customFormat="false" ht="15" hidden="false" customHeight="false" outlineLevel="0" collapsed="false">
      <c r="A25628" s="0" t="n">
        <f aca="false">OPT_PROB_INMONEY(100,0.2,0.05,1,90,120,100,)</f>
        <v>0.336470628529487</v>
      </c>
      <c r="B25628" s="0" t="s">
        <v>25448</v>
      </c>
    </row>
    <row r="25629" customFormat="false" ht="15" hidden="false" customHeight="false" outlineLevel="0" collapsed="false">
      <c r="A25629" s="0" t="n">
        <f aca="false">OPT_PROB_INMONEY(100,0.2,0.05,1,90,120)</f>
        <v>0.527587325124323</v>
      </c>
      <c r="B25629" s="0" t="s">
        <v>25449</v>
      </c>
    </row>
    <row r="25630" customFormat="false" ht="15" hidden="false" customHeight="false" outlineLevel="0" collapsed="false">
      <c r="A25630" s="0" t="e">
        <f aca="false">OPT_PROB_INMONEY(100,0.2,0.05,1,90,120,"c")</f>
        <v>#VALUE!</v>
      </c>
      <c r="B25630" s="0" t="s">
        <v>25450</v>
      </c>
    </row>
    <row r="25631" customFormat="false" ht="15" hidden="false" customHeight="false" outlineLevel="0" collapsed="false">
      <c r="A25631" s="0" t="e">
        <f aca="false">OPT_PROB_INMONEY(100,0.2,0.05,1,90,120,"c","c")</f>
        <v>#VALUE!</v>
      </c>
      <c r="B25631" s="0" t="s">
        <v>25451</v>
      </c>
    </row>
    <row r="25632" customFormat="false" ht="15" hidden="false" customHeight="false" outlineLevel="0" collapsed="false">
      <c r="A25632" s="0" t="n">
        <f aca="false">_xlfn.FORECAST.ETS({4.5,4.5},{12;14.22;12;16.64},{1;2;3;4},2)</f>
        <v>14.32</v>
      </c>
      <c r="B25632" s="0" t="s">
        <v>25452</v>
      </c>
    </row>
    <row r="25633" customFormat="false" ht="15" hidden="false" customHeight="false" outlineLevel="0" collapsed="false">
      <c r="A25633" s="0" t="n">
        <f aca="false">_xlfn.FORECAST.ETS.STAT({12;14.22;12;16.64},{1;2;3;4},{4;8},2)</f>
        <v>0.117589893100097</v>
      </c>
      <c r="B25633" s="0" t="s">
        <v>25453</v>
      </c>
    </row>
    <row r="25634" customFormat="false" ht="15" hidden="false" customHeight="false" outlineLevel="0" collapsed="false">
      <c r="A25634" s="0" t="n">
        <f aca="false">_xlfn.FORECAST.ETS.SEASONALITY({12;14.22;12;16.64},{1;2;3;4},1,5)</f>
        <v>2</v>
      </c>
      <c r="B25634" s="0" t="s">
        <v>25454</v>
      </c>
    </row>
    <row r="25635" customFormat="false" ht="15" hidden="false" customHeight="false" outlineLevel="0" collapsed="false">
      <c r="A25635" s="0" t="n">
        <f aca="false">_xlfn.FORECAST.ETS({11,11.5,11},{51.62;13.08;18.8;60.62;12.73;13.3;9;47.4;36;63;80.1;78;82.4;30.5;55;21;69;54;19.91;20},{1;1.5;2;2.5;3;3.5;4;4.5;5;5.5;6;6.5;7;7.5;8;8.5;9;9.5;10;10.5},4)</f>
        <v>51.0643846893311</v>
      </c>
      <c r="B25635" s="0" t="s">
        <v>25455</v>
      </c>
    </row>
    <row r="25636" customFormat="false" ht="15" hidden="false" customHeight="false" outlineLevel="0" collapsed="false">
      <c r="A25636" s="0" t="n">
        <f aca="false">_xlfn.ORG.LIBREOFFICE.FORECAST.ETS.STAT.MULT({51.62;13.08;18.8;60.62;12.73;13.3;9;47.4;36;63;80.1;78;82.4;30.5;55;21;69;54;19.91;20},{1;1.5;2;2.5;3;3.5;4;4.5;5;5.5;6;6.5;7;7.5;8;8.5;9;9.5;10;10.5},{5;6;9;3;7;1;8;4;2},4)</f>
        <v>0.547264243484564</v>
      </c>
      <c r="B25636" s="0" t="s">
        <v>25456</v>
      </c>
    </row>
    <row r="25637" customFormat="false" ht="15" hidden="false" customHeight="false" outlineLevel="0" collapsed="false">
      <c r="A25637" s="0" t="n">
        <f aca="false">_xlfn.FORECAST.ETS.SEASONALITY({51.62;13.08;18.8;60.62;12.73;13.3;9;47.4;36;63;80.1;78;82.4;30.5;55;21;69;54;19.91;20},{1;1.5;2;2.5;3;3.5;4;4.5;5;5.5;6;6.5;7;7.5;8;8.5;9;9.5;10;10.5},1,3)</f>
        <v>7</v>
      </c>
      <c r="B25637" s="0" t="s">
        <v>25457</v>
      </c>
    </row>
    <row r="25638" customFormat="false" ht="15" hidden="false" customHeight="false" outlineLevel="0" collapsed="false">
      <c r="A25638" s="0" t="n">
        <f aca="false">_xlfn.FORECAST.ETS({44983;44908;44923},{43.2;43.21;43.21;43.2;43.2;43.21;43;43.21;43.21;43;43.21},{44589;44620;44648;44679;44709;44740;44770;44801;44832;44862;44893},0,,3)</f>
        <v>43.1191696428281</v>
      </c>
      <c r="B25638" s="0" t="s">
        <v>25458</v>
      </c>
    </row>
    <row r="25639" customFormat="false" ht="15" hidden="false" customHeight="false" outlineLevel="0" collapsed="false">
      <c r="A25639" s="0" t="n">
        <f aca="false">_xlfn.FORECAST.ETS.STAT({43.2;43.21;43.21;43.2;43.2;43.21;43;43.21;43.21;43;43.21},{44589;44620;44648;44679;44709;44740;44770;44801;44832;44862;44893},{3;7},0,,3)</f>
        <v>0</v>
      </c>
      <c r="B25639" s="0" t="s">
        <v>25459</v>
      </c>
    </row>
    <row r="25640" customFormat="false" ht="15" hidden="false" customHeight="false" outlineLevel="0" collapsed="false">
      <c r="A25640" s="0" t="n">
        <f aca="false">_xlfn.FORECAST.ETS.SEASONALITY({43.2;43.21;43.21;43.2;43.2;43.21;43;43.21;43.21;43;43.21},{44589;44620;44648;44679;44709;44740;44770;44801;44832;44862;44893},1)</f>
        <v>3</v>
      </c>
      <c r="B25640" s="0" t="s">
        <v>25460</v>
      </c>
    </row>
    <row r="25641" customFormat="false" ht="15" hidden="false" customHeight="false" outlineLevel="0" collapsed="false">
      <c r="A25641" s="0" t="e">
        <f aca="false">_xlfn.FORECAST.ETS({44772;44832;44742},{8;8.5;8.5;33;8},{44620;44651;44681;44681;44712},1,1)</f>
        <v>#VALUE!</v>
      </c>
      <c r="B25641" s="0" t="s">
        <v>25461</v>
      </c>
    </row>
    <row r="25642" customFormat="false" ht="15" hidden="false" customHeight="false" outlineLevel="0" collapsed="false">
      <c r="A25642" s="0" t="e">
        <f aca="false">_xlfn.ORG.LIBREOFFICE.FORECAST.ETS.STAT.MULT({8;8.5;8.5;33;8},{44620;44651;44681;44681;44712},{4;3;8;7;5;2;6;9;1},1,1)</f>
        <v>#VALUE!</v>
      </c>
      <c r="B25642" s="0" t="s">
        <v>25462</v>
      </c>
    </row>
    <row r="25643" customFormat="false" ht="15" hidden="false" customHeight="false" outlineLevel="0" collapsed="false">
      <c r="A25643" s="0" t="e">
        <f aca="false">_xlfn.FORECAST.ETS.SEASONALITY({8;8.5;8.5;33;8},{44620;44651;44681;44681;44712},1,1)</f>
        <v>#VALUE!</v>
      </c>
      <c r="B25643" s="0" t="s">
        <v>25463</v>
      </c>
    </row>
    <row r="25644" customFormat="false" ht="15" hidden="false" customHeight="false" outlineLevel="0" collapsed="false">
      <c r="A25644" s="0" t="n">
        <f aca="false">_xlfn.FORECAST.ETS({20,18.25},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2)</f>
        <v>85.607425580934</v>
      </c>
      <c r="B25644" s="0" t="s">
        <v>25464</v>
      </c>
    </row>
    <row r="25645" customFormat="false" ht="15" hidden="false" customHeight="false" outlineLevel="0" collapsed="false">
      <c r="A25645" s="0" t="n">
        <f aca="false">_xlfn.ORG.LIBREOFFICE.FORECAST.ETS.STAT.MULT(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{2},2)</f>
        <v>0.03515625</v>
      </c>
      <c r="B25645" s="0" t="s">
        <v>25465</v>
      </c>
    </row>
    <row r="25646" customFormat="false" ht="15" hidden="false" customHeight="false" outlineLevel="0" collapsed="false">
      <c r="A25646" s="0" t="n">
        <f aca="false">_xlfn.FORECAST.ETS.SEASONALITY(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1)</f>
        <v>7</v>
      </c>
      <c r="B25646" s="0" t="s">
        <v>25466</v>
      </c>
    </row>
    <row r="25647" customFormat="false" ht="15" hidden="false" customHeight="false" outlineLevel="0" collapsed="false">
      <c r="A25647" s="0" t="n">
        <f aca="false">_xlfn.ORG.LIBREOFFICE.FORECAST.ETS.PI.MULT(19.5,{42.3;50.69;46;44.9;56;35.4;29;65;73;66.62;61;76.9;48.03;41;85.7;98.89;86;79.6;96.4;61;51.84;107;121;105.2;98.94;117;72.5;62;129.12;144.6;125;116.2;140;85.6;71.35},{1;1.5;2;2.5;3;3.5;4;4.5;5;5.5;6;6.5;7;7.5;8;8.5;9;9.5;10;10.5;11;11.5;12;12.5;13;13.5;14;14.5;15;15.5;16;16.5;17;17.5;18},0.5,0,1,7)</f>
        <v>21.1985426338453</v>
      </c>
      <c r="B25647" s="0" t="s">
        <v>25467</v>
      </c>
    </row>
    <row r="25648" customFormat="false" ht="15" hidden="false" customHeight="false" outlineLevel="0" collapsed="false">
      <c r="A25648" s="0" t="n">
        <f aca="false">_xlfn.ORG.LIBREOFFICE.FORECAST.ETS.MULT(63,{18.4;13;26;25;21.26;34;31;29.1;40.66;40;36;46.3},{3;8;13;18;23;28;33;38;43;48;53;58},0)</f>
        <v>45.3536793603992</v>
      </c>
      <c r="B25648" s="0" t="s">
        <v>25468</v>
      </c>
    </row>
    <row r="25649" customFormat="false" ht="15" hidden="false" customHeight="false" outlineLevel="0" collapsed="false">
      <c r="A25649" s="0" t="n">
        <f aca="false">_xlfn.FORECAST.ETS.STAT({18.4;13;26;25;21.26;34;31;29.1;40.66;40;36;46.3},{3;8;13;18;23;28;33;38;43;48;53;58},{4;1;2;5;3;7;6;9;8},0)</f>
        <v>0.633503874725194</v>
      </c>
      <c r="B25649" s="0" t="s">
        <v>25469</v>
      </c>
    </row>
    <row r="25650" customFormat="false" ht="15" hidden="false" customHeight="false" outlineLevel="0" collapsed="false">
      <c r="A25650" s="0" t="n">
        <f aca="false">_xlfn.FORECAST.ETS.SEASONALITY({18.4;13;26;25;21.26;34;31;29.1;40.66;40;36;46.3},{3;8;13;18;23;28;33;38;43;48;53;58})</f>
        <v>3</v>
      </c>
      <c r="B25650" s="0" t="s">
        <v>25470</v>
      </c>
    </row>
    <row r="25651" customFormat="false" ht="15" hidden="false" customHeight="false" outlineLevel="0" collapsed="false">
      <c r="A25651" s="0" t="n">
        <f aca="false">_xlfn.ORG.LIBREOFFICE.FORECAST.ETS.MULT(5.25,{24;27;26.7;30.8;31;32.16;33.06;36;37.17},{1;1.5;2;2.5;3;3.5;4;4.5;5},1,0,6)</f>
        <v>37.6128624470566</v>
      </c>
      <c r="B25651" s="0" t="s">
        <v>25471</v>
      </c>
    </row>
    <row r="25652" customFormat="false" ht="15" hidden="false" customHeight="false" outlineLevel="0" collapsed="false">
      <c r="A25652" s="0" t="n">
        <f aca="false">_xlfn.FORECAST.ETS.STAT({24;27;26.7;30.8;31;32.16;33.06;36;37.17},{1;1.5;2;2.5;3;3.5;4;4.5;5},{3;5;9;6;2;7;1;4;8},1,0,6)</f>
        <v>0</v>
      </c>
      <c r="B25652" s="0" t="s">
        <v>25472</v>
      </c>
    </row>
    <row r="25653" customFormat="false" ht="15" hidden="false" customHeight="false" outlineLevel="0" collapsed="false">
      <c r="A25653" s="0" t="n">
        <f aca="false">_xlfn.FORECAST.ETS.SEASONALITY({24;27;26.7;30.8;31;32.16;33.06;36;37.17},{1;1.5;2;2.5;3;3.5;4;4.5;5},1)</f>
        <v>4</v>
      </c>
      <c r="B25653" s="0" t="s">
        <v>25473</v>
      </c>
    </row>
    <row r="25654" customFormat="false" ht="15" hidden="false" customHeight="false" outlineLevel="0" collapsed="false">
      <c r="A25654" s="0" t="e">
        <f aca="false">_xlfn.ORG.LIBREOFFICE.FORECAST.ETS.MULT({45488;45503;45563},{27.13;27;30.5;35;35.5;38.22;42;43.53;48.43;51;51;54.7;57.22;59;61.63;66.91;67.82;71.7;72.7;77;79.9},{44834;44865;44895;44926;44957;44985;45016;45046;45077;45107;45138;45169;45199;45230;45260;45291;45322;45351;45382;45412;45443},0)</f>
        <v>#VALUE!</v>
      </c>
      <c r="B25654" s="0" t="s">
        <v>25474</v>
      </c>
    </row>
    <row r="25655" customFormat="false" ht="15" hidden="false" customHeight="false" outlineLevel="0" collapsed="false">
      <c r="A25655" s="0" t="e">
        <f aca="false">_xlfn.ORG.LIBREOFFICE.FORECAST.ETS.STAT.MULT({27.13;27;30.5;35;35.5;38.22;42;43.53;48.43;51;51;54.7;57.22;59;61.63;66.91;67.82;71.7;72.7;77;79.9},{44834;44865;44895;44926;44957;44985;45016;45046;45077;45107;45138;45169;45199;45230;45260;45291;45322;45351;45382;45412;45443},{7;1},0)</f>
        <v>#VALUE!</v>
      </c>
      <c r="B25655" s="0" t="s">
        <v>25475</v>
      </c>
    </row>
    <row r="25656" customFormat="false" ht="15" hidden="false" customHeight="false" outlineLevel="0" collapsed="false">
      <c r="A25656" s="0" t="e">
        <f aca="false">_xlfn.FORECAST.ETS.SEASONALITY({27.13;27;30.5;35;35.5;38.22;42;43.53;48.43;51;51;54.7;57.22;59;61.63;66.91;67.82;71.7;72.7;77;79.9},{44834;44865;44895;44926;44957;44985;45016;45046;45077;45107;45138;45169;45199;45230;45260;45291;45322;45351;45382;45412;45443},0,5)</f>
        <v>#VALUE!</v>
      </c>
      <c r="B25656" s="0" t="s">
        <v>25476</v>
      </c>
    </row>
    <row r="25657" customFormat="false" ht="15" hidden="false" customHeight="false" outlineLevel="0" collapsed="false">
      <c r="A25657" s="0" t="n">
        <f aca="false">_xlfn.FORECAST.ETS({45026,45026,45025},{21.6;18.83;19.5;17;18;15.2;16;14;14.4;11.3;11;11;9.24;8.2;6.6;7.5;3.64;4;3.95;3.1;0;-1.19;0.5;-0.84},{45000;45001;45002;45003;45004;45005;45006;45007;45008;45009;45010;45011;45012;45013;45014;45015;45016;45017;45018;45019;45020;45021;45022;45023},1,,5)</f>
        <v>-3.48090909090909</v>
      </c>
      <c r="B25657" s="0" t="s">
        <v>25477</v>
      </c>
    </row>
    <row r="25658" customFormat="false" ht="15" hidden="false" customHeight="false" outlineLevel="0" collapsed="false">
      <c r="A25658" s="0" t="n">
        <f aca="false">_xlfn.FORECAST.ETS.STAT({21.6;18.83;19.5;17;18;15.2;16;14;14.4;11.3;11;11;9.24;8.2;6.6;7.5;3.64;4;3.95;3.1;0;-1.19;0.5;-0.84},{45000;45001;45002;45003;45004;45005;45006;45007;45008;45009;45010;45011;45012;45013;45014;45015;45016;45017;45018;45019;45020;45021;45022;45023},{2;1;8;9;6;3;7;5;4},1,,5)</f>
        <v>0</v>
      </c>
      <c r="B25658" s="0" t="s">
        <v>25478</v>
      </c>
    </row>
    <row r="25659" customFormat="false" ht="15" hidden="false" customHeight="false" outlineLevel="0" collapsed="false">
      <c r="A25659" s="0" t="n">
        <f aca="false">_xlfn.FORECAST.ETS.SEASONALITY({21.6;18.83;19.5;17;18;15.2;16;14;14.4;11.3;11;11;9.24;8.2;6.6;7.5;3.64;4;3.95;3.1;0;-1.19;0.5;-0.84},{45000;45001;45002;45003;45004;45005;45006;45007;45008;45009;45010;45011;45012;45013;45014;45015;45016;45017;45018;45019;45020;45021;45022;45023})</f>
        <v>11</v>
      </c>
      <c r="B25659" s="0" t="s">
        <v>25479</v>
      </c>
    </row>
    <row r="25660" customFormat="false" ht="15" hidden="false" customHeight="false" outlineLevel="0" collapsed="false">
      <c r="A25660" s="0" t="n">
        <f aca="false">_xlfn.ORG.LIBREOFFICE.FORECAST.ETS.MULT({12,10,10},{50.44;42.08;55.8;61;54.9;69.2;75.71;66;81.8},{1;2;3;4;5;6;7;8;9},1,0,3)</f>
        <v>94.502487012526</v>
      </c>
      <c r="B25660" s="0" t="s">
        <v>25480</v>
      </c>
    </row>
    <row r="25661" customFormat="false" ht="15" hidden="false" customHeight="false" outlineLevel="0" collapsed="false">
      <c r="A25661" s="0" t="n">
        <f aca="false">_xlfn.FORECAST.ETS.STAT({50.44;42.08;55.8;61;54.9;69.2;75.71;66;81.8},{1;2;3;4;5;6;7;8;9},{8},1,0,3)</f>
        <v>1</v>
      </c>
      <c r="B25661" s="0" t="s">
        <v>25481</v>
      </c>
    </row>
    <row r="25662" customFormat="false" ht="15" hidden="false" customHeight="false" outlineLevel="0" collapsed="false">
      <c r="A25662" s="0" t="n">
        <f aca="false">_xlfn.FORECAST.ETS.SEASONALITY({50.44;42.08;55.8;61;54.9;69.2;75.71;66;81.8},{1;2;3;4;5;6;7;8;9},0)</f>
        <v>3</v>
      </c>
      <c r="B25662" s="0" t="s">
        <v>25482</v>
      </c>
    </row>
    <row r="25663" customFormat="false" ht="15" hidden="false" customHeight="false" outlineLevel="0" collapsed="false">
      <c r="A25663" s="0" t="e">
        <f aca="false">_xlfn.ORG.LIBREOFFICE.FORECAST.ETS.PI.MULT(12,{50.44;42.08;55.8;61;54.9;69.2;75.71;66;81.8},{1;2;3;4;5;6;7;8;9},1,0)</f>
        <v>#NUM!</v>
      </c>
      <c r="B25663" s="0" t="s">
        <v>25483</v>
      </c>
    </row>
    <row r="25664" customFormat="false" ht="15" hidden="false" customHeight="false" outlineLevel="0" collapsed="false">
      <c r="A25664" s="0" t="n">
        <f aca="false">_xlfn.FORECAST.ETS({45274;45214},{28.1;31.53;28.8;35;38;50;54;51.09;55.77;57;69.84;75;71.5;76;78;92;97.16;92.2;97.6;100.6},{44607;44635;44666;44696;44727;44757;44788;44819;44849;44880;44910;44941;44972;45000;45031;45061;45092;45122;45153;45184},0,1)</f>
        <v>111.924278438034</v>
      </c>
      <c r="B25664" s="0" t="s">
        <v>25484</v>
      </c>
    </row>
    <row r="25665" customFormat="false" ht="15" hidden="false" customHeight="false" outlineLevel="0" collapsed="false">
      <c r="A25665" s="0" t="n">
        <f aca="false">_xlfn.ORG.LIBREOFFICE.FORECAST.ETS.STAT.MULT({28.1;31.53;28.8;35;38;50;54;51.09;55.77;57;69.84;75;71.5;76;78;92;97.16;92.2;97.6;100.6},{44607;44635;44666;44696;44727;44757;44788;44819;44849;44880;44910;44941;44972;45000;45031;45061;45092;45122;45153;45184},{1;3},0,1)</f>
        <v>0</v>
      </c>
      <c r="B25665" s="0" t="s">
        <v>25485</v>
      </c>
    </row>
    <row r="25666" customFormat="false" ht="15" hidden="false" customHeight="false" outlineLevel="0" collapsed="false">
      <c r="A25666" s="0" t="n">
        <f aca="false">_xlfn.FORECAST.ETS.SEASONALITY({28.1;31.53;28.8;35;38;50;54;51.09;55.77;57;69.84;75;71.5;76;78;92;97.16;92.2;97.6;100.6},{44607;44635;44666;44696;44727;44757;44788;44819;44849;44880;44910;44941;44972;45000;45031;45061;45092;45122;45153;45184},0,5)</f>
        <v>5</v>
      </c>
      <c r="B25666" s="0" t="s">
        <v>25486</v>
      </c>
    </row>
    <row r="25667" customFormat="false" ht="15" hidden="false" customHeight="false" outlineLevel="0" collapsed="false">
      <c r="A25667" s="0" t="n">
        <f aca="false">_xlfn.FORECAST.ETS({18},{7.6;8;10.12;12.3;15.8;10;15.3;18;25;15;20.14;24.73;1.7;29.3;20;27.2;32.57},{1;2;3;4;5;6;7;8;9;10;11;12;12;13;14;15;16},1,1)</f>
        <v>25.27</v>
      </c>
      <c r="B25667" s="0" t="s">
        <v>25487</v>
      </c>
    </row>
    <row r="25668" customFormat="false" ht="15" hidden="false" customHeight="false" outlineLevel="0" collapsed="false">
      <c r="A25668" s="0" t="n">
        <f aca="false">_xlfn.ORG.LIBREOFFICE.FORECAST.ETS.STAT.MULT({7.6;8;10.12;12.3;15.8;10;15.3;18;25;15;20.14;24.73;1.7;29.3;20;27.2;32.57},{1;2;3;4;5;6;7;8;9;10;11;12;12;13;14;15;16},{3},1,1)</f>
        <v>0.640625</v>
      </c>
      <c r="B25668" s="0" t="s">
        <v>25488</v>
      </c>
    </row>
    <row r="25669" customFormat="false" ht="15" hidden="false" customHeight="false" outlineLevel="0" collapsed="false">
      <c r="A25669" s="0" t="n">
        <f aca="false">_xlfn.FORECAST.ETS.SEASONALITY({7.6;8;10.12;12.3;15.8;10;15.3;18;25;15;20.14;24.73;1.7;29.3;20;27.2;32.57},{1;2;3;4;5;6;7;8;9;10;11;12;12;13;14;15;16},0)</f>
        <v>4</v>
      </c>
      <c r="B25669" s="0" t="s">
        <v>25489</v>
      </c>
    </row>
    <row r="25670" customFormat="false" ht="15" hidden="false" customHeight="false" outlineLevel="0" collapsed="false">
      <c r="A25670" s="0" t="n">
        <f aca="false">_xlfn.FORECAST.ETS({17.5},{65.7;14;41.74;36;51.35;64;48.34;21.51;86;5.5;88.2;45.61;4.6;12;73.2;76.6;51.67},{1;2;3;4;5;6;7;8;9;10;11;12;13;14;15;16;17},2,0)</f>
        <v>49.1901114420094</v>
      </c>
      <c r="B25670" s="0" t="s">
        <v>25490</v>
      </c>
    </row>
    <row r="25671" customFormat="false" ht="15" hidden="false" customHeight="false" outlineLevel="0" collapsed="false">
      <c r="A25671" s="0" t="n">
        <f aca="false">_xlfn.FORECAST.ETS.STAT({65.7;14;41.74;36;51.35;64;48.34;21.51;86;5.5;88.2;45.61;4.6;12;73.2;76.6;51.67},{1;2;3;4;5;6;7;8;9;10;11;12;13;14;15;16;17},{3;1},2,0)</f>
        <v>0</v>
      </c>
      <c r="B25671" s="0" t="s">
        <v>25491</v>
      </c>
    </row>
    <row r="25672" customFormat="false" ht="15" hidden="false" customHeight="false" outlineLevel="0" collapsed="false">
      <c r="A25672" s="0" t="n">
        <f aca="false">_xlfn.FORECAST.ETS.SEASONALITY({65.7;14;41.74;36;51.35;64;48.34;21.51;86;5.5;88.2;45.61;4.6;12;73.2;76.6;51.67},{1;2;3;4;5;6;7;8;9;10;11;12;13;14;15;16;17},0,6)</f>
        <v>8</v>
      </c>
      <c r="B25672" s="0" t="s">
        <v>25492</v>
      </c>
    </row>
    <row r="25673" customFormat="false" ht="15" hidden="false" customHeight="false" outlineLevel="0" collapsed="false">
      <c r="A25673" s="0" t="n">
        <f aca="false">_xlfn.ORG.LIBREOFFICE.FORECAST.ETS.MULT({50.5;63;55.5},{40.53;41;41;40.53;40.5;41;40.5;40.5;41;40.53},{3;8;13;18;23;28;33;38;43;48})</f>
        <v>40.4465458817326</v>
      </c>
      <c r="B25673" s="0" t="s">
        <v>25493</v>
      </c>
    </row>
    <row r="25674" customFormat="false" ht="15" hidden="false" customHeight="false" outlineLevel="0" collapsed="false">
      <c r="A25674" s="0" t="n">
        <f aca="false">_xlfn.FORECAST.ETS.STAT({40.53;41;41;40.53;40.5;41;40.5;40.5;41;40.53},{3;8;13;18;23;28;33;38;43;48},{3})</f>
        <v>1</v>
      </c>
      <c r="B25674" s="0" t="s">
        <v>25494</v>
      </c>
    </row>
    <row r="25675" customFormat="false" ht="15" hidden="false" customHeight="false" outlineLevel="0" collapsed="false">
      <c r="A25675" s="0" t="n">
        <f aca="false">_xlfn.FORECAST.ETS.SEASONALITY({40.53;41;41;40.53;40.5;41;40.5;40.5;41;40.53},{3;8;13;18;23;28;33;38;43;48})</f>
        <v>3</v>
      </c>
      <c r="B25675" s="0" t="s">
        <v>25495</v>
      </c>
    </row>
    <row r="25676" customFormat="false" ht="15" hidden="false" customHeight="false" outlineLevel="0" collapsed="false">
      <c r="A25676" s="0" t="n">
        <f aca="false">_xlfn.FORECAST.ETS({44831;44921},{53.2;42.97;51.82;42},{44709;44740;44770;44801},2,1,6)</f>
        <v>50.5035498046918</v>
      </c>
      <c r="B25676" s="0" t="s">
        <v>25496</v>
      </c>
    </row>
    <row r="25677" customFormat="false" ht="15" hidden="false" customHeight="false" outlineLevel="0" collapsed="false">
      <c r="A25677" s="0" t="n">
        <f aca="false">_xlfn.FORECAST.ETS.STAT({53.2;42.97;51.82;42},{44709;44740;44770;44801},{5;3},2,1,6)</f>
        <v>0.00163096445690876</v>
      </c>
      <c r="B25677" s="0" t="s">
        <v>25497</v>
      </c>
    </row>
    <row r="25678" customFormat="false" ht="15" hidden="false" customHeight="false" outlineLevel="0" collapsed="false">
      <c r="A25678" s="0" t="n">
        <f aca="false">_xlfn.FORECAST.ETS.SEASONALITY({53.2;42.97;51.82;42},{44709;44740;44770;44801})</f>
        <v>2</v>
      </c>
      <c r="B25678" s="0" t="s">
        <v>25498</v>
      </c>
    </row>
    <row r="25679" customFormat="false" ht="15" hidden="false" customHeight="false" outlineLevel="0" collapsed="false">
      <c r="A25679" s="0" t="n">
        <f aca="false">_xlfn.ORG.LIBREOFFICE.FORECAST.ETS.MULT({5.25,5.75,6.5},{47;57.2;56.03;29.5;53.12;61.16;61;58.44;64.94;63.74},{1;1.5;2;2;2.5;3;3.5;4;4.5;5})</f>
        <v>64.1215402863976</v>
      </c>
      <c r="B25679" s="0" t="s">
        <v>25499</v>
      </c>
    </row>
    <row r="25680" customFormat="false" ht="15" hidden="false" customHeight="false" outlineLevel="0" collapsed="false">
      <c r="A25680" s="0" t="n">
        <f aca="false">_xlfn.FORECAST.ETS.STAT({47;57.2;56.03;29.5;53.12;61.16;61;58.44;64.94;63.74},{1;1.5;2;2;2.5;3;3.5;4;4.5;5},{2;3})</f>
        <v>0.71484375</v>
      </c>
      <c r="B25680" s="0" t="s">
        <v>25500</v>
      </c>
    </row>
    <row r="25681" customFormat="false" ht="15" hidden="false" customHeight="false" outlineLevel="0" collapsed="false">
      <c r="A25681" s="0" t="n">
        <f aca="false">_xlfn.FORECAST.ETS.SEASONALITY({47;57.2;56.03;29.5;53.12;61.16;61;58.44;64.94;63.74},{1;1.5;2;2;2.5;3;3.5;4;4.5;5})</f>
        <v>3</v>
      </c>
      <c r="B25681" s="0" t="s">
        <v>25501</v>
      </c>
    </row>
    <row r="25682" customFormat="false" ht="15" hidden="false" customHeight="false" outlineLevel="0" collapsed="false">
      <c r="A25682" s="0" t="n">
        <f aca="false">_xlfn.ORG.LIBREOFFICE.FORECAST.ETS.MULT({45439},{39;31;45.5;57.88;44.76;60;78.5;59.7;78;95.71;14.6;74;95;117;87;110},{44893;44923;44954;44985;45013;45044;45074;45105;45135;45166;45166;45197;45227;45258;45288;45319},1,,2)</f>
        <v>148.447136564017</v>
      </c>
      <c r="B25682" s="0" t="s">
        <v>25502</v>
      </c>
    </row>
    <row r="25683" customFormat="false" ht="15" hidden="false" customHeight="false" outlineLevel="0" collapsed="false">
      <c r="A25683" s="0" t="n">
        <f aca="false">_xlfn.FORECAST.ETS.STAT({39;31;45.5;57.88;44.76;60;78.5;59.7;78;95.71;14.6;74;95;117;87;110},{44893;44923;44954;44985;45013;45044;45074;45105;45135;45166;45166;45197;45227;45258;45288;45319},{7;5;8;1;9;4;6;3;2},1,,2)</f>
        <v>22.1892313364296</v>
      </c>
      <c r="B25683" s="0" t="s">
        <v>25503</v>
      </c>
    </row>
    <row r="25684" customFormat="false" ht="15" hidden="false" customHeight="false" outlineLevel="0" collapsed="false">
      <c r="A25684" s="0" t="n">
        <f aca="false">_xlfn.FORECAST.ETS.SEASONALITY({39;31;45.5;57.88;44.76;60;78.5;59.7;78;95.71;14.6;74;95;117;87;110},{44893;44923;44954;44985;45013;45044;45074;45105;45135;45166;45166;45197;45227;45258;45288;45319})</f>
        <v>3</v>
      </c>
      <c r="B25684" s="0" t="s">
        <v>25504</v>
      </c>
    </row>
    <row r="25685" customFormat="false" ht="15" hidden="false" customHeight="false" outlineLevel="0" collapsed="false">
      <c r="A25685" s="0" t="n">
        <f aca="false">_xlfn.ORG.LIBREOFFICE.FORECAST.ETS.MULT(44938,{5.66;8;5;0;4.42;0.89;-1.7;1.65;-2.42},{44770;44801;44832;44862;44893;44923;44954;44985;45013},0,1)</f>
        <v>0.525104806769114</v>
      </c>
      <c r="B25685" s="0" t="s">
        <v>25505</v>
      </c>
    </row>
    <row r="25686" customFormat="false" ht="15" hidden="false" customHeight="false" outlineLevel="0" collapsed="false">
      <c r="A25686" s="0" t="n">
        <f aca="false">_xlfn.FORECAST.ETS.STAT({5.66;8;5;0;4.42;0.89;-1.7;1.65;-2.42},{44770;44801;44832;44862;44893;44923;44954;44985;45013},{3;7;8;4;1;5;9;6;2},0,1)</f>
        <v>0</v>
      </c>
      <c r="B25686" s="0" t="s">
        <v>25506</v>
      </c>
    </row>
    <row r="25687" customFormat="false" ht="15" hidden="false" customHeight="false" outlineLevel="0" collapsed="false">
      <c r="A25687" s="0" t="n">
        <f aca="false">_xlfn.FORECAST.ETS.SEASONALITY({5.66;8;5;0;4.42;0.89;-1.7;1.65;-2.42},{44770;44801;44832;44862;44893;44923;44954;44985;45013})</f>
        <v>3</v>
      </c>
      <c r="B25687" s="0" t="s">
        <v>25507</v>
      </c>
    </row>
    <row r="25688" customFormat="false" ht="15" hidden="false" customHeight="false" outlineLevel="0" collapsed="false">
      <c r="A25688" s="0" t="e">
        <f aca="false">_xlfn.ORG.LIBREOFFICE.FORECAST.ETS.MULT(45214,{44;40.4;42.8;48;53.2;62.86;56.42;62;66.34;69},{44895;44926;44957;44985;45016;45046;45077;45107;45138;45169},1,,3)</f>
        <v>#VALUE!</v>
      </c>
      <c r="B25688" s="0" t="s">
        <v>25508</v>
      </c>
    </row>
    <row r="25689" customFormat="false" ht="15" hidden="false" customHeight="false" outlineLevel="0" collapsed="false">
      <c r="A25689" s="0" t="e">
        <f aca="false">_xlfn.ORG.LIBREOFFICE.FORECAST.ETS.STAT.MULT({44;40.4;42.8;48;53.2;62.86;56.42;62;66.34;69},{44895;44926;44957;44985;45016;45046;45077;45107;45138;45169},{3;7},1,,3)</f>
        <v>#VALUE!</v>
      </c>
      <c r="B25689" s="0" t="s">
        <v>25509</v>
      </c>
    </row>
    <row r="25690" customFormat="false" ht="15" hidden="false" customHeight="false" outlineLevel="0" collapsed="false">
      <c r="A25690" s="0" t="e">
        <f aca="false">_xlfn.FORECAST.ETS.SEASONALITY({44;40.4;42.8;48;53.2;62.86;56.42;62;66.34;69},{44895;44926;44957;44985;45016;45046;45077;45107;45138;45169})</f>
        <v>#VALUE!</v>
      </c>
      <c r="B25690" s="0" t="s">
        <v>25510</v>
      </c>
    </row>
    <row r="25691" customFormat="false" ht="15" hidden="false" customHeight="false" outlineLevel="0" collapsed="false">
      <c r="A25691" s="0" t="n">
        <f aca="false">_xlfn.FORECAST.ETS({53,48,58},{26.7;26.74;26.74;26.7;27;26.7;26.74;26.74;26.7},{3;8;13;18;23;28;33;38;43},0,0)</f>
        <v>26.7343923926353</v>
      </c>
      <c r="B25691" s="0" t="s">
        <v>25511</v>
      </c>
    </row>
    <row r="25692" customFormat="false" ht="15" hidden="false" customHeight="false" outlineLevel="0" collapsed="false">
      <c r="A25692" s="0" t="n">
        <f aca="false">_xlfn.ORG.LIBREOFFICE.FORECAST.ETS.STAT.MULT({26.7;26.74;26.74;26.7;27;26.7;26.74;26.74;26.7},{3;8;13;18;23;28;33;38;43},{1;8},0,0)</f>
        <v>0.125</v>
      </c>
      <c r="B25692" s="0" t="s">
        <v>25512</v>
      </c>
    </row>
    <row r="25693" customFormat="false" ht="15" hidden="false" customHeight="false" outlineLevel="0" collapsed="false">
      <c r="A25693" s="0" t="n">
        <f aca="false">_xlfn.FORECAST.ETS.SEASONALITY({26.7;26.74;26.74;26.7;27;26.7;26.74;26.74;26.7},{3;8;13;18;23;28;33;38;43})</f>
        <v>4</v>
      </c>
      <c r="B25693" s="0" t="s">
        <v>25513</v>
      </c>
    </row>
    <row r="25694" customFormat="false" ht="15" hidden="false" customHeight="false" outlineLevel="0" collapsed="false">
      <c r="A25694" s="0" t="n">
        <f aca="false">_xlfn.ORG.LIBREOFFICE.FORECAST.ETS.MULT({15.5;16;15},{39.73;23.31;38;24;30;35;20.66;27;17;27;16;18.2;44.6;23;12.6},{1;2;3;4;5;6;7;8;9;10;11;12;12;13;14},0,0)</f>
        <v>9.46961538461537</v>
      </c>
      <c r="B25694" s="0" t="s">
        <v>25514</v>
      </c>
    </row>
    <row r="25695" customFormat="false" ht="15" hidden="false" customHeight="false" outlineLevel="0" collapsed="false">
      <c r="A25695" s="0" t="n">
        <f aca="false">_xlfn.ORG.LIBREOFFICE.FORECAST.ETS.STAT.MULT({39.73;23.31;38;24;30;35;20.66;27;17;27;16;18.2;44.6;23;12.6},{1;2;3;4;5;6;7;8;9;10;11;12;12;13;14},{6;4;9;3;5;2;1;7;8},0,0)</f>
        <v>5.11130177514793</v>
      </c>
      <c r="B25695" s="0" t="s">
        <v>25515</v>
      </c>
    </row>
    <row r="25696" customFormat="false" ht="15" hidden="false" customHeight="false" outlineLevel="0" collapsed="false">
      <c r="A25696" s="0" t="n">
        <f aca="false">_xlfn.FORECAST.ETS.SEASONALITY({39.73;23.31;38;24;30;35;20.66;27;17;27;16;18.2;44.6;23;12.6},{1;2;3;4;5;6;7;8;9;10;11;12;12;13;14})</f>
        <v>7</v>
      </c>
      <c r="B25696" s="0" t="s">
        <v>25516</v>
      </c>
    </row>
    <row r="25697" customFormat="false" ht="15" hidden="false" customHeight="false" outlineLevel="0" collapsed="false">
      <c r="A25697" s="0" t="e">
        <f aca="false">_xlfn.ORG.LIBREOFFICE.FORECAST.ETS.MULT({45411,45396},{90;25;71.37;99.3;95.13;26;85;38.1;69;94.6;21.02;99.43;44.37;32;53.5;50;81},{44865;44895;44926;44957;44985;45016;45046;45077;45107;45138;45169;45199;45230;45260;45291;45322;45351},2,1,5)</f>
        <v>#VALUE!</v>
      </c>
      <c r="B25697" s="0" t="s">
        <v>25517</v>
      </c>
    </row>
    <row r="25698" customFormat="false" ht="15" hidden="false" customHeight="false" outlineLevel="0" collapsed="false">
      <c r="A25698" s="0" t="e">
        <f aca="false">_xlfn.FORECAST.ETS.STAT({90;25;71.37;99.3;95.13;26;85;38.1;69;94.6;21.02;99.43;44.37;32;53.5;50;81},{44865;44895;44926;44957;44985;45016;45046;45077;45107;45138;45169;45199;45230;45260;45291;45322;45351},{7},2,1,5)</f>
        <v>#VALUE!</v>
      </c>
      <c r="B25698" s="0" t="s">
        <v>25518</v>
      </c>
    </row>
    <row r="25699" customFormat="false" ht="15" hidden="false" customHeight="false" outlineLevel="0" collapsed="false">
      <c r="A25699" s="0" t="e">
        <f aca="false">_xlfn.FORECAST.ETS.SEASONALITY({90;25;71.37;99.3;95.13;26;85;38.1;69;94.6;21.02;99.43;44.37;32;53.5;50;81},{44865;44895;44926;44957;44985;45016;45046;45077;45107;45138;45169;45199;45230;45260;45291;45322;45351},1,6)</f>
        <v>#VALUE!</v>
      </c>
      <c r="B25699" s="0" t="s">
        <v>25519</v>
      </c>
    </row>
    <row r="25700" customFormat="false" ht="15" hidden="false" customHeight="false" outlineLevel="0" collapsed="false">
      <c r="A25700" s="0" t="n">
        <f aca="false">_xlfn.FORECAST.ETS({45019.5,45019.5,45022},{21;20.72;20.72;21;20.72;21;20.7;20.7;20.72;20.72;20.72;20.72;20.72;21;20.7;20.72;21;21;20.72},{45000;45001;45002;45003;45004;45005;45006;45007;45008;45009;45010;45011;45012;45013;45014;45016;45017;45018;45019},1,1,7)</f>
        <v>20.8950859758522</v>
      </c>
      <c r="B25700" s="0" t="s">
        <v>25520</v>
      </c>
    </row>
    <row r="25701" customFormat="false" ht="15" hidden="false" customHeight="false" outlineLevel="0" collapsed="false">
      <c r="A25701" s="0" t="n">
        <f aca="false">_xlfn.FORECAST.ETS.STAT({21;20.72;20.72;21;20.72;21;20.7;20.7;20.72;20.72;20.72;20.72;20.72;21;20.7;20.72;21;21;20.72},{45000;45001;45002;45003;45004;45005;45006;45007;45008;45009;45010;45011;45012;45013;45014;45016;45017;45018;45019},{6},1,1,7)</f>
        <v>0.0706923610976468</v>
      </c>
      <c r="B25701" s="0" t="s">
        <v>25521</v>
      </c>
    </row>
    <row r="25702" customFormat="false" ht="15" hidden="false" customHeight="false" outlineLevel="0" collapsed="false">
      <c r="A25702" s="0" t="n">
        <f aca="false">_xlfn.FORECAST.ETS.SEASONALITY({21;20.72;20.72;21;20.72;21;20.7;20.7;20.72;20.72;20.72;20.72;20.72;21;20.7;20.72;21;21;20.72},{45000;45001;45002;45003;45004;45005;45006;45007;45008;45009;45010;45011;45012;45013;45014;45016;45017;45018;45019},1,6)</f>
        <v>8</v>
      </c>
      <c r="B25702" s="0" t="s">
        <v>25522</v>
      </c>
    </row>
    <row r="25703" customFormat="false" ht="15" hidden="false" customHeight="false" outlineLevel="0" collapsed="false">
      <c r="A25703" s="0" t="n">
        <f aca="false">_xlfn.FORECAST.ETS.CONFINT({45020;45021;45022},{21;20.72;20.72;21;20.72;21;20.7;20.7;20.72;20.72;20.72;20.72;20.72;21;20.7;20.72;21;21;20.72},{45000;45001;45002;45003;45004;45005;45006;45007;45008;45009;45010;45011;45012;45013;45014;45016;45017;45018;45019},0.99,0,1,1)</f>
        <v>0.409256941053805</v>
      </c>
      <c r="B25703" s="0" t="s">
        <v>25523</v>
      </c>
    </row>
    <row r="25704" customFormat="false" ht="15" hidden="false" customHeight="false" outlineLevel="0" collapsed="false">
      <c r="A25704" s="0" t="n">
        <f aca="false">_xlfn.ORG.LIBREOFFICE.FORECAST.ETS.MULT({115,94},{65.4;54.7;71.75;64.8;49;32.63;83.5;88.1;35.48;73;72.97;48;1.9},{3;10;17;24;31;38;45;52;59;66;73;80;87},0,0)</f>
        <v>3.66516560872396</v>
      </c>
      <c r="B25704" s="0" t="s">
        <v>25524</v>
      </c>
    </row>
    <row r="25705" customFormat="false" ht="15" hidden="false" customHeight="false" outlineLevel="0" collapsed="false">
      <c r="A25705" s="0" t="n">
        <f aca="false">_xlfn.FORECAST.ETS.STAT({65.4;54.7;71.75;64.8;49;32.63;83.5;88.1;35.48;73;72.97;48;1.9},{3;10;17;24;31;38;45;52;59;66;73;80;87},{9;3;2;5;8;6;4;1;7},0,0)</f>
        <v>0</v>
      </c>
      <c r="B25705" s="0" t="s">
        <v>25525</v>
      </c>
    </row>
    <row r="25706" customFormat="false" ht="15" hidden="false" customHeight="false" outlineLevel="0" collapsed="false">
      <c r="A25706" s="0" t="n">
        <f aca="false">_xlfn.FORECAST.ETS.SEASONALITY({65.4;54.7;71.75;64.8;49;32.63;83.5;88.1;35.48;73;72.97;48;1.9},{3;10;17;24;31;38;45;52;59;66;73;80;87})</f>
        <v>4</v>
      </c>
      <c r="B25706" s="0" t="s">
        <v>25526</v>
      </c>
    </row>
    <row r="25707" customFormat="false" ht="15" hidden="false" customHeight="false" outlineLevel="0" collapsed="false">
      <c r="A25707" s="0" t="n">
        <f aca="false">_xlfn.ORG.LIBREOFFICE.FORECAST.ETS.MULT({19.5;20},{4;33.43;50.4;53.1;90;62.48;34;44;97.53;38;34;3.3;4.4;29.74;59.04;58;87.22;33},{1;2;3;4;5;6;7;8;9;10;11;12;13;14;15;16;17;18},1,,6)</f>
        <v>90.164764571455</v>
      </c>
      <c r="B25707" s="0" t="s">
        <v>25527</v>
      </c>
    </row>
    <row r="25708" customFormat="false" ht="15" hidden="false" customHeight="false" outlineLevel="0" collapsed="false">
      <c r="A25708" s="0" t="n">
        <f aca="false">_xlfn.ORG.LIBREOFFICE.FORECAST.ETS.STAT.MULT({4;33.43;50.4;53.1;90;62.48;34;44;97.53;38;34;3.3;4.4;29.74;59.04;58;87.22;33},{1;2;3;4;5;6;7;8;9;10;11;12;13;14;15;16;17;18},{7;6;8;1;4;2;5;3;9},1,,6)</f>
        <v>212.255319621662</v>
      </c>
      <c r="B25708" s="0" t="s">
        <v>25528</v>
      </c>
    </row>
    <row r="25709" customFormat="false" ht="15" hidden="false" customHeight="false" outlineLevel="0" collapsed="false">
      <c r="A25709" s="0" t="n">
        <f aca="false">_xlfn.FORECAST.ETS.SEASONALITY({4;33.43;50.4;53.1;90;62.48;34;44;97.53;38;34;3.3;4.4;29.74;59.04;58;87.22;33},{1;2;3;4;5;6;7;8;9;10;11;12;13;14;15;16;17;18})</f>
        <v>8</v>
      </c>
      <c r="B25709" s="0" t="s">
        <v>25529</v>
      </c>
    </row>
    <row r="25710" customFormat="false" ht="15" hidden="false" customHeight="false" outlineLevel="0" collapsed="false">
      <c r="A25710" s="0" t="n">
        <f aca="false">_xlfn.FORECAST.ETS.CONFINT({19;20;21},{4;33.43;50.4;53.1;90;62.48;34;44;97.53;38;34;3.3;4.4;29.74;59.04;58;87.22;33},{1;2;3;4;5;6;7;8;9;10;11;12;13;14;15;16;17;18},0.95,0)</f>
        <v>59.6720460397969</v>
      </c>
      <c r="B25710" s="0" t="s">
        <v>25530</v>
      </c>
    </row>
    <row r="25711" customFormat="false" ht="15" hidden="false" customHeight="false" outlineLevel="0" collapsed="false">
      <c r="A25711" s="0" t="n">
        <f aca="false">_xlfn.ORG.LIBREOFFICE.FORECAST.ETS.MULT(45000.25,{48.4;49;50.1;54;53.4;56.15;57;57;60;60;61.4;61.7;61.8},{45000;45001;45002;45004;45005;45006;45007;45008;45009;45010;45011;45012;45013},0)</f>
        <v>48.6576923076923</v>
      </c>
      <c r="B25711" s="0" t="s">
        <v>25531</v>
      </c>
    </row>
    <row r="25712" customFormat="false" ht="15" hidden="false" customHeight="false" outlineLevel="0" collapsed="false">
      <c r="A25712" s="0" t="n">
        <f aca="false">_xlfn.FORECAST.ETS.STAT({48.4;49;50.1;54;53.4;56.15;57;57;60;60;61.4;61.7;61.8},{45000;45001;45002;45004;45005;45006;45007;45008;45009;45010;45011;45012;45013},{7;8;3;4;6;9;1;5;2},0)</f>
        <v>0.89848452525865</v>
      </c>
      <c r="B25712" s="0" t="s">
        <v>25532</v>
      </c>
    </row>
    <row r="25713" customFormat="false" ht="15" hidden="false" customHeight="false" outlineLevel="0" collapsed="false">
      <c r="A25713" s="0" t="n">
        <f aca="false">_xlfn.FORECAST.ETS.SEASONALITY({48.4;49;50.1;54;53.4;56.15;57;57;60;60;61.4;61.7;61.8},{45000;45001;45002;45004;45005;45006;45007;45008;45009;45010;45011;45012;45013})</f>
        <v>5</v>
      </c>
      <c r="B25713" s="0" t="s">
        <v>25533</v>
      </c>
    </row>
    <row r="25714" customFormat="false" ht="15" hidden="false" customHeight="false" outlineLevel="0" collapsed="false">
      <c r="A25714" s="0" t="n">
        <f aca="false">_xlfn.ORG.LIBREOFFICE.FORECAST.ETS.MULT({30.5,33},{14.5;14;14;14.5;24.1;14;14.47},{3;8;13;18;18;23;28})</f>
        <v>14.4867700044834</v>
      </c>
      <c r="B25714" s="0" t="s">
        <v>25534</v>
      </c>
    </row>
    <row r="25715" customFormat="false" ht="15" hidden="false" customHeight="false" outlineLevel="0" collapsed="false">
      <c r="A25715" s="0" t="n">
        <f aca="false">_xlfn.ORG.LIBREOFFICE.FORECAST.ETS.STAT.MULT({14.5;14;14;14.5;24.1;14;14.47},{3;8;13;18;18;23;28},{4})</f>
        <v>0.343197411192701</v>
      </c>
      <c r="B25715" s="0" t="s">
        <v>25535</v>
      </c>
    </row>
    <row r="25716" customFormat="false" ht="15" hidden="false" customHeight="false" outlineLevel="0" collapsed="false">
      <c r="A25716" s="0" t="n">
        <f aca="false">_xlfn.FORECAST.ETS.SEASONALITY({14.5;14;14;14.5;24.1;14;14.47},{3;8;13;18;18;23;28})</f>
        <v>3</v>
      </c>
      <c r="B25716" s="0" t="s">
        <v>25536</v>
      </c>
    </row>
    <row r="25717" customFormat="false" ht="15" hidden="false" customHeight="false" outlineLevel="0" collapsed="false">
      <c r="A25717" s="0" t="n">
        <f aca="false">_xlfn.ORG.LIBREOFFICE.FORECAST.ETS.MULT({41,43},{93.33;83.9;5;63.3;15.2;44.6;79.7;86.4;32;20.1;51.7;15;64;31.1;57.79;82.3;41.6},{9;25;5;31;21;15;27;7;19;17;35;23;33;29;3;13;11},4)</f>
        <v>54.7420036978005</v>
      </c>
      <c r="B25717" s="0" t="s">
        <v>25537</v>
      </c>
    </row>
    <row r="25718" customFormat="false" ht="15" hidden="false" customHeight="false" outlineLevel="0" collapsed="false">
      <c r="A25718" s="0" t="n">
        <f aca="false">_xlfn.ORG.LIBREOFFICE.FORECAST.ETS.STAT.MULT({93.33;83.9;5;63.3;15.2;44.6;79.7;86.4;32;20.1;51.7;15;64;31.1;57.79;82.3;41.6},{9;25;5;31;21;15;27;7;19;17;35;23;33;29;3;13;11},{3},4)</f>
        <v>0.173828125</v>
      </c>
      <c r="B25718" s="0" t="s">
        <v>25538</v>
      </c>
    </row>
    <row r="25719" customFormat="false" ht="15" hidden="false" customHeight="false" outlineLevel="0" collapsed="false">
      <c r="A25719" s="0" t="n">
        <f aca="false">_xlfn.FORECAST.ETS.SEASONALITY({93.33;83.9;5;63.3;15.2;44.6;79.7;86.4;32;20.1;51.7;15;64;31.1;57.79;82.3;41.6},{9;25;5;31;21;15;27;7;19;17;35;23;33;29;3;13;11})</f>
        <v>6</v>
      </c>
      <c r="B25719" s="0" t="s">
        <v>25539</v>
      </c>
    </row>
    <row r="25720" customFormat="false" ht="15" hidden="false" customHeight="false" outlineLevel="0" collapsed="false">
      <c r="A25720" s="0" t="n">
        <f aca="false">_xlfn.ORG.LIBREOFFICE.FORECAST.ETS.MULT({94,87},{14.7;2.5;15;2;15.6;3;18;16;3.64},{3;10;17;24;31;38;45;59;66},3)</f>
        <v>6.80632988375632</v>
      </c>
      <c r="B25720" s="0" t="s">
        <v>25540</v>
      </c>
    </row>
    <row r="25721" customFormat="false" ht="15" hidden="false" customHeight="false" outlineLevel="0" collapsed="false">
      <c r="A25721" s="0" t="n">
        <f aca="false">_xlfn.ORG.LIBREOFFICE.FORECAST.ETS.STAT.MULT({14.7;2.5;15;2;15.6;3;18;16;3.64},{3;10;17;24;31;38;45;59;66},{5},3)</f>
        <v>0.831375059351923</v>
      </c>
      <c r="B25721" s="0" t="s">
        <v>25541</v>
      </c>
    </row>
    <row r="25722" customFormat="false" ht="15" hidden="false" customHeight="false" outlineLevel="0" collapsed="false">
      <c r="A25722" s="0" t="n">
        <f aca="false">_xlfn.FORECAST.ETS.SEASONALITY({14.7;2.5;15;2;15.6;3;18;16;3.64},{3;10;17;24;31;38;45;59;66})</f>
        <v>2</v>
      </c>
      <c r="B25722" s="0" t="s">
        <v>25542</v>
      </c>
    </row>
    <row r="25723" customFormat="false" ht="15" hidden="false" customHeight="false" outlineLevel="0" collapsed="false">
      <c r="A25723" s="0" t="n">
        <f aca="false">_xlfn.ORG.LIBREOFFICE.FORECAST.ETS.MULT({16,13},{30.11;40;31.96;35;36.4;48.6;37.46;42.24;44.6;43.92;49.41},{1;2;3;4;5;6;7;8;9;11;12},1,0,2)</f>
        <v>9.35343323798097</v>
      </c>
      <c r="B25723" s="0" t="s">
        <v>25543</v>
      </c>
    </row>
    <row r="25724" customFormat="false" ht="15" hidden="false" customHeight="false" outlineLevel="0" collapsed="false">
      <c r="A25724" s="0" t="n">
        <f aca="false">_xlfn.ORG.LIBREOFFICE.FORECAST.ETS.STAT.MULT({30.11;40;31.96;35;36.4;48.6;37.46;42.24;44.6;43.92;49.41},{1;2;3;4;5;6;7;8;9;11;12},{5;3},1,0,2)</f>
        <v>0.259704250163542</v>
      </c>
      <c r="B25724" s="0" t="s">
        <v>25544</v>
      </c>
    </row>
    <row r="25725" customFormat="false" ht="15" hidden="false" customHeight="false" outlineLevel="0" collapsed="false">
      <c r="A25725" s="0" t="n">
        <f aca="false">_xlfn.FORECAST.ETS.SEASONALITY({30.11;40;31.96;35;36.4;48.6;37.46;42.24;44.6;43.92;49.41},{1;2;3;4;5;6;7;8;9;11;12})</f>
        <v>4</v>
      </c>
      <c r="B25725" s="0" t="s">
        <v>25545</v>
      </c>
    </row>
    <row r="25726" customFormat="false" ht="15" hidden="false" customHeight="false" outlineLevel="0" collapsed="false">
      <c r="A25726" s="0" t="n">
        <f aca="false">_xlfn.FORECAST.ETS(10.25,{12.32;12;12.32;12.3;12.3;12;12.3;12.32;12.32;12.3;12.3;12.3;12.32;12;12.32;12},{1;2;3;4;6;7;8;9;10;11;12;13;14;15;16;17},1,0,7)</f>
        <v>9.7525</v>
      </c>
      <c r="B25726" s="0" t="s">
        <v>25546</v>
      </c>
    </row>
    <row r="25727" customFormat="false" ht="15" hidden="false" customHeight="false" outlineLevel="0" collapsed="false">
      <c r="A25727" s="0" t="n">
        <f aca="false">_xlfn.ORG.LIBREOFFICE.FORECAST.ETS.STAT.MULT({12.32;12;12.32;12.3;12.3;12;12.3;12.32;12.32;12.3;12.3;12.3;12.32;12;12.32;12},{1;2;3;4;6;7;8;9;10;11;12;13;14;15;16;17},{2;4;6;8;5;9;1;3;7},1,0,7)</f>
        <v>0.9990234375</v>
      </c>
      <c r="B25727" s="0" t="s">
        <v>25547</v>
      </c>
    </row>
    <row r="25728" customFormat="false" ht="15" hidden="false" customHeight="false" outlineLevel="0" collapsed="false">
      <c r="A25728" s="0" t="n">
        <f aca="false">_xlfn.FORECAST.ETS.SEASONALITY({12.32;12;12.32;12.3;12.3;12;12.3;12.32;12.32;12.3;12.3;12.3;12.32;12;12.32;12},{1;2;3;4;6;7;8;9;10;11;12;13;14;15;16;17})</f>
        <v>8</v>
      </c>
      <c r="B25728" s="0" t="s">
        <v>25548</v>
      </c>
    </row>
    <row r="25729" customFormat="false" ht="15" hidden="false" customHeight="false" outlineLevel="0" collapsed="false">
      <c r="A25729" s="0" t="n">
        <f aca="false">_xlfn.FORECAST.ETS({5.5},{26;24.3;30.67;26.86},{1;2;3;4},2,,1)</f>
        <v>32.9075</v>
      </c>
      <c r="B25729" s="0" t="s">
        <v>25549</v>
      </c>
    </row>
    <row r="25730" customFormat="false" ht="15" hidden="false" customHeight="false" outlineLevel="0" collapsed="false">
      <c r="A25730" s="0" t="n">
        <f aca="false">_xlfn.FORECAST.ETS.STAT({26;24.3;30.67;26.86},{1;2;3;4},{7},2,,1)</f>
        <v>0.609104533995057</v>
      </c>
      <c r="B25730" s="0" t="s">
        <v>25550</v>
      </c>
    </row>
    <row r="25731" customFormat="false" ht="15" hidden="false" customHeight="false" outlineLevel="0" collapsed="false">
      <c r="A25731" s="0" t="n">
        <f aca="false">_xlfn.FORECAST.ETS.SEASONALITY({26;24.3;30.67;26.86},{1;2;3;4})</f>
        <v>2</v>
      </c>
      <c r="B25731" s="0" t="s">
        <v>25551</v>
      </c>
    </row>
    <row r="25732" customFormat="false" ht="15" hidden="false" customHeight="false" outlineLevel="0" collapsed="false">
      <c r="A25732" s="0" t="n">
        <f aca="false">_xlfn.ORG.LIBREOFFICE.FORECAST.ETS.MULT({98},{36.8;30.6;26.1;55.5;49.56;37.14;31.7;28.6;56.04;49;52;39;33.8;30.37;59.4;50.2;52},{3;8;13;18;28;33;38;43;48;53;58;63;68;73;78;83;88})</f>
        <v>34.4029978770026</v>
      </c>
      <c r="B25732" s="0" t="s">
        <v>25552</v>
      </c>
    </row>
    <row r="25733" customFormat="false" ht="15" hidden="false" customHeight="false" outlineLevel="0" collapsed="false">
      <c r="A25733" s="0" t="n">
        <f aca="false">_xlfn.FORECAST.ETS.STAT({36.8;30.6;26.1;55.5;49.56;37.14;31.7;28.6;56.04;49;52;39;33.8;30.37;59.4;50.2;52},{3;8;13;18;28;33;38;43;48;53;58;63;68;73;78;83;88},{3;5;1;8;9;7;6;4;2})</f>
        <v>0.96875</v>
      </c>
      <c r="B25733" s="0" t="s">
        <v>25553</v>
      </c>
    </row>
    <row r="25734" customFormat="false" ht="15" hidden="false" customHeight="false" outlineLevel="0" collapsed="false">
      <c r="A25734" s="0" t="n">
        <f aca="false">_xlfn.FORECAST.ETS.SEASONALITY({36.8;30.6;26.1;55.5;49.56;37.14;31.7;28.6;56.04;49;52;39;33.8;30.37;59.4;50.2;52},{3;8;13;18;28;33;38;43;48;53;58;63;68;73;78;83;88},1)</f>
        <v>6</v>
      </c>
      <c r="B25734" s="0" t="s">
        <v>25554</v>
      </c>
    </row>
    <row r="25735" customFormat="false" ht="15" hidden="false" customHeight="false" outlineLevel="0" collapsed="false">
      <c r="A25735" s="0" t="n">
        <f aca="false">_xlfn.FORECAST.ETS(3.625,{11;11;11;11;11.58;12.9;12;12.89;13;11.11;12;13.64;12;11},{1;1.5;2;2.5;3;3.5;4;4.5;5;5.5;6;6.5;7;7.5},1,0,4)</f>
        <v>12.7065106030305</v>
      </c>
      <c r="B25735" s="0" t="s">
        <v>25555</v>
      </c>
    </row>
    <row r="25736" customFormat="false" ht="15" hidden="false" customHeight="false" outlineLevel="0" collapsed="false">
      <c r="A25736" s="0" t="n">
        <f aca="false">_xlfn.ORG.LIBREOFFICE.FORECAST.ETS.STAT.MULT({11;11;11;11;11.58;12.9;12;12.89;13;11.11;12;13.64;12;11},{1;1.5;2;2.5;3;3.5;4;4.5;5;5.5;6;6.5;7;7.5},{5},1,0,4)</f>
        <v>0.0541641871321331</v>
      </c>
      <c r="B25736" s="0" t="s">
        <v>25556</v>
      </c>
    </row>
    <row r="25737" customFormat="false" ht="15" hidden="false" customHeight="false" outlineLevel="0" collapsed="false">
      <c r="A25737" s="0" t="n">
        <f aca="false">_xlfn.FORECAST.ETS.SEASONALITY({11;11;11;11;11.58;12.9;12;12.89;13;11.11;12;13.64;12;11},{1;1.5;2;2.5;3;3.5;4;4.5;5;5.5;6;6.5;7;7.5},1)</f>
        <v>3</v>
      </c>
      <c r="B25737" s="0" t="s">
        <v>25557</v>
      </c>
    </row>
    <row r="25738" customFormat="false" ht="15" hidden="false" customHeight="false" outlineLevel="0" collapsed="false">
      <c r="A25738" s="0" t="n">
        <f aca="false">_xlfn.FORECAST.ETS.CONFINT(8,{11;11;11;11;11.58;12.9;12;12.89;13;11.11;12;13.64;12;11},{1;1.5;2;2.5;3;3.5;4;4.5;5;5.5;6;6.5;7;7.5},0.5,0,1)</f>
        <v>0.647882263883298</v>
      </c>
      <c r="B25738" s="0" t="s">
        <v>25558</v>
      </c>
    </row>
    <row r="25739" customFormat="false" ht="15" hidden="false" customHeight="false" outlineLevel="0" collapsed="false">
      <c r="A25739" s="0" t="n">
        <f aca="false">_xlfn.FORECAST.ETS({32,37},{49.3;44.8;48.2;44;46.3;43;52;46.4;47;48;45.91;43;47.58;46.3;42.6},{7;9;13;15;25;21;5;29;17;11;23;31;3;19;27})</f>
        <v>41.4633993449807</v>
      </c>
      <c r="B25739" s="0" t="s">
        <v>25559</v>
      </c>
    </row>
    <row r="25740" customFormat="false" ht="15" hidden="false" customHeight="false" outlineLevel="0" collapsed="false">
      <c r="A25740" s="0" t="n">
        <f aca="false">_xlfn.ORG.LIBREOFFICE.FORECAST.ETS.STAT.MULT({49.3;44.8;48.2;44;46.3;43;52;46.4;47;48;45.91;43;47.58;46.3;42.6},{7;9;13;15;25;21;5;29;17;11;23;31;3;19;27},{7})</f>
        <v>0.708780018337883</v>
      </c>
      <c r="B25740" s="0" t="s">
        <v>25560</v>
      </c>
    </row>
    <row r="25741" customFormat="false" ht="15" hidden="false" customHeight="false" outlineLevel="0" collapsed="false">
      <c r="A25741" s="0" t="n">
        <f aca="false">_xlfn.FORECAST.ETS.SEASONALITY({49.3;44.8;48.2;44;46.3;43;52;46.4;47;48;45.91;43;47.58;46.3;42.6},{7;9;13;15;25;21;5;29;17;11;23;31;3;19;27},1)</f>
        <v>6</v>
      </c>
      <c r="B25741" s="0" t="s">
        <v>25561</v>
      </c>
    </row>
    <row r="25742" customFormat="false" ht="15" hidden="false" customHeight="false" outlineLevel="0" collapsed="false">
      <c r="A25742" s="0" t="e">
        <f aca="false">_xlfn.ORG.LIBREOFFICE.FORECAST.ETS.PI.MULT(37,{49.3;44.8;48.2;44;46.3;43;52;46.4;47;48;45.91;43;47.58;46.3;42.6},{7;9;13;15;25;21;5;29;17;11;23;31;3;19;27},1,0,0)</f>
        <v>#NUM!</v>
      </c>
      <c r="B25742" s="0" t="s">
        <v>25562</v>
      </c>
    </row>
    <row r="25743" customFormat="false" ht="15" hidden="false" customHeight="false" outlineLevel="0" collapsed="false">
      <c r="A25743" s="0" t="n">
        <f aca="false">_xlfn.ORG.LIBREOFFICE.FORECAST.ETS.MULT({51;50},{39.59;40;39.6;39.6;39.6;39.59;39.59;40;39.59;39.6;39.59;39.6;39.6;39.6;39.6;39.59;39.59;39.59;39.59;39.6;39.6;40;39.59},{3;5;7;9;11;13;15;17;19;21;23;25;27;29;31;33;35;37;39;41;43;45;47},1)</f>
        <v>39.5892960305427</v>
      </c>
      <c r="B25743" s="0" t="s">
        <v>25563</v>
      </c>
    </row>
    <row r="25744" customFormat="false" ht="15" hidden="false" customHeight="false" outlineLevel="0" collapsed="false">
      <c r="A25744" s="0" t="n">
        <f aca="false">_xlfn.FORECAST.ETS.STAT({39.59;40;39.6;39.6;39.6;39.59;39.59;40;39.59;39.6;39.59;39.6;39.6;39.6;39.6;39.59;39.59;39.59;39.59;39.6;39.6;40;39.59},{3;5;7;9;11;13;15;17;19;21;23;25;27;29;31;33;35;37;39;41;43;45;47},{5},1)</f>
        <v>0.00218256907688178</v>
      </c>
      <c r="B25744" s="0" t="s">
        <v>25564</v>
      </c>
    </row>
    <row r="25745" customFormat="false" ht="15" hidden="false" customHeight="false" outlineLevel="0" collapsed="false">
      <c r="A25745" s="0" t="n">
        <f aca="false">_xlfn.FORECAST.ETS.SEASONALITY({39.59;40;39.6;39.6;39.6;39.59;39.59;40;39.59;39.6;39.59;39.6;39.6;39.6;39.6;39.59;39.59;39.59;39.59;39.6;39.6;40;39.59},{3;5;7;9;11;13;15;17;19;21;23;25;27;29;31;33;35;37;39;41;43;45;47},1)</f>
        <v>5</v>
      </c>
      <c r="B25745" s="0" t="s">
        <v>25565</v>
      </c>
    </row>
    <row r="25746" customFormat="false" ht="15" hidden="false" customHeight="false" outlineLevel="0" collapsed="false">
      <c r="A25746" s="0" t="n">
        <f aca="false">_xlfn.FORECAST.ETS({45024,45024.5},{64.28;93;108.7;79.39;92;51;103.5;42.08;45.54;56.2;60.85;115;54;118.4;68;39;70.9;102;83;112;98.95;122;87.7;75},{45007;45015;45019;45011;45014;45003;45018;45001;45002;45005;45006;45021;45004;45022;45008;45000;45009;45017;45012;45020;45016;45023;45013;45010})</f>
        <v>125.222072086903</v>
      </c>
      <c r="B25746" s="0" t="s">
        <v>25566</v>
      </c>
    </row>
    <row r="25747" customFormat="false" ht="15" hidden="false" customHeight="false" outlineLevel="0" collapsed="false">
      <c r="A25747" s="0" t="n">
        <f aca="false">_xlfn.FORECAST.ETS.STAT({64.28;93;108.7;79.39;92;51;103.5;42.08;45.54;56.2;60.85;115;54;118.4;68;39;70.9;102;83;112;98.95;122;87.7;75},{45007;45015;45019;45011;45014;45003;45018;45001;45002;45005;45006;45021;45004;45022;45008;45000;45009;45017;45012;45020;45016;45023;45013;45010},{8;7})</f>
        <v>1</v>
      </c>
      <c r="B25747" s="0" t="s">
        <v>25567</v>
      </c>
    </row>
    <row r="25748" customFormat="false" ht="15" hidden="false" customHeight="false" outlineLevel="0" collapsed="false">
      <c r="A25748" s="0" t="n">
        <f aca="false">_xlfn.FORECAST.ETS.SEASONALITY({64.28;93;108.7;79.39;92;51;103.5;42.08;45.54;56.2;60.85;115;54;118.4;68;39;70.9;102;83;112;98.95;122;87.7;75},{45007;45015;45019;45011;45014;45003;45018;45001;45002;45005;45006;45021;45004;45022;45008;45000;45009;45017;45012;45020;45016;45023;45013;45010},0,1)</f>
        <v>3</v>
      </c>
      <c r="B25748" s="0" t="s">
        <v>25568</v>
      </c>
    </row>
    <row r="25749" customFormat="false" ht="15" hidden="false" customHeight="false" outlineLevel="0" collapsed="false">
      <c r="A25749" s="0" t="n">
        <f aca="false">_xlfn.FORECAST.ETS({44847;44847;44877},{94.3;3.13;32.96;79.47;13.63;74},{44648;44679;44709;44740;44801;44832},1,0)</f>
        <v>69.2018279569674</v>
      </c>
      <c r="B25749" s="0" t="s">
        <v>25569</v>
      </c>
    </row>
    <row r="25750" customFormat="false" ht="15" hidden="false" customHeight="false" outlineLevel="0" collapsed="false">
      <c r="A25750" s="0" t="n">
        <f aca="false">_xlfn.ORG.LIBREOFFICE.FORECAST.ETS.STAT.MULT({94.3;3.13;32.96;79.47;13.63;74},{44648;44679;44709;44740;44801;44832},{6},1,0)</f>
        <v>9.85165255551104</v>
      </c>
      <c r="B25750" s="0" t="s">
        <v>25570</v>
      </c>
    </row>
    <row r="25751" customFormat="false" ht="15" hidden="false" customHeight="false" outlineLevel="0" collapsed="false">
      <c r="A25751" s="0" t="n">
        <f aca="false">_xlfn.FORECAST.ETS.SEASONALITY({94.3;3.13;32.96;79.47;13.63;74},{44648;44679;44709;44740;44801;44832})</f>
        <v>3</v>
      </c>
      <c r="B25751" s="0" t="s">
        <v>25571</v>
      </c>
    </row>
    <row r="25752" customFormat="false" ht="15" hidden="false" customHeight="false" outlineLevel="0" collapsed="false">
      <c r="A25752" s="0" t="n">
        <f aca="false">_xlfn.ORG.LIBREOFFICE.FORECAST.ETS.MULT(14.5,{77.26;57;92;58;73.7;86.1;41.4;68.34;79.5;55;8.08;12.74;19.5;61.2},{1;2;3;4;5;6;7;8;9;10;11;12;13;14},4,0)</f>
        <v>21.3054879542402</v>
      </c>
      <c r="B25752" s="0" t="s">
        <v>25572</v>
      </c>
    </row>
    <row r="25753" customFormat="false" ht="15" hidden="false" customHeight="false" outlineLevel="0" collapsed="false">
      <c r="A25753" s="0" t="n">
        <f aca="false">_xlfn.ORG.LIBREOFFICE.FORECAST.ETS.STAT.MULT({77.26;57;92;58;73.7;86.1;41.4;68.34;79.5;55;8.08;12.74;19.5;61.2},{1;2;3;4;5;6;7;8;9;10;11;12;13;14},{7},4,0)</f>
        <v>26.4832852598859</v>
      </c>
      <c r="B25753" s="0" t="s">
        <v>25573</v>
      </c>
    </row>
    <row r="25754" customFormat="false" ht="15" hidden="false" customHeight="false" outlineLevel="0" collapsed="false">
      <c r="A25754" s="0" t="n">
        <f aca="false">_xlfn.FORECAST.ETS.SEASONALITY({77.26;57;92;58;73.7;86.1;41.4;68.34;79.5;55;8.08;12.74;19.5;61.2},{1;2;3;4;5;6;7;8;9;10;11;12;13;14})</f>
        <v>4</v>
      </c>
      <c r="B25754" s="0" t="s">
        <v>25574</v>
      </c>
    </row>
    <row r="25755" customFormat="false" ht="15" hidden="false" customHeight="false" outlineLevel="0" collapsed="false">
      <c r="A25755" s="0" t="n">
        <f aca="false">_xlfn.ORG.LIBREOFFICE.FORECAST.ETS.MULT({19},{19.2;28;25.1;28;38.4;30.31;25.3;39;32;36.32;48;36;30;46;39;43;58.47;43},{1;2;3;4;5;6;7;8;9;10;11;12;13;14;15;16;17;18})</f>
        <v>36.3607368795743</v>
      </c>
      <c r="B25755" s="0" t="s">
        <v>25575</v>
      </c>
    </row>
    <row r="25756" customFormat="false" ht="15" hidden="false" customHeight="false" outlineLevel="0" collapsed="false">
      <c r="A25756" s="0" t="n">
        <f aca="false">_xlfn.FORECAST.ETS.STAT({19.2;28;25.1;28;38.4;30.31;25.3;39;32;36.32;48;36;30;46;39;43;58.47;43},{1;2;3;4;5;6;7;8;9;10;11;12;13;14;15;16;17;18},{2;4;7;1;3;8;5;6;9})</f>
        <v>0.9990234375</v>
      </c>
      <c r="B25756" s="0" t="s">
        <v>25576</v>
      </c>
    </row>
    <row r="25757" customFormat="false" ht="15" hidden="false" customHeight="false" outlineLevel="0" collapsed="false">
      <c r="A25757" s="0" t="n">
        <f aca="false">_xlfn.FORECAST.ETS.SEASONALITY({19.2;28;25.1;28;38.4;30.31;25.3;39;32;36.32;48;36;30;46;39;43;58.47;43},{1;2;3;4;5;6;7;8;9;10;11;12;13;14;15;16;17;18},0,6)</f>
        <v>6</v>
      </c>
      <c r="B25757" s="0" t="s">
        <v>25577</v>
      </c>
    </row>
    <row r="25758" customFormat="false" ht="15" hidden="false" customHeight="false" outlineLevel="0" collapsed="false">
      <c r="A25758" s="0" t="n">
        <f aca="false">_xlfn.ORG.LIBREOFFICE.FORECAST.ETS.PI.MULT({19;20;21},{19.2;28;25.1;28;38.4;30.31;25.3;39;32;36.32;48;36;30;46;39;43;58.47;43},{1;2;3;4;5;6;7;8;9;10;11;12;13;14;15;16;17;18},0.9,0,1,5)</f>
        <v>11.6429431613435</v>
      </c>
      <c r="B25758" s="0" t="s">
        <v>25578</v>
      </c>
    </row>
    <row r="25759" customFormat="false" ht="15" hidden="false" customHeight="false" outlineLevel="0" collapsed="false">
      <c r="A25759" s="0" t="n">
        <f aca="false">_xlfn.ORG.LIBREOFFICE.FORECAST.ETS.MULT({10.5;10.5},{25.96;67;2;93.2;40;52;68.42;19;35.04},{2;9;1;7;6;8;4;5;3},1,0,5)</f>
        <v>104.633794917119</v>
      </c>
      <c r="B25759" s="0" t="s">
        <v>25579</v>
      </c>
    </row>
    <row r="25760" customFormat="false" ht="15" hidden="false" customHeight="false" outlineLevel="0" collapsed="false">
      <c r="A25760" s="0" t="n">
        <f aca="false">_xlfn.FORECAST.ETS.STAT({25.96;67;2;93.2;40;52;68.42;19;35.04},{2;9;1;7;6;8;4;5;3},{6;2;8;7;9;1;4;5;3},1,0,5)</f>
        <v>6.41071526896328</v>
      </c>
      <c r="B25760" s="0" t="s">
        <v>25580</v>
      </c>
    </row>
    <row r="25761" customFormat="false" ht="15" hidden="false" customHeight="false" outlineLevel="0" collapsed="false">
      <c r="A25761" s="0" t="n">
        <f aca="false">_xlfn.FORECAST.ETS.SEASONALITY({25.96;67;2;93.2;40;52;68.42;19;35.04},{2;9;1;7;6;8;4;5;3},0)</f>
        <v>3</v>
      </c>
      <c r="B25761" s="0" t="s">
        <v>25581</v>
      </c>
    </row>
    <row r="25762" customFormat="false" ht="15" hidden="false" customHeight="false" outlineLevel="0" collapsed="false">
      <c r="A25762" s="0" t="n">
        <f aca="false">_xlfn.ORG.LIBREOFFICE.FORECAST.ETS.MULT({7},{16.32;16;16.3;16.32},{1;2;3;4},2,0,4)</f>
        <v>16.7731364840185</v>
      </c>
      <c r="B25762" s="0" t="s">
        <v>25582</v>
      </c>
    </row>
    <row r="25763" customFormat="false" ht="15" hidden="false" customHeight="false" outlineLevel="0" collapsed="false">
      <c r="A25763" s="0" t="n">
        <f aca="false">_xlfn.ORG.LIBREOFFICE.FORECAST.ETS.STAT.MULT({16.32;16;16.3;16.32},{1;2;3;4},{6;3},2,0,4)</f>
        <v>0.114547931772725</v>
      </c>
      <c r="B25763" s="0" t="s">
        <v>25583</v>
      </c>
    </row>
    <row r="25764" customFormat="false" ht="15" hidden="false" customHeight="false" outlineLevel="0" collapsed="false">
      <c r="A25764" s="0" t="n">
        <f aca="false">_xlfn.FORECAST.ETS.SEASONALITY({16.32;16;16.3;16.32},{1;2;3;4},0)</f>
        <v>2</v>
      </c>
      <c r="B25764" s="0" t="s">
        <v>25584</v>
      </c>
    </row>
    <row r="25765" customFormat="false" ht="15" hidden="false" customHeight="false" outlineLevel="0" collapsed="false">
      <c r="A25765" s="0" t="n">
        <f aca="false">_xlfn.ORG.LIBREOFFICE.FORECAST.ETS.PI.MULT(7,{16.32;16;16.3;16.32},{1;2;3;4},0.9,0,1,2)</f>
        <v>0.667176387801091</v>
      </c>
      <c r="B25765" s="0" t="s">
        <v>25585</v>
      </c>
    </row>
    <row r="25766" customFormat="false" ht="15" hidden="false" customHeight="false" outlineLevel="0" collapsed="false">
      <c r="A25766" s="0" t="n">
        <f aca="false">_xlfn.FORECAST.ETS(1.75,{23.8;15.2;26.9;17.07},{1;1.5;2;2.5})</f>
        <v>21.05</v>
      </c>
      <c r="B25766" s="0" t="s">
        <v>25586</v>
      </c>
    </row>
    <row r="25767" customFormat="false" ht="15" hidden="false" customHeight="false" outlineLevel="0" collapsed="false">
      <c r="A25767" s="0" t="n">
        <f aca="false">_xlfn.ORG.LIBREOFFICE.FORECAST.ETS.STAT.MULT({23.8;15.2;26.9;17.07},{1;1.5;2;2.5},{7;1;5;3;2;8;9;6;4})</f>
        <v>0.0178256980800795</v>
      </c>
      <c r="B25767" s="0" t="s">
        <v>25587</v>
      </c>
    </row>
    <row r="25768" customFormat="false" ht="15" hidden="false" customHeight="false" outlineLevel="0" collapsed="false">
      <c r="A25768" s="0" t="n">
        <f aca="false">_xlfn.FORECAST.ETS.SEASONALITY({23.8;15.2;26.9;17.07},{1;1.5;2;2.5},0,1)</f>
        <v>2</v>
      </c>
      <c r="B25768" s="0" t="s">
        <v>25588</v>
      </c>
    </row>
    <row r="25769" customFormat="false" ht="15" hidden="false" customHeight="false" outlineLevel="0" collapsed="false">
      <c r="A25769" s="0" t="n">
        <f aca="false">_xlfn.ORG.LIBREOFFICE.FORECAST.ETS.MULT({14},{14.2;42.93;32.1;29.42;37;30.25;75.05;53.32;47;58.4;45.3;105.37;76.3;64.47;80.7;59.03;137.97;95;84;99.51;74.44;119;99.26;120.97},{1;1.5;2;2.5;3;3.5;4;4.5;5;5.5;6;6.5;7;7.5;8;8.5;9;9.5;10;10.5;11;12;12.5;13},5,0,7)</f>
        <v>0</v>
      </c>
      <c r="B25769" s="0" t="s">
        <v>25589</v>
      </c>
    </row>
    <row r="25770" customFormat="false" ht="15" hidden="false" customHeight="false" outlineLevel="0" collapsed="false">
      <c r="A25770" s="0" t="n">
        <f aca="false">_xlfn.ORG.LIBREOFFICE.FORECAST.ETS.STAT.MULT({14.2;42.93;32.1;29.42;37;30.25;75.05;53.32;47;58.4;45.3;105.37;76.3;64.47;80.7;59.03;137.97;95;84;99.51;74.44;119;99.26;120.97},{1;1.5;2;2.5;3;3.5;4;4.5;5;5.5;6;6.5;7;7.5;8;8.5;9;9.5;10;10.5;11;12;12.5;13},{4;8},5,0,7)</f>
        <v>0.37567538751797</v>
      </c>
      <c r="B25770" s="0" t="s">
        <v>25590</v>
      </c>
    </row>
    <row r="25771" customFormat="false" ht="15" hidden="false" customHeight="false" outlineLevel="0" collapsed="false">
      <c r="A25771" s="0" t="n">
        <f aca="false">_xlfn.FORECAST.ETS.SEASONALITY({14.2;42.93;32.1;29.42;37;30.25;75.05;53.32;47;58.4;45.3;105.37;76.3;64.47;80.7;59.03;137.97;95;84;99.51;74.44;119;99.26;120.97},{1;1.5;2;2.5;3;3.5;4;4.5;5;5.5;6;6.5;7;7.5;8;8.5;9;9.5;10;10.5;11;12;12.5;13},0,1)</f>
        <v>5</v>
      </c>
      <c r="B25771" s="0" t="s">
        <v>25591</v>
      </c>
    </row>
    <row r="25772" customFormat="false" ht="15" hidden="false" customHeight="false" outlineLevel="0" collapsed="false">
      <c r="A25772" s="0" t="n">
        <f aca="false">_xlfn.ORG.LIBREOFFICE.FORECAST.ETS.MULT({108},{25;27;25.9;26.05;29.5;30;32;33;32.3;35;35.34},{3;10;17;24;31;38;45;52;59;73;80},5,,7)</f>
        <v>40.3863796648949</v>
      </c>
      <c r="B25772" s="0" t="s">
        <v>25592</v>
      </c>
    </row>
    <row r="25773" customFormat="false" ht="15" hidden="false" customHeight="false" outlineLevel="0" collapsed="false">
      <c r="A25773" s="0" t="n">
        <f aca="false">_xlfn.FORECAST.ETS.STAT({25;27;25.9;26.05;29.5;30;32;33;32.3;35;35.34},{3;10;17;24;31;38;45;52;59;73;80},{7},5,,7)</f>
        <v>0.958720738560215</v>
      </c>
      <c r="B25773" s="0" t="s">
        <v>25593</v>
      </c>
    </row>
    <row r="25774" customFormat="false" ht="15" hidden="false" customHeight="false" outlineLevel="0" collapsed="false">
      <c r="A25774" s="0" t="n">
        <f aca="false">_xlfn.FORECAST.ETS.SEASONALITY({25;27;25.9;26.05;29.5;30;32;33;32.3;35;35.34},{3;10;17;24;31;38;45;52;59;73;80})</f>
        <v>6</v>
      </c>
      <c r="B25774" s="0" t="s">
        <v>25594</v>
      </c>
    </row>
    <row r="25775" customFormat="false" ht="15" hidden="false" customHeight="false" outlineLevel="0" collapsed="false">
      <c r="A25775" s="0" t="n">
        <f aca="false">_xlfn.FORECAST.ETS(45002,{28.31;27.37;31;36.9;28.29;31.6;28.44},{45000;45001;45002;45002;45003;45004;45005})</f>
        <v>31</v>
      </c>
      <c r="B25775" s="0" t="s">
        <v>25595</v>
      </c>
    </row>
    <row r="25776" customFormat="false" ht="15" hidden="false" customHeight="false" outlineLevel="0" collapsed="false">
      <c r="A25776" s="0" t="n">
        <f aca="false">_xlfn.ORG.LIBREOFFICE.FORECAST.ETS.STAT.MULT({28.31;27.37;31;36.9;28.29;31.6;28.44},{45000;45001;45002;45002;45003;45004;45005},{6;4;3;1;7;9;2;8;5})</f>
        <v>0.639024988801434</v>
      </c>
      <c r="B25776" s="0" t="s">
        <v>25596</v>
      </c>
    </row>
    <row r="25777" customFormat="false" ht="15" hidden="false" customHeight="false" outlineLevel="0" collapsed="false">
      <c r="A25777" s="0" t="n">
        <f aca="false">_xlfn.FORECAST.ETS.SEASONALITY({28.31;27.37;31;36.9;28.29;31.6;28.44},{45000;45001;45002;45002;45003;45004;45005},1,2)</f>
        <v>3</v>
      </c>
      <c r="B25777" s="0" t="s">
        <v>25597</v>
      </c>
    </row>
    <row r="25778" customFormat="false" ht="15" hidden="false" customHeight="false" outlineLevel="0" collapsed="false">
      <c r="A25778" s="0" t="n">
        <f aca="false">_xlfn.ORG.LIBREOFFICE.FORECAST.ETS.MULT(45167,{43.09;31.2;40.1;31;33.31;32;40.87;27.55;35.7;27.05;30.59;27.3},{44713;44743;44774;44805;44835;44866;44896;44927;44958;44986;45017;45047},1,1,7)</f>
        <v>25.1086631852203</v>
      </c>
      <c r="B25778" s="0" t="s">
        <v>25598</v>
      </c>
    </row>
    <row r="25779" customFormat="false" ht="15" hidden="false" customHeight="false" outlineLevel="0" collapsed="false">
      <c r="A25779" s="0" t="n">
        <f aca="false">_xlfn.ORG.LIBREOFFICE.FORECAST.ETS.STAT.MULT({43.09;31.2;40.1;31;33.31;32;40.87;27.55;35.7;27.05;30.59;27.3},{44713;44743;44774;44805;44835;44866;44896;44927;44958;44986;45017;45047},{1;6},1,1,7)</f>
        <v>0</v>
      </c>
      <c r="B25779" s="0" t="s">
        <v>25599</v>
      </c>
    </row>
    <row r="25780" customFormat="false" ht="15" hidden="false" customHeight="false" outlineLevel="0" collapsed="false">
      <c r="A25780" s="0" t="n">
        <f aca="false">_xlfn.FORECAST.ETS.SEASONALITY({43.09;31.2;40.1;31;33.31;32;40.87;27.55;35.7;27.05;30.59;27.3},{44713;44743;44774;44805;44835;44866;44896;44927;44958;44986;45017;45047})</f>
        <v>6</v>
      </c>
      <c r="B25780" s="0" t="s">
        <v>25600</v>
      </c>
    </row>
    <row r="25781" customFormat="false" ht="15" hidden="false" customHeight="false" outlineLevel="0" collapsed="false">
      <c r="A25781" s="0" t="n">
        <f aca="false">_xlfn.ORG.LIBREOFFICE.FORECAST.ETS.MULT({18.5;19},{20.8;20.8;20.8;20.8;20.8;20.82;20.8;20.8;20.8;20.8;20.82;20.8;21;20.82;20.8;20.82},{1;2;3;4;6;7;8;9;10;11;12;13;14;15;16;17},1,1,7)</f>
        <v>20.8161006351986</v>
      </c>
      <c r="B25781" s="0" t="s">
        <v>25601</v>
      </c>
    </row>
    <row r="25782" customFormat="false" ht="15" hidden="false" customHeight="false" outlineLevel="0" collapsed="false">
      <c r="A25782" s="0" t="n">
        <f aca="false">_xlfn.ORG.LIBREOFFICE.FORECAST.ETS.STAT.MULT({20.8;20.8;20.8;20.8;20.8;20.82;20.8;20.8;20.8;20.8;20.82;20.8;21;20.82;20.8;20.82},{1;2;3;4;6;7;8;9;10;11;12;13;14;15;16;17},{6},1,1,7)</f>
        <v>0.0176398025401054</v>
      </c>
      <c r="B25782" s="0" t="s">
        <v>25602</v>
      </c>
    </row>
    <row r="25783" customFormat="false" ht="15" hidden="false" customHeight="false" outlineLevel="0" collapsed="false">
      <c r="A25783" s="0" t="n">
        <f aca="false">_xlfn.FORECAST.ETS.SEASONALITY({20.8;20.8;20.8;20.8;20.8;20.82;20.8;20.8;20.8;20.8;20.82;20.8;21;20.82;20.8;20.82},{1;2;3;4;6;7;8;9;10;11;12;13;14;15;16;17},0,2)</f>
        <v>6</v>
      </c>
      <c r="B25783" s="0" t="s">
        <v>25603</v>
      </c>
    </row>
    <row r="25784" customFormat="false" ht="15" hidden="false" customHeight="false" outlineLevel="0" collapsed="false">
      <c r="A25784" s="0" t="n">
        <f aca="false">_xlfn.FORECAST.ETS.CONFINT(19,{20.8;20.8;20.8;20.8;20.8;20.82;20.8;20.8;20.8;20.8;20.82;20.8;21;20.82;20.8;20.82},{1;2;3;4;6;7;8;9;10;11;12;13;14;15;16;17},0,0,1,3)</f>
        <v>0</v>
      </c>
      <c r="B25784" s="0" t="s">
        <v>25604</v>
      </c>
    </row>
    <row r="25785" customFormat="false" ht="15" hidden="false" customHeight="false" outlineLevel="0" collapsed="false">
      <c r="A25785" s="0" t="n">
        <f aca="false">_xlfn.ORG.LIBREOFFICE.FORECAST.ETS.MULT({10.5;14},{56.95;35.6;26.5;56.29;53.59;35;49;22.02;50;45.09;30},{1;1;2;3;4;5;6;7;8;9;10})</f>
        <v>35.7875168702685</v>
      </c>
      <c r="B25785" s="0" t="s">
        <v>25605</v>
      </c>
    </row>
    <row r="25786" customFormat="false" ht="15" hidden="false" customHeight="false" outlineLevel="0" collapsed="false">
      <c r="A25786" s="0" t="n">
        <f aca="false">_xlfn.ORG.LIBREOFFICE.FORECAST.ETS.STAT.MULT({56.95;35.6;26.5;56.29;53.59;35;49;22.02;50;45.09;30},{1;1;2;3;4;5;6;7;8;9;10},{8;9;3;5;6;1;7;4;2})</f>
        <v>1</v>
      </c>
      <c r="B25786" s="0" t="s">
        <v>25606</v>
      </c>
    </row>
    <row r="25787" customFormat="false" ht="15" hidden="false" customHeight="false" outlineLevel="0" collapsed="false">
      <c r="A25787" s="0" t="n">
        <f aca="false">_xlfn.FORECAST.ETS.SEASONALITY({56.95;35.6;26.5;56.29;53.59;35;49;22.02;50;45.09;30},{1;1;2;3;4;5;6;7;8;9;10})</f>
        <v>5</v>
      </c>
      <c r="B25787" s="0" t="s">
        <v>25607</v>
      </c>
    </row>
    <row r="25788" customFormat="false" ht="15" hidden="false" customHeight="false" outlineLevel="0" collapsed="false">
      <c r="A25788" s="0" t="n">
        <f aca="false">_xlfn.ORG.LIBREOFFICE.FORECAST.ETS.PI.MULT(13,{56.95;35.6;26.5;56.29;53.59;35;49;22.02;50;45.09;30},{1;1;2;3;4;5;6;7;8;9;10},0.5,0,1)</f>
        <v>11.4787687948486</v>
      </c>
      <c r="B25788" s="0" t="s">
        <v>25608</v>
      </c>
    </row>
    <row r="25789" customFormat="false" ht="15" hidden="false" customHeight="false" outlineLevel="0" collapsed="false">
      <c r="A25789" s="0" t="n">
        <f aca="false">_xlfn.ORG.LIBREOFFICE.FORECAST.ETS.MULT({45639,45579,45534},{88.07;83.22;14.5;81.66;52;80;34;11;78;82.61;99;4;88.22;63.9;45.99;98;69.46;90;57;75;36.5;71.02;20.82},{44849;44880;44910;44941;44972;45000;45031;45061;45092;45122;45153;45184;45214;45245;45275;45306;45337;45366;45397;45427;45458;45488;45519},2)</f>
        <v>13.3115341360492</v>
      </c>
      <c r="B25789" s="0" t="s">
        <v>25609</v>
      </c>
    </row>
    <row r="25790" customFormat="false" ht="15" hidden="false" customHeight="false" outlineLevel="0" collapsed="false">
      <c r="A25790" s="0" t="n">
        <f aca="false">_xlfn.FORECAST.ETS.STAT({88.07;83.22;14.5;81.66;52;80;34;11;78;82.61;99;4;88.22;63.9;45.99;98;69.46;90;57;75;36.5;71.02;20.82},{44849;44880;44910;44941;44972;45000;45031;45061;45092;45122;45153;45184;45214;45245;45275;45306;45337;45366;45397;45427;45458;45488;45519},{9},2)</f>
        <v>2</v>
      </c>
      <c r="B25790" s="0" t="s">
        <v>25610</v>
      </c>
    </row>
    <row r="25791" customFormat="false" ht="15" hidden="false" customHeight="false" outlineLevel="0" collapsed="false">
      <c r="A25791" s="0" t="n">
        <f aca="false">_xlfn.FORECAST.ETS.SEASONALITY({88.07;83.22;14.5;81.66;52;80;34;11;78;82.61;99;4;88.22;63.9;45.99;98;69.46;90;57;75;36.5;71.02;20.82},{44849;44880;44910;44941;44972;45000;45031;45061;45092;45122;45153;45184;45214;45245;45275;45306;45337;45366;45397;45427;45458;45488;45519},1)</f>
        <v>9</v>
      </c>
      <c r="B25791" s="0" t="s">
        <v>25611</v>
      </c>
    </row>
    <row r="25792" customFormat="false" ht="15" hidden="false" customHeight="false" outlineLevel="0" collapsed="false">
      <c r="A25792" s="0" t="n">
        <f aca="false">_xlfn.FORECAST.ETS({37},{11;18.3;17.72;14.3;11.44;26;29.85;32;31.93;29.73;24.6;40.3;41.6;35.89;44.6;44.56;40.9;38.2;52.8;54;50;56;57.03;54.68;50;67;68.87;63.7;70;71.2;70;63.8;78;80.61},{1;2;3;4;5;6;7;9;10;11;12;13;14;15;16;17;18;19;20;21;22;23;24;25;26;27;28;29;30;31;32;33;34;35},7,1)</f>
        <v>82.8970772015009</v>
      </c>
      <c r="B25792" s="0" t="s">
        <v>25612</v>
      </c>
    </row>
    <row r="25793" customFormat="false" ht="15" hidden="false" customHeight="false" outlineLevel="0" collapsed="false">
      <c r="A25793" s="0" t="n">
        <f aca="false">_xlfn.ORG.LIBREOFFICE.FORECAST.ETS.STAT.MULT({11;18.3;17.72;14.3;11.44;26;29.85;32;31.93;29.73;24.6;40.3;41.6;35.89;44.6;44.56;40.9;38.2;52.8;54;50;56;57.03;54.68;50;67;68.87;63.7;70;71.2;70;63.8;78;80.61},{1;2;3;4;5;6;7;9;10;11;12;13;14;15;16;17;18;19;20;21;22;23;24;25;26;27;28;29;30;31;32;33;34;35},{4;7;6;1;5;3;8;2;9},7,1)</f>
        <v>0.518053237793712</v>
      </c>
      <c r="B25793" s="0" t="s">
        <v>25613</v>
      </c>
    </row>
    <row r="25794" customFormat="false" ht="15" hidden="false" customHeight="false" outlineLevel="0" collapsed="false">
      <c r="A25794" s="0" t="n">
        <f aca="false">_xlfn.FORECAST.ETS.SEASONALITY({11;18.3;17.72;14.3;11.44;26;29.85;32;31.93;29.73;24.6;40.3;41.6;35.89;44.6;44.56;40.9;38.2;52.8;54;50;56;57.03;54.68;50;67;68.87;63.7;70;71.2;70;63.8;78;80.61},{1;2;3;4;5;6;7;9;10;11;12;13;14;15;16;17;18;19;20;21;22;23;24;25;26;27;28;29;30;31;32;33;34;35})</f>
        <v>14</v>
      </c>
      <c r="B25794" s="0" t="s">
        <v>25614</v>
      </c>
    </row>
    <row r="25795" customFormat="false" ht="15" hidden="false" customHeight="false" outlineLevel="0" collapsed="false">
      <c r="A25795" s="0" t="n">
        <f aca="false">_xlfn.ORG.LIBREOFFICE.FORECAST.ETS.MULT({10},{30.6;30.6;31;31;30.6;30.64;31;30.64;23.4;31},{1;2;3;4;5;6;7;8;8;9},0,1)</f>
        <v>31.05</v>
      </c>
      <c r="B25795" s="0" t="s">
        <v>25615</v>
      </c>
    </row>
    <row r="25796" customFormat="false" ht="15" hidden="false" customHeight="false" outlineLevel="0" collapsed="false">
      <c r="A25796" s="0" t="n">
        <f aca="false">_xlfn.FORECAST.ETS.STAT({30.6;30.6;31;31;30.6;30.64;31;30.64;23.4;31},{1;2;3;4;5;6;7;8;8;9},{1},0,1)</f>
        <v>0</v>
      </c>
      <c r="B25796" s="0" t="s">
        <v>25616</v>
      </c>
    </row>
    <row r="25797" customFormat="false" ht="15" hidden="false" customHeight="false" outlineLevel="0" collapsed="false">
      <c r="A25797" s="0" t="n">
        <f aca="false">_xlfn.FORECAST.ETS.SEASONALITY({30.6;30.6;31;31;30.6;30.64;31;30.64;23.4;31},{1;2;3;4;5;6;7;8;8;9})</f>
        <v>3</v>
      </c>
      <c r="B25797" s="0" t="s">
        <v>25617</v>
      </c>
    </row>
    <row r="25798" customFormat="false" ht="15" hidden="false" customHeight="false" outlineLevel="0" collapsed="false">
      <c r="A25798" s="0" t="n">
        <f aca="false">_xlfn.FORECAST.ETS.CONFINT({10;11;12},{30.6;30.6;31;31;30.6;30.64;31;30.64;23.4;31},{1;2;3;4;5;6;7;8;8;9},0.99,0,0)</f>
        <v>0.535066153231605</v>
      </c>
      <c r="B25798" s="0" t="s">
        <v>25618</v>
      </c>
    </row>
    <row r="25799" customFormat="false" ht="15" hidden="false" customHeight="false" outlineLevel="0" collapsed="false">
      <c r="A25799" s="0" t="n">
        <f aca="false">_xlfn.ORG.LIBREOFFICE.FORECAST.ETS.MULT({12,10.25},{27;26.9;27;26.9;26.9;26.87;27;26.9;26.9;26.9;26.9;27;26.87;26.9;26.87;27;27;27;27},{1;1.5;2;2.5;3;3.5;4;4.5;5;5.5;6;6.5;7;7.5;8;8.5;9;9.5;10})</f>
        <v>27.1694052720585</v>
      </c>
      <c r="B25799" s="0" t="s">
        <v>25619</v>
      </c>
    </row>
    <row r="25800" customFormat="false" ht="15" hidden="false" customHeight="false" outlineLevel="0" collapsed="false">
      <c r="A25800" s="0" t="n">
        <f aca="false">_xlfn.ORG.LIBREOFFICE.FORECAST.ETS.STAT.MULT({27;26.9;27;26.9;26.9;26.87;27;26.9;26.9;26.9;26.9;27;26.87;26.9;26.87;27;27;27;27},{1;1.5;2;2.5;3;3.5;4;4.5;5;5.5;6;6.5;7;7.5;8;8.5;9;9.5;10},{4;8})</f>
        <v>0.467174011287017</v>
      </c>
      <c r="B25800" s="0" t="s">
        <v>25620</v>
      </c>
    </row>
    <row r="25801" customFormat="false" ht="15" hidden="false" customHeight="false" outlineLevel="0" collapsed="false">
      <c r="A25801" s="0" t="n">
        <f aca="false">_xlfn.FORECAST.ETS.SEASONALITY({27;26.9;27;26.9;26.9;26.87;27;26.9;26.9;26.9;26.9;27;26.87;26.9;26.87;27;27;27;27},{1;1.5;2;2.5;3;3.5;4;4.5;5;5.5;6;6.5;7;7.5;8;8.5;9;9.5;10},1,5)</f>
        <v>9</v>
      </c>
      <c r="B25801" s="0" t="s">
        <v>25621</v>
      </c>
    </row>
    <row r="25802" customFormat="false" ht="15" hidden="false" customHeight="false" outlineLevel="0" collapsed="false">
      <c r="A25802" s="0" t="n">
        <f aca="false">_xlfn.FORECAST.ETS({68;60.5},{16;19.4;24;25;28;32.44;36;39.04;40;46;46.77},{3;8;13;18;23;28;33;38;43;48;53},0)</f>
        <v>57.2125661465155</v>
      </c>
      <c r="B25802" s="0" t="s">
        <v>25622</v>
      </c>
    </row>
    <row r="25803" customFormat="false" ht="15" hidden="false" customHeight="false" outlineLevel="0" collapsed="false">
      <c r="A25803" s="0" t="n">
        <f aca="false">_xlfn.ORG.LIBREOFFICE.FORECAST.ETS.STAT.MULT({16;19.4;24;25;28;32.44;36;39.04;40;46;46.77},{3;8;13;18;23;28;33;38;43;48;53},{2;5;7;9;1;6;3;4;8},0)</f>
        <v>0.26953125</v>
      </c>
      <c r="B25803" s="0" t="s">
        <v>25623</v>
      </c>
    </row>
    <row r="25804" customFormat="false" ht="15" hidden="false" customHeight="false" outlineLevel="0" collapsed="false">
      <c r="A25804" s="0" t="n">
        <f aca="false">_xlfn.FORECAST.ETS.SEASONALITY({16;19.4;24;25;28;32.44;36;39.04;40;46;46.77},{3;8;13;18;23;28;33;38;43;48;53})</f>
        <v>2</v>
      </c>
      <c r="B25804" s="0" t="s">
        <v>25624</v>
      </c>
    </row>
    <row r="25805" customFormat="false" ht="15" hidden="false" customHeight="false" outlineLevel="0" collapsed="false">
      <c r="A25805" s="0" t="n">
        <f aca="false">_xlfn.ORG.LIBREOFFICE.FORECAST.ETS.MULT(13,{36.4;37;34.61;35.9;33;32;32.23;30.23;32;30;28;28.27;28;26;25.43},{1;2;3;4;5;6;7;8;9;10;11;12;13;14;15})</f>
        <v>28</v>
      </c>
      <c r="B25805" s="0" t="s">
        <v>25625</v>
      </c>
    </row>
    <row r="25806" customFormat="false" ht="15" hidden="false" customHeight="false" outlineLevel="0" collapsed="false">
      <c r="A25806" s="0" t="n">
        <f aca="false">_xlfn.FORECAST.ETS.STAT({36.4;37;34.61;35.9;33;32;32.23;30.23;32;30;28;28.27;28;26;25.43},{1;2;3;4;5;6;7;8;9;10;11;12;13;14;15},{9;6;1;2;8;4;5;3;7})</f>
        <v>6</v>
      </c>
      <c r="B25806" s="0" t="s">
        <v>25626</v>
      </c>
    </row>
    <row r="25807" customFormat="false" ht="15" hidden="false" customHeight="false" outlineLevel="0" collapsed="false">
      <c r="A25807" s="0" t="n">
        <f aca="false">_xlfn.FORECAST.ETS.SEASONALITY({36.4;37;34.61;35.9;33;32;32.23;30.23;32;30;28;28.27;28;26;25.43},{1;2;3;4;5;6;7;8;9;10;11;12;13;14;15})</f>
        <v>6</v>
      </c>
      <c r="B25807" s="0" t="s">
        <v>25627</v>
      </c>
    </row>
    <row r="25808" customFormat="false" ht="15" hidden="false" customHeight="false" outlineLevel="0" collapsed="false">
      <c r="A25808" s="0" t="n">
        <f aca="false">_xlfn.ORG.LIBREOFFICE.FORECAST.ETS.MULT({39;39},{26.39;39.35;38.7;40.09;41;54.38;53.2;56;56;71;67.5;68.77;71.3;87;43.7;83.9;84},{3;5;7;9;11;13;15;17;19;21;23;25;27;29;29;31;33})</f>
        <v>99.3395360006538</v>
      </c>
      <c r="B25808" s="0" t="s">
        <v>25628</v>
      </c>
    </row>
    <row r="25809" customFormat="false" ht="15" hidden="false" customHeight="false" outlineLevel="0" collapsed="false">
      <c r="A25809" s="0" t="n">
        <f aca="false">_xlfn.FORECAST.ETS.STAT({26.39;39.35;38.7;40.09;41;54.38;53.2;56;56;71;67.5;68.77;71.3;87;43.7;83.9;84},{3;5;7;9;11;13;15;17;19;21;23;25;27;29;29;31;33},{2;5})</f>
        <v>0.875</v>
      </c>
      <c r="B25809" s="0" t="s">
        <v>25629</v>
      </c>
    </row>
    <row r="25810" customFormat="false" ht="15" hidden="false" customHeight="false" outlineLevel="0" collapsed="false">
      <c r="A25810" s="0" t="n">
        <f aca="false">_xlfn.FORECAST.ETS.SEASONALITY({26.39;39.35;38.7;40.09;41;54.38;53.2;56;56;71;67.5;68.77;71.3;87;43.7;83.9;84},{3;5;7;9;11;13;15;17;19;21;23;25;27;29;29;31;33},1)</f>
        <v>4</v>
      </c>
      <c r="B25810" s="0" t="s">
        <v>25630</v>
      </c>
    </row>
    <row r="25811" customFormat="false" ht="15" hidden="false" customHeight="false" outlineLevel="0" collapsed="false">
      <c r="A25811" s="0" t="n">
        <f aca="false">_xlfn.ORG.LIBREOFFICE.FORECAST.ETS.MULT(14,{51.31;77.58;65.4;72.31;9.4;45.1;73.81;94.6;55.2;21.1;86.1},{1;2;3;4;4;5;6;7;8;9;10},1,0)</f>
        <v>74.4836904228042</v>
      </c>
      <c r="B25811" s="0" t="s">
        <v>25631</v>
      </c>
    </row>
    <row r="25812" customFormat="false" ht="15" hidden="false" customHeight="false" outlineLevel="0" collapsed="false">
      <c r="A25812" s="0" t="n">
        <f aca="false">_xlfn.FORECAST.ETS.STAT({51.31;77.58;65.4;72.31;9.4;45.1;73.81;94.6;55.2;21.1;86.1},{1;2;3;4;4;5;6;7;8;9;10},{2;5;1;7;4;6;8;3;9},1,0)</f>
        <v>0</v>
      </c>
      <c r="B25812" s="0" t="s">
        <v>25632</v>
      </c>
    </row>
    <row r="25813" customFormat="false" ht="15" hidden="false" customHeight="false" outlineLevel="0" collapsed="false">
      <c r="A25813" s="0" t="n">
        <f aca="false">_xlfn.FORECAST.ETS.SEASONALITY({51.31;77.58;65.4;72.31;9.4;45.1;73.81;94.6;55.2;21.1;86.1},{1;2;3;4;4;5;6;7;8;9;10})</f>
        <v>4</v>
      </c>
      <c r="B25813" s="0" t="s">
        <v>25633</v>
      </c>
    </row>
    <row r="25814" customFormat="false" ht="15" hidden="false" customHeight="false" outlineLevel="0" collapsed="false">
      <c r="A25814" s="0" t="n">
        <f aca="false">_xlfn.FORECAST.ETS.CONFINT(11,{51.31;77.58;65.4;72.31;9.4;45.1;73.81;94.6;55.2;21.1;86.1},{1;2;3;4;4;5;6;7;8;9;10},0.95,0)</f>
        <v>49.7068025439481</v>
      </c>
      <c r="B25814" s="0" t="s">
        <v>25634</v>
      </c>
    </row>
    <row r="25815" customFormat="false" ht="15" hidden="false" customHeight="false" outlineLevel="0" collapsed="false">
      <c r="A25815" s="0" t="n">
        <f aca="false">_xlfn.ORG.LIBREOFFICE.FORECAST.ETS.MULT({7.5,7},{51;40.9;11.97;35;23;31.48;58.5;55;46.29;9;26;18.3},{5.5;4.5;1.5;4;2.5;3.5;6.5;6;5;1;3;2},6,0)</f>
        <v>61.502076310274</v>
      </c>
      <c r="B25815" s="0" t="s">
        <v>25635</v>
      </c>
    </row>
    <row r="25816" customFormat="false" ht="15" hidden="false" customHeight="false" outlineLevel="0" collapsed="false">
      <c r="A25816" s="0" t="n">
        <f aca="false">_xlfn.FORECAST.ETS.STAT({51;40.9;11.97;35;23;31.48;58.5;55;46.29;9;26;18.3},{5.5;4.5;1.5;4;2.5;3.5;6.5;6;5;1;3;2},{4;2;9;1;7;5;6;8;3},6,0)</f>
        <v>0.067014438387746</v>
      </c>
      <c r="B25816" s="0" t="s">
        <v>25636</v>
      </c>
    </row>
    <row r="25817" customFormat="false" ht="15" hidden="false" customHeight="false" outlineLevel="0" collapsed="false">
      <c r="A25817" s="0" t="n">
        <f aca="false">_xlfn.FORECAST.ETS.SEASONALITY({51;40.9;11.97;35;23;31.48;58.5;55;46.29;9;26;18.3},{5.5;4.5;1.5;4;2.5;3.5;6.5;6;5;1;3;2},0)</f>
        <v>5</v>
      </c>
      <c r="B25817" s="0" t="s">
        <v>25637</v>
      </c>
    </row>
    <row r="25818" customFormat="false" ht="15" hidden="false" customHeight="false" outlineLevel="0" collapsed="false">
      <c r="A25818" s="0" t="n">
        <f aca="false">_xlfn.ORG.LIBREOFFICE.FORECAST.ETS.PI.MULT(8,{51;40.9;11.97;35;23;31.48;58.5;55;46.29;9;26;18.3},{5.5;4.5;1.5;4;2.5;3.5;6.5;6;5;1;3;2},0.95,0)</f>
        <v>4.43269059498918</v>
      </c>
      <c r="B25818" s="0" t="s">
        <v>25638</v>
      </c>
    </row>
    <row r="25819" customFormat="false" ht="15" hidden="false" customHeight="false" outlineLevel="0" collapsed="false">
      <c r="A25819" s="0" t="n">
        <f aca="false">_xlfn.ORG.LIBREOFFICE.FORECAST.ETS.MULT({42},{26;31;35.6;39.7;43.8;49.7;56;58;64.49;69.9;74.1;79;84;89.6;94.32;100;103.3;109.29;113},{3;5;7;9;11;13;15;17;19;21;23;25;27;29;31;33;35;37;39},7)</f>
        <v>124.491374155121</v>
      </c>
      <c r="B25819" s="0" t="s">
        <v>25639</v>
      </c>
    </row>
    <row r="25820" customFormat="false" ht="15" hidden="false" customHeight="false" outlineLevel="0" collapsed="false">
      <c r="A25820" s="0" t="n">
        <f aca="false">_xlfn.FORECAST.ETS.STAT({26;31;35.6;39.7;43.8;49.7;56;58;64.49;69.9;74.1;79;84;89.6;94.32;100;103.3;109.29;113},{3;5;7;9;11;13;15;17;19;21;23;25;27;29;31;33;35;37;39},{4},7)</f>
        <v>0.0913997577538</v>
      </c>
      <c r="B25820" s="0" t="s">
        <v>25640</v>
      </c>
    </row>
    <row r="25821" customFormat="false" ht="15" hidden="false" customHeight="false" outlineLevel="0" collapsed="false">
      <c r="A25821" s="0" t="n">
        <f aca="false">_xlfn.FORECAST.ETS.SEASONALITY({26;31;35.6;39.7;43.8;49.7;56;58;64.49;69.9;74.1;79;84;89.6;94.32;100;103.3;109.29;113},{3;5;7;9;11;13;15;17;19;21;23;25;27;29;31;33;35;37;39})</f>
        <v>9</v>
      </c>
      <c r="B25821" s="0" t="s">
        <v>25641</v>
      </c>
    </row>
    <row r="25822" customFormat="false" ht="15" hidden="false" customHeight="false" outlineLevel="0" collapsed="false">
      <c r="A25822" s="0" t="n">
        <f aca="false">_xlfn.FORECAST.ETS(45011,{16;16;16;16;16;15.99;16;16;15.99;16},{45000;45001;45002;45003;45004;45005;45006;45007;45008;45009},1,,2)</f>
        <v>15.9871577382164</v>
      </c>
      <c r="B25822" s="0" t="s">
        <v>25642</v>
      </c>
    </row>
    <row r="25823" customFormat="false" ht="15" hidden="false" customHeight="false" outlineLevel="0" collapsed="false">
      <c r="A25823" s="0" t="n">
        <f aca="false">_xlfn.FORECAST.ETS.STAT({16;16;16;16;16;15.99;16;16;15.99;16},{45000;45001;45002;45003;45004;45005;45006;45007;45008;45009},{6;3;4;2;5;7;8;1;9},1,,2)</f>
        <v>0.00257438738056711</v>
      </c>
      <c r="B25823" s="0" t="s">
        <v>25643</v>
      </c>
    </row>
    <row r="25824" customFormat="false" ht="15" hidden="false" customHeight="false" outlineLevel="0" collapsed="false">
      <c r="A25824" s="0" t="n">
        <f aca="false">_xlfn.FORECAST.ETS.SEASONALITY({16;16;16;16;16;15.99;16;16;15.99;16},{45000;45001;45002;45003;45004;45005;45006;45007;45008;45009},1,7)</f>
        <v>3</v>
      </c>
      <c r="B25824" s="0" t="s">
        <v>25644</v>
      </c>
    </row>
    <row r="25825" customFormat="false" ht="15" hidden="false" customHeight="false" outlineLevel="0" collapsed="false">
      <c r="A25825" s="0" t="n">
        <f aca="false">_xlfn.FORECAST.ETS.CONFINT(45011,{16;16;16;16;16;15.99;16;16;15.99;16},{45000;45001;45002;45003;45004;45005;45006;45007;45008;45009},0.5,0)</f>
        <v>0.00344507056728814</v>
      </c>
      <c r="B25825" s="0" t="s">
        <v>25645</v>
      </c>
    </row>
    <row r="25826" customFormat="false" ht="15" hidden="false" customHeight="false" outlineLevel="0" collapsed="false">
      <c r="A25826" s="0" t="n">
        <f aca="false">_xlfn.FORECAST.ETS(25,{13.64;21;21.12;20.31;14.56;13;12.9;21.7;21.4;19;15.7;22;12.8;14.6;23.95;22;19.75;17;22;13.01},{1;2;3;4;5;7;8;9;10;11;12;13;14;15;16;17;18;19;20;21},7,1)</f>
        <v>20.9714703777858</v>
      </c>
      <c r="B25826" s="0" t="s">
        <v>25646</v>
      </c>
    </row>
    <row r="25827" customFormat="false" ht="15" hidden="false" customHeight="false" outlineLevel="0" collapsed="false">
      <c r="A25827" s="0" t="n">
        <f aca="false">_xlfn.ORG.LIBREOFFICE.FORECAST.ETS.STAT.MULT({13.64;21;21.12;20.31;14.56;13;12.9;21.7;21.4;19;15.7;22;12.8;14.6;23.95;22;19.75;17;22;13.01},{1;2;3;4;5;7;8;9;10;11;12;13;14;15;16;17;18;19;20;21},{2;7;3;5;1;6;8;9;4},7,1)</f>
        <v>0</v>
      </c>
      <c r="B25827" s="0" t="s">
        <v>25647</v>
      </c>
    </row>
    <row r="25828" customFormat="false" ht="15" hidden="false" customHeight="false" outlineLevel="0" collapsed="false">
      <c r="A25828" s="0" t="n">
        <f aca="false">_xlfn.FORECAST.ETS.SEASONALITY({13.64;21;21.12;20.31;14.56;13;12.9;21.7;21.4;19;15.7;22;12.8;14.6;23.95;22;19.75;17;22;13.01},{1;2;3;4;5;7;8;9;10;11;12;13;14;15;16;17;18;19;20;21},1)</f>
        <v>7</v>
      </c>
      <c r="B25828" s="0" t="s">
        <v>25648</v>
      </c>
    </row>
    <row r="25829" customFormat="false" ht="15" hidden="false" customHeight="false" outlineLevel="0" collapsed="false">
      <c r="A25829" s="0" t="n">
        <f aca="false">_xlfn.ORG.LIBREOFFICE.FORECAST.ETS.MULT(23,{63;34.1;10.9;19.3;24.7;11.75;23;27;14;65;52;55.6;65;63.41;43.99;49.6;40.85;46.23;66;28;33;2;82.7},{1;2;3;4;5;6;7;8;9;10;11;12;13;14;15;16;17;18;19;20;21;22;23})</f>
        <v>82.7</v>
      </c>
      <c r="B25829" s="0" t="s">
        <v>25649</v>
      </c>
    </row>
    <row r="25830" customFormat="false" ht="15" hidden="false" customHeight="false" outlineLevel="0" collapsed="false">
      <c r="A25830" s="0" t="n">
        <f aca="false">_xlfn.FORECAST.ETS.STAT({63;34.1;10.9;19.3;24.7;11.75;23;27;14;65;52;55.6;65;63.41;43.99;49.6;40.85;46.23;66;28;33;2;82.7},{1;2;3;4;5;6;7;8;9;10;11;12;13;14;15;16;17;18;19;20;21;22;23},{4})</f>
        <v>0.9164789329192</v>
      </c>
      <c r="B25830" s="0" t="s">
        <v>25650</v>
      </c>
    </row>
    <row r="25831" customFormat="false" ht="15" hidden="false" customHeight="false" outlineLevel="0" collapsed="false">
      <c r="A25831" s="0" t="n">
        <f aca="false">_xlfn.FORECAST.ETS.SEASONALITY({63;34.1;10.9;19.3;24.7;11.75;23;27;14;65;52;55.6;65;63.41;43.99;49.6;40.85;46.23;66;28;33;2;82.7},{1;2;3;4;5;6;7;8;9;10;11;12;13;14;15;16;17;18;19;20;21;22;23},1)</f>
        <v>5</v>
      </c>
      <c r="B25831" s="0" t="s">
        <v>25651</v>
      </c>
    </row>
    <row r="25832" customFormat="false" ht="15" hidden="false" customHeight="false" outlineLevel="0" collapsed="false">
      <c r="A25832" s="0" t="n">
        <f aca="false">_xlfn.FORECAST.ETS(293,{40;46;41;45.88;41;34.91;42.79;34.8;39.6;26.9;35.7;29.88;33.73;29.7;33;22.84;29;25;29.8;24.64;24.9;18.92;23.17;20.3;22;17.8;20.7;13.6;17.84},{3;13;23;33;53;63;73;83;93;103;113;123;133;143;153;163;173;183;193;203;213;223;233;243;253;263;273;283;293})</f>
        <v>17.84</v>
      </c>
      <c r="B25832" s="0" t="s">
        <v>25652</v>
      </c>
    </row>
    <row r="25833" customFormat="false" ht="15" hidden="false" customHeight="false" outlineLevel="0" collapsed="false">
      <c r="A25833" s="0" t="n">
        <f aca="false">_xlfn.ORG.LIBREOFFICE.FORECAST.ETS.STAT.MULT({40;46;41;45.88;41;34.91;42.79;34.8;39.6;26.9;35.7;29.88;33.73;29.7;33;22.84;29;25;29.8;24.64;24.9;18.92;23.17;20.3;22;17.8;20.7;13.6;17.84},{3;13;23;33;53;63;73;83;93;103;113;123;133;143;153;163;173;183;193;203;213;223;233;243;253;263;273;283;293},{3;4})</f>
        <v>0.9619140625</v>
      </c>
      <c r="B25833" s="0" t="s">
        <v>25653</v>
      </c>
    </row>
    <row r="25834" customFormat="false" ht="15" hidden="false" customHeight="false" outlineLevel="0" collapsed="false">
      <c r="A25834" s="0" t="n">
        <f aca="false">_xlfn.FORECAST.ETS.SEASONALITY({40;46;41;45.88;41;34.91;42.79;34.8;39.6;26.9;35.7;29.88;33.73;29.7;33;22.84;29;25;29.8;24.64;24.9;18.92;23.17;20.3;22;17.8;20.7;13.6;17.84},{3;13;23;33;53;63;73;83;93;103;113;123;133;143;153;163;173;183;193;203;213;223;233;243;253;263;273;283;293},0)</f>
        <v>12</v>
      </c>
      <c r="B25834" s="0" t="s">
        <v>25654</v>
      </c>
    </row>
    <row r="25835" customFormat="false" ht="15" hidden="false" customHeight="false" outlineLevel="0" collapsed="false">
      <c r="A25835" s="0" t="n">
        <f aca="false">_xlfn.ORG.LIBREOFFICE.FORECAST.ETS.MULT(11,{20.19;24.25;22;34.15;31.2;26;27.9;40;31.6;19;36.77;35.64;37;33.12;24.83;23;27.7;29.46},{9;7;8;3.5;4;6.5;6;1;4.5;9.5;2;2.5;1.5;3;7.5;8.5;5.5;5},7,0)</f>
        <v>16.5353007250511</v>
      </c>
      <c r="B25835" s="0" t="s">
        <v>25655</v>
      </c>
    </row>
    <row r="25836" customFormat="false" ht="15" hidden="false" customHeight="false" outlineLevel="0" collapsed="false">
      <c r="A25836" s="0" t="n">
        <f aca="false">_xlfn.ORG.LIBREOFFICE.FORECAST.ETS.STAT.MULT({20.19;24.25;22;34.15;31.2;26;27.9;40;31.6;19;36.77;35.64;37;33.12;24.83;23;27.7;29.46},{9;7;8;3.5;4;6.5;6;1;4.5;9.5;2;2.5;1.5;3;7.5;8.5;5.5;5},{1;3;4;5;8;7;2;6;9},7,0)</f>
        <v>0.03125</v>
      </c>
      <c r="B25836" s="0" t="s">
        <v>25656</v>
      </c>
    </row>
    <row r="25837" customFormat="false" ht="15" hidden="false" customHeight="false" outlineLevel="0" collapsed="false">
      <c r="A25837" s="0" t="n">
        <f aca="false">_xlfn.FORECAST.ETS.SEASONALITY({20.19;24.25;22;34.15;31.2;26;27.9;40;31.6;19;36.77;35.64;37;33.12;24.83;23;27.7;29.46},{9;7;8;3.5;4;6.5;6;1;4.5;9.5;2;2.5;1.5;3;7.5;8.5;5.5;5},0)</f>
        <v>8</v>
      </c>
      <c r="B25837" s="0" t="s">
        <v>25657</v>
      </c>
    </row>
    <row r="25838" customFormat="false" ht="15" hidden="false" customHeight="false" outlineLevel="0" collapsed="false">
      <c r="A25838" s="0" t="n">
        <f aca="false">_xlfn.ORG.LIBREOFFICE.FORECAST.ETS.MULT({25.5},{10.8;12.72;15.9;16.2;18;21.3;24.16;24.96;27;29.7;31.5;34.3;34.6;36.11;39;42.7;45.3;48;50.4;52.79;55;56;58.9},{1;2;3;4;5;6;7;8;9;10;11;12;13;14;15;17;18;19;20;21;22;23;24},1,,5)</f>
        <v>59.4179573663365</v>
      </c>
      <c r="B25838" s="0" t="s">
        <v>25658</v>
      </c>
    </row>
    <row r="25839" customFormat="false" ht="15" hidden="false" customHeight="false" outlineLevel="0" collapsed="false">
      <c r="A25839" s="0" t="n">
        <f aca="false">_xlfn.ORG.LIBREOFFICE.FORECAST.ETS.STAT.MULT({10.8;12.72;15.9;16.2;18;21.3;24.16;24.96;27;29.7;31.5;34.3;34.6;36.11;39;42.7;45.3;48;50.4;52.79;55;56;58.9},{1;2;3;4;5;6;7;8;9;10;11;12;13;14;15;17;18;19;20;21;22;23;24},{7},1,,5)</f>
        <v>0.938549222150907</v>
      </c>
      <c r="B25839" s="0" t="s">
        <v>25659</v>
      </c>
    </row>
    <row r="25840" customFormat="false" ht="15" hidden="false" customHeight="false" outlineLevel="0" collapsed="false">
      <c r="A25840" s="0" t="n">
        <f aca="false">_xlfn.FORECAST.ETS.SEASONALITY({10.8;12.72;15.9;16.2;18;21.3;24.16;24.96;27;29.7;31.5;34.3;34.6;36.11;39;42.7;45.3;48;50.4;52.79;55;56;58.9},{1;2;3;4;5;6;7;8;9;10;11;12;13;14;15;17;18;19;20;21;22;23;24})</f>
        <v>12</v>
      </c>
      <c r="B25840" s="0" t="s">
        <v>25660</v>
      </c>
    </row>
    <row r="25841" customFormat="false" ht="15" hidden="false" customHeight="false" outlineLevel="0" collapsed="false">
      <c r="A25841" s="0" t="n">
        <f aca="false">_xlfn.ORG.LIBREOFFICE.FORECAST.ETS.MULT(44826.5,{47;49;48.22;46.91;49.8;48.92;47},{44607;44635;44666;44696;44727;44788;44819},2,0,1)</f>
        <v>47.6790042382543</v>
      </c>
      <c r="B25841" s="0" t="s">
        <v>25661</v>
      </c>
    </row>
    <row r="25842" customFormat="false" ht="15" hidden="false" customHeight="false" outlineLevel="0" collapsed="false">
      <c r="A25842" s="0" t="n">
        <f aca="false">_xlfn.FORECAST.ETS.STAT({47;49;48.22;46.91;49.8;48.92;47},{44607;44635;44666;44696;44727;44788;44819},{2},2,0,1)</f>
        <v>0</v>
      </c>
      <c r="B25842" s="0" t="s">
        <v>25662</v>
      </c>
    </row>
    <row r="25843" customFormat="false" ht="15" hidden="false" customHeight="false" outlineLevel="0" collapsed="false">
      <c r="A25843" s="0" t="n">
        <f aca="false">_xlfn.FORECAST.ETS.SEASONALITY({47;49;48.22;46.91;49.8;48.92;47},{44607;44635;44666;44696;44727;44788;44819})</f>
        <v>3</v>
      </c>
      <c r="B25843" s="0" t="s">
        <v>25663</v>
      </c>
    </row>
    <row r="25844" customFormat="false" ht="15" hidden="false" customHeight="false" outlineLevel="0" collapsed="false">
      <c r="A25844" s="0" t="n">
        <f aca="false">_xlfn.ORG.LIBREOFFICE.FORECAST.ETS.MULT({9.75,9.75,10},{10.4;13.98;16;18.8;23.31;27.1;29;34.12;36.1;38.7;43.2;47;48.59;54.54;55.89;59.7;63.7},{1;1.5;2;2.5;3;3.5;4;4.5;5;5.5;6;6.5;7;7.5;8;8.5;9})</f>
        <v>67.9774019772805</v>
      </c>
      <c r="B25844" s="0" t="s">
        <v>25664</v>
      </c>
    </row>
    <row r="25845" customFormat="false" ht="15" hidden="false" customHeight="false" outlineLevel="0" collapsed="false">
      <c r="A25845" s="0" t="n">
        <f aca="false">_xlfn.FORECAST.ETS.STAT({10.4;13.98;16;18.8;23.31;27.1;29;34.12;36.1;38.7;43.2;47;48.59;54.54;55.89;59.7;63.7},{1;1.5;2;2.5;3;3.5;4;4.5;5;5.5;6;6.5;7;7.5;8;8.5;9},{8;5})</f>
        <v>0.5</v>
      </c>
      <c r="B25845" s="0" t="s">
        <v>25665</v>
      </c>
    </row>
    <row r="25846" customFormat="false" ht="15" hidden="false" customHeight="false" outlineLevel="0" collapsed="false">
      <c r="A25846" s="0" t="n">
        <f aca="false">_xlfn.FORECAST.ETS.SEASONALITY({10.4;13.98;16;18.8;23.31;27.1;29;34.12;36.1;38.7;43.2;47;48.59;54.54;55.89;59.7;63.7},{1;1.5;2;2.5;3;3.5;4;4.5;5;5.5;6;6.5;7;7.5;8;8.5;9},1,2)</f>
        <v>6</v>
      </c>
      <c r="B25846" s="0" t="s">
        <v>25666</v>
      </c>
    </row>
    <row r="25847" customFormat="false" ht="15" hidden="false" customHeight="false" outlineLevel="0" collapsed="false">
      <c r="A25847" s="0" t="n">
        <f aca="false">_xlfn.ORG.LIBREOFFICE.FORECAST.ETS.MULT({36},{39.6;29;45.23;36.5;39.8;36;23.34;27.59;22.16;32.75;27;26.35;24.5;14.49;19;13.8;20.3;15.8;14.5;11;8.2;8;21.4;6;5.93;3.29;3;0.2;1;2;0.82;1.5;0.54;1;0.22;1.4},{1;2;3;4;5;6;7;8;9;10;11;12;13;14;15;16;17;18;19;20;21;22;22;23;24;25;26;27;28;29;30;31;32;33;34;35},0)</f>
        <v>-1.24583530982518</v>
      </c>
      <c r="B25847" s="0" t="s">
        <v>25667</v>
      </c>
    </row>
    <row r="25848" customFormat="false" ht="15" hidden="false" customHeight="false" outlineLevel="0" collapsed="false">
      <c r="A25848" s="0" t="n">
        <f aca="false">_xlfn.ORG.LIBREOFFICE.FORECAST.ETS.STAT.MULT({39.6;29;45.23;36.5;39.8;36;23.34;27.59;22.16;32.75;27;26.35;24.5;14.49;19;13.8;20.3;15.8;14.5;11;8.2;8;21.4;6;5.93;3.29;3;0.2;1;2;0.82;1.5;0.54;1;0.22;1.4},{1;2;3;4;5;6;7;8;9;10;11;12;13;14;15;16;17;18;19;20;21;22;22;23;24;25;26;27;28;29;30;31;32;33;34;35},{7},0)</f>
        <v>4.55750946162804</v>
      </c>
      <c r="B25848" s="0" t="s">
        <v>25668</v>
      </c>
    </row>
    <row r="25849" customFormat="false" ht="15" hidden="false" customHeight="false" outlineLevel="0" collapsed="false">
      <c r="A25849" s="0" t="n">
        <f aca="false">_xlfn.FORECAST.ETS.SEASONALITY({39.6;29;45.23;36.5;39.8;36;23.34;27.59;22.16;32.75;27;26.35;24.5;14.49;19;13.8;20.3;15.8;14.5;11;8.2;8;21.4;6;5.93;3.29;3;0.2;1;2;0.82;1.5;0.54;1;0.22;1.4},{1;2;3;4;5;6;7;8;9;10;11;12;13;14;15;16;17;18;19;20;21;22;22;23;24;25;26;27;28;29;30;31;32;33;34;35})</f>
        <v>7</v>
      </c>
      <c r="B25849" s="0" t="s">
        <v>25669</v>
      </c>
    </row>
    <row r="25850" customFormat="false" ht="15" hidden="false" customHeight="false" outlineLevel="0" collapsed="false">
      <c r="A25850" s="0" t="e">
        <f aca="false">_xlfn.FORECAST.ETS({45197},{25;37.18;41.76;24;7.31;41.27;21;11;17.2;28.4;19.8;23.1;4.04;2.1},{44834;45077;45046;44804;44773;45016;44957;44712;44895;44926;44865;44985;44742;44681})</f>
        <v>#VALUE!</v>
      </c>
      <c r="B25850" s="0" t="s">
        <v>25670</v>
      </c>
    </row>
    <row r="25851" customFormat="false" ht="15" hidden="false" customHeight="false" outlineLevel="0" collapsed="false">
      <c r="A25851" s="0" t="e">
        <f aca="false">_xlfn.ORG.LIBREOFFICE.FORECAST.ETS.STAT.MULT({25;37.18;41.76;24;7.31;41.27;21;11;17.2;28.4;19.8;23.1;4.04;2.1},{44834;45077;45046;44804;44773;45016;44957;44712;44895;44926;44865;44985;44742;44681},{4;6})</f>
        <v>#VALUE!</v>
      </c>
      <c r="B25851" s="0" t="s">
        <v>25671</v>
      </c>
    </row>
    <row r="25852" customFormat="false" ht="15" hidden="false" customHeight="false" outlineLevel="0" collapsed="false">
      <c r="A25852" s="0" t="e">
        <f aca="false">_xlfn.FORECAST.ETS.SEASONALITY({25;37.18;41.76;24;7.31;41.27;21;11;17.2;28.4;19.8;23.1;4.04;2.1},{44834;45077;45046;44804;44773;45016;44957;44712;44895;44926;44865;44985;44742;44681},0)</f>
        <v>#VALUE!</v>
      </c>
      <c r="B25852" s="0" t="s">
        <v>25672</v>
      </c>
    </row>
    <row r="25853" customFormat="false" ht="15" hidden="false" customHeight="false" outlineLevel="0" collapsed="false">
      <c r="A25853" s="0" t="n">
        <f aca="false">_xlfn.FORECAST.ETS({10;12;10.5},{26.9;27.8;22;29;21;33.3;33;24;19.2},{6;5;3;7;2;8;9;4;1},3)</f>
        <v>34.587890625</v>
      </c>
      <c r="B25853" s="0" t="s">
        <v>25673</v>
      </c>
    </row>
    <row r="25854" customFormat="false" ht="15" hidden="false" customHeight="false" outlineLevel="0" collapsed="false">
      <c r="A25854" s="0" t="n">
        <f aca="false">_xlfn.ORG.LIBREOFFICE.FORECAST.ETS.STAT.MULT({26.9;27.8;22;29;21;33.3;33;24;19.2},{6;5;3;7;2;8;9;4;1},{1},3)</f>
        <v>0</v>
      </c>
      <c r="B25854" s="0" t="s">
        <v>25674</v>
      </c>
    </row>
    <row r="25855" customFormat="false" ht="15" hidden="false" customHeight="false" outlineLevel="0" collapsed="false">
      <c r="A25855" s="0" t="n">
        <f aca="false">_xlfn.FORECAST.ETS.SEASONALITY({26.9;27.8;22;29;21;33.3;33;24;19.2},{6;5;3;7;2;8;9;4;1},1,2)</f>
        <v>3</v>
      </c>
      <c r="B25855" s="0" t="s">
        <v>25675</v>
      </c>
    </row>
    <row r="25856" customFormat="false" ht="15" hidden="false" customHeight="false" outlineLevel="0" collapsed="false">
      <c r="A25856" s="0" t="n">
        <f aca="false">_xlfn.ORG.LIBREOFFICE.FORECAST.ETS.MULT(15,{15.76;15.67;28;24.77;24;25.56;28.67;28.1;41;38.2;39;40.6},{1;2;3;4;5;6;7;8;9;10;11;12},3)</f>
        <v>51.7730914158295</v>
      </c>
      <c r="B25856" s="0" t="s">
        <v>25676</v>
      </c>
    </row>
    <row r="25857" customFormat="false" ht="15" hidden="false" customHeight="false" outlineLevel="0" collapsed="false">
      <c r="A25857" s="0" t="n">
        <f aca="false">_xlfn.FORECAST.ETS.STAT({15.76;15.67;28;24.77;24;25.56;28.67;28.1;41;38.2;39;40.6},{1;2;3;4;5;6;7;8;9;10;11;12},{3;9;6;1;5;4;8;7;2},3)</f>
        <v>0.28125</v>
      </c>
      <c r="B25857" s="0" t="s">
        <v>25677</v>
      </c>
    </row>
    <row r="25858" customFormat="false" ht="15" hidden="false" customHeight="false" outlineLevel="0" collapsed="false">
      <c r="A25858" s="0" t="n">
        <f aca="false">_xlfn.FORECAST.ETS.SEASONALITY({15.76;15.67;28;24.77;24;25.56;28.67;28.1;41;38.2;39;40.6},{1;2;3;4;5;6;7;8;9;10;11;12},1)</f>
        <v>6</v>
      </c>
      <c r="B25858" s="0" t="s">
        <v>25678</v>
      </c>
    </row>
    <row r="25859" customFormat="false" ht="15" hidden="false" customHeight="false" outlineLevel="0" collapsed="false">
      <c r="A25859" s="0" t="n">
        <f aca="false">_xlfn.FORECAST.ETS({25},{23;23;23.28;23;23.3;23;23;23;23;23.3;23;23;23.3;23;23.3;23.28;23.28;23;23.3;23;23.28;23;23;23.28},{1;2;3;4;5;6;7;8;9;10;11;12;13;14;15;16;17;18;19;20;21;22;23;24},2)</f>
        <v>23.1719545651564</v>
      </c>
      <c r="B25859" s="0" t="s">
        <v>25679</v>
      </c>
    </row>
    <row r="25860" customFormat="false" ht="15" hidden="false" customHeight="false" outlineLevel="0" collapsed="false">
      <c r="A25860" s="0" t="n">
        <f aca="false">_xlfn.ORG.LIBREOFFICE.FORECAST.ETS.STAT.MULT({23;23;23.28;23;23.3;23;23;23;23;23.3;23;23;23.3;23;23.3;23.28;23.28;23;23.3;23;23.28;23;23;23.28},{1;2;3;4;5;6;7;8;9;10;11;12;13;14;15;16;17;18;19;20;21;22;23;24},{4},2)</f>
        <v>0.78886002645616</v>
      </c>
      <c r="B25860" s="0" t="s">
        <v>25680</v>
      </c>
    </row>
    <row r="25861" customFormat="false" ht="15" hidden="false" customHeight="false" outlineLevel="0" collapsed="false">
      <c r="A25861" s="0" t="n">
        <f aca="false">_xlfn.FORECAST.ETS.SEASONALITY({23;23;23.28;23;23.3;23;23;23;23;23.3;23;23;23.3;23;23.3;23.28;23.28;23;23.3;23;23.28;23;23;23.28},{1;2;3;4;5;6;7;8;9;10;11;12;13;14;15;16;17;18;19;20;21;22;23;24})</f>
        <v>9</v>
      </c>
      <c r="B25861" s="0" t="s">
        <v>25681</v>
      </c>
    </row>
    <row r="25862" customFormat="false" ht="15" hidden="false" customHeight="false" outlineLevel="0" collapsed="false">
      <c r="A25862" s="0" t="n">
        <f aca="false">_xlfn.FORECAST.ETS.CONFINT({25;26;27},{23;23;23.28;23;23.3;23;23;23;23;23.3;23;23;23.3;23;23.3;23.28;23.28;23;23.3;23;23.28;23;23;23.28},{1;2;3;4;5;6;7;8;9;10;11;12;13;14;15;16;17;18;19;20;21;22;23;24},0.5,0)</f>
        <v>0.104146909316309</v>
      </c>
      <c r="B25862" s="0" t="s">
        <v>25682</v>
      </c>
    </row>
    <row r="25863" customFormat="false" ht="15" hidden="false" customHeight="false" outlineLevel="0" collapsed="false">
      <c r="A25863" s="0" t="n">
        <f aca="false">_xlfn.FORECAST.ETS({45470},{70.3;78.7;43.7;87;13.87;83;50;89.35;65.1;92.8;27.15;4.7;44.2;62;70.64;90;50.5;65.09;22.9},{44862;44893;44923;44954;44985;45013;45044;45074;45105;45135;45166;45197;45227;45258;45288;45319;45350;45379;45410})</f>
        <v>20.8113026882746</v>
      </c>
      <c r="B25863" s="0" t="s">
        <v>25683</v>
      </c>
    </row>
    <row r="25864" customFormat="false" ht="15" hidden="false" customHeight="false" outlineLevel="0" collapsed="false">
      <c r="A25864" s="0" t="n">
        <f aca="false">_xlfn.FORECAST.ETS.STAT({70.3;78.7;43.7;87;13.87;83;50;89.35;65.1;92.8;27.15;4.7;44.2;62;70.64;90;50.5;65.09;22.9},{44862;44893;44923;44954;44985;45013;45044;45074;45105;45135;45166;45197;45227;45258;45288;45319;45350;45379;45410},{2})</f>
        <v>0.0009765625</v>
      </c>
      <c r="B25864" s="0" t="s">
        <v>25684</v>
      </c>
    </row>
    <row r="25865" customFormat="false" ht="15" hidden="false" customHeight="false" outlineLevel="0" collapsed="false">
      <c r="A25865" s="0" t="n">
        <f aca="false">_xlfn.FORECAST.ETS.SEASONALITY({70.3;78.7;43.7;87;13.87;83;50;89.35;65.1;92.8;27.15;4.7;44.2;62;70.64;90;50.5;65.09;22.9},{44862;44893;44923;44954;44985;45013;45044;45074;45105;45135;45166;45197;45227;45258;45288;45319;45350;45379;45410},0,4)</f>
        <v>2</v>
      </c>
      <c r="B25865" s="0" t="s">
        <v>25685</v>
      </c>
    </row>
    <row r="25866" customFormat="false" ht="15" hidden="false" customHeight="false" outlineLevel="0" collapsed="false">
      <c r="A25866" s="0" t="n">
        <f aca="false">_xlfn.FORECAST.ETS(45014,{78.5;53;14;53;56.1;79;37.6;44.1;14;41;90.8;95.3},{45000;45001;45002;45003;45004;45005;45006;45006;45007;45008;45009;45010},0,1)</f>
        <v>102.02</v>
      </c>
      <c r="B25866" s="0" t="s">
        <v>25686</v>
      </c>
    </row>
    <row r="25867" customFormat="false" ht="15" hidden="false" customHeight="false" outlineLevel="0" collapsed="false">
      <c r="A25867" s="0" t="n">
        <f aca="false">_xlfn.ORG.LIBREOFFICE.FORECAST.ETS.STAT.MULT({78.5;53;14;53;56.1;79;37.6;44.1;14;41;90.8;95.3},{45000;45001;45002;45003;45004;45005;45006;45006;45007;45008;45009;45010},{3;7},0,1)</f>
        <v>0</v>
      </c>
      <c r="B25867" s="0" t="s">
        <v>25687</v>
      </c>
    </row>
    <row r="25868" customFormat="false" ht="15" hidden="false" customHeight="false" outlineLevel="0" collapsed="false">
      <c r="A25868" s="0" t="n">
        <f aca="false">_xlfn.FORECAST.ETS.SEASONALITY({78.5;53;14;53;56.1;79;37.6;44.1;14;41;90.8;95.3},{45000;45001;45002;45003;45004;45005;45006;45006;45007;45008;45009;45010})</f>
        <v>5</v>
      </c>
      <c r="B25868" s="0" t="s">
        <v>25688</v>
      </c>
    </row>
    <row r="25869" customFormat="false" ht="15" hidden="false" customHeight="false" outlineLevel="0" collapsed="false">
      <c r="A25869" s="0" t="e">
        <f aca="false">_xlfn.ORG.LIBREOFFICE.FORECAST.ETS.MULT({44833,44863},{35;35;35;37.17;37.49;11.6;37.1},{44620;44651;44681;44712;44742;44742;44773})</f>
        <v>#VALUE!</v>
      </c>
      <c r="B25869" s="0" t="s">
        <v>25689</v>
      </c>
    </row>
    <row r="25870" customFormat="false" ht="15" hidden="false" customHeight="false" outlineLevel="0" collapsed="false">
      <c r="A25870" s="0" t="e">
        <f aca="false">_xlfn.ORG.LIBREOFFICE.FORECAST.ETS.STAT.MULT({35;35;35;37.17;37.49;11.6;37.1},{44620;44651;44681;44712;44742;44742;44773},{4;5})</f>
        <v>#VALUE!</v>
      </c>
      <c r="B25870" s="0" t="s">
        <v>25690</v>
      </c>
    </row>
    <row r="25871" customFormat="false" ht="15" hidden="false" customHeight="false" outlineLevel="0" collapsed="false">
      <c r="A25871" s="0" t="e">
        <f aca="false">_xlfn.FORECAST.ETS.SEASONALITY({35;35;35;37.17;37.49;11.6;37.1},{44620;44651;44681;44712;44742;44742;44773},1,2)</f>
        <v>#VALUE!</v>
      </c>
      <c r="B25871" s="0" t="s">
        <v>25691</v>
      </c>
    </row>
    <row r="25872" customFormat="false" ht="15" hidden="false" customHeight="false" outlineLevel="0" collapsed="false">
      <c r="A25872" s="0" t="n">
        <f aca="false">_xlfn.ORG.LIBREOFFICE.FORECAST.ETS.MULT({9.75,9.25},{21;19;19.6;20;19.63;20.2;20.6;18.28;20.4;19;19.1;18.97;19;17.8;17.9;17.89;17.96},{1;1.5;2;2.5;3;3.5;4;4.5;5;5.5;6;6.5;7;7.5;8;8.5;9},4)</f>
        <v>16.9599704414296</v>
      </c>
      <c r="B25872" s="0" t="s">
        <v>25692</v>
      </c>
    </row>
    <row r="25873" customFormat="false" ht="15" hidden="false" customHeight="false" outlineLevel="0" collapsed="false">
      <c r="A25873" s="0" t="n">
        <f aca="false">_xlfn.ORG.LIBREOFFICE.FORECAST.ETS.STAT.MULT({21;19;19.6;20;19.63;20.2;20.6;18.28;20.4;19;19.1;18.97;19;17.8;17.9;17.89;17.96},{1;1.5;2;2.5;3;3.5;4;4.5;5;5.5;6;6.5;7;7.5;8;8.5;9},{2;8},4)</f>
        <v>0.3271484375</v>
      </c>
      <c r="B25873" s="0" t="s">
        <v>25693</v>
      </c>
    </row>
    <row r="25874" customFormat="false" ht="15" hidden="false" customHeight="false" outlineLevel="0" collapsed="false">
      <c r="A25874" s="0" t="n">
        <f aca="false">_xlfn.FORECAST.ETS.SEASONALITY({21;19;19.6;20;19.63;20.2;20.6;18.28;20.4;19;19.1;18.97;19;17.8;17.9;17.89;17.96},{1;1.5;2;2.5;3;3.5;4;4.5;5;5.5;6;6.5;7;7.5;8;8.5;9},0,4)</f>
        <v>6</v>
      </c>
      <c r="B25874" s="0" t="s">
        <v>25694</v>
      </c>
    </row>
    <row r="25875" customFormat="false" ht="15" hidden="false" customHeight="false" outlineLevel="0" collapsed="false">
      <c r="A25875" s="0" t="n">
        <f aca="false">_xlfn.ORG.LIBREOFFICE.FORECAST.ETS.MULT({9.5;10.5},{34.9;37.53;39.26;42.04;46;48;49.47;54.55;54.7;60;60.9;62.7;66.29;67.65;73;74},{1;1.5;2;2.5;3;3.5;4;4.5;5;5.5;6;6.5;7;7.5;8;8.5},0,,2)</f>
        <v>79.2133333333335</v>
      </c>
      <c r="B25875" s="0" t="s">
        <v>25695</v>
      </c>
    </row>
    <row r="25876" customFormat="false" ht="15" hidden="false" customHeight="false" outlineLevel="0" collapsed="false">
      <c r="A25876" s="0" t="n">
        <f aca="false">_xlfn.FORECAST.ETS.STAT({34.9;37.53;39.26;42.04;46;48;49.47;54.55;54.7;60;60.9;62.7;66.29;67.65;73;74},{1;1.5;2;2.5;3;3.5;4;4.5;5;5.5;6;6.5;7;7.5;8;8.5},{8;1;5;2;9;7;4;3;6},0,,2)</f>
        <v>0.5</v>
      </c>
      <c r="B25876" s="0" t="s">
        <v>25696</v>
      </c>
    </row>
    <row r="25877" customFormat="false" ht="15" hidden="false" customHeight="false" outlineLevel="0" collapsed="false">
      <c r="A25877" s="0" t="n">
        <f aca="false">_xlfn.FORECAST.ETS.SEASONALITY({34.9;37.53;39.26;42.04;46;48;49.47;54.55;54.7;60;60.9;62.7;66.29;67.65;73;74},{1;1.5;2;2.5;3;3.5;4;4.5;5;5.5;6;6.5;7;7.5;8;8.5})</f>
        <v>7</v>
      </c>
      <c r="B25877" s="0" t="s">
        <v>25697</v>
      </c>
    </row>
    <row r="25878" customFormat="false" ht="15" hidden="false" customHeight="false" outlineLevel="0" collapsed="false">
      <c r="A25878" s="0" t="n">
        <f aca="false">_xlfn.ORG.LIBREOFFICE.FORECAST.ETS.PI.MULT({9;9.5;10},{34.9;37.53;39.26;42.04;46;48;49.47;54.55;54.7;60;60.9;62.7;66.29;67.65;73;74},{1;1.5;2;2.5;3;3.5;4;4.5;5;5.5;6;6.5;7;7.5;8;8.5},0.9,0)</f>
        <v>1.54388269066232</v>
      </c>
      <c r="B25878" s="0" t="s">
        <v>25698</v>
      </c>
    </row>
    <row r="25879" customFormat="false" ht="15" hidden="false" customHeight="false" outlineLevel="0" collapsed="false">
      <c r="A25879" s="0" t="n">
        <f aca="false">_xlfn.ORG.LIBREOFFICE.FORECAST.ETS.MULT({45439,45439,45409},{40.78;32.2;34;37;28;33.47;25;24.23;27.9;21.3;21.9;24.3;16.4;17},{44893;44923;44954;44985;45044;45074;45105;45135;45166;45197;45227;45258;45288;45319})</f>
        <v>14.1467173501</v>
      </c>
      <c r="B25879" s="0" t="s">
        <v>25699</v>
      </c>
    </row>
    <row r="25880" customFormat="false" ht="15" hidden="false" customHeight="false" outlineLevel="0" collapsed="false">
      <c r="A25880" s="0" t="n">
        <f aca="false">_xlfn.FORECAST.ETS.STAT({40.78;32.2;34;37;28;33.47;25;24.23;27.9;21.3;21.9;24.3;16.4;17},{44893;44923;44954;44985;45044;45074;45105;45135;45166;45197;45227;45258;45288;45319},{3;4;6;7;9;5;1;8;2})</f>
        <v>0.9375</v>
      </c>
      <c r="B25880" s="0" t="s">
        <v>25700</v>
      </c>
    </row>
    <row r="25881" customFormat="false" ht="15" hidden="false" customHeight="false" outlineLevel="0" collapsed="false">
      <c r="A25881" s="0" t="n">
        <f aca="false">_xlfn.FORECAST.ETS.SEASONALITY({40.78;32.2;34;37;28;33.47;25;24.23;27.9;21.3;21.9;24.3;16.4;17},{44893;44923;44954;44985;45044;45074;45105;45135;45166;45197;45227;45258;45288;45319})</f>
        <v>3</v>
      </c>
      <c r="B25881" s="0" t="s">
        <v>25701</v>
      </c>
    </row>
    <row r="25882" customFormat="false" ht="15" hidden="false" customHeight="false" outlineLevel="0" collapsed="false">
      <c r="A25882" s="0" t="n">
        <f aca="false">_xlfn.ORG.LIBREOFFICE.FORECAST.ETS.MULT({63;53},{25.39;29.63;34.5;25.9;39;42},{3;13;23;23;33;43},1,1)</f>
        <v>50.69921875</v>
      </c>
      <c r="B25882" s="0" t="s">
        <v>25702</v>
      </c>
    </row>
    <row r="25883" customFormat="false" ht="15" hidden="false" customHeight="false" outlineLevel="0" collapsed="false">
      <c r="A25883" s="0" t="n">
        <f aca="false">_xlfn.FORECAST.ETS.STAT({25.39;29.63;34.5;25.9;39;42},{3;13;23;23;33;43},{6;4},1,1)</f>
        <v>0.591328125000002</v>
      </c>
      <c r="B25883" s="0" t="s">
        <v>25703</v>
      </c>
    </row>
    <row r="25884" customFormat="false" ht="15" hidden="false" customHeight="false" outlineLevel="0" collapsed="false">
      <c r="A25884" s="0" t="n">
        <f aca="false">_xlfn.FORECAST.ETS.SEASONALITY({25.39;29.63;34.5;25.9;39;42},{3;13;23;23;33;43},0,6)</f>
        <v>2</v>
      </c>
      <c r="B25884" s="0" t="s">
        <v>25704</v>
      </c>
    </row>
    <row r="25885" customFormat="false" ht="15" hidden="false" customHeight="false" outlineLevel="0" collapsed="false">
      <c r="A25885" s="0" t="e">
        <f aca="false">_xlfn.ORG.LIBREOFFICE.FORECAST.ETS.MULT({44742},{39;43.04;49;52.2},{44620;44651;44681;44712},1,1,7)</f>
        <v>#VALUE!</v>
      </c>
      <c r="B25885" s="0" t="s">
        <v>25705</v>
      </c>
    </row>
    <row r="25886" customFormat="false" ht="15" hidden="false" customHeight="false" outlineLevel="0" collapsed="false">
      <c r="A25886" s="0" t="e">
        <f aca="false">_xlfn.ORG.LIBREOFFICE.FORECAST.ETS.STAT.MULT({39;43.04;49;52.2},{44620;44651;44681;44712},{2;5;4;9;7;8;3;6;1},1,1,7)</f>
        <v>#VALUE!</v>
      </c>
      <c r="B25886" s="0" t="s">
        <v>25706</v>
      </c>
    </row>
    <row r="25887" customFormat="false" ht="15" hidden="false" customHeight="false" outlineLevel="0" collapsed="false">
      <c r="A25887" s="0" t="e">
        <f aca="false">_xlfn.FORECAST.ETS.SEASONALITY({39;43.04;49;52.2},{44620;44651;44681;44712})</f>
        <v>#VALUE!</v>
      </c>
      <c r="B25887" s="0" t="s">
        <v>25707</v>
      </c>
    </row>
    <row r="25888" customFormat="false" ht="15" hidden="false" customHeight="false" outlineLevel="0" collapsed="false">
      <c r="A25888" s="0" t="n">
        <f aca="false">_xlfn.ORG.LIBREOFFICE.FORECAST.ETS.MULT(45005,{5.91;15.12;11;15;12.3;23.4;17;22.04},{45000;45001;45002;45003;45004;45005;45006;45007})</f>
        <v>23.4</v>
      </c>
      <c r="B25888" s="0" t="s">
        <v>25708</v>
      </c>
    </row>
    <row r="25889" customFormat="false" ht="15" hidden="false" customHeight="false" outlineLevel="0" collapsed="false">
      <c r="A25889" s="0" t="n">
        <f aca="false">_xlfn.FORECAST.ETS.STAT({5.91;15.12;11;15;12.3;23.4;17;22.04},{45000;45001;45002;45003;45004;45005;45006;45007},{9})</f>
        <v>4</v>
      </c>
      <c r="B25889" s="0" t="s">
        <v>25709</v>
      </c>
    </row>
    <row r="25890" customFormat="false" ht="15" hidden="false" customHeight="false" outlineLevel="0" collapsed="false">
      <c r="A25890" s="0" t="n">
        <f aca="false">_xlfn.FORECAST.ETS.SEASONALITY({5.91;15.12;11;15;12.3;23.4;17;22.04},{45000;45001;45002;45003;45004;45005;45006;45007},0)</f>
        <v>4</v>
      </c>
      <c r="B25890" s="0" t="s">
        <v>25710</v>
      </c>
    </row>
    <row r="25891" customFormat="false" ht="15" hidden="false" customHeight="false" outlineLevel="0" collapsed="false">
      <c r="A25891" s="0" t="n">
        <f aca="false">_xlfn.ORG.LIBREOFFICE.FORECAST.ETS.MULT({12;12.5},{91.1;16;60.5;20.61;88.8;27.5;2;3.63;87.7;6.69;11.2;68},{1;2;3;4;5;6;7;8;9;10;10;11},1,,2)</f>
        <v>11.1128109640192</v>
      </c>
      <c r="B25891" s="0" t="s">
        <v>25711</v>
      </c>
    </row>
    <row r="25892" customFormat="false" ht="15" hidden="false" customHeight="false" outlineLevel="0" collapsed="false">
      <c r="A25892" s="0" t="n">
        <f aca="false">_xlfn.ORG.LIBREOFFICE.FORECAST.ETS.STAT.MULT({91.1;16;60.5;20.61;88.8;27.5;2;3.63;87.7;6.69;11.2;68},{1;2;3;4;5;6;7;8;9;10;10;11},{4;1},1,,2)</f>
        <v>0.379658690207743</v>
      </c>
      <c r="B25892" s="0" t="s">
        <v>25712</v>
      </c>
    </row>
    <row r="25893" customFormat="false" ht="15" hidden="false" customHeight="false" outlineLevel="0" collapsed="false">
      <c r="A25893" s="0" t="n">
        <f aca="false">_xlfn.FORECAST.ETS.SEASONALITY({91.1;16;60.5;20.61;88.8;27.5;2;3.63;87.7;6.69;11.2;68},{1;2;3;4;5;6;7;8;9;10;10;11},0,5)</f>
        <v>4</v>
      </c>
      <c r="B25893" s="0" t="s">
        <v>25713</v>
      </c>
    </row>
    <row r="25894" customFormat="false" ht="15" hidden="false" customHeight="false" outlineLevel="0" collapsed="false">
      <c r="A25894" s="0" t="n">
        <f aca="false">_xlfn.ORG.LIBREOFFICE.FORECAST.ETS.MULT({8;7},{71;59;29;56;27.9;62;36.9;71.6;57.5;30;53.24;60;34.7},{1;1.5;2;2.5;2.5;3;3.5;4;4.5;5;5.5;6;6.5},1)</f>
        <v>27.715154838059</v>
      </c>
      <c r="B25894" s="0" t="s">
        <v>25714</v>
      </c>
    </row>
    <row r="25895" customFormat="false" ht="15" hidden="false" customHeight="false" outlineLevel="0" collapsed="false">
      <c r="A25895" s="0" t="n">
        <f aca="false">_xlfn.FORECAST.ETS.STAT({71;59;29;56;27.9;62;36.9;71.6;57.5;30;53.24;60;34.7},{1;1.5;2;2.5;2.5;3;3.5;4;4.5;5;5.5;6;6.5},{8;6;2;5;9;3;7;1;4},1)</f>
        <v>0.5</v>
      </c>
      <c r="B25895" s="0" t="s">
        <v>25715</v>
      </c>
    </row>
    <row r="25896" customFormat="false" ht="15" hidden="false" customHeight="false" outlineLevel="0" collapsed="false">
      <c r="A25896" s="0" t="n">
        <f aca="false">_xlfn.FORECAST.ETS.SEASONALITY({71;59;29;56;27.9;62;36.9;71.6;57.5;30;53.24;60;34.7},{1;1.5;2;2.5;2.5;3;3.5;4;4.5;5;5.5;6;6.5},1,2)</f>
        <v>6</v>
      </c>
      <c r="B25896" s="0" t="s">
        <v>25716</v>
      </c>
    </row>
    <row r="25897" customFormat="false" ht="15" hidden="false" customHeight="false" outlineLevel="0" collapsed="false">
      <c r="A25897" s="0" t="n">
        <f aca="false">_xlfn.ORG.LIBREOFFICE.FORECAST.ETS.PI.MULT(7.5,{71;59;29;56;27.9;62;36.9;71.6;57.5;30;53.24;60;34.7},{1;1.5;2;2.5;2.5;3;3.5;4;4.5;5;5.5;6;6.5},0.95,0)</f>
        <v>52.8689583173906</v>
      </c>
      <c r="B25897" s="0" t="s">
        <v>25717</v>
      </c>
    </row>
    <row r="25898" customFormat="false" ht="15" hidden="false" customHeight="false" outlineLevel="0" collapsed="false">
      <c r="A25898" s="0" t="n">
        <f aca="false">_xlfn.FORECAST.ETS(45351,{15.1;13.7;23.5;34.1;22.7;39;38.2;35.42;34.85;45;54;43;59.5;58;56.78;53;65;65;79.78;79},{44652;44682;44713;44743;44774;44805;44835;44866;44896;44927;44958;44986;45017;45047;45078;45108;45139;45200;45231;45261},0,0)</f>
        <v>88.7004193428257</v>
      </c>
      <c r="B25898" s="0" t="s">
        <v>25718</v>
      </c>
    </row>
    <row r="25899" customFormat="false" ht="15" hidden="false" customHeight="false" outlineLevel="0" collapsed="false">
      <c r="A25899" s="0" t="n">
        <f aca="false">_xlfn.ORG.LIBREOFFICE.FORECAST.ETS.STAT.MULT({15.1;13.7;23.5;34.1;22.7;39;38.2;35.42;34.85;45;54;43;59.5;58;56.78;53;65;65;79.78;79},{44652;44682;44713;44743;44774;44805;44835;44866;44896;44927;44958;44986;45017;45047;45078;45108;45139;45200;45231;45261},{9;6;7;8;1;5;4;2;3},0,0)</f>
        <v>0</v>
      </c>
      <c r="B25899" s="0" t="s">
        <v>25719</v>
      </c>
    </row>
    <row r="25900" customFormat="false" ht="15" hidden="false" customHeight="false" outlineLevel="0" collapsed="false">
      <c r="A25900" s="0" t="n">
        <f aca="false">_xlfn.FORECAST.ETS.SEASONALITY({15.1;13.7;23.5;34.1;22.7;39;38.2;35.42;34.85;45;54;43;59.5;58;56.78;53;65;65;79.78;79},{44652;44682;44713;44743;44774;44805;44835;44866;44896;44927;44958;44986;45017;45047;45078;45108;45139;45200;45231;45261})</f>
        <v>9</v>
      </c>
      <c r="B25900" s="0" t="s">
        <v>25720</v>
      </c>
    </row>
    <row r="25901" customFormat="false" ht="15" hidden="false" customHeight="false" outlineLevel="0" collapsed="false">
      <c r="A25901" s="0" t="n">
        <f aca="false">_xlfn.FORECAST.ETS(45212,{47.88;46;42.3;41;39.7;37.3;35;32.5;31.1;30.26},{44849;44880;44910;44941;44972;45000;45031;45061;45092;45122},0,0)</f>
        <v>23.9088646673422</v>
      </c>
      <c r="B25901" s="0" t="s">
        <v>25721</v>
      </c>
    </row>
    <row r="25902" customFormat="false" ht="15" hidden="false" customHeight="false" outlineLevel="0" collapsed="false">
      <c r="A25902" s="0" t="n">
        <f aca="false">_xlfn.FORECAST.ETS.STAT({47.88;46;42.3;41;39.7;37.3;35;32.5;31.1;30.26},{44849;44880;44910;44941;44972;45000;45031;45061;45092;45122},{8;2;5;6;1;9;7;4;3},0,0)</f>
        <v>1</v>
      </c>
      <c r="B25902" s="0" t="s">
        <v>25722</v>
      </c>
    </row>
    <row r="25903" customFormat="false" ht="15" hidden="false" customHeight="false" outlineLevel="0" collapsed="false">
      <c r="A25903" s="0" t="n">
        <f aca="false">_xlfn.FORECAST.ETS.SEASONALITY({47.88;46;42.3;41;39.7;37.3;35;32.5;31.1;30.26},{44849;44880;44910;44941;44972;45000;45031;45061;45092;45122},0)</f>
        <v>5</v>
      </c>
      <c r="B25903" s="0" t="s">
        <v>25723</v>
      </c>
    </row>
    <row r="25904" customFormat="false" ht="15" hidden="false" customHeight="false" outlineLevel="0" collapsed="false">
      <c r="A25904" s="0" t="e">
        <f aca="false">_xlfn.FORECAST.ETS(44865,{14.1;96;35.1;1.8;79;8.95;44},{44681;44712;44742;44773;44804;44834;44865},1,1,3)</f>
        <v>#VALUE!</v>
      </c>
      <c r="B25904" s="0" t="s">
        <v>25724</v>
      </c>
    </row>
    <row r="25905" customFormat="false" ht="15" hidden="false" customHeight="false" outlineLevel="0" collapsed="false">
      <c r="A25905" s="0" t="e">
        <f aca="false">_xlfn.ORG.LIBREOFFICE.FORECAST.ETS.STAT.MULT({14.1;96;35.1;1.8;79;8.95;44},{44681;44712;44742;44773;44804;44834;44865},{1;7;6;5;9;8;2;4;3},1,1,3)</f>
        <v>#VALUE!</v>
      </c>
      <c r="B25905" s="0" t="s">
        <v>25725</v>
      </c>
    </row>
    <row r="25906" customFormat="false" ht="15" hidden="false" customHeight="false" outlineLevel="0" collapsed="false">
      <c r="A25906" s="0" t="e">
        <f aca="false">_xlfn.FORECAST.ETS.SEASONALITY({14.1;96;35.1;1.8;79;8.95;44},{44681;44712;44742;44773;44804;44834;44865})</f>
        <v>#VALUE!</v>
      </c>
      <c r="B25906" s="0" t="s">
        <v>25726</v>
      </c>
    </row>
    <row r="25907" customFormat="false" ht="15" hidden="false" customHeight="false" outlineLevel="0" collapsed="false">
      <c r="A25907" s="0" t="n">
        <f aca="false">_xlfn.FORECAST.ETS(103,{15;15;15.1;15.1;15;15;15.09;15;15.09;15;15.1;15.09;15.1;15.09;15.09;15;15.09;15.1},{3;13;23;33;43;53;63;73;83;93;103;113;123;133;143;153;163;173},2,1,2)</f>
        <v>15.1</v>
      </c>
      <c r="B25907" s="0" t="s">
        <v>25727</v>
      </c>
    </row>
    <row r="25908" customFormat="false" ht="15" hidden="false" customHeight="false" outlineLevel="0" collapsed="false">
      <c r="A25908" s="0" t="n">
        <f aca="false">_xlfn.ORG.LIBREOFFICE.FORECAST.ETS.STAT.MULT({15;15;15.1;15.1;15;15;15.09;15;15.09;15;15.1;15.09;15.1;15.09;15.09;15;15.09;15.1},{3;13;23;33;43;53;63;73;83;93;103;113;123;133;143;153;163;173},{6},2,1,2)</f>
        <v>0.0427331684032331</v>
      </c>
      <c r="B25908" s="0" t="s">
        <v>25728</v>
      </c>
    </row>
    <row r="25909" customFormat="false" ht="15" hidden="false" customHeight="false" outlineLevel="0" collapsed="false">
      <c r="A25909" s="0" t="n">
        <f aca="false">_xlfn.FORECAST.ETS.SEASONALITY({15;15;15.1;15.1;15;15;15.09;15;15.09;15;15.1;15.09;15.1;15.09;15.09;15;15.09;15.1},{3;13;23;33;43;53;63;73;83;93;103;113;123;133;143;153;163;173},1)</f>
        <v>8</v>
      </c>
      <c r="B25909" s="0" t="s">
        <v>25729</v>
      </c>
    </row>
    <row r="25910" customFormat="false" ht="15" hidden="false" customHeight="false" outlineLevel="0" collapsed="false">
      <c r="A25910" s="0" t="n">
        <f aca="false">_xlfn.ORG.LIBREOFFICE.FORECAST.ETS.MULT(7,{41.1;40;40;39.5;41.7;42;41.12;42.3;41.5;43.1},{1;2;3;4;5;6;7;8;9;10})</f>
        <v>41.12</v>
      </c>
      <c r="B25910" s="0" t="s">
        <v>25730</v>
      </c>
    </row>
    <row r="25911" customFormat="false" ht="15" hidden="false" customHeight="false" outlineLevel="0" collapsed="false">
      <c r="A25911" s="0" t="n">
        <f aca="false">_xlfn.ORG.LIBREOFFICE.FORECAST.ETS.STAT.MULT({41.1;40;40;39.5;41.7;42;41.12;42.3;41.5;43.1},{1;2;3;4;5;6;7;8;9;10},{5;1;9;6;2;4;8;7;3})</f>
        <v>0.00674741894453759</v>
      </c>
      <c r="B25911" s="0" t="s">
        <v>25731</v>
      </c>
    </row>
    <row r="25912" customFormat="false" ht="15" hidden="false" customHeight="false" outlineLevel="0" collapsed="false">
      <c r="A25912" s="0" t="n">
        <f aca="false">_xlfn.FORECAST.ETS.SEASONALITY({41.1;40;40;39.5;41.7;42;41.12;42.3;41.5;43.1},{1;2;3;4;5;6;7;8;9;10},0,4)</f>
        <v>5</v>
      </c>
      <c r="B25912" s="0" t="s">
        <v>25732</v>
      </c>
    </row>
    <row r="25913" customFormat="false" ht="15" hidden="false" customHeight="false" outlineLevel="0" collapsed="false">
      <c r="A25913" s="0" t="n">
        <f aca="false">_xlfn.FORECAST.ETS({15.5;18;18},{7.58;7.6;7.6;8;7.6;7.6;7.58;8;7.58;7.58;7.58;7.6;7.6;7.6},{1;7;4;11;8;10;2;6;12;14;5;13;9;3})</f>
        <v>7.74793419411232</v>
      </c>
      <c r="B25913" s="0" t="s">
        <v>25733</v>
      </c>
    </row>
    <row r="25914" customFormat="false" ht="15" hidden="false" customHeight="false" outlineLevel="0" collapsed="false">
      <c r="A25914" s="0" t="n">
        <f aca="false">_xlfn.ORG.LIBREOFFICE.FORECAST.ETS.STAT.MULT({7.58;7.6;7.6;8;7.6;7.6;7.58;8;7.58;7.58;7.58;7.6;7.6;7.6},{1;7;4;11;8;10;2;6;12;14;5;13;9;3},{3})</f>
        <v>1</v>
      </c>
      <c r="B25914" s="0" t="s">
        <v>25734</v>
      </c>
    </row>
    <row r="25915" customFormat="false" ht="15" hidden="false" customHeight="false" outlineLevel="0" collapsed="false">
      <c r="A25915" s="0" t="n">
        <f aca="false">_xlfn.FORECAST.ETS.SEASONALITY({7.58;7.6;7.6;8;7.6;7.6;7.58;8;7.58;7.58;7.58;7.6;7.6;7.6},{1;7;4;11;8;10;2;6;12;14;5;13;9;3},0,4)</f>
        <v>5</v>
      </c>
      <c r="B25915" s="0" t="s">
        <v>25735</v>
      </c>
    </row>
    <row r="25916" customFormat="false" ht="15" hidden="false" customHeight="false" outlineLevel="0" collapsed="false">
      <c r="A25916" s="0" t="n">
        <f aca="false">_xlfn.FORECAST.ETS({93,80.5},{35.3;21.9;22.4;26.54;19;21.3;37.79;37;31.45;18.4;32;27.1;16.93;35.71;28.61},{13;68;18;33;23;43;3;53;63;48;38;58;73;28;8})</f>
        <v>19.6713534238197</v>
      </c>
      <c r="B25916" s="0" t="s">
        <v>25736</v>
      </c>
    </row>
    <row r="25917" customFormat="false" ht="15" hidden="false" customHeight="false" outlineLevel="0" collapsed="false">
      <c r="A25917" s="0" t="n">
        <f aca="false">_xlfn.FORECAST.ETS.STAT({35.3;21.9;22.4;26.54;19;21.3;37.79;37;31.45;18.4;32;27.1;16.93;35.71;28.61},{13;68;18;33;23;43;3;53;63;48;38;58;73;28;8},{2;6;3;4;8;5;1;9;7})</f>
        <v>0</v>
      </c>
      <c r="B25917" s="0" t="s">
        <v>25737</v>
      </c>
    </row>
    <row r="25918" customFormat="false" ht="15" hidden="false" customHeight="false" outlineLevel="0" collapsed="false">
      <c r="A25918" s="0" t="n">
        <f aca="false">_xlfn.FORECAST.ETS.SEASONALITY({35.3;21.9;22.4;26.54;19;21.3;37.79;37;31.45;18.4;32;27.1;16.93;35.71;28.61},{13;68;18;33;23;43;3;53;63;48;38;58;73;28;8})</f>
        <v>5</v>
      </c>
      <c r="B25918" s="0" t="s">
        <v>25738</v>
      </c>
    </row>
    <row r="25919" customFormat="false" ht="15" hidden="false" customHeight="false" outlineLevel="0" collapsed="false">
      <c r="A25919" s="0" t="n">
        <f aca="false">_xlfn.ORG.LIBREOFFICE.FORECAST.ETS.PI.MULT({78;83;88},{35.3;21.9;22.4;26.54;19;21.3;37.79;37;31.45;18.4;32;27.1;16.93;35.71;28.61},{13;68;18;33;23;43;3;53;63;48;38;58;73;28;8},0.5,0)</f>
        <v>5.20102234688485</v>
      </c>
      <c r="B25919" s="0" t="s">
        <v>25739</v>
      </c>
    </row>
    <row r="25920" customFormat="false" ht="15" hidden="false" customHeight="false" outlineLevel="0" collapsed="false">
      <c r="A25920" s="0" t="n">
        <f aca="false">_xlfn.ORG.LIBREOFFICE.FORECAST.ETS.MULT({17},{12.51;20;11;13.71;13.24;6.41;7;8;10;3.9;10.2;4;3.85;3},{1;2;3;4;5;6;8;9;10;11;12;13;14;15},5)</f>
        <v>0.809520591688831</v>
      </c>
      <c r="B25920" s="0" t="s">
        <v>25740</v>
      </c>
    </row>
    <row r="25921" customFormat="false" ht="15" hidden="false" customHeight="false" outlineLevel="0" collapsed="false">
      <c r="A25921" s="0" t="n">
        <f aca="false">_xlfn.FORECAST.ETS.STAT({12.51;20;11;13.71;13.24;6.41;7;8;10;3.9;10.2;4;3.85;3},{1;2;3;4;5;6;8;9;10;11;12;13;14;15},{1},5)</f>
        <v>0.412109375</v>
      </c>
      <c r="B25921" s="0" t="s">
        <v>25741</v>
      </c>
    </row>
    <row r="25922" customFormat="false" ht="15" hidden="false" customHeight="false" outlineLevel="0" collapsed="false">
      <c r="A25922" s="0" t="n">
        <f aca="false">_xlfn.FORECAST.ETS.SEASONALITY({12.51;20;11;13.71;13.24;6.41;7;8;10;3.9;10.2;4;3.85;3},{1;2;3;4;5;6;8;9;10;11;12;13;14;15},1,2)</f>
        <v>5</v>
      </c>
      <c r="B25922" s="0" t="s">
        <v>25742</v>
      </c>
    </row>
    <row r="25923" customFormat="false" ht="15" hidden="false" customHeight="false" outlineLevel="0" collapsed="false">
      <c r="A25923" s="0" t="n">
        <f aca="false">_xlfn.ORG.LIBREOFFICE.FORECAST.ETS.MULT({45030;45030;45031},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,6,0)</f>
        <v>38.1516864745764</v>
      </c>
      <c r="B25923" s="0" t="s">
        <v>25743</v>
      </c>
    </row>
    <row r="25924" customFormat="false" ht="15" hidden="false" customHeight="false" outlineLevel="0" collapsed="false">
      <c r="A25924" s="0" t="n">
        <f aca="false">_xlfn.FORECAST.ETS.STAT(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,{6},6,0)</f>
        <v>0.359639288299069</v>
      </c>
      <c r="B25924" s="0" t="s">
        <v>25744</v>
      </c>
    </row>
    <row r="25925" customFormat="false" ht="15" hidden="false" customHeight="false" outlineLevel="0" collapsed="false">
      <c r="A25925" s="0" t="n">
        <f aca="false">_xlfn.FORECAST.ETS.SEASONALITY({31.4;31.5;27.3;28;30;15.5;31;23.9;21.2;30.2;34;16.91;35;23.89;18.96;21.2;38.5;24.86;41.3;34.6;26;20.2;31.96;19.9;27.07;18;28.07;25;24.2;27},{45023;45018;45017;45003;45025;45002;45028;45013;45000;45026;45029;45001;45015;45011;45008;45010;45021;45014;45027;45024;45019;45005;45009;45007;45020;45004;45022;45016;45006;45012})</f>
        <v>6</v>
      </c>
      <c r="B25925" s="0" t="s">
        <v>25745</v>
      </c>
    </row>
    <row r="25926" customFormat="false" ht="15" hidden="false" customHeight="false" outlineLevel="0" collapsed="false">
      <c r="A25926" s="0" t="n">
        <f aca="false">_xlfn.ORG.LIBREOFFICE.FORECAST.ETS.MULT({45010,45011},{8.5;9;10.6;12;10.6;13.54;16.6;14;17.3},{45000;45001;45002;45003;45004;45005;45006;45007;45008},0,,1)</f>
        <v>18.9118936698372</v>
      </c>
      <c r="B25926" s="0" t="s">
        <v>25746</v>
      </c>
    </row>
    <row r="25927" customFormat="false" ht="15" hidden="false" customHeight="false" outlineLevel="0" collapsed="false">
      <c r="A25927" s="0" t="n">
        <f aca="false">_xlfn.FORECAST.ETS.STAT({8.5;9;10.6;12;10.6;13.54;16.6;14;17.3},{45000;45001;45002;45003;45004;45005;45006;45007;45008},{8},0,,1)</f>
        <v>1</v>
      </c>
      <c r="B25927" s="0" t="s">
        <v>25747</v>
      </c>
    </row>
    <row r="25928" customFormat="false" ht="15" hidden="false" customHeight="false" outlineLevel="0" collapsed="false">
      <c r="A25928" s="0" t="n">
        <f aca="false">_xlfn.FORECAST.ETS.SEASONALITY({8.5;9;10.6;12;10.6;13.54;16.6;14;17.3},{45000;45001;45002;45003;45004;45005;45006;45007;45008},0)</f>
        <v>3</v>
      </c>
      <c r="B25928" s="0" t="s">
        <v>25748</v>
      </c>
    </row>
    <row r="25929" customFormat="false" ht="15" hidden="false" customHeight="false" outlineLevel="0" collapsed="false">
      <c r="A25929" s="0" t="n">
        <f aca="false">_xlfn.FORECAST.ETS({115,136,118.5},{33.62;19.65;20;50;94;49;90;7;21.11;62.45;28.6;20;5.89;97.79;99.5;53},{45;24;66;101;31;108;3;59;17;87;94;73;10;52;80;38},4)</f>
        <v>61.5461495305027</v>
      </c>
      <c r="B25929" s="0" t="s">
        <v>25749</v>
      </c>
    </row>
    <row r="25930" customFormat="false" ht="15" hidden="false" customHeight="false" outlineLevel="0" collapsed="false">
      <c r="A25930" s="0" t="n">
        <f aca="false">_xlfn.FORECAST.ETS.STAT({33.62;19.65;20;50;94;49;90;7;21.11;62.45;28.6;20;5.89;97.79;99.5;53},{45;24;66;101;31;108;3;59;17;87;94;73;10;52;80;38},{1;5;4;6;8;2;7;3;9},4)</f>
        <v>0.25</v>
      </c>
      <c r="B25930" s="0" t="s">
        <v>25750</v>
      </c>
    </row>
    <row r="25931" customFormat="false" ht="15" hidden="false" customHeight="false" outlineLevel="0" collapsed="false">
      <c r="A25931" s="0" t="n">
        <f aca="false">_xlfn.FORECAST.ETS.SEASONALITY({33.62;19.65;20;50;94;49;90;7;21.11;62.45;28.6;20;5.89;97.79;99.5;53},{45;24;66;101;31;108;3;59;17;87;94;73;10;52;80;38})</f>
        <v>7</v>
      </c>
      <c r="B25931" s="0" t="s">
        <v>25751</v>
      </c>
    </row>
    <row r="25932" customFormat="false" ht="15" hidden="false" customHeight="false" outlineLevel="0" collapsed="false">
      <c r="A25932" s="0" t="e">
        <f aca="false">_xlfn.FORECAST.ETS({5;3.25},{97;59.23;95.58;48.5;74.4},{1;1.5;2;2.5;3},4,,5)</f>
        <v>#VALUE!</v>
      </c>
      <c r="B25932" s="0" t="s">
        <v>25752</v>
      </c>
    </row>
    <row r="25933" customFormat="false" ht="15" hidden="false" customHeight="false" outlineLevel="0" collapsed="false">
      <c r="A25933" s="0" t="e">
        <f aca="false">_xlfn.FORECAST.ETS.STAT({97;59.23;95.58;48.5;74.4},{1;1.5;2;2.5;3},{4},4,,5)</f>
        <v>#VALUE!</v>
      </c>
      <c r="B25933" s="0" t="s">
        <v>25753</v>
      </c>
    </row>
    <row r="25934" customFormat="false" ht="15" hidden="false" customHeight="false" outlineLevel="0" collapsed="false">
      <c r="A25934" s="0" t="n">
        <f aca="false">_xlfn.FORECAST.ETS.SEASONALITY({97;59.23;95.58;48.5;74.4},{1;1.5;2;2.5;3},1,3)</f>
        <v>2</v>
      </c>
      <c r="B25934" s="0" t="s">
        <v>25754</v>
      </c>
    </row>
    <row r="25935" customFormat="false" ht="15" hidden="false" customHeight="false" outlineLevel="0" collapsed="false">
      <c r="A25935" s="0" t="n">
        <f aca="false">_xlfn.FORECAST.ETS(109.75,{26;34.2;97.03;11.7;82.1;61.11;62;65.4;91.46;39;3.45;84.7;2;12.2;34.15;8.25;93;71.09;18.3;52},{3;10;17;24;31;38;45;52;59;66;73;80;87;94;101;108;115;122;129;136},5,0)</f>
        <v>21.1793235158324</v>
      </c>
      <c r="B25935" s="0" t="s">
        <v>25755</v>
      </c>
    </row>
    <row r="25936" customFormat="false" ht="15" hidden="false" customHeight="false" outlineLevel="0" collapsed="false">
      <c r="A25936" s="0" t="n">
        <f aca="false">_xlfn.FORECAST.ETS.STAT({26;34.2;97.03;11.7;82.1;61.11;62;65.4;91.46;39;3.45;84.7;2;12.2;34.15;8.25;93;71.09;18.3;52},{3;10;17;24;31;38;45;52;59;66;73;80;87;94;101;108;115;122;129;136},{4;5;1;3;9;8;2;7;6},5,0)</f>
        <v>0.655689806377173</v>
      </c>
      <c r="B25936" s="0" t="s">
        <v>25756</v>
      </c>
    </row>
    <row r="25937" customFormat="false" ht="15" hidden="false" customHeight="false" outlineLevel="0" collapsed="false">
      <c r="A25937" s="0" t="n">
        <f aca="false">_xlfn.FORECAST.ETS.SEASONALITY({26;34.2;97.03;11.7;82.1;61.11;62;65.4;91.46;39;3.45;84.7;2;12.2;34.15;8.25;93;71.09;18.3;52},{3;10;17;24;31;38;45;52;59;66;73;80;87;94;101;108;115;122;129;136},0,4)</f>
        <v>8</v>
      </c>
      <c r="B25937" s="0" t="s">
        <v>25757</v>
      </c>
    </row>
    <row r="25938" customFormat="false" ht="15" hidden="false" customHeight="false" outlineLevel="0" collapsed="false">
      <c r="A25938" s="0" t="n">
        <f aca="false">_xlfn.FORECAST.ETS(45009.5,{10.5;11.7;19;25.3;23;31.9;35.6;37.3;45.77},{45000;45001;45002;45003;45004;45005;45006;45007;45008},3,,2)</f>
        <v>50.5507184201106</v>
      </c>
      <c r="B25938" s="0" t="s">
        <v>25758</v>
      </c>
    </row>
    <row r="25939" customFormat="false" ht="15" hidden="false" customHeight="false" outlineLevel="0" collapsed="false">
      <c r="A25939" s="0" t="n">
        <f aca="false">_xlfn.FORECAST.ETS.STAT({10.5;11.7;19;25.3;23;31.9;35.6;37.3;45.77},{45000;45001;45002;45003;45004;45005;45006;45007;45008},{2;8},3,,2)</f>
        <v>0</v>
      </c>
      <c r="B25939" s="0" t="s">
        <v>25759</v>
      </c>
    </row>
    <row r="25940" customFormat="false" ht="15" hidden="false" customHeight="false" outlineLevel="0" collapsed="false">
      <c r="A25940" s="0" t="n">
        <f aca="false">_xlfn.FORECAST.ETS.SEASONALITY({10.5;11.7;19;25.3;23;31.9;35.6;37.3;45.77},{45000;45001;45002;45003;45004;45005;45006;45007;45008},0,6)</f>
        <v>3</v>
      </c>
      <c r="B25940" s="0" t="s">
        <v>25760</v>
      </c>
    </row>
    <row r="25941" customFormat="false" ht="15" hidden="false" customHeight="false" outlineLevel="0" collapsed="false">
      <c r="A25941" s="0" t="n">
        <f aca="false">_xlfn.ORG.LIBREOFFICE.FORECAST.ETS.MULT(18.5,{31;32.5;34;44.86;52.8;46;59;60.4;61;75.1;46.1;81.32;76;86;86.37;90;104;108;103},{1;2;3;4;5;6;7;8;9;10;10;11;12;13;14;15;16;17;18},1)</f>
        <v>108.456090708933</v>
      </c>
      <c r="B25941" s="0" t="s">
        <v>25761</v>
      </c>
    </row>
    <row r="25942" customFormat="false" ht="15" hidden="false" customHeight="false" outlineLevel="0" collapsed="false">
      <c r="A25942" s="0" t="n">
        <f aca="false">_xlfn.FORECAST.ETS.STAT({31;32.5;34;44.86;52.8;46;59;60.4;61;75.1;46.1;81.32;76;86;86.37;90;104;108;103},{1;2;3;4;5;6;7;8;9;10;10;11;12;13;14;15;16;17;18},{7},1)</f>
        <v>1.14137896354115</v>
      </c>
      <c r="B25942" s="0" t="s">
        <v>25762</v>
      </c>
    </row>
    <row r="25943" customFormat="false" ht="15" hidden="false" customHeight="false" outlineLevel="0" collapsed="false">
      <c r="A25943" s="0" t="n">
        <f aca="false">_xlfn.FORECAST.ETS.SEASONALITY({31;32.5;34;44.86;52.8;46;59;60.4;61;75.1;46.1;81.32;76;86;86.37;90;104;108;103},{1;2;3;4;5;6;7;8;9;10;10;11;12;13;14;15;16;17;18},1)</f>
        <v>6</v>
      </c>
      <c r="B25943" s="0" t="s">
        <v>25763</v>
      </c>
    </row>
    <row r="25944" customFormat="false" ht="15" hidden="false" customHeight="false" outlineLevel="0" collapsed="false">
      <c r="A25944" s="0" t="e">
        <f aca="false">_xlfn.ORG.LIBREOFFICE.FORECAST.ETS.MULT(44741,{45.6;46.81;46.48;43.98},{44681;44592;44651;44620},2,1,7)</f>
        <v>#VALUE!</v>
      </c>
      <c r="B25944" s="0" t="s">
        <v>25764</v>
      </c>
    </row>
    <row r="25945" customFormat="false" ht="15" hidden="false" customHeight="false" outlineLevel="0" collapsed="false">
      <c r="A25945" s="0" t="e">
        <f aca="false">_xlfn.ORG.LIBREOFFICE.FORECAST.ETS.STAT.MULT({45.6;46.81;46.48;43.98},{44681;44592;44651;44620},{4;7},2,1,7)</f>
        <v>#VALUE!</v>
      </c>
      <c r="B25945" s="0" t="s">
        <v>25765</v>
      </c>
    </row>
    <row r="25946" customFormat="false" ht="15" hidden="false" customHeight="false" outlineLevel="0" collapsed="false">
      <c r="A25946" s="0" t="e">
        <f aca="false">_xlfn.FORECAST.ETS.SEASONALITY({45.6;46.81;46.48;43.98},{44681;44592;44651;44620})</f>
        <v>#VALUE!</v>
      </c>
      <c r="B25946" s="0" t="s">
        <v>25766</v>
      </c>
    </row>
    <row r="25947" customFormat="false" ht="15" hidden="false" customHeight="false" outlineLevel="0" collapsed="false">
      <c r="A25947" s="0" t="n">
        <f aca="false">_xlfn.FORECAST.ETS({45003;44973},{56.4;59;74;25.2},{44896;44927;44958;44866})</f>
        <v>97.3677419354514</v>
      </c>
      <c r="B25947" s="0" t="s">
        <v>25767</v>
      </c>
    </row>
    <row r="25948" customFormat="false" ht="15" hidden="false" customHeight="false" outlineLevel="0" collapsed="false">
      <c r="A25948" s="0" t="n">
        <f aca="false">_xlfn.FORECAST.ETS.STAT({56.4;59;74;25.2},{44896;44927;44958;44866},{6;4})</f>
        <v>2.7</v>
      </c>
      <c r="B25948" s="0" t="s">
        <v>25768</v>
      </c>
    </row>
    <row r="25949" customFormat="false" ht="15" hidden="false" customHeight="false" outlineLevel="0" collapsed="false">
      <c r="A25949" s="0" t="n">
        <f aca="false">_xlfn.FORECAST.ETS.SEASONALITY({56.4;59;74;25.2},{44896;44927;44958;44866},1)</f>
        <v>2</v>
      </c>
      <c r="B25949" s="0" t="s">
        <v>25769</v>
      </c>
    </row>
    <row r="25950" customFormat="false" ht="15" hidden="false" customHeight="false" outlineLevel="0" collapsed="false">
      <c r="A25950" s="0" t="e">
        <f aca="false">_xlfn.ORG.LIBREOFFICE.FORECAST.ETS.MULT({44894},{30;31.2;25.3;32;27.9;27},{44804;44773;44681;44834;44742;44712},1,1)</f>
        <v>#VALUE!</v>
      </c>
      <c r="B25950" s="0" t="s">
        <v>25770</v>
      </c>
    </row>
    <row r="25951" customFormat="false" ht="15" hidden="false" customHeight="false" outlineLevel="0" collapsed="false">
      <c r="A25951" s="0" t="e">
        <f aca="false">_xlfn.ORG.LIBREOFFICE.FORECAST.ETS.STAT.MULT({30;31.2;25.3;32;27.9;27},{44804;44773;44681;44834;44742;44712},{6;4;5;9;2;7;1;3;8},1,1)</f>
        <v>#VALUE!</v>
      </c>
      <c r="B25951" s="0" t="s">
        <v>25771</v>
      </c>
    </row>
    <row r="25952" customFormat="false" ht="15" hidden="false" customHeight="false" outlineLevel="0" collapsed="false">
      <c r="A25952" s="0" t="e">
        <f aca="false">_xlfn.FORECAST.ETS.SEASONALITY({30;31.2;25.3;32;27.9;27},{44804;44773;44681;44834;44742;44712})</f>
        <v>#VALUE!</v>
      </c>
      <c r="B25952" s="0" t="s">
        <v>25772</v>
      </c>
    </row>
    <row r="25953" customFormat="false" ht="15" hidden="false" customHeight="false" outlineLevel="0" collapsed="false">
      <c r="A25953" s="0" t="n">
        <f aca="false">_xlfn.FORECAST.ETS({58;68},{5.9;5.94;5.94;5.9;6;5.9;5.9;5.9;5.9;5.9},{3;8;13;18;23;28;33;38;43;48},1,0)</f>
        <v>5.86799999999991</v>
      </c>
      <c r="B25953" s="0" t="s">
        <v>25773</v>
      </c>
    </row>
    <row r="25954" customFormat="false" ht="15" hidden="false" customHeight="false" outlineLevel="0" collapsed="false">
      <c r="A25954" s="0" t="n">
        <f aca="false">_xlfn.FORECAST.ETS.STAT({5.9;5.94;5.94;5.9;6;5.9;5.9;5.9;5.9;5.9},{3;8;13;18;23;28;33;38;43;48},{7},1,0)</f>
        <v>0.0245492701860187</v>
      </c>
      <c r="B25954" s="0" t="s">
        <v>25774</v>
      </c>
    </row>
    <row r="25955" customFormat="false" ht="15" hidden="false" customHeight="false" outlineLevel="0" collapsed="false">
      <c r="A25955" s="0" t="n">
        <f aca="false">_xlfn.FORECAST.ETS.SEASONALITY({5.9;5.94;5.94;5.9;6;5.9;5.9;5.9;5.9;5.9},{3;8;13;18;23;28;33;38;43;48})</f>
        <v>5</v>
      </c>
      <c r="B25955" s="0" t="s">
        <v>25775</v>
      </c>
    </row>
    <row r="25956" customFormat="false" ht="15" hidden="false" customHeight="false" outlineLevel="0" collapsed="false">
      <c r="A25956" s="0" t="e">
        <f aca="false">_xlfn.ORG.LIBREOFFICE.FORECAST.ETS.MULT({45471;45441;45411},{21.3;20;35.3;30.74;39.3;29.1;34;33.9;49.3;43.3;50.36;42.13;44.91;47;62.56;54.9;63.9;57.3;61.66;76;70.2;78.65;68.56},{44651;44681;44712;44742;44773;44804;44834;44865;44895;44926;44957;44985;45016;45046;45077;45107;45138;45169;45230;45260;45291;45322;45351},1,,2)</f>
        <v>#VALUE!</v>
      </c>
      <c r="B25956" s="0" t="s">
        <v>25776</v>
      </c>
    </row>
    <row r="25957" customFormat="false" ht="15" hidden="false" customHeight="false" outlineLevel="0" collapsed="false">
      <c r="A25957" s="0" t="e">
        <f aca="false">_xlfn.ORG.LIBREOFFICE.FORECAST.ETS.STAT.MULT({21.3;20;35.3;30.74;39.3;29.1;34;33.9;49.3;43.3;50.36;42.13;44.91;47;62.56;54.9;63.9;57.3;61.66;76;70.2;78.65;68.56},{44651;44681;44712;44742;44773;44804;44834;44865;44895;44926;44957;44985;45016;45046;45077;45107;45138;45169;45230;45260;45291;45322;45351},{6;7;8;9;2;4;5;3;1},1,,2)</f>
        <v>#VALUE!</v>
      </c>
      <c r="B25957" s="0" t="s">
        <v>25777</v>
      </c>
    </row>
    <row r="25958" customFormat="false" ht="15" hidden="false" customHeight="false" outlineLevel="0" collapsed="false">
      <c r="A25958" s="0" t="e">
        <f aca="false">_xlfn.FORECAST.ETS.SEASONALITY({21.3;20;35.3;30.74;39.3;29.1;34;33.9;49.3;43.3;50.36;42.13;44.91;47;62.56;54.9;63.9;57.3;61.66;76;70.2;78.65;68.56},{44651;44681;44712;44742;44773;44804;44834;44865;44895;44926;44957;44985;45016;45046;45077;45107;45138;45169;45230;45260;45291;45322;45351})</f>
        <v>#VALUE!</v>
      </c>
      <c r="B25958" s="0" t="s">
        <v>25778</v>
      </c>
    </row>
    <row r="25959" customFormat="false" ht="15" hidden="false" customHeight="false" outlineLevel="0" collapsed="false">
      <c r="A25959" s="0" t="n">
        <f aca="false">_xlfn.FORECAST.ETS({20;20},{35.8;37;36.9;35.98;34.06;34.2;32.28;31.92;31.2;32;30;31.6;31.37;28.91;28;28;28;26.57;26.6},{1;2;3;4;5;6;7;8;9;10;11;12;13;14;15;16;17;18;19})</f>
        <v>26.5537653459821</v>
      </c>
      <c r="B25959" s="0" t="s">
        <v>25779</v>
      </c>
    </row>
    <row r="25960" customFormat="false" ht="15" hidden="false" customHeight="false" outlineLevel="0" collapsed="false">
      <c r="A25960" s="0" t="n">
        <f aca="false">_xlfn.ORG.LIBREOFFICE.FORECAST.ETS.STAT.MULT({35.8;37;36.9;35.98;34.06;34.2;32.28;31.92;31.2;32;30;31.6;31.37;28.91;28;28;28;26.57;26.6},{1;2;3;4;5;6;7;8;9;10;11;12;13;14;15;16;17;18;19},{2;3})</f>
        <v>0</v>
      </c>
      <c r="B25960" s="0" t="s">
        <v>25780</v>
      </c>
    </row>
    <row r="25961" customFormat="false" ht="15" hidden="false" customHeight="false" outlineLevel="0" collapsed="false">
      <c r="A25961" s="0" t="n">
        <f aca="false">_xlfn.FORECAST.ETS.SEASONALITY({35.8;37;36.9;35.98;34.06;34.2;32.28;31.92;31.2;32;30;31.6;31.37;28.91;28;28;28;26.57;26.6},{1;2;3;4;5;6;7;8;9;10;11;12;13;14;15;16;17;18;19})</f>
        <v>7</v>
      </c>
      <c r="B25961" s="0" t="s">
        <v>25781</v>
      </c>
    </row>
    <row r="25962" customFormat="false" ht="15" hidden="false" customHeight="false" outlineLevel="0" collapsed="false">
      <c r="A25962" s="0" t="e">
        <f aca="false">_xlfn.FORECAST.ETS(45030,{5.2;5.21;5.2;5;5.2;5.21;5.21;5.21;5.2},{44742;44773;44804;44834;44865;44895;44926;44957;44985},3,,4)</f>
        <v>#VALUE!</v>
      </c>
      <c r="B25962" s="0" t="s">
        <v>25782</v>
      </c>
    </row>
    <row r="25963" customFormat="false" ht="15" hidden="false" customHeight="false" outlineLevel="0" collapsed="false">
      <c r="A25963" s="0" t="e">
        <f aca="false">_xlfn.FORECAST.ETS.STAT({5.2;5.21;5.2;5;5.2;5.21;5.21;5.21;5.2},{44742;44773;44804;44834;44865;44895;44926;44957;44985},{6},3,,4)</f>
        <v>#VALUE!</v>
      </c>
      <c r="B25963" s="0" t="s">
        <v>25783</v>
      </c>
    </row>
    <row r="25964" customFormat="false" ht="15" hidden="false" customHeight="false" outlineLevel="0" collapsed="false">
      <c r="A25964" s="0" t="e">
        <f aca="false">_xlfn.FORECAST.ETS.SEASONALITY({5.2;5.21;5.2;5;5.2;5.21;5.21;5.21;5.2},{44742;44773;44804;44834;44865;44895;44926;44957;44985},0,1)</f>
        <v>#VALUE!</v>
      </c>
      <c r="B25964" s="0" t="s">
        <v>25784</v>
      </c>
    </row>
    <row r="25965" customFormat="false" ht="15" hidden="false" customHeight="false" outlineLevel="0" collapsed="false">
      <c r="A25965" s="0" t="e">
        <f aca="false">_xlfn.FORECAST.ETS(44971,{48.59;38.09;38.4;34;39.31;42.03;33;30.02;33.5;28.09;31},{44651;44681;44712;44742;44773;44804;44804;44834;44865;44895;44926},5,0,1)</f>
        <v>#VALUE!</v>
      </c>
      <c r="B25965" s="0" t="s">
        <v>25785</v>
      </c>
    </row>
    <row r="25966" customFormat="false" ht="15" hidden="false" customHeight="false" outlineLevel="0" collapsed="false">
      <c r="A25966" s="0" t="e">
        <f aca="false">_xlfn.ORG.LIBREOFFICE.FORECAST.ETS.STAT.MULT({48.59;38.09;38.4;34;39.31;42.03;33;30.02;33.5;28.09;31},{44651;44681;44712;44742;44773;44804;44804;44834;44865;44895;44926},{2},5,0,1)</f>
        <v>#VALUE!</v>
      </c>
      <c r="B25966" s="0" t="s">
        <v>25786</v>
      </c>
    </row>
    <row r="25967" customFormat="false" ht="15" hidden="false" customHeight="false" outlineLevel="0" collapsed="false">
      <c r="A25967" s="0" t="e">
        <f aca="false">_xlfn.FORECAST.ETS.SEASONALITY({48.59;38.09;38.4;34;39.31;42.03;33;30.02;33.5;28.09;31},{44651;44681;44712;44742;44773;44804;44804;44834;44865;44895;44926},0)</f>
        <v>#VALUE!</v>
      </c>
      <c r="B25967" s="0" t="s">
        <v>25787</v>
      </c>
    </row>
    <row r="25968" customFormat="false" ht="15" hidden="false" customHeight="false" outlineLevel="0" collapsed="false">
      <c r="A25968" s="0" t="n">
        <f aca="false">_xlfn.ORG.LIBREOFFICE.FORECAST.ETS.MULT(44972,{44;43.83;44;43.83;43.83;43.8;43.83;43.83;43.8},{44682;44713;44743;44774;44805;44835;44866;44896;44927})</f>
        <v>43.8258698595538</v>
      </c>
      <c r="B25968" s="0" t="s">
        <v>25788</v>
      </c>
    </row>
    <row r="25969" customFormat="false" ht="15" hidden="false" customHeight="false" outlineLevel="0" collapsed="false">
      <c r="A25969" s="0" t="n">
        <f aca="false">_xlfn.FORECAST.ETS.STAT({44;43.83;44;43.83;43.83;43.8;43.83;43.83;43.8},{44682;44713;44743;44774;44805;44835;44866;44896;44927},{8;4})</f>
        <v>1</v>
      </c>
      <c r="B25969" s="0" t="s">
        <v>25789</v>
      </c>
    </row>
    <row r="25970" customFormat="false" ht="15" hidden="false" customHeight="false" outlineLevel="0" collapsed="false">
      <c r="A25970" s="0" t="n">
        <f aca="false">_xlfn.FORECAST.ETS.SEASONALITY({44;43.83;44;43.83;43.83;43.8;43.83;43.83;43.8},{44682;44713;44743;44774;44805;44835;44866;44896;44927},1)</f>
        <v>2</v>
      </c>
      <c r="B25970" s="0" t="s">
        <v>25790</v>
      </c>
    </row>
    <row r="25971" customFormat="false" ht="15" hidden="false" customHeight="false" outlineLevel="0" collapsed="false">
      <c r="A25971" s="0" t="n">
        <f aca="false">_xlfn.FORECAST.ETS({19},{84.1;82;77;31.12;44.7;84;39.13;32.7;44.3;47.6;26;7.48;25.4;48.5;30.17;86.4},{1;2;3;4;5;6;7;8;9;10;11;12;13;14;15;16},6,1,4)</f>
        <v>47.8426300811768</v>
      </c>
      <c r="B25971" s="0" t="s">
        <v>25791</v>
      </c>
    </row>
    <row r="25972" customFormat="false" ht="15" hidden="false" customHeight="false" outlineLevel="0" collapsed="false">
      <c r="A25972" s="0" t="n">
        <f aca="false">_xlfn.ORG.LIBREOFFICE.FORECAST.ETS.STAT.MULT({84.1;82;77;31.12;44.7;84;39.13;32.7;44.3;47.6;26;7.48;25.4;48.5;30.17;86.4},{1;2;3;4;5;6;7;8;9;10;11;12;13;14;15;16},{9;6;8;4;1;2;3;5;7},6,1,4)</f>
        <v>6</v>
      </c>
      <c r="B25972" s="0" t="s">
        <v>25792</v>
      </c>
    </row>
    <row r="25973" customFormat="false" ht="15" hidden="false" customHeight="false" outlineLevel="0" collapsed="false">
      <c r="A25973" s="0" t="n">
        <f aca="false">_xlfn.FORECAST.ETS.SEASONALITY({84.1;82;77;31.12;44.7;84;39.13;32.7;44.3;47.6;26;7.48;25.4;48.5;30.17;86.4},{1;2;3;4;5;6;7;8;9;10;11;12;13;14;15;16})</f>
        <v>8</v>
      </c>
      <c r="B25973" s="0" t="s">
        <v>25793</v>
      </c>
    </row>
    <row r="25974" customFormat="false" ht="15" hidden="false" customHeight="false" outlineLevel="0" collapsed="false">
      <c r="A25974" s="0" t="n">
        <f aca="false">_xlfn.FORECAST.ETS({15;13.5;17},{41.5;41.5;42;41.5;41.5;41.5;42.5;42;41.5;42;41.52;41.52;41.52;41.5},{1;2;3;4;5;6;6;7;8;9;10;11;12;13},0,,3)</f>
        <v>41.5</v>
      </c>
      <c r="B25974" s="0" t="s">
        <v>25794</v>
      </c>
    </row>
    <row r="25975" customFormat="false" ht="15" hidden="false" customHeight="false" outlineLevel="0" collapsed="false">
      <c r="A25975" s="0" t="n">
        <f aca="false">_xlfn.FORECAST.ETS.STAT({41.5;41.5;42;41.5;41.5;41.5;42.5;42;41.5;42;41.52;41.52;41.52;41.5},{1;2;3;4;5;6;6;7;8;9;10;11;12;13},{2;5},0,,3)</f>
        <v>0</v>
      </c>
      <c r="B25975" s="0" t="s">
        <v>25795</v>
      </c>
    </row>
    <row r="25976" customFormat="false" ht="15" hidden="false" customHeight="false" outlineLevel="0" collapsed="false">
      <c r="A25976" s="0" t="n">
        <f aca="false">_xlfn.FORECAST.ETS.SEASONALITY({41.5;41.5;42;41.5;41.5;41.5;42.5;42;41.5;42;41.52;41.52;41.52;41.5},{1;2;3;4;5;6;6;7;8;9;10;11;12;13})</f>
        <v>6</v>
      </c>
      <c r="B25976" s="0" t="s">
        <v>25796</v>
      </c>
    </row>
    <row r="25977" customFormat="false" ht="15" hidden="false" customHeight="false" outlineLevel="0" collapsed="false">
      <c r="A25977" s="0" t="e">
        <f aca="false">_xlfn.ORG.LIBREOFFICE.FORECAST.ETS.PI.MULT({14;15;16},{41.5;41.5;42;41.5;41.5;41.5;42.5;42;41.5;42;41.52;41.52;41.52;41.5},{1;2;3;4;5;6;6;7;8;9;10;11;12;13},1,0)</f>
        <v>#NUM!</v>
      </c>
      <c r="B25977" s="0" t="s">
        <v>25797</v>
      </c>
    </row>
    <row r="25978" customFormat="false" ht="15" hidden="false" customHeight="false" outlineLevel="0" collapsed="false">
      <c r="A25978" s="0" t="n">
        <f aca="false">_xlfn.ORG.LIBREOFFICE.FORECAST.ETS.MULT({24;20.5},{34;40;43;46.35;52;56.48;59;62.83;65.6;72;74;80.32;82.08;85.5;92;95.8;99;102.7;105.6;110.8},{1;2;3;4;5;6;7;8;9;10;11;12;13;14;15;16;17;18;19;20},1,1,6)</f>
        <v>124.984804180207</v>
      </c>
      <c r="B25978" s="0" t="s">
        <v>25798</v>
      </c>
    </row>
    <row r="25979" customFormat="false" ht="15" hidden="false" customHeight="false" outlineLevel="0" collapsed="false">
      <c r="A25979" s="0" t="n">
        <f aca="false">_xlfn.ORG.LIBREOFFICE.FORECAST.ETS.STAT.MULT({34;40;43;46.35;52;56.48;59;62.83;65.6;72;74;80.32;82.08;85.5;92;95.8;99;102.7;105.6;110.8},{1;2;3;4;5;6;7;8;9;10;11;12;13;14;15;16;17;18;19;20},{8;4;9;1;5;6;3;2;7},1,1,6)</f>
        <v>1</v>
      </c>
      <c r="B25979" s="0" t="s">
        <v>25799</v>
      </c>
    </row>
    <row r="25980" customFormat="false" ht="15" hidden="false" customHeight="false" outlineLevel="0" collapsed="false">
      <c r="A25980" s="0" t="n">
        <f aca="false">_xlfn.FORECAST.ETS.SEASONALITY({34;40;43;46.35;52;56.48;59;62.83;65.6;72;74;80.32;82.08;85.5;92;95.8;99;102.7;105.6;110.8},{1;2;3;4;5;6;7;8;9;10;11;12;13;14;15;16;17;18;19;20},0,1)</f>
        <v>10</v>
      </c>
      <c r="B25980" s="0" t="s">
        <v>25800</v>
      </c>
    </row>
    <row r="25981" customFormat="false" ht="15" hidden="false" customHeight="false" outlineLevel="0" collapsed="false">
      <c r="A25981" s="0" t="n">
        <f aca="false">_xlfn.ORG.LIBREOFFICE.FORECAST.ETS.MULT({11;10},{62.08;58.8;55.45;9;12.78;33.29;35},{1;2;4;5;6;7;8},1)</f>
        <v>7.8155694756032</v>
      </c>
      <c r="B25981" s="0" t="s">
        <v>25801</v>
      </c>
    </row>
    <row r="25982" customFormat="false" ht="15" hidden="false" customHeight="false" outlineLevel="0" collapsed="false">
      <c r="A25982" s="0" t="n">
        <f aca="false">_xlfn.ORG.LIBREOFFICE.FORECAST.ETS.STAT.MULT({62.08;58.8;55.45;9;12.78;33.29;35},{1;2;4;5;6;7;8},{4;1;5;8;6;3;7;9;2},1)</f>
        <v>0.791031323472113</v>
      </c>
      <c r="B25982" s="0" t="s">
        <v>25802</v>
      </c>
    </row>
    <row r="25983" customFormat="false" ht="15" hidden="false" customHeight="false" outlineLevel="0" collapsed="false">
      <c r="A25983" s="0" t="n">
        <f aca="false">_xlfn.FORECAST.ETS.SEASONALITY({62.08;58.8;55.45;9;12.78;33.29;35},{1;2;4;5;6;7;8})</f>
        <v>4</v>
      </c>
      <c r="B25983" s="0" t="s">
        <v>25803</v>
      </c>
    </row>
    <row r="25984" customFormat="false" ht="15" hidden="false" customHeight="false" outlineLevel="0" collapsed="false">
      <c r="A25984" s="0" t="n">
        <f aca="false">_xlfn.FORECAST.ETS({45383},{34.76;37;43.3;35.4;32.14;33.1;38;29.51;25;29;35;27;22.58;24;48.3;29.43;22.61},{44866;44896;44927;44958;44986;45017;45047;45078;45108;45139;45170;45200;45231;45261;45261;45292;45323},0,0)</f>
        <v>22.7419295088654</v>
      </c>
      <c r="B25984" s="0" t="s">
        <v>25804</v>
      </c>
    </row>
    <row r="25985" customFormat="false" ht="15" hidden="false" customHeight="false" outlineLevel="0" collapsed="false">
      <c r="A25985" s="0" t="n">
        <f aca="false">_xlfn.ORG.LIBREOFFICE.FORECAST.ETS.STAT.MULT({34.76;37;43.3;35.4;32.14;33.1;38;29.51;25;29;35;27;22.58;24;48.3;29.43;22.61},{44866;44896;44927;44958;44986;45017;45047;45078;45108;45139;45170;45200;45231;45261;45261;45292;45323},{1;3},0,0)</f>
        <v>0.125</v>
      </c>
      <c r="B25985" s="0" t="s">
        <v>25805</v>
      </c>
    </row>
    <row r="25986" customFormat="false" ht="15" hidden="false" customHeight="false" outlineLevel="0" collapsed="false">
      <c r="A25986" s="0" t="n">
        <f aca="false">_xlfn.FORECAST.ETS.SEASONALITY({34.76;37;43.3;35.4;32.14;33.1;38;29.51;25;29;35;27;22.58;24;48.3;29.43;22.61},{44866;44896;44927;44958;44986;45017;45047;45078;45108;45139;45170;45200;45231;45261;45261;45292;45323})</f>
        <v>8</v>
      </c>
      <c r="B25986" s="0" t="s">
        <v>25806</v>
      </c>
    </row>
    <row r="25987" customFormat="false" ht="15" hidden="false" customHeight="false" outlineLevel="0" collapsed="false">
      <c r="A25987" s="0" t="n">
        <f aca="false">_xlfn.FORECAST.ETS(25.5,{41.95;11.7;42;42;42;41.95;42;42;42;42;42;42;41.95;42;41.95;42;41.95;41.95;42;42;42;42;42;42;42},{1;1;2;3;4;5;6;7;8;9;10;11;12;13;14;15;16;17;18;19;20;21;22;23;24},1,,2)</f>
        <v>43.6624548321222</v>
      </c>
      <c r="B25987" s="0" t="s">
        <v>25807</v>
      </c>
    </row>
    <row r="25988" customFormat="false" ht="15" hidden="false" customHeight="false" outlineLevel="0" collapsed="false">
      <c r="A25988" s="0" t="n">
        <f aca="false">_xlfn.FORECAST.ETS.STAT({41.95;11.7;42;42;42;41.95;42;42;42;42;42;42;41.95;42;41.95;42;41.95;41.95;42;42;42;42;42;42;42},{1;1;2;3;4;5;6;7;8;9;10;11;12;13;14;15;16;17;18;19;20;21;22;23;24},{2;6;1;8;9;5;7;4;3},1,,2)</f>
        <v>0.068359375</v>
      </c>
      <c r="B25988" s="0" t="s">
        <v>25808</v>
      </c>
    </row>
    <row r="25989" customFormat="false" ht="15" hidden="false" customHeight="false" outlineLevel="0" collapsed="false">
      <c r="A25989" s="0" t="n">
        <f aca="false">_xlfn.FORECAST.ETS.SEASONALITY({41.95;11.7;42;42;42;41.95;42;42;42;42;42;42;41.95;42;41.95;42;41.95;41.95;42;42;42;42;42;42;42},{1;1;2;3;4;5;6;7;8;9;10;11;12;13;14;15;16;17;18;19;20;21;22;23;24},0)</f>
        <v>11</v>
      </c>
      <c r="B25989" s="0" t="s">
        <v>25809</v>
      </c>
    </row>
    <row r="25990" customFormat="false" ht="15" hidden="false" customHeight="false" outlineLevel="0" collapsed="false">
      <c r="A25990" s="0" t="n">
        <f aca="false">_xlfn.ORG.LIBREOFFICE.FORECAST.ETS.MULT({21},{49.3;49;49;49;49.34;49;49;49.3;49.34;49.3;49.3;49.34;49;49.34;49.34;49.3;49;49;49.3},{1;2;3;4;5;6;7;8;9;10;11;12;13;14;15;16;17;18;19})</f>
        <v>49.3915290875088</v>
      </c>
      <c r="B25990" s="0" t="s">
        <v>25810</v>
      </c>
    </row>
    <row r="25991" customFormat="false" ht="15" hidden="false" customHeight="false" outlineLevel="0" collapsed="false">
      <c r="A25991" s="0" t="n">
        <f aca="false">_xlfn.FORECAST.ETS.STAT({49.3;49;49;49;49.34;49;49;49.3;49.34;49.3;49.3;49.34;49;49.34;49.34;49.3;49;49;49.3},{1;2;3;4;5;6;7;8;9;10;11;12;13;14;15;16;17;18;19},{7;4})</f>
        <v>0.181228821813076</v>
      </c>
      <c r="B25991" s="0" t="s">
        <v>25811</v>
      </c>
    </row>
    <row r="25992" customFormat="false" ht="15" hidden="false" customHeight="false" outlineLevel="0" collapsed="false">
      <c r="A25992" s="0" t="n">
        <f aca="false">_xlfn.FORECAST.ETS.SEASONALITY({49.3;49;49;49;49.34;49;49;49.3;49.34;49.3;49.3;49.34;49;49.34;49.34;49.3;49;49;49.3},{1;2;3;4;5;6;7;8;9;10;11;12;13;14;15;16;17;18;19},1)</f>
        <v>6</v>
      </c>
      <c r="B25992" s="0" t="s">
        <v>25812</v>
      </c>
    </row>
    <row r="25993" customFormat="false" ht="15" hidden="false" customHeight="false" outlineLevel="0" collapsed="false">
      <c r="A25993" s="0" t="n">
        <f aca="false">_xlfn.FORECAST.ETS.CONFINT(22,{49.3;49;49;49;49.34;49;49;49.3;49.34;49.3;49.3;49.34;49;49.34;49.34;49.3;49;49;49.3},{1;2;3;4;5;6;7;8;9;10;11;12;13;14;15;16;17;18;19},0,0,1,7)</f>
        <v>0</v>
      </c>
      <c r="B25993" s="0" t="s">
        <v>25813</v>
      </c>
    </row>
    <row r="25994" customFormat="false" ht="15" hidden="false" customHeight="false" outlineLevel="0" collapsed="false">
      <c r="A25994" s="0" t="n">
        <f aca="false">_xlfn.FORECAST.ETS({68;63},{28;28;28.16;28.2;28;28.16;28.2;28;28.2;28.2;28},{3;8;13;18;23;28;33;38;43;48;53},4)</f>
        <v>28.1971069335938</v>
      </c>
      <c r="B25994" s="0" t="s">
        <v>25814</v>
      </c>
    </row>
    <row r="25995" customFormat="false" ht="15" hidden="false" customHeight="false" outlineLevel="0" collapsed="false">
      <c r="A25995" s="0" t="n">
        <f aca="false">_xlfn.FORECAST.ETS.STAT({28;28;28.16;28.2;28;28.16;28.2;28;28.2;28.2;28},{3;8;13;18;23;28;33;38;43;48;53},{9;6;1;2;8;7;4;3;5},4)</f>
        <v>4</v>
      </c>
      <c r="B25995" s="0" t="s">
        <v>25815</v>
      </c>
    </row>
    <row r="25996" customFormat="false" ht="15" hidden="false" customHeight="false" outlineLevel="0" collapsed="false">
      <c r="A25996" s="0" t="n">
        <f aca="false">_xlfn.FORECAST.ETS.SEASONALITY({28;28;28.16;28.2;28;28.16;28.2;28;28.2;28.2;28},{3;8;13;18;23;28;33;38;43;48;53})</f>
        <v>3</v>
      </c>
      <c r="B25996" s="0" t="s">
        <v>25816</v>
      </c>
    </row>
    <row r="25997" customFormat="false" ht="15" hidden="false" customHeight="false" outlineLevel="0" collapsed="false">
      <c r="A25997" s="0" t="n">
        <f aca="false">_xlfn.FORECAST.ETS(12,{92.67;39.69;57;75.3;34.65;64.1;52.62;28;33;14;62;75.22;12.35;72.56;68;94.4;69.4;49.3;2.4;6.8;66.6;7.3},{10;11.5;7.5;7;9.5;5;4;1.5;3.5;8;8.5;5.5;1;10.5;11;3;6.5;4.5;2;2.5;6;9})</f>
        <v>79.1981818181818</v>
      </c>
      <c r="B25997" s="0" t="s">
        <v>25817</v>
      </c>
    </row>
    <row r="25998" customFormat="false" ht="15" hidden="false" customHeight="false" outlineLevel="0" collapsed="false">
      <c r="A25998" s="0" t="n">
        <f aca="false">_xlfn.FORECAST.ETS.STAT({92.67;39.69;57;75.3;34.65;64.1;52.62;28;33;14;62;75.22;12.35;72.56;68;94.4;69.4;49.3;2.4;6.8;66.6;7.3},{10;11.5;7.5;7;9.5;5;4;1.5;3.5;8;8.5;5.5;1;10.5;11;3;6.5;4.5;2;2.5;6;9},{8;6;1;9;4;3;7;2;5})</f>
        <v>0.5</v>
      </c>
      <c r="B25998" s="0" t="s">
        <v>25818</v>
      </c>
    </row>
    <row r="25999" customFormat="false" ht="15" hidden="false" customHeight="false" outlineLevel="0" collapsed="false">
      <c r="A25999" s="0" t="n">
        <f aca="false">_xlfn.FORECAST.ETS.SEASONALITY({92.67;39.69;57;75.3;34.65;64.1;52.62;28;33;14;62;75.22;12.35;72.56;68;94.4;69.4;49.3;2.4;6.8;66.6;7.3},{10;11.5;7.5;7;9.5;5;4;1.5;3.5;8;8.5;5.5;1;10.5;11;3;6.5;4.5;2;2.5;6;9})</f>
        <v>11</v>
      </c>
      <c r="B25999" s="0" t="s">
        <v>25819</v>
      </c>
    </row>
    <row r="26000" customFormat="false" ht="15" hidden="false" customHeight="false" outlineLevel="0" collapsed="false">
      <c r="A26000" s="0" t="n">
        <f aca="false">_xlfn.ORG.LIBREOFFICE.FORECAST.ETS.PI.MULT(12.5,{92.67;39.69;57;75.3;34.65;64.1;52.62;28;33;14;62;75.22;12.35;72.56;68;94.4;69.4;49.3;2.4;6.8;66.6;7.3},{10;11.5;7.5;7;9.5;5;4;1.5;3.5;8;8.5;5.5;1;10.5;11;3;6.5;4.5;2;2.5;6;9},0,0,1)</f>
        <v>0</v>
      </c>
      <c r="B26000" s="0" t="s">
        <v>25820</v>
      </c>
    </row>
    <row r="26001" customFormat="false" ht="15" hidden="false" customHeight="false" outlineLevel="0" collapsed="false">
      <c r="A26001" s="0" t="e">
        <f aca="false">_xlfn.ORG.LIBREOFFICE.FORECAST.ETS.MULT({6,9},{92;94.27;14.81;53.56;16},{1;2;3;4;5},3)</f>
        <v>#VALUE!</v>
      </c>
      <c r="B26001" s="0" t="s">
        <v>25821</v>
      </c>
    </row>
    <row r="26002" customFormat="false" ht="15" hidden="false" customHeight="false" outlineLevel="0" collapsed="false">
      <c r="A26002" s="0" t="e">
        <f aca="false">_xlfn.ORG.LIBREOFFICE.FORECAST.ETS.STAT.MULT({92;94.27;14.81;53.56;16},{1;2;3;4;5},{9;4},3)</f>
        <v>#VALUE!</v>
      </c>
      <c r="B26002" s="0" t="s">
        <v>25822</v>
      </c>
    </row>
    <row r="26003" customFormat="false" ht="15" hidden="false" customHeight="false" outlineLevel="0" collapsed="false">
      <c r="A26003" s="0" t="n">
        <f aca="false">_xlfn.FORECAST.ETS.SEASONALITY({92;94.27;14.81;53.56;16},{1;2;3;4;5})</f>
        <v>2</v>
      </c>
      <c r="B26003" s="0" t="s">
        <v>25823</v>
      </c>
    </row>
    <row r="26004" customFormat="false" ht="15" hidden="false" customHeight="false" outlineLevel="0" collapsed="false">
      <c r="A26004" s="0" t="n">
        <f aca="false">_xlfn.FORECAST.ETS.CONFINT(6,{92;94.27;14.81;53.56;16},{1;2;3;4;5},0.9,0,1,2)</f>
        <v>39.7219601464968</v>
      </c>
      <c r="B26004" s="0" t="s">
        <v>25824</v>
      </c>
    </row>
    <row r="26005" customFormat="false" ht="15" hidden="false" customHeight="false" outlineLevel="0" collapsed="false">
      <c r="A26005" s="0" t="e">
        <f aca="false">_xlfn.ORG.LIBREOFFICE.FORECAST.ETS.MULT(45291,{16.76;13.58;14.44;13.6;10;9.75;8.8;7;8;5.5;3.5;2.93;3.52;1.5;-1;-1.4;-2.6;42.8;-1.5;-3.4;-5.2;-6;-8;-7.4;-7.5},{44926;44957;44985;45016;45046;45077;45107;45138;45169;45199;45230;45260;45291;45322;45351;45382;45412;45412;45443;45473;45504;45535;45565;45596;45626},5,0)</f>
        <v>#VALUE!</v>
      </c>
      <c r="B26005" s="0" t="s">
        <v>25825</v>
      </c>
    </row>
    <row r="26006" customFormat="false" ht="15" hidden="false" customHeight="false" outlineLevel="0" collapsed="false">
      <c r="A26006" s="0" t="e">
        <f aca="false">_xlfn.ORG.LIBREOFFICE.FORECAST.ETS.STAT.MULT({16.76;13.58;14.44;13.6;10;9.75;8.8;7;8;5.5;3.5;2.93;3.52;1.5;-1;-1.4;-2.6;42.8;-1.5;-3.4;-5.2;-6;-8;-7.4;-7.5},{44926;44957;44985;45016;45046;45077;45107;45138;45169;45199;45230;45260;45291;45322;45351;45382;45412;45412;45443;45473;45504;45535;45565;45596;45626},{3;2;4;1;8;5;9;6;7},5,0)</f>
        <v>#VALUE!</v>
      </c>
      <c r="B26006" s="0" t="s">
        <v>25826</v>
      </c>
    </row>
    <row r="26007" customFormat="false" ht="15" hidden="false" customHeight="false" outlineLevel="0" collapsed="false">
      <c r="A26007" s="0" t="e">
        <f aca="false">_xlfn.FORECAST.ETS.SEASONALITY({16.76;13.58;14.44;13.6;10;9.75;8.8;7;8;5.5;3.5;2.93;3.52;1.5;-1;-1.4;-2.6;42.8;-1.5;-3.4;-5.2;-6;-8;-7.4;-7.5},{44926;44957;44985;45016;45046;45077;45107;45138;45169;45199;45230;45260;45291;45322;45351;45382;45412;45412;45443;45473;45504;45535;45565;45596;45626},1)</f>
        <v>#VALUE!</v>
      </c>
      <c r="B26007" s="0" t="s">
        <v>25827</v>
      </c>
    </row>
    <row r="26008" customFormat="false" ht="15" hidden="false" customHeight="false" outlineLevel="0" collapsed="false">
      <c r="A26008" s="0" t="n">
        <f aca="false">_xlfn.FORECAST.ETS(8.25,{34.1;47.8;62.43;47;60.68;77.9;58;74;95.64;67.14;87.2;110.57;78.4;103.1;46.8;128.85},{1;1.5;2;2.5;3;3.5;4;4.5;5;5.5;6;6.5;7;7.5;7.5;8},3,0,2)</f>
        <v>107.491685749767</v>
      </c>
      <c r="B26008" s="0" t="s">
        <v>25828</v>
      </c>
    </row>
    <row r="26009" customFormat="false" ht="15" hidden="false" customHeight="false" outlineLevel="0" collapsed="false">
      <c r="A26009" s="0" t="n">
        <f aca="false">_xlfn.ORG.LIBREOFFICE.FORECAST.ETS.STAT.MULT({34.1;47.8;62.43;47;60.68;77.9;58;74;95.64;67.14;87.2;110.57;78.4;103.1;46.8;128.85},{1;1.5;2;2.5;3;3.5;4;4.5;5;5.5;6;6.5;7;7.5;7.5;8},{3;4},3,0,2)</f>
        <v>1</v>
      </c>
      <c r="B26009" s="0" t="s">
        <v>25829</v>
      </c>
    </row>
    <row r="26010" customFormat="false" ht="15" hidden="false" customHeight="false" outlineLevel="0" collapsed="false">
      <c r="A26010" s="0" t="n">
        <f aca="false">_xlfn.FORECAST.ETS.SEASONALITY({34.1;47.8;62.43;47;60.68;77.9;58;74;95.64;67.14;87.2;110.57;78.4;103.1;46.8;128.85},{1;1.5;2;2.5;3;3.5;4;4.5;5;5.5;6;6.5;7;7.5;7.5;8},0,4)</f>
        <v>3</v>
      </c>
      <c r="B26010" s="0" t="s">
        <v>25830</v>
      </c>
    </row>
    <row r="26011" customFormat="false" ht="15" hidden="false" customHeight="false" outlineLevel="0" collapsed="false">
      <c r="A26011" s="0" t="n">
        <f aca="false">_xlfn.ORG.LIBREOFFICE.FORECAST.ETS.MULT({45472},{37.76;38;37.76;37.8;27.4;38;37.8;38;37.8;37.76;38;37.76;38;37.76;38;38;38;38;37.8;38;37.76;37.8;37.8;37.76;37.8},{44727;44757;44788;44819;44819;44849;44880;44910;44941;44972;45000;45031;45061;45092;45122;45153;45184;45214;45245;45275;45306;45337;45366;45397;45427},4)</f>
        <v>37.7467596028552</v>
      </c>
      <c r="B26011" s="0" t="s">
        <v>25831</v>
      </c>
    </row>
    <row r="26012" customFormat="false" ht="15" hidden="false" customHeight="false" outlineLevel="0" collapsed="false">
      <c r="A26012" s="0" t="n">
        <f aca="false">_xlfn.FORECAST.ETS.STAT({37.76;38;37.76;37.8;27.4;38;37.8;38;37.8;37.76;38;37.76;38;37.76;38;38;38;38;37.8;38;37.76;37.8;37.8;37.76;37.8},{44727;44757;44788;44819;44819;44849;44880;44910;44941;44972;45000;45031;45061;45092;45122;45153;45184;45214;45245;45275;45306;45337;45366;45397;45427},{7;1},4)</f>
        <v>0.151574458868509</v>
      </c>
      <c r="B26012" s="0" t="s">
        <v>25832</v>
      </c>
    </row>
    <row r="26013" customFormat="false" ht="15" hidden="false" customHeight="false" outlineLevel="0" collapsed="false">
      <c r="A26013" s="0" t="n">
        <f aca="false">_xlfn.FORECAST.ETS.SEASONALITY({37.76;38;37.76;37.8;27.4;38;37.8;38;37.8;37.76;38;37.76;38;37.76;38;38;38;38;37.8;38;37.76;37.8;37.8;37.76;37.8},{44727;44757;44788;44819;44819;44849;44880;44910;44941;44972;45000;45031;45061;45092;45122;45153;45184;45214;45245;45275;45306;45337;45366;45397;45427},0)</f>
        <v>7</v>
      </c>
      <c r="B26013" s="0" t="s">
        <v>25833</v>
      </c>
    </row>
    <row r="26014" customFormat="false" ht="15" hidden="false" customHeight="false" outlineLevel="0" collapsed="false">
      <c r="A26014" s="0" t="e">
        <f aca="false">_xlfn.FORECAST.ETS(2,{15;15.58;16;17;15.9},{1;1.5;2;2.5;3},5,0,6)</f>
        <v>#VALUE!</v>
      </c>
      <c r="B26014" s="0" t="s">
        <v>25834</v>
      </c>
    </row>
    <row r="26015" customFormat="false" ht="15" hidden="false" customHeight="false" outlineLevel="0" collapsed="false">
      <c r="A26015" s="0" t="e">
        <f aca="false">_xlfn.FORECAST.ETS.STAT({15;15.58;16;17;15.9},{1;1.5;2;2.5;3},{7;2;9;5;8;4;3;6;1},5,0,6)</f>
        <v>#VALUE!</v>
      </c>
      <c r="B26015" s="0" t="s">
        <v>25835</v>
      </c>
    </row>
    <row r="26016" customFormat="false" ht="15" hidden="false" customHeight="false" outlineLevel="0" collapsed="false">
      <c r="A26016" s="0" t="n">
        <f aca="false">_xlfn.FORECAST.ETS.SEASONALITY({15;15.58;16;17;15.9},{1;1.5;2;2.5;3})</f>
        <v>1</v>
      </c>
      <c r="B26016" s="0" t="s">
        <v>25836</v>
      </c>
    </row>
    <row r="26017" customFormat="false" ht="15" hidden="false" customHeight="false" outlineLevel="0" collapsed="false">
      <c r="A26017" s="0" t="n">
        <f aca="false">_xlfn.FORECAST.ETS({157},{7.71;7.71;7.7;7.7;7.7;7.71;7.7;7.7;7.7;7.71;7.71;7.7;7.7;8;7.71;7.7;8;7.71;7.71},{3;10;17;24;31;38;45;52;59;66;73;80;87;94;101;108;115;122;129})</f>
        <v>8.01679409505343</v>
      </c>
      <c r="B26017" s="0" t="s">
        <v>25837</v>
      </c>
    </row>
    <row r="26018" customFormat="false" ht="15" hidden="false" customHeight="false" outlineLevel="0" collapsed="false">
      <c r="A26018" s="0" t="n">
        <f aca="false">_xlfn.ORG.LIBREOFFICE.FORECAST.ETS.STAT.MULT({7.71;7.71;7.7;7.7;7.7;7.71;7.7;7.7;7.7;7.71;7.71;7.7;7.7;8;7.71;7.7;8;7.71;7.71},{3;10;17;24;31;38;45;52;59;66;73;80;87;94;101;108;115;122;129},{5;1;9;6;7;3;8;2;4})</f>
        <v>0.00286791009677933</v>
      </c>
      <c r="B26018" s="0" t="s">
        <v>25838</v>
      </c>
    </row>
    <row r="26019" customFormat="false" ht="15" hidden="false" customHeight="false" outlineLevel="0" collapsed="false">
      <c r="A26019" s="0" t="n">
        <f aca="false">_xlfn.FORECAST.ETS.SEASONALITY({7.71;7.71;7.7;7.7;7.7;7.71;7.7;7.7;7.7;7.71;7.71;7.7;7.7;8;7.71;7.7;8;7.71;7.71},{3;10;17;24;31;38;45;52;59;66;73;80;87;94;101;108;115;122;129})</f>
        <v>3</v>
      </c>
      <c r="B26019" s="0" t="s">
        <v>25839</v>
      </c>
    </row>
    <row r="26020" customFormat="false" ht="15" hidden="false" customHeight="false" outlineLevel="0" collapsed="false">
      <c r="A26020" s="0" t="n">
        <f aca="false">_xlfn.ORG.LIBREOFFICE.FORECAST.ETS.MULT({45364},{0.27;8;19.7;10;14.43;20.1;30.86;25;26.72;32.69;43.16;35.42;37.57;43;57;49.8},{44862;44893;44923;44954;44985;45013;45044;45074;45105;45135;45166;45197;45227;45258;45288;45319},1,0,3)</f>
        <v>53.7750589968958</v>
      </c>
      <c r="B26020" s="0" t="s">
        <v>25840</v>
      </c>
    </row>
    <row r="26021" customFormat="false" ht="15" hidden="false" customHeight="false" outlineLevel="0" collapsed="false">
      <c r="A26021" s="0" t="n">
        <f aca="false">_xlfn.FORECAST.ETS.STAT({0.27;8;19.7;10;14.43;20.1;30.86;25;26.72;32.69;43.16;35.42;37.57;43;57;49.8},{44862;44893;44923;44954;44985;45013;45044;45074;45105;45135;45166;45197;45227;45258;45288;45319},{5;9},1,0,3)</f>
        <v>0.0311406086347963</v>
      </c>
      <c r="B26021" s="0" t="s">
        <v>25841</v>
      </c>
    </row>
    <row r="26022" customFormat="false" ht="15" hidden="false" customHeight="false" outlineLevel="0" collapsed="false">
      <c r="A26022" s="0" t="n">
        <f aca="false">_xlfn.FORECAST.ETS.SEASONALITY({0.27;8;19.7;10;14.43;20.1;30.86;25;26.72;32.69;43.16;35.42;37.57;43;57;49.8},{44862;44893;44923;44954;44985;45013;45044;45074;45105;45135;45166;45197;45227;45258;45288;45319},0)</f>
        <v>4</v>
      </c>
      <c r="B26022" s="0" t="s">
        <v>25842</v>
      </c>
    </row>
    <row r="26023" customFormat="false" ht="15" hidden="false" customHeight="false" outlineLevel="0" collapsed="false">
      <c r="A26023" s="0" t="n">
        <f aca="false">_xlfn.ORG.LIBREOFFICE.FORECAST.ETS.MULT({45244;45199},{43;49.8;46.8;44.1;44.9;51;27;39.9;44.6;47.51;34.6;46.5;41.4;46.1},{44819;45184;45031;44880;45122;45153;44788;44910;44941;45092;45000;45061;44849;44972},1)</f>
        <v>53.9537539261926</v>
      </c>
      <c r="B26023" s="0" t="s">
        <v>25843</v>
      </c>
    </row>
    <row r="26024" customFormat="false" ht="15" hidden="false" customHeight="false" outlineLevel="0" collapsed="false">
      <c r="A26024" s="0" t="n">
        <f aca="false">_xlfn.ORG.LIBREOFFICE.FORECAST.ETS.STAT.MULT({43;49.8;46.8;44.1;44.9;51;27;39.9;44.6;47.51;34.6;46.5;41.4;46.1},{44819;45184;45031;44880;45122;45153;44788;44910;44941;45092;45000;45061;44849;44972},{5;9;2;6;3;7;8;1;4},1)</f>
        <v>0.0210926850737579</v>
      </c>
      <c r="B26024" s="0" t="s">
        <v>25844</v>
      </c>
    </row>
    <row r="26025" customFormat="false" ht="15" hidden="false" customHeight="false" outlineLevel="0" collapsed="false">
      <c r="A26025" s="0" t="n">
        <f aca="false">_xlfn.FORECAST.ETS.SEASONALITY({43;49.8;46.8;44.1;44.9;51;27;39.9;44.6;47.51;34.6;46.5;41.4;46.1},{44819;45184;45031;44880;45122;45153;44788;44910;44941;45092;45000;45061;44849;44972},1)</f>
        <v>7</v>
      </c>
      <c r="B26025" s="0" t="s">
        <v>25845</v>
      </c>
    </row>
    <row r="26026" customFormat="false" ht="15" hidden="false" customHeight="false" outlineLevel="0" collapsed="false">
      <c r="A26026" s="0" t="n">
        <f aca="false">_xlfn.ORG.LIBREOFFICE.FORECAST.ETS.MULT(83,{9.57;14;17.2;21;24.3;27.87;33;36.3;38;43.7;47.6;51.6;55.71;58},{3;8;13;18;23;28;33;38;43;48;53;58;63;68})</f>
        <v>71.2514385146102</v>
      </c>
      <c r="B26026" s="0" t="s">
        <v>25846</v>
      </c>
    </row>
    <row r="26027" customFormat="false" ht="15" hidden="false" customHeight="false" outlineLevel="0" collapsed="false">
      <c r="A26027" s="0" t="n">
        <f aca="false">_xlfn.ORG.LIBREOFFICE.FORECAST.ETS.STAT.MULT({9.57;14;17.2;21;24.3;27.87;33;36.3;38;43.7;47.6;51.6;55.71;58},{3;8;13;18;23;28;33;38;43;48;53;58;63;68},{3;9;6;8;2;4;1;7;5})</f>
        <v>0.4345703125</v>
      </c>
      <c r="B26027" s="0" t="s">
        <v>25847</v>
      </c>
    </row>
    <row r="26028" customFormat="false" ht="15" hidden="false" customHeight="false" outlineLevel="0" collapsed="false">
      <c r="A26028" s="0" t="n">
        <f aca="false">_xlfn.FORECAST.ETS.SEASONALITY({9.57;14;17.2;21;24.3;27.87;33;36.3;38;43.7;47.6;51.6;55.71;58},{3;8;13;18;23;28;33;38;43;48;53;58;63;68},1,1)</f>
        <v>5</v>
      </c>
      <c r="B26028" s="0" t="s">
        <v>25848</v>
      </c>
    </row>
    <row r="26029" customFormat="false" ht="15" hidden="false" customHeight="false" outlineLevel="0" collapsed="false">
      <c r="A26029" s="0" t="n">
        <f aca="false">_xlfn.FORECAST.ETS(45177.5,{6.62;12.14;22.6;10.74;17;36.1;16;27;48;22.08;32.51;57.06},{44896;44927;44958;44986;45017;45047;45078;45108;45139;45170;45200;45231},1,1,6)</f>
        <v>24.9764444444475</v>
      </c>
      <c r="B26029" s="0" t="s">
        <v>25849</v>
      </c>
    </row>
    <row r="26030" customFormat="false" ht="15" hidden="false" customHeight="false" outlineLevel="0" collapsed="false">
      <c r="A26030" s="0" t="n">
        <f aca="false">_xlfn.ORG.LIBREOFFICE.FORECAST.ETS.STAT.MULT({6.62;12.14;22.6;10.74;17;36.1;16;27;48;22.08;32.51;57.06},{44896;44927;44958;44986;45017;45047;45078;45108;45139;45170;45200;45231},{7;4},1,1,6)</f>
        <v>1.65446308698608</v>
      </c>
      <c r="B26030" s="0" t="s">
        <v>25850</v>
      </c>
    </row>
    <row r="26031" customFormat="false" ht="15" hidden="false" customHeight="false" outlineLevel="0" collapsed="false">
      <c r="A26031" s="0" t="n">
        <f aca="false">_xlfn.FORECAST.ETS.SEASONALITY({6.62;12.14;22.6;10.74;17;36.1;16;27;48;22.08;32.51;57.06},{44896;44927;44958;44986;45017;45047;45078;45108;45139;45170;45200;45231})</f>
        <v>3</v>
      </c>
      <c r="B26031" s="0" t="s">
        <v>25851</v>
      </c>
    </row>
    <row r="26032" customFormat="false" ht="15" hidden="false" customHeight="false" outlineLevel="0" collapsed="false">
      <c r="A26032" s="0" t="n">
        <f aca="false">_xlfn.ORG.LIBREOFFICE.FORECAST.ETS.MULT(24.5,{18.09;22.03;22;25;28.29;31.42;33.93;36;37.2;40.88;42;46;48.1;50.9;52;55;56.9;60.4;62;66.1;66.9;71.52;73.28},{1;2;3;4;5;6;7;8;9;10;11;12;13;14;15;16;17;18;19;20;21;22;23},0,0)</f>
        <v>76.8374458047522</v>
      </c>
      <c r="B26032" s="0" t="s">
        <v>25852</v>
      </c>
    </row>
    <row r="26033" customFormat="false" ht="15" hidden="false" customHeight="false" outlineLevel="0" collapsed="false">
      <c r="A26033" s="0" t="n">
        <f aca="false">_xlfn.FORECAST.ETS.STAT({18.09;22.03;22;25;28.29;31.42;33.93;36;37.2;40.88;42;46;48.1;50.9;52;55;56.9;60.4;62;66.1;66.9;71.52;73.28},{1;2;3;4;5;6;7;8;9;10;11;12;13;14;15;16;17;18;19;20;21;22;23},{7},0,0)</f>
        <v>0.833257254435621</v>
      </c>
      <c r="B26033" s="0" t="s">
        <v>25853</v>
      </c>
    </row>
    <row r="26034" customFormat="false" ht="15" hidden="false" customHeight="false" outlineLevel="0" collapsed="false">
      <c r="A26034" s="0" t="n">
        <f aca="false">_xlfn.FORECAST.ETS.SEASONALITY({18.09;22.03;22;25;28.29;31.42;33.93;36;37.2;40.88;42;46;48.1;50.9;52;55;56.9;60.4;62;66.1;66.9;71.52;73.28},{1;2;3;4;5;6;7;8;9;10;11;12;13;14;15;16;17;18;19;20;21;22;23},1,1)</f>
        <v>6</v>
      </c>
      <c r="B26034" s="0" t="s">
        <v>25854</v>
      </c>
    </row>
    <row r="26035" customFormat="false" ht="15" hidden="false" customHeight="false" outlineLevel="0" collapsed="false">
      <c r="A26035" s="0" t="n">
        <f aca="false">_xlfn.FORECAST.ETS({10,12},{8.66;3.1;7;7.2;2.94;6.6;8;5;5},{1;2;3;4;5;6;7;8;9},1)</f>
        <v>7.71059673756749</v>
      </c>
      <c r="B26035" s="0" t="s">
        <v>25855</v>
      </c>
    </row>
    <row r="26036" customFormat="false" ht="15" hidden="false" customHeight="false" outlineLevel="0" collapsed="false">
      <c r="A26036" s="0" t="n">
        <f aca="false">_xlfn.ORG.LIBREOFFICE.FORECAST.ETS.STAT.MULT({8.66;3.1;7;7.2;2.94;6.6;8;5;5},{1;2;3;4;5;6;7;8;9},{8;5},1)</f>
        <v>1</v>
      </c>
      <c r="B26036" s="0" t="s">
        <v>25856</v>
      </c>
    </row>
    <row r="26037" customFormat="false" ht="15" hidden="false" customHeight="false" outlineLevel="0" collapsed="false">
      <c r="A26037" s="0" t="n">
        <f aca="false">_xlfn.FORECAST.ETS.SEASONALITY({8.66;3.1;7;7.2;2.94;6.6;8;5;5},{1;2;3;4;5;6;7;8;9},1)</f>
        <v>3</v>
      </c>
      <c r="B26037" s="0" t="s">
        <v>25857</v>
      </c>
    </row>
    <row r="26038" customFormat="false" ht="15" hidden="false" customHeight="false" outlineLevel="0" collapsed="false">
      <c r="A26038" s="0" t="n">
        <f aca="false">_xlfn.FORECAST.ETS(20,{40.07;10.43;48.7;77.22;20;85.4;3;43.36;50.4;72.09;76.7;82.42;35.2;68.7;51.44;65.3},{1;2;3;5;6;7;8;9;10;11;12;13;14;15;16;17},4)</f>
        <v>68.9787106176463</v>
      </c>
      <c r="B26038" s="0" t="s">
        <v>25858</v>
      </c>
    </row>
    <row r="26039" customFormat="false" ht="15" hidden="false" customHeight="false" outlineLevel="0" collapsed="false">
      <c r="A26039" s="0" t="n">
        <f aca="false">_xlfn.ORG.LIBREOFFICE.FORECAST.ETS.STAT.MULT({40.07;10.43;48.7;77.22;20;85.4;3;43.36;50.4;72.09;76.7;82.42;35.2;68.7;51.44;65.3},{1;2;3;5;6;7;8;9;10;11;12;13;14;15;16;17},{4;7},4)</f>
        <v>0.570118597968771</v>
      </c>
      <c r="B26039" s="0" t="s">
        <v>25859</v>
      </c>
    </row>
    <row r="26040" customFormat="false" ht="15" hidden="false" customHeight="false" outlineLevel="0" collapsed="false">
      <c r="A26040" s="0" t="n">
        <f aca="false">_xlfn.FORECAST.ETS.SEASONALITY({40.07;10.43;48.7;77.22;20;85.4;3;43.36;50.4;72.09;76.7;82.42;35.2;68.7;51.44;65.3},{1;2;3;5;6;7;8;9;10;11;12;13;14;15;16;17},0,6)</f>
        <v>6</v>
      </c>
      <c r="B26040" s="0" t="s">
        <v>25860</v>
      </c>
    </row>
    <row r="26041" customFormat="false" ht="15" hidden="false" customHeight="false" outlineLevel="0" collapsed="false">
      <c r="A26041" s="0" t="n">
        <f aca="false">_xlfn.ORG.LIBREOFFICE.FORECAST.ETS.MULT(26,{57;74;50;96.78;65;87.3;22.61;67.83;56.3;96.15;70.3;90.1;82.33;70.2;74.87;6.33;82.6;40.9;79.6;35;60.7;95.89},{1;2;3;4;5;6;7;8;9;10;11;12;13;14;15;16;17;18;19;20;21;22},2,0,4)</f>
        <v>55.5923964349519</v>
      </c>
      <c r="B26041" s="0" t="s">
        <v>25861</v>
      </c>
    </row>
    <row r="26042" customFormat="false" ht="15" hidden="false" customHeight="false" outlineLevel="0" collapsed="false">
      <c r="A26042" s="0" t="n">
        <f aca="false">_xlfn.ORG.LIBREOFFICE.FORECAST.ETS.STAT.MULT({57;74;50;96.78;65;87.3;22.61;67.83;56.3;96.15;70.3;90.1;82.33;70.2;74.87;6.33;82.6;40.9;79.6;35;60.7;95.89},{1;2;3;4;5;6;7;8;9;10;11;12;13;14;15;16;17;18;19;20;21;22},{7;6},2,0,4)</f>
        <v>27.0845863909788</v>
      </c>
      <c r="B26042" s="0" t="s">
        <v>25862</v>
      </c>
    </row>
    <row r="26043" customFormat="false" ht="15" hidden="false" customHeight="false" outlineLevel="0" collapsed="false">
      <c r="A26043" s="0" t="n">
        <f aca="false">_xlfn.FORECAST.ETS.SEASONALITY({57;74;50;96.78;65;87.3;22.61;67.83;56.3;96.15;70.3;90.1;82.33;70.2;74.87;6.33;82.6;40.9;79.6;35;60.7;95.89},{1;2;3;4;5;6;7;8;9;10;11;12;13;14;15;16;17;18;19;20;21;22})</f>
        <v>9</v>
      </c>
      <c r="B26043" s="0" t="s">
        <v>25863</v>
      </c>
    </row>
    <row r="26044" customFormat="false" ht="15" hidden="false" customHeight="false" outlineLevel="0" collapsed="false">
      <c r="A26044" s="0" t="e">
        <f aca="false">_xlfn.ORG.LIBREOFFICE.FORECAST.ETS.MULT(45319,{44;29.38;49.3;47;40.2;31.2;47.45;34.73;42.92;25.9;35;37.41},{45107;44895;45199;45138;45046;44926;45169;44985;45077;44865;44957;45016},6,0,5)</f>
        <v>#VALUE!</v>
      </c>
      <c r="B26044" s="0" t="s">
        <v>25864</v>
      </c>
    </row>
    <row r="26045" customFormat="false" ht="15" hidden="false" customHeight="false" outlineLevel="0" collapsed="false">
      <c r="A26045" s="0" t="e">
        <f aca="false">_xlfn.FORECAST.ETS.STAT({44;29.38;49.3;47;40.2;31.2;47.45;34.73;42.92;25.9;35;37.41},{45107;44895;45199;45138;45046;44926;45169;44985;45077;44865;44957;45016},{3},6,0,5)</f>
        <v>#VALUE!</v>
      </c>
      <c r="B26045" s="0" t="s">
        <v>25865</v>
      </c>
    </row>
    <row r="26046" customFormat="false" ht="15" hidden="false" customHeight="false" outlineLevel="0" collapsed="false">
      <c r="A26046" s="0" t="e">
        <f aca="false">_xlfn.FORECAST.ETS.SEASONALITY({44;29.38;49.3;47;40.2;31.2;47.45;34.73;42.92;25.9;35;37.41},{45107;44895;45199;45138;45046;44926;45169;44985;45077;44865;44957;45016})</f>
        <v>#VALUE!</v>
      </c>
      <c r="B26046" s="0" t="s">
        <v>25866</v>
      </c>
    </row>
    <row r="26047" customFormat="false" ht="15" hidden="false" customHeight="false" outlineLevel="0" collapsed="false">
      <c r="A26047" s="0" t="n">
        <f aca="false">_xlfn.FORECAST.ETS(4.5,{37.73;26.2;50;44.3;29;57.33},{1;1.5;2;2.5;3;3.5},1,1)</f>
        <v>37.3333333333333</v>
      </c>
      <c r="B26047" s="0" t="s">
        <v>25867</v>
      </c>
    </row>
    <row r="26048" customFormat="false" ht="15" hidden="false" customHeight="false" outlineLevel="0" collapsed="false">
      <c r="A26048" s="0" t="n">
        <f aca="false">_xlfn.FORECAST.ETS.STAT({37.73;26.2;50;44.3;29;57.33},{1;1.5;2;2.5;3;3.5},{2;3;1;8;7;5;6;4;9},1,1)</f>
        <v>0</v>
      </c>
      <c r="B26048" s="0" t="s">
        <v>25868</v>
      </c>
    </row>
    <row r="26049" customFormat="false" ht="15" hidden="false" customHeight="false" outlineLevel="0" collapsed="false">
      <c r="A26049" s="0" t="n">
        <f aca="false">_xlfn.FORECAST.ETS.SEASONALITY({37.73;26.2;50;44.3;29;57.33},{1;1.5;2;2.5;3;3.5},1)</f>
        <v>3</v>
      </c>
      <c r="B26049" s="0" t="s">
        <v>25869</v>
      </c>
    </row>
    <row r="26050" customFormat="false" ht="15" hidden="false" customHeight="false" outlineLevel="0" collapsed="false">
      <c r="A26050" s="0" t="n">
        <f aca="false">_xlfn.FORECAST.ETS.CONFINT(4,{37.73;26.2;50;44.3;29;57.33},{1;1.5;2;2.5;3;3.5},0,0,0)</f>
        <v>0</v>
      </c>
      <c r="B26050" s="0" t="s">
        <v>25870</v>
      </c>
    </row>
    <row r="26051" customFormat="false" ht="15" hidden="false" customHeight="false" outlineLevel="0" collapsed="false">
      <c r="A26051" s="0" t="n">
        <f aca="false">_xlfn.FORECAST.ETS({10.5,11},{38.8;71;30.7;53.77;52.99;62.57;46.8;89.51;39;65.3;63.5;75.3;56.01;103.06;44.5;76;76.43;87},{1;1.5;2;2.5;3;3.5;4;4.5;5;5.5;6;6.5;7;7.5;8;8.5;9;9.5},6,1,6)</f>
        <v>114.656666666667</v>
      </c>
      <c r="B26051" s="0" t="s">
        <v>25871</v>
      </c>
    </row>
    <row r="26052" customFormat="false" ht="15" hidden="false" customHeight="false" outlineLevel="0" collapsed="false">
      <c r="A26052" s="0" t="n">
        <f aca="false">_xlfn.ORG.LIBREOFFICE.FORECAST.ETS.STAT.MULT({38.8;71;30.7;53.77;52.99;62.57;46.8;89.51;39;65.3;63.5;75.3;56.01;103.06;44.5;76;76.43;87},{1;1.5;2;2.5;3;3.5;4;4.5;5;5.5;6;6.5;7;7.5;8;8.5;9;9.5},{6},6,1,6)</f>
        <v>0.699075315904993</v>
      </c>
      <c r="B26052" s="0" t="s">
        <v>25872</v>
      </c>
    </row>
    <row r="26053" customFormat="false" ht="15" hidden="false" customHeight="false" outlineLevel="0" collapsed="false">
      <c r="A26053" s="0" t="n">
        <f aca="false">_xlfn.FORECAST.ETS.SEASONALITY({38.8;71;30.7;53.77;52.99;62.57;46.8;89.51;39;65.3;63.5;75.3;56.01;103.06;44.5;76;76.43;87},{1;1.5;2;2.5;3;3.5;4;4.5;5;5.5;6;6.5;7;7.5;8;8.5;9;9.5},1)</f>
        <v>6</v>
      </c>
      <c r="B26053" s="0" t="s">
        <v>25873</v>
      </c>
    </row>
    <row r="26054" customFormat="false" ht="15" hidden="false" customHeight="false" outlineLevel="0" collapsed="false">
      <c r="A26054" s="0" t="n">
        <f aca="false">_xlfn.FORECAST.ETS(45009,{14.26;17;16.06;18.27;21;19.89;22;23;26.01},{45000;45001;45002;45003;45004;45005;45006;45007;45008},4,1,6)</f>
        <v>27.15</v>
      </c>
      <c r="B26054" s="0" t="s">
        <v>25874</v>
      </c>
    </row>
    <row r="26055" customFormat="false" ht="15" hidden="false" customHeight="false" outlineLevel="0" collapsed="false">
      <c r="A26055" s="0" t="n">
        <f aca="false">_xlfn.ORG.LIBREOFFICE.FORECAST.ETS.STAT.MULT({14.26;17;16.06;18.27;21;19.89;22;23;26.01},{45000;45001;45002;45003;45004;45005;45006;45007;45008},{3;6;9;7;4;5;8;2;1},4,1,6)</f>
        <v>0.75</v>
      </c>
      <c r="B26055" s="0" t="s">
        <v>25875</v>
      </c>
    </row>
    <row r="26056" customFormat="false" ht="15" hidden="false" customHeight="false" outlineLevel="0" collapsed="false">
      <c r="A26056" s="0" t="n">
        <f aca="false">_xlfn.FORECAST.ETS.SEASONALITY({14.26;17;16.06;18.27;21;19.89;22;23;26.01},{45000;45001;45002;45003;45004;45005;45006;45007;45008},1)</f>
        <v>3</v>
      </c>
      <c r="B26056" s="0" t="s">
        <v>25876</v>
      </c>
    </row>
    <row r="26057" customFormat="false" ht="15" hidden="false" customHeight="false" outlineLevel="0" collapsed="false">
      <c r="A26057" s="0" t="n">
        <f aca="false">_xlfn.ORG.LIBREOFFICE.FORECAST.ETS.PI.MULT(45010,{14.26;17;16.06;18.27;21;19.89;22;23;26.01},{45000;45001;45002;45003;45004;45005;45006;45007;45008},0,0,1)</f>
        <v>0</v>
      </c>
      <c r="B26057" s="0" t="s">
        <v>25877</v>
      </c>
    </row>
    <row r="26058" customFormat="false" ht="15" hidden="false" customHeight="false" outlineLevel="0" collapsed="false">
      <c r="A26058" s="0" t="e">
        <f aca="false">_xlfn.ORG.LIBREOFFICE.FORECAST.ETS.MULT({45137,45197},{21;21.5;21;21.48;21.48;21.48},{44926;44957;44985;45016;45046;45077},7,1)</f>
        <v>#VALUE!</v>
      </c>
      <c r="B26058" s="0" t="s">
        <v>25878</v>
      </c>
    </row>
    <row r="26059" customFormat="false" ht="15" hidden="false" customHeight="false" outlineLevel="0" collapsed="false">
      <c r="A26059" s="0" t="e">
        <f aca="false">_xlfn.ORG.LIBREOFFICE.FORECAST.ETS.STAT.MULT({21;21.5;21;21.48;21.48;21.48},{44926;44957;44985;45016;45046;45077},{1;3;9;7;2;5;8;4;6},7,1)</f>
        <v>#VALUE!</v>
      </c>
      <c r="B26059" s="0" t="s">
        <v>25879</v>
      </c>
    </row>
    <row r="26060" customFormat="false" ht="15" hidden="false" customHeight="false" outlineLevel="0" collapsed="false">
      <c r="A26060" s="0" t="e">
        <f aca="false">_xlfn.FORECAST.ETS.SEASONALITY({21;21.5;21;21.48;21.48;21.48},{44926;44957;44985;45016;45046;45077},1,3)</f>
        <v>#VALUE!</v>
      </c>
      <c r="B26060" s="0" t="s">
        <v>25880</v>
      </c>
    </row>
    <row r="26061" customFormat="false" ht="15" hidden="false" customHeight="false" outlineLevel="0" collapsed="false">
      <c r="A26061" s="0" t="n">
        <f aca="false">_xlfn.FORECAST.ETS(3.25,{16.7;17;16.72;17;17;16.72},{1;2;3;4;5;6},1,1)</f>
        <v>16.79</v>
      </c>
      <c r="B26061" s="0" t="s">
        <v>25881</v>
      </c>
    </row>
    <row r="26062" customFormat="false" ht="15" hidden="false" customHeight="false" outlineLevel="0" collapsed="false">
      <c r="A26062" s="0" t="n">
        <f aca="false">_xlfn.FORECAST.ETS.STAT({16.7;17;16.72;17;17;16.72},{1;2;3;4;5;6},{4;9;2;1;8;6;5;7;3},1,1)</f>
        <v>0.0952380952380624</v>
      </c>
      <c r="B26062" s="0" t="s">
        <v>25882</v>
      </c>
    </row>
    <row r="26063" customFormat="false" ht="15" hidden="false" customHeight="false" outlineLevel="0" collapsed="false">
      <c r="A26063" s="0" t="n">
        <f aca="false">_xlfn.FORECAST.ETS.SEASONALITY({16.7;17;16.72;17;17;16.72},{1;2;3;4;5;6},1)</f>
        <v>3</v>
      </c>
      <c r="B26063" s="0" t="s">
        <v>25883</v>
      </c>
    </row>
    <row r="26064" customFormat="false" ht="15" hidden="false" customHeight="false" outlineLevel="0" collapsed="false">
      <c r="A26064" s="0" t="n">
        <f aca="false">_xlfn.ORG.LIBREOFFICE.FORECAST.ETS.MULT({45022},{48.63;48.68;47.1;49.16;47.6;48.4;49.92;51;49.68;50.6;51.3;51.63;52.93;51.64;53.2;53;51.6;53;54.8},{45000;45001;45002;45003;45004;45005;45006;45007;45008;45009;45010;45011;45012;45013;45014;45015;45016;45017;45018})</f>
        <v>54.9667420453269</v>
      </c>
      <c r="B26064" s="0" t="s">
        <v>25884</v>
      </c>
    </row>
    <row r="26065" customFormat="false" ht="15" hidden="false" customHeight="false" outlineLevel="0" collapsed="false">
      <c r="A26065" s="0" t="n">
        <f aca="false">_xlfn.FORECAST.ETS.STAT({48.63;48.68;47.1;49.16;47.6;48.4;49.92;51;49.68;50.6;51.3;51.63;52.93;51.64;53.2;53;51.6;53;54.8},{45000;45001;45002;45003;45004;45005;45006;45007;45008;45009;45010;45011;45012;45013;45014;45015;45016;45017;45018},{8})</f>
        <v>1</v>
      </c>
      <c r="B26065" s="0" t="s">
        <v>25885</v>
      </c>
    </row>
    <row r="26066" customFormat="false" ht="15" hidden="false" customHeight="false" outlineLevel="0" collapsed="false">
      <c r="A26066" s="0" t="n">
        <f aca="false">_xlfn.FORECAST.ETS.SEASONALITY({48.63;48.68;47.1;49.16;47.6;48.4;49.92;51;49.68;50.6;51.3;51.63;52.93;51.64;53.2;53;51.6;53;54.8},{45000;45001;45002;45003;45004;45005;45006;45007;45008;45009;45010;45011;45012;45013;45014;45015;45016;45017;45018},1)</f>
        <v>5</v>
      </c>
      <c r="B26066" s="0" t="s">
        <v>25886</v>
      </c>
    </row>
    <row r="26067" customFormat="false" ht="15" hidden="false" customHeight="false" outlineLevel="0" collapsed="false">
      <c r="A26067" s="0" t="n">
        <f aca="false">_xlfn.ORG.LIBREOFFICE.FORECAST.ETS.MULT({13.5;13.5},{9.6;-17.48;-18.11;-10;-9.3;4;-5.58;-3.3;-1;11;-14;-16.4;2.7;-6.13;10.3;-10;1.64;-4.4;15.93;5.7;-1.38;12;12;2.77;-11},{2;13;12;10;9.5;5;7;8;9;2.5;11;12.5;6.5;8.5;3;11.5;5.5;7.5;1.5;3.5;6;1;4;4.5;10.5})</f>
        <v>-10.7450479012466</v>
      </c>
      <c r="B26067" s="0" t="s">
        <v>25887</v>
      </c>
    </row>
    <row r="26068" customFormat="false" ht="15" hidden="false" customHeight="false" outlineLevel="0" collapsed="false">
      <c r="A26068" s="0" t="n">
        <f aca="false">_xlfn.FORECAST.ETS.STAT({9.6;-17.48;-18.11;-10;-9.3;4;-5.58;-3.3;-1;11;-14;-16.4;2.7;-6.13;10.3;-10;1.64;-4.4;15.93;5.7;-1.38;12;12;2.77;-11},{2;13;12;10;9.5;5;7;8;9;2.5;11;12.5;6.5;8.5;3;11.5;5.5;7.5;1.5;3.5;6;1;4;4.5;10.5},{8})</f>
        <v>0.5</v>
      </c>
      <c r="B26068" s="0" t="s">
        <v>25888</v>
      </c>
    </row>
    <row r="26069" customFormat="false" ht="15" hidden="false" customHeight="false" outlineLevel="0" collapsed="false">
      <c r="A26069" s="0" t="n">
        <f aca="false">_xlfn.FORECAST.ETS.SEASONALITY({9.6;-17.48;-18.11;-10;-9.3;4;-5.58;-3.3;-1;11;-14;-16.4;2.7;-6.13;10.3;-10;1.64;-4.4;15.93;5.7;-1.38;12;12;2.77;-11},{2;13;12;10;9.5;5;7;8;9;2.5;11;12.5;6.5;8.5;3;11.5;5.5;7.5;1.5;3.5;6;1;4;4.5;10.5})</f>
        <v>10</v>
      </c>
      <c r="B26069" s="0" t="s">
        <v>25889</v>
      </c>
    </row>
    <row r="26070" customFormat="false" ht="15" hidden="false" customHeight="false" outlineLevel="0" collapsed="false">
      <c r="A26070" s="0" t="n">
        <f aca="false">_xlfn.ORG.LIBREOFFICE.FORECAST.ETS.PI.MULT(14.5,{9.6;-17.48;-18.11;-10;-9.3;4;-5.58;-3.3;-1;11;-14;-16.4;2.7;-6.13;10.3;-10;1.64;-4.4;15.93;5.7;-1.38;12;12;2.77;-11},{2;13;12;10;9.5;5;7;8;9;2.5;11;12.5;6.5;8.5;3;11.5;5.5;7.5;1.5;3.5;6;1;4;4.5;10.5},0.5,0,0)</f>
        <v>2.45811495995564</v>
      </c>
      <c r="B26070" s="0" t="s">
        <v>25890</v>
      </c>
    </row>
    <row r="26071" customFormat="false" ht="15" hidden="false" customHeight="false" outlineLevel="0" collapsed="false">
      <c r="A26071" s="0" t="n">
        <f aca="false">_xlfn.ORG.LIBREOFFICE.FORECAST.ETS.MULT({45022},{70;64.8;84;71;11;4;29;75.2;89;58.6;81.7;86;20.2;83;10.87;54.7;35.9;57;4},{45000;45001;45002;45003;45004;45005;45006;45007;45008;45009;45010;45011;45012;45013;45014;45015;45016;45017;45018},0)</f>
        <v>12.9113211547783</v>
      </c>
      <c r="B26071" s="0" t="s">
        <v>25891</v>
      </c>
    </row>
    <row r="26072" customFormat="false" ht="15" hidden="false" customHeight="false" outlineLevel="0" collapsed="false">
      <c r="A26072" s="0" t="n">
        <f aca="false">_xlfn.ORG.LIBREOFFICE.FORECAST.ETS.STAT.MULT({70;64.8;84;71;11;4;29;75.2;89;58.6;81.7;86;20.2;83;10.87;54.7;35.9;57;4},{45000;45001;45002;45003;45004;45005;45006;45007;45008;45009;45010;45011;45012;45013;45014;45015;45016;45017;45018},{3},0)</f>
        <v>0</v>
      </c>
      <c r="B26072" s="0" t="s">
        <v>25892</v>
      </c>
    </row>
    <row r="26073" customFormat="false" ht="15" hidden="false" customHeight="false" outlineLevel="0" collapsed="false">
      <c r="A26073" s="0" t="n">
        <f aca="false">_xlfn.FORECAST.ETS.SEASONALITY({70;64.8;84;71;11;4;29;75.2;89;58.6;81.7;86;20.2;83;10.87;54.7;35.9;57;4},{45000;45001;45002;45003;45004;45005;45006;45007;45008;45009;45010;45011;45012;45013;45014;45015;45016;45017;45018},1,5)</f>
        <v>6</v>
      </c>
      <c r="B26073" s="0" t="s">
        <v>25893</v>
      </c>
    </row>
    <row r="26074" customFormat="false" ht="15" hidden="false" customHeight="false" outlineLevel="0" collapsed="false">
      <c r="A26074" s="0" t="e">
        <f aca="false">_xlfn.ORG.LIBREOFFICE.FORECAST.ETS.MULT({45137,45197},{9.4;14;14.5;15;21;21.75},{44926;44957;44985;45016;45046;45077},3,1)</f>
        <v>#VALUE!</v>
      </c>
      <c r="B26074" s="0" t="s">
        <v>25894</v>
      </c>
    </row>
    <row r="26075" customFormat="false" ht="15" hidden="false" customHeight="false" outlineLevel="0" collapsed="false">
      <c r="A26075" s="0" t="e">
        <f aca="false">_xlfn.FORECAST.ETS.STAT({9.4;14;14.5;15;21;21.75},{44926;44957;44985;45016;45046;45077},{1},3,1)</f>
        <v>#VALUE!</v>
      </c>
      <c r="B26075" s="0" t="s">
        <v>25895</v>
      </c>
    </row>
    <row r="26076" customFormat="false" ht="15" hidden="false" customHeight="false" outlineLevel="0" collapsed="false">
      <c r="A26076" s="0" t="e">
        <f aca="false">_xlfn.FORECAST.ETS.SEASONALITY({9.4;14;14.5;15;21;21.75},{44926;44957;44985;45016;45046;45077},0)</f>
        <v>#VALUE!</v>
      </c>
      <c r="B26076" s="0" t="s">
        <v>25896</v>
      </c>
    </row>
    <row r="26077" customFormat="false" ht="15" hidden="false" customHeight="false" outlineLevel="0" collapsed="false">
      <c r="A26077" s="0" t="e">
        <f aca="false">_xlfn.FORECAST.ETS({45488;45563;45518},{12.49;12.5;12.49;12.5;12;12.49;12;12;12.5;12;12.5;12;12.49;12;12.5;12;12.5;12.49;12.5;12.5;12.5;12.5;12.5},{44804;44834;44865;44895;44926;44957;44985;45016;45046;45077;45107;45138;45169;45199;45230;45260;45291;45322;45351;45382;45412;45443;45473},1,1)</f>
        <v>#VALUE!</v>
      </c>
      <c r="B26077" s="0" t="s">
        <v>25897</v>
      </c>
    </row>
    <row r="26078" customFormat="false" ht="15" hidden="false" customHeight="false" outlineLevel="0" collapsed="false">
      <c r="A26078" s="0" t="e">
        <f aca="false">_xlfn.ORG.LIBREOFFICE.FORECAST.ETS.STAT.MULT({12.49;12.5;12.49;12.5;12;12.49;12;12;12.5;12;12.5;12;12.49;12;12.5;12;12.5;12.49;12.5;12.5;12.5;12.5;12.5},{44804;44834;44865;44895;44926;44957;44985;45016;45046;45077;45107;45138;45169;45199;45230;45260;45291;45322;45351;45382;45412;45443;45473},{4;2},1,1)</f>
        <v>#VALUE!</v>
      </c>
      <c r="B26078" s="0" t="s">
        <v>25898</v>
      </c>
    </row>
    <row r="26079" customFormat="false" ht="15" hidden="false" customHeight="false" outlineLevel="0" collapsed="false">
      <c r="A26079" s="0" t="e">
        <f aca="false">_xlfn.FORECAST.ETS.SEASONALITY({12.49;12.5;12.49;12.5;12;12.49;12;12;12.5;12;12.5;12;12.49;12;12.5;12;12.5;12.49;12.5;12.5;12.5;12.5;12.5},{44804;44834;44865;44895;44926;44957;44985;45016;45046;45077;45107;45138;45169;45199;45230;45260;45291;45322;45351;45382;45412;45443;45473},1,3)</f>
        <v>#VALUE!</v>
      </c>
      <c r="B26079" s="0" t="s">
        <v>25899</v>
      </c>
    </row>
    <row r="26080" customFormat="false" ht="15" hidden="false" customHeight="false" outlineLevel="0" collapsed="false">
      <c r="A26080" s="0" t="n">
        <f aca="false">_xlfn.ORG.LIBREOFFICE.FORECAST.ETS.MULT(208,{27;29.3;33.7;44.67;45;44.52;46;63;59.1;61;61.2;80;76;75.65;76;98.23;89.84;91;88.77;115.5},{3;13;23;33;43;53;63;73;83;93;103;113;123;133;143;153;163;173;183;193},0)</f>
        <v>113.995655654104</v>
      </c>
      <c r="B26080" s="0" t="s">
        <v>25900</v>
      </c>
    </row>
    <row r="26081" customFormat="false" ht="15" hidden="false" customHeight="false" outlineLevel="0" collapsed="false">
      <c r="A26081" s="0" t="n">
        <f aca="false">_xlfn.FORECAST.ETS.STAT({27;29.3;33.7;44.67;45;44.52;46;63;59.1;61;61.2;80;76;75.65;76;98.23;89.84;91;88.77;115.5},{3;13;23;33;43;53;63;73;83;93;103;113;123;133;143;153;163;173;183;193},{3;2},0)</f>
        <v>0</v>
      </c>
      <c r="B26081" s="0" t="s">
        <v>25901</v>
      </c>
    </row>
    <row r="26082" customFormat="false" ht="15" hidden="false" customHeight="false" outlineLevel="0" collapsed="false">
      <c r="A26082" s="0" t="n">
        <f aca="false">_xlfn.FORECAST.ETS.SEASONALITY({27;29.3;33.7;44.67;45;44.52;46;63;59.1;61;61.2;80;76;75.65;76;98.23;89.84;91;88.77;115.5},{3;13;23;33;43;53;63;73;83;93;103;113;123;133;143;153;163;173;183;193},0)</f>
        <v>4</v>
      </c>
      <c r="B26082" s="0" t="s">
        <v>25902</v>
      </c>
    </row>
    <row r="26083" customFormat="false" ht="15" hidden="false" customHeight="false" outlineLevel="0" collapsed="false">
      <c r="A26083" s="0" t="n">
        <f aca="false">_xlfn.ORG.LIBREOFFICE.FORECAST.ETS.PI.MULT({203;213;223},{27;29.3;33.7;44.67;45;44.52;46;63;59.1;61;61.2;80;76;75.65;76;98.23;89.84;91;88.77;115.5},{3;13;23;33;43;53;63;73;83;93;103;113;123;133;143;153;163;173;183;193},0.5,0,1,1)</f>
        <v>5.30430595473119</v>
      </c>
      <c r="B26083" s="0" t="s">
        <v>25903</v>
      </c>
    </row>
    <row r="26084" customFormat="false" ht="15" hidden="false" customHeight="false" outlineLevel="0" collapsed="false">
      <c r="A26084" s="0" t="e">
        <f aca="false">_xlfn.FORECAST.ETS({45167,45197},{31.8;31.8;32;31.8;31.8;32;31.8;32;32;31.8;31.8;31.8;31.8;31.8;32;31.8;31.8},{44592;44620;44651;44681;44712;44742;44773;44804;44834;44865;44895;44926;44957;44985;45016;45046;45077},0,,4)</f>
        <v>#VALUE!</v>
      </c>
      <c r="B26084" s="0" t="s">
        <v>25904</v>
      </c>
    </row>
    <row r="26085" customFormat="false" ht="15" hidden="false" customHeight="false" outlineLevel="0" collapsed="false">
      <c r="A26085" s="0" t="e">
        <f aca="false">_xlfn.FORECAST.ETS.STAT({31.8;31.8;32;31.8;31.8;32;31.8;32;32;31.8;31.8;31.8;31.8;31.8;32;31.8;31.8},{44592;44620;44651;44681;44712;44742;44773;44804;44834;44865;44895;44926;44957;44985;45016;45046;45077},{9;8},0,,4)</f>
        <v>#VALUE!</v>
      </c>
      <c r="B26085" s="0" t="s">
        <v>25905</v>
      </c>
    </row>
    <row r="26086" customFormat="false" ht="15" hidden="false" customHeight="false" outlineLevel="0" collapsed="false">
      <c r="A26086" s="0" t="e">
        <f aca="false">_xlfn.FORECAST.ETS.SEASONALITY({31.8;31.8;32;31.8;31.8;32;31.8;32;32;31.8;31.8;31.8;31.8;31.8;32;31.8;31.8},{44592;44620;44651;44681;44712;44742;44773;44804;44834;44865;44895;44926;44957;44985;45016;45046;45077},0,5)</f>
        <v>#VALUE!</v>
      </c>
      <c r="B26086" s="0" t="s">
        <v>25906</v>
      </c>
    </row>
    <row r="26087" customFormat="false" ht="15" hidden="false" customHeight="false" outlineLevel="0" collapsed="false">
      <c r="A26087" s="0" t="n">
        <f aca="false">_xlfn.FORECAST.ETS(6,{47;48.76;54.58;58.86;62.23;67;71.4;76;79},{1;1.5;2;2.5;3;3.5;4;4.5;5})</f>
        <v>88.3377426897794</v>
      </c>
      <c r="B26087" s="0" t="s">
        <v>25907</v>
      </c>
    </row>
    <row r="26088" customFormat="false" ht="15" hidden="false" customHeight="false" outlineLevel="0" collapsed="false">
      <c r="A26088" s="0" t="n">
        <f aca="false">_xlfn.ORG.LIBREOFFICE.FORECAST.ETS.STAT.MULT({47;48.76;54.58;58.86;62.23;67;71.4;76;79},{1;1.5;2;2.5;3;3.5;4;4.5;5},{4})</f>
        <v>0.126900935731407</v>
      </c>
      <c r="B26088" s="0" t="s">
        <v>25908</v>
      </c>
    </row>
    <row r="26089" customFormat="false" ht="15" hidden="false" customHeight="false" outlineLevel="0" collapsed="false">
      <c r="A26089" s="0" t="n">
        <f aca="false">_xlfn.FORECAST.ETS.SEASONALITY({47;48.76;54.58;58.86;62.23;67;71.4;76;79},{1;1.5;2;2.5;3;3.5;4;4.5;5},0)</f>
        <v>4</v>
      </c>
      <c r="B26089" s="0" t="s">
        <v>25909</v>
      </c>
    </row>
    <row r="26090" customFormat="false" ht="15" hidden="false" customHeight="false" outlineLevel="0" collapsed="false">
      <c r="A26090" s="0" t="n">
        <f aca="false">_xlfn.ORG.LIBREOFFICE.FORECAST.ETS.MULT(1.5,{20;18.4;19;19.74},{1;2;3;4})</f>
        <v>19.9566666666667</v>
      </c>
      <c r="B26090" s="0" t="s">
        <v>25910</v>
      </c>
    </row>
    <row r="26091" customFormat="false" ht="15" hidden="false" customHeight="false" outlineLevel="0" collapsed="false">
      <c r="A26091" s="0" t="n">
        <f aca="false">_xlfn.ORG.LIBREOFFICE.FORECAST.ETS.STAT.MULT({20;18.4;19;19.74},{1;2;3;4},{8;3;5;9;7;4;1;6;2})</f>
        <v>1</v>
      </c>
      <c r="B26091" s="0" t="s">
        <v>25911</v>
      </c>
    </row>
    <row r="26092" customFormat="false" ht="15" hidden="false" customHeight="false" outlineLevel="0" collapsed="false">
      <c r="A26092" s="0" t="n">
        <f aca="false">_xlfn.FORECAST.ETS.SEASONALITY({20;18.4;19;19.74},{1;2;3;4},1)</f>
        <v>1</v>
      </c>
      <c r="B26092" s="0" t="s">
        <v>25912</v>
      </c>
    </row>
    <row r="26093" customFormat="false" ht="15" hidden="false" customHeight="false" outlineLevel="0" collapsed="false">
      <c r="A26093" s="0" t="n">
        <f aca="false">_xlfn.ORG.LIBREOFFICE.FORECAST.ETS.MULT({8;6.5},{13;5;14.7;11.56;5;15;14.28},{1;2;3;4;5;5;6})</f>
        <v>4.54890820196566</v>
      </c>
      <c r="B26093" s="0" t="s">
        <v>25913</v>
      </c>
    </row>
    <row r="26094" customFormat="false" ht="15" hidden="false" customHeight="false" outlineLevel="0" collapsed="false">
      <c r="A26094" s="0" t="n">
        <f aca="false">_xlfn.ORG.LIBREOFFICE.FORECAST.ETS.STAT.MULT({13;5;14.7;11.56;5;15;14.28},{1;2;3;4;5;5;6},{6;9})</f>
        <v>0.272882533326741</v>
      </c>
      <c r="B26094" s="0" t="s">
        <v>25914</v>
      </c>
    </row>
    <row r="26095" customFormat="false" ht="15" hidden="false" customHeight="false" outlineLevel="0" collapsed="false">
      <c r="A26095" s="0" t="n">
        <f aca="false">_xlfn.FORECAST.ETS.SEASONALITY({13;5;14.7;11.56;5;15;14.28},{1;2;3;4;5;5;6},0)</f>
        <v>3</v>
      </c>
      <c r="B26095" s="0" t="s">
        <v>25915</v>
      </c>
    </row>
    <row r="26096" customFormat="false" ht="15" hidden="false" customHeight="false" outlineLevel="0" collapsed="false">
      <c r="A26096" s="0" t="e">
        <f aca="false">_xlfn.ORG.LIBREOFFICE.FORECAST.ETS.PI.MULT(8,{13;5;14.7;11.56;5;15;14.28},{1;2;3;4;5;5;6},1,0)</f>
        <v>#NUM!</v>
      </c>
      <c r="B26096" s="0" t="s">
        <v>25916</v>
      </c>
    </row>
    <row r="26097" customFormat="false" ht="15" hidden="false" customHeight="false" outlineLevel="0" collapsed="false">
      <c r="A26097" s="0" t="n">
        <f aca="false">_xlfn.FORECAST.ETS({37},{7.55;6;14;10.11;1;10;3;4.4;4;13;7.55;-2;10;2;5.9;5.8;10.7;9.45;-1;10.2;2.4;5;4;11.1;6.33;-2.37;8.8;1.67;3.4;4.3;9.3;5.9;-3.7;8;1.69},{1;2;3;4;5;6;7;8;9;10;11;12;13;14;15;16;17;18;19;20;21;22;23;24;25;26;27;28;29;30;31;32;33;34;35})</f>
        <v>2.75106221561327</v>
      </c>
      <c r="B26097" s="0" t="s">
        <v>25917</v>
      </c>
    </row>
    <row r="26098" customFormat="false" ht="15" hidden="false" customHeight="false" outlineLevel="0" collapsed="false">
      <c r="A26098" s="0" t="n">
        <f aca="false">_xlfn.FORECAST.ETS.STAT({7.55;6;14;10.11;1;10;3;4.4;4;13;7.55;-2;10;2;5.9;5.8;10.7;9.45;-1;10.2;2.4;5;4;11.1;6.33;-2.37;8.8;1.67;3.4;4.3;9.3;5.9;-3.7;8;1.69},{1;2;3;4;5;6;7;8;9;10;11;12;13;14;15;16;17;18;19;20;21;22;23;24;25;26;27;28;29;30;31;32;33;34;35},{4;1})</f>
        <v>0.0944989455584679</v>
      </c>
      <c r="B26098" s="0" t="s">
        <v>25918</v>
      </c>
    </row>
    <row r="26099" customFormat="false" ht="15" hidden="false" customHeight="false" outlineLevel="0" collapsed="false">
      <c r="A26099" s="0" t="n">
        <f aca="false">_xlfn.FORECAST.ETS.SEASONALITY({7.55;6;14;10.11;1;10;3;4.4;4;13;7.55;-2;10;2;5.9;5.8;10.7;9.45;-1;10.2;2.4;5;4;11.1;6.33;-2.37;8.8;1.67;3.4;4.3;9.3;5.9;-3.7;8;1.69},{1;2;3;4;5;6;7;8;9;10;11;12;13;14;15;16;17;18;19;20;21;22;23;24;25;26;27;28;29;30;31;32;33;34;35},0,4)</f>
        <v>14</v>
      </c>
      <c r="B26099" s="0" t="s">
        <v>25919</v>
      </c>
    </row>
    <row r="26100" customFormat="false" ht="15" hidden="false" customHeight="false" outlineLevel="0" collapsed="false">
      <c r="A26100" s="0" t="n">
        <f aca="false">_xlfn.ORG.LIBREOFFICE.FORECAST.ETS.MULT(1,{23;22.3;24.1;24.4;23.8;23.5;24.2;26;25;24.1;26;24;25;25;27;26.3;26.1;25.64;26.52},{1;1.5;2;2.5;3;3.5;4;4.5;5;5.5;6;6.5;7;7.5;8;8.5;9;9.5;10},0,1)</f>
        <v>23</v>
      </c>
      <c r="B26100" s="0" t="s">
        <v>25920</v>
      </c>
    </row>
    <row r="26101" customFormat="false" ht="15" hidden="false" customHeight="false" outlineLevel="0" collapsed="false">
      <c r="A26101" s="0" t="n">
        <f aca="false">_xlfn.FORECAST.ETS.STAT({23;22.3;24.1;24.4;23.8;23.5;24.2;26;25;24.1;26;24;25;25;27;26.3;26.1;25.64;26.52},{1;1.5;2;2.5;3;3.5;4;4.5;5;5.5;6;6.5;7;7.5;8;8.5;9;9.5;10},{7;4},0,1)</f>
        <v>0.764062135236434</v>
      </c>
      <c r="B26101" s="0" t="s">
        <v>25921</v>
      </c>
    </row>
    <row r="26102" customFormat="false" ht="15" hidden="false" customHeight="false" outlineLevel="0" collapsed="false">
      <c r="A26102" s="0" t="n">
        <f aca="false">_xlfn.FORECAST.ETS.SEASONALITY({23;22.3;24.1;24.4;23.8;23.5;24.2;26;25;24.1;26;24;25;25;27;26.3;26.1;25.64;26.52},{1;1.5;2;2.5;3;3.5;4;4.5;5;5.5;6;6.5;7;7.5;8;8.5;9;9.5;10},1)</f>
        <v>8</v>
      </c>
      <c r="B26102" s="0" t="s">
        <v>25922</v>
      </c>
    </row>
    <row r="26103" customFormat="false" ht="15" hidden="false" customHeight="false" outlineLevel="0" collapsed="false">
      <c r="A26103" s="0" t="n">
        <f aca="false">_xlfn.ORG.LIBREOFFICE.FORECAST.ETS.MULT(45229,{37.47;29;50.63;56.2;53.17;39.55;33.07;54.04;58;57;43.1;33.7;57.86;63;62.2;44.39;35;62.5;65.53;63},{44607;44635;44666;44696;44727;44757;44788;44819;44849;44880;44910;44941;44972;45000;45031;45061;45092;45122;45153;45184},1,0,1)</f>
        <v>42.6378776571364</v>
      </c>
      <c r="B26103" s="0" t="s">
        <v>25923</v>
      </c>
    </row>
    <row r="26104" customFormat="false" ht="15" hidden="false" customHeight="false" outlineLevel="0" collapsed="false">
      <c r="A26104" s="0" t="n">
        <f aca="false">_xlfn.FORECAST.ETS.STAT({37.47;29;50.63;56.2;53.17;39.55;33.07;54.04;58;57;43.1;33.7;57.86;63;62.2;44.39;35;62.5;65.53;63},{44607;44635;44666;44696;44727;44757;44788;44819;44849;44880;44910;44941;44972;45000;45031;45061;45092;45122;45153;45184},{9;8;7;3;5;4;1;2;6},1,0,1)</f>
        <v>5</v>
      </c>
      <c r="B26104" s="0" t="s">
        <v>25924</v>
      </c>
    </row>
    <row r="26105" customFormat="false" ht="15" hidden="false" customHeight="false" outlineLevel="0" collapsed="false">
      <c r="A26105" s="0" t="n">
        <f aca="false">_xlfn.FORECAST.ETS.SEASONALITY({37.47;29;50.63;56.2;53.17;39.55;33.07;54.04;58;57;43.1;33.7;57.86;63;62.2;44.39;35;62.5;65.53;63},{44607;44635;44666;44696;44727;44757;44788;44819;44849;44880;44910;44941;44972;45000;45031;45061;45092;45122;45153;45184},0,7)</f>
        <v>5</v>
      </c>
      <c r="B26105" s="0" t="s">
        <v>25925</v>
      </c>
    </row>
    <row r="26106" customFormat="false" ht="15" hidden="false" customHeight="false" outlineLevel="0" collapsed="false">
      <c r="A26106" s="0" t="n">
        <f aca="false">_xlfn.ORG.LIBREOFFICE.FORECAST.ETS.MULT(153,{7;12;16.99;22;25.43;30;35.37;47;49.84;56;60.4},{3;13;23;33;43;53;63;83;93;103;113},4)</f>
        <v>80.3108467696229</v>
      </c>
      <c r="B26106" s="0" t="s">
        <v>25926</v>
      </c>
    </row>
    <row r="26107" customFormat="false" ht="15" hidden="false" customHeight="false" outlineLevel="0" collapsed="false">
      <c r="A26107" s="0" t="n">
        <f aca="false">_xlfn.ORG.LIBREOFFICE.FORECAST.ETS.STAT.MULT({7;12;16.99;22;25.43;30;35.37;47;49.84;56;60.4},{3;13;23;33;43;53;63;83;93;103;113},{7},4)</f>
        <v>1.24692479723698</v>
      </c>
      <c r="B26107" s="0" t="s">
        <v>25927</v>
      </c>
    </row>
    <row r="26108" customFormat="false" ht="15" hidden="false" customHeight="false" outlineLevel="0" collapsed="false">
      <c r="A26108" s="0" t="n">
        <f aca="false">_xlfn.FORECAST.ETS.SEASONALITY({7;12;16.99;22;25.43;30;35.37;47;49.84;56;60.4},{3;13;23;33;43;53;63;83;93;103;113})</f>
        <v>5</v>
      </c>
      <c r="B26108" s="0" t="s">
        <v>25928</v>
      </c>
    </row>
    <row r="26109" customFormat="false" ht="15" hidden="false" customHeight="false" outlineLevel="0" collapsed="false">
      <c r="A26109" s="0" t="n">
        <f aca="false">_xlfn.ORG.LIBREOFFICE.FORECAST.ETS.PI.MULT({123;133;143},{7;12;16.99;22;25.43;30;35.37;47;49.84;56;60.4},{3;13;23;33;43;53;63;83;93;103;113},,0,1)</f>
        <v>1.42151390734525</v>
      </c>
      <c r="B26109" s="0" t="s">
        <v>25929</v>
      </c>
    </row>
    <row r="26110" customFormat="false" ht="15" hidden="false" customHeight="false" outlineLevel="0" collapsed="false">
      <c r="A26110" s="0" t="n">
        <f aca="false">_xlfn.ORG.LIBREOFFICE.FORECAST.ETS.MULT({9},{32;3;44.39;79;29.1;82.67;82;100;38;79.9;81.19;89.58;52.35;75.95},{1;1.5;2;2.5;2.5;3;3.5;4;4.5;5;5.5;6;6.5;7},2)</f>
        <v>129.269271775242</v>
      </c>
      <c r="B26110" s="0" t="s">
        <v>25930</v>
      </c>
    </row>
    <row r="26111" customFormat="false" ht="15" hidden="false" customHeight="false" outlineLevel="0" collapsed="false">
      <c r="A26111" s="0" t="n">
        <f aca="false">_xlfn.ORG.LIBREOFFICE.FORECAST.ETS.STAT.MULT({32;3;44.39;79;29.1;82.67;82;100;38;79.9;81.19;89.58;52.35;75.95},{1;1.5;2;2.5;2.5;3;3.5;4;4.5;5;5.5;6;6.5;7},{5;4;3;9;2;1;7;8;6},2)</f>
        <v>0.505507742098227</v>
      </c>
      <c r="B26111" s="0" t="s">
        <v>25931</v>
      </c>
    </row>
    <row r="26112" customFormat="false" ht="15" hidden="false" customHeight="false" outlineLevel="0" collapsed="false">
      <c r="A26112" s="0" t="n">
        <f aca="false">_xlfn.FORECAST.ETS.SEASONALITY({32;3;44.39;79;29.1;82.67;82;100;38;79.9;81.19;89.58;52.35;75.95},{1;1.5;2;2.5;2.5;3;3.5;4;4.5;5;5.5;6;6.5;7},1,5)</f>
        <v>6</v>
      </c>
      <c r="B26112" s="0" t="s">
        <v>25932</v>
      </c>
    </row>
    <row r="26113" customFormat="false" ht="15" hidden="false" customHeight="false" outlineLevel="0" collapsed="false">
      <c r="A26113" s="0" t="n">
        <f aca="false">_xlfn.ORG.LIBREOFFICE.FORECAST.ETS.PI.MULT(8.5,{32;3;44.39;79;29.1;82.67;82;100;38;79.9;81.19;89.58;52.35;75.95},{1;1.5;2;2.5;2.5;3;3.5;4;4.5;5;5.5;6;6.5;7},0,0)</f>
        <v>0</v>
      </c>
      <c r="B26113" s="0" t="s">
        <v>25933</v>
      </c>
    </row>
    <row r="26114" customFormat="false" ht="15" hidden="false" customHeight="false" outlineLevel="0" collapsed="false">
      <c r="A26114" s="0" t="e">
        <f aca="false">_xlfn.FORECAST.ETS(5.5,{24.2;24.2;24.23;24;24;24.2},{1;2;3;4;5;6},4)</f>
        <v>#VALUE!</v>
      </c>
      <c r="B26114" s="0" t="s">
        <v>25934</v>
      </c>
    </row>
    <row r="26115" customFormat="false" ht="15" hidden="false" customHeight="false" outlineLevel="0" collapsed="false">
      <c r="A26115" s="0" t="e">
        <f aca="false">_xlfn.FORECAST.ETS.STAT({24.2;24.2;24.23;24;24;24.2},{1;2;3;4;5;6},{6},4)</f>
        <v>#VALUE!</v>
      </c>
      <c r="B26115" s="0" t="s">
        <v>25935</v>
      </c>
    </row>
    <row r="26116" customFormat="false" ht="15" hidden="false" customHeight="false" outlineLevel="0" collapsed="false">
      <c r="A26116" s="0" t="n">
        <f aca="false">_xlfn.FORECAST.ETS.SEASONALITY({24.2;24.2;24.23;24;24;24.2},{1;2;3;4;5;6},1,7)</f>
        <v>3</v>
      </c>
      <c r="B26116" s="0" t="s">
        <v>25936</v>
      </c>
    </row>
    <row r="26117" customFormat="false" ht="15" hidden="false" customHeight="false" outlineLevel="0" collapsed="false">
      <c r="A26117" s="0" t="n">
        <f aca="false">_xlfn.ORG.LIBREOFFICE.FORECAST.ETS.PI.MULT({7;8;9},{24.2;24.2;24.23;24;24;24.2},{1;2;3;4;5;6},0.99,0,1,5)</f>
        <v>0.315707067320733</v>
      </c>
      <c r="B26117" s="0" t="s">
        <v>25937</v>
      </c>
    </row>
    <row r="26118" customFormat="false" ht="15" hidden="false" customHeight="false" outlineLevel="0" collapsed="false">
      <c r="A26118" s="0" t="n">
        <f aca="false">_xlfn.FORECAST.ETS(12,{27.1;31;35.17;37.42;41;45;48;49.41;52.1;54.8;58.3;63.35;65.6;68.61;71},{1;2;3;4;5;6;7;8;9;10;11;12;13;14;15},0,,6)</f>
        <v>63.35</v>
      </c>
      <c r="B26118" s="0" t="s">
        <v>25938</v>
      </c>
    </row>
    <row r="26119" customFormat="false" ht="15" hidden="false" customHeight="false" outlineLevel="0" collapsed="false">
      <c r="A26119" s="0" t="n">
        <f aca="false">_xlfn.FORECAST.ETS.STAT({27.1;31;35.17;37.42;41;45;48;49.41;52.1;54.8;58.3;63.35;65.6;68.61;71},{1;2;3;4;5;6;7;8;9;10;11;12;13;14;15},{8;9},0,,6)</f>
        <v>1</v>
      </c>
      <c r="B26119" s="0" t="s">
        <v>25939</v>
      </c>
    </row>
    <row r="26120" customFormat="false" ht="15" hidden="false" customHeight="false" outlineLevel="0" collapsed="false">
      <c r="A26120" s="0" t="n">
        <f aca="false">_xlfn.FORECAST.ETS.SEASONALITY({27.1;31;35.17;37.42;41;45;48;49.41;52.1;54.8;58.3;63.35;65.6;68.61;71},{1;2;3;4;5;6;7;8;9;10;11;12;13;14;15},0,3)</f>
        <v>6</v>
      </c>
      <c r="B26120" s="0" t="s">
        <v>25940</v>
      </c>
    </row>
    <row r="26121" customFormat="false" ht="15" hidden="false" customHeight="false" outlineLevel="0" collapsed="false">
      <c r="A26121" s="0" t="n">
        <f aca="false">_xlfn.ORG.LIBREOFFICE.FORECAST.ETS.MULT(38,{11.64;21.5;5.2;8.52;17.8;3.1;3.4;13;-4;-2;7;-7.2;-5.3;5;-10.25},{3;10;17;24;31;38;45;52;59;66;73;80;87;94;101},0,,6)</f>
        <v>3.1</v>
      </c>
      <c r="B26121" s="0" t="s">
        <v>25941</v>
      </c>
    </row>
    <row r="26122" customFormat="false" ht="15" hidden="false" customHeight="false" outlineLevel="0" collapsed="false">
      <c r="A26122" s="0" t="n">
        <f aca="false">_xlfn.ORG.LIBREOFFICE.FORECAST.ETS.STAT.MULT({11.64;21.5;5.2;8.52;17.8;3.1;3.4;13;-4;-2;7;-7.2;-5.3;5;-10.25},{3;10;17;24;31;38;45;52;59;66;73;80;87;94;101},{1},0,,6)</f>
        <v>0.125</v>
      </c>
      <c r="B26122" s="0" t="s">
        <v>25942</v>
      </c>
    </row>
    <row r="26123" customFormat="false" ht="15" hidden="false" customHeight="false" outlineLevel="0" collapsed="false">
      <c r="A26123" s="0" t="n">
        <f aca="false">_xlfn.FORECAST.ETS.SEASONALITY({11.64;21.5;5.2;8.52;17.8;3.1;3.4;13;-4;-2;7;-7.2;-5.3;5;-10.25},{3;10;17;24;31;38;45;52;59;66;73;80;87;94;101},0,6)</f>
        <v>6</v>
      </c>
      <c r="B26123" s="0" t="s">
        <v>25943</v>
      </c>
    </row>
    <row r="26124" customFormat="false" ht="15" hidden="false" customHeight="false" outlineLevel="0" collapsed="false">
      <c r="A26124" s="0" t="n">
        <f aca="false">_xlfn.FORECAST.ETS.CONFINT({108;115;122},{11.64;21.5;5.2;8.52;17.8;3.1;3.4;13;-4;-2;7;-7.2;-5.3;5;-10.25},{3;10;17;24;31;38;45;52;59;66;73;80;87;94;101},0.5,0)</f>
        <v>4.697823598581</v>
      </c>
      <c r="B26124" s="0" t="s">
        <v>25944</v>
      </c>
    </row>
    <row r="26125" customFormat="false" ht="15" hidden="false" customHeight="false" outlineLevel="0" collapsed="false">
      <c r="A26125" s="0" t="e">
        <f aca="false">_xlfn.ORG.LIBREOFFICE.FORECAST.ETS.MULT({45245,45350,45260},{19;15.11;28;20.08;35.8;41.8;36.33;48.89;41;57.48;62;61;70.72;64;79.38},{44804;44834;44865;44895;44926;44957;44985;45016;45046;45077;45107;45138;45169;45199;45230},5,,3)</f>
        <v>#VALUE!</v>
      </c>
      <c r="B26125" s="0" t="s">
        <v>25945</v>
      </c>
    </row>
    <row r="26126" customFormat="false" ht="15" hidden="false" customHeight="false" outlineLevel="0" collapsed="false">
      <c r="A26126" s="0" t="e">
        <f aca="false">_xlfn.ORG.LIBREOFFICE.FORECAST.ETS.STAT.MULT({19;15.11;28;20.08;35.8;41.8;36.33;48.89;41;57.48;62;61;70.72;64;79.38},{44804;44834;44865;44895;44926;44957;44985;45016;45046;45077;45107;45138;45169;45199;45230},{6;7},5,,3)</f>
        <v>#VALUE!</v>
      </c>
      <c r="B26126" s="0" t="s">
        <v>25946</v>
      </c>
    </row>
    <row r="26127" customFormat="false" ht="15" hidden="false" customHeight="false" outlineLevel="0" collapsed="false">
      <c r="A26127" s="0" t="e">
        <f aca="false">_xlfn.FORECAST.ETS.SEASONALITY({19;15.11;28;20.08;35.8;41.8;36.33;48.89;41;57.48;62;61;70.72;64;79.38},{44804;44834;44865;44895;44926;44957;44985;45016;45046;45077;45107;45138;45169;45199;45230},0,5)</f>
        <v>#VALUE!</v>
      </c>
      <c r="B26127" s="0" t="s">
        <v>25947</v>
      </c>
    </row>
    <row r="26128" customFormat="false" ht="15" hidden="false" customHeight="false" outlineLevel="0" collapsed="false">
      <c r="A26128" s="0" t="n">
        <f aca="false">_xlfn.FORECAST.ETS({31},{36.7;31.6;38;42.8;33;44.11;44.49;44.31;42.5;46.8;52.47;42;53.8;55;54.4;51.75;57;64;51.1;64;64.47;64;61;65;74.31;63.2;75;72},{1;2;3;4;5;6;7;8;9;10;11;12;13;14;15;16;17;18;19;20;21;22;23;24;25;26;27;28},1,0,2)</f>
        <v>75.2931605411762</v>
      </c>
      <c r="B26128" s="0" t="s">
        <v>25948</v>
      </c>
    </row>
    <row r="26129" customFormat="false" ht="15" hidden="false" customHeight="false" outlineLevel="0" collapsed="false">
      <c r="A26129" s="0" t="n">
        <f aca="false">_xlfn.ORG.LIBREOFFICE.FORECAST.ETS.STAT.MULT({36.7;31.6;38;42.8;33;44.11;44.49;44.31;42.5;46.8;52.47;42;53.8;55;54.4;51.75;57;64;51.1;64;64.47;64;61;65;74.31;63.2;75;72},{1;2;3;4;5;6;7;8;9;10;11;12;13;14;15;16;17;18;19;20;21;22;23;24;25;26;27;28},{6;4;7;8;3;9;5;1;2},1,0,2)</f>
        <v>0.851670012160511</v>
      </c>
      <c r="B26129" s="0" t="s">
        <v>25949</v>
      </c>
    </row>
    <row r="26130" customFormat="false" ht="15" hidden="false" customHeight="false" outlineLevel="0" collapsed="false">
      <c r="A26130" s="0" t="n">
        <f aca="false">_xlfn.FORECAST.ETS.SEASONALITY({36.7;31.6;38;42.8;33;44.11;44.49;44.31;42.5;46.8;52.47;42;53.8;55;54.4;51.75;57;64;51.1;64;64.47;64;61;65;74.31;63.2;75;72},{1;2;3;4;5;6;7;8;9;10;11;12;13;14;15;16;17;18;19;20;21;22;23;24;25;26;27;28})</f>
        <v>7</v>
      </c>
      <c r="B26130" s="0" t="s">
        <v>25950</v>
      </c>
    </row>
    <row r="26131" customFormat="false" ht="15" hidden="false" customHeight="false" outlineLevel="0" collapsed="false">
      <c r="A26131" s="0" t="n">
        <f aca="false">_xlfn.ORG.LIBREOFFICE.FORECAST.ETS.MULT({45380;45380},{14.02;11.99;12.2;12.6;14;12.3;12.9;12.2;12;13;13.79;12.4;12.82;12.9;12;11.1;13;11.68;11},{44801;44832;44862;44893;44923;44954;44985;45013;45044;45074;45105;45135;45166;45197;45227;45258;45288;45319;45350},2,,1)</f>
        <v>11.0421429320815</v>
      </c>
      <c r="B26131" s="0" t="s">
        <v>25951</v>
      </c>
    </row>
    <row r="26132" customFormat="false" ht="15" hidden="false" customHeight="false" outlineLevel="0" collapsed="false">
      <c r="A26132" s="0" t="n">
        <f aca="false">_xlfn.ORG.LIBREOFFICE.FORECAST.ETS.STAT.MULT({14.02;11.99;12.2;12.6;14;12.3;12.9;12.2;12;13;13.79;12.4;12.82;12.9;12;11.1;13;11.68;11},{44801;44832;44862;44893;44923;44954;44985;45013;45044;45074;45105;45135;45166;45197;45227;45258;45288;45319;45350},{4;9},2,,1)</f>
        <v>0.932031065347087</v>
      </c>
      <c r="B26132" s="0" t="s">
        <v>25952</v>
      </c>
    </row>
    <row r="26133" customFormat="false" ht="15" hidden="false" customHeight="false" outlineLevel="0" collapsed="false">
      <c r="A26133" s="0" t="n">
        <f aca="false">_xlfn.FORECAST.ETS.SEASONALITY({14.02;11.99;12.2;12.6;14;12.3;12.9;12.2;12;13;13.79;12.4;12.82;12.9;12;11.1;13;11.68;11},{44801;44832;44862;44893;44923;44954;44985;45013;45044;45074;45105;45135;45166;45197;45227;45258;45288;45319;45350})</f>
        <v>6</v>
      </c>
      <c r="B26133" s="0" t="s">
        <v>25953</v>
      </c>
    </row>
    <row r="26134" customFormat="false" ht="15" hidden="false" customHeight="false" outlineLevel="0" collapsed="false">
      <c r="A26134" s="0" t="n">
        <f aca="false">_xlfn.FORECAST.ETS({5.5,5.25},{78.43;61.69;49;53.3;37.2;33;41;69.4},{4;2;4.5;1;2.5;1.5;3.5;3},0,,2)</f>
        <v>47.7714285714286</v>
      </c>
      <c r="B26134" s="0" t="s">
        <v>25954</v>
      </c>
    </row>
    <row r="26135" customFormat="false" ht="15" hidden="false" customHeight="false" outlineLevel="0" collapsed="false">
      <c r="A26135" s="0" t="n">
        <f aca="false">_xlfn.ORG.LIBREOFFICE.FORECAST.ETS.STAT.MULT({78.43;61.69;49;53.3;37.2;33;41;69.4},{4;2;4.5;1;2.5;1.5;3.5;3},{5;1;4;6;7;8;2;3;9},0,,2)</f>
        <v>0.273039986469496</v>
      </c>
      <c r="B26135" s="0" t="s">
        <v>25955</v>
      </c>
    </row>
    <row r="26136" customFormat="false" ht="15" hidden="false" customHeight="false" outlineLevel="0" collapsed="false">
      <c r="A26136" s="0" t="n">
        <f aca="false">_xlfn.FORECAST.ETS.SEASONALITY({78.43;61.69;49;53.3;37.2;33;41;69.4},{4;2;4.5;1;2.5;1.5;3.5;3},1)</f>
        <v>2</v>
      </c>
      <c r="B26136" s="0" t="s">
        <v>25956</v>
      </c>
    </row>
    <row r="26137" customFormat="false" ht="15" hidden="false" customHeight="false" outlineLevel="0" collapsed="false">
      <c r="A26137" s="0" t="n">
        <f aca="false">_xlfn.FORECAST.ETS({6.75;8},{28.29;34.7;38;12;43;46.85;50;55;61.15;64.91;68.5;73;79},{1;1.5;2;2;2.5;3;3.5;4;4.5;5;5.5;6;6.5},4,1)</f>
        <v>80.4363404577887</v>
      </c>
      <c r="B26137" s="0" t="s">
        <v>25957</v>
      </c>
    </row>
    <row r="26138" customFormat="false" ht="15" hidden="false" customHeight="false" outlineLevel="0" collapsed="false">
      <c r="A26138" s="0" t="n">
        <f aca="false">_xlfn.FORECAST.ETS.STAT({28.29;34.7;38;12;43;46.85;50;55;61.15;64.91;68.5;73;79},{1;1.5;2;2;2.5;3;3.5;4;4.5;5;5.5;6;6.5},{7;5},4,1)</f>
        <v>0.78428502881951</v>
      </c>
      <c r="B26138" s="0" t="s">
        <v>25958</v>
      </c>
    </row>
    <row r="26139" customFormat="false" ht="15" hidden="false" customHeight="false" outlineLevel="0" collapsed="false">
      <c r="A26139" s="0" t="n">
        <f aca="false">_xlfn.FORECAST.ETS.SEASONALITY({28.29;34.7;38;12;43;46.85;50;55;61.15;64.91;68.5;73;79},{1;1.5;2;2;2.5;3;3.5;4;4.5;5;5.5;6;6.5},0,3)</f>
        <v>5</v>
      </c>
      <c r="B26139" s="0" t="s">
        <v>25959</v>
      </c>
    </row>
    <row r="26140" customFormat="false" ht="15" hidden="false" customHeight="false" outlineLevel="0" collapsed="false">
      <c r="A26140" s="0" t="n">
        <f aca="false">_xlfn.ORG.LIBREOFFICE.FORECAST.ETS.MULT({14,13},{49.5;87.2;16.9;91.7;51;96.6;64;96.84;66.5;61.83;41.5},{1;2;3;4;5;6;7;8;9;10;11},1,,4)</f>
        <v>20.5799763120223</v>
      </c>
      <c r="B26140" s="0" t="s">
        <v>25960</v>
      </c>
    </row>
    <row r="26141" customFormat="false" ht="15" hidden="false" customHeight="false" outlineLevel="0" collapsed="false">
      <c r="A26141" s="0" t="n">
        <f aca="false">_xlfn.FORECAST.ETS.STAT({49.5;87.2;16.9;91.7;51;96.6;64;96.84;66.5;61.83;41.5},{1;2;3;4;5;6;7;8;9;10;11},{6;4;8;2;1;3;9;7;5},1,,4)</f>
        <v>12.742169128418</v>
      </c>
      <c r="B26141" s="0" t="s">
        <v>25961</v>
      </c>
    </row>
    <row r="26142" customFormat="false" ht="15" hidden="false" customHeight="false" outlineLevel="0" collapsed="false">
      <c r="A26142" s="0" t="n">
        <f aca="false">_xlfn.FORECAST.ETS.SEASONALITY({49.5;87.2;16.9;91.7;51;96.6;64;96.84;66.5;61.83;41.5},{1;2;3;4;5;6;7;8;9;10;11})</f>
        <v>2</v>
      </c>
      <c r="B26142" s="0" t="s">
        <v>25962</v>
      </c>
    </row>
    <row r="26143" customFormat="false" ht="15" hidden="false" customHeight="false" outlineLevel="0" collapsed="false">
      <c r="A26143" s="0" t="n">
        <f aca="false">_xlfn.ORG.LIBREOFFICE.FORECAST.ETS.MULT({203},{44.9;41.3;38;51;50;41.28;42.89;34.4;30.87;47;31.4;52.5;45.9;37.3;32.4;35;27.81},{123;83;73;153;143;93;103;43;23;133;13;163;113;63;33;53;3},3,,5)</f>
        <v>59.8435174983704</v>
      </c>
      <c r="B26143" s="0" t="s">
        <v>25963</v>
      </c>
    </row>
    <row r="26144" customFormat="false" ht="15" hidden="false" customHeight="false" outlineLevel="0" collapsed="false">
      <c r="A26144" s="0" t="n">
        <f aca="false">_xlfn.FORECAST.ETS.STAT({44.9;41.3;38;51;50;41.28;42.89;34.4;30.87;47;31.4;52.5;45.9;37.3;32.4;35;27.81},{123;83;73;153;143;93;103;43;23;133;13;163;113;63;33;53;3},{5;3},3,,5)</f>
        <v>0.0153432544238536</v>
      </c>
      <c r="B26144" s="0" t="s">
        <v>25964</v>
      </c>
    </row>
    <row r="26145" customFormat="false" ht="15" hidden="false" customHeight="false" outlineLevel="0" collapsed="false">
      <c r="A26145" s="0" t="n">
        <f aca="false">_xlfn.FORECAST.ETS.SEASONALITY({44.9;41.3;38;51;50;41.28;42.89;34.4;30.87;47;31.4;52.5;45.9;37.3;32.4;35;27.81},{123;83;73;153;143;93;103;43;23;133;13;163;113;63;33;53;3},1)</f>
        <v>3</v>
      </c>
      <c r="B26145" s="0" t="s">
        <v>25965</v>
      </c>
    </row>
    <row r="26146" customFormat="false" ht="15" hidden="false" customHeight="false" outlineLevel="0" collapsed="false">
      <c r="A26146" s="0" t="n">
        <f aca="false">_xlfn.ORG.LIBREOFFICE.FORECAST.ETS.MULT(5,{34.27;34.27;34;34;34.27;34},{1.5;1;3;2;3.5;2.5},1,1)</f>
        <v>34.5417761970203</v>
      </c>
      <c r="B26146" s="0" t="s">
        <v>25966</v>
      </c>
    </row>
    <row r="26147" customFormat="false" ht="15" hidden="false" customHeight="false" outlineLevel="0" collapsed="false">
      <c r="A26147" s="0" t="n">
        <f aca="false">_xlfn.ORG.LIBREOFFICE.FORECAST.ETS.STAT.MULT({34.27;34.27;34;34;34.27;34},{1.5;1;3;2;3.5;2.5},{9;2},1,1)</f>
        <v>2</v>
      </c>
      <c r="B26147" s="0" t="s">
        <v>25967</v>
      </c>
    </row>
    <row r="26148" customFormat="false" ht="15" hidden="false" customHeight="false" outlineLevel="0" collapsed="false">
      <c r="A26148" s="0" t="n">
        <f aca="false">_xlfn.FORECAST.ETS.SEASONALITY({34.27;34.27;34;34;34.27;34},{1.5;1;3;2;3.5;2.5})</f>
        <v>2</v>
      </c>
      <c r="B26148" s="0" t="s">
        <v>25968</v>
      </c>
    </row>
    <row r="26149" customFormat="false" ht="15" hidden="false" customHeight="false" outlineLevel="0" collapsed="false">
      <c r="A26149" s="0" t="e">
        <f aca="false">_xlfn.FORECAST.ETS({45305,45350},{44.5;27;11.84;62.79;19;21;82.1;75.9;54.49;98.78;34.13;76.28;12.1;60.7;34.6;23.19;69.2;47;60;30.4},{44681;44712;44742;44773;44804;44834;44865;44895;44926;44957;44985;45016;45046;45077;45107;45138;45169;45199;45230;45260},2)</f>
        <v>#VALUE!</v>
      </c>
      <c r="B26149" s="0" t="s">
        <v>25969</v>
      </c>
    </row>
    <row r="26150" customFormat="false" ht="15" hidden="false" customHeight="false" outlineLevel="0" collapsed="false">
      <c r="A26150" s="0" t="e">
        <f aca="false">_xlfn.ORG.LIBREOFFICE.FORECAST.ETS.STAT.MULT({44.5;27;11.84;62.79;19;21;82.1;75.9;54.49;98.78;34.13;76.28;12.1;60.7;34.6;23.19;69.2;47;60;30.4},{44681;44712;44742;44773;44804;44834;44865;44895;44926;44957;44985;45016;45046;45077;45107;45138;45169;45199;45230;45260},{5;9;3;8;2;1;7;4;6},2)</f>
        <v>#VALUE!</v>
      </c>
      <c r="B26150" s="0" t="s">
        <v>25970</v>
      </c>
    </row>
    <row r="26151" customFormat="false" ht="15" hidden="false" customHeight="false" outlineLevel="0" collapsed="false">
      <c r="A26151" s="0" t="e">
        <f aca="false">_xlfn.FORECAST.ETS.SEASONALITY({44.5;27;11.84;62.79;19;21;82.1;75.9;54.49;98.78;34.13;76.28;12.1;60.7;34.6;23.19;69.2;47;60;30.4},{44681;44712;44742;44773;44804;44834;44865;44895;44926;44957;44985;45016;45046;45077;45107;45138;45169;45199;45230;45260},0)</f>
        <v>#VALUE!</v>
      </c>
      <c r="B26151" s="0" t="s">
        <v>25971</v>
      </c>
    </row>
    <row r="26152" customFormat="false" ht="15" hidden="false" customHeight="false" outlineLevel="0" collapsed="false">
      <c r="A26152" s="0" t="n">
        <f aca="false">_xlfn.FORECAST.ETS(1,{49.3;49.26;49.3;49.3;49;49;49.3;49},{1;2;3;4;5;6;7;8},3)</f>
        <v>49.3</v>
      </c>
      <c r="B26152" s="0" t="s">
        <v>25972</v>
      </c>
    </row>
    <row r="26153" customFormat="false" ht="15" hidden="false" customHeight="false" outlineLevel="0" collapsed="false">
      <c r="A26153" s="0" t="n">
        <f aca="false">_xlfn.ORG.LIBREOFFICE.FORECAST.ETS.STAT.MULT({49.3;49.26;49.3;49.3;49;49;49.3;49},{1;2;3;4;5;6;7;8},{6;4;1;9;3;7;2;8;5},3)</f>
        <v>0.107144628963768</v>
      </c>
      <c r="B26153" s="0" t="s">
        <v>25973</v>
      </c>
    </row>
    <row r="26154" customFormat="false" ht="15" hidden="false" customHeight="false" outlineLevel="0" collapsed="false">
      <c r="A26154" s="0" t="n">
        <f aca="false">_xlfn.FORECAST.ETS.SEASONALITY({49.3;49.26;49.3;49.3;49;49;49.3;49},{1;2;3;4;5;6;7;8},0)</f>
        <v>3</v>
      </c>
      <c r="B26154" s="0" t="s">
        <v>25974</v>
      </c>
    </row>
    <row r="26155" customFormat="false" ht="15" hidden="false" customHeight="false" outlineLevel="0" collapsed="false">
      <c r="A26155" s="0" t="n">
        <f aca="false">_xlfn.FORECAST.ETS({113},{14.14;14;14;14.14;14.1;14;14.14;14;14;14.14;14.14;14.1;14.14;14;14;14.14;14;14.1;14.14},{3;8;13;18;23;28;33;38;43;48;53;58;63;68;73;78;83;93;98},1,1)</f>
        <v>14.1490263729641</v>
      </c>
      <c r="B26155" s="0" t="s">
        <v>25975</v>
      </c>
    </row>
    <row r="26156" customFormat="false" ht="15" hidden="false" customHeight="false" outlineLevel="0" collapsed="false">
      <c r="A26156" s="0" t="n">
        <f aca="false">_xlfn.ORG.LIBREOFFICE.FORECAST.ETS.STAT.MULT({14.14;14;14;14.14;14.1;14;14.14;14;14;14.14;14.14;14.1;14.14;14;14;14.14;14;14.1;14.14},{3;8;13;18;23;28;33;38;43;48;53;58;63;68;73;78;83;93;98},{3},1,1)</f>
        <v>0.052734375</v>
      </c>
      <c r="B26156" s="0" t="s">
        <v>25976</v>
      </c>
    </row>
    <row r="26157" customFormat="false" ht="15" hidden="false" customHeight="false" outlineLevel="0" collapsed="false">
      <c r="A26157" s="0" t="n">
        <f aca="false">_xlfn.FORECAST.ETS.SEASONALITY({14.14;14;14;14.14;14.1;14;14.14;14;14;14.14;14.14;14.1;14.14;14;14;14.14;14;14.1;14.14},{3;8;13;18;23;28;33;38;43;48;53;58;63;68;73;78;83;93;98},1,5)</f>
        <v>6</v>
      </c>
      <c r="B26157" s="0" t="s">
        <v>25977</v>
      </c>
    </row>
    <row r="26158" customFormat="false" ht="15" hidden="false" customHeight="false" outlineLevel="0" collapsed="false">
      <c r="A26158" s="0" t="n">
        <f aca="false">_xlfn.ORG.LIBREOFFICE.FORECAST.ETS.MULT({248;262;248},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0,0)</f>
        <v>148.847941176471</v>
      </c>
      <c r="B26158" s="0" t="s">
        <v>25978</v>
      </c>
    </row>
    <row r="26159" customFormat="false" ht="15" hidden="false" customHeight="false" outlineLevel="0" collapsed="false">
      <c r="A26159" s="0" t="n">
        <f aca="false">_xlfn.ORG.LIBREOFFICE.FORECAST.ETS.STAT.MULT(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{1},0,0)</f>
        <v>0</v>
      </c>
      <c r="B26159" s="0" t="s">
        <v>25979</v>
      </c>
    </row>
    <row r="26160" customFormat="false" ht="15" hidden="false" customHeight="false" outlineLevel="0" collapsed="false">
      <c r="A26160" s="0" t="n">
        <f aca="false">_xlfn.FORECAST.ETS.SEASONALITY({14.17;14.18;30;29.4;37;21.59;36.41;33.47;64;63;74;40.9;63.2;67.7;55.24;102.1;96;108.57;60.2;91;94.02;76.47;140.4;128;144.8;78.59;119.54;121.85;97;177.36;161;181.9;98;145},{3;10;17;24;31;38;45;59;66;73;80;87;94;101;108;115;122;129;136;143;150;157;164;171;178;185;192;199;206;213;220;227;234;241},0,5)</f>
        <v>7</v>
      </c>
      <c r="B26160" s="0" t="s">
        <v>25980</v>
      </c>
    </row>
    <row r="26161" customFormat="false" ht="15" hidden="false" customHeight="false" outlineLevel="0" collapsed="false">
      <c r="A26161" s="0" t="n">
        <f aca="false">_xlfn.ORG.LIBREOFFICE.FORECAST.ETS.MULT(14.5,{78.82;81.2;78.39;82.08;68;27.8;82;92.7;46;66;87.8;49.5;73.1;33.1;1.44;11.5;45;96.6},{1;2;3;4;5;6;7;8;9;10;11;12;13;13;14;15;16;17})</f>
        <v>11.0033748848681</v>
      </c>
      <c r="B26161" s="0" t="s">
        <v>25981</v>
      </c>
    </row>
    <row r="26162" customFormat="false" ht="15" hidden="false" customHeight="false" outlineLevel="0" collapsed="false">
      <c r="A26162" s="0" t="n">
        <f aca="false">_xlfn.ORG.LIBREOFFICE.FORECAST.ETS.STAT.MULT({78.82;81.2;78.39;82.08;68;27.8;82;92.7;46;66;87.8;49.5;73.1;33.1;1.44;11.5;45;96.6},{1;2;3;4;5;6;7;8;9;10;11;12;13;13;14;15;16;17},{4})</f>
        <v>0.929737866903894</v>
      </c>
      <c r="B26162" s="0" t="s">
        <v>25982</v>
      </c>
    </row>
    <row r="26163" customFormat="false" ht="15" hidden="false" customHeight="false" outlineLevel="0" collapsed="false">
      <c r="A26163" s="0" t="n">
        <f aca="false">_xlfn.FORECAST.ETS.SEASONALITY({78.82;81.2;78.39;82.08;68;27.8;82;92.7;46;66;87.8;49.5;73.1;33.1;1.44;11.5;45;96.6},{1;2;3;4;5;6;7;8;9;10;11;12;13;13;14;15;16;17},1)</f>
        <v>3</v>
      </c>
      <c r="B26163" s="0" t="s">
        <v>25983</v>
      </c>
    </row>
    <row r="26164" customFormat="false" ht="15" hidden="false" customHeight="false" outlineLevel="0" collapsed="false">
      <c r="A26164" s="0" t="n">
        <f aca="false">_xlfn.ORG.LIBREOFFICE.FORECAST.ETS.MULT(22,{18.6;11;3;25;14.6;2.08;6.91;18;-3;13.9;-0.36;-1.92;21.94;6;10.18;26.7;25.16;22.99},{6;10;14;3;8;15;12;7;18;9;16;17;5;13;11;1;2;4},7,,1)</f>
        <v>-10.7216050987248</v>
      </c>
      <c r="B26164" s="0" t="s">
        <v>25984</v>
      </c>
    </row>
    <row r="26165" customFormat="false" ht="15" hidden="false" customHeight="false" outlineLevel="0" collapsed="false">
      <c r="A26165" s="0" t="n">
        <f aca="false">_xlfn.FORECAST.ETS.STAT({18.6;11;3;25;14.6;2.08;6.91;18;-3;13.9;-0.36;-1.92;21.94;6;10.18;26.7;25.16;22.99},{6;10;14;3;8;15;12;7;18;9;16;17;5;13;11;1;2;4},{8},7,,1)</f>
        <v>1</v>
      </c>
      <c r="B26165" s="0" t="s">
        <v>25985</v>
      </c>
    </row>
    <row r="26166" customFormat="false" ht="15" hidden="false" customHeight="false" outlineLevel="0" collapsed="false">
      <c r="A26166" s="0" t="n">
        <f aca="false">_xlfn.FORECAST.ETS.SEASONALITY({18.6;11;3;25;14.6;2.08;6.91;18;-3;13.9;-0.36;-1.92;21.94;6;10.18;26.7;25.16;22.99},{6;10;14;3;8;15;12;7;18;9;16;17;5;13;11;1;2;4})</f>
        <v>2</v>
      </c>
      <c r="B26166" s="0" t="s">
        <v>25986</v>
      </c>
    </row>
    <row r="26167" customFormat="false" ht="15" hidden="false" customHeight="false" outlineLevel="0" collapsed="false">
      <c r="A26167" s="0" t="n">
        <f aca="false">_xlfn.FORECAST.ETS({123},{41;47.12;49.4;42.46;42;48.88;44;45;51.78;55.4;49},{3;13;23;33;43;53;73;83;93;103;113},0,1)</f>
        <v>51.8112044167567</v>
      </c>
      <c r="B26167" s="0" t="s">
        <v>25987</v>
      </c>
    </row>
    <row r="26168" customFormat="false" ht="15" hidden="false" customHeight="false" outlineLevel="0" collapsed="false">
      <c r="A26168" s="0" t="n">
        <f aca="false">_xlfn.ORG.LIBREOFFICE.FORECAST.ETS.STAT.MULT({41;47.12;49.4;42.46;42;48.88;44;45;51.78;55.4;49},{3;13;23;33;43;53;73;83;93;103;113},{1;7},0,1)</f>
        <v>0.0625</v>
      </c>
      <c r="B26168" s="0" t="s">
        <v>25988</v>
      </c>
    </row>
    <row r="26169" customFormat="false" ht="15" hidden="false" customHeight="false" outlineLevel="0" collapsed="false">
      <c r="A26169" s="0" t="n">
        <f aca="false">_xlfn.FORECAST.ETS.SEASONALITY({41;47.12;49.4;42.46;42;48.88;44;45;51.78;55.4;49},{3;13;23;33;43;53;73;83;93;103;113})</f>
        <v>4</v>
      </c>
      <c r="B26169" s="0" t="s">
        <v>25989</v>
      </c>
    </row>
    <row r="26170" customFormat="false" ht="15" hidden="false" customHeight="false" outlineLevel="0" collapsed="false">
      <c r="A26170" s="0" t="n">
        <f aca="false">_xlfn.ORG.LIBREOFFICE.FORECAST.ETS.MULT({7.5;11;8},{42;41.9;42;41.93;42;41.9;41.9},{1;2;3;4;5;6;7},0)</f>
        <v>41.8916666666667</v>
      </c>
      <c r="B26170" s="0" t="s">
        <v>25990</v>
      </c>
    </row>
    <row r="26171" customFormat="false" ht="15" hidden="false" customHeight="false" outlineLevel="0" collapsed="false">
      <c r="A26171" s="0" t="n">
        <f aca="false">_xlfn.ORG.LIBREOFFICE.FORECAST.ETS.STAT.MULT({42;41.9;42;41.93;42;41.9;41.9},{1;2;3;4;5;6;7},{5},0)</f>
        <v>0.000873996643205144</v>
      </c>
      <c r="B26171" s="0" t="s">
        <v>25991</v>
      </c>
    </row>
    <row r="26172" customFormat="false" ht="15" hidden="false" customHeight="false" outlineLevel="0" collapsed="false">
      <c r="A26172" s="0" t="n">
        <f aca="false">_xlfn.FORECAST.ETS.SEASONALITY({42;41.9;42;41.93;42;41.9;41.9},{1;2;3;4;5;6;7},0)</f>
        <v>2</v>
      </c>
      <c r="B26172" s="0" t="s">
        <v>25992</v>
      </c>
    </row>
    <row r="26173" customFormat="false" ht="15" hidden="false" customHeight="false" outlineLevel="0" collapsed="false">
      <c r="A26173" s="0" t="n">
        <f aca="false">_xlfn.FORECAST.ETS.CONFINT({8;9;10},{42;41.9;42;41.93;42;41.9;41.9},{1;2;3;4;5;6;7},0.9,0,0)</f>
        <v>0.0770855049130411</v>
      </c>
      <c r="B26173" s="0" t="s">
        <v>25993</v>
      </c>
    </row>
    <row r="26174" customFormat="false" ht="15" hidden="false" customHeight="false" outlineLevel="0" collapsed="false">
      <c r="A26174" s="0" t="n">
        <f aca="false">_xlfn.FORECAST.ETS(15.25,{48.97;48.97;48.97;49;49;49;48.97;49;48.97;49;49;48.97;49;49;49;48.97;48.97},{1;2;3;4;5;6;7;8;9;10;11;12;13;14;15;16;17},0)</f>
        <v>48.9994561767578</v>
      </c>
      <c r="B26174" s="0" t="s">
        <v>25994</v>
      </c>
    </row>
    <row r="26175" customFormat="false" ht="15" hidden="false" customHeight="false" outlineLevel="0" collapsed="false">
      <c r="A26175" s="0" t="n">
        <f aca="false">_xlfn.ORG.LIBREOFFICE.FORECAST.ETS.STAT.MULT({48.97;48.97;48.97;49;49;49;48.97;49;48.97;49;49;48.97;49;49;49;48.97;48.97},{1;2;3;4;5;6;7;8;9;10;11;12;13;14;15;16;17},{1},0)</f>
        <v>0.5</v>
      </c>
      <c r="B26175" s="0" t="s">
        <v>25995</v>
      </c>
    </row>
    <row r="26176" customFormat="false" ht="15" hidden="false" customHeight="false" outlineLevel="0" collapsed="false">
      <c r="A26176" s="0" t="n">
        <f aca="false">_xlfn.FORECAST.ETS.SEASONALITY({48.97;48.97;48.97;49;49;49;48.97;49;48.97;49;49;48.97;49;49;49;48.97;48.97},{1;2;3;4;5;6;7;8;9;10;11;12;13;14;15;16;17},0)</f>
        <v>2</v>
      </c>
      <c r="B26176" s="0" t="s">
        <v>25996</v>
      </c>
    </row>
    <row r="26177" customFormat="false" ht="15" hidden="false" customHeight="false" outlineLevel="0" collapsed="false">
      <c r="A26177" s="0" t="n">
        <f aca="false">_xlfn.FORECAST.ETS({8.75;9.5},{17.19;12;25.53;30.2;22.8;38;37;50.27;54.71;50.1;63;69.8;61.7;76.6},{1;1.5;2;2.5;3;3.5;4.5;5;5.5;6;6.5;7;7.5;8},3)</f>
        <v>77.4524306458922</v>
      </c>
      <c r="B26177" s="0" t="s">
        <v>25997</v>
      </c>
    </row>
    <row r="26178" customFormat="false" ht="15" hidden="false" customHeight="false" outlineLevel="0" collapsed="false">
      <c r="A26178" s="0" t="n">
        <f aca="false">_xlfn.ORG.LIBREOFFICE.FORECAST.ETS.STAT.MULT({17.19;12;25.53;30.2;22.8;38;37;50.27;54.71;50.1;63;69.8;61.7;76.6},{1;1.5;2;2.5;3;3.5;4.5;5;5.5;6;6.5;7;7.5;8},{7;5},3)</f>
        <v>2.94351338583233</v>
      </c>
      <c r="B26178" s="0" t="s">
        <v>25998</v>
      </c>
    </row>
    <row r="26179" customFormat="false" ht="15" hidden="false" customHeight="false" outlineLevel="0" collapsed="false">
      <c r="A26179" s="0" t="n">
        <f aca="false">_xlfn.FORECAST.ETS.SEASONALITY({17.19;12;25.53;30.2;22.8;38;37;50.27;54.71;50.1;63;69.8;61.7;76.6},{1;1.5;2;2.5;3;3.5;4.5;5;5.5;6;6.5;7;7.5;8})</f>
        <v>3</v>
      </c>
      <c r="B26179" s="0" t="s">
        <v>25999</v>
      </c>
    </row>
    <row r="26180" customFormat="false" ht="15" hidden="false" customHeight="false" outlineLevel="0" collapsed="false">
      <c r="A26180" s="0" t="n">
        <f aca="false">_xlfn.FORECAST.ETS.CONFINT({8.5;9;9.5},{17.19;12;25.53;30.2;22.8;38;37;50.27;54.71;50.1;63;69.8;61.7;76.6},{1;1.5;2;2.5;3;3.5;4.5;5;5.5;6;6.5;7;7.5;8},0.9,0,0)</f>
        <v>20.1809373270864</v>
      </c>
      <c r="B26180" s="0" t="s">
        <v>26000</v>
      </c>
    </row>
    <row r="26181" customFormat="false" ht="15" hidden="false" customHeight="false" outlineLevel="0" collapsed="false">
      <c r="A26181" s="0" t="n">
        <f aca="false">_xlfn.FORECAST.ETS(16,{47;31;67.52;43.66;59.83;37.49;82.1;55.6;71.5;45.9;99.73;65.3},{1;2;3;4;5;6;7;8;9;10;11;12},1,1,1)</f>
        <v>78.52</v>
      </c>
      <c r="B26181" s="0" t="s">
        <v>26001</v>
      </c>
    </row>
    <row r="26182" customFormat="false" ht="15" hidden="false" customHeight="false" outlineLevel="0" collapsed="false">
      <c r="A26182" s="0" t="n">
        <f aca="false">_xlfn.FORECAST.ETS.STAT({47;31;67.52;43.66;59.83;37.49;82.1;55.6;71.5;45.9;99.73;65.3},{1;2;3;4;5;6;7;8;9;10;11;12},{6;1},1,1,1)</f>
        <v>1.79636363636364</v>
      </c>
      <c r="B26182" s="0" t="s">
        <v>26002</v>
      </c>
    </row>
    <row r="26183" customFormat="false" ht="15" hidden="false" customHeight="false" outlineLevel="0" collapsed="false">
      <c r="A26183" s="0" t="n">
        <f aca="false">_xlfn.FORECAST.ETS.SEASONALITY({47;31;67.52;43.66;59.83;37.49;82.1;55.6;71.5;45.9;99.73;65.3},{1;2;3;4;5;6;7;8;9;10;11;12},1)</f>
        <v>4</v>
      </c>
      <c r="B26183" s="0" t="s">
        <v>26003</v>
      </c>
    </row>
    <row r="26184" customFormat="false" ht="15" hidden="false" customHeight="false" outlineLevel="0" collapsed="false">
      <c r="A26184" s="0" t="n">
        <f aca="false">_xlfn.ORG.LIBREOFFICE.FORECAST.ETS.MULT({45011.5;45012},{22;22;24.21;23.26;24.67;25.49;25.89;27.9;27.77;30.06;31.2;33.5;32},{45000;45001;45002;45003;45004;45005;45006;45007;45008;45009;45010;45010;45011},0)</f>
        <v>32.2091651234942</v>
      </c>
      <c r="B26184" s="0" t="s">
        <v>26004</v>
      </c>
    </row>
    <row r="26185" customFormat="false" ht="15" hidden="false" customHeight="false" outlineLevel="0" collapsed="false">
      <c r="A26185" s="0" t="n">
        <f aca="false">_xlfn.FORECAST.ETS.STAT({22;22;24.21;23.26;24.67;25.49;25.89;27.9;27.77;30.06;31.2;33.5;32},{45000;45001;45002;45003;45004;45005;45006;45007;45008;45009;45010;45010;45011},{7;5},0)</f>
        <v>0.784763586010278</v>
      </c>
      <c r="B26185" s="0" t="s">
        <v>26005</v>
      </c>
    </row>
    <row r="26186" customFormat="false" ht="15" hidden="false" customHeight="false" outlineLevel="0" collapsed="false">
      <c r="A26186" s="0" t="n">
        <f aca="false">_xlfn.FORECAST.ETS.SEASONALITY({22;22;24.21;23.26;24.67;25.49;25.89;27.9;27.77;30.06;31.2;33.5;32},{45000;45001;45002;45003;45004;45005;45006;45007;45008;45009;45010;45010;45011},1)</f>
        <v>5</v>
      </c>
      <c r="B26186" s="0" t="s">
        <v>26006</v>
      </c>
    </row>
    <row r="26187" customFormat="false" ht="15" hidden="false" customHeight="false" outlineLevel="0" collapsed="false">
      <c r="A26187" s="0" t="n">
        <f aca="false">_xlfn.FORECAST.ETS({44879;44939},{35;35;35.2;35.2},{44757;44788;44819;44849},1,1,6)</f>
        <v>35.3933333333335</v>
      </c>
      <c r="B26187" s="0" t="s">
        <v>26007</v>
      </c>
    </row>
    <row r="26188" customFormat="false" ht="15" hidden="false" customHeight="false" outlineLevel="0" collapsed="false">
      <c r="A26188" s="0" t="n">
        <f aca="false">_xlfn.FORECAST.ETS.STAT({35;35;35.2;35.2},{44757;44788;44819;44849},{3;5;2;6;7;1;9;8;4},1,1,6)</f>
        <v>0</v>
      </c>
      <c r="B26188" s="0" t="s">
        <v>26008</v>
      </c>
    </row>
    <row r="26189" customFormat="false" ht="15" hidden="false" customHeight="false" outlineLevel="0" collapsed="false">
      <c r="A26189" s="0" t="n">
        <f aca="false">_xlfn.FORECAST.ETS.SEASONALITY({35;35;35.2;35.2},{44757;44788;44819;44849},1)</f>
        <v>2</v>
      </c>
      <c r="B26189" s="0" t="s">
        <v>26009</v>
      </c>
    </row>
    <row r="26190" customFormat="false" ht="15" hidden="false" customHeight="false" outlineLevel="0" collapsed="false">
      <c r="A26190" s="0" t="n">
        <f aca="false">_xlfn.FORECAST.ETS({23;23;19.5},{14.08;99;33.2;52;53.48;27;20.26;26.91;1.44;77.4;2.7;49.4;31.7;69;60.8;90;81.03;10.62;72},{1;2;3;4;5;6;7;8;9;10;11;12;13;14;15;16;17;18;19},2)</f>
        <v>52.6823751359983</v>
      </c>
      <c r="B26190" s="0" t="s">
        <v>26010</v>
      </c>
    </row>
    <row r="26191" customFormat="false" ht="15" hidden="false" customHeight="false" outlineLevel="0" collapsed="false">
      <c r="A26191" s="0" t="n">
        <f aca="false">_xlfn.FORECAST.ETS.STAT({14.08;99;33.2;52;53.48;27;20.26;26.91;1.44;77.4;2.7;49.4;31.7;69;60.8;90;81.03;10.62;72},{1;2;3;4;5;6;7;8;9;10;11;12;13;14;15;16;17;18;19},{7;1;9;5;4;6;2;8;3},2)</f>
        <v>32.3665484623233</v>
      </c>
      <c r="B26191" s="0" t="s">
        <v>26011</v>
      </c>
    </row>
    <row r="26192" customFormat="false" ht="15" hidden="false" customHeight="false" outlineLevel="0" collapsed="false">
      <c r="A26192" s="0" t="n">
        <f aca="false">_xlfn.FORECAST.ETS.SEASONALITY({14.08;99;33.2;52;53.48;27;20.26;26.91;1.44;77.4;2.7;49.4;31.7;69;60.8;90;81.03;10.62;72},{1;2;3;4;5;6;7;8;9;10;11;12;13;14;15;16;17;18;19})</f>
        <v>7</v>
      </c>
      <c r="B26192" s="0" t="s">
        <v>26012</v>
      </c>
    </row>
    <row r="26193" customFormat="false" ht="15" hidden="false" customHeight="false" outlineLevel="0" collapsed="false">
      <c r="A26193" s="0" t="n">
        <f aca="false">_xlfn.ORG.LIBREOFFICE.FORECAST.ETS.MULT({4.5,3.75},{15;13.7;23.1;21.7;30;26.1},{1;1.5;2;2.5;3;3.5})</f>
        <v>35.2037060713949</v>
      </c>
      <c r="B26193" s="0" t="s">
        <v>26013</v>
      </c>
    </row>
    <row r="26194" customFormat="false" ht="15" hidden="false" customHeight="false" outlineLevel="0" collapsed="false">
      <c r="A26194" s="0" t="n">
        <f aca="false">_xlfn.ORG.LIBREOFFICE.FORECAST.ETS.STAT.MULT({15;13.7;23.1;21.7;30;26.1},{1;1.5;2;2.5;3;3.5},{3})</f>
        <v>0.7880859375</v>
      </c>
      <c r="B26194" s="0" t="s">
        <v>26014</v>
      </c>
    </row>
    <row r="26195" customFormat="false" ht="15" hidden="false" customHeight="false" outlineLevel="0" collapsed="false">
      <c r="A26195" s="0" t="n">
        <f aca="false">_xlfn.FORECAST.ETS.SEASONALITY({15;13.7;23.1;21.7;30;26.1},{1;1.5;2;2.5;3;3.5})</f>
        <v>2</v>
      </c>
      <c r="B26195" s="0" t="s">
        <v>26015</v>
      </c>
    </row>
    <row r="26196" customFormat="false" ht="15" hidden="false" customHeight="false" outlineLevel="0" collapsed="false">
      <c r="A26196" s="0" t="n">
        <f aca="false">_xlfn.ORG.LIBREOFFICE.FORECAST.ETS.MULT(5,{47.4;34.14;25;29;45;36},{3.5;1;1.5;3;2;2.5},1,0)</f>
        <v>51.8722359177624</v>
      </c>
      <c r="B26196" s="0" t="s">
        <v>26016</v>
      </c>
    </row>
    <row r="26197" customFormat="false" ht="15" hidden="false" customHeight="false" outlineLevel="0" collapsed="false">
      <c r="A26197" s="0" t="n">
        <f aca="false">_xlfn.FORECAST.ETS.STAT({47.4;34.14;25;29;45;36},{3.5;1;1.5;3;2;2.5},{4},1,0)</f>
        <v>0.0235294117647059</v>
      </c>
      <c r="B26197" s="0" t="s">
        <v>26017</v>
      </c>
    </row>
    <row r="26198" customFormat="false" ht="15" hidden="false" customHeight="false" outlineLevel="0" collapsed="false">
      <c r="A26198" s="0" t="n">
        <f aca="false">_xlfn.FORECAST.ETS.SEASONALITY({47.4;34.14;25;29;45;36},{3.5;1;1.5;3;2;2.5})</f>
        <v>3</v>
      </c>
      <c r="B26198" s="0" t="s">
        <v>26018</v>
      </c>
    </row>
    <row r="26199" customFormat="false" ht="15" hidden="false" customHeight="false" outlineLevel="0" collapsed="false">
      <c r="A26199" s="0" t="e">
        <f aca="false">_xlfn.FORECAST.ETS({45533,45488,45458},{25.1;21.8;37.6;93.13;75.33;62.6;52.6;24;11;60.2;9.9;45.7;3.9;14;28;81;83;16.29;21.65;81.9;27.9;78;71.1;97.18},{44742;44773;44804;44834;44865;44895;44926;44957;44985;45016;45046;45077;45107;45138;45169;45199;45230;45260;45291;45322;45351;45382;45412;45443})</f>
        <v>#VALUE!</v>
      </c>
      <c r="B26199" s="0" t="s">
        <v>26019</v>
      </c>
    </row>
    <row r="26200" customFormat="false" ht="15" hidden="false" customHeight="false" outlineLevel="0" collapsed="false">
      <c r="A26200" s="0" t="e">
        <f aca="false">_xlfn.FORECAST.ETS.STAT({25.1;21.8;37.6;93.13;75.33;62.6;52.6;24;11;60.2;9.9;45.7;3.9;14;28;81;83;16.29;21.65;81.9;27.9;78;71.1;97.18},{44742;44773;44804;44834;44865;44895;44926;44957;44985;45016;45046;45077;45107;45138;45169;45199;45230;45260;45291;45322;45351;45382;45412;45443},{6})</f>
        <v>#VALUE!</v>
      </c>
      <c r="B26200" s="0" t="s">
        <v>26020</v>
      </c>
    </row>
    <row r="26201" customFormat="false" ht="15" hidden="false" customHeight="false" outlineLevel="0" collapsed="false">
      <c r="A26201" s="0" t="e">
        <f aca="false">_xlfn.FORECAST.ETS.SEASONALITY({25.1;21.8;37.6;93.13;75.33;62.6;52.6;24;11;60.2;9.9;45.7;3.9;14;28;81;83;16.29;21.65;81.9;27.9;78;71.1;97.18},{44742;44773;44804;44834;44865;44895;44926;44957;44985;45016;45046;45077;45107;45138;45169;45199;45230;45260;45291;45322;45351;45382;45412;45443})</f>
        <v>#VALUE!</v>
      </c>
      <c r="B26201" s="0" t="s">
        <v>26021</v>
      </c>
    </row>
    <row r="26202" customFormat="false" ht="15" hidden="false" customHeight="false" outlineLevel="0" collapsed="false">
      <c r="A26202" s="0" t="n">
        <f aca="false">_xlfn.FORECAST.ETS({45501;45486},{19.01;21.6;29;31;36;39.8;46.5;48.09;55.7;57;62;66;72;72.5;80.5;81.85;88.84;90;98.5;99.6},{44893;44923;44954;44985;45013;45044;45074;45105;45135;45166;45197;45227;45258;45288;45319;45350;45379;45410;45440;45471},4,,2)</f>
        <v>106.440020357833</v>
      </c>
      <c r="B26202" s="0" t="s">
        <v>26022</v>
      </c>
    </row>
    <row r="26203" customFormat="false" ht="15" hidden="false" customHeight="false" outlineLevel="0" collapsed="false">
      <c r="A26203" s="0" t="n">
        <f aca="false">_xlfn.ORG.LIBREOFFICE.FORECAST.ETS.STAT.MULT({19.01;21.6;29;31;36;39.8;46.5;48.09;55.7;57;62;66;72;72.5;80.5;81.85;88.84;90;98.5;99.6},{44893;44923;44954;44985;45013;45044;45074;45105;45135;45166;45197;45227;45258;45288;45319;45350;45379;45410;45440;45471},{7;8;2;3;9;5;4;1;6},4,,2)</f>
        <v>1.20138558502149</v>
      </c>
      <c r="B26203" s="0" t="s">
        <v>26023</v>
      </c>
    </row>
    <row r="26204" customFormat="false" ht="15" hidden="false" customHeight="false" outlineLevel="0" collapsed="false">
      <c r="A26204" s="0" t="n">
        <f aca="false">_xlfn.FORECAST.ETS.SEASONALITY({19.01;21.6;29;31;36;39.8;46.5;48.09;55.7;57;62;66;72;72.5;80.5;81.85;88.84;90;98.5;99.6},{44893;44923;44954;44985;45013;45044;45074;45105;45135;45166;45197;45227;45258;45288;45319;45350;45379;45410;45440;45471},1,7)</f>
        <v>6</v>
      </c>
      <c r="B26204" s="0" t="s">
        <v>26024</v>
      </c>
    </row>
    <row r="26205" customFormat="false" ht="15" hidden="false" customHeight="false" outlineLevel="0" collapsed="false">
      <c r="A26205" s="0" t="n">
        <f aca="false">_xlfn.ORG.LIBREOFFICE.FORECAST.ETS.MULT(6.25,{56;58;21.7;22.3;72.26;26.43;15.62;83.4;27.5;23;22.3;30;68.9;51.18;54.64;59.49},{1;1.5;2;2.5;3;3.5;4;4.5;5;5.5;6;7;7.5;8;8.5;9},1)</f>
        <v>22.9105915731621</v>
      </c>
      <c r="B26205" s="0" t="s">
        <v>26025</v>
      </c>
    </row>
    <row r="26206" customFormat="false" ht="15" hidden="false" customHeight="false" outlineLevel="0" collapsed="false">
      <c r="A26206" s="0" t="n">
        <f aca="false">_xlfn.ORG.LIBREOFFICE.FORECAST.ETS.STAT.MULT({56;58;21.7;22.3;72.26;26.43;15.62;83.4;27.5;23;22.3;30;68.9;51.18;54.64;59.49},{1;1.5;2;2.5;3;3.5;4;4.5;5;5.5;6;7;7.5;8;8.5;9},{6;9;3;8;2;1;7;5;4},1)</f>
        <v>12.737476948283</v>
      </c>
      <c r="B26206" s="0" t="s">
        <v>26026</v>
      </c>
    </row>
    <row r="26207" customFormat="false" ht="15" hidden="false" customHeight="false" outlineLevel="0" collapsed="false">
      <c r="A26207" s="0" t="n">
        <f aca="false">_xlfn.FORECAST.ETS.SEASONALITY({56;58;21.7;22.3;72.26;26.43;15.62;83.4;27.5;23;22.3;30;68.9;51.18;54.64;59.49},{1;1.5;2;2.5;3;3.5;4;4.5;5;5.5;6;7;7.5;8;8.5;9},1,7)</f>
        <v>6</v>
      </c>
      <c r="B26207" s="0" t="s">
        <v>26027</v>
      </c>
    </row>
    <row r="26208" customFormat="false" ht="15" hidden="false" customHeight="false" outlineLevel="0" collapsed="false">
      <c r="A26208" s="0" t="n">
        <f aca="false">_xlfn.ORG.LIBREOFFICE.FORECAST.ETS.MULT({14;14},{19.2;8.2;19;7.88;11.9;10;0.97;12.4;-1.96;2},{1;2;3;4;5;6;7;8;9;10},5,,3)</f>
        <v>-4.42350863713619</v>
      </c>
      <c r="B26208" s="0" t="s">
        <v>26028</v>
      </c>
    </row>
    <row r="26209" customFormat="false" ht="15" hidden="false" customHeight="false" outlineLevel="0" collapsed="false">
      <c r="A26209" s="0" t="n">
        <f aca="false">_xlfn.FORECAST.ETS.STAT({19.2;8.2;19;7.88;11.9;10;0.97;12.4;-1.96;2},{1;2;3;4;5;6;7;8;9;10},{2;3},5,,3)</f>
        <v>0</v>
      </c>
      <c r="B26209" s="0" t="s">
        <v>26029</v>
      </c>
    </row>
    <row r="26210" customFormat="false" ht="15" hidden="false" customHeight="false" outlineLevel="0" collapsed="false">
      <c r="A26210" s="0" t="n">
        <f aca="false">_xlfn.FORECAST.ETS.SEASONALITY({19.2;8.2;19;7.88;11.9;10;0.97;12.4;-1.96;2},{1;2;3;4;5;6;7;8;9;10},1)</f>
        <v>5</v>
      </c>
      <c r="B26210" s="0" t="s">
        <v>26030</v>
      </c>
    </row>
    <row r="26211" customFormat="false" ht="15" hidden="false" customHeight="false" outlineLevel="0" collapsed="false">
      <c r="A26211" s="0" t="n">
        <f aca="false">_xlfn.FORECAST.ETS({16.5},{17.56;17.88;17.9;18;17.1;17.58;16.98;17;17.5;15.31;16.5;18.96;15.99;16.2;19;15.2},{6;16;13;14;4;5;11;8;9;7;1;12;2;10;15;3},5,,7)</f>
        <v>17.8261355790123</v>
      </c>
      <c r="B26211" s="0" t="s">
        <v>26031</v>
      </c>
    </row>
    <row r="26212" customFormat="false" ht="15" hidden="false" customHeight="false" outlineLevel="0" collapsed="false">
      <c r="A26212" s="0" t="n">
        <f aca="false">_xlfn.ORG.LIBREOFFICE.FORECAST.ETS.STAT.MULT({17.56;17.88;17.9;18;17.1;17.58;16.98;17;17.5;15.31;16.5;18.96;15.99;16.2;19;15.2},{6;16;13;14;4;5;11;8;9;7;1;12;2;10;15;3},{6;1},5,,7)</f>
        <v>0.697777675202846</v>
      </c>
      <c r="B26212" s="0" t="s">
        <v>26032</v>
      </c>
    </row>
    <row r="26213" customFormat="false" ht="15" hidden="false" customHeight="false" outlineLevel="0" collapsed="false">
      <c r="A26213" s="0" t="n">
        <f aca="false">_xlfn.FORECAST.ETS.SEASONALITY({17.56;17.88;17.9;18;17.1;17.58;16.98;17;17.5;15.31;16.5;18.96;15.99;16.2;19;15.2},{6;16;13;14;4;5;11;8;9;7;1;12;2;10;15;3})</f>
        <v>3</v>
      </c>
      <c r="B26213" s="0" t="s">
        <v>26033</v>
      </c>
    </row>
    <row r="26214" customFormat="false" ht="15" hidden="false" customHeight="false" outlineLevel="0" collapsed="false">
      <c r="A26214" s="0" t="n">
        <f aca="false">_xlfn.ORG.LIBREOFFICE.FORECAST.ETS.PI.MULT(18,{17.56;17.88;17.9;18;17.1;17.58;16.98;17;17.5;15.31;16.5;18.96;15.99;16.2;19;15.2},{6;16;13;14;4;5;11;8;9;7;1;12;2;10;15;3},0.9,0,1)</f>
        <v>2.24434383716566</v>
      </c>
      <c r="B26214" s="0" t="s">
        <v>26034</v>
      </c>
    </row>
    <row r="26215" customFormat="false" ht="15" hidden="false" customHeight="false" outlineLevel="0" collapsed="false">
      <c r="A26215" s="0" t="n">
        <f aca="false">_xlfn.ORG.LIBREOFFICE.FORECAST.ETS.MULT(6.25,{48;21.9;59;27.3;74;34;87;39.28;99.54;45.54},{1;1.5;2;2.5;3;3.5;4;4.5;5;5.5},1,0)</f>
        <v>81.8182405223617</v>
      </c>
      <c r="B26215" s="0" t="s">
        <v>26035</v>
      </c>
    </row>
    <row r="26216" customFormat="false" ht="15" hidden="false" customHeight="false" outlineLevel="0" collapsed="false">
      <c r="A26216" s="0" t="n">
        <f aca="false">_xlfn.FORECAST.ETS.STAT({48;21.9;59;27.3;74;34;87;39.28;99.54;45.54},{1;1.5;2;2.5;3;3.5;4;4.5;5;5.5},{6},1,0)</f>
        <v>2.78888888888889</v>
      </c>
      <c r="B26216" s="0" t="s">
        <v>26036</v>
      </c>
    </row>
    <row r="26217" customFormat="false" ht="15" hidden="false" customHeight="false" outlineLevel="0" collapsed="false">
      <c r="A26217" s="0" t="n">
        <f aca="false">_xlfn.FORECAST.ETS.SEASONALITY({48;21.9;59;27.3;74;34;87;39.28;99.54;45.54},{1;1.5;2;2.5;3;3.5;4;4.5;5;5.5},0,7)</f>
        <v>2</v>
      </c>
      <c r="B26217" s="0" t="s">
        <v>26037</v>
      </c>
    </row>
    <row r="26218" customFormat="false" ht="15" hidden="false" customHeight="false" outlineLevel="0" collapsed="false">
      <c r="A26218" s="0" t="n">
        <f aca="false">_xlfn.FORECAST.ETS(21,{19;13.1;21.9;17.3;16.35;14.1;18;16.26;12.84;26;21.2;21;15;17.12;17.21;21.3;17.6;12.3;22.6;16.6;15;18;20.03;20.12;21;19;10.69;11;14.95;14.4;14.72;12.13;17.8;21.5;21},{22;18;19;3;20;17;28;35;24;5;1;7;23;10;13;14;9;31;12;16;27;21;2;33;6;15;25;32;29;11;30;34;4;26;8},0,,2)</f>
        <v>18</v>
      </c>
      <c r="B26218" s="0" t="s">
        <v>26038</v>
      </c>
    </row>
    <row r="26219" customFormat="false" ht="15" hidden="false" customHeight="false" outlineLevel="0" collapsed="false">
      <c r="A26219" s="0" t="n">
        <f aca="false">_xlfn.ORG.LIBREOFFICE.FORECAST.ETS.STAT.MULT({19;13.1;21.9;17.3;16.35;14.1;18;16.26;12.84;26;21.2;21;15;17.12;17.21;21.3;17.6;12.3;22.6;16.6;15;18;20.03;20.12;21;19;10.69;11;14.95;14.4;14.72;12.13;17.8;21.5;21},{22;18;19;3;20;17;28;35;24;5;1;7;23;10;13;14;9;31;12;16;27;21;2;33;6;15;25;32;29;11;30;34;4;26;8},{4;2;9;1;3;5;7;6;8},0,,2)</f>
        <v>0.714326723594111</v>
      </c>
      <c r="B26219" s="0" t="s">
        <v>26039</v>
      </c>
    </row>
    <row r="26220" customFormat="false" ht="15" hidden="false" customHeight="false" outlineLevel="0" collapsed="false">
      <c r="A26220" s="0" t="n">
        <f aca="false">_xlfn.FORECAST.ETS.SEASONALITY({19;13.1;21.9;17.3;16.35;14.1;18;16.26;12.84;26;21.2;21;15;17.12;17.21;21.3;17.6;12.3;22.6;16.6;15;18;20.03;20.12;21;19;10.69;11;14.95;14.4;14.72;12.13;17.8;21.5;21},{22;18;19;3;20;17;28;35;24;5;1;7;23;10;13;14;9;31;12;16;27;21;2;33;6;15;25;32;29;11;30;34;4;26;8},1)</f>
        <v>14</v>
      </c>
      <c r="B26220" s="0" t="s">
        <v>26040</v>
      </c>
    </row>
    <row r="26221" customFormat="false" ht="15" hidden="false" customHeight="false" outlineLevel="0" collapsed="false">
      <c r="A26221" s="0" t="n">
        <f aca="false">_xlfn.FORECAST.ETS.CONFINT({36;37;38},{19;13.1;21.9;17.3;16.35;14.1;18;16.26;12.84;26;21.2;21;15;17.12;17.21;21.3;17.6;12.3;22.6;16.6;15;18;20.03;20.12;21;19;10.69;11;14.95;14.4;14.72;12.13;17.8;21.5;21},{22;18;19;3;20;17;28;35;24;5;1;7;23;10;13;14;9;31;12;16;27;21;2;33;6;15;25;32;29;11;30;34;4;26;8},,0,1)</f>
        <v>6.24441970428764</v>
      </c>
      <c r="B26221" s="0" t="s">
        <v>26041</v>
      </c>
    </row>
    <row r="26222" customFormat="false" ht="15" hidden="false" customHeight="false" outlineLevel="0" collapsed="false">
      <c r="A26222" s="0" t="n">
        <f aca="false">_xlfn.ORG.LIBREOFFICE.FORECAST.ETS.MULT(43,{6.6;6.6;6.6;6.6;7;7},{3;13;23;33;43;53})</f>
        <v>7</v>
      </c>
      <c r="B26222" s="0" t="s">
        <v>26042</v>
      </c>
    </row>
    <row r="26223" customFormat="false" ht="15" hidden="false" customHeight="false" outlineLevel="0" collapsed="false">
      <c r="A26223" s="0" t="n">
        <f aca="false">_xlfn.ORG.LIBREOFFICE.FORECAST.ETS.STAT.MULT({6.6;6.6;6.6;6.6;7;7},{3;13;23;33;43;53},{5})</f>
        <v>0.011764705882353</v>
      </c>
      <c r="B26223" s="0" t="s">
        <v>26043</v>
      </c>
    </row>
    <row r="26224" customFormat="false" ht="15" hidden="false" customHeight="false" outlineLevel="0" collapsed="false">
      <c r="A26224" s="0" t="n">
        <f aca="false">_xlfn.FORECAST.ETS.SEASONALITY({6.6;6.6;6.6;6.6;7;7},{3;13;23;33;43;53},0,4)</f>
        <v>2</v>
      </c>
      <c r="B26224" s="0" t="s">
        <v>26044</v>
      </c>
    </row>
    <row r="26225" customFormat="false" ht="15" hidden="false" customHeight="false" outlineLevel="0" collapsed="false">
      <c r="A26225" s="0" t="n">
        <f aca="false">_xlfn.ORG.LIBREOFFICE.FORECAST.ETS.MULT({8},{32.27;32.27;32.27;32;32.3;32},{1;2;3;4;5;6})</f>
        <v>31.7482266928405</v>
      </c>
      <c r="B26225" s="0" t="s">
        <v>26045</v>
      </c>
    </row>
    <row r="26226" customFormat="false" ht="15" hidden="false" customHeight="false" outlineLevel="0" collapsed="false">
      <c r="A26226" s="0" t="n">
        <f aca="false">_xlfn.ORG.LIBREOFFICE.FORECAST.ETS.STAT.MULT({32.27;32.27;32.27;32;32.3;32},{1;2;3;4;5;6},{6;5;9;2;8;3;4;7;1})</f>
        <v>0.113944608080939</v>
      </c>
      <c r="B26226" s="0" t="s">
        <v>26046</v>
      </c>
    </row>
    <row r="26227" customFormat="false" ht="15" hidden="false" customHeight="false" outlineLevel="0" collapsed="false">
      <c r="A26227" s="0" t="n">
        <f aca="false">_xlfn.FORECAST.ETS.SEASONALITY({32.27;32.27;32.27;32;32.3;32},{1;2;3;4;5;6},0)</f>
        <v>2</v>
      </c>
      <c r="B26227" s="0" t="s">
        <v>26047</v>
      </c>
    </row>
    <row r="26228" customFormat="false" ht="15" hidden="false" customHeight="false" outlineLevel="0" collapsed="false">
      <c r="A26228" s="0" t="e">
        <f aca="false">_xlfn.ORG.LIBREOFFICE.FORECAST.ETS.MULT(45289,{14.6;29.7;20.19;35.17;41.1;34.67;50;45;56;60;61.8},{44865;44895;44926;44957;45016;45046;45077;45107;45138;45169;45199},4)</f>
        <v>#VALUE!</v>
      </c>
      <c r="B26228" s="0" t="s">
        <v>26048</v>
      </c>
    </row>
    <row r="26229" customFormat="false" ht="15" hidden="false" customHeight="false" outlineLevel="0" collapsed="false">
      <c r="A26229" s="0" t="e">
        <f aca="false">_xlfn.ORG.LIBREOFFICE.FORECAST.ETS.STAT.MULT({14.6;29.7;20.19;35.17;41.1;34.67;50;45;56;60;61.8},{44865;44895;44926;44957;45016;45046;45077;45107;45138;45169;45199},{8;5;1;2;9;6;7;3;4},4)</f>
        <v>#VALUE!</v>
      </c>
      <c r="B26229" s="0" t="s">
        <v>26049</v>
      </c>
    </row>
    <row r="26230" customFormat="false" ht="15" hidden="false" customHeight="false" outlineLevel="0" collapsed="false">
      <c r="A26230" s="0" t="e">
        <f aca="false">_xlfn.FORECAST.ETS.SEASONALITY({14.6;29.7;20.19;35.17;41.1;34.67;50;45;56;60;61.8},{44865;44895;44926;44957;45016;45046;45077;45107;45138;45169;45199})</f>
        <v>#VALUE!</v>
      </c>
      <c r="B26230" s="0" t="s">
        <v>26050</v>
      </c>
    </row>
    <row r="26231" customFormat="false" ht="15" hidden="false" customHeight="false" outlineLevel="0" collapsed="false">
      <c r="A26231" s="0" t="n">
        <f aca="false">_xlfn.FORECAST.ETS({10.75,12,12},{43.59;43.6;43.6;43.59;43.6;44;44;43.6;44;44;44;43.59;43.6;43.6;43.6;43.59;43.6;43.59;43.6;44},{1;1.5;2;2.5;3;3.5;4;4.5;5;5.5;6;6.5;7;7.5;8;8.5;9;9.5;10;10.5},7,0,7)</f>
        <v>44</v>
      </c>
      <c r="B26231" s="0" t="s">
        <v>26051</v>
      </c>
    </row>
    <row r="26232" customFormat="false" ht="15" hidden="false" customHeight="false" outlineLevel="0" collapsed="false">
      <c r="A26232" s="0" t="n">
        <f aca="false">_xlfn.FORECAST.ETS.STAT({43.59;43.6;43.6;43.59;43.6;44;44;43.6;44;44;44;43.59;43.6;43.6;43.6;43.59;43.6;43.59;43.6;44},{1;1.5;2;2.5;3;3.5;4;4.5;5;5.5;6;6.5;7;7.5;8;8.5;9;9.5;10;10.5},{2;5},7,0,7)</f>
        <v>0</v>
      </c>
      <c r="B26232" s="0" t="s">
        <v>26052</v>
      </c>
    </row>
    <row r="26233" customFormat="false" ht="15" hidden="false" customHeight="false" outlineLevel="0" collapsed="false">
      <c r="A26233" s="0" t="n">
        <f aca="false">_xlfn.FORECAST.ETS.SEASONALITY({43.59;43.6;43.6;43.59;43.6;44;44;43.6;44;44;44;43.59;43.6;43.6;43.6;43.59;43.6;43.59;43.6;44},{1;1.5;2;2.5;3;3.5;4;4.5;5;5.5;6;6.5;7;7.5;8;8.5;9;9.5;10;10.5},0,1)</f>
        <v>3</v>
      </c>
      <c r="B26233" s="0" t="s">
        <v>26053</v>
      </c>
    </row>
    <row r="26234" customFormat="false" ht="15" hidden="false" customHeight="false" outlineLevel="0" collapsed="false">
      <c r="A26234" s="0" t="n">
        <f aca="false">_xlfn.FORECAST.ETS(8,{20.3;4.7;20;20;20},{1;1;2;3;4})</f>
        <v>19.5574312960729</v>
      </c>
      <c r="B26234" s="0" t="s">
        <v>26054</v>
      </c>
    </row>
    <row r="26235" customFormat="false" ht="15" hidden="false" customHeight="false" outlineLevel="0" collapsed="false">
      <c r="A26235" s="0" t="n">
        <f aca="false">_xlfn.FORECAST.ETS.STAT({20.3;4.7;20;20;20},{1;1;2;3;4},{5})</f>
        <v>0.00518565819978461</v>
      </c>
      <c r="B26235" s="0" t="s">
        <v>26055</v>
      </c>
    </row>
    <row r="26236" customFormat="false" ht="15" hidden="false" customHeight="false" outlineLevel="0" collapsed="false">
      <c r="A26236" s="0" t="n">
        <f aca="false">_xlfn.FORECAST.ETS.SEASONALITY({20.3;4.7;20;20;20},{1;1;2;3;4})</f>
        <v>1</v>
      </c>
      <c r="B26236" s="0" t="s">
        <v>26056</v>
      </c>
    </row>
    <row r="26237" customFormat="false" ht="15" hidden="false" customHeight="false" outlineLevel="0" collapsed="false">
      <c r="A26237" s="0" t="n">
        <f aca="false">_xlfn.ORG.LIBREOFFICE.FORECAST.ETS.MULT(45007.5,{19.91;23.3;25;28;30.5;31.1;34.97;37;37.97;41.15},{45000;45001;45002;45003;45004;45005;45006;45007;45008;45009})</f>
        <v>37.4639941692512</v>
      </c>
      <c r="B26237" s="0" t="s">
        <v>26057</v>
      </c>
    </row>
    <row r="26238" customFormat="false" ht="15" hidden="false" customHeight="false" outlineLevel="0" collapsed="false">
      <c r="A26238" s="0" t="n">
        <f aca="false">_xlfn.ORG.LIBREOFFICE.FORECAST.ETS.STAT.MULT({19.91;23.3;25;28;30.5;31.1;34.97;37;37.97;41.15},{45000;45001;45002;45003;45004;45005;45006;45007;45008;45009},{5;8;9;1;2;3;6;4;7})</f>
        <v>0.0150038476835402</v>
      </c>
      <c r="B26238" s="0" t="s">
        <v>26058</v>
      </c>
    </row>
    <row r="26239" customFormat="false" ht="15" hidden="false" customHeight="false" outlineLevel="0" collapsed="false">
      <c r="A26239" s="0" t="n">
        <f aca="false">_xlfn.FORECAST.ETS.SEASONALITY({19.91;23.3;25;28;30.5;31.1;34.97;37;37.97;41.15},{45000;45001;45002;45003;45004;45005;45006;45007;45008;45009},0)</f>
        <v>3</v>
      </c>
      <c r="B26239" s="0" t="s">
        <v>26059</v>
      </c>
    </row>
    <row r="26240" customFormat="false" ht="15" hidden="false" customHeight="false" outlineLevel="0" collapsed="false">
      <c r="A26240" s="0" t="n">
        <f aca="false">_xlfn.FORECAST.ETS.CONFINT(45012,{19.91;23.3;25;28;30.5;31.1;34.97;37;37.97;41.15},{45000;45001;45002;45003;45004;45005;45006;45007;45008;45009},0.95,0,1,5)</f>
        <v>3.6860212946769</v>
      </c>
      <c r="B26240" s="0" t="s">
        <v>26060</v>
      </c>
    </row>
    <row r="26241" customFormat="false" ht="15" hidden="false" customHeight="false" outlineLevel="0" collapsed="false">
      <c r="A26241" s="0" t="n">
        <f aca="false">_xlfn.FORECAST.ETS({150.5;168;158},{50.92;56.9;50.04;55.7;51.87;62;65.08;58.7;62.34;63;68;66;72.38;65;72;68.1;78.5;74.3;80.59;72.78;78;77.6;85.41;83.46;88.9;81.81;85.8;86.4;93.83},{3;8;13;18;23;28;38;43;48;53;58;63;68;73;78;83;88;93;98;103;108;113;118;123;128;133;138;143;148},6,0,3)</f>
        <v>93.4645218400682</v>
      </c>
      <c r="B26241" s="0" t="s">
        <v>26061</v>
      </c>
    </row>
    <row r="26242" customFormat="false" ht="15" hidden="false" customHeight="false" outlineLevel="0" collapsed="false">
      <c r="A26242" s="0" t="n">
        <f aca="false">_xlfn.ORG.LIBREOFFICE.FORECAST.ETS.STAT.MULT({50.92;56.9;50.04;55.7;51.87;62;65.08;58.7;62.34;63;68;66;72.38;65;72;68.1;78.5;74.3;80.59;72.78;78;77.6;85.41;83.46;88.9;81.81;85.8;86.4;93.83},{3;8;13;18;23;28;38;43;48;53;58;63;68;73;78;83;88;93;98;103;108;113;118;123;128;133;138;143;148},{9;1;8;3;2;7;5;4;6},6,0,3)</f>
        <v>6</v>
      </c>
      <c r="B26242" s="0" t="s">
        <v>26062</v>
      </c>
    </row>
    <row r="26243" customFormat="false" ht="15" hidden="false" customHeight="false" outlineLevel="0" collapsed="false">
      <c r="A26243" s="0" t="n">
        <f aca="false">_xlfn.FORECAST.ETS.SEASONALITY({50.92;56.9;50.04;55.7;51.87;62;65.08;58.7;62.34;63;68;66;72.38;65;72;68.1;78.5;74.3;80.59;72.78;78;77.6;85.41;83.46;88.9;81.81;85.8;86.4;93.83},{3;8;13;18;23;28;38;43;48;53;58;63;68;73;78;83;88;93;98;103;108;113;118;123;128;133;138;143;148})</f>
        <v>12</v>
      </c>
      <c r="B26243" s="0" t="s">
        <v>26063</v>
      </c>
    </row>
    <row r="26244" customFormat="false" ht="15" hidden="false" customHeight="false" outlineLevel="0" collapsed="false">
      <c r="A26244" s="0" t="n">
        <f aca="false">_xlfn.FORECAST.ETS({45442,45427,45442},{11.71;14.45;17;16.8;18;22;23.33;23;24.16;25.6;30;30;31;33.88;36.2;36;39.1},{44910;44941;44972;45000;45031;45061;45092;45122;45153;45184;45214;45245;45275;45306;45337;45366;45397},0,1)</f>
        <v>41.640201612904</v>
      </c>
      <c r="B26244" s="0" t="s">
        <v>26064</v>
      </c>
    </row>
    <row r="26245" customFormat="false" ht="15" hidden="false" customHeight="false" outlineLevel="0" collapsed="false">
      <c r="A26245" s="0" t="n">
        <f aca="false">_xlfn.FORECAST.ETS.STAT({11.71;14.45;17;16.8;18;22;23.33;23;24.16;25.6;30;30;31;33.88;36.2;36;39.1},{44910;44941;44972;45000;45031;45061;45092;45122;45153;45184;45214;45245;45275;45306;45337;45366;45397},{8;5},0,1)</f>
        <v>1</v>
      </c>
      <c r="B26245" s="0" t="s">
        <v>26065</v>
      </c>
    </row>
    <row r="26246" customFormat="false" ht="15" hidden="false" customHeight="false" outlineLevel="0" collapsed="false">
      <c r="A26246" s="0" t="n">
        <f aca="false">_xlfn.FORECAST.ETS.SEASONALITY({11.71;14.45;17;16.8;18;22;23.33;23;24.16;25.6;30;30;31;33.88;36.2;36;39.1},{44910;44941;44972;45000;45031;45061;45092;45122;45153;45184;45214;45245;45275;45306;45337;45366;45397},1,5)</f>
        <v>8</v>
      </c>
      <c r="B26246" s="0" t="s">
        <v>26066</v>
      </c>
    </row>
    <row r="26247" customFormat="false" ht="15" hidden="false" customHeight="false" outlineLevel="0" collapsed="false">
      <c r="A26247" s="0" t="n">
        <f aca="false">_xlfn.FORECAST.ETS({45006.5,45008},{32.74;40.58;27.9;36.2;17.8;21;44},{45003;45005;45002;45004;45000;45001;45006},0,1)</f>
        <v>46.7250374348958</v>
      </c>
      <c r="B26247" s="0" t="s">
        <v>26067</v>
      </c>
    </row>
    <row r="26248" customFormat="false" ht="15" hidden="false" customHeight="false" outlineLevel="0" collapsed="false">
      <c r="A26248" s="0" t="n">
        <f aca="false">_xlfn.FORECAST.ETS.STAT({32.74;40.58;27.9;36.2;17.8;21;44},{45003;45005;45002;45004;45000;45001;45006},{9;4},0,1)</f>
        <v>0</v>
      </c>
      <c r="B26248" s="0" t="s">
        <v>26068</v>
      </c>
    </row>
    <row r="26249" customFormat="false" ht="15" hidden="false" customHeight="false" outlineLevel="0" collapsed="false">
      <c r="A26249" s="0" t="n">
        <f aca="false">_xlfn.FORECAST.ETS.SEASONALITY({32.74;40.58;27.9;36.2;17.8;21;44},{45003;45005;45002;45004;45000;45001;45006},1,3)</f>
        <v>2</v>
      </c>
      <c r="B26249" s="0" t="s">
        <v>26069</v>
      </c>
    </row>
    <row r="26250" customFormat="false" ht="15" hidden="false" customHeight="false" outlineLevel="0" collapsed="false">
      <c r="A26250" s="0" t="n">
        <f aca="false">_xlfn.ORG.LIBREOFFICE.FORECAST.ETS.MULT({25.5},{5.23;5.2;5.23;5;5.2;5;5;5.23;5.23;5.2;5.2;5.2;5;5;5.23;5;5.2;5.23;5.2;5.2;5.23;5.23;5.23;5.23},{20;16;21;14;4;2;22;3;6;13;8;7;24;1;12;9;10;15;5;23;17;11;18;19},0,,7)</f>
        <v>5.07856691122055</v>
      </c>
      <c r="B26250" s="0" t="s">
        <v>26070</v>
      </c>
    </row>
    <row r="26251" customFormat="false" ht="15" hidden="false" customHeight="false" outlineLevel="0" collapsed="false">
      <c r="A26251" s="0" t="n">
        <f aca="false">_xlfn.ORG.LIBREOFFICE.FORECAST.ETS.STAT.MULT({5.23;5.2;5.23;5;5.2;5;5;5.23;5.23;5.2;5.2;5.2;5;5;5.23;5;5.2;5.23;5.2;5.2;5.23;5.23;5.23;5.23},{20;16;21;14;4;2;22;3;6;13;8;7;24;1;12;9;10;15;5;23;17;11;18;19},{2;9;8;6;3;7;5;4;1},0,,7)</f>
        <v>0</v>
      </c>
      <c r="B26251" s="0" t="s">
        <v>26071</v>
      </c>
    </row>
    <row r="26252" customFormat="false" ht="15" hidden="false" customHeight="false" outlineLevel="0" collapsed="false">
      <c r="A26252" s="0" t="n">
        <f aca="false">_xlfn.FORECAST.ETS.SEASONALITY({5.23;5.2;5.23;5;5.2;5;5;5.23;5.23;5.2;5.2;5.2;5;5;5.23;5;5.2;5.23;5.2;5.2;5.23;5.23;5.23;5.23},{20;16;21;14;4;2;22;3;6;13;8;7;24;1;12;9;10;15;5;23;17;11;18;19},1)</f>
        <v>5</v>
      </c>
      <c r="B26252" s="0" t="s">
        <v>26072</v>
      </c>
    </row>
    <row r="26253" customFormat="false" ht="15" hidden="false" customHeight="false" outlineLevel="0" collapsed="false">
      <c r="A26253" s="0" t="n">
        <f aca="false">_xlfn.FORECAST.ETS(18.25,{57;39.63;49.36;7.25;19.52;72.9;38.38;31;21.6;36;93.8;1.7;50.77;89;49;41.5;66;78.43;57;9;96.1},{1;2;3;4;5;6;7;8;9;10;11;12;13;14;15;16;17;18;19;20;21},1,0,2)</f>
        <v>80.7635288665358</v>
      </c>
      <c r="B26253" s="0" t="s">
        <v>26073</v>
      </c>
    </row>
    <row r="26254" customFormat="false" ht="15" hidden="false" customHeight="false" outlineLevel="0" collapsed="false">
      <c r="A26254" s="0" t="n">
        <f aca="false">_xlfn.FORECAST.ETS.STAT({57;39.63;49.36;7.25;19.52;72.9;38.38;31;21.6;36;93.8;1.7;50.77;89;49;41.5;66;78.43;57;9;96.1},{1;2;3;4;5;6;7;8;9;10;11;12;13;14;15;16;17;18;19;20;21},{9},1,0,2)</f>
        <v>8</v>
      </c>
      <c r="B26254" s="0" t="s">
        <v>26074</v>
      </c>
    </row>
    <row r="26255" customFormat="false" ht="15" hidden="false" customHeight="false" outlineLevel="0" collapsed="false">
      <c r="A26255" s="0" t="n">
        <f aca="false">_xlfn.FORECAST.ETS.SEASONALITY({57;39.63;49.36;7.25;19.52;72.9;38.38;31;21.6;36;93.8;1.7;50.77;89;49;41.5;66;78.43;57;9;96.1},{1;2;3;4;5;6;7;8;9;10;11;12;13;14;15;16;17;18;19;20;21})</f>
        <v>8</v>
      </c>
      <c r="B26255" s="0" t="s">
        <v>26075</v>
      </c>
    </row>
    <row r="26256" customFormat="false" ht="15" hidden="false" customHeight="false" outlineLevel="0" collapsed="false">
      <c r="A26256" s="0" t="n">
        <f aca="false">_xlfn.ORG.LIBREOFFICE.FORECAST.ETS.PI.MULT(22,{57;39.63;49.36;7.25;19.52;72.9;38.38;31;21.6;36;93.8;1.7;50.77;89;49;41.5;66;78.43;57;9;96.1},{1;2;3;4;5;6;7;8;9;10;11;12;13;14;15;16;17;18;19;20;21},0,0,1,6)</f>
        <v>0</v>
      </c>
      <c r="B26256" s="0" t="s">
        <v>26076</v>
      </c>
    </row>
    <row r="26257" customFormat="false" ht="15" hidden="false" customHeight="false" outlineLevel="0" collapsed="false">
      <c r="A26257" s="0" t="n">
        <f aca="false">_xlfn.ORG.LIBREOFFICE.FORECAST.ETS.MULT({20.5,24,20.5},{26.3;26.3;26;26.3;26;26.3;26;26.3;26.3;26.3;26;26.3;17;26.3;26.3;26;26.3;26.3;26;26;26.3},{1;2;3;4;5;6;7;8;9;10;11;12;12;13;14;15;16;17;18;19;20},1,1)</f>
        <v>26.2271553479986</v>
      </c>
      <c r="B26257" s="0" t="s">
        <v>26077</v>
      </c>
    </row>
    <row r="26258" customFormat="false" ht="15" hidden="false" customHeight="false" outlineLevel="0" collapsed="false">
      <c r="A26258" s="0" t="n">
        <f aca="false">_xlfn.ORG.LIBREOFFICE.FORECAST.ETS.STAT.MULT({26.3;26.3;26;26.3;26;26.3;26;26.3;26.3;26.3;26;26.3;17;26.3;26.3;26;26.3;26.3;26;26;26.3},{1;2;3;4;5;6;7;8;9;10;11;12;12;13;14;15;16;17;18;19;20},{5},1,1)</f>
        <v>0.00293175684523041</v>
      </c>
      <c r="B26258" s="0" t="s">
        <v>26078</v>
      </c>
    </row>
    <row r="26259" customFormat="false" ht="15" hidden="false" customHeight="false" outlineLevel="0" collapsed="false">
      <c r="A26259" s="0" t="n">
        <f aca="false">_xlfn.FORECAST.ETS.SEASONALITY({26.3;26.3;26;26.3;26;26.3;26;26.3;26.3;26.3;26;26.3;17;26.3;26.3;26;26.3;26.3;26;26;26.3},{1;2;3;4;5;6;7;8;9;10;11;12;12;13;14;15;16;17;18;19;20},0)</f>
        <v>4</v>
      </c>
      <c r="B26259" s="0" t="s">
        <v>26079</v>
      </c>
    </row>
    <row r="26260" customFormat="false" ht="15" hidden="false" customHeight="false" outlineLevel="0" collapsed="false">
      <c r="A26260" s="0" t="e">
        <f aca="false">_xlfn.ORG.LIBREOFFICE.FORECAST.ETS.MULT(44834,{10.88;10.88;10.9;10.88;10.88},{44834;44865;44895;44926;44957},7)</f>
        <v>#VALUE!</v>
      </c>
      <c r="B26260" s="0" t="s">
        <v>26080</v>
      </c>
    </row>
    <row r="26261" customFormat="false" ht="15" hidden="false" customHeight="false" outlineLevel="0" collapsed="false">
      <c r="A26261" s="0" t="e">
        <f aca="false">_xlfn.FORECAST.ETS.STAT({10.88;10.88;10.9;10.88;10.88},{44834;44865;44895;44926;44957},{6;9;4;5;1;8;7;3;2},7)</f>
        <v>#VALUE!</v>
      </c>
      <c r="B26261" s="0" t="s">
        <v>26081</v>
      </c>
    </row>
    <row r="26262" customFormat="false" ht="15" hidden="false" customHeight="false" outlineLevel="0" collapsed="false">
      <c r="A26262" s="0" t="e">
        <f aca="false">_xlfn.FORECAST.ETS.SEASONALITY({10.88;10.88;10.9;10.88;10.88},{44834;44865;44895;44926;44957})</f>
        <v>#VALUE!</v>
      </c>
      <c r="B26262" s="0" t="s">
        <v>26082</v>
      </c>
    </row>
    <row r="26263" customFormat="false" ht="15" hidden="false" customHeight="false" outlineLevel="0" collapsed="false">
      <c r="A26263" s="0" t="n">
        <f aca="false">_xlfn.ORG.LIBREOFFICE.FORECAST.ETS.MULT(45018.5,{30.5;30.5;30.5;30.5;30.5;30.5;30.5;30.5;31;30.5;30.5;30.5;30.5;30.5;31;30.5;30.5;30.5},{45000;45001;45002;45003;45004;45005;45006;45007;45008;45009;45010;45011;45012;45014;45015;45016;45017;45018},1,0,7)</f>
        <v>15.0706875282362</v>
      </c>
      <c r="B26263" s="0" t="s">
        <v>26083</v>
      </c>
    </row>
    <row r="26264" customFormat="false" ht="15" hidden="false" customHeight="false" outlineLevel="0" collapsed="false">
      <c r="A26264" s="0" t="n">
        <f aca="false">_xlfn.ORG.LIBREOFFICE.FORECAST.ETS.STAT.MULT({30.5;30.5;30.5;30.5;30.5;30.5;30.5;30.5;31;30.5;30.5;30.5;30.5;30.5;31;30.5;30.5;30.5},{45000;45001;45002;45003;45004;45005;45006;45007;45008;45009;45010;45011;45012;45014;45015;45016;45017;45018},{6;8;4;1;3;2;7;9;5},1,0,7)</f>
        <v>1.86946021397995</v>
      </c>
      <c r="B26264" s="0" t="s">
        <v>26084</v>
      </c>
    </row>
    <row r="26265" customFormat="false" ht="15" hidden="false" customHeight="false" outlineLevel="0" collapsed="false">
      <c r="A26265" s="0" t="n">
        <f aca="false">_xlfn.FORECAST.ETS.SEASONALITY({30.5;30.5;30.5;30.5;30.5;30.5;30.5;30.5;31;30.5;30.5;30.5;30.5;30.5;31;30.5;30.5;30.5},{45000;45001;45002;45003;45004;45005;45006;45007;45008;45009;45010;45011;45012;45014;45015;45016;45017;45018},0)</f>
        <v>6</v>
      </c>
      <c r="B26265" s="0" t="s">
        <v>26085</v>
      </c>
    </row>
    <row r="26266" customFormat="false" ht="15" hidden="false" customHeight="false" outlineLevel="0" collapsed="false">
      <c r="A26266" s="0" t="n">
        <f aca="false">_xlfn.ORG.LIBREOFFICE.FORECAST.ETS.MULT({150;150;136},{13.2;13.2;13;13.2;13.21;13;13.21;13.2;13.2;13.2;13;13.21;13.21;13;13.21;13;13;13.2},{3;10;17;24;31;38;45;52;59;66;73;80;87;94;101;108;115;122},1)</f>
        <v>12.952992355008</v>
      </c>
      <c r="B26266" s="0" t="s">
        <v>26086</v>
      </c>
    </row>
    <row r="26267" customFormat="false" ht="15" hidden="false" customHeight="false" outlineLevel="0" collapsed="false">
      <c r="A26267" s="0" t="n">
        <f aca="false">_xlfn.ORG.LIBREOFFICE.FORECAST.ETS.STAT.MULT({13.2;13.2;13;13.2;13.21;13;13.21;13.2;13.2;13.2;13;13.21;13.21;13;13.21;13;13;13.2},{3;10;17;24;31;38;45;52;59;66;73;80;87;94;101;108;115;122},{8;1;3;7;4;2;9;6;5},1)</f>
        <v>7</v>
      </c>
      <c r="B26267" s="0" t="s">
        <v>26087</v>
      </c>
    </row>
    <row r="26268" customFormat="false" ht="15" hidden="false" customHeight="false" outlineLevel="0" collapsed="false">
      <c r="A26268" s="0" t="n">
        <f aca="false">_xlfn.FORECAST.ETS.SEASONALITY({13.2;13.2;13;13.2;13.21;13;13.21;13.2;13.2;13.2;13;13.21;13.21;13;13.21;13;13;13.2},{3;10;17;24;31;38;45;52;59;66;73;80;87;94;101;108;115;122},1,3)</f>
        <v>8</v>
      </c>
      <c r="B26268" s="0" t="s">
        <v>26088</v>
      </c>
    </row>
    <row r="26269" customFormat="false" ht="15" hidden="false" customHeight="false" outlineLevel="0" collapsed="false">
      <c r="A26269" s="0" t="n">
        <f aca="false">_xlfn.ORG.LIBREOFFICE.FORECAST.ETS.MULT({8,8,7.5},{31;30.81;30.8;30.8;31;30.81;30.81;30.8;30.8;30.8;31},{1;1.5;2;2.5;3;3.5;4;4.5;5;5.5;6},0,1)</f>
        <v>30.902236328125</v>
      </c>
      <c r="B26269" s="0" t="s">
        <v>26089</v>
      </c>
    </row>
    <row r="26270" customFormat="false" ht="15" hidden="false" customHeight="false" outlineLevel="0" collapsed="false">
      <c r="A26270" s="0" t="n">
        <f aca="false">_xlfn.FORECAST.ETS.STAT({31;30.81;30.8;30.8;31;30.81;30.81;30.8;30.8;30.8;31},{1;1.5;2;2.5;3;3.5;4;4.5;5;5.5;6},{3;5;8;1;2;4;6;7;9},0,1)</f>
        <v>0</v>
      </c>
      <c r="B26270" s="0" t="s">
        <v>26090</v>
      </c>
    </row>
    <row r="26271" customFormat="false" ht="15" hidden="false" customHeight="false" outlineLevel="0" collapsed="false">
      <c r="A26271" s="0" t="n">
        <f aca="false">_xlfn.FORECAST.ETS.SEASONALITY({31;30.81;30.8;30.8;31;30.81;30.81;30.8;30.8;30.8;31},{1;1.5;2;2.5;3;3.5;4;4.5;5;5.5;6})</f>
        <v>3</v>
      </c>
      <c r="B26271" s="0" t="s">
        <v>26091</v>
      </c>
    </row>
    <row r="26272" customFormat="false" ht="15" hidden="false" customHeight="false" outlineLevel="0" collapsed="false">
      <c r="A26272" s="0" t="e">
        <f aca="false">_xlfn.ORG.LIBREOFFICE.FORECAST.ETS.MULT({45702},{44.16;72.33;74;59;48.9;50.02;75.84;78.4;62.37;55.05;53.6;82.5;85.2;67.5;56;55.8;88;90.09;73;61;60.36;93.54;95.7;75.4;65},{44926;44957;44985;45016;45046;45077;45107;45138;45169;45199;45230;45260;45291;45322;45351;45382;45412;45443;45473;45504;45535;45565;45596;45626;45657},0,,2)</f>
        <v>#VALUE!</v>
      </c>
      <c r="B26272" s="0" t="s">
        <v>26092</v>
      </c>
    </row>
    <row r="26273" customFormat="false" ht="15" hidden="false" customHeight="false" outlineLevel="0" collapsed="false">
      <c r="A26273" s="0" t="e">
        <f aca="false">_xlfn.FORECAST.ETS.STAT({44.16;72.33;74;59;48.9;50.02;75.84;78.4;62.37;55.05;53.6;82.5;85.2;67.5;56;55.8;88;90.09;73;61;60.36;93.54;95.7;75.4;65},{44926;44957;44985;45016;45046;45077;45107;45138;45169;45199;45230;45260;45291;45322;45351;45382;45412;45443;45473;45504;45535;45565;45596;45626;45657},{8;9;6;7;2;5;1;3;4},0,,2)</f>
        <v>#VALUE!</v>
      </c>
      <c r="B26273" s="0" t="s">
        <v>26093</v>
      </c>
    </row>
    <row r="26274" customFormat="false" ht="15" hidden="false" customHeight="false" outlineLevel="0" collapsed="false">
      <c r="A26274" s="0" t="e">
        <f aca="false">_xlfn.FORECAST.ETS.SEASONALITY({44.16;72.33;74;59;48.9;50.02;75.84;78.4;62.37;55.05;53.6;82.5;85.2;67.5;56;55.8;88;90.09;73;61;60.36;93.54;95.7;75.4;65},{44926;44957;44985;45016;45046;45077;45107;45138;45169;45199;45230;45260;45291;45322;45351;45382;45412;45443;45473;45504;45535;45565;45596;45626;45657},1,1)</f>
        <v>#VALUE!</v>
      </c>
      <c r="B26274" s="0" t="s">
        <v>26094</v>
      </c>
    </row>
    <row r="26275" customFormat="false" ht="15" hidden="false" customHeight="false" outlineLevel="0" collapsed="false">
      <c r="A26275" s="0" t="n">
        <f aca="false">_xlfn.ORG.LIBREOFFICE.FORECAST.ETS.MULT(45275,{5.79;69;54.3;69;16.3;17.69;83;65.59;37.7;76.07;38;68;22.53;6.85;24;6.5;88;49.22;61.4;87;76.37;64.7},{44607;44635;44666;44696;44727;44757;44788;44819;44849;44880;44910;44941;44972;45000;45031;45061;45092;45122;45153;45184;45214;45245},1,,6)</f>
        <v>21.6795208139298</v>
      </c>
      <c r="B26275" s="0" t="s">
        <v>26095</v>
      </c>
    </row>
    <row r="26276" customFormat="false" ht="15" hidden="false" customHeight="false" outlineLevel="0" collapsed="false">
      <c r="A26276" s="0" t="n">
        <f aca="false">_xlfn.FORECAST.ETS.STAT({5.79;69;54.3;69;16.3;17.69;83;65.59;37.7;76.07;38;68;22.53;6.85;24;6.5;88;49.22;61.4;87;76.37;64.7},{44607;44635;44666;44696;44727;44757;44788;44819;44849;44880;44910;44941;44972;45000;45031;45061;45092;45122;45153;45184;45214;45245},{2;8},1,,6)</f>
        <v>0</v>
      </c>
      <c r="B26276" s="0" t="s">
        <v>26096</v>
      </c>
    </row>
    <row r="26277" customFormat="false" ht="15" hidden="false" customHeight="false" outlineLevel="0" collapsed="false">
      <c r="A26277" s="0" t="n">
        <f aca="false">_xlfn.FORECAST.ETS.SEASONALITY({5.79;69;54.3;69;16.3;17.69;83;65.59;37.7;76.07;38;68;22.53;6.85;24;6.5;88;49.22;61.4;87;76.37;64.7},{44607;44635;44666;44696;44727;44757;44788;44819;44849;44880;44910;44941;44972;45000;45031;45061;45092;45122;45153;45184;45214;45245},1,6)</f>
        <v>10</v>
      </c>
      <c r="B26277" s="0" t="s">
        <v>26097</v>
      </c>
    </row>
    <row r="26278" customFormat="false" ht="15" hidden="false" customHeight="false" outlineLevel="0" collapsed="false">
      <c r="A26278" s="0" t="e">
        <f aca="false">_xlfn.FORECAST.ETS(44933.5,{30.5;32.8;44.26;34.38;35.7;46.84;36;39;50.6;40;41.39;56},{44712;44742;44773;44804;44834;44865;44895;44926;44957;44985;45016;45046})</f>
        <v>#VALUE!</v>
      </c>
      <c r="B26278" s="0" t="s">
        <v>26098</v>
      </c>
    </row>
    <row r="26279" customFormat="false" ht="15" hidden="false" customHeight="false" outlineLevel="0" collapsed="false">
      <c r="A26279" s="0" t="e">
        <f aca="false">_xlfn.ORG.LIBREOFFICE.FORECAST.ETS.STAT.MULT({30.5;32.8;44.26;34.38;35.7;46.84;36;39;50.6;40;41.39;56},{44712;44742;44773;44804;44834;44865;44895;44926;44957;44985;45016;45046},{5})</f>
        <v>#VALUE!</v>
      </c>
      <c r="B26279" s="0" t="s">
        <v>26099</v>
      </c>
    </row>
    <row r="26280" customFormat="false" ht="15" hidden="false" customHeight="false" outlineLevel="0" collapsed="false">
      <c r="A26280" s="0" t="e">
        <f aca="false">_xlfn.FORECAST.ETS.SEASONALITY({30.5;32.8;44.26;34.38;35.7;46.84;36;39;50.6;40;41.39;56},{44712;44742;44773;44804;44834;44865;44895;44926;44957;44985;45016;45046},0)</f>
        <v>#VALUE!</v>
      </c>
      <c r="B26280" s="0" t="s">
        <v>26100</v>
      </c>
    </row>
    <row r="26281" customFormat="false" ht="15" hidden="false" customHeight="false" outlineLevel="0" collapsed="false">
      <c r="A26281" s="0" t="n">
        <f aca="false">_xlfn.FORECAST.ETS({5.25},{7.31;14;16.21;9;19.72;21.1;14.24;22;24.1},{1;1.5;2;2.5;3;3.5;4;4.5;5})</f>
        <v>20.8425</v>
      </c>
      <c r="B26281" s="0" t="s">
        <v>26101</v>
      </c>
    </row>
    <row r="26282" customFormat="false" ht="15" hidden="false" customHeight="false" outlineLevel="0" collapsed="false">
      <c r="A26282" s="0" t="n">
        <f aca="false">_xlfn.FORECAST.ETS.STAT({7.31;14;16.21;9;19.72;21.1;14.24;22;24.1},{1;1.5;2;2.5;3;3.5;4;4.5;5},{1})</f>
        <v>0.5</v>
      </c>
      <c r="B26282" s="0" t="s">
        <v>26102</v>
      </c>
    </row>
    <row r="26283" customFormat="false" ht="15" hidden="false" customHeight="false" outlineLevel="0" collapsed="false">
      <c r="A26283" s="0" t="n">
        <f aca="false">_xlfn.FORECAST.ETS.SEASONALITY({7.31;14;16.21;9;19.72;21.1;14.24;22;24.1},{1;1.5;2;2.5;3;3.5;4;4.5;5})</f>
        <v>3</v>
      </c>
      <c r="B26283" s="0" t="s">
        <v>26103</v>
      </c>
    </row>
    <row r="26284" customFormat="false" ht="15" hidden="false" customHeight="false" outlineLevel="0" collapsed="false">
      <c r="A26284" s="0" t="n">
        <f aca="false">_xlfn.FORECAST.ETS(45019,{38.11;43;45.68;49;54.27;56;61;63.42;66.16;70.82;79;83;84.11;88;91;95.65;98;102},{45000;45001;45002;45003;45004;45005;45006;45007;45008;45009;45011;45012;45013;45014;45015;45016;45017;45018},0,,5)</f>
        <v>105.777940267571</v>
      </c>
      <c r="B26284" s="0" t="s">
        <v>26104</v>
      </c>
    </row>
    <row r="26285" customFormat="false" ht="15" hidden="false" customHeight="false" outlineLevel="0" collapsed="false">
      <c r="A26285" s="0" t="n">
        <f aca="false">_xlfn.ORG.LIBREOFFICE.FORECAST.ETS.STAT.MULT({38.11;43;45.68;49;54.27;56;61;63.42;66.16;70.82;79;83;84.11;88;91;95.65;98;102},{45000;45001;45002;45003;45004;45005;45006;45007;45008;45009;45011;45012;45013;45014;45015;45016;45017;45018},{4;5},0,,5)</f>
        <v>0.235015971676288</v>
      </c>
      <c r="B26285" s="0" t="s">
        <v>26105</v>
      </c>
    </row>
    <row r="26286" customFormat="false" ht="15" hidden="false" customHeight="false" outlineLevel="0" collapsed="false">
      <c r="A26286" s="0" t="n">
        <f aca="false">_xlfn.FORECAST.ETS.SEASONALITY({38.11;43;45.68;49;54.27;56;61;63.42;66.16;70.82;79;83;84.11;88;91;95.65;98;102},{45000;45001;45002;45003;45004;45005;45006;45007;45008;45009;45011;45012;45013;45014;45015;45016;45017;45018})</f>
        <v>6</v>
      </c>
      <c r="B26286" s="0" t="s">
        <v>26106</v>
      </c>
    </row>
    <row r="26287" customFormat="false" ht="15" hidden="false" customHeight="false" outlineLevel="0" collapsed="false">
      <c r="A26287" s="0" t="n">
        <f aca="false">_xlfn.ORG.LIBREOFFICE.FORECAST.ETS.PI.MULT(45021,{38.11;43;45.68;49;54.27;56;61;63.42;66.16;70.82;79;83;84.11;88;91;95.65;98;102},{45000;45001;45002;45003;45004;45005;45006;45007;45008;45009;45011;45012;45013;45014;45015;45016;45017;45018},0,0,1)</f>
        <v>0</v>
      </c>
      <c r="B26287" s="0" t="s">
        <v>26107</v>
      </c>
    </row>
    <row r="26288" customFormat="false" ht="15" hidden="false" customHeight="false" outlineLevel="0" collapsed="false">
      <c r="A26288" s="0" t="n">
        <f aca="false">_xlfn.ORG.LIBREOFFICE.FORECAST.ETS.MULT({9;8.5;8},{58;49.8;98;52.7;37.1;62},{1;2;3;5;6;7},2)</f>
        <v>71.5935708688534</v>
      </c>
      <c r="B26288" s="0" t="s">
        <v>26108</v>
      </c>
    </row>
    <row r="26289" customFormat="false" ht="15" hidden="false" customHeight="false" outlineLevel="0" collapsed="false">
      <c r="A26289" s="0" t="n">
        <f aca="false">_xlfn.FORECAST.ETS.STAT({58;49.8;98;52.7;37.1;62},{1;2;3;5;6;7},{5},2)</f>
        <v>0.187292480878486</v>
      </c>
      <c r="B26289" s="0" t="s">
        <v>26109</v>
      </c>
    </row>
    <row r="26290" customFormat="false" ht="15" hidden="false" customHeight="false" outlineLevel="0" collapsed="false">
      <c r="A26290" s="0" t="n">
        <f aca="false">_xlfn.FORECAST.ETS.SEASONALITY({58;49.8;98;52.7;37.1;62},{1;2;3;5;6;7},1,3)</f>
        <v>1</v>
      </c>
      <c r="B26290" s="0" t="s">
        <v>26110</v>
      </c>
    </row>
    <row r="26291" customFormat="false" ht="15" hidden="false" customHeight="false" outlineLevel="0" collapsed="false">
      <c r="A26291" s="0" t="n">
        <f aca="false">_xlfn.FORECAST.ETS({41.5},{42;5;73;67.8;92},{3;10;17;24;31},2,0)</f>
        <v>132.8</v>
      </c>
      <c r="B26291" s="0" t="s">
        <v>26111</v>
      </c>
    </row>
    <row r="26292" customFormat="false" ht="15" hidden="false" customHeight="false" outlineLevel="0" collapsed="false">
      <c r="A26292" s="0" t="n">
        <f aca="false">_xlfn.ORG.LIBREOFFICE.FORECAST.ETS.STAT.MULT({42;5;73;67.8;92},{3;10;17;24;31},{7;3;6;5;8;4;9;2;1},2,0)</f>
        <v>52.7265987829007</v>
      </c>
      <c r="B26292" s="0" t="s">
        <v>26112</v>
      </c>
    </row>
    <row r="26293" customFormat="false" ht="15" hidden="false" customHeight="false" outlineLevel="0" collapsed="false">
      <c r="A26293" s="0" t="n">
        <f aca="false">_xlfn.FORECAST.ETS.SEASONALITY({42;5;73;67.8;92},{3;10;17;24;31},1,4)</f>
        <v>2</v>
      </c>
      <c r="B26293" s="0" t="s">
        <v>26113</v>
      </c>
    </row>
    <row r="26294" customFormat="false" ht="15" hidden="false" customHeight="false" outlineLevel="0" collapsed="false">
      <c r="A26294" s="0" t="n">
        <f aca="false">_xlfn.FORECAST.ETS(13.5,{42.2;45;48.9;51.02;53;57.8;60.1;64;67.8;69;72;76.04;78.24},{1;2;3;4;5;6;7;8;9;10;11;12;13},2,1)</f>
        <v>80.2154176348997</v>
      </c>
      <c r="B26294" s="0" t="s">
        <v>26114</v>
      </c>
    </row>
    <row r="26295" customFormat="false" ht="15" hidden="false" customHeight="false" outlineLevel="0" collapsed="false">
      <c r="A26295" s="0" t="n">
        <f aca="false">_xlfn.ORG.LIBREOFFICE.FORECAST.ETS.STAT.MULT({42.2;45;48.9;51.02;53;57.8;60.1;64;67.8;69;72;76.04;78.24},{1;2;3;4;5;6;7;8;9;10;11;12;13},{9;4},2,1)</f>
        <v>2</v>
      </c>
      <c r="B26295" s="0" t="s">
        <v>26115</v>
      </c>
    </row>
    <row r="26296" customFormat="false" ht="15" hidden="false" customHeight="false" outlineLevel="0" collapsed="false">
      <c r="A26296" s="0" t="n">
        <f aca="false">_xlfn.FORECAST.ETS.SEASONALITY({42.2;45;48.9;51.02;53;57.8;60.1;64;67.8;69;72;76.04;78.24},{1;2;3;4;5;6;7;8;9;10;11;12;13})</f>
        <v>6</v>
      </c>
      <c r="B26296" s="0" t="s">
        <v>26116</v>
      </c>
    </row>
    <row r="26297" customFormat="false" ht="15" hidden="false" customHeight="false" outlineLevel="0" collapsed="false">
      <c r="A26297" s="0" t="n">
        <f aca="false">_xlfn.ORG.LIBREOFFICE.FORECAST.ETS.PI.MULT(14,{42.2;45;48.9;51.02;53;57.8;60.1;64;67.8;69;72;76.04;78.24},{1;2;3;4;5;6;7;8;9;10;11;12;13},0.99,0,1,4)</f>
        <v>1.85392453145248</v>
      </c>
      <c r="B26297" s="0" t="s">
        <v>26117</v>
      </c>
    </row>
    <row r="26298" customFormat="false" ht="15" hidden="false" customHeight="false" outlineLevel="0" collapsed="false">
      <c r="A26298" s="0" t="n">
        <f aca="false">_xlfn.ORG.LIBREOFFICE.FORECAST.ETS.MULT(16,{73;15.55;4.6;68.85;28;91;77.98;89.22;32;90;47;79;29.4;27.2},{1;2;3;4;5;6;7;8;9;10;11;12;13;14},0,,3)</f>
        <v>20.1538461538462</v>
      </c>
      <c r="B26298" s="0" t="s">
        <v>26118</v>
      </c>
    </row>
    <row r="26299" customFormat="false" ht="15" hidden="false" customHeight="false" outlineLevel="0" collapsed="false">
      <c r="A26299" s="0" t="n">
        <f aca="false">_xlfn.ORG.LIBREOFFICE.FORECAST.ETS.STAT.MULT({73;15.55;4.6;68.85;28;91;77.98;89.22;32;90;47;79;29.4;27.2},{1;2;3;4;5;6;7;8;9;10;11;12;13;14},{9;3;8;7;1;2;5;6;4},0,,3)</f>
        <v>0</v>
      </c>
      <c r="B26299" s="0" t="s">
        <v>26119</v>
      </c>
    </row>
    <row r="26300" customFormat="false" ht="15" hidden="false" customHeight="false" outlineLevel="0" collapsed="false">
      <c r="A26300" s="0" t="n">
        <f aca="false">_xlfn.FORECAST.ETS.SEASONALITY({73;15.55;4.6;68.85;28;91;77.98;89.22;32;90;47;79;29.4;27.2},{1;2;3;4;5;6;7;8;9;10;11;12;13;14},0,7)</f>
        <v>6</v>
      </c>
      <c r="B26300" s="0" t="s">
        <v>26120</v>
      </c>
    </row>
    <row r="26301" customFormat="false" ht="15" hidden="false" customHeight="false" outlineLevel="0" collapsed="false">
      <c r="A26301" s="0" t="n">
        <f aca="false">_xlfn.FORECAST.ETS(1,{37.66;38.47;42.1;38.48;42.1;44.89;47.33;42.07;46;47.43;51;48.66;50;52;55.4;53.14},{1;1.5;2;2.5;3;3.5;4;4.5;5;5.5;6;6.5;7;7.5;8;8.5})</f>
        <v>37.66</v>
      </c>
      <c r="B26301" s="0" t="s">
        <v>26121</v>
      </c>
    </row>
    <row r="26302" customFormat="false" ht="15" hidden="false" customHeight="false" outlineLevel="0" collapsed="false">
      <c r="A26302" s="0" t="n">
        <f aca="false">_xlfn.FORECAST.ETS.STAT({37.66;38.47;42.1;38.48;42.1;44.89;47.33;42.07;46;47.43;51;48.66;50;52;55.4;53.14},{1;1.5;2;2.5;3;3.5;4;4.5;5;5.5;6;6.5;7;7.5;8;8.5},{7;8})</f>
        <v>0.871936423356201</v>
      </c>
      <c r="B26302" s="0" t="s">
        <v>26122</v>
      </c>
    </row>
    <row r="26303" customFormat="false" ht="15" hidden="false" customHeight="false" outlineLevel="0" collapsed="false">
      <c r="A26303" s="0" t="n">
        <f aca="false">_xlfn.FORECAST.ETS.SEASONALITY({37.66;38.47;42.1;38.48;42.1;44.89;47.33;42.07;46;47.43;51;48.66;50;52;55.4;53.14},{1;1.5;2;2.5;3;3.5;4;4.5;5;5.5;6;6.5;7;7.5;8;8.5})</f>
        <v>4</v>
      </c>
      <c r="B26303" s="0" t="s">
        <v>26123</v>
      </c>
    </row>
    <row r="26304" customFormat="false" ht="15" hidden="false" customHeight="false" outlineLevel="0" collapsed="false">
      <c r="A26304" s="0" t="e">
        <f aca="false">_xlfn.FORECAST.ETS({44924;44954},{15;19.24;25;29;32.3;36.24;41.7;45;50.15},{44592;44620;44651;44681;44712;44742;44773;44804;44834},4,0,1)</f>
        <v>#VALUE!</v>
      </c>
      <c r="B26304" s="0" t="s">
        <v>26124</v>
      </c>
    </row>
    <row r="26305" customFormat="false" ht="15" hidden="false" customHeight="false" outlineLevel="0" collapsed="false">
      <c r="A26305" s="0" t="e">
        <f aca="false">_xlfn.FORECAST.ETS.STAT({15;19.24;25;29;32.3;36.24;41.7;45;50.15},{44592;44620;44651;44681;44712;44742;44773;44804;44834},{6;1},4,0,1)</f>
        <v>#VALUE!</v>
      </c>
      <c r="B26305" s="0" t="s">
        <v>26125</v>
      </c>
    </row>
    <row r="26306" customFormat="false" ht="15" hidden="false" customHeight="false" outlineLevel="0" collapsed="false">
      <c r="A26306" s="0" t="e">
        <f aca="false">_xlfn.FORECAST.ETS.SEASONALITY({15;19.24;25;29;32.3;36.24;41.7;45;50.15},{44592;44620;44651;44681;44712;44742;44773;44804;44834},0,3)</f>
        <v>#VALUE!</v>
      </c>
      <c r="B26306" s="0" t="s">
        <v>26126</v>
      </c>
    </row>
    <row r="26307" customFormat="false" ht="15" hidden="false" customHeight="false" outlineLevel="0" collapsed="false">
      <c r="A26307" s="0" t="n">
        <f aca="false">_xlfn.FORECAST.ETS(13.25,{17;84.57;5.1;35;25.7;35.64;42.96;10;65;6;76.32;78.48;63.6;32.5;3},{1;2;3;4;5;6;7;8;9;10;11;12;13;14;15},1,1)</f>
        <v>61.5089285714286</v>
      </c>
      <c r="B26307" s="0" t="s">
        <v>26127</v>
      </c>
    </row>
    <row r="26308" customFormat="false" ht="15" hidden="false" customHeight="false" outlineLevel="0" collapsed="false">
      <c r="A26308" s="0" t="n">
        <f aca="false">_xlfn.ORG.LIBREOFFICE.FORECAST.ETS.STAT.MULT({17;84.57;5.1;35;25.7;35.64;42.96;10;65;6;76.32;78.48;63.6;32.5;3},{1;2;3;4;5;6;7;8;9;10;11;12;13;14;15},{6},1,1)</f>
        <v>13.3050317630805</v>
      </c>
      <c r="B26308" s="0" t="s">
        <v>26128</v>
      </c>
    </row>
    <row r="26309" customFormat="false" ht="15" hidden="false" customHeight="false" outlineLevel="0" collapsed="false">
      <c r="A26309" s="0" t="n">
        <f aca="false">_xlfn.FORECAST.ETS.SEASONALITY({17;84.57;5.1;35;25.7;35.64;42.96;10;65;6;76.32;78.48;63.6;32.5;3},{1;2;3;4;5;6;7;8;9;10;11;12;13;14;15},1)</f>
        <v>7</v>
      </c>
      <c r="B26309" s="0" t="s">
        <v>26129</v>
      </c>
    </row>
    <row r="26310" customFormat="false" ht="15" hidden="false" customHeight="false" outlineLevel="0" collapsed="false">
      <c r="A26310" s="0" t="n">
        <f aca="false">_xlfn.ORG.LIBREOFFICE.FORECAST.ETS.MULT(3.625,{44.3;36;54;41.59;59.5;44.74},{1;1.5;2;2.5;3;3.5},2,1,7)</f>
        <v>49.4717831335062</v>
      </c>
      <c r="B26310" s="0" t="s">
        <v>26130</v>
      </c>
    </row>
    <row r="26311" customFormat="false" ht="15" hidden="false" customHeight="false" outlineLevel="0" collapsed="false">
      <c r="A26311" s="0" t="n">
        <f aca="false">_xlfn.FORECAST.ETS.STAT({44.3;36;54;41.59;59.5;44.74},{1;1.5;2;2.5;3;3.5},{2;8;9;3;4;7;1;6;5},2,1,7)</f>
        <v>1</v>
      </c>
      <c r="B26311" s="0" t="s">
        <v>26131</v>
      </c>
    </row>
    <row r="26312" customFormat="false" ht="15" hidden="false" customHeight="false" outlineLevel="0" collapsed="false">
      <c r="A26312" s="0" t="n">
        <f aca="false">_xlfn.FORECAST.ETS.SEASONALITY({44.3;36;54;41.59;59.5;44.74},{1;1.5;2;2.5;3;3.5},0,4)</f>
        <v>2</v>
      </c>
      <c r="B26312" s="0" t="s">
        <v>26132</v>
      </c>
    </row>
    <row r="26313" customFormat="false" ht="15" hidden="false" customHeight="false" outlineLevel="0" collapsed="false">
      <c r="A26313" s="0" t="n">
        <f aca="false">_xlfn.FORECAST.ETS(45273,{6.35;34.3;86;53.51;95.38;92.88;4;24;1.2;7.7;18;37;77.1;82.7;69.6;60},{44696;44727;44757;44788;44819;44849;44880;44910;44941;44972;45000;45031;45061;45092;45122;45153},0,,5)</f>
        <v>76.6318778998921</v>
      </c>
      <c r="B26313" s="0" t="s">
        <v>26133</v>
      </c>
    </row>
    <row r="26314" customFormat="false" ht="15" hidden="false" customHeight="false" outlineLevel="0" collapsed="false">
      <c r="A26314" s="0" t="n">
        <f aca="false">_xlfn.ORG.LIBREOFFICE.FORECAST.ETS.STAT.MULT({6.35;34.3;86;53.51;95.38;92.88;4;24;1.2;7.7;18;37;77.1;82.7;69.6;60},{44696;44727;44757;44788;44819;44849;44880;44910;44941;44972;45000;45031;45061;45092;45122;45153},{9},0,,5)</f>
        <v>0</v>
      </c>
      <c r="B26314" s="0" t="s">
        <v>26134</v>
      </c>
    </row>
    <row r="26315" customFormat="false" ht="15" hidden="false" customHeight="false" outlineLevel="0" collapsed="false">
      <c r="A26315" s="0" t="n">
        <f aca="false">_xlfn.FORECAST.ETS.SEASONALITY({6.35;34.3;86;53.51;95.38;92.88;4;24;1.2;7.7;18;37;77.1;82.7;69.6;60},{44696;44727;44757;44788;44819;44849;44880;44910;44941;44972;45000;45031;45061;45092;45122;45153},0)</f>
        <v>5</v>
      </c>
      <c r="B26315" s="0" t="s">
        <v>26135</v>
      </c>
    </row>
    <row r="26316" customFormat="false" ht="15" hidden="false" customHeight="false" outlineLevel="0" collapsed="false">
      <c r="A26316" s="0" t="e">
        <f aca="false">_xlfn.FORECAST.ETS({44924,44894,44924},{16.9;18.89;15;17;15;14.38;14;14},{44620;44651;44681;44712;44742;44773;44804;44834},2,,1)</f>
        <v>#VALUE!</v>
      </c>
      <c r="B26316" s="0" t="s">
        <v>26136</v>
      </c>
    </row>
    <row r="26317" customFormat="false" ht="15" hidden="false" customHeight="false" outlineLevel="0" collapsed="false">
      <c r="A26317" s="0" t="e">
        <f aca="false">_xlfn.FORECAST.ETS.STAT({16.9;18.89;15;17;15;14.38;14;14},{44620;44651;44681;44712;44742;44773;44804;44834},{1;8;9;2;3;6;5;4;7},2,,1)</f>
        <v>#VALUE!</v>
      </c>
      <c r="B26317" s="0" t="s">
        <v>26137</v>
      </c>
    </row>
    <row r="26318" customFormat="false" ht="15" hidden="false" customHeight="false" outlineLevel="0" collapsed="false">
      <c r="A26318" s="0" t="e">
        <f aca="false">_xlfn.FORECAST.ETS.SEASONALITY({16.9;18.89;15;17;15;14.38;14;14},{44620;44651;44681;44712;44742;44773;44804;44834},0)</f>
        <v>#VALUE!</v>
      </c>
      <c r="B26318" s="0" t="s">
        <v>26138</v>
      </c>
    </row>
    <row r="26319" customFormat="false" ht="15" hidden="false" customHeight="false" outlineLevel="0" collapsed="false">
      <c r="A26319" s="0" t="n">
        <f aca="false">_xlfn.FORECAST.ETS({18;16;15.5},{47;47;47.3;47.26;47.26;47;47;47.26;47.26;47;47.3;47;47.3;47},{1;2;3;4;5;6;7;8;9;10;11;12;13;14},0,,4)</f>
        <v>47.1265925514698</v>
      </c>
      <c r="B26319" s="0" t="s">
        <v>26139</v>
      </c>
    </row>
    <row r="26320" customFormat="false" ht="15" hidden="false" customHeight="false" outlineLevel="0" collapsed="false">
      <c r="A26320" s="0" t="n">
        <f aca="false">_xlfn.ORG.LIBREOFFICE.FORECAST.ETS.STAT.MULT({47;47;47.3;47.26;47.26;47;47;47.26;47.26;47;47.3;47;47.3;47},{1;2;3;4;5;6;7;8;9;10;11;12;13;14},{1},0,,4)</f>
        <v>0.25</v>
      </c>
      <c r="B26320" s="0" t="s">
        <v>26140</v>
      </c>
    </row>
    <row r="26321" customFormat="false" ht="15" hidden="false" customHeight="false" outlineLevel="0" collapsed="false">
      <c r="A26321" s="0" t="n">
        <f aca="false">_xlfn.FORECAST.ETS.SEASONALITY({47;47;47.3;47.26;47.26;47;47;47.26;47.26;47;47.3;47;47.3;47},{1;2;3;4;5;6;7;8;9;10;11;12;13;14})</f>
        <v>2</v>
      </c>
      <c r="B26321" s="0" t="s">
        <v>26141</v>
      </c>
    </row>
    <row r="26322" customFormat="false" ht="15" hidden="false" customHeight="false" outlineLevel="0" collapsed="false">
      <c r="A26322" s="0" t="n">
        <f aca="false">_xlfn.ORG.LIBREOFFICE.FORECAST.ETS.MULT({19},{38.82;39;38.8;38.82;38.82;38.82;38.82;38.82;38.8;39;39;39;38.8;38.8;38.8;38.8;38.82},{1;2;3;4;5;6;7;8;9;10;11;12;13;14;15;16;17},2)</f>
        <v>38.7757487295107</v>
      </c>
      <c r="B26322" s="0" t="s">
        <v>26142</v>
      </c>
    </row>
    <row r="26323" customFormat="false" ht="15" hidden="false" customHeight="false" outlineLevel="0" collapsed="false">
      <c r="A26323" s="0" t="n">
        <f aca="false">_xlfn.ORG.LIBREOFFICE.FORECAST.ETS.STAT.MULT({38.82;39;38.8;38.82;38.82;38.82;38.82;38.82;38.8;39;39;39;38.8;38.8;38.8;38.8;38.82},{1;2;3;4;5;6;7;8;9;10;11;12;13;14;15;16;17},{1;3;9;7;2;6;8;5;4},2)</f>
        <v>0.5</v>
      </c>
      <c r="B26323" s="0" t="s">
        <v>26143</v>
      </c>
    </row>
    <row r="26324" customFormat="false" ht="15" hidden="false" customHeight="false" outlineLevel="0" collapsed="false">
      <c r="A26324" s="0" t="n">
        <f aca="false">_xlfn.FORECAST.ETS.SEASONALITY({38.82;39;38.8;38.82;38.82;38.82;38.82;38.82;38.8;39;39;39;38.8;38.8;38.8;38.8;38.82},{1;2;3;4;5;6;7;8;9;10;11;12;13;14;15;16;17},1)</f>
        <v>8</v>
      </c>
      <c r="B26324" s="0" t="s">
        <v>26144</v>
      </c>
    </row>
    <row r="26325" customFormat="false" ht="15" hidden="false" customHeight="false" outlineLevel="0" collapsed="false">
      <c r="A26325" s="0" t="n">
        <f aca="false">_xlfn.FORECAST.ETS({27},{15;15;14.83;14.8;15;14.8;14.8;14.83;15;14.8;14.83;14.8;14.8;15;14.8;14.83;15;14.8;14.83;15;14.83;14.8;14.83},{1;2;3;4;5;6;7;8;9;11;12;13;14;15;16;17;18;19;20;21;22;23;24},1,,1)</f>
        <v>14.9550455729166</v>
      </c>
      <c r="B26325" s="0" t="s">
        <v>26145</v>
      </c>
    </row>
    <row r="26326" customFormat="false" ht="15" hidden="false" customHeight="false" outlineLevel="0" collapsed="false">
      <c r="A26326" s="0" t="n">
        <f aca="false">_xlfn.FORECAST.ETS.STAT({15;15;14.83;14.8;15;14.8;14.8;14.83;15;14.8;14.83;14.8;14.8;15;14.8;14.83;15;14.8;14.83;15;14.83;14.8;14.83},{1;2;3;4;5;6;7;8;9;11;12;13;14;15;16;17;18;19;20;21;22;23;24},{5;1;9;6;4;3;8;2;7},1,,1)</f>
        <v>0.00343704438112851</v>
      </c>
      <c r="B26326" s="0" t="s">
        <v>26146</v>
      </c>
    </row>
    <row r="26327" customFormat="false" ht="15" hidden="false" customHeight="false" outlineLevel="0" collapsed="false">
      <c r="A26327" s="0" t="n">
        <f aca="false">_xlfn.FORECAST.ETS.SEASONALITY({15;15;14.83;14.8;15;14.8;14.8;14.83;15;14.8;14.83;14.8;14.8;15;14.8;14.83;15;14.8;14.83;15;14.83;14.8;14.83},{1;2;3;4;5;6;7;8;9;11;12;13;14;15;16;17;18;19;20;21;22;23;24},1)</f>
        <v>9</v>
      </c>
      <c r="B26327" s="0" t="s">
        <v>26147</v>
      </c>
    </row>
    <row r="26328" customFormat="false" ht="15" hidden="false" customHeight="false" outlineLevel="0" collapsed="false">
      <c r="A26328" s="0" t="n">
        <f aca="false">_xlfn.ORG.LIBREOFFICE.FORECAST.ETS.MULT(9,{48;53.6;35.3;36.6;67.53;62.4;66.87;42.9;44.3;79.2;74;80.26;51;51.7;92},{1;1.5;2;2.5;3;3.5;4;4.5;5;5.5;6;6.5;7;7.5;8},5,1,4)</f>
        <v>93.3390083958272</v>
      </c>
      <c r="B26328" s="0" t="s">
        <v>26148</v>
      </c>
    </row>
    <row r="26329" customFormat="false" ht="15" hidden="false" customHeight="false" outlineLevel="0" collapsed="false">
      <c r="A26329" s="0" t="n">
        <f aca="false">_xlfn.FORECAST.ETS.STAT({48;53.6;35.3;36.6;67.53;62.4;66.87;42.9;44.3;79.2;74;80.26;51;51.7;92},{1;1.5;2;2.5;3;3.5;4;4.5;5;5.5;6;6.5;7;7.5;8},{9;6;4;8;1;7;2;5;3},5,1,4)</f>
        <v>5</v>
      </c>
      <c r="B26329" s="0" t="s">
        <v>26149</v>
      </c>
    </row>
    <row r="26330" customFormat="false" ht="15" hidden="false" customHeight="false" outlineLevel="0" collapsed="false">
      <c r="A26330" s="0" t="n">
        <f aca="false">_xlfn.FORECAST.ETS.SEASONALITY({48;53.6;35.3;36.6;67.53;62.4;66.87;42.9;44.3;79.2;74;80.26;51;51.7;92},{1;1.5;2;2.5;3;3.5;4;4.5;5;5.5;6;6.5;7;7.5;8},1)</f>
        <v>5</v>
      </c>
      <c r="B26330" s="0" t="s">
        <v>26150</v>
      </c>
    </row>
    <row r="26331" customFormat="false" ht="15" hidden="false" customHeight="false" outlineLevel="0" collapsed="false">
      <c r="A26331" s="0" t="n">
        <f aca="false">_xlfn.ORG.LIBREOFFICE.FORECAST.ETS.PI.MULT({8.5;9;9.5},{48;53.6;35.3;36.6;67.53;62.4;66.87;42.9;44.3;79.2;74;80.26;51;51.7;92},{1;1.5;2;2.5;3;3.5;4;4.5;5;5.5;6;6.5;7;7.5;8},0.9,0,1,5)</f>
        <v>27.5553570915563</v>
      </c>
      <c r="B26331" s="0" t="s">
        <v>26151</v>
      </c>
    </row>
    <row r="26332" customFormat="false" ht="15" hidden="false" customHeight="false" outlineLevel="0" collapsed="false">
      <c r="A26332" s="0" t="n">
        <f aca="false">_xlfn.FORECAST.ETS({45503},{33.9;42;46.75;46;41.29;41.62;48.8;52.8;53.27;47.81;48;56;60.06;58.1;56.13;55;63.55;65.4;65.34;62;60.83;70.6;73;71;68},{44757;44788;44819;44849;44880;44910;44941;44972;45000;45031;45061;45092;45122;45153;45184;45214;45245;45275;45306;45337;45366;45397;45427;45458;45488})</f>
        <v>68.212453418879</v>
      </c>
      <c r="B26332" s="0" t="s">
        <v>26152</v>
      </c>
    </row>
    <row r="26333" customFormat="false" ht="15" hidden="false" customHeight="false" outlineLevel="0" collapsed="false">
      <c r="A26333" s="0" t="n">
        <f aca="false">_xlfn.FORECAST.ETS.STAT({33.9;42;46.75;46;41.29;41.62;48.8;52.8;53.27;47.81;48;56;60.06;58.1;56.13;55;63.55;65.4;65.34;62;60.83;70.6;73;71;68},{44757;44788;44819;44849;44880;44910;44941;44972;45000;45031;45061;45092;45122;45153;45184;45214;45245;45275;45306;45337;45366;45397;45427;45458;45488},{3})</f>
        <v>0.58984375</v>
      </c>
      <c r="B26333" s="0" t="s">
        <v>26153</v>
      </c>
    </row>
    <row r="26334" customFormat="false" ht="15" hidden="false" customHeight="false" outlineLevel="0" collapsed="false">
      <c r="A26334" s="0" t="n">
        <f aca="false">_xlfn.FORECAST.ETS.SEASONALITY({33.9;42;46.75;46;41.29;41.62;48.8;52.8;53.27;47.81;48;56;60.06;58.1;56.13;55;63.55;65.4;65.34;62;60.83;70.6;73;71;68},{44757;44788;44819;44849;44880;44910;44941;44972;45000;45031;45061;45092;45122;45153;45184;45214;45245;45275;45306;45337;45366;45397;45427;45458;45488})</f>
        <v>5</v>
      </c>
      <c r="B26334" s="0" t="s">
        <v>26154</v>
      </c>
    </row>
    <row r="26335" customFormat="false" ht="15" hidden="false" customHeight="false" outlineLevel="0" collapsed="false">
      <c r="A26335" s="0" t="n">
        <f aca="false">_xlfn.FORECAST.ETS(5.75,{31.7;44;61.3;39.9;87.83;69.9;32.3;49.1;12.95},{1.5;4.5;5;3;4;1;2.5;3.5;2},1,,7)</f>
        <v>48.4924328815194</v>
      </c>
      <c r="B26335" s="0" t="s">
        <v>26155</v>
      </c>
    </row>
    <row r="26336" customFormat="false" ht="15" hidden="false" customHeight="false" outlineLevel="0" collapsed="false">
      <c r="A26336" s="0" t="n">
        <f aca="false">_xlfn.FORECAST.ETS.STAT({31.7;44;61.3;39.9;87.83;69.9;32.3;49.1;12.95},{1.5;4.5;5;3;4;1;2.5;3.5;2},{4},1,,7)</f>
        <v>0.947680352075342</v>
      </c>
      <c r="B26336" s="0" t="s">
        <v>26156</v>
      </c>
    </row>
    <row r="26337" customFormat="false" ht="15" hidden="false" customHeight="false" outlineLevel="0" collapsed="false">
      <c r="A26337" s="0" t="n">
        <f aca="false">_xlfn.FORECAST.ETS.SEASONALITY({31.7;44;61.3;39.9;87.83;69.9;32.3;49.1;12.95},{1.5;4.5;5;3;4;1;2.5;3.5;2},0)</f>
        <v>2</v>
      </c>
      <c r="B26337" s="0" t="s">
        <v>26157</v>
      </c>
    </row>
    <row r="26338" customFormat="false" ht="15" hidden="false" customHeight="false" outlineLevel="0" collapsed="false">
      <c r="A26338" s="0" t="n">
        <f aca="false">_xlfn.FORECAST.ETS.CONFINT({5.5;6;6.5},{31.7;44;61.3;39.9;87.83;69.9;32.3;49.1;12.95},{1.5;4.5;5;3;4;1;2.5;3.5;2},0.99,0)</f>
        <v>68.0810240477026</v>
      </c>
      <c r="B26338" s="0" t="s">
        <v>26158</v>
      </c>
    </row>
    <row r="26339" customFormat="false" ht="15" hidden="false" customHeight="false" outlineLevel="0" collapsed="false">
      <c r="A26339" s="0" t="n">
        <f aca="false">_xlfn.FORECAST.ETS(15.75,{27.32;28.3;29.7;29.9;35.7;45;45;47.8;50.4;51.3;57;65.2;67;69;68.94;78;84.06;86.44;89.48;88.35;88.68;97.3;103;105.09;109.8;108.61;111.2;116.7;124.2},{1;1.5;2;2.5;3;3.5;4;4.5;5;5.5;6;6.5;7;7.5;8.5;9;9.5;10;10.5;11;11.5;12;12.5;13;13.5;14;14.5;15;15.5})</f>
        <v>124.96625</v>
      </c>
      <c r="B26339" s="0" t="s">
        <v>26159</v>
      </c>
    </row>
    <row r="26340" customFormat="false" ht="15" hidden="false" customHeight="false" outlineLevel="0" collapsed="false">
      <c r="A26340" s="0" t="n">
        <f aca="false">_xlfn.ORG.LIBREOFFICE.FORECAST.ETS.STAT.MULT({27.32;28.3;29.7;29.9;35.7;45;45;47.8;50.4;51.3;57;65.2;67;69;68.94;78;84.06;86.44;89.48;88.35;88.68;97.3;103;105.09;109.8;108.61;111.2;116.7;124.2},{1;1.5;2;2.5;3;3.5;4;4.5;5;5.5;6;6.5;7;7.5;8.5;9;9.5;10;10.5;11;11.5;12;12.5;13;13.5;14;14.5;15;15.5},{3;4;2;6;5;1;9;7;8})</f>
        <v>1</v>
      </c>
      <c r="B26340" s="0" t="s">
        <v>26160</v>
      </c>
    </row>
    <row r="26341" customFormat="false" ht="15" hidden="false" customHeight="false" outlineLevel="0" collapsed="false">
      <c r="A26341" s="0" t="n">
        <f aca="false">_xlfn.FORECAST.ETS.SEASONALITY({27.32;28.3;29.7;29.9;35.7;45;45;47.8;50.4;51.3;57;65.2;67;69;68.94;78;84.06;86.44;89.48;88.35;88.68;97.3;103;105.09;109.8;108.61;111.2;116.7;124.2},{1;1.5;2;2.5;3;3.5;4;4.5;5;5.5;6;6.5;7;7.5;8.5;9;9.5;10;10.5;11;11.5;12;12.5;13;13.5;14;14.5;15;15.5})</f>
        <v>6</v>
      </c>
      <c r="B26341" s="0" t="s">
        <v>26161</v>
      </c>
    </row>
    <row r="26342" customFormat="false" ht="15" hidden="false" customHeight="false" outlineLevel="0" collapsed="false">
      <c r="A26342" s="0" t="n">
        <f aca="false">_xlfn.FORECAST.ETS({4.25;5.5},{41;98.8;60.35;49;87;83.7;71.4},{1;1.5;2;2.5;3;3.5;4},0,0)</f>
        <v>84.0008430804814</v>
      </c>
      <c r="B26342" s="0" t="s">
        <v>26162</v>
      </c>
    </row>
    <row r="26343" customFormat="false" ht="15" hidden="false" customHeight="false" outlineLevel="0" collapsed="false">
      <c r="A26343" s="0" t="n">
        <f aca="false">_xlfn.FORECAST.ETS.STAT({41;98.8;60.35;49;87;83.7;71.4},{1;1.5;2;2.5;3;3.5;4},{2},0,0)</f>
        <v>0.0830078125</v>
      </c>
      <c r="B26343" s="0" t="s">
        <v>26163</v>
      </c>
    </row>
    <row r="26344" customFormat="false" ht="15" hidden="false" customHeight="false" outlineLevel="0" collapsed="false">
      <c r="A26344" s="0" t="n">
        <f aca="false">_xlfn.FORECAST.ETS.SEASONALITY({41;98.8;60.35;49;87;83.7;71.4},{1;1.5;2;2.5;3;3.5;4},0)</f>
        <v>3</v>
      </c>
      <c r="B26344" s="0" t="s">
        <v>26164</v>
      </c>
    </row>
    <row r="26345" customFormat="false" ht="15" hidden="false" customHeight="false" outlineLevel="0" collapsed="false">
      <c r="A26345" s="0" t="n">
        <f aca="false">_xlfn.FORECAST.ETS(108,{9;10;10.7;9.1;9.4;8.98;7;6.2;8;5.35;5.24;5;6;6;4.8;4.13;5;2.81},{3;8;13;18;23;33;38;43;48;53;58;63;68;73;78;83;88;93},0)</f>
        <v>2.46171199162801</v>
      </c>
      <c r="B26345" s="0" t="s">
        <v>26165</v>
      </c>
    </row>
    <row r="26346" customFormat="false" ht="15" hidden="false" customHeight="false" outlineLevel="0" collapsed="false">
      <c r="A26346" s="0" t="n">
        <f aca="false">_xlfn.FORECAST.ETS.STAT({9;10;10.7;9.1;9.4;8.98;7;6.2;8;5.35;5.24;5;6;6;4.8;4.13;5;2.81},{3;8;13;18;23;33;38;43;48;53;58;63;68;73;78;83;88;93},{6},0)</f>
        <v>0.914648808844296</v>
      </c>
      <c r="B26346" s="0" t="s">
        <v>26166</v>
      </c>
    </row>
    <row r="26347" customFormat="false" ht="15" hidden="false" customHeight="false" outlineLevel="0" collapsed="false">
      <c r="A26347" s="0" t="n">
        <f aca="false">_xlfn.FORECAST.ETS.SEASONALITY({9;10;10.7;9.1;9.4;8.98;7;6.2;8;5.35;5.24;5;6;6;4.8;4.13;5;2.81},{3;8;13;18;23;33;38;43;48;53;58;63;68;73;78;83;88;93},0)</f>
        <v>5</v>
      </c>
      <c r="B26347" s="0" t="s">
        <v>26167</v>
      </c>
    </row>
    <row r="26348" customFormat="false" ht="15" hidden="false" customHeight="false" outlineLevel="0" collapsed="false">
      <c r="A26348" s="0" t="n">
        <f aca="false">_xlfn.FORECAST.ETS({10.5},{31.6;31;36;35;39.2;44.96;43;48.1;48.42},{1;2;3;4;5;7;8;9;10},1,0)</f>
        <v>37.552041015625</v>
      </c>
      <c r="B26348" s="0" t="s">
        <v>26168</v>
      </c>
    </row>
    <row r="26349" customFormat="false" ht="15" hidden="false" customHeight="false" outlineLevel="0" collapsed="false">
      <c r="A26349" s="0" t="n">
        <f aca="false">_xlfn.FORECAST.ETS.STAT({31.6;31;36;35;39.2;44.96;43;48.1;48.42},{1;2;3;4;5;7;8;9;10},{4;2;1;8;7;3;9;6;5},1,0)</f>
        <v>0.767692497761178</v>
      </c>
      <c r="B26349" s="0" t="s">
        <v>26169</v>
      </c>
    </row>
    <row r="26350" customFormat="false" ht="15" hidden="false" customHeight="false" outlineLevel="0" collapsed="false">
      <c r="A26350" s="0" t="n">
        <f aca="false">_xlfn.FORECAST.ETS.SEASONALITY({31.6;31;36;35;39.2;44.96;43;48.1;48.42},{1;2;3;4;5;7;8;9;10},1,5)</f>
        <v>4</v>
      </c>
      <c r="B26350" s="0" t="s">
        <v>26170</v>
      </c>
    </row>
    <row r="26351" customFormat="false" ht="15" hidden="false" customHeight="false" outlineLevel="0" collapsed="false">
      <c r="A26351" s="0" t="e">
        <f aca="false">_xlfn.ORG.LIBREOFFICE.FORECAST.ETS.MULT({45152},{34.9;34.9;34.9;34.9;35;35;35;35;34.87;35;35},{44834;44985;44865;45107;44926;44957;44895;44804;45046;45077;45016},0,1)</f>
        <v>#VALUE!</v>
      </c>
      <c r="B26351" s="0" t="s">
        <v>26171</v>
      </c>
    </row>
    <row r="26352" customFormat="false" ht="15" hidden="false" customHeight="false" outlineLevel="0" collapsed="false">
      <c r="A26352" s="0" t="e">
        <f aca="false">_xlfn.ORG.LIBREOFFICE.FORECAST.ETS.STAT.MULT({34.9;34.9;34.9;34.9;35;35;35;35;34.87;35;35},{44834;44985;44865;45107;44926;44957;44895;44804;45046;45077;45016},{3;5},0,1)</f>
        <v>#VALUE!</v>
      </c>
      <c r="B26352" s="0" t="s">
        <v>26172</v>
      </c>
    </row>
    <row r="26353" customFormat="false" ht="15" hidden="false" customHeight="false" outlineLevel="0" collapsed="false">
      <c r="A26353" s="0" t="e">
        <f aca="false">_xlfn.FORECAST.ETS.SEASONALITY({34.9;34.9;34.9;34.9;35;35;35;35;34.87;35;35},{44834;44985;44865;45107;44926;44957;44895;44804;45046;45077;45016})</f>
        <v>#VALUE!</v>
      </c>
      <c r="B26353" s="0" t="s">
        <v>26173</v>
      </c>
    </row>
    <row r="26354" customFormat="false" ht="15" hidden="false" customHeight="false" outlineLevel="0" collapsed="false">
      <c r="A26354" s="0" t="n">
        <f aca="false">_xlfn.FORECAST.ETS({158,158,173},{15;11.2;13.6;8.9;12;6.8;7.72;8.7;4.4;6;2.54;2.85;0.4;-0.2;1.75;2.45},{3;13;23;23;33;43;53;63;73;83;93;103;113;123;133;143},1,0,6)</f>
        <v>-1.97689879430722</v>
      </c>
      <c r="B26354" s="0" t="s">
        <v>26174</v>
      </c>
    </row>
    <row r="26355" customFormat="false" ht="15" hidden="false" customHeight="false" outlineLevel="0" collapsed="false">
      <c r="A26355" s="0" t="n">
        <f aca="false">_xlfn.ORG.LIBREOFFICE.FORECAST.ETS.STAT.MULT({15;11.2;13.6;8.9;12;6.8;7.72;8.7;4.4;6;2.54;2.85;0.4;-0.2;1.75;2.45},{3;13;23;23;33;43;53;63;73;83;93;103;113;123;133;143},{5},1,0,6)</f>
        <v>0.56874765400461</v>
      </c>
      <c r="B26355" s="0" t="s">
        <v>26175</v>
      </c>
    </row>
    <row r="26356" customFormat="false" ht="15" hidden="false" customHeight="false" outlineLevel="0" collapsed="false">
      <c r="A26356" s="0" t="n">
        <f aca="false">_xlfn.FORECAST.ETS.SEASONALITY({15;11.2;13.6;8.9;12;6.8;7.72;8.7;4.4;6;2.54;2.85;0.4;-0.2;1.75;2.45},{3;13;23;23;33;43;53;63;73;83;93;103;113;123;133;143},1,3)</f>
        <v>4</v>
      </c>
      <c r="B26356" s="0" t="s">
        <v>26176</v>
      </c>
    </row>
    <row r="26357" customFormat="false" ht="15" hidden="false" customHeight="false" outlineLevel="0" collapsed="false">
      <c r="A26357" s="0" t="n">
        <f aca="false">_xlfn.FORECAST.ETS(4.5,{34;34.47;34.5;34.5;34;34.47;34;34.5;34.5;34.5;34.5;34;34;34.47},{1;1.5;2;2.5;3;3.5;4;4.5;5;5.5;6;6.5;7;7.5},1,,1)</f>
        <v>34.5</v>
      </c>
      <c r="B26357" s="0" t="s">
        <v>26177</v>
      </c>
    </row>
    <row r="26358" customFormat="false" ht="15" hidden="false" customHeight="false" outlineLevel="0" collapsed="false">
      <c r="A26358" s="0" t="n">
        <f aca="false">_xlfn.FORECAST.ETS.STAT({34;34.47;34.5;34.5;34;34.47;34;34.5;34.5;34.5;34.5;34;34;34.47},{1;1.5;2;2.5;3;3.5;4;4.5;5;5.5;6;6.5;7;7.5},{7;1;2;8;9;6;3;4;5},1,,1)</f>
        <v>0.190657377194845</v>
      </c>
      <c r="B26358" s="0" t="s">
        <v>26178</v>
      </c>
    </row>
    <row r="26359" customFormat="false" ht="15" hidden="false" customHeight="false" outlineLevel="0" collapsed="false">
      <c r="A26359" s="0" t="n">
        <f aca="false">_xlfn.FORECAST.ETS.SEASONALITY({34;34.47;34.5;34.5;34;34.47;34;34.5;34.5;34.5;34.5;34;34;34.47},{1;1.5;2;2.5;3;3.5;4;4.5;5;5.5;6;6.5;7;7.5})</f>
        <v>7</v>
      </c>
      <c r="B26359" s="0" t="s">
        <v>26179</v>
      </c>
    </row>
    <row r="26360" customFormat="false" ht="15" hidden="false" customHeight="false" outlineLevel="0" collapsed="false">
      <c r="A26360" s="0" t="n">
        <f aca="false">_xlfn.FORECAST.ETS({243;208},{5.67;5.7;5.67;6;6;5.67;6;5.67;5.7;5.7;5.7;6;5.7;5.67;5.67;5.67;5.67;5.7;5.67;6;5.7},{3;13;23;33;43;53;63;73;83;93;103;113;123;133;143;153;163;173;183;193;203},5,0,4)</f>
        <v>5.94</v>
      </c>
      <c r="B26360" s="0" t="s">
        <v>26180</v>
      </c>
    </row>
    <row r="26361" customFormat="false" ht="15" hidden="false" customHeight="false" outlineLevel="0" collapsed="false">
      <c r="A26361" s="0" t="n">
        <f aca="false">_xlfn.ORG.LIBREOFFICE.FORECAST.ETS.STAT.MULT({5.67;5.7;5.67;6;6;5.67;6;5.67;5.7;5.7;5.7;6;5.7;5.67;5.67;5.67;5.67;5.7;5.67;6;5.7},{3;13;23;33;43;53;63;73;83;93;103;113;123;133;143;153;163;173;183;193;203},{8;1},5,0,4)</f>
        <v>10</v>
      </c>
      <c r="B26361" s="0" t="s">
        <v>26181</v>
      </c>
    </row>
    <row r="26362" customFormat="false" ht="15" hidden="false" customHeight="false" outlineLevel="0" collapsed="false">
      <c r="A26362" s="0" t="n">
        <f aca="false">_xlfn.FORECAST.ETS.SEASONALITY({5.67;5.7;5.67;6;6;5.67;6;5.67;5.7;5.7;5.7;6;5.7;5.67;5.67;5.67;5.67;5.7;5.67;6;5.7},{3;13;23;33;43;53;63;73;83;93;103;113;123;133;143;153;163;173;183;193;203},0,1)</f>
        <v>8</v>
      </c>
      <c r="B26362" s="0" t="s">
        <v>26182</v>
      </c>
    </row>
    <row r="26363" customFormat="false" ht="15" hidden="false" customHeight="false" outlineLevel="0" collapsed="false">
      <c r="A26363" s="0" t="n">
        <f aca="false">_xlfn.FORECAST.ETS.CONFINT(223,{5.67;5.7;5.67;6;6;5.67;6;5.67;5.7;5.7;5.7;6;5.7;5.67;5.67;5.67;5.67;5.7;5.67;6;5.7},{3;13;23;33;43;53;63;73;83;93;103;113;123;133;143;153;163;173;183;193;203},0,0,1,5)</f>
        <v>0</v>
      </c>
      <c r="B26363" s="0" t="s">
        <v>26183</v>
      </c>
    </row>
    <row r="26364" customFormat="false" ht="15" hidden="false" customHeight="false" outlineLevel="0" collapsed="false">
      <c r="A26364" s="0" t="n">
        <f aca="false">_xlfn.ORG.LIBREOFFICE.FORECAST.ETS.MULT({45425,45530,45425},{75.51;49.2;73.8;66;71.36;34;99;23.6;79.4;16.05;1.11;65.14;80;6.25;85;98.1;52.5;29.09;42.65;79.4;46.68},{44801;44832;44862;44893;44923;44954;44985;45013;45044;45074;45105;45135;45166;45197;45227;45258;45288;45319;45350;45379;45410},3,1,4)</f>
        <v>54.7866398378843</v>
      </c>
      <c r="B26364" s="0" t="s">
        <v>26184</v>
      </c>
    </row>
    <row r="26365" customFormat="false" ht="15" hidden="false" customHeight="false" outlineLevel="0" collapsed="false">
      <c r="A26365" s="0" t="n">
        <f aca="false">_xlfn.ORG.LIBREOFFICE.FORECAST.ETS.STAT.MULT({75.51;49.2;73.8;66;71.36;34;99;23.6;79.4;16.05;1.11;65.14;80;6.25;85;98.1;52.5;29.09;42.65;79.4;46.68},{44801;44832;44862;44893;44923;44954;44985;45013;45044;45074;45105;45135;45166;45197;45227;45258;45288;45319;45350;45379;45410},{6;4;2;1;9;5;3;8;7},3,1,4)</f>
        <v>26.2294789397475</v>
      </c>
      <c r="B26365" s="0" t="s">
        <v>26185</v>
      </c>
    </row>
    <row r="26366" customFormat="false" ht="15" hidden="false" customHeight="false" outlineLevel="0" collapsed="false">
      <c r="A26366" s="0" t="n">
        <f aca="false">_xlfn.FORECAST.ETS.SEASONALITY({75.51;49.2;73.8;66;71.36;34;99;23.6;79.4;16.05;1.11;65.14;80;6.25;85;98.1;52.5;29.09;42.65;79.4;46.68},{44801;44832;44862;44893;44923;44954;44985;45013;45044;45074;45105;45135;45166;45197;45227;45258;45288;45319;45350;45379;45410},0)</f>
        <v>8</v>
      </c>
      <c r="B26366" s="0" t="s">
        <v>26186</v>
      </c>
    </row>
    <row r="26367" customFormat="false" ht="15" hidden="false" customHeight="false" outlineLevel="0" collapsed="false">
      <c r="A26367" s="0" t="n">
        <f aca="false">_xlfn.FORECAST.ETS({45408;45348},{21;20.6;20.6;20.6;20.63;21;20.6;20.6;21;20.6;20.63;20.6;20.6;21;20.63;20.63;20.63;20.63;20.6;20.63;20.6;21;21},{44620;44648;44679;44709;44740;44770;44801;44832;44862;44893;44923;44954;44985;45013;45044;45074;45105;45135;45166;45197;45227;45258;45288},1)</f>
        <v>21.0473333333337</v>
      </c>
      <c r="B26367" s="0" t="s">
        <v>26187</v>
      </c>
    </row>
    <row r="26368" customFormat="false" ht="15" hidden="false" customHeight="false" outlineLevel="0" collapsed="false">
      <c r="A26368" s="0" t="n">
        <f aca="false">_xlfn.ORG.LIBREOFFICE.FORECAST.ETS.STAT.MULT({21;20.6;20.6;20.6;20.63;21;20.6;20.6;21;20.6;20.63;20.6;20.6;21;20.63;20.63;20.63;20.63;20.6;20.63;20.6;21;21},{44620;44648;44679;44709;44740;44770;44801;44832;44862;44893;44923;44954;44985;45013;45044;45074;45105;45135;45166;45197;45227;45258;45288},{1},1)</f>
        <v>0</v>
      </c>
      <c r="B26368" s="0" t="s">
        <v>26188</v>
      </c>
    </row>
    <row r="26369" customFormat="false" ht="15" hidden="false" customHeight="false" outlineLevel="0" collapsed="false">
      <c r="A26369" s="0" t="n">
        <f aca="false">_xlfn.FORECAST.ETS.SEASONALITY({21;20.6;20.6;20.6;20.63;21;20.6;20.6;21;20.6;20.63;20.6;20.6;21;20.63;20.63;20.63;20.63;20.6;20.63;20.6;21;21},{44620;44648;44679;44709;44740;44770;44801;44832;44862;44893;44923;44954;44985;45013;45044;45074;45105;45135;45166;45197;45227;45258;45288})</f>
        <v>5</v>
      </c>
      <c r="B26369" s="0" t="s">
        <v>26189</v>
      </c>
    </row>
    <row r="26370" customFormat="false" ht="15" hidden="false" customHeight="false" outlineLevel="0" collapsed="false">
      <c r="A26370" s="0" t="n">
        <f aca="false">_xlfn.ORG.LIBREOFFICE.FORECAST.ETS.MULT(143,{13;29.96;66;66.08;25;91.29;14.5;65;66.31;43.17;11;22;5.04},{3;13;23;33;43;53;53;63;73;83;93;103;113})</f>
        <v>57.1172949193781</v>
      </c>
      <c r="B26370" s="0" t="s">
        <v>26190</v>
      </c>
    </row>
    <row r="26371" customFormat="false" ht="15" hidden="false" customHeight="false" outlineLevel="0" collapsed="false">
      <c r="A26371" s="0" t="n">
        <f aca="false">_xlfn.ORG.LIBREOFFICE.FORECAST.ETS.STAT.MULT({13;29.96;66;66.08;25;91.29;14.5;65;66.31;43.17;11;22;5.04},{3;13;23;33;43;53;53;63;73;83;93;103;113},{9;6;5;2;1;7;4;3;8})</f>
        <v>5</v>
      </c>
      <c r="B26371" s="0" t="s">
        <v>26191</v>
      </c>
    </row>
    <row r="26372" customFormat="false" ht="15" hidden="false" customHeight="false" outlineLevel="0" collapsed="false">
      <c r="A26372" s="0" t="n">
        <f aca="false">_xlfn.FORECAST.ETS.SEASONALITY({13;29.96;66;66.08;25;91.29;14.5;65;66.31;43.17;11;22;5.04},{3;13;23;33;43;53;53;63;73;83;93;103;113},0,5)</f>
        <v>4</v>
      </c>
      <c r="B26372" s="0" t="s">
        <v>26192</v>
      </c>
    </row>
    <row r="26373" customFormat="false" ht="15" hidden="false" customHeight="false" outlineLevel="0" collapsed="false">
      <c r="A26373" s="0" t="n">
        <f aca="false">_xlfn.FORECAST.ETS({45045;45030},{15;14.17;14.89;13;12;18.8;16.09;19.57},{44923;44770;44985;44893;44954;44862;44832;44801},4,0,1)</f>
        <v>12.039624391862</v>
      </c>
      <c r="B26373" s="0" t="s">
        <v>26193</v>
      </c>
    </row>
    <row r="26374" customFormat="false" ht="15" hidden="false" customHeight="false" outlineLevel="0" collapsed="false">
      <c r="A26374" s="0" t="n">
        <f aca="false">_xlfn.FORECAST.ETS.STAT({15;14.17;14.89;13;12;18.8;16.09;19.57},{44923;44770;44985;44893;44954;44862;44832;44801},{4},4,0,1)</f>
        <v>0.0584398840788834</v>
      </c>
      <c r="B26374" s="0" t="s">
        <v>26194</v>
      </c>
    </row>
    <row r="26375" customFormat="false" ht="15" hidden="false" customHeight="false" outlineLevel="0" collapsed="false">
      <c r="A26375" s="0" t="n">
        <f aca="false">_xlfn.FORECAST.ETS.SEASONALITY({15;14.17;14.89;13;12;18.8;16.09;19.57},{44923;44770;44985;44893;44954;44862;44832;44801})</f>
        <v>4</v>
      </c>
      <c r="B26375" s="0" t="s">
        <v>26195</v>
      </c>
    </row>
    <row r="26376" customFormat="false" ht="15" hidden="false" customHeight="false" outlineLevel="0" collapsed="false">
      <c r="A26376" s="0" t="n">
        <f aca="false">_xlfn.FORECAST.ETS(5.25,{11.1;11.11;9.24;8;10.3;10.1;9;11.14;11;11.5;9.45;10.68;9.4;4.5;9.92},{1;2;3;4;5;6;7;8;9;10;11;12;13;13;14})</f>
        <v>10.25</v>
      </c>
      <c r="B26376" s="0" t="s">
        <v>26196</v>
      </c>
    </row>
    <row r="26377" customFormat="false" ht="15" hidden="false" customHeight="false" outlineLevel="0" collapsed="false">
      <c r="A26377" s="0" t="n">
        <f aca="false">_xlfn.ORG.LIBREOFFICE.FORECAST.ETS.STAT.MULT({11.1;11.11;9.24;8;10.3;10.1;9;11.14;11;11.5;9.45;10.68;9.4;4.5;9.92},{1;2;3;4;5;6;7;8;9;10;11;12;13;13;14},{3})</f>
        <v>0</v>
      </c>
      <c r="B26377" s="0" t="s">
        <v>26197</v>
      </c>
    </row>
    <row r="26378" customFormat="false" ht="15" hidden="false" customHeight="false" outlineLevel="0" collapsed="false">
      <c r="A26378" s="0" t="n">
        <f aca="false">_xlfn.FORECAST.ETS.SEASONALITY({11.1;11.11;9.24;8;10.3;10.1;9;11.14;11;11.5;9.45;10.68;9.4;4.5;9.92},{1;2;3;4;5;6;7;8;9;10;11;12;13;13;14},1,3)</f>
        <v>2</v>
      </c>
      <c r="B26378" s="0" t="s">
        <v>26198</v>
      </c>
    </row>
    <row r="26379" customFormat="false" ht="15" hidden="false" customHeight="false" outlineLevel="0" collapsed="false">
      <c r="A26379" s="0" t="n">
        <f aca="false">_xlfn.FORECAST.ETS(16,{3.02;9.91;5.94;4.46;4.7;10;8;5.8;6.3;5.79;11;9.19;4.52;7.63},{1;2;3;4;5;7;8;9;10;11;12;13;14;15},5,,4)</f>
        <v>6.54034847461886</v>
      </c>
      <c r="B26379" s="0" t="s">
        <v>26199</v>
      </c>
    </row>
    <row r="26380" customFormat="false" ht="15" hidden="false" customHeight="false" outlineLevel="0" collapsed="false">
      <c r="A26380" s="0" t="n">
        <f aca="false">_xlfn.FORECAST.ETS.STAT({3.02;9.91;5.94;4.46;4.7;10;8;5.8;6.3;5.79;11;9.19;4.52;7.63},{1;2;3;4;5;7;8;9;10;11;12;13;14;15},{1},5,,4)</f>
        <v>0.25</v>
      </c>
      <c r="B26380" s="0" t="s">
        <v>26200</v>
      </c>
    </row>
    <row r="26381" customFormat="false" ht="15" hidden="false" customHeight="false" outlineLevel="0" collapsed="false">
      <c r="A26381" s="0" t="n">
        <f aca="false">_xlfn.FORECAST.ETS.SEASONALITY({3.02;9.91;5.94;4.46;4.7;10;8;5.8;6.3;5.79;11;9.19;4.52;7.63},{1;2;3;4;5;7;8;9;10;11;12;13;14;15},1,1)</f>
        <v>5</v>
      </c>
      <c r="B26381" s="0" t="s">
        <v>26201</v>
      </c>
    </row>
    <row r="26382" customFormat="false" ht="15" hidden="false" customHeight="false" outlineLevel="0" collapsed="false">
      <c r="A26382" s="0" t="e">
        <f aca="false">_xlfn.ORG.LIBREOFFICE.FORECAST.ETS.MULT(45004.5,{57.5;70;40;80},{45000;45003;45002;45001},7,0)</f>
        <v>#VALUE!</v>
      </c>
      <c r="B26382" s="0" t="s">
        <v>26202</v>
      </c>
    </row>
    <row r="26383" customFormat="false" ht="15" hidden="false" customHeight="false" outlineLevel="0" collapsed="false">
      <c r="A26383" s="0" t="e">
        <f aca="false">_xlfn.FORECAST.ETS.STAT({57.5;70;40;80},{45000;45003;45002;45001},{7;1;6;3;4;9;8;5;2},7,0)</f>
        <v>#VALUE!</v>
      </c>
      <c r="B26383" s="0" t="s">
        <v>26203</v>
      </c>
    </row>
    <row r="26384" customFormat="false" ht="15" hidden="false" customHeight="false" outlineLevel="0" collapsed="false">
      <c r="A26384" s="0" t="n">
        <f aca="false">_xlfn.FORECAST.ETS.SEASONALITY({57.5;70;40;80},{45000;45003;45002;45001},0,7)</f>
        <v>2</v>
      </c>
      <c r="B26384" s="0" t="s">
        <v>26204</v>
      </c>
    </row>
    <row r="26385" customFormat="false" ht="15" hidden="false" customHeight="false" outlineLevel="0" collapsed="false">
      <c r="A26385" s="0" t="n">
        <f aca="false">_xlfn.FORECAST.ETS({45034.5,45037,45035},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)</f>
        <v>86.8648997101352</v>
      </c>
      <c r="B26385" s="0" t="s">
        <v>26205</v>
      </c>
    </row>
    <row r="26386" customFormat="false" ht="15" hidden="false" customHeight="false" outlineLevel="0" collapsed="false">
      <c r="A26386" s="0" t="n">
        <f aca="false">_xlfn.FORECAST.ETS.STAT(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{8;3;2;5;6;1;9;4;7})</f>
        <v>1</v>
      </c>
      <c r="B26386" s="0" t="s">
        <v>26206</v>
      </c>
    </row>
    <row r="26387" customFormat="false" ht="15" hidden="false" customHeight="false" outlineLevel="0" collapsed="false">
      <c r="A26387" s="0" t="n">
        <f aca="false">_xlfn.FORECAST.ETS.SEASONALITY(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1,6)</f>
        <v>7</v>
      </c>
      <c r="B26387" s="0" t="s">
        <v>26207</v>
      </c>
    </row>
    <row r="26388" customFormat="false" ht="15" hidden="false" customHeight="false" outlineLevel="0" collapsed="false">
      <c r="A26388" s="0" t="n">
        <f aca="false">_xlfn.ORG.LIBREOFFICE.FORECAST.ETS.PI.MULT({45035;45036;45037},{13.8;30;29.55;19.9;33.5;33;36.47;28;42.7;43;33.32;49;47.96;49.72;41.04;56.28;58;47;60.6;62;64.5;54.9;69.1;70;59.92;76;73.8;79.2;68.65;84.7;83;73.05;89.2;88.43;91},{45000;45001;45002;45003;45004;45005;45006;45007;45008;45009;45010;45011;45012;45013;45014;45015;45016;45017;45018;45019;45020;45021;45022;45023;45024;45025;45026;45027;45028;45029;45030;45031;45032;45033;45034},0.5,0,1,3)</f>
        <v>4.40526088623198</v>
      </c>
      <c r="B26388" s="0" t="s">
        <v>26208</v>
      </c>
    </row>
    <row r="26389" customFormat="false" ht="15" hidden="false" customHeight="false" outlineLevel="0" collapsed="false">
      <c r="A26389" s="0" t="e">
        <f aca="false">_xlfn.ORG.LIBREOFFICE.FORECAST.ETS.MULT({45122},{21;33;21.89;37.46;26.5;40.7;25.8;29;46.15},{44865;44895;44926;44957;44985;45016;45016;45046;45077},2)</f>
        <v>#VALUE!</v>
      </c>
      <c r="B26389" s="0" t="s">
        <v>26209</v>
      </c>
    </row>
    <row r="26390" customFormat="false" ht="15" hidden="false" customHeight="false" outlineLevel="0" collapsed="false">
      <c r="A26390" s="0" t="e">
        <f aca="false">_xlfn.ORG.LIBREOFFICE.FORECAST.ETS.STAT.MULT({21;33;21.89;37.46;26.5;40.7;25.8;29;46.15},{44865;44895;44926;44957;44985;45016;45016;45046;45077},{2;1},2)</f>
        <v>#VALUE!</v>
      </c>
      <c r="B26390" s="0" t="s">
        <v>26210</v>
      </c>
    </row>
    <row r="26391" customFormat="false" ht="15" hidden="false" customHeight="false" outlineLevel="0" collapsed="false">
      <c r="A26391" s="0" t="e">
        <f aca="false">_xlfn.FORECAST.ETS.SEASONALITY({21;33;21.89;37.46;26.5;40.7;25.8;29;46.15},{44865;44895;44926;44957;44985;45016;45016;45046;45077},0,3)</f>
        <v>#VALUE!</v>
      </c>
      <c r="B26391" s="0" t="s">
        <v>26211</v>
      </c>
    </row>
    <row r="26392" customFormat="false" ht="15" hidden="false" customHeight="false" outlineLevel="0" collapsed="false">
      <c r="A26392" s="0" t="n">
        <f aca="false">_xlfn.FORECAST.ETS(23,{44.2;39.4;54;58.9;59.3;50.14;70.3;72.7;70.65;60;84;88.7;85.39;71.38;96;103;98;81;112;117.54},{1;2;3;4;5;6;7;8;9;10;11;12;13;14;15;16;17;18;19;20},0,,5)</f>
        <v>119.10344313011</v>
      </c>
      <c r="B26392" s="0" t="s">
        <v>26212</v>
      </c>
    </row>
    <row r="26393" customFormat="false" ht="15" hidden="false" customHeight="false" outlineLevel="0" collapsed="false">
      <c r="A26393" s="0" t="n">
        <f aca="false">_xlfn.ORG.LIBREOFFICE.FORECAST.ETS.STAT.MULT({44.2;39.4;54;58.9;59.3;50.14;70.3;72.7;70.65;60;84;88.7;85.39;71.38;96;103;98;81;112;117.54},{1;2;3;4;5;6;7;8;9;10;11;12;13;14;15;16;17;18;19;20},{7;4;2;1;3;9;8;6;5},0,,5)</f>
        <v>9.67167505117304</v>
      </c>
      <c r="B26393" s="0" t="s">
        <v>26213</v>
      </c>
    </row>
    <row r="26394" customFormat="false" ht="15" hidden="false" customHeight="false" outlineLevel="0" collapsed="false">
      <c r="A26394" s="0" t="n">
        <f aca="false">_xlfn.FORECAST.ETS.SEASONALITY({44.2;39.4;54;58.9;59.3;50.14;70.3;72.7;70.65;60;84;88.7;85.39;71.38;96;103;98;81;112;117.54},{1;2;3;4;5;6;7;8;9;10;11;12;13;14;15;16;17;18;19;20},1,3)</f>
        <v>4</v>
      </c>
      <c r="B26394" s="0" t="s">
        <v>26214</v>
      </c>
    </row>
    <row r="26395" customFormat="false" ht="15" hidden="false" customHeight="false" outlineLevel="0" collapsed="false">
      <c r="A26395" s="0" t="n">
        <f aca="false">_xlfn.FORECAST.ETS({45014.5},{44.93;62;57.2;50;69.66;65;57;79.2;74;62.5;88.7;82;69;96;87.8},{45000;45001;45002;45003;45004;45005;45006;45007;45008;45009;45010;45011;45012;45013;45014},0,,6)</f>
        <v>91.8274325626886</v>
      </c>
      <c r="B26395" s="0" t="s">
        <v>26215</v>
      </c>
    </row>
    <row r="26396" customFormat="false" ht="15" hidden="false" customHeight="false" outlineLevel="0" collapsed="false">
      <c r="A26396" s="0" t="n">
        <f aca="false">_xlfn.ORG.LIBREOFFICE.FORECAST.ETS.STAT.MULT({44.93;62;57.2;50;69.66;65;57;79.2;74;62.5;88.7;82;69;96;87.8},{45000;45001;45002;45003;45004;45005;45006;45007;45008;45009;45010;45011;45012;45013;45014},{1;7},0,,6)</f>
        <v>0.03125</v>
      </c>
      <c r="B26396" s="0" t="s">
        <v>26216</v>
      </c>
    </row>
    <row r="26397" customFormat="false" ht="15" hidden="false" customHeight="false" outlineLevel="0" collapsed="false">
      <c r="A26397" s="0" t="n">
        <f aca="false">_xlfn.FORECAST.ETS.SEASONALITY({44.93;62;57.2;50;69.66;65;57;79.2;74;62.5;88.7;82;69;96;87.8},{45000;45001;45002;45003;45004;45005;45006;45007;45008;45009;45010;45011;45012;45013;45014},0)</f>
        <v>3</v>
      </c>
      <c r="B26397" s="0" t="s">
        <v>26217</v>
      </c>
    </row>
    <row r="26398" customFormat="false" ht="15" hidden="false" customHeight="false" outlineLevel="0" collapsed="false">
      <c r="A26398" s="0" t="n">
        <f aca="false">_xlfn.ORG.LIBREOFFICE.FORECAST.ETS.MULT({45470,45470},{74.39;76.1;2.2;19.1;91;65.4;25.63;7.7;19;3.3;64.31;98;37.66;84;59.9;48.5;2;34.2;14.3},{45074;45319;45135;44954;45197;45288;45166;45258;44832;45105;45044;45350;44893;44923;44801;45013;44862;44985;45227},4)</f>
        <v>21.5726053752904</v>
      </c>
      <c r="B26398" s="0" t="s">
        <v>26218</v>
      </c>
    </row>
    <row r="26399" customFormat="false" ht="15" hidden="false" customHeight="false" outlineLevel="0" collapsed="false">
      <c r="A26399" s="0" t="n">
        <f aca="false">_xlfn.FORECAST.ETS.STAT({74.39;76.1;2.2;19.1;91;65.4;25.63;7.7;19;3.3;64.31;98;37.66;84;59.9;48.5;2;34.2;14.3},{45074;45319;45135;44954;45197;45288;45166;45258;44832;45105;45044;45350;44893;44923;44801;45013;44862;44985;45227},{1;7;8;5;6;4;2;3;9},4)</f>
        <v>0.25</v>
      </c>
      <c r="B26399" s="0" t="s">
        <v>26219</v>
      </c>
    </row>
    <row r="26400" customFormat="false" ht="15" hidden="false" customHeight="false" outlineLevel="0" collapsed="false">
      <c r="A26400" s="0" t="n">
        <f aca="false">_xlfn.FORECAST.ETS.SEASONALITY({74.39;76.1;2.2;19.1;91;65.4;25.63;7.7;19;3.3;64.31;98;37.66;84;59.9;48.5;2;34.2;14.3},{45074;45319;45135;44954;45197;45288;45166;45258;44832;45105;45044;45350;44893;44923;44801;45013;44862;44985;45227},0,1)</f>
        <v>9</v>
      </c>
      <c r="B26400" s="0" t="s">
        <v>26220</v>
      </c>
    </row>
    <row r="26401" customFormat="false" ht="15" hidden="false" customHeight="false" outlineLevel="0" collapsed="false">
      <c r="A26401" s="0" t="n">
        <f aca="false">_xlfn.ORG.LIBREOFFICE.FORECAST.ETS.MULT(16.5,{33.98;34;33.98;34;34;34;34;34;34;34;34;33.98;34;33.98;33.98;33.98;33.98;33.98;34;33.98;34;33.98;33.98},{1;2;3;4;5;6;7;8;9;10;11;12;13;14;15;16;17;18;19;20;21;22;23})</f>
        <v>33.9841787729806</v>
      </c>
      <c r="B26401" s="0" t="s">
        <v>26221</v>
      </c>
    </row>
    <row r="26402" customFormat="false" ht="15" hidden="false" customHeight="false" outlineLevel="0" collapsed="false">
      <c r="A26402" s="0" t="n">
        <f aca="false">_xlfn.FORECAST.ETS.STAT({33.98;34;33.98;34;34;34;34;34;34;34;34;33.98;34;33.98;33.98;33.98;33.98;33.98;34;33.98;34;33.98;33.98},{1;2;3;4;5;6;7;8;9;10;11;12;13;14;15;16;17;18;19;20;21;22;23},{8;5;4;7;1;3;2;6;9})</f>
        <v>1</v>
      </c>
      <c r="B26402" s="0" t="s">
        <v>26222</v>
      </c>
    </row>
    <row r="26403" customFormat="false" ht="15" hidden="false" customHeight="false" outlineLevel="0" collapsed="false">
      <c r="A26403" s="0" t="n">
        <f aca="false">_xlfn.FORECAST.ETS.SEASONALITY({33.98;34;33.98;34;34;34;34;34;34;34;34;33.98;34;33.98;33.98;33.98;33.98;33.98;34;33.98;34;33.98;33.98},{1;2;3;4;5;6;7;8;9;10;11;12;13;14;15;16;17;18;19;20;21;22;23})</f>
        <v>8</v>
      </c>
      <c r="B26403" s="0" t="s">
        <v>26223</v>
      </c>
    </row>
    <row r="26404" customFormat="false" ht="15" hidden="false" customHeight="false" outlineLevel="0" collapsed="false">
      <c r="A26404" s="0" t="n">
        <f aca="false">_xlfn.FORECAST.ETS.CONFINT({24;25;26},{33.98;34;33.98;34;34;34;34;34;34;34;34;33.98;34;33.98;33.98;33.98;33.98;33.98;34;33.98;34;33.98;33.98},{1;2;3;4;5;6;7;8;9;10;11;12;13;14;15;16;17;18;19;20;21;22;23},0.5,0,1)</f>
        <v>0.00719330069299633</v>
      </c>
      <c r="B26404" s="0" t="s">
        <v>26224</v>
      </c>
    </row>
    <row r="26405" customFormat="false" ht="15" hidden="false" customHeight="false" outlineLevel="0" collapsed="false">
      <c r="A26405" s="0" t="e">
        <f aca="false">_xlfn.ORG.LIBREOFFICE.FORECAST.ETS.MULT({45047;45047},{52.2;49.16;55.95;53;60.86;58;66.5;65},{44742;44773;44804;44834;44865;44895;44926;44957},2,0,4)</f>
        <v>#VALUE!</v>
      </c>
      <c r="B26405" s="0" t="s">
        <v>26225</v>
      </c>
    </row>
    <row r="26406" customFormat="false" ht="15" hidden="false" customHeight="false" outlineLevel="0" collapsed="false">
      <c r="A26406" s="0" t="e">
        <f aca="false">_xlfn.FORECAST.ETS.STAT({52.2;49.16;55.95;53;60.86;58;66.5;65},{44742;44773;44804;44834;44865;44895;44926;44957},{5;4},2,0,4)</f>
        <v>#VALUE!</v>
      </c>
      <c r="B26406" s="0" t="s">
        <v>26226</v>
      </c>
    </row>
    <row r="26407" customFormat="false" ht="15" hidden="false" customHeight="false" outlineLevel="0" collapsed="false">
      <c r="A26407" s="0" t="e">
        <f aca="false">_xlfn.FORECAST.ETS.SEASONALITY({52.2;49.16;55.95;53;60.86;58;66.5;65},{44742;44773;44804;44834;44865;44895;44926;44957},0,4)</f>
        <v>#VALUE!</v>
      </c>
      <c r="B26407" s="0" t="s">
        <v>26227</v>
      </c>
    </row>
    <row r="26408" customFormat="false" ht="15" hidden="false" customHeight="false" outlineLevel="0" collapsed="false">
      <c r="A26408" s="0" t="n">
        <f aca="false">_xlfn.FORECAST.ETS({13},{35;19.6;30.86;31.3;17.2;25.1;26.6;10.3;19.67},{1;2;3;4;5;6;7;8;9},3,0,5)</f>
        <v>13.5610510214211</v>
      </c>
      <c r="B26408" s="0" t="s">
        <v>26228</v>
      </c>
    </row>
    <row r="26409" customFormat="false" ht="15" hidden="false" customHeight="false" outlineLevel="0" collapsed="false">
      <c r="A26409" s="0" t="n">
        <f aca="false">_xlfn.FORECAST.ETS.STAT({35;19.6;30.86;31.3;17.2;25.1;26.6;10.3;19.67},{1;2;3;4;5;6;7;8;9},{5;8;2;7;9;3;6;4;1},3,0,5)</f>
        <v>0.0416704135294266</v>
      </c>
      <c r="B26409" s="0" t="s">
        <v>26229</v>
      </c>
    </row>
    <row r="26410" customFormat="false" ht="15" hidden="false" customHeight="false" outlineLevel="0" collapsed="false">
      <c r="A26410" s="0" t="n">
        <f aca="false">_xlfn.FORECAST.ETS.SEASONALITY({35;19.6;30.86;31.3;17.2;25.1;26.6;10.3;19.67},{1;2;3;4;5;6;7;8;9},1)</f>
        <v>3</v>
      </c>
      <c r="B26410" s="0" t="s">
        <v>26230</v>
      </c>
    </row>
    <row r="26411" customFormat="false" ht="15" hidden="false" customHeight="false" outlineLevel="0" collapsed="false">
      <c r="A26411" s="0" t="n">
        <f aca="false">_xlfn.ORG.LIBREOFFICE.FORECAST.ETS.MULT(44842.5,{19;19.2;19.25;19.25;19.25;19;19.2;19.25;19;19;19;19.25;19;19.25;19.2;19.25;19.2;19.25;19.2;19;19.25;19;19;19},{44743;44774;44805;44835;44866;44896;44927;44958;44986;45017;45047;45078;45108;45139;45170;45200;45231;45261;45292;45323;45352;45383;45413;45444},0,,1)</f>
        <v>19.2415322580645</v>
      </c>
      <c r="B26411" s="0" t="s">
        <v>26231</v>
      </c>
    </row>
    <row r="26412" customFormat="false" ht="15" hidden="false" customHeight="false" outlineLevel="0" collapsed="false">
      <c r="A26412" s="0" t="n">
        <f aca="false">_xlfn.FORECAST.ETS.STAT({19;19.2;19.25;19.25;19.25;19;19.2;19.25;19;19;19;19.25;19;19.25;19.2;19.25;19.2;19.25;19.2;19;19.25;19;19;19},{44743;44774;44805;44835;44866;44896;44927;44958;44986;45017;45047;45078;45108;45139;45170;45200;45231;45261;45292;45323;45352;45383;45413;45444},{7;5},0,,1)</f>
        <v>0.134007339020798</v>
      </c>
      <c r="B26412" s="0" t="s">
        <v>26232</v>
      </c>
    </row>
    <row r="26413" customFormat="false" ht="15" hidden="false" customHeight="false" outlineLevel="0" collapsed="false">
      <c r="A26413" s="0" t="n">
        <f aca="false">_xlfn.FORECAST.ETS.SEASONALITY({19;19.2;19.25;19.25;19.25;19;19.2;19.25;19;19;19;19.25;19;19.25;19.2;19.25;19.2;19.25;19.2;19;19.25;19;19;19},{44743;44774;44805;44835;44866;44896;44927;44958;44986;45017;45047;45078;45108;45139;45170;45200;45231;45261;45292;45323;45352;45383;45413;45444},0,5)</f>
        <v>7</v>
      </c>
      <c r="B26413" s="0" t="s">
        <v>26233</v>
      </c>
    </row>
    <row r="26414" customFormat="false" ht="15" hidden="false" customHeight="false" outlineLevel="0" collapsed="false">
      <c r="A26414" s="0" t="n">
        <f aca="false">_xlfn.ORG.LIBREOFFICE.FORECAST.ETS.MULT({45012.5},{44.9;44.9;44.86;44.86;44.86;44.86;44.86;44.86;44.9;44.86;44.86;45},{45000;45001;45002;45003;45005;45006;45007;45008;45009;45010;45011;45012},1,1)</f>
        <v>44.9361990847967</v>
      </c>
      <c r="B26414" s="0" t="s">
        <v>26234</v>
      </c>
    </row>
    <row r="26415" customFormat="false" ht="15" hidden="false" customHeight="false" outlineLevel="0" collapsed="false">
      <c r="A26415" s="0" t="n">
        <f aca="false">_xlfn.FORECAST.ETS.STAT({44.9;44.9;44.86;44.86;44.86;44.86;44.86;44.86;44.9;44.86;44.86;45},{45000;45001;45002;45003;45005;45006;45007;45008;45009;45010;45011;45012},{2;3},1,1)</f>
        <v>0.994140625</v>
      </c>
      <c r="B26415" s="0" t="s">
        <v>26235</v>
      </c>
    </row>
    <row r="26416" customFormat="false" ht="15" hidden="false" customHeight="false" outlineLevel="0" collapsed="false">
      <c r="A26416" s="0" t="n">
        <f aca="false">_xlfn.FORECAST.ETS.SEASONALITY({44.9;44.9;44.86;44.86;44.86;44.86;44.86;44.86;44.9;44.86;44.86;45},{45000;45001;45002;45003;45005;45006;45007;45008;45009;45010;45011;45012},1,3)</f>
        <v>3</v>
      </c>
      <c r="B26416" s="0" t="s">
        <v>26236</v>
      </c>
    </row>
    <row r="26417" customFormat="false" ht="15" hidden="false" customHeight="false" outlineLevel="0" collapsed="false">
      <c r="A26417" s="0" t="n">
        <f aca="false">_xlfn.ORG.LIBREOFFICE.FORECAST.ETS.MULT(2,{9;12.8;16;19.5;21.2;24.75;29;33.23;37.1;11.3;39;42.02;45;49.47;51.71;57;57.33},{1;1.5;2;2.5;3;3.5;4;4.5;5;5;5.5;6;6.5;7;7.5;8;8.5},3,,4)</f>
        <v>16</v>
      </c>
      <c r="B26417" s="0" t="s">
        <v>26237</v>
      </c>
    </row>
    <row r="26418" customFormat="false" ht="15" hidden="false" customHeight="false" outlineLevel="0" collapsed="false">
      <c r="A26418" s="0" t="n">
        <f aca="false">_xlfn.FORECAST.ETS.STAT({9;12.8;16;19.5;21.2;24.75;29;33.23;37.1;11.3;39;42.02;45;49.47;51.71;57;57.33},{1;1.5;2;2.5;3;3.5;4;4.5;5;5;5.5;6;6.5;7;7.5;8;8.5},{8;1},3,,4)</f>
        <v>0.5</v>
      </c>
      <c r="B26418" s="0" t="s">
        <v>26238</v>
      </c>
    </row>
    <row r="26419" customFormat="false" ht="15" hidden="false" customHeight="false" outlineLevel="0" collapsed="false">
      <c r="A26419" s="0" t="n">
        <f aca="false">_xlfn.FORECAST.ETS.SEASONALITY({9;12.8;16;19.5;21.2;24.75;29;33.23;37.1;11.3;39;42.02;45;49.47;51.71;57;57.33},{1;1.5;2;2.5;3;3.5;4;4.5;5;5;5.5;6;6.5;7;7.5;8;8.5},0,3)</f>
        <v>8</v>
      </c>
      <c r="B26419" s="0" t="s">
        <v>26239</v>
      </c>
    </row>
    <row r="26420" customFormat="false" ht="15" hidden="false" customHeight="false" outlineLevel="0" collapsed="false">
      <c r="A26420" s="0" t="n">
        <f aca="false">_xlfn.ORG.LIBREOFFICE.FORECAST.ETS.MULT({62.5,55.5,66},{40.6;49;48.73;55;55;63.03;62.3;67.9},{3;10;17;24;31;38;45;52},2)</f>
        <v>72.9592684571076</v>
      </c>
      <c r="B26420" s="0" t="s">
        <v>26240</v>
      </c>
    </row>
    <row r="26421" customFormat="false" ht="15" hidden="false" customHeight="false" outlineLevel="0" collapsed="false">
      <c r="A26421" s="0" t="n">
        <f aca="false">_xlfn.FORECAST.ETS.STAT({40.6;49;48.73;55;55;63.03;62.3;67.9},{3;10;17;24;31;38;45;52},{3;6;7;1;8;4;5;9;2},2)</f>
        <v>0</v>
      </c>
      <c r="B26421" s="0" t="s">
        <v>26241</v>
      </c>
    </row>
    <row r="26422" customFormat="false" ht="15" hidden="false" customHeight="false" outlineLevel="0" collapsed="false">
      <c r="A26422" s="0" t="n">
        <f aca="false">_xlfn.FORECAST.ETS.SEASONALITY({40.6;49;48.73;55;55;63.03;62.3;67.9},{3;10;17;24;31;38;45;52},1)</f>
        <v>4</v>
      </c>
      <c r="B26422" s="0" t="s">
        <v>26242</v>
      </c>
    </row>
    <row r="26423" customFormat="false" ht="15" hidden="false" customHeight="false" outlineLevel="0" collapsed="false">
      <c r="A26423" s="0" t="n">
        <f aca="false">_xlfn.FORECAST.ETS.CONFINT(66,{40.6;49;48.73;55;55;63.03;62.3;67.9},{3;10;17;24;31;38;45;52},0,0,1)</f>
        <v>0</v>
      </c>
      <c r="B26423" s="0" t="s">
        <v>26243</v>
      </c>
    </row>
    <row r="26424" customFormat="false" ht="15" hidden="false" customHeight="false" outlineLevel="0" collapsed="false">
      <c r="A26424" s="0" t="e">
        <f aca="false">_xlfn.ORG.LIBREOFFICE.FORECAST.ETS.MULT({44910},{29.9;29.9;29.9;22.6;29.9},{44804;44834;44865;44865;44895},2)</f>
        <v>#VALUE!</v>
      </c>
      <c r="B26424" s="0" t="s">
        <v>26244</v>
      </c>
    </row>
    <row r="26425" customFormat="false" ht="15" hidden="false" customHeight="false" outlineLevel="0" collapsed="false">
      <c r="A26425" s="0" t="e">
        <f aca="false">_xlfn.FORECAST.ETS.STAT({29.9;29.9;29.9;22.6;29.9},{44804;44834;44865;44865;44895},{1;2},2)</f>
        <v>#VALUE!</v>
      </c>
      <c r="B26425" s="0" t="s">
        <v>26245</v>
      </c>
    </row>
    <row r="26426" customFormat="false" ht="15" hidden="false" customHeight="false" outlineLevel="0" collapsed="false">
      <c r="A26426" s="0" t="e">
        <f aca="false">_xlfn.FORECAST.ETS.SEASONALITY({29.9;29.9;29.9;22.6;29.9},{44804;44834;44865;44865;44895},1)</f>
        <v>#VALUE!</v>
      </c>
      <c r="B26426" s="0" t="s">
        <v>26246</v>
      </c>
    </row>
    <row r="26427" customFormat="false" ht="15" hidden="false" customHeight="false" outlineLevel="0" collapsed="false">
      <c r="A26427" s="0" t="n">
        <f aca="false">_xlfn.ORG.LIBREOFFICE.FORECAST.ETS.MULT({45123;45138;45168},{34;31.7;28;39.45;27;35.28;31.6;28;25;33.1;33.56;25.7;37;26.17;33.91;29.2;29.7;36.4},{44986;44866;44774;45108;44682;45017;44835;44713;44593;44896;44927;44652;45078;44621;44958;44805;44743;45047},1,0,3)</f>
        <v>39.0531258640491</v>
      </c>
      <c r="B26427" s="0" t="s">
        <v>26247</v>
      </c>
    </row>
    <row r="26428" customFormat="false" ht="15" hidden="false" customHeight="false" outlineLevel="0" collapsed="false">
      <c r="A26428" s="0" t="n">
        <f aca="false">_xlfn.FORECAST.ETS.STAT({34;31.7;28;39.45;27;35.28;31.6;28;25;33.1;33.56;25.7;37;26.17;33.91;29.2;29.7;36.4},{44986;44866;44774;45108;44682;45017;44835;44713;44593;44896;44927;44652;45078;44621;44958;44805;44743;45047},{3;6},1,0,3)</f>
        <v>0</v>
      </c>
      <c r="B26428" s="0" t="s">
        <v>26248</v>
      </c>
    </row>
    <row r="26429" customFormat="false" ht="15" hidden="false" customHeight="false" outlineLevel="0" collapsed="false">
      <c r="A26429" s="0" t="n">
        <f aca="false">_xlfn.FORECAST.ETS.SEASONALITY({34;31.7;28;39.45;27;35.28;31.6;28;25;33.1;33.56;25.7;37;26.17;33.91;29.2;29.7;36.4},{44986;44866;44774;45108;44682;45017;44835;44713;44593;44896;44927;44652;45078;44621;44958;44805;44743;45047},1,1)</f>
        <v>9</v>
      </c>
      <c r="B26429" s="0" t="s">
        <v>26249</v>
      </c>
    </row>
    <row r="26430" customFormat="false" ht="15" hidden="false" customHeight="false" outlineLevel="0" collapsed="false">
      <c r="A26430" s="0" t="n">
        <f aca="false">_xlfn.ORG.LIBREOFFICE.FORECAST.ETS.MULT({58,63},{29.67;43;34.7;50.5;51.3;43;56;47.45;61.8;65.32},{3;8;13;18;23;28;33;38;43;48},5,1)</f>
        <v>72.1706945336031</v>
      </c>
      <c r="B26430" s="0" t="s">
        <v>26250</v>
      </c>
    </row>
    <row r="26431" customFormat="false" ht="15" hidden="false" customHeight="false" outlineLevel="0" collapsed="false">
      <c r="A26431" s="0" t="n">
        <f aca="false">_xlfn.FORECAST.ETS.STAT({29.67;43;34.7;50.5;51.3;43;56;47.45;61.8;65.32},{3;8;13;18;23;28;33;38;43;48},{8},5,1)</f>
        <v>5</v>
      </c>
      <c r="B26431" s="0" t="s">
        <v>26251</v>
      </c>
    </row>
    <row r="26432" customFormat="false" ht="15" hidden="false" customHeight="false" outlineLevel="0" collapsed="false">
      <c r="A26432" s="0" t="n">
        <f aca="false">_xlfn.FORECAST.ETS.SEASONALITY({29.67;43;34.7;50.5;51.3;43;56;47.45;61.8;65.32},{3;8;13;18;23;28;33;38;43;48},1,1)</f>
        <v>5</v>
      </c>
      <c r="B26432" s="0" t="s">
        <v>26252</v>
      </c>
    </row>
    <row r="26433" customFormat="false" ht="15" hidden="false" customHeight="false" outlineLevel="0" collapsed="false">
      <c r="A26433" s="0" t="e">
        <f aca="false">_xlfn.ORG.LIBREOFFICE.FORECAST.ETS.MULT({45153},{43.37;80.32;78;6.49;28.25;7;21.42;49.63;63.38;74;78;79.1;79.17},{44804;44834;44865;44895;44926;44926;44957;44985;45016;45046;45077;45107;45138})</f>
        <v>#VALUE!</v>
      </c>
      <c r="B26433" s="0" t="s">
        <v>26253</v>
      </c>
    </row>
    <row r="26434" customFormat="false" ht="15" hidden="false" customHeight="false" outlineLevel="0" collapsed="false">
      <c r="A26434" s="0" t="e">
        <f aca="false">_xlfn.ORG.LIBREOFFICE.FORECAST.ETS.STAT.MULT({43.37;80.32;78;6.49;28.25;7;21.42;49.63;63.38;74;78;79.1;79.17},{44804;44834;44865;44895;44926;44926;44957;44985;45016;45046;45077;45107;45138},{1})</f>
        <v>#VALUE!</v>
      </c>
      <c r="B26434" s="0" t="s">
        <v>26254</v>
      </c>
    </row>
    <row r="26435" customFormat="false" ht="15" hidden="false" customHeight="false" outlineLevel="0" collapsed="false">
      <c r="A26435" s="0" t="e">
        <f aca="false">_xlfn.FORECAST.ETS.SEASONALITY({43.37;80.32;78;6.49;28.25;7;21.42;49.63;63.38;74;78;79.1;79.17},{44804;44834;44865;44895;44926;44926;44957;44985;45016;45046;45077;45107;45138},0,3)</f>
        <v>#VALUE!</v>
      </c>
      <c r="B26435" s="0" t="s">
        <v>26255</v>
      </c>
    </row>
    <row r="26436" customFormat="false" ht="15" hidden="false" customHeight="false" outlineLevel="0" collapsed="false">
      <c r="A26436" s="0" t="n">
        <f aca="false">_xlfn.FORECAST.ETS({55.5},{36.7;63.32;60.3;25.44;40.41;53.7;70.49;51.46;23;45;31.08},{18;48;43;8;23;38;53;33;3;28;13},4)</f>
        <v>71.2345452771661</v>
      </c>
      <c r="B26436" s="0" t="s">
        <v>26256</v>
      </c>
    </row>
    <row r="26437" customFormat="false" ht="15" hidden="false" customHeight="false" outlineLevel="0" collapsed="false">
      <c r="A26437" s="0" t="n">
        <f aca="false">_xlfn.ORG.LIBREOFFICE.FORECAST.ETS.STAT.MULT({36.7;63.32;60.3;25.44;40.41;53.7;70.49;51.46;23;45;31.08},{18;48;43;8;23;38;53;33;3;28;13},{3},4)</f>
        <v>0.9951171875</v>
      </c>
      <c r="B26437" s="0" t="s">
        <v>26257</v>
      </c>
    </row>
    <row r="26438" customFormat="false" ht="15" hidden="false" customHeight="false" outlineLevel="0" collapsed="false">
      <c r="A26438" s="0" t="n">
        <f aca="false">_xlfn.FORECAST.ETS.SEASONALITY({36.7;63.32;60.3;25.44;40.41;53.7;70.49;51.46;23;45;31.08},{18;48;43;8;23;38;53;33;3;28;13})</f>
        <v>2</v>
      </c>
      <c r="B26438" s="0" t="s">
        <v>26258</v>
      </c>
    </row>
    <row r="26439" customFormat="false" ht="15" hidden="false" customHeight="false" outlineLevel="0" collapsed="false">
      <c r="A26439" s="0" t="n">
        <f aca="false">_xlfn.ORG.LIBREOFFICE.FORECAST.ETS.MULT(45000,{9.7;15.46;18.67;23.4;28;36;40.93},{45000;45001;45002;45003;45004;45006;45007},1,0)</f>
        <v>9.7</v>
      </c>
      <c r="B26439" s="0" t="s">
        <v>26259</v>
      </c>
    </row>
    <row r="26440" customFormat="false" ht="15" hidden="false" customHeight="false" outlineLevel="0" collapsed="false">
      <c r="A26440" s="0" t="n">
        <f aca="false">_xlfn.FORECAST.ETS.STAT({9.7;15.46;18.67;23.4;28;36;40.93},{45000;45001;45002;45003;45004;45006;45007},{3;8;4;5;1;7;9;2;6},1,0)</f>
        <v>1</v>
      </c>
      <c r="B26440" s="0" t="s">
        <v>26260</v>
      </c>
    </row>
    <row r="26441" customFormat="false" ht="15" hidden="false" customHeight="false" outlineLevel="0" collapsed="false">
      <c r="A26441" s="0" t="n">
        <f aca="false">_xlfn.FORECAST.ETS.SEASONALITY({9.7;15.46;18.67;23.4;28;36;40.93},{45000;45001;45002;45003;45004;45006;45007},1,2)</f>
        <v>3</v>
      </c>
      <c r="B26441" s="0" t="s">
        <v>26261</v>
      </c>
    </row>
    <row r="26442" customFormat="false" ht="15" hidden="false" customHeight="false" outlineLevel="0" collapsed="false">
      <c r="A26442" s="0" t="n">
        <f aca="false">_xlfn.FORECAST.ETS({16.5;20;17},{21.4;26;23.4;24;27.7;31;28.4;30.65;33.9;39;34.4;37.64;42.2;44.2;37.6;42.8},{1;2;3;4;5;6;7;8;9;10;11;12;13;14;15;16})</f>
        <v>45.0889332434669</v>
      </c>
      <c r="B26442" s="0" t="s">
        <v>26262</v>
      </c>
    </row>
    <row r="26443" customFormat="false" ht="15" hidden="false" customHeight="false" outlineLevel="0" collapsed="false">
      <c r="A26443" s="0" t="n">
        <f aca="false">_xlfn.FORECAST.ETS.STAT({21.4;26;23.4;24;27.7;31;28.4;30.65;33.9;39;34.4;37.64;42.2;44.2;37.6;42.8},{1;2;3;4;5;6;7;8;9;10;11;12;13;14;15;16},{2;5})</f>
        <v>0</v>
      </c>
      <c r="B26443" s="0" t="s">
        <v>26263</v>
      </c>
    </row>
    <row r="26444" customFormat="false" ht="15" hidden="false" customHeight="false" outlineLevel="0" collapsed="false">
      <c r="A26444" s="0" t="n">
        <f aca="false">_xlfn.FORECAST.ETS.SEASONALITY({21.4;26;23.4;24;27.7;31;28.4;30.65;33.9;39;34.4;37.64;42.2;44.2;37.6;42.8},{1;2;3;4;5;6;7;8;9;10;11;12;13;14;15;16})</f>
        <v>4</v>
      </c>
      <c r="B26444" s="0" t="s">
        <v>26264</v>
      </c>
    </row>
    <row r="26445" customFormat="false" ht="15" hidden="false" customHeight="false" outlineLevel="0" collapsed="false">
      <c r="A26445" s="0" t="n">
        <f aca="false">_xlfn.FORECAST.ETS({8.5;8},{37.9;39;39.87;40.2;43.34;45;44;45;46;47;49.7},{1;1.5;2.5;3;3.5;4;4.5;5;5.5;6;6.5},0,0)</f>
        <v>53.0505169920368</v>
      </c>
      <c r="B26445" s="0" t="s">
        <v>26265</v>
      </c>
    </row>
    <row r="26446" customFormat="false" ht="15" hidden="false" customHeight="false" outlineLevel="0" collapsed="false">
      <c r="A26446" s="0" t="n">
        <f aca="false">_xlfn.ORG.LIBREOFFICE.FORECAST.ETS.STAT.MULT({37.9;39;39.87;40.2;43.34;45;44;45;46;47;49.7},{1;1.5;2.5;3;3.5;4;4.5;5;5.5;6;6.5},{4;8},0,0)</f>
        <v>0.475230160185621</v>
      </c>
      <c r="B26446" s="0" t="s">
        <v>26266</v>
      </c>
    </row>
    <row r="26447" customFormat="false" ht="15" hidden="false" customHeight="false" outlineLevel="0" collapsed="false">
      <c r="A26447" s="0" t="n">
        <f aca="false">_xlfn.FORECAST.ETS.SEASONALITY({37.9;39;39.87;40.2;43.34;45;44;45;46;47;49.7},{1;1.5;2.5;3;3.5;4;4.5;5;5.5;6;6.5},1,2)</f>
        <v>6</v>
      </c>
      <c r="B26447" s="0" t="s">
        <v>26267</v>
      </c>
    </row>
    <row r="26448" customFormat="false" ht="15" hidden="false" customHeight="false" outlineLevel="0" collapsed="false">
      <c r="A26448" s="0" t="n">
        <f aca="false">_xlfn.ORG.LIBREOFFICE.FORECAST.ETS.PI.MULT(7.5,{37.9;39;39.87;40.2;43.34;45;44;45;46;47;49.7},{1;1.5;2.5;3;3.5;4;4.5;5;5.5;6;6.5},0.9,0,1,6)</f>
        <v>2.60465571119839</v>
      </c>
      <c r="B26448" s="0" t="s">
        <v>26268</v>
      </c>
    </row>
    <row r="26449" customFormat="false" ht="15" hidden="false" customHeight="false" outlineLevel="0" collapsed="false">
      <c r="A26449" s="0" t="n">
        <f aca="false">_xlfn.ORG.LIBREOFFICE.FORECAST.ETS.MULT({72},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3)</f>
        <v>148.418237279424</v>
      </c>
      <c r="B26449" s="0" t="s">
        <v>26269</v>
      </c>
    </row>
    <row r="26450" customFormat="false" ht="15" hidden="false" customHeight="false" outlineLevel="0" collapsed="false">
      <c r="A26450" s="0" t="n">
        <f aca="false">_xlfn.FORECAST.ETS.STAT(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{9},3)</f>
        <v>3</v>
      </c>
      <c r="B26450" s="0" t="s">
        <v>26270</v>
      </c>
    </row>
    <row r="26451" customFormat="false" ht="15" hidden="false" customHeight="false" outlineLevel="0" collapsed="false">
      <c r="A26451" s="0" t="n">
        <f aca="false">_xlfn.FORECAST.ETS.SEASONALITY({42.6;47.7;30.4;48;30.32;57;58.2;74;75.41;46.8;75.05;45.55;83.7;86;102.96;107.45;65.15;100.78;61;111.5;110;131.8;135.9;81;127;74.75;137;136.32;163.06;165.41;97.5;150.7;89;163.7;162.18},{3;5;7;9;11;13;15;17;19;21;23;25;27;29;31;33;35;37;39;41;43;45;47;49;51;53;55;57;59;61;63;65;67;69;71},1,2)</f>
        <v>7</v>
      </c>
      <c r="B26451" s="0" t="s">
        <v>26271</v>
      </c>
    </row>
    <row r="26452" customFormat="false" ht="15" hidden="false" customHeight="false" outlineLevel="0" collapsed="false">
      <c r="A26452" s="0" t="n">
        <f aca="false">_xlfn.ORG.LIBREOFFICE.FORECAST.ETS.MULT(48.5,{38;40.6;42.98;45.5;48;51},{3;10;17;24;31;38})</f>
        <v>54.74875</v>
      </c>
      <c r="B26452" s="0" t="s">
        <v>26272</v>
      </c>
    </row>
    <row r="26453" customFormat="false" ht="15" hidden="false" customHeight="false" outlineLevel="0" collapsed="false">
      <c r="A26453" s="0" t="n">
        <f aca="false">_xlfn.FORECAST.ETS.STAT({38;40.6;42.98;45.5;48;51},{3;10;17;24;31;38},{5})</f>
        <v>0.00385519935406239</v>
      </c>
      <c r="B26453" s="0" t="s">
        <v>26273</v>
      </c>
    </row>
    <row r="26454" customFormat="false" ht="15" hidden="false" customHeight="false" outlineLevel="0" collapsed="false">
      <c r="A26454" s="0" t="n">
        <f aca="false">_xlfn.FORECAST.ETS.SEASONALITY({38;40.6;42.98;45.5;48;51},{3;10;17;24;31;38},1)</f>
        <v>1</v>
      </c>
      <c r="B26454" s="0" t="s">
        <v>26274</v>
      </c>
    </row>
    <row r="26455" customFormat="false" ht="15" hidden="false" customHeight="false" outlineLevel="0" collapsed="false">
      <c r="A26455" s="0" t="n">
        <f aca="false">_xlfn.FORECAST.ETS(14.5,{98.5;80;36.6;89.1;21.5;64;94.44;95;2.1;84.2;57.67;41;55},{1;2;3;4;5;6;8;9;10;11;12;13;14},4,1,2)</f>
        <v>47.5806254023447</v>
      </c>
      <c r="B26455" s="0" t="s">
        <v>26275</v>
      </c>
    </row>
    <row r="26456" customFormat="false" ht="15" hidden="false" customHeight="false" outlineLevel="0" collapsed="false">
      <c r="A26456" s="0" t="n">
        <f aca="false">_xlfn.ORG.LIBREOFFICE.FORECAST.ETS.STAT.MULT({98.5;80;36.6;89.1;21.5;64;94.44;95;2.1;84.2;57.67;41;55},{1;2;3;4;5;6;8;9;10;11;12;13;14},{1;7;2;6;5;3;4;9;8},4,1,2)</f>
        <v>0.0078125</v>
      </c>
      <c r="B26456" s="0" t="s">
        <v>26276</v>
      </c>
    </row>
    <row r="26457" customFormat="false" ht="15" hidden="false" customHeight="false" outlineLevel="0" collapsed="false">
      <c r="A26457" s="0" t="n">
        <f aca="false">_xlfn.FORECAST.ETS.SEASONALITY({98.5;80;36.6;89.1;21.5;64;94.44;95;2.1;84.2;57.67;41;55},{1;2;3;4;5;6;8;9;10;11;12;13;14})</f>
        <v>5</v>
      </c>
      <c r="B26457" s="0" t="s">
        <v>26277</v>
      </c>
    </row>
    <row r="26458" customFormat="false" ht="15" hidden="false" customHeight="false" outlineLevel="0" collapsed="false">
      <c r="A26458" s="0" t="n">
        <f aca="false">_xlfn.FORECAST.ETS.CONFINT({15;16;17},{98.5;80;36.6;89.1;21.5;64;94.44;95;2.1;84.2;57.67;41;55},{1;2;3;4;5;6;8;9;10;11;12;13;14},0.99,0,1,5)</f>
        <v>82.3992331374281</v>
      </c>
      <c r="B26458" s="0" t="s">
        <v>26278</v>
      </c>
    </row>
    <row r="26459" customFormat="false" ht="15" hidden="false" customHeight="false" outlineLevel="0" collapsed="false">
      <c r="A26459" s="0" t="e">
        <f aca="false">_xlfn.ORG.LIBREOFFICE.FORECAST.ETS.MULT(45716,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3)</f>
        <v>#VALUE!</v>
      </c>
      <c r="B26459" s="0" t="s">
        <v>26279</v>
      </c>
    </row>
    <row r="26460" customFormat="false" ht="15" hidden="false" customHeight="false" outlineLevel="0" collapsed="false">
      <c r="A26460" s="0" t="e">
        <f aca="false">_xlfn.ORG.LIBREOFFICE.FORECAST.ETS.STAT.MULT(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{4;6;3;5;9;7;2;8;1},3)</f>
        <v>#VALUE!</v>
      </c>
      <c r="B26460" s="0" t="s">
        <v>26280</v>
      </c>
    </row>
    <row r="26461" customFormat="false" ht="15" hidden="false" customHeight="false" outlineLevel="0" collapsed="false">
      <c r="A26461" s="0" t="e">
        <f aca="false">_xlfn.FORECAST.ETS.SEASONALITY({45.31;48.63;47.3;52;47.4;49;51;48.5;46.7;44.5;50.8;49.8;50;45.5;36.8;50;45;49.07;48.29;39.61;52.85;53.1;38;36.9;46.64;46;48;46.8;49;35.2},{45291;45016;44742;45046;45626;44834;45077;45412;44926;45473;44773;45199;45596;45504;45169;45230;45107;45443;45260;44804;44895;44865;44985;45351;45565;45322;45382;45138;44957;45535},1)</f>
        <v>#VALUE!</v>
      </c>
      <c r="B26461" s="0" t="s">
        <v>26281</v>
      </c>
    </row>
    <row r="26462" customFormat="false" ht="15" hidden="false" customHeight="false" outlineLevel="0" collapsed="false">
      <c r="A26462" s="0" t="n">
        <f aca="false">_xlfn.FORECAST.ETS({45653,45683,45653},{69;12.99;53.7;47;16;6;79.36;16.03;47;79.9;17;78;25;16.79;9;3.95;16.5;56;59.2;52.13;14.9;47.6;33.9;34},{45440;45197;44985;45166;45410;45105;45350;45501;45013;45044;44954;45563;44923;45135;45532;45227;45319;45074;44893;45471;44862;45258;45288;45379},1,0,7)</f>
        <v>75.8132580645751</v>
      </c>
      <c r="B26462" s="0" t="s">
        <v>26282</v>
      </c>
    </row>
    <row r="26463" customFormat="false" ht="15" hidden="false" customHeight="false" outlineLevel="0" collapsed="false">
      <c r="A26463" s="0" t="n">
        <f aca="false">_xlfn.ORG.LIBREOFFICE.FORECAST.ETS.STAT.MULT({69;12.99;53.7;47;16;6;79.36;16.03;47;79.9;17;78;25;16.79;9;3.95;16.5;56;59.2;52.13;14.9;47.6;33.9;34},{45440;45197;44985;45166;45410;45105;45350;45501;45013;45044;44954;45563;44923;45135;45532;45227;45319;45074;44893;45471;44862;45258;45288;45379},{1},1,0,7)</f>
        <v>0.015625</v>
      </c>
      <c r="B26463" s="0" t="s">
        <v>26283</v>
      </c>
    </row>
    <row r="26464" customFormat="false" ht="15" hidden="false" customHeight="false" outlineLevel="0" collapsed="false">
      <c r="A26464" s="0" t="n">
        <f aca="false">_xlfn.FORECAST.ETS.SEASONALITY({69;12.99;53.7;47;16;6;79.36;16.03;47;79.9;17;78;25;16.79;9;3.95;16.5;56;59.2;52.13;14.9;47.6;33.9;34},{45440;45197;44985;45166;45410;45105;45350;45501;45013;45044;44954;45563;44923;45135;45532;45227;45319;45074;44893;45471;44862;45258;45288;45379},0)</f>
        <v>10</v>
      </c>
      <c r="B26464" s="0" t="s">
        <v>26284</v>
      </c>
    </row>
    <row r="26465" customFormat="false" ht="15" hidden="false" customHeight="false" outlineLevel="0" collapsed="false">
      <c r="A26465" s="0" t="n">
        <f aca="false">_xlfn.ORG.LIBREOFFICE.FORECAST.ETS.MULT(45012,{24;41.11;42.9;32;27;36;16;17.8;31.02;30.52;22.6;20.1;24.4;9.8;12.1;19.2;18;13.3;9.5;14;3.62},{45000;45001;45002;45003;45004;45005;45006;45007;45008;45009;45010;45011;45012;45013;45014;45015;45016;45017;45018;45019;45020},7,0,3)</f>
        <v>24.4</v>
      </c>
      <c r="B26465" s="0" t="s">
        <v>26285</v>
      </c>
    </row>
    <row r="26466" customFormat="false" ht="15" hidden="false" customHeight="false" outlineLevel="0" collapsed="false">
      <c r="A26466" s="0" t="n">
        <f aca="false">_xlfn.FORECAST.ETS.STAT({24;41.11;42.9;32;27;36;16;17.8;31.02;30.52;22.6;20.1;24.4;9.8;12.1;19.2;18;13.3;9.5;14;3.62},{45000;45001;45002;45003;45004;45005;45006;45007;45008;45009;45010;45011;45012;45013;45014;45015;45016;45017;45018;45019;45020},{6;8;9;7;5;3;2;4;1},7,0,3)</f>
        <v>1.41471428571429</v>
      </c>
      <c r="B26466" s="0" t="s">
        <v>26286</v>
      </c>
    </row>
    <row r="26467" customFormat="false" ht="15" hidden="false" customHeight="false" outlineLevel="0" collapsed="false">
      <c r="A26467" s="0" t="n">
        <f aca="false">_xlfn.FORECAST.ETS.SEASONALITY({24;41.11;42.9;32;27;36;16;17.8;31.02;30.52;22.6;20.1;24.4;9.8;12.1;19.2;18;13.3;9.5;14;3.62},{45000;45001;45002;45003;45004;45005;45006;45007;45008;45009;45010;45011;45012;45013;45014;45015;45016;45017;45018;45019;45020},0,7)</f>
        <v>7</v>
      </c>
      <c r="B26467" s="0" t="s">
        <v>26287</v>
      </c>
    </row>
    <row r="26468" customFormat="false" ht="15" hidden="false" customHeight="false" outlineLevel="0" collapsed="false">
      <c r="A26468" s="0" t="n">
        <f aca="false">_xlfn.FORECAST.ETS({45122},{39.8;44.03;44.1;47;49.2;53.4;56;57;60;62;66.52;69.06;70.01;72;76.1;78.62;78.8},{44607;44635;44666;44696;44727;44757;44788;44819;44849;44880;44910;44941;44972;45000;45031;45061;45092},0,0)</f>
        <v>82.1959447097778</v>
      </c>
      <c r="B26468" s="0" t="s">
        <v>26288</v>
      </c>
    </row>
    <row r="26469" customFormat="false" ht="15" hidden="false" customHeight="false" outlineLevel="0" collapsed="false">
      <c r="A26469" s="0" t="n">
        <f aca="false">_xlfn.ORG.LIBREOFFICE.FORECAST.ETS.STAT.MULT({39.8;44.03;44.1;47;49.2;53.4;56;57;60;62;66.52;69.06;70.01;72;76.1;78.62;78.8},{44607;44635;44666;44696;44727;44757;44788;44819;44849;44880;44910;44941;44972;45000;45031;45061;45092},{7;2},0,0)</f>
        <v>1.17466660508205</v>
      </c>
      <c r="B26469" s="0" t="s">
        <v>26289</v>
      </c>
    </row>
    <row r="26470" customFormat="false" ht="15" hidden="false" customHeight="false" outlineLevel="0" collapsed="false">
      <c r="A26470" s="0" t="n">
        <f aca="false">_xlfn.FORECAST.ETS.SEASONALITY({39.8;44.03;44.1;47;49.2;53.4;56;57;60;62;66.52;69.06;70.01;72;76.1;78.62;78.8},{44607;44635;44666;44696;44727;44757;44788;44819;44849;44880;44910;44941;44972;45000;45031;45061;45092},0,1)</f>
        <v>5</v>
      </c>
      <c r="B26470" s="0" t="s">
        <v>26290</v>
      </c>
    </row>
    <row r="26471" customFormat="false" ht="15" hidden="false" customHeight="false" outlineLevel="0" collapsed="false">
      <c r="A26471" s="0" t="e">
        <f aca="false">_xlfn.ORG.LIBREOFFICE.FORECAST.ETS.MULT({45518},{29.29;22;15;32;23;35.9;26;16.4;40;26.9;40.9;29.45;16.9;19;44.02;30;47.3;35.05;22;51;33.62;53;38.73;24.4;56;35},{44742;44773;44804;44834;44865;44895;44926;44957;44985;45016;45046;45077;45077;45107;45138;45169;45199;45230;45260;45291;45322;45351;45382;45412;45443;45473},0,1)</f>
        <v>#VALUE!</v>
      </c>
      <c r="B26471" s="0" t="s">
        <v>26291</v>
      </c>
    </row>
    <row r="26472" customFormat="false" ht="15" hidden="false" customHeight="false" outlineLevel="0" collapsed="false">
      <c r="A26472" s="0" t="e">
        <f aca="false">_xlfn.ORG.LIBREOFFICE.FORECAST.ETS.STAT.MULT({29.29;22;15;32;23;35.9;26;16.4;40;26.9;40.9;29.45;16.9;19;44.02;30;47.3;35.05;22;51;33.62;53;38.73;24.4;56;35},{44742;44773;44804;44834;44865;44895;44926;44957;44985;45016;45046;45077;45077;45107;45138;45169;45199;45230;45260;45291;45322;45351;45382;45412;45443;45473},{8;6;9;7;1;5;2;4;3},0,1)</f>
        <v>#VALUE!</v>
      </c>
      <c r="B26472" s="0" t="s">
        <v>26292</v>
      </c>
    </row>
    <row r="26473" customFormat="false" ht="15" hidden="false" customHeight="false" outlineLevel="0" collapsed="false">
      <c r="A26473" s="0" t="e">
        <f aca="false">_xlfn.FORECAST.ETS.SEASONALITY({29.29;22;15;32;23;35.9;26;16.4;40;26.9;40.9;29.45;16.9;19;44.02;30;47.3;35.05;22;51;33.62;53;38.73;24.4;56;35},{44742;44773;44804;44834;44865;44895;44926;44957;44985;45016;45046;45077;45077;45107;45138;45169;45199;45230;45260;45291;45322;45351;45382;45412;45443;45473},0,3)</f>
        <v>#VALUE!</v>
      </c>
      <c r="B26473" s="0" t="s">
        <v>26293</v>
      </c>
    </row>
    <row r="26474" customFormat="false" ht="15" hidden="false" customHeight="false" outlineLevel="0" collapsed="false">
      <c r="A26474" s="0" t="n">
        <f aca="false">_xlfn.FORECAST.ETS(11,{41.2;44.37;43.21;45.4;45;47.18;48;48;51.6;52.38;53;54.5;56.4;55.18;56;59;10.8;59.2;60.6;62.1;62},{1;1.5;2;2.5;3;3.5;4;4.5;5;5.5;6;6.5;7;7.5;8;8.5;8.5;9;9.5;10;10.5},1,1,6)</f>
        <v>63.2417735256765</v>
      </c>
      <c r="B26474" s="0" t="s">
        <v>26294</v>
      </c>
    </row>
    <row r="26475" customFormat="false" ht="15" hidden="false" customHeight="false" outlineLevel="0" collapsed="false">
      <c r="A26475" s="0" t="n">
        <f aca="false">_xlfn.FORECAST.ETS.STAT({41.2;44.37;43.21;45.4;45;47.18;48;48;51.6;52.38;53;54.5;56.4;55.18;56;59;10.8;59.2;60.6;62.1;62},{1;1.5;2;2.5;3;3.5;4;4.5;5;5.5;6;6.5;7;7.5;8;8.5;8.5;9;9.5;10;10.5},{7;1;2;3;4;8;5;6;9},1,1,6)</f>
        <v>10.9598022719207</v>
      </c>
      <c r="B26475" s="0" t="s">
        <v>26295</v>
      </c>
    </row>
    <row r="26476" customFormat="false" ht="15" hidden="false" customHeight="false" outlineLevel="0" collapsed="false">
      <c r="A26476" s="0" t="n">
        <f aca="false">_xlfn.FORECAST.ETS.SEASONALITY({41.2;44.37;43.21;45.4;45;47.18;48;48;51.6;52.38;53;54.5;56.4;55.18;56;59;10.8;59.2;60.6;62.1;62},{1;1.5;2;2.5;3;3.5;4;4.5;5;5.5;6;6.5;7;7.5;8;8.5;8.5;9;9.5;10;10.5},0,7)</f>
        <v>6</v>
      </c>
      <c r="B26476" s="0" t="s">
        <v>26296</v>
      </c>
    </row>
    <row r="26477" customFormat="false" ht="15" hidden="false" customHeight="false" outlineLevel="0" collapsed="false">
      <c r="A26477" s="0" t="n">
        <f aca="false">_xlfn.FORECAST.ETS({45008,45006.5,45006.5},{34;35;23.8;27.34;29.49;23.5},{45003;45005;45000;45004;45001;45002},1,0,3)</f>
        <v>31.2460127258301</v>
      </c>
      <c r="B26477" s="0" t="s">
        <v>26297</v>
      </c>
    </row>
    <row r="26478" customFormat="false" ht="15" hidden="false" customHeight="false" outlineLevel="0" collapsed="false">
      <c r="A26478" s="0" t="n">
        <f aca="false">_xlfn.FORECAST.ETS.STAT({34;35;23.8;27.34;29.49;23.5},{45003;45005;45000;45004;45001;45002},{1},1,0,3)</f>
        <v>0.65625</v>
      </c>
      <c r="B26478" s="0" t="s">
        <v>26298</v>
      </c>
    </row>
    <row r="26479" customFormat="false" ht="15" hidden="false" customHeight="false" outlineLevel="0" collapsed="false">
      <c r="A26479" s="0" t="n">
        <f aca="false">_xlfn.FORECAST.ETS.SEASONALITY({34;35;23.8;27.34;29.49;23.5},{45003;45005;45000;45004;45001;45002})</f>
        <v>2</v>
      </c>
      <c r="B26479" s="0" t="s">
        <v>26299</v>
      </c>
    </row>
    <row r="26480" customFormat="false" ht="15" hidden="false" customHeight="false" outlineLevel="0" collapsed="false">
      <c r="A26480" s="0" t="e">
        <f aca="false">_xlfn.FORECAST.ETS({45382;45367;45442},{15;12.3;12.05;11.68;10.72;7;7.83;5.2;2.24;3;0.08;0.66;-1.6;-4.7;-4;-5.1;-7;-10;-9;-12.6},{44742;44773;44804;44834;44865;44895;44926;44957;44985;45016;45046;45077;45107;45138;45169;45199;45230;45260;45291;45322},1,1,2)</f>
        <v>#VALUE!</v>
      </c>
      <c r="B26480" s="0" t="s">
        <v>26300</v>
      </c>
    </row>
    <row r="26481" customFormat="false" ht="15" hidden="false" customHeight="false" outlineLevel="0" collapsed="false">
      <c r="A26481" s="0" t="e">
        <f aca="false">_xlfn.FORECAST.ETS.STAT({15;12.3;12.05;11.68;10.72;7;7.83;5.2;2.24;3;0.08;0.66;-1.6;-4.7;-4;-5.1;-7;-10;-9;-12.6},{44742;44773;44804;44834;44865;44895;44926;44957;44985;45016;45046;45077;45107;45138;45169;45199;45230;45260;45291;45322},{8;7;9;5;3;2;4;1;6},1,1,2)</f>
        <v>#VALUE!</v>
      </c>
      <c r="B26481" s="0" t="s">
        <v>26301</v>
      </c>
    </row>
    <row r="26482" customFormat="false" ht="15" hidden="false" customHeight="false" outlineLevel="0" collapsed="false">
      <c r="A26482" s="0" t="e">
        <f aca="false">_xlfn.FORECAST.ETS.SEASONALITY({15;12.3;12.05;11.68;10.72;7;7.83;5.2;2.24;3;0.08;0.66;-1.6;-4.7;-4;-5.1;-7;-10;-9;-12.6},{44742;44773;44804;44834;44865;44895;44926;44957;44985;45016;45046;45077;45107;45138;45169;45199;45230;45260;45291;45322},0,3)</f>
        <v>#VALUE!</v>
      </c>
      <c r="B26482" s="0" t="s">
        <v>26302</v>
      </c>
    </row>
    <row r="26483" customFormat="false" ht="15" hidden="false" customHeight="false" outlineLevel="0" collapsed="false">
      <c r="A26483" s="0" t="n">
        <f aca="false">_xlfn.FORECAST.ETS({15;13.25},{55;54;33.5;39.71;51;85.3;80;47;53.79;73;113.08;106.9;64.01;73;93.75;142.97;135.64;76.5;87;112.1;174.7;162;92.77;103.7;134.1},{1;1.5;2;2.5;3;3.5;4;4.5;5;5.5;6;6.5;7;7.5;8;8.5;9;9.5;10;10.5;11;11.5;12;12.5;13},1,0,1)</f>
        <v>124.876</v>
      </c>
      <c r="B26483" s="0" t="s">
        <v>26303</v>
      </c>
    </row>
    <row r="26484" customFormat="false" ht="15" hidden="false" customHeight="false" outlineLevel="0" collapsed="false">
      <c r="A26484" s="0" t="n">
        <f aca="false">_xlfn.FORECAST.ETS.STAT({55;54;33.5;39.71;51;85.3;80;47;53.79;73;113.08;106.9;64.01;73;93.75;142.97;135.64;76.5;87;112.1;174.7;162;92.77;103.7;134.1},{1;1.5;2;2.5;3;3.5;4;4.5;5;5.5;6;6.5;7;7.5;8;8.5;9;9.5;10;10.5;11;11.5;12;12.5;13},{7;3;4;6;5;8;1;9;2},1,0,1)</f>
        <v>5.33120617996841</v>
      </c>
      <c r="B26484" s="0" t="s">
        <v>26304</v>
      </c>
    </row>
    <row r="26485" customFormat="false" ht="15" hidden="false" customHeight="false" outlineLevel="0" collapsed="false">
      <c r="A26485" s="0" t="n">
        <f aca="false">_xlfn.FORECAST.ETS.SEASONALITY({55;54;33.5;39.71;51;85.3;80;47;53.79;73;113.08;106.9;64.01;73;93.75;142.97;135.64;76.5;87;112.1;174.7;162;92.77;103.7;134.1},{1;1.5;2;2.5;3;3.5;4;4.5;5;5.5;6;6.5;7;7.5;8;8.5;9;9.5;10;10.5;11;11.5;12;12.5;13})</f>
        <v>5</v>
      </c>
      <c r="B26485" s="0" t="s">
        <v>26305</v>
      </c>
    </row>
    <row r="26486" customFormat="false" ht="15" hidden="false" customHeight="false" outlineLevel="0" collapsed="false">
      <c r="A26486" s="0" t="n">
        <f aca="false">_xlfn.FORECAST.ETS({45006,45009},{2.13;20;22;14.6;33;33},{45000;45001;45002;45003;45004;45005})</f>
        <v>26.7566666666667</v>
      </c>
      <c r="B26486" s="0" t="s">
        <v>26306</v>
      </c>
    </row>
    <row r="26487" customFormat="false" ht="15" hidden="false" customHeight="false" outlineLevel="0" collapsed="false">
      <c r="A26487" s="0" t="n">
        <f aca="false">_xlfn.FORECAST.ETS.STAT({2.13;20;22;14.6;33;33},{45000;45001;45002;45003;45004;45005},{5})</f>
        <v>0.0120666282340833</v>
      </c>
      <c r="B26487" s="0" t="s">
        <v>26307</v>
      </c>
    </row>
    <row r="26488" customFormat="false" ht="15" hidden="false" customHeight="false" outlineLevel="0" collapsed="false">
      <c r="A26488" s="0" t="n">
        <f aca="false">_xlfn.FORECAST.ETS.SEASONALITY({2.13;20;22;14.6;33;33},{45000;45001;45002;45003;45004;45005},0)</f>
        <v>3</v>
      </c>
      <c r="B26488" s="0" t="s">
        <v>26308</v>
      </c>
    </row>
    <row r="26489" customFormat="false" ht="15" hidden="false" customHeight="false" outlineLevel="0" collapsed="false">
      <c r="A26489" s="0" t="n">
        <f aca="false">_xlfn.FORECAST.ETS.CONFINT(45008,{2.13;20;22;14.6;33;33},{45000;45001;45002;45003;45004;45005},0.5,0)</f>
        <v>6.27720554035951</v>
      </c>
      <c r="B26489" s="0" t="s">
        <v>26309</v>
      </c>
    </row>
    <row r="26490" customFormat="false" ht="15" hidden="false" customHeight="false" outlineLevel="0" collapsed="false">
      <c r="A26490" s="0" t="n">
        <f aca="false">_xlfn.ORG.LIBREOFFICE.FORECAST.ETS.MULT(45006.5,{46.5;50;47.3;55.6;38;43.47},{45001;45003;45004;45005;45000;45002},2,1,7)</f>
        <v>55.8967666988947</v>
      </c>
      <c r="B26490" s="0" t="s">
        <v>26310</v>
      </c>
    </row>
    <row r="26491" customFormat="false" ht="15" hidden="false" customHeight="false" outlineLevel="0" collapsed="false">
      <c r="A26491" s="0" t="n">
        <f aca="false">_xlfn.FORECAST.ETS.STAT({46.5;50;47.3;55.6;38;43.47},{45001;45003;45004;45005;45000;45002},{4;3;8;1;9;7;5;6;2},2,1,7)</f>
        <v>0.0720330739299614</v>
      </c>
      <c r="B26491" s="0" t="s">
        <v>26311</v>
      </c>
    </row>
    <row r="26492" customFormat="false" ht="15" hidden="false" customHeight="false" outlineLevel="0" collapsed="false">
      <c r="A26492" s="0" t="n">
        <f aca="false">_xlfn.FORECAST.ETS.SEASONALITY({46.5;50;47.3;55.6;38;43.47},{45001;45003;45004;45005;45000;45002},0)</f>
        <v>2</v>
      </c>
      <c r="B26492" s="0" t="s">
        <v>26312</v>
      </c>
    </row>
    <row r="26493" customFormat="false" ht="15" hidden="false" customHeight="false" outlineLevel="0" collapsed="false">
      <c r="A26493" s="0" t="n">
        <f aca="false">_xlfn.FORECAST.ETS({108;129},{14.07;17.9;22.75;29.24;33.4;37.6;43.2;45.15;49.9;56;64.1;70;74.07;78.2},{3;10;17;24;31;38;45;52;59;66;80;87;94;101},0,1)</f>
        <v>82.9606734571315</v>
      </c>
      <c r="B26493" s="0" t="s">
        <v>26313</v>
      </c>
    </row>
    <row r="26494" customFormat="false" ht="15" hidden="false" customHeight="false" outlineLevel="0" collapsed="false">
      <c r="A26494" s="0" t="n">
        <f aca="false">_xlfn.ORG.LIBREOFFICE.FORECAST.ETS.STAT.MULT({14.07;17.9;22.75;29.24;33.4;37.6;43.2;45.15;49.9;56;64.1;70;74.07;78.2},{3;10;17;24;31;38;45;52;59;66;80;87;94;101},{5;3},0,1)</f>
        <v>0.019786935204369</v>
      </c>
      <c r="B26494" s="0" t="s">
        <v>26314</v>
      </c>
    </row>
    <row r="26495" customFormat="false" ht="15" hidden="false" customHeight="false" outlineLevel="0" collapsed="false">
      <c r="A26495" s="0" t="n">
        <f aca="false">_xlfn.FORECAST.ETS.SEASONALITY({14.07;17.9;22.75;29.24;33.4;37.6;43.2;45.15;49.9;56;64.1;70;74.07;78.2},{3;10;17;24;31;38;45;52;59;66;80;87;94;101})</f>
        <v>6</v>
      </c>
      <c r="B26495" s="0" t="s">
        <v>26315</v>
      </c>
    </row>
    <row r="26496" customFormat="false" ht="15" hidden="false" customHeight="false" outlineLevel="0" collapsed="false">
      <c r="A26496" s="0" t="n">
        <f aca="false">_xlfn.FORECAST.ETS.CONFINT(108,{14.07;17.9;22.75;29.24;33.4;37.6;43.2;45.15;49.9;56;64.1;70;74.07;78.2},{3;10;17;24;31;38;45;52;59;66;80;87;94;101},0.5,0,1,3)</f>
        <v>0.578415374789682</v>
      </c>
      <c r="B26496" s="0" t="s">
        <v>26316</v>
      </c>
    </row>
    <row r="26497" customFormat="false" ht="15" hidden="false" customHeight="false" outlineLevel="0" collapsed="false">
      <c r="A26497" s="0" t="n">
        <f aca="false">_xlfn.ORG.LIBREOFFICE.FORECAST.ETS.MULT(12,{48;14;1;10.9;79.7;77;68;37.61;7;31.7;96.4;1.4;4.38;45;8},{1;2;3;4;5;6;7;8;9;10;11;12;13;14;15},2)</f>
        <v>1.4</v>
      </c>
      <c r="B26497" s="0" t="s">
        <v>26317</v>
      </c>
    </row>
    <row r="26498" customFormat="false" ht="15" hidden="false" customHeight="false" outlineLevel="0" collapsed="false">
      <c r="A26498" s="0" t="n">
        <f aca="false">_xlfn.ORG.LIBREOFFICE.FORECAST.ETS.STAT.MULT({48;14;1;10.9;79.7;77;68;37.61;7;31.7;96.4;1.4;4.38;45;8},{1;2;3;4;5;6;7;8;9;10;11;12;13;14;15},{2},2)</f>
        <v>0</v>
      </c>
      <c r="B26498" s="0" t="s">
        <v>26318</v>
      </c>
    </row>
    <row r="26499" customFormat="false" ht="15" hidden="false" customHeight="false" outlineLevel="0" collapsed="false">
      <c r="A26499" s="0" t="n">
        <f aca="false">_xlfn.FORECAST.ETS.SEASONALITY({48;14;1;10.9;79.7;77;68;37.61;7;31.7;96.4;1.4;4.38;45;8},{1;2;3;4;5;6;7;8;9;10;11;12;13;14;15},1)</f>
        <v>6</v>
      </c>
      <c r="B26499" s="0" t="s">
        <v>26319</v>
      </c>
    </row>
    <row r="26500" customFormat="false" ht="15" hidden="false" customHeight="false" outlineLevel="0" collapsed="false">
      <c r="A26500" s="0" t="n">
        <f aca="false">_xlfn.ORG.LIBREOFFICE.FORECAST.ETS.MULT({45033;45030.5},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)</f>
        <v>189.029818482842</v>
      </c>
      <c r="B26500" s="0" t="s">
        <v>26320</v>
      </c>
    </row>
    <row r="26501" customFormat="false" ht="15" hidden="false" customHeight="false" outlineLevel="0" collapsed="false">
      <c r="A26501" s="0" t="n">
        <f aca="false">_xlfn.ORG.LIBREOFFICE.FORECAST.ETS.STAT.MULT(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{6;5})</f>
        <v>0.976335191359042</v>
      </c>
      <c r="B26501" s="0" t="s">
        <v>26321</v>
      </c>
    </row>
    <row r="26502" customFormat="false" ht="15" hidden="false" customHeight="false" outlineLevel="0" collapsed="false">
      <c r="A26502" s="0" t="n">
        <f aca="false">_xlfn.FORECAST.ETS.SEASONALITY(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1)</f>
        <v>6</v>
      </c>
      <c r="B26502" s="0" t="s">
        <v>26322</v>
      </c>
    </row>
    <row r="26503" customFormat="false" ht="15" hidden="false" customHeight="false" outlineLevel="0" collapsed="false">
      <c r="A26503" s="0" t="e">
        <f aca="false">_xlfn.ORG.LIBREOFFICE.FORECAST.ETS.PI.MULT({45030;45031;45032},{28.6;28.7;26.9;36.2;24;31.8;70.4;60;49.2;67;43.3;50;110;91;75.7;98;60;71.06;151;122.39;100;48.8;127.9;77;90;192;151.5;123.8;158.1;95;112},{45000;45001;45002;45003;45004;45005;45006;45007;45008;45009;45010;45011;45012;45013;45014;45015;45016;45017;45018;45019;45020;45020;45021;45022;45023;45024;45025;45026;45027;45028;45029},1,0)</f>
        <v>#NUM!</v>
      </c>
      <c r="B26503" s="0" t="s">
        <v>26323</v>
      </c>
    </row>
    <row r="26504" customFormat="false" ht="15" hidden="false" customHeight="false" outlineLevel="0" collapsed="false">
      <c r="A26504" s="0" t="n">
        <f aca="false">_xlfn.ORG.LIBREOFFICE.FORECAST.ETS.MULT({243,218,243},{37.5;37;37.46;37;37.46;37;37;37.46;37.46;37.5;37.46;37.46;37.46;37.5;37.46;37.46;37;37;37.5;37.46;37.46},{3;13;23;33;43;53;63;73;83;93;103;113;123;133;143;153;163;173;183;193;203})</f>
        <v>37.4908712968269</v>
      </c>
      <c r="B26504" s="0" t="s">
        <v>26324</v>
      </c>
    </row>
    <row r="26505" customFormat="false" ht="15" hidden="false" customHeight="false" outlineLevel="0" collapsed="false">
      <c r="A26505" s="0" t="n">
        <f aca="false">_xlfn.ORG.LIBREOFFICE.FORECAST.ETS.STAT.MULT({37.5;37;37.46;37;37.46;37;37;37.46;37.46;37.5;37.46;37.46;37.46;37.5;37.46;37.46;37;37;37.5;37.46;37.46},{3;13;23;33;43;53;63;73;83;93;103;113;123;133;143;153;163;173;183;193;203},{8;4})</f>
        <v>10</v>
      </c>
      <c r="B26505" s="0" t="s">
        <v>26325</v>
      </c>
    </row>
    <row r="26506" customFormat="false" ht="15" hidden="false" customHeight="false" outlineLevel="0" collapsed="false">
      <c r="A26506" s="0" t="n">
        <f aca="false">_xlfn.FORECAST.ETS.SEASONALITY({37.5;37;37.46;37;37.46;37;37;37.46;37.46;37.5;37.46;37.46;37.46;37.5;37.46;37.46;37;37;37.5;37.46;37.46},{3;13;23;33;43;53;63;73;83;93;103;113;123;133;143;153;163;173;183;193;203},0,2)</f>
        <v>5</v>
      </c>
      <c r="B26506" s="0" t="s">
        <v>26326</v>
      </c>
    </row>
    <row r="26507" customFormat="false" ht="15" hidden="false" customHeight="false" outlineLevel="0" collapsed="false">
      <c r="A26507" s="0" t="n">
        <f aca="false">_xlfn.FORECAST.ETS.CONFINT(213,{37.5;37;37.46;37;37.46;37;37;37.46;37.46;37.5;37.46;37.46;37.46;37.5;37.46;37.46;37;37;37.5;37.46;37.46},{3;13;23;33;43;53;63;73;83;93;103;113;123;133;143;153;163;173;183;193;203},0.95,0,0)</f>
        <v>0.481387092582993</v>
      </c>
      <c r="B26507" s="0" t="s">
        <v>26327</v>
      </c>
    </row>
    <row r="26508" customFormat="false" ht="15" hidden="false" customHeight="false" outlineLevel="0" collapsed="false">
      <c r="A26508" s="0" t="e">
        <f aca="false">_xlfn.ORG.LIBREOFFICE.FORECAST.ETS.MULT({60.5},{33.5;37;40.19;46.74;50.6;55;56.99;62;64;68.15},{3;8;13;23;28;33;38;43;48;53},6,1)</f>
        <v>#VALUE!</v>
      </c>
      <c r="B26508" s="0" t="s">
        <v>26328</v>
      </c>
    </row>
    <row r="26509" customFormat="false" ht="15" hidden="false" customHeight="false" outlineLevel="0" collapsed="false">
      <c r="A26509" s="0" t="e">
        <f aca="false">_xlfn.FORECAST.ETS.STAT({33.5;37;40.19;46.74;50.6;55;56.99;62;64;68.15},{3;8;13;23;28;33;38;43;48;53},{2},6,1)</f>
        <v>#VALUE!</v>
      </c>
      <c r="B26509" s="0" t="s">
        <v>26329</v>
      </c>
    </row>
    <row r="26510" customFormat="false" ht="15" hidden="false" customHeight="false" outlineLevel="0" collapsed="false">
      <c r="A26510" s="0" t="n">
        <f aca="false">_xlfn.FORECAST.ETS.SEASONALITY({33.5;37;40.19;46.74;50.6;55;56.99;62;64;68.15},{3;8;13;23;28;33;38;43;48;53},0)</f>
        <v>4</v>
      </c>
      <c r="B26510" s="0" t="s">
        <v>26330</v>
      </c>
    </row>
    <row r="26511" customFormat="false" ht="15" hidden="false" customHeight="false" outlineLevel="0" collapsed="false">
      <c r="A26511" s="0" t="n">
        <f aca="false">_xlfn.ORG.LIBREOFFICE.FORECAST.ETS.PI.MULT({58;63;68},{33.5;37;40.19;46.74;50.6;55;56.99;62;64;68.15},{3;8;13;23;28;33;38;43;48;53},0.95,0,0)</f>
        <v>27.2237184009578</v>
      </c>
      <c r="B26511" s="0" t="s">
        <v>26331</v>
      </c>
    </row>
    <row r="26512" customFormat="false" ht="15" hidden="false" customHeight="false" outlineLevel="0" collapsed="false">
      <c r="A26512" s="0" t="e">
        <f aca="false">_xlfn.ORG.LIBREOFFICE.FORECAST.ETS.MULT({45593;45518;45488},{28.1;29;27.77;25.44;25.5;38;40.4;41;37;37.05;49.84;51.48;51;47.66;49.2;63;63.82;63;59.6;58.27},{44895;44926;44957;44985;45016;45046;45077;45107;45138;45169;45199;45230;45260;45291;45322;45351;45382;45412;45443;45473})</f>
        <v>#VALUE!</v>
      </c>
      <c r="B26512" s="0" t="s">
        <v>26332</v>
      </c>
    </row>
    <row r="26513" customFormat="false" ht="15" hidden="false" customHeight="false" outlineLevel="0" collapsed="false">
      <c r="A26513" s="0" t="e">
        <f aca="false">_xlfn.FORECAST.ETS.STAT({28.1;29;27.77;25.44;25.5;38;40.4;41;37;37.05;49.84;51.48;51;47.66;49.2;63;63.82;63;59.6;58.27},{44895;44926;44957;44985;45016;45046;45077;45107;45138;45169;45199;45230;45260;45291;45322;45351;45382;45412;45443;45473},{4})</f>
        <v>#VALUE!</v>
      </c>
      <c r="B26513" s="0" t="s">
        <v>26333</v>
      </c>
    </row>
    <row r="26514" customFormat="false" ht="15" hidden="false" customHeight="false" outlineLevel="0" collapsed="false">
      <c r="A26514" s="0" t="e">
        <f aca="false">_xlfn.FORECAST.ETS.SEASONALITY({28.1;29;27.77;25.44;25.5;38;40.4;41;37;37.05;49.84;51.48;51;47.66;49.2;63;63.82;63;59.6;58.27},{44895;44926;44957;44985;45016;45046;45077;45107;45138;45169;45199;45230;45260;45291;45322;45351;45382;45412;45443;45473},0,3)</f>
        <v>#VALUE!</v>
      </c>
      <c r="B26514" s="0" t="s">
        <v>26334</v>
      </c>
    </row>
    <row r="26515" customFormat="false" ht="15" hidden="false" customHeight="false" outlineLevel="0" collapsed="false">
      <c r="A26515" s="0" t="n">
        <f aca="false">_xlfn.FORECAST.ETS({9},{8;12.39;14.3;19;24;30;32.05;36.39;41.5;48;51;55.22;58.74;65.26},{1;1.5;2;2.5;3;3.5;4;4.5;5;5.5;6;6.5;7;7.5})</f>
        <v>75.7885986328125</v>
      </c>
      <c r="B26515" s="0" t="s">
        <v>26335</v>
      </c>
    </row>
    <row r="26516" customFormat="false" ht="15" hidden="false" customHeight="false" outlineLevel="0" collapsed="false">
      <c r="A26516" s="0" t="n">
        <f aca="false">_xlfn.FORECAST.ETS.STAT({8;12.39;14.3;19;24;30;32.05;36.39;41.5;48;51;55.22;58.74;65.26},{1;1.5;2;2.5;3;3.5;4;4.5;5;5.5;6;6.5;7;7.5},{7;2})</f>
        <v>0.6295383317781</v>
      </c>
      <c r="B26516" s="0" t="s">
        <v>26336</v>
      </c>
    </row>
    <row r="26517" customFormat="false" ht="15" hidden="false" customHeight="false" outlineLevel="0" collapsed="false">
      <c r="A26517" s="0" t="n">
        <f aca="false">_xlfn.FORECAST.ETS.SEASONALITY({8;12.39;14.3;19;24;30;32.05;36.39;41.5;48;51;55.22;58.74;65.26},{1;1.5;2;2.5;3;3.5;4;4.5;5;5.5;6;6.5;7;7.5})</f>
        <v>4</v>
      </c>
      <c r="B26517" s="0" t="s">
        <v>26337</v>
      </c>
    </row>
    <row r="26518" customFormat="false" ht="15" hidden="false" customHeight="false" outlineLevel="0" collapsed="false">
      <c r="A26518" s="0" t="n">
        <f aca="false">_xlfn.ORG.LIBREOFFICE.FORECAST.ETS.MULT(8.5,{19.96;18.56;35;38.8;39.89;43;46;43;58.66;64;65.33;68.38;71;70.1;83.9;89.49;92.7;92.9},{1;1.5;2;2.5;3;3.5;4;4.5;5;5.5;6;6.5;7;7.5;8;8.5;9;9.5},6,1)</f>
        <v>89.49</v>
      </c>
      <c r="B26518" s="0" t="s">
        <v>26338</v>
      </c>
    </row>
    <row r="26519" customFormat="false" ht="15" hidden="false" customHeight="false" outlineLevel="0" collapsed="false">
      <c r="A26519" s="0" t="n">
        <f aca="false">_xlfn.FORECAST.ETS.STAT({19.96;18.56;35;38.8;39.89;43;46;43;58.66;64;65.33;68.38;71;70.1;83.9;89.49;92.7;92.9},{1;1.5;2;2.5;3;3.5;4;4.5;5;5.5;6;6.5;7;7.5;8;8.5;9;9.5},{1;7;2;3;5;9;8;6;4},6,1)</f>
        <v>0.1298828125</v>
      </c>
      <c r="B26519" s="0" t="s">
        <v>26339</v>
      </c>
    </row>
    <row r="26520" customFormat="false" ht="15" hidden="false" customHeight="false" outlineLevel="0" collapsed="false">
      <c r="A26520" s="0" t="n">
        <f aca="false">_xlfn.FORECAST.ETS.SEASONALITY({19.96;18.56;35;38.8;39.89;43;46;43;58.66;64;65.33;68.38;71;70.1;83.9;89.49;92.7;92.9},{1;1.5;2;2.5;3;3.5;4;4.5;5;5.5;6;6.5;7;7.5;8;8.5;9;9.5},1,5)</f>
        <v>6</v>
      </c>
      <c r="B26520" s="0" t="s">
        <v>26340</v>
      </c>
    </row>
    <row r="26521" customFormat="false" ht="15" hidden="false" customHeight="false" outlineLevel="0" collapsed="false">
      <c r="A26521" s="0" t="n">
        <f aca="false">_xlfn.ORG.LIBREOFFICE.FORECAST.ETS.MULT({10.5;12},{49;37;33.7;40;24.4;45.5;43.2;32.15;27.17;33.5;38.16},{1;2;3;4;4;5;6;7;8;9;10},1,0,7)</f>
        <v>29.1940442632721</v>
      </c>
      <c r="B26521" s="0" t="s">
        <v>26341</v>
      </c>
    </row>
    <row r="26522" customFormat="false" ht="15" hidden="false" customHeight="false" outlineLevel="0" collapsed="false">
      <c r="A26522" s="0" t="n">
        <f aca="false">_xlfn.FORECAST.ETS.STAT({49;37;33.7;40;24.4;45.5;43.2;32.15;27.17;33.5;38.16},{1;2;3;4;4;5;6;7;8;9;10},{8;1},1,0,7)</f>
        <v>1</v>
      </c>
      <c r="B26522" s="0" t="s">
        <v>26342</v>
      </c>
    </row>
    <row r="26523" customFormat="false" ht="15" hidden="false" customHeight="false" outlineLevel="0" collapsed="false">
      <c r="A26523" s="0" t="n">
        <f aca="false">_xlfn.FORECAST.ETS.SEASONALITY({49;37;33.7;40;24.4;45.5;43.2;32.15;27.17;33.5;38.16},{1;2;3;4;4;5;6;7;8;9;10},1)</f>
        <v>5</v>
      </c>
      <c r="B26523" s="0" t="s">
        <v>26343</v>
      </c>
    </row>
    <row r="26524" customFormat="false" ht="15" hidden="false" customHeight="false" outlineLevel="0" collapsed="false">
      <c r="A26524" s="0" t="n">
        <f aca="false">_xlfn.FORECAST.ETS({4.5},{93;28.4;67;33;2;63.2},{1.5;2;2.5;1;3;3.5})</f>
        <v>43.3875</v>
      </c>
      <c r="B26524" s="0" t="s">
        <v>26344</v>
      </c>
    </row>
    <row r="26525" customFormat="false" ht="15" hidden="false" customHeight="false" outlineLevel="0" collapsed="false">
      <c r="A26525" s="0" t="n">
        <f aca="false">_xlfn.ORG.LIBREOFFICE.FORECAST.ETS.STAT.MULT({93;28.4;67;33;2;63.2},{1.5;2;2.5;1;3;3.5},{6})</f>
        <v>7.2767485954687</v>
      </c>
      <c r="B26525" s="0" t="s">
        <v>26345</v>
      </c>
    </row>
    <row r="26526" customFormat="false" ht="15" hidden="false" customHeight="false" outlineLevel="0" collapsed="false">
      <c r="A26526" s="0" t="n">
        <f aca="false">_xlfn.FORECAST.ETS.SEASONALITY({93;28.4;67;33;2;63.2},{1.5;2;2.5;1;3;3.5},0,4)</f>
        <v>2</v>
      </c>
      <c r="B26526" s="0" t="s">
        <v>26346</v>
      </c>
    </row>
    <row r="26527" customFormat="false" ht="15" hidden="false" customHeight="false" outlineLevel="0" collapsed="false">
      <c r="A26527" s="0" t="e">
        <f aca="false">_xlfn.FORECAST.ETS.CONFINT(5,{93;28.4;67;33;2;63.2},{1.5;2;2.5;1;3;3.5},1,0)</f>
        <v>#NUM!</v>
      </c>
      <c r="B26527" s="0" t="s">
        <v>26347</v>
      </c>
    </row>
    <row r="26528" customFormat="false" ht="15" hidden="false" customHeight="false" outlineLevel="0" collapsed="false">
      <c r="A26528" s="0" t="n">
        <f aca="false">_xlfn.ORG.LIBREOFFICE.FORECAST.ETS.MULT({45018;45019;45018},{25;24.15;23;20.31;21.11;17;15;15;11;9.27;9;6;3.6;2;3;0},{45000;45001;45002;45003;45004;45005;45007;45008;45009;45010;45011;45012;45013;45014;45015;45016},3)</f>
        <v>-2.53824573085168</v>
      </c>
      <c r="B26528" s="0" t="s">
        <v>26348</v>
      </c>
    </row>
    <row r="26529" customFormat="false" ht="15" hidden="false" customHeight="false" outlineLevel="0" collapsed="false">
      <c r="A26529" s="0" t="n">
        <f aca="false">_xlfn.FORECAST.ETS.STAT({25;24.15;23;20.31;21.11;17;15;15;11;9.27;9;6;3.6;2;3;0},{45000;45001;45002;45003;45004;45005;45007;45008;45009;45010;45011;45012;45013;45014;45015;45016},{4;8},3)</f>
        <v>0.466588772798946</v>
      </c>
      <c r="B26529" s="0" t="s">
        <v>26349</v>
      </c>
    </row>
    <row r="26530" customFormat="false" ht="15" hidden="false" customHeight="false" outlineLevel="0" collapsed="false">
      <c r="A26530" s="0" t="n">
        <f aca="false">_xlfn.FORECAST.ETS.SEASONALITY({25;24.15;23;20.31;21.11;17;15;15;11;9.27;9;6;3.6;2;3;0},{45000;45001;45002;45003;45004;45005;45007;45008;45009;45010;45011;45012;45013;45014;45015;45016},0,7)</f>
        <v>8</v>
      </c>
      <c r="B26530" s="0" t="s">
        <v>26350</v>
      </c>
    </row>
    <row r="26531" customFormat="false" ht="15" hidden="false" customHeight="false" outlineLevel="0" collapsed="false">
      <c r="A26531" s="0" t="n">
        <f aca="false">_xlfn.ORG.LIBREOFFICE.FORECAST.ETS.MULT({14;15;12.5},{38.3;36.7;41;36.6;35.1;36.3;33.28;38.51;33.81;33.93;37.3},{1;2;3;4;5;7;8;9;10;11;12})</f>
        <v>41.2948801422966</v>
      </c>
      <c r="B26531" s="0" t="s">
        <v>26351</v>
      </c>
    </row>
    <row r="26532" customFormat="false" ht="15" hidden="false" customHeight="false" outlineLevel="0" collapsed="false">
      <c r="A26532" s="0" t="n">
        <f aca="false">_xlfn.ORG.LIBREOFFICE.FORECAST.ETS.STAT.MULT({38.3;36.7;41;36.6;35.1;36.3;33.28;38.51;33.81;33.93;37.3},{1;2;3;4;5;7;8;9;10;11;12},{8})</f>
        <v>1</v>
      </c>
      <c r="B26532" s="0" t="s">
        <v>26352</v>
      </c>
    </row>
    <row r="26533" customFormat="false" ht="15" hidden="false" customHeight="false" outlineLevel="0" collapsed="false">
      <c r="A26533" s="0" t="n">
        <f aca="false">_xlfn.FORECAST.ETS.SEASONALITY({38.3;36.7;41;36.6;35.1;36.3;33.28;38.51;33.81;33.93;37.3},{1;2;3;4;5;7;8;9;10;11;12},1)</f>
        <v>6</v>
      </c>
      <c r="B26533" s="0" t="s">
        <v>26353</v>
      </c>
    </row>
    <row r="26534" customFormat="false" ht="15" hidden="false" customHeight="false" outlineLevel="0" collapsed="false">
      <c r="A26534" s="0" t="n">
        <f aca="false">_xlfn.FORECAST.ETS({6.75},{49;37;59.59;51.4;69.7;72.9;61;78.2;85;72;91.8},{1;1.5;2.5;3;3.5;4;4.5;5;5.5;6;6.5},1,1)</f>
        <v>95.6191666666667</v>
      </c>
      <c r="B26534" s="0" t="s">
        <v>26354</v>
      </c>
    </row>
    <row r="26535" customFormat="false" ht="15" hidden="false" customHeight="false" outlineLevel="0" collapsed="false">
      <c r="A26535" s="0" t="n">
        <f aca="false">_xlfn.FORECAST.ETS.STAT({49;37;59.59;51.4;69.7;72.9;61;78.2;85;72;91.8},{1;1.5;2.5;3;3.5;4;4.5;5;5.5;6;6.5},{8;5;3;4;7;1;9;2;6},1,1)</f>
        <v>0.5</v>
      </c>
      <c r="B26535" s="0" t="s">
        <v>26355</v>
      </c>
    </row>
    <row r="26536" customFormat="false" ht="15" hidden="false" customHeight="false" outlineLevel="0" collapsed="false">
      <c r="A26536" s="0" t="n">
        <f aca="false">_xlfn.FORECAST.ETS.SEASONALITY({49;37;59.59;51.4;69.7;72.9;61;78.2;85;72;91.8},{1;1.5;2.5;3;3.5;4;4.5;5;5.5;6;6.5})</f>
        <v>6</v>
      </c>
      <c r="B26536" s="0" t="s">
        <v>26356</v>
      </c>
    </row>
    <row r="26537" customFormat="false" ht="15" hidden="false" customHeight="false" outlineLevel="0" collapsed="false">
      <c r="A26537" s="0" t="n">
        <f aca="false">_xlfn.FORECAST.ETS(5.5,{46;45.5;46;46;45.5;46;46;45.5;45.5;46;45.5;45.5;46;45.5;45.5;45.5;46},{1;1.5;2;2.5;3;3.5;4;4.5;5;5.5;6;6.5;7;7.5;8;8.5;9},7,1)</f>
        <v>46</v>
      </c>
      <c r="B26537" s="0" t="s">
        <v>26357</v>
      </c>
    </row>
    <row r="26538" customFormat="false" ht="15" hidden="false" customHeight="false" outlineLevel="0" collapsed="false">
      <c r="A26538" s="0" t="n">
        <f aca="false">_xlfn.ORG.LIBREOFFICE.FORECAST.ETS.STAT.MULT({46;45.5;46;46;45.5;46;46;45.5;45.5;46;45.5;45.5;46;45.5;45.5;45.5;46},{1;1.5;2;2.5;3;3.5;4;4.5;5;5.5;6;6.5;7;7.5;8;8.5;9},{5;8},7,1)</f>
        <v>0.00314523559330548</v>
      </c>
      <c r="B26538" s="0" t="s">
        <v>26358</v>
      </c>
    </row>
    <row r="26539" customFormat="false" ht="15" hidden="false" customHeight="false" outlineLevel="0" collapsed="false">
      <c r="A26539" s="0" t="n">
        <f aca="false">_xlfn.FORECAST.ETS.SEASONALITY({46;45.5;46;46;45.5;46;46;45.5;45.5;46;45.5;45.5;46;45.5;45.5;45.5;46},{1;1.5;2;2.5;3;3.5;4;4.5;5;5.5;6;6.5;7;7.5;8;8.5;9},1,1)</f>
        <v>3</v>
      </c>
      <c r="B26539" s="0" t="s">
        <v>26359</v>
      </c>
    </row>
    <row r="26540" customFormat="false" ht="15" hidden="false" customHeight="false" outlineLevel="0" collapsed="false">
      <c r="A26540" s="0" t="e">
        <f aca="false">_xlfn.ORG.LIBREOFFICE.FORECAST.ETS.MULT({11,8.5,8.5},{45.75;44.9;47;46.63;46.3;46;47},{1;2;3;4;5;6;7},6,1,6)</f>
        <v>#VALUE!</v>
      </c>
      <c r="B26540" s="0" t="s">
        <v>26360</v>
      </c>
    </row>
    <row r="26541" customFormat="false" ht="15" hidden="false" customHeight="false" outlineLevel="0" collapsed="false">
      <c r="A26541" s="0" t="e">
        <f aca="false">_xlfn.FORECAST.ETS.STAT({45.75;44.9;47;46.63;46.3;46;47},{1;2;3;4;5;6;7},{9;7},6,1,6)</f>
        <v>#VALUE!</v>
      </c>
      <c r="B26541" s="0" t="s">
        <v>26361</v>
      </c>
    </row>
    <row r="26542" customFormat="false" ht="15" hidden="false" customHeight="false" outlineLevel="0" collapsed="false">
      <c r="A26542" s="0" t="n">
        <f aca="false">_xlfn.FORECAST.ETS.SEASONALITY({45.75;44.9;47;46.63;46.3;46;47},{1;2;3;4;5;6;7},1)</f>
        <v>2</v>
      </c>
      <c r="B26542" s="0" t="s">
        <v>26362</v>
      </c>
    </row>
    <row r="26543" customFormat="false" ht="15" hidden="false" customHeight="false" outlineLevel="0" collapsed="false">
      <c r="A26543" s="0" t="n">
        <f aca="false">_xlfn.FORECAST.ETS({52},{15;32.7;81;31;19;37.67;67.1;40.8;98.73;42;51;63.5;85;49.3;88;96.2;84.49;83.4;70;59.9;98.8;36;33.2;24.1},{3;5;7;9;11;13;15;17;19;21;23;25;27;29;31;33;35;37;39;41;43;45;47;49})</f>
        <v>48.56</v>
      </c>
      <c r="B26543" s="0" t="s">
        <v>26363</v>
      </c>
    </row>
    <row r="26544" customFormat="false" ht="15" hidden="false" customHeight="false" outlineLevel="0" collapsed="false">
      <c r="A26544" s="0" t="n">
        <f aca="false">_xlfn.ORG.LIBREOFFICE.FORECAST.ETS.STAT.MULT({15;32.7;81;31;19;37.67;67.1;40.8;98.73;42;51;63.5;85;49.3;88;96.2;84.49;83.4;70;59.9;98.8;36;33.2;24.1},{3;5;7;9;11;13;15;17;19;21;23;25;27;29;31;33;35;37;39;41;43;45;47;49},{1;4;3;7;8;6;5;9;2})</f>
        <v>0.5</v>
      </c>
      <c r="B26544" s="0" t="s">
        <v>26364</v>
      </c>
    </row>
    <row r="26545" customFormat="false" ht="15" hidden="false" customHeight="false" outlineLevel="0" collapsed="false">
      <c r="A26545" s="0" t="n">
        <f aca="false">_xlfn.FORECAST.ETS.SEASONALITY({15;32.7;81;31;19;37.67;67.1;40.8;98.73;42;51;63.5;85;49.3;88;96.2;84.49;83.4;70;59.9;98.8;36;33.2;24.1},{3;5;7;9;11;13;15;17;19;21;23;25;27;29;31;33;35;37;39;41;43;45;47;49},0)</f>
        <v>6</v>
      </c>
      <c r="B26545" s="0" t="s">
        <v>26365</v>
      </c>
    </row>
    <row r="26546" customFormat="false" ht="15" hidden="false" customHeight="false" outlineLevel="0" collapsed="false">
      <c r="A26546" s="0" t="e">
        <f aca="false">_xlfn.FORECAST.ETS.CONFINT({51;53;55},{15;32.7;81;31;19;37.67;67.1;40.8;98.73;42;51;63.5;85;49.3;88;96.2;84.49;83.4;70;59.9;98.8;36;33.2;24.1},{3;5;7;9;11;13;15;17;19;21;23;25;27;29;31;33;35;37;39;41;43;45;47;49},1,0,1)</f>
        <v>#NUM!</v>
      </c>
      <c r="B26546" s="0" t="s">
        <v>26366</v>
      </c>
    </row>
    <row r="26547" customFormat="false" ht="15" hidden="false" customHeight="false" outlineLevel="0" collapsed="false">
      <c r="A26547" s="0" t="n">
        <f aca="false">_xlfn.ORG.LIBREOFFICE.FORECAST.ETS.MULT({43,41},{6;14;18;26;23.4;22.46;28.3;33.87;37.95;45.48;45.04;43.2;47;54;56;63.96;62.8;63.44},{3;5;7;9;11;13;15;17;19;21;23;25;27;29;31;33;35;37},6,,7)</f>
        <v>79.5160099438696</v>
      </c>
      <c r="B26547" s="0" t="s">
        <v>26367</v>
      </c>
    </row>
    <row r="26548" customFormat="false" ht="15" hidden="false" customHeight="false" outlineLevel="0" collapsed="false">
      <c r="A26548" s="0" t="n">
        <f aca="false">_xlfn.ORG.LIBREOFFICE.FORECAST.ETS.STAT.MULT({6;14;18;26;23.4;22.46;28.3;33.87;37.95;45.48;45.04;43.2;47;54;56;63.96;62.8;63.44},{3;5;7;9;11;13;15;17;19;21;23;25;27;29;31;33;35;37},{3;9},6,,7)</f>
        <v>1</v>
      </c>
      <c r="B26548" s="0" t="s">
        <v>26368</v>
      </c>
    </row>
    <row r="26549" customFormat="false" ht="15" hidden="false" customHeight="false" outlineLevel="0" collapsed="false">
      <c r="A26549" s="0" t="n">
        <f aca="false">_xlfn.FORECAST.ETS.SEASONALITY({6;14;18;26;23.4;22.46;28.3;33.87;37.95;45.48;45.04;43.2;47;54;56;63.96;62.8;63.44},{3;5;7;9;11;13;15;17;19;21;23;25;27;29;31;33;35;37},0,3)</f>
        <v>6</v>
      </c>
      <c r="B26549" s="0" t="s">
        <v>26369</v>
      </c>
    </row>
    <row r="26550" customFormat="false" ht="15" hidden="false" customHeight="false" outlineLevel="0" collapsed="false">
      <c r="A26550" s="0" t="n">
        <f aca="false">_xlfn.ORG.LIBREOFFICE.FORECAST.ETS.MULT(4.25,{21;21.9;23.5;24;16.08;20;21;23.1;23.9;15.5},{1;1.5;2;2.5;3;3.5;4;4.5;5;5.5},5,1,4)</f>
        <v>21.9245685364503</v>
      </c>
      <c r="B26550" s="0" t="s">
        <v>26370</v>
      </c>
    </row>
    <row r="26551" customFormat="false" ht="15" hidden="false" customHeight="false" outlineLevel="0" collapsed="false">
      <c r="A26551" s="0" t="n">
        <f aca="false">_xlfn.FORECAST.ETS.STAT({21;21.9;23.5;24;16.08;20;21;23.1;23.9;15.5},{1;1.5;2;2.5;3;3.5;4;4.5;5;5.5},{1;8;2;4;5;7;3;6;9},5,1,4)</f>
        <v>0</v>
      </c>
      <c r="B26551" s="0" t="s">
        <v>26371</v>
      </c>
    </row>
    <row r="26552" customFormat="false" ht="15" hidden="false" customHeight="false" outlineLevel="0" collapsed="false">
      <c r="A26552" s="0" t="n">
        <f aca="false">_xlfn.FORECAST.ETS.SEASONALITY({21;21.9;23.5;24;16.08;20;21;23.1;23.9;15.5},{1;1.5;2;2.5;3;3.5;4;4.5;5;5.5},0)</f>
        <v>5</v>
      </c>
      <c r="B26552" s="0" t="s">
        <v>26372</v>
      </c>
    </row>
    <row r="26553" customFormat="false" ht="15" hidden="false" customHeight="false" outlineLevel="0" collapsed="false">
      <c r="A26553" s="0" t="n">
        <f aca="false">_xlfn.FORECAST.ETS({73,87,87},{19.8;25.9;29;35.3;38.7;44;48.96;55.16;59.56;65.75},{3;10;17;24;31;38;45;52;59;66})</f>
        <v>70.1953885224623</v>
      </c>
      <c r="B26553" s="0" t="s">
        <v>26373</v>
      </c>
    </row>
    <row r="26554" customFormat="false" ht="15" hidden="false" customHeight="false" outlineLevel="0" collapsed="false">
      <c r="A26554" s="0" t="n">
        <f aca="false">_xlfn.FORECAST.ETS.STAT({19.8;25.9;29;35.3;38.7;44;48.96;55.16;59.56;65.75},{3;10;17;24;31;38;45;52;59;66},{7})</f>
        <v>0.654847398915835</v>
      </c>
      <c r="B26554" s="0" t="s">
        <v>26374</v>
      </c>
    </row>
    <row r="26555" customFormat="false" ht="15" hidden="false" customHeight="false" outlineLevel="0" collapsed="false">
      <c r="A26555" s="0" t="n">
        <f aca="false">_xlfn.FORECAST.ETS.SEASONALITY({19.8;25.9;29;35.3;38.7;44;48.96;55.16;59.56;65.75},{3;10;17;24;31;38;45;52;59;66},1,3)</f>
        <v>2</v>
      </c>
      <c r="B26555" s="0" t="s">
        <v>26375</v>
      </c>
    </row>
    <row r="26556" customFormat="false" ht="15" hidden="false" customHeight="false" outlineLevel="0" collapsed="false">
      <c r="A26556" s="0" t="n">
        <f aca="false">_xlfn.ORG.LIBREOFFICE.FORECAST.ETS.MULT(45021,{19.55;20;19.6;19.6;19.6;19.55;19.55;20;20;20;19.6;19.55;19.55;20;20;19.6;20;20},{45000;45001;45002;45003;45004;45005;45006;45007;45008;45009;45010;45011;45012;45013;45014;45015;45016;45017},2,1,6)</f>
        <v>20.0238904809986</v>
      </c>
      <c r="B26556" s="0" t="s">
        <v>26376</v>
      </c>
    </row>
    <row r="26557" customFormat="false" ht="15" hidden="false" customHeight="false" outlineLevel="0" collapsed="false">
      <c r="A26557" s="0" t="n">
        <f aca="false">_xlfn.FORECAST.ETS.STAT({19.55;20;19.6;19.6;19.6;19.55;19.55;20;20;20;19.6;19.55;19.55;20;20;19.6;20;20},{45000;45001;45002;45003;45004;45005;45006;45007;45008;45009;45010;45011;45012;45013;45014;45015;45016;45017},{7},2,1,6)</f>
        <v>0.280057474835749</v>
      </c>
      <c r="B26557" s="0" t="s">
        <v>26377</v>
      </c>
    </row>
    <row r="26558" customFormat="false" ht="15" hidden="false" customHeight="false" outlineLevel="0" collapsed="false">
      <c r="A26558" s="0" t="n">
        <f aca="false">_xlfn.FORECAST.ETS.SEASONALITY({19.55;20;19.6;19.6;19.6;19.55;19.55;20;20;20;19.6;19.55;19.55;20;20;19.6;20;20},{45000;45001;45002;45003;45004;45005;45006;45007;45008;45009;45010;45011;45012;45013;45014;45015;45016;45017},0)</f>
        <v>6</v>
      </c>
      <c r="B26558" s="0" t="s">
        <v>26378</v>
      </c>
    </row>
    <row r="26559" customFormat="false" ht="15" hidden="false" customHeight="false" outlineLevel="0" collapsed="false">
      <c r="A26559" s="0" t="n">
        <f aca="false">_xlfn.FORECAST.ETS.CONFINT({45018;45019;45020},{19.55;20;19.6;19.6;19.6;19.55;19.55;20;20;20;19.6;19.55;19.55;20;20;19.6;20;20},{45000;45001;45002;45003;45004;45005;45006;45007;45008;45009;45010;45011;45012;45013;45014;45015;45016;45017},0.9,0,1,5)</f>
        <v>0.349663196872874</v>
      </c>
      <c r="B26559" s="0" t="s">
        <v>26379</v>
      </c>
    </row>
    <row r="26560" customFormat="false" ht="15" hidden="false" customHeight="false" outlineLevel="0" collapsed="false">
      <c r="A26560" s="0" t="e">
        <f aca="false">_xlfn.FORECAST.ETS(45199,{47;47;46.6;46.6;46.6;46.6;47;47;47;46.6;47;47;47;46.6;46.6;46.6;46.6;47;46.6;47;46.6;47;46.6},{44804;44834;44865;44895;44926;44957;44985;45016;45046;45077;45107;45138;45169;45199;45230;45260;45291;45322;45351;45382;45412;45443;45473},1,1,2)</f>
        <v>#VALUE!</v>
      </c>
      <c r="B26560" s="0" t="s">
        <v>26380</v>
      </c>
    </row>
    <row r="26561" customFormat="false" ht="15" hidden="false" customHeight="false" outlineLevel="0" collapsed="false">
      <c r="A26561" s="0" t="e">
        <f aca="false">_xlfn.ORG.LIBREOFFICE.FORECAST.ETS.STAT.MULT({47;47;46.6;46.6;46.6;46.6;47;47;47;46.6;47;47;47;46.6;46.6;46.6;46.6;47;46.6;47;46.6;47;46.6},{44804;44834;44865;44895;44926;44957;44985;45016;45046;45077;45107;45138;45169;45199;45230;45260;45291;45322;45351;45382;45412;45443;45473},{9;6;3;5;2;8;7;4;1},1,1,2)</f>
        <v>#VALUE!</v>
      </c>
      <c r="B26561" s="0" t="s">
        <v>26381</v>
      </c>
    </row>
    <row r="26562" customFormat="false" ht="15" hidden="false" customHeight="false" outlineLevel="0" collapsed="false">
      <c r="A26562" s="0" t="e">
        <f aca="false">_xlfn.FORECAST.ETS.SEASONALITY({47;47;46.6;46.6;46.6;46.6;47;47;47;46.6;47;47;47;46.6;46.6;46.6;46.6;47;46.6;47;46.6;47;46.6},{44804;44834;44865;44895;44926;44957;44985;45016;45046;45077;45107;45138;45169;45199;45230;45260;45291;45322;45351;45382;45412;45443;45473})</f>
        <v>#VALUE!</v>
      </c>
      <c r="B26562" s="0" t="s">
        <v>26382</v>
      </c>
    </row>
    <row r="26563" customFormat="false" ht="15" hidden="false" customHeight="false" outlineLevel="0" collapsed="false">
      <c r="A26563" s="0" t="n">
        <f aca="false">_xlfn.FORECAST.ETS({171},{87;32.64;36.23;56;78.52;27.67;18;4.8;7;65;95.07;2;55.3;50.23;36.5;31;6.73;56.51;70.15;1.7;87.3},{3;10;17;24;31;38;45;52;59;66;73;80;87;94;101;108;115;122;129;136;143},6,0,6)</f>
        <v>51.5029598892947</v>
      </c>
      <c r="B26563" s="0" t="s">
        <v>26383</v>
      </c>
    </row>
    <row r="26564" customFormat="false" ht="15" hidden="false" customHeight="false" outlineLevel="0" collapsed="false">
      <c r="A26564" s="0" t="n">
        <f aca="false">_xlfn.FORECAST.ETS.STAT({87;32.64;36.23;56;78.52;27.67;18;4.8;7;65;95.07;2;55.3;50.23;36.5;31;6.73;56.51;70.15;1.7;87.3},{3;10;17;24;31;38;45;52;59;66;73;80;87;94;101;108;115;122;129;136;143},{6;3},6,0,6)</f>
        <v>23.3482797132102</v>
      </c>
      <c r="B26564" s="0" t="s">
        <v>26384</v>
      </c>
    </row>
    <row r="26565" customFormat="false" ht="15" hidden="false" customHeight="false" outlineLevel="0" collapsed="false">
      <c r="A26565" s="0" t="n">
        <f aca="false">_xlfn.FORECAST.ETS.SEASONALITY({87;32.64;36.23;56;78.52;27.67;18;4.8;7;65;95.07;2;55.3;50.23;36.5;31;6.73;56.51;70.15;1.7;87.3},{3;10;17;24;31;38;45;52;59;66;73;80;87;94;101;108;115;122;129;136;143},0)</f>
        <v>8</v>
      </c>
      <c r="B26565" s="0" t="s">
        <v>26385</v>
      </c>
    </row>
    <row r="26566" customFormat="false" ht="15" hidden="false" customHeight="false" outlineLevel="0" collapsed="false">
      <c r="A26566" s="0" t="n">
        <f aca="false">_xlfn.ORG.LIBREOFFICE.FORECAST.ETS.PI.MULT({150;157;164},{87;32.64;36.23;56;78.52;27.67;18;4.8;7;65;95.07;2;55.3;50.23;36.5;31;6.73;56.51;70.15;1.7;87.3},{3;10;17;24;31;38;45;52;59;66;73;80;87;94;101;108;115;122;129;136;143},,0,1,3)</f>
        <v>72.770499655263</v>
      </c>
      <c r="B26566" s="0" t="s">
        <v>26386</v>
      </c>
    </row>
    <row r="26567" customFormat="false" ht="15" hidden="false" customHeight="false" outlineLevel="0" collapsed="false">
      <c r="A26567" s="0" t="n">
        <f aca="false">_xlfn.FORECAST.ETS({7.5},{14;6.3;18.75;19.52;24.2;28.2;28},{1;1;2;3;4;5;6},0,,3)</f>
        <v>37.9182226537811</v>
      </c>
      <c r="B26567" s="0" t="s">
        <v>26387</v>
      </c>
    </row>
    <row r="26568" customFormat="false" ht="15" hidden="false" customHeight="false" outlineLevel="0" collapsed="false">
      <c r="A26568" s="0" t="n">
        <f aca="false">_xlfn.FORECAST.ETS.STAT({14;6.3;18.75;19.52;24.2;28.2;28},{1;1;2;3;4;5;6},{1;6;8;5;7;4;3;9;2},0,,3)</f>
        <v>0.6416015625</v>
      </c>
      <c r="B26568" s="0" t="s">
        <v>26388</v>
      </c>
    </row>
    <row r="26569" customFormat="false" ht="15" hidden="false" customHeight="false" outlineLevel="0" collapsed="false">
      <c r="A26569" s="0" t="n">
        <f aca="false">_xlfn.FORECAST.ETS.SEASONALITY({14;6.3;18.75;19.52;24.2;28.2;28},{1;1;2;3;4;5;6},1,5)</f>
        <v>3</v>
      </c>
      <c r="B26569" s="0" t="s">
        <v>26389</v>
      </c>
    </row>
    <row r="26570" customFormat="false" ht="15" hidden="false" customHeight="false" outlineLevel="0" collapsed="false">
      <c r="A26570" s="0" t="n">
        <f aca="false">_xlfn.ORG.LIBREOFFICE.FORECAST.ETS.PI.MULT(9,{14;6.3;18.75;19.52;24.2;28.2;28},{1;1;2;3;4;5;6},0,0,0)</f>
        <v>0</v>
      </c>
      <c r="B26570" s="0" t="s">
        <v>26390</v>
      </c>
    </row>
    <row r="26571" customFormat="false" ht="15" hidden="false" customHeight="false" outlineLevel="0" collapsed="false">
      <c r="A26571" s="0" t="n">
        <f aca="false">_xlfn.ORG.LIBREOFFICE.FORECAST.ETS.MULT(248,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0,,2)</f>
        <v>14.9137028242856</v>
      </c>
      <c r="B26571" s="0" t="s">
        <v>26391</v>
      </c>
    </row>
    <row r="26572" customFormat="false" ht="15" hidden="false" customHeight="false" outlineLevel="0" collapsed="false">
      <c r="A26572" s="0" t="n">
        <f aca="false">_xlfn.ORG.LIBREOFFICE.FORECAST.ETS.STAT.MULT(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{7;9;2;6;8;5;1;4;3},0,,2)</f>
        <v>7.70382982314386</v>
      </c>
      <c r="B26572" s="0" t="s">
        <v>26392</v>
      </c>
    </row>
    <row r="26573" customFormat="false" ht="15" hidden="false" customHeight="false" outlineLevel="0" collapsed="false">
      <c r="A26573" s="0" t="n">
        <f aca="false">_xlfn.FORECAST.ETS.SEASONALITY({31.6;28.5;33.2;42;25;29.94;49.8;28.3;23.09;29.1;36.95;22.2;26;41.49;23.8;20.8;23;30.9;18.1;21.9;34.5;17.5;17.6;20.33;25;29.2;14.19;17.82;27.83;15.87;12;14;19.5;9.52;13.81;18.7},{3;10;17;24;31;38;45;52;59;66;73;80;87;94;101;108;115;122;129;136;143;150;157;164;171;171;178;185;192;199;206;213;220;227;234;241},0)</f>
        <v>7</v>
      </c>
      <c r="B26573" s="0" t="s">
        <v>26393</v>
      </c>
    </row>
    <row r="26574" customFormat="false" ht="15" hidden="false" customHeight="false" outlineLevel="0" collapsed="false">
      <c r="A26574" s="0" t="e">
        <f aca="false">_xlfn.FORECAST.ETS({44742,44802,44757},{22;21.83;21.83;21.8},{44620;44651;44681;44712},1,0,3)</f>
        <v>#VALUE!</v>
      </c>
      <c r="B26574" s="0" t="s">
        <v>26394</v>
      </c>
    </row>
    <row r="26575" customFormat="false" ht="15" hidden="false" customHeight="false" outlineLevel="0" collapsed="false">
      <c r="A26575" s="0" t="e">
        <f aca="false">_xlfn.ORG.LIBREOFFICE.FORECAST.ETS.STAT.MULT({22;21.83;21.83;21.8},{44620;44651;44681;44712},{5;9},1,0,3)</f>
        <v>#VALUE!</v>
      </c>
      <c r="B26575" s="0" t="s">
        <v>26395</v>
      </c>
    </row>
    <row r="26576" customFormat="false" ht="15" hidden="false" customHeight="false" outlineLevel="0" collapsed="false">
      <c r="A26576" s="0" t="e">
        <f aca="false">_xlfn.FORECAST.ETS.SEASONALITY({22;21.83;21.83;21.8},{44620;44651;44681;44712},1)</f>
        <v>#VALUE!</v>
      </c>
      <c r="B26576" s="0" t="s">
        <v>26396</v>
      </c>
    </row>
    <row r="26577" customFormat="false" ht="15" hidden="false" customHeight="false" outlineLevel="0" collapsed="false">
      <c r="A26577" s="0" t="n">
        <f aca="false">_xlfn.FORECAST.ETS(45455,{17.8;17;20.77;16.2;24.5;20.94;20.5;24.54;17.1;29.32;25.7;26;29;22;34.68;30.6;28.67;34.7;23;38.9;35.8;34.2;39.29;28;44.28},{44709;44740;44770;44801;44832;44862;44893;44923;44954;44985;45013;45044;45074;45105;45135;45166;45197;45227;45258;45288;45319;45350;45379;45410;45440},1,,2)</f>
        <v>42.4147176730138</v>
      </c>
      <c r="B26577" s="0" t="s">
        <v>26397</v>
      </c>
    </row>
    <row r="26578" customFormat="false" ht="15" hidden="false" customHeight="false" outlineLevel="0" collapsed="false">
      <c r="A26578" s="0" t="n">
        <f aca="false">_xlfn.FORECAST.ETS.STAT({17.8;17;20.77;16.2;24.5;20.94;20.5;24.54;17.1;29.32;25.7;26;29;22;34.68;30.6;28.67;34.7;23;38.9;35.8;34.2;39.29;28;44.28},{44709;44740;44770;44801;44832;44862;44893;44923;44954;44985;45013;45044;45074;45105;45135;45166;45197;45227;45258;45288;45319;45350;45379;45410;45440},{1},1,,2)</f>
        <v>0.25</v>
      </c>
      <c r="B26578" s="0" t="s">
        <v>26398</v>
      </c>
    </row>
    <row r="26579" customFormat="false" ht="15" hidden="false" customHeight="false" outlineLevel="0" collapsed="false">
      <c r="A26579" s="0" t="n">
        <f aca="false">_xlfn.FORECAST.ETS.SEASONALITY({17.8;17;20.77;16.2;24.5;20.94;20.5;24.54;17.1;29.32;25.7;26;29;22;34.68;30.6;28.67;34.7;23;38.9;35.8;34.2;39.29;28;44.28},{44709;44740;44770;44801;44832;44862;44893;44923;44954;44985;45013;45044;45074;45105;45135;45166;45197;45227;45258;45288;45319;45350;45379;45410;45440})</f>
        <v>5</v>
      </c>
      <c r="B26579" s="0" t="s">
        <v>26399</v>
      </c>
    </row>
    <row r="26580" customFormat="false" ht="15" hidden="false" customHeight="false" outlineLevel="0" collapsed="false">
      <c r="A26580" s="0" t="e">
        <f aca="false">_xlfn.ORG.LIBREOFFICE.FORECAST.ETS.MULT(3,{26;48.2;25.92;26;25.92},{1;1;1.5;2;2.5},6,0)</f>
        <v>#VALUE!</v>
      </c>
      <c r="B26580" s="0" t="s">
        <v>26400</v>
      </c>
    </row>
    <row r="26581" customFormat="false" ht="15" hidden="false" customHeight="false" outlineLevel="0" collapsed="false">
      <c r="A26581" s="0" t="e">
        <f aca="false">_xlfn.FORECAST.ETS.STAT({26;48.2;25.92;26;25.92},{1;1;1.5;2;2.5},{5;4},6,0)</f>
        <v>#VALUE!</v>
      </c>
      <c r="B26581" s="0" t="s">
        <v>26401</v>
      </c>
    </row>
    <row r="26582" customFormat="false" ht="15" hidden="false" customHeight="false" outlineLevel="0" collapsed="false">
      <c r="A26582" s="0" t="n">
        <f aca="false">_xlfn.FORECAST.ETS.SEASONALITY({26;48.2;25.92;26;25.92},{1;1;1.5;2;2.5},1)</f>
        <v>2</v>
      </c>
      <c r="B26582" s="0" t="s">
        <v>26402</v>
      </c>
    </row>
    <row r="26583" customFormat="false" ht="15" hidden="false" customHeight="false" outlineLevel="0" collapsed="false">
      <c r="A26583" s="0" t="n">
        <f aca="false">_xlfn.FORECAST.ETS(9.5,{49;33.58;55;28.92;28.5;45;34;30;31;29;52;25.2},{9;1;3;5;8;12;4;7;2;10;6;11},4)</f>
        <v>43.09826171875</v>
      </c>
      <c r="B26583" s="0" t="s">
        <v>26403</v>
      </c>
    </row>
    <row r="26584" customFormat="false" ht="15" hidden="false" customHeight="false" outlineLevel="0" collapsed="false">
      <c r="A26584" s="0" t="n">
        <f aca="false">_xlfn.ORG.LIBREOFFICE.FORECAST.ETS.STAT.MULT({49;33.58;55;28.92;28.5;45;34;30;31;29;52;25.2},{9;1;3;5;8;12;4;7;2;10;6;11},{9;6;5;2;1;4;7;8;3},4)</f>
        <v>4</v>
      </c>
      <c r="B26584" s="0" t="s">
        <v>26404</v>
      </c>
    </row>
    <row r="26585" customFormat="false" ht="15" hidden="false" customHeight="false" outlineLevel="0" collapsed="false">
      <c r="A26585" s="0" t="n">
        <f aca="false">_xlfn.FORECAST.ETS.SEASONALITY({49;33.58;55;28.92;28.5;45;34;30;31;29;52;25.2},{9;1;3;5;8;12;4;7;2;10;6;11},0,6)</f>
        <v>3</v>
      </c>
      <c r="B26585" s="0" t="s">
        <v>26405</v>
      </c>
    </row>
    <row r="26586" customFormat="false" ht="15" hidden="false" customHeight="false" outlineLevel="0" collapsed="false">
      <c r="A26586" s="0" t="n">
        <f aca="false">_xlfn.ORG.LIBREOFFICE.FORECAST.ETS.PI.MULT(13,{49;33.58;55;28.92;28.5;45;34;30;31;29;52;25.2},{9;1;3;5;8;12;4;7;2;10;6;11},0,0)</f>
        <v>0</v>
      </c>
      <c r="B26586" s="0" t="s">
        <v>26406</v>
      </c>
    </row>
    <row r="26587" customFormat="false" ht="15" hidden="false" customHeight="false" outlineLevel="0" collapsed="false">
      <c r="A26587" s="0" t="n">
        <f aca="false">_xlfn.ORG.LIBREOFFICE.FORECAST.ETS.MULT(4.5,{30;46;23;41;38.78;27.33;40.6;21;38;32.8;24.69;38.8;20.18;32.71;29.5},{1;1.5;2;2.5;3;3.5;4;4.5;5;5.5;6;6.5;7;7.5;8},2)</f>
        <v>21</v>
      </c>
      <c r="B26587" s="0" t="s">
        <v>26407</v>
      </c>
    </row>
    <row r="26588" customFormat="false" ht="15" hidden="false" customHeight="false" outlineLevel="0" collapsed="false">
      <c r="A26588" s="0" t="n">
        <f aca="false">_xlfn.ORG.LIBREOFFICE.FORECAST.ETS.STAT.MULT({30;46;23;41;38.78;27.33;40.6;21;38;32.8;24.69;38.8;20.18;32.71;29.5},{1;1.5;2;2.5;3;3.5;4;4.5;5;5.5;6;6.5;7;7.5;8},{4},2)</f>
        <v>0.847317740133114</v>
      </c>
      <c r="B26588" s="0" t="s">
        <v>26408</v>
      </c>
    </row>
    <row r="26589" customFormat="false" ht="15" hidden="false" customHeight="false" outlineLevel="0" collapsed="false">
      <c r="A26589" s="0" t="n">
        <f aca="false">_xlfn.FORECAST.ETS.SEASONALITY({30;46;23;41;38.78;27.33;40.6;21;38;32.8;24.69;38.8;20.18;32.71;29.5},{1;1.5;2;2.5;3;3.5;4;4.5;5;5.5;6;6.5;7;7.5;8},1,4)</f>
        <v>5</v>
      </c>
      <c r="B26589" s="0" t="s">
        <v>26409</v>
      </c>
    </row>
    <row r="26590" customFormat="false" ht="15" hidden="false" customHeight="false" outlineLevel="0" collapsed="false">
      <c r="A26590" s="0" t="n">
        <f aca="false">_xlfn.FORECAST.ETS.CONFINT(8.5,{30;46;23;41;38.78;27.33;40.6;21;38;32.8;24.69;38.8;20.18;32.71;29.5},{1;1.5;2;2.5;3;3.5;4;4.5;5;5.5;6;6.5;7;7.5;8},0.5,0,1,7)</f>
        <v>5.66955568234306</v>
      </c>
      <c r="B26590" s="0" t="s">
        <v>26410</v>
      </c>
    </row>
    <row r="26591" customFormat="false" ht="15" hidden="false" customHeight="false" outlineLevel="0" collapsed="false">
      <c r="A26591" s="0" t="n">
        <f aca="false">_xlfn.FORECAST.ETS({45027,45025,45024.5},{39.49;39;39;39.49;39.5;39.5;39.5;39.5;39;39.5;39.49;39.5;39.5;39.49;39;39.5;39.49;39;39.49;39.5;39;39;39;39.49},{45004;45021;45001;45009;45018;45002;45008;45011;45010;45016;45015;45007;45005;45006;45003;45012;45013;45022;45014;45023;45017;45019;45000;45020},4,0,5)</f>
        <v>39.0771070079706</v>
      </c>
      <c r="B26591" s="0" t="s">
        <v>26411</v>
      </c>
    </row>
    <row r="26592" customFormat="false" ht="15" hidden="false" customHeight="false" outlineLevel="0" collapsed="false">
      <c r="A26592" s="0" t="n">
        <f aca="false">_xlfn.FORECAST.ETS.STAT({39.49;39;39;39.49;39.5;39.5;39.5;39.5;39;39.5;39.49;39.5;39.5;39.49;39;39.5;39.49;39;39.49;39.5;39;39;39;39.49},{45004;45021;45001;45009;45018;45002;45008;45011;45010;45016;45015;45007;45005;45006;45003;45012;45013;45022;45014;45023;45017;45019;45000;45020},{5;6;4;2;9;3;7;8;1},4,0,5)</f>
        <v>0.00558973796228287</v>
      </c>
      <c r="B26592" s="0" t="s">
        <v>26412</v>
      </c>
    </row>
    <row r="26593" customFormat="false" ht="15" hidden="false" customHeight="false" outlineLevel="0" collapsed="false">
      <c r="A26593" s="0" t="n">
        <f aca="false">_xlfn.FORECAST.ETS.SEASONALITY({39.49;39;39;39.49;39.5;39.5;39.5;39.5;39;39.5;39.49;39.5;39.5;39.49;39;39.5;39.49;39;39.49;39.5;39;39;39;39.49},{45004;45021;45001;45009;45018;45002;45008;45011;45010;45016;45015;45007;45005;45006;45003;45012;45013;45022;45014;45023;45017;45019;45000;45020})</f>
        <v>7</v>
      </c>
      <c r="B26593" s="0" t="s">
        <v>26413</v>
      </c>
    </row>
    <row r="26594" customFormat="false" ht="15" hidden="false" customHeight="false" outlineLevel="0" collapsed="false">
      <c r="A26594" s="0" t="n">
        <f aca="false">_xlfn.ORG.LIBREOFFICE.FORECAST.ETS.PI.MULT({45024;45025;45026},{39.49;39;39;39.49;39.5;39.5;39.5;39.5;39;39.5;39.49;39.5;39.5;39.49;39;39.5;39.49;39;39.49;39.5;39;39;39;39.49},{45004;45021;45001;45009;45018;45002;45008;45011;45010;45016;45015;45007;45005;45006;45003;45012;45013;45022;45014;45023;45017;45019;45000;45020},0,0)</f>
        <v>0</v>
      </c>
      <c r="B26594" s="0" t="s">
        <v>26414</v>
      </c>
    </row>
    <row r="26595" customFormat="false" ht="15" hidden="false" customHeight="false" outlineLevel="0" collapsed="false">
      <c r="A26595" s="0" t="n">
        <f aca="false">_xlfn.ORG.LIBREOFFICE.FORECAST.ETS.MULT({6.5,8},{47;47.08;47;47;47.1;47.1},{1;2;3;4;5;6},0)</f>
        <v>47.11</v>
      </c>
      <c r="B26595" s="0" t="s">
        <v>26415</v>
      </c>
    </row>
    <row r="26596" customFormat="false" ht="15" hidden="false" customHeight="false" outlineLevel="0" collapsed="false">
      <c r="A26596" s="0" t="n">
        <f aca="false">_xlfn.FORECAST.ETS.STAT({47;47.08;47;47;47.1;47.1},{1;2;3;4;5;6},{7},0)</f>
        <v>0.0428952211790558</v>
      </c>
      <c r="B26596" s="0" t="s">
        <v>26416</v>
      </c>
    </row>
    <row r="26597" customFormat="false" ht="15" hidden="false" customHeight="false" outlineLevel="0" collapsed="false">
      <c r="A26597" s="0" t="n">
        <f aca="false">_xlfn.FORECAST.ETS.SEASONALITY({47;47.08;47;47;47.1;47.1},{1;2;3;4;5;6},1,5)</f>
        <v>3</v>
      </c>
      <c r="B26597" s="0" t="s">
        <v>26417</v>
      </c>
    </row>
    <row r="26598" customFormat="false" ht="15" hidden="false" customHeight="false" outlineLevel="0" collapsed="false">
      <c r="A26598" s="0" t="n">
        <f aca="false">_xlfn.FORECAST.ETS({45012},{29.4;39.27;45;35;45.5;49.73;38.24;46.2;42.72;53.28;57},{45000;45001;45002;45003;45004;45005;45006;45007;45009;45010;45011})</f>
        <v>44.5733333333333</v>
      </c>
      <c r="B26598" s="0" t="s">
        <v>26418</v>
      </c>
    </row>
    <row r="26599" customFormat="false" ht="15" hidden="false" customHeight="false" outlineLevel="0" collapsed="false">
      <c r="A26599" s="0" t="n">
        <f aca="false">_xlfn.ORG.LIBREOFFICE.FORECAST.ETS.STAT.MULT({29.4;39.27;45;35;45.5;49.73;38.24;46.2;42.72;53.28;57},{45000;45001;45002;45003;45004;45005;45006;45007;45009;45010;45011},{1;8;9;3;7;5;2;6;4})</f>
        <v>0</v>
      </c>
      <c r="B26599" s="0" t="s">
        <v>26419</v>
      </c>
    </row>
    <row r="26600" customFormat="false" ht="15" hidden="false" customHeight="false" outlineLevel="0" collapsed="false">
      <c r="A26600" s="0" t="n">
        <f aca="false">_xlfn.FORECAST.ETS.SEASONALITY({29.4;39.27;45;35;45.5;49.73;38.24;46.2;42.72;53.28;57},{45000;45001;45002;45003;45004;45005;45006;45007;45009;45010;45011},0,6)</f>
        <v>3</v>
      </c>
      <c r="B26600" s="0" t="s">
        <v>26420</v>
      </c>
    </row>
    <row r="26601" customFormat="false" ht="15" hidden="false" customHeight="false" outlineLevel="0" collapsed="false">
      <c r="A26601" s="0" t="n">
        <f aca="false">_xlfn.FORECAST.ETS(115.5,{17.6;10;16.7;13;22.7;16.8;12.99;16.7;10.3;15.96;14.61;17.2;9.9;16.37;9;16.61;13.9;18.3;12},{3;13;23;33;33;43;53;63;73;83;93;103;113;123;133;143;153;163;173},3)</f>
        <v>10.994861510042</v>
      </c>
      <c r="B26601" s="0" t="s">
        <v>26421</v>
      </c>
    </row>
    <row r="26602" customFormat="false" ht="15" hidden="false" customHeight="false" outlineLevel="0" collapsed="false">
      <c r="A26602" s="0" t="n">
        <f aca="false">_xlfn.FORECAST.ETS.STAT({17.6;10;16.7;13;22.7;16.8;12.99;16.7;10.3;15.96;14.61;17.2;9.9;16.37;9;16.61;13.9;18.3;12},{3;13;23;33;33;43;53;63;73;83;93;103;113;123;133;143;153;163;173},{7;4},3)</f>
        <v>3.772780119059</v>
      </c>
      <c r="B26602" s="0" t="s">
        <v>26422</v>
      </c>
    </row>
    <row r="26603" customFormat="false" ht="15" hidden="false" customHeight="false" outlineLevel="0" collapsed="false">
      <c r="A26603" s="0" t="n">
        <f aca="false">_xlfn.FORECAST.ETS.SEASONALITY({17.6;10;16.7;13;22.7;16.8;12.99;16.7;10.3;15.96;14.61;17.2;9.9;16.37;9;16.61;13.9;18.3;12},{3;13;23;33;33;43;53;63;73;83;93;103;113;123;133;143;153;163;173})</f>
        <v>6</v>
      </c>
      <c r="B26603" s="0" t="s">
        <v>26423</v>
      </c>
    </row>
    <row r="26604" customFormat="false" ht="15" hidden="false" customHeight="false" outlineLevel="0" collapsed="false">
      <c r="A26604" s="0" t="n">
        <f aca="false">_xlfn.FORECAST.ETS.CONFINT(203,{17.6;10;16.7;13;22.7;16.8;12.99;16.7;10.3;15.96;14.61;17.2;9.9;16.37;9;16.61;13.9;18.3;12},{3;13;23;33;33;43;53;63;73;83;93;103;113;123;133;143;153;163;173},0.95,0,1,7)</f>
        <v>26.8877581994833</v>
      </c>
      <c r="B26604" s="0" t="s">
        <v>26424</v>
      </c>
    </row>
    <row r="26605" customFormat="false" ht="15" hidden="false" customHeight="false" outlineLevel="0" collapsed="false">
      <c r="A26605" s="0" t="n">
        <f aca="false">_xlfn.FORECAST.ETS(1.5,{44.1;42;40;41;39;38.74;37.14;35.68;35.83;33.5;34.3;32.71;29.9;28.7;27.8;28.5;27;25.5;24;24;22.95},{1;2;3;4;5;6;7;8;9;10;11;12;13;14;15;16;17;18;19;21;22},7,0)</f>
        <v>43.05</v>
      </c>
      <c r="B26605" s="0" t="s">
        <v>26425</v>
      </c>
    </row>
    <row r="26606" customFormat="false" ht="15" hidden="false" customHeight="false" outlineLevel="0" collapsed="false">
      <c r="A26606" s="0" t="n">
        <f aca="false">_xlfn.FORECAST.ETS.STAT({44.1;42;40;41;39;38.74;37.14;35.68;35.83;33.5;34.3;32.71;29.9;28.7;27.8;28.5;27;25.5;24;24;22.95},{1;2;3;4;5;6;7;8;9;10;11;12;13;14;15;16;17;18;19;21;22},{2;4;5;3;6;7;1;9;8},7,0)</f>
        <v>0</v>
      </c>
      <c r="B26606" s="0" t="s">
        <v>26426</v>
      </c>
    </row>
    <row r="26607" customFormat="false" ht="15" hidden="false" customHeight="false" outlineLevel="0" collapsed="false">
      <c r="A26607" s="0" t="n">
        <f aca="false">_xlfn.FORECAST.ETS.SEASONALITY({44.1;42;40;41;39;38.74;37.14;35.68;35.83;33.5;34.3;32.71;29.9;28.7;27.8;28.5;27;25.5;24;24;22.95},{1;2;3;4;5;6;7;8;9;10;11;12;13;14;15;16;17;18;19;21;22})</f>
        <v>5</v>
      </c>
      <c r="B26607" s="0" t="s">
        <v>26427</v>
      </c>
    </row>
    <row r="26608" customFormat="false" ht="15" hidden="false" customHeight="false" outlineLevel="0" collapsed="false">
      <c r="A26608" s="0" t="n">
        <f aca="false">_xlfn.ORG.LIBREOFFICE.FORECAST.ETS.MULT(20.5,{31.03;78.07;43.78;39.66;22.42;82;54;77;68.2;69;63.73;100;33.13;42.9;35.58;7;6.1;13.6;64.33;61.8},{1;6;5;16;2;19;9;15;12;20;10;8;3;18;17;7;13;14;11;4},6,1)</f>
        <v>52.8924933195964</v>
      </c>
      <c r="B26608" s="0" t="s">
        <v>26428</v>
      </c>
    </row>
    <row r="26609" customFormat="false" ht="15" hidden="false" customHeight="false" outlineLevel="0" collapsed="false">
      <c r="A26609" s="0" t="n">
        <f aca="false">_xlfn.ORG.LIBREOFFICE.FORECAST.ETS.STAT.MULT({31.03;78.07;43.78;39.66;22.42;82;54;77;68.2;69;63.73;100;33.13;42.9;35.58;7;6.1;13.6;64.33;61.8},{1;6;5;16;2;19;9;15;12;20;10;8;3;18;17;7;13;14;11;4},{4},6,1)</f>
        <v>0.79522822653243</v>
      </c>
      <c r="B26609" s="0" t="s">
        <v>26429</v>
      </c>
    </row>
    <row r="26610" customFormat="false" ht="15" hidden="false" customHeight="false" outlineLevel="0" collapsed="false">
      <c r="A26610" s="0" t="n">
        <f aca="false">_xlfn.FORECAST.ETS.SEASONALITY({31.03;78.07;43.78;39.66;22.42;82;54;77;68.2;69;63.73;100;33.13;42.9;35.58;7;6.1;13.6;64.33;61.8},{1;6;5;16;2;19;9;15;12;20;10;8;3;18;17;7;13;14;11;4})</f>
        <v>7</v>
      </c>
      <c r="B26610" s="0" t="s">
        <v>26430</v>
      </c>
    </row>
    <row r="26611" customFormat="false" ht="15" hidden="false" customHeight="false" outlineLevel="0" collapsed="false">
      <c r="A26611" s="0" t="n">
        <f aca="false">_xlfn.FORECAST.ETS.CONFINT(22,{31.03;78.07;43.78;39.66;22.42;82;54;77;68.2;69;63.73;100;33.13;42.9;35.58;7;6.1;13.6;64.33;61.8},{1;6;5;16;2;19;9;15;12;20;10;8;3;18;17;7;13;14;11;4},,0,0)</f>
        <v>85.3474703408788</v>
      </c>
      <c r="B26611" s="0" t="s">
        <v>26431</v>
      </c>
    </row>
    <row r="26612" customFormat="false" ht="15" hidden="false" customHeight="false" outlineLevel="0" collapsed="false">
      <c r="A26612" s="0" t="n">
        <f aca="false">_xlfn.ORG.LIBREOFFICE.FORECAST.ETS.MULT({25.5;25.5;27},{64;54.1;61;52.1;52.3;71.59;56.56;68.3;75.92;47.6;61.7;62;44.26;80;66.59;72;53.1;82.8;69;66;73.85;61.32;54.4;75.7},{11;5;12;8;4;19;3;20;22;1;14;13;2;23;16;17;6;21;18;9;15;10;7;24},6,,6)</f>
        <v>77.599369547472</v>
      </c>
      <c r="B26612" s="0" t="s">
        <v>26432</v>
      </c>
    </row>
    <row r="26613" customFormat="false" ht="15" hidden="false" customHeight="false" outlineLevel="0" collapsed="false">
      <c r="A26613" s="0" t="n">
        <f aca="false">_xlfn.ORG.LIBREOFFICE.FORECAST.ETS.STAT.MULT({64;54.1;61;52.1;52.3;71.59;56.56;68.3;75.92;47.6;61.7;62;44.26;80;66.59;72;53.1;82.8;69;66;73.85;61.32;54.4;75.7},{11;5;12;8;4;19;3;20;22;1;14;13;2;23;16;17;6;21;18;9;15;10;7;24},{6;5;8;2;1;4;7;3;9},6,,6)</f>
        <v>0.709451486365364</v>
      </c>
      <c r="B26613" s="0" t="s">
        <v>26433</v>
      </c>
    </row>
    <row r="26614" customFormat="false" ht="15" hidden="false" customHeight="false" outlineLevel="0" collapsed="false">
      <c r="A26614" s="0" t="n">
        <f aca="false">_xlfn.FORECAST.ETS.SEASONALITY({64;54.1;61;52.1;52.3;71.59;56.56;68.3;75.92;47.6;61.7;62;44.26;80;66.59;72;53.1;82.8;69;66;73.85;61.32;54.4;75.7},{11;5;12;8;4;19;3;20;22;1;14;13;2;23;16;17;6;21;18;9;15;10;7;24},0,7)</f>
        <v>6</v>
      </c>
      <c r="B26614" s="0" t="s">
        <v>26434</v>
      </c>
    </row>
    <row r="26615" customFormat="false" ht="15" hidden="false" customHeight="false" outlineLevel="0" collapsed="false">
      <c r="A26615" s="0" t="n">
        <f aca="false">_xlfn.FORECAST.ETS.CONFINT({25;26;27},{64;54.1;61;52.1;52.3;71.59;56.56;68.3;75.92;47.6;61.7;62;44.26;80;66.59;72;53.1;82.8;69;66;73.85;61.32;54.4;75.7},{11;5;12;8;4;19;3;20;22;1;14;13;2;23;16;17;6;21;18;9;15;10;7;24},0,0)</f>
        <v>0</v>
      </c>
      <c r="B26615" s="0" t="s">
        <v>26435</v>
      </c>
    </row>
    <row r="26616" customFormat="false" ht="15" hidden="false" customHeight="false" outlineLevel="0" collapsed="false">
      <c r="A26616" s="0" t="e">
        <f aca="false">_xlfn.ORG.LIBREOFFICE.FORECAST.ETS.MULT(5,{37;42;45;47.83;52;58.1;61.49},{1;1.5;2;2.5;3;3.5;4},6,0,2)</f>
        <v>#VALUE!</v>
      </c>
      <c r="B26616" s="0" t="s">
        <v>26436</v>
      </c>
    </row>
    <row r="26617" customFormat="false" ht="15" hidden="false" customHeight="false" outlineLevel="0" collapsed="false">
      <c r="A26617" s="0" t="e">
        <f aca="false">_xlfn.FORECAST.ETS.STAT({37;42;45;47.83;52;58.1;61.49},{1;1.5;2;2.5;3;3.5;4},{4},6,0,2)</f>
        <v>#VALUE!</v>
      </c>
      <c r="B26617" s="0" t="s">
        <v>26437</v>
      </c>
    </row>
    <row r="26618" customFormat="false" ht="15" hidden="false" customHeight="false" outlineLevel="0" collapsed="false">
      <c r="A26618" s="0" t="n">
        <f aca="false">_xlfn.FORECAST.ETS.SEASONALITY({37;42;45;47.83;52;58.1;61.49},{1;1.5;2;2.5;3;3.5;4})</f>
        <v>1</v>
      </c>
      <c r="B26618" s="0" t="s">
        <v>26438</v>
      </c>
    </row>
    <row r="26619" customFormat="false" ht="15" hidden="false" customHeight="false" outlineLevel="0" collapsed="false">
      <c r="A26619" s="0" t="n">
        <f aca="false">_xlfn.ORG.LIBREOFFICE.FORECAST.ETS.MULT({13.5;17;17},{12.61;16.28;19.3;18.9;22.98;25.17;27;26.5;30.39;32;35.3;35.34;39},{1;2;3;4;5;6;7;8;9;10;11;12;13},1,,6)</f>
        <v>40.1443493293305</v>
      </c>
      <c r="B26619" s="0" t="s">
        <v>26439</v>
      </c>
    </row>
    <row r="26620" customFormat="false" ht="15" hidden="false" customHeight="false" outlineLevel="0" collapsed="false">
      <c r="A26620" s="0" t="n">
        <f aca="false">_xlfn.FORECAST.ETS.STAT({12.61;16.28;19.3;18.9;22.98;25.17;27;26.5;30.39;32;35.3;35.34;39},{1;2;3;4;5;6;7;8;9;10;11;12;13},{2;5;6;4;9;7;1;3;8},1,,6)</f>
        <v>0</v>
      </c>
      <c r="B26620" s="0" t="s">
        <v>26440</v>
      </c>
    </row>
    <row r="26621" customFormat="false" ht="15" hidden="false" customHeight="false" outlineLevel="0" collapsed="false">
      <c r="A26621" s="0" t="n">
        <f aca="false">_xlfn.FORECAST.ETS.SEASONALITY({12.61;16.28;19.3;18.9;22.98;25.17;27;26.5;30.39;32;35.3;35.34;39},{1;2;3;4;5;6;7;8;9;10;11;12;13},0,6)</f>
        <v>4</v>
      </c>
      <c r="B26621" s="0" t="s">
        <v>26441</v>
      </c>
    </row>
    <row r="26622" customFormat="false" ht="15" hidden="false" customHeight="false" outlineLevel="0" collapsed="false">
      <c r="A26622" s="0" t="n">
        <f aca="false">_xlfn.FORECAST.ETS(45165,{25.39;28.2;27;28;25.3;26;27;24;25.4;28;26.85;25.16;26.7;27;26.29;28.1},{44832;44985;44679;45013;44801;45044;44893;44648;44954;44923;44709;44770;45105;44740;44862;45074},1,0,5)</f>
        <v>27.3905799280152</v>
      </c>
      <c r="B26622" s="0" t="s">
        <v>26442</v>
      </c>
    </row>
    <row r="26623" customFormat="false" ht="15" hidden="false" customHeight="false" outlineLevel="0" collapsed="false">
      <c r="A26623" s="0" t="n">
        <f aca="false">_xlfn.ORG.LIBREOFFICE.FORECAST.ETS.STAT.MULT({25.39;28.2;27;28;25.3;26;27;24;25.4;28;26.85;25.16;26.7;27;26.29;28.1},{44832;44985;44679;45013;44801;45044;44893;44648;44954;44923;44709;44770;45105;44740;44862;45074},{2;4},1,0,5)</f>
        <v>0.5107421875</v>
      </c>
      <c r="B26623" s="0" t="s">
        <v>26443</v>
      </c>
    </row>
    <row r="26624" customFormat="false" ht="15" hidden="false" customHeight="false" outlineLevel="0" collapsed="false">
      <c r="A26624" s="0" t="n">
        <f aca="false">_xlfn.FORECAST.ETS.SEASONALITY({25.39;28.2;27;28;25.3;26;27;24;25.4;28;26.85;25.16;26.7;27;26.29;28.1},{44832;44985;44679;45013;44801;45044;44893;44648;44954;44923;44709;44770;45105;44740;44862;45074},1,6)</f>
        <v>3</v>
      </c>
      <c r="B26624" s="0" t="s">
        <v>26444</v>
      </c>
    </row>
    <row r="26625" customFormat="false" ht="15" hidden="false" customHeight="false" outlineLevel="0" collapsed="false">
      <c r="A26625" s="0" t="n">
        <f aca="false">_xlfn.ORG.LIBREOFFICE.FORECAST.ETS.MULT(45427,{57;59.03;50.36;66;59.29;68;64.4;55.7;62.8;36.97;70;55;45;73;69.54;55.15;64.84;71.99;39.1;46.88;43.81;76;72.9;82.88},{45214;44757;44849;44788;44910;45061;44941;44727;44880;44635;45275;44696;45000;44972;45122;45031;45092;45245;44819;45184;44666;45153;45306;45337},1,0,7)</f>
        <v>77.4379380135745</v>
      </c>
      <c r="B26625" s="0" t="s">
        <v>26445</v>
      </c>
    </row>
    <row r="26626" customFormat="false" ht="15" hidden="false" customHeight="false" outlineLevel="0" collapsed="false">
      <c r="A26626" s="0" t="n">
        <f aca="false">_xlfn.FORECAST.ETS.STAT({57;59.03;50.36;66;59.29;68;64.4;55.7;62.8;36.97;70;55;45;73;69.54;55.15;64.84;71.99;39.1;46.88;43.81;76;72.9;82.88},{45214;44757;44849;44788;44910;45061;44941;44727;44880;44635;45275;44696;45000;44972;45122;45031;45092;45245;44819;45184;44666;45153;45306;45337},{9},1,0,7)</f>
        <v>6</v>
      </c>
      <c r="B26626" s="0" t="s">
        <v>26446</v>
      </c>
    </row>
    <row r="26627" customFormat="false" ht="15" hidden="false" customHeight="false" outlineLevel="0" collapsed="false">
      <c r="A26627" s="0" t="n">
        <f aca="false">_xlfn.FORECAST.ETS.SEASONALITY({57;59.03;50.36;66;59.29;68;64.4;55.7;62.8;36.97;70;55;45;73;69.54;55.15;64.84;71.99;39.1;46.88;43.81;76;72.9;82.88},{45214;44757;44849;44788;44910;45061;44941;44727;44880;44635;45275;44696;45000;44972;45122;45031;45092;45245;44819;45184;44666;45153;45306;45337})</f>
        <v>6</v>
      </c>
      <c r="B26627" s="0" t="s">
        <v>26447</v>
      </c>
    </row>
    <row r="26628" customFormat="false" ht="15" hidden="false" customHeight="false" outlineLevel="0" collapsed="false">
      <c r="A26628" s="0" t="n">
        <f aca="false">_xlfn.ORG.LIBREOFFICE.FORECAST.ETS.MULT(3.5,{35;35;35.3;35.3;35.3},{1;2;3;4;5})</f>
        <v>35.2625</v>
      </c>
      <c r="B26628" s="0" t="s">
        <v>26448</v>
      </c>
    </row>
    <row r="26629" customFormat="false" ht="15" hidden="false" customHeight="false" outlineLevel="0" collapsed="false">
      <c r="A26629" s="0" t="n">
        <f aca="false">_xlfn.ORG.LIBREOFFICE.FORECAST.ETS.STAT.MULT({35;35;35.3;35.3;35.3},{1;2;3;4;5},{2;3})</f>
        <v>0</v>
      </c>
      <c r="B26629" s="0" t="s">
        <v>26449</v>
      </c>
    </row>
    <row r="26630" customFormat="false" ht="15" hidden="false" customHeight="false" outlineLevel="0" collapsed="false">
      <c r="A26630" s="0" t="n">
        <f aca="false">_xlfn.FORECAST.ETS.SEASONALITY({35;35;35.3;35.3;35.3},{1;2;3;4;5},1,3)</f>
        <v>1</v>
      </c>
      <c r="B26630" s="0" t="s">
        <v>26450</v>
      </c>
    </row>
    <row r="26631" customFormat="false" ht="15" hidden="false" customHeight="false" outlineLevel="0" collapsed="false">
      <c r="A26631" s="0" t="n">
        <f aca="false">_xlfn.ORG.LIBREOFFICE.FORECAST.ETS.MULT(45015,{35.33;24;27.31;20;39.68;30;30.4;21;35.62;34.8;39;27.48;22},{45010;45003;45004;45000;45012;45006;45007;45001;45009;45008;45011;45005;45002},1,0,5)</f>
        <v>43.6207456783278</v>
      </c>
      <c r="B26631" s="0" t="s">
        <v>26451</v>
      </c>
    </row>
    <row r="26632" customFormat="false" ht="15" hidden="false" customHeight="false" outlineLevel="0" collapsed="false">
      <c r="A26632" s="0" t="n">
        <f aca="false">_xlfn.FORECAST.ETS.STAT({35.33;24;27.31;20;39.68;30;30.4;21;35.62;34.8;39;27.48;22},{45010;45003;45004;45000;45012;45006;45007;45001;45009;45008;45011;45005;45002},{9},1,0,5)</f>
        <v>5</v>
      </c>
      <c r="B26632" s="0" t="s">
        <v>26452</v>
      </c>
    </row>
    <row r="26633" customFormat="false" ht="15" hidden="false" customHeight="false" outlineLevel="0" collapsed="false">
      <c r="A26633" s="0" t="n">
        <f aca="false">_xlfn.FORECAST.ETS.SEASONALITY({35.33;24;27.31;20;39.68;30;30.4;21;35.62;34.8;39;27.48;22},{45010;45003;45004;45000;45012;45006;45007;45001;45009;45008;45011;45005;45002})</f>
        <v>5</v>
      </c>
      <c r="B26633" s="0" t="s">
        <v>26453</v>
      </c>
    </row>
    <row r="26634" customFormat="false" ht="15" hidden="false" customHeight="false" outlineLevel="0" collapsed="false">
      <c r="A26634" s="0" t="n">
        <f aca="false">_xlfn.ORG.LIBREOFFICE.FORECAST.ETS.MULT(12.5,{62;52.69;17;41.8;61.6;70;85.7;16.9;33.74;92;48;97;2.11;10;97;35.49;29.91;96.79},{1;2;3;3;4;5;6;7;8;9;10;11;12;13;14;15;16;17},3)</f>
        <v>30.2067729344591</v>
      </c>
      <c r="B26634" s="0" t="s">
        <v>26454</v>
      </c>
    </row>
    <row r="26635" customFormat="false" ht="15" hidden="false" customHeight="false" outlineLevel="0" collapsed="false">
      <c r="A26635" s="0" t="n">
        <f aca="false">_xlfn.ORG.LIBREOFFICE.FORECAST.ETS.STAT.MULT({62;52.69;17;41.8;61.6;70;85.7;16.9;33.74;92;48;97;2.11;10;97;35.49;29.91;96.79},{1;2;3;3;4;5;6;7;8;9;10;11;12;13;14;15;16;17},{5},3)</f>
        <v>0.510867173754653</v>
      </c>
      <c r="B26635" s="0" t="s">
        <v>26455</v>
      </c>
    </row>
    <row r="26636" customFormat="false" ht="15" hidden="false" customHeight="false" outlineLevel="0" collapsed="false">
      <c r="A26636" s="0" t="n">
        <f aca="false">_xlfn.FORECAST.ETS.SEASONALITY({62;52.69;17;41.8;61.6;70;85.7;16.9;33.74;92;48;97;2.11;10;97;35.49;29.91;96.79},{1;2;3;3;4;5;6;7;8;9;10;11;12;13;14;15;16;17},1,4)</f>
        <v>8</v>
      </c>
      <c r="B26636" s="0" t="s">
        <v>26456</v>
      </c>
    </row>
    <row r="26637" customFormat="false" ht="15" hidden="false" customHeight="false" outlineLevel="0" collapsed="false">
      <c r="A26637" s="0" t="n">
        <f aca="false">_xlfn.FORECAST.ETS(2.125,{47.5;47.5;47;47;47.5;47.5;47.47;47.47;47.47},{2;2.5;3;3.5;4.5;1;4;1.5;5},2)</f>
        <v>47.4962499999997</v>
      </c>
      <c r="B26637" s="0" t="s">
        <v>26457</v>
      </c>
    </row>
    <row r="26638" customFormat="false" ht="15" hidden="false" customHeight="false" outlineLevel="0" collapsed="false">
      <c r="A26638" s="0" t="n">
        <f aca="false">_xlfn.FORECAST.ETS.STAT({47.5;47.5;47;47;47.5;47.5;47.47;47.47;47.47},{2;2.5;3;3.5;4.5;1;4;1.5;5},{8;5;1;4;3;2;9;6;7},2)</f>
        <v>0.5</v>
      </c>
      <c r="B26638" s="0" t="s">
        <v>26458</v>
      </c>
    </row>
    <row r="26639" customFormat="false" ht="15" hidden="false" customHeight="false" outlineLevel="0" collapsed="false">
      <c r="A26639" s="0" t="n">
        <f aca="false">_xlfn.FORECAST.ETS.SEASONALITY({47.5;47.5;47;47;47.5;47.5;47.47;47.47;47.47},{2;2.5;3;3.5;4.5;1;4;1.5;5})</f>
        <v>1</v>
      </c>
      <c r="B26639" s="0" t="s">
        <v>26459</v>
      </c>
    </row>
    <row r="26640" customFormat="false" ht="15" hidden="false" customHeight="false" outlineLevel="0" collapsed="false">
      <c r="A26640" s="0" t="e">
        <f aca="false">_xlfn.ORG.LIBREOFFICE.FORECAST.ETS.MULT({45336},{52.41;61.8;43.7;39.3;37.72;45;62;68.3;49.5;44;41.4;53.26;68.62;78;58;51.5;46.2;57.18},{44773;44804;44834;44865;44895;44926;44957;44985;45016;45046;45077;45107;45138;45169;45199;45230;45260;45291},1,1,3)</f>
        <v>#VALUE!</v>
      </c>
      <c r="B26640" s="0" t="s">
        <v>26460</v>
      </c>
    </row>
    <row r="26641" customFormat="false" ht="15" hidden="false" customHeight="false" outlineLevel="0" collapsed="false">
      <c r="A26641" s="0" t="e">
        <f aca="false">_xlfn.ORG.LIBREOFFICE.FORECAST.ETS.STAT.MULT({52.41;61.8;43.7;39.3;37.72;45;62;68.3;49.5;44;41.4;53.26;68.62;78;58;51.5;46.2;57.18},{44773;44804;44834;44865;44895;44926;44957;44985;45016;45046;45077;45107;45138;45169;45199;45230;45260;45291},{8},1,1,3)</f>
        <v>#VALUE!</v>
      </c>
      <c r="B26641" s="0" t="s">
        <v>26461</v>
      </c>
    </row>
    <row r="26642" customFormat="false" ht="15" hidden="false" customHeight="false" outlineLevel="0" collapsed="false">
      <c r="A26642" s="0" t="e">
        <f aca="false">_xlfn.FORECAST.ETS.SEASONALITY({52.41;61.8;43.7;39.3;37.72;45;62;68.3;49.5;44;41.4;53.26;68.62;78;58;51.5;46.2;57.18},{44773;44804;44834;44865;44895;44926;44957;44985;45016;45046;45077;45107;45138;45169;45199;45230;45260;45291})</f>
        <v>#VALUE!</v>
      </c>
      <c r="B26642" s="0" t="s">
        <v>26462</v>
      </c>
    </row>
    <row r="26643" customFormat="false" ht="15" hidden="false" customHeight="false" outlineLevel="0" collapsed="false">
      <c r="A26643" s="0" t="n">
        <f aca="false">_xlfn.ORG.LIBREOFFICE.FORECAST.ETS.MULT({12.75},{74;62.07;76.6;98.09;52.4;13.85;71.3;34.78;76;7;90.7;59.5;10;66.67;13.71;76.21;74;94.9;37;51;87.43;60.88},{1;1.5;2;2.5;3;3.5;4;4.5;5;5.5;6;6.5;7;8;8.5;9;9.5;10;10.5;11;11.5;12},1,0)</f>
        <v>67.080451866471</v>
      </c>
      <c r="B26643" s="0" t="s">
        <v>26463</v>
      </c>
    </row>
    <row r="26644" customFormat="false" ht="15" hidden="false" customHeight="false" outlineLevel="0" collapsed="false">
      <c r="A26644" s="0" t="n">
        <f aca="false">_xlfn.FORECAST.ETS.STAT({74;62.07;76.6;98.09;52.4;13.85;71.3;34.78;76;7;90.7;59.5;10;66.67;13.71;76.21;74;94.9;37;51;87.43;60.88},{1;1.5;2;2.5;3;3.5;4;4.5;5;5.5;6;6.5;7;8;8.5;9;9.5;10;10.5;11;11.5;12},{9;2;1;7;6;8;4;5;3},1,0)</f>
        <v>10</v>
      </c>
      <c r="B26644" s="0" t="s">
        <v>26464</v>
      </c>
    </row>
    <row r="26645" customFormat="false" ht="15" hidden="false" customHeight="false" outlineLevel="0" collapsed="false">
      <c r="A26645" s="0" t="n">
        <f aca="false">_xlfn.FORECAST.ETS.SEASONALITY({74;62.07;76.6;98.09;52.4;13.85;71.3;34.78;76;7;90.7;59.5;10;66.67;13.71;76.21;74;94.9;37;51;87.43;60.88},{1;1.5;2;2.5;3;3.5;4;4.5;5;5.5;6;6.5;7;8;8.5;9;9.5;10;10.5;11;11.5;12},1)</f>
        <v>10</v>
      </c>
      <c r="B26645" s="0" t="s">
        <v>26465</v>
      </c>
    </row>
    <row r="26646" customFormat="false" ht="15" hidden="false" customHeight="false" outlineLevel="0" collapsed="false">
      <c r="A26646" s="0" t="n">
        <f aca="false">_xlfn.FORECAST.ETS(9,{20.31;3;28.5;9.91;59;53;40;68;89.6;44;22;75.4;33;30;58.9},{1.5;4.5;3.5;2.5;2;7;6;4;6.5;3;7.5;5.5;8;5;1})</f>
        <v>82.9351503862256</v>
      </c>
      <c r="B26646" s="0" t="s">
        <v>26466</v>
      </c>
    </row>
    <row r="26647" customFormat="false" ht="15" hidden="false" customHeight="false" outlineLevel="0" collapsed="false">
      <c r="A26647" s="0" t="n">
        <f aca="false">_xlfn.FORECAST.ETS.STAT({20.31;3;28.5;9.91;59;53;40;68;89.6;44;22;75.4;33;30;58.9},{1.5;4.5;3.5;2.5;2;7;6;4;6.5;3;7.5;5.5;8;5;1},{5})</f>
        <v>0.328824619286056</v>
      </c>
      <c r="B26647" s="0" t="s">
        <v>26467</v>
      </c>
    </row>
    <row r="26648" customFormat="false" ht="15" hidden="false" customHeight="false" outlineLevel="0" collapsed="false">
      <c r="A26648" s="0" t="n">
        <f aca="false">_xlfn.FORECAST.ETS.SEASONALITY({20.31;3;28.5;9.91;59;53;40;68;89.6;44;22;75.4;33;30;58.9},{1.5;4.5;3.5;2.5;2;7;6;4;6.5;3;7.5;5.5;8;5;1})</f>
        <v>7</v>
      </c>
      <c r="B26648" s="0" t="s">
        <v>26468</v>
      </c>
    </row>
    <row r="26649" customFormat="false" ht="15" hidden="false" customHeight="false" outlineLevel="0" collapsed="false">
      <c r="A26649" s="0" t="e">
        <f aca="false">_xlfn.ORG.LIBREOFFICE.FORECAST.ETS.MULT({44986},{25.9;2.1;32.39;46.45;32.21;40;47;62;41},{44712;44712;44742;44773;44804;44834;44865;44895;44926},1)</f>
        <v>#VALUE!</v>
      </c>
      <c r="B26649" s="0" t="s">
        <v>26469</v>
      </c>
    </row>
    <row r="26650" customFormat="false" ht="15" hidden="false" customHeight="false" outlineLevel="0" collapsed="false">
      <c r="A26650" s="0" t="e">
        <f aca="false">_xlfn.FORECAST.ETS.STAT({25.9;2.1;32.39;46.45;32.21;40;47;62;41},{44712;44712;44742;44773;44804;44834;44865;44895;44926},{7;4;3;6;9;1;2;5;8},1)</f>
        <v>#VALUE!</v>
      </c>
      <c r="B26650" s="0" t="s">
        <v>26470</v>
      </c>
    </row>
    <row r="26651" customFormat="false" ht="15" hidden="false" customHeight="false" outlineLevel="0" collapsed="false">
      <c r="A26651" s="0" t="e">
        <f aca="false">_xlfn.FORECAST.ETS.SEASONALITY({25.9;2.1;32.39;46.45;32.21;40;47;62;41},{44712;44712;44742;44773;44804;44834;44865;44895;44926})</f>
        <v>#VALUE!</v>
      </c>
      <c r="B26651" s="0" t="s">
        <v>26471</v>
      </c>
    </row>
    <row r="26652" customFormat="false" ht="15" hidden="false" customHeight="false" outlineLevel="0" collapsed="false">
      <c r="A26652" s="0" t="n">
        <f aca="false">_xlfn.FORECAST.ETS({173;173},{12.7;12;4.3;14.7;14.7;15.3;15;15.2;17.4;16.12;17.5;19;19.1;18.3;19;20.67},{3;13;13;23;33;43;53;63;73;83;93;103;113;123;133;143},3,0)</f>
        <v>22.5040137696695</v>
      </c>
      <c r="B26652" s="0" t="s">
        <v>26472</v>
      </c>
    </row>
    <row r="26653" customFormat="false" ht="15" hidden="false" customHeight="false" outlineLevel="0" collapsed="false">
      <c r="A26653" s="0" t="n">
        <f aca="false">_xlfn.FORECAST.ETS.STAT({12.7;12;4.3;14.7;14.7;15.3;15;15.2;17.4;16.12;17.5;19;19.1;18.3;19;20.67},{3;13;13;23;33;43;53;63;73;83;93;103;113;123;133;143},{3;9},3,0)</f>
        <v>0.9091796875</v>
      </c>
      <c r="B26653" s="0" t="s">
        <v>26473</v>
      </c>
    </row>
    <row r="26654" customFormat="false" ht="15" hidden="false" customHeight="false" outlineLevel="0" collapsed="false">
      <c r="A26654" s="0" t="n">
        <f aca="false">_xlfn.FORECAST.ETS.SEASONALITY({12.7;12;4.3;14.7;14.7;15.3;15;15.2;17.4;16.12;17.5;19;19.1;18.3;19;20.67},{3;13;13;23;33;43;53;63;73;83;93;103;113;123;133;143})</f>
        <v>7</v>
      </c>
      <c r="B26654" s="0" t="s">
        <v>26474</v>
      </c>
    </row>
    <row r="26655" customFormat="false" ht="15" hidden="false" customHeight="false" outlineLevel="0" collapsed="false">
      <c r="A26655" s="0" t="n">
        <f aca="false">_xlfn.ORG.LIBREOFFICE.FORECAST.ETS.PI.MULT({153;163;173},{12.7;12;4.3;14.7;14.7;15.3;15;15.2;17.4;16.12;17.5;19;19.1;18.3;19;20.67},{3;13;13;23;33;43;53;63;73;83;93;103;113;123;133;143},0,0,1,2)</f>
        <v>0</v>
      </c>
      <c r="B26655" s="0" t="s">
        <v>26475</v>
      </c>
    </row>
    <row r="26656" customFormat="false" ht="15" hidden="false" customHeight="false" outlineLevel="0" collapsed="false">
      <c r="A26656" s="0" t="n">
        <f aca="false">_xlfn.FORECAST.ETS({22;22;24},{58.53;9.1;47.19;11.1;82.6;61.7;35.6;64.18;90;64.6;62;93.72;19.23;58.68;54.94;16.7;13.43;88.16;91.63;27.4;49.74},{1;2;3;4;5;6;7;8;9;10;11;12;13;14;15;16;17;18;19;20;21},1,0,2)</f>
        <v>14.5513612743056</v>
      </c>
      <c r="B26656" s="0" t="s">
        <v>26476</v>
      </c>
    </row>
    <row r="26657" customFormat="false" ht="15" hidden="false" customHeight="false" outlineLevel="0" collapsed="false">
      <c r="A26657" s="0" t="n">
        <f aca="false">_xlfn.ORG.LIBREOFFICE.FORECAST.ETS.STAT.MULT({58.53;9.1;47.19;11.1;82.6;61.7;35.6;64.18;90;64.6;62;93.72;19.23;58.68;54.94;16.7;13.43;88.16;91.63;27.4;49.74},{1;2;3;4;5;6;7;8;9;10;11;12;13;14;15;16;17;18;19;20;21},{9;6},1,0,2)</f>
        <v>9</v>
      </c>
      <c r="B26657" s="0" t="s">
        <v>26477</v>
      </c>
    </row>
    <row r="26658" customFormat="false" ht="15" hidden="false" customHeight="false" outlineLevel="0" collapsed="false">
      <c r="A26658" s="0" t="n">
        <f aca="false">_xlfn.FORECAST.ETS.SEASONALITY({58.53;9.1;47.19;11.1;82.6;61.7;35.6;64.18;90;64.6;62;93.72;19.23;58.68;54.94;16.7;13.43;88.16;91.63;27.4;49.74},{1;2;3;4;5;6;7;8;9;10;11;12;13;14;15;16;17;18;19;20;21},0)</f>
        <v>9</v>
      </c>
      <c r="B26658" s="0" t="s">
        <v>26478</v>
      </c>
    </row>
    <row r="26659" customFormat="false" ht="15" hidden="false" customHeight="false" outlineLevel="0" collapsed="false">
      <c r="A26659" s="0" t="n">
        <f aca="false">_xlfn.ORG.LIBREOFFICE.FORECAST.ETS.MULT({45026},{18.36;16.7;17;16.81;16.4;14;15;13.6;14;14;11.82;12;12.23;9.87;11.3;8.6;8.38;9;7.89;7.1;5.7;5.71;38.3;5},{45000;45001;45002;45003;45004;45005;45006;45007;45008;45009;45010;45011;45012;45013;45014;45015;45016;45017;45018;45019;45020;45021;45021;45022},7,1,4)</f>
        <v>3.51898705547451</v>
      </c>
      <c r="B26659" s="0" t="s">
        <v>26479</v>
      </c>
    </row>
    <row r="26660" customFormat="false" ht="15" hidden="false" customHeight="false" outlineLevel="0" collapsed="false">
      <c r="A26660" s="0" t="n">
        <f aca="false">_xlfn.FORECAST.ETS.STAT({18.36;16.7;17;16.81;16.4;14;15;13.6;14;14;11.82;12;12.23;9.87;11.3;8.6;8.38;9;7.89;7.1;5.7;5.71;38.3;5},{45000;45001;45002;45003;45004;45005;45006;45007;45008;45009;45010;45011;45012;45013;45014;45015;45016;45017;45018;45019;45020;45021;45021;45022},{1;4;5;7;9;8;2;6;3},7,1,4)</f>
        <v>0</v>
      </c>
      <c r="B26660" s="0" t="s">
        <v>26480</v>
      </c>
    </row>
    <row r="26661" customFormat="false" ht="15" hidden="false" customHeight="false" outlineLevel="0" collapsed="false">
      <c r="A26661" s="0" t="n">
        <f aca="false">_xlfn.FORECAST.ETS.SEASONALITY({18.36;16.7;17;16.81;16.4;14;15;13.6;14;14;11.82;12;12.23;9.87;11.3;8.6;8.38;9;7.89;7.1;5.7;5.71;38.3;5},{45000;45001;45002;45003;45004;45005;45006;45007;45008;45009;45010;45011;45012;45013;45014;45015;45016;45017;45018;45019;45020;45021;45021;45022})</f>
        <v>10</v>
      </c>
      <c r="B26661" s="0" t="s">
        <v>26481</v>
      </c>
    </row>
    <row r="26662" customFormat="false" ht="15" hidden="false" customHeight="false" outlineLevel="0" collapsed="false">
      <c r="A26662" s="0" t="n">
        <f aca="false">_xlfn.FORECAST.ETS.CONFINT(45025,{18.36;16.7;17;16.81;16.4;14;15;13.6;14;14;11.82;12;12.23;9.87;11.3;8.6;8.38;9;7.89;7.1;5.7;5.71;38.3;5},{45000;45001;45002;45003;45004;45005;45006;45007;45008;45009;45010;45011;45012;45013;45014;45015;45016;45017;45018;45019;45020;45021;45021;45022},0.95,0,1,4)</f>
        <v>32.5450934716929</v>
      </c>
      <c r="B26662" s="0" t="s">
        <v>26482</v>
      </c>
    </row>
    <row r="26663" customFormat="false" ht="15" hidden="false" customHeight="false" outlineLevel="0" collapsed="false">
      <c r="A26663" s="0" t="n">
        <f aca="false">_xlfn.FORECAST.ETS(45012.5,{42;31;44;42.2;51;39.6;53.46;52.4;58.5;49.6;60.34;61},{45000;45001;45002;45003;45004;45005;45006;45007;45008;45009;45010;45011},1,,6)</f>
        <v>63.4972998133302</v>
      </c>
      <c r="B26663" s="0" t="s">
        <v>26483</v>
      </c>
    </row>
    <row r="26664" customFormat="false" ht="15" hidden="false" customHeight="false" outlineLevel="0" collapsed="false">
      <c r="A26664" s="0" t="n">
        <f aca="false">_xlfn.ORG.LIBREOFFICE.FORECAST.ETS.STAT.MULT({42;31;44;42.2;51;39.6;53.46;52.4;58.5;49.6;60.34;61},{45000;45001;45002;45003;45004;45005;45006;45007;45008;45009;45010;45011},{1;7;9;2;5;6;4;3;8},1,,6)</f>
        <v>0</v>
      </c>
      <c r="B26664" s="0" t="s">
        <v>26484</v>
      </c>
    </row>
    <row r="26665" customFormat="false" ht="15" hidden="false" customHeight="false" outlineLevel="0" collapsed="false">
      <c r="A26665" s="0" t="n">
        <f aca="false">_xlfn.FORECAST.ETS.SEASONALITY({42;31;44;42.2;51;39.6;53.46;52.4;58.5;49.6;60.34;61},{45000;45001;45002;45003;45004;45005;45006;45007;45008;45009;45010;45011},0,6)</f>
        <v>4</v>
      </c>
      <c r="B26665" s="0" t="s">
        <v>26485</v>
      </c>
    </row>
    <row r="26666" customFormat="false" ht="15" hidden="false" customHeight="false" outlineLevel="0" collapsed="false">
      <c r="A26666" s="0" t="n">
        <f aca="false">_xlfn.ORG.LIBREOFFICE.FORECAST.ETS.MULT({25},{35.09;35.9;36.13;35.7;36.83;38.6;39;38;39.7;41;39;40;40.5;40.9;43;43.37;42.9;44.26;42.55;43;45.5},{1;2;3;4;5;6;7;8;9;10;11;12;13;14;15;16;17;18;19;20;21})</f>
        <v>45.8994824624483</v>
      </c>
      <c r="B26666" s="0" t="s">
        <v>26486</v>
      </c>
    </row>
    <row r="26667" customFormat="false" ht="15" hidden="false" customHeight="false" outlineLevel="0" collapsed="false">
      <c r="A26667" s="0" t="n">
        <f aca="false">_xlfn.FORECAST.ETS.STAT({35.09;35.9;36.13;35.7;36.83;38.6;39;38;39.7;41;39;40;40.5;40.9;43;43.37;42.9;44.26;42.55;43;45.5},{1;2;3;4;5;6;7;8;9;10;11;12;13;14;15;16;17;18;19;20;21},{5;6;1;7;2;9;4;8;3})</f>
        <v>0.0158987201318094</v>
      </c>
      <c r="B26667" s="0" t="s">
        <v>26487</v>
      </c>
    </row>
    <row r="26668" customFormat="false" ht="15" hidden="false" customHeight="false" outlineLevel="0" collapsed="false">
      <c r="A26668" s="0" t="n">
        <f aca="false">_xlfn.FORECAST.ETS.SEASONALITY({35.09;35.9;36.13;35.7;36.83;38.6;39;38;39.7;41;39;40;40.5;40.9;43;43.37;42.9;44.26;42.55;43;45.5},{1;2;3;4;5;6;7;8;9;10;11;12;13;14;15;16;17;18;19;20;21})</f>
        <v>6</v>
      </c>
      <c r="B26668" s="0" t="s">
        <v>26488</v>
      </c>
    </row>
    <row r="26669" customFormat="false" ht="15" hidden="false" customHeight="false" outlineLevel="0" collapsed="false">
      <c r="A26669" s="0" t="n">
        <f aca="false">_xlfn.ORG.LIBREOFFICE.FORECAST.ETS.MULT(11.5,{41.4;43;44;44.7;44.2;8.5;43.8;45.3;46.1;47;46.2},{1;2;3;4;5;5;6;7;8;9;10})</f>
        <v>46.5901116345329</v>
      </c>
      <c r="B26669" s="0" t="s">
        <v>26489</v>
      </c>
    </row>
    <row r="26670" customFormat="false" ht="15" hidden="false" customHeight="false" outlineLevel="0" collapsed="false">
      <c r="A26670" s="0" t="n">
        <f aca="false">_xlfn.FORECAST.ETS.STAT({41.4;43;44;44.7;44.2;8.5;43.8;45.3;46.1;47;46.2},{1;2;3;4;5;5;6;7;8;9;10},{5;1})</f>
        <v>0.00120237665505779</v>
      </c>
      <c r="B26670" s="0" t="s">
        <v>26490</v>
      </c>
    </row>
    <row r="26671" customFormat="false" ht="15" hidden="false" customHeight="false" outlineLevel="0" collapsed="false">
      <c r="A26671" s="0" t="n">
        <f aca="false">_xlfn.FORECAST.ETS.SEASONALITY({41.4;43;44;44.7;44.2;8.5;43.8;45.3;46.1;47;46.2},{1;2;3;4;5;5;6;7;8;9;10},0,2)</f>
        <v>5</v>
      </c>
      <c r="B26671" s="0" t="s">
        <v>26491</v>
      </c>
    </row>
    <row r="26672" customFormat="false" ht="15" hidden="false" customHeight="false" outlineLevel="0" collapsed="false">
      <c r="A26672" s="0" t="n">
        <f aca="false">_xlfn.ORG.LIBREOFFICE.FORECAST.ETS.MULT({45019.5,45022},{49.8;48;49;49;49;50.3;49;49;48.5;50;49;48.17;50;49.37;47.21;49;48.16;48;47.89},{45000;45001;45002;45003;45004;45005;45006;45007;45008;45009;45010;45011;45013;45014;45015;45016;45017;45018;45019},2)</f>
        <v>48.1597553364771</v>
      </c>
      <c r="B26672" s="0" t="s">
        <v>26492</v>
      </c>
    </row>
    <row r="26673" customFormat="false" ht="15" hidden="false" customHeight="false" outlineLevel="0" collapsed="false">
      <c r="A26673" s="0" t="n">
        <f aca="false">_xlfn.ORG.LIBREOFFICE.FORECAST.ETS.STAT.MULT({49.8;48;49;49;49;50.3;49;49;48.5;50;49;48.17;50;49.37;47.21;49;48.16;48;47.89},{45000;45001;45002;45003;45004;45005;45006;45007;45008;45009;45010;45011;45013;45014;45015;45016;45017;45018;45019},{3},2)</f>
        <v>0.5</v>
      </c>
      <c r="B26673" s="0" t="s">
        <v>26493</v>
      </c>
    </row>
    <row r="26674" customFormat="false" ht="15" hidden="false" customHeight="false" outlineLevel="0" collapsed="false">
      <c r="A26674" s="0" t="n">
        <f aca="false">_xlfn.FORECAST.ETS.SEASONALITY({49.8;48;49;49;49;50.3;49;49;48.5;50;49;48.17;50;49.37;47.21;49;48.16;48;47.89},{45000;45001;45002;45003;45004;45005;45006;45007;45008;45009;45010;45011;45013;45014;45015;45016;45017;45018;45019})</f>
        <v>7</v>
      </c>
      <c r="B26674" s="0" t="s">
        <v>26494</v>
      </c>
    </row>
    <row r="26675" customFormat="false" ht="15" hidden="false" customHeight="false" outlineLevel="0" collapsed="false">
      <c r="A26675" s="0" t="n">
        <f aca="false">_xlfn.FORECAST.ETS.CONFINT({45020;45021;45022},{49.8;48;49;49;49;50.3;49;49;48.5;50;49;48.17;50;49.37;47.21;49;48.16;48;47.89},{45000;45001;45002;45003;45004;45005;45006;45007;45008;45009;45010;45011;45013;45014;45015;45016;45017;45018;45019},0.95,0,1,5)</f>
        <v>1.5437172924324</v>
      </c>
      <c r="B26675" s="0" t="s">
        <v>26495</v>
      </c>
    </row>
    <row r="26676" customFormat="false" ht="15" hidden="false" customHeight="false" outlineLevel="0" collapsed="false">
      <c r="A26676" s="0" t="n">
        <f aca="false">_xlfn.FORECAST.ETS(25.75,{27.29;29.1;32.7;34.37;33.65;35.41;39;39.2;41;42},{3;10;24;31;38;45;52;59;66;73},1)</f>
        <v>32.9191666666667</v>
      </c>
      <c r="B26676" s="0" t="s">
        <v>26496</v>
      </c>
    </row>
    <row r="26677" customFormat="false" ht="15" hidden="false" customHeight="false" outlineLevel="0" collapsed="false">
      <c r="A26677" s="0" t="n">
        <f aca="false">_xlfn.ORG.LIBREOFFICE.FORECAST.ETS.STAT.MULT({27.29;29.1;32.7;34.37;33.65;35.41;39;39.2;41;42},{3;10;24;31;38;45;52;59;66;73},{1},1)</f>
        <v>0.0009765625</v>
      </c>
      <c r="B26677" s="0" t="s">
        <v>26497</v>
      </c>
    </row>
    <row r="26678" customFormat="false" ht="15" hidden="false" customHeight="false" outlineLevel="0" collapsed="false">
      <c r="A26678" s="0" t="n">
        <f aca="false">_xlfn.FORECAST.ETS.SEASONALITY({27.29;29.1;32.7;34.37;33.65;35.41;39;39.2;41;42},{3;10;24;31;38;45;52;59;66;73},1)</f>
        <v>3</v>
      </c>
      <c r="B26678" s="0" t="s">
        <v>26498</v>
      </c>
    </row>
    <row r="26679" customFormat="false" ht="15" hidden="false" customHeight="false" outlineLevel="0" collapsed="false">
      <c r="A26679" s="0" t="n">
        <f aca="false">_xlfn.ORG.LIBREOFFICE.FORECAST.ETS.MULT(10,{45;44.7;44.75;44.7;45;44.7;45;44.75;44.75;44.75;45;45;44.75;44.75;45},{1;1.5;2;2.5;3;3.5;4;4.5;5;5.5;6;6.5;7;7.5;8},2)</f>
        <v>44.9719311826552</v>
      </c>
      <c r="B26679" s="0" t="s">
        <v>26499</v>
      </c>
    </row>
    <row r="26680" customFormat="false" ht="15" hidden="false" customHeight="false" outlineLevel="0" collapsed="false">
      <c r="A26680" s="0" t="n">
        <f aca="false">_xlfn.FORECAST.ETS.STAT({45;44.7;44.75;44.7;45;44.7;45;44.75;44.75;44.75;45;45;44.75;44.75;45},{1;1.5;2;2.5;3;3.5;4;4.5;5;5.5;6;6.5;7;7.5;8},{4},2)</f>
        <v>0.79822018696191</v>
      </c>
      <c r="B26680" s="0" t="s">
        <v>26500</v>
      </c>
    </row>
    <row r="26681" customFormat="false" ht="15" hidden="false" customHeight="false" outlineLevel="0" collapsed="false">
      <c r="A26681" s="0" t="n">
        <f aca="false">_xlfn.FORECAST.ETS.SEASONALITY({45;44.7;44.75;44.7;45;44.7;45;44.75;44.75;44.75;45;45;44.75;44.75;45},{1;1.5;2;2.5;3;3.5;4;4.5;5;5.5;6;6.5;7;7.5;8},1)</f>
        <v>4</v>
      </c>
      <c r="B26681" s="0" t="s">
        <v>26501</v>
      </c>
    </row>
    <row r="26682" customFormat="false" ht="15" hidden="false" customHeight="false" outlineLevel="0" collapsed="false">
      <c r="A26682" s="0" t="n">
        <f aca="false">_xlfn.ORG.LIBREOFFICE.FORECAST.ETS.PI.MULT({8.5;9;9.5},{45;44.7;44.75;44.7;45;44.7;45;44.75;44.75;44.75;45;45;44.75;44.75;45},{1;1.5;2;2.5;3;3.5;4;4.5;5;5.5;6;6.5;7;7.5;8},0,0,1,2)</f>
        <v>0</v>
      </c>
      <c r="B26682" s="0" t="s">
        <v>26502</v>
      </c>
    </row>
    <row r="26683" customFormat="false" ht="15" hidden="false" customHeight="false" outlineLevel="0" collapsed="false">
      <c r="A26683" s="0" t="e">
        <f aca="false">_xlfn.ORG.LIBREOFFICE.FORECAST.ETS.MULT({45898,45838,45823},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0,,1)</f>
        <v>#VALUE!</v>
      </c>
      <c r="B26683" s="0" t="s">
        <v>26503</v>
      </c>
    </row>
    <row r="26684" customFormat="false" ht="15" hidden="false" customHeight="false" outlineLevel="0" collapsed="false">
      <c r="A26684" s="0" t="e">
        <f aca="false">_xlfn.ORG.LIBREOFFICE.FORECAST.ETS.STAT.MULT(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{5;3},0,,1)</f>
        <v>#VALUE!</v>
      </c>
      <c r="B26684" s="0" t="s">
        <v>26504</v>
      </c>
    </row>
    <row r="26685" customFormat="false" ht="15" hidden="false" customHeight="false" outlineLevel="0" collapsed="false">
      <c r="A26685" s="0" t="e">
        <f aca="false">_xlfn.FORECAST.ETS.SEASONALITY({25;32.9;31;38.89;43;50.7;38.04;48.75;42.4;57;57.9;71;51.9;66.3;58.66;73.6;76.7;91.3;65;83.7;70.3;93.05;93.2;108.9;81;100;84;110;108.9;129},{44926;44957;44985;45016;45046;45077;45107;45138;45169;45199;45230;45260;45291;45322;45351;45382;45412;45443;45473;45504;45535;45565;45596;45626;45657;45688;45716;45747;45777;45808},0)</f>
        <v>#VALUE!</v>
      </c>
      <c r="B26685" s="0" t="s">
        <v>26505</v>
      </c>
    </row>
    <row r="26686" customFormat="false" ht="15" hidden="false" customHeight="false" outlineLevel="0" collapsed="false">
      <c r="A26686" s="0" t="n">
        <f aca="false">_xlfn.FORECAST.ETS(23,{43.42;47.26;48.17;49.6;50.7;53.8;53;57;55;57.8},{3;5;7;9;11;13;15;17;19;21},1,,3)</f>
        <v>58.2650390625</v>
      </c>
      <c r="B26686" s="0" t="s">
        <v>26506</v>
      </c>
    </row>
    <row r="26687" customFormat="false" ht="15" hidden="false" customHeight="false" outlineLevel="0" collapsed="false">
      <c r="A26687" s="0" t="n">
        <f aca="false">_xlfn.FORECAST.ETS.STAT({43.42;47.26;48.17;49.6;50.7;53.8;53;57;55;57.8},{3;5;7;9;11;13;15;17;19;21},{5;1},1,,3)</f>
        <v>0.0136696954403289</v>
      </c>
      <c r="B26687" s="0" t="s">
        <v>26507</v>
      </c>
    </row>
    <row r="26688" customFormat="false" ht="15" hidden="false" customHeight="false" outlineLevel="0" collapsed="false">
      <c r="A26688" s="0" t="n">
        <f aca="false">_xlfn.FORECAST.ETS.SEASONALITY({43.42;47.26;48.17;49.6;50.7;53.8;53;57;55;57.8},{3;5;7;9;11;13;15;17;19;21})</f>
        <v>2</v>
      </c>
      <c r="B26688" s="0" t="s">
        <v>26508</v>
      </c>
    </row>
    <row r="26689" customFormat="false" ht="15" hidden="false" customHeight="false" outlineLevel="0" collapsed="false">
      <c r="A26689" s="0" t="n">
        <f aca="false">_xlfn.FORECAST.ETS(6,{15.9;22.8;14;21.38;11;17.3;9.36;14;4.9;9.41;3;28.2;7},{1;1.5;2;2.5;3;3.5;4;4.5;5;5.5;6;6;6.5},3)</f>
        <v>3</v>
      </c>
      <c r="B26689" s="0" t="s">
        <v>26509</v>
      </c>
    </row>
    <row r="26690" customFormat="false" ht="15" hidden="false" customHeight="false" outlineLevel="0" collapsed="false">
      <c r="A26690" s="0" t="n">
        <f aca="false">_xlfn.ORG.LIBREOFFICE.FORECAST.ETS.STAT.MULT({15.9;22.8;14;21.38;11;17.3;9.36;14;4.9;9.41;3;28.2;7},{1;1.5;2;2.5;3;3.5;4;4.5;5;5.5;6;6;6.5},{7},3)</f>
        <v>5.89468845907526</v>
      </c>
      <c r="B26690" s="0" t="s">
        <v>26510</v>
      </c>
    </row>
    <row r="26691" customFormat="false" ht="15" hidden="false" customHeight="false" outlineLevel="0" collapsed="false">
      <c r="A26691" s="0" t="n">
        <f aca="false">_xlfn.FORECAST.ETS.SEASONALITY({15.9;22.8;14;21.38;11;17.3;9.36;14;4.9;9.41;3;28.2;7},{1;1.5;2;2.5;3;3.5;4;4.5;5;5.5;6;6;6.5},0)</f>
        <v>2</v>
      </c>
      <c r="B26691" s="0" t="s">
        <v>26511</v>
      </c>
    </row>
    <row r="26692" customFormat="false" ht="15" hidden="false" customHeight="false" outlineLevel="0" collapsed="false">
      <c r="A26692" s="0" t="n">
        <f aca="false">_xlfn.ORG.LIBREOFFICE.FORECAST.ETS.MULT(15,{41.9;31.9;76.8;45.53;66.2;14.37;73.55;60;74;17;48.56;91;77.3;52},{11;6;7;4;1;10;14;3;2;5;9;12;13;8},0)</f>
        <v>73.2714131047176</v>
      </c>
      <c r="B26692" s="0" t="s">
        <v>26512</v>
      </c>
    </row>
    <row r="26693" customFormat="false" ht="15" hidden="false" customHeight="false" outlineLevel="0" collapsed="false">
      <c r="A26693" s="0" t="n">
        <f aca="false">_xlfn.ORG.LIBREOFFICE.FORECAST.ETS.STAT.MULT({41.9;31.9;76.8;45.53;66.2;14.37;73.55;60;74;17;48.56;91;77.3;52},{11;6;7;4;1;10;14;3;2;5;9;12;13;8},{7},0)</f>
        <v>25.3794965813428</v>
      </c>
      <c r="B26693" s="0" t="s">
        <v>26513</v>
      </c>
    </row>
    <row r="26694" customFormat="false" ht="15" hidden="false" customHeight="false" outlineLevel="0" collapsed="false">
      <c r="A26694" s="0" t="n">
        <f aca="false">_xlfn.FORECAST.ETS.SEASONALITY({41.9;31.9;76.8;45.53;66.2;14.37;73.55;60;74;17;48.56;91;77.3;52},{11;6;7;4;1;10;14;3;2;5;9;12;13;8})</f>
        <v>5</v>
      </c>
      <c r="B26694" s="0" t="s">
        <v>26514</v>
      </c>
    </row>
    <row r="26695" customFormat="false" ht="15" hidden="false" customHeight="false" outlineLevel="0" collapsed="false">
      <c r="A26695" s="0" t="n">
        <f aca="false">_xlfn.ORG.LIBREOFFICE.FORECAST.ETS.MULT({12.5,13.5,15},{22.16;24;29.8;32;35.93;39.63;43;48.4;51.94;55;61;64.4},{1;2;3;4;5;6;7;8;9;10;11;12},0,0)</f>
        <v>66.0778515625</v>
      </c>
      <c r="B26695" s="0" t="s">
        <v>26515</v>
      </c>
    </row>
    <row r="26696" customFormat="false" ht="15" hidden="false" customHeight="false" outlineLevel="0" collapsed="false">
      <c r="A26696" s="0" t="n">
        <f aca="false">_xlfn.ORG.LIBREOFFICE.FORECAST.ETS.STAT.MULT({22.16;24;29.8;32;35.93;39.63;43;48.4;51.94;55;61;64.4},{1;2;3;4;5;6;7;8;9;10;11;12},{1;3;8;6;7;9;5;2;4},0,0)</f>
        <v>0.5</v>
      </c>
      <c r="B26696" s="0" t="s">
        <v>26516</v>
      </c>
    </row>
    <row r="26697" customFormat="false" ht="15" hidden="false" customHeight="false" outlineLevel="0" collapsed="false">
      <c r="A26697" s="0" t="n">
        <f aca="false">_xlfn.FORECAST.ETS.SEASONALITY({22.16;24;29.8;32;35.93;39.63;43;48.4;51.94;55;61;64.4},{1;2;3;4;5;6;7;8;9;10;11;12})</f>
        <v>3</v>
      </c>
      <c r="B26697" s="0" t="s">
        <v>26517</v>
      </c>
    </row>
    <row r="26698" customFormat="false" ht="15" hidden="false" customHeight="false" outlineLevel="0" collapsed="false">
      <c r="A26698" s="0" t="e">
        <f aca="false">_xlfn.ORG.LIBREOFFICE.FORECAST.ETS.MULT({45122},{19.2;21.4;24;28.52;32.07;35.5;37.3;39.2;44.66;47;52.8;56.75;59;63.7;66.1},{44651;44681;44712;44742;44773;44804;44834;44865;44895;44926;44985;45016;45046;45077;45107})</f>
        <v>#VALUE!</v>
      </c>
      <c r="B26698" s="0" t="s">
        <v>26518</v>
      </c>
    </row>
    <row r="26699" customFormat="false" ht="15" hidden="false" customHeight="false" outlineLevel="0" collapsed="false">
      <c r="A26699" s="0" t="e">
        <f aca="false">_xlfn.ORG.LIBREOFFICE.FORECAST.ETS.STAT.MULT({19.2;21.4;24;28.52;32.07;35.5;37.3;39.2;44.66;47;52.8;56.75;59;63.7;66.1},{44651;44681;44712;44742;44773;44804;44834;44865;44895;44926;44985;45016;45046;45077;45107},{4;3;2;6;9;1;5;7;8})</f>
        <v>#VALUE!</v>
      </c>
      <c r="B26699" s="0" t="s">
        <v>26519</v>
      </c>
    </row>
    <row r="26700" customFormat="false" ht="15" hidden="false" customHeight="false" outlineLevel="0" collapsed="false">
      <c r="A26700" s="0" t="e">
        <f aca="false">_xlfn.FORECAST.ETS.SEASONALITY({19.2;21.4;24;28.52;32.07;35.5;37.3;39.2;44.66;47;52.8;56.75;59;63.7;66.1},{44651;44681;44712;44742;44773;44804;44834;44865;44895;44926;44985;45016;45046;45077;45107})</f>
        <v>#VALUE!</v>
      </c>
      <c r="B26700" s="0" t="s">
        <v>26520</v>
      </c>
    </row>
    <row r="26701" customFormat="false" ht="15" hidden="false" customHeight="false" outlineLevel="0" collapsed="false">
      <c r="A26701" s="0" t="e">
        <f aca="false">_xlfn.ORG.LIBREOFFICE.FORECAST.ETS.MULT({45152,45137},{16.19;18;14;22.75;23.82;22;26.1;21.44;19.72;26.39;31},{44834;44865;44895;44926;44957;44985;44985;45016;45046;45077;45107},5,1,3)</f>
        <v>#VALUE!</v>
      </c>
      <c r="B26701" s="0" t="s">
        <v>26521</v>
      </c>
    </row>
    <row r="26702" customFormat="false" ht="15" hidden="false" customHeight="false" outlineLevel="0" collapsed="false">
      <c r="A26702" s="0" t="e">
        <f aca="false">_xlfn.ORG.LIBREOFFICE.FORECAST.ETS.STAT.MULT({16.19;18;14;22.75;23.82;22;26.1;21.44;19.72;26.39;31},{44834;44865;44895;44926;44957;44985;44985;45016;45046;45077;45107},{9},5,1,3)</f>
        <v>#VALUE!</v>
      </c>
      <c r="B26702" s="0" t="s">
        <v>26522</v>
      </c>
    </row>
    <row r="26703" customFormat="false" ht="15" hidden="false" customHeight="false" outlineLevel="0" collapsed="false">
      <c r="A26703" s="0" t="e">
        <f aca="false">_xlfn.FORECAST.ETS.SEASONALITY({16.19;18;14;22.75;23.82;22;26.1;21.44;19.72;26.39;31},{44834;44865;44895;44926;44957;44985;44985;45016;45046;45077;45107},1,3)</f>
        <v>#VALUE!</v>
      </c>
      <c r="B26703" s="0" t="s">
        <v>26523</v>
      </c>
    </row>
    <row r="26704" customFormat="false" ht="15" hidden="false" customHeight="false" outlineLevel="0" collapsed="false">
      <c r="A26704" s="0" t="n">
        <f aca="false">_xlfn.ORG.LIBREOFFICE.FORECAST.ETS.MULT(5.75,{17.47;17;17;30.7;17;17.5;17.5;17.5;17.5;17},{1;1.5;2;2;2.5;3;3.5;4;4.5;5},2,1)</f>
        <v>17.0127720628545</v>
      </c>
      <c r="B26704" s="0" t="s">
        <v>26524</v>
      </c>
    </row>
    <row r="26705" customFormat="false" ht="15" hidden="false" customHeight="false" outlineLevel="0" collapsed="false">
      <c r="A26705" s="0" t="e">
        <f aca="false">_xlfn.FORECAST.ETS.STAT({17.47;17;17;30.7;17;17.5;17.5;17.5;17.5;17},{1;1.5;2;2;2.5;3;3.5;4;4.5;5},{6},2,1)</f>
        <v>#NUM!</v>
      </c>
      <c r="B26705" s="0" t="s">
        <v>26525</v>
      </c>
    </row>
    <row r="26706" customFormat="false" ht="15" hidden="false" customHeight="false" outlineLevel="0" collapsed="false">
      <c r="A26706" s="0" t="n">
        <f aca="false">_xlfn.FORECAST.ETS.SEASONALITY({17.47;17;17;30.7;17;17.5;17.5;17.5;17.5;17},{1;1.5;2;2;2.5;3;3.5;4;4.5;5},1)</f>
        <v>1</v>
      </c>
      <c r="B26706" s="0" t="s">
        <v>26526</v>
      </c>
    </row>
    <row r="26707" customFormat="false" ht="15" hidden="false" customHeight="false" outlineLevel="0" collapsed="false">
      <c r="A26707" s="0" t="n">
        <f aca="false">_xlfn.ORG.LIBREOFFICE.FORECAST.ETS.MULT({45153},{71;74;61.2;69.6;11.6;64.65;6.4;10.4;33;77;4;63;28.76},{44743;44774;44805;44835;44866;44896;44927;44958;44986;45017;45047;45078;45108},1)</f>
        <v>29.5593035895645</v>
      </c>
      <c r="B26707" s="0" t="s">
        <v>26527</v>
      </c>
    </row>
    <row r="26708" customFormat="false" ht="15" hidden="false" customHeight="false" outlineLevel="0" collapsed="false">
      <c r="A26708" s="0" t="n">
        <f aca="false">_xlfn.ORG.LIBREOFFICE.FORECAST.ETS.STAT.MULT({71;74;61.2;69.6;11.6;64.65;6.4;10.4;33;77;4;63;28.76},{44743;44774;44805;44835;44866;44896;44927;44958;44986;45017;45047;45078;45108},{9},1)</f>
        <v>6</v>
      </c>
      <c r="B26708" s="0" t="s">
        <v>26528</v>
      </c>
    </row>
    <row r="26709" customFormat="false" ht="15" hidden="false" customHeight="false" outlineLevel="0" collapsed="false">
      <c r="A26709" s="0" t="n">
        <f aca="false">_xlfn.FORECAST.ETS.SEASONALITY({71;74;61.2;69.6;11.6;64.65;6.4;10.4;33;77;4;63;28.76},{44743;44774;44805;44835;44866;44896;44927;44958;44986;45017;45047;45078;45108})</f>
        <v>6</v>
      </c>
      <c r="B26709" s="0" t="s">
        <v>26529</v>
      </c>
    </row>
    <row r="26710" customFormat="false" ht="15" hidden="false" customHeight="false" outlineLevel="0" collapsed="false">
      <c r="A26710" s="0" t="n">
        <f aca="false">_xlfn.ORG.LIBREOFFICE.FORECAST.ETS.MULT(7,{14;5.3;5;6.94;3.99;1.8;-0.6;1.83;1.88;1.43},{1;1.5;2;2.5;3;3.5;4;4.5;5;5.5},5)</f>
        <v>-0.101244865413587</v>
      </c>
      <c r="B26710" s="0" t="s">
        <v>26530</v>
      </c>
    </row>
    <row r="26711" customFormat="false" ht="15" hidden="false" customHeight="false" outlineLevel="0" collapsed="false">
      <c r="A26711" s="0" t="n">
        <f aca="false">_xlfn.FORECAST.ETS.STAT({14;5.3;5;6.94;3.99;1.8;-0.6;1.83;1.88;1.43},{1;1.5;2;2.5;3;3.5;4;4.5;5;5.5},{2;9},5)</f>
        <v>0.5</v>
      </c>
      <c r="B26711" s="0" t="s">
        <v>26531</v>
      </c>
    </row>
    <row r="26712" customFormat="false" ht="15" hidden="false" customHeight="false" outlineLevel="0" collapsed="false">
      <c r="A26712" s="0" t="n">
        <f aca="false">_xlfn.FORECAST.ETS.SEASONALITY({14;5.3;5;6.94;3.99;1.8;-0.6;1.83;1.88;1.43},{1;1.5;2;2.5;3;3.5;4;4.5;5;5.5},0,6)</f>
        <v>4</v>
      </c>
      <c r="B26712" s="0" t="s">
        <v>26532</v>
      </c>
    </row>
    <row r="26713" customFormat="false" ht="15" hidden="false" customHeight="false" outlineLevel="0" collapsed="false">
      <c r="A26713" s="0" t="n">
        <f aca="false">_xlfn.ORG.LIBREOFFICE.FORECAST.ETS.MULT({45020,45023},{18.61;28;26.13;28.6;27;40;35.53;40.3;38;50;46.66;50.76;48.81;60.76;58.52;60.9;59.46;72;68.7;73},{45000;45001;45002;45003;45004;45005;45006;45007;45008;45009;45010;45011;45012;45013;45014;45015;45016;45017;45018;45019},1)</f>
        <v>68.1302866276166</v>
      </c>
      <c r="B26713" s="0" t="s">
        <v>26533</v>
      </c>
    </row>
    <row r="26714" customFormat="false" ht="15" hidden="false" customHeight="false" outlineLevel="0" collapsed="false">
      <c r="A26714" s="0" t="n">
        <f aca="false">_xlfn.FORECAST.ETS.STAT({18.61;28;26.13;28.6;27;40;35.53;40.3;38;50;46.66;50.76;48.81;60.76;58.52;60.9;59.46;72;68.7;73},{45000;45001;45002;45003;45004;45005;45006;45007;45008;45009;45010;45011;45012;45013;45014;45015;45016;45017;45018;45019},{7;4;8;1;5;3;2;9;6},1)</f>
        <v>0.588968674858531</v>
      </c>
      <c r="B26714" s="0" t="s">
        <v>26534</v>
      </c>
    </row>
    <row r="26715" customFormat="false" ht="15" hidden="false" customHeight="false" outlineLevel="0" collapsed="false">
      <c r="A26715" s="0" t="n">
        <f aca="false">_xlfn.FORECAST.ETS.SEASONALITY({18.61;28;26.13;28.6;27;40;35.53;40.3;38;50;46.66;50.76;48.81;60.76;58.52;60.9;59.46;72;68.7;73},{45000;45001;45002;45003;45004;45005;45006;45007;45008;45009;45010;45011;45012;45013;45014;45015;45016;45017;45018;45019},0)</f>
        <v>8</v>
      </c>
      <c r="B26715" s="0" t="s">
        <v>26535</v>
      </c>
    </row>
    <row r="26716" customFormat="false" ht="15" hidden="false" customHeight="false" outlineLevel="0" collapsed="false">
      <c r="A26716" s="0" t="n">
        <f aca="false">_xlfn.ORG.LIBREOFFICE.FORECAST.ETS.MULT({45011.5,45012,45011.5},{44.9;55.6;48;54.8;66.41;60.1;64;77;34.6;70.9;75.2;88.04;80.7},{45000;45001;45002;45003;45004;45005;45006;45007;45007;45008;45009;45010;45011})</f>
        <v>83.3675790945809</v>
      </c>
      <c r="B26716" s="0" t="s">
        <v>26536</v>
      </c>
    </row>
    <row r="26717" customFormat="false" ht="15" hidden="false" customHeight="false" outlineLevel="0" collapsed="false">
      <c r="A26717" s="0" t="n">
        <f aca="false">_xlfn.ORG.LIBREOFFICE.FORECAST.ETS.STAT.MULT({44.9;55.6;48;54.8;66.41;60.1;64;77;34.6;70.9;75.2;88.04;80.7},{45000;45001;45002;45003;45004;45005;45006;45007;45007;45008;45009;45010;45011},{5;7;6;8;2;1;3;4;9})</f>
        <v>0.0129748642557313</v>
      </c>
      <c r="B26717" s="0" t="s">
        <v>26537</v>
      </c>
    </row>
    <row r="26718" customFormat="false" ht="15" hidden="false" customHeight="false" outlineLevel="0" collapsed="false">
      <c r="A26718" s="0" t="n">
        <f aca="false">_xlfn.FORECAST.ETS.SEASONALITY({44.9;55.6;48;54.8;66.41;60.1;64;77;34.6;70.9;75.2;88.04;80.7},{45000;45001;45002;45003;45004;45005;45006;45007;45007;45008;45009;45010;45011},0)</f>
        <v>3</v>
      </c>
      <c r="B26718" s="0" t="s">
        <v>26538</v>
      </c>
    </row>
    <row r="26719" customFormat="false" ht="15" hidden="false" customHeight="false" outlineLevel="0" collapsed="false">
      <c r="A26719" s="0" t="n">
        <f aca="false">_xlfn.FORECAST.ETS.CONFINT({45012;45013;45014},{44.9;55.6;48;54.8;66.41;60.1;64;77;34.6;70.9;75.2;88.04;80.7},{45000;45001;45002;45003;45004;45005;45006;45007;45007;45008;45009;45010;45011},,0,1,2)</f>
        <v>39.94011576661</v>
      </c>
      <c r="B26719" s="0" t="s">
        <v>26539</v>
      </c>
    </row>
    <row r="26720" customFormat="false" ht="15" hidden="false" customHeight="false" outlineLevel="0" collapsed="false">
      <c r="A26720" s="0" t="n">
        <f aca="false">_xlfn.FORECAST.ETS(9,{34.7;14.2;32;31.84;32;28.19;27.3;28.31;25.96},{1;1;2;3;4;5;6;7;8},1,0)</f>
        <v>24.4858673286438</v>
      </c>
      <c r="B26720" s="0" t="s">
        <v>26540</v>
      </c>
    </row>
    <row r="26721" customFormat="false" ht="15" hidden="false" customHeight="false" outlineLevel="0" collapsed="false">
      <c r="A26721" s="0" t="n">
        <f aca="false">_xlfn.ORG.LIBREOFFICE.FORECAST.ETS.STAT.MULT({34.7;14.2;32;31.84;32;28.19;27.3;28.31;25.96},{1;1;2;3;4;5;6;7;8},{7},1,0)</f>
        <v>0.744682632537119</v>
      </c>
      <c r="B26721" s="0" t="s">
        <v>26541</v>
      </c>
    </row>
    <row r="26722" customFormat="false" ht="15" hidden="false" customHeight="false" outlineLevel="0" collapsed="false">
      <c r="A26722" s="0" t="n">
        <f aca="false">_xlfn.FORECAST.ETS.SEASONALITY({34.7;14.2;32;31.84;32;28.19;27.3;28.31;25.96},{1;1;2;3;4;5;6;7;8},0,7)</f>
        <v>3</v>
      </c>
      <c r="B26722" s="0" t="s">
        <v>26542</v>
      </c>
    </row>
    <row r="26723" customFormat="false" ht="15" hidden="false" customHeight="false" outlineLevel="0" collapsed="false">
      <c r="A26723" s="0" t="n">
        <f aca="false">_xlfn.ORG.LIBREOFFICE.FORECAST.ETS.PI.MULT({9;10;11},{34.7;14.2;32;31.84;32;28.19;27.3;28.31;25.96},{1;1;2;3;4;5;6;7;8},0,0,1,2)</f>
        <v>0</v>
      </c>
      <c r="B26723" s="0" t="s">
        <v>26543</v>
      </c>
    </row>
    <row r="26724" customFormat="false" ht="15" hidden="false" customHeight="false" outlineLevel="0" collapsed="false">
      <c r="A26724" s="0" t="n">
        <f aca="false">_xlfn.ORG.LIBREOFFICE.FORECAST.ETS.MULT({45009,45009,45008},{48;48;48.03;48;48;48;48;48},{45000;45001;45002;45003;45004;45005;45006;45007},3,1)</f>
        <v>47.989997568745</v>
      </c>
      <c r="B26724" s="0" t="s">
        <v>26544</v>
      </c>
    </row>
    <row r="26725" customFormat="false" ht="15" hidden="false" customHeight="false" outlineLevel="0" collapsed="false">
      <c r="A26725" s="0" t="n">
        <f aca="false">_xlfn.ORG.LIBREOFFICE.FORECAST.ETS.STAT.MULT({48;48;48.03;48;48;48;48;48},{45000;45001;45002;45003;45004;45005;45006;45007},{9},3,1)</f>
        <v>3</v>
      </c>
      <c r="B26725" s="0" t="s">
        <v>26545</v>
      </c>
    </row>
    <row r="26726" customFormat="false" ht="15" hidden="false" customHeight="false" outlineLevel="0" collapsed="false">
      <c r="A26726" s="0" t="n">
        <f aca="false">_xlfn.FORECAST.ETS.SEASONALITY({48;48;48.03;48;48;48;48;48},{45000;45001;45002;45003;45004;45005;45006;45007},1)</f>
        <v>3</v>
      </c>
      <c r="B26726" s="0" t="s">
        <v>26546</v>
      </c>
    </row>
    <row r="26727" customFormat="false" ht="15" hidden="false" customHeight="false" outlineLevel="0" collapsed="false">
      <c r="A26727" s="0" t="e">
        <f aca="false">_xlfn.ORG.LIBREOFFICE.FORECAST.ETS.MULT({45626,45611},{59;70;71;79.89;24.8;83.9;63;13.8;13.7;83;25;80;22.4;84.8;46;61.48;67.48;28.79;61;40.09;53.21;69.8;12},{44926;44957;44985;45016;45046;45077;45107;45138;45169;45199;45230;45260;45291;45322;45351;45382;45412;45443;45473;45504;45535;45565;45596})</f>
        <v>#VALUE!</v>
      </c>
      <c r="B26727" s="0" t="s">
        <v>26547</v>
      </c>
    </row>
    <row r="26728" customFormat="false" ht="15" hidden="false" customHeight="false" outlineLevel="0" collapsed="false">
      <c r="A26728" s="0" t="e">
        <f aca="false">_xlfn.ORG.LIBREOFFICE.FORECAST.ETS.STAT.MULT({59;70;71;79.89;24.8;83.9;63;13.8;13.7;83;25;80;22.4;84.8;46;61.48;67.48;28.79;61;40.09;53.21;69.8;12},{44926;44957;44985;45016;45046;45077;45107;45138;45169;45199;45230;45260;45291;45322;45351;45382;45412;45443;45473;45504;45535;45565;45596},{5;7;3;9;6;8;2;4;1})</f>
        <v>#VALUE!</v>
      </c>
      <c r="B26728" s="0" t="s">
        <v>26548</v>
      </c>
    </row>
    <row r="26729" customFormat="false" ht="15" hidden="false" customHeight="false" outlineLevel="0" collapsed="false">
      <c r="A26729" s="0" t="e">
        <f aca="false">_xlfn.FORECAST.ETS.SEASONALITY({59;70;71;79.89;24.8;83.9;63;13.8;13.7;83;25;80;22.4;84.8;46;61.48;67.48;28.79;61;40.09;53.21;69.8;12},{44926;44957;44985;45016;45046;45077;45107;45138;45169;45199;45230;45260;45291;45322;45351;45382;45412;45443;45473;45504;45535;45565;45596},0,6)</f>
        <v>#VALUE!</v>
      </c>
      <c r="B26729" s="0" t="s">
        <v>26549</v>
      </c>
    </row>
    <row r="26730" customFormat="false" ht="15" hidden="false" customHeight="false" outlineLevel="0" collapsed="false">
      <c r="A26730" s="0" t="e">
        <f aca="false">_xlfn.FORECAST.ETS(45198,{47.46;47.46;47.5;47.5;47.46;47.46;47.5;47},{44926;44957;44985;45016;45046;45077;45107;45138},1,,5)</f>
        <v>#VALUE!</v>
      </c>
      <c r="B26730" s="0" t="s">
        <v>26550</v>
      </c>
    </row>
    <row r="26731" customFormat="false" ht="15" hidden="false" customHeight="false" outlineLevel="0" collapsed="false">
      <c r="A26731" s="0" t="e">
        <f aca="false">_xlfn.ORG.LIBREOFFICE.FORECAST.ETS.STAT.MULT({47.46;47.46;47.5;47.5;47.46;47.46;47.5;47},{44926;44957;44985;45016;45046;45077;45107;45138},{4},1,,5)</f>
        <v>#VALUE!</v>
      </c>
      <c r="B26731" s="0" t="s">
        <v>26551</v>
      </c>
    </row>
    <row r="26732" customFormat="false" ht="15" hidden="false" customHeight="false" outlineLevel="0" collapsed="false">
      <c r="A26732" s="0" t="e">
        <f aca="false">_xlfn.FORECAST.ETS.SEASONALITY({47.46;47.46;47.5;47.5;47.46;47.46;47.5;47},{44926;44957;44985;45016;45046;45077;45107;45138},1,2)</f>
        <v>#VALUE!</v>
      </c>
      <c r="B26732" s="0" t="s">
        <v>26552</v>
      </c>
    </row>
    <row r="26733" customFormat="false" ht="15" hidden="false" customHeight="false" outlineLevel="0" collapsed="false">
      <c r="A26733" s="0" t="n">
        <f aca="false">_xlfn.FORECAST.ETS({7.5;8;7},{26;26;25.56;25.56;25.6;26},{1;2;3;4;5;6})</f>
        <v>26.1810944682069</v>
      </c>
      <c r="B26733" s="0" t="s">
        <v>26553</v>
      </c>
    </row>
    <row r="26734" customFormat="false" ht="15" hidden="false" customHeight="false" outlineLevel="0" collapsed="false">
      <c r="A26734" s="0" t="n">
        <f aca="false">_xlfn.FORECAST.ETS.STAT({26;26;25.56;25.56;25.6;26},{1;2;3;4;5;6},{8;2})</f>
        <v>1</v>
      </c>
      <c r="B26734" s="0" t="s">
        <v>26554</v>
      </c>
    </row>
    <row r="26735" customFormat="false" ht="15" hidden="false" customHeight="false" outlineLevel="0" collapsed="false">
      <c r="A26735" s="0" t="n">
        <f aca="false">_xlfn.FORECAST.ETS.SEASONALITY({26;26;25.56;25.56;25.6;26},{1;2;3;4;5;6},0)</f>
        <v>2</v>
      </c>
      <c r="B26735" s="0" t="s">
        <v>26555</v>
      </c>
    </row>
    <row r="26736" customFormat="false" ht="15" hidden="false" customHeight="false" outlineLevel="0" collapsed="false">
      <c r="A26736" s="0" t="n">
        <f aca="false">_xlfn.FORECAST.ETS({23},{59.2;78;33.3;84;64.8;95.37;11.1;87.91;10},{3;5;7;9;11;13;15;17;19},1,0)</f>
        <v>8.66864526147182</v>
      </c>
      <c r="B26736" s="0" t="s">
        <v>26556</v>
      </c>
    </row>
    <row r="26737" customFormat="false" ht="15" hidden="false" customHeight="false" outlineLevel="0" collapsed="false">
      <c r="A26737" s="0" t="n">
        <f aca="false">_xlfn.FORECAST.ETS.STAT({59.2;78;33.3;84;64.8;95.37;11.1;87.91;10},{3;5;7;9;11;13;15;17;19},{5;7},1,0)</f>
        <v>0.423018965620475</v>
      </c>
      <c r="B26737" s="0" t="s">
        <v>26557</v>
      </c>
    </row>
    <row r="26738" customFormat="false" ht="15" hidden="false" customHeight="false" outlineLevel="0" collapsed="false">
      <c r="A26738" s="0" t="n">
        <f aca="false">_xlfn.FORECAST.ETS.SEASONALITY({59.2;78;33.3;84;64.8;95.37;11.1;87.91;10},{3;5;7;9;11;13;15;17;19})</f>
        <v>2</v>
      </c>
      <c r="B26738" s="0" t="s">
        <v>26558</v>
      </c>
    </row>
    <row r="26739" customFormat="false" ht="15" hidden="false" customHeight="false" outlineLevel="0" collapsed="false">
      <c r="A26739" s="0" t="n">
        <f aca="false">_xlfn.ORG.LIBREOFFICE.FORECAST.ETS.MULT({5,4.5,3.25},{12.61;14.1;19;21.37;25.62},{1;1.5;2;2.5;3},0,1)</f>
        <v>38.1200339955705</v>
      </c>
      <c r="B26739" s="0" t="s">
        <v>26559</v>
      </c>
    </row>
    <row r="26740" customFormat="false" ht="15" hidden="false" customHeight="false" outlineLevel="0" collapsed="false">
      <c r="A26740" s="0" t="n">
        <f aca="false">_xlfn.ORG.LIBREOFFICE.FORECAST.ETS.STAT.MULT({12.61;14.1;19;21.37;25.62},{1;1.5;2;2.5;3},{1;2},0,1)</f>
        <v>0.125</v>
      </c>
      <c r="B26740" s="0" t="s">
        <v>26560</v>
      </c>
    </row>
    <row r="26741" customFormat="false" ht="15" hidden="false" customHeight="false" outlineLevel="0" collapsed="false">
      <c r="A26741" s="0" t="n">
        <f aca="false">_xlfn.FORECAST.ETS.SEASONALITY({12.61;14.1;19;21.37;25.62},{1;1.5;2;2.5;3},1,6)</f>
        <v>2</v>
      </c>
      <c r="B26741" s="0" t="s">
        <v>26561</v>
      </c>
    </row>
    <row r="26742" customFormat="false" ht="15" hidden="false" customHeight="false" outlineLevel="0" collapsed="false">
      <c r="A26742" s="0" t="n">
        <f aca="false">_xlfn.FORECAST.ETS(4.25,{45.35;37.63;47;39.97;40.3;44.08},{1.5;3.5;1;3;2.5;2},1,1,3)</f>
        <v>33.5600000000001</v>
      </c>
      <c r="B26742" s="0" t="s">
        <v>26562</v>
      </c>
    </row>
    <row r="26743" customFormat="false" ht="15" hidden="false" customHeight="false" outlineLevel="0" collapsed="false">
      <c r="A26743" s="0" t="n">
        <f aca="false">_xlfn.FORECAST.ETS.STAT({45.35;37.63;47;39.97;40.3;44.08},{1.5;3.5;1;3;2.5;2},{5;8},1,1,3)</f>
        <v>0.00547393445530424</v>
      </c>
      <c r="B26743" s="0" t="s">
        <v>26563</v>
      </c>
    </row>
    <row r="26744" customFormat="false" ht="15" hidden="false" customHeight="false" outlineLevel="0" collapsed="false">
      <c r="A26744" s="0" t="n">
        <f aca="false">_xlfn.FORECAST.ETS.SEASONALITY({45.35;37.63;47;39.97;40.3;44.08},{1.5;3.5;1;3;2.5;2})</f>
        <v>3</v>
      </c>
      <c r="B26744" s="0" t="s">
        <v>26564</v>
      </c>
    </row>
    <row r="26745" customFormat="false" ht="15" hidden="false" customHeight="false" outlineLevel="0" collapsed="false">
      <c r="A26745" s="0" t="n">
        <f aca="false">_xlfn.ORG.LIBREOFFICE.FORECAST.ETS.MULT(45014,{27;29.5;21;17.19;15;33;23.16;21.75;27.34;12;12.72;35.02;11;7.3},{45004;45002;45007;45008;45009;45001;45005;45006;45003;45011;45010;45000;45012;45013})</f>
        <v>4.95276005689925</v>
      </c>
      <c r="B26745" s="0" t="s">
        <v>26565</v>
      </c>
    </row>
    <row r="26746" customFormat="false" ht="15" hidden="false" customHeight="false" outlineLevel="0" collapsed="false">
      <c r="A26746" s="0" t="n">
        <f aca="false">_xlfn.ORG.LIBREOFFICE.FORECAST.ETS.STAT.MULT({27;29.5;21;17.19;15;33;23.16;21.75;27.34;12;12.72;35.02;11;7.3},{45004;45002;45007;45008;45009;45001;45005;45006;45003;45011;45010;45000;45012;45013},{2;5})</f>
        <v>0.9990234375</v>
      </c>
      <c r="B26746" s="0" t="s">
        <v>26566</v>
      </c>
    </row>
    <row r="26747" customFormat="false" ht="15" hidden="false" customHeight="false" outlineLevel="0" collapsed="false">
      <c r="A26747" s="0" t="n">
        <f aca="false">_xlfn.FORECAST.ETS.SEASONALITY({27;29.5;21;17.19;15;33;23.16;21.75;27.34;12;12.72;35.02;11;7.3},{45004;45002;45007;45008;45009;45001;45005;45006;45003;45011;45010;45000;45012;45013},0,7)</f>
        <v>5</v>
      </c>
      <c r="B26747" s="0" t="s">
        <v>26567</v>
      </c>
    </row>
    <row r="26748" customFormat="false" ht="15" hidden="false" customHeight="false" outlineLevel="0" collapsed="false">
      <c r="A26748" s="0" t="e">
        <f aca="false">_xlfn.FORECAST.ETS({19},{23;23;23;23;23;23;23;23;23;23;23.05;23.05;23;23;23.05},{1;2;3;4;5;6;7;8;9;10;11;12;13;14;15},2,1)</f>
        <v>#NUM!</v>
      </c>
      <c r="B26748" s="0" t="s">
        <v>26568</v>
      </c>
    </row>
    <row r="26749" customFormat="false" ht="15" hidden="false" customHeight="false" outlineLevel="0" collapsed="false">
      <c r="A26749" s="0" t="n">
        <f aca="false">_xlfn.ORG.LIBREOFFICE.FORECAST.ETS.STAT.MULT({23;23;23;23;23;23;23;23;23;23;23.05;23.05;23;23;23.05},{1;2;3;4;5;6;7;8;9;10;11;12;13;14;15},{2;5;1;7;9;8;4;3;6},2,1)</f>
        <v>0.1318359375</v>
      </c>
      <c r="B26749" s="0" t="s">
        <v>26569</v>
      </c>
    </row>
    <row r="26750" customFormat="false" ht="15" hidden="false" customHeight="false" outlineLevel="0" collapsed="false">
      <c r="A26750" s="0" t="n">
        <f aca="false">_xlfn.FORECAST.ETS.SEASONALITY({23;23;23;23;23;23;23;23;23;23;23.05;23.05;23;23;23.05},{1;2;3;4;5;6;7;8;9;10;11;12;13;14;15},1)</f>
        <v>4</v>
      </c>
      <c r="B26750" s="0" t="s">
        <v>26570</v>
      </c>
    </row>
    <row r="26751" customFormat="false" ht="15" hidden="false" customHeight="false" outlineLevel="0" collapsed="false">
      <c r="A26751" s="0" t="n">
        <f aca="false">_xlfn.ORG.LIBREOFFICE.FORECAST.ETS.PI.MULT(18,{23;23;23;23;23;23;23;23;23;23;23.05;23.05;23;23;23.05},{1;2;3;4;5;6;7;8;9;10;11;12;13;14;15},0,0)</f>
        <v>0</v>
      </c>
      <c r="B26751" s="0" t="s">
        <v>26571</v>
      </c>
    </row>
    <row r="26752" customFormat="false" ht="15" hidden="false" customHeight="false" outlineLevel="0" collapsed="false">
      <c r="A26752" s="0" t="n">
        <f aca="false">_xlfn.ORG.LIBREOFFICE.FORECAST.ETS.MULT(4.625,{8.38;13.07;19;35;51.1;65;22;6;69;54;33.3;28.6;58.23;42;44.47},{1.5;2;2.5;4.5;6;7.5;3;1;8;6.5;4;3.5;7;5;5.5})</f>
        <v>36.7166279930851</v>
      </c>
      <c r="B26752" s="0" t="s">
        <v>26572</v>
      </c>
    </row>
    <row r="26753" customFormat="false" ht="15" hidden="false" customHeight="false" outlineLevel="0" collapsed="false">
      <c r="A26753" s="0" t="n">
        <f aca="false">_xlfn.ORG.LIBREOFFICE.FORECAST.ETS.STAT.MULT({8.38;13.07;19;35;51.1;65;22;6;69;54;33.3;28.6;58.23;42;44.47},{1.5;2;2.5;4.5;6;7.5;3;1;8;6.5;4;3.5;7;5;5.5},{5;9})</f>
        <v>0.0348464361796946</v>
      </c>
      <c r="B26753" s="0" t="s">
        <v>26573</v>
      </c>
    </row>
    <row r="26754" customFormat="false" ht="15" hidden="false" customHeight="false" outlineLevel="0" collapsed="false">
      <c r="A26754" s="0" t="n">
        <f aca="false">_xlfn.FORECAST.ETS.SEASONALITY({8.38;13.07;19;35;51.1;65;22;6;69;54;33.3;28.6;58.23;42;44.47},{1.5;2;2.5;4.5;6;7.5;3;1;8;6.5;4;3.5;7;5;5.5},0)</f>
        <v>5</v>
      </c>
      <c r="B26754" s="0" t="s">
        <v>26574</v>
      </c>
    </row>
    <row r="26755" customFormat="false" ht="15" hidden="false" customHeight="false" outlineLevel="0" collapsed="false">
      <c r="A26755" s="0" t="n">
        <f aca="false">_xlfn.FORECAST.ETS(44940,{23.2;18.67;18;41;48.6;30;28.13;66},{44696;44727;44757;44788;44819;44849;44880;44910},4)</f>
        <v>66.3198387096846</v>
      </c>
      <c r="B26755" s="0" t="s">
        <v>26575</v>
      </c>
    </row>
    <row r="26756" customFormat="false" ht="15" hidden="false" customHeight="false" outlineLevel="0" collapsed="false">
      <c r="A26756" s="0" t="n">
        <f aca="false">_xlfn.FORECAST.ETS.STAT({23.2;18.67;18;41;48.6;30;28.13;66},{44696;44727;44757;44788;44819;44849;44880;44910},{6;9},4)</f>
        <v>3.07214285714286</v>
      </c>
      <c r="B26756" s="0" t="s">
        <v>26576</v>
      </c>
    </row>
    <row r="26757" customFormat="false" ht="15" hidden="false" customHeight="false" outlineLevel="0" collapsed="false">
      <c r="A26757" s="0" t="n">
        <f aca="false">_xlfn.FORECAST.ETS.SEASONALITY({23.2;18.67;18;41;48.6;30;28.13;66},{44696;44727;44757;44788;44819;44849;44880;44910},1,3)</f>
        <v>4</v>
      </c>
      <c r="B26757" s="0" t="s">
        <v>26577</v>
      </c>
    </row>
    <row r="26758" customFormat="false" ht="15" hidden="false" customHeight="false" outlineLevel="0" collapsed="false">
      <c r="A26758" s="0" t="n">
        <f aca="false">_xlfn.ORG.LIBREOFFICE.FORECAST.ETS.MULT({228;223},{22.7;21;17;17;15;11;9.18;5.1;3.47;4;1;0.15;-2.5;-5.8;-5.6;-9;-9.3;-12.8;-15.2;-17;-17.09},{3;13;23;33;43;53;63;83;93;103;113;123;133;143;153;163;173;183;193;203;213},1,,4)</f>
        <v>-21.0868300989729</v>
      </c>
      <c r="B26758" s="0" t="s">
        <v>26578</v>
      </c>
    </row>
    <row r="26759" customFormat="false" ht="15" hidden="false" customHeight="false" outlineLevel="0" collapsed="false">
      <c r="A26759" s="0" t="n">
        <f aca="false">_xlfn.ORG.LIBREOFFICE.FORECAST.ETS.STAT.MULT({22.7;21;17;17;15;11;9.18;5.1;3.47;4;1;0.15;-2.5;-5.8;-5.6;-9;-9.3;-12.8;-15.2;-17;-17.09},{3;13;23;33;43;53;63;83;93;103;113;123;133;143;153;163;173;183;193;203;213},{4;8},1,,4)</f>
        <v>0.91476534358602</v>
      </c>
      <c r="B26759" s="0" t="s">
        <v>26579</v>
      </c>
    </row>
    <row r="26760" customFormat="false" ht="15" hidden="false" customHeight="false" outlineLevel="0" collapsed="false">
      <c r="A26760" s="0" t="n">
        <f aca="false">_xlfn.FORECAST.ETS.SEASONALITY({22.7;21;17;17;15;11;9.18;5.1;3.47;4;1;0.15;-2.5;-5.8;-5.6;-9;-9.3;-12.8;-15.2;-17;-17.09},{3;13;23;33;43;53;63;83;93;103;113;123;133;143;153;163;173;183;193;203;213},0,2)</f>
        <v>7</v>
      </c>
      <c r="B26760" s="0" t="s">
        <v>26580</v>
      </c>
    </row>
    <row r="26761" customFormat="false" ht="15" hidden="false" customHeight="false" outlineLevel="0" collapsed="false">
      <c r="A26761" s="0" t="e">
        <f aca="false">_xlfn.ORG.LIBREOFFICE.FORECAST.ETS.MULT({44817},{27.3;27;25.9;27;27;27.3},{44635;44666;44666;44696;44727;44757},7,1)</f>
        <v>#VALUE!</v>
      </c>
      <c r="B26761" s="0" t="s">
        <v>26581</v>
      </c>
    </row>
    <row r="26762" customFormat="false" ht="15" hidden="false" customHeight="false" outlineLevel="0" collapsed="false">
      <c r="A26762" s="0" t="e">
        <f aca="false">_xlfn.FORECAST.ETS.STAT({27.3;27;25.9;27;27;27.3},{44635;44666;44666;44696;44727;44757},{8;6;9;1;5;3;2;4;7},7,1)</f>
        <v>#VALUE!</v>
      </c>
      <c r="B26762" s="0" t="s">
        <v>26582</v>
      </c>
    </row>
    <row r="26763" customFormat="false" ht="15" hidden="false" customHeight="false" outlineLevel="0" collapsed="false">
      <c r="A26763" s="0" t="n">
        <f aca="false">_xlfn.FORECAST.ETS.SEASONALITY({27.3;27;25.9;27;27;27.3},{44635;44666;44666;44696;44727;44757})</f>
        <v>1</v>
      </c>
      <c r="B26763" s="0" t="s">
        <v>26583</v>
      </c>
    </row>
    <row r="26764" customFormat="false" ht="15" hidden="false" customHeight="false" outlineLevel="0" collapsed="false">
      <c r="A26764" s="0" t="n">
        <f aca="false">_xlfn.ORG.LIBREOFFICE.FORECAST.ETS.MULT({45396;45456;45486},{27.1;24.06;23.3;21.3;19.1;16.66;15.69;14;10.01;10.3;6.64;4.65;4.57;3.19;0;-0.2},{44910;44941;44972;45000;45031;45061;45092;45122;45153;45184;45214;45245;45275;45306;45337;45366},0,,2)</f>
        <v>-2.56522261556078</v>
      </c>
      <c r="B26764" s="0" t="s">
        <v>26584</v>
      </c>
    </row>
    <row r="26765" customFormat="false" ht="15" hidden="false" customHeight="false" outlineLevel="0" collapsed="false">
      <c r="A26765" s="0" t="n">
        <f aca="false">_xlfn.ORG.LIBREOFFICE.FORECAST.ETS.STAT.MULT({27.1;24.06;23.3;21.3;19.1;16.66;15.69;14;10.01;10.3;6.64;4.65;4.57;3.19;0;-0.2},{44910;44941;44972;45000;45031;45061;45092;45122;45153;45184;45214;45245;45275;45306;45337;45366},{7},0,,2)</f>
        <v>1.01468730361988</v>
      </c>
      <c r="B26765" s="0" t="s">
        <v>26585</v>
      </c>
    </row>
    <row r="26766" customFormat="false" ht="15" hidden="false" customHeight="false" outlineLevel="0" collapsed="false">
      <c r="A26766" s="0" t="n">
        <f aca="false">_xlfn.FORECAST.ETS.SEASONALITY({27.1;24.06;23.3;21.3;19.1;16.66;15.69;14;10.01;10.3;6.64;4.65;4.57;3.19;0;-0.2},{44910;44941;44972;45000;45031;45061;45092;45122;45153;45184;45214;45245;45275;45306;45337;45366})</f>
        <v>6</v>
      </c>
      <c r="B26766" s="0" t="s">
        <v>26586</v>
      </c>
    </row>
    <row r="26767" customFormat="false" ht="15" hidden="false" customHeight="false" outlineLevel="0" collapsed="false">
      <c r="A26767" s="0" t="n">
        <f aca="false">_xlfn.FORECAST.ETS(19,{30;30;30.4;30.4;30.4;30.36;30.36;30;30.36;30;30.4;30.36;30.36;30;48.4;30.4;30;30.4;30},{1;2;3;4;5;6;7;8;9;10;11;12;13;14;14;15;16;17;18},0,0)</f>
        <v>30.1355261230469</v>
      </c>
      <c r="B26767" s="0" t="s">
        <v>26587</v>
      </c>
    </row>
    <row r="26768" customFormat="false" ht="15" hidden="false" customHeight="false" outlineLevel="0" collapsed="false">
      <c r="A26768" s="0" t="n">
        <f aca="false">_xlfn.ORG.LIBREOFFICE.FORECAST.ETS.STAT.MULT({30;30;30.4;30.4;30.4;30.36;30.36;30;30.36;30;30.4;30.36;30.36;30;48.4;30.4;30;30.4;30},{1;2;3;4;5;6;7;8;9;10;11;12;13;14;14;15;16;17;18},{5},0,0)</f>
        <v>0.00644189296852453</v>
      </c>
      <c r="B26768" s="0" t="s">
        <v>26588</v>
      </c>
    </row>
    <row r="26769" customFormat="false" ht="15" hidden="false" customHeight="false" outlineLevel="0" collapsed="false">
      <c r="A26769" s="0" t="n">
        <f aca="false">_xlfn.FORECAST.ETS.SEASONALITY({30;30;30.4;30.4;30.4;30.36;30.36;30;30.36;30;30.4;30.36;30.36;30;48.4;30.4;30;30.4;30},{1;2;3;4;5;6;7;8;9;10;11;12;13;14;14;15;16;17;18})</f>
        <v>8</v>
      </c>
      <c r="B26769" s="0" t="s">
        <v>26589</v>
      </c>
    </row>
    <row r="26770" customFormat="false" ht="15" hidden="false" customHeight="false" outlineLevel="0" collapsed="false">
      <c r="A26770" s="0" t="n">
        <f aca="false">_xlfn.FORECAST.ETS.CONFINT(21,{30;30;30.4;30.4;30.4;30.36;30.36;30;30.36;30;30.4;30.36;30.36;30;48.4;30.4;30;30.4;30},{1;2;3;4;5;6;7;8;9;10;11;12;13;14;14;15;16;17;18},0,0,1,2)</f>
        <v>0</v>
      </c>
      <c r="B26770" s="0" t="s">
        <v>26590</v>
      </c>
    </row>
    <row r="26771" customFormat="false" ht="15" hidden="false" customHeight="false" outlineLevel="0" collapsed="false">
      <c r="A26771" s="0" t="e">
        <f aca="false">_xlfn.FORECAST.ETS(45441,{19.28;34.77;36;43;38.32;51.7;53.8;60.1;56.7;71.95;71.5;78.24;73.83;90;90.5;98},{44895;44926;44957;44985;45016;45046;45077;45107;45138;45169;45199;45230;45260;45291;45322;45351},0,,7)</f>
        <v>#VALUE!</v>
      </c>
      <c r="B26771" s="0" t="s">
        <v>26591</v>
      </c>
    </row>
    <row r="26772" customFormat="false" ht="15" hidden="false" customHeight="false" outlineLevel="0" collapsed="false">
      <c r="A26772" s="0" t="e">
        <f aca="false">_xlfn.ORG.LIBREOFFICE.FORECAST.ETS.STAT.MULT({19.28;34.77;36;43;38.32;51.7;53.8;60.1;56.7;71.95;71.5;78.24;73.83;90;90.5;98},{44895;44926;44957;44985;45016;45046;45077;45107;45138;45169;45199;45230;45260;45291;45322;45351},{8;7},0,,7)</f>
        <v>#VALUE!</v>
      </c>
      <c r="B26772" s="0" t="s">
        <v>26592</v>
      </c>
    </row>
    <row r="26773" customFormat="false" ht="15" hidden="false" customHeight="false" outlineLevel="0" collapsed="false">
      <c r="A26773" s="0" t="e">
        <f aca="false">_xlfn.FORECAST.ETS.SEASONALITY({19.28;34.77;36;43;38.32;51.7;53.8;60.1;56.7;71.95;71.5;78.24;73.83;90;90.5;98},{44895;44926;44957;44985;45016;45046;45077;45107;45138;45169;45199;45230;45260;45291;45322;45351},1,3)</f>
        <v>#VALUE!</v>
      </c>
      <c r="B26773" s="0" t="s">
        <v>26593</v>
      </c>
    </row>
    <row r="26774" customFormat="false" ht="15" hidden="false" customHeight="false" outlineLevel="0" collapsed="false">
      <c r="A26774" s="0" t="n">
        <f aca="false">_xlfn.FORECAST.ETS({10},{46.8;30.51;64.2;37.9;46.84;71;54;71.6;64;47;37.63;62;39.1;54.1;52.54},{3;1;6.5;2;4;7.5;5;8;6;3.5;1.5;7;2.5;4.5;5.5},2)</f>
        <v>83.2361546651507</v>
      </c>
      <c r="B26774" s="0" t="s">
        <v>26594</v>
      </c>
    </row>
    <row r="26775" customFormat="false" ht="15" hidden="false" customHeight="false" outlineLevel="0" collapsed="false">
      <c r="A26775" s="0" t="n">
        <f aca="false">_xlfn.ORG.LIBREOFFICE.FORECAST.ETS.STAT.MULT({46.8;30.51;64.2;37.9;46.84;71;54;71.6;64;47;37.63;62;39.1;54.1;52.54},{3;1;6.5;2;4;7.5;5;8;6;3.5;1.5;7;2.5;4.5;5.5},{2;7},2)</f>
        <v>1</v>
      </c>
      <c r="B26775" s="0" t="s">
        <v>26595</v>
      </c>
    </row>
    <row r="26776" customFormat="false" ht="15" hidden="false" customHeight="false" outlineLevel="0" collapsed="false">
      <c r="A26776" s="0" t="n">
        <f aca="false">_xlfn.FORECAST.ETS.SEASONALITY({46.8;30.51;64.2;37.9;46.84;71;54;71.6;64;47;37.63;62;39.1;54.1;52.54},{3;1;6.5;2;4;7.5;5;8;6;3.5;1.5;7;2.5;4.5;5.5},0)</f>
        <v>3</v>
      </c>
      <c r="B26776" s="0" t="s">
        <v>26596</v>
      </c>
    </row>
    <row r="26777" customFormat="false" ht="15" hidden="false" customHeight="false" outlineLevel="0" collapsed="false">
      <c r="A26777" s="0" t="n">
        <f aca="false">_xlfn.ORG.LIBREOFFICE.FORECAST.ETS.MULT(6.5,{43.5;43.5;43.5;43.5;43.5;43.5;43.5;43.5;43.5;43.5;43.5;43.5;44;44;43.5;44},{3;10;17;24;31;38;45;52;59;66;73;80;87;94;101;108},5)</f>
        <v>43.5</v>
      </c>
      <c r="B26777" s="0" t="s">
        <v>26597</v>
      </c>
    </row>
    <row r="26778" customFormat="false" ht="15" hidden="false" customHeight="false" outlineLevel="0" collapsed="false">
      <c r="A26778" s="0" t="n">
        <f aca="false">_xlfn.ORG.LIBREOFFICE.FORECAST.ETS.STAT.MULT({43.5;43.5;43.5;43.5;43.5;43.5;43.5;43.5;43.5;43.5;43.5;43.5;44;44;43.5;44},{3;10;17;24;31;38;45;52;59;66;73;80;87;94;101;108},{5;8},5)</f>
        <v>0.00218425991728986</v>
      </c>
      <c r="B26778" s="0" t="s">
        <v>26598</v>
      </c>
    </row>
    <row r="26779" customFormat="false" ht="15" hidden="false" customHeight="false" outlineLevel="0" collapsed="false">
      <c r="A26779" s="0" t="n">
        <f aca="false">_xlfn.FORECAST.ETS.SEASONALITY({43.5;43.5;43.5;43.5;43.5;43.5;43.5;43.5;43.5;43.5;43.5;43.5;44;44;43.5;44},{3;10;17;24;31;38;45;52;59;66;73;80;87;94;101;108})</f>
        <v>3</v>
      </c>
      <c r="B26779" s="0" t="s">
        <v>26599</v>
      </c>
    </row>
    <row r="26780" customFormat="false" ht="15" hidden="false" customHeight="false" outlineLevel="0" collapsed="false">
      <c r="A26780" s="0" t="n">
        <f aca="false">_xlfn.FORECAST.ETS.CONFINT({115;122;129},{43.5;43.5;43.5;43.5;43.5;43.5;43.5;43.5;43.5;43.5;43.5;43.5;44;44;43.5;44},{3;10;17;24;31;38;45;52;59;66;73;80;87;94;101;108},0.9,0)</f>
        <v>0.305781394524267</v>
      </c>
      <c r="B26780" s="0" t="s">
        <v>26600</v>
      </c>
    </row>
    <row r="26781" customFormat="false" ht="15" hidden="false" customHeight="false" outlineLevel="0" collapsed="false">
      <c r="A26781" s="0" t="n">
        <f aca="false">_xlfn.FORECAST.ETS(23,{5.7;9;10.38;11.8;8;7.92;17.4;18.02;20;13;9.61;49.5;26;22.3;24.4;16;12.88;32;30;31.85;23},{1;2;3;4;5;6;7;8;9;10;11;11;12;13;14;15;16;17;18;19;20})</f>
        <v>36.397482730326</v>
      </c>
      <c r="B26781" s="0" t="s">
        <v>26601</v>
      </c>
    </row>
    <row r="26782" customFormat="false" ht="15" hidden="false" customHeight="false" outlineLevel="0" collapsed="false">
      <c r="A26782" s="0" t="n">
        <f aca="false">_xlfn.FORECAST.ETS.STAT({5.7;9;10.38;11.8;8;7.92;17.4;18.02;20;13;9.61;49.5;26;22.3;24.4;16;12.88;32;30;31.85;23},{1;2;3;4;5;6;7;8;9;10;11;11;12;13;14;15;16;17;18;19;20},{8;2;5;9;6;4;7;3;1})</f>
        <v>1</v>
      </c>
      <c r="B26782" s="0" t="s">
        <v>26602</v>
      </c>
    </row>
    <row r="26783" customFormat="false" ht="15" hidden="false" customHeight="false" outlineLevel="0" collapsed="false">
      <c r="A26783" s="0" t="n">
        <f aca="false">_xlfn.FORECAST.ETS.SEASONALITY({5.7;9;10.38;11.8;8;7.92;17.4;18.02;20;13;9.61;49.5;26;22.3;24.4;16;12.88;32;30;31.85;23},{1;2;3;4;5;6;7;8;9;10;11;11;12;13;14;15;16;17;18;19;20},0,3)</f>
        <v>5</v>
      </c>
      <c r="B26783" s="0" t="s">
        <v>26603</v>
      </c>
    </row>
    <row r="26784" customFormat="false" ht="15" hidden="false" customHeight="false" outlineLevel="0" collapsed="false">
      <c r="A26784" s="0" t="n">
        <f aca="false">_xlfn.ORG.LIBREOFFICE.FORECAST.ETS.MULT(32,{26.92;16.83;27;23.4;28;42;34.81;49;28.07;45.5;36.66;41.6;64.7;50.7;69.27;41.7;66.51;51;57.2;85.8;70;93.35;55;82.61;66;75.34;110;85.92},{1;2;3;4;5;6;7;8;9;10;11;12;13;14;15;16;17;18;19;20;21;22;23;24;25;26;27;28})</f>
        <v>80.3044488067779</v>
      </c>
      <c r="B26784" s="0" t="s">
        <v>26604</v>
      </c>
    </row>
    <row r="26785" customFormat="false" ht="15" hidden="false" customHeight="false" outlineLevel="0" collapsed="false">
      <c r="A26785" s="0" t="n">
        <f aca="false">_xlfn.ORG.LIBREOFFICE.FORECAST.ETS.STAT.MULT({26.92;16.83;27;23.4;28;42;34.81;49;28.07;45.5;36.66;41.6;64.7;50.7;69.27;41.7;66.51;51;57.2;85.8;70;93.35;55;82.61;66;75.34;110;85.92},{1;2;3;4;5;6;7;8;9;10;11;12;13;14;15;16;17;18;19;20;21;22;23;24;25;26;27;28},{6})</f>
        <v>0.862951842188342</v>
      </c>
      <c r="B26785" s="0" t="s">
        <v>26605</v>
      </c>
    </row>
    <row r="26786" customFormat="false" ht="15" hidden="false" customHeight="false" outlineLevel="0" collapsed="false">
      <c r="A26786" s="0" t="n">
        <f aca="false">_xlfn.FORECAST.ETS.SEASONALITY({26.92;16.83;27;23.4;28;42;34.81;49;28.07;45.5;36.66;41.6;64.7;50.7;69.27;41.7;66.51;51;57.2;85.8;70;93.35;55;82.61;66;75.34;110;85.92},{1;2;3;4;5;6;7;8;9;10;11;12;13;14;15;16;17;18;19;20;21;22;23;24;25;26;27;28})</f>
        <v>7</v>
      </c>
      <c r="B26786" s="0" t="s">
        <v>26606</v>
      </c>
    </row>
    <row r="26787" customFormat="false" ht="15" hidden="false" customHeight="false" outlineLevel="0" collapsed="false">
      <c r="A26787" s="0" t="n">
        <f aca="false">_xlfn.ORG.LIBREOFFICE.FORECAST.ETS.PI.MULT({29;30;31},{26.92;16.83;27;23.4;28;42;34.81;49;28.07;45.5;36.66;41.6;64.7;50.7;69.27;41.7;66.51;51;57.2;85.8;70;93.35;55;82.61;66;75.34;110;85.92},{1;2;3;4;5;6;7;8;9;10;11;12;13;14;15;16;17;18;19;20;21;22;23;24;25;26;27;28},,0,0)</f>
        <v>23.4750849285337</v>
      </c>
      <c r="B26787" s="0" t="s">
        <v>26607</v>
      </c>
    </row>
    <row r="26788" customFormat="false" ht="15" hidden="false" customHeight="false" outlineLevel="0" collapsed="false">
      <c r="A26788" s="0" t="n">
        <f aca="false">_xlfn.ORG.LIBREOFFICE.FORECAST.ETS.MULT({9.5,9.25,9},{26;60.09;32.6;59.7;11.54;39.3;43;38;54.84;27;26.71;10.3;84.4;49;77.65;109.9},{3.5;4;2;6.5;1.5;5;4.5;5.5;7;2.5;3;1;6;7.5;8.5;8},0,0)</f>
        <v>89.281544870102</v>
      </c>
      <c r="B26788" s="0" t="s">
        <v>26608</v>
      </c>
    </row>
    <row r="26789" customFormat="false" ht="15" hidden="false" customHeight="false" outlineLevel="0" collapsed="false">
      <c r="A26789" s="0" t="n">
        <f aca="false">_xlfn.FORECAST.ETS.STAT({26;60.09;32.6;59.7;11.54;39.3;43;38;54.84;27;26.71;10.3;84.4;49;77.65;109.9},{3.5;4;2;6.5;1.5;5;4.5;5.5;7;2.5;3;1;6;7.5;8.5;8},{3;9;2;7;8;6;5;4;1},0,0)</f>
        <v>0</v>
      </c>
      <c r="B26789" s="0" t="s">
        <v>26609</v>
      </c>
    </row>
    <row r="26790" customFormat="false" ht="15" hidden="false" customHeight="false" outlineLevel="0" collapsed="false">
      <c r="A26790" s="0" t="n">
        <f aca="false">_xlfn.FORECAST.ETS.SEASONALITY({26;60.09;32.6;59.7;11.54;39.3;43;38;54.84;27;26.71;10.3;84.4;49;77.65;109.9},{3.5;4;2;6.5;1.5;5;4.5;5.5;7;2.5;3;1;6;7.5;8.5;8},1,2)</f>
        <v>4</v>
      </c>
      <c r="B26790" s="0" t="s">
        <v>26610</v>
      </c>
    </row>
    <row r="26791" customFormat="false" ht="15" hidden="false" customHeight="false" outlineLevel="0" collapsed="false">
      <c r="A26791" s="0" t="n">
        <f aca="false">_xlfn.FORECAST.ETS.CONFINT(10,{26;60.09;32.6;59.7;11.54;39.3;43;38;54.84;27;26.71;10.3;84.4;49;77.65;109.9},{3.5;4;2;6.5;1.5;5;4.5;5.5;7;2.5;3;1;6;7.5;8.5;8},0.99,0)</f>
        <v>103.943403944679</v>
      </c>
      <c r="B26791" s="0" t="s">
        <v>26611</v>
      </c>
    </row>
    <row r="26792" customFormat="false" ht="15" hidden="false" customHeight="false" outlineLevel="0" collapsed="false">
      <c r="A26792" s="0" t="n">
        <f aca="false">_xlfn.FORECAST.ETS({45562},{40.91;30.9;35.89;30.67;39.36;34;34.75;26.3;32;26.62;35;29.2;31.87;21.91;26;21.9;33;24.2;29;17.13;22.2;16;26.12;21.19},{44832;44862;44893;44923;44954;44985;45013;45044;45074;45105;45135;45166;45197;45227;45258;45288;45319;45350;45379;45410;45440;45471;45501;45532},0)</f>
        <v>18.7986045251581</v>
      </c>
      <c r="B26792" s="0" t="s">
        <v>26612</v>
      </c>
    </row>
    <row r="26793" customFormat="false" ht="15" hidden="false" customHeight="false" outlineLevel="0" collapsed="false">
      <c r="A26793" s="0" t="n">
        <f aca="false">_xlfn.ORG.LIBREOFFICE.FORECAST.ETS.STAT.MULT({40.91;30.9;35.89;30.67;39.36;34;34.75;26.3;32;26.62;35;29.2;31.87;21.91;26;21.9;33;24.2;29;17.13;22.2;16;26.12;21.19},{44832;44862;44893;44923;44954;44985;45013;45044;45074;45105;45135;45166;45197;45227;45258;45288;45319;45350;45379;45410;45440;45471;45501;45532},{2;5;7;6;9;1;8;4;3},0)</f>
        <v>0</v>
      </c>
      <c r="B26793" s="0" t="s">
        <v>26613</v>
      </c>
    </row>
    <row r="26794" customFormat="false" ht="15" hidden="false" customHeight="false" outlineLevel="0" collapsed="false">
      <c r="A26794" s="0" t="n">
        <f aca="false">_xlfn.FORECAST.ETS.SEASONALITY({40.91;30.9;35.89;30.67;39.36;34;34.75;26.3;32;26.62;35;29.2;31.87;21.91;26;21.9;33;24.2;29;17.13;22.2;16;26.12;21.19},{44832;44862;44893;44923;44954;44985;45013;45044;45074;45105;45135;45166;45197;45227;45258;45288;45319;45350;45379;45410;45440;45471;45501;45532},1,4)</f>
        <v>6</v>
      </c>
      <c r="B26794" s="0" t="s">
        <v>26614</v>
      </c>
    </row>
    <row r="26795" customFormat="false" ht="15" hidden="false" customHeight="false" outlineLevel="0" collapsed="false">
      <c r="A26795" s="0" t="n">
        <f aca="false">_xlfn.FORECAST.ETS(13,{23.9;33.3;32;41.49;35;38;50.3;40.32},{1;2;4;5;6;7;8;9},0)</f>
        <v>53.7614981360456</v>
      </c>
      <c r="B26795" s="0" t="s">
        <v>26615</v>
      </c>
    </row>
    <row r="26796" customFormat="false" ht="15" hidden="false" customHeight="false" outlineLevel="0" collapsed="false">
      <c r="A26796" s="0" t="n">
        <f aca="false">_xlfn.FORECAST.ETS.STAT({23.9;33.3;32;41.49;35;38;50.3;40.32},{1;2;4;5;6;7;8;9},{3},0)</f>
        <v>0</v>
      </c>
      <c r="B26796" s="0" t="s">
        <v>26616</v>
      </c>
    </row>
    <row r="26797" customFormat="false" ht="15" hidden="false" customHeight="false" outlineLevel="0" collapsed="false">
      <c r="A26797" s="0" t="n">
        <f aca="false">_xlfn.FORECAST.ETS.SEASONALITY({23.9;33.3;32;41.49;35;38;50.3;40.32},{1;2;4;5;6;7;8;9},0,5)</f>
        <v>3</v>
      </c>
      <c r="B26797" s="0" t="s">
        <v>26617</v>
      </c>
    </row>
    <row r="26798" customFormat="false" ht="15" hidden="false" customHeight="false" outlineLevel="0" collapsed="false">
      <c r="A26798" s="0" t="n">
        <f aca="false">_xlfn.ORG.LIBREOFFICE.FORECAST.ETS.MULT({45009;45007},{24.1;5;12.7;16.9;62.37;83.7;39.16;84},{45000;45001;45001;45002;45003;45004;45005;45006},1,1)</f>
        <v>127.571856363242</v>
      </c>
      <c r="B26798" s="0" t="s">
        <v>26618</v>
      </c>
    </row>
    <row r="26799" customFormat="false" ht="15" hidden="false" customHeight="false" outlineLevel="0" collapsed="false">
      <c r="A26799" s="0" t="n">
        <f aca="false">_xlfn.ORG.LIBREOFFICE.FORECAST.ETS.STAT.MULT({24.1;5;12.7;16.9;62.37;83.7;39.16;84},{45000;45001;45001;45002;45003;45004;45005;45006},{3;7},1,1)</f>
        <v>0.9951171875</v>
      </c>
      <c r="B26799" s="0" t="s">
        <v>26619</v>
      </c>
    </row>
    <row r="26800" customFormat="false" ht="15" hidden="false" customHeight="false" outlineLevel="0" collapsed="false">
      <c r="A26800" s="0" t="n">
        <f aca="false">_xlfn.FORECAST.ETS.SEASONALITY({24.1;5;12.7;16.9;62.37;83.7;39.16;84},{45000;45001;45001;45002;45003;45004;45005;45006},0)</f>
        <v>3</v>
      </c>
      <c r="B26800" s="0" t="s">
        <v>26620</v>
      </c>
    </row>
    <row r="26801" customFormat="false" ht="15" hidden="false" customHeight="false" outlineLevel="0" collapsed="false">
      <c r="A26801" s="0" t="n">
        <f aca="false">_xlfn.ORG.LIBREOFFICE.FORECAST.ETS.PI.MULT(45008,{24.1;5;12.7;16.9;62.37;83.7;39.16;84},{45000;45001;45001;45002;45003;45004;45005;45006},0.9,0)</f>
        <v>58.3309130610061</v>
      </c>
      <c r="B26801" s="0" t="s">
        <v>26621</v>
      </c>
    </row>
    <row r="26802" customFormat="false" ht="15" hidden="false" customHeight="false" outlineLevel="0" collapsed="false">
      <c r="A26802" s="0" t="n">
        <f aca="false">_xlfn.ORG.LIBREOFFICE.FORECAST.ETS.MULT(17.5,{5.7;5.7;5.7;5.67;5.7;5.7;5.7;5.67;5.67;5.7;5.7;5.67;5.7;5.67;5.67;5.67},{1;2;3;4;5;6;7;8;9;10;11;12;13;14;15;16},1)</f>
        <v>5.6775241355465</v>
      </c>
      <c r="B26802" s="0" t="s">
        <v>26622</v>
      </c>
    </row>
    <row r="26803" customFormat="false" ht="15" hidden="false" customHeight="false" outlineLevel="0" collapsed="false">
      <c r="A26803" s="0" t="n">
        <f aca="false">_xlfn.FORECAST.ETS.STAT({5.7;5.7;5.7;5.67;5.7;5.7;5.7;5.67;5.67;5.7;5.7;5.67;5.7;5.67;5.67;5.67},{1;2;3;4;5;6;7;8;9;10;11;12;13;14;15;16},{4;3;9;7;1;6;8;5;2},1)</f>
        <v>0.416666666662558</v>
      </c>
      <c r="B26803" s="0" t="s">
        <v>26623</v>
      </c>
    </row>
    <row r="26804" customFormat="false" ht="15" hidden="false" customHeight="false" outlineLevel="0" collapsed="false">
      <c r="A26804" s="0" t="n">
        <f aca="false">_xlfn.FORECAST.ETS.SEASONALITY({5.7;5.7;5.7;5.67;5.7;5.7;5.7;5.67;5.67;5.7;5.7;5.67;5.7;5.67;5.67;5.67},{1;2;3;4;5;6;7;8;9;10;11;12;13;14;15;16},1)</f>
        <v>8</v>
      </c>
      <c r="B26804" s="0" t="s">
        <v>26624</v>
      </c>
    </row>
    <row r="26805" customFormat="false" ht="15" hidden="false" customHeight="false" outlineLevel="0" collapsed="false">
      <c r="A26805" s="0" t="n">
        <f aca="false">_xlfn.FORECAST.ETS.CONFINT(19,{5.7;5.7;5.7;5.67;5.7;5.7;5.7;5.67;5.67;5.7;5.7;5.67;5.7;5.67;5.67;5.67},{1;2;3;4;5;6;7;8;9;10;11;12;13;14;15;16},0,0,1)</f>
        <v>0</v>
      </c>
      <c r="B26805" s="0" t="s">
        <v>26625</v>
      </c>
    </row>
    <row r="26806" customFormat="false" ht="15" hidden="false" customHeight="false" outlineLevel="0" collapsed="false">
      <c r="A26806" s="0" t="n">
        <f aca="false">_xlfn.FORECAST.ETS({33},{51;40.1;54;59.39;60.81;31.6;78.27;62.16;77.2;87;83.3;45;103.27;80.2;101.68;110;107;55.18;132.61;101.1;126;137.52;133;67;158;120;151.9;164;12.1;157.62;80},{1;2;3;4;5;6;7;8;9;10;11;12;13;14;15;16;17;18;19;20;21;22;23;24;25;26;27;28;28;29;30})</f>
        <v>174.571666666667</v>
      </c>
      <c r="B26806" s="0" t="s">
        <v>26626</v>
      </c>
    </row>
    <row r="26807" customFormat="false" ht="15" hidden="false" customHeight="false" outlineLevel="0" collapsed="false">
      <c r="A26807" s="0" t="n">
        <f aca="false">_xlfn.ORG.LIBREOFFICE.FORECAST.ETS.STAT.MULT({51;40.1;54;59.39;60.81;31.6;78.27;62.16;77.2;87;83.3;45;103.27;80.2;101.68;110;107;55.18;132.61;101.1;126;137.52;133;67;158;120;151.9;164;12.1;157.62;80},{1;2;3;4;5;6;7;8;9;10;11;12;13;14;15;16;17;18;19;20;21;22;23;24;25;26;27;28;28;29;30},{9;7;1;5;8;2;6;4;3})</f>
        <v>6</v>
      </c>
      <c r="B26807" s="0" t="s">
        <v>26627</v>
      </c>
    </row>
    <row r="26808" customFormat="false" ht="15" hidden="false" customHeight="false" outlineLevel="0" collapsed="false">
      <c r="A26808" s="0" t="n">
        <f aca="false">_xlfn.FORECAST.ETS.SEASONALITY({51;40.1;54;59.39;60.81;31.6;78.27;62.16;77.2;87;83.3;45;103.27;80.2;101.68;110;107;55.18;132.61;101.1;126;137.52;133;67;158;120;151.9;164;12.1;157.62;80},{1;2;3;4;5;6;7;8;9;10;11;12;13;14;15;16;17;18;19;20;21;22;23;24;25;26;27;28;28;29;30})</f>
        <v>6</v>
      </c>
      <c r="B26808" s="0" t="s">
        <v>26628</v>
      </c>
    </row>
    <row r="26809" customFormat="false" ht="15" hidden="false" customHeight="false" outlineLevel="0" collapsed="false">
      <c r="A26809" s="0" t="n">
        <f aca="false">_xlfn.FORECAST.ETS(10.5,{75.3;89;4.1;22;81.48;94;22;21;77;72.3;72.66;91;87;72.9},{1;2;3;4;5;6;7;8;9;10;11;12;13;14},7,0)</f>
        <v>54.7321123123169</v>
      </c>
      <c r="B26809" s="0" t="s">
        <v>26629</v>
      </c>
    </row>
    <row r="26810" customFormat="false" ht="15" hidden="false" customHeight="false" outlineLevel="0" collapsed="false">
      <c r="A26810" s="0" t="n">
        <f aca="false">_xlfn.ORG.LIBREOFFICE.FORECAST.ETS.STAT.MULT({75.3;89;4.1;22;81.48;94;22;21;77;72.3;72.66;91;87;72.9},{1;2;3;4;5;6;7;8;9;10;11;12;13;14},{5},7,0)</f>
        <v>0.422118336118625</v>
      </c>
      <c r="B26810" s="0" t="s">
        <v>26630</v>
      </c>
    </row>
    <row r="26811" customFormat="false" ht="15" hidden="false" customHeight="false" outlineLevel="0" collapsed="false">
      <c r="A26811" s="0" t="n">
        <f aca="false">_xlfn.FORECAST.ETS.SEASONALITY({75.3;89;4.1;22;81.48;94;22;21;77;72.3;72.66;91;87;72.9},{1;2;3;4;5;6;7;8;9;10;11;12;13;14})</f>
        <v>4</v>
      </c>
      <c r="B26811" s="0" t="s">
        <v>26631</v>
      </c>
    </row>
    <row r="26812" customFormat="false" ht="15" hidden="false" customHeight="false" outlineLevel="0" collapsed="false">
      <c r="A26812" s="0" t="n">
        <f aca="false">_xlfn.ORG.LIBREOFFICE.FORECAST.ETS.MULT(2.25,{21;32.2;33.77;34;46;44.22;45.7;57.32;55},{1;1.5;2;2.5;3;3.5;4;4.5;5},1,1)</f>
        <v>32.9703234221276</v>
      </c>
      <c r="B26812" s="0" t="s">
        <v>26632</v>
      </c>
    </row>
    <row r="26813" customFormat="false" ht="15" hidden="false" customHeight="false" outlineLevel="0" collapsed="false">
      <c r="A26813" s="0" t="n">
        <f aca="false">_xlfn.FORECAST.ETS.STAT({21;32.2;33.77;34;46;44.22;45.7;57.32;55},{1;1.5;2;2.5;3;3.5;4;4.5;5},{5},1,1)</f>
        <v>0.0146879372018355</v>
      </c>
      <c r="B26813" s="0" t="s">
        <v>26633</v>
      </c>
    </row>
    <row r="26814" customFormat="false" ht="15" hidden="false" customHeight="false" outlineLevel="0" collapsed="false">
      <c r="A26814" s="0" t="n">
        <f aca="false">_xlfn.FORECAST.ETS.SEASONALITY({21;32.2;33.77;34;46;44.22;45.7;57.32;55},{1;1.5;2;2.5;3;3.5;4;4.5;5})</f>
        <v>3</v>
      </c>
      <c r="B26814" s="0" t="s">
        <v>26634</v>
      </c>
    </row>
    <row r="26815" customFormat="false" ht="15" hidden="false" customHeight="false" outlineLevel="0" collapsed="false">
      <c r="A26815" s="0" t="n">
        <f aca="false">_xlfn.ORG.LIBREOFFICE.FORECAST.ETS.MULT(45014.5,{16;3.3;11;7.7;-6;-2.1;-11.8;2.93;-12;-4;-8;-17;-14.9;-23.12},{45000;45001;45002;45003;45004;45005;45006;45007;45008;45009;45010;45011;45012;45013},4)</f>
        <v>-53.7661728223309</v>
      </c>
      <c r="B26815" s="0" t="s">
        <v>26635</v>
      </c>
    </row>
    <row r="26816" customFormat="false" ht="15" hidden="false" customHeight="false" outlineLevel="0" collapsed="false">
      <c r="A26816" s="0" t="n">
        <f aca="false">_xlfn.ORG.LIBREOFFICE.FORECAST.ETS.STAT.MULT({16;3.3;11;7.7;-6;-2.1;-11.8;2.93;-12;-4;-8;-17;-14.9;-23.12},{45000;45001;45002;45003;45004;45005;45006;45007;45008;45009;45010;45011;45012;45013},{9;8;6;5;4;2;1;3;7},4)</f>
        <v>4</v>
      </c>
      <c r="B26816" s="0" t="s">
        <v>26636</v>
      </c>
    </row>
    <row r="26817" customFormat="false" ht="15" hidden="false" customHeight="false" outlineLevel="0" collapsed="false">
      <c r="A26817" s="0" t="n">
        <f aca="false">_xlfn.FORECAST.ETS.SEASONALITY({16;3.3;11;7.7;-6;-2.1;-11.8;2.93;-12;-4;-8;-17;-14.9;-23.12},{45000;45001;45002;45003;45004;45005;45006;45007;45008;45009;45010;45011;45012;45013},1)</f>
        <v>7</v>
      </c>
      <c r="B26817" s="0" t="s">
        <v>26637</v>
      </c>
    </row>
    <row r="26818" customFormat="false" ht="15" hidden="false" customHeight="false" outlineLevel="0" collapsed="false">
      <c r="A26818" s="0" t="e">
        <f aca="false">_xlfn.FORECAST.ETS({45471,45381},{48.4;52.4;45.4;52.12;13.3;49.9;44.52;47.8;38.5;47.1;44.2;38.5;41.3;34;43;39.82;32.61;36.3;27;35.7;34},{44773;44804;44834;44865;44865;44895;44926;44957;44985;45016;45046;45077;45107;45138;45169;45199;45230;45260;45291;45322;45351},1,0,3)</f>
        <v>#VALUE!</v>
      </c>
      <c r="B26818" s="0" t="s">
        <v>26638</v>
      </c>
    </row>
    <row r="26819" customFormat="false" ht="15" hidden="false" customHeight="false" outlineLevel="0" collapsed="false">
      <c r="A26819" s="0" t="e">
        <f aca="false">_xlfn.ORG.LIBREOFFICE.FORECAST.ETS.STAT.MULT({48.4;52.4;45.4;52.12;13.3;49.9;44.52;47.8;38.5;47.1;44.2;38.5;41.3;34;43;39.82;32.61;36.3;27;35.7;34},{44773;44804;44834;44865;44865;44895;44926;44957;44985;45016;45046;45077;45107;45138;45169;45199;45230;45260;45291;45322;45351},{1},1,0,3)</f>
        <v>#VALUE!</v>
      </c>
      <c r="B26819" s="0" t="s">
        <v>26639</v>
      </c>
    </row>
    <row r="26820" customFormat="false" ht="15" hidden="false" customHeight="false" outlineLevel="0" collapsed="false">
      <c r="A26820" s="0" t="e">
        <f aca="false">_xlfn.FORECAST.ETS.SEASONALITY({48.4;52.4;45.4;52.12;13.3;49.9;44.52;47.8;38.5;47.1;44.2;38.5;41.3;34;43;39.82;32.61;36.3;27;35.7;34},{44773;44804;44834;44865;44865;44895;44926;44957;44985;45016;45046;45077;45107;45138;45169;45199;45230;45260;45291;45322;45351})</f>
        <v>#VALUE!</v>
      </c>
      <c r="B26820" s="0" t="s">
        <v>26640</v>
      </c>
    </row>
    <row r="26821" customFormat="false" ht="15" hidden="false" customHeight="false" outlineLevel="0" collapsed="false">
      <c r="A26821" s="0" t="n">
        <f aca="false">_xlfn.ORG.LIBREOFFICE.FORECAST.ETS.MULT(98,{38;43.1;47;53.2;58.34;61;67;72;76.98;81.05;84.57;90.16;96;101;105;111},{3;8;13;18;23;28;33;38;43;48;53;58;63;68;73;78},4,0,4)</f>
        <v>130.498795617866</v>
      </c>
      <c r="B26821" s="0" t="s">
        <v>26641</v>
      </c>
    </row>
    <row r="26822" customFormat="false" ht="15" hidden="false" customHeight="false" outlineLevel="0" collapsed="false">
      <c r="A26822" s="0" t="n">
        <f aca="false">_xlfn.ORG.LIBREOFFICE.FORECAST.ETS.STAT.MULT({38;43.1;47;53.2;58.34;61;67;72;76.98;81.05;84.57;90.16;96;101;105;111},{3;8;13;18;23;28;33;38;43;48;53;58;63;68;73;78},{3;7},4,0,4)</f>
        <v>0.3291015625</v>
      </c>
      <c r="B26822" s="0" t="s">
        <v>26642</v>
      </c>
    </row>
    <row r="26823" customFormat="false" ht="15" hidden="false" customHeight="false" outlineLevel="0" collapsed="false">
      <c r="A26823" s="0" t="n">
        <f aca="false">_xlfn.FORECAST.ETS.SEASONALITY({38;43.1;47;53.2;58.34;61;67;72;76.98;81.05;84.57;90.16;96;101;105;111},{3;8;13;18;23;28;33;38;43;48;53;58;63;68;73;78},1,6)</f>
        <v>5</v>
      </c>
      <c r="B26823" s="0" t="s">
        <v>26643</v>
      </c>
    </row>
    <row r="26824" customFormat="false" ht="15" hidden="false" customHeight="false" outlineLevel="0" collapsed="false">
      <c r="A26824" s="0" t="n">
        <f aca="false">_xlfn.FORECAST.ETS(60.75,{10.03;11.02;20.22;17.3;28;25.3;33;46;39},{3;10;17;24;31;38;52;59;66},2)</f>
        <v>44.8932244020418</v>
      </c>
      <c r="B26824" s="0" t="s">
        <v>26644</v>
      </c>
    </row>
    <row r="26825" customFormat="false" ht="15" hidden="false" customHeight="false" outlineLevel="0" collapsed="false">
      <c r="A26825" s="0" t="n">
        <f aca="false">_xlfn.FORECAST.ETS.STAT({10.03;11.02;20.22;17.3;28;25.3;33;46;39},{3;10;17;24;31;38;52;59;66},{2;3;5;9;4;8;7;6;1},2)</f>
        <v>0.1376953125</v>
      </c>
      <c r="B26825" s="0" t="s">
        <v>26645</v>
      </c>
    </row>
    <row r="26826" customFormat="false" ht="15" hidden="false" customHeight="false" outlineLevel="0" collapsed="false">
      <c r="A26826" s="0" t="n">
        <f aca="false">_xlfn.FORECAST.ETS.SEASONALITY({10.03;11.02;20.22;17.3;28;25.3;33;46;39},{3;10;17;24;31;38;52;59;66},1,1)</f>
        <v>4</v>
      </c>
      <c r="B26826" s="0" t="s">
        <v>26646</v>
      </c>
    </row>
    <row r="26827" customFormat="false" ht="15" hidden="false" customHeight="false" outlineLevel="0" collapsed="false">
      <c r="A26827" s="0" t="n">
        <f aca="false">_xlfn.FORECAST.ETS(26,{58;69;36.57;51;74.18;78.36;77.8;89.95;48.36;67.8;94.1;100;99;111.4;60;82.03;116.66;122.58;117.56;132.76;71.08;99;137.4;144.4},{1;2;3;4;5;6;7;8;9;10;11;12;13;14;15;16;17;18;19;20;21;22;23;24},0,0)</f>
        <v>132.943072033995</v>
      </c>
      <c r="B26827" s="0" t="s">
        <v>26647</v>
      </c>
    </row>
    <row r="26828" customFormat="false" ht="15" hidden="false" customHeight="false" outlineLevel="0" collapsed="false">
      <c r="A26828" s="0" t="n">
        <f aca="false">_xlfn.FORECAST.ETS.STAT({58;69;36.57;51;74.18;78.36;77.8;89.95;48.36;67.8;94.1;100;99;111.4;60;82.03;116.66;122.58;117.56;132.76;71.08;99;137.4;144.4},{1;2;3;4;5;6;7;8;9;10;11;12;13;14;15;16;17;18;19;20;21;22;23;24},{8;6},0,0)</f>
        <v>1</v>
      </c>
      <c r="B26828" s="0" t="s">
        <v>26648</v>
      </c>
    </row>
    <row r="26829" customFormat="false" ht="15" hidden="false" customHeight="false" outlineLevel="0" collapsed="false">
      <c r="A26829" s="0" t="n">
        <f aca="false">_xlfn.FORECAST.ETS.SEASONALITY({58;69;36.57;51;74.18;78.36;77.8;89.95;48.36;67.8;94.1;100;99;111.4;60;82.03;116.66;122.58;117.56;132.76;71.08;99;137.4;144.4},{1;2;3;4;5;6;7;8;9;10;11;12;13;14;15;16;17;18;19;20;21;22;23;24},0)</f>
        <v>6</v>
      </c>
      <c r="B26829" s="0" t="s">
        <v>26649</v>
      </c>
    </row>
    <row r="26830" customFormat="false" ht="15" hidden="false" customHeight="false" outlineLevel="0" collapsed="false">
      <c r="A26830" s="0" t="n">
        <f aca="false">_xlfn.FORECAST.ETS({13,11.5},{52.5;40.9;42.48;43;48;53.5;42.95;44.11;44;50.5},{1;2;3;4;5;6;7;8;9;10},5,,5)</f>
        <v>45.752</v>
      </c>
      <c r="B26830" s="0" t="s">
        <v>26650</v>
      </c>
    </row>
    <row r="26831" customFormat="false" ht="15" hidden="false" customHeight="false" outlineLevel="0" collapsed="false">
      <c r="A26831" s="0" t="n">
        <f aca="false">_xlfn.FORECAST.ETS.STAT({52.5;40.9;42.48;43;48;53.5;42.95;44.11;44;50.5},{1;2;3;4;5;6;7;8;9;10},{2},5,,5)</f>
        <v>0</v>
      </c>
      <c r="B26831" s="0" t="s">
        <v>26651</v>
      </c>
    </row>
    <row r="26832" customFormat="false" ht="15" hidden="false" customHeight="false" outlineLevel="0" collapsed="false">
      <c r="A26832" s="0" t="n">
        <f aca="false">_xlfn.FORECAST.ETS.SEASONALITY({52.5;40.9;42.48;43;48;53.5;42.95;44.11;44;50.5},{1;2;3;4;5;6;7;8;9;10},1,1)</f>
        <v>5</v>
      </c>
      <c r="B26832" s="0" t="s">
        <v>26652</v>
      </c>
    </row>
    <row r="26833" customFormat="false" ht="15" hidden="false" customHeight="false" outlineLevel="0" collapsed="false">
      <c r="A26833" s="0" t="n">
        <f aca="false">_xlfn.FORECAST.ETS({33,35,35},{24.35;24.3;24;24.35;24.3;24.3;24.35;24.35;24.35;24.3;24.3;24.3;24.3;24.35},{25;17;23;27;21;15;13;19;5;29;3;9;11;7},5,,4)</f>
        <v>24.3153466786334</v>
      </c>
      <c r="B26833" s="0" t="s">
        <v>26653</v>
      </c>
    </row>
    <row r="26834" customFormat="false" ht="15" hidden="false" customHeight="false" outlineLevel="0" collapsed="false">
      <c r="A26834" s="0" t="n">
        <f aca="false">_xlfn.FORECAST.ETS.STAT({24.35;24.3;24;24.35;24.3;24.3;24.35;24.35;24.35;24.3;24.3;24.3;24.3;24.35},{25;17;23;27;21;15;13;19;5;29;3;9;11;7},{8;7},5,,4)</f>
        <v>2</v>
      </c>
      <c r="B26834" s="0" t="s">
        <v>26654</v>
      </c>
    </row>
    <row r="26835" customFormat="false" ht="15" hidden="false" customHeight="false" outlineLevel="0" collapsed="false">
      <c r="A26835" s="0" t="n">
        <f aca="false">_xlfn.FORECAST.ETS.SEASONALITY({24.35;24.3;24;24.35;24.3;24.3;24.35;24.35;24.35;24.3;24.3;24.3;24.3;24.35},{25;17;23;27;21;15;13;19;5;29;3;9;11;7},0,2)</f>
        <v>3</v>
      </c>
      <c r="B26835" s="0" t="s">
        <v>26655</v>
      </c>
    </row>
    <row r="26836" customFormat="false" ht="15" hidden="false" customHeight="false" outlineLevel="0" collapsed="false">
      <c r="A26836" s="0" t="n">
        <f aca="false">_xlfn.ORG.LIBREOFFICE.FORECAST.ETS.PI.MULT({31;33;35},{24.35;24.3;24;24.35;24.3;24.3;24.35;24.35;24.35;24.3;24.3;24.3;24.3;24.35},{25;17;23;27;21;15;13;19;5;29;3;9;11;7},,0,0)</f>
        <v>0.176145301946757</v>
      </c>
      <c r="B26836" s="0" t="s">
        <v>26656</v>
      </c>
    </row>
    <row r="26837" customFormat="false" ht="15" hidden="false" customHeight="false" outlineLevel="0" collapsed="false">
      <c r="A26837" s="0" t="n">
        <f aca="false">_xlfn.FORECAST.ETS({8},{44.8;53.9;46.4;55.28;43.02;53.93},{1;2;3;4;5;6},2,0)</f>
        <v>55.3785077055544</v>
      </c>
      <c r="B26837" s="0" t="s">
        <v>26657</v>
      </c>
    </row>
    <row r="26838" customFormat="false" ht="15" hidden="false" customHeight="false" outlineLevel="0" collapsed="false">
      <c r="A26838" s="0" t="n">
        <f aca="false">_xlfn.ORG.LIBREOFFICE.FORECAST.ETS.STAT.MULT({44.8;53.9;46.4;55.28;43.02;53.93},{1;2;3;4;5;6},{8;7;2;3;5;9;6;4;1},2,0)</f>
        <v>1</v>
      </c>
      <c r="B26838" s="0" t="s">
        <v>26658</v>
      </c>
    </row>
    <row r="26839" customFormat="false" ht="15" hidden="false" customHeight="false" outlineLevel="0" collapsed="false">
      <c r="A26839" s="0" t="n">
        <f aca="false">_xlfn.FORECAST.ETS.SEASONALITY({44.8;53.9;46.4;55.28;43.02;53.93},{1;2;3;4;5;6},0,4)</f>
        <v>2</v>
      </c>
      <c r="B26839" s="0" t="s">
        <v>26659</v>
      </c>
    </row>
    <row r="26840" customFormat="false" ht="15" hidden="false" customHeight="false" outlineLevel="0" collapsed="false">
      <c r="A26840" s="0" t="e">
        <f aca="false">_xlfn.FORECAST.ETS({8,9},{26.61;31.16;37.82;41.81;48.8;53},{1;2;3;4;5;6},4)</f>
        <v>#VALUE!</v>
      </c>
      <c r="B26840" s="0" t="s">
        <v>26660</v>
      </c>
    </row>
    <row r="26841" customFormat="false" ht="15" hidden="false" customHeight="false" outlineLevel="0" collapsed="false">
      <c r="A26841" s="0" t="e">
        <f aca="false">_xlfn.FORECAST.ETS.STAT({26.61;31.16;37.82;41.81;48.8;53},{1;2;3;4;5;6},{5},4)</f>
        <v>#VALUE!</v>
      </c>
      <c r="B26841" s="0" t="s">
        <v>26661</v>
      </c>
    </row>
    <row r="26842" customFormat="false" ht="15" hidden="false" customHeight="false" outlineLevel="0" collapsed="false">
      <c r="A26842" s="0" t="n">
        <f aca="false">_xlfn.FORECAST.ETS.SEASONALITY({26.61;31.16;37.82;41.81;48.8;53},{1;2;3;4;5;6},1,2)</f>
        <v>2</v>
      </c>
      <c r="B26842" s="0" t="s">
        <v>26662</v>
      </c>
    </row>
    <row r="26843" customFormat="false" ht="15" hidden="false" customHeight="false" outlineLevel="0" collapsed="false">
      <c r="A26843" s="0" t="n">
        <f aca="false">_xlfn.FORECAST.ETS(11,{28;30.76;29.8;30;31.68;32.1;32.12;31;30.8;31.11;30.8;33;32.8;32.8},{1;2;3;4;5;7;8;9;10;11;12;13;14;15},5,1,6)</f>
        <v>31.11</v>
      </c>
      <c r="B26843" s="0" t="s">
        <v>26663</v>
      </c>
    </row>
    <row r="26844" customFormat="false" ht="15" hidden="false" customHeight="false" outlineLevel="0" collapsed="false">
      <c r="A26844" s="0" t="n">
        <f aca="false">_xlfn.ORG.LIBREOFFICE.FORECAST.ETS.STAT.MULT({28;30.76;29.8;30;31.68;32.1;32.12;31;30.8;31.11;30.8;33;32.8;32.8},{1;2;3;4;5;7;8;9;10;11;12;13;14;15},{5;2;7;6;8;1;4;9;3},5,1,6)</f>
        <v>0.0279282603681151</v>
      </c>
      <c r="B26844" s="0" t="s">
        <v>26664</v>
      </c>
    </row>
    <row r="26845" customFormat="false" ht="15" hidden="false" customHeight="false" outlineLevel="0" collapsed="false">
      <c r="A26845" s="0" t="n">
        <f aca="false">_xlfn.FORECAST.ETS.SEASONALITY({28;30.76;29.8;30;31.68;32.1;32.12;31;30.8;31.11;30.8;33;32.8;32.8},{1;2;3;4;5;7;8;9;10;11;12;13;14;15})</f>
        <v>7</v>
      </c>
      <c r="B26845" s="0" t="s">
        <v>26665</v>
      </c>
    </row>
    <row r="26846" customFormat="false" ht="15" hidden="false" customHeight="false" outlineLevel="0" collapsed="false">
      <c r="A26846" s="0" t="n">
        <f aca="false">_xlfn.ORG.LIBREOFFICE.FORECAST.ETS.MULT({8.5;8.5;8.25},{22.82;40.7;36.79;30.6;28.63;25;28.77;46.28;54;42.3;35;33;27.07},{1;1.5;2.5;3;3.5;4;4.5;5;5.5;6;6.5;7;7.5},1,,6)</f>
        <v>57.6780319511019</v>
      </c>
      <c r="B26846" s="0" t="s">
        <v>26666</v>
      </c>
    </row>
    <row r="26847" customFormat="false" ht="15" hidden="false" customHeight="false" outlineLevel="0" collapsed="false">
      <c r="A26847" s="0" t="n">
        <f aca="false">_xlfn.FORECAST.ETS.STAT({22.82;40.7;36.79;30.6;28.63;25;28.77;46.28;54;42.3;35;33;27.07},{1;1.5;2.5;3;3.5;4;4.5;5;5.5;6;6.5;7;7.5},{2;3;4;8;6;5;9;7;1},1,,6)</f>
        <v>0.9990234375</v>
      </c>
      <c r="B26847" s="0" t="s">
        <v>26667</v>
      </c>
    </row>
    <row r="26848" customFormat="false" ht="15" hidden="false" customHeight="false" outlineLevel="0" collapsed="false">
      <c r="A26848" s="0" t="n">
        <f aca="false">_xlfn.FORECAST.ETS.SEASONALITY({22.82;40.7;36.79;30.6;28.63;25;28.77;46.28;54;42.3;35;33;27.07},{1;1.5;2.5;3;3.5;4;4.5;5;5.5;6;6.5;7;7.5})</f>
        <v>7</v>
      </c>
      <c r="B26848" s="0" t="s">
        <v>26668</v>
      </c>
    </row>
    <row r="26849" customFormat="false" ht="15" hidden="false" customHeight="false" outlineLevel="0" collapsed="false">
      <c r="A26849" s="0" t="n">
        <f aca="false">_xlfn.ORG.LIBREOFFICE.FORECAST.ETS.MULT({9.5},{54.6;76.39;87.7;36.8;78.7;40.6;51;34;7},{1;2;3;4;5;6;7;8;9},0)</f>
        <v>20.4899158624117</v>
      </c>
      <c r="B26849" s="0" t="s">
        <v>26669</v>
      </c>
    </row>
    <row r="26850" customFormat="false" ht="15" hidden="false" customHeight="false" outlineLevel="0" collapsed="false">
      <c r="A26850" s="0" t="n">
        <f aca="false">_xlfn.FORECAST.ETS.STAT({54.6;76.39;87.7;36.8;78.7;40.6;51;34;7},{1;2;3;4;5;6;7;8;9},{5},0)</f>
        <v>0.464771685944128</v>
      </c>
      <c r="B26850" s="0" t="s">
        <v>26670</v>
      </c>
    </row>
    <row r="26851" customFormat="false" ht="15" hidden="false" customHeight="false" outlineLevel="0" collapsed="false">
      <c r="A26851" s="0" t="n">
        <f aca="false">_xlfn.FORECAST.ETS.SEASONALITY({54.6;76.39;87.7;36.8;78.7;40.6;51;34;7},{1;2;3;4;5;6;7;8;9},1,1)</f>
        <v>2</v>
      </c>
      <c r="B26851" s="0" t="s">
        <v>26671</v>
      </c>
    </row>
    <row r="26852" customFormat="false" ht="15" hidden="false" customHeight="false" outlineLevel="0" collapsed="false">
      <c r="A26852" s="0" t="n">
        <f aca="false">_xlfn.FORECAST.ETS.CONFINT(11,{54.6;76.39;87.7;36.8;78.7;40.6;51;34;7},{1;2;3;4;5;6;7;8;9},,0)</f>
        <v>74.8200074050136</v>
      </c>
      <c r="B26852" s="0" t="s">
        <v>26672</v>
      </c>
    </row>
    <row r="26853" customFormat="false" ht="15" hidden="false" customHeight="false" outlineLevel="0" collapsed="false">
      <c r="A26853" s="0" t="n">
        <f aca="false">_xlfn.FORECAST.ETS({5.25},{25;28;26;22.67;27;25;21.8;25;24},{1;1.5;2;2.5;3;3.5;4;4.5;5},3,1,4)</f>
        <v>22.0195561218262</v>
      </c>
      <c r="B26853" s="0" t="s">
        <v>26673</v>
      </c>
    </row>
    <row r="26854" customFormat="false" ht="15" hidden="false" customHeight="false" outlineLevel="0" collapsed="false">
      <c r="A26854" s="0" t="n">
        <f aca="false">_xlfn.ORG.LIBREOFFICE.FORECAST.ETS.STAT.MULT({25;28;26;22.67;27;25;21.8;25;24},{1;1.5;2;2.5;3;3.5;4;4.5;5},{5;6},3,1,4)</f>
        <v>0.0149203125399012</v>
      </c>
      <c r="B26854" s="0" t="s">
        <v>26674</v>
      </c>
    </row>
    <row r="26855" customFormat="false" ht="15" hidden="false" customHeight="false" outlineLevel="0" collapsed="false">
      <c r="A26855" s="0" t="n">
        <f aca="false">_xlfn.FORECAST.ETS.SEASONALITY({25;28;26;22.67;27;25;21.8;25;24},{1;1.5;2;2.5;3;3.5;4;4.5;5})</f>
        <v>3</v>
      </c>
      <c r="B26855" s="0" t="s">
        <v>26675</v>
      </c>
    </row>
    <row r="26856" customFormat="false" ht="15" hidden="false" customHeight="false" outlineLevel="0" collapsed="false">
      <c r="A26856" s="0" t="n">
        <f aca="false">_xlfn.ORG.LIBREOFFICE.FORECAST.ETS.MULT({21;19.5},{10;13.49;18.6;21.9;27;35;38.73;43.45;47;51.7;55;61;65;67;72;77;81;84.93},{1;2;3;4;5;7;8;9;10;11;12;13;14;15;16;17;18;19},2)</f>
        <v>93.4389525923282</v>
      </c>
      <c r="B26856" s="0" t="s">
        <v>26676</v>
      </c>
    </row>
    <row r="26857" customFormat="false" ht="15" hidden="false" customHeight="false" outlineLevel="0" collapsed="false">
      <c r="A26857" s="0" t="n">
        <f aca="false">_xlfn.FORECAST.ETS.STAT({10;13.49;18.6;21.9;27;35;38.73;43.45;47;51.7;55;61;65;67;72;77;81;84.93},{1;2;3;4;5;7;8;9;10;11;12;13;14;15;16;17;18;19},{8;6;4;3;2;9;5;1;7},2)</f>
        <v>1</v>
      </c>
      <c r="B26857" s="0" t="s">
        <v>26677</v>
      </c>
    </row>
    <row r="26858" customFormat="false" ht="15" hidden="false" customHeight="false" outlineLevel="0" collapsed="false">
      <c r="A26858" s="0" t="n">
        <f aca="false">_xlfn.FORECAST.ETS.SEASONALITY({10;13.49;18.6;21.9;27;35;38.73;43.45;47;51.7;55;61;65;67;72;77;81;84.93},{1;2;3;4;5;7;8;9;10;11;12;13;14;15;16;17;18;19},1)</f>
        <v>7</v>
      </c>
      <c r="B26858" s="0" t="s">
        <v>26678</v>
      </c>
    </row>
    <row r="26859" customFormat="false" ht="15" hidden="false" customHeight="false" outlineLevel="0" collapsed="false">
      <c r="A26859" s="0" t="n">
        <f aca="false">_xlfn.ORG.LIBREOFFICE.FORECAST.ETS.MULT({44895,44910},{95.8;26;25.64;100;85.1;36.56;22.9;15.33;68},{44607;44635;44696;44727;44757;44788;44819;44849;44880},1,0,3)</f>
        <v>52.4078879985778</v>
      </c>
      <c r="B26859" s="0" t="s">
        <v>26679</v>
      </c>
    </row>
    <row r="26860" customFormat="false" ht="15" hidden="false" customHeight="false" outlineLevel="0" collapsed="false">
      <c r="A26860" s="0" t="n">
        <f aca="false">_xlfn.ORG.LIBREOFFICE.FORECAST.ETS.STAT.MULT({95.8;26;25.64;100;85.1;36.56;22.9;15.33;68},{44607;44635;44696;44727;44757;44788;44819;44849;44880},{8;6},1,0,3)</f>
        <v>1</v>
      </c>
      <c r="B26860" s="0" t="s">
        <v>26680</v>
      </c>
    </row>
    <row r="26861" customFormat="false" ht="15" hidden="false" customHeight="false" outlineLevel="0" collapsed="false">
      <c r="A26861" s="0" t="n">
        <f aca="false">_xlfn.FORECAST.ETS.SEASONALITY({95.8;26;25.64;100;85.1;36.56;22.9;15.33;68},{44607;44635;44696;44727;44757;44788;44819;44849;44880},0,4)</f>
        <v>2</v>
      </c>
      <c r="B26861" s="0" t="s">
        <v>26681</v>
      </c>
    </row>
    <row r="26862" customFormat="false" ht="15" hidden="false" customHeight="false" outlineLevel="0" collapsed="false">
      <c r="A26862" s="0" t="n">
        <f aca="false">_xlfn.ORG.LIBREOFFICE.FORECAST.ETS.MULT({9.5;9;9},{94.1;46.5;80;103;70.6;64;67;40.86;96.53;49.62;53.31;76;105.45;89.9;85;60},{7;1.5;5.5;8;4.5;3.5;4;1;7.5;2;2.5;5;8.5;6.5;6;3},1,0,7)</f>
        <v>116.008803149898</v>
      </c>
      <c r="B26862" s="0" t="s">
        <v>26682</v>
      </c>
    </row>
    <row r="26863" customFormat="false" ht="15" hidden="false" customHeight="false" outlineLevel="0" collapsed="false">
      <c r="A26863" s="0" t="n">
        <f aca="false">_xlfn.ORG.LIBREOFFICE.FORECAST.ETS.STAT.MULT({94.1;46.5;80;103;70.6;64;67;40.86;96.53;49.62;53.31;76;105.45;89.9;85;60},{7;1.5;5.5;8;4.5;3.5;4;1;7.5;2;2.5;5;8.5;6.5;6;3},{6;5;3;9;8;1;7;4;2},1,0,7)</f>
        <v>0.675832355473772</v>
      </c>
      <c r="B26863" s="0" t="s">
        <v>26683</v>
      </c>
    </row>
    <row r="26864" customFormat="false" ht="15" hidden="false" customHeight="false" outlineLevel="0" collapsed="false">
      <c r="A26864" s="0" t="n">
        <f aca="false">_xlfn.FORECAST.ETS.SEASONALITY({94.1;46.5;80;103;70.6;64;67;40.86;96.53;49.62;53.31;76;105.45;89.9;85;60},{7;1.5;5.5;8;4.5;3.5;4;1;7.5;2;2.5;5;8.5;6.5;6;3})</f>
        <v>6</v>
      </c>
      <c r="B26864" s="0" t="s">
        <v>26684</v>
      </c>
    </row>
    <row r="26865" customFormat="false" ht="15" hidden="false" customHeight="false" outlineLevel="0" collapsed="false">
      <c r="A26865" s="0" t="n">
        <f aca="false">_xlfn.FORECAST.ETS(44958,{57.4;54.14;61.6;5.5;51;14;37.46;16;41;7.38;66;45.9;7.4;68.38;93.03;79.3;14.3;78},{44713;44743;44774;44805;44835;44866;44896;44958;44986;45017;45047;45078;45108;45139;45170;45200;45231;45261},5,0,2)</f>
        <v>41</v>
      </c>
      <c r="B26865" s="0" t="s">
        <v>26685</v>
      </c>
    </row>
    <row r="26866" customFormat="false" ht="15" hidden="false" customHeight="false" outlineLevel="0" collapsed="false">
      <c r="A26866" s="0" t="n">
        <f aca="false">_xlfn.ORG.LIBREOFFICE.FORECAST.ETS.STAT.MULT({57.4;54.14;61.6;5.5;51;14;37.46;16;41;7.38;66;45.9;7.4;68.38;93.03;79.3;14.3;78},{44713;44743;44774;44805;44835;44866;44896;44958;44986;45017;45047;45078;45108;45139;45170;45200;45231;45261},{2},5,0,2)</f>
        <v>0</v>
      </c>
      <c r="B26866" s="0" t="s">
        <v>26686</v>
      </c>
    </row>
    <row r="26867" customFormat="false" ht="15" hidden="false" customHeight="false" outlineLevel="0" collapsed="false">
      <c r="A26867" s="0" t="n">
        <f aca="false">_xlfn.FORECAST.ETS.SEASONALITY({57.4;54.14;61.6;5.5;51;14;37.46;16;41;7.38;66;45.9;7.4;68.38;93.03;79.3;14.3;78},{44713;44743;44774;44805;44835;44866;44896;44958;44986;45017;45047;45078;45108;45139;45170;45200;45231;45261})</f>
        <v>7</v>
      </c>
      <c r="B26867" s="0" t="s">
        <v>26687</v>
      </c>
    </row>
    <row r="26868" customFormat="false" ht="15" hidden="false" customHeight="false" outlineLevel="0" collapsed="false">
      <c r="A26868" s="0" t="n">
        <f aca="false">_xlfn.ORG.LIBREOFFICE.FORECAST.ETS.MULT({12.5;11;11},{14.4;29;29;16.99;36;21.81;40;42;20.27;48.1;28;51;51.05;25;61;34.5;61.8;62.7;33.4;73},{1;1.5;2;2.5;3;3.5;4;4.5;5;5.5;6;6.5;7;7.5;8;8.5;9;9.5;10;10.5},1,1,5)</f>
        <v>38.3764262973868</v>
      </c>
      <c r="B26868" s="0" t="s">
        <v>26688</v>
      </c>
    </row>
    <row r="26869" customFormat="false" ht="15" hidden="false" customHeight="false" outlineLevel="0" collapsed="false">
      <c r="A26869" s="0" t="n">
        <f aca="false">_xlfn.ORG.LIBREOFFICE.FORECAST.ETS.STAT.MULT({14.4;29;29;16.99;36;21.81;40;42;20.27;48.1;28;51;51.05;25;61;34.5;61.8;62.7;33.4;73},{1;1.5;2;2.5;3;3.5;4;4.5;5;5.5;6;6.5;7;7.5;8;8.5;9;9.5;10;10.5},{4;9},1,1,5)</f>
        <v>0.0518396355862629</v>
      </c>
      <c r="B26869" s="0" t="s">
        <v>26689</v>
      </c>
    </row>
    <row r="26870" customFormat="false" ht="15" hidden="false" customHeight="false" outlineLevel="0" collapsed="false">
      <c r="A26870" s="0" t="n">
        <f aca="false">_xlfn.FORECAST.ETS.SEASONALITY({14.4;29;29;16.99;36;21.81;40;42;20.27;48.1;28;51;51.05;25;61;34.5;61.8;62.7;33.4;73},{1;1.5;2;2.5;3;3.5;4;4.5;5;5.5;6;6.5;7;7.5;8;8.5;9;9.5;10;10.5},0,6)</f>
        <v>5</v>
      </c>
      <c r="B26870" s="0" t="s">
        <v>26690</v>
      </c>
    </row>
    <row r="26871" customFormat="false" ht="15" hidden="false" customHeight="false" outlineLevel="0" collapsed="false">
      <c r="A26871" s="0" t="n">
        <f aca="false">_xlfn.ORG.LIBREOFFICE.FORECAST.ETS.MULT({10;8.75},{23.79;19.76;20.5;17.07;20;15;13;16.3;13.04;8.26;10.9;8;6;8.7},{1;1.5;2.5;3;3.5;4;4.5;5;5.5;6;6.5;7;7.5;8},3,1,5)</f>
        <v>2.49017552475625</v>
      </c>
      <c r="B26871" s="0" t="s">
        <v>26691</v>
      </c>
    </row>
    <row r="26872" customFormat="false" ht="15" hidden="false" customHeight="false" outlineLevel="0" collapsed="false">
      <c r="A26872" s="0" t="n">
        <f aca="false">_xlfn.ORG.LIBREOFFICE.FORECAST.ETS.STAT.MULT({23.79;19.76;20.5;17.07;20;15;13;16.3;13.04;8.26;10.9;8;6;8.7},{1;1.5;2.5;3;3.5;4;4.5;5;5.5;6;6.5;7;7.5;8},{9;2;8;4;6;5;7;3;1},3,1,5)</f>
        <v>3</v>
      </c>
      <c r="B26872" s="0" t="s">
        <v>26692</v>
      </c>
    </row>
    <row r="26873" customFormat="false" ht="15" hidden="false" customHeight="false" outlineLevel="0" collapsed="false">
      <c r="A26873" s="0" t="n">
        <f aca="false">_xlfn.FORECAST.ETS.SEASONALITY({23.79;19.76;20.5;17.07;20;15;13;16.3;13.04;8.26;10.9;8;6;8.7},{1;1.5;2.5;3;3.5;4;4.5;5;5.5;6;6.5;7;7.5;8})</f>
        <v>6</v>
      </c>
      <c r="B26873" s="0" t="s">
        <v>26693</v>
      </c>
    </row>
    <row r="26874" customFormat="false" ht="15" hidden="false" customHeight="false" outlineLevel="0" collapsed="false">
      <c r="A26874" s="0" t="n">
        <f aca="false">_xlfn.FORECAST.ETS.CONFINT({8.5;9;9.5},{23.79;19.76;20.5;17.07;20;15;13;16.3;13.04;8.26;10.9;8;6;8.7},{1;1.5;2.5;3;3.5;4;4.5;5;5.5;6;6.5;7;7.5;8},0.95,0,1,4)</f>
        <v>4.12974875829359</v>
      </c>
      <c r="B26874" s="0" t="s">
        <v>26694</v>
      </c>
    </row>
    <row r="26875" customFormat="false" ht="15" hidden="false" customHeight="false" outlineLevel="0" collapsed="false">
      <c r="A26875" s="0" t="e">
        <f aca="false">_xlfn.FORECAST.ETS({45167,45167,45167},{17;31.8;31.31;23;26;24;31;31.5;26.09;24.42;25.85;17.14},{45046;44895;44773;44804;44957;45016;44834;44742;45077;44865;44926;44985})</f>
        <v>#VALUE!</v>
      </c>
      <c r="B26875" s="0" t="s">
        <v>26695</v>
      </c>
    </row>
    <row r="26876" customFormat="false" ht="15" hidden="false" customHeight="false" outlineLevel="0" collapsed="false">
      <c r="A26876" s="0" t="e">
        <f aca="false">_xlfn.FORECAST.ETS.STAT({17;31.8;31.31;23;26;24;31;31.5;26.09;24.42;25.85;17.14},{45046;44895;44773;44804;44957;45016;44834;44742;45077;44865;44926;44985},{7})</f>
        <v>#VALUE!</v>
      </c>
      <c r="B26876" s="0" t="s">
        <v>26696</v>
      </c>
    </row>
    <row r="26877" customFormat="false" ht="15" hidden="false" customHeight="false" outlineLevel="0" collapsed="false">
      <c r="A26877" s="0" t="e">
        <f aca="false">_xlfn.FORECAST.ETS.SEASONALITY({17;31.8;31.31;23;26;24;31;31.5;26.09;24.42;25.85;17.14},{45046;44895;44773;44804;44957;45016;44834;44742;45077;44865;44926;44985})</f>
        <v>#VALUE!</v>
      </c>
      <c r="B26877" s="0" t="s">
        <v>26697</v>
      </c>
    </row>
    <row r="26878" customFormat="false" ht="15" hidden="false" customHeight="false" outlineLevel="0" collapsed="false">
      <c r="A26878" s="0" t="n">
        <f aca="false">_xlfn.ORG.LIBREOFFICE.FORECAST.ETS.MULT(45011,{49;40.5;47;55;50;57;47;53.7;59.5;55.27},{45000;45001;45002;45003;45004;45005;45006;45007;45008;45009},0,1)</f>
        <v>56.6633333333333</v>
      </c>
      <c r="B26878" s="0" t="s">
        <v>26698</v>
      </c>
    </row>
    <row r="26879" customFormat="false" ht="15" hidden="false" customHeight="false" outlineLevel="0" collapsed="false">
      <c r="A26879" s="0" t="n">
        <f aca="false">_xlfn.FORECAST.ETS.STAT({49;40.5;47;55;50;57;47;53.7;59.5;55.27},{45000;45001;45002;45003;45004;45005;45006;45007;45008;45009},{6},0,1)</f>
        <v>3.78740740740741</v>
      </c>
      <c r="B26879" s="0" t="s">
        <v>26699</v>
      </c>
    </row>
    <row r="26880" customFormat="false" ht="15" hidden="false" customHeight="false" outlineLevel="0" collapsed="false">
      <c r="A26880" s="0" t="n">
        <f aca="false">_xlfn.FORECAST.ETS.SEASONALITY({49;40.5;47;55;50;57;47;53.7;59.5;55.27},{45000;45001;45002;45003;45004;45005;45006;45007;45008;45009},1)</f>
        <v>5</v>
      </c>
      <c r="B26880" s="0" t="s">
        <v>26700</v>
      </c>
    </row>
    <row r="26881" customFormat="false" ht="15" hidden="false" customHeight="false" outlineLevel="0" collapsed="false">
      <c r="A26881" s="0" t="n">
        <f aca="false">_xlfn.ORG.LIBREOFFICE.FORECAST.ETS.MULT(218,{20.3;26;29.2;34.5;39;42.4;49;52.07;58;61;65.31;68.77;74;78.5;81.67;85.62;92.1;38;95.9;100;105;109.06},{3;13;23;33;43;53;63;73;83;93;103;113;123;133;143;153;163;163;173;183;193;203})</f>
        <v>115.070284076932</v>
      </c>
      <c r="B26881" s="0" t="s">
        <v>26701</v>
      </c>
    </row>
    <row r="26882" customFormat="false" ht="15" hidden="false" customHeight="false" outlineLevel="0" collapsed="false">
      <c r="A26882" s="0" t="n">
        <f aca="false">_xlfn.ORG.LIBREOFFICE.FORECAST.ETS.STAT.MULT({20.3;26;29.2;34.5;39;42.4;49;52.07;58;61;65.31;68.77;74;78.5;81.67;85.62;92.1;38;95.9;100;105;109.06},{3;13;23;33;43;53;63;73;83;93;103;113;123;133;143;153;163;163;173;183;193;203},{1;8;9;3;2;7;5;4;6})</f>
        <v>0.25</v>
      </c>
      <c r="B26882" s="0" t="s">
        <v>26702</v>
      </c>
    </row>
    <row r="26883" customFormat="false" ht="15" hidden="false" customHeight="false" outlineLevel="0" collapsed="false">
      <c r="A26883" s="0" t="n">
        <f aca="false">_xlfn.FORECAST.ETS.SEASONALITY({20.3;26;29.2;34.5;39;42.4;49;52.07;58;61;65.31;68.77;74;78.5;81.67;85.62;92.1;38;95.9;100;105;109.06},{3;13;23;33;43;53;63;73;83;93;103;113;123;133;143;153;163;163;173;183;193;203},1)</f>
        <v>7</v>
      </c>
      <c r="B26883" s="0" t="s">
        <v>26703</v>
      </c>
    </row>
    <row r="26884" customFormat="false" ht="15" hidden="false" customHeight="false" outlineLevel="0" collapsed="false">
      <c r="A26884" s="0" t="e">
        <f aca="false">_xlfn.ORG.LIBREOFFICE.FORECAST.ETS.MULT({45502;45502},{55;41;46;42.8;60.7;52.9;84;59.7;66.12;59;87;73;110.6;78.04;86;76.5;108;91},{44865;44895;44926;44957;44985;45016;45046;45077;45107;45138;45169;45199;45230;45260;45291;45322;45351;45382},0,0)</f>
        <v>#VALUE!</v>
      </c>
      <c r="B26884" s="0" t="s">
        <v>26704</v>
      </c>
    </row>
    <row r="26885" customFormat="false" ht="15" hidden="false" customHeight="false" outlineLevel="0" collapsed="false">
      <c r="A26885" s="0" t="e">
        <f aca="false">_xlfn.ORG.LIBREOFFICE.FORECAST.ETS.STAT.MULT({55;41;46;42.8;60.7;52.9;84;59.7;66.12;59;87;73;110.6;78.04;86;76.5;108;91},{44865;44895;44926;44957;44985;45016;45046;45077;45107;45138;45169;45199;45230;45260;45291;45322;45351;45382},{1},0,0)</f>
        <v>#VALUE!</v>
      </c>
      <c r="B26885" s="0" t="s">
        <v>26705</v>
      </c>
    </row>
    <row r="26886" customFormat="false" ht="15" hidden="false" customHeight="false" outlineLevel="0" collapsed="false">
      <c r="A26886" s="0" t="e">
        <f aca="false">_xlfn.FORECAST.ETS.SEASONALITY({55;41;46;42.8;60.7;52.9;84;59.7;66.12;59;87;73;110.6;78.04;86;76.5;108;91},{44865;44895;44926;44957;44985;45016;45046;45077;45107;45138;45169;45199;45230;45260;45291;45322;45351;45382},1,4)</f>
        <v>#VALUE!</v>
      </c>
      <c r="B26886" s="0" t="s">
        <v>26706</v>
      </c>
    </row>
    <row r="26887" customFormat="false" ht="15" hidden="false" customHeight="false" outlineLevel="0" collapsed="false">
      <c r="A26887" s="0" t="n">
        <f aca="false">_xlfn.ORG.LIBREOFFICE.FORECAST.ETS.MULT(13.5,{39.27;40;41.73;40.83},{24;3;10;17})</f>
        <v>40.8702604166667</v>
      </c>
      <c r="B26887" s="0" t="s">
        <v>26707</v>
      </c>
    </row>
    <row r="26888" customFormat="false" ht="15" hidden="false" customHeight="false" outlineLevel="0" collapsed="false">
      <c r="A26888" s="0" t="n">
        <f aca="false">_xlfn.ORG.LIBREOFFICE.FORECAST.ETS.STAT.MULT({39.27;40;41.73;40.83},{24;3;10;17},{6;9;4;5;7;3;2;8;1})</f>
        <v>1.16549011230469</v>
      </c>
      <c r="B26888" s="0" t="s">
        <v>26708</v>
      </c>
    </row>
    <row r="26889" customFormat="false" ht="15" hidden="false" customHeight="false" outlineLevel="0" collapsed="false">
      <c r="A26889" s="0" t="n">
        <f aca="false">_xlfn.FORECAST.ETS.SEASONALITY({39.27;40;41.73;40.83},{24;3;10;17})</f>
        <v>1</v>
      </c>
      <c r="B26889" s="0" t="s">
        <v>26709</v>
      </c>
    </row>
    <row r="26890" customFormat="false" ht="15" hidden="false" customHeight="false" outlineLevel="0" collapsed="false">
      <c r="A26890" s="0" t="n">
        <f aca="false">_xlfn.FORECAST.ETS.CONFINT({31;38;45},{39.27;40;41.73;40.83},{24;3;10;17},0,0,1,2)</f>
        <v>0</v>
      </c>
      <c r="B26890" s="0" t="s">
        <v>26710</v>
      </c>
    </row>
    <row r="26891" customFormat="false" ht="15" hidden="false" customHeight="false" outlineLevel="0" collapsed="false">
      <c r="A26891" s="0" t="n">
        <f aca="false">_xlfn.ORG.LIBREOFFICE.FORECAST.ETS.MULT({24.5;25.5},{42.8;46.7;52;55.2;58;61.51;65;67.8;71.09;75.12;79.46;82;89;93.8;97;100.14;104.74;108.32;112.5;115;119;121.6;125.8},{1;2;3;4;5;6;7;8;9;10;11;12;14;15;16;17;18;19;20;21;22;23;24})</f>
        <v>128.340619016496</v>
      </c>
      <c r="B26891" s="0" t="s">
        <v>26711</v>
      </c>
    </row>
    <row r="26892" customFormat="false" ht="15" hidden="false" customHeight="false" outlineLevel="0" collapsed="false">
      <c r="A26892" s="0" t="n">
        <f aca="false">_xlfn.FORECAST.ETS.STAT({42.8;46.7;52;55.2;58;61.51;65;67.8;71.09;75.12;79.46;82;89;93.8;97;100.14;104.74;108.32;112.5;115;119;121.6;125.8},{1;2;3;4;5;6;7;8;9;10;11;12;14;15;16;17;18;19;20;21;22;23;24},{8})</f>
        <v>1</v>
      </c>
      <c r="B26892" s="0" t="s">
        <v>26712</v>
      </c>
    </row>
    <row r="26893" customFormat="false" ht="15" hidden="false" customHeight="false" outlineLevel="0" collapsed="false">
      <c r="A26893" s="0" t="n">
        <f aca="false">_xlfn.FORECAST.ETS.SEASONALITY({42.8;46.7;52;55.2;58;61.51;65;67.8;71.09;75.12;79.46;82;89;93.8;97;100.14;104.74;108.32;112.5;115;119;121.6;125.8},{1;2;3;4;5;6;7;8;9;10;11;12;14;15;16;17;18;19;20;21;22;23;24})</f>
        <v>9</v>
      </c>
      <c r="B26893" s="0" t="s">
        <v>26713</v>
      </c>
    </row>
    <row r="26894" customFormat="false" ht="15" hidden="false" customHeight="false" outlineLevel="0" collapsed="false">
      <c r="A26894" s="0" t="n">
        <f aca="false">_xlfn.ORG.LIBREOFFICE.FORECAST.ETS.MULT({4.5},{21;35.3;20.05;36.36},{1;1.5;2;2.5})</f>
        <v>35.501942620845</v>
      </c>
      <c r="B26894" s="0" t="s">
        <v>26714</v>
      </c>
    </row>
    <row r="26895" customFormat="false" ht="15" hidden="false" customHeight="false" outlineLevel="0" collapsed="false">
      <c r="A26895" s="0" t="n">
        <f aca="false">_xlfn.FORECAST.ETS.STAT({21;35.3;20.05;36.36},{1;1.5;2;2.5},{1})</f>
        <v>0</v>
      </c>
      <c r="B26895" s="0" t="s">
        <v>26715</v>
      </c>
    </row>
    <row r="26896" customFormat="false" ht="15" hidden="false" customHeight="false" outlineLevel="0" collapsed="false">
      <c r="A26896" s="0" t="n">
        <f aca="false">_xlfn.FORECAST.ETS.SEASONALITY({21;35.3;20.05;36.36},{1;1.5;2;2.5})</f>
        <v>2</v>
      </c>
      <c r="B26896" s="0" t="s">
        <v>26716</v>
      </c>
    </row>
    <row r="26897" customFormat="false" ht="15" hidden="false" customHeight="false" outlineLevel="0" collapsed="false">
      <c r="A26897" s="0" t="n">
        <f aca="false">_xlfn.FORECAST.ETS.CONFINT({3;3.5;4},{21;35.3;20.05;36.36},{1;1.5;2;2.5},0.95,0)</f>
        <v>16.3782523096837</v>
      </c>
      <c r="B26897" s="0" t="s">
        <v>26717</v>
      </c>
    </row>
    <row r="26898" customFormat="false" ht="15" hidden="false" customHeight="false" outlineLevel="0" collapsed="false">
      <c r="A26898" s="0" t="e">
        <f aca="false">_xlfn.FORECAST.ETS({45137},{88;24.23;33;55;64.21;21.25;75.1;52.66;53.5;23.45;36.2;17;41.5;56.4;20;77.7},{44651;44681;44712;44742;44773;44804;44834;44865;44895;44926;44957;44985;45016;45046;45077;45107},5,0,5)</f>
        <v>#VALUE!</v>
      </c>
      <c r="B26898" s="0" t="s">
        <v>26718</v>
      </c>
    </row>
    <row r="26899" customFormat="false" ht="15" hidden="false" customHeight="false" outlineLevel="0" collapsed="false">
      <c r="A26899" s="0" t="e">
        <f aca="false">_xlfn.FORECAST.ETS.STAT({88;24.23;33;55;64.21;21.25;75.1;52.66;53.5;23.45;36.2;17;41.5;56.4;20;77.7},{44651;44681;44712;44742;44773;44804;44834;44865;44895;44926;44957;44985;45016;45046;45077;45107},{4;2;7;9;3;6;8;1;5},5,0,5)</f>
        <v>#VALUE!</v>
      </c>
      <c r="B26899" s="0" t="s">
        <v>26719</v>
      </c>
    </row>
    <row r="26900" customFormat="false" ht="15" hidden="false" customHeight="false" outlineLevel="0" collapsed="false">
      <c r="A26900" s="0" t="e">
        <f aca="false">_xlfn.FORECAST.ETS.SEASONALITY({88;24.23;33;55;64.21;21.25;75.1;52.66;53.5;23.45;36.2;17;41.5;56.4;20;77.7},{44651;44681;44712;44742;44773;44804;44834;44865;44895;44926;44957;44985;45016;45046;45077;45107},1)</f>
        <v>#VALUE!</v>
      </c>
      <c r="B26900" s="0" t="s">
        <v>26720</v>
      </c>
    </row>
    <row r="26901" customFormat="false" ht="15" hidden="false" customHeight="false" outlineLevel="0" collapsed="false">
      <c r="A26901" s="0" t="n">
        <f aca="false">_xlfn.FORECAST.ETS({22,22},{22.84;20.79;28;16.76;27;22.5;17.3;25.47;28.42;21.2;19.78;25.9;27.9;24.95;19.8;24.15;24;21;19.73;30},{15;7;19;5;17;9;1;8;13;6;2;12;16;20;4;14;11;3;10;18},5)</f>
        <v>30.8077855484264</v>
      </c>
      <c r="B26901" s="0" t="s">
        <v>26721</v>
      </c>
    </row>
    <row r="26902" customFormat="false" ht="15" hidden="false" customHeight="false" outlineLevel="0" collapsed="false">
      <c r="A26902" s="0" t="n">
        <f aca="false">_xlfn.ORG.LIBREOFFICE.FORECAST.ETS.STAT.MULT({22.84;20.79;28;16.76;27;22.5;17.3;25.47;28.42;21.2;19.78;25.9;27.9;24.95;19.8;24.15;24;21;19.73;30},{15;7;19;5;17;9;1;8;13;6;2;12;16;20;4;14;11;3;10;18},{6;4},5)</f>
        <v>0.790311870223992</v>
      </c>
      <c r="B26902" s="0" t="s">
        <v>26722</v>
      </c>
    </row>
    <row r="26903" customFormat="false" ht="15" hidden="false" customHeight="false" outlineLevel="0" collapsed="false">
      <c r="A26903" s="0" t="n">
        <f aca="false">_xlfn.FORECAST.ETS.SEASONALITY({22.84;20.79;28;16.76;27;22.5;17.3;25.47;28.42;21.2;19.78;25.9;27.9;24.95;19.8;24.15;24;21;19.73;30},{15;7;19;5;17;9;1;8;13;6;2;12;16;20;4;14;11;3;10;18})</f>
        <v>10</v>
      </c>
      <c r="B26903" s="0" t="s">
        <v>26723</v>
      </c>
    </row>
    <row r="26904" customFormat="false" ht="15" hidden="false" customHeight="false" outlineLevel="0" collapsed="false">
      <c r="A26904" s="0" t="n">
        <f aca="false">_xlfn.ORG.LIBREOFFICE.FORECAST.ETS.MULT({88,78,83},{50.04;53.1;57.1;62.42;66.12;67.9;73.4;77.3},{3;13;23;33;43;53;63;73},1)</f>
        <v>83.9148416138404</v>
      </c>
      <c r="B26904" s="0" t="s">
        <v>26724</v>
      </c>
    </row>
    <row r="26905" customFormat="false" ht="15" hidden="false" customHeight="false" outlineLevel="0" collapsed="false">
      <c r="A26905" s="0" t="n">
        <f aca="false">_xlfn.FORECAST.ETS.STAT({50.04;53.1;57.1;62.42;66.12;67.9;73.4;77.3},{3;13;23;33;43;53;63;73},{7},1)</f>
        <v>0.731661921768432</v>
      </c>
      <c r="B26905" s="0" t="s">
        <v>26725</v>
      </c>
    </row>
    <row r="26906" customFormat="false" ht="15" hidden="false" customHeight="false" outlineLevel="0" collapsed="false">
      <c r="A26906" s="0" t="n">
        <f aca="false">_xlfn.FORECAST.ETS.SEASONALITY({50.04;53.1;57.1;62.42;66.12;67.9;73.4;77.3},{3;13;23;33;43;53;63;73})</f>
        <v>3</v>
      </c>
      <c r="B26906" s="0" t="s">
        <v>26726</v>
      </c>
    </row>
    <row r="26907" customFormat="false" ht="15" hidden="false" customHeight="false" outlineLevel="0" collapsed="false">
      <c r="A26907" s="0" t="n">
        <f aca="false">_xlfn.FORECAST.ETS.CONFINT(93,{50.04;53.1;57.1;62.42;66.12;67.9;73.4;77.3},{3;13;23;33;43;53;63;73},0.95,0,1,5)</f>
        <v>2.56207817045014</v>
      </c>
      <c r="B26907" s="0" t="s">
        <v>26727</v>
      </c>
    </row>
    <row r="26908" customFormat="false" ht="15" hidden="false" customHeight="false" outlineLevel="0" collapsed="false">
      <c r="A26908" s="0" t="n">
        <f aca="false">_xlfn.FORECAST.ETS({45020.5;45022;45021},{38.08;42;45.6;51.37;54;58;62;66.49;71;77.3;81.4;84.3;90.45;29;93.95;100;104;107;111.2;116;121.93},{45000;45001;45002;45003;45004;45005;45006;45007;45008;45009;45010;45011;45012;45012;45013;45014;45015;45016;45017;45018;45019})</f>
        <v>127.111171413517</v>
      </c>
      <c r="B26908" s="0" t="s">
        <v>26728</v>
      </c>
    </row>
    <row r="26909" customFormat="false" ht="15" hidden="false" customHeight="false" outlineLevel="0" collapsed="false">
      <c r="A26909" s="0" t="n">
        <f aca="false">_xlfn.FORECAST.ETS.STAT({38.08;42;45.6;51.37;54;58;62;66.49;71;77.3;81.4;84.3;90.45;29;93.95;100;104;107;111.2;116;121.93},{45000;45001;45002;45003;45004;45005;45006;45007;45008;45009;45010;45011;45012;45012;45013;45014;45015;45016;45017;45018;45019},{3;1;6;9;2;7;8;5;4})</f>
        <v>1</v>
      </c>
      <c r="B26909" s="0" t="s">
        <v>26729</v>
      </c>
    </row>
    <row r="26910" customFormat="false" ht="15" hidden="false" customHeight="false" outlineLevel="0" collapsed="false">
      <c r="A26910" s="0" t="n">
        <f aca="false">_xlfn.FORECAST.ETS.SEASONALITY({38.08;42;45.6;51.37;54;58;62;66.49;71;77.3;81.4;84.3;90.45;29;93.95;100;104;107;111.2;116;121.93},{45000;45001;45002;45003;45004;45005;45006;45007;45008;45009;45010;45011;45012;45012;45013;45014;45015;45016;45017;45018;45019},0)</f>
        <v>5</v>
      </c>
      <c r="B26910" s="0" t="s">
        <v>26730</v>
      </c>
    </row>
    <row r="26911" customFormat="false" ht="15" hidden="false" customHeight="false" outlineLevel="0" collapsed="false">
      <c r="A26911" s="0" t="n">
        <f aca="false">_xlfn.FORECAST.ETS({45018;45015},{35;35.2;35;35.22;35.2;35;35.22;35.22;35.22;35.22;35;35;35.2;35;35.2},{45010;45007;45014;45003;45012;45013;45008;45000;45006;45001;45004;45011;45002;45005;45009},3,1)</f>
        <v>34.9103737424573</v>
      </c>
      <c r="B26911" s="0" t="s">
        <v>26731</v>
      </c>
    </row>
    <row r="26912" customFormat="false" ht="15" hidden="false" customHeight="false" outlineLevel="0" collapsed="false">
      <c r="A26912" s="0" t="n">
        <f aca="false">_xlfn.ORG.LIBREOFFICE.FORECAST.ETS.STAT.MULT({35;35.2;35;35.22;35.2;35;35.22;35.22;35.22;35.22;35;35;35.2;35;35.2},{45010;45007;45014;45003;45012;45013;45008;45000;45006;45001;45004;45011;45002;45005;45009},{2;6;4;5;9;1;3;7;8},3,1)</f>
        <v>0.06640625</v>
      </c>
      <c r="B26912" s="0" t="s">
        <v>26732</v>
      </c>
    </row>
    <row r="26913" customFormat="false" ht="15" hidden="false" customHeight="false" outlineLevel="0" collapsed="false">
      <c r="A26913" s="0" t="n">
        <f aca="false">_xlfn.FORECAST.ETS.SEASONALITY({35;35.2;35;35.22;35.2;35;35.22;35.22;35.22;35.22;35;35;35.2;35;35.2},{45010;45007;45014;45003;45012;45013;45008;45000;45006;45001;45004;45011;45002;45005;45009})</f>
        <v>6</v>
      </c>
      <c r="B26913" s="0" t="s">
        <v>26733</v>
      </c>
    </row>
    <row r="26914" customFormat="false" ht="15" hidden="false" customHeight="false" outlineLevel="0" collapsed="false">
      <c r="A26914" s="0" t="n">
        <f aca="false">_xlfn.FORECAST.ETS.CONFINT(45016,{35;35.2;35;35.22;35.2;35;35.22;35.22;35.22;35.22;35;35;35.2;35;35.2},{45010;45007;45014;45003;45012;45013;45008;45000;45006;45001;45004;45011;45002;45005;45009},0,0,1,4)</f>
        <v>0</v>
      </c>
      <c r="B26914" s="0" t="s">
        <v>26734</v>
      </c>
    </row>
    <row r="26915" customFormat="false" ht="15" hidden="false" customHeight="false" outlineLevel="0" collapsed="false">
      <c r="A26915" s="0" t="e">
        <f aca="false">_xlfn.ORG.LIBREOFFICE.FORECAST.ETS.MULT({45030;45030},{39.18;39.18;39.2;39;39.2;14.7;39;39;39.18;39;39.18;39.2},{44681;44712;44742;44773;44804;44804;44834;44865;44895;44926;44957;44985},7,,2)</f>
        <v>#VALUE!</v>
      </c>
      <c r="B26915" s="0" t="s">
        <v>26735</v>
      </c>
    </row>
    <row r="26916" customFormat="false" ht="15" hidden="false" customHeight="false" outlineLevel="0" collapsed="false">
      <c r="A26916" s="0" t="e">
        <f aca="false">_xlfn.ORG.LIBREOFFICE.FORECAST.ETS.STAT.MULT({39.18;39.18;39.2;39;39.2;14.7;39;39;39.18;39;39.18;39.2},{44681;44712;44742;44773;44804;44804;44834;44865;44895;44926;44957;44985},{4;1},7,,2)</f>
        <v>#VALUE!</v>
      </c>
      <c r="B26916" s="0" t="s">
        <v>26736</v>
      </c>
    </row>
    <row r="26917" customFormat="false" ht="15" hidden="false" customHeight="false" outlineLevel="0" collapsed="false">
      <c r="A26917" s="0" t="e">
        <f aca="false">_xlfn.FORECAST.ETS.SEASONALITY({39.18;39.18;39.2;39;39.2;14.7;39;39;39.18;39;39.18;39.2},{44681;44712;44742;44773;44804;44804;44834;44865;44895;44926;44957;44985},0)</f>
        <v>#VALUE!</v>
      </c>
      <c r="B26917" s="0" t="s">
        <v>26737</v>
      </c>
    </row>
    <row r="26918" customFormat="false" ht="15" hidden="false" customHeight="false" outlineLevel="0" collapsed="false">
      <c r="A26918" s="0" t="n">
        <f aca="false">_xlfn.FORECAST.ETS({36;36.5;37},{21.8;26.94;31;37.87;32.35;39.03;34.21;35.6;39.2;43;49.53;46;52;45.6;44.97;50;55.9;62;57.64;64.78;58.5;57.39;62.27;68;74;69.9;75;70;69.99;75.11;80.3;86.8;83;88;83},{1;2;3;4;5;6;7;8;9;10;11;12;13;14;15;16;17;18;19;20;21;22;23;24;25;26;27;28;29;30;31;32;33;34;35},1)</f>
        <v>82.5614579834912</v>
      </c>
      <c r="B26918" s="0" t="s">
        <v>26738</v>
      </c>
    </row>
    <row r="26919" customFormat="false" ht="15" hidden="false" customHeight="false" outlineLevel="0" collapsed="false">
      <c r="A26919" s="0" t="n">
        <f aca="false">_xlfn.ORG.LIBREOFFICE.FORECAST.ETS.STAT.MULT({21.8;26.94;31;37.87;32.35;39.03;34.21;35.6;39.2;43;49.53;46;52;45.6;44.97;50;55.9;62;57.64;64.78;58.5;57.39;62.27;68;74;69.9;75;70;69.99;75.11;80.3;86.8;83;88;83},{1;2;3;4;5;6;7;8;9;10;11;12;13;14;15;16;17;18;19;20;21;22;23;24;25;26;27;28;29;30;31;32;33;34;35},{6;9;8;3;5;7;4;1;2},1)</f>
        <v>1.02135880421773</v>
      </c>
      <c r="B26919" s="0" t="s">
        <v>26739</v>
      </c>
    </row>
    <row r="26920" customFormat="false" ht="15" hidden="false" customHeight="false" outlineLevel="0" collapsed="false">
      <c r="A26920" s="0" t="n">
        <f aca="false">_xlfn.FORECAST.ETS.SEASONALITY({21.8;26.94;31;37.87;32.35;39.03;34.21;35.6;39.2;43;49.53;46;52;45.6;44.97;50;55.9;62;57.64;64.78;58.5;57.39;62.27;68;74;69.9;75;70;69.99;75.11;80.3;86.8;83;88;83},{1;2;3;4;5;6;7;8;9;10;11;12;13;14;15;16;17;18;19;20;21;22;23;24;25;26;27;28;29;30;31;32;33;34;35})</f>
        <v>7</v>
      </c>
      <c r="B26920" s="0" t="s">
        <v>26740</v>
      </c>
    </row>
    <row r="26921" customFormat="false" ht="15" hidden="false" customHeight="false" outlineLevel="0" collapsed="false">
      <c r="A26921" s="0" t="e">
        <f aca="false">_xlfn.ORG.LIBREOFFICE.FORECAST.ETS.MULT({45442,45427},{15.39;15;15.4;15;15.39;15.39;15.4;15.4;15.39;15;15.39;15.39;15.4;15;15;15.39;15.39;15.39;15.39;15.4;15.39;15.39;15.39},{44712;44742;44773;44804;44834;44865;44895;44926;44957;44985;45016;45077;45107;45138;45169;45199;45230;45260;45291;45322;45351;45382;45412})</f>
        <v>#VALUE!</v>
      </c>
      <c r="B26921" s="0" t="s">
        <v>26741</v>
      </c>
    </row>
    <row r="26922" customFormat="false" ht="15" hidden="false" customHeight="false" outlineLevel="0" collapsed="false">
      <c r="A26922" s="0" t="e">
        <f aca="false">_xlfn.FORECAST.ETS.STAT({15.39;15;15.4;15;15.39;15.39;15.4;15.4;15.39;15;15.39;15.39;15.4;15;15;15.39;15.39;15.39;15.39;15.4;15.39;15.39;15.39},{44712;44742;44773;44804;44834;44865;44895;44926;44957;44985;45016;45077;45107;45138;45169;45199;45230;45260;45291;45322;45351;45382;45412},{9})</f>
        <v>#VALUE!</v>
      </c>
      <c r="B26922" s="0" t="s">
        <v>26742</v>
      </c>
    </row>
    <row r="26923" customFormat="false" ht="15" hidden="false" customHeight="false" outlineLevel="0" collapsed="false">
      <c r="A26923" s="0" t="e">
        <f aca="false">_xlfn.FORECAST.ETS.SEASONALITY({15.39;15;15.4;15;15.39;15.39;15.4;15.4;15.39;15;15.39;15.39;15.4;15;15;15.39;15.39;15.39;15.39;15.4;15.39;15.39;15.39},{44712;44742;44773;44804;44834;44865;44895;44926;44957;44985;45016;45077;45107;45138;45169;45199;45230;45260;45291;45322;45351;45382;45412})</f>
        <v>#VALUE!</v>
      </c>
      <c r="B26923" s="0" t="s">
        <v>26743</v>
      </c>
    </row>
    <row r="26924" customFormat="false" ht="15" hidden="false" customHeight="false" outlineLevel="0" collapsed="false">
      <c r="A26924" s="0" t="n">
        <f aca="false">_xlfn.FORECAST.ETS(15.5,{30.6;36.93;39.3;44;47.57;53;57.45;60.8;65.88;72.3;76.6;79.26;84.22;88},{1;2;3;4;5;6;7;8;9;10;11;12;13;14},1,1)</f>
        <v>94.2500363943647</v>
      </c>
      <c r="B26924" s="0" t="s">
        <v>26744</v>
      </c>
    </row>
    <row r="26925" customFormat="false" ht="15" hidden="false" customHeight="false" outlineLevel="0" collapsed="false">
      <c r="A26925" s="0" t="n">
        <f aca="false">_xlfn.ORG.LIBREOFFICE.FORECAST.ETS.STAT.MULT({30.6;36.93;39.3;44;47.57;53;57.45;60.8;65.88;72.3;76.6;79.26;84.22;88},{1;2;3;4;5;6;7;8;9;10;11;12;13;14},{5;1;7;8;3;2;4;9;6},1,1)</f>
        <v>0.0172685914038481</v>
      </c>
      <c r="B26925" s="0" t="s">
        <v>26745</v>
      </c>
    </row>
    <row r="26926" customFormat="false" ht="15" hidden="false" customHeight="false" outlineLevel="0" collapsed="false">
      <c r="A26926" s="0" t="n">
        <f aca="false">_xlfn.FORECAST.ETS.SEASONALITY({30.6;36.93;39.3;44;47.57;53;57.45;60.8;65.88;72.3;76.6;79.26;84.22;88},{1;2;3;4;5;6;7;8;9;10;11;12;13;14},0)</f>
        <v>3</v>
      </c>
      <c r="B26926" s="0" t="s">
        <v>26746</v>
      </c>
    </row>
    <row r="26927" customFormat="false" ht="15" hidden="false" customHeight="false" outlineLevel="0" collapsed="false">
      <c r="A26927" s="0" t="e">
        <f aca="false">_xlfn.ORG.LIBREOFFICE.FORECAST.ETS.MULT({5.5,3.75},{16.02;17.7;22;23.2;27.1;30.64},{1;1.5;2;2.5;3;3.5},4,0,3)</f>
        <v>#VALUE!</v>
      </c>
      <c r="B26927" s="0" t="s">
        <v>26747</v>
      </c>
    </row>
    <row r="26928" customFormat="false" ht="15" hidden="false" customHeight="false" outlineLevel="0" collapsed="false">
      <c r="A26928" s="0" t="e">
        <f aca="false">_xlfn.FORECAST.ETS.STAT({16.02;17.7;22;23.2;27.1;30.64},{1;1.5;2;2.5;3;3.5},{9},4,0,3)</f>
        <v>#VALUE!</v>
      </c>
      <c r="B26928" s="0" t="s">
        <v>26748</v>
      </c>
    </row>
    <row r="26929" customFormat="false" ht="15" hidden="false" customHeight="false" outlineLevel="0" collapsed="false">
      <c r="A26929" s="0" t="n">
        <f aca="false">_xlfn.FORECAST.ETS.SEASONALITY({16.02;17.7;22;23.2;27.1;30.64},{1;1.5;2;2.5;3;3.5},0)</f>
        <v>2</v>
      </c>
      <c r="B26929" s="0" t="s">
        <v>26749</v>
      </c>
    </row>
    <row r="26930" customFormat="false" ht="15" hidden="false" customHeight="false" outlineLevel="0" collapsed="false">
      <c r="A26930" s="0" t="n">
        <f aca="false">_xlfn.ORG.LIBREOFFICE.FORECAST.ETS.MULT({12,11.25,11.75},{15.5;15;15.48;15;15.5;15.5;15;15;15;15.5;15;15.5;15;15.48;15.5;15;15;15.5;15;15.5;15.48},{1;1.5;2;2.5;3;3.5;4;4.5;5;5.5;6;6.5;7;7.5;8;8.5;9;9.5;10;10.5;11},1,0)</f>
        <v>15.40234375</v>
      </c>
      <c r="B26930" s="0" t="s">
        <v>26750</v>
      </c>
    </row>
    <row r="26931" customFormat="false" ht="15" hidden="false" customHeight="false" outlineLevel="0" collapsed="false">
      <c r="A26931" s="0" t="n">
        <f aca="false">_xlfn.FORECAST.ETS.STAT({15.5;15;15.48;15;15.5;15.5;15;15;15;15.5;15;15.5;15;15.48;15.5;15;15;15.5;15;15.5;15.48},{1;1.5;2;2.5;3;3.5;4;4.5;5;5.5;6;6.5;7;7.5;8;8.5;9;9.5;10;10.5;11},{6;7;9;5;2;4;8;3;1},1,0)</f>
        <v>0.161707383040743</v>
      </c>
      <c r="B26931" s="0" t="s">
        <v>26751</v>
      </c>
    </row>
    <row r="26932" customFormat="false" ht="15" hidden="false" customHeight="false" outlineLevel="0" collapsed="false">
      <c r="A26932" s="0" t="n">
        <f aca="false">_xlfn.FORECAST.ETS.SEASONALITY({15.5;15;15.48;15;15.5;15.5;15;15;15;15.5;15;15.5;15;15.48;15.5;15;15;15.5;15;15.5;15.48},{1;1.5;2;2.5;3;3.5;4;4.5;5;5.5;6;6.5;7;7.5;8;8.5;9;9.5;10;10.5;11},0)</f>
        <v>8</v>
      </c>
      <c r="B26932" s="0" t="s">
        <v>26752</v>
      </c>
    </row>
    <row r="26933" customFormat="false" ht="15" hidden="false" customHeight="false" outlineLevel="0" collapsed="false">
      <c r="A26933" s="0" t="n">
        <f aca="false">_xlfn.FORECAST.ETS({45164},{64.55;40.12;69.9;30.1;41.7;72.25;46.9;77;48.68},{44862;44893;44923;44923;44954;44985;45013;45044;45074})</f>
        <v>82.0729615044839</v>
      </c>
      <c r="B26933" s="0" t="s">
        <v>26753</v>
      </c>
    </row>
    <row r="26934" customFormat="false" ht="15" hidden="false" customHeight="false" outlineLevel="0" collapsed="false">
      <c r="A26934" s="0" t="n">
        <f aca="false">_xlfn.FORECAST.ETS.STAT({64.55;40.12;69.9;30.1;41.7;72.25;46.9;77;48.68},{44862;44893;44923;44923;44954;44985;45013;45044;45074},{3;4})</f>
        <v>0</v>
      </c>
      <c r="B26934" s="0" t="s">
        <v>26754</v>
      </c>
    </row>
    <row r="26935" customFormat="false" ht="15" hidden="false" customHeight="false" outlineLevel="0" collapsed="false">
      <c r="A26935" s="0" t="n">
        <f aca="false">_xlfn.FORECAST.ETS.SEASONALITY({64.55;40.12;69.9;30.1;41.7;72.25;46.9;77;48.68},{44862;44893;44923;44923;44954;44985;45013;45044;45074},1,3)</f>
        <v>3</v>
      </c>
      <c r="B26935" s="0" t="s">
        <v>26755</v>
      </c>
    </row>
    <row r="26936" customFormat="false" ht="15" hidden="false" customHeight="false" outlineLevel="0" collapsed="false">
      <c r="A26936" s="0" t="n">
        <f aca="false">_xlfn.FORECAST.ETS({45287,45242,45287},{29.95;29.95;29.95;29.9;29.95;30;29.9;30;29.95;29.9;29.9;29.9;29.95;29.9;29.9;29.9},{44740;44770;44801;44832;44862;44893;44923;44954;44985;45013;45074;45105;45135;45166;45197;45227},2)</f>
        <v>29.8888219901722</v>
      </c>
      <c r="B26936" s="0" t="s">
        <v>26756</v>
      </c>
    </row>
    <row r="26937" customFormat="false" ht="15" hidden="false" customHeight="false" outlineLevel="0" collapsed="false">
      <c r="A26937" s="0" t="n">
        <f aca="false">_xlfn.ORG.LIBREOFFICE.FORECAST.ETS.STAT.MULT({29.95;29.95;29.95;29.9;29.95;30;29.9;30;29.95;29.9;29.9;29.9;29.95;29.9;29.9;29.9},{44740;44770;44801;44832;44862;44893;44923;44954;44985;45013;45074;45105;45135;45166;45197;45227},{5;6;2;4;9;3;1;8;7},2)</f>
        <v>0.00110311122218049</v>
      </c>
      <c r="B26937" s="0" t="s">
        <v>26757</v>
      </c>
    </row>
    <row r="26938" customFormat="false" ht="15" hidden="false" customHeight="false" outlineLevel="0" collapsed="false">
      <c r="A26938" s="0" t="n">
        <f aca="false">_xlfn.FORECAST.ETS.SEASONALITY({29.95;29.95;29.95;29.9;29.95;30;29.9;30;29.95;29.9;29.9;29.9;29.95;29.9;29.9;29.9},{44740;44770;44801;44832;44862;44893;44923;44954;44985;45013;45074;45105;45135;45166;45197;45227})</f>
        <v>5</v>
      </c>
      <c r="B26938" s="0" t="s">
        <v>26758</v>
      </c>
    </row>
    <row r="26939" customFormat="false" ht="15" hidden="false" customHeight="false" outlineLevel="0" collapsed="false">
      <c r="A26939" s="0" t="n">
        <f aca="false">_xlfn.FORECAST.ETS({44877},{9.96;23.41;11.73;23.6;13;24.45},{44607;44635;44666;44696;44727;44757})</f>
        <v>25.3820000000169</v>
      </c>
      <c r="B26939" s="0" t="s">
        <v>26759</v>
      </c>
    </row>
    <row r="26940" customFormat="false" ht="15" hidden="false" customHeight="false" outlineLevel="0" collapsed="false">
      <c r="A26940" s="0" t="n">
        <f aca="false">_xlfn.FORECAST.ETS.STAT({9.96;23.41;11.73;23.6;13;24.45},{44607;44635;44666;44696;44727;44757},{8})</f>
        <v>1</v>
      </c>
      <c r="B26940" s="0" t="s">
        <v>26760</v>
      </c>
    </row>
    <row r="26941" customFormat="false" ht="15" hidden="false" customHeight="false" outlineLevel="0" collapsed="false">
      <c r="A26941" s="0" t="n">
        <f aca="false">_xlfn.FORECAST.ETS.SEASONALITY({9.96;23.41;11.73;23.6;13;24.45},{44607;44635;44666;44696;44727;44757},1)</f>
        <v>2</v>
      </c>
      <c r="B26941" s="0" t="s">
        <v>26761</v>
      </c>
    </row>
    <row r="26942" customFormat="false" ht="15" hidden="false" customHeight="false" outlineLevel="0" collapsed="false">
      <c r="A26942" s="0" t="n">
        <f aca="false">_xlfn.FORECAST.ETS({45322,45322,45307},{49.4;48;34;68;98;64.5;79;63.8;73.67;15;28.9;56;46.2;25.67;63.4;99.4;72;12.8;19;55.6;67;61.2;37.7;20.26;6.3},{44593;44621;44652;44682;44713;44743;44774;44805;44835;44866;44896;44927;44958;44986;45017;45047;45078;45108;45139;45170;45200;45231;45231;45261;45292},2)</f>
        <v>36.1679107302681</v>
      </c>
      <c r="B26942" s="0" t="s">
        <v>26762</v>
      </c>
    </row>
    <row r="26943" customFormat="false" ht="15" hidden="false" customHeight="false" outlineLevel="0" collapsed="false">
      <c r="A26943" s="0" t="n">
        <f aca="false">_xlfn.ORG.LIBREOFFICE.FORECAST.ETS.STAT.MULT({49.4;48;34;68;98;64.5;79;63.8;73.67;15;28.9;56;46.2;25.67;63.4;99.4;72;12.8;19;55.6;67;61.2;37.7;20.26;6.3},{44593;44621;44652;44682;44713;44743;44774;44805;44835;44866;44896;44927;44958;44986;45017;45047;45078;45108;45139;45170;45200;45231;45231;45261;45292},{3;6;2;5;1;4;8;9;7},2)</f>
        <v>0</v>
      </c>
      <c r="B26943" s="0" t="s">
        <v>26763</v>
      </c>
    </row>
    <row r="26944" customFormat="false" ht="15" hidden="false" customHeight="false" outlineLevel="0" collapsed="false">
      <c r="A26944" s="0" t="n">
        <f aca="false">_xlfn.FORECAST.ETS.SEASONALITY({49.4;48;34;68;98;64.5;79;63.8;73.67;15;28.9;56;46.2;25.67;63.4;99.4;72;12.8;19;55.6;67;61.2;37.7;20.26;6.3},{44593;44621;44652;44682;44713;44743;44774;44805;44835;44866;44896;44927;44958;44986;45017;45047;45078;45108;45139;45170;45200;45231;45231;45261;45292},0)</f>
        <v>8</v>
      </c>
      <c r="B26944" s="0" t="s">
        <v>26764</v>
      </c>
    </row>
    <row r="26945" customFormat="false" ht="15" hidden="false" customHeight="false" outlineLevel="0" collapsed="false">
      <c r="A26945" s="0" t="n">
        <f aca="false">_xlfn.ORG.LIBREOFFICE.FORECAST.ETS.MULT({10.5;9.5},{30.5;18.1;29.33;29;30;30.3;29;29;29.34;31.2},{1;1;2;3;4;5;6;7;8;9},1,,6)</f>
        <v>33.4829885049842</v>
      </c>
      <c r="B26945" s="0" t="s">
        <v>26765</v>
      </c>
    </row>
    <row r="26946" customFormat="false" ht="15" hidden="false" customHeight="false" outlineLevel="0" collapsed="false">
      <c r="A26946" s="0" t="n">
        <f aca="false">_xlfn.FORECAST.ETS.STAT({30.5;18.1;29.33;29;30;30.3;29;29;29.34;31.2},{1;1;2;3;4;5;6;7;8;9},{1},1,,6)</f>
        <v>0.8271484375</v>
      </c>
      <c r="B26946" s="0" t="s">
        <v>26766</v>
      </c>
    </row>
    <row r="26947" customFormat="false" ht="15" hidden="false" customHeight="false" outlineLevel="0" collapsed="false">
      <c r="A26947" s="0" t="n">
        <f aca="false">_xlfn.FORECAST.ETS.SEASONALITY({30.5;18.1;29.33;29;30;30.3;29;29;29.34;31.2},{1;1;2;3;4;5;6;7;8;9},0,5)</f>
        <v>4</v>
      </c>
      <c r="B26947" s="0" t="s">
        <v>26767</v>
      </c>
    </row>
    <row r="26948" customFormat="false" ht="15" hidden="false" customHeight="false" outlineLevel="0" collapsed="false">
      <c r="A26948" s="0" t="e">
        <f aca="false">_xlfn.FORECAST.ETS.CONFINT({10;11;12},{30.5;18.1;29.33;29;30;30.3;29;29;29.34;31.2},{1;1;2;3;4;5;6;7;8;9},1,0,1,3)</f>
        <v>#NUM!</v>
      </c>
      <c r="B26948" s="0" t="s">
        <v>26768</v>
      </c>
    </row>
    <row r="26949" customFormat="false" ht="15" hidden="false" customHeight="false" outlineLevel="0" collapsed="false">
      <c r="A26949" s="0" t="e">
        <f aca="false">_xlfn.FORECAST.ETS(45776,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,4)</f>
        <v>#VALUE!</v>
      </c>
      <c r="B26949" s="0" t="s">
        <v>26769</v>
      </c>
    </row>
    <row r="26950" customFormat="false" ht="15" hidden="false" customHeight="false" outlineLevel="0" collapsed="false">
      <c r="A26950" s="0" t="e">
        <f aca="false">_xlfn.FORECAST.ETS.STAT(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,{2;9;1;6;3;4;5;7;8},4)</f>
        <v>#VALUE!</v>
      </c>
      <c r="B26950" s="0" t="s">
        <v>26770</v>
      </c>
    </row>
    <row r="26951" customFormat="false" ht="15" hidden="false" customHeight="false" outlineLevel="0" collapsed="false">
      <c r="A26951" s="0" t="e">
        <f aca="false">_xlfn.FORECAST.ETS.SEASONALITY({35;33.56;32.6;25.15;33;32.2;27.15;24.7;24;26;15;25;25;18.5;16.08;15.2;18;7;14.65;14.5;9.43;7.82;5.3;7.36;-1.1;6.29;6.1;0.5},{44895;44926;44957;44985;45016;45046;45077;45107;45138;45169;45199;45230;45260;45291;45322;45351;45382;45412;45443;45473;45504;45535;45565;45596;45626;45657;45688;45716})</f>
        <v>#VALUE!</v>
      </c>
      <c r="B26951" s="0" t="s">
        <v>26771</v>
      </c>
    </row>
    <row r="26952" customFormat="false" ht="15" hidden="false" customHeight="false" outlineLevel="0" collapsed="false">
      <c r="A26952" s="0" t="n">
        <f aca="false">_xlfn.ORG.LIBREOFFICE.FORECAST.ETS.MULT({12.5},{9;9;9;9;9;9;9;9;9;9;9;9;9.03;9.03;9.03;9;9.03;9;9;9.03},{1;1.5;2;2.5;3;3.5;4;4.5;5;5.5;6;6.5;7;7.5;8;8.5;9;9.5;10;10.5},2,1,4)</f>
        <v>9.01516037231489</v>
      </c>
      <c r="B26952" s="0" t="s">
        <v>26772</v>
      </c>
    </row>
    <row r="26953" customFormat="false" ht="15" hidden="false" customHeight="false" outlineLevel="0" collapsed="false">
      <c r="A26953" s="0" t="n">
        <f aca="false">_xlfn.ORG.LIBREOFFICE.FORECAST.ETS.STAT.MULT({9;9;9;9;9;9;9;9;9;9;9;9;9.03;9.03;9.03;9;9.03;9;9;9.03},{1;1.5;2;2.5;3;3.5;4;4.5;5;5.5;6;6.5;7;7.5;8;8.5;9;9.5;10;10.5},{5;7},2,1,4)</f>
        <v>0.000900512785052906</v>
      </c>
      <c r="B26953" s="0" t="s">
        <v>26773</v>
      </c>
    </row>
    <row r="26954" customFormat="false" ht="15" hidden="false" customHeight="false" outlineLevel="0" collapsed="false">
      <c r="A26954" s="0" t="n">
        <f aca="false">_xlfn.FORECAST.ETS.SEASONALITY({9;9;9;9;9;9;9;9;9;9;9;9;9.03;9.03;9.03;9;9.03;9;9;9.03},{1;1.5;2;2.5;3;3.5;4;4.5;5;5.5;6;6.5;7;7.5;8;8.5;9;9.5;10;10.5},1,1)</f>
        <v>4</v>
      </c>
      <c r="B26954" s="0" t="s">
        <v>26774</v>
      </c>
    </row>
    <row r="26955" customFormat="false" ht="15" hidden="false" customHeight="false" outlineLevel="0" collapsed="false">
      <c r="A26955" s="0" t="n">
        <f aca="false">_xlfn.ORG.LIBREOFFICE.FORECAST.ETS.MULT({22,19,20},{51.11;36.89;66;34.15;18.62;79.06;6;74;74.9;27.29;80.1;58.98;88.9;22.7;25.2;10;9;53;83},{1;2;3;4;5;6;7;8;9;10;11;12;13;14;14;15;16;17;18},2,1,2)</f>
        <v>55.5543594580953</v>
      </c>
      <c r="B26955" s="0" t="s">
        <v>26775</v>
      </c>
    </row>
    <row r="26956" customFormat="false" ht="15" hidden="false" customHeight="false" outlineLevel="0" collapsed="false">
      <c r="A26956" s="0" t="n">
        <f aca="false">_xlfn.ORG.LIBREOFFICE.FORECAST.ETS.STAT.MULT({51.11;36.89;66;34.15;18.62;79.06;6;74;74.9;27.29;80.1;58.98;88.9;22.7;25.2;10;9;53;83},{1;2;3;4;5;6;7;8;9;10;11;12;13;14;14;15;16;17;18},{3;8},2,1,2)</f>
        <v>0</v>
      </c>
      <c r="B26956" s="0" t="s">
        <v>26776</v>
      </c>
    </row>
    <row r="26957" customFormat="false" ht="15" hidden="false" customHeight="false" outlineLevel="0" collapsed="false">
      <c r="A26957" s="0" t="n">
        <f aca="false">_xlfn.FORECAST.ETS.SEASONALITY({51.11;36.89;66;34.15;18.62;79.06;6;74;74.9;27.29;80.1;58.98;88.9;22.7;25.2;10;9;53;83},{1;2;3;4;5;6;7;8;9;10;11;12;13;14;14;15;16;17;18},0,5)</f>
        <v>5</v>
      </c>
      <c r="B26957" s="0" t="s">
        <v>26777</v>
      </c>
    </row>
    <row r="26958" customFormat="false" ht="15" hidden="false" customHeight="false" outlineLevel="0" collapsed="false">
      <c r="A26958" s="0" t="n">
        <f aca="false">_xlfn.FORECAST.ETS({143,123,133},{26;20.3;16;30.8;10.45;28.2;13.9;20;24.13;28;14.7;11.7},{83;63;43;113;3;103;23;53;73;93;33;13},4)</f>
        <v>35.707913896494</v>
      </c>
      <c r="B26958" s="0" t="s">
        <v>26778</v>
      </c>
    </row>
    <row r="26959" customFormat="false" ht="15" hidden="false" customHeight="false" outlineLevel="0" collapsed="false">
      <c r="A26959" s="0" t="n">
        <f aca="false">_xlfn.ORG.LIBREOFFICE.FORECAST.ETS.STAT.MULT({26;20.3;16;30.8;10.45;28.2;13.9;20;24.13;28;14.7;11.7},{83;63;43;113;3;103;23;53;73;93;33;13},{1;3;5;4;7;8;6;9;2},4)</f>
        <v>0.25</v>
      </c>
      <c r="B26959" s="0" t="s">
        <v>26779</v>
      </c>
    </row>
    <row r="26960" customFormat="false" ht="15" hidden="false" customHeight="false" outlineLevel="0" collapsed="false">
      <c r="A26960" s="0" t="n">
        <f aca="false">_xlfn.FORECAST.ETS.SEASONALITY({26;20.3;16;30.8;10.45;28.2;13.9;20;24.13;28;14.7;11.7},{83;63;43;113;3;103;23;53;73;93;33;13},1)</f>
        <v>2</v>
      </c>
      <c r="B26960" s="0" t="s">
        <v>26780</v>
      </c>
    </row>
    <row r="26961" customFormat="false" ht="15" hidden="false" customHeight="false" outlineLevel="0" collapsed="false">
      <c r="A26961" s="0" t="n">
        <f aca="false">_xlfn.ORG.LIBREOFFICE.FORECAST.ETS.MULT({24,22},{14;19;10.3;17.6;16.2;21.8;14;20.4;21.75;26.7;13.4;23.3;24;31;17.1;29.09;28;37;17.9;31.62},{1;2;3;4;5;6;7;8;9;10;11;12;13;14;15;16;17;18;19;20},3)</f>
        <v>38.0438239156961</v>
      </c>
      <c r="B26961" s="0" t="s">
        <v>26781</v>
      </c>
    </row>
    <row r="26962" customFormat="false" ht="15" hidden="false" customHeight="false" outlineLevel="0" collapsed="false">
      <c r="A26962" s="0" t="n">
        <f aca="false">_xlfn.FORECAST.ETS.STAT({14;19;10.3;17.6;16.2;21.8;14;20.4;21.75;26.7;13.4;23.3;24;31;17.1;29.09;28;37;17.9;31.62},{1;2;3;4;5;6;7;8;9;10;11;12;13;14;15;16;17;18;19;20},{6;5},3)</f>
        <v>4.90050297227671</v>
      </c>
      <c r="B26962" s="0" t="s">
        <v>26782</v>
      </c>
    </row>
    <row r="26963" customFormat="false" ht="15" hidden="false" customHeight="false" outlineLevel="0" collapsed="false">
      <c r="A26963" s="0" t="n">
        <f aca="false">_xlfn.FORECAST.ETS.SEASONALITY({14;19;10.3;17.6;16.2;21.8;14;20.4;21.75;26.7;13.4;23.3;24;31;17.1;29.09;28;37;17.9;31.62},{1;2;3;4;5;6;7;8;9;10;11;12;13;14;15;16;17;18;19;20})</f>
        <v>4</v>
      </c>
      <c r="B26963" s="0" t="s">
        <v>26783</v>
      </c>
    </row>
    <row r="26964" customFormat="false" ht="15" hidden="false" customHeight="false" outlineLevel="0" collapsed="false">
      <c r="A26964" s="0" t="n">
        <f aca="false">_xlfn.ORG.LIBREOFFICE.FORECAST.ETS.MULT(1,{62;47.5;34;50.46;57;46.88;26.2;36.6;35.32},{5;3.5;1;4.5;4;2.5;1.5;3;2},1,1,7)</f>
        <v>34</v>
      </c>
      <c r="B26964" s="0" t="s">
        <v>26784</v>
      </c>
    </row>
    <row r="26965" customFormat="false" ht="15" hidden="false" customHeight="false" outlineLevel="0" collapsed="false">
      <c r="A26965" s="0" t="n">
        <f aca="false">_xlfn.ORG.LIBREOFFICE.FORECAST.ETS.STAT.MULT({62;47.5;34;50.46;57;46.88;26.2;36.6;35.32},{5;3.5;1;4.5;4;2.5;1.5;3;2},{8;3;4;5;7;9;2;6;1},1,1,7)</f>
        <v>0.5</v>
      </c>
      <c r="B26965" s="0" t="s">
        <v>26785</v>
      </c>
    </row>
    <row r="26966" customFormat="false" ht="15" hidden="false" customHeight="false" outlineLevel="0" collapsed="false">
      <c r="A26966" s="0" t="n">
        <f aca="false">_xlfn.FORECAST.ETS.SEASONALITY({62;47.5;34;50.46;57;46.88;26.2;36.6;35.32},{5;3.5;1;4.5;4;2.5;1.5;3;2})</f>
        <v>3</v>
      </c>
      <c r="B26966" s="0" t="s">
        <v>26786</v>
      </c>
    </row>
    <row r="26967" customFormat="false" ht="15" hidden="false" customHeight="false" outlineLevel="0" collapsed="false">
      <c r="A26967" s="0" t="n">
        <f aca="false">_xlfn.FORECAST.ETS({25},{22.5;27.9;45.6;28.5;22.71;32.66;65.36;45.4;56;84;50;41.2;50;104.5;71.39;83;124;70.26;59;70.5;142.94},{1;2;3;4;5;6;7;8;9;10;11;12;13;14;15;16;17;18;19;20;21},0,,2)</f>
        <v>137.304386194229</v>
      </c>
      <c r="B26967" s="0" t="s">
        <v>26787</v>
      </c>
    </row>
    <row r="26968" customFormat="false" ht="15" hidden="false" customHeight="false" outlineLevel="0" collapsed="false">
      <c r="A26968" s="0" t="n">
        <f aca="false">_xlfn.ORG.LIBREOFFICE.FORECAST.ETS.STAT.MULT({22.5;27.9;45.6;28.5;22.71;32.66;65.36;45.4;56;84;50;41.2;50;104.5;71.39;83;124;70.26;59;70.5;142.94},{1;2;3;4;5;6;7;8;9;10;11;12;13;14;15;16;17;18;19;20;21},{5;2;7;6;4;9;8;1;3},0,,2)</f>
        <v>0.328211578842808</v>
      </c>
      <c r="B26968" s="0" t="s">
        <v>26788</v>
      </c>
    </row>
    <row r="26969" customFormat="false" ht="15" hidden="false" customHeight="false" outlineLevel="0" collapsed="false">
      <c r="A26969" s="0" t="n">
        <f aca="false">_xlfn.FORECAST.ETS.SEASONALITY({22.5;27.9;45.6;28.5;22.71;32.66;65.36;45.4;56;84;50;41.2;50;104.5;71.39;83;124;70.26;59;70.5;142.94},{1;2;3;4;5;6;7;8;9;10;11;12;13;14;15;16;17;18;19;20;21},1)</f>
        <v>7</v>
      </c>
      <c r="B26969" s="0" t="s">
        <v>26789</v>
      </c>
    </row>
    <row r="26970" customFormat="false" ht="15" hidden="false" customHeight="false" outlineLevel="0" collapsed="false">
      <c r="A26970" s="0" t="n">
        <f aca="false">_xlfn.FORECAST.ETS(3.625,{25.6;18.5;34.6;22.66;39;40.56;27;49;31.16;50.9;56.47;35.83;63.46;39.05;65.95;69.6;42;79;48;81.4;86;50.08;93;55.7;92.93},{1;1.5;2;2.5;3;3.5;4;4.5;5;5.5;6;6.5;7;7.5;8;8.5;9;9.5;10;10.5;11;11.5;12;12.5;13},5,0)</f>
        <v>37.958</v>
      </c>
      <c r="B26970" s="0" t="s">
        <v>26790</v>
      </c>
    </row>
    <row r="26971" customFormat="false" ht="15" hidden="false" customHeight="false" outlineLevel="0" collapsed="false">
      <c r="A26971" s="0" t="n">
        <f aca="false">_xlfn.ORG.LIBREOFFICE.FORECAST.ETS.STAT.MULT({25.6;18.5;34.6;22.66;39;40.56;27;49;31.16;50.9;56.47;35.83;63.46;39.05;65.95;69.6;42;79;48;81.4;86;50.08;93;55.7;92.93},{1;1.5;2;2.5;3;3.5;4;4.5;5;5.5;6;6.5;7;7.5;8;8.5;9;9.5;10;10.5;11;11.5;12;12.5;13},{7;8},5,0)</f>
        <v>1.27768065393449</v>
      </c>
      <c r="B26971" s="0" t="s">
        <v>26791</v>
      </c>
    </row>
    <row r="26972" customFormat="false" ht="15" hidden="false" customHeight="false" outlineLevel="0" collapsed="false">
      <c r="A26972" s="0" t="n">
        <f aca="false">_xlfn.FORECAST.ETS.SEASONALITY({25.6;18.5;34.6;22.66;39;40.56;27;49;31.16;50.9;56.47;35.83;63.46;39.05;65.95;69.6;42;79;48;81.4;86;50.08;93;55.7;92.93},{1;1.5;2;2.5;3;3.5;4;4.5;5;5.5;6;6.5;7;7.5;8;8.5;9;9.5;10;10.5;11;11.5;12;12.5;13},0)</f>
        <v>5</v>
      </c>
      <c r="B26972" s="0" t="s">
        <v>26792</v>
      </c>
    </row>
    <row r="26973" customFormat="false" ht="15" hidden="false" customHeight="false" outlineLevel="0" collapsed="false">
      <c r="A26973" s="0" t="n">
        <f aca="false">_xlfn.FORECAST.ETS({6,6.25},{67;62.26;37;40.49;49.4;97.3;39.72;29.2;77.1;51.1},{1;1.5;2;2.5;3;3.5;4;4.5;5;5.5})</f>
        <v>104.954</v>
      </c>
      <c r="B26973" s="0" t="s">
        <v>26793</v>
      </c>
    </row>
    <row r="26974" customFormat="false" ht="15" hidden="false" customHeight="false" outlineLevel="0" collapsed="false">
      <c r="A26974" s="0" t="n">
        <f aca="false">_xlfn.ORG.LIBREOFFICE.FORECAST.ETS.STAT.MULT({67;62.26;37;40.49;49.4;97.3;39.72;29.2;77.1;51.1},{1;1.5;2;2.5;3;3.5;4;4.5;5;5.5},{3})</f>
        <v>0</v>
      </c>
      <c r="B26974" s="0" t="s">
        <v>26794</v>
      </c>
    </row>
    <row r="26975" customFormat="false" ht="15" hidden="false" customHeight="false" outlineLevel="0" collapsed="false">
      <c r="A26975" s="0" t="n">
        <f aca="false">_xlfn.FORECAST.ETS.SEASONALITY({67;62.26;37;40.49;49.4;97.3;39.72;29.2;77.1;51.1},{1;1.5;2;2.5;3;3.5;4;4.5;5;5.5},0)</f>
        <v>5</v>
      </c>
      <c r="B26975" s="0" t="s">
        <v>26795</v>
      </c>
    </row>
    <row r="26976" customFormat="false" ht="15" hidden="false" customHeight="false" outlineLevel="0" collapsed="false">
      <c r="A26976" s="0" t="e">
        <f aca="false">_xlfn.FORECAST.ETS(45000,{22.62;21;21;19.91;18.68;20},{44865;44895;44926;44957;44985;45016},3)</f>
        <v>#VALUE!</v>
      </c>
      <c r="B26976" s="0" t="s">
        <v>26796</v>
      </c>
    </row>
    <row r="26977" customFormat="false" ht="15" hidden="false" customHeight="false" outlineLevel="0" collapsed="false">
      <c r="A26977" s="0" t="e">
        <f aca="false">_xlfn.FORECAST.ETS.STAT({22.62;21;21;19.91;18.68;20},{44865;44895;44926;44957;44985;45016},{9;8},3)</f>
        <v>#VALUE!</v>
      </c>
      <c r="B26977" s="0" t="s">
        <v>26797</v>
      </c>
    </row>
    <row r="26978" customFormat="false" ht="15" hidden="false" customHeight="false" outlineLevel="0" collapsed="false">
      <c r="A26978" s="0" t="e">
        <f aca="false">_xlfn.FORECAST.ETS.SEASONALITY({22.62;21;21;19.91;18.68;20},{44865;44895;44926;44957;44985;45016},1,1)</f>
        <v>#VALUE!</v>
      </c>
      <c r="B26978" s="0" t="s">
        <v>26798</v>
      </c>
    </row>
    <row r="26979" customFormat="false" ht="15" hidden="false" customHeight="false" outlineLevel="0" collapsed="false">
      <c r="A26979" s="0" t="n">
        <f aca="false">_xlfn.FORECAST.ETS({11.5},{47;46.59;46;44.52;43.3;43;39.7;40.79;38;37;35.9;35.1;35;33.61;31;29.9;30.6;27.58;26;26.75;25.6},{1;1.5;2;2.5;3;3.5;4;4.5;5;5.5;6;6.5;7;7.5;8;8.5;9;9.5;10;10.5;11},4,0,6)</f>
        <v>23.6189139925556</v>
      </c>
      <c r="B26979" s="0" t="s">
        <v>26799</v>
      </c>
    </row>
    <row r="26980" customFormat="false" ht="15" hidden="false" customHeight="false" outlineLevel="0" collapsed="false">
      <c r="A26980" s="0" t="n">
        <f aca="false">_xlfn.FORECAST.ETS.STAT({47;46.59;46;44.52;43.3;43;39.7;40.79;38;37;35.9;35.1;35;33.61;31;29.9;30.6;27.58;26;26.75;25.6},{1;1.5;2;2.5;3;3.5;4;4.5;5;5.5;6;6.5;7;7.5;8;8.5;9;9.5;10;10.5;11},{9;7;3;6;1;2;5;4;8},4,0,6)</f>
        <v>4</v>
      </c>
      <c r="B26980" s="0" t="s">
        <v>26800</v>
      </c>
    </row>
    <row r="26981" customFormat="false" ht="15" hidden="false" customHeight="false" outlineLevel="0" collapsed="false">
      <c r="A26981" s="0" t="n">
        <f aca="false">_xlfn.FORECAST.ETS.SEASONALITY({47;46.59;46;44.52;43.3;43;39.7;40.79;38;37;35.9;35.1;35;33.61;31;29.9;30.6;27.58;26;26.75;25.6},{1;1.5;2;2.5;3;3.5;4;4.5;5;5.5;6;6.5;7;7.5;8;8.5;9;9.5;10;10.5;11})</f>
        <v>9</v>
      </c>
      <c r="B26981" s="0" t="s">
        <v>26801</v>
      </c>
    </row>
    <row r="26982" customFormat="false" ht="15" hidden="false" customHeight="false" outlineLevel="0" collapsed="false">
      <c r="A26982" s="0" t="n">
        <f aca="false">_xlfn.FORECAST.ETS({44850;44955;44880},{42;43;42.4;44},{44743;44774;44805;44835})</f>
        <v>43.4096774193546</v>
      </c>
      <c r="B26982" s="0" t="s">
        <v>26802</v>
      </c>
    </row>
    <row r="26983" customFormat="false" ht="15" hidden="false" customHeight="false" outlineLevel="0" collapsed="false">
      <c r="A26983" s="0" t="n">
        <f aca="false">_xlfn.ORG.LIBREOFFICE.FORECAST.ETS.STAT.MULT({42;43;42.4;44},{44743;44774;44805;44835},{9;5;7;3;2;1;8;6;4})</f>
        <v>2</v>
      </c>
      <c r="B26983" s="0" t="s">
        <v>26803</v>
      </c>
    </row>
    <row r="26984" customFormat="false" ht="15" hidden="false" customHeight="false" outlineLevel="0" collapsed="false">
      <c r="A26984" s="0" t="n">
        <f aca="false">_xlfn.FORECAST.ETS.SEASONALITY({42;43;42.4;44},{44743;44774;44805;44835})</f>
        <v>2</v>
      </c>
      <c r="B26984" s="0" t="s">
        <v>26804</v>
      </c>
    </row>
    <row r="26985" customFormat="false" ht="15" hidden="false" customHeight="false" outlineLevel="0" collapsed="false">
      <c r="A26985" s="0" t="n">
        <f aca="false">_xlfn.ORG.LIBREOFFICE.FORECAST.ETS.MULT({11.5},{15;15;17.08;19;21.5;25;24.18;26.54;27.63;29.6;33.5},{1;2;3;4;5;6;7;8;9;10;11})</f>
        <v>32.4270735914627</v>
      </c>
      <c r="B26985" s="0" t="s">
        <v>26805</v>
      </c>
    </row>
    <row r="26986" customFormat="false" ht="15" hidden="false" customHeight="false" outlineLevel="0" collapsed="false">
      <c r="A26986" s="0" t="n">
        <f aca="false">_xlfn.ORG.LIBREOFFICE.FORECAST.ETS.STAT.MULT({15;15;17.08;19;21.5;25;24.18;26.54;27.63;29.6;33.5},{1;2;3;4;5;6;7;8;9;10;11},{4;1})</f>
        <v>0.105567343015221</v>
      </c>
      <c r="B26986" s="0" t="s">
        <v>26806</v>
      </c>
    </row>
    <row r="26987" customFormat="false" ht="15" hidden="false" customHeight="false" outlineLevel="0" collapsed="false">
      <c r="A26987" s="0" t="n">
        <f aca="false">_xlfn.FORECAST.ETS.SEASONALITY({15;15;17.08;19;21.5;25;24.18;26.54;27.63;29.6;33.5},{1;2;3;4;5;6;7;8;9;10;11},0,5)</f>
        <v>5</v>
      </c>
      <c r="B26987" s="0" t="s">
        <v>26807</v>
      </c>
    </row>
    <row r="26988" customFormat="false" ht="15" hidden="false" customHeight="false" outlineLevel="0" collapsed="false">
      <c r="A26988" s="0" t="n">
        <f aca="false">_xlfn.ORG.LIBREOFFICE.FORECAST.ETS.MULT({44891},{43;43.64;44.4;39.06;36.1;39},{44648;44679;44709;44740;44770;44801},1)</f>
        <v>32.2088737370804</v>
      </c>
      <c r="B26988" s="0" t="s">
        <v>26808</v>
      </c>
    </row>
    <row r="26989" customFormat="false" ht="15" hidden="false" customHeight="false" outlineLevel="0" collapsed="false">
      <c r="A26989" s="0" t="n">
        <f aca="false">_xlfn.ORG.LIBREOFFICE.FORECAST.ETS.STAT.MULT({43;43.64;44.4;39.06;36.1;39},{44648;44679;44709;44740;44770;44801},{6;7;5;3;4;8;2;1;9},1)</f>
        <v>0.794809437693847</v>
      </c>
      <c r="B26989" s="0" t="s">
        <v>26809</v>
      </c>
    </row>
    <row r="26990" customFormat="false" ht="15" hidden="false" customHeight="false" outlineLevel="0" collapsed="false">
      <c r="A26990" s="0" t="n">
        <f aca="false">_xlfn.FORECAST.ETS.SEASONALITY({43;43.64;44.4;39.06;36.1;39},{44648;44679;44709;44740;44770;44801},1,2)</f>
        <v>3</v>
      </c>
      <c r="B26990" s="0" t="s">
        <v>26810</v>
      </c>
    </row>
    <row r="26991" customFormat="false" ht="15" hidden="false" customHeight="false" outlineLevel="0" collapsed="false">
      <c r="A26991" s="0" t="n">
        <f aca="false">_xlfn.ORG.LIBREOFFICE.FORECAST.ETS.MULT({6.25,7.5,6},{89.93;9;22;15;3.5;5;86.39;52;57;41.87},{1.5;3;3.5;1;4.5;4;2;5.5;5;2.5},3,1,4)</f>
        <v>1707.94579892895</v>
      </c>
      <c r="B26991" s="0" t="s">
        <v>26811</v>
      </c>
    </row>
    <row r="26992" customFormat="false" ht="15" hidden="false" customHeight="false" outlineLevel="0" collapsed="false">
      <c r="A26992" s="0" t="n">
        <f aca="false">_xlfn.ORG.LIBREOFFICE.FORECAST.ETS.STAT.MULT({89.93;9;22;15;3.5;5;86.39;52;57;41.87},{1.5;3;3.5;1;4.5;4;2;5.5;5;2.5},{3;6},3,1,4)</f>
        <v>1</v>
      </c>
      <c r="B26992" s="0" t="s">
        <v>26812</v>
      </c>
    </row>
    <row r="26993" customFormat="false" ht="15" hidden="false" customHeight="false" outlineLevel="0" collapsed="false">
      <c r="A26993" s="0" t="n">
        <f aca="false">_xlfn.FORECAST.ETS.SEASONALITY({89.93;9;22;15;3.5;5;86.39;52;57;41.87},{1.5;3;3.5;1;4.5;4;2;5.5;5;2.5},0,3)</f>
        <v>3</v>
      </c>
      <c r="B26993" s="0" t="s">
        <v>26813</v>
      </c>
    </row>
    <row r="26994" customFormat="false" ht="15" hidden="false" customHeight="false" outlineLevel="0" collapsed="false">
      <c r="A26994" s="0" t="n">
        <f aca="false">_xlfn.ORG.LIBREOFFICE.FORECAST.ETS.MULT({28.5;31;29.5},{71;46.3;39.2;65;31.6;42.19;47.62;63.44;41.71;34.9;60;30;39.33;41.51;60;40.2;31;55.24;26;36.01;38.5;55.73;34.8;29;50.7;24;32.73;34.7},{1;2;3;4;5;6;7;8;9;10;11;12;13;14;15;16;17;18;19;20;21;22;23;24;25;26;27;28},7,0)</f>
        <v>42.3737418855504</v>
      </c>
      <c r="B26994" s="0" t="s">
        <v>26814</v>
      </c>
    </row>
    <row r="26995" customFormat="false" ht="15" hidden="false" customHeight="false" outlineLevel="0" collapsed="false">
      <c r="A26995" s="0" t="n">
        <f aca="false">_xlfn.ORG.LIBREOFFICE.FORECAST.ETS.STAT.MULT({71;46.3;39.2;65;31.6;42.19;47.62;63.44;41.71;34.9;60;30;39.33;41.51;60;40.2;31;55.24;26;36.01;38.5;55.73;34.8;29;50.7;24;32.73;34.7},{1;2;3;4;5;6;7;8;9;10;11;12;13;14;15;16;17;18;19;20;21;22;23;24;25;26;27;28},{3;5;9;8;4;7;1;2;6},7,0)</f>
        <v>0.615234375</v>
      </c>
      <c r="B26995" s="0" t="s">
        <v>26815</v>
      </c>
    </row>
    <row r="26996" customFormat="false" ht="15" hidden="false" customHeight="false" outlineLevel="0" collapsed="false">
      <c r="A26996" s="0" t="n">
        <f aca="false">_xlfn.FORECAST.ETS.SEASONALITY({71;46.3;39.2;65;31.6;42.19;47.62;63.44;41.71;34.9;60;30;39.33;41.51;60;40.2;31;55.24;26;36.01;38.5;55.73;34.8;29;50.7;24;32.73;34.7},{1;2;3;4;5;6;7;8;9;10;11;12;13;14;15;16;17;18;19;20;21;22;23;24;25;26;27;28},1,6)</f>
        <v>7</v>
      </c>
      <c r="B26996" s="0" t="s">
        <v>26816</v>
      </c>
    </row>
    <row r="26997" customFormat="false" ht="15" hidden="false" customHeight="false" outlineLevel="0" collapsed="false">
      <c r="A26997" s="0" t="n">
        <f aca="false">_xlfn.ORG.LIBREOFFICE.FORECAST.ETS.MULT(16.25,{6.54;7.9;81.11;98.88;11.95;88.7;36;25.7;32;40.55;90.3;51;42.2;33.2;94.5;5;78;16.7;23.11},{18;8;5;4;14;7;11;19;10;2;15;12;1;6;13;9;16;17;3},4,0)</f>
        <v>73.365311391488</v>
      </c>
      <c r="B26997" s="0" t="s">
        <v>26817</v>
      </c>
    </row>
    <row r="26998" customFormat="false" ht="15" hidden="false" customHeight="false" outlineLevel="0" collapsed="false">
      <c r="A26998" s="0" t="n">
        <f aca="false">_xlfn.ORG.LIBREOFFICE.FORECAST.ETS.STAT.MULT({6.54;7.9;81.11;98.88;11.95;88.7;36;25.7;32;40.55;90.3;51;42.2;33.2;94.5;5;78;16.7;23.11},{18;8;5;4;14;7;11;19;10;2;15;12;1;6;13;9;16;17;3},{8},4,0)</f>
        <v>1</v>
      </c>
      <c r="B26998" s="0" t="s">
        <v>26818</v>
      </c>
    </row>
    <row r="26999" customFormat="false" ht="15" hidden="false" customHeight="false" outlineLevel="0" collapsed="false">
      <c r="A26999" s="0" t="n">
        <f aca="false">_xlfn.FORECAST.ETS.SEASONALITY({6.54;7.9;81.11;98.88;11.95;88.7;36;25.7;32;40.55;90.3;51;42.2;33.2;94.5;5;78;16.7;23.11},{18;8;5;4;14;7;11;19;10;2;15;12;1;6;13;9;16;17;3},0,3)</f>
        <v>6</v>
      </c>
      <c r="B26999" s="0" t="s">
        <v>26819</v>
      </c>
    </row>
    <row r="27000" customFormat="false" ht="15" hidden="false" customHeight="false" outlineLevel="0" collapsed="false">
      <c r="A27000" s="0" t="n">
        <f aca="false">_xlfn.FORECAST.ETS({18.5,19},{49.1;55.4;62;58.07;53;53.9;60.79;49.83;44;46.4;55.65;54.9;49;46.48;52.3;46.16;60;49},{6;12;18;15;9;11;17;8;1;2;14;13;7;3;10;4;16;5},0,,5)</f>
        <v>62.0754254053076</v>
      </c>
      <c r="B27000" s="0" t="s">
        <v>26820</v>
      </c>
    </row>
    <row r="27001" customFormat="false" ht="15" hidden="false" customHeight="false" outlineLevel="0" collapsed="false">
      <c r="A27001" s="0" t="n">
        <f aca="false">_xlfn.ORG.LIBREOFFICE.FORECAST.ETS.STAT.MULT({49.1;55.4;62;58.07;53;53.9;60.79;49.83;44;46.4;55.65;54.9;49;46.48;52.3;46.16;60;49},{6;12;18;15;9;11;17;8;1;2;14;13;7;3;10;4;16;5},{1;2},0,,5)</f>
        <v>0.25</v>
      </c>
      <c r="B27001" s="0" t="s">
        <v>26821</v>
      </c>
    </row>
    <row r="27002" customFormat="false" ht="15" hidden="false" customHeight="false" outlineLevel="0" collapsed="false">
      <c r="A27002" s="0" t="n">
        <f aca="false">_xlfn.FORECAST.ETS.SEASONALITY({49.1;55.4;62;58.07;53;53.9;60.79;49.83;44;46.4;55.65;54.9;49;46.48;52.3;46.16;60;49},{6;12;18;15;9;11;17;8;1;2;14;13;7;3;10;4;16;5},1)</f>
        <v>7</v>
      </c>
      <c r="B27002" s="0" t="s">
        <v>26822</v>
      </c>
    </row>
    <row r="27003" customFormat="false" ht="15" hidden="false" customHeight="false" outlineLevel="0" collapsed="false">
      <c r="A27003" s="0" t="n">
        <f aca="false">_xlfn.ORG.LIBREOFFICE.FORECAST.ETS.MULT({7,10,6.5},{26.13;24;54.85;30;26;61},{1;2;3;4;5;6},1,0,5)</f>
        <v>32.4318887022413</v>
      </c>
      <c r="B27003" s="0" t="s">
        <v>26823</v>
      </c>
    </row>
    <row r="27004" customFormat="false" ht="15" hidden="false" customHeight="false" outlineLevel="0" collapsed="false">
      <c r="A27004" s="0" t="n">
        <f aca="false">_xlfn.FORECAST.ETS.STAT({26.13;24;54.85;30;26;61},{1;2;3;4;5;6},{6},1,0,5)</f>
        <v>0.83</v>
      </c>
      <c r="B27004" s="0" t="s">
        <v>26824</v>
      </c>
    </row>
    <row r="27005" customFormat="false" ht="15" hidden="false" customHeight="false" outlineLevel="0" collapsed="false">
      <c r="A27005" s="0" t="n">
        <f aca="false">_xlfn.FORECAST.ETS.SEASONALITY({26.13;24;54.85;30;26;61},{1;2;3;4;5;6},1,1)</f>
        <v>3</v>
      </c>
      <c r="B27005" s="0" t="s">
        <v>26825</v>
      </c>
    </row>
    <row r="27006" customFormat="false" ht="15" hidden="false" customHeight="false" outlineLevel="0" collapsed="false">
      <c r="A27006" s="0" t="n">
        <f aca="false">_xlfn.FORECAST.ETS(45196,{43;43.15;43.2;43.2;43.2;43.15;43;43.2;43;43.2;43.2;43.2;43;43.15;43.15;43;43.2;43;43},{44620;44648;44679;44709;44740;44770;44801;44832;44862;44893;44923;44954;44985;45013;45044;45074;45105;45135;45166},0)</f>
        <v>43.0334676742554</v>
      </c>
      <c r="B27006" s="0" t="s">
        <v>26826</v>
      </c>
    </row>
    <row r="27007" customFormat="false" ht="15" hidden="false" customHeight="false" outlineLevel="0" collapsed="false">
      <c r="A27007" s="0" t="n">
        <f aca="false">_xlfn.FORECAST.ETS.STAT({43;43.15;43.2;43.2;43.2;43.15;43;43.2;43;43.2;43.2;43.2;43;43.15;43.15;43;43.2;43;43},{44620;44648;44679;44709;44740;44770;44801;44832;44862;44893;44923;44954;44985;45013;45044;45074;45105;45135;45166},{4},0)</f>
        <v>0.968166932605562</v>
      </c>
      <c r="B27007" s="0" t="s">
        <v>26827</v>
      </c>
    </row>
    <row r="27008" customFormat="false" ht="15" hidden="false" customHeight="false" outlineLevel="0" collapsed="false">
      <c r="A27008" s="0" t="n">
        <f aca="false">_xlfn.FORECAST.ETS.SEASONALITY({43;43.15;43.2;43.2;43.2;43.15;43;43.2;43;43.2;43.2;43.2;43;43.15;43.15;43;43.2;43;43},{44620;44648;44679;44709;44740;44770;44801;44832;44862;44893;44923;44954;44985;45013;45044;45074;45105;45135;45166},0)</f>
        <v>9</v>
      </c>
      <c r="B27008" s="0" t="s">
        <v>26828</v>
      </c>
    </row>
    <row r="27009" customFormat="false" ht="15" hidden="false" customHeight="false" outlineLevel="0" collapsed="false">
      <c r="A27009" s="0" t="n">
        <f aca="false">_xlfn.ORG.LIBREOFFICE.FORECAST.ETS.MULT(8,{30;30.5;30.5;30.5;30;30.5},{1;2;3;4;5;6},3)</f>
        <v>30.5</v>
      </c>
      <c r="B27009" s="0" t="s">
        <v>26829</v>
      </c>
    </row>
    <row r="27010" customFormat="false" ht="15" hidden="false" customHeight="false" outlineLevel="0" collapsed="false">
      <c r="A27010" s="0" t="n">
        <f aca="false">_xlfn.FORECAST.ETS.STAT({30;30.5;30.5;30.5;30;30.5},{1;2;3;4;5;6},{9;2;8;4;7;1;5;6;3},3)</f>
        <v>3</v>
      </c>
      <c r="B27010" s="0" t="s">
        <v>26830</v>
      </c>
    </row>
    <row r="27011" customFormat="false" ht="15" hidden="false" customHeight="false" outlineLevel="0" collapsed="false">
      <c r="A27011" s="0" t="n">
        <f aca="false">_xlfn.FORECAST.ETS.SEASONALITY({30;30.5;30.5;30.5;30;30.5},{1;2;3;4;5;6})</f>
        <v>1</v>
      </c>
      <c r="B27011" s="0" t="s">
        <v>26831</v>
      </c>
    </row>
    <row r="27012" customFormat="false" ht="15" hidden="false" customHeight="false" outlineLevel="0" collapsed="false">
      <c r="A27012" s="0" t="n">
        <f aca="false">_xlfn.ORG.LIBREOFFICE.FORECAST.ETS.MULT(14,{11;58;46.6;32;25.14;76;4;72.63;48},{1;2;4;5;6;7;8;9;10},1,,3)</f>
        <v>18.5914469625205</v>
      </c>
      <c r="B27012" s="0" t="s">
        <v>26832</v>
      </c>
    </row>
    <row r="27013" customFormat="false" ht="15" hidden="false" customHeight="false" outlineLevel="0" collapsed="false">
      <c r="A27013" s="0" t="n">
        <f aca="false">_xlfn.FORECAST.ETS.STAT({11;58;46.6;32;25.14;76;4;72.63;48},{1;2;4;5;6;7;8;9;10},{2;7},1,,3)</f>
        <v>0.544921875</v>
      </c>
      <c r="B27013" s="0" t="s">
        <v>26833</v>
      </c>
    </row>
    <row r="27014" customFormat="false" ht="15" hidden="false" customHeight="false" outlineLevel="0" collapsed="false">
      <c r="A27014" s="0" t="n">
        <f aca="false">_xlfn.FORECAST.ETS.SEASONALITY({11;58;46.6;32;25.14;76;4;72.63;48},{1;2;4;5;6;7;8;9;10})</f>
        <v>2</v>
      </c>
      <c r="B27014" s="0" t="s">
        <v>26834</v>
      </c>
    </row>
    <row r="27015" customFormat="false" ht="15" hidden="false" customHeight="false" outlineLevel="0" collapsed="false">
      <c r="A27015" s="0" t="e">
        <f aca="false">_xlfn.ORG.LIBREOFFICE.FORECAST.ETS.MULT(45114.5,{49;41.6;50.8;57.4;52;62.5;66;60.8;71.9},{44895;44926;44957;44985;45016;45046;45077;45107;45138},1)</f>
        <v>#VALUE!</v>
      </c>
      <c r="B27015" s="0" t="s">
        <v>26835</v>
      </c>
    </row>
    <row r="27016" customFormat="false" ht="15" hidden="false" customHeight="false" outlineLevel="0" collapsed="false">
      <c r="A27016" s="0" t="e">
        <f aca="false">_xlfn.ORG.LIBREOFFICE.FORECAST.ETS.STAT.MULT({49;41.6;50.8;57.4;52;62.5;66;60.8;71.9},{44895;44926;44957;44985;45016;45046;45077;45107;45138},{7;1},1)</f>
        <v>#VALUE!</v>
      </c>
      <c r="B27016" s="0" t="s">
        <v>26836</v>
      </c>
    </row>
    <row r="27017" customFormat="false" ht="15" hidden="false" customHeight="false" outlineLevel="0" collapsed="false">
      <c r="A27017" s="0" t="e">
        <f aca="false">_xlfn.FORECAST.ETS.SEASONALITY({49;41.6;50.8;57.4;52;62.5;66;60.8;71.9},{44895;44926;44957;44985;45016;45046;45077;45107;45138},0)</f>
        <v>#VALUE!</v>
      </c>
      <c r="B27017" s="0" t="s">
        <v>26837</v>
      </c>
    </row>
    <row r="27018" customFormat="false" ht="15" hidden="false" customHeight="false" outlineLevel="0" collapsed="false">
      <c r="A27018" s="0" t="n">
        <f aca="false">_xlfn.ORG.LIBREOFFICE.FORECAST.ETS.MULT({12},{40.65;52.1;47;43.7;46.32;43.43;52;45;55;48.7;47;47.8;43.8;53;47.7;59;52.6;50;50.72;46.7;57},{1;1.5;2;2.5;3;3.5;4;4.5;5;5.5;6;6.5;7;7.5;8;8.5;9;9.5;10;10.5;11})</f>
        <v>61.7353703995866</v>
      </c>
      <c r="B27018" s="0" t="s">
        <v>26838</v>
      </c>
    </row>
    <row r="27019" customFormat="false" ht="15" hidden="false" customHeight="false" outlineLevel="0" collapsed="false">
      <c r="A27019" s="0" t="n">
        <f aca="false">_xlfn.ORG.LIBREOFFICE.FORECAST.ETS.STAT.MULT({40.65;52.1;47;43.7;46.32;43.43;52;45;55;48.7;47;47.8;43.8;53;47.7;59;52.6;50;50.72;46.7;57},{1;1.5;2;2.5;3;3.5;4;4.5;5;5.5;6;6.5;7;7.5;8;8.5;9;9.5;10;10.5;11},{3;8;9;4;1;6;5;7;2})</f>
        <v>0.76171875</v>
      </c>
      <c r="B27019" s="0" t="s">
        <v>26839</v>
      </c>
    </row>
    <row r="27020" customFormat="false" ht="15" hidden="false" customHeight="false" outlineLevel="0" collapsed="false">
      <c r="A27020" s="0" t="n">
        <f aca="false">_xlfn.FORECAST.ETS.SEASONALITY({40.65;52.1;47;43.7;46.32;43.43;52;45;55;48.7;47;47.8;43.8;53;47.7;59;52.6;50;50.72;46.7;57},{1;1.5;2;2.5;3;3.5;4;4.5;5;5.5;6;6.5;7;7.5;8;8.5;9;9.5;10;10.5;11})</f>
        <v>7</v>
      </c>
      <c r="B27020" s="0" t="s">
        <v>26840</v>
      </c>
    </row>
    <row r="27021" customFormat="false" ht="15" hidden="false" customHeight="false" outlineLevel="0" collapsed="false">
      <c r="A27021" s="0" t="n">
        <f aca="false">_xlfn.ORG.LIBREOFFICE.FORECAST.ETS.MULT(44911,{4;56.4;71.44;42.88;18.16;68;28.02;48.73;43;37.28;12.64;5;27;31.2;26.9;11.4;69.5;76.2;31.2;35.58;41.9;30.3;25.98},{44835;44866;44896;44927;44958;44986;45017;45047;45078;45108;45139;45170;45200;45231;45261;45292;45323;45352;45383;45413;45444;45474;45505},3)</f>
        <v>38.4341381797641</v>
      </c>
      <c r="B27021" s="0" t="s">
        <v>26841</v>
      </c>
    </row>
    <row r="27022" customFormat="false" ht="15" hidden="false" customHeight="false" outlineLevel="0" collapsed="false">
      <c r="A27022" s="0" t="n">
        <f aca="false">_xlfn.ORG.LIBREOFFICE.FORECAST.ETS.STAT.MULT({4;56.4;71.44;42.88;18.16;68;28.02;48.73;43;37.28;12.64;5;27;31.2;26.9;11.4;69.5;76.2;31.2;35.58;41.9;30.3;25.98},{44835;44866;44896;44927;44958;44986;45017;45047;45078;45108;45139;45170;45200;45231;45261;45292;45323;45352;45383;45413;45444;45474;45505},{1;7},3)</f>
        <v>0.03125</v>
      </c>
      <c r="B27022" s="0" t="s">
        <v>26842</v>
      </c>
    </row>
    <row r="27023" customFormat="false" ht="15" hidden="false" customHeight="false" outlineLevel="0" collapsed="false">
      <c r="A27023" s="0" t="n">
        <f aca="false">_xlfn.FORECAST.ETS.SEASONALITY({4;56.4;71.44;42.88;18.16;68;28.02;48.73;43;37.28;12.64;5;27;31.2;26.9;11.4;69.5;76.2;31.2;35.58;41.9;30.3;25.98},{44835;44866;44896;44927;44958;44986;45017;45047;45078;45108;45139;45170;45200;45231;45261;45292;45323;45352;45383;45413;45444;45474;45505},0)</f>
        <v>8</v>
      </c>
      <c r="B27023" s="0" t="s">
        <v>26843</v>
      </c>
    </row>
    <row r="27024" customFormat="false" ht="15" hidden="false" customHeight="false" outlineLevel="0" collapsed="false">
      <c r="A27024" s="0" t="n">
        <f aca="false">_xlfn.FORECAST.ETS({19},{37.95;38;35.7;36.4;34.13;31.7;32;29.9;28.4;28.39;25.5;26;25;22;22.4},{1;2;3;4;5;6;7;8;9;10;11;12;13;14;15},1,,7)</f>
        <v>17.9486820012495</v>
      </c>
      <c r="B27024" s="0" t="s">
        <v>26844</v>
      </c>
    </row>
    <row r="27025" customFormat="false" ht="15" hidden="false" customHeight="false" outlineLevel="0" collapsed="false">
      <c r="A27025" s="0" t="n">
        <f aca="false">_xlfn.ORG.LIBREOFFICE.FORECAST.ETS.STAT.MULT({37.95;38;35.7;36.4;34.13;31.7;32;29.9;28.4;28.39;25.5;26;25;22;22.4},{1;2;3;4;5;6;7;8;9;10;11;12;13;14;15},{6;3;1;9;5;7;4;2;8},1,,7)</f>
        <v>0.578682092263077</v>
      </c>
      <c r="B27025" s="0" t="s">
        <v>26845</v>
      </c>
    </row>
    <row r="27026" customFormat="false" ht="15" hidden="false" customHeight="false" outlineLevel="0" collapsed="false">
      <c r="A27026" s="0" t="n">
        <f aca="false">_xlfn.FORECAST.ETS.SEASONALITY({37.95;38;35.7;36.4;34.13;31.7;32;29.9;28.4;28.39;25.5;26;25;22;22.4},{1;2;3;4;5;6;7;8;9;10;11;12;13;14;15})</f>
        <v>3</v>
      </c>
      <c r="B27026" s="0" t="s">
        <v>26846</v>
      </c>
    </row>
    <row r="27027" customFormat="false" ht="15" hidden="false" customHeight="false" outlineLevel="0" collapsed="false">
      <c r="A27027" s="0" t="n">
        <f aca="false">_xlfn.FORECAST.ETS(45138,{17.1;21.4;21.8;30;27;35.19;33.04;38.75;50.56},{44835;44866;44896;44927;44958;44986;45017;45078;45108},4)</f>
        <v>45.8234803055487</v>
      </c>
      <c r="B27027" s="0" t="s">
        <v>26847</v>
      </c>
    </row>
    <row r="27028" customFormat="false" ht="15" hidden="false" customHeight="false" outlineLevel="0" collapsed="false">
      <c r="A27028" s="0" t="n">
        <f aca="false">_xlfn.ORG.LIBREOFFICE.FORECAST.ETS.STAT.MULT({17.1;21.4;21.8;30;27;35.19;33.04;38.75;50.56},{44835;44866;44896;44927;44958;44986;45017;45078;45108},{5;9},4)</f>
        <v>0.0648811006454201</v>
      </c>
      <c r="B27028" s="0" t="s">
        <v>26848</v>
      </c>
    </row>
    <row r="27029" customFormat="false" ht="15" hidden="false" customHeight="false" outlineLevel="0" collapsed="false">
      <c r="A27029" s="0" t="n">
        <f aca="false">_xlfn.FORECAST.ETS.SEASONALITY({17.1;21.4;21.8;30;27;35.19;33.04;38.75;50.56},{44835;44866;44896;44927;44958;44986;45017;45078;45108},1)</f>
        <v>2</v>
      </c>
      <c r="B27029" s="0" t="s">
        <v>26849</v>
      </c>
    </row>
    <row r="27030" customFormat="false" ht="15" hidden="false" customHeight="false" outlineLevel="0" collapsed="false">
      <c r="A27030" s="0" t="n">
        <f aca="false">_xlfn.ORG.LIBREOFFICE.FORECAST.ETS.MULT({27,31,27},{47.2;100;30.5;25.27;72.06;31.48;4;96;3.9;65.97;96.42},{3;5;7;9;11;13;15;17;19;21;23},1)</f>
        <v>32.2942146059033</v>
      </c>
      <c r="B27030" s="0" t="s">
        <v>26850</v>
      </c>
    </row>
    <row r="27031" customFormat="false" ht="15" hidden="false" customHeight="false" outlineLevel="0" collapsed="false">
      <c r="A27031" s="0" t="n">
        <f aca="false">_xlfn.ORG.LIBREOFFICE.FORECAST.ETS.STAT.MULT({47.2;100;30.5;25.27;72.06;31.48;4;96;3.9;65.97;96.42},{3;5;7;9;11;13;15;17;19;21;23},{7;9},1)</f>
        <v>24.3641237358406</v>
      </c>
      <c r="B27031" s="0" t="s">
        <v>26851</v>
      </c>
    </row>
    <row r="27032" customFormat="false" ht="15" hidden="false" customHeight="false" outlineLevel="0" collapsed="false">
      <c r="A27032" s="0" t="n">
        <f aca="false">_xlfn.FORECAST.ETS.SEASONALITY({47.2;100;30.5;25.27;72.06;31.48;4;96;3.9;65.97;96.42},{3;5;7;9;11;13;15;17;19;21;23})</f>
        <v>3</v>
      </c>
      <c r="B27032" s="0" t="s">
        <v>26852</v>
      </c>
    </row>
    <row r="27033" customFormat="false" ht="15" hidden="false" customHeight="false" outlineLevel="0" collapsed="false">
      <c r="A27033" s="0" t="n">
        <f aca="false">_xlfn.ORG.LIBREOFFICE.FORECAST.ETS.PI.MULT({25;27;29},{47.2;100;30.5;25.27;72.06;31.48;4;96;3.9;65.97;96.42},{3;5;7;9;11;13;15;17;19;21;23},0.95,0)</f>
        <v>81.0317712775223</v>
      </c>
      <c r="B27033" s="0" t="s">
        <v>26853</v>
      </c>
    </row>
    <row r="27034" customFormat="false" ht="15" hidden="false" customHeight="false" outlineLevel="0" collapsed="false">
      <c r="A27034" s="0" t="n">
        <f aca="false">_xlfn.FORECAST.ETS({45007.5;45007.5;45010},{37.98;38.33;38;38.16;38.59;39.3;37.16},{45000;45001;45002;45003;45004;45005;45006})</f>
        <v>37.6540625</v>
      </c>
      <c r="B27034" s="0" t="s">
        <v>26854</v>
      </c>
    </row>
    <row r="27035" customFormat="false" ht="15" hidden="false" customHeight="false" outlineLevel="0" collapsed="false">
      <c r="A27035" s="0" t="n">
        <f aca="false">_xlfn.FORECAST.ETS.STAT({37.98;38.33;38;38.16;38.59;39.3;37.16},{45000;45001;45002;45003;45004;45005;45006},{3})</f>
        <v>0</v>
      </c>
      <c r="B27035" s="0" t="s">
        <v>26855</v>
      </c>
    </row>
    <row r="27036" customFormat="false" ht="15" hidden="false" customHeight="false" outlineLevel="0" collapsed="false">
      <c r="A27036" s="0" t="n">
        <f aca="false">_xlfn.FORECAST.ETS.SEASONALITY({37.98;38.33;38;38.16;38.59;39.3;37.16},{45000;45001;45002;45003;45004;45005;45006})</f>
        <v>1</v>
      </c>
      <c r="B27036" s="0" t="s">
        <v>26856</v>
      </c>
    </row>
    <row r="27037" customFormat="false" ht="15" hidden="false" customHeight="false" outlineLevel="0" collapsed="false">
      <c r="A27037" s="0" t="n">
        <f aca="false">_xlfn.ORG.LIBREOFFICE.FORECAST.ETS.PI.MULT(45007,{37.98;38.33;38;38.16;38.59;39.3;37.16},{45000;45001;45002;45003;45004;45005;45006},,0)</f>
        <v>1.65767310103927</v>
      </c>
      <c r="B27037" s="0" t="s">
        <v>26857</v>
      </c>
    </row>
    <row r="27038" customFormat="false" ht="15" hidden="false" customHeight="false" outlineLevel="0" collapsed="false">
      <c r="A27038" s="0" t="n">
        <f aca="false">_xlfn.ORG.LIBREOFFICE.FORECAST.ETS.MULT({12},{25.9;25.89;26;26;25.89;26;25.89;26;25.9;26},{1;2;3;4;5;6;7;8;9;10},1,,7)</f>
        <v>26.0010360502411</v>
      </c>
      <c r="B27038" s="0" t="s">
        <v>26858</v>
      </c>
    </row>
    <row r="27039" customFormat="false" ht="15" hidden="false" customHeight="false" outlineLevel="0" collapsed="false">
      <c r="A27039" s="0" t="n">
        <f aca="false">_xlfn.FORECAST.ETS.STAT({25.9;25.89;26;26;25.89;26;25.89;26;25.9;26},{1;2;3;4;5;6;7;8;9;10},{2;3},1,,7)</f>
        <v>0</v>
      </c>
      <c r="B27039" s="0" t="s">
        <v>26859</v>
      </c>
    </row>
    <row r="27040" customFormat="false" ht="15" hidden="false" customHeight="false" outlineLevel="0" collapsed="false">
      <c r="A27040" s="0" t="n">
        <f aca="false">_xlfn.FORECAST.ETS.SEASONALITY({25.9;25.89;26;26;25.89;26;25.89;26;25.9;26},{1;2;3;4;5;6;7;8;9;10},1)</f>
        <v>4</v>
      </c>
      <c r="B27040" s="0" t="s">
        <v>26860</v>
      </c>
    </row>
    <row r="27041" customFormat="false" ht="15" hidden="false" customHeight="false" outlineLevel="0" collapsed="false">
      <c r="A27041" s="0" t="n">
        <f aca="false">_xlfn.ORG.LIBREOFFICE.FORECAST.ETS.PI.MULT(12,{25.9;25.89;26;26;25.89;26;25.89;26;25.9;26},{1;2;3;4;5;6;7;8;9;10},0.5,0,1,4)</f>
        <v>0.0440431903319239</v>
      </c>
      <c r="B27041" s="0" t="s">
        <v>26861</v>
      </c>
    </row>
    <row r="27042" customFormat="false" ht="15" hidden="false" customHeight="false" outlineLevel="0" collapsed="false">
      <c r="A27042" s="0" t="n">
        <f aca="false">_xlfn.FORECAST.ETS({20.5},{18.7;22.2;13;23;18.1;20.9;13.8;21.8;19;19.86;12.76;22.3;18.62;19.84;11;23;18.62;21.3;11.2;21},{1;2;3;4;5;6;7;8;9;10;11;12;13;14;15;16;17;18;19;20},4,1)</f>
        <v>19.9104216153668</v>
      </c>
      <c r="B27042" s="0" t="s">
        <v>26862</v>
      </c>
    </row>
    <row r="27043" customFormat="false" ht="15" hidden="false" customHeight="false" outlineLevel="0" collapsed="false">
      <c r="A27043" s="0" t="n">
        <f aca="false">_xlfn.FORECAST.ETS.STAT({18.7;22.2;13;23;18.1;20.9;13.8;21.8;19;19.86;12.76;22.3;18.62;19.84;11;23;18.62;21.3;11.2;21},{1;2;3;4;5;6;7;8;9;10;11;12;13;14;15;16;17;18;19;20},{8;6;5;9;2;1;4;7;3},4,1)</f>
        <v>1</v>
      </c>
      <c r="B27043" s="0" t="s">
        <v>26863</v>
      </c>
    </row>
    <row r="27044" customFormat="false" ht="15" hidden="false" customHeight="false" outlineLevel="0" collapsed="false">
      <c r="A27044" s="0" t="n">
        <f aca="false">_xlfn.FORECAST.ETS.SEASONALITY({18.7;22.2;13;23;18.1;20.9;13.8;21.8;19;19.86;12.76;22.3;18.62;19.84;11;23;18.62;21.3;11.2;21},{1;2;3;4;5;6;7;8;9;10;11;12;13;14;15;16;17;18;19;20},0,3)</f>
        <v>4</v>
      </c>
      <c r="B27044" s="0" t="s">
        <v>26864</v>
      </c>
    </row>
    <row r="27045" customFormat="false" ht="15" hidden="false" customHeight="false" outlineLevel="0" collapsed="false">
      <c r="A27045" s="0" t="n">
        <f aca="false">_xlfn.ORG.LIBREOFFICE.FORECAST.ETS.PI.MULT({21;22;23},{18.7;22.2;13;23;18.1;20.9;13.8;21.8;19;19.86;12.76;22.3;18.62;19.84;11;23;18.62;21.3;11.2;21},{1;2;3;4;5;6;7;8;9;10;11;12;13;14;15;16;17;18;19;20},,0,0)</f>
        <v>8.16996897621189</v>
      </c>
      <c r="B27045" s="0" t="s">
        <v>26865</v>
      </c>
    </row>
    <row r="27046" customFormat="false" ht="15" hidden="false" customHeight="false" outlineLevel="0" collapsed="false">
      <c r="A27046" s="0" t="n">
        <f aca="false">_xlfn.ORG.LIBREOFFICE.FORECAST.ETS.MULT({45005,45003.5},{14;16;19.8;22.72},{45000;45001;45002;45003},0,0)</f>
        <v>28.5262568918864</v>
      </c>
      <c r="B27046" s="0" t="s">
        <v>26866</v>
      </c>
    </row>
    <row r="27047" customFormat="false" ht="15" hidden="false" customHeight="false" outlineLevel="0" collapsed="false">
      <c r="A27047" s="0" t="n">
        <f aca="false">_xlfn.FORECAST.ETS.STAT({14;16;19.8;22.72},{45000;45001;45002;45003},{5},0,0)</f>
        <v>0.0185783066835481</v>
      </c>
      <c r="B27047" s="0" t="s">
        <v>26867</v>
      </c>
    </row>
    <row r="27048" customFormat="false" ht="15" hidden="false" customHeight="false" outlineLevel="0" collapsed="false">
      <c r="A27048" s="0" t="n">
        <f aca="false">_xlfn.FORECAST.ETS.SEASONALITY({14;16;19.8;22.72},{45000;45001;45002;45003})</f>
        <v>2</v>
      </c>
      <c r="B27048" s="0" t="s">
        <v>26868</v>
      </c>
    </row>
    <row r="27049" customFormat="false" ht="15" hidden="false" customHeight="false" outlineLevel="0" collapsed="false">
      <c r="A27049" s="0" t="e">
        <f aca="false">_xlfn.FORECAST.ETS({44988,44973},{31;30.51;31;30.5},{44866;44896;44927;44958},6,,6)</f>
        <v>#VALUE!</v>
      </c>
      <c r="B27049" s="0" t="s">
        <v>26869</v>
      </c>
    </row>
    <row r="27050" customFormat="false" ht="15" hidden="false" customHeight="false" outlineLevel="0" collapsed="false">
      <c r="A27050" s="0" t="e">
        <f aca="false">_xlfn.ORG.LIBREOFFICE.FORECAST.ETS.STAT.MULT({31;30.51;31;30.5},{44866;44896;44927;44958},{6},6,,6)</f>
        <v>#VALUE!</v>
      </c>
      <c r="B27050" s="0" t="s">
        <v>26870</v>
      </c>
    </row>
    <row r="27051" customFormat="false" ht="15" hidden="false" customHeight="false" outlineLevel="0" collapsed="false">
      <c r="A27051" s="0" t="n">
        <f aca="false">_xlfn.FORECAST.ETS.SEASONALITY({31;30.51;31;30.5},{44866;44896;44927;44958},0)</f>
        <v>2</v>
      </c>
      <c r="B27051" s="0" t="s">
        <v>26871</v>
      </c>
    </row>
    <row r="27052" customFormat="false" ht="15" hidden="false" customHeight="false" outlineLevel="0" collapsed="false">
      <c r="A27052" s="0" t="n">
        <f aca="false">_xlfn.ORG.LIBREOFFICE.FORECAST.ETS.MULT(7.5,{41.2;40.02;38;35.77;31.97;30.83},{1;2;3;4;6;7},0,0)</f>
        <v>29.9658333333333</v>
      </c>
      <c r="B27052" s="0" t="s">
        <v>26872</v>
      </c>
    </row>
    <row r="27053" customFormat="false" ht="15" hidden="false" customHeight="false" outlineLevel="0" collapsed="false">
      <c r="A27053" s="0" t="n">
        <f aca="false">_xlfn.ORG.LIBREOFFICE.FORECAST.ETS.STAT.MULT({41.2;40.02;38;35.77;31.97;30.83},{1;2;3;4;6;7},{6;1;7;5;8;3;2;4;9},0,0)</f>
        <v>5.9875</v>
      </c>
      <c r="B27053" s="0" t="s">
        <v>26873</v>
      </c>
    </row>
    <row r="27054" customFormat="false" ht="15" hidden="false" customHeight="false" outlineLevel="0" collapsed="false">
      <c r="A27054" s="0" t="n">
        <f aca="false">_xlfn.FORECAST.ETS.SEASONALITY({41.2;40.02;38;35.77;31.97;30.83},{1;2;3;4;6;7})</f>
        <v>2</v>
      </c>
      <c r="B27054" s="0" t="s">
        <v>26874</v>
      </c>
    </row>
    <row r="27055" customFormat="false" ht="15" hidden="false" customHeight="false" outlineLevel="0" collapsed="false">
      <c r="A27055" s="0" t="n">
        <f aca="false">_xlfn.FORECAST.ETS.CONFINT(9,{41.2;40.02;38;35.77;31.97;30.83},{1;2;3;4;6;7},,0)</f>
        <v>1.26501968011692</v>
      </c>
      <c r="B27055" s="0" t="s">
        <v>26875</v>
      </c>
    </row>
    <row r="27056" customFormat="false" ht="15" hidden="false" customHeight="false" outlineLevel="0" collapsed="false">
      <c r="A27056" s="0" t="n">
        <f aca="false">_xlfn.FORECAST.ETS({213;233},{95;30.3;65.8;53.3;93;97.64;71.47;83.91;38.8;55.27;43.41;58;108.1;80;43.27;82;67;83;56.2;70},{153;3;103;63;183;173;93;163;23;33;13;83;193;143;43;113;73;133;53;123},1,1)</f>
        <v>109.517743534122</v>
      </c>
      <c r="B27056" s="0" t="s">
        <v>26876</v>
      </c>
    </row>
    <row r="27057" customFormat="false" ht="15" hidden="false" customHeight="false" outlineLevel="0" collapsed="false">
      <c r="A27057" s="0" t="n">
        <f aca="false">_xlfn.ORG.LIBREOFFICE.FORECAST.ETS.STAT.MULT({95;30.3;65.8;53.3;93;97.64;71.47;83.91;38.8;55.27;43.41;58;108.1;80;43.27;82;67;83;56.2;70},{153;3;103;63;183;173;93;163;23;33;13;83;193;143;43;113;73;133;53;123},{4},1,1)</f>
        <v>0.165982432097598</v>
      </c>
      <c r="B27057" s="0" t="s">
        <v>26877</v>
      </c>
    </row>
    <row r="27058" customFormat="false" ht="15" hidden="false" customHeight="false" outlineLevel="0" collapsed="false">
      <c r="A27058" s="0" t="n">
        <f aca="false">_xlfn.FORECAST.ETS.SEASONALITY({95;30.3;65.8;53.3;93;97.64;71.47;83.91;38.8;55.27;43.41;58;108.1;80;43.27;82;67;83;56.2;70},{153;3;103;63;183;173;93;163;23;33;13;83;193;143;43;113;73;133;53;123},0,1)</f>
        <v>8</v>
      </c>
      <c r="B27058" s="0" t="s">
        <v>26878</v>
      </c>
    </row>
    <row r="27059" customFormat="false" ht="15" hidden="false" customHeight="false" outlineLevel="0" collapsed="false">
      <c r="A27059" s="0" t="e">
        <f aca="false">_xlfn.ORG.LIBREOFFICE.FORECAST.ETS.PI.MULT(213,{95;30.3;65.8;53.3;93;97.64;71.47;83.91;38.8;55.27;43.41;58;108.1;80;43.27;82;67;83;56.2;70},{153;3;103;63;183;173;93;163;23;33;13;83;193;143;43;113;73;133;53;123},1,0)</f>
        <v>#NUM!</v>
      </c>
      <c r="B27059" s="0" t="s">
        <v>26879</v>
      </c>
    </row>
    <row r="27060" customFormat="false" ht="15" hidden="false" customHeight="false" outlineLevel="0" collapsed="false">
      <c r="A27060" s="0" t="n">
        <f aca="false">_xlfn.FORECAST.ETS({17.5,18.5,20},{49;48.68;48.7;48.68;48.7;48.68;48.68;49;48.7;48.68;48.68;48.7;49;38.9;49;49;48.7;49},{1;2;3;4;5;6;7;8;9;10;11;12;13;13;14;15;16;17},4)</f>
        <v>48.9239912064037</v>
      </c>
      <c r="B27060" s="0" t="s">
        <v>26880</v>
      </c>
    </row>
    <row r="27061" customFormat="false" ht="15" hidden="false" customHeight="false" outlineLevel="0" collapsed="false">
      <c r="A27061" s="0" t="n">
        <f aca="false">_xlfn.FORECAST.ETS.STAT({49;48.68;48.7;48.68;48.7;48.68;48.68;49;48.7;48.68;48.68;48.7;49;38.9;49;49;48.7;49},{1;2;3;4;5;6;7;8;9;10;11;12;13;13;14;15;16;17},{2},4)</f>
        <v>0.1533203125</v>
      </c>
      <c r="B27061" s="0" t="s">
        <v>26881</v>
      </c>
    </row>
    <row r="27062" customFormat="false" ht="15" hidden="false" customHeight="false" outlineLevel="0" collapsed="false">
      <c r="A27062" s="0" t="n">
        <f aca="false">_xlfn.FORECAST.ETS.SEASONALITY({49;48.68;48.7;48.68;48.7;48.68;48.68;49;48.7;48.68;48.68;48.7;49;38.9;49;49;48.7;49},{1;2;3;4;5;6;7;8;9;10;11;12;13;13;14;15;16;17},0)</f>
        <v>5</v>
      </c>
      <c r="B27062" s="0" t="s">
        <v>26882</v>
      </c>
    </row>
    <row r="27063" customFormat="false" ht="15" hidden="false" customHeight="false" outlineLevel="0" collapsed="false">
      <c r="A27063" s="0" t="n">
        <f aca="false">_xlfn.ORG.LIBREOFFICE.FORECAST.ETS.MULT({45011.5;45012.5},{48.6;49;48.6;48.58;48.6;49;49;48.58;48.6;48.58;49;49},{45000;45001;45002;45003;45004;45005;45006;45007;45008;45009;45010;45011},0,0)</f>
        <v>49.0181818181818</v>
      </c>
      <c r="B27063" s="0" t="s">
        <v>26883</v>
      </c>
    </row>
    <row r="27064" customFormat="false" ht="15" hidden="false" customHeight="false" outlineLevel="0" collapsed="false">
      <c r="A27064" s="0" t="n">
        <f aca="false">_xlfn.FORECAST.ETS.STAT({48.6;49;48.6;48.58;48.6;49;49;48.58;48.6;48.58;49;49},{45000;45001;45002;45003;45004;45005;45006;45007;45008;45009;45010;45011},{7;1},0,0)</f>
        <v>0.221139049782814</v>
      </c>
      <c r="B27064" s="0" t="s">
        <v>26884</v>
      </c>
    </row>
    <row r="27065" customFormat="false" ht="15" hidden="false" customHeight="false" outlineLevel="0" collapsed="false">
      <c r="A27065" s="0" t="n">
        <f aca="false">_xlfn.FORECAST.ETS.SEASONALITY({48.6;49;48.6;48.58;48.6;49;49;48.58;48.6;48.58;49;49},{45000;45001;45002;45003;45004;45005;45006;45007;45008;45009;45010;45011},0,2)</f>
        <v>5</v>
      </c>
      <c r="B27065" s="0" t="s">
        <v>26885</v>
      </c>
    </row>
    <row r="27066" customFormat="false" ht="15" hidden="false" customHeight="false" outlineLevel="0" collapsed="false">
      <c r="A27066" s="0" t="n">
        <f aca="false">_xlfn.FORECAST.ETS(28,{27.27;61.57;78.1;26.8;6.7;27.05;18.4;84.93;74;36.7;34;4.8;32;85.28;92;91.89;58;27.2;74;58;15.3;99;6.57;94.26},{1;2;3;4;5;6;7;8;9;10;11;12;13;14;15;16;17;18;19;20;21;22;23;24},2,1)</f>
        <v>89.6375634337383</v>
      </c>
      <c r="B27066" s="0" t="s">
        <v>26886</v>
      </c>
    </row>
    <row r="27067" customFormat="false" ht="15" hidden="false" customHeight="false" outlineLevel="0" collapsed="false">
      <c r="A27067" s="0" t="n">
        <f aca="false">_xlfn.FORECAST.ETS.STAT({27.27;61.57;78.1;26.8;6.7;27.05;18.4;84.93;74;36.7;34;4.8;32;85.28;92;91.89;58;27.2;74;58;15.3;99;6.57;94.26},{1;2;3;4;5;6;7;8;9;10;11;12;13;14;15;16;17;18;19;20;21;22;23;24},{6},2,1)</f>
        <v>31.8057918689191</v>
      </c>
      <c r="B27067" s="0" t="s">
        <v>26887</v>
      </c>
    </row>
    <row r="27068" customFormat="false" ht="15" hidden="false" customHeight="false" outlineLevel="0" collapsed="false">
      <c r="A27068" s="0" t="n">
        <f aca="false">_xlfn.FORECAST.ETS.SEASONALITY({27.27;61.57;78.1;26.8;6.7;27.05;18.4;84.93;74;36.7;34;4.8;32;85.28;92;91.89;58;27.2;74;58;15.3;99;6.57;94.26},{1;2;3;4;5;6;7;8;9;10;11;12;13;14;15;16;17;18;19;20;21;22;23;24},0,5)</f>
        <v>5</v>
      </c>
      <c r="B27068" s="0" t="s">
        <v>26888</v>
      </c>
    </row>
    <row r="27069" customFormat="false" ht="15" hidden="false" customHeight="false" outlineLevel="0" collapsed="false">
      <c r="A27069" s="0" t="n">
        <f aca="false">_xlfn.FORECAST.ETS({45337},{2.2;7.7;1.6;1.1;0.42;1.3;5;2;0.77;3;-0.72;14.78;0.82;1;4.8;1.1;13.23;2.14;1.17;4.58},{44986;44743;44896;45017;45231;45200;44805;45108;45139;44927;44958;44713;45047;45170;44866;45292;44774;45078;45261;44835},1)</f>
        <v>-0.317806083198208</v>
      </c>
      <c r="B27069" s="0" t="s">
        <v>26889</v>
      </c>
    </row>
    <row r="27070" customFormat="false" ht="15" hidden="false" customHeight="false" outlineLevel="0" collapsed="false">
      <c r="A27070" s="0" t="n">
        <f aca="false">_xlfn.ORG.LIBREOFFICE.FORECAST.ETS.STAT.MULT({2.2;7.7;1.6;1.1;0.42;1.3;5;2;0.77;3;-0.72;14.78;0.82;1;4.8;1.1;13.23;2.14;1.17;4.58},{44986;44743;44896;45017;45231;45200;44805;45108;45139;44927;44958;44713;45047;45170;44866;45292;44774;45078;45261;44835},{3;9},1)</f>
        <v>0.4326171875</v>
      </c>
      <c r="B27070" s="0" t="s">
        <v>26890</v>
      </c>
    </row>
    <row r="27071" customFormat="false" ht="15" hidden="false" customHeight="false" outlineLevel="0" collapsed="false">
      <c r="A27071" s="0" t="n">
        <f aca="false">_xlfn.FORECAST.ETS.SEASONALITY({2.2;7.7;1.6;1.1;0.42;1.3;5;2;0.77;3;-0.72;14.78;0.82;1;4.8;1.1;13.23;2.14;1.17;4.58},{44986;44743;44896;45017;45231;45200;44805;45108;45139;44927;44958;44713;45047;45170;44866;45292;44774;45078;45261;44835},1,6)</f>
        <v>8</v>
      </c>
      <c r="B27071" s="0" t="s">
        <v>26891</v>
      </c>
    </row>
    <row r="27072" customFormat="false" ht="15" hidden="false" customHeight="false" outlineLevel="0" collapsed="false">
      <c r="A27072" s="0" t="n">
        <f aca="false">_xlfn.FORECAST.ETS(63,{70;55;53;27.64;20;40.5;46;88.59;43.73},{3;8;13;18;23;28;33;38;43})</f>
        <v>72.901689453125</v>
      </c>
      <c r="B27072" s="0" t="s">
        <v>26892</v>
      </c>
    </row>
    <row r="27073" customFormat="false" ht="15" hidden="false" customHeight="false" outlineLevel="0" collapsed="false">
      <c r="A27073" s="0" t="n">
        <f aca="false">_xlfn.ORG.LIBREOFFICE.FORECAST.ETS.STAT.MULT({70;55;53;27.64;20;40.5;46;88.59;43.73},{3;8;13;18;23;28;33;38;43},{6;2})</f>
        <v>14.1313008661377</v>
      </c>
      <c r="B27073" s="0" t="s">
        <v>26893</v>
      </c>
    </row>
    <row r="27074" customFormat="false" ht="15" hidden="false" customHeight="false" outlineLevel="0" collapsed="false">
      <c r="A27074" s="0" t="n">
        <f aca="false">_xlfn.FORECAST.ETS.SEASONALITY({70;55;53;27.64;20;40.5;46;88.59;43.73},{3;8;13;18;23;28;33;38;43})</f>
        <v>2</v>
      </c>
      <c r="B27074" s="0" t="s">
        <v>26894</v>
      </c>
    </row>
    <row r="27075" customFormat="false" ht="15" hidden="false" customHeight="false" outlineLevel="0" collapsed="false">
      <c r="A27075" s="0" t="n">
        <f aca="false">_xlfn.FORECAST.ETS({45015.5,45015},{2;19.36;17.97;15.19;23;26;38.8;38.9;36.63;47;46.82;60.3;59.4;58;66.59},{45000;45001;45002;45003;45004;45005;45006;45007;45008;45009;45010;45011;45012;45013;45014})</f>
        <v>74.7686261726021</v>
      </c>
      <c r="B27075" s="0" t="s">
        <v>26895</v>
      </c>
    </row>
    <row r="27076" customFormat="false" ht="15" hidden="false" customHeight="false" outlineLevel="0" collapsed="false">
      <c r="A27076" s="0" t="n">
        <f aca="false">_xlfn.ORG.LIBREOFFICE.FORECAST.ETS.STAT.MULT({2;19.36;17.97;15.19;23;26;38.8;38.9;36.63;47;46.82;60.3;59.4;58;66.59},{45000;45001;45002;45003;45004;45005;45006;45007;45008;45009;45010;45011;45012;45013;45014},{2;3;8;4;5;6;7;9;1})</f>
        <v>0</v>
      </c>
      <c r="B27076" s="0" t="s">
        <v>26896</v>
      </c>
    </row>
    <row r="27077" customFormat="false" ht="15" hidden="false" customHeight="false" outlineLevel="0" collapsed="false">
      <c r="A27077" s="0" t="n">
        <f aca="false">_xlfn.FORECAST.ETS.SEASONALITY({2;19.36;17.97;15.19;23;26;38.8;38.9;36.63;47;46.82;60.3;59.4;58;66.59},{45000;45001;45002;45003;45004;45005;45006;45007;45008;45009;45010;45011;45012;45013;45014})</f>
        <v>5</v>
      </c>
      <c r="B27077" s="0" t="s">
        <v>26897</v>
      </c>
    </row>
    <row r="27078" customFormat="false" ht="15" hidden="false" customHeight="false" outlineLevel="0" collapsed="false">
      <c r="A27078" s="0" t="n">
        <f aca="false">_xlfn.FORECAST.ETS({44847;44787;44787},{54.44;32.29;59;24.7;37.7;65.58;40.99},{44576;44607;44635;44635;44666;44696;44727},2,1,5)</f>
        <v>35.9543286359061</v>
      </c>
      <c r="B27078" s="0" t="s">
        <v>26898</v>
      </c>
    </row>
    <row r="27079" customFormat="false" ht="15" hidden="false" customHeight="false" outlineLevel="0" collapsed="false">
      <c r="A27079" s="0" t="n">
        <f aca="false">_xlfn.ORG.LIBREOFFICE.FORECAST.ETS.STAT.MULT({54.44;32.29;59;24.7;37.7;65.58;40.99},{44576;44607;44635;44635;44666;44696;44727},{5;9},2,1,5)</f>
        <v>0.142571160325506</v>
      </c>
      <c r="B27079" s="0" t="s">
        <v>26899</v>
      </c>
    </row>
    <row r="27080" customFormat="false" ht="15" hidden="false" customHeight="false" outlineLevel="0" collapsed="false">
      <c r="A27080" s="0" t="n">
        <f aca="false">_xlfn.FORECAST.ETS.SEASONALITY({54.44;32.29;59;24.7;37.7;65.58;40.99},{44576;44607;44635;44635;44666;44696;44727},0,1)</f>
        <v>2</v>
      </c>
      <c r="B27080" s="0" t="s">
        <v>26900</v>
      </c>
    </row>
    <row r="27081" customFormat="false" ht="15" hidden="false" customHeight="false" outlineLevel="0" collapsed="false">
      <c r="A27081" s="0" t="n">
        <f aca="false">_xlfn.ORG.LIBREOFFICE.FORECAST.ETS.MULT({38},{64.4;27.17;59.24;6;44.3;88},{3;10;17;24;24;31},1,1,1)</f>
        <v>2.67250794422528</v>
      </c>
      <c r="B27081" s="0" t="s">
        <v>26901</v>
      </c>
    </row>
    <row r="27082" customFormat="false" ht="15" hidden="false" customHeight="false" outlineLevel="0" collapsed="false">
      <c r="A27082" s="0" t="n">
        <f aca="false">_xlfn.FORECAST.ETS.STAT({64.4;27.17;59.24;6;44.3;88},{3;10;17;24;24;31},{2;5},1,1,1)</f>
        <v>0</v>
      </c>
      <c r="B27082" s="0" t="s">
        <v>26902</v>
      </c>
    </row>
    <row r="27083" customFormat="false" ht="15" hidden="false" customHeight="false" outlineLevel="0" collapsed="false">
      <c r="A27083" s="0" t="n">
        <f aca="false">_xlfn.FORECAST.ETS.SEASONALITY({64.4;27.17;59.24;6;44.3;88},{3;10;17;24;24;31},1)</f>
        <v>2</v>
      </c>
      <c r="B27083" s="0" t="s">
        <v>26903</v>
      </c>
    </row>
    <row r="27084" customFormat="false" ht="15" hidden="false" customHeight="false" outlineLevel="0" collapsed="false">
      <c r="A27084" s="0" t="n">
        <f aca="false">_xlfn.FORECAST.ETS({103,103,88},{26;26;20.97;54.54;88.9;31.5;25.8},{3;13;23;43;53;63;73})</f>
        <v>39.3080817522322</v>
      </c>
      <c r="B27084" s="0" t="s">
        <v>26904</v>
      </c>
    </row>
    <row r="27085" customFormat="false" ht="15" hidden="false" customHeight="false" outlineLevel="0" collapsed="false">
      <c r="A27085" s="0" t="n">
        <f aca="false">_xlfn.FORECAST.ETS.STAT({26;26;20.97;54.54;88.9;31.5;25.8},{3;13;23;43;53;63;73},{7})</f>
        <v>25.2511979794203</v>
      </c>
      <c r="B27085" s="0" t="s">
        <v>26905</v>
      </c>
    </row>
    <row r="27086" customFormat="false" ht="15" hidden="false" customHeight="false" outlineLevel="0" collapsed="false">
      <c r="A27086" s="0" t="n">
        <f aca="false">_xlfn.FORECAST.ETS.SEASONALITY({26;26;20.97;54.54;88.9;31.5;25.8},{3;13;23;43;53;63;73},0)</f>
        <v>4</v>
      </c>
      <c r="B27086" s="0" t="s">
        <v>26906</v>
      </c>
    </row>
    <row r="27087" customFormat="false" ht="15" hidden="false" customHeight="false" outlineLevel="0" collapsed="false">
      <c r="A27087" s="0" t="n">
        <f aca="false">_xlfn.FORECAST.ETS.CONFINT(103,{26;26;20.97;54.54;88.9;31.5;25.8},{3;13;23;43;53;63;73},,0)</f>
        <v>118.85657383116</v>
      </c>
      <c r="B27087" s="0" t="s">
        <v>26907</v>
      </c>
    </row>
    <row r="27088" customFormat="false" ht="15" hidden="false" customHeight="false" outlineLevel="0" collapsed="false">
      <c r="A27088" s="0" t="n">
        <f aca="false">_xlfn.FORECAST.ETS({45409,45409,45334},{22.56;17;29.38;26;27.9;18.7;30.71;27.46;25;34.57;32.1;37.1;26;35.1;36;31.6;43;38.8;41.1;31.5;41.9},{44709;44740;44770;44801;44832;44862;44893;44923;44954;44985;45013;45044;45074;45105;45135;45166;45197;45227;45258;45288;45319},7,0,6)</f>
        <v>48.3129758770757</v>
      </c>
      <c r="B27088" s="0" t="s">
        <v>26908</v>
      </c>
    </row>
    <row r="27089" customFormat="false" ht="15" hidden="false" customHeight="false" outlineLevel="0" collapsed="false">
      <c r="A27089" s="0" t="n">
        <f aca="false">_xlfn.FORECAST.ETS.STAT({22.56;17;29.38;26;27.9;18.7;30.71;27.46;25;34.57;32.1;37.1;26;35.1;36;31.6;43;38.8;41.1;31.5;41.9},{44709;44740;44770;44801;44832;44862;44893;44923;44954;44985;45013;45044;45074;45105;45135;45166;45197;45227;45258;45288;45319},{9;1;8;7;3;6;2;5;4},7,0,6)</f>
        <v>7</v>
      </c>
      <c r="B27089" s="0" t="s">
        <v>26909</v>
      </c>
    </row>
    <row r="27090" customFormat="false" ht="15" hidden="false" customHeight="false" outlineLevel="0" collapsed="false">
      <c r="A27090" s="0" t="n">
        <f aca="false">_xlfn.FORECAST.ETS.SEASONALITY({22.56;17;29.38;26;27.9;18.7;30.71;27.46;25;34.57;32.1;37.1;26;35.1;36;31.6;43;38.8;41.1;31.5;41.9},{44709;44740;44770;44801;44832;44862;44893;44923;44954;44985;45013;45044;45074;45105;45135;45166;45197;45227;45258;45288;45319},0,5)</f>
        <v>7</v>
      </c>
      <c r="B27090" s="0" t="s">
        <v>26910</v>
      </c>
    </row>
    <row r="27091" customFormat="false" ht="15" hidden="false" customHeight="false" outlineLevel="0" collapsed="false">
      <c r="A27091" s="0" t="n">
        <f aca="false">_xlfn.FORECAST.ETS(5.25,{7;9;10.5;14.4;13;18.5;14.18;21;16.73;23.28},{1;2;3;4;5;6;7;8;9;10},2,,6)</f>
        <v>14.278125</v>
      </c>
      <c r="B27091" s="0" t="s">
        <v>26911</v>
      </c>
    </row>
    <row r="27092" customFormat="false" ht="15" hidden="false" customHeight="false" outlineLevel="0" collapsed="false">
      <c r="A27092" s="0" t="n">
        <f aca="false">_xlfn.ORG.LIBREOFFICE.FORECAST.ETS.STAT.MULT({7;9;10.5;14.4;13;18.5;14.18;21;16.73;23.28},{1;2;3;4;5;6;7;8;9;10},{5;9},2,,6)</f>
        <v>0.0582712323840604</v>
      </c>
      <c r="B27092" s="0" t="s">
        <v>26912</v>
      </c>
    </row>
    <row r="27093" customFormat="false" ht="15" hidden="false" customHeight="false" outlineLevel="0" collapsed="false">
      <c r="A27093" s="0" t="n">
        <f aca="false">_xlfn.FORECAST.ETS.SEASONALITY({7;9;10.5;14.4;13;18.5;14.18;21;16.73;23.28},{1;2;3;4;5;6;7;8;9;10})</f>
        <v>2</v>
      </c>
      <c r="B27093" s="0" t="s">
        <v>26913</v>
      </c>
    </row>
    <row r="27094" customFormat="false" ht="15" hidden="false" customHeight="false" outlineLevel="0" collapsed="false">
      <c r="A27094" s="0" t="n">
        <f aca="false">_xlfn.ORG.LIBREOFFICE.FORECAST.ETS.MULT({9,9,11},{40.5;40.2;35.5;36.1;34.2;31.21;30.75},{1;2;3;4;5;6;7},0,,4)</f>
        <v>27.5</v>
      </c>
      <c r="B27094" s="0" t="s">
        <v>26914</v>
      </c>
    </row>
    <row r="27095" customFormat="false" ht="15" hidden="false" customHeight="false" outlineLevel="0" collapsed="false">
      <c r="A27095" s="0" t="n">
        <f aca="false">_xlfn.FORECAST.ETS.STAT({40.5;40.2;35.5;36.1;34.2;31.21;30.75},{1;2;3;4;5;6;7},{1;8;3;2;7;5;6;9;4},0,,4)</f>
        <v>0</v>
      </c>
      <c r="B27095" s="0" t="s">
        <v>26915</v>
      </c>
    </row>
    <row r="27096" customFormat="false" ht="15" hidden="false" customHeight="false" outlineLevel="0" collapsed="false">
      <c r="A27096" s="0" t="n">
        <f aca="false">_xlfn.FORECAST.ETS.SEASONALITY({40.5;40.2;35.5;36.1;34.2;31.21;30.75},{1;2;3;4;5;6;7},1,1)</f>
        <v>3</v>
      </c>
      <c r="B27096" s="0" t="s">
        <v>26916</v>
      </c>
    </row>
    <row r="27097" customFormat="false" ht="15" hidden="false" customHeight="false" outlineLevel="0" collapsed="false">
      <c r="A27097" s="0" t="n">
        <f aca="false">_xlfn.FORECAST.ETS.CONFINT(9,{40.5;40.2;35.5;36.1;34.2;31.21;30.75},{1;2;3;4;5;6;7},0.9,0,0)</f>
        <v>2.61366895958145</v>
      </c>
      <c r="B27097" s="0" t="s">
        <v>26917</v>
      </c>
    </row>
    <row r="27098" customFormat="false" ht="15" hidden="false" customHeight="false" outlineLevel="0" collapsed="false">
      <c r="A27098" s="0" t="e">
        <f aca="false">_xlfn.FORECAST.ETS({45352},{59.9;48.95;59.28;69;60.86;55;63;65;54;51.91;67;70.7;67.23;51},{45107;44926;45077;45291;45138;45046;45169;45199;45016;44957;45230;45322;45260;44985},4,1,3)</f>
        <v>#VALUE!</v>
      </c>
      <c r="B27098" s="0" t="s">
        <v>26918</v>
      </c>
    </row>
    <row r="27099" customFormat="false" ht="15" hidden="false" customHeight="false" outlineLevel="0" collapsed="false">
      <c r="A27099" s="0" t="e">
        <f aca="false">_xlfn.ORG.LIBREOFFICE.FORECAST.ETS.STAT.MULT({59.9;48.95;59.28;69;60.86;55;63;65;54;51.91;67;70.7;67.23;51},{45107;44926;45077;45291;45138;45046;45169;45199;45016;44957;45230;45322;45260;44985},{7;4},4,1,3)</f>
        <v>#VALUE!</v>
      </c>
      <c r="B27099" s="0" t="s">
        <v>26919</v>
      </c>
    </row>
    <row r="27100" customFormat="false" ht="15" hidden="false" customHeight="false" outlineLevel="0" collapsed="false">
      <c r="A27100" s="0" t="e">
        <f aca="false">_xlfn.FORECAST.ETS.SEASONALITY({59.9;48.95;59.28;69;60.86;55;63;65;54;51.91;67;70.7;67.23;51},{45107;44926;45077;45291;45138;45046;45169;45199;45016;44957;45230;45322;45260;44985})</f>
        <v>#VALUE!</v>
      </c>
      <c r="B27100" s="0" t="s">
        <v>26920</v>
      </c>
    </row>
    <row r="27101" customFormat="false" ht="15" hidden="false" customHeight="false" outlineLevel="0" collapsed="false">
      <c r="A27101" s="0" t="n">
        <f aca="false">_xlfn.FORECAST.ETS(41,{36;46.45;48.43;42;42.24;46;49;57.03;60;52.75;55;58;58.69;70;70.07;63.4;65;67.3;70.3;81;80;74.53;75.72;80},{3;5;7;9;11;13;15;17;19;21;23;25;27;29;31;33;35;37;39;41;43;45;47;49})</f>
        <v>81</v>
      </c>
      <c r="B27101" s="0" t="s">
        <v>26921</v>
      </c>
    </row>
    <row r="27102" customFormat="false" ht="15" hidden="false" customHeight="false" outlineLevel="0" collapsed="false">
      <c r="A27102" s="0" t="n">
        <f aca="false">_xlfn.FORECAST.ETS.STAT({36;46.45;48.43;42;42.24;46;49;57.03;60;52.75;55;58;58.69;70;70.07;63.4;65;67.3;70.3;81;80;74.53;75.72;80},{3;5;7;9;11;13;15;17;19;21;23;25;27;29;31;33;35;37;39;41;43;45;47;49},{6;1;2;3;5;7;8;4;9})</f>
        <v>0.664444008038566</v>
      </c>
      <c r="B27102" s="0" t="s">
        <v>26922</v>
      </c>
    </row>
    <row r="27103" customFormat="false" ht="15" hidden="false" customHeight="false" outlineLevel="0" collapsed="false">
      <c r="A27103" s="0" t="n">
        <f aca="false">_xlfn.FORECAST.ETS.SEASONALITY({36;46.45;48.43;42;42.24;46;49;57.03;60;52.75;55;58;58.69;70;70.07;63.4;65;67.3;70.3;81;80;74.53;75.72;80},{3;5;7;9;11;13;15;17;19;21;23;25;27;29;31;33;35;37;39;41;43;45;47;49})</f>
        <v>6</v>
      </c>
      <c r="B27103" s="0" t="s">
        <v>26923</v>
      </c>
    </row>
    <row r="27104" customFormat="false" ht="15" hidden="false" customHeight="false" outlineLevel="0" collapsed="false">
      <c r="A27104" s="0" t="n">
        <f aca="false">_xlfn.ORG.LIBREOFFICE.FORECAST.ETS.MULT({36;38},{4;2.38;14;7.99;18.5;-2;15;0;-3.4;22.1;2;19;13.1;8;-5.35;-2.04;4;8;9;-2;12;5.8;15.65;12.83;17;7;2.3;-1.46;19;2;10;8.26;20.7;18;10.3},{16;28;10;18;6;34;2;33;35;1;27;4;11;22;30;23;24;21;17;31;14;26;8;13;7;20;25;32;3;29;15;9;5;12;19},7,,7)</f>
        <v>-3.88536600807704</v>
      </c>
      <c r="B27104" s="0" t="s">
        <v>26924</v>
      </c>
    </row>
    <row r="27105" customFormat="false" ht="15" hidden="false" customHeight="false" outlineLevel="0" collapsed="false">
      <c r="A27105" s="0" t="n">
        <f aca="false">_xlfn.ORG.LIBREOFFICE.FORECAST.ETS.STAT.MULT({4;2.38;14;7.99;18.5;-2;15;0;-3.4;22.1;2;19;13.1;8;-5.35;-2.04;4;8;9;-2;12;5.8;15.65;12.83;17;7;2.3;-1.46;19;2;10;8.26;20.7;18;10.3},{16;28;10;18;6;34;2;33;35;1;27;4;11;22;30;23;24;21;17;31;14;26;8;13;7;20;25;32;3;29;15;9;5;12;19},{8;7;1;3;5;4;6;9;2},7,,7)</f>
        <v>1</v>
      </c>
      <c r="B27105" s="0" t="s">
        <v>26925</v>
      </c>
    </row>
    <row r="27106" customFormat="false" ht="15" hidden="false" customHeight="false" outlineLevel="0" collapsed="false">
      <c r="A27106" s="0" t="n">
        <f aca="false">_xlfn.FORECAST.ETS.SEASONALITY({4;2.38;14;7.99;18.5;-2;15;0;-3.4;22.1;2;19;13.1;8;-5.35;-2.04;4;8;9;-2;12;5.8;15.65;12.83;17;7;2.3;-1.46;19;2;10;8.26;20.7;18;10.3},{16;28;10;18;6;34;2;33;35;1;27;4;11;22;30;23;24;21;17;31;14;26;8;13;7;20;25;32;3;29;15;9;5;12;19},0,1)</f>
        <v>14</v>
      </c>
      <c r="B27106" s="0" t="s">
        <v>26926</v>
      </c>
    </row>
    <row r="27107" customFormat="false" ht="15" hidden="false" customHeight="false" outlineLevel="0" collapsed="false">
      <c r="A27107" s="0" t="n">
        <f aca="false">_xlfn.FORECAST.ETS(24,{7.5;7;14;15.16;10;10;18;21;10;12.3;20.2;23.99;13;13;23;29.4;16;15.4;25;31},{1;2;3;4;5;6;7;8;9;10;11;12;13;14;15;16;17;18;19;20},1,0)</f>
        <v>34.433812396874</v>
      </c>
      <c r="B27107" s="0" t="s">
        <v>26927</v>
      </c>
    </row>
    <row r="27108" customFormat="false" ht="15" hidden="false" customHeight="false" outlineLevel="0" collapsed="false">
      <c r="A27108" s="0" t="n">
        <f aca="false">_xlfn.FORECAST.ETS.STAT({7.5;7;14;15.16;10;10;18;21;10;12.3;20.2;23.99;13;13;23;29.4;16;15.4;25;31},{1;2;3;4;5;6;7;8;9;10;11;12;13;14;15;16;17;18;19;20},{9;5;7;1;8;2;4;6;3},1,0)</f>
        <v>4</v>
      </c>
      <c r="B27108" s="0" t="s">
        <v>26928</v>
      </c>
    </row>
    <row r="27109" customFormat="false" ht="15" hidden="false" customHeight="false" outlineLevel="0" collapsed="false">
      <c r="A27109" s="0" t="n">
        <f aca="false">_xlfn.FORECAST.ETS.SEASONALITY({7.5;7;14;15.16;10;10;18;21;10;12.3;20.2;23.99;13;13;23;29.4;16;15.4;25;31},{1;2;3;4;5;6;7;8;9;10;11;12;13;14;15;16;17;18;19;20},1)</f>
        <v>4</v>
      </c>
      <c r="B27109" s="0" t="s">
        <v>26929</v>
      </c>
    </row>
    <row r="27110" customFormat="false" ht="15" hidden="false" customHeight="false" outlineLevel="0" collapsed="false">
      <c r="A27110" s="0" t="n">
        <f aca="false">_xlfn.FORECAST.ETS(116.75,{20.46;20.5;20.5;20.46;20.46;20.5;20.5;20.46;20.5;20.46;20.46;20.46;20.46;20;20.5;20.46;20.5},{3;10;17;31;38;45;52;59;66;73;80;87;94;101;108;115;122},4)</f>
        <v>20.45875</v>
      </c>
      <c r="B27110" s="0" t="s">
        <v>26930</v>
      </c>
    </row>
    <row r="27111" customFormat="false" ht="15" hidden="false" customHeight="false" outlineLevel="0" collapsed="false">
      <c r="A27111" s="0" t="n">
        <f aca="false">_xlfn.FORECAST.ETS.STAT({20.46;20.5;20.5;20.46;20.46;20.5;20.5;20.46;20.5;20.46;20.46;20.46;20.46;20;20.5;20.46;20.5},{3;10;17;31;38;45;52;59;66;73;80;87;94;101;108;115;122},{7;8},4)</f>
        <v>0.113429169399164</v>
      </c>
      <c r="B27111" s="0" t="s">
        <v>26931</v>
      </c>
    </row>
    <row r="27112" customFormat="false" ht="15" hidden="false" customHeight="false" outlineLevel="0" collapsed="false">
      <c r="A27112" s="0" t="n">
        <f aca="false">_xlfn.FORECAST.ETS.SEASONALITY({20.46;20.5;20.5;20.46;20.46;20.5;20.5;20.46;20.5;20.46;20.46;20.46;20.46;20;20.5;20.46;20.5},{3;10;17;31;38;45;52;59;66;73;80;87;94;101;108;115;122},1,5)</f>
        <v>6</v>
      </c>
      <c r="B27112" s="0" t="s">
        <v>26932</v>
      </c>
    </row>
    <row r="27113" customFormat="false" ht="15" hidden="false" customHeight="false" outlineLevel="0" collapsed="false">
      <c r="A27113" s="0" t="n">
        <f aca="false">_xlfn.FORECAST.ETS.CONFINT({129;136;143},{20.46;20.5;20.5;20.46;20.46;20.5;20.5;20.46;20.5;20.46;20.46;20.46;20.46;20;20.5;20.46;20.5},{3;10;17;31;38;45;52;59;66;73;80;87;94;101;108;115;122},,0)</f>
        <v>0.238326930889356</v>
      </c>
      <c r="B27113" s="0" t="s">
        <v>26933</v>
      </c>
    </row>
    <row r="27114" customFormat="false" ht="15" hidden="false" customHeight="false" outlineLevel="0" collapsed="false">
      <c r="A27114" s="0" t="e">
        <f aca="false">_xlfn.ORG.LIBREOFFICE.FORECAST.ETS.MULT(44955,{40;42.12;53.4;58.42;58.27;69.7;72.17},{44651;44681;44712;44773;44804;44834;44865},3)</f>
        <v>#VALUE!</v>
      </c>
      <c r="B27114" s="0" t="s">
        <v>26934</v>
      </c>
    </row>
    <row r="27115" customFormat="false" ht="15" hidden="false" customHeight="false" outlineLevel="0" collapsed="false">
      <c r="A27115" s="0" t="e">
        <f aca="false">_xlfn.FORECAST.ETS.STAT({40;42.12;53.4;58.42;58.27;69.7;72.17},{44651;44681;44712;44773;44804;44834;44865},{6;8;4;3;5;7;2;1;9},3)</f>
        <v>#VALUE!</v>
      </c>
      <c r="B27115" s="0" t="s">
        <v>26935</v>
      </c>
    </row>
    <row r="27116" customFormat="false" ht="15" hidden="false" customHeight="false" outlineLevel="0" collapsed="false">
      <c r="A27116" s="0" t="e">
        <f aca="false">_xlfn.FORECAST.ETS.SEASONALITY({40;42.12;53.4;58.42;58.27;69.7;72.17},{44651;44681;44712;44773;44804;44834;44865},0,6)</f>
        <v>#VALUE!</v>
      </c>
      <c r="B27116" s="0" t="s">
        <v>26936</v>
      </c>
    </row>
    <row r="27117" customFormat="false" ht="15" hidden="false" customHeight="false" outlineLevel="0" collapsed="false">
      <c r="A27117" s="0" t="e">
        <f aca="false">_xlfn.ORG.LIBREOFFICE.FORECAST.ETS.MULT({45015;45000},{24.3;24;24.3;24;24.3;24.3;24;24.3;27.5;24;24.3;24.3;24.3},{44651;44681;44712;44742;44773;44804;44834;44865;44865;44895;44926;44957;44985})</f>
        <v>#VALUE!</v>
      </c>
      <c r="B27117" s="0" t="s">
        <v>26937</v>
      </c>
    </row>
    <row r="27118" customFormat="false" ht="15" hidden="false" customHeight="false" outlineLevel="0" collapsed="false">
      <c r="A27118" s="0" t="e">
        <f aca="false">_xlfn.FORECAST.ETS.STAT({24.3;24;24.3;24;24.3;24.3;24;24.3;27.5;24;24.3;24.3;24.3},{44651;44681;44712;44742;44773;44804;44834;44865;44865;44895;44926;44957;44985},{1})</f>
        <v>#VALUE!</v>
      </c>
      <c r="B27118" s="0" t="s">
        <v>26938</v>
      </c>
    </row>
    <row r="27119" customFormat="false" ht="15" hidden="false" customHeight="false" outlineLevel="0" collapsed="false">
      <c r="A27119" s="0" t="e">
        <f aca="false">_xlfn.FORECAST.ETS.SEASONALITY({24.3;24;24.3;24;24.3;24.3;24;24.3;27.5;24;24.3;24.3;24.3},{44651;44681;44712;44742;44773;44804;44834;44865;44865;44895;44926;44957;44985})</f>
        <v>#VALUE!</v>
      </c>
      <c r="B27119" s="0" t="s">
        <v>26939</v>
      </c>
    </row>
    <row r="27120" customFormat="false" ht="15" hidden="false" customHeight="false" outlineLevel="0" collapsed="false">
      <c r="A27120" s="0" t="n">
        <f aca="false">_xlfn.ORG.LIBREOFFICE.FORECAST.ETS.MULT({13;12.5;16},{4;4;76;43.25;31.47;22;10;45.38;76.96;58;41.8;47.91},{1;2;3;4;5;6;7;8;9;10;11;12})</f>
        <v>11.0135401703881</v>
      </c>
      <c r="B27120" s="0" t="s">
        <v>26940</v>
      </c>
    </row>
    <row r="27121" customFormat="false" ht="15" hidden="false" customHeight="false" outlineLevel="0" collapsed="false">
      <c r="A27121" s="0" t="n">
        <f aca="false">_xlfn.FORECAST.ETS.STAT({4;4;76;43.25;31.47;22;10;45.38;76.96;58;41.8;47.91},{1;2;3;4;5;6;7;8;9;10;11;12},{2;5})</f>
        <v>0.125</v>
      </c>
      <c r="B27121" s="0" t="s">
        <v>26941</v>
      </c>
    </row>
    <row r="27122" customFormat="false" ht="15" hidden="false" customHeight="false" outlineLevel="0" collapsed="false">
      <c r="A27122" s="0" t="n">
        <f aca="false">_xlfn.FORECAST.ETS.SEASONALITY({4;4;76;43.25;31.47;22;10;45.38;76.96;58;41.8;47.91},{1;2;3;4;5;6;7;8;9;10;11;12})</f>
        <v>6</v>
      </c>
      <c r="B27122" s="0" t="s">
        <v>26942</v>
      </c>
    </row>
    <row r="27123" customFormat="false" ht="15" hidden="false" customHeight="false" outlineLevel="0" collapsed="false">
      <c r="A27123" s="0" t="n">
        <f aca="false">_xlfn.FORECAST.ETS(5.25,{14;14;14.19;14.19;14;14.19;14;14;14.2;14.2;14;14.2;14.2;14.2;14.2;14.2;14.2},{1;1.5;2;2.5;3;3.5;4;4.5;5;5.5;6;6.5;7;7.5;8;8.5;9},1,,7)</f>
        <v>14.1906263796717</v>
      </c>
      <c r="B27123" s="0" t="s">
        <v>26943</v>
      </c>
    </row>
    <row r="27124" customFormat="false" ht="15" hidden="false" customHeight="false" outlineLevel="0" collapsed="false">
      <c r="A27124" s="0" t="n">
        <f aca="false">_xlfn.FORECAST.ETS.STAT({14;14;14.19;14.19;14;14.19;14;14;14.2;14.2;14;14.2;14.2;14.2;14.2;14.2;14.2},{1;1.5;2;2.5;3;3.5;4;4.5;5;5.5;6;6.5;7;7.5;8;8.5;9},{2},1,,7)</f>
        <v>0.013671875</v>
      </c>
      <c r="B27124" s="0" t="s">
        <v>26944</v>
      </c>
    </row>
    <row r="27125" customFormat="false" ht="15" hidden="false" customHeight="false" outlineLevel="0" collapsed="false">
      <c r="A27125" s="0" t="n">
        <f aca="false">_xlfn.FORECAST.ETS.SEASONALITY({14;14;14.19;14.19;14;14.19;14;14;14.2;14.2;14;14.2;14.2;14.2;14.2;14.2;14.2},{1;1.5;2;2.5;3;3.5;4;4.5;5;5.5;6;6.5;7;7.5;8;8.5;9},0,7)</f>
        <v>3</v>
      </c>
      <c r="B27125" s="0" t="s">
        <v>26945</v>
      </c>
    </row>
    <row r="27126" customFormat="false" ht="15" hidden="false" customHeight="false" outlineLevel="0" collapsed="false">
      <c r="A27126" s="0" t="n">
        <f aca="false">_xlfn.FORECAST.ETS({30,31,30},{71;25.39;94.08;81.5;13.4;6.5;45;94;36.2;2.79;30;96.81;48.85;67.55},{3;5;7;9;11;13;15;17;19;21;23;25;27;29},0,1)</f>
        <v>53.2307718190328</v>
      </c>
      <c r="B27126" s="0" t="s">
        <v>26946</v>
      </c>
    </row>
    <row r="27127" customFormat="false" ht="15" hidden="false" customHeight="false" outlineLevel="0" collapsed="false">
      <c r="A27127" s="0" t="n">
        <f aca="false">_xlfn.ORG.LIBREOFFICE.FORECAST.ETS.STAT.MULT({71;25.39;94.08;81.5;13.4;6.5;45;94;36.2;2.79;30;96.81;48.85;67.55},{3;5;7;9;11;13;15;17;19;21;23;25;27;29},{1;8},0,1)</f>
        <v>0.125</v>
      </c>
      <c r="B27127" s="0" t="s">
        <v>26947</v>
      </c>
    </row>
    <row r="27128" customFormat="false" ht="15" hidden="false" customHeight="false" outlineLevel="0" collapsed="false">
      <c r="A27128" s="0" t="n">
        <f aca="false">_xlfn.FORECAST.ETS.SEASONALITY({71;25.39;94.08;81.5;13.4;6.5;45;94;36.2;2.79;30;96.81;48.85;67.55},{3;5;7;9;11;13;15;17;19;21;23;25;27;29},0,6)</f>
        <v>4</v>
      </c>
      <c r="B27128" s="0" t="s">
        <v>26948</v>
      </c>
    </row>
    <row r="27129" customFormat="false" ht="15" hidden="false" customHeight="false" outlineLevel="0" collapsed="false">
      <c r="A27129" s="0" t="n">
        <f aca="false">_xlfn.FORECAST.ETS({45010,45011},{16;19.5;22.53;26;31.4;32.8;36.6;39.1;43.64},{45000;45001;45002;45003;45004;45005;45006;45007;45008},1)</f>
        <v>48.0938118346894</v>
      </c>
      <c r="B27129" s="0" t="s">
        <v>26949</v>
      </c>
    </row>
    <row r="27130" customFormat="false" ht="15" hidden="false" customHeight="false" outlineLevel="0" collapsed="false">
      <c r="A27130" s="0" t="n">
        <f aca="false">_xlfn.ORG.LIBREOFFICE.FORECAST.ETS.STAT.MULT({16;19.5;22.53;26;31.4;32.8;36.6;39.1;43.64},{45000;45001;45002;45003;45004;45005;45006;45007;45008},{4;8;5;7;9;3;1;6;2},1)</f>
        <v>0.143667940380397</v>
      </c>
      <c r="B27130" s="0" t="s">
        <v>26950</v>
      </c>
    </row>
    <row r="27131" customFormat="false" ht="15" hidden="false" customHeight="false" outlineLevel="0" collapsed="false">
      <c r="A27131" s="0" t="n">
        <f aca="false">_xlfn.FORECAST.ETS.SEASONALITY({16;19.5;22.53;26;31.4;32.8;36.6;39.1;43.64},{45000;45001;45002;45003;45004;45005;45006;45007;45008},0,3)</f>
        <v>4</v>
      </c>
      <c r="B27131" s="0" t="s">
        <v>26951</v>
      </c>
    </row>
    <row r="27132" customFormat="false" ht="15" hidden="false" customHeight="false" outlineLevel="0" collapsed="false">
      <c r="A27132" s="0" t="n">
        <f aca="false">_xlfn.FORECAST.ETS({45020.5;45020},{28;46.8;27.49;44.2;38;27.26;46.7;40;51;21;60.1;47.43;30.8;32.3;33.4;35;32.99;19.1;40;54.4},{45015;45017;45001;45010;45006;45011;45008;45013;45012;45007;45016;45014;45005;45002;45019;45009;45000;45003;45004;45018})</f>
        <v>57.4053202800788</v>
      </c>
      <c r="B27132" s="0" t="s">
        <v>26952</v>
      </c>
    </row>
    <row r="27133" customFormat="false" ht="15" hidden="false" customHeight="false" outlineLevel="0" collapsed="false">
      <c r="A27133" s="0" t="n">
        <f aca="false">_xlfn.FORECAST.ETS.STAT({28;46.8;27.49;44.2;38;27.26;46.7;40;51;21;60.1;47.43;30.8;32.3;33.4;35;32.99;19.1;40;54.4},{45015;45017;45001;45010;45006;45011;45008;45013;45012;45007;45016;45014;45005;45002;45019;45009;45000;45003;45004;45018},{4})</f>
        <v>0.0884671688167343</v>
      </c>
      <c r="B27133" s="0" t="s">
        <v>26953</v>
      </c>
    </row>
    <row r="27134" customFormat="false" ht="15" hidden="false" customHeight="false" outlineLevel="0" collapsed="false">
      <c r="A27134" s="0" t="n">
        <f aca="false">_xlfn.FORECAST.ETS.SEASONALITY({28;46.8;27.49;44.2;38;27.26;46.7;40;51;21;60.1;47.43;30.8;32.3;33.4;35;32.99;19.1;40;54.4},{45015;45017;45001;45010;45006;45011;45008;45013;45012;45007;45016;45014;45005;45002;45019;45009;45000;45003;45004;45018},1)</f>
        <v>4</v>
      </c>
      <c r="B27134" s="0" t="s">
        <v>26954</v>
      </c>
    </row>
    <row r="27135" customFormat="false" ht="15" hidden="false" customHeight="false" outlineLevel="0" collapsed="false">
      <c r="A27135" s="0" t="n">
        <f aca="false">_xlfn.FORECAST.ETS.CONFINT({45020;45021;45022},{28;46.8;27.49;44.2;38;27.26;46.7;40;51;21;60.1;47.43;30.8;32.3;33.4;35;32.99;19.1;40;54.4},{45015;45017;45001;45010;45006;45011;45008;45013;45012;45007;45016;45014;45005;45002;45019;45009;45000;45003;45004;45018},0,0,1)</f>
        <v>0</v>
      </c>
      <c r="B27135" s="0" t="s">
        <v>26955</v>
      </c>
    </row>
    <row r="27136" customFormat="false" ht="15" hidden="false" customHeight="false" outlineLevel="0" collapsed="false">
      <c r="A27136" s="0" t="n">
        <f aca="false">_xlfn.FORECAST.ETS({11.75,11.75},{12.62;12.6;13;13;12.62;13;12.6;12.62;12.62;12.62;12.6;12.6;12.6;12.62;12.6;12.62;12.62;12.6;12.6;12.6;13;13},{1;1.5;2;2.5;3;3.5;4;4.5;5;5.5;6;6.5;7;7.5;8;8.5;9;9.5;10;10.5;11;11.5})</f>
        <v>12.9577468036612</v>
      </c>
      <c r="B27136" s="0" t="s">
        <v>26956</v>
      </c>
    </row>
    <row r="27137" customFormat="false" ht="15" hidden="false" customHeight="false" outlineLevel="0" collapsed="false">
      <c r="A27137" s="0" t="n">
        <f aca="false">_xlfn.FORECAST.ETS.STAT({12.62;12.6;13;13;12.62;13;12.6;12.62;12.62;12.62;12.6;12.6;12.6;12.62;12.6;12.62;12.62;12.6;12.6;12.6;13;13},{1;1.5;2;2.5;3;3.5;4;4.5;5;5.5;6;6.5;7;7.5;8;8.5;9;9.5;10;10.5;11;11.5},{4;2;9;5;8;7;6;3;1})</f>
        <v>1.0833783690504</v>
      </c>
      <c r="B27137" s="0" t="s">
        <v>26957</v>
      </c>
    </row>
    <row r="27138" customFormat="false" ht="15" hidden="false" customHeight="false" outlineLevel="0" collapsed="false">
      <c r="A27138" s="0" t="n">
        <f aca="false">_xlfn.FORECAST.ETS.SEASONALITY({12.62;12.6;13;13;12.62;13;12.6;12.62;12.62;12.62;12.6;12.6;12.6;12.62;12.6;12.62;12.62;12.6;12.6;12.6;13;13},{1;1.5;2;2.5;3;3.5;4;4.5;5;5.5;6;6.5;7;7.5;8;8.5;9;9.5;10;10.5;11;11.5},0,1)</f>
        <v>8</v>
      </c>
      <c r="B27138" s="0" t="s">
        <v>26958</v>
      </c>
    </row>
    <row r="27139" customFormat="false" ht="15" hidden="false" customHeight="false" outlineLevel="0" collapsed="false">
      <c r="A27139" s="0" t="n">
        <f aca="false">_xlfn.ORG.LIBREOFFICE.FORECAST.ETS.PI.MULT(13,{12.62;12.6;13;13;12.62;13;12.6;12.62;12.62;12.62;12.6;12.6;12.6;12.62;12.6;12.62;12.62;12.6;12.6;12.6;13;13},{1;1.5;2;2.5;3;3.5;4;4.5;5;5.5;6;6.5;7;7.5;8;8.5;9;9.5;10;10.5;11;11.5},0.99,0)</f>
        <v>1.14503406072217</v>
      </c>
      <c r="B27139" s="0" t="s">
        <v>26959</v>
      </c>
    </row>
    <row r="27140" customFormat="false" ht="15" hidden="false" customHeight="false" outlineLevel="0" collapsed="false">
      <c r="A27140" s="0" t="n">
        <f aca="false">_xlfn.ORG.LIBREOFFICE.FORECAST.ETS.MULT({21.5},{29.7;40.6;57.12;71.3;40;53;75.1;93.03;48;65;92.9;113.2;58.42;79.7;109;133.3;69.6;90;129.36;153.5},{1;2;3;4;5;6;7;8;9;10;11;12;13;14;15;16;17;18;19;20},4,1,7)</f>
        <v>91.4289675866499</v>
      </c>
      <c r="B27140" s="0" t="s">
        <v>26960</v>
      </c>
    </row>
    <row r="27141" customFormat="false" ht="15" hidden="false" customHeight="false" outlineLevel="0" collapsed="false">
      <c r="A27141" s="0" t="n">
        <f aca="false">_xlfn.ORG.LIBREOFFICE.FORECAST.ETS.STAT.MULT({29.7;40.6;57.12;71.3;40;53;75.1;93.03;48;65;92.9;113.2;58.42;79.7;109;133.3;69.6;90;129.36;153.5},{1;2;3;4;5;6;7;8;9;10;11;12;13;14;15;16;17;18;19;20},{2;4},4,1,7)</f>
        <v>0</v>
      </c>
      <c r="B27141" s="0" t="s">
        <v>26961</v>
      </c>
    </row>
    <row r="27142" customFormat="false" ht="15" hidden="false" customHeight="false" outlineLevel="0" collapsed="false">
      <c r="A27142" s="0" t="n">
        <f aca="false">_xlfn.FORECAST.ETS.SEASONALITY({29.7;40.6;57.12;71.3;40;53;75.1;93.03;48;65;92.9;113.2;58.42;79.7;109;133.3;69.6;90;129.36;153.5},{1;2;3;4;5;6;7;8;9;10;11;12;13;14;15;16;17;18;19;20},1)</f>
        <v>4</v>
      </c>
      <c r="B27142" s="0" t="s">
        <v>26962</v>
      </c>
    </row>
    <row r="27143" customFormat="false" ht="15" hidden="false" customHeight="false" outlineLevel="0" collapsed="false">
      <c r="A27143" s="0" t="n">
        <f aca="false">_xlfn.ORG.LIBREOFFICE.FORECAST.ETS.MULT(45006.5,{20.37;32;18;30.43;16.64;28.1},{45000;45001;45002;45003;45004;45005},1,0,4)</f>
        <v>20.400592396643</v>
      </c>
      <c r="B27143" s="0" t="s">
        <v>26963</v>
      </c>
    </row>
    <row r="27144" customFormat="false" ht="15" hidden="false" customHeight="false" outlineLevel="0" collapsed="false">
      <c r="A27144" s="0" t="n">
        <f aca="false">_xlfn.ORG.LIBREOFFICE.FORECAST.ETS.STAT.MULT({20.37;32;18;30.43;16.64;28.1},{45000;45001;45002;45003;45004;45005},{5;1;2;6;4;8;7;3;9},1,0,4)</f>
        <v>0.0163586464506108</v>
      </c>
      <c r="B27144" s="0" t="s">
        <v>26964</v>
      </c>
    </row>
    <row r="27145" customFormat="false" ht="15" hidden="false" customHeight="false" outlineLevel="0" collapsed="false">
      <c r="A27145" s="0" t="n">
        <f aca="false">_xlfn.FORECAST.ETS.SEASONALITY({20.37;32;18;30.43;16.64;28.1},{45000;45001;45002;45003;45004;45005})</f>
        <v>2</v>
      </c>
      <c r="B27145" s="0" t="s">
        <v>26965</v>
      </c>
    </row>
    <row r="27146" customFormat="false" ht="15" hidden="false" customHeight="false" outlineLevel="0" collapsed="false">
      <c r="A27146" s="0" t="n">
        <f aca="false">_xlfn.FORECAST.ETS.CONFINT(45006,{20.37;32;18;30.43;16.64;28.1},{45000;45001;45002;45003;45004;45005},0.99,0)</f>
        <v>18.546184921252</v>
      </c>
      <c r="B27146" s="0" t="s">
        <v>26966</v>
      </c>
    </row>
    <row r="27147" customFormat="false" ht="15" hidden="false" customHeight="false" outlineLevel="0" collapsed="false">
      <c r="A27147" s="0" t="n">
        <f aca="false">_xlfn.ORG.LIBREOFFICE.FORECAST.ETS.MULT({80,73},{40;40;39.8;39.79;40;39.8;39.8;40;40;39.8},{3;10;17;24;31;38;45;52;59;66},1,1)</f>
        <v>40.0695967173002</v>
      </c>
      <c r="B27147" s="0" t="s">
        <v>26967</v>
      </c>
    </row>
    <row r="27148" customFormat="false" ht="15" hidden="false" customHeight="false" outlineLevel="0" collapsed="false">
      <c r="A27148" s="0" t="n">
        <f aca="false">_xlfn.ORG.LIBREOFFICE.FORECAST.ETS.STAT.MULT({40;40;39.8;39.79;40;39.8;39.8;40;40;39.8},{3;10;17;24;31;38;45;52;59;66},{2},1,1)</f>
        <v>1</v>
      </c>
      <c r="B27148" s="0" t="s">
        <v>26968</v>
      </c>
    </row>
    <row r="27149" customFormat="false" ht="15" hidden="false" customHeight="false" outlineLevel="0" collapsed="false">
      <c r="A27149" s="0" t="n">
        <f aca="false">_xlfn.FORECAST.ETS.SEASONALITY({40;40;39.8;39.79;40;39.8;39.8;40;40;39.8},{3;10;17;24;31;38;45;52;59;66},1,2)</f>
        <v>3</v>
      </c>
      <c r="B27149" s="0" t="s">
        <v>26969</v>
      </c>
    </row>
    <row r="27150" customFormat="false" ht="15" hidden="false" customHeight="false" outlineLevel="0" collapsed="false">
      <c r="A27150" s="0" t="n">
        <f aca="false">_xlfn.FORECAST.ETS(4,{2.07;8.44;13;6.09;7.7;13.6;17.52;12;13;41.4;17.8;21.9;15},{1;2;3;4;5;6;7;8;9;9;10;11;12},4,0,7)</f>
        <v>6.09</v>
      </c>
      <c r="B27150" s="0" t="s">
        <v>26970</v>
      </c>
    </row>
    <row r="27151" customFormat="false" ht="15" hidden="false" customHeight="false" outlineLevel="0" collapsed="false">
      <c r="A27151" s="0" t="n">
        <f aca="false">_xlfn.ORG.LIBREOFFICE.FORECAST.ETS.STAT.MULT({2.07;8.44;13;6.09;7.7;13.6;17.52;12;13;41.4;17.8;21.9;15},{1;2;3;4;5;6;7;8;9;9;10;11;12},{2;7},4,0,7)</f>
        <v>0</v>
      </c>
      <c r="B27151" s="0" t="s">
        <v>26971</v>
      </c>
    </row>
    <row r="27152" customFormat="false" ht="15" hidden="false" customHeight="false" outlineLevel="0" collapsed="false">
      <c r="A27152" s="0" t="n">
        <f aca="false">_xlfn.FORECAST.ETS.SEASONALITY({2.07;8.44;13;6.09;7.7;13.6;17.52;12;13;41.4;17.8;21.9;15},{1;2;3;4;5;6;7;8;9;9;10;11;12},1,7)</f>
        <v>4</v>
      </c>
      <c r="B27152" s="0" t="s">
        <v>26972</v>
      </c>
    </row>
    <row r="27153" customFormat="false" ht="15" hidden="false" customHeight="false" outlineLevel="0" collapsed="false">
      <c r="A27153" s="0" t="n">
        <f aca="false">_xlfn.ORG.LIBREOFFICE.FORECAST.ETS.MULT({20;17},{49;51;51;51;53.91;53.9;56;57;56.39;59;60.41;59;60;61.8;63;65},{1;2;3;4;5;6;7;8;9;10;11;12;13;14;15;16},7,,4)</f>
        <v>67.5504114687117</v>
      </c>
      <c r="B27153" s="0" t="s">
        <v>26973</v>
      </c>
    </row>
    <row r="27154" customFormat="false" ht="15" hidden="false" customHeight="false" outlineLevel="0" collapsed="false">
      <c r="A27154" s="0" t="n">
        <f aca="false">_xlfn.FORECAST.ETS.STAT({49;51;51;51;53.91;53.9;56;57;56.39;59;60.41;59;60;61.8;63;65},{1;2;3;4;5;6;7;8;9;10;11;12;13;14;15;16},{3;5;6;4;2;9;7;1;8},7,,4)</f>
        <v>0</v>
      </c>
      <c r="B27154" s="0" t="s">
        <v>26974</v>
      </c>
    </row>
    <row r="27155" customFormat="false" ht="15" hidden="false" customHeight="false" outlineLevel="0" collapsed="false">
      <c r="A27155" s="0" t="n">
        <f aca="false">_xlfn.FORECAST.ETS.SEASONALITY({49;51;51;51;53.91;53.9;56;57;56.39;59;60.41;59;60;61.8;63;65},{1;2;3;4;5;6;7;8;9;10;11;12;13;14;15;16},0,2)</f>
        <v>3</v>
      </c>
      <c r="B27155" s="0" t="s">
        <v>26975</v>
      </c>
    </row>
    <row r="27156" customFormat="false" ht="15" hidden="false" customHeight="false" outlineLevel="0" collapsed="false">
      <c r="A27156" s="0" t="e">
        <f aca="false">_xlfn.ORG.LIBREOFFICE.FORECAST.ETS.MULT({16;16;17},{38;33;21.34;64.6;26.28;47.6;33;56;44.8;15;82.91;98;48;5.9},{1;2;3;4;5;6;7;8;8;9;10;11;12;13},7,,5)</f>
        <v>#VALUE!</v>
      </c>
      <c r="B27156" s="0" t="s">
        <v>26976</v>
      </c>
    </row>
    <row r="27157" customFormat="false" ht="15" hidden="false" customHeight="false" outlineLevel="0" collapsed="false">
      <c r="A27157" s="0" t="e">
        <f aca="false">_xlfn.ORG.LIBREOFFICE.FORECAST.ETS.STAT.MULT({38;33;21.34;64.6;26.28;47.6;33;56;44.8;15;82.91;98;48;5.9},{1;2;3;4;5;6;7;8;8;9;10;11;12;13},{6},7,,5)</f>
        <v>#VALUE!</v>
      </c>
      <c r="B27157" s="0" t="s">
        <v>26977</v>
      </c>
    </row>
    <row r="27158" customFormat="false" ht="15" hidden="false" customHeight="false" outlineLevel="0" collapsed="false">
      <c r="A27158" s="0" t="n">
        <f aca="false">_xlfn.FORECAST.ETS.SEASONALITY({38;33;21.34;64.6;26.28;47.6;33;56;44.8;15;82.91;98;48;5.9},{1;2;3;4;5;6;7;8;8;9;10;11;12;13})</f>
        <v>4</v>
      </c>
      <c r="B27158" s="0" t="s">
        <v>26978</v>
      </c>
    </row>
    <row r="27159" customFormat="false" ht="15" hidden="false" customHeight="false" outlineLevel="0" collapsed="false">
      <c r="A27159" s="0" t="n">
        <f aca="false">_xlfn.FORECAST.ETS({128,118},{18.94;20;22.89;23;24.18;27.6;27.7;30;35;35.82;40},{3;13;23;33;43;53;63;73;93;103;113},0,1)</f>
        <v>41.9133584872159</v>
      </c>
      <c r="B27159" s="0" t="s">
        <v>26979</v>
      </c>
    </row>
    <row r="27160" customFormat="false" ht="15" hidden="false" customHeight="false" outlineLevel="0" collapsed="false">
      <c r="A27160" s="0" t="n">
        <f aca="false">_xlfn.FORECAST.ETS.STAT({18.94;20;22.89;23;24.18;27.6;27.7;30;35;35.82;40},{3;13;23;33;43;53;63;73;93;103;113},{2;3},0,1)</f>
        <v>0</v>
      </c>
      <c r="B27160" s="0" t="s">
        <v>26980</v>
      </c>
    </row>
    <row r="27161" customFormat="false" ht="15" hidden="false" customHeight="false" outlineLevel="0" collapsed="false">
      <c r="A27161" s="0" t="n">
        <f aca="false">_xlfn.FORECAST.ETS.SEASONALITY({18.94;20;22.89;23;24.18;27.6;27.7;30;35;35.82;40},{3;13;23;33;43;53;63;73;93;103;113},1)</f>
        <v>6</v>
      </c>
      <c r="B27161" s="0" t="s">
        <v>26981</v>
      </c>
    </row>
    <row r="27162" customFormat="false" ht="15" hidden="false" customHeight="false" outlineLevel="0" collapsed="false">
      <c r="A27162" s="0" t="n">
        <f aca="false">_xlfn.ORG.LIBREOFFICE.FORECAST.ETS.MULT({24,21.5},{7;13.6;9.33;9;6;13;9.8;9;15.82;8;10.9;5.9;13;11;7.32;15;11;9.51;6.6;15.51;9.34},{1;2;3;4;5;6;7;8;9;10;11;12;13;14;15;16;17;18;19;20;21})</f>
        <v>10.7954464767008</v>
      </c>
      <c r="B27162" s="0" t="s">
        <v>26982</v>
      </c>
    </row>
    <row r="27163" customFormat="false" ht="15" hidden="false" customHeight="false" outlineLevel="0" collapsed="false">
      <c r="A27163" s="0" t="n">
        <f aca="false">_xlfn.ORG.LIBREOFFICE.FORECAST.ETS.STAT.MULT({7;13.6;9.33;9;6;13;9.8;9;15.82;8;10.9;5.9;13;11;7.32;15;11;9.51;6.6;15.51;9.34},{1;2;3;4;5;6;7;8;9;10;11;12;13;14;15;16;17;18;19;20;21},{5})</f>
        <v>0.0670416862881114</v>
      </c>
      <c r="B27163" s="0" t="s">
        <v>26983</v>
      </c>
    </row>
    <row r="27164" customFormat="false" ht="15" hidden="false" customHeight="false" outlineLevel="0" collapsed="false">
      <c r="A27164" s="0" t="n">
        <f aca="false">_xlfn.FORECAST.ETS.SEASONALITY({7;13.6;9.33;9;6;13;9.8;9;15.82;8;10.9;5.9;13;11;7.32;15;11;9.51;6.6;15.51;9.34},{1;2;3;4;5;6;7;8;9;10;11;12;13;14;15;16;17;18;19;20;21},1)</f>
        <v>7</v>
      </c>
      <c r="B27164" s="0" t="s">
        <v>26984</v>
      </c>
    </row>
    <row r="27165" customFormat="false" ht="15" hidden="false" customHeight="false" outlineLevel="0" collapsed="false">
      <c r="A27165" s="0" t="n">
        <f aca="false">_xlfn.FORECAST.ETS.CONFINT({22;23;24},{7;13.6;9.33;9;6;13;9.8;9;15.82;8;10.9;5.9;13;11;7.32;15;11;9.51;6.6;15.51;9.34},{1;2;3;4;5;6;7;8;9;10;11;12;13;14;15;16;17;18;19;20;21},0.99,0,1)</f>
        <v>8.80204871862181</v>
      </c>
      <c r="B27165" s="0" t="s">
        <v>26985</v>
      </c>
    </row>
    <row r="27166" customFormat="false" ht="15" hidden="false" customHeight="false" outlineLevel="0" collapsed="false">
      <c r="A27166" s="0" t="n">
        <f aca="false">_xlfn.FORECAST.ETS(21,{7;7.15;4;3.92;2.5;1;-2.6;-3;-3.7;-5.3;-7.8;-10.5;-10.91;-12.2;-14;-16.9;-19.24;-18.6;-21.18},{1;2;3;4;5;6;7;8;9;10;11;12;13;14;15;16;17;18;19},4,,3)</f>
        <v>-26.236307681992</v>
      </c>
      <c r="B27166" s="0" t="s">
        <v>26986</v>
      </c>
    </row>
    <row r="27167" customFormat="false" ht="15" hidden="false" customHeight="false" outlineLevel="0" collapsed="false">
      <c r="A27167" s="0" t="n">
        <f aca="false">_xlfn.ORG.LIBREOFFICE.FORECAST.ETS.STAT.MULT({7;7.15;4;3.92;2.5;1;-2.6;-3;-3.7;-5.3;-7.8;-10.5;-10.91;-12.2;-14;-16.9;-19.24;-18.6;-21.18},{1;2;3;4;5;6;7;8;9;10;11;12;13;14;15;16;17;18;19},{4},4,,3)</f>
        <v>0.740529570840703</v>
      </c>
      <c r="B27167" s="0" t="s">
        <v>26987</v>
      </c>
    </row>
    <row r="27168" customFormat="false" ht="15" hidden="false" customHeight="false" outlineLevel="0" collapsed="false">
      <c r="A27168" s="0" t="n">
        <f aca="false">_xlfn.FORECAST.ETS.SEASONALITY({7;7.15;4;3.92;2.5;1;-2.6;-3;-3.7;-5.3;-7.8;-10.5;-10.91;-12.2;-14;-16.9;-19.24;-18.6;-21.18},{1;2;3;4;5;6;7;8;9;10;11;12;13;14;15;16;17;18;19})</f>
        <v>5</v>
      </c>
      <c r="B27168" s="0" t="s">
        <v>26988</v>
      </c>
    </row>
    <row r="27169" customFormat="false" ht="15" hidden="false" customHeight="false" outlineLevel="0" collapsed="false">
      <c r="A27169" s="0" t="n">
        <f aca="false">_xlfn.FORECAST.ETS({7.5,6.5},{13.6;18.6;23.27;27.2;31.5;36.7;41.9;46;50.8;55;59},{1;1.5;2;2.5;3;3.5;4;4.5;5;5.5;6},1,0,2)</f>
        <v>72.62</v>
      </c>
      <c r="B27169" s="0" t="s">
        <v>26989</v>
      </c>
    </row>
    <row r="27170" customFormat="false" ht="15" hidden="false" customHeight="false" outlineLevel="0" collapsed="false">
      <c r="A27170" s="0" t="n">
        <f aca="false">_xlfn.ORG.LIBREOFFICE.FORECAST.ETS.STAT.MULT({13.6;18.6;23.27;27.2;31.5;36.7;41.9;46;50.8;55;59},{1;1.5;2;2.5;3;3.5;4;4.5;5;5.5;6},{6;5;1;2;9;4;8;3;7},1,0,2)</f>
        <v>0.433999999999999</v>
      </c>
      <c r="B27170" s="0" t="s">
        <v>26990</v>
      </c>
    </row>
    <row r="27171" customFormat="false" ht="15" hidden="false" customHeight="false" outlineLevel="0" collapsed="false">
      <c r="A27171" s="0" t="n">
        <f aca="false">_xlfn.FORECAST.ETS.SEASONALITY({13.6;18.6;23.27;27.2;31.5;36.7;41.9;46;50.8;55;59},{1;1.5;2;2.5;3;3.5;4;4.5;5;5.5;6})</f>
        <v>1</v>
      </c>
      <c r="B27171" s="0" t="s">
        <v>26991</v>
      </c>
    </row>
    <row r="27172" customFormat="false" ht="15" hidden="false" customHeight="false" outlineLevel="0" collapsed="false">
      <c r="A27172" s="0" t="n">
        <f aca="false">_xlfn.FORECAST.ETS(17,{43.54;52;56.92;54.47;45;57.9;51.8;46;55;59.3;57.1;62.16;56},{1;2;3;4;5;6;7;8;9;10;11;13;14},7)</f>
        <v>66.5085714285714</v>
      </c>
      <c r="B27172" s="0" t="s">
        <v>26992</v>
      </c>
    </row>
    <row r="27173" customFormat="false" ht="15" hidden="false" customHeight="false" outlineLevel="0" collapsed="false">
      <c r="A27173" s="0" t="n">
        <f aca="false">_xlfn.ORG.LIBREOFFICE.FORECAST.ETS.STAT.MULT({43.54;52;56.92;54.47;45;57.9;51.8;46;55;59.3;57.1;62.16;56},{1;2;3;4;5;6;7;8;9;10;11;13;14},{2},7)</f>
        <v>0</v>
      </c>
      <c r="B27173" s="0" t="s">
        <v>26993</v>
      </c>
    </row>
    <row r="27174" customFormat="false" ht="15" hidden="false" customHeight="false" outlineLevel="0" collapsed="false">
      <c r="A27174" s="0" t="n">
        <f aca="false">_xlfn.FORECAST.ETS.SEASONALITY({43.54;52;56.92;54.47;45;57.9;51.8;46;55;59.3;57.1;62.16;56},{1;2;3;4;5;6;7;8;9;10;11;13;14},1)</f>
        <v>7</v>
      </c>
      <c r="B27174" s="0" t="s">
        <v>26994</v>
      </c>
    </row>
    <row r="27175" customFormat="false" ht="15" hidden="false" customHeight="false" outlineLevel="0" collapsed="false">
      <c r="A27175" s="0" t="n">
        <f aca="false">_xlfn.ORG.LIBREOFFICE.FORECAST.ETS.MULT(192,{13.1;2.8;10;5.4;13;14;17.98;9;14;12;16.09;20.4;22.7;12.3;18.35;15;23;23.85;27.19;18.89;24;21;26;29.67},{3;10;17;24;31;38;45;52;59;66;73;80;87;94;101;108;115;122;129;136;143;150;157;164},6,1,1)</f>
        <v>24.8470987307678</v>
      </c>
      <c r="B27175" s="0" t="s">
        <v>26995</v>
      </c>
    </row>
    <row r="27176" customFormat="false" ht="15" hidden="false" customHeight="false" outlineLevel="0" collapsed="false">
      <c r="A27176" s="0" t="n">
        <f aca="false">_xlfn.FORECAST.ETS.STAT({13.1;2.8;10;5.4;13;14;17.98;9;14;12;16.09;20.4;22.7;12.3;18.35;15;23;23.85;27.19;18.89;24;21;26;29.67},{3;10;17;24;31;38;45;52;59;66;73;80;87;94;101;108;115;122;129;136;143;150;157;164},{9;6;2;4;5;3;7;1;8},6,1,1)</f>
        <v>6</v>
      </c>
      <c r="B27176" s="0" t="s">
        <v>26996</v>
      </c>
    </row>
    <row r="27177" customFormat="false" ht="15" hidden="false" customHeight="false" outlineLevel="0" collapsed="false">
      <c r="A27177" s="0" t="n">
        <f aca="false">_xlfn.FORECAST.ETS.SEASONALITY({13.1;2.8;10;5.4;13;14;17.98;9;14;12;16.09;20.4;22.7;12.3;18.35;15;23;23.85;27.19;18.89;24;21;26;29.67},{3;10;17;24;31;38;45;52;59;66;73;80;87;94;101;108;115;122;129;136;143;150;157;164},0,2)</f>
        <v>12</v>
      </c>
      <c r="B27177" s="0" t="s">
        <v>26997</v>
      </c>
    </row>
    <row r="27178" customFormat="false" ht="15" hidden="false" customHeight="false" outlineLevel="0" collapsed="false">
      <c r="A27178" s="0" t="n">
        <f aca="false">_xlfn.FORECAST.ETS({115,122,118.5},{45.28;46.26;49;52.95;41;56.27;58.08;63.11;65.8;66.49;72;73.35;75.8;79.22;82;87;88.9},{3;10;17;24;24;31;38;45;52;59;66;73;80;87;94;101;108},4)</f>
        <v>92.1827858747419</v>
      </c>
      <c r="B27178" s="0" t="s">
        <v>26998</v>
      </c>
    </row>
    <row r="27179" customFormat="false" ht="15" hidden="false" customHeight="false" outlineLevel="0" collapsed="false">
      <c r="A27179" s="0" t="n">
        <f aca="false">_xlfn.FORECAST.ETS.STAT({45.28;46.26;49;52.95;41;56.27;58.08;63.11;65.8;66.49;72;73.35;75.8;79.22;82;87;88.9},{3;10;17;24;24;31;38;45;52;59;66;73;80;87;94;101;108},{8;6;2;4;3;5;7;9;1},4)</f>
        <v>7</v>
      </c>
      <c r="B27179" s="0" t="s">
        <v>26999</v>
      </c>
    </row>
    <row r="27180" customFormat="false" ht="15" hidden="false" customHeight="false" outlineLevel="0" collapsed="false">
      <c r="A27180" s="0" t="n">
        <f aca="false">_xlfn.FORECAST.ETS.SEASONALITY({45.28;46.26;49;52.95;41;56.27;58.08;63.11;65.8;66.49;72;73.35;75.8;79.22;82;87;88.9},{3;10;17;24;24;31;38;45;52;59;66;73;80;87;94;101;108})</f>
        <v>8</v>
      </c>
      <c r="B27180" s="0" t="s">
        <v>27000</v>
      </c>
    </row>
    <row r="27181" customFormat="false" ht="15" hidden="false" customHeight="false" outlineLevel="0" collapsed="false">
      <c r="A27181" s="0" t="n">
        <f aca="false">_xlfn.FORECAST.ETS({7.75,7.75},{21.5;31;36.2;29.22;37;45.47;48;44.98;51;57.3;50.51;58;67.2;70.2},{1;1.5;2;2.5;3;3.5;4;4.5;5;5.5;6;6.5;7;7.5},7,,4)</f>
        <v>68.0133100156494</v>
      </c>
      <c r="B27181" s="0" t="s">
        <v>27001</v>
      </c>
    </row>
    <row r="27182" customFormat="false" ht="15" hidden="false" customHeight="false" outlineLevel="0" collapsed="false">
      <c r="A27182" s="0" t="n">
        <f aca="false">_xlfn.ORG.LIBREOFFICE.FORECAST.ETS.STAT.MULT({21.5;31;36.2;29.22;37;45.47;48;44.98;51;57.3;50.51;58;67.2;70.2},{1;1.5;2;2.5;3;3.5;4;4.5;5;5.5;6;6.5;7;7.5},{2;7;6;9;8;5;4;1;3},7,,4)</f>
        <v>0</v>
      </c>
      <c r="B27182" s="0" t="s">
        <v>27002</v>
      </c>
    </row>
    <row r="27183" customFormat="false" ht="15" hidden="false" customHeight="false" outlineLevel="0" collapsed="false">
      <c r="A27183" s="0" t="n">
        <f aca="false">_xlfn.FORECAST.ETS.SEASONALITY({21.5;31;36.2;29.22;37;45.47;48;44.98;51;57.3;50.51;58;67.2;70.2},{1;1.5;2;2.5;3;3.5;4;4.5;5;5.5;6;6.5;7;7.5},1,6)</f>
        <v>7</v>
      </c>
      <c r="B27183" s="0" t="s">
        <v>27003</v>
      </c>
    </row>
    <row r="27184" customFormat="false" ht="15" hidden="false" customHeight="false" outlineLevel="0" collapsed="false">
      <c r="A27184" s="0" t="n">
        <f aca="false">_xlfn.ORG.LIBREOFFICE.FORECAST.ETS.MULT(16,{28;29;28.8;29;31.2;29.53;30.8;33;32;33;32;33.5;34;34.28;36;35;37;38.07;37;38.8;38.8;38.2},{1;2;3;4;5;6;7;8;9;10;11;12;13;14;15;16;17;18;19;20;21;22},7,,7)</f>
        <v>35</v>
      </c>
      <c r="B27184" s="0" t="s">
        <v>27004</v>
      </c>
    </row>
    <row r="27185" customFormat="false" ht="15" hidden="false" customHeight="false" outlineLevel="0" collapsed="false">
      <c r="A27185" s="0" t="n">
        <f aca="false">_xlfn.FORECAST.ETS.STAT({28;29;28.8;29;31.2;29.53;30.8;33;32;33;32;33.5;34;34.28;36;35;37;38.07;37;38.8;38.8;38.2},{1;2;3;4;5;6;7;8;9;10;11;12;13;14;15;16;17;18;19;20;21;22},{9;3;8;6;7;5;2;1;4},7,,7)</f>
        <v>7</v>
      </c>
      <c r="B27185" s="0" t="s">
        <v>27005</v>
      </c>
    </row>
    <row r="27186" customFormat="false" ht="15" hidden="false" customHeight="false" outlineLevel="0" collapsed="false">
      <c r="A27186" s="0" t="n">
        <f aca="false">_xlfn.FORECAST.ETS.SEASONALITY({28;29;28.8;29;31.2;29.53;30.8;33;32;33;32;33.5;34;34.28;36;35;37;38.07;37;38.8;38.8;38.2},{1;2;3;4;5;6;7;8;9;10;11;12;13;14;15;16;17;18;19;20;21;22})</f>
        <v>10</v>
      </c>
      <c r="B27186" s="0" t="s">
        <v>27006</v>
      </c>
    </row>
    <row r="27187" customFormat="false" ht="15" hidden="false" customHeight="false" outlineLevel="0" collapsed="false">
      <c r="A27187" s="0" t="n">
        <f aca="false">_xlfn.FORECAST.ETS(5,{40.58;49.62;42.6;36.22;44.5;36.47},{1;2;3;4;5;6},1,0)</f>
        <v>44.5</v>
      </c>
      <c r="B27187" s="0" t="s">
        <v>27007</v>
      </c>
    </row>
    <row r="27188" customFormat="false" ht="15" hidden="false" customHeight="false" outlineLevel="0" collapsed="false">
      <c r="A27188" s="0" t="n">
        <f aca="false">_xlfn.ORG.LIBREOFFICE.FORECAST.ETS.STAT.MULT({40.58;49.62;42.6;36.22;44.5;36.47},{1;2;3;4;5;6},{3;7},1,0)</f>
        <v>0</v>
      </c>
      <c r="B27188" s="0" t="s">
        <v>27008</v>
      </c>
    </row>
    <row r="27189" customFormat="false" ht="15" hidden="false" customHeight="false" outlineLevel="0" collapsed="false">
      <c r="A27189" s="0" t="n">
        <f aca="false">_xlfn.FORECAST.ETS.SEASONALITY({40.58;49.62;42.6;36.22;44.5;36.47},{1;2;3;4;5;6},1)</f>
        <v>3</v>
      </c>
      <c r="B27189" s="0" t="s">
        <v>27009</v>
      </c>
    </row>
    <row r="27190" customFormat="false" ht="15" hidden="false" customHeight="false" outlineLevel="0" collapsed="false">
      <c r="A27190" s="0" t="n">
        <f aca="false">_xlfn.FORECAST.ETS.CONFINT({7;8;9},{40.58;49.62;42.6;36.22;44.5;36.47},{1;2;3;4;5;6},0.9,0)</f>
        <v>9.15454028850016</v>
      </c>
      <c r="B27190" s="0" t="s">
        <v>27010</v>
      </c>
    </row>
    <row r="27191" customFormat="false" ht="15" hidden="false" customHeight="false" outlineLevel="0" collapsed="false">
      <c r="A27191" s="0" t="n">
        <f aca="false">_xlfn.ORG.LIBREOFFICE.FORECAST.ETS.MULT({3.75,4.5,3.75},{25.5;24.8;24.8;27.4;25},{1.5;2;2.5;3;1})</f>
        <v>27.6573539861814</v>
      </c>
      <c r="B27191" s="0" t="s">
        <v>27011</v>
      </c>
    </row>
    <row r="27192" customFormat="false" ht="15" hidden="false" customHeight="false" outlineLevel="0" collapsed="false">
      <c r="A27192" s="0" t="n">
        <f aca="false">_xlfn.ORG.LIBREOFFICE.FORECAST.ETS.STAT.MULT({25.5;24.8;24.8;27.4;25},{1.5;2;2.5;3;1},{3;7;4;5;1;8;9;2;6})</f>
        <v>0</v>
      </c>
      <c r="B27192" s="0" t="s">
        <v>27012</v>
      </c>
    </row>
    <row r="27193" customFormat="false" ht="15" hidden="false" customHeight="false" outlineLevel="0" collapsed="false">
      <c r="A27193" s="0" t="n">
        <f aca="false">_xlfn.FORECAST.ETS.SEASONALITY({25.5;24.8;24.8;27.4;25},{1.5;2;2.5;3;1},0)</f>
        <v>1</v>
      </c>
      <c r="B27193" s="0" t="s">
        <v>27013</v>
      </c>
    </row>
    <row r="27194" customFormat="false" ht="15" hidden="false" customHeight="false" outlineLevel="0" collapsed="false">
      <c r="A27194" s="0" t="n">
        <f aca="false">_xlfn.FORECAST.ETS({11.75},{32.5;36.93;40;44;44.7;46.7;50.2;54.25;56.9;58;62;63.8;67.66;69;74;76.9;77.1;82;85.58;88.18;89.61;93},{1;1.5;2;2.5;3;3.5;4;4.5;5;5.5;6;6.5;7;7.5;8;8.5;9;9.5;10;10.5;11;11.5},1,0)</f>
        <v>93.8681818181818</v>
      </c>
      <c r="B27194" s="0" t="s">
        <v>27014</v>
      </c>
    </row>
    <row r="27195" customFormat="false" ht="15" hidden="false" customHeight="false" outlineLevel="0" collapsed="false">
      <c r="A27195" s="0" t="n">
        <f aca="false">_xlfn.FORECAST.ETS.STAT({32.5;36.93;40;44;44.7;46.7;50.2;54.25;56.9;58;62;63.8;67.66;69;74;76.9;77.1;82;85.58;88.18;89.61;93},{1;1.5;2;2.5;3;3.5;4;4.5;5;5.5;6;6.5;7;7.5;8;8.5;9;9.5;10;10.5;11;11.5},{5},1,0)</f>
        <v>0.00445863486073794</v>
      </c>
      <c r="B27195" s="0" t="s">
        <v>27015</v>
      </c>
    </row>
    <row r="27196" customFormat="false" ht="15" hidden="false" customHeight="false" outlineLevel="0" collapsed="false">
      <c r="A27196" s="0" t="n">
        <f aca="false">_xlfn.FORECAST.ETS.SEASONALITY({32.5;36.93;40;44;44.7;46.7;50.2;54.25;56.9;58;62;63.8;67.66;69;74;76.9;77.1;82;85.58;88.18;89.61;93},{1;1.5;2;2.5;3;3.5;4;4.5;5;5.5;6;6.5;7;7.5;8;8.5;9;9.5;10;10.5;11;11.5})</f>
        <v>11</v>
      </c>
      <c r="B27196" s="0" t="s">
        <v>27016</v>
      </c>
    </row>
    <row r="27197" customFormat="false" ht="15" hidden="false" customHeight="false" outlineLevel="0" collapsed="false">
      <c r="A27197" s="0" t="n">
        <f aca="false">_xlfn.FORECAST.ETS(12,{68;11.99;94.84;7.6;89.01;1;29.5;32.3;62.22;32.18;42.12;35.64;85.6;89;69;55;24;4.82;32.97;2},{1;1.5;2;2.5;3;3.5;4;4.5;5;5.5;6;6.5;7;7.5;8;8.5;9;9.5;10;10.5},1,0,7)</f>
        <v>27.5487578759108</v>
      </c>
      <c r="B27197" s="0" t="s">
        <v>27017</v>
      </c>
    </row>
    <row r="27198" customFormat="false" ht="15" hidden="false" customHeight="false" outlineLevel="0" collapsed="false">
      <c r="A27198" s="0" t="n">
        <f aca="false">_xlfn.ORG.LIBREOFFICE.FORECAST.ETS.STAT.MULT({68;11.99;94.84;7.6;89.01;1;29.5;32.3;62.22;32.18;42.12;35.64;85.6;89;69;55;24;4.82;32.97;2},{1;1.5;2;2.5;3;3.5;4;4.5;5;5.5;6;6.5;7;7.5;8;8.5;9;9.5;10;10.5},{7;6},1,0,7)</f>
        <v>31.3920713837614</v>
      </c>
      <c r="B27198" s="0" t="s">
        <v>27018</v>
      </c>
    </row>
    <row r="27199" customFormat="false" ht="15" hidden="false" customHeight="false" outlineLevel="0" collapsed="false">
      <c r="A27199" s="0" t="n">
        <f aca="false">_xlfn.FORECAST.ETS.SEASONALITY({68;11.99;94.84;7.6;89.01;1;29.5;32.3;62.22;32.18;42.12;35.64;85.6;89;69;55;24;4.82;32.97;2},{1;1.5;2;2.5;3;3.5;4;4.5;5;5.5;6;6.5;7;7.5;8;8.5;9;9.5;10;10.5},0)</f>
        <v>2</v>
      </c>
      <c r="B27199" s="0" t="s">
        <v>27019</v>
      </c>
    </row>
    <row r="27200" customFormat="false" ht="15" hidden="false" customHeight="false" outlineLevel="0" collapsed="false">
      <c r="A27200" s="0" t="n">
        <f aca="false">_xlfn.ORG.LIBREOFFICE.FORECAST.ETS.MULT(45031,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,3)</f>
        <v>226.086908210065</v>
      </c>
      <c r="B27200" s="0" t="s">
        <v>27020</v>
      </c>
    </row>
    <row r="27201" customFormat="false" ht="15" hidden="false" customHeight="false" outlineLevel="0" collapsed="false">
      <c r="A27201" s="0" t="n">
        <f aca="false">_xlfn.FORECAST.ETS.STAT(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,{2},3)</f>
        <v>0.0625</v>
      </c>
      <c r="B27201" s="0" t="s">
        <v>27021</v>
      </c>
    </row>
    <row r="27202" customFormat="false" ht="15" hidden="false" customHeight="false" outlineLevel="0" collapsed="false">
      <c r="A27202" s="0" t="n">
        <f aca="false">_xlfn.FORECAST.ETS.SEASONALITY({42.4;45.3;43;74.17;78;75.58;97.5;67.2;72.2;66;29.1;112.1;115.1;109;137.1;93;99;88.84;149;150.9;139;175;118;127.41;110.8;185;187.17;170.5;215.31},{45000;45001;45002;45003;45004;45005;45006;45007;45008;45009;45009;45010;45011;45012;45013;45014;45015;45016;45017;45018;45019;45020;45021;45022;45023;45024;45025;45026;45027})</f>
        <v>7</v>
      </c>
      <c r="B27202" s="0" t="s">
        <v>27022</v>
      </c>
    </row>
    <row r="27203" customFormat="false" ht="15" hidden="false" customHeight="false" outlineLevel="0" collapsed="false">
      <c r="A27203" s="0" t="n">
        <f aca="false">_xlfn.FORECAST.ETS({45027;45023.5;45024.5},{35.9;29.77;26.6;37.9;25.8;30.94;45.3;37.3;32;47.1;32;35.62;54.64;44;36.84;57;38.19;43.41;63.1;52.36;42.74;63.5;42;50},{45000;45001;45002;45003;45004;45005;45006;45007;45008;45009;45010;45011;45012;45013;45014;45015;45016;45017;45018;45019;45020;45021;45022;45023},6,,4)</f>
        <v>70.5683333333333</v>
      </c>
      <c r="B27203" s="0" t="s">
        <v>27023</v>
      </c>
    </row>
    <row r="27204" customFormat="false" ht="15" hidden="false" customHeight="false" outlineLevel="0" collapsed="false">
      <c r="A27204" s="0" t="n">
        <f aca="false">_xlfn.ORG.LIBREOFFICE.FORECAST.ETS.STAT.MULT({35.9;29.77;26.6;37.9;25.8;30.94;45.3;37.3;32;47.1;32;35.62;54.64;44;36.84;57;38.19;43.41;63.1;52.36;42.74;63.5;42;50},{45000;45001;45002;45003;45004;45005;45006;45007;45008;45009;45010;45011;45012;45013;45014;45015;45016;45017;45018;45019;45020;45021;45022;45023},{5},6,,4)</f>
        <v>0.0164923303185539</v>
      </c>
      <c r="B27204" s="0" t="s">
        <v>27024</v>
      </c>
    </row>
    <row r="27205" customFormat="false" ht="15" hidden="false" customHeight="false" outlineLevel="0" collapsed="false">
      <c r="A27205" s="0" t="n">
        <f aca="false">_xlfn.FORECAST.ETS.SEASONALITY({35.9;29.77;26.6;37.9;25.8;30.94;45.3;37.3;32;47.1;32;35.62;54.64;44;36.84;57;38.19;43.41;63.1;52.36;42.74;63.5;42;50},{45000;45001;45002;45003;45004;45005;45006;45007;45008;45009;45010;45011;45012;45013;45014;45015;45016;45017;45018;45019;45020;45021;45022;45023},1,5)</f>
        <v>6</v>
      </c>
      <c r="B27205" s="0" t="s">
        <v>27025</v>
      </c>
    </row>
    <row r="27206" customFormat="false" ht="15" hidden="false" customHeight="false" outlineLevel="0" collapsed="false">
      <c r="A27206" s="0" t="n">
        <f aca="false">_xlfn.FORECAST.ETS({3.75;4.5;3.25},{25.25;23.74;24;21.1;10;23.1},{1;1.5;2;2.5;2.5;3})</f>
        <v>19.98</v>
      </c>
      <c r="B27206" s="0" t="s">
        <v>27026</v>
      </c>
    </row>
    <row r="27207" customFormat="false" ht="15" hidden="false" customHeight="false" outlineLevel="0" collapsed="false">
      <c r="A27207" s="0" t="n">
        <f aca="false">_xlfn.FORECAST.ETS.STAT({25.25;23.74;24;21.1;10;23.1},{1;1.5;2;2.5;2.5;3},{8;4})</f>
        <v>0.5</v>
      </c>
      <c r="B27207" s="0" t="s">
        <v>27027</v>
      </c>
    </row>
    <row r="27208" customFormat="false" ht="15" hidden="false" customHeight="false" outlineLevel="0" collapsed="false">
      <c r="A27208" s="0" t="n">
        <f aca="false">_xlfn.FORECAST.ETS.SEASONALITY({25.25;23.74;24;21.1;10;23.1},{1;1.5;2;2.5;2.5;3},1,4)</f>
        <v>2</v>
      </c>
      <c r="B27208" s="0" t="s">
        <v>27028</v>
      </c>
    </row>
    <row r="27209" customFormat="false" ht="15" hidden="false" customHeight="false" outlineLevel="0" collapsed="false">
      <c r="A27209" s="0" t="n">
        <f aca="false">_xlfn.FORECAST.ETS.CONFINT(4.5,{25.25;23.74;24;21.1;10;23.1},{1;1.5;2;2.5;2.5;3},0.99,0,1,4)</f>
        <v>8.66977276316082</v>
      </c>
      <c r="B27209" s="0" t="s">
        <v>27029</v>
      </c>
    </row>
    <row r="27210" customFormat="false" ht="15" hidden="false" customHeight="false" outlineLevel="0" collapsed="false">
      <c r="A27210" s="0" t="n">
        <f aca="false">_xlfn.FORECAST.ETS({6.5;7.5;8},{25;23.86;24.4;29.63;25.61;28},{1;2;3;4;5;6},0)</f>
        <v>28.3</v>
      </c>
      <c r="B27210" s="0" t="s">
        <v>27030</v>
      </c>
    </row>
    <row r="27211" customFormat="false" ht="15" hidden="false" customHeight="false" outlineLevel="0" collapsed="false">
      <c r="A27211" s="0" t="n">
        <f aca="false">_xlfn.FORECAST.ETS.STAT({25;23.86;24.4;29.63;25.61;28},{1;2;3;4;5;6},{8;3},0)</f>
        <v>1</v>
      </c>
      <c r="B27211" s="0" t="s">
        <v>27031</v>
      </c>
    </row>
    <row r="27212" customFormat="false" ht="15" hidden="false" customHeight="false" outlineLevel="0" collapsed="false">
      <c r="A27212" s="0" t="n">
        <f aca="false">_xlfn.FORECAST.ETS.SEASONALITY({25;23.86;24.4;29.63;25.61;28},{1;2;3;4;5;6},1,1)</f>
        <v>3</v>
      </c>
      <c r="B27212" s="0" t="s">
        <v>27032</v>
      </c>
    </row>
    <row r="27213" customFormat="false" ht="15" hidden="false" customHeight="false" outlineLevel="0" collapsed="false">
      <c r="A27213" s="0" t="n">
        <f aca="false">_xlfn.FORECAST.ETS.CONFINT({7;8;9},{25;23.86;24.4;29.63;25.61;28},{1;2;3;4;5;6},0.9,0)</f>
        <v>3.0755332189284</v>
      </c>
      <c r="B27213" s="0" t="s">
        <v>27033</v>
      </c>
    </row>
    <row r="27214" customFormat="false" ht="15" hidden="false" customHeight="false" outlineLevel="0" collapsed="false">
      <c r="A27214" s="0" t="n">
        <f aca="false">_xlfn.ORG.LIBREOFFICE.FORECAST.ETS.MULT({45018;45017;45020},{45.4;25.5;98;86.67;70.04;12;3.85;52;55.9;46.6;24.7;10.4;29;33.46;33.05;53;62},{45000;45001;45002;45003;45004;45005;45006;45007;45008;45009;45010;45011;45012;45013;45014;45015;45016})</f>
        <v>231.800390529318</v>
      </c>
      <c r="B27214" s="0" t="s">
        <v>27034</v>
      </c>
    </row>
    <row r="27215" customFormat="false" ht="15" hidden="false" customHeight="false" outlineLevel="0" collapsed="false">
      <c r="A27215" s="0" t="n">
        <f aca="false">_xlfn.ORG.LIBREOFFICE.FORECAST.ETS.STAT.MULT({45.4;25.5;98;86.67;70.04;12;3.85;52;55.9;46.6;24.7;10.4;29;33.46;33.05;53;62},{45000;45001;45002;45003;45004;45005;45006;45007;45008;45009;45010;45011;45012;45013;45014;45015;45016},{4;8})</f>
        <v>0.564212302171184</v>
      </c>
      <c r="B27215" s="0" t="s">
        <v>27035</v>
      </c>
    </row>
    <row r="27216" customFormat="false" ht="15" hidden="false" customHeight="false" outlineLevel="0" collapsed="false">
      <c r="A27216" s="0" t="n">
        <f aca="false">_xlfn.FORECAST.ETS.SEASONALITY({45.4;25.5;98;86.67;70.04;12;3.85;52;55.9;46.6;24.7;10.4;29;33.46;33.05;53;62},{45000;45001;45002;45003;45004;45005;45006;45007;45008;45009;45010;45011;45012;45013;45014;45015;45016})</f>
        <v>5</v>
      </c>
      <c r="B27216" s="0" t="s">
        <v>27036</v>
      </c>
    </row>
    <row r="27217" customFormat="false" ht="15" hidden="false" customHeight="false" outlineLevel="0" collapsed="false">
      <c r="A27217" s="0" t="e">
        <f aca="false">_xlfn.FORECAST.ETS(45260,{35.4;35.41;35;35.4;35.41;35;35.41;35;35.41;35.4;35.41;35;35;35.4;35;35.41;35.41;35.41;35.4;35.41;35.41;35},{44592;44620;44651;44681;44712;44742;44773;44804;44834;44865;44895;44926;44957;44985;45016;45046;45077;45107;45138;45169;45199;45230},4,1,3)</f>
        <v>#VALUE!</v>
      </c>
      <c r="B27217" s="0" t="s">
        <v>27037</v>
      </c>
    </row>
    <row r="27218" customFormat="false" ht="15" hidden="false" customHeight="false" outlineLevel="0" collapsed="false">
      <c r="A27218" s="0" t="e">
        <f aca="false">_xlfn.ORG.LIBREOFFICE.FORECAST.ETS.STAT.MULT({35.4;35.41;35;35.4;35.41;35;35.41;35;35.41;35.4;35.41;35;35;35.4;35;35.41;35.41;35.41;35.4;35.41;35.41;35},{44592;44620;44651;44681;44712;44742;44773;44804;44834;44865;44895;44926;44957;44985;45016;45046;45077;45107;45138;45169;45199;45230},{3},4,1,3)</f>
        <v>#VALUE!</v>
      </c>
      <c r="B27218" s="0" t="s">
        <v>27038</v>
      </c>
    </row>
    <row r="27219" customFormat="false" ht="15" hidden="false" customHeight="false" outlineLevel="0" collapsed="false">
      <c r="A27219" s="0" t="e">
        <f aca="false">_xlfn.FORECAST.ETS.SEASONALITY({35.4;35.41;35;35.4;35.41;35;35.41;35;35.41;35.4;35.41;35;35;35.4;35;35.41;35.41;35.41;35.4;35.41;35.41;35},{44592;44620;44651;44681;44712;44742;44773;44804;44834;44865;44895;44926;44957;44985;45016;45046;45077;45107;45138;45169;45199;45230},1)</f>
        <v>#VALUE!</v>
      </c>
      <c r="B27219" s="0" t="s">
        <v>27039</v>
      </c>
    </row>
    <row r="27220" customFormat="false" ht="15" hidden="false" customHeight="false" outlineLevel="0" collapsed="false">
      <c r="A27220" s="0" t="n">
        <f aca="false">_xlfn.FORECAST.ETS(21,{22;30.3;30.1;35.94;35;43.82;44.16;47.3;48.44;58.6;59.27;61;62;72.34;70.7;76.16;77;82.9;84.1;88.1},{1;2;3;4;5;6;7;8;9;10;11;12;13;14;15;16;17;18;19;20},2)</f>
        <v>89.6814689660642</v>
      </c>
      <c r="B27220" s="0" t="s">
        <v>27040</v>
      </c>
    </row>
    <row r="27221" customFormat="false" ht="15" hidden="false" customHeight="false" outlineLevel="0" collapsed="false">
      <c r="A27221" s="0" t="n">
        <f aca="false">_xlfn.ORG.LIBREOFFICE.FORECAST.ETS.STAT.MULT({22;30.3;30.1;35.94;35;43.82;44.16;47.3;48.44;58.6;59.27;61;62;72.34;70.7;76.16;77;82.9;84.1;88.1},{1;2;3;4;5;6;7;8;9;10;11;12;13;14;15;16;17;18;19;20},{9},2)</f>
        <v>2</v>
      </c>
      <c r="B27221" s="0" t="s">
        <v>27041</v>
      </c>
    </row>
    <row r="27222" customFormat="false" ht="15" hidden="false" customHeight="false" outlineLevel="0" collapsed="false">
      <c r="A27222" s="0" t="n">
        <f aca="false">_xlfn.FORECAST.ETS.SEASONALITY({22;30.3;30.1;35.94;35;43.82;44.16;47.3;48.44;58.6;59.27;61;62;72.34;70.7;76.16;77;82.9;84.1;88.1},{1;2;3;4;5;6;7;8;9;10;11;12;13;14;15;16;17;18;19;20})</f>
        <v>4</v>
      </c>
      <c r="B27222" s="0" t="s">
        <v>27042</v>
      </c>
    </row>
    <row r="27223" customFormat="false" ht="15" hidden="false" customHeight="false" outlineLevel="0" collapsed="false">
      <c r="A27223" s="0" t="e">
        <f aca="false">_xlfn.ORG.LIBREOFFICE.FORECAST.ETS.PI.MULT(23,{22;30.3;30.1;35.94;35;43.82;44.16;47.3;48.44;58.6;59.27;61;62;72.34;70.7;76.16;77;82.9;84.1;88.1},{1;2;3;4;5;6;7;8;9;10;11;12;13;14;15;16;17;18;19;20},1,0)</f>
        <v>#NUM!</v>
      </c>
      <c r="B27223" s="0" t="s">
        <v>27043</v>
      </c>
    </row>
    <row r="27224" customFormat="false" ht="15" hidden="false" customHeight="false" outlineLevel="0" collapsed="false">
      <c r="A27224" s="0" t="n">
        <f aca="false">_xlfn.ORG.LIBREOFFICE.FORECAST.ETS.MULT(157,{22.09;25.3;12.7;11.82;21.64;11.51;19;13.54;14.14;8.1;6.59;11;6.58;8;4;5.5;2.7;2.1;0;2;0.69},{3;10;17;24;31;38;45;52;59;66;73;80;87;94;101;108;115;122;129;136;143},4)</f>
        <v>-0.259931668447408</v>
      </c>
      <c r="B27224" s="0" t="s">
        <v>27044</v>
      </c>
    </row>
    <row r="27225" customFormat="false" ht="15" hidden="false" customHeight="false" outlineLevel="0" collapsed="false">
      <c r="A27225" s="0" t="n">
        <f aca="false">_xlfn.ORG.LIBREOFFICE.FORECAST.ETS.STAT.MULT({22.09;25.3;12.7;11.82;21.64;11.51;19;13.54;14.14;8.1;6.59;11;6.58;8;4;5.5;2.7;2.1;0;2;0.69},{3;10;17;24;31;38;45;52;59;66;73;80;87;94;101;108;115;122;129;136;143},{6},4)</f>
        <v>3.13011413456791</v>
      </c>
      <c r="B27225" s="0" t="s">
        <v>27045</v>
      </c>
    </row>
    <row r="27226" customFormat="false" ht="15" hidden="false" customHeight="false" outlineLevel="0" collapsed="false">
      <c r="A27226" s="0" t="n">
        <f aca="false">_xlfn.FORECAST.ETS.SEASONALITY({22.09;25.3;12.7;11.82;21.64;11.51;19;13.54;14.14;8.1;6.59;11;6.58;8;4;5.5;2.7;2.1;0;2;0.69},{3;10;17;24;31;38;45;52;59;66;73;80;87;94;101;108;115;122;129;136;143},1)</f>
        <v>7</v>
      </c>
      <c r="B27226" s="0" t="s">
        <v>27046</v>
      </c>
    </row>
    <row r="27227" customFormat="false" ht="15" hidden="false" customHeight="false" outlineLevel="0" collapsed="false">
      <c r="A27227" s="0" t="n">
        <f aca="false">_xlfn.ORG.LIBREOFFICE.FORECAST.ETS.MULT(2.5,{83.3;100;10.7;33.6;30;70.37;63;49.34;70;4;4.63;34;90},{1;1.5;2;2.5;3;3.5;4;4.5;5;5.5;6;6.5;7})</f>
        <v>33.6</v>
      </c>
      <c r="B27227" s="0" t="s">
        <v>27047</v>
      </c>
    </row>
    <row r="27228" customFormat="false" ht="15" hidden="false" customHeight="false" outlineLevel="0" collapsed="false">
      <c r="A27228" s="0" t="n">
        <f aca="false">_xlfn.FORECAST.ETS.STAT({83.3;100;10.7;33.6;30;70.37;63;49.34;70;4;4.63;34;90},{1;1.5;2;2.5;3;3.5;4;4.5;5;5.5;6;6.5;7},{2})</f>
        <v>0.5</v>
      </c>
      <c r="B27228" s="0" t="s">
        <v>27048</v>
      </c>
    </row>
    <row r="27229" customFormat="false" ht="15" hidden="false" customHeight="false" outlineLevel="0" collapsed="false">
      <c r="A27229" s="0" t="n">
        <f aca="false">_xlfn.FORECAST.ETS.SEASONALITY({83.3;100;10.7;33.6;30;70.37;63;49.34;70;4;4.63;34;90},{1;1.5;2;2.5;3;3.5;4;4.5;5;5.5;6;6.5;7},0)</f>
        <v>2</v>
      </c>
      <c r="B27229" s="0" t="s">
        <v>27049</v>
      </c>
    </row>
    <row r="27230" customFormat="false" ht="15" hidden="false" customHeight="false" outlineLevel="0" collapsed="false">
      <c r="A27230" s="0" t="n">
        <f aca="false">_xlfn.FORECAST.ETS({23;23.5},{19.09;19.1;19;19.1;19.1;19.09;19.09;19.09;19.09;19;19.09;19.09;19.1;19.1;19.1;19;19.09;19.1;19.09;19;19;19},{1;2;3;4;5;6;7;8;9;10;11;12;13;14;15;16;17;18;19;20;21;22},4)</f>
        <v>19.0290237745193</v>
      </c>
      <c r="B27230" s="0" t="s">
        <v>27050</v>
      </c>
    </row>
    <row r="27231" customFormat="false" ht="15" hidden="false" customHeight="false" outlineLevel="0" collapsed="false">
      <c r="A27231" s="0" t="n">
        <f aca="false">_xlfn.FORECAST.ETS.STAT({19.09;19.1;19;19.1;19.1;19.09;19.09;19.09;19.09;19;19.09;19.09;19.1;19.1;19.1;19;19.09;19.1;19.09;19;19;19},{1;2;3;4;5;6;7;8;9;10;11;12;13;14;15;16;17;18;19;20;21;22},{4},4)</f>
        <v>1.05103874685813</v>
      </c>
      <c r="B27231" s="0" t="s">
        <v>27051</v>
      </c>
    </row>
    <row r="27232" customFormat="false" ht="15" hidden="false" customHeight="false" outlineLevel="0" collapsed="false">
      <c r="A27232" s="0" t="n">
        <f aca="false">_xlfn.FORECAST.ETS.SEASONALITY({19.09;19.1;19;19.1;19.1;19.09;19.09;19.09;19.09;19;19.09;19.09;19.1;19.1;19.1;19;19.09;19.1;19.09;19;19;19},{1;2;3;4;5;6;7;8;9;10;11;12;13;14;15;16;17;18;19;20;21;22})</f>
        <v>6</v>
      </c>
      <c r="B27232" s="0" t="s">
        <v>27052</v>
      </c>
    </row>
    <row r="27233" customFormat="false" ht="15" hidden="false" customHeight="false" outlineLevel="0" collapsed="false">
      <c r="A27233" s="0" t="n">
        <f aca="false">_xlfn.FORECAST.ETS.CONFINT({23;24;25},{19.09;19.1;19;19.1;19.1;19.09;19.09;19.09;19.09;19;19.09;19.09;19.1;19.1;19.1;19;19.09;19.1;19.09;19;19;19},{1;2;3;4;5;6;7;8;9;10;11;12;13;14;15;16;17;18;19;20;21;22},,0,1,3)</f>
        <v>0.0857085127011484</v>
      </c>
      <c r="B27233" s="0" t="s">
        <v>27053</v>
      </c>
    </row>
    <row r="27234" customFormat="false" ht="15" hidden="false" customHeight="false" outlineLevel="0" collapsed="false">
      <c r="A27234" s="0" t="n">
        <f aca="false">_xlfn.FORECAST.ETS({23;21.5},{15.52;17.3;16;17.69;18.77;14.6;21.5;13;18;19.62;20;22;14;17;15.42;17.3;14.4;18.8;11.4;16},{20;15;12;4;10;17;5;19;9;2;6;1;14;7;16;11;13;3;18;8},0,0)</f>
        <v>12.9670219280845</v>
      </c>
      <c r="B27234" s="0" t="s">
        <v>27054</v>
      </c>
    </row>
    <row r="27235" customFormat="false" ht="15" hidden="false" customHeight="false" outlineLevel="0" collapsed="false">
      <c r="A27235" s="0" t="n">
        <f aca="false">_xlfn.FORECAST.ETS.STAT({15.52;17.3;16;17.69;18.77;14.6;21.5;13;18;19.62;20;22;14;17;15.42;17.3;14.4;18.8;11.4;16},{20;15;12;4;10;17;5;19;9;2;6;1;14;7;16;11;13;3;18;8},{1;7;6;2;9;4;5;8;3},0,0)</f>
        <v>0.5</v>
      </c>
      <c r="B27235" s="0" t="s">
        <v>27055</v>
      </c>
    </row>
    <row r="27236" customFormat="false" ht="15" hidden="false" customHeight="false" outlineLevel="0" collapsed="false">
      <c r="A27236" s="0" t="n">
        <f aca="false">_xlfn.FORECAST.ETS.SEASONALITY({15.52;17.3;16;17.69;18.77;14.6;21.5;13;18;19.62;20;22;14;17;15.42;17.3;14.4;18.8;11.4;16},{20;15;12;4;10;17;5;19;9;2;6;1;14;7;16;11;13;3;18;8},0,5)</f>
        <v>10</v>
      </c>
      <c r="B27236" s="0" t="s">
        <v>27056</v>
      </c>
    </row>
    <row r="27237" customFormat="false" ht="15" hidden="false" customHeight="false" outlineLevel="0" collapsed="false">
      <c r="A27237" s="0" t="e">
        <f aca="false">_xlfn.ORG.LIBREOFFICE.FORECAST.ETS.MULT(10,{49;49.4;49;49.4;49.41;49},{3;5;7;9;11;13},7,1,1)</f>
        <v>#VALUE!</v>
      </c>
      <c r="B27237" s="0" t="s">
        <v>27057</v>
      </c>
    </row>
    <row r="27238" customFormat="false" ht="15" hidden="false" customHeight="false" outlineLevel="0" collapsed="false">
      <c r="A27238" s="0" t="e">
        <f aca="false">_xlfn.ORG.LIBREOFFICE.FORECAST.ETS.STAT.MULT({49;49.4;49;49.4;49.41;49},{3;5;7;9;11;13},{5;9},7,1,1)</f>
        <v>#VALUE!</v>
      </c>
      <c r="B27238" s="0" t="s">
        <v>27058</v>
      </c>
    </row>
    <row r="27239" customFormat="false" ht="15" hidden="false" customHeight="false" outlineLevel="0" collapsed="false">
      <c r="A27239" s="0" t="n">
        <f aca="false">_xlfn.FORECAST.ETS.SEASONALITY({49;49.4;49;49.4;49.41;49},{3;5;7;9;11;13},0,4)</f>
        <v>3</v>
      </c>
      <c r="B27239" s="0" t="s">
        <v>27059</v>
      </c>
    </row>
    <row r="27240" customFormat="false" ht="15" hidden="false" customHeight="false" outlineLevel="0" collapsed="false">
      <c r="A27240" s="0" t="n">
        <f aca="false">_xlfn.FORECAST.ETS.CONFINT(17,{49;49.4;49;49.4;49.41;49},{3;5;7;9;11;13},0.5,0,0)</f>
        <v>0.211813204615678</v>
      </c>
      <c r="B27240" s="0" t="s">
        <v>27060</v>
      </c>
    </row>
    <row r="27241" customFormat="false" ht="15" hidden="false" customHeight="false" outlineLevel="0" collapsed="false">
      <c r="A27241" s="0" t="n">
        <f aca="false">_xlfn.ORG.LIBREOFFICE.FORECAST.ETS.MULT({10},{98.51;78;14;69;90.82;39;78;69.62;15.1;80.23;99;59;69;70;49.2;71;16},{1;1.5;2;2.5;3;3.5;4;4.5;5;5.5;6;6.5;7;7.5;8;8.5;9},1,0,7)</f>
        <v>74.6987451881805</v>
      </c>
      <c r="B27241" s="0" t="s">
        <v>27061</v>
      </c>
    </row>
    <row r="27242" customFormat="false" ht="15" hidden="false" customHeight="false" outlineLevel="0" collapsed="false">
      <c r="A27242" s="0" t="n">
        <f aca="false">_xlfn.FORECAST.ETS.STAT({98.51;78;14;69;90.82;39;78;69.62;15.1;80.23;99;59;69;70;49.2;71;16},{1;1.5;2;2.5;3;3.5;4;4.5;5;5.5;6;6.5;7;7.5;8;8.5;9},{3;1;4;7;6;9;8;2;5},1,0,7)</f>
        <v>0.560546875</v>
      </c>
      <c r="B27242" s="0" t="s">
        <v>27062</v>
      </c>
    </row>
    <row r="27243" customFormat="false" ht="15" hidden="false" customHeight="false" outlineLevel="0" collapsed="false">
      <c r="A27243" s="0" t="n">
        <f aca="false">_xlfn.FORECAST.ETS.SEASONALITY({98.51;78;14;69;90.82;39;78;69.62;15.1;80.23;99;59;69;70;49.2;71;16},{1;1.5;2;2.5;3;3.5;4;4.5;5;5.5;6;6.5;7;7.5;8;8.5;9},0)</f>
        <v>3</v>
      </c>
      <c r="B27243" s="0" t="s">
        <v>27063</v>
      </c>
    </row>
    <row r="27244" customFormat="false" ht="15" hidden="false" customHeight="false" outlineLevel="0" collapsed="false">
      <c r="A27244" s="0" t="e">
        <f aca="false">_xlfn.FORECAST.ETS(45184,{43.2;29.78;33;38.72;39;24.6;27.73;38.16;34.9},{44895;44926;44957;45016;45046;45077;45107;45138;45169})</f>
        <v>#VALUE!</v>
      </c>
      <c r="B27244" s="0" t="s">
        <v>27064</v>
      </c>
    </row>
    <row r="27245" customFormat="false" ht="15" hidden="false" customHeight="false" outlineLevel="0" collapsed="false">
      <c r="A27245" s="0" t="e">
        <f aca="false">_xlfn.ORG.LIBREOFFICE.FORECAST.ETS.STAT.MULT({43.2;29.78;33;38.72;39;24.6;27.73;38.16;34.9},{44895;44926;44957;45016;45046;45077;45107;45138;45169},{3;2})</f>
        <v>#VALUE!</v>
      </c>
      <c r="B27245" s="0" t="s">
        <v>27065</v>
      </c>
    </row>
    <row r="27246" customFormat="false" ht="15" hidden="false" customHeight="false" outlineLevel="0" collapsed="false">
      <c r="A27246" s="0" t="e">
        <f aca="false">_xlfn.FORECAST.ETS.SEASONALITY({43.2;29.78;33;38.72;39;24.6;27.73;38.16;34.9},{44895;44926;44957;45016;45046;45077;45107;45138;45169},1)</f>
        <v>#VALUE!</v>
      </c>
      <c r="B27246" s="0" t="s">
        <v>27066</v>
      </c>
    </row>
    <row r="27247" customFormat="false" ht="15" hidden="false" customHeight="false" outlineLevel="0" collapsed="false">
      <c r="A27247" s="0" t="n">
        <f aca="false">_xlfn.ORG.LIBREOFFICE.FORECAST.ETS.MULT({45425;45500},{87.7;76;71;65.24;49.7;73.3;96.9;19.1;67;74.5;87;53;61.5;39.64;27;48;93.21;56.2;75;37.1;14.9},{44832;44862;44893;44923;44954;44985;45013;45044;45074;45105;45135;45166;45197;45227;45258;45288;45319;45350;45379;45379;45410},0,0)</f>
        <v>38.0224339063633</v>
      </c>
      <c r="B27247" s="0" t="s">
        <v>27067</v>
      </c>
    </row>
    <row r="27248" customFormat="false" ht="15" hidden="false" customHeight="false" outlineLevel="0" collapsed="false">
      <c r="A27248" s="0" t="n">
        <f aca="false">_xlfn.ORG.LIBREOFFICE.FORECAST.ETS.STAT.MULT({87.7;76;71;65.24;49.7;73.3;96.9;19.1;67;74.5;87;53;61.5;39.64;27;48;93.21;56.2;75;37.1;14.9},{44832;44862;44893;44923;44954;44985;45013;45044;45074;45105;45135;45166;45197;45227;45258;45288;45319;45350;45379;45379;45410},{5;7;8;4;9;1;6;2;3},0,0)</f>
        <v>0.395735147571045</v>
      </c>
      <c r="B27248" s="0" t="s">
        <v>27068</v>
      </c>
    </row>
    <row r="27249" customFormat="false" ht="15" hidden="false" customHeight="false" outlineLevel="0" collapsed="false">
      <c r="A27249" s="0" t="n">
        <f aca="false">_xlfn.FORECAST.ETS.SEASONALITY({87.7;76;71;65.24;49.7;73.3;96.9;19.1;67;74.5;87;53;61.5;39.64;27;48;93.21;56.2;75;37.1;14.9},{44832;44862;44893;44923;44954;44985;45013;45044;45074;45105;45135;45166;45197;45227;45258;45288;45319;45350;45379;45379;45410},0,2)</f>
        <v>10</v>
      </c>
      <c r="B27249" s="0" t="s">
        <v>27069</v>
      </c>
    </row>
    <row r="27250" customFormat="false" ht="15" hidden="false" customHeight="false" outlineLevel="0" collapsed="false">
      <c r="A27250" s="0" t="n">
        <f aca="false">_xlfn.FORECAST.ETS({10.25;11;10.5},{25.67;22;15.54;25.03;86.39;65.49;78;9;44;47;77.4;58;72;71;24;97.7;3.15;60;37.28},{1;1.5;2;2.5;3;3.5;4;4.5;5;5.5;6;6.5;7;7.5;8;8.5;9;9.5;10})</f>
        <v>57.6883333333334</v>
      </c>
      <c r="B27250" s="0" t="s">
        <v>27070</v>
      </c>
    </row>
    <row r="27251" customFormat="false" ht="15" hidden="false" customHeight="false" outlineLevel="0" collapsed="false">
      <c r="A27251" s="0" t="n">
        <f aca="false">_xlfn.FORECAST.ETS.STAT({25.67;22;15.54;25.03;86.39;65.49;78;9;44;47;77.4;58;72;71;24;97.7;3.15;60;37.28},{1;1.5;2;2.5;3;3.5;4;4.5;5;5.5;6;6.5;7;7.5;8;8.5;9;9.5;10},{1;5;3;6;7;2;8;4;9})</f>
        <v>0</v>
      </c>
      <c r="B27251" s="0" t="s">
        <v>27071</v>
      </c>
    </row>
    <row r="27252" customFormat="false" ht="15" hidden="false" customHeight="false" outlineLevel="0" collapsed="false">
      <c r="A27252" s="0" t="n">
        <f aca="false">_xlfn.FORECAST.ETS.SEASONALITY({25.67;22;15.54;25.03;86.39;65.49;78;9;44;47;77.4;58;72;71;24;97.7;3.15;60;37.28},{1;1.5;2;2.5;3;3.5;4;4.5;5;5.5;6;6.5;7;7.5;8;8.5;9;9.5;10},1)</f>
        <v>9</v>
      </c>
      <c r="B27252" s="0" t="s">
        <v>27072</v>
      </c>
    </row>
    <row r="27253" customFormat="false" ht="15" hidden="false" customHeight="false" outlineLevel="0" collapsed="false">
      <c r="A27253" s="0" t="n">
        <f aca="false">_xlfn.FORECAST.ETS.CONFINT({10.5;11;11.5},{25.67;22;15.54;25.03;86.39;65.49;78;9;44;47;77.4;58;72;71;24;97.7;3.15;60;37.28},{1;1.5;2;2.5;3;3.5;4;4.5;5;5.5;6;6.5;7;7.5;8;8.5;9;9.5;10},0.99,0,0)</f>
        <v>77.1281208061052</v>
      </c>
      <c r="B27253" s="0" t="s">
        <v>27073</v>
      </c>
    </row>
    <row r="27254" customFormat="false" ht="15" hidden="false" customHeight="false" outlineLevel="0" collapsed="false">
      <c r="A27254" s="0" t="n">
        <f aca="false">_xlfn.ORG.LIBREOFFICE.FORECAST.ETS.MULT({13},{35.35;27.72;31.7;39.1;35.6;54;57;52.72;53.66;63.3;58.42;77.2;80.6;74;78.29;86.57;84.34;99.01;104.5;98;99.39;109.47;107;122},{1;1.5;2;2.5;3;3.5;4;4.5;5;5.5;6;6.5;7;7.5;8;8.5;9;9.5;10;10.5;11;11.5;12;12.5},6,0,4)</f>
        <v>129.492495804501</v>
      </c>
      <c r="B27254" s="0" t="s">
        <v>27074</v>
      </c>
    </row>
    <row r="27255" customFormat="false" ht="15" hidden="false" customHeight="false" outlineLevel="0" collapsed="false">
      <c r="A27255" s="0" t="n">
        <f aca="false">_xlfn.ORG.LIBREOFFICE.FORECAST.ETS.STAT.MULT({35.35;27.72;31.7;39.1;35.6;54;57;52.72;53.66;63.3;58.42;77.2;80.6;74;78.29;86.57;84.34;99.01;104.5;98;99.39;109.47;107;122},{1;1.5;2;2.5;3;3.5;4;4.5;5;5.5;6;6.5;7;7.5;8;8.5;9;9.5;10;10.5;11;11.5;12;12.5},{3},6,0,4)</f>
        <v>1</v>
      </c>
      <c r="B27255" s="0" t="s">
        <v>27075</v>
      </c>
    </row>
    <row r="27256" customFormat="false" ht="15" hidden="false" customHeight="false" outlineLevel="0" collapsed="false">
      <c r="A27256" s="0" t="n">
        <f aca="false">_xlfn.FORECAST.ETS.SEASONALITY({35.35;27.72;31.7;39.1;35.6;54;57;52.72;53.66;63.3;58.42;77.2;80.6;74;78.29;86.57;84.34;99.01;104.5;98;99.39;109.47;107;122},{1;1.5;2;2.5;3;3.5;4;4.5;5;5.5;6;6.5;7;7.5;8;8.5;9;9.5;10;10.5;11;11.5;12;12.5},0,3)</f>
        <v>12</v>
      </c>
      <c r="B27256" s="0" t="s">
        <v>27076</v>
      </c>
    </row>
    <row r="27257" customFormat="false" ht="15" hidden="false" customHeight="false" outlineLevel="0" collapsed="false">
      <c r="A27257" s="0" t="n">
        <f aca="false">_xlfn.ORG.LIBREOFFICE.FORECAST.ETS.PI.MULT(13.5,{35.35;27.72;31.7;39.1;35.6;54;57;52.72;53.66;63.3;58.42;77.2;80.6;74;78.29;86.57;84.34;99.01;104.5;98;99.39;109.47;107;122},{1;1.5;2;2.5;3;3.5;4;4.5;5;5.5;6;6.5;7;7.5;8;8.5;9;9.5;10;10.5;11;11.5;12;12.5},0.99,0,1,1)</f>
        <v>29.7545388549675</v>
      </c>
      <c r="B27257" s="0" t="s">
        <v>27077</v>
      </c>
    </row>
    <row r="27258" customFormat="false" ht="15" hidden="false" customHeight="false" outlineLevel="0" collapsed="false">
      <c r="A27258" s="0" t="n">
        <f aca="false">_xlfn.ORG.LIBREOFFICE.FORECAST.ETS.MULT({45443;45353},{15;16.4;24.28;22.6;16;9.24;10.9;17.6;17.76;13;4.6;5;14.67;11.4;6.5;2;1.7;9.4;5.54;4.3;-5.76;-1.8;4.24;3;-1.54},{44593;44621;44652;44682;44713;44743;44774;44805;44835;44866;44896;44927;44958;44986;45017;45047;45078;45108;45139;45170;45200;45231;45261;45292;45323},1,1)</f>
        <v>4.251915358105</v>
      </c>
      <c r="B27258" s="0" t="s">
        <v>27078</v>
      </c>
    </row>
    <row r="27259" customFormat="false" ht="15" hidden="false" customHeight="false" outlineLevel="0" collapsed="false">
      <c r="A27259" s="0" t="n">
        <f aca="false">_xlfn.ORG.LIBREOFFICE.FORECAST.ETS.STAT.MULT({15;16.4;24.28;22.6;16;9.24;10.9;17.6;17.76;13;4.6;5;14.67;11.4;6.5;2;1.7;9.4;5.54;4.3;-5.76;-1.8;4.24;3;-1.54},{44593;44621;44652;44682;44713;44743;44774;44805;44835;44866;44896;44927;44958;44986;45017;45047;45078;45108;45139;45170;45200;45231;45261;45292;45323},{8;9},1,1)</f>
        <v>1</v>
      </c>
      <c r="B27259" s="0" t="s">
        <v>27079</v>
      </c>
    </row>
    <row r="27260" customFormat="false" ht="15" hidden="false" customHeight="false" outlineLevel="0" collapsed="false">
      <c r="A27260" s="0" t="n">
        <f aca="false">_xlfn.FORECAST.ETS.SEASONALITY({15;16.4;24.28;22.6;16;9.24;10.9;17.6;17.76;13;4.6;5;14.67;11.4;6.5;2;1.7;9.4;5.54;4.3;-5.76;-1.8;4.24;3;-1.54},{44593;44621;44652;44682;44713;44743;44774;44805;44835;44866;44896;44927;44958;44986;45017;45047;45078;45108;45139;45170;45200;45231;45261;45292;45323})</f>
        <v>5</v>
      </c>
      <c r="B27260" s="0" t="s">
        <v>27080</v>
      </c>
    </row>
    <row r="27261" customFormat="false" ht="15" hidden="false" customHeight="false" outlineLevel="0" collapsed="false">
      <c r="A27261" s="0" t="n">
        <f aca="false">_xlfn.FORECAST.ETS({83.5},{29.4;27.5;33.35;28;23;28.7;24;20;26;20;20.02;24.1},{3;10;17;24;31;38;45;52;59;66;73;80},1,0,1)</f>
        <v>21.2004705667094</v>
      </c>
      <c r="B27261" s="0" t="s">
        <v>27081</v>
      </c>
    </row>
    <row r="27262" customFormat="false" ht="15" hidden="false" customHeight="false" outlineLevel="0" collapsed="false">
      <c r="A27262" s="0" t="n">
        <f aca="false">_xlfn.ORG.LIBREOFFICE.FORECAST.ETS.STAT.MULT({29.4;27.5;33.35;28;23;28.7;24;20;26;20;20.02;24.1},{3;10;17;24;31;38;45;52;59;66;73;80},{9;1},1,0,1)</f>
        <v>3</v>
      </c>
      <c r="B27262" s="0" t="s">
        <v>27082</v>
      </c>
    </row>
    <row r="27263" customFormat="false" ht="15" hidden="false" customHeight="false" outlineLevel="0" collapsed="false">
      <c r="A27263" s="0" t="n">
        <f aca="false">_xlfn.FORECAST.ETS.SEASONALITY({29.4;27.5;33.35;28;23;28.7;24;20;26;20;20.02;24.1},{3;10;17;24;31;38;45;52;59;66;73;80})</f>
        <v>3</v>
      </c>
      <c r="B27263" s="0" t="s">
        <v>27083</v>
      </c>
    </row>
    <row r="27264" customFormat="false" ht="15" hidden="false" customHeight="false" outlineLevel="0" collapsed="false">
      <c r="A27264" s="0" t="n">
        <f aca="false">_xlfn.FORECAST.ETS({12,10.75,11.25},{96.7;8.1;9.82;4.1;11.37;23;45.9;62;70.3;81.4;14.05;72.2;75.79;16;7;61.72;52.5;49;50.84;40;98.14},{1;1.5;2;2.5;3;3.5;3.5;4;4.5;5;5.5;6;6.5;7;7.5;8;8.5;9;9.5;10;10.5})</f>
        <v>11.2630222662009</v>
      </c>
      <c r="B27264" s="0" t="s">
        <v>27084</v>
      </c>
    </row>
    <row r="27265" customFormat="false" ht="15" hidden="false" customHeight="false" outlineLevel="0" collapsed="false">
      <c r="A27265" s="0" t="n">
        <f aca="false">_xlfn.FORECAST.ETS.STAT({96.7;8.1;9.82;4.1;11.37;23;45.9;62;70.3;81.4;14.05;72.2;75.79;16;7;61.72;52.5;49;50.84;40;98.14},{1;1.5;2;2.5;3;3.5;3.5;4;4.5;5;5.5;6;6.5;7;7.5;8;8.5;9;9.5;10;10.5},{7;6})</f>
        <v>24.9860282909363</v>
      </c>
      <c r="B27265" s="0" t="s">
        <v>27085</v>
      </c>
    </row>
    <row r="27266" customFormat="false" ht="15" hidden="false" customHeight="false" outlineLevel="0" collapsed="false">
      <c r="A27266" s="0" t="n">
        <f aca="false">_xlfn.FORECAST.ETS.SEASONALITY({96.7;8.1;9.82;4.1;11.37;23;45.9;62;70.3;81.4;14.05;72.2;75.79;16;7;61.72;52.5;49;50.84;40;98.14},{1;1.5;2;2.5;3;3.5;3.5;4;4.5;5;5.5;6;6.5;7;7.5;8;8.5;9;9.5;10;10.5},0,2)</f>
        <v>8</v>
      </c>
      <c r="B27266" s="0" t="s">
        <v>27086</v>
      </c>
    </row>
    <row r="27267" customFormat="false" ht="15" hidden="false" customHeight="false" outlineLevel="0" collapsed="false">
      <c r="A27267" s="0" t="n">
        <f aca="false">_xlfn.FORECAST.ETS({45275;45260},{17.8;20.76;27;17.8;26.8;40.32;35.38;40.17;46.1;30;45.21;60.02;56;60.8;66.73;42.93;61.9;82.6},{44727;44757;44788;44819;44849;44880;44910;44941;44972;45000;45031;45061;45092;45122;45153;45184;45214;45245})</f>
        <v>73.7333333333334</v>
      </c>
      <c r="B27267" s="0" t="s">
        <v>27087</v>
      </c>
    </row>
    <row r="27268" customFormat="false" ht="15" hidden="false" customHeight="false" outlineLevel="0" collapsed="false">
      <c r="A27268" s="0" t="n">
        <f aca="false">_xlfn.ORG.LIBREOFFICE.FORECAST.ETS.STAT.MULT({17.8;20.76;27;17.8;26.8;40.32;35.38;40.17;46.1;30;45.21;60.02;56;60.8;66.73;42.93;61.9;82.6},{44727;44757;44788;44819;44849;44880;44910;44941;44972;45000;45031;45061;45092;45122;45153;45184;45214;45245},{9;7;8;2;5;6;3;1;4})</f>
        <v>6</v>
      </c>
      <c r="B27268" s="0" t="s">
        <v>27088</v>
      </c>
    </row>
    <row r="27269" customFormat="false" ht="15" hidden="false" customHeight="false" outlineLevel="0" collapsed="false">
      <c r="A27269" s="0" t="n">
        <f aca="false">_xlfn.FORECAST.ETS.SEASONALITY({17.8;20.76;27;17.8;26.8;40.32;35.38;40.17;46.1;30;45.21;60.02;56;60.8;66.73;42.93;61.9;82.6},{44727;44757;44788;44819;44849;44880;44910;44941;44972;45000;45031;45061;45092;45122;45153;45184;45214;45245},1)</f>
        <v>6</v>
      </c>
      <c r="B27269" s="0" t="s">
        <v>27089</v>
      </c>
    </row>
    <row r="27270" customFormat="false" ht="15" hidden="false" customHeight="false" outlineLevel="0" collapsed="false">
      <c r="A27270" s="0" t="e">
        <f aca="false">_xlfn.ORG.LIBREOFFICE.FORECAST.ETS.MULT(45145.5,{27;88.39;97.74;76.1;41.49;90;67.53;58.36;23;39.5;22;25.12;25.7;14;81.28;16.6;34;95.5;50;8.4},{44742;44773;44804;44834;44865;44895;44926;44957;44985;45016;45046;45077;45107;45138;45169;45199;45230;45260;45291;45322},0,0)</f>
        <v>#VALUE!</v>
      </c>
      <c r="B27270" s="0" t="s">
        <v>27090</v>
      </c>
    </row>
    <row r="27271" customFormat="false" ht="15" hidden="false" customHeight="false" outlineLevel="0" collapsed="false">
      <c r="A27271" s="0" t="e">
        <f aca="false">_xlfn.FORECAST.ETS.STAT({27;88.39;97.74;76.1;41.49;90;67.53;58.36;23;39.5;22;25.12;25.7;14;81.28;16.6;34;95.5;50;8.4},{44742;44773;44804;44834;44865;44895;44926;44957;44985;45016;45046;45077;45107;45138;45169;45199;45230;45260;45291;45322},{7;5},0,0)</f>
        <v>#VALUE!</v>
      </c>
      <c r="B27271" s="0" t="s">
        <v>27091</v>
      </c>
    </row>
    <row r="27272" customFormat="false" ht="15" hidden="false" customHeight="false" outlineLevel="0" collapsed="false">
      <c r="A27272" s="0" t="e">
        <f aca="false">_xlfn.FORECAST.ETS.SEASONALITY({27;88.39;97.74;76.1;41.49;90;67.53;58.36;23;39.5;22;25.12;25.7;14;81.28;16.6;34;95.5;50;8.4},{44742;44773;44804;44834;44865;44895;44926;44957;44985;45016;45046;45077;45107;45138;45169;45199;45230;45260;45291;45322},0,3)</f>
        <v>#VALUE!</v>
      </c>
      <c r="B27272" s="0" t="s">
        <v>27092</v>
      </c>
    </row>
    <row r="27273" customFormat="false" ht="15" hidden="false" customHeight="false" outlineLevel="0" collapsed="false">
      <c r="A27273" s="0" t="e">
        <f aca="false">_xlfn.FORECAST.ETS(45061,{29.5;24.4;21.48;23.96;30.4;19;28.2;22;22.49;30.35;27.96;27},{45138;44985;44926;44895;44957;44834;44865;45107;45016;45046;45077;45169},3,0)</f>
        <v>#VALUE!</v>
      </c>
      <c r="B27273" s="0" t="s">
        <v>27093</v>
      </c>
    </row>
    <row r="27274" customFormat="false" ht="15" hidden="false" customHeight="false" outlineLevel="0" collapsed="false">
      <c r="A27274" s="0" t="e">
        <f aca="false">_xlfn.ORG.LIBREOFFICE.FORECAST.ETS.STAT.MULT({29.5;24.4;21.48;23.96;30.4;19;28.2;22;22.49;30.35;27.96;27},{45138;44985;44926;44895;44957;44834;44865;45107;45016;45046;45077;45169},{3;1;4;5;9;2;8;7;6},3,0)</f>
        <v>#VALUE!</v>
      </c>
      <c r="B27274" s="0" t="s">
        <v>27094</v>
      </c>
    </row>
    <row r="27275" customFormat="false" ht="15" hidden="false" customHeight="false" outlineLevel="0" collapsed="false">
      <c r="A27275" s="0" t="e">
        <f aca="false">_xlfn.FORECAST.ETS.SEASONALITY({29.5;24.4;21.48;23.96;30.4;19;28.2;22;22.49;30.35;27.96;27},{45138;44985;44926;44895;44957;44834;44865;45107;45016;45046;45077;45169},1)</f>
        <v>#VALUE!</v>
      </c>
      <c r="B27275" s="0" t="s">
        <v>27095</v>
      </c>
    </row>
    <row r="27276" customFormat="false" ht="15" hidden="false" customHeight="false" outlineLevel="0" collapsed="false">
      <c r="A27276" s="0" t="n">
        <f aca="false">_xlfn.FORECAST.ETS({14.5,15,15},{21.7;19;27.7;30.68;30.15;17;14.2;21.8;25;26;10.16;6.94;16.91;18;18;6.1;1.3;10;13;13.7;1.3;-1.6;5.7;8.68;7.2},{1;1.5;2;2.5;3;3.5;4;4.5;5;5.5;6;6.5;7;7.5;8;8.5;9;9.5;10;10.5;11;11.5;12;12.5;13},1,1,7)</f>
        <v>0.296736390753544</v>
      </c>
      <c r="B27276" s="0" t="s">
        <v>27096</v>
      </c>
    </row>
    <row r="27277" customFormat="false" ht="15" hidden="false" customHeight="false" outlineLevel="0" collapsed="false">
      <c r="A27277" s="0" t="n">
        <f aca="false">_xlfn.ORG.LIBREOFFICE.FORECAST.ETS.STAT.MULT({21.7;19;27.7;30.68;30.15;17;14.2;21.8;25;26;10.16;6.94;16.91;18;18;6.1;1.3;10;13;13.7;1.3;-1.6;5.7;8.68;7.2},{1;1.5;2;2.5;3;3.5;4;4.5;5;5.5;6;6.5;7;7.5;8;8.5;9;9.5;10;10.5;11;11.5;12;12.5;13},{9;5;6;7;1;8;2;3;4},1,1,7)</f>
        <v>5</v>
      </c>
      <c r="B27277" s="0" t="s">
        <v>27097</v>
      </c>
    </row>
    <row r="27278" customFormat="false" ht="15" hidden="false" customHeight="false" outlineLevel="0" collapsed="false">
      <c r="A27278" s="0" t="n">
        <f aca="false">_xlfn.FORECAST.ETS.SEASONALITY({21.7;19;27.7;30.68;30.15;17;14.2;21.8;25;26;10.16;6.94;16.91;18;18;6.1;1.3;10;13;13.7;1.3;-1.6;5.7;8.68;7.2},{1;1.5;2;2.5;3;3.5;4;4.5;5;5.5;6;6.5;7;7.5;8;8.5;9;9.5;10;10.5;11;11.5;12;12.5;13})</f>
        <v>5</v>
      </c>
      <c r="B27278" s="0" t="s">
        <v>27098</v>
      </c>
    </row>
    <row r="27279" customFormat="false" ht="15" hidden="false" customHeight="false" outlineLevel="0" collapsed="false">
      <c r="A27279" s="0" t="n">
        <f aca="false">_xlfn.FORECAST.ETS(31,{48;41.1;35;41.1;43.1;12.4;46;52;55;47;42.91;45.4;46.94;49.1;57;59.66;52.17;48.92;52;54.43;55.6;64.1;64.65;58.9;53.3;57.3;60;60.61;70.08},{1;2;3;4;5;5;6;7;8;9;10;11;12;13;14;15;16;17;18;19;20;21;22;23;24;25;26;27;28},3)</f>
        <v>65.6512554740674</v>
      </c>
      <c r="B27279" s="0" t="s">
        <v>27099</v>
      </c>
    </row>
    <row r="27280" customFormat="false" ht="15" hidden="false" customHeight="false" outlineLevel="0" collapsed="false">
      <c r="A27280" s="0" t="n">
        <f aca="false">_xlfn.FORECAST.ETS.STAT({48;41.1;35;41.1;43.1;12.4;46;52;55;47;42.91;45.4;46.94;49.1;57;59.66;52.17;48.92;52;54.43;55.6;64.1;64.65;58.9;53.3;57.3;60;60.61;70.08},{1;2;3;4;5;5;6;7;8;9;10;11;12;13;14;15;16;17;18;19;20;21;22;23;24;25;26;27;28},{7;9;3;6;4;8;5;1;2},3)</f>
        <v>5.48436558121543</v>
      </c>
      <c r="B27280" s="0" t="s">
        <v>27100</v>
      </c>
    </row>
    <row r="27281" customFormat="false" ht="15" hidden="false" customHeight="false" outlineLevel="0" collapsed="false">
      <c r="A27281" s="0" t="n">
        <f aca="false">_xlfn.FORECAST.ETS.SEASONALITY({48;41.1;35;41.1;43.1;12.4;46;52;55;47;42.91;45.4;46.94;49.1;57;59.66;52.17;48.92;52;54.43;55.6;64.1;64.65;58.9;53.3;57.3;60;60.61;70.08},{1;2;3;4;5;5;6;7;8;9;10;11;12;13;14;15;16;17;18;19;20;21;22;23;24;25;26;27;28})</f>
        <v>7</v>
      </c>
      <c r="B27281" s="0" t="s">
        <v>27101</v>
      </c>
    </row>
    <row r="27282" customFormat="false" ht="15" hidden="false" customHeight="false" outlineLevel="0" collapsed="false">
      <c r="A27282" s="0" t="n">
        <f aca="false">_xlfn.ORG.LIBREOFFICE.FORECAST.ETS.PI.MULT(30,{48;41.1;35;41.1;43.1;12.4;46;52;55;47;42.91;45.4;46.94;49.1;57;59.66;52.17;48.92;52;54.43;55.6;64.1;64.65;58.9;53.3;57.3;60;60.61;70.08},{1;2;3;4;5;5;6;7;8;9;10;11;12;13;14;15;16;17;18;19;20;21;22;23;24;25;26;27;28},0.95,0,1,3)</f>
        <v>34.6682249164244</v>
      </c>
      <c r="B27282" s="0" t="s">
        <v>27102</v>
      </c>
    </row>
    <row r="27283" customFormat="false" ht="15" hidden="false" customHeight="false" outlineLevel="0" collapsed="false">
      <c r="A27283" s="0" t="e">
        <f aca="false">_xlfn.FORECAST.ETS(45412,{72.76;81.4;20.9;88;128;104;100.8;23.75;33;107.3;103;104.06;46.86;75;130;44.2;52.1;118;47;47;76;60.2;131;75},{44957;45016;44620;45046;45322;45107;45138;44651;44681;45199;45169;45077;44712;44895;45260;44773;44834;45230;44742;44804;44926;44865;45291;44985},0,,5)</f>
        <v>#VALUE!</v>
      </c>
      <c r="B27283" s="0" t="s">
        <v>27103</v>
      </c>
    </row>
    <row r="27284" customFormat="false" ht="15" hidden="false" customHeight="false" outlineLevel="0" collapsed="false">
      <c r="A27284" s="0" t="e">
        <f aca="false">_xlfn.FORECAST.ETS.STAT({72.76;81.4;20.9;88;128;104;100.8;23.75;33;107.3;103;104.06;46.86;75;130;44.2;52.1;118;47;47;76;60.2;131;75},{44957;45016;44620;45046;45322;45107;45138;44651;44681;45199;45169;45077;44712;44895;45260;44773;44834;45230;44742;44804;44926;44865;45291;44985},{9;5},0,,5)</f>
        <v>#VALUE!</v>
      </c>
      <c r="B27284" s="0" t="s">
        <v>27104</v>
      </c>
    </row>
    <row r="27285" customFormat="false" ht="15" hidden="false" customHeight="false" outlineLevel="0" collapsed="false">
      <c r="A27285" s="0" t="e">
        <f aca="false">_xlfn.FORECAST.ETS.SEASONALITY({72.76;81.4;20.9;88;128;104;100.8;23.75;33;107.3;103;104.06;46.86;75;130;44.2;52.1;118;47;47;76;60.2;131;75},{44957;45016;44620;45046;45322;45107;45138;44651;44681;45199;45169;45077;44712;44895;45260;44773;44834;45230;44742;44804;44926;44865;45291;44985},1,4)</f>
        <v>#VALUE!</v>
      </c>
      <c r="B27285" s="0" t="s">
        <v>27105</v>
      </c>
    </row>
    <row r="27286" customFormat="false" ht="15" hidden="false" customHeight="false" outlineLevel="0" collapsed="false">
      <c r="A27286" s="0" t="n">
        <f aca="false">_xlfn.FORECAST.ETS({10;10},{32;21;32;34.8;26;36},{1;2;3;4;5;6},3,1,2)</f>
        <v>42.7333333333333</v>
      </c>
      <c r="B27286" s="0" t="s">
        <v>27106</v>
      </c>
    </row>
    <row r="27287" customFormat="false" ht="15" hidden="false" customHeight="false" outlineLevel="0" collapsed="false">
      <c r="A27287" s="0" t="n">
        <f aca="false">_xlfn.ORG.LIBREOFFICE.FORECAST.ETS.STAT.MULT({32;21;32;34.8;26;36},{1;2;3;4;5;6},{6;2},3,1,2)</f>
        <v>0.808536976300007</v>
      </c>
      <c r="B27287" s="0" t="s">
        <v>27107</v>
      </c>
    </row>
    <row r="27288" customFormat="false" ht="15" hidden="false" customHeight="false" outlineLevel="0" collapsed="false">
      <c r="A27288" s="0" t="n">
        <f aca="false">_xlfn.FORECAST.ETS.SEASONALITY({32;21;32;34.8;26;36},{1;2;3;4;5;6},0,5)</f>
        <v>3</v>
      </c>
      <c r="B27288" s="0" t="s">
        <v>27108</v>
      </c>
    </row>
    <row r="27289" customFormat="false" ht="15" hidden="false" customHeight="false" outlineLevel="0" collapsed="false">
      <c r="A27289" s="0" t="n">
        <f aca="false">_xlfn.ORG.LIBREOFFICE.FORECAST.ETS.PI.MULT(9,{32;21;32;34.8;26;36},{1;2;3;4;5;6},0.5,0,0)</f>
        <v>5.56820453700157</v>
      </c>
      <c r="B27289" s="0" t="s">
        <v>27109</v>
      </c>
    </row>
    <row r="27290" customFormat="false" ht="15" hidden="false" customHeight="false" outlineLevel="0" collapsed="false">
      <c r="A27290" s="0" t="e">
        <f aca="false">_xlfn.ORG.LIBREOFFICE.FORECAST.ETS.MULT({45012},{24.13;85.7;97.1;28.5;20;65.92;58;22;74.6;36},{45000;45001;45002;45003;45004;45005;45006;45007;45008;45009},7,0)</f>
        <v>#VALUE!</v>
      </c>
      <c r="B27290" s="0" t="s">
        <v>27110</v>
      </c>
    </row>
    <row r="27291" customFormat="false" ht="15" hidden="false" customHeight="false" outlineLevel="0" collapsed="false">
      <c r="A27291" s="0" t="e">
        <f aca="false">_xlfn.ORG.LIBREOFFICE.FORECAST.ETS.STAT.MULT({24.13;85.7;97.1;28.5;20;65.92;58;22;74.6;36},{45000;45001;45002;45003;45004;45005;45006;45007;45008;45009},{2;8},7,0)</f>
        <v>#VALUE!</v>
      </c>
      <c r="B27291" s="0" t="s">
        <v>27111</v>
      </c>
    </row>
    <row r="27292" customFormat="false" ht="15" hidden="false" customHeight="false" outlineLevel="0" collapsed="false">
      <c r="A27292" s="0" t="n">
        <f aca="false">_xlfn.FORECAST.ETS.SEASONALITY({24.13;85.7;97.1;28.5;20;65.92;58;22;74.6;36},{45000;45001;45002;45003;45004;45005;45006;45007;45008;45009},0)</f>
        <v>3</v>
      </c>
      <c r="B27292" s="0" t="s">
        <v>27112</v>
      </c>
    </row>
    <row r="27293" customFormat="false" ht="15" hidden="false" customHeight="false" outlineLevel="0" collapsed="false">
      <c r="A27293" s="0" t="n">
        <f aca="false">_xlfn.FORECAST.ETS(45028,{26.89;23;31.86;25.4;55.73;43;32.1;53;38;84;62.27;43;74;52.2;109.84;80;55.95;95.32;65;138.93;100;68.5;116.2;77},{45000;45001;45003;45004;45005;45006;45007;45008;45009;45010;45011;45012;45013;45014;45015;45016;45017;45018;45019;45020;45021;45022;45023;45024},0,,3)</f>
        <v>114.811647688849</v>
      </c>
      <c r="B27293" s="0" t="s">
        <v>27113</v>
      </c>
    </row>
    <row r="27294" customFormat="false" ht="15" hidden="false" customHeight="false" outlineLevel="0" collapsed="false">
      <c r="A27294" s="0" t="n">
        <f aca="false">_xlfn.ORG.LIBREOFFICE.FORECAST.ETS.STAT.MULT({26.89;23;31.86;25.4;55.73;43;32.1;53;38;84;62.27;43;74;52.2;109.84;80;55.95;95.32;65;138.93;100;68.5;116.2;77},{45000;45001;45003;45004;45005;45006;45007;45008;45009;45010;45011;45012;45013;45014;45015;45016;45017;45018;45019;45020;45021;45022;45023;45024},{8;9;5;2;1;3;7;6;4},0,,3)</f>
        <v>1</v>
      </c>
      <c r="B27294" s="0" t="s">
        <v>27114</v>
      </c>
    </row>
    <row r="27295" customFormat="false" ht="15" hidden="false" customHeight="false" outlineLevel="0" collapsed="false">
      <c r="A27295" s="0" t="n">
        <f aca="false">_xlfn.FORECAST.ETS.SEASONALITY({26.89;23;31.86;25.4;55.73;43;32.1;53;38;84;62.27;43;74;52.2;109.84;80;55.95;95.32;65;138.93;100;68.5;116.2;77},{45000;45001;45003;45004;45005;45006;45007;45008;45009;45010;45011;45012;45013;45014;45015;45016;45017;45018;45019;45020;45021;45022;45023;45024},1,7)</f>
        <v>5</v>
      </c>
      <c r="B27295" s="0" t="s">
        <v>27115</v>
      </c>
    </row>
    <row r="27296" customFormat="false" ht="15" hidden="false" customHeight="false" outlineLevel="0" collapsed="false">
      <c r="A27296" s="0" t="n">
        <f aca="false">_xlfn.ORG.LIBREOFFICE.FORECAST.ETS.MULT({45026},{14;16;17;18.09;21;21;24;25.16;26;27.5;29.32;30;31;33.27;34.8;35.2;38.6;40.11;42;43.73;45;47;45.7},{45000;45001;45003;45004;45005;45006;45007;45008;45009;45010;45011;45012;45013;45014;45015;45016;45017;45018;45019;45020;45021;45022;45023},7,1)</f>
        <v>52.4824108879898</v>
      </c>
      <c r="B27296" s="0" t="s">
        <v>27116</v>
      </c>
    </row>
    <row r="27297" customFormat="false" ht="15" hidden="false" customHeight="false" outlineLevel="0" collapsed="false">
      <c r="A27297" s="0" t="n">
        <f aca="false">_xlfn.FORECAST.ETS.STAT({14;16;17;18.09;21;21;24;25.16;26;27.5;29.32;30;31;33.27;34.8;35.2;38.6;40.11;42;43.73;45;47;45.7},{45000;45001;45003;45004;45005;45006;45007;45008;45009;45010;45011;45012;45013;45014;45015;45016;45017;45018;45019;45020;45021;45022;45023},{6},7,1)</f>
        <v>0.649500549649844</v>
      </c>
      <c r="B27297" s="0" t="s">
        <v>27117</v>
      </c>
    </row>
    <row r="27298" customFormat="false" ht="15" hidden="false" customHeight="false" outlineLevel="0" collapsed="false">
      <c r="A27298" s="0" t="n">
        <f aca="false">_xlfn.FORECAST.ETS.SEASONALITY({14;16;17;18.09;21;21;24;25.16;26;27.5;29.32;30;31;33.27;34.8;35.2;38.6;40.11;42;43.73;45;47;45.7},{45000;45001;45003;45004;45005;45006;45007;45008;45009;45010;45011;45012;45013;45014;45015;45016;45017;45018;45019;45020;45021;45022;45023},0)</f>
        <v>10</v>
      </c>
      <c r="B27298" s="0" t="s">
        <v>27118</v>
      </c>
    </row>
    <row r="27299" customFormat="false" ht="15" hidden="false" customHeight="false" outlineLevel="0" collapsed="false">
      <c r="A27299" s="0" t="n">
        <f aca="false">_xlfn.ORG.LIBREOFFICE.FORECAST.ETS.PI.MULT({45024;45025;45026},{14;16;17;18.09;21;21;24;25.16;26;27.5;29.32;30;31;33.27;34.8;35.2;38.6;40.11;42;43.73;45;47;45.7},{45000;45001;45003;45004;45005;45006;45007;45008;45009;45010;45011;45012;45013;45014;45015;45016;45017;45018;45019;45020;45021;45022;45023},,0)</f>
        <v>1.80864493685794</v>
      </c>
      <c r="B27299" s="0" t="s">
        <v>27119</v>
      </c>
    </row>
    <row r="27300" customFormat="false" ht="15" hidden="false" customHeight="false" outlineLevel="0" collapsed="false">
      <c r="A27300" s="0" t="n">
        <f aca="false">_xlfn.FORECAST.ETS({12.75},{9.27;12.48;13.8;44.9;18.5;22;23.56;25;29;31.5;35.9;39.4;41.3;43;47.59;49.91;52;55.58;58.55;61.2;66;68;69.8;75},{1;1.5;2;2;2.5;3;3.5;4;4.5;5;5.5;6;6.5;7;7.5;8;8.5;9;9.5;10;10.5;11;11.5;12},4,,7)</f>
        <v>78.6666928972011</v>
      </c>
      <c r="B27300" s="0" t="s">
        <v>27120</v>
      </c>
    </row>
    <row r="27301" customFormat="false" ht="15" hidden="false" customHeight="false" outlineLevel="0" collapsed="false">
      <c r="A27301" s="0" t="n">
        <f aca="false">_xlfn.FORECAST.ETS.STAT({9.27;12.48;13.8;44.9;18.5;22;23.56;25;29;31.5;35.9;39.4;41.3;43;47.59;49.91;52;55.58;58.55;61.2;66;68;69.8;75},{1;1.5;2;2;2.5;3;3.5;4;4.5;5;5.5;6;6.5;7;7.5;8;8.5;9;9.5;10;10.5;11;11.5;12},{4;2;3;9;6;1;8;5;7},4,,7)</f>
        <v>0.804839855880664</v>
      </c>
      <c r="B27301" s="0" t="s">
        <v>27121</v>
      </c>
    </row>
    <row r="27302" customFormat="false" ht="15" hidden="false" customHeight="false" outlineLevel="0" collapsed="false">
      <c r="A27302" s="0" t="n">
        <f aca="false">_xlfn.FORECAST.ETS.SEASONALITY({9.27;12.48;13.8;44.9;18.5;22;23.56;25;29;31.5;35.9;39.4;41.3;43;47.59;49.91;52;55.58;58.55;61.2;66;68;69.8;75},{1;1.5;2;2;2.5;3;3.5;4;4.5;5;5.5;6;6.5;7;7.5;8;8.5;9;9.5;10;10.5;11;11.5;12},1)</f>
        <v>9</v>
      </c>
      <c r="B27302" s="0" t="s">
        <v>27122</v>
      </c>
    </row>
    <row r="27303" customFormat="false" ht="15" hidden="false" customHeight="false" outlineLevel="0" collapsed="false">
      <c r="A27303" s="0" t="n">
        <f aca="false">_xlfn.FORECAST.ETS({31.5;32;30.5},{35;44.6;48.7;51.5;58;51.77;54.56;65;68.62;75;79.87;74;76.4;86.2;92.12;94.2;101;96;96.3;109.17;111.57;115;121.02;116.9;119;129.8;132.68;135.7;141;138.42},{1;2;3;4;5;6;7;8;9;10;11;12;13;14;15;16;17;18;19;20;21;22;23;24;25;26;27;28;29;30},2)</f>
        <v>146.081608293191</v>
      </c>
      <c r="B27303" s="0" t="s">
        <v>27123</v>
      </c>
    </row>
    <row r="27304" customFormat="false" ht="15" hidden="false" customHeight="false" outlineLevel="0" collapsed="false">
      <c r="A27304" s="0" t="n">
        <f aca="false">_xlfn.FORECAST.ETS.STAT({35;44.6;48.7;51.5;58;51.77;54.56;65;68.62;75;79.87;74;76.4;86.2;92.12;94.2;101;96;96.3;109.17;111.57;115;121.02;116.9;119;129.8;132.68;135.7;141;138.42},{1;2;3;4;5;6;7;8;9;10;11;12;13;14;15;16;17;18;19;20;21;22;23;24;25;26;27;28;29;30},{7},2)</f>
        <v>4.86583675975552</v>
      </c>
      <c r="B27304" s="0" t="s">
        <v>27124</v>
      </c>
    </row>
    <row r="27305" customFormat="false" ht="15" hidden="false" customHeight="false" outlineLevel="0" collapsed="false">
      <c r="A27305" s="0" t="n">
        <f aca="false">_xlfn.FORECAST.ETS.SEASONALITY({35;44.6;48.7;51.5;58;51.77;54.56;65;68.62;75;79.87;74;76.4;86.2;92.12;94.2;101;96;96.3;109.17;111.57;115;121.02;116.9;119;129.8;132.68;135.7;141;138.42},{1;2;3;4;5;6;7;8;9;10;11;12;13;14;15;16;17;18;19;20;21;22;23;24;25;26;27;28;29;30},1,7)</f>
        <v>6</v>
      </c>
      <c r="B27305" s="0" t="s">
        <v>27125</v>
      </c>
    </row>
    <row r="27306" customFormat="false" ht="15" hidden="false" customHeight="false" outlineLevel="0" collapsed="false">
      <c r="A27306" s="0" t="n">
        <f aca="false">_xlfn.FORECAST.ETS({45014;45015},{27.9;55.84;35.29;49;37;39;43;27;53.3;25.05;33.65;32.28},{45008;45011;45010;45003;45001;45005;45009;45004;45007;45000;45006;45002})</f>
        <v>37.695</v>
      </c>
      <c r="B27306" s="0" t="s">
        <v>27126</v>
      </c>
    </row>
    <row r="27307" customFormat="false" ht="15" hidden="false" customHeight="false" outlineLevel="0" collapsed="false">
      <c r="A27307" s="0" t="n">
        <f aca="false">_xlfn.ORG.LIBREOFFICE.FORECAST.ETS.STAT.MULT({27.9;55.84;35.29;49;37;39;43;27;53.3;25.05;33.65;32.28},{45008;45011;45010;45003;45001;45005;45009;45004;45007;45000;45006;45002},{7;2})</f>
        <v>0.678032825819928</v>
      </c>
      <c r="B27307" s="0" t="s">
        <v>27127</v>
      </c>
    </row>
    <row r="27308" customFormat="false" ht="15" hidden="false" customHeight="false" outlineLevel="0" collapsed="false">
      <c r="A27308" s="0" t="n">
        <f aca="false">_xlfn.FORECAST.ETS.SEASONALITY({27.9;55.84;35.29;49;37;39;43;27;53.3;25.05;33.65;32.28},{45008;45011;45010;45003;45001;45005;45009;45004;45007;45000;45006;45002},0,5)</f>
        <v>4</v>
      </c>
      <c r="B27308" s="0" t="s">
        <v>27128</v>
      </c>
    </row>
    <row r="27309" customFormat="false" ht="15" hidden="false" customHeight="false" outlineLevel="0" collapsed="false">
      <c r="A27309" s="0" t="e">
        <f aca="false">_xlfn.FORECAST.ETS(45103,{81;45;63.24;5.01;4.79;39;74;31;75.1;63.31;11;66;42},{44648;44679;44709;44740;44770;44801;44832;44862;44893;44923;44954;44985;45013},7,0)</f>
        <v>#VALUE!</v>
      </c>
      <c r="B27309" s="0" t="s">
        <v>27129</v>
      </c>
    </row>
    <row r="27310" customFormat="false" ht="15" hidden="false" customHeight="false" outlineLevel="0" collapsed="false">
      <c r="A27310" s="0" t="e">
        <f aca="false">_xlfn.FORECAST.ETS.STAT({81;45;63.24;5.01;4.79;39;74;31;75.1;63.31;11;66;42},{44648;44679;44709;44740;44770;44801;44832;44862;44893;44923;44954;44985;45013},{3},7,0)</f>
        <v>#VALUE!</v>
      </c>
      <c r="B27310" s="0" t="s">
        <v>27130</v>
      </c>
    </row>
    <row r="27311" customFormat="false" ht="15" hidden="false" customHeight="false" outlineLevel="0" collapsed="false">
      <c r="A27311" s="0" t="n">
        <f aca="false">_xlfn.FORECAST.ETS.SEASONALITY({81;45;63.24;5.01;4.79;39;74;31;75.1;63.31;11;66;42},{44648;44679;44709;44740;44770;44801;44832;44862;44893;44923;44954;44985;45013},0)</f>
        <v>3</v>
      </c>
      <c r="B27311" s="0" t="s">
        <v>27131</v>
      </c>
    </row>
    <row r="27312" customFormat="false" ht="15" hidden="false" customHeight="false" outlineLevel="0" collapsed="false">
      <c r="A27312" s="0" t="e">
        <f aca="false">_xlfn.ORG.LIBREOFFICE.FORECAST.ETS.MULT({45549},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1,1,1)</f>
        <v>#VALUE!</v>
      </c>
      <c r="B27312" s="0" t="s">
        <v>27132</v>
      </c>
    </row>
    <row r="27313" customFormat="false" ht="15" hidden="false" customHeight="false" outlineLevel="0" collapsed="false">
      <c r="A27313" s="0" t="e">
        <f aca="false">_xlfn.FORECAST.ETS.STAT(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{9},1,1,1)</f>
        <v>#VALUE!</v>
      </c>
      <c r="B27313" s="0" t="s">
        <v>27133</v>
      </c>
    </row>
    <row r="27314" customFormat="false" ht="15" hidden="false" customHeight="false" outlineLevel="0" collapsed="false">
      <c r="A27314" s="0" t="e">
        <f aca="false">_xlfn.FORECAST.ETS.SEASONALITY({31.45;57.77;34;58.42;46.6;82;46.1;85.1;51;81;61;108.34;60;109;65;102.1;78;135;73.2;78.8;127.2;92.59;164.9;89.2;161;93.7;148.4;109.1;193.02},{44620;44651;44681;44712;44742;44773;44804;44834;44865;44895;44926;44957;44985;45016;45046;45077;45107;45138;45169;45230;45260;45291;45322;45351;45382;45412;45443;45473;45504},1)</f>
        <v>#VALUE!</v>
      </c>
      <c r="B27314" s="0" t="s">
        <v>27134</v>
      </c>
    </row>
    <row r="27315" customFormat="false" ht="15" hidden="false" customHeight="false" outlineLevel="0" collapsed="false">
      <c r="A27315" s="0" t="n">
        <f aca="false">_xlfn.FORECAST.ETS({17},{17.9;17.86;17.9;17.86;17.86;17.9;18;17.9;18;46.6;17.9;18;18;17.86;18},{1;2;3;4;5;6;7;8;9;9;10;11;12;13;14},3)</f>
        <v>17.983423717812</v>
      </c>
      <c r="B27315" s="0" t="s">
        <v>27135</v>
      </c>
    </row>
    <row r="27316" customFormat="false" ht="15" hidden="false" customHeight="false" outlineLevel="0" collapsed="false">
      <c r="A27316" s="0" t="n">
        <f aca="false">_xlfn.FORECAST.ETS.STAT({17.9;17.86;17.9;17.86;17.86;17.9;18;17.9;18;46.6;17.9;18;18;17.86;18},{1;2;3;4;5;6;7;8;9;9;10;11;12;13;14},{3},3)</f>
        <v>0</v>
      </c>
      <c r="B27316" s="0" t="s">
        <v>27136</v>
      </c>
    </row>
    <row r="27317" customFormat="false" ht="15" hidden="false" customHeight="false" outlineLevel="0" collapsed="false">
      <c r="A27317" s="0" t="n">
        <f aca="false">_xlfn.FORECAST.ETS.SEASONALITY({17.9;17.86;17.9;17.86;17.86;17.9;18;17.9;18;46.6;17.9;18;18;17.86;18},{1;2;3;4;5;6;7;8;9;9;10;11;12;13;14},1)</f>
        <v>5</v>
      </c>
      <c r="B27317" s="0" t="s">
        <v>27137</v>
      </c>
    </row>
    <row r="27318" customFormat="false" ht="15" hidden="false" customHeight="false" outlineLevel="0" collapsed="false">
      <c r="A27318" s="0" t="n">
        <f aca="false">_xlfn.FORECAST.ETS(13,{31.1;25.7;35.7;38.37;29.6;40.7;43;34.4;47.7},{1;2;3;4;5;6;7;8;9})</f>
        <v>53.9099766233566</v>
      </c>
      <c r="B27318" s="0" t="s">
        <v>27138</v>
      </c>
    </row>
    <row r="27319" customFormat="false" ht="15" hidden="false" customHeight="false" outlineLevel="0" collapsed="false">
      <c r="A27319" s="0" t="n">
        <f aca="false">_xlfn.ORG.LIBREOFFICE.FORECAST.ETS.STAT.MULT({31.1;25.7;35.7;38.37;29.6;40.7;43;34.4;47.7},{1;2;3;4;5;6;7;8;9},{3})</f>
        <v>0.123046875</v>
      </c>
      <c r="B27319" s="0" t="s">
        <v>27139</v>
      </c>
    </row>
    <row r="27320" customFormat="false" ht="15" hidden="false" customHeight="false" outlineLevel="0" collapsed="false">
      <c r="A27320" s="0" t="n">
        <f aca="false">_xlfn.FORECAST.ETS.SEASONALITY({31.1;25.7;35.7;38.37;29.6;40.7;43;34.4;47.7},{1;2;3;4;5;6;7;8;9},1,3)</f>
        <v>3</v>
      </c>
      <c r="B27320" s="0" t="s">
        <v>27140</v>
      </c>
    </row>
    <row r="27321" customFormat="false" ht="15" hidden="false" customHeight="false" outlineLevel="0" collapsed="false">
      <c r="A27321" s="0" t="e">
        <f aca="false">_xlfn.ORG.LIBREOFFICE.FORECAST.ETS.MULT(45008,{41.4;87.6;86.09;54;38.2},{45000;45001;45002;45003;45004},3)</f>
        <v>#VALUE!</v>
      </c>
      <c r="B27321" s="0" t="s">
        <v>27141</v>
      </c>
    </row>
    <row r="27322" customFormat="false" ht="15" hidden="false" customHeight="false" outlineLevel="0" collapsed="false">
      <c r="A27322" s="0" t="e">
        <f aca="false">_xlfn.ORG.LIBREOFFICE.FORECAST.ETS.STAT.MULT({41.4;87.6;86.09;54;38.2},{45000;45001;45002;45003;45004},{9;2},3)</f>
        <v>#VALUE!</v>
      </c>
      <c r="B27322" s="0" t="s">
        <v>27142</v>
      </c>
    </row>
    <row r="27323" customFormat="false" ht="15" hidden="false" customHeight="false" outlineLevel="0" collapsed="false">
      <c r="A27323" s="0" t="n">
        <f aca="false">_xlfn.FORECAST.ETS.SEASONALITY({41.4;87.6;86.09;54;38.2},{45000;45001;45002;45003;45004},0)</f>
        <v>2</v>
      </c>
      <c r="B27323" s="0" t="s">
        <v>27143</v>
      </c>
    </row>
    <row r="27324" customFormat="false" ht="15" hidden="false" customHeight="false" outlineLevel="0" collapsed="false">
      <c r="A27324" s="0" t="n">
        <f aca="false">_xlfn.FORECAST.ETS(6,{38.6;39.65;43;43.4;46},{1;2;3;4;5})</f>
        <v>45.975</v>
      </c>
      <c r="B27324" s="0" t="s">
        <v>27144</v>
      </c>
    </row>
    <row r="27325" customFormat="false" ht="15" hidden="false" customHeight="false" outlineLevel="0" collapsed="false">
      <c r="A27325" s="0" t="n">
        <f aca="false">_xlfn.ORG.LIBREOFFICE.FORECAST.ETS.STAT.MULT({38.6;39.65;43;43.4;46},{1;2;3;4;5},{6;7;8;4;1;2;9;5;3})</f>
        <v>0.311391638770843</v>
      </c>
      <c r="B27325" s="0" t="s">
        <v>27145</v>
      </c>
    </row>
    <row r="27326" customFormat="false" ht="15" hidden="false" customHeight="false" outlineLevel="0" collapsed="false">
      <c r="A27326" s="0" t="n">
        <f aca="false">_xlfn.FORECAST.ETS.SEASONALITY({38.6;39.65;43;43.4;46},{1;2;3;4;5},0,6)</f>
        <v>2</v>
      </c>
      <c r="B27326" s="0" t="s">
        <v>27146</v>
      </c>
    </row>
    <row r="27327" customFormat="false" ht="15" hidden="false" customHeight="false" outlineLevel="0" collapsed="false">
      <c r="A27327" s="0" t="n">
        <f aca="false">_xlfn.ORG.LIBREOFFICE.FORECAST.ETS.MULT(45006,{47.3;47.29;47;47;47;49.1;47.3;47;47.29},{45000;45001;45002;45003;45004;45004;45005;45006;45007})</f>
        <v>47</v>
      </c>
      <c r="B27327" s="0" t="s">
        <v>27147</v>
      </c>
    </row>
    <row r="27328" customFormat="false" ht="15" hidden="false" customHeight="false" outlineLevel="0" collapsed="false">
      <c r="A27328" s="0" t="n">
        <f aca="false">_xlfn.FORECAST.ETS.STAT({47.3;47.29;47;47;47;49.1;47.3;47;47.29},{45000;45001;45002;45003;45004;45004;45005;45006;45007},{4;7;1;9;2;5;8;6;3})</f>
        <v>0.60318867421602</v>
      </c>
      <c r="B27328" s="0" t="s">
        <v>27148</v>
      </c>
    </row>
    <row r="27329" customFormat="false" ht="15" hidden="false" customHeight="false" outlineLevel="0" collapsed="false">
      <c r="A27329" s="0" t="n">
        <f aca="false">_xlfn.FORECAST.ETS.SEASONALITY({47.3;47.29;47;47;47;49.1;47.3;47;47.29},{45000;45001;45002;45003;45004;45004;45005;45006;45007},0)</f>
        <v>2</v>
      </c>
      <c r="B27329" s="0" t="s">
        <v>27149</v>
      </c>
    </row>
    <row r="27330" customFormat="false" ht="15" hidden="false" customHeight="false" outlineLevel="0" collapsed="false">
      <c r="A27330" s="0" t="n">
        <f aca="false">_xlfn.FORECAST.ETS.CONFINT({45008;45009;45010},{47.3;47.29;47;47;47;49.1;47.3;47;47.29},{45000;45001;45002;45003;45004;45004;45005;45006;45007},0,0,1)</f>
        <v>0</v>
      </c>
      <c r="B27330" s="0" t="s">
        <v>27150</v>
      </c>
    </row>
    <row r="27331" customFormat="false" ht="15" hidden="false" customHeight="false" outlineLevel="0" collapsed="false">
      <c r="A27331" s="0" t="n">
        <f aca="false">_xlfn.ORG.LIBREOFFICE.FORECAST.ETS.MULT({19,21},{27;35.29;29;23.9;37;29.3;23;32.81;25.2;20.71;35;26.12;19.2;30.3;23.45;15.16;32;21.65},{1;2;3;4;5;6;7;8;9;10;11;12;13;14;15;16;17;18})</f>
        <v>16.9055838166808</v>
      </c>
      <c r="B27331" s="0" t="s">
        <v>27151</v>
      </c>
    </row>
    <row r="27332" customFormat="false" ht="15" hidden="false" customHeight="false" outlineLevel="0" collapsed="false">
      <c r="A27332" s="0" t="n">
        <f aca="false">_xlfn.ORG.LIBREOFFICE.FORECAST.ETS.STAT.MULT({27;35.29;29;23.9;37;29.3;23;32.81;25.2;20.71;35;26.12;19.2;30.3;23.45;15.16;32;21.65},{1;2;3;4;5;6;7;8;9;10;11;12;13;14;15;16;17;18},{9;1;2;7;8;4;6;5;3})</f>
        <v>6</v>
      </c>
      <c r="B27332" s="0" t="s">
        <v>27152</v>
      </c>
    </row>
    <row r="27333" customFormat="false" ht="15" hidden="false" customHeight="false" outlineLevel="0" collapsed="false">
      <c r="A27333" s="0" t="n">
        <f aca="false">_xlfn.FORECAST.ETS.SEASONALITY({27;35.29;29;23.9;37;29.3;23;32.81;25.2;20.71;35;26.12;19.2;30.3;23.45;15.16;32;21.65},{1;2;3;4;5;6;7;8;9;10;11;12;13;14;15;16;17;18})</f>
        <v>6</v>
      </c>
      <c r="B27333" s="0" t="s">
        <v>27153</v>
      </c>
    </row>
    <row r="27334" customFormat="false" ht="15" hidden="false" customHeight="false" outlineLevel="0" collapsed="false">
      <c r="A27334" s="0" t="n">
        <f aca="false">_xlfn.ORG.LIBREOFFICE.FORECAST.ETS.MULT(5,{12.57;14.1;8;21;22;18.95;32;34;28;40.77;44;36.93;51;54.72;48.1},{3;5;7;9;11;13;15;17;19;21;23;25;27;29;31},3,,3)</f>
        <v>14.1</v>
      </c>
      <c r="B27334" s="0" t="s">
        <v>27154</v>
      </c>
    </row>
    <row r="27335" customFormat="false" ht="15" hidden="false" customHeight="false" outlineLevel="0" collapsed="false">
      <c r="A27335" s="0" t="n">
        <f aca="false">_xlfn.ORG.LIBREOFFICE.FORECAST.ETS.STAT.MULT({12.57;14.1;8;21;22;18.95;32;34;28;40.77;44;36.93;51;54.72;48.1},{3;5;7;9;11;13;15;17;19;21;23;25;27;29;31},{1;3},3,,3)</f>
        <v>0.078125</v>
      </c>
      <c r="B27335" s="0" t="s">
        <v>27155</v>
      </c>
    </row>
    <row r="27336" customFormat="false" ht="15" hidden="false" customHeight="false" outlineLevel="0" collapsed="false">
      <c r="A27336" s="0" t="n">
        <f aca="false">_xlfn.FORECAST.ETS.SEASONALITY({12.57;14.1;8;21;22;18.95;32;34;28;40.77;44;36.93;51;54.72;48.1},{3;5;7;9;11;13;15;17;19;21;23;25;27;29;31},0)</f>
        <v>3</v>
      </c>
      <c r="B27336" s="0" t="s">
        <v>27156</v>
      </c>
    </row>
    <row r="27337" customFormat="false" ht="15" hidden="false" customHeight="false" outlineLevel="0" collapsed="false">
      <c r="A27337" s="0" t="n">
        <f aca="false">_xlfn.ORG.LIBREOFFICE.FORECAST.ETS.MULT({5.5},{21;22;25;26;24;26.9;27.8},{1;1.5;2;2.5;3;4;4.5})</f>
        <v>26.8798780740973</v>
      </c>
      <c r="B27337" s="0" t="s">
        <v>27157</v>
      </c>
    </row>
    <row r="27338" customFormat="false" ht="15" hidden="false" customHeight="false" outlineLevel="0" collapsed="false">
      <c r="A27338" s="0" t="n">
        <f aca="false">_xlfn.ORG.LIBREOFFICE.FORECAST.ETS.STAT.MULT({21;22;25;26;24;26.9;27.8},{1;1.5;2;2.5;3;4;4.5},{1;3;5;8;4;7;9;6;2})</f>
        <v>0</v>
      </c>
      <c r="B27338" s="0" t="s">
        <v>27158</v>
      </c>
    </row>
    <row r="27339" customFormat="false" ht="15" hidden="false" customHeight="false" outlineLevel="0" collapsed="false">
      <c r="A27339" s="0" t="n">
        <f aca="false">_xlfn.FORECAST.ETS.SEASONALITY({21;22;25;26;24;26.9;27.8},{1;1.5;2;2.5;3;4;4.5},0)</f>
        <v>3</v>
      </c>
      <c r="B27339" s="0" t="s">
        <v>27159</v>
      </c>
    </row>
    <row r="27340" customFormat="false" ht="15" hidden="false" customHeight="false" outlineLevel="0" collapsed="false">
      <c r="A27340" s="0" t="n">
        <f aca="false">_xlfn.FORECAST.ETS({11.5},{21;26.37;34;17;29.7;22.58;24.7;32.58;31;22;26;33;31.4;21.69;24;31.22;29.3;21.6;25.6;32.7;29},{1;1.5;2;2;2.5;3;3.5;4;4.5;5;5.5;6;6.5;7;7.5;8;8.5;9;9.5;10;10.5},0)</f>
        <v>30.4898697213813</v>
      </c>
      <c r="B27340" s="0" t="s">
        <v>27160</v>
      </c>
    </row>
    <row r="27341" customFormat="false" ht="15" hidden="false" customHeight="false" outlineLevel="0" collapsed="false">
      <c r="A27341" s="0" t="n">
        <f aca="false">_xlfn.ORG.LIBREOFFICE.FORECAST.ETS.STAT.MULT({21;26.37;34;17;29.7;22.58;24.7;32.58;31;22;26;33;31.4;21.69;24;31.22;29.3;21.6;25.6;32.7;29},{1;1.5;2;2;2.5;3;3.5;4;4.5;5;5.5;6;6.5;7;7.5;8;8.5;9;9.5;10;10.5},{4;2;8;9;7;6;3;1;5},0)</f>
        <v>0.82902389196869</v>
      </c>
      <c r="B27341" s="0" t="s">
        <v>27161</v>
      </c>
    </row>
    <row r="27342" customFormat="false" ht="15" hidden="false" customHeight="false" outlineLevel="0" collapsed="false">
      <c r="A27342" s="0" t="n">
        <f aca="false">_xlfn.FORECAST.ETS.SEASONALITY({21;26.37;34;17;29.7;22.58;24.7;32.58;31;22;26;33;31.4;21.69;24;31.22;29.3;21.6;25.6;32.7;29},{1;1.5;2;2;2.5;3;3.5;4;4.5;5;5.5;6;6.5;7;7.5;8;8.5;9;9.5;10;10.5},0)</f>
        <v>8</v>
      </c>
      <c r="B27342" s="0" t="s">
        <v>27162</v>
      </c>
    </row>
    <row r="27343" customFormat="false" ht="15" hidden="false" customHeight="false" outlineLevel="0" collapsed="false">
      <c r="A27343" s="0" t="e">
        <f aca="false">_xlfn.ORG.LIBREOFFICE.FORECAST.ETS.MULT({45533,45533},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,0,,7)</f>
        <v>#VALUE!</v>
      </c>
      <c r="B27343" s="0" t="s">
        <v>27163</v>
      </c>
    </row>
    <row r="27344" customFormat="false" ht="15" hidden="false" customHeight="false" outlineLevel="0" collapsed="false">
      <c r="A27344" s="0" t="e">
        <f aca="false">_xlfn.FORECAST.ETS.STAT(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,{5;8;4;2;1;9;3;7;6},0,,7)</f>
        <v>#VALUE!</v>
      </c>
      <c r="B27344" s="0" t="s">
        <v>27164</v>
      </c>
    </row>
    <row r="27345" customFormat="false" ht="15" hidden="false" customHeight="false" outlineLevel="0" collapsed="false">
      <c r="A27345" s="0" t="e">
        <f aca="false">_xlfn.FORECAST.ETS.SEASONALITY({24;22.23;13;27.71;5;25;10.52;20.3;10.1;15.3;21;12;12.8;10.11;20;17;9.02;12.77;11;22.52;16.62;18.93;13;7;20.4;17.5;5;24;22;14.63},{45107;45199;45046;45473;44592;45291;44957;44834;44681;45230;45169;45138;45260;44865;44985;44651;44773;45322;45077;44926;44620;44742;45443;44895;45016;44804;44712;45382;45351;45412})</f>
        <v>#VALUE!</v>
      </c>
      <c r="B27345" s="0" t="s">
        <v>27165</v>
      </c>
    </row>
    <row r="27346" customFormat="false" ht="15" hidden="false" customHeight="false" outlineLevel="0" collapsed="false">
      <c r="A27346" s="0" t="n">
        <f aca="false">_xlfn.FORECAST.ETS({28,25.5},{88.2;71;70.76;37.5;103.99;70;85.9;36.91;87.3;72.9;22.19;53.75;36;54.86;84.8;102.3;21;87.5;53.6;51;38.67;69;19.6;55.53;36.3},{20;16;17;6;25;18;19;7;21;15;1;11;8;12;23;24;2;22;13;9;5;14;3;10;4},5)</f>
        <v>101.202338372501</v>
      </c>
      <c r="B27346" s="0" t="s">
        <v>27166</v>
      </c>
    </row>
    <row r="27347" customFormat="false" ht="15" hidden="false" customHeight="false" outlineLevel="0" collapsed="false">
      <c r="A27347" s="0" t="n">
        <f aca="false">_xlfn.FORECAST.ETS.STAT({88.2;71;70.76;37.5;103.99;70;85.9;36.91;87.3;72.9;22.19;53.75;36;54.86;84.8;102.3;21;87.5;53.6;51;38.67;69;19.6;55.53;36.3},{20;16;17;6;25;18;19;7;21;15;1;11;8;12;23;24;2;22;13;9;5;14;3;10;4},{8;2},5)</f>
        <v>1</v>
      </c>
      <c r="B27347" s="0" t="s">
        <v>27167</v>
      </c>
    </row>
    <row r="27348" customFormat="false" ht="15" hidden="false" customHeight="false" outlineLevel="0" collapsed="false">
      <c r="A27348" s="0" t="n">
        <f aca="false">_xlfn.FORECAST.ETS.SEASONALITY({88.2;71;70.76;37.5;103.99;70;85.9;36.91;87.3;72.9;22.19;53.75;36;54.86;84.8;102.3;21;87.5;53.6;51;38.67;69;19.6;55.53;36.3},{20;16;17;6;25;18;19;7;21;15;1;11;8;12;23;24;2;22;13;9;5;14;3;10;4})</f>
        <v>5</v>
      </c>
      <c r="B27348" s="0" t="s">
        <v>27168</v>
      </c>
    </row>
    <row r="27349" customFormat="false" ht="15" hidden="false" customHeight="false" outlineLevel="0" collapsed="false">
      <c r="A27349" s="0" t="n">
        <f aca="false">_xlfn.FORECAST.ETS.CONFINT(26,{88.2;71;70.76;37.5;103.99;70;85.9;36.91;87.3;72.9;22.19;53.75;36;54.86;84.8;102.3;21;87.5;53.6;51;38.67;69;19.6;55.53;36.3},{20;16;17;6;25;18;19;7;21;15;1;11;8;12;23;24;2;22;13;9;5;14;3;10;4},0.9,0,0)</f>
        <v>8.81866304434119</v>
      </c>
      <c r="B27349" s="0" t="s">
        <v>27169</v>
      </c>
    </row>
    <row r="27350" customFormat="false" ht="15" hidden="false" customHeight="false" outlineLevel="0" collapsed="false">
      <c r="A27350" s="0" t="n">
        <f aca="false">_xlfn.ORG.LIBREOFFICE.FORECAST.ETS.MULT({22;23;22},{49.95;43.34;42.4;47.53;62.8;51;37;61.3;51.7;48.5;57.42;74;58;45;70;57;57.7;64;83.9;64.9;51},{1;2;3;4;5;6;7;8;9;10;11;12;13;14;15;16;17;18;19;20;21},4)</f>
        <v>67.5135399913675</v>
      </c>
      <c r="B27350" s="0" t="s">
        <v>27170</v>
      </c>
    </row>
    <row r="27351" customFormat="false" ht="15" hidden="false" customHeight="false" outlineLevel="0" collapsed="false">
      <c r="A27351" s="0" t="n">
        <f aca="false">_xlfn.ORG.LIBREOFFICE.FORECAST.ETS.STAT.MULT({49.95;43.34;42.4;47.53;62.8;51;37;61.3;51.7;48.5;57.42;74;58;45;70;57;57.7;64;83.9;64.9;51},{1;2;3;4;5;6;7;8;9;10;11;12;13;14;15;16;17;18;19;20;21},{6;8;1;4;3;9;2;5;7},4)</f>
        <v>8.16494088429467</v>
      </c>
      <c r="B27351" s="0" t="s">
        <v>27171</v>
      </c>
    </row>
    <row r="27352" customFormat="false" ht="15" hidden="false" customHeight="false" outlineLevel="0" collapsed="false">
      <c r="A27352" s="0" t="n">
        <f aca="false">_xlfn.FORECAST.ETS.SEASONALITY({49.95;43.34;42.4;47.53;62.8;51;37;61.3;51.7;48.5;57.42;74;58;45;70;57;57.7;64;83.9;64.9;51},{1;2;3;4;5;6;7;8;9;10;11;12;13;14;15;16;17;18;19;20;21})</f>
        <v>7</v>
      </c>
      <c r="B27352" s="0" t="s">
        <v>27172</v>
      </c>
    </row>
    <row r="27353" customFormat="false" ht="15" hidden="false" customHeight="false" outlineLevel="0" collapsed="false">
      <c r="A27353" s="0" t="n">
        <f aca="false">_xlfn.ORG.LIBREOFFICE.FORECAST.ETS.PI.MULT({22;23;24},{49.95;43.34;42.4;47.53;62.8;51;37;61.3;51.7;48.5;57.42;74;58;45;70;57;57.7;64;83.9;64.9;51},{1;2;3;4;5;6;7;8;9;10;11;12;13;14;15;16;17;18;19;20;21},0,0)</f>
        <v>0</v>
      </c>
      <c r="B27353" s="0" t="s">
        <v>27173</v>
      </c>
    </row>
    <row r="27354" customFormat="false" ht="15" hidden="false" customHeight="false" outlineLevel="0" collapsed="false">
      <c r="A27354" s="0" t="n">
        <f aca="false">_xlfn.FORECAST.ETS(45024,{27.3;27.3;27.34;27.3;27.3;27;27.3;27.34;27.3;27;27.3;27.3;27.34;27.3;27.3;27.34;27.34;27.3;27.34;27.3;27},{45000;45001;45002;45003;45004;45005;45006;45007;45008;45009;45010;45011;45012;45013;45014;45015;45016;45017;45018;45019;45020},3,1,2)</f>
        <v>26.9313828938302</v>
      </c>
      <c r="B27354" s="0" t="s">
        <v>27174</v>
      </c>
    </row>
    <row r="27355" customFormat="false" ht="15" hidden="false" customHeight="false" outlineLevel="0" collapsed="false">
      <c r="A27355" s="0" t="n">
        <f aca="false">_xlfn.FORECAST.ETS.STAT({27.3;27.3;27.34;27.3;27.3;27;27.3;27.34;27.3;27;27.3;27.3;27.34;27.3;27.3;27.34;27.34;27.3;27.34;27.3;27},{45000;45001;45002;45003;45004;45005;45006;45007;45008;45009;45010;45011;45012;45013;45014;45015;45016;45017;45018;45019;45020},{6},3,1,2)</f>
        <v>0.106731788660379</v>
      </c>
      <c r="B27355" s="0" t="s">
        <v>27175</v>
      </c>
    </row>
    <row r="27356" customFormat="false" ht="15" hidden="false" customHeight="false" outlineLevel="0" collapsed="false">
      <c r="A27356" s="0" t="n">
        <f aca="false">_xlfn.FORECAST.ETS.SEASONALITY({27.3;27.3;27.34;27.3;27.3;27;27.3;27.34;27.3;27;27.3;27.3;27.34;27.3;27.3;27.34;27.34;27.3;27.34;27.3;27},{45000;45001;45002;45003;45004;45005;45006;45007;45008;45009;45010;45011;45012;45013;45014;45015;45016;45017;45018;45019;45020},1,6)</f>
        <v>4</v>
      </c>
      <c r="B27356" s="0" t="s">
        <v>27176</v>
      </c>
    </row>
    <row r="27357" customFormat="false" ht="15" hidden="false" customHeight="false" outlineLevel="0" collapsed="false">
      <c r="A27357" s="0" t="n">
        <f aca="false">_xlfn.FORECAST.ETS(15,{26;11;42;20.75;84;14.3;21;29.3;2.8;75.7;29;79.41},{1;2;3;4;5;6;7;8;9;10;11;12},1,1,1)</f>
        <v>317.807510336992</v>
      </c>
      <c r="B27357" s="0" t="s">
        <v>27177</v>
      </c>
    </row>
    <row r="27358" customFormat="false" ht="15" hidden="false" customHeight="false" outlineLevel="0" collapsed="false">
      <c r="A27358" s="0" t="n">
        <f aca="false">_xlfn.FORECAST.ETS.STAT({26;11;42;20.75;84;14.3;21;29.3;2.8;75.7;29;79.41},{1;2;3;4;5;6;7;8;9;10;11;12},{1},1,1,1)</f>
        <v>0.8662109375</v>
      </c>
      <c r="B27358" s="0" t="s">
        <v>27178</v>
      </c>
    </row>
    <row r="27359" customFormat="false" ht="15" hidden="false" customHeight="false" outlineLevel="0" collapsed="false">
      <c r="A27359" s="0" t="n">
        <f aca="false">_xlfn.FORECAST.ETS.SEASONALITY({26;11;42;20.75;84;14.3;21;29.3;2.8;75.7;29;79.41},{1;2;3;4;5;6;7;8;9;10;11;12},0)</f>
        <v>5</v>
      </c>
      <c r="B27359" s="0" t="s">
        <v>27179</v>
      </c>
    </row>
    <row r="27360" customFormat="false" ht="15" hidden="false" customHeight="false" outlineLevel="0" collapsed="false">
      <c r="A27360" s="0" t="n">
        <f aca="false">_xlfn.FORECAST.ETS.CONFINT({13;14;15},{26;11;42;20.75;84;14.3;21;29.3;2.8;75.7;29;79.41},{1;2;3;4;5;6;7;8;9;10;11;12},0.9,0,0)</f>
        <v>49.3012039922849</v>
      </c>
      <c r="B27360" s="0" t="s">
        <v>27180</v>
      </c>
    </row>
    <row r="27361" customFormat="false" ht="15" hidden="false" customHeight="false" outlineLevel="0" collapsed="false">
      <c r="A27361" s="0" t="n">
        <f aca="false">_xlfn.FORECAST.ETS({45035;45038;45035},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0)</f>
        <v>202.393796765087</v>
      </c>
      <c r="B27361" s="0" t="s">
        <v>27181</v>
      </c>
    </row>
    <row r="27362" customFormat="false" ht="15" hidden="false" customHeight="false" outlineLevel="0" collapsed="false">
      <c r="A27362" s="0" t="n">
        <f aca="false">_xlfn.FORECAST.ETS.STAT(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{4;8;1;5;6;7;2;9;3},0)</f>
        <v>0.545963781402531</v>
      </c>
      <c r="B27362" s="0" t="s">
        <v>27182</v>
      </c>
    </row>
    <row r="27363" customFormat="false" ht="15" hidden="false" customHeight="false" outlineLevel="0" collapsed="false">
      <c r="A27363" s="0" t="n">
        <f aca="false">_xlfn.FORECAST.ETS.SEASONALITY(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0)</f>
        <v>14</v>
      </c>
      <c r="B27363" s="0" t="s">
        <v>27183</v>
      </c>
    </row>
    <row r="27364" customFormat="false" ht="15" hidden="false" customHeight="false" outlineLevel="0" collapsed="false">
      <c r="A27364" s="0" t="n">
        <f aca="false">_xlfn.ORG.LIBREOFFICE.FORECAST.ETS.PI.MULT(45035,{164.01;161;136;146;180.11;79;61;178.53;43.12;81.49;116.03;47.7;148;129.1;83.13;193.58;114;71;183.5;93;149.8;104.5;96.6;82;36.9;198.2;183;59;111;127.43;115;148.7;171.21;48.59;50.4},{45027;45026;45021;45022;45031;45008;45006;45029;45001;45010;45018;45003;45023;45020;45011;45033;45017;45007;45032;45012;45025;45014;45013;45009;45000;45034;45030;45005;45015;45019;45016;45024;45028;45002;45004},,0,1)</f>
        <v>6.32618015339361</v>
      </c>
      <c r="B27364" s="0" t="s">
        <v>27184</v>
      </c>
    </row>
    <row r="27365" customFormat="false" ht="15" hidden="false" customHeight="false" outlineLevel="0" collapsed="false">
      <c r="A27365" s="0" t="n">
        <f aca="false">_xlfn.ORG.LIBREOFFICE.FORECAST.ETS.MULT({21},{52;40.6;47.9;40.9;47;37.84;44.89;34.6;44;34;41.2;32.3;41;28.4;36;28.1;36;26.7;31.3;25},{1;2;3;4;5;6;7;8;9;10;11;12;13;14;15;16;17;18;19;20},4,0,4)</f>
        <v>31.3370354703553</v>
      </c>
      <c r="B27365" s="0" t="s">
        <v>27185</v>
      </c>
    </row>
    <row r="27366" customFormat="false" ht="15" hidden="false" customHeight="false" outlineLevel="0" collapsed="false">
      <c r="A27366" s="0" t="n">
        <f aca="false">_xlfn.FORECAST.ETS.STAT({52;40.6;47.9;40.9;47;37.84;44.89;34.6;44;34;41.2;32.3;41;28.4;36;28.1;36;26.7;31.3;25},{1;2;3;4;5;6;7;8;9;10;11;12;13;14;15;16;17;18;19;20},{7},4,0,4)</f>
        <v>1.08532833269858</v>
      </c>
      <c r="B27366" s="0" t="s">
        <v>27186</v>
      </c>
    </row>
    <row r="27367" customFormat="false" ht="15" hidden="false" customHeight="false" outlineLevel="0" collapsed="false">
      <c r="A27367" s="0" t="n">
        <f aca="false">_xlfn.FORECAST.ETS.SEASONALITY({52;40.6;47.9;40.9;47;37.84;44.89;34.6;44;34;41.2;32.3;41;28.4;36;28.1;36;26.7;31.3;25},{1;2;3;4;5;6;7;8;9;10;11;12;13;14;15;16;17;18;19;20},0,6)</f>
        <v>4</v>
      </c>
      <c r="B27367" s="0" t="s">
        <v>27187</v>
      </c>
    </row>
    <row r="27368" customFormat="false" ht="15" hidden="false" customHeight="false" outlineLevel="0" collapsed="false">
      <c r="A27368" s="0" t="n">
        <f aca="false">_xlfn.ORG.LIBREOFFICE.FORECAST.ETS.MULT({6.25;6.25},{48;52.01;54.94;58;60.98;65;68.9;71.38;74.5;78.74},{1;1.5;2;2.5;3;3.5;4;4.5;5;5.5},0)</f>
        <v>83.8633333333333</v>
      </c>
      <c r="B27368" s="0" t="s">
        <v>27188</v>
      </c>
    </row>
    <row r="27369" customFormat="false" ht="15" hidden="false" customHeight="false" outlineLevel="0" collapsed="false">
      <c r="A27369" s="0" t="n">
        <f aca="false">_xlfn.ORG.LIBREOFFICE.FORECAST.ETS.STAT.MULT({48;52.01;54.94;58;60.98;65;68.9;71.38;74.5;78.74},{1;1.5;2;2.5;3;3.5;4;4.5;5;5.5},{5;8;3;4;1;7;6;9;2},0)</f>
        <v>0.0060390571901263</v>
      </c>
      <c r="B27369" s="0" t="s">
        <v>27189</v>
      </c>
    </row>
    <row r="27370" customFormat="false" ht="15" hidden="false" customHeight="false" outlineLevel="0" collapsed="false">
      <c r="A27370" s="0" t="n">
        <f aca="false">_xlfn.FORECAST.ETS.SEASONALITY({48;52.01;54.94;58;60.98;65;68.9;71.38;74.5;78.74},{1;1.5;2;2.5;3;3.5;4;4.5;5;5.5},1,6)</f>
        <v>4</v>
      </c>
      <c r="B27370" s="0" t="s">
        <v>27190</v>
      </c>
    </row>
    <row r="27371" customFormat="false" ht="15" hidden="false" customHeight="false" outlineLevel="0" collapsed="false">
      <c r="A27371" s="0" t="n">
        <f aca="false">_xlfn.FORECAST.ETS({23},{36;39.5;41;44.48;48;50.95;53.5;56;59;60.55;64;68;71;74;76;80;82.39;85;88;92.04},{1;2;3;4;5;6;7;8;9;10;11;12;13;14;15;16;17;18;19;20})</f>
        <v>100.523163276989</v>
      </c>
      <c r="B27371" s="0" t="s">
        <v>27191</v>
      </c>
    </row>
    <row r="27372" customFormat="false" ht="15" hidden="false" customHeight="false" outlineLevel="0" collapsed="false">
      <c r="A27372" s="0" t="n">
        <f aca="false">_xlfn.FORECAST.ETS.STAT({36;39.5;41;44.48;48;50.95;53.5;56;59;60.55;64;68;71;74;76;80;82.39;85;88;92.04},{1;2;3;4;5;6;7;8;9;10;11;12;13;14;15;16;17;18;19;20},{2})</f>
        <v>0.3125</v>
      </c>
      <c r="B27372" s="0" t="s">
        <v>27192</v>
      </c>
    </row>
    <row r="27373" customFormat="false" ht="15" hidden="false" customHeight="false" outlineLevel="0" collapsed="false">
      <c r="A27373" s="0" t="n">
        <f aca="false">_xlfn.FORECAST.ETS.SEASONALITY({36;39.5;41;44.48;48;50.95;53.5;56;59;60.55;64;68;71;74;76;80;82.39;85;88;92.04},{1;2;3;4;5;6;7;8;9;10;11;12;13;14;15;16;17;18;19;20},0,1)</f>
        <v>8</v>
      </c>
      <c r="B27373" s="0" t="s">
        <v>27193</v>
      </c>
    </row>
    <row r="27374" customFormat="false" ht="15" hidden="false" customHeight="false" outlineLevel="0" collapsed="false">
      <c r="A27374" s="0" t="n">
        <f aca="false">_xlfn.ORG.LIBREOFFICE.FORECAST.ETS.MULT({9},{21;21;20.94;21;20.9},{1;2;3;4;5},1,,7)</f>
        <v>20.8502252640422</v>
      </c>
      <c r="B27374" s="0" t="s">
        <v>27194</v>
      </c>
    </row>
    <row r="27375" customFormat="false" ht="15" hidden="false" customHeight="false" outlineLevel="0" collapsed="false">
      <c r="A27375" s="0" t="n">
        <f aca="false">_xlfn.ORG.LIBREOFFICE.FORECAST.ETS.STAT.MULT({21;21;20.94;21;20.9},{1;2;3;4;5},{7},1,,7)</f>
        <v>0.0218105044866196</v>
      </c>
      <c r="B27375" s="0" t="s">
        <v>27195</v>
      </c>
    </row>
    <row r="27376" customFormat="false" ht="15" hidden="false" customHeight="false" outlineLevel="0" collapsed="false">
      <c r="A27376" s="0" t="n">
        <f aca="false">_xlfn.FORECAST.ETS.SEASONALITY({21;21;20.94;21;20.9},{1;2;3;4;5})</f>
        <v>2</v>
      </c>
      <c r="B27376" s="0" t="s">
        <v>27196</v>
      </c>
    </row>
    <row r="27377" customFormat="false" ht="15" hidden="false" customHeight="false" outlineLevel="0" collapsed="false">
      <c r="A27377" s="0" t="e">
        <f aca="false">_xlfn.FORECAST.ETS(45777,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,6,1,6)</f>
        <v>#VALUE!</v>
      </c>
      <c r="B27377" s="0" t="s">
        <v>27197</v>
      </c>
    </row>
    <row r="27378" customFormat="false" ht="15" hidden="false" customHeight="false" outlineLevel="0" collapsed="false">
      <c r="A27378" s="0" t="e">
        <f aca="false">_xlfn.FORECAST.ETS.STAT(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,{1},6,1,6)</f>
        <v>#VALUE!</v>
      </c>
      <c r="B27378" s="0" t="s">
        <v>27198</v>
      </c>
    </row>
    <row r="27379" customFormat="false" ht="15" hidden="false" customHeight="false" outlineLevel="0" collapsed="false">
      <c r="A27379" s="0" t="e">
        <f aca="false">_xlfn.FORECAST.ETS.SEASONALITY({4;8.62;17.9;11;26;26;25;32;47.4;27;52.9;48.26;42.64;53.1;77;44;79.27;69.1;60;76.46;104.28;58.14;106.52;92.52;80;98.8;133.5;75.9;133;115.93},{44773;44804;44834;44865;44895;44926;44957;44985;45016;45046;45077;45107;45138;45169;45199;45230;45260;45291;45322;45351;45382;45412;45443;45473;45504;45535;45565;45596;45626;45657})</f>
        <v>#VALUE!</v>
      </c>
      <c r="B27379" s="0" t="s">
        <v>27199</v>
      </c>
    </row>
    <row r="27380" customFormat="false" ht="15" hidden="false" customHeight="false" outlineLevel="0" collapsed="false">
      <c r="A27380" s="0" t="n">
        <f aca="false">_xlfn.ORG.LIBREOFFICE.FORECAST.ETS.MULT({26;29},{109.18;90.3;71.44;61;43.85;45.9;95;70.09;146.4;66;74.46;52;127.91;92.44;51;53.7;42.5;35;58.32;103.33;81.35;72;77;83.1;62.8},{13;19;20;15;5;2;22;12;23;9;3;11;18;8;10;4;6;1;7;24;25;21;14;17;16},5,0)</f>
        <v>81.7041260184034</v>
      </c>
      <c r="B27380" s="0" t="s">
        <v>27200</v>
      </c>
    </row>
    <row r="27381" customFormat="false" ht="15" hidden="false" customHeight="false" outlineLevel="0" collapsed="false">
      <c r="A27381" s="0" t="n">
        <f aca="false">_xlfn.ORG.LIBREOFFICE.FORECAST.ETS.STAT.MULT({109.18;90.3;71.44;61;43.85;45.9;95;70.09;146.4;66;74.46;52;127.91;92.44;51;53.7;42.5;35;58.32;103.33;81.35;72;77;83.1;62.8},{13;19;20;15;5;2;22;12;23;9;3;11;18;8;10;4;6;1;7;24;25;21;14;17;16},{1},5,0)</f>
        <v>0.3125</v>
      </c>
      <c r="B27381" s="0" t="s">
        <v>27201</v>
      </c>
    </row>
    <row r="27382" customFormat="false" ht="15" hidden="false" customHeight="false" outlineLevel="0" collapsed="false">
      <c r="A27382" s="0" t="n">
        <f aca="false">_xlfn.FORECAST.ETS.SEASONALITY({109.18;90.3;71.44;61;43.85;45.9;95;70.09;146.4;66;74.46;52;127.91;92.44;51;53.7;42.5;35;58.32;103.33;81.35;72;77;83.1;62.8},{13;19;20;15;5;2;22;12;23;9;3;11;18;8;10;4;6;1;7;24;25;21;14;17;16},1,3)</f>
        <v>5</v>
      </c>
      <c r="B27382" s="0" t="s">
        <v>27202</v>
      </c>
    </row>
    <row r="27383" customFormat="false" ht="15" hidden="false" customHeight="false" outlineLevel="0" collapsed="false">
      <c r="A27383" s="0" t="n">
        <f aca="false">_xlfn.ORG.LIBREOFFICE.FORECAST.ETS.MULT(44973,{49;50;54;57.7;62.6;70.19;72.3},{44743;44774;44805;44835;44866;44927;44958},3,1)</f>
        <v>73.2484056585734</v>
      </c>
      <c r="B27383" s="0" t="s">
        <v>27203</v>
      </c>
    </row>
    <row r="27384" customFormat="false" ht="15" hidden="false" customHeight="false" outlineLevel="0" collapsed="false">
      <c r="A27384" s="0" t="n">
        <f aca="false">_xlfn.ORG.LIBREOFFICE.FORECAST.ETS.STAT.MULT({49;50;54;57.7;62.6;70.19;72.3},{44743;44774;44805;44835;44866;44927;44958},{8;3;7;4;5;2;9;1;6},3,1)</f>
        <v>1</v>
      </c>
      <c r="B27384" s="0" t="s">
        <v>27204</v>
      </c>
    </row>
    <row r="27385" customFormat="false" ht="15" hidden="false" customHeight="false" outlineLevel="0" collapsed="false">
      <c r="A27385" s="0" t="n">
        <f aca="false">_xlfn.FORECAST.ETS.SEASONALITY({49;50;54;57.7;62.6;70.19;72.3},{44743;44774;44805;44835;44866;44927;44958})</f>
        <v>2</v>
      </c>
      <c r="B27385" s="0" t="s">
        <v>27205</v>
      </c>
    </row>
    <row r="27386" customFormat="false" ht="15" hidden="false" customHeight="false" outlineLevel="0" collapsed="false">
      <c r="A27386" s="0" t="n">
        <f aca="false">_xlfn.ORG.LIBREOFFICE.FORECAST.ETS.MULT({11;13},{99.88;23;48.7;62.2;52.61;9;30;78;96;31.98;20},{1;2;3;4;5;6;6;7;8;9;10},3)</f>
        <v>52.9444006038285</v>
      </c>
      <c r="B27386" s="0" t="s">
        <v>27206</v>
      </c>
    </row>
    <row r="27387" customFormat="false" ht="15" hidden="false" customHeight="false" outlineLevel="0" collapsed="false">
      <c r="A27387" s="0" t="n">
        <f aca="false">_xlfn.FORECAST.ETS.STAT({99.88;23;48.7;62.2;52.61;9;30;78;96;31.98;20},{1;2;3;4;5;6;6;7;8;9;10},{6;4;1;7;2;3;8;9;5},3)</f>
        <v>26.8206934868523</v>
      </c>
      <c r="B27387" s="0" t="s">
        <v>27207</v>
      </c>
    </row>
    <row r="27388" customFormat="false" ht="15" hidden="false" customHeight="false" outlineLevel="0" collapsed="false">
      <c r="A27388" s="0" t="n">
        <f aca="false">_xlfn.FORECAST.ETS.SEASONALITY({99.88;23;48.7;62.2;52.61;9;30;78;96;31.98;20},{1;2;3;4;5;6;6;7;8;9;10},0)</f>
        <v>4</v>
      </c>
      <c r="B27388" s="0" t="s">
        <v>27208</v>
      </c>
    </row>
    <row r="27389" customFormat="false" ht="15" hidden="false" customHeight="false" outlineLevel="0" collapsed="false">
      <c r="A27389" s="0" t="n">
        <f aca="false">_xlfn.ORG.LIBREOFFICE.FORECAST.ETS.PI.MULT({11;12;13},{99.88;23;48.7;62.2;52.61;9;30;78;96;31.98;20},{1;2;3;4;5;6;6;7;8;9;10},0.9,0)</f>
        <v>61.4276067390788</v>
      </c>
      <c r="B27389" s="0" t="s">
        <v>27209</v>
      </c>
    </row>
    <row r="27390" customFormat="false" ht="15" hidden="false" customHeight="false" outlineLevel="0" collapsed="false">
      <c r="A27390" s="0" t="n">
        <f aca="false">_xlfn.FORECAST.ETS({44973,45018},{53;43.8;44.9;15;36;59;21;26;46.2;61.8;30.3;30},{44927;44835;44774;44621;44805;44958;44682;44713;44866;44896;44652;44743},1)</f>
        <v>60.5291776112132</v>
      </c>
      <c r="B27390" s="0" t="s">
        <v>27210</v>
      </c>
    </row>
    <row r="27391" customFormat="false" ht="15" hidden="false" customHeight="false" outlineLevel="0" collapsed="false">
      <c r="A27391" s="0" t="n">
        <f aca="false">_xlfn.FORECAST.ETS.STAT({53;43.8;44.9;15;36;59;21;26;46.2;61.8;30.3;30},{44927;44835;44774;44621;44805;44958;44682;44713;44866;44896;44652;44743},{8;4;9;5;1;6;2;3;7},1)</f>
        <v>1</v>
      </c>
      <c r="B27391" s="0" t="s">
        <v>27211</v>
      </c>
    </row>
    <row r="27392" customFormat="false" ht="15" hidden="false" customHeight="false" outlineLevel="0" collapsed="false">
      <c r="A27392" s="0" t="n">
        <f aca="false">_xlfn.FORECAST.ETS.SEASONALITY({53;43.8;44.9;15;36;59;21;26;46.2;61.8;30.3;30},{44927;44835;44774;44621;44805;44958;44682;44713;44866;44896;44652;44743},0)</f>
        <v>4</v>
      </c>
      <c r="B27392" s="0" t="s">
        <v>27212</v>
      </c>
    </row>
    <row r="27393" customFormat="false" ht="15" hidden="false" customHeight="false" outlineLevel="0" collapsed="false">
      <c r="A27393" s="0" t="n">
        <f aca="false">_xlfn.FORECAST.ETS({146.5,171,153.5},{6;96.4;12.5;75;89.46;18;93;21.1;62.55;85;7.53;1;14;50.6;89;67.81;64.6;27.7;66;75.3;95},{115;122;45;80;73;129;38;3;87;108;24;66;94;136;101;17;52;143;10;59;31},1,,5)</f>
        <v>70.9132597085393</v>
      </c>
      <c r="B27393" s="0" t="s">
        <v>27213</v>
      </c>
    </row>
    <row r="27394" customFormat="false" ht="15" hidden="false" customHeight="false" outlineLevel="0" collapsed="false">
      <c r="A27394" s="0" t="n">
        <f aca="false">_xlfn.ORG.LIBREOFFICE.FORECAST.ETS.STAT.MULT({6;96.4;12.5;75;89.46;18;93;21.1;62.55;85;7.53;1;14;50.6;89;67.81;64.6;27.7;66;75.3;95},{115;122;45;80;73;129;38;3;87;108;24;66;94;136;101;17;52;143;10;59;31},{1;6},1,,5)</f>
        <v>0.00390625</v>
      </c>
      <c r="B27394" s="0" t="s">
        <v>27214</v>
      </c>
    </row>
    <row r="27395" customFormat="false" ht="15" hidden="false" customHeight="false" outlineLevel="0" collapsed="false">
      <c r="A27395" s="0" t="n">
        <f aca="false">_xlfn.FORECAST.ETS.SEASONALITY({6;96.4;12.5;75;89.46;18;93;21.1;62.55;85;7.53;1;14;50.6;89;67.81;64.6;27.7;66;75.3;95},{115;122;45;80;73;129;38;3;87;108;24;66;94;136;101;17;52;143;10;59;31},1,5)</f>
        <v>10</v>
      </c>
      <c r="B27395" s="0" t="s">
        <v>27215</v>
      </c>
    </row>
    <row r="27396" customFormat="false" ht="15" hidden="false" customHeight="false" outlineLevel="0" collapsed="false">
      <c r="A27396" s="0" t="e">
        <f aca="false">_xlfn.ORG.LIBREOFFICE.FORECAST.ETS.MULT({44819;44924},{33;43.1;30;35.13;25;30.9},{44651;44681;44712;44742;44773;44804})</f>
        <v>#VALUE!</v>
      </c>
      <c r="B27396" s="0" t="s">
        <v>27216</v>
      </c>
    </row>
    <row r="27397" customFormat="false" ht="15" hidden="false" customHeight="false" outlineLevel="0" collapsed="false">
      <c r="A27397" s="0" t="e">
        <f aca="false">_xlfn.ORG.LIBREOFFICE.FORECAST.ETS.STAT.MULT({33;43.1;30;35.13;25;30.9},{44651;44681;44712;44742;44773;44804},{3;5})</f>
        <v>#VALUE!</v>
      </c>
      <c r="B27397" s="0" t="s">
        <v>27217</v>
      </c>
    </row>
    <row r="27398" customFormat="false" ht="15" hidden="false" customHeight="false" outlineLevel="0" collapsed="false">
      <c r="A27398" s="0" t="e">
        <f aca="false">_xlfn.FORECAST.ETS.SEASONALITY({33;43.1;30;35.13;25;30.9},{44651;44681;44712;44742;44773;44804})</f>
        <v>#VALUE!</v>
      </c>
      <c r="B27398" s="0" t="s">
        <v>27218</v>
      </c>
    </row>
    <row r="27399" customFormat="false" ht="15" hidden="false" customHeight="false" outlineLevel="0" collapsed="false">
      <c r="A27399" s="0" t="n">
        <f aca="false">_xlfn.FORECAST.ETS({15.5;18;15.5},{95;95.73;61.29;52;73.8;66;47.26;13.6;20;68.3;16.9;54.67;36.7;66.7;29;20.8},{1;2;3;4;5;6;7;8;9;10;11;12;13;14;14;15},4,,2)</f>
        <v>-11.807686619712</v>
      </c>
      <c r="B27399" s="0" t="s">
        <v>27219</v>
      </c>
    </row>
    <row r="27400" customFormat="false" ht="15" hidden="false" customHeight="false" outlineLevel="0" collapsed="false">
      <c r="A27400" s="0" t="n">
        <f aca="false">_xlfn.FORECAST.ETS.STAT({95;95.73;61.29;52;73.8;66;47.26;13.6;20;68.3;16.9;54.67;36.7;66.7;29;20.8},{1;2;3;4;5;6;7;8;9;10;11;12;13;14;14;15},{4;6},4,,2)</f>
        <v>0.573921720717899</v>
      </c>
      <c r="B27400" s="0" t="s">
        <v>27220</v>
      </c>
    </row>
    <row r="27401" customFormat="false" ht="15" hidden="false" customHeight="false" outlineLevel="0" collapsed="false">
      <c r="A27401" s="0" t="n">
        <f aca="false">_xlfn.FORECAST.ETS.SEASONALITY({95;95.73;61.29;52;73.8;66;47.26;13.6;20;68.3;16.9;54.67;36.7;66.7;29;20.8},{1;2;3;4;5;6;7;8;9;10;11;12;13;14;14;15},1,5)</f>
        <v>5</v>
      </c>
      <c r="B27401" s="0" t="s">
        <v>27221</v>
      </c>
    </row>
    <row r="27402" customFormat="false" ht="15" hidden="false" customHeight="false" outlineLevel="0" collapsed="false">
      <c r="A27402" s="0" t="n">
        <f aca="false">_xlfn.FORECAST.ETS({5,3.75,4.5},{37.84;38;38;38;38;37.84},{1;1.5;2;2.5;3;3.5},0,,6)</f>
        <v>37.84</v>
      </c>
      <c r="B27402" s="0" t="s">
        <v>27222</v>
      </c>
    </row>
    <row r="27403" customFormat="false" ht="15" hidden="false" customHeight="false" outlineLevel="0" collapsed="false">
      <c r="A27403" s="0" t="n">
        <f aca="false">_xlfn.ORG.LIBREOFFICE.FORECAST.ETS.STAT.MULT({37.84;38;38;38;38;37.84},{1;1.5;2;2.5;3;3.5},{7;1},0,,6)</f>
        <v>0.101192885125386</v>
      </c>
      <c r="B27403" s="0" t="s">
        <v>27223</v>
      </c>
    </row>
    <row r="27404" customFormat="false" ht="15" hidden="false" customHeight="false" outlineLevel="0" collapsed="false">
      <c r="A27404" s="0" t="n">
        <f aca="false">_xlfn.FORECAST.ETS.SEASONALITY({37.84;38;38;38;38;37.84},{1;1.5;2;2.5;3;3.5},1,2)</f>
        <v>1</v>
      </c>
      <c r="B27404" s="0" t="s">
        <v>27224</v>
      </c>
    </row>
    <row r="27405" customFormat="false" ht="15" hidden="false" customHeight="false" outlineLevel="0" collapsed="false">
      <c r="A27405" s="0" t="e">
        <f aca="false">_xlfn.ORG.LIBREOFFICE.FORECAST.ETS.MULT({45046,45061,45031},{5;32;49.57;29;91},{44895;44926;44957;44985;45016},1,1,5)</f>
        <v>#VALUE!</v>
      </c>
      <c r="B27405" s="0" t="s">
        <v>27225</v>
      </c>
    </row>
    <row r="27406" customFormat="false" ht="15" hidden="false" customHeight="false" outlineLevel="0" collapsed="false">
      <c r="A27406" s="0" t="e">
        <f aca="false">_xlfn.ORG.LIBREOFFICE.FORECAST.ETS.STAT.MULT({5;32;49.57;29;91},{44895;44926;44957;44985;45016},{9;1;5;6;4;7;8;3;2},1,1,5)</f>
        <v>#VALUE!</v>
      </c>
      <c r="B27406" s="0" t="s">
        <v>27226</v>
      </c>
    </row>
    <row r="27407" customFormat="false" ht="15" hidden="false" customHeight="false" outlineLevel="0" collapsed="false">
      <c r="A27407" s="0" t="e">
        <f aca="false">_xlfn.FORECAST.ETS.SEASONALITY({5;32;49.57;29;91},{44895;44926;44957;44985;45016},0)</f>
        <v>#VALUE!</v>
      </c>
      <c r="B27407" s="0" t="s">
        <v>27227</v>
      </c>
    </row>
    <row r="27408" customFormat="false" ht="15" hidden="false" customHeight="false" outlineLevel="0" collapsed="false">
      <c r="A27408" s="0" t="e">
        <f aca="false">_xlfn.FORECAST.ETS({45006},{6;5.8;5.77;5.8;5.8},{45000;45001;45002;45003;45004},4,0,2)</f>
        <v>#VALUE!</v>
      </c>
      <c r="B27408" s="0" t="s">
        <v>27228</v>
      </c>
    </row>
    <row r="27409" customFormat="false" ht="15" hidden="false" customHeight="false" outlineLevel="0" collapsed="false">
      <c r="A27409" s="0" t="e">
        <f aca="false">_xlfn.FORECAST.ETS.STAT({6;5.8;5.77;5.8;5.8},{45000;45001;45002;45003;45004},{2;9;3;5;8;4;7;6;1},4,0,2)</f>
        <v>#VALUE!</v>
      </c>
      <c r="B27409" s="0" t="s">
        <v>27229</v>
      </c>
    </row>
    <row r="27410" customFormat="false" ht="15" hidden="false" customHeight="false" outlineLevel="0" collapsed="false">
      <c r="A27410" s="0" t="n">
        <f aca="false">_xlfn.FORECAST.ETS.SEASONALITY({6;5.8;5.77;5.8;5.8},{45000;45001;45002;45003;45004},1)</f>
        <v>2</v>
      </c>
      <c r="B27410" s="0" t="s">
        <v>27230</v>
      </c>
    </row>
    <row r="27411" customFormat="false" ht="15" hidden="false" customHeight="false" outlineLevel="0" collapsed="false">
      <c r="A27411" s="0" t="n">
        <f aca="false">_xlfn.ORG.LIBREOFFICE.FORECAST.ETS.MULT({45020},{23;25.7;25.71;23.05;17;21.2;21.8;17.74;12;14.16;15.6;13.6;5;9.6;11;7.64;0;5.1;5.35;1.1},{45000;45001;45002;45003;45004;45005;45006;45007;45008;45009;45010;45011;45012;45013;45014;45015;45016;45017;45018;45019})</f>
        <v>0</v>
      </c>
      <c r="B27411" s="0" t="s">
        <v>27231</v>
      </c>
    </row>
    <row r="27412" customFormat="false" ht="15" hidden="false" customHeight="false" outlineLevel="0" collapsed="false">
      <c r="A27412" s="0" t="n">
        <f aca="false">_xlfn.ORG.LIBREOFFICE.FORECAST.ETS.STAT.MULT({23;25.7;25.71;23.05;17;21.2;21.8;17.74;12;14.16;15.6;13.6;5;9.6;11;7.64;0;5.1;5.35;1.1},{45000;45001;45002;45003;45004;45005;45006;45007;45008;45009;45010;45011;45012;45013;45014;45015;45016;45017;45018;45019},{5})</f>
        <v>0.253177838928979</v>
      </c>
      <c r="B27412" s="0" t="s">
        <v>27232</v>
      </c>
    </row>
    <row r="27413" customFormat="false" ht="15" hidden="false" customHeight="false" outlineLevel="0" collapsed="false">
      <c r="A27413" s="0" t="n">
        <f aca="false">_xlfn.FORECAST.ETS.SEASONALITY({23;25.7;25.71;23.05;17;21.2;21.8;17.74;12;14.16;15.6;13.6;5;9.6;11;7.64;0;5.1;5.35;1.1},{45000;45001;45002;45003;45004;45005;45006;45007;45008;45009;45010;45011;45012;45013;45014;45015;45016;45017;45018;45019},0,1)</f>
        <v>4</v>
      </c>
      <c r="B27413" s="0" t="s">
        <v>27233</v>
      </c>
    </row>
    <row r="27414" customFormat="false" ht="15" hidden="false" customHeight="false" outlineLevel="0" collapsed="false">
      <c r="A27414" s="0" t="e">
        <f aca="false">_xlfn.FORECAST.ETS({45000;45105;45105},{44.09;44.09;44.1;44;44;44;44.09;44.09},{44773;44804;44834;44865;44895;44926;44957;44985},1,1,5)</f>
        <v>#VALUE!</v>
      </c>
      <c r="B27414" s="0" t="s">
        <v>27234</v>
      </c>
    </row>
    <row r="27415" customFormat="false" ht="15" hidden="false" customHeight="false" outlineLevel="0" collapsed="false">
      <c r="A27415" s="0" t="e">
        <f aca="false">_xlfn.ORG.LIBREOFFICE.FORECAST.ETS.STAT.MULT({44.09;44.09;44.1;44;44;44;44.09;44.09},{44773;44804;44834;44865;44895;44926;44957;44985},{5},1,1,5)</f>
        <v>#VALUE!</v>
      </c>
      <c r="B27415" s="0" t="s">
        <v>27235</v>
      </c>
    </row>
    <row r="27416" customFormat="false" ht="15" hidden="false" customHeight="false" outlineLevel="0" collapsed="false">
      <c r="A27416" s="0" t="e">
        <f aca="false">_xlfn.FORECAST.ETS.SEASONALITY({44.09;44.09;44.1;44;44;44;44.09;44.09},{44773;44804;44834;44865;44895;44926;44957;44985},0,6)</f>
        <v>#VALUE!</v>
      </c>
      <c r="B27416" s="0" t="s">
        <v>27236</v>
      </c>
    </row>
    <row r="27417" customFormat="false" ht="15" hidden="false" customHeight="false" outlineLevel="0" collapsed="false">
      <c r="A27417" s="0" t="n">
        <f aca="false">_xlfn.ORG.LIBREOFFICE.FORECAST.ETS.MULT({44969,44999,45044},{18.3;89.8;10.3;42.6;21.82;59.2;18;49.25;43.2;34.8;5;24.58;91},{44589;44620;44648;44679;44709;44740;44770;44801;44832;44862;44893;44923;44954},0,1)</f>
        <v>63.0216153977796</v>
      </c>
      <c r="B27417" s="0" t="s">
        <v>27237</v>
      </c>
    </row>
    <row r="27418" customFormat="false" ht="15" hidden="false" customHeight="false" outlineLevel="0" collapsed="false">
      <c r="A27418" s="0" t="n">
        <f aca="false">_xlfn.ORG.LIBREOFFICE.FORECAST.ETS.STAT.MULT({18.3;89.8;10.3;42.6;21.82;59.2;18;49.25;43.2;34.8;5;24.58;91},{44589;44620;44648;44679;44709;44740;44770;44801;44832;44862;44893;44923;44954},{5;1;4;2;7;3;9;8;6},0,1)</f>
        <v>0.695241047529478</v>
      </c>
      <c r="B27418" s="0" t="s">
        <v>27238</v>
      </c>
    </row>
    <row r="27419" customFormat="false" ht="15" hidden="false" customHeight="false" outlineLevel="0" collapsed="false">
      <c r="A27419" s="0" t="n">
        <f aca="false">_xlfn.FORECAST.ETS.SEASONALITY({18.3;89.8;10.3;42.6;21.82;59.2;18;49.25;43.2;34.8;5;24.58;91},{44589;44620;44648;44679;44709;44740;44770;44801;44832;44862;44893;44923;44954},0,2)</f>
        <v>4</v>
      </c>
      <c r="B27419" s="0" t="s">
        <v>27239</v>
      </c>
    </row>
    <row r="27420" customFormat="false" ht="15" hidden="false" customHeight="false" outlineLevel="0" collapsed="false">
      <c r="A27420" s="0" t="n">
        <f aca="false">_xlfn.FORECAST.ETS({28,29,31},{81.4;71;54;81;88;77;9.4;10;82;14;28.5;74;70.06},{3;5;7;9;11;13;15;17;19;21;21;23;25})</f>
        <v>56.6146780322238</v>
      </c>
      <c r="B27420" s="0" t="s">
        <v>27240</v>
      </c>
    </row>
    <row r="27421" customFormat="false" ht="15" hidden="false" customHeight="false" outlineLevel="0" collapsed="false">
      <c r="A27421" s="0" t="n">
        <f aca="false">_xlfn.ORG.LIBREOFFICE.FORECAST.ETS.STAT.MULT({81.4;71;54;81;88;77;9.4;10;82;14;28.5;74;70.06},{3;5;7;9;11;13;15;17;19;21;21;23;25},{5})</f>
        <v>0.508150638309305</v>
      </c>
      <c r="B27421" s="0" t="s">
        <v>27241</v>
      </c>
    </row>
    <row r="27422" customFormat="false" ht="15" hidden="false" customHeight="false" outlineLevel="0" collapsed="false">
      <c r="A27422" s="0" t="n">
        <f aca="false">_xlfn.FORECAST.ETS.SEASONALITY({81.4;71;54;81;88;77;9.4;10;82;14;28.5;74;70.06},{3;5;7;9;11;13;15;17;19;21;21;23;25},1,5)</f>
        <v>3</v>
      </c>
      <c r="B27422" s="0" t="s">
        <v>27242</v>
      </c>
    </row>
    <row r="27423" customFormat="false" ht="15" hidden="false" customHeight="false" outlineLevel="0" collapsed="false">
      <c r="A27423" s="0" t="n">
        <f aca="false">_xlfn.ORG.LIBREOFFICE.FORECAST.ETS.MULT(19.25,{39;37.06;58;33.3;75.8;69.67;81.2;71.7;104.11;58.95;124.6;72.2;107.61},{3;8;13;18;23;33;38;43;48;53;58;63;68},7)</f>
        <v>43.925</v>
      </c>
      <c r="B27423" s="0" t="s">
        <v>27243</v>
      </c>
    </row>
    <row r="27424" customFormat="false" ht="15" hidden="false" customHeight="false" outlineLevel="0" collapsed="false">
      <c r="A27424" s="0" t="n">
        <f aca="false">_xlfn.FORECAST.ETS.STAT({39;37.06;58;33.3;75.8;69.67;81.2;71.7;104.11;58.95;124.6;72.2;107.61},{3;8;13;18;23;33;38;43;48;53;58;63;68},{9},7)</f>
        <v>7</v>
      </c>
      <c r="B27424" s="0" t="s">
        <v>27244</v>
      </c>
    </row>
    <row r="27425" customFormat="false" ht="15" hidden="false" customHeight="false" outlineLevel="0" collapsed="false">
      <c r="A27425" s="0" t="n">
        <f aca="false">_xlfn.FORECAST.ETS.SEASONALITY({39;37.06;58;33.3;75.8;69.67;81.2;71.7;104.11;58.95;124.6;72.2;107.61},{3;8;13;18;23;33;38;43;48;53;58;63;68})</f>
        <v>2</v>
      </c>
      <c r="B27425" s="0" t="s">
        <v>27245</v>
      </c>
    </row>
    <row r="27426" customFormat="false" ht="15" hidden="false" customHeight="false" outlineLevel="0" collapsed="false">
      <c r="A27426" s="0" t="e">
        <f aca="false">_xlfn.ORG.LIBREOFFICE.FORECAST.ETS.MULT(45000,{14.9;20;21.28;24.74;28;32.51;34;41;43},{44834;44865;44895;44926;44957;44985;45016;45046;45077},1,,1)</f>
        <v>#VALUE!</v>
      </c>
      <c r="B27426" s="0" t="s">
        <v>27246</v>
      </c>
    </row>
    <row r="27427" customFormat="false" ht="15" hidden="false" customHeight="false" outlineLevel="0" collapsed="false">
      <c r="A27427" s="0" t="e">
        <f aca="false">_xlfn.ORG.LIBREOFFICE.FORECAST.ETS.STAT.MULT({14.9;20;21.28;24.74;28;32.51;34;41;43},{44834;44865;44895;44926;44957;44985;45016;45046;45077},{1;6;3;4;2;9;8;5;7},1,,1)</f>
        <v>#VALUE!</v>
      </c>
      <c r="B27427" s="0" t="s">
        <v>27247</v>
      </c>
    </row>
    <row r="27428" customFormat="false" ht="15" hidden="false" customHeight="false" outlineLevel="0" collapsed="false">
      <c r="A27428" s="0" t="e">
        <f aca="false">_xlfn.FORECAST.ETS.SEASONALITY({14.9;20;21.28;24.74;28;32.51;34;41;43},{44834;44865;44895;44926;44957;44985;45016;45046;45077})</f>
        <v>#VALUE!</v>
      </c>
      <c r="B27428" s="0" t="s">
        <v>27248</v>
      </c>
    </row>
    <row r="27429" customFormat="false" ht="15" hidden="false" customHeight="false" outlineLevel="0" collapsed="false">
      <c r="A27429" s="0" t="n">
        <f aca="false">_xlfn.ORG.LIBREOFFICE.FORECAST.ETS.MULT({14,10.5,12},{12.5;30;38.84;9.2;34.2;27.49;48;43;21.3;16.4},{2;6;8;1;7;5;10;9;4;3},1,,3)</f>
        <v>63.0025656925003</v>
      </c>
      <c r="B27429" s="0" t="s">
        <v>27249</v>
      </c>
    </row>
    <row r="27430" customFormat="false" ht="15" hidden="false" customHeight="false" outlineLevel="0" collapsed="false">
      <c r="A27430" s="0" t="n">
        <f aca="false">_xlfn.FORECAST.ETS.STAT({12.5;30;38.84;9.2;34.2;27.49;48;43;21.3;16.4},{2;6;8;1;7;5;10;9;4;3},{8;9;1;7;3;6;5;2;4},1,,3)</f>
        <v>1</v>
      </c>
      <c r="B27430" s="0" t="s">
        <v>27250</v>
      </c>
    </row>
    <row r="27431" customFormat="false" ht="15" hidden="false" customHeight="false" outlineLevel="0" collapsed="false">
      <c r="A27431" s="0" t="n">
        <f aca="false">_xlfn.FORECAST.ETS.SEASONALITY({12.5;30;38.84;9.2;34.2;27.49;48;43;21.3;16.4},{2;6;8;1;7;5;10;9;4;3})</f>
        <v>5</v>
      </c>
      <c r="B27431" s="0" t="s">
        <v>27251</v>
      </c>
    </row>
    <row r="27432" customFormat="false" ht="15" hidden="false" customHeight="false" outlineLevel="0" collapsed="false">
      <c r="A27432" s="0" t="e">
        <f aca="false">_xlfn.FORECAST.ETS.CONFINT({11;12;13},{12.5;30;38.84;9.2;34.2;27.49;48;43;21.3;16.4},{2;6;8;1;7;5;10;9;4;3},1,0,1,6)</f>
        <v>#NUM!</v>
      </c>
      <c r="B27432" s="0" t="s">
        <v>27252</v>
      </c>
    </row>
    <row r="27433" customFormat="false" ht="15" hidden="false" customHeight="false" outlineLevel="0" collapsed="false">
      <c r="A27433" s="0" t="n">
        <f aca="false">_xlfn.FORECAST.ETS({51},{28;28;27.9;28;27.9;27.9;28;27.85;28;27.9;27.9;28;27.9;28;27.9;27.9;27.9;27.9;28;27.9;28;27.9;28},{29;37;17;41;27;23;35;21;11;33;31;25;19;13;15;9;39;43;45;5;3;7;47})</f>
        <v>27.9539537732899</v>
      </c>
      <c r="B27433" s="0" t="s">
        <v>27253</v>
      </c>
    </row>
    <row r="27434" customFormat="false" ht="15" hidden="false" customHeight="false" outlineLevel="0" collapsed="false">
      <c r="A27434" s="0" t="n">
        <f aca="false">_xlfn.ORG.LIBREOFFICE.FORECAST.ETS.STAT.MULT({28;28;27.9;28;27.9;27.9;28;27.85;28;27.9;27.9;28;27.9;28;27.9;27.9;27.9;27.9;28;27.9;28;27.9;28},{29;37;17;41;27;23;35;21;11;33;31;25;19;13;15;9;39;43;45;5;3;7;47},{3})</f>
        <v>0.9599609375</v>
      </c>
      <c r="B27434" s="0" t="s">
        <v>27254</v>
      </c>
    </row>
    <row r="27435" customFormat="false" ht="15" hidden="false" customHeight="false" outlineLevel="0" collapsed="false">
      <c r="A27435" s="0" t="n">
        <f aca="false">_xlfn.FORECAST.ETS.SEASONALITY({28;28;27.9;28;27.9;27.9;28;27.85;28;27.9;27.9;28;27.9;28;27.9;27.9;27.9;27.9;28;27.9;28;27.9;28},{29;37;17;41;27;23;35;21;11;33;31;25;19;13;15;9;39;43;45;5;3;7;47})</f>
        <v>6</v>
      </c>
      <c r="B27435" s="0" t="s">
        <v>27255</v>
      </c>
    </row>
    <row r="27436" customFormat="false" ht="15" hidden="false" customHeight="false" outlineLevel="0" collapsed="false">
      <c r="A27436" s="0" t="n">
        <f aca="false">_xlfn.FORECAST.ETS(9.5,{18;37.5;22;39.5;54.7;40;56;4.12;26.66},{1;1;2;3;4;5;6;7;8},1,0,3)</f>
        <v>-15.585</v>
      </c>
      <c r="B27436" s="0" t="s">
        <v>27256</v>
      </c>
    </row>
    <row r="27437" customFormat="false" ht="15" hidden="false" customHeight="false" outlineLevel="0" collapsed="false">
      <c r="A27437" s="0" t="n">
        <f aca="false">_xlfn.ORG.LIBREOFFICE.FORECAST.ETS.STAT.MULT({18;37.5;22;39.5;54.7;40;56;4.12;26.66},{1;1;2;3;4;5;6;7;8},{7},1,0,3)</f>
        <v>20.0337572010152</v>
      </c>
      <c r="B27437" s="0" t="s">
        <v>27257</v>
      </c>
    </row>
    <row r="27438" customFormat="false" ht="15" hidden="false" customHeight="false" outlineLevel="0" collapsed="false">
      <c r="A27438" s="0" t="n">
        <f aca="false">_xlfn.FORECAST.ETS.SEASONALITY({18;37.5;22;39.5;54.7;40;56;4.12;26.66},{1;1;2;3;4;5;6;7;8},1,4)</f>
        <v>2</v>
      </c>
      <c r="B27438" s="0" t="s">
        <v>27258</v>
      </c>
    </row>
    <row r="27439" customFormat="false" ht="15" hidden="false" customHeight="false" outlineLevel="0" collapsed="false">
      <c r="A27439" s="0" t="e">
        <f aca="false">_xlfn.FORECAST.ETS(45227,{14;12.63;12.61;9.2;9;7;4;1.9;-0.4;0.4;-2.3;-4;-4.2},{44862;44893;44923;44954;44985;45044;45074;45105;45135;45166;45197;45227;45258},2)</f>
        <v>#DIV/0!</v>
      </c>
      <c r="B27439" s="0" t="s">
        <v>27259</v>
      </c>
    </row>
    <row r="27440" customFormat="false" ht="15" hidden="false" customHeight="false" outlineLevel="0" collapsed="false">
      <c r="A27440" s="0" t="e">
        <f aca="false">_xlfn.ORG.LIBREOFFICE.FORECAST.ETS.STAT.MULT({14;12.63;12.61;9.2;9;7;4;1.9;-0.4;0.4;-2.3;-4;-4.2},{44862;44893;44923;44954;44985;45044;45074;45105;45135;45166;45197;45227;45258},{5;4;8;3;2;7;6;9;1},2)</f>
        <v>#DIV/0!</v>
      </c>
      <c r="B27440" s="0" t="s">
        <v>27260</v>
      </c>
    </row>
    <row r="27441" customFormat="false" ht="15" hidden="false" customHeight="false" outlineLevel="0" collapsed="false">
      <c r="A27441" s="0" t="n">
        <f aca="false">_xlfn.FORECAST.ETS.SEASONALITY({14;12.63;12.61;9.2;9;7;4;1.9;-0.4;0.4;-2.3;-4;-4.2},{44862;44893;44923;44954;44985;45044;45074;45105;45135;45166;45197;45227;45258})</f>
        <v>5</v>
      </c>
      <c r="B27441" s="0" t="s">
        <v>27261</v>
      </c>
    </row>
    <row r="27442" customFormat="false" ht="15" hidden="false" customHeight="false" outlineLevel="0" collapsed="false">
      <c r="A27442" s="0" t="n">
        <f aca="false">_xlfn.FORECAST.ETS(15.5,{16;21;23.59;26.59;29.9;31.64;36;40;40;44.9;49;52;55;58},{1;2;3;4;5;6;7;8;9;10;11;12;13;14},0,1)</f>
        <v>63.0418799819146</v>
      </c>
      <c r="B27442" s="0" t="s">
        <v>27262</v>
      </c>
    </row>
    <row r="27443" customFormat="false" ht="15" hidden="false" customHeight="false" outlineLevel="0" collapsed="false">
      <c r="A27443" s="0" t="n">
        <f aca="false">_xlfn.ORG.LIBREOFFICE.FORECAST.ETS.STAT.MULT({16;21;23.59;26.59;29.9;31.64;36;40;40;44.9;49;52;55;58},{1;2;3;4;5;6;7;8;9;10;11;12;13;14},{5;7;6;3;2;1;9;4;8},0,1)</f>
        <v>0.0254193170446399</v>
      </c>
      <c r="B27443" s="0" t="s">
        <v>27263</v>
      </c>
    </row>
    <row r="27444" customFormat="false" ht="15" hidden="false" customHeight="false" outlineLevel="0" collapsed="false">
      <c r="A27444" s="0" t="n">
        <f aca="false">_xlfn.FORECAST.ETS.SEASONALITY({16;21;23.59;26.59;29.9;31.64;36;40;40;44.9;49;52;55;58},{1;2;3;4;5;6;7;8;9;10;11;12;13;14})</f>
        <v>6</v>
      </c>
      <c r="B27444" s="0" t="s">
        <v>27264</v>
      </c>
    </row>
    <row r="27445" customFormat="false" ht="15" hidden="false" customHeight="false" outlineLevel="0" collapsed="false">
      <c r="A27445" s="0" t="n">
        <f aca="false">_xlfn.ORG.LIBREOFFICE.FORECAST.ETS.MULT(9,{21;24.72;23;27;36.62;41.9;39;44.8},{1;2;3;4;5;6;7;8},4,0)</f>
        <v>62.8854593804701</v>
      </c>
      <c r="B27445" s="0" t="s">
        <v>27265</v>
      </c>
    </row>
    <row r="27446" customFormat="false" ht="15" hidden="false" customHeight="false" outlineLevel="0" collapsed="false">
      <c r="A27446" s="0" t="n">
        <f aca="false">_xlfn.FORECAST.ETS.STAT({21;24.72;23;27;36.62;41.9;39;44.8},{1;2;3;4;5;6;7;8},{7},4,0)</f>
        <v>0.537972383784041</v>
      </c>
      <c r="B27446" s="0" t="s">
        <v>27266</v>
      </c>
    </row>
    <row r="27447" customFormat="false" ht="15" hidden="false" customHeight="false" outlineLevel="0" collapsed="false">
      <c r="A27447" s="0" t="n">
        <f aca="false">_xlfn.FORECAST.ETS.SEASONALITY({21;24.72;23;27;36.62;41.9;39;44.8},{1;2;3;4;5;6;7;8},0,1)</f>
        <v>4</v>
      </c>
      <c r="B27447" s="0" t="s">
        <v>27267</v>
      </c>
    </row>
    <row r="27448" customFormat="false" ht="15" hidden="false" customHeight="false" outlineLevel="0" collapsed="false">
      <c r="A27448" s="0" t="n">
        <f aca="false">_xlfn.FORECAST.ETS(30,{45;43.7;35.5;49.8;41.8;53.03;10.5;47.86;51.5;52.7;43.2;56.67;50;59.18;55;57.58;59.5;49;63.29;57.4;64.5;62.31;63.8;66.5;56.97;70.75;63.6;71.9;68.63},{1;2;3;4;5;6;6;7;8;9;10;11;12;13;14;15;16;17;18;19;20;21;22;23;24;25;26;27;28},3)</f>
        <v>71.2009518226625</v>
      </c>
      <c r="B27448" s="0" t="s">
        <v>27268</v>
      </c>
    </row>
    <row r="27449" customFormat="false" ht="15" hidden="false" customHeight="false" outlineLevel="0" collapsed="false">
      <c r="A27449" s="0" t="n">
        <f aca="false">_xlfn.ORG.LIBREOFFICE.FORECAST.ETS.STAT.MULT({45;43.7;35.5;49.8;41.8;53.03;10.5;47.86;51.5;52.7;43.2;56.67;50;59.18;55;57.58;59.5;49;63.29;57.4;64.5;62.31;63.8;66.5;56.97;70.75;63.6;71.9;68.63},{1;2;3;4;5;6;6;7;8;9;10;11;12;13;14;15;16;17;18;19;20;21;22;23;24;25;26;27;28},{4},3)</f>
        <v>0.720192610480987</v>
      </c>
      <c r="B27449" s="0" t="s">
        <v>27269</v>
      </c>
    </row>
    <row r="27450" customFormat="false" ht="15" hidden="false" customHeight="false" outlineLevel="0" collapsed="false">
      <c r="A27450" s="0" t="n">
        <f aca="false">_xlfn.FORECAST.ETS.SEASONALITY({45;43.7;35.5;49.8;41.8;53.03;10.5;47.86;51.5;52.7;43.2;56.67;50;59.18;55;57.58;59.5;49;63.29;57.4;64.5;62.31;63.8;66.5;56.97;70.75;63.6;71.9;68.63},{1;2;3;4;5;6;6;7;8;9;10;11;12;13;14;15;16;17;18;19;20;21;22;23;24;25;26;27;28},1)</f>
        <v>7</v>
      </c>
      <c r="B27450" s="0" t="s">
        <v>27270</v>
      </c>
    </row>
    <row r="27451" customFormat="false" ht="15" hidden="false" customHeight="false" outlineLevel="0" collapsed="false">
      <c r="A27451" s="0" t="n">
        <f aca="false">_xlfn.FORECAST.ETS({78;73},{28.4;28.38;28.4;28.4;28.38;28.38;28.38;28.38;28;28.4;28.4;28.38},{3;8;13;18;23;28;33;38;43;48;53;58},2)</f>
        <v>28.4001955055428</v>
      </c>
      <c r="B27451" s="0" t="s">
        <v>27271</v>
      </c>
    </row>
    <row r="27452" customFormat="false" ht="15" hidden="false" customHeight="false" outlineLevel="0" collapsed="false">
      <c r="A27452" s="0" t="n">
        <f aca="false">_xlfn.ORG.LIBREOFFICE.FORECAST.ETS.STAT.MULT({28.4;28.38;28.4;28.4;28.38;28.38;28.38;28.38;28;28.4;28.4;28.38},{3;8;13;18;23;28;33;38;43;48;53;58},{7;5},2)</f>
        <v>0.12896900561208</v>
      </c>
      <c r="B27452" s="0" t="s">
        <v>27272</v>
      </c>
    </row>
    <row r="27453" customFormat="false" ht="15" hidden="false" customHeight="false" outlineLevel="0" collapsed="false">
      <c r="A27453" s="0" t="n">
        <f aca="false">_xlfn.FORECAST.ETS.SEASONALITY({28.4;28.38;28.4;28.4;28.38;28.38;28.38;28.38;28;28.4;28.4;28.38},{3;8;13;18;23;28;33;38;43;48;53;58},1,4)</f>
        <v>4</v>
      </c>
      <c r="B27453" s="0" t="s">
        <v>27273</v>
      </c>
    </row>
    <row r="27454" customFormat="false" ht="15" hidden="false" customHeight="false" outlineLevel="0" collapsed="false">
      <c r="A27454" s="0" t="n">
        <f aca="false">_xlfn.FORECAST.ETS({26;26;26},{52;45;27.8;44;44;19.97;44;37.89;21.84;38.33;35.6;16;36.9;31;17;28;28;14;26.54;22.4;12.5;21.52;18;9},{1;2;3;4;5;6;7;8;9;10;11;12;13;14;15;16;17;18;19;20;21;22;23;24},2)</f>
        <v>11.021436744013</v>
      </c>
      <c r="B27454" s="0" t="s">
        <v>27274</v>
      </c>
    </row>
    <row r="27455" customFormat="false" ht="15" hidden="false" customHeight="false" outlineLevel="0" collapsed="false">
      <c r="A27455" s="0" t="n">
        <f aca="false">_xlfn.ORG.LIBREOFFICE.FORECAST.ETS.STAT.MULT({52;45;27.8;44;44;19.97;44;37.89;21.84;38.33;35.6;16;36.9;31;17;28;28;14;26.54;22.4;12.5;21.52;18;9},{1;2;3;4;5;6;7;8;9;10;11;12;13;14;15;16;17;18;19;20;21;22;23;24},{6},2)</f>
        <v>9.63939463921254</v>
      </c>
      <c r="B27455" s="0" t="s">
        <v>27275</v>
      </c>
    </row>
    <row r="27456" customFormat="false" ht="15" hidden="false" customHeight="false" outlineLevel="0" collapsed="false">
      <c r="A27456" s="0" t="n">
        <f aca="false">_xlfn.FORECAST.ETS.SEASONALITY({52;45;27.8;44;44;19.97;44;37.89;21.84;38.33;35.6;16;36.9;31;17;28;28;14;26.54;22.4;12.5;21.52;18;9},{1;2;3;4;5;6;7;8;9;10;11;12;13;14;15;16;17;18;19;20;21;22;23;24},1)</f>
        <v>6</v>
      </c>
      <c r="B27456" s="0" t="s">
        <v>27276</v>
      </c>
    </row>
    <row r="27457" customFormat="false" ht="15" hidden="false" customHeight="false" outlineLevel="0" collapsed="false">
      <c r="A27457" s="0" t="n">
        <f aca="false">_xlfn.ORG.LIBREOFFICE.FORECAST.ETS.PI.MULT({25;26;27},{52;45;27.8;44;44;19.97;44;37.89;21.84;38.33;35.6;16;36.9;31;17;28;28;14;26.54;22.4;12.5;21.52;18;9},{1;2;3;4;5;6;7;8;9;10;11;12;13;14;15;16;17;18;19;20;21;22;23;24},,0)</f>
        <v>17.9475854670743</v>
      </c>
      <c r="B27457" s="0" t="s">
        <v>27277</v>
      </c>
    </row>
    <row r="27458" customFormat="false" ht="15" hidden="false" customHeight="false" outlineLevel="0" collapsed="false">
      <c r="A27458" s="0" t="e">
        <f aca="false">_xlfn.FORECAST.ETS(44925,{98.6;70;55;2.2;8.87;80.16;83.54},{44712;44742;44773;44804;44834;44865;44895},1,1,4)</f>
        <v>#VALUE!</v>
      </c>
      <c r="B27458" s="0" t="s">
        <v>27278</v>
      </c>
    </row>
    <row r="27459" customFormat="false" ht="15" hidden="false" customHeight="false" outlineLevel="0" collapsed="false">
      <c r="A27459" s="0" t="e">
        <f aca="false">_xlfn.FORECAST.ETS.STAT({98.6;70;55;2.2;8.87;80.16;83.54},{44712;44742;44773;44804;44834;44865;44895},{2},1,1,4)</f>
        <v>#VALUE!</v>
      </c>
      <c r="B27459" s="0" t="s">
        <v>27279</v>
      </c>
    </row>
    <row r="27460" customFormat="false" ht="15" hidden="false" customHeight="false" outlineLevel="0" collapsed="false">
      <c r="A27460" s="0" t="e">
        <f aca="false">_xlfn.FORECAST.ETS.SEASONALITY({98.6;70;55;2.2;8.87;80.16;83.54},{44712;44742;44773;44804;44834;44865;44895},1)</f>
        <v>#VALUE!</v>
      </c>
      <c r="B27460" s="0" t="s">
        <v>27280</v>
      </c>
    </row>
    <row r="27461" customFormat="false" ht="15" hidden="false" customHeight="false" outlineLevel="0" collapsed="false">
      <c r="A27461" s="0" t="n">
        <f aca="false">_xlfn.FORECAST.ETS(44772,{39;47.49;34.5;39;48.62;34.3},{44576;44607;44635;44666;44696;44727},1,1,5)</f>
        <v>43.5680645161332</v>
      </c>
      <c r="B27461" s="0" t="s">
        <v>27281</v>
      </c>
    </row>
    <row r="27462" customFormat="false" ht="15" hidden="false" customHeight="false" outlineLevel="0" collapsed="false">
      <c r="A27462" s="0" t="n">
        <f aca="false">_xlfn.ORG.LIBREOFFICE.FORECAST.ETS.STAT.MULT({39;47.49;34.5;39;48.62;34.3},{44576;44607;44635;44666;44696;44727},{4;1;3;7;6;2;9;8;5},1,1,5)</f>
        <v>0.0295294655575917</v>
      </c>
      <c r="B27462" s="0" t="s">
        <v>27282</v>
      </c>
    </row>
    <row r="27463" customFormat="false" ht="15" hidden="false" customHeight="false" outlineLevel="0" collapsed="false">
      <c r="A27463" s="0" t="n">
        <f aca="false">_xlfn.FORECAST.ETS.SEASONALITY({39;47.49;34.5;39;48.62;34.3},{44576;44607;44635;44666;44696;44727},1)</f>
        <v>3</v>
      </c>
      <c r="B27463" s="0" t="s">
        <v>27283</v>
      </c>
    </row>
    <row r="27464" customFormat="false" ht="15" hidden="false" customHeight="false" outlineLevel="0" collapsed="false">
      <c r="A27464" s="0" t="n">
        <f aca="false">_xlfn.FORECAST.ETS({35},{51;40.44;31;66.34;47;43.75;36;27;59.7;43;40.5;21.9;49.95;37.17},{3;5;7;9;11;13;15;17;19;21;23;27;29;31},5,0,5)</f>
        <v>23.7843320721808</v>
      </c>
      <c r="B27464" s="0" t="s">
        <v>27284</v>
      </c>
    </row>
    <row r="27465" customFormat="false" ht="15" hidden="false" customHeight="false" outlineLevel="0" collapsed="false">
      <c r="A27465" s="0" t="n">
        <f aca="false">_xlfn.ORG.LIBREOFFICE.FORECAST.ETS.STAT.MULT({51;40.44;31;66.34;47;43.75;36;27;59.7;43;40.5;21.9;49.95;37.17},{3;5;7;9;11;13;15;17;19;21;23;27;29;31},{7;5;9;3;6;1;2;8;4},5,0,5)</f>
        <v>8.36677259585499</v>
      </c>
      <c r="B27465" s="0" t="s">
        <v>27285</v>
      </c>
    </row>
    <row r="27466" customFormat="false" ht="15" hidden="false" customHeight="false" outlineLevel="0" collapsed="false">
      <c r="A27466" s="0" t="n">
        <f aca="false">_xlfn.FORECAST.ETS.SEASONALITY({51;40.44;31;66.34;47;43.75;36;27;59.7;43;40.5;21.9;49.95;37.17},{3;5;7;9;11;13;15;17;19;21;23;27;29;31},0,6)</f>
        <v>5</v>
      </c>
      <c r="B27466" s="0" t="s">
        <v>27286</v>
      </c>
    </row>
    <row r="27467" customFormat="false" ht="15" hidden="false" customHeight="false" outlineLevel="0" collapsed="false">
      <c r="A27467" s="0" t="n">
        <f aca="false">_xlfn.FORECAST.ETS.CONFINT(37,{51;40.44;31;66.34;47;43.75;36;27;59.7;43;40.5;21.9;49.95;37.17},{3;5;7;9;11;13;15;17;19;21;23;27;29;31},0,0)</f>
        <v>0</v>
      </c>
      <c r="B27467" s="0" t="s">
        <v>27287</v>
      </c>
    </row>
    <row r="27468" customFormat="false" ht="15" hidden="false" customHeight="false" outlineLevel="0" collapsed="false">
      <c r="A27468" s="0" t="n">
        <f aca="false">_xlfn.ORG.LIBREOFFICE.FORECAST.ETS.MULT(45020.5,{5.1;7.7;6.1;3.5;3;2.21;1.2;2.5;0;1.45;2.1;0.68},{44740;44770;44801;44832;44862;44893;44923;44954;44985;45013;45044;45074},1,1)</f>
        <v>1.16180992327514</v>
      </c>
      <c r="B27468" s="0" t="s">
        <v>27288</v>
      </c>
    </row>
    <row r="27469" customFormat="false" ht="15" hidden="false" customHeight="false" outlineLevel="0" collapsed="false">
      <c r="A27469" s="0" t="n">
        <f aca="false">_xlfn.ORG.LIBREOFFICE.FORECAST.ETS.STAT.MULT({5.1;7.7;6.1;3.5;3;2.21;1.2;2.5;0;1.45;2.1;0.68},{44740;44770;44801;44832;44862;44893;44923;44954;44985;45013;45044;45074},{3;4},1,1)</f>
        <v>0.5205078125</v>
      </c>
      <c r="B27469" s="0" t="s">
        <v>27289</v>
      </c>
    </row>
    <row r="27470" customFormat="false" ht="15" hidden="false" customHeight="false" outlineLevel="0" collapsed="false">
      <c r="A27470" s="0" t="n">
        <f aca="false">_xlfn.FORECAST.ETS.SEASONALITY({5.1;7.7;6.1;3.5;3;2.21;1.2;2.5;0;1.45;2.1;0.68},{44740;44770;44801;44832;44862;44893;44923;44954;44985;45013;45044;45074},1,4)</f>
        <v>5</v>
      </c>
      <c r="B27470" s="0" t="s">
        <v>27290</v>
      </c>
    </row>
    <row r="27471" customFormat="false" ht="15" hidden="false" customHeight="false" outlineLevel="0" collapsed="false">
      <c r="A27471" s="0" t="n">
        <f aca="false">_xlfn.FORECAST.ETS({108;103;93},{44;46;2.4;49.85;52.39;52.7;53.5;55.4;60;60.5;62.92;64.7;67.4;68.2;71.18;70.6;73.7;74.2;78},{3;8;8;13;18;23;28;33;38;43;48;53;58;63;68;73;78;83;88},1,0)</f>
        <v>85.1743826445496</v>
      </c>
      <c r="B27471" s="0" t="s">
        <v>27291</v>
      </c>
    </row>
    <row r="27472" customFormat="false" ht="15" hidden="false" customHeight="false" outlineLevel="0" collapsed="false">
      <c r="A27472" s="0" t="n">
        <f aca="false">_xlfn.ORG.LIBREOFFICE.FORECAST.ETS.STAT.MULT({44;46;2.4;49.85;52.39;52.7;53.5;55.4;60;60.5;62.92;64.7;67.4;68.2;71.18;70.6;73.7;74.2;78},{3;8;8;13;18;23;28;33;38;43;48;53;58;63;68;73;78;83;88},{2},1,0)</f>
        <v>0</v>
      </c>
      <c r="B27472" s="0" t="s">
        <v>27292</v>
      </c>
    </row>
    <row r="27473" customFormat="false" ht="15" hidden="false" customHeight="false" outlineLevel="0" collapsed="false">
      <c r="A27473" s="0" t="n">
        <f aca="false">_xlfn.FORECAST.ETS.SEASONALITY({44;46;2.4;49.85;52.39;52.7;53.5;55.4;60;60.5;62.92;64.7;67.4;68.2;71.18;70.6;73.7;74.2;78},{3;8;8;13;18;23;28;33;38;43;48;53;58;63;68;73;78;83;88},1)</f>
        <v>4</v>
      </c>
      <c r="B27473" s="0" t="s">
        <v>27293</v>
      </c>
    </row>
    <row r="27474" customFormat="false" ht="15" hidden="false" customHeight="false" outlineLevel="0" collapsed="false">
      <c r="A27474" s="0" t="n">
        <f aca="false">_xlfn.ORG.LIBREOFFICE.FORECAST.ETS.MULT({25,23,21.5},{49.2;64.54;58.5;79.18;68.04;79;40.72;70.2;87.32;77;103;88.48;104.02;53;87.9;10.5;110.8;98.6;127;109.4;126.3;63.11},{1;2;3;4;5;6;7;8;9;10;11;12;13;14;15;15;16;17;18;19;20;21},0,0)</f>
        <v>94.3033446164131</v>
      </c>
      <c r="B27474" s="0" t="s">
        <v>27294</v>
      </c>
    </row>
    <row r="27475" customFormat="false" ht="15" hidden="false" customHeight="false" outlineLevel="0" collapsed="false">
      <c r="A27475" s="0" t="n">
        <f aca="false">_xlfn.FORECAST.ETS.STAT({49.2;64.54;58.5;79.18;68.04;79;40.72;70.2;87.32;77;103;88.48;104.02;53;87.9;10.5;110.8;98.6;127;109.4;126.3;63.11},{1;2;3;4;5;6;7;8;9;10;11;12;13;14;15;15;16;17;18;19;20;21},{6},0,0)</f>
        <v>17.2818852914333</v>
      </c>
      <c r="B27475" s="0" t="s">
        <v>27295</v>
      </c>
    </row>
    <row r="27476" customFormat="false" ht="15" hidden="false" customHeight="false" outlineLevel="0" collapsed="false">
      <c r="A27476" s="0" t="n">
        <f aca="false">_xlfn.FORECAST.ETS.SEASONALITY({49.2;64.54;58.5;79.18;68.04;79;40.72;70.2;87.32;77;103;88.48;104.02;53;87.9;10.5;110.8;98.6;127;109.4;126.3;63.11},{1;2;3;4;5;6;7;8;9;10;11;12;13;14;15;15;16;17;18;19;20;21})</f>
        <v>7</v>
      </c>
      <c r="B27476" s="0" t="s">
        <v>27296</v>
      </c>
    </row>
    <row r="27477" customFormat="false" ht="15" hidden="false" customHeight="false" outlineLevel="0" collapsed="false">
      <c r="A27477" s="0" t="n">
        <f aca="false">_xlfn.ORG.LIBREOFFICE.FORECAST.ETS.PI.MULT({22;23;24},{49.2;64.54;58.5;79.18;68.04;79;40.72;70.2;87.32;77;103;88.48;104.02;53;87.9;10.5;110.8;98.6;127;109.4;126.3;63.11},{1;2;3;4;5;6;7;8;9;10;11;12;13;14;15;15;16;17;18;19;20;21},,0,1,1)</f>
        <v>45.0096721706457</v>
      </c>
      <c r="B27477" s="0" t="s">
        <v>27297</v>
      </c>
    </row>
    <row r="27478" customFormat="false" ht="15" hidden="false" customHeight="false" outlineLevel="0" collapsed="false">
      <c r="A27478" s="0" t="n">
        <f aca="false">_xlfn.ORG.LIBREOFFICE.FORECAST.ETS.MULT({45021,45021,45021},{41.73;41;40;39.9;37;38.85;36;36;35;36;34.4;34;33.95;33;36.8;31.7;31;30.3;29;28.1;28},{45000;45001;45002;45003;45004;45005;45006;45007;45008;45009;45010;45011;45012;45013;45013;45014;45015;45016;45017;45018;45019},0,,5)</f>
        <v>26.5547368421052</v>
      </c>
      <c r="B27478" s="0" t="s">
        <v>27298</v>
      </c>
    </row>
    <row r="27479" customFormat="false" ht="15" hidden="false" customHeight="false" outlineLevel="0" collapsed="false">
      <c r="A27479" s="0" t="n">
        <f aca="false">_xlfn.FORECAST.ETS.STAT({41.73;41;40;39.9;37;38.85;36;36;35;36;34.4;34;33.95;33;36.8;31.7;31;30.3;29;28.1;28},{45000;45001;45002;45003;45004;45005;45006;45007;45008;45009;45010;45011;45012;45013;45013;45014;45015;45016;45017;45018;45019},{7},0,,5)</f>
        <v>0.919442050490694</v>
      </c>
      <c r="B27479" s="0" t="s">
        <v>27299</v>
      </c>
    </row>
    <row r="27480" customFormat="false" ht="15" hidden="false" customHeight="false" outlineLevel="0" collapsed="false">
      <c r="A27480" s="0" t="n">
        <f aca="false">_xlfn.FORECAST.ETS.SEASONALITY({41.73;41;40;39.9;37;38.85;36;36;35;36;34.4;34;33.95;33;36.8;31.7;31;30.3;29;28.1;28},{45000;45001;45002;45003;45004;45005;45006;45007;45008;45009;45010;45011;45012;45013;45013;45014;45015;45016;45017;45018;45019})</f>
        <v>7</v>
      </c>
      <c r="B27480" s="0" t="s">
        <v>27300</v>
      </c>
    </row>
    <row r="27481" customFormat="false" ht="15" hidden="false" customHeight="false" outlineLevel="0" collapsed="false">
      <c r="A27481" s="0" t="n">
        <f aca="false">_xlfn.ORG.LIBREOFFICE.FORECAST.ETS.MULT(15,{27.9;28.19;12;23.68;33.5;30;26;24;20.6;16.73;14.3;20.71;16.3},{9;7;27;13;3;5;11;15;17;21;25;19;23})</f>
        <v>24</v>
      </c>
      <c r="B27481" s="0" t="s">
        <v>27301</v>
      </c>
    </row>
    <row r="27482" customFormat="false" ht="15" hidden="false" customHeight="false" outlineLevel="0" collapsed="false">
      <c r="A27482" s="0" t="n">
        <f aca="false">_xlfn.FORECAST.ETS.STAT({27.9;28.19;12;23.68;33.5;30;26;24;20.6;16.73;14.3;20.71;16.3},{9;7;27;13;3;5;11;15;17;21;25;19;23},{7})</f>
        <v>0.945793876430064</v>
      </c>
      <c r="B27482" s="0" t="s">
        <v>27302</v>
      </c>
    </row>
    <row r="27483" customFormat="false" ht="15" hidden="false" customHeight="false" outlineLevel="0" collapsed="false">
      <c r="A27483" s="0" t="n">
        <f aca="false">_xlfn.FORECAST.ETS.SEASONALITY({27.9;28.19;12;23.68;33.5;30;26;24;20.6;16.73;14.3;20.71;16.3},{9;7;27;13;3;5;11;15;17;21;25;19;23})</f>
        <v>2</v>
      </c>
      <c r="B27483" s="0" t="s">
        <v>27303</v>
      </c>
    </row>
    <row r="27484" customFormat="false" ht="15" hidden="false" customHeight="false" outlineLevel="0" collapsed="false">
      <c r="A27484" s="0" t="n">
        <f aca="false">_xlfn.FORECAST.ETS({45669},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0,,6)</f>
        <v>151.792872124164</v>
      </c>
      <c r="B27484" s="0" t="s">
        <v>27304</v>
      </c>
    </row>
    <row r="27485" customFormat="false" ht="15" hidden="false" customHeight="false" outlineLevel="0" collapsed="false">
      <c r="A27485" s="0" t="n">
        <f aca="false">_xlfn.ORG.LIBREOFFICE.FORECAST.ETS.STAT.MULT(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{3},0,,6)</f>
        <v>0</v>
      </c>
      <c r="B27485" s="0" t="s">
        <v>27305</v>
      </c>
    </row>
    <row r="27486" customFormat="false" ht="15" hidden="false" customHeight="false" outlineLevel="0" collapsed="false">
      <c r="A27486" s="0" t="n">
        <f aca="false">_xlfn.FORECAST.ETS.SEASONALITY({53.9;43.37;41;64.9;65;78;64;55.5;91;87.04;101.82;81.85;72.6;114.45;108.5;124;99.59;85.7;136.2;130.4;148;120;103.47;162.21;154},{44893;44923;44954;44985;45013;45044;45074;45105;45135;45166;45197;45227;45258;45288;45319;45350;45379;45410;45440;45471;45501;45532;45563;45593;45624},0,2)</f>
        <v>5</v>
      </c>
      <c r="B27486" s="0" t="s">
        <v>27306</v>
      </c>
    </row>
    <row r="27487" customFormat="false" ht="15" hidden="false" customHeight="false" outlineLevel="0" collapsed="false">
      <c r="A27487" s="0" t="n">
        <f aca="false">_xlfn.FORECAST.ETS(23,{24;24.72;24;23;22.2;24.3;23.3;23.57;23.53;25.13;23;24.79},{3;8;13;18;23;28;33;38;43;48;53;58},0,,3)</f>
        <v>22.2</v>
      </c>
      <c r="B27487" s="0" t="s">
        <v>27307</v>
      </c>
    </row>
    <row r="27488" customFormat="false" ht="15" hidden="false" customHeight="false" outlineLevel="0" collapsed="false">
      <c r="A27488" s="0" t="n">
        <f aca="false">_xlfn.ORG.LIBREOFFICE.FORECAST.ETS.STAT.MULT({24;24.72;24;23;22.2;24.3;23.3;23.57;23.53;25.13;23;24.79},{3;8;13;18;23;28;33;38;43;48;53;58},{1;8;5;9;3;7;2;4;6},0,,3)</f>
        <v>0.25</v>
      </c>
      <c r="B27488" s="0" t="s">
        <v>27308</v>
      </c>
    </row>
    <row r="27489" customFormat="false" ht="15" hidden="false" customHeight="false" outlineLevel="0" collapsed="false">
      <c r="A27489" s="0" t="n">
        <f aca="false">_xlfn.FORECAST.ETS.SEASONALITY({24;24.72;24;23;22.2;24.3;23.3;23.57;23.53;25.13;23;24.79},{3;8;13;18;23;28;33;38;43;48;53;58})</f>
        <v>4</v>
      </c>
      <c r="B27489" s="0" t="s">
        <v>27309</v>
      </c>
    </row>
    <row r="27490" customFormat="false" ht="15" hidden="false" customHeight="false" outlineLevel="0" collapsed="false">
      <c r="A27490" s="0" t="e">
        <f aca="false">_xlfn.FORECAST.ETS.CONFINT({63;68;73},{24;24.72;24;23;22.2;24.3;23.3;23.57;23.53;25.13;23;24.79},{3;8;13;18;23;28;33;38;43;48;53;58},1,0,0)</f>
        <v>#NUM!</v>
      </c>
      <c r="B27490" s="0" t="s">
        <v>27310</v>
      </c>
    </row>
    <row r="27491" customFormat="false" ht="15" hidden="false" customHeight="false" outlineLevel="0" collapsed="false">
      <c r="A27491" s="0" t="n">
        <f aca="false">_xlfn.ORG.LIBREOFFICE.FORECAST.ETS.MULT({44818,44833},{90.6;1;16;6.1;73;65;92},{44607;44635;44666;44696;44727;44757;44788})</f>
        <v>96.0749321706025</v>
      </c>
      <c r="B27491" s="0" t="s">
        <v>27311</v>
      </c>
    </row>
    <row r="27492" customFormat="false" ht="15" hidden="false" customHeight="false" outlineLevel="0" collapsed="false">
      <c r="A27492" s="0" t="n">
        <f aca="false">_xlfn.ORG.LIBREOFFICE.FORECAST.ETS.STAT.MULT({90.6;1;16;6.1;73;65;92},{44607;44635;44666;44696;44727;44757;44788},{4;6;5;8;9;3;1;7;2})</f>
        <v>1.14794736301876</v>
      </c>
      <c r="B27492" s="0" t="s">
        <v>27312</v>
      </c>
    </row>
    <row r="27493" customFormat="false" ht="15" hidden="false" customHeight="false" outlineLevel="0" collapsed="false">
      <c r="A27493" s="0" t="n">
        <f aca="false">_xlfn.FORECAST.ETS.SEASONALITY({90.6;1;16;6.1;73;65;92},{44607;44635;44666;44696;44727;44757;44788})</f>
        <v>3</v>
      </c>
      <c r="B27493" s="0" t="s">
        <v>27313</v>
      </c>
    </row>
    <row r="27494" customFormat="false" ht="15" hidden="false" customHeight="false" outlineLevel="0" collapsed="false">
      <c r="A27494" s="0" t="n">
        <f aca="false">_xlfn.FORECAST.ETS(4.5,{83.9;66.29;51.93;72.5;44.51;67.8;72;55;63.82;84.1},{9;4;3;6;2;5;8;1;7;10},5,0,4)</f>
        <v>67.045</v>
      </c>
      <c r="B27494" s="0" t="s">
        <v>27314</v>
      </c>
    </row>
    <row r="27495" customFormat="false" ht="15" hidden="false" customHeight="false" outlineLevel="0" collapsed="false">
      <c r="A27495" s="0" t="n">
        <f aca="false">_xlfn.FORECAST.ETS.STAT({83.9;66.29;51.93;72.5;44.51;67.8;72;55;63.82;84.1},{9;4;3;6;2;5;8;1;7;10},{2;9},5,0,4)</f>
        <v>0.9990234375</v>
      </c>
      <c r="B27495" s="0" t="s">
        <v>27315</v>
      </c>
    </row>
    <row r="27496" customFormat="false" ht="15" hidden="false" customHeight="false" outlineLevel="0" collapsed="false">
      <c r="A27496" s="0" t="n">
        <f aca="false">_xlfn.FORECAST.ETS.SEASONALITY({83.9;66.29;51.93;72.5;44.51;67.8;72;55;63.82;84.1},{9;4;3;6;2;5;8;1;7;10})</f>
        <v>5</v>
      </c>
      <c r="B27496" s="0" t="s">
        <v>27316</v>
      </c>
    </row>
    <row r="27497" customFormat="false" ht="15" hidden="false" customHeight="false" outlineLevel="0" collapsed="false">
      <c r="A27497" s="0" t="e">
        <f aca="false">_xlfn.FORECAST.ETS({44941,45046},{42.94;45.4;51.1;55.83;61.3;63.5},{44742;44773;44804;44865;44895;44926},0,0)</f>
        <v>#VALUE!</v>
      </c>
      <c r="B27497" s="0" t="s">
        <v>27317</v>
      </c>
    </row>
    <row r="27498" customFormat="false" ht="15" hidden="false" customHeight="false" outlineLevel="0" collapsed="false">
      <c r="A27498" s="0" t="e">
        <f aca="false">_xlfn.FORECAST.ETS.STAT({42.94;45.4;51.1;55.83;61.3;63.5},{44742;44773;44804;44865;44895;44926},{4;3;8;7;1;9;6;5;2},0,0)</f>
        <v>#VALUE!</v>
      </c>
      <c r="B27498" s="0" t="s">
        <v>27318</v>
      </c>
    </row>
    <row r="27499" customFormat="false" ht="15" hidden="false" customHeight="false" outlineLevel="0" collapsed="false">
      <c r="A27499" s="0" t="e">
        <f aca="false">_xlfn.FORECAST.ETS.SEASONALITY({42.94;45.4;51.1;55.83;61.3;63.5},{44742;44773;44804;44865;44895;44926},1)</f>
        <v>#VALUE!</v>
      </c>
      <c r="B27499" s="0" t="s">
        <v>27319</v>
      </c>
    </row>
    <row r="27500" customFormat="false" ht="15" hidden="false" customHeight="false" outlineLevel="0" collapsed="false">
      <c r="A27500" s="0" t="n">
        <f aca="false">_xlfn.FORECAST.ETS({13.5;13.5},{17.9;18;18;17.92;17.9;17.9;17.9;17.9;17.92;17.92;17.92;17.9;18;18;17.9;17.9;17.9;18;17.9;17.92;17.92;18;18},{1;1.5;2;2.5;3;3.5;4;4.5;5;6;6.5;7;7.5;8;8.5;9;9.5;10;10.5;11;11.5;12;12.5})</f>
        <v>18.04</v>
      </c>
      <c r="B27500" s="0" t="s">
        <v>27320</v>
      </c>
    </row>
    <row r="27501" customFormat="false" ht="15" hidden="false" customHeight="false" outlineLevel="0" collapsed="false">
      <c r="A27501" s="0" t="n">
        <f aca="false">_xlfn.FORECAST.ETS.STAT({17.9;18;18;17.92;17.9;17.9;17.9;17.9;17.92;17.92;17.92;17.9;18;18;17.9;17.9;17.9;18;17.9;17.92;17.92;18;18},{1;1.5;2;2.5;3;3.5;4;4.5;5;6;6.5;7;7.5;8;8.5;9;9.5;10;10.5;11;11.5;12;12.5},{7})</f>
        <v>0.0279751442472133</v>
      </c>
      <c r="B27501" s="0" t="s">
        <v>27321</v>
      </c>
    </row>
    <row r="27502" customFormat="false" ht="15" hidden="false" customHeight="false" outlineLevel="0" collapsed="false">
      <c r="A27502" s="0" t="n">
        <f aca="false">_xlfn.FORECAST.ETS.SEASONALITY({17.9;18;18;17.92;17.9;17.9;17.9;17.9;17.92;17.92;17.92;17.9;18;18;17.9;17.9;17.9;18;17.9;17.92;17.92;18;18},{1;1.5;2;2.5;3;3.5;4;4.5;5;6;6.5;7;7.5;8;8.5;9;9.5;10;10.5;11;11.5;12;12.5},0,6)</f>
        <v>7</v>
      </c>
      <c r="B27502" s="0" t="s">
        <v>27322</v>
      </c>
    </row>
    <row r="27503" customFormat="false" ht="15" hidden="false" customHeight="false" outlineLevel="0" collapsed="false">
      <c r="A27503" s="0" t="n">
        <f aca="false">_xlfn.FORECAST.ETS.CONFINT(13.5,{17.9;18;18;17.92;17.9;17.9;17.9;17.9;17.92;17.92;17.92;17.9;18;18;17.9;17.9;17.9;18;17.9;17.92;17.92;18;18},{1;1.5;2;2.5;3;3.5;4;4.5;5;6;6.5;7;7.5;8;8.5;9;9.5;10;10.5;11;11.5;12;12.5},0.9,0,1)</f>
        <v>0.121360273754212</v>
      </c>
      <c r="B27503" s="0" t="s">
        <v>27323</v>
      </c>
    </row>
    <row r="27504" customFormat="false" ht="15" hidden="false" customHeight="false" outlineLevel="0" collapsed="false">
      <c r="A27504" s="0" t="n">
        <f aca="false">_xlfn.ORG.LIBREOFFICE.FORECAST.ETS.MULT(6.5,{13;30.3;15.06;18;20;42.95;22;21.76},{1;1.5;2;2.5;3;3.5;4;4.5},4)</f>
        <v>30.675480938513</v>
      </c>
      <c r="B27504" s="0" t="s">
        <v>27324</v>
      </c>
    </row>
    <row r="27505" customFormat="false" ht="15" hidden="false" customHeight="false" outlineLevel="0" collapsed="false">
      <c r="A27505" s="0" t="n">
        <f aca="false">_xlfn.FORECAST.ETS.STAT({13;30.3;15.06;18;20;42.95;22;21.76},{1;1.5;2;2.5;3;3.5;4;4.5},{3},4)</f>
        <v>0</v>
      </c>
      <c r="B27505" s="0" t="s">
        <v>27325</v>
      </c>
    </row>
    <row r="27506" customFormat="false" ht="15" hidden="false" customHeight="false" outlineLevel="0" collapsed="false">
      <c r="A27506" s="0" t="n">
        <f aca="false">_xlfn.FORECAST.ETS.SEASONALITY({13;30.3;15.06;18;20;42.95;22;21.76},{1;1.5;2;2.5;3;3.5;4;4.5},0)</f>
        <v>4</v>
      </c>
      <c r="B27506" s="0" t="s">
        <v>27326</v>
      </c>
    </row>
    <row r="27507" customFormat="false" ht="15" hidden="false" customHeight="false" outlineLevel="0" collapsed="false">
      <c r="A27507" s="0" t="n">
        <f aca="false">_xlfn.ORG.LIBREOFFICE.FORECAST.ETS.PI.MULT({5;5.5;6},{13;30.3;15.06;18;20;42.95;22;21.76},{1;1.5;2;2.5;3;3.5;4;4.5},0.9,0,0)</f>
        <v>17.2154712633988</v>
      </c>
      <c r="B27507" s="0" t="s">
        <v>27327</v>
      </c>
    </row>
    <row r="27508" customFormat="false" ht="15" hidden="false" customHeight="false" outlineLevel="0" collapsed="false">
      <c r="A27508" s="0" t="n">
        <f aca="false">_xlfn.ORG.LIBREOFFICE.FORECAST.ETS.MULT({45214;45304},{15.19;5.54;20;9.58;13.71;23.68;13.24;27.32;18;22.6},{44910;44941;44972;45000;45031;45061;45092;45122;45153;45184},5,1,1)</f>
        <v>39.1120058674882</v>
      </c>
      <c r="B27508" s="0" t="s">
        <v>27328</v>
      </c>
    </row>
    <row r="27509" customFormat="false" ht="15" hidden="false" customHeight="false" outlineLevel="0" collapsed="false">
      <c r="A27509" s="0" t="n">
        <f aca="false">_xlfn.FORECAST.ETS.STAT({15.19;5.54;20;9.58;13.71;23.68;13.24;27.32;18;22.6},{44910;44941;44972;45000;45031;45061;45092;45122;45153;45184},{6},5,1,1)</f>
        <v>0.254444444444444</v>
      </c>
      <c r="B27509" s="0" t="s">
        <v>27329</v>
      </c>
    </row>
    <row r="27510" customFormat="false" ht="15" hidden="false" customHeight="false" outlineLevel="0" collapsed="false">
      <c r="A27510" s="0" t="n">
        <f aca="false">_xlfn.FORECAST.ETS.SEASONALITY({15.19;5.54;20;9.58;13.71;23.68;13.24;27.32;18;22.6},{44910;44941;44972;45000;45031;45061;45092;45122;45153;45184},0)</f>
        <v>5</v>
      </c>
      <c r="B27510" s="0" t="s">
        <v>27330</v>
      </c>
    </row>
    <row r="27511" customFormat="false" ht="15" hidden="false" customHeight="false" outlineLevel="0" collapsed="false">
      <c r="A27511" s="0" t="n">
        <f aca="false">_xlfn.ORG.LIBREOFFICE.FORECAST.ETS.MULT(73,{23;22.87;22.9;23;22.87;23;23;22.87;22.9;22.9;22.87;22.87;22.87},{3;8;13;18;23;28;33;43;48;53;58;63;68},3)</f>
        <v>22.8339295435046</v>
      </c>
      <c r="B27511" s="0" t="s">
        <v>27331</v>
      </c>
    </row>
    <row r="27512" customFormat="false" ht="15" hidden="false" customHeight="false" outlineLevel="0" collapsed="false">
      <c r="A27512" s="0" t="n">
        <f aca="false">_xlfn.FORECAST.ETS.STAT({23;22.87;22.9;23;22.87;23;23;22.87;22.9;22.9;22.87;22.87;22.87},{3;8;13;18;23;28;33;43;48;53;58;63;68},{9;6},3)</f>
        <v>3</v>
      </c>
      <c r="B27512" s="0" t="s">
        <v>27332</v>
      </c>
    </row>
    <row r="27513" customFormat="false" ht="15" hidden="false" customHeight="false" outlineLevel="0" collapsed="false">
      <c r="A27513" s="0" t="n">
        <f aca="false">_xlfn.FORECAST.ETS.SEASONALITY({23;22.87;22.9;23;22.87;23;23;22.87;22.9;22.9;22.87;22.87;22.87},{3;8;13;18;23;28;33;43;48;53;58;63;68},1,4)</f>
        <v>3</v>
      </c>
      <c r="B27513" s="0" t="s">
        <v>27333</v>
      </c>
    </row>
    <row r="27514" customFormat="false" ht="15" hidden="false" customHeight="false" outlineLevel="0" collapsed="false">
      <c r="A27514" s="0" t="n">
        <f aca="false">_xlfn.FORECAST.ETS(44862,{26.3;23;24.49;21;25.39;22.33;26;23.5;22.6;22;25;26.54;28.1},{44832;45074;44893;45135;44862;45044;44770;44954;45013;45105;44985;44923;44801},1,,6)</f>
        <v>25.39</v>
      </c>
      <c r="B27514" s="0" t="s">
        <v>27334</v>
      </c>
    </row>
    <row r="27515" customFormat="false" ht="15" hidden="false" customHeight="false" outlineLevel="0" collapsed="false">
      <c r="A27515" s="0" t="n">
        <f aca="false">_xlfn.ORG.LIBREOFFICE.FORECAST.ETS.STAT.MULT({26.3;23;24.49;21;25.39;22.33;26;23.5;22.6;22;25;26.54;28.1},{44832;45074;44893;45135;44862;45044;44770;44954;45013;45105;44985;44923;44801},{7;8;2;5;4;6;9;1;3},1,,6)</f>
        <v>0.628883803989276</v>
      </c>
      <c r="B27515" s="0" t="s">
        <v>27335</v>
      </c>
    </row>
    <row r="27516" customFormat="false" ht="15" hidden="false" customHeight="false" outlineLevel="0" collapsed="false">
      <c r="A27516" s="0" t="n">
        <f aca="false">_xlfn.FORECAST.ETS.SEASONALITY({26.3;23;24.49;21;25.39;22.33;26;23.5;22.6;22;25;26.54;28.1},{44832;45074;44893;45135;44862;45044;44770;44954;45013;45105;44985;44923;44801},0,3)</f>
        <v>6</v>
      </c>
      <c r="B27516" s="0" t="s">
        <v>27336</v>
      </c>
    </row>
    <row r="27517" customFormat="false" ht="15" hidden="false" customHeight="false" outlineLevel="0" collapsed="false">
      <c r="A27517" s="0" t="n">
        <f aca="false">_xlfn.FORECAST.ETS({45011},{81.16;47;7.6;54.4;9;100;47.4;11;61.26},{45000;45000;45001;45002;45003;45004;45005;45006;45007},3,,1)</f>
        <v>61.821875</v>
      </c>
      <c r="B27517" s="0" t="s">
        <v>27337</v>
      </c>
    </row>
    <row r="27518" customFormat="false" ht="15" hidden="false" customHeight="false" outlineLevel="0" collapsed="false">
      <c r="A27518" s="0" t="n">
        <f aca="false">_xlfn.ORG.LIBREOFFICE.FORECAST.ETS.STAT.MULT({81.16;47;7.6;54.4;9;100;47.4;11;61.26},{45000;45000;45001;45002;45003;45004;45005;45006;45007},{9},3,,1)</f>
        <v>3</v>
      </c>
      <c r="B27518" s="0" t="s">
        <v>27338</v>
      </c>
    </row>
    <row r="27519" customFormat="false" ht="15" hidden="false" customHeight="false" outlineLevel="0" collapsed="false">
      <c r="A27519" s="0" t="n">
        <f aca="false">_xlfn.FORECAST.ETS.SEASONALITY({81.16;47;7.6;54.4;9;100;47.4;11;61.26},{45000;45000;45001;45002;45003;45004;45005;45006;45007})</f>
        <v>3</v>
      </c>
      <c r="B27519" s="0" t="s">
        <v>27339</v>
      </c>
    </row>
    <row r="27520" customFormat="false" ht="15" hidden="false" customHeight="false" outlineLevel="0" collapsed="false">
      <c r="A27520" s="0" t="n">
        <f aca="false">_xlfn.FORECAST.ETS({6},{23.6;23.6;23.6;23.6;24;24;23.6;23.6;23.6},{1;1.5;2;2.5;3;3.5;4;4.5;5},1,,5)</f>
        <v>23.6375</v>
      </c>
      <c r="B27520" s="0" t="s">
        <v>27340</v>
      </c>
    </row>
    <row r="27521" customFormat="false" ht="15" hidden="false" customHeight="false" outlineLevel="0" collapsed="false">
      <c r="A27521" s="0" t="n">
        <f aca="false">_xlfn.FORECAST.ETS.STAT({23.6;23.6;23.6;23.6;24;24;23.6;23.6;23.6},{1;1.5;2;2.5;3;3.5;4;4.5;5},{7;2},1,,5)</f>
        <v>0.199413201669297</v>
      </c>
      <c r="B27521" s="0" t="s">
        <v>27341</v>
      </c>
    </row>
    <row r="27522" customFormat="false" ht="15" hidden="false" customHeight="false" outlineLevel="0" collapsed="false">
      <c r="A27522" s="0" t="n">
        <f aca="false">_xlfn.FORECAST.ETS.SEASONALITY({23.6;23.6;23.6;23.6;24;24;23.6;23.6;23.6},{1;1.5;2;2.5;3;3.5;4;4.5;5},1)</f>
        <v>1</v>
      </c>
      <c r="B27522" s="0" t="s">
        <v>27342</v>
      </c>
    </row>
    <row r="27523" customFormat="false" ht="15" hidden="false" customHeight="false" outlineLevel="0" collapsed="false">
      <c r="A27523" s="0" t="n">
        <f aca="false">_xlfn.ORG.LIBREOFFICE.FORECAST.ETS.MULT({27,25.5,27},{54.15;54;46.87;58;59.92;64.7;45;51.57;65;49.7;58.26;46.98;64.6;50.3;55.8;63.1;46.17;42.22;62;60.38;51.82;55.62;51.57;59.61},{11;13;3;16;18;24;2;9;23;6;15;4;22;7;14;21;5;1;19;20;10;12;8;17},1,,6)</f>
        <v>68.0571544388236</v>
      </c>
      <c r="B27523" s="0" t="s">
        <v>27343</v>
      </c>
    </row>
    <row r="27524" customFormat="false" ht="15" hidden="false" customHeight="false" outlineLevel="0" collapsed="false">
      <c r="A27524" s="0" t="n">
        <f aca="false">_xlfn.ORG.LIBREOFFICE.FORECAST.ETS.STAT.MULT({54.15;54;46.87;58;59.92;64.7;45;51.57;65;49.7;58.26;46.98;64.6;50.3;55.8;63.1;46.17;42.22;62;60.38;51.82;55.62;51.57;59.61},{11;13;3;16;18;24;2;9;23;6;15;4;22;7;14;21;5;1;19;20;10;12;8;17},{4;5},1,,6)</f>
        <v>0.51087628785702</v>
      </c>
      <c r="B27524" s="0" t="s">
        <v>27344</v>
      </c>
    </row>
    <row r="27525" customFormat="false" ht="15" hidden="false" customHeight="false" outlineLevel="0" collapsed="false">
      <c r="A27525" s="0" t="n">
        <f aca="false">_xlfn.FORECAST.ETS.SEASONALITY({54.15;54;46.87;58;59.92;64.7;45;51.57;65;49.7;58.26;46.98;64.6;50.3;55.8;63.1;46.17;42.22;62;60.38;51.82;55.62;51.57;59.61},{11;13;3;16;18;24;2;9;23;6;15;4;22;7;14;21;5;1;19;20;10;12;8;17},0)</f>
        <v>11</v>
      </c>
      <c r="B27525" s="0" t="s">
        <v>27345</v>
      </c>
    </row>
    <row r="27526" customFormat="false" ht="15" hidden="false" customHeight="false" outlineLevel="0" collapsed="false">
      <c r="A27526" s="0" t="n">
        <f aca="false">_xlfn.FORECAST.ETS.CONFINT({25;26;27},{54.15;54;46.87;58;59.92;64.7;45;51.57;65;49.7;58.26;46.98;64.6;50.3;55.8;63.1;46.17;42.22;62;60.38;51.82;55.62;51.57;59.61},{11;13;3;16;18;24;2;9;23;6;15;4;22;7;14;21;5;1;19;20;10;12;8;17},0,0,1,4)</f>
        <v>0</v>
      </c>
      <c r="B27526" s="0" t="s">
        <v>27346</v>
      </c>
    </row>
    <row r="27527" customFormat="false" ht="15" hidden="false" customHeight="false" outlineLevel="0" collapsed="false">
      <c r="A27527" s="0" t="e">
        <f aca="false">_xlfn.ORG.LIBREOFFICE.FORECAST.ETS.MULT({45289;45184;45259},{35.97;40.08;43;48;50.6;55.12;56.16;60.59;69.86;73;75.8;79;83.2;88;89.64},{44712;44742;44773;44804;44834;44865;44895;44926;44985;45016;45046;45077;45107;45138;45169},1,0,6)</f>
        <v>#VALUE!</v>
      </c>
      <c r="B27527" s="0" t="s">
        <v>27347</v>
      </c>
    </row>
    <row r="27528" customFormat="false" ht="15" hidden="false" customHeight="false" outlineLevel="0" collapsed="false">
      <c r="A27528" s="0" t="e">
        <f aca="false">_xlfn.FORECAST.ETS.STAT({35.97;40.08;43;48;50.6;55.12;56.16;60.59;69.86;73;75.8;79;83.2;88;89.64},{44712;44742;44773;44804;44834;44865;44895;44926;44985;45016;45046;45077;45107;45138;45169},{5;2;6;1;3;4;8;9;7},1,0,6)</f>
        <v>#VALUE!</v>
      </c>
      <c r="B27528" s="0" t="s">
        <v>27348</v>
      </c>
    </row>
    <row r="27529" customFormat="false" ht="15" hidden="false" customHeight="false" outlineLevel="0" collapsed="false">
      <c r="A27529" s="0" t="e">
        <f aca="false">_xlfn.FORECAST.ETS.SEASONALITY({35.97;40.08;43;48;50.6;55.12;56.16;60.59;69.86;73;75.8;79;83.2;88;89.64},{44712;44742;44773;44804;44834;44865;44895;44926;44985;45016;45046;45077;45107;45138;45169})</f>
        <v>#VALUE!</v>
      </c>
      <c r="B27529" s="0" t="s">
        <v>27349</v>
      </c>
    </row>
    <row r="27530" customFormat="false" ht="15" hidden="false" customHeight="false" outlineLevel="0" collapsed="false">
      <c r="A27530" s="0" t="e">
        <f aca="false">_xlfn.FORECAST.ETS(44924,{14.2;17.1;19.37;19.8;22;23.95},{44681;44712;44742;44773;44804;44834},0,0)</f>
        <v>#VALUE!</v>
      </c>
      <c r="B27530" s="0" t="s">
        <v>27350</v>
      </c>
    </row>
    <row r="27531" customFormat="false" ht="15" hidden="false" customHeight="false" outlineLevel="0" collapsed="false">
      <c r="A27531" s="0" t="e">
        <f aca="false">_xlfn.ORG.LIBREOFFICE.FORECAST.ETS.STAT.MULT({14.2;17.1;19.37;19.8;22;23.95},{44681;44712;44742;44773;44804;44834},{2},0,0)</f>
        <v>#VALUE!</v>
      </c>
      <c r="B27531" s="0" t="s">
        <v>27351</v>
      </c>
    </row>
    <row r="27532" customFormat="false" ht="15" hidden="false" customHeight="false" outlineLevel="0" collapsed="false">
      <c r="A27532" s="0" t="e">
        <f aca="false">_xlfn.FORECAST.ETS.SEASONALITY({14.2;17.1;19.37;19.8;22;23.95},{44681;44712;44742;44773;44804;44834},0,2)</f>
        <v>#VALUE!</v>
      </c>
      <c r="B27532" s="0" t="s">
        <v>27352</v>
      </c>
    </row>
    <row r="27533" customFormat="false" ht="15" hidden="false" customHeight="false" outlineLevel="0" collapsed="false">
      <c r="A27533" s="0" t="n">
        <f aca="false">_xlfn.ORG.LIBREOFFICE.FORECAST.ETS.MULT({10.5;9.5;9.25},{13.86;11;22.1;27.55;15.9;14;24.97;31.76;18.72;15;28.27;32.73;21;15.45;31.94;37.51},{1;1.5;2;2.5;3;3.5;4;4.5;5;5.5;6;6.5;7;7.5;8;8.5},4,0)</f>
        <v>41.7783404883892</v>
      </c>
      <c r="B27533" s="0" t="s">
        <v>27353</v>
      </c>
    </row>
    <row r="27534" customFormat="false" ht="15" hidden="false" customHeight="false" outlineLevel="0" collapsed="false">
      <c r="A27534" s="0" t="n">
        <f aca="false">_xlfn.ORG.LIBREOFFICE.FORECAST.ETS.STAT.MULT({13.86;11;22.1;27.55;15.9;14;24.97;31.76;18.72;15;28.27;32.73;21;15.45;31.94;37.51},{1;1.5;2;2.5;3;3.5;4;4.5;5;5.5;6;6.5;7;7.5;8;8.5},{8;3;5;7;9;6;1;2;4},4,0)</f>
        <v>0.5</v>
      </c>
      <c r="B27534" s="0" t="s">
        <v>27354</v>
      </c>
    </row>
    <row r="27535" customFormat="false" ht="15" hidden="false" customHeight="false" outlineLevel="0" collapsed="false">
      <c r="A27535" s="0" t="n">
        <f aca="false">_xlfn.FORECAST.ETS.SEASONALITY({13.86;11;22.1;27.55;15.9;14;24.97;31.76;18.72;15;28.27;32.73;21;15.45;31.94;37.51},{1;1.5;2;2.5;3;3.5;4;4.5;5;5.5;6;6.5;7;7.5;8;8.5})</f>
        <v>4</v>
      </c>
      <c r="B27535" s="0" t="s">
        <v>27355</v>
      </c>
    </row>
    <row r="27536" customFormat="false" ht="15" hidden="false" customHeight="false" outlineLevel="0" collapsed="false">
      <c r="A27536" s="0" t="e">
        <f aca="false">_xlfn.FORECAST.ETS(45381,{24;24;24;24;24.08;24.08;24;24.08;24.1;24;24.1;24.1;24.08;24;24.08;24.1;24.1;24.08;24},{44804;44834;44865;44895;44926;44957;44985;45016;45046;45077;45107;45138;45169;45199;45230;45260;45291;45322;45351},1,0)</f>
        <v>#VALUE!</v>
      </c>
      <c r="B27536" s="0" t="s">
        <v>27356</v>
      </c>
    </row>
    <row r="27537" customFormat="false" ht="15" hidden="false" customHeight="false" outlineLevel="0" collapsed="false">
      <c r="A27537" s="0" t="e">
        <f aca="false">_xlfn.FORECAST.ETS.STAT({24;24;24;24;24.08;24.08;24;24.08;24.1;24;24.1;24.1;24.08;24;24.08;24.1;24.1;24.08;24},{44804;44834;44865;44895;44926;44957;44985;45016;45046;45077;45107;45138;45169;45199;45230;45260;45291;45322;45351},{3;6;1;4;7;5;8;9;2},1,0)</f>
        <v>#VALUE!</v>
      </c>
      <c r="B27537" s="0" t="s">
        <v>27357</v>
      </c>
    </row>
    <row r="27538" customFormat="false" ht="15" hidden="false" customHeight="false" outlineLevel="0" collapsed="false">
      <c r="A27538" s="0" t="e">
        <f aca="false">_xlfn.FORECAST.ETS.SEASONALITY({24;24;24;24;24.08;24.08;24;24.08;24.1;24;24.1;24.1;24.08;24;24.08;24.1;24.1;24.08;24},{44804;44834;44865;44895;44926;44957;44985;45016;45046;45077;45107;45138;45169;45199;45230;45260;45291;45322;45351})</f>
        <v>#VALUE!</v>
      </c>
      <c r="B27538" s="0" t="s">
        <v>27358</v>
      </c>
    </row>
    <row r="27539" customFormat="false" ht="15" hidden="false" customHeight="false" outlineLevel="0" collapsed="false">
      <c r="A27539" s="0" t="n">
        <f aca="false">_xlfn.FORECAST.ETS({11.5;11.5;11.5},{27.9;25;26.11;32;46;49.36;51.93;54.34;52;54;57.1;75;77.6;79;80;78.9;80.2;85.7;101.3;105.3;104.45},{1;1.5;2;2.5;3;3.5;4;4.5;5;5.5;6;6.5;7;7.5;8;8.5;9;9.5;10;10.5;11},1,1,1)</f>
        <v>107.992797108214</v>
      </c>
      <c r="B27539" s="0" t="s">
        <v>27359</v>
      </c>
    </row>
    <row r="27540" customFormat="false" ht="15" hidden="false" customHeight="false" outlineLevel="0" collapsed="false">
      <c r="A27540" s="0" t="n">
        <f aca="false">_xlfn.ORG.LIBREOFFICE.FORECAST.ETS.STAT.MULT({27.9;25;26.11;32;46;49.36;51.93;54.34;52;54;57.1;75;77.6;79;80;78.9;80.2;85.7;101.3;105.3;104.45},{1;1.5;2;2.5;3;3.5;4;4.5;5;5.5;6;6.5;7;7.5;8;8.5;9;9.5;10;10.5;11},{2;9;3;7;6;4;1;8;5},1,1,1)</f>
        <v>0.2490234375</v>
      </c>
      <c r="B27540" s="0" t="s">
        <v>27360</v>
      </c>
    </row>
    <row r="27541" customFormat="false" ht="15" hidden="false" customHeight="false" outlineLevel="0" collapsed="false">
      <c r="A27541" s="0" t="n">
        <f aca="false">_xlfn.FORECAST.ETS.SEASONALITY({27.9;25;26.11;32;46;49.36;51.93;54.34;52;54;57.1;75;77.6;79;80;78.9;80.2;85.7;101.3;105.3;104.45},{1;1.5;2;2.5;3;3.5;4;4.5;5;5.5;6;6.5;7;7.5;8;8.5;9;9.5;10;10.5;11},1,6)</f>
        <v>7</v>
      </c>
      <c r="B27541" s="0" t="s">
        <v>27361</v>
      </c>
    </row>
    <row r="27542" customFormat="false" ht="15" hidden="false" customHeight="false" outlineLevel="0" collapsed="false">
      <c r="A27542" s="0" t="n">
        <f aca="false">_xlfn.FORECAST.ETS({45021,45020},{41;40.9;40.9;41;40.9;40.9;40.9;40.9;40.9;40.9;40.9;41;41;40.9;40.9;41;41;40.9;40.9;41},{45015;45016;45018;45009;45001;45012;45008;45000;45011;45013;45003;45004;45019;45014;45002;45005;45017;45006;45010;45007})</f>
        <v>40.8800000000006</v>
      </c>
      <c r="B27542" s="0" t="s">
        <v>27362</v>
      </c>
    </row>
    <row r="27543" customFormat="false" ht="15" hidden="false" customHeight="false" outlineLevel="0" collapsed="false">
      <c r="A27543" s="0" t="n">
        <f aca="false">_xlfn.FORECAST.ETS.STAT({41;40.9;40.9;41;40.9;40.9;40.9;40.9;40.9;40.9;40.9;41;41;40.9;40.9;41;41;40.9;40.9;41},{45015;45016;45018;45009;45001;45012;45008;45000;45011;45013;45003;45004;45019;45014;45002;45005;45017;45006;45010;45007},{4;7;9;1;6;5;3;2;8})</f>
        <v>0.146411483252242</v>
      </c>
      <c r="B27543" s="0" t="s">
        <v>27363</v>
      </c>
    </row>
    <row r="27544" customFormat="false" ht="15" hidden="false" customHeight="false" outlineLevel="0" collapsed="false">
      <c r="A27544" s="0" t="n">
        <f aca="false">_xlfn.FORECAST.ETS.SEASONALITY({41;40.9;40.9;41;40.9;40.9;40.9;40.9;40.9;40.9;40.9;41;41;40.9;40.9;41;41;40.9;40.9;41},{45015;45016;45018;45009;45001;45012;45008;45000;45011;45013;45003;45004;45019;45014;45002;45005;45017;45006;45010;45007})</f>
        <v>10</v>
      </c>
      <c r="B27544" s="0" t="s">
        <v>27364</v>
      </c>
    </row>
    <row r="27545" customFormat="false" ht="15" hidden="false" customHeight="false" outlineLevel="0" collapsed="false">
      <c r="A27545" s="0" t="n">
        <f aca="false">_xlfn.FORECAST.ETS({45365},{56;39.55;49.7;13;13.5;38;49.52;22.82;28;24;33.9;53.9;44.19;19.75},{45245;45122;45184;44910;44849;45061;45153;44941;45000;44972;45031;45214;45092;44880})</f>
        <v>72.7575115207465</v>
      </c>
      <c r="B27545" s="0" t="s">
        <v>27365</v>
      </c>
    </row>
    <row r="27546" customFormat="false" ht="15" hidden="false" customHeight="false" outlineLevel="0" collapsed="false">
      <c r="A27546" s="0" t="n">
        <f aca="false">_xlfn.ORG.LIBREOFFICE.FORECAST.ETS.STAT.MULT({56;39.55;49.7;13;13.5;38;49.52;22.82;28;24;33.9;53.9;44.19;19.75},{45245;45122;45184;44910;44849;45061;45153;44941;45000;44972;45031;45214;45092;44880},{9;1})</f>
        <v>7</v>
      </c>
      <c r="B27546" s="0" t="s">
        <v>27366</v>
      </c>
    </row>
    <row r="27547" customFormat="false" ht="15" hidden="false" customHeight="false" outlineLevel="0" collapsed="false">
      <c r="A27547" s="0" t="n">
        <f aca="false">_xlfn.FORECAST.ETS.SEASONALITY({56;39.55;49.7;13;13.5;38;49.52;22.82;28;24;33.9;53.9;44.19;19.75},{45245;45122;45184;44910;44849;45061;45153;44941;45000;44972;45031;45214;45092;44880})</f>
        <v>7</v>
      </c>
      <c r="B27547" s="0" t="s">
        <v>27367</v>
      </c>
    </row>
    <row r="27548" customFormat="false" ht="15" hidden="false" customHeight="false" outlineLevel="0" collapsed="false">
      <c r="A27548" s="0" t="n">
        <f aca="false">_xlfn.ORG.LIBREOFFICE.FORECAST.ETS.MULT({4.5;4},{45;38;49;46.3},{1;1.5;2;2.5},1,,5)</f>
        <v>53.8635044169386</v>
      </c>
      <c r="B27548" s="0" t="s">
        <v>27368</v>
      </c>
    </row>
    <row r="27549" customFormat="false" ht="15" hidden="false" customHeight="false" outlineLevel="0" collapsed="false">
      <c r="A27549" s="0" t="n">
        <f aca="false">_xlfn.FORECAST.ETS.STAT({45;38;49;46.3},{1;1.5;2;2.5},{2;6},1,,5)</f>
        <v>0</v>
      </c>
      <c r="B27549" s="0" t="s">
        <v>27369</v>
      </c>
    </row>
    <row r="27550" customFormat="false" ht="15" hidden="false" customHeight="false" outlineLevel="0" collapsed="false">
      <c r="A27550" s="0" t="n">
        <f aca="false">_xlfn.FORECAST.ETS.SEASONALITY({45;38;49;46.3},{1;1.5;2;2.5},1,6)</f>
        <v>2</v>
      </c>
      <c r="B27550" s="0" t="s">
        <v>27370</v>
      </c>
    </row>
    <row r="27551" customFormat="false" ht="15" hidden="false" customHeight="false" outlineLevel="0" collapsed="false">
      <c r="A27551" s="0" t="e">
        <f aca="false">_xlfn.ORG.LIBREOFFICE.FORECAST.ETS.MULT({45625,45550},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1,1)</f>
        <v>#VALUE!</v>
      </c>
      <c r="B27551" s="0" t="s">
        <v>27371</v>
      </c>
    </row>
    <row r="27552" customFormat="false" ht="15" hidden="false" customHeight="false" outlineLevel="0" collapsed="false">
      <c r="A27552" s="0" t="e">
        <f aca="false">_xlfn.FORECAST.ETS.STAT(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{4;6;8;3;9;7;2;1;5},1,1)</f>
        <v>#VALUE!</v>
      </c>
      <c r="B27552" s="0" t="s">
        <v>27372</v>
      </c>
    </row>
    <row r="27553" customFormat="false" ht="15" hidden="false" customHeight="false" outlineLevel="0" collapsed="false">
      <c r="A27553" s="0" t="e">
        <f aca="false">_xlfn.FORECAST.ETS.SEASONALITY({10;14.75;15.24;10.1;15.4;15.77;18.49;26.7;24.1;18.1;25.6;22;28.4;40.12;37.47;24.18;36.2;30;36.97;50.34;49.67;32;47;39.94;48.6;63.6;60.3;37.91;56.8;46.9},{44651;44681;44712;44742;44773;44804;44834;44865;44895;44926;44957;44985;45016;45046;45077;45107;45138;45169;45199;45230;45260;45291;45322;45351;45382;45412;45443;45473;45504;45535},0,4)</f>
        <v>#VALUE!</v>
      </c>
      <c r="B27553" s="0" t="s">
        <v>27373</v>
      </c>
    </row>
    <row r="27554" customFormat="false" ht="15" hidden="false" customHeight="false" outlineLevel="0" collapsed="false">
      <c r="A27554" s="0" t="n">
        <f aca="false">_xlfn.ORG.LIBREOFFICE.FORECAST.ETS.MULT({15,14,12.5},{46.27;36.2;40.09;46;36.54;42.38;41.19;48.5;37;42;41},{1;2;3;5;6;7;8;9;10;11;12})</f>
        <v>42.0646096499083</v>
      </c>
      <c r="B27554" s="0" t="s">
        <v>27374</v>
      </c>
    </row>
    <row r="27555" customFormat="false" ht="15" hidden="false" customHeight="false" outlineLevel="0" collapsed="false">
      <c r="A27555" s="0" t="n">
        <f aca="false">_xlfn.FORECAST.ETS.STAT({46.27;36.2;40.09;46;36.54;42.38;41.19;48.5;37;42;41},{1;2;3;5;6;7;8;9;10;11;12},{1;5})</f>
        <v>0</v>
      </c>
      <c r="B27555" s="0" t="s">
        <v>27375</v>
      </c>
    </row>
    <row r="27556" customFormat="false" ht="15" hidden="false" customHeight="false" outlineLevel="0" collapsed="false">
      <c r="A27556" s="0" t="n">
        <f aca="false">_xlfn.FORECAST.ETS.SEASONALITY({46.27;36.2;40.09;46;36.54;42.38;41.19;48.5;37;42;41},{1;2;3;5;6;7;8;9;10;11;12},0)</f>
        <v>4</v>
      </c>
      <c r="B27556" s="0" t="s">
        <v>27376</v>
      </c>
    </row>
    <row r="27557" customFormat="false" ht="15" hidden="false" customHeight="false" outlineLevel="0" collapsed="false">
      <c r="A27557" s="0" t="n">
        <f aca="false">_xlfn.FORECAST.ETS.CONFINT({13;14;15},{46.27;36.2;40.09;46;36.54;42.38;41.19;48.5;37;42;41},{1;2;3;5;6;7;8;9;10;11;12},0.95,0,0)</f>
        <v>27.7732062160724</v>
      </c>
      <c r="B27557" s="0" t="s">
        <v>27377</v>
      </c>
    </row>
    <row r="27558" customFormat="false" ht="15" hidden="false" customHeight="false" outlineLevel="0" collapsed="false">
      <c r="A27558" s="0" t="n">
        <f aca="false">_xlfn.FORECAST.ETS({5.25},{44.96;45.8;47.45;43.6;48.57;50.7;52.13;48},{1;1.5;2;2.5;3;3.5;4;4.5})</f>
        <v>53.9055078125</v>
      </c>
      <c r="B27558" s="0" t="s">
        <v>27378</v>
      </c>
    </row>
    <row r="27559" customFormat="false" ht="15" hidden="false" customHeight="false" outlineLevel="0" collapsed="false">
      <c r="A27559" s="0" t="n">
        <f aca="false">_xlfn.FORECAST.ETS.STAT({44.96;45.8;47.45;43.6;48.57;50.7;52.13;48},{1;1.5;2;2.5;3;3.5;4;4.5},{7;3})</f>
        <v>0.208214006935534</v>
      </c>
      <c r="B27559" s="0" t="s">
        <v>27379</v>
      </c>
    </row>
    <row r="27560" customFormat="false" ht="15" hidden="false" customHeight="false" outlineLevel="0" collapsed="false">
      <c r="A27560" s="0" t="n">
        <f aca="false">_xlfn.FORECAST.ETS.SEASONALITY({44.96;45.8;47.45;43.6;48.57;50.7;52.13;48},{1;1.5;2;2.5;3;3.5;4;4.5},0,4)</f>
        <v>4</v>
      </c>
      <c r="B27560" s="0" t="s">
        <v>27380</v>
      </c>
    </row>
    <row r="27561" customFormat="false" ht="15" hidden="false" customHeight="false" outlineLevel="0" collapsed="false">
      <c r="A27561" s="0" t="e">
        <f aca="false">_xlfn.FORECAST.ETS(9,{27.4;15;17;71.59;17;75.6},{1;2;3;4;5;6},4)</f>
        <v>#VALUE!</v>
      </c>
      <c r="B27561" s="0" t="s">
        <v>27381</v>
      </c>
    </row>
    <row r="27562" customFormat="false" ht="15" hidden="false" customHeight="false" outlineLevel="0" collapsed="false">
      <c r="A27562" s="0" t="e">
        <f aca="false">_xlfn.FORECAST.ETS.STAT({27.4;15;17;71.59;17;75.6},{1;2;3;4;5;6},{8},4)</f>
        <v>#VALUE!</v>
      </c>
      <c r="B27562" s="0" t="s">
        <v>27382</v>
      </c>
    </row>
    <row r="27563" customFormat="false" ht="15" hidden="false" customHeight="false" outlineLevel="0" collapsed="false">
      <c r="A27563" s="0" t="n">
        <f aca="false">_xlfn.FORECAST.ETS.SEASONALITY({27.4;15;17;71.59;17;75.6},{1;2;3;4;5;6},1,1)</f>
        <v>2</v>
      </c>
      <c r="B27563" s="0" t="s">
        <v>27383</v>
      </c>
    </row>
    <row r="27564" customFormat="false" ht="15" hidden="false" customHeight="false" outlineLevel="0" collapsed="false">
      <c r="A27564" s="0" t="e">
        <f aca="false">_xlfn.ORG.LIBREOFFICE.FORECAST.ETS.MULT(44757,{29.08;11.2;50;62;35.4},{44620;44651;44681;44712;44742})</f>
        <v>#VALUE!</v>
      </c>
      <c r="B27564" s="0" t="s">
        <v>27384</v>
      </c>
    </row>
    <row r="27565" customFormat="false" ht="15" hidden="false" customHeight="false" outlineLevel="0" collapsed="false">
      <c r="A27565" s="0" t="e">
        <f aca="false">_xlfn.FORECAST.ETS.STAT({29.08;11.2;50;62;35.4},{44620;44651;44681;44712;44742},{2;8;1;9;3;5;7;4;6})</f>
        <v>#VALUE!</v>
      </c>
      <c r="B27565" s="0" t="s">
        <v>27385</v>
      </c>
    </row>
    <row r="27566" customFormat="false" ht="15" hidden="false" customHeight="false" outlineLevel="0" collapsed="false">
      <c r="A27566" s="0" t="e">
        <f aca="false">_xlfn.FORECAST.ETS.SEASONALITY({29.08;11.2;50;62;35.4},{44620;44651;44681;44712;44742},1,1)</f>
        <v>#VALUE!</v>
      </c>
      <c r="B27566" s="0" t="s">
        <v>27386</v>
      </c>
    </row>
    <row r="27567" customFormat="false" ht="15" hidden="false" customHeight="false" outlineLevel="0" collapsed="false">
      <c r="A27567" s="0" t="n">
        <f aca="false">_xlfn.ORG.LIBREOFFICE.FORECAST.ETS.MULT({63,93,68},{23;27;33.8;19.5;22.33;30.22},{3;13;23;33;43;53},1)</f>
        <v>16.9029320780896</v>
      </c>
      <c r="B27567" s="0" t="s">
        <v>27387</v>
      </c>
    </row>
    <row r="27568" customFormat="false" ht="15" hidden="false" customHeight="false" outlineLevel="0" collapsed="false">
      <c r="A27568" s="0" t="n">
        <f aca="false">_xlfn.FORECAST.ETS.STAT({23;27;33.8;19.5;22.33;30.22},{3;13;23;33;43;53},{5;3},1)</f>
        <v>0.00887593504147437</v>
      </c>
      <c r="B27568" s="0" t="s">
        <v>27388</v>
      </c>
    </row>
    <row r="27569" customFormat="false" ht="15" hidden="false" customHeight="false" outlineLevel="0" collapsed="false">
      <c r="A27569" s="0" t="n">
        <f aca="false">_xlfn.FORECAST.ETS.SEASONALITY({23;27;33.8;19.5;22.33;30.22},{3;13;23;33;43;53},0,7)</f>
        <v>3</v>
      </c>
      <c r="B27569" s="0" t="s">
        <v>27389</v>
      </c>
    </row>
    <row r="27570" customFormat="false" ht="15" hidden="false" customHeight="false" outlineLevel="0" collapsed="false">
      <c r="A27570" s="0" t="n">
        <f aca="false">_xlfn.ORG.LIBREOFFICE.FORECAST.ETS.MULT({11.5,11,12},{7;6;7;6.6;1.37;1.24;1;2.4;1.76;-0.12;2;0.4;2.14;-0.57;2;1.28;0.9;1;1.78;0},{1;1.5;2;2.5;3;3.5;4;4.5;5;5.5;6;6.5;7;7.5;8;8.5;9;9.5;10;10.5})</f>
        <v>-0.0175163566715174</v>
      </c>
      <c r="B27570" s="0" t="s">
        <v>27390</v>
      </c>
    </row>
    <row r="27571" customFormat="false" ht="15" hidden="false" customHeight="false" outlineLevel="0" collapsed="false">
      <c r="A27571" s="0" t="n">
        <f aca="false">_xlfn.ORG.LIBREOFFICE.FORECAST.ETS.STAT.MULT({7;6;7;6.6;1.37;1.24;1;2.4;1.76;-0.12;2;0.4;2.14;-0.57;2;1.28;0.9;1;1.78;0},{1;1.5;2;2.5;3;3.5;4;4.5;5;5.5;6;6.5;7;7.5;8;8.5;9;9.5;10;10.5},{8;7})</f>
        <v>0.5</v>
      </c>
      <c r="B27571" s="0" t="s">
        <v>27391</v>
      </c>
    </row>
    <row r="27572" customFormat="false" ht="15" hidden="false" customHeight="false" outlineLevel="0" collapsed="false">
      <c r="A27572" s="0" t="n">
        <f aca="false">_xlfn.FORECAST.ETS.SEASONALITY({7;6;7;6.6;1.37;1.24;1;2.4;1.76;-0.12;2;0.4;2.14;-0.57;2;1.28;0.9;1;1.78;0},{1;1.5;2;2.5;3;3.5;4;4.5;5;5.5;6;6.5;7;7.5;8;8.5;9;9.5;10;10.5})</f>
        <v>8</v>
      </c>
      <c r="B27572" s="0" t="s">
        <v>27392</v>
      </c>
    </row>
    <row r="27573" customFormat="false" ht="15" hidden="false" customHeight="false" outlineLevel="0" collapsed="false">
      <c r="A27573" s="0" t="n">
        <f aca="false">_xlfn.FORECAST.ETS.CONFINT({11;11.5;12},{7;6;7;6.6;1.37;1.24;1;2.4;1.76;-0.12;2;0.4;2.14;-0.57;2;1.28;0.9;1;1.78;0},{1;1.5;2;2.5;3;3.5;4;4.5;5;5.5;6;6.5;7;7.5;8;8.5;9;9.5;10;10.5},0.5,0)</f>
        <v>1.09112039838575</v>
      </c>
      <c r="B27573" s="0" t="s">
        <v>27393</v>
      </c>
    </row>
    <row r="27574" customFormat="false" ht="15" hidden="false" customHeight="false" outlineLevel="0" collapsed="false">
      <c r="A27574" s="0" t="n">
        <f aca="false">_xlfn.ORG.LIBREOFFICE.FORECAST.ETS.MULT({22;22;19.5},{30.35;31;28.19;28;28;26.4;27;25;25;26.1;25;22.9;21.88;21.19;20;21.2;21.1;19.2},{1;2;3;4;5;6;7;8;9;10;11;12;13;14;15;16;17;18},0,,2)</f>
        <v>16.5764705882353</v>
      </c>
      <c r="B27574" s="0" t="s">
        <v>27394</v>
      </c>
    </row>
    <row r="27575" customFormat="false" ht="15" hidden="false" customHeight="false" outlineLevel="0" collapsed="false">
      <c r="A27575" s="0" t="n">
        <f aca="false">_xlfn.ORG.LIBREOFFICE.FORECAST.ETS.STAT.MULT({30.35;31;28.19;28;28;26.4;27;25;25;26.1;25;22.9;21.88;21.19;20;21.2;21.1;19.2},{1;2;3;4;5;6;7;8;9;10;11;12;13;14;15;16;17;18},{7},0,,2)</f>
        <v>0.85470648961559</v>
      </c>
      <c r="B27575" s="0" t="s">
        <v>27395</v>
      </c>
    </row>
    <row r="27576" customFormat="false" ht="15" hidden="false" customHeight="false" outlineLevel="0" collapsed="false">
      <c r="A27576" s="0" t="n">
        <f aca="false">_xlfn.FORECAST.ETS.SEASONALITY({30.35;31;28.19;28;28;26.4;27;25;25;26.1;25;22.9;21.88;21.19;20;21.2;21.1;19.2},{1;2;3;4;5;6;7;8;9;10;11;12;13;14;15;16;17;18},1)</f>
        <v>7</v>
      </c>
      <c r="B27576" s="0" t="s">
        <v>27396</v>
      </c>
    </row>
    <row r="27577" customFormat="false" ht="15" hidden="false" customHeight="false" outlineLevel="0" collapsed="false">
      <c r="A27577" s="0" t="n">
        <f aca="false">_xlfn.FORECAST.ETS.CONFINT(19,{30.35;31;28.19;28;28;26.4;27;25;25;26.1;25;22.9;21.88;21.19;20;21.2;21.1;19.2},{1;2;3;4;5;6;7;8;9;10;11;12;13;14;15;16;17;18},0,0,1,7)</f>
        <v>0</v>
      </c>
      <c r="B27577" s="0" t="s">
        <v>27397</v>
      </c>
    </row>
    <row r="27578" customFormat="false" ht="15" hidden="false" customHeight="false" outlineLevel="0" collapsed="false">
      <c r="A27578" s="0" t="n">
        <f aca="false">_xlfn.FORECAST.ETS(1.5,{44;48;50.7;48.6},{1;2;4;3},0)</f>
        <v>45.1166666666667</v>
      </c>
      <c r="B27578" s="0" t="s">
        <v>27398</v>
      </c>
    </row>
    <row r="27579" customFormat="false" ht="15" hidden="false" customHeight="false" outlineLevel="0" collapsed="false">
      <c r="A27579" s="0" t="n">
        <f aca="false">_xlfn.FORECAST.ETS.STAT({44;48;50.7;48.6},{1;2;4;3},{5},0)</f>
        <v>0.0134109554761166</v>
      </c>
      <c r="B27579" s="0" t="s">
        <v>27399</v>
      </c>
    </row>
    <row r="27580" customFormat="false" ht="15" hidden="false" customHeight="false" outlineLevel="0" collapsed="false">
      <c r="A27580" s="0" t="n">
        <f aca="false">_xlfn.FORECAST.ETS.SEASONALITY({44;48;50.7;48.6},{1;2;4;3})</f>
        <v>2</v>
      </c>
      <c r="B27580" s="0" t="s">
        <v>27400</v>
      </c>
    </row>
    <row r="27581" customFormat="false" ht="15" hidden="false" customHeight="false" outlineLevel="0" collapsed="false">
      <c r="A27581" s="0" t="n">
        <f aca="false">_xlfn.FORECAST.ETS(44652,{56;51.66;42.4;32;59.6;28.26;73.55;34.8;88.5;10.9;21.9;76;41.2;41;91;40;2;4.61;42;99;37.9;64.1},{44835;44743;45047;44866;45231;44713;45078;45108;45139;45170;45261;45200;44774;44652;44621;44986;44682;44805;44958;45017;44896;44927})</f>
        <v>41</v>
      </c>
      <c r="B27581" s="0" t="s">
        <v>27401</v>
      </c>
    </row>
    <row r="27582" customFormat="false" ht="15" hidden="false" customHeight="false" outlineLevel="0" collapsed="false">
      <c r="A27582" s="0" t="n">
        <f aca="false">_xlfn.ORG.LIBREOFFICE.FORECAST.ETS.STAT.MULT({56;51.66;42.4;32;59.6;28.26;73.55;34.8;88.5;10.9;21.9;76;41.2;41;91;40;2;4.61;42;99;37.9;64.1},{44835;44743;45047;44866;45231;44713;45078;45108;45139;45170;45261;45200;44774;44652;44621;44986;44682;44805;44958;45017;44896;44927},{3;4;8;6;7;2;5;9;1})</f>
        <v>1</v>
      </c>
      <c r="B27582" s="0" t="s">
        <v>27402</v>
      </c>
    </row>
    <row r="27583" customFormat="false" ht="15" hidden="false" customHeight="false" outlineLevel="0" collapsed="false">
      <c r="A27583" s="0" t="n">
        <f aca="false">_xlfn.FORECAST.ETS.SEASONALITY({56;51.66;42.4;32;59.6;28.26;73.55;34.8;88.5;10.9;21.9;76;41.2;41;91;40;2;4.61;42;99;37.9;64.1},{44835;44743;45047;44866;45231;44713;45078;45108;45139;45170;45261;45200;44774;44652;44621;44986;44682;44805;44958;45017;44896;44927})</f>
        <v>10</v>
      </c>
      <c r="B27583" s="0" t="s">
        <v>27403</v>
      </c>
    </row>
    <row r="27584" customFormat="false" ht="15" hidden="false" customHeight="false" outlineLevel="0" collapsed="false">
      <c r="A27584" s="0" t="e">
        <f aca="false">_xlfn.FORECAST.ETS({7;7},{18.5;18;18.75;19},{1;2;3;4},5,1,7)</f>
        <v>#VALUE!</v>
      </c>
      <c r="B27584" s="0" t="s">
        <v>27404</v>
      </c>
    </row>
    <row r="27585" customFormat="false" ht="15" hidden="false" customHeight="false" outlineLevel="0" collapsed="false">
      <c r="A27585" s="0" t="e">
        <f aca="false">_xlfn.ORG.LIBREOFFICE.FORECAST.ETS.STAT.MULT({18.5;18;18.75;19},{1;2;3;4},{8;6;7;2;9;4;5;1;3},5,1,7)</f>
        <v>#VALUE!</v>
      </c>
      <c r="B27585" s="0" t="s">
        <v>27405</v>
      </c>
    </row>
    <row r="27586" customFormat="false" ht="15" hidden="false" customHeight="false" outlineLevel="0" collapsed="false">
      <c r="A27586" s="0" t="n">
        <f aca="false">_xlfn.FORECAST.ETS.SEASONALITY({18.5;18;18.75;19},{1;2;3;4},0,5)</f>
        <v>2</v>
      </c>
      <c r="B27586" s="0" t="s">
        <v>27406</v>
      </c>
    </row>
    <row r="27587" customFormat="false" ht="15" hidden="false" customHeight="false" outlineLevel="0" collapsed="false">
      <c r="A27587" s="0" t="e">
        <f aca="false">_xlfn.ORG.LIBREOFFICE.FORECAST.ETS.MULT({45105,45105,45045},{77.3;32;59;11;43;22.8;52.9;51.6;82.7;22.65;14.3;32;31;90.02},{44592;44620;44651;44681;44712;44742;44773;44804;44834;44865;44895;44926;44957;44985},3,1,3)</f>
        <v>#VALUE!</v>
      </c>
      <c r="B27587" s="0" t="s">
        <v>27407</v>
      </c>
    </row>
    <row r="27588" customFormat="false" ht="15" hidden="false" customHeight="false" outlineLevel="0" collapsed="false">
      <c r="A27588" s="0" t="e">
        <f aca="false">_xlfn.ORG.LIBREOFFICE.FORECAST.ETS.STAT.MULT({77.3;32;59;11;43;22.8;52.9;51.6;82.7;22.65;14.3;32;31;90.02},{44592;44620;44651;44681;44712;44742;44773;44804;44834;44865;44895;44926;44957;44985},{1;4},3,1,3)</f>
        <v>#VALUE!</v>
      </c>
      <c r="B27588" s="0" t="s">
        <v>27408</v>
      </c>
    </row>
    <row r="27589" customFormat="false" ht="15" hidden="false" customHeight="false" outlineLevel="0" collapsed="false">
      <c r="A27589" s="0" t="e">
        <f aca="false">_xlfn.FORECAST.ETS.SEASONALITY({77.3;32;59;11;43;22.8;52.9;51.6;82.7;22.65;14.3;32;31;90.02},{44592;44620;44651;44681;44712;44742;44773;44804;44834;44865;44895;44926;44957;44985},1,1)</f>
        <v>#VALUE!</v>
      </c>
      <c r="B27589" s="0" t="s">
        <v>27409</v>
      </c>
    </row>
    <row r="27590" customFormat="false" ht="15" hidden="false" customHeight="false" outlineLevel="0" collapsed="false">
      <c r="A27590" s="0" t="n">
        <f aca="false">_xlfn.FORECAST.ETS({44938,44983,44938},{23.35;50;50.4;26;51.95;52.3;25;53.2;53;29;53.7;54.3},{44589;44620;44648;44679;44709;44740;44770;44801;44832;44862;44893;44923})</f>
        <v>41.456989247299</v>
      </c>
      <c r="B27590" s="0" t="s">
        <v>27410</v>
      </c>
    </row>
    <row r="27591" customFormat="false" ht="15" hidden="false" customHeight="false" outlineLevel="0" collapsed="false">
      <c r="A27591" s="0" t="n">
        <f aca="false">_xlfn.ORG.LIBREOFFICE.FORECAST.ETS.STAT.MULT({23.35;50;50.4;26;51.95;52.3;25;53.2;53;29;53.7;54.3},{44589;44620;44648;44679;44709;44740;44770;44801;44832;44862;44893;44923},{7})</f>
        <v>0.654075824267287</v>
      </c>
      <c r="B27591" s="0" t="s">
        <v>27411</v>
      </c>
    </row>
    <row r="27592" customFormat="false" ht="15" hidden="false" customHeight="false" outlineLevel="0" collapsed="false">
      <c r="A27592" s="0" t="n">
        <f aca="false">_xlfn.FORECAST.ETS.SEASONALITY({23.35;50;50.4;26;51.95;52.3;25;53.2;53;29;53.7;54.3},{44589;44620;44648;44679;44709;44740;44770;44801;44832;44862;44893;44923},0)</f>
        <v>6</v>
      </c>
      <c r="B27592" s="0" t="s">
        <v>27412</v>
      </c>
    </row>
    <row r="27593" customFormat="false" ht="15" hidden="false" customHeight="false" outlineLevel="0" collapsed="false">
      <c r="A27593" s="0" t="n">
        <f aca="false">_xlfn.FORECAST.ETS({11.25;11.25;11.5},{42.67;67;22.27;37.5;44;56.96;19;33;27;14;49.14;65.2;59;74.2;52;15.2;62;40;28.23;71},{5.5;9.5;2.5;4.5;6;7.5;2;4;3;1;6.5;9;8;10.5;7;1.5;8.5;5;3.5;10},0,,1)</f>
        <v>78.9526315789474</v>
      </c>
      <c r="B27593" s="0" t="s">
        <v>27413</v>
      </c>
    </row>
    <row r="27594" customFormat="false" ht="15" hidden="false" customHeight="false" outlineLevel="0" collapsed="false">
      <c r="A27594" s="0" t="n">
        <f aca="false">_xlfn.ORG.LIBREOFFICE.FORECAST.ETS.STAT.MULT({42.67;67;22.27;37.5;44;56.96;19;33;27;14;49.14;65.2;59;74.2;52;15.2;62;40;28.23;71},{5.5;9.5;2.5;4.5;6;7.5;2;4;3;1;6.5;9;8;10.5;7;1.5;8.5;5;3.5;10},{3;2;1;8;7;5;6;9;4},0,,1)</f>
        <v>0</v>
      </c>
      <c r="B27594" s="0" t="s">
        <v>27414</v>
      </c>
    </row>
    <row r="27595" customFormat="false" ht="15" hidden="false" customHeight="false" outlineLevel="0" collapsed="false">
      <c r="A27595" s="0" t="n">
        <f aca="false">_xlfn.FORECAST.ETS.SEASONALITY({42.67;67;22.27;37.5;44;56.96;19;33;27;14;49.14;65.2;59;74.2;52;15.2;62;40;28.23;71},{5.5;9.5;2.5;4.5;6;7.5;2;4;3;1;6.5;9;8;10.5;7;1.5;8.5;5;3.5;10},0)</f>
        <v>7</v>
      </c>
      <c r="B27595" s="0" t="s">
        <v>27415</v>
      </c>
    </row>
    <row r="27596" customFormat="false" ht="15" hidden="false" customHeight="false" outlineLevel="0" collapsed="false">
      <c r="A27596" s="0" t="e">
        <f aca="false">_xlfn.FORECAST.ETS.CONFINT(11,{42.67;67;22.27;37.5;44;56.96;19;33;27;14;49.14;65.2;59;74.2;52;15.2;62;40;28.23;71},{5.5;9.5;2.5;4.5;6;7.5;2;4;3;1;6.5;9;8;10.5;7;1.5;8.5;5;3.5;10},1,0,1,5)</f>
        <v>#NUM!</v>
      </c>
      <c r="B27596" s="0" t="s">
        <v>27416</v>
      </c>
    </row>
    <row r="27597" customFormat="false" ht="15" hidden="false" customHeight="false" outlineLevel="0" collapsed="false">
      <c r="A27597" s="0" t="n">
        <f aca="false">_xlfn.ORG.LIBREOFFICE.FORECAST.ETS.MULT(21.5,{8;11.19;21.03;29;35;24.1;28.96;40;47.1;52.1;41.53;45.85;57.1;64.7;67.4;61.4;65.5;74.87;80.63;86},{1;2;3;4;5;6;7;8;9;10;11;12;13;14;15;16;17;18;19;20},5,,7)</f>
        <v>80.5394691204182</v>
      </c>
      <c r="B27597" s="0" t="s">
        <v>27417</v>
      </c>
    </row>
    <row r="27598" customFormat="false" ht="15" hidden="false" customHeight="false" outlineLevel="0" collapsed="false">
      <c r="A27598" s="0" t="n">
        <f aca="false">_xlfn.ORG.LIBREOFFICE.FORECAST.ETS.STAT.MULT({8;11.19;21.03;29;35;24.1;28.96;40;47.1;52.1;41.53;45.85;57.1;64.7;67.4;61.4;65.5;74.87;80.63;86},{1;2;3;4;5;6;7;8;9;10;11;12;13;14;15;16;17;18;19;20},{9},5,,7)</f>
        <v>5</v>
      </c>
      <c r="B27598" s="0" t="s">
        <v>27418</v>
      </c>
    </row>
    <row r="27599" customFormat="false" ht="15" hidden="false" customHeight="false" outlineLevel="0" collapsed="false">
      <c r="A27599" s="0" t="n">
        <f aca="false">_xlfn.FORECAST.ETS.SEASONALITY({8;11.19;21.03;29;35;24.1;28.96;40;47.1;52.1;41.53;45.85;57.1;64.7;67.4;61.4;65.5;74.87;80.63;86},{1;2;3;4;5;6;7;8;9;10;11;12;13;14;15;16;17;18;19;20})</f>
        <v>5</v>
      </c>
      <c r="B27599" s="0" t="s">
        <v>27419</v>
      </c>
    </row>
    <row r="27600" customFormat="false" ht="15" hidden="false" customHeight="false" outlineLevel="0" collapsed="false">
      <c r="A27600" s="0" t="n">
        <f aca="false">_xlfn.FORECAST.ETS.CONFINT(22,{8;11.19;21.03;29;35;24.1;28.96;40;47.1;52.1;41.53;45.85;57.1;64.7;67.4;61.4;65.5;74.87;80.63;86},{1;2;3;4;5;6;7;8;9;10;11;12;13;14;15;16;17;18;19;20},0.95,0,0)</f>
        <v>18.1115793568747</v>
      </c>
      <c r="B27600" s="0" t="s">
        <v>27420</v>
      </c>
    </row>
    <row r="27601" customFormat="false" ht="15" hidden="false" customHeight="false" outlineLevel="0" collapsed="false">
      <c r="A27601" s="0" t="n">
        <f aca="false">_xlfn.FORECAST.ETS({22.5;25},{36.91;37.5;38.1;35.84;39;36.8;40;40;39;38.8;40.44;40;42.47;42;42.3;44.2;43.2;44.6;46;46;47;45.49},{1;2;3;4;5;6;7;8;9;10;11;12;13;14;15;16;17;18;19;20;21;22},1,0,1)</f>
        <v>46.3353408813477</v>
      </c>
      <c r="B27601" s="0" t="s">
        <v>27421</v>
      </c>
    </row>
    <row r="27602" customFormat="false" ht="15" hidden="false" customHeight="false" outlineLevel="0" collapsed="false">
      <c r="A27602" s="0" t="n">
        <f aca="false">_xlfn.FORECAST.ETS.STAT({36.91;37.5;38.1;35.84;39;36.8;40;40;39;38.8;40.44;40;42.47;42;42.3;44.2;43.2;44.6;46;46;47;45.49},{1;2;3;4;5;6;7;8;9;10;11;12;13;14;15;16;17;18;19;20;21;22},{1},1,0,1)</f>
        <v>0.5</v>
      </c>
      <c r="B27602" s="0" t="s">
        <v>27422</v>
      </c>
    </row>
    <row r="27603" customFormat="false" ht="15" hidden="false" customHeight="false" outlineLevel="0" collapsed="false">
      <c r="A27603" s="0" t="n">
        <f aca="false">_xlfn.FORECAST.ETS.SEASONALITY({36.91;37.5;38.1;35.84;39;36.8;40;40;39;38.8;40.44;40;42.47;42;42.3;44.2;43.2;44.6;46;46;47;45.49},{1;2;3;4;5;6;7;8;9;10;11;12;13;14;15;16;17;18;19;20;21;22},0,1)</f>
        <v>8</v>
      </c>
      <c r="B27603" s="0" t="s">
        <v>27423</v>
      </c>
    </row>
    <row r="27604" customFormat="false" ht="15" hidden="false" customHeight="false" outlineLevel="0" collapsed="false">
      <c r="A27604" s="0" t="n">
        <f aca="false">_xlfn.FORECAST.ETS({45519;45519;45534},{19.2;19.2;19.2;19;19.22;19.22;19.2;19;19.22;19;19.22;19;19.22;19;19;19;19.22;19.2;19.22;19;19},{44866;44896;44927;44958;44986;45017;45047;45078;45108;45139;45170;45200;45231;45261;45292;45323;45352;45383;45413;45444;45474},0,1)</f>
        <v>18.9854838709677</v>
      </c>
      <c r="B27604" s="0" t="s">
        <v>27424</v>
      </c>
    </row>
    <row r="27605" customFormat="false" ht="15" hidden="false" customHeight="false" outlineLevel="0" collapsed="false">
      <c r="A27605" s="0" t="n">
        <f aca="false">_xlfn.ORG.LIBREOFFICE.FORECAST.ETS.STAT.MULT({19.2;19.2;19.2;19;19.22;19.22;19.2;19;19.22;19;19.22;19;19.22;19;19;19;19.22;19.2;19.22;19;19},{44866;44896;44927;44958;44986;45017;45047;45078;45108;45139;45170;45200;45231;45261;45292;45323;45352;45383;45413;45444;45474},{3},0,1)</f>
        <v>0</v>
      </c>
      <c r="B27605" s="0" t="s">
        <v>27425</v>
      </c>
    </row>
    <row r="27606" customFormat="false" ht="15" hidden="false" customHeight="false" outlineLevel="0" collapsed="false">
      <c r="A27606" s="0" t="n">
        <f aca="false">_xlfn.FORECAST.ETS.SEASONALITY({19.2;19.2;19.2;19;19.22;19.22;19.2;19;19.22;19;19.22;19;19.22;19;19;19;19.22;19.2;19.22;19;19},{44866;44896;44927;44958;44986;45017;45047;45078;45108;45139;45170;45200;45231;45261;45292;45323;45352;45383;45413;45444;45474},1)</f>
        <v>4</v>
      </c>
      <c r="B27606" s="0" t="s">
        <v>27426</v>
      </c>
    </row>
    <row r="27607" customFormat="false" ht="15" hidden="false" customHeight="false" outlineLevel="0" collapsed="false">
      <c r="A27607" s="0" t="n">
        <f aca="false">_xlfn.ORG.LIBREOFFICE.FORECAST.ETS.MULT(27,{54;63.11;52;43.7;57;47;22;29;23;58.4;35.2;53.6;27.44;61.8;31.57;25.3;40.46;32.2;47;18.8;41;57.01;45.8;36.2},{19;24;17;13;21;15;2;6;3;22;9;18;5;23;7;4;11;8;16;1;12;20;14;10},0,,6)</f>
        <v>69.261216794804</v>
      </c>
      <c r="B27607" s="0" t="s">
        <v>27427</v>
      </c>
    </row>
    <row r="27608" customFormat="false" ht="15" hidden="false" customHeight="false" outlineLevel="0" collapsed="false">
      <c r="A27608" s="0" t="n">
        <f aca="false">_xlfn.ORG.LIBREOFFICE.FORECAST.ETS.STAT.MULT({54;63.11;52;43.7;57;47;22;29;23;58.4;35.2;53.6;27.44;61.8;31.57;25.3;40.46;32.2;47;18.8;41;57.01;45.8;36.2},{19;24;17;13;21;15;2;6;3;22;9;18;5;23;7;4;11;8;16;1;12;20;14;10},{2},0,,6)</f>
        <v>0</v>
      </c>
      <c r="B27608" s="0" t="s">
        <v>27428</v>
      </c>
    </row>
    <row r="27609" customFormat="false" ht="15" hidden="false" customHeight="false" outlineLevel="0" collapsed="false">
      <c r="A27609" s="0" t="n">
        <f aca="false">_xlfn.FORECAST.ETS.SEASONALITY({54;63.11;52;43.7;57;47;22;29;23;58.4;35.2;53.6;27.44;61.8;31.57;25.3;40.46;32.2;47;18.8;41;57.01;45.8;36.2},{19;24;17;13;21;15;2;6;3;22;9;18;5;23;7;4;11;8;16;1;12;20;14;10})</f>
        <v>6</v>
      </c>
      <c r="B27609" s="0" t="s">
        <v>27429</v>
      </c>
    </row>
    <row r="27610" customFormat="false" ht="15" hidden="false" customHeight="false" outlineLevel="0" collapsed="false">
      <c r="A27610" s="0" t="n">
        <f aca="false">_xlfn.ORG.LIBREOFFICE.FORECAST.ETS.MULT({45015,45075},{33;37.65;42.98;47;52.58;58;41.6;62;66},{44770;44801;44832;44862;44893;44923;44923;44954;44985},1)</f>
        <v>72.4382933475552</v>
      </c>
      <c r="B27610" s="0" t="s">
        <v>27430</v>
      </c>
    </row>
    <row r="27611" customFormat="false" ht="15" hidden="false" customHeight="false" outlineLevel="0" collapsed="false">
      <c r="A27611" s="0" t="n">
        <f aca="false">_xlfn.ORG.LIBREOFFICE.FORECAST.ETS.STAT.MULT({33;37.65;42.98;47;52.58;58;41.6;62;66},{44770;44801;44832;44862;44893;44923;44923;44954;44985},{3;5;1;2;8;7;4;6;9},1)</f>
        <v>0</v>
      </c>
      <c r="B27611" s="0" t="s">
        <v>27431</v>
      </c>
    </row>
    <row r="27612" customFormat="false" ht="15" hidden="false" customHeight="false" outlineLevel="0" collapsed="false">
      <c r="A27612" s="0" t="n">
        <f aca="false">_xlfn.FORECAST.ETS.SEASONALITY({33;37.65;42.98;47;52.58;58;41.6;62;66},{44770;44801;44832;44862;44893;44923;44923;44954;44985},0,1)</f>
        <v>4</v>
      </c>
      <c r="B27612" s="0" t="s">
        <v>27432</v>
      </c>
    </row>
    <row r="27613" customFormat="false" ht="15" hidden="false" customHeight="false" outlineLevel="0" collapsed="false">
      <c r="A27613" s="0" t="n">
        <f aca="false">_xlfn.ORG.LIBREOFFICE.FORECAST.ETS.MULT(45017,{43;43.1;43.75;48.4;1.1;47.6;51.85;53.5;53.72;56.84;58.3;58.42;60;61.8;65.34;64.5;66.57},{45000;45001;45002;45003;45003;45004;45005;45006;45007;45008;45009;45010;45011;45012;45013;45014;45015},0)</f>
        <v>69.7126666666667</v>
      </c>
      <c r="B27613" s="0" t="s">
        <v>27433</v>
      </c>
    </row>
    <row r="27614" customFormat="false" ht="15" hidden="false" customHeight="false" outlineLevel="0" collapsed="false">
      <c r="A27614" s="0" t="n">
        <f aca="false">_xlfn.FORECAST.ETS.STAT({43;43.1;43.75;48.4;1.1;47.6;51.85;53.5;53.72;56.84;58.3;58.42;60;61.8;65.34;64.5;66.57},{45000;45001;45002;45003;45003;45004;45005;45006;45007;45008;45009;45010;45011;45012;45013;45014;45015},{7;6;5;4;1;8;9;3;2},0)</f>
        <v>1.16744424880765</v>
      </c>
      <c r="B27614" s="0" t="s">
        <v>27434</v>
      </c>
    </row>
    <row r="27615" customFormat="false" ht="15" hidden="false" customHeight="false" outlineLevel="0" collapsed="false">
      <c r="A27615" s="0" t="n">
        <f aca="false">_xlfn.FORECAST.ETS.SEASONALITY({43;43.1;43.75;48.4;1.1;47.6;51.85;53.5;53.72;56.84;58.3;58.42;60;61.8;65.34;64.5;66.57},{45000;45001;45002;45003;45003;45004;45005;45006;45007;45008;45009;45010;45011;45012;45013;45014;45015})</f>
        <v>3</v>
      </c>
      <c r="B27615" s="0" t="s">
        <v>27435</v>
      </c>
    </row>
    <row r="27616" customFormat="false" ht="15" hidden="false" customHeight="false" outlineLevel="0" collapsed="false">
      <c r="A27616" s="0" t="n">
        <f aca="false">_xlfn.ORG.LIBREOFFICE.FORECAST.ETS.MULT({73;65.5;73},{37.89;17;22.8;18.3;27.4;12;14.61;11;15.7;7.4;8.24;6},{3;8;13;18;23;28;33;38;43;48;53;58},1,0)</f>
        <v>1.20709930254913</v>
      </c>
      <c r="B27616" s="0" t="s">
        <v>27436</v>
      </c>
    </row>
    <row r="27617" customFormat="false" ht="15" hidden="false" customHeight="false" outlineLevel="0" collapsed="false">
      <c r="A27617" s="0" t="n">
        <f aca="false">_xlfn.ORG.LIBREOFFICE.FORECAST.ETS.STAT.MULT({37.89;17;22.8;18.3;27.4;12;14.61;11;15.7;7.4;8.24;6},{3;8;13;18;23;28;33;38;43;48;53;58},{8;4},1,0)</f>
        <v>5</v>
      </c>
      <c r="B27617" s="0" t="s">
        <v>27437</v>
      </c>
    </row>
    <row r="27618" customFormat="false" ht="15" hidden="false" customHeight="false" outlineLevel="0" collapsed="false">
      <c r="A27618" s="0" t="n">
        <f aca="false">_xlfn.FORECAST.ETS.SEASONALITY({37.89;17;22.8;18.3;27.4;12;14.61;11;15.7;7.4;8.24;6},{3;8;13;18;23;28;33;38;43;48;53;58})</f>
        <v>4</v>
      </c>
      <c r="B27618" s="0" t="s">
        <v>27438</v>
      </c>
    </row>
    <row r="27619" customFormat="false" ht="15" hidden="false" customHeight="false" outlineLevel="0" collapsed="false">
      <c r="A27619" s="0" t="e">
        <f aca="false">_xlfn.ORG.LIBREOFFICE.FORECAST.ETS.MULT(45016,{10.3;14;20.93;23;27.27;33;36.3;39;45.3;48},{44651;44681;44712;44742;44773;44804;44834;44865;44895;44926},4)</f>
        <v>#VALUE!</v>
      </c>
      <c r="B27619" s="0" t="s">
        <v>27439</v>
      </c>
    </row>
    <row r="27620" customFormat="false" ht="15" hidden="false" customHeight="false" outlineLevel="0" collapsed="false">
      <c r="A27620" s="0" t="e">
        <f aca="false">_xlfn.FORECAST.ETS.STAT({10.3;14;20.93;23;27.27;33;36.3;39;45.3;48},{44651;44681;44712;44742;44773;44804;44834;44865;44895;44926},{9;6},4)</f>
        <v>#VALUE!</v>
      </c>
      <c r="B27620" s="0" t="s">
        <v>27440</v>
      </c>
    </row>
    <row r="27621" customFormat="false" ht="15" hidden="false" customHeight="false" outlineLevel="0" collapsed="false">
      <c r="A27621" s="0" t="e">
        <f aca="false">_xlfn.FORECAST.ETS.SEASONALITY({10.3;14;20.93;23;27.27;33;36.3;39;45.3;48},{44651;44681;44712;44742;44773;44804;44834;44865;44895;44926},0,6)</f>
        <v>#VALUE!</v>
      </c>
      <c r="B27621" s="0" t="s">
        <v>27441</v>
      </c>
    </row>
    <row r="27622" customFormat="false" ht="15" hidden="false" customHeight="false" outlineLevel="0" collapsed="false">
      <c r="A27622" s="0" t="n">
        <f aca="false">_xlfn.ORG.LIBREOFFICE.FORECAST.ETS.MULT(10,{56;53.9;58.56;64.6;60.39;67;74.21;70;41;75.6;82.18;78.15;83.9;88.2;85.51;91.7},{1;1.5;2;2.5;3;3.5;4;4.5;4.5;5;5.5;6;6.5;7;7.5;8},3)</f>
        <v>106.863491742708</v>
      </c>
      <c r="B27622" s="0" t="s">
        <v>27442</v>
      </c>
    </row>
    <row r="27623" customFormat="false" ht="15" hidden="false" customHeight="false" outlineLevel="0" collapsed="false">
      <c r="A27623" s="0" t="n">
        <f aca="false">_xlfn.ORG.LIBREOFFICE.FORECAST.ETS.STAT.MULT({56;53.9;58.56;64.6;60.39;67;74.21;70;41;75.6;82.18;78.15;83.9;88.2;85.51;91.7},{1;1.5;2;2.5;3;3.5;4;4.5;4.5;5;5.5;6;6.5;7;7.5;8},{3},3)</f>
        <v>0</v>
      </c>
      <c r="B27623" s="0" t="s">
        <v>27443</v>
      </c>
    </row>
    <row r="27624" customFormat="false" ht="15" hidden="false" customHeight="false" outlineLevel="0" collapsed="false">
      <c r="A27624" s="0" t="n">
        <f aca="false">_xlfn.FORECAST.ETS.SEASONALITY({56;53.9;58.56;64.6;60.39;67;74.21;70;41;75.6;82.18;78.15;83.9;88.2;85.51;91.7},{1;1.5;2;2.5;3;3.5;4;4.5;4.5;5;5.5;6;6.5;7;7.5;8},0)</f>
        <v>3</v>
      </c>
      <c r="B27624" s="0" t="s">
        <v>27444</v>
      </c>
    </row>
    <row r="27625" customFormat="false" ht="15" hidden="false" customHeight="false" outlineLevel="0" collapsed="false">
      <c r="A27625" s="0" t="n">
        <f aca="false">_xlfn.ORG.LIBREOFFICE.FORECAST.ETS.MULT(45428,{33.2;32.26;29;32.5;22.23;21;25.3;25;24.78;14.7;12;18.52;17.9;14;18;5.7;4;8.77;10.1;6;11;-0.4;-3},{44713;44743;44774;44805;44835;44866;44896;44927;44986;45017;45047;45078;45108;45139;45170;45200;45231;45261;45292;45323;45352;45383;45413},4)</f>
        <v>-2.35439002541454</v>
      </c>
      <c r="B27625" s="0" t="s">
        <v>27445</v>
      </c>
    </row>
    <row r="27626" customFormat="false" ht="15" hidden="false" customHeight="false" outlineLevel="0" collapsed="false">
      <c r="A27626" s="0" t="n">
        <f aca="false">_xlfn.FORECAST.ETS.STAT({33.2;32.26;29;32.5;22.23;21;25.3;25;24.78;14.7;12;18.52;17.9;14;18;5.7;4;8.77;10.1;6;11;-0.4;-3},{44713;44743;44774;44805;44835;44866;44896;44927;44986;45017;45047;45078;45108;45139;45170;45200;45231;45261;45292;45323;45352;45383;45413},{2;1},4)</f>
        <v>0.09375</v>
      </c>
      <c r="B27626" s="0" t="s">
        <v>27446</v>
      </c>
    </row>
    <row r="27627" customFormat="false" ht="15" hidden="false" customHeight="false" outlineLevel="0" collapsed="false">
      <c r="A27627" s="0" t="n">
        <f aca="false">_xlfn.FORECAST.ETS.SEASONALITY({33.2;32.26;29;32.5;22.23;21;25.3;25;24.78;14.7;12;18.52;17.9;14;18;5.7;4;8.77;10.1;6;11;-0.4;-3},{44713;44743;44774;44805;44835;44866;44896;44927;44986;45017;45047;45078;45108;45139;45170;45200;45231;45261;45292;45323;45352;45383;45413})</f>
        <v>6</v>
      </c>
      <c r="B27627" s="0" t="s">
        <v>27447</v>
      </c>
    </row>
    <row r="27628" customFormat="false" ht="15" hidden="false" customHeight="false" outlineLevel="0" collapsed="false">
      <c r="A27628" s="0" t="n">
        <f aca="false">_xlfn.ORG.LIBREOFFICE.FORECAST.ETS.MULT(5.5,{37;37.64;43.22;44.5},{1;2;3;4},2)</f>
        <v>50.3396771323688</v>
      </c>
      <c r="B27628" s="0" t="s">
        <v>27448</v>
      </c>
    </row>
    <row r="27629" customFormat="false" ht="15" hidden="false" customHeight="false" outlineLevel="0" collapsed="false">
      <c r="A27629" s="0" t="n">
        <f aca="false">_xlfn.FORECAST.ETS.STAT({37;37.64;43.22;44.5},{1;2;3;4},{8;5},2)</f>
        <v>1</v>
      </c>
      <c r="B27629" s="0" t="s">
        <v>27449</v>
      </c>
    </row>
    <row r="27630" customFormat="false" ht="15" hidden="false" customHeight="false" outlineLevel="0" collapsed="false">
      <c r="A27630" s="0" t="n">
        <f aca="false">_xlfn.FORECAST.ETS.SEASONALITY({37;37.64;43.22;44.5},{1;2;3;4},0)</f>
        <v>2</v>
      </c>
      <c r="B27630" s="0" t="s">
        <v>27450</v>
      </c>
    </row>
    <row r="27631" customFormat="false" ht="15" hidden="false" customHeight="false" outlineLevel="0" collapsed="false">
      <c r="A27631" s="0" t="n">
        <f aca="false">_xlfn.ORG.LIBREOFFICE.FORECAST.ETS.PI.MULT({5;6;7},{37;37.64;43.22;44.5},{1;2;3;4},0.5,0,1)</f>
        <v>0.866222723783294</v>
      </c>
      <c r="B27631" s="0" t="s">
        <v>27451</v>
      </c>
    </row>
    <row r="27632" customFormat="false" ht="15" hidden="false" customHeight="false" outlineLevel="0" collapsed="false">
      <c r="A27632" s="0" t="n">
        <f aca="false">_xlfn.FORECAST.ETS({19;17;17},{31.43;36.3;47;48.3;24.2;46;43;41.4;36.96;30;51.6;40;40;26;35.5;33},{7;2;10;16;1;12;15;6;9;5;14;13;8;3;11;4})</f>
        <v>47.4063381102766</v>
      </c>
      <c r="B27632" s="0" t="s">
        <v>27452</v>
      </c>
    </row>
    <row r="27633" customFormat="false" ht="15" hidden="false" customHeight="false" outlineLevel="0" collapsed="false">
      <c r="A27633" s="0" t="n">
        <f aca="false">_xlfn.FORECAST.ETS.STAT({31.43;36.3;47;48.3;24.2;46;43;41.4;36.96;30;51.6;40;40;26;35.5;33},{7;2;10;16;1;12;15;6;9;5;14;13;8;3;11;4},{2})</f>
        <v>0.171875</v>
      </c>
      <c r="B27633" s="0" t="s">
        <v>27453</v>
      </c>
    </row>
    <row r="27634" customFormat="false" ht="15" hidden="false" customHeight="false" outlineLevel="0" collapsed="false">
      <c r="A27634" s="0" t="n">
        <f aca="false">_xlfn.FORECAST.ETS.SEASONALITY({31.43;36.3;47;48.3;24.2;46;43;41.4;36.96;30;51.6;40;40;26;35.5;33},{7;2;10;16;1;12;15;6;9;5;14;13;8;3;11;4})</f>
        <v>4</v>
      </c>
      <c r="B27634" s="0" t="s">
        <v>27454</v>
      </c>
    </row>
    <row r="27635" customFormat="false" ht="15" hidden="false" customHeight="false" outlineLevel="0" collapsed="false">
      <c r="A27635" s="0" t="n">
        <f aca="false">_xlfn.FORECAST.ETS.CONFINT({17;18;19},{31.43;36.3;47;48.3;24.2;46;43;41.4;36.96;30;51.6;40;40;26;35.5;33},{7;2;10;16;1;12;15;6;9;5;14;13;8;3;11;4},0.95,0,0)</f>
        <v>10.2182661763841</v>
      </c>
      <c r="B27635" s="0" t="s">
        <v>27455</v>
      </c>
    </row>
    <row r="27636" customFormat="false" ht="15" hidden="false" customHeight="false" outlineLevel="0" collapsed="false">
      <c r="A27636" s="0" t="e">
        <f aca="false">_xlfn.ORG.LIBREOFFICE.FORECAST.ETS.MULT({45017},{12.2;12;12;12.21;12;12.2;12.21;12.21;12.21;12.21;12.2;12.2},{44620;44651;44681;44712;44742;44773;44804;44834;44865;44895;44926;44957},3)</f>
        <v>#VALUE!</v>
      </c>
      <c r="B27636" s="0" t="s">
        <v>27456</v>
      </c>
    </row>
    <row r="27637" customFormat="false" ht="15" hidden="false" customHeight="false" outlineLevel="0" collapsed="false">
      <c r="A27637" s="0" t="e">
        <f aca="false">_xlfn.ORG.LIBREOFFICE.FORECAST.ETS.STAT.MULT({12.2;12;12;12.21;12;12.2;12.21;12.21;12.21;12.21;12.2;12.2},{44620;44651;44681;44712;44742;44773;44804;44834;44865;44895;44926;44957},{8;5},3)</f>
        <v>#VALUE!</v>
      </c>
      <c r="B27637" s="0" t="s">
        <v>27457</v>
      </c>
    </row>
    <row r="27638" customFormat="false" ht="15" hidden="false" customHeight="false" outlineLevel="0" collapsed="false">
      <c r="A27638" s="0" t="e">
        <f aca="false">_xlfn.FORECAST.ETS.SEASONALITY({12.2;12;12;12.21;12;12.2;12.21;12.21;12.21;12.21;12.2;12.2},{44620;44651;44681;44712;44742;44773;44804;44834;44865;44895;44926;44957},0,1)</f>
        <v>#VALUE!</v>
      </c>
      <c r="B27638" s="0" t="s">
        <v>27458</v>
      </c>
    </row>
    <row r="27639" customFormat="false" ht="15" hidden="false" customHeight="false" outlineLevel="0" collapsed="false">
      <c r="A27639" s="0" t="n">
        <f aca="false">_xlfn.FORECAST.ETS(8,{7.2;9;9.33;12;13.6;15.2;17.9;19.37;20;20.5;22.8;26.2;27.51;27.13;29.66},{1;2;3;4;5;6;7;8;9;10;11;12;13;14;15},6,,6)</f>
        <v>19.37</v>
      </c>
      <c r="B27639" s="0" t="s">
        <v>27459</v>
      </c>
    </row>
    <row r="27640" customFormat="false" ht="15" hidden="false" customHeight="false" outlineLevel="0" collapsed="false">
      <c r="A27640" s="0" t="n">
        <f aca="false">_xlfn.ORG.LIBREOFFICE.FORECAST.ETS.STAT.MULT({7.2;9;9.33;12;13.6;15.2;17.9;19.37;20;20.5;22.8;26.2;27.51;27.13;29.66},{1;2;3;4;5;6;7;8;9;10;11;12;13;14;15},{5},6,,6)</f>
        <v>0.0290001898341983</v>
      </c>
      <c r="B27640" s="0" t="s">
        <v>27460</v>
      </c>
    </row>
    <row r="27641" customFormat="false" ht="15" hidden="false" customHeight="false" outlineLevel="0" collapsed="false">
      <c r="A27641" s="0" t="n">
        <f aca="false">_xlfn.FORECAST.ETS.SEASONALITY({7.2;9;9.33;12;13.6;15.2;17.9;19.37;20;20.5;22.8;26.2;27.51;27.13;29.66},{1;2;3;4;5;6;7;8;9;10;11;12;13;14;15},0)</f>
        <v>4</v>
      </c>
      <c r="B27641" s="0" t="s">
        <v>27461</v>
      </c>
    </row>
    <row r="27642" customFormat="false" ht="15" hidden="false" customHeight="false" outlineLevel="0" collapsed="false">
      <c r="A27642" s="0" t="n">
        <f aca="false">_xlfn.ORG.LIBREOFFICE.FORECAST.ETS.PI.MULT({16;17;18},{7.2;9;9.33;12;13.6;15.2;17.9;19.37;20;20.5;22.8;26.2;27.51;27.13;29.66},{1;2;3;4;5;6;7;8;9;10;11;12;13;14;15},0,0,1,4)</f>
        <v>0</v>
      </c>
      <c r="B27642" s="0" t="s">
        <v>27462</v>
      </c>
    </row>
    <row r="27643" customFormat="false" ht="15" hidden="false" customHeight="false" outlineLevel="0" collapsed="false">
      <c r="A27643" s="0" t="n">
        <f aca="false">_xlfn.FORECAST.ETS({13;11.5;10.5},{30;51.5;29.17;51.16;28;49.1;26.17;46;26;44},{1;2;3;4;5;6;7;8;9;10},1,0)</f>
        <v>22.8927955401367</v>
      </c>
      <c r="B27643" s="0" t="s">
        <v>27463</v>
      </c>
    </row>
    <row r="27644" customFormat="false" ht="15" hidden="false" customHeight="false" outlineLevel="0" collapsed="false">
      <c r="A27644" s="0" t="n">
        <f aca="false">_xlfn.FORECAST.ETS.STAT({30;51.5;29.17;51.16;28;49.1;26.17;46;26;44},{1;2;3;4;5;6;7;8;9;10},{9},1,0)</f>
        <v>2</v>
      </c>
      <c r="B27644" s="0" t="s">
        <v>27464</v>
      </c>
    </row>
    <row r="27645" customFormat="false" ht="15" hidden="false" customHeight="false" outlineLevel="0" collapsed="false">
      <c r="A27645" s="0" t="n">
        <f aca="false">_xlfn.FORECAST.ETS.SEASONALITY({30;51.5;29.17;51.16;28;49.1;26.17;46;26;44},{1;2;3;4;5;6;7;8;9;10},0,6)</f>
        <v>2</v>
      </c>
      <c r="B27645" s="0" t="s">
        <v>27465</v>
      </c>
    </row>
    <row r="27646" customFormat="false" ht="15" hidden="false" customHeight="false" outlineLevel="0" collapsed="false">
      <c r="A27646" s="0" t="n">
        <f aca="false">_xlfn.FORECAST.ETS.CONFINT(11,{30;51.5;29.17;51.16;28;49.1;26.17;46;26;44},{1;2;3;4;5;6;7;8;9;10},,0,1,6)</f>
        <v>24.0130693701125</v>
      </c>
      <c r="B27646" s="0" t="s">
        <v>27466</v>
      </c>
    </row>
    <row r="27647" customFormat="false" ht="15" hidden="false" customHeight="false" outlineLevel="0" collapsed="false">
      <c r="A27647" s="0" t="n">
        <f aca="false">_xlfn.FORECAST.ETS({9.5,10},{23;29.1;28;24;34.08;44.23;40;33},{1;2;3;4;5;6;7;8},0,0)</f>
        <v>39.3135491071429</v>
      </c>
      <c r="B27647" s="0" t="s">
        <v>27467</v>
      </c>
    </row>
    <row r="27648" customFormat="false" ht="15" hidden="false" customHeight="false" outlineLevel="0" collapsed="false">
      <c r="A27648" s="0" t="n">
        <f aca="false">_xlfn.FORECAST.ETS.STAT({23;29.1;28;24;34.08;44.23;40;33},{1;2;3;4;5;6;7;8},{1;5;3;7;4;8;9;2;6},0,0)</f>
        <v>0.5</v>
      </c>
      <c r="B27648" s="0" t="s">
        <v>27468</v>
      </c>
    </row>
    <row r="27649" customFormat="false" ht="15" hidden="false" customHeight="false" outlineLevel="0" collapsed="false">
      <c r="A27649" s="0" t="n">
        <f aca="false">_xlfn.FORECAST.ETS.SEASONALITY({23;29.1;28;24;34.08;44.23;40;33},{1;2;3;4;5;6;7;8})</f>
        <v>4</v>
      </c>
      <c r="B27649" s="0" t="s">
        <v>27469</v>
      </c>
    </row>
    <row r="27650" customFormat="false" ht="15" hidden="false" customHeight="false" outlineLevel="0" collapsed="false">
      <c r="A27650" s="0" t="n">
        <f aca="false">_xlfn.FORECAST.ETS({45009,45008.5,45007.5},{41.85;27.68;38.6;28.1;38;28.09;39.7;25.5},{45000;45001;45002;45003;45004;45005;45006;45007},2)</f>
        <v>25.3833169693091</v>
      </c>
      <c r="B27650" s="0" t="s">
        <v>27470</v>
      </c>
    </row>
    <row r="27651" customFormat="false" ht="15" hidden="false" customHeight="false" outlineLevel="0" collapsed="false">
      <c r="A27651" s="0" t="n">
        <f aca="false">_xlfn.FORECAST.ETS.STAT({41.85;27.68;38.6;28.1;38;28.09;39.7;25.5},{45000;45001;45002;45003;45004;45005;45006;45007},{9;8;6;3;7;1;5;2;4},2)</f>
        <v>2</v>
      </c>
      <c r="B27651" s="0" t="s">
        <v>27471</v>
      </c>
    </row>
    <row r="27652" customFormat="false" ht="15" hidden="false" customHeight="false" outlineLevel="0" collapsed="false">
      <c r="A27652" s="0" t="n">
        <f aca="false">_xlfn.FORECAST.ETS.SEASONALITY({41.85;27.68;38.6;28.1;38;28.09;39.7;25.5},{45000;45001;45002;45003;45004;45005;45006;45007})</f>
        <v>2</v>
      </c>
      <c r="B27652" s="0" t="s">
        <v>27472</v>
      </c>
    </row>
    <row r="27653" customFormat="false" ht="15" hidden="false" customHeight="false" outlineLevel="0" collapsed="false">
      <c r="A27653" s="0" t="n">
        <f aca="false">_xlfn.ORG.LIBREOFFICE.FORECAST.ETS.MULT(9,{42.9;13.13;21.13;26;25.8;15.63;16.53;13;26;20;27.82;32;19.9;22;37.44;17},{7;1.5;1;7.5;8;2.5;4;2;6.5;5.5;3;8.5;4.5;6;5;3.5},4,,5)</f>
        <v>53.5260303906733</v>
      </c>
      <c r="B27653" s="0" t="s">
        <v>27473</v>
      </c>
    </row>
    <row r="27654" customFormat="false" ht="15" hidden="false" customHeight="false" outlineLevel="0" collapsed="false">
      <c r="A27654" s="0" t="n">
        <f aca="false">_xlfn.ORG.LIBREOFFICE.FORECAST.ETS.STAT.MULT({42.9;13.13;21.13;26;25.8;15.63;16.53;13;26;20;27.82;32;19.9;22;37.44;17},{7;1.5;1;7.5;8;2.5;4;2;6.5;5.5;3;8.5;4.5;6;5;3.5},{4;5;2;6;3;7;1;8;9},4,,5)</f>
        <v>0.0982266732239204</v>
      </c>
      <c r="B27654" s="0" t="s">
        <v>27474</v>
      </c>
    </row>
    <row r="27655" customFormat="false" ht="15" hidden="false" customHeight="false" outlineLevel="0" collapsed="false">
      <c r="A27655" s="0" t="n">
        <f aca="false">_xlfn.FORECAST.ETS.SEASONALITY({42.9;13.13;21.13;26;25.8;15.63;16.53;13;26;20;27.82;32;19.9;22;37.44;17},{7;1.5;1;7.5;8;2.5;4;2;6.5;5.5;3;8.5;4.5;6;5;3.5})</f>
        <v>4</v>
      </c>
      <c r="B27655" s="0" t="s">
        <v>27475</v>
      </c>
    </row>
    <row r="27656" customFormat="false" ht="15" hidden="false" customHeight="false" outlineLevel="0" collapsed="false">
      <c r="A27656" s="0" t="n">
        <f aca="false">_xlfn.FORECAST.ETS.CONFINT(9,{42.9;13.13;21.13;26;25.8;15.63;16.53;13;26;20;27.82;32;19.9;22;37.44;17},{7;1.5;1;7.5;8;2.5;4;2;6.5;5.5;3;8.5;4.5;6;5;3.5},,0,1,2)</f>
        <v>14.5926305178329</v>
      </c>
      <c r="B27656" s="0" t="s">
        <v>27476</v>
      </c>
    </row>
    <row r="27657" customFormat="false" ht="15" hidden="false" customHeight="false" outlineLevel="0" collapsed="false">
      <c r="A27657" s="0" t="e">
        <f aca="false">_xlfn.FORECAST.ETS({45107;45167},{49.29;49.29;49;49.29;49;49;49.3;49.29;49;49;49.29;49.29;49;49.3;11.2;49.29;49;49.29},{44592;44620;44651;44681;44712;44742;44773;44804;44834;44865;44895;44926;44957;44985;44985;45016;45046;45077},7,1,6)</f>
        <v>#VALUE!</v>
      </c>
      <c r="B27657" s="0" t="s">
        <v>27477</v>
      </c>
    </row>
    <row r="27658" customFormat="false" ht="15" hidden="false" customHeight="false" outlineLevel="0" collapsed="false">
      <c r="A27658" s="0" t="e">
        <f aca="false">_xlfn.ORG.LIBREOFFICE.FORECAST.ETS.STAT.MULT({49.29;49.29;49;49.29;49;49;49.3;49.29;49;49;49.29;49.29;49;49.3;11.2;49.29;49;49.29},{44592;44620;44651;44681;44712;44742;44773;44804;44834;44865;44895;44926;44957;44985;44985;45016;45046;45077},{6;1},7,1,6)</f>
        <v>#VALUE!</v>
      </c>
      <c r="B27658" s="0" t="s">
        <v>27478</v>
      </c>
    </row>
    <row r="27659" customFormat="false" ht="15" hidden="false" customHeight="false" outlineLevel="0" collapsed="false">
      <c r="A27659" s="0" t="e">
        <f aca="false">_xlfn.FORECAST.ETS.SEASONALITY({49.29;49.29;49;49.29;49;49;49.3;49.29;49;49;49.29;49.29;49;49.3;11.2;49.29;49;49.29},{44592;44620;44651;44681;44712;44742;44773;44804;44834;44865;44895;44926;44957;44985;44985;45016;45046;45077},1)</f>
        <v>#VALUE!</v>
      </c>
      <c r="B27659" s="0" t="s">
        <v>27479</v>
      </c>
    </row>
    <row r="27660" customFormat="false" ht="15" hidden="false" customHeight="false" outlineLevel="0" collapsed="false">
      <c r="A27660" s="0" t="e">
        <f aca="false">_xlfn.ORG.LIBREOFFICE.FORECAST.ETS.MULT(45002,{51.6;75;89.81;35},{45000;45001;45002;45003},4)</f>
        <v>#VALUE!</v>
      </c>
      <c r="B27660" s="0" t="s">
        <v>27480</v>
      </c>
    </row>
    <row r="27661" customFormat="false" ht="15" hidden="false" customHeight="false" outlineLevel="0" collapsed="false">
      <c r="A27661" s="0" t="e">
        <f aca="false">_xlfn.FORECAST.ETS.STAT({51.6;75;89.81;35},{45000;45001;45002;45003},{6;9;1;5;3;8;2;7;4},4)</f>
        <v>#VALUE!</v>
      </c>
      <c r="B27661" s="0" t="s">
        <v>27481</v>
      </c>
    </row>
    <row r="27662" customFormat="false" ht="15" hidden="false" customHeight="false" outlineLevel="0" collapsed="false">
      <c r="A27662" s="0" t="n">
        <f aca="false">_xlfn.FORECAST.ETS.SEASONALITY({51.6;75;89.81;35},{45000;45001;45002;45003},0)</f>
        <v>1</v>
      </c>
      <c r="B27662" s="0" t="s">
        <v>27482</v>
      </c>
    </row>
    <row r="27663" customFormat="false" ht="15" hidden="false" customHeight="false" outlineLevel="0" collapsed="false">
      <c r="A27663" s="0" t="n">
        <f aca="false">_xlfn.ORG.LIBREOFFICE.FORECAST.ETS.MULT(1.75,{17;17;17.2;17.2},{1;1.5;2;2.5})</f>
        <v>17.1002932652201</v>
      </c>
      <c r="B27663" s="0" t="s">
        <v>27483</v>
      </c>
    </row>
    <row r="27664" customFormat="false" ht="15" hidden="false" customHeight="false" outlineLevel="0" collapsed="false">
      <c r="A27664" s="0" t="n">
        <f aca="false">_xlfn.ORG.LIBREOFFICE.FORECAST.ETS.STAT.MULT({17;17;17.2;17.2},{1;1.5;2;2.5},{8;6;4;2;1;5;9;3;7})</f>
        <v>0.5</v>
      </c>
      <c r="B27664" s="0" t="s">
        <v>27484</v>
      </c>
    </row>
    <row r="27665" customFormat="false" ht="15" hidden="false" customHeight="false" outlineLevel="0" collapsed="false">
      <c r="A27665" s="0" t="n">
        <f aca="false">_xlfn.FORECAST.ETS.SEASONALITY({17;17;17.2;17.2},{1;1.5;2;2.5},0,1)</f>
        <v>2</v>
      </c>
      <c r="B27665" s="0" t="s">
        <v>27485</v>
      </c>
    </row>
    <row r="27666" customFormat="false" ht="15" hidden="false" customHeight="false" outlineLevel="0" collapsed="false">
      <c r="A27666" s="0" t="n">
        <f aca="false">_xlfn.ORG.LIBREOFFICE.FORECAST.ETS.MULT({45020.5,45022,45021},{47.7;47.7;47.7;47.74;47.7;47.7;47.74;48;47.7;47.74;47.7;47.7;47.7;48;48;48;48;48;47.74;47.74;25.8;48},{45000;45001;45002;45003;45004;45005;45006;45007;45008;45009;45010;45011;45012;45013;45014;45015;45016;45017;45018;45019;45019;45020},1,1,2)</f>
        <v>47.792371787973</v>
      </c>
      <c r="B27666" s="0" t="s">
        <v>27486</v>
      </c>
    </row>
    <row r="27667" customFormat="false" ht="15" hidden="false" customHeight="false" outlineLevel="0" collapsed="false">
      <c r="A27667" s="0" t="n">
        <f aca="false">_xlfn.ORG.LIBREOFFICE.FORECAST.ETS.STAT.MULT({47.7;47.7;47.7;47.74;47.7;47.7;47.74;48;47.7;47.74;47.7;47.7;47.7;48;48;48;48;48;47.74;47.74;25.8;48},{45000;45001;45002;45003;45004;45005;45006;45007;45008;45009;45010;45011;45012;45013;45014;45015;45016;45017;45018;45019;45019;45020},{6;3;5;8;1;4;7;9;2},1,1,2)</f>
        <v>2.38644825394966</v>
      </c>
      <c r="B27667" s="0" t="s">
        <v>27487</v>
      </c>
    </row>
    <row r="27668" customFormat="false" ht="15" hidden="false" customHeight="false" outlineLevel="0" collapsed="false">
      <c r="A27668" s="0" t="n">
        <f aca="false">_xlfn.FORECAST.ETS.SEASONALITY({47.7;47.7;47.7;47.74;47.7;47.7;47.74;48;47.7;47.74;47.7;47.7;47.7;48;48;48;48;48;47.74;47.74;25.8;48},{45000;45001;45002;45003;45004;45005;45006;45007;45008;45009;45010;45011;45012;45013;45014;45015;45016;45017;45018;45019;45019;45020},0)</f>
        <v>10</v>
      </c>
      <c r="B27668" s="0" t="s">
        <v>27488</v>
      </c>
    </row>
    <row r="27669" customFormat="false" ht="15" hidden="false" customHeight="false" outlineLevel="0" collapsed="false">
      <c r="A27669" s="0" t="n">
        <f aca="false">_xlfn.FORECAST.ETS(125.5,{16;12;10.9;10;8.67;5;3.6;3.2;1.02;-2;-0.7;-5;-4.2;-6.2;-9.5;-11.9;-12.5;-13.4;-16.28;-17.7;-18;-21.1;-23.46;-23.11},{3;8;13;18;23;28;33;38;43;48;53;58;63;68;73;78;83;88;93;98;103;108;113;118},4)</f>
        <v>-26.3151013574321</v>
      </c>
      <c r="B27669" s="0" t="s">
        <v>27489</v>
      </c>
    </row>
    <row r="27670" customFormat="false" ht="15" hidden="false" customHeight="false" outlineLevel="0" collapsed="false">
      <c r="A27670" s="0" t="n">
        <f aca="false">_xlfn.ORG.LIBREOFFICE.FORECAST.ETS.STAT.MULT({16;12;10.9;10;8.67;5;3.6;3.2;1.02;-2;-0.7;-5;-4.2;-6.2;-9.5;-11.9;-12.5;-13.4;-16.28;-17.7;-18;-21.1;-23.46;-23.11},{3;8;13;18;23;28;33;38;43;48;53;58;63;68;73;78;83;88;93;98;103;108;113;118},{4;2},4)</f>
        <v>0.590808118885529</v>
      </c>
      <c r="B27670" s="0" t="s">
        <v>27490</v>
      </c>
    </row>
    <row r="27671" customFormat="false" ht="15" hidden="false" customHeight="false" outlineLevel="0" collapsed="false">
      <c r="A27671" s="0" t="n">
        <f aca="false">_xlfn.FORECAST.ETS.SEASONALITY({16;12;10.9;10;8.67;5;3.6;3.2;1.02;-2;-0.7;-5;-4.2;-6.2;-9.5;-11.9;-12.5;-13.4;-16.28;-17.7;-18;-21.1;-23.46;-23.11},{3;8;13;18;23;28;33;38;43;48;53;58;63;68;73;78;83;88;93;98;103;108;113;118})</f>
        <v>10</v>
      </c>
      <c r="B27671" s="0" t="s">
        <v>27491</v>
      </c>
    </row>
    <row r="27672" customFormat="false" ht="15" hidden="false" customHeight="false" outlineLevel="0" collapsed="false">
      <c r="A27672" s="0" t="n">
        <f aca="false">_xlfn.FORECAST.ETS(14,{39.2;11;94.6;23;47;19;29.32;82.41;48.36;15.6;88.4;16.9;45.94},{1;2;3;4;5;6;7;8;9;10;11;12;13},2,0,1)</f>
        <v>16.1040753428966</v>
      </c>
      <c r="B27672" s="0" t="s">
        <v>27492</v>
      </c>
    </row>
    <row r="27673" customFormat="false" ht="15" hidden="false" customHeight="false" outlineLevel="0" collapsed="false">
      <c r="A27673" s="0" t="n">
        <f aca="false">_xlfn.ORG.LIBREOFFICE.FORECAST.ETS.STAT.MULT({39.2;11;94.6;23;47;19;29.32;82.41;48.36;15.6;88.4;16.9;45.94},{1;2;3;4;5;6;7;8;9;10;11;12;13},{8},2,0,1)</f>
        <v>1</v>
      </c>
      <c r="B27673" s="0" t="s">
        <v>27493</v>
      </c>
    </row>
    <row r="27674" customFormat="false" ht="15" hidden="false" customHeight="false" outlineLevel="0" collapsed="false">
      <c r="A27674" s="0" t="n">
        <f aca="false">_xlfn.FORECAST.ETS.SEASONALITY({39.2;11;94.6;23;47;19;29.32;82.41;48.36;15.6;88.4;16.9;45.94},{1;2;3;4;5;6;7;8;9;10;11;12;13},0)</f>
        <v>3</v>
      </c>
      <c r="B27674" s="0" t="s">
        <v>27494</v>
      </c>
    </row>
    <row r="27675" customFormat="false" ht="15" hidden="false" customHeight="false" outlineLevel="0" collapsed="false">
      <c r="A27675" s="0" t="e">
        <f aca="false">_xlfn.ORG.LIBREOFFICE.FORECAST.ETS.PI.MULT({14;15;16},{39.2;11;94.6;23;47;19;29.32;82.41;48.36;15.6;88.4;16.9;45.94},{1;2;3;4;5;6;7;8;9;10;11;12;13},1,0)</f>
        <v>#NUM!</v>
      </c>
      <c r="B27675" s="0" t="s">
        <v>27495</v>
      </c>
    </row>
    <row r="27676" customFormat="false" ht="15" hidden="false" customHeight="false" outlineLevel="0" collapsed="false">
      <c r="A27676" s="0" t="e">
        <f aca="false">_xlfn.ORG.LIBREOFFICE.FORECAST.ETS.MULT(45275,{38.2;37.22;34.61;33;31;28.9;26;24;22.9;21;20.3;18;17;13;12;11.05;8.3;8.7},{44742;44773;44804;44834;44865;44895;44926;44957;44985;45016;45046;45077;45107;45138;45169;45199;45230;45260},4)</f>
        <v>#VALUE!</v>
      </c>
      <c r="B27676" s="0" t="s">
        <v>27496</v>
      </c>
    </row>
    <row r="27677" customFormat="false" ht="15" hidden="false" customHeight="false" outlineLevel="0" collapsed="false">
      <c r="A27677" s="0" t="e">
        <f aca="false">_xlfn.FORECAST.ETS.STAT({38.2;37.22;34.61;33;31;28.9;26;24;22.9;21;20.3;18;17;13;12;11.05;8.3;8.7},{44742;44773;44804;44834;44865;44895;44926;44957;44985;45016;45046;45077;45107;45138;45169;45199;45230;45260},{5;9},4)</f>
        <v>#VALUE!</v>
      </c>
      <c r="B27677" s="0" t="s">
        <v>27497</v>
      </c>
    </row>
    <row r="27678" customFormat="false" ht="15" hidden="false" customHeight="false" outlineLevel="0" collapsed="false">
      <c r="A27678" s="0" t="e">
        <f aca="false">_xlfn.FORECAST.ETS.SEASONALITY({38.2;37.22;34.61;33;31;28.9;26;24;22.9;21;20.3;18;17;13;12;11.05;8.3;8.7},{44742;44773;44804;44834;44865;44895;44926;44957;44985;45016;45046;45077;45107;45138;45169;45199;45230;45260},0,4)</f>
        <v>#VALUE!</v>
      </c>
      <c r="B27678" s="0" t="s">
        <v>27498</v>
      </c>
    </row>
    <row r="27679" customFormat="false" ht="15" hidden="false" customHeight="false" outlineLevel="0" collapsed="false">
      <c r="A27679" s="0" t="n">
        <f aca="false">_xlfn.ORG.LIBREOFFICE.FORECAST.ETS.MULT(7.5,{48.88;48.88;48.9;48.9;48.88;48.88;49;49;48.88;48.88;48.88;49;48.9;49;49;48.88;49},{1;1.5;2;2.5;3;3.5;4;4.5;5;5.5;6;6.5;7;7.5;8;8.5;9},5,0,5)</f>
        <v>49</v>
      </c>
      <c r="B27679" s="0" t="s">
        <v>27499</v>
      </c>
    </row>
    <row r="27680" customFormat="false" ht="15" hidden="false" customHeight="false" outlineLevel="0" collapsed="false">
      <c r="A27680" s="0" t="n">
        <f aca="false">_xlfn.FORECAST.ETS.STAT({48.88;48.88;48.9;48.9;48.88;48.88;49;49;48.88;48.88;48.88;49;48.9;49;49;48.88;49},{1;1.5;2;2.5;3;3.5;4;4.5;5;5.5;6;6.5;7;7.5;8;8.5;9},{1},5,0,5)</f>
        <v>0.125</v>
      </c>
      <c r="B27680" s="0" t="s">
        <v>27500</v>
      </c>
    </row>
    <row r="27681" customFormat="false" ht="15" hidden="false" customHeight="false" outlineLevel="0" collapsed="false">
      <c r="A27681" s="0" t="n">
        <f aca="false">_xlfn.FORECAST.ETS.SEASONALITY({48.88;48.88;48.9;48.9;48.88;48.88;49;49;48.88;48.88;48.88;49;48.9;49;49;48.88;49},{1;1.5;2;2.5;3;3.5;4;4.5;5;5.5;6;6.5;7;7.5;8;8.5;9})</f>
        <v>7</v>
      </c>
      <c r="B27681" s="0" t="s">
        <v>27501</v>
      </c>
    </row>
    <row r="27682" customFormat="false" ht="15" hidden="false" customHeight="false" outlineLevel="0" collapsed="false">
      <c r="A27682" s="0" t="n">
        <f aca="false">_xlfn.ORG.LIBREOFFICE.FORECAST.ETS.MULT({18,18.5},{86.72;23;75.08;68.07;67.9;18;85;7.38;10.4;24.69;28;52;46;67;13.98;95.1;10},{15;9;17;10;13;8;2;16;5;14;12;11;1;3;6;4;7},1)</f>
        <v>8.58332236364622</v>
      </c>
      <c r="B27682" s="0" t="s">
        <v>27502</v>
      </c>
    </row>
    <row r="27683" customFormat="false" ht="15" hidden="false" customHeight="false" outlineLevel="0" collapsed="false">
      <c r="A27683" s="0" t="n">
        <f aca="false">_xlfn.FORECAST.ETS.STAT({86.72;23;75.08;68.07;67.9;18;85;7.38;10.4;24.69;28;52;46;67;13.98;95.1;10},{15;9;17;10;13;8;2;16;5;14;12;11;1;3;6;4;7},{2;5},1)</f>
        <v>0.0830078125</v>
      </c>
      <c r="B27683" s="0" t="s">
        <v>27503</v>
      </c>
    </row>
    <row r="27684" customFormat="false" ht="15" hidden="false" customHeight="false" outlineLevel="0" collapsed="false">
      <c r="A27684" s="0" t="n">
        <f aca="false">_xlfn.FORECAST.ETS.SEASONALITY({86.72;23;75.08;68.07;67.9;18;85;7.38;10.4;24.69;28;52;46;67;13.98;95.1;10},{15;9;17;10;13;8;2;16;5;14;12;11;1;3;6;4;7},0,3)</f>
        <v>2</v>
      </c>
      <c r="B27684" s="0" t="s">
        <v>27504</v>
      </c>
    </row>
    <row r="27685" customFormat="false" ht="15" hidden="false" customHeight="false" outlineLevel="0" collapsed="false">
      <c r="A27685" s="0" t="n">
        <f aca="false">_xlfn.FORECAST.ETS.CONFINT(18,{86.72;23;75.08;68.07;67.9;18;85;7.38;10.4;24.69;28;52;46;67;13.98;95.1;10},{15;9;17;10;13;8;2;16;5;14;12;11;1;3;6;4;7},0,0)</f>
        <v>0</v>
      </c>
      <c r="B27685" s="0" t="s">
        <v>27505</v>
      </c>
    </row>
    <row r="27686" customFormat="false" ht="15" hidden="false" customHeight="false" outlineLevel="0" collapsed="false">
      <c r="A27686" s="0" t="n">
        <f aca="false">_xlfn.ORG.LIBREOFFICE.FORECAST.ETS.MULT({15.5;18;16.5},{39.8;42.31;51;76.3;97.86;32.49;8.73;35.3;48.8;16.9;65;57;29;46.7;67.3;91.54},{1;2;3;4;5;6;7;8;9;10;11;12;13;13;14;15},3,0,2)</f>
        <v>38.8679552468034</v>
      </c>
      <c r="B27686" s="0" t="s">
        <v>27506</v>
      </c>
    </row>
    <row r="27687" customFormat="false" ht="15" hidden="false" customHeight="false" outlineLevel="0" collapsed="false">
      <c r="A27687" s="0" t="n">
        <f aca="false">_xlfn.FORECAST.ETS.STAT({39.8;42.31;51;76.3;97.86;32.49;8.73;35.3;48.8;16.9;65;57;29;46.7;67.3;91.54},{1;2;3;4;5;6;7;8;9;10;11;12;13;13;14;15},{4;6},3,0,2)</f>
        <v>0.734710599227076</v>
      </c>
      <c r="B27687" s="0" t="s">
        <v>27507</v>
      </c>
    </row>
    <row r="27688" customFormat="false" ht="15" hidden="false" customHeight="false" outlineLevel="0" collapsed="false">
      <c r="A27688" s="0" t="n">
        <f aca="false">_xlfn.FORECAST.ETS.SEASONALITY({39.8;42.31;51;76.3;97.86;32.49;8.73;35.3;48.8;16.9;65;57;29;46.7;67.3;91.54},{1;2;3;4;5;6;7;8;9;10;11;12;13;13;14;15})</f>
        <v>6</v>
      </c>
      <c r="B27688" s="0" t="s">
        <v>27508</v>
      </c>
    </row>
    <row r="27689" customFormat="false" ht="15" hidden="false" customHeight="false" outlineLevel="0" collapsed="false">
      <c r="A27689" s="0" t="n">
        <f aca="false">_xlfn.ORG.LIBREOFFICE.FORECAST.ETS.MULT({8,8.5},{48.99;49;48.99;49;49;48.99;49;49;48.99;48.99;48.99;49;49},{4.5;1;2;5;3.5;4;7;3;1.5;2.5;6.5;6;5.5},6,0)</f>
        <v>48.989998422376</v>
      </c>
      <c r="B27689" s="0" t="s">
        <v>27509</v>
      </c>
    </row>
    <row r="27690" customFormat="false" ht="15" hidden="false" customHeight="false" outlineLevel="0" collapsed="false">
      <c r="A27690" s="0" t="n">
        <f aca="false">_xlfn.ORG.LIBREOFFICE.FORECAST.ETS.STAT.MULT({48.99;49;48.99;49;49;48.99;49;49;48.99;48.99;48.99;49;49},{4.5;1;2;5;3.5;4;7;3;1.5;2.5;6.5;6;5.5},{4;7},6,0)</f>
        <v>0.756242700320699</v>
      </c>
      <c r="B27690" s="0" t="s">
        <v>27510</v>
      </c>
    </row>
    <row r="27691" customFormat="false" ht="15" hidden="false" customHeight="false" outlineLevel="0" collapsed="false">
      <c r="A27691" s="0" t="n">
        <f aca="false">_xlfn.FORECAST.ETS.SEASONALITY({48.99;49;48.99;49;49;48.99;49;49;48.99;48.99;48.99;49;49},{4.5;1;2;5;3.5;4;7;3;1.5;2.5;6.5;6;5.5},0,4)</f>
        <v>4</v>
      </c>
      <c r="B27691" s="0" t="s">
        <v>27511</v>
      </c>
    </row>
    <row r="27692" customFormat="false" ht="15" hidden="false" customHeight="false" outlineLevel="0" collapsed="false">
      <c r="A27692" s="0" t="n">
        <f aca="false">_xlfn.FORECAST.ETS({68,73,73},{15;15;15;15.16;15.2;15.2;15;15.2;15;15.2;15.16;15.2},{3;8;13;18;23;28;38;43;48;53;58;63},1)</f>
        <v>15.1868369627766</v>
      </c>
      <c r="B27692" s="0" t="s">
        <v>27512</v>
      </c>
    </row>
    <row r="27693" customFormat="false" ht="15" hidden="false" customHeight="false" outlineLevel="0" collapsed="false">
      <c r="A27693" s="0" t="n">
        <f aca="false">_xlfn.FORECAST.ETS.STAT({15;15;15;15.16;15.2;15.2;15;15.2;15;15.2;15.16;15.2},{3;8;13;18;23;28;38;43;48;53;58;63},{6;7;4;5;3;9;8;1;2},1)</f>
        <v>0.0846542108473979</v>
      </c>
      <c r="B27693" s="0" t="s">
        <v>27513</v>
      </c>
    </row>
    <row r="27694" customFormat="false" ht="15" hidden="false" customHeight="false" outlineLevel="0" collapsed="false">
      <c r="A27694" s="0" t="n">
        <f aca="false">_xlfn.FORECAST.ETS.SEASONALITY({15;15;15;15.16;15.2;15.2;15;15.2;15;15.2;15.16;15.2},{3;8;13;18;23;28;38;43;48;53;58;63},1)</f>
        <v>2</v>
      </c>
      <c r="B27694" s="0" t="s">
        <v>27514</v>
      </c>
    </row>
    <row r="27695" customFormat="false" ht="15" hidden="false" customHeight="false" outlineLevel="0" collapsed="false">
      <c r="A27695" s="0" t="e">
        <f aca="false">_xlfn.FORECAST.ETS({24,22},{24;25.8;28.2;31.37;31.45;34;34.75;37.33;40.34;42.7},{3;5;7;9;11;13;15;17;19;21},6)</f>
        <v>#VALUE!</v>
      </c>
      <c r="B27695" s="0" t="s">
        <v>27515</v>
      </c>
    </row>
    <row r="27696" customFormat="false" ht="15" hidden="false" customHeight="false" outlineLevel="0" collapsed="false">
      <c r="A27696" s="0" t="e">
        <f aca="false">_xlfn.ORG.LIBREOFFICE.FORECAST.ETS.STAT.MULT({24;25.8;28.2;31.37;31.45;34;34.75;37.33;40.34;42.7},{3;5;7;9;11;13;15;17;19;21},{9;2},6)</f>
        <v>#VALUE!</v>
      </c>
      <c r="B27696" s="0" t="s">
        <v>27516</v>
      </c>
    </row>
    <row r="27697" customFormat="false" ht="15" hidden="false" customHeight="false" outlineLevel="0" collapsed="false">
      <c r="A27697" s="0" t="n">
        <f aca="false">_xlfn.FORECAST.ETS.SEASONALITY({24;25.8;28.2;31.37;31.45;34;34.75;37.33;40.34;42.7},{3;5;7;9;11;13;15;17;19;21},0)</f>
        <v>5</v>
      </c>
      <c r="B27697" s="0" t="s">
        <v>27517</v>
      </c>
    </row>
    <row r="27698" customFormat="false" ht="15" hidden="false" customHeight="false" outlineLevel="0" collapsed="false">
      <c r="A27698" s="0" t="n">
        <f aca="false">_xlfn.FORECAST.ETS.CONFINT(23,{24;25.8;28.2;31.37;31.45;34;34.75;37.33;40.34;42.7},{3;5;7;9;11;13;15;17;19;21},0,0)</f>
        <v>0</v>
      </c>
      <c r="B27698" s="0" t="s">
        <v>27518</v>
      </c>
    </row>
    <row r="27699" customFormat="false" ht="15" hidden="false" customHeight="false" outlineLevel="0" collapsed="false">
      <c r="A27699" s="0" t="n">
        <f aca="false">_xlfn.FORECAST.ETS({173},{47.7;47.1;52;38.14;55.27;71.85;68.3;71.98;52.8;75;95;90.59;95.2;65;92.4},{3;13;23;33;43;53;63;73;83;93;103;113;123;133;143},1,1,5)</f>
        <v>115.144</v>
      </c>
      <c r="B27699" s="0" t="s">
        <v>27519</v>
      </c>
    </row>
    <row r="27700" customFormat="false" ht="15" hidden="false" customHeight="false" outlineLevel="0" collapsed="false">
      <c r="A27700" s="0" t="n">
        <f aca="false">_xlfn.ORG.LIBREOFFICE.FORECAST.ETS.STAT.MULT({47.7;47.1;52;38.14;55.27;71.85;68.3;71.98;52.8;75;95;90.59;95.2;65;92.4},{3;13;23;33;43;53;63;73;83;93;103;113;123;133;143},{4;3},1,1,5)</f>
        <v>0.0384123827371021</v>
      </c>
      <c r="B27700" s="0" t="s">
        <v>27520</v>
      </c>
    </row>
    <row r="27701" customFormat="false" ht="15" hidden="false" customHeight="false" outlineLevel="0" collapsed="false">
      <c r="A27701" s="0" t="n">
        <f aca="false">_xlfn.FORECAST.ETS.SEASONALITY({47.7;47.1;52;38.14;55.27;71.85;68.3;71.98;52.8;75;95;90.59;95.2;65;92.4},{3;13;23;33;43;53;63;73;83;93;103;113;123;133;143})</f>
        <v>5</v>
      </c>
      <c r="B27701" s="0" t="s">
        <v>27521</v>
      </c>
    </row>
    <row r="27702" customFormat="false" ht="15" hidden="false" customHeight="false" outlineLevel="0" collapsed="false">
      <c r="A27702" s="0" t="e">
        <f aca="false">_xlfn.ORG.LIBREOFFICE.FORECAST.ETS.MULT(45137,{27;21.6;33.1;27.59;34.51;36;50;44.01;54.1;49.53;56.1;60},{44742;44773;44804;44834;44865;44895;44926;44957;44985;45016;45046;45077},6,0,1)</f>
        <v>#VALUE!</v>
      </c>
      <c r="B27702" s="0" t="s">
        <v>27522</v>
      </c>
    </row>
    <row r="27703" customFormat="false" ht="15" hidden="false" customHeight="false" outlineLevel="0" collapsed="false">
      <c r="A27703" s="0" t="e">
        <f aca="false">_xlfn.ORG.LIBREOFFICE.FORECAST.ETS.STAT.MULT({27;21.6;33.1;27.59;34.51;36;50;44.01;54.1;49.53;56.1;60},{44742;44773;44804;44834;44865;44895;44926;44957;44985;45016;45046;45077},{3},6,0,1)</f>
        <v>#VALUE!</v>
      </c>
      <c r="B27703" s="0" t="s">
        <v>27523</v>
      </c>
    </row>
    <row r="27704" customFormat="false" ht="15" hidden="false" customHeight="false" outlineLevel="0" collapsed="false">
      <c r="A27704" s="0" t="e">
        <f aca="false">_xlfn.FORECAST.ETS.SEASONALITY({27;21.6;33.1;27.59;34.51;36;50;44.01;54.1;49.53;56.1;60},{44742;44773;44804;44834;44865;44895;44926;44957;44985;45016;45046;45077},1)</f>
        <v>#VALUE!</v>
      </c>
      <c r="B27704" s="0" t="s">
        <v>27524</v>
      </c>
    </row>
    <row r="27705" customFormat="false" ht="15" hidden="false" customHeight="false" outlineLevel="0" collapsed="false">
      <c r="A27705" s="0" t="n">
        <f aca="false">_xlfn.FORECAST.ETS({7.5},{49.86;52;30;29;51.8;52.5;52.3;28.3;28.26;31},{5.5;2.5;5;2;1.5;3.5;4.5;3;4;1})</f>
        <v>51.3430974106428</v>
      </c>
      <c r="B27705" s="0" t="s">
        <v>27525</v>
      </c>
    </row>
    <row r="27706" customFormat="false" ht="15" hidden="false" customHeight="false" outlineLevel="0" collapsed="false">
      <c r="A27706" s="0" t="n">
        <f aca="false">_xlfn.FORECAST.ETS.STAT({49.86;52;30;29;51.8;52.5;52.3;28.3;28.26;31},{5.5;2.5;5;2;1.5;3.5;4.5;3;4;1},{2;5;4;8;6;1;3;7;9})</f>
        <v>0.5869140625</v>
      </c>
      <c r="B27706" s="0" t="s">
        <v>27526</v>
      </c>
    </row>
    <row r="27707" customFormat="false" ht="15" hidden="false" customHeight="false" outlineLevel="0" collapsed="false">
      <c r="A27707" s="0" t="n">
        <f aca="false">_xlfn.FORECAST.ETS.SEASONALITY({49.86;52;30;29;51.8;52.5;52.3;28.3;28.26;31},{5.5;2.5;5;2;1.5;3.5;4.5;3;4;1},1,6)</f>
        <v>2</v>
      </c>
      <c r="B27707" s="0" t="s">
        <v>27527</v>
      </c>
    </row>
    <row r="27708" customFormat="false" ht="15" hidden="false" customHeight="false" outlineLevel="0" collapsed="false">
      <c r="A27708" s="0" t="n">
        <f aca="false">_xlfn.ORG.LIBREOFFICE.FORECAST.ETS.PI.MULT({6;6.5;7},{49.86;52;30;29;51.8;52.5;52.3;28.3;28.26;31},{5.5;2.5;5;2;1.5;3.5;4.5;3;4;1},0.9,0,1,5)</f>
        <v>20.827731373257</v>
      </c>
      <c r="B27708" s="0" t="s">
        <v>27528</v>
      </c>
    </row>
    <row r="27709" customFormat="false" ht="15" hidden="false" customHeight="false" outlineLevel="0" collapsed="false">
      <c r="A27709" s="0" t="n">
        <f aca="false">_xlfn.ORG.LIBREOFFICE.FORECAST.ETS.MULT({45195,45195},{23.82;32;26;36;34.6;41.77;37;46;45.38;52.7;48.43;58.5},{44801;44832;44862;44893;44923;44954;44985;45013;45044;45074;45105;45135},0,0)</f>
        <v>64.5952727272758</v>
      </c>
      <c r="B27709" s="0" t="s">
        <v>27529</v>
      </c>
    </row>
    <row r="27710" customFormat="false" ht="15" hidden="false" customHeight="false" outlineLevel="0" collapsed="false">
      <c r="A27710" s="0" t="n">
        <f aca="false">_xlfn.FORECAST.ETS.STAT({23.82;32;26;36;34.6;41.77;37;46;45.38;52.7;48.43;58.5},{44801;44832;44862;44893;44923;44954;44985;45013;45044;45074;45105;45135},{3},0,0)</f>
        <v>0</v>
      </c>
      <c r="B27710" s="0" t="s">
        <v>27530</v>
      </c>
    </row>
    <row r="27711" customFormat="false" ht="15" hidden="false" customHeight="false" outlineLevel="0" collapsed="false">
      <c r="A27711" s="0" t="n">
        <f aca="false">_xlfn.FORECAST.ETS.SEASONALITY({23.82;32;26;36;34.6;41.77;37;46;45.38;52.7;48.43;58.5},{44801;44832;44862;44893;44923;44954;44985;45013;45044;45074;45105;45135},1,7)</f>
        <v>4</v>
      </c>
      <c r="B27711" s="0" t="s">
        <v>27531</v>
      </c>
    </row>
    <row r="27712" customFormat="false" ht="15" hidden="false" customHeight="false" outlineLevel="0" collapsed="false">
      <c r="A27712" s="0" t="n">
        <f aca="false">_xlfn.ORG.LIBREOFFICE.FORECAST.ETS.MULT({45025;45022.5;45022.5},{48;11;61.6;45;68.3;85.04;14.8;16.15;80.39;62;1;85.27;21;23.5;79;71;31.81;21.56;51.2;30.7;16.4;39;48.1},{45000;45001;45002;45003;45004;45005;45006;45007;45008;45009;45010;45011;45012;45012;45013;45014;45015;45016;45017;45018;45019;45020;45021},0,,2)</f>
        <v>45.8246155203752</v>
      </c>
      <c r="B27712" s="0" t="s">
        <v>27532</v>
      </c>
    </row>
    <row r="27713" customFormat="false" ht="15" hidden="false" customHeight="false" outlineLevel="0" collapsed="false">
      <c r="A27713" s="0" t="n">
        <f aca="false">_xlfn.FORECAST.ETS.STAT({48;11;61.6;45;68.3;85.04;14.8;16.15;80.39;62;1;85.27;21;23.5;79;71;31.81;21.56;51.2;30.7;16.4;39;48.1},{45000;45001;45002;45003;45004;45005;45006;45007;45008;45009;45010;45011;45012;45012;45013;45014;45015;45016;45017;45018;45019;45020;45021},{7;3;5;1;8;9;4;6;2},0,,2)</f>
        <v>27.8191933054962</v>
      </c>
      <c r="B27713" s="0" t="s">
        <v>27533</v>
      </c>
    </row>
    <row r="27714" customFormat="false" ht="15" hidden="false" customHeight="false" outlineLevel="0" collapsed="false">
      <c r="A27714" s="0" t="n">
        <f aca="false">_xlfn.FORECAST.ETS.SEASONALITY({48;11;61.6;45;68.3;85.04;14.8;16.15;80.39;62;1;85.27;21;23.5;79;71;31.81;21.56;51.2;30.7;16.4;39;48.1},{45000;45001;45002;45003;45004;45005;45006;45007;45008;45009;45010;45011;45012;45012;45013;45014;45015;45016;45017;45018;45019;45020;45021},1,5)</f>
        <v>9</v>
      </c>
      <c r="B27714" s="0" t="s">
        <v>27534</v>
      </c>
    </row>
    <row r="27715" customFormat="false" ht="15" hidden="false" customHeight="false" outlineLevel="0" collapsed="false">
      <c r="A27715" s="0" t="n">
        <f aca="false">_xlfn.ORG.LIBREOFFICE.FORECAST.ETS.MULT({14,10.5},{48.35;45.12;50;47.87;53;48.1;54.43;53.49;57;54},{1;2;3;4;5;6;7;8;9;10},2)</f>
        <v>57.6462141723607</v>
      </c>
      <c r="B27715" s="0" t="s">
        <v>27535</v>
      </c>
    </row>
    <row r="27716" customFormat="false" ht="15" hidden="false" customHeight="false" outlineLevel="0" collapsed="false">
      <c r="A27716" s="0" t="n">
        <f aca="false">_xlfn.FORECAST.ETS.STAT({48.35;45.12;50;47.87;53;48.1;54.43;53.49;57;54},{1;2;3;4;5;6;7;8;9;10},{3},2)</f>
        <v>0</v>
      </c>
      <c r="B27716" s="0" t="s">
        <v>27536</v>
      </c>
    </row>
    <row r="27717" customFormat="false" ht="15" hidden="false" customHeight="false" outlineLevel="0" collapsed="false">
      <c r="A27717" s="0" t="n">
        <f aca="false">_xlfn.FORECAST.ETS.SEASONALITY({48.35;45.12;50;47.87;53;48.1;54.43;53.49;57;54},{1;2;3;4;5;6;7;8;9;10},0,4)</f>
        <v>4</v>
      </c>
      <c r="B27717" s="0" t="s">
        <v>27537</v>
      </c>
    </row>
    <row r="27718" customFormat="false" ht="15" hidden="false" customHeight="false" outlineLevel="0" collapsed="false">
      <c r="A27718" s="0" t="n">
        <f aca="false">_xlfn.FORECAST.ETS({23},{93.7;70;20;22.07;10.08;49.53;10;9.8;23.5;29;94;46.2;86;66;82.84;45.6;91;6;41.65},{1;2;3;4;5;6;7;9;10;11;12;13;14;15;16;17;18;19;20},0,,1)</f>
        <v>29.3616014387967</v>
      </c>
      <c r="B27718" s="0" t="s">
        <v>27538</v>
      </c>
    </row>
    <row r="27719" customFormat="false" ht="15" hidden="false" customHeight="false" outlineLevel="0" collapsed="false">
      <c r="A27719" s="0" t="n">
        <f aca="false">_xlfn.FORECAST.ETS.STAT({93.7;70;20;22.07;10.08;49.53;10;9.8;23.5;29;94;46.2;86;66;82.84;45.6;91;6;41.65},{1;2;3;4;5;6;7;9;10;11;12;13;14;15;16;17;18;19;20},{9;7;6;3;2;1;4;8;5},0,,1)</f>
        <v>0</v>
      </c>
      <c r="B27719" s="0" t="s">
        <v>27539</v>
      </c>
    </row>
    <row r="27720" customFormat="false" ht="15" hidden="false" customHeight="false" outlineLevel="0" collapsed="false">
      <c r="A27720" s="0" t="n">
        <f aca="false">_xlfn.FORECAST.ETS.SEASONALITY({93.7;70;20;22.07;10.08;49.53;10;9.8;23.5;29;94;46.2;86;66;82.84;45.6;91;6;41.65},{1;2;3;4;5;6;7;9;10;11;12;13;14;15;16;17;18;19;20},1)</f>
        <v>6</v>
      </c>
      <c r="B27720" s="0" t="s">
        <v>27540</v>
      </c>
    </row>
    <row r="27721" customFormat="false" ht="15" hidden="false" customHeight="false" outlineLevel="0" collapsed="false">
      <c r="A27721" s="0" t="n">
        <f aca="false">_xlfn.FORECAST.ETS.CONFINT(21,{93.7;70;20;22.07;10.08;49.53;10;9.8;23.5;29;94;46.2;86;66;82.84;45.6;91;6;41.65},{1;2;3;4;5;6;7;9;10;11;12;13;14;15;16;17;18;19;20},0.95,0,1,4)</f>
        <v>64.356456877694</v>
      </c>
      <c r="B27721" s="0" t="s">
        <v>27541</v>
      </c>
    </row>
    <row r="27722" customFormat="false" ht="15" hidden="false" customHeight="false" outlineLevel="0" collapsed="false">
      <c r="A27722" s="0" t="n">
        <f aca="false">_xlfn.FORECAST.ETS(45365,{24;19;25.8;31;31;34.75;26.94;35.6;43.4;44.7;47;36;45;56;55;59.7;45;58;67;66.22},{44770;44801;44832;44862;44893;44923;44954;44985;45013;45044;45074;45105;45135;45166;45197;45227;45258;45288;45319;45350},5,,4)</f>
        <v>68.4954193548321</v>
      </c>
      <c r="B27722" s="0" t="s">
        <v>27542</v>
      </c>
    </row>
    <row r="27723" customFormat="false" ht="15" hidden="false" customHeight="false" outlineLevel="0" collapsed="false">
      <c r="A27723" s="0" t="n">
        <f aca="false">_xlfn.FORECAST.ETS.STAT({24;19;25.8;31;31;34.75;26.94;35.6;43.4;44.7;47;36;45;56;55;59.7;45;58;67;66.22},{44770;44801;44832;44862;44893;44923;44954;44985;45013;45044;45074;45105;45135;45166;45197;45227;45258;45288;45319;45350},{8;2;9;4;7;5;3;1;6},5,,4)</f>
        <v>1</v>
      </c>
      <c r="B27723" s="0" t="s">
        <v>27543</v>
      </c>
    </row>
    <row r="27724" customFormat="false" ht="15" hidden="false" customHeight="false" outlineLevel="0" collapsed="false">
      <c r="A27724" s="0" t="n">
        <f aca="false">_xlfn.FORECAST.ETS.SEASONALITY({24;19;25.8;31;31;34.75;26.94;35.6;43.4;44.7;47;36;45;56;55;59.7;45;58;67;66.22},{44770;44801;44832;44862;44893;44923;44954;44985;45013;45044;45074;45105;45135;45166;45197;45227;45258;45288;45319;45350},0,4)</f>
        <v>5</v>
      </c>
      <c r="B27724" s="0" t="s">
        <v>27544</v>
      </c>
    </row>
    <row r="27725" customFormat="false" ht="15" hidden="false" customHeight="false" outlineLevel="0" collapsed="false">
      <c r="A27725" s="0" t="e">
        <f aca="false">_xlfn.ORG.LIBREOFFICE.FORECAST.ETS.MULT({45166;45136;45166},{5.8;5.83;5.83;6;5.8;6;6;5.8;6;5.8},{44773;44804;44834;44865;44895;44926;44957;44985;45016;45046},1,0,1)</f>
        <v>#VALUE!</v>
      </c>
      <c r="B27725" s="0" t="s">
        <v>27545</v>
      </c>
    </row>
    <row r="27726" customFormat="false" ht="15" hidden="false" customHeight="false" outlineLevel="0" collapsed="false">
      <c r="A27726" s="0" t="e">
        <f aca="false">_xlfn.FORECAST.ETS.STAT({5.8;5.83;5.83;6;5.8;6;6;5.8;6;5.8},{44773;44804;44834;44865;44895;44926;44957;44985;45016;45046},{9;4;5;6;7;2;8;3;1},1,0,1)</f>
        <v>#VALUE!</v>
      </c>
      <c r="B27726" s="0" t="s">
        <v>27546</v>
      </c>
    </row>
    <row r="27727" customFormat="false" ht="15" hidden="false" customHeight="false" outlineLevel="0" collapsed="false">
      <c r="A27727" s="0" t="e">
        <f aca="false">_xlfn.FORECAST.ETS.SEASONALITY({5.8;5.83;5.83;6;5.8;6;6;5.8;6;5.8},{44773;44804;44834;44865;44895;44926;44957;44985;45016;45046},0)</f>
        <v>#VALUE!</v>
      </c>
      <c r="B27727" s="0" t="s">
        <v>27547</v>
      </c>
    </row>
    <row r="27728" customFormat="false" ht="15" hidden="false" customHeight="false" outlineLevel="0" collapsed="false">
      <c r="A27728" s="0" t="e">
        <f aca="false">_xlfn.FORECAST.ETS({45168;45153},{22.57;25;25.85;28;29.76;32;35;36;38;41;43;44.97},{44804;44834;44865;44895;44926;44957;44985;45016;45046;45077;45107;45138},4)</f>
        <v>#VALUE!</v>
      </c>
      <c r="B27728" s="0" t="s">
        <v>27548</v>
      </c>
    </row>
    <row r="27729" customFormat="false" ht="15" hidden="false" customHeight="false" outlineLevel="0" collapsed="false">
      <c r="A27729" s="0" t="e">
        <f aca="false">_xlfn.ORG.LIBREOFFICE.FORECAST.ETS.STAT.MULT({22.57;25;25.85;28;29.76;32;35;36;38;41;43;44.97},{44804;44834;44865;44895;44926;44957;44985;45016;45046;45077;45107;45138},{6},4)</f>
        <v>#VALUE!</v>
      </c>
      <c r="B27729" s="0" t="s">
        <v>27549</v>
      </c>
    </row>
    <row r="27730" customFormat="false" ht="15" hidden="false" customHeight="false" outlineLevel="0" collapsed="false">
      <c r="A27730" s="0" t="e">
        <f aca="false">_xlfn.FORECAST.ETS.SEASONALITY({22.57;25;25.85;28;29.76;32;35;36;38;41;43;44.97},{44804;44834;44865;44895;44926;44957;44985;45016;45046;45077;45107;45138})</f>
        <v>#VALUE!</v>
      </c>
      <c r="B27730" s="0" t="s">
        <v>27550</v>
      </c>
    </row>
    <row r="27731" customFormat="false" ht="15" hidden="false" customHeight="false" outlineLevel="0" collapsed="false">
      <c r="A27731" s="0" t="n">
        <f aca="false">_xlfn.FORECAST.ETS({111.5,115},{65.25;41.62;77.2;69;21;24.64;51.56;30.73;47.51;59;34.97;55;18;37;71.3},{80;45;101;87;10;17;59;24;52;73;31;66;3;38;94},0,,2)</f>
        <v>83.0593541327332</v>
      </c>
      <c r="B27731" s="0" t="s">
        <v>27551</v>
      </c>
    </row>
    <row r="27732" customFormat="false" ht="15" hidden="false" customHeight="false" outlineLevel="0" collapsed="false">
      <c r="A27732" s="0" t="n">
        <f aca="false">_xlfn.FORECAST.ETS.STAT({65.25;41.62;77.2;69;21;24.64;51.56;30.73;47.51;59;34.97;55;18;37;71.3},{80;45;101;87;10;17;59;24;52;73;31;66;3;38;94},{5;9;4;2;3;7;8;6;1},0,,2)</f>
        <v>0.0239918464635777</v>
      </c>
      <c r="B27732" s="0" t="s">
        <v>27552</v>
      </c>
    </row>
    <row r="27733" customFormat="false" ht="15" hidden="false" customHeight="false" outlineLevel="0" collapsed="false">
      <c r="A27733" s="0" t="n">
        <f aca="false">_xlfn.FORECAST.ETS.SEASONALITY({65.25;41.62;77.2;69;21;24.64;51.56;30.73;47.51;59;34.97;55;18;37;71.3},{80;45;101;87;10;17;59;24;52;73;31;66;3;38;94},1,7)</f>
        <v>4</v>
      </c>
      <c r="B27733" s="0" t="s">
        <v>27553</v>
      </c>
    </row>
    <row r="27734" customFormat="false" ht="15" hidden="false" customHeight="false" outlineLevel="0" collapsed="false">
      <c r="A27734" s="0" t="n">
        <f aca="false">_xlfn.FORECAST.ETS({8},{36.22;36.2;36.22;36.22;36.22;36;6.1;36.2},{1;2;3;4;5;6;6;7},2)</f>
        <v>36.1873640739544</v>
      </c>
      <c r="B27734" s="0" t="s">
        <v>27554</v>
      </c>
    </row>
    <row r="27735" customFormat="false" ht="15" hidden="false" customHeight="false" outlineLevel="0" collapsed="false">
      <c r="A27735" s="0" t="n">
        <f aca="false">_xlfn.FORECAST.ETS.STAT({36.22;36.2;36.22;36.22;36.22;36;6.1;36.2},{1;2;3;4;5;6;6;7},{2;7;8;6;4;1;9;5;3},2)</f>
        <v>0</v>
      </c>
      <c r="B27735" s="0" t="s">
        <v>27555</v>
      </c>
    </row>
    <row r="27736" customFormat="false" ht="15" hidden="false" customHeight="false" outlineLevel="0" collapsed="false">
      <c r="A27736" s="0" t="n">
        <f aca="false">_xlfn.FORECAST.ETS.SEASONALITY({36.22;36.2;36.22;36.22;36.22;36;6.1;36.2},{1;2;3;4;5;6;6;7},1,2)</f>
        <v>1</v>
      </c>
      <c r="B27736" s="0" t="s">
        <v>27556</v>
      </c>
    </row>
    <row r="27737" customFormat="false" ht="15" hidden="false" customHeight="false" outlineLevel="0" collapsed="false">
      <c r="A27737" s="0" t="n">
        <f aca="false">_xlfn.FORECAST.ETS(45008.5,{11.85;10.7;7.22;6.7;5.55;3.6;0.8;-2.2;8.2;-3;-5.21;-9;-10},{45000;45001;45002;45003;45004;45005;45006;45007;45007;45008;45009;45010;45011},0,,6)</f>
        <v>-4.15901369961825</v>
      </c>
      <c r="B27737" s="0" t="s">
        <v>27557</v>
      </c>
    </row>
    <row r="27738" customFormat="false" ht="15" hidden="false" customHeight="false" outlineLevel="0" collapsed="false">
      <c r="A27738" s="0" t="n">
        <f aca="false">_xlfn.FORECAST.ETS.STAT({11.85;10.7;7.22;6.7;5.55;3.6;0.8;-2.2;8.2;-3;-5.21;-9;-10},{45000;45001;45002;45003;45004;45005;45006;45007;45007;45008;45009;45010;45011},{8;1},0,,6)</f>
        <v>1</v>
      </c>
      <c r="B27738" s="0" t="s">
        <v>27558</v>
      </c>
    </row>
    <row r="27739" customFormat="false" ht="15" hidden="false" customHeight="false" outlineLevel="0" collapsed="false">
      <c r="A27739" s="0" t="n">
        <f aca="false">_xlfn.FORECAST.ETS.SEASONALITY({11.85;10.7;7.22;6.7;5.55;3.6;0.8;-2.2;8.2;-3;-5.21;-9;-10},{45000;45001;45002;45003;45004;45005;45006;45007;45007;45008;45009;45010;45011})</f>
        <v>3</v>
      </c>
      <c r="B27739" s="0" t="s">
        <v>27559</v>
      </c>
    </row>
    <row r="27740" customFormat="false" ht="15" hidden="false" customHeight="false" outlineLevel="0" collapsed="false">
      <c r="A27740" s="0" t="n">
        <f aca="false">_xlfn.FORECAST.ETS({192},{28;17;11;3.4;83.9;65.54;52.8;82;56;59;81;14.4;63.5;70;4.19;26.33;56.81;2.85;28.1;77.9;89;52.9;27;93},{3;10;17;24;31;38;45;52;59;66;73;80;87;94;101;108;115;122;129;136;143;150;157;164},1,,5)</f>
        <v>66.322410662759</v>
      </c>
      <c r="B27740" s="0" t="s">
        <v>27560</v>
      </c>
    </row>
    <row r="27741" customFormat="false" ht="15" hidden="false" customHeight="false" outlineLevel="0" collapsed="false">
      <c r="A27741" s="0" t="n">
        <f aca="false">_xlfn.ORG.LIBREOFFICE.FORECAST.ETS.STAT.MULT({28;17;11;3.4;83.9;65.54;52.8;82;56;59;81;14.4;63.5;70;4.19;26.33;56.81;2.85;28.1;77.9;89;52.9;27;93},{3;10;17;24;31;38;45;52;59;66;73;80;87;94;101;108;115;122;129;136;143;150;157;164},{4;6;3;1;2;9;7;8;5},1,,5)</f>
        <v>0.963137330395521</v>
      </c>
      <c r="B27741" s="0" t="s">
        <v>27561</v>
      </c>
    </row>
    <row r="27742" customFormat="false" ht="15" hidden="false" customHeight="false" outlineLevel="0" collapsed="false">
      <c r="A27742" s="0" t="n">
        <f aca="false">_xlfn.FORECAST.ETS.SEASONALITY({28;17;11;3.4;83.9;65.54;52.8;82;56;59;81;14.4;63.5;70;4.19;26.33;56.81;2.85;28.1;77.9;89;52.9;27;93},{3;10;17;24;31;38;45;52;59;66;73;80;87;94;101;108;115;122;129;136;143;150;157;164},0)</f>
        <v>3</v>
      </c>
      <c r="B27742" s="0" t="s">
        <v>27562</v>
      </c>
    </row>
    <row r="27743" customFormat="false" ht="15" hidden="false" customHeight="false" outlineLevel="0" collapsed="false">
      <c r="A27743" s="0" t="n">
        <f aca="false">_xlfn.ORG.LIBREOFFICE.FORECAST.ETS.PI.MULT(185,{28;17;11;3.4;83.9;65.54;52.8;82;56;59;81;14.4;63.5;70;4.19;26.33;56.81;2.85;28.1;77.9;89;52.9;27;93},{3;10;17;24;31;38;45;52;59;66;73;80;87;94;101;108;115;122;129;136;143;150;157;164},0,0,0)</f>
        <v>0</v>
      </c>
      <c r="B27743" s="0" t="s">
        <v>27563</v>
      </c>
    </row>
    <row r="27744" customFormat="false" ht="15" hidden="false" customHeight="false" outlineLevel="0" collapsed="false">
      <c r="A27744" s="0" t="n">
        <f aca="false">_xlfn.ORG.LIBREOFFICE.FORECAST.ETS.MULT({45413;45413},{46;43;43.17;41;38.5;35.8;33.9;31.9;29.6;29.1;26.9;23;21;20;19.44},{44896;44927;44958;44986;45017;45047;45078;45108;45139;45170;45200;45231;45261;45292;45323},1,,7)</f>
        <v>12.1918070831775</v>
      </c>
      <c r="B27744" s="0" t="s">
        <v>27564</v>
      </c>
    </row>
    <row r="27745" customFormat="false" ht="15" hidden="false" customHeight="false" outlineLevel="0" collapsed="false">
      <c r="A27745" s="0" t="n">
        <f aca="false">_xlfn.ORG.LIBREOFFICE.FORECAST.ETS.STAT.MULT({46;43;43.17;41;38.5;35.8;33.9;31.9;29.6;29.1;26.9;23;21;20;19.44},{44896;44927;44958;44986;45017;45047;45078;45108;45139;45170;45200;45231;45261;45292;45323},{6;7;2;1;9;4;3;8;5},1,,7)</f>
        <v>0.382931043911218</v>
      </c>
      <c r="B27745" s="0" t="s">
        <v>27565</v>
      </c>
    </row>
    <row r="27746" customFormat="false" ht="15" hidden="false" customHeight="false" outlineLevel="0" collapsed="false">
      <c r="A27746" s="0" t="n">
        <f aca="false">_xlfn.FORECAST.ETS.SEASONALITY({46;43;43.17;41;38.5;35.8;33.9;31.9;29.6;29.1;26.9;23;21;20;19.44},{44896;44927;44958;44986;45017;45047;45078;45108;45139;45170;45200;45231;45261;45292;45323},1,6)</f>
        <v>7</v>
      </c>
      <c r="B27746" s="0" t="s">
        <v>27566</v>
      </c>
    </row>
    <row r="27747" customFormat="false" ht="15" hidden="false" customHeight="false" outlineLevel="0" collapsed="false">
      <c r="A27747" s="0" t="n">
        <f aca="false">_xlfn.FORECAST.ETS({129,122},{15;15.1;15;15.13;15.1;15.1;15.13;15.1;15.1;15.1;15.1;15.13;15.13;15;15;15.13},{66;31;45;24;73;94;52;101;10;108;87;38;80;59;3;17},1,1,2)</f>
        <v>15.1075</v>
      </c>
      <c r="B27747" s="0" t="s">
        <v>27567</v>
      </c>
    </row>
    <row r="27748" customFormat="false" ht="15" hidden="false" customHeight="false" outlineLevel="0" collapsed="false">
      <c r="A27748" s="0" t="n">
        <f aca="false">_xlfn.FORECAST.ETS.STAT({15;15.1;15;15.13;15.1;15.1;15.13;15.1;15.1;15.1;15.1;15.13;15.13;15;15;15.13},{66;31;45;24;73;94;52;101;10;108;87;38;80;59;3;17},{3;6},1,1,2)</f>
        <v>0</v>
      </c>
      <c r="B27748" s="0" t="s">
        <v>27568</v>
      </c>
    </row>
    <row r="27749" customFormat="false" ht="15" hidden="false" customHeight="false" outlineLevel="0" collapsed="false">
      <c r="A27749" s="0" t="n">
        <f aca="false">_xlfn.FORECAST.ETS.SEASONALITY({15;15.1;15;15.13;15.1;15.1;15.13;15.1;15.1;15.1;15.1;15.13;15.13;15;15;15.13},{66;31;45;24;73;94;52;101;10;108;87;38;80;59;3;17},1)</f>
        <v>8</v>
      </c>
      <c r="B27749" s="0" t="s">
        <v>27569</v>
      </c>
    </row>
    <row r="27750" customFormat="false" ht="15" hidden="false" customHeight="false" outlineLevel="0" collapsed="false">
      <c r="A27750" s="0" t="n">
        <f aca="false">_xlfn.ORG.LIBREOFFICE.FORECAST.ETS.MULT({38,37},{43.7;37.61;46;50.46;46.4;43.01;47.68;52;47;56;60.2;58.7;53;57;62.57;58;68.46;70;67.3;62.53;67.08;74.42;68.7;77.6;79.83;78.3;74;77.6;83;78.04;86;89;89;83;87},{1;2;3;4;5;6;7;8;9;10;11;12;13;14;15;16;17;18;19;20;21;22;23;24;25;26;27;28;29;30;31;32;33;34;35},0,1)</f>
        <v>90.8205882352942</v>
      </c>
      <c r="B27750" s="0" t="s">
        <v>27570</v>
      </c>
    </row>
    <row r="27751" customFormat="false" ht="15" hidden="false" customHeight="false" outlineLevel="0" collapsed="false">
      <c r="A27751" s="0" t="n">
        <f aca="false">_xlfn.ORG.LIBREOFFICE.FORECAST.ETS.STAT.MULT({43.7;37.61;46;50.46;46.4;43.01;47.68;52;47;56;60.2;58.7;53;57;62.57;58;68.46;70;67.3;62.53;67.08;74.42;68.7;77.6;79.83;78.3;74;77.6;83;78.04;86;89;89;83;87},{1;2;3;4;5;6;7;8;9;10;11;12;13;14;15;16;17;18;19;20;21;22;23;24;25;26;27;28;29;30;31;32;33;34;35},{1;9;4;8;2;3;7;6;5},0,1)</f>
        <v>0</v>
      </c>
      <c r="B27751" s="0" t="s">
        <v>27571</v>
      </c>
    </row>
    <row r="27752" customFormat="false" ht="15" hidden="false" customHeight="false" outlineLevel="0" collapsed="false">
      <c r="A27752" s="0" t="n">
        <f aca="false">_xlfn.FORECAST.ETS.SEASONALITY({43.7;37.61;46;50.46;46.4;43.01;47.68;52;47;56;60.2;58.7;53;57;62.57;58;68.46;70;67.3;62.53;67.08;74.42;68.7;77.6;79.83;78.3;74;77.6;83;78.04;86;89;89;83;87},{1;2;3;4;5;6;7;8;9;10;11;12;13;14;15;16;17;18;19;20;21;22;23;24;25;26;27;28;29;30;31;32;33;34;35})</f>
        <v>14</v>
      </c>
      <c r="B27752" s="0" t="s">
        <v>27572</v>
      </c>
    </row>
    <row r="27753" customFormat="false" ht="15" hidden="false" customHeight="false" outlineLevel="0" collapsed="false">
      <c r="A27753" s="0" t="n">
        <f aca="false">_xlfn.ORG.LIBREOFFICE.FORECAST.ETS.MULT({22,22.5},{32;31.99;31.99;32;32;31.99;31.99;31.99;31.99;32;32;31.99;32;31.99;31.99;32;32;32;32;32},{1;2;3;4;5;6;7;8;9;10;12;13;14;15;16;17;18;19;20;21},1,,6)</f>
        <v>31.9971418683691</v>
      </c>
      <c r="B27753" s="0" t="s">
        <v>27573</v>
      </c>
    </row>
    <row r="27754" customFormat="false" ht="15" hidden="false" customHeight="false" outlineLevel="0" collapsed="false">
      <c r="A27754" s="0" t="n">
        <f aca="false">_xlfn.FORECAST.ETS.STAT({32;31.99;31.99;32;32;31.99;31.99;31.99;31.99;32;32;31.99;32;31.99;31.99;32;32;32;32;32},{1;2;3;4;5;6;7;8;9;10;12;13;14;15;16;17;18;19;20;21},{1;9},1,,6)</f>
        <v>0</v>
      </c>
      <c r="B27754" s="0" t="s">
        <v>27574</v>
      </c>
    </row>
    <row r="27755" customFormat="false" ht="15" hidden="false" customHeight="false" outlineLevel="0" collapsed="false">
      <c r="A27755" s="0" t="n">
        <f aca="false">_xlfn.FORECAST.ETS.SEASONALITY({32;31.99;31.99;32;32;31.99;31.99;31.99;31.99;32;32;31.99;32;31.99;31.99;32;32;32;32;32},{1;2;3;4;5;6;7;8;9;10;12;13;14;15;16;17;18;19;20;21})</f>
        <v>9</v>
      </c>
      <c r="B27755" s="0" t="s">
        <v>27575</v>
      </c>
    </row>
    <row r="27756" customFormat="false" ht="15" hidden="false" customHeight="false" outlineLevel="0" collapsed="false">
      <c r="A27756" s="0" t="n">
        <f aca="false">_xlfn.FORECAST.ETS({4.5;4.5},{18;39.1;24;27.3;31.5;39.1},{1;1;1.5;2;2.5;3},2,0,7)</f>
        <v>26.8363414666732</v>
      </c>
      <c r="B27756" s="0" t="s">
        <v>27576</v>
      </c>
    </row>
    <row r="27757" customFormat="false" ht="15" hidden="false" customHeight="false" outlineLevel="0" collapsed="false">
      <c r="A27757" s="0" t="n">
        <f aca="false">_xlfn.ORG.LIBREOFFICE.FORECAST.ETS.STAT.MULT({18;39.1;24;27.3;31.5;39.1},{1;1;1.5;2;2.5;3},{2},2,0,7)</f>
        <v>0</v>
      </c>
      <c r="B27757" s="0" t="s">
        <v>27577</v>
      </c>
    </row>
    <row r="27758" customFormat="false" ht="15" hidden="false" customHeight="false" outlineLevel="0" collapsed="false">
      <c r="A27758" s="0" t="n">
        <f aca="false">_xlfn.FORECAST.ETS.SEASONALITY({18;39.1;24;27.3;31.5;39.1},{1;1;1.5;2;2.5;3},1)</f>
        <v>1</v>
      </c>
      <c r="B27758" s="0" t="s">
        <v>27578</v>
      </c>
    </row>
    <row r="27759" customFormat="false" ht="15" hidden="false" customHeight="false" outlineLevel="0" collapsed="false">
      <c r="A27759" s="0" t="n">
        <f aca="false">_xlfn.FORECAST.ETS.CONFINT({3.5;4;4.5},{18;39.1;24;27.3;31.5;39.1},{1;1;1.5;2;2.5;3},0.5,0,1,3)</f>
        <v>4.67885894693189</v>
      </c>
      <c r="B27759" s="0" t="s">
        <v>27579</v>
      </c>
    </row>
    <row r="27760" customFormat="false" ht="15" hidden="false" customHeight="false" outlineLevel="0" collapsed="false">
      <c r="A27760" s="0" t="n">
        <f aca="false">_xlfn.ORG.LIBREOFFICE.FORECAST.ETS.MULT({143;163},{12;12.46;12.46;12;12.46;12;12;12.5;12.5;12;12.46;12.46;12;12},{3;13;23;33;43;53;63;73;83;93;103;113;123;133},0,,3)</f>
        <v>12.1822480854392</v>
      </c>
      <c r="B27760" s="0" t="s">
        <v>27580</v>
      </c>
    </row>
    <row r="27761" customFormat="false" ht="15" hidden="false" customHeight="false" outlineLevel="0" collapsed="false">
      <c r="A27761" s="0" t="n">
        <f aca="false">_xlfn.ORG.LIBREOFFICE.FORECAST.ETS.STAT.MULT({12;12.46;12.46;12;12.46;12;12;12.5;12.5;12;12.46;12.46;12;12},{3;13;23;33;43;53;63;73;83;93;103;113;123;133},{6;4},0,,3)</f>
        <v>0.280469319728705</v>
      </c>
      <c r="B27761" s="0" t="s">
        <v>27581</v>
      </c>
    </row>
    <row r="27762" customFormat="false" ht="15" hidden="false" customHeight="false" outlineLevel="0" collapsed="false">
      <c r="A27762" s="0" t="n">
        <f aca="false">_xlfn.FORECAST.ETS.SEASONALITY({12;12.46;12.46;12;12.46;12;12;12.5;12.5;12;12.46;12.46;12;12},{3;13;23;33;43;53;63;73;83;93;103;113;123;133},0)</f>
        <v>3</v>
      </c>
      <c r="B27762" s="0" t="s">
        <v>27582</v>
      </c>
    </row>
    <row r="27763" customFormat="false" ht="15" hidden="false" customHeight="false" outlineLevel="0" collapsed="false">
      <c r="A27763" s="0" t="n">
        <f aca="false">_xlfn.FORECAST.ETS.CONFINT({143;153;163},{12;12.46;12.46;12;12.46;12;12;12.5;12.5;12;12.46;12.46;12;12},{3;13;23;33;43;53;63;73;83;93;103;113;123;133},0.9,0,0)</f>
        <v>0.479300665834435</v>
      </c>
      <c r="B27763" s="0" t="s">
        <v>27583</v>
      </c>
    </row>
    <row r="27764" customFormat="false" ht="15" hidden="false" customHeight="false" outlineLevel="0" collapsed="false">
      <c r="A27764" s="0" t="n">
        <f aca="false">_xlfn.ORG.LIBREOFFICE.FORECAST.ETS.MULT({45010,45008.5},{66.5;63.2;19;33.64;1;66.35;27.1;63},{45003;45002;45006;45007;45005;45001;45004;45000},0,,1)</f>
        <v>21.0571428571429</v>
      </c>
      <c r="B27764" s="0" t="s">
        <v>27584</v>
      </c>
    </row>
    <row r="27765" customFormat="false" ht="15" hidden="false" customHeight="false" outlineLevel="0" collapsed="false">
      <c r="A27765" s="0" t="n">
        <f aca="false">_xlfn.ORG.LIBREOFFICE.FORECAST.ETS.STAT.MULT({66.5;63.2;19;33.64;1;66.35;27.1;63},{45003;45002;45006;45007;45005;45001;45004;45000},{1;2},0,,1)</f>
        <v>1</v>
      </c>
      <c r="B27765" s="0" t="s">
        <v>27585</v>
      </c>
    </row>
    <row r="27766" customFormat="false" ht="15" hidden="false" customHeight="false" outlineLevel="0" collapsed="false">
      <c r="A27766" s="0" t="n">
        <f aca="false">_xlfn.FORECAST.ETS.SEASONALITY({66.5;63.2;19;33.64;1;66.35;27.1;63},{45003;45002;45006;45007;45005;45001;45004;45000})</f>
        <v>1</v>
      </c>
      <c r="B27766" s="0" t="s">
        <v>27586</v>
      </c>
    </row>
    <row r="27767" customFormat="false" ht="15" hidden="false" customHeight="false" outlineLevel="0" collapsed="false">
      <c r="A27767" s="0" t="n">
        <f aca="false">_xlfn.FORECAST.ETS(53.75,{43;43.5;44.74;46.6;48;49;49.7;52.1;1.3;53;56;55.04;58.75;58;61.4;60.8;64.37},{3;10;17;24;31;38;45;52;52;59;66;73;80;87;94;101;108},0,0)</f>
        <v>14.1254526004727</v>
      </c>
      <c r="B27767" s="0" t="s">
        <v>27587</v>
      </c>
    </row>
    <row r="27768" customFormat="false" ht="15" hidden="false" customHeight="false" outlineLevel="0" collapsed="false">
      <c r="A27768" s="0" t="n">
        <f aca="false">_xlfn.FORECAST.ETS.STAT({43;43.5;44.74;46.6;48;49;49.7;52.1;1.3;53;56;55.04;58.75;58;61.4;60.8;64.37},{3;10;17;24;31;38;45;52;52;59;66;73;80;87;94;101;108},{2;1;5;8;3;4;9;6;7},0,0)</f>
        <v>0</v>
      </c>
      <c r="B27768" s="0" t="s">
        <v>27588</v>
      </c>
    </row>
    <row r="27769" customFormat="false" ht="15" hidden="false" customHeight="false" outlineLevel="0" collapsed="false">
      <c r="A27769" s="0" t="n">
        <f aca="false">_xlfn.FORECAST.ETS.SEASONALITY({43;43.5;44.74;46.6;48;49;49.7;52.1;1.3;53;56;55.04;58.75;58;61.4;60.8;64.37},{3;10;17;24;31;38;45;52;52;59;66;73;80;87;94;101;108},0)</f>
        <v>8</v>
      </c>
      <c r="B27769" s="0" t="s">
        <v>27589</v>
      </c>
    </row>
    <row r="27770" customFormat="false" ht="15" hidden="false" customHeight="false" outlineLevel="0" collapsed="false">
      <c r="A27770" s="0" t="n">
        <f aca="false">_xlfn.FORECAST.ETS({16.5,16},{9.07;13;14.7;23.82;20.4;26;30;32.9;48.2;35.8;43;47.3;53;69.78;52.68},{1;2;3;4;5;6;7;8;9;10;11;12;13;14;15},1)</f>
        <v>63.532</v>
      </c>
      <c r="B27770" s="0" t="s">
        <v>27590</v>
      </c>
    </row>
    <row r="27771" customFormat="false" ht="15" hidden="false" customHeight="false" outlineLevel="0" collapsed="false">
      <c r="A27771" s="0" t="n">
        <f aca="false">_xlfn.FORECAST.ETS.STAT({9.07;13;14.7;23.82;20.4;26;30;32.9;48.2;35.8;43;47.3;53;69.78;52.68},{1;2;3;4;5;6;7;8;9;10;11;12;13;14;15},{7;2},1)</f>
        <v>2.1601381569573</v>
      </c>
      <c r="B27771" s="0" t="s">
        <v>27591</v>
      </c>
    </row>
    <row r="27772" customFormat="false" ht="15" hidden="false" customHeight="false" outlineLevel="0" collapsed="false">
      <c r="A27772" s="0" t="n">
        <f aca="false">_xlfn.FORECAST.ETS.SEASONALITY({9.07;13;14.7;23.82;20.4;26;30;32.9;48.2;35.8;43;47.3;53;69.78;52.68},{1;2;3;4;5;6;7;8;9;10;11;12;13;14;15})</f>
        <v>5</v>
      </c>
      <c r="B27772" s="0" t="s">
        <v>27592</v>
      </c>
    </row>
    <row r="27773" customFormat="false" ht="15" hidden="false" customHeight="false" outlineLevel="0" collapsed="false">
      <c r="A27773" s="0" t="n">
        <f aca="false">_xlfn.ORG.LIBREOFFICE.FORECAST.ETS.MULT(4.5,{23.4;23.4;23.36;23.4;23},{1;2;3;4;5})</f>
        <v>23.30125</v>
      </c>
      <c r="B27773" s="0" t="s">
        <v>27593</v>
      </c>
    </row>
    <row r="27774" customFormat="false" ht="15" hidden="false" customHeight="false" outlineLevel="0" collapsed="false">
      <c r="A27774" s="0" t="n">
        <f aca="false">_xlfn.FORECAST.ETS.STAT({23.4;23.4;23.36;23.4;23},{1;2;3;4;5},{8})</f>
        <v>1</v>
      </c>
      <c r="B27774" s="0" t="s">
        <v>27594</v>
      </c>
    </row>
    <row r="27775" customFormat="false" ht="15" hidden="false" customHeight="false" outlineLevel="0" collapsed="false">
      <c r="A27775" s="0" t="n">
        <f aca="false">_xlfn.FORECAST.ETS.SEASONALITY({23.4;23.4;23.36;23.4;23},{1;2;3;4;5})</f>
        <v>1</v>
      </c>
      <c r="B27775" s="0" t="s">
        <v>27595</v>
      </c>
    </row>
    <row r="27776" customFormat="false" ht="15" hidden="false" customHeight="false" outlineLevel="0" collapsed="false">
      <c r="A27776" s="0" t="n">
        <f aca="false">_xlfn.FORECAST.ETS({38,38,38},{47.12;49;47;49.4},{3;13;23;33},1,1)</f>
        <v>48.432373046875</v>
      </c>
      <c r="B27776" s="0" t="s">
        <v>27596</v>
      </c>
    </row>
    <row r="27777" customFormat="false" ht="15" hidden="false" customHeight="false" outlineLevel="0" collapsed="false">
      <c r="A27777" s="0" t="n">
        <f aca="false">_xlfn.ORG.LIBREOFFICE.FORECAST.ETS.STAT.MULT({47.12;49;47;49.4},{3;13;23;33},{2},1,1)</f>
        <v>0</v>
      </c>
      <c r="B27777" s="0" t="s">
        <v>27597</v>
      </c>
    </row>
    <row r="27778" customFormat="false" ht="15" hidden="false" customHeight="false" outlineLevel="0" collapsed="false">
      <c r="A27778" s="0" t="n">
        <f aca="false">_xlfn.FORECAST.ETS.SEASONALITY({47.12;49;47;49.4},{3;13;23;33})</f>
        <v>2</v>
      </c>
      <c r="B27778" s="0" t="s">
        <v>27598</v>
      </c>
    </row>
    <row r="27779" customFormat="false" ht="15" hidden="false" customHeight="false" outlineLevel="0" collapsed="false">
      <c r="A27779" s="0" t="e">
        <f aca="false">_xlfn.ORG.LIBREOFFICE.FORECAST.ETS.MULT(44894,{46.09;38.76;54.7;48.25},{44742;44773;44804;44834},4)</f>
        <v>#VALUE!</v>
      </c>
      <c r="B27779" s="0" t="s">
        <v>27599</v>
      </c>
    </row>
    <row r="27780" customFormat="false" ht="15" hidden="false" customHeight="false" outlineLevel="0" collapsed="false">
      <c r="A27780" s="0" t="e">
        <f aca="false">_xlfn.FORECAST.ETS.STAT({46.09;38.76;54.7;48.25},{44742;44773;44804;44834},{9},4)</f>
        <v>#VALUE!</v>
      </c>
      <c r="B27780" s="0" t="s">
        <v>27600</v>
      </c>
    </row>
    <row r="27781" customFormat="false" ht="15" hidden="false" customHeight="false" outlineLevel="0" collapsed="false">
      <c r="A27781" s="0" t="e">
        <f aca="false">_xlfn.FORECAST.ETS.SEASONALITY({46.09;38.76;54.7;48.25},{44742;44773;44804;44834},0,3)</f>
        <v>#VALUE!</v>
      </c>
      <c r="B27781" s="0" t="s">
        <v>27601</v>
      </c>
    </row>
    <row r="27782" customFormat="false" ht="15" hidden="false" customHeight="false" outlineLevel="0" collapsed="false">
      <c r="A27782" s="0" t="n">
        <f aca="false">_xlfn.FORECAST.ETS(10.5,{25;25.1;25.12;25.12;25.12;25.1;25.1;25;25.12;25.12;25.1;25.1;25;25.12;25.1;25.1},{1;1.5;2;2.5;3;3.5;4;4.5;5;5.5;6;6.5;7;7.5;8.5;9})</f>
        <v>25.1061835937498</v>
      </c>
      <c r="B27782" s="0" t="s">
        <v>27602</v>
      </c>
    </row>
    <row r="27783" customFormat="false" ht="15" hidden="false" customHeight="false" outlineLevel="0" collapsed="false">
      <c r="A27783" s="0" t="n">
        <f aca="false">_xlfn.ORG.LIBREOFFICE.FORECAST.ETS.STAT.MULT({25;25.1;25.12;25.12;25.12;25.1;25.1;25;25.12;25.12;25.1;25.1;25;25.12;25.1;25.1},{1;1.5;2;2.5;3;3.5;4;4.5;5;5.5;6;6.5;7;7.5;8.5;9},{6})</f>
        <v>0.0163796659662345</v>
      </c>
      <c r="B27783" s="0" t="s">
        <v>27603</v>
      </c>
    </row>
    <row r="27784" customFormat="false" ht="15" hidden="false" customHeight="false" outlineLevel="0" collapsed="false">
      <c r="A27784" s="0" t="n">
        <f aca="false">_xlfn.FORECAST.ETS.SEASONALITY({25;25.1;25.12;25.12;25.12;25.1;25.1;25;25.12;25.12;25.1;25.1;25;25.12;25.1;25.1},{1;1.5;2;2.5;3;3.5;4;4.5;5;5.5;6;6.5;7;7.5;8.5;9})</f>
        <v>5</v>
      </c>
      <c r="B27784" s="0" t="s">
        <v>27604</v>
      </c>
    </row>
    <row r="27785" customFormat="false" ht="15" hidden="false" customHeight="false" outlineLevel="0" collapsed="false">
      <c r="A27785" s="0" t="e">
        <f aca="false">_xlfn.ORG.LIBREOFFICE.FORECAST.ETS.MULT({44788},{28.4;28;28.4;28.36;41.2;28.4},{44651;44681;44712;44742;44742;44773},7,0)</f>
        <v>#VALUE!</v>
      </c>
      <c r="B27785" s="0" t="s">
        <v>27605</v>
      </c>
    </row>
    <row r="27786" customFormat="false" ht="15" hidden="false" customHeight="false" outlineLevel="0" collapsed="false">
      <c r="A27786" s="0" t="e">
        <f aca="false">_xlfn.FORECAST.ETS.STAT({28.4;28;28.4;28.36;41.2;28.4},{44651;44681;44712;44742;44742;44773},{4;2;6;9;3;7;5;8;1},7,0)</f>
        <v>#VALUE!</v>
      </c>
      <c r="B27786" s="0" t="s">
        <v>27606</v>
      </c>
    </row>
    <row r="27787" customFormat="false" ht="15" hidden="false" customHeight="false" outlineLevel="0" collapsed="false">
      <c r="A27787" s="0" t="e">
        <f aca="false">_xlfn.FORECAST.ETS.SEASONALITY({28.4;28;28.4;28.36;41.2;28.4},{44651;44681;44712;44742;44742;44773},0)</f>
        <v>#VALUE!</v>
      </c>
      <c r="B27787" s="0" t="s">
        <v>27607</v>
      </c>
    </row>
    <row r="27788" customFormat="false" ht="15" hidden="false" customHeight="false" outlineLevel="0" collapsed="false">
      <c r="A27788" s="0" t="n">
        <f aca="false">_xlfn.FORECAST.ETS({93},{39;41.49;45;50;54;60;63.1;65.7},{3;13;23;33;43;53;63;73},4,1,1)</f>
        <v>75.145</v>
      </c>
      <c r="B27788" s="0" t="s">
        <v>27608</v>
      </c>
    </row>
    <row r="27789" customFormat="false" ht="15" hidden="false" customHeight="false" outlineLevel="0" collapsed="false">
      <c r="A27789" s="0" t="n">
        <f aca="false">_xlfn.ORG.LIBREOFFICE.FORECAST.ETS.STAT.MULT({39;41.49;45;50;54;60;63.1;65.7},{3;13;23;33;43;53;63;73},{9},4,1,1)</f>
        <v>4</v>
      </c>
      <c r="B27789" s="0" t="s">
        <v>27609</v>
      </c>
    </row>
    <row r="27790" customFormat="false" ht="15" hidden="false" customHeight="false" outlineLevel="0" collapsed="false">
      <c r="A27790" s="0" t="n">
        <f aca="false">_xlfn.FORECAST.ETS.SEASONALITY({39;41.49;45;50;54;60;63.1;65.7},{3;13;23;33;43;53;63;73},0)</f>
        <v>1</v>
      </c>
      <c r="B27790" s="0" t="s">
        <v>27610</v>
      </c>
    </row>
    <row r="27791" customFormat="false" ht="15" hidden="false" customHeight="false" outlineLevel="0" collapsed="false">
      <c r="A27791" s="0" t="n">
        <f aca="false">_xlfn.ORG.LIBREOFFICE.FORECAST.ETS.MULT(23.5,{48.22;50;56.36;62;63.16;67.7;71.5;75.84;82;84.6;89.28;93;98.3;101.6;105.5;110.2;113.5;120;122.4;127.9;132.8;137},{1;2;3;4;5;6;7;8;9;10;11;12;13;14;15;16;17;18;19;20;21;22})</f>
        <v>141.719900651796</v>
      </c>
      <c r="B27791" s="0" t="s">
        <v>27611</v>
      </c>
    </row>
    <row r="27792" customFormat="false" ht="15" hidden="false" customHeight="false" outlineLevel="0" collapsed="false">
      <c r="A27792" s="0" t="n">
        <f aca="false">_xlfn.ORG.LIBREOFFICE.FORECAST.ETS.STAT.MULT({48.22;50;56.36;62;63.16;67.7;71.5;75.84;82;84.6;89.28;93;98.3;101.6;105.5;110.2;113.5;120;122.4;127.9;132.8;137},{1;2;3;4;5;6;7;8;9;10;11;12;13;14;15;16;17;18;19;20;21;22},{3})</f>
        <v>1</v>
      </c>
      <c r="B27792" s="0" t="s">
        <v>27612</v>
      </c>
    </row>
    <row r="27793" customFormat="false" ht="15" hidden="false" customHeight="false" outlineLevel="0" collapsed="false">
      <c r="A27793" s="0" t="n">
        <f aca="false">_xlfn.FORECAST.ETS.SEASONALITY({48.22;50;56.36;62;63.16;67.7;71.5;75.84;82;84.6;89.28;93;98.3;101.6;105.5;110.2;113.5;120;122.4;127.9;132.8;137},{1;2;3;4;5;6;7;8;9;10;11;12;13;14;15;16;17;18;19;20;21;22})</f>
        <v>9</v>
      </c>
      <c r="B27793" s="0" t="s">
        <v>27613</v>
      </c>
    </row>
    <row r="27794" customFormat="false" ht="15" hidden="false" customHeight="false" outlineLevel="0" collapsed="false">
      <c r="A27794" s="0" t="n">
        <f aca="false">_xlfn.ORG.LIBREOFFICE.FORECAST.ETS.MULT({223,213,223},{40.66;40.66;41;41;40.7;41;40.7;40.66;41;41;40.7;40.7;41;40.7;40.66;41;40.66;40.7;40.7},{3;13;23;33;43;53;63;73;83;93;103;113;123;133;143;153;163;173;183},0,0)</f>
        <v>40.7643855068934</v>
      </c>
      <c r="B27794" s="0" t="s">
        <v>27614</v>
      </c>
    </row>
    <row r="27795" customFormat="false" ht="15" hidden="false" customHeight="false" outlineLevel="0" collapsed="false">
      <c r="A27795" s="0" t="n">
        <f aca="false">_xlfn.FORECAST.ETS.STAT({40.66;40.66;41;41;40.7;41;40.7;40.66;41;41;40.7;40.7;41;40.7;40.66;41;40.66;40.7;40.7},{3;13;23;33;43;53;63;73;83;93;103;113;123;133;143;153;163;173;183},{5;4;8;2;7;6;3;9;1},0,0)</f>
        <v>0.00406727925340095</v>
      </c>
      <c r="B27795" s="0" t="s">
        <v>27615</v>
      </c>
    </row>
    <row r="27796" customFormat="false" ht="15" hidden="false" customHeight="false" outlineLevel="0" collapsed="false">
      <c r="A27796" s="0" t="n">
        <f aca="false">_xlfn.FORECAST.ETS.SEASONALITY({40.66;40.66;41;41;40.7;41;40.7;40.66;41;41;40.7;40.7;41;40.7;40.66;41;40.66;40.7;40.7},{3;13;23;33;43;53;63;73;83;93;103;113;123;133;143;153;163;173;183})</f>
        <v>7</v>
      </c>
      <c r="B27796" s="0" t="s">
        <v>27616</v>
      </c>
    </row>
    <row r="27797" customFormat="false" ht="15" hidden="false" customHeight="false" outlineLevel="0" collapsed="false">
      <c r="A27797" s="0" t="n">
        <f aca="false">_xlfn.FORECAST.ETS({45152;45152;45182},{6.7;5;3;4;4.1;0.9;1.8;0.1;-1.31;-1.9;-4.22;-4;-3.52;-7.12;-7.9},{44696;44727;44757;44788;44819;44849;44880;44910;44941;44972;45000;45031;45061;45092;45122},1,,4)</f>
        <v>-7.39204386988598</v>
      </c>
      <c r="B27797" s="0" t="s">
        <v>27617</v>
      </c>
    </row>
    <row r="27798" customFormat="false" ht="15" hidden="false" customHeight="false" outlineLevel="0" collapsed="false">
      <c r="A27798" s="0" t="n">
        <f aca="false">_xlfn.FORECAST.ETS.STAT({6.7;5;3;4;4.1;0.9;1.8;0.1;-1.31;-1.9;-4.22;-4;-3.52;-7.12;-7.9},{44696;44727;44757;44788;44819;44849;44880;44910;44941;44972;45000;45031;45061;45092;45122},{6;2},1,,4)</f>
        <v>0.823802345828174</v>
      </c>
      <c r="B27798" s="0" t="s">
        <v>27618</v>
      </c>
    </row>
    <row r="27799" customFormat="false" ht="15" hidden="false" customHeight="false" outlineLevel="0" collapsed="false">
      <c r="A27799" s="0" t="n">
        <f aca="false">_xlfn.FORECAST.ETS.SEASONALITY({6.7;5;3;4;4.1;0.9;1.8;0.1;-1.31;-1.9;-4.22;-4;-3.52;-7.12;-7.9},{44696;44727;44757;44788;44819;44849;44880;44910;44941;44972;45000;45031;45061;45092;45122})</f>
        <v>3</v>
      </c>
      <c r="B27799" s="0" t="s">
        <v>27619</v>
      </c>
    </row>
    <row r="27800" customFormat="false" ht="15" hidden="false" customHeight="false" outlineLevel="0" collapsed="false">
      <c r="A27800" s="0" t="e">
        <f aca="false">_xlfn.ORG.LIBREOFFICE.FORECAST.ETS.MULT({4.5;3.75},{11.55;16.9;12.1;11.19;11;8.5},{1;1.5;2;2.5;3;3.5},4)</f>
        <v>#VALUE!</v>
      </c>
      <c r="B27800" s="0" t="s">
        <v>27620</v>
      </c>
    </row>
    <row r="27801" customFormat="false" ht="15" hidden="false" customHeight="false" outlineLevel="0" collapsed="false">
      <c r="A27801" s="0" t="e">
        <f aca="false">_xlfn.ORG.LIBREOFFICE.FORECAST.ETS.STAT.MULT({11.55;16.9;12.1;11.19;11;8.5},{1;1.5;2;2.5;3;3.5},{1},4)</f>
        <v>#VALUE!</v>
      </c>
      <c r="B27801" s="0" t="s">
        <v>27621</v>
      </c>
    </row>
    <row r="27802" customFormat="false" ht="15" hidden="false" customHeight="false" outlineLevel="0" collapsed="false">
      <c r="A27802" s="0" t="n">
        <f aca="false">_xlfn.FORECAST.ETS.SEASONALITY({11.55;16.9;12.1;11.19;11;8.5},{1;1.5;2;2.5;3;3.5},1,6)</f>
        <v>3</v>
      </c>
      <c r="B27802" s="0" t="s">
        <v>27622</v>
      </c>
    </row>
    <row r="27803" customFormat="false" ht="15" hidden="false" customHeight="false" outlineLevel="0" collapsed="false">
      <c r="A27803" s="0" t="n">
        <f aca="false">_xlfn.FORECAST.ETS.CONFINT(4,{11.55;16.9;12.1;11.19;11;8.5},{1;1.5;2;2.5;3;3.5},,0)</f>
        <v>5.42984404496008</v>
      </c>
      <c r="B27803" s="0" t="s">
        <v>27623</v>
      </c>
    </row>
    <row r="27804" customFormat="false" ht="15" hidden="false" customHeight="false" outlineLevel="0" collapsed="false">
      <c r="A27804" s="0" t="n">
        <f aca="false">_xlfn.FORECAST.ETS({9.25;9.25;10},{41.5;42.64;40.6;42;42;42.2;42.85;44.08;43.4;43;44.1;44;43;44;43;43.1},{1;1.5;2;2.5;3;3.5;4;4.5;5;5.5;6;6.5;7;7.5;8;8.5},7,0)</f>
        <v>40.1302528716889</v>
      </c>
      <c r="B27804" s="0" t="s">
        <v>27624</v>
      </c>
    </row>
    <row r="27805" customFormat="false" ht="15" hidden="false" customHeight="false" outlineLevel="0" collapsed="false">
      <c r="A27805" s="0" t="n">
        <f aca="false">_xlfn.ORG.LIBREOFFICE.FORECAST.ETS.STAT.MULT({41.5;42.64;40.6;42;42;42.2;42.85;44.08;43.4;43;44.1;44;43;44;43;43.1},{1;1.5;2;2.5;3;3.5;4;4.5;5;5.5;6;6.5;7;7.5;8;8.5},{7;3;5;6;9;4;8;1;2},7,0)</f>
        <v>0.749238690461893</v>
      </c>
      <c r="B27805" s="0" t="s">
        <v>27625</v>
      </c>
    </row>
    <row r="27806" customFormat="false" ht="15" hidden="false" customHeight="false" outlineLevel="0" collapsed="false">
      <c r="A27806" s="0" t="n">
        <f aca="false">_xlfn.FORECAST.ETS.SEASONALITY({41.5;42.64;40.6;42;42;42.2;42.85;44.08;43.4;43;44.1;44;43;44;43;43.1},{1;1.5;2;2.5;3;3.5;4;4.5;5;5.5;6;6.5;7;7.5;8;8.5},1)</f>
        <v>6</v>
      </c>
      <c r="B27806" s="0" t="s">
        <v>27626</v>
      </c>
    </row>
    <row r="27807" customFormat="false" ht="15" hidden="false" customHeight="false" outlineLevel="0" collapsed="false">
      <c r="A27807" s="0" t="n">
        <f aca="false">_xlfn.FORECAST.ETS.CONFINT(9,{41.5;42.64;40.6;42;42;42.2;42.85;44.08;43.4;43;44.1;44;43;44;43;43.1},{1;1.5;2;2.5;3;3.5;4;4.5;5;5.5;6;6.5;7;7.5;8;8.5},0,0,1)</f>
        <v>0</v>
      </c>
      <c r="B27807" s="0" t="s">
        <v>27627</v>
      </c>
    </row>
    <row r="27808" customFormat="false" ht="15" hidden="false" customHeight="false" outlineLevel="0" collapsed="false">
      <c r="A27808" s="0" t="n">
        <f aca="false">_xlfn.FORECAST.ETS({45018.5},{24.9;25;24.9;24.87;24.87;24.87;24.9;25;24.87;24.9;24.9;24.9;24.9;24.9;24.9;24.9;25;24.87},{45000;45001;45002;45003;45004;45005;45006;45007;45008;45009;45010;45011;45012;45013;45014;45015;45016;45017},1)</f>
        <v>24.9483333333308</v>
      </c>
      <c r="B27808" s="0" t="s">
        <v>27628</v>
      </c>
    </row>
    <row r="27809" customFormat="false" ht="15" hidden="false" customHeight="false" outlineLevel="0" collapsed="false">
      <c r="A27809" s="0" t="n">
        <f aca="false">_xlfn.ORG.LIBREOFFICE.FORECAST.ETS.STAT.MULT({24.9;25;24.9;24.87;24.87;24.87;24.9;25;24.87;24.9;24.9;24.9;24.9;24.9;24.9;24.9;25;24.87},{45000;45001;45002;45003;45004;45005;45006;45007;45008;45009;45010;45011;45012;45013;45014;45015;45016;45017},{5;3},1)</f>
        <v>0.000466877472255703</v>
      </c>
      <c r="B27809" s="0" t="s">
        <v>27629</v>
      </c>
    </row>
    <row r="27810" customFormat="false" ht="15" hidden="false" customHeight="false" outlineLevel="0" collapsed="false">
      <c r="A27810" s="0" t="n">
        <f aca="false">_xlfn.FORECAST.ETS.SEASONALITY({24.9;25;24.9;24.87;24.87;24.87;24.9;25;24.87;24.9;24.9;24.9;24.9;24.9;24.9;24.9;25;24.87},{45000;45001;45002;45003;45004;45005;45006;45007;45008;45009;45010;45011;45012;45013;45014;45015;45016;45017},1,6)</f>
        <v>9</v>
      </c>
      <c r="B27810" s="0" t="s">
        <v>27630</v>
      </c>
    </row>
    <row r="27811" customFormat="false" ht="15" hidden="false" customHeight="false" outlineLevel="0" collapsed="false">
      <c r="A27811" s="0" t="n">
        <f aca="false">_xlfn.ORG.LIBREOFFICE.FORECAST.ETS.MULT({23;21;22},{26;19.22;26.47;26.6;31.96;23.53;35.24;41.63;31;43.4},{3;5;7;7;9;11;13;15;17;19},1,0)</f>
        <v>36.5150988050185</v>
      </c>
      <c r="B27811" s="0" t="s">
        <v>27631</v>
      </c>
    </row>
    <row r="27812" customFormat="false" ht="15" hidden="false" customHeight="false" outlineLevel="0" collapsed="false">
      <c r="A27812" s="0" t="n">
        <f aca="false">_xlfn.FORECAST.ETS.STAT({26;19.22;26.47;26.6;31.96;23.53;35.24;41.63;31;43.4},{3;5;7;7;9;11;13;15;17;19},{3;2;6;1;4;8;7;9;5},1,0)</f>
        <v>1</v>
      </c>
      <c r="B27812" s="0" t="s">
        <v>27632</v>
      </c>
    </row>
    <row r="27813" customFormat="false" ht="15" hidden="false" customHeight="false" outlineLevel="0" collapsed="false">
      <c r="A27813" s="0" t="n">
        <f aca="false">_xlfn.FORECAST.ETS.SEASONALITY({26;19.22;26.47;26.6;31.96;23.53;35.24;41.63;31;43.4},{3;5;7;7;9;11;13;15;17;19},0,6)</f>
        <v>3</v>
      </c>
      <c r="B27813" s="0" t="s">
        <v>27633</v>
      </c>
    </row>
    <row r="27814" customFormat="false" ht="15" hidden="false" customHeight="false" outlineLevel="0" collapsed="false">
      <c r="A27814" s="0" t="n">
        <f aca="false">_xlfn.FORECAST.ETS({157},{13;15;19;29;24.8;29.24;27.6;33.6;33.7;39.09;46;40.42;48.06;43;50;50;56.78;63.8;59;64.74;60.72},{3;10;17;24;31;38;45;52;59;66;73;80;87;94;101;108;115;122;129;136;143},1,0,1)</f>
        <v>68.1559357519251</v>
      </c>
      <c r="B27814" s="0" t="s">
        <v>27634</v>
      </c>
    </row>
    <row r="27815" customFormat="false" ht="15" hidden="false" customHeight="false" outlineLevel="0" collapsed="false">
      <c r="A27815" s="0" t="n">
        <f aca="false">_xlfn.ORG.LIBREOFFICE.FORECAST.ETS.STAT.MULT({13;15;19;29;24.8;29.24;27.6;33.6;33.7;39.09;46;40.42;48.06;43;50;50;56.78;63.8;59;64.74;60.72},{3;10;17;24;31;38;45;52;59;66;73;80;87;94;101;108;115;122;129;136;143},{6;4},1,0,1)</f>
        <v>1.47172925605235</v>
      </c>
      <c r="B27815" s="0" t="s">
        <v>27635</v>
      </c>
    </row>
    <row r="27816" customFormat="false" ht="15" hidden="false" customHeight="false" outlineLevel="0" collapsed="false">
      <c r="A27816" s="0" t="n">
        <f aca="false">_xlfn.FORECAST.ETS.SEASONALITY({13;15;19;29;24.8;29.24;27.6;33.6;33.7;39.09;46;40.42;48.06;43;50;50;56.78;63.8;59;64.74;60.72},{3;10;17;24;31;38;45;52;59;66;73;80;87;94;101;108;115;122;129;136;143},1)</f>
        <v>7</v>
      </c>
      <c r="B27816" s="0" t="s">
        <v>27636</v>
      </c>
    </row>
    <row r="27817" customFormat="false" ht="15" hidden="false" customHeight="false" outlineLevel="0" collapsed="false">
      <c r="A27817" s="0" t="n">
        <f aca="false">_xlfn.FORECAST.ETS(44659.5,{29;15;41.5;25;17.8;47.2;18.4;35.3;43;21;44.6;38;27;31.9},{44835;44652;44958;44774;44682;45047;44713;44896;44986;44743;45017;44927;44805;44866},7,1,7)</f>
        <v>15.653333333334</v>
      </c>
      <c r="B27817" s="0" t="s">
        <v>27637</v>
      </c>
    </row>
    <row r="27818" customFormat="false" ht="15" hidden="false" customHeight="false" outlineLevel="0" collapsed="false">
      <c r="A27818" s="0" t="n">
        <f aca="false">_xlfn.ORG.LIBREOFFICE.FORECAST.ETS.STAT.MULT({29;15;41.5;25;17.8;47.2;18.4;35.3;43;21;44.6;38;27;31.9},{44835;44652;44958;44774;44682;45047;44713;44896;44986;44743;45017;44927;44805;44866},{7;2},7,1,7)</f>
        <v>1.37141071378778</v>
      </c>
      <c r="B27818" s="0" t="s">
        <v>27638</v>
      </c>
    </row>
    <row r="27819" customFormat="false" ht="15" hidden="false" customHeight="false" outlineLevel="0" collapsed="false">
      <c r="A27819" s="0" t="n">
        <f aca="false">_xlfn.FORECAST.ETS.SEASONALITY({29;15;41.5;25;17.8;47.2;18.4;35.3;43;21;44.6;38;27;31.9},{44835;44652;44958;44774;44682;45047;44713;44896;44986;44743;45017;44927;44805;44866},0)</f>
        <v>6</v>
      </c>
      <c r="B27819" s="0" t="s">
        <v>27639</v>
      </c>
    </row>
    <row r="27820" customFormat="false" ht="15" hidden="false" customHeight="false" outlineLevel="0" collapsed="false">
      <c r="A27820" s="0" t="n">
        <f aca="false">_xlfn.FORECAST.ETS({16,21},{15.8;81;74.5;62.1;3.65;83.79},{3;5;7;9;11;13},1,1)</f>
        <v>104.187</v>
      </c>
      <c r="B27820" s="0" t="s">
        <v>27640</v>
      </c>
    </row>
    <row r="27821" customFormat="false" ht="15" hidden="false" customHeight="false" outlineLevel="0" collapsed="false">
      <c r="A27821" s="0" t="n">
        <f aca="false">_xlfn.FORECAST.ETS.STAT({15.8;81;74.5;62.1;3.65;83.79},{3;5;7;9;11;13},{6;5;9;7;2;3;4;8;1},1,1)</f>
        <v>31.0308</v>
      </c>
      <c r="B27821" s="0" t="s">
        <v>27641</v>
      </c>
    </row>
    <row r="27822" customFormat="false" ht="15" hidden="false" customHeight="false" outlineLevel="0" collapsed="false">
      <c r="A27822" s="0" t="n">
        <f aca="false">_xlfn.FORECAST.ETS.SEASONALITY({15.8;81;74.5;62.1;3.65;83.79},{3;5;7;9;11;13})</f>
        <v>1</v>
      </c>
      <c r="B27822" s="0" t="s">
        <v>27642</v>
      </c>
    </row>
    <row r="27823" customFormat="false" ht="15" hidden="false" customHeight="false" outlineLevel="0" collapsed="false">
      <c r="A27823" s="0" t="n">
        <f aca="false">_xlfn.ORG.LIBREOFFICE.FORECAST.ETS.MULT({6.75;7.25},{6;4;2;0.63;-1;-2;-2.39;-6;-7.3;-8;-8.65;-12},{1;1.5;2;2.5;3;3.5;4;4.5;5;5.5;6;6.5},1,0)</f>
        <v>-14.9701189453575</v>
      </c>
      <c r="B27823" s="0" t="s">
        <v>27643</v>
      </c>
    </row>
    <row r="27824" customFormat="false" ht="15" hidden="false" customHeight="false" outlineLevel="0" collapsed="false">
      <c r="A27824" s="0" t="n">
        <f aca="false">_xlfn.FORECAST.ETS.STAT({6;4;2;0.63;-1;-2;-2.39;-6;-7.3;-8;-8.65;-12},{1;1.5;2;2.5;3;3.5;4;4.5;5;5.5;6;6.5},{2;7},1,0)</f>
        <v>0.2490234375</v>
      </c>
      <c r="B27824" s="0" t="s">
        <v>27644</v>
      </c>
    </row>
    <row r="27825" customFormat="false" ht="15" hidden="false" customHeight="false" outlineLevel="0" collapsed="false">
      <c r="A27825" s="0" t="n">
        <f aca="false">_xlfn.FORECAST.ETS.SEASONALITY({6;4;2;0.63;-1;-2;-2.39;-6;-7.3;-8;-8.65;-12},{1;1.5;2;2.5;3;3.5;4;4.5;5;5.5;6;6.5})</f>
        <v>4</v>
      </c>
      <c r="B27825" s="0" t="s">
        <v>27645</v>
      </c>
    </row>
    <row r="27826" customFormat="false" ht="15" hidden="false" customHeight="false" outlineLevel="0" collapsed="false">
      <c r="A27826" s="0" t="n">
        <f aca="false">_xlfn.ORG.LIBREOFFICE.FORECAST.ETS.PI.MULT({7;7.5;8},{6;4;2;0.63;-1;-2;-2.39;-6;-7.3;-8;-8.65;-12},{1;1.5;2;2.5;3;3.5;4;4.5;5;5.5;6;6.5},0.99,0,1,6)</f>
        <v>2.0488748406613</v>
      </c>
      <c r="B27826" s="0" t="s">
        <v>27646</v>
      </c>
    </row>
    <row r="27827" customFormat="false" ht="15" hidden="false" customHeight="false" outlineLevel="0" collapsed="false">
      <c r="A27827" s="0" t="n">
        <f aca="false">_xlfn.ORG.LIBREOFFICE.FORECAST.ETS.MULT(21,{13.32;13.32;13.32;13.3;13.3;13;13.3;13.32;13.3;13.3;13.3;13.3;13.3;13.3;13.3;13.3;13.3;13},{1;2;3;4;5;6;7;8;9;10;12;13;14;15;16;17;18;19},0,,3)</f>
        <v>13.0966536119249</v>
      </c>
      <c r="B27827" s="0" t="s">
        <v>27647</v>
      </c>
    </row>
    <row r="27828" customFormat="false" ht="15" hidden="false" customHeight="false" outlineLevel="0" collapsed="false">
      <c r="A27828" s="0" t="n">
        <f aca="false">_xlfn.ORG.LIBREOFFICE.FORECAST.ETS.STAT.MULT({13.32;13.32;13.32;13.3;13.3;13;13.3;13.32;13.3;13.3;13.3;13.3;13.3;13.3;13.3;13.3;13.3;13},{1;2;3;4;5;6;7;8;9;10;12;13;14;15;16;17;18;19},{7},0,,3)</f>
        <v>0.108566586508181</v>
      </c>
      <c r="B27828" s="0" t="s">
        <v>27648</v>
      </c>
    </row>
    <row r="27829" customFormat="false" ht="15" hidden="false" customHeight="false" outlineLevel="0" collapsed="false">
      <c r="A27829" s="0" t="n">
        <f aca="false">_xlfn.FORECAST.ETS.SEASONALITY({13.32;13.32;13.32;13.3;13.3;13;13.3;13.32;13.3;13.3;13.3;13.3;13.3;13.3;13.3;13.3;13.3;13},{1;2;3;4;5;6;7;8;9;10;12;13;14;15;16;17;18;19},1)</f>
        <v>4</v>
      </c>
      <c r="B27829" s="0" t="s">
        <v>27649</v>
      </c>
    </row>
    <row r="27830" customFormat="false" ht="15" hidden="false" customHeight="false" outlineLevel="0" collapsed="false">
      <c r="A27830" s="0" t="n">
        <f aca="false">_xlfn.FORECAST.ETS({45021,45021,45020.5},{26;34;31.2;29.62;31.63;31.35;38;35.2;35;37.9;37.3;45;40.3;40.02;43.7;41;51.46;47.51;46;49.37},{45000;45001;45002;45003;45004;45005;45006;45007;45008;45009;45010;45011;45012;45013;45014;45015;45016;45017;45018;45019},1,0,1)</f>
        <v>56.3912800054259</v>
      </c>
      <c r="B27830" s="0" t="s">
        <v>27650</v>
      </c>
    </row>
    <row r="27831" customFormat="false" ht="15" hidden="false" customHeight="false" outlineLevel="0" collapsed="false">
      <c r="A27831" s="0" t="n">
        <f aca="false">_xlfn.ORG.LIBREOFFICE.FORECAST.ETS.STAT.MULT({26;34;31.2;29.62;31.63;31.35;38;35.2;35;37.9;37.3;45;40.3;40.02;43.7;41;51.46;47.51;46;49.37},{45000;45001;45002;45003;45004;45005;45006;45007;45008;45009;45010;45011;45012;45013;45014;45015;45016;45017;45018;45019},{8},1,0,1)</f>
        <v>1</v>
      </c>
      <c r="B27831" s="0" t="s">
        <v>27651</v>
      </c>
    </row>
    <row r="27832" customFormat="false" ht="15" hidden="false" customHeight="false" outlineLevel="0" collapsed="false">
      <c r="A27832" s="0" t="n">
        <f aca="false">_xlfn.FORECAST.ETS.SEASONALITY({26;34;31.2;29.62;31.63;31.35;38;35.2;35;37.9;37.3;45;40.3;40.02;43.7;41;51.46;47.51;46;49.37},{45000;45001;45002;45003;45004;45005;45006;45007;45008;45009;45010;45011;45012;45013;45014;45015;45016;45017;45018;45019})</f>
        <v>5</v>
      </c>
      <c r="B27832" s="0" t="s">
        <v>27652</v>
      </c>
    </row>
    <row r="27833" customFormat="false" ht="15" hidden="false" customHeight="false" outlineLevel="0" collapsed="false">
      <c r="A27833" s="0" t="n">
        <f aca="false">_xlfn.FORECAST.ETS({9.5,9,8.5},{36.3;34.9;26.2;36.6;37.8;28;28.3;43.44},{4;6;2;5;7;3;1;8},4,1,2)</f>
        <v>44.1275</v>
      </c>
      <c r="B27833" s="0" t="s">
        <v>27653</v>
      </c>
    </row>
    <row r="27834" customFormat="false" ht="15" hidden="false" customHeight="false" outlineLevel="0" collapsed="false">
      <c r="A27834" s="0" t="n">
        <f aca="false">_xlfn.FORECAST.ETS.STAT({36.3;34.9;26.2;36.6;37.8;28;28.3;43.44},{4;6;2;5;7;3;1;8},{7;6},4,1,2)</f>
        <v>0.715589167849022</v>
      </c>
      <c r="B27834" s="0" t="s">
        <v>27654</v>
      </c>
    </row>
    <row r="27835" customFormat="false" ht="15" hidden="false" customHeight="false" outlineLevel="0" collapsed="false">
      <c r="A27835" s="0" t="n">
        <f aca="false">_xlfn.FORECAST.ETS.SEASONALITY({36.3;34.9;26.2;36.6;37.8;28;28.3;43.44},{4;6;2;5;7;3;1;8},1,6)</f>
        <v>4</v>
      </c>
      <c r="B27835" s="0" t="s">
        <v>27655</v>
      </c>
    </row>
    <row r="27836" customFormat="false" ht="15" hidden="false" customHeight="false" outlineLevel="0" collapsed="false">
      <c r="A27836" s="0" t="n">
        <f aca="false">_xlfn.ORG.LIBREOFFICE.FORECAST.ETS.PI.MULT({9;10;11},{36.3;34.9;26.2;36.6;37.8;28;28.3;43.44},{4;6;2;5;7;3;1;8},0.95,0)</f>
        <v>5.83829876458761</v>
      </c>
      <c r="B27836" s="0" t="s">
        <v>27656</v>
      </c>
    </row>
    <row r="27837" customFormat="false" ht="15" hidden="false" customHeight="false" outlineLevel="0" collapsed="false">
      <c r="A27837" s="0" t="n">
        <f aca="false">_xlfn.FORECAST.ETS(45004,{12;10;9.27;7.17;3.6;4;2;0.83;-2.7},{45000;45001;45002;45003;45004;45005;45006;45007;45008},3,,3)</f>
        <v>3.6</v>
      </c>
      <c r="B27837" s="0" t="s">
        <v>27657</v>
      </c>
    </row>
    <row r="27838" customFormat="false" ht="15" hidden="false" customHeight="false" outlineLevel="0" collapsed="false">
      <c r="A27838" s="0" t="n">
        <f aca="false">_xlfn.FORECAST.ETS.STAT({12;10;9.27;7.17;3.6;4;2;0.83;-2.7},{45000;45001;45002;45003;45004;45005;45006;45007;45008},{6},3,,3)</f>
        <v>0.584175415039063</v>
      </c>
      <c r="B27838" s="0" t="s">
        <v>27658</v>
      </c>
    </row>
    <row r="27839" customFormat="false" ht="15" hidden="false" customHeight="false" outlineLevel="0" collapsed="false">
      <c r="A27839" s="0" t="n">
        <f aca="false">_xlfn.FORECAST.ETS.SEASONALITY({12;10;9.27;7.17;3.6;4;2;0.83;-2.7},{45000;45001;45002;45003;45004;45005;45006;45007;45008},1,3)</f>
        <v>4</v>
      </c>
      <c r="B27839" s="0" t="s">
        <v>27659</v>
      </c>
    </row>
    <row r="27840" customFormat="false" ht="15" hidden="false" customHeight="false" outlineLevel="0" collapsed="false">
      <c r="A27840" s="0" t="n">
        <f aca="false">_xlfn.FORECAST.ETS(9,{-5.88;3.5;8.3;5.9;10.4;-2;-3.9;-0.11;3.63},{9;4;2;3;1;7;8;6;5},3)</f>
        <v>-5.88</v>
      </c>
      <c r="B27840" s="0" t="s">
        <v>27660</v>
      </c>
    </row>
    <row r="27841" customFormat="false" ht="15" hidden="false" customHeight="false" outlineLevel="0" collapsed="false">
      <c r="A27841" s="0" t="n">
        <f aca="false">_xlfn.FORECAST.ETS.STAT({-5.88;3.5;8.3;5.9;10.4;-2;-3.9;-0.11;3.63},{9;4;2;3;1;7;8;6;5},{9;1;8;7;6;2;5;3;4},3)</f>
        <v>3</v>
      </c>
      <c r="B27841" s="0" t="s">
        <v>27661</v>
      </c>
    </row>
    <row r="27842" customFormat="false" ht="15" hidden="false" customHeight="false" outlineLevel="0" collapsed="false">
      <c r="A27842" s="0" t="n">
        <f aca="false">_xlfn.FORECAST.ETS.SEASONALITY({-5.88;3.5;8.3;5.9;10.4;-2;-3.9;-0.11;3.63},{9;4;2;3;1;7;8;6;5})</f>
        <v>4</v>
      </c>
      <c r="B27842" s="0" t="s">
        <v>27662</v>
      </c>
    </row>
    <row r="27843" customFormat="false" ht="15" hidden="false" customHeight="false" outlineLevel="0" collapsed="false">
      <c r="A27843" s="0" t="n">
        <f aca="false">_xlfn.ORG.LIBREOFFICE.FORECAST.ETS.PI.MULT(11,{-5.88;3.5;8.3;5.9;10.4;-2;-3.9;-0.11;3.63},{9;4;2;3;1;7;8;6;5},0.5,0,1,7)</f>
        <v>0.454124304875438</v>
      </c>
      <c r="B27843" s="0" t="s">
        <v>27663</v>
      </c>
    </row>
    <row r="27844" customFormat="false" ht="15" hidden="false" customHeight="false" outlineLevel="0" collapsed="false">
      <c r="A27844" s="0" t="n">
        <f aca="false">_xlfn.ORG.LIBREOFFICE.FORECAST.ETS.MULT(17,{40;40;40.4;40.38;40;40;40.4;40.38;40.4;40;40;40.4;40;40.4;40;40.38;40;40;40.38},{1;2;3;4;5;6;7;8;9;10;11;12;13;14;15;16;17;18;19},4,0,7)</f>
        <v>40</v>
      </c>
      <c r="B27844" s="0" t="s">
        <v>27664</v>
      </c>
    </row>
    <row r="27845" customFormat="false" ht="15" hidden="false" customHeight="false" outlineLevel="0" collapsed="false">
      <c r="A27845" s="0" t="n">
        <f aca="false">_xlfn.ORG.LIBREOFFICE.FORECAST.ETS.STAT.MULT({40;40;40.4;40.38;40;40;40.4;40.38;40.4;40;40;40.4;40;40.4;40;40.38;40;40;40.38},{1;2;3;4;5;6;7;8;9;10;11;12;13;14;15;16;17;18;19},{5},4,0,7)</f>
        <v>0.00254773874286129</v>
      </c>
      <c r="B27845" s="0" t="s">
        <v>27665</v>
      </c>
    </row>
    <row r="27846" customFormat="false" ht="15" hidden="false" customHeight="false" outlineLevel="0" collapsed="false">
      <c r="A27846" s="0" t="n">
        <f aca="false">_xlfn.FORECAST.ETS.SEASONALITY({40;40;40.4;40.38;40;40;40.4;40.38;40.4;40;40;40.4;40;40.4;40;40.38;40;40;40.38},{1;2;3;4;5;6;7;8;9;10;11;12;13;14;15;16;17;18;19},1)</f>
        <v>7</v>
      </c>
      <c r="B27846" s="0" t="s">
        <v>27666</v>
      </c>
    </row>
    <row r="27847" customFormat="false" ht="15" hidden="false" customHeight="false" outlineLevel="0" collapsed="false">
      <c r="A27847" s="0" t="n">
        <f aca="false">_xlfn.ORG.LIBREOFFICE.FORECAST.ETS.MULT({45303,45333,45348},{32.6;36;35;36.9;38;40;40;41;43.4;45;44;46.3;48.14;49;50.71;51;52;52;52.8;53.9;56.86;56.7;59.4;58.7},{44589;44620;44648;44679;44709;44740;44770;44801;44832;44862;44893;44923;44954;44985;45013;45044;45074;45105;45135;45166;45197;45227;45258;45288},1,0,6)</f>
        <v>61.4189996753656</v>
      </c>
      <c r="B27847" s="0" t="s">
        <v>27667</v>
      </c>
    </row>
    <row r="27848" customFormat="false" ht="15" hidden="false" customHeight="false" outlineLevel="0" collapsed="false">
      <c r="A27848" s="0" t="n">
        <f aca="false">_xlfn.ORG.LIBREOFFICE.FORECAST.ETS.STAT.MULT({32.6;36;35;36.9;38;40;40;41;43.4;45;44;46.3;48.14;49;50.71;51;52;52;52.8;53.9;56.86;56.7;59.4;58.7},{44589;44620;44648;44679;44709;44740;44770;44801;44832;44862;44893;44923;44954;44985;45013;45044;45074;45105;45135;45166;45197;45227;45258;45288},{4;6;8;7;5;3;1;2;9},1,0,6)</f>
        <v>0.479413127054016</v>
      </c>
      <c r="B27848" s="0" t="s">
        <v>27668</v>
      </c>
    </row>
    <row r="27849" customFormat="false" ht="15" hidden="false" customHeight="false" outlineLevel="0" collapsed="false">
      <c r="A27849" s="0" t="n">
        <f aca="false">_xlfn.FORECAST.ETS.SEASONALITY({32.6;36;35;36.9;38;40;40;41;43.4;45;44;46.3;48.14;49;50.71;51;52;52;52.8;53.9;56.86;56.7;59.4;58.7},{44589;44620;44648;44679;44709;44740;44770;44801;44832;44862;44893;44923;44954;44985;45013;45044;45074;45105;45135;45166;45197;45227;45258;45288})</f>
        <v>11</v>
      </c>
      <c r="B27849" s="0" t="s">
        <v>27669</v>
      </c>
    </row>
    <row r="27850" customFormat="false" ht="15" hidden="false" customHeight="false" outlineLevel="0" collapsed="false">
      <c r="A27850" s="0" t="n">
        <f aca="false">_xlfn.FORECAST.ETS({20},{19;19;18.72;18.7;18.7;19;18.7;18.7;18.72;18.7;18.72;18.72;19;27.7;18.7;18.7;18.7;18.7},{1;2;3;4;5;6;7;8;9;10;11;12;13;13;14;15;16;17},1,,6)</f>
        <v>18.935680590107</v>
      </c>
      <c r="B27850" s="0" t="s">
        <v>27670</v>
      </c>
    </row>
    <row r="27851" customFormat="false" ht="15" hidden="false" customHeight="false" outlineLevel="0" collapsed="false">
      <c r="A27851" s="0" t="n">
        <f aca="false">_xlfn.FORECAST.ETS.STAT({19;19;18.72;18.7;18.7;19;18.7;18.7;18.72;18.7;18.72;18.72;19;27.7;18.7;18.7;18.7;18.7},{1;2;3;4;5;6;7;8;9;10;11;12;13;13;14;15;16;17},{2},1,,6)</f>
        <v>0</v>
      </c>
      <c r="B27851" s="0" t="s">
        <v>27671</v>
      </c>
    </row>
    <row r="27852" customFormat="false" ht="15" hidden="false" customHeight="false" outlineLevel="0" collapsed="false">
      <c r="A27852" s="0" t="n">
        <f aca="false">_xlfn.FORECAST.ETS.SEASONALITY({19;19;18.72;18.7;18.7;19;18.7;18.7;18.72;18.7;18.72;18.72;19;27.7;18.7;18.7;18.7;18.7},{1;2;3;4;5;6;7;8;9;10;11;12;13;13;14;15;16;17})</f>
        <v>7</v>
      </c>
      <c r="B27852" s="0" t="s">
        <v>27672</v>
      </c>
    </row>
    <row r="27853" customFormat="false" ht="15" hidden="false" customHeight="false" outlineLevel="0" collapsed="false">
      <c r="A27853" s="0" t="n">
        <f aca="false">_xlfn.FORECAST.ETS({43,43},{40.2;30;39;29.66;39.4;29.53;42;30.48},{3;8;13;18;23;28;33;38})</f>
        <v>42.472783203125</v>
      </c>
      <c r="B27853" s="0" t="s">
        <v>27673</v>
      </c>
    </row>
    <row r="27854" customFormat="false" ht="15" hidden="false" customHeight="false" outlineLevel="0" collapsed="false">
      <c r="A27854" s="0" t="n">
        <f aca="false">_xlfn.ORG.LIBREOFFICE.FORECAST.ETS.STAT.MULT({40.2;30;39;29.66;39.4;29.53;42;30.48},{3;8;13;18;23;28;33;38},{7})</f>
        <v>1.19021436729669</v>
      </c>
      <c r="B27854" s="0" t="s">
        <v>27674</v>
      </c>
    </row>
    <row r="27855" customFormat="false" ht="15" hidden="false" customHeight="false" outlineLevel="0" collapsed="false">
      <c r="A27855" s="0" t="n">
        <f aca="false">_xlfn.FORECAST.ETS.SEASONALITY({40.2;30;39;29.66;39.4;29.53;42;30.48},{3;8;13;18;23;28;33;38},1)</f>
        <v>2</v>
      </c>
      <c r="B27855" s="0" t="s">
        <v>27675</v>
      </c>
    </row>
    <row r="27856" customFormat="false" ht="15" hidden="false" customHeight="false" outlineLevel="0" collapsed="false">
      <c r="A27856" s="0" t="e">
        <f aca="false">_xlfn.FORECAST.ETS({44834,44789},{70;11;49.3;32.68;47.8;44.2},{44621;44652;44682;44713;44743;44774},4)</f>
        <v>#VALUE!</v>
      </c>
      <c r="B27856" s="0" t="s">
        <v>27676</v>
      </c>
    </row>
    <row r="27857" customFormat="false" ht="15" hidden="false" customHeight="false" outlineLevel="0" collapsed="false">
      <c r="A27857" s="0" t="e">
        <f aca="false">_xlfn.ORG.LIBREOFFICE.FORECAST.ETS.STAT.MULT({70;11;49.3;32.68;47.8;44.2},{44621;44652;44682;44713;44743;44774},{3},4)</f>
        <v>#VALUE!</v>
      </c>
      <c r="B27857" s="0" t="s">
        <v>27677</v>
      </c>
    </row>
    <row r="27858" customFormat="false" ht="15" hidden="false" customHeight="false" outlineLevel="0" collapsed="false">
      <c r="A27858" s="0" t="n">
        <f aca="false">_xlfn.FORECAST.ETS.SEASONALITY({70;11;49.3;32.68;47.8;44.2},{44621;44652;44682;44713;44743;44774})</f>
        <v>2</v>
      </c>
      <c r="B27858" s="0" t="s">
        <v>27678</v>
      </c>
    </row>
    <row r="27859" customFormat="false" ht="15" hidden="false" customHeight="false" outlineLevel="0" collapsed="false">
      <c r="A27859" s="0" t="n">
        <f aca="false">_xlfn.FORECAST.ETS({15,16},{94;80;2;68;44;82.34;90;39.4;39.8;15.3;41;3},{1;2;3;4;5;6;7;8;9;10;11;12})</f>
        <v>-27.0246538238337</v>
      </c>
      <c r="B27859" s="0" t="s">
        <v>27679</v>
      </c>
    </row>
    <row r="27860" customFormat="false" ht="15" hidden="false" customHeight="false" outlineLevel="0" collapsed="false">
      <c r="A27860" s="0" t="n">
        <f aca="false">_xlfn.FORECAST.ETS.STAT({94;80;2;68;44;82.34;90;39.4;39.8;15.3;41;3},{1;2;3;4;5;6;7;8;9;10;11;12},{4;1;3;2;7;8;6;9;5})</f>
        <v>0.422553307061985</v>
      </c>
      <c r="B27860" s="0" t="s">
        <v>27680</v>
      </c>
    </row>
    <row r="27861" customFormat="false" ht="15" hidden="false" customHeight="false" outlineLevel="0" collapsed="false">
      <c r="A27861" s="0" t="n">
        <f aca="false">_xlfn.FORECAST.ETS.SEASONALITY({94;80;2;68;44;82.34;90;39.4;39.8;15.3;41;3},{1;2;3;4;5;6;7;8;9;10;11;12})</f>
        <v>5</v>
      </c>
      <c r="B27861" s="0" t="s">
        <v>27681</v>
      </c>
    </row>
    <row r="27862" customFormat="false" ht="15" hidden="false" customHeight="false" outlineLevel="0" collapsed="false">
      <c r="A27862" s="0" t="e">
        <f aca="false">_xlfn.ORG.LIBREOFFICE.FORECAST.ETS.MULT({45610},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1,1,4)</f>
        <v>#VALUE!</v>
      </c>
      <c r="B27862" s="0" t="s">
        <v>27682</v>
      </c>
    </row>
    <row r="27863" customFormat="false" ht="15" hidden="false" customHeight="false" outlineLevel="0" collapsed="false">
      <c r="A27863" s="0" t="e">
        <f aca="false">_xlfn.FORECAST.ETS.STAT(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{3;9},1,1,4)</f>
        <v>#VALUE!</v>
      </c>
      <c r="B27863" s="0" t="s">
        <v>27683</v>
      </c>
    </row>
    <row r="27864" customFormat="false" ht="15" hidden="false" customHeight="false" outlineLevel="0" collapsed="false">
      <c r="A27864" s="0" t="e">
        <f aca="false">_xlfn.FORECAST.ETS.SEASONALITY({23.8;22.9;31;49.7;55.08;56.72;34;30.11;44.01;68;75.25;75;44;40;55.9;88.13;96.51;93.3;53.2;50.1;66.14;109.2;115.7;111;65.18;61;78.1;128;135.39;131},{44681;44712;44742;44773;44804;44834;44865;44895;44926;44957;44985;45016;45046;45077;45107;45138;45169;45199;45230;45260;45291;45322;45351;45382;45412;45443;45473;45504;45535;45565},0)</f>
        <v>#VALUE!</v>
      </c>
      <c r="B27864" s="0" t="s">
        <v>27684</v>
      </c>
    </row>
    <row r="27865" customFormat="false" ht="15" hidden="false" customHeight="false" outlineLevel="0" collapsed="false">
      <c r="A27865" s="0" t="n">
        <f aca="false">_xlfn.FORECAST.ETS({183,183,183},{4.3;4.7;2.8;0.31;-4;-3.3;-7.35;-8.2;-9.5;-11.8;-12.64;-17;-18;-19.9;-22.5;-27;-27.3},{3;13;23;33;43;53;63;73;83;93;103;113;123;133;143;163;173},1,1,7)</f>
        <v>-29.7416440769198</v>
      </c>
      <c r="B27865" s="0" t="s">
        <v>27685</v>
      </c>
    </row>
    <row r="27866" customFormat="false" ht="15" hidden="false" customHeight="false" outlineLevel="0" collapsed="false">
      <c r="A27866" s="0" t="n">
        <f aca="false">_xlfn.FORECAST.ETS.STAT({4.3;4.7;2.8;0.31;-4;-3.3;-7.35;-8.2;-9.5;-11.8;-12.64;-17;-18;-19.9;-22.5;-27;-27.3},{3;13;23;33;43;53;63;73;83;93;103;113;123;133;143;163;173},{1},1,1,7)</f>
        <v>0.0625</v>
      </c>
      <c r="B27866" s="0" t="s">
        <v>27686</v>
      </c>
    </row>
    <row r="27867" customFormat="false" ht="15" hidden="false" customHeight="false" outlineLevel="0" collapsed="false">
      <c r="A27867" s="0" t="n">
        <f aca="false">_xlfn.FORECAST.ETS.SEASONALITY({4.3;4.7;2.8;0.31;-4;-3.3;-7.35;-8.2;-9.5;-11.8;-12.64;-17;-18;-19.9;-22.5;-27;-27.3},{3;13;23;33;43;53;63;73;83;93;103;113;123;133;143;163;173},1,2)</f>
        <v>5</v>
      </c>
      <c r="B27867" s="0" t="s">
        <v>27687</v>
      </c>
    </row>
    <row r="27868" customFormat="false" ht="15" hidden="false" customHeight="false" outlineLevel="0" collapsed="false">
      <c r="A27868" s="0" t="e">
        <f aca="false">_xlfn.FORECAST.ETS.CONFINT({183;193;203},{4.3;4.7;2.8;0.31;-4;-3.3;-7.35;-8.2;-9.5;-11.8;-12.64;-17;-18;-19.9;-22.5;-27;-27.3},{3;13;23;33;43;53;63;73;83;93;103;113;123;133;143;163;173},1,0)</f>
        <v>#NUM!</v>
      </c>
      <c r="B27868" s="0" t="s">
        <v>27688</v>
      </c>
    </row>
    <row r="27869" customFormat="false" ht="15" hidden="false" customHeight="false" outlineLevel="0" collapsed="false">
      <c r="A27869" s="0" t="n">
        <f aca="false">_xlfn.FORECAST.ETS(5.5,{30.71;18;22.82;26.67;41.6;48.4;68;71.91;37;47;49.72;76.6;82.9;110.3;114.37;58.43;74;73.6;109.6;115;153;157.86;81.3;98.7;98.02;143.16;150;197.1},{3;13;23;33;43;53;63;73;83;93;103;113;123;133;143;153;163;173;183;193;203;213;223;233;243;253;263;273},4)</f>
        <v>27.5325</v>
      </c>
      <c r="B27869" s="0" t="s">
        <v>27689</v>
      </c>
    </row>
    <row r="27870" customFormat="false" ht="15" hidden="false" customHeight="false" outlineLevel="0" collapsed="false">
      <c r="A27870" s="0" t="n">
        <f aca="false">_xlfn.ORG.LIBREOFFICE.FORECAST.ETS.STAT.MULT({30.71;18;22.82;26.67;41.6;48.4;68;71.91;37;47;49.72;76.6;82.9;110.3;114.37;58.43;74;73.6;109.6;115;153;157.86;81.3;98.7;98.02;143.16;150;197.1},{3;13;23;33;43;53;63;73;83;93;103;113;123;133;143;153;163;173;183;193;203;213;223;233;243;253;263;273},{1;6;5;7;3;4;2;9;8},4)</f>
        <v>0</v>
      </c>
      <c r="B27870" s="0" t="s">
        <v>27690</v>
      </c>
    </row>
    <row r="27871" customFormat="false" ht="15" hidden="false" customHeight="false" outlineLevel="0" collapsed="false">
      <c r="A27871" s="0" t="n">
        <f aca="false">_xlfn.FORECAST.ETS.SEASONALITY({30.71;18;22.82;26.67;41.6;48.4;68;71.91;37;47;49.72;76.6;82.9;110.3;114.37;58.43;74;73.6;109.6;115;153;157.86;81.3;98.7;98.02;143.16;150;197.1},{3;13;23;33;43;53;63;73;83;93;103;113;123;133;143;153;163;173;183;193;203;213;223;233;243;253;263;273})</f>
        <v>7</v>
      </c>
      <c r="B27871" s="0" t="s">
        <v>27691</v>
      </c>
    </row>
    <row r="27872" customFormat="false" ht="15" hidden="false" customHeight="false" outlineLevel="0" collapsed="false">
      <c r="A27872" s="0" t="n">
        <f aca="false">_xlfn.FORECAST.ETS(44659.5,{31.96;42.34;33.1;31.46;55.16;28.1;29;31;31.23;47;47;58.1;53;32;45.07;57.73;43.89;35;30.88;37;40.9;47.4;44;33},{44652;45108;45078;45047;44986;45231;45200;45017;44682;44743;44593;44805;45170;44835;44774;44621;44958;44896;44866;44713;45139;44562;44927;45261},6,0)</f>
        <v>31.7896666666665</v>
      </c>
      <c r="B27872" s="0" t="s">
        <v>27692</v>
      </c>
    </row>
    <row r="27873" customFormat="false" ht="15" hidden="false" customHeight="false" outlineLevel="0" collapsed="false">
      <c r="A27873" s="0" t="n">
        <f aca="false">_xlfn.ORG.LIBREOFFICE.FORECAST.ETS.STAT.MULT({31.96;42.34;33.1;31.46;55.16;28.1;29;31;31.23;47;47;58.1;53;32;45.07;57.73;43.89;35;30.88;37;40.9;47.4;44;33},{44652;45108;45078;45047;44986;45231;45200;45017;44682;44743;44593;44805;45170;44835;44774;44621;44958;44896;44866;44713;45139;44562;44927;45261},{6;9;7;3;2;8;5;1;4},6,0)</f>
        <v>0.771707804209935</v>
      </c>
      <c r="B27873" s="0" t="s">
        <v>27693</v>
      </c>
    </row>
    <row r="27874" customFormat="false" ht="15" hidden="false" customHeight="false" outlineLevel="0" collapsed="false">
      <c r="A27874" s="0" t="n">
        <f aca="false">_xlfn.FORECAST.ETS.SEASONALITY({31.96;42.34;33.1;31.46;55.16;28.1;29;31;31.23;47;47;58.1;53;32;45.07;57.73;43.89;35;30.88;37;40.9;47.4;44;33},{44652;45108;45078;45047;44986;45231;45200;45017;44682;44743;44593;44805;45170;44835;44774;44621;44958;44896;44866;44713;45139;44562;44927;45261})</f>
        <v>12</v>
      </c>
      <c r="B27874" s="0" t="s">
        <v>27694</v>
      </c>
    </row>
    <row r="27875" customFormat="false" ht="15" hidden="false" customHeight="false" outlineLevel="0" collapsed="false">
      <c r="A27875" s="0" t="e">
        <f aca="false">_xlfn.ORG.LIBREOFFICE.FORECAST.ETS.MULT({45244;45319},{66;72.4;2.73;54.6;50.8;3.7;20;13;36.9;19.6;21;29;42.9;12;69;1.78;87.2},{44712;44742;44773;44804;44834;44865;44895;44926;44957;44985;45016;45046;45077;45107;45138;45169;45199},7,1,6)</f>
        <v>#VALUE!</v>
      </c>
      <c r="B27875" s="0" t="s">
        <v>27695</v>
      </c>
    </row>
    <row r="27876" customFormat="false" ht="15" hidden="false" customHeight="false" outlineLevel="0" collapsed="false">
      <c r="A27876" s="0" t="e">
        <f aca="false">_xlfn.ORG.LIBREOFFICE.FORECAST.ETS.STAT.MULT({66;72.4;2.73;54.6;50.8;3.7;20;13;36.9;19.6;21;29;42.9;12;69;1.78;87.2},{44712;44742;44773;44804;44834;44865;44895;44926;44957;44985;45016;45046;45077;45107;45138;45169;45199},{5},7,1,6)</f>
        <v>#VALUE!</v>
      </c>
      <c r="B27876" s="0" t="s">
        <v>27696</v>
      </c>
    </row>
    <row r="27877" customFormat="false" ht="15" hidden="false" customHeight="false" outlineLevel="0" collapsed="false">
      <c r="A27877" s="0" t="e">
        <f aca="false">_xlfn.FORECAST.ETS.SEASONALITY({66;72.4;2.73;54.6;50.8;3.7;20;13;36.9;19.6;21;29;42.9;12;69;1.78;87.2},{44712;44742;44773;44804;44834;44865;44895;44926;44957;44985;45016;45046;45077;45107;45138;45169;45199},1,7)</f>
        <v>#VALUE!</v>
      </c>
      <c r="B27877" s="0" t="s">
        <v>27697</v>
      </c>
    </row>
    <row r="27878" customFormat="false" ht="15" hidden="false" customHeight="false" outlineLevel="0" collapsed="false">
      <c r="A27878" s="0" t="n">
        <f aca="false">_xlfn.FORECAST.ETS(9,Data!A1:A8,Data!A1:A8)</f>
        <v>9</v>
      </c>
      <c r="B27878" s="0" t="s">
        <v>27698</v>
      </c>
    </row>
    <row r="27879" customFormat="false" ht="15" hidden="false" customHeight="false" outlineLevel="0" collapsed="false">
      <c r="A27879" s="0" t="n">
        <f aca="false">_xlfn.FORECAST.ETS.SEASONALITY(Data!A1:A8,Data!A1:A8)</f>
        <v>1</v>
      </c>
      <c r="B27879" s="0" t="s">
        <v>27699</v>
      </c>
    </row>
    <row r="27880" customFormat="false" ht="15" hidden="false" customHeight="false" outlineLevel="0" collapsed="false">
      <c r="A27880" s="0" t="e">
        <f aca="false">_xlfn.FORECAST.ETS(9,{1;2},{1;2})</f>
        <v>#VALUE!</v>
      </c>
      <c r="B27880" s="0" t="s">
        <v>27700</v>
      </c>
    </row>
    <row r="27881" customFormat="false" ht="15" hidden="false" customHeight="false" outlineLevel="0" collapsed="false">
      <c r="A27881" s="0" t="e">
        <f aca="false">_xlfn.FORECAST.ETS(3,{1},{1})</f>
        <v>#NUM!</v>
      </c>
      <c r="B27881" s="0" t="s">
        <v>27701</v>
      </c>
    </row>
    <row r="27882" customFormat="false" ht="15" hidden="false" customHeight="false" outlineLevel="0" collapsed="false">
      <c r="A27882" s="0" t="e">
        <f aca="false">_xlfn.FORECAST.ETS(3,{1;2;3},{1;2})</f>
        <v>#VALUE!</v>
      </c>
      <c r="B27882" s="0" t="s">
        <v>27702</v>
      </c>
    </row>
    <row r="27883" customFormat="false" ht="15" hidden="false" customHeight="false" outlineLevel="0" collapsed="false">
      <c r="A27883" s="0" t="e">
        <f aca="false">_xlfn.FORECAST.ETS(3,{1;"a";3},{1;2;3})</f>
        <v>#VALUE!</v>
      </c>
      <c r="B27883" s="0" t="s">
        <v>27703</v>
      </c>
    </row>
    <row r="27884" customFormat="false" ht="15" hidden="false" customHeight="false" outlineLevel="0" collapsed="false">
      <c r="A27884" s="0" t="e">
        <f aca="false">_xlfn.FORECAST.ETS(0,{1;2;3;4},{1;2;3;4})</f>
        <v>#NUM!</v>
      </c>
      <c r="B27884" s="0" t="s">
        <v>27704</v>
      </c>
    </row>
    <row r="27885" customFormat="false" ht="15" hidden="false" customHeight="false" outlineLevel="0" collapsed="false">
      <c r="A27885" s="0" t="n">
        <f aca="false">_xlfn.FORECAST.ETS(1,{1;2;3;4},{1;2;3;4})</f>
        <v>1</v>
      </c>
      <c r="B27885" s="0" t="s">
        <v>27705</v>
      </c>
    </row>
    <row r="27886" customFormat="false" ht="15" hidden="false" customHeight="false" outlineLevel="0" collapsed="false">
      <c r="A27886" s="0" t="n">
        <f aca="false">_xlfn.FORECAST.ETS(2.5,{1;2;3;4},{1;2;3;4})</f>
        <v>2.5</v>
      </c>
      <c r="B27886" s="0" t="s">
        <v>27706</v>
      </c>
    </row>
    <row r="27887" customFormat="false" ht="15" hidden="false" customHeight="false" outlineLevel="0" collapsed="false">
      <c r="A27887" s="0" t="e">
        <f aca="false">_xlfn.FORECAST.ETS(7,{1;2;3;4},{1;2;3;4},-1)</f>
        <v>#NUM!</v>
      </c>
      <c r="B27887" s="0" t="s">
        <v>27707</v>
      </c>
    </row>
    <row r="27888" customFormat="false" ht="15" hidden="false" customHeight="false" outlineLevel="0" collapsed="false">
      <c r="A27888" s="0" t="e">
        <f aca="false">_xlfn.FORECAST.ETS(7,{1;2;3;4},{1;2;3;4},1.5)</f>
        <v>#NUM!</v>
      </c>
      <c r="B27888" s="0" t="s">
        <v>27708</v>
      </c>
    </row>
    <row r="27889" customFormat="false" ht="15" hidden="false" customHeight="false" outlineLevel="0" collapsed="false">
      <c r="A27889" s="0" t="e">
        <f aca="false">_xlfn.FORECAST.ETS(7,{1;2;3;4},{1;2;3;4},1,2)</f>
        <v>#VALUE!</v>
      </c>
      <c r="B27889" s="0" t="s">
        <v>27709</v>
      </c>
    </row>
    <row r="27890" customFormat="false" ht="15" hidden="false" customHeight="false" outlineLevel="0" collapsed="false">
      <c r="A27890" s="0" t="e">
        <f aca="false">_xlfn.FORECAST.ETS(7,{1;2;3;4},{1;2;3;4},1,1,0)</f>
        <v>#VALUE!</v>
      </c>
      <c r="B27890" s="0" t="s">
        <v>27710</v>
      </c>
    </row>
    <row r="27891" customFormat="false" ht="15" hidden="false" customHeight="false" outlineLevel="0" collapsed="false">
      <c r="A27891" s="0" t="e">
        <f aca="false">_xlfn.FORECAST.ETS(7,{1;2;3;4},{1;2;3;4},1,1,8)</f>
        <v>#VALUE!</v>
      </c>
      <c r="B27891" s="0" t="s">
        <v>27711</v>
      </c>
    </row>
    <row r="27892" customFormat="false" ht="15" hidden="false" customHeight="false" outlineLevel="0" collapsed="false">
      <c r="A27892" s="0" t="e">
        <f aca="false">_xlfn.FORECAST.ETS(7,{1;2;3;4},{1;2;3;#DIV/0!},1,1,8)</f>
        <v>#N/A</v>
      </c>
      <c r="B27892" s="0" t="s">
        <v>27712</v>
      </c>
    </row>
    <row r="27893" customFormat="false" ht="15" hidden="false" customHeight="false" outlineLevel="0" collapsed="false">
      <c r="A27893" s="0" t="e">
        <f aca="false">_xlfn.FORECAST.ETS(7,{1;2;3;4},{1;2;3;4},1/0)</f>
        <v>#DIV/0!</v>
      </c>
      <c r="B27893" s="0" t="s">
        <v>27713</v>
      </c>
    </row>
    <row r="27894" customFormat="false" ht="15" hidden="false" customHeight="false" outlineLevel="0" collapsed="false">
      <c r="A27894" s="0" t="e">
        <f aca="false">_xlfn.FORECAST.ETS(7,{1;2;3;4},{1;2;4;8})</f>
        <v>#VALUE!</v>
      </c>
      <c r="B27894" s="0" t="s">
        <v>27714</v>
      </c>
    </row>
    <row r="27895" customFormat="false" ht="15" hidden="false" customHeight="false" outlineLevel="0" collapsed="false">
      <c r="A27895" s="0" t="e">
        <f aca="false">_xlfn.FORECAST.ETS(7,{1;2;3;4},{1;3;5;8})</f>
        <v>#VALUE!</v>
      </c>
      <c r="B27895" s="0" t="s">
        <v>27715</v>
      </c>
    </row>
    <row r="27896" customFormat="false" ht="15" hidden="false" customHeight="false" outlineLevel="0" collapsed="false">
      <c r="A27896" s="0" t="e">
        <f aca="false">_xlfn.FORECAST.ETS(7,{1;1;3;4},{1;1;2;3},1,1,0)</f>
        <v>#VALUE!</v>
      </c>
      <c r="B27896" s="0" t="s">
        <v>27716</v>
      </c>
    </row>
    <row r="27897" customFormat="false" ht="15" hidden="false" customHeight="false" outlineLevel="0" collapsed="false">
      <c r="A27897" s="0" t="n">
        <f aca="false">_xlfn.FORECAST.ETS.SEASONALITY({1;2;3},{1;2;3})</f>
        <v>1</v>
      </c>
      <c r="B27897" s="0" t="s">
        <v>27717</v>
      </c>
    </row>
    <row r="27898" customFormat="false" ht="15" hidden="false" customHeight="false" outlineLevel="0" collapsed="false">
      <c r="A27898" s="0" t="e">
        <f aca="false">_xlfn.FORECAST.ETS.STAT({1;2;3;4},{1;2;3;4},0)</f>
        <v>#VALUE!</v>
      </c>
      <c r="B27898" s="0" t="s">
        <v>27718</v>
      </c>
    </row>
    <row r="27899" customFormat="false" ht="15" hidden="false" customHeight="false" outlineLevel="0" collapsed="false">
      <c r="A27899" s="0" t="e">
        <f aca="false">_xlfn.FORECAST.ETS.STAT({1;2;3;4},{1;2;3;4},10)</f>
        <v>#VALUE!</v>
      </c>
      <c r="B27899" s="0" t="s">
        <v>27719</v>
      </c>
    </row>
    <row r="27900" customFormat="false" ht="15" hidden="false" customHeight="false" outlineLevel="0" collapsed="false">
      <c r="A27900" s="0" t="n">
        <f aca="false">_xlfn.FORECAST.ETS.STAT({1;2;3;4},{1;2;3;4},9.9)</f>
        <v>1</v>
      </c>
      <c r="B27900" s="0" t="s">
        <v>27720</v>
      </c>
    </row>
    <row r="27901" customFormat="false" ht="15" hidden="false" customHeight="false" outlineLevel="0" collapsed="false">
      <c r="A27901" s="0" t="n">
        <f aca="false">_xlfn.FORECAST.ETS.STAT({1;2;3;4},{1;2;3;4},{1,2;3,4})</f>
        <v>0</v>
      </c>
      <c r="B27901" s="0" t="s">
        <v>27721</v>
      </c>
    </row>
    <row r="27902" customFormat="false" ht="15" hidden="false" customHeight="false" outlineLevel="0" collapsed="false">
      <c r="A27902" s="0" t="n">
        <f aca="false">_xlfn.FORECAST.ETS.CONFINT(7,{1;2;3;5},{1;2;3;4},0.95,0)</f>
        <v>1.92906797802626</v>
      </c>
      <c r="B27902" s="0" t="s">
        <v>27722</v>
      </c>
    </row>
    <row r="27903" customFormat="false" ht="15" hidden="false" customHeight="false" outlineLevel="0" collapsed="false">
      <c r="A27903" s="0" t="e">
        <f aca="false">_xlfn.FORECAST.ETS.CONFINT(7,{1;2;3;5},{1;2;3;4},1.1,0)</f>
        <v>#VALUE!</v>
      </c>
      <c r="B27903" s="0" t="s">
        <v>27723</v>
      </c>
    </row>
    <row r="27904" customFormat="false" ht="15" hidden="false" customHeight="false" outlineLevel="0" collapsed="false">
      <c r="A27904" s="0" t="e">
        <f aca="false">_xlfn.FORECAST.ETS.CONFINT(7,{1;2;3;5},{1;2;3;4},-0.1,0)</f>
        <v>#VALUE!</v>
      </c>
      <c r="B27904" s="0" t="s">
        <v>27724</v>
      </c>
    </row>
    <row r="27905" customFormat="false" ht="15" hidden="false" customHeight="false" outlineLevel="0" collapsed="false">
      <c r="A27905" s="0" t="e">
        <f aca="false">_xlfn.FORECAST.ETS.CONFINT(3,{1;2;3;5},{1;2;3;4},0.95,0)</f>
        <v>#NUM!</v>
      </c>
      <c r="B27905" s="0" t="s">
        <v>27725</v>
      </c>
    </row>
    <row r="27906" customFormat="false" ht="15" hidden="false" customHeight="false" outlineLevel="0" collapsed="false">
      <c r="A27906" s="0" t="e">
        <f aca="false">_xlfn.FORECAST.ETS.CONFINT(4,{1;2;3;5},{1;2;3;4},0.95,0)</f>
        <v>#VALUE!</v>
      </c>
      <c r="B27906" s="0" t="s">
        <v>27726</v>
      </c>
    </row>
    <row r="27907" customFormat="false" ht="15" hidden="false" customHeight="false" outlineLevel="0" collapsed="false">
      <c r="A27907" s="0" t="n">
        <f aca="false">_xlfn.FORECAST.ETS.CONFINT(5,{1;2;3;5},{1;2;3;4},0.95,0)</f>
        <v>0.803256785251164</v>
      </c>
      <c r="B27907" s="0" t="s">
        <v>27727</v>
      </c>
    </row>
    <row r="27908" customFormat="false" ht="15" hidden="false" customHeight="false" outlineLevel="0" collapsed="false">
      <c r="A27908" s="0" t="n">
        <f aca="false">ATAN(1)</f>
        <v>0.785398163397448</v>
      </c>
      <c r="B27908" s="0" t="s">
        <v>27728</v>
      </c>
    </row>
    <row r="27909" customFormat="false" ht="15" hidden="false" customHeight="false" outlineLevel="0" collapsed="false">
      <c r="A27909" s="0" t="n">
        <f aca="false">ATAN(-0.5)</f>
        <v>-0.463647609000806</v>
      </c>
      <c r="B27909" s="0" t="s">
        <v>27729</v>
      </c>
    </row>
    <row r="27910" customFormat="false" ht="15" hidden="false" customHeight="false" outlineLevel="0" collapsed="false">
      <c r="A27910" s="0" t="n">
        <f aca="false">ATAN(1E+300)</f>
        <v>1.5707963267949</v>
      </c>
      <c r="B27910" s="0" t="s">
        <v>27730</v>
      </c>
    </row>
    <row r="27911" customFormat="false" ht="15" hidden="false" customHeight="false" outlineLevel="0" collapsed="false">
      <c r="A27911" s="0" t="n">
        <f aca="false">COS(1)</f>
        <v>0.54030230586814</v>
      </c>
      <c r="B27911" s="0" t="s">
        <v>27731</v>
      </c>
    </row>
    <row r="27912" customFormat="false" ht="15" hidden="false" customHeight="false" outlineLevel="0" collapsed="false">
      <c r="A27912" s="0" t="n">
        <f aca="false">COS(0)</f>
        <v>1</v>
      </c>
      <c r="B27912" s="0" t="s">
        <v>27732</v>
      </c>
    </row>
    <row r="27913" customFormat="false" ht="15" hidden="false" customHeight="false" outlineLevel="0" collapsed="false">
      <c r="A27913" s="0" t="n">
        <f aca="false">COS(10000000000)</f>
        <v>0.873119622676856</v>
      </c>
      <c r="B27913" s="0" t="s">
        <v>27733</v>
      </c>
    </row>
    <row r="27914" customFormat="false" ht="15" hidden="false" customHeight="false" outlineLevel="0" collapsed="false">
      <c r="A27914" s="0" t="n">
        <f aca="false">TAN(1)</f>
        <v>1.5574077246549</v>
      </c>
      <c r="B27914" s="0" t="s">
        <v>27734</v>
      </c>
    </row>
    <row r="27915" customFormat="false" ht="15" hidden="false" customHeight="false" outlineLevel="0" collapsed="false">
      <c r="A27915" s="0" t="n">
        <f aca="false">TAN(0.5)</f>
        <v>0.546302489843791</v>
      </c>
      <c r="B27915" s="0" t="s">
        <v>27735</v>
      </c>
    </row>
    <row r="27916" customFormat="false" ht="15" hidden="false" customHeight="false" outlineLevel="0" collapsed="false">
      <c r="A27916" s="0" t="n">
        <f aca="false">TAN(1000000000000000)</f>
        <v>-1.67241478212758</v>
      </c>
      <c r="B27916" s="0" t="s">
        <v>27736</v>
      </c>
    </row>
    <row r="27917" customFormat="false" ht="15" hidden="false" customHeight="false" outlineLevel="0" collapsed="false">
      <c r="A27917" s="0" t="n">
        <f aca="false">RADIANS(180)</f>
        <v>3.14159265358979</v>
      </c>
      <c r="B27917" s="0" t="s">
        <v>27737</v>
      </c>
    </row>
    <row r="27918" customFormat="false" ht="15" hidden="false" customHeight="false" outlineLevel="0" collapsed="false">
      <c r="A27918" s="0" t="n">
        <f aca="false">RADIANS(-45.5)</f>
        <v>-0.79412480965742</v>
      </c>
      <c r="B27918" s="0" t="s">
        <v>27738</v>
      </c>
    </row>
    <row r="27919" customFormat="false" ht="15" hidden="false" customHeight="false" outlineLevel="0" collapsed="false">
      <c r="A27919" s="0" t="n">
        <f aca="false">RADIANS(1E+300)</f>
        <v>1.74532925199433E+298</v>
      </c>
      <c r="B27919" s="0" t="s">
        <v>27739</v>
      </c>
    </row>
    <row r="27920" customFormat="false" ht="15" hidden="false" customHeight="false" outlineLevel="0" collapsed="false">
      <c r="A27920" s="2" t="b">
        <f aca="false">ISERR(NA())</f>
        <v>0</v>
      </c>
      <c r="B27920" s="0" t="s">
        <v>27740</v>
      </c>
    </row>
    <row r="27921" customFormat="false" ht="15" hidden="false" customHeight="false" outlineLevel="0" collapsed="false">
      <c r="A27921" s="2" t="b">
        <f aca="false">ISERR(1/0)</f>
        <v>1</v>
      </c>
      <c r="B27921" s="0" t="s">
        <v>27741</v>
      </c>
    </row>
    <row r="27922" customFormat="false" ht="15" hidden="false" customHeight="false" outlineLevel="0" collapsed="false">
      <c r="A27922" s="2" t="b">
        <f aca="false">ISERR(1)</f>
        <v>0</v>
      </c>
      <c r="B27922" s="0" t="s">
        <v>27742</v>
      </c>
    </row>
    <row r="27923" customFormat="false" ht="15" hidden="false" customHeight="false" outlineLevel="0" collapsed="false">
      <c r="A27923" s="2" t="b">
        <f aca="false">ISNONTEXT("a")</f>
        <v>0</v>
      </c>
      <c r="B27923" s="0" t="s">
        <v>27743</v>
      </c>
    </row>
    <row r="27924" customFormat="false" ht="15" hidden="false" customHeight="false" outlineLevel="0" collapsed="false">
      <c r="A27924" s="2" t="b">
        <f aca="false">ISNONTEXT(1)</f>
        <v>1</v>
      </c>
      <c r="B27924" s="0" t="s">
        <v>27744</v>
      </c>
    </row>
    <row r="27925" customFormat="false" ht="15" hidden="false" customHeight="false" outlineLevel="0" collapsed="false">
      <c r="A27925" s="2" t="b">
        <f aca="false">ISNONTEXT(Data!Z9)</f>
        <v>1</v>
      </c>
      <c r="B27925" s="0" t="s">
        <v>27745</v>
      </c>
    </row>
    <row r="27926" customFormat="false" ht="15" hidden="false" customHeight="false" outlineLevel="0" collapsed="false">
      <c r="A27926" s="2" t="b">
        <f aca="false">ISREF(Data!A1)</f>
        <v>1</v>
      </c>
      <c r="B27926" s="0" t="s">
        <v>27746</v>
      </c>
    </row>
    <row r="27927" customFormat="false" ht="15" hidden="false" customHeight="false" outlineLevel="0" collapsed="false">
      <c r="A27927" s="2" t="b">
        <f aca="false">ISREF(1)</f>
        <v>0</v>
      </c>
      <c r="B27927" s="0" t="s">
        <v>27747</v>
      </c>
    </row>
    <row r="27928" customFormat="false" ht="15" hidden="false" customHeight="false" outlineLevel="0" collapsed="false">
      <c r="A27928" s="2" t="b">
        <f aca="false">ISREF(Data!A1:B2)</f>
        <v>1</v>
      </c>
      <c r="B27928" s="0" t="s">
        <v>27748</v>
      </c>
    </row>
    <row r="27929" customFormat="false" ht="15" hidden="false" customHeight="false" outlineLevel="0" collapsed="false">
      <c r="A27929" s="2" t="b">
        <f aca="false">ISREF(INDEX(Data!A1:B2,1,1))</f>
        <v>1</v>
      </c>
      <c r="B27929" s="0" t="s">
        <v>27749</v>
      </c>
    </row>
    <row r="27930" customFormat="false" ht="15" hidden="false" customHeight="false" outlineLevel="0" collapsed="false">
      <c r="A27930" s="0" t="n">
        <f aca="false">AVERAGEIFS(Data!A1:A8,Data!B1:B8,"apple")</f>
        <v>4.33333333333333</v>
      </c>
      <c r="B27930" s="0" t="s">
        <v>27750</v>
      </c>
    </row>
    <row r="27931" customFormat="false" ht="15" hidden="false" customHeight="false" outlineLevel="0" collapsed="false">
      <c r="A27931" s="0" t="n">
        <f aca="false">AVERAGEIFS(Data!A1:A8,Data!B1:B8,"apple",Data!A1:A8,"&gt;3")</f>
        <v>6</v>
      </c>
      <c r="B27931" s="0" t="s">
        <v>27751</v>
      </c>
    </row>
    <row r="27932" customFormat="false" ht="15" hidden="false" customHeight="false" outlineLevel="0" collapsed="false">
      <c r="A27932" s="0" t="e">
        <f aca="false">AVERAGEIFS(Data!A1:A8,Data!B1:B8,"zzz")</f>
        <v>#DIV/0!</v>
      </c>
      <c r="B27932" s="0" t="s">
        <v>27752</v>
      </c>
    </row>
    <row r="27933" customFormat="false" ht="15" hidden="false" customHeight="false" outlineLevel="0" collapsed="false">
      <c r="A27933" s="0" t="n">
        <f aca="false">ERROR.TYPE(NA())</f>
        <v>7</v>
      </c>
      <c r="B27933" s="0" t="s">
        <v>27753</v>
      </c>
    </row>
    <row r="27934" customFormat="false" ht="15" hidden="false" customHeight="false" outlineLevel="0" collapsed="false">
      <c r="A27934" s="0" t="n">
        <f aca="false">ERROR.TYPE(1/0)</f>
        <v>2</v>
      </c>
      <c r="B27934" s="0" t="s">
        <v>27754</v>
      </c>
    </row>
    <row r="27935" customFormat="false" ht="15" hidden="false" customHeight="false" outlineLevel="0" collapsed="false">
      <c r="A27935" s="0" t="e">
        <f aca="false">ERROR.TYPE(1)</f>
        <v>#N/A</v>
      </c>
      <c r="B27935" s="0" t="s">
        <v>27755</v>
      </c>
    </row>
    <row r="27936" customFormat="false" ht="15" hidden="false" customHeight="false" outlineLevel="0" collapsed="false">
      <c r="A27936" s="0" t="n">
        <f aca="false">_xlfn.NUMBERVALUE("1.234,5",",",".")</f>
        <v>1234.5</v>
      </c>
      <c r="B27936" s="0" t="s">
        <v>27756</v>
      </c>
    </row>
    <row r="27937" customFormat="false" ht="15" hidden="false" customHeight="false" outlineLevel="0" collapsed="false">
      <c r="A27937" s="0" t="n">
        <f aca="false">_xlfn.NUMBERVALUE("12%")</f>
        <v>0.12</v>
      </c>
      <c r="B27937" s="0" t="s">
        <v>27757</v>
      </c>
    </row>
    <row r="27938" customFormat="false" ht="15" hidden="false" customHeight="false" outlineLevel="0" collapsed="false">
      <c r="A27938" s="0" t="e">
        <f aca="false">_xlfn.NUMBERVALUE("x")</f>
        <v>#VALUE!</v>
      </c>
      <c r="B27938" s="0" t="s">
        <v>27758</v>
      </c>
    </row>
    <row r="27939" customFormat="false" ht="15" hidden="false" customHeight="false" outlineLevel="0" collapsed="false">
      <c r="A27939" s="0" t="n">
        <f aca="false">_xlfn.SKEW.P(Data!A1:A8)</f>
        <v>0.132069461727924</v>
      </c>
      <c r="B27939" s="0" t="s">
        <v>361</v>
      </c>
    </row>
    <row r="27940" customFormat="false" ht="15" hidden="false" customHeight="false" outlineLevel="0" collapsed="false">
      <c r="A27940" s="0" t="n">
        <f aca="false">_xlfn.SKEW.P({1,2,3})</f>
        <v>0</v>
      </c>
      <c r="B27940" s="0" t="s">
        <v>27759</v>
      </c>
    </row>
    <row r="27941" customFormat="false" ht="15" hidden="false" customHeight="false" outlineLevel="0" collapsed="false">
      <c r="A27941" s="0" t="n">
        <f aca="false">_xlfn.HYPGEOM.DIST(2,5,5,10,TRUE())</f>
        <v>0.5</v>
      </c>
      <c r="B27941" s="0" t="s">
        <v>27760</v>
      </c>
    </row>
    <row r="27942" customFormat="false" ht="15" hidden="false" customHeight="false" outlineLevel="0" collapsed="false">
      <c r="A27942" s="0" t="n">
        <f aca="false">_xlfn.HYPGEOM.DIST(2,5,5,10,FALSE())</f>
        <v>0.396825396825397</v>
      </c>
      <c r="B27942" s="0" t="s">
        <v>27761</v>
      </c>
    </row>
    <row r="27943" customFormat="false" ht="15" hidden="false" customHeight="false" outlineLevel="0" collapsed="false">
      <c r="A27943" s="0" t="n">
        <f aca="false">_xlfn.HYPGEOM.DIST(2,5,5,10,0)</f>
        <v>0.396825396825397</v>
      </c>
      <c r="B27943" s="0" t="s">
        <v>27762</v>
      </c>
    </row>
    <row r="27944" customFormat="false" ht="15" hidden="false" customHeight="false" outlineLevel="0" collapsed="false">
      <c r="A27944" s="0" t="n">
        <f aca="false">ATAN(-689)</f>
        <v>-1.56934494900414</v>
      </c>
      <c r="B27944" s="0" t="s">
        <v>27763</v>
      </c>
    </row>
    <row r="27945" customFormat="false" ht="15" hidden="false" customHeight="false" outlineLevel="0" collapsed="false">
      <c r="A27945" s="0" t="n">
        <f aca="false">COS(-689)</f>
        <v>-0.547678818342451</v>
      </c>
      <c r="B27945" s="0" t="s">
        <v>27764</v>
      </c>
    </row>
    <row r="27946" customFormat="false" ht="15" hidden="false" customHeight="false" outlineLevel="0" collapsed="false">
      <c r="A27946" s="0" t="n">
        <f aca="false">TAN(-689)</f>
        <v>-1.52769950358223</v>
      </c>
      <c r="B27946" s="0" t="s">
        <v>27765</v>
      </c>
    </row>
    <row r="27947" customFormat="false" ht="15" hidden="false" customHeight="false" outlineLevel="0" collapsed="false">
      <c r="A27947" s="0" t="n">
        <f aca="false">RADIANS(-689)</f>
        <v>-12.0253185462409</v>
      </c>
      <c r="B27947" s="0" t="s">
        <v>27766</v>
      </c>
    </row>
    <row r="27948" customFormat="false" ht="15" hidden="false" customHeight="false" outlineLevel="0" collapsed="false">
      <c r="A27948" s="0" t="n">
        <f aca="false">DEGREES(-689)</f>
        <v>-39476.7920845137</v>
      </c>
      <c r="B27948" s="0" t="s">
        <v>27767</v>
      </c>
    </row>
    <row r="27949" customFormat="false" ht="15" hidden="false" customHeight="false" outlineLevel="0" collapsed="false">
      <c r="A27949" s="0" t="n">
        <f aca="false">SIN(-689)</f>
        <v>0.836688658904264</v>
      </c>
      <c r="B27949" s="0" t="s">
        <v>27768</v>
      </c>
    </row>
    <row r="27950" customFormat="false" ht="15" hidden="false" customHeight="false" outlineLevel="0" collapsed="false">
      <c r="A27950" s="0" t="n">
        <f aca="false">ATAN(-740.12)</f>
        <v>-1.56944519536826</v>
      </c>
      <c r="B27950" s="0" t="s">
        <v>27769</v>
      </c>
    </row>
    <row r="27951" customFormat="false" ht="15" hidden="false" customHeight="false" outlineLevel="0" collapsed="false">
      <c r="A27951" s="0" t="n">
        <f aca="false">COS(-740.12)</f>
        <v>0.27147964314116</v>
      </c>
      <c r="B27951" s="0" t="s">
        <v>27770</v>
      </c>
    </row>
    <row r="27952" customFormat="false" ht="15" hidden="false" customHeight="false" outlineLevel="0" collapsed="false">
      <c r="A27952" s="0" t="n">
        <f aca="false">TAN(-740.12)</f>
        <v>3.54517992881201</v>
      </c>
      <c r="B27952" s="0" t="s">
        <v>27771</v>
      </c>
    </row>
    <row r="27953" customFormat="false" ht="15" hidden="false" customHeight="false" outlineLevel="0" collapsed="false">
      <c r="A27953" s="0" t="n">
        <f aca="false">RADIANS(-740.12)</f>
        <v>-12.9175308598604</v>
      </c>
      <c r="B27953" s="0" t="s">
        <v>27772</v>
      </c>
    </row>
    <row r="27954" customFormat="false" ht="15" hidden="false" customHeight="false" outlineLevel="0" collapsed="false">
      <c r="A27954" s="0" t="n">
        <f aca="false">DEGREES(-740.12)</f>
        <v>-42405.7523332225</v>
      </c>
      <c r="B27954" s="0" t="s">
        <v>27773</v>
      </c>
    </row>
    <row r="27955" customFormat="false" ht="15" hidden="false" customHeight="false" outlineLevel="0" collapsed="false">
      <c r="A27955" s="0" t="n">
        <f aca="false">SIN(-740.12)</f>
        <v>0.962444181945087</v>
      </c>
      <c r="B27955" s="0" t="s">
        <v>27774</v>
      </c>
    </row>
    <row r="27956" customFormat="false" ht="15" hidden="false" customHeight="false" outlineLevel="0" collapsed="false">
      <c r="A27956" s="0" t="n">
        <f aca="false">ATAN(964)</f>
        <v>1.56975898276865</v>
      </c>
      <c r="B27956" s="0" t="s">
        <v>27775</v>
      </c>
    </row>
    <row r="27957" customFormat="false" ht="15" hidden="false" customHeight="false" outlineLevel="0" collapsed="false">
      <c r="A27957" s="0" t="n">
        <f aca="false">COS(964)</f>
        <v>-0.89204574421581</v>
      </c>
      <c r="B27957" s="0" t="s">
        <v>27776</v>
      </c>
    </row>
    <row r="27958" customFormat="false" ht="15" hidden="false" customHeight="false" outlineLevel="0" collapsed="false">
      <c r="A27958" s="0" t="n">
        <f aca="false">TAN(964)</f>
        <v>-0.506638949325861</v>
      </c>
      <c r="B27958" s="0" t="s">
        <v>27777</v>
      </c>
    </row>
    <row r="27959" customFormat="false" ht="15" hidden="false" customHeight="false" outlineLevel="0" collapsed="false">
      <c r="A27959" s="0" t="n">
        <f aca="false">RADIANS(964)</f>
        <v>16.8249739892253</v>
      </c>
      <c r="B27959" s="0" t="s">
        <v>27778</v>
      </c>
    </row>
    <row r="27960" customFormat="false" ht="15" hidden="false" customHeight="false" outlineLevel="0" collapsed="false">
      <c r="A27960" s="0" t="n">
        <f aca="false">DEGREES(964)</f>
        <v>55233.1314506114</v>
      </c>
      <c r="B27960" s="0" t="s">
        <v>27779</v>
      </c>
    </row>
    <row r="27961" customFormat="false" ht="15" hidden="false" customHeight="false" outlineLevel="0" collapsed="false">
      <c r="A27961" s="0" t="n">
        <f aca="false">SIN(964)</f>
        <v>0.451945118600104</v>
      </c>
      <c r="B27961" s="0" t="s">
        <v>27780</v>
      </c>
    </row>
    <row r="27962" customFormat="false" ht="15" hidden="false" customHeight="false" outlineLevel="0" collapsed="false">
      <c r="A27962" s="0" t="n">
        <f aca="false">ATAN(277.087859)</f>
        <v>1.56718737885289</v>
      </c>
      <c r="B27962" s="0" t="s">
        <v>27781</v>
      </c>
    </row>
    <row r="27963" customFormat="false" ht="15" hidden="false" customHeight="false" outlineLevel="0" collapsed="false">
      <c r="A27963" s="0" t="n">
        <f aca="false">COS(277.087859)</f>
        <v>0.809377182089583</v>
      </c>
      <c r="B27963" s="0" t="s">
        <v>27782</v>
      </c>
    </row>
    <row r="27964" customFormat="false" ht="15" hidden="false" customHeight="false" outlineLevel="0" collapsed="false">
      <c r="A27964" s="0" t="n">
        <f aca="false">TAN(277.087859)</f>
        <v>0.725606293003026</v>
      </c>
      <c r="B27964" s="0" t="s">
        <v>27783</v>
      </c>
    </row>
    <row r="27965" customFormat="false" ht="15" hidden="false" customHeight="false" outlineLevel="0" collapsed="false">
      <c r="A27965" s="0" t="n">
        <f aca="false">RADIANS(277.087859)</f>
        <v>4.8360954568518</v>
      </c>
      <c r="B27965" s="0" t="s">
        <v>27784</v>
      </c>
    </row>
    <row r="27966" customFormat="false" ht="15" hidden="false" customHeight="false" outlineLevel="0" collapsed="false">
      <c r="A27966" s="0" t="n">
        <f aca="false">DEGREES(277.087859)</f>
        <v>15875.964875016</v>
      </c>
      <c r="B27966" s="0" t="s">
        <v>27785</v>
      </c>
    </row>
    <row r="27967" customFormat="false" ht="15" hidden="false" customHeight="false" outlineLevel="0" collapsed="false">
      <c r="A27967" s="0" t="n">
        <f aca="false">SIN(277.087859)</f>
        <v>0.587289176737257</v>
      </c>
      <c r="B27967" s="0" t="s">
        <v>27786</v>
      </c>
    </row>
    <row r="27968" customFormat="false" ht="15" hidden="false" customHeight="false" outlineLevel="0" collapsed="false">
      <c r="A27968" s="0" t="n">
        <f aca="false">ATAN(-659.444362)</f>
        <v>-1.56927989979801</v>
      </c>
      <c r="B27968" s="0" t="s">
        <v>27787</v>
      </c>
    </row>
    <row r="27969" customFormat="false" ht="15" hidden="false" customHeight="false" outlineLevel="0" collapsed="false">
      <c r="A27969" s="0" t="n">
        <f aca="false">COS(-659.444362)</f>
        <v>0.958216633113271</v>
      </c>
      <c r="B27969" s="0" t="s">
        <v>27788</v>
      </c>
    </row>
    <row r="27970" customFormat="false" ht="15" hidden="false" customHeight="false" outlineLevel="0" collapsed="false">
      <c r="A27970" s="0" t="n">
        <f aca="false">TAN(-659.444362)</f>
        <v>0.298516525749297</v>
      </c>
      <c r="B27970" s="0" t="s">
        <v>27789</v>
      </c>
    </row>
    <row r="27971" customFormat="false" ht="15" hidden="false" customHeight="false" outlineLevel="0" collapsed="false">
      <c r="A27971" s="0" t="n">
        <f aca="false">RADIANS(-659.444362)</f>
        <v>-11.5094753506134</v>
      </c>
      <c r="B27971" s="0" t="s">
        <v>27790</v>
      </c>
    </row>
    <row r="27972" customFormat="false" ht="15" hidden="false" customHeight="false" outlineLevel="0" collapsed="false">
      <c r="A27972" s="0" t="n">
        <f aca="false">DEGREES(-659.444362)</f>
        <v>-37783.3787662972</v>
      </c>
      <c r="B27972" s="0" t="s">
        <v>27791</v>
      </c>
    </row>
    <row r="27973" customFormat="false" ht="15" hidden="false" customHeight="false" outlineLevel="0" collapsed="false">
      <c r="A27973" s="0" t="n">
        <f aca="false">SIN(-659.444362)</f>
        <v>0.286043500232162</v>
      </c>
      <c r="B27973" s="0" t="s">
        <v>27792</v>
      </c>
    </row>
    <row r="27974" customFormat="false" ht="15" hidden="false" customHeight="false" outlineLevel="0" collapsed="false">
      <c r="A27974" s="0" t="n">
        <f aca="false">ATAN(740)</f>
        <v>1.56944497626613</v>
      </c>
      <c r="B27974" s="0" t="s">
        <v>27793</v>
      </c>
    </row>
    <row r="27975" customFormat="false" ht="15" hidden="false" customHeight="false" outlineLevel="0" collapsed="false">
      <c r="A27975" s="0" t="n">
        <f aca="false">COS(740)</f>
        <v>0.15431101675604</v>
      </c>
      <c r="B27975" s="0" t="s">
        <v>27794</v>
      </c>
    </row>
    <row r="27976" customFormat="false" ht="15" hidden="false" customHeight="false" outlineLevel="0" collapsed="false">
      <c r="A27976" s="0" t="n">
        <f aca="false">TAN(740)</f>
        <v>-6.4027983448444</v>
      </c>
      <c r="B27976" s="0" t="s">
        <v>27795</v>
      </c>
    </row>
    <row r="27977" customFormat="false" ht="15" hidden="false" customHeight="false" outlineLevel="0" collapsed="false">
      <c r="A27977" s="0" t="n">
        <f aca="false">RADIANS(740)</f>
        <v>12.915436464758</v>
      </c>
      <c r="B27977" s="0" t="s">
        <v>27796</v>
      </c>
    </row>
    <row r="27978" customFormat="false" ht="15" hidden="false" customHeight="false" outlineLevel="0" collapsed="false">
      <c r="A27978" s="0" t="n">
        <f aca="false">DEGREES(740)</f>
        <v>42398.8768396809</v>
      </c>
      <c r="B27978" s="0" t="s">
        <v>27797</v>
      </c>
    </row>
    <row r="27979" customFormat="false" ht="15" hidden="false" customHeight="false" outlineLevel="0" collapsed="false">
      <c r="A27979" s="0" t="n">
        <f aca="false">SIN(740)</f>
        <v>-0.98802232267683</v>
      </c>
      <c r="B27979" s="0" t="s">
        <v>27798</v>
      </c>
    </row>
    <row r="27980" customFormat="false" ht="15" hidden="false" customHeight="false" outlineLevel="0" collapsed="false">
      <c r="A27980" s="0" t="n">
        <f aca="false">ATAN(-991.279293)</f>
        <v>-1.56978752971032</v>
      </c>
      <c r="B27980" s="0" t="s">
        <v>27799</v>
      </c>
    </row>
    <row r="27981" customFormat="false" ht="15" hidden="false" customHeight="false" outlineLevel="0" collapsed="false">
      <c r="A27981" s="0" t="n">
        <f aca="false">COS(-991.279293)</f>
        <v>0.106607815609708</v>
      </c>
      <c r="B27981" s="0" t="s">
        <v>27800</v>
      </c>
    </row>
    <row r="27982" customFormat="false" ht="15" hidden="false" customHeight="false" outlineLevel="0" collapsed="false">
      <c r="A27982" s="0" t="n">
        <f aca="false">TAN(-991.279293)</f>
        <v>9.32671908418668</v>
      </c>
      <c r="B27982" s="0" t="s">
        <v>27801</v>
      </c>
    </row>
    <row r="27983" customFormat="false" ht="15" hidden="false" customHeight="false" outlineLevel="0" collapsed="false">
      <c r="A27983" s="0" t="n">
        <f aca="false">RADIANS(-991.279293)</f>
        <v>-17.3010874696916</v>
      </c>
      <c r="B27983" s="0" t="s">
        <v>27802</v>
      </c>
    </row>
    <row r="27984" customFormat="false" ht="15" hidden="false" customHeight="false" outlineLevel="0" collapsed="false">
      <c r="A27984" s="0" t="n">
        <f aca="false">DEGREES(-991.279293)</f>
        <v>-56796.1198076121</v>
      </c>
      <c r="B27984" s="0" t="s">
        <v>27803</v>
      </c>
    </row>
    <row r="27985" customFormat="false" ht="15" hidden="false" customHeight="false" outlineLevel="0" collapsed="false">
      <c r="A27985" s="0" t="n">
        <f aca="false">SIN(-991.279293)</f>
        <v>0.994301148370516</v>
      </c>
      <c r="B27985" s="0" t="s">
        <v>27804</v>
      </c>
    </row>
    <row r="27986" customFormat="false" ht="15" hidden="false" customHeight="false" outlineLevel="0" collapsed="false">
      <c r="A27986" s="0" t="n">
        <f aca="false">ATAN(313.43)</f>
        <v>1.56760583256361</v>
      </c>
      <c r="B27986" s="0" t="s">
        <v>27805</v>
      </c>
    </row>
    <row r="27987" customFormat="false" ht="15" hidden="false" customHeight="false" outlineLevel="0" collapsed="false">
      <c r="A27987" s="0" t="n">
        <f aca="false">COS(313.43)</f>
        <v>0.745664111005779</v>
      </c>
      <c r="B27987" s="0" t="s">
        <v>27806</v>
      </c>
    </row>
    <row r="27988" customFormat="false" ht="15" hidden="false" customHeight="false" outlineLevel="0" collapsed="false">
      <c r="A27988" s="0" t="n">
        <f aca="false">TAN(313.43)</f>
        <v>-0.893595399833242</v>
      </c>
      <c r="B27988" s="0" t="s">
        <v>27807</v>
      </c>
    </row>
    <row r="27989" customFormat="false" ht="15" hidden="false" customHeight="false" outlineLevel="0" collapsed="false">
      <c r="A27989" s="0" t="n">
        <f aca="false">RADIANS(313.43)</f>
        <v>5.47038547452583</v>
      </c>
      <c r="B27989" s="0" t="s">
        <v>27808</v>
      </c>
    </row>
    <row r="27990" customFormat="false" ht="15" hidden="false" customHeight="false" outlineLevel="0" collapsed="false">
      <c r="A27990" s="0" t="n">
        <f aca="false">DEGREES(313.43)</f>
        <v>17958.2161727854</v>
      </c>
      <c r="B27990" s="0" t="s">
        <v>27809</v>
      </c>
    </row>
    <row r="27991" customFormat="false" ht="15" hidden="false" customHeight="false" outlineLevel="0" collapsed="false">
      <c r="A27991" s="0" t="n">
        <f aca="false">SIN(313.43)</f>
        <v>-0.666322019415508</v>
      </c>
      <c r="B27991" s="0" t="s">
        <v>27810</v>
      </c>
    </row>
    <row r="27992" customFormat="false" ht="15" hidden="false" customHeight="false" outlineLevel="0" collapsed="false">
      <c r="A27992" s="0" t="n">
        <f aca="false">ATAN(-106.8)</f>
        <v>-1.56143330453116</v>
      </c>
      <c r="B27992" s="0" t="s">
        <v>27811</v>
      </c>
    </row>
    <row r="27993" customFormat="false" ht="15" hidden="false" customHeight="false" outlineLevel="0" collapsed="false">
      <c r="A27993" s="0" t="n">
        <f aca="false">COS(-106.8)</f>
        <v>0.999899887278397</v>
      </c>
      <c r="B27993" s="0" t="s">
        <v>27812</v>
      </c>
    </row>
    <row r="27994" customFormat="false" ht="15" hidden="false" customHeight="false" outlineLevel="0" collapsed="false">
      <c r="A27994" s="0" t="n">
        <f aca="false">TAN(-106.8)</f>
        <v>0.0141511665558721</v>
      </c>
      <c r="B27994" s="0" t="s">
        <v>27813</v>
      </c>
    </row>
    <row r="27995" customFormat="false" ht="15" hidden="false" customHeight="false" outlineLevel="0" collapsed="false">
      <c r="A27995" s="0" t="n">
        <f aca="false">RADIANS(-106.8)</f>
        <v>-1.86401164112994</v>
      </c>
      <c r="B27995" s="0" t="s">
        <v>27814</v>
      </c>
    </row>
    <row r="27996" customFormat="false" ht="15" hidden="false" customHeight="false" outlineLevel="0" collapsed="false">
      <c r="A27996" s="0" t="n">
        <f aca="false">DEGREES(-106.8)</f>
        <v>-6119.18925199719</v>
      </c>
      <c r="B27996" s="0" t="s">
        <v>27815</v>
      </c>
    </row>
    <row r="27997" customFormat="false" ht="15" hidden="false" customHeight="false" outlineLevel="0" collapsed="false">
      <c r="A27997" s="0" t="n">
        <f aca="false">SIN(-106.8)</f>
        <v>0.0141497498440743</v>
      </c>
      <c r="B27997" s="0" t="s">
        <v>27816</v>
      </c>
    </row>
    <row r="27998" customFormat="false" ht="15" hidden="false" customHeight="false" outlineLevel="0" collapsed="false">
      <c r="A27998" s="0" t="n">
        <f aca="false">ATAN(-945.860943)</f>
        <v>-1.569739089328</v>
      </c>
      <c r="B27998" s="0" t="s">
        <v>27817</v>
      </c>
    </row>
    <row r="27999" customFormat="false" ht="15" hidden="false" customHeight="false" outlineLevel="0" collapsed="false">
      <c r="A27999" s="0" t="n">
        <f aca="false">COS(-945.860943)</f>
        <v>-0.970967347808686</v>
      </c>
      <c r="B27999" s="0" t="s">
        <v>27818</v>
      </c>
    </row>
    <row r="28000" customFormat="false" ht="15" hidden="false" customHeight="false" outlineLevel="0" collapsed="false">
      <c r="A28000" s="0" t="n">
        <f aca="false">TAN(-945.860943)</f>
        <v>-0.246364679724061</v>
      </c>
      <c r="B28000" s="0" t="s">
        <v>27819</v>
      </c>
    </row>
    <row r="28001" customFormat="false" ht="15" hidden="false" customHeight="false" outlineLevel="0" collapsed="false">
      <c r="A28001" s="0" t="n">
        <f aca="false">RADIANS(-945.860943)</f>
        <v>-16.5083877213684</v>
      </c>
      <c r="B28001" s="0" t="s">
        <v>27820</v>
      </c>
    </row>
    <row r="28002" customFormat="false" ht="15" hidden="false" customHeight="false" outlineLevel="0" collapsed="false">
      <c r="A28002" s="0" t="n">
        <f aca="false">DEGREES(-945.860943)</f>
        <v>-54193.8400401641</v>
      </c>
      <c r="B28002" s="0" t="s">
        <v>27821</v>
      </c>
    </row>
    <row r="28003" customFormat="false" ht="15" hidden="false" customHeight="false" outlineLevel="0" collapsed="false">
      <c r="A28003" s="0" t="n">
        <f aca="false">SIN(-945.860943)</f>
        <v>0.239212059665408</v>
      </c>
      <c r="B28003" s="0" t="s">
        <v>27822</v>
      </c>
    </row>
    <row r="28004" customFormat="false" ht="15" hidden="false" customHeight="false" outlineLevel="0" collapsed="false">
      <c r="A28004" s="0" t="n">
        <f aca="false">ATAN(266.244537)</f>
        <v>1.56704039884636</v>
      </c>
      <c r="B28004" s="0" t="s">
        <v>27823</v>
      </c>
    </row>
    <row r="28005" customFormat="false" ht="15" hidden="false" customHeight="false" outlineLevel="0" collapsed="false">
      <c r="A28005" s="0" t="n">
        <f aca="false">COS(266.244537)</f>
        <v>-0.703249397876513</v>
      </c>
      <c r="B28005" s="0" t="s">
        <v>27824</v>
      </c>
    </row>
    <row r="28006" customFormat="false" ht="15" hidden="false" customHeight="false" outlineLevel="0" collapsed="false">
      <c r="A28006" s="0" t="n">
        <f aca="false">TAN(266.244537)</f>
        <v>-1.01094041153228</v>
      </c>
      <c r="B28006" s="0" t="s">
        <v>27825</v>
      </c>
    </row>
    <row r="28007" customFormat="false" ht="15" hidden="false" customHeight="false" outlineLevel="0" collapsed="false">
      <c r="A28007" s="0" t="n">
        <f aca="false">RADIANS(266.244537)</f>
        <v>4.64684378609787</v>
      </c>
      <c r="B28007" s="0" t="s">
        <v>27826</v>
      </c>
    </row>
    <row r="28008" customFormat="false" ht="15" hidden="false" customHeight="false" outlineLevel="0" collapsed="false">
      <c r="A28008" s="0" t="n">
        <f aca="false">DEGREES(266.244537)</f>
        <v>15254.6882885147</v>
      </c>
      <c r="B28008" s="0" t="s">
        <v>27827</v>
      </c>
    </row>
    <row r="28009" customFormat="false" ht="15" hidden="false" customHeight="false" outlineLevel="0" collapsed="false">
      <c r="A28009" s="0" t="n">
        <f aca="false">SIN(266.244537)</f>
        <v>0.710943235699112</v>
      </c>
      <c r="B28009" s="0" t="s">
        <v>27828</v>
      </c>
    </row>
    <row r="28010" customFormat="false" ht="15" hidden="false" customHeight="false" outlineLevel="0" collapsed="false">
      <c r="A28010" s="0" t="n">
        <f aca="false">ATAN(-2.62)</f>
        <v>-1.20618265123371</v>
      </c>
      <c r="B28010" s="0" t="s">
        <v>27829</v>
      </c>
    </row>
    <row r="28011" customFormat="false" ht="15" hidden="false" customHeight="false" outlineLevel="0" collapsed="false">
      <c r="A28011" s="0" t="n">
        <f aca="false">COS(-2.62)</f>
        <v>-0.867026721445802</v>
      </c>
      <c r="B28011" s="0" t="s">
        <v>27830</v>
      </c>
    </row>
    <row r="28012" customFormat="false" ht="15" hidden="false" customHeight="false" outlineLevel="0" collapsed="false">
      <c r="A28012" s="0" t="n">
        <f aca="false">TAN(-2.62)</f>
        <v>0.574678530761967</v>
      </c>
      <c r="B28012" s="0" t="s">
        <v>27831</v>
      </c>
    </row>
    <row r="28013" customFormat="false" ht="15" hidden="false" customHeight="false" outlineLevel="0" collapsed="false">
      <c r="A28013" s="0" t="n">
        <f aca="false">RADIANS(-2.62)</f>
        <v>-0.0457276264022514</v>
      </c>
      <c r="B28013" s="0" t="s">
        <v>27832</v>
      </c>
    </row>
    <row r="28014" customFormat="false" ht="15" hidden="false" customHeight="false" outlineLevel="0" collapsed="false">
      <c r="A28014" s="0" t="n">
        <f aca="false">DEGREES(-2.62)</f>
        <v>-150.114942324276</v>
      </c>
      <c r="B28014" s="0" t="s">
        <v>27833</v>
      </c>
    </row>
    <row r="28015" customFormat="false" ht="15" hidden="false" customHeight="false" outlineLevel="0" collapsed="false">
      <c r="A28015" s="0" t="n">
        <f aca="false">SIN(-2.62)</f>
        <v>-0.498261642411839</v>
      </c>
      <c r="B28015" s="0" t="s">
        <v>27834</v>
      </c>
    </row>
    <row r="28016" customFormat="false" ht="15" hidden="false" customHeight="false" outlineLevel="0" collapsed="false">
      <c r="A28016" s="0" t="n">
        <f aca="false">ATAN(821.69)</f>
        <v>1.56957932341613</v>
      </c>
      <c r="B28016" s="0" t="s">
        <v>27835</v>
      </c>
    </row>
    <row r="28017" customFormat="false" ht="15" hidden="false" customHeight="false" outlineLevel="0" collapsed="false">
      <c r="A28017" s="0" t="n">
        <f aca="false">COS(821.69)</f>
        <v>0.162793324247006</v>
      </c>
      <c r="B28017" s="0" t="s">
        <v>27836</v>
      </c>
    </row>
    <row r="28018" customFormat="false" ht="15" hidden="false" customHeight="false" outlineLevel="0" collapsed="false">
      <c r="A28018" s="0" t="n">
        <f aca="false">TAN(821.69)</f>
        <v>-6.06081481602064</v>
      </c>
      <c r="B28018" s="0" t="s">
        <v>27837</v>
      </c>
    </row>
    <row r="28019" customFormat="false" ht="15" hidden="false" customHeight="false" outlineLevel="0" collapsed="false">
      <c r="A28019" s="0" t="n">
        <f aca="false">RADIANS(821.69)</f>
        <v>14.3411959307122</v>
      </c>
      <c r="B28019" s="0" t="s">
        <v>27838</v>
      </c>
    </row>
    <row r="28020" customFormat="false" ht="15" hidden="false" customHeight="false" outlineLevel="0" collapsed="false">
      <c r="A28020" s="0" t="n">
        <f aca="false">DEGREES(821.69)</f>
        <v>47079.3690681046</v>
      </c>
      <c r="B28020" s="0" t="s">
        <v>27839</v>
      </c>
    </row>
    <row r="28021" customFormat="false" ht="15" hidden="false" customHeight="false" outlineLevel="0" collapsed="false">
      <c r="A28021" s="0" t="n">
        <f aca="false">SIN(821.69)</f>
        <v>-0.986660191545503</v>
      </c>
      <c r="B28021" s="0" t="s">
        <v>27840</v>
      </c>
    </row>
    <row r="28022" customFormat="false" ht="15" hidden="false" customHeight="false" outlineLevel="0" collapsed="false">
      <c r="A28022" s="0" t="n">
        <f aca="false">ATAN(-114.617934)</f>
        <v>-1.56207191000289</v>
      </c>
      <c r="B28022" s="0" t="s">
        <v>27841</v>
      </c>
    </row>
    <row r="28023" customFormat="false" ht="15" hidden="false" customHeight="false" outlineLevel="0" collapsed="false">
      <c r="A28023" s="0" t="n">
        <f aca="false">COS(-114.617934)</f>
        <v>0.0501767770500559</v>
      </c>
      <c r="B28023" s="0" t="s">
        <v>27842</v>
      </c>
    </row>
    <row r="28024" customFormat="false" ht="15" hidden="false" customHeight="false" outlineLevel="0" collapsed="false">
      <c r="A28024" s="0" t="n">
        <f aca="false">TAN(-114.617934)</f>
        <v>-19.9044341004558</v>
      </c>
      <c r="B28024" s="0" t="s">
        <v>27843</v>
      </c>
    </row>
    <row r="28025" customFormat="false" ht="15" hidden="false" customHeight="false" outlineLevel="0" collapsed="false">
      <c r="A28025" s="0" t="n">
        <f aca="false">RADIANS(-114.617934)</f>
        <v>-2.00046033013355</v>
      </c>
      <c r="B28025" s="0" t="s">
        <v>27844</v>
      </c>
    </row>
    <row r="28026" customFormat="false" ht="15" hidden="false" customHeight="false" outlineLevel="0" collapsed="false">
      <c r="A28026" s="0" t="n">
        <f aca="false">DEGREES(-114.617934)</f>
        <v>-6567.12387470902</v>
      </c>
      <c r="B28026" s="0" t="s">
        <v>27845</v>
      </c>
    </row>
    <row r="28027" customFormat="false" ht="15" hidden="false" customHeight="false" outlineLevel="0" collapsed="false">
      <c r="A28027" s="0" t="n">
        <f aca="false">SIN(-114.617934)</f>
        <v>-0.998740352166102</v>
      </c>
      <c r="B28027" s="0" t="s">
        <v>27846</v>
      </c>
    </row>
    <row r="28028" customFormat="false" ht="15" hidden="false" customHeight="false" outlineLevel="0" collapsed="false">
      <c r="A28028" s="0" t="n">
        <f aca="false">ATAN(767.79)</f>
        <v>1.56949388806223</v>
      </c>
      <c r="B28028" s="0" t="s">
        <v>27847</v>
      </c>
    </row>
    <row r="28029" customFormat="false" ht="15" hidden="false" customHeight="false" outlineLevel="0" collapsed="false">
      <c r="A28029" s="0" t="n">
        <f aca="false">COS(767.79)</f>
        <v>0.323478942950884</v>
      </c>
      <c r="B28029" s="0" t="s">
        <v>27848</v>
      </c>
    </row>
    <row r="28030" customFormat="false" ht="15" hidden="false" customHeight="false" outlineLevel="0" collapsed="false">
      <c r="A28030" s="0" t="n">
        <f aca="false">TAN(767.79)</f>
        <v>2.92518381668457</v>
      </c>
      <c r="B28030" s="0" t="s">
        <v>27849</v>
      </c>
    </row>
    <row r="28031" customFormat="false" ht="15" hidden="false" customHeight="false" outlineLevel="0" collapsed="false">
      <c r="A28031" s="0" t="n">
        <f aca="false">RADIANS(767.79)</f>
        <v>13.4004634638873</v>
      </c>
      <c r="B28031" s="0" t="s">
        <v>27850</v>
      </c>
    </row>
    <row r="28032" customFormat="false" ht="15" hidden="false" customHeight="false" outlineLevel="0" collapsed="false">
      <c r="A28032" s="0" t="n">
        <f aca="false">DEGREES(767.79)</f>
        <v>43991.1265523495</v>
      </c>
      <c r="B28032" s="0" t="s">
        <v>27851</v>
      </c>
    </row>
    <row r="28033" customFormat="false" ht="15" hidden="false" customHeight="false" outlineLevel="0" collapsed="false">
      <c r="A28033" s="0" t="n">
        <f aca="false">SIN(767.79)</f>
        <v>0.946235368958157</v>
      </c>
      <c r="B28033" s="0" t="s">
        <v>27852</v>
      </c>
    </row>
    <row r="28034" customFormat="false" ht="15" hidden="false" customHeight="false" outlineLevel="0" collapsed="false">
      <c r="A28034" s="0" t="n">
        <f aca="false">ATAN(760)</f>
        <v>1.56948053808055</v>
      </c>
      <c r="B28034" s="0" t="s">
        <v>27853</v>
      </c>
    </row>
    <row r="28035" customFormat="false" ht="15" hidden="false" customHeight="false" outlineLevel="0" collapsed="false">
      <c r="A28035" s="0" t="n">
        <f aca="false">COS(760)</f>
        <v>0.964981844979017</v>
      </c>
      <c r="B28035" s="0" t="s">
        <v>27854</v>
      </c>
    </row>
    <row r="28036" customFormat="false" ht="15" hidden="false" customHeight="false" outlineLevel="0" collapsed="false">
      <c r="A28036" s="0" t="n">
        <f aca="false">TAN(760)</f>
        <v>-0.271835867211515</v>
      </c>
      <c r="B28036" s="0" t="s">
        <v>27855</v>
      </c>
    </row>
    <row r="28037" customFormat="false" ht="15" hidden="false" customHeight="false" outlineLevel="0" collapsed="false">
      <c r="A28037" s="0" t="n">
        <f aca="false">RADIANS(760)</f>
        <v>13.2645023151569</v>
      </c>
      <c r="B28037" s="0" t="s">
        <v>27856</v>
      </c>
    </row>
    <row r="28038" customFormat="false" ht="15" hidden="false" customHeight="false" outlineLevel="0" collapsed="false">
      <c r="A28038" s="0" t="n">
        <f aca="false">DEGREES(760)</f>
        <v>43544.7924299426</v>
      </c>
      <c r="B28038" s="0" t="s">
        <v>27857</v>
      </c>
    </row>
    <row r="28039" customFormat="false" ht="15" hidden="false" customHeight="false" outlineLevel="0" collapsed="false">
      <c r="A28039" s="0" t="n">
        <f aca="false">SIN(760)</f>
        <v>-0.262316676673239</v>
      </c>
      <c r="B28039" s="0" t="s">
        <v>27858</v>
      </c>
    </row>
    <row r="28040" customFormat="false" ht="15" hidden="false" customHeight="false" outlineLevel="0" collapsed="false">
      <c r="A28040" s="0" t="n">
        <f aca="false">ATAN(-675.280635)</f>
        <v>-1.56931546207409</v>
      </c>
      <c r="B28040" s="0" t="s">
        <v>27859</v>
      </c>
    </row>
    <row r="28041" customFormat="false" ht="15" hidden="false" customHeight="false" outlineLevel="0" collapsed="false">
      <c r="A28041" s="0" t="n">
        <f aca="false">COS(-675.280635)</f>
        <v>-0.986941243711473</v>
      </c>
      <c r="B28041" s="0" t="s">
        <v>27860</v>
      </c>
    </row>
    <row r="28042" customFormat="false" ht="15" hidden="false" customHeight="false" outlineLevel="0" collapsed="false">
      <c r="A28042" s="0" t="n">
        <f aca="false">TAN(-675.280635)</f>
        <v>0.163212013466208</v>
      </c>
      <c r="B28042" s="0" t="s">
        <v>27861</v>
      </c>
    </row>
    <row r="28043" customFormat="false" ht="15" hidden="false" customHeight="false" outlineLevel="0" collapsed="false">
      <c r="A28043" s="0" t="n">
        <f aca="false">RADIANS(-675.280635)</f>
        <v>-11.7858704557081</v>
      </c>
      <c r="B28043" s="0" t="s">
        <v>27862</v>
      </c>
    </row>
    <row r="28044" customFormat="false" ht="15" hidden="false" customHeight="false" outlineLevel="0" collapsed="false">
      <c r="A28044" s="0" t="n">
        <f aca="false">DEGREES(-675.280635)</f>
        <v>-38690.7303724142</v>
      </c>
      <c r="B28044" s="0" t="s">
        <v>27863</v>
      </c>
    </row>
    <row r="28045" customFormat="false" ht="15" hidden="false" customHeight="false" outlineLevel="0" collapsed="false">
      <c r="A28045" s="0" t="n">
        <f aca="false">SIN(-675.280635)</f>
        <v>-0.161080667558993</v>
      </c>
      <c r="B28045" s="0" t="s">
        <v>27864</v>
      </c>
    </row>
    <row r="28046" customFormat="false" ht="15" hidden="false" customHeight="false" outlineLevel="0" collapsed="false">
      <c r="A28046" s="0" t="n">
        <f aca="false">ATAN(-642)</f>
        <v>-1.56923869565586</v>
      </c>
      <c r="B28046" s="0" t="s">
        <v>27865</v>
      </c>
    </row>
    <row r="28047" customFormat="false" ht="15" hidden="false" customHeight="false" outlineLevel="0" collapsed="false">
      <c r="A28047" s="0" t="n">
        <f aca="false">COS(-642)</f>
        <v>0.440088886797569</v>
      </c>
      <c r="B28047" s="0" t="s">
        <v>27866</v>
      </c>
    </row>
    <row r="28048" customFormat="false" ht="15" hidden="false" customHeight="false" outlineLevel="0" collapsed="false">
      <c r="A28048" s="0" t="n">
        <f aca="false">TAN(-642)</f>
        <v>-2.04039284255786</v>
      </c>
      <c r="B28048" s="0" t="s">
        <v>27867</v>
      </c>
    </row>
    <row r="28049" customFormat="false" ht="15" hidden="false" customHeight="false" outlineLevel="0" collapsed="false">
      <c r="A28049" s="0" t="n">
        <f aca="false">RADIANS(-642)</f>
        <v>-11.2050137978036</v>
      </c>
      <c r="B28049" s="0" t="s">
        <v>27868</v>
      </c>
    </row>
    <row r="28050" customFormat="false" ht="15" hidden="false" customHeight="false" outlineLevel="0" collapsed="false">
      <c r="A28050" s="0" t="n">
        <f aca="false">DEGREES(-642)</f>
        <v>-36783.8904473989</v>
      </c>
      <c r="B28050" s="0" t="s">
        <v>27869</v>
      </c>
    </row>
    <row r="28051" customFormat="false" ht="15" hidden="false" customHeight="false" outlineLevel="0" collapsed="false">
      <c r="A28051" s="0" t="n">
        <f aca="false">SIN(-642)</f>
        <v>-0.897954214711015</v>
      </c>
      <c r="B28051" s="0" t="s">
        <v>27870</v>
      </c>
    </row>
    <row r="28052" customFormat="false" ht="15" hidden="false" customHeight="false" outlineLevel="0" collapsed="false">
      <c r="A28052" s="0" t="n">
        <f aca="false">ATAN(723.22)</f>
        <v>1.56941362255178</v>
      </c>
      <c r="B28052" s="0" t="s">
        <v>27871</v>
      </c>
    </row>
    <row r="28053" customFormat="false" ht="15" hidden="false" customHeight="false" outlineLevel="0" collapsed="false">
      <c r="A28053" s="0" t="n">
        <f aca="false">COS(723.22)</f>
        <v>0.793845444043153</v>
      </c>
      <c r="B28053" s="0" t="s">
        <v>27872</v>
      </c>
    </row>
    <row r="28054" customFormat="false" ht="15" hidden="false" customHeight="false" outlineLevel="0" collapsed="false">
      <c r="A28054" s="0" t="n">
        <f aca="false">TAN(723.22)</f>
        <v>0.766042778474415</v>
      </c>
      <c r="B28054" s="0" t="s">
        <v>27873</v>
      </c>
    </row>
    <row r="28055" customFormat="false" ht="15" hidden="false" customHeight="false" outlineLevel="0" collapsed="false">
      <c r="A28055" s="0" t="n">
        <f aca="false">RADIANS(723.22)</f>
        <v>12.6225702162734</v>
      </c>
      <c r="B28055" s="0" t="s">
        <v>27874</v>
      </c>
    </row>
    <row r="28056" customFormat="false" ht="15" hidden="false" customHeight="false" outlineLevel="0" collapsed="false">
      <c r="A28056" s="0" t="n">
        <f aca="false">DEGREES(723.22)</f>
        <v>41437.4536594514</v>
      </c>
      <c r="B28056" s="0" t="s">
        <v>27875</v>
      </c>
    </row>
    <row r="28057" customFormat="false" ht="15" hidden="false" customHeight="false" outlineLevel="0" collapsed="false">
      <c r="A28057" s="0" t="n">
        <f aca="false">SIN(723.22)</f>
        <v>0.608119569634072</v>
      </c>
      <c r="B28057" s="0" t="s">
        <v>27876</v>
      </c>
    </row>
    <row r="28058" customFormat="false" ht="15" hidden="false" customHeight="false" outlineLevel="0" collapsed="false">
      <c r="A28058" s="0" t="n">
        <f aca="false">ATAN(-912)</f>
        <v>-1.56969983600626</v>
      </c>
      <c r="B28058" s="0" t="s">
        <v>27877</v>
      </c>
    </row>
    <row r="28059" customFormat="false" ht="15" hidden="false" customHeight="false" outlineLevel="0" collapsed="false">
      <c r="A28059" s="0" t="n">
        <f aca="false">COS(-912)</f>
        <v>0.591296756454093</v>
      </c>
      <c r="B28059" s="0" t="s">
        <v>27878</v>
      </c>
    </row>
    <row r="28060" customFormat="false" ht="15" hidden="false" customHeight="false" outlineLevel="0" collapsed="false">
      <c r="A28060" s="0" t="n">
        <f aca="false">TAN(-912)</f>
        <v>-1.36387363543872</v>
      </c>
      <c r="B28060" s="0" t="s">
        <v>27879</v>
      </c>
    </row>
    <row r="28061" customFormat="false" ht="15" hidden="false" customHeight="false" outlineLevel="0" collapsed="false">
      <c r="A28061" s="0" t="n">
        <f aca="false">RADIANS(-912)</f>
        <v>-15.9174027781883</v>
      </c>
      <c r="B28061" s="0" t="s">
        <v>27880</v>
      </c>
    </row>
    <row r="28062" customFormat="false" ht="15" hidden="false" customHeight="false" outlineLevel="0" collapsed="false">
      <c r="A28062" s="0" t="n">
        <f aca="false">DEGREES(-912)</f>
        <v>-52253.7509159311</v>
      </c>
      <c r="B28062" s="0" t="s">
        <v>27881</v>
      </c>
    </row>
    <row r="28063" customFormat="false" ht="15" hidden="false" customHeight="false" outlineLevel="0" collapsed="false">
      <c r="A28063" s="0" t="n">
        <f aca="false">SIN(-912)</f>
        <v>-0.806454056848169</v>
      </c>
      <c r="B28063" s="0" t="s">
        <v>27882</v>
      </c>
    </row>
    <row r="28064" customFormat="false" ht="15" hidden="false" customHeight="false" outlineLevel="0" collapsed="false">
      <c r="A28064" s="0" t="n">
        <f aca="false">ATAN(-54.541713)</f>
        <v>-1.55246378982111</v>
      </c>
      <c r="B28064" s="0" t="s">
        <v>27883</v>
      </c>
    </row>
    <row r="28065" customFormat="false" ht="15" hidden="false" customHeight="false" outlineLevel="0" collapsed="false">
      <c r="A28065" s="0" t="n">
        <f aca="false">COS(-54.541713)</f>
        <v>-0.422460670926003</v>
      </c>
      <c r="B28065" s="0" t="s">
        <v>27884</v>
      </c>
    </row>
    <row r="28066" customFormat="false" ht="15" hidden="false" customHeight="false" outlineLevel="0" collapsed="false">
      <c r="A28066" s="0" t="n">
        <f aca="false">TAN(-54.541713)</f>
        <v>-2.14548079511093</v>
      </c>
      <c r="B28066" s="0" t="s">
        <v>27885</v>
      </c>
    </row>
    <row r="28067" customFormat="false" ht="15" hidden="false" customHeight="false" outlineLevel="0" collapsed="false">
      <c r="A28067" s="0" t="n">
        <f aca="false">RADIANS(-54.541713)</f>
        <v>-0.951932471527794</v>
      </c>
      <c r="B28067" s="0" t="s">
        <v>27886</v>
      </c>
    </row>
    <row r="28068" customFormat="false" ht="15" hidden="false" customHeight="false" outlineLevel="0" collapsed="false">
      <c r="A28068" s="0" t="n">
        <f aca="false">DEGREES(-54.541713)</f>
        <v>-3125.00996231382</v>
      </c>
      <c r="B28068" s="0" t="s">
        <v>27887</v>
      </c>
    </row>
    <row r="28069" customFormat="false" ht="15" hidden="false" customHeight="false" outlineLevel="0" collapsed="false">
      <c r="A28069" s="0" t="n">
        <f aca="false">SIN(-54.541713)</f>
        <v>0.906381256161419</v>
      </c>
      <c r="B28069" s="0" t="s">
        <v>27888</v>
      </c>
    </row>
    <row r="28070" customFormat="false" ht="15" hidden="false" customHeight="false" outlineLevel="0" collapsed="false">
      <c r="A28070" s="0" t="n">
        <f aca="false">ATAN(727.04)</f>
        <v>1.56942088752142</v>
      </c>
      <c r="B28070" s="0" t="s">
        <v>27889</v>
      </c>
    </row>
    <row r="28071" customFormat="false" ht="15" hidden="false" customHeight="false" outlineLevel="0" collapsed="false">
      <c r="A28071" s="0" t="n">
        <f aca="false">COS(727.04)</f>
        <v>-0.236439012270428</v>
      </c>
      <c r="B28071" s="0" t="s">
        <v>27890</v>
      </c>
    </row>
    <row r="28072" customFormat="false" ht="15" hidden="false" customHeight="false" outlineLevel="0" collapsed="false">
      <c r="A28072" s="0" t="n">
        <f aca="false">TAN(727.04)</f>
        <v>4.10950089052001</v>
      </c>
      <c r="B28072" s="0" t="s">
        <v>27891</v>
      </c>
    </row>
    <row r="28073" customFormat="false" ht="15" hidden="false" customHeight="false" outlineLevel="0" collapsed="false">
      <c r="A28073" s="0" t="n">
        <f aca="false">RADIANS(727.04)</f>
        <v>12.6892417936996</v>
      </c>
      <c r="B28073" s="0" t="s">
        <v>27892</v>
      </c>
    </row>
    <row r="28074" customFormat="false" ht="15" hidden="false" customHeight="false" outlineLevel="0" collapsed="false">
      <c r="A28074" s="0" t="n">
        <f aca="false">DEGREES(727.04)</f>
        <v>41656.3235371914</v>
      </c>
      <c r="B28074" s="0" t="s">
        <v>27893</v>
      </c>
    </row>
    <row r="28075" customFormat="false" ht="15" hidden="false" customHeight="false" outlineLevel="0" collapsed="false">
      <c r="A28075" s="0" t="n">
        <f aca="false">SIN(727.04)</f>
        <v>-0.971646331478993</v>
      </c>
      <c r="B28075" s="0" t="s">
        <v>27894</v>
      </c>
    </row>
    <row r="28076" customFormat="false" ht="15" hidden="false" customHeight="false" outlineLevel="0" collapsed="false">
      <c r="A28076" s="0" t="n">
        <f aca="false">ATAN(-127)</f>
        <v>-1.5629224737708</v>
      </c>
      <c r="B28076" s="0" t="s">
        <v>27895</v>
      </c>
    </row>
    <row r="28077" customFormat="false" ht="15" hidden="false" customHeight="false" outlineLevel="0" collapsed="false">
      <c r="A28077" s="0" t="n">
        <f aca="false">COS(-127)</f>
        <v>0.232359102029658</v>
      </c>
      <c r="B28077" s="0" t="s">
        <v>27896</v>
      </c>
    </row>
    <row r="28078" customFormat="false" ht="15" hidden="false" customHeight="false" outlineLevel="0" collapsed="false">
      <c r="A28078" s="0" t="n">
        <f aca="false">TAN(-127)</f>
        <v>-4.18589183185199</v>
      </c>
      <c r="B28078" s="0" t="s">
        <v>27897</v>
      </c>
    </row>
    <row r="28079" customFormat="false" ht="15" hidden="false" customHeight="false" outlineLevel="0" collapsed="false">
      <c r="A28079" s="0" t="n">
        <f aca="false">RADIANS(-127)</f>
        <v>-2.2165681500328</v>
      </c>
      <c r="B28079" s="0" t="s">
        <v>27898</v>
      </c>
    </row>
    <row r="28080" customFormat="false" ht="15" hidden="false" customHeight="false" outlineLevel="0" collapsed="false">
      <c r="A28080" s="0" t="n">
        <f aca="false">DEGREES(-127)</f>
        <v>-7276.56399816146</v>
      </c>
      <c r="B28080" s="0" t="s">
        <v>27899</v>
      </c>
    </row>
    <row r="28081" customFormat="false" ht="15" hidden="false" customHeight="false" outlineLevel="0" collapsed="false">
      <c r="A28081" s="0" t="n">
        <f aca="false">SIN(-127)</f>
        <v>-0.972630067242408</v>
      </c>
      <c r="B28081" s="0" t="s">
        <v>27900</v>
      </c>
    </row>
    <row r="28082" customFormat="false" ht="15" hidden="false" customHeight="false" outlineLevel="0" collapsed="false">
      <c r="A28082" s="0" t="n">
        <f aca="false">ATAN(-517)</f>
        <v>-1.56886209323027</v>
      </c>
      <c r="B28082" s="0" t="s">
        <v>27901</v>
      </c>
    </row>
    <row r="28083" customFormat="false" ht="15" hidden="false" customHeight="false" outlineLevel="0" collapsed="false">
      <c r="A28083" s="0" t="n">
        <f aca="false">COS(-517)</f>
        <v>-0.206511723997117</v>
      </c>
      <c r="B28083" s="0" t="s">
        <v>27902</v>
      </c>
    </row>
    <row r="28084" customFormat="false" ht="15" hidden="false" customHeight="false" outlineLevel="0" collapsed="false">
      <c r="A28084" s="0" t="n">
        <f aca="false">TAN(-517)</f>
        <v>4.73795921673293</v>
      </c>
      <c r="B28084" s="0" t="s">
        <v>27903</v>
      </c>
    </row>
    <row r="28085" customFormat="false" ht="15" hidden="false" customHeight="false" outlineLevel="0" collapsed="false">
      <c r="A28085" s="0" t="n">
        <f aca="false">RADIANS(-517)</f>
        <v>-9.02335223281068</v>
      </c>
      <c r="B28085" s="0" t="s">
        <v>27904</v>
      </c>
    </row>
    <row r="28086" customFormat="false" ht="15" hidden="false" customHeight="false" outlineLevel="0" collapsed="false">
      <c r="A28086" s="0" t="n">
        <f aca="false">DEGREES(-517)</f>
        <v>-29621.9180082636</v>
      </c>
      <c r="B28086" s="0" t="s">
        <v>27905</v>
      </c>
    </row>
    <row r="28087" customFormat="false" ht="15" hidden="false" customHeight="false" outlineLevel="0" collapsed="false">
      <c r="A28087" s="0" t="n">
        <f aca="false">SIN(-517)</f>
        <v>-0.978444126075546</v>
      </c>
      <c r="B28087" s="0" t="s">
        <v>27906</v>
      </c>
    </row>
    <row r="28088" customFormat="false" ht="15" hidden="false" customHeight="false" outlineLevel="0" collapsed="false">
      <c r="A28088" s="0" t="n">
        <f aca="false">ATAN(-299.23)</f>
        <v>-1.56745442833139</v>
      </c>
      <c r="B28088" s="0" t="s">
        <v>27907</v>
      </c>
    </row>
    <row r="28089" customFormat="false" ht="15" hidden="false" customHeight="false" outlineLevel="0" collapsed="false">
      <c r="A28089" s="0" t="n">
        <f aca="false">COS(-299.23)</f>
        <v>-0.711828668921166</v>
      </c>
      <c r="B28089" s="0" t="s">
        <v>27908</v>
      </c>
    </row>
    <row r="28090" customFormat="false" ht="15" hidden="false" customHeight="false" outlineLevel="0" collapsed="false">
      <c r="A28090" s="0" t="n">
        <f aca="false">TAN(-299.23)</f>
        <v>-0.986688482498109</v>
      </c>
      <c r="B28090" s="0" t="s">
        <v>27909</v>
      </c>
    </row>
    <row r="28091" customFormat="false" ht="15" hidden="false" customHeight="false" outlineLevel="0" collapsed="false">
      <c r="A28091" s="0" t="n">
        <f aca="false">RADIANS(-299.23)</f>
        <v>-5.22254872074263</v>
      </c>
      <c r="B28091" s="0" t="s">
        <v>27910</v>
      </c>
    </row>
    <row r="28092" customFormat="false" ht="15" hidden="false" customHeight="false" outlineLevel="0" collapsed="false">
      <c r="A28092" s="0" t="n">
        <f aca="false">DEGREES(-299.23)</f>
        <v>-17144.6161036996</v>
      </c>
      <c r="B28092" s="0" t="s">
        <v>27911</v>
      </c>
    </row>
    <row r="28093" customFormat="false" ht="15" hidden="false" customHeight="false" outlineLevel="0" collapsed="false">
      <c r="A28093" s="0" t="n">
        <f aca="false">SIN(-299.23)</f>
        <v>0.702353149136474</v>
      </c>
      <c r="B28093" s="0" t="s">
        <v>27912</v>
      </c>
    </row>
    <row r="28094" customFormat="false" ht="15" hidden="false" customHeight="false" outlineLevel="0" collapsed="false">
      <c r="A28094" s="0" t="n">
        <f aca="false">ATAN(-628)</f>
        <v>-1.56920397145286</v>
      </c>
      <c r="B28094" s="0" t="s">
        <v>27913</v>
      </c>
    </row>
    <row r="28095" customFormat="false" ht="15" hidden="false" customHeight="false" outlineLevel="0" collapsed="false">
      <c r="A28095" s="0" t="n">
        <f aca="false">COS(-628)</f>
        <v>0.949696580314825</v>
      </c>
      <c r="B28095" s="0" t="s">
        <v>27914</v>
      </c>
    </row>
    <row r="28096" customFormat="false" ht="15" hidden="false" customHeight="false" outlineLevel="0" collapsed="false">
      <c r="A28096" s="0" t="n">
        <f aca="false">TAN(-628)</f>
        <v>0.329759560595489</v>
      </c>
      <c r="B28096" s="0" t="s">
        <v>27915</v>
      </c>
    </row>
    <row r="28097" customFormat="false" ht="15" hidden="false" customHeight="false" outlineLevel="0" collapsed="false">
      <c r="A28097" s="0" t="n">
        <f aca="false">RADIANS(-628)</f>
        <v>-10.9606677025244</v>
      </c>
      <c r="B28097" s="0" t="s">
        <v>27916</v>
      </c>
    </row>
    <row r="28098" customFormat="false" ht="15" hidden="false" customHeight="false" outlineLevel="0" collapsed="false">
      <c r="A28098" s="0" t="n">
        <f aca="false">DEGREES(-628)</f>
        <v>-35981.7495342157</v>
      </c>
      <c r="B28098" s="0" t="s">
        <v>27917</v>
      </c>
    </row>
    <row r="28099" customFormat="false" ht="15" hidden="false" customHeight="false" outlineLevel="0" collapsed="false">
      <c r="A28099" s="0" t="n">
        <f aca="false">SIN(-628)</f>
        <v>0.313171527023655</v>
      </c>
      <c r="B28099" s="0" t="s">
        <v>27918</v>
      </c>
    </row>
    <row r="28100" customFormat="false" ht="15" hidden="false" customHeight="false" outlineLevel="0" collapsed="false">
      <c r="A28100" s="0" t="n">
        <f aca="false">ATAN(-950.82)</f>
        <v>-1.56974460340741</v>
      </c>
      <c r="B28100" s="0" t="s">
        <v>27919</v>
      </c>
    </row>
    <row r="28101" customFormat="false" ht="15" hidden="false" customHeight="false" outlineLevel="0" collapsed="false">
      <c r="A28101" s="0" t="n">
        <f aca="false">COS(-950.82)</f>
        <v>-0.469056612597226</v>
      </c>
      <c r="B28101" s="0" t="s">
        <v>27920</v>
      </c>
    </row>
    <row r="28102" customFormat="false" ht="15" hidden="false" customHeight="false" outlineLevel="0" collapsed="false">
      <c r="A28102" s="0" t="n">
        <f aca="false">TAN(-950.82)</f>
        <v>1.88286035636035</v>
      </c>
      <c r="B28102" s="0" t="s">
        <v>27921</v>
      </c>
    </row>
    <row r="28103" customFormat="false" ht="15" hidden="false" customHeight="false" outlineLevel="0" collapsed="false">
      <c r="A28103" s="0" t="n">
        <f aca="false">RADIANS(-950.82)</f>
        <v>-16.5949395938125</v>
      </c>
      <c r="B28103" s="0" t="s">
        <v>27922</v>
      </c>
    </row>
    <row r="28104" customFormat="false" ht="15" hidden="false" customHeight="false" outlineLevel="0" collapsed="false">
      <c r="A28104" s="0" t="n">
        <f aca="false">DEGREES(-950.82)</f>
        <v>-54477.9730766289</v>
      </c>
      <c r="B28104" s="0" t="s">
        <v>27923</v>
      </c>
    </row>
    <row r="28105" customFormat="false" ht="15" hidden="false" customHeight="false" outlineLevel="0" collapsed="false">
      <c r="A28105" s="0" t="n">
        <f aca="false">SIN(-950.82)</f>
        <v>-0.883168100747992</v>
      </c>
      <c r="B28105" s="0" t="s">
        <v>27924</v>
      </c>
    </row>
    <row r="28106" customFormat="false" ht="15" hidden="false" customHeight="false" outlineLevel="0" collapsed="false">
      <c r="A28106" s="0" t="n">
        <f aca="false">ATAN(-473.85)</f>
        <v>-1.56868595744711</v>
      </c>
      <c r="B28106" s="0" t="s">
        <v>27925</v>
      </c>
    </row>
    <row r="28107" customFormat="false" ht="15" hidden="false" customHeight="false" outlineLevel="0" collapsed="false">
      <c r="A28107" s="0" t="n">
        <f aca="false">COS(-473.85)</f>
        <v>-0.862558905455971</v>
      </c>
      <c r="B28107" s="0" t="s">
        <v>27926</v>
      </c>
    </row>
    <row r="28108" customFormat="false" ht="15" hidden="false" customHeight="false" outlineLevel="0" collapsed="false">
      <c r="A28108" s="0" t="n">
        <f aca="false">TAN(-473.85)</f>
        <v>0.586576348240596</v>
      </c>
      <c r="B28108" s="0" t="s">
        <v>27927</v>
      </c>
    </row>
    <row r="28109" customFormat="false" ht="15" hidden="false" customHeight="false" outlineLevel="0" collapsed="false">
      <c r="A28109" s="0" t="n">
        <f aca="false">RADIANS(-473.85)</f>
        <v>-8.27024266057513</v>
      </c>
      <c r="B28109" s="0" t="s">
        <v>27928</v>
      </c>
    </row>
    <row r="28110" customFormat="false" ht="15" hidden="false" customHeight="false" outlineLevel="0" collapsed="false">
      <c r="A28110" s="0" t="n">
        <f aca="false">DEGREES(-473.85)</f>
        <v>-27149.6051222741</v>
      </c>
      <c r="B28110" s="0" t="s">
        <v>27929</v>
      </c>
    </row>
    <row r="28111" customFormat="false" ht="15" hidden="false" customHeight="false" outlineLevel="0" collapsed="false">
      <c r="A28111" s="0" t="n">
        <f aca="false">SIN(-473.85)</f>
        <v>-0.505956652904769</v>
      </c>
      <c r="B28111" s="0" t="s">
        <v>27930</v>
      </c>
    </row>
    <row r="28112" customFormat="false" ht="15" hidden="false" customHeight="false" outlineLevel="0" collapsed="false">
      <c r="A28112" s="0" t="n">
        <f aca="false">ATAN(60.394664)</f>
        <v>1.55424008552461</v>
      </c>
      <c r="B28112" s="0" t="s">
        <v>27931</v>
      </c>
    </row>
    <row r="28113" customFormat="false" ht="15" hidden="false" customHeight="false" outlineLevel="0" collapsed="false">
      <c r="A28113" s="0" t="n">
        <f aca="false">COS(60.394664)</f>
        <v>-0.761997915455035</v>
      </c>
      <c r="B28113" s="0" t="s">
        <v>27932</v>
      </c>
    </row>
    <row r="28114" customFormat="false" ht="15" hidden="false" customHeight="false" outlineLevel="0" collapsed="false">
      <c r="A28114" s="0" t="n">
        <f aca="false">TAN(60.394664)</f>
        <v>0.849844155968372</v>
      </c>
      <c r="B28114" s="0" t="s">
        <v>27933</v>
      </c>
    </row>
    <row r="28115" customFormat="false" ht="15" hidden="false" customHeight="false" outlineLevel="0" collapsed="false">
      <c r="A28115" s="0" t="n">
        <f aca="false">RADIANS(60.394664)</f>
        <v>1.05408573743569</v>
      </c>
      <c r="B28115" s="0" t="s">
        <v>27934</v>
      </c>
    </row>
    <row r="28116" customFormat="false" ht="15" hidden="false" customHeight="false" outlineLevel="0" collapsed="false">
      <c r="A28116" s="0" t="n">
        <f aca="false">DEGREES(60.394664)</f>
        <v>3460.35935231069</v>
      </c>
      <c r="B28116" s="0" t="s">
        <v>27935</v>
      </c>
    </row>
    <row r="28117" customFormat="false" ht="15" hidden="false" customHeight="false" outlineLevel="0" collapsed="false">
      <c r="A28117" s="0" t="n">
        <f aca="false">SIN(60.394664)</f>
        <v>-0.647579475309542</v>
      </c>
      <c r="B28117" s="0" t="s">
        <v>27936</v>
      </c>
    </row>
    <row r="28118" customFormat="false" ht="15" hidden="false" customHeight="false" outlineLevel="0" collapsed="false">
      <c r="A28118" s="0" t="n">
        <f aca="false">ATAN(-892.82)</f>
        <v>-1.56967628066933</v>
      </c>
      <c r="B28118" s="0" t="s">
        <v>27937</v>
      </c>
    </row>
    <row r="28119" customFormat="false" ht="15" hidden="false" customHeight="false" outlineLevel="0" collapsed="false">
      <c r="A28119" s="0" t="n">
        <f aca="false">COS(-892.82)</f>
        <v>0.820971220270949</v>
      </c>
      <c r="B28119" s="0" t="s">
        <v>27938</v>
      </c>
    </row>
    <row r="28120" customFormat="false" ht="15" hidden="false" customHeight="false" outlineLevel="0" collapsed="false">
      <c r="A28120" s="0" t="n">
        <f aca="false">TAN(-892.82)</f>
        <v>-0.695480622004939</v>
      </c>
      <c r="B28120" s="0" t="s">
        <v>27939</v>
      </c>
    </row>
    <row r="28121" customFormat="false" ht="15" hidden="false" customHeight="false" outlineLevel="0" collapsed="false">
      <c r="A28121" s="0" t="n">
        <f aca="false">RADIANS(-892.82)</f>
        <v>-15.5826486276558</v>
      </c>
      <c r="B28121" s="0" t="s">
        <v>27940</v>
      </c>
    </row>
    <row r="28122" customFormat="false" ht="15" hidden="false" customHeight="false" outlineLevel="0" collapsed="false">
      <c r="A28122" s="0" t="n">
        <f aca="false">DEGREES(-892.82)</f>
        <v>-51154.8178648702</v>
      </c>
      <c r="B28122" s="0" t="s">
        <v>27941</v>
      </c>
    </row>
    <row r="28123" customFormat="false" ht="15" hidden="false" customHeight="false" outlineLevel="0" collapsed="false">
      <c r="A28123" s="0" t="n">
        <f aca="false">SIN(-892.82)</f>
        <v>-0.570969574922193</v>
      </c>
      <c r="B28123" s="0" t="s">
        <v>27942</v>
      </c>
    </row>
    <row r="28124" customFormat="false" ht="15" hidden="false" customHeight="false" outlineLevel="0" collapsed="false">
      <c r="A28124" s="0" t="n">
        <f aca="false">ATAN(-795.25)</f>
        <v>-1.56953886125208</v>
      </c>
      <c r="B28124" s="0" t="s">
        <v>27943</v>
      </c>
    </row>
    <row r="28125" customFormat="false" ht="15" hidden="false" customHeight="false" outlineLevel="0" collapsed="false">
      <c r="A28125" s="0" t="n">
        <f aca="false">COS(-795.25)</f>
        <v>-0.910187982271452</v>
      </c>
      <c r="B28125" s="0" t="s">
        <v>27944</v>
      </c>
    </row>
    <row r="28126" customFormat="false" ht="15" hidden="false" customHeight="false" outlineLevel="0" collapsed="false">
      <c r="A28126" s="0" t="n">
        <f aca="false">TAN(-795.25)</f>
        <v>-0.455065785506565</v>
      </c>
      <c r="B28126" s="0" t="s">
        <v>27945</v>
      </c>
    </row>
    <row r="28127" customFormat="false" ht="15" hidden="false" customHeight="false" outlineLevel="0" collapsed="false">
      <c r="A28127" s="0" t="n">
        <f aca="false">RADIANS(-795.25)</f>
        <v>-13.8797308764849</v>
      </c>
      <c r="B28127" s="0" t="s">
        <v>27946</v>
      </c>
    </row>
    <row r="28128" customFormat="false" ht="15" hidden="false" customHeight="false" outlineLevel="0" collapsed="false">
      <c r="A28128" s="0" t="n">
        <f aca="false">DEGREES(-795.25)</f>
        <v>-45564.4686577787</v>
      </c>
      <c r="B28128" s="0" t="s">
        <v>27947</v>
      </c>
    </row>
    <row r="28129" customFormat="false" ht="15" hidden="false" customHeight="false" outlineLevel="0" collapsed="false">
      <c r="A28129" s="0" t="n">
        <f aca="false">SIN(-795.25)</f>
        <v>0.414195409110993</v>
      </c>
      <c r="B28129" s="0" t="s">
        <v>27948</v>
      </c>
    </row>
    <row r="28130" customFormat="false" ht="15" hidden="false" customHeight="false" outlineLevel="0" collapsed="false">
      <c r="A28130" s="0" t="n">
        <f aca="false">ATAN(-795.863206)</f>
        <v>-1.56953983011783</v>
      </c>
      <c r="B28130" s="0" t="s">
        <v>27949</v>
      </c>
    </row>
    <row r="28131" customFormat="false" ht="15" hidden="false" customHeight="false" outlineLevel="0" collapsed="false">
      <c r="A28131" s="0" t="n">
        <f aca="false">COS(-795.863206)</f>
        <v>-0.505992011317043</v>
      </c>
      <c r="B28131" s="0" t="s">
        <v>27950</v>
      </c>
    </row>
    <row r="28132" customFormat="false" ht="15" hidden="false" customHeight="false" outlineLevel="0" collapsed="false">
      <c r="A28132" s="0" t="n">
        <f aca="false">TAN(-795.863206)</f>
        <v>-1.70464779044324</v>
      </c>
      <c r="B28132" s="0" t="s">
        <v>27951</v>
      </c>
    </row>
    <row r="28133" customFormat="false" ht="15" hidden="false" customHeight="false" outlineLevel="0" collapsed="false">
      <c r="A28133" s="0" t="n">
        <f aca="false">RADIANS(-795.863206)</f>
        <v>-13.8904333401779</v>
      </c>
      <c r="B28133" s="0" t="s">
        <v>27952</v>
      </c>
    </row>
    <row r="28134" customFormat="false" ht="15" hidden="false" customHeight="false" outlineLevel="0" collapsed="false">
      <c r="A28134" s="0" t="n">
        <f aca="false">DEGREES(-795.863206)</f>
        <v>-45599.6027735508</v>
      </c>
      <c r="B28134" s="0" t="s">
        <v>27953</v>
      </c>
    </row>
    <row r="28135" customFormat="false" ht="15" hidden="false" customHeight="false" outlineLevel="0" collapsed="false">
      <c r="A28135" s="0" t="n">
        <f aca="false">SIN(-795.863206)</f>
        <v>0.862538164073529</v>
      </c>
      <c r="B28135" s="0" t="s">
        <v>27954</v>
      </c>
    </row>
    <row r="28136" customFormat="false" ht="15" hidden="false" customHeight="false" outlineLevel="0" collapsed="false">
      <c r="A28136" s="0" t="n">
        <f aca="false">ATAN(966.6)</f>
        <v>1.56976177305681</v>
      </c>
      <c r="B28136" s="0" t="s">
        <v>27955</v>
      </c>
    </row>
    <row r="28137" customFormat="false" ht="15" hidden="false" customHeight="false" outlineLevel="0" collapsed="false">
      <c r="A28137" s="0" t="n">
        <f aca="false">COS(966.6)</f>
        <v>0.531405637082812</v>
      </c>
      <c r="B28137" s="0" t="s">
        <v>27956</v>
      </c>
    </row>
    <row r="28138" customFormat="false" ht="15" hidden="false" customHeight="false" outlineLevel="0" collapsed="false">
      <c r="A28138" s="0" t="n">
        <f aca="false">TAN(966.6)</f>
        <v>-1.59410709075175</v>
      </c>
      <c r="B28138" s="0" t="s">
        <v>27957</v>
      </c>
    </row>
    <row r="28139" customFormat="false" ht="15" hidden="false" customHeight="false" outlineLevel="0" collapsed="false">
      <c r="A28139" s="0" t="n">
        <f aca="false">RADIANS(966.6)</f>
        <v>16.8703525497772</v>
      </c>
      <c r="B28139" s="0" t="s">
        <v>27958</v>
      </c>
    </row>
    <row r="28140" customFormat="false" ht="15" hidden="false" customHeight="false" outlineLevel="0" collapsed="false">
      <c r="A28140" s="0" t="n">
        <f aca="false">DEGREES(966.6)</f>
        <v>55382.1004773454</v>
      </c>
      <c r="B28140" s="0" t="s">
        <v>27959</v>
      </c>
    </row>
    <row r="28141" customFormat="false" ht="15" hidden="false" customHeight="false" outlineLevel="0" collapsed="false">
      <c r="A28141" s="0" t="n">
        <f aca="false">SIN(966.6)</f>
        <v>-0.847117494139161</v>
      </c>
      <c r="B28141" s="0" t="s">
        <v>27960</v>
      </c>
    </row>
    <row r="28142" customFormat="false" ht="15" hidden="false" customHeight="false" outlineLevel="0" collapsed="false">
      <c r="A28142" s="0" t="n">
        <f aca="false">ATAN(326)</f>
        <v>1.56772885175339</v>
      </c>
      <c r="B28142" s="0" t="s">
        <v>27961</v>
      </c>
    </row>
    <row r="28143" customFormat="false" ht="15" hidden="false" customHeight="false" outlineLevel="0" collapsed="false">
      <c r="A28143" s="0" t="n">
        <f aca="false">COS(326)</f>
        <v>0.748077534163434</v>
      </c>
      <c r="B28143" s="0" t="s">
        <v>27962</v>
      </c>
    </row>
    <row r="28144" customFormat="false" ht="15" hidden="false" customHeight="false" outlineLevel="0" collapsed="false">
      <c r="A28144" s="0" t="n">
        <f aca="false">TAN(326)</f>
        <v>-0.887088976603276</v>
      </c>
      <c r="B28144" s="0" t="s">
        <v>27963</v>
      </c>
    </row>
    <row r="28145" customFormat="false" ht="15" hidden="false" customHeight="false" outlineLevel="0" collapsed="false">
      <c r="A28145" s="0" t="n">
        <f aca="false">RADIANS(326)</f>
        <v>5.68977336150151</v>
      </c>
      <c r="B28145" s="0" t="s">
        <v>27964</v>
      </c>
    </row>
    <row r="28146" customFormat="false" ht="15" hidden="false" customHeight="false" outlineLevel="0" collapsed="false">
      <c r="A28146" s="0" t="n">
        <f aca="false">DEGREES(326)</f>
        <v>18678.4241212648</v>
      </c>
      <c r="B28146" s="0" t="s">
        <v>27965</v>
      </c>
    </row>
    <row r="28147" customFormat="false" ht="15" hidden="false" customHeight="false" outlineLevel="0" collapsed="false">
      <c r="A28147" s="0" t="n">
        <f aca="false">SIN(326)</f>
        <v>-0.663611334200943</v>
      </c>
      <c r="B28147" s="0" t="s">
        <v>27966</v>
      </c>
    </row>
    <row r="28148" customFormat="false" ht="15" hidden="false" customHeight="false" outlineLevel="0" collapsed="false">
      <c r="A28148" s="0" t="n">
        <f aca="false">ATAN(478.607153)</f>
        <v>1.56870693356593</v>
      </c>
      <c r="B28148" s="0" t="s">
        <v>27967</v>
      </c>
    </row>
    <row r="28149" customFormat="false" ht="15" hidden="false" customHeight="false" outlineLevel="0" collapsed="false">
      <c r="A28149" s="0" t="n">
        <f aca="false">COS(478.607153)</f>
        <v>0.466851105207736</v>
      </c>
      <c r="B28149" s="0" t="s">
        <v>27968</v>
      </c>
    </row>
    <row r="28150" customFormat="false" ht="15" hidden="false" customHeight="false" outlineLevel="0" collapsed="false">
      <c r="A28150" s="0" t="n">
        <f aca="false">TAN(478.607153)</f>
        <v>1.8942569160237</v>
      </c>
      <c r="B28150" s="0" t="s">
        <v>27969</v>
      </c>
    </row>
    <row r="28151" customFormat="false" ht="15" hidden="false" customHeight="false" outlineLevel="0" collapsed="false">
      <c r="A28151" s="0" t="n">
        <f aca="false">RADIANS(478.607153)</f>
        <v>8.35327064344626</v>
      </c>
      <c r="B28151" s="0" t="s">
        <v>27970</v>
      </c>
    </row>
    <row r="28152" customFormat="false" ht="15" hidden="false" customHeight="false" outlineLevel="0" collapsed="false">
      <c r="A28152" s="0" t="n">
        <f aca="false">DEGREES(478.607153)</f>
        <v>27422.1699116721</v>
      </c>
      <c r="B28152" s="0" t="s">
        <v>27971</v>
      </c>
    </row>
    <row r="28153" customFormat="false" ht="15" hidden="false" customHeight="false" outlineLevel="0" collapsed="false">
      <c r="A28153" s="0" t="n">
        <f aca="false">SIN(478.607153)</f>
        <v>0.88433593479306</v>
      </c>
      <c r="B28153" s="0" t="s">
        <v>27972</v>
      </c>
    </row>
    <row r="28154" customFormat="false" ht="15" hidden="false" customHeight="false" outlineLevel="0" collapsed="false">
      <c r="A28154" s="0" t="n">
        <f aca="false">ATAN(402)</f>
        <v>1.56830876973681</v>
      </c>
      <c r="B28154" s="0" t="s">
        <v>27973</v>
      </c>
    </row>
    <row r="28155" customFormat="false" ht="15" hidden="false" customHeight="false" outlineLevel="0" collapsed="false">
      <c r="A28155" s="0" t="n">
        <f aca="false">COS(402)</f>
        <v>0.992339193731948</v>
      </c>
      <c r="B28155" s="0" t="s">
        <v>27974</v>
      </c>
    </row>
    <row r="28156" customFormat="false" ht="15" hidden="false" customHeight="false" outlineLevel="0" collapsed="false">
      <c r="A28156" s="0" t="n">
        <f aca="false">TAN(402)</f>
        <v>-0.124496956442313</v>
      </c>
      <c r="B28156" s="0" t="s">
        <v>27975</v>
      </c>
    </row>
    <row r="28157" customFormat="false" ht="15" hidden="false" customHeight="false" outlineLevel="0" collapsed="false">
      <c r="A28157" s="0" t="n">
        <f aca="false">RADIANS(402)</f>
        <v>7.01622359301721</v>
      </c>
      <c r="B28157" s="0" t="s">
        <v>27976</v>
      </c>
    </row>
    <row r="28158" customFormat="false" ht="15" hidden="false" customHeight="false" outlineLevel="0" collapsed="false">
      <c r="A28158" s="0" t="n">
        <f aca="false">DEGREES(402)</f>
        <v>23032.9033642591</v>
      </c>
      <c r="B28158" s="0" t="s">
        <v>27977</v>
      </c>
    </row>
    <row r="28159" customFormat="false" ht="15" hidden="false" customHeight="false" outlineLevel="0" collapsed="false">
      <c r="A28159" s="0" t="n">
        <f aca="false">SIN(402)</f>
        <v>-0.123543209378046</v>
      </c>
      <c r="B28159" s="0" t="s">
        <v>27978</v>
      </c>
    </row>
    <row r="28160" customFormat="false" ht="15" hidden="false" customHeight="false" outlineLevel="0" collapsed="false">
      <c r="A28160" s="0" t="n">
        <f aca="false">ATAN(-522.59578)</f>
        <v>-1.56888280430247</v>
      </c>
      <c r="B28160" s="0" t="s">
        <v>27979</v>
      </c>
    </row>
    <row r="28161" customFormat="false" ht="15" hidden="false" customHeight="false" outlineLevel="0" collapsed="false">
      <c r="A28161" s="0" t="n">
        <f aca="false">COS(-522.59578)</f>
        <v>0.4612440763689</v>
      </c>
      <c r="B28161" s="0" t="s">
        <v>27980</v>
      </c>
    </row>
    <row r="28162" customFormat="false" ht="15" hidden="false" customHeight="false" outlineLevel="0" collapsed="false">
      <c r="A28162" s="0" t="n">
        <f aca="false">TAN(-522.59578)</f>
        <v>-1.92365244689729</v>
      </c>
      <c r="B28162" s="0" t="s">
        <v>27981</v>
      </c>
    </row>
    <row r="28163" customFormat="false" ht="15" hidden="false" customHeight="false" outlineLevel="0" collapsed="false">
      <c r="A28163" s="0" t="n">
        <f aca="false">RADIANS(-522.59578)</f>
        <v>-9.12101701802793</v>
      </c>
      <c r="B28163" s="0" t="s">
        <v>27982</v>
      </c>
    </row>
    <row r="28164" customFormat="false" ht="15" hidden="false" customHeight="false" outlineLevel="0" collapsed="false">
      <c r="A28164" s="0" t="n">
        <f aca="false">DEGREES(-522.59578)</f>
        <v>-29942.5325853473</v>
      </c>
      <c r="B28164" s="0" t="s">
        <v>27983</v>
      </c>
    </row>
    <row r="28165" customFormat="false" ht="15" hidden="false" customHeight="false" outlineLevel="0" collapsed="false">
      <c r="A28165" s="0" t="n">
        <f aca="false">SIN(-522.59578)</f>
        <v>-0.887273296123917</v>
      </c>
      <c r="B28165" s="0" t="s">
        <v>27984</v>
      </c>
    </row>
    <row r="28166" customFormat="false" ht="15" hidden="false" customHeight="false" outlineLevel="0" collapsed="false">
      <c r="A28166" s="0" t="n">
        <f aca="false">ATAN(-339.85)</f>
        <v>-1.56785386066583</v>
      </c>
      <c r="B28166" s="0" t="s">
        <v>27985</v>
      </c>
    </row>
    <row r="28167" customFormat="false" ht="15" hidden="false" customHeight="false" outlineLevel="0" collapsed="false">
      <c r="A28167" s="0" t="n">
        <f aca="false">COS(-339.85)</f>
        <v>0.848319276297099</v>
      </c>
      <c r="B28167" s="0" t="s">
        <v>27986</v>
      </c>
    </row>
    <row r="28168" customFormat="false" ht="15" hidden="false" customHeight="false" outlineLevel="0" collapsed="false">
      <c r="A28168" s="0" t="n">
        <f aca="false">TAN(-339.85)</f>
        <v>-0.6241577349371</v>
      </c>
      <c r="B28168" s="0" t="s">
        <v>27987</v>
      </c>
    </row>
    <row r="28169" customFormat="false" ht="15" hidden="false" customHeight="false" outlineLevel="0" collapsed="false">
      <c r="A28169" s="0" t="n">
        <f aca="false">RADIANS(-339.85)</f>
        <v>-5.93150146290273</v>
      </c>
      <c r="B28169" s="0" t="s">
        <v>27988</v>
      </c>
    </row>
    <row r="28170" customFormat="false" ht="15" hidden="false" customHeight="false" outlineLevel="0" collapsed="false">
      <c r="A28170" s="0" t="n">
        <f aca="false">DEGREES(-339.85)</f>
        <v>-19471.970667521</v>
      </c>
      <c r="B28170" s="0" t="s">
        <v>27989</v>
      </c>
    </row>
    <row r="28171" customFormat="false" ht="15" hidden="false" customHeight="false" outlineLevel="0" collapsed="false">
      <c r="A28171" s="0" t="n">
        <f aca="false">SIN(-339.85)</f>
        <v>-0.529485037997077</v>
      </c>
      <c r="B28171" s="0" t="s">
        <v>27990</v>
      </c>
    </row>
    <row r="28172" customFormat="false" ht="15" hidden="false" customHeight="false" outlineLevel="0" collapsed="false">
      <c r="A28172" s="0" t="n">
        <f aca="false">ATAN(519.918)</f>
        <v>1.56887294894133</v>
      </c>
      <c r="B28172" s="0" t="s">
        <v>27991</v>
      </c>
    </row>
    <row r="28173" customFormat="false" ht="15" hidden="false" customHeight="false" outlineLevel="0" collapsed="false">
      <c r="A28173" s="0" t="n">
        <f aca="false">COS(519.918)</f>
        <v>-0.0155835383067832</v>
      </c>
      <c r="B28173" s="0" t="s">
        <v>27992</v>
      </c>
    </row>
    <row r="28174" customFormat="false" ht="15" hidden="false" customHeight="false" outlineLevel="0" collapsed="false">
      <c r="A28174" s="0" t="n">
        <f aca="false">TAN(519.918)</f>
        <v>64.1624866965539</v>
      </c>
      <c r="B28174" s="0" t="s">
        <v>27993</v>
      </c>
    </row>
    <row r="28175" customFormat="false" ht="15" hidden="false" customHeight="false" outlineLevel="0" collapsed="false">
      <c r="A28175" s="0" t="n">
        <f aca="false">RADIANS(519.918)</f>
        <v>9.07428094038388</v>
      </c>
      <c r="B28175" s="0" t="s">
        <v>27994</v>
      </c>
    </row>
    <row r="28176" customFormat="false" ht="15" hidden="false" customHeight="false" outlineLevel="0" collapsed="false">
      <c r="A28176" s="0" t="n">
        <f aca="false">DEGREES(519.918)</f>
        <v>29789.1070928827</v>
      </c>
      <c r="B28176" s="0" t="s">
        <v>27995</v>
      </c>
    </row>
    <row r="28177" customFormat="false" ht="15" hidden="false" customHeight="false" outlineLevel="0" collapsed="false">
      <c r="A28177" s="0" t="n">
        <f aca="false">SIN(519.918)</f>
        <v>-0.999878569294212</v>
      </c>
      <c r="B28177" s="0" t="s">
        <v>27996</v>
      </c>
    </row>
    <row r="28178" customFormat="false" ht="15" hidden="false" customHeight="false" outlineLevel="0" collapsed="false">
      <c r="A28178" s="0" t="n">
        <f aca="false">ATAN(-755)</f>
        <v>-1.56947182425817</v>
      </c>
      <c r="B28178" s="0" t="s">
        <v>27997</v>
      </c>
    </row>
    <row r="28179" customFormat="false" ht="15" hidden="false" customHeight="false" outlineLevel="0" collapsed="false">
      <c r="A28179" s="0" t="n">
        <f aca="false">COS(-755)</f>
        <v>0.525270687990015</v>
      </c>
      <c r="B28179" s="0" t="s">
        <v>27998</v>
      </c>
    </row>
    <row r="28180" customFormat="false" ht="15" hidden="false" customHeight="false" outlineLevel="0" collapsed="false">
      <c r="A28180" s="0" t="n">
        <f aca="false">TAN(-755)</f>
        <v>-1.61999367835883</v>
      </c>
      <c r="B28180" s="0" t="s">
        <v>27999</v>
      </c>
    </row>
    <row r="28181" customFormat="false" ht="15" hidden="false" customHeight="false" outlineLevel="0" collapsed="false">
      <c r="A28181" s="0" t="n">
        <f aca="false">RADIANS(-755)</f>
        <v>-13.1772358525572</v>
      </c>
      <c r="B28181" s="0" t="s">
        <v>28000</v>
      </c>
    </row>
    <row r="28182" customFormat="false" ht="15" hidden="false" customHeight="false" outlineLevel="0" collapsed="false">
      <c r="A28182" s="0" t="n">
        <f aca="false">DEGREES(-755)</f>
        <v>-43258.3135323772</v>
      </c>
      <c r="B28182" s="0" t="s">
        <v>28001</v>
      </c>
    </row>
    <row r="28183" customFormat="false" ht="15" hidden="false" customHeight="false" outlineLevel="0" collapsed="false">
      <c r="A28183" s="0" t="n">
        <f aca="false">SIN(-755)</f>
        <v>-0.850935193971019</v>
      </c>
      <c r="B28183" s="0" t="s">
        <v>28002</v>
      </c>
    </row>
    <row r="28184" customFormat="false" ht="15" hidden="false" customHeight="false" outlineLevel="0" collapsed="false">
      <c r="A28184" s="0" t="str">
        <f aca="true">CELL("address",Data!B3)</f>
        <v>Data!$B$3</v>
      </c>
      <c r="B28184" s="0" t="s">
        <v>28003</v>
      </c>
    </row>
    <row r="28185" customFormat="false" ht="15" hidden="false" customHeight="false" outlineLevel="0" collapsed="false">
      <c r="A28185" s="0" t="str">
        <f aca="true">CELL("ADDRESS",Data!B3)</f>
        <v>Data!$B$3</v>
      </c>
      <c r="B28185" s="0" t="s">
        <v>28004</v>
      </c>
    </row>
    <row r="28186" customFormat="false" ht="15" hidden="false" customHeight="false" outlineLevel="0" collapsed="false">
      <c r="A28186" s="0" t="n">
        <f aca="true">CELL("col",Data!B3)</f>
        <v>2</v>
      </c>
      <c r="B28186" s="0" t="s">
        <v>28005</v>
      </c>
    </row>
    <row r="28187" customFormat="false" ht="15" hidden="false" customHeight="false" outlineLevel="0" collapsed="false">
      <c r="A28187" s="0" t="n">
        <f aca="true">CELL("row",Data!B3)</f>
        <v>3</v>
      </c>
      <c r="B28187" s="0" t="s">
        <v>28006</v>
      </c>
    </row>
    <row r="28188" customFormat="false" ht="15" hidden="false" customHeight="false" outlineLevel="0" collapsed="false">
      <c r="A28188" s="0" t="n">
        <f aca="true">CELL("sheet",Data!B3)</f>
        <v>1</v>
      </c>
      <c r="B28188" s="0" t="s">
        <v>28007</v>
      </c>
    </row>
    <row r="28189" customFormat="false" ht="15" hidden="false" customHeight="false" outlineLevel="0" collapsed="false">
      <c r="A28189" s="0" t="str">
        <f aca="true">CELL("coord",Data!B3)</f>
        <v>$A:$B$3</v>
      </c>
      <c r="B28189" s="0" t="s">
        <v>28008</v>
      </c>
    </row>
    <row r="28190" customFormat="false" ht="15" hidden="false" customHeight="false" outlineLevel="0" collapsed="false">
      <c r="A28190" s="0" t="str">
        <f aca="true">CELL("contents",Data!B3)</f>
        <v>cherry</v>
      </c>
      <c r="B28190" s="0" t="s">
        <v>28009</v>
      </c>
    </row>
    <row r="28191" customFormat="false" ht="15" hidden="false" customHeight="false" outlineLevel="0" collapsed="false">
      <c r="A28191" s="0" t="str">
        <f aca="true">CELL("type",Data!B3)</f>
        <v>l</v>
      </c>
      <c r="B28191" s="0" t="s">
        <v>28010</v>
      </c>
    </row>
    <row r="28192" customFormat="false" ht="15" hidden="false" customHeight="false" outlineLevel="0" collapsed="false">
      <c r="A28192" s="0" t="str">
        <f aca="true">CELL("Contents",Data!B3)</f>
        <v>cherry</v>
      </c>
      <c r="B28192" s="0" t="s">
        <v>28011</v>
      </c>
    </row>
    <row r="28193" customFormat="false" ht="15" hidden="false" customHeight="false" outlineLevel="0" collapsed="false">
      <c r="A28193" s="0" t="n">
        <f aca="true">CELL("ROW",Data!B3)</f>
        <v>3</v>
      </c>
      <c r="B28193" s="0" t="s">
        <v>28012</v>
      </c>
    </row>
    <row r="28194" customFormat="false" ht="15" hidden="false" customHeight="false" outlineLevel="0" collapsed="false">
      <c r="A28194" s="0" t="str">
        <f aca="true">CELL("address",Data!B3:C5)</f>
        <v>Data!$B$3</v>
      </c>
      <c r="B28194" s="0" t="s">
        <v>28013</v>
      </c>
    </row>
    <row r="28195" customFormat="false" ht="15" hidden="false" customHeight="false" outlineLevel="0" collapsed="false">
      <c r="A28195" s="0" t="str">
        <f aca="true">CELL("ADDRESS",Data!B3:C5)</f>
        <v>Data!$B$3</v>
      </c>
      <c r="B28195" s="0" t="s">
        <v>28014</v>
      </c>
    </row>
    <row r="28196" customFormat="false" ht="15" hidden="false" customHeight="false" outlineLevel="0" collapsed="false">
      <c r="A28196" s="0" t="n">
        <f aca="true">CELL("col",Data!B3:C5)</f>
        <v>2</v>
      </c>
      <c r="B28196" s="0" t="s">
        <v>28015</v>
      </c>
    </row>
    <row r="28197" customFormat="false" ht="15" hidden="false" customHeight="false" outlineLevel="0" collapsed="false">
      <c r="A28197" s="0" t="n">
        <f aca="true">CELL("row",Data!B3:C5)</f>
        <v>3</v>
      </c>
      <c r="B28197" s="0" t="s">
        <v>28016</v>
      </c>
    </row>
    <row r="28198" customFormat="false" ht="15" hidden="false" customHeight="false" outlineLevel="0" collapsed="false">
      <c r="A28198" s="0" t="n">
        <f aca="true">CELL("sheet",Data!B3:C5)</f>
        <v>1</v>
      </c>
      <c r="B28198" s="0" t="s">
        <v>28017</v>
      </c>
    </row>
    <row r="28199" customFormat="false" ht="15" hidden="false" customHeight="false" outlineLevel="0" collapsed="false">
      <c r="A28199" s="0" t="str">
        <f aca="true">CELL("coord",Data!B3:C5)</f>
        <v>$A:$B$3</v>
      </c>
      <c r="B28199" s="0" t="s">
        <v>28018</v>
      </c>
    </row>
    <row r="28200" customFormat="false" ht="15" hidden="false" customHeight="false" outlineLevel="0" collapsed="false">
      <c r="A28200" s="0" t="str">
        <f aca="true">CELL("contents",Data!B3:C5)</f>
        <v>cherry</v>
      </c>
      <c r="B28200" s="0" t="s">
        <v>28019</v>
      </c>
    </row>
    <row r="28201" customFormat="false" ht="15" hidden="false" customHeight="false" outlineLevel="0" collapsed="false">
      <c r="A28201" s="0" t="str">
        <f aca="true">CELL("type",Data!B3:C5)</f>
        <v>l</v>
      </c>
      <c r="B28201" s="0" t="s">
        <v>28020</v>
      </c>
    </row>
    <row r="28202" customFormat="false" ht="15" hidden="false" customHeight="false" outlineLevel="0" collapsed="false">
      <c r="A28202" s="0" t="str">
        <f aca="true">CELL("Contents",Data!B3:C5)</f>
        <v>cherry</v>
      </c>
      <c r="B28202" s="0" t="s">
        <v>28021</v>
      </c>
    </row>
    <row r="28203" customFormat="false" ht="15" hidden="false" customHeight="false" outlineLevel="0" collapsed="false">
      <c r="A28203" s="0" t="n">
        <f aca="true">CELL("ROW",Data!B3:C5)</f>
        <v>3</v>
      </c>
      <c r="B28203" s="0" t="s">
        <v>28022</v>
      </c>
    </row>
    <row r="28204" customFormat="false" ht="15" hidden="false" customHeight="false" outlineLevel="0" collapsed="false">
      <c r="A28204" s="0" t="str">
        <f aca="true">CELL("address",Data!A1)</f>
        <v>Data!$A$1</v>
      </c>
      <c r="B28204" s="0" t="s">
        <v>28023</v>
      </c>
    </row>
    <row r="28205" customFormat="false" ht="15" hidden="false" customHeight="false" outlineLevel="0" collapsed="false">
      <c r="A28205" s="0" t="str">
        <f aca="true">CELL("ADDRESS",Data!A1)</f>
        <v>Data!$A$1</v>
      </c>
      <c r="B28205" s="0" t="s">
        <v>28024</v>
      </c>
    </row>
    <row r="28206" customFormat="false" ht="15" hidden="false" customHeight="false" outlineLevel="0" collapsed="false">
      <c r="A28206" s="0" t="n">
        <f aca="true">CELL("col",Data!A1)</f>
        <v>1</v>
      </c>
      <c r="B28206" s="0" t="s">
        <v>28025</v>
      </c>
    </row>
    <row r="28207" customFormat="false" ht="15" hidden="false" customHeight="false" outlineLevel="0" collapsed="false">
      <c r="A28207" s="0" t="n">
        <f aca="true">CELL("row",Data!A1)</f>
        <v>1</v>
      </c>
      <c r="B28207" s="0" t="s">
        <v>28026</v>
      </c>
    </row>
    <row r="28208" customFormat="false" ht="15" hidden="false" customHeight="false" outlineLevel="0" collapsed="false">
      <c r="A28208" s="0" t="n">
        <f aca="true">CELL("sheet",Data!A1)</f>
        <v>1</v>
      </c>
      <c r="B28208" s="0" t="s">
        <v>28027</v>
      </c>
    </row>
    <row r="28209" customFormat="false" ht="15" hidden="false" customHeight="false" outlineLevel="0" collapsed="false">
      <c r="A28209" s="0" t="str">
        <f aca="true">CELL("coord",Data!A1)</f>
        <v>$A:$A$1</v>
      </c>
      <c r="B28209" s="0" t="s">
        <v>28028</v>
      </c>
    </row>
    <row r="28210" customFormat="false" ht="15" hidden="false" customHeight="false" outlineLevel="0" collapsed="false">
      <c r="A28210" s="0" t="n">
        <f aca="true">CELL("contents",Data!A1)</f>
        <v>5</v>
      </c>
      <c r="B28210" s="0" t="s">
        <v>28029</v>
      </c>
    </row>
    <row r="28211" customFormat="false" ht="15" hidden="false" customHeight="false" outlineLevel="0" collapsed="false">
      <c r="A28211" s="0" t="str">
        <f aca="true">CELL("type",Data!A1)</f>
        <v>v</v>
      </c>
      <c r="B28211" s="0" t="s">
        <v>28030</v>
      </c>
    </row>
    <row r="28212" customFormat="false" ht="15" hidden="false" customHeight="false" outlineLevel="0" collapsed="false">
      <c r="A28212" s="0" t="n">
        <f aca="true">CELL("Contents",Data!A1)</f>
        <v>5</v>
      </c>
      <c r="B28212" s="0" t="s">
        <v>28031</v>
      </c>
    </row>
    <row r="28213" customFormat="false" ht="15" hidden="false" customHeight="false" outlineLevel="0" collapsed="false">
      <c r="A28213" s="0" t="n">
        <f aca="true">CELL("ROW",Data!A1)</f>
        <v>1</v>
      </c>
      <c r="B28213" s="0" t="s">
        <v>28032</v>
      </c>
    </row>
    <row r="28214" customFormat="false" ht="15" hidden="false" customHeight="false" outlineLevel="0" collapsed="false">
      <c r="A28214" s="0" t="str">
        <f aca="true">CELL("address",Data!H8)</f>
        <v>Data!$H$8</v>
      </c>
      <c r="B28214" s="0" t="s">
        <v>28033</v>
      </c>
    </row>
    <row r="28215" customFormat="false" ht="15" hidden="false" customHeight="false" outlineLevel="0" collapsed="false">
      <c r="A28215" s="0" t="str">
        <f aca="true">CELL("ADDRESS",Data!H8)</f>
        <v>Data!$H$8</v>
      </c>
      <c r="B28215" s="0" t="s">
        <v>28034</v>
      </c>
    </row>
    <row r="28216" customFormat="false" ht="15" hidden="false" customHeight="false" outlineLevel="0" collapsed="false">
      <c r="A28216" s="0" t="n">
        <f aca="true">CELL("col",Data!H8)</f>
        <v>8</v>
      </c>
      <c r="B28216" s="0" t="s">
        <v>28035</v>
      </c>
    </row>
    <row r="28217" customFormat="false" ht="15" hidden="false" customHeight="false" outlineLevel="0" collapsed="false">
      <c r="A28217" s="0" t="n">
        <f aca="true">CELL("row",Data!H8)</f>
        <v>8</v>
      </c>
      <c r="B28217" s="0" t="s">
        <v>28036</v>
      </c>
    </row>
    <row r="28218" customFormat="false" ht="15" hidden="false" customHeight="false" outlineLevel="0" collapsed="false">
      <c r="A28218" s="0" t="n">
        <f aca="true">CELL("sheet",Data!H8)</f>
        <v>1</v>
      </c>
      <c r="B28218" s="0" t="s">
        <v>28037</v>
      </c>
    </row>
    <row r="28219" customFormat="false" ht="15" hidden="false" customHeight="false" outlineLevel="0" collapsed="false">
      <c r="A28219" s="0" t="str">
        <f aca="true">CELL("coord",Data!H8)</f>
        <v>$A:$H$8</v>
      </c>
      <c r="B28219" s="0" t="s">
        <v>28038</v>
      </c>
    </row>
    <row r="28220" customFormat="false" ht="15" hidden="false" customHeight="false" outlineLevel="0" collapsed="false">
      <c r="A28220" s="0" t="n">
        <f aca="true">CELL("contents",Data!H8)</f>
        <v>0</v>
      </c>
      <c r="B28220" s="0" t="s">
        <v>28039</v>
      </c>
    </row>
    <row r="28221" customFormat="false" ht="15" hidden="false" customHeight="false" outlineLevel="0" collapsed="false">
      <c r="A28221" s="0" t="str">
        <f aca="true">CELL("type",Data!H8)</f>
        <v>b</v>
      </c>
      <c r="B28221" s="0" t="s">
        <v>28040</v>
      </c>
    </row>
    <row r="28222" customFormat="false" ht="15" hidden="false" customHeight="false" outlineLevel="0" collapsed="false">
      <c r="A28222" s="0" t="n">
        <f aca="true">CELL("Contents",Data!H8)</f>
        <v>0</v>
      </c>
      <c r="B28222" s="0" t="s">
        <v>28041</v>
      </c>
    </row>
    <row r="28223" customFormat="false" ht="15" hidden="false" customHeight="false" outlineLevel="0" collapsed="false">
      <c r="A28223" s="0" t="n">
        <f aca="true">CELL("ROW",Data!H8)</f>
        <v>8</v>
      </c>
      <c r="B28223" s="0" t="s">
        <v>28042</v>
      </c>
    </row>
    <row r="28224" customFormat="false" ht="15" hidden="false" customHeight="false" outlineLevel="0" collapsed="false">
      <c r="A28224" s="0" t="str">
        <f aca="true">CELL("address",Data!Z9)</f>
        <v>Data!$Z$9</v>
      </c>
      <c r="B28224" s="0" t="s">
        <v>28043</v>
      </c>
    </row>
    <row r="28225" customFormat="false" ht="15" hidden="false" customHeight="false" outlineLevel="0" collapsed="false">
      <c r="A28225" s="0" t="str">
        <f aca="true">CELL("ADDRESS",Data!Z9)</f>
        <v>Data!$Z$9</v>
      </c>
      <c r="B28225" s="0" t="s">
        <v>28044</v>
      </c>
    </row>
    <row r="28226" customFormat="false" ht="15" hidden="false" customHeight="false" outlineLevel="0" collapsed="false">
      <c r="A28226" s="0" t="n">
        <f aca="true">CELL("col",Data!Z9)</f>
        <v>26</v>
      </c>
      <c r="B28226" s="0" t="s">
        <v>28045</v>
      </c>
    </row>
    <row r="28227" customFormat="false" ht="15" hidden="false" customHeight="false" outlineLevel="0" collapsed="false">
      <c r="A28227" s="0" t="n">
        <f aca="true">CELL("row",Data!Z9)</f>
        <v>9</v>
      </c>
      <c r="B28227" s="0" t="s">
        <v>28046</v>
      </c>
    </row>
    <row r="28228" customFormat="false" ht="15" hidden="false" customHeight="false" outlineLevel="0" collapsed="false">
      <c r="A28228" s="0" t="n">
        <f aca="true">CELL("sheet",Data!Z9)</f>
        <v>1</v>
      </c>
      <c r="B28228" s="0" t="s">
        <v>28047</v>
      </c>
    </row>
    <row r="28229" customFormat="false" ht="15" hidden="false" customHeight="false" outlineLevel="0" collapsed="false">
      <c r="A28229" s="0" t="str">
        <f aca="true">CELL("coord",Data!Z9)</f>
        <v>$A:$Z$9</v>
      </c>
      <c r="B28229" s="0" t="s">
        <v>28048</v>
      </c>
    </row>
    <row r="28230" customFormat="false" ht="15" hidden="false" customHeight="false" outlineLevel="0" collapsed="false">
      <c r="A28230" s="0" t="n">
        <f aca="true">CELL("contents",Data!Z9)</f>
        <v>0</v>
      </c>
      <c r="B28230" s="0" t="s">
        <v>28049</v>
      </c>
    </row>
    <row r="28231" customFormat="false" ht="15" hidden="false" customHeight="false" outlineLevel="0" collapsed="false">
      <c r="A28231" s="0" t="str">
        <f aca="true">CELL("type",Data!Z9)</f>
        <v>b</v>
      </c>
      <c r="B28231" s="0" t="s">
        <v>28050</v>
      </c>
    </row>
    <row r="28232" customFormat="false" ht="15" hidden="false" customHeight="false" outlineLevel="0" collapsed="false">
      <c r="A28232" s="0" t="n">
        <f aca="true">CELL("Contents",Data!Z9)</f>
        <v>0</v>
      </c>
      <c r="B28232" s="0" t="s">
        <v>28051</v>
      </c>
    </row>
    <row r="28233" customFormat="false" ht="15" hidden="false" customHeight="false" outlineLevel="0" collapsed="false">
      <c r="A28233" s="0" t="n">
        <f aca="true">CELL("ROW",Data!Z9)</f>
        <v>9</v>
      </c>
      <c r="B28233" s="0" t="s">
        <v>28052</v>
      </c>
    </row>
    <row r="28234" customFormat="false" ht="15" hidden="false" customHeight="false" outlineLevel="0" collapsed="false">
      <c r="A28234" s="0" t="str">
        <f aca="true">CELL("address",Data!1:1)</f>
        <v>Data!$A$1</v>
      </c>
      <c r="B28234" s="0" t="s">
        <v>28053</v>
      </c>
    </row>
    <row r="28235" customFormat="false" ht="15" hidden="false" customHeight="false" outlineLevel="0" collapsed="false">
      <c r="A28235" s="0" t="str">
        <f aca="true">CELL("ADDRESS",Data!1:1)</f>
        <v>Data!$A$1</v>
      </c>
      <c r="B28235" s="0" t="s">
        <v>28054</v>
      </c>
    </row>
    <row r="28236" customFormat="false" ht="15" hidden="false" customHeight="false" outlineLevel="0" collapsed="false">
      <c r="A28236" s="0" t="n">
        <f aca="true">CELL("col",Data!1:1)</f>
        <v>1</v>
      </c>
      <c r="B28236" s="0" t="s">
        <v>28055</v>
      </c>
    </row>
    <row r="28237" customFormat="false" ht="15" hidden="false" customHeight="false" outlineLevel="0" collapsed="false">
      <c r="A28237" s="0" t="n">
        <f aca="true">CELL("row",Data!1:1)</f>
        <v>1</v>
      </c>
      <c r="B28237" s="0" t="s">
        <v>28056</v>
      </c>
    </row>
    <row r="28238" customFormat="false" ht="15" hidden="false" customHeight="false" outlineLevel="0" collapsed="false">
      <c r="A28238" s="0" t="n">
        <f aca="true">CELL("sheet",Data!1:1)</f>
        <v>1</v>
      </c>
      <c r="B28238" s="0" t="s">
        <v>28057</v>
      </c>
    </row>
    <row r="28239" customFormat="false" ht="15" hidden="false" customHeight="false" outlineLevel="0" collapsed="false">
      <c r="A28239" s="0" t="str">
        <f aca="true">CELL("coord",Data!1:1)</f>
        <v>$A:$A$1</v>
      </c>
      <c r="B28239" s="0" t="s">
        <v>28058</v>
      </c>
    </row>
    <row r="28240" customFormat="false" ht="15" hidden="false" customHeight="false" outlineLevel="0" collapsed="false">
      <c r="A28240" s="0" t="n">
        <f aca="true">CELL("contents",Data!1:1)</f>
        <v>5</v>
      </c>
      <c r="B28240" s="0" t="s">
        <v>28059</v>
      </c>
    </row>
    <row r="28241" customFormat="false" ht="15" hidden="false" customHeight="false" outlineLevel="0" collapsed="false">
      <c r="A28241" s="0" t="str">
        <f aca="true">CELL("type",Data!1:1)</f>
        <v>v</v>
      </c>
      <c r="B28241" s="0" t="s">
        <v>28060</v>
      </c>
    </row>
    <row r="28242" customFormat="false" ht="15" hidden="false" customHeight="false" outlineLevel="0" collapsed="false">
      <c r="A28242" s="0" t="n">
        <f aca="true">CELL("Contents",Data!1:1)</f>
        <v>5</v>
      </c>
      <c r="B28242" s="0" t="s">
        <v>28061</v>
      </c>
    </row>
    <row r="28243" customFormat="false" ht="15" hidden="false" customHeight="false" outlineLevel="0" collapsed="false">
      <c r="A28243" s="0" t="n">
        <f aca="true">CELL("ROW",Data!1:1)</f>
        <v>1</v>
      </c>
      <c r="B28243" s="0" t="s">
        <v>28062</v>
      </c>
    </row>
    <row r="28244" customFormat="false" ht="15" hidden="false" customHeight="false" outlineLevel="0" collapsed="false">
      <c r="A28244" s="0" t="str">
        <f aca="true">CELL("address",Data!A:A)</f>
        <v>Data!$A$1</v>
      </c>
      <c r="B28244" s="0" t="s">
        <v>28063</v>
      </c>
    </row>
    <row r="28245" customFormat="false" ht="15" hidden="false" customHeight="false" outlineLevel="0" collapsed="false">
      <c r="A28245" s="0" t="str">
        <f aca="true">CELL("ADDRESS",Data!A:A)</f>
        <v>Data!$A$1</v>
      </c>
      <c r="B28245" s="0" t="s">
        <v>28064</v>
      </c>
    </row>
    <row r="28246" customFormat="false" ht="15" hidden="false" customHeight="false" outlineLevel="0" collapsed="false">
      <c r="A28246" s="0" t="n">
        <f aca="true">CELL("col",Data!A:A)</f>
        <v>1</v>
      </c>
      <c r="B28246" s="0" t="s">
        <v>28065</v>
      </c>
    </row>
    <row r="28247" customFormat="false" ht="15" hidden="false" customHeight="false" outlineLevel="0" collapsed="false">
      <c r="A28247" s="0" t="n">
        <f aca="true">CELL("row",Data!A:A)</f>
        <v>1</v>
      </c>
      <c r="B28247" s="0" t="s">
        <v>28066</v>
      </c>
    </row>
    <row r="28248" customFormat="false" ht="15" hidden="false" customHeight="false" outlineLevel="0" collapsed="false">
      <c r="A28248" s="0" t="n">
        <f aca="true">CELL("sheet",Data!A:A)</f>
        <v>1</v>
      </c>
      <c r="B28248" s="0" t="s">
        <v>28067</v>
      </c>
    </row>
    <row r="28249" customFormat="false" ht="15" hidden="false" customHeight="false" outlineLevel="0" collapsed="false">
      <c r="A28249" s="0" t="str">
        <f aca="true">CELL("coord",Data!A:A)</f>
        <v>$A:$A$1</v>
      </c>
      <c r="B28249" s="0" t="s">
        <v>28068</v>
      </c>
    </row>
    <row r="28250" customFormat="false" ht="15" hidden="false" customHeight="false" outlineLevel="0" collapsed="false">
      <c r="A28250" s="0" t="n">
        <f aca="true">CELL("contents",Data!A:A)</f>
        <v>5</v>
      </c>
      <c r="B28250" s="0" t="s">
        <v>28069</v>
      </c>
    </row>
    <row r="28251" customFormat="false" ht="15" hidden="false" customHeight="false" outlineLevel="0" collapsed="false">
      <c r="A28251" s="0" t="str">
        <f aca="true">CELL("type",Data!A:A)</f>
        <v>v</v>
      </c>
      <c r="B28251" s="0" t="s">
        <v>28070</v>
      </c>
    </row>
    <row r="28252" customFormat="false" ht="15" hidden="false" customHeight="false" outlineLevel="0" collapsed="false">
      <c r="A28252" s="0" t="n">
        <f aca="true">CELL("Contents",Data!A:A)</f>
        <v>5</v>
      </c>
      <c r="B28252" s="0" t="s">
        <v>28071</v>
      </c>
    </row>
    <row r="28253" customFormat="false" ht="15" hidden="false" customHeight="false" outlineLevel="0" collapsed="false">
      <c r="A28253" s="0" t="n">
        <f aca="true">CELL("ROW",Data!A:A)</f>
        <v>1</v>
      </c>
      <c r="B28253" s="0" t="s">
        <v>28072</v>
      </c>
    </row>
    <row r="28254" customFormat="false" ht="15" hidden="false" customHeight="false" outlineLevel="0" collapsed="false">
      <c r="A28254" s="0" t="str">
        <f aca="true">CELL("address",Data!C:D)</f>
        <v>Data!$C$1</v>
      </c>
      <c r="B28254" s="0" t="s">
        <v>28073</v>
      </c>
    </row>
    <row r="28255" customFormat="false" ht="15" hidden="false" customHeight="false" outlineLevel="0" collapsed="false">
      <c r="A28255" s="0" t="str">
        <f aca="true">CELL("ADDRESS",Data!C:D)</f>
        <v>Data!$C$1</v>
      </c>
      <c r="B28255" s="0" t="s">
        <v>28074</v>
      </c>
    </row>
    <row r="28256" customFormat="false" ht="15" hidden="false" customHeight="false" outlineLevel="0" collapsed="false">
      <c r="A28256" s="0" t="n">
        <f aca="true">CELL("col",Data!C:D)</f>
        <v>3</v>
      </c>
      <c r="B28256" s="0" t="s">
        <v>28075</v>
      </c>
    </row>
    <row r="28257" customFormat="false" ht="15" hidden="false" customHeight="false" outlineLevel="0" collapsed="false">
      <c r="A28257" s="0" t="n">
        <f aca="true">CELL("row",Data!C:D)</f>
        <v>1</v>
      </c>
      <c r="B28257" s="0" t="s">
        <v>28076</v>
      </c>
    </row>
    <row r="28258" customFormat="false" ht="15" hidden="false" customHeight="false" outlineLevel="0" collapsed="false">
      <c r="A28258" s="0" t="n">
        <f aca="true">CELL("sheet",Data!C:D)</f>
        <v>1</v>
      </c>
      <c r="B28258" s="0" t="s">
        <v>28077</v>
      </c>
    </row>
    <row r="28259" customFormat="false" ht="15" hidden="false" customHeight="false" outlineLevel="0" collapsed="false">
      <c r="A28259" s="0" t="str">
        <f aca="true">CELL("coord",Data!C:D)</f>
        <v>$A:$C$1</v>
      </c>
      <c r="B28259" s="0" t="s">
        <v>28078</v>
      </c>
    </row>
    <row r="28260" customFormat="false" ht="15" hidden="false" customHeight="false" outlineLevel="0" collapsed="false">
      <c r="A28260" s="0" t="n">
        <f aca="true">CELL("contents",Data!C:D)</f>
        <v>45306</v>
      </c>
      <c r="B28260" s="0" t="s">
        <v>28079</v>
      </c>
    </row>
    <row r="28261" customFormat="false" ht="15" hidden="false" customHeight="false" outlineLevel="0" collapsed="false">
      <c r="A28261" s="0" t="str">
        <f aca="true">CELL("type",Data!C:D)</f>
        <v>v</v>
      </c>
      <c r="B28261" s="0" t="s">
        <v>28080</v>
      </c>
    </row>
    <row r="28262" customFormat="false" ht="15" hidden="false" customHeight="false" outlineLevel="0" collapsed="false">
      <c r="A28262" s="0" t="n">
        <f aca="true">CELL("Contents",Data!C:D)</f>
        <v>45306</v>
      </c>
      <c r="B28262" s="0" t="s">
        <v>28081</v>
      </c>
    </row>
    <row r="28263" customFormat="false" ht="15" hidden="false" customHeight="false" outlineLevel="0" collapsed="false">
      <c r="A28263" s="0" t="n">
        <f aca="true">CELL("ROW",Data!C:D)</f>
        <v>1</v>
      </c>
      <c r="B28263" s="0" t="s">
        <v>28082</v>
      </c>
    </row>
    <row r="28264" customFormat="false" ht="15" hidden="false" customHeight="false" outlineLevel="0" collapsed="false">
      <c r="A28264" s="0" t="str">
        <f aca="true">CELL("address",Calc!B3)</f>
        <v>$B$3</v>
      </c>
      <c r="B28264" s="0" t="s">
        <v>28083</v>
      </c>
    </row>
    <row r="28265" customFormat="false" ht="15" hidden="false" customHeight="false" outlineLevel="0" collapsed="false">
      <c r="A28265" s="0" t="str">
        <f aca="true">CELL("ADDRESS",Calc!B3)</f>
        <v>$B$3</v>
      </c>
      <c r="B28265" s="0" t="s">
        <v>28084</v>
      </c>
    </row>
    <row r="28266" customFormat="false" ht="15" hidden="false" customHeight="false" outlineLevel="0" collapsed="false">
      <c r="A28266" s="0" t="n">
        <f aca="true">CELL("col",Calc!B3)</f>
        <v>2</v>
      </c>
      <c r="B28266" s="0" t="s">
        <v>28085</v>
      </c>
    </row>
    <row r="28267" customFormat="false" ht="15" hidden="false" customHeight="false" outlineLevel="0" collapsed="false">
      <c r="A28267" s="0" t="n">
        <f aca="true">CELL("row",Calc!B3)</f>
        <v>3</v>
      </c>
      <c r="B28267" s="0" t="s">
        <v>28086</v>
      </c>
    </row>
    <row r="28268" customFormat="false" ht="15" hidden="false" customHeight="false" outlineLevel="0" collapsed="false">
      <c r="A28268" s="0" t="n">
        <f aca="true">CELL("sheet",Calc!B3)</f>
        <v>2</v>
      </c>
      <c r="B28268" s="0" t="s">
        <v>28087</v>
      </c>
    </row>
    <row r="28269" customFormat="false" ht="15" hidden="false" customHeight="false" outlineLevel="0" collapsed="false">
      <c r="A28269" s="0" t="str">
        <f aca="true">CELL("coord",Calc!B3)</f>
        <v>$B:$B$3</v>
      </c>
      <c r="B28269" s="0" t="s">
        <v>28088</v>
      </c>
    </row>
    <row r="28270" customFormat="false" ht="15" hidden="false" customHeight="false" outlineLevel="0" collapsed="false">
      <c r="A28270" s="0" t="str">
        <f aca="true">CELL("contents",Calc!B3)</f>
        <v>MIN(Data!A1:A8)</v>
      </c>
      <c r="B28270" s="0" t="s">
        <v>28089</v>
      </c>
    </row>
    <row r="28271" customFormat="false" ht="15" hidden="false" customHeight="false" outlineLevel="0" collapsed="false">
      <c r="A28271" s="0" t="str">
        <f aca="true">CELL("type",Calc!B3)</f>
        <v>l</v>
      </c>
      <c r="B28271" s="0" t="s">
        <v>28090</v>
      </c>
    </row>
    <row r="28272" customFormat="false" ht="15" hidden="false" customHeight="false" outlineLevel="0" collapsed="false">
      <c r="A28272" s="0" t="str">
        <f aca="true">CELL("Contents",Calc!B3)</f>
        <v>MIN(Data!A1:A8)</v>
      </c>
      <c r="B28272" s="0" t="s">
        <v>28091</v>
      </c>
    </row>
    <row r="28273" customFormat="false" ht="15" hidden="false" customHeight="false" outlineLevel="0" collapsed="false">
      <c r="A28273" s="0" t="n">
        <f aca="true">CELL("ROW",Calc!B3)</f>
        <v>3</v>
      </c>
      <c r="B28273" s="0" t="s">
        <v>28092</v>
      </c>
    </row>
    <row r="28274" customFormat="false" ht="15" hidden="false" customHeight="false" outlineLevel="0" collapsed="false">
      <c r="A28274" s="0" t="str">
        <f aca="true">CELL("address",Calc!A1:A5)</f>
        <v>$A$1</v>
      </c>
      <c r="B28274" s="0" t="s">
        <v>28093</v>
      </c>
    </row>
    <row r="28275" customFormat="false" ht="15" hidden="false" customHeight="false" outlineLevel="0" collapsed="false">
      <c r="A28275" s="0" t="str">
        <f aca="true">CELL("ADDRESS",Calc!A1:A5)</f>
        <v>$A$1</v>
      </c>
      <c r="B28275" s="0" t="s">
        <v>28094</v>
      </c>
    </row>
    <row r="28276" customFormat="false" ht="15" hidden="false" customHeight="false" outlineLevel="0" collapsed="false">
      <c r="A28276" s="0" t="n">
        <f aca="true">CELL("col",Calc!A1:A5)</f>
        <v>1</v>
      </c>
      <c r="B28276" s="0" t="s">
        <v>28095</v>
      </c>
    </row>
    <row r="28277" customFormat="false" ht="15" hidden="false" customHeight="false" outlineLevel="0" collapsed="false">
      <c r="A28277" s="0" t="n">
        <f aca="true">CELL("row",Calc!A1:A5)</f>
        <v>1</v>
      </c>
      <c r="B28277" s="0" t="s">
        <v>28096</v>
      </c>
    </row>
    <row r="28278" customFormat="false" ht="15" hidden="false" customHeight="false" outlineLevel="0" collapsed="false">
      <c r="A28278" s="0" t="n">
        <f aca="true">CELL("sheet",Calc!A1:A5)</f>
        <v>2</v>
      </c>
      <c r="B28278" s="0" t="s">
        <v>28097</v>
      </c>
    </row>
    <row r="28279" customFormat="false" ht="15" hidden="false" customHeight="false" outlineLevel="0" collapsed="false">
      <c r="A28279" s="0" t="str">
        <f aca="true">CELL("coord",Calc!A1:A5)</f>
        <v>$B:$A$1</v>
      </c>
      <c r="B28279" s="0" t="s">
        <v>28098</v>
      </c>
    </row>
    <row r="28280" customFormat="false" ht="15" hidden="false" customHeight="false" outlineLevel="0" collapsed="false">
      <c r="A28280" s="0" t="n">
        <f aca="true">CELL("contents",Calc!A1:A5)</f>
        <v>39</v>
      </c>
      <c r="B28280" s="0" t="s">
        <v>28099</v>
      </c>
    </row>
    <row r="28281" customFormat="false" ht="15" hidden="false" customHeight="false" outlineLevel="0" collapsed="false">
      <c r="A28281" s="0" t="str">
        <f aca="true">CELL("type",Calc!A1:A5)</f>
        <v>v</v>
      </c>
      <c r="B28281" s="0" t="s">
        <v>28100</v>
      </c>
    </row>
    <row r="28282" customFormat="false" ht="15" hidden="false" customHeight="false" outlineLevel="0" collapsed="false">
      <c r="A28282" s="0" t="n">
        <f aca="true">CELL("Contents",Calc!A1:A5)</f>
        <v>39</v>
      </c>
      <c r="B28282" s="0" t="s">
        <v>28101</v>
      </c>
    </row>
    <row r="28283" customFormat="false" ht="15" hidden="false" customHeight="false" outlineLevel="0" collapsed="false">
      <c r="A28283" s="0" t="n">
        <f aca="true">CELL("ROW",Calc!A1:A5)</f>
        <v>1</v>
      </c>
      <c r="B28283" s="0" t="s">
        <v>28102</v>
      </c>
    </row>
    <row r="28284" customFormat="false" ht="15" hidden="false" customHeight="false" outlineLevel="0" collapsed="false">
      <c r="A28284" s="0" t="str">
        <f aca="true">CELL("address",A3)</f>
        <v>$A$3</v>
      </c>
      <c r="B28284" s="0" t="s">
        <v>28103</v>
      </c>
    </row>
    <row r="28285" customFormat="false" ht="15" hidden="false" customHeight="false" outlineLevel="0" collapsed="false">
      <c r="A28285" s="0" t="str">
        <f aca="true">CELL("ADDRESS",A3)</f>
        <v>$A$3</v>
      </c>
      <c r="B28285" s="0" t="s">
        <v>28104</v>
      </c>
    </row>
    <row r="28286" customFormat="false" ht="15" hidden="false" customHeight="false" outlineLevel="0" collapsed="false">
      <c r="A28286" s="0" t="n">
        <f aca="true">CELL("col",A3)</f>
        <v>1</v>
      </c>
      <c r="B28286" s="0" t="s">
        <v>28105</v>
      </c>
    </row>
    <row r="28287" customFormat="false" ht="15" hidden="false" customHeight="false" outlineLevel="0" collapsed="false">
      <c r="A28287" s="0" t="n">
        <f aca="true">CELL("row",A3)</f>
        <v>3</v>
      </c>
      <c r="B28287" s="0" t="s">
        <v>28106</v>
      </c>
    </row>
    <row r="28288" customFormat="false" ht="15" hidden="false" customHeight="false" outlineLevel="0" collapsed="false">
      <c r="A28288" s="0" t="n">
        <f aca="true">CELL("sheet",A3)</f>
        <v>2</v>
      </c>
      <c r="B28288" s="0" t="s">
        <v>28107</v>
      </c>
    </row>
    <row r="28289" customFormat="false" ht="15" hidden="false" customHeight="false" outlineLevel="0" collapsed="false">
      <c r="A28289" s="0" t="str">
        <f aca="true">CELL("coord",A3)</f>
        <v>$B:$A$3</v>
      </c>
      <c r="B28289" s="0" t="s">
        <v>28108</v>
      </c>
    </row>
    <row r="28290" customFormat="false" ht="15" hidden="false" customHeight="false" outlineLevel="0" collapsed="false">
      <c r="A28290" s="0" t="n">
        <f aca="true">CELL("contents",A3)</f>
        <v>1</v>
      </c>
      <c r="B28290" s="0" t="s">
        <v>28109</v>
      </c>
    </row>
    <row r="28291" customFormat="false" ht="15" hidden="false" customHeight="false" outlineLevel="0" collapsed="false">
      <c r="A28291" s="0" t="str">
        <f aca="true">CELL("type",A3)</f>
        <v>v</v>
      </c>
      <c r="B28291" s="0" t="s">
        <v>28110</v>
      </c>
    </row>
    <row r="28292" customFormat="false" ht="15" hidden="false" customHeight="false" outlineLevel="0" collapsed="false">
      <c r="A28292" s="0" t="n">
        <f aca="true">CELL("Contents",A3)</f>
        <v>1</v>
      </c>
      <c r="B28292" s="0" t="s">
        <v>28111</v>
      </c>
    </row>
    <row r="28293" customFormat="false" ht="15" hidden="false" customHeight="false" outlineLevel="0" collapsed="false">
      <c r="A28293" s="0" t="n">
        <f aca="true">CELL("ROW",A3)</f>
        <v>3</v>
      </c>
      <c r="B28293" s="0" t="s">
        <v>28112</v>
      </c>
    </row>
    <row r="28294" customFormat="false" ht="15" hidden="false" customHeight="false" outlineLevel="0" collapsed="false">
      <c r="A28294" s="0" t="str">
        <f aca="true">CELL("address",$B$7)</f>
        <v>$B$7</v>
      </c>
      <c r="B28294" s="0" t="s">
        <v>28113</v>
      </c>
    </row>
    <row r="28295" customFormat="false" ht="15" hidden="false" customHeight="false" outlineLevel="0" collapsed="false">
      <c r="A28295" s="0" t="str">
        <f aca="true">CELL("ADDRESS",$B$7)</f>
        <v>$B$7</v>
      </c>
      <c r="B28295" s="0" t="s">
        <v>28114</v>
      </c>
    </row>
    <row r="28296" customFormat="false" ht="15" hidden="false" customHeight="false" outlineLevel="0" collapsed="false">
      <c r="A28296" s="0" t="n">
        <f aca="true">CELL("col",$B$7)</f>
        <v>2</v>
      </c>
      <c r="B28296" s="0" t="s">
        <v>28115</v>
      </c>
    </row>
    <row r="28297" customFormat="false" ht="15" hidden="false" customHeight="false" outlineLevel="0" collapsed="false">
      <c r="A28297" s="0" t="n">
        <f aca="true">CELL("row",$B$7)</f>
        <v>7</v>
      </c>
      <c r="B28297" s="0" t="s">
        <v>28116</v>
      </c>
    </row>
    <row r="28298" customFormat="false" ht="15" hidden="false" customHeight="false" outlineLevel="0" collapsed="false">
      <c r="A28298" s="0" t="n">
        <f aca="true">CELL("sheet",$B$7)</f>
        <v>2</v>
      </c>
      <c r="B28298" s="0" t="s">
        <v>28117</v>
      </c>
    </row>
    <row r="28299" customFormat="false" ht="15" hidden="false" customHeight="false" outlineLevel="0" collapsed="false">
      <c r="A28299" s="0" t="str">
        <f aca="true">CELL("coord",$B$7)</f>
        <v>$B:$B$7</v>
      </c>
      <c r="B28299" s="0" t="s">
        <v>28118</v>
      </c>
    </row>
    <row r="28300" customFormat="false" ht="15" hidden="false" customHeight="false" outlineLevel="0" collapsed="false">
      <c r="A28300" s="0" t="str">
        <f aca="true">CELL("contents",$B$7)</f>
        <v>MEDIAN(Data!A1:A8)</v>
      </c>
      <c r="B28300" s="0" t="s">
        <v>28119</v>
      </c>
    </row>
    <row r="28301" customFormat="false" ht="15" hidden="false" customHeight="false" outlineLevel="0" collapsed="false">
      <c r="A28301" s="0" t="str">
        <f aca="true">CELL("type",$B$7)</f>
        <v>l</v>
      </c>
      <c r="B28301" s="0" t="s">
        <v>28120</v>
      </c>
    </row>
    <row r="28302" customFormat="false" ht="15" hidden="false" customHeight="false" outlineLevel="0" collapsed="false">
      <c r="A28302" s="0" t="str">
        <f aca="true">CELL("Contents",$B$7)</f>
        <v>MEDIAN(Data!A1:A8)</v>
      </c>
      <c r="B28302" s="0" t="s">
        <v>28121</v>
      </c>
    </row>
    <row r="28303" customFormat="false" ht="15" hidden="false" customHeight="false" outlineLevel="0" collapsed="false">
      <c r="A28303" s="0" t="n">
        <f aca="true">CELL("ROW",$B$7)</f>
        <v>7</v>
      </c>
      <c r="B28303" s="0" t="s">
        <v>28122</v>
      </c>
    </row>
    <row r="28304" customFormat="false" ht="15" hidden="false" customHeight="false" outlineLevel="0" collapsed="false">
      <c r="A28304" s="0" t="str">
        <f aca="true">CELL("address",Data!$A$2)</f>
        <v>Data!$A$2</v>
      </c>
      <c r="B28304" s="0" t="s">
        <v>28123</v>
      </c>
    </row>
    <row r="28305" customFormat="false" ht="15" hidden="false" customHeight="false" outlineLevel="0" collapsed="false">
      <c r="A28305" s="0" t="str">
        <f aca="true">CELL("ADDRESS",Data!$A$2)</f>
        <v>Data!$A$2</v>
      </c>
      <c r="B28305" s="0" t="s">
        <v>28124</v>
      </c>
    </row>
    <row r="28306" customFormat="false" ht="15" hidden="false" customHeight="false" outlineLevel="0" collapsed="false">
      <c r="A28306" s="0" t="n">
        <f aca="true">CELL("col",Data!$A$2)</f>
        <v>1</v>
      </c>
      <c r="B28306" s="0" t="s">
        <v>28125</v>
      </c>
    </row>
    <row r="28307" customFormat="false" ht="15" hidden="false" customHeight="false" outlineLevel="0" collapsed="false">
      <c r="A28307" s="0" t="n">
        <f aca="true">CELL("row",Data!$A$2)</f>
        <v>2</v>
      </c>
      <c r="B28307" s="0" t="s">
        <v>28126</v>
      </c>
    </row>
    <row r="28308" customFormat="false" ht="15" hidden="false" customHeight="false" outlineLevel="0" collapsed="false">
      <c r="A28308" s="0" t="n">
        <f aca="true">CELL("sheet",Data!$A$2)</f>
        <v>1</v>
      </c>
      <c r="B28308" s="0" t="s">
        <v>28127</v>
      </c>
    </row>
    <row r="28309" customFormat="false" ht="15" hidden="false" customHeight="false" outlineLevel="0" collapsed="false">
      <c r="A28309" s="0" t="str">
        <f aca="true">CELL("coord",Data!$A$2)</f>
        <v>$A:$A$2</v>
      </c>
      <c r="B28309" s="0" t="s">
        <v>28128</v>
      </c>
    </row>
    <row r="28310" customFormat="false" ht="15" hidden="false" customHeight="false" outlineLevel="0" collapsed="false">
      <c r="A28310" s="0" t="n">
        <f aca="true">CELL("contents",Data!$A$2)</f>
        <v>3</v>
      </c>
      <c r="B28310" s="0" t="s">
        <v>28129</v>
      </c>
    </row>
    <row r="28311" customFormat="false" ht="15" hidden="false" customHeight="false" outlineLevel="0" collapsed="false">
      <c r="A28311" s="0" t="str">
        <f aca="true">CELL("type",Data!$A$2)</f>
        <v>v</v>
      </c>
      <c r="B28311" s="0" t="s">
        <v>28130</v>
      </c>
    </row>
    <row r="28312" customFormat="false" ht="15" hidden="false" customHeight="false" outlineLevel="0" collapsed="false">
      <c r="A28312" s="0" t="n">
        <f aca="true">CELL("Contents",Data!$A$2)</f>
        <v>3</v>
      </c>
      <c r="B28312" s="0" t="s">
        <v>28131</v>
      </c>
    </row>
    <row r="28313" customFormat="false" ht="15" hidden="false" customHeight="false" outlineLevel="0" collapsed="false">
      <c r="A28313" s="0" t="n">
        <f aca="true">CELL("ROW",Data!$A$2)</f>
        <v>2</v>
      </c>
      <c r="B28313" s="0" t="s">
        <v>28132</v>
      </c>
    </row>
    <row r="28314" customFormat="false" ht="15" hidden="false" customHeight="false" outlineLevel="0" collapsed="false">
      <c r="A28314" s="0" t="str">
        <f aca="true">CELL("address",(Data!B3))</f>
        <v>Data!$B$3</v>
      </c>
      <c r="B28314" s="0" t="s">
        <v>28133</v>
      </c>
    </row>
    <row r="28315" customFormat="false" ht="15" hidden="false" customHeight="false" outlineLevel="0" collapsed="false">
      <c r="A28315" s="0" t="str">
        <f aca="true">CELL("ADDRESS",(Data!B3))</f>
        <v>Data!$B$3</v>
      </c>
      <c r="B28315" s="0" t="s">
        <v>28134</v>
      </c>
    </row>
    <row r="28316" customFormat="false" ht="15" hidden="false" customHeight="false" outlineLevel="0" collapsed="false">
      <c r="A28316" s="0" t="n">
        <f aca="true">CELL("col",(Data!B3))</f>
        <v>2</v>
      </c>
      <c r="B28316" s="0" t="s">
        <v>28135</v>
      </c>
    </row>
    <row r="28317" customFormat="false" ht="15" hidden="false" customHeight="false" outlineLevel="0" collapsed="false">
      <c r="A28317" s="0" t="n">
        <f aca="true">CELL("row",(Data!B3))</f>
        <v>3</v>
      </c>
      <c r="B28317" s="0" t="s">
        <v>28136</v>
      </c>
    </row>
    <row r="28318" customFormat="false" ht="15" hidden="false" customHeight="false" outlineLevel="0" collapsed="false">
      <c r="A28318" s="0" t="n">
        <f aca="true">CELL("sheet",(Data!B3))</f>
        <v>1</v>
      </c>
      <c r="B28318" s="0" t="s">
        <v>28137</v>
      </c>
    </row>
    <row r="28319" customFormat="false" ht="15" hidden="false" customHeight="false" outlineLevel="0" collapsed="false">
      <c r="A28319" s="0" t="str">
        <f aca="true">CELL("coord",(Data!B3))</f>
        <v>$A:$B$3</v>
      </c>
      <c r="B28319" s="0" t="s">
        <v>28138</v>
      </c>
    </row>
    <row r="28320" customFormat="false" ht="15" hidden="false" customHeight="false" outlineLevel="0" collapsed="false">
      <c r="A28320" s="0" t="str">
        <f aca="true">CELL("contents",(Data!B3))</f>
        <v>cherry</v>
      </c>
      <c r="B28320" s="0" t="s">
        <v>28139</v>
      </c>
    </row>
    <row r="28321" customFormat="false" ht="15" hidden="false" customHeight="false" outlineLevel="0" collapsed="false">
      <c r="A28321" s="0" t="str">
        <f aca="true">CELL("type",(Data!B3))</f>
        <v>l</v>
      </c>
      <c r="B28321" s="0" t="s">
        <v>28140</v>
      </c>
    </row>
    <row r="28322" customFormat="false" ht="15" hidden="false" customHeight="false" outlineLevel="0" collapsed="false">
      <c r="A28322" s="0" t="str">
        <f aca="true">CELL("Contents",(Data!B3))</f>
        <v>cherry</v>
      </c>
      <c r="B28322" s="0" t="s">
        <v>28141</v>
      </c>
    </row>
    <row r="28323" customFormat="false" ht="15" hidden="false" customHeight="false" outlineLevel="0" collapsed="false">
      <c r="A28323" s="0" t="n">
        <f aca="true">CELL("ROW",(Data!B3))</f>
        <v>3</v>
      </c>
      <c r="B28323" s="0" t="s">
        <v>28142</v>
      </c>
    </row>
    <row r="28324" customFormat="false" ht="15" hidden="false" customHeight="false" outlineLevel="0" collapsed="false">
      <c r="A28324" s="0" t="str">
        <f aca="true">CELL("address",INDEX(Data!A1:A8,2))</f>
        <v>Data!$A$2</v>
      </c>
      <c r="B28324" s="0" t="s">
        <v>28143</v>
      </c>
    </row>
    <row r="28325" customFormat="false" ht="15" hidden="false" customHeight="false" outlineLevel="0" collapsed="false">
      <c r="A28325" s="0" t="str">
        <f aca="true">CELL("ADDRESS",INDEX(Data!A1:A8,2))</f>
        <v>Data!$A$2</v>
      </c>
      <c r="B28325" s="0" t="s">
        <v>28144</v>
      </c>
    </row>
    <row r="28326" customFormat="false" ht="15" hidden="false" customHeight="false" outlineLevel="0" collapsed="false">
      <c r="A28326" s="0" t="n">
        <f aca="true">CELL("col",INDEX(Data!A1:A8,2))</f>
        <v>1</v>
      </c>
      <c r="B28326" s="0" t="s">
        <v>28145</v>
      </c>
    </row>
    <row r="28327" customFormat="false" ht="15" hidden="false" customHeight="false" outlineLevel="0" collapsed="false">
      <c r="A28327" s="0" t="n">
        <f aca="true">CELL("row",INDEX(Data!A1:A8,2))</f>
        <v>2</v>
      </c>
      <c r="B28327" s="0" t="s">
        <v>28146</v>
      </c>
    </row>
    <row r="28328" customFormat="false" ht="15" hidden="false" customHeight="false" outlineLevel="0" collapsed="false">
      <c r="A28328" s="0" t="n">
        <f aca="true">CELL("sheet",INDEX(Data!A1:A8,2))</f>
        <v>1</v>
      </c>
      <c r="B28328" s="0" t="s">
        <v>28147</v>
      </c>
    </row>
    <row r="28329" customFormat="false" ht="15" hidden="false" customHeight="false" outlineLevel="0" collapsed="false">
      <c r="A28329" s="0" t="str">
        <f aca="true">CELL("coord",INDEX(Data!A1:A8,2))</f>
        <v>$A:$A$2</v>
      </c>
      <c r="B28329" s="0" t="s">
        <v>28148</v>
      </c>
    </row>
    <row r="28330" customFormat="false" ht="15" hidden="false" customHeight="false" outlineLevel="0" collapsed="false">
      <c r="A28330" s="0" t="n">
        <f aca="true">CELL("contents",INDEX(Data!A1:A8,2))</f>
        <v>3</v>
      </c>
      <c r="B28330" s="0" t="s">
        <v>28149</v>
      </c>
    </row>
    <row r="28331" customFormat="false" ht="15" hidden="false" customHeight="false" outlineLevel="0" collapsed="false">
      <c r="A28331" s="0" t="str">
        <f aca="true">CELL("type",INDEX(Data!A1:A8,2))</f>
        <v>v</v>
      </c>
      <c r="B28331" s="0" t="s">
        <v>28150</v>
      </c>
    </row>
    <row r="28332" customFormat="false" ht="15" hidden="false" customHeight="false" outlineLevel="0" collapsed="false">
      <c r="A28332" s="0" t="n">
        <f aca="true">CELL("Contents",INDEX(Data!A1:A8,2))</f>
        <v>3</v>
      </c>
      <c r="B28332" s="0" t="s">
        <v>28151</v>
      </c>
    </row>
    <row r="28333" customFormat="false" ht="15" hidden="false" customHeight="false" outlineLevel="0" collapsed="false">
      <c r="A28333" s="0" t="n">
        <f aca="true">CELL("ROW",INDEX(Data!A1:A8,2))</f>
        <v>2</v>
      </c>
      <c r="B28333" s="0" t="s">
        <v>28152</v>
      </c>
    </row>
    <row r="28334" customFormat="false" ht="15" hidden="false" customHeight="false" outlineLevel="0" collapsed="false">
      <c r="A28334" s="0" t="str">
        <f aca="true">CELL("address",OFFSET(Data!A1,2,1))</f>
        <v>Data!$B$3</v>
      </c>
      <c r="B28334" s="0" t="s">
        <v>28153</v>
      </c>
    </row>
    <row r="28335" customFormat="false" ht="15" hidden="false" customHeight="false" outlineLevel="0" collapsed="false">
      <c r="A28335" s="0" t="str">
        <f aca="true">CELL("ADDRESS",OFFSET(Data!A1,2,1))</f>
        <v>Data!$B$3</v>
      </c>
      <c r="B28335" s="0" t="s">
        <v>28154</v>
      </c>
    </row>
    <row r="28336" customFormat="false" ht="15" hidden="false" customHeight="false" outlineLevel="0" collapsed="false">
      <c r="A28336" s="0" t="n">
        <f aca="true">CELL("col",OFFSET(Data!A1,2,1))</f>
        <v>2</v>
      </c>
      <c r="B28336" s="0" t="s">
        <v>28155</v>
      </c>
    </row>
    <row r="28337" customFormat="false" ht="15" hidden="false" customHeight="false" outlineLevel="0" collapsed="false">
      <c r="A28337" s="0" t="n">
        <f aca="true">CELL("row",OFFSET(Data!A1,2,1))</f>
        <v>3</v>
      </c>
      <c r="B28337" s="0" t="s">
        <v>28156</v>
      </c>
    </row>
    <row r="28338" customFormat="false" ht="15" hidden="false" customHeight="false" outlineLevel="0" collapsed="false">
      <c r="A28338" s="0" t="n">
        <f aca="true">CELL("sheet",OFFSET(Data!A1,2,1))</f>
        <v>1</v>
      </c>
      <c r="B28338" s="0" t="s">
        <v>28157</v>
      </c>
    </row>
    <row r="28339" customFormat="false" ht="15" hidden="false" customHeight="false" outlineLevel="0" collapsed="false">
      <c r="A28339" s="0" t="str">
        <f aca="true">CELL("coord",OFFSET(Data!A1,2,1))</f>
        <v>$A:$B$3</v>
      </c>
      <c r="B28339" s="0" t="s">
        <v>28158</v>
      </c>
    </row>
    <row r="28340" customFormat="false" ht="15" hidden="false" customHeight="false" outlineLevel="0" collapsed="false">
      <c r="A28340" s="0" t="str">
        <f aca="true">CELL("contents",OFFSET(Data!A1,2,1))</f>
        <v>cherry</v>
      </c>
      <c r="B28340" s="0" t="s">
        <v>28159</v>
      </c>
    </row>
    <row r="28341" customFormat="false" ht="15" hidden="false" customHeight="false" outlineLevel="0" collapsed="false">
      <c r="A28341" s="0" t="str">
        <f aca="true">CELL("type",OFFSET(Data!A1,2,1))</f>
        <v>l</v>
      </c>
      <c r="B28341" s="0" t="s">
        <v>28160</v>
      </c>
    </row>
    <row r="28342" customFormat="false" ht="15" hidden="false" customHeight="false" outlineLevel="0" collapsed="false">
      <c r="A28342" s="0" t="str">
        <f aca="true">CELL("Contents",OFFSET(Data!A1,2,1))</f>
        <v>cherry</v>
      </c>
      <c r="B28342" s="0" t="s">
        <v>28161</v>
      </c>
    </row>
    <row r="28343" customFormat="false" ht="15" hidden="false" customHeight="false" outlineLevel="0" collapsed="false">
      <c r="A28343" s="0" t="n">
        <f aca="true">CELL("ROW",OFFSET(Data!A1,2,1))</f>
        <v>3</v>
      </c>
      <c r="B28343" s="0" t="s">
        <v>28162</v>
      </c>
    </row>
    <row r="28344" customFormat="false" ht="15" hidden="false" customHeight="false" outlineLevel="0" collapsed="false">
      <c r="A28344" s="0" t="str">
        <f aca="true">CELL("address",Data!C1)</f>
        <v>Data!$C$1</v>
      </c>
      <c r="B28344" s="0" t="s">
        <v>28163</v>
      </c>
    </row>
    <row r="28345" customFormat="false" ht="15" hidden="false" customHeight="false" outlineLevel="0" collapsed="false">
      <c r="A28345" s="0" t="str">
        <f aca="true">CELL("ADDRESS",Data!C1)</f>
        <v>Data!$C$1</v>
      </c>
      <c r="B28345" s="0" t="s">
        <v>28164</v>
      </c>
    </row>
    <row r="28346" customFormat="false" ht="15" hidden="false" customHeight="false" outlineLevel="0" collapsed="false">
      <c r="A28346" s="0" t="n">
        <f aca="true">CELL("col",Data!C1)</f>
        <v>3</v>
      </c>
      <c r="B28346" s="0" t="s">
        <v>28165</v>
      </c>
    </row>
    <row r="28347" customFormat="false" ht="15" hidden="false" customHeight="false" outlineLevel="0" collapsed="false">
      <c r="A28347" s="0" t="n">
        <f aca="true">CELL("row",Data!C1)</f>
        <v>1</v>
      </c>
      <c r="B28347" s="0" t="s">
        <v>28166</v>
      </c>
    </row>
    <row r="28348" customFormat="false" ht="15" hidden="false" customHeight="false" outlineLevel="0" collapsed="false">
      <c r="A28348" s="0" t="n">
        <f aca="true">CELL("sheet",Data!C1)</f>
        <v>1</v>
      </c>
      <c r="B28348" s="0" t="s">
        <v>28167</v>
      </c>
    </row>
    <row r="28349" customFormat="false" ht="15" hidden="false" customHeight="false" outlineLevel="0" collapsed="false">
      <c r="A28349" s="0" t="str">
        <f aca="true">CELL("coord",Data!C1)</f>
        <v>$A:$C$1</v>
      </c>
      <c r="B28349" s="0" t="s">
        <v>28168</v>
      </c>
    </row>
    <row r="28350" customFormat="false" ht="15" hidden="false" customHeight="false" outlineLevel="0" collapsed="false">
      <c r="A28350" s="0" t="n">
        <f aca="true">CELL("contents",Data!C1)</f>
        <v>45306</v>
      </c>
      <c r="B28350" s="0" t="s">
        <v>28169</v>
      </c>
    </row>
    <row r="28351" customFormat="false" ht="15" hidden="false" customHeight="false" outlineLevel="0" collapsed="false">
      <c r="A28351" s="0" t="str">
        <f aca="true">CELL("type",Data!C1)</f>
        <v>v</v>
      </c>
      <c r="B28351" s="0" t="s">
        <v>28170</v>
      </c>
    </row>
    <row r="28352" customFormat="false" ht="15" hidden="false" customHeight="false" outlineLevel="0" collapsed="false">
      <c r="A28352" s="0" t="n">
        <f aca="true">CELL("Contents",Data!C1)</f>
        <v>45306</v>
      </c>
      <c r="B28352" s="0" t="s">
        <v>28171</v>
      </c>
    </row>
    <row r="28353" customFormat="false" ht="15" hidden="false" customHeight="false" outlineLevel="0" collapsed="false">
      <c r="A28353" s="0" t="n">
        <f aca="true">CELL("ROW",Data!C1)</f>
        <v>1</v>
      </c>
      <c r="B28353" s="0" t="s">
        <v>28172</v>
      </c>
    </row>
    <row r="28354" customFormat="false" ht="15" hidden="false" customHeight="false" outlineLevel="0" collapsed="false">
      <c r="A28354" s="0" t="str">
        <f aca="true">CELL("address",Data!E2)</f>
        <v>Data!$E$2</v>
      </c>
      <c r="B28354" s="0" t="s">
        <v>28173</v>
      </c>
    </row>
    <row r="28355" customFormat="false" ht="15" hidden="false" customHeight="false" outlineLevel="0" collapsed="false">
      <c r="A28355" s="0" t="str">
        <f aca="true">CELL("ADDRESS",Data!E2)</f>
        <v>Data!$E$2</v>
      </c>
      <c r="B28355" s="0" t="s">
        <v>28174</v>
      </c>
    </row>
    <row r="28356" customFormat="false" ht="15" hidden="false" customHeight="false" outlineLevel="0" collapsed="false">
      <c r="A28356" s="0" t="n">
        <f aca="true">CELL("col",Data!E2)</f>
        <v>5</v>
      </c>
      <c r="B28356" s="0" t="s">
        <v>28175</v>
      </c>
    </row>
    <row r="28357" customFormat="false" ht="15" hidden="false" customHeight="false" outlineLevel="0" collapsed="false">
      <c r="A28357" s="0" t="n">
        <f aca="true">CELL("row",Data!E2)</f>
        <v>2</v>
      </c>
      <c r="B28357" s="0" t="s">
        <v>28176</v>
      </c>
    </row>
    <row r="28358" customFormat="false" ht="15" hidden="false" customHeight="false" outlineLevel="0" collapsed="false">
      <c r="A28358" s="0" t="n">
        <f aca="true">CELL("sheet",Data!E2)</f>
        <v>1</v>
      </c>
      <c r="B28358" s="0" t="s">
        <v>28177</v>
      </c>
    </row>
    <row r="28359" customFormat="false" ht="15" hidden="false" customHeight="false" outlineLevel="0" collapsed="false">
      <c r="A28359" s="0" t="str">
        <f aca="true">CELL("coord",Data!E2)</f>
        <v>$A:$E$2</v>
      </c>
      <c r="B28359" s="0" t="s">
        <v>28178</v>
      </c>
    </row>
    <row r="28360" customFormat="false" ht="15" hidden="false" customHeight="false" outlineLevel="0" collapsed="false">
      <c r="A28360" s="0" t="n">
        <f aca="true">CELL("contents",Data!E2)</f>
        <v>10</v>
      </c>
      <c r="B28360" s="0" t="s">
        <v>28179</v>
      </c>
    </row>
    <row r="28361" customFormat="false" ht="15" hidden="false" customHeight="false" outlineLevel="0" collapsed="false">
      <c r="A28361" s="0" t="str">
        <f aca="true">CELL("type",Data!E2)</f>
        <v>v</v>
      </c>
      <c r="B28361" s="0" t="s">
        <v>28180</v>
      </c>
    </row>
    <row r="28362" customFormat="false" ht="15" hidden="false" customHeight="false" outlineLevel="0" collapsed="false">
      <c r="A28362" s="0" t="n">
        <f aca="true">CELL("Contents",Data!E2)</f>
        <v>10</v>
      </c>
      <c r="B28362" s="0" t="s">
        <v>28181</v>
      </c>
    </row>
    <row r="28363" customFormat="false" ht="15" hidden="false" customHeight="false" outlineLevel="0" collapsed="false">
      <c r="A28363" s="0" t="n">
        <f aca="true">CELL("ROW",Data!E2)</f>
        <v>2</v>
      </c>
      <c r="B28363" s="0" t="s">
        <v>28182</v>
      </c>
    </row>
    <row r="28364" customFormat="false" ht="15" hidden="false" customHeight="false" outlineLevel="0" collapsed="false">
      <c r="A28364" s="0" t="str">
        <f aca="true">CELL("address",IF(1,Data!B2))</f>
        <v>Data!$B$2</v>
      </c>
      <c r="B28364" s="0" t="s">
        <v>28183</v>
      </c>
    </row>
    <row r="28365" customFormat="false" ht="15" hidden="false" customHeight="false" outlineLevel="0" collapsed="false">
      <c r="A28365" s="0" t="str">
        <f aca="true">CELL("ADDRESS",IF(1,Data!B2))</f>
        <v>Data!$B$2</v>
      </c>
      <c r="B28365" s="0" t="s">
        <v>28184</v>
      </c>
    </row>
    <row r="28366" customFormat="false" ht="15" hidden="false" customHeight="false" outlineLevel="0" collapsed="false">
      <c r="A28366" s="0" t="n">
        <f aca="true">CELL("col",IF(1,Data!B2))</f>
        <v>2</v>
      </c>
      <c r="B28366" s="0" t="s">
        <v>28185</v>
      </c>
    </row>
    <row r="28367" customFormat="false" ht="15" hidden="false" customHeight="false" outlineLevel="0" collapsed="false">
      <c r="A28367" s="0" t="n">
        <f aca="true">CELL("row",IF(1,Data!B2))</f>
        <v>2</v>
      </c>
      <c r="B28367" s="0" t="s">
        <v>28186</v>
      </c>
    </row>
    <row r="28368" customFormat="false" ht="15" hidden="false" customHeight="false" outlineLevel="0" collapsed="false">
      <c r="A28368" s="0" t="n">
        <f aca="true">CELL("sheet",IF(1,Data!B2))</f>
        <v>1</v>
      </c>
      <c r="B28368" s="0" t="s">
        <v>28187</v>
      </c>
    </row>
    <row r="28369" customFormat="false" ht="15" hidden="false" customHeight="false" outlineLevel="0" collapsed="false">
      <c r="A28369" s="0" t="str">
        <f aca="true">CELL("coord",IF(1,Data!B2))</f>
        <v>$A:$B$2</v>
      </c>
      <c r="B28369" s="0" t="s">
        <v>28188</v>
      </c>
    </row>
    <row r="28370" customFormat="false" ht="15" hidden="false" customHeight="false" outlineLevel="0" collapsed="false">
      <c r="A28370" s="0" t="str">
        <f aca="true">CELL("contents",IF(1,Data!B2))</f>
        <v>banana</v>
      </c>
      <c r="B28370" s="0" t="s">
        <v>28189</v>
      </c>
    </row>
    <row r="28371" customFormat="false" ht="15" hidden="false" customHeight="false" outlineLevel="0" collapsed="false">
      <c r="A28371" s="0" t="str">
        <f aca="true">CELL("type",IF(1,Data!B2))</f>
        <v>l</v>
      </c>
      <c r="B28371" s="0" t="s">
        <v>28190</v>
      </c>
    </row>
    <row r="28372" customFormat="false" ht="15" hidden="false" customHeight="false" outlineLevel="0" collapsed="false">
      <c r="A28372" s="0" t="str">
        <f aca="true">CELL("Contents",IF(1,Data!B2))</f>
        <v>banana</v>
      </c>
      <c r="B28372" s="0" t="s">
        <v>28191</v>
      </c>
    </row>
    <row r="28373" customFormat="false" ht="15" hidden="false" customHeight="false" outlineLevel="0" collapsed="false">
      <c r="A28373" s="0" t="n">
        <f aca="true">CELL("ROW",IF(1,Data!B2))</f>
        <v>2</v>
      </c>
      <c r="B28373" s="0" t="s">
        <v>28192</v>
      </c>
    </row>
    <row r="28374" customFormat="false" ht="15" hidden="false" customHeight="false" outlineLevel="0" collapsed="false">
      <c r="A28374" s="0" t="str">
        <f aca="true">CELL("address",Data!AA100)</f>
        <v>Data!$AA$100</v>
      </c>
      <c r="B28374" s="0" t="s">
        <v>28193</v>
      </c>
    </row>
    <row r="28375" customFormat="false" ht="15" hidden="false" customHeight="false" outlineLevel="0" collapsed="false">
      <c r="A28375" s="0" t="str">
        <f aca="true">CELL("ADDRESS",Data!AA100)</f>
        <v>Data!$AA$100</v>
      </c>
      <c r="B28375" s="0" t="s">
        <v>28194</v>
      </c>
    </row>
    <row r="28376" customFormat="false" ht="15" hidden="false" customHeight="false" outlineLevel="0" collapsed="false">
      <c r="A28376" s="0" t="n">
        <f aca="true">CELL("col",Data!AA100)</f>
        <v>27</v>
      </c>
      <c r="B28376" s="0" t="s">
        <v>28195</v>
      </c>
    </row>
    <row r="28377" customFormat="false" ht="15" hidden="false" customHeight="false" outlineLevel="0" collapsed="false">
      <c r="A28377" s="0" t="n">
        <f aca="true">CELL("row",Data!AA100)</f>
        <v>100</v>
      </c>
      <c r="B28377" s="0" t="s">
        <v>28196</v>
      </c>
    </row>
    <row r="28378" customFormat="false" ht="15" hidden="false" customHeight="false" outlineLevel="0" collapsed="false">
      <c r="A28378" s="0" t="n">
        <f aca="true">CELL("sheet",Data!AA100)</f>
        <v>1</v>
      </c>
      <c r="B28378" s="0" t="s">
        <v>28197</v>
      </c>
    </row>
    <row r="28379" customFormat="false" ht="15" hidden="false" customHeight="false" outlineLevel="0" collapsed="false">
      <c r="A28379" s="0" t="str">
        <f aca="true">CELL("coord",Data!AA100)</f>
        <v>$A:$AA$100</v>
      </c>
      <c r="B28379" s="0" t="s">
        <v>28198</v>
      </c>
    </row>
    <row r="28380" customFormat="false" ht="15" hidden="false" customHeight="false" outlineLevel="0" collapsed="false">
      <c r="A28380" s="0" t="n">
        <f aca="true">CELL("contents",Data!AA100)</f>
        <v>0</v>
      </c>
      <c r="B28380" s="0" t="s">
        <v>28199</v>
      </c>
    </row>
    <row r="28381" customFormat="false" ht="15" hidden="false" customHeight="false" outlineLevel="0" collapsed="false">
      <c r="A28381" s="0" t="str">
        <f aca="true">CELL("type",Data!AA100)</f>
        <v>b</v>
      </c>
      <c r="B28381" s="0" t="s">
        <v>28200</v>
      </c>
    </row>
    <row r="28382" customFormat="false" ht="15" hidden="false" customHeight="false" outlineLevel="0" collapsed="false">
      <c r="A28382" s="0" t="n">
        <f aca="true">CELL("Contents",Data!AA100)</f>
        <v>0</v>
      </c>
      <c r="B28382" s="0" t="s">
        <v>28201</v>
      </c>
    </row>
    <row r="28383" customFormat="false" ht="15" hidden="false" customHeight="false" outlineLevel="0" collapsed="false">
      <c r="A28383" s="0" t="n">
        <f aca="true">CELL("ROW",Data!AA100)</f>
        <v>100</v>
      </c>
      <c r="B28383" s="0" t="s">
        <v>28202</v>
      </c>
    </row>
    <row r="28384" customFormat="false" ht="15" hidden="false" customHeight="false" outlineLevel="0" collapsed="false">
      <c r="A28384" s="0" t="str">
        <f aca="true">CELL("address",Calc!XFD5)</f>
        <v>$XFD$5</v>
      </c>
      <c r="B28384" s="0" t="s">
        <v>28203</v>
      </c>
    </row>
    <row r="28385" customFormat="false" ht="15" hidden="false" customHeight="false" outlineLevel="0" collapsed="false">
      <c r="A28385" s="0" t="str">
        <f aca="true">CELL("ADDRESS",Calc!XFD5)</f>
        <v>$XFD$5</v>
      </c>
      <c r="B28385" s="0" t="s">
        <v>28204</v>
      </c>
    </row>
    <row r="28386" customFormat="false" ht="15" hidden="false" customHeight="false" outlineLevel="0" collapsed="false">
      <c r="A28386" s="0" t="n">
        <f aca="true">CELL("col",Calc!XFD5)</f>
        <v>16384</v>
      </c>
      <c r="B28386" s="0" t="s">
        <v>28205</v>
      </c>
    </row>
    <row r="28387" customFormat="false" ht="15" hidden="false" customHeight="false" outlineLevel="0" collapsed="false">
      <c r="A28387" s="0" t="n">
        <f aca="true">CELL("row",Calc!XFD5)</f>
        <v>5</v>
      </c>
      <c r="B28387" s="0" t="s">
        <v>28206</v>
      </c>
    </row>
    <row r="28388" customFormat="false" ht="15" hidden="false" customHeight="false" outlineLevel="0" collapsed="false">
      <c r="A28388" s="0" t="n">
        <f aca="true">CELL("sheet",Calc!XFD5)</f>
        <v>2</v>
      </c>
      <c r="B28388" s="0" t="s">
        <v>28207</v>
      </c>
    </row>
    <row r="28389" customFormat="false" ht="15" hidden="false" customHeight="false" outlineLevel="0" collapsed="false">
      <c r="A28389" s="0" t="str">
        <f aca="true">CELL("coord",Calc!XFD5)</f>
        <v>$B:$XFD$5</v>
      </c>
      <c r="B28389" s="0" t="s">
        <v>28208</v>
      </c>
    </row>
    <row r="28390" customFormat="false" ht="15" hidden="false" customHeight="false" outlineLevel="0" collapsed="false">
      <c r="A28390" s="0" t="n">
        <f aca="true">CELL("contents",Calc!XFD5)</f>
        <v>0</v>
      </c>
      <c r="B28390" s="0" t="s">
        <v>28209</v>
      </c>
    </row>
    <row r="28391" customFormat="false" ht="15" hidden="false" customHeight="false" outlineLevel="0" collapsed="false">
      <c r="A28391" s="0" t="str">
        <f aca="true">CELL("type",Calc!XFD5)</f>
        <v>b</v>
      </c>
      <c r="B28391" s="0" t="s">
        <v>28210</v>
      </c>
    </row>
    <row r="28392" customFormat="false" ht="15" hidden="false" customHeight="false" outlineLevel="0" collapsed="false">
      <c r="A28392" s="0" t="n">
        <f aca="true">CELL("Contents",Calc!XFD5)</f>
        <v>0</v>
      </c>
      <c r="B28392" s="0" t="s">
        <v>28211</v>
      </c>
    </row>
    <row r="28393" customFormat="false" ht="15" hidden="false" customHeight="false" outlineLevel="0" collapsed="false">
      <c r="A28393" s="0" t="n">
        <f aca="true">CELL("ROW",Calc!XFD5)</f>
        <v>5</v>
      </c>
      <c r="B28393" s="0" t="s">
        <v>28212</v>
      </c>
    </row>
    <row r="28394" customFormat="false" ht="15" hidden="false" customHeight="false" outlineLevel="0" collapsed="false">
      <c r="A28394" s="0" t="str">
        <f aca="true">CELL("address",Data!A1:Z9)</f>
        <v>Data!$A$1</v>
      </c>
      <c r="B28394" s="0" t="s">
        <v>28213</v>
      </c>
    </row>
    <row r="28395" customFormat="false" ht="15" hidden="false" customHeight="false" outlineLevel="0" collapsed="false">
      <c r="A28395" s="0" t="str">
        <f aca="true">CELL("ADDRESS",Data!A1:Z9)</f>
        <v>Data!$A$1</v>
      </c>
      <c r="B28395" s="0" t="s">
        <v>28214</v>
      </c>
    </row>
    <row r="28396" customFormat="false" ht="15" hidden="false" customHeight="false" outlineLevel="0" collapsed="false">
      <c r="A28396" s="0" t="n">
        <f aca="true">CELL("col",Data!A1:Z9)</f>
        <v>1</v>
      </c>
      <c r="B28396" s="0" t="s">
        <v>28215</v>
      </c>
    </row>
    <row r="28397" customFormat="false" ht="15" hidden="false" customHeight="false" outlineLevel="0" collapsed="false">
      <c r="A28397" s="0" t="n">
        <f aca="true">CELL("row",Data!A1:Z9)</f>
        <v>1</v>
      </c>
      <c r="B28397" s="0" t="s">
        <v>28216</v>
      </c>
    </row>
    <row r="28398" customFormat="false" ht="15" hidden="false" customHeight="false" outlineLevel="0" collapsed="false">
      <c r="A28398" s="0" t="n">
        <f aca="true">CELL("sheet",Data!A1:Z9)</f>
        <v>1</v>
      </c>
      <c r="B28398" s="0" t="s">
        <v>28217</v>
      </c>
    </row>
    <row r="28399" customFormat="false" ht="15" hidden="false" customHeight="false" outlineLevel="0" collapsed="false">
      <c r="A28399" s="0" t="str">
        <f aca="true">CELL("coord",Data!A1:Z9)</f>
        <v>$A:$A$1</v>
      </c>
      <c r="B28399" s="0" t="s">
        <v>28218</v>
      </c>
    </row>
    <row r="28400" customFormat="false" ht="15" hidden="false" customHeight="false" outlineLevel="0" collapsed="false">
      <c r="A28400" s="0" t="n">
        <f aca="true">CELL("contents",Data!A1:Z9)</f>
        <v>5</v>
      </c>
      <c r="B28400" s="0" t="s">
        <v>28219</v>
      </c>
    </row>
    <row r="28401" customFormat="false" ht="15" hidden="false" customHeight="false" outlineLevel="0" collapsed="false">
      <c r="A28401" s="0" t="str">
        <f aca="true">CELL("type",Data!A1:Z9)</f>
        <v>v</v>
      </c>
      <c r="B28401" s="0" t="s">
        <v>28220</v>
      </c>
    </row>
    <row r="28402" customFormat="false" ht="15" hidden="false" customHeight="false" outlineLevel="0" collapsed="false">
      <c r="A28402" s="0" t="n">
        <f aca="true">CELL("Contents",Data!A1:Z9)</f>
        <v>5</v>
      </c>
      <c r="B28402" s="0" t="s">
        <v>28221</v>
      </c>
    </row>
    <row r="28403" customFormat="false" ht="15" hidden="false" customHeight="false" outlineLevel="0" collapsed="false">
      <c r="A28403" s="0" t="n">
        <f aca="true">CELL("ROW",Data!A1:Z9)</f>
        <v>1</v>
      </c>
      <c r="B28403" s="0" t="s">
        <v>28222</v>
      </c>
    </row>
    <row r="28404" customFormat="false" ht="15" hidden="false" customHeight="false" outlineLevel="0" collapsed="false">
      <c r="A28404" s="0" t="str">
        <f aca="true">CELL("address")</f>
        <v>$A$28404</v>
      </c>
      <c r="B28404" s="0" t="s">
        <v>28223</v>
      </c>
    </row>
    <row r="28405" customFormat="false" ht="15" hidden="false" customHeight="false" outlineLevel="0" collapsed="false">
      <c r="A28405" s="0" t="n">
        <f aca="true">CELL("row")</f>
        <v>28405</v>
      </c>
      <c r="B28405" s="0" t="s">
        <v>28224</v>
      </c>
    </row>
    <row r="28406" customFormat="false" ht="15" hidden="false" customHeight="false" outlineLevel="0" collapsed="false">
      <c r="A28406" s="0" t="n">
        <f aca="true">CELL("col")</f>
        <v>1</v>
      </c>
      <c r="B28406" s="0" t="s">
        <v>28225</v>
      </c>
    </row>
    <row r="28407" customFormat="false" ht="15" hidden="false" customHeight="false" outlineLevel="0" collapsed="false">
      <c r="A28407" s="0" t="n">
        <f aca="true">CELL("sheet")</f>
        <v>2</v>
      </c>
      <c r="B28407" s="0" t="s">
        <v>28226</v>
      </c>
    </row>
    <row r="28408" customFormat="false" ht="15" hidden="false" customHeight="false" outlineLevel="0" collapsed="false">
      <c r="A28408" s="0" t="str">
        <f aca="true">CELL("coord")</f>
        <v>$B:$A$28408</v>
      </c>
      <c r="B28408" s="0" t="s">
        <v>28227</v>
      </c>
    </row>
    <row r="28409" customFormat="false" ht="15" hidden="false" customHeight="false" outlineLevel="0" collapsed="false">
      <c r="A28409" s="0" t="str">
        <f aca="true">CELL("type")</f>
        <v>v</v>
      </c>
      <c r="B28409" s="0" t="s">
        <v>28228</v>
      </c>
    </row>
    <row r="28410" customFormat="false" ht="15" hidden="false" customHeight="false" outlineLevel="0" collapsed="false">
      <c r="A28410" s="0" t="e">
        <f aca="true">CELL("contents")</f>
        <v>#VALUE!</v>
      </c>
      <c r="B28410" s="0" t="s">
        <v>28229</v>
      </c>
    </row>
    <row r="28411" customFormat="false" ht="15" hidden="false" customHeight="false" outlineLevel="0" collapsed="false">
      <c r="A28411" s="0" t="e">
        <f aca="true">CELL("addres",Data!B3)</f>
        <v>#VALUE!</v>
      </c>
      <c r="B28411" s="0" t="s">
        <v>28230</v>
      </c>
    </row>
    <row r="28412" customFormat="false" ht="15" hidden="false" customHeight="false" outlineLevel="0" collapsed="false">
      <c r="A28412" s="0" t="e">
        <f aca="true">CELL("a",Data!B3)</f>
        <v>#VALUE!</v>
      </c>
      <c r="B28412" s="0" t="s">
        <v>28231</v>
      </c>
    </row>
    <row r="28413" customFormat="false" ht="15" hidden="false" customHeight="false" outlineLevel="0" collapsed="false">
      <c r="A28413" s="0" t="e">
        <f aca="true">CELL("",Data!B3)</f>
        <v>#VALUE!</v>
      </c>
      <c r="B28413" s="0" t="s">
        <v>28232</v>
      </c>
    </row>
    <row r="28414" customFormat="false" ht="15" hidden="false" customHeight="false" outlineLevel="0" collapsed="false">
      <c r="A28414" s="0" t="e">
        <f aca="true">CELL(1,Data!B3)</f>
        <v>#VALUE!</v>
      </c>
      <c r="B28414" s="0" t="s">
        <v>28233</v>
      </c>
    </row>
    <row r="28415" customFormat="false" ht="15" hidden="false" customHeight="false" outlineLevel="0" collapsed="false">
      <c r="A28415" s="0" t="e">
        <f aca="true">CELL(TRUE(),Data!A1)</f>
        <v>#VALUE!</v>
      </c>
      <c r="B28415" s="0" t="s">
        <v>28234</v>
      </c>
    </row>
    <row r="28416" customFormat="false" ht="15" hidden="false" customHeight="false" outlineLevel="0" collapsed="false">
      <c r="A28416" s="0" t="e">
        <f aca="true">CELL(NA(),Data!A1)</f>
        <v>#N/A</v>
      </c>
      <c r="B28416" s="0" t="s">
        <v>28235</v>
      </c>
    </row>
    <row r="28417" customFormat="false" ht="15" hidden="false" customHeight="false" outlineLevel="0" collapsed="false">
      <c r="A28417" s="0" t="e">
        <f aca="true">CELL("x",1)</f>
        <v>#REF!</v>
      </c>
      <c r="B28417" s="0" t="s">
        <v>28236</v>
      </c>
    </row>
    <row r="28418" customFormat="false" ht="15" hidden="false" customHeight="false" outlineLevel="0" collapsed="false">
      <c r="A28418" s="0" t="e">
        <f aca="true">CELL("x",Data!A1)</f>
        <v>#VALUE!</v>
      </c>
      <c r="B28418" s="0" t="s">
        <v>28237</v>
      </c>
    </row>
    <row r="28419" customFormat="false" ht="15" hidden="false" customHeight="false" outlineLevel="0" collapsed="false">
      <c r="A28419" s="0" t="e">
        <f aca="true">CELL("row",NA())</f>
        <v>#N/A</v>
      </c>
      <c r="B28419" s="0" t="s">
        <v>28238</v>
      </c>
    </row>
    <row r="28420" customFormat="false" ht="15" hidden="false" customHeight="false" outlineLevel="0" collapsed="false">
      <c r="A28420" s="0" t="e">
        <f aca="true">CELL("row",1)</f>
        <v>#REF!</v>
      </c>
      <c r="B28420" s="0" t="s">
        <v>28239</v>
      </c>
    </row>
    <row r="28421" customFormat="false" ht="15" hidden="false" customHeight="false" outlineLevel="0" collapsed="false">
      <c r="A28421" s="0" t="e">
        <f aca="true">CELL("row","a")</f>
        <v>#REF!</v>
      </c>
      <c r="B28421" s="0" t="s">
        <v>28240</v>
      </c>
    </row>
    <row r="28422" customFormat="false" ht="15" hidden="false" customHeight="false" outlineLevel="0" collapsed="false">
      <c r="A28422" s="0" t="e">
        <f aca="true">CELL("contents",1+1)</f>
        <v>#REF!</v>
      </c>
      <c r="B28422" s="0" t="s">
        <v>28241</v>
      </c>
    </row>
    <row r="28423" customFormat="false" ht="15" hidden="false" customHeight="false" outlineLevel="0" collapsed="false">
      <c r="A28423" s="0" t="e">
        <f aca="true">CELL("contents",NA())</f>
        <v>#N/A</v>
      </c>
      <c r="B28423" s="0" t="s">
        <v>28242</v>
      </c>
    </row>
    <row r="28424" customFormat="false" ht="15" hidden="false" customHeight="false" outlineLevel="0" collapsed="false">
      <c r="A28424" s="0" t="e">
        <f aca="true">CELL("type",1)</f>
        <v>#REF!</v>
      </c>
      <c r="B28424" s="0" t="s">
        <v>28243</v>
      </c>
    </row>
    <row r="28425" customFormat="false" ht="15" hidden="false" customHeight="false" outlineLevel="0" collapsed="false">
      <c r="A28425" s="0" t="e">
        <f aca="true">CELL("type",TRUE())</f>
        <v>#REF!</v>
      </c>
      <c r="B28425" s="0" t="s">
        <v>28244</v>
      </c>
    </row>
    <row r="28426" customFormat="false" ht="15" hidden="false" customHeight="false" outlineLevel="0" collapsed="false">
      <c r="A28426" s="0" t="e">
        <f aca="true">CELL("type",NA())</f>
        <v>#N/A</v>
      </c>
      <c r="B28426" s="0" t="s">
        <v>28245</v>
      </c>
    </row>
    <row r="28427" customFormat="false" ht="15" hidden="false" customHeight="false" outlineLevel="0" collapsed="false">
      <c r="A28427" s="0" t="str">
        <f aca="true">CELL("type",Calc!A1)</f>
        <v>v</v>
      </c>
      <c r="B28427" s="0" t="s">
        <v>28246</v>
      </c>
    </row>
    <row r="28428" customFormat="false" ht="15" hidden="false" customHeight="false" outlineLevel="0" collapsed="false">
      <c r="A28428" s="0" t="str">
        <f aca="true">CELL("type",Calc!A2)</f>
        <v>v</v>
      </c>
      <c r="B28428" s="0" t="s">
        <v>28247</v>
      </c>
    </row>
    <row r="28429" customFormat="false" ht="15" hidden="false" customHeight="false" outlineLevel="0" collapsed="false">
      <c r="A28429" s="0" t="str">
        <f aca="true">CELL("type",Calc!A5)</f>
        <v>v</v>
      </c>
      <c r="B28429" s="0" t="s">
        <v>28248</v>
      </c>
    </row>
    <row r="28430" customFormat="false" ht="15" hidden="false" customHeight="false" outlineLevel="0" collapsed="false">
      <c r="A28430" s="0" t="str">
        <f aca="true">CELL("type",Calc!A40)</f>
        <v>v</v>
      </c>
      <c r="B28430" s="0" t="s">
        <v>28249</v>
      </c>
    </row>
    <row r="28431" customFormat="false" ht="15" hidden="false" customHeight="false" outlineLevel="0" collapsed="false">
      <c r="A28431" s="0" t="str">
        <f aca="true">CELL("type",Calc!A300)</f>
        <v>v</v>
      </c>
      <c r="B28431" s="0" t="s">
        <v>28250</v>
      </c>
    </row>
    <row r="28432" customFormat="false" ht="15" hidden="false" customHeight="false" outlineLevel="0" collapsed="false">
      <c r="A28432" s="0" t="n">
        <f aca="true">CELL("contents",Calc!A300)</f>
        <v>16</v>
      </c>
      <c r="B28432" s="0" t="s">
        <v>28251</v>
      </c>
    </row>
    <row r="28433" customFormat="false" ht="15" hidden="false" customHeight="false" outlineLevel="0" collapsed="false">
      <c r="A28433" s="0" t="n">
        <f aca="true">CELL("row",Calc!A300:B400)</f>
        <v>300</v>
      </c>
      <c r="B28433" s="0" t="s">
        <v>28252</v>
      </c>
    </row>
    <row r="28434" customFormat="false" ht="15" hidden="false" customHeight="false" outlineLevel="0" collapsed="false">
      <c r="A28434" s="0" t="e">
        <f aca="true">CELL("address",1/0)</f>
        <v>#DIV/0!</v>
      </c>
      <c r="B28434" s="0" t="s">
        <v>28253</v>
      </c>
    </row>
    <row r="28435" customFormat="false" ht="15" hidden="false" customHeight="false" outlineLevel="0" collapsed="false">
      <c r="A28435" s="0" t="e">
        <f aca="true">CELL("type",1/0)</f>
        <v>#DIV/0!</v>
      </c>
      <c r="B28435" s="0" t="s">
        <v>28254</v>
      </c>
    </row>
    <row r="28436" customFormat="false" ht="15" hidden="false" customHeight="false" outlineLevel="0" collapsed="false">
      <c r="A28436" s="0" t="e">
        <f aca="true">CELL("type",A1/0)</f>
        <v>#DIV/0!</v>
      </c>
      <c r="B28436" s="0" t="s">
        <v>28255</v>
      </c>
    </row>
    <row r="28437" customFormat="false" ht="15" hidden="false" customHeight="false" outlineLevel="0" collapsed="false">
      <c r="A28437" s="0" t="e">
        <f aca="true">CELL("contents",Calc!A24297)</f>
        <v>#N/A</v>
      </c>
      <c r="B28437" s="0" t="s">
        <v>28256</v>
      </c>
    </row>
    <row r="28438" customFormat="false" ht="15" hidden="false" customHeight="false" outlineLevel="0" collapsed="false">
      <c r="A28438" s="0" t="str">
        <f aca="true">CELL("type",Calc!A24297)</f>
        <v>v</v>
      </c>
      <c r="B28438" s="0" t="s">
        <v>28257</v>
      </c>
    </row>
    <row r="28439" customFormat="false" ht="15" hidden="false" customHeight="false" outlineLevel="0" collapsed="false">
      <c r="A28439" s="0" t="str">
        <f aca="true">INFO("recalc")</f>
        <v>Automatic</v>
      </c>
      <c r="B28439" s="0" t="s">
        <v>28258</v>
      </c>
    </row>
    <row r="28440" customFormat="false" ht="15" hidden="false" customHeight="false" outlineLevel="0" collapsed="false">
      <c r="A28440" s="0" t="str">
        <f aca="true">INFO("RECALC")</f>
        <v>Automatic</v>
      </c>
      <c r="B28440" s="0" t="s">
        <v>28259</v>
      </c>
    </row>
    <row r="28441" customFormat="false" ht="15" hidden="false" customHeight="false" outlineLevel="0" collapsed="false">
      <c r="A28441" s="0" t="n">
        <f aca="true">INFO("numfile")</f>
        <v>1</v>
      </c>
      <c r="B28441" s="0" t="s">
        <v>28260</v>
      </c>
    </row>
    <row r="28442" customFormat="false" ht="15" hidden="false" customHeight="false" outlineLevel="0" collapsed="false">
      <c r="A28442" s="0" t="e">
        <f aca="true">INFO("origin")</f>
        <v>#N/A</v>
      </c>
      <c r="B28442" s="0" t="s">
        <v>28261</v>
      </c>
    </row>
    <row r="28443" customFormat="false" ht="15" hidden="false" customHeight="false" outlineLevel="0" collapsed="false">
      <c r="A28443" s="0" t="e">
        <f aca="true">INFO("memavail")</f>
        <v>#N/A</v>
      </c>
      <c r="B28443" s="0" t="s">
        <v>28262</v>
      </c>
    </row>
    <row r="28444" customFormat="false" ht="15" hidden="false" customHeight="false" outlineLevel="0" collapsed="false">
      <c r="A28444" s="0" t="e">
        <f aca="true">INFO("totmem")</f>
        <v>#N/A</v>
      </c>
      <c r="B28444" s="0" t="s">
        <v>28263</v>
      </c>
    </row>
    <row r="28445" customFormat="false" ht="15" hidden="false" customHeight="false" outlineLevel="0" collapsed="false">
      <c r="A28445" s="0" t="e">
        <f aca="true">INFO("memused")</f>
        <v>#N/A</v>
      </c>
      <c r="B28445" s="0" t="s">
        <v>28264</v>
      </c>
    </row>
    <row r="28446" customFormat="false" ht="15" hidden="false" customHeight="false" outlineLevel="0" collapsed="false">
      <c r="A28446" s="0" t="e">
        <f aca="true">INFO("x")</f>
        <v>#VALUE!</v>
      </c>
      <c r="B28446" s="0" t="s">
        <v>28265</v>
      </c>
    </row>
    <row r="28447" customFormat="false" ht="15" hidden="false" customHeight="false" outlineLevel="0" collapsed="false">
      <c r="A28447" s="0" t="e">
        <f aca="true">INFO("")</f>
        <v>#VALUE!</v>
      </c>
      <c r="B28447" s="0" t="s">
        <v>28266</v>
      </c>
    </row>
    <row r="28448" customFormat="false" ht="15" hidden="false" customHeight="false" outlineLevel="0" collapsed="false">
      <c r="A28448" s="0" t="e">
        <f aca="true">INFO(1)</f>
        <v>#VALUE!</v>
      </c>
      <c r="B28448" s="0" t="s">
        <v>28267</v>
      </c>
    </row>
    <row r="28449" customFormat="false" ht="15" hidden="false" customHeight="false" outlineLevel="0" collapsed="false">
      <c r="A28449" s="0" t="e">
        <f aca="true">INFO(NA())</f>
        <v>#N/A</v>
      </c>
      <c r="B28449" s="0" t="s">
        <v>28268</v>
      </c>
    </row>
    <row r="28450" customFormat="false" ht="15" hidden="false" customHeight="false" outlineLevel="0" collapsed="false">
      <c r="A28450" s="0" t="e">
        <f aca="true">INFO("sys")</f>
        <v>#VALUE!</v>
      </c>
      <c r="B28450" s="0" t="s">
        <v>28269</v>
      </c>
    </row>
    <row r="28451" customFormat="false" ht="15" hidden="false" customHeight="false" outlineLevel="0" collapsed="false">
      <c r="A28451" s="0" t="e">
        <f aca="true">INFO("osversion ")</f>
        <v>#VALUE!</v>
      </c>
      <c r="B28451" s="0" t="s">
        <v>28270</v>
      </c>
    </row>
    <row r="28452" customFormat="false" ht="15" hidden="false" customHeight="false" outlineLevel="0" collapsed="false">
      <c r="A28452" s="0" t="e">
        <f aca="true">INFO(" recalc")</f>
        <v>#VALUE!</v>
      </c>
      <c r="B28452" s="0" t="s">
        <v>28271</v>
      </c>
    </row>
    <row r="28453" customFormat="false" ht="15" hidden="false" customHeight="false" outlineLevel="0" collapsed="false">
      <c r="A28453" s="0" t="e">
        <f aca="true">INFO(1/0)</f>
        <v>#DIV/0!</v>
      </c>
      <c r="B28453" s="0" t="s">
        <v>28272</v>
      </c>
    </row>
    <row r="28454" customFormat="false" ht="15" hidden="false" customHeight="false" outlineLevel="0" collapsed="false">
      <c r="A28454" s="0" t="n">
        <f aca="false">_xlfn.ORG.OPENOFFICE.STYLE("Good")</f>
        <v>0</v>
      </c>
      <c r="B28454" s="0" t="s">
        <v>28273</v>
      </c>
    </row>
    <row r="28455" customFormat="false" ht="15" hidden="false" customHeight="false" outlineLevel="0" collapsed="false">
      <c r="A28455" s="0" t="n">
        <f aca="false">_xlfn.ORG.OPENOFFICE.STYLE("Default")</f>
        <v>0</v>
      </c>
      <c r="B28455" s="0" t="s">
        <v>28274</v>
      </c>
    </row>
    <row r="28456" customFormat="false" ht="15" hidden="false" customHeight="false" outlineLevel="0" collapsed="false">
      <c r="A28456" s="0" t="n">
        <f aca="false">_xlfn.ORG.OPENOFFICE.STYLE("NoSuchStyle")</f>
        <v>0</v>
      </c>
      <c r="B28456" s="0" t="s">
        <v>28275</v>
      </c>
    </row>
    <row r="28457" customFormat="false" ht="15" hidden="false" customHeight="false" outlineLevel="0" collapsed="false">
      <c r="A28457" s="0" t="n">
        <f aca="false">_xlfn.ORG.OPENOFFICE.STYLE("Good",2,"Default")</f>
        <v>0</v>
      </c>
      <c r="B28457" s="0" t="s">
        <v>28276</v>
      </c>
    </row>
    <row r="28458" customFormat="false" ht="15" hidden="false" customHeight="false" outlineLevel="0" collapsed="false">
      <c r="A28458" s="0" t="e">
        <f aca="false">_xlfn.ORG.OPENOFFICE.STYLE("Good","x")</f>
        <v>#VALUE!</v>
      </c>
      <c r="B28458" s="0" t="s">
        <v>28277</v>
      </c>
    </row>
    <row r="28459" customFormat="false" ht="15" hidden="false" customHeight="false" outlineLevel="0" collapsed="false">
      <c r="A28459" s="0" t="n">
        <f aca="false">_xlfn.ORG.OPENOFFICE.STYLE("Good",-1)</f>
        <v>0</v>
      </c>
      <c r="B28459" s="0" t="s">
        <v>28278</v>
      </c>
    </row>
    <row r="28460" customFormat="false" ht="15" hidden="false" customHeight="false" outlineLevel="0" collapsed="false">
      <c r="A28460" s="0" t="n">
        <f aca="false">_xlfn.ORG.OPENOFFICE.STYLE("Good",0)</f>
        <v>0</v>
      </c>
      <c r="B28460" s="0" t="s">
        <v>28279</v>
      </c>
    </row>
    <row r="28461" customFormat="false" ht="15" hidden="false" customHeight="false" outlineLevel="0" collapsed="false">
      <c r="A28461" s="0" t="n">
        <f aca="false">_xlfn.ORG.OPENOFFICE.STYLE("Good",1,"Nope")</f>
        <v>0</v>
      </c>
      <c r="B28461" s="0" t="s">
        <v>28280</v>
      </c>
    </row>
    <row r="28462" customFormat="false" ht="15" hidden="false" customHeight="false" outlineLevel="0" collapsed="false">
      <c r="A28462" s="0" t="n">
        <f aca="false">_xlfn.ORG.OPENOFFICE.STYLE(1)</f>
        <v>0</v>
      </c>
      <c r="B28462" s="0" t="s">
        <v>28281</v>
      </c>
    </row>
    <row r="28463" customFormat="false" ht="15" hidden="false" customHeight="false" outlineLevel="0" collapsed="false">
      <c r="A28463" s="0" t="n">
        <f aca="false">_xlfn.ORG.OPENOFFICE.STYLE("")</f>
        <v>0</v>
      </c>
      <c r="B28463" s="0" t="s">
        <v>28282</v>
      </c>
    </row>
    <row r="28464" customFormat="false" ht="15" hidden="false" customHeight="false" outlineLevel="0" collapsed="false">
      <c r="A28464" s="0" t="n">
        <f aca="false">_xlfn.ORG.OPENOFFICE.STYLE("Good",1,"")</f>
        <v>0</v>
      </c>
      <c r="B28464" s="0" t="s">
        <v>28283</v>
      </c>
    </row>
    <row r="28465" customFormat="false" ht="15" hidden="false" customHeight="false" outlineLevel="0" collapsed="false">
      <c r="A28465" s="0" t="e">
        <f aca="false">_xlfn.ORG.OPENOFFICE.STYLE(1/0)</f>
        <v>#DIV/0!</v>
      </c>
      <c r="B28465" s="0" t="s">
        <v>28284</v>
      </c>
    </row>
    <row r="28466" customFormat="false" ht="15" hidden="false" customHeight="false" outlineLevel="0" collapsed="false">
      <c r="A28466" s="0" t="e">
        <f aca="false">_xlfn.ORG.OPENOFFICE.STYLE("Good",1/0)</f>
        <v>#DIV/0!</v>
      </c>
      <c r="B28466" s="0" t="s">
        <v>28285</v>
      </c>
    </row>
    <row r="28467" customFormat="false" ht="15" hidden="false" customHeight="false" outlineLevel="0" collapsed="false">
      <c r="A28467" s="0" t="e">
        <f aca="false">_xlfn.ORG.OPENOFFICE.STYLE("Good",1,1/0)</f>
        <v>#DIV/0!</v>
      </c>
      <c r="B28467" s="0" t="s">
        <v>28286</v>
      </c>
    </row>
    <row r="28468" customFormat="false" ht="15" hidden="false" customHeight="false" outlineLevel="0" collapsed="false">
      <c r="A28468" s="0" t="e">
        <f aca="false">_xlfn.ORG.OPENOFFICE.STYLE(NA(),1/0)</f>
        <v>#N/A</v>
      </c>
      <c r="B28468" s="0" t="s">
        <v>28287</v>
      </c>
    </row>
    <row r="28469" customFormat="false" ht="15" hidden="false" customHeight="false" outlineLevel="0" collapsed="false">
      <c r="A28469" s="0" t="n">
        <f aca="false">_xlfn.ORG.OPENOFFICE.STYLE("Good",TRUE())</f>
        <v>0</v>
      </c>
      <c r="B28469" s="0" t="s">
        <v>28288</v>
      </c>
    </row>
    <row r="28470" customFormat="false" ht="15" hidden="false" customHeight="false" outlineLevel="0" collapsed="false">
      <c r="A28470" s="0" t="n">
        <f aca="false">_xlfn.ORG.OPENOFFICE.STYLE(Data!B1)</f>
        <v>0</v>
      </c>
      <c r="B28470" s="0" t="s">
        <v>28289</v>
      </c>
    </row>
    <row r="28471" customFormat="false" ht="15" hidden="false" customHeight="false" outlineLevel="0" collapsed="false">
      <c r="A28471" s="0" t="n">
        <f aca="false">_xlfn.ORG.OPENOFFICE.STYLE("Good",Data!A1)</f>
        <v>0</v>
      </c>
      <c r="B28471" s="0" t="s">
        <v>28290</v>
      </c>
    </row>
    <row r="28472" customFormat="false" ht="15" hidden="false" customHeight="false" outlineLevel="0" collapsed="false">
      <c r="A28472" s="0" t="e">
        <f aca="false">_xlfn.ORG.OPENOFFICE.STYLE("Good",Data!B1)</f>
        <v>#VALUE!</v>
      </c>
      <c r="B28472" s="0" t="s">
        <v>28291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2026-10-28T05:44:57Z</dcterms:created>
  <dc:creator>openpyxl</dc:creator>
  <dc:description/>
  <dc:language>en-US</dc:language>
  <cp:lastModifiedBy/>
  <dcterms:modified xsi:type="dcterms:W3CDTF">2026-10-28T05:44:57Z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